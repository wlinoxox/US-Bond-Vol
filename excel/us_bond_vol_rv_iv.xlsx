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BG_Data" sheetId="3" state="visible" r:id="rId3"/>
    <sheet xmlns:r="http://schemas.openxmlformats.org/officeDocument/2006/relationships" name="KW_TP" sheetId="4" state="visible" r:id="rId4"/>
    <sheet xmlns:r="http://schemas.openxmlformats.org/officeDocument/2006/relationships" name="DKW_10Y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000"/>
    <numFmt numFmtId="167" formatCode="0.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5" fillId="3" borderId="0" pivotButton="0" quotePrefix="0" xfId="0"/>
    <xf numFmtId="164" fontId="2" fillId="0" borderId="0" pivotButton="0" quotePrefix="0" xfId="0"/>
    <xf numFmtId="0" fontId="5" fillId="3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7" fillId="0" borderId="0" pivotButton="0" quotePrefix="0" xfId="0"/>
    <xf numFmtId="166" fontId="5" fillId="0" borderId="0" pivotButton="0" quotePrefix="0" xfId="0"/>
    <xf numFmtId="166" fontId="7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5" fontId="2" fillId="0" borderId="0" pivotButton="0" quotePrefix="0" xfId="0"/>
    <xf numFmtId="1" fontId="6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3m10y Swaption IV vs. 10Y Swap RV</a:t>
            </a:r>
          </a:p>
        </rich>
      </tx>
    </title>
    <plotArea>
      <lineChart>
        <grouping val="standard"/>
        <ser>
          <idx val="0"/>
          <order val="0"/>
          <tx>
            <strRef>
              <f>'Calc'!E1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'Calc'!$E$2:$E$1501</f>
            </numRef>
          </val>
          <smooth val="0"/>
        </ser>
        <ser>
          <idx val="1"/>
          <order val="1"/>
          <tx>
            <strRef>
              <f>'Calc'!J1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'Calc'!$J$2:$J$1501</f>
            </numRef>
          </val>
          <smooth val="0"/>
        </ser>
        <ser>
          <idx val="2"/>
          <order val="2"/>
          <tx>
            <strRef>
              <f>'Calc'!K1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'Calc'!$K$2:$K$1501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bp/y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MOVE vs. 10Y 公債 RV（短期）</a:t>
            </a:r>
          </a:p>
        </rich>
      </tx>
    </title>
    <plotArea>
      <lineChart>
        <grouping val="standard"/>
        <ser>
          <idx val="0"/>
          <order val="0"/>
          <tx>
            <strRef>
              <f>'Calc'!D1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'Calc'!$D$2:$D$1501</f>
            </numRef>
          </val>
          <smooth val="0"/>
        </ser>
        <ser>
          <idx val="1"/>
          <order val="1"/>
          <tx>
            <strRef>
              <f>'Calc'!H1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'Calc'!$H$2:$H$1501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IV − RV</a:t>
            </a:r>
          </a:p>
        </rich>
      </tx>
    </title>
    <plotArea>
      <lineChart>
        <grouping val="standard"/>
        <ser>
          <idx val="0"/>
          <order val="0"/>
          <tx>
            <strRef>
              <f>'Calc'!L1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'Calc'!$L$2:$L$1501</f>
            </numRef>
          </val>
          <smooth val="0"/>
        </ser>
        <ser>
          <idx val="1"/>
          <order val="1"/>
          <tx>
            <strRef>
              <f>'Calc'!M1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'Calc'!$M$2:$M$1501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bp/y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事後 VRP 與 Kim-Wright TP</a:t>
            </a:r>
          </a:p>
        </rich>
      </tx>
    </title>
    <plotArea>
      <lineChart>
        <grouping val="standard"/>
        <ser>
          <idx val="0"/>
          <order val="0"/>
          <tx>
            <strRef>
              <f>'Calc'!O1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'Calc'!$O$2:$O$1501</f>
            </numRef>
          </val>
          <smooth val="0"/>
        </ser>
        <ser>
          <idx val="1"/>
          <order val="1"/>
          <tx>
            <strRef>
              <f>'Calc'!P1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'Calc'!$P$2:$P$1501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10Y 拆解：相對基準日的變動</a:t>
            </a:r>
          </a:p>
        </rich>
      </tx>
    </title>
    <plotArea>
      <lineChart>
        <grouping val="standard"/>
        <ser>
          <idx val="0"/>
          <order val="0"/>
          <tx>
            <strRef>
              <f>'Calc'!T1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'Calc'!$T$2:$T$1501</f>
            </numRef>
          </val>
          <smooth val="0"/>
        </ser>
        <ser>
          <idx val="1"/>
          <order val="1"/>
          <tx>
            <strRef>
              <f>'Calc'!U1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'Calc'!$U$2:$U$1501</f>
            </numRef>
          </val>
          <smooth val="0"/>
        </ser>
        <ser>
          <idx val="2"/>
          <order val="2"/>
          <tx>
            <strRef>
              <f>'Calc'!V1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'Calc'!$V$2:$V$1501</f>
            </numRef>
          </val>
          <smooth val="0"/>
        </ser>
        <ser>
          <idx val="3"/>
          <order val="3"/>
          <tx>
            <strRef>
              <f>'Calc'!W1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'Calc'!$W$2:$W$1501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DKW 10Y 拆解：相對基準日的變動</a:t>
            </a:r>
          </a:p>
        </rich>
      </tx>
    </title>
    <plotArea>
      <lineChart>
        <grouping val="standard"/>
        <ser>
          <idx val="0"/>
          <order val="0"/>
          <tx>
            <strRef>
              <f>'Calc'!X1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'Calc'!$X$2:$X$1501</f>
            </numRef>
          </val>
          <smooth val="0"/>
        </ser>
        <ser>
          <idx val="1"/>
          <order val="1"/>
          <tx>
            <strRef>
              <f>'Calc'!Y1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'Calc'!$Y$2:$Y$1501</f>
            </numRef>
          </val>
          <smooth val="0"/>
        </ser>
        <ser>
          <idx val="2"/>
          <order val="2"/>
          <tx>
            <strRef>
              <f>'Calc'!Z1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'Calc'!$Z$2:$Z$1501</f>
            </numRef>
          </val>
          <smooth val="0"/>
        </ser>
        <ser>
          <idx val="3"/>
          <order val="3"/>
          <tx>
            <strRef>
              <f>'Calc'!AA1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'Calc'!$AA$2:$AA$1501</f>
            </numRef>
          </val>
          <smooth val="0"/>
        </ser>
        <ser>
          <idx val="4"/>
          <order val="4"/>
          <tx>
            <strRef>
              <f>'Calc'!AB1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'Calc'!$AB$2:$AB$1501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曲線：2s10s 與 5s30s</a:t>
            </a:r>
          </a:p>
        </rich>
      </tx>
    </title>
    <plotArea>
      <lineChart>
        <grouping val="standard"/>
        <ser>
          <idx val="0"/>
          <order val="0"/>
          <tx>
            <strRef>
              <f>'Calc'!AF1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'Calc'!$AF$2:$AF$1501</f>
            </numRef>
          </val>
          <smooth val="0"/>
        </ser>
        <ser>
          <idx val="1"/>
          <order val="1"/>
          <tx>
            <strRef>
              <f>'Calc'!AG1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'Calc'!$AG$2:$AG$1501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信用利差：HY / IG OAS</a:t>
            </a:r>
          </a:p>
        </rich>
      </tx>
    </title>
    <plotArea>
      <lineChart>
        <grouping val="standard"/>
        <ser>
          <idx val="0"/>
          <order val="0"/>
          <tx>
            <strRef>
              <f>'Calc'!AH1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'Calc'!$AH$2:$AH$1501</f>
            </numRef>
          </val>
          <smooth val="0"/>
        </ser>
        <ser>
          <idx val="1"/>
          <order val="1"/>
          <tx>
            <strRef>
              <f>'Calc'!AI1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'Calc'!$A$2:$A$1501</f>
            </numRef>
          </cat>
          <val>
            <numRef>
              <f>'Calc'!$AI$2:$AI$1501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README</author>
  </authors>
  <commentList>
    <comment ref="B9" authorId="0" shapeId="0">
      <text>
        <t>在 VCUB 中選 Normal Vol，找到 3M expiry × 10Y tenor 的格子，右鍵或滑鼠停留取得 ticker。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33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49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65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81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97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113</row>
      <rowOff>0</rowOff>
    </from>
    <ext cx="576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美債 Vol 監控：RV、IV − RV 與 Kim-Wright TP</t>
        </is>
      </c>
    </row>
    <row r="2">
      <c r="A2" s="2" t="inlineStr"/>
    </row>
    <row r="3">
      <c r="A3" s="3" t="inlineStr">
        <is>
          <t>使用步驟</t>
        </is>
      </c>
    </row>
    <row r="4">
      <c r="A4" s="2" t="inlineStr">
        <is>
          <t>1. 在已登入 Bloomberg 的電腦上用 Excel 開啟本檔（需 Bloomberg Excel Add-in）。</t>
        </is>
      </c>
    </row>
    <row r="5">
      <c r="A5" s="2" t="inlineStr">
        <is>
          <t>2. 到 Settings 分頁，檢查黃底藍字的輸入格：起訖日期、ticker、RV 視窗。</t>
        </is>
      </c>
    </row>
    <row r="6">
      <c r="A6" s="2" t="inlineStr">
        <is>
          <t>3. 3m10y Swaption Normal Vol 的 ticker 請到 VCUB &lt;GO&gt; 找 3M × 10Y（Normal / bp）那格，取得 ticker 後填入 Settings!B9。</t>
        </is>
      </c>
    </row>
    <row r="7">
      <c r="A7" s="2" t="inlineStr">
        <is>
          <t>4. 按 Bloomberg 工具列的 Refresh Workbook（或 Ctrl+Alt+Shift+R）讓 BBG_Data 的 BDH 抓資料，Calc 與 Dashboard 會自動計算。</t>
        </is>
      </c>
    </row>
    <row r="8">
      <c r="A8" s="2" t="inlineStr"/>
    </row>
    <row r="9">
      <c r="A9" s="3" t="inlineStr">
        <is>
          <t>分頁說明</t>
        </is>
      </c>
    </row>
    <row r="10">
      <c r="A10" s="2" t="inlineStr">
        <is>
          <t>Settings：所有輸入參數（黃底藍字＝可修改）。</t>
        </is>
      </c>
    </row>
    <row r="11">
      <c r="A11" s="2" t="inlineStr">
        <is>
          <t>BBG_Data：BDH 公式抓取的原始資料。每個 ticker 佔兩欄（日期、數值），Calc 依日期精確比對，不依列對齊。</t>
        </is>
      </c>
    </row>
    <row r="12">
      <c r="A12" s="2" t="inlineStr">
        <is>
          <t>KW_TP：Kim-Wright 10Y Term Premium（FRED：THREEFYTP10），使用者下載的靜態資料，最後一筆 2026-09-25。</t>
        </is>
      </c>
    </row>
    <row r="13">
      <c r="A13" s="2" t="inlineStr">
        <is>
          <t>DKW_10Y：D'Amico-Kim-Wei 10Y 拆解（Fed staff，每月更新），最後一筆 2026-08-31。名目殖利率 = 預期實質短率 + 實質 TP + 預期通膨 + 通膨風險溢酬；名目 TP = 實質 TP + 通膨風險溢酬。</t>
        </is>
      </c>
    </row>
    <row r="14">
      <c r="A14" s="2" t="inlineStr">
        <is>
          <t>Calc：每日變動（bp）、滾動 RV、IV − RV、事後 VRP、Kim-Wright TP 對照、10Y = TIPS + BEI 的拆解，以及 DKW 各成分相對基準日的變動。</t>
        </is>
      </c>
    </row>
    <row r="15">
      <c r="A15" s="2" t="inlineStr">
        <is>
          <t>Dashboard：最新數值摘要與圖表（含曲線 2s10s / 5s30s 與信用利差）。</t>
        </is>
      </c>
    </row>
    <row r="16">
      <c r="A16" s="2" t="inlineStr"/>
    </row>
    <row r="17">
      <c r="A17" s="3" t="inlineStr">
        <is>
          <t>計算定義</t>
        </is>
      </c>
    </row>
    <row r="18">
      <c r="A18" s="2" t="inlineStr">
        <is>
          <t>每日變動 = (今日殖利率 − 前一日殖利率) × 100，單位 bp。</t>
        </is>
      </c>
    </row>
    <row r="19">
      <c r="A19" s="2" t="inlineStr">
        <is>
          <t>RV（年化 Normal Vol，bp/y）= 最近 N 個每日變動的樣本標準差 × √252。變動恰為 0（假日補值）不計入；視窗內有效筆數需達 N × Settings!B26。</t>
        </is>
      </c>
    </row>
    <row r="20">
      <c r="A20" s="2" t="inlineStr">
        <is>
          <t>IV − RV（即時近似）：Swaption IV − 10Y Swap 的 RV（63 日，對應 3 個月期限）；MOVE − 10Y 公債的 RV（21 日，對應 1 個月期限）。</t>
        </is>
      </c>
    </row>
    <row r="21">
      <c r="A21" s="2" t="inlineStr">
        <is>
          <t>事後 VRP：今天的 Swaption IV − 接下來 63 個交易日實際發生的 Swap RV。最近 63 天還沒有結果，會留空。</t>
        </is>
      </c>
    </row>
    <row r="22">
      <c r="A22" s="2" t="inlineStr">
        <is>
          <t>實質利率拆解（市場口徑）：10Y 名目 = 10Y TIPS 實質殖利率 + 10Y BEI。相對基準日的變動：Δ10Y = ΔTIPS（實質利率貢獻）+ ΔBEI（通膨預期貢獻）。</t>
        </is>
      </c>
    </row>
    <row r="23">
      <c r="A23" s="2" t="inlineStr">
        <is>
          <t>「名目 − TIPS − BEI」欄是檢查用，應接近 0；若差很多，代表 BEI ticker 的口徑和 10Y 名目 / TIPS 不一致。</t>
        </is>
      </c>
    </row>
    <row r="24">
      <c r="A24" s="2" t="inlineStr">
        <is>
          <t>注意：TIPS 殖利率含實質期限溢酬與流動性溢酬，BEI 含通膨風險溢酬；ΔTIPS 不等於「實質利率預期」的變動，要再拆需用 DKW 等模型。</t>
        </is>
      </c>
    </row>
    <row r="25">
      <c r="A25" s="2" t="inlineStr"/>
    </row>
    <row r="26">
      <c r="A26" s="3" t="inlineStr">
        <is>
          <t>注意事項</t>
        </is>
      </c>
    </row>
    <row r="27">
      <c r="A27" s="2" t="inlineStr">
        <is>
          <t>• Ticker 是依記憶填寫的預設值，第一次使用請先在 Terminal 確認（特別是 USOSFR10 Curncy、USGGT10Y Index、USGGBE10 Index 與 Swaption ticker）。</t>
        </is>
      </c>
    </row>
    <row r="28">
      <c r="A28" s="2" t="inlineStr">
        <is>
          <t>• 曾發生的問題：MOVE 的 BDH 即使指定 Days=W 仍回傳每個日曆日（含週末），依列對齊會錯位。現在每組 BDH 都輸出自己的日期並依日期比對，不受影響。</t>
        </is>
      </c>
    </row>
    <row r="29">
      <c r="A29" s="2" t="inlineStr">
        <is>
          <t>• HY / IG OAS：Bloomberg 回傳單位可能是 %（例如 3.18 = 318 bp），Calc 以 Settings!B25 的倍數換成 bp；若回傳已是 bp，把倍數改成 1。</t>
        </is>
      </c>
    </row>
    <row r="30">
      <c r="A30" s="2" t="inlineStr">
        <is>
          <t>• MOVE 是 1 個月期、2Y/5Y/10Y/30Y 加權的公債選擇權 IV，和 10Y 單一期限的 RV 比較只是近似。</t>
        </is>
      </c>
    </row>
    <row r="31">
      <c r="A31" s="2" t="inlineStr">
        <is>
          <t>• Calc 中無法計算的格子（RV 暖機期、預留的空白列）會顯示 N/A 錯誤值，這是刻意的，讓圖表在缺資料處斷開而不是掉到 0。</t>
        </is>
      </c>
    </row>
    <row r="32">
      <c r="A32" s="2" t="inlineStr">
        <is>
          <t>• 若在 Excel 365 看到公式變成 =@BDH(...) 且只抓到一筆，把 @ 刪掉重新輸入即可。</t>
        </is>
      </c>
    </row>
    <row r="33">
      <c r="A33" s="2" t="inlineStr">
        <is>
          <t>• TP 模型分工：DKW 為主軸（能拆實質 TP 與通膨風險溢酬）；Kim-Wright 為日資料，用於 DKW 尚未涵蓋的最新日期與交叉驗證。兩者都出自 Fed 的 Don Kim，並非完全獨立。</t>
        </is>
      </c>
    </row>
    <row r="34">
      <c r="A34" s="2" t="inlineStr">
        <is>
          <t>• DKW 資料不會自動更新：下載 DKW_updates.csv 覆蓋 data/ 後重新執行 build_workbook.py，或直接貼到 DKW_10Y 分頁。</t>
        </is>
      </c>
    </row>
    <row r="35">
      <c r="A35" s="2" t="inlineStr">
        <is>
          <t>• Kim-Wright 資料不會自動更新：到 FRED 下載新的 THREEFYTP10，貼到 KW_TP 分頁（日期在 A 欄、% 在 B 欄），C 欄公式往下複製即可。</t>
        </is>
      </c>
    </row>
    <row r="36">
      <c r="A36" s="2" t="inlineStr">
        <is>
          <t>• Calc 預留 1500 列；若起始日期太早導致資料超過，請把 Calc 最後一列公式往下複製。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4" t="inlineStr">
        <is>
          <t>參數設定</t>
        </is>
      </c>
    </row>
    <row r="2">
      <c r="A2" s="5" t="inlineStr">
        <is>
          <t>項目</t>
        </is>
      </c>
      <c r="B2" s="5" t="inlineStr">
        <is>
          <t>值</t>
        </is>
      </c>
      <c r="C2" s="5" t="inlineStr">
        <is>
          <t>說明</t>
        </is>
      </c>
    </row>
    <row r="3">
      <c r="A3" s="6" t="inlineStr">
        <is>
          <t>起始日期</t>
        </is>
      </c>
      <c r="B3" s="7" t="n">
        <v>45292</v>
      </c>
      <c r="C3" s="2" t="inlineStr">
        <is>
          <t>BDH 起始日。RV 63 日需要約 3 個月暖機，建議比觀察期早至少 3 個月。</t>
        </is>
      </c>
    </row>
    <row r="4">
      <c r="A4" s="6" t="inlineStr">
        <is>
          <t>結束日期</t>
        </is>
      </c>
      <c r="B4" s="8">
        <f>TODAY()</f>
        <v/>
      </c>
      <c r="C4" s="2" t="inlineStr">
        <is>
          <t>預設今天，可改成固定日期。</t>
        </is>
      </c>
    </row>
    <row r="5"/>
    <row r="6">
      <c r="A6" s="6" t="inlineStr">
        <is>
          <t>10Y 公債殖利率 ticker</t>
        </is>
      </c>
      <c r="B6" s="9" t="inlineStr">
        <is>
          <t>USGG10YR Index</t>
        </is>
      </c>
      <c r="C6" s="2" t="inlineStr">
        <is>
          <t>Bloomberg 10Y 公債殖利率，單位 %。</t>
        </is>
      </c>
    </row>
    <row r="7">
      <c r="A7" s="6" t="inlineStr">
        <is>
          <t>10Y SOFR Swap ticker</t>
        </is>
      </c>
      <c r="B7" s="9" t="inlineStr">
        <is>
          <t>USOSFR10 Curncy</t>
        </is>
      </c>
      <c r="C7" s="2" t="inlineStr">
        <is>
          <t>10Y SOFR OIS Swap，單位 %。請在 Terminal 確認 ticker。</t>
        </is>
      </c>
    </row>
    <row r="8">
      <c r="A8" s="6" t="inlineStr">
        <is>
          <t>MOVE ticker</t>
        </is>
      </c>
      <c r="B8" s="9" t="inlineStr">
        <is>
          <t>MOVE Index</t>
        </is>
      </c>
      <c r="C8" s="2" t="inlineStr">
        <is>
          <t>ICE BofA MOVE Index，單位 bp。</t>
        </is>
      </c>
    </row>
    <row r="9">
      <c r="A9" s="6" t="inlineStr">
        <is>
          <t>3m10y Swaption Normal Vol ticker</t>
        </is>
      </c>
      <c r="B9" s="9" t="inlineStr"/>
      <c r="C9" s="2" t="inlineStr">
        <is>
          <t>請從 VCUB &lt;GO&gt; 取得 3M×10Y Normal Vol（bp/y）的 ticker 填入；留空則略過 Swaption 相關計算。</t>
        </is>
      </c>
    </row>
    <row r="10"/>
    <row r="11">
      <c r="A11" s="6" t="inlineStr">
        <is>
          <t>短期 RV 視窗（交易日）</t>
        </is>
      </c>
      <c r="B11" s="9" t="n">
        <v>21</v>
      </c>
      <c r="C11" s="2" t="inlineStr">
        <is>
          <t>約 1 個月，對應 MOVE（1 個月期選擇權）。</t>
        </is>
      </c>
    </row>
    <row r="12">
      <c r="A12" s="6" t="inlineStr">
        <is>
          <t>長期 RV 視窗（交易日）</t>
        </is>
      </c>
      <c r="B12" s="9" t="n">
        <v>63</v>
      </c>
      <c r="C12" s="2" t="inlineStr">
        <is>
          <t>約 3 個月，對應 3m10y Swaption。</t>
        </is>
      </c>
    </row>
    <row r="13">
      <c r="A13" s="6" t="inlineStr">
        <is>
          <t>年化天數</t>
        </is>
      </c>
      <c r="B13" s="9" t="n">
        <v>252</v>
      </c>
      <c r="C13" s="2" t="inlineStr">
        <is>
          <t>年化 = 日標準差 × √年化天數。</t>
        </is>
      </c>
    </row>
    <row r="14">
      <c r="A14" s="6" t="inlineStr">
        <is>
          <t>10Y TIPS 實質殖利率 ticker</t>
        </is>
      </c>
      <c r="B14" s="9" t="inlineStr">
        <is>
          <t>USGGT10Y Index</t>
        </is>
      </c>
      <c r="C14" s="2" t="inlineStr">
        <is>
          <t>10Y TIPS 殖利率（實質利率，市場口徑），單位 %。請在 Terminal 確認 ticker。</t>
        </is>
      </c>
    </row>
    <row r="15">
      <c r="A15" s="6" t="inlineStr">
        <is>
          <t>10Y BEI ticker</t>
        </is>
      </c>
      <c r="B15" s="9" t="inlineStr">
        <is>
          <t>USGGBE10 Index</t>
        </is>
      </c>
      <c r="C15" s="2" t="inlineStr">
        <is>
          <t>10Y Breakeven Inflation，單位 %。請在 Terminal 確認 ticker。</t>
        </is>
      </c>
    </row>
    <row r="16">
      <c r="A16" s="6" t="inlineStr">
        <is>
          <t>分解基準日</t>
        </is>
      </c>
      <c r="B16" s="7" t="n">
        <v>46022</v>
      </c>
      <c r="C16" s="2" t="inlineStr">
        <is>
          <t>計算「相對基準日的變動」的起點，例如前一年底或開戰日。</t>
        </is>
      </c>
    </row>
    <row r="17">
      <c r="A17" s="6" t="inlineStr">
        <is>
          <t>基準日所在列（自動）</t>
        </is>
      </c>
      <c r="B17" s="6">
        <f>SUMPRODUCT(MAX(ISNUMBER(Calc!$A$2:$A$1501)*(Calc!$A$2:$A$1501&lt;=$B$16)*ROW(Calc!$A$2:$A$1501)))</f>
        <v/>
      </c>
      <c r="C17" s="2" t="inlineStr">
        <is>
          <t>Calc 中日期 ≤ 基準日的最後一列；0 代表基準日早於資料起點。</t>
        </is>
      </c>
    </row>
    <row r="18">
      <c r="A18" s="6" t="inlineStr">
        <is>
          <t>2Y 公債殖利率 ticker</t>
        </is>
      </c>
      <c r="B18" s="9" t="inlineStr">
        <is>
          <t>USGG2YR Index</t>
        </is>
      </c>
      <c r="C18" s="2" t="inlineStr">
        <is>
          <t>單位 %。</t>
        </is>
      </c>
    </row>
    <row r="19">
      <c r="A19" s="6" t="inlineStr">
        <is>
          <t>5Y 公債殖利率 ticker</t>
        </is>
      </c>
      <c r="B19" s="9" t="inlineStr">
        <is>
          <t>USGG5YR Index</t>
        </is>
      </c>
      <c r="C19" s="2" t="inlineStr">
        <is>
          <t>單位 %。</t>
        </is>
      </c>
    </row>
    <row r="20">
      <c r="A20" s="6" t="inlineStr">
        <is>
          <t>30Y 公債殖利率 ticker</t>
        </is>
      </c>
      <c r="B20" s="9" t="inlineStr">
        <is>
          <t>USGG30YR Index</t>
        </is>
      </c>
      <c r="C20" s="2" t="inlineStr">
        <is>
          <t>單位 %。</t>
        </is>
      </c>
    </row>
    <row r="21">
      <c r="A21" s="6" t="inlineStr">
        <is>
          <t>HY OAS ticker</t>
        </is>
      </c>
      <c r="B21" s="9" t="inlineStr">
        <is>
          <t>LF98OAS Index</t>
        </is>
      </c>
      <c r="C21" s="2" t="inlineStr">
        <is>
          <t>Bloomberg US Corporate High Yield OAS。</t>
        </is>
      </c>
    </row>
    <row r="22">
      <c r="A22" s="6" t="inlineStr">
        <is>
          <t>IG OAS ticker</t>
        </is>
      </c>
      <c r="B22" s="9" t="inlineStr">
        <is>
          <t>LUACOAS Index</t>
        </is>
      </c>
      <c r="C22" s="2" t="inlineStr">
        <is>
          <t>Bloomberg US Corporate IG OAS。</t>
        </is>
      </c>
    </row>
    <row r="23">
      <c r="A23" s="6" t="inlineStr">
        <is>
          <t>CDX IG 5Y ticker</t>
        </is>
      </c>
      <c r="B23" s="9" t="inlineStr">
        <is>
          <t>IBOXUMAE CBBT Curncy</t>
        </is>
      </c>
      <c r="C23" s="2" t="inlineStr">
        <is>
          <t>單位 bp。</t>
        </is>
      </c>
    </row>
    <row r="24">
      <c r="A24" s="6" t="inlineStr">
        <is>
          <t>CDX HY 5Y ticker</t>
        </is>
      </c>
      <c r="B24" s="9" t="inlineStr">
        <is>
          <t>IBOXHYSE CBBT Curncy</t>
        </is>
      </c>
      <c r="C24" s="2" t="inlineStr">
        <is>
          <t>單位 bp（spread）。</t>
        </is>
      </c>
    </row>
    <row r="25">
      <c r="A25" s="6" t="inlineStr">
        <is>
          <t>OAS 換算倍數</t>
        </is>
      </c>
      <c r="B25" s="9" t="n">
        <v>100</v>
      </c>
      <c r="C25" s="2" t="inlineStr">
        <is>
          <t>BBG 回傳 % 時填 100（3.18 → 318 bp）；已是 bp 則填 1。</t>
        </is>
      </c>
    </row>
    <row r="26">
      <c r="A26" s="6" t="inlineStr">
        <is>
          <t>RV 最少有效筆數比例</t>
        </is>
      </c>
      <c r="B26" s="9" t="n">
        <v>0.85</v>
      </c>
      <c r="C26" s="2" t="inlineStr">
        <is>
          <t>視窗內有效（非 0）變動至少要有視窗長度 × 此比例，否則顯示 N/A。</t>
        </is>
      </c>
    </row>
    <row r="27"/>
    <row r="28">
      <c r="A28" s="6" t="inlineStr">
        <is>
          <t>圖例：黃底藍字＝可修改的輸入；黑字＝公式；綠字＝引用其他分頁。</t>
        </is>
      </c>
    </row>
    <row r="29">
      <c r="A29" s="6" t="inlineStr">
        <is>
          <t>範例：10Y 公債殖利率 ticker 填 USGG10YR Index；RV 視窗填整數，例如 21。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6" customWidth="1" min="16" max="16"/>
    <col width="12" customWidth="1" min="17" max="17"/>
    <col width="16" customWidth="1" min="18" max="18"/>
    <col width="12" customWidth="1" min="19" max="19"/>
    <col width="16" customWidth="1" min="20" max="20"/>
    <col width="12" customWidth="1" min="21" max="21"/>
    <col width="16" customWidth="1" min="22" max="22"/>
    <col width="12" customWidth="1" min="23" max="23"/>
    <col width="16" customWidth="1" min="24" max="24"/>
    <col width="12" customWidth="1" min="25" max="25"/>
    <col width="16" customWidth="1" min="26" max="26"/>
    <col width="90" customWidth="1" min="28" max="28"/>
  </cols>
  <sheetData>
    <row r="1" ht="45" customHeight="1">
      <c r="A1" s="5" t="inlineStr">
        <is>
          <t>10Y 公債殖利率 日期</t>
        </is>
      </c>
      <c r="B1" s="5" t="inlineStr">
        <is>
          <t>10Y 公債殖利率 (%)</t>
        </is>
      </c>
      <c r="C1" s="5" t="inlineStr">
        <is>
          <t>10Y SOFR Swap 日期</t>
        </is>
      </c>
      <c r="D1" s="5" t="inlineStr">
        <is>
          <t>10Y SOFR Swap (%)</t>
        </is>
      </c>
      <c r="E1" s="5" t="inlineStr">
        <is>
          <t>MOVE 日期</t>
        </is>
      </c>
      <c r="F1" s="5" t="inlineStr">
        <is>
          <t>MOVE (bp)</t>
        </is>
      </c>
      <c r="G1" s="5" t="inlineStr">
        <is>
          <t>3m10y Swaption IV 日期</t>
        </is>
      </c>
      <c r="H1" s="5" t="inlineStr">
        <is>
          <t>3m10y Swaption IV (bp/y)</t>
        </is>
      </c>
      <c r="I1" s="5" t="inlineStr">
        <is>
          <t>10Y TIPS 實質殖利率 日期</t>
        </is>
      </c>
      <c r="J1" s="5" t="inlineStr">
        <is>
          <t>10Y TIPS 實質殖利率 (%)</t>
        </is>
      </c>
      <c r="K1" s="5" t="inlineStr">
        <is>
          <t>10Y BEI 日期</t>
        </is>
      </c>
      <c r="L1" s="5" t="inlineStr">
        <is>
          <t>10Y BEI (%)</t>
        </is>
      </c>
      <c r="M1" s="5" t="inlineStr">
        <is>
          <t>2Y 公債殖利率 日期</t>
        </is>
      </c>
      <c r="N1" s="5" t="inlineStr">
        <is>
          <t>2Y 公債殖利率 (%)</t>
        </is>
      </c>
      <c r="O1" s="5" t="inlineStr">
        <is>
          <t>5Y 公債殖利率 日期</t>
        </is>
      </c>
      <c r="P1" s="5" t="inlineStr">
        <is>
          <t>5Y 公債殖利率 (%)</t>
        </is>
      </c>
      <c r="Q1" s="5" t="inlineStr">
        <is>
          <t>30Y 公債殖利率 日期</t>
        </is>
      </c>
      <c r="R1" s="5" t="inlineStr">
        <is>
          <t>30Y 公債殖利率 (%)</t>
        </is>
      </c>
      <c r="S1" s="5" t="inlineStr">
        <is>
          <t>HY OAS 日期</t>
        </is>
      </c>
      <c r="T1" s="5" t="inlineStr">
        <is>
          <t>HY OAS（BBG 原始單位）</t>
        </is>
      </c>
      <c r="U1" s="5" t="inlineStr">
        <is>
          <t>IG OAS 日期</t>
        </is>
      </c>
      <c r="V1" s="5" t="inlineStr">
        <is>
          <t>IG OAS（BBG 原始單位）</t>
        </is>
      </c>
      <c r="W1" s="5" t="inlineStr">
        <is>
          <t>CDX IG 5Y 日期</t>
        </is>
      </c>
      <c r="X1" s="5" t="inlineStr">
        <is>
          <t>CDX IG 5Y (bp)</t>
        </is>
      </c>
      <c r="Y1" s="5" t="inlineStr">
        <is>
          <t>CDX HY 5Y 日期</t>
        </is>
      </c>
      <c r="Z1" s="5" t="inlineStr">
        <is>
          <t>CDX HY 5Y (bp)</t>
        </is>
      </c>
      <c r="AB1" s="10" t="inlineStr">
        <is>
          <t>說明</t>
        </is>
      </c>
    </row>
    <row r="2">
      <c r="A2" s="11">
        <f>BDH(Settings!$B$6,"PX_LAST",Settings!$B$3,Settings!$B$4,"Dts=S","Days=W","Fill=P")</f>
        <v/>
      </c>
      <c r="C2" s="11">
        <f>BDH(Settings!$B$7,"PX_LAST",Settings!$B$3,Settings!$B$4,"Dts=S","Days=W","Fill=P")</f>
        <v/>
      </c>
      <c r="E2" s="11">
        <f>BDH(Settings!$B$8,"PX_LAST",Settings!$B$3,Settings!$B$4,"Dts=S","Days=W","Fill=P")</f>
        <v/>
      </c>
      <c r="G2" s="11">
        <f>IF(Settings!$B$9="","",BDH(Settings!$B$9,"PX_LAST",Settings!$B$3,Settings!$B$4,"Dts=S","Days=W","Fill=P"))</f>
        <v/>
      </c>
      <c r="I2" s="11">
        <f>BDH(Settings!$B$14,"PX_LAST",Settings!$B$3,Settings!$B$4,"Dts=S","Days=W","Fill=P")</f>
        <v/>
      </c>
      <c r="K2" s="11">
        <f>BDH(Settings!$B$15,"PX_LAST",Settings!$B$3,Settings!$B$4,"Dts=S","Days=W","Fill=P")</f>
        <v/>
      </c>
      <c r="M2" s="11">
        <f>BDH(Settings!$B$18,"PX_LAST",Settings!$B$3,Settings!$B$4,"Dts=S","Days=W","Fill=P")</f>
        <v/>
      </c>
      <c r="O2" s="11">
        <f>BDH(Settings!$B$19,"PX_LAST",Settings!$B$3,Settings!$B$4,"Dts=S","Days=W","Fill=P")</f>
        <v/>
      </c>
      <c r="Q2" s="11">
        <f>BDH(Settings!$B$20,"PX_LAST",Settings!$B$3,Settings!$B$4,"Dts=S","Days=W","Fill=P")</f>
        <v/>
      </c>
      <c r="S2" s="11">
        <f>BDH(Settings!$B$21,"PX_LAST",Settings!$B$3,Settings!$B$4,"Dts=S","Days=W","Fill=P")</f>
        <v/>
      </c>
      <c r="U2" s="11">
        <f>BDH(Settings!$B$22,"PX_LAST",Settings!$B$3,Settings!$B$4,"Dts=S","Days=W","Fill=P")</f>
        <v/>
      </c>
      <c r="W2" s="11">
        <f>BDH(Settings!$B$23,"PX_LAST",Settings!$B$3,Settings!$B$4,"Dts=S","Days=W","Fill=P")</f>
        <v/>
      </c>
      <c r="Y2" s="11">
        <f>BDH(Settings!$B$24,"PX_LAST",Settings!$B$3,Settings!$B$4,"Dts=S","Days=W","Fill=P")</f>
        <v/>
      </c>
      <c r="AB2" s="6" t="inlineStr">
        <is>
          <t>每組 BDH 輸出兩欄：日期（Dts=S）與數值；Calc 用日期精確比對（MATCH），不依列對齊。</t>
        </is>
      </c>
    </row>
    <row r="3">
      <c r="AB3" s="6" t="inlineStr">
        <is>
          <t>原因：MOVE 等指數即使指定 Days=W，Bloomberg 仍可能回傳每個日曆日，依列對齊會錯位。</t>
        </is>
      </c>
    </row>
    <row r="4">
      <c r="AB4" s="6" t="inlineStr">
        <is>
          <t>每組預留 3999 列；請勿在公式下方輸入任何內容，以免擋住 BDH 輸出。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>
      <c r="A1" s="5" t="inlineStr">
        <is>
          <t>日期</t>
        </is>
      </c>
      <c r="B1" s="5" t="inlineStr">
        <is>
          <t>Kim-Wright 10Y TP (%)</t>
        </is>
      </c>
      <c r="C1" s="5" t="inlineStr">
        <is>
          <t>Kim-Wright 10Y TP (bp)</t>
        </is>
      </c>
      <c r="E1" s="6" t="inlineStr">
        <is>
          <t>來源：FRED 序列 THREEFYTP10（Kim-Wright 三因子模型 10Y Term Premium），由使用者下載；已刪除空值（假日）。</t>
        </is>
      </c>
    </row>
    <row r="2">
      <c r="A2" s="12" t="n">
        <v>42639</v>
      </c>
      <c r="B2" s="13" t="n">
        <v>-0.1102</v>
      </c>
      <c r="C2" s="14">
        <f>B2*100</f>
        <v/>
      </c>
    </row>
    <row r="3">
      <c r="A3" s="12" t="n">
        <v>42640</v>
      </c>
      <c r="B3" s="13" t="n">
        <v>-0.1259</v>
      </c>
      <c r="C3" s="14">
        <f>B3*100</f>
        <v/>
      </c>
    </row>
    <row r="4">
      <c r="A4" s="12" t="n">
        <v>42641</v>
      </c>
      <c r="B4" s="13" t="n">
        <v>-0.1292</v>
      </c>
      <c r="C4" s="14">
        <f>B4*100</f>
        <v/>
      </c>
    </row>
    <row r="5">
      <c r="A5" s="12" t="n">
        <v>42642</v>
      </c>
      <c r="B5" s="13" t="n">
        <v>-0.1354</v>
      </c>
      <c r="C5" s="14">
        <f>B5*100</f>
        <v/>
      </c>
    </row>
    <row r="6">
      <c r="A6" s="12" t="n">
        <v>42643</v>
      </c>
      <c r="B6" s="13" t="n">
        <v>-0.1248</v>
      </c>
      <c r="C6" s="14">
        <f>B6*100</f>
        <v/>
      </c>
    </row>
    <row r="7">
      <c r="A7" s="12" t="n">
        <v>42646</v>
      </c>
      <c r="B7" s="13" t="n">
        <v>-0.1135</v>
      </c>
      <c r="C7" s="14">
        <f>B7*100</f>
        <v/>
      </c>
    </row>
    <row r="8">
      <c r="A8" s="12" t="n">
        <v>42647</v>
      </c>
      <c r="B8" s="13" t="n">
        <v>-0.0916</v>
      </c>
      <c r="C8" s="14">
        <f>B8*100</f>
        <v/>
      </c>
    </row>
    <row r="9">
      <c r="A9" s="12" t="n">
        <v>42648</v>
      </c>
      <c r="B9" s="13" t="n">
        <v>-0.0722</v>
      </c>
      <c r="C9" s="14">
        <f>B9*100</f>
        <v/>
      </c>
    </row>
    <row r="10">
      <c r="A10" s="12" t="n">
        <v>42649</v>
      </c>
      <c r="B10" s="13" t="n">
        <v>-0.0527</v>
      </c>
      <c r="C10" s="14">
        <f>B10*100</f>
        <v/>
      </c>
    </row>
    <row r="11">
      <c r="A11" s="12" t="n">
        <v>42650</v>
      </c>
      <c r="B11" s="13" t="n">
        <v>-0.0558</v>
      </c>
      <c r="C11" s="14">
        <f>B11*100</f>
        <v/>
      </c>
    </row>
    <row r="12">
      <c r="A12" s="12" t="n">
        <v>42654</v>
      </c>
      <c r="B12" s="13" t="n">
        <v>-0.0436</v>
      </c>
      <c r="C12" s="14">
        <f>B12*100</f>
        <v/>
      </c>
    </row>
    <row r="13">
      <c r="A13" s="12" t="n">
        <v>42655</v>
      </c>
      <c r="B13" s="13" t="n">
        <v>-0.0377</v>
      </c>
      <c r="C13" s="14">
        <f>B13*100</f>
        <v/>
      </c>
    </row>
    <row r="14">
      <c r="A14" s="12" t="n">
        <v>42656</v>
      </c>
      <c r="B14" s="13" t="n">
        <v>-0.0449</v>
      </c>
      <c r="C14" s="14">
        <f>B14*100</f>
        <v/>
      </c>
    </row>
    <row r="15">
      <c r="A15" s="12" t="n">
        <v>42657</v>
      </c>
      <c r="B15" s="13" t="n">
        <v>-0.0337</v>
      </c>
      <c r="C15" s="14">
        <f>B15*100</f>
        <v/>
      </c>
    </row>
    <row r="16">
      <c r="A16" s="12" t="n">
        <v>42660</v>
      </c>
      <c r="B16" s="13" t="n">
        <v>-0.0428</v>
      </c>
      <c r="C16" s="14">
        <f>B16*100</f>
        <v/>
      </c>
    </row>
    <row r="17">
      <c r="A17" s="12" t="n">
        <v>42661</v>
      </c>
      <c r="B17" s="13" t="n">
        <v>-0.0524</v>
      </c>
      <c r="C17" s="14">
        <f>B17*100</f>
        <v/>
      </c>
    </row>
    <row r="18">
      <c r="A18" s="12" t="n">
        <v>42662</v>
      </c>
      <c r="B18" s="13" t="n">
        <v>-0.0536</v>
      </c>
      <c r="C18" s="14">
        <f>B18*100</f>
        <v/>
      </c>
    </row>
    <row r="19">
      <c r="A19" s="12" t="n">
        <v>42663</v>
      </c>
      <c r="B19" s="13" t="n">
        <v>-0.0524</v>
      </c>
      <c r="C19" s="14">
        <f>B19*100</f>
        <v/>
      </c>
    </row>
    <row r="20">
      <c r="A20" s="12" t="n">
        <v>42664</v>
      </c>
      <c r="B20" s="13" t="n">
        <v>-0.055</v>
      </c>
      <c r="C20" s="14">
        <f>B20*100</f>
        <v/>
      </c>
    </row>
    <row r="21">
      <c r="A21" s="12" t="n">
        <v>42667</v>
      </c>
      <c r="B21" s="13" t="n">
        <v>-0.0462</v>
      </c>
      <c r="C21" s="14">
        <f>B21*100</f>
        <v/>
      </c>
    </row>
    <row r="22">
      <c r="A22" s="12" t="n">
        <v>42668</v>
      </c>
      <c r="B22" s="13" t="n">
        <v>-0.0464</v>
      </c>
      <c r="C22" s="14">
        <f>B22*100</f>
        <v/>
      </c>
    </row>
    <row r="23">
      <c r="A23" s="12" t="n">
        <v>42669</v>
      </c>
      <c r="B23" s="13" t="n">
        <v>-0.035</v>
      </c>
      <c r="C23" s="14">
        <f>B23*100</f>
        <v/>
      </c>
    </row>
    <row r="24">
      <c r="A24" s="12" t="n">
        <v>42670</v>
      </c>
      <c r="B24" s="13" t="n">
        <v>-0.0102</v>
      </c>
      <c r="C24" s="14">
        <f>B24*100</f>
        <v/>
      </c>
    </row>
    <row r="25">
      <c r="A25" s="12" t="n">
        <v>42671</v>
      </c>
      <c r="B25" s="13" t="n">
        <v>-0.0031</v>
      </c>
      <c r="C25" s="14">
        <f>B25*100</f>
        <v/>
      </c>
    </row>
    <row r="26">
      <c r="A26" s="12" t="n">
        <v>42674</v>
      </c>
      <c r="B26" s="13" t="n">
        <v>-0.009900000000000001</v>
      </c>
      <c r="C26" s="14">
        <f>B26*100</f>
        <v/>
      </c>
    </row>
    <row r="27">
      <c r="A27" s="12" t="n">
        <v>42675</v>
      </c>
      <c r="B27" s="13" t="n">
        <v>-0.017</v>
      </c>
      <c r="C27" s="14">
        <f>B27*100</f>
        <v/>
      </c>
    </row>
    <row r="28">
      <c r="A28" s="12" t="n">
        <v>42676</v>
      </c>
      <c r="B28" s="13" t="n">
        <v>-0.0324</v>
      </c>
      <c r="C28" s="14">
        <f>B28*100</f>
        <v/>
      </c>
    </row>
    <row r="29">
      <c r="A29" s="12" t="n">
        <v>42677</v>
      </c>
      <c r="B29" s="13" t="n">
        <v>-0.0337</v>
      </c>
      <c r="C29" s="14">
        <f>B29*100</f>
        <v/>
      </c>
    </row>
    <row r="30">
      <c r="A30" s="12" t="n">
        <v>42678</v>
      </c>
      <c r="B30" s="13" t="n">
        <v>-0.0468</v>
      </c>
      <c r="C30" s="14">
        <f>B30*100</f>
        <v/>
      </c>
    </row>
    <row r="31">
      <c r="A31" s="12" t="n">
        <v>42681</v>
      </c>
      <c r="B31" s="13" t="n">
        <v>-0.0337</v>
      </c>
      <c r="C31" s="14">
        <f>B31*100</f>
        <v/>
      </c>
    </row>
    <row r="32">
      <c r="A32" s="12" t="n">
        <v>42682</v>
      </c>
      <c r="B32" s="13" t="n">
        <v>-0.0132</v>
      </c>
      <c r="C32" s="14">
        <f>B32*100</f>
        <v/>
      </c>
    </row>
    <row r="33">
      <c r="A33" s="12" t="n">
        <v>42683</v>
      </c>
      <c r="B33" s="13" t="n">
        <v>0.0633</v>
      </c>
      <c r="C33" s="14">
        <f>B33*100</f>
        <v/>
      </c>
    </row>
    <row r="34">
      <c r="A34" s="12" t="n">
        <v>42684</v>
      </c>
      <c r="B34" s="13" t="n">
        <v>0.1131</v>
      </c>
      <c r="C34" s="14">
        <f>B34*100</f>
        <v/>
      </c>
    </row>
    <row r="35">
      <c r="A35" s="12" t="n">
        <v>42688</v>
      </c>
      <c r="B35" s="13" t="n">
        <v>0.1593</v>
      </c>
      <c r="C35" s="14">
        <f>B35*100</f>
        <v/>
      </c>
    </row>
    <row r="36">
      <c r="A36" s="12" t="n">
        <v>42689</v>
      </c>
      <c r="B36" s="13" t="n">
        <v>0.1809</v>
      </c>
      <c r="C36" s="14">
        <f>B36*100</f>
        <v/>
      </c>
    </row>
    <row r="37">
      <c r="A37" s="12" t="n">
        <v>42690</v>
      </c>
      <c r="B37" s="13" t="n">
        <v>0.1884</v>
      </c>
      <c r="C37" s="14">
        <f>B37*100</f>
        <v/>
      </c>
    </row>
    <row r="38">
      <c r="A38" s="12" t="n">
        <v>42691</v>
      </c>
      <c r="B38" s="13" t="n">
        <v>0.2172</v>
      </c>
      <c r="C38" s="14">
        <f>B38*100</f>
        <v/>
      </c>
    </row>
    <row r="39">
      <c r="A39" s="12" t="n">
        <v>42692</v>
      </c>
      <c r="B39" s="13" t="n">
        <v>0.2498</v>
      </c>
      <c r="C39" s="14">
        <f>B39*100</f>
        <v/>
      </c>
    </row>
    <row r="40">
      <c r="A40" s="12" t="n">
        <v>42695</v>
      </c>
      <c r="B40" s="13" t="n">
        <v>0.2551</v>
      </c>
      <c r="C40" s="14">
        <f>B40*100</f>
        <v/>
      </c>
    </row>
    <row r="41">
      <c r="A41" s="12" t="n">
        <v>42696</v>
      </c>
      <c r="B41" s="13" t="n">
        <v>0.2507</v>
      </c>
      <c r="C41" s="14">
        <f>B41*100</f>
        <v/>
      </c>
    </row>
    <row r="42">
      <c r="A42" s="12" t="n">
        <v>42697</v>
      </c>
      <c r="B42" s="13" t="n">
        <v>0.2686</v>
      </c>
      <c r="C42" s="14">
        <f>B42*100</f>
        <v/>
      </c>
    </row>
    <row r="43">
      <c r="A43" s="12" t="n">
        <v>42699</v>
      </c>
      <c r="B43" s="13" t="n">
        <v>0.2746</v>
      </c>
      <c r="C43" s="14">
        <f>B43*100</f>
        <v/>
      </c>
    </row>
    <row r="44">
      <c r="A44" s="12" t="n">
        <v>42702</v>
      </c>
      <c r="B44" s="13" t="n">
        <v>0.2618</v>
      </c>
      <c r="C44" s="14">
        <f>B44*100</f>
        <v/>
      </c>
    </row>
    <row r="45">
      <c r="A45" s="12" t="n">
        <v>42703</v>
      </c>
      <c r="B45" s="13" t="n">
        <v>0.2523</v>
      </c>
      <c r="C45" s="14">
        <f>B45*100</f>
        <v/>
      </c>
    </row>
    <row r="46">
      <c r="A46" s="12" t="n">
        <v>42704</v>
      </c>
      <c r="B46" s="13" t="n">
        <v>0.2725</v>
      </c>
      <c r="C46" s="14">
        <f>B46*100</f>
        <v/>
      </c>
    </row>
    <row r="47">
      <c r="A47" s="12" t="n">
        <v>42705</v>
      </c>
      <c r="B47" s="13" t="n">
        <v>0.3092</v>
      </c>
      <c r="C47" s="14">
        <f>B47*100</f>
        <v/>
      </c>
    </row>
    <row r="48">
      <c r="A48" s="12" t="n">
        <v>42706</v>
      </c>
      <c r="B48" s="13" t="n">
        <v>0.2985</v>
      </c>
      <c r="C48" s="14">
        <f>B48*100</f>
        <v/>
      </c>
    </row>
    <row r="49">
      <c r="A49" s="12" t="n">
        <v>42709</v>
      </c>
      <c r="B49" s="13" t="n">
        <v>0.2932</v>
      </c>
      <c r="C49" s="14">
        <f>B49*100</f>
        <v/>
      </c>
    </row>
    <row r="50">
      <c r="A50" s="12" t="n">
        <v>42710</v>
      </c>
      <c r="B50" s="13" t="n">
        <v>0.2903</v>
      </c>
      <c r="C50" s="14">
        <f>B50*100</f>
        <v/>
      </c>
    </row>
    <row r="51">
      <c r="A51" s="12" t="n">
        <v>42711</v>
      </c>
      <c r="B51" s="13" t="n">
        <v>0.2707</v>
      </c>
      <c r="C51" s="14">
        <f>B51*100</f>
        <v/>
      </c>
    </row>
    <row r="52">
      <c r="A52" s="12" t="n">
        <v>42712</v>
      </c>
      <c r="B52" s="13" t="n">
        <v>0.285</v>
      </c>
      <c r="C52" s="14">
        <f>B52*100</f>
        <v/>
      </c>
    </row>
    <row r="53">
      <c r="A53" s="12" t="n">
        <v>42713</v>
      </c>
      <c r="B53" s="13" t="n">
        <v>0.3122</v>
      </c>
      <c r="C53" s="14">
        <f>B53*100</f>
        <v/>
      </c>
    </row>
    <row r="54">
      <c r="A54" s="12" t="n">
        <v>42716</v>
      </c>
      <c r="B54" s="13" t="n">
        <v>0.3211</v>
      </c>
      <c r="C54" s="14">
        <f>B54*100</f>
        <v/>
      </c>
    </row>
    <row r="55">
      <c r="A55" s="12" t="n">
        <v>42717</v>
      </c>
      <c r="B55" s="13" t="n">
        <v>0.3239</v>
      </c>
      <c r="C55" s="14">
        <f>B55*100</f>
        <v/>
      </c>
    </row>
    <row r="56">
      <c r="A56" s="12" t="n">
        <v>42718</v>
      </c>
      <c r="B56" s="13" t="n">
        <v>0.3565</v>
      </c>
      <c r="C56" s="14">
        <f>B56*100</f>
        <v/>
      </c>
    </row>
    <row r="57">
      <c r="A57" s="12" t="n">
        <v>42719</v>
      </c>
      <c r="B57" s="13" t="n">
        <v>0.3919</v>
      </c>
      <c r="C57" s="14">
        <f>B57*100</f>
        <v/>
      </c>
    </row>
    <row r="58">
      <c r="A58" s="12" t="n">
        <v>42720</v>
      </c>
      <c r="B58" s="13" t="n">
        <v>0.3994</v>
      </c>
      <c r="C58" s="14">
        <f>B58*100</f>
        <v/>
      </c>
    </row>
    <row r="59">
      <c r="A59" s="12" t="n">
        <v>42723</v>
      </c>
      <c r="B59" s="13" t="n">
        <v>0.3796</v>
      </c>
      <c r="C59" s="14">
        <f>B59*100</f>
        <v/>
      </c>
    </row>
    <row r="60">
      <c r="A60" s="12" t="n">
        <v>42724</v>
      </c>
      <c r="B60" s="13" t="n">
        <v>0.3845</v>
      </c>
      <c r="C60" s="14">
        <f>B60*100</f>
        <v/>
      </c>
    </row>
    <row r="61">
      <c r="A61" s="12" t="n">
        <v>42725</v>
      </c>
      <c r="B61" s="13" t="n">
        <v>0.3783</v>
      </c>
      <c r="C61" s="14">
        <f>B61*100</f>
        <v/>
      </c>
    </row>
    <row r="62">
      <c r="A62" s="12" t="n">
        <v>42726</v>
      </c>
      <c r="B62" s="13" t="n">
        <v>0.3802</v>
      </c>
      <c r="C62" s="14">
        <f>B62*100</f>
        <v/>
      </c>
    </row>
    <row r="63">
      <c r="A63" s="12" t="n">
        <v>42727</v>
      </c>
      <c r="B63" s="13" t="n">
        <v>0.3791</v>
      </c>
      <c r="C63" s="14">
        <f>B63*100</f>
        <v/>
      </c>
    </row>
    <row r="64">
      <c r="A64" s="12" t="n">
        <v>42731</v>
      </c>
      <c r="B64" s="13" t="n">
        <v>0.3878</v>
      </c>
      <c r="C64" s="14">
        <f>B64*100</f>
        <v/>
      </c>
    </row>
    <row r="65">
      <c r="A65" s="12" t="n">
        <v>42732</v>
      </c>
      <c r="B65" s="13" t="n">
        <v>0.3689</v>
      </c>
      <c r="C65" s="14">
        <f>B65*100</f>
        <v/>
      </c>
    </row>
    <row r="66">
      <c r="A66" s="12" t="n">
        <v>42733</v>
      </c>
      <c r="B66" s="13" t="n">
        <v>0.3509</v>
      </c>
      <c r="C66" s="14">
        <f>B66*100</f>
        <v/>
      </c>
    </row>
    <row r="67">
      <c r="A67" s="12" t="n">
        <v>42734</v>
      </c>
      <c r="B67" s="13" t="n">
        <v>0.3322</v>
      </c>
      <c r="C67" s="14">
        <f>B67*100</f>
        <v/>
      </c>
    </row>
    <row r="68">
      <c r="A68" s="12" t="n">
        <v>42738</v>
      </c>
      <c r="B68" s="13" t="n">
        <v>0.3235</v>
      </c>
      <c r="C68" s="14">
        <f>B68*100</f>
        <v/>
      </c>
    </row>
    <row r="69">
      <c r="A69" s="12" t="n">
        <v>42739</v>
      </c>
      <c r="B69" s="13" t="n">
        <v>0.3224</v>
      </c>
      <c r="C69" s="14">
        <f>B69*100</f>
        <v/>
      </c>
    </row>
    <row r="70">
      <c r="A70" s="12" t="n">
        <v>42740</v>
      </c>
      <c r="B70" s="13" t="n">
        <v>0.2894</v>
      </c>
      <c r="C70" s="14">
        <f>B70*100</f>
        <v/>
      </c>
    </row>
    <row r="71">
      <c r="A71" s="12" t="n">
        <v>42741</v>
      </c>
      <c r="B71" s="13" t="n">
        <v>0.3016</v>
      </c>
      <c r="C71" s="14">
        <f>B71*100</f>
        <v/>
      </c>
    </row>
    <row r="72">
      <c r="A72" s="12" t="n">
        <v>42744</v>
      </c>
      <c r="B72" s="13" t="n">
        <v>0.2884</v>
      </c>
      <c r="C72" s="14">
        <f>B72*100</f>
        <v/>
      </c>
    </row>
    <row r="73">
      <c r="A73" s="12" t="n">
        <v>42745</v>
      </c>
      <c r="B73" s="13" t="n">
        <v>0.2851</v>
      </c>
      <c r="C73" s="14">
        <f>B73*100</f>
        <v/>
      </c>
    </row>
    <row r="74">
      <c r="A74" s="12" t="n">
        <v>42746</v>
      </c>
      <c r="B74" s="13" t="n">
        <v>0.2815</v>
      </c>
      <c r="C74" s="14">
        <f>B74*100</f>
        <v/>
      </c>
    </row>
    <row r="75">
      <c r="A75" s="12" t="n">
        <v>42747</v>
      </c>
      <c r="B75" s="13" t="n">
        <v>0.2746</v>
      </c>
      <c r="C75" s="14">
        <f>B75*100</f>
        <v/>
      </c>
    </row>
    <row r="76">
      <c r="A76" s="12" t="n">
        <v>42748</v>
      </c>
      <c r="B76" s="13" t="n">
        <v>0.2857</v>
      </c>
      <c r="C76" s="14">
        <f>B76*100</f>
        <v/>
      </c>
    </row>
    <row r="77">
      <c r="A77" s="12" t="n">
        <v>42752</v>
      </c>
      <c r="B77" s="13" t="n">
        <v>0.2593</v>
      </c>
      <c r="C77" s="14">
        <f>B77*100</f>
        <v/>
      </c>
    </row>
    <row r="78">
      <c r="A78" s="12" t="n">
        <v>42753</v>
      </c>
      <c r="B78" s="13" t="n">
        <v>0.2903</v>
      </c>
      <c r="C78" s="14">
        <f>B78*100</f>
        <v/>
      </c>
    </row>
    <row r="79">
      <c r="A79" s="12" t="n">
        <v>42754</v>
      </c>
      <c r="B79" s="13" t="n">
        <v>0.3172</v>
      </c>
      <c r="C79" s="14">
        <f>B79*100</f>
        <v/>
      </c>
    </row>
    <row r="80">
      <c r="A80" s="12" t="n">
        <v>42755</v>
      </c>
      <c r="B80" s="13" t="n">
        <v>0.3241</v>
      </c>
      <c r="C80" s="14">
        <f>B80*100</f>
        <v/>
      </c>
    </row>
    <row r="81">
      <c r="A81" s="12" t="n">
        <v>42758</v>
      </c>
      <c r="B81" s="13" t="n">
        <v>0.2972</v>
      </c>
      <c r="C81" s="14">
        <f>B81*100</f>
        <v/>
      </c>
    </row>
    <row r="82">
      <c r="A82" s="12" t="n">
        <v>42759</v>
      </c>
      <c r="B82" s="13" t="n">
        <v>0.3174</v>
      </c>
      <c r="C82" s="14">
        <f>B82*100</f>
        <v/>
      </c>
    </row>
    <row r="83">
      <c r="A83" s="12" t="n">
        <v>42760</v>
      </c>
      <c r="B83" s="13" t="n">
        <v>0.3449</v>
      </c>
      <c r="C83" s="14">
        <f>B83*100</f>
        <v/>
      </c>
    </row>
    <row r="84">
      <c r="A84" s="12" t="n">
        <v>42761</v>
      </c>
      <c r="B84" s="13" t="n">
        <v>0.3441</v>
      </c>
      <c r="C84" s="14">
        <f>B84*100</f>
        <v/>
      </c>
    </row>
    <row r="85">
      <c r="A85" s="12" t="n">
        <v>42762</v>
      </c>
      <c r="B85" s="13" t="n">
        <v>0.3368</v>
      </c>
      <c r="C85" s="14">
        <f>B85*100</f>
        <v/>
      </c>
    </row>
    <row r="86">
      <c r="A86" s="12" t="n">
        <v>42765</v>
      </c>
      <c r="B86" s="13" t="n">
        <v>0.334</v>
      </c>
      <c r="C86" s="14">
        <f>B86*100</f>
        <v/>
      </c>
    </row>
    <row r="87">
      <c r="A87" s="12" t="n">
        <v>42766</v>
      </c>
      <c r="B87" s="13" t="n">
        <v>0.317</v>
      </c>
      <c r="C87" s="14">
        <f>B87*100</f>
        <v/>
      </c>
    </row>
    <row r="88">
      <c r="A88" s="12" t="n">
        <v>42767</v>
      </c>
      <c r="B88" s="13" t="n">
        <v>0.3243</v>
      </c>
      <c r="C88" s="14">
        <f>B88*100</f>
        <v/>
      </c>
    </row>
    <row r="89">
      <c r="A89" s="12" t="n">
        <v>42768</v>
      </c>
      <c r="B89" s="13" t="n">
        <v>0.3217</v>
      </c>
      <c r="C89" s="14">
        <f>B89*100</f>
        <v/>
      </c>
    </row>
    <row r="90">
      <c r="A90" s="12" t="n">
        <v>42769</v>
      </c>
      <c r="B90" s="13" t="n">
        <v>0.3256</v>
      </c>
      <c r="C90" s="14">
        <f>B90*100</f>
        <v/>
      </c>
    </row>
    <row r="91">
      <c r="A91" s="12" t="n">
        <v>42772</v>
      </c>
      <c r="B91" s="13" t="n">
        <v>0.2965</v>
      </c>
      <c r="C91" s="14">
        <f>B91*100</f>
        <v/>
      </c>
    </row>
    <row r="92">
      <c r="A92" s="12" t="n">
        <v>42773</v>
      </c>
      <c r="B92" s="13" t="n">
        <v>0.2801</v>
      </c>
      <c r="C92" s="14">
        <f>B92*100</f>
        <v/>
      </c>
    </row>
    <row r="93">
      <c r="A93" s="12" t="n">
        <v>42774</v>
      </c>
      <c r="B93" s="13" t="n">
        <v>0.2597</v>
      </c>
      <c r="C93" s="14">
        <f>B93*100</f>
        <v/>
      </c>
    </row>
    <row r="94">
      <c r="A94" s="12" t="n">
        <v>42775</v>
      </c>
      <c r="B94" s="13" t="n">
        <v>0.2791</v>
      </c>
      <c r="C94" s="14">
        <f>B94*100</f>
        <v/>
      </c>
    </row>
    <row r="95">
      <c r="A95" s="12" t="n">
        <v>42776</v>
      </c>
      <c r="B95" s="13" t="n">
        <v>0.2875</v>
      </c>
      <c r="C95" s="14">
        <f>B95*100</f>
        <v/>
      </c>
    </row>
    <row r="96">
      <c r="A96" s="12" t="n">
        <v>42779</v>
      </c>
      <c r="B96" s="13" t="n">
        <v>0.2988</v>
      </c>
      <c r="C96" s="14">
        <f>B96*100</f>
        <v/>
      </c>
    </row>
    <row r="97">
      <c r="A97" s="12" t="n">
        <v>42780</v>
      </c>
      <c r="B97" s="13" t="n">
        <v>0.3214</v>
      </c>
      <c r="C97" s="14">
        <f>B97*100</f>
        <v/>
      </c>
    </row>
    <row r="98">
      <c r="A98" s="12" t="n">
        <v>42781</v>
      </c>
      <c r="B98" s="13" t="n">
        <v>0.3403</v>
      </c>
      <c r="C98" s="14">
        <f>B98*100</f>
        <v/>
      </c>
    </row>
    <row r="99">
      <c r="A99" s="12" t="n">
        <v>42782</v>
      </c>
      <c r="B99" s="13" t="n">
        <v>0.3214</v>
      </c>
      <c r="C99" s="14">
        <f>B99*100</f>
        <v/>
      </c>
    </row>
    <row r="100">
      <c r="A100" s="12" t="n">
        <v>42783</v>
      </c>
      <c r="B100" s="13" t="n">
        <v>0.3056</v>
      </c>
      <c r="C100" s="14">
        <f>B100*100</f>
        <v/>
      </c>
    </row>
    <row r="101">
      <c r="A101" s="12" t="n">
        <v>42787</v>
      </c>
      <c r="B101" s="13" t="n">
        <v>0.3014</v>
      </c>
      <c r="C101" s="14">
        <f>B101*100</f>
        <v/>
      </c>
    </row>
    <row r="102">
      <c r="A102" s="12" t="n">
        <v>42788</v>
      </c>
      <c r="B102" s="13" t="n">
        <v>0.297</v>
      </c>
      <c r="C102" s="14">
        <f>B102*100</f>
        <v/>
      </c>
    </row>
    <row r="103">
      <c r="A103" s="12" t="n">
        <v>42789</v>
      </c>
      <c r="B103" s="13" t="n">
        <v>0.2805</v>
      </c>
      <c r="C103" s="14">
        <f>B103*100</f>
        <v/>
      </c>
    </row>
    <row r="104">
      <c r="A104" s="12" t="n">
        <v>42790</v>
      </c>
      <c r="B104" s="13" t="n">
        <v>0.2497</v>
      </c>
      <c r="C104" s="14">
        <f>B104*100</f>
        <v/>
      </c>
    </row>
    <row r="105">
      <c r="A105" s="12" t="n">
        <v>42793</v>
      </c>
      <c r="B105" s="13" t="n">
        <v>0.2654</v>
      </c>
      <c r="C105" s="14">
        <f>B105*100</f>
        <v/>
      </c>
    </row>
    <row r="106">
      <c r="A106" s="12" t="n">
        <v>42794</v>
      </c>
      <c r="B106" s="13" t="n">
        <v>0.2697</v>
      </c>
      <c r="C106" s="14">
        <f>B106*100</f>
        <v/>
      </c>
    </row>
    <row r="107">
      <c r="A107" s="12" t="n">
        <v>42795</v>
      </c>
      <c r="B107" s="13" t="n">
        <v>0.3007</v>
      </c>
      <c r="C107" s="14">
        <f>B107*100</f>
        <v/>
      </c>
    </row>
    <row r="108">
      <c r="A108" s="12" t="n">
        <v>42796</v>
      </c>
      <c r="B108" s="13" t="n">
        <v>0.3155</v>
      </c>
      <c r="C108" s="14">
        <f>B108*100</f>
        <v/>
      </c>
    </row>
    <row r="109">
      <c r="A109" s="12" t="n">
        <v>42797</v>
      </c>
      <c r="B109" s="13" t="n">
        <v>0.31</v>
      </c>
      <c r="C109" s="14">
        <f>B109*100</f>
        <v/>
      </c>
    </row>
    <row r="110">
      <c r="A110" s="12" t="n">
        <v>42800</v>
      </c>
      <c r="B110" s="13" t="n">
        <v>0.306</v>
      </c>
      <c r="C110" s="14">
        <f>B110*100</f>
        <v/>
      </c>
    </row>
    <row r="111">
      <c r="A111" s="12" t="n">
        <v>42801</v>
      </c>
      <c r="B111" s="13" t="n">
        <v>0.302</v>
      </c>
      <c r="C111" s="14">
        <f>B111*100</f>
        <v/>
      </c>
    </row>
    <row r="112">
      <c r="A112" s="12" t="n">
        <v>42802</v>
      </c>
      <c r="B112" s="13" t="n">
        <v>0.3253</v>
      </c>
      <c r="C112" s="14">
        <f>B112*100</f>
        <v/>
      </c>
    </row>
    <row r="113">
      <c r="A113" s="12" t="n">
        <v>42803</v>
      </c>
      <c r="B113" s="13" t="n">
        <v>0.347</v>
      </c>
      <c r="C113" s="14">
        <f>B113*100</f>
        <v/>
      </c>
    </row>
    <row r="114">
      <c r="A114" s="12" t="n">
        <v>42804</v>
      </c>
      <c r="B114" s="13" t="n">
        <v>0.3436</v>
      </c>
      <c r="C114" s="14">
        <f>B114*100</f>
        <v/>
      </c>
    </row>
    <row r="115">
      <c r="A115" s="12" t="n">
        <v>42807</v>
      </c>
      <c r="B115" s="13" t="n">
        <v>0.3511</v>
      </c>
      <c r="C115" s="14">
        <f>B115*100</f>
        <v/>
      </c>
    </row>
    <row r="116">
      <c r="A116" s="12" t="n">
        <v>42808</v>
      </c>
      <c r="B116" s="13" t="n">
        <v>0.3457</v>
      </c>
      <c r="C116" s="14">
        <f>B116*100</f>
        <v/>
      </c>
    </row>
    <row r="117">
      <c r="A117" s="12" t="n">
        <v>42809</v>
      </c>
      <c r="B117" s="13" t="n">
        <v>0.3074</v>
      </c>
      <c r="C117" s="14">
        <f>B117*100</f>
        <v/>
      </c>
    </row>
    <row r="118">
      <c r="A118" s="12" t="n">
        <v>42810</v>
      </c>
      <c r="B118" s="13" t="n">
        <v>0.3083</v>
      </c>
      <c r="C118" s="14">
        <f>B118*100</f>
        <v/>
      </c>
    </row>
    <row r="119">
      <c r="A119" s="12" t="n">
        <v>42811</v>
      </c>
      <c r="B119" s="13" t="n">
        <v>0.2997</v>
      </c>
      <c r="C119" s="14">
        <f>B119*100</f>
        <v/>
      </c>
    </row>
    <row r="120">
      <c r="A120" s="12" t="n">
        <v>42814</v>
      </c>
      <c r="B120" s="13" t="n">
        <v>0.2822</v>
      </c>
      <c r="C120" s="14">
        <f>B120*100</f>
        <v/>
      </c>
    </row>
    <row r="121">
      <c r="A121" s="12" t="n">
        <v>42815</v>
      </c>
      <c r="B121" s="13" t="n">
        <v>0.2592</v>
      </c>
      <c r="C121" s="14">
        <f>B121*100</f>
        <v/>
      </c>
    </row>
    <row r="122">
      <c r="A122" s="12" t="n">
        <v>42816</v>
      </c>
      <c r="B122" s="13" t="n">
        <v>0.2442</v>
      </c>
      <c r="C122" s="14">
        <f>B122*100</f>
        <v/>
      </c>
    </row>
    <row r="123">
      <c r="A123" s="12" t="n">
        <v>42817</v>
      </c>
      <c r="B123" s="13" t="n">
        <v>0.242</v>
      </c>
      <c r="C123" s="14">
        <f>B123*100</f>
        <v/>
      </c>
    </row>
    <row r="124">
      <c r="A124" s="12" t="n">
        <v>42818</v>
      </c>
      <c r="B124" s="13" t="n">
        <v>0.2363</v>
      </c>
      <c r="C124" s="14">
        <f>B124*100</f>
        <v/>
      </c>
    </row>
    <row r="125">
      <c r="A125" s="12" t="n">
        <v>42821</v>
      </c>
      <c r="B125" s="13" t="n">
        <v>0.2272</v>
      </c>
      <c r="C125" s="14">
        <f>B125*100</f>
        <v/>
      </c>
    </row>
    <row r="126">
      <c r="A126" s="12" t="n">
        <v>42822</v>
      </c>
      <c r="B126" s="13" t="n">
        <v>0.2411</v>
      </c>
      <c r="C126" s="14">
        <f>B126*100</f>
        <v/>
      </c>
    </row>
    <row r="127">
      <c r="A127" s="12" t="n">
        <v>42823</v>
      </c>
      <c r="B127" s="13" t="n">
        <v>0.2286</v>
      </c>
      <c r="C127" s="14">
        <f>B127*100</f>
        <v/>
      </c>
    </row>
    <row r="128">
      <c r="A128" s="12" t="n">
        <v>42824</v>
      </c>
      <c r="B128" s="13" t="n">
        <v>0.2391</v>
      </c>
      <c r="C128" s="14">
        <f>B128*100</f>
        <v/>
      </c>
    </row>
    <row r="129">
      <c r="A129" s="12" t="n">
        <v>42825</v>
      </c>
      <c r="B129" s="13" t="n">
        <v>0.2325</v>
      </c>
      <c r="C129" s="14">
        <f>B129*100</f>
        <v/>
      </c>
    </row>
    <row r="130">
      <c r="A130" s="12" t="n">
        <v>42828</v>
      </c>
      <c r="B130" s="13" t="n">
        <v>0.2076</v>
      </c>
      <c r="C130" s="14">
        <f>B130*100</f>
        <v/>
      </c>
    </row>
    <row r="131">
      <c r="A131" s="12" t="n">
        <v>42829</v>
      </c>
      <c r="B131" s="13" t="n">
        <v>0.2025</v>
      </c>
      <c r="C131" s="14">
        <f>B131*100</f>
        <v/>
      </c>
    </row>
    <row r="132">
      <c r="A132" s="12" t="n">
        <v>42830</v>
      </c>
      <c r="B132" s="13" t="n">
        <v>0.1889</v>
      </c>
      <c r="C132" s="14">
        <f>B132*100</f>
        <v/>
      </c>
    </row>
    <row r="133">
      <c r="A133" s="12" t="n">
        <v>42831</v>
      </c>
      <c r="B133" s="13" t="n">
        <v>0.1882</v>
      </c>
      <c r="C133" s="14">
        <f>B133*100</f>
        <v/>
      </c>
    </row>
    <row r="134">
      <c r="A134" s="12" t="n">
        <v>42832</v>
      </c>
      <c r="B134" s="13" t="n">
        <v>0.2047</v>
      </c>
      <c r="C134" s="14">
        <f>B134*100</f>
        <v/>
      </c>
    </row>
    <row r="135">
      <c r="A135" s="12" t="n">
        <v>42835</v>
      </c>
      <c r="B135" s="13" t="n">
        <v>0.2</v>
      </c>
      <c r="C135" s="14">
        <f>B135*100</f>
        <v/>
      </c>
    </row>
    <row r="136">
      <c r="A136" s="12" t="n">
        <v>42836</v>
      </c>
      <c r="B136" s="13" t="n">
        <v>0.1728</v>
      </c>
      <c r="C136" s="14">
        <f>B136*100</f>
        <v/>
      </c>
    </row>
    <row r="137">
      <c r="A137" s="12" t="n">
        <v>42837</v>
      </c>
      <c r="B137" s="13" t="n">
        <v>0.1573</v>
      </c>
      <c r="C137" s="14">
        <f>B137*100</f>
        <v/>
      </c>
    </row>
    <row r="138">
      <c r="A138" s="12" t="n">
        <v>42838</v>
      </c>
      <c r="B138" s="13" t="n">
        <v>0.1348</v>
      </c>
      <c r="C138" s="14">
        <f>B138*100</f>
        <v/>
      </c>
    </row>
    <row r="139">
      <c r="A139" s="12" t="n">
        <v>42842</v>
      </c>
      <c r="B139" s="13" t="n">
        <v>0.1359</v>
      </c>
      <c r="C139" s="14">
        <f>B139*100</f>
        <v/>
      </c>
    </row>
    <row r="140">
      <c r="A140" s="12" t="n">
        <v>42843</v>
      </c>
      <c r="B140" s="13" t="n">
        <v>0.1035</v>
      </c>
      <c r="C140" s="14">
        <f>B140*100</f>
        <v/>
      </c>
    </row>
    <row r="141">
      <c r="A141" s="12" t="n">
        <v>42844</v>
      </c>
      <c r="B141" s="13" t="n">
        <v>0.1086</v>
      </c>
      <c r="C141" s="14">
        <f>B141*100</f>
        <v/>
      </c>
    </row>
    <row r="142">
      <c r="A142" s="12" t="n">
        <v>42845</v>
      </c>
      <c r="B142" s="13" t="n">
        <v>0.1237</v>
      </c>
      <c r="C142" s="14">
        <f>B142*100</f>
        <v/>
      </c>
    </row>
    <row r="143">
      <c r="A143" s="12" t="n">
        <v>42846</v>
      </c>
      <c r="B143" s="13" t="n">
        <v>0.125</v>
      </c>
      <c r="C143" s="14">
        <f>B143*100</f>
        <v/>
      </c>
    </row>
    <row r="144">
      <c r="A144" s="12" t="n">
        <v>42849</v>
      </c>
      <c r="B144" s="13" t="n">
        <v>0.1412</v>
      </c>
      <c r="C144" s="14">
        <f>B144*100</f>
        <v/>
      </c>
    </row>
    <row r="145">
      <c r="A145" s="12" t="n">
        <v>42850</v>
      </c>
      <c r="B145" s="13" t="n">
        <v>0.1682</v>
      </c>
      <c r="C145" s="14">
        <f>B145*100</f>
        <v/>
      </c>
    </row>
    <row r="146">
      <c r="A146" s="12" t="n">
        <v>42851</v>
      </c>
      <c r="B146" s="13" t="n">
        <v>0.1623</v>
      </c>
      <c r="C146" s="14">
        <f>B146*100</f>
        <v/>
      </c>
    </row>
    <row r="147">
      <c r="A147" s="12" t="n">
        <v>42852</v>
      </c>
      <c r="B147" s="13" t="n">
        <v>0.1534</v>
      </c>
      <c r="C147" s="14">
        <f>B147*100</f>
        <v/>
      </c>
    </row>
    <row r="148">
      <c r="A148" s="12" t="n">
        <v>42853</v>
      </c>
      <c r="B148" s="13" t="n">
        <v>0.1504</v>
      </c>
      <c r="C148" s="14">
        <f>B148*100</f>
        <v/>
      </c>
    </row>
    <row r="149">
      <c r="A149" s="12" t="n">
        <v>42856</v>
      </c>
      <c r="B149" s="13" t="n">
        <v>0.1599</v>
      </c>
      <c r="C149" s="14">
        <f>B149*100</f>
        <v/>
      </c>
    </row>
    <row r="150">
      <c r="A150" s="12" t="n">
        <v>42857</v>
      </c>
      <c r="B150" s="13" t="n">
        <v>0.1488</v>
      </c>
      <c r="C150" s="14">
        <f>B150*100</f>
        <v/>
      </c>
    </row>
    <row r="151">
      <c r="A151" s="12" t="n">
        <v>42858</v>
      </c>
      <c r="B151" s="13" t="n">
        <v>0.1616</v>
      </c>
      <c r="C151" s="14">
        <f>B151*100</f>
        <v/>
      </c>
    </row>
    <row r="152">
      <c r="A152" s="12" t="n">
        <v>42859</v>
      </c>
      <c r="B152" s="13" t="n">
        <v>0.1751</v>
      </c>
      <c r="C152" s="14">
        <f>B152*100</f>
        <v/>
      </c>
    </row>
    <row r="153">
      <c r="A153" s="12" t="n">
        <v>42860</v>
      </c>
      <c r="B153" s="13" t="n">
        <v>0.1746</v>
      </c>
      <c r="C153" s="14">
        <f>B153*100</f>
        <v/>
      </c>
    </row>
    <row r="154">
      <c r="A154" s="12" t="n">
        <v>42863</v>
      </c>
      <c r="B154" s="13" t="n">
        <v>0.1833</v>
      </c>
      <c r="C154" s="14">
        <f>B154*100</f>
        <v/>
      </c>
    </row>
    <row r="155">
      <c r="A155" s="12" t="n">
        <v>42864</v>
      </c>
      <c r="B155" s="13" t="n">
        <v>0.1954</v>
      </c>
      <c r="C155" s="14">
        <f>B155*100</f>
        <v/>
      </c>
    </row>
    <row r="156">
      <c r="A156" s="12" t="n">
        <v>42865</v>
      </c>
      <c r="B156" s="13" t="n">
        <v>0.199</v>
      </c>
      <c r="C156" s="14">
        <f>B156*100</f>
        <v/>
      </c>
    </row>
    <row r="157">
      <c r="A157" s="12" t="n">
        <v>42866</v>
      </c>
      <c r="B157" s="13" t="n">
        <v>0.1944</v>
      </c>
      <c r="C157" s="14">
        <f>B157*100</f>
        <v/>
      </c>
    </row>
    <row r="158">
      <c r="A158" s="12" t="n">
        <v>42867</v>
      </c>
      <c r="B158" s="13" t="n">
        <v>0.1671</v>
      </c>
      <c r="C158" s="14">
        <f>B158*100</f>
        <v/>
      </c>
    </row>
    <row r="159">
      <c r="A159" s="12" t="n">
        <v>42870</v>
      </c>
      <c r="B159" s="13" t="n">
        <v>0.164</v>
      </c>
      <c r="C159" s="14">
        <f>B159*100</f>
        <v/>
      </c>
    </row>
    <row r="160">
      <c r="A160" s="12" t="n">
        <v>42871</v>
      </c>
      <c r="B160" s="13" t="n">
        <v>0.1571</v>
      </c>
      <c r="C160" s="14">
        <f>B160*100</f>
        <v/>
      </c>
    </row>
    <row r="161">
      <c r="A161" s="12" t="n">
        <v>42872</v>
      </c>
      <c r="B161" s="13" t="n">
        <v>0.1168</v>
      </c>
      <c r="C161" s="14">
        <f>B161*100</f>
        <v/>
      </c>
    </row>
    <row r="162">
      <c r="A162" s="12" t="n">
        <v>42873</v>
      </c>
      <c r="B162" s="13" t="n">
        <v>0.1088</v>
      </c>
      <c r="C162" s="14">
        <f>B162*100</f>
        <v/>
      </c>
    </row>
    <row r="163">
      <c r="A163" s="12" t="n">
        <v>42874</v>
      </c>
      <c r="B163" s="13" t="n">
        <v>0.1075</v>
      </c>
      <c r="C163" s="14">
        <f>B163*100</f>
        <v/>
      </c>
    </row>
    <row r="164">
      <c r="A164" s="12" t="n">
        <v>42877</v>
      </c>
      <c r="B164" s="13" t="n">
        <v>0.1088</v>
      </c>
      <c r="C164" s="14">
        <f>B164*100</f>
        <v/>
      </c>
    </row>
    <row r="165">
      <c r="A165" s="12" t="n">
        <v>42878</v>
      </c>
      <c r="B165" s="13" t="n">
        <v>0.1225</v>
      </c>
      <c r="C165" s="14">
        <f>B165*100</f>
        <v/>
      </c>
    </row>
    <row r="166">
      <c r="A166" s="12" t="n">
        <v>42879</v>
      </c>
      <c r="B166" s="13" t="n">
        <v>0.1122</v>
      </c>
      <c r="C166" s="14">
        <f>B166*100</f>
        <v/>
      </c>
    </row>
    <row r="167">
      <c r="A167" s="12" t="n">
        <v>42880</v>
      </c>
      <c r="B167" s="13" t="n">
        <v>0.1055</v>
      </c>
      <c r="C167" s="14">
        <f>B167*100</f>
        <v/>
      </c>
    </row>
    <row r="168">
      <c r="A168" s="12" t="n">
        <v>42881</v>
      </c>
      <c r="B168" s="13" t="n">
        <v>0.104</v>
      </c>
      <c r="C168" s="14">
        <f>B168*100</f>
        <v/>
      </c>
    </row>
    <row r="169">
      <c r="A169" s="12" t="n">
        <v>42885</v>
      </c>
      <c r="B169" s="13" t="n">
        <v>0.08939999999999999</v>
      </c>
      <c r="C169" s="14">
        <f>B169*100</f>
        <v/>
      </c>
    </row>
    <row r="170">
      <c r="A170" s="12" t="n">
        <v>42886</v>
      </c>
      <c r="B170" s="13" t="n">
        <v>0.0803</v>
      </c>
      <c r="C170" s="14">
        <f>B170*100</f>
        <v/>
      </c>
    </row>
    <row r="171">
      <c r="A171" s="12" t="n">
        <v>42887</v>
      </c>
      <c r="B171" s="13" t="n">
        <v>0.0791</v>
      </c>
      <c r="C171" s="14">
        <f>B171*100</f>
        <v/>
      </c>
    </row>
    <row r="172">
      <c r="A172" s="12" t="n">
        <v>42888</v>
      </c>
      <c r="B172" s="13" t="n">
        <v>0.0558</v>
      </c>
      <c r="C172" s="14">
        <f>B172*100</f>
        <v/>
      </c>
    </row>
    <row r="173">
      <c r="A173" s="12" t="n">
        <v>42891</v>
      </c>
      <c r="B173" s="13" t="n">
        <v>0.0599</v>
      </c>
      <c r="C173" s="14">
        <f>B173*100</f>
        <v/>
      </c>
    </row>
    <row r="174">
      <c r="A174" s="12" t="n">
        <v>42892</v>
      </c>
      <c r="B174" s="13" t="n">
        <v>0.0449</v>
      </c>
      <c r="C174" s="14">
        <f>B174*100</f>
        <v/>
      </c>
    </row>
    <row r="175">
      <c r="A175" s="12" t="n">
        <v>42893</v>
      </c>
      <c r="B175" s="13" t="n">
        <v>0.0512</v>
      </c>
      <c r="C175" s="14">
        <f>B175*100</f>
        <v/>
      </c>
    </row>
    <row r="176">
      <c r="A176" s="12" t="n">
        <v>42894</v>
      </c>
      <c r="B176" s="13" t="n">
        <v>0.0555</v>
      </c>
      <c r="C176" s="14">
        <f>B176*100</f>
        <v/>
      </c>
    </row>
    <row r="177">
      <c r="A177" s="12" t="n">
        <v>42895</v>
      </c>
      <c r="B177" s="13" t="n">
        <v>0.0622</v>
      </c>
      <c r="C177" s="14">
        <f>B177*100</f>
        <v/>
      </c>
    </row>
    <row r="178">
      <c r="A178" s="12" t="n">
        <v>42898</v>
      </c>
      <c r="B178" s="13" t="n">
        <v>0.06660000000000001</v>
      </c>
      <c r="C178" s="14">
        <f>B178*100</f>
        <v/>
      </c>
    </row>
    <row r="179">
      <c r="A179" s="12" t="n">
        <v>42899</v>
      </c>
      <c r="B179" s="13" t="n">
        <v>0.067</v>
      </c>
      <c r="C179" s="14">
        <f>B179*100</f>
        <v/>
      </c>
    </row>
    <row r="180">
      <c r="A180" s="12" t="n">
        <v>42900</v>
      </c>
      <c r="B180" s="13" t="n">
        <v>0.0444</v>
      </c>
      <c r="C180" s="14">
        <f>B180*100</f>
        <v/>
      </c>
    </row>
    <row r="181">
      <c r="A181" s="12" t="n">
        <v>42901</v>
      </c>
      <c r="B181" s="13" t="n">
        <v>0.0426</v>
      </c>
      <c r="C181" s="14">
        <f>B181*100</f>
        <v/>
      </c>
    </row>
    <row r="182">
      <c r="A182" s="12" t="n">
        <v>42902</v>
      </c>
      <c r="B182" s="13" t="n">
        <v>0.0356</v>
      </c>
      <c r="C182" s="14">
        <f>B182*100</f>
        <v/>
      </c>
    </row>
    <row r="183">
      <c r="A183" s="12" t="n">
        <v>42905</v>
      </c>
      <c r="B183" s="13" t="n">
        <v>0.0504</v>
      </c>
      <c r="C183" s="14">
        <f>B183*100</f>
        <v/>
      </c>
    </row>
    <row r="184">
      <c r="A184" s="12" t="n">
        <v>42906</v>
      </c>
      <c r="B184" s="13" t="n">
        <v>0.0414</v>
      </c>
      <c r="C184" s="14">
        <f>B184*100</f>
        <v/>
      </c>
    </row>
    <row r="185">
      <c r="A185" s="12" t="n">
        <v>42907</v>
      </c>
      <c r="B185" s="13" t="n">
        <v>0.0436</v>
      </c>
      <c r="C185" s="14">
        <f>B185*100</f>
        <v/>
      </c>
    </row>
    <row r="186">
      <c r="A186" s="12" t="n">
        <v>42908</v>
      </c>
      <c r="B186" s="13" t="n">
        <v>0.0412</v>
      </c>
      <c r="C186" s="14">
        <f>B186*100</f>
        <v/>
      </c>
    </row>
    <row r="187">
      <c r="A187" s="12" t="n">
        <v>42909</v>
      </c>
      <c r="B187" s="13" t="n">
        <v>0.0411</v>
      </c>
      <c r="C187" s="14">
        <f>B187*100</f>
        <v/>
      </c>
    </row>
    <row r="188">
      <c r="A188" s="12" t="n">
        <v>42912</v>
      </c>
      <c r="B188" s="13" t="n">
        <v>0.0376</v>
      </c>
      <c r="C188" s="14">
        <f>B188*100</f>
        <v/>
      </c>
    </row>
    <row r="189">
      <c r="A189" s="12" t="n">
        <v>42913</v>
      </c>
      <c r="B189" s="13" t="n">
        <v>0.0597</v>
      </c>
      <c r="C189" s="14">
        <f>B189*100</f>
        <v/>
      </c>
    </row>
    <row r="190">
      <c r="A190" s="12" t="n">
        <v>42914</v>
      </c>
      <c r="B190" s="13" t="n">
        <v>0.06610000000000001</v>
      </c>
      <c r="C190" s="14">
        <f>B190*100</f>
        <v/>
      </c>
    </row>
    <row r="191">
      <c r="A191" s="12" t="n">
        <v>42915</v>
      </c>
      <c r="B191" s="13" t="n">
        <v>0.0854</v>
      </c>
      <c r="C191" s="14">
        <f>B191*100</f>
        <v/>
      </c>
    </row>
    <row r="192">
      <c r="A192" s="12" t="n">
        <v>42916</v>
      </c>
      <c r="B192" s="13" t="n">
        <v>0.1051</v>
      </c>
      <c r="C192" s="14">
        <f>B192*100</f>
        <v/>
      </c>
    </row>
    <row r="193">
      <c r="A193" s="12" t="n">
        <v>42919</v>
      </c>
      <c r="B193" s="13" t="n">
        <v>0.1283</v>
      </c>
      <c r="C193" s="14">
        <f>B193*100</f>
        <v/>
      </c>
    </row>
    <row r="194">
      <c r="A194" s="12" t="n">
        <v>42921</v>
      </c>
      <c r="B194" s="13" t="n">
        <v>0.1278</v>
      </c>
      <c r="C194" s="14">
        <f>B194*100</f>
        <v/>
      </c>
    </row>
    <row r="195">
      <c r="A195" s="12" t="n">
        <v>42922</v>
      </c>
      <c r="B195" s="13" t="n">
        <v>0.1417</v>
      </c>
      <c r="C195" s="14">
        <f>B195*100</f>
        <v/>
      </c>
    </row>
    <row r="196">
      <c r="A196" s="12" t="n">
        <v>42923</v>
      </c>
      <c r="B196" s="13" t="n">
        <v>0.1533</v>
      </c>
      <c r="C196" s="14">
        <f>B196*100</f>
        <v/>
      </c>
    </row>
    <row r="197">
      <c r="A197" s="12" t="n">
        <v>42926</v>
      </c>
      <c r="B197" s="13" t="n">
        <v>0.1497</v>
      </c>
      <c r="C197" s="14">
        <f>B197*100</f>
        <v/>
      </c>
    </row>
    <row r="198">
      <c r="A198" s="12" t="n">
        <v>42927</v>
      </c>
      <c r="B198" s="13" t="n">
        <v>0.1441</v>
      </c>
      <c r="C198" s="14">
        <f>B198*100</f>
        <v/>
      </c>
    </row>
    <row r="199">
      <c r="A199" s="12" t="n">
        <v>42928</v>
      </c>
      <c r="B199" s="13" t="n">
        <v>0.1258</v>
      </c>
      <c r="C199" s="14">
        <f>B199*100</f>
        <v/>
      </c>
    </row>
    <row r="200">
      <c r="A200" s="12" t="n">
        <v>42929</v>
      </c>
      <c r="B200" s="13" t="n">
        <v>0.1295</v>
      </c>
      <c r="C200" s="14">
        <f>B200*100</f>
        <v/>
      </c>
    </row>
    <row r="201">
      <c r="A201" s="12" t="n">
        <v>42930</v>
      </c>
      <c r="B201" s="13" t="n">
        <v>0.122</v>
      </c>
      <c r="C201" s="14">
        <f>B201*100</f>
        <v/>
      </c>
    </row>
    <row r="202">
      <c r="A202" s="12" t="n">
        <v>42933</v>
      </c>
      <c r="B202" s="13" t="n">
        <v>0.1135</v>
      </c>
      <c r="C202" s="14">
        <f>B202*100</f>
        <v/>
      </c>
    </row>
    <row r="203">
      <c r="A203" s="12" t="n">
        <v>42934</v>
      </c>
      <c r="B203" s="13" t="n">
        <v>0.0968</v>
      </c>
      <c r="C203" s="14">
        <f>B203*100</f>
        <v/>
      </c>
    </row>
    <row r="204">
      <c r="A204" s="12" t="n">
        <v>42935</v>
      </c>
      <c r="B204" s="13" t="n">
        <v>0.0906</v>
      </c>
      <c r="C204" s="14">
        <f>B204*100</f>
        <v/>
      </c>
    </row>
    <row r="205">
      <c r="A205" s="12" t="n">
        <v>42936</v>
      </c>
      <c r="B205" s="13" t="n">
        <v>0.0829</v>
      </c>
      <c r="C205" s="14">
        <f>B205*100</f>
        <v/>
      </c>
    </row>
    <row r="206">
      <c r="A206" s="12" t="n">
        <v>42937</v>
      </c>
      <c r="B206" s="13" t="n">
        <v>0.0706</v>
      </c>
      <c r="C206" s="14">
        <f>B206*100</f>
        <v/>
      </c>
    </row>
    <row r="207">
      <c r="A207" s="12" t="n">
        <v>42940</v>
      </c>
      <c r="B207" s="13" t="n">
        <v>0.0723</v>
      </c>
      <c r="C207" s="14">
        <f>B207*100</f>
        <v/>
      </c>
    </row>
    <row r="208">
      <c r="A208" s="12" t="n">
        <v>42941</v>
      </c>
      <c r="B208" s="13" t="n">
        <v>0.09909999999999999</v>
      </c>
      <c r="C208" s="14">
        <f>B208*100</f>
        <v/>
      </c>
    </row>
    <row r="209">
      <c r="A209" s="12" t="n">
        <v>42942</v>
      </c>
      <c r="B209" s="13" t="n">
        <v>0.0877</v>
      </c>
      <c r="C209" s="14">
        <f>B209*100</f>
        <v/>
      </c>
    </row>
    <row r="210">
      <c r="A210" s="12" t="n">
        <v>42943</v>
      </c>
      <c r="B210" s="13" t="n">
        <v>0.0954</v>
      </c>
      <c r="C210" s="14">
        <f>B210*100</f>
        <v/>
      </c>
    </row>
    <row r="211">
      <c r="A211" s="12" t="n">
        <v>42944</v>
      </c>
      <c r="B211" s="13" t="n">
        <v>0.0946</v>
      </c>
      <c r="C211" s="14">
        <f>B211*100</f>
        <v/>
      </c>
    </row>
    <row r="212">
      <c r="A212" s="12" t="n">
        <v>42947</v>
      </c>
      <c r="B212" s="13" t="n">
        <v>0.097</v>
      </c>
      <c r="C212" s="14">
        <f>B212*100</f>
        <v/>
      </c>
    </row>
    <row r="213">
      <c r="A213" s="12" t="n">
        <v>42948</v>
      </c>
      <c r="B213" s="13" t="n">
        <v>0.0834</v>
      </c>
      <c r="C213" s="14">
        <f>B213*100</f>
        <v/>
      </c>
    </row>
    <row r="214">
      <c r="A214" s="12" t="n">
        <v>42949</v>
      </c>
      <c r="B214" s="13" t="n">
        <v>0.0829</v>
      </c>
      <c r="C214" s="14">
        <f>B214*100</f>
        <v/>
      </c>
    </row>
    <row r="215">
      <c r="A215" s="12" t="n">
        <v>42950</v>
      </c>
      <c r="B215" s="13" t="n">
        <v>0.0702</v>
      </c>
      <c r="C215" s="14">
        <f>B215*100</f>
        <v/>
      </c>
    </row>
    <row r="216">
      <c r="A216" s="12" t="n">
        <v>42951</v>
      </c>
      <c r="B216" s="13" t="n">
        <v>0.07920000000000001</v>
      </c>
      <c r="C216" s="14">
        <f>B216*100</f>
        <v/>
      </c>
    </row>
    <row r="217">
      <c r="A217" s="12" t="n">
        <v>42954</v>
      </c>
      <c r="B217" s="13" t="n">
        <v>0.08169999999999999</v>
      </c>
      <c r="C217" s="14">
        <f>B217*100</f>
        <v/>
      </c>
    </row>
    <row r="218">
      <c r="A218" s="12" t="n">
        <v>42955</v>
      </c>
      <c r="B218" s="13" t="n">
        <v>0.0898</v>
      </c>
      <c r="C218" s="14">
        <f>B218*100</f>
        <v/>
      </c>
    </row>
    <row r="219">
      <c r="A219" s="12" t="n">
        <v>42956</v>
      </c>
      <c r="B219" s="13" t="n">
        <v>0.0762</v>
      </c>
      <c r="C219" s="14">
        <f>B219*100</f>
        <v/>
      </c>
    </row>
    <row r="220">
      <c r="A220" s="12" t="n">
        <v>42957</v>
      </c>
      <c r="B220" s="13" t="n">
        <v>0.0614</v>
      </c>
      <c r="C220" s="14">
        <f>B220*100</f>
        <v/>
      </c>
    </row>
    <row r="221">
      <c r="A221" s="12" t="n">
        <v>42958</v>
      </c>
      <c r="B221" s="13" t="n">
        <v>0.0476</v>
      </c>
      <c r="C221" s="14">
        <f>B221*100</f>
        <v/>
      </c>
    </row>
    <row r="222">
      <c r="A222" s="12" t="n">
        <v>42961</v>
      </c>
      <c r="B222" s="13" t="n">
        <v>0.0594</v>
      </c>
      <c r="C222" s="14">
        <f>B222*100</f>
        <v/>
      </c>
    </row>
    <row r="223">
      <c r="A223" s="12" t="n">
        <v>42962</v>
      </c>
      <c r="B223" s="13" t="n">
        <v>0.0795</v>
      </c>
      <c r="C223" s="14">
        <f>B223*100</f>
        <v/>
      </c>
    </row>
    <row r="224">
      <c r="A224" s="12" t="n">
        <v>42963</v>
      </c>
      <c r="B224" s="13" t="n">
        <v>0.0713</v>
      </c>
      <c r="C224" s="14">
        <f>B224*100</f>
        <v/>
      </c>
    </row>
    <row r="225">
      <c r="A225" s="12" t="n">
        <v>42964</v>
      </c>
      <c r="B225" s="13" t="n">
        <v>0.0579</v>
      </c>
      <c r="C225" s="14">
        <f>B225*100</f>
        <v/>
      </c>
    </row>
    <row r="226">
      <c r="A226" s="12" t="n">
        <v>42965</v>
      </c>
      <c r="B226" s="13" t="n">
        <v>0.0553</v>
      </c>
      <c r="C226" s="14">
        <f>B226*100</f>
        <v/>
      </c>
    </row>
    <row r="227">
      <c r="A227" s="12" t="n">
        <v>42968</v>
      </c>
      <c r="B227" s="13" t="n">
        <v>0.0517</v>
      </c>
      <c r="C227" s="14">
        <f>B227*100</f>
        <v/>
      </c>
    </row>
    <row r="228">
      <c r="A228" s="12" t="n">
        <v>42969</v>
      </c>
      <c r="B228" s="13" t="n">
        <v>0.0629</v>
      </c>
      <c r="C228" s="14">
        <f>B228*100</f>
        <v/>
      </c>
    </row>
    <row r="229">
      <c r="A229" s="12" t="n">
        <v>42970</v>
      </c>
      <c r="B229" s="13" t="n">
        <v>0.0503</v>
      </c>
      <c r="C229" s="14">
        <f>B229*100</f>
        <v/>
      </c>
    </row>
    <row r="230">
      <c r="A230" s="12" t="n">
        <v>42971</v>
      </c>
      <c r="B230" s="13" t="n">
        <v>0.0548</v>
      </c>
      <c r="C230" s="14">
        <f>B230*100</f>
        <v/>
      </c>
    </row>
    <row r="231">
      <c r="A231" s="12" t="n">
        <v>42972</v>
      </c>
      <c r="B231" s="13" t="n">
        <v>0.0485</v>
      </c>
      <c r="C231" s="14">
        <f>B231*100</f>
        <v/>
      </c>
    </row>
    <row r="232">
      <c r="A232" s="12" t="n">
        <v>42975</v>
      </c>
      <c r="B232" s="13" t="n">
        <v>0.0416</v>
      </c>
      <c r="C232" s="14">
        <f>B232*100</f>
        <v/>
      </c>
    </row>
    <row r="233">
      <c r="A233" s="12" t="n">
        <v>42976</v>
      </c>
      <c r="B233" s="13" t="n">
        <v>0.0251</v>
      </c>
      <c r="C233" s="14">
        <f>B233*100</f>
        <v/>
      </c>
    </row>
    <row r="234">
      <c r="A234" s="12" t="n">
        <v>42977</v>
      </c>
      <c r="B234" s="13" t="n">
        <v>0.0262</v>
      </c>
      <c r="C234" s="14">
        <f>B234*100</f>
        <v/>
      </c>
    </row>
    <row r="235">
      <c r="A235" s="12" t="n">
        <v>42978</v>
      </c>
      <c r="B235" s="13" t="n">
        <v>0.0187</v>
      </c>
      <c r="C235" s="14">
        <f>B235*100</f>
        <v/>
      </c>
    </row>
    <row r="236">
      <c r="A236" s="12" t="n">
        <v>42979</v>
      </c>
      <c r="B236" s="13" t="n">
        <v>0.0308</v>
      </c>
      <c r="C236" s="14">
        <f>B236*100</f>
        <v/>
      </c>
    </row>
    <row r="237">
      <c r="A237" s="12" t="n">
        <v>42983</v>
      </c>
      <c r="B237" s="13" t="n">
        <v>-0.0022</v>
      </c>
      <c r="C237" s="14">
        <f>B237*100</f>
        <v/>
      </c>
    </row>
    <row r="238">
      <c r="A238" s="12" t="n">
        <v>42984</v>
      </c>
      <c r="B238" s="13" t="n">
        <v>-0.0031</v>
      </c>
      <c r="C238" s="14">
        <f>B238*100</f>
        <v/>
      </c>
    </row>
    <row r="239">
      <c r="A239" s="12" t="n">
        <v>42985</v>
      </c>
      <c r="B239" s="13" t="n">
        <v>-0.0258</v>
      </c>
      <c r="C239" s="14">
        <f>B239*100</f>
        <v/>
      </c>
    </row>
    <row r="240">
      <c r="A240" s="12" t="n">
        <v>42986</v>
      </c>
      <c r="B240" s="13" t="n">
        <v>-0.0282</v>
      </c>
      <c r="C240" s="14">
        <f>B240*100</f>
        <v/>
      </c>
    </row>
    <row r="241">
      <c r="A241" s="12" t="n">
        <v>42989</v>
      </c>
      <c r="B241" s="13" t="n">
        <v>0.0001</v>
      </c>
      <c r="C241" s="14">
        <f>B241*100</f>
        <v/>
      </c>
    </row>
    <row r="242">
      <c r="A242" s="12" t="n">
        <v>42990</v>
      </c>
      <c r="B242" s="13" t="n">
        <v>0.0211</v>
      </c>
      <c r="C242" s="14">
        <f>B242*100</f>
        <v/>
      </c>
    </row>
    <row r="243">
      <c r="A243" s="12" t="n">
        <v>42991</v>
      </c>
      <c r="B243" s="13" t="n">
        <v>0.0376</v>
      </c>
      <c r="C243" s="14">
        <f>B243*100</f>
        <v/>
      </c>
    </row>
    <row r="244">
      <c r="A244" s="12" t="n">
        <v>42992</v>
      </c>
      <c r="B244" s="13" t="n">
        <v>0.0443</v>
      </c>
      <c r="C244" s="14">
        <f>B244*100</f>
        <v/>
      </c>
    </row>
    <row r="245">
      <c r="A245" s="12" t="n">
        <v>42993</v>
      </c>
      <c r="B245" s="13" t="n">
        <v>0.0519</v>
      </c>
      <c r="C245" s="14">
        <f>B245*100</f>
        <v/>
      </c>
    </row>
    <row r="246">
      <c r="A246" s="12" t="n">
        <v>42996</v>
      </c>
      <c r="B246" s="13" t="n">
        <v>0.0626</v>
      </c>
      <c r="C246" s="14">
        <f>B246*100</f>
        <v/>
      </c>
    </row>
    <row r="247">
      <c r="A247" s="12" t="n">
        <v>42997</v>
      </c>
      <c r="B247" s="13" t="n">
        <v>0.0688</v>
      </c>
      <c r="C247" s="14">
        <f>B247*100</f>
        <v/>
      </c>
    </row>
    <row r="248">
      <c r="A248" s="12" t="n">
        <v>42998</v>
      </c>
      <c r="B248" s="13" t="n">
        <v>0.0891</v>
      </c>
      <c r="C248" s="14">
        <f>B248*100</f>
        <v/>
      </c>
    </row>
    <row r="249">
      <c r="A249" s="12" t="n">
        <v>42999</v>
      </c>
      <c r="B249" s="13" t="n">
        <v>0.0916</v>
      </c>
      <c r="C249" s="14">
        <f>B249*100</f>
        <v/>
      </c>
    </row>
    <row r="250">
      <c r="A250" s="12" t="n">
        <v>43000</v>
      </c>
      <c r="B250" s="13" t="n">
        <v>0.089</v>
      </c>
      <c r="C250" s="14">
        <f>B250*100</f>
        <v/>
      </c>
    </row>
    <row r="251">
      <c r="A251" s="12" t="n">
        <v>43003</v>
      </c>
      <c r="B251" s="13" t="n">
        <v>0.0704</v>
      </c>
      <c r="C251" s="14">
        <f>B251*100</f>
        <v/>
      </c>
    </row>
    <row r="252">
      <c r="A252" s="12" t="n">
        <v>43004</v>
      </c>
      <c r="B252" s="13" t="n">
        <v>0.0728</v>
      </c>
      <c r="C252" s="14">
        <f>B252*100</f>
        <v/>
      </c>
    </row>
    <row r="253">
      <c r="A253" s="12" t="n">
        <v>43005</v>
      </c>
      <c r="B253" s="13" t="n">
        <v>0.0946</v>
      </c>
      <c r="C253" s="14">
        <f>B253*100</f>
        <v/>
      </c>
    </row>
    <row r="254">
      <c r="A254" s="12" t="n">
        <v>43006</v>
      </c>
      <c r="B254" s="13" t="n">
        <v>0.09909999999999999</v>
      </c>
      <c r="C254" s="14">
        <f>B254*100</f>
        <v/>
      </c>
    </row>
    <row r="255">
      <c r="A255" s="12" t="n">
        <v>43007</v>
      </c>
      <c r="B255" s="13" t="n">
        <v>0.1117</v>
      </c>
      <c r="C255" s="14">
        <f>B255*100</f>
        <v/>
      </c>
    </row>
    <row r="256">
      <c r="A256" s="12" t="n">
        <v>43010</v>
      </c>
      <c r="B256" s="13" t="n">
        <v>0.121</v>
      </c>
      <c r="C256" s="14">
        <f>B256*100</f>
        <v/>
      </c>
    </row>
    <row r="257">
      <c r="A257" s="12" t="n">
        <v>43011</v>
      </c>
      <c r="B257" s="13" t="n">
        <v>0.1159</v>
      </c>
      <c r="C257" s="14">
        <f>B257*100</f>
        <v/>
      </c>
    </row>
    <row r="258">
      <c r="A258" s="12" t="n">
        <v>43012</v>
      </c>
      <c r="B258" s="13" t="n">
        <v>0.1136</v>
      </c>
      <c r="C258" s="14">
        <f>B258*100</f>
        <v/>
      </c>
    </row>
    <row r="259">
      <c r="A259" s="12" t="n">
        <v>43013</v>
      </c>
      <c r="B259" s="13" t="n">
        <v>0.1212</v>
      </c>
      <c r="C259" s="14">
        <f>B259*100</f>
        <v/>
      </c>
    </row>
    <row r="260">
      <c r="A260" s="12" t="n">
        <v>43014</v>
      </c>
      <c r="B260" s="13" t="n">
        <v>0.1318</v>
      </c>
      <c r="C260" s="14">
        <f>B260*100</f>
        <v/>
      </c>
    </row>
    <row r="261">
      <c r="A261" s="12" t="n">
        <v>43018</v>
      </c>
      <c r="B261" s="13" t="n">
        <v>0.1226</v>
      </c>
      <c r="C261" s="14">
        <f>B261*100</f>
        <v/>
      </c>
    </row>
    <row r="262">
      <c r="A262" s="12" t="n">
        <v>43019</v>
      </c>
      <c r="B262" s="13" t="n">
        <v>0.1178</v>
      </c>
      <c r="C262" s="14">
        <f>B262*100</f>
        <v/>
      </c>
    </row>
    <row r="263">
      <c r="A263" s="12" t="n">
        <v>43020</v>
      </c>
      <c r="B263" s="13" t="n">
        <v>0.111</v>
      </c>
      <c r="C263" s="14">
        <f>B263*100</f>
        <v/>
      </c>
    </row>
    <row r="264">
      <c r="A264" s="12" t="n">
        <v>43021</v>
      </c>
      <c r="B264" s="13" t="n">
        <v>0.0926</v>
      </c>
      <c r="C264" s="14">
        <f>B264*100</f>
        <v/>
      </c>
    </row>
    <row r="265">
      <c r="A265" s="12" t="n">
        <v>43024</v>
      </c>
      <c r="B265" s="13" t="n">
        <v>0.0987</v>
      </c>
      <c r="C265" s="14">
        <f>B265*100</f>
        <v/>
      </c>
    </row>
    <row r="266">
      <c r="A266" s="12" t="n">
        <v>43025</v>
      </c>
      <c r="B266" s="13" t="n">
        <v>0.1013</v>
      </c>
      <c r="C266" s="14">
        <f>B266*100</f>
        <v/>
      </c>
    </row>
    <row r="267">
      <c r="A267" s="12" t="n">
        <v>43026</v>
      </c>
      <c r="B267" s="13" t="n">
        <v>0.1162</v>
      </c>
      <c r="C267" s="14">
        <f>B267*100</f>
        <v/>
      </c>
    </row>
    <row r="268">
      <c r="A268" s="12" t="n">
        <v>43027</v>
      </c>
      <c r="B268" s="13" t="n">
        <v>0.1144</v>
      </c>
      <c r="C268" s="14">
        <f>B268*100</f>
        <v/>
      </c>
    </row>
    <row r="269">
      <c r="A269" s="12" t="n">
        <v>43028</v>
      </c>
      <c r="B269" s="13" t="n">
        <v>0.1338</v>
      </c>
      <c r="C269" s="14">
        <f>B269*100</f>
        <v/>
      </c>
    </row>
    <row r="270">
      <c r="A270" s="12" t="n">
        <v>43031</v>
      </c>
      <c r="B270" s="13" t="n">
        <v>0.1334</v>
      </c>
      <c r="C270" s="14">
        <f>B270*100</f>
        <v/>
      </c>
    </row>
    <row r="271">
      <c r="A271" s="12" t="n">
        <v>43032</v>
      </c>
      <c r="B271" s="13" t="n">
        <v>0.1479</v>
      </c>
      <c r="C271" s="14">
        <f>B271*100</f>
        <v/>
      </c>
    </row>
    <row r="272">
      <c r="A272" s="12" t="n">
        <v>43033</v>
      </c>
      <c r="B272" s="13" t="n">
        <v>0.1582</v>
      </c>
      <c r="C272" s="14">
        <f>B272*100</f>
        <v/>
      </c>
    </row>
    <row r="273">
      <c r="A273" s="12" t="n">
        <v>43034</v>
      </c>
      <c r="B273" s="13" t="n">
        <v>0.1692</v>
      </c>
      <c r="C273" s="14">
        <f>B273*100</f>
        <v/>
      </c>
    </row>
    <row r="274">
      <c r="A274" s="12" t="n">
        <v>43035</v>
      </c>
      <c r="B274" s="13" t="n">
        <v>0.159</v>
      </c>
      <c r="C274" s="14">
        <f>B274*100</f>
        <v/>
      </c>
    </row>
    <row r="275">
      <c r="A275" s="12" t="n">
        <v>43038</v>
      </c>
      <c r="B275" s="13" t="n">
        <v>0.1391</v>
      </c>
      <c r="C275" s="14">
        <f>B275*100</f>
        <v/>
      </c>
    </row>
    <row r="276">
      <c r="A276" s="12" t="n">
        <v>43039</v>
      </c>
      <c r="B276" s="13" t="n">
        <v>0.1347</v>
      </c>
      <c r="C276" s="14">
        <f>B276*100</f>
        <v/>
      </c>
    </row>
    <row r="277">
      <c r="A277" s="12" t="n">
        <v>43040</v>
      </c>
      <c r="B277" s="13" t="n">
        <v>0.1281</v>
      </c>
      <c r="C277" s="14">
        <f>B277*100</f>
        <v/>
      </c>
    </row>
    <row r="278">
      <c r="A278" s="12" t="n">
        <v>43041</v>
      </c>
      <c r="B278" s="13" t="n">
        <v>0.1182</v>
      </c>
      <c r="C278" s="14">
        <f>B278*100</f>
        <v/>
      </c>
    </row>
    <row r="279">
      <c r="A279" s="12" t="n">
        <v>43042</v>
      </c>
      <c r="B279" s="13" t="n">
        <v>0.1092</v>
      </c>
      <c r="C279" s="14">
        <f>B279*100</f>
        <v/>
      </c>
    </row>
    <row r="280">
      <c r="A280" s="12" t="n">
        <v>43045</v>
      </c>
      <c r="B280" s="13" t="n">
        <v>0.0988</v>
      </c>
      <c r="C280" s="14">
        <f>B280*100</f>
        <v/>
      </c>
    </row>
    <row r="281">
      <c r="A281" s="12" t="n">
        <v>43046</v>
      </c>
      <c r="B281" s="13" t="n">
        <v>0.0905</v>
      </c>
      <c r="C281" s="14">
        <f>B281*100</f>
        <v/>
      </c>
    </row>
    <row r="282">
      <c r="A282" s="12" t="n">
        <v>43047</v>
      </c>
      <c r="B282" s="13" t="n">
        <v>0.0927</v>
      </c>
      <c r="C282" s="14">
        <f>B282*100</f>
        <v/>
      </c>
    </row>
    <row r="283">
      <c r="A283" s="12" t="n">
        <v>43048</v>
      </c>
      <c r="B283" s="13" t="n">
        <v>0.092</v>
      </c>
      <c r="C283" s="14">
        <f>B283*100</f>
        <v/>
      </c>
    </row>
    <row r="284">
      <c r="A284" s="12" t="n">
        <v>43049</v>
      </c>
      <c r="B284" s="13" t="n">
        <v>0.1177</v>
      </c>
      <c r="C284" s="14">
        <f>B284*100</f>
        <v/>
      </c>
    </row>
    <row r="285">
      <c r="A285" s="12" t="n">
        <v>43052</v>
      </c>
      <c r="B285" s="13" t="n">
        <v>0.1278</v>
      </c>
      <c r="C285" s="14">
        <f>B285*100</f>
        <v/>
      </c>
    </row>
    <row r="286">
      <c r="A286" s="12" t="n">
        <v>43053</v>
      </c>
      <c r="B286" s="13" t="n">
        <v>0.1218</v>
      </c>
      <c r="C286" s="14">
        <f>B286*100</f>
        <v/>
      </c>
    </row>
    <row r="287">
      <c r="A287" s="12" t="n">
        <v>43054</v>
      </c>
      <c r="B287" s="13" t="n">
        <v>0.1036</v>
      </c>
      <c r="C287" s="14">
        <f>B287*100</f>
        <v/>
      </c>
    </row>
    <row r="288">
      <c r="A288" s="12" t="n">
        <v>43055</v>
      </c>
      <c r="B288" s="13" t="n">
        <v>0.11</v>
      </c>
      <c r="C288" s="14">
        <f>B288*100</f>
        <v/>
      </c>
    </row>
    <row r="289">
      <c r="A289" s="12" t="n">
        <v>43056</v>
      </c>
      <c r="B289" s="13" t="n">
        <v>0.1037</v>
      </c>
      <c r="C289" s="14">
        <f>B289*100</f>
        <v/>
      </c>
    </row>
    <row r="290">
      <c r="A290" s="12" t="n">
        <v>43059</v>
      </c>
      <c r="B290" s="13" t="n">
        <v>0.1097</v>
      </c>
      <c r="C290" s="14">
        <f>B290*100</f>
        <v/>
      </c>
    </row>
    <row r="291">
      <c r="A291" s="12" t="n">
        <v>43060</v>
      </c>
      <c r="B291" s="13" t="n">
        <v>0.1112</v>
      </c>
      <c r="C291" s="14">
        <f>B291*100</f>
        <v/>
      </c>
    </row>
    <row r="292">
      <c r="A292" s="12" t="n">
        <v>43061</v>
      </c>
      <c r="B292" s="13" t="n">
        <v>0.09379999999999999</v>
      </c>
      <c r="C292" s="14">
        <f>B292*100</f>
        <v/>
      </c>
    </row>
    <row r="293">
      <c r="A293" s="12" t="n">
        <v>43063</v>
      </c>
      <c r="B293" s="13" t="n">
        <v>0.0959</v>
      </c>
      <c r="C293" s="14">
        <f>B293*100</f>
        <v/>
      </c>
    </row>
    <row r="294">
      <c r="A294" s="12" t="n">
        <v>43066</v>
      </c>
      <c r="B294" s="13" t="n">
        <v>0.0914</v>
      </c>
      <c r="C294" s="14">
        <f>B294*100</f>
        <v/>
      </c>
    </row>
    <row r="295">
      <c r="A295" s="12" t="n">
        <v>43067</v>
      </c>
      <c r="B295" s="13" t="n">
        <v>0.09229999999999999</v>
      </c>
      <c r="C295" s="14">
        <f>B295*100</f>
        <v/>
      </c>
    </row>
    <row r="296">
      <c r="A296" s="12" t="n">
        <v>43068</v>
      </c>
      <c r="B296" s="13" t="n">
        <v>0.1056</v>
      </c>
      <c r="C296" s="14">
        <f>B296*100</f>
        <v/>
      </c>
    </row>
    <row r="297">
      <c r="A297" s="12" t="n">
        <v>43069</v>
      </c>
      <c r="B297" s="13" t="n">
        <v>0.129</v>
      </c>
      <c r="C297" s="14">
        <f>B297*100</f>
        <v/>
      </c>
    </row>
    <row r="298">
      <c r="A298" s="12" t="n">
        <v>43070</v>
      </c>
      <c r="B298" s="13" t="n">
        <v>0.1212</v>
      </c>
      <c r="C298" s="14">
        <f>B298*100</f>
        <v/>
      </c>
    </row>
    <row r="299">
      <c r="A299" s="12" t="n">
        <v>43073</v>
      </c>
      <c r="B299" s="13" t="n">
        <v>0.1236</v>
      </c>
      <c r="C299" s="14">
        <f>B299*100</f>
        <v/>
      </c>
    </row>
    <row r="300">
      <c r="A300" s="12" t="n">
        <v>43074</v>
      </c>
      <c r="B300" s="13" t="n">
        <v>0.1185</v>
      </c>
      <c r="C300" s="14">
        <f>B300*100</f>
        <v/>
      </c>
    </row>
    <row r="301">
      <c r="A301" s="12" t="n">
        <v>43075</v>
      </c>
      <c r="B301" s="13" t="n">
        <v>0.1015</v>
      </c>
      <c r="C301" s="14">
        <f>B301*100</f>
        <v/>
      </c>
    </row>
    <row r="302">
      <c r="A302" s="12" t="n">
        <v>43076</v>
      </c>
      <c r="B302" s="13" t="n">
        <v>0.1107</v>
      </c>
      <c r="C302" s="14">
        <f>B302*100</f>
        <v/>
      </c>
    </row>
    <row r="303">
      <c r="A303" s="12" t="n">
        <v>43077</v>
      </c>
      <c r="B303" s="13" t="n">
        <v>0.1171</v>
      </c>
      <c r="C303" s="14">
        <f>B303*100</f>
        <v/>
      </c>
    </row>
    <row r="304">
      <c r="A304" s="12" t="n">
        <v>43080</v>
      </c>
      <c r="B304" s="13" t="n">
        <v>0.1208</v>
      </c>
      <c r="C304" s="14">
        <f>B304*100</f>
        <v/>
      </c>
    </row>
    <row r="305">
      <c r="A305" s="12" t="n">
        <v>43081</v>
      </c>
      <c r="B305" s="13" t="n">
        <v>0.1249</v>
      </c>
      <c r="C305" s="14">
        <f>B305*100</f>
        <v/>
      </c>
    </row>
    <row r="306">
      <c r="A306" s="12" t="n">
        <v>43082</v>
      </c>
      <c r="B306" s="13" t="n">
        <v>0.1073</v>
      </c>
      <c r="C306" s="14">
        <f>B306*100</f>
        <v/>
      </c>
    </row>
    <row r="307">
      <c r="A307" s="12" t="n">
        <v>43083</v>
      </c>
      <c r="B307" s="13" t="n">
        <v>0.1047</v>
      </c>
      <c r="C307" s="14">
        <f>B307*100</f>
        <v/>
      </c>
    </row>
    <row r="308">
      <c r="A308" s="12" t="n">
        <v>43084</v>
      </c>
      <c r="B308" s="13" t="n">
        <v>0.1069</v>
      </c>
      <c r="C308" s="14">
        <f>B308*100</f>
        <v/>
      </c>
    </row>
    <row r="309">
      <c r="A309" s="12" t="n">
        <v>43087</v>
      </c>
      <c r="B309" s="13" t="n">
        <v>0.112</v>
      </c>
      <c r="C309" s="14">
        <f>B309*100</f>
        <v/>
      </c>
    </row>
    <row r="310">
      <c r="A310" s="12" t="n">
        <v>43088</v>
      </c>
      <c r="B310" s="13" t="n">
        <v>0.1379</v>
      </c>
      <c r="C310" s="14">
        <f>B310*100</f>
        <v/>
      </c>
    </row>
    <row r="311">
      <c r="A311" s="12" t="n">
        <v>43089</v>
      </c>
      <c r="B311" s="13" t="n">
        <v>0.1561</v>
      </c>
      <c r="C311" s="14">
        <f>B311*100</f>
        <v/>
      </c>
    </row>
    <row r="312">
      <c r="A312" s="12" t="n">
        <v>43090</v>
      </c>
      <c r="B312" s="13" t="n">
        <v>0.1611</v>
      </c>
      <c r="C312" s="14">
        <f>B312*100</f>
        <v/>
      </c>
    </row>
    <row r="313">
      <c r="A313" s="12" t="n">
        <v>43091</v>
      </c>
      <c r="B313" s="13" t="n">
        <v>0.1649</v>
      </c>
      <c r="C313" s="14">
        <f>B313*100</f>
        <v/>
      </c>
    </row>
    <row r="314">
      <c r="A314" s="12" t="n">
        <v>43095</v>
      </c>
      <c r="B314" s="13" t="n">
        <v>0.1538</v>
      </c>
      <c r="C314" s="14">
        <f>B314*100</f>
        <v/>
      </c>
    </row>
    <row r="315">
      <c r="A315" s="12" t="n">
        <v>43096</v>
      </c>
      <c r="B315" s="13" t="n">
        <v>0.1309</v>
      </c>
      <c r="C315" s="14">
        <f>B315*100</f>
        <v/>
      </c>
    </row>
    <row r="316">
      <c r="A316" s="12" t="n">
        <v>43097</v>
      </c>
      <c r="B316" s="13" t="n">
        <v>0.1321</v>
      </c>
      <c r="C316" s="14">
        <f>B316*100</f>
        <v/>
      </c>
    </row>
    <row r="317">
      <c r="A317" s="12" t="n">
        <v>43098</v>
      </c>
      <c r="B317" s="13" t="n">
        <v>0.1233</v>
      </c>
      <c r="C317" s="14">
        <f>B317*100</f>
        <v/>
      </c>
    </row>
    <row r="318">
      <c r="A318" s="12" t="n">
        <v>43102</v>
      </c>
      <c r="B318" s="13" t="n">
        <v>0.1341</v>
      </c>
      <c r="C318" s="14">
        <f>B318*100</f>
        <v/>
      </c>
    </row>
    <row r="319">
      <c r="A319" s="12" t="n">
        <v>43103</v>
      </c>
      <c r="B319" s="13" t="n">
        <v>0.1334</v>
      </c>
      <c r="C319" s="14">
        <f>B319*100</f>
        <v/>
      </c>
    </row>
    <row r="320">
      <c r="A320" s="12" t="n">
        <v>43104</v>
      </c>
      <c r="B320" s="13" t="n">
        <v>0.139</v>
      </c>
      <c r="C320" s="14">
        <f>B320*100</f>
        <v/>
      </c>
    </row>
    <row r="321">
      <c r="A321" s="12" t="n">
        <v>43105</v>
      </c>
      <c r="B321" s="13" t="n">
        <v>0.1485</v>
      </c>
      <c r="C321" s="14">
        <f>B321*100</f>
        <v/>
      </c>
    </row>
    <row r="322">
      <c r="A322" s="12" t="n">
        <v>43108</v>
      </c>
      <c r="B322" s="13" t="n">
        <v>0.1504</v>
      </c>
      <c r="C322" s="14">
        <f>B322*100</f>
        <v/>
      </c>
    </row>
    <row r="323">
      <c r="A323" s="12" t="n">
        <v>43109</v>
      </c>
      <c r="B323" s="13" t="n">
        <v>0.1711</v>
      </c>
      <c r="C323" s="14">
        <f>B323*100</f>
        <v/>
      </c>
    </row>
    <row r="324">
      <c r="A324" s="12" t="n">
        <v>43110</v>
      </c>
      <c r="B324" s="13" t="n">
        <v>0.178</v>
      </c>
      <c r="C324" s="14">
        <f>B324*100</f>
        <v/>
      </c>
    </row>
    <row r="325">
      <c r="A325" s="12" t="n">
        <v>43111</v>
      </c>
      <c r="B325" s="13" t="n">
        <v>0.1787</v>
      </c>
      <c r="C325" s="14">
        <f>B325*100</f>
        <v/>
      </c>
    </row>
    <row r="326">
      <c r="A326" s="12" t="n">
        <v>43112</v>
      </c>
      <c r="B326" s="13" t="n">
        <v>0.1865</v>
      </c>
      <c r="C326" s="14">
        <f>B326*100</f>
        <v/>
      </c>
    </row>
    <row r="327">
      <c r="A327" s="12" t="n">
        <v>43116</v>
      </c>
      <c r="B327" s="13" t="n">
        <v>0.1844</v>
      </c>
      <c r="C327" s="14">
        <f>B327*100</f>
        <v/>
      </c>
    </row>
    <row r="328">
      <c r="A328" s="12" t="n">
        <v>43117</v>
      </c>
      <c r="B328" s="13" t="n">
        <v>0.1952</v>
      </c>
      <c r="C328" s="14">
        <f>B328*100</f>
        <v/>
      </c>
    </row>
    <row r="329">
      <c r="A329" s="12" t="n">
        <v>43118</v>
      </c>
      <c r="B329" s="13" t="n">
        <v>0.2135</v>
      </c>
      <c r="C329" s="14">
        <f>B329*100</f>
        <v/>
      </c>
    </row>
    <row r="330">
      <c r="A330" s="12" t="n">
        <v>43119</v>
      </c>
      <c r="B330" s="13" t="n">
        <v>0.2284</v>
      </c>
      <c r="C330" s="14">
        <f>B330*100</f>
        <v/>
      </c>
    </row>
    <row r="331">
      <c r="A331" s="12" t="n">
        <v>43122</v>
      </c>
      <c r="B331" s="13" t="n">
        <v>0.2374</v>
      </c>
      <c r="C331" s="14">
        <f>B331*100</f>
        <v/>
      </c>
    </row>
    <row r="332">
      <c r="A332" s="12" t="n">
        <v>43123</v>
      </c>
      <c r="B332" s="13" t="n">
        <v>0.2268</v>
      </c>
      <c r="C332" s="14">
        <f>B332*100</f>
        <v/>
      </c>
    </row>
    <row r="333">
      <c r="A333" s="12" t="n">
        <v>43124</v>
      </c>
      <c r="B333" s="13" t="n">
        <v>0.2337</v>
      </c>
      <c r="C333" s="14">
        <f>B333*100</f>
        <v/>
      </c>
    </row>
    <row r="334">
      <c r="A334" s="12" t="n">
        <v>43125</v>
      </c>
      <c r="B334" s="13" t="n">
        <v>0.2278</v>
      </c>
      <c r="C334" s="14">
        <f>B334*100</f>
        <v/>
      </c>
    </row>
    <row r="335">
      <c r="A335" s="12" t="n">
        <v>43126</v>
      </c>
      <c r="B335" s="13" t="n">
        <v>0.2445</v>
      </c>
      <c r="C335" s="14">
        <f>B335*100</f>
        <v/>
      </c>
    </row>
    <row r="336">
      <c r="A336" s="12" t="n">
        <v>43129</v>
      </c>
      <c r="B336" s="13" t="n">
        <v>0.2568</v>
      </c>
      <c r="C336" s="14">
        <f>B336*100</f>
        <v/>
      </c>
    </row>
    <row r="337">
      <c r="A337" s="12" t="n">
        <v>43130</v>
      </c>
      <c r="B337" s="13" t="n">
        <v>0.2696</v>
      </c>
      <c r="C337" s="14">
        <f>B337*100</f>
        <v/>
      </c>
    </row>
    <row r="338">
      <c r="A338" s="12" t="n">
        <v>43131</v>
      </c>
      <c r="B338" s="13" t="n">
        <v>0.2742</v>
      </c>
      <c r="C338" s="14">
        <f>B338*100</f>
        <v/>
      </c>
    </row>
    <row r="339">
      <c r="A339" s="12" t="n">
        <v>43132</v>
      </c>
      <c r="B339" s="13" t="n">
        <v>0.2969</v>
      </c>
      <c r="C339" s="14">
        <f>B339*100</f>
        <v/>
      </c>
    </row>
    <row r="340">
      <c r="A340" s="12" t="n">
        <v>43133</v>
      </c>
      <c r="B340" s="13" t="n">
        <v>0.3204</v>
      </c>
      <c r="C340" s="14">
        <f>B340*100</f>
        <v/>
      </c>
    </row>
    <row r="341">
      <c r="A341" s="12" t="n">
        <v>43136</v>
      </c>
      <c r="B341" s="13" t="n">
        <v>0.2957</v>
      </c>
      <c r="C341" s="14">
        <f>B341*100</f>
        <v/>
      </c>
    </row>
    <row r="342">
      <c r="A342" s="12" t="n">
        <v>43137</v>
      </c>
      <c r="B342" s="13" t="n">
        <v>0.2958</v>
      </c>
      <c r="C342" s="14">
        <f>B342*100</f>
        <v/>
      </c>
    </row>
    <row r="343">
      <c r="A343" s="12" t="n">
        <v>43138</v>
      </c>
      <c r="B343" s="13" t="n">
        <v>0.3147</v>
      </c>
      <c r="C343" s="14">
        <f>B343*100</f>
        <v/>
      </c>
    </row>
    <row r="344">
      <c r="A344" s="12" t="n">
        <v>43139</v>
      </c>
      <c r="B344" s="13" t="n">
        <v>0.32</v>
      </c>
      <c r="C344" s="14">
        <f>B344*100</f>
        <v/>
      </c>
    </row>
    <row r="345">
      <c r="A345" s="12" t="n">
        <v>43140</v>
      </c>
      <c r="B345" s="13" t="n">
        <v>0.3075</v>
      </c>
      <c r="C345" s="14">
        <f>B345*100</f>
        <v/>
      </c>
    </row>
    <row r="346">
      <c r="A346" s="12" t="n">
        <v>43143</v>
      </c>
      <c r="B346" s="13" t="n">
        <v>0.3135</v>
      </c>
      <c r="C346" s="14">
        <f>B346*100</f>
        <v/>
      </c>
    </row>
    <row r="347">
      <c r="A347" s="12" t="n">
        <v>43144</v>
      </c>
      <c r="B347" s="13" t="n">
        <v>0.3046</v>
      </c>
      <c r="C347" s="14">
        <f>B347*100</f>
        <v/>
      </c>
    </row>
    <row r="348">
      <c r="A348" s="12" t="n">
        <v>43145</v>
      </c>
      <c r="B348" s="13" t="n">
        <v>0.3406</v>
      </c>
      <c r="C348" s="14">
        <f>B348*100</f>
        <v/>
      </c>
    </row>
    <row r="349">
      <c r="A349" s="12" t="n">
        <v>43146</v>
      </c>
      <c r="B349" s="13" t="n">
        <v>0.3446</v>
      </c>
      <c r="C349" s="14">
        <f>B349*100</f>
        <v/>
      </c>
    </row>
    <row r="350">
      <c r="A350" s="12" t="n">
        <v>43147</v>
      </c>
      <c r="B350" s="13" t="n">
        <v>0.3347</v>
      </c>
      <c r="C350" s="14">
        <f>B350*100</f>
        <v/>
      </c>
    </row>
    <row r="351">
      <c r="A351" s="12" t="n">
        <v>43151</v>
      </c>
      <c r="B351" s="13" t="n">
        <v>0.3309</v>
      </c>
      <c r="C351" s="14">
        <f>B351*100</f>
        <v/>
      </c>
    </row>
    <row r="352">
      <c r="A352" s="12" t="n">
        <v>43152</v>
      </c>
      <c r="B352" s="13" t="n">
        <v>0.3478</v>
      </c>
      <c r="C352" s="14">
        <f>B352*100</f>
        <v/>
      </c>
    </row>
    <row r="353">
      <c r="A353" s="12" t="n">
        <v>43153</v>
      </c>
      <c r="B353" s="13" t="n">
        <v>0.3445</v>
      </c>
      <c r="C353" s="14">
        <f>B353*100</f>
        <v/>
      </c>
    </row>
    <row r="354">
      <c r="A354" s="12" t="n">
        <v>43154</v>
      </c>
      <c r="B354" s="13" t="n">
        <v>0.3275</v>
      </c>
      <c r="C354" s="14">
        <f>B354*100</f>
        <v/>
      </c>
    </row>
    <row r="355">
      <c r="A355" s="12" t="n">
        <v>43157</v>
      </c>
      <c r="B355" s="13" t="n">
        <v>0.3115</v>
      </c>
      <c r="C355" s="14">
        <f>B355*100</f>
        <v/>
      </c>
    </row>
    <row r="356">
      <c r="A356" s="12" t="n">
        <v>43158</v>
      </c>
      <c r="B356" s="13" t="n">
        <v>0.3268</v>
      </c>
      <c r="C356" s="14">
        <f>B356*100</f>
        <v/>
      </c>
    </row>
    <row r="357">
      <c r="A357" s="12" t="n">
        <v>43159</v>
      </c>
      <c r="B357" s="13" t="n">
        <v>0.321</v>
      </c>
      <c r="C357" s="14">
        <f>B357*100</f>
        <v/>
      </c>
    </row>
    <row r="358">
      <c r="A358" s="12" t="n">
        <v>43160</v>
      </c>
      <c r="B358" s="13" t="n">
        <v>0.297</v>
      </c>
      <c r="C358" s="14">
        <f>B358*100</f>
        <v/>
      </c>
    </row>
    <row r="359">
      <c r="A359" s="12" t="n">
        <v>43161</v>
      </c>
      <c r="B359" s="13" t="n">
        <v>0.3098</v>
      </c>
      <c r="C359" s="14">
        <f>B359*100</f>
        <v/>
      </c>
    </row>
    <row r="360">
      <c r="A360" s="12" t="n">
        <v>43164</v>
      </c>
      <c r="B360" s="13" t="n">
        <v>0.3157</v>
      </c>
      <c r="C360" s="14">
        <f>B360*100</f>
        <v/>
      </c>
    </row>
    <row r="361">
      <c r="A361" s="12" t="n">
        <v>43165</v>
      </c>
      <c r="B361" s="13" t="n">
        <v>0.3174</v>
      </c>
      <c r="C361" s="14">
        <f>B361*100</f>
        <v/>
      </c>
    </row>
    <row r="362">
      <c r="A362" s="12" t="n">
        <v>43166</v>
      </c>
      <c r="B362" s="13" t="n">
        <v>0.319</v>
      </c>
      <c r="C362" s="14">
        <f>B362*100</f>
        <v/>
      </c>
    </row>
    <row r="363">
      <c r="A363" s="12" t="n">
        <v>43167</v>
      </c>
      <c r="B363" s="13" t="n">
        <v>0.3103</v>
      </c>
      <c r="C363" s="14">
        <f>B363*100</f>
        <v/>
      </c>
    </row>
    <row r="364">
      <c r="A364" s="12" t="n">
        <v>43168</v>
      </c>
      <c r="B364" s="13" t="n">
        <v>0.319</v>
      </c>
      <c r="C364" s="14">
        <f>B364*100</f>
        <v/>
      </c>
    </row>
    <row r="365">
      <c r="A365" s="12" t="n">
        <v>43171</v>
      </c>
      <c r="B365" s="13" t="n">
        <v>0.3089</v>
      </c>
      <c r="C365" s="14">
        <f>B365*100</f>
        <v/>
      </c>
    </row>
    <row r="366">
      <c r="A366" s="12" t="n">
        <v>43172</v>
      </c>
      <c r="B366" s="13" t="n">
        <v>0.2937</v>
      </c>
      <c r="C366" s="14">
        <f>B366*100</f>
        <v/>
      </c>
    </row>
    <row r="367">
      <c r="A367" s="12" t="n">
        <v>43173</v>
      </c>
      <c r="B367" s="13" t="n">
        <v>0.2775</v>
      </c>
      <c r="C367" s="14">
        <f>B367*100</f>
        <v/>
      </c>
    </row>
    <row r="368">
      <c r="A368" s="12" t="n">
        <v>43174</v>
      </c>
      <c r="B368" s="13" t="n">
        <v>0.2729</v>
      </c>
      <c r="C368" s="14">
        <f>B368*100</f>
        <v/>
      </c>
    </row>
    <row r="369">
      <c r="A369" s="12" t="n">
        <v>43175</v>
      </c>
      <c r="B369" s="13" t="n">
        <v>0.2797</v>
      </c>
      <c r="C369" s="14">
        <f>B369*100</f>
        <v/>
      </c>
    </row>
    <row r="370">
      <c r="A370" s="12" t="n">
        <v>43178</v>
      </c>
      <c r="B370" s="13" t="n">
        <v>0.2788</v>
      </c>
      <c r="C370" s="14">
        <f>B370*100</f>
        <v/>
      </c>
    </row>
    <row r="371">
      <c r="A371" s="12" t="n">
        <v>43179</v>
      </c>
      <c r="B371" s="13" t="n">
        <v>0.2913</v>
      </c>
      <c r="C371" s="14">
        <f>B371*100</f>
        <v/>
      </c>
    </row>
    <row r="372">
      <c r="A372" s="12" t="n">
        <v>43180</v>
      </c>
      <c r="B372" s="13" t="n">
        <v>0.2993</v>
      </c>
      <c r="C372" s="14">
        <f>B372*100</f>
        <v/>
      </c>
    </row>
    <row r="373">
      <c r="A373" s="12" t="n">
        <v>43181</v>
      </c>
      <c r="B373" s="13" t="n">
        <v>0.2806</v>
      </c>
      <c r="C373" s="14">
        <f>B373*100</f>
        <v/>
      </c>
    </row>
    <row r="374">
      <c r="A374" s="12" t="n">
        <v>43182</v>
      </c>
      <c r="B374" s="13" t="n">
        <v>0.2708</v>
      </c>
      <c r="C374" s="14">
        <f>B374*100</f>
        <v/>
      </c>
    </row>
    <row r="375">
      <c r="A375" s="12" t="n">
        <v>43185</v>
      </c>
      <c r="B375" s="13" t="n">
        <v>0.2779</v>
      </c>
      <c r="C375" s="14">
        <f>B375*100</f>
        <v/>
      </c>
    </row>
    <row r="376">
      <c r="A376" s="12" t="n">
        <v>43186</v>
      </c>
      <c r="B376" s="13" t="n">
        <v>0.251</v>
      </c>
      <c r="C376" s="14">
        <f>B376*100</f>
        <v/>
      </c>
    </row>
    <row r="377">
      <c r="A377" s="12" t="n">
        <v>43187</v>
      </c>
      <c r="B377" s="13" t="n">
        <v>0.2479</v>
      </c>
      <c r="C377" s="14">
        <f>B377*100</f>
        <v/>
      </c>
    </row>
    <row r="378">
      <c r="A378" s="12" t="n">
        <v>43188</v>
      </c>
      <c r="B378" s="13" t="n">
        <v>0.235</v>
      </c>
      <c r="C378" s="14">
        <f>B378*100</f>
        <v/>
      </c>
    </row>
    <row r="379">
      <c r="A379" s="12" t="n">
        <v>43192</v>
      </c>
      <c r="B379" s="13" t="n">
        <v>0.2252</v>
      </c>
      <c r="C379" s="14">
        <f>B379*100</f>
        <v/>
      </c>
    </row>
    <row r="380">
      <c r="A380" s="12" t="n">
        <v>43193</v>
      </c>
      <c r="B380" s="13" t="n">
        <v>0.2439</v>
      </c>
      <c r="C380" s="14">
        <f>B380*100</f>
        <v/>
      </c>
    </row>
    <row r="381">
      <c r="A381" s="12" t="n">
        <v>43194</v>
      </c>
      <c r="B381" s="13" t="n">
        <v>0.2548</v>
      </c>
      <c r="C381" s="14">
        <f>B381*100</f>
        <v/>
      </c>
    </row>
    <row r="382">
      <c r="A382" s="12" t="n">
        <v>43195</v>
      </c>
      <c r="B382" s="13" t="n">
        <v>0.2701</v>
      </c>
      <c r="C382" s="14">
        <f>B382*100</f>
        <v/>
      </c>
    </row>
    <row r="383">
      <c r="A383" s="12" t="n">
        <v>43196</v>
      </c>
      <c r="B383" s="13" t="n">
        <v>0.2515</v>
      </c>
      <c r="C383" s="14">
        <f>B383*100</f>
        <v/>
      </c>
    </row>
    <row r="384">
      <c r="A384" s="12" t="n">
        <v>43199</v>
      </c>
      <c r="B384" s="13" t="n">
        <v>0.2496</v>
      </c>
      <c r="C384" s="14">
        <f>B384*100</f>
        <v/>
      </c>
    </row>
    <row r="385">
      <c r="A385" s="12" t="n">
        <v>43200</v>
      </c>
      <c r="B385" s="13" t="n">
        <v>0.2569</v>
      </c>
      <c r="C385" s="14">
        <f>B385*100</f>
        <v/>
      </c>
    </row>
    <row r="386">
      <c r="A386" s="12" t="n">
        <v>43201</v>
      </c>
      <c r="B386" s="13" t="n">
        <v>0.2526</v>
      </c>
      <c r="C386" s="14">
        <f>B386*100</f>
        <v/>
      </c>
    </row>
    <row r="387">
      <c r="A387" s="12" t="n">
        <v>43202</v>
      </c>
      <c r="B387" s="13" t="n">
        <v>0.2719</v>
      </c>
      <c r="C387" s="14">
        <f>B387*100</f>
        <v/>
      </c>
    </row>
    <row r="388">
      <c r="A388" s="12" t="n">
        <v>43203</v>
      </c>
      <c r="B388" s="13" t="n">
        <v>0.2731</v>
      </c>
      <c r="C388" s="14">
        <f>B388*100</f>
        <v/>
      </c>
    </row>
    <row r="389">
      <c r="A389" s="12" t="n">
        <v>43206</v>
      </c>
      <c r="B389" s="13" t="n">
        <v>0.2736</v>
      </c>
      <c r="C389" s="14">
        <f>B389*100</f>
        <v/>
      </c>
    </row>
    <row r="390">
      <c r="A390" s="12" t="n">
        <v>43207</v>
      </c>
      <c r="B390" s="13" t="n">
        <v>0.2662</v>
      </c>
      <c r="C390" s="14">
        <f>B390*100</f>
        <v/>
      </c>
    </row>
    <row r="391">
      <c r="A391" s="12" t="n">
        <v>43208</v>
      </c>
      <c r="B391" s="13" t="n">
        <v>0.2833</v>
      </c>
      <c r="C391" s="14">
        <f>B391*100</f>
        <v/>
      </c>
    </row>
    <row r="392">
      <c r="A392" s="12" t="n">
        <v>43209</v>
      </c>
      <c r="B392" s="13" t="n">
        <v>0.3036</v>
      </c>
      <c r="C392" s="14">
        <f>B392*100</f>
        <v/>
      </c>
    </row>
    <row r="393">
      <c r="A393" s="12" t="n">
        <v>43210</v>
      </c>
      <c r="B393" s="13" t="n">
        <v>0.3251</v>
      </c>
      <c r="C393" s="14">
        <f>B393*100</f>
        <v/>
      </c>
    </row>
    <row r="394">
      <c r="A394" s="12" t="n">
        <v>43213</v>
      </c>
      <c r="B394" s="13" t="n">
        <v>0.3371</v>
      </c>
      <c r="C394" s="14">
        <f>B394*100</f>
        <v/>
      </c>
    </row>
    <row r="395">
      <c r="A395" s="12" t="n">
        <v>43214</v>
      </c>
      <c r="B395" s="13" t="n">
        <v>0.3415</v>
      </c>
      <c r="C395" s="14">
        <f>B395*100</f>
        <v/>
      </c>
    </row>
    <row r="396">
      <c r="A396" s="12" t="n">
        <v>43215</v>
      </c>
      <c r="B396" s="13" t="n">
        <v>0.3548</v>
      </c>
      <c r="C396" s="14">
        <f>B396*100</f>
        <v/>
      </c>
    </row>
    <row r="397">
      <c r="A397" s="12" t="n">
        <v>43216</v>
      </c>
      <c r="B397" s="13" t="n">
        <v>0.3513</v>
      </c>
      <c r="C397" s="14">
        <f>B397*100</f>
        <v/>
      </c>
    </row>
    <row r="398">
      <c r="A398" s="12" t="n">
        <v>43217</v>
      </c>
      <c r="B398" s="13" t="n">
        <v>0.3396</v>
      </c>
      <c r="C398" s="14">
        <f>B398*100</f>
        <v/>
      </c>
    </row>
    <row r="399">
      <c r="A399" s="12" t="n">
        <v>43220</v>
      </c>
      <c r="B399" s="13" t="n">
        <v>0.3293</v>
      </c>
      <c r="C399" s="14">
        <f>B399*100</f>
        <v/>
      </c>
    </row>
    <row r="400">
      <c r="A400" s="12" t="n">
        <v>43221</v>
      </c>
      <c r="B400" s="13" t="n">
        <v>0.3333</v>
      </c>
      <c r="C400" s="14">
        <f>B400*100</f>
        <v/>
      </c>
    </row>
    <row r="401">
      <c r="A401" s="12" t="n">
        <v>43222</v>
      </c>
      <c r="B401" s="13" t="n">
        <v>0.3324</v>
      </c>
      <c r="C401" s="14">
        <f>B401*100</f>
        <v/>
      </c>
    </row>
    <row r="402">
      <c r="A402" s="12" t="n">
        <v>43223</v>
      </c>
      <c r="B402" s="13" t="n">
        <v>0.324</v>
      </c>
      <c r="C402" s="14">
        <f>B402*100</f>
        <v/>
      </c>
    </row>
    <row r="403">
      <c r="A403" s="12" t="n">
        <v>43224</v>
      </c>
      <c r="B403" s="13" t="n">
        <v>0.3269</v>
      </c>
      <c r="C403" s="14">
        <f>B403*100</f>
        <v/>
      </c>
    </row>
    <row r="404">
      <c r="A404" s="12" t="n">
        <v>43227</v>
      </c>
      <c r="B404" s="13" t="n">
        <v>0.3264</v>
      </c>
      <c r="C404" s="14">
        <f>B404*100</f>
        <v/>
      </c>
    </row>
    <row r="405">
      <c r="A405" s="12" t="n">
        <v>43228</v>
      </c>
      <c r="B405" s="13" t="n">
        <v>0.3339</v>
      </c>
      <c r="C405" s="14">
        <f>B405*100</f>
        <v/>
      </c>
    </row>
    <row r="406">
      <c r="A406" s="12" t="n">
        <v>43229</v>
      </c>
      <c r="B406" s="13" t="n">
        <v>0.3463</v>
      </c>
      <c r="C406" s="14">
        <f>B406*100</f>
        <v/>
      </c>
    </row>
    <row r="407">
      <c r="A407" s="12" t="n">
        <v>43230</v>
      </c>
      <c r="B407" s="13" t="n">
        <v>0.3419</v>
      </c>
      <c r="C407" s="14">
        <f>B407*100</f>
        <v/>
      </c>
    </row>
    <row r="408">
      <c r="A408" s="12" t="n">
        <v>43231</v>
      </c>
      <c r="B408" s="13" t="n">
        <v>0.3386</v>
      </c>
      <c r="C408" s="14">
        <f>B408*100</f>
        <v/>
      </c>
    </row>
    <row r="409">
      <c r="A409" s="12" t="n">
        <v>43234</v>
      </c>
      <c r="B409" s="13" t="n">
        <v>0.342</v>
      </c>
      <c r="C409" s="14">
        <f>B409*100</f>
        <v/>
      </c>
    </row>
    <row r="410">
      <c r="A410" s="12" t="n">
        <v>43235</v>
      </c>
      <c r="B410" s="13" t="n">
        <v>0.3721</v>
      </c>
      <c r="C410" s="14">
        <f>B410*100</f>
        <v/>
      </c>
    </row>
    <row r="411">
      <c r="A411" s="12" t="n">
        <v>43236</v>
      </c>
      <c r="B411" s="13" t="n">
        <v>0.3866</v>
      </c>
      <c r="C411" s="14">
        <f>B411*100</f>
        <v/>
      </c>
    </row>
    <row r="412">
      <c r="A412" s="12" t="n">
        <v>43237</v>
      </c>
      <c r="B412" s="13" t="n">
        <v>0.395</v>
      </c>
      <c r="C412" s="14">
        <f>B412*100</f>
        <v/>
      </c>
    </row>
    <row r="413">
      <c r="A413" s="12" t="n">
        <v>43238</v>
      </c>
      <c r="B413" s="13" t="n">
        <v>0.381</v>
      </c>
      <c r="C413" s="14">
        <f>B413*100</f>
        <v/>
      </c>
    </row>
    <row r="414">
      <c r="A414" s="12" t="n">
        <v>43241</v>
      </c>
      <c r="B414" s="13" t="n">
        <v>0.3743</v>
      </c>
      <c r="C414" s="14">
        <f>B414*100</f>
        <v/>
      </c>
    </row>
    <row r="415">
      <c r="A415" s="12" t="n">
        <v>43242</v>
      </c>
      <c r="B415" s="13" t="n">
        <v>0.3719</v>
      </c>
      <c r="C415" s="14">
        <f>B415*100</f>
        <v/>
      </c>
    </row>
    <row r="416">
      <c r="A416" s="12" t="n">
        <v>43243</v>
      </c>
      <c r="B416" s="13" t="n">
        <v>0.3486</v>
      </c>
      <c r="C416" s="14">
        <f>B416*100</f>
        <v/>
      </c>
    </row>
    <row r="417">
      <c r="A417" s="12" t="n">
        <v>43244</v>
      </c>
      <c r="B417" s="13" t="n">
        <v>0.3338</v>
      </c>
      <c r="C417" s="14">
        <f>B417*100</f>
        <v/>
      </c>
    </row>
    <row r="418">
      <c r="A418" s="12" t="n">
        <v>43245</v>
      </c>
      <c r="B418" s="13" t="n">
        <v>0.3136</v>
      </c>
      <c r="C418" s="14">
        <f>B418*100</f>
        <v/>
      </c>
    </row>
    <row r="419">
      <c r="A419" s="12" t="n">
        <v>43249</v>
      </c>
      <c r="B419" s="13" t="n">
        <v>0.2376</v>
      </c>
      <c r="C419" s="14">
        <f>B419*100</f>
        <v/>
      </c>
    </row>
    <row r="420">
      <c r="A420" s="12" t="n">
        <v>43250</v>
      </c>
      <c r="B420" s="13" t="n">
        <v>0.2491</v>
      </c>
      <c r="C420" s="14">
        <f>B420*100</f>
        <v/>
      </c>
    </row>
    <row r="421">
      <c r="A421" s="12" t="n">
        <v>43251</v>
      </c>
      <c r="B421" s="13" t="n">
        <v>0.2481</v>
      </c>
      <c r="C421" s="14">
        <f>B421*100</f>
        <v/>
      </c>
    </row>
    <row r="422">
      <c r="A422" s="12" t="n">
        <v>43252</v>
      </c>
      <c r="B422" s="13" t="n">
        <v>0.2734</v>
      </c>
      <c r="C422" s="14">
        <f>B422*100</f>
        <v/>
      </c>
    </row>
    <row r="423">
      <c r="A423" s="12" t="n">
        <v>43255</v>
      </c>
      <c r="B423" s="13" t="n">
        <v>0.2935</v>
      </c>
      <c r="C423" s="14">
        <f>B423*100</f>
        <v/>
      </c>
    </row>
    <row r="424">
      <c r="A424" s="12" t="n">
        <v>43256</v>
      </c>
      <c r="B424" s="13" t="n">
        <v>0.2867</v>
      </c>
      <c r="C424" s="14">
        <f>B424*100</f>
        <v/>
      </c>
    </row>
    <row r="425">
      <c r="A425" s="12" t="n">
        <v>43257</v>
      </c>
      <c r="B425" s="13" t="n">
        <v>0.3083</v>
      </c>
      <c r="C425" s="14">
        <f>B425*100</f>
        <v/>
      </c>
    </row>
    <row r="426">
      <c r="A426" s="12" t="n">
        <v>43258</v>
      </c>
      <c r="B426" s="13" t="n">
        <v>0.2972</v>
      </c>
      <c r="C426" s="14">
        <f>B426*100</f>
        <v/>
      </c>
    </row>
    <row r="427">
      <c r="A427" s="12" t="n">
        <v>43259</v>
      </c>
      <c r="B427" s="13" t="n">
        <v>0.2956</v>
      </c>
      <c r="C427" s="14">
        <f>B427*100</f>
        <v/>
      </c>
    </row>
    <row r="428">
      <c r="A428" s="12" t="n">
        <v>43262</v>
      </c>
      <c r="B428" s="13" t="n">
        <v>0.3049</v>
      </c>
      <c r="C428" s="14">
        <f>B428*100</f>
        <v/>
      </c>
    </row>
    <row r="429">
      <c r="A429" s="12" t="n">
        <v>43263</v>
      </c>
      <c r="B429" s="13" t="n">
        <v>0.3137</v>
      </c>
      <c r="C429" s="14">
        <f>B429*100</f>
        <v/>
      </c>
    </row>
    <row r="430">
      <c r="A430" s="12" t="n">
        <v>43264</v>
      </c>
      <c r="B430" s="13" t="n">
        <v>0.3279</v>
      </c>
      <c r="C430" s="14">
        <f>B430*100</f>
        <v/>
      </c>
    </row>
    <row r="431">
      <c r="A431" s="12" t="n">
        <v>43265</v>
      </c>
      <c r="B431" s="13" t="n">
        <v>0.3165</v>
      </c>
      <c r="C431" s="14">
        <f>B431*100</f>
        <v/>
      </c>
    </row>
    <row r="432">
      <c r="A432" s="12" t="n">
        <v>43266</v>
      </c>
      <c r="B432" s="13" t="n">
        <v>0.3103</v>
      </c>
      <c r="C432" s="14">
        <f>B432*100</f>
        <v/>
      </c>
    </row>
    <row r="433">
      <c r="A433" s="12" t="n">
        <v>43269</v>
      </c>
      <c r="B433" s="13" t="n">
        <v>0.3045</v>
      </c>
      <c r="C433" s="14">
        <f>B433*100</f>
        <v/>
      </c>
    </row>
    <row r="434">
      <c r="A434" s="12" t="n">
        <v>43270</v>
      </c>
      <c r="B434" s="13" t="n">
        <v>0.2877</v>
      </c>
      <c r="C434" s="14">
        <f>B434*100</f>
        <v/>
      </c>
    </row>
    <row r="435">
      <c r="A435" s="12" t="n">
        <v>43271</v>
      </c>
      <c r="B435" s="13" t="n">
        <v>0.2972</v>
      </c>
      <c r="C435" s="14">
        <f>B435*100</f>
        <v/>
      </c>
    </row>
    <row r="436">
      <c r="A436" s="12" t="n">
        <v>43272</v>
      </c>
      <c r="B436" s="13" t="n">
        <v>0.2888</v>
      </c>
      <c r="C436" s="14">
        <f>B436*100</f>
        <v/>
      </c>
    </row>
    <row r="437">
      <c r="A437" s="12" t="n">
        <v>43273</v>
      </c>
      <c r="B437" s="13" t="n">
        <v>0.2883</v>
      </c>
      <c r="C437" s="14">
        <f>B437*100</f>
        <v/>
      </c>
    </row>
    <row r="438">
      <c r="A438" s="12" t="n">
        <v>43276</v>
      </c>
      <c r="B438" s="13" t="n">
        <v>0.2763</v>
      </c>
      <c r="C438" s="14">
        <f>B438*100</f>
        <v/>
      </c>
    </row>
    <row r="439">
      <c r="A439" s="12" t="n">
        <v>43277</v>
      </c>
      <c r="B439" s="13" t="n">
        <v>0.2733</v>
      </c>
      <c r="C439" s="14">
        <f>B439*100</f>
        <v/>
      </c>
    </row>
    <row r="440">
      <c r="A440" s="12" t="n">
        <v>43278</v>
      </c>
      <c r="B440" s="13" t="n">
        <v>0.2558</v>
      </c>
      <c r="C440" s="14">
        <f>B440*100</f>
        <v/>
      </c>
    </row>
    <row r="441">
      <c r="A441" s="12" t="n">
        <v>43279</v>
      </c>
      <c r="B441" s="13" t="n">
        <v>0.2571</v>
      </c>
      <c r="C441" s="14">
        <f>B441*100</f>
        <v/>
      </c>
    </row>
    <row r="442">
      <c r="A442" s="12" t="n">
        <v>43280</v>
      </c>
      <c r="B442" s="13" t="n">
        <v>0.2603</v>
      </c>
      <c r="C442" s="14">
        <f>B442*100</f>
        <v/>
      </c>
    </row>
    <row r="443">
      <c r="A443" s="12" t="n">
        <v>43283</v>
      </c>
      <c r="B443" s="13" t="n">
        <v>0.2638</v>
      </c>
      <c r="C443" s="14">
        <f>B443*100</f>
        <v/>
      </c>
    </row>
    <row r="444">
      <c r="A444" s="12" t="n">
        <v>43284</v>
      </c>
      <c r="B444" s="13" t="n">
        <v>0.2505</v>
      </c>
      <c r="C444" s="14">
        <f>B444*100</f>
        <v/>
      </c>
    </row>
    <row r="445">
      <c r="A445" s="12" t="n">
        <v>43286</v>
      </c>
      <c r="B445" s="13" t="n">
        <v>0.2507</v>
      </c>
      <c r="C445" s="14">
        <f>B445*100</f>
        <v/>
      </c>
    </row>
    <row r="446">
      <c r="A446" s="12" t="n">
        <v>43287</v>
      </c>
      <c r="B446" s="13" t="n">
        <v>0.2429</v>
      </c>
      <c r="C446" s="14">
        <f>B446*100</f>
        <v/>
      </c>
    </row>
    <row r="447">
      <c r="A447" s="12" t="n">
        <v>43290</v>
      </c>
      <c r="B447" s="13" t="n">
        <v>0.2529</v>
      </c>
      <c r="C447" s="14">
        <f>B447*100</f>
        <v/>
      </c>
    </row>
    <row r="448">
      <c r="A448" s="12" t="n">
        <v>43291</v>
      </c>
      <c r="B448" s="13" t="n">
        <v>0.2599</v>
      </c>
      <c r="C448" s="14">
        <f>B448*100</f>
        <v/>
      </c>
    </row>
    <row r="449">
      <c r="A449" s="12" t="n">
        <v>43292</v>
      </c>
      <c r="B449" s="13" t="n">
        <v>0.2534</v>
      </c>
      <c r="C449" s="14">
        <f>B449*100</f>
        <v/>
      </c>
    </row>
    <row r="450">
      <c r="A450" s="12" t="n">
        <v>43293</v>
      </c>
      <c r="B450" s="13" t="n">
        <v>0.2534</v>
      </c>
      <c r="C450" s="14">
        <f>B450*100</f>
        <v/>
      </c>
    </row>
    <row r="451">
      <c r="A451" s="12" t="n">
        <v>43294</v>
      </c>
      <c r="B451" s="13" t="n">
        <v>0.2443</v>
      </c>
      <c r="C451" s="14">
        <f>B451*100</f>
        <v/>
      </c>
    </row>
    <row r="452">
      <c r="A452" s="12" t="n">
        <v>43297</v>
      </c>
      <c r="B452" s="13" t="n">
        <v>0.2457</v>
      </c>
      <c r="C452" s="14">
        <f>B452*100</f>
        <v/>
      </c>
    </row>
    <row r="453">
      <c r="A453" s="12" t="n">
        <v>43298</v>
      </c>
      <c r="B453" s="13" t="n">
        <v>0.2495</v>
      </c>
      <c r="C453" s="14">
        <f>B453*100</f>
        <v/>
      </c>
    </row>
    <row r="454">
      <c r="A454" s="12" t="n">
        <v>43299</v>
      </c>
      <c r="B454" s="13" t="n">
        <v>0.254</v>
      </c>
      <c r="C454" s="14">
        <f>B454*100</f>
        <v/>
      </c>
    </row>
    <row r="455">
      <c r="A455" s="12" t="n">
        <v>43300</v>
      </c>
      <c r="B455" s="13" t="n">
        <v>0.2441</v>
      </c>
      <c r="C455" s="14">
        <f>B455*100</f>
        <v/>
      </c>
    </row>
    <row r="456">
      <c r="A456" s="12" t="n">
        <v>43301</v>
      </c>
      <c r="B456" s="13" t="n">
        <v>0.2591</v>
      </c>
      <c r="C456" s="14">
        <f>B456*100</f>
        <v/>
      </c>
    </row>
    <row r="457">
      <c r="A457" s="12" t="n">
        <v>43304</v>
      </c>
      <c r="B457" s="13" t="n">
        <v>0.2889</v>
      </c>
      <c r="C457" s="14">
        <f>B457*100</f>
        <v/>
      </c>
    </row>
    <row r="458">
      <c r="A458" s="12" t="n">
        <v>43305</v>
      </c>
      <c r="B458" s="13" t="n">
        <v>0.291</v>
      </c>
      <c r="C458" s="14">
        <f>B458*100</f>
        <v/>
      </c>
    </row>
    <row r="459">
      <c r="A459" s="12" t="n">
        <v>43306</v>
      </c>
      <c r="B459" s="13" t="n">
        <v>0.289</v>
      </c>
      <c r="C459" s="14">
        <f>B459*100</f>
        <v/>
      </c>
    </row>
    <row r="460">
      <c r="A460" s="12" t="n">
        <v>43307</v>
      </c>
      <c r="B460" s="13" t="n">
        <v>0.3089</v>
      </c>
      <c r="C460" s="14">
        <f>B460*100</f>
        <v/>
      </c>
    </row>
    <row r="461">
      <c r="A461" s="12" t="n">
        <v>43308</v>
      </c>
      <c r="B461" s="13" t="n">
        <v>0.3051</v>
      </c>
      <c r="C461" s="14">
        <f>B461*100</f>
        <v/>
      </c>
    </row>
    <row r="462">
      <c r="A462" s="12" t="n">
        <v>43311</v>
      </c>
      <c r="B462" s="13" t="n">
        <v>0.3056</v>
      </c>
      <c r="C462" s="14">
        <f>B462*100</f>
        <v/>
      </c>
    </row>
    <row r="463">
      <c r="A463" s="12" t="n">
        <v>43312</v>
      </c>
      <c r="B463" s="13" t="n">
        <v>0.2979</v>
      </c>
      <c r="C463" s="14">
        <f>B463*100</f>
        <v/>
      </c>
    </row>
    <row r="464">
      <c r="A464" s="12" t="n">
        <v>43313</v>
      </c>
      <c r="B464" s="13" t="n">
        <v>0.3112</v>
      </c>
      <c r="C464" s="14">
        <f>B464*100</f>
        <v/>
      </c>
    </row>
    <row r="465">
      <c r="A465" s="12" t="n">
        <v>43314</v>
      </c>
      <c r="B465" s="13" t="n">
        <v>0.3074</v>
      </c>
      <c r="C465" s="14">
        <f>B465*100</f>
        <v/>
      </c>
    </row>
    <row r="466">
      <c r="A466" s="12" t="n">
        <v>43315</v>
      </c>
      <c r="B466" s="13" t="n">
        <v>0.2933</v>
      </c>
      <c r="C466" s="14">
        <f>B466*100</f>
        <v/>
      </c>
    </row>
    <row r="467">
      <c r="A467" s="12" t="n">
        <v>43318</v>
      </c>
      <c r="B467" s="13" t="n">
        <v>0.2813</v>
      </c>
      <c r="C467" s="14">
        <f>B467*100</f>
        <v/>
      </c>
    </row>
    <row r="468">
      <c r="A468" s="12" t="n">
        <v>43319</v>
      </c>
      <c r="B468" s="13" t="n">
        <v>0.2908</v>
      </c>
      <c r="C468" s="14">
        <f>B468*100</f>
        <v/>
      </c>
    </row>
    <row r="469">
      <c r="A469" s="12" t="n">
        <v>43320</v>
      </c>
      <c r="B469" s="13" t="n">
        <v>0.2914</v>
      </c>
      <c r="C469" s="14">
        <f>B469*100</f>
        <v/>
      </c>
    </row>
    <row r="470">
      <c r="A470" s="12" t="n">
        <v>43321</v>
      </c>
      <c r="B470" s="13" t="n">
        <v>0.2767</v>
      </c>
      <c r="C470" s="14">
        <f>B470*100</f>
        <v/>
      </c>
    </row>
    <row r="471">
      <c r="A471" s="12" t="n">
        <v>43322</v>
      </c>
      <c r="B471" s="13" t="n">
        <v>0.2508</v>
      </c>
      <c r="C471" s="14">
        <f>B471*100</f>
        <v/>
      </c>
    </row>
    <row r="472">
      <c r="A472" s="12" t="n">
        <v>43325</v>
      </c>
      <c r="B472" s="13" t="n">
        <v>0.2432</v>
      </c>
      <c r="C472" s="14">
        <f>B472*100</f>
        <v/>
      </c>
    </row>
    <row r="473">
      <c r="A473" s="12" t="n">
        <v>43326</v>
      </c>
      <c r="B473" s="13" t="n">
        <v>0.2464</v>
      </c>
      <c r="C473" s="14">
        <f>B473*100</f>
        <v/>
      </c>
    </row>
    <row r="474">
      <c r="A474" s="12" t="n">
        <v>43327</v>
      </c>
      <c r="B474" s="13" t="n">
        <v>0.2337</v>
      </c>
      <c r="C474" s="14">
        <f>B474*100</f>
        <v/>
      </c>
    </row>
    <row r="475">
      <c r="A475" s="12" t="n">
        <v>43328</v>
      </c>
      <c r="B475" s="13" t="n">
        <v>0.2353</v>
      </c>
      <c r="C475" s="14">
        <f>B475*100</f>
        <v/>
      </c>
    </row>
    <row r="476">
      <c r="A476" s="12" t="n">
        <v>43329</v>
      </c>
      <c r="B476" s="13" t="n">
        <v>0.2357</v>
      </c>
      <c r="C476" s="14">
        <f>B476*100</f>
        <v/>
      </c>
    </row>
    <row r="477">
      <c r="A477" s="12" t="n">
        <v>43332</v>
      </c>
      <c r="B477" s="13" t="n">
        <v>0.2156</v>
      </c>
      <c r="C477" s="14">
        <f>B477*100</f>
        <v/>
      </c>
    </row>
    <row r="478">
      <c r="A478" s="12" t="n">
        <v>43333</v>
      </c>
      <c r="B478" s="13" t="n">
        <v>0.2183</v>
      </c>
      <c r="C478" s="14">
        <f>B478*100</f>
        <v/>
      </c>
    </row>
    <row r="479">
      <c r="A479" s="12" t="n">
        <v>43334</v>
      </c>
      <c r="B479" s="13" t="n">
        <v>0.2095</v>
      </c>
      <c r="C479" s="14">
        <f>B479*100</f>
        <v/>
      </c>
    </row>
    <row r="480">
      <c r="A480" s="12" t="n">
        <v>43335</v>
      </c>
      <c r="B480" s="13" t="n">
        <v>0.2084</v>
      </c>
      <c r="C480" s="14">
        <f>B480*100</f>
        <v/>
      </c>
    </row>
    <row r="481">
      <c r="A481" s="12" t="n">
        <v>43336</v>
      </c>
      <c r="B481" s="13" t="n">
        <v>0.2097</v>
      </c>
      <c r="C481" s="14">
        <f>B481*100</f>
        <v/>
      </c>
    </row>
    <row r="482">
      <c r="A482" s="12" t="n">
        <v>43339</v>
      </c>
      <c r="B482" s="13" t="n">
        <v>0.2165</v>
      </c>
      <c r="C482" s="14">
        <f>B482*100</f>
        <v/>
      </c>
    </row>
    <row r="483">
      <c r="A483" s="12" t="n">
        <v>43340</v>
      </c>
      <c r="B483" s="13" t="n">
        <v>0.2295</v>
      </c>
      <c r="C483" s="14">
        <f>B483*100</f>
        <v/>
      </c>
    </row>
    <row r="484">
      <c r="A484" s="12" t="n">
        <v>43341</v>
      </c>
      <c r="B484" s="13" t="n">
        <v>0.2347</v>
      </c>
      <c r="C484" s="14">
        <f>B484*100</f>
        <v/>
      </c>
    </row>
    <row r="485">
      <c r="A485" s="12" t="n">
        <v>43342</v>
      </c>
      <c r="B485" s="13" t="n">
        <v>0.2242</v>
      </c>
      <c r="C485" s="14">
        <f>B485*100</f>
        <v/>
      </c>
    </row>
    <row r="486">
      <c r="A486" s="12" t="n">
        <v>43343</v>
      </c>
      <c r="B486" s="13" t="n">
        <v>0.2206</v>
      </c>
      <c r="C486" s="14">
        <f>B486*100</f>
        <v/>
      </c>
    </row>
    <row r="487">
      <c r="A487" s="12" t="n">
        <v>43347</v>
      </c>
      <c r="B487" s="13" t="n">
        <v>0.2335</v>
      </c>
      <c r="C487" s="14">
        <f>B487*100</f>
        <v/>
      </c>
    </row>
    <row r="488">
      <c r="A488" s="12" t="n">
        <v>43348</v>
      </c>
      <c r="B488" s="13" t="n">
        <v>0.2343</v>
      </c>
      <c r="C488" s="14">
        <f>B488*100</f>
        <v/>
      </c>
    </row>
    <row r="489">
      <c r="A489" s="12" t="n">
        <v>43349</v>
      </c>
      <c r="B489" s="13" t="n">
        <v>0.2277</v>
      </c>
      <c r="C489" s="14">
        <f>B489*100</f>
        <v/>
      </c>
    </row>
    <row r="490">
      <c r="A490" s="12" t="n">
        <v>43350</v>
      </c>
      <c r="B490" s="13" t="n">
        <v>0.2523</v>
      </c>
      <c r="C490" s="14">
        <f>B490*100</f>
        <v/>
      </c>
    </row>
    <row r="491">
      <c r="A491" s="12" t="n">
        <v>43353</v>
      </c>
      <c r="B491" s="13" t="n">
        <v>0.2544</v>
      </c>
      <c r="C491" s="14">
        <f>B491*100</f>
        <v/>
      </c>
    </row>
    <row r="492">
      <c r="A492" s="12" t="n">
        <v>43354</v>
      </c>
      <c r="B492" s="13" t="n">
        <v>0.272</v>
      </c>
      <c r="C492" s="14">
        <f>B492*100</f>
        <v/>
      </c>
    </row>
    <row r="493">
      <c r="A493" s="12" t="n">
        <v>43355</v>
      </c>
      <c r="B493" s="13" t="n">
        <v>0.2709</v>
      </c>
      <c r="C493" s="14">
        <f>B493*100</f>
        <v/>
      </c>
    </row>
    <row r="494">
      <c r="A494" s="12" t="n">
        <v>43356</v>
      </c>
      <c r="B494" s="13" t="n">
        <v>0.2717</v>
      </c>
      <c r="C494" s="14">
        <f>B494*100</f>
        <v/>
      </c>
    </row>
    <row r="495">
      <c r="A495" s="12" t="n">
        <v>43357</v>
      </c>
      <c r="B495" s="13" t="n">
        <v>0.283</v>
      </c>
      <c r="C495" s="14">
        <f>B495*100</f>
        <v/>
      </c>
    </row>
    <row r="496">
      <c r="A496" s="12" t="n">
        <v>43360</v>
      </c>
      <c r="B496" s="13" t="n">
        <v>0.2829</v>
      </c>
      <c r="C496" s="14">
        <f>B496*100</f>
        <v/>
      </c>
    </row>
    <row r="497">
      <c r="A497" s="12" t="n">
        <v>43361</v>
      </c>
      <c r="B497" s="13" t="n">
        <v>0.3029</v>
      </c>
      <c r="C497" s="14">
        <f>B497*100</f>
        <v/>
      </c>
    </row>
    <row r="498">
      <c r="A498" s="12" t="n">
        <v>43362</v>
      </c>
      <c r="B498" s="13" t="n">
        <v>0.3183</v>
      </c>
      <c r="C498" s="14">
        <f>B498*100</f>
        <v/>
      </c>
    </row>
    <row r="499">
      <c r="A499" s="12" t="n">
        <v>43363</v>
      </c>
      <c r="B499" s="13" t="n">
        <v>0.3206</v>
      </c>
      <c r="C499" s="14">
        <f>B499*100</f>
        <v/>
      </c>
    </row>
    <row r="500">
      <c r="A500" s="12" t="n">
        <v>43364</v>
      </c>
      <c r="B500" s="13" t="n">
        <v>0.3188</v>
      </c>
      <c r="C500" s="14">
        <f>B500*100</f>
        <v/>
      </c>
    </row>
    <row r="501">
      <c r="A501" s="12" t="n">
        <v>43367</v>
      </c>
      <c r="B501" s="13" t="n">
        <v>0.3192</v>
      </c>
      <c r="C501" s="14">
        <f>B501*100</f>
        <v/>
      </c>
    </row>
    <row r="502">
      <c r="A502" s="12" t="n">
        <v>43368</v>
      </c>
      <c r="B502" s="13" t="n">
        <v>0.3262</v>
      </c>
      <c r="C502" s="14">
        <f>B502*100</f>
        <v/>
      </c>
    </row>
    <row r="503">
      <c r="A503" s="12" t="n">
        <v>43369</v>
      </c>
      <c r="B503" s="13" t="n">
        <v>0.3161</v>
      </c>
      <c r="C503" s="14">
        <f>B503*100</f>
        <v/>
      </c>
    </row>
    <row r="504">
      <c r="A504" s="12" t="n">
        <v>43370</v>
      </c>
      <c r="B504" s="13" t="n">
        <v>0.3136</v>
      </c>
      <c r="C504" s="14">
        <f>B504*100</f>
        <v/>
      </c>
    </row>
    <row r="505">
      <c r="A505" s="12" t="n">
        <v>43371</v>
      </c>
      <c r="B505" s="13" t="n">
        <v>0.3096</v>
      </c>
      <c r="C505" s="14">
        <f>B505*100</f>
        <v/>
      </c>
    </row>
    <row r="506">
      <c r="A506" s="12" t="n">
        <v>43374</v>
      </c>
      <c r="B506" s="13" t="n">
        <v>0.3163</v>
      </c>
      <c r="C506" s="14">
        <f>B506*100</f>
        <v/>
      </c>
    </row>
    <row r="507">
      <c r="A507" s="12" t="n">
        <v>43375</v>
      </c>
      <c r="B507" s="13" t="n">
        <v>0.3056</v>
      </c>
      <c r="C507" s="14">
        <f>B507*100</f>
        <v/>
      </c>
    </row>
    <row r="508">
      <c r="A508" s="12" t="n">
        <v>43376</v>
      </c>
      <c r="B508" s="13" t="n">
        <v>0.336</v>
      </c>
      <c r="C508" s="14">
        <f>B508*100</f>
        <v/>
      </c>
    </row>
    <row r="509">
      <c r="A509" s="12" t="n">
        <v>43377</v>
      </c>
      <c r="B509" s="13" t="n">
        <v>0.3613</v>
      </c>
      <c r="C509" s="14">
        <f>B509*100</f>
        <v/>
      </c>
    </row>
    <row r="510">
      <c r="A510" s="12" t="n">
        <v>43378</v>
      </c>
      <c r="B510" s="13" t="n">
        <v>0.3826</v>
      </c>
      <c r="C510" s="14">
        <f>B510*100</f>
        <v/>
      </c>
    </row>
    <row r="511">
      <c r="A511" s="12" t="n">
        <v>43382</v>
      </c>
      <c r="B511" s="13" t="n">
        <v>0.3767</v>
      </c>
      <c r="C511" s="14">
        <f>B511*100</f>
        <v/>
      </c>
    </row>
    <row r="512">
      <c r="A512" s="12" t="n">
        <v>43383</v>
      </c>
      <c r="B512" s="13" t="n">
        <v>0.3751</v>
      </c>
      <c r="C512" s="14">
        <f>B512*100</f>
        <v/>
      </c>
    </row>
    <row r="513">
      <c r="A513" s="12" t="n">
        <v>43384</v>
      </c>
      <c r="B513" s="13" t="n">
        <v>0.3502</v>
      </c>
      <c r="C513" s="14">
        <f>B513*100</f>
        <v/>
      </c>
    </row>
    <row r="514">
      <c r="A514" s="12" t="n">
        <v>43385</v>
      </c>
      <c r="B514" s="13" t="n">
        <v>0.3435</v>
      </c>
      <c r="C514" s="14">
        <f>B514*100</f>
        <v/>
      </c>
    </row>
    <row r="515">
      <c r="A515" s="12" t="n">
        <v>43388</v>
      </c>
      <c r="B515" s="13" t="n">
        <v>0.3427</v>
      </c>
      <c r="C515" s="14">
        <f>B515*100</f>
        <v/>
      </c>
    </row>
    <row r="516">
      <c r="A516" s="12" t="n">
        <v>43389</v>
      </c>
      <c r="B516" s="13" t="n">
        <v>0.3409</v>
      </c>
      <c r="C516" s="14">
        <f>B516*100</f>
        <v/>
      </c>
    </row>
    <row r="517">
      <c r="A517" s="12" t="n">
        <v>43390</v>
      </c>
      <c r="B517" s="13" t="n">
        <v>0.3506</v>
      </c>
      <c r="C517" s="14">
        <f>B517*100</f>
        <v/>
      </c>
    </row>
    <row r="518">
      <c r="A518" s="12" t="n">
        <v>43391</v>
      </c>
      <c r="B518" s="13" t="n">
        <v>0.3459</v>
      </c>
      <c r="C518" s="14">
        <f>B518*100</f>
        <v/>
      </c>
    </row>
    <row r="519">
      <c r="A519" s="12" t="n">
        <v>43392</v>
      </c>
      <c r="B519" s="13" t="n">
        <v>0.357</v>
      </c>
      <c r="C519" s="14">
        <f>B519*100</f>
        <v/>
      </c>
    </row>
    <row r="520">
      <c r="A520" s="12" t="n">
        <v>43395</v>
      </c>
      <c r="B520" s="13" t="n">
        <v>0.3544</v>
      </c>
      <c r="C520" s="14">
        <f>B520*100</f>
        <v/>
      </c>
    </row>
    <row r="521">
      <c r="A521" s="12" t="n">
        <v>43396</v>
      </c>
      <c r="B521" s="13" t="n">
        <v>0.342</v>
      </c>
      <c r="C521" s="14">
        <f>B521*100</f>
        <v/>
      </c>
    </row>
    <row r="522">
      <c r="A522" s="12" t="n">
        <v>43397</v>
      </c>
      <c r="B522" s="13" t="n">
        <v>0.3089</v>
      </c>
      <c r="C522" s="14">
        <f>B522*100</f>
        <v/>
      </c>
    </row>
    <row r="523">
      <c r="A523" s="12" t="n">
        <v>43398</v>
      </c>
      <c r="B523" s="13" t="n">
        <v>0.316</v>
      </c>
      <c r="C523" s="14">
        <f>B523*100</f>
        <v/>
      </c>
    </row>
    <row r="524">
      <c r="A524" s="12" t="n">
        <v>43399</v>
      </c>
      <c r="B524" s="13" t="n">
        <v>0.293</v>
      </c>
      <c r="C524" s="14">
        <f>B524*100</f>
        <v/>
      </c>
    </row>
    <row r="525">
      <c r="A525" s="12" t="n">
        <v>43402</v>
      </c>
      <c r="B525" s="13" t="n">
        <v>0.2856</v>
      </c>
      <c r="C525" s="14">
        <f>B525*100</f>
        <v/>
      </c>
    </row>
    <row r="526">
      <c r="A526" s="12" t="n">
        <v>43403</v>
      </c>
      <c r="B526" s="13" t="n">
        <v>0.2978</v>
      </c>
      <c r="C526" s="14">
        <f>B526*100</f>
        <v/>
      </c>
    </row>
    <row r="527">
      <c r="A527" s="12" t="n">
        <v>43404</v>
      </c>
      <c r="B527" s="13" t="n">
        <v>0.316</v>
      </c>
      <c r="C527" s="14">
        <f>B527*100</f>
        <v/>
      </c>
    </row>
    <row r="528">
      <c r="A528" s="12" t="n">
        <v>43405</v>
      </c>
      <c r="B528" s="13" t="n">
        <v>0.3154</v>
      </c>
      <c r="C528" s="14">
        <f>B528*100</f>
        <v/>
      </c>
    </row>
    <row r="529">
      <c r="A529" s="12" t="n">
        <v>43406</v>
      </c>
      <c r="B529" s="13" t="n">
        <v>0.346</v>
      </c>
      <c r="C529" s="14">
        <f>B529*100</f>
        <v/>
      </c>
    </row>
    <row r="530">
      <c r="A530" s="12" t="n">
        <v>43409</v>
      </c>
      <c r="B530" s="13" t="n">
        <v>0.3451</v>
      </c>
      <c r="C530" s="14">
        <f>B530*100</f>
        <v/>
      </c>
    </row>
    <row r="531">
      <c r="A531" s="12" t="n">
        <v>43410</v>
      </c>
      <c r="B531" s="13" t="n">
        <v>0.3517</v>
      </c>
      <c r="C531" s="14">
        <f>B531*100</f>
        <v/>
      </c>
    </row>
    <row r="532">
      <c r="A532" s="12" t="n">
        <v>43411</v>
      </c>
      <c r="B532" s="13" t="n">
        <v>0.3569</v>
      </c>
      <c r="C532" s="14">
        <f>B532*100</f>
        <v/>
      </c>
    </row>
    <row r="533">
      <c r="A533" s="12" t="n">
        <v>43412</v>
      </c>
      <c r="B533" s="13" t="n">
        <v>0.3671</v>
      </c>
      <c r="C533" s="14">
        <f>B533*100</f>
        <v/>
      </c>
    </row>
    <row r="534">
      <c r="A534" s="12" t="n">
        <v>43413</v>
      </c>
      <c r="B534" s="13" t="n">
        <v>0.3512</v>
      </c>
      <c r="C534" s="14">
        <f>B534*100</f>
        <v/>
      </c>
    </row>
    <row r="535">
      <c r="A535" s="12" t="n">
        <v>43417</v>
      </c>
      <c r="B535" s="13" t="n">
        <v>0.3214</v>
      </c>
      <c r="C535" s="14">
        <f>B535*100</f>
        <v/>
      </c>
    </row>
    <row r="536">
      <c r="A536" s="12" t="n">
        <v>43418</v>
      </c>
      <c r="B536" s="13" t="n">
        <v>0.3031</v>
      </c>
      <c r="C536" s="14">
        <f>B536*100</f>
        <v/>
      </c>
    </row>
    <row r="537">
      <c r="A537" s="12" t="n">
        <v>43419</v>
      </c>
      <c r="B537" s="13" t="n">
        <v>0.2935</v>
      </c>
      <c r="C537" s="14">
        <f>B537*100</f>
        <v/>
      </c>
    </row>
    <row r="538">
      <c r="A538" s="12" t="n">
        <v>43420</v>
      </c>
      <c r="B538" s="13" t="n">
        <v>0.278</v>
      </c>
      <c r="C538" s="14">
        <f>B538*100</f>
        <v/>
      </c>
    </row>
    <row r="539">
      <c r="A539" s="12" t="n">
        <v>43423</v>
      </c>
      <c r="B539" s="13" t="n">
        <v>0.2638</v>
      </c>
      <c r="C539" s="14">
        <f>B539*100</f>
        <v/>
      </c>
    </row>
    <row r="540">
      <c r="A540" s="12" t="n">
        <v>43424</v>
      </c>
      <c r="B540" s="13" t="n">
        <v>0.2612</v>
      </c>
      <c r="C540" s="14">
        <f>B540*100</f>
        <v/>
      </c>
    </row>
    <row r="541">
      <c r="A541" s="12" t="n">
        <v>43425</v>
      </c>
      <c r="B541" s="13" t="n">
        <v>0.2632</v>
      </c>
      <c r="C541" s="14">
        <f>B541*100</f>
        <v/>
      </c>
    </row>
    <row r="542">
      <c r="A542" s="12" t="n">
        <v>43427</v>
      </c>
      <c r="B542" s="13" t="n">
        <v>0.2569</v>
      </c>
      <c r="C542" s="14">
        <f>B542*100</f>
        <v/>
      </c>
    </row>
    <row r="543">
      <c r="A543" s="12" t="n">
        <v>43430</v>
      </c>
      <c r="B543" s="13" t="n">
        <v>0.2619</v>
      </c>
      <c r="C543" s="14">
        <f>B543*100</f>
        <v/>
      </c>
    </row>
    <row r="544">
      <c r="A544" s="12" t="n">
        <v>43431</v>
      </c>
      <c r="B544" s="13" t="n">
        <v>0.2596</v>
      </c>
      <c r="C544" s="14">
        <f>B544*100</f>
        <v/>
      </c>
    </row>
    <row r="545">
      <c r="A545" s="12" t="n">
        <v>43432</v>
      </c>
      <c r="B545" s="13" t="n">
        <v>0.2516</v>
      </c>
      <c r="C545" s="14">
        <f>B545*100</f>
        <v/>
      </c>
    </row>
    <row r="546">
      <c r="A546" s="12" t="n">
        <v>43433</v>
      </c>
      <c r="B546" s="13" t="n">
        <v>0.2469</v>
      </c>
      <c r="C546" s="14">
        <f>B546*100</f>
        <v/>
      </c>
    </row>
    <row r="547">
      <c r="A547" s="12" t="n">
        <v>43434</v>
      </c>
      <c r="B547" s="13" t="n">
        <v>0.238</v>
      </c>
      <c r="C547" s="14">
        <f>B547*100</f>
        <v/>
      </c>
    </row>
    <row r="548">
      <c r="A548" s="12" t="n">
        <v>43437</v>
      </c>
      <c r="B548" s="13" t="n">
        <v>0.2277</v>
      </c>
      <c r="C548" s="14">
        <f>B548*100</f>
        <v/>
      </c>
    </row>
    <row r="549">
      <c r="A549" s="12" t="n">
        <v>43438</v>
      </c>
      <c r="B549" s="13" t="n">
        <v>0.1935</v>
      </c>
      <c r="C549" s="14">
        <f>B549*100</f>
        <v/>
      </c>
    </row>
    <row r="550">
      <c r="A550" s="12" t="n">
        <v>43440</v>
      </c>
      <c r="B550" s="13" t="n">
        <v>0.1682</v>
      </c>
      <c r="C550" s="14">
        <f>B550*100</f>
        <v/>
      </c>
    </row>
    <row r="551">
      <c r="A551" s="12" t="n">
        <v>43441</v>
      </c>
      <c r="B551" s="13" t="n">
        <v>0.1482</v>
      </c>
      <c r="C551" s="14">
        <f>B551*100</f>
        <v/>
      </c>
    </row>
    <row r="552">
      <c r="A552" s="12" t="n">
        <v>43444</v>
      </c>
      <c r="B552" s="13" t="n">
        <v>0.1409</v>
      </c>
      <c r="C552" s="14">
        <f>B552*100</f>
        <v/>
      </c>
    </row>
    <row r="553">
      <c r="A553" s="12" t="n">
        <v>43445</v>
      </c>
      <c r="B553" s="13" t="n">
        <v>0.1564</v>
      </c>
      <c r="C553" s="14">
        <f>B553*100</f>
        <v/>
      </c>
    </row>
    <row r="554">
      <c r="A554" s="12" t="n">
        <v>43446</v>
      </c>
      <c r="B554" s="13" t="n">
        <v>0.1647</v>
      </c>
      <c r="C554" s="14">
        <f>B554*100</f>
        <v/>
      </c>
    </row>
    <row r="555">
      <c r="A555" s="12" t="n">
        <v>43447</v>
      </c>
      <c r="B555" s="13" t="n">
        <v>0.1616</v>
      </c>
      <c r="C555" s="14">
        <f>B555*100</f>
        <v/>
      </c>
    </row>
    <row r="556">
      <c r="A556" s="12" t="n">
        <v>43448</v>
      </c>
      <c r="B556" s="13" t="n">
        <v>0.154</v>
      </c>
      <c r="C556" s="14">
        <f>B556*100</f>
        <v/>
      </c>
    </row>
    <row r="557">
      <c r="A557" s="12" t="n">
        <v>43451</v>
      </c>
      <c r="B557" s="13" t="n">
        <v>0.1383</v>
      </c>
      <c r="C557" s="14">
        <f>B557*100</f>
        <v/>
      </c>
    </row>
    <row r="558">
      <c r="A558" s="12" t="n">
        <v>43452</v>
      </c>
      <c r="B558" s="13" t="n">
        <v>0.1231</v>
      </c>
      <c r="C558" s="14">
        <f>B558*100</f>
        <v/>
      </c>
    </row>
    <row r="559">
      <c r="A559" s="12" t="n">
        <v>43453</v>
      </c>
      <c r="B559" s="13" t="n">
        <v>0.1022</v>
      </c>
      <c r="C559" s="14">
        <f>B559*100</f>
        <v/>
      </c>
    </row>
    <row r="560">
      <c r="A560" s="12" t="n">
        <v>43454</v>
      </c>
      <c r="B560" s="13" t="n">
        <v>0.1073</v>
      </c>
      <c r="C560" s="14">
        <f>B560*100</f>
        <v/>
      </c>
    </row>
    <row r="561">
      <c r="A561" s="12" t="n">
        <v>43455</v>
      </c>
      <c r="B561" s="13" t="n">
        <v>0.106</v>
      </c>
      <c r="C561" s="14">
        <f>B561*100</f>
        <v/>
      </c>
    </row>
    <row r="562">
      <c r="A562" s="12" t="n">
        <v>43458</v>
      </c>
      <c r="B562" s="13" t="n">
        <v>0.08169999999999999</v>
      </c>
      <c r="C562" s="14">
        <f>B562*100</f>
        <v/>
      </c>
    </row>
    <row r="563">
      <c r="A563" s="12" t="n">
        <v>43460</v>
      </c>
      <c r="B563" s="13" t="n">
        <v>0.1042</v>
      </c>
      <c r="C563" s="14">
        <f>B563*100</f>
        <v/>
      </c>
    </row>
    <row r="564">
      <c r="A564" s="12" t="n">
        <v>43461</v>
      </c>
      <c r="B564" s="13" t="n">
        <v>0.09229999999999999</v>
      </c>
      <c r="C564" s="14">
        <f>B564*100</f>
        <v/>
      </c>
    </row>
    <row r="565">
      <c r="A565" s="12" t="n">
        <v>43462</v>
      </c>
      <c r="B565" s="13" t="n">
        <v>0.07340000000000001</v>
      </c>
      <c r="C565" s="14">
        <f>B565*100</f>
        <v/>
      </c>
    </row>
    <row r="566">
      <c r="A566" s="12" t="n">
        <v>43465</v>
      </c>
      <c r="B566" s="13" t="n">
        <v>0.0497</v>
      </c>
      <c r="C566" s="14">
        <f>B566*100</f>
        <v/>
      </c>
    </row>
    <row r="567">
      <c r="A567" s="12" t="n">
        <v>43467</v>
      </c>
      <c r="B567" s="13" t="n">
        <v>0.0327</v>
      </c>
      <c r="C567" s="14">
        <f>B567*100</f>
        <v/>
      </c>
    </row>
    <row r="568">
      <c r="A568" s="12" t="n">
        <v>43468</v>
      </c>
      <c r="B568" s="13" t="n">
        <v>-0.0143</v>
      </c>
      <c r="C568" s="14">
        <f>B568*100</f>
        <v/>
      </c>
    </row>
    <row r="569">
      <c r="A569" s="12" t="n">
        <v>43469</v>
      </c>
      <c r="B569" s="13" t="n">
        <v>0.0184</v>
      </c>
      <c r="C569" s="14">
        <f>B569*100</f>
        <v/>
      </c>
    </row>
    <row r="570">
      <c r="A570" s="12" t="n">
        <v>43472</v>
      </c>
      <c r="B570" s="13" t="n">
        <v>0.0371</v>
      </c>
      <c r="C570" s="14">
        <f>B570*100</f>
        <v/>
      </c>
    </row>
    <row r="571">
      <c r="A571" s="12" t="n">
        <v>43473</v>
      </c>
      <c r="B571" s="13" t="n">
        <v>0.0535</v>
      </c>
      <c r="C571" s="14">
        <f>B571*100</f>
        <v/>
      </c>
    </row>
    <row r="572">
      <c r="A572" s="12" t="n">
        <v>43474</v>
      </c>
      <c r="B572" s="13" t="n">
        <v>0.0587</v>
      </c>
      <c r="C572" s="14">
        <f>B572*100</f>
        <v/>
      </c>
    </row>
    <row r="573">
      <c r="A573" s="12" t="n">
        <v>43475</v>
      </c>
      <c r="B573" s="13" t="n">
        <v>0.0618</v>
      </c>
      <c r="C573" s="14">
        <f>B573*100</f>
        <v/>
      </c>
    </row>
    <row r="574">
      <c r="A574" s="12" t="n">
        <v>43476</v>
      </c>
      <c r="B574" s="13" t="n">
        <v>0.0524</v>
      </c>
      <c r="C574" s="14">
        <f>B574*100</f>
        <v/>
      </c>
    </row>
    <row r="575">
      <c r="A575" s="12" t="n">
        <v>43479</v>
      </c>
      <c r="B575" s="13" t="n">
        <v>0.0495</v>
      </c>
      <c r="C575" s="14">
        <f>B575*100</f>
        <v/>
      </c>
    </row>
    <row r="576">
      <c r="A576" s="12" t="n">
        <v>43480</v>
      </c>
      <c r="B576" s="13" t="n">
        <v>0.0508</v>
      </c>
      <c r="C576" s="14">
        <f>B576*100</f>
        <v/>
      </c>
    </row>
    <row r="577">
      <c r="A577" s="12" t="n">
        <v>43481</v>
      </c>
      <c r="B577" s="13" t="n">
        <v>0.0587</v>
      </c>
      <c r="C577" s="14">
        <f>B577*100</f>
        <v/>
      </c>
    </row>
    <row r="578">
      <c r="A578" s="12" t="n">
        <v>43482</v>
      </c>
      <c r="B578" s="13" t="n">
        <v>0.0738</v>
      </c>
      <c r="C578" s="14">
        <f>B578*100</f>
        <v/>
      </c>
    </row>
    <row r="579">
      <c r="A579" s="12" t="n">
        <v>43483</v>
      </c>
      <c r="B579" s="13" t="n">
        <v>0.09420000000000001</v>
      </c>
      <c r="C579" s="14">
        <f>B579*100</f>
        <v/>
      </c>
    </row>
    <row r="580">
      <c r="A580" s="12" t="n">
        <v>43487</v>
      </c>
      <c r="B580" s="13" t="n">
        <v>0.07920000000000001</v>
      </c>
      <c r="C580" s="14">
        <f>B580*100</f>
        <v/>
      </c>
    </row>
    <row r="581">
      <c r="A581" s="12" t="n">
        <v>43488</v>
      </c>
      <c r="B581" s="13" t="n">
        <v>0.08160000000000001</v>
      </c>
      <c r="C581" s="14">
        <f>B581*100</f>
        <v/>
      </c>
    </row>
    <row r="582">
      <c r="A582" s="12" t="n">
        <v>43489</v>
      </c>
      <c r="B582" s="13" t="n">
        <v>0.0703</v>
      </c>
      <c r="C582" s="14">
        <f>B582*100</f>
        <v/>
      </c>
    </row>
    <row r="583">
      <c r="A583" s="12" t="n">
        <v>43490</v>
      </c>
      <c r="B583" s="13" t="n">
        <v>0.08169999999999999</v>
      </c>
      <c r="C583" s="14">
        <f>B583*100</f>
        <v/>
      </c>
    </row>
    <row r="584">
      <c r="A584" s="12" t="n">
        <v>43493</v>
      </c>
      <c r="B584" s="13" t="n">
        <v>0.0793</v>
      </c>
      <c r="C584" s="14">
        <f>B584*100</f>
        <v/>
      </c>
    </row>
    <row r="585">
      <c r="A585" s="12" t="n">
        <v>43494</v>
      </c>
      <c r="B585" s="13" t="n">
        <v>0.0641</v>
      </c>
      <c r="C585" s="14">
        <f>B585*100</f>
        <v/>
      </c>
    </row>
    <row r="586">
      <c r="A586" s="12" t="n">
        <v>43495</v>
      </c>
      <c r="B586" s="13" t="n">
        <v>0.048</v>
      </c>
      <c r="C586" s="14">
        <f>B586*100</f>
        <v/>
      </c>
    </row>
    <row r="587">
      <c r="A587" s="12" t="n">
        <v>43496</v>
      </c>
      <c r="B587" s="13" t="n">
        <v>0.0182</v>
      </c>
      <c r="C587" s="14">
        <f>B587*100</f>
        <v/>
      </c>
    </row>
    <row r="588">
      <c r="A588" s="12" t="n">
        <v>43497</v>
      </c>
      <c r="B588" s="13" t="n">
        <v>0.0421</v>
      </c>
      <c r="C588" s="14">
        <f>B588*100</f>
        <v/>
      </c>
    </row>
    <row r="589">
      <c r="A589" s="12" t="n">
        <v>43500</v>
      </c>
      <c r="B589" s="13" t="n">
        <v>0.059</v>
      </c>
      <c r="C589" s="14">
        <f>B589*100</f>
        <v/>
      </c>
    </row>
    <row r="590">
      <c r="A590" s="12" t="n">
        <v>43501</v>
      </c>
      <c r="B590" s="13" t="n">
        <v>0.0549</v>
      </c>
      <c r="C590" s="14">
        <f>B590*100</f>
        <v/>
      </c>
    </row>
    <row r="591">
      <c r="A591" s="12" t="n">
        <v>43502</v>
      </c>
      <c r="B591" s="13" t="n">
        <v>0.0496</v>
      </c>
      <c r="C591" s="14">
        <f>B591*100</f>
        <v/>
      </c>
    </row>
    <row r="592">
      <c r="A592" s="12" t="n">
        <v>43503</v>
      </c>
      <c r="B592" s="13" t="n">
        <v>0.0302</v>
      </c>
      <c r="C592" s="14">
        <f>B592*100</f>
        <v/>
      </c>
    </row>
    <row r="593">
      <c r="A593" s="12" t="n">
        <v>43504</v>
      </c>
      <c r="B593" s="13" t="n">
        <v>0.0182</v>
      </c>
      <c r="C593" s="14">
        <f>B593*100</f>
        <v/>
      </c>
    </row>
    <row r="594">
      <c r="A594" s="12" t="n">
        <v>43507</v>
      </c>
      <c r="B594" s="13" t="n">
        <v>0.0231</v>
      </c>
      <c r="C594" s="14">
        <f>B594*100</f>
        <v/>
      </c>
    </row>
    <row r="595">
      <c r="A595" s="12" t="n">
        <v>43508</v>
      </c>
      <c r="B595" s="13" t="n">
        <v>0.0351</v>
      </c>
      <c r="C595" s="14">
        <f>B595*100</f>
        <v/>
      </c>
    </row>
    <row r="596">
      <c r="A596" s="12" t="n">
        <v>43509</v>
      </c>
      <c r="B596" s="13" t="n">
        <v>0.0497</v>
      </c>
      <c r="C596" s="14">
        <f>B596*100</f>
        <v/>
      </c>
    </row>
    <row r="597">
      <c r="A597" s="12" t="n">
        <v>43510</v>
      </c>
      <c r="B597" s="13" t="n">
        <v>0.0336</v>
      </c>
      <c r="C597" s="14">
        <f>B597*100</f>
        <v/>
      </c>
    </row>
    <row r="598">
      <c r="A598" s="12" t="n">
        <v>43511</v>
      </c>
      <c r="B598" s="13" t="n">
        <v>0.0337</v>
      </c>
      <c r="C598" s="14">
        <f>B598*100</f>
        <v/>
      </c>
    </row>
    <row r="599">
      <c r="A599" s="12" t="n">
        <v>43515</v>
      </c>
      <c r="B599" s="13" t="n">
        <v>0.0243</v>
      </c>
      <c r="C599" s="14">
        <f>B599*100</f>
        <v/>
      </c>
    </row>
    <row r="600">
      <c r="A600" s="12" t="n">
        <v>43516</v>
      </c>
      <c r="B600" s="13" t="n">
        <v>0.0211</v>
      </c>
      <c r="C600" s="14">
        <f>B600*100</f>
        <v/>
      </c>
    </row>
    <row r="601">
      <c r="A601" s="12" t="n">
        <v>43517</v>
      </c>
      <c r="B601" s="13" t="n">
        <v>0.0351</v>
      </c>
      <c r="C601" s="14">
        <f>B601*100</f>
        <v/>
      </c>
    </row>
    <row r="602">
      <c r="A602" s="12" t="n">
        <v>43518</v>
      </c>
      <c r="B602" s="13" t="n">
        <v>0.0245</v>
      </c>
      <c r="C602" s="14">
        <f>B602*100</f>
        <v/>
      </c>
    </row>
    <row r="603">
      <c r="A603" s="12" t="n">
        <v>43521</v>
      </c>
      <c r="B603" s="13" t="n">
        <v>0.0268</v>
      </c>
      <c r="C603" s="14">
        <f>B603*100</f>
        <v/>
      </c>
    </row>
    <row r="604">
      <c r="A604" s="12" t="n">
        <v>43522</v>
      </c>
      <c r="B604" s="13" t="n">
        <v>0.0158</v>
      </c>
      <c r="C604" s="14">
        <f>B604*100</f>
        <v/>
      </c>
    </row>
    <row r="605">
      <c r="A605" s="12" t="n">
        <v>43523</v>
      </c>
      <c r="B605" s="13" t="n">
        <v>0.0319</v>
      </c>
      <c r="C605" s="14">
        <f>B605*100</f>
        <v/>
      </c>
    </row>
    <row r="606">
      <c r="A606" s="12" t="n">
        <v>43524</v>
      </c>
      <c r="B606" s="13" t="n">
        <v>0.052</v>
      </c>
      <c r="C606" s="14">
        <f>B606*100</f>
        <v/>
      </c>
    </row>
    <row r="607">
      <c r="A607" s="12" t="n">
        <v>43525</v>
      </c>
      <c r="B607" s="13" t="n">
        <v>0.0728</v>
      </c>
      <c r="C607" s="14">
        <f>B607*100</f>
        <v/>
      </c>
    </row>
    <row r="608">
      <c r="A608" s="12" t="n">
        <v>43528</v>
      </c>
      <c r="B608" s="13" t="n">
        <v>0.0619</v>
      </c>
      <c r="C608" s="14">
        <f>B608*100</f>
        <v/>
      </c>
    </row>
    <row r="609">
      <c r="A609" s="12" t="n">
        <v>43529</v>
      </c>
      <c r="B609" s="13" t="n">
        <v>0.0574</v>
      </c>
      <c r="C609" s="14">
        <f>B609*100</f>
        <v/>
      </c>
    </row>
    <row r="610">
      <c r="A610" s="12" t="n">
        <v>43530</v>
      </c>
      <c r="B610" s="13" t="n">
        <v>0.0415</v>
      </c>
      <c r="C610" s="14">
        <f>B610*100</f>
        <v/>
      </c>
    </row>
    <row r="611">
      <c r="A611" s="12" t="n">
        <v>43531</v>
      </c>
      <c r="B611" s="13" t="n">
        <v>0.0184</v>
      </c>
      <c r="C611" s="14">
        <f>B611*100</f>
        <v/>
      </c>
    </row>
    <row r="612">
      <c r="A612" s="12" t="n">
        <v>43532</v>
      </c>
      <c r="B612" s="13" t="n">
        <v>0.0042</v>
      </c>
      <c r="C612" s="14">
        <f>B612*100</f>
        <v/>
      </c>
    </row>
    <row r="613">
      <c r="A613" s="12" t="n">
        <v>43535</v>
      </c>
      <c r="B613" s="13" t="n">
        <v>0.0063</v>
      </c>
      <c r="C613" s="14">
        <f>B613*100</f>
        <v/>
      </c>
    </row>
    <row r="614">
      <c r="A614" s="12" t="n">
        <v>43536</v>
      </c>
      <c r="B614" s="13" t="n">
        <v>-0.0064</v>
      </c>
      <c r="C614" s="14">
        <f>B614*100</f>
        <v/>
      </c>
    </row>
    <row r="615">
      <c r="A615" s="12" t="n">
        <v>43537</v>
      </c>
      <c r="B615" s="13" t="n">
        <v>-0.0073</v>
      </c>
      <c r="C615" s="14">
        <f>B615*100</f>
        <v/>
      </c>
    </row>
    <row r="616">
      <c r="A616" s="12" t="n">
        <v>43538</v>
      </c>
      <c r="B616" s="13" t="n">
        <v>0.0005999999999999999</v>
      </c>
      <c r="C616" s="14">
        <f>B616*100</f>
        <v/>
      </c>
    </row>
    <row r="617">
      <c r="A617" s="12" t="n">
        <v>43539</v>
      </c>
      <c r="B617" s="13" t="n">
        <v>-0.0109</v>
      </c>
      <c r="C617" s="14">
        <f>B617*100</f>
        <v/>
      </c>
    </row>
    <row r="618">
      <c r="A618" s="12" t="n">
        <v>43542</v>
      </c>
      <c r="B618" s="13" t="n">
        <v>-0.0072</v>
      </c>
      <c r="C618" s="14">
        <f>B618*100</f>
        <v/>
      </c>
    </row>
    <row r="619">
      <c r="A619" s="12" t="n">
        <v>43543</v>
      </c>
      <c r="B619" s="13" t="n">
        <v>-0.0046</v>
      </c>
      <c r="C619" s="14">
        <f>B619*100</f>
        <v/>
      </c>
    </row>
    <row r="620">
      <c r="A620" s="12" t="n">
        <v>43544</v>
      </c>
      <c r="B620" s="13" t="n">
        <v>-0.0326</v>
      </c>
      <c r="C620" s="14">
        <f>B620*100</f>
        <v/>
      </c>
    </row>
    <row r="621">
      <c r="A621" s="12" t="n">
        <v>43545</v>
      </c>
      <c r="B621" s="13" t="n">
        <v>-0.0408</v>
      </c>
      <c r="C621" s="14">
        <f>B621*100</f>
        <v/>
      </c>
    </row>
    <row r="622">
      <c r="A622" s="12" t="n">
        <v>43546</v>
      </c>
      <c r="B622" s="13" t="n">
        <v>-0.0806</v>
      </c>
      <c r="C622" s="14">
        <f>B622*100</f>
        <v/>
      </c>
    </row>
    <row r="623">
      <c r="A623" s="12" t="n">
        <v>43549</v>
      </c>
      <c r="B623" s="13" t="n">
        <v>-0.101</v>
      </c>
      <c r="C623" s="14">
        <f>B623*100</f>
        <v/>
      </c>
    </row>
    <row r="624">
      <c r="A624" s="12" t="n">
        <v>43550</v>
      </c>
      <c r="B624" s="13" t="n">
        <v>-0.1151</v>
      </c>
      <c r="C624" s="14">
        <f>B624*100</f>
        <v/>
      </c>
    </row>
    <row r="625">
      <c r="A625" s="12" t="n">
        <v>43551</v>
      </c>
      <c r="B625" s="13" t="n">
        <v>-0.1227</v>
      </c>
      <c r="C625" s="14">
        <f>B625*100</f>
        <v/>
      </c>
    </row>
    <row r="626">
      <c r="A626" s="12" t="n">
        <v>43552</v>
      </c>
      <c r="B626" s="13" t="n">
        <v>-0.1167</v>
      </c>
      <c r="C626" s="14">
        <f>B626*100</f>
        <v/>
      </c>
    </row>
    <row r="627">
      <c r="A627" s="12" t="n">
        <v>43553</v>
      </c>
      <c r="B627" s="13" t="n">
        <v>-0.105</v>
      </c>
      <c r="C627" s="14">
        <f>B627*100</f>
        <v/>
      </c>
    </row>
    <row r="628">
      <c r="A628" s="12" t="n">
        <v>43556</v>
      </c>
      <c r="B628" s="13" t="n">
        <v>-0.07049999999999999</v>
      </c>
      <c r="C628" s="14">
        <f>B628*100</f>
        <v/>
      </c>
    </row>
    <row r="629">
      <c r="A629" s="12" t="n">
        <v>43557</v>
      </c>
      <c r="B629" s="13" t="n">
        <v>-0.06850000000000001</v>
      </c>
      <c r="C629" s="14">
        <f>B629*100</f>
        <v/>
      </c>
    </row>
    <row r="630">
      <c r="A630" s="12" t="n">
        <v>43558</v>
      </c>
      <c r="B630" s="13" t="n">
        <v>-0.0526</v>
      </c>
      <c r="C630" s="14">
        <f>B630*100</f>
        <v/>
      </c>
    </row>
    <row r="631">
      <c r="A631" s="12" t="n">
        <v>43559</v>
      </c>
      <c r="B631" s="13" t="n">
        <v>-0.0513</v>
      </c>
      <c r="C631" s="14">
        <f>B631*100</f>
        <v/>
      </c>
    </row>
    <row r="632">
      <c r="A632" s="12" t="n">
        <v>43560</v>
      </c>
      <c r="B632" s="13" t="n">
        <v>-0.0535</v>
      </c>
      <c r="C632" s="14">
        <f>B632*100</f>
        <v/>
      </c>
    </row>
    <row r="633">
      <c r="A633" s="12" t="n">
        <v>43563</v>
      </c>
      <c r="B633" s="13" t="n">
        <v>-0.0475</v>
      </c>
      <c r="C633" s="14">
        <f>B633*100</f>
        <v/>
      </c>
    </row>
    <row r="634">
      <c r="A634" s="12" t="n">
        <v>43564</v>
      </c>
      <c r="B634" s="13" t="n">
        <v>-0.0523</v>
      </c>
      <c r="C634" s="14">
        <f>B634*100</f>
        <v/>
      </c>
    </row>
    <row r="635">
      <c r="A635" s="12" t="n">
        <v>43565</v>
      </c>
      <c r="B635" s="13" t="n">
        <v>-0.066</v>
      </c>
      <c r="C635" s="14">
        <f>B635*100</f>
        <v/>
      </c>
    </row>
    <row r="636">
      <c r="A636" s="12" t="n">
        <v>43566</v>
      </c>
      <c r="B636" s="13" t="n">
        <v>-0.0564</v>
      </c>
      <c r="C636" s="14">
        <f>B636*100</f>
        <v/>
      </c>
    </row>
    <row r="637">
      <c r="A637" s="12" t="n">
        <v>43567</v>
      </c>
      <c r="B637" s="13" t="n">
        <v>-0.0306</v>
      </c>
      <c r="C637" s="14">
        <f>B637*100</f>
        <v/>
      </c>
    </row>
    <row r="638">
      <c r="A638" s="12" t="n">
        <v>43570</v>
      </c>
      <c r="B638" s="13" t="n">
        <v>-0.0276</v>
      </c>
      <c r="C638" s="14">
        <f>B638*100</f>
        <v/>
      </c>
    </row>
    <row r="639">
      <c r="A639" s="12" t="n">
        <v>43571</v>
      </c>
      <c r="B639" s="13" t="n">
        <v>-0.011</v>
      </c>
      <c r="C639" s="14">
        <f>B639*100</f>
        <v/>
      </c>
    </row>
    <row r="640">
      <c r="A640" s="12" t="n">
        <v>43572</v>
      </c>
      <c r="B640" s="13" t="n">
        <v>-0.0073</v>
      </c>
      <c r="C640" s="14">
        <f>B640*100</f>
        <v/>
      </c>
    </row>
    <row r="641">
      <c r="A641" s="12" t="n">
        <v>43573</v>
      </c>
      <c r="B641" s="13" t="n">
        <v>-0.0164</v>
      </c>
      <c r="C641" s="14">
        <f>B641*100</f>
        <v/>
      </c>
    </row>
    <row r="642">
      <c r="A642" s="12" t="n">
        <v>43577</v>
      </c>
      <c r="B642" s="13" t="n">
        <v>-0.0106</v>
      </c>
      <c r="C642" s="14">
        <f>B642*100</f>
        <v/>
      </c>
    </row>
    <row r="643">
      <c r="A643" s="12" t="n">
        <v>43578</v>
      </c>
      <c r="B643" s="13" t="n">
        <v>-0.018</v>
      </c>
      <c r="C643" s="14">
        <f>B643*100</f>
        <v/>
      </c>
    </row>
    <row r="644">
      <c r="A644" s="12" t="n">
        <v>43579</v>
      </c>
      <c r="B644" s="13" t="n">
        <v>-0.0385</v>
      </c>
      <c r="C644" s="14">
        <f>B644*100</f>
        <v/>
      </c>
    </row>
    <row r="645">
      <c r="A645" s="12" t="n">
        <v>43580</v>
      </c>
      <c r="B645" s="13" t="n">
        <v>-0.0381</v>
      </c>
      <c r="C645" s="14">
        <f>B645*100</f>
        <v/>
      </c>
    </row>
    <row r="646">
      <c r="A646" s="12" t="n">
        <v>43581</v>
      </c>
      <c r="B646" s="13" t="n">
        <v>-0.0511</v>
      </c>
      <c r="C646" s="14">
        <f>B646*100</f>
        <v/>
      </c>
    </row>
    <row r="647">
      <c r="A647" s="12" t="n">
        <v>43584</v>
      </c>
      <c r="B647" s="13" t="n">
        <v>-0.0433</v>
      </c>
      <c r="C647" s="14">
        <f>B647*100</f>
        <v/>
      </c>
    </row>
    <row r="648">
      <c r="A648" s="12" t="n">
        <v>43585</v>
      </c>
      <c r="B648" s="13" t="n">
        <v>-0.0546</v>
      </c>
      <c r="C648" s="14">
        <f>B648*100</f>
        <v/>
      </c>
    </row>
    <row r="649">
      <c r="A649" s="12" t="n">
        <v>43586</v>
      </c>
      <c r="B649" s="13" t="n">
        <v>-0.0475</v>
      </c>
      <c r="C649" s="14">
        <f>B649*100</f>
        <v/>
      </c>
    </row>
    <row r="650">
      <c r="A650" s="12" t="n">
        <v>43587</v>
      </c>
      <c r="B650" s="13" t="n">
        <v>-0.0351</v>
      </c>
      <c r="C650" s="14">
        <f>B650*100</f>
        <v/>
      </c>
    </row>
    <row r="651">
      <c r="A651" s="12" t="n">
        <v>43588</v>
      </c>
      <c r="B651" s="13" t="n">
        <v>-0.0372</v>
      </c>
      <c r="C651" s="14">
        <f>B651*100</f>
        <v/>
      </c>
    </row>
    <row r="652">
      <c r="A652" s="12" t="n">
        <v>43591</v>
      </c>
      <c r="B652" s="13" t="n">
        <v>-0.0505</v>
      </c>
      <c r="C652" s="14">
        <f>B652*100</f>
        <v/>
      </c>
    </row>
    <row r="653">
      <c r="A653" s="12" t="n">
        <v>43592</v>
      </c>
      <c r="B653" s="13" t="n">
        <v>-0.0733</v>
      </c>
      <c r="C653" s="14">
        <f>B653*100</f>
        <v/>
      </c>
    </row>
    <row r="654">
      <c r="A654" s="12" t="n">
        <v>43593</v>
      </c>
      <c r="B654" s="13" t="n">
        <v>-0.0654</v>
      </c>
      <c r="C654" s="14">
        <f>B654*100</f>
        <v/>
      </c>
    </row>
    <row r="655">
      <c r="A655" s="12" t="n">
        <v>43594</v>
      </c>
      <c r="B655" s="13" t="n">
        <v>-0.0786</v>
      </c>
      <c r="C655" s="14">
        <f>B655*100</f>
        <v/>
      </c>
    </row>
    <row r="656">
      <c r="A656" s="12" t="n">
        <v>43595</v>
      </c>
      <c r="B656" s="13" t="n">
        <v>-0.0747</v>
      </c>
      <c r="C656" s="14">
        <f>B656*100</f>
        <v/>
      </c>
    </row>
    <row r="657">
      <c r="A657" s="12" t="n">
        <v>43598</v>
      </c>
      <c r="B657" s="13" t="n">
        <v>-0.1033</v>
      </c>
      <c r="C657" s="14">
        <f>B657*100</f>
        <v/>
      </c>
    </row>
    <row r="658">
      <c r="A658" s="12" t="n">
        <v>43599</v>
      </c>
      <c r="B658" s="13" t="n">
        <v>-0.0998</v>
      </c>
      <c r="C658" s="14">
        <f>B658*100</f>
        <v/>
      </c>
    </row>
    <row r="659">
      <c r="A659" s="12" t="n">
        <v>43600</v>
      </c>
      <c r="B659" s="13" t="n">
        <v>-0.1189</v>
      </c>
      <c r="C659" s="14">
        <f>B659*100</f>
        <v/>
      </c>
    </row>
    <row r="660">
      <c r="A660" s="12" t="n">
        <v>43601</v>
      </c>
      <c r="B660" s="13" t="n">
        <v>-0.1123</v>
      </c>
      <c r="C660" s="14">
        <f>B660*100</f>
        <v/>
      </c>
    </row>
    <row r="661">
      <c r="A661" s="12" t="n">
        <v>43602</v>
      </c>
      <c r="B661" s="13" t="n">
        <v>-0.1128</v>
      </c>
      <c r="C661" s="14">
        <f>B661*100</f>
        <v/>
      </c>
    </row>
    <row r="662">
      <c r="A662" s="12" t="n">
        <v>43605</v>
      </c>
      <c r="B662" s="13" t="n">
        <v>-0.1013</v>
      </c>
      <c r="C662" s="14">
        <f>B662*100</f>
        <v/>
      </c>
    </row>
    <row r="663">
      <c r="A663" s="12" t="n">
        <v>43606</v>
      </c>
      <c r="B663" s="13" t="n">
        <v>-0.0886</v>
      </c>
      <c r="C663" s="14">
        <f>B663*100</f>
        <v/>
      </c>
    </row>
    <row r="664">
      <c r="A664" s="12" t="n">
        <v>43607</v>
      </c>
      <c r="B664" s="13" t="n">
        <v>-0.1011</v>
      </c>
      <c r="C664" s="14">
        <f>B664*100</f>
        <v/>
      </c>
    </row>
    <row r="665">
      <c r="A665" s="12" t="n">
        <v>43608</v>
      </c>
      <c r="B665" s="13" t="n">
        <v>-0.1376</v>
      </c>
      <c r="C665" s="14">
        <f>B665*100</f>
        <v/>
      </c>
    </row>
    <row r="666">
      <c r="A666" s="12" t="n">
        <v>43609</v>
      </c>
      <c r="B666" s="13" t="n">
        <v>-0.1384</v>
      </c>
      <c r="C666" s="14">
        <f>B666*100</f>
        <v/>
      </c>
    </row>
    <row r="667">
      <c r="A667" s="12" t="n">
        <v>43613</v>
      </c>
      <c r="B667" s="13" t="n">
        <v>-0.1628</v>
      </c>
      <c r="C667" s="14">
        <f>B667*100</f>
        <v/>
      </c>
    </row>
    <row r="668">
      <c r="A668" s="12" t="n">
        <v>43614</v>
      </c>
      <c r="B668" s="13" t="n">
        <v>-0.1745</v>
      </c>
      <c r="C668" s="14">
        <f>B668*100</f>
        <v/>
      </c>
    </row>
    <row r="669">
      <c r="A669" s="12" t="n">
        <v>43615</v>
      </c>
      <c r="B669" s="13" t="n">
        <v>-0.1915</v>
      </c>
      <c r="C669" s="14">
        <f>B669*100</f>
        <v/>
      </c>
    </row>
    <row r="670">
      <c r="A670" s="12" t="n">
        <v>43616</v>
      </c>
      <c r="B670" s="13" t="n">
        <v>-0.2298</v>
      </c>
      <c r="C670" s="14">
        <f>B670*100</f>
        <v/>
      </c>
    </row>
    <row r="671">
      <c r="A671" s="12" t="n">
        <v>43619</v>
      </c>
      <c r="B671" s="13" t="n">
        <v>-0.2718</v>
      </c>
      <c r="C671" s="14">
        <f>B671*100</f>
        <v/>
      </c>
    </row>
    <row r="672">
      <c r="A672" s="12" t="n">
        <v>43620</v>
      </c>
      <c r="B672" s="13" t="n">
        <v>-0.2538</v>
      </c>
      <c r="C672" s="14">
        <f>B672*100</f>
        <v/>
      </c>
    </row>
    <row r="673">
      <c r="A673" s="12" t="n">
        <v>43621</v>
      </c>
      <c r="B673" s="13" t="n">
        <v>-0.2525</v>
      </c>
      <c r="C673" s="14">
        <f>B673*100</f>
        <v/>
      </c>
    </row>
    <row r="674">
      <c r="A674" s="12" t="n">
        <v>43622</v>
      </c>
      <c r="B674" s="13" t="n">
        <v>-0.241</v>
      </c>
      <c r="C674" s="14">
        <f>B674*100</f>
        <v/>
      </c>
    </row>
    <row r="675">
      <c r="A675" s="12" t="n">
        <v>43623</v>
      </c>
      <c r="B675" s="13" t="n">
        <v>-0.2477</v>
      </c>
      <c r="C675" s="14">
        <f>B675*100</f>
        <v/>
      </c>
    </row>
    <row r="676">
      <c r="A676" s="12" t="n">
        <v>43626</v>
      </c>
      <c r="B676" s="13" t="n">
        <v>-0.2238</v>
      </c>
      <c r="C676" s="14">
        <f>B676*100</f>
        <v/>
      </c>
    </row>
    <row r="677">
      <c r="A677" s="12" t="n">
        <v>43627</v>
      </c>
      <c r="B677" s="13" t="n">
        <v>-0.2141</v>
      </c>
      <c r="C677" s="14">
        <f>B677*100</f>
        <v/>
      </c>
    </row>
    <row r="678">
      <c r="A678" s="12" t="n">
        <v>43628</v>
      </c>
      <c r="B678" s="13" t="n">
        <v>-0.2237</v>
      </c>
      <c r="C678" s="14">
        <f>B678*100</f>
        <v/>
      </c>
    </row>
    <row r="679">
      <c r="A679" s="12" t="n">
        <v>43629</v>
      </c>
      <c r="B679" s="13" t="n">
        <v>-0.2359</v>
      </c>
      <c r="C679" s="14">
        <f>B679*100</f>
        <v/>
      </c>
    </row>
    <row r="680">
      <c r="A680" s="12" t="n">
        <v>43630</v>
      </c>
      <c r="B680" s="13" t="n">
        <v>-0.2359</v>
      </c>
      <c r="C680" s="14">
        <f>B680*100</f>
        <v/>
      </c>
    </row>
    <row r="681">
      <c r="A681" s="12" t="n">
        <v>43633</v>
      </c>
      <c r="B681" s="13" t="n">
        <v>-0.2378</v>
      </c>
      <c r="C681" s="14">
        <f>B681*100</f>
        <v/>
      </c>
    </row>
    <row r="682">
      <c r="A682" s="12" t="n">
        <v>43634</v>
      </c>
      <c r="B682" s="13" t="n">
        <v>-0.2491</v>
      </c>
      <c r="C682" s="14">
        <f>B682*100</f>
        <v/>
      </c>
    </row>
    <row r="683">
      <c r="A683" s="12" t="n">
        <v>43635</v>
      </c>
      <c r="B683" s="13" t="n">
        <v>-0.2678</v>
      </c>
      <c r="C683" s="14">
        <f>B683*100</f>
        <v/>
      </c>
    </row>
    <row r="684">
      <c r="A684" s="12" t="n">
        <v>43636</v>
      </c>
      <c r="B684" s="13" t="n">
        <v>-0.2728</v>
      </c>
      <c r="C684" s="14">
        <f>B684*100</f>
        <v/>
      </c>
    </row>
    <row r="685">
      <c r="A685" s="12" t="n">
        <v>43637</v>
      </c>
      <c r="B685" s="13" t="n">
        <v>-0.2448</v>
      </c>
      <c r="C685" s="14">
        <f>B685*100</f>
        <v/>
      </c>
    </row>
    <row r="686">
      <c r="A686" s="12" t="n">
        <v>43640</v>
      </c>
      <c r="B686" s="13" t="n">
        <v>-0.2584</v>
      </c>
      <c r="C686" s="14">
        <f>B686*100</f>
        <v/>
      </c>
    </row>
    <row r="687">
      <c r="A687" s="12" t="n">
        <v>43641</v>
      </c>
      <c r="B687" s="13" t="n">
        <v>-0.2686</v>
      </c>
      <c r="C687" s="14">
        <f>B687*100</f>
        <v/>
      </c>
    </row>
    <row r="688">
      <c r="A688" s="12" t="n">
        <v>43642</v>
      </c>
      <c r="B688" s="13" t="n">
        <v>-0.2492</v>
      </c>
      <c r="C688" s="14">
        <f>B688*100</f>
        <v/>
      </c>
    </row>
    <row r="689">
      <c r="A689" s="12" t="n">
        <v>43643</v>
      </c>
      <c r="B689" s="13" t="n">
        <v>-0.2617</v>
      </c>
      <c r="C689" s="14">
        <f>B689*100</f>
        <v/>
      </c>
    </row>
    <row r="690">
      <c r="A690" s="12" t="n">
        <v>43644</v>
      </c>
      <c r="B690" s="13" t="n">
        <v>-0.268</v>
      </c>
      <c r="C690" s="14">
        <f>B690*100</f>
        <v/>
      </c>
    </row>
    <row r="691">
      <c r="A691" s="12" t="n">
        <v>43647</v>
      </c>
      <c r="B691" s="13" t="n">
        <v>-0.2605</v>
      </c>
      <c r="C691" s="14">
        <f>B691*100</f>
        <v/>
      </c>
    </row>
    <row r="692">
      <c r="A692" s="12" t="n">
        <v>43648</v>
      </c>
      <c r="B692" s="13" t="n">
        <v>-0.279</v>
      </c>
      <c r="C692" s="14">
        <f>B692*100</f>
        <v/>
      </c>
    </row>
    <row r="693">
      <c r="A693" s="12" t="n">
        <v>43649</v>
      </c>
      <c r="B693" s="13" t="n">
        <v>-0.293</v>
      </c>
      <c r="C693" s="14">
        <f>B693*100</f>
        <v/>
      </c>
    </row>
    <row r="694">
      <c r="A694" s="12" t="n">
        <v>43651</v>
      </c>
      <c r="B694" s="13" t="n">
        <v>-0.261</v>
      </c>
      <c r="C694" s="14">
        <f>B694*100</f>
        <v/>
      </c>
    </row>
    <row r="695">
      <c r="A695" s="12" t="n">
        <v>43654</v>
      </c>
      <c r="B695" s="13" t="n">
        <v>-0.2542</v>
      </c>
      <c r="C695" s="14">
        <f>B695*100</f>
        <v/>
      </c>
    </row>
    <row r="696">
      <c r="A696" s="12" t="n">
        <v>43655</v>
      </c>
      <c r="B696" s="13" t="n">
        <v>-0.245</v>
      </c>
      <c r="C696" s="14">
        <f>B696*100</f>
        <v/>
      </c>
    </row>
    <row r="697">
      <c r="A697" s="12" t="n">
        <v>43656</v>
      </c>
      <c r="B697" s="13" t="n">
        <v>-0.25</v>
      </c>
      <c r="C697" s="14">
        <f>B697*100</f>
        <v/>
      </c>
    </row>
    <row r="698">
      <c r="A698" s="12" t="n">
        <v>43657</v>
      </c>
      <c r="B698" s="13" t="n">
        <v>-0.2223</v>
      </c>
      <c r="C698" s="14">
        <f>B698*100</f>
        <v/>
      </c>
    </row>
    <row r="699">
      <c r="A699" s="12" t="n">
        <v>43658</v>
      </c>
      <c r="B699" s="13" t="n">
        <v>-0.2167</v>
      </c>
      <c r="C699" s="14">
        <f>B699*100</f>
        <v/>
      </c>
    </row>
    <row r="700">
      <c r="A700" s="12" t="n">
        <v>43661</v>
      </c>
      <c r="B700" s="13" t="n">
        <v>-0.2203</v>
      </c>
      <c r="C700" s="14">
        <f>B700*100</f>
        <v/>
      </c>
    </row>
    <row r="701">
      <c r="A701" s="12" t="n">
        <v>43662</v>
      </c>
      <c r="B701" s="13" t="n">
        <v>-0.2059</v>
      </c>
      <c r="C701" s="14">
        <f>B701*100</f>
        <v/>
      </c>
    </row>
    <row r="702">
      <c r="A702" s="12" t="n">
        <v>43663</v>
      </c>
      <c r="B702" s="13" t="n">
        <v>-0.2246</v>
      </c>
      <c r="C702" s="14">
        <f>B702*100</f>
        <v/>
      </c>
    </row>
    <row r="703">
      <c r="A703" s="12" t="n">
        <v>43664</v>
      </c>
      <c r="B703" s="13" t="n">
        <v>-0.2418</v>
      </c>
      <c r="C703" s="14">
        <f>B703*100</f>
        <v/>
      </c>
    </row>
    <row r="704">
      <c r="A704" s="12" t="n">
        <v>43665</v>
      </c>
      <c r="B704" s="13" t="n">
        <v>-0.2372</v>
      </c>
      <c r="C704" s="14">
        <f>B704*100</f>
        <v/>
      </c>
    </row>
    <row r="705">
      <c r="A705" s="12" t="n">
        <v>43668</v>
      </c>
      <c r="B705" s="13" t="n">
        <v>-0.2363</v>
      </c>
      <c r="C705" s="14">
        <f>B705*100</f>
        <v/>
      </c>
    </row>
    <row r="706">
      <c r="A706" s="12" t="n">
        <v>43669</v>
      </c>
      <c r="B706" s="13" t="n">
        <v>-0.2277</v>
      </c>
      <c r="C706" s="14">
        <f>B706*100</f>
        <v/>
      </c>
    </row>
    <row r="707">
      <c r="A707" s="12" t="n">
        <v>43670</v>
      </c>
      <c r="B707" s="13" t="n">
        <v>-0.235</v>
      </c>
      <c r="C707" s="14">
        <f>B707*100</f>
        <v/>
      </c>
    </row>
    <row r="708">
      <c r="A708" s="12" t="n">
        <v>43671</v>
      </c>
      <c r="B708" s="13" t="n">
        <v>-0.227</v>
      </c>
      <c r="C708" s="14">
        <f>B708*100</f>
        <v/>
      </c>
    </row>
    <row r="709">
      <c r="A709" s="12" t="n">
        <v>43672</v>
      </c>
      <c r="B709" s="13" t="n">
        <v>-0.2268</v>
      </c>
      <c r="C709" s="14">
        <f>B709*100</f>
        <v/>
      </c>
    </row>
    <row r="710">
      <c r="A710" s="12" t="n">
        <v>43675</v>
      </c>
      <c r="B710" s="13" t="n">
        <v>-0.2357</v>
      </c>
      <c r="C710" s="14">
        <f>B710*100</f>
        <v/>
      </c>
    </row>
    <row r="711">
      <c r="A711" s="12" t="n">
        <v>43676</v>
      </c>
      <c r="B711" s="13" t="n">
        <v>-0.2347</v>
      </c>
      <c r="C711" s="14">
        <f>B711*100</f>
        <v/>
      </c>
    </row>
    <row r="712">
      <c r="A712" s="12" t="n">
        <v>43677</v>
      </c>
      <c r="B712" s="13" t="n">
        <v>-0.2398</v>
      </c>
      <c r="C712" s="14">
        <f>B712*100</f>
        <v/>
      </c>
    </row>
    <row r="713">
      <c r="A713" s="12" t="n">
        <v>43678</v>
      </c>
      <c r="B713" s="13" t="n">
        <v>-0.2996</v>
      </c>
      <c r="C713" s="14">
        <f>B713*100</f>
        <v/>
      </c>
    </row>
    <row r="714">
      <c r="A714" s="12" t="n">
        <v>43679</v>
      </c>
      <c r="B714" s="13" t="n">
        <v>-0.3223</v>
      </c>
      <c r="C714" s="14">
        <f>B714*100</f>
        <v/>
      </c>
    </row>
    <row r="715">
      <c r="A715" s="12" t="n">
        <v>43682</v>
      </c>
      <c r="B715" s="13" t="n">
        <v>-0.3719</v>
      </c>
      <c r="C715" s="14">
        <f>B715*100</f>
        <v/>
      </c>
    </row>
    <row r="716">
      <c r="A716" s="12" t="n">
        <v>43683</v>
      </c>
      <c r="B716" s="13" t="n">
        <v>-0.391</v>
      </c>
      <c r="C716" s="14">
        <f>B716*100</f>
        <v/>
      </c>
    </row>
    <row r="717">
      <c r="A717" s="12" t="n">
        <v>43684</v>
      </c>
      <c r="B717" s="13" t="n">
        <v>-0.399</v>
      </c>
      <c r="C717" s="14">
        <f>B717*100</f>
        <v/>
      </c>
    </row>
    <row r="718">
      <c r="A718" s="12" t="n">
        <v>43685</v>
      </c>
      <c r="B718" s="13" t="n">
        <v>-0.3943</v>
      </c>
      <c r="C718" s="14">
        <f>B718*100</f>
        <v/>
      </c>
    </row>
    <row r="719">
      <c r="A719" s="12" t="n">
        <v>43686</v>
      </c>
      <c r="B719" s="13" t="n">
        <v>-0.3813</v>
      </c>
      <c r="C719" s="14">
        <f>B719*100</f>
        <v/>
      </c>
    </row>
    <row r="720">
      <c r="A720" s="12" t="n">
        <v>43689</v>
      </c>
      <c r="B720" s="13" t="n">
        <v>-0.4119</v>
      </c>
      <c r="C720" s="14">
        <f>B720*100</f>
        <v/>
      </c>
    </row>
    <row r="721">
      <c r="A721" s="12" t="n">
        <v>43690</v>
      </c>
      <c r="B721" s="13" t="n">
        <v>-0.3974</v>
      </c>
      <c r="C721" s="14">
        <f>B721*100</f>
        <v/>
      </c>
    </row>
    <row r="722">
      <c r="A722" s="12" t="n">
        <v>43691</v>
      </c>
      <c r="B722" s="13" t="n">
        <v>-0.422</v>
      </c>
      <c r="C722" s="14">
        <f>B722*100</f>
        <v/>
      </c>
    </row>
    <row r="723">
      <c r="A723" s="12" t="n">
        <v>43692</v>
      </c>
      <c r="B723" s="13" t="n">
        <v>-0.4539</v>
      </c>
      <c r="C723" s="14">
        <f>B723*100</f>
        <v/>
      </c>
    </row>
    <row r="724">
      <c r="A724" s="12" t="n">
        <v>43693</v>
      </c>
      <c r="B724" s="13" t="n">
        <v>-0.4504</v>
      </c>
      <c r="C724" s="14">
        <f>B724*100</f>
        <v/>
      </c>
    </row>
    <row r="725">
      <c r="A725" s="12" t="n">
        <v>43696</v>
      </c>
      <c r="B725" s="13" t="n">
        <v>-0.4303</v>
      </c>
      <c r="C725" s="14">
        <f>B725*100</f>
        <v/>
      </c>
    </row>
    <row r="726">
      <c r="A726" s="12" t="n">
        <v>43697</v>
      </c>
      <c r="B726" s="13" t="n">
        <v>-0.4469</v>
      </c>
      <c r="C726" s="14">
        <f>B726*100</f>
        <v/>
      </c>
    </row>
    <row r="727">
      <c r="A727" s="12" t="n">
        <v>43698</v>
      </c>
      <c r="B727" s="13" t="n">
        <v>-0.4336</v>
      </c>
      <c r="C727" s="14">
        <f>B727*100</f>
        <v/>
      </c>
    </row>
    <row r="728">
      <c r="A728" s="12" t="n">
        <v>43699</v>
      </c>
      <c r="B728" s="13" t="n">
        <v>-0.4231</v>
      </c>
      <c r="C728" s="14">
        <f>B728*100</f>
        <v/>
      </c>
    </row>
    <row r="729">
      <c r="A729" s="12" t="n">
        <v>43700</v>
      </c>
      <c r="B729" s="13" t="n">
        <v>-0.4583</v>
      </c>
      <c r="C729" s="14">
        <f>B729*100</f>
        <v/>
      </c>
    </row>
    <row r="730">
      <c r="A730" s="12" t="n">
        <v>43703</v>
      </c>
      <c r="B730" s="13" t="n">
        <v>-0.4583</v>
      </c>
      <c r="C730" s="14">
        <f>B730*100</f>
        <v/>
      </c>
    </row>
    <row r="731">
      <c r="A731" s="12" t="n">
        <v>43704</v>
      </c>
      <c r="B731" s="13" t="n">
        <v>-0.4786</v>
      </c>
      <c r="C731" s="14">
        <f>B731*100</f>
        <v/>
      </c>
    </row>
    <row r="732">
      <c r="A732" s="12" t="n">
        <v>43705</v>
      </c>
      <c r="B732" s="13" t="n">
        <v>-0.491</v>
      </c>
      <c r="C732" s="14">
        <f>B732*100</f>
        <v/>
      </c>
    </row>
    <row r="733">
      <c r="A733" s="12" t="n">
        <v>43706</v>
      </c>
      <c r="B733" s="13" t="n">
        <v>-0.4814</v>
      </c>
      <c r="C733" s="14">
        <f>B733*100</f>
        <v/>
      </c>
    </row>
    <row r="734">
      <c r="A734" s="12" t="n">
        <v>43707</v>
      </c>
      <c r="B734" s="13" t="n">
        <v>-0.4838</v>
      </c>
      <c r="C734" s="14">
        <f>B734*100</f>
        <v/>
      </c>
    </row>
    <row r="735">
      <c r="A735" s="12" t="n">
        <v>43711</v>
      </c>
      <c r="B735" s="13" t="n">
        <v>-0.4967</v>
      </c>
      <c r="C735" s="14">
        <f>B735*100</f>
        <v/>
      </c>
    </row>
    <row r="736">
      <c r="A736" s="12" t="n">
        <v>43712</v>
      </c>
      <c r="B736" s="13" t="n">
        <v>-0.5043</v>
      </c>
      <c r="C736" s="14">
        <f>B736*100</f>
        <v/>
      </c>
    </row>
    <row r="737">
      <c r="A737" s="12" t="n">
        <v>43713</v>
      </c>
      <c r="B737" s="13" t="n">
        <v>-0.4616</v>
      </c>
      <c r="C737" s="14">
        <f>B737*100</f>
        <v/>
      </c>
    </row>
    <row r="738">
      <c r="A738" s="12" t="n">
        <v>43714</v>
      </c>
      <c r="B738" s="13" t="n">
        <v>-0.4557</v>
      </c>
      <c r="C738" s="14">
        <f>B738*100</f>
        <v/>
      </c>
    </row>
    <row r="739">
      <c r="A739" s="12" t="n">
        <v>43717</v>
      </c>
      <c r="B739" s="13" t="n">
        <v>-0.4246</v>
      </c>
      <c r="C739" s="14">
        <f>B739*100</f>
        <v/>
      </c>
    </row>
    <row r="740">
      <c r="A740" s="12" t="n">
        <v>43718</v>
      </c>
      <c r="B740" s="13" t="n">
        <v>-0.3798</v>
      </c>
      <c r="C740" s="14">
        <f>B740*100</f>
        <v/>
      </c>
    </row>
    <row r="741">
      <c r="A741" s="12" t="n">
        <v>43719</v>
      </c>
      <c r="B741" s="13" t="n">
        <v>-0.3596</v>
      </c>
      <c r="C741" s="14">
        <f>B741*100</f>
        <v/>
      </c>
    </row>
    <row r="742">
      <c r="A742" s="12" t="n">
        <v>43720</v>
      </c>
      <c r="B742" s="13" t="n">
        <v>-0.3348</v>
      </c>
      <c r="C742" s="14">
        <f>B742*100</f>
        <v/>
      </c>
    </row>
    <row r="743">
      <c r="A743" s="12" t="n">
        <v>43721</v>
      </c>
      <c r="B743" s="13" t="n">
        <v>-0.2862</v>
      </c>
      <c r="C743" s="14">
        <f>B743*100</f>
        <v/>
      </c>
    </row>
    <row r="744">
      <c r="A744" s="12" t="n">
        <v>43724</v>
      </c>
      <c r="B744" s="13" t="n">
        <v>-0.2994</v>
      </c>
      <c r="C744" s="14">
        <f>B744*100</f>
        <v/>
      </c>
    </row>
    <row r="745">
      <c r="A745" s="12" t="n">
        <v>43725</v>
      </c>
      <c r="B745" s="13" t="n">
        <v>-0.3146</v>
      </c>
      <c r="C745" s="14">
        <f>B745*100</f>
        <v/>
      </c>
    </row>
    <row r="746">
      <c r="A746" s="12" t="n">
        <v>43726</v>
      </c>
      <c r="B746" s="13" t="n">
        <v>-0.312</v>
      </c>
      <c r="C746" s="14">
        <f>B746*100</f>
        <v/>
      </c>
    </row>
    <row r="747">
      <c r="A747" s="12" t="n">
        <v>43727</v>
      </c>
      <c r="B747" s="13" t="n">
        <v>-0.3195</v>
      </c>
      <c r="C747" s="14">
        <f>B747*100</f>
        <v/>
      </c>
    </row>
    <row r="748">
      <c r="A748" s="12" t="n">
        <v>43728</v>
      </c>
      <c r="B748" s="13" t="n">
        <v>-0.3399</v>
      </c>
      <c r="C748" s="14">
        <f>B748*100</f>
        <v/>
      </c>
    </row>
    <row r="749">
      <c r="A749" s="12" t="n">
        <v>43731</v>
      </c>
      <c r="B749" s="13" t="n">
        <v>-0.3567</v>
      </c>
      <c r="C749" s="14">
        <f>B749*100</f>
        <v/>
      </c>
    </row>
    <row r="750">
      <c r="A750" s="12" t="n">
        <v>43732</v>
      </c>
      <c r="B750" s="13" t="n">
        <v>-0.3907</v>
      </c>
      <c r="C750" s="14">
        <f>B750*100</f>
        <v/>
      </c>
    </row>
    <row r="751">
      <c r="A751" s="12" t="n">
        <v>43733</v>
      </c>
      <c r="B751" s="13" t="n">
        <v>-0.3628</v>
      </c>
      <c r="C751" s="14">
        <f>B751*100</f>
        <v/>
      </c>
    </row>
    <row r="752">
      <c r="A752" s="12" t="n">
        <v>43734</v>
      </c>
      <c r="B752" s="13" t="n">
        <v>-0.3579</v>
      </c>
      <c r="C752" s="14">
        <f>B752*100</f>
        <v/>
      </c>
    </row>
    <row r="753">
      <c r="A753" s="12" t="n">
        <v>43735</v>
      </c>
      <c r="B753" s="13" t="n">
        <v>-0.3619</v>
      </c>
      <c r="C753" s="14">
        <f>B753*100</f>
        <v/>
      </c>
    </row>
    <row r="754">
      <c r="A754" s="12" t="n">
        <v>43738</v>
      </c>
      <c r="B754" s="13" t="n">
        <v>-0.3677</v>
      </c>
      <c r="C754" s="14">
        <f>B754*100</f>
        <v/>
      </c>
    </row>
    <row r="755">
      <c r="A755" s="12" t="n">
        <v>43739</v>
      </c>
      <c r="B755" s="13" t="n">
        <v>-0.3801</v>
      </c>
      <c r="C755" s="14">
        <f>B755*100</f>
        <v/>
      </c>
    </row>
    <row r="756">
      <c r="A756" s="12" t="n">
        <v>43740</v>
      </c>
      <c r="B756" s="13" t="n">
        <v>-0.4011</v>
      </c>
      <c r="C756" s="14">
        <f>B756*100</f>
        <v/>
      </c>
    </row>
    <row r="757">
      <c r="A757" s="12" t="n">
        <v>43741</v>
      </c>
      <c r="B757" s="13" t="n">
        <v>-0.4267</v>
      </c>
      <c r="C757" s="14">
        <f>B757*100</f>
        <v/>
      </c>
    </row>
    <row r="758">
      <c r="A758" s="12" t="n">
        <v>43742</v>
      </c>
      <c r="B758" s="13" t="n">
        <v>-0.4325</v>
      </c>
      <c r="C758" s="14">
        <f>B758*100</f>
        <v/>
      </c>
    </row>
    <row r="759">
      <c r="A759" s="12" t="n">
        <v>43745</v>
      </c>
      <c r="B759" s="13" t="n">
        <v>-0.4193</v>
      </c>
      <c r="C759" s="14">
        <f>B759*100</f>
        <v/>
      </c>
    </row>
    <row r="760">
      <c r="A760" s="12" t="n">
        <v>43746</v>
      </c>
      <c r="B760" s="13" t="n">
        <v>-0.4255</v>
      </c>
      <c r="C760" s="14">
        <f>B760*100</f>
        <v/>
      </c>
    </row>
    <row r="761">
      <c r="A761" s="12" t="n">
        <v>43747</v>
      </c>
      <c r="B761" s="13" t="n">
        <v>-0.4046</v>
      </c>
      <c r="C761" s="14">
        <f>B761*100</f>
        <v/>
      </c>
    </row>
    <row r="762">
      <c r="A762" s="12" t="n">
        <v>43748</v>
      </c>
      <c r="B762" s="13" t="n">
        <v>-0.3669</v>
      </c>
      <c r="C762" s="14">
        <f>B762*100</f>
        <v/>
      </c>
    </row>
    <row r="763">
      <c r="A763" s="12" t="n">
        <v>43749</v>
      </c>
      <c r="B763" s="13" t="n">
        <v>-0.3152</v>
      </c>
      <c r="C763" s="14">
        <f>B763*100</f>
        <v/>
      </c>
    </row>
    <row r="764">
      <c r="A764" s="12" t="n">
        <v>43753</v>
      </c>
      <c r="B764" s="13" t="n">
        <v>-0.2986</v>
      </c>
      <c r="C764" s="14">
        <f>B764*100</f>
        <v/>
      </c>
    </row>
    <row r="765">
      <c r="A765" s="12" t="n">
        <v>43754</v>
      </c>
      <c r="B765" s="13" t="n">
        <v>-0.3006</v>
      </c>
      <c r="C765" s="14">
        <f>B765*100</f>
        <v/>
      </c>
    </row>
    <row r="766">
      <c r="A766" s="12" t="n">
        <v>43755</v>
      </c>
      <c r="B766" s="13" t="n">
        <v>-0.2951</v>
      </c>
      <c r="C766" s="14">
        <f>B766*100</f>
        <v/>
      </c>
    </row>
    <row r="767">
      <c r="A767" s="12" t="n">
        <v>43756</v>
      </c>
      <c r="B767" s="13" t="n">
        <v>-0.2953</v>
      </c>
      <c r="C767" s="14">
        <f>B767*100</f>
        <v/>
      </c>
    </row>
    <row r="768">
      <c r="A768" s="12" t="n">
        <v>43759</v>
      </c>
      <c r="B768" s="13" t="n">
        <v>-0.2787</v>
      </c>
      <c r="C768" s="14">
        <f>B768*100</f>
        <v/>
      </c>
    </row>
    <row r="769">
      <c r="A769" s="12" t="n">
        <v>43760</v>
      </c>
      <c r="B769" s="13" t="n">
        <v>-0.2791</v>
      </c>
      <c r="C769" s="14">
        <f>B769*100</f>
        <v/>
      </c>
    </row>
    <row r="770">
      <c r="A770" s="12" t="n">
        <v>43761</v>
      </c>
      <c r="B770" s="13" t="n">
        <v>-0.2828</v>
      </c>
      <c r="C770" s="14">
        <f>B770*100</f>
        <v/>
      </c>
    </row>
    <row r="771">
      <c r="A771" s="12" t="n">
        <v>43762</v>
      </c>
      <c r="B771" s="13" t="n">
        <v>-0.2821</v>
      </c>
      <c r="C771" s="14">
        <f>B771*100</f>
        <v/>
      </c>
    </row>
    <row r="772">
      <c r="A772" s="12" t="n">
        <v>43763</v>
      </c>
      <c r="B772" s="13" t="n">
        <v>-0.2698</v>
      </c>
      <c r="C772" s="14">
        <f>B772*100</f>
        <v/>
      </c>
    </row>
    <row r="773">
      <c r="A773" s="12" t="n">
        <v>43766</v>
      </c>
      <c r="B773" s="13" t="n">
        <v>-0.2484</v>
      </c>
      <c r="C773" s="14">
        <f>B773*100</f>
        <v/>
      </c>
    </row>
    <row r="774">
      <c r="A774" s="12" t="n">
        <v>43767</v>
      </c>
      <c r="B774" s="13" t="n">
        <v>-0.2436</v>
      </c>
      <c r="C774" s="14">
        <f>B774*100</f>
        <v/>
      </c>
    </row>
    <row r="775">
      <c r="A775" s="12" t="n">
        <v>43768</v>
      </c>
      <c r="B775" s="13" t="n">
        <v>-0.2618</v>
      </c>
      <c r="C775" s="14">
        <f>B775*100</f>
        <v/>
      </c>
    </row>
    <row r="776">
      <c r="A776" s="12" t="n">
        <v>43769</v>
      </c>
      <c r="B776" s="13" t="n">
        <v>-0.2973</v>
      </c>
      <c r="C776" s="14">
        <f>B776*100</f>
        <v/>
      </c>
    </row>
    <row r="777">
      <c r="A777" s="12" t="n">
        <v>43770</v>
      </c>
      <c r="B777" s="13" t="n">
        <v>-0.2878</v>
      </c>
      <c r="C777" s="14">
        <f>B777*100</f>
        <v/>
      </c>
    </row>
    <row r="778">
      <c r="A778" s="12" t="n">
        <v>43773</v>
      </c>
      <c r="B778" s="13" t="n">
        <v>-0.2626</v>
      </c>
      <c r="C778" s="14">
        <f>B778*100</f>
        <v/>
      </c>
    </row>
    <row r="779">
      <c r="A779" s="12" t="n">
        <v>43774</v>
      </c>
      <c r="B779" s="13" t="n">
        <v>-0.2293</v>
      </c>
      <c r="C779" s="14">
        <f>B779*100</f>
        <v/>
      </c>
    </row>
    <row r="780">
      <c r="A780" s="12" t="n">
        <v>43775</v>
      </c>
      <c r="B780" s="13" t="n">
        <v>-0.2353</v>
      </c>
      <c r="C780" s="14">
        <f>B780*100</f>
        <v/>
      </c>
    </row>
    <row r="781">
      <c r="A781" s="12" t="n">
        <v>43776</v>
      </c>
      <c r="B781" s="13" t="n">
        <v>-0.1912</v>
      </c>
      <c r="C781" s="14">
        <f>B781*100</f>
        <v/>
      </c>
    </row>
    <row r="782">
      <c r="A782" s="12" t="n">
        <v>43777</v>
      </c>
      <c r="B782" s="13" t="n">
        <v>-0.173</v>
      </c>
      <c r="C782" s="14">
        <f>B782*100</f>
        <v/>
      </c>
    </row>
    <row r="783">
      <c r="A783" s="12" t="n">
        <v>43781</v>
      </c>
      <c r="B783" s="13" t="n">
        <v>-0.1783</v>
      </c>
      <c r="C783" s="14">
        <f>B783*100</f>
        <v/>
      </c>
    </row>
    <row r="784">
      <c r="A784" s="12" t="n">
        <v>43782</v>
      </c>
      <c r="B784" s="13" t="n">
        <v>-0.196</v>
      </c>
      <c r="C784" s="14">
        <f>B784*100</f>
        <v/>
      </c>
    </row>
    <row r="785">
      <c r="A785" s="12" t="n">
        <v>43783</v>
      </c>
      <c r="B785" s="13" t="n">
        <v>-0.2227</v>
      </c>
      <c r="C785" s="14">
        <f>B785*100</f>
        <v/>
      </c>
    </row>
    <row r="786">
      <c r="A786" s="12" t="n">
        <v>43784</v>
      </c>
      <c r="B786" s="13" t="n">
        <v>-0.2231</v>
      </c>
      <c r="C786" s="14">
        <f>B786*100</f>
        <v/>
      </c>
    </row>
    <row r="787">
      <c r="A787" s="12" t="n">
        <v>43787</v>
      </c>
      <c r="B787" s="13" t="n">
        <v>-0.2335</v>
      </c>
      <c r="C787" s="14">
        <f>B787*100</f>
        <v/>
      </c>
    </row>
    <row r="788">
      <c r="A788" s="12" t="n">
        <v>43788</v>
      </c>
      <c r="B788" s="13" t="n">
        <v>-0.2429</v>
      </c>
      <c r="C788" s="14">
        <f>B788*100</f>
        <v/>
      </c>
    </row>
    <row r="789">
      <c r="A789" s="12" t="n">
        <v>43789</v>
      </c>
      <c r="B789" s="13" t="n">
        <v>-0.266</v>
      </c>
      <c r="C789" s="14">
        <f>B789*100</f>
        <v/>
      </c>
    </row>
    <row r="790">
      <c r="A790" s="12" t="n">
        <v>43790</v>
      </c>
      <c r="B790" s="13" t="n">
        <v>-0.2559</v>
      </c>
      <c r="C790" s="14">
        <f>B790*100</f>
        <v/>
      </c>
    </row>
    <row r="791">
      <c r="A791" s="12" t="n">
        <v>43791</v>
      </c>
      <c r="B791" s="13" t="n">
        <v>-0.2539</v>
      </c>
      <c r="C791" s="14">
        <f>B791*100</f>
        <v/>
      </c>
    </row>
    <row r="792">
      <c r="A792" s="12" t="n">
        <v>43794</v>
      </c>
      <c r="B792" s="13" t="n">
        <v>-0.2586</v>
      </c>
      <c r="C792" s="14">
        <f>B792*100</f>
        <v/>
      </c>
    </row>
    <row r="793">
      <c r="A793" s="12" t="n">
        <v>43795</v>
      </c>
      <c r="B793" s="13" t="n">
        <v>-0.2715</v>
      </c>
      <c r="C793" s="14">
        <f>B793*100</f>
        <v/>
      </c>
    </row>
    <row r="794">
      <c r="A794" s="12" t="n">
        <v>43796</v>
      </c>
      <c r="B794" s="13" t="n">
        <v>-0.2612</v>
      </c>
      <c r="C794" s="14">
        <f>B794*100</f>
        <v/>
      </c>
    </row>
    <row r="795">
      <c r="A795" s="12" t="n">
        <v>43798</v>
      </c>
      <c r="B795" s="13" t="n">
        <v>-0.2569</v>
      </c>
      <c r="C795" s="14">
        <f>B795*100</f>
        <v/>
      </c>
    </row>
    <row r="796">
      <c r="A796" s="12" t="n">
        <v>43801</v>
      </c>
      <c r="B796" s="13" t="n">
        <v>-0.2392</v>
      </c>
      <c r="C796" s="14">
        <f>B796*100</f>
        <v/>
      </c>
    </row>
    <row r="797">
      <c r="A797" s="12" t="n">
        <v>43802</v>
      </c>
      <c r="B797" s="13" t="n">
        <v>-0.2759</v>
      </c>
      <c r="C797" s="14">
        <f>B797*100</f>
        <v/>
      </c>
    </row>
    <row r="798">
      <c r="A798" s="12" t="n">
        <v>43803</v>
      </c>
      <c r="B798" s="13" t="n">
        <v>-0.2605</v>
      </c>
      <c r="C798" s="14">
        <f>B798*100</f>
        <v/>
      </c>
    </row>
    <row r="799">
      <c r="A799" s="12" t="n">
        <v>43804</v>
      </c>
      <c r="B799" s="13" t="n">
        <v>-0.2453</v>
      </c>
      <c r="C799" s="14">
        <f>B799*100</f>
        <v/>
      </c>
    </row>
    <row r="800">
      <c r="A800" s="12" t="n">
        <v>43805</v>
      </c>
      <c r="B800" s="13" t="n">
        <v>-0.2216</v>
      </c>
      <c r="C800" s="14">
        <f>B800*100</f>
        <v/>
      </c>
    </row>
    <row r="801">
      <c r="A801" s="12" t="n">
        <v>43808</v>
      </c>
      <c r="B801" s="13" t="n">
        <v>-0.218</v>
      </c>
      <c r="C801" s="14">
        <f>B801*100</f>
        <v/>
      </c>
    </row>
    <row r="802">
      <c r="A802" s="12" t="n">
        <v>43809</v>
      </c>
      <c r="B802" s="13" t="n">
        <v>-0.2118</v>
      </c>
      <c r="C802" s="14">
        <f>B802*100</f>
        <v/>
      </c>
    </row>
    <row r="803">
      <c r="A803" s="12" t="n">
        <v>43810</v>
      </c>
      <c r="B803" s="13" t="n">
        <v>-0.2311</v>
      </c>
      <c r="C803" s="14">
        <f>B803*100</f>
        <v/>
      </c>
    </row>
    <row r="804">
      <c r="A804" s="12" t="n">
        <v>43811</v>
      </c>
      <c r="B804" s="13" t="n">
        <v>-0.1952</v>
      </c>
      <c r="C804" s="14">
        <f>B804*100</f>
        <v/>
      </c>
    </row>
    <row r="805">
      <c r="A805" s="12" t="n">
        <v>43812</v>
      </c>
      <c r="B805" s="13" t="n">
        <v>-0.2164</v>
      </c>
      <c r="C805" s="14">
        <f>B805*100</f>
        <v/>
      </c>
    </row>
    <row r="806">
      <c r="A806" s="12" t="n">
        <v>43815</v>
      </c>
      <c r="B806" s="13" t="n">
        <v>-0.1979</v>
      </c>
      <c r="C806" s="14">
        <f>B806*100</f>
        <v/>
      </c>
    </row>
    <row r="807">
      <c r="A807" s="12" t="n">
        <v>43816</v>
      </c>
      <c r="B807" s="13" t="n">
        <v>-0.1934</v>
      </c>
      <c r="C807" s="14">
        <f>B807*100</f>
        <v/>
      </c>
    </row>
    <row r="808">
      <c r="A808" s="12" t="n">
        <v>43817</v>
      </c>
      <c r="B808" s="13" t="n">
        <v>-0.1788</v>
      </c>
      <c r="C808" s="14">
        <f>B808*100</f>
        <v/>
      </c>
    </row>
    <row r="809">
      <c r="A809" s="12" t="n">
        <v>43818</v>
      </c>
      <c r="B809" s="13" t="n">
        <v>-0.1771</v>
      </c>
      <c r="C809" s="14">
        <f>B809*100</f>
        <v/>
      </c>
    </row>
    <row r="810">
      <c r="A810" s="12" t="n">
        <v>43819</v>
      </c>
      <c r="B810" s="13" t="n">
        <v>-0.1749</v>
      </c>
      <c r="C810" s="14">
        <f>B810*100</f>
        <v/>
      </c>
    </row>
    <row r="811">
      <c r="A811" s="12" t="n">
        <v>43822</v>
      </c>
      <c r="B811" s="13" t="n">
        <v>-0.1713</v>
      </c>
      <c r="C811" s="14">
        <f>B811*100</f>
        <v/>
      </c>
    </row>
    <row r="812">
      <c r="A812" s="12" t="n">
        <v>43823</v>
      </c>
      <c r="B812" s="13" t="n">
        <v>-0.1823</v>
      </c>
      <c r="C812" s="14">
        <f>B812*100</f>
        <v/>
      </c>
    </row>
    <row r="813">
      <c r="A813" s="12" t="n">
        <v>43825</v>
      </c>
      <c r="B813" s="13" t="n">
        <v>-0.1855</v>
      </c>
      <c r="C813" s="14">
        <f>B813*100</f>
        <v/>
      </c>
    </row>
    <row r="814">
      <c r="A814" s="12" t="n">
        <v>43826</v>
      </c>
      <c r="B814" s="13" t="n">
        <v>-0.1986</v>
      </c>
      <c r="C814" s="14">
        <f>B814*100</f>
        <v/>
      </c>
    </row>
    <row r="815">
      <c r="A815" s="12" t="n">
        <v>43829</v>
      </c>
      <c r="B815" s="13" t="n">
        <v>-0.1981</v>
      </c>
      <c r="C815" s="14">
        <f>B815*100</f>
        <v/>
      </c>
    </row>
    <row r="816">
      <c r="A816" s="12" t="n">
        <v>43830</v>
      </c>
      <c r="B816" s="13" t="n">
        <v>-0.1876</v>
      </c>
      <c r="C816" s="14">
        <f>B816*100</f>
        <v/>
      </c>
    </row>
    <row r="817">
      <c r="A817" s="12" t="n">
        <v>43832</v>
      </c>
      <c r="B817" s="13" t="n">
        <v>-0.1979</v>
      </c>
      <c r="C817" s="14">
        <f>B817*100</f>
        <v/>
      </c>
    </row>
    <row r="818">
      <c r="A818" s="12" t="n">
        <v>43833</v>
      </c>
      <c r="B818" s="13" t="n">
        <v>-0.2283</v>
      </c>
      <c r="C818" s="14">
        <f>B818*100</f>
        <v/>
      </c>
    </row>
    <row r="819">
      <c r="A819" s="12" t="n">
        <v>43836</v>
      </c>
      <c r="B819" s="13" t="n">
        <v>-0.2336</v>
      </c>
      <c r="C819" s="14">
        <f>B819*100</f>
        <v/>
      </c>
    </row>
    <row r="820">
      <c r="A820" s="12" t="n">
        <v>43837</v>
      </c>
      <c r="B820" s="13" t="n">
        <v>-0.2286</v>
      </c>
      <c r="C820" s="14">
        <f>B820*100</f>
        <v/>
      </c>
    </row>
    <row r="821">
      <c r="A821" s="12" t="n">
        <v>43838</v>
      </c>
      <c r="B821" s="13" t="n">
        <v>-0.2099</v>
      </c>
      <c r="C821" s="14">
        <f>B821*100</f>
        <v/>
      </c>
    </row>
    <row r="822">
      <c r="A822" s="12" t="n">
        <v>43839</v>
      </c>
      <c r="B822" s="13" t="n">
        <v>-0.213</v>
      </c>
      <c r="C822" s="14">
        <f>B822*100</f>
        <v/>
      </c>
    </row>
    <row r="823">
      <c r="A823" s="12" t="n">
        <v>43840</v>
      </c>
      <c r="B823" s="13" t="n">
        <v>-0.2218</v>
      </c>
      <c r="C823" s="14">
        <f>B823*100</f>
        <v/>
      </c>
    </row>
    <row r="824">
      <c r="A824" s="12" t="n">
        <v>43843</v>
      </c>
      <c r="B824" s="13" t="n">
        <v>-0.2199</v>
      </c>
      <c r="C824" s="14">
        <f>B824*100</f>
        <v/>
      </c>
    </row>
    <row r="825">
      <c r="A825" s="12" t="n">
        <v>43844</v>
      </c>
      <c r="B825" s="13" t="n">
        <v>-0.2308</v>
      </c>
      <c r="C825" s="14">
        <f>B825*100</f>
        <v/>
      </c>
    </row>
    <row r="826">
      <c r="A826" s="12" t="n">
        <v>43845</v>
      </c>
      <c r="B826" s="13" t="n">
        <v>-0.2469</v>
      </c>
      <c r="C826" s="14">
        <f>B826*100</f>
        <v/>
      </c>
    </row>
    <row r="827">
      <c r="A827" s="12" t="n">
        <v>43846</v>
      </c>
      <c r="B827" s="13" t="n">
        <v>-0.2403</v>
      </c>
      <c r="C827" s="14">
        <f>B827*100</f>
        <v/>
      </c>
    </row>
    <row r="828">
      <c r="A828" s="12" t="n">
        <v>43847</v>
      </c>
      <c r="B828" s="13" t="n">
        <v>-0.2327</v>
      </c>
      <c r="C828" s="14">
        <f>B828*100</f>
        <v/>
      </c>
    </row>
    <row r="829">
      <c r="A829" s="12" t="n">
        <v>43851</v>
      </c>
      <c r="B829" s="13" t="n">
        <v>-0.253</v>
      </c>
      <c r="C829" s="14">
        <f>B829*100</f>
        <v/>
      </c>
    </row>
    <row r="830">
      <c r="A830" s="12" t="n">
        <v>43852</v>
      </c>
      <c r="B830" s="13" t="n">
        <v>-0.2595</v>
      </c>
      <c r="C830" s="14">
        <f>B830*100</f>
        <v/>
      </c>
    </row>
    <row r="831">
      <c r="A831" s="12" t="n">
        <v>43853</v>
      </c>
      <c r="B831" s="13" t="n">
        <v>-0.2737</v>
      </c>
      <c r="C831" s="14">
        <f>B831*100</f>
        <v/>
      </c>
    </row>
    <row r="832">
      <c r="A832" s="12" t="n">
        <v>43854</v>
      </c>
      <c r="B832" s="13" t="n">
        <v>-0.2922</v>
      </c>
      <c r="C832" s="14">
        <f>B832*100</f>
        <v/>
      </c>
    </row>
    <row r="833">
      <c r="A833" s="12" t="n">
        <v>43857</v>
      </c>
      <c r="B833" s="13" t="n">
        <v>-0.3335</v>
      </c>
      <c r="C833" s="14">
        <f>B833*100</f>
        <v/>
      </c>
    </row>
    <row r="834">
      <c r="A834" s="12" t="n">
        <v>43858</v>
      </c>
      <c r="B834" s="13" t="n">
        <v>-0.3319</v>
      </c>
      <c r="C834" s="14">
        <f>B834*100</f>
        <v/>
      </c>
    </row>
    <row r="835">
      <c r="A835" s="12" t="n">
        <v>43859</v>
      </c>
      <c r="B835" s="13" t="n">
        <v>-0.3544</v>
      </c>
      <c r="C835" s="14">
        <f>B835*100</f>
        <v/>
      </c>
    </row>
    <row r="836">
      <c r="A836" s="12" t="n">
        <v>43860</v>
      </c>
      <c r="B836" s="13" t="n">
        <v>-0.3707</v>
      </c>
      <c r="C836" s="14">
        <f>B836*100</f>
        <v/>
      </c>
    </row>
    <row r="837">
      <c r="A837" s="12" t="n">
        <v>43861</v>
      </c>
      <c r="B837" s="13" t="n">
        <v>-0.3998</v>
      </c>
      <c r="C837" s="14">
        <f>B837*100</f>
        <v/>
      </c>
    </row>
    <row r="838">
      <c r="A838" s="12" t="n">
        <v>43864</v>
      </c>
      <c r="B838" s="13" t="n">
        <v>-0.3972</v>
      </c>
      <c r="C838" s="14">
        <f>B838*100</f>
        <v/>
      </c>
    </row>
    <row r="839">
      <c r="A839" s="12" t="n">
        <v>43865</v>
      </c>
      <c r="B839" s="13" t="n">
        <v>-0.3693</v>
      </c>
      <c r="C839" s="14">
        <f>B839*100</f>
        <v/>
      </c>
    </row>
    <row r="840">
      <c r="A840" s="12" t="n">
        <v>43866</v>
      </c>
      <c r="B840" s="13" t="n">
        <v>-0.3428</v>
      </c>
      <c r="C840" s="14">
        <f>B840*100</f>
        <v/>
      </c>
    </row>
    <row r="841">
      <c r="A841" s="12" t="n">
        <v>43867</v>
      </c>
      <c r="B841" s="13" t="n">
        <v>-0.3407</v>
      </c>
      <c r="C841" s="14">
        <f>B841*100</f>
        <v/>
      </c>
    </row>
    <row r="842">
      <c r="A842" s="12" t="n">
        <v>43868</v>
      </c>
      <c r="B842" s="13" t="n">
        <v>-0.3592</v>
      </c>
      <c r="C842" s="14">
        <f>B842*100</f>
        <v/>
      </c>
    </row>
    <row r="843">
      <c r="A843" s="12" t="n">
        <v>43871</v>
      </c>
      <c r="B843" s="13" t="n">
        <v>-0.3781</v>
      </c>
      <c r="C843" s="14">
        <f>B843*100</f>
        <v/>
      </c>
    </row>
    <row r="844">
      <c r="A844" s="12" t="n">
        <v>43872</v>
      </c>
      <c r="B844" s="13" t="n">
        <v>-0.3705</v>
      </c>
      <c r="C844" s="14">
        <f>B844*100</f>
        <v/>
      </c>
    </row>
    <row r="845">
      <c r="A845" s="12" t="n">
        <v>43873</v>
      </c>
      <c r="B845" s="13" t="n">
        <v>-0.3513</v>
      </c>
      <c r="C845" s="14">
        <f>B845*100</f>
        <v/>
      </c>
    </row>
    <row r="846">
      <c r="A846" s="12" t="n">
        <v>43874</v>
      </c>
      <c r="B846" s="13" t="n">
        <v>-0.3518</v>
      </c>
      <c r="C846" s="14">
        <f>B846*100</f>
        <v/>
      </c>
    </row>
    <row r="847">
      <c r="A847" s="12" t="n">
        <v>43875</v>
      </c>
      <c r="B847" s="13" t="n">
        <v>-0.3597</v>
      </c>
      <c r="C847" s="14">
        <f>B847*100</f>
        <v/>
      </c>
    </row>
    <row r="848">
      <c r="A848" s="12" t="n">
        <v>43879</v>
      </c>
      <c r="B848" s="13" t="n">
        <v>-0.3751</v>
      </c>
      <c r="C848" s="14">
        <f>B848*100</f>
        <v/>
      </c>
    </row>
    <row r="849">
      <c r="A849" s="12" t="n">
        <v>43880</v>
      </c>
      <c r="B849" s="13" t="n">
        <v>-0.3732</v>
      </c>
      <c r="C849" s="14">
        <f>B849*100</f>
        <v/>
      </c>
    </row>
    <row r="850">
      <c r="A850" s="12" t="n">
        <v>43881</v>
      </c>
      <c r="B850" s="13" t="n">
        <v>-0.3901</v>
      </c>
      <c r="C850" s="14">
        <f>B850*100</f>
        <v/>
      </c>
    </row>
    <row r="851">
      <c r="A851" s="12" t="n">
        <v>43882</v>
      </c>
      <c r="B851" s="13" t="n">
        <v>-0.4188</v>
      </c>
      <c r="C851" s="14">
        <f>B851*100</f>
        <v/>
      </c>
    </row>
    <row r="852">
      <c r="A852" s="12" t="n">
        <v>43885</v>
      </c>
      <c r="B852" s="13" t="n">
        <v>-0.4565</v>
      </c>
      <c r="C852" s="14">
        <f>B852*100</f>
        <v/>
      </c>
    </row>
    <row r="853">
      <c r="A853" s="12" t="n">
        <v>43886</v>
      </c>
      <c r="B853" s="13" t="n">
        <v>-0.4858</v>
      </c>
      <c r="C853" s="14">
        <f>B853*100</f>
        <v/>
      </c>
    </row>
    <row r="854">
      <c r="A854" s="12" t="n">
        <v>43887</v>
      </c>
      <c r="B854" s="13" t="n">
        <v>-0.493</v>
      </c>
      <c r="C854" s="14">
        <f>B854*100</f>
        <v/>
      </c>
    </row>
    <row r="855">
      <c r="A855" s="12" t="n">
        <v>43888</v>
      </c>
      <c r="B855" s="13" t="n">
        <v>-0.4994</v>
      </c>
      <c r="C855" s="14">
        <f>B855*100</f>
        <v/>
      </c>
    </row>
    <row r="856">
      <c r="A856" s="12" t="n">
        <v>43889</v>
      </c>
      <c r="B856" s="13" t="n">
        <v>-0.5573</v>
      </c>
      <c r="C856" s="14">
        <f>B856*100</f>
        <v/>
      </c>
    </row>
    <row r="857">
      <c r="A857" s="12" t="n">
        <v>43892</v>
      </c>
      <c r="B857" s="13" t="n">
        <v>-0.5512</v>
      </c>
      <c r="C857" s="14">
        <f>B857*100</f>
        <v/>
      </c>
    </row>
    <row r="858">
      <c r="A858" s="12" t="n">
        <v>43893</v>
      </c>
      <c r="B858" s="13" t="n">
        <v>-0.5637</v>
      </c>
      <c r="C858" s="14">
        <f>B858*100</f>
        <v/>
      </c>
    </row>
    <row r="859">
      <c r="A859" s="12" t="n">
        <v>43894</v>
      </c>
      <c r="B859" s="13" t="n">
        <v>-0.5392</v>
      </c>
      <c r="C859" s="14">
        <f>B859*100</f>
        <v/>
      </c>
    </row>
    <row r="860">
      <c r="A860" s="12" t="n">
        <v>43895</v>
      </c>
      <c r="B860" s="13" t="n">
        <v>-0.5438</v>
      </c>
      <c r="C860" s="14">
        <f>B860*100</f>
        <v/>
      </c>
    </row>
    <row r="861">
      <c r="A861" s="12" t="n">
        <v>43896</v>
      </c>
      <c r="B861" s="13" t="n">
        <v>-0.5686</v>
      </c>
      <c r="C861" s="14">
        <f>B861*100</f>
        <v/>
      </c>
    </row>
    <row r="862">
      <c r="A862" s="12" t="n">
        <v>43899</v>
      </c>
      <c r="B862" s="13" t="n">
        <v>-0.6096</v>
      </c>
      <c r="C862" s="14">
        <f>B862*100</f>
        <v/>
      </c>
    </row>
    <row r="863">
      <c r="A863" s="12" t="n">
        <v>43900</v>
      </c>
      <c r="B863" s="13" t="n">
        <v>-0.5344</v>
      </c>
      <c r="C863" s="14">
        <f>B863*100</f>
        <v/>
      </c>
    </row>
    <row r="864">
      <c r="A864" s="12" t="n">
        <v>43901</v>
      </c>
      <c r="B864" s="13" t="n">
        <v>-0.508</v>
      </c>
      <c r="C864" s="14">
        <f>B864*100</f>
        <v/>
      </c>
    </row>
    <row r="865">
      <c r="A865" s="12" t="n">
        <v>43902</v>
      </c>
      <c r="B865" s="13" t="n">
        <v>-0.4737</v>
      </c>
      <c r="C865" s="14">
        <f>B865*100</f>
        <v/>
      </c>
    </row>
    <row r="866">
      <c r="A866" s="12" t="n">
        <v>43903</v>
      </c>
      <c r="B866" s="13" t="n">
        <v>-0.4354</v>
      </c>
      <c r="C866" s="14">
        <f>B866*100</f>
        <v/>
      </c>
    </row>
    <row r="867">
      <c r="A867" s="12" t="n">
        <v>43906</v>
      </c>
      <c r="B867" s="13" t="n">
        <v>-0.5043</v>
      </c>
      <c r="C867" s="14">
        <f>B867*100</f>
        <v/>
      </c>
    </row>
    <row r="868">
      <c r="A868" s="12" t="n">
        <v>43907</v>
      </c>
      <c r="B868" s="13" t="n">
        <v>-0.4117</v>
      </c>
      <c r="C868" s="14">
        <f>B868*100</f>
        <v/>
      </c>
    </row>
    <row r="869">
      <c r="A869" s="12" t="n">
        <v>43908</v>
      </c>
      <c r="B869" s="13" t="n">
        <v>-0.3004</v>
      </c>
      <c r="C869" s="14">
        <f>B869*100</f>
        <v/>
      </c>
    </row>
    <row r="870">
      <c r="A870" s="12" t="n">
        <v>43909</v>
      </c>
      <c r="B870" s="13" t="n">
        <v>-0.291</v>
      </c>
      <c r="C870" s="14">
        <f>B870*100</f>
        <v/>
      </c>
    </row>
    <row r="871">
      <c r="A871" s="12" t="n">
        <v>43910</v>
      </c>
      <c r="B871" s="13" t="n">
        <v>-0.3546</v>
      </c>
      <c r="C871" s="14">
        <f>B871*100</f>
        <v/>
      </c>
    </row>
    <row r="872">
      <c r="A872" s="12" t="n">
        <v>43913</v>
      </c>
      <c r="B872" s="13" t="n">
        <v>-0.4429</v>
      </c>
      <c r="C872" s="14">
        <f>B872*100</f>
        <v/>
      </c>
    </row>
    <row r="873">
      <c r="A873" s="12" t="n">
        <v>43914</v>
      </c>
      <c r="B873" s="13" t="n">
        <v>-0.4242</v>
      </c>
      <c r="C873" s="14">
        <f>B873*100</f>
        <v/>
      </c>
    </row>
    <row r="874">
      <c r="A874" s="12" t="n">
        <v>43915</v>
      </c>
      <c r="B874" s="13" t="n">
        <v>-0.4159</v>
      </c>
      <c r="C874" s="14">
        <f>B874*100</f>
        <v/>
      </c>
    </row>
    <row r="875">
      <c r="A875" s="12" t="n">
        <v>43916</v>
      </c>
      <c r="B875" s="13" t="n">
        <v>-0.43</v>
      </c>
      <c r="C875" s="14">
        <f>B875*100</f>
        <v/>
      </c>
    </row>
    <row r="876">
      <c r="A876" s="12" t="n">
        <v>43917</v>
      </c>
      <c r="B876" s="13" t="n">
        <v>-0.4761</v>
      </c>
      <c r="C876" s="14">
        <f>B876*100</f>
        <v/>
      </c>
    </row>
    <row r="877">
      <c r="A877" s="12" t="n">
        <v>43920</v>
      </c>
      <c r="B877" s="13" t="n">
        <v>-0.5058</v>
      </c>
      <c r="C877" s="14">
        <f>B877*100</f>
        <v/>
      </c>
    </row>
    <row r="878">
      <c r="A878" s="12" t="n">
        <v>43921</v>
      </c>
      <c r="B878" s="13" t="n">
        <v>-0.5203</v>
      </c>
      <c r="C878" s="14">
        <f>B878*100</f>
        <v/>
      </c>
    </row>
    <row r="879">
      <c r="A879" s="12" t="n">
        <v>43922</v>
      </c>
      <c r="B879" s="13" t="n">
        <v>-0.5479000000000001</v>
      </c>
      <c r="C879" s="14">
        <f>B879*100</f>
        <v/>
      </c>
    </row>
    <row r="880">
      <c r="A880" s="12" t="n">
        <v>43923</v>
      </c>
      <c r="B880" s="13" t="n">
        <v>-0.5508999999999999</v>
      </c>
      <c r="C880" s="14">
        <f>B880*100</f>
        <v/>
      </c>
    </row>
    <row r="881">
      <c r="A881" s="12" t="n">
        <v>43924</v>
      </c>
      <c r="B881" s="13" t="n">
        <v>-0.5542</v>
      </c>
      <c r="C881" s="14">
        <f>B881*100</f>
        <v/>
      </c>
    </row>
    <row r="882">
      <c r="A882" s="12" t="n">
        <v>43927</v>
      </c>
      <c r="B882" s="13" t="n">
        <v>-0.5392</v>
      </c>
      <c r="C882" s="14">
        <f>B882*100</f>
        <v/>
      </c>
    </row>
    <row r="883">
      <c r="A883" s="12" t="n">
        <v>43928</v>
      </c>
      <c r="B883" s="13" t="n">
        <v>-0.5175999999999999</v>
      </c>
      <c r="C883" s="14">
        <f>B883*100</f>
        <v/>
      </c>
    </row>
    <row r="884">
      <c r="A884" s="12" t="n">
        <v>43929</v>
      </c>
      <c r="B884" s="13" t="n">
        <v>-0.5155999999999999</v>
      </c>
      <c r="C884" s="14">
        <f>B884*100</f>
        <v/>
      </c>
    </row>
    <row r="885">
      <c r="A885" s="12" t="n">
        <v>43930</v>
      </c>
      <c r="B885" s="13" t="n">
        <v>-0.5377</v>
      </c>
      <c r="C885" s="14">
        <f>B885*100</f>
        <v/>
      </c>
    </row>
    <row r="886">
      <c r="A886" s="12" t="n">
        <v>43934</v>
      </c>
      <c r="B886" s="13" t="n">
        <v>-0.5347</v>
      </c>
      <c r="C886" s="14">
        <f>B886*100</f>
        <v/>
      </c>
    </row>
    <row r="887">
      <c r="A887" s="12" t="n">
        <v>43935</v>
      </c>
      <c r="B887" s="13" t="n">
        <v>-0.5371</v>
      </c>
      <c r="C887" s="14">
        <f>B887*100</f>
        <v/>
      </c>
    </row>
    <row r="888">
      <c r="A888" s="12" t="n">
        <v>43936</v>
      </c>
      <c r="B888" s="13" t="n">
        <v>-0.574</v>
      </c>
      <c r="C888" s="14">
        <f>B888*100</f>
        <v/>
      </c>
    </row>
    <row r="889">
      <c r="A889" s="12" t="n">
        <v>43937</v>
      </c>
      <c r="B889" s="13" t="n">
        <v>-0.584</v>
      </c>
      <c r="C889" s="14">
        <f>B889*100</f>
        <v/>
      </c>
    </row>
    <row r="890">
      <c r="A890" s="12" t="n">
        <v>43938</v>
      </c>
      <c r="B890" s="13" t="n">
        <v>-0.5717</v>
      </c>
      <c r="C890" s="14">
        <f>B890*100</f>
        <v/>
      </c>
    </row>
    <row r="891">
      <c r="A891" s="12" t="n">
        <v>43941</v>
      </c>
      <c r="B891" s="13" t="n">
        <v>-0.5767</v>
      </c>
      <c r="C891" s="14">
        <f>B891*100</f>
        <v/>
      </c>
    </row>
    <row r="892">
      <c r="A892" s="12" t="n">
        <v>43942</v>
      </c>
      <c r="B892" s="13" t="n">
        <v>-0.5885</v>
      </c>
      <c r="C892" s="14">
        <f>B892*100</f>
        <v/>
      </c>
    </row>
    <row r="893">
      <c r="A893" s="12" t="n">
        <v>43943</v>
      </c>
      <c r="B893" s="13" t="n">
        <v>-0.5768</v>
      </c>
      <c r="C893" s="14">
        <f>B893*100</f>
        <v/>
      </c>
    </row>
    <row r="894">
      <c r="A894" s="12" t="n">
        <v>43944</v>
      </c>
      <c r="B894" s="13" t="n">
        <v>-0.5776</v>
      </c>
      <c r="C894" s="14">
        <f>B894*100</f>
        <v/>
      </c>
    </row>
    <row r="895">
      <c r="A895" s="12" t="n">
        <v>43945</v>
      </c>
      <c r="B895" s="13" t="n">
        <v>-0.5799</v>
      </c>
      <c r="C895" s="14">
        <f>B895*100</f>
        <v/>
      </c>
    </row>
    <row r="896">
      <c r="A896" s="12" t="n">
        <v>43948</v>
      </c>
      <c r="B896" s="13" t="n">
        <v>-0.5610000000000001</v>
      </c>
      <c r="C896" s="14">
        <f>B896*100</f>
        <v/>
      </c>
    </row>
    <row r="897">
      <c r="A897" s="12" t="n">
        <v>43949</v>
      </c>
      <c r="B897" s="13" t="n">
        <v>-0.5715</v>
      </c>
      <c r="C897" s="14">
        <f>B897*100</f>
        <v/>
      </c>
    </row>
    <row r="898">
      <c r="A898" s="12" t="n">
        <v>43950</v>
      </c>
      <c r="B898" s="13" t="n">
        <v>-0.5744</v>
      </c>
      <c r="C898" s="14">
        <f>B898*100</f>
        <v/>
      </c>
    </row>
    <row r="899">
      <c r="A899" s="12" t="n">
        <v>43951</v>
      </c>
      <c r="B899" s="13" t="n">
        <v>-0.5691000000000001</v>
      </c>
      <c r="C899" s="14">
        <f>B899*100</f>
        <v/>
      </c>
    </row>
    <row r="900">
      <c r="A900" s="12" t="n">
        <v>43952</v>
      </c>
      <c r="B900" s="13" t="n">
        <v>-0.5682</v>
      </c>
      <c r="C900" s="14">
        <f>B900*100</f>
        <v/>
      </c>
    </row>
    <row r="901">
      <c r="A901" s="12" t="n">
        <v>43955</v>
      </c>
      <c r="B901" s="13" t="n">
        <v>-0.5728</v>
      </c>
      <c r="C901" s="14">
        <f>B901*100</f>
        <v/>
      </c>
    </row>
    <row r="902">
      <c r="A902" s="12" t="n">
        <v>43956</v>
      </c>
      <c r="B902" s="13" t="n">
        <v>-0.5703</v>
      </c>
      <c r="C902" s="14">
        <f>B902*100</f>
        <v/>
      </c>
    </row>
    <row r="903">
      <c r="A903" s="12" t="n">
        <v>43957</v>
      </c>
      <c r="B903" s="13" t="n">
        <v>-0.5556</v>
      </c>
      <c r="C903" s="14">
        <f>B903*100</f>
        <v/>
      </c>
    </row>
    <row r="904">
      <c r="A904" s="12" t="n">
        <v>43958</v>
      </c>
      <c r="B904" s="13" t="n">
        <v>-0.5848</v>
      </c>
      <c r="C904" s="14">
        <f>B904*100</f>
        <v/>
      </c>
    </row>
    <row r="905">
      <c r="A905" s="12" t="n">
        <v>43959</v>
      </c>
      <c r="B905" s="13" t="n">
        <v>-0.5736</v>
      </c>
      <c r="C905" s="14">
        <f>B905*100</f>
        <v/>
      </c>
    </row>
    <row r="906">
      <c r="A906" s="12" t="n">
        <v>43962</v>
      </c>
      <c r="B906" s="13" t="n">
        <v>-0.5593</v>
      </c>
      <c r="C906" s="14">
        <f>B906*100</f>
        <v/>
      </c>
    </row>
    <row r="907">
      <c r="A907" s="12" t="n">
        <v>43963</v>
      </c>
      <c r="B907" s="13" t="n">
        <v>-0.5674</v>
      </c>
      <c r="C907" s="14">
        <f>B907*100</f>
        <v/>
      </c>
    </row>
    <row r="908">
      <c r="A908" s="12" t="n">
        <v>43964</v>
      </c>
      <c r="B908" s="13" t="n">
        <v>-0.583</v>
      </c>
      <c r="C908" s="14">
        <f>B908*100</f>
        <v/>
      </c>
    </row>
    <row r="909">
      <c r="A909" s="12" t="n">
        <v>43965</v>
      </c>
      <c r="B909" s="13" t="n">
        <v>-0.5918</v>
      </c>
      <c r="C909" s="14">
        <f>B909*100</f>
        <v/>
      </c>
    </row>
    <row r="910">
      <c r="A910" s="12" t="n">
        <v>43966</v>
      </c>
      <c r="B910" s="13" t="n">
        <v>-0.5894</v>
      </c>
      <c r="C910" s="14">
        <f>B910*100</f>
        <v/>
      </c>
    </row>
    <row r="911">
      <c r="A911" s="12" t="n">
        <v>43969</v>
      </c>
      <c r="B911" s="13" t="n">
        <v>-0.5600000000000001</v>
      </c>
      <c r="C911" s="14">
        <f>B911*100</f>
        <v/>
      </c>
    </row>
    <row r="912">
      <c r="A912" s="12" t="n">
        <v>43970</v>
      </c>
      <c r="B912" s="13" t="n">
        <v>-0.5629</v>
      </c>
      <c r="C912" s="14">
        <f>B912*100</f>
        <v/>
      </c>
    </row>
    <row r="913">
      <c r="A913" s="12" t="n">
        <v>43971</v>
      </c>
      <c r="B913" s="13" t="n">
        <v>-0.5684</v>
      </c>
      <c r="C913" s="14">
        <f>B913*100</f>
        <v/>
      </c>
    </row>
    <row r="914">
      <c r="A914" s="12" t="n">
        <v>43972</v>
      </c>
      <c r="B914" s="13" t="n">
        <v>-0.5698</v>
      </c>
      <c r="C914" s="14">
        <f>B914*100</f>
        <v/>
      </c>
    </row>
    <row r="915">
      <c r="A915" s="12" t="n">
        <v>43973</v>
      </c>
      <c r="B915" s="13" t="n">
        <v>-0.5787</v>
      </c>
      <c r="C915" s="14">
        <f>B915*100</f>
        <v/>
      </c>
    </row>
    <row r="916">
      <c r="A916" s="12" t="n">
        <v>43977</v>
      </c>
      <c r="B916" s="13" t="n">
        <v>-0.5722</v>
      </c>
      <c r="C916" s="14">
        <f>B916*100</f>
        <v/>
      </c>
    </row>
    <row r="917">
      <c r="A917" s="12" t="n">
        <v>43978</v>
      </c>
      <c r="B917" s="13" t="n">
        <v>-0.5768</v>
      </c>
      <c r="C917" s="14">
        <f>B917*100</f>
        <v/>
      </c>
    </row>
    <row r="918">
      <c r="A918" s="12" t="n">
        <v>43979</v>
      </c>
      <c r="B918" s="13" t="n">
        <v>-0.5741000000000001</v>
      </c>
      <c r="C918" s="14">
        <f>B918*100</f>
        <v/>
      </c>
    </row>
    <row r="919">
      <c r="A919" s="12" t="n">
        <v>43980</v>
      </c>
      <c r="B919" s="13" t="n">
        <v>-0.5904</v>
      </c>
      <c r="C919" s="14">
        <f>B919*100</f>
        <v/>
      </c>
    </row>
    <row r="920">
      <c r="A920" s="12" t="n">
        <v>43983</v>
      </c>
      <c r="B920" s="13" t="n">
        <v>-0.5921999999999999</v>
      </c>
      <c r="C920" s="14">
        <f>B920*100</f>
        <v/>
      </c>
    </row>
    <row r="921">
      <c r="A921" s="12" t="n">
        <v>43984</v>
      </c>
      <c r="B921" s="13" t="n">
        <v>-0.5869</v>
      </c>
      <c r="C921" s="14">
        <f>B921*100</f>
        <v/>
      </c>
    </row>
    <row r="922">
      <c r="A922" s="12" t="n">
        <v>43985</v>
      </c>
      <c r="B922" s="13" t="n">
        <v>-0.5583</v>
      </c>
      <c r="C922" s="14">
        <f>B922*100</f>
        <v/>
      </c>
    </row>
    <row r="923">
      <c r="A923" s="12" t="n">
        <v>43986</v>
      </c>
      <c r="B923" s="13" t="n">
        <v>-0.5345</v>
      </c>
      <c r="C923" s="14">
        <f>B923*100</f>
        <v/>
      </c>
    </row>
    <row r="924">
      <c r="A924" s="12" t="n">
        <v>43987</v>
      </c>
      <c r="B924" s="13" t="n">
        <v>-0.4952</v>
      </c>
      <c r="C924" s="14">
        <f>B924*100</f>
        <v/>
      </c>
    </row>
    <row r="925">
      <c r="A925" s="12" t="n">
        <v>43990</v>
      </c>
      <c r="B925" s="13" t="n">
        <v>-0.4925</v>
      </c>
      <c r="C925" s="14">
        <f>B925*100</f>
        <v/>
      </c>
    </row>
    <row r="926">
      <c r="A926" s="12" t="n">
        <v>43991</v>
      </c>
      <c r="B926" s="13" t="n">
        <v>-0.5105</v>
      </c>
      <c r="C926" s="14">
        <f>B926*100</f>
        <v/>
      </c>
    </row>
    <row r="927">
      <c r="A927" s="12" t="n">
        <v>43992</v>
      </c>
      <c r="B927" s="13" t="n">
        <v>-0.5455</v>
      </c>
      <c r="C927" s="14">
        <f>B927*100</f>
        <v/>
      </c>
    </row>
    <row r="928">
      <c r="A928" s="12" t="n">
        <v>43993</v>
      </c>
      <c r="B928" s="13" t="n">
        <v>-0.5767</v>
      </c>
      <c r="C928" s="14">
        <f>B928*100</f>
        <v/>
      </c>
    </row>
    <row r="929">
      <c r="A929" s="12" t="n">
        <v>43994</v>
      </c>
      <c r="B929" s="13" t="n">
        <v>-0.576</v>
      </c>
      <c r="C929" s="14">
        <f>B929*100</f>
        <v/>
      </c>
    </row>
    <row r="930">
      <c r="A930" s="12" t="n">
        <v>43997</v>
      </c>
      <c r="B930" s="13" t="n">
        <v>-0.5773</v>
      </c>
      <c r="C930" s="14">
        <f>B930*100</f>
        <v/>
      </c>
    </row>
    <row r="931">
      <c r="A931" s="12" t="n">
        <v>43998</v>
      </c>
      <c r="B931" s="13" t="n">
        <v>-0.5665</v>
      </c>
      <c r="C931" s="14">
        <f>B931*100</f>
        <v/>
      </c>
    </row>
    <row r="932">
      <c r="A932" s="12" t="n">
        <v>43999</v>
      </c>
      <c r="B932" s="13" t="n">
        <v>-0.5676</v>
      </c>
      <c r="C932" s="14">
        <f>B932*100</f>
        <v/>
      </c>
    </row>
    <row r="933">
      <c r="A933" s="12" t="n">
        <v>44000</v>
      </c>
      <c r="B933" s="13" t="n">
        <v>-0.5748</v>
      </c>
      <c r="C933" s="14">
        <f>B933*100</f>
        <v/>
      </c>
    </row>
    <row r="934">
      <c r="A934" s="12" t="n">
        <v>44001</v>
      </c>
      <c r="B934" s="13" t="n">
        <v>-0.5772</v>
      </c>
      <c r="C934" s="14">
        <f>B934*100</f>
        <v/>
      </c>
    </row>
    <row r="935">
      <c r="A935" s="12" t="n">
        <v>44004</v>
      </c>
      <c r="B935" s="13" t="n">
        <v>-0.5763</v>
      </c>
      <c r="C935" s="14">
        <f>B935*100</f>
        <v/>
      </c>
    </row>
    <row r="936">
      <c r="A936" s="12" t="n">
        <v>44005</v>
      </c>
      <c r="B936" s="13" t="n">
        <v>-0.5756</v>
      </c>
      <c r="C936" s="14">
        <f>B936*100</f>
        <v/>
      </c>
    </row>
    <row r="937">
      <c r="A937" s="12" t="n">
        <v>44006</v>
      </c>
      <c r="B937" s="13" t="n">
        <v>-0.5837</v>
      </c>
      <c r="C937" s="14">
        <f>B937*100</f>
        <v/>
      </c>
    </row>
    <row r="938">
      <c r="A938" s="12" t="n">
        <v>44007</v>
      </c>
      <c r="B938" s="13" t="n">
        <v>-0.5852000000000001</v>
      </c>
      <c r="C938" s="14">
        <f>B938*100</f>
        <v/>
      </c>
    </row>
    <row r="939">
      <c r="A939" s="12" t="n">
        <v>44008</v>
      </c>
      <c r="B939" s="13" t="n">
        <v>-0.5986</v>
      </c>
      <c r="C939" s="14">
        <f>B939*100</f>
        <v/>
      </c>
    </row>
    <row r="940">
      <c r="A940" s="12" t="n">
        <v>44011</v>
      </c>
      <c r="B940" s="13" t="n">
        <v>-0.6082</v>
      </c>
      <c r="C940" s="14">
        <f>B940*100</f>
        <v/>
      </c>
    </row>
    <row r="941">
      <c r="A941" s="12" t="n">
        <v>44012</v>
      </c>
      <c r="B941" s="13" t="n">
        <v>-0.6055</v>
      </c>
      <c r="C941" s="14">
        <f>B941*100</f>
        <v/>
      </c>
    </row>
    <row r="942">
      <c r="A942" s="12" t="n">
        <v>44013</v>
      </c>
      <c r="B942" s="13" t="n">
        <v>-0.5934</v>
      </c>
      <c r="C942" s="14">
        <f>B942*100</f>
        <v/>
      </c>
    </row>
    <row r="943">
      <c r="A943" s="12" t="n">
        <v>44014</v>
      </c>
      <c r="B943" s="13" t="n">
        <v>-0.5953000000000001</v>
      </c>
      <c r="C943" s="14">
        <f>B943*100</f>
        <v/>
      </c>
    </row>
    <row r="944">
      <c r="A944" s="12" t="n">
        <v>44018</v>
      </c>
      <c r="B944" s="13" t="n">
        <v>-0.5905</v>
      </c>
      <c r="C944" s="14">
        <f>B944*100</f>
        <v/>
      </c>
    </row>
    <row r="945">
      <c r="A945" s="12" t="n">
        <v>44019</v>
      </c>
      <c r="B945" s="13" t="n">
        <v>-0.6022999999999999</v>
      </c>
      <c r="C945" s="14">
        <f>B945*100</f>
        <v/>
      </c>
    </row>
    <row r="946">
      <c r="A946" s="12" t="n">
        <v>44020</v>
      </c>
      <c r="B946" s="13" t="n">
        <v>-0.6027</v>
      </c>
      <c r="C946" s="14">
        <f>B946*100</f>
        <v/>
      </c>
    </row>
    <row r="947">
      <c r="A947" s="12" t="n">
        <v>44021</v>
      </c>
      <c r="B947" s="13" t="n">
        <v>-0.6143999999999999</v>
      </c>
      <c r="C947" s="14">
        <f>B947*100</f>
        <v/>
      </c>
    </row>
    <row r="948">
      <c r="A948" s="12" t="n">
        <v>44022</v>
      </c>
      <c r="B948" s="13" t="n">
        <v>-0.6057</v>
      </c>
      <c r="C948" s="14">
        <f>B948*100</f>
        <v/>
      </c>
    </row>
    <row r="949">
      <c r="A949" s="12" t="n">
        <v>44025</v>
      </c>
      <c r="B949" s="13" t="n">
        <v>-0.6074000000000001</v>
      </c>
      <c r="C949" s="14">
        <f>B949*100</f>
        <v/>
      </c>
    </row>
    <row r="950">
      <c r="A950" s="12" t="n">
        <v>44026</v>
      </c>
      <c r="B950" s="13" t="n">
        <v>-0.6126</v>
      </c>
      <c r="C950" s="14">
        <f>B950*100</f>
        <v/>
      </c>
    </row>
    <row r="951">
      <c r="A951" s="12" t="n">
        <v>44027</v>
      </c>
      <c r="B951" s="13" t="n">
        <v>-0.6127</v>
      </c>
      <c r="C951" s="14">
        <f>B951*100</f>
        <v/>
      </c>
    </row>
    <row r="952">
      <c r="A952" s="12" t="n">
        <v>44028</v>
      </c>
      <c r="B952" s="13" t="n">
        <v>-0.6139</v>
      </c>
      <c r="C952" s="14">
        <f>B952*100</f>
        <v/>
      </c>
    </row>
    <row r="953">
      <c r="A953" s="12" t="n">
        <v>44029</v>
      </c>
      <c r="B953" s="13" t="n">
        <v>-0.609</v>
      </c>
      <c r="C953" s="14">
        <f>B953*100</f>
        <v/>
      </c>
    </row>
    <row r="954">
      <c r="A954" s="12" t="n">
        <v>44032</v>
      </c>
      <c r="B954" s="13" t="n">
        <v>-0.611</v>
      </c>
      <c r="C954" s="14">
        <f>B954*100</f>
        <v/>
      </c>
    </row>
    <row r="955">
      <c r="A955" s="12" t="n">
        <v>44033</v>
      </c>
      <c r="B955" s="13" t="n">
        <v>-0.6176</v>
      </c>
      <c r="C955" s="14">
        <f>B955*100</f>
        <v/>
      </c>
    </row>
    <row r="956">
      <c r="A956" s="12" t="n">
        <v>44034</v>
      </c>
      <c r="B956" s="13" t="n">
        <v>-0.6206</v>
      </c>
      <c r="C956" s="14">
        <f>B956*100</f>
        <v/>
      </c>
    </row>
    <row r="957">
      <c r="A957" s="12" t="n">
        <v>44035</v>
      </c>
      <c r="B957" s="13" t="n">
        <v>-0.6238</v>
      </c>
      <c r="C957" s="14">
        <f>B957*100</f>
        <v/>
      </c>
    </row>
    <row r="958">
      <c r="A958" s="12" t="n">
        <v>44036</v>
      </c>
      <c r="B958" s="13" t="n">
        <v>-0.6238</v>
      </c>
      <c r="C958" s="14">
        <f>B958*100</f>
        <v/>
      </c>
    </row>
    <row r="959">
      <c r="A959" s="12" t="n">
        <v>44039</v>
      </c>
      <c r="B959" s="13" t="n">
        <v>-0.6158</v>
      </c>
      <c r="C959" s="14">
        <f>B959*100</f>
        <v/>
      </c>
    </row>
    <row r="960">
      <c r="A960" s="12" t="n">
        <v>44040</v>
      </c>
      <c r="B960" s="13" t="n">
        <v>-0.6253</v>
      </c>
      <c r="C960" s="14">
        <f>B960*100</f>
        <v/>
      </c>
    </row>
    <row r="961">
      <c r="A961" s="12" t="n">
        <v>44041</v>
      </c>
      <c r="B961" s="13" t="n">
        <v>-0.6309</v>
      </c>
      <c r="C961" s="14">
        <f>B961*100</f>
        <v/>
      </c>
    </row>
    <row r="962">
      <c r="A962" s="12" t="n">
        <v>44042</v>
      </c>
      <c r="B962" s="13" t="n">
        <v>-0.6417</v>
      </c>
      <c r="C962" s="14">
        <f>B962*100</f>
        <v/>
      </c>
    </row>
    <row r="963">
      <c r="A963" s="12" t="n">
        <v>44043</v>
      </c>
      <c r="B963" s="13" t="n">
        <v>-0.6471</v>
      </c>
      <c r="C963" s="14">
        <f>B963*100</f>
        <v/>
      </c>
    </row>
    <row r="964">
      <c r="A964" s="12" t="n">
        <v>44046</v>
      </c>
      <c r="B964" s="13" t="n">
        <v>-0.6458</v>
      </c>
      <c r="C964" s="14">
        <f>B964*100</f>
        <v/>
      </c>
    </row>
    <row r="965">
      <c r="A965" s="12" t="n">
        <v>44047</v>
      </c>
      <c r="B965" s="13" t="n">
        <v>-0.6587</v>
      </c>
      <c r="C965" s="14">
        <f>B965*100</f>
        <v/>
      </c>
    </row>
    <row r="966">
      <c r="A966" s="12" t="n">
        <v>44048</v>
      </c>
      <c r="B966" s="13" t="n">
        <v>-0.6519</v>
      </c>
      <c r="C966" s="14">
        <f>B966*100</f>
        <v/>
      </c>
    </row>
    <row r="967">
      <c r="A967" s="12" t="n">
        <v>44049</v>
      </c>
      <c r="B967" s="13" t="n">
        <v>-0.6526999999999999</v>
      </c>
      <c r="C967" s="14">
        <f>B967*100</f>
        <v/>
      </c>
    </row>
    <row r="968">
      <c r="A968" s="12" t="n">
        <v>44050</v>
      </c>
      <c r="B968" s="13" t="n">
        <v>-0.6443</v>
      </c>
      <c r="C968" s="14">
        <f>B968*100</f>
        <v/>
      </c>
    </row>
    <row r="969">
      <c r="A969" s="12" t="n">
        <v>44053</v>
      </c>
      <c r="B969" s="13" t="n">
        <v>-0.6385</v>
      </c>
      <c r="C969" s="14">
        <f>B969*100</f>
        <v/>
      </c>
    </row>
    <row r="970">
      <c r="A970" s="12" t="n">
        <v>44054</v>
      </c>
      <c r="B970" s="13" t="n">
        <v>-0.6187</v>
      </c>
      <c r="C970" s="14">
        <f>B970*100</f>
        <v/>
      </c>
    </row>
    <row r="971">
      <c r="A971" s="12" t="n">
        <v>44055</v>
      </c>
      <c r="B971" s="13" t="n">
        <v>-0.5991</v>
      </c>
      <c r="C971" s="14">
        <f>B971*100</f>
        <v/>
      </c>
    </row>
    <row r="972">
      <c r="A972" s="12" t="n">
        <v>44056</v>
      </c>
      <c r="B972" s="13" t="n">
        <v>-0.5826</v>
      </c>
      <c r="C972" s="14">
        <f>B972*100</f>
        <v/>
      </c>
    </row>
    <row r="973">
      <c r="A973" s="12" t="n">
        <v>44057</v>
      </c>
      <c r="B973" s="13" t="n">
        <v>-0.581</v>
      </c>
      <c r="C973" s="14">
        <f>B973*100</f>
        <v/>
      </c>
    </row>
    <row r="974">
      <c r="A974" s="12" t="n">
        <v>44060</v>
      </c>
      <c r="B974" s="13" t="n">
        <v>-0.5868</v>
      </c>
      <c r="C974" s="14">
        <f>B974*100</f>
        <v/>
      </c>
    </row>
    <row r="975">
      <c r="A975" s="12" t="n">
        <v>44061</v>
      </c>
      <c r="B975" s="13" t="n">
        <v>-0.5933</v>
      </c>
      <c r="C975" s="14">
        <f>B975*100</f>
        <v/>
      </c>
    </row>
    <row r="976">
      <c r="A976" s="12" t="n">
        <v>44062</v>
      </c>
      <c r="B976" s="13" t="n">
        <v>-0.5931999999999999</v>
      </c>
      <c r="C976" s="14">
        <f>B976*100</f>
        <v/>
      </c>
    </row>
    <row r="977">
      <c r="A977" s="12" t="n">
        <v>44063</v>
      </c>
      <c r="B977" s="13" t="n">
        <v>-0.6026</v>
      </c>
      <c r="C977" s="14">
        <f>B977*100</f>
        <v/>
      </c>
    </row>
    <row r="978">
      <c r="A978" s="12" t="n">
        <v>44064</v>
      </c>
      <c r="B978" s="13" t="n">
        <v>-0.6063</v>
      </c>
      <c r="C978" s="14">
        <f>B978*100</f>
        <v/>
      </c>
    </row>
    <row r="979">
      <c r="A979" s="12" t="n">
        <v>44067</v>
      </c>
      <c r="B979" s="13" t="n">
        <v>-0.6037</v>
      </c>
      <c r="C979" s="14">
        <f>B979*100</f>
        <v/>
      </c>
    </row>
    <row r="980">
      <c r="A980" s="12" t="n">
        <v>44068</v>
      </c>
      <c r="B980" s="13" t="n">
        <v>-0.5933</v>
      </c>
      <c r="C980" s="14">
        <f>B980*100</f>
        <v/>
      </c>
    </row>
    <row r="981">
      <c r="A981" s="12" t="n">
        <v>44069</v>
      </c>
      <c r="B981" s="13" t="n">
        <v>-0.5889</v>
      </c>
      <c r="C981" s="14">
        <f>B981*100</f>
        <v/>
      </c>
    </row>
    <row r="982">
      <c r="A982" s="12" t="n">
        <v>44070</v>
      </c>
      <c r="B982" s="13" t="n">
        <v>-0.5721000000000001</v>
      </c>
      <c r="C982" s="14">
        <f>B982*100</f>
        <v/>
      </c>
    </row>
    <row r="983">
      <c r="A983" s="12" t="n">
        <v>44071</v>
      </c>
      <c r="B983" s="13" t="n">
        <v>-0.5723</v>
      </c>
      <c r="C983" s="14">
        <f>B983*100</f>
        <v/>
      </c>
    </row>
    <row r="984">
      <c r="A984" s="12" t="n">
        <v>44074</v>
      </c>
      <c r="B984" s="13" t="n">
        <v>-0.5780999999999999</v>
      </c>
      <c r="C984" s="14">
        <f>B984*100</f>
        <v/>
      </c>
    </row>
    <row r="985">
      <c r="A985" s="12" t="n">
        <v>44075</v>
      </c>
      <c r="B985" s="13" t="n">
        <v>-0.5926</v>
      </c>
      <c r="C985" s="14">
        <f>B985*100</f>
        <v/>
      </c>
    </row>
    <row r="986">
      <c r="A986" s="12" t="n">
        <v>44076</v>
      </c>
      <c r="B986" s="13" t="n">
        <v>-0.6008</v>
      </c>
      <c r="C986" s="14">
        <f>B986*100</f>
        <v/>
      </c>
    </row>
    <row r="987">
      <c r="A987" s="12" t="n">
        <v>44077</v>
      </c>
      <c r="B987" s="13" t="n">
        <v>-0.614</v>
      </c>
      <c r="C987" s="14">
        <f>B987*100</f>
        <v/>
      </c>
    </row>
    <row r="988">
      <c r="A988" s="12" t="n">
        <v>44078</v>
      </c>
      <c r="B988" s="13" t="n">
        <v>-0.5878</v>
      </c>
      <c r="C988" s="14">
        <f>B988*100</f>
        <v/>
      </c>
    </row>
    <row r="989">
      <c r="A989" s="12" t="n">
        <v>44082</v>
      </c>
      <c r="B989" s="13" t="n">
        <v>-0.5931999999999999</v>
      </c>
      <c r="C989" s="14">
        <f>B989*100</f>
        <v/>
      </c>
    </row>
    <row r="990">
      <c r="A990" s="12" t="n">
        <v>44083</v>
      </c>
      <c r="B990" s="13" t="n">
        <v>-0.5913</v>
      </c>
      <c r="C990" s="14">
        <f>B990*100</f>
        <v/>
      </c>
    </row>
    <row r="991">
      <c r="A991" s="12" t="n">
        <v>44084</v>
      </c>
      <c r="B991" s="13" t="n">
        <v>-0.5975</v>
      </c>
      <c r="C991" s="14">
        <f>B991*100</f>
        <v/>
      </c>
    </row>
    <row r="992">
      <c r="A992" s="12" t="n">
        <v>44085</v>
      </c>
      <c r="B992" s="13" t="n">
        <v>-0.6019</v>
      </c>
      <c r="C992" s="14">
        <f>B992*100</f>
        <v/>
      </c>
    </row>
    <row r="993">
      <c r="A993" s="12" t="n">
        <v>44088</v>
      </c>
      <c r="B993" s="13" t="n">
        <v>-0.6009</v>
      </c>
      <c r="C993" s="14">
        <f>B993*100</f>
        <v/>
      </c>
    </row>
    <row r="994">
      <c r="A994" s="12" t="n">
        <v>44089</v>
      </c>
      <c r="B994" s="13" t="n">
        <v>-0.6001</v>
      </c>
      <c r="C994" s="14">
        <f>B994*100</f>
        <v/>
      </c>
    </row>
    <row r="995">
      <c r="A995" s="12" t="n">
        <v>44090</v>
      </c>
      <c r="B995" s="13" t="n">
        <v>-0.5961</v>
      </c>
      <c r="C995" s="14">
        <f>B995*100</f>
        <v/>
      </c>
    </row>
    <row r="996">
      <c r="A996" s="12" t="n">
        <v>44091</v>
      </c>
      <c r="B996" s="13" t="n">
        <v>-0.5935</v>
      </c>
      <c r="C996" s="14">
        <f>B996*100</f>
        <v/>
      </c>
    </row>
    <row r="997">
      <c r="A997" s="12" t="n">
        <v>44092</v>
      </c>
      <c r="B997" s="13" t="n">
        <v>-0.589</v>
      </c>
      <c r="C997" s="14">
        <f>B997*100</f>
        <v/>
      </c>
    </row>
    <row r="998">
      <c r="A998" s="12" t="n">
        <v>44095</v>
      </c>
      <c r="B998" s="13" t="n">
        <v>-0.5938</v>
      </c>
      <c r="C998" s="14">
        <f>B998*100</f>
        <v/>
      </c>
    </row>
    <row r="999">
      <c r="A999" s="12" t="n">
        <v>44096</v>
      </c>
      <c r="B999" s="13" t="n">
        <v>-0.5971</v>
      </c>
      <c r="C999" s="14">
        <f>B999*100</f>
        <v/>
      </c>
    </row>
    <row r="1000">
      <c r="A1000" s="12" t="n">
        <v>44097</v>
      </c>
      <c r="B1000" s="13" t="n">
        <v>-0.5968</v>
      </c>
      <c r="C1000" s="14">
        <f>B1000*100</f>
        <v/>
      </c>
    </row>
    <row r="1001">
      <c r="A1001" s="12" t="n">
        <v>44098</v>
      </c>
      <c r="B1001" s="13" t="n">
        <v>-0.5983000000000001</v>
      </c>
      <c r="C1001" s="14">
        <f>B1001*100</f>
        <v/>
      </c>
    </row>
    <row r="1002">
      <c r="A1002" s="12" t="n">
        <v>44099</v>
      </c>
      <c r="B1002" s="13" t="n">
        <v>-0.6024</v>
      </c>
      <c r="C1002" s="14">
        <f>B1002*100</f>
        <v/>
      </c>
    </row>
    <row r="1003">
      <c r="A1003" s="12" t="n">
        <v>44102</v>
      </c>
      <c r="B1003" s="13" t="n">
        <v>-0.6034</v>
      </c>
      <c r="C1003" s="14">
        <f>B1003*100</f>
        <v/>
      </c>
    </row>
    <row r="1004">
      <c r="A1004" s="12" t="n">
        <v>44103</v>
      </c>
      <c r="B1004" s="13" t="n">
        <v>-0.6068</v>
      </c>
      <c r="C1004" s="14">
        <f>B1004*100</f>
        <v/>
      </c>
    </row>
    <row r="1005">
      <c r="A1005" s="12" t="n">
        <v>44104</v>
      </c>
      <c r="B1005" s="13" t="n">
        <v>-0.5978</v>
      </c>
      <c r="C1005" s="14">
        <f>B1005*100</f>
        <v/>
      </c>
    </row>
    <row r="1006">
      <c r="A1006" s="12" t="n">
        <v>44105</v>
      </c>
      <c r="B1006" s="13" t="n">
        <v>-0.5961</v>
      </c>
      <c r="C1006" s="14">
        <f>B1006*100</f>
        <v/>
      </c>
    </row>
    <row r="1007">
      <c r="A1007" s="12" t="n">
        <v>44106</v>
      </c>
      <c r="B1007" s="13" t="n">
        <v>-0.5889</v>
      </c>
      <c r="C1007" s="14">
        <f>B1007*100</f>
        <v/>
      </c>
    </row>
    <row r="1008">
      <c r="A1008" s="12" t="n">
        <v>44109</v>
      </c>
      <c r="B1008" s="13" t="n">
        <v>-0.5618</v>
      </c>
      <c r="C1008" s="14">
        <f>B1008*100</f>
        <v/>
      </c>
    </row>
    <row r="1009">
      <c r="A1009" s="12" t="n">
        <v>44110</v>
      </c>
      <c r="B1009" s="13" t="n">
        <v>-0.5601</v>
      </c>
      <c r="C1009" s="14">
        <f>B1009*100</f>
        <v/>
      </c>
    </row>
    <row r="1010">
      <c r="A1010" s="12" t="n">
        <v>44111</v>
      </c>
      <c r="B1010" s="13" t="n">
        <v>-0.5446</v>
      </c>
      <c r="C1010" s="14">
        <f>B1010*100</f>
        <v/>
      </c>
    </row>
    <row r="1011">
      <c r="A1011" s="12" t="n">
        <v>44112</v>
      </c>
      <c r="B1011" s="13" t="n">
        <v>-0.5497</v>
      </c>
      <c r="C1011" s="14">
        <f>B1011*100</f>
        <v/>
      </c>
    </row>
    <row r="1012">
      <c r="A1012" s="12" t="n">
        <v>44113</v>
      </c>
      <c r="B1012" s="13" t="n">
        <v>-0.5449000000000001</v>
      </c>
      <c r="C1012" s="14">
        <f>B1012*100</f>
        <v/>
      </c>
    </row>
    <row r="1013">
      <c r="A1013" s="12" t="n">
        <v>44117</v>
      </c>
      <c r="B1013" s="13" t="n">
        <v>-0.5607</v>
      </c>
      <c r="C1013" s="14">
        <f>B1013*100</f>
        <v/>
      </c>
    </row>
    <row r="1014">
      <c r="A1014" s="12" t="n">
        <v>44118</v>
      </c>
      <c r="B1014" s="13" t="n">
        <v>-0.5689</v>
      </c>
      <c r="C1014" s="14">
        <f>B1014*100</f>
        <v/>
      </c>
    </row>
    <row r="1015">
      <c r="A1015" s="12" t="n">
        <v>44119</v>
      </c>
      <c r="B1015" s="13" t="n">
        <v>-0.5662</v>
      </c>
      <c r="C1015" s="14">
        <f>B1015*100</f>
        <v/>
      </c>
    </row>
    <row r="1016">
      <c r="A1016" s="12" t="n">
        <v>44120</v>
      </c>
      <c r="B1016" s="13" t="n">
        <v>-0.5626</v>
      </c>
      <c r="C1016" s="14">
        <f>B1016*100</f>
        <v/>
      </c>
    </row>
    <row r="1017">
      <c r="A1017" s="12" t="n">
        <v>44123</v>
      </c>
      <c r="B1017" s="13" t="n">
        <v>-0.5544</v>
      </c>
      <c r="C1017" s="14">
        <f>B1017*100</f>
        <v/>
      </c>
    </row>
    <row r="1018">
      <c r="A1018" s="12" t="n">
        <v>44124</v>
      </c>
      <c r="B1018" s="13" t="n">
        <v>-0.5427</v>
      </c>
      <c r="C1018" s="14">
        <f>B1018*100</f>
        <v/>
      </c>
    </row>
    <row r="1019">
      <c r="A1019" s="12" t="n">
        <v>44125</v>
      </c>
      <c r="B1019" s="13" t="n">
        <v>-0.5322</v>
      </c>
      <c r="C1019" s="14">
        <f>B1019*100</f>
        <v/>
      </c>
    </row>
    <row r="1020">
      <c r="A1020" s="12" t="n">
        <v>44126</v>
      </c>
      <c r="B1020" s="13" t="n">
        <v>-0.5141</v>
      </c>
      <c r="C1020" s="14">
        <f>B1020*100</f>
        <v/>
      </c>
    </row>
    <row r="1021">
      <c r="A1021" s="12" t="n">
        <v>44127</v>
      </c>
      <c r="B1021" s="13" t="n">
        <v>-0.5131</v>
      </c>
      <c r="C1021" s="14">
        <f>B1021*100</f>
        <v/>
      </c>
    </row>
    <row r="1022">
      <c r="A1022" s="12" t="n">
        <v>44130</v>
      </c>
      <c r="B1022" s="13" t="n">
        <v>-0.525</v>
      </c>
      <c r="C1022" s="14">
        <f>B1022*100</f>
        <v/>
      </c>
    </row>
    <row r="1023">
      <c r="A1023" s="12" t="n">
        <v>44131</v>
      </c>
      <c r="B1023" s="13" t="n">
        <v>-0.5352</v>
      </c>
      <c r="C1023" s="14">
        <f>B1023*100</f>
        <v/>
      </c>
    </row>
    <row r="1024">
      <c r="A1024" s="12" t="n">
        <v>44132</v>
      </c>
      <c r="B1024" s="13" t="n">
        <v>-0.5381</v>
      </c>
      <c r="C1024" s="14">
        <f>B1024*100</f>
        <v/>
      </c>
    </row>
    <row r="1025">
      <c r="A1025" s="12" t="n">
        <v>44133</v>
      </c>
      <c r="B1025" s="13" t="n">
        <v>-0.5198</v>
      </c>
      <c r="C1025" s="14">
        <f>B1025*100</f>
        <v/>
      </c>
    </row>
    <row r="1026">
      <c r="A1026" s="12" t="n">
        <v>44134</v>
      </c>
      <c r="B1026" s="13" t="n">
        <v>-0.5044999999999999</v>
      </c>
      <c r="C1026" s="14">
        <f>B1026*100</f>
        <v/>
      </c>
    </row>
    <row r="1027">
      <c r="A1027" s="12" t="n">
        <v>44137</v>
      </c>
      <c r="B1027" s="13" t="n">
        <v>-0.5034</v>
      </c>
      <c r="C1027" s="14">
        <f>B1027*100</f>
        <v/>
      </c>
    </row>
    <row r="1028">
      <c r="A1028" s="12" t="n">
        <v>44138</v>
      </c>
      <c r="B1028" s="13" t="n">
        <v>-0.4944</v>
      </c>
      <c r="C1028" s="14">
        <f>B1028*100</f>
        <v/>
      </c>
    </row>
    <row r="1029">
      <c r="A1029" s="12" t="n">
        <v>44139</v>
      </c>
      <c r="B1029" s="13" t="n">
        <v>-0.5281</v>
      </c>
      <c r="C1029" s="14">
        <f>B1029*100</f>
        <v/>
      </c>
    </row>
    <row r="1030">
      <c r="A1030" s="12" t="n">
        <v>44140</v>
      </c>
      <c r="B1030" s="13" t="n">
        <v>-0.5356</v>
      </c>
      <c r="C1030" s="14">
        <f>B1030*100</f>
        <v/>
      </c>
    </row>
    <row r="1031">
      <c r="A1031" s="12" t="n">
        <v>44141</v>
      </c>
      <c r="B1031" s="13" t="n">
        <v>-0.5249</v>
      </c>
      <c r="C1031" s="14">
        <f>B1031*100</f>
        <v/>
      </c>
    </row>
    <row r="1032">
      <c r="A1032" s="12" t="n">
        <v>44144</v>
      </c>
      <c r="B1032" s="13" t="n">
        <v>-0.4818</v>
      </c>
      <c r="C1032" s="14">
        <f>B1032*100</f>
        <v/>
      </c>
    </row>
    <row r="1033">
      <c r="A1033" s="12" t="n">
        <v>44145</v>
      </c>
      <c r="B1033" s="13" t="n">
        <v>-0.4599</v>
      </c>
      <c r="C1033" s="14">
        <f>B1033*100</f>
        <v/>
      </c>
    </row>
    <row r="1034">
      <c r="A1034" s="12" t="n">
        <v>44147</v>
      </c>
      <c r="B1034" s="13" t="n">
        <v>-0.485</v>
      </c>
      <c r="C1034" s="14">
        <f>B1034*100</f>
        <v/>
      </c>
    </row>
    <row r="1035">
      <c r="A1035" s="12" t="n">
        <v>44148</v>
      </c>
      <c r="B1035" s="13" t="n">
        <v>-0.4863</v>
      </c>
      <c r="C1035" s="14">
        <f>B1035*100</f>
        <v/>
      </c>
    </row>
    <row r="1036">
      <c r="A1036" s="12" t="n">
        <v>44151</v>
      </c>
      <c r="B1036" s="13" t="n">
        <v>-0.4837</v>
      </c>
      <c r="C1036" s="14">
        <f>B1036*100</f>
        <v/>
      </c>
    </row>
    <row r="1037">
      <c r="A1037" s="12" t="n">
        <v>44152</v>
      </c>
      <c r="B1037" s="13" t="n">
        <v>-0.4956</v>
      </c>
      <c r="C1037" s="14">
        <f>B1037*100</f>
        <v/>
      </c>
    </row>
    <row r="1038">
      <c r="A1038" s="12" t="n">
        <v>44153</v>
      </c>
      <c r="B1038" s="13" t="n">
        <v>-0.4932</v>
      </c>
      <c r="C1038" s="14">
        <f>B1038*100</f>
        <v/>
      </c>
    </row>
    <row r="1039">
      <c r="A1039" s="12" t="n">
        <v>44154</v>
      </c>
      <c r="B1039" s="13" t="n">
        <v>-0.4987</v>
      </c>
      <c r="C1039" s="14">
        <f>B1039*100</f>
        <v/>
      </c>
    </row>
    <row r="1040">
      <c r="A1040" s="12" t="n">
        <v>44155</v>
      </c>
      <c r="B1040" s="13" t="n">
        <v>-0.506</v>
      </c>
      <c r="C1040" s="14">
        <f>B1040*100</f>
        <v/>
      </c>
    </row>
    <row r="1041">
      <c r="A1041" s="12" t="n">
        <v>44158</v>
      </c>
      <c r="B1041" s="13" t="n">
        <v>-0.5011</v>
      </c>
      <c r="C1041" s="14">
        <f>B1041*100</f>
        <v/>
      </c>
    </row>
    <row r="1042">
      <c r="A1042" s="12" t="n">
        <v>44159</v>
      </c>
      <c r="B1042" s="13" t="n">
        <v>-0.4949</v>
      </c>
      <c r="C1042" s="14">
        <f>B1042*100</f>
        <v/>
      </c>
    </row>
    <row r="1043">
      <c r="A1043" s="12" t="n">
        <v>44160</v>
      </c>
      <c r="B1043" s="13" t="n">
        <v>-0.4938</v>
      </c>
      <c r="C1043" s="14">
        <f>B1043*100</f>
        <v/>
      </c>
    </row>
    <row r="1044">
      <c r="A1044" s="12" t="n">
        <v>44162</v>
      </c>
      <c r="B1044" s="13" t="n">
        <v>-0.5053</v>
      </c>
      <c r="C1044" s="14">
        <f>B1044*100</f>
        <v/>
      </c>
    </row>
    <row r="1045">
      <c r="A1045" s="12" t="n">
        <v>44165</v>
      </c>
      <c r="B1045" s="13" t="n">
        <v>-0.5084</v>
      </c>
      <c r="C1045" s="14">
        <f>B1045*100</f>
        <v/>
      </c>
    </row>
    <row r="1046">
      <c r="A1046" s="12" t="n">
        <v>44166</v>
      </c>
      <c r="B1046" s="13" t="n">
        <v>-0.4835</v>
      </c>
      <c r="C1046" s="14">
        <f>B1046*100</f>
        <v/>
      </c>
    </row>
    <row r="1047">
      <c r="A1047" s="12" t="n">
        <v>44167</v>
      </c>
      <c r="B1047" s="13" t="n">
        <v>-0.4703</v>
      </c>
      <c r="C1047" s="14">
        <f>B1047*100</f>
        <v/>
      </c>
    </row>
    <row r="1048">
      <c r="A1048" s="12" t="n">
        <v>44168</v>
      </c>
      <c r="B1048" s="13" t="n">
        <v>-0.474</v>
      </c>
      <c r="C1048" s="14">
        <f>B1048*100</f>
        <v/>
      </c>
    </row>
    <row r="1049">
      <c r="A1049" s="12" t="n">
        <v>44169</v>
      </c>
      <c r="B1049" s="13" t="n">
        <v>-0.4621</v>
      </c>
      <c r="C1049" s="14">
        <f>B1049*100</f>
        <v/>
      </c>
    </row>
    <row r="1050">
      <c r="A1050" s="12" t="n">
        <v>44172</v>
      </c>
      <c r="B1050" s="13" t="n">
        <v>-0.4708</v>
      </c>
      <c r="C1050" s="14">
        <f>B1050*100</f>
        <v/>
      </c>
    </row>
    <row r="1051">
      <c r="A1051" s="12" t="n">
        <v>44173</v>
      </c>
      <c r="B1051" s="13" t="n">
        <v>-0.4775</v>
      </c>
      <c r="C1051" s="14">
        <f>B1051*100</f>
        <v/>
      </c>
    </row>
    <row r="1052">
      <c r="A1052" s="12" t="n">
        <v>44174</v>
      </c>
      <c r="B1052" s="13" t="n">
        <v>-0.4707</v>
      </c>
      <c r="C1052" s="14">
        <f>B1052*100</f>
        <v/>
      </c>
    </row>
    <row r="1053">
      <c r="A1053" s="12" t="n">
        <v>44175</v>
      </c>
      <c r="B1053" s="13" t="n">
        <v>-0.4793</v>
      </c>
      <c r="C1053" s="14">
        <f>B1053*100</f>
        <v/>
      </c>
    </row>
    <row r="1054">
      <c r="A1054" s="12" t="n">
        <v>44176</v>
      </c>
      <c r="B1054" s="13" t="n">
        <v>-0.4893</v>
      </c>
      <c r="C1054" s="14">
        <f>B1054*100</f>
        <v/>
      </c>
    </row>
    <row r="1055">
      <c r="A1055" s="12" t="n">
        <v>44179</v>
      </c>
      <c r="B1055" s="13" t="n">
        <v>-0.4924</v>
      </c>
      <c r="C1055" s="14">
        <f>B1055*100</f>
        <v/>
      </c>
    </row>
    <row r="1056">
      <c r="A1056" s="12" t="n">
        <v>44180</v>
      </c>
      <c r="B1056" s="13" t="n">
        <v>-0.4865</v>
      </c>
      <c r="C1056" s="14">
        <f>B1056*100</f>
        <v/>
      </c>
    </row>
    <row r="1057">
      <c r="A1057" s="12" t="n">
        <v>44181</v>
      </c>
      <c r="B1057" s="13" t="n">
        <v>-0.4854</v>
      </c>
      <c r="C1057" s="14">
        <f>B1057*100</f>
        <v/>
      </c>
    </row>
    <row r="1058">
      <c r="A1058" s="12" t="n">
        <v>44182</v>
      </c>
      <c r="B1058" s="13" t="n">
        <v>-0.4794</v>
      </c>
      <c r="C1058" s="14">
        <f>B1058*100</f>
        <v/>
      </c>
    </row>
    <row r="1059">
      <c r="A1059" s="12" t="n">
        <v>44183</v>
      </c>
      <c r="B1059" s="13" t="n">
        <v>-0.4747</v>
      </c>
      <c r="C1059" s="14">
        <f>B1059*100</f>
        <v/>
      </c>
    </row>
    <row r="1060">
      <c r="A1060" s="12" t="n">
        <v>44186</v>
      </c>
      <c r="B1060" s="13" t="n">
        <v>-0.4728</v>
      </c>
      <c r="C1060" s="14">
        <f>B1060*100</f>
        <v/>
      </c>
    </row>
    <row r="1061">
      <c r="A1061" s="12" t="n">
        <v>44187</v>
      </c>
      <c r="B1061" s="13" t="n">
        <v>-0.4808</v>
      </c>
      <c r="C1061" s="14">
        <f>B1061*100</f>
        <v/>
      </c>
    </row>
    <row r="1062">
      <c r="A1062" s="12" t="n">
        <v>44188</v>
      </c>
      <c r="B1062" s="13" t="n">
        <v>-0.4728</v>
      </c>
      <c r="C1062" s="14">
        <f>B1062*100</f>
        <v/>
      </c>
    </row>
    <row r="1063">
      <c r="A1063" s="12" t="n">
        <v>44189</v>
      </c>
      <c r="B1063" s="13" t="n">
        <v>-0.4771</v>
      </c>
      <c r="C1063" s="14">
        <f>B1063*100</f>
        <v/>
      </c>
    </row>
    <row r="1064">
      <c r="A1064" s="12" t="n">
        <v>44193</v>
      </c>
      <c r="B1064" s="13" t="n">
        <v>-0.4799</v>
      </c>
      <c r="C1064" s="14">
        <f>B1064*100</f>
        <v/>
      </c>
    </row>
    <row r="1065">
      <c r="A1065" s="12" t="n">
        <v>44194</v>
      </c>
      <c r="B1065" s="13" t="n">
        <v>-0.4805</v>
      </c>
      <c r="C1065" s="14">
        <f>B1065*100</f>
        <v/>
      </c>
    </row>
    <row r="1066">
      <c r="A1066" s="12" t="n">
        <v>44195</v>
      </c>
      <c r="B1066" s="13" t="n">
        <v>-0.4819</v>
      </c>
      <c r="C1066" s="14">
        <f>B1066*100</f>
        <v/>
      </c>
    </row>
    <row r="1067">
      <c r="A1067" s="12" t="n">
        <v>44196</v>
      </c>
      <c r="B1067" s="13" t="n">
        <v>-0.4849</v>
      </c>
      <c r="C1067" s="14">
        <f>B1067*100</f>
        <v/>
      </c>
    </row>
    <row r="1068">
      <c r="A1068" s="12" t="n">
        <v>44200</v>
      </c>
      <c r="B1068" s="13" t="n">
        <v>-0.4881</v>
      </c>
      <c r="C1068" s="14">
        <f>B1068*100</f>
        <v/>
      </c>
    </row>
    <row r="1069">
      <c r="A1069" s="12" t="n">
        <v>44201</v>
      </c>
      <c r="B1069" s="13" t="n">
        <v>-0.4793</v>
      </c>
      <c r="C1069" s="14">
        <f>B1069*100</f>
        <v/>
      </c>
    </row>
    <row r="1070">
      <c r="A1070" s="12" t="n">
        <v>44202</v>
      </c>
      <c r="B1070" s="13" t="n">
        <v>-0.4475</v>
      </c>
      <c r="C1070" s="14">
        <f>B1070*100</f>
        <v/>
      </c>
    </row>
    <row r="1071">
      <c r="A1071" s="12" t="n">
        <v>44203</v>
      </c>
      <c r="B1071" s="13" t="n">
        <v>-0.4236</v>
      </c>
      <c r="C1071" s="14">
        <f>B1071*100</f>
        <v/>
      </c>
    </row>
    <row r="1072">
      <c r="A1072" s="12" t="n">
        <v>44204</v>
      </c>
      <c r="B1072" s="13" t="n">
        <v>-0.4005</v>
      </c>
      <c r="C1072" s="14">
        <f>B1072*100</f>
        <v/>
      </c>
    </row>
    <row r="1073">
      <c r="A1073" s="12" t="n">
        <v>44207</v>
      </c>
      <c r="B1073" s="13" t="n">
        <v>-0.3852</v>
      </c>
      <c r="C1073" s="14">
        <f>B1073*100</f>
        <v/>
      </c>
    </row>
    <row r="1074">
      <c r="A1074" s="12" t="n">
        <v>44208</v>
      </c>
      <c r="B1074" s="13" t="n">
        <v>-0.3809</v>
      </c>
      <c r="C1074" s="14">
        <f>B1074*100</f>
        <v/>
      </c>
    </row>
    <row r="1075">
      <c r="A1075" s="12" t="n">
        <v>44209</v>
      </c>
      <c r="B1075" s="13" t="n">
        <v>-0.3927</v>
      </c>
      <c r="C1075" s="14">
        <f>B1075*100</f>
        <v/>
      </c>
    </row>
    <row r="1076">
      <c r="A1076" s="12" t="n">
        <v>44210</v>
      </c>
      <c r="B1076" s="13" t="n">
        <v>-0.3834</v>
      </c>
      <c r="C1076" s="14">
        <f>B1076*100</f>
        <v/>
      </c>
    </row>
    <row r="1077">
      <c r="A1077" s="12" t="n">
        <v>44211</v>
      </c>
      <c r="B1077" s="13" t="n">
        <v>-0.3951</v>
      </c>
      <c r="C1077" s="14">
        <f>B1077*100</f>
        <v/>
      </c>
    </row>
    <row r="1078">
      <c r="A1078" s="12" t="n">
        <v>44215</v>
      </c>
      <c r="B1078" s="13" t="n">
        <v>-0.4013</v>
      </c>
      <c r="C1078" s="14">
        <f>B1078*100</f>
        <v/>
      </c>
    </row>
    <row r="1079">
      <c r="A1079" s="12" t="n">
        <v>44216</v>
      </c>
      <c r="B1079" s="13" t="n">
        <v>-0.4036</v>
      </c>
      <c r="C1079" s="14">
        <f>B1079*100</f>
        <v/>
      </c>
    </row>
    <row r="1080">
      <c r="A1080" s="12" t="n">
        <v>44217</v>
      </c>
      <c r="B1080" s="13" t="n">
        <v>-0.3986</v>
      </c>
      <c r="C1080" s="14">
        <f>B1080*100</f>
        <v/>
      </c>
    </row>
    <row r="1081">
      <c r="A1081" s="12" t="n">
        <v>44218</v>
      </c>
      <c r="B1081" s="13" t="n">
        <v>-0.4035</v>
      </c>
      <c r="C1081" s="14">
        <f>B1081*100</f>
        <v/>
      </c>
    </row>
    <row r="1082">
      <c r="A1082" s="12" t="n">
        <v>44221</v>
      </c>
      <c r="B1082" s="13" t="n">
        <v>-0.4199</v>
      </c>
      <c r="C1082" s="14">
        <f>B1082*100</f>
        <v/>
      </c>
    </row>
    <row r="1083">
      <c r="A1083" s="12" t="n">
        <v>44222</v>
      </c>
      <c r="B1083" s="13" t="n">
        <v>-0.4235</v>
      </c>
      <c r="C1083" s="14">
        <f>B1083*100</f>
        <v/>
      </c>
    </row>
    <row r="1084">
      <c r="A1084" s="12" t="n">
        <v>44223</v>
      </c>
      <c r="B1084" s="13" t="n">
        <v>-0.4295</v>
      </c>
      <c r="C1084" s="14">
        <f>B1084*100</f>
        <v/>
      </c>
    </row>
    <row r="1085">
      <c r="A1085" s="12" t="n">
        <v>44224</v>
      </c>
      <c r="B1085" s="13" t="n">
        <v>-0.4219</v>
      </c>
      <c r="C1085" s="14">
        <f>B1085*100</f>
        <v/>
      </c>
    </row>
    <row r="1086">
      <c r="A1086" s="12" t="n">
        <v>44225</v>
      </c>
      <c r="B1086" s="13" t="n">
        <v>-0.4041</v>
      </c>
      <c r="C1086" s="14">
        <f>B1086*100</f>
        <v/>
      </c>
    </row>
    <row r="1087">
      <c r="A1087" s="12" t="n">
        <v>44228</v>
      </c>
      <c r="B1087" s="13" t="n">
        <v>-0.409</v>
      </c>
      <c r="C1087" s="14">
        <f>B1087*100</f>
        <v/>
      </c>
    </row>
    <row r="1088">
      <c r="A1088" s="12" t="n">
        <v>44229</v>
      </c>
      <c r="B1088" s="13" t="n">
        <v>-0.3998</v>
      </c>
      <c r="C1088" s="14">
        <f>B1088*100</f>
        <v/>
      </c>
    </row>
    <row r="1089">
      <c r="A1089" s="12" t="n">
        <v>44230</v>
      </c>
      <c r="B1089" s="13" t="n">
        <v>-0.3854</v>
      </c>
      <c r="C1089" s="14">
        <f>B1089*100</f>
        <v/>
      </c>
    </row>
    <row r="1090">
      <c r="A1090" s="12" t="n">
        <v>44231</v>
      </c>
      <c r="B1090" s="13" t="n">
        <v>-0.3787</v>
      </c>
      <c r="C1090" s="14">
        <f>B1090*100</f>
        <v/>
      </c>
    </row>
    <row r="1091">
      <c r="A1091" s="12" t="n">
        <v>44232</v>
      </c>
      <c r="B1091" s="13" t="n">
        <v>-0.3671</v>
      </c>
      <c r="C1091" s="14">
        <f>B1091*100</f>
        <v/>
      </c>
    </row>
    <row r="1092">
      <c r="A1092" s="12" t="n">
        <v>44235</v>
      </c>
      <c r="B1092" s="13" t="n">
        <v>-0.3611</v>
      </c>
      <c r="C1092" s="14">
        <f>B1092*100</f>
        <v/>
      </c>
    </row>
    <row r="1093">
      <c r="A1093" s="12" t="n">
        <v>44236</v>
      </c>
      <c r="B1093" s="13" t="n">
        <v>-0.3611</v>
      </c>
      <c r="C1093" s="14">
        <f>B1093*100</f>
        <v/>
      </c>
    </row>
    <row r="1094">
      <c r="A1094" s="12" t="n">
        <v>44237</v>
      </c>
      <c r="B1094" s="13" t="n">
        <v>-0.3721</v>
      </c>
      <c r="C1094" s="14">
        <f>B1094*100</f>
        <v/>
      </c>
    </row>
    <row r="1095">
      <c r="A1095" s="12" t="n">
        <v>44238</v>
      </c>
      <c r="B1095" s="13" t="n">
        <v>-0.3723</v>
      </c>
      <c r="C1095" s="14">
        <f>B1095*100</f>
        <v/>
      </c>
    </row>
    <row r="1096">
      <c r="A1096" s="12" t="n">
        <v>44239</v>
      </c>
      <c r="B1096" s="13" t="n">
        <v>-0.3555</v>
      </c>
      <c r="C1096" s="14">
        <f>B1096*100</f>
        <v/>
      </c>
    </row>
    <row r="1097">
      <c r="A1097" s="12" t="n">
        <v>44243</v>
      </c>
      <c r="B1097" s="13" t="n">
        <v>-0.3167</v>
      </c>
      <c r="C1097" s="14">
        <f>B1097*100</f>
        <v/>
      </c>
    </row>
    <row r="1098">
      <c r="A1098" s="12" t="n">
        <v>44244</v>
      </c>
      <c r="B1098" s="13" t="n">
        <v>-0.3047</v>
      </c>
      <c r="C1098" s="14">
        <f>B1098*100</f>
        <v/>
      </c>
    </row>
    <row r="1099">
      <c r="A1099" s="12" t="n">
        <v>44245</v>
      </c>
      <c r="B1099" s="13" t="n">
        <v>-0.2999</v>
      </c>
      <c r="C1099" s="14">
        <f>B1099*100</f>
        <v/>
      </c>
    </row>
    <row r="1100">
      <c r="A1100" s="12" t="n">
        <v>44246</v>
      </c>
      <c r="B1100" s="13" t="n">
        <v>-0.281</v>
      </c>
      <c r="C1100" s="14">
        <f>B1100*100</f>
        <v/>
      </c>
    </row>
    <row r="1101">
      <c r="A1101" s="12" t="n">
        <v>44249</v>
      </c>
      <c r="B1101" s="13" t="n">
        <v>-0.2651</v>
      </c>
      <c r="C1101" s="14">
        <f>B1101*100</f>
        <v/>
      </c>
    </row>
    <row r="1102">
      <c r="A1102" s="12" t="n">
        <v>44250</v>
      </c>
      <c r="B1102" s="13" t="n">
        <v>-0.262</v>
      </c>
      <c r="C1102" s="14">
        <f>B1102*100</f>
        <v/>
      </c>
    </row>
    <row r="1103">
      <c r="A1103" s="12" t="n">
        <v>44251</v>
      </c>
      <c r="B1103" s="13" t="n">
        <v>-0.2515</v>
      </c>
      <c r="C1103" s="14">
        <f>B1103*100</f>
        <v/>
      </c>
    </row>
    <row r="1104">
      <c r="A1104" s="12" t="n">
        <v>44252</v>
      </c>
      <c r="B1104" s="13" t="n">
        <v>-0.1743</v>
      </c>
      <c r="C1104" s="14">
        <f>B1104*100</f>
        <v/>
      </c>
    </row>
    <row r="1105">
      <c r="A1105" s="12" t="n">
        <v>44253</v>
      </c>
      <c r="B1105" s="13" t="n">
        <v>-0.1807</v>
      </c>
      <c r="C1105" s="14">
        <f>B1105*100</f>
        <v/>
      </c>
    </row>
    <row r="1106">
      <c r="A1106" s="12" t="n">
        <v>44256</v>
      </c>
      <c r="B1106" s="13" t="n">
        <v>-0.19</v>
      </c>
      <c r="C1106" s="14">
        <f>B1106*100</f>
        <v/>
      </c>
    </row>
    <row r="1107">
      <c r="A1107" s="12" t="n">
        <v>44257</v>
      </c>
      <c r="B1107" s="13" t="n">
        <v>-0.2057</v>
      </c>
      <c r="C1107" s="14">
        <f>B1107*100</f>
        <v/>
      </c>
    </row>
    <row r="1108">
      <c r="A1108" s="12" t="n">
        <v>44258</v>
      </c>
      <c r="B1108" s="13" t="n">
        <v>-0.1887</v>
      </c>
      <c r="C1108" s="14">
        <f>B1108*100</f>
        <v/>
      </c>
    </row>
    <row r="1109">
      <c r="A1109" s="12" t="n">
        <v>44259</v>
      </c>
      <c r="B1109" s="13" t="n">
        <v>-0.1585</v>
      </c>
      <c r="C1109" s="14">
        <f>B1109*100</f>
        <v/>
      </c>
    </row>
    <row r="1110">
      <c r="A1110" s="12" t="n">
        <v>44260</v>
      </c>
      <c r="B1110" s="13" t="n">
        <v>-0.1425</v>
      </c>
      <c r="C1110" s="14">
        <f>B1110*100</f>
        <v/>
      </c>
    </row>
    <row r="1111">
      <c r="A1111" s="12" t="n">
        <v>44263</v>
      </c>
      <c r="B1111" s="13" t="n">
        <v>-0.1189</v>
      </c>
      <c r="C1111" s="14">
        <f>B1111*100</f>
        <v/>
      </c>
    </row>
    <row r="1112">
      <c r="A1112" s="12" t="n">
        <v>44264</v>
      </c>
      <c r="B1112" s="13" t="n">
        <v>-0.1271</v>
      </c>
      <c r="C1112" s="14">
        <f>B1112*100</f>
        <v/>
      </c>
    </row>
    <row r="1113">
      <c r="A1113" s="12" t="n">
        <v>44265</v>
      </c>
      <c r="B1113" s="13" t="n">
        <v>-0.1398</v>
      </c>
      <c r="C1113" s="14">
        <f>B1113*100</f>
        <v/>
      </c>
    </row>
    <row r="1114">
      <c r="A1114" s="12" t="n">
        <v>44266</v>
      </c>
      <c r="B1114" s="13" t="n">
        <v>-0.143</v>
      </c>
      <c r="C1114" s="14">
        <f>B1114*100</f>
        <v/>
      </c>
    </row>
    <row r="1115">
      <c r="A1115" s="12" t="n">
        <v>44267</v>
      </c>
      <c r="B1115" s="13" t="n">
        <v>-0.1082</v>
      </c>
      <c r="C1115" s="14">
        <f>B1115*100</f>
        <v/>
      </c>
    </row>
    <row r="1116">
      <c r="A1116" s="12" t="n">
        <v>44270</v>
      </c>
      <c r="B1116" s="13" t="n">
        <v>-0.1034</v>
      </c>
      <c r="C1116" s="14">
        <f>B1116*100</f>
        <v/>
      </c>
    </row>
    <row r="1117">
      <c r="A1117" s="12" t="n">
        <v>44271</v>
      </c>
      <c r="B1117" s="13" t="n">
        <v>-0.1021</v>
      </c>
      <c r="C1117" s="14">
        <f>B1117*100</f>
        <v/>
      </c>
    </row>
    <row r="1118">
      <c r="A1118" s="12" t="n">
        <v>44272</v>
      </c>
      <c r="B1118" s="13" t="n">
        <v>-0.1044</v>
      </c>
      <c r="C1118" s="14">
        <f>B1118*100</f>
        <v/>
      </c>
    </row>
    <row r="1119">
      <c r="A1119" s="12" t="n">
        <v>44273</v>
      </c>
      <c r="B1119" s="13" t="n">
        <v>-0.0738</v>
      </c>
      <c r="C1119" s="14">
        <f>B1119*100</f>
        <v/>
      </c>
    </row>
    <row r="1120">
      <c r="A1120" s="12" t="n">
        <v>44274</v>
      </c>
      <c r="B1120" s="13" t="n">
        <v>-0.0515</v>
      </c>
      <c r="C1120" s="14">
        <f>B1120*100</f>
        <v/>
      </c>
    </row>
    <row r="1121">
      <c r="A1121" s="12" t="n">
        <v>44277</v>
      </c>
      <c r="B1121" s="13" t="n">
        <v>-0.061</v>
      </c>
      <c r="C1121" s="14">
        <f>B1121*100</f>
        <v/>
      </c>
    </row>
    <row r="1122">
      <c r="A1122" s="12" t="n">
        <v>44278</v>
      </c>
      <c r="B1122" s="13" t="n">
        <v>-0.0808</v>
      </c>
      <c r="C1122" s="14">
        <f>B1122*100</f>
        <v/>
      </c>
    </row>
    <row r="1123">
      <c r="A1123" s="12" t="n">
        <v>44279</v>
      </c>
      <c r="B1123" s="13" t="n">
        <v>-0.093</v>
      </c>
      <c r="C1123" s="14">
        <f>B1123*100</f>
        <v/>
      </c>
    </row>
    <row r="1124">
      <c r="A1124" s="12" t="n">
        <v>44280</v>
      </c>
      <c r="B1124" s="13" t="n">
        <v>-0.0944</v>
      </c>
      <c r="C1124" s="14">
        <f>B1124*100</f>
        <v/>
      </c>
    </row>
    <row r="1125">
      <c r="A1125" s="12" t="n">
        <v>44281</v>
      </c>
      <c r="B1125" s="13" t="n">
        <v>-0.0804</v>
      </c>
      <c r="C1125" s="14">
        <f>B1125*100</f>
        <v/>
      </c>
    </row>
    <row r="1126">
      <c r="A1126" s="12" t="n">
        <v>44284</v>
      </c>
      <c r="B1126" s="13" t="n">
        <v>-0.0587</v>
      </c>
      <c r="C1126" s="14">
        <f>B1126*100</f>
        <v/>
      </c>
    </row>
    <row r="1127">
      <c r="A1127" s="12" t="n">
        <v>44285</v>
      </c>
      <c r="B1127" s="13" t="n">
        <v>-0.0481</v>
      </c>
      <c r="C1127" s="14">
        <f>B1127*100</f>
        <v/>
      </c>
    </row>
    <row r="1128">
      <c r="A1128" s="12" t="n">
        <v>44286</v>
      </c>
      <c r="B1128" s="13" t="n">
        <v>-0.0374</v>
      </c>
      <c r="C1128" s="14">
        <f>B1128*100</f>
        <v/>
      </c>
    </row>
    <row r="1129">
      <c r="A1129" s="12" t="n">
        <v>44287</v>
      </c>
      <c r="B1129" s="13" t="n">
        <v>-0.0473</v>
      </c>
      <c r="C1129" s="14">
        <f>B1129*100</f>
        <v/>
      </c>
    </row>
    <row r="1130">
      <c r="A1130" s="12" t="n">
        <v>44288</v>
      </c>
      <c r="B1130" s="13" t="n">
        <v>-0.0318</v>
      </c>
      <c r="C1130" s="14">
        <f>B1130*100</f>
        <v/>
      </c>
    </row>
    <row r="1131">
      <c r="A1131" s="12" t="n">
        <v>44291</v>
      </c>
      <c r="B1131" s="13" t="n">
        <v>-0.0335</v>
      </c>
      <c r="C1131" s="14">
        <f>B1131*100</f>
        <v/>
      </c>
    </row>
    <row r="1132">
      <c r="A1132" s="12" t="n">
        <v>44292</v>
      </c>
      <c r="B1132" s="13" t="n">
        <v>-0.0569</v>
      </c>
      <c r="C1132" s="14">
        <f>B1132*100</f>
        <v/>
      </c>
    </row>
    <row r="1133">
      <c r="A1133" s="12" t="n">
        <v>44293</v>
      </c>
      <c r="B1133" s="13" t="n">
        <v>-0.0623</v>
      </c>
      <c r="C1133" s="14">
        <f>B1133*100</f>
        <v/>
      </c>
    </row>
    <row r="1134">
      <c r="A1134" s="12" t="n">
        <v>44294</v>
      </c>
      <c r="B1134" s="13" t="n">
        <v>-0.078</v>
      </c>
      <c r="C1134" s="14">
        <f>B1134*100</f>
        <v/>
      </c>
    </row>
    <row r="1135">
      <c r="A1135" s="12" t="n">
        <v>44295</v>
      </c>
      <c r="B1135" s="13" t="n">
        <v>-0.0716</v>
      </c>
      <c r="C1135" s="14">
        <f>B1135*100</f>
        <v/>
      </c>
    </row>
    <row r="1136">
      <c r="A1136" s="12" t="n">
        <v>44298</v>
      </c>
      <c r="B1136" s="13" t="n">
        <v>-0.0639</v>
      </c>
      <c r="C1136" s="14">
        <f>B1136*100</f>
        <v/>
      </c>
    </row>
    <row r="1137">
      <c r="A1137" s="12" t="n">
        <v>44299</v>
      </c>
      <c r="B1137" s="13" t="n">
        <v>-0.08160000000000001</v>
      </c>
      <c r="C1137" s="14">
        <f>B1137*100</f>
        <v/>
      </c>
    </row>
    <row r="1138">
      <c r="A1138" s="12" t="n">
        <v>44300</v>
      </c>
      <c r="B1138" s="13" t="n">
        <v>-0.0809</v>
      </c>
      <c r="C1138" s="14">
        <f>B1138*100</f>
        <v/>
      </c>
    </row>
    <row r="1139">
      <c r="A1139" s="12" t="n">
        <v>44301</v>
      </c>
      <c r="B1139" s="13" t="n">
        <v>-0.1094</v>
      </c>
      <c r="C1139" s="14">
        <f>B1139*100</f>
        <v/>
      </c>
    </row>
    <row r="1140">
      <c r="A1140" s="12" t="n">
        <v>44302</v>
      </c>
      <c r="B1140" s="13" t="n">
        <v>-0.1065</v>
      </c>
      <c r="C1140" s="14">
        <f>B1140*100</f>
        <v/>
      </c>
    </row>
    <row r="1141">
      <c r="A1141" s="12" t="n">
        <v>44305</v>
      </c>
      <c r="B1141" s="13" t="n">
        <v>-0.1005</v>
      </c>
      <c r="C1141" s="14">
        <f>B1141*100</f>
        <v/>
      </c>
    </row>
    <row r="1142">
      <c r="A1142" s="12" t="n">
        <v>44306</v>
      </c>
      <c r="B1142" s="13" t="n">
        <v>-0.1124</v>
      </c>
      <c r="C1142" s="14">
        <f>B1142*100</f>
        <v/>
      </c>
    </row>
    <row r="1143">
      <c r="A1143" s="12" t="n">
        <v>44307</v>
      </c>
      <c r="B1143" s="13" t="n">
        <v>-0.1189</v>
      </c>
      <c r="C1143" s="14">
        <f>B1143*100</f>
        <v/>
      </c>
    </row>
    <row r="1144">
      <c r="A1144" s="12" t="n">
        <v>44308</v>
      </c>
      <c r="B1144" s="13" t="n">
        <v>-0.1217</v>
      </c>
      <c r="C1144" s="14">
        <f>B1144*100</f>
        <v/>
      </c>
    </row>
    <row r="1145">
      <c r="A1145" s="12" t="n">
        <v>44309</v>
      </c>
      <c r="B1145" s="13" t="n">
        <v>-0.1149</v>
      </c>
      <c r="C1145" s="14">
        <f>B1145*100</f>
        <v/>
      </c>
    </row>
    <row r="1146">
      <c r="A1146" s="12" t="n">
        <v>44312</v>
      </c>
      <c r="B1146" s="13" t="n">
        <v>-0.1114</v>
      </c>
      <c r="C1146" s="14">
        <f>B1146*100</f>
        <v/>
      </c>
    </row>
    <row r="1147">
      <c r="A1147" s="12" t="n">
        <v>44313</v>
      </c>
      <c r="B1147" s="13" t="n">
        <v>-0.094</v>
      </c>
      <c r="C1147" s="14">
        <f>B1147*100</f>
        <v/>
      </c>
    </row>
    <row r="1148">
      <c r="A1148" s="12" t="n">
        <v>44314</v>
      </c>
      <c r="B1148" s="13" t="n">
        <v>-0.09080000000000001</v>
      </c>
      <c r="C1148" s="14">
        <f>B1148*100</f>
        <v/>
      </c>
    </row>
    <row r="1149">
      <c r="A1149" s="12" t="n">
        <v>44315</v>
      </c>
      <c r="B1149" s="13" t="n">
        <v>-0.08459999999999999</v>
      </c>
      <c r="C1149" s="14">
        <f>B1149*100</f>
        <v/>
      </c>
    </row>
    <row r="1150">
      <c r="A1150" s="12" t="n">
        <v>44316</v>
      </c>
      <c r="B1150" s="13" t="n">
        <v>-0.08260000000000001</v>
      </c>
      <c r="C1150" s="14">
        <f>B1150*100</f>
        <v/>
      </c>
    </row>
    <row r="1151">
      <c r="A1151" s="12" t="n">
        <v>44319</v>
      </c>
      <c r="B1151" s="13" t="n">
        <v>-0.0924</v>
      </c>
      <c r="C1151" s="14">
        <f>B1151*100</f>
        <v/>
      </c>
    </row>
    <row r="1152">
      <c r="A1152" s="12" t="n">
        <v>44320</v>
      </c>
      <c r="B1152" s="13" t="n">
        <v>-0.1006</v>
      </c>
      <c r="C1152" s="14">
        <f>B1152*100</f>
        <v/>
      </c>
    </row>
    <row r="1153">
      <c r="A1153" s="12" t="n">
        <v>44321</v>
      </c>
      <c r="B1153" s="13" t="n">
        <v>-0.1119</v>
      </c>
      <c r="C1153" s="14">
        <f>B1153*100</f>
        <v/>
      </c>
    </row>
    <row r="1154">
      <c r="A1154" s="12" t="n">
        <v>44322</v>
      </c>
      <c r="B1154" s="13" t="n">
        <v>-0.1159</v>
      </c>
      <c r="C1154" s="14">
        <f>B1154*100</f>
        <v/>
      </c>
    </row>
    <row r="1155">
      <c r="A1155" s="12" t="n">
        <v>44323</v>
      </c>
      <c r="B1155" s="13" t="n">
        <v>-0.1191</v>
      </c>
      <c r="C1155" s="14">
        <f>B1155*100</f>
        <v/>
      </c>
    </row>
    <row r="1156">
      <c r="A1156" s="12" t="n">
        <v>44326</v>
      </c>
      <c r="B1156" s="13" t="n">
        <v>-0.1115</v>
      </c>
      <c r="C1156" s="14">
        <f>B1156*100</f>
        <v/>
      </c>
    </row>
    <row r="1157">
      <c r="A1157" s="12" t="n">
        <v>44327</v>
      </c>
      <c r="B1157" s="13" t="n">
        <v>-0.1029</v>
      </c>
      <c r="C1157" s="14">
        <f>B1157*100</f>
        <v/>
      </c>
    </row>
    <row r="1158">
      <c r="A1158" s="12" t="n">
        <v>44328</v>
      </c>
      <c r="B1158" s="13" t="n">
        <v>-0.0765</v>
      </c>
      <c r="C1158" s="14">
        <f>B1158*100</f>
        <v/>
      </c>
    </row>
    <row r="1159">
      <c r="A1159" s="12" t="n">
        <v>44329</v>
      </c>
      <c r="B1159" s="13" t="n">
        <v>-0.0785</v>
      </c>
      <c r="C1159" s="14">
        <f>B1159*100</f>
        <v/>
      </c>
    </row>
    <row r="1160">
      <c r="A1160" s="12" t="n">
        <v>44330</v>
      </c>
      <c r="B1160" s="13" t="n">
        <v>-0.0861</v>
      </c>
      <c r="C1160" s="14">
        <f>B1160*100</f>
        <v/>
      </c>
    </row>
    <row r="1161">
      <c r="A1161" s="12" t="n">
        <v>44333</v>
      </c>
      <c r="B1161" s="13" t="n">
        <v>-0.0856</v>
      </c>
      <c r="C1161" s="14">
        <f>B1161*100</f>
        <v/>
      </c>
    </row>
    <row r="1162">
      <c r="A1162" s="12" t="n">
        <v>44334</v>
      </c>
      <c r="B1162" s="13" t="n">
        <v>-0.0878</v>
      </c>
      <c r="C1162" s="14">
        <f>B1162*100</f>
        <v/>
      </c>
    </row>
    <row r="1163">
      <c r="A1163" s="12" t="n">
        <v>44335</v>
      </c>
      <c r="B1163" s="13" t="n">
        <v>-0.0721</v>
      </c>
      <c r="C1163" s="14">
        <f>B1163*100</f>
        <v/>
      </c>
    </row>
    <row r="1164">
      <c r="A1164" s="12" t="n">
        <v>44336</v>
      </c>
      <c r="B1164" s="13" t="n">
        <v>-0.0858</v>
      </c>
      <c r="C1164" s="14">
        <f>B1164*100</f>
        <v/>
      </c>
    </row>
    <row r="1165">
      <c r="A1165" s="12" t="n">
        <v>44337</v>
      </c>
      <c r="B1165" s="13" t="n">
        <v>-0.08699999999999999</v>
      </c>
      <c r="C1165" s="14">
        <f>B1165*100</f>
        <v/>
      </c>
    </row>
    <row r="1166">
      <c r="A1166" s="12" t="n">
        <v>44340</v>
      </c>
      <c r="B1166" s="13" t="n">
        <v>-0.09520000000000001</v>
      </c>
      <c r="C1166" s="14">
        <f>B1166*100</f>
        <v/>
      </c>
    </row>
    <row r="1167">
      <c r="A1167" s="12" t="n">
        <v>44341</v>
      </c>
      <c r="B1167" s="13" t="n">
        <v>-0.115</v>
      </c>
      <c r="C1167" s="14">
        <f>B1167*100</f>
        <v/>
      </c>
    </row>
    <row r="1168">
      <c r="A1168" s="12" t="n">
        <v>44342</v>
      </c>
      <c r="B1168" s="13" t="n">
        <v>-0.118</v>
      </c>
      <c r="C1168" s="14">
        <f>B1168*100</f>
        <v/>
      </c>
    </row>
    <row r="1169">
      <c r="A1169" s="12" t="n">
        <v>44343</v>
      </c>
      <c r="B1169" s="13" t="n">
        <v>-0.1089</v>
      </c>
      <c r="C1169" s="14">
        <f>B1169*100</f>
        <v/>
      </c>
    </row>
    <row r="1170">
      <c r="A1170" s="12" t="n">
        <v>44344</v>
      </c>
      <c r="B1170" s="13" t="n">
        <v>-0.1156</v>
      </c>
      <c r="C1170" s="14">
        <f>B1170*100</f>
        <v/>
      </c>
    </row>
    <row r="1171">
      <c r="A1171" s="12" t="n">
        <v>44348</v>
      </c>
      <c r="B1171" s="13" t="n">
        <v>-0.106</v>
      </c>
      <c r="C1171" s="14">
        <f>B1171*100</f>
        <v/>
      </c>
    </row>
    <row r="1172">
      <c r="A1172" s="12" t="n">
        <v>44349</v>
      </c>
      <c r="B1172" s="13" t="n">
        <v>-0.1105</v>
      </c>
      <c r="C1172" s="14">
        <f>B1172*100</f>
        <v/>
      </c>
    </row>
    <row r="1173">
      <c r="A1173" s="12" t="n">
        <v>44350</v>
      </c>
      <c r="B1173" s="13" t="n">
        <v>-0.09660000000000001</v>
      </c>
      <c r="C1173" s="14">
        <f>B1173*100</f>
        <v/>
      </c>
    </row>
    <row r="1174">
      <c r="A1174" s="12" t="n">
        <v>44351</v>
      </c>
      <c r="B1174" s="13" t="n">
        <v>-0.1173</v>
      </c>
      <c r="C1174" s="14">
        <f>B1174*100</f>
        <v/>
      </c>
    </row>
    <row r="1175">
      <c r="A1175" s="12" t="n">
        <v>44354</v>
      </c>
      <c r="B1175" s="13" t="n">
        <v>-0.121</v>
      </c>
      <c r="C1175" s="14">
        <f>B1175*100</f>
        <v/>
      </c>
    </row>
    <row r="1176">
      <c r="A1176" s="12" t="n">
        <v>44355</v>
      </c>
      <c r="B1176" s="13" t="n">
        <v>-0.1344</v>
      </c>
      <c r="C1176" s="14">
        <f>B1176*100</f>
        <v/>
      </c>
    </row>
    <row r="1177">
      <c r="A1177" s="12" t="n">
        <v>44356</v>
      </c>
      <c r="B1177" s="13" t="n">
        <v>-0.1517</v>
      </c>
      <c r="C1177" s="14">
        <f>B1177*100</f>
        <v/>
      </c>
    </row>
    <row r="1178">
      <c r="A1178" s="12" t="n">
        <v>44357</v>
      </c>
      <c r="B1178" s="13" t="n">
        <v>-0.1699</v>
      </c>
      <c r="C1178" s="14">
        <f>B1178*100</f>
        <v/>
      </c>
    </row>
    <row r="1179">
      <c r="A1179" s="12" t="n">
        <v>44358</v>
      </c>
      <c r="B1179" s="13" t="n">
        <v>-0.1681</v>
      </c>
      <c r="C1179" s="14">
        <f>B1179*100</f>
        <v/>
      </c>
    </row>
    <row r="1180">
      <c r="A1180" s="12" t="n">
        <v>44361</v>
      </c>
      <c r="B1180" s="13" t="n">
        <v>-0.1543</v>
      </c>
      <c r="C1180" s="14">
        <f>B1180*100</f>
        <v/>
      </c>
    </row>
    <row r="1181">
      <c r="A1181" s="12" t="n">
        <v>44362</v>
      </c>
      <c r="B1181" s="13" t="n">
        <v>-0.1492</v>
      </c>
      <c r="C1181" s="14">
        <f>B1181*100</f>
        <v/>
      </c>
    </row>
    <row r="1182">
      <c r="A1182" s="12" t="n">
        <v>44363</v>
      </c>
      <c r="B1182" s="13" t="n">
        <v>-0.1173</v>
      </c>
      <c r="C1182" s="14">
        <f>B1182*100</f>
        <v/>
      </c>
    </row>
    <row r="1183">
      <c r="A1183" s="12" t="n">
        <v>44364</v>
      </c>
      <c r="B1183" s="13" t="n">
        <v>-0.1198</v>
      </c>
      <c r="C1183" s="14">
        <f>B1183*100</f>
        <v/>
      </c>
    </row>
    <row r="1184">
      <c r="A1184" s="12" t="n">
        <v>44365</v>
      </c>
      <c r="B1184" s="13" t="n">
        <v>-0.1365</v>
      </c>
      <c r="C1184" s="14">
        <f>B1184*100</f>
        <v/>
      </c>
    </row>
    <row r="1185">
      <c r="A1185" s="12" t="n">
        <v>44368</v>
      </c>
      <c r="B1185" s="13" t="n">
        <v>-0.1317</v>
      </c>
      <c r="C1185" s="14">
        <f>B1185*100</f>
        <v/>
      </c>
    </row>
    <row r="1186">
      <c r="A1186" s="12" t="n">
        <v>44369</v>
      </c>
      <c r="B1186" s="13" t="n">
        <v>-0.1387</v>
      </c>
      <c r="C1186" s="14">
        <f>B1186*100</f>
        <v/>
      </c>
    </row>
    <row r="1187">
      <c r="A1187" s="12" t="n">
        <v>44370</v>
      </c>
      <c r="B1187" s="13" t="n">
        <v>-0.1332</v>
      </c>
      <c r="C1187" s="14">
        <f>B1187*100</f>
        <v/>
      </c>
    </row>
    <row r="1188">
      <c r="A1188" s="12" t="n">
        <v>44371</v>
      </c>
      <c r="B1188" s="13" t="n">
        <v>-0.1312</v>
      </c>
      <c r="C1188" s="14">
        <f>B1188*100</f>
        <v/>
      </c>
    </row>
    <row r="1189">
      <c r="A1189" s="12" t="n">
        <v>44372</v>
      </c>
      <c r="B1189" s="13" t="n">
        <v>-0.1179</v>
      </c>
      <c r="C1189" s="14">
        <f>B1189*100</f>
        <v/>
      </c>
    </row>
    <row r="1190">
      <c r="A1190" s="12" t="n">
        <v>44375</v>
      </c>
      <c r="B1190" s="13" t="n">
        <v>-0.1302</v>
      </c>
      <c r="C1190" s="14">
        <f>B1190*100</f>
        <v/>
      </c>
    </row>
    <row r="1191">
      <c r="A1191" s="12" t="n">
        <v>44376</v>
      </c>
      <c r="B1191" s="13" t="n">
        <v>-0.1336</v>
      </c>
      <c r="C1191" s="14">
        <f>B1191*100</f>
        <v/>
      </c>
    </row>
    <row r="1192">
      <c r="A1192" s="12" t="n">
        <v>44377</v>
      </c>
      <c r="B1192" s="13" t="n">
        <v>-0.1466</v>
      </c>
      <c r="C1192" s="14">
        <f>B1192*100</f>
        <v/>
      </c>
    </row>
    <row r="1193">
      <c r="A1193" s="12" t="n">
        <v>44378</v>
      </c>
      <c r="B1193" s="13" t="n">
        <v>-0.1415</v>
      </c>
      <c r="C1193" s="14">
        <f>B1193*100</f>
        <v/>
      </c>
    </row>
    <row r="1194">
      <c r="A1194" s="12" t="n">
        <v>44379</v>
      </c>
      <c r="B1194" s="13" t="n">
        <v>-0.1545</v>
      </c>
      <c r="C1194" s="14">
        <f>B1194*100</f>
        <v/>
      </c>
    </row>
    <row r="1195">
      <c r="A1195" s="12" t="n">
        <v>44383</v>
      </c>
      <c r="B1195" s="13" t="n">
        <v>-0.1832</v>
      </c>
      <c r="C1195" s="14">
        <f>B1195*100</f>
        <v/>
      </c>
    </row>
    <row r="1196">
      <c r="A1196" s="12" t="n">
        <v>44384</v>
      </c>
      <c r="B1196" s="13" t="n">
        <v>-0.2054</v>
      </c>
      <c r="C1196" s="14">
        <f>B1196*100</f>
        <v/>
      </c>
    </row>
    <row r="1197">
      <c r="A1197" s="12" t="n">
        <v>44385</v>
      </c>
      <c r="B1197" s="13" t="n">
        <v>-0.2278</v>
      </c>
      <c r="C1197" s="14">
        <f>B1197*100</f>
        <v/>
      </c>
    </row>
    <row r="1198">
      <c r="A1198" s="12" t="n">
        <v>44386</v>
      </c>
      <c r="B1198" s="13" t="n">
        <v>-0.2116</v>
      </c>
      <c r="C1198" s="14">
        <f>B1198*100</f>
        <v/>
      </c>
    </row>
    <row r="1199">
      <c r="A1199" s="12" t="n">
        <v>44389</v>
      </c>
      <c r="B1199" s="13" t="n">
        <v>-0.2032</v>
      </c>
      <c r="C1199" s="14">
        <f>B1199*100</f>
        <v/>
      </c>
    </row>
    <row r="1200">
      <c r="A1200" s="12" t="n">
        <v>44390</v>
      </c>
      <c r="B1200" s="13" t="n">
        <v>-0.1852</v>
      </c>
      <c r="C1200" s="14">
        <f>B1200*100</f>
        <v/>
      </c>
    </row>
    <row r="1201">
      <c r="A1201" s="12" t="n">
        <v>44391</v>
      </c>
      <c r="B1201" s="13" t="n">
        <v>-0.2003</v>
      </c>
      <c r="C1201" s="14">
        <f>B1201*100</f>
        <v/>
      </c>
    </row>
    <row r="1202">
      <c r="A1202" s="12" t="n">
        <v>44392</v>
      </c>
      <c r="B1202" s="13" t="n">
        <v>-0.2204</v>
      </c>
      <c r="C1202" s="14">
        <f>B1202*100</f>
        <v/>
      </c>
    </row>
    <row r="1203">
      <c r="A1203" s="12" t="n">
        <v>44393</v>
      </c>
      <c r="B1203" s="13" t="n">
        <v>-0.224</v>
      </c>
      <c r="C1203" s="14">
        <f>B1203*100</f>
        <v/>
      </c>
    </row>
    <row r="1204">
      <c r="A1204" s="12" t="n">
        <v>44396</v>
      </c>
      <c r="B1204" s="13" t="n">
        <v>-0.2673</v>
      </c>
      <c r="C1204" s="14">
        <f>B1204*100</f>
        <v/>
      </c>
    </row>
    <row r="1205">
      <c r="A1205" s="12" t="n">
        <v>44397</v>
      </c>
      <c r="B1205" s="13" t="n">
        <v>-0.2755</v>
      </c>
      <c r="C1205" s="14">
        <f>B1205*100</f>
        <v/>
      </c>
    </row>
    <row r="1206">
      <c r="A1206" s="12" t="n">
        <v>44398</v>
      </c>
      <c r="B1206" s="13" t="n">
        <v>-0.2545</v>
      </c>
      <c r="C1206" s="14">
        <f>B1206*100</f>
        <v/>
      </c>
    </row>
    <row r="1207">
      <c r="A1207" s="12" t="n">
        <v>44399</v>
      </c>
      <c r="B1207" s="13" t="n">
        <v>-0.2597</v>
      </c>
      <c r="C1207" s="14">
        <f>B1207*100</f>
        <v/>
      </c>
    </row>
    <row r="1208">
      <c r="A1208" s="12" t="n">
        <v>44400</v>
      </c>
      <c r="B1208" s="13" t="n">
        <v>-0.2523</v>
      </c>
      <c r="C1208" s="14">
        <f>B1208*100</f>
        <v/>
      </c>
    </row>
    <row r="1209">
      <c r="A1209" s="12" t="n">
        <v>44403</v>
      </c>
      <c r="B1209" s="13" t="n">
        <v>-0.2498</v>
      </c>
      <c r="C1209" s="14">
        <f>B1209*100</f>
        <v/>
      </c>
    </row>
    <row r="1210">
      <c r="A1210" s="12" t="n">
        <v>44404</v>
      </c>
      <c r="B1210" s="13" t="n">
        <v>-0.2623</v>
      </c>
      <c r="C1210" s="14">
        <f>B1210*100</f>
        <v/>
      </c>
    </row>
    <row r="1211">
      <c r="A1211" s="12" t="n">
        <v>44405</v>
      </c>
      <c r="B1211" s="13" t="n">
        <v>-0.2628</v>
      </c>
      <c r="C1211" s="14">
        <f>B1211*100</f>
        <v/>
      </c>
    </row>
    <row r="1212">
      <c r="A1212" s="12" t="n">
        <v>44406</v>
      </c>
      <c r="B1212" s="13" t="n">
        <v>-0.257</v>
      </c>
      <c r="C1212" s="14">
        <f>B1212*100</f>
        <v/>
      </c>
    </row>
    <row r="1213">
      <c r="A1213" s="12" t="n">
        <v>44407</v>
      </c>
      <c r="B1213" s="13" t="n">
        <v>-0.268</v>
      </c>
      <c r="C1213" s="14">
        <f>B1213*100</f>
        <v/>
      </c>
    </row>
    <row r="1214">
      <c r="A1214" s="12" t="n">
        <v>44410</v>
      </c>
      <c r="B1214" s="13" t="n">
        <v>-0.2882</v>
      </c>
      <c r="C1214" s="14">
        <f>B1214*100</f>
        <v/>
      </c>
    </row>
    <row r="1215">
      <c r="A1215" s="12" t="n">
        <v>44411</v>
      </c>
      <c r="B1215" s="13" t="n">
        <v>-0.2986</v>
      </c>
      <c r="C1215" s="14">
        <f>B1215*100</f>
        <v/>
      </c>
    </row>
    <row r="1216">
      <c r="A1216" s="12" t="n">
        <v>44412</v>
      </c>
      <c r="B1216" s="13" t="n">
        <v>-0.2987</v>
      </c>
      <c r="C1216" s="14">
        <f>B1216*100</f>
        <v/>
      </c>
    </row>
    <row r="1217">
      <c r="A1217" s="12" t="n">
        <v>44413</v>
      </c>
      <c r="B1217" s="13" t="n">
        <v>-0.2811</v>
      </c>
      <c r="C1217" s="14">
        <f>B1217*100</f>
        <v/>
      </c>
    </row>
    <row r="1218">
      <c r="A1218" s="12" t="n">
        <v>44414</v>
      </c>
      <c r="B1218" s="13" t="n">
        <v>-0.2517</v>
      </c>
      <c r="C1218" s="14">
        <f>B1218*100</f>
        <v/>
      </c>
    </row>
    <row r="1219">
      <c r="A1219" s="12" t="n">
        <v>44417</v>
      </c>
      <c r="B1219" s="13" t="n">
        <v>-0.2347</v>
      </c>
      <c r="C1219" s="14">
        <f>B1219*100</f>
        <v/>
      </c>
    </row>
    <row r="1220">
      <c r="A1220" s="12" t="n">
        <v>44418</v>
      </c>
      <c r="B1220" s="13" t="n">
        <v>-0.2165</v>
      </c>
      <c r="C1220" s="14">
        <f>B1220*100</f>
        <v/>
      </c>
    </row>
    <row r="1221">
      <c r="A1221" s="12" t="n">
        <v>44419</v>
      </c>
      <c r="B1221" s="13" t="n">
        <v>-0.2153</v>
      </c>
      <c r="C1221" s="14">
        <f>B1221*100</f>
        <v/>
      </c>
    </row>
    <row r="1222">
      <c r="A1222" s="12" t="n">
        <v>44420</v>
      </c>
      <c r="B1222" s="13" t="n">
        <v>-0.2063</v>
      </c>
      <c r="C1222" s="14">
        <f>B1222*100</f>
        <v/>
      </c>
    </row>
    <row r="1223">
      <c r="A1223" s="12" t="n">
        <v>44421</v>
      </c>
      <c r="B1223" s="13" t="n">
        <v>-0.2244</v>
      </c>
      <c r="C1223" s="14">
        <f>B1223*100</f>
        <v/>
      </c>
    </row>
    <row r="1224">
      <c r="A1224" s="12" t="n">
        <v>44424</v>
      </c>
      <c r="B1224" s="13" t="n">
        <v>-0.244</v>
      </c>
      <c r="C1224" s="14">
        <f>B1224*100</f>
        <v/>
      </c>
    </row>
    <row r="1225">
      <c r="A1225" s="12" t="n">
        <v>44425</v>
      </c>
      <c r="B1225" s="13" t="n">
        <v>-0.2468</v>
      </c>
      <c r="C1225" s="14">
        <f>B1225*100</f>
        <v/>
      </c>
    </row>
    <row r="1226">
      <c r="A1226" s="12" t="n">
        <v>44426</v>
      </c>
      <c r="B1226" s="13" t="n">
        <v>-0.2456</v>
      </c>
      <c r="C1226" s="14">
        <f>B1226*100</f>
        <v/>
      </c>
    </row>
    <row r="1227">
      <c r="A1227" s="12" t="n">
        <v>44427</v>
      </c>
      <c r="B1227" s="13" t="n">
        <v>-0.2518</v>
      </c>
      <c r="C1227" s="14">
        <f>B1227*100</f>
        <v/>
      </c>
    </row>
    <row r="1228">
      <c r="A1228" s="12" t="n">
        <v>44428</v>
      </c>
      <c r="B1228" s="13" t="n">
        <v>-0.2471</v>
      </c>
      <c r="C1228" s="14">
        <f>B1228*100</f>
        <v/>
      </c>
    </row>
    <row r="1229">
      <c r="A1229" s="12" t="n">
        <v>44431</v>
      </c>
      <c r="B1229" s="13" t="n">
        <v>-0.2508</v>
      </c>
      <c r="C1229" s="14">
        <f>B1229*100</f>
        <v/>
      </c>
    </row>
    <row r="1230">
      <c r="A1230" s="12" t="n">
        <v>44432</v>
      </c>
      <c r="B1230" s="13" t="n">
        <v>-0.2393</v>
      </c>
      <c r="C1230" s="14">
        <f>B1230*100</f>
        <v/>
      </c>
    </row>
    <row r="1231">
      <c r="A1231" s="12" t="n">
        <v>44433</v>
      </c>
      <c r="B1231" s="13" t="n">
        <v>-0.219</v>
      </c>
      <c r="C1231" s="14">
        <f>B1231*100</f>
        <v/>
      </c>
    </row>
    <row r="1232">
      <c r="A1232" s="12" t="n">
        <v>44434</v>
      </c>
      <c r="B1232" s="13" t="n">
        <v>-0.2119</v>
      </c>
      <c r="C1232" s="14">
        <f>B1232*100</f>
        <v/>
      </c>
    </row>
    <row r="1233">
      <c r="A1233" s="12" t="n">
        <v>44435</v>
      </c>
      <c r="B1233" s="13" t="n">
        <v>-0.2233</v>
      </c>
      <c r="C1233" s="14">
        <f>B1233*100</f>
        <v/>
      </c>
    </row>
    <row r="1234">
      <c r="A1234" s="12" t="n">
        <v>44438</v>
      </c>
      <c r="B1234" s="13" t="n">
        <v>-0.235</v>
      </c>
      <c r="C1234" s="14">
        <f>B1234*100</f>
        <v/>
      </c>
    </row>
    <row r="1235">
      <c r="A1235" s="12" t="n">
        <v>44439</v>
      </c>
      <c r="B1235" s="13" t="n">
        <v>-0.2339</v>
      </c>
      <c r="C1235" s="14">
        <f>B1235*100</f>
        <v/>
      </c>
    </row>
    <row r="1236">
      <c r="A1236" s="12" t="n">
        <v>44440</v>
      </c>
      <c r="B1236" s="13" t="n">
        <v>-0.2337</v>
      </c>
      <c r="C1236" s="14">
        <f>B1236*100</f>
        <v/>
      </c>
    </row>
    <row r="1237">
      <c r="A1237" s="12" t="n">
        <v>44441</v>
      </c>
      <c r="B1237" s="13" t="n">
        <v>-0.2369</v>
      </c>
      <c r="C1237" s="14">
        <f>B1237*100</f>
        <v/>
      </c>
    </row>
    <row r="1238">
      <c r="A1238" s="12" t="n">
        <v>44442</v>
      </c>
      <c r="B1238" s="13" t="n">
        <v>-0.2295</v>
      </c>
      <c r="C1238" s="14">
        <f>B1238*100</f>
        <v/>
      </c>
    </row>
    <row r="1239">
      <c r="A1239" s="12" t="n">
        <v>44446</v>
      </c>
      <c r="B1239" s="13" t="n">
        <v>-0.2107</v>
      </c>
      <c r="C1239" s="14">
        <f>B1239*100</f>
        <v/>
      </c>
    </row>
    <row r="1240">
      <c r="A1240" s="12" t="n">
        <v>44447</v>
      </c>
      <c r="B1240" s="13" t="n">
        <v>-0.2155</v>
      </c>
      <c r="C1240" s="14">
        <f>B1240*100</f>
        <v/>
      </c>
    </row>
    <row r="1241">
      <c r="A1241" s="12" t="n">
        <v>44448</v>
      </c>
      <c r="B1241" s="13" t="n">
        <v>-0.2268</v>
      </c>
      <c r="C1241" s="14">
        <f>B1241*100</f>
        <v/>
      </c>
    </row>
    <row r="1242">
      <c r="A1242" s="12" t="n">
        <v>44449</v>
      </c>
      <c r="B1242" s="13" t="n">
        <v>-0.2163</v>
      </c>
      <c r="C1242" s="14">
        <f>B1242*100</f>
        <v/>
      </c>
    </row>
    <row r="1243">
      <c r="A1243" s="12" t="n">
        <v>44452</v>
      </c>
      <c r="B1243" s="13" t="n">
        <v>-0.2205</v>
      </c>
      <c r="C1243" s="14">
        <f>B1243*100</f>
        <v/>
      </c>
    </row>
    <row r="1244">
      <c r="A1244" s="12" t="n">
        <v>44453</v>
      </c>
      <c r="B1244" s="13" t="n">
        <v>-0.2348</v>
      </c>
      <c r="C1244" s="14">
        <f>B1244*100</f>
        <v/>
      </c>
    </row>
    <row r="1245">
      <c r="A1245" s="12" t="n">
        <v>44454</v>
      </c>
      <c r="B1245" s="13" t="n">
        <v>-0.23</v>
      </c>
      <c r="C1245" s="14">
        <f>B1245*100</f>
        <v/>
      </c>
    </row>
    <row r="1246">
      <c r="A1246" s="12" t="n">
        <v>44455</v>
      </c>
      <c r="B1246" s="13" t="n">
        <v>-0.2146</v>
      </c>
      <c r="C1246" s="14">
        <f>B1246*100</f>
        <v/>
      </c>
    </row>
    <row r="1247">
      <c r="A1247" s="12" t="n">
        <v>44456</v>
      </c>
      <c r="B1247" s="13" t="n">
        <v>-0.1965</v>
      </c>
      <c r="C1247" s="14">
        <f>B1247*100</f>
        <v/>
      </c>
    </row>
    <row r="1248">
      <c r="A1248" s="12" t="n">
        <v>44459</v>
      </c>
      <c r="B1248" s="13" t="n">
        <v>-0.2121</v>
      </c>
      <c r="C1248" s="14">
        <f>B1248*100</f>
        <v/>
      </c>
    </row>
    <row r="1249">
      <c r="A1249" s="12" t="n">
        <v>44460</v>
      </c>
      <c r="B1249" s="13" t="n">
        <v>-0.211</v>
      </c>
      <c r="C1249" s="14">
        <f>B1249*100</f>
        <v/>
      </c>
    </row>
    <row r="1250">
      <c r="A1250" s="12" t="n">
        <v>44461</v>
      </c>
      <c r="B1250" s="13" t="n">
        <v>-0.2083</v>
      </c>
      <c r="C1250" s="14">
        <f>B1250*100</f>
        <v/>
      </c>
    </row>
    <row r="1251">
      <c r="A1251" s="12" t="n">
        <v>44462</v>
      </c>
      <c r="B1251" s="13" t="n">
        <v>-0.1731</v>
      </c>
      <c r="C1251" s="14">
        <f>B1251*100</f>
        <v/>
      </c>
    </row>
    <row r="1252">
      <c r="A1252" s="12" t="n">
        <v>44463</v>
      </c>
      <c r="B1252" s="13" t="n">
        <v>-0.1448</v>
      </c>
      <c r="C1252" s="14">
        <f>B1252*100</f>
        <v/>
      </c>
    </row>
    <row r="1253">
      <c r="A1253" s="12" t="n">
        <v>44466</v>
      </c>
      <c r="B1253" s="13" t="n">
        <v>-0.1278</v>
      </c>
      <c r="C1253" s="14">
        <f>B1253*100</f>
        <v/>
      </c>
    </row>
    <row r="1254">
      <c r="A1254" s="12" t="n">
        <v>44467</v>
      </c>
      <c r="B1254" s="13" t="n">
        <v>-0.1048</v>
      </c>
      <c r="C1254" s="14">
        <f>B1254*100</f>
        <v/>
      </c>
    </row>
    <row r="1255">
      <c r="A1255" s="12" t="n">
        <v>44468</v>
      </c>
      <c r="B1255" s="13" t="n">
        <v>-0.0969</v>
      </c>
      <c r="C1255" s="14">
        <f>B1255*100</f>
        <v/>
      </c>
    </row>
    <row r="1256">
      <c r="A1256" s="12" t="n">
        <v>44469</v>
      </c>
      <c r="B1256" s="13" t="n">
        <v>-0.1031</v>
      </c>
      <c r="C1256" s="14">
        <f>B1256*100</f>
        <v/>
      </c>
    </row>
    <row r="1257">
      <c r="A1257" s="12" t="n">
        <v>44470</v>
      </c>
      <c r="B1257" s="13" t="n">
        <v>-0.1222</v>
      </c>
      <c r="C1257" s="14">
        <f>B1257*100</f>
        <v/>
      </c>
    </row>
    <row r="1258">
      <c r="A1258" s="12" t="n">
        <v>44473</v>
      </c>
      <c r="B1258" s="13" t="n">
        <v>-0.1227</v>
      </c>
      <c r="C1258" s="14">
        <f>B1258*100</f>
        <v/>
      </c>
    </row>
    <row r="1259">
      <c r="A1259" s="12" t="n">
        <v>44474</v>
      </c>
      <c r="B1259" s="13" t="n">
        <v>-0.1072</v>
      </c>
      <c r="C1259" s="14">
        <f>B1259*100</f>
        <v/>
      </c>
    </row>
    <row r="1260">
      <c r="A1260" s="12" t="n">
        <v>44475</v>
      </c>
      <c r="B1260" s="13" t="n">
        <v>-0.1038</v>
      </c>
      <c r="C1260" s="14">
        <f>B1260*100</f>
        <v/>
      </c>
    </row>
    <row r="1261">
      <c r="A1261" s="12" t="n">
        <v>44476</v>
      </c>
      <c r="B1261" s="13" t="n">
        <v>-0.0862</v>
      </c>
      <c r="C1261" s="14">
        <f>B1261*100</f>
        <v/>
      </c>
    </row>
    <row r="1262">
      <c r="A1262" s="12" t="n">
        <v>44477</v>
      </c>
      <c r="B1262" s="13" t="n">
        <v>-0.0688</v>
      </c>
      <c r="C1262" s="14">
        <f>B1262*100</f>
        <v/>
      </c>
    </row>
    <row r="1263">
      <c r="A1263" s="12" t="n">
        <v>44481</v>
      </c>
      <c r="B1263" s="13" t="n">
        <v>-0.0653</v>
      </c>
      <c r="C1263" s="14">
        <f>B1263*100</f>
        <v/>
      </c>
    </row>
    <row r="1264">
      <c r="A1264" s="12" t="n">
        <v>44482</v>
      </c>
      <c r="B1264" s="13" t="n">
        <v>-0.06759999999999999</v>
      </c>
      <c r="C1264" s="14">
        <f>B1264*100</f>
        <v/>
      </c>
    </row>
    <row r="1265">
      <c r="A1265" s="12" t="n">
        <v>44483</v>
      </c>
      <c r="B1265" s="13" t="n">
        <v>-0.08359999999999999</v>
      </c>
      <c r="C1265" s="14">
        <f>B1265*100</f>
        <v/>
      </c>
    </row>
    <row r="1266">
      <c r="A1266" s="12" t="n">
        <v>44484</v>
      </c>
      <c r="B1266" s="13" t="n">
        <v>-0.0606</v>
      </c>
      <c r="C1266" s="14">
        <f>B1266*100</f>
        <v/>
      </c>
    </row>
    <row r="1267">
      <c r="A1267" s="12" t="n">
        <v>44487</v>
      </c>
      <c r="B1267" s="13" t="n">
        <v>-0.0499</v>
      </c>
      <c r="C1267" s="14">
        <f>B1267*100</f>
        <v/>
      </c>
    </row>
    <row r="1268">
      <c r="A1268" s="12" t="n">
        <v>44488</v>
      </c>
      <c r="B1268" s="13" t="n">
        <v>-0.0333</v>
      </c>
      <c r="C1268" s="14">
        <f>B1268*100</f>
        <v/>
      </c>
    </row>
    <row r="1269">
      <c r="A1269" s="12" t="n">
        <v>44489</v>
      </c>
      <c r="B1269" s="13" t="n">
        <v>-0.0286</v>
      </c>
      <c r="C1269" s="14">
        <f>B1269*100</f>
        <v/>
      </c>
    </row>
    <row r="1270">
      <c r="A1270" s="12" t="n">
        <v>44490</v>
      </c>
      <c r="B1270" s="13" t="n">
        <v>-0.006</v>
      </c>
      <c r="C1270" s="14">
        <f>B1270*100</f>
        <v/>
      </c>
    </row>
    <row r="1271">
      <c r="A1271" s="12" t="n">
        <v>44491</v>
      </c>
      <c r="B1271" s="13" t="n">
        <v>-0.0077</v>
      </c>
      <c r="C1271" s="14">
        <f>B1271*100</f>
        <v/>
      </c>
    </row>
    <row r="1272">
      <c r="A1272" s="12" t="n">
        <v>44494</v>
      </c>
      <c r="B1272" s="13" t="n">
        <v>-0.0183</v>
      </c>
      <c r="C1272" s="14">
        <f>B1272*100</f>
        <v/>
      </c>
    </row>
    <row r="1273">
      <c r="A1273" s="12" t="n">
        <v>44495</v>
      </c>
      <c r="B1273" s="13" t="n">
        <v>-0.0236</v>
      </c>
      <c r="C1273" s="14">
        <f>B1273*100</f>
        <v/>
      </c>
    </row>
    <row r="1274">
      <c r="A1274" s="12" t="n">
        <v>44496</v>
      </c>
      <c r="B1274" s="13" t="n">
        <v>-0.0486</v>
      </c>
      <c r="C1274" s="14">
        <f>B1274*100</f>
        <v/>
      </c>
    </row>
    <row r="1275">
      <c r="A1275" s="12" t="n">
        <v>44497</v>
      </c>
      <c r="B1275" s="13" t="n">
        <v>-0.0429</v>
      </c>
      <c r="C1275" s="14">
        <f>B1275*100</f>
        <v/>
      </c>
    </row>
    <row r="1276">
      <c r="A1276" s="12" t="n">
        <v>44498</v>
      </c>
      <c r="B1276" s="13" t="n">
        <v>-0.0441</v>
      </c>
      <c r="C1276" s="14">
        <f>B1276*100</f>
        <v/>
      </c>
    </row>
    <row r="1277">
      <c r="A1277" s="12" t="n">
        <v>44501</v>
      </c>
      <c r="B1277" s="13" t="n">
        <v>-0.0342</v>
      </c>
      <c r="C1277" s="14">
        <f>B1277*100</f>
        <v/>
      </c>
    </row>
    <row r="1278">
      <c r="A1278" s="12" t="n">
        <v>44502</v>
      </c>
      <c r="B1278" s="13" t="n">
        <v>-0.05</v>
      </c>
      <c r="C1278" s="14">
        <f>B1278*100</f>
        <v/>
      </c>
    </row>
    <row r="1279">
      <c r="A1279" s="12" t="n">
        <v>44503</v>
      </c>
      <c r="B1279" s="13" t="n">
        <v>-0.0381</v>
      </c>
      <c r="C1279" s="14">
        <f>B1279*100</f>
        <v/>
      </c>
    </row>
    <row r="1280">
      <c r="A1280" s="12" t="n">
        <v>44504</v>
      </c>
      <c r="B1280" s="13" t="n">
        <v>-0.0673</v>
      </c>
      <c r="C1280" s="14">
        <f>B1280*100</f>
        <v/>
      </c>
    </row>
    <row r="1281">
      <c r="A1281" s="12" t="n">
        <v>44505</v>
      </c>
      <c r="B1281" s="13" t="n">
        <v>-0.1019</v>
      </c>
      <c r="C1281" s="14">
        <f>B1281*100</f>
        <v/>
      </c>
    </row>
    <row r="1282">
      <c r="A1282" s="12" t="n">
        <v>44508</v>
      </c>
      <c r="B1282" s="13" t="n">
        <v>-0.0839</v>
      </c>
      <c r="C1282" s="14">
        <f>B1282*100</f>
        <v/>
      </c>
    </row>
    <row r="1283">
      <c r="A1283" s="12" t="n">
        <v>44509</v>
      </c>
      <c r="B1283" s="13" t="n">
        <v>-0.1019</v>
      </c>
      <c r="C1283" s="14">
        <f>B1283*100</f>
        <v/>
      </c>
    </row>
    <row r="1284">
      <c r="A1284" s="12" t="n">
        <v>44510</v>
      </c>
      <c r="B1284" s="13" t="n">
        <v>-0.0558</v>
      </c>
      <c r="C1284" s="14">
        <f>B1284*100</f>
        <v/>
      </c>
    </row>
    <row r="1285">
      <c r="A1285" s="12" t="n">
        <v>44512</v>
      </c>
      <c r="B1285" s="13" t="n">
        <v>-0.0373</v>
      </c>
      <c r="C1285" s="14">
        <f>B1285*100</f>
        <v/>
      </c>
    </row>
    <row r="1286">
      <c r="A1286" s="12" t="n">
        <v>44515</v>
      </c>
      <c r="B1286" s="13" t="n">
        <v>-0.0172</v>
      </c>
      <c r="C1286" s="14">
        <f>B1286*100</f>
        <v/>
      </c>
    </row>
    <row r="1287">
      <c r="A1287" s="12" t="n">
        <v>44516</v>
      </c>
      <c r="B1287" s="13" t="n">
        <v>-0.007900000000000001</v>
      </c>
      <c r="C1287" s="14">
        <f>B1287*100</f>
        <v/>
      </c>
    </row>
    <row r="1288">
      <c r="A1288" s="12" t="n">
        <v>44517</v>
      </c>
      <c r="B1288" s="13" t="n">
        <v>-0.0145</v>
      </c>
      <c r="C1288" s="14">
        <f>B1288*100</f>
        <v/>
      </c>
    </row>
    <row r="1289">
      <c r="A1289" s="12" t="n">
        <v>44518</v>
      </c>
      <c r="B1289" s="13" t="n">
        <v>-0.0226</v>
      </c>
      <c r="C1289" s="14">
        <f>B1289*100</f>
        <v/>
      </c>
    </row>
    <row r="1290">
      <c r="A1290" s="12" t="n">
        <v>44519</v>
      </c>
      <c r="B1290" s="13" t="n">
        <v>-0.0334</v>
      </c>
      <c r="C1290" s="14">
        <f>B1290*100</f>
        <v/>
      </c>
    </row>
    <row r="1291">
      <c r="A1291" s="12" t="n">
        <v>44522</v>
      </c>
      <c r="B1291" s="13" t="n">
        <v>0.0019</v>
      </c>
      <c r="C1291" s="14">
        <f>B1291*100</f>
        <v/>
      </c>
    </row>
    <row r="1292">
      <c r="A1292" s="12" t="n">
        <v>44523</v>
      </c>
      <c r="B1292" s="13" t="n">
        <v>0.0187</v>
      </c>
      <c r="C1292" s="14">
        <f>B1292*100</f>
        <v/>
      </c>
    </row>
    <row r="1293">
      <c r="A1293" s="12" t="n">
        <v>44524</v>
      </c>
      <c r="B1293" s="13" t="n">
        <v>0.0205</v>
      </c>
      <c r="C1293" s="14">
        <f>B1293*100</f>
        <v/>
      </c>
    </row>
    <row r="1294">
      <c r="A1294" s="12" t="n">
        <v>44526</v>
      </c>
      <c r="B1294" s="13" t="n">
        <v>-0.0483</v>
      </c>
      <c r="C1294" s="14">
        <f>B1294*100</f>
        <v/>
      </c>
    </row>
    <row r="1295">
      <c r="A1295" s="12" t="n">
        <v>44529</v>
      </c>
      <c r="B1295" s="13" t="n">
        <v>-0.0568</v>
      </c>
      <c r="C1295" s="14">
        <f>B1295*100</f>
        <v/>
      </c>
    </row>
    <row r="1296">
      <c r="A1296" s="12" t="n">
        <v>44530</v>
      </c>
      <c r="B1296" s="13" t="n">
        <v>-0.0822</v>
      </c>
      <c r="C1296" s="14">
        <f>B1296*100</f>
        <v/>
      </c>
    </row>
    <row r="1297">
      <c r="A1297" s="12" t="n">
        <v>44531</v>
      </c>
      <c r="B1297" s="13" t="n">
        <v>-0.0871</v>
      </c>
      <c r="C1297" s="14">
        <f>B1297*100</f>
        <v/>
      </c>
    </row>
    <row r="1298">
      <c r="A1298" s="12" t="n">
        <v>44532</v>
      </c>
      <c r="B1298" s="13" t="n">
        <v>-0.07820000000000001</v>
      </c>
      <c r="C1298" s="14">
        <f>B1298*100</f>
        <v/>
      </c>
    </row>
    <row r="1299">
      <c r="A1299" s="12" t="n">
        <v>44533</v>
      </c>
      <c r="B1299" s="13" t="n">
        <v>-0.1105</v>
      </c>
      <c r="C1299" s="14">
        <f>B1299*100</f>
        <v/>
      </c>
    </row>
    <row r="1300">
      <c r="A1300" s="12" t="n">
        <v>44536</v>
      </c>
      <c r="B1300" s="13" t="n">
        <v>-0.092</v>
      </c>
      <c r="C1300" s="14">
        <f>B1300*100</f>
        <v/>
      </c>
    </row>
    <row r="1301">
      <c r="A1301" s="12" t="n">
        <v>44537</v>
      </c>
      <c r="B1301" s="13" t="n">
        <v>-0.0694</v>
      </c>
      <c r="C1301" s="14">
        <f>B1301*100</f>
        <v/>
      </c>
    </row>
    <row r="1302">
      <c r="A1302" s="12" t="n">
        <v>44538</v>
      </c>
      <c r="B1302" s="13" t="n">
        <v>-0.0593</v>
      </c>
      <c r="C1302" s="14">
        <f>B1302*100</f>
        <v/>
      </c>
    </row>
    <row r="1303">
      <c r="A1303" s="12" t="n">
        <v>44539</v>
      </c>
      <c r="B1303" s="13" t="n">
        <v>-0.0617</v>
      </c>
      <c r="C1303" s="14">
        <f>B1303*100</f>
        <v/>
      </c>
    </row>
    <row r="1304">
      <c r="A1304" s="12" t="n">
        <v>44540</v>
      </c>
      <c r="B1304" s="13" t="n">
        <v>-0.0641</v>
      </c>
      <c r="C1304" s="14">
        <f>B1304*100</f>
        <v/>
      </c>
    </row>
    <row r="1305">
      <c r="A1305" s="12" t="n">
        <v>44543</v>
      </c>
      <c r="B1305" s="13" t="n">
        <v>-0.0822</v>
      </c>
      <c r="C1305" s="14">
        <f>B1305*100</f>
        <v/>
      </c>
    </row>
    <row r="1306">
      <c r="A1306" s="12" t="n">
        <v>44544</v>
      </c>
      <c r="B1306" s="13" t="n">
        <v>-0.0789</v>
      </c>
      <c r="C1306" s="14">
        <f>B1306*100</f>
        <v/>
      </c>
    </row>
    <row r="1307">
      <c r="A1307" s="12" t="n">
        <v>44545</v>
      </c>
      <c r="B1307" s="13" t="n">
        <v>-0.06710000000000001</v>
      </c>
      <c r="C1307" s="14">
        <f>B1307*100</f>
        <v/>
      </c>
    </row>
    <row r="1308">
      <c r="A1308" s="12" t="n">
        <v>44546</v>
      </c>
      <c r="B1308" s="13" t="n">
        <v>-0.08749999999999999</v>
      </c>
      <c r="C1308" s="14">
        <f>B1308*100</f>
        <v/>
      </c>
    </row>
    <row r="1309">
      <c r="A1309" s="12" t="n">
        <v>44547</v>
      </c>
      <c r="B1309" s="13" t="n">
        <v>-0.09669999999999999</v>
      </c>
      <c r="C1309" s="14">
        <f>B1309*100</f>
        <v/>
      </c>
    </row>
    <row r="1310">
      <c r="A1310" s="12" t="n">
        <v>44550</v>
      </c>
      <c r="B1310" s="13" t="n">
        <v>-0.1022</v>
      </c>
      <c r="C1310" s="14">
        <f>B1310*100</f>
        <v/>
      </c>
    </row>
    <row r="1311">
      <c r="A1311" s="12" t="n">
        <v>44551</v>
      </c>
      <c r="B1311" s="13" t="n">
        <v>-0.0823</v>
      </c>
      <c r="C1311" s="14">
        <f>B1311*100</f>
        <v/>
      </c>
    </row>
    <row r="1312">
      <c r="A1312" s="12" t="n">
        <v>44552</v>
      </c>
      <c r="B1312" s="13" t="n">
        <v>-0.0814</v>
      </c>
      <c r="C1312" s="14">
        <f>B1312*100</f>
        <v/>
      </c>
    </row>
    <row r="1313">
      <c r="A1313" s="12" t="n">
        <v>44553</v>
      </c>
      <c r="B1313" s="13" t="n">
        <v>-0.0698</v>
      </c>
      <c r="C1313" s="14">
        <f>B1313*100</f>
        <v/>
      </c>
    </row>
    <row r="1314">
      <c r="A1314" s="12" t="n">
        <v>44557</v>
      </c>
      <c r="B1314" s="13" t="n">
        <v>-0.0696</v>
      </c>
      <c r="C1314" s="14">
        <f>B1314*100</f>
        <v/>
      </c>
    </row>
    <row r="1315">
      <c r="A1315" s="12" t="n">
        <v>44558</v>
      </c>
      <c r="B1315" s="13" t="n">
        <v>-0.0707</v>
      </c>
      <c r="C1315" s="14">
        <f>B1315*100</f>
        <v/>
      </c>
    </row>
    <row r="1316">
      <c r="A1316" s="12" t="n">
        <v>44559</v>
      </c>
      <c r="B1316" s="13" t="n">
        <v>-0.0501</v>
      </c>
      <c r="C1316" s="14">
        <f>B1316*100</f>
        <v/>
      </c>
    </row>
    <row r="1317">
      <c r="A1317" s="12" t="n">
        <v>44560</v>
      </c>
      <c r="B1317" s="13" t="n">
        <v>-0.0548</v>
      </c>
      <c r="C1317" s="14">
        <f>B1317*100</f>
        <v/>
      </c>
    </row>
    <row r="1318">
      <c r="A1318" s="12" t="n">
        <v>44561</v>
      </c>
      <c r="B1318" s="13" t="n">
        <v>-0.0588</v>
      </c>
      <c r="C1318" s="14">
        <f>B1318*100</f>
        <v/>
      </c>
    </row>
    <row r="1319">
      <c r="A1319" s="12" t="n">
        <v>44564</v>
      </c>
      <c r="B1319" s="13" t="n">
        <v>-0.0167</v>
      </c>
      <c r="C1319" s="14">
        <f>B1319*100</f>
        <v/>
      </c>
    </row>
    <row r="1320">
      <c r="A1320" s="12" t="n">
        <v>44565</v>
      </c>
      <c r="B1320" s="13" t="n">
        <v>0.0002</v>
      </c>
      <c r="C1320" s="14">
        <f>B1320*100</f>
        <v/>
      </c>
    </row>
    <row r="1321">
      <c r="A1321" s="12" t="n">
        <v>44566</v>
      </c>
      <c r="B1321" s="13" t="n">
        <v>0.0263</v>
      </c>
      <c r="C1321" s="14">
        <f>B1321*100</f>
        <v/>
      </c>
    </row>
    <row r="1322">
      <c r="A1322" s="12" t="n">
        <v>44567</v>
      </c>
      <c r="B1322" s="13" t="n">
        <v>0.0477</v>
      </c>
      <c r="C1322" s="14">
        <f>B1322*100</f>
        <v/>
      </c>
    </row>
    <row r="1323">
      <c r="A1323" s="12" t="n">
        <v>44568</v>
      </c>
      <c r="B1323" s="13" t="n">
        <v>0.0673</v>
      </c>
      <c r="C1323" s="14">
        <f>B1323*100</f>
        <v/>
      </c>
    </row>
    <row r="1324">
      <c r="A1324" s="12" t="n">
        <v>44571</v>
      </c>
      <c r="B1324" s="13" t="n">
        <v>0.0774</v>
      </c>
      <c r="C1324" s="14">
        <f>B1324*100</f>
        <v/>
      </c>
    </row>
    <row r="1325">
      <c r="A1325" s="12" t="n">
        <v>44572</v>
      </c>
      <c r="B1325" s="13" t="n">
        <v>0.0711</v>
      </c>
      <c r="C1325" s="14">
        <f>B1325*100</f>
        <v/>
      </c>
    </row>
    <row r="1326">
      <c r="A1326" s="12" t="n">
        <v>44573</v>
      </c>
      <c r="B1326" s="13" t="n">
        <v>0.065</v>
      </c>
      <c r="C1326" s="14">
        <f>B1326*100</f>
        <v/>
      </c>
    </row>
    <row r="1327">
      <c r="A1327" s="12" t="n">
        <v>44574</v>
      </c>
      <c r="B1327" s="13" t="n">
        <v>0.0486</v>
      </c>
      <c r="C1327" s="14">
        <f>B1327*100</f>
        <v/>
      </c>
    </row>
    <row r="1328">
      <c r="A1328" s="12" t="n">
        <v>44575</v>
      </c>
      <c r="B1328" s="13" t="n">
        <v>0.0764</v>
      </c>
      <c r="C1328" s="14">
        <f>B1328*100</f>
        <v/>
      </c>
    </row>
    <row r="1329">
      <c r="A1329" s="12" t="n">
        <v>44579</v>
      </c>
      <c r="B1329" s="13" t="n">
        <v>0.1132</v>
      </c>
      <c r="C1329" s="14">
        <f>B1329*100</f>
        <v/>
      </c>
    </row>
    <row r="1330">
      <c r="A1330" s="12" t="n">
        <v>44580</v>
      </c>
      <c r="B1330" s="13" t="n">
        <v>0.1079</v>
      </c>
      <c r="C1330" s="14">
        <f>B1330*100</f>
        <v/>
      </c>
    </row>
    <row r="1331">
      <c r="A1331" s="12" t="n">
        <v>44581</v>
      </c>
      <c r="B1331" s="13" t="n">
        <v>0.1035</v>
      </c>
      <c r="C1331" s="14">
        <f>B1331*100</f>
        <v/>
      </c>
    </row>
    <row r="1332">
      <c r="A1332" s="12" t="n">
        <v>44582</v>
      </c>
      <c r="B1332" s="13" t="n">
        <v>0.07190000000000001</v>
      </c>
      <c r="C1332" s="14">
        <f>B1332*100</f>
        <v/>
      </c>
    </row>
    <row r="1333">
      <c r="A1333" s="12" t="n">
        <v>44585</v>
      </c>
      <c r="B1333" s="13" t="n">
        <v>0.0584</v>
      </c>
      <c r="C1333" s="14">
        <f>B1333*100</f>
        <v/>
      </c>
    </row>
    <row r="1334">
      <c r="A1334" s="12" t="n">
        <v>44586</v>
      </c>
      <c r="B1334" s="13" t="n">
        <v>0.06619999999999999</v>
      </c>
      <c r="C1334" s="14">
        <f>B1334*100</f>
        <v/>
      </c>
    </row>
    <row r="1335">
      <c r="A1335" s="12" t="n">
        <v>44587</v>
      </c>
      <c r="B1335" s="13" t="n">
        <v>0.1015</v>
      </c>
      <c r="C1335" s="14">
        <f>B1335*100</f>
        <v/>
      </c>
    </row>
    <row r="1336">
      <c r="A1336" s="12" t="n">
        <v>44588</v>
      </c>
      <c r="B1336" s="13" t="n">
        <v>0.0994</v>
      </c>
      <c r="C1336" s="14">
        <f>B1336*100</f>
        <v/>
      </c>
    </row>
    <row r="1337">
      <c r="A1337" s="12" t="n">
        <v>44589</v>
      </c>
      <c r="B1337" s="13" t="n">
        <v>0.0789</v>
      </c>
      <c r="C1337" s="14">
        <f>B1337*100</f>
        <v/>
      </c>
    </row>
    <row r="1338">
      <c r="A1338" s="12" t="n">
        <v>44592</v>
      </c>
      <c r="B1338" s="13" t="n">
        <v>0.0721</v>
      </c>
      <c r="C1338" s="14">
        <f>B1338*100</f>
        <v/>
      </c>
    </row>
    <row r="1339">
      <c r="A1339" s="12" t="n">
        <v>44593</v>
      </c>
      <c r="B1339" s="13" t="n">
        <v>0.0735</v>
      </c>
      <c r="C1339" s="14">
        <f>B1339*100</f>
        <v/>
      </c>
    </row>
    <row r="1340">
      <c r="A1340" s="12" t="n">
        <v>44594</v>
      </c>
      <c r="B1340" s="13" t="n">
        <v>0.0641</v>
      </c>
      <c r="C1340" s="14">
        <f>B1340*100</f>
        <v/>
      </c>
    </row>
    <row r="1341">
      <c r="A1341" s="12" t="n">
        <v>44595</v>
      </c>
      <c r="B1341" s="13" t="n">
        <v>0.078</v>
      </c>
      <c r="C1341" s="14">
        <f>B1341*100</f>
        <v/>
      </c>
    </row>
    <row r="1342">
      <c r="A1342" s="12" t="n">
        <v>44596</v>
      </c>
      <c r="B1342" s="13" t="n">
        <v>0.124</v>
      </c>
      <c r="C1342" s="14">
        <f>B1342*100</f>
        <v/>
      </c>
    </row>
    <row r="1343">
      <c r="A1343" s="12" t="n">
        <v>44599</v>
      </c>
      <c r="B1343" s="13" t="n">
        <v>0.1219</v>
      </c>
      <c r="C1343" s="14">
        <f>B1343*100</f>
        <v/>
      </c>
    </row>
    <row r="1344">
      <c r="A1344" s="12" t="n">
        <v>44600</v>
      </c>
      <c r="B1344" s="13" t="n">
        <v>0.1375</v>
      </c>
      <c r="C1344" s="14">
        <f>B1344*100</f>
        <v/>
      </c>
    </row>
    <row r="1345">
      <c r="A1345" s="12" t="n">
        <v>44601</v>
      </c>
      <c r="B1345" s="13" t="n">
        <v>0.1408</v>
      </c>
      <c r="C1345" s="14">
        <f>B1345*100</f>
        <v/>
      </c>
    </row>
    <row r="1346">
      <c r="A1346" s="12" t="n">
        <v>44602</v>
      </c>
      <c r="B1346" s="13" t="n">
        <v>0.1787</v>
      </c>
      <c r="C1346" s="14">
        <f>B1346*100</f>
        <v/>
      </c>
    </row>
    <row r="1347">
      <c r="A1347" s="12" t="n">
        <v>44603</v>
      </c>
      <c r="B1347" s="13" t="n">
        <v>0.1368</v>
      </c>
      <c r="C1347" s="14">
        <f>B1347*100</f>
        <v/>
      </c>
    </row>
    <row r="1348">
      <c r="A1348" s="12" t="n">
        <v>44606</v>
      </c>
      <c r="B1348" s="13" t="n">
        <v>0.1441</v>
      </c>
      <c r="C1348" s="14">
        <f>B1348*100</f>
        <v/>
      </c>
    </row>
    <row r="1349">
      <c r="A1349" s="12" t="n">
        <v>44607</v>
      </c>
      <c r="B1349" s="13" t="n">
        <v>0.1615</v>
      </c>
      <c r="C1349" s="14">
        <f>B1349*100</f>
        <v/>
      </c>
    </row>
    <row r="1350">
      <c r="A1350" s="12" t="n">
        <v>44608</v>
      </c>
      <c r="B1350" s="13" t="n">
        <v>0.157</v>
      </c>
      <c r="C1350" s="14">
        <f>B1350*100</f>
        <v/>
      </c>
    </row>
    <row r="1351">
      <c r="A1351" s="12" t="n">
        <v>44609</v>
      </c>
      <c r="B1351" s="13" t="n">
        <v>0.138</v>
      </c>
      <c r="C1351" s="14">
        <f>B1351*100</f>
        <v/>
      </c>
    </row>
    <row r="1352">
      <c r="A1352" s="12" t="n">
        <v>44610</v>
      </c>
      <c r="B1352" s="13" t="n">
        <v>0.1211</v>
      </c>
      <c r="C1352" s="14">
        <f>B1352*100</f>
        <v/>
      </c>
    </row>
    <row r="1353">
      <c r="A1353" s="12" t="n">
        <v>44614</v>
      </c>
      <c r="B1353" s="13" t="n">
        <v>0.1216</v>
      </c>
      <c r="C1353" s="14">
        <f>B1353*100</f>
        <v/>
      </c>
    </row>
    <row r="1354">
      <c r="A1354" s="12" t="n">
        <v>44615</v>
      </c>
      <c r="B1354" s="13" t="n">
        <v>0.1372</v>
      </c>
      <c r="C1354" s="14">
        <f>B1354*100</f>
        <v/>
      </c>
    </row>
    <row r="1355">
      <c r="A1355" s="12" t="n">
        <v>44616</v>
      </c>
      <c r="B1355" s="13" t="n">
        <v>0.1312</v>
      </c>
      <c r="C1355" s="14">
        <f>B1355*100</f>
        <v/>
      </c>
    </row>
    <row r="1356">
      <c r="A1356" s="12" t="n">
        <v>44617</v>
      </c>
      <c r="B1356" s="13" t="n">
        <v>0.1391</v>
      </c>
      <c r="C1356" s="14">
        <f>B1356*100</f>
        <v/>
      </c>
    </row>
    <row r="1357">
      <c r="A1357" s="12" t="n">
        <v>44620</v>
      </c>
      <c r="B1357" s="13" t="n">
        <v>0.07679999999999999</v>
      </c>
      <c r="C1357" s="14">
        <f>B1357*100</f>
        <v/>
      </c>
    </row>
    <row r="1358">
      <c r="A1358" s="12" t="n">
        <v>44621</v>
      </c>
      <c r="B1358" s="13" t="n">
        <v>0.0117</v>
      </c>
      <c r="C1358" s="14">
        <f>B1358*100</f>
        <v/>
      </c>
    </row>
    <row r="1359">
      <c r="A1359" s="12" t="n">
        <v>44622</v>
      </c>
      <c r="B1359" s="13" t="n">
        <v>0.0638</v>
      </c>
      <c r="C1359" s="14">
        <f>B1359*100</f>
        <v/>
      </c>
    </row>
    <row r="1360">
      <c r="A1360" s="12" t="n">
        <v>44623</v>
      </c>
      <c r="B1360" s="13" t="n">
        <v>0.0684</v>
      </c>
      <c r="C1360" s="14">
        <f>B1360*100</f>
        <v/>
      </c>
    </row>
    <row r="1361">
      <c r="A1361" s="12" t="n">
        <v>44624</v>
      </c>
      <c r="B1361" s="13" t="n">
        <v>0.0239</v>
      </c>
      <c r="C1361" s="14">
        <f>B1361*100</f>
        <v/>
      </c>
    </row>
    <row r="1362">
      <c r="A1362" s="12" t="n">
        <v>44627</v>
      </c>
      <c r="B1362" s="13" t="n">
        <v>0.028</v>
      </c>
      <c r="C1362" s="14">
        <f>B1362*100</f>
        <v/>
      </c>
    </row>
    <row r="1363">
      <c r="A1363" s="12" t="n">
        <v>44628</v>
      </c>
      <c r="B1363" s="13" t="n">
        <v>0.0626</v>
      </c>
      <c r="C1363" s="14">
        <f>B1363*100</f>
        <v/>
      </c>
    </row>
    <row r="1364">
      <c r="A1364" s="12" t="n">
        <v>44629</v>
      </c>
      <c r="B1364" s="13" t="n">
        <v>0.0949</v>
      </c>
      <c r="C1364" s="14">
        <f>B1364*100</f>
        <v/>
      </c>
    </row>
    <row r="1365">
      <c r="A1365" s="12" t="n">
        <v>44630</v>
      </c>
      <c r="B1365" s="13" t="n">
        <v>0.1233</v>
      </c>
      <c r="C1365" s="14">
        <f>B1365*100</f>
        <v/>
      </c>
    </row>
    <row r="1366">
      <c r="A1366" s="12" t="n">
        <v>44631</v>
      </c>
      <c r="B1366" s="13" t="n">
        <v>0.1393</v>
      </c>
      <c r="C1366" s="14">
        <f>B1366*100</f>
        <v/>
      </c>
    </row>
    <row r="1367">
      <c r="A1367" s="12" t="n">
        <v>44634</v>
      </c>
      <c r="B1367" s="13" t="n">
        <v>0.1947</v>
      </c>
      <c r="C1367" s="14">
        <f>B1367*100</f>
        <v/>
      </c>
    </row>
    <row r="1368">
      <c r="A1368" s="12" t="n">
        <v>44635</v>
      </c>
      <c r="B1368" s="13" t="n">
        <v>0.2069</v>
      </c>
      <c r="C1368" s="14">
        <f>B1368*100</f>
        <v/>
      </c>
    </row>
    <row r="1369">
      <c r="A1369" s="12" t="n">
        <v>44636</v>
      </c>
      <c r="B1369" s="13" t="n">
        <v>0.2366</v>
      </c>
      <c r="C1369" s="14">
        <f>B1369*100</f>
        <v/>
      </c>
    </row>
    <row r="1370">
      <c r="A1370" s="12" t="n">
        <v>44637</v>
      </c>
      <c r="B1370" s="13" t="n">
        <v>0.2502</v>
      </c>
      <c r="C1370" s="14">
        <f>B1370*100</f>
        <v/>
      </c>
    </row>
    <row r="1371">
      <c r="A1371" s="12" t="n">
        <v>44638</v>
      </c>
      <c r="B1371" s="13" t="n">
        <v>0.2377</v>
      </c>
      <c r="C1371" s="14">
        <f>B1371*100</f>
        <v/>
      </c>
    </row>
    <row r="1372">
      <c r="A1372" s="12" t="n">
        <v>44641</v>
      </c>
      <c r="B1372" s="13" t="n">
        <v>0.297</v>
      </c>
      <c r="C1372" s="14">
        <f>B1372*100</f>
        <v/>
      </c>
    </row>
    <row r="1373">
      <c r="A1373" s="12" t="n">
        <v>44642</v>
      </c>
      <c r="B1373" s="13" t="n">
        <v>0.3307</v>
      </c>
      <c r="C1373" s="14">
        <f>B1373*100</f>
        <v/>
      </c>
    </row>
    <row r="1374">
      <c r="A1374" s="12" t="n">
        <v>44643</v>
      </c>
      <c r="B1374" s="13" t="n">
        <v>0.3191</v>
      </c>
      <c r="C1374" s="14">
        <f>B1374*100</f>
        <v/>
      </c>
    </row>
    <row r="1375">
      <c r="A1375" s="12" t="n">
        <v>44644</v>
      </c>
      <c r="B1375" s="13" t="n">
        <v>0.3255</v>
      </c>
      <c r="C1375" s="14">
        <f>B1375*100</f>
        <v/>
      </c>
    </row>
    <row r="1376">
      <c r="A1376" s="12" t="n">
        <v>44645</v>
      </c>
      <c r="B1376" s="13" t="n">
        <v>0.3918</v>
      </c>
      <c r="C1376" s="14">
        <f>B1376*100</f>
        <v/>
      </c>
    </row>
    <row r="1377">
      <c r="A1377" s="12" t="n">
        <v>44648</v>
      </c>
      <c r="B1377" s="13" t="n">
        <v>0.3914</v>
      </c>
      <c r="C1377" s="14">
        <f>B1377*100</f>
        <v/>
      </c>
    </row>
    <row r="1378">
      <c r="A1378" s="12" t="n">
        <v>44649</v>
      </c>
      <c r="B1378" s="13" t="n">
        <v>0.3684</v>
      </c>
      <c r="C1378" s="14">
        <f>B1378*100</f>
        <v/>
      </c>
    </row>
    <row r="1379">
      <c r="A1379" s="12" t="n">
        <v>44650</v>
      </c>
      <c r="B1379" s="13" t="n">
        <v>0.3389</v>
      </c>
      <c r="C1379" s="14">
        <f>B1379*100</f>
        <v/>
      </c>
    </row>
    <row r="1380">
      <c r="A1380" s="12" t="n">
        <v>44651</v>
      </c>
      <c r="B1380" s="13" t="n">
        <v>0.32</v>
      </c>
      <c r="C1380" s="14">
        <f>B1380*100</f>
        <v/>
      </c>
    </row>
    <row r="1381">
      <c r="A1381" s="12" t="n">
        <v>44652</v>
      </c>
      <c r="B1381" s="13" t="n">
        <v>0.3539</v>
      </c>
      <c r="C1381" s="14">
        <f>B1381*100</f>
        <v/>
      </c>
    </row>
    <row r="1382">
      <c r="A1382" s="12" t="n">
        <v>44655</v>
      </c>
      <c r="B1382" s="13" t="n">
        <v>0.3562</v>
      </c>
      <c r="C1382" s="14">
        <f>B1382*100</f>
        <v/>
      </c>
    </row>
    <row r="1383">
      <c r="A1383" s="12" t="n">
        <v>44656</v>
      </c>
      <c r="B1383" s="13" t="n">
        <v>0.4026</v>
      </c>
      <c r="C1383" s="14">
        <f>B1383*100</f>
        <v/>
      </c>
    </row>
    <row r="1384">
      <c r="A1384" s="12" t="n">
        <v>44657</v>
      </c>
      <c r="B1384" s="13" t="n">
        <v>0.4281</v>
      </c>
      <c r="C1384" s="14">
        <f>B1384*100</f>
        <v/>
      </c>
    </row>
    <row r="1385">
      <c r="A1385" s="12" t="n">
        <v>44658</v>
      </c>
      <c r="B1385" s="13" t="n">
        <v>0.4482</v>
      </c>
      <c r="C1385" s="14">
        <f>B1385*100</f>
        <v/>
      </c>
    </row>
    <row r="1386">
      <c r="A1386" s="12" t="n">
        <v>44659</v>
      </c>
      <c r="B1386" s="13" t="n">
        <v>0.4805</v>
      </c>
      <c r="C1386" s="14">
        <f>B1386*100</f>
        <v/>
      </c>
    </row>
    <row r="1387">
      <c r="A1387" s="12" t="n">
        <v>44662</v>
      </c>
      <c r="B1387" s="13" t="n">
        <v>0.4966</v>
      </c>
      <c r="C1387" s="14">
        <f>B1387*100</f>
        <v/>
      </c>
    </row>
    <row r="1388">
      <c r="A1388" s="12" t="n">
        <v>44663</v>
      </c>
      <c r="B1388" s="13" t="n">
        <v>0.4628</v>
      </c>
      <c r="C1388" s="14">
        <f>B1388*100</f>
        <v/>
      </c>
    </row>
    <row r="1389">
      <c r="A1389" s="12" t="n">
        <v>44664</v>
      </c>
      <c r="B1389" s="13" t="n">
        <v>0.4507</v>
      </c>
      <c r="C1389" s="14">
        <f>B1389*100</f>
        <v/>
      </c>
    </row>
    <row r="1390">
      <c r="A1390" s="12" t="n">
        <v>44665</v>
      </c>
      <c r="B1390" s="13" t="n">
        <v>0.4991</v>
      </c>
      <c r="C1390" s="14">
        <f>B1390*100</f>
        <v/>
      </c>
    </row>
    <row r="1391">
      <c r="A1391" s="12" t="n">
        <v>44669</v>
      </c>
      <c r="B1391" s="13" t="n">
        <v>0.5119</v>
      </c>
      <c r="C1391" s="14">
        <f>B1391*100</f>
        <v/>
      </c>
    </row>
    <row r="1392">
      <c r="A1392" s="12" t="n">
        <v>44670</v>
      </c>
      <c r="B1392" s="13" t="n">
        <v>0.5547</v>
      </c>
      <c r="C1392" s="14">
        <f>B1392*100</f>
        <v/>
      </c>
    </row>
    <row r="1393">
      <c r="A1393" s="12" t="n">
        <v>44671</v>
      </c>
      <c r="B1393" s="13" t="n">
        <v>0.5389</v>
      </c>
      <c r="C1393" s="14">
        <f>B1393*100</f>
        <v/>
      </c>
    </row>
    <row r="1394">
      <c r="A1394" s="12" t="n">
        <v>44672</v>
      </c>
      <c r="B1394" s="13" t="n">
        <v>0.5622</v>
      </c>
      <c r="C1394" s="14">
        <f>B1394*100</f>
        <v/>
      </c>
    </row>
    <row r="1395">
      <c r="A1395" s="12" t="n">
        <v>44673</v>
      </c>
      <c r="B1395" s="13" t="n">
        <v>0.5622</v>
      </c>
      <c r="C1395" s="14">
        <f>B1395*100</f>
        <v/>
      </c>
    </row>
    <row r="1396">
      <c r="A1396" s="12" t="n">
        <v>44676</v>
      </c>
      <c r="B1396" s="13" t="n">
        <v>0.51</v>
      </c>
      <c r="C1396" s="14">
        <f>B1396*100</f>
        <v/>
      </c>
    </row>
    <row r="1397">
      <c r="A1397" s="12" t="n">
        <v>44677</v>
      </c>
      <c r="B1397" s="13" t="n">
        <v>0.4752</v>
      </c>
      <c r="C1397" s="14">
        <f>B1397*100</f>
        <v/>
      </c>
    </row>
    <row r="1398">
      <c r="A1398" s="12" t="n">
        <v>44678</v>
      </c>
      <c r="B1398" s="13" t="n">
        <v>0.4848</v>
      </c>
      <c r="C1398" s="14">
        <f>B1398*100</f>
        <v/>
      </c>
    </row>
    <row r="1399">
      <c r="A1399" s="12" t="n">
        <v>44679</v>
      </c>
      <c r="B1399" s="13" t="n">
        <v>0.5063</v>
      </c>
      <c r="C1399" s="14">
        <f>B1399*100</f>
        <v/>
      </c>
    </row>
    <row r="1400">
      <c r="A1400" s="12" t="n">
        <v>44680</v>
      </c>
      <c r="B1400" s="13" t="n">
        <v>0.534</v>
      </c>
      <c r="C1400" s="14">
        <f>B1400*100</f>
        <v/>
      </c>
    </row>
    <row r="1401">
      <c r="A1401" s="12" t="n">
        <v>44683</v>
      </c>
      <c r="B1401" s="13" t="n">
        <v>0.5674</v>
      </c>
      <c r="C1401" s="14">
        <f>B1401*100</f>
        <v/>
      </c>
    </row>
    <row r="1402">
      <c r="A1402" s="12" t="n">
        <v>44684</v>
      </c>
      <c r="B1402" s="13" t="n">
        <v>0.5728</v>
      </c>
      <c r="C1402" s="14">
        <f>B1402*100</f>
        <v/>
      </c>
    </row>
    <row r="1403">
      <c r="A1403" s="12" t="n">
        <v>44685</v>
      </c>
      <c r="B1403" s="13" t="n">
        <v>0.55</v>
      </c>
      <c r="C1403" s="14">
        <f>B1403*100</f>
        <v/>
      </c>
    </row>
    <row r="1404">
      <c r="A1404" s="12" t="n">
        <v>44686</v>
      </c>
      <c r="B1404" s="13" t="n">
        <v>0.5935</v>
      </c>
      <c r="C1404" s="14">
        <f>B1404*100</f>
        <v/>
      </c>
    </row>
    <row r="1405">
      <c r="A1405" s="12" t="n">
        <v>44687</v>
      </c>
      <c r="B1405" s="13" t="n">
        <v>0.633</v>
      </c>
      <c r="C1405" s="14">
        <f>B1405*100</f>
        <v/>
      </c>
    </row>
    <row r="1406">
      <c r="A1406" s="12" t="n">
        <v>44690</v>
      </c>
      <c r="B1406" s="13" t="n">
        <v>0.5996</v>
      </c>
      <c r="C1406" s="14">
        <f>B1406*100</f>
        <v/>
      </c>
    </row>
    <row r="1407">
      <c r="A1407" s="12" t="n">
        <v>44691</v>
      </c>
      <c r="B1407" s="13" t="n">
        <v>0.5752</v>
      </c>
      <c r="C1407" s="14">
        <f>B1407*100</f>
        <v/>
      </c>
    </row>
    <row r="1408">
      <c r="A1408" s="12" t="n">
        <v>44692</v>
      </c>
      <c r="B1408" s="13" t="n">
        <v>0.5518999999999999</v>
      </c>
      <c r="C1408" s="14">
        <f>B1408*100</f>
        <v/>
      </c>
    </row>
    <row r="1409">
      <c r="A1409" s="12" t="n">
        <v>44693</v>
      </c>
      <c r="B1409" s="13" t="n">
        <v>0.5079</v>
      </c>
      <c r="C1409" s="14">
        <f>B1409*100</f>
        <v/>
      </c>
    </row>
    <row r="1410">
      <c r="A1410" s="12" t="n">
        <v>44694</v>
      </c>
      <c r="B1410" s="13" t="n">
        <v>0.5264</v>
      </c>
      <c r="C1410" s="14">
        <f>B1410*100</f>
        <v/>
      </c>
    </row>
    <row r="1411">
      <c r="A1411" s="12" t="n">
        <v>44697</v>
      </c>
      <c r="B1411" s="13" t="n">
        <v>0.4971</v>
      </c>
      <c r="C1411" s="14">
        <f>B1411*100</f>
        <v/>
      </c>
    </row>
    <row r="1412">
      <c r="A1412" s="12" t="n">
        <v>44698</v>
      </c>
      <c r="B1412" s="13" t="n">
        <v>0.5312</v>
      </c>
      <c r="C1412" s="14">
        <f>B1412*100</f>
        <v/>
      </c>
    </row>
    <row r="1413">
      <c r="A1413" s="12" t="n">
        <v>44699</v>
      </c>
      <c r="B1413" s="13" t="n">
        <v>0.5054</v>
      </c>
      <c r="C1413" s="14">
        <f>B1413*100</f>
        <v/>
      </c>
    </row>
    <row r="1414">
      <c r="A1414" s="12" t="n">
        <v>44700</v>
      </c>
      <c r="B1414" s="13" t="n">
        <v>0.4799</v>
      </c>
      <c r="C1414" s="14">
        <f>B1414*100</f>
        <v/>
      </c>
    </row>
    <row r="1415">
      <c r="A1415" s="12" t="n">
        <v>44701</v>
      </c>
      <c r="B1415" s="13" t="n">
        <v>0.4552</v>
      </c>
      <c r="C1415" s="14">
        <f>B1415*100</f>
        <v/>
      </c>
    </row>
    <row r="1416">
      <c r="A1416" s="12" t="n">
        <v>44704</v>
      </c>
      <c r="B1416" s="13" t="n">
        <v>0.4769</v>
      </c>
      <c r="C1416" s="14">
        <f>B1416*100</f>
        <v/>
      </c>
    </row>
    <row r="1417">
      <c r="A1417" s="12" t="n">
        <v>44705</v>
      </c>
      <c r="B1417" s="13" t="n">
        <v>0.434</v>
      </c>
      <c r="C1417" s="14">
        <f>B1417*100</f>
        <v/>
      </c>
    </row>
    <row r="1418">
      <c r="A1418" s="12" t="n">
        <v>44706</v>
      </c>
      <c r="B1418" s="13" t="n">
        <v>0.4152</v>
      </c>
      <c r="C1418" s="14">
        <f>B1418*100</f>
        <v/>
      </c>
    </row>
    <row r="1419">
      <c r="A1419" s="12" t="n">
        <v>44707</v>
      </c>
      <c r="B1419" s="13" t="n">
        <v>0.4094</v>
      </c>
      <c r="C1419" s="14">
        <f>B1419*100</f>
        <v/>
      </c>
    </row>
    <row r="1420">
      <c r="A1420" s="12" t="n">
        <v>44708</v>
      </c>
      <c r="B1420" s="13" t="n">
        <v>0.4099</v>
      </c>
      <c r="C1420" s="14">
        <f>B1420*100</f>
        <v/>
      </c>
    </row>
    <row r="1421">
      <c r="A1421" s="12" t="n">
        <v>44712</v>
      </c>
      <c r="B1421" s="13" t="n">
        <v>0.4417</v>
      </c>
      <c r="C1421" s="14">
        <f>B1421*100</f>
        <v/>
      </c>
    </row>
    <row r="1422">
      <c r="A1422" s="12" t="n">
        <v>44713</v>
      </c>
      <c r="B1422" s="13" t="n">
        <v>0.4892</v>
      </c>
      <c r="C1422" s="14">
        <f>B1422*100</f>
        <v/>
      </c>
    </row>
    <row r="1423">
      <c r="A1423" s="12" t="n">
        <v>44714</v>
      </c>
      <c r="B1423" s="13" t="n">
        <v>0.4907</v>
      </c>
      <c r="C1423" s="14">
        <f>B1423*100</f>
        <v/>
      </c>
    </row>
    <row r="1424">
      <c r="A1424" s="12" t="n">
        <v>44715</v>
      </c>
      <c r="B1424" s="13" t="n">
        <v>0.4997</v>
      </c>
      <c r="C1424" s="14">
        <f>B1424*100</f>
        <v/>
      </c>
    </row>
    <row r="1425">
      <c r="A1425" s="12" t="n">
        <v>44718</v>
      </c>
      <c r="B1425" s="13" t="n">
        <v>0.5301</v>
      </c>
      <c r="C1425" s="14">
        <f>B1425*100</f>
        <v/>
      </c>
    </row>
    <row r="1426">
      <c r="A1426" s="12" t="n">
        <v>44719</v>
      </c>
      <c r="B1426" s="13" t="n">
        <v>0.5151</v>
      </c>
      <c r="C1426" s="14">
        <f>B1426*100</f>
        <v/>
      </c>
    </row>
    <row r="1427">
      <c r="A1427" s="12" t="n">
        <v>44720</v>
      </c>
      <c r="B1427" s="13" t="n">
        <v>0.5239</v>
      </c>
      <c r="C1427" s="14">
        <f>B1427*100</f>
        <v/>
      </c>
    </row>
    <row r="1428">
      <c r="A1428" s="12" t="n">
        <v>44721</v>
      </c>
      <c r="B1428" s="13" t="n">
        <v>0.5314</v>
      </c>
      <c r="C1428" s="14">
        <f>B1428*100</f>
        <v/>
      </c>
    </row>
    <row r="1429">
      <c r="A1429" s="12" t="n">
        <v>44722</v>
      </c>
      <c r="B1429" s="13" t="n">
        <v>0.5873</v>
      </c>
      <c r="C1429" s="14">
        <f>B1429*100</f>
        <v/>
      </c>
    </row>
    <row r="1430">
      <c r="A1430" s="12" t="n">
        <v>44725</v>
      </c>
      <c r="B1430" s="13" t="n">
        <v>0.6825</v>
      </c>
      <c r="C1430" s="14">
        <f>B1430*100</f>
        <v/>
      </c>
    </row>
    <row r="1431">
      <c r="A1431" s="12" t="n">
        <v>44726</v>
      </c>
      <c r="B1431" s="13" t="n">
        <v>0.7000999999999999</v>
      </c>
      <c r="C1431" s="14">
        <f>B1431*100</f>
        <v/>
      </c>
    </row>
    <row r="1432">
      <c r="A1432" s="12" t="n">
        <v>44727</v>
      </c>
      <c r="B1432" s="13" t="n">
        <v>0.6176</v>
      </c>
      <c r="C1432" s="14">
        <f>B1432*100</f>
        <v/>
      </c>
    </row>
    <row r="1433">
      <c r="A1433" s="12" t="n">
        <v>44728</v>
      </c>
      <c r="B1433" s="13" t="n">
        <v>0.584</v>
      </c>
      <c r="C1433" s="14">
        <f>B1433*100</f>
        <v/>
      </c>
    </row>
    <row r="1434">
      <c r="A1434" s="12" t="n">
        <v>44729</v>
      </c>
      <c r="B1434" s="13" t="n">
        <v>0.5783</v>
      </c>
      <c r="C1434" s="14">
        <f>B1434*100</f>
        <v/>
      </c>
    </row>
    <row r="1435">
      <c r="A1435" s="12" t="n">
        <v>44733</v>
      </c>
      <c r="B1435" s="13" t="n">
        <v>0.583</v>
      </c>
      <c r="C1435" s="14">
        <f>B1435*100</f>
        <v/>
      </c>
    </row>
    <row r="1436">
      <c r="A1436" s="12" t="n">
        <v>44734</v>
      </c>
      <c r="B1436" s="13" t="n">
        <v>0.5207000000000001</v>
      </c>
      <c r="C1436" s="14">
        <f>B1436*100</f>
        <v/>
      </c>
    </row>
    <row r="1437">
      <c r="A1437" s="12" t="n">
        <v>44735</v>
      </c>
      <c r="B1437" s="13" t="n">
        <v>0.4726</v>
      </c>
      <c r="C1437" s="14">
        <f>B1437*100</f>
        <v/>
      </c>
    </row>
    <row r="1438">
      <c r="A1438" s="12" t="n">
        <v>44736</v>
      </c>
      <c r="B1438" s="13" t="n">
        <v>0.4663</v>
      </c>
      <c r="C1438" s="14">
        <f>B1438*100</f>
        <v/>
      </c>
    </row>
    <row r="1439">
      <c r="A1439" s="12" t="n">
        <v>44739</v>
      </c>
      <c r="B1439" s="13" t="n">
        <v>0.4825</v>
      </c>
      <c r="C1439" s="14">
        <f>B1439*100</f>
        <v/>
      </c>
    </row>
    <row r="1440">
      <c r="A1440" s="12" t="n">
        <v>44740</v>
      </c>
      <c r="B1440" s="13" t="n">
        <v>0.4837</v>
      </c>
      <c r="C1440" s="14">
        <f>B1440*100</f>
        <v/>
      </c>
    </row>
    <row r="1441">
      <c r="A1441" s="12" t="n">
        <v>44741</v>
      </c>
      <c r="B1441" s="13" t="n">
        <v>0.4462</v>
      </c>
      <c r="C1441" s="14">
        <f>B1441*100</f>
        <v/>
      </c>
    </row>
    <row r="1442">
      <c r="A1442" s="12" t="n">
        <v>44742</v>
      </c>
      <c r="B1442" s="13" t="n">
        <v>0.389</v>
      </c>
      <c r="C1442" s="14">
        <f>B1442*100</f>
        <v/>
      </c>
    </row>
    <row r="1443">
      <c r="A1443" s="12" t="n">
        <v>44743</v>
      </c>
      <c r="B1443" s="13" t="n">
        <v>0.3228</v>
      </c>
      <c r="C1443" s="14">
        <f>B1443*100</f>
        <v/>
      </c>
    </row>
    <row r="1444">
      <c r="A1444" s="12" t="n">
        <v>44747</v>
      </c>
      <c r="B1444" s="13" t="n">
        <v>0.2772</v>
      </c>
      <c r="C1444" s="14">
        <f>B1444*100</f>
        <v/>
      </c>
    </row>
    <row r="1445">
      <c r="A1445" s="12" t="n">
        <v>44748</v>
      </c>
      <c r="B1445" s="13" t="n">
        <v>0.3081</v>
      </c>
      <c r="C1445" s="14">
        <f>B1445*100</f>
        <v/>
      </c>
    </row>
    <row r="1446">
      <c r="A1446" s="12" t="n">
        <v>44749</v>
      </c>
      <c r="B1446" s="13" t="n">
        <v>0.3386</v>
      </c>
      <c r="C1446" s="14">
        <f>B1446*100</f>
        <v/>
      </c>
    </row>
    <row r="1447">
      <c r="A1447" s="12" t="n">
        <v>44750</v>
      </c>
      <c r="B1447" s="13" t="n">
        <v>0.3757</v>
      </c>
      <c r="C1447" s="14">
        <f>B1447*100</f>
        <v/>
      </c>
    </row>
    <row r="1448">
      <c r="A1448" s="12" t="n">
        <v>44753</v>
      </c>
      <c r="B1448" s="13" t="n">
        <v>0.3286</v>
      </c>
      <c r="C1448" s="14">
        <f>B1448*100</f>
        <v/>
      </c>
    </row>
    <row r="1449">
      <c r="A1449" s="12" t="n">
        <v>44754</v>
      </c>
      <c r="B1449" s="13" t="n">
        <v>0.2901</v>
      </c>
      <c r="C1449" s="14">
        <f>B1449*100</f>
        <v/>
      </c>
    </row>
    <row r="1450">
      <c r="A1450" s="12" t="n">
        <v>44755</v>
      </c>
      <c r="B1450" s="13" t="n">
        <v>0.2564</v>
      </c>
      <c r="C1450" s="14">
        <f>B1450*100</f>
        <v/>
      </c>
    </row>
    <row r="1451">
      <c r="A1451" s="12" t="n">
        <v>44756</v>
      </c>
      <c r="B1451" s="13" t="n">
        <v>0.2533</v>
      </c>
      <c r="C1451" s="14">
        <f>B1451*100</f>
        <v/>
      </c>
    </row>
    <row r="1452">
      <c r="A1452" s="12" t="n">
        <v>44757</v>
      </c>
      <c r="B1452" s="13" t="n">
        <v>0.2428</v>
      </c>
      <c r="C1452" s="14">
        <f>B1452*100</f>
        <v/>
      </c>
    </row>
    <row r="1453">
      <c r="A1453" s="12" t="n">
        <v>44760</v>
      </c>
      <c r="B1453" s="13" t="n">
        <v>0.2352</v>
      </c>
      <c r="C1453" s="14">
        <f>B1453*100</f>
        <v/>
      </c>
    </row>
    <row r="1454">
      <c r="A1454" s="12" t="n">
        <v>44761</v>
      </c>
      <c r="B1454" s="13" t="n">
        <v>0.2497</v>
      </c>
      <c r="C1454" s="14">
        <f>B1454*100</f>
        <v/>
      </c>
    </row>
    <row r="1455">
      <c r="A1455" s="12" t="n">
        <v>44762</v>
      </c>
      <c r="B1455" s="13" t="n">
        <v>0.264</v>
      </c>
      <c r="C1455" s="14">
        <f>B1455*100</f>
        <v/>
      </c>
    </row>
    <row r="1456">
      <c r="A1456" s="12" t="n">
        <v>44763</v>
      </c>
      <c r="B1456" s="13" t="n">
        <v>0.2026</v>
      </c>
      <c r="C1456" s="14">
        <f>B1456*100</f>
        <v/>
      </c>
    </row>
    <row r="1457">
      <c r="A1457" s="12" t="n">
        <v>44764</v>
      </c>
      <c r="B1457" s="13" t="n">
        <v>0.1365</v>
      </c>
      <c r="C1457" s="14">
        <f>B1457*100</f>
        <v/>
      </c>
    </row>
    <row r="1458">
      <c r="A1458" s="12" t="n">
        <v>44767</v>
      </c>
      <c r="B1458" s="13" t="n">
        <v>0.1234</v>
      </c>
      <c r="C1458" s="14">
        <f>B1458*100</f>
        <v/>
      </c>
    </row>
    <row r="1459">
      <c r="A1459" s="12" t="n">
        <v>44768</v>
      </c>
      <c r="B1459" s="13" t="n">
        <v>0.1207</v>
      </c>
      <c r="C1459" s="14">
        <f>B1459*100</f>
        <v/>
      </c>
    </row>
    <row r="1460">
      <c r="A1460" s="12" t="n">
        <v>44769</v>
      </c>
      <c r="B1460" s="13" t="n">
        <v>0.1066</v>
      </c>
      <c r="C1460" s="14">
        <f>B1460*100</f>
        <v/>
      </c>
    </row>
    <row r="1461">
      <c r="A1461" s="12" t="n">
        <v>44770</v>
      </c>
      <c r="B1461" s="13" t="n">
        <v>0.0618</v>
      </c>
      <c r="C1461" s="14">
        <f>B1461*100</f>
        <v/>
      </c>
    </row>
    <row r="1462">
      <c r="A1462" s="12" t="n">
        <v>44771</v>
      </c>
      <c r="B1462" s="13" t="n">
        <v>0.0544</v>
      </c>
      <c r="C1462" s="14">
        <f>B1462*100</f>
        <v/>
      </c>
    </row>
    <row r="1463">
      <c r="A1463" s="12" t="n">
        <v>44774</v>
      </c>
      <c r="B1463" s="13" t="n">
        <v>0.021</v>
      </c>
      <c r="C1463" s="14">
        <f>B1463*100</f>
        <v/>
      </c>
    </row>
    <row r="1464">
      <c r="A1464" s="12" t="n">
        <v>44775</v>
      </c>
      <c r="B1464" s="13" t="n">
        <v>0.075</v>
      </c>
      <c r="C1464" s="14">
        <f>B1464*100</f>
        <v/>
      </c>
    </row>
    <row r="1465">
      <c r="A1465" s="12" t="n">
        <v>44776</v>
      </c>
      <c r="B1465" s="13" t="n">
        <v>0.08359999999999999</v>
      </c>
      <c r="C1465" s="14">
        <f>B1465*100</f>
        <v/>
      </c>
    </row>
    <row r="1466">
      <c r="A1466" s="12" t="n">
        <v>44777</v>
      </c>
      <c r="B1466" s="13" t="n">
        <v>0.0564</v>
      </c>
      <c r="C1466" s="14">
        <f>B1466*100</f>
        <v/>
      </c>
    </row>
    <row r="1467">
      <c r="A1467" s="12" t="n">
        <v>44778</v>
      </c>
      <c r="B1467" s="13" t="n">
        <v>0.116</v>
      </c>
      <c r="C1467" s="14">
        <f>B1467*100</f>
        <v/>
      </c>
    </row>
    <row r="1468">
      <c r="A1468" s="12" t="n">
        <v>44781</v>
      </c>
      <c r="B1468" s="13" t="n">
        <v>0.0948</v>
      </c>
      <c r="C1468" s="14">
        <f>B1468*100</f>
        <v/>
      </c>
    </row>
    <row r="1469">
      <c r="A1469" s="12" t="n">
        <v>44782</v>
      </c>
      <c r="B1469" s="13" t="n">
        <v>0.09959999999999999</v>
      </c>
      <c r="C1469" s="14">
        <f>B1469*100</f>
        <v/>
      </c>
    </row>
    <row r="1470">
      <c r="A1470" s="12" t="n">
        <v>44783</v>
      </c>
      <c r="B1470" s="13" t="n">
        <v>0.0895</v>
      </c>
      <c r="C1470" s="14">
        <f>B1470*100</f>
        <v/>
      </c>
    </row>
    <row r="1471">
      <c r="A1471" s="12" t="n">
        <v>44784</v>
      </c>
      <c r="B1471" s="13" t="n">
        <v>0.1194</v>
      </c>
      <c r="C1471" s="14">
        <f>B1471*100</f>
        <v/>
      </c>
    </row>
    <row r="1472">
      <c r="A1472" s="12" t="n">
        <v>44785</v>
      </c>
      <c r="B1472" s="13" t="n">
        <v>0.121</v>
      </c>
      <c r="C1472" s="14">
        <f>B1472*100</f>
        <v/>
      </c>
    </row>
    <row r="1473">
      <c r="A1473" s="12" t="n">
        <v>44788</v>
      </c>
      <c r="B1473" s="13" t="n">
        <v>0.0934</v>
      </c>
      <c r="C1473" s="14">
        <f>B1473*100</f>
        <v/>
      </c>
    </row>
    <row r="1474">
      <c r="A1474" s="12" t="n">
        <v>44789</v>
      </c>
      <c r="B1474" s="13" t="n">
        <v>0.1</v>
      </c>
      <c r="C1474" s="14">
        <f>B1474*100</f>
        <v/>
      </c>
    </row>
    <row r="1475">
      <c r="A1475" s="12" t="n">
        <v>44790</v>
      </c>
      <c r="B1475" s="13" t="n">
        <v>0.1331</v>
      </c>
      <c r="C1475" s="14">
        <f>B1475*100</f>
        <v/>
      </c>
    </row>
    <row r="1476">
      <c r="A1476" s="12" t="n">
        <v>44791</v>
      </c>
      <c r="B1476" s="13" t="n">
        <v>0.1326</v>
      </c>
      <c r="C1476" s="14">
        <f>B1476*100</f>
        <v/>
      </c>
    </row>
    <row r="1477">
      <c r="A1477" s="12" t="n">
        <v>44792</v>
      </c>
      <c r="B1477" s="13" t="n">
        <v>0.1691</v>
      </c>
      <c r="C1477" s="14">
        <f>B1477*100</f>
        <v/>
      </c>
    </row>
    <row r="1478">
      <c r="A1478" s="12" t="n">
        <v>44795</v>
      </c>
      <c r="B1478" s="13" t="n">
        <v>0.1955</v>
      </c>
      <c r="C1478" s="14">
        <f>B1478*100</f>
        <v/>
      </c>
    </row>
    <row r="1479">
      <c r="A1479" s="12" t="n">
        <v>44796</v>
      </c>
      <c r="B1479" s="13" t="n">
        <v>0.2065</v>
      </c>
      <c r="C1479" s="14">
        <f>B1479*100</f>
        <v/>
      </c>
    </row>
    <row r="1480">
      <c r="A1480" s="12" t="n">
        <v>44797</v>
      </c>
      <c r="B1480" s="13" t="n">
        <v>0.2325</v>
      </c>
      <c r="C1480" s="14">
        <f>B1480*100</f>
        <v/>
      </c>
    </row>
    <row r="1481">
      <c r="A1481" s="12" t="n">
        <v>44798</v>
      </c>
      <c r="B1481" s="13" t="n">
        <v>0.209</v>
      </c>
      <c r="C1481" s="14">
        <f>B1481*100</f>
        <v/>
      </c>
    </row>
    <row r="1482">
      <c r="A1482" s="12" t="n">
        <v>44799</v>
      </c>
      <c r="B1482" s="13" t="n">
        <v>0.2142</v>
      </c>
      <c r="C1482" s="14">
        <f>B1482*100</f>
        <v/>
      </c>
    </row>
    <row r="1483">
      <c r="A1483" s="12" t="n">
        <v>44802</v>
      </c>
      <c r="B1483" s="13" t="n">
        <v>0.2304</v>
      </c>
      <c r="C1483" s="14">
        <f>B1483*100</f>
        <v/>
      </c>
    </row>
    <row r="1484">
      <c r="A1484" s="12" t="n">
        <v>44803</v>
      </c>
      <c r="B1484" s="13" t="n">
        <v>0.2329</v>
      </c>
      <c r="C1484" s="14">
        <f>B1484*100</f>
        <v/>
      </c>
    </row>
    <row r="1485">
      <c r="A1485" s="12" t="n">
        <v>44804</v>
      </c>
      <c r="B1485" s="13" t="n">
        <v>0.2419</v>
      </c>
      <c r="C1485" s="14">
        <f>B1485*100</f>
        <v/>
      </c>
    </row>
    <row r="1486">
      <c r="A1486" s="12" t="n">
        <v>44805</v>
      </c>
      <c r="B1486" s="13" t="n">
        <v>0.2854</v>
      </c>
      <c r="C1486" s="14">
        <f>B1486*100</f>
        <v/>
      </c>
    </row>
    <row r="1487">
      <c r="A1487" s="12" t="n">
        <v>44806</v>
      </c>
      <c r="B1487" s="13" t="n">
        <v>0.2692</v>
      </c>
      <c r="C1487" s="14">
        <f>B1487*100</f>
        <v/>
      </c>
    </row>
    <row r="1488">
      <c r="A1488" s="12" t="n">
        <v>44810</v>
      </c>
      <c r="B1488" s="13" t="n">
        <v>0.3095</v>
      </c>
      <c r="C1488" s="14">
        <f>B1488*100</f>
        <v/>
      </c>
    </row>
    <row r="1489">
      <c r="A1489" s="12" t="n">
        <v>44811</v>
      </c>
      <c r="B1489" s="13" t="n">
        <v>0.2906</v>
      </c>
      <c r="C1489" s="14">
        <f>B1489*100</f>
        <v/>
      </c>
    </row>
    <row r="1490">
      <c r="A1490" s="12" t="n">
        <v>44812</v>
      </c>
      <c r="B1490" s="13" t="n">
        <v>0.2937</v>
      </c>
      <c r="C1490" s="14">
        <f>B1490*100</f>
        <v/>
      </c>
    </row>
    <row r="1491">
      <c r="A1491" s="12" t="n">
        <v>44813</v>
      </c>
      <c r="B1491" s="13" t="n">
        <v>0.3072</v>
      </c>
      <c r="C1491" s="14">
        <f>B1491*100</f>
        <v/>
      </c>
    </row>
    <row r="1492">
      <c r="A1492" s="12" t="n">
        <v>44816</v>
      </c>
      <c r="B1492" s="13" t="n">
        <v>0.31</v>
      </c>
      <c r="C1492" s="14">
        <f>B1492*100</f>
        <v/>
      </c>
    </row>
    <row r="1493">
      <c r="A1493" s="12" t="n">
        <v>44817</v>
      </c>
      <c r="B1493" s="13" t="n">
        <v>0.3268</v>
      </c>
      <c r="C1493" s="14">
        <f>B1493*100</f>
        <v/>
      </c>
    </row>
    <row r="1494">
      <c r="A1494" s="12" t="n">
        <v>44818</v>
      </c>
      <c r="B1494" s="13" t="n">
        <v>0.3222</v>
      </c>
      <c r="C1494" s="14">
        <f>B1494*100</f>
        <v/>
      </c>
    </row>
    <row r="1495">
      <c r="A1495" s="12" t="n">
        <v>44819</v>
      </c>
      <c r="B1495" s="13" t="n">
        <v>0.3397</v>
      </c>
      <c r="C1495" s="14">
        <f>B1495*100</f>
        <v/>
      </c>
    </row>
    <row r="1496">
      <c r="A1496" s="12" t="n">
        <v>44820</v>
      </c>
      <c r="B1496" s="13" t="n">
        <v>0.3342</v>
      </c>
      <c r="C1496" s="14">
        <f>B1496*100</f>
        <v/>
      </c>
    </row>
    <row r="1497">
      <c r="A1497" s="12" t="n">
        <v>44823</v>
      </c>
      <c r="B1497" s="13" t="n">
        <v>0.339</v>
      </c>
      <c r="C1497" s="14">
        <f>B1497*100</f>
        <v/>
      </c>
    </row>
    <row r="1498">
      <c r="A1498" s="12" t="n">
        <v>44824</v>
      </c>
      <c r="B1498" s="13" t="n">
        <v>0.366</v>
      </c>
      <c r="C1498" s="14">
        <f>B1498*100</f>
        <v/>
      </c>
    </row>
    <row r="1499">
      <c r="A1499" s="12" t="n">
        <v>44825</v>
      </c>
      <c r="B1499" s="13" t="n">
        <v>0.3618</v>
      </c>
      <c r="C1499" s="14">
        <f>B1499*100</f>
        <v/>
      </c>
    </row>
    <row r="1500">
      <c r="A1500" s="12" t="n">
        <v>44826</v>
      </c>
      <c r="B1500" s="13" t="n">
        <v>0.4323</v>
      </c>
      <c r="C1500" s="14">
        <f>B1500*100</f>
        <v/>
      </c>
    </row>
    <row r="1501">
      <c r="A1501" s="12" t="n">
        <v>44827</v>
      </c>
      <c r="B1501" s="13" t="n">
        <v>0.4584</v>
      </c>
      <c r="C1501" s="14">
        <f>B1501*100</f>
        <v/>
      </c>
    </row>
    <row r="1502">
      <c r="A1502" s="12" t="n">
        <v>44830</v>
      </c>
      <c r="B1502" s="13" t="n">
        <v>0.5291</v>
      </c>
      <c r="C1502" s="14">
        <f>B1502*100</f>
        <v/>
      </c>
    </row>
    <row r="1503">
      <c r="A1503" s="12" t="n">
        <v>44831</v>
      </c>
      <c r="B1503" s="13" t="n">
        <v>0.5774</v>
      </c>
      <c r="C1503" s="14">
        <f>B1503*100</f>
        <v/>
      </c>
    </row>
    <row r="1504">
      <c r="A1504" s="12" t="n">
        <v>44832</v>
      </c>
      <c r="B1504" s="13" t="n">
        <v>0.4845</v>
      </c>
      <c r="C1504" s="14">
        <f>B1504*100</f>
        <v/>
      </c>
    </row>
    <row r="1505">
      <c r="A1505" s="12" t="n">
        <v>44833</v>
      </c>
      <c r="B1505" s="13" t="n">
        <v>0.4863</v>
      </c>
      <c r="C1505" s="14">
        <f>B1505*100</f>
        <v/>
      </c>
    </row>
    <row r="1506">
      <c r="A1506" s="12" t="n">
        <v>44834</v>
      </c>
      <c r="B1506" s="13" t="n">
        <v>0.5169</v>
      </c>
      <c r="C1506" s="14">
        <f>B1506*100</f>
        <v/>
      </c>
    </row>
    <row r="1507">
      <c r="A1507" s="12" t="n">
        <v>44837</v>
      </c>
      <c r="B1507" s="13" t="n">
        <v>0.4509</v>
      </c>
      <c r="C1507" s="14">
        <f>B1507*100</f>
        <v/>
      </c>
    </row>
    <row r="1508">
      <c r="A1508" s="12" t="n">
        <v>44838</v>
      </c>
      <c r="B1508" s="13" t="n">
        <v>0.4088</v>
      </c>
      <c r="C1508" s="14">
        <f>B1508*100</f>
        <v/>
      </c>
    </row>
    <row r="1509">
      <c r="A1509" s="12" t="n">
        <v>44839</v>
      </c>
      <c r="B1509" s="13" t="n">
        <v>0.4514</v>
      </c>
      <c r="C1509" s="14">
        <f>B1509*100</f>
        <v/>
      </c>
    </row>
    <row r="1510">
      <c r="A1510" s="12" t="n">
        <v>44840</v>
      </c>
      <c r="B1510" s="13" t="n">
        <v>0.4908</v>
      </c>
      <c r="C1510" s="14">
        <f>B1510*100</f>
        <v/>
      </c>
    </row>
    <row r="1511">
      <c r="A1511" s="12" t="n">
        <v>44841</v>
      </c>
      <c r="B1511" s="13" t="n">
        <v>0.5241</v>
      </c>
      <c r="C1511" s="14">
        <f>B1511*100</f>
        <v/>
      </c>
    </row>
    <row r="1512">
      <c r="A1512" s="12" t="n">
        <v>44845</v>
      </c>
      <c r="B1512" s="13" t="n">
        <v>0.5328000000000001</v>
      </c>
      <c r="C1512" s="14">
        <f>B1512*100</f>
        <v/>
      </c>
    </row>
    <row r="1513">
      <c r="A1513" s="12" t="n">
        <v>44846</v>
      </c>
      <c r="B1513" s="13" t="n">
        <v>0.518</v>
      </c>
      <c r="C1513" s="14">
        <f>B1513*100</f>
        <v/>
      </c>
    </row>
    <row r="1514">
      <c r="A1514" s="12" t="n">
        <v>44847</v>
      </c>
      <c r="B1514" s="13" t="n">
        <v>0.538</v>
      </c>
      <c r="C1514" s="14">
        <f>B1514*100</f>
        <v/>
      </c>
    </row>
    <row r="1515">
      <c r="A1515" s="12" t="n">
        <v>44848</v>
      </c>
      <c r="B1515" s="13" t="n">
        <v>0.5487</v>
      </c>
      <c r="C1515" s="14">
        <f>B1515*100</f>
        <v/>
      </c>
    </row>
    <row r="1516">
      <c r="A1516" s="12" t="n">
        <v>44851</v>
      </c>
      <c r="B1516" s="13" t="n">
        <v>0.5333</v>
      </c>
      <c r="C1516" s="14">
        <f>B1516*100</f>
        <v/>
      </c>
    </row>
    <row r="1517">
      <c r="A1517" s="12" t="n">
        <v>44852</v>
      </c>
      <c r="B1517" s="13" t="n">
        <v>0.5091</v>
      </c>
      <c r="C1517" s="14">
        <f>B1517*100</f>
        <v/>
      </c>
    </row>
    <row r="1518">
      <c r="A1518" s="12" t="n">
        <v>44853</v>
      </c>
      <c r="B1518" s="13" t="n">
        <v>0.5475</v>
      </c>
      <c r="C1518" s="14">
        <f>B1518*100</f>
        <v/>
      </c>
    </row>
    <row r="1519">
      <c r="A1519" s="12" t="n">
        <v>44854</v>
      </c>
      <c r="B1519" s="13" t="n">
        <v>0.5903</v>
      </c>
      <c r="C1519" s="14">
        <f>B1519*100</f>
        <v/>
      </c>
    </row>
    <row r="1520">
      <c r="A1520" s="12" t="n">
        <v>44855</v>
      </c>
      <c r="B1520" s="13" t="n">
        <v>0.5784</v>
      </c>
      <c r="C1520" s="14">
        <f>B1520*100</f>
        <v/>
      </c>
    </row>
    <row r="1521">
      <c r="A1521" s="12" t="n">
        <v>44858</v>
      </c>
      <c r="B1521" s="13" t="n">
        <v>0.5835</v>
      </c>
      <c r="C1521" s="14">
        <f>B1521*100</f>
        <v/>
      </c>
    </row>
    <row r="1522">
      <c r="A1522" s="12" t="n">
        <v>44859</v>
      </c>
      <c r="B1522" s="13" t="n">
        <v>0.538</v>
      </c>
      <c r="C1522" s="14">
        <f>B1522*100</f>
        <v/>
      </c>
    </row>
    <row r="1523">
      <c r="A1523" s="12" t="n">
        <v>44860</v>
      </c>
      <c r="B1523" s="13" t="n">
        <v>0.504</v>
      </c>
      <c r="C1523" s="14">
        <f>B1523*100</f>
        <v/>
      </c>
    </row>
    <row r="1524">
      <c r="A1524" s="12" t="n">
        <v>44861</v>
      </c>
      <c r="B1524" s="13" t="n">
        <v>0.4638</v>
      </c>
      <c r="C1524" s="14">
        <f>B1524*100</f>
        <v/>
      </c>
    </row>
    <row r="1525">
      <c r="A1525" s="12" t="n">
        <v>44862</v>
      </c>
      <c r="B1525" s="13" t="n">
        <v>0.4838</v>
      </c>
      <c r="C1525" s="14">
        <f>B1525*100</f>
        <v/>
      </c>
    </row>
    <row r="1526">
      <c r="A1526" s="12" t="n">
        <v>44865</v>
      </c>
      <c r="B1526" s="13" t="n">
        <v>0.5054999999999999</v>
      </c>
      <c r="C1526" s="14">
        <f>B1526*100</f>
        <v/>
      </c>
    </row>
    <row r="1527">
      <c r="A1527" s="12" t="n">
        <v>44866</v>
      </c>
      <c r="B1527" s="13" t="n">
        <v>0.5052</v>
      </c>
      <c r="C1527" s="14">
        <f>B1527*100</f>
        <v/>
      </c>
    </row>
    <row r="1528">
      <c r="A1528" s="12" t="n">
        <v>44867</v>
      </c>
      <c r="B1528" s="13" t="n">
        <v>0.511</v>
      </c>
      <c r="C1528" s="14">
        <f>B1528*100</f>
        <v/>
      </c>
    </row>
    <row r="1529">
      <c r="A1529" s="12" t="n">
        <v>44868</v>
      </c>
      <c r="B1529" s="13" t="n">
        <v>0.5325</v>
      </c>
      <c r="C1529" s="14">
        <f>B1529*100</f>
        <v/>
      </c>
    </row>
    <row r="1530">
      <c r="A1530" s="12" t="n">
        <v>44869</v>
      </c>
      <c r="B1530" s="13" t="n">
        <v>0.5394</v>
      </c>
      <c r="C1530" s="14">
        <f>B1530*100</f>
        <v/>
      </c>
    </row>
    <row r="1531">
      <c r="A1531" s="12" t="n">
        <v>44872</v>
      </c>
      <c r="B1531" s="13" t="n">
        <v>0.5583</v>
      </c>
      <c r="C1531" s="14">
        <f>B1531*100</f>
        <v/>
      </c>
    </row>
    <row r="1532">
      <c r="A1532" s="12" t="n">
        <v>44873</v>
      </c>
      <c r="B1532" s="13" t="n">
        <v>0.5282</v>
      </c>
      <c r="C1532" s="14">
        <f>B1532*100</f>
        <v/>
      </c>
    </row>
    <row r="1533">
      <c r="A1533" s="12" t="n">
        <v>44874</v>
      </c>
      <c r="B1533" s="13" t="n">
        <v>0.5127</v>
      </c>
      <c r="C1533" s="14">
        <f>B1533*100</f>
        <v/>
      </c>
    </row>
    <row r="1534">
      <c r="A1534" s="12" t="n">
        <v>44875</v>
      </c>
      <c r="B1534" s="13" t="n">
        <v>0.3746</v>
      </c>
      <c r="C1534" s="14">
        <f>B1534*100</f>
        <v/>
      </c>
    </row>
    <row r="1535">
      <c r="A1535" s="12" t="n">
        <v>44879</v>
      </c>
      <c r="B1535" s="13" t="n">
        <v>0.3593</v>
      </c>
      <c r="C1535" s="14">
        <f>B1535*100</f>
        <v/>
      </c>
    </row>
    <row r="1536">
      <c r="A1536" s="12" t="n">
        <v>44880</v>
      </c>
      <c r="B1536" s="13" t="n">
        <v>0.3227</v>
      </c>
      <c r="C1536" s="14">
        <f>B1536*100</f>
        <v/>
      </c>
    </row>
    <row r="1537">
      <c r="A1537" s="12" t="n">
        <v>44881</v>
      </c>
      <c r="B1537" s="13" t="n">
        <v>0.2659</v>
      </c>
      <c r="C1537" s="14">
        <f>B1537*100</f>
        <v/>
      </c>
    </row>
    <row r="1538">
      <c r="A1538" s="12" t="n">
        <v>44882</v>
      </c>
      <c r="B1538" s="13" t="n">
        <v>0.2864</v>
      </c>
      <c r="C1538" s="14">
        <f>B1538*100</f>
        <v/>
      </c>
    </row>
    <row r="1539">
      <c r="A1539" s="12" t="n">
        <v>44883</v>
      </c>
      <c r="B1539" s="13" t="n">
        <v>0.3073</v>
      </c>
      <c r="C1539" s="14">
        <f>B1539*100</f>
        <v/>
      </c>
    </row>
    <row r="1540">
      <c r="A1540" s="12" t="n">
        <v>44886</v>
      </c>
      <c r="B1540" s="13" t="n">
        <v>0.3176</v>
      </c>
      <c r="C1540" s="14">
        <f>B1540*100</f>
        <v/>
      </c>
    </row>
    <row r="1541">
      <c r="A1541" s="12" t="n">
        <v>44887</v>
      </c>
      <c r="B1541" s="13" t="n">
        <v>0.2838</v>
      </c>
      <c r="C1541" s="14">
        <f>B1541*100</f>
        <v/>
      </c>
    </row>
    <row r="1542">
      <c r="A1542" s="12" t="n">
        <v>44888</v>
      </c>
      <c r="B1542" s="13" t="n">
        <v>0.2493</v>
      </c>
      <c r="C1542" s="14">
        <f>B1542*100</f>
        <v/>
      </c>
    </row>
    <row r="1543">
      <c r="A1543" s="12" t="n">
        <v>44890</v>
      </c>
      <c r="B1543" s="13" t="n">
        <v>0.2252</v>
      </c>
      <c r="C1543" s="14">
        <f>B1543*100</f>
        <v/>
      </c>
    </row>
    <row r="1544">
      <c r="A1544" s="12" t="n">
        <v>44893</v>
      </c>
      <c r="B1544" s="13" t="n">
        <v>0.2188</v>
      </c>
      <c r="C1544" s="14">
        <f>B1544*100</f>
        <v/>
      </c>
    </row>
    <row r="1545">
      <c r="A1545" s="12" t="n">
        <v>44894</v>
      </c>
      <c r="B1545" s="13" t="n">
        <v>0.2343</v>
      </c>
      <c r="C1545" s="14">
        <f>B1545*100</f>
        <v/>
      </c>
    </row>
    <row r="1546">
      <c r="A1546" s="12" t="n">
        <v>44895</v>
      </c>
      <c r="B1546" s="13" t="n">
        <v>0.1996</v>
      </c>
      <c r="C1546" s="14">
        <f>B1546*100</f>
        <v/>
      </c>
    </row>
    <row r="1547">
      <c r="A1547" s="12" t="n">
        <v>44896</v>
      </c>
      <c r="B1547" s="13" t="n">
        <v>0.1372</v>
      </c>
      <c r="C1547" s="14">
        <f>B1547*100</f>
        <v/>
      </c>
    </row>
    <row r="1548">
      <c r="A1548" s="12" t="n">
        <v>44897</v>
      </c>
      <c r="B1548" s="13" t="n">
        <v>0.119</v>
      </c>
      <c r="C1548" s="14">
        <f>B1548*100</f>
        <v/>
      </c>
    </row>
    <row r="1549">
      <c r="A1549" s="12" t="n">
        <v>44900</v>
      </c>
      <c r="B1549" s="13" t="n">
        <v>0.1541</v>
      </c>
      <c r="C1549" s="14">
        <f>B1549*100</f>
        <v/>
      </c>
    </row>
    <row r="1550">
      <c r="A1550" s="12" t="n">
        <v>44901</v>
      </c>
      <c r="B1550" s="13" t="n">
        <v>0.1251</v>
      </c>
      <c r="C1550" s="14">
        <f>B1550*100</f>
        <v/>
      </c>
    </row>
    <row r="1551">
      <c r="A1551" s="12" t="n">
        <v>44902</v>
      </c>
      <c r="B1551" s="13" t="n">
        <v>0.0796</v>
      </c>
      <c r="C1551" s="14">
        <f>B1551*100</f>
        <v/>
      </c>
    </row>
    <row r="1552">
      <c r="A1552" s="12" t="n">
        <v>44903</v>
      </c>
      <c r="B1552" s="13" t="n">
        <v>0.1027</v>
      </c>
      <c r="C1552" s="14">
        <f>B1552*100</f>
        <v/>
      </c>
    </row>
    <row r="1553">
      <c r="A1553" s="12" t="n">
        <v>44904</v>
      </c>
      <c r="B1553" s="13" t="n">
        <v>0.1316</v>
      </c>
      <c r="C1553" s="14">
        <f>B1553*100</f>
        <v/>
      </c>
    </row>
    <row r="1554">
      <c r="A1554" s="12" t="n">
        <v>44907</v>
      </c>
      <c r="B1554" s="13" t="n">
        <v>0.1474</v>
      </c>
      <c r="C1554" s="14">
        <f>B1554*100</f>
        <v/>
      </c>
    </row>
    <row r="1555">
      <c r="A1555" s="12" t="n">
        <v>44908</v>
      </c>
      <c r="B1555" s="13" t="n">
        <v>0.0979</v>
      </c>
      <c r="C1555" s="14">
        <f>B1555*100</f>
        <v/>
      </c>
    </row>
    <row r="1556">
      <c r="A1556" s="12" t="n">
        <v>44909</v>
      </c>
      <c r="B1556" s="13" t="n">
        <v>0.0833</v>
      </c>
      <c r="C1556" s="14">
        <f>B1556*100</f>
        <v/>
      </c>
    </row>
    <row r="1557">
      <c r="A1557" s="12" t="n">
        <v>44910</v>
      </c>
      <c r="B1557" s="13" t="n">
        <v>0.0693</v>
      </c>
      <c r="C1557" s="14">
        <f>B1557*100</f>
        <v/>
      </c>
    </row>
    <row r="1558">
      <c r="A1558" s="12" t="n">
        <v>44911</v>
      </c>
      <c r="B1558" s="13" t="n">
        <v>0.0716</v>
      </c>
      <c r="C1558" s="14">
        <f>B1558*100</f>
        <v/>
      </c>
    </row>
    <row r="1559">
      <c r="A1559" s="12" t="n">
        <v>44914</v>
      </c>
      <c r="B1559" s="13" t="n">
        <v>0.1055</v>
      </c>
      <c r="C1559" s="14">
        <f>B1559*100</f>
        <v/>
      </c>
    </row>
    <row r="1560">
      <c r="A1560" s="12" t="n">
        <v>44915</v>
      </c>
      <c r="B1560" s="13" t="n">
        <v>0.1552</v>
      </c>
      <c r="C1560" s="14">
        <f>B1560*100</f>
        <v/>
      </c>
    </row>
    <row r="1561">
      <c r="A1561" s="12" t="n">
        <v>44916</v>
      </c>
      <c r="B1561" s="13" t="n">
        <v>0.1712</v>
      </c>
      <c r="C1561" s="14">
        <f>B1561*100</f>
        <v/>
      </c>
    </row>
    <row r="1562">
      <c r="A1562" s="12" t="n">
        <v>44917</v>
      </c>
      <c r="B1562" s="13" t="n">
        <v>0.1782</v>
      </c>
      <c r="C1562" s="14">
        <f>B1562*100</f>
        <v/>
      </c>
    </row>
    <row r="1563">
      <c r="A1563" s="12" t="n">
        <v>44918</v>
      </c>
      <c r="B1563" s="13" t="n">
        <v>0.2097</v>
      </c>
      <c r="C1563" s="14">
        <f>B1563*100</f>
        <v/>
      </c>
    </row>
    <row r="1564">
      <c r="A1564" s="12" t="n">
        <v>44922</v>
      </c>
      <c r="B1564" s="13" t="n">
        <v>0.2482</v>
      </c>
      <c r="C1564" s="14">
        <f>B1564*100</f>
        <v/>
      </c>
    </row>
    <row r="1565">
      <c r="A1565" s="12" t="n">
        <v>44923</v>
      </c>
      <c r="B1565" s="13" t="n">
        <v>0.2671</v>
      </c>
      <c r="C1565" s="14">
        <f>B1565*100</f>
        <v/>
      </c>
    </row>
    <row r="1566">
      <c r="A1566" s="12" t="n">
        <v>44924</v>
      </c>
      <c r="B1566" s="13" t="n">
        <v>0.2607</v>
      </c>
      <c r="C1566" s="14">
        <f>B1566*100</f>
        <v/>
      </c>
    </row>
    <row r="1567">
      <c r="A1567" s="12" t="n">
        <v>44925</v>
      </c>
      <c r="B1567" s="13" t="n">
        <v>0.2801</v>
      </c>
      <c r="C1567" s="14">
        <f>B1567*100</f>
        <v/>
      </c>
    </row>
    <row r="1568">
      <c r="A1568" s="12" t="n">
        <v>44929</v>
      </c>
      <c r="B1568" s="13" t="n">
        <v>0.2448</v>
      </c>
      <c r="C1568" s="14">
        <f>B1568*100</f>
        <v/>
      </c>
    </row>
    <row r="1569">
      <c r="A1569" s="12" t="n">
        <v>44930</v>
      </c>
      <c r="B1569" s="13" t="n">
        <v>0.1936</v>
      </c>
      <c r="C1569" s="14">
        <f>B1569*100</f>
        <v/>
      </c>
    </row>
    <row r="1570">
      <c r="A1570" s="12" t="n">
        <v>44931</v>
      </c>
      <c r="B1570" s="13" t="n">
        <v>0.1847</v>
      </c>
      <c r="C1570" s="14">
        <f>B1570*100</f>
        <v/>
      </c>
    </row>
    <row r="1571">
      <c r="A1571" s="12" t="n">
        <v>44932</v>
      </c>
      <c r="B1571" s="13" t="n">
        <v>0.1036</v>
      </c>
      <c r="C1571" s="14">
        <f>B1571*100</f>
        <v/>
      </c>
    </row>
    <row r="1572">
      <c r="A1572" s="12" t="n">
        <v>44935</v>
      </c>
      <c r="B1572" s="13" t="n">
        <v>0.0675</v>
      </c>
      <c r="C1572" s="14">
        <f>B1572*100</f>
        <v/>
      </c>
    </row>
    <row r="1573">
      <c r="A1573" s="12" t="n">
        <v>44936</v>
      </c>
      <c r="B1573" s="13" t="n">
        <v>0.08169999999999999</v>
      </c>
      <c r="C1573" s="14">
        <f>B1573*100</f>
        <v/>
      </c>
    </row>
    <row r="1574">
      <c r="A1574" s="12" t="n">
        <v>44937</v>
      </c>
      <c r="B1574" s="13" t="n">
        <v>0.0591</v>
      </c>
      <c r="C1574" s="14">
        <f>B1574*100</f>
        <v/>
      </c>
    </row>
    <row r="1575">
      <c r="A1575" s="12" t="n">
        <v>44938</v>
      </c>
      <c r="B1575" s="13" t="n">
        <v>0.0107</v>
      </c>
      <c r="C1575" s="14">
        <f>B1575*100</f>
        <v/>
      </c>
    </row>
    <row r="1576">
      <c r="A1576" s="12" t="n">
        <v>44939</v>
      </c>
      <c r="B1576" s="13" t="n">
        <v>0.0217</v>
      </c>
      <c r="C1576" s="14">
        <f>B1576*100</f>
        <v/>
      </c>
    </row>
    <row r="1577">
      <c r="A1577" s="12" t="n">
        <v>44943</v>
      </c>
      <c r="B1577" s="13" t="n">
        <v>0.0258</v>
      </c>
      <c r="C1577" s="14">
        <f>B1577*100</f>
        <v/>
      </c>
    </row>
    <row r="1578">
      <c r="A1578" s="12" t="n">
        <v>44944</v>
      </c>
      <c r="B1578" s="13" t="n">
        <v>-0.0393</v>
      </c>
      <c r="C1578" s="14">
        <f>B1578*100</f>
        <v/>
      </c>
    </row>
    <row r="1579">
      <c r="A1579" s="12" t="n">
        <v>44945</v>
      </c>
      <c r="B1579" s="13" t="n">
        <v>-0.0412</v>
      </c>
      <c r="C1579" s="14">
        <f>B1579*100</f>
        <v/>
      </c>
    </row>
    <row r="1580">
      <c r="A1580" s="12" t="n">
        <v>44946</v>
      </c>
      <c r="B1580" s="13" t="n">
        <v>-0.0137</v>
      </c>
      <c r="C1580" s="14">
        <f>B1580*100</f>
        <v/>
      </c>
    </row>
    <row r="1581">
      <c r="A1581" s="12" t="n">
        <v>44949</v>
      </c>
      <c r="B1581" s="13" t="n">
        <v>0.0098</v>
      </c>
      <c r="C1581" s="14">
        <f>B1581*100</f>
        <v/>
      </c>
    </row>
    <row r="1582">
      <c r="A1582" s="12" t="n">
        <v>44950</v>
      </c>
      <c r="B1582" s="13" t="n">
        <v>-0.0043</v>
      </c>
      <c r="C1582" s="14">
        <f>B1582*100</f>
        <v/>
      </c>
    </row>
    <row r="1583">
      <c r="A1583" s="12" t="n">
        <v>44951</v>
      </c>
      <c r="B1583" s="13" t="n">
        <v>-0.0108</v>
      </c>
      <c r="C1583" s="14">
        <f>B1583*100</f>
        <v/>
      </c>
    </row>
    <row r="1584">
      <c r="A1584" s="12" t="n">
        <v>44952</v>
      </c>
      <c r="B1584" s="13" t="n">
        <v>0.0027</v>
      </c>
      <c r="C1584" s="14">
        <f>B1584*100</f>
        <v/>
      </c>
    </row>
    <row r="1585">
      <c r="A1585" s="12" t="n">
        <v>44953</v>
      </c>
      <c r="B1585" s="13" t="n">
        <v>0.0167</v>
      </c>
      <c r="C1585" s="14">
        <f>B1585*100</f>
        <v/>
      </c>
    </row>
    <row r="1586">
      <c r="A1586" s="12" t="n">
        <v>44956</v>
      </c>
      <c r="B1586" s="13" t="n">
        <v>0.0344</v>
      </c>
      <c r="C1586" s="14">
        <f>B1586*100</f>
        <v/>
      </c>
    </row>
    <row r="1587">
      <c r="A1587" s="12" t="n">
        <v>44957</v>
      </c>
      <c r="B1587" s="13" t="n">
        <v>0.0255</v>
      </c>
      <c r="C1587" s="14">
        <f>B1587*100</f>
        <v/>
      </c>
    </row>
    <row r="1588">
      <c r="A1588" s="12" t="n">
        <v>44958</v>
      </c>
      <c r="B1588" s="13" t="n">
        <v>-0.0305</v>
      </c>
      <c r="C1588" s="14">
        <f>B1588*100</f>
        <v/>
      </c>
    </row>
    <row r="1589">
      <c r="A1589" s="12" t="n">
        <v>44959</v>
      </c>
      <c r="B1589" s="13" t="n">
        <v>-0.0405</v>
      </c>
      <c r="C1589" s="14">
        <f>B1589*100</f>
        <v/>
      </c>
    </row>
    <row r="1590">
      <c r="A1590" s="12" t="n">
        <v>44960</v>
      </c>
      <c r="B1590" s="13" t="n">
        <v>0.0174</v>
      </c>
      <c r="C1590" s="14">
        <f>B1590*100</f>
        <v/>
      </c>
    </row>
    <row r="1591">
      <c r="A1591" s="12" t="n">
        <v>44963</v>
      </c>
      <c r="B1591" s="13" t="n">
        <v>0.0693</v>
      </c>
      <c r="C1591" s="14">
        <f>B1591*100</f>
        <v/>
      </c>
    </row>
    <row r="1592">
      <c r="A1592" s="12" t="n">
        <v>44964</v>
      </c>
      <c r="B1592" s="13" t="n">
        <v>0.09420000000000001</v>
      </c>
      <c r="C1592" s="14">
        <f>B1592*100</f>
        <v/>
      </c>
    </row>
    <row r="1593">
      <c r="A1593" s="12" t="n">
        <v>44965</v>
      </c>
      <c r="B1593" s="13" t="n">
        <v>0.0919</v>
      </c>
      <c r="C1593" s="14">
        <f>B1593*100</f>
        <v/>
      </c>
    </row>
    <row r="1594">
      <c r="A1594" s="12" t="n">
        <v>44966</v>
      </c>
      <c r="B1594" s="13" t="n">
        <v>0.105</v>
      </c>
      <c r="C1594" s="14">
        <f>B1594*100</f>
        <v/>
      </c>
    </row>
    <row r="1595">
      <c r="A1595" s="12" t="n">
        <v>44967</v>
      </c>
      <c r="B1595" s="13" t="n">
        <v>0.1324</v>
      </c>
      <c r="C1595" s="14">
        <f>B1595*100</f>
        <v/>
      </c>
    </row>
    <row r="1596">
      <c r="A1596" s="12" t="n">
        <v>44970</v>
      </c>
      <c r="B1596" s="13" t="n">
        <v>0.128</v>
      </c>
      <c r="C1596" s="14">
        <f>B1596*100</f>
        <v/>
      </c>
    </row>
    <row r="1597">
      <c r="A1597" s="12" t="n">
        <v>44971</v>
      </c>
      <c r="B1597" s="13" t="n">
        <v>0.1512</v>
      </c>
      <c r="C1597" s="14">
        <f>B1597*100</f>
        <v/>
      </c>
    </row>
    <row r="1598">
      <c r="A1598" s="12" t="n">
        <v>44972</v>
      </c>
      <c r="B1598" s="13" t="n">
        <v>0.188</v>
      </c>
      <c r="C1598" s="14">
        <f>B1598*100</f>
        <v/>
      </c>
    </row>
    <row r="1599">
      <c r="A1599" s="12" t="n">
        <v>44973</v>
      </c>
      <c r="B1599" s="13" t="n">
        <v>0.1943</v>
      </c>
      <c r="C1599" s="14">
        <f>B1599*100</f>
        <v/>
      </c>
    </row>
    <row r="1600">
      <c r="A1600" s="12" t="n">
        <v>44974</v>
      </c>
      <c r="B1600" s="13" t="n">
        <v>0.1817</v>
      </c>
      <c r="C1600" s="14">
        <f>B1600*100</f>
        <v/>
      </c>
    </row>
    <row r="1601">
      <c r="A1601" s="12" t="n">
        <v>44978</v>
      </c>
      <c r="B1601" s="13" t="n">
        <v>0.2253</v>
      </c>
      <c r="C1601" s="14">
        <f>B1601*100</f>
        <v/>
      </c>
    </row>
    <row r="1602">
      <c r="A1602" s="12" t="n">
        <v>44979</v>
      </c>
      <c r="B1602" s="13" t="n">
        <v>0.2457</v>
      </c>
      <c r="C1602" s="14">
        <f>B1602*100</f>
        <v/>
      </c>
    </row>
    <row r="1603">
      <c r="A1603" s="12" t="n">
        <v>44980</v>
      </c>
      <c r="B1603" s="13" t="n">
        <v>0.2362</v>
      </c>
      <c r="C1603" s="14">
        <f>B1603*100</f>
        <v/>
      </c>
    </row>
    <row r="1604">
      <c r="A1604" s="12" t="n">
        <v>44981</v>
      </c>
      <c r="B1604" s="13" t="n">
        <v>0.2691</v>
      </c>
      <c r="C1604" s="14">
        <f>B1604*100</f>
        <v/>
      </c>
    </row>
    <row r="1605">
      <c r="A1605" s="12" t="n">
        <v>44984</v>
      </c>
      <c r="B1605" s="13" t="n">
        <v>0.261</v>
      </c>
      <c r="C1605" s="14">
        <f>B1605*100</f>
        <v/>
      </c>
    </row>
    <row r="1606">
      <c r="A1606" s="12" t="n">
        <v>44985</v>
      </c>
      <c r="B1606" s="13" t="n">
        <v>0.258</v>
      </c>
      <c r="C1606" s="14">
        <f>B1606*100</f>
        <v/>
      </c>
    </row>
    <row r="1607">
      <c r="A1607" s="12" t="n">
        <v>44986</v>
      </c>
      <c r="B1607" s="13" t="n">
        <v>0.2929</v>
      </c>
      <c r="C1607" s="14">
        <f>B1607*100</f>
        <v/>
      </c>
    </row>
    <row r="1608">
      <c r="A1608" s="12" t="n">
        <v>44987</v>
      </c>
      <c r="B1608" s="13" t="n">
        <v>0.3251</v>
      </c>
      <c r="C1608" s="14">
        <f>B1608*100</f>
        <v/>
      </c>
    </row>
    <row r="1609">
      <c r="A1609" s="12" t="n">
        <v>44988</v>
      </c>
      <c r="B1609" s="13" t="n">
        <v>0.3012</v>
      </c>
      <c r="C1609" s="14">
        <f>B1609*100</f>
        <v/>
      </c>
    </row>
    <row r="1610">
      <c r="A1610" s="12" t="n">
        <v>44991</v>
      </c>
      <c r="B1610" s="13" t="n">
        <v>0.2844</v>
      </c>
      <c r="C1610" s="14">
        <f>B1610*100</f>
        <v/>
      </c>
    </row>
    <row r="1611">
      <c r="A1611" s="12" t="n">
        <v>44992</v>
      </c>
      <c r="B1611" s="13" t="n">
        <v>0.2848</v>
      </c>
      <c r="C1611" s="14">
        <f>B1611*100</f>
        <v/>
      </c>
    </row>
    <row r="1612">
      <c r="A1612" s="12" t="n">
        <v>44993</v>
      </c>
      <c r="B1612" s="13" t="n">
        <v>0.2799</v>
      </c>
      <c r="C1612" s="14">
        <f>B1612*100</f>
        <v/>
      </c>
    </row>
    <row r="1613">
      <c r="A1613" s="12" t="n">
        <v>44994</v>
      </c>
      <c r="B1613" s="13" t="n">
        <v>0.2372</v>
      </c>
      <c r="C1613" s="14">
        <f>B1613*100</f>
        <v/>
      </c>
    </row>
    <row r="1614">
      <c r="A1614" s="12" t="n">
        <v>44995</v>
      </c>
      <c r="B1614" s="13" t="n">
        <v>0.1327</v>
      </c>
      <c r="C1614" s="14">
        <f>B1614*100</f>
        <v/>
      </c>
    </row>
    <row r="1615">
      <c r="A1615" s="12" t="n">
        <v>44998</v>
      </c>
      <c r="B1615" s="13" t="n">
        <v>0.0372</v>
      </c>
      <c r="C1615" s="14">
        <f>B1615*100</f>
        <v/>
      </c>
    </row>
    <row r="1616">
      <c r="A1616" s="12" t="n">
        <v>44999</v>
      </c>
      <c r="B1616" s="13" t="n">
        <v>0.07199999999999999</v>
      </c>
      <c r="C1616" s="14">
        <f>B1616*100</f>
        <v/>
      </c>
    </row>
    <row r="1617">
      <c r="A1617" s="12" t="n">
        <v>45000</v>
      </c>
      <c r="B1617" s="13" t="n">
        <v>0.0324</v>
      </c>
      <c r="C1617" s="14">
        <f>B1617*100</f>
        <v/>
      </c>
    </row>
    <row r="1618">
      <c r="A1618" s="12" t="n">
        <v>45001</v>
      </c>
      <c r="B1618" s="13" t="n">
        <v>0.07199999999999999</v>
      </c>
      <c r="C1618" s="14">
        <f>B1618*100</f>
        <v/>
      </c>
    </row>
    <row r="1619">
      <c r="A1619" s="12" t="n">
        <v>45002</v>
      </c>
      <c r="B1619" s="13" t="n">
        <v>0.0156</v>
      </c>
      <c r="C1619" s="14">
        <f>B1619*100</f>
        <v/>
      </c>
    </row>
    <row r="1620">
      <c r="A1620" s="12" t="n">
        <v>45005</v>
      </c>
      <c r="B1620" s="13" t="n">
        <v>0.0386</v>
      </c>
      <c r="C1620" s="14">
        <f>B1620*100</f>
        <v/>
      </c>
    </row>
    <row r="1621">
      <c r="A1621" s="12" t="n">
        <v>45006</v>
      </c>
      <c r="B1621" s="13" t="n">
        <v>0.0934</v>
      </c>
      <c r="C1621" s="14">
        <f>B1621*100</f>
        <v/>
      </c>
    </row>
    <row r="1622">
      <c r="A1622" s="12" t="n">
        <v>45007</v>
      </c>
      <c r="B1622" s="13" t="n">
        <v>0.0371</v>
      </c>
      <c r="C1622" s="14">
        <f>B1622*100</f>
        <v/>
      </c>
    </row>
    <row r="1623">
      <c r="A1623" s="12" t="n">
        <v>45008</v>
      </c>
      <c r="B1623" s="13" t="n">
        <v>-0.0229</v>
      </c>
      <c r="C1623" s="14">
        <f>B1623*100</f>
        <v/>
      </c>
    </row>
    <row r="1624">
      <c r="A1624" s="12" t="n">
        <v>45009</v>
      </c>
      <c r="B1624" s="13" t="n">
        <v>-0.0271</v>
      </c>
      <c r="C1624" s="14">
        <f>B1624*100</f>
        <v/>
      </c>
    </row>
    <row r="1625">
      <c r="A1625" s="12" t="n">
        <v>45012</v>
      </c>
      <c r="B1625" s="13" t="n">
        <v>0.0321</v>
      </c>
      <c r="C1625" s="14">
        <f>B1625*100</f>
        <v/>
      </c>
    </row>
    <row r="1626">
      <c r="A1626" s="12" t="n">
        <v>45013</v>
      </c>
      <c r="B1626" s="13" t="n">
        <v>0.0575</v>
      </c>
      <c r="C1626" s="14">
        <f>B1626*100</f>
        <v/>
      </c>
    </row>
    <row r="1627">
      <c r="A1627" s="12" t="n">
        <v>45014</v>
      </c>
      <c r="B1627" s="13" t="n">
        <v>0.0723</v>
      </c>
      <c r="C1627" s="14">
        <f>B1627*100</f>
        <v/>
      </c>
    </row>
    <row r="1628">
      <c r="A1628" s="12" t="n">
        <v>45015</v>
      </c>
      <c r="B1628" s="13" t="n">
        <v>0.0593</v>
      </c>
      <c r="C1628" s="14">
        <f>B1628*100</f>
        <v/>
      </c>
    </row>
    <row r="1629">
      <c r="A1629" s="12" t="n">
        <v>45016</v>
      </c>
      <c r="B1629" s="13" t="n">
        <v>0.0305</v>
      </c>
      <c r="C1629" s="14">
        <f>B1629*100</f>
        <v/>
      </c>
    </row>
    <row r="1630">
      <c r="A1630" s="12" t="n">
        <v>45019</v>
      </c>
      <c r="B1630" s="13" t="n">
        <v>-0.0103</v>
      </c>
      <c r="C1630" s="14">
        <f>B1630*100</f>
        <v/>
      </c>
    </row>
    <row r="1631">
      <c r="A1631" s="12" t="n">
        <v>45020</v>
      </c>
      <c r="B1631" s="13" t="n">
        <v>-0.0603</v>
      </c>
      <c r="C1631" s="14">
        <f>B1631*100</f>
        <v/>
      </c>
    </row>
    <row r="1632">
      <c r="A1632" s="12" t="n">
        <v>45021</v>
      </c>
      <c r="B1632" s="13" t="n">
        <v>-0.08699999999999999</v>
      </c>
      <c r="C1632" s="14">
        <f>B1632*100</f>
        <v/>
      </c>
    </row>
    <row r="1633">
      <c r="A1633" s="12" t="n">
        <v>45022</v>
      </c>
      <c r="B1633" s="13" t="n">
        <v>-0.0988</v>
      </c>
      <c r="C1633" s="14">
        <f>B1633*100</f>
        <v/>
      </c>
    </row>
    <row r="1634">
      <c r="A1634" s="12" t="n">
        <v>45023</v>
      </c>
      <c r="B1634" s="13" t="n">
        <v>-0.065</v>
      </c>
      <c r="C1634" s="14">
        <f>B1634*100</f>
        <v/>
      </c>
    </row>
    <row r="1635">
      <c r="A1635" s="12" t="n">
        <v>45026</v>
      </c>
      <c r="B1635" s="13" t="n">
        <v>-0.0614</v>
      </c>
      <c r="C1635" s="14">
        <f>B1635*100</f>
        <v/>
      </c>
    </row>
    <row r="1636">
      <c r="A1636" s="12" t="n">
        <v>45027</v>
      </c>
      <c r="B1636" s="13" t="n">
        <v>-0.0554</v>
      </c>
      <c r="C1636" s="14">
        <f>B1636*100</f>
        <v/>
      </c>
    </row>
    <row r="1637">
      <c r="A1637" s="12" t="n">
        <v>45028</v>
      </c>
      <c r="B1637" s="13" t="n">
        <v>-0.07439999999999999</v>
      </c>
      <c r="C1637" s="14">
        <f>B1637*100</f>
        <v/>
      </c>
    </row>
    <row r="1638">
      <c r="A1638" s="12" t="n">
        <v>45029</v>
      </c>
      <c r="B1638" s="13" t="n">
        <v>-0.06469999999999999</v>
      </c>
      <c r="C1638" s="14">
        <f>B1638*100</f>
        <v/>
      </c>
    </row>
    <row r="1639">
      <c r="A1639" s="12" t="n">
        <v>45030</v>
      </c>
      <c r="B1639" s="13" t="n">
        <v>-0.0316</v>
      </c>
      <c r="C1639" s="14">
        <f>B1639*100</f>
        <v/>
      </c>
    </row>
    <row r="1640">
      <c r="A1640" s="12" t="n">
        <v>45033</v>
      </c>
      <c r="B1640" s="13" t="n">
        <v>-0.0001</v>
      </c>
      <c r="C1640" s="14">
        <f>B1640*100</f>
        <v/>
      </c>
    </row>
    <row r="1641">
      <c r="A1641" s="12" t="n">
        <v>45034</v>
      </c>
      <c r="B1641" s="13" t="n">
        <v>-0.0012</v>
      </c>
      <c r="C1641" s="14">
        <f>B1641*100</f>
        <v/>
      </c>
    </row>
    <row r="1642">
      <c r="A1642" s="12" t="n">
        <v>45035</v>
      </c>
      <c r="B1642" s="13" t="n">
        <v>0.008200000000000001</v>
      </c>
      <c r="C1642" s="14">
        <f>B1642*100</f>
        <v/>
      </c>
    </row>
    <row r="1643">
      <c r="A1643" s="12" t="n">
        <v>45036</v>
      </c>
      <c r="B1643" s="13" t="n">
        <v>-0.0156</v>
      </c>
      <c r="C1643" s="14">
        <f>B1643*100</f>
        <v/>
      </c>
    </row>
    <row r="1644">
      <c r="A1644" s="12" t="n">
        <v>45037</v>
      </c>
      <c r="B1644" s="13" t="n">
        <v>-0.007900000000000001</v>
      </c>
      <c r="C1644" s="14">
        <f>B1644*100</f>
        <v/>
      </c>
    </row>
    <row r="1645">
      <c r="A1645" s="12" t="n">
        <v>45040</v>
      </c>
      <c r="B1645" s="13" t="n">
        <v>-0.0317</v>
      </c>
      <c r="C1645" s="14">
        <f>B1645*100</f>
        <v/>
      </c>
    </row>
    <row r="1646">
      <c r="A1646" s="12" t="n">
        <v>45041</v>
      </c>
      <c r="B1646" s="13" t="n">
        <v>-0.0912</v>
      </c>
      <c r="C1646" s="14">
        <f>B1646*100</f>
        <v/>
      </c>
    </row>
    <row r="1647">
      <c r="A1647" s="12" t="n">
        <v>45042</v>
      </c>
      <c r="B1647" s="13" t="n">
        <v>-0.08989999999999999</v>
      </c>
      <c r="C1647" s="14">
        <f>B1647*100</f>
        <v/>
      </c>
    </row>
    <row r="1648">
      <c r="A1648" s="12" t="n">
        <v>45043</v>
      </c>
      <c r="B1648" s="13" t="n">
        <v>-0.0424</v>
      </c>
      <c r="C1648" s="14">
        <f>B1648*100</f>
        <v/>
      </c>
    </row>
    <row r="1649">
      <c r="A1649" s="12" t="n">
        <v>45044</v>
      </c>
      <c r="B1649" s="13" t="n">
        <v>-0.0635</v>
      </c>
      <c r="C1649" s="14">
        <f>B1649*100</f>
        <v/>
      </c>
    </row>
    <row r="1650">
      <c r="A1650" s="12" t="n">
        <v>45047</v>
      </c>
      <c r="B1650" s="13" t="n">
        <v>-0.0289</v>
      </c>
      <c r="C1650" s="14">
        <f>B1650*100</f>
        <v/>
      </c>
    </row>
    <row r="1651">
      <c r="A1651" s="12" t="n">
        <v>45048</v>
      </c>
      <c r="B1651" s="13" t="n">
        <v>-0.08799999999999999</v>
      </c>
      <c r="C1651" s="14">
        <f>B1651*100</f>
        <v/>
      </c>
    </row>
    <row r="1652">
      <c r="A1652" s="12" t="n">
        <v>45049</v>
      </c>
      <c r="B1652" s="13" t="n">
        <v>-0.1313</v>
      </c>
      <c r="C1652" s="14">
        <f>B1652*100</f>
        <v/>
      </c>
    </row>
    <row r="1653">
      <c r="A1653" s="12" t="n">
        <v>45050</v>
      </c>
      <c r="B1653" s="13" t="n">
        <v>-0.1615</v>
      </c>
      <c r="C1653" s="14">
        <f>B1653*100</f>
        <v/>
      </c>
    </row>
    <row r="1654">
      <c r="A1654" s="12" t="n">
        <v>45051</v>
      </c>
      <c r="B1654" s="13" t="n">
        <v>-0.1285</v>
      </c>
      <c r="C1654" s="14">
        <f>B1654*100</f>
        <v/>
      </c>
    </row>
    <row r="1655">
      <c r="A1655" s="12" t="n">
        <v>45054</v>
      </c>
      <c r="B1655" s="13" t="n">
        <v>-0.0927</v>
      </c>
      <c r="C1655" s="14">
        <f>B1655*100</f>
        <v/>
      </c>
    </row>
    <row r="1656">
      <c r="A1656" s="12" t="n">
        <v>45055</v>
      </c>
      <c r="B1656" s="13" t="n">
        <v>-0.08160000000000001</v>
      </c>
      <c r="C1656" s="14">
        <f>B1656*100</f>
        <v/>
      </c>
    </row>
    <row r="1657">
      <c r="A1657" s="12" t="n">
        <v>45056</v>
      </c>
      <c r="B1657" s="13" t="n">
        <v>-0.1165</v>
      </c>
      <c r="C1657" s="14">
        <f>B1657*100</f>
        <v/>
      </c>
    </row>
    <row r="1658">
      <c r="A1658" s="12" t="n">
        <v>45057</v>
      </c>
      <c r="B1658" s="13" t="n">
        <v>-0.1353</v>
      </c>
      <c r="C1658" s="14">
        <f>B1658*100</f>
        <v/>
      </c>
    </row>
    <row r="1659">
      <c r="A1659" s="12" t="n">
        <v>45058</v>
      </c>
      <c r="B1659" s="13" t="n">
        <v>-0.1103</v>
      </c>
      <c r="C1659" s="14">
        <f>B1659*100</f>
        <v/>
      </c>
    </row>
    <row r="1660">
      <c r="A1660" s="12" t="n">
        <v>45061</v>
      </c>
      <c r="B1660" s="13" t="n">
        <v>-0.096</v>
      </c>
      <c r="C1660" s="14">
        <f>B1660*100</f>
        <v/>
      </c>
    </row>
    <row r="1661">
      <c r="A1661" s="12" t="n">
        <v>45062</v>
      </c>
      <c r="B1661" s="13" t="n">
        <v>-0.0738</v>
      </c>
      <c r="C1661" s="14">
        <f>B1661*100</f>
        <v/>
      </c>
    </row>
    <row r="1662">
      <c r="A1662" s="12" t="n">
        <v>45063</v>
      </c>
      <c r="B1662" s="13" t="n">
        <v>-0.0543</v>
      </c>
      <c r="C1662" s="14">
        <f>B1662*100</f>
        <v/>
      </c>
    </row>
    <row r="1663">
      <c r="A1663" s="12" t="n">
        <v>45064</v>
      </c>
      <c r="B1663" s="13" t="n">
        <v>-0.0172</v>
      </c>
      <c r="C1663" s="14">
        <f>B1663*100</f>
        <v/>
      </c>
    </row>
    <row r="1664">
      <c r="A1664" s="12" t="n">
        <v>45065</v>
      </c>
      <c r="B1664" s="13" t="n">
        <v>0.0112</v>
      </c>
      <c r="C1664" s="14">
        <f>B1664*100</f>
        <v/>
      </c>
    </row>
    <row r="1665">
      <c r="A1665" s="12" t="n">
        <v>45068</v>
      </c>
      <c r="B1665" s="13" t="n">
        <v>0.0144</v>
      </c>
      <c r="C1665" s="14">
        <f>B1665*100</f>
        <v/>
      </c>
    </row>
    <row r="1666">
      <c r="A1666" s="12" t="n">
        <v>45069</v>
      </c>
      <c r="B1666" s="13" t="n">
        <v>0.0106</v>
      </c>
      <c r="C1666" s="14">
        <f>B1666*100</f>
        <v/>
      </c>
    </row>
    <row r="1667">
      <c r="A1667" s="12" t="n">
        <v>45070</v>
      </c>
      <c r="B1667" s="13" t="n">
        <v>0.0168</v>
      </c>
      <c r="C1667" s="14">
        <f>B1667*100</f>
        <v/>
      </c>
    </row>
    <row r="1668">
      <c r="A1668" s="12" t="n">
        <v>45071</v>
      </c>
      <c r="B1668" s="13" t="n">
        <v>0.065</v>
      </c>
      <c r="C1668" s="14">
        <f>B1668*100</f>
        <v/>
      </c>
    </row>
    <row r="1669">
      <c r="A1669" s="12" t="n">
        <v>45072</v>
      </c>
      <c r="B1669" s="13" t="n">
        <v>0.0776</v>
      </c>
      <c r="C1669" s="14">
        <f>B1669*100</f>
        <v/>
      </c>
    </row>
    <row r="1670">
      <c r="A1670" s="12" t="n">
        <v>45076</v>
      </c>
      <c r="B1670" s="13" t="n">
        <v>0.0236</v>
      </c>
      <c r="C1670" s="14">
        <f>B1670*100</f>
        <v/>
      </c>
    </row>
    <row r="1671">
      <c r="A1671" s="12" t="n">
        <v>45077</v>
      </c>
      <c r="B1671" s="13" t="n">
        <v>-0.0186</v>
      </c>
      <c r="C1671" s="14">
        <f>B1671*100</f>
        <v/>
      </c>
    </row>
    <row r="1672">
      <c r="A1672" s="12" t="n">
        <v>45078</v>
      </c>
      <c r="B1672" s="13" t="n">
        <v>-0.0441</v>
      </c>
      <c r="C1672" s="14">
        <f>B1672*100</f>
        <v/>
      </c>
    </row>
    <row r="1673">
      <c r="A1673" s="12" t="n">
        <v>45079</v>
      </c>
      <c r="B1673" s="13" t="n">
        <v>-0.0067</v>
      </c>
      <c r="C1673" s="14">
        <f>B1673*100</f>
        <v/>
      </c>
    </row>
    <row r="1674">
      <c r="A1674" s="12" t="n">
        <v>45082</v>
      </c>
      <c r="B1674" s="13" t="n">
        <v>-0.0018</v>
      </c>
      <c r="C1674" s="14">
        <f>B1674*100</f>
        <v/>
      </c>
    </row>
    <row r="1675">
      <c r="A1675" s="12" t="n">
        <v>45083</v>
      </c>
      <c r="B1675" s="13" t="n">
        <v>0.0072</v>
      </c>
      <c r="C1675" s="14">
        <f>B1675*100</f>
        <v/>
      </c>
    </row>
    <row r="1676">
      <c r="A1676" s="12" t="n">
        <v>45084</v>
      </c>
      <c r="B1676" s="13" t="n">
        <v>0.0486</v>
      </c>
      <c r="C1676" s="14">
        <f>B1676*100</f>
        <v/>
      </c>
    </row>
    <row r="1677">
      <c r="A1677" s="12" t="n">
        <v>45085</v>
      </c>
      <c r="B1677" s="13" t="n">
        <v>0.0363</v>
      </c>
      <c r="C1677" s="14">
        <f>B1677*100</f>
        <v/>
      </c>
    </row>
    <row r="1678">
      <c r="A1678" s="12" t="n">
        <v>45086</v>
      </c>
      <c r="B1678" s="13" t="n">
        <v>0.0509</v>
      </c>
      <c r="C1678" s="14">
        <f>B1678*100</f>
        <v/>
      </c>
    </row>
    <row r="1679">
      <c r="A1679" s="12" t="n">
        <v>45089</v>
      </c>
      <c r="B1679" s="13" t="n">
        <v>0.0448</v>
      </c>
      <c r="C1679" s="14">
        <f>B1679*100</f>
        <v/>
      </c>
    </row>
    <row r="1680">
      <c r="A1680" s="12" t="n">
        <v>45090</v>
      </c>
      <c r="B1680" s="13" t="n">
        <v>0.08790000000000001</v>
      </c>
      <c r="C1680" s="14">
        <f>B1680*100</f>
        <v/>
      </c>
    </row>
    <row r="1681">
      <c r="A1681" s="12" t="n">
        <v>45091</v>
      </c>
      <c r="B1681" s="13" t="n">
        <v>0.1029</v>
      </c>
      <c r="C1681" s="14">
        <f>B1681*100</f>
        <v/>
      </c>
    </row>
    <row r="1682">
      <c r="A1682" s="12" t="n">
        <v>45092</v>
      </c>
      <c r="B1682" s="13" t="n">
        <v>0.0598</v>
      </c>
      <c r="C1682" s="14">
        <f>B1682*100</f>
        <v/>
      </c>
    </row>
    <row r="1683">
      <c r="A1683" s="12" t="n">
        <v>45093</v>
      </c>
      <c r="B1683" s="13" t="n">
        <v>0.0709</v>
      </c>
      <c r="C1683" s="14">
        <f>B1683*100</f>
        <v/>
      </c>
    </row>
    <row r="1684">
      <c r="A1684" s="12" t="n">
        <v>45097</v>
      </c>
      <c r="B1684" s="13" t="n">
        <v>0.0548</v>
      </c>
      <c r="C1684" s="14">
        <f>B1684*100</f>
        <v/>
      </c>
    </row>
    <row r="1685">
      <c r="A1685" s="12" t="n">
        <v>45098</v>
      </c>
      <c r="B1685" s="13" t="n">
        <v>0.0411</v>
      </c>
      <c r="C1685" s="14">
        <f>B1685*100</f>
        <v/>
      </c>
    </row>
    <row r="1686">
      <c r="A1686" s="12" t="n">
        <v>45099</v>
      </c>
      <c r="B1686" s="13" t="n">
        <v>0.0653</v>
      </c>
      <c r="C1686" s="14">
        <f>B1686*100</f>
        <v/>
      </c>
    </row>
    <row r="1687">
      <c r="A1687" s="12" t="n">
        <v>45100</v>
      </c>
      <c r="B1687" s="13" t="n">
        <v>0.054</v>
      </c>
      <c r="C1687" s="14">
        <f>B1687*100</f>
        <v/>
      </c>
    </row>
    <row r="1688">
      <c r="A1688" s="12" t="n">
        <v>45103</v>
      </c>
      <c r="B1688" s="13" t="n">
        <v>0.0355</v>
      </c>
      <c r="C1688" s="14">
        <f>B1688*100</f>
        <v/>
      </c>
    </row>
    <row r="1689">
      <c r="A1689" s="12" t="n">
        <v>45104</v>
      </c>
      <c r="B1689" s="13" t="n">
        <v>0.0485</v>
      </c>
      <c r="C1689" s="14">
        <f>B1689*100</f>
        <v/>
      </c>
    </row>
    <row r="1690">
      <c r="A1690" s="12" t="n">
        <v>45105</v>
      </c>
      <c r="B1690" s="13" t="n">
        <v>0.0273</v>
      </c>
      <c r="C1690" s="14">
        <f>B1690*100</f>
        <v/>
      </c>
    </row>
    <row r="1691">
      <c r="A1691" s="12" t="n">
        <v>45106</v>
      </c>
      <c r="B1691" s="13" t="n">
        <v>0.096</v>
      </c>
      <c r="C1691" s="14">
        <f>B1691*100</f>
        <v/>
      </c>
    </row>
    <row r="1692">
      <c r="A1692" s="12" t="n">
        <v>45107</v>
      </c>
      <c r="B1692" s="13" t="n">
        <v>0.1019</v>
      </c>
      <c r="C1692" s="14">
        <f>B1692*100</f>
        <v/>
      </c>
    </row>
    <row r="1693">
      <c r="A1693" s="12" t="n">
        <v>45110</v>
      </c>
      <c r="B1693" s="13" t="n">
        <v>0.1221</v>
      </c>
      <c r="C1693" s="14">
        <f>B1693*100</f>
        <v/>
      </c>
    </row>
    <row r="1694">
      <c r="A1694" s="12" t="n">
        <v>45112</v>
      </c>
      <c r="B1694" s="13" t="n">
        <v>0.1531</v>
      </c>
      <c r="C1694" s="14">
        <f>B1694*100</f>
        <v/>
      </c>
    </row>
    <row r="1695">
      <c r="A1695" s="12" t="n">
        <v>45113</v>
      </c>
      <c r="B1695" s="13" t="n">
        <v>0.2043</v>
      </c>
      <c r="C1695" s="14">
        <f>B1695*100</f>
        <v/>
      </c>
    </row>
    <row r="1696">
      <c r="A1696" s="12" t="n">
        <v>45114</v>
      </c>
      <c r="B1696" s="13" t="n">
        <v>0.218</v>
      </c>
      <c r="C1696" s="14">
        <f>B1696*100</f>
        <v/>
      </c>
    </row>
    <row r="1697">
      <c r="A1697" s="12" t="n">
        <v>45117</v>
      </c>
      <c r="B1697" s="13" t="n">
        <v>0.1862</v>
      </c>
      <c r="C1697" s="14">
        <f>B1697*100</f>
        <v/>
      </c>
    </row>
    <row r="1698">
      <c r="A1698" s="12" t="n">
        <v>45118</v>
      </c>
      <c r="B1698" s="13" t="n">
        <v>0.1741</v>
      </c>
      <c r="C1698" s="14">
        <f>B1698*100</f>
        <v/>
      </c>
    </row>
    <row r="1699">
      <c r="A1699" s="12" t="n">
        <v>45119</v>
      </c>
      <c r="B1699" s="13" t="n">
        <v>0.1097</v>
      </c>
      <c r="C1699" s="14">
        <f>B1699*100</f>
        <v/>
      </c>
    </row>
    <row r="1700">
      <c r="A1700" s="12" t="n">
        <v>45120</v>
      </c>
      <c r="B1700" s="13" t="n">
        <v>0.0474</v>
      </c>
      <c r="C1700" s="14">
        <f>B1700*100</f>
        <v/>
      </c>
    </row>
    <row r="1701">
      <c r="A1701" s="12" t="n">
        <v>45121</v>
      </c>
      <c r="B1701" s="13" t="n">
        <v>0.0617</v>
      </c>
      <c r="C1701" s="14">
        <f>B1701*100</f>
        <v/>
      </c>
    </row>
    <row r="1702">
      <c r="A1702" s="12" t="n">
        <v>45124</v>
      </c>
      <c r="B1702" s="13" t="n">
        <v>0.054</v>
      </c>
      <c r="C1702" s="14">
        <f>B1702*100</f>
        <v/>
      </c>
    </row>
    <row r="1703">
      <c r="A1703" s="12" t="n">
        <v>45125</v>
      </c>
      <c r="B1703" s="13" t="n">
        <v>0.045</v>
      </c>
      <c r="C1703" s="14">
        <f>B1703*100</f>
        <v/>
      </c>
    </row>
    <row r="1704">
      <c r="A1704" s="12" t="n">
        <v>45126</v>
      </c>
      <c r="B1704" s="13" t="n">
        <v>0.0259</v>
      </c>
      <c r="C1704" s="14">
        <f>B1704*100</f>
        <v/>
      </c>
    </row>
    <row r="1705">
      <c r="A1705" s="12" t="n">
        <v>45127</v>
      </c>
      <c r="B1705" s="13" t="n">
        <v>0.0598</v>
      </c>
      <c r="C1705" s="14">
        <f>B1705*100</f>
        <v/>
      </c>
    </row>
    <row r="1706">
      <c r="A1706" s="12" t="n">
        <v>45128</v>
      </c>
      <c r="B1706" s="13" t="n">
        <v>0.06850000000000001</v>
      </c>
      <c r="C1706" s="14">
        <f>B1706*100</f>
        <v/>
      </c>
    </row>
    <row r="1707">
      <c r="A1707" s="12" t="n">
        <v>45131</v>
      </c>
      <c r="B1707" s="13" t="n">
        <v>0.08890000000000001</v>
      </c>
      <c r="C1707" s="14">
        <f>B1707*100</f>
        <v/>
      </c>
    </row>
    <row r="1708">
      <c r="A1708" s="12" t="n">
        <v>45132</v>
      </c>
      <c r="B1708" s="13" t="n">
        <v>0.1136</v>
      </c>
      <c r="C1708" s="14">
        <f>B1708*100</f>
        <v/>
      </c>
    </row>
    <row r="1709">
      <c r="A1709" s="12" t="n">
        <v>45133</v>
      </c>
      <c r="B1709" s="13" t="n">
        <v>0.1016</v>
      </c>
      <c r="C1709" s="14">
        <f>B1709*100</f>
        <v/>
      </c>
    </row>
    <row r="1710">
      <c r="A1710" s="12" t="n">
        <v>45134</v>
      </c>
      <c r="B1710" s="13" t="n">
        <v>0.1536</v>
      </c>
      <c r="C1710" s="14">
        <f>B1710*100</f>
        <v/>
      </c>
    </row>
    <row r="1711">
      <c r="A1711" s="12" t="n">
        <v>45135</v>
      </c>
      <c r="B1711" s="13" t="n">
        <v>0.1433</v>
      </c>
      <c r="C1711" s="14">
        <f>B1711*100</f>
        <v/>
      </c>
    </row>
    <row r="1712">
      <c r="A1712" s="12" t="n">
        <v>45138</v>
      </c>
      <c r="B1712" s="13" t="n">
        <v>0.1462</v>
      </c>
      <c r="C1712" s="14">
        <f>B1712*100</f>
        <v/>
      </c>
    </row>
    <row r="1713">
      <c r="A1713" s="12" t="n">
        <v>45139</v>
      </c>
      <c r="B1713" s="13" t="n">
        <v>0.1782</v>
      </c>
      <c r="C1713" s="14">
        <f>B1713*100</f>
        <v/>
      </c>
    </row>
    <row r="1714">
      <c r="A1714" s="12" t="n">
        <v>45140</v>
      </c>
      <c r="B1714" s="13" t="n">
        <v>0.1871</v>
      </c>
      <c r="C1714" s="14">
        <f>B1714*100</f>
        <v/>
      </c>
    </row>
    <row r="1715">
      <c r="A1715" s="12" t="n">
        <v>45141</v>
      </c>
      <c r="B1715" s="13" t="n">
        <v>0.2234</v>
      </c>
      <c r="C1715" s="14">
        <f>B1715*100</f>
        <v/>
      </c>
    </row>
    <row r="1716">
      <c r="A1716" s="12" t="n">
        <v>45142</v>
      </c>
      <c r="B1716" s="13" t="n">
        <v>0.1767</v>
      </c>
      <c r="C1716" s="14">
        <f>B1716*100</f>
        <v/>
      </c>
    </row>
    <row r="1717">
      <c r="A1717" s="12" t="n">
        <v>45145</v>
      </c>
      <c r="B1717" s="13" t="n">
        <v>0.1763</v>
      </c>
      <c r="C1717" s="14">
        <f>B1717*100</f>
        <v/>
      </c>
    </row>
    <row r="1718">
      <c r="A1718" s="12" t="n">
        <v>45146</v>
      </c>
      <c r="B1718" s="13" t="n">
        <v>0.1501</v>
      </c>
      <c r="C1718" s="14">
        <f>B1718*100</f>
        <v/>
      </c>
    </row>
    <row r="1719">
      <c r="A1719" s="12" t="n">
        <v>45147</v>
      </c>
      <c r="B1719" s="13" t="n">
        <v>0.1469</v>
      </c>
      <c r="C1719" s="14">
        <f>B1719*100</f>
        <v/>
      </c>
    </row>
    <row r="1720">
      <c r="A1720" s="12" t="n">
        <v>45148</v>
      </c>
      <c r="B1720" s="13" t="n">
        <v>0.1804</v>
      </c>
      <c r="C1720" s="14">
        <f>B1720*100</f>
        <v/>
      </c>
    </row>
    <row r="1721">
      <c r="A1721" s="12" t="n">
        <v>45149</v>
      </c>
      <c r="B1721" s="13" t="n">
        <v>0.2238</v>
      </c>
      <c r="C1721" s="14">
        <f>B1721*100</f>
        <v/>
      </c>
    </row>
    <row r="1722">
      <c r="A1722" s="12" t="n">
        <v>45152</v>
      </c>
      <c r="B1722" s="13" t="n">
        <v>0.2442</v>
      </c>
      <c r="C1722" s="14">
        <f>B1722*100</f>
        <v/>
      </c>
    </row>
    <row r="1723">
      <c r="A1723" s="12" t="n">
        <v>45153</v>
      </c>
      <c r="B1723" s="13" t="n">
        <v>0.257</v>
      </c>
      <c r="C1723" s="14">
        <f>B1723*100</f>
        <v/>
      </c>
    </row>
    <row r="1724">
      <c r="A1724" s="12" t="n">
        <v>45154</v>
      </c>
      <c r="B1724" s="13" t="n">
        <v>0.2845</v>
      </c>
      <c r="C1724" s="14">
        <f>B1724*100</f>
        <v/>
      </c>
    </row>
    <row r="1725">
      <c r="A1725" s="12" t="n">
        <v>45155</v>
      </c>
      <c r="B1725" s="13" t="n">
        <v>0.3002</v>
      </c>
      <c r="C1725" s="14">
        <f>B1725*100</f>
        <v/>
      </c>
    </row>
    <row r="1726">
      <c r="A1726" s="12" t="n">
        <v>45156</v>
      </c>
      <c r="B1726" s="13" t="n">
        <v>0.2909</v>
      </c>
      <c r="C1726" s="14">
        <f>B1726*100</f>
        <v/>
      </c>
    </row>
    <row r="1727">
      <c r="A1727" s="12" t="n">
        <v>45159</v>
      </c>
      <c r="B1727" s="13" t="n">
        <v>0.319</v>
      </c>
      <c r="C1727" s="14">
        <f>B1727*100</f>
        <v/>
      </c>
    </row>
    <row r="1728">
      <c r="A1728" s="12" t="n">
        <v>45160</v>
      </c>
      <c r="B1728" s="13" t="n">
        <v>0.344</v>
      </c>
      <c r="C1728" s="14">
        <f>B1728*100</f>
        <v/>
      </c>
    </row>
    <row r="1729">
      <c r="A1729" s="12" t="n">
        <v>45161</v>
      </c>
      <c r="B1729" s="13" t="n">
        <v>0.2849</v>
      </c>
      <c r="C1729" s="14">
        <f>B1729*100</f>
        <v/>
      </c>
    </row>
    <row r="1730">
      <c r="A1730" s="12" t="n">
        <v>45162</v>
      </c>
      <c r="B1730" s="13" t="n">
        <v>0.281</v>
      </c>
      <c r="C1730" s="14">
        <f>B1730*100</f>
        <v/>
      </c>
    </row>
    <row r="1731">
      <c r="A1731" s="12" t="n">
        <v>45163</v>
      </c>
      <c r="B1731" s="13" t="n">
        <v>0.287</v>
      </c>
      <c r="C1731" s="14">
        <f>B1731*100</f>
        <v/>
      </c>
    </row>
    <row r="1732">
      <c r="A1732" s="12" t="n">
        <v>45166</v>
      </c>
      <c r="B1732" s="13" t="n">
        <v>0.268</v>
      </c>
      <c r="C1732" s="14">
        <f>B1732*100</f>
        <v/>
      </c>
    </row>
    <row r="1733">
      <c r="A1733" s="12" t="n">
        <v>45167</v>
      </c>
      <c r="B1733" s="13" t="n">
        <v>0.2235</v>
      </c>
      <c r="C1733" s="14">
        <f>B1733*100</f>
        <v/>
      </c>
    </row>
    <row r="1734">
      <c r="A1734" s="12" t="n">
        <v>45168</v>
      </c>
      <c r="B1734" s="13" t="n">
        <v>0.2192</v>
      </c>
      <c r="C1734" s="14">
        <f>B1734*100</f>
        <v/>
      </c>
    </row>
    <row r="1735">
      <c r="A1735" s="12" t="n">
        <v>45169</v>
      </c>
      <c r="B1735" s="13" t="n">
        <v>0.2064</v>
      </c>
      <c r="C1735" s="14">
        <f>B1735*100</f>
        <v/>
      </c>
    </row>
    <row r="1736">
      <c r="A1736" s="12" t="n">
        <v>45170</v>
      </c>
      <c r="B1736" s="13" t="n">
        <v>0.2341</v>
      </c>
      <c r="C1736" s="14">
        <f>B1736*100</f>
        <v/>
      </c>
    </row>
    <row r="1737">
      <c r="A1737" s="12" t="n">
        <v>45174</v>
      </c>
      <c r="B1737" s="13" t="n">
        <v>0.2709</v>
      </c>
      <c r="C1737" s="14">
        <f>B1737*100</f>
        <v/>
      </c>
    </row>
    <row r="1738">
      <c r="A1738" s="12" t="n">
        <v>45175</v>
      </c>
      <c r="B1738" s="13" t="n">
        <v>0.3118</v>
      </c>
      <c r="C1738" s="14">
        <f>B1738*100</f>
        <v/>
      </c>
    </row>
    <row r="1739">
      <c r="A1739" s="12" t="n">
        <v>45176</v>
      </c>
      <c r="B1739" s="13" t="n">
        <v>0.2928</v>
      </c>
      <c r="C1739" s="14">
        <f>B1739*100</f>
        <v/>
      </c>
    </row>
    <row r="1740">
      <c r="A1740" s="12" t="n">
        <v>45177</v>
      </c>
      <c r="B1740" s="13" t="n">
        <v>0.2894</v>
      </c>
      <c r="C1740" s="14">
        <f>B1740*100</f>
        <v/>
      </c>
    </row>
    <row r="1741">
      <c r="A1741" s="12" t="n">
        <v>45180</v>
      </c>
      <c r="B1741" s="13" t="n">
        <v>0.2943</v>
      </c>
      <c r="C1741" s="14">
        <f>B1741*100</f>
        <v/>
      </c>
    </row>
    <row r="1742">
      <c r="A1742" s="12" t="n">
        <v>45181</v>
      </c>
      <c r="B1742" s="13" t="n">
        <v>0.2912</v>
      </c>
      <c r="C1742" s="14">
        <f>B1742*100</f>
        <v/>
      </c>
    </row>
    <row r="1743">
      <c r="A1743" s="12" t="n">
        <v>45182</v>
      </c>
      <c r="B1743" s="13" t="n">
        <v>0.2823</v>
      </c>
      <c r="C1743" s="14">
        <f>B1743*100</f>
        <v/>
      </c>
    </row>
    <row r="1744">
      <c r="A1744" s="12" t="n">
        <v>45183</v>
      </c>
      <c r="B1744" s="13" t="n">
        <v>0.2937</v>
      </c>
      <c r="C1744" s="14">
        <f>B1744*100</f>
        <v/>
      </c>
    </row>
    <row r="1745">
      <c r="A1745" s="12" t="n">
        <v>45184</v>
      </c>
      <c r="B1745" s="13" t="n">
        <v>0.3248</v>
      </c>
      <c r="C1745" s="14">
        <f>B1745*100</f>
        <v/>
      </c>
    </row>
    <row r="1746">
      <c r="A1746" s="12" t="n">
        <v>45187</v>
      </c>
      <c r="B1746" s="13" t="n">
        <v>0.3342</v>
      </c>
      <c r="C1746" s="14">
        <f>B1746*100</f>
        <v/>
      </c>
    </row>
    <row r="1747">
      <c r="A1747" s="12" t="n">
        <v>45188</v>
      </c>
      <c r="B1747" s="13" t="n">
        <v>0.3539</v>
      </c>
      <c r="C1747" s="14">
        <f>B1747*100</f>
        <v/>
      </c>
    </row>
    <row r="1748">
      <c r="A1748" s="12" t="n">
        <v>45189</v>
      </c>
      <c r="B1748" s="13" t="n">
        <v>0.3546</v>
      </c>
      <c r="C1748" s="14">
        <f>B1748*100</f>
        <v/>
      </c>
    </row>
    <row r="1749">
      <c r="A1749" s="12" t="n">
        <v>45190</v>
      </c>
      <c r="B1749" s="13" t="n">
        <v>0.4021</v>
      </c>
      <c r="C1749" s="14">
        <f>B1749*100</f>
        <v/>
      </c>
    </row>
    <row r="1750">
      <c r="A1750" s="12" t="n">
        <v>45191</v>
      </c>
      <c r="B1750" s="13" t="n">
        <v>0.4001</v>
      </c>
      <c r="C1750" s="14">
        <f>B1750*100</f>
        <v/>
      </c>
    </row>
    <row r="1751">
      <c r="A1751" s="12" t="n">
        <v>45194</v>
      </c>
      <c r="B1751" s="13" t="n">
        <v>0.4318</v>
      </c>
      <c r="C1751" s="14">
        <f>B1751*100</f>
        <v/>
      </c>
    </row>
    <row r="1752">
      <c r="A1752" s="12" t="n">
        <v>45195</v>
      </c>
      <c r="B1752" s="13" t="n">
        <v>0.4471</v>
      </c>
      <c r="C1752" s="14">
        <f>B1752*100</f>
        <v/>
      </c>
    </row>
    <row r="1753">
      <c r="A1753" s="12" t="n">
        <v>45196</v>
      </c>
      <c r="B1753" s="13" t="n">
        <v>0.4779</v>
      </c>
      <c r="C1753" s="14">
        <f>B1753*100</f>
        <v/>
      </c>
    </row>
    <row r="1754">
      <c r="A1754" s="12" t="n">
        <v>45197</v>
      </c>
      <c r="B1754" s="13" t="n">
        <v>0.472</v>
      </c>
      <c r="C1754" s="14">
        <f>B1754*100</f>
        <v/>
      </c>
    </row>
    <row r="1755">
      <c r="A1755" s="12" t="n">
        <v>45198</v>
      </c>
      <c r="B1755" s="13" t="n">
        <v>0.47</v>
      </c>
      <c r="C1755" s="14">
        <f>B1755*100</f>
        <v/>
      </c>
    </row>
    <row r="1756">
      <c r="A1756" s="12" t="n">
        <v>45201</v>
      </c>
      <c r="B1756" s="13" t="n">
        <v>0.5083</v>
      </c>
      <c r="C1756" s="14">
        <f>B1756*100</f>
        <v/>
      </c>
    </row>
    <row r="1757">
      <c r="A1757" s="12" t="n">
        <v>45202</v>
      </c>
      <c r="B1757" s="13" t="n">
        <v>0.5610000000000001</v>
      </c>
      <c r="C1757" s="14">
        <f>B1757*100</f>
        <v/>
      </c>
    </row>
    <row r="1758">
      <c r="A1758" s="12" t="n">
        <v>45203</v>
      </c>
      <c r="B1758" s="13" t="n">
        <v>0.5429</v>
      </c>
      <c r="C1758" s="14">
        <f>B1758*100</f>
        <v/>
      </c>
    </row>
    <row r="1759">
      <c r="A1759" s="12" t="n">
        <v>45204</v>
      </c>
      <c r="B1759" s="13" t="n">
        <v>0.5338000000000001</v>
      </c>
      <c r="C1759" s="14">
        <f>B1759*100</f>
        <v/>
      </c>
    </row>
    <row r="1760">
      <c r="A1760" s="12" t="n">
        <v>45205</v>
      </c>
      <c r="B1760" s="13" t="n">
        <v>0.5494</v>
      </c>
      <c r="C1760" s="14">
        <f>B1760*100</f>
        <v/>
      </c>
    </row>
    <row r="1761">
      <c r="A1761" s="12" t="n">
        <v>45209</v>
      </c>
      <c r="B1761" s="13" t="n">
        <v>0.5082</v>
      </c>
      <c r="C1761" s="14">
        <f>B1761*100</f>
        <v/>
      </c>
    </row>
    <row r="1762">
      <c r="A1762" s="12" t="n">
        <v>45210</v>
      </c>
      <c r="B1762" s="13" t="n">
        <v>0.4753</v>
      </c>
      <c r="C1762" s="14">
        <f>B1762*100</f>
        <v/>
      </c>
    </row>
    <row r="1763">
      <c r="A1763" s="12" t="n">
        <v>45211</v>
      </c>
      <c r="B1763" s="13" t="n">
        <v>0.5158</v>
      </c>
      <c r="C1763" s="14">
        <f>B1763*100</f>
        <v/>
      </c>
    </row>
    <row r="1764">
      <c r="A1764" s="12" t="n">
        <v>45212</v>
      </c>
      <c r="B1764" s="13" t="n">
        <v>0.5009</v>
      </c>
      <c r="C1764" s="14">
        <f>B1764*100</f>
        <v/>
      </c>
    </row>
    <row r="1765">
      <c r="A1765" s="12" t="n">
        <v>45215</v>
      </c>
      <c r="B1765" s="13" t="n">
        <v>0.528</v>
      </c>
      <c r="C1765" s="14">
        <f>B1765*100</f>
        <v/>
      </c>
    </row>
    <row r="1766">
      <c r="A1766" s="12" t="n">
        <v>45216</v>
      </c>
      <c r="B1766" s="13" t="n">
        <v>0.5866</v>
      </c>
      <c r="C1766" s="14">
        <f>B1766*100</f>
        <v/>
      </c>
    </row>
    <row r="1767">
      <c r="A1767" s="12" t="n">
        <v>45217</v>
      </c>
      <c r="B1767" s="13" t="n">
        <v>0.6229</v>
      </c>
      <c r="C1767" s="14">
        <f>B1767*100</f>
        <v/>
      </c>
    </row>
    <row r="1768">
      <c r="A1768" s="12" t="n">
        <v>45218</v>
      </c>
      <c r="B1768" s="13" t="n">
        <v>0.6589</v>
      </c>
      <c r="C1768" s="14">
        <f>B1768*100</f>
        <v/>
      </c>
    </row>
    <row r="1769">
      <c r="A1769" s="12" t="n">
        <v>45219</v>
      </c>
      <c r="B1769" s="13" t="n">
        <v>0.6484</v>
      </c>
      <c r="C1769" s="14">
        <f>B1769*100</f>
        <v/>
      </c>
    </row>
    <row r="1770">
      <c r="A1770" s="12" t="n">
        <v>45222</v>
      </c>
      <c r="B1770" s="13" t="n">
        <v>0.6222</v>
      </c>
      <c r="C1770" s="14">
        <f>B1770*100</f>
        <v/>
      </c>
    </row>
    <row r="1771">
      <c r="A1771" s="12" t="n">
        <v>45223</v>
      </c>
      <c r="B1771" s="13" t="n">
        <v>0.614</v>
      </c>
      <c r="C1771" s="14">
        <f>B1771*100</f>
        <v/>
      </c>
    </row>
    <row r="1772">
      <c r="A1772" s="12" t="n">
        <v>45224</v>
      </c>
      <c r="B1772" s="13" t="n">
        <v>0.6526999999999999</v>
      </c>
      <c r="C1772" s="14">
        <f>B1772*100</f>
        <v/>
      </c>
    </row>
    <row r="1773">
      <c r="A1773" s="12" t="n">
        <v>45225</v>
      </c>
      <c r="B1773" s="13" t="n">
        <v>0.6267</v>
      </c>
      <c r="C1773" s="14">
        <f>B1773*100</f>
        <v/>
      </c>
    </row>
    <row r="1774">
      <c r="A1774" s="12" t="n">
        <v>45226</v>
      </c>
      <c r="B1774" s="13" t="n">
        <v>0.6091</v>
      </c>
      <c r="C1774" s="14">
        <f>B1774*100</f>
        <v/>
      </c>
    </row>
    <row r="1775">
      <c r="A1775" s="12" t="n">
        <v>45229</v>
      </c>
      <c r="B1775" s="13" t="n">
        <v>0.6183</v>
      </c>
      <c r="C1775" s="14">
        <f>B1775*100</f>
        <v/>
      </c>
    </row>
    <row r="1776">
      <c r="A1776" s="12" t="n">
        <v>45230</v>
      </c>
      <c r="B1776" s="13" t="n">
        <v>0.6231</v>
      </c>
      <c r="C1776" s="14">
        <f>B1776*100</f>
        <v/>
      </c>
    </row>
    <row r="1777">
      <c r="A1777" s="12" t="n">
        <v>45231</v>
      </c>
      <c r="B1777" s="13" t="n">
        <v>0.5727</v>
      </c>
      <c r="C1777" s="14">
        <f>B1777*100</f>
        <v/>
      </c>
    </row>
    <row r="1778">
      <c r="A1778" s="12" t="n">
        <v>45232</v>
      </c>
      <c r="B1778" s="13" t="n">
        <v>0.5361</v>
      </c>
      <c r="C1778" s="14">
        <f>B1778*100</f>
        <v/>
      </c>
    </row>
    <row r="1779">
      <c r="A1779" s="12" t="n">
        <v>45233</v>
      </c>
      <c r="B1779" s="13" t="n">
        <v>0.4743</v>
      </c>
      <c r="C1779" s="14">
        <f>B1779*100</f>
        <v/>
      </c>
    </row>
    <row r="1780">
      <c r="A1780" s="12" t="n">
        <v>45236</v>
      </c>
      <c r="B1780" s="13" t="n">
        <v>0.4988</v>
      </c>
      <c r="C1780" s="14">
        <f>B1780*100</f>
        <v/>
      </c>
    </row>
    <row r="1781">
      <c r="A1781" s="12" t="n">
        <v>45237</v>
      </c>
      <c r="B1781" s="13" t="n">
        <v>0.4733</v>
      </c>
      <c r="C1781" s="14">
        <f>B1781*100</f>
        <v/>
      </c>
    </row>
    <row r="1782">
      <c r="A1782" s="12" t="n">
        <v>45238</v>
      </c>
      <c r="B1782" s="13" t="n">
        <v>0.4517</v>
      </c>
      <c r="C1782" s="14">
        <f>B1782*100</f>
        <v/>
      </c>
    </row>
    <row r="1783">
      <c r="A1783" s="12" t="n">
        <v>45239</v>
      </c>
      <c r="B1783" s="13" t="n">
        <v>0.5006</v>
      </c>
      <c r="C1783" s="14">
        <f>B1783*100</f>
        <v/>
      </c>
    </row>
    <row r="1784">
      <c r="A1784" s="12" t="n">
        <v>45240</v>
      </c>
      <c r="B1784" s="13" t="n">
        <v>0.5113</v>
      </c>
      <c r="C1784" s="14">
        <f>B1784*100</f>
        <v/>
      </c>
    </row>
    <row r="1785">
      <c r="A1785" s="12" t="n">
        <v>45243</v>
      </c>
      <c r="B1785" s="13" t="n">
        <v>0.5159</v>
      </c>
      <c r="C1785" s="14">
        <f>B1785*100</f>
        <v/>
      </c>
    </row>
    <row r="1786">
      <c r="A1786" s="12" t="n">
        <v>45244</v>
      </c>
      <c r="B1786" s="13" t="n">
        <v>0.4265</v>
      </c>
      <c r="C1786" s="14">
        <f>B1786*100</f>
        <v/>
      </c>
    </row>
    <row r="1787">
      <c r="A1787" s="12" t="n">
        <v>45245</v>
      </c>
      <c r="B1787" s="13" t="n">
        <v>0.4434</v>
      </c>
      <c r="C1787" s="14">
        <f>B1787*100</f>
        <v/>
      </c>
    </row>
    <row r="1788">
      <c r="A1788" s="12" t="n">
        <v>45246</v>
      </c>
      <c r="B1788" s="13" t="n">
        <v>0.4159</v>
      </c>
      <c r="C1788" s="14">
        <f>B1788*100</f>
        <v/>
      </c>
    </row>
    <row r="1789">
      <c r="A1789" s="12" t="n">
        <v>45247</v>
      </c>
      <c r="B1789" s="13" t="n">
        <v>0.4088</v>
      </c>
      <c r="C1789" s="14">
        <f>B1789*100</f>
        <v/>
      </c>
    </row>
    <row r="1790">
      <c r="A1790" s="12" t="n">
        <v>45250</v>
      </c>
      <c r="B1790" s="13" t="n">
        <v>0.3965</v>
      </c>
      <c r="C1790" s="14">
        <f>B1790*100</f>
        <v/>
      </c>
    </row>
    <row r="1791">
      <c r="A1791" s="12" t="n">
        <v>45251</v>
      </c>
      <c r="B1791" s="13" t="n">
        <v>0.3857</v>
      </c>
      <c r="C1791" s="14">
        <f>B1791*100</f>
        <v/>
      </c>
    </row>
    <row r="1792">
      <c r="A1792" s="12" t="n">
        <v>45252</v>
      </c>
      <c r="B1792" s="13" t="n">
        <v>0.3873</v>
      </c>
      <c r="C1792" s="14">
        <f>B1792*100</f>
        <v/>
      </c>
    </row>
    <row r="1793">
      <c r="A1793" s="12" t="n">
        <v>45254</v>
      </c>
      <c r="B1793" s="13" t="n">
        <v>0.4162</v>
      </c>
      <c r="C1793" s="14">
        <f>B1793*100</f>
        <v/>
      </c>
    </row>
    <row r="1794">
      <c r="A1794" s="12" t="n">
        <v>45257</v>
      </c>
      <c r="B1794" s="13" t="n">
        <v>0.3827</v>
      </c>
      <c r="C1794" s="14">
        <f>B1794*100</f>
        <v/>
      </c>
    </row>
    <row r="1795">
      <c r="A1795" s="12" t="n">
        <v>45258</v>
      </c>
      <c r="B1795" s="13" t="n">
        <v>0.3486</v>
      </c>
      <c r="C1795" s="14">
        <f>B1795*100</f>
        <v/>
      </c>
    </row>
    <row r="1796">
      <c r="A1796" s="12" t="n">
        <v>45259</v>
      </c>
      <c r="B1796" s="13" t="n">
        <v>0.3149</v>
      </c>
      <c r="C1796" s="14">
        <f>B1796*100</f>
        <v/>
      </c>
    </row>
    <row r="1797">
      <c r="A1797" s="12" t="n">
        <v>45260</v>
      </c>
      <c r="B1797" s="13" t="n">
        <v>0.3449</v>
      </c>
      <c r="C1797" s="14">
        <f>B1797*100</f>
        <v/>
      </c>
    </row>
    <row r="1798">
      <c r="A1798" s="12" t="n">
        <v>45261</v>
      </c>
      <c r="B1798" s="13" t="n">
        <v>0.2922</v>
      </c>
      <c r="C1798" s="14">
        <f>B1798*100</f>
        <v/>
      </c>
    </row>
    <row r="1799">
      <c r="A1799" s="12" t="n">
        <v>45264</v>
      </c>
      <c r="B1799" s="13" t="n">
        <v>0.3084</v>
      </c>
      <c r="C1799" s="14">
        <f>B1799*100</f>
        <v/>
      </c>
    </row>
    <row r="1800">
      <c r="A1800" s="12" t="n">
        <v>45265</v>
      </c>
      <c r="B1800" s="13" t="n">
        <v>0.2737</v>
      </c>
      <c r="C1800" s="14">
        <f>B1800*100</f>
        <v/>
      </c>
    </row>
    <row r="1801">
      <c r="A1801" s="12" t="n">
        <v>45266</v>
      </c>
      <c r="B1801" s="13" t="n">
        <v>0.2458</v>
      </c>
      <c r="C1801" s="14">
        <f>B1801*100</f>
        <v/>
      </c>
    </row>
    <row r="1802">
      <c r="A1802" s="12" t="n">
        <v>45267</v>
      </c>
      <c r="B1802" s="13" t="n">
        <v>0.2399</v>
      </c>
      <c r="C1802" s="14">
        <f>B1802*100</f>
        <v/>
      </c>
    </row>
    <row r="1803">
      <c r="A1803" s="12" t="n">
        <v>45268</v>
      </c>
      <c r="B1803" s="13" t="n">
        <v>0.2801</v>
      </c>
      <c r="C1803" s="14">
        <f>B1803*100</f>
        <v/>
      </c>
    </row>
    <row r="1804">
      <c r="A1804" s="12" t="n">
        <v>45271</v>
      </c>
      <c r="B1804" s="13" t="n">
        <v>0.2898</v>
      </c>
      <c r="C1804" s="14">
        <f>B1804*100</f>
        <v/>
      </c>
    </row>
    <row r="1805">
      <c r="A1805" s="12" t="n">
        <v>45272</v>
      </c>
      <c r="B1805" s="13" t="n">
        <v>0.2781</v>
      </c>
      <c r="C1805" s="14">
        <f>B1805*100</f>
        <v/>
      </c>
    </row>
    <row r="1806">
      <c r="A1806" s="12" t="n">
        <v>45273</v>
      </c>
      <c r="B1806" s="13" t="n">
        <v>0.2019</v>
      </c>
      <c r="C1806" s="14">
        <f>B1806*100</f>
        <v/>
      </c>
    </row>
    <row r="1807">
      <c r="A1807" s="12" t="n">
        <v>45274</v>
      </c>
      <c r="B1807" s="13" t="n">
        <v>0.1418</v>
      </c>
      <c r="C1807" s="14">
        <f>B1807*100</f>
        <v/>
      </c>
    </row>
    <row r="1808">
      <c r="A1808" s="12" t="n">
        <v>45275</v>
      </c>
      <c r="B1808" s="13" t="n">
        <v>0.1259</v>
      </c>
      <c r="C1808" s="14">
        <f>B1808*100</f>
        <v/>
      </c>
    </row>
    <row r="1809">
      <c r="A1809" s="12" t="n">
        <v>45278</v>
      </c>
      <c r="B1809" s="13" t="n">
        <v>0.132</v>
      </c>
      <c r="C1809" s="14">
        <f>B1809*100</f>
        <v/>
      </c>
    </row>
    <row r="1810">
      <c r="A1810" s="12" t="n">
        <v>45279</v>
      </c>
      <c r="B1810" s="13" t="n">
        <v>0.1308</v>
      </c>
      <c r="C1810" s="14">
        <f>B1810*100</f>
        <v/>
      </c>
    </row>
    <row r="1811">
      <c r="A1811" s="12" t="n">
        <v>45280</v>
      </c>
      <c r="B1811" s="13" t="n">
        <v>0.1007</v>
      </c>
      <c r="C1811" s="14">
        <f>B1811*100</f>
        <v/>
      </c>
    </row>
    <row r="1812">
      <c r="A1812" s="12" t="n">
        <v>45281</v>
      </c>
      <c r="B1812" s="13" t="n">
        <v>0.1039</v>
      </c>
      <c r="C1812" s="14">
        <f>B1812*100</f>
        <v/>
      </c>
    </row>
    <row r="1813">
      <c r="A1813" s="12" t="n">
        <v>45282</v>
      </c>
      <c r="B1813" s="13" t="n">
        <v>0.1065</v>
      </c>
      <c r="C1813" s="14">
        <f>B1813*100</f>
        <v/>
      </c>
    </row>
    <row r="1814">
      <c r="A1814" s="12" t="n">
        <v>45286</v>
      </c>
      <c r="B1814" s="13" t="n">
        <v>0.1095</v>
      </c>
      <c r="C1814" s="14">
        <f>B1814*100</f>
        <v/>
      </c>
    </row>
    <row r="1815">
      <c r="A1815" s="12" t="n">
        <v>45287</v>
      </c>
      <c r="B1815" s="13" t="n">
        <v>0.06809999999999999</v>
      </c>
      <c r="C1815" s="14">
        <f>B1815*100</f>
        <v/>
      </c>
    </row>
    <row r="1816">
      <c r="A1816" s="12" t="n">
        <v>45288</v>
      </c>
      <c r="B1816" s="13" t="n">
        <v>0.0756</v>
      </c>
      <c r="C1816" s="14">
        <f>B1816*100</f>
        <v/>
      </c>
    </row>
    <row r="1817">
      <c r="A1817" s="12" t="n">
        <v>45289</v>
      </c>
      <c r="B1817" s="13" t="n">
        <v>0.0917</v>
      </c>
      <c r="C1817" s="14">
        <f>B1817*100</f>
        <v/>
      </c>
    </row>
    <row r="1818">
      <c r="A1818" s="12" t="n">
        <v>45293</v>
      </c>
      <c r="B1818" s="13" t="n">
        <v>0.1253</v>
      </c>
      <c r="C1818" s="14">
        <f>B1818*100</f>
        <v/>
      </c>
    </row>
    <row r="1819">
      <c r="A1819" s="12" t="n">
        <v>45294</v>
      </c>
      <c r="B1819" s="13" t="n">
        <v>0.12</v>
      </c>
      <c r="C1819" s="14">
        <f>B1819*100</f>
        <v/>
      </c>
    </row>
    <row r="1820">
      <c r="A1820" s="12" t="n">
        <v>45295</v>
      </c>
      <c r="B1820" s="13" t="n">
        <v>0.1492</v>
      </c>
      <c r="C1820" s="14">
        <f>B1820*100</f>
        <v/>
      </c>
    </row>
    <row r="1821">
      <c r="A1821" s="12" t="n">
        <v>45296</v>
      </c>
      <c r="B1821" s="13" t="n">
        <v>0.1779</v>
      </c>
      <c r="C1821" s="14">
        <f>B1821*100</f>
        <v/>
      </c>
    </row>
    <row r="1822">
      <c r="A1822" s="12" t="n">
        <v>45299</v>
      </c>
      <c r="B1822" s="13" t="n">
        <v>0.1683</v>
      </c>
      <c r="C1822" s="14">
        <f>B1822*100</f>
        <v/>
      </c>
    </row>
    <row r="1823">
      <c r="A1823" s="12" t="n">
        <v>45300</v>
      </c>
      <c r="B1823" s="13" t="n">
        <v>0.1689</v>
      </c>
      <c r="C1823" s="14">
        <f>B1823*100</f>
        <v/>
      </c>
    </row>
    <row r="1824">
      <c r="A1824" s="12" t="n">
        <v>45301</v>
      </c>
      <c r="B1824" s="13" t="n">
        <v>0.1764</v>
      </c>
      <c r="C1824" s="14">
        <f>B1824*100</f>
        <v/>
      </c>
    </row>
    <row r="1825">
      <c r="A1825" s="12" t="n">
        <v>45302</v>
      </c>
      <c r="B1825" s="13" t="n">
        <v>0.1524</v>
      </c>
      <c r="C1825" s="14">
        <f>B1825*100</f>
        <v/>
      </c>
    </row>
    <row r="1826">
      <c r="A1826" s="12" t="n">
        <v>45303</v>
      </c>
      <c r="B1826" s="13" t="n">
        <v>0.1305</v>
      </c>
      <c r="C1826" s="14">
        <f>B1826*100</f>
        <v/>
      </c>
    </row>
    <row r="1827">
      <c r="A1827" s="12" t="n">
        <v>45307</v>
      </c>
      <c r="B1827" s="13" t="n">
        <v>0.1744</v>
      </c>
      <c r="C1827" s="14">
        <f>B1827*100</f>
        <v/>
      </c>
    </row>
    <row r="1828">
      <c r="A1828" s="12" t="n">
        <v>45308</v>
      </c>
      <c r="B1828" s="13" t="n">
        <v>0.2078</v>
      </c>
      <c r="C1828" s="14">
        <f>B1828*100</f>
        <v/>
      </c>
    </row>
    <row r="1829">
      <c r="A1829" s="12" t="n">
        <v>45309</v>
      </c>
      <c r="B1829" s="13" t="n">
        <v>0.2274</v>
      </c>
      <c r="C1829" s="14">
        <f>B1829*100</f>
        <v/>
      </c>
    </row>
    <row r="1830">
      <c r="A1830" s="12" t="n">
        <v>45310</v>
      </c>
      <c r="B1830" s="13" t="n">
        <v>0.2423</v>
      </c>
      <c r="C1830" s="14">
        <f>B1830*100</f>
        <v/>
      </c>
    </row>
    <row r="1831">
      <c r="A1831" s="12" t="n">
        <v>45313</v>
      </c>
      <c r="B1831" s="13" t="n">
        <v>0.2253</v>
      </c>
      <c r="C1831" s="14">
        <f>B1831*100</f>
        <v/>
      </c>
    </row>
    <row r="1832">
      <c r="A1832" s="12" t="n">
        <v>45314</v>
      </c>
      <c r="B1832" s="13" t="n">
        <v>0.2338</v>
      </c>
      <c r="C1832" s="14">
        <f>B1832*100</f>
        <v/>
      </c>
    </row>
    <row r="1833">
      <c r="A1833" s="12" t="n">
        <v>45315</v>
      </c>
      <c r="B1833" s="13" t="n">
        <v>0.2518</v>
      </c>
      <c r="C1833" s="14">
        <f>B1833*100</f>
        <v/>
      </c>
    </row>
    <row r="1834">
      <c r="A1834" s="12" t="n">
        <v>45316</v>
      </c>
      <c r="B1834" s="13" t="n">
        <v>0.2376</v>
      </c>
      <c r="C1834" s="14">
        <f>B1834*100</f>
        <v/>
      </c>
    </row>
    <row r="1835">
      <c r="A1835" s="12" t="n">
        <v>45317</v>
      </c>
      <c r="B1835" s="13" t="n">
        <v>0.2461</v>
      </c>
      <c r="C1835" s="14">
        <f>B1835*100</f>
        <v/>
      </c>
    </row>
    <row r="1836">
      <c r="A1836" s="12" t="n">
        <v>45320</v>
      </c>
      <c r="B1836" s="13" t="n">
        <v>0.2142</v>
      </c>
      <c r="C1836" s="14">
        <f>B1836*100</f>
        <v/>
      </c>
    </row>
    <row r="1837">
      <c r="A1837" s="12" t="n">
        <v>45321</v>
      </c>
      <c r="B1837" s="13" t="n">
        <v>0.2101</v>
      </c>
      <c r="C1837" s="14">
        <f>B1837*100</f>
        <v/>
      </c>
    </row>
    <row r="1838">
      <c r="A1838" s="12" t="n">
        <v>45322</v>
      </c>
      <c r="B1838" s="13" t="n">
        <v>0.1709</v>
      </c>
      <c r="C1838" s="14">
        <f>B1838*100</f>
        <v/>
      </c>
    </row>
    <row r="1839">
      <c r="A1839" s="12" t="n">
        <v>45323</v>
      </c>
      <c r="B1839" s="13" t="n">
        <v>0.1127</v>
      </c>
      <c r="C1839" s="14">
        <f>B1839*100</f>
        <v/>
      </c>
    </row>
    <row r="1840">
      <c r="A1840" s="12" t="n">
        <v>45324</v>
      </c>
      <c r="B1840" s="13" t="n">
        <v>0.1699</v>
      </c>
      <c r="C1840" s="14">
        <f>B1840*100</f>
        <v/>
      </c>
    </row>
    <row r="1841">
      <c r="A1841" s="12" t="n">
        <v>45327</v>
      </c>
      <c r="B1841" s="13" t="n">
        <v>0.2345</v>
      </c>
      <c r="C1841" s="14">
        <f>B1841*100</f>
        <v/>
      </c>
    </row>
    <row r="1842">
      <c r="A1842" s="12" t="n">
        <v>45328</v>
      </c>
      <c r="B1842" s="13" t="n">
        <v>0.216</v>
      </c>
      <c r="C1842" s="14">
        <f>B1842*100</f>
        <v/>
      </c>
    </row>
    <row r="1843">
      <c r="A1843" s="12" t="n">
        <v>45329</v>
      </c>
      <c r="B1843" s="13" t="n">
        <v>0.219</v>
      </c>
      <c r="C1843" s="14">
        <f>B1843*100</f>
        <v/>
      </c>
    </row>
    <row r="1844">
      <c r="A1844" s="12" t="n">
        <v>45330</v>
      </c>
      <c r="B1844" s="13" t="n">
        <v>0.2472</v>
      </c>
      <c r="C1844" s="14">
        <f>B1844*100</f>
        <v/>
      </c>
    </row>
    <row r="1845">
      <c r="A1845" s="12" t="n">
        <v>45331</v>
      </c>
      <c r="B1845" s="13" t="n">
        <v>0.2606</v>
      </c>
      <c r="C1845" s="14">
        <f>B1845*100</f>
        <v/>
      </c>
    </row>
    <row r="1846">
      <c r="A1846" s="12" t="n">
        <v>45334</v>
      </c>
      <c r="B1846" s="13" t="n">
        <v>0.2603</v>
      </c>
      <c r="C1846" s="14">
        <f>B1846*100</f>
        <v/>
      </c>
    </row>
    <row r="1847">
      <c r="A1847" s="12" t="n">
        <v>45335</v>
      </c>
      <c r="B1847" s="13" t="n">
        <v>0.3229</v>
      </c>
      <c r="C1847" s="14">
        <f>B1847*100</f>
        <v/>
      </c>
    </row>
    <row r="1848">
      <c r="A1848" s="12" t="n">
        <v>45336</v>
      </c>
      <c r="B1848" s="13" t="n">
        <v>0.3169</v>
      </c>
      <c r="C1848" s="14">
        <f>B1848*100</f>
        <v/>
      </c>
    </row>
    <row r="1849">
      <c r="A1849" s="12" t="n">
        <v>45337</v>
      </c>
      <c r="B1849" s="13" t="n">
        <v>0.3048</v>
      </c>
      <c r="C1849" s="14">
        <f>B1849*100</f>
        <v/>
      </c>
    </row>
    <row r="1850">
      <c r="A1850" s="12" t="n">
        <v>45338</v>
      </c>
      <c r="B1850" s="13" t="n">
        <v>0.3265</v>
      </c>
      <c r="C1850" s="14">
        <f>B1850*100</f>
        <v/>
      </c>
    </row>
    <row r="1851">
      <c r="A1851" s="12" t="n">
        <v>45342</v>
      </c>
      <c r="B1851" s="13" t="n">
        <v>0.3179</v>
      </c>
      <c r="C1851" s="14">
        <f>B1851*100</f>
        <v/>
      </c>
    </row>
    <row r="1852">
      <c r="A1852" s="12" t="n">
        <v>45343</v>
      </c>
      <c r="B1852" s="13" t="n">
        <v>0.3354</v>
      </c>
      <c r="C1852" s="14">
        <f>B1852*100</f>
        <v/>
      </c>
    </row>
    <row r="1853">
      <c r="A1853" s="12" t="n">
        <v>45344</v>
      </c>
      <c r="B1853" s="13" t="n">
        <v>0.3464</v>
      </c>
      <c r="C1853" s="14">
        <f>B1853*100</f>
        <v/>
      </c>
    </row>
    <row r="1854">
      <c r="A1854" s="12" t="n">
        <v>45345</v>
      </c>
      <c r="B1854" s="13" t="n">
        <v>0.3216</v>
      </c>
      <c r="C1854" s="14">
        <f>B1854*100</f>
        <v/>
      </c>
    </row>
    <row r="1855">
      <c r="A1855" s="12" t="n">
        <v>45348</v>
      </c>
      <c r="B1855" s="13" t="n">
        <v>0.324</v>
      </c>
      <c r="C1855" s="14">
        <f>B1855*100</f>
        <v/>
      </c>
    </row>
    <row r="1856">
      <c r="A1856" s="12" t="n">
        <v>45349</v>
      </c>
      <c r="B1856" s="13" t="n">
        <v>0.3332</v>
      </c>
      <c r="C1856" s="14">
        <f>B1856*100</f>
        <v/>
      </c>
    </row>
    <row r="1857">
      <c r="A1857" s="12" t="n">
        <v>45350</v>
      </c>
      <c r="B1857" s="13" t="n">
        <v>0.3191</v>
      </c>
      <c r="C1857" s="14">
        <f>B1857*100</f>
        <v/>
      </c>
    </row>
    <row r="1858">
      <c r="A1858" s="12" t="n">
        <v>45351</v>
      </c>
      <c r="B1858" s="13" t="n">
        <v>0.3095</v>
      </c>
      <c r="C1858" s="14">
        <f>B1858*100</f>
        <v/>
      </c>
    </row>
    <row r="1859">
      <c r="A1859" s="12" t="n">
        <v>45352</v>
      </c>
      <c r="B1859" s="13" t="n">
        <v>0.2769</v>
      </c>
      <c r="C1859" s="14">
        <f>B1859*100</f>
        <v/>
      </c>
    </row>
    <row r="1860">
      <c r="A1860" s="12" t="n">
        <v>45355</v>
      </c>
      <c r="B1860" s="13" t="n">
        <v>0.2855</v>
      </c>
      <c r="C1860" s="14">
        <f>B1860*100</f>
        <v/>
      </c>
    </row>
    <row r="1861">
      <c r="A1861" s="12" t="n">
        <v>45356</v>
      </c>
      <c r="B1861" s="13" t="n">
        <v>0.2527</v>
      </c>
      <c r="C1861" s="14">
        <f>B1861*100</f>
        <v/>
      </c>
    </row>
    <row r="1862">
      <c r="A1862" s="12" t="n">
        <v>45357</v>
      </c>
      <c r="B1862" s="13" t="n">
        <v>0.2334</v>
      </c>
      <c r="C1862" s="14">
        <f>B1862*100</f>
        <v/>
      </c>
    </row>
    <row r="1863">
      <c r="A1863" s="12" t="n">
        <v>45358</v>
      </c>
      <c r="B1863" s="13" t="n">
        <v>0.2143</v>
      </c>
      <c r="C1863" s="14">
        <f>B1863*100</f>
        <v/>
      </c>
    </row>
    <row r="1864">
      <c r="A1864" s="12" t="n">
        <v>45359</v>
      </c>
      <c r="B1864" s="13" t="n">
        <v>0.206</v>
      </c>
      <c r="C1864" s="14">
        <f>B1864*100</f>
        <v/>
      </c>
    </row>
    <row r="1865">
      <c r="A1865" s="12" t="n">
        <v>45362</v>
      </c>
      <c r="B1865" s="13" t="n">
        <v>0.2089</v>
      </c>
      <c r="C1865" s="14">
        <f>B1865*100</f>
        <v/>
      </c>
    </row>
    <row r="1866">
      <c r="A1866" s="12" t="n">
        <v>45363</v>
      </c>
      <c r="B1866" s="13" t="n">
        <v>0.2352</v>
      </c>
      <c r="C1866" s="14">
        <f>B1866*100</f>
        <v/>
      </c>
    </row>
    <row r="1867">
      <c r="A1867" s="12" t="n">
        <v>45364</v>
      </c>
      <c r="B1867" s="13" t="n">
        <v>0.253</v>
      </c>
      <c r="C1867" s="14">
        <f>B1867*100</f>
        <v/>
      </c>
    </row>
    <row r="1868">
      <c r="A1868" s="12" t="n">
        <v>45365</v>
      </c>
      <c r="B1868" s="13" t="n">
        <v>0.2993</v>
      </c>
      <c r="C1868" s="14">
        <f>B1868*100</f>
        <v/>
      </c>
    </row>
    <row r="1869">
      <c r="A1869" s="12" t="n">
        <v>45366</v>
      </c>
      <c r="B1869" s="13" t="n">
        <v>0.3209</v>
      </c>
      <c r="C1869" s="14">
        <f>B1869*100</f>
        <v/>
      </c>
    </row>
    <row r="1870">
      <c r="A1870" s="12" t="n">
        <v>45369</v>
      </c>
      <c r="B1870" s="13" t="n">
        <v>0.3378</v>
      </c>
      <c r="C1870" s="14">
        <f>B1870*100</f>
        <v/>
      </c>
    </row>
    <row r="1871">
      <c r="A1871" s="12" t="n">
        <v>45370</v>
      </c>
      <c r="B1871" s="13" t="n">
        <v>0.3261</v>
      </c>
      <c r="C1871" s="14">
        <f>B1871*100</f>
        <v/>
      </c>
    </row>
    <row r="1872">
      <c r="A1872" s="12" t="n">
        <v>45371</v>
      </c>
      <c r="B1872" s="13" t="n">
        <v>0.3088</v>
      </c>
      <c r="C1872" s="14">
        <f>B1872*100</f>
        <v/>
      </c>
    </row>
    <row r="1873">
      <c r="A1873" s="12" t="n">
        <v>45372</v>
      </c>
      <c r="B1873" s="13" t="n">
        <v>0.3083</v>
      </c>
      <c r="C1873" s="14">
        <f>B1873*100</f>
        <v/>
      </c>
    </row>
    <row r="1874">
      <c r="A1874" s="12" t="n">
        <v>45373</v>
      </c>
      <c r="B1874" s="13" t="n">
        <v>0.2852</v>
      </c>
      <c r="C1874" s="14">
        <f>B1874*100</f>
        <v/>
      </c>
    </row>
    <row r="1875">
      <c r="A1875" s="12" t="n">
        <v>45376</v>
      </c>
      <c r="B1875" s="13" t="n">
        <v>0.2927</v>
      </c>
      <c r="C1875" s="14">
        <f>B1875*100</f>
        <v/>
      </c>
    </row>
    <row r="1876">
      <c r="A1876" s="12" t="n">
        <v>45377</v>
      </c>
      <c r="B1876" s="13" t="n">
        <v>0.2909</v>
      </c>
      <c r="C1876" s="14">
        <f>B1876*100</f>
        <v/>
      </c>
    </row>
    <row r="1877">
      <c r="A1877" s="12" t="n">
        <v>45378</v>
      </c>
      <c r="B1877" s="13" t="n">
        <v>0.2735</v>
      </c>
      <c r="C1877" s="14">
        <f>B1877*100</f>
        <v/>
      </c>
    </row>
    <row r="1878">
      <c r="A1878" s="12" t="n">
        <v>45379</v>
      </c>
      <c r="B1878" s="13" t="n">
        <v>0.2732</v>
      </c>
      <c r="C1878" s="14">
        <f>B1878*100</f>
        <v/>
      </c>
    </row>
    <row r="1879">
      <c r="A1879" s="12" t="n">
        <v>45383</v>
      </c>
      <c r="B1879" s="13" t="n">
        <v>0.3193</v>
      </c>
      <c r="C1879" s="14">
        <f>B1879*100</f>
        <v/>
      </c>
    </row>
    <row r="1880">
      <c r="A1880" s="12" t="n">
        <v>45384</v>
      </c>
      <c r="B1880" s="13" t="n">
        <v>0.3425</v>
      </c>
      <c r="C1880" s="14">
        <f>B1880*100</f>
        <v/>
      </c>
    </row>
    <row r="1881">
      <c r="A1881" s="12" t="n">
        <v>45385</v>
      </c>
      <c r="B1881" s="13" t="n">
        <v>0.3469</v>
      </c>
      <c r="C1881" s="14">
        <f>B1881*100</f>
        <v/>
      </c>
    </row>
    <row r="1882">
      <c r="A1882" s="12" t="n">
        <v>45386</v>
      </c>
      <c r="B1882" s="13" t="n">
        <v>0.3344</v>
      </c>
      <c r="C1882" s="14">
        <f>B1882*100</f>
        <v/>
      </c>
    </row>
    <row r="1883">
      <c r="A1883" s="12" t="n">
        <v>45387</v>
      </c>
      <c r="B1883" s="13" t="n">
        <v>0.362</v>
      </c>
      <c r="C1883" s="14">
        <f>B1883*100</f>
        <v/>
      </c>
    </row>
    <row r="1884">
      <c r="A1884" s="12" t="n">
        <v>45390</v>
      </c>
      <c r="B1884" s="13" t="n">
        <v>0.383</v>
      </c>
      <c r="C1884" s="14">
        <f>B1884*100</f>
        <v/>
      </c>
    </row>
    <row r="1885">
      <c r="A1885" s="12" t="n">
        <v>45391</v>
      </c>
      <c r="B1885" s="13" t="n">
        <v>0.3656</v>
      </c>
      <c r="C1885" s="14">
        <f>B1885*100</f>
        <v/>
      </c>
    </row>
    <row r="1886">
      <c r="A1886" s="12" t="n">
        <v>45392</v>
      </c>
      <c r="B1886" s="13" t="n">
        <v>0.4428</v>
      </c>
      <c r="C1886" s="14">
        <f>B1886*100</f>
        <v/>
      </c>
    </row>
    <row r="1887">
      <c r="A1887" s="12" t="n">
        <v>45393</v>
      </c>
      <c r="B1887" s="13" t="n">
        <v>0.4587</v>
      </c>
      <c r="C1887" s="14">
        <f>B1887*100</f>
        <v/>
      </c>
    </row>
    <row r="1888">
      <c r="A1888" s="12" t="n">
        <v>45394</v>
      </c>
      <c r="B1888" s="13" t="n">
        <v>0.4395</v>
      </c>
      <c r="C1888" s="14">
        <f>B1888*100</f>
        <v/>
      </c>
    </row>
    <row r="1889">
      <c r="A1889" s="12" t="n">
        <v>45397</v>
      </c>
      <c r="B1889" s="13" t="n">
        <v>0.4788</v>
      </c>
      <c r="C1889" s="14">
        <f>B1889*100</f>
        <v/>
      </c>
    </row>
    <row r="1890">
      <c r="A1890" s="12" t="n">
        <v>45398</v>
      </c>
      <c r="B1890" s="13" t="n">
        <v>0.5079</v>
      </c>
      <c r="C1890" s="14">
        <f>B1890*100</f>
        <v/>
      </c>
    </row>
    <row r="1891">
      <c r="A1891" s="12" t="n">
        <v>45399</v>
      </c>
      <c r="B1891" s="13" t="n">
        <v>0.4851</v>
      </c>
      <c r="C1891" s="14">
        <f>B1891*100</f>
        <v/>
      </c>
    </row>
    <row r="1892">
      <c r="A1892" s="12" t="n">
        <v>45400</v>
      </c>
      <c r="B1892" s="13" t="n">
        <v>0.5034999999999999</v>
      </c>
      <c r="C1892" s="14">
        <f>B1892*100</f>
        <v/>
      </c>
    </row>
    <row r="1893">
      <c r="A1893" s="12" t="n">
        <v>45401</v>
      </c>
      <c r="B1893" s="13" t="n">
        <v>0.4994</v>
      </c>
      <c r="C1893" s="14">
        <f>B1893*100</f>
        <v/>
      </c>
    </row>
    <row r="1894">
      <c r="A1894" s="12" t="n">
        <v>45404</v>
      </c>
      <c r="B1894" s="13" t="n">
        <v>0.4998</v>
      </c>
      <c r="C1894" s="14">
        <f>B1894*100</f>
        <v/>
      </c>
    </row>
    <row r="1895">
      <c r="A1895" s="12" t="n">
        <v>45405</v>
      </c>
      <c r="B1895" s="13" t="n">
        <v>0.4891</v>
      </c>
      <c r="C1895" s="14">
        <f>B1895*100</f>
        <v/>
      </c>
    </row>
    <row r="1896">
      <c r="A1896" s="12" t="n">
        <v>45406</v>
      </c>
      <c r="B1896" s="13" t="n">
        <v>0.5016</v>
      </c>
      <c r="C1896" s="14">
        <f>B1896*100</f>
        <v/>
      </c>
    </row>
    <row r="1897">
      <c r="A1897" s="12" t="n">
        <v>45407</v>
      </c>
      <c r="B1897" s="13" t="n">
        <v>0.5289</v>
      </c>
      <c r="C1897" s="14">
        <f>B1897*100</f>
        <v/>
      </c>
    </row>
    <row r="1898">
      <c r="A1898" s="12" t="n">
        <v>45408</v>
      </c>
      <c r="B1898" s="13" t="n">
        <v>0.5243</v>
      </c>
      <c r="C1898" s="14">
        <f>B1898*100</f>
        <v/>
      </c>
    </row>
    <row r="1899">
      <c r="A1899" s="12" t="n">
        <v>45411</v>
      </c>
      <c r="B1899" s="13" t="n">
        <v>0.5058</v>
      </c>
      <c r="C1899" s="14">
        <f>B1899*100</f>
        <v/>
      </c>
    </row>
    <row r="1900">
      <c r="A1900" s="12" t="n">
        <v>45412</v>
      </c>
      <c r="B1900" s="13" t="n">
        <v>0.5251</v>
      </c>
      <c r="C1900" s="14">
        <f>B1900*100</f>
        <v/>
      </c>
    </row>
    <row r="1901">
      <c r="A1901" s="12" t="n">
        <v>45413</v>
      </c>
      <c r="B1901" s="13" t="n">
        <v>0.4993</v>
      </c>
      <c r="C1901" s="14">
        <f>B1901*100</f>
        <v/>
      </c>
    </row>
    <row r="1902">
      <c r="A1902" s="12" t="n">
        <v>45414</v>
      </c>
      <c r="B1902" s="13" t="n">
        <v>0.4716</v>
      </c>
      <c r="C1902" s="14">
        <f>B1902*100</f>
        <v/>
      </c>
    </row>
    <row r="1903">
      <c r="A1903" s="12" t="n">
        <v>45415</v>
      </c>
      <c r="B1903" s="13" t="n">
        <v>0.4325</v>
      </c>
      <c r="C1903" s="14">
        <f>B1903*100</f>
        <v/>
      </c>
    </row>
    <row r="1904">
      <c r="A1904" s="12" t="n">
        <v>45418</v>
      </c>
      <c r="B1904" s="13" t="n">
        <v>0.4198</v>
      </c>
      <c r="C1904" s="14">
        <f>B1904*100</f>
        <v/>
      </c>
    </row>
    <row r="1905">
      <c r="A1905" s="12" t="n">
        <v>45419</v>
      </c>
      <c r="B1905" s="13" t="n">
        <v>0.4076</v>
      </c>
      <c r="C1905" s="14">
        <f>B1905*100</f>
        <v/>
      </c>
    </row>
    <row r="1906">
      <c r="A1906" s="12" t="n">
        <v>45420</v>
      </c>
      <c r="B1906" s="13" t="n">
        <v>0.4154</v>
      </c>
      <c r="C1906" s="14">
        <f>B1906*100</f>
        <v/>
      </c>
    </row>
    <row r="1907">
      <c r="A1907" s="12" t="n">
        <v>45421</v>
      </c>
      <c r="B1907" s="13" t="n">
        <v>0.4045</v>
      </c>
      <c r="C1907" s="14">
        <f>B1907*100</f>
        <v/>
      </c>
    </row>
    <row r="1908">
      <c r="A1908" s="12" t="n">
        <v>45422</v>
      </c>
      <c r="B1908" s="13" t="n">
        <v>0.4191</v>
      </c>
      <c r="C1908" s="14">
        <f>B1908*100</f>
        <v/>
      </c>
    </row>
    <row r="1909">
      <c r="A1909" s="12" t="n">
        <v>45425</v>
      </c>
      <c r="B1909" s="13" t="n">
        <v>0.4164</v>
      </c>
      <c r="C1909" s="14">
        <f>B1909*100</f>
        <v/>
      </c>
    </row>
    <row r="1910">
      <c r="A1910" s="12" t="n">
        <v>45426</v>
      </c>
      <c r="B1910" s="13" t="n">
        <v>0.4013</v>
      </c>
      <c r="C1910" s="14">
        <f>B1910*100</f>
        <v/>
      </c>
    </row>
    <row r="1911">
      <c r="A1911" s="12" t="n">
        <v>45427</v>
      </c>
      <c r="B1911" s="13" t="n">
        <v>0.3575</v>
      </c>
      <c r="C1911" s="14">
        <f>B1911*100</f>
        <v/>
      </c>
    </row>
    <row r="1912">
      <c r="A1912" s="12" t="n">
        <v>45428</v>
      </c>
      <c r="B1912" s="13" t="n">
        <v>0.3624</v>
      </c>
      <c r="C1912" s="14">
        <f>B1912*100</f>
        <v/>
      </c>
    </row>
    <row r="1913">
      <c r="A1913" s="12" t="n">
        <v>45429</v>
      </c>
      <c r="B1913" s="13" t="n">
        <v>0.3742</v>
      </c>
      <c r="C1913" s="14">
        <f>B1913*100</f>
        <v/>
      </c>
    </row>
    <row r="1914">
      <c r="A1914" s="12" t="n">
        <v>45432</v>
      </c>
      <c r="B1914" s="13" t="n">
        <v>0.3837</v>
      </c>
      <c r="C1914" s="14">
        <f>B1914*100</f>
        <v/>
      </c>
    </row>
    <row r="1915">
      <c r="A1915" s="12" t="n">
        <v>45433</v>
      </c>
      <c r="B1915" s="13" t="n">
        <v>0.3755</v>
      </c>
      <c r="C1915" s="14">
        <f>B1915*100</f>
        <v/>
      </c>
    </row>
    <row r="1916">
      <c r="A1916" s="12" t="n">
        <v>45434</v>
      </c>
      <c r="B1916" s="13" t="n">
        <v>0.3795</v>
      </c>
      <c r="C1916" s="14">
        <f>B1916*100</f>
        <v/>
      </c>
    </row>
    <row r="1917">
      <c r="A1917" s="12" t="n">
        <v>45435</v>
      </c>
      <c r="B1917" s="13" t="n">
        <v>0.4075</v>
      </c>
      <c r="C1917" s="14">
        <f>B1917*100</f>
        <v/>
      </c>
    </row>
    <row r="1918">
      <c r="A1918" s="12" t="n">
        <v>45436</v>
      </c>
      <c r="B1918" s="13" t="n">
        <v>0.4142</v>
      </c>
      <c r="C1918" s="14">
        <f>B1918*100</f>
        <v/>
      </c>
    </row>
    <row r="1919">
      <c r="A1919" s="12" t="n">
        <v>45440</v>
      </c>
      <c r="B1919" s="13" t="n">
        <v>0.4321</v>
      </c>
      <c r="C1919" s="14">
        <f>B1919*100</f>
        <v/>
      </c>
    </row>
    <row r="1920">
      <c r="A1920" s="12" t="n">
        <v>45441</v>
      </c>
      <c r="B1920" s="13" t="n">
        <v>0.4745</v>
      </c>
      <c r="C1920" s="14">
        <f>B1920*100</f>
        <v/>
      </c>
    </row>
    <row r="1921">
      <c r="A1921" s="12" t="n">
        <v>45442</v>
      </c>
      <c r="B1921" s="13" t="n">
        <v>0.4626</v>
      </c>
      <c r="C1921" s="14">
        <f>B1921*100</f>
        <v/>
      </c>
    </row>
    <row r="1922">
      <c r="A1922" s="12" t="n">
        <v>45443</v>
      </c>
      <c r="B1922" s="13" t="n">
        <v>0.4418</v>
      </c>
      <c r="C1922" s="14">
        <f>B1922*100</f>
        <v/>
      </c>
    </row>
    <row r="1923">
      <c r="A1923" s="12" t="n">
        <v>45446</v>
      </c>
      <c r="B1923" s="13" t="n">
        <v>0.3898</v>
      </c>
      <c r="C1923" s="14">
        <f>B1923*100</f>
        <v/>
      </c>
    </row>
    <row r="1924">
      <c r="A1924" s="12" t="n">
        <v>45447</v>
      </c>
      <c r="B1924" s="13" t="n">
        <v>0.3464</v>
      </c>
      <c r="C1924" s="14">
        <f>B1924*100</f>
        <v/>
      </c>
    </row>
    <row r="1925">
      <c r="A1925" s="12" t="n">
        <v>45448</v>
      </c>
      <c r="B1925" s="13" t="n">
        <v>0.3195</v>
      </c>
      <c r="C1925" s="14">
        <f>B1925*100</f>
        <v/>
      </c>
    </row>
    <row r="1926">
      <c r="A1926" s="12" t="n">
        <v>45449</v>
      </c>
      <c r="B1926" s="13" t="n">
        <v>0.3051</v>
      </c>
      <c r="C1926" s="14">
        <f>B1926*100</f>
        <v/>
      </c>
    </row>
    <row r="1927">
      <c r="A1927" s="12" t="n">
        <v>45450</v>
      </c>
      <c r="B1927" s="13" t="n">
        <v>0.3606</v>
      </c>
      <c r="C1927" s="14">
        <f>B1927*100</f>
        <v/>
      </c>
    </row>
    <row r="1928">
      <c r="A1928" s="12" t="n">
        <v>45453</v>
      </c>
      <c r="B1928" s="13" t="n">
        <v>0.393</v>
      </c>
      <c r="C1928" s="14">
        <f>B1928*100</f>
        <v/>
      </c>
    </row>
    <row r="1929">
      <c r="A1929" s="12" t="n">
        <v>45454</v>
      </c>
      <c r="B1929" s="13" t="n">
        <v>0.3683</v>
      </c>
      <c r="C1929" s="14">
        <f>B1929*100</f>
        <v/>
      </c>
    </row>
    <row r="1930">
      <c r="A1930" s="12" t="n">
        <v>45455</v>
      </c>
      <c r="B1930" s="13" t="n">
        <v>0.3297</v>
      </c>
      <c r="C1930" s="14">
        <f>B1930*100</f>
        <v/>
      </c>
    </row>
    <row r="1931">
      <c r="A1931" s="12" t="n">
        <v>45456</v>
      </c>
      <c r="B1931" s="13" t="n">
        <v>0.2893</v>
      </c>
      <c r="C1931" s="14">
        <f>B1931*100</f>
        <v/>
      </c>
    </row>
    <row r="1932">
      <c r="A1932" s="12" t="n">
        <v>45457</v>
      </c>
      <c r="B1932" s="13" t="n">
        <v>0.2714</v>
      </c>
      <c r="C1932" s="14">
        <f>B1932*100</f>
        <v/>
      </c>
    </row>
    <row r="1933">
      <c r="A1933" s="12" t="n">
        <v>45460</v>
      </c>
      <c r="B1933" s="13" t="n">
        <v>0.2908</v>
      </c>
      <c r="C1933" s="14">
        <f>B1933*100</f>
        <v/>
      </c>
    </row>
    <row r="1934">
      <c r="A1934" s="12" t="n">
        <v>45461</v>
      </c>
      <c r="B1934" s="13" t="n">
        <v>0.273</v>
      </c>
      <c r="C1934" s="14">
        <f>B1934*100</f>
        <v/>
      </c>
    </row>
    <row r="1935">
      <c r="A1935" s="12" t="n">
        <v>45463</v>
      </c>
      <c r="B1935" s="13" t="n">
        <v>0.2803</v>
      </c>
      <c r="C1935" s="14">
        <f>B1935*100</f>
        <v/>
      </c>
    </row>
    <row r="1936">
      <c r="A1936" s="12" t="n">
        <v>45464</v>
      </c>
      <c r="B1936" s="13" t="n">
        <v>0.2839</v>
      </c>
      <c r="C1936" s="14">
        <f>B1936*100</f>
        <v/>
      </c>
    </row>
    <row r="1937">
      <c r="A1937" s="12" t="n">
        <v>45467</v>
      </c>
      <c r="B1937" s="13" t="n">
        <v>0.2849</v>
      </c>
      <c r="C1937" s="14">
        <f>B1937*100</f>
        <v/>
      </c>
    </row>
    <row r="1938">
      <c r="A1938" s="12" t="n">
        <v>45468</v>
      </c>
      <c r="B1938" s="13" t="n">
        <v>0.28</v>
      </c>
      <c r="C1938" s="14">
        <f>B1938*100</f>
        <v/>
      </c>
    </row>
    <row r="1939">
      <c r="A1939" s="12" t="n">
        <v>45469</v>
      </c>
      <c r="B1939" s="13" t="n">
        <v>0.3123</v>
      </c>
      <c r="C1939" s="14">
        <f>B1939*100</f>
        <v/>
      </c>
    </row>
    <row r="1940">
      <c r="A1940" s="12" t="n">
        <v>45470</v>
      </c>
      <c r="B1940" s="13" t="n">
        <v>0.3089</v>
      </c>
      <c r="C1940" s="14">
        <f>B1940*100</f>
        <v/>
      </c>
    </row>
    <row r="1941">
      <c r="A1941" s="12" t="n">
        <v>45471</v>
      </c>
      <c r="B1941" s="13" t="n">
        <v>0.3312</v>
      </c>
      <c r="C1941" s="14">
        <f>B1941*100</f>
        <v/>
      </c>
    </row>
    <row r="1942">
      <c r="A1942" s="12" t="n">
        <v>45474</v>
      </c>
      <c r="B1942" s="13" t="n">
        <v>0.3852</v>
      </c>
      <c r="C1942" s="14">
        <f>B1942*100</f>
        <v/>
      </c>
    </row>
    <row r="1943">
      <c r="A1943" s="12" t="n">
        <v>45475</v>
      </c>
      <c r="B1943" s="13" t="n">
        <v>0.3806</v>
      </c>
      <c r="C1943" s="14">
        <f>B1943*100</f>
        <v/>
      </c>
    </row>
    <row r="1944">
      <c r="A1944" s="12" t="n">
        <v>45476</v>
      </c>
      <c r="B1944" s="13" t="n">
        <v>0.354</v>
      </c>
      <c r="C1944" s="14">
        <f>B1944*100</f>
        <v/>
      </c>
    </row>
    <row r="1945">
      <c r="A1945" s="12" t="n">
        <v>45478</v>
      </c>
      <c r="B1945" s="13" t="n">
        <v>0.311</v>
      </c>
      <c r="C1945" s="14">
        <f>B1945*100</f>
        <v/>
      </c>
    </row>
    <row r="1946">
      <c r="A1946" s="12" t="n">
        <v>45481</v>
      </c>
      <c r="B1946" s="13" t="n">
        <v>0.3012</v>
      </c>
      <c r="C1946" s="14">
        <f>B1946*100</f>
        <v/>
      </c>
    </row>
    <row r="1947">
      <c r="A1947" s="12" t="n">
        <v>45482</v>
      </c>
      <c r="B1947" s="13" t="n">
        <v>0.3072</v>
      </c>
      <c r="C1947" s="14">
        <f>B1947*100</f>
        <v/>
      </c>
    </row>
    <row r="1948">
      <c r="A1948" s="12" t="n">
        <v>45483</v>
      </c>
      <c r="B1948" s="13" t="n">
        <v>0.3041</v>
      </c>
      <c r="C1948" s="14">
        <f>B1948*100</f>
        <v/>
      </c>
    </row>
    <row r="1949">
      <c r="A1949" s="12" t="n">
        <v>45484</v>
      </c>
      <c r="B1949" s="13" t="n">
        <v>0.267</v>
      </c>
      <c r="C1949" s="14">
        <f>B1949*100</f>
        <v/>
      </c>
    </row>
    <row r="1950">
      <c r="A1950" s="12" t="n">
        <v>45485</v>
      </c>
      <c r="B1950" s="13" t="n">
        <v>0.2534</v>
      </c>
      <c r="C1950" s="14">
        <f>B1950*100</f>
        <v/>
      </c>
    </row>
    <row r="1951">
      <c r="A1951" s="12" t="n">
        <v>45488</v>
      </c>
      <c r="B1951" s="13" t="n">
        <v>0.2683</v>
      </c>
      <c r="C1951" s="14">
        <f>B1951*100</f>
        <v/>
      </c>
    </row>
    <row r="1952">
      <c r="A1952" s="12" t="n">
        <v>45489</v>
      </c>
      <c r="B1952" s="13" t="n">
        <v>0.2525</v>
      </c>
      <c r="C1952" s="14">
        <f>B1952*100</f>
        <v/>
      </c>
    </row>
    <row r="1953">
      <c r="A1953" s="12" t="n">
        <v>45490</v>
      </c>
      <c r="B1953" s="13" t="n">
        <v>0.2433</v>
      </c>
      <c r="C1953" s="14">
        <f>B1953*100</f>
        <v/>
      </c>
    </row>
    <row r="1954">
      <c r="A1954" s="12" t="n">
        <v>45491</v>
      </c>
      <c r="B1954" s="13" t="n">
        <v>0.2586</v>
      </c>
      <c r="C1954" s="14">
        <f>B1954*100</f>
        <v/>
      </c>
    </row>
    <row r="1955">
      <c r="A1955" s="12" t="n">
        <v>45492</v>
      </c>
      <c r="B1955" s="13" t="n">
        <v>0.2807</v>
      </c>
      <c r="C1955" s="14">
        <f>B1955*100</f>
        <v/>
      </c>
    </row>
    <row r="1956">
      <c r="A1956" s="12" t="n">
        <v>45495</v>
      </c>
      <c r="B1956" s="13" t="n">
        <v>0.2932</v>
      </c>
      <c r="C1956" s="14">
        <f>B1956*100</f>
        <v/>
      </c>
    </row>
    <row r="1957">
      <c r="A1957" s="12" t="n">
        <v>45496</v>
      </c>
      <c r="B1957" s="13" t="n">
        <v>0.2906</v>
      </c>
      <c r="C1957" s="14">
        <f>B1957*100</f>
        <v/>
      </c>
    </row>
    <row r="1958">
      <c r="A1958" s="12" t="n">
        <v>45497</v>
      </c>
      <c r="B1958" s="13" t="n">
        <v>0.2998</v>
      </c>
      <c r="C1958" s="14">
        <f>B1958*100</f>
        <v/>
      </c>
    </row>
    <row r="1959">
      <c r="A1959" s="12" t="n">
        <v>45498</v>
      </c>
      <c r="B1959" s="13" t="n">
        <v>0.3036</v>
      </c>
      <c r="C1959" s="14">
        <f>B1959*100</f>
        <v/>
      </c>
    </row>
    <row r="1960">
      <c r="A1960" s="12" t="n">
        <v>45499</v>
      </c>
      <c r="B1960" s="13" t="n">
        <v>0.2767</v>
      </c>
      <c r="C1960" s="14">
        <f>B1960*100</f>
        <v/>
      </c>
    </row>
    <row r="1961">
      <c r="A1961" s="12" t="n">
        <v>45502</v>
      </c>
      <c r="B1961" s="13" t="n">
        <v>0.2624</v>
      </c>
      <c r="C1961" s="14">
        <f>B1961*100</f>
        <v/>
      </c>
    </row>
    <row r="1962">
      <c r="A1962" s="12" t="n">
        <v>45503</v>
      </c>
      <c r="B1962" s="13" t="n">
        <v>0.2501</v>
      </c>
      <c r="C1962" s="14">
        <f>B1962*100</f>
        <v/>
      </c>
    </row>
    <row r="1963">
      <c r="A1963" s="12" t="n">
        <v>45504</v>
      </c>
      <c r="B1963" s="13" t="n">
        <v>0.2197</v>
      </c>
      <c r="C1963" s="14">
        <f>B1963*100</f>
        <v/>
      </c>
    </row>
    <row r="1964">
      <c r="A1964" s="12" t="n">
        <v>45505</v>
      </c>
      <c r="B1964" s="13" t="n">
        <v>0.1693</v>
      </c>
      <c r="C1964" s="14">
        <f>B1964*100</f>
        <v/>
      </c>
    </row>
    <row r="1965">
      <c r="A1965" s="12" t="n">
        <v>45506</v>
      </c>
      <c r="B1965" s="13" t="n">
        <v>0.08169999999999999</v>
      </c>
      <c r="C1965" s="14">
        <f>B1965*100</f>
        <v/>
      </c>
    </row>
    <row r="1966">
      <c r="A1966" s="12" t="n">
        <v>45509</v>
      </c>
      <c r="B1966" s="13" t="n">
        <v>0.0646</v>
      </c>
      <c r="C1966" s="14">
        <f>B1966*100</f>
        <v/>
      </c>
    </row>
    <row r="1967">
      <c r="A1967" s="12" t="n">
        <v>45510</v>
      </c>
      <c r="B1967" s="13" t="n">
        <v>0.107</v>
      </c>
      <c r="C1967" s="14">
        <f>B1967*100</f>
        <v/>
      </c>
    </row>
    <row r="1968">
      <c r="A1968" s="12" t="n">
        <v>45511</v>
      </c>
      <c r="B1968" s="13" t="n">
        <v>0.1439</v>
      </c>
      <c r="C1968" s="14">
        <f>B1968*100</f>
        <v/>
      </c>
    </row>
    <row r="1969">
      <c r="A1969" s="12" t="n">
        <v>45512</v>
      </c>
      <c r="B1969" s="13" t="n">
        <v>0.1695</v>
      </c>
      <c r="C1969" s="14">
        <f>B1969*100</f>
        <v/>
      </c>
    </row>
    <row r="1970">
      <c r="A1970" s="12" t="n">
        <v>45513</v>
      </c>
      <c r="B1970" s="13" t="n">
        <v>0.1631</v>
      </c>
      <c r="C1970" s="14">
        <f>B1970*100</f>
        <v/>
      </c>
    </row>
    <row r="1971">
      <c r="A1971" s="12" t="n">
        <v>45516</v>
      </c>
      <c r="B1971" s="13" t="n">
        <v>0.1425</v>
      </c>
      <c r="C1971" s="14">
        <f>B1971*100</f>
        <v/>
      </c>
    </row>
    <row r="1972">
      <c r="A1972" s="12" t="n">
        <v>45517</v>
      </c>
      <c r="B1972" s="13" t="n">
        <v>0.1108</v>
      </c>
      <c r="C1972" s="14">
        <f>B1972*100</f>
        <v/>
      </c>
    </row>
    <row r="1973">
      <c r="A1973" s="12" t="n">
        <v>45518</v>
      </c>
      <c r="B1973" s="13" t="n">
        <v>0.09619999999999999</v>
      </c>
      <c r="C1973" s="14">
        <f>B1973*100</f>
        <v/>
      </c>
    </row>
    <row r="1974">
      <c r="A1974" s="12" t="n">
        <v>45519</v>
      </c>
      <c r="B1974" s="13" t="n">
        <v>0.1357</v>
      </c>
      <c r="C1974" s="14">
        <f>B1974*100</f>
        <v/>
      </c>
    </row>
    <row r="1975">
      <c r="A1975" s="12" t="n">
        <v>45520</v>
      </c>
      <c r="B1975" s="13" t="n">
        <v>0.1321</v>
      </c>
      <c r="C1975" s="14">
        <f>B1975*100</f>
        <v/>
      </c>
    </row>
    <row r="1976">
      <c r="A1976" s="12" t="n">
        <v>45523</v>
      </c>
      <c r="B1976" s="13" t="n">
        <v>0.1237</v>
      </c>
      <c r="C1976" s="14">
        <f>B1976*100</f>
        <v/>
      </c>
    </row>
    <row r="1977">
      <c r="A1977" s="12" t="n">
        <v>45524</v>
      </c>
      <c r="B1977" s="13" t="n">
        <v>0.1034</v>
      </c>
      <c r="C1977" s="14">
        <f>B1977*100</f>
        <v/>
      </c>
    </row>
    <row r="1978">
      <c r="A1978" s="12" t="n">
        <v>45525</v>
      </c>
      <c r="B1978" s="13" t="n">
        <v>0.0852</v>
      </c>
      <c r="C1978" s="14">
        <f>B1978*100</f>
        <v/>
      </c>
    </row>
    <row r="1979">
      <c r="A1979" s="12" t="n">
        <v>45526</v>
      </c>
      <c r="B1979" s="13" t="n">
        <v>0.1121</v>
      </c>
      <c r="C1979" s="14">
        <f>B1979*100</f>
        <v/>
      </c>
    </row>
    <row r="1980">
      <c r="A1980" s="12" t="n">
        <v>45527</v>
      </c>
      <c r="B1980" s="13" t="n">
        <v>0.0954</v>
      </c>
      <c r="C1980" s="14">
        <f>B1980*100</f>
        <v/>
      </c>
    </row>
    <row r="1981">
      <c r="A1981" s="12" t="n">
        <v>45530</v>
      </c>
      <c r="B1981" s="13" t="n">
        <v>0.1009</v>
      </c>
      <c r="C1981" s="14">
        <f>B1981*100</f>
        <v/>
      </c>
    </row>
    <row r="1982">
      <c r="A1982" s="12" t="n">
        <v>45531</v>
      </c>
      <c r="B1982" s="13" t="n">
        <v>0.1081</v>
      </c>
      <c r="C1982" s="14">
        <f>B1982*100</f>
        <v/>
      </c>
    </row>
    <row r="1983">
      <c r="A1983" s="12" t="n">
        <v>45532</v>
      </c>
      <c r="B1983" s="13" t="n">
        <v>0.1158</v>
      </c>
      <c r="C1983" s="14">
        <f>B1983*100</f>
        <v/>
      </c>
    </row>
    <row r="1984">
      <c r="A1984" s="12" t="n">
        <v>45533</v>
      </c>
      <c r="B1984" s="13" t="n">
        <v>0.1294</v>
      </c>
      <c r="C1984" s="14">
        <f>B1984*100</f>
        <v/>
      </c>
    </row>
    <row r="1985">
      <c r="A1985" s="12" t="n">
        <v>45534</v>
      </c>
      <c r="B1985" s="13" t="n">
        <v>0.148</v>
      </c>
      <c r="C1985" s="14">
        <f>B1985*100</f>
        <v/>
      </c>
    </row>
    <row r="1986">
      <c r="A1986" s="12" t="n">
        <v>45538</v>
      </c>
      <c r="B1986" s="13" t="n">
        <v>0.1265</v>
      </c>
      <c r="C1986" s="14">
        <f>B1986*100</f>
        <v/>
      </c>
    </row>
    <row r="1987">
      <c r="A1987" s="12" t="n">
        <v>45539</v>
      </c>
      <c r="B1987" s="13" t="n">
        <v>0.0898</v>
      </c>
      <c r="C1987" s="14">
        <f>B1987*100</f>
        <v/>
      </c>
    </row>
    <row r="1988">
      <c r="A1988" s="12" t="n">
        <v>45540</v>
      </c>
      <c r="B1988" s="13" t="n">
        <v>0.07480000000000001</v>
      </c>
      <c r="C1988" s="14">
        <f>B1988*100</f>
        <v/>
      </c>
    </row>
    <row r="1989">
      <c r="A1989" s="12" t="n">
        <v>45541</v>
      </c>
      <c r="B1989" s="13" t="n">
        <v>0.0613</v>
      </c>
      <c r="C1989" s="14">
        <f>B1989*100</f>
        <v/>
      </c>
    </row>
    <row r="1990">
      <c r="A1990" s="12" t="n">
        <v>45544</v>
      </c>
      <c r="B1990" s="13" t="n">
        <v>0.0574</v>
      </c>
      <c r="C1990" s="14">
        <f>B1990*100</f>
        <v/>
      </c>
    </row>
    <row r="1991">
      <c r="A1991" s="12" t="n">
        <v>45545</v>
      </c>
      <c r="B1991" s="13" t="n">
        <v>0.0379</v>
      </c>
      <c r="C1991" s="14">
        <f>B1991*100</f>
        <v/>
      </c>
    </row>
    <row r="1992">
      <c r="A1992" s="12" t="n">
        <v>45546</v>
      </c>
      <c r="B1992" s="13" t="n">
        <v>0.0355</v>
      </c>
      <c r="C1992" s="14">
        <f>B1992*100</f>
        <v/>
      </c>
    </row>
    <row r="1993">
      <c r="A1993" s="12" t="n">
        <v>45547</v>
      </c>
      <c r="B1993" s="13" t="n">
        <v>0.0478</v>
      </c>
      <c r="C1993" s="14">
        <f>B1993*100</f>
        <v/>
      </c>
    </row>
    <row r="1994">
      <c r="A1994" s="12" t="n">
        <v>45548</v>
      </c>
      <c r="B1994" s="13" t="n">
        <v>0.0435</v>
      </c>
      <c r="C1994" s="14">
        <f>B1994*100</f>
        <v/>
      </c>
    </row>
    <row r="1995">
      <c r="A1995" s="12" t="n">
        <v>45551</v>
      </c>
      <c r="B1995" s="13" t="n">
        <v>0.0425</v>
      </c>
      <c r="C1995" s="14">
        <f>B1995*100</f>
        <v/>
      </c>
    </row>
    <row r="1996">
      <c r="A1996" s="12" t="n">
        <v>45552</v>
      </c>
      <c r="B1996" s="13" t="n">
        <v>0.0565</v>
      </c>
      <c r="C1996" s="14">
        <f>B1996*100</f>
        <v/>
      </c>
    </row>
    <row r="1997">
      <c r="A1997" s="12" t="n">
        <v>45553</v>
      </c>
      <c r="B1997" s="13" t="n">
        <v>0.0886</v>
      </c>
      <c r="C1997" s="14">
        <f>B1997*100</f>
        <v/>
      </c>
    </row>
    <row r="1998">
      <c r="A1998" s="12" t="n">
        <v>45554</v>
      </c>
      <c r="B1998" s="13" t="n">
        <v>0.1128</v>
      </c>
      <c r="C1998" s="14">
        <f>B1998*100</f>
        <v/>
      </c>
    </row>
    <row r="1999">
      <c r="A1999" s="12" t="n">
        <v>45555</v>
      </c>
      <c r="B1999" s="13" t="n">
        <v>0.1241</v>
      </c>
      <c r="C1999" s="14">
        <f>B1999*100</f>
        <v/>
      </c>
    </row>
    <row r="2000">
      <c r="A2000" s="12" t="n">
        <v>45558</v>
      </c>
      <c r="B2000" s="13" t="n">
        <v>0.1437</v>
      </c>
      <c r="C2000" s="14">
        <f>B2000*100</f>
        <v/>
      </c>
    </row>
    <row r="2001">
      <c r="A2001" s="12" t="n">
        <v>45559</v>
      </c>
      <c r="B2001" s="13" t="n">
        <v>0.147</v>
      </c>
      <c r="C2001" s="14">
        <f>B2001*100</f>
        <v/>
      </c>
    </row>
    <row r="2002">
      <c r="A2002" s="12" t="n">
        <v>45560</v>
      </c>
      <c r="B2002" s="13" t="n">
        <v>0.171</v>
      </c>
      <c r="C2002" s="14">
        <f>B2002*100</f>
        <v/>
      </c>
    </row>
    <row r="2003">
      <c r="A2003" s="12" t="n">
        <v>45561</v>
      </c>
      <c r="B2003" s="13" t="n">
        <v>0.1874</v>
      </c>
      <c r="C2003" s="14">
        <f>B2003*100</f>
        <v/>
      </c>
    </row>
    <row r="2004">
      <c r="A2004" s="12" t="n">
        <v>45562</v>
      </c>
      <c r="B2004" s="13" t="n">
        <v>0.1709</v>
      </c>
      <c r="C2004" s="14">
        <f>B2004*100</f>
        <v/>
      </c>
    </row>
    <row r="2005">
      <c r="A2005" s="12" t="n">
        <v>45565</v>
      </c>
      <c r="B2005" s="13" t="n">
        <v>0.1945</v>
      </c>
      <c r="C2005" s="14">
        <f>B2005*100</f>
        <v/>
      </c>
    </row>
    <row r="2006">
      <c r="A2006" s="12" t="n">
        <v>45566</v>
      </c>
      <c r="B2006" s="13" t="n">
        <v>0.1739</v>
      </c>
      <c r="C2006" s="14">
        <f>B2006*100</f>
        <v/>
      </c>
    </row>
    <row r="2007">
      <c r="A2007" s="12" t="n">
        <v>45567</v>
      </c>
      <c r="B2007" s="13" t="n">
        <v>0.1859</v>
      </c>
      <c r="C2007" s="14">
        <f>B2007*100</f>
        <v/>
      </c>
    </row>
    <row r="2008">
      <c r="A2008" s="12" t="n">
        <v>45568</v>
      </c>
      <c r="B2008" s="13" t="n">
        <v>0.2171</v>
      </c>
      <c r="C2008" s="14">
        <f>B2008*100</f>
        <v/>
      </c>
    </row>
    <row r="2009">
      <c r="A2009" s="12" t="n">
        <v>45569</v>
      </c>
      <c r="B2009" s="13" t="n">
        <v>0.2854</v>
      </c>
      <c r="C2009" s="14">
        <f>B2009*100</f>
        <v/>
      </c>
    </row>
    <row r="2010">
      <c r="A2010" s="12" t="n">
        <v>45572</v>
      </c>
      <c r="B2010" s="13" t="n">
        <v>0.3202</v>
      </c>
      <c r="C2010" s="14">
        <f>B2010*100</f>
        <v/>
      </c>
    </row>
    <row r="2011">
      <c r="A2011" s="12" t="n">
        <v>45573</v>
      </c>
      <c r="B2011" s="13" t="n">
        <v>0.3255</v>
      </c>
      <c r="C2011" s="14">
        <f>B2011*100</f>
        <v/>
      </c>
    </row>
    <row r="2012">
      <c r="A2012" s="12" t="n">
        <v>45574</v>
      </c>
      <c r="B2012" s="13" t="n">
        <v>0.3424</v>
      </c>
      <c r="C2012" s="14">
        <f>B2012*100</f>
        <v/>
      </c>
    </row>
    <row r="2013">
      <c r="A2013" s="12" t="n">
        <v>45575</v>
      </c>
      <c r="B2013" s="13" t="n">
        <v>0.3499</v>
      </c>
      <c r="C2013" s="14">
        <f>B2013*100</f>
        <v/>
      </c>
    </row>
    <row r="2014">
      <c r="A2014" s="12" t="n">
        <v>45576</v>
      </c>
      <c r="B2014" s="13" t="n">
        <v>0.3485</v>
      </c>
      <c r="C2014" s="14">
        <f>B2014*100</f>
        <v/>
      </c>
    </row>
    <row r="2015">
      <c r="A2015" s="12" t="n">
        <v>45580</v>
      </c>
      <c r="B2015" s="13" t="n">
        <v>0.3333</v>
      </c>
      <c r="C2015" s="14">
        <f>B2015*100</f>
        <v/>
      </c>
    </row>
    <row r="2016">
      <c r="A2016" s="12" t="n">
        <v>45581</v>
      </c>
      <c r="B2016" s="13" t="n">
        <v>0.3249</v>
      </c>
      <c r="C2016" s="14">
        <f>B2016*100</f>
        <v/>
      </c>
    </row>
    <row r="2017">
      <c r="A2017" s="12" t="n">
        <v>45582</v>
      </c>
      <c r="B2017" s="13" t="n">
        <v>0.3495</v>
      </c>
      <c r="C2017" s="14">
        <f>B2017*100</f>
        <v/>
      </c>
    </row>
    <row r="2018">
      <c r="A2018" s="12" t="n">
        <v>45583</v>
      </c>
      <c r="B2018" s="13" t="n">
        <v>0.349</v>
      </c>
      <c r="C2018" s="14">
        <f>B2018*100</f>
        <v/>
      </c>
    </row>
    <row r="2019">
      <c r="A2019" s="12" t="n">
        <v>45586</v>
      </c>
      <c r="B2019" s="13" t="n">
        <v>0.3916</v>
      </c>
      <c r="C2019" s="14">
        <f>B2019*100</f>
        <v/>
      </c>
    </row>
    <row r="2020">
      <c r="A2020" s="12" t="n">
        <v>45587</v>
      </c>
      <c r="B2020" s="13" t="n">
        <v>0.4123</v>
      </c>
      <c r="C2020" s="14">
        <f>B2020*100</f>
        <v/>
      </c>
    </row>
    <row r="2021">
      <c r="A2021" s="12" t="n">
        <v>45588</v>
      </c>
      <c r="B2021" s="13" t="n">
        <v>0.4356</v>
      </c>
      <c r="C2021" s="14">
        <f>B2021*100</f>
        <v/>
      </c>
    </row>
    <row r="2022">
      <c r="A2022" s="12" t="n">
        <v>45589</v>
      </c>
      <c r="B2022" s="13" t="n">
        <v>0.433</v>
      </c>
      <c r="C2022" s="14">
        <f>B2022*100</f>
        <v/>
      </c>
    </row>
    <row r="2023">
      <c r="A2023" s="12" t="n">
        <v>45590</v>
      </c>
      <c r="B2023" s="13" t="n">
        <v>0.4467</v>
      </c>
      <c r="C2023" s="14">
        <f>B2023*100</f>
        <v/>
      </c>
    </row>
    <row r="2024">
      <c r="A2024" s="12" t="n">
        <v>45593</v>
      </c>
      <c r="B2024" s="13" t="n">
        <v>0.4666</v>
      </c>
      <c r="C2024" s="14">
        <f>B2024*100</f>
        <v/>
      </c>
    </row>
    <row r="2025">
      <c r="A2025" s="12" t="n">
        <v>45594</v>
      </c>
      <c r="B2025" s="13" t="n">
        <v>0.472</v>
      </c>
      <c r="C2025" s="14">
        <f>B2025*100</f>
        <v/>
      </c>
    </row>
    <row r="2026">
      <c r="A2026" s="12" t="n">
        <v>45595</v>
      </c>
      <c r="B2026" s="13" t="n">
        <v>0.4842</v>
      </c>
      <c r="C2026" s="14">
        <f>B2026*100</f>
        <v/>
      </c>
    </row>
    <row r="2027">
      <c r="A2027" s="12" t="n">
        <v>45596</v>
      </c>
      <c r="B2027" s="13" t="n">
        <v>0.489</v>
      </c>
      <c r="C2027" s="14">
        <f>B2027*100</f>
        <v/>
      </c>
    </row>
    <row r="2028">
      <c r="A2028" s="12" t="n">
        <v>45597</v>
      </c>
      <c r="B2028" s="13" t="n">
        <v>0.5269</v>
      </c>
      <c r="C2028" s="14">
        <f>B2028*100</f>
        <v/>
      </c>
    </row>
    <row r="2029">
      <c r="A2029" s="12" t="n">
        <v>45600</v>
      </c>
      <c r="B2029" s="13" t="n">
        <v>0.5158</v>
      </c>
      <c r="C2029" s="14">
        <f>B2029*100</f>
        <v/>
      </c>
    </row>
    <row r="2030">
      <c r="A2030" s="12" t="n">
        <v>45601</v>
      </c>
      <c r="B2030" s="13" t="n">
        <v>0.5071</v>
      </c>
      <c r="C2030" s="14">
        <f>B2030*100</f>
        <v/>
      </c>
    </row>
    <row r="2031">
      <c r="A2031" s="12" t="n">
        <v>45602</v>
      </c>
      <c r="B2031" s="13" t="n">
        <v>0.5564</v>
      </c>
      <c r="C2031" s="14">
        <f>B2031*100</f>
        <v/>
      </c>
    </row>
    <row r="2032">
      <c r="A2032" s="12" t="n">
        <v>45603</v>
      </c>
      <c r="B2032" s="13" t="n">
        <v>0.5284</v>
      </c>
      <c r="C2032" s="14">
        <f>B2032*100</f>
        <v/>
      </c>
    </row>
    <row r="2033">
      <c r="A2033" s="12" t="n">
        <v>45604</v>
      </c>
      <c r="B2033" s="13" t="n">
        <v>0.5171</v>
      </c>
      <c r="C2033" s="14">
        <f>B2033*100</f>
        <v/>
      </c>
    </row>
    <row r="2034">
      <c r="A2034" s="12" t="n">
        <v>45608</v>
      </c>
      <c r="B2034" s="13" t="n">
        <v>0.5608</v>
      </c>
      <c r="C2034" s="14">
        <f>B2034*100</f>
        <v/>
      </c>
    </row>
    <row r="2035">
      <c r="A2035" s="12" t="n">
        <v>45609</v>
      </c>
      <c r="B2035" s="13" t="n">
        <v>0.5745</v>
      </c>
      <c r="C2035" s="14">
        <f>B2035*100</f>
        <v/>
      </c>
    </row>
    <row r="2036">
      <c r="A2036" s="12" t="n">
        <v>45610</v>
      </c>
      <c r="B2036" s="13" t="n">
        <v>0.5777</v>
      </c>
      <c r="C2036" s="14">
        <f>B2036*100</f>
        <v/>
      </c>
    </row>
    <row r="2037">
      <c r="A2037" s="12" t="n">
        <v>45611</v>
      </c>
      <c r="B2037" s="13" t="n">
        <v>0.5757</v>
      </c>
      <c r="C2037" s="14">
        <f>B2037*100</f>
        <v/>
      </c>
    </row>
    <row r="2038">
      <c r="A2038" s="12" t="n">
        <v>45614</v>
      </c>
      <c r="B2038" s="13" t="n">
        <v>0.5689</v>
      </c>
      <c r="C2038" s="14">
        <f>B2038*100</f>
        <v/>
      </c>
    </row>
    <row r="2039">
      <c r="A2039" s="12" t="n">
        <v>45615</v>
      </c>
      <c r="B2039" s="13" t="n">
        <v>0.5548</v>
      </c>
      <c r="C2039" s="14">
        <f>B2039*100</f>
        <v/>
      </c>
    </row>
    <row r="2040">
      <c r="A2040" s="12" t="n">
        <v>45616</v>
      </c>
      <c r="B2040" s="13" t="n">
        <v>0.5547</v>
      </c>
      <c r="C2040" s="14">
        <f>B2040*100</f>
        <v/>
      </c>
    </row>
    <row r="2041">
      <c r="A2041" s="12" t="n">
        <v>45617</v>
      </c>
      <c r="B2041" s="13" t="n">
        <v>0.5642</v>
      </c>
      <c r="C2041" s="14">
        <f>B2041*100</f>
        <v/>
      </c>
    </row>
    <row r="2042">
      <c r="A2042" s="12" t="n">
        <v>45618</v>
      </c>
      <c r="B2042" s="13" t="n">
        <v>0.5626</v>
      </c>
      <c r="C2042" s="14">
        <f>B2042*100</f>
        <v/>
      </c>
    </row>
    <row r="2043">
      <c r="A2043" s="12" t="n">
        <v>45621</v>
      </c>
      <c r="B2043" s="13" t="n">
        <v>0.5048</v>
      </c>
      <c r="C2043" s="14">
        <f>B2043*100</f>
        <v/>
      </c>
    </row>
    <row r="2044">
      <c r="A2044" s="12" t="n">
        <v>45622</v>
      </c>
      <c r="B2044" s="13" t="n">
        <v>0.5022</v>
      </c>
      <c r="C2044" s="14">
        <f>B2044*100</f>
        <v/>
      </c>
    </row>
    <row r="2045">
      <c r="A2045" s="12" t="n">
        <v>45623</v>
      </c>
      <c r="B2045" s="13" t="n">
        <v>0.4783</v>
      </c>
      <c r="C2045" s="14">
        <f>B2045*100</f>
        <v/>
      </c>
    </row>
    <row r="2046">
      <c r="A2046" s="12" t="n">
        <v>45625</v>
      </c>
      <c r="B2046" s="13" t="n">
        <v>0.4489</v>
      </c>
      <c r="C2046" s="14">
        <f>B2046*100</f>
        <v/>
      </c>
    </row>
    <row r="2047">
      <c r="A2047" s="12" t="n">
        <v>45628</v>
      </c>
      <c r="B2047" s="13" t="n">
        <v>0.4453</v>
      </c>
      <c r="C2047" s="14">
        <f>B2047*100</f>
        <v/>
      </c>
    </row>
    <row r="2048">
      <c r="A2048" s="12" t="n">
        <v>45629</v>
      </c>
      <c r="B2048" s="13" t="n">
        <v>0.4605</v>
      </c>
      <c r="C2048" s="14">
        <f>B2048*100</f>
        <v/>
      </c>
    </row>
    <row r="2049">
      <c r="A2049" s="12" t="n">
        <v>45630</v>
      </c>
      <c r="B2049" s="13" t="n">
        <v>0.4537</v>
      </c>
      <c r="C2049" s="14">
        <f>B2049*100</f>
        <v/>
      </c>
    </row>
    <row r="2050">
      <c r="A2050" s="12" t="n">
        <v>45631</v>
      </c>
      <c r="B2050" s="13" t="n">
        <v>0.4479</v>
      </c>
      <c r="C2050" s="14">
        <f>B2050*100</f>
        <v/>
      </c>
    </row>
    <row r="2051">
      <c r="A2051" s="12" t="n">
        <v>45632</v>
      </c>
      <c r="B2051" s="13" t="n">
        <v>0.439</v>
      </c>
      <c r="C2051" s="14">
        <f>B2051*100</f>
        <v/>
      </c>
    </row>
    <row r="2052">
      <c r="A2052" s="12" t="n">
        <v>45635</v>
      </c>
      <c r="B2052" s="13" t="n">
        <v>0.454</v>
      </c>
      <c r="C2052" s="14">
        <f>B2052*100</f>
        <v/>
      </c>
    </row>
    <row r="2053">
      <c r="A2053" s="12" t="n">
        <v>45636</v>
      </c>
      <c r="B2053" s="13" t="n">
        <v>0.4686</v>
      </c>
      <c r="C2053" s="14">
        <f>B2053*100</f>
        <v/>
      </c>
    </row>
    <row r="2054">
      <c r="A2054" s="12" t="n">
        <v>45637</v>
      </c>
      <c r="B2054" s="13" t="n">
        <v>0.4941</v>
      </c>
      <c r="C2054" s="14">
        <f>B2054*100</f>
        <v/>
      </c>
    </row>
    <row r="2055">
      <c r="A2055" s="12" t="n">
        <v>45638</v>
      </c>
      <c r="B2055" s="13" t="n">
        <v>0.5276</v>
      </c>
      <c r="C2055" s="14">
        <f>B2055*100</f>
        <v/>
      </c>
    </row>
    <row r="2056">
      <c r="A2056" s="12" t="n">
        <v>45639</v>
      </c>
      <c r="B2056" s="13" t="n">
        <v>0.5706</v>
      </c>
      <c r="C2056" s="14">
        <f>B2056*100</f>
        <v/>
      </c>
    </row>
    <row r="2057">
      <c r="A2057" s="12" t="n">
        <v>45642</v>
      </c>
      <c r="B2057" s="13" t="n">
        <v>0.5798</v>
      </c>
      <c r="C2057" s="14">
        <f>B2057*100</f>
        <v/>
      </c>
    </row>
    <row r="2058">
      <c r="A2058" s="12" t="n">
        <v>45643</v>
      </c>
      <c r="B2058" s="13" t="n">
        <v>0.5854</v>
      </c>
      <c r="C2058" s="14">
        <f>B2058*100</f>
        <v/>
      </c>
    </row>
    <row r="2059">
      <c r="A2059" s="12" t="n">
        <v>45644</v>
      </c>
      <c r="B2059" s="13" t="n">
        <v>0.6412</v>
      </c>
      <c r="C2059" s="14">
        <f>B2059*100</f>
        <v/>
      </c>
    </row>
    <row r="2060">
      <c r="A2060" s="12" t="n">
        <v>45645</v>
      </c>
      <c r="B2060" s="13" t="n">
        <v>0.6778</v>
      </c>
      <c r="C2060" s="14">
        <f>B2060*100</f>
        <v/>
      </c>
    </row>
    <row r="2061">
      <c r="A2061" s="12" t="n">
        <v>45646</v>
      </c>
      <c r="B2061" s="13" t="n">
        <v>0.6682</v>
      </c>
      <c r="C2061" s="14">
        <f>B2061*100</f>
        <v/>
      </c>
    </row>
    <row r="2062">
      <c r="A2062" s="12" t="n">
        <v>45649</v>
      </c>
      <c r="B2062" s="13" t="n">
        <v>0.6941000000000001</v>
      </c>
      <c r="C2062" s="14">
        <f>B2062*100</f>
        <v/>
      </c>
    </row>
    <row r="2063">
      <c r="A2063" s="12" t="n">
        <v>45650</v>
      </c>
      <c r="B2063" s="13" t="n">
        <v>0.7009</v>
      </c>
      <c r="C2063" s="14">
        <f>B2063*100</f>
        <v/>
      </c>
    </row>
    <row r="2064">
      <c r="A2064" s="12" t="n">
        <v>45652</v>
      </c>
      <c r="B2064" s="13" t="n">
        <v>0.6968</v>
      </c>
      <c r="C2064" s="14">
        <f>B2064*100</f>
        <v/>
      </c>
    </row>
    <row r="2065">
      <c r="A2065" s="12" t="n">
        <v>45653</v>
      </c>
      <c r="B2065" s="13" t="n">
        <v>0.7141</v>
      </c>
      <c r="C2065" s="14">
        <f>B2065*100</f>
        <v/>
      </c>
    </row>
    <row r="2066">
      <c r="A2066" s="12" t="n">
        <v>45656</v>
      </c>
      <c r="B2066" s="13" t="n">
        <v>0.6861</v>
      </c>
      <c r="C2066" s="14">
        <f>B2066*100</f>
        <v/>
      </c>
    </row>
    <row r="2067">
      <c r="A2067" s="12" t="n">
        <v>45657</v>
      </c>
      <c r="B2067" s="13" t="n">
        <v>0.6872</v>
      </c>
      <c r="C2067" s="14">
        <f>B2067*100</f>
        <v/>
      </c>
    </row>
    <row r="2068">
      <c r="A2068" s="12" t="n">
        <v>45659</v>
      </c>
      <c r="B2068" s="13" t="n">
        <v>0.6851</v>
      </c>
      <c r="C2068" s="14">
        <f>B2068*100</f>
        <v/>
      </c>
    </row>
    <row r="2069">
      <c r="A2069" s="12" t="n">
        <v>45660</v>
      </c>
      <c r="B2069" s="13" t="n">
        <v>0.7016</v>
      </c>
      <c r="C2069" s="14">
        <f>B2069*100</f>
        <v/>
      </c>
    </row>
    <row r="2070">
      <c r="A2070" s="12" t="n">
        <v>45663</v>
      </c>
      <c r="B2070" s="13" t="n">
        <v>0.7121</v>
      </c>
      <c r="C2070" s="14">
        <f>B2070*100</f>
        <v/>
      </c>
    </row>
    <row r="2071">
      <c r="A2071" s="12" t="n">
        <v>45664</v>
      </c>
      <c r="B2071" s="13" t="n">
        <v>0.7356</v>
      </c>
      <c r="C2071" s="14">
        <f>B2071*100</f>
        <v/>
      </c>
    </row>
    <row r="2072">
      <c r="A2072" s="12" t="n">
        <v>45665</v>
      </c>
      <c r="B2072" s="13" t="n">
        <v>0.7392</v>
      </c>
      <c r="C2072" s="14">
        <f>B2072*100</f>
        <v/>
      </c>
    </row>
    <row r="2073">
      <c r="A2073" s="12" t="n">
        <v>45666</v>
      </c>
      <c r="B2073" s="13" t="n">
        <v>0.7465000000000001</v>
      </c>
      <c r="C2073" s="14">
        <f>B2073*100</f>
        <v/>
      </c>
    </row>
    <row r="2074">
      <c r="A2074" s="12" t="n">
        <v>45667</v>
      </c>
      <c r="B2074" s="13" t="n">
        <v>0.7964</v>
      </c>
      <c r="C2074" s="14">
        <f>B2074*100</f>
        <v/>
      </c>
    </row>
    <row r="2075">
      <c r="A2075" s="12" t="n">
        <v>45670</v>
      </c>
      <c r="B2075" s="13" t="n">
        <v>0.8131</v>
      </c>
      <c r="C2075" s="14">
        <f>B2075*100</f>
        <v/>
      </c>
    </row>
    <row r="2076">
      <c r="A2076" s="12" t="n">
        <v>45671</v>
      </c>
      <c r="B2076" s="13" t="n">
        <v>0.8122</v>
      </c>
      <c r="C2076" s="14">
        <f>B2076*100</f>
        <v/>
      </c>
    </row>
    <row r="2077">
      <c r="A2077" s="12" t="n">
        <v>45672</v>
      </c>
      <c r="B2077" s="13" t="n">
        <v>0.7574</v>
      </c>
      <c r="C2077" s="14">
        <f>B2077*100</f>
        <v/>
      </c>
    </row>
    <row r="2078">
      <c r="A2078" s="12" t="n">
        <v>45673</v>
      </c>
      <c r="B2078" s="13" t="n">
        <v>0.7249</v>
      </c>
      <c r="C2078" s="14">
        <f>B2078*100</f>
        <v/>
      </c>
    </row>
    <row r="2079">
      <c r="A2079" s="12" t="n">
        <v>45674</v>
      </c>
      <c r="B2079" s="13" t="n">
        <v>0.7198</v>
      </c>
      <c r="C2079" s="14">
        <f>B2079*100</f>
        <v/>
      </c>
    </row>
    <row r="2080">
      <c r="A2080" s="12" t="n">
        <v>45678</v>
      </c>
      <c r="B2080" s="13" t="n">
        <v>0.7033</v>
      </c>
      <c r="C2080" s="14">
        <f>B2080*100</f>
        <v/>
      </c>
    </row>
    <row r="2081">
      <c r="A2081" s="12" t="n">
        <v>45679</v>
      </c>
      <c r="B2081" s="13" t="n">
        <v>0.7071</v>
      </c>
      <c r="C2081" s="14">
        <f>B2081*100</f>
        <v/>
      </c>
    </row>
    <row r="2082">
      <c r="A2082" s="12" t="n">
        <v>45680</v>
      </c>
      <c r="B2082" s="13" t="n">
        <v>0.7212</v>
      </c>
      <c r="C2082" s="14">
        <f>B2082*100</f>
        <v/>
      </c>
    </row>
    <row r="2083">
      <c r="A2083" s="12" t="n">
        <v>45681</v>
      </c>
      <c r="B2083" s="13" t="n">
        <v>0.7192</v>
      </c>
      <c r="C2083" s="14">
        <f>B2083*100</f>
        <v/>
      </c>
    </row>
    <row r="2084">
      <c r="A2084" s="12" t="n">
        <v>45684</v>
      </c>
      <c r="B2084" s="13" t="n">
        <v>0.6816</v>
      </c>
      <c r="C2084" s="14">
        <f>B2084*100</f>
        <v/>
      </c>
    </row>
    <row r="2085">
      <c r="A2085" s="12" t="n">
        <v>45685</v>
      </c>
      <c r="B2085" s="13" t="n">
        <v>0.6771</v>
      </c>
      <c r="C2085" s="14">
        <f>B2085*100</f>
        <v/>
      </c>
    </row>
    <row r="2086">
      <c r="A2086" s="12" t="n">
        <v>45686</v>
      </c>
      <c r="B2086" s="13" t="n">
        <v>0.6807</v>
      </c>
      <c r="C2086" s="14">
        <f>B2086*100</f>
        <v/>
      </c>
    </row>
    <row r="2087">
      <c r="A2087" s="12" t="n">
        <v>45687</v>
      </c>
      <c r="B2087" s="13" t="n">
        <v>0.6646</v>
      </c>
      <c r="C2087" s="14">
        <f>B2087*100</f>
        <v/>
      </c>
    </row>
    <row r="2088">
      <c r="A2088" s="12" t="n">
        <v>45688</v>
      </c>
      <c r="B2088" s="13" t="n">
        <v>0.6836</v>
      </c>
      <c r="C2088" s="14">
        <f>B2088*100</f>
        <v/>
      </c>
    </row>
    <row r="2089">
      <c r="A2089" s="12" t="n">
        <v>45691</v>
      </c>
      <c r="B2089" s="13" t="n">
        <v>0.6733</v>
      </c>
      <c r="C2089" s="14">
        <f>B2089*100</f>
        <v/>
      </c>
    </row>
    <row r="2090">
      <c r="A2090" s="12" t="n">
        <v>45692</v>
      </c>
      <c r="B2090" s="13" t="n">
        <v>0.6598000000000001</v>
      </c>
      <c r="C2090" s="14">
        <f>B2090*100</f>
        <v/>
      </c>
    </row>
    <row r="2091">
      <c r="A2091" s="12" t="n">
        <v>45693</v>
      </c>
      <c r="B2091" s="13" t="n">
        <v>0.6215000000000001</v>
      </c>
      <c r="C2091" s="14">
        <f>B2091*100</f>
        <v/>
      </c>
    </row>
    <row r="2092">
      <c r="A2092" s="12" t="n">
        <v>45694</v>
      </c>
      <c r="B2092" s="13" t="n">
        <v>0.62</v>
      </c>
      <c r="C2092" s="14">
        <f>B2092*100</f>
        <v/>
      </c>
    </row>
    <row r="2093">
      <c r="A2093" s="12" t="n">
        <v>45695</v>
      </c>
      <c r="B2093" s="13" t="n">
        <v>0.6365</v>
      </c>
      <c r="C2093" s="14">
        <f>B2093*100</f>
        <v/>
      </c>
    </row>
    <row r="2094">
      <c r="A2094" s="12" t="n">
        <v>45698</v>
      </c>
      <c r="B2094" s="13" t="n">
        <v>0.6387</v>
      </c>
      <c r="C2094" s="14">
        <f>B2094*100</f>
        <v/>
      </c>
    </row>
    <row r="2095">
      <c r="A2095" s="12" t="n">
        <v>45699</v>
      </c>
      <c r="B2095" s="13" t="n">
        <v>0.6508</v>
      </c>
      <c r="C2095" s="14">
        <f>B2095*100</f>
        <v/>
      </c>
    </row>
    <row r="2096">
      <c r="A2096" s="12" t="n">
        <v>45700</v>
      </c>
      <c r="B2096" s="13" t="n">
        <v>0.6974</v>
      </c>
      <c r="C2096" s="14">
        <f>B2096*100</f>
        <v/>
      </c>
    </row>
    <row r="2097">
      <c r="A2097" s="12" t="n">
        <v>45701</v>
      </c>
      <c r="B2097" s="13" t="n">
        <v>0.6705</v>
      </c>
      <c r="C2097" s="14">
        <f>B2097*100</f>
        <v/>
      </c>
    </row>
    <row r="2098">
      <c r="A2098" s="12" t="n">
        <v>45702</v>
      </c>
      <c r="B2098" s="13" t="n">
        <v>0.6417</v>
      </c>
      <c r="C2098" s="14">
        <f>B2098*100</f>
        <v/>
      </c>
    </row>
    <row r="2099">
      <c r="A2099" s="12" t="n">
        <v>45706</v>
      </c>
      <c r="B2099" s="13" t="n">
        <v>0.662</v>
      </c>
      <c r="C2099" s="14">
        <f>B2099*100</f>
        <v/>
      </c>
    </row>
    <row r="2100">
      <c r="A2100" s="12" t="n">
        <v>45707</v>
      </c>
      <c r="B2100" s="13" t="n">
        <v>0.657</v>
      </c>
      <c r="C2100" s="14">
        <f>B2100*100</f>
        <v/>
      </c>
    </row>
    <row r="2101">
      <c r="A2101" s="12" t="n">
        <v>45708</v>
      </c>
      <c r="B2101" s="13" t="n">
        <v>0.6477000000000001</v>
      </c>
      <c r="C2101" s="14">
        <f>B2101*100</f>
        <v/>
      </c>
    </row>
    <row r="2102">
      <c r="A2102" s="12" t="n">
        <v>45709</v>
      </c>
      <c r="B2102" s="13" t="n">
        <v>0.6161</v>
      </c>
      <c r="C2102" s="14">
        <f>B2102*100</f>
        <v/>
      </c>
    </row>
    <row r="2103">
      <c r="A2103" s="12" t="n">
        <v>45712</v>
      </c>
      <c r="B2103" s="13" t="n">
        <v>0.6017</v>
      </c>
      <c r="C2103" s="14">
        <f>B2103*100</f>
        <v/>
      </c>
    </row>
    <row r="2104">
      <c r="A2104" s="12" t="n">
        <v>45713</v>
      </c>
      <c r="B2104" s="13" t="n">
        <v>0.5570000000000001</v>
      </c>
      <c r="C2104" s="14">
        <f>B2104*100</f>
        <v/>
      </c>
    </row>
    <row r="2105">
      <c r="A2105" s="12" t="n">
        <v>45714</v>
      </c>
      <c r="B2105" s="13" t="n">
        <v>0.5249</v>
      </c>
      <c r="C2105" s="14">
        <f>B2105*100</f>
        <v/>
      </c>
    </row>
    <row r="2106">
      <c r="A2106" s="12" t="n">
        <v>45715</v>
      </c>
      <c r="B2106" s="13" t="n">
        <v>0.5274</v>
      </c>
      <c r="C2106" s="14">
        <f>B2106*100</f>
        <v/>
      </c>
    </row>
    <row r="2107">
      <c r="A2107" s="12" t="n">
        <v>45716</v>
      </c>
      <c r="B2107" s="13" t="n">
        <v>0.5063</v>
      </c>
      <c r="C2107" s="14">
        <f>B2107*100</f>
        <v/>
      </c>
    </row>
    <row r="2108">
      <c r="A2108" s="12" t="n">
        <v>45719</v>
      </c>
      <c r="B2108" s="13" t="n">
        <v>0.4751</v>
      </c>
      <c r="C2108" s="14">
        <f>B2108*100</f>
        <v/>
      </c>
    </row>
    <row r="2109">
      <c r="A2109" s="12" t="n">
        <v>45720</v>
      </c>
      <c r="B2109" s="13" t="n">
        <v>0.488</v>
      </c>
      <c r="C2109" s="14">
        <f>B2109*100</f>
        <v/>
      </c>
    </row>
    <row r="2110">
      <c r="A2110" s="12" t="n">
        <v>45721</v>
      </c>
      <c r="B2110" s="13" t="n">
        <v>0.5178</v>
      </c>
      <c r="C2110" s="14">
        <f>B2110*100</f>
        <v/>
      </c>
    </row>
    <row r="2111">
      <c r="A2111" s="12" t="n">
        <v>45722</v>
      </c>
      <c r="B2111" s="13" t="n">
        <v>0.5284</v>
      </c>
      <c r="C2111" s="14">
        <f>B2111*100</f>
        <v/>
      </c>
    </row>
    <row r="2112">
      <c r="A2112" s="12" t="n">
        <v>45723</v>
      </c>
      <c r="B2112" s="13" t="n">
        <v>0.5439000000000001</v>
      </c>
      <c r="C2112" s="14">
        <f>B2112*100</f>
        <v/>
      </c>
    </row>
    <row r="2113">
      <c r="A2113" s="12" t="n">
        <v>45726</v>
      </c>
      <c r="B2113" s="13" t="n">
        <v>0.5083</v>
      </c>
      <c r="C2113" s="14">
        <f>B2113*100</f>
        <v/>
      </c>
    </row>
    <row r="2114">
      <c r="A2114" s="12" t="n">
        <v>45727</v>
      </c>
      <c r="B2114" s="13" t="n">
        <v>0.5213</v>
      </c>
      <c r="C2114" s="14">
        <f>B2114*100</f>
        <v/>
      </c>
    </row>
    <row r="2115">
      <c r="A2115" s="12" t="n">
        <v>45728</v>
      </c>
      <c r="B2115" s="13" t="n">
        <v>0.5432</v>
      </c>
      <c r="C2115" s="14">
        <f>B2115*100</f>
        <v/>
      </c>
    </row>
    <row r="2116">
      <c r="A2116" s="12" t="n">
        <v>45729</v>
      </c>
      <c r="B2116" s="13" t="n">
        <v>0.5271</v>
      </c>
      <c r="C2116" s="14">
        <f>B2116*100</f>
        <v/>
      </c>
    </row>
    <row r="2117">
      <c r="A2117" s="12" t="n">
        <v>45730</v>
      </c>
      <c r="B2117" s="13" t="n">
        <v>0.5449000000000001</v>
      </c>
      <c r="C2117" s="14">
        <f>B2117*100</f>
        <v/>
      </c>
    </row>
    <row r="2118">
      <c r="A2118" s="12" t="n">
        <v>45733</v>
      </c>
      <c r="B2118" s="13" t="n">
        <v>0.5498</v>
      </c>
      <c r="C2118" s="14">
        <f>B2118*100</f>
        <v/>
      </c>
    </row>
    <row r="2119">
      <c r="A2119" s="12" t="n">
        <v>45734</v>
      </c>
      <c r="B2119" s="13" t="n">
        <v>0.5379</v>
      </c>
      <c r="C2119" s="14">
        <f>B2119*100</f>
        <v/>
      </c>
    </row>
    <row r="2120">
      <c r="A2120" s="12" t="n">
        <v>45735</v>
      </c>
      <c r="B2120" s="13" t="n">
        <v>0.5183</v>
      </c>
      <c r="C2120" s="14">
        <f>B2120*100</f>
        <v/>
      </c>
    </row>
    <row r="2121">
      <c r="A2121" s="12" t="n">
        <v>45736</v>
      </c>
      <c r="B2121" s="13" t="n">
        <v>0.506</v>
      </c>
      <c r="C2121" s="14">
        <f>B2121*100</f>
        <v/>
      </c>
    </row>
    <row r="2122">
      <c r="A2122" s="12" t="n">
        <v>45737</v>
      </c>
      <c r="B2122" s="13" t="n">
        <v>0.5056</v>
      </c>
      <c r="C2122" s="14">
        <f>B2122*100</f>
        <v/>
      </c>
    </row>
    <row r="2123">
      <c r="A2123" s="12" t="n">
        <v>45740</v>
      </c>
      <c r="B2123" s="13" t="n">
        <v>0.5424</v>
      </c>
      <c r="C2123" s="14">
        <f>B2123*100</f>
        <v/>
      </c>
    </row>
    <row r="2124">
      <c r="A2124" s="12" t="n">
        <v>45741</v>
      </c>
      <c r="B2124" s="13" t="n">
        <v>0.5406</v>
      </c>
      <c r="C2124" s="14">
        <f>B2124*100</f>
        <v/>
      </c>
    </row>
    <row r="2125">
      <c r="A2125" s="12" t="n">
        <v>45742</v>
      </c>
      <c r="B2125" s="13" t="n">
        <v>0.5522</v>
      </c>
      <c r="C2125" s="14">
        <f>B2125*100</f>
        <v/>
      </c>
    </row>
    <row r="2126">
      <c r="A2126" s="12" t="n">
        <v>45743</v>
      </c>
      <c r="B2126" s="13" t="n">
        <v>0.5627</v>
      </c>
      <c r="C2126" s="14">
        <f>B2126*100</f>
        <v/>
      </c>
    </row>
    <row r="2127">
      <c r="A2127" s="12" t="n">
        <v>45744</v>
      </c>
      <c r="B2127" s="13" t="n">
        <v>0.5214</v>
      </c>
      <c r="C2127" s="14">
        <f>B2127*100</f>
        <v/>
      </c>
    </row>
    <row r="2128">
      <c r="A2128" s="12" t="n">
        <v>45747</v>
      </c>
      <c r="B2128" s="13" t="n">
        <v>0.4988</v>
      </c>
      <c r="C2128" s="14">
        <f>B2128*100</f>
        <v/>
      </c>
    </row>
    <row r="2129">
      <c r="A2129" s="12" t="n">
        <v>45748</v>
      </c>
      <c r="B2129" s="13" t="n">
        <v>0.4715</v>
      </c>
      <c r="C2129" s="14">
        <f>B2129*100</f>
        <v/>
      </c>
    </row>
    <row r="2130">
      <c r="A2130" s="12" t="n">
        <v>45749</v>
      </c>
      <c r="B2130" s="13" t="n">
        <v>0.4775</v>
      </c>
      <c r="C2130" s="14">
        <f>B2130*100</f>
        <v/>
      </c>
    </row>
    <row r="2131">
      <c r="A2131" s="12" t="n">
        <v>45750</v>
      </c>
      <c r="B2131" s="13" t="n">
        <v>0.4094</v>
      </c>
      <c r="C2131" s="14">
        <f>B2131*100</f>
        <v/>
      </c>
    </row>
    <row r="2132">
      <c r="A2132" s="12" t="n">
        <v>45751</v>
      </c>
      <c r="B2132" s="13" t="n">
        <v>0.3821</v>
      </c>
      <c r="C2132" s="14">
        <f>B2132*100</f>
        <v/>
      </c>
    </row>
    <row r="2133">
      <c r="A2133" s="12" t="n">
        <v>45754</v>
      </c>
      <c r="B2133" s="13" t="n">
        <v>0.4271</v>
      </c>
      <c r="C2133" s="14">
        <f>B2133*100</f>
        <v/>
      </c>
    </row>
    <row r="2134">
      <c r="A2134" s="12" t="n">
        <v>45755</v>
      </c>
      <c r="B2134" s="13" t="n">
        <v>0.4769</v>
      </c>
      <c r="C2134" s="14">
        <f>B2134*100</f>
        <v/>
      </c>
    </row>
    <row r="2135">
      <c r="A2135" s="12" t="n">
        <v>45756</v>
      </c>
      <c r="B2135" s="13" t="n">
        <v>0.5436</v>
      </c>
      <c r="C2135" s="14">
        <f>B2135*100</f>
        <v/>
      </c>
    </row>
    <row r="2136">
      <c r="A2136" s="12" t="n">
        <v>45757</v>
      </c>
      <c r="B2136" s="13" t="n">
        <v>0.5682</v>
      </c>
      <c r="C2136" s="14">
        <f>B2136*100</f>
        <v/>
      </c>
    </row>
    <row r="2137">
      <c r="A2137" s="12" t="n">
        <v>45758</v>
      </c>
      <c r="B2137" s="13" t="n">
        <v>0.6161</v>
      </c>
      <c r="C2137" s="14">
        <f>B2137*100</f>
        <v/>
      </c>
    </row>
    <row r="2138">
      <c r="A2138" s="12" t="n">
        <v>45761</v>
      </c>
      <c r="B2138" s="13" t="n">
        <v>0.5794</v>
      </c>
      <c r="C2138" s="14">
        <f>B2138*100</f>
        <v/>
      </c>
    </row>
    <row r="2139">
      <c r="A2139" s="12" t="n">
        <v>45762</v>
      </c>
      <c r="B2139" s="13" t="n">
        <v>0.5580000000000001</v>
      </c>
      <c r="C2139" s="14">
        <f>B2139*100</f>
        <v/>
      </c>
    </row>
    <row r="2140">
      <c r="A2140" s="12" t="n">
        <v>45763</v>
      </c>
      <c r="B2140" s="13" t="n">
        <v>0.523</v>
      </c>
      <c r="C2140" s="14">
        <f>B2140*100</f>
        <v/>
      </c>
    </row>
    <row r="2141">
      <c r="A2141" s="12" t="n">
        <v>45764</v>
      </c>
      <c r="B2141" s="13" t="n">
        <v>0.5337</v>
      </c>
      <c r="C2141" s="14">
        <f>B2141*100</f>
        <v/>
      </c>
    </row>
    <row r="2142">
      <c r="A2142" s="12" t="n">
        <v>45768</v>
      </c>
      <c r="B2142" s="13" t="n">
        <v>0.5565</v>
      </c>
      <c r="C2142" s="14">
        <f>B2142*100</f>
        <v/>
      </c>
    </row>
    <row r="2143">
      <c r="A2143" s="12" t="n">
        <v>45769</v>
      </c>
      <c r="B2143" s="13" t="n">
        <v>0.5668</v>
      </c>
      <c r="C2143" s="14">
        <f>B2143*100</f>
        <v/>
      </c>
    </row>
    <row r="2144">
      <c r="A2144" s="12" t="n">
        <v>45770</v>
      </c>
      <c r="B2144" s="13" t="n">
        <v>0.5721000000000001</v>
      </c>
      <c r="C2144" s="14">
        <f>B2144*100</f>
        <v/>
      </c>
    </row>
    <row r="2145">
      <c r="A2145" s="12" t="n">
        <v>45771</v>
      </c>
      <c r="B2145" s="13" t="n">
        <v>0.5396</v>
      </c>
      <c r="C2145" s="14">
        <f>B2145*100</f>
        <v/>
      </c>
    </row>
    <row r="2146">
      <c r="A2146" s="12" t="n">
        <v>45772</v>
      </c>
      <c r="B2146" s="13" t="n">
        <v>0.5131</v>
      </c>
      <c r="C2146" s="14">
        <f>B2146*100</f>
        <v/>
      </c>
    </row>
    <row r="2147">
      <c r="A2147" s="12" t="n">
        <v>45775</v>
      </c>
      <c r="B2147" s="13" t="n">
        <v>0.4805</v>
      </c>
      <c r="C2147" s="14">
        <f>B2147*100</f>
        <v/>
      </c>
    </row>
    <row r="2148">
      <c r="A2148" s="12" t="n">
        <v>45776</v>
      </c>
      <c r="B2148" s="13" t="n">
        <v>0.4541</v>
      </c>
      <c r="C2148" s="14">
        <f>B2148*100</f>
        <v/>
      </c>
    </row>
    <row r="2149">
      <c r="A2149" s="12" t="n">
        <v>45777</v>
      </c>
      <c r="B2149" s="13" t="n">
        <v>0.435</v>
      </c>
      <c r="C2149" s="14">
        <f>B2149*100</f>
        <v/>
      </c>
    </row>
    <row r="2150">
      <c r="A2150" s="12" t="n">
        <v>45778</v>
      </c>
      <c r="B2150" s="13" t="n">
        <v>0.4655</v>
      </c>
      <c r="C2150" s="14">
        <f>B2150*100</f>
        <v/>
      </c>
    </row>
    <row r="2151">
      <c r="A2151" s="12" t="n">
        <v>45779</v>
      </c>
      <c r="B2151" s="13" t="n">
        <v>0.5073</v>
      </c>
      <c r="C2151" s="14">
        <f>B2151*100</f>
        <v/>
      </c>
    </row>
    <row r="2152">
      <c r="A2152" s="12" t="n">
        <v>45782</v>
      </c>
      <c r="B2152" s="13" t="n">
        <v>0.526</v>
      </c>
      <c r="C2152" s="14">
        <f>B2152*100</f>
        <v/>
      </c>
    </row>
    <row r="2153">
      <c r="A2153" s="12" t="n">
        <v>45783</v>
      </c>
      <c r="B2153" s="13" t="n">
        <v>0.5164</v>
      </c>
      <c r="C2153" s="14">
        <f>B2153*100</f>
        <v/>
      </c>
    </row>
    <row r="2154">
      <c r="A2154" s="12" t="n">
        <v>45784</v>
      </c>
      <c r="B2154" s="13" t="n">
        <v>0.4997</v>
      </c>
      <c r="C2154" s="14">
        <f>B2154*100</f>
        <v/>
      </c>
    </row>
    <row r="2155">
      <c r="A2155" s="12" t="n">
        <v>45785</v>
      </c>
      <c r="B2155" s="13" t="n">
        <v>0.5413</v>
      </c>
      <c r="C2155" s="14">
        <f>B2155*100</f>
        <v/>
      </c>
    </row>
    <row r="2156">
      <c r="A2156" s="12" t="n">
        <v>45786</v>
      </c>
      <c r="B2156" s="13" t="n">
        <v>0.5503</v>
      </c>
      <c r="C2156" s="14">
        <f>B2156*100</f>
        <v/>
      </c>
    </row>
    <row r="2157">
      <c r="A2157" s="12" t="n">
        <v>45789</v>
      </c>
      <c r="B2157" s="13" t="n">
        <v>0.5831</v>
      </c>
      <c r="C2157" s="14">
        <f>B2157*100</f>
        <v/>
      </c>
    </row>
    <row r="2158">
      <c r="A2158" s="12" t="n">
        <v>45790</v>
      </c>
      <c r="B2158" s="13" t="n">
        <v>0.6037</v>
      </c>
      <c r="C2158" s="14">
        <f>B2158*100</f>
        <v/>
      </c>
    </row>
    <row r="2159">
      <c r="A2159" s="12" t="n">
        <v>45791</v>
      </c>
      <c r="B2159" s="13" t="n">
        <v>0.6244</v>
      </c>
      <c r="C2159" s="14">
        <f>B2159*100</f>
        <v/>
      </c>
    </row>
    <row r="2160">
      <c r="A2160" s="12" t="n">
        <v>45792</v>
      </c>
      <c r="B2160" s="13" t="n">
        <v>0.5938</v>
      </c>
      <c r="C2160" s="14">
        <f>B2160*100</f>
        <v/>
      </c>
    </row>
    <row r="2161">
      <c r="A2161" s="12" t="n">
        <v>45793</v>
      </c>
      <c r="B2161" s="13" t="n">
        <v>0.5836</v>
      </c>
      <c r="C2161" s="14">
        <f>B2161*100</f>
        <v/>
      </c>
    </row>
    <row r="2162">
      <c r="A2162" s="12" t="n">
        <v>45796</v>
      </c>
      <c r="B2162" s="13" t="n">
        <v>0.5841</v>
      </c>
      <c r="C2162" s="14">
        <f>B2162*100</f>
        <v/>
      </c>
    </row>
    <row r="2163">
      <c r="A2163" s="12" t="n">
        <v>45797</v>
      </c>
      <c r="B2163" s="13" t="n">
        <v>0.5899</v>
      </c>
      <c r="C2163" s="14">
        <f>B2163*100</f>
        <v/>
      </c>
    </row>
    <row r="2164">
      <c r="A2164" s="12" t="n">
        <v>45798</v>
      </c>
      <c r="B2164" s="13" t="n">
        <v>0.6288</v>
      </c>
      <c r="C2164" s="14">
        <f>B2164*100</f>
        <v/>
      </c>
    </row>
    <row r="2165">
      <c r="A2165" s="12" t="n">
        <v>45799</v>
      </c>
      <c r="B2165" s="13" t="n">
        <v>0.6269</v>
      </c>
      <c r="C2165" s="14">
        <f>B2165*100</f>
        <v/>
      </c>
    </row>
    <row r="2166">
      <c r="A2166" s="12" t="n">
        <v>45800</v>
      </c>
      <c r="B2166" s="13" t="n">
        <v>0.6166</v>
      </c>
      <c r="C2166" s="14">
        <f>B2166*100</f>
        <v/>
      </c>
    </row>
    <row r="2167">
      <c r="A2167" s="12" t="n">
        <v>45804</v>
      </c>
      <c r="B2167" s="13" t="n">
        <v>0.5841</v>
      </c>
      <c r="C2167" s="14">
        <f>B2167*100</f>
        <v/>
      </c>
    </row>
    <row r="2168">
      <c r="A2168" s="12" t="n">
        <v>45805</v>
      </c>
      <c r="B2168" s="13" t="n">
        <v>0.5896</v>
      </c>
      <c r="C2168" s="14">
        <f>B2168*100</f>
        <v/>
      </c>
    </row>
    <row r="2169">
      <c r="A2169" s="12" t="n">
        <v>45806</v>
      </c>
      <c r="B2169" s="13" t="n">
        <v>0.5669999999999999</v>
      </c>
      <c r="C2169" s="14">
        <f>B2169*100</f>
        <v/>
      </c>
    </row>
    <row r="2170">
      <c r="A2170" s="12" t="n">
        <v>45807</v>
      </c>
      <c r="B2170" s="13" t="n">
        <v>0.5515</v>
      </c>
      <c r="C2170" s="14">
        <f>B2170*100</f>
        <v/>
      </c>
    </row>
    <row r="2171">
      <c r="A2171" s="12" t="n">
        <v>45810</v>
      </c>
      <c r="B2171" s="13" t="n">
        <v>0.5658</v>
      </c>
      <c r="C2171" s="14">
        <f>B2171*100</f>
        <v/>
      </c>
    </row>
    <row r="2172">
      <c r="A2172" s="12" t="n">
        <v>45811</v>
      </c>
      <c r="B2172" s="13" t="n">
        <v>0.5748</v>
      </c>
      <c r="C2172" s="14">
        <f>B2172*100</f>
        <v/>
      </c>
    </row>
    <row r="2173">
      <c r="A2173" s="12" t="n">
        <v>45812</v>
      </c>
      <c r="B2173" s="13" t="n">
        <v>0.5365</v>
      </c>
      <c r="C2173" s="14">
        <f>B2173*100</f>
        <v/>
      </c>
    </row>
    <row r="2174">
      <c r="A2174" s="12" t="n">
        <v>45813</v>
      </c>
      <c r="B2174" s="13" t="n">
        <v>0.5455</v>
      </c>
      <c r="C2174" s="14">
        <f>B2174*100</f>
        <v/>
      </c>
    </row>
    <row r="2175">
      <c r="A2175" s="12" t="n">
        <v>45814</v>
      </c>
      <c r="B2175" s="13" t="n">
        <v>0.5974</v>
      </c>
      <c r="C2175" s="14">
        <f>B2175*100</f>
        <v/>
      </c>
    </row>
    <row r="2176">
      <c r="A2176" s="12" t="n">
        <v>45817</v>
      </c>
      <c r="B2176" s="13" t="n">
        <v>0.5971</v>
      </c>
      <c r="C2176" s="14">
        <f>B2176*100</f>
        <v/>
      </c>
    </row>
    <row r="2177">
      <c r="A2177" s="12" t="n">
        <v>45818</v>
      </c>
      <c r="B2177" s="13" t="n">
        <v>0.5905</v>
      </c>
      <c r="C2177" s="14">
        <f>B2177*100</f>
        <v/>
      </c>
    </row>
    <row r="2178">
      <c r="A2178" s="12" t="n">
        <v>45819</v>
      </c>
      <c r="B2178" s="13" t="n">
        <v>0.5636</v>
      </c>
      <c r="C2178" s="14">
        <f>B2178*100</f>
        <v/>
      </c>
    </row>
    <row r="2179">
      <c r="A2179" s="12" t="n">
        <v>45820</v>
      </c>
      <c r="B2179" s="13" t="n">
        <v>0.5341</v>
      </c>
      <c r="C2179" s="14">
        <f>B2179*100</f>
        <v/>
      </c>
    </row>
    <row r="2180">
      <c r="A2180" s="12" t="n">
        <v>45821</v>
      </c>
      <c r="B2180" s="13" t="n">
        <v>0.5497</v>
      </c>
      <c r="C2180" s="14">
        <f>B2180*100</f>
        <v/>
      </c>
    </row>
    <row r="2181">
      <c r="A2181" s="12" t="n">
        <v>45824</v>
      </c>
      <c r="B2181" s="13" t="n">
        <v>0.5672</v>
      </c>
      <c r="C2181" s="14">
        <f>B2181*100</f>
        <v/>
      </c>
    </row>
    <row r="2182">
      <c r="A2182" s="12" t="n">
        <v>45825</v>
      </c>
      <c r="B2182" s="13" t="n">
        <v>0.5474</v>
      </c>
      <c r="C2182" s="14">
        <f>B2182*100</f>
        <v/>
      </c>
    </row>
    <row r="2183">
      <c r="A2183" s="12" t="n">
        <v>45826</v>
      </c>
      <c r="B2183" s="13" t="n">
        <v>0.5407999999999999</v>
      </c>
      <c r="C2183" s="14">
        <f>B2183*100</f>
        <v/>
      </c>
    </row>
    <row r="2184">
      <c r="A2184" s="12" t="n">
        <v>45828</v>
      </c>
      <c r="B2184" s="13" t="n">
        <v>0.5356</v>
      </c>
      <c r="C2184" s="14">
        <f>B2184*100</f>
        <v/>
      </c>
    </row>
    <row r="2185">
      <c r="A2185" s="12" t="n">
        <v>45831</v>
      </c>
      <c r="B2185" s="13" t="n">
        <v>0.5165</v>
      </c>
      <c r="C2185" s="14">
        <f>B2185*100</f>
        <v/>
      </c>
    </row>
    <row r="2186">
      <c r="A2186" s="12" t="n">
        <v>45832</v>
      </c>
      <c r="B2186" s="13" t="n">
        <v>0.4965</v>
      </c>
      <c r="C2186" s="14">
        <f>B2186*100</f>
        <v/>
      </c>
    </row>
    <row r="2187">
      <c r="A2187" s="12" t="n">
        <v>45833</v>
      </c>
      <c r="B2187" s="13" t="n">
        <v>0.4883</v>
      </c>
      <c r="C2187" s="14">
        <f>B2187*100</f>
        <v/>
      </c>
    </row>
    <row r="2188">
      <c r="A2188" s="12" t="n">
        <v>45834</v>
      </c>
      <c r="B2188" s="13" t="n">
        <v>0.4708</v>
      </c>
      <c r="C2188" s="14">
        <f>B2188*100</f>
        <v/>
      </c>
    </row>
    <row r="2189">
      <c r="A2189" s="12" t="n">
        <v>45835</v>
      </c>
      <c r="B2189" s="13" t="n">
        <v>0.4816</v>
      </c>
      <c r="C2189" s="14">
        <f>B2189*100</f>
        <v/>
      </c>
    </row>
    <row r="2190">
      <c r="A2190" s="12" t="n">
        <v>45838</v>
      </c>
      <c r="B2190" s="13" t="n">
        <v>0.4603</v>
      </c>
      <c r="C2190" s="14">
        <f>B2190*100</f>
        <v/>
      </c>
    </row>
    <row r="2191">
      <c r="A2191" s="12" t="n">
        <v>45839</v>
      </c>
      <c r="B2191" s="13" t="n">
        <v>0.4684</v>
      </c>
      <c r="C2191" s="14">
        <f>B2191*100</f>
        <v/>
      </c>
    </row>
    <row r="2192">
      <c r="A2192" s="12" t="n">
        <v>45840</v>
      </c>
      <c r="B2192" s="13" t="n">
        <v>0.4842</v>
      </c>
      <c r="C2192" s="14">
        <f>B2192*100</f>
        <v/>
      </c>
    </row>
    <row r="2193">
      <c r="A2193" s="12" t="n">
        <v>45841</v>
      </c>
      <c r="B2193" s="13" t="n">
        <v>0.5108</v>
      </c>
      <c r="C2193" s="14">
        <f>B2193*100</f>
        <v/>
      </c>
    </row>
    <row r="2194">
      <c r="A2194" s="12" t="n">
        <v>45845</v>
      </c>
      <c r="B2194" s="13" t="n">
        <v>0.5283</v>
      </c>
      <c r="C2194" s="14">
        <f>B2194*100</f>
        <v/>
      </c>
    </row>
    <row r="2195">
      <c r="A2195" s="12" t="n">
        <v>45846</v>
      </c>
      <c r="B2195" s="13" t="n">
        <v>0.5427</v>
      </c>
      <c r="C2195" s="14">
        <f>B2195*100</f>
        <v/>
      </c>
    </row>
    <row r="2196">
      <c r="A2196" s="12" t="n">
        <v>45847</v>
      </c>
      <c r="B2196" s="13" t="n">
        <v>0.5174</v>
      </c>
      <c r="C2196" s="14">
        <f>B2196*100</f>
        <v/>
      </c>
    </row>
    <row r="2197">
      <c r="A2197" s="12" t="n">
        <v>45848</v>
      </c>
      <c r="B2197" s="13" t="n">
        <v>0.516</v>
      </c>
      <c r="C2197" s="14">
        <f>B2197*100</f>
        <v/>
      </c>
    </row>
    <row r="2198">
      <c r="A2198" s="12" t="n">
        <v>45849</v>
      </c>
      <c r="B2198" s="13" t="n">
        <v>0.5452</v>
      </c>
      <c r="C2198" s="14">
        <f>B2198*100</f>
        <v/>
      </c>
    </row>
    <row r="2199">
      <c r="A2199" s="12" t="n">
        <v>45852</v>
      </c>
      <c r="B2199" s="13" t="n">
        <v>0.551</v>
      </c>
      <c r="C2199" s="14">
        <f>B2199*100</f>
        <v/>
      </c>
    </row>
    <row r="2200">
      <c r="A2200" s="12" t="n">
        <v>45853</v>
      </c>
      <c r="B2200" s="13" t="n">
        <v>0.5800999999999999</v>
      </c>
      <c r="C2200" s="14">
        <f>B2200*100</f>
        <v/>
      </c>
    </row>
    <row r="2201">
      <c r="A2201" s="12" t="n">
        <v>45854</v>
      </c>
      <c r="B2201" s="13" t="n">
        <v>0.5693</v>
      </c>
      <c r="C2201" s="14">
        <f>B2201*100</f>
        <v/>
      </c>
    </row>
    <row r="2202">
      <c r="A2202" s="12" t="n">
        <v>45855</v>
      </c>
      <c r="B2202" s="13" t="n">
        <v>0.5747</v>
      </c>
      <c r="C2202" s="14">
        <f>B2202*100</f>
        <v/>
      </c>
    </row>
    <row r="2203">
      <c r="A2203" s="12" t="n">
        <v>45856</v>
      </c>
      <c r="B2203" s="13" t="n">
        <v>0.5610000000000001</v>
      </c>
      <c r="C2203" s="14">
        <f>B2203*100</f>
        <v/>
      </c>
    </row>
    <row r="2204">
      <c r="A2204" s="12" t="n">
        <v>45859</v>
      </c>
      <c r="B2204" s="13" t="n">
        <v>0.5355</v>
      </c>
      <c r="C2204" s="14">
        <f>B2204*100</f>
        <v/>
      </c>
    </row>
    <row r="2205">
      <c r="A2205" s="12" t="n">
        <v>45860</v>
      </c>
      <c r="B2205" s="13" t="n">
        <v>0.5143</v>
      </c>
      <c r="C2205" s="14">
        <f>B2205*100</f>
        <v/>
      </c>
    </row>
    <row r="2206">
      <c r="A2206" s="12" t="n">
        <v>45861</v>
      </c>
      <c r="B2206" s="13" t="n">
        <v>0.5293</v>
      </c>
      <c r="C2206" s="14">
        <f>B2206*100</f>
        <v/>
      </c>
    </row>
    <row r="2207">
      <c r="A2207" s="12" t="n">
        <v>45862</v>
      </c>
      <c r="B2207" s="13" t="n">
        <v>0.544</v>
      </c>
      <c r="C2207" s="14">
        <f>B2207*100</f>
        <v/>
      </c>
    </row>
    <row r="2208">
      <c r="A2208" s="12" t="n">
        <v>45863</v>
      </c>
      <c r="B2208" s="13" t="n">
        <v>0.5362</v>
      </c>
      <c r="C2208" s="14">
        <f>B2208*100</f>
        <v/>
      </c>
    </row>
    <row r="2209">
      <c r="A2209" s="12" t="n">
        <v>45866</v>
      </c>
      <c r="B2209" s="13" t="n">
        <v>0.5445</v>
      </c>
      <c r="C2209" s="14">
        <f>B2209*100</f>
        <v/>
      </c>
    </row>
    <row r="2210">
      <c r="A2210" s="12" t="n">
        <v>45867</v>
      </c>
      <c r="B2210" s="13" t="n">
        <v>0.5153</v>
      </c>
      <c r="C2210" s="14">
        <f>B2210*100</f>
        <v/>
      </c>
    </row>
    <row r="2211">
      <c r="A2211" s="12" t="n">
        <v>45868</v>
      </c>
      <c r="B2211" s="13" t="n">
        <v>0.527</v>
      </c>
      <c r="C2211" s="14">
        <f>B2211*100</f>
        <v/>
      </c>
    </row>
    <row r="2212">
      <c r="A2212" s="12" t="n">
        <v>45869</v>
      </c>
      <c r="B2212" s="13" t="n">
        <v>0.5262</v>
      </c>
      <c r="C2212" s="14">
        <f>B2212*100</f>
        <v/>
      </c>
    </row>
    <row r="2213">
      <c r="A2213" s="12" t="n">
        <v>45870</v>
      </c>
      <c r="B2213" s="13" t="n">
        <v>0.4649</v>
      </c>
      <c r="C2213" s="14">
        <f>B2213*100</f>
        <v/>
      </c>
    </row>
    <row r="2214">
      <c r="A2214" s="12" t="n">
        <v>45873</v>
      </c>
      <c r="B2214" s="13" t="n">
        <v>0.4505</v>
      </c>
      <c r="C2214" s="14">
        <f>B2214*100</f>
        <v/>
      </c>
    </row>
    <row r="2215">
      <c r="A2215" s="12" t="n">
        <v>45874</v>
      </c>
      <c r="B2215" s="13" t="n">
        <v>0.4544</v>
      </c>
      <c r="C2215" s="14">
        <f>B2215*100</f>
        <v/>
      </c>
    </row>
    <row r="2216">
      <c r="A2216" s="12" t="n">
        <v>45875</v>
      </c>
      <c r="B2216" s="13" t="n">
        <v>0.46</v>
      </c>
      <c r="C2216" s="14">
        <f>B2216*100</f>
        <v/>
      </c>
    </row>
    <row r="2217">
      <c r="A2217" s="12" t="n">
        <v>45876</v>
      </c>
      <c r="B2217" s="13" t="n">
        <v>0.4718</v>
      </c>
      <c r="C2217" s="14">
        <f>B2217*100</f>
        <v/>
      </c>
    </row>
    <row r="2218">
      <c r="A2218" s="12" t="n">
        <v>45877</v>
      </c>
      <c r="B2218" s="13" t="n">
        <v>0.4913</v>
      </c>
      <c r="C2218" s="14">
        <f>B2218*100</f>
        <v/>
      </c>
    </row>
    <row r="2219">
      <c r="A2219" s="12" t="n">
        <v>45880</v>
      </c>
      <c r="B2219" s="13" t="n">
        <v>0.494</v>
      </c>
      <c r="C2219" s="14">
        <f>B2219*100</f>
        <v/>
      </c>
    </row>
    <row r="2220">
      <c r="A2220" s="12" t="n">
        <v>45881</v>
      </c>
      <c r="B2220" s="13" t="n">
        <v>0.4995</v>
      </c>
      <c r="C2220" s="14">
        <f>B2220*100</f>
        <v/>
      </c>
    </row>
    <row r="2221">
      <c r="A2221" s="12" t="n">
        <v>45882</v>
      </c>
      <c r="B2221" s="13" t="n">
        <v>0.4832</v>
      </c>
      <c r="C2221" s="14">
        <f>B2221*100</f>
        <v/>
      </c>
    </row>
    <row r="2222">
      <c r="A2222" s="12" t="n">
        <v>45883</v>
      </c>
      <c r="B2222" s="13" t="n">
        <v>0.5004</v>
      </c>
      <c r="C2222" s="14">
        <f>B2222*100</f>
        <v/>
      </c>
    </row>
    <row r="2223">
      <c r="A2223" s="12" t="n">
        <v>45884</v>
      </c>
      <c r="B2223" s="13" t="n">
        <v>0.5191</v>
      </c>
      <c r="C2223" s="14">
        <f>B2223*100</f>
        <v/>
      </c>
    </row>
    <row r="2224">
      <c r="A2224" s="12" t="n">
        <v>45887</v>
      </c>
      <c r="B2224" s="13" t="n">
        <v>0.526</v>
      </c>
      <c r="C2224" s="14">
        <f>B2224*100</f>
        <v/>
      </c>
    </row>
    <row r="2225">
      <c r="A2225" s="12" t="n">
        <v>45888</v>
      </c>
      <c r="B2225" s="13" t="n">
        <v>0.5161</v>
      </c>
      <c r="C2225" s="14">
        <f>B2225*100</f>
        <v/>
      </c>
    </row>
    <row r="2226">
      <c r="A2226" s="12" t="n">
        <v>45889</v>
      </c>
      <c r="B2226" s="13" t="n">
        <v>0.507</v>
      </c>
      <c r="C2226" s="14">
        <f>B2226*100</f>
        <v/>
      </c>
    </row>
    <row r="2227">
      <c r="A2227" s="12" t="n">
        <v>45890</v>
      </c>
      <c r="B2227" s="13" t="n">
        <v>0.5225</v>
      </c>
      <c r="C2227" s="14">
        <f>B2227*100</f>
        <v/>
      </c>
    </row>
    <row r="2228">
      <c r="A2228" s="12" t="n">
        <v>45891</v>
      </c>
      <c r="B2228" s="13" t="n">
        <v>0.4939</v>
      </c>
      <c r="C2228" s="14">
        <f>B2228*100</f>
        <v/>
      </c>
    </row>
    <row r="2229">
      <c r="A2229" s="12" t="n">
        <v>45894</v>
      </c>
      <c r="B2229" s="13" t="n">
        <v>0.5008</v>
      </c>
      <c r="C2229" s="14">
        <f>B2229*100</f>
        <v/>
      </c>
    </row>
    <row r="2230">
      <c r="A2230" s="12" t="n">
        <v>45895</v>
      </c>
      <c r="B2230" s="13" t="n">
        <v>0.4893</v>
      </c>
      <c r="C2230" s="14">
        <f>B2230*100</f>
        <v/>
      </c>
    </row>
    <row r="2231">
      <c r="A2231" s="12" t="n">
        <v>45896</v>
      </c>
      <c r="B2231" s="13" t="n">
        <v>0.4805</v>
      </c>
      <c r="C2231" s="14">
        <f>B2231*100</f>
        <v/>
      </c>
    </row>
    <row r="2232">
      <c r="A2232" s="12" t="n">
        <v>45897</v>
      </c>
      <c r="B2232" s="13" t="n">
        <v>0.4717</v>
      </c>
      <c r="C2232" s="14">
        <f>B2232*100</f>
        <v/>
      </c>
    </row>
    <row r="2233">
      <c r="A2233" s="12" t="n">
        <v>45898</v>
      </c>
      <c r="B2233" s="13" t="n">
        <v>0.4727</v>
      </c>
      <c r="C2233" s="14">
        <f>B2233*100</f>
        <v/>
      </c>
    </row>
    <row r="2234">
      <c r="A2234" s="12" t="n">
        <v>45902</v>
      </c>
      <c r="B2234" s="13" t="n">
        <v>0.4948</v>
      </c>
      <c r="C2234" s="14">
        <f>B2234*100</f>
        <v/>
      </c>
    </row>
    <row r="2235">
      <c r="A2235" s="12" t="n">
        <v>45903</v>
      </c>
      <c r="B2235" s="13" t="n">
        <v>0.4794</v>
      </c>
      <c r="C2235" s="14">
        <f>B2235*100</f>
        <v/>
      </c>
    </row>
    <row r="2236">
      <c r="A2236" s="12" t="n">
        <v>45904</v>
      </c>
      <c r="B2236" s="13" t="n">
        <v>0.4594</v>
      </c>
      <c r="C2236" s="14">
        <f>B2236*100</f>
        <v/>
      </c>
    </row>
    <row r="2237">
      <c r="A2237" s="12" t="n">
        <v>45905</v>
      </c>
      <c r="B2237" s="13" t="n">
        <v>0.436</v>
      </c>
      <c r="C2237" s="14">
        <f>B2237*100</f>
        <v/>
      </c>
    </row>
    <row r="2238">
      <c r="A2238" s="12" t="n">
        <v>45908</v>
      </c>
      <c r="B2238" s="13" t="n">
        <v>0.4207</v>
      </c>
      <c r="C2238" s="14">
        <f>B2238*100</f>
        <v/>
      </c>
    </row>
    <row r="2239">
      <c r="A2239" s="12" t="n">
        <v>45909</v>
      </c>
      <c r="B2239" s="13" t="n">
        <v>0.4275</v>
      </c>
      <c r="C2239" s="14">
        <f>B2239*100</f>
        <v/>
      </c>
    </row>
    <row r="2240">
      <c r="A2240" s="12" t="n">
        <v>45910</v>
      </c>
      <c r="B2240" s="13" t="n">
        <v>0.4205</v>
      </c>
      <c r="C2240" s="14">
        <f>B2240*100</f>
        <v/>
      </c>
    </row>
    <row r="2241">
      <c r="A2241" s="12" t="n">
        <v>45911</v>
      </c>
      <c r="B2241" s="13" t="n">
        <v>0.4121</v>
      </c>
      <c r="C2241" s="14">
        <f>B2241*100</f>
        <v/>
      </c>
    </row>
    <row r="2242">
      <c r="A2242" s="12" t="n">
        <v>45912</v>
      </c>
      <c r="B2242" s="13" t="n">
        <v>0.4291</v>
      </c>
      <c r="C2242" s="14">
        <f>B2242*100</f>
        <v/>
      </c>
    </row>
    <row r="2243">
      <c r="A2243" s="12" t="n">
        <v>45915</v>
      </c>
      <c r="B2243" s="13" t="n">
        <v>0.4273</v>
      </c>
      <c r="C2243" s="14">
        <f>B2243*100</f>
        <v/>
      </c>
    </row>
    <row r="2244">
      <c r="A2244" s="12" t="n">
        <v>45916</v>
      </c>
      <c r="B2244" s="13" t="n">
        <v>0.4237</v>
      </c>
      <c r="C2244" s="14">
        <f>B2244*100</f>
        <v/>
      </c>
    </row>
    <row r="2245">
      <c r="A2245" s="12" t="n">
        <v>45917</v>
      </c>
      <c r="B2245" s="13" t="n">
        <v>0.4369</v>
      </c>
      <c r="C2245" s="14">
        <f>B2245*100</f>
        <v/>
      </c>
    </row>
    <row r="2246">
      <c r="A2246" s="12" t="n">
        <v>45918</v>
      </c>
      <c r="B2246" s="13" t="n">
        <v>0.4597</v>
      </c>
      <c r="C2246" s="14">
        <f>B2246*100</f>
        <v/>
      </c>
    </row>
    <row r="2247">
      <c r="A2247" s="12" t="n">
        <v>45919</v>
      </c>
      <c r="B2247" s="13" t="n">
        <v>0.4748</v>
      </c>
      <c r="C2247" s="14">
        <f>B2247*100</f>
        <v/>
      </c>
    </row>
    <row r="2248">
      <c r="A2248" s="12" t="n">
        <v>45922</v>
      </c>
      <c r="B2248" s="13" t="n">
        <v>0.4869</v>
      </c>
      <c r="C2248" s="14">
        <f>B2248*100</f>
        <v/>
      </c>
    </row>
    <row r="2249">
      <c r="A2249" s="12" t="n">
        <v>45923</v>
      </c>
      <c r="B2249" s="13" t="n">
        <v>0.4797</v>
      </c>
      <c r="C2249" s="14">
        <f>B2249*100</f>
        <v/>
      </c>
    </row>
    <row r="2250">
      <c r="A2250" s="12" t="n">
        <v>45924</v>
      </c>
      <c r="B2250" s="13" t="n">
        <v>0.4926</v>
      </c>
      <c r="C2250" s="14">
        <f>B2250*100</f>
        <v/>
      </c>
    </row>
    <row r="2251">
      <c r="A2251" s="12" t="n">
        <v>45925</v>
      </c>
      <c r="B2251" s="13" t="n">
        <v>0.5069</v>
      </c>
      <c r="C2251" s="14">
        <f>B2251*100</f>
        <v/>
      </c>
    </row>
    <row r="2252">
      <c r="A2252" s="12" t="n">
        <v>45926</v>
      </c>
      <c r="B2252" s="13" t="n">
        <v>0.5162</v>
      </c>
      <c r="C2252" s="14">
        <f>B2252*100</f>
        <v/>
      </c>
    </row>
    <row r="2253">
      <c r="A2253" s="12" t="n">
        <v>45929</v>
      </c>
      <c r="B2253" s="13" t="n">
        <v>0.5047</v>
      </c>
      <c r="C2253" s="14">
        <f>B2253*100</f>
        <v/>
      </c>
    </row>
    <row r="2254">
      <c r="A2254" s="12" t="n">
        <v>45930</v>
      </c>
      <c r="B2254" s="13" t="n">
        <v>0.5031</v>
      </c>
      <c r="C2254" s="14">
        <f>B2254*100</f>
        <v/>
      </c>
    </row>
    <row r="2255">
      <c r="A2255" s="12" t="n">
        <v>45931</v>
      </c>
      <c r="B2255" s="13" t="n">
        <v>0.4872</v>
      </c>
      <c r="C2255" s="14">
        <f>B2255*100</f>
        <v/>
      </c>
    </row>
    <row r="2256">
      <c r="A2256" s="12" t="n">
        <v>45932</v>
      </c>
      <c r="B2256" s="13" t="n">
        <v>0.4777</v>
      </c>
      <c r="C2256" s="14">
        <f>B2256*100</f>
        <v/>
      </c>
    </row>
    <row r="2257">
      <c r="A2257" s="12" t="n">
        <v>45933</v>
      </c>
      <c r="B2257" s="13" t="n">
        <v>0.49</v>
      </c>
      <c r="C2257" s="14">
        <f>B2257*100</f>
        <v/>
      </c>
    </row>
    <row r="2258">
      <c r="A2258" s="12" t="n">
        <v>45936</v>
      </c>
      <c r="B2258" s="13" t="n">
        <v>0.5103</v>
      </c>
      <c r="C2258" s="14">
        <f>B2258*100</f>
        <v/>
      </c>
    </row>
    <row r="2259">
      <c r="A2259" s="12" t="n">
        <v>45937</v>
      </c>
      <c r="B2259" s="13" t="n">
        <v>0.5004999999999999</v>
      </c>
      <c r="C2259" s="14">
        <f>B2259*100</f>
        <v/>
      </c>
    </row>
    <row r="2260">
      <c r="A2260" s="12" t="n">
        <v>45938</v>
      </c>
      <c r="B2260" s="13" t="n">
        <v>0.5018</v>
      </c>
      <c r="C2260" s="14">
        <f>B2260*100</f>
        <v/>
      </c>
    </row>
    <row r="2261">
      <c r="A2261" s="12" t="n">
        <v>45939</v>
      </c>
      <c r="B2261" s="13" t="n">
        <v>0.5048</v>
      </c>
      <c r="C2261" s="14">
        <f>B2261*100</f>
        <v/>
      </c>
    </row>
    <row r="2262">
      <c r="A2262" s="12" t="n">
        <v>45940</v>
      </c>
      <c r="B2262" s="13" t="n">
        <v>0.4694</v>
      </c>
      <c r="C2262" s="14">
        <f>B2262*100</f>
        <v/>
      </c>
    </row>
    <row r="2263">
      <c r="A2263" s="12" t="n">
        <v>45944</v>
      </c>
      <c r="B2263" s="13" t="n">
        <v>0.4465</v>
      </c>
      <c r="C2263" s="14">
        <f>B2263*100</f>
        <v/>
      </c>
    </row>
    <row r="2264">
      <c r="A2264" s="12" t="n">
        <v>45945</v>
      </c>
      <c r="B2264" s="13" t="n">
        <v>0.4496</v>
      </c>
      <c r="C2264" s="14">
        <f>B2264*100</f>
        <v/>
      </c>
    </row>
    <row r="2265">
      <c r="A2265" s="12" t="n">
        <v>45946</v>
      </c>
      <c r="B2265" s="13" t="n">
        <v>0.4205</v>
      </c>
      <c r="C2265" s="14">
        <f>B2265*100</f>
        <v/>
      </c>
    </row>
    <row r="2266">
      <c r="A2266" s="12" t="n">
        <v>45947</v>
      </c>
      <c r="B2266" s="13" t="n">
        <v>0.4311</v>
      </c>
      <c r="C2266" s="14">
        <f>B2266*100</f>
        <v/>
      </c>
    </row>
    <row r="2267">
      <c r="A2267" s="12" t="n">
        <v>45950</v>
      </c>
      <c r="B2267" s="13" t="n">
        <v>0.4307</v>
      </c>
      <c r="C2267" s="14">
        <f>B2267*100</f>
        <v/>
      </c>
    </row>
    <row r="2268">
      <c r="A2268" s="12" t="n">
        <v>45951</v>
      </c>
      <c r="B2268" s="13" t="n">
        <v>0.4221</v>
      </c>
      <c r="C2268" s="14">
        <f>B2268*100</f>
        <v/>
      </c>
    </row>
    <row r="2269">
      <c r="A2269" s="12" t="n">
        <v>45952</v>
      </c>
      <c r="B2269" s="13" t="n">
        <v>0.4189</v>
      </c>
      <c r="C2269" s="14">
        <f>B2269*100</f>
        <v/>
      </c>
    </row>
    <row r="2270">
      <c r="A2270" s="12" t="n">
        <v>45953</v>
      </c>
      <c r="B2270" s="13" t="n">
        <v>0.4366</v>
      </c>
      <c r="C2270" s="14">
        <f>B2270*100</f>
        <v/>
      </c>
    </row>
    <row r="2271">
      <c r="A2271" s="12" t="n">
        <v>45954</v>
      </c>
      <c r="B2271" s="13" t="n">
        <v>0.4441</v>
      </c>
      <c r="C2271" s="14">
        <f>B2271*100</f>
        <v/>
      </c>
    </row>
    <row r="2272">
      <c r="A2272" s="12" t="n">
        <v>45957</v>
      </c>
      <c r="B2272" s="13" t="n">
        <v>0.4504</v>
      </c>
      <c r="C2272" s="14">
        <f>B2272*100</f>
        <v/>
      </c>
    </row>
    <row r="2273">
      <c r="A2273" s="12" t="n">
        <v>45958</v>
      </c>
      <c r="B2273" s="13" t="n">
        <v>0.4483</v>
      </c>
      <c r="C2273" s="14">
        <f>B2273*100</f>
        <v/>
      </c>
    </row>
    <row r="2274">
      <c r="A2274" s="12" t="n">
        <v>45959</v>
      </c>
      <c r="B2274" s="13" t="n">
        <v>0.4795</v>
      </c>
      <c r="C2274" s="14">
        <f>B2274*100</f>
        <v/>
      </c>
    </row>
    <row r="2275">
      <c r="A2275" s="12" t="n">
        <v>45960</v>
      </c>
      <c r="B2275" s="13" t="n">
        <v>0.4947</v>
      </c>
      <c r="C2275" s="14">
        <f>B2275*100</f>
        <v/>
      </c>
    </row>
    <row r="2276">
      <c r="A2276" s="12" t="n">
        <v>45961</v>
      </c>
      <c r="B2276" s="13" t="n">
        <v>0.4975</v>
      </c>
      <c r="C2276" s="14">
        <f>B2276*100</f>
        <v/>
      </c>
    </row>
    <row r="2277">
      <c r="A2277" s="12" t="n">
        <v>45964</v>
      </c>
      <c r="B2277" s="13" t="n">
        <v>0.4979</v>
      </c>
      <c r="C2277" s="14">
        <f>B2277*100</f>
        <v/>
      </c>
    </row>
    <row r="2278">
      <c r="A2278" s="12" t="n">
        <v>45965</v>
      </c>
      <c r="B2278" s="13" t="n">
        <v>0.4889</v>
      </c>
      <c r="C2278" s="14">
        <f>B2278*100</f>
        <v/>
      </c>
    </row>
    <row r="2279">
      <c r="A2279" s="12" t="n">
        <v>45966</v>
      </c>
      <c r="B2279" s="13" t="n">
        <v>0.5144</v>
      </c>
      <c r="C2279" s="14">
        <f>B2279*100</f>
        <v/>
      </c>
    </row>
    <row r="2280">
      <c r="A2280" s="12" t="n">
        <v>45967</v>
      </c>
      <c r="B2280" s="13" t="n">
        <v>0.4951</v>
      </c>
      <c r="C2280" s="14">
        <f>B2280*100</f>
        <v/>
      </c>
    </row>
    <row r="2281">
      <c r="A2281" s="12" t="n">
        <v>45968</v>
      </c>
      <c r="B2281" s="13" t="n">
        <v>0.4901</v>
      </c>
      <c r="C2281" s="14">
        <f>B2281*100</f>
        <v/>
      </c>
    </row>
    <row r="2282">
      <c r="A2282" s="12" t="n">
        <v>45971</v>
      </c>
      <c r="B2282" s="13" t="n">
        <v>0.4993</v>
      </c>
      <c r="C2282" s="14">
        <f>B2282*100</f>
        <v/>
      </c>
    </row>
    <row r="2283">
      <c r="A2283" s="12" t="n">
        <v>45973</v>
      </c>
      <c r="B2283" s="13" t="n">
        <v>0.4834</v>
      </c>
      <c r="C2283" s="14">
        <f>B2283*100</f>
        <v/>
      </c>
    </row>
    <row r="2284">
      <c r="A2284" s="12" t="n">
        <v>45974</v>
      </c>
      <c r="B2284" s="13" t="n">
        <v>0.4928</v>
      </c>
      <c r="C2284" s="14">
        <f>B2284*100</f>
        <v/>
      </c>
    </row>
    <row r="2285">
      <c r="A2285" s="12" t="n">
        <v>45975</v>
      </c>
      <c r="B2285" s="13" t="n">
        <v>0.5069</v>
      </c>
      <c r="C2285" s="14">
        <f>B2285*100</f>
        <v/>
      </c>
    </row>
    <row r="2286">
      <c r="A2286" s="12" t="n">
        <v>45978</v>
      </c>
      <c r="B2286" s="13" t="n">
        <v>0.5034</v>
      </c>
      <c r="C2286" s="14">
        <f>B2286*100</f>
        <v/>
      </c>
    </row>
    <row r="2287">
      <c r="A2287" s="12" t="n">
        <v>45979</v>
      </c>
      <c r="B2287" s="13" t="n">
        <v>0.4972</v>
      </c>
      <c r="C2287" s="14">
        <f>B2287*100</f>
        <v/>
      </c>
    </row>
    <row r="2288">
      <c r="A2288" s="12" t="n">
        <v>45980</v>
      </c>
      <c r="B2288" s="13" t="n">
        <v>0.4991</v>
      </c>
      <c r="C2288" s="14">
        <f>B2288*100</f>
        <v/>
      </c>
    </row>
    <row r="2289">
      <c r="A2289" s="12" t="n">
        <v>45981</v>
      </c>
      <c r="B2289" s="13" t="n">
        <v>0.4897</v>
      </c>
      <c r="C2289" s="14">
        <f>B2289*100</f>
        <v/>
      </c>
    </row>
    <row r="2290">
      <c r="A2290" s="12" t="n">
        <v>45982</v>
      </c>
      <c r="B2290" s="13" t="n">
        <v>0.4718</v>
      </c>
      <c r="C2290" s="14">
        <f>B2290*100</f>
        <v/>
      </c>
    </row>
    <row r="2291">
      <c r="A2291" s="12" t="n">
        <v>45985</v>
      </c>
      <c r="B2291" s="13" t="n">
        <v>0.4614</v>
      </c>
      <c r="C2291" s="14">
        <f>B2291*100</f>
        <v/>
      </c>
    </row>
    <row r="2292">
      <c r="A2292" s="12" t="n">
        <v>45986</v>
      </c>
      <c r="B2292" s="13" t="n">
        <v>0.4468</v>
      </c>
      <c r="C2292" s="14">
        <f>B2292*100</f>
        <v/>
      </c>
    </row>
    <row r="2293">
      <c r="A2293" s="12" t="n">
        <v>45987</v>
      </c>
      <c r="B2293" s="13" t="n">
        <v>0.4406</v>
      </c>
      <c r="C2293" s="14">
        <f>B2293*100</f>
        <v/>
      </c>
    </row>
    <row r="2294">
      <c r="A2294" s="12" t="n">
        <v>45989</v>
      </c>
      <c r="B2294" s="13" t="n">
        <v>0.4507</v>
      </c>
      <c r="C2294" s="14">
        <f>B2294*100</f>
        <v/>
      </c>
    </row>
    <row r="2295">
      <c r="A2295" s="12" t="n">
        <v>45992</v>
      </c>
      <c r="B2295" s="13" t="n">
        <v>0.4841</v>
      </c>
      <c r="C2295" s="14">
        <f>B2295*100</f>
        <v/>
      </c>
    </row>
    <row r="2296">
      <c r="A2296" s="12" t="n">
        <v>45993</v>
      </c>
      <c r="B2296" s="13" t="n">
        <v>0.4933</v>
      </c>
      <c r="C2296" s="14">
        <f>B2296*100</f>
        <v/>
      </c>
    </row>
    <row r="2297">
      <c r="A2297" s="12" t="n">
        <v>45994</v>
      </c>
      <c r="B2297" s="13" t="n">
        <v>0.4893</v>
      </c>
      <c r="C2297" s="14">
        <f>B2297*100</f>
        <v/>
      </c>
    </row>
    <row r="2298">
      <c r="A2298" s="12" t="n">
        <v>45995</v>
      </c>
      <c r="B2298" s="13" t="n">
        <v>0.5137</v>
      </c>
      <c r="C2298" s="14">
        <f>B2298*100</f>
        <v/>
      </c>
    </row>
    <row r="2299">
      <c r="A2299" s="12" t="n">
        <v>45996</v>
      </c>
      <c r="B2299" s="13" t="n">
        <v>0.5327</v>
      </c>
      <c r="C2299" s="14">
        <f>B2299*100</f>
        <v/>
      </c>
    </row>
    <row r="2300">
      <c r="A2300" s="12" t="n">
        <v>45999</v>
      </c>
      <c r="B2300" s="13" t="n">
        <v>0.5518</v>
      </c>
      <c r="C2300" s="14">
        <f>B2300*100</f>
        <v/>
      </c>
    </row>
    <row r="2301">
      <c r="A2301" s="12" t="n">
        <v>46000</v>
      </c>
      <c r="B2301" s="13" t="n">
        <v>0.5632</v>
      </c>
      <c r="C2301" s="14">
        <f>B2301*100</f>
        <v/>
      </c>
    </row>
    <row r="2302">
      <c r="A2302" s="12" t="n">
        <v>46001</v>
      </c>
      <c r="B2302" s="13" t="n">
        <v>0.555</v>
      </c>
      <c r="C2302" s="14">
        <f>B2302*100</f>
        <v/>
      </c>
    </row>
    <row r="2303">
      <c r="A2303" s="12" t="n">
        <v>46002</v>
      </c>
      <c r="B2303" s="13" t="n">
        <v>0.5531</v>
      </c>
      <c r="C2303" s="14">
        <f>B2303*100</f>
        <v/>
      </c>
    </row>
    <row r="2304">
      <c r="A2304" s="12" t="n">
        <v>46003</v>
      </c>
      <c r="B2304" s="13" t="n">
        <v>0.577</v>
      </c>
      <c r="C2304" s="14">
        <f>B2304*100</f>
        <v/>
      </c>
    </row>
    <row r="2305">
      <c r="A2305" s="12" t="n">
        <v>46006</v>
      </c>
      <c r="B2305" s="13" t="n">
        <v>0.5784</v>
      </c>
      <c r="C2305" s="14">
        <f>B2305*100</f>
        <v/>
      </c>
    </row>
    <row r="2306">
      <c r="A2306" s="12" t="n">
        <v>46007</v>
      </c>
      <c r="B2306" s="13" t="n">
        <v>0.5659999999999999</v>
      </c>
      <c r="C2306" s="14">
        <f>B2306*100</f>
        <v/>
      </c>
    </row>
    <row r="2307">
      <c r="A2307" s="12" t="n">
        <v>46008</v>
      </c>
      <c r="B2307" s="13" t="n">
        <v>0.5679</v>
      </c>
      <c r="C2307" s="14">
        <f>B2307*100</f>
        <v/>
      </c>
    </row>
    <row r="2308">
      <c r="A2308" s="12" t="n">
        <v>46009</v>
      </c>
      <c r="B2308" s="13" t="n">
        <v>0.5556</v>
      </c>
      <c r="C2308" s="14">
        <f>B2308*100</f>
        <v/>
      </c>
    </row>
    <row r="2309">
      <c r="A2309" s="12" t="n">
        <v>46010</v>
      </c>
      <c r="B2309" s="13" t="n">
        <v>0.5644</v>
      </c>
      <c r="C2309" s="14">
        <f>B2309*100</f>
        <v/>
      </c>
    </row>
    <row r="2310">
      <c r="A2310" s="12" t="n">
        <v>46013</v>
      </c>
      <c r="B2310" s="13" t="n">
        <v>0.5722</v>
      </c>
      <c r="C2310" s="14">
        <f>B2310*100</f>
        <v/>
      </c>
    </row>
    <row r="2311">
      <c r="A2311" s="12" t="n">
        <v>46014</v>
      </c>
      <c r="B2311" s="13" t="n">
        <v>0.5774</v>
      </c>
      <c r="C2311" s="14">
        <f>B2311*100</f>
        <v/>
      </c>
    </row>
    <row r="2312">
      <c r="A2312" s="12" t="n">
        <v>46015</v>
      </c>
      <c r="B2312" s="13" t="n">
        <v>0.5685</v>
      </c>
      <c r="C2312" s="14">
        <f>B2312*100</f>
        <v/>
      </c>
    </row>
    <row r="2313">
      <c r="A2313" s="12" t="n">
        <v>46017</v>
      </c>
      <c r="B2313" s="13" t="n">
        <v>0.5603</v>
      </c>
      <c r="C2313" s="14">
        <f>B2313*100</f>
        <v/>
      </c>
    </row>
    <row r="2314">
      <c r="A2314" s="12" t="n">
        <v>46020</v>
      </c>
      <c r="B2314" s="13" t="n">
        <v>0.5495</v>
      </c>
      <c r="C2314" s="14">
        <f>B2314*100</f>
        <v/>
      </c>
    </row>
    <row r="2315">
      <c r="A2315" s="12" t="n">
        <v>46021</v>
      </c>
      <c r="B2315" s="13" t="n">
        <v>0.5517</v>
      </c>
      <c r="C2315" s="14">
        <f>B2315*100</f>
        <v/>
      </c>
    </row>
    <row r="2316">
      <c r="A2316" s="12" t="n">
        <v>46022</v>
      </c>
      <c r="B2316" s="13" t="n">
        <v>0.571</v>
      </c>
      <c r="C2316" s="14">
        <f>B2316*100</f>
        <v/>
      </c>
    </row>
    <row r="2317">
      <c r="A2317" s="12" t="n">
        <v>46024</v>
      </c>
      <c r="B2317" s="13" t="n">
        <v>0.5844</v>
      </c>
      <c r="C2317" s="14">
        <f>B2317*100</f>
        <v/>
      </c>
    </row>
    <row r="2318">
      <c r="A2318" s="12" t="n">
        <v>46027</v>
      </c>
      <c r="B2318" s="13" t="n">
        <v>0.5787</v>
      </c>
      <c r="C2318" s="14">
        <f>B2318*100</f>
        <v/>
      </c>
    </row>
    <row r="2319">
      <c r="A2319" s="12" t="n">
        <v>46028</v>
      </c>
      <c r="B2319" s="13" t="n">
        <v>0.5833</v>
      </c>
      <c r="C2319" s="14">
        <f>B2319*100</f>
        <v/>
      </c>
    </row>
    <row r="2320">
      <c r="A2320" s="12" t="n">
        <v>46029</v>
      </c>
      <c r="B2320" s="13" t="n">
        <v>0.5727</v>
      </c>
      <c r="C2320" s="14">
        <f>B2320*100</f>
        <v/>
      </c>
    </row>
    <row r="2321">
      <c r="A2321" s="12" t="n">
        <v>46030</v>
      </c>
      <c r="B2321" s="13" t="n">
        <v>0.5875</v>
      </c>
      <c r="C2321" s="14">
        <f>B2321*100</f>
        <v/>
      </c>
    </row>
    <row r="2322">
      <c r="A2322" s="12" t="n">
        <v>46031</v>
      </c>
      <c r="B2322" s="13" t="n">
        <v>0.591</v>
      </c>
      <c r="C2322" s="14">
        <f>B2322*100</f>
        <v/>
      </c>
    </row>
    <row r="2323">
      <c r="A2323" s="12" t="n">
        <v>46034</v>
      </c>
      <c r="B2323" s="13" t="n">
        <v>0.5926</v>
      </c>
      <c r="C2323" s="14">
        <f>B2323*100</f>
        <v/>
      </c>
    </row>
    <row r="2324">
      <c r="A2324" s="12" t="n">
        <v>46035</v>
      </c>
      <c r="B2324" s="13" t="n">
        <v>0.5855</v>
      </c>
      <c r="C2324" s="14">
        <f>B2324*100</f>
        <v/>
      </c>
    </row>
    <row r="2325">
      <c r="A2325" s="12" t="n">
        <v>46036</v>
      </c>
      <c r="B2325" s="13" t="n">
        <v>0.5703</v>
      </c>
      <c r="C2325" s="14">
        <f>B2325*100</f>
        <v/>
      </c>
    </row>
    <row r="2326">
      <c r="A2326" s="12" t="n">
        <v>46037</v>
      </c>
      <c r="B2326" s="13" t="n">
        <v>0.5804</v>
      </c>
      <c r="C2326" s="14">
        <f>B2326*100</f>
        <v/>
      </c>
    </row>
    <row r="2327">
      <c r="A2327" s="12" t="n">
        <v>46038</v>
      </c>
      <c r="B2327" s="13" t="n">
        <v>0.6042</v>
      </c>
      <c r="C2327" s="14">
        <f>B2327*100</f>
        <v/>
      </c>
    </row>
    <row r="2328">
      <c r="A2328" s="12" t="n">
        <v>46042</v>
      </c>
      <c r="B2328" s="13" t="n">
        <v>0.6315</v>
      </c>
      <c r="C2328" s="14">
        <f>B2328*100</f>
        <v/>
      </c>
    </row>
    <row r="2329">
      <c r="A2329" s="12" t="n">
        <v>46043</v>
      </c>
      <c r="B2329" s="13" t="n">
        <v>0.6263</v>
      </c>
      <c r="C2329" s="14">
        <f>B2329*100</f>
        <v/>
      </c>
    </row>
    <row r="2330">
      <c r="A2330" s="12" t="n">
        <v>46044</v>
      </c>
      <c r="B2330" s="13" t="n">
        <v>0.6276</v>
      </c>
      <c r="C2330" s="14">
        <f>B2330*100</f>
        <v/>
      </c>
    </row>
    <row r="2331">
      <c r="A2331" s="12" t="n">
        <v>46045</v>
      </c>
      <c r="B2331" s="13" t="n">
        <v>0.6224</v>
      </c>
      <c r="C2331" s="14">
        <f>B2331*100</f>
        <v/>
      </c>
    </row>
    <row r="2332">
      <c r="A2332" s="12" t="n">
        <v>46048</v>
      </c>
      <c r="B2332" s="13" t="n">
        <v>0.6133</v>
      </c>
      <c r="C2332" s="14">
        <f>B2332*100</f>
        <v/>
      </c>
    </row>
    <row r="2333">
      <c r="A2333" s="12" t="n">
        <v>46049</v>
      </c>
      <c r="B2333" s="13" t="n">
        <v>0.6155</v>
      </c>
      <c r="C2333" s="14">
        <f>B2333*100</f>
        <v/>
      </c>
    </row>
    <row r="2334">
      <c r="A2334" s="12" t="n">
        <v>46050</v>
      </c>
      <c r="B2334" s="13" t="n">
        <v>0.6251</v>
      </c>
      <c r="C2334" s="14">
        <f>B2334*100</f>
        <v/>
      </c>
    </row>
    <row r="2335">
      <c r="A2335" s="12" t="n">
        <v>46051</v>
      </c>
      <c r="B2335" s="13" t="n">
        <v>0.6158</v>
      </c>
      <c r="C2335" s="14">
        <f>B2335*100</f>
        <v/>
      </c>
    </row>
    <row r="2336">
      <c r="A2336" s="12" t="n">
        <v>46052</v>
      </c>
      <c r="B2336" s="13" t="n">
        <v>0.6148</v>
      </c>
      <c r="C2336" s="14">
        <f>B2336*100</f>
        <v/>
      </c>
    </row>
    <row r="2337">
      <c r="A2337" s="12" t="n">
        <v>46055</v>
      </c>
      <c r="B2337" s="13" t="n">
        <v>0.6289</v>
      </c>
      <c r="C2337" s="14">
        <f>B2337*100</f>
        <v/>
      </c>
    </row>
    <row r="2338">
      <c r="A2338" s="12" t="n">
        <v>46056</v>
      </c>
      <c r="B2338" s="13" t="n">
        <v>0.6313</v>
      </c>
      <c r="C2338" s="14">
        <f>B2338*100</f>
        <v/>
      </c>
    </row>
    <row r="2339">
      <c r="A2339" s="12" t="n">
        <v>46057</v>
      </c>
      <c r="B2339" s="13" t="n">
        <v>0.635</v>
      </c>
      <c r="C2339" s="14">
        <f>B2339*100</f>
        <v/>
      </c>
    </row>
    <row r="2340">
      <c r="A2340" s="12" t="n">
        <v>46058</v>
      </c>
      <c r="B2340" s="13" t="n">
        <v>0.6022</v>
      </c>
      <c r="C2340" s="14">
        <f>B2340*100</f>
        <v/>
      </c>
    </row>
    <row r="2341">
      <c r="A2341" s="12" t="n">
        <v>46059</v>
      </c>
      <c r="B2341" s="13" t="n">
        <v>0.599</v>
      </c>
      <c r="C2341" s="14">
        <f>B2341*100</f>
        <v/>
      </c>
    </row>
    <row r="2342">
      <c r="A2342" s="12" t="n">
        <v>46062</v>
      </c>
      <c r="B2342" s="13" t="n">
        <v>0.5951</v>
      </c>
      <c r="C2342" s="14">
        <f>B2342*100</f>
        <v/>
      </c>
    </row>
    <row r="2343">
      <c r="A2343" s="12" t="n">
        <v>46063</v>
      </c>
      <c r="B2343" s="13" t="n">
        <v>0.5729</v>
      </c>
      <c r="C2343" s="14">
        <f>B2343*100</f>
        <v/>
      </c>
    </row>
    <row r="2344">
      <c r="A2344" s="12" t="n">
        <v>46064</v>
      </c>
      <c r="B2344" s="13" t="n">
        <v>0.5823</v>
      </c>
      <c r="C2344" s="14">
        <f>B2344*100</f>
        <v/>
      </c>
    </row>
    <row r="2345">
      <c r="A2345" s="12" t="n">
        <v>46065</v>
      </c>
      <c r="B2345" s="13" t="n">
        <v>0.5514</v>
      </c>
      <c r="C2345" s="14">
        <f>B2345*100</f>
        <v/>
      </c>
    </row>
    <row r="2346">
      <c r="A2346" s="12" t="n">
        <v>46066</v>
      </c>
      <c r="B2346" s="13" t="n">
        <v>0.5194</v>
      </c>
      <c r="C2346" s="14">
        <f>B2346*100</f>
        <v/>
      </c>
    </row>
    <row r="2347">
      <c r="A2347" s="12" t="n">
        <v>46070</v>
      </c>
      <c r="B2347" s="13" t="n">
        <v>0.5143</v>
      </c>
      <c r="C2347" s="14">
        <f>B2347*100</f>
        <v/>
      </c>
    </row>
    <row r="2348">
      <c r="A2348" s="12" t="n">
        <v>46071</v>
      </c>
      <c r="B2348" s="13" t="n">
        <v>0.5238</v>
      </c>
      <c r="C2348" s="14">
        <f>B2348*100</f>
        <v/>
      </c>
    </row>
    <row r="2349">
      <c r="A2349" s="12" t="n">
        <v>46072</v>
      </c>
      <c r="B2349" s="13" t="n">
        <v>0.5218</v>
      </c>
      <c r="C2349" s="14">
        <f>B2349*100</f>
        <v/>
      </c>
    </row>
    <row r="2350">
      <c r="A2350" s="12" t="n">
        <v>46073</v>
      </c>
      <c r="B2350" s="13" t="n">
        <v>0.5228</v>
      </c>
      <c r="C2350" s="14">
        <f>B2350*100</f>
        <v/>
      </c>
    </row>
    <row r="2351">
      <c r="A2351" s="12" t="n">
        <v>46076</v>
      </c>
      <c r="B2351" s="13" t="n">
        <v>0.4986</v>
      </c>
      <c r="C2351" s="14">
        <f>B2351*100</f>
        <v/>
      </c>
    </row>
    <row r="2352">
      <c r="A2352" s="12" t="n">
        <v>46077</v>
      </c>
      <c r="B2352" s="13" t="n">
        <v>0.4971</v>
      </c>
      <c r="C2352" s="14">
        <f>B2352*100</f>
        <v/>
      </c>
    </row>
    <row r="2353">
      <c r="A2353" s="12" t="n">
        <v>46078</v>
      </c>
      <c r="B2353" s="13" t="n">
        <v>0.5004999999999999</v>
      </c>
      <c r="C2353" s="14">
        <f>B2353*100</f>
        <v/>
      </c>
    </row>
    <row r="2354">
      <c r="A2354" s="12" t="n">
        <v>46079</v>
      </c>
      <c r="B2354" s="13" t="n">
        <v>0.4866</v>
      </c>
      <c r="C2354" s="14">
        <f>B2354*100</f>
        <v/>
      </c>
    </row>
    <row r="2355">
      <c r="A2355" s="12" t="n">
        <v>46080</v>
      </c>
      <c r="B2355" s="13" t="n">
        <v>0.4627</v>
      </c>
      <c r="C2355" s="14">
        <f>B2355*100</f>
        <v/>
      </c>
    </row>
    <row r="2356">
      <c r="A2356" s="12" t="n">
        <v>46083</v>
      </c>
      <c r="B2356" s="13" t="n">
        <v>0.4906</v>
      </c>
      <c r="C2356" s="14">
        <f>B2356*100</f>
        <v/>
      </c>
    </row>
    <row r="2357">
      <c r="A2357" s="12" t="n">
        <v>46084</v>
      </c>
      <c r="B2357" s="13" t="n">
        <v>0.5019</v>
      </c>
      <c r="C2357" s="14">
        <f>B2357*100</f>
        <v/>
      </c>
    </row>
    <row r="2358">
      <c r="A2358" s="12" t="n">
        <v>46085</v>
      </c>
      <c r="B2358" s="13" t="n">
        <v>0.5168</v>
      </c>
      <c r="C2358" s="14">
        <f>B2358*100</f>
        <v/>
      </c>
    </row>
    <row r="2359">
      <c r="A2359" s="12" t="n">
        <v>46086</v>
      </c>
      <c r="B2359" s="13" t="n">
        <v>0.5377999999999999</v>
      </c>
      <c r="C2359" s="14">
        <f>B2359*100</f>
        <v/>
      </c>
    </row>
    <row r="2360">
      <c r="A2360" s="12" t="n">
        <v>46087</v>
      </c>
      <c r="B2360" s="13" t="n">
        <v>0.5487</v>
      </c>
      <c r="C2360" s="14">
        <f>B2360*100</f>
        <v/>
      </c>
    </row>
    <row r="2361">
      <c r="A2361" s="12" t="n">
        <v>46090</v>
      </c>
      <c r="B2361" s="13" t="n">
        <v>0.542</v>
      </c>
      <c r="C2361" s="14">
        <f>B2361*100</f>
        <v/>
      </c>
    </row>
    <row r="2362">
      <c r="A2362" s="12" t="n">
        <v>46091</v>
      </c>
      <c r="B2362" s="13" t="n">
        <v>0.5496</v>
      </c>
      <c r="C2362" s="14">
        <f>B2362*100</f>
        <v/>
      </c>
    </row>
    <row r="2363">
      <c r="A2363" s="12" t="n">
        <v>46092</v>
      </c>
      <c r="B2363" s="13" t="n">
        <v>0.5772</v>
      </c>
      <c r="C2363" s="14">
        <f>B2363*100</f>
        <v/>
      </c>
    </row>
    <row r="2364">
      <c r="A2364" s="12" t="n">
        <v>46093</v>
      </c>
      <c r="B2364" s="13" t="n">
        <v>0.6185</v>
      </c>
      <c r="C2364" s="14">
        <f>B2364*100</f>
        <v/>
      </c>
    </row>
    <row r="2365">
      <c r="A2365" s="12" t="n">
        <v>46094</v>
      </c>
      <c r="B2365" s="13" t="n">
        <v>0.6286</v>
      </c>
      <c r="C2365" s="14">
        <f>B2365*100</f>
        <v/>
      </c>
    </row>
    <row r="2366">
      <c r="A2366" s="12" t="n">
        <v>46097</v>
      </c>
      <c r="B2366" s="13" t="n">
        <v>0.6034</v>
      </c>
      <c r="C2366" s="14">
        <f>B2366*100</f>
        <v/>
      </c>
    </row>
    <row r="2367">
      <c r="A2367" s="12" t="n">
        <v>46098</v>
      </c>
      <c r="B2367" s="13" t="n">
        <v>0.5887</v>
      </c>
      <c r="C2367" s="14">
        <f>B2367*100</f>
        <v/>
      </c>
    </row>
    <row r="2368">
      <c r="A2368" s="12" t="n">
        <v>46099</v>
      </c>
      <c r="B2368" s="13" t="n">
        <v>0.6139</v>
      </c>
      <c r="C2368" s="14">
        <f>B2368*100</f>
        <v/>
      </c>
    </row>
    <row r="2369">
      <c r="A2369" s="12" t="n">
        <v>46100</v>
      </c>
      <c r="B2369" s="13" t="n">
        <v>0.621</v>
      </c>
      <c r="C2369" s="14">
        <f>B2369*100</f>
        <v/>
      </c>
    </row>
    <row r="2370">
      <c r="A2370" s="12" t="n">
        <v>46101</v>
      </c>
      <c r="B2370" s="13" t="n">
        <v>0.678</v>
      </c>
      <c r="C2370" s="14">
        <f>B2370*100</f>
        <v/>
      </c>
    </row>
    <row r="2371">
      <c r="A2371" s="12" t="n">
        <v>46104</v>
      </c>
      <c r="B2371" s="13" t="n">
        <v>0.6691</v>
      </c>
      <c r="C2371" s="14">
        <f>B2371*100</f>
        <v/>
      </c>
    </row>
    <row r="2372">
      <c r="A2372" s="12" t="n">
        <v>46105</v>
      </c>
      <c r="B2372" s="13" t="n">
        <v>0.6921</v>
      </c>
      <c r="C2372" s="14">
        <f>B2372*100</f>
        <v/>
      </c>
    </row>
    <row r="2373">
      <c r="A2373" s="12" t="n">
        <v>46106</v>
      </c>
      <c r="B2373" s="13" t="n">
        <v>0.6717</v>
      </c>
      <c r="C2373" s="14">
        <f>B2373*100</f>
        <v/>
      </c>
    </row>
    <row r="2374">
      <c r="A2374" s="12" t="n">
        <v>46107</v>
      </c>
      <c r="B2374" s="13" t="n">
        <v>0.714</v>
      </c>
      <c r="C2374" s="14">
        <f>B2374*100</f>
        <v/>
      </c>
    </row>
    <row r="2375">
      <c r="A2375" s="12" t="n">
        <v>46108</v>
      </c>
      <c r="B2375" s="13" t="n">
        <v>0.7183</v>
      </c>
      <c r="C2375" s="14">
        <f>B2375*100</f>
        <v/>
      </c>
    </row>
    <row r="2376">
      <c r="A2376" s="12" t="n">
        <v>46111</v>
      </c>
      <c r="B2376" s="13" t="n">
        <v>0.6813</v>
      </c>
      <c r="C2376" s="14">
        <f>B2376*100</f>
        <v/>
      </c>
    </row>
    <row r="2377">
      <c r="A2377" s="12" t="n">
        <v>46112</v>
      </c>
      <c r="B2377" s="13" t="n">
        <v>0.654</v>
      </c>
      <c r="C2377" s="14">
        <f>B2377*100</f>
        <v/>
      </c>
    </row>
    <row r="2378">
      <c r="A2378" s="12" t="n">
        <v>46113</v>
      </c>
      <c r="B2378" s="13" t="n">
        <v>0.664</v>
      </c>
      <c r="C2378" s="14">
        <f>B2378*100</f>
        <v/>
      </c>
    </row>
    <row r="2379">
      <c r="A2379" s="12" t="n">
        <v>46114</v>
      </c>
      <c r="B2379" s="13" t="n">
        <v>0.6555</v>
      </c>
      <c r="C2379" s="14">
        <f>B2379*100</f>
        <v/>
      </c>
    </row>
    <row r="2380">
      <c r="A2380" s="12" t="n">
        <v>46115</v>
      </c>
      <c r="B2380" s="13" t="n">
        <v>0.672</v>
      </c>
      <c r="C2380" s="14">
        <f>B2380*100</f>
        <v/>
      </c>
    </row>
    <row r="2381">
      <c r="A2381" s="12" t="n">
        <v>46118</v>
      </c>
      <c r="B2381" s="13" t="n">
        <v>0.6694</v>
      </c>
      <c r="C2381" s="14">
        <f>B2381*100</f>
        <v/>
      </c>
    </row>
    <row r="2382">
      <c r="A2382" s="12" t="n">
        <v>46119</v>
      </c>
      <c r="B2382" s="13" t="n">
        <v>0.661</v>
      </c>
      <c r="C2382" s="14">
        <f>B2382*100</f>
        <v/>
      </c>
    </row>
    <row r="2383">
      <c r="A2383" s="12" t="n">
        <v>46120</v>
      </c>
      <c r="B2383" s="13" t="n">
        <v>0.6457000000000001</v>
      </c>
      <c r="C2383" s="14">
        <f>B2383*100</f>
        <v/>
      </c>
    </row>
    <row r="2384">
      <c r="A2384" s="12" t="n">
        <v>46121</v>
      </c>
      <c r="B2384" s="13" t="n">
        <v>0.6421</v>
      </c>
      <c r="C2384" s="14">
        <f>B2384*100</f>
        <v/>
      </c>
    </row>
    <row r="2385">
      <c r="A2385" s="12" t="n">
        <v>46122</v>
      </c>
      <c r="B2385" s="13" t="n">
        <v>0.6518</v>
      </c>
      <c r="C2385" s="14">
        <f>B2385*100</f>
        <v/>
      </c>
    </row>
    <row r="2386">
      <c r="A2386" s="12" t="n">
        <v>46125</v>
      </c>
      <c r="B2386" s="13" t="n">
        <v>0.6432</v>
      </c>
      <c r="C2386" s="14">
        <f>B2386*100</f>
        <v/>
      </c>
    </row>
    <row r="2387">
      <c r="A2387" s="12" t="n">
        <v>46126</v>
      </c>
      <c r="B2387" s="13" t="n">
        <v>0.6215000000000001</v>
      </c>
      <c r="C2387" s="14">
        <f>B2387*100</f>
        <v/>
      </c>
    </row>
    <row r="2388">
      <c r="A2388" s="12" t="n">
        <v>46127</v>
      </c>
      <c r="B2388" s="13" t="n">
        <v>0.6264</v>
      </c>
      <c r="C2388" s="14">
        <f>B2388*100</f>
        <v/>
      </c>
    </row>
    <row r="2389">
      <c r="A2389" s="12" t="n">
        <v>46128</v>
      </c>
      <c r="B2389" s="13" t="n">
        <v>0.6384</v>
      </c>
      <c r="C2389" s="14">
        <f>B2389*100</f>
        <v/>
      </c>
    </row>
    <row r="2390">
      <c r="A2390" s="12" t="n">
        <v>46129</v>
      </c>
      <c r="B2390" s="13" t="n">
        <v>0.6158</v>
      </c>
      <c r="C2390" s="14">
        <f>B2390*100</f>
        <v/>
      </c>
    </row>
    <row r="2391">
      <c r="A2391" s="12" t="n">
        <v>46132</v>
      </c>
      <c r="B2391" s="13" t="n">
        <v>0.612</v>
      </c>
      <c r="C2391" s="14">
        <f>B2391*100</f>
        <v/>
      </c>
    </row>
    <row r="2392">
      <c r="A2392" s="12" t="n">
        <v>46133</v>
      </c>
      <c r="B2392" s="13" t="n">
        <v>0.6311</v>
      </c>
      <c r="C2392" s="14">
        <f>B2392*100</f>
        <v/>
      </c>
    </row>
    <row r="2393">
      <c r="A2393" s="12" t="n">
        <v>46134</v>
      </c>
      <c r="B2393" s="13" t="n">
        <v>0.6402</v>
      </c>
      <c r="C2393" s="14">
        <f>B2393*100</f>
        <v/>
      </c>
    </row>
    <row r="2394">
      <c r="A2394" s="12" t="n">
        <v>46135</v>
      </c>
      <c r="B2394" s="13" t="n">
        <v>0.6596</v>
      </c>
      <c r="C2394" s="14">
        <f>B2394*100</f>
        <v/>
      </c>
    </row>
    <row r="2395">
      <c r="A2395" s="12" t="n">
        <v>46136</v>
      </c>
      <c r="B2395" s="13" t="n">
        <v>0.6481</v>
      </c>
      <c r="C2395" s="14">
        <f>B2395*100</f>
        <v/>
      </c>
    </row>
    <row r="2396">
      <c r="A2396" s="12" t="n">
        <v>46139</v>
      </c>
      <c r="B2396" s="13" t="n">
        <v>0.6603</v>
      </c>
      <c r="C2396" s="14">
        <f>B2396*100</f>
        <v/>
      </c>
    </row>
    <row r="2397">
      <c r="A2397" s="12" t="n">
        <v>46140</v>
      </c>
      <c r="B2397" s="13" t="n">
        <v>0.6747</v>
      </c>
      <c r="C2397" s="14">
        <f>B2397*100</f>
        <v/>
      </c>
    </row>
    <row r="2398">
      <c r="A2398" s="12" t="n">
        <v>46141</v>
      </c>
      <c r="B2398" s="13" t="n">
        <v>0.7075</v>
      </c>
      <c r="C2398" s="14">
        <f>B2398*100</f>
        <v/>
      </c>
    </row>
    <row r="2399">
      <c r="A2399" s="12" t="n">
        <v>46142</v>
      </c>
      <c r="B2399" s="13" t="n">
        <v>0.7038</v>
      </c>
      <c r="C2399" s="14">
        <f>B2399*100</f>
        <v/>
      </c>
    </row>
    <row r="2400">
      <c r="A2400" s="12" t="n">
        <v>46143</v>
      </c>
      <c r="B2400" s="13" t="n">
        <v>0.7036</v>
      </c>
      <c r="C2400" s="14">
        <f>B2400*100</f>
        <v/>
      </c>
    </row>
    <row r="2401">
      <c r="A2401" s="12" t="n">
        <v>46146</v>
      </c>
      <c r="B2401" s="13" t="n">
        <v>0.729</v>
      </c>
      <c r="C2401" s="14">
        <f>B2401*100</f>
        <v/>
      </c>
    </row>
    <row r="2402">
      <c r="A2402" s="12" t="n">
        <v>46147</v>
      </c>
      <c r="B2402" s="13" t="n">
        <v>0.7279</v>
      </c>
      <c r="C2402" s="14">
        <f>B2402*100</f>
        <v/>
      </c>
    </row>
    <row r="2403">
      <c r="A2403" s="12" t="n">
        <v>46148</v>
      </c>
      <c r="B2403" s="13" t="n">
        <v>0.6962</v>
      </c>
      <c r="C2403" s="14">
        <f>B2403*100</f>
        <v/>
      </c>
    </row>
    <row r="2404">
      <c r="A2404" s="12" t="n">
        <v>46149</v>
      </c>
      <c r="B2404" s="13" t="n">
        <v>0.7086</v>
      </c>
      <c r="C2404" s="14">
        <f>B2404*100</f>
        <v/>
      </c>
    </row>
    <row r="2405">
      <c r="A2405" s="12" t="n">
        <v>46150</v>
      </c>
      <c r="B2405" s="13" t="n">
        <v>0.6999</v>
      </c>
      <c r="C2405" s="14">
        <f>B2405*100</f>
        <v/>
      </c>
    </row>
    <row r="2406">
      <c r="A2406" s="12" t="n">
        <v>46153</v>
      </c>
      <c r="B2406" s="13" t="n">
        <v>0.7173</v>
      </c>
      <c r="C2406" s="14">
        <f>B2406*100</f>
        <v/>
      </c>
    </row>
    <row r="2407">
      <c r="A2407" s="12" t="n">
        <v>46154</v>
      </c>
      <c r="B2407" s="13" t="n">
        <v>0.7439</v>
      </c>
      <c r="C2407" s="14">
        <f>B2407*100</f>
        <v/>
      </c>
    </row>
    <row r="2408">
      <c r="A2408" s="12" t="n">
        <v>46155</v>
      </c>
      <c r="B2408" s="13" t="n">
        <v>0.7488</v>
      </c>
      <c r="C2408" s="14">
        <f>B2408*100</f>
        <v/>
      </c>
    </row>
    <row r="2409">
      <c r="A2409" s="12" t="n">
        <v>46156</v>
      </c>
      <c r="B2409" s="13" t="n">
        <v>0.7547</v>
      </c>
      <c r="C2409" s="14">
        <f>B2409*100</f>
        <v/>
      </c>
    </row>
    <row r="2410">
      <c r="A2410" s="12" t="n">
        <v>46157</v>
      </c>
      <c r="B2410" s="13" t="n">
        <v>0.8117</v>
      </c>
      <c r="C2410" s="14">
        <f>B2410*100</f>
        <v/>
      </c>
    </row>
    <row r="2411">
      <c r="A2411" s="12" t="n">
        <v>46160</v>
      </c>
      <c r="B2411" s="13" t="n">
        <v>0.8293</v>
      </c>
      <c r="C2411" s="14">
        <f>B2411*100</f>
        <v/>
      </c>
    </row>
    <row r="2412">
      <c r="A2412" s="12" t="n">
        <v>46161</v>
      </c>
      <c r="B2412" s="13" t="n">
        <v>0.8621</v>
      </c>
      <c r="C2412" s="14">
        <f>B2412*100</f>
        <v/>
      </c>
    </row>
    <row r="2413">
      <c r="A2413" s="12" t="n">
        <v>46162</v>
      </c>
      <c r="B2413" s="13" t="n">
        <v>0.8299</v>
      </c>
      <c r="C2413" s="14">
        <f>B2413*100</f>
        <v/>
      </c>
    </row>
    <row r="2414">
      <c r="A2414" s="12" t="n">
        <v>46163</v>
      </c>
      <c r="B2414" s="13" t="n">
        <v>0.8277</v>
      </c>
      <c r="C2414" s="14">
        <f>B2414*100</f>
        <v/>
      </c>
    </row>
    <row r="2415">
      <c r="A2415" s="12" t="n">
        <v>46164</v>
      </c>
      <c r="B2415" s="13" t="n">
        <v>0.8289</v>
      </c>
      <c r="C2415" s="14">
        <f>B2415*100</f>
        <v/>
      </c>
    </row>
    <row r="2416">
      <c r="A2416" s="12" t="n">
        <v>46168</v>
      </c>
      <c r="B2416" s="13" t="n">
        <v>0.7941</v>
      </c>
      <c r="C2416" s="14">
        <f>B2416*100</f>
        <v/>
      </c>
    </row>
    <row r="2417">
      <c r="A2417" s="12" t="n">
        <v>46169</v>
      </c>
      <c r="B2417" s="13" t="n">
        <v>0.7786</v>
      </c>
      <c r="C2417" s="14">
        <f>B2417*100</f>
        <v/>
      </c>
    </row>
    <row r="2418">
      <c r="A2418" s="12" t="n">
        <v>46170</v>
      </c>
      <c r="B2418" s="13" t="n">
        <v>0.764</v>
      </c>
      <c r="C2418" s="14">
        <f>B2418*100</f>
        <v/>
      </c>
    </row>
    <row r="2419">
      <c r="A2419" s="12" t="n">
        <v>46171</v>
      </c>
      <c r="B2419" s="13" t="n">
        <v>0.7541</v>
      </c>
      <c r="C2419" s="14">
        <f>B2419*100</f>
        <v/>
      </c>
    </row>
    <row r="2420">
      <c r="A2420" s="12" t="n">
        <v>46174</v>
      </c>
      <c r="B2420" s="13" t="n">
        <v>0.7627</v>
      </c>
      <c r="C2420" s="14">
        <f>B2420*100</f>
        <v/>
      </c>
    </row>
    <row r="2421">
      <c r="A2421" s="12" t="n">
        <v>46175</v>
      </c>
      <c r="B2421" s="13" t="n">
        <v>0.7582</v>
      </c>
      <c r="C2421" s="14">
        <f>B2421*100</f>
        <v/>
      </c>
    </row>
    <row r="2422">
      <c r="A2422" s="12" t="n">
        <v>46176</v>
      </c>
      <c r="B2422" s="13" t="n">
        <v>0.7733</v>
      </c>
      <c r="C2422" s="14">
        <f>B2422*100</f>
        <v/>
      </c>
    </row>
    <row r="2423">
      <c r="A2423" s="12" t="n">
        <v>46177</v>
      </c>
      <c r="B2423" s="13" t="n">
        <v>0.7654</v>
      </c>
      <c r="C2423" s="14">
        <f>B2423*100</f>
        <v/>
      </c>
    </row>
    <row r="2424">
      <c r="A2424" s="12" t="n">
        <v>46178</v>
      </c>
      <c r="B2424" s="13" t="n">
        <v>0.8018999999999999</v>
      </c>
      <c r="C2424" s="14">
        <f>B2424*100</f>
        <v/>
      </c>
    </row>
    <row r="2425">
      <c r="A2425" s="12" t="n">
        <v>46181</v>
      </c>
      <c r="B2425" s="13" t="n">
        <v>0.8081</v>
      </c>
      <c r="C2425" s="14">
        <f>B2425*100</f>
        <v/>
      </c>
    </row>
    <row r="2426">
      <c r="A2426" s="12" t="n">
        <v>46182</v>
      </c>
      <c r="B2426" s="13" t="n">
        <v>0.7977</v>
      </c>
      <c r="C2426" s="14">
        <f>B2426*100</f>
        <v/>
      </c>
    </row>
    <row r="2427">
      <c r="A2427" s="12" t="n">
        <v>46183</v>
      </c>
      <c r="B2427" s="13" t="n">
        <v>0.801</v>
      </c>
      <c r="C2427" s="14">
        <f>B2427*100</f>
        <v/>
      </c>
    </row>
    <row r="2428">
      <c r="A2428" s="12" t="n">
        <v>46184</v>
      </c>
      <c r="B2428" s="13" t="n">
        <v>0.763</v>
      </c>
      <c r="C2428" s="14">
        <f>B2428*100</f>
        <v/>
      </c>
    </row>
    <row r="2429">
      <c r="A2429" s="12" t="n">
        <v>46185</v>
      </c>
      <c r="B2429" s="13" t="n">
        <v>0.7671</v>
      </c>
      <c r="C2429" s="14">
        <f>B2429*100</f>
        <v/>
      </c>
    </row>
    <row r="2430">
      <c r="A2430" s="12" t="n">
        <v>46188</v>
      </c>
      <c r="B2430" s="13" t="n">
        <v>0.7574</v>
      </c>
      <c r="C2430" s="14">
        <f>B2430*100</f>
        <v/>
      </c>
    </row>
    <row r="2431">
      <c r="A2431" s="12" t="n">
        <v>46189</v>
      </c>
      <c r="B2431" s="13" t="n">
        <v>0.7392</v>
      </c>
      <c r="C2431" s="14">
        <f>B2431*100</f>
        <v/>
      </c>
    </row>
    <row r="2432">
      <c r="A2432" s="12" t="n">
        <v>46190</v>
      </c>
      <c r="B2432" s="13" t="n">
        <v>0.7665999999999999</v>
      </c>
      <c r="C2432" s="14">
        <f>B2432*100</f>
        <v/>
      </c>
    </row>
    <row r="2433">
      <c r="A2433" s="12" t="n">
        <v>46191</v>
      </c>
      <c r="B2433" s="13" t="n">
        <v>0.7519</v>
      </c>
      <c r="C2433" s="14">
        <f>B2433*100</f>
        <v/>
      </c>
    </row>
    <row r="2434">
      <c r="A2434" s="12" t="n">
        <v>46195</v>
      </c>
      <c r="B2434" s="13" t="n">
        <v>0.7647</v>
      </c>
      <c r="C2434" s="14">
        <f>B2434*100</f>
        <v/>
      </c>
    </row>
    <row r="2435">
      <c r="A2435" s="12" t="n">
        <v>46196</v>
      </c>
      <c r="B2435" s="13" t="n">
        <v>0.7568</v>
      </c>
      <c r="C2435" s="14">
        <f>B2435*100</f>
        <v/>
      </c>
    </row>
    <row r="2436">
      <c r="A2436" s="12" t="n">
        <v>46197</v>
      </c>
      <c r="B2436" s="13" t="n">
        <v>0.7175</v>
      </c>
      <c r="C2436" s="14">
        <f>B2436*100</f>
        <v/>
      </c>
    </row>
    <row r="2437">
      <c r="A2437" s="12" t="n">
        <v>46198</v>
      </c>
      <c r="B2437" s="13" t="n">
        <v>0.6991000000000001</v>
      </c>
      <c r="C2437" s="14">
        <f>B2437*100</f>
        <v/>
      </c>
    </row>
    <row r="2438">
      <c r="A2438" s="12" t="n">
        <v>46199</v>
      </c>
      <c r="B2438" s="13" t="n">
        <v>0.6849</v>
      </c>
      <c r="C2438" s="14">
        <f>B2438*100</f>
        <v/>
      </c>
    </row>
    <row r="2439">
      <c r="A2439" s="12" t="n">
        <v>46202</v>
      </c>
      <c r="B2439" s="13" t="n">
        <v>0.6782</v>
      </c>
      <c r="C2439" s="14">
        <f>B2439*100</f>
        <v/>
      </c>
    </row>
    <row r="2440">
      <c r="A2440" s="12" t="n">
        <v>46203</v>
      </c>
      <c r="B2440" s="13" t="n">
        <v>0.6967</v>
      </c>
      <c r="C2440" s="14">
        <f>B2440*100</f>
        <v/>
      </c>
    </row>
    <row r="2441">
      <c r="A2441" s="12" t="n">
        <v>46204</v>
      </c>
      <c r="B2441" s="13" t="n">
        <v>0.7216</v>
      </c>
      <c r="C2441" s="14">
        <f>B2441*100</f>
        <v/>
      </c>
    </row>
    <row r="2442">
      <c r="A2442" s="12" t="n">
        <v>46205</v>
      </c>
      <c r="B2442" s="13" t="n">
        <v>0.7322</v>
      </c>
      <c r="C2442" s="14">
        <f>B2442*100</f>
        <v/>
      </c>
    </row>
    <row r="2443">
      <c r="A2443" s="12" t="n">
        <v>46209</v>
      </c>
      <c r="B2443" s="13" t="n">
        <v>0.7261</v>
      </c>
      <c r="C2443" s="14">
        <f>B2443*100</f>
        <v/>
      </c>
    </row>
    <row r="2444">
      <c r="A2444" s="12" t="n">
        <v>46210</v>
      </c>
      <c r="B2444" s="13" t="n">
        <v>0.7531</v>
      </c>
      <c r="C2444" s="14">
        <f>B2444*100</f>
        <v/>
      </c>
    </row>
    <row r="2445">
      <c r="A2445" s="12" t="n">
        <v>46211</v>
      </c>
      <c r="B2445" s="13" t="n">
        <v>0.771</v>
      </c>
      <c r="C2445" s="14">
        <f>B2445*100</f>
        <v/>
      </c>
    </row>
    <row r="2446">
      <c r="A2446" s="12" t="n">
        <v>46212</v>
      </c>
      <c r="B2446" s="13" t="n">
        <v>0.7671</v>
      </c>
      <c r="C2446" s="14">
        <f>B2446*100</f>
        <v/>
      </c>
    </row>
    <row r="2447">
      <c r="A2447" s="12" t="n">
        <v>46213</v>
      </c>
      <c r="B2447" s="13" t="n">
        <v>0.7788</v>
      </c>
      <c r="C2447" s="14">
        <f>B2447*100</f>
        <v/>
      </c>
    </row>
    <row r="2448">
      <c r="A2448" s="12" t="n">
        <v>46216</v>
      </c>
      <c r="B2448" s="13" t="n">
        <v>0.8008</v>
      </c>
      <c r="C2448" s="14">
        <f>B2448*100</f>
        <v/>
      </c>
    </row>
    <row r="2449">
      <c r="A2449" s="12" t="n">
        <v>46217</v>
      </c>
      <c r="B2449" s="13" t="n">
        <v>0.7895</v>
      </c>
      <c r="C2449" s="14">
        <f>B2449*100</f>
        <v/>
      </c>
    </row>
    <row r="2450">
      <c r="A2450" s="12" t="n">
        <v>46218</v>
      </c>
      <c r="B2450" s="13" t="n">
        <v>0.7727000000000001</v>
      </c>
      <c r="C2450" s="14">
        <f>B2450*100</f>
        <v/>
      </c>
    </row>
    <row r="2451">
      <c r="A2451" s="12" t="n">
        <v>46219</v>
      </c>
      <c r="B2451" s="13" t="n">
        <v>0.7801</v>
      </c>
      <c r="C2451" s="14">
        <f>B2451*100</f>
        <v/>
      </c>
    </row>
    <row r="2452">
      <c r="A2452" s="12" t="n">
        <v>46220</v>
      </c>
      <c r="B2452" s="13" t="n">
        <v>0.7786999999999999</v>
      </c>
      <c r="C2452" s="14">
        <f>B2452*100</f>
        <v/>
      </c>
    </row>
    <row r="2453">
      <c r="A2453" s="12" t="n">
        <v>46223</v>
      </c>
      <c r="B2453" s="13" t="n">
        <v>0.7931</v>
      </c>
      <c r="C2453" s="14">
        <f>B2453*100</f>
        <v/>
      </c>
    </row>
    <row r="2454">
      <c r="A2454" s="12" t="n">
        <v>46224</v>
      </c>
      <c r="B2454" s="13" t="n">
        <v>0.8120000000000001</v>
      </c>
      <c r="C2454" s="14">
        <f>B2454*100</f>
        <v/>
      </c>
    </row>
    <row r="2455">
      <c r="A2455" s="12" t="n">
        <v>46225</v>
      </c>
      <c r="B2455" s="13" t="n">
        <v>0.831</v>
      </c>
      <c r="C2455" s="14">
        <f>B2455*100</f>
        <v/>
      </c>
    </row>
    <row r="2456">
      <c r="A2456" s="12" t="n">
        <v>46226</v>
      </c>
      <c r="B2456" s="13" t="n">
        <v>0.8488</v>
      </c>
      <c r="C2456" s="14">
        <f>B2456*100</f>
        <v/>
      </c>
    </row>
    <row r="2457">
      <c r="A2457" s="12" t="n">
        <v>46227</v>
      </c>
      <c r="B2457" s="13" t="n">
        <v>0.8384</v>
      </c>
      <c r="C2457" s="14">
        <f>B2457*100</f>
        <v/>
      </c>
    </row>
    <row r="2458">
      <c r="A2458" s="12" t="n">
        <v>46230</v>
      </c>
      <c r="B2458" s="13" t="n">
        <v>0.8208</v>
      </c>
      <c r="C2458" s="14">
        <f>B2458*100</f>
        <v/>
      </c>
    </row>
    <row r="2459">
      <c r="A2459" s="12" t="n">
        <v>46231</v>
      </c>
      <c r="B2459" s="13" t="n">
        <v>0.7998</v>
      </c>
      <c r="C2459" s="14">
        <f>B2459*100</f>
        <v/>
      </c>
    </row>
    <row r="2460">
      <c r="A2460" s="12" t="n">
        <v>46232</v>
      </c>
      <c r="B2460" s="13" t="n">
        <v>0.8181</v>
      </c>
      <c r="C2460" s="14">
        <f>B2460*100</f>
        <v/>
      </c>
    </row>
    <row r="2461">
      <c r="A2461" s="12" t="n">
        <v>46233</v>
      </c>
      <c r="B2461" s="13" t="n">
        <v>0.833</v>
      </c>
      <c r="C2461" s="14">
        <f>B2461*100</f>
        <v/>
      </c>
    </row>
    <row r="2462">
      <c r="A2462" s="12" t="n">
        <v>46234</v>
      </c>
      <c r="B2462" s="13" t="n">
        <v>0.8681</v>
      </c>
      <c r="C2462" s="14">
        <f>B2462*100</f>
        <v/>
      </c>
    </row>
    <row r="2463">
      <c r="A2463" s="12" t="n">
        <v>46237</v>
      </c>
      <c r="B2463" s="13" t="n">
        <v>0.8531</v>
      </c>
      <c r="C2463" s="14">
        <f>B2463*100</f>
        <v/>
      </c>
    </row>
    <row r="2464">
      <c r="A2464" s="12" t="n">
        <v>46238</v>
      </c>
      <c r="B2464" s="13" t="n">
        <v>0.8216</v>
      </c>
      <c r="C2464" s="14">
        <f>B2464*100</f>
        <v/>
      </c>
    </row>
    <row r="2465">
      <c r="A2465" s="12" t="n">
        <v>46239</v>
      </c>
      <c r="B2465" s="13" t="n">
        <v>0.8129999999999999</v>
      </c>
      <c r="C2465" s="14">
        <f>B2465*100</f>
        <v/>
      </c>
    </row>
    <row r="2466">
      <c r="A2466" s="12" t="n">
        <v>46240</v>
      </c>
      <c r="B2466" s="13" t="n">
        <v>0.8361</v>
      </c>
      <c r="C2466" s="14">
        <f>B2466*100</f>
        <v/>
      </c>
    </row>
    <row r="2467">
      <c r="A2467" s="12" t="n">
        <v>46241</v>
      </c>
      <c r="B2467" s="13" t="n">
        <v>0.8257</v>
      </c>
      <c r="C2467" s="14">
        <f>B2467*100</f>
        <v/>
      </c>
    </row>
    <row r="2468">
      <c r="A2468" s="12" t="n">
        <v>46244</v>
      </c>
      <c r="B2468" s="13" t="n">
        <v>0.8488</v>
      </c>
      <c r="C2468" s="14">
        <f>B2468*100</f>
        <v/>
      </c>
    </row>
    <row r="2469">
      <c r="A2469" s="12" t="n">
        <v>46245</v>
      </c>
      <c r="B2469" s="13" t="n">
        <v>0.8479</v>
      </c>
      <c r="C2469" s="14">
        <f>B2469*100</f>
        <v/>
      </c>
    </row>
    <row r="2470">
      <c r="A2470" s="12" t="n">
        <v>46246</v>
      </c>
      <c r="B2470" s="13" t="n">
        <v>0.8438</v>
      </c>
      <c r="C2470" s="14">
        <f>B2470*100</f>
        <v/>
      </c>
    </row>
    <row r="2471">
      <c r="A2471" s="12" t="n">
        <v>46247</v>
      </c>
      <c r="B2471" s="13" t="n">
        <v>0.8233</v>
      </c>
      <c r="C2471" s="14">
        <f>B2471*100</f>
        <v/>
      </c>
    </row>
    <row r="2472">
      <c r="A2472" s="12" t="n">
        <v>46248</v>
      </c>
      <c r="B2472" s="13" t="n">
        <v>0.8393</v>
      </c>
      <c r="C2472" s="14">
        <f>B2472*100</f>
        <v/>
      </c>
    </row>
    <row r="2473">
      <c r="A2473" s="12" t="n">
        <v>46251</v>
      </c>
      <c r="B2473" s="13" t="n">
        <v>0.8536</v>
      </c>
      <c r="C2473" s="14">
        <f>B2473*100</f>
        <v/>
      </c>
    </row>
    <row r="2474">
      <c r="A2474" s="12" t="n">
        <v>46252</v>
      </c>
      <c r="B2474" s="13" t="n">
        <v>0.8549</v>
      </c>
      <c r="C2474" s="14">
        <f>B2474*100</f>
        <v/>
      </c>
    </row>
    <row r="2475">
      <c r="A2475" s="12" t="n">
        <v>46253</v>
      </c>
      <c r="B2475" s="13" t="n">
        <v>0.8378</v>
      </c>
      <c r="C2475" s="14">
        <f>B2475*100</f>
        <v/>
      </c>
    </row>
    <row r="2476">
      <c r="A2476" s="12" t="n">
        <v>46254</v>
      </c>
      <c r="B2476" s="13" t="n">
        <v>0.8478</v>
      </c>
      <c r="C2476" s="14">
        <f>B2476*100</f>
        <v/>
      </c>
    </row>
    <row r="2477">
      <c r="A2477" s="12" t="n">
        <v>46255</v>
      </c>
      <c r="B2477" s="13" t="n">
        <v>0.8682</v>
      </c>
      <c r="C2477" s="14">
        <f>B2477*100</f>
        <v/>
      </c>
    </row>
    <row r="2478">
      <c r="A2478" s="12" t="n">
        <v>46258</v>
      </c>
      <c r="B2478" s="13" t="n">
        <v>0.8631</v>
      </c>
      <c r="C2478" s="14">
        <f>B2478*100</f>
        <v/>
      </c>
    </row>
    <row r="2479">
      <c r="A2479" s="12" t="n">
        <v>46259</v>
      </c>
      <c r="B2479" s="13" t="n">
        <v>0.8347</v>
      </c>
      <c r="C2479" s="14">
        <f>B2479*100</f>
        <v/>
      </c>
    </row>
    <row r="2480">
      <c r="A2480" s="12" t="n">
        <v>46260</v>
      </c>
      <c r="B2480" s="13" t="n">
        <v>0.8394</v>
      </c>
      <c r="C2480" s="14">
        <f>B2480*100</f>
        <v/>
      </c>
    </row>
    <row r="2481">
      <c r="A2481" s="12" t="n">
        <v>46261</v>
      </c>
      <c r="B2481" s="13" t="n">
        <v>0.8472</v>
      </c>
      <c r="C2481" s="14">
        <f>B2481*100</f>
        <v/>
      </c>
    </row>
    <row r="2482">
      <c r="A2482" s="12" t="n">
        <v>46262</v>
      </c>
      <c r="B2482" s="13" t="n">
        <v>0.8756</v>
      </c>
      <c r="C2482" s="14">
        <f>B2482*100</f>
        <v/>
      </c>
    </row>
    <row r="2483">
      <c r="A2483" s="12" t="n">
        <v>46265</v>
      </c>
      <c r="B2483" s="13" t="n">
        <v>0.8803</v>
      </c>
      <c r="C2483" s="14">
        <f>B2483*100</f>
        <v/>
      </c>
    </row>
    <row r="2484">
      <c r="A2484" s="12" t="n">
        <v>46266</v>
      </c>
      <c r="B2484" s="13" t="n">
        <v>0.8997000000000001</v>
      </c>
      <c r="C2484" s="14">
        <f>B2484*100</f>
        <v/>
      </c>
    </row>
    <row r="2485">
      <c r="A2485" s="12" t="n">
        <v>46267</v>
      </c>
      <c r="B2485" s="13" t="n">
        <v>0.8992</v>
      </c>
      <c r="C2485" s="14">
        <f>B2485*100</f>
        <v/>
      </c>
    </row>
    <row r="2486">
      <c r="A2486" s="12" t="n">
        <v>46268</v>
      </c>
      <c r="B2486" s="13" t="n">
        <v>0.8812</v>
      </c>
      <c r="C2486" s="14">
        <f>B2486*100</f>
        <v/>
      </c>
    </row>
    <row r="2487">
      <c r="A2487" s="12" t="n">
        <v>46269</v>
      </c>
      <c r="B2487" s="13" t="n">
        <v>0.8892</v>
      </c>
      <c r="C2487" s="14">
        <f>B2487*100</f>
        <v/>
      </c>
    </row>
    <row r="2488">
      <c r="A2488" s="12" t="n">
        <v>46273</v>
      </c>
      <c r="B2488" s="13" t="n">
        <v>0.8919</v>
      </c>
      <c r="C2488" s="14">
        <f>B2488*100</f>
        <v/>
      </c>
    </row>
    <row r="2489">
      <c r="A2489" s="12" t="n">
        <v>46274</v>
      </c>
      <c r="B2489" s="13" t="n">
        <v>0.9002</v>
      </c>
      <c r="C2489" s="14">
        <f>B2489*100</f>
        <v/>
      </c>
    </row>
    <row r="2490">
      <c r="A2490" s="12" t="n">
        <v>46275</v>
      </c>
      <c r="B2490" s="13" t="n">
        <v>0.9481000000000001</v>
      </c>
      <c r="C2490" s="14">
        <f>B2490*100</f>
        <v/>
      </c>
    </row>
    <row r="2491">
      <c r="A2491" s="12" t="n">
        <v>46276</v>
      </c>
      <c r="B2491" s="13" t="n">
        <v>0.961</v>
      </c>
      <c r="C2491" s="14">
        <f>B2491*100</f>
        <v/>
      </c>
    </row>
    <row r="2492">
      <c r="A2492" s="12" t="n">
        <v>46279</v>
      </c>
      <c r="B2492" s="13" t="n">
        <v>0.959</v>
      </c>
      <c r="C2492" s="14">
        <f>B2492*100</f>
        <v/>
      </c>
    </row>
    <row r="2493">
      <c r="A2493" s="12" t="n">
        <v>46280</v>
      </c>
      <c r="B2493" s="13" t="n">
        <v>0.9641</v>
      </c>
      <c r="C2493" s="14">
        <f>B2493*100</f>
        <v/>
      </c>
    </row>
    <row r="2494">
      <c r="A2494" s="12" t="n">
        <v>46281</v>
      </c>
      <c r="B2494" s="13" t="n">
        <v>0.9719</v>
      </c>
      <c r="C2494" s="14">
        <f>B2494*100</f>
        <v/>
      </c>
    </row>
    <row r="2495">
      <c r="A2495" s="12" t="n">
        <v>46282</v>
      </c>
      <c r="B2495" s="13" t="n">
        <v>0.9396</v>
      </c>
      <c r="C2495" s="14">
        <f>B2495*100</f>
        <v/>
      </c>
    </row>
    <row r="2496">
      <c r="A2496" s="12" t="n">
        <v>46283</v>
      </c>
      <c r="B2496" s="13" t="n">
        <v>0.9595</v>
      </c>
      <c r="C2496" s="14">
        <f>B2496*100</f>
        <v/>
      </c>
    </row>
    <row r="2497">
      <c r="A2497" s="12" t="n">
        <v>46286</v>
      </c>
      <c r="B2497" s="13" t="n">
        <v>0.9416</v>
      </c>
      <c r="C2497" s="14">
        <f>B2497*100</f>
        <v/>
      </c>
    </row>
    <row r="2498">
      <c r="A2498" s="12" t="n">
        <v>46287</v>
      </c>
      <c r="B2498" s="13" t="n">
        <v>0.9344</v>
      </c>
      <c r="C2498" s="14">
        <f>B2498*100</f>
        <v/>
      </c>
    </row>
    <row r="2499">
      <c r="A2499" s="12" t="n">
        <v>46288</v>
      </c>
      <c r="B2499" s="13" t="n">
        <v>0.9932</v>
      </c>
      <c r="C2499" s="14">
        <f>B2499*100</f>
        <v/>
      </c>
    </row>
    <row r="2500">
      <c r="A2500" s="12" t="n">
        <v>46289</v>
      </c>
      <c r="B2500" s="13" t="n">
        <v>1.0251</v>
      </c>
      <c r="C2500" s="14">
        <f>B2500*100</f>
        <v/>
      </c>
    </row>
    <row r="2501">
      <c r="A2501" s="12" t="n">
        <v>46290</v>
      </c>
      <c r="B2501" s="13" t="n">
        <v>1.0203</v>
      </c>
      <c r="C2501" s="14">
        <f>B2501*100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8" customWidth="1" min="6" max="6"/>
    <col width="18" customWidth="1" min="7" max="7"/>
    <col width="12" customWidth="1" min="8" max="8"/>
  </cols>
  <sheetData>
    <row r="1">
      <c r="A1" s="5" t="inlineStr">
        <is>
          <t>日期</t>
        </is>
      </c>
      <c r="B1" s="5" t="inlineStr">
        <is>
          <t>預期實質短率 (%)</t>
        </is>
      </c>
      <c r="C1" s="5" t="inlineStr">
        <is>
          <t>實質 TP (%)</t>
        </is>
      </c>
      <c r="D1" s="5" t="inlineStr">
        <is>
          <t>預期通膨 (%)</t>
        </is>
      </c>
      <c r="E1" s="5" t="inlineStr">
        <is>
          <t>通膨風險溢酬 (%)</t>
        </is>
      </c>
      <c r="F1" s="5" t="inlineStr">
        <is>
          <t>TIPS 流動性溢酬 (%)</t>
        </is>
      </c>
      <c r="G1" s="5" t="inlineStr">
        <is>
          <t>名目殖利率 fitted (%)</t>
        </is>
      </c>
      <c r="H1" s="5" t="inlineStr">
        <is>
          <t>名目 TP (%)</t>
        </is>
      </c>
      <c r="J1" s="6" t="inlineStr">
        <is>
          <t>來源：Fed staff DKW_updates.csv（D'Amico, Kim &amp; Wei 2018；Kim, Walsh &amp; Wei 2019 FEDS Notes），由使用者下載；只保留 2015-01-01 之後且四個成分齊全的日期。非 Fed 官方統計，可能修正。</t>
        </is>
      </c>
    </row>
    <row r="2">
      <c r="A2" s="12" t="n">
        <v>42006</v>
      </c>
      <c r="B2" s="15" t="n">
        <v>-0.265599992126226</v>
      </c>
      <c r="C2" s="15" t="n">
        <v>0.217899993062019</v>
      </c>
      <c r="D2" s="15" t="n">
        <v>2.20830011367798</v>
      </c>
      <c r="E2" s="15" t="n">
        <v>0.022799801081419</v>
      </c>
      <c r="F2" s="15" t="n">
        <v>0.590200006961823</v>
      </c>
      <c r="G2" s="15" t="n">
        <v>2.18339991569519</v>
      </c>
      <c r="H2" s="16">
        <f>C2+E2</f>
        <v/>
      </c>
    </row>
    <row r="3">
      <c r="A3" s="12" t="n">
        <v>42009</v>
      </c>
      <c r="B3" s="15" t="n">
        <v>-0.286499999463558</v>
      </c>
      <c r="C3" s="15" t="n">
        <v>0.189400002360344</v>
      </c>
      <c r="D3" s="15" t="n">
        <v>2.19020009040833</v>
      </c>
      <c r="E3" s="15" t="n">
        <v>0.0165998712182045</v>
      </c>
      <c r="F3" s="15" t="n">
        <v>0.621900022029877</v>
      </c>
      <c r="G3" s="15" t="n">
        <v>2.10969996452332</v>
      </c>
      <c r="H3" s="16">
        <f>C3+E3</f>
        <v/>
      </c>
    </row>
    <row r="4">
      <c r="A4" s="12" t="n">
        <v>42010</v>
      </c>
      <c r="B4" s="15" t="n">
        <v>-0.307700008153915</v>
      </c>
      <c r="C4" s="15" t="n">
        <v>0.162300005555153</v>
      </c>
      <c r="D4" s="15" t="n">
        <v>2.17339992523193</v>
      </c>
      <c r="E4" s="15" t="n">
        <v>0.0104000121355057</v>
      </c>
      <c r="F4" s="15" t="n">
        <v>0.664200007915497</v>
      </c>
      <c r="G4" s="15" t="n">
        <v>2.03839993476868</v>
      </c>
      <c r="H4" s="16">
        <f>C4+E4</f>
        <v/>
      </c>
    </row>
    <row r="5">
      <c r="A5" s="12" t="n">
        <v>42011</v>
      </c>
      <c r="B5" s="15" t="n">
        <v>-0.314399987459183</v>
      </c>
      <c r="C5" s="15" t="n">
        <v>0.156299993395805</v>
      </c>
      <c r="D5" s="15" t="n">
        <v>2.16939997673035</v>
      </c>
      <c r="E5" s="15" t="n">
        <v>0.00899992883205414</v>
      </c>
      <c r="F5" s="15" t="n">
        <v>0.658599972724915</v>
      </c>
      <c r="G5" s="15" t="n">
        <v>2.02029991149902</v>
      </c>
      <c r="H5" s="16">
        <f>C5+E5</f>
        <v/>
      </c>
    </row>
    <row r="6">
      <c r="A6" s="12" t="n">
        <v>42012</v>
      </c>
      <c r="B6" s="15" t="n">
        <v>-0.301199994981289</v>
      </c>
      <c r="C6" s="15" t="n">
        <v>0.180099993944168</v>
      </c>
      <c r="D6" s="15" t="n">
        <v>2.18370008468628</v>
      </c>
      <c r="E6" s="15" t="n">
        <v>0.0142999216914177</v>
      </c>
      <c r="F6" s="15" t="n">
        <v>0.630200028419495</v>
      </c>
      <c r="G6" s="15" t="n">
        <v>2.07690000534058</v>
      </c>
      <c r="H6" s="16">
        <f>C6+E6</f>
        <v/>
      </c>
    </row>
    <row r="7">
      <c r="A7" s="12" t="n">
        <v>42013</v>
      </c>
      <c r="B7" s="15" t="n">
        <v>-0.314699992537498</v>
      </c>
      <c r="C7" s="15" t="n">
        <v>0.166899994015694</v>
      </c>
      <c r="D7" s="15" t="n">
        <v>2.17549991607666</v>
      </c>
      <c r="E7" s="15" t="n">
        <v>0.0111000835895538</v>
      </c>
      <c r="F7" s="15" t="n">
        <v>0.613399982452393</v>
      </c>
      <c r="G7" s="15" t="n">
        <v>2.03880000114441</v>
      </c>
      <c r="H7" s="16">
        <f>C7+E7</f>
        <v/>
      </c>
    </row>
    <row r="8">
      <c r="A8" s="12" t="n">
        <v>42016</v>
      </c>
      <c r="B8" s="15" t="n">
        <v>-0.33050000667572</v>
      </c>
      <c r="C8" s="15" t="n">
        <v>0.146200001239777</v>
      </c>
      <c r="D8" s="15" t="n">
        <v>2.1635000705719</v>
      </c>
      <c r="E8" s="15" t="n">
        <v>0.0060998797416687</v>
      </c>
      <c r="F8" s="15" t="n">
        <v>0.6373999714851381</v>
      </c>
      <c r="G8" s="15" t="n">
        <v>1.98529994487762</v>
      </c>
      <c r="H8" s="16">
        <f>C8+E8</f>
        <v/>
      </c>
    </row>
    <row r="9">
      <c r="A9" s="12" t="n">
        <v>42017</v>
      </c>
      <c r="B9" s="15" t="n">
        <v>-0.334800004959106</v>
      </c>
      <c r="C9" s="15" t="n">
        <v>0.144400000572205</v>
      </c>
      <c r="D9" s="15" t="n">
        <v>2.16240000724792</v>
      </c>
      <c r="E9" s="15" t="n">
        <v>0.00549995899200439</v>
      </c>
      <c r="F9" s="15" t="n">
        <v>0.658699989318848</v>
      </c>
      <c r="G9" s="15" t="n">
        <v>1.97749996185303</v>
      </c>
      <c r="H9" s="16">
        <f>C9+E9</f>
        <v/>
      </c>
    </row>
    <row r="10">
      <c r="A10" s="12" t="n">
        <v>42018</v>
      </c>
      <c r="B10" s="15" t="n">
        <v>-0.350199997425079</v>
      </c>
      <c r="C10" s="15" t="n">
        <v>0.123199999332428</v>
      </c>
      <c r="D10" s="15" t="n">
        <v>2.15000009536743</v>
      </c>
      <c r="E10" s="15" t="n">
        <v>0.000399947166442871</v>
      </c>
      <c r="F10" s="15" t="n">
        <v>0.612999975681305</v>
      </c>
      <c r="G10" s="15" t="n">
        <v>1.92340004444122</v>
      </c>
      <c r="H10" s="16">
        <f>C10+E10</f>
        <v/>
      </c>
    </row>
    <row r="11">
      <c r="A11" s="12" t="n">
        <v>42019</v>
      </c>
      <c r="B11" s="15" t="n">
        <v>-0.379799999296665</v>
      </c>
      <c r="C11" s="15" t="n">
        <v>0.0921000018715858</v>
      </c>
      <c r="D11" s="15" t="n">
        <v>2.13070011138916</v>
      </c>
      <c r="E11" s="15" t="n">
        <v>-0.00710016489028931</v>
      </c>
      <c r="F11" s="15" t="n">
        <v>0.574299991130829</v>
      </c>
      <c r="G11" s="15" t="n">
        <v>1.83589994907379</v>
      </c>
      <c r="H11" s="16">
        <f>C11+E11</f>
        <v/>
      </c>
    </row>
    <row r="12">
      <c r="A12" s="12" t="n">
        <v>42020</v>
      </c>
      <c r="B12" s="15" t="n">
        <v>-0.358300007879734</v>
      </c>
      <c r="C12" s="15" t="n">
        <v>0.118500001728535</v>
      </c>
      <c r="D12" s="15" t="n">
        <v>2.14709997177124</v>
      </c>
      <c r="E12" s="15" t="n">
        <v>-0.00100001692771912</v>
      </c>
      <c r="F12" s="15" t="n">
        <v>0.570500016212463</v>
      </c>
      <c r="G12" s="15" t="n">
        <v>1.90629994869232</v>
      </c>
      <c r="H12" s="16">
        <f>C12+E12</f>
        <v/>
      </c>
    </row>
    <row r="13">
      <c r="A13" s="12" t="n">
        <v>42024</v>
      </c>
      <c r="B13" s="15" t="n">
        <v>-0.355099998414516</v>
      </c>
      <c r="C13" s="15" t="n">
        <v>0.116499997675419</v>
      </c>
      <c r="D13" s="15" t="n">
        <v>2.14610004425049</v>
      </c>
      <c r="E13" s="15" t="n">
        <v>-0.00129999220371246</v>
      </c>
      <c r="F13" s="15" t="n">
        <v>0.5703999996185301</v>
      </c>
      <c r="G13" s="15" t="n">
        <v>1.90620005130768</v>
      </c>
      <c r="H13" s="16">
        <f>C13+E13</f>
        <v/>
      </c>
    </row>
    <row r="14">
      <c r="A14" s="12" t="n">
        <v>42025</v>
      </c>
      <c r="B14" s="15" t="n">
        <v>-0.341299995779991</v>
      </c>
      <c r="C14" s="15" t="n">
        <v>0.13459999859333</v>
      </c>
      <c r="D14" s="15" t="n">
        <v>2.1570999622345</v>
      </c>
      <c r="E14" s="15" t="n">
        <v>0.00290003418922424</v>
      </c>
      <c r="F14" s="15" t="n">
        <v>0.569999992847443</v>
      </c>
      <c r="G14" s="15" t="n">
        <v>1.95329999923706</v>
      </c>
      <c r="H14" s="16">
        <f>C14+E14</f>
        <v/>
      </c>
    </row>
    <row r="15">
      <c r="A15" s="12" t="n">
        <v>42026</v>
      </c>
      <c r="B15" s="15" t="n">
        <v>-0.334100008010864</v>
      </c>
      <c r="C15" s="15" t="n">
        <v>0.142100006341934</v>
      </c>
      <c r="D15" s="15" t="n">
        <v>2.16149997711182</v>
      </c>
      <c r="E15" s="15" t="n">
        <v>0.00490006804466248</v>
      </c>
      <c r="F15" s="15" t="n">
        <v>0.5503000020980831</v>
      </c>
      <c r="G15" s="15" t="n">
        <v>1.97440004348755</v>
      </c>
      <c r="H15" s="16">
        <f>C15+E15</f>
        <v/>
      </c>
    </row>
    <row r="16">
      <c r="A16" s="12" t="n">
        <v>42027</v>
      </c>
      <c r="B16" s="15" t="n">
        <v>-0.358400002121925</v>
      </c>
      <c r="C16" s="15" t="n">
        <v>0.111900001764297</v>
      </c>
      <c r="D16" s="15" t="n">
        <v>2.14190006256104</v>
      </c>
      <c r="E16" s="15" t="n">
        <v>-0.00170005857944489</v>
      </c>
      <c r="F16" s="15" t="n">
        <v>0.519900023937225</v>
      </c>
      <c r="G16" s="15" t="n">
        <v>1.89370000362396</v>
      </c>
      <c r="H16" s="16">
        <f>C16+E16</f>
        <v/>
      </c>
    </row>
    <row r="17">
      <c r="A17" s="12" t="n">
        <v>42030</v>
      </c>
      <c r="B17" s="15" t="n">
        <v>-0.350400008261204</v>
      </c>
      <c r="C17" s="15" t="n">
        <v>0.118600003421307</v>
      </c>
      <c r="D17" s="15" t="n">
        <v>2.14660000801086</v>
      </c>
      <c r="E17" s="15" t="n">
        <v>-0.000300005078315735</v>
      </c>
      <c r="F17" s="15" t="n">
        <v>0.511600017547607</v>
      </c>
      <c r="G17" s="15" t="n">
        <v>1.91449999809265</v>
      </c>
      <c r="H17" s="16">
        <f>C17+E17</f>
        <v/>
      </c>
    </row>
    <row r="18">
      <c r="A18" s="12" t="n">
        <v>42031</v>
      </c>
      <c r="B18" s="15" t="n">
        <v>-0.353700004518032</v>
      </c>
      <c r="C18" s="15" t="n">
        <v>0.115000002086163</v>
      </c>
      <c r="D18" s="15" t="n">
        <v>2.14429998397827</v>
      </c>
      <c r="E18" s="15" t="n">
        <v>-0.00109997391700745</v>
      </c>
      <c r="F18" s="15" t="n">
        <v>0.467599987983704</v>
      </c>
      <c r="G18" s="15" t="n">
        <v>1.90450000762939</v>
      </c>
      <c r="H18" s="16">
        <f>C18+E18</f>
        <v/>
      </c>
    </row>
    <row r="19">
      <c r="A19" s="12" t="n">
        <v>42032</v>
      </c>
      <c r="B19" s="15" t="n">
        <v>-0.381099991500378</v>
      </c>
      <c r="C19" s="15" t="n">
        <v>0.08160000294446949</v>
      </c>
      <c r="D19" s="15" t="n">
        <v>2.12369990348816</v>
      </c>
      <c r="E19" s="15" t="n">
        <v>-0.00889992713928223</v>
      </c>
      <c r="F19" s="15" t="n">
        <v>0.474500000476837</v>
      </c>
      <c r="G19" s="15" t="n">
        <v>1.81529998779297</v>
      </c>
      <c r="H19" s="16">
        <f>C19+E19</f>
        <v/>
      </c>
    </row>
    <row r="20">
      <c r="A20" s="12" t="n">
        <v>42033</v>
      </c>
      <c r="B20" s="15" t="n">
        <v>-0.368100009858608</v>
      </c>
      <c r="C20" s="15" t="n">
        <v>0.100100003182888</v>
      </c>
      <c r="D20" s="15" t="n">
        <v>2.1350998878479</v>
      </c>
      <c r="E20" s="15" t="n">
        <v>-0.00469982624053955</v>
      </c>
      <c r="F20" s="15" t="n">
        <v>0.461199998855591</v>
      </c>
      <c r="G20" s="15" t="n">
        <v>1.86240005493164</v>
      </c>
      <c r="H20" s="16">
        <f>C20+E20</f>
        <v/>
      </c>
    </row>
    <row r="21">
      <c r="A21" s="12" t="n">
        <v>42034</v>
      </c>
      <c r="B21" s="15" t="n">
        <v>-0.396899990737438</v>
      </c>
      <c r="C21" s="15" t="n">
        <v>0.0662999972701073</v>
      </c>
      <c r="D21" s="15" t="n">
        <v>2.11409997940063</v>
      </c>
      <c r="E21" s="15" t="n">
        <v>-0.0124999582767487</v>
      </c>
      <c r="F21" s="15" t="n">
        <v>0.418300002813339</v>
      </c>
      <c r="G21" s="15" t="n">
        <v>1.77100002765656</v>
      </c>
      <c r="H21" s="16">
        <f>C21+E21</f>
        <v/>
      </c>
    </row>
    <row r="22">
      <c r="A22" s="12" t="n">
        <v>42037</v>
      </c>
      <c r="B22" s="15" t="n">
        <v>-0.39299999922514</v>
      </c>
      <c r="C22" s="15" t="n">
        <v>0.07169999927282331</v>
      </c>
      <c r="D22" s="15" t="n">
        <v>2.11789989471436</v>
      </c>
      <c r="E22" s="15" t="n">
        <v>-0.0115999281406403</v>
      </c>
      <c r="F22" s="15" t="n">
        <v>0.403600007295609</v>
      </c>
      <c r="G22" s="15" t="n">
        <v>1.7849999666214</v>
      </c>
      <c r="H22" s="16">
        <f>C22+E22</f>
        <v/>
      </c>
    </row>
    <row r="23">
      <c r="A23" s="12" t="n">
        <v>42038</v>
      </c>
      <c r="B23" s="15" t="n">
        <v>-0.363200008869171</v>
      </c>
      <c r="C23" s="15" t="n">
        <v>0.108999997377396</v>
      </c>
      <c r="D23" s="15" t="n">
        <v>2.14120006561279</v>
      </c>
      <c r="E23" s="15" t="n">
        <v>-0.00300011038780212</v>
      </c>
      <c r="F23" s="15" t="n">
        <v>0.378899991512299</v>
      </c>
      <c r="G23" s="15" t="n">
        <v>1.88399994373322</v>
      </c>
      <c r="H23" s="16">
        <f>C23+E23</f>
        <v/>
      </c>
    </row>
    <row r="24">
      <c r="A24" s="12" t="n">
        <v>42039</v>
      </c>
      <c r="B24" s="15" t="n">
        <v>-0.360300004482269</v>
      </c>
      <c r="C24" s="15" t="n">
        <v>0.116099998354912</v>
      </c>
      <c r="D24" s="15" t="n">
        <v>2.14479994773865</v>
      </c>
      <c r="E24" s="15" t="n">
        <v>-0.00119994580745697</v>
      </c>
      <c r="F24" s="15" t="n">
        <v>0.391999989748001</v>
      </c>
      <c r="G24" s="15" t="n">
        <v>1.89939999580383</v>
      </c>
      <c r="H24" s="16">
        <f>C24+E24</f>
        <v/>
      </c>
    </row>
    <row r="25">
      <c r="A25" s="12" t="n">
        <v>42040</v>
      </c>
      <c r="B25" s="15" t="n">
        <v>-0.35470000654459</v>
      </c>
      <c r="C25" s="15" t="n">
        <v>0.124600000679493</v>
      </c>
      <c r="D25" s="15" t="n">
        <v>2.14980006217957</v>
      </c>
      <c r="E25" s="15" t="n">
        <v>0.0007999837398529049</v>
      </c>
      <c r="F25" s="15" t="n">
        <v>0.402700006961823</v>
      </c>
      <c r="G25" s="15" t="n">
        <v>1.92050004005432</v>
      </c>
      <c r="H25" s="16">
        <f>C25+E25</f>
        <v/>
      </c>
    </row>
    <row r="26">
      <c r="A26" s="12" t="n">
        <v>42041</v>
      </c>
      <c r="B26" s="15" t="n">
        <v>-0.310399994254112</v>
      </c>
      <c r="C26" s="15" t="n">
        <v>0.167999997735023</v>
      </c>
      <c r="D26" s="15" t="n">
        <v>2.17709994316101</v>
      </c>
      <c r="E26" s="15" t="n">
        <v>0.0112001597881317</v>
      </c>
      <c r="F26" s="15" t="n">
        <v>0.412999987602234</v>
      </c>
      <c r="G26" s="15" t="n">
        <v>2.04590010643005</v>
      </c>
      <c r="H26" s="16">
        <f>C26+E26</f>
        <v/>
      </c>
    </row>
    <row r="27">
      <c r="A27" s="12" t="n">
        <v>42044</v>
      </c>
      <c r="B27" s="15" t="n">
        <v>-0.307700008153915</v>
      </c>
      <c r="C27" s="15" t="n">
        <v>0.168400004506111</v>
      </c>
      <c r="D27" s="15" t="n">
        <v>2.17689990997314</v>
      </c>
      <c r="E27" s="15" t="n">
        <v>0.0116001516580582</v>
      </c>
      <c r="F27" s="15" t="n">
        <v>0.42519998550415</v>
      </c>
      <c r="G27" s="15" t="n">
        <v>2.0492000579834</v>
      </c>
      <c r="H27" s="16">
        <f>C27+E27</f>
        <v/>
      </c>
    </row>
    <row r="28">
      <c r="A28" s="12" t="n">
        <v>42045</v>
      </c>
      <c r="B28" s="15" t="n">
        <v>-0.295699998736382</v>
      </c>
      <c r="C28" s="15" t="n">
        <v>0.18469999730587</v>
      </c>
      <c r="D28" s="15" t="n">
        <v>2.18670010566711</v>
      </c>
      <c r="E28" s="15" t="n">
        <v>0.0153998732566833</v>
      </c>
      <c r="F28" s="15" t="n">
        <v>0.450199991464615</v>
      </c>
      <c r="G28" s="15" t="n">
        <v>2.09109997749329</v>
      </c>
      <c r="H28" s="16">
        <f>C28+E28</f>
        <v/>
      </c>
    </row>
    <row r="29">
      <c r="A29" s="12" t="n">
        <v>42046</v>
      </c>
      <c r="B29" s="15" t="n">
        <v>-0.295800007879734</v>
      </c>
      <c r="C29" s="15" t="n">
        <v>0.18690000474453</v>
      </c>
      <c r="D29" s="15" t="n">
        <v>2.18720006942749</v>
      </c>
      <c r="E29" s="15" t="n">
        <v>0.0161999985575676</v>
      </c>
      <c r="F29" s="15" t="n">
        <v>0.458600014448166</v>
      </c>
      <c r="G29" s="15" t="n">
        <v>2.09450006484985</v>
      </c>
      <c r="H29" s="16">
        <f>C29+E29</f>
        <v/>
      </c>
    </row>
    <row r="30">
      <c r="A30" s="12" t="n">
        <v>42047</v>
      </c>
      <c r="B30" s="15" t="n">
        <v>-0.300999999046326</v>
      </c>
      <c r="C30" s="15" t="n">
        <v>0.184599995613098</v>
      </c>
      <c r="D30" s="15" t="n">
        <v>2.18569993972778</v>
      </c>
      <c r="E30" s="15" t="n">
        <v>0.0155999660491943</v>
      </c>
      <c r="F30" s="15" t="n">
        <v>0.463800013065338</v>
      </c>
      <c r="G30" s="15" t="n">
        <v>2.08489990234375</v>
      </c>
      <c r="H30" s="16">
        <f>C30+E30</f>
        <v/>
      </c>
    </row>
    <row r="31">
      <c r="A31" s="12" t="n">
        <v>42048</v>
      </c>
      <c r="B31" s="15" t="n">
        <v>-0.290099993348122</v>
      </c>
      <c r="C31" s="15" t="n">
        <v>0.200399994850159</v>
      </c>
      <c r="D31" s="15" t="n">
        <v>2.1956000328064</v>
      </c>
      <c r="E31" s="15" t="n">
        <v>0.0190000683069229</v>
      </c>
      <c r="F31" s="15" t="n">
        <v>0.454600006341934</v>
      </c>
      <c r="G31" s="15" t="n">
        <v>2.12490010261536</v>
      </c>
      <c r="H31" s="16">
        <f>C31+E31</f>
        <v/>
      </c>
    </row>
    <row r="32">
      <c r="A32" s="12" t="n">
        <v>42052</v>
      </c>
      <c r="B32" s="15" t="n">
        <v>-0.254999994300306</v>
      </c>
      <c r="C32" s="15" t="n">
        <v>0.246999993920326</v>
      </c>
      <c r="D32" s="15" t="n">
        <v>2.22460007667542</v>
      </c>
      <c r="E32" s="15" t="n">
        <v>0.0294998725876212</v>
      </c>
      <c r="F32" s="15" t="n">
        <v>0.462399989366531</v>
      </c>
      <c r="G32" s="15" t="n">
        <v>2.24609994888306</v>
      </c>
      <c r="H32" s="16">
        <f>C32+E32</f>
        <v/>
      </c>
    </row>
    <row r="33">
      <c r="A33" s="12" t="n">
        <v>42053</v>
      </c>
      <c r="B33" s="15" t="n">
        <v>-0.279700007289648</v>
      </c>
      <c r="C33" s="15" t="n">
        <v>0.222200006246567</v>
      </c>
      <c r="D33" s="15" t="n">
        <v>2.208899974823</v>
      </c>
      <c r="E33" s="15" t="n">
        <v>0.0235999785363674</v>
      </c>
      <c r="F33" s="15" t="n">
        <v>0.439000010490417</v>
      </c>
      <c r="G33" s="15" t="n">
        <v>2.17499995231628</v>
      </c>
      <c r="H33" s="16">
        <f>C33+E33</f>
        <v/>
      </c>
    </row>
    <row r="34">
      <c r="A34" s="12" t="n">
        <v>42054</v>
      </c>
      <c r="B34" s="15" t="n">
        <v>-0.263999996706843</v>
      </c>
      <c r="C34" s="15" t="n">
        <v>0.24099999666214</v>
      </c>
      <c r="D34" s="15" t="n">
        <v>2.22099995613098</v>
      </c>
      <c r="E34" s="15" t="n">
        <v>0.0278999786823988</v>
      </c>
      <c r="F34" s="15" t="n">
        <v>0.433400005102158</v>
      </c>
      <c r="G34" s="15" t="n">
        <v>2.22589993476868</v>
      </c>
      <c r="H34" s="16">
        <f>C34+E34</f>
        <v/>
      </c>
    </row>
    <row r="35">
      <c r="A35" s="12" t="n">
        <v>42055</v>
      </c>
      <c r="B35" s="15" t="n">
        <v>-0.25760000385344</v>
      </c>
      <c r="C35" s="15" t="n">
        <v>0.247600004076958</v>
      </c>
      <c r="D35" s="15" t="n">
        <v>2.22510004043579</v>
      </c>
      <c r="E35" s="15" t="n">
        <v>0.0293998811393976</v>
      </c>
      <c r="F35" s="15" t="n">
        <v>0.433999985456467</v>
      </c>
      <c r="G35" s="15" t="n">
        <v>2.24449992179871</v>
      </c>
      <c r="H35" s="16">
        <f>C35+E35</f>
        <v/>
      </c>
    </row>
    <row r="36">
      <c r="A36" s="12" t="n">
        <v>42058</v>
      </c>
      <c r="B36" s="15" t="n">
        <v>-0.274999994784594</v>
      </c>
      <c r="C36" s="15" t="n">
        <v>0.223299995064735</v>
      </c>
      <c r="D36" s="15" t="n">
        <v>2.21029996871948</v>
      </c>
      <c r="E36" s="15" t="n">
        <v>0.0238999165594578</v>
      </c>
      <c r="F36" s="15" t="n">
        <v>0.435099989175797</v>
      </c>
      <c r="G36" s="15" t="n">
        <v>2.18249988555908</v>
      </c>
      <c r="H36" s="16">
        <f>C36+E36</f>
        <v/>
      </c>
    </row>
    <row r="37">
      <c r="A37" s="12" t="n">
        <v>42059</v>
      </c>
      <c r="B37" s="15" t="n">
        <v>-0.299499996006489</v>
      </c>
      <c r="C37" s="15" t="n">
        <v>0.193299993872643</v>
      </c>
      <c r="D37" s="15" t="n">
        <v>2.19199991226196</v>
      </c>
      <c r="E37" s="15" t="n">
        <v>0.0168001875281334</v>
      </c>
      <c r="F37" s="15" t="n">
        <v>0.419400006532669</v>
      </c>
      <c r="G37" s="15" t="n">
        <v>2.10260009765625</v>
      </c>
      <c r="H37" s="16">
        <f>C37+E37</f>
        <v/>
      </c>
    </row>
    <row r="38">
      <c r="A38" s="12" t="n">
        <v>42060</v>
      </c>
      <c r="B38" s="15" t="n">
        <v>-0.306800007820129</v>
      </c>
      <c r="C38" s="15" t="n">
        <v>0.182600006461143</v>
      </c>
      <c r="D38" s="15" t="n">
        <v>2.18519997596741</v>
      </c>
      <c r="E38" s="15" t="n">
        <v>0.0145000368356705</v>
      </c>
      <c r="F38" s="15" t="n">
        <v>0.40310001373291</v>
      </c>
      <c r="G38" s="15" t="n">
        <v>2.07550001144409</v>
      </c>
      <c r="H38" s="16">
        <f>C38+E38</f>
        <v/>
      </c>
    </row>
    <row r="39">
      <c r="A39" s="12" t="n">
        <v>42061</v>
      </c>
      <c r="B39" s="15" t="n">
        <v>-0.288700006902218</v>
      </c>
      <c r="C39" s="15" t="n">
        <v>0.20100000500679</v>
      </c>
      <c r="D39" s="15" t="n">
        <v>2.19659996032715</v>
      </c>
      <c r="E39" s="15" t="n">
        <v>0.018900029361248</v>
      </c>
      <c r="F39" s="15" t="n">
        <v>0.372599989175797</v>
      </c>
      <c r="G39" s="15" t="n">
        <v>2.12779998779297</v>
      </c>
      <c r="H39" s="16">
        <f>C39+E39</f>
        <v/>
      </c>
    </row>
    <row r="40">
      <c r="A40" s="12" t="n">
        <v>42062</v>
      </c>
      <c r="B40" s="15" t="n">
        <v>-0.29840000718832</v>
      </c>
      <c r="C40" s="15" t="n">
        <v>0.18970000743866</v>
      </c>
      <c r="D40" s="15" t="n">
        <v>2.18919992446899</v>
      </c>
      <c r="E40" s="15" t="n">
        <v>0.0164000615477562</v>
      </c>
      <c r="F40" s="15" t="n">
        <v>0.319000005722046</v>
      </c>
      <c r="G40" s="15" t="n">
        <v>2.09689998626709</v>
      </c>
      <c r="H40" s="16">
        <f>C40+E40</f>
        <v/>
      </c>
    </row>
    <row r="41">
      <c r="A41" s="12" t="n">
        <v>42065</v>
      </c>
      <c r="B41" s="15" t="n">
        <v>-0.27250000089407</v>
      </c>
      <c r="C41" s="15" t="n">
        <v>0.221900001168251</v>
      </c>
      <c r="D41" s="15" t="n">
        <v>2.20970010757446</v>
      </c>
      <c r="E41" s="15" t="n">
        <v>0.0236999467015266</v>
      </c>
      <c r="F41" s="15" t="n">
        <v>0.347600013017654</v>
      </c>
      <c r="G41" s="15" t="n">
        <v>2.18280005455017</v>
      </c>
      <c r="H41" s="16">
        <f>C41+E41</f>
        <v/>
      </c>
    </row>
    <row r="42">
      <c r="A42" s="12" t="n">
        <v>42066</v>
      </c>
      <c r="B42" s="15" t="n">
        <v>-0.261000003665686</v>
      </c>
      <c r="C42" s="15" t="n">
        <v>0.236100003123283</v>
      </c>
      <c r="D42" s="15" t="n">
        <v>2.21840000152588</v>
      </c>
      <c r="E42" s="15" t="n">
        <v>0.0269999913871288</v>
      </c>
      <c r="F42" s="15" t="n">
        <v>0.328799992799759</v>
      </c>
      <c r="G42" s="15" t="n">
        <v>2.22049999237061</v>
      </c>
      <c r="H42" s="16">
        <f>C42+E42</f>
        <v/>
      </c>
    </row>
    <row r="43">
      <c r="A43" s="12" t="n">
        <v>42067</v>
      </c>
      <c r="B43" s="15" t="n">
        <v>-0.26299999281764</v>
      </c>
      <c r="C43" s="15" t="n">
        <v>0.235499992966652</v>
      </c>
      <c r="D43" s="15" t="n">
        <v>2.21779990196228</v>
      </c>
      <c r="E43" s="15" t="n">
        <v>0.0268000029027462</v>
      </c>
      <c r="F43" s="15" t="n">
        <v>0.324400007724762</v>
      </c>
      <c r="G43" s="15" t="n">
        <v>2.21709990501404</v>
      </c>
      <c r="H43" s="16">
        <f>C43+E43</f>
        <v/>
      </c>
    </row>
    <row r="44">
      <c r="A44" s="12" t="n">
        <v>42068</v>
      </c>
      <c r="B44" s="15" t="n">
        <v>-0.268300000578165</v>
      </c>
      <c r="C44" s="15" t="n">
        <v>0.231600001454353</v>
      </c>
      <c r="D44" s="15" t="n">
        <v>2.21539998054504</v>
      </c>
      <c r="E44" s="15" t="n">
        <v>0.0259001143276691</v>
      </c>
      <c r="F44" s="15" t="n">
        <v>0.352899998426437</v>
      </c>
      <c r="G44" s="15" t="n">
        <v>2.2046000957489</v>
      </c>
      <c r="H44" s="16">
        <f>C44+E44</f>
        <v/>
      </c>
    </row>
    <row r="45">
      <c r="A45" s="12" t="n">
        <v>42069</v>
      </c>
      <c r="B45" s="15" t="n">
        <v>-0.22630001232028</v>
      </c>
      <c r="C45" s="15" t="n">
        <v>0.283300012350082</v>
      </c>
      <c r="D45" s="15" t="n">
        <v>2.24769997596741</v>
      </c>
      <c r="E45" s="15" t="n">
        <v>0.0377000980079174</v>
      </c>
      <c r="F45" s="15" t="n">
        <v>0.39190000295639</v>
      </c>
      <c r="G45" s="15" t="n">
        <v>2.34240007400513</v>
      </c>
      <c r="H45" s="16">
        <f>C45+E45</f>
        <v/>
      </c>
    </row>
    <row r="46">
      <c r="A46" s="12" t="n">
        <v>42072</v>
      </c>
      <c r="B46" s="15" t="n">
        <v>-0.236999990418553</v>
      </c>
      <c r="C46" s="15" t="n">
        <v>0.266999989748001</v>
      </c>
      <c r="D46" s="15" t="n">
        <v>2.23819994926453</v>
      </c>
      <c r="E46" s="15" t="n">
        <v>0.0338000971823931</v>
      </c>
      <c r="F46" s="15" t="n">
        <v>0.437599986791611</v>
      </c>
      <c r="G46" s="15" t="n">
        <v>2.30200004577637</v>
      </c>
      <c r="H46" s="16">
        <f>C46+E46</f>
        <v/>
      </c>
    </row>
    <row r="47">
      <c r="A47" s="12" t="n">
        <v>42073</v>
      </c>
      <c r="B47" s="15" t="n">
        <v>-0.254600005224347</v>
      </c>
      <c r="C47" s="15" t="n">
        <v>0.242400005459785</v>
      </c>
      <c r="D47" s="15" t="n">
        <v>2.22320008277893</v>
      </c>
      <c r="E47" s="15" t="n">
        <v>0.0280998963862658</v>
      </c>
      <c r="F47" s="15" t="n">
        <v>0.455799996852875</v>
      </c>
      <c r="G47" s="15" t="n">
        <v>2.23909997940063</v>
      </c>
      <c r="H47" s="16">
        <f>C47+E47</f>
        <v/>
      </c>
    </row>
    <row r="48">
      <c r="A48" s="12" t="n">
        <v>42074</v>
      </c>
      <c r="B48" s="15" t="n">
        <v>-0.262099996209145</v>
      </c>
      <c r="C48" s="15" t="n">
        <v>0.229599997401237</v>
      </c>
      <c r="D48" s="15" t="n">
        <v>2.21539998054504</v>
      </c>
      <c r="E48" s="15" t="n">
        <v>0.0254001319408417</v>
      </c>
      <c r="F48" s="15" t="n">
        <v>0.459100008010864</v>
      </c>
      <c r="G48" s="15" t="n">
        <v>2.20830011367798</v>
      </c>
      <c r="H48" s="16">
        <f>C48+E48</f>
        <v/>
      </c>
    </row>
    <row r="49">
      <c r="A49" s="12" t="n">
        <v>42075</v>
      </c>
      <c r="B49" s="15" t="n">
        <v>-0.266499996185303</v>
      </c>
      <c r="C49" s="15" t="n">
        <v>0.225999996066093</v>
      </c>
      <c r="D49" s="15" t="n">
        <v>2.21329998970032</v>
      </c>
      <c r="E49" s="15" t="n">
        <v>0.0242999345064163</v>
      </c>
      <c r="F49" s="15" t="n">
        <v>0.468699991703033</v>
      </c>
      <c r="G49" s="15" t="n">
        <v>2.19709992408752</v>
      </c>
      <c r="H49" s="16">
        <f>C49+E49</f>
        <v/>
      </c>
    </row>
    <row r="50">
      <c r="A50" s="12" t="n">
        <v>42076</v>
      </c>
      <c r="B50" s="15" t="n">
        <v>-0.258600000292063</v>
      </c>
      <c r="C50" s="15" t="n">
        <v>0.234200000762939</v>
      </c>
      <c r="D50" s="15" t="n">
        <v>2.21909999847412</v>
      </c>
      <c r="E50" s="15" t="n">
        <v>0.0260000266134739</v>
      </c>
      <c r="F50" s="15" t="n">
        <v>0.501600027084351</v>
      </c>
      <c r="G50" s="15" t="n">
        <v>2.22070002555847</v>
      </c>
      <c r="H50" s="16">
        <f>C50+E50</f>
        <v/>
      </c>
    </row>
    <row r="51">
      <c r="A51" s="12" t="n">
        <v>42079</v>
      </c>
      <c r="B51" s="15" t="n">
        <v>-0.261199999600649</v>
      </c>
      <c r="C51" s="15" t="n">
        <v>0.220899999141693</v>
      </c>
      <c r="D51" s="15" t="n">
        <v>2.21300005912781</v>
      </c>
      <c r="E51" s="15" t="n">
        <v>0.0224999077618122</v>
      </c>
      <c r="F51" s="15" t="n">
        <v>0.521399974822998</v>
      </c>
      <c r="G51" s="15" t="n">
        <v>2.19519996643066</v>
      </c>
      <c r="H51" s="16">
        <f>C51+E51</f>
        <v/>
      </c>
    </row>
    <row r="52">
      <c r="A52" s="12" t="n">
        <v>42080</v>
      </c>
      <c r="B52" s="15" t="n">
        <v>-0.270700000226498</v>
      </c>
      <c r="C52" s="15" t="n">
        <v>0.202600002288818</v>
      </c>
      <c r="D52" s="15" t="n">
        <v>2.20219993591309</v>
      </c>
      <c r="E52" s="15" t="n">
        <v>0.0183000788092613</v>
      </c>
      <c r="F52" s="15" t="n">
        <v>0.527199983596802</v>
      </c>
      <c r="G52" s="15" t="n">
        <v>2.15240001678467</v>
      </c>
      <c r="H52" s="16">
        <f>C52+E52</f>
        <v/>
      </c>
    </row>
    <row r="53">
      <c r="A53" s="12" t="n">
        <v>42081</v>
      </c>
      <c r="B53" s="15" t="n">
        <v>-0.319600000977516</v>
      </c>
      <c r="C53" s="15" t="n">
        <v>0.151999995112419</v>
      </c>
      <c r="D53" s="15" t="n">
        <v>2.1693000793457</v>
      </c>
      <c r="E53" s="15" t="n">
        <v>0.00680002570152283</v>
      </c>
      <c r="F53" s="15" t="n">
        <v>0.439000010490417</v>
      </c>
      <c r="G53" s="15" t="n">
        <v>2.00850009918213</v>
      </c>
      <c r="H53" s="16">
        <f>C53+E53</f>
        <v/>
      </c>
    </row>
    <row r="54">
      <c r="A54" s="12" t="n">
        <v>42082</v>
      </c>
      <c r="B54" s="15" t="n">
        <v>-0.301700010895729</v>
      </c>
      <c r="C54" s="15" t="n">
        <v>0.170200005173683</v>
      </c>
      <c r="D54" s="15" t="n">
        <v>2.18099999427795</v>
      </c>
      <c r="E54" s="15" t="n">
        <v>0.0111000537872314</v>
      </c>
      <c r="F54" s="15" t="n">
        <v>0.391699999570847</v>
      </c>
      <c r="G54" s="15" t="n">
        <v>2.06060004234314</v>
      </c>
      <c r="H54" s="16">
        <f>C54+E54</f>
        <v/>
      </c>
    </row>
    <row r="55">
      <c r="A55" s="12" t="n">
        <v>42083</v>
      </c>
      <c r="B55" s="15" t="n">
        <v>-0.317900002002716</v>
      </c>
      <c r="C55" s="15" t="n">
        <v>0.154799997806549</v>
      </c>
      <c r="D55" s="15" t="n">
        <v>2.17079997062683</v>
      </c>
      <c r="E55" s="15" t="n">
        <v>0.00749993324279785</v>
      </c>
      <c r="F55" s="15" t="n">
        <v>0.385399997234344</v>
      </c>
      <c r="G55" s="15" t="n">
        <v>2.01519989967346</v>
      </c>
      <c r="H55" s="16">
        <f>C55+E55</f>
        <v/>
      </c>
    </row>
    <row r="56">
      <c r="A56" s="12" t="n">
        <v>42086</v>
      </c>
      <c r="B56" s="15" t="n">
        <v>-0.321999996900558</v>
      </c>
      <c r="C56" s="15" t="n">
        <v>0.151600003242493</v>
      </c>
      <c r="D56" s="15" t="n">
        <v>2.16890001296997</v>
      </c>
      <c r="E56" s="15" t="n">
        <v>0.00669988989830017</v>
      </c>
      <c r="F56" s="15" t="n">
        <v>0.391400009393692</v>
      </c>
      <c r="G56" s="15" t="n">
        <v>2.00519990921021</v>
      </c>
      <c r="H56" s="16">
        <f>C56+E56</f>
        <v/>
      </c>
    </row>
    <row r="57">
      <c r="A57" s="12" t="n">
        <v>42087</v>
      </c>
      <c r="B57" s="15" t="n">
        <v>-0.334999993443489</v>
      </c>
      <c r="C57" s="15" t="n">
        <v>0.133799999952316</v>
      </c>
      <c r="D57" s="15" t="n">
        <v>2.15809988975525</v>
      </c>
      <c r="E57" s="15" t="n">
        <v>0.0026000589132309</v>
      </c>
      <c r="F57" s="15" t="n">
        <v>0.349000006914139</v>
      </c>
      <c r="G57" s="15" t="n">
        <v>1.95949995517731</v>
      </c>
      <c r="H57" s="16">
        <f>C57+E57</f>
        <v/>
      </c>
    </row>
    <row r="58">
      <c r="A58" s="12" t="n">
        <v>42088</v>
      </c>
      <c r="B58" s="15" t="n">
        <v>-0.320800006389618</v>
      </c>
      <c r="C58" s="15" t="n">
        <v>0.15090000629425</v>
      </c>
      <c r="D58" s="15" t="n">
        <v>2.16890001296997</v>
      </c>
      <c r="E58" s="15" t="n">
        <v>0.00639992952346802</v>
      </c>
      <c r="F58" s="15" t="n">
        <v>0.325399994850159</v>
      </c>
      <c r="G58" s="15" t="n">
        <v>2.00539994239807</v>
      </c>
      <c r="H58" s="16">
        <f>C58+E58</f>
        <v/>
      </c>
    </row>
    <row r="59">
      <c r="A59" s="12" t="n">
        <v>42089</v>
      </c>
      <c r="B59" s="15" t="n">
        <v>-0.292899996042252</v>
      </c>
      <c r="C59" s="15" t="n">
        <v>0.185399994254112</v>
      </c>
      <c r="D59" s="15" t="n">
        <v>2.19120001792908</v>
      </c>
      <c r="E59" s="15" t="n">
        <v>0.0140001028776169</v>
      </c>
      <c r="F59" s="15" t="n">
        <v>0.335500001907349</v>
      </c>
      <c r="G59" s="15" t="n">
        <v>2.09770011901855</v>
      </c>
      <c r="H59" s="16">
        <f>C59+E59</f>
        <v/>
      </c>
    </row>
    <row r="60">
      <c r="A60" s="12" t="n">
        <v>42090</v>
      </c>
      <c r="B60" s="15" t="n">
        <v>-0.310699999332428</v>
      </c>
      <c r="C60" s="15" t="n">
        <v>0.166299998760223</v>
      </c>
      <c r="D60" s="15" t="n">
        <v>2.17890000343323</v>
      </c>
      <c r="E60" s="15" t="n">
        <v>0.00969994068145752</v>
      </c>
      <c r="F60" s="15" t="n">
        <v>0.358500003814697</v>
      </c>
      <c r="G60" s="15" t="n">
        <v>2.04419994354248</v>
      </c>
      <c r="H60" s="16">
        <f>C60+E60</f>
        <v/>
      </c>
    </row>
    <row r="61">
      <c r="A61" s="12" t="n">
        <v>42093</v>
      </c>
      <c r="B61" s="15" t="n">
        <v>-0.30629999935627</v>
      </c>
      <c r="C61" s="15" t="n">
        <v>0.168999999761581</v>
      </c>
      <c r="D61" s="15" t="n">
        <v>2.1816999912262</v>
      </c>
      <c r="E61" s="15" t="n">
        <v>0.00999997556209564</v>
      </c>
      <c r="F61" s="15" t="n">
        <v>0.379900008440018</v>
      </c>
      <c r="G61" s="15" t="n">
        <v>2.0543999671936</v>
      </c>
      <c r="H61" s="16">
        <f>C61+E61</f>
        <v/>
      </c>
    </row>
    <row r="62">
      <c r="A62" s="12" t="n">
        <v>42094</v>
      </c>
      <c r="B62" s="15" t="n">
        <v>-0.316600009799004</v>
      </c>
      <c r="C62" s="15" t="n">
        <v>0.157100006937981</v>
      </c>
      <c r="D62" s="15" t="n">
        <v>2.17470002174377</v>
      </c>
      <c r="E62" s="15" t="n">
        <v>0.00700008869171143</v>
      </c>
      <c r="F62" s="15" t="n">
        <v>0.360199987888336</v>
      </c>
      <c r="G62" s="15" t="n">
        <v>2.02220010757446</v>
      </c>
      <c r="H62" s="16">
        <f>C62+E62</f>
        <v/>
      </c>
    </row>
    <row r="63">
      <c r="A63" s="12" t="n">
        <v>42095</v>
      </c>
      <c r="B63" s="15" t="n">
        <v>-0.338500007987022</v>
      </c>
      <c r="C63" s="15" t="n">
        <v>0.131500005722046</v>
      </c>
      <c r="D63" s="15" t="n">
        <v>2.15809988975525</v>
      </c>
      <c r="E63" s="15" t="n">
        <v>0.00130008161067963</v>
      </c>
      <c r="F63" s="15" t="n">
        <v>0.307900011539459</v>
      </c>
      <c r="G63" s="15" t="n">
        <v>1.95239996910095</v>
      </c>
      <c r="H63" s="16">
        <f>C63+E63</f>
        <v/>
      </c>
    </row>
    <row r="64">
      <c r="A64" s="12" t="n">
        <v>42096</v>
      </c>
      <c r="B64" s="15" t="n">
        <v>-0.328000009059906</v>
      </c>
      <c r="C64" s="15" t="n">
        <v>0.152400001883507</v>
      </c>
      <c r="D64" s="15" t="n">
        <v>2.17009997367859</v>
      </c>
      <c r="E64" s="15" t="n">
        <v>0.006100133061409</v>
      </c>
      <c r="F64" s="15" t="n">
        <v>0.317400008440018</v>
      </c>
      <c r="G64" s="15" t="n">
        <v>2.0006000995636</v>
      </c>
      <c r="H64" s="16">
        <f>C64+E64</f>
        <v/>
      </c>
    </row>
    <row r="65">
      <c r="A65" s="12" t="n">
        <v>42097</v>
      </c>
      <c r="B65" s="15" t="n">
        <v>-0.352899998426437</v>
      </c>
      <c r="C65" s="15" t="n">
        <v>0.125100001692772</v>
      </c>
      <c r="D65" s="15" t="n">
        <v>2.15289998054504</v>
      </c>
      <c r="E65" s="15" t="n">
        <v>-0.000199928879737854</v>
      </c>
      <c r="F65" s="15" t="n">
        <v>0.279300004243851</v>
      </c>
      <c r="G65" s="15" t="n">
        <v>1.92490005493164</v>
      </c>
      <c r="H65" s="16">
        <f>C65+E65</f>
        <v/>
      </c>
    </row>
    <row r="66">
      <c r="A66" s="12" t="n">
        <v>42100</v>
      </c>
      <c r="B66" s="15" t="n">
        <v>-0.332000002264977</v>
      </c>
      <c r="C66" s="15" t="n">
        <v>0.153400003910065</v>
      </c>
      <c r="D66" s="15" t="n">
        <v>2.17090010643005</v>
      </c>
      <c r="E66" s="15" t="n">
        <v>0.00589995086193085</v>
      </c>
      <c r="F66" s="15" t="n">
        <v>0.27700001001358</v>
      </c>
      <c r="G66" s="15" t="n">
        <v>1.99820005893707</v>
      </c>
      <c r="H66" s="16">
        <f>C66+E66</f>
        <v/>
      </c>
    </row>
    <row r="67">
      <c r="A67" s="12" t="n">
        <v>42101</v>
      </c>
      <c r="B67" s="15" t="n">
        <v>-0.33500000834465</v>
      </c>
      <c r="C67" s="15" t="n">
        <v>0.147100001573563</v>
      </c>
      <c r="D67" s="15" t="n">
        <v>2.16689991950989</v>
      </c>
      <c r="E67" s="15" t="n">
        <v>0.00480014085769653</v>
      </c>
      <c r="F67" s="15" t="n">
        <v>0.270300000905991</v>
      </c>
      <c r="G67" s="15" t="n">
        <v>1.9838000535965</v>
      </c>
      <c r="H67" s="16">
        <f>C67+E67</f>
        <v/>
      </c>
    </row>
    <row r="68">
      <c r="A68" s="12" t="n">
        <v>42102</v>
      </c>
      <c r="B68" s="15" t="n">
        <v>-0.328400000929832</v>
      </c>
      <c r="C68" s="15" t="n">
        <v>0.154699996113777</v>
      </c>
      <c r="D68" s="15" t="n">
        <v>2.17149996757507</v>
      </c>
      <c r="E68" s="15" t="n">
        <v>0.00660005211830139</v>
      </c>
      <c r="F68" s="15" t="n">
        <v>0.299299985170364</v>
      </c>
      <c r="G68" s="15" t="n">
        <v>2.00440001487732</v>
      </c>
      <c r="H68" s="16">
        <f>C68+E68</f>
        <v/>
      </c>
    </row>
    <row r="69">
      <c r="A69" s="12" t="n">
        <v>42103</v>
      </c>
      <c r="B69" s="15" t="n">
        <v>-0.312399998307228</v>
      </c>
      <c r="C69" s="15" t="n">
        <v>0.175200000405312</v>
      </c>
      <c r="D69" s="15" t="n">
        <v>2.18409991264343</v>
      </c>
      <c r="E69" s="15" t="n">
        <v>0.0114001035690308</v>
      </c>
      <c r="F69" s="15" t="n">
        <v>0.3158999979496</v>
      </c>
      <c r="G69" s="15" t="n">
        <v>2.05830001831055</v>
      </c>
      <c r="H69" s="16">
        <f>C69+E69</f>
        <v/>
      </c>
    </row>
    <row r="70">
      <c r="A70" s="12" t="n">
        <v>42104</v>
      </c>
      <c r="B70" s="15" t="n">
        <v>-0.313899993896484</v>
      </c>
      <c r="C70" s="15" t="n">
        <v>0.17399999499321</v>
      </c>
      <c r="D70" s="15" t="n">
        <v>2.1826000213623</v>
      </c>
      <c r="E70" s="15" t="n">
        <v>0.0111999809741974</v>
      </c>
      <c r="F70" s="15" t="n">
        <v>0.331999987363815</v>
      </c>
      <c r="G70" s="15" t="n">
        <v>2.05390000343323</v>
      </c>
      <c r="H70" s="16">
        <f>C70+E70</f>
        <v/>
      </c>
    </row>
    <row r="71">
      <c r="A71" s="12" t="n">
        <v>42107</v>
      </c>
      <c r="B71" s="15" t="n">
        <v>-0.318000003695488</v>
      </c>
      <c r="C71" s="15" t="n">
        <v>0.166199997067451</v>
      </c>
      <c r="D71" s="15" t="n">
        <v>2.1784999370575</v>
      </c>
      <c r="E71" s="15" t="n">
        <v>0.00939998030662537</v>
      </c>
      <c r="F71" s="15" t="n">
        <v>0.332300007343292</v>
      </c>
      <c r="G71" s="15" t="n">
        <v>2.03609991073608</v>
      </c>
      <c r="H71" s="16">
        <f>C71+E71</f>
        <v/>
      </c>
    </row>
    <row r="72">
      <c r="A72" s="12" t="n">
        <v>42108</v>
      </c>
      <c r="B72" s="15" t="n">
        <v>-0.33110000193119</v>
      </c>
      <c r="C72" s="15" t="n">
        <v>0.151399999856949</v>
      </c>
      <c r="D72" s="15" t="n">
        <v>2.16910004615784</v>
      </c>
      <c r="E72" s="15" t="n">
        <v>0.00590001046657562</v>
      </c>
      <c r="F72" s="15" t="n">
        <v>0.326200008392334</v>
      </c>
      <c r="G72" s="15" t="n">
        <v>1.99530005455017</v>
      </c>
      <c r="H72" s="16">
        <f>C72+E72</f>
        <v/>
      </c>
    </row>
    <row r="73">
      <c r="A73" s="12" t="n">
        <v>42109</v>
      </c>
      <c r="B73" s="15" t="n">
        <v>-0.336000010371208</v>
      </c>
      <c r="C73" s="15" t="n">
        <v>0.151600003242493</v>
      </c>
      <c r="D73" s="15" t="n">
        <v>2.16829991340637</v>
      </c>
      <c r="E73" s="15" t="n">
        <v>0.0060000866651535</v>
      </c>
      <c r="F73" s="15" t="n">
        <v>0.302599996328354</v>
      </c>
      <c r="G73" s="15" t="n">
        <v>1.98989999294281</v>
      </c>
      <c r="H73" s="16">
        <f>C73+E73</f>
        <v/>
      </c>
    </row>
    <row r="74">
      <c r="A74" s="12" t="n">
        <v>42110</v>
      </c>
      <c r="B74" s="15" t="n">
        <v>-0.340200006961823</v>
      </c>
      <c r="C74" s="15" t="n">
        <v>0.149800002574921</v>
      </c>
      <c r="D74" s="15" t="n">
        <v>2.16720008850098</v>
      </c>
      <c r="E74" s="15" t="n">
        <v>0.00549995899200439</v>
      </c>
      <c r="F74" s="15" t="n">
        <v>0.285100013017654</v>
      </c>
      <c r="G74" s="15" t="n">
        <v>1.98230004310608</v>
      </c>
      <c r="H74" s="16">
        <f>C74+E74</f>
        <v/>
      </c>
    </row>
    <row r="75">
      <c r="A75" s="12" t="n">
        <v>42111</v>
      </c>
      <c r="B75" s="15" t="n">
        <v>-0.345799997448921</v>
      </c>
      <c r="C75" s="15" t="n">
        <v>0.138400003314018</v>
      </c>
      <c r="D75" s="15" t="n">
        <v>2.16020011901855</v>
      </c>
      <c r="E75" s="15" t="n">
        <v>0.0029999315738678</v>
      </c>
      <c r="F75" s="15" t="n">
        <v>0.247500002384186</v>
      </c>
      <c r="G75" s="15" t="n">
        <v>1.95580005645752</v>
      </c>
      <c r="H75" s="16">
        <f>C75+E75</f>
        <v/>
      </c>
    </row>
    <row r="76">
      <c r="A76" s="12" t="n">
        <v>42114</v>
      </c>
      <c r="B76" s="15" t="n">
        <v>-0.334499999880791</v>
      </c>
      <c r="C76" s="15" t="n">
        <v>0.147900000214577</v>
      </c>
      <c r="D76" s="15" t="n">
        <v>2.16720008850098</v>
      </c>
      <c r="E76" s="15" t="n">
        <v>0.00489988923072815</v>
      </c>
      <c r="F76" s="15" t="n">
        <v>0.249899998307228</v>
      </c>
      <c r="G76" s="15" t="n">
        <v>1.98549997806549</v>
      </c>
      <c r="H76" s="16">
        <f>C76+E76</f>
        <v/>
      </c>
    </row>
    <row r="77">
      <c r="A77" s="12" t="n">
        <v>42115</v>
      </c>
      <c r="B77" s="15" t="n">
        <v>-0.326499998569489</v>
      </c>
      <c r="C77" s="15" t="n">
        <v>0.161400005221367</v>
      </c>
      <c r="D77" s="15" t="n">
        <v>2.17510008811951</v>
      </c>
      <c r="E77" s="15" t="n">
        <v>0.00819982588291168</v>
      </c>
      <c r="F77" s="15" t="n">
        <v>0.275000005960464</v>
      </c>
      <c r="G77" s="15" t="n">
        <v>2.0181999206543</v>
      </c>
      <c r="H77" s="16">
        <f>C77+E77</f>
        <v/>
      </c>
    </row>
    <row r="78">
      <c r="A78" s="12" t="n">
        <v>42116</v>
      </c>
      <c r="B78" s="15" t="n">
        <v>-0.304400004446507</v>
      </c>
      <c r="C78" s="15" t="n">
        <v>0.188500002026558</v>
      </c>
      <c r="D78" s="15" t="n">
        <v>2.19230008125305</v>
      </c>
      <c r="E78" s="15" t="n">
        <v>0.0142998322844505</v>
      </c>
      <c r="F78" s="15" t="n">
        <v>0.283800005912781</v>
      </c>
      <c r="G78" s="15" t="n">
        <v>2.09069991111755</v>
      </c>
      <c r="H78" s="16">
        <f>C78+E78</f>
        <v/>
      </c>
    </row>
    <row r="79">
      <c r="A79" s="12" t="n">
        <v>42117</v>
      </c>
      <c r="B79" s="15" t="n">
        <v>-0.318299993872643</v>
      </c>
      <c r="C79" s="15" t="n">
        <v>0.174300000071526</v>
      </c>
      <c r="D79" s="15" t="n">
        <v>2.18289995193481</v>
      </c>
      <c r="E79" s="15" t="n">
        <v>0.0110999941825867</v>
      </c>
      <c r="F79" s="15" t="n">
        <v>0.26240000128746</v>
      </c>
      <c r="G79" s="15" t="n">
        <v>2.04999995231628</v>
      </c>
      <c r="H79" s="16">
        <f>C79+E79</f>
        <v/>
      </c>
    </row>
    <row r="80">
      <c r="A80" s="12" t="n">
        <v>42118</v>
      </c>
      <c r="B80" s="15" t="n">
        <v>-0.325300008058548</v>
      </c>
      <c r="C80" s="15" t="n">
        <v>0.164100006222725</v>
      </c>
      <c r="D80" s="15" t="n">
        <v>2.17709994316101</v>
      </c>
      <c r="E80" s="15" t="n">
        <v>0.008599951863288879</v>
      </c>
      <c r="F80" s="15" t="n">
        <v>0.252400010824203</v>
      </c>
      <c r="G80" s="15" t="n">
        <v>2.02449989318848</v>
      </c>
      <c r="H80" s="16">
        <f>C80+E80</f>
        <v/>
      </c>
    </row>
    <row r="81">
      <c r="A81" s="12" t="n">
        <v>42121</v>
      </c>
      <c r="B81" s="15" t="n">
        <v>-0.322699993848801</v>
      </c>
      <c r="C81" s="15" t="n">
        <v>0.165099993348122</v>
      </c>
      <c r="D81" s="15" t="n">
        <v>2.17799997329712</v>
      </c>
      <c r="E81" s="15" t="n">
        <v>0.00869996845722198</v>
      </c>
      <c r="F81" s="15" t="n">
        <v>0.24719999730587</v>
      </c>
      <c r="G81" s="15" t="n">
        <v>2.02909994125366</v>
      </c>
      <c r="H81" s="16">
        <f>C81+E81</f>
        <v/>
      </c>
    </row>
    <row r="82">
      <c r="A82" s="12" t="n">
        <v>42122</v>
      </c>
      <c r="B82" s="15" t="n">
        <v>-0.305399999022484</v>
      </c>
      <c r="C82" s="15" t="n">
        <v>0.1908999979496</v>
      </c>
      <c r="D82" s="15" t="n">
        <v>2.19350004196167</v>
      </c>
      <c r="E82" s="15" t="n">
        <v>0.0146998912096024</v>
      </c>
      <c r="F82" s="15" t="n">
        <v>0.274199992418289</v>
      </c>
      <c r="G82" s="15" t="n">
        <v>2.09369993209839</v>
      </c>
      <c r="H82" s="16">
        <f>C82+E82</f>
        <v/>
      </c>
    </row>
    <row r="83">
      <c r="A83" s="12" t="n">
        <v>42123</v>
      </c>
      <c r="B83" s="15" t="n">
        <v>-0.291700005531311</v>
      </c>
      <c r="C83" s="15" t="n">
        <v>0.216700002551079</v>
      </c>
      <c r="D83" s="15" t="n">
        <v>2.20819997787476</v>
      </c>
      <c r="E83" s="15" t="n">
        <v>0.0208000689744949</v>
      </c>
      <c r="F83" s="15" t="n">
        <v>0.269499987363815</v>
      </c>
      <c r="G83" s="15" t="n">
        <v>2.15400004386902</v>
      </c>
      <c r="H83" s="16">
        <f>C83+E83</f>
        <v/>
      </c>
    </row>
    <row r="84">
      <c r="A84" s="12" t="n">
        <v>42124</v>
      </c>
      <c r="B84" s="15" t="n">
        <v>-0.294700004160404</v>
      </c>
      <c r="C84" s="15" t="n">
        <v>0.215800002217293</v>
      </c>
      <c r="D84" s="15" t="n">
        <v>2.20670008659363</v>
      </c>
      <c r="E84" s="15" t="n">
        <v>0.0208999142050743</v>
      </c>
      <c r="F84" s="15" t="n">
        <v>0.270999997854233</v>
      </c>
      <c r="G84" s="15" t="n">
        <v>2.14869999885559</v>
      </c>
      <c r="H84" s="16">
        <f>C84+E84</f>
        <v/>
      </c>
    </row>
    <row r="85">
      <c r="A85" s="12" t="n">
        <v>42125</v>
      </c>
      <c r="B85" s="15" t="n">
        <v>-0.272600006312132</v>
      </c>
      <c r="C85" s="15" t="n">
        <v>0.246900007128716</v>
      </c>
      <c r="D85" s="15" t="n">
        <v>2.22530007362366</v>
      </c>
      <c r="E85" s="15" t="n">
        <v>0.0280999206006527</v>
      </c>
      <c r="F85" s="15" t="n">
        <v>0.272700011730194</v>
      </c>
      <c r="G85" s="15" t="n">
        <v>2.22769999504089</v>
      </c>
      <c r="H85" s="16">
        <f>C85+E85</f>
        <v/>
      </c>
    </row>
    <row r="86">
      <c r="A86" s="12" t="n">
        <v>42128</v>
      </c>
      <c r="B86" s="15" t="n">
        <v>-0.260400010440208</v>
      </c>
      <c r="C86" s="15" t="n">
        <v>0.260300010442734</v>
      </c>
      <c r="D86" s="15" t="n">
        <v>2.23469996452332</v>
      </c>
      <c r="E86" s="15" t="n">
        <v>0.0307999683354865</v>
      </c>
      <c r="F86" s="15" t="n">
        <v>0.298400014638901</v>
      </c>
      <c r="G86" s="15" t="n">
        <v>2.26539993286133</v>
      </c>
      <c r="H86" s="16">
        <f>C86+E86</f>
        <v/>
      </c>
    </row>
    <row r="87">
      <c r="A87" s="12" t="n">
        <v>42129</v>
      </c>
      <c r="B87" s="15" t="n">
        <v>-0.252000004053116</v>
      </c>
      <c r="C87" s="15" t="n">
        <v>0.268700003623962</v>
      </c>
      <c r="D87" s="15" t="n">
        <v>2.24009990692139</v>
      </c>
      <c r="E87" s="15" t="n">
        <v>0.0329001247882843</v>
      </c>
      <c r="F87" s="15" t="n">
        <v>0.307300001382828</v>
      </c>
      <c r="G87" s="15" t="n">
        <v>2.28970003128052</v>
      </c>
      <c r="H87" s="16">
        <f>C87+E87</f>
        <v/>
      </c>
    </row>
    <row r="88">
      <c r="A88" s="12" t="n">
        <v>42130</v>
      </c>
      <c r="B88" s="15" t="n">
        <v>-0.234600003808737</v>
      </c>
      <c r="C88" s="15" t="n">
        <v>0.293300002813339</v>
      </c>
      <c r="D88" s="15" t="n">
        <v>2.25539994239807</v>
      </c>
      <c r="E88" s="15" t="n">
        <v>0.0383001230657101</v>
      </c>
      <c r="F88" s="15" t="n">
        <v>0.345099985599518</v>
      </c>
      <c r="G88" s="15" t="n">
        <v>2.35240006446838</v>
      </c>
      <c r="H88" s="16">
        <f>C88+E88</f>
        <v/>
      </c>
    </row>
    <row r="89">
      <c r="A89" s="12" t="n">
        <v>42131</v>
      </c>
      <c r="B89" s="15" t="n">
        <v>-0.251700000837445</v>
      </c>
      <c r="C89" s="15" t="n">
        <v>0.268500000238419</v>
      </c>
      <c r="D89" s="15" t="n">
        <v>2.23979997634888</v>
      </c>
      <c r="E89" s="15" t="n">
        <v>0.0328001249581575</v>
      </c>
      <c r="F89" s="15" t="n">
        <v>0.341800004243851</v>
      </c>
      <c r="G89" s="15" t="n">
        <v>2.28940010070801</v>
      </c>
      <c r="H89" s="16">
        <f>C89+E89</f>
        <v/>
      </c>
    </row>
    <row r="90">
      <c r="A90" s="12" t="n">
        <v>42132</v>
      </c>
      <c r="B90" s="15" t="n">
        <v>-0.263199992943555</v>
      </c>
      <c r="C90" s="15" t="n">
        <v>0.257499992847443</v>
      </c>
      <c r="D90" s="15" t="n">
        <v>2.23300004005432</v>
      </c>
      <c r="E90" s="15" t="n">
        <v>0.0300999958999455</v>
      </c>
      <c r="F90" s="15" t="n">
        <v>0.33840000629425</v>
      </c>
      <c r="G90" s="15" t="n">
        <v>2.25740003585815</v>
      </c>
      <c r="H90" s="16">
        <f>C90+E90</f>
        <v/>
      </c>
    </row>
    <row r="91">
      <c r="A91" s="12" t="n">
        <v>42135</v>
      </c>
      <c r="B91" s="15" t="n">
        <v>-0.226799987256527</v>
      </c>
      <c r="C91" s="15" t="n">
        <v>0.303799986839294</v>
      </c>
      <c r="D91" s="15" t="n">
        <v>2.26259994506836</v>
      </c>
      <c r="E91" s="15" t="n">
        <v>0.0404001697897911</v>
      </c>
      <c r="F91" s="15" t="n">
        <v>0.371800005435944</v>
      </c>
      <c r="G91" s="15" t="n">
        <v>2.38000011444092</v>
      </c>
      <c r="H91" s="16">
        <f>C91+E91</f>
        <v/>
      </c>
    </row>
    <row r="92">
      <c r="A92" s="12" t="n">
        <v>42136</v>
      </c>
      <c r="B92" s="15" t="n">
        <v>-0.227799996733665</v>
      </c>
      <c r="C92" s="15" t="n">
        <v>0.30460000038147</v>
      </c>
      <c r="D92" s="15" t="n">
        <v>2.26300001144409</v>
      </c>
      <c r="E92" s="15" t="n">
        <v>0.0405000299215317</v>
      </c>
      <c r="F92" s="15" t="n">
        <v>0.369599997997284</v>
      </c>
      <c r="G92" s="15" t="n">
        <v>2.38030004501343</v>
      </c>
      <c r="H92" s="16">
        <f>C92+E92</f>
        <v/>
      </c>
    </row>
    <row r="93">
      <c r="A93" s="12" t="n">
        <v>42137</v>
      </c>
      <c r="B93" s="15" t="n">
        <v>-0.225899994373322</v>
      </c>
      <c r="C93" s="15" t="n">
        <v>0.312099993228912</v>
      </c>
      <c r="D93" s="15" t="n">
        <v>2.26780009269714</v>
      </c>
      <c r="E93" s="15" t="n">
        <v>0.0418999195098877</v>
      </c>
      <c r="F93" s="15" t="n">
        <v>0.341699987649918</v>
      </c>
      <c r="G93" s="15" t="n">
        <v>2.39590001106262</v>
      </c>
      <c r="H93" s="16">
        <f>C93+E93</f>
        <v/>
      </c>
    </row>
    <row r="94">
      <c r="A94" s="12" t="n">
        <v>42138</v>
      </c>
      <c r="B94" s="15" t="n">
        <v>-0.240599993616343</v>
      </c>
      <c r="C94" s="15" t="n">
        <v>0.299699991941452</v>
      </c>
      <c r="D94" s="15" t="n">
        <v>2.25979995727539</v>
      </c>
      <c r="E94" s="15" t="n">
        <v>0.038900051265955</v>
      </c>
      <c r="F94" s="15" t="n">
        <v>0.358399987220764</v>
      </c>
      <c r="G94" s="15" t="n">
        <v>2.35780000686646</v>
      </c>
      <c r="H94" s="16">
        <f>C94+E94</f>
        <v/>
      </c>
    </row>
    <row r="95">
      <c r="A95" s="12" t="n">
        <v>42139</v>
      </c>
      <c r="B95" s="15" t="n">
        <v>-0.262200009077787</v>
      </c>
      <c r="C95" s="15" t="n">
        <v>0.265500009059906</v>
      </c>
      <c r="D95" s="15" t="n">
        <v>2.23939990997314</v>
      </c>
      <c r="E95" s="15" t="n">
        <v>0.0310000889003277</v>
      </c>
      <c r="F95" s="15" t="n">
        <v>0.347400009632111</v>
      </c>
      <c r="G95" s="15" t="n">
        <v>2.27369999885559</v>
      </c>
      <c r="H95" s="16">
        <f>C95+E95</f>
        <v/>
      </c>
    </row>
    <row r="96">
      <c r="A96" s="12" t="n">
        <v>42142</v>
      </c>
      <c r="B96" s="15" t="n">
        <v>-0.238299999386072</v>
      </c>
      <c r="C96" s="15" t="n">
        <v>0.296700000762939</v>
      </c>
      <c r="D96" s="15" t="n">
        <v>2.25859999656677</v>
      </c>
      <c r="E96" s="15" t="n">
        <v>0.0382000543177128</v>
      </c>
      <c r="F96" s="15" t="n">
        <v>0.361200004816055</v>
      </c>
      <c r="G96" s="15" t="n">
        <v>2.35520005226135</v>
      </c>
      <c r="H96" s="16">
        <f>C96+E96</f>
        <v/>
      </c>
    </row>
    <row r="97">
      <c r="A97" s="12" t="n">
        <v>42143</v>
      </c>
      <c r="B97" s="15" t="n">
        <v>-0.223300002515316</v>
      </c>
      <c r="C97" s="15" t="n">
        <v>0.316100001335144</v>
      </c>
      <c r="D97" s="15" t="n">
        <v>2.26979994773865</v>
      </c>
      <c r="E97" s="15" t="n">
        <v>0.0430001243948936</v>
      </c>
      <c r="F97" s="15" t="n">
        <v>0.378899991512299</v>
      </c>
      <c r="G97" s="15" t="n">
        <v>2.40560007095337</v>
      </c>
      <c r="H97" s="16">
        <f>C97+E97</f>
        <v/>
      </c>
    </row>
    <row r="98">
      <c r="A98" s="12" t="n">
        <v>42144</v>
      </c>
      <c r="B98" s="15" t="n">
        <v>-0.230699993669987</v>
      </c>
      <c r="C98" s="15" t="n">
        <v>0.30689999461174</v>
      </c>
      <c r="D98" s="15" t="n">
        <v>2.26410007476807</v>
      </c>
      <c r="E98" s="15" t="n">
        <v>0.0408999994397163</v>
      </c>
      <c r="F98" s="15" t="n">
        <v>0.361000001430511</v>
      </c>
      <c r="G98" s="15" t="n">
        <v>2.38120007514954</v>
      </c>
      <c r="H98" s="16">
        <f>C98+E98</f>
        <v/>
      </c>
    </row>
    <row r="99">
      <c r="A99" s="12" t="n">
        <v>42145</v>
      </c>
      <c r="B99" s="15" t="n">
        <v>-0.25050000846386</v>
      </c>
      <c r="C99" s="15" t="n">
        <v>0.282200008630753</v>
      </c>
      <c r="D99" s="15" t="n">
        <v>2.24830007553101</v>
      </c>
      <c r="E99" s="15" t="n">
        <v>0.0353998094797134</v>
      </c>
      <c r="F99" s="15" t="n">
        <v>0.357800006866455</v>
      </c>
      <c r="G99" s="15" t="n">
        <v>2.31539988517761</v>
      </c>
      <c r="H99" s="16">
        <f>C99+E99</f>
        <v/>
      </c>
    </row>
    <row r="100">
      <c r="A100" s="12" t="n">
        <v>42146</v>
      </c>
      <c r="B100" s="15" t="n">
        <v>-0.238400012254715</v>
      </c>
      <c r="C100" s="15" t="n">
        <v>0.290300011634827</v>
      </c>
      <c r="D100" s="15" t="n">
        <v>2.25390005111694</v>
      </c>
      <c r="E100" s="15" t="n">
        <v>0.0373000204563141</v>
      </c>
      <c r="F100" s="15" t="n">
        <v>0.349900007247925</v>
      </c>
      <c r="G100" s="15" t="n">
        <v>2.34310007095337</v>
      </c>
      <c r="H100" s="16">
        <f>C100+E100</f>
        <v/>
      </c>
    </row>
    <row r="101">
      <c r="A101" s="12" t="n">
        <v>42150</v>
      </c>
      <c r="B101" s="15" t="n">
        <v>-0.256899987347424</v>
      </c>
      <c r="C101" s="15" t="n">
        <v>0.260699987411499</v>
      </c>
      <c r="D101" s="15" t="n">
        <v>2.23569989204407</v>
      </c>
      <c r="E101" s="15" t="n">
        <v>0.0308000193908811</v>
      </c>
      <c r="F101" s="15" t="n">
        <v>0.381900012493134</v>
      </c>
      <c r="G101" s="15" t="n">
        <v>2.27029991149902</v>
      </c>
      <c r="H101" s="16">
        <f>C101+E101</f>
        <v/>
      </c>
    </row>
    <row r="102">
      <c r="A102" s="12" t="n">
        <v>42151</v>
      </c>
      <c r="B102" s="15" t="n">
        <v>-0.25810000882484</v>
      </c>
      <c r="C102" s="15" t="n">
        <v>0.255800008773804</v>
      </c>
      <c r="D102" s="15" t="n">
        <v>2.23280000686646</v>
      </c>
      <c r="E102" s="15" t="n">
        <v>0.029799914220348</v>
      </c>
      <c r="F102" s="15" t="n">
        <v>0.40599998831749</v>
      </c>
      <c r="G102" s="15" t="n">
        <v>2.26029992103577</v>
      </c>
      <c r="H102" s="16">
        <f>C102+E102</f>
        <v/>
      </c>
    </row>
    <row r="103">
      <c r="A103" s="12" t="n">
        <v>42152</v>
      </c>
      <c r="B103" s="15" t="n">
        <v>-0.262900015339255</v>
      </c>
      <c r="C103" s="15" t="n">
        <v>0.254400014877319</v>
      </c>
      <c r="D103" s="15" t="n">
        <v>2.23140001296997</v>
      </c>
      <c r="E103" s="15" t="n">
        <v>0.0294999089092016</v>
      </c>
      <c r="F103" s="15" t="n">
        <v>0.414700001478195</v>
      </c>
      <c r="G103" s="15" t="n">
        <v>2.25239992141724</v>
      </c>
      <c r="H103" s="16">
        <f>C103+E103</f>
        <v/>
      </c>
    </row>
    <row r="104">
      <c r="A104" s="12" t="n">
        <v>42153</v>
      </c>
      <c r="B104" s="15" t="n">
        <v>-0.271700005978346</v>
      </c>
      <c r="C104" s="15" t="n">
        <v>0.249500006437302</v>
      </c>
      <c r="D104" s="15" t="n">
        <v>2.22729992866516</v>
      </c>
      <c r="E104" s="15" t="n">
        <v>0.0284999720752239</v>
      </c>
      <c r="F104" s="15" t="n">
        <v>0.39190000295639</v>
      </c>
      <c r="G104" s="15" t="n">
        <v>2.23359990119934</v>
      </c>
      <c r="H104" s="16">
        <f>C104+E104</f>
        <v/>
      </c>
    </row>
    <row r="105">
      <c r="A105" s="12" t="n">
        <v>42156</v>
      </c>
      <c r="B105" s="15" t="n">
        <v>-0.249300012364984</v>
      </c>
      <c r="C105" s="15" t="n">
        <v>0.276300013065338</v>
      </c>
      <c r="D105" s="15" t="n">
        <v>2.24440002441406</v>
      </c>
      <c r="E105" s="15" t="n">
        <v>0.0345000717788935</v>
      </c>
      <c r="F105" s="15" t="n">
        <v>0.416900008916855</v>
      </c>
      <c r="G105" s="15" t="n">
        <v>2.30590009689331</v>
      </c>
      <c r="H105" s="16">
        <f>C105+E105</f>
        <v/>
      </c>
    </row>
    <row r="106">
      <c r="A106" s="12" t="n">
        <v>42157</v>
      </c>
      <c r="B106" s="15" t="n">
        <v>-0.227099999785423</v>
      </c>
      <c r="C106" s="15" t="n">
        <v>0.307099997997284</v>
      </c>
      <c r="D106" s="15" t="n">
        <v>2.26340007781982</v>
      </c>
      <c r="E106" s="15" t="n">
        <v>0.041599914431572</v>
      </c>
      <c r="F106" s="15" t="n">
        <v>0.416599988937378</v>
      </c>
      <c r="G106" s="15" t="n">
        <v>2.38499999046326</v>
      </c>
      <c r="H106" s="16">
        <f>C106+E106</f>
        <v/>
      </c>
    </row>
    <row r="107">
      <c r="A107" s="12" t="n">
        <v>42158</v>
      </c>
      <c r="B107" s="15" t="n">
        <v>-0.194700002670288</v>
      </c>
      <c r="C107" s="15" t="n">
        <v>0.352600008249283</v>
      </c>
      <c r="D107" s="15" t="n">
        <v>2.29139995574951</v>
      </c>
      <c r="E107" s="15" t="n">
        <v>0.0518999993801117</v>
      </c>
      <c r="F107" s="15" t="n">
        <v>0.4375</v>
      </c>
      <c r="G107" s="15" t="n">
        <v>2.50119996070862</v>
      </c>
      <c r="H107" s="16">
        <f>C107+E107</f>
        <v/>
      </c>
    </row>
    <row r="108">
      <c r="A108" s="12" t="n">
        <v>42159</v>
      </c>
      <c r="B108" s="15" t="n">
        <v>-0.214000001549721</v>
      </c>
      <c r="C108" s="15" t="n">
        <v>0.32490000128746</v>
      </c>
      <c r="D108" s="15" t="n">
        <v>2.27439999580383</v>
      </c>
      <c r="E108" s="15" t="n">
        <v>0.0454999655485153</v>
      </c>
      <c r="F108" s="15" t="n">
        <v>0.433200001716614</v>
      </c>
      <c r="G108" s="15" t="n">
        <v>2.43079996109009</v>
      </c>
      <c r="H108" s="16">
        <f>C108+E108</f>
        <v/>
      </c>
    </row>
    <row r="109">
      <c r="A109" s="12" t="n">
        <v>42160</v>
      </c>
      <c r="B109" s="15" t="n">
        <v>-0.184000015258789</v>
      </c>
      <c r="C109" s="15" t="n">
        <v>0.358900010585785</v>
      </c>
      <c r="D109" s="15" t="n">
        <v>2.29570007324219</v>
      </c>
      <c r="E109" s="15" t="n">
        <v>0.0534999966621399</v>
      </c>
      <c r="F109" s="15" t="n">
        <v>0.425700008869171</v>
      </c>
      <c r="G109" s="15" t="n">
        <v>2.52410006523132</v>
      </c>
      <c r="H109" s="16">
        <f>C109+E109</f>
        <v/>
      </c>
    </row>
    <row r="110">
      <c r="A110" s="12" t="n">
        <v>42163</v>
      </c>
      <c r="B110" s="15" t="n">
        <v>-0.189500004053116</v>
      </c>
      <c r="C110" s="15" t="n">
        <v>0.353100001811981</v>
      </c>
      <c r="D110" s="15" t="n">
        <v>2.29220008850098</v>
      </c>
      <c r="E110" s="15" t="n">
        <v>0.0520999133586884</v>
      </c>
      <c r="F110" s="15" t="n">
        <v>0.419299989938736</v>
      </c>
      <c r="G110" s="15" t="n">
        <v>2.50789999961853</v>
      </c>
      <c r="H110" s="16">
        <f>C110+E110</f>
        <v/>
      </c>
    </row>
    <row r="111">
      <c r="A111" s="12" t="n">
        <v>42164</v>
      </c>
      <c r="B111" s="15" t="n">
        <v>-0.181900009512901</v>
      </c>
      <c r="C111" s="15" t="n">
        <v>0.365200012922287</v>
      </c>
      <c r="D111" s="15" t="n">
        <v>2.29929995536804</v>
      </c>
      <c r="E111" s="15" t="n">
        <v>0.0548000484704971</v>
      </c>
      <c r="F111" s="15" t="n">
        <v>0.419099986553192</v>
      </c>
      <c r="G111" s="15" t="n">
        <v>2.53740000724792</v>
      </c>
      <c r="H111" s="16">
        <f>C111+E111</f>
        <v/>
      </c>
    </row>
    <row r="112">
      <c r="A112" s="12" t="n">
        <v>42165</v>
      </c>
      <c r="B112" s="15" t="n">
        <v>-0.159199997782707</v>
      </c>
      <c r="C112" s="15" t="n">
        <v>0.390599995851517</v>
      </c>
      <c r="D112" s="15" t="n">
        <v>2.31599998474121</v>
      </c>
      <c r="E112" s="15" t="n">
        <v>0.0604999214410782</v>
      </c>
      <c r="F112" s="15" t="n">
        <v>0.435600012540817</v>
      </c>
      <c r="G112" s="15" t="n">
        <v>2.6078999042511</v>
      </c>
      <c r="H112" s="16">
        <f>C112+E112</f>
        <v/>
      </c>
    </row>
    <row r="113">
      <c r="A113" s="12" t="n">
        <v>42166</v>
      </c>
      <c r="B113" s="15" t="n">
        <v>-0.185999989509583</v>
      </c>
      <c r="C113" s="15" t="n">
        <v>0.352999985218048</v>
      </c>
      <c r="D113" s="15" t="n">
        <v>2.29259991645813</v>
      </c>
      <c r="E113" s="15" t="n">
        <v>0.052000105381012</v>
      </c>
      <c r="F113" s="15" t="n">
        <v>0.439500004053116</v>
      </c>
      <c r="G113" s="15" t="n">
        <v>2.51160001754761</v>
      </c>
      <c r="H113" s="16">
        <f>C113+E113</f>
        <v/>
      </c>
    </row>
    <row r="114">
      <c r="A114" s="12" t="n">
        <v>42167</v>
      </c>
      <c r="B114" s="15" t="n">
        <v>-0.185799986124039</v>
      </c>
      <c r="C114" s="15" t="n">
        <v>0.349799990653992</v>
      </c>
      <c r="D114" s="15" t="n">
        <v>2.29069995880127</v>
      </c>
      <c r="E114" s="15" t="n">
        <v>0.0513999760150909</v>
      </c>
      <c r="F114" s="15" t="n">
        <v>0.436300009489059</v>
      </c>
      <c r="G114" s="15" t="n">
        <v>2.50609993934631</v>
      </c>
      <c r="H114" s="16">
        <f>C114+E114</f>
        <v/>
      </c>
    </row>
    <row r="115">
      <c r="A115" s="12" t="n">
        <v>42170</v>
      </c>
      <c r="B115" s="15" t="n">
        <v>-0.195499986410141</v>
      </c>
      <c r="C115" s="15" t="n">
        <v>0.335599988698959</v>
      </c>
      <c r="D115" s="15" t="n">
        <v>2.28229999542236</v>
      </c>
      <c r="E115" s="15" t="n">
        <v>0.0480999946594238</v>
      </c>
      <c r="F115" s="15" t="n">
        <v>0.423400014638901</v>
      </c>
      <c r="G115" s="15" t="n">
        <v>2.47049999237061</v>
      </c>
      <c r="H115" s="16">
        <f>C115+E115</f>
        <v/>
      </c>
    </row>
    <row r="116">
      <c r="A116" s="12" t="n">
        <v>42171</v>
      </c>
      <c r="B116" s="15" t="n">
        <v>-0.207899987697601</v>
      </c>
      <c r="C116" s="15" t="n">
        <v>0.317999988794327</v>
      </c>
      <c r="D116" s="15" t="n">
        <v>2.27160000801086</v>
      </c>
      <c r="E116" s="15" t="n">
        <v>0.0439999401569366</v>
      </c>
      <c r="F116" s="15" t="n">
        <v>0.378600001335144</v>
      </c>
      <c r="G116" s="15" t="n">
        <v>2.42569994926453</v>
      </c>
      <c r="H116" s="16">
        <f>C116+E116</f>
        <v/>
      </c>
    </row>
    <row r="117">
      <c r="A117" s="12" t="n">
        <v>42172</v>
      </c>
      <c r="B117" s="15" t="n">
        <v>-0.214200004935265</v>
      </c>
      <c r="C117" s="15" t="n">
        <v>0.317900002002716</v>
      </c>
      <c r="D117" s="15" t="n">
        <v>2.27130007743835</v>
      </c>
      <c r="E117" s="15" t="n">
        <v>0.0438000410795212</v>
      </c>
      <c r="F117" s="15" t="n">
        <v>0.358399987220764</v>
      </c>
      <c r="G117" s="15" t="n">
        <v>2.41880011558533</v>
      </c>
      <c r="H117" s="16">
        <f>C117+E117</f>
        <v/>
      </c>
    </row>
    <row r="118">
      <c r="A118" s="12" t="n">
        <v>42173</v>
      </c>
      <c r="B118" s="15" t="n">
        <v>-0.206099987030029</v>
      </c>
      <c r="C118" s="15" t="n">
        <v>0.336699992418289</v>
      </c>
      <c r="D118" s="15" t="n">
        <v>2.28229999542236</v>
      </c>
      <c r="E118" s="15" t="n">
        <v>0.0478999316692352</v>
      </c>
      <c r="F118" s="15" t="n">
        <v>0.375299990177155</v>
      </c>
      <c r="G118" s="15" t="n">
        <v>2.46079993247986</v>
      </c>
      <c r="H118" s="16">
        <f>C118+E118</f>
        <v/>
      </c>
    </row>
    <row r="119">
      <c r="A119" s="12" t="n">
        <v>42174</v>
      </c>
      <c r="B119" s="15" t="n">
        <v>-0.234199993312359</v>
      </c>
      <c r="C119" s="15" t="n">
        <v>0.307599991559982</v>
      </c>
      <c r="D119" s="15" t="n">
        <v>2.26259994506836</v>
      </c>
      <c r="E119" s="15" t="n">
        <v>0.0417001470923424</v>
      </c>
      <c r="F119" s="15" t="n">
        <v>0.377400010824203</v>
      </c>
      <c r="G119" s="15" t="n">
        <v>2.37770009040833</v>
      </c>
      <c r="H119" s="16">
        <f>C119+E119</f>
        <v/>
      </c>
    </row>
    <row r="120">
      <c r="A120" s="12" t="n">
        <v>42177</v>
      </c>
      <c r="B120" s="15" t="n">
        <v>-0.200099989771843</v>
      </c>
      <c r="C120" s="15" t="n">
        <v>0.344199985265732</v>
      </c>
      <c r="D120" s="15" t="n">
        <v>2.28670001029968</v>
      </c>
      <c r="E120" s="15" t="n">
        <v>0.0496999770402908</v>
      </c>
      <c r="F120" s="15" t="n">
        <v>0.376800000667572</v>
      </c>
      <c r="G120" s="15" t="n">
        <v>2.48049998283386</v>
      </c>
      <c r="H120" s="16">
        <f>C120+E120</f>
        <v/>
      </c>
    </row>
    <row r="121">
      <c r="A121" s="12" t="n">
        <v>42178</v>
      </c>
      <c r="B121" s="15" t="n">
        <v>-0.185799986124039</v>
      </c>
      <c r="C121" s="15" t="n">
        <v>0.361299991607666</v>
      </c>
      <c r="D121" s="15" t="n">
        <v>2.29780006408691</v>
      </c>
      <c r="E121" s="15" t="n">
        <v>0.053499847650528</v>
      </c>
      <c r="F121" s="15" t="n">
        <v>0.374900013208389</v>
      </c>
      <c r="G121" s="15" t="n">
        <v>2.52679991722107</v>
      </c>
      <c r="H121" s="16">
        <f>C121+E121</f>
        <v/>
      </c>
    </row>
    <row r="122">
      <c r="A122" s="12" t="n">
        <v>42179</v>
      </c>
      <c r="B122" s="15" t="n">
        <v>-0.194600000977516</v>
      </c>
      <c r="C122" s="15" t="n">
        <v>0.351700007915497</v>
      </c>
      <c r="D122" s="15" t="n">
        <v>2.29130005836487</v>
      </c>
      <c r="E122" s="15" t="n">
        <v>0.051399901509285</v>
      </c>
      <c r="F122" s="15" t="n">
        <v>0.373800009489059</v>
      </c>
      <c r="G122" s="15" t="n">
        <v>2.49979996681213</v>
      </c>
      <c r="H122" s="16">
        <f>C122+E122</f>
        <v/>
      </c>
    </row>
    <row r="123">
      <c r="A123" s="12" t="n">
        <v>42180</v>
      </c>
      <c r="B123" s="15" t="n">
        <v>-0.19149999320507</v>
      </c>
      <c r="C123" s="15" t="n">
        <v>0.358300000429153</v>
      </c>
      <c r="D123" s="15" t="n">
        <v>2.29480004310608</v>
      </c>
      <c r="E123" s="15" t="n">
        <v>0.0532000213861465</v>
      </c>
      <c r="F123" s="15" t="n">
        <v>0.37950000166893</v>
      </c>
      <c r="G123" s="15" t="n">
        <v>2.51480007171631</v>
      </c>
      <c r="H123" s="16">
        <f>C123+E123</f>
        <v/>
      </c>
    </row>
    <row r="124">
      <c r="A124" s="12" t="n">
        <v>42181</v>
      </c>
      <c r="B124" s="15" t="n">
        <v>-0.166899994015694</v>
      </c>
      <c r="C124" s="15" t="n">
        <v>0.390799999237061</v>
      </c>
      <c r="D124" s="15" t="n">
        <v>2.31529998779297</v>
      </c>
      <c r="E124" s="15" t="n">
        <v>0.0602999478578568</v>
      </c>
      <c r="F124" s="15" t="n">
        <v>0.392300009727478</v>
      </c>
      <c r="G124" s="15" t="n">
        <v>2.59949994087219</v>
      </c>
      <c r="H124" s="16">
        <f>C124+E124</f>
        <v/>
      </c>
    </row>
    <row r="125">
      <c r="A125" s="12" t="n">
        <v>42184</v>
      </c>
      <c r="B125" s="15" t="n">
        <v>-0.208999983966351</v>
      </c>
      <c r="C125" s="15" t="n">
        <v>0.331099987030029</v>
      </c>
      <c r="D125" s="15" t="n">
        <v>2.27970004081726</v>
      </c>
      <c r="E125" s="15" t="n">
        <v>0.046300046145916</v>
      </c>
      <c r="F125" s="15" t="n">
        <v>0.384900003671646</v>
      </c>
      <c r="G125" s="15" t="n">
        <v>2.44810009002686</v>
      </c>
      <c r="H125" s="16">
        <f>C125+E125</f>
        <v/>
      </c>
    </row>
    <row r="126">
      <c r="A126" s="12" t="n">
        <v>42185</v>
      </c>
      <c r="B126" s="15" t="n">
        <v>-0.204099997878075</v>
      </c>
      <c r="C126" s="15" t="n">
        <v>0.334899991750717</v>
      </c>
      <c r="D126" s="15" t="n">
        <v>2.28290009498596</v>
      </c>
      <c r="E126" s="15" t="n">
        <v>0.0469999462366104</v>
      </c>
      <c r="F126" s="15" t="n">
        <v>0.394199997186661</v>
      </c>
      <c r="G126" s="15" t="n">
        <v>2.46070003509521</v>
      </c>
      <c r="H126" s="16">
        <f>C126+E126</f>
        <v/>
      </c>
    </row>
    <row r="127">
      <c r="A127" s="12" t="n">
        <v>42186</v>
      </c>
      <c r="B127" s="15" t="n">
        <v>-0.176199987530708</v>
      </c>
      <c r="C127" s="15" t="n">
        <v>0.36489999294281</v>
      </c>
      <c r="D127" s="15" t="n">
        <v>2.30279994010925</v>
      </c>
      <c r="E127" s="15" t="n">
        <v>0.0536000281572342</v>
      </c>
      <c r="F127" s="15" t="n">
        <v>0.400799989700317</v>
      </c>
      <c r="G127" s="15" t="n">
        <v>2.54509997367859</v>
      </c>
      <c r="H127" s="16">
        <f>C127+E127</f>
        <v/>
      </c>
    </row>
    <row r="128">
      <c r="A128" s="12" t="n">
        <v>42187</v>
      </c>
      <c r="B128" s="15" t="n">
        <v>-0.194000005722046</v>
      </c>
      <c r="C128" s="15" t="n">
        <v>0.353700011968613</v>
      </c>
      <c r="D128" s="15" t="n">
        <v>2.2943000793457</v>
      </c>
      <c r="E128" s="15" t="n">
        <v>0.0510999262332916</v>
      </c>
      <c r="F128" s="15" t="n">
        <v>0.376199990510941</v>
      </c>
      <c r="G128" s="15" t="n">
        <v>2.50510001182556</v>
      </c>
      <c r="H128" s="16">
        <f>C128+E128</f>
        <v/>
      </c>
    </row>
    <row r="129">
      <c r="A129" s="12" t="n">
        <v>42191</v>
      </c>
      <c r="B129" s="15" t="n">
        <v>-0.223899990320206</v>
      </c>
      <c r="C129" s="15" t="n">
        <v>0.318199992179871</v>
      </c>
      <c r="D129" s="15" t="n">
        <v>2.27169990539551</v>
      </c>
      <c r="E129" s="15" t="n">
        <v>0.0432000458240509</v>
      </c>
      <c r="F129" s="15" t="n">
        <v>0.378699988126755</v>
      </c>
      <c r="G129" s="15" t="n">
        <v>2.40919995307922</v>
      </c>
      <c r="H129" s="16">
        <f>C129+E129</f>
        <v/>
      </c>
    </row>
    <row r="130">
      <c r="A130" s="12" t="n">
        <v>42192</v>
      </c>
      <c r="B130" s="15" t="n">
        <v>-0.233999989926815</v>
      </c>
      <c r="C130" s="15" t="n">
        <v>0.30469998717308</v>
      </c>
      <c r="D130" s="15" t="n">
        <v>2.26309990882874</v>
      </c>
      <c r="E130" s="15" t="n">
        <v>0.0401000306010246</v>
      </c>
      <c r="F130" s="15" t="n">
        <v>0.375299990177155</v>
      </c>
      <c r="G130" s="15" t="n">
        <v>2.37389993667603</v>
      </c>
      <c r="H130" s="16">
        <f>C130+E130</f>
        <v/>
      </c>
    </row>
    <row r="131">
      <c r="A131" s="12" t="n">
        <v>42193</v>
      </c>
      <c r="B131" s="15" t="n">
        <v>-0.250199992209673</v>
      </c>
      <c r="C131" s="15" t="n">
        <v>0.284799993038177</v>
      </c>
      <c r="D131" s="15" t="n">
        <v>2.25069999694824</v>
      </c>
      <c r="E131" s="15" t="n">
        <v>0.0355999656021595</v>
      </c>
      <c r="F131" s="15" t="n">
        <v>0.392100006341934</v>
      </c>
      <c r="G131" s="15" t="n">
        <v>2.32089996337891</v>
      </c>
      <c r="H131" s="16">
        <f>C131+E131</f>
        <v/>
      </c>
    </row>
    <row r="132">
      <c r="A132" s="12" t="n">
        <v>42194</v>
      </c>
      <c r="B132" s="15" t="n">
        <v>-0.221399992704391</v>
      </c>
      <c r="C132" s="15" t="n">
        <v>0.322699993848801</v>
      </c>
      <c r="D132" s="15" t="n">
        <v>2.27449989318848</v>
      </c>
      <c r="E132" s="15" t="n">
        <v>0.0440001487731934</v>
      </c>
      <c r="F132" s="15" t="n">
        <v>0.405800014734268</v>
      </c>
      <c r="G132" s="15" t="n">
        <v>2.41980004310608</v>
      </c>
      <c r="H132" s="16">
        <f>C132+E132</f>
        <v/>
      </c>
    </row>
    <row r="133">
      <c r="A133" s="12" t="n">
        <v>42195</v>
      </c>
      <c r="B133" s="15" t="n">
        <v>-0.1875</v>
      </c>
      <c r="C133" s="15" t="n">
        <v>0.363299995660782</v>
      </c>
      <c r="D133" s="15" t="n">
        <v>2.29999995231628</v>
      </c>
      <c r="E133" s="15" t="n">
        <v>0.0534001290798187</v>
      </c>
      <c r="F133" s="15" t="n">
        <v>0.417100012302399</v>
      </c>
      <c r="G133" s="15" t="n">
        <v>2.52920007705688</v>
      </c>
      <c r="H133" s="16">
        <f>C133+E133</f>
        <v/>
      </c>
    </row>
    <row r="134">
      <c r="A134" s="12" t="n">
        <v>42198</v>
      </c>
      <c r="B134" s="15" t="n">
        <v>-0.179400011897087</v>
      </c>
      <c r="C134" s="15" t="n">
        <v>0.372200012207031</v>
      </c>
      <c r="D134" s="15" t="n">
        <v>2.30570006370544</v>
      </c>
      <c r="E134" s="15" t="n">
        <v>0.0553999394178391</v>
      </c>
      <c r="F134" s="15" t="n">
        <v>0.437200009822845</v>
      </c>
      <c r="G134" s="15" t="n">
        <v>2.55390000343323</v>
      </c>
      <c r="H134" s="16">
        <f>C134+E134</f>
        <v/>
      </c>
    </row>
    <row r="135">
      <c r="A135" s="12" t="n">
        <v>42199</v>
      </c>
      <c r="B135" s="15" t="n">
        <v>-0.191899999976158</v>
      </c>
      <c r="C135" s="15" t="n">
        <v>0.357800006866455</v>
      </c>
      <c r="D135" s="15" t="n">
        <v>2.2966001033783</v>
      </c>
      <c r="E135" s="15" t="n">
        <v>0.0520999282598495</v>
      </c>
      <c r="F135" s="15" t="n">
        <v>0.434500008821487</v>
      </c>
      <c r="G135" s="15" t="n">
        <v>2.51460003852844</v>
      </c>
      <c r="H135" s="16">
        <f>C135+E135</f>
        <v/>
      </c>
    </row>
    <row r="136">
      <c r="A136" s="12" t="n">
        <v>42200</v>
      </c>
      <c r="B136" s="15" t="n">
        <v>-0.207300007343292</v>
      </c>
      <c r="C136" s="15" t="n">
        <v>0.333700001239777</v>
      </c>
      <c r="D136" s="15" t="n">
        <v>2.28229999542236</v>
      </c>
      <c r="E136" s="15" t="n">
        <v>0.0464000701904297</v>
      </c>
      <c r="F136" s="15" t="n">
        <v>0.43520000576973</v>
      </c>
      <c r="G136" s="15" t="n">
        <v>2.45510005950928</v>
      </c>
      <c r="H136" s="16">
        <f>C136+E136</f>
        <v/>
      </c>
    </row>
    <row r="137">
      <c r="A137" s="12" t="n">
        <v>42201</v>
      </c>
      <c r="B137" s="15" t="n">
        <v>-0.205400019884109</v>
      </c>
      <c r="C137" s="15" t="n">
        <v>0.33270001411438</v>
      </c>
      <c r="D137" s="15" t="n">
        <v>2.28139996528625</v>
      </c>
      <c r="E137" s="15" t="n">
        <v>0.0466001331806183</v>
      </c>
      <c r="F137" s="15" t="n">
        <v>0.446200013160706</v>
      </c>
      <c r="G137" s="15" t="n">
        <v>2.45530009269714</v>
      </c>
      <c r="H137" s="16">
        <f>C137+E137</f>
        <v/>
      </c>
    </row>
    <row r="138">
      <c r="A138" s="12" t="n">
        <v>42202</v>
      </c>
      <c r="B138" s="15" t="n">
        <v>-0.204299986362457</v>
      </c>
      <c r="C138" s="15" t="n">
        <v>0.328599989414215</v>
      </c>
      <c r="D138" s="15" t="n">
        <v>2.27909994125366</v>
      </c>
      <c r="E138" s="15" t="n">
        <v>0.0457999706268311</v>
      </c>
      <c r="F138" s="15" t="n">
        <v>0.460299998521805</v>
      </c>
      <c r="G138" s="15" t="n">
        <v>2.44919991493225</v>
      </c>
      <c r="H138" s="16">
        <f>C138+E138</f>
        <v/>
      </c>
    </row>
    <row r="139">
      <c r="A139" s="12" t="n">
        <v>42205</v>
      </c>
      <c r="B139" s="15" t="n">
        <v>-0.192699998617172</v>
      </c>
      <c r="C139" s="15" t="n">
        <v>0.331900000572205</v>
      </c>
      <c r="D139" s="15" t="n">
        <v>2.28250002861023</v>
      </c>
      <c r="E139" s="15" t="n">
        <v>0.0464999377727509</v>
      </c>
      <c r="F139" s="15" t="n">
        <v>0.474999994039536</v>
      </c>
      <c r="G139" s="15" t="n">
        <v>2.46819996833801</v>
      </c>
      <c r="H139" s="16">
        <f>C139+E139</f>
        <v/>
      </c>
    </row>
    <row r="140">
      <c r="A140" s="12" t="n">
        <v>42206</v>
      </c>
      <c r="B140" s="15" t="n">
        <v>-0.204600006341934</v>
      </c>
      <c r="C140" s="15" t="n">
        <v>0.31810000538826</v>
      </c>
      <c r="D140" s="15" t="n">
        <v>2.27349996566772</v>
      </c>
      <c r="E140" s="15" t="n">
        <v>0.0435000658035278</v>
      </c>
      <c r="F140" s="15" t="n">
        <v>0.471100002527237</v>
      </c>
      <c r="G140" s="15" t="n">
        <v>2.43050003051758</v>
      </c>
      <c r="H140" s="16">
        <f>C140+E140</f>
        <v/>
      </c>
    </row>
    <row r="141">
      <c r="A141" s="12" t="n">
        <v>42207</v>
      </c>
      <c r="B141" s="15" t="n">
        <v>-0.208700008690357</v>
      </c>
      <c r="C141" s="15" t="n">
        <v>0.308400005102158</v>
      </c>
      <c r="D141" s="15" t="n">
        <v>2.26749992370605</v>
      </c>
      <c r="E141" s="15" t="n">
        <v>0.041400171816349</v>
      </c>
      <c r="F141" s="15" t="n">
        <v>0.482400000095367</v>
      </c>
      <c r="G141" s="15" t="n">
        <v>2.4086000919342</v>
      </c>
      <c r="H141" s="16">
        <f>C141+E141</f>
        <v/>
      </c>
    </row>
    <row r="142">
      <c r="A142" s="12" t="n">
        <v>42208</v>
      </c>
      <c r="B142" s="15" t="n">
        <v>-0.224799994379282</v>
      </c>
      <c r="C142" s="15" t="n">
        <v>0.285699993371964</v>
      </c>
      <c r="D142" s="15" t="n">
        <v>2.2532000541687</v>
      </c>
      <c r="E142" s="15" t="n">
        <v>0.0364000536501408</v>
      </c>
      <c r="F142" s="15" t="n">
        <v>0.502900004386902</v>
      </c>
      <c r="G142" s="15" t="n">
        <v>2.35050010681152</v>
      </c>
      <c r="H142" s="16">
        <f>C142+E142</f>
        <v/>
      </c>
    </row>
    <row r="143">
      <c r="A143" s="12" t="n">
        <v>42209</v>
      </c>
      <c r="B143" s="15" t="n">
        <v>-0.226499993354082</v>
      </c>
      <c r="C143" s="15" t="n">
        <v>0.283899992704391</v>
      </c>
      <c r="D143" s="15" t="n">
        <v>2.25209999084473</v>
      </c>
      <c r="E143" s="15" t="n">
        <v>0.0360000021755695</v>
      </c>
      <c r="F143" s="15" t="n">
        <v>0.532000005245209</v>
      </c>
      <c r="G143" s="15" t="n">
        <v>2.34549999237061</v>
      </c>
      <c r="H143" s="16">
        <f>C143+E143</f>
        <v/>
      </c>
    </row>
    <row r="144">
      <c r="A144" s="12" t="n">
        <v>42212</v>
      </c>
      <c r="B144" s="15" t="n">
        <v>-0.238999992609024</v>
      </c>
      <c r="C144" s="15" t="n">
        <v>0.265399992465973</v>
      </c>
      <c r="D144" s="15" t="n">
        <v>2.24169993400574</v>
      </c>
      <c r="E144" s="15" t="n">
        <v>0.031400054693222</v>
      </c>
      <c r="F144" s="15" t="n">
        <v>0.54559999704361</v>
      </c>
      <c r="G144" s="15" t="n">
        <v>2.29949998855591</v>
      </c>
      <c r="H144" s="16">
        <f>C144+E144</f>
        <v/>
      </c>
    </row>
    <row r="145">
      <c r="A145" s="12" t="n">
        <v>42213</v>
      </c>
      <c r="B145" s="15" t="n">
        <v>-0.231700003147125</v>
      </c>
      <c r="C145" s="15" t="n">
        <v>0.275700002908707</v>
      </c>
      <c r="D145" s="15" t="n">
        <v>2.24810004234314</v>
      </c>
      <c r="E145" s="15" t="n">
        <v>0.0338000357151031</v>
      </c>
      <c r="F145" s="15" t="n">
        <v>0.545499980449677</v>
      </c>
      <c r="G145" s="15" t="n">
        <v>2.32590007781982</v>
      </c>
      <c r="H145" s="16">
        <f>C145+E145</f>
        <v/>
      </c>
    </row>
    <row r="146">
      <c r="A146" s="12" t="n">
        <v>42214</v>
      </c>
      <c r="B146" s="15" t="n">
        <v>-0.223100014030933</v>
      </c>
      <c r="C146" s="15" t="n">
        <v>0.286900013685226</v>
      </c>
      <c r="D146" s="15" t="n">
        <v>2.25500011444092</v>
      </c>
      <c r="E146" s="15" t="n">
        <v>0.0362998023629189</v>
      </c>
      <c r="F146" s="15" t="n">
        <v>0.526000022888184</v>
      </c>
      <c r="G146" s="15" t="n">
        <v>2.35509991645813</v>
      </c>
      <c r="H146" s="16">
        <f>C146+E146</f>
        <v/>
      </c>
    </row>
    <row r="147">
      <c r="A147" s="12" t="n">
        <v>42215</v>
      </c>
      <c r="B147" s="15" t="n">
        <v>-0.223100002855062</v>
      </c>
      <c r="C147" s="15" t="n">
        <v>0.281800001859665</v>
      </c>
      <c r="D147" s="15" t="n">
        <v>2.25230002403259</v>
      </c>
      <c r="E147" s="15" t="n">
        <v>0.0351999662816525</v>
      </c>
      <c r="F147" s="15" t="n">
        <v>0.523699998855591</v>
      </c>
      <c r="G147" s="15" t="n">
        <v>2.34619998931885</v>
      </c>
      <c r="H147" s="16">
        <f>C147+E147</f>
        <v/>
      </c>
    </row>
    <row r="148">
      <c r="A148" s="12" t="n">
        <v>42216</v>
      </c>
      <c r="B148" s="15" t="n">
        <v>-0.24690000526607</v>
      </c>
      <c r="C148" s="15" t="n">
        <v>0.25560000538826</v>
      </c>
      <c r="D148" s="15" t="n">
        <v>2.23550009727478</v>
      </c>
      <c r="E148" s="15" t="n">
        <v>0.0292998682707548</v>
      </c>
      <c r="F148" s="15" t="n">
        <v>0.514999985694885</v>
      </c>
      <c r="G148" s="15" t="n">
        <v>2.27349996566772</v>
      </c>
      <c r="H148" s="16">
        <f>C148+E148</f>
        <v/>
      </c>
    </row>
    <row r="149">
      <c r="A149" s="12" t="n">
        <v>42219</v>
      </c>
      <c r="B149" s="15" t="n">
        <v>-0.254899993538857</v>
      </c>
      <c r="C149" s="15" t="n">
        <v>0.236399993300438</v>
      </c>
      <c r="D149" s="15" t="n">
        <v>2.2253999710083</v>
      </c>
      <c r="E149" s="15" t="n">
        <v>0.0245000422000885</v>
      </c>
      <c r="F149" s="15" t="n">
        <v>0.547399997711182</v>
      </c>
      <c r="G149" s="15" t="n">
        <v>2.23140001296997</v>
      </c>
      <c r="H149" s="16">
        <f>C149+E149</f>
        <v/>
      </c>
    </row>
    <row r="150">
      <c r="A150" s="12" t="n">
        <v>42220</v>
      </c>
      <c r="B150" s="15" t="n">
        <v>-0.231299985200167</v>
      </c>
      <c r="C150" s="15" t="n">
        <v>0.257099986076355</v>
      </c>
      <c r="D150" s="15" t="n">
        <v>2.23909997940063</v>
      </c>
      <c r="E150" s="15" t="n">
        <v>0.0294000990688801</v>
      </c>
      <c r="F150" s="15" t="n">
        <v>0.569599986076355</v>
      </c>
      <c r="G150" s="15" t="n">
        <v>2.2943000793457</v>
      </c>
      <c r="H150" s="16">
        <f>C150+E150</f>
        <v/>
      </c>
    </row>
    <row r="151">
      <c r="A151" s="12" t="n">
        <v>42221</v>
      </c>
      <c r="B151" s="15" t="n">
        <v>-0.215999986976385</v>
      </c>
      <c r="C151" s="15" t="n">
        <v>0.273799985647202</v>
      </c>
      <c r="D151" s="15" t="n">
        <v>2.24979996681213</v>
      </c>
      <c r="E151" s="15" t="n">
        <v>0.0330999456346035</v>
      </c>
      <c r="F151" s="15" t="n">
        <v>0.585300028324127</v>
      </c>
      <c r="G151" s="15" t="n">
        <v>2.34069991111755</v>
      </c>
      <c r="H151" s="16">
        <f>C151+E151</f>
        <v/>
      </c>
    </row>
    <row r="152">
      <c r="A152" s="12" t="n">
        <v>42222</v>
      </c>
      <c r="B152" s="15" t="n">
        <v>-0.228499999269843</v>
      </c>
      <c r="C152" s="15" t="n">
        <v>0.25789999961853</v>
      </c>
      <c r="D152" s="15" t="n">
        <v>2.23959994316101</v>
      </c>
      <c r="E152" s="15" t="n">
        <v>0.0296000149101019</v>
      </c>
      <c r="F152" s="15" t="n">
        <v>0.587199985980988</v>
      </c>
      <c r="G152" s="15" t="n">
        <v>2.2985999584198</v>
      </c>
      <c r="H152" s="16">
        <f>C152+E152</f>
        <v/>
      </c>
    </row>
    <row r="153">
      <c r="A153" s="12" t="n">
        <v>42223</v>
      </c>
      <c r="B153" s="15" t="n">
        <v>-0.238799996674061</v>
      </c>
      <c r="C153" s="15" t="n">
        <v>0.232199996709824</v>
      </c>
      <c r="D153" s="15" t="n">
        <v>2.22530007362366</v>
      </c>
      <c r="E153" s="15" t="n">
        <v>0.0235999599099159</v>
      </c>
      <c r="F153" s="15" t="n">
        <v>0.5904999971389771</v>
      </c>
      <c r="G153" s="15" t="n">
        <v>2.24230003356934</v>
      </c>
      <c r="H153" s="16">
        <f>C153+E153</f>
        <v/>
      </c>
    </row>
    <row r="154">
      <c r="A154" s="12" t="n">
        <v>42226</v>
      </c>
      <c r="B154" s="15" t="n">
        <v>-0.222699996083975</v>
      </c>
      <c r="C154" s="15" t="n">
        <v>0.247999995946884</v>
      </c>
      <c r="D154" s="15" t="n">
        <v>2.23650002479553</v>
      </c>
      <c r="E154" s="15" t="n">
        <v>0.0269000791013241</v>
      </c>
      <c r="F154" s="15" t="n">
        <v>0.575200021266937</v>
      </c>
      <c r="G154" s="15" t="n">
        <v>2.28870010375977</v>
      </c>
      <c r="H154" s="16">
        <f>C154+E154</f>
        <v/>
      </c>
    </row>
    <row r="155">
      <c r="A155" s="12" t="n">
        <v>42227</v>
      </c>
      <c r="B155" s="15" t="n">
        <v>-0.248399993404746</v>
      </c>
      <c r="C155" s="15" t="n">
        <v>0.219699993729591</v>
      </c>
      <c r="D155" s="15" t="n">
        <v>2.21860003471375</v>
      </c>
      <c r="E155" s="15" t="n">
        <v>0.020399933680892</v>
      </c>
      <c r="F155" s="15" t="n">
        <v>0.602400004863739</v>
      </c>
      <c r="G155" s="15" t="n">
        <v>2.21029996871948</v>
      </c>
      <c r="H155" s="16">
        <f>C155+E155</f>
        <v/>
      </c>
    </row>
    <row r="156">
      <c r="A156" s="12" t="n">
        <v>42228</v>
      </c>
      <c r="B156" s="15" t="n">
        <v>-0.250600002706051</v>
      </c>
      <c r="C156" s="15" t="n">
        <v>0.221100002527237</v>
      </c>
      <c r="D156" s="15" t="n">
        <v>2.21939992904663</v>
      </c>
      <c r="E156" s="15" t="n">
        <v>0.0205001756548882</v>
      </c>
      <c r="F156" s="15" t="n">
        <v>0.621900022029877</v>
      </c>
      <c r="G156" s="15" t="n">
        <v>2.21040010452271</v>
      </c>
      <c r="H156" s="16">
        <f>C156+E156</f>
        <v/>
      </c>
    </row>
    <row r="157">
      <c r="A157" s="12" t="n">
        <v>42229</v>
      </c>
      <c r="B157" s="15" t="n">
        <v>-0.2327999942936</v>
      </c>
      <c r="C157" s="15" t="n">
        <v>0.239099994301796</v>
      </c>
      <c r="D157" s="15" t="n">
        <v>2.2311999797821</v>
      </c>
      <c r="E157" s="15" t="n">
        <v>0.0245001041330397</v>
      </c>
      <c r="F157" s="15" t="n">
        <v>0.641499996185303</v>
      </c>
      <c r="G157" s="15" t="n">
        <v>2.26200008392334</v>
      </c>
      <c r="H157" s="16">
        <f>C157+E157</f>
        <v/>
      </c>
    </row>
    <row r="158">
      <c r="A158" s="12" t="n">
        <v>42230</v>
      </c>
      <c r="B158" s="15" t="n">
        <v>-0.226999993436038</v>
      </c>
      <c r="C158" s="15" t="n">
        <v>0.241699993610382</v>
      </c>
      <c r="D158" s="15" t="n">
        <v>2.23320007324219</v>
      </c>
      <c r="E158" s="15" t="n">
        <v>0.0251998258754611</v>
      </c>
      <c r="F158" s="15" t="n">
        <v>0.645299971103668</v>
      </c>
      <c r="G158" s="15" t="n">
        <v>2.27309989929199</v>
      </c>
      <c r="H158" s="16">
        <f>C158+E158</f>
        <v/>
      </c>
    </row>
    <row r="159">
      <c r="A159" s="12" t="n">
        <v>42233</v>
      </c>
      <c r="B159" s="15" t="n">
        <v>-0.236499997321516</v>
      </c>
      <c r="C159" s="15" t="n">
        <v>0.229599997401237</v>
      </c>
      <c r="D159" s="15" t="n">
        <v>2.22560000419617</v>
      </c>
      <c r="E159" s="15" t="n">
        <v>0.0224999659694731</v>
      </c>
      <c r="F159" s="15" t="n">
        <v>0.6618000268936159</v>
      </c>
      <c r="G159" s="15" t="n">
        <v>2.24119997024536</v>
      </c>
      <c r="H159" s="16">
        <f>C159+E159</f>
        <v/>
      </c>
    </row>
    <row r="160">
      <c r="A160" s="12" t="n">
        <v>42234</v>
      </c>
      <c r="B160" s="15" t="n">
        <v>-0.224899999797344</v>
      </c>
      <c r="C160" s="15" t="n">
        <v>0.24379999935627</v>
      </c>
      <c r="D160" s="15" t="n">
        <v>2.23499989509583</v>
      </c>
      <c r="E160" s="15" t="n">
        <v>0.0255002155900002</v>
      </c>
      <c r="F160" s="15" t="n">
        <v>0.672500014305115</v>
      </c>
      <c r="G160" s="15" t="n">
        <v>2.27940011024475</v>
      </c>
      <c r="H160" s="16">
        <f>C160+E160</f>
        <v/>
      </c>
    </row>
    <row r="161">
      <c r="A161" s="12" t="n">
        <v>42235</v>
      </c>
      <c r="B161" s="15" t="n">
        <v>-0.255899999290705</v>
      </c>
      <c r="C161" s="15" t="n">
        <v>0.214699998497963</v>
      </c>
      <c r="D161" s="15" t="n">
        <v>2.21550011634827</v>
      </c>
      <c r="E161" s="15" t="n">
        <v>0.0189998932182789</v>
      </c>
      <c r="F161" s="15" t="n">
        <v>0.670300006866455</v>
      </c>
      <c r="G161" s="15" t="n">
        <v>2.1933000087738</v>
      </c>
      <c r="H161" s="16">
        <f>C161+E161</f>
        <v/>
      </c>
    </row>
    <row r="162">
      <c r="A162" s="12" t="n">
        <v>42236</v>
      </c>
      <c r="B162" s="15" t="n">
        <v>-0.262600004673004</v>
      </c>
      <c r="C162" s="15" t="n">
        <v>0.205400004982948</v>
      </c>
      <c r="D162" s="15" t="n">
        <v>2.20939993858337</v>
      </c>
      <c r="E162" s="15" t="n">
        <v>0.0170000046491623</v>
      </c>
      <c r="F162" s="15" t="n">
        <v>0.671199977397919</v>
      </c>
      <c r="G162" s="15" t="n">
        <v>2.16919994354248</v>
      </c>
      <c r="H162" s="16">
        <f>C162+E162</f>
        <v/>
      </c>
    </row>
    <row r="163">
      <c r="A163" s="12" t="n">
        <v>42237</v>
      </c>
      <c r="B163" s="15" t="n">
        <v>-0.27649999409914</v>
      </c>
      <c r="C163" s="15" t="n">
        <v>0.193499997258186</v>
      </c>
      <c r="D163" s="15" t="n">
        <v>2.2014000415802</v>
      </c>
      <c r="E163" s="15" t="n">
        <v>0.0142999216914177</v>
      </c>
      <c r="F163" s="15" t="n">
        <v>0.676900029182434</v>
      </c>
      <c r="G163" s="15" t="n">
        <v>2.13269996643066</v>
      </c>
      <c r="H163" s="16">
        <f>C163+E163</f>
        <v/>
      </c>
    </row>
    <row r="164">
      <c r="A164" s="12" t="n">
        <v>42240</v>
      </c>
      <c r="B164" s="15" t="n">
        <v>-0.287799999117851</v>
      </c>
      <c r="C164" s="15" t="n">
        <v>0.183899998664856</v>
      </c>
      <c r="D164" s="15" t="n">
        <v>2.1956000328064</v>
      </c>
      <c r="E164" s="15" t="n">
        <v>0.0117998570203781</v>
      </c>
      <c r="F164" s="15" t="n">
        <v>0.699500024318695</v>
      </c>
      <c r="G164" s="15" t="n">
        <v>2.10349988937378</v>
      </c>
      <c r="H164" s="16">
        <f>C164+E164</f>
        <v/>
      </c>
    </row>
    <row r="165">
      <c r="A165" s="12" t="n">
        <v>42241</v>
      </c>
      <c r="B165" s="15" t="n">
        <v>-0.255100002512336</v>
      </c>
      <c r="C165" s="15" t="n">
        <v>0.228100001811981</v>
      </c>
      <c r="D165" s="15" t="n">
        <v>2.22300004959106</v>
      </c>
      <c r="E165" s="15" t="n">
        <v>0.0217998530715704</v>
      </c>
      <c r="F165" s="15" t="n">
        <v>0.692499995231628</v>
      </c>
      <c r="G165" s="15" t="n">
        <v>2.21779990196228</v>
      </c>
      <c r="H165" s="16">
        <f>C165+E165</f>
        <v/>
      </c>
    </row>
    <row r="166">
      <c r="A166" s="12" t="n">
        <v>42242</v>
      </c>
      <c r="B166" s="15" t="n">
        <v>-0.235799986869097</v>
      </c>
      <c r="C166" s="15" t="n">
        <v>0.257099986076355</v>
      </c>
      <c r="D166" s="15" t="n">
        <v>2.24130010604858</v>
      </c>
      <c r="E166" s="15" t="n">
        <v>0.0280998535454273</v>
      </c>
      <c r="F166" s="15" t="n">
        <v>0.709800004959106</v>
      </c>
      <c r="G166" s="15" t="n">
        <v>2.29069995880127</v>
      </c>
      <c r="H166" s="16">
        <f>C166+E166</f>
        <v/>
      </c>
    </row>
    <row r="167">
      <c r="A167" s="12" t="n">
        <v>42243</v>
      </c>
      <c r="B167" s="15" t="n">
        <v>-0.23560001142323</v>
      </c>
      <c r="C167" s="15" t="n">
        <v>0.254200011491776</v>
      </c>
      <c r="D167" s="15" t="n">
        <v>2.24000000953674</v>
      </c>
      <c r="E167" s="15" t="n">
        <v>0.0274999011307955</v>
      </c>
      <c r="F167" s="15" t="n">
        <v>0.665700018405914</v>
      </c>
      <c r="G167" s="15" t="n">
        <v>2.28609991073608</v>
      </c>
      <c r="H167" s="16">
        <f>C167+E167</f>
        <v/>
      </c>
    </row>
    <row r="168">
      <c r="A168" s="12" t="n">
        <v>42244</v>
      </c>
      <c r="B168" s="15" t="n">
        <v>-0.22690000757575</v>
      </c>
      <c r="C168" s="15" t="n">
        <v>0.253100007772446</v>
      </c>
      <c r="D168" s="15" t="n">
        <v>2.24090003967285</v>
      </c>
      <c r="E168" s="15" t="n">
        <v>0.0270999036729336</v>
      </c>
      <c r="F168" s="15" t="n">
        <v>0.649500012397766</v>
      </c>
      <c r="G168" s="15" t="n">
        <v>2.29419994354248</v>
      </c>
      <c r="H168" s="16">
        <f>C168+E168</f>
        <v/>
      </c>
    </row>
    <row r="169">
      <c r="A169" s="12" t="n">
        <v>42247</v>
      </c>
      <c r="B169" s="15" t="n">
        <v>-0.217099986970425</v>
      </c>
      <c r="C169" s="15" t="n">
        <v>0.255499988794327</v>
      </c>
      <c r="D169" s="15" t="n">
        <v>2.24399995803833</v>
      </c>
      <c r="E169" s="15" t="n">
        <v>0.0273999497294426</v>
      </c>
      <c r="F169" s="15" t="n">
        <v>0.633700013160706</v>
      </c>
      <c r="G169" s="15" t="n">
        <v>2.30979990959167</v>
      </c>
      <c r="H169" s="16">
        <f>C169+E169</f>
        <v/>
      </c>
    </row>
    <row r="170">
      <c r="A170" s="12" t="n">
        <v>42248</v>
      </c>
      <c r="B170" s="15" t="n">
        <v>-0.229299999773502</v>
      </c>
      <c r="C170" s="15" t="n">
        <v>0.24379999935627</v>
      </c>
      <c r="D170" s="15" t="n">
        <v>2.23639988899231</v>
      </c>
      <c r="E170" s="15" t="n">
        <v>0.0248002037405968</v>
      </c>
      <c r="F170" s="15" t="n">
        <v>0.674099981784821</v>
      </c>
      <c r="G170" s="15" t="n">
        <v>2.27570009231567</v>
      </c>
      <c r="H170" s="16">
        <f>C170+E170</f>
        <v/>
      </c>
    </row>
    <row r="171">
      <c r="A171" s="12" t="n">
        <v>42249</v>
      </c>
      <c r="B171" s="15" t="n">
        <v>-0.222800001502037</v>
      </c>
      <c r="C171" s="15" t="n">
        <v>0.25450000166893</v>
      </c>
      <c r="D171" s="15" t="n">
        <v>2.24270009994507</v>
      </c>
      <c r="E171" s="15" t="n">
        <v>0.0271998792886734</v>
      </c>
      <c r="F171" s="15" t="n">
        <v>0.694000005722046</v>
      </c>
      <c r="G171" s="15" t="n">
        <v>2.30159997940063</v>
      </c>
      <c r="H171" s="16">
        <f>C171+E171</f>
        <v/>
      </c>
    </row>
    <row r="172">
      <c r="A172" s="12" t="n">
        <v>42250</v>
      </c>
      <c r="B172" s="15" t="n">
        <v>-0.2314000017941</v>
      </c>
      <c r="C172" s="15" t="n">
        <v>0.247500002384186</v>
      </c>
      <c r="D172" s="15" t="n">
        <v>2.23769998550415</v>
      </c>
      <c r="E172" s="15" t="n">
        <v>0.0257000215351582</v>
      </c>
      <c r="F172" s="15" t="n">
        <v>0.713299989700317</v>
      </c>
      <c r="G172" s="15" t="n">
        <v>2.27950000762939</v>
      </c>
      <c r="H172" s="16">
        <f>C172+E172</f>
        <v/>
      </c>
    </row>
    <row r="173">
      <c r="A173" s="12" t="n">
        <v>42251</v>
      </c>
      <c r="B173" s="15" t="n">
        <v>-0.24509999435395</v>
      </c>
      <c r="C173" s="15" t="n">
        <v>0.23029999434948</v>
      </c>
      <c r="D173" s="15" t="n">
        <v>2.22650003433228</v>
      </c>
      <c r="E173" s="15" t="n">
        <v>0.0220000026747584</v>
      </c>
      <c r="F173" s="15" t="n">
        <v>0.727800011634827</v>
      </c>
      <c r="G173" s="15" t="n">
        <v>2.23370003700256</v>
      </c>
      <c r="H173" s="16">
        <f>C173+E173</f>
        <v/>
      </c>
    </row>
    <row r="174">
      <c r="A174" s="12" t="n">
        <v>42255</v>
      </c>
      <c r="B174" s="15" t="n">
        <v>-0.221800003200769</v>
      </c>
      <c r="C174" s="15" t="n">
        <v>0.249300003051758</v>
      </c>
      <c r="D174" s="15" t="n">
        <v>2.24029994010925</v>
      </c>
      <c r="E174" s="15" t="n">
        <v>0.0259000398218632</v>
      </c>
      <c r="F174" s="15" t="n">
        <v>0.7332000136375429</v>
      </c>
      <c r="G174" s="15" t="n">
        <v>2.2936999797821</v>
      </c>
      <c r="H174" s="16">
        <f>C174+E174</f>
        <v/>
      </c>
    </row>
    <row r="175">
      <c r="A175" s="12" t="n">
        <v>42256</v>
      </c>
      <c r="B175" s="15" t="n">
        <v>-0.224499998614192</v>
      </c>
      <c r="C175" s="15" t="n">
        <v>0.246399998664856</v>
      </c>
      <c r="D175" s="15" t="n">
        <v>2.23810005187988</v>
      </c>
      <c r="E175" s="15" t="n">
        <v>0.0254999976605177</v>
      </c>
      <c r="F175" s="15" t="n">
        <v>0.721300005912781</v>
      </c>
      <c r="G175" s="15" t="n">
        <v>2.28550004959106</v>
      </c>
      <c r="H175" s="16">
        <f>C175+E175</f>
        <v/>
      </c>
    </row>
    <row r="176">
      <c r="A176" s="12" t="n">
        <v>42257</v>
      </c>
      <c r="B176" s="15" t="n">
        <v>-0.219199992716312</v>
      </c>
      <c r="C176" s="15" t="n">
        <v>0.257499992847443</v>
      </c>
      <c r="D176" s="15" t="n">
        <v>2.24440002441406</v>
      </c>
      <c r="E176" s="15" t="n">
        <v>0.0279000177979469</v>
      </c>
      <c r="F176" s="15" t="n">
        <v>0.700800001621246</v>
      </c>
      <c r="G176" s="15" t="n">
        <v>2.31060004234314</v>
      </c>
      <c r="H176" s="16">
        <f>C176+E176</f>
        <v/>
      </c>
    </row>
    <row r="177">
      <c r="A177" s="12" t="n">
        <v>42258</v>
      </c>
      <c r="B177" s="15" t="n">
        <v>-0.230200003832579</v>
      </c>
      <c r="C177" s="15" t="n">
        <v>0.248500004410744</v>
      </c>
      <c r="D177" s="15" t="n">
        <v>2.23819994926453</v>
      </c>
      <c r="E177" s="15" t="n">
        <v>0.0258999429643154</v>
      </c>
      <c r="F177" s="15" t="n">
        <v>0.691799998283386</v>
      </c>
      <c r="G177" s="15" t="n">
        <v>2.28239989280701</v>
      </c>
      <c r="H177" s="16">
        <f>C177+E177</f>
        <v/>
      </c>
    </row>
    <row r="178">
      <c r="A178" s="12" t="n">
        <v>42261</v>
      </c>
      <c r="B178" s="15" t="n">
        <v>-0.230000001378357</v>
      </c>
      <c r="C178" s="15" t="n">
        <v>0.243900001049042</v>
      </c>
      <c r="D178" s="15" t="n">
        <v>2.23650002479553</v>
      </c>
      <c r="E178" s="15" t="n">
        <v>0.0246000709012151</v>
      </c>
      <c r="F178" s="15" t="n">
        <v>0.708000004291534</v>
      </c>
      <c r="G178" s="15" t="n">
        <v>2.27500009536743</v>
      </c>
      <c r="H178" s="16">
        <f>C178+E178</f>
        <v/>
      </c>
    </row>
    <row r="179">
      <c r="A179" s="12" t="n">
        <v>42262</v>
      </c>
      <c r="B179" s="15" t="n">
        <v>-0.196800008416176</v>
      </c>
      <c r="C179" s="15" t="n">
        <v>0.281300008296967</v>
      </c>
      <c r="D179" s="15" t="n">
        <v>2.26060009002686</v>
      </c>
      <c r="E179" s="15" t="n">
        <v>0.033099964261055</v>
      </c>
      <c r="F179" s="15" t="n">
        <v>0.723100006580353</v>
      </c>
      <c r="G179" s="15" t="n">
        <v>2.3782000541687</v>
      </c>
      <c r="H179" s="16">
        <f>C179+E179</f>
        <v/>
      </c>
    </row>
    <row r="180">
      <c r="A180" s="12" t="n">
        <v>42263</v>
      </c>
      <c r="B180" s="15" t="n">
        <v>-0.195099994540215</v>
      </c>
      <c r="C180" s="15" t="n">
        <v>0.291799992322922</v>
      </c>
      <c r="D180" s="15" t="n">
        <v>2.26539993286133</v>
      </c>
      <c r="E180" s="15" t="n">
        <v>0.0358001738786697</v>
      </c>
      <c r="F180" s="15" t="n">
        <v>0.717100024223328</v>
      </c>
      <c r="G180" s="15" t="n">
        <v>2.39790010452271</v>
      </c>
      <c r="H180" s="16">
        <f>C180+E180</f>
        <v/>
      </c>
    </row>
    <row r="181">
      <c r="A181" s="12" t="n">
        <v>42264</v>
      </c>
      <c r="B181" s="15" t="n">
        <v>-0.237899988889694</v>
      </c>
      <c r="C181" s="15" t="n">
        <v>0.264299988746643</v>
      </c>
      <c r="D181" s="15" t="n">
        <v>2.24370002746582</v>
      </c>
      <c r="E181" s="15" t="n">
        <v>0.0301998555660248</v>
      </c>
      <c r="F181" s="15" t="n">
        <v>0.675999999046326</v>
      </c>
      <c r="G181" s="15" t="n">
        <v>2.30029988288879</v>
      </c>
      <c r="H181" s="16">
        <f>C181+E181</f>
        <v/>
      </c>
    </row>
    <row r="182">
      <c r="A182" s="12" t="n">
        <v>42265</v>
      </c>
      <c r="B182" s="15" t="n">
        <v>-0.26520000398159</v>
      </c>
      <c r="C182" s="15" t="n">
        <v>0.245000004768372</v>
      </c>
      <c r="D182" s="15" t="n">
        <v>2.22830009460449</v>
      </c>
      <c r="E182" s="15" t="n">
        <v>0.0264999717473984</v>
      </c>
      <c r="F182" s="15" t="n">
        <v>0.682900011539459</v>
      </c>
      <c r="G182" s="15" t="n">
        <v>2.23460006713867</v>
      </c>
      <c r="H182" s="16">
        <f>C182+E182</f>
        <v/>
      </c>
    </row>
    <row r="183">
      <c r="A183" s="12" t="n">
        <v>42268</v>
      </c>
      <c r="B183" s="15" t="n">
        <v>-0.24439999833703</v>
      </c>
      <c r="C183" s="15" t="n">
        <v>0.270999997854233</v>
      </c>
      <c r="D183" s="15" t="n">
        <v>2.24440002441406</v>
      </c>
      <c r="E183" s="15" t="n">
        <v>0.0324000157415867</v>
      </c>
      <c r="F183" s="15" t="n">
        <v>0.701099991798401</v>
      </c>
      <c r="G183" s="15" t="n">
        <v>2.30340003967285</v>
      </c>
      <c r="H183" s="16">
        <f>C183+E183</f>
        <v/>
      </c>
    </row>
    <row r="184">
      <c r="A184" s="12" t="n">
        <v>42269</v>
      </c>
      <c r="B184" s="15" t="n">
        <v>-0.265400005504489</v>
      </c>
      <c r="C184" s="15" t="n">
        <v>0.24770000576973</v>
      </c>
      <c r="D184" s="15" t="n">
        <v>2.22909998893738</v>
      </c>
      <c r="E184" s="15" t="n">
        <v>0.0274000596255064</v>
      </c>
      <c r="F184" s="15" t="n">
        <v>0.71340000629425</v>
      </c>
      <c r="G184" s="15" t="n">
        <v>2.23880004882812</v>
      </c>
      <c r="H184" s="16">
        <f>C184+E184</f>
        <v/>
      </c>
    </row>
    <row r="185">
      <c r="A185" s="12" t="n">
        <v>42270</v>
      </c>
      <c r="B185" s="15" t="n">
        <v>-0.262299991212785</v>
      </c>
      <c r="C185" s="15" t="n">
        <v>0.252099990844727</v>
      </c>
      <c r="D185" s="15" t="n">
        <v>2.23149991035461</v>
      </c>
      <c r="E185" s="15" t="n">
        <v>0.0285000568255782</v>
      </c>
      <c r="F185" s="15" t="n">
        <v>0.717299997806549</v>
      </c>
      <c r="G185" s="15" t="n">
        <v>2.24979996681213</v>
      </c>
      <c r="H185" s="16">
        <f>C185+E185</f>
        <v/>
      </c>
    </row>
    <row r="186">
      <c r="A186" s="12" t="n">
        <v>42271</v>
      </c>
      <c r="B186" s="15" t="n">
        <v>-0.270399993285537</v>
      </c>
      <c r="C186" s="15" t="n">
        <v>0.242599993944168</v>
      </c>
      <c r="D186" s="15" t="n">
        <v>2.22519993782043</v>
      </c>
      <c r="E186" s="15" t="n">
        <v>0.0264000054448843</v>
      </c>
      <c r="F186" s="15" t="n">
        <v>0.742399990558624</v>
      </c>
      <c r="G186" s="15" t="n">
        <v>2.22379994392395</v>
      </c>
      <c r="H186" s="16">
        <f>C186+E186</f>
        <v/>
      </c>
    </row>
    <row r="187">
      <c r="A187" s="12" t="n">
        <v>42272</v>
      </c>
      <c r="B187" s="15" t="n">
        <v>-0.261599986813962</v>
      </c>
      <c r="C187" s="15" t="n">
        <v>0.258899986743927</v>
      </c>
      <c r="D187" s="15" t="n">
        <v>2.23429989814758</v>
      </c>
      <c r="E187" s="15" t="n">
        <v>0.0304001858457923</v>
      </c>
      <c r="F187" s="15" t="n">
        <v>0.772499978542328</v>
      </c>
      <c r="G187" s="15" t="n">
        <v>2.26200008392334</v>
      </c>
      <c r="H187" s="16">
        <f>C187+E187</f>
        <v/>
      </c>
    </row>
    <row r="188">
      <c r="A188" s="12" t="n">
        <v>42275</v>
      </c>
      <c r="B188" s="15" t="n">
        <v>-0.27869999781251</v>
      </c>
      <c r="C188" s="15" t="n">
        <v>0.229699999094009</v>
      </c>
      <c r="D188" s="15" t="n">
        <v>2.21740007400513</v>
      </c>
      <c r="E188" s="15" t="n">
        <v>0.0234999395906925</v>
      </c>
      <c r="F188" s="15" t="n">
        <v>0.81989997625351</v>
      </c>
      <c r="G188" s="15" t="n">
        <v>2.19190001487732</v>
      </c>
      <c r="H188" s="16">
        <f>C188+E188</f>
        <v/>
      </c>
    </row>
    <row r="189">
      <c r="A189" s="12" t="n">
        <v>42276</v>
      </c>
      <c r="B189" s="15" t="n">
        <v>-0.298100002110004</v>
      </c>
      <c r="C189" s="15" t="n">
        <v>0.205899998545647</v>
      </c>
      <c r="D189" s="15" t="n">
        <v>2.20260000228882</v>
      </c>
      <c r="E189" s="15" t="n">
        <v>0.0178999528288841</v>
      </c>
      <c r="F189" s="15" t="n">
        <v>0.800899982452393</v>
      </c>
      <c r="G189" s="15" t="n">
        <v>2.12829995155334</v>
      </c>
      <c r="H189" s="16">
        <f>C189+E189</f>
        <v/>
      </c>
    </row>
    <row r="190">
      <c r="A190" s="12" t="n">
        <v>42277</v>
      </c>
      <c r="B190" s="15" t="n">
        <v>-0.296800002455711</v>
      </c>
      <c r="C190" s="15" t="n">
        <v>0.210700005292892</v>
      </c>
      <c r="D190" s="15" t="n">
        <v>2.20530009269714</v>
      </c>
      <c r="E190" s="15" t="n">
        <v>0.0189999490976334</v>
      </c>
      <c r="F190" s="15" t="n">
        <v>0.785000026226044</v>
      </c>
      <c r="G190" s="15" t="n">
        <v>2.13820004463196</v>
      </c>
      <c r="H190" s="16">
        <f>C190+E190</f>
        <v/>
      </c>
    </row>
    <row r="191">
      <c r="A191" s="12" t="n">
        <v>42278</v>
      </c>
      <c r="B191" s="15" t="n">
        <v>-0.299400001764297</v>
      </c>
      <c r="C191" s="15" t="n">
        <v>0.206000000238419</v>
      </c>
      <c r="D191" s="15" t="n">
        <v>2.20230007171631</v>
      </c>
      <c r="E191" s="15" t="n">
        <v>0.0181000232696533</v>
      </c>
      <c r="F191" s="15" t="n">
        <v>0.745100021362305</v>
      </c>
      <c r="G191" s="15" t="n">
        <v>2.12700009346008</v>
      </c>
      <c r="H191" s="16">
        <f>C191+E191</f>
        <v/>
      </c>
    </row>
    <row r="192">
      <c r="A192" s="12" t="n">
        <v>42279</v>
      </c>
      <c r="B192" s="15" t="n">
        <v>-0.322700008749962</v>
      </c>
      <c r="C192" s="15" t="n">
        <v>0.185100004076958</v>
      </c>
      <c r="D192" s="15" t="n">
        <v>2.18829989433289</v>
      </c>
      <c r="E192" s="15" t="n">
        <v>0.0133000016212463</v>
      </c>
      <c r="F192" s="15" t="n">
        <v>0.702400028705597</v>
      </c>
      <c r="G192" s="15" t="n">
        <v>2.06399989128113</v>
      </c>
      <c r="H192" s="16">
        <f>C192+E192</f>
        <v/>
      </c>
    </row>
    <row r="193">
      <c r="A193" s="12" t="n">
        <v>42282</v>
      </c>
      <c r="B193" s="15" t="n">
        <v>-0.300800003111362</v>
      </c>
      <c r="C193" s="15" t="n">
        <v>0.215000003576279</v>
      </c>
      <c r="D193" s="15" t="n">
        <v>2.20709991455078</v>
      </c>
      <c r="E193" s="15" t="n">
        <v>0.0199001505970955</v>
      </c>
      <c r="F193" s="15" t="n">
        <v>0.701799988746643</v>
      </c>
      <c r="G193" s="15" t="n">
        <v>2.14120006561279</v>
      </c>
      <c r="H193" s="16">
        <f>C193+E193</f>
        <v/>
      </c>
    </row>
    <row r="194">
      <c r="A194" s="12" t="n">
        <v>42283</v>
      </c>
      <c r="B194" s="15" t="n">
        <v>-0.303799994289875</v>
      </c>
      <c r="C194" s="15" t="n">
        <v>0.208499997854233</v>
      </c>
      <c r="D194" s="15" t="n">
        <v>2.20350003242493</v>
      </c>
      <c r="E194" s="15" t="n">
        <v>0.0183999910950661</v>
      </c>
      <c r="F194" s="15" t="n">
        <v>0.679099977016449</v>
      </c>
      <c r="G194" s="15" t="n">
        <v>2.12660002708435</v>
      </c>
      <c r="H194" s="16">
        <f>C194+E194</f>
        <v/>
      </c>
    </row>
    <row r="195">
      <c r="A195" s="12" t="n">
        <v>42284</v>
      </c>
      <c r="B195" s="15" t="n">
        <v>-0.29390000551939</v>
      </c>
      <c r="C195" s="15" t="n">
        <v>0.216800004243851</v>
      </c>
      <c r="D195" s="15" t="n">
        <v>2.20919990539551</v>
      </c>
      <c r="E195" s="15" t="n">
        <v>0.0203001126646996</v>
      </c>
      <c r="F195" s="15" t="n">
        <v>0.672399997711182</v>
      </c>
      <c r="G195" s="15" t="n">
        <v>2.15240001678467</v>
      </c>
      <c r="H195" s="16">
        <f>C195+E195</f>
        <v/>
      </c>
    </row>
    <row r="196">
      <c r="A196" s="12" t="n">
        <v>42285</v>
      </c>
      <c r="B196" s="15" t="n">
        <v>-0.284200001507998</v>
      </c>
      <c r="C196" s="15" t="n">
        <v>0.232500001788139</v>
      </c>
      <c r="D196" s="15" t="n">
        <v>2.21840000152588</v>
      </c>
      <c r="E196" s="15" t="n">
        <v>0.0238999165594578</v>
      </c>
      <c r="F196" s="15" t="n">
        <v>0.65200001001358</v>
      </c>
      <c r="G196" s="15" t="n">
        <v>2.19059991836548</v>
      </c>
      <c r="H196" s="16">
        <f>C196+E196</f>
        <v/>
      </c>
    </row>
    <row r="197">
      <c r="A197" s="12" t="n">
        <v>42286</v>
      </c>
      <c r="B197" s="15" t="n">
        <v>-0.280200004577637</v>
      </c>
      <c r="C197" s="15" t="n">
        <v>0.237100005149841</v>
      </c>
      <c r="D197" s="15" t="n">
        <v>2.2211000919342</v>
      </c>
      <c r="E197" s="15" t="n">
        <v>0.0250998735427856</v>
      </c>
      <c r="F197" s="15" t="n">
        <v>0.684499979019165</v>
      </c>
      <c r="G197" s="15" t="n">
        <v>2.20309996604919</v>
      </c>
      <c r="H197" s="16">
        <f>C197+E197</f>
        <v/>
      </c>
    </row>
    <row r="198">
      <c r="A198" s="12" t="n">
        <v>42290</v>
      </c>
      <c r="B198" s="15" t="n">
        <v>-0.298199996352196</v>
      </c>
      <c r="C198" s="15" t="n">
        <v>0.211799994111061</v>
      </c>
      <c r="D198" s="15" t="n">
        <v>2.2056999206543</v>
      </c>
      <c r="E198" s="15" t="n">
        <v>0.0193001925945282</v>
      </c>
      <c r="F198" s="15" t="n">
        <v>0.683799982070923</v>
      </c>
      <c r="G198" s="15" t="n">
        <v>2.13860011100769</v>
      </c>
      <c r="H198" s="16">
        <f>C198+E198</f>
        <v/>
      </c>
    </row>
    <row r="199">
      <c r="A199" s="12" t="n">
        <v>42291</v>
      </c>
      <c r="B199" s="15" t="n">
        <v>-0.320699989795685</v>
      </c>
      <c r="C199" s="15" t="n">
        <v>0.185499995946884</v>
      </c>
      <c r="D199" s="15" t="n">
        <v>2.18959999084473</v>
      </c>
      <c r="E199" s="15" t="n">
        <v>0.0129999816417694</v>
      </c>
      <c r="F199" s="15" t="n">
        <v>0.69379997253418</v>
      </c>
      <c r="G199" s="15" t="n">
        <v>2.0673999786377</v>
      </c>
      <c r="H199" s="16">
        <f>C199+E199</f>
        <v/>
      </c>
    </row>
    <row r="200">
      <c r="A200" s="12" t="n">
        <v>42292</v>
      </c>
      <c r="B200" s="15" t="n">
        <v>-0.304999992251396</v>
      </c>
      <c r="C200" s="15" t="n">
        <v>0.202199995517731</v>
      </c>
      <c r="D200" s="15" t="n">
        <v>2.20050001144409</v>
      </c>
      <c r="E200" s="15" t="n">
        <v>0.0168000310659409</v>
      </c>
      <c r="F200" s="15" t="n">
        <v>0.696699976921082</v>
      </c>
      <c r="G200" s="15" t="n">
        <v>2.11450004577637</v>
      </c>
      <c r="H200" s="16">
        <f>C200+E200</f>
        <v/>
      </c>
    </row>
    <row r="201">
      <c r="A201" s="12" t="n">
        <v>42293</v>
      </c>
      <c r="B201" s="15" t="n">
        <v>-0.302400000393391</v>
      </c>
      <c r="C201" s="15" t="n">
        <v>0.206900000572205</v>
      </c>
      <c r="D201" s="15" t="n">
        <v>2.20280003547668</v>
      </c>
      <c r="E201" s="15" t="n">
        <v>0.0181000307202339</v>
      </c>
      <c r="F201" s="15" t="n">
        <v>0.709100008010864</v>
      </c>
      <c r="G201" s="15" t="n">
        <v>2.12540006637573</v>
      </c>
      <c r="H201" s="16">
        <f>C201+E201</f>
        <v/>
      </c>
    </row>
    <row r="202">
      <c r="A202" s="12" t="n">
        <v>42296</v>
      </c>
      <c r="B202" s="15" t="n">
        <v>-0.295699998736382</v>
      </c>
      <c r="C202" s="15" t="n">
        <v>0.205799996852875</v>
      </c>
      <c r="D202" s="15" t="n">
        <v>2.20440006256104</v>
      </c>
      <c r="E202" s="15" t="n">
        <v>0.0172998756170273</v>
      </c>
      <c r="F202" s="15" t="n">
        <v>0.730099976062775</v>
      </c>
      <c r="G202" s="15" t="n">
        <v>2.13179993629456</v>
      </c>
      <c r="H202" s="16">
        <f>C202+E202</f>
        <v/>
      </c>
    </row>
    <row r="203">
      <c r="A203" s="12" t="n">
        <v>42297</v>
      </c>
      <c r="B203" s="15" t="n">
        <v>-0.281800001859665</v>
      </c>
      <c r="C203" s="15" t="n">
        <v>0.220100000500679</v>
      </c>
      <c r="D203" s="15" t="n">
        <v>2.21379995346069</v>
      </c>
      <c r="E203" s="15" t="n">
        <v>0.0205999761819839</v>
      </c>
      <c r="F203" s="15" t="n">
        <v>0.7220000028610229</v>
      </c>
      <c r="G203" s="15" t="n">
        <v>2.17269992828369</v>
      </c>
      <c r="H203" s="16">
        <f>C203+E203</f>
        <v/>
      </c>
    </row>
    <row r="204">
      <c r="A204" s="12" t="n">
        <v>42298</v>
      </c>
      <c r="B204" s="15" t="n">
        <v>-0.292199991643429</v>
      </c>
      <c r="C204" s="15" t="n">
        <v>0.205699995160103</v>
      </c>
      <c r="D204" s="15" t="n">
        <v>2.20479989051819</v>
      </c>
      <c r="E204" s="15" t="n">
        <v>0.017300195991993</v>
      </c>
      <c r="F204" s="15" t="n">
        <v>0.732699990272522</v>
      </c>
      <c r="G204" s="15" t="n">
        <v>2.13560009002686</v>
      </c>
      <c r="H204" s="16">
        <f>C204+E204</f>
        <v/>
      </c>
    </row>
    <row r="205">
      <c r="A205" s="12" t="n">
        <v>42299</v>
      </c>
      <c r="B205" s="15" t="n">
        <v>-0.295799992978573</v>
      </c>
      <c r="C205" s="15" t="n">
        <v>0.203999996185303</v>
      </c>
      <c r="D205" s="15" t="n">
        <v>2.20329999923706</v>
      </c>
      <c r="E205" s="15" t="n">
        <v>0.0169999822974205</v>
      </c>
      <c r="F205" s="15" t="n">
        <v>0.717899978160858</v>
      </c>
      <c r="G205" s="15" t="n">
        <v>2.12849998474121</v>
      </c>
      <c r="H205" s="16">
        <f>C205+E205</f>
        <v/>
      </c>
    </row>
    <row r="206">
      <c r="A206" s="12" t="n">
        <v>42300</v>
      </c>
      <c r="B206" s="15" t="n">
        <v>-0.275700006633997</v>
      </c>
      <c r="C206" s="15" t="n">
        <v>0.223100006580353</v>
      </c>
      <c r="D206" s="15" t="n">
        <v>2.21600008010864</v>
      </c>
      <c r="E206" s="15" t="n">
        <v>0.0212999321520329</v>
      </c>
      <c r="F206" s="15" t="n">
        <v>0.6952000260353089</v>
      </c>
      <c r="G206" s="15" t="n">
        <v>2.18470001220703</v>
      </c>
      <c r="H206" s="16">
        <f>C206+E206</f>
        <v/>
      </c>
    </row>
    <row r="207">
      <c r="A207" s="12" t="n">
        <v>42303</v>
      </c>
      <c r="B207" s="15" t="n">
        <v>-0.278200000524521</v>
      </c>
      <c r="C207" s="15" t="n">
        <v>0.212099999189377</v>
      </c>
      <c r="D207" s="15" t="n">
        <v>2.21059989929199</v>
      </c>
      <c r="E207" s="15" t="n">
        <v>0.0186001062393188</v>
      </c>
      <c r="F207" s="15" t="n">
        <v>0.7109000086784359</v>
      </c>
      <c r="G207" s="15" t="n">
        <v>2.16310000419617</v>
      </c>
      <c r="H207" s="16">
        <f>C207+E207</f>
        <v/>
      </c>
    </row>
    <row r="208">
      <c r="A208" s="12" t="n">
        <v>42304</v>
      </c>
      <c r="B208" s="15" t="n">
        <v>-0.284099996089935</v>
      </c>
      <c r="C208" s="15" t="n">
        <v>0.199599996209145</v>
      </c>
      <c r="D208" s="15" t="n">
        <v>2.20429992675781</v>
      </c>
      <c r="E208" s="15" t="n">
        <v>0.0154000967741013</v>
      </c>
      <c r="F208" s="15" t="n">
        <v>0.705799996852875</v>
      </c>
      <c r="G208" s="15" t="n">
        <v>2.13520002365112</v>
      </c>
      <c r="H208" s="16">
        <f>C208+E208</f>
        <v/>
      </c>
    </row>
    <row r="209">
      <c r="A209" s="12" t="n">
        <v>42305</v>
      </c>
      <c r="B209" s="15" t="n">
        <v>-0.257299996912479</v>
      </c>
      <c r="C209" s="15" t="n">
        <v>0.219099998474121</v>
      </c>
      <c r="D209" s="15" t="n">
        <v>2.21840000152588</v>
      </c>
      <c r="E209" s="15" t="n">
        <v>0.019600011408329</v>
      </c>
      <c r="F209" s="15" t="n">
        <v>0.734000027179718</v>
      </c>
      <c r="G209" s="15" t="n">
        <v>2.19980001449585</v>
      </c>
      <c r="H209" s="16">
        <f>C209+E209</f>
        <v/>
      </c>
    </row>
    <row r="210">
      <c r="A210" s="12" t="n">
        <v>42306</v>
      </c>
      <c r="B210" s="15" t="n">
        <v>-0.235500005073845</v>
      </c>
      <c r="C210" s="15" t="n">
        <v>0.245900005102158</v>
      </c>
      <c r="D210" s="15" t="n">
        <v>2.23499989509583</v>
      </c>
      <c r="E210" s="15" t="n">
        <v>0.0259001823142171</v>
      </c>
      <c r="F210" s="15" t="n">
        <v>0.718699991703033</v>
      </c>
      <c r="G210" s="15" t="n">
        <v>2.27130007743835</v>
      </c>
      <c r="H210" s="16">
        <f>C210+E210</f>
        <v/>
      </c>
    </row>
    <row r="211">
      <c r="A211" s="12" t="n">
        <v>42307</v>
      </c>
      <c r="B211" s="15" t="n">
        <v>-0.239899999927729</v>
      </c>
      <c r="C211" s="15" t="n">
        <v>0.23589999973774</v>
      </c>
      <c r="D211" s="15" t="n">
        <v>2.22900009155273</v>
      </c>
      <c r="E211" s="15" t="n">
        <v>0.0236998121254146</v>
      </c>
      <c r="F211" s="15" t="n">
        <v>0.703599989414215</v>
      </c>
      <c r="G211" s="15" t="n">
        <v>2.24869990348816</v>
      </c>
      <c r="H211" s="16">
        <f>C211+E211</f>
        <v/>
      </c>
    </row>
    <row r="212">
      <c r="A212" s="12" t="n">
        <v>42310</v>
      </c>
      <c r="B212" s="15" t="n">
        <v>-0.221799993887544</v>
      </c>
      <c r="C212" s="15" t="n">
        <v>0.245199993252754</v>
      </c>
      <c r="D212" s="15" t="n">
        <v>2.23720002174377</v>
      </c>
      <c r="E212" s="15" t="n">
        <v>0.025499889627099</v>
      </c>
      <c r="F212" s="15" t="n">
        <v>0.695100009441376</v>
      </c>
      <c r="G212" s="15" t="n">
        <v>2.28609991073608</v>
      </c>
      <c r="H212" s="16">
        <f>C212+E212</f>
        <v/>
      </c>
    </row>
    <row r="213">
      <c r="A213" s="12" t="n">
        <v>42311</v>
      </c>
      <c r="B213" s="15" t="n">
        <v>-0.212200004607439</v>
      </c>
      <c r="C213" s="15" t="n">
        <v>0.258100003004074</v>
      </c>
      <c r="D213" s="15" t="n">
        <v>2.2451000213623</v>
      </c>
      <c r="E213" s="15" t="n">
        <v>0.0284000523388386</v>
      </c>
      <c r="F213" s="15" t="n">
        <v>0.670499980449677</v>
      </c>
      <c r="G213" s="15" t="n">
        <v>2.31940007209778</v>
      </c>
      <c r="H213" s="16">
        <f>C213+E213</f>
        <v/>
      </c>
    </row>
    <row r="214">
      <c r="A214" s="12" t="n">
        <v>42312</v>
      </c>
      <c r="B214" s="15" t="n">
        <v>-0.20159999281168</v>
      </c>
      <c r="C214" s="15" t="n">
        <v>0.265399992465973</v>
      </c>
      <c r="D214" s="15" t="n">
        <v>2.24990010261536</v>
      </c>
      <c r="E214" s="15" t="n">
        <v>0.0301998630166054</v>
      </c>
      <c r="F214" s="15" t="n">
        <v>0.686800003051758</v>
      </c>
      <c r="G214" s="15" t="n">
        <v>2.34389996528625</v>
      </c>
      <c r="H214" s="16">
        <f>C214+E214</f>
        <v/>
      </c>
    </row>
    <row r="215">
      <c r="A215" s="12" t="n">
        <v>42313</v>
      </c>
      <c r="B215" s="15" t="n">
        <v>-0.19879999011755</v>
      </c>
      <c r="C215" s="15" t="n">
        <v>0.268999993801117</v>
      </c>
      <c r="D215" s="15" t="n">
        <v>2.25189995765686</v>
      </c>
      <c r="E215" s="15" t="n">
        <v>0.0312001332640648</v>
      </c>
      <c r="F215" s="15" t="n">
        <v>0.706700026988983</v>
      </c>
      <c r="G215" s="15" t="n">
        <v>2.35330009460449</v>
      </c>
      <c r="H215" s="16">
        <f>C215+E215</f>
        <v/>
      </c>
    </row>
    <row r="216">
      <c r="A216" s="12" t="n">
        <v>42314</v>
      </c>
      <c r="B216" s="15" t="n">
        <v>-0.167399987578392</v>
      </c>
      <c r="C216" s="15" t="n">
        <v>0.294099986553192</v>
      </c>
      <c r="D216" s="15" t="n">
        <v>2.26990008354187</v>
      </c>
      <c r="E216" s="15" t="n">
        <v>0.0366999357938766</v>
      </c>
      <c r="F216" s="15" t="n">
        <v>0.680499970912933</v>
      </c>
      <c r="G216" s="15" t="n">
        <v>2.43330001831055</v>
      </c>
      <c r="H216" s="16">
        <f>C216+E216</f>
        <v/>
      </c>
    </row>
    <row r="217">
      <c r="A217" s="12" t="n">
        <v>42317</v>
      </c>
      <c r="B217" s="15" t="n">
        <v>-0.156499996781349</v>
      </c>
      <c r="C217" s="15" t="n">
        <v>0.299699991941452</v>
      </c>
      <c r="D217" s="15" t="n">
        <v>2.27509999275208</v>
      </c>
      <c r="E217" s="15" t="n">
        <v>0.0375000685453415</v>
      </c>
      <c r="F217" s="15" t="n">
        <v>0.664699971675873</v>
      </c>
      <c r="G217" s="15" t="n">
        <v>2.45580005645752</v>
      </c>
      <c r="H217" s="16">
        <f>C217+E217</f>
        <v/>
      </c>
    </row>
    <row r="218">
      <c r="A218" s="12" t="n">
        <v>42318</v>
      </c>
      <c r="B218" s="15" t="n">
        <v>-0.162599995732307</v>
      </c>
      <c r="C218" s="15" t="n">
        <v>0.293799996376038</v>
      </c>
      <c r="D218" s="15" t="n">
        <v>2.27180004119873</v>
      </c>
      <c r="E218" s="15" t="n">
        <v>0.0359998494386673</v>
      </c>
      <c r="F218" s="15" t="n">
        <v>0.6796000003814699</v>
      </c>
      <c r="G218" s="15" t="n">
        <v>2.43899989128113</v>
      </c>
      <c r="H218" s="16">
        <f>C218+E218</f>
        <v/>
      </c>
    </row>
    <row r="219">
      <c r="A219" s="12" t="n">
        <v>42320</v>
      </c>
      <c r="B219" s="15" t="n">
        <v>-0.16049998998642</v>
      </c>
      <c r="C219" s="15" t="n">
        <v>0.295399993658066</v>
      </c>
      <c r="D219" s="15" t="n">
        <v>2.27300000190735</v>
      </c>
      <c r="E219" s="15" t="n">
        <v>0.0363000333309174</v>
      </c>
      <c r="F219" s="15" t="n">
        <v>0.688300013542175</v>
      </c>
      <c r="G219" s="15" t="n">
        <v>2.44420003890991</v>
      </c>
      <c r="H219" s="16">
        <f>C219+E219</f>
        <v/>
      </c>
    </row>
    <row r="220">
      <c r="A220" s="12" t="n">
        <v>42321</v>
      </c>
      <c r="B220" s="15" t="n">
        <v>-0.177800014615059</v>
      </c>
      <c r="C220" s="15" t="n">
        <v>0.285100013017654</v>
      </c>
      <c r="D220" s="15" t="n">
        <v>2.26469993591309</v>
      </c>
      <c r="E220" s="15" t="n">
        <v>0.0341999977827072</v>
      </c>
      <c r="F220" s="15" t="n">
        <v>0.72189998626709</v>
      </c>
      <c r="G220" s="15" t="n">
        <v>2.40619993209839</v>
      </c>
      <c r="H220" s="16">
        <f>C220+E220</f>
        <v/>
      </c>
    </row>
    <row r="221">
      <c r="A221" s="12" t="n">
        <v>42324</v>
      </c>
      <c r="B221" s="15" t="n">
        <v>-0.18019999563694</v>
      </c>
      <c r="C221" s="15" t="n">
        <v>0.276899993419647</v>
      </c>
      <c r="D221" s="15" t="n">
        <v>2.26099991798401</v>
      </c>
      <c r="E221" s="15" t="n">
        <v>0.0320000201463699</v>
      </c>
      <c r="F221" s="15" t="n">
        <v>0.731500029563904</v>
      </c>
      <c r="G221" s="15" t="n">
        <v>2.38969993591309</v>
      </c>
      <c r="H221" s="16">
        <f>C221+E221</f>
        <v/>
      </c>
    </row>
    <row r="222">
      <c r="A222" s="12" t="n">
        <v>42325</v>
      </c>
      <c r="B222" s="15" t="n">
        <v>-0.183900006115437</v>
      </c>
      <c r="C222" s="15" t="n">
        <v>0.266400009393692</v>
      </c>
      <c r="D222" s="15" t="n">
        <v>2.25539994239807</v>
      </c>
      <c r="E222" s="15" t="n">
        <v>0.0294999852776527</v>
      </c>
      <c r="F222" s="15" t="n">
        <v>0.7153000235557559</v>
      </c>
      <c r="G222" s="15" t="n">
        <v>2.36739993095398</v>
      </c>
      <c r="H222" s="16">
        <f>C222+E222</f>
        <v/>
      </c>
    </row>
    <row r="223">
      <c r="A223" s="12" t="n">
        <v>42326</v>
      </c>
      <c r="B223" s="15" t="n">
        <v>-0.180299982428551</v>
      </c>
      <c r="C223" s="15" t="n">
        <v>0.274699985980988</v>
      </c>
      <c r="D223" s="15" t="n">
        <v>2.25909996032715</v>
      </c>
      <c r="E223" s="15" t="n">
        <v>0.031900092959404</v>
      </c>
      <c r="F223" s="15" t="n">
        <v>0.701600015163422</v>
      </c>
      <c r="G223" s="15" t="n">
        <v>2.38540005683899</v>
      </c>
      <c r="H223" s="16">
        <f>C223+E223</f>
        <v/>
      </c>
    </row>
    <row r="224">
      <c r="A224" s="12" t="n">
        <v>42327</v>
      </c>
      <c r="B224" s="15" t="n">
        <v>-0.189099997282028</v>
      </c>
      <c r="C224" s="15" t="n">
        <v>0.264699995517731</v>
      </c>
      <c r="D224" s="15" t="n">
        <v>2.25189995765686</v>
      </c>
      <c r="E224" s="15" t="n">
        <v>0.0298999845981598</v>
      </c>
      <c r="F224" s="15" t="n">
        <v>0.67849999666214</v>
      </c>
      <c r="G224" s="15" t="n">
        <v>2.35739994049072</v>
      </c>
      <c r="H224" s="16">
        <f>C224+E224</f>
        <v/>
      </c>
    </row>
    <row r="225">
      <c r="A225" s="12" t="n">
        <v>42328</v>
      </c>
      <c r="B225" s="15" t="n">
        <v>-0.184500001370907</v>
      </c>
      <c r="C225" s="15" t="n">
        <v>0.269600003957748</v>
      </c>
      <c r="D225" s="15" t="n">
        <v>2.25469994544983</v>
      </c>
      <c r="E225" s="15" t="n">
        <v>0.0310999676585197</v>
      </c>
      <c r="F225" s="15" t="n">
        <v>0.656499981880188</v>
      </c>
      <c r="G225" s="15" t="n">
        <v>2.37089991569519</v>
      </c>
      <c r="H225" s="16">
        <f>C225+E225</f>
        <v/>
      </c>
    </row>
    <row r="226">
      <c r="A226" s="12" t="n">
        <v>42331</v>
      </c>
      <c r="B226" s="15" t="n">
        <v>-0.18189998716116</v>
      </c>
      <c r="C226" s="15" t="n">
        <v>0.259099990129471</v>
      </c>
      <c r="D226" s="15" t="n">
        <v>2.2506000995636</v>
      </c>
      <c r="E226" s="15" t="n">
        <v>0.028299979865551</v>
      </c>
      <c r="F226" s="15" t="n">
        <v>0.644599974155426</v>
      </c>
      <c r="G226" s="15" t="n">
        <v>2.35610008239746</v>
      </c>
      <c r="H226" s="16">
        <f>C226+E226</f>
        <v/>
      </c>
    </row>
    <row r="227">
      <c r="A227" s="12" t="n">
        <v>42332</v>
      </c>
      <c r="B227" s="15" t="n">
        <v>-0.185699999332428</v>
      </c>
      <c r="C227" s="15" t="n">
        <v>0.250699996948242</v>
      </c>
      <c r="D227" s="15" t="n">
        <v>2.24629998207092</v>
      </c>
      <c r="E227" s="15" t="n">
        <v>0.0262001156806946</v>
      </c>
      <c r="F227" s="15" t="n">
        <v>0.633599996566772</v>
      </c>
      <c r="G227" s="15" t="n">
        <v>2.33750009536743</v>
      </c>
      <c r="H227" s="16">
        <f>C227+E227</f>
        <v/>
      </c>
    </row>
    <row r="228">
      <c r="A228" s="12" t="n">
        <v>42333</v>
      </c>
      <c r="B228" s="15" t="n">
        <v>-0.1824000030756</v>
      </c>
      <c r="C228" s="15" t="n">
        <v>0.248500004410744</v>
      </c>
      <c r="D228" s="15" t="n">
        <v>2.24640011787415</v>
      </c>
      <c r="E228" s="15" t="n">
        <v>0.0253998041152954</v>
      </c>
      <c r="F228" s="15" t="n">
        <v>0.636300027370453</v>
      </c>
      <c r="G228" s="15" t="n">
        <v>2.33789992332458</v>
      </c>
      <c r="H228" s="16">
        <f>C228+E228</f>
        <v/>
      </c>
    </row>
    <row r="229">
      <c r="A229" s="12" t="n">
        <v>42335</v>
      </c>
      <c r="B229" s="15" t="n">
        <v>-0.18690000474453</v>
      </c>
      <c r="C229" s="15" t="n">
        <v>0.245100006461143</v>
      </c>
      <c r="D229" s="15" t="n">
        <v>2.24410009384155</v>
      </c>
      <c r="E229" s="15" t="n">
        <v>0.0245999097824097</v>
      </c>
      <c r="F229" s="15" t="n">
        <v>0.635299980640411</v>
      </c>
      <c r="G229" s="15" t="n">
        <v>2.32690000534058</v>
      </c>
      <c r="H229" s="16">
        <f>C229+E229</f>
        <v/>
      </c>
    </row>
    <row r="230">
      <c r="A230" s="12" t="n">
        <v>42338</v>
      </c>
      <c r="B230" s="15" t="n">
        <v>-0.181600000709295</v>
      </c>
      <c r="C230" s="15" t="n">
        <v>0.238499999046326</v>
      </c>
      <c r="D230" s="15" t="n">
        <v>2.24259996414185</v>
      </c>
      <c r="E230" s="15" t="n">
        <v>0.022700097411871</v>
      </c>
      <c r="F230" s="15" t="n">
        <v>0.644800007343292</v>
      </c>
      <c r="G230" s="15" t="n">
        <v>2.32220005989075</v>
      </c>
      <c r="H230" s="16">
        <f>C230+E230</f>
        <v/>
      </c>
    </row>
    <row r="231">
      <c r="A231" s="12" t="n">
        <v>42339</v>
      </c>
      <c r="B231" s="15" t="n">
        <v>-0.201099992729723</v>
      </c>
      <c r="C231" s="15" t="n">
        <v>0.213499993085861</v>
      </c>
      <c r="D231" s="15" t="n">
        <v>2.22709989547729</v>
      </c>
      <c r="E231" s="15" t="n">
        <v>0.0169002125039697</v>
      </c>
      <c r="F231" s="15" t="n">
        <v>0.645600020885468</v>
      </c>
      <c r="G231" s="15" t="n">
        <v>2.2564001083374</v>
      </c>
      <c r="H231" s="16">
        <f>C231+E231</f>
        <v/>
      </c>
    </row>
    <row r="232">
      <c r="A232" s="12" t="n">
        <v>42340</v>
      </c>
      <c r="B232" s="15" t="n">
        <v>-0.191099993884563</v>
      </c>
      <c r="C232" s="15" t="n">
        <v>0.223199993371964</v>
      </c>
      <c r="D232" s="15" t="n">
        <v>2.23340010643005</v>
      </c>
      <c r="E232" s="15" t="n">
        <v>0.0191998109221458</v>
      </c>
      <c r="F232" s="15" t="n">
        <v>0.667699992656708</v>
      </c>
      <c r="G232" s="15" t="n">
        <v>2.2846999168396</v>
      </c>
      <c r="H232" s="16">
        <f>C232+E232</f>
        <v/>
      </c>
    </row>
    <row r="233">
      <c r="A233" s="12" t="n">
        <v>42341</v>
      </c>
      <c r="B233" s="15" t="n">
        <v>-0.147699996829033</v>
      </c>
      <c r="C233" s="15" t="n">
        <v>0.275299996137619</v>
      </c>
      <c r="D233" s="15" t="n">
        <v>2.2671000957489</v>
      </c>
      <c r="E233" s="15" t="n">
        <v>0.0306999236345291</v>
      </c>
      <c r="F233" s="15" t="n">
        <v>0.667100012302399</v>
      </c>
      <c r="G233" s="15" t="n">
        <v>2.42540001869202</v>
      </c>
      <c r="H233" s="16">
        <f>C233+E233</f>
        <v/>
      </c>
    </row>
    <row r="234">
      <c r="A234" s="12" t="n">
        <v>42342</v>
      </c>
      <c r="B234" s="15" t="n">
        <v>-0.154999993741512</v>
      </c>
      <c r="C234" s="15" t="n">
        <v>0.255699992179871</v>
      </c>
      <c r="D234" s="15" t="n">
        <v>2.25690007209778</v>
      </c>
      <c r="E234" s="15" t="n">
        <v>0.0259000286459923</v>
      </c>
      <c r="F234" s="15" t="n">
        <v>0.660799980163574</v>
      </c>
      <c r="G234" s="15" t="n">
        <v>2.38350009918213</v>
      </c>
      <c r="H234" s="16">
        <f>C234+E234</f>
        <v/>
      </c>
    </row>
    <row r="235">
      <c r="A235" s="12" t="n">
        <v>42345</v>
      </c>
      <c r="B235" s="15" t="n">
        <v>-0.158399991691113</v>
      </c>
      <c r="C235" s="15" t="n">
        <v>0.22859999537468</v>
      </c>
      <c r="D235" s="15" t="n">
        <v>2.24480009078979</v>
      </c>
      <c r="E235" s="15" t="n">
        <v>0.0186998471617699</v>
      </c>
      <c r="F235" s="15" t="n">
        <v>0.687799990177155</v>
      </c>
      <c r="G235" s="15" t="n">
        <v>2.33369994163513</v>
      </c>
      <c r="H235" s="16">
        <f>C235+E235</f>
        <v/>
      </c>
    </row>
    <row r="236">
      <c r="A236" s="12" t="n">
        <v>42346</v>
      </c>
      <c r="B236" s="15" t="n">
        <v>-0.155500002205372</v>
      </c>
      <c r="C236" s="15" t="n">
        <v>0.225700005888939</v>
      </c>
      <c r="D236" s="15" t="n">
        <v>2.24460005760193</v>
      </c>
      <c r="E236" s="15" t="n">
        <v>0.0176999196410179</v>
      </c>
      <c r="F236" s="15" t="n">
        <v>0.687900006771088</v>
      </c>
      <c r="G236" s="15" t="n">
        <v>2.33249998092651</v>
      </c>
      <c r="H236" s="16">
        <f>C236+E236</f>
        <v/>
      </c>
    </row>
    <row r="237">
      <c r="A237" s="12" t="n">
        <v>42347</v>
      </c>
      <c r="B237" s="15" t="n">
        <v>-0.167899996042252</v>
      </c>
      <c r="C237" s="15" t="n">
        <v>0.223299995064735</v>
      </c>
      <c r="D237" s="15" t="n">
        <v>2.24110007286072</v>
      </c>
      <c r="E237" s="15" t="n">
        <v>0.0173000246286392</v>
      </c>
      <c r="F237" s="15" t="n">
        <v>0.714999973773956</v>
      </c>
      <c r="G237" s="15" t="n">
        <v>2.31380009651184</v>
      </c>
      <c r="H237" s="16">
        <f>C237+E237</f>
        <v/>
      </c>
    </row>
    <row r="238">
      <c r="A238" s="12" t="n">
        <v>42348</v>
      </c>
      <c r="B238" s="15" t="n">
        <v>-0.157300002872944</v>
      </c>
      <c r="C238" s="15" t="n">
        <v>0.231700003147125</v>
      </c>
      <c r="D238" s="15" t="n">
        <v>2.24699997901917</v>
      </c>
      <c r="E238" s="15" t="n">
        <v>0.0192000344395638</v>
      </c>
      <c r="F238" s="15" t="n">
        <v>0.7378000020980831</v>
      </c>
      <c r="G238" s="15" t="n">
        <v>2.34060001373291</v>
      </c>
      <c r="H238" s="16">
        <f>C238+E238</f>
        <v/>
      </c>
    </row>
    <row r="239">
      <c r="A239" s="12" t="n">
        <v>42349</v>
      </c>
      <c r="B239" s="15" t="n">
        <v>-0.195199995301664</v>
      </c>
      <c r="C239" s="15" t="n">
        <v>0.192499995231628</v>
      </c>
      <c r="D239" s="15" t="n">
        <v>2.2211000919342</v>
      </c>
      <c r="E239" s="15" t="n">
        <v>0.0103999665006995</v>
      </c>
      <c r="F239" s="15" t="n">
        <v>0.738499999046326</v>
      </c>
      <c r="G239" s="15" t="n">
        <v>2.22880005836487</v>
      </c>
      <c r="H239" s="16">
        <f>C239+E239</f>
        <v/>
      </c>
    </row>
    <row r="240">
      <c r="A240" s="12" t="n">
        <v>42352</v>
      </c>
      <c r="B240" s="15" t="n">
        <v>-0.160700000822544</v>
      </c>
      <c r="C240" s="15" t="n">
        <v>0.229699999094009</v>
      </c>
      <c r="D240" s="15" t="n">
        <v>2.24550008773804</v>
      </c>
      <c r="E240" s="15" t="n">
        <v>0.0186998918652534</v>
      </c>
      <c r="F240" s="15" t="n">
        <v>0.775499999523163</v>
      </c>
      <c r="G240" s="15" t="n">
        <v>2.33319997787476</v>
      </c>
      <c r="H240" s="16">
        <f>C240+E240</f>
        <v/>
      </c>
    </row>
    <row r="241">
      <c r="A241" s="12" t="n">
        <v>42353</v>
      </c>
      <c r="B241" s="15" t="n">
        <v>-0.147799991071224</v>
      </c>
      <c r="C241" s="15" t="n">
        <v>0.24439999461174</v>
      </c>
      <c r="D241" s="15" t="n">
        <v>2.25440001487732</v>
      </c>
      <c r="E241" s="15" t="n">
        <v>0.0223000571131706</v>
      </c>
      <c r="F241" s="15" t="n">
        <v>0.764800012111664</v>
      </c>
      <c r="G241" s="15" t="n">
        <v>2.37330007553101</v>
      </c>
      <c r="H241" s="16">
        <f>C241+E241</f>
        <v/>
      </c>
    </row>
    <row r="242">
      <c r="A242" s="12" t="n">
        <v>42354</v>
      </c>
      <c r="B242" s="15" t="n">
        <v>-0.139399997889996</v>
      </c>
      <c r="C242" s="15" t="n">
        <v>0.259499996900558</v>
      </c>
      <c r="D242" s="15" t="n">
        <v>2.26189994812012</v>
      </c>
      <c r="E242" s="15" t="n">
        <v>0.0264001116156578</v>
      </c>
      <c r="F242" s="15" t="n">
        <v>0.753700017929077</v>
      </c>
      <c r="G242" s="15" t="n">
        <v>2.40840005874634</v>
      </c>
      <c r="H242" s="16">
        <f>C242+E242</f>
        <v/>
      </c>
    </row>
    <row r="243">
      <c r="A243" s="12" t="n">
        <v>42355</v>
      </c>
      <c r="B243" s="15" t="n">
        <v>-0.161799997091293</v>
      </c>
      <c r="C243" s="15" t="n">
        <v>0.235699996352196</v>
      </c>
      <c r="D243" s="15" t="n">
        <v>2.24489998817444</v>
      </c>
      <c r="E243" s="15" t="n">
        <v>0.0215999931097031</v>
      </c>
      <c r="F243" s="15" t="n">
        <v>0.73580002784729</v>
      </c>
      <c r="G243" s="15" t="n">
        <v>2.34039998054504</v>
      </c>
      <c r="H243" s="16">
        <f>C243+E243</f>
        <v/>
      </c>
    </row>
    <row r="244">
      <c r="A244" s="12" t="n">
        <v>42356</v>
      </c>
      <c r="B244" s="15" t="n">
        <v>-0.177600003778934</v>
      </c>
      <c r="C244" s="15" t="n">
        <v>0.220200002193451</v>
      </c>
      <c r="D244" s="15" t="n">
        <v>2.23420000076294</v>
      </c>
      <c r="E244" s="15" t="n">
        <v>0.018299974501133</v>
      </c>
      <c r="F244" s="15" t="n">
        <v>0.753600001335144</v>
      </c>
      <c r="G244" s="15" t="n">
        <v>2.29509997367859</v>
      </c>
      <c r="H244" s="16">
        <f>C244+E244</f>
        <v/>
      </c>
    </row>
    <row r="245">
      <c r="A245" s="12" t="n">
        <v>42359</v>
      </c>
      <c r="B245" s="15" t="n">
        <v>-0.173600006848574</v>
      </c>
      <c r="C245" s="15" t="n">
        <v>0.216900005936623</v>
      </c>
      <c r="D245" s="15" t="n">
        <v>2.23420000076294</v>
      </c>
      <c r="E245" s="15" t="n">
        <v>0.0170001126825809</v>
      </c>
      <c r="F245" s="15" t="n">
        <v>0.773100018501282</v>
      </c>
      <c r="G245" s="15" t="n">
        <v>2.29450011253357</v>
      </c>
      <c r="H245" s="16">
        <f>C245+E245</f>
        <v/>
      </c>
    </row>
    <row r="246">
      <c r="A246" s="12" t="n">
        <v>42360</v>
      </c>
      <c r="B246" s="15" t="n">
        <v>-0.165200002491474</v>
      </c>
      <c r="C246" s="15" t="n">
        <v>0.234500005841255</v>
      </c>
      <c r="D246" s="15" t="n">
        <v>2.24349999427795</v>
      </c>
      <c r="E246" s="15" t="n">
        <v>0.0213999077677727</v>
      </c>
      <c r="F246" s="15" t="n">
        <v>0.7465999722480769</v>
      </c>
      <c r="G246" s="15" t="n">
        <v>2.33419990539551</v>
      </c>
      <c r="H246" s="16">
        <f>C246+E246</f>
        <v/>
      </c>
    </row>
    <row r="247">
      <c r="A247" s="12" t="n">
        <v>42361</v>
      </c>
      <c r="B247" s="15" t="n">
        <v>-0.156599998474121</v>
      </c>
      <c r="C247" s="15" t="n">
        <v>0.247999995946884</v>
      </c>
      <c r="D247" s="15" t="n">
        <v>2.25130009651184</v>
      </c>
      <c r="E247" s="15" t="n">
        <v>0.0246998369693756</v>
      </c>
      <c r="F247" s="15" t="n">
        <v>0.714900016784668</v>
      </c>
      <c r="G247" s="15" t="n">
        <v>2.36739993095398</v>
      </c>
      <c r="H247" s="16">
        <f>C247+E247</f>
        <v/>
      </c>
    </row>
    <row r="248">
      <c r="A248" s="12" t="n">
        <v>42362</v>
      </c>
      <c r="B248" s="15" t="n">
        <v>-0.158500008285046</v>
      </c>
      <c r="C248" s="15" t="n">
        <v>0.239800006151199</v>
      </c>
      <c r="D248" s="15" t="n">
        <v>2.24710011482239</v>
      </c>
      <c r="E248" s="15" t="n">
        <v>0.0226998552680016</v>
      </c>
      <c r="F248" s="15" t="n">
        <v>0.705699980258942</v>
      </c>
      <c r="G248" s="15" t="n">
        <v>2.35109996795654</v>
      </c>
      <c r="H248" s="16">
        <f>C248+E248</f>
        <v/>
      </c>
    </row>
    <row r="249">
      <c r="A249" s="12" t="n">
        <v>42366</v>
      </c>
      <c r="B249" s="15" t="n">
        <v>-0.157800003886223</v>
      </c>
      <c r="C249" s="15" t="n">
        <v>0.233600005507469</v>
      </c>
      <c r="D249" s="15" t="n">
        <v>2.24440002441406</v>
      </c>
      <c r="E249" s="15" t="n">
        <v>0.0210999846458435</v>
      </c>
      <c r="F249" s="15" t="n">
        <v>0.712300002574921</v>
      </c>
      <c r="G249" s="15" t="n">
        <v>2.34130001068115</v>
      </c>
      <c r="H249" s="16">
        <f>C249+E249</f>
        <v/>
      </c>
    </row>
    <row r="250">
      <c r="A250" s="12" t="n">
        <v>42367</v>
      </c>
      <c r="B250" s="15" t="n">
        <v>-0.135200008749962</v>
      </c>
      <c r="C250" s="15" t="n">
        <v>0.26350000500679</v>
      </c>
      <c r="D250" s="15" t="n">
        <v>2.26270008087158</v>
      </c>
      <c r="E250" s="15" t="n">
        <v>0.0279998332262039</v>
      </c>
      <c r="F250" s="15" t="n">
        <v>0.715699970722198</v>
      </c>
      <c r="G250" s="15" t="n">
        <v>2.41899991035461</v>
      </c>
      <c r="H250" s="16">
        <f>C250+E250</f>
        <v/>
      </c>
    </row>
    <row r="251">
      <c r="A251" s="12" t="n">
        <v>42368</v>
      </c>
      <c r="B251" s="15" t="n">
        <v>-0.140799999237061</v>
      </c>
      <c r="C251" s="15" t="n">
        <v>0.266000002622604</v>
      </c>
      <c r="D251" s="15" t="n">
        <v>2.26230001449585</v>
      </c>
      <c r="E251" s="15" t="n">
        <v>0.0290000736713409</v>
      </c>
      <c r="F251" s="15" t="n">
        <v>0.708999991416931</v>
      </c>
      <c r="G251" s="15" t="n">
        <v>2.41650009155273</v>
      </c>
      <c r="H251" s="16">
        <f>C251+E251</f>
        <v/>
      </c>
    </row>
    <row r="252">
      <c r="A252" s="12" t="n">
        <v>42369</v>
      </c>
      <c r="B252" s="15" t="n">
        <v>-0.150200001895428</v>
      </c>
      <c r="C252" s="15" t="n">
        <v>0.252000004053116</v>
      </c>
      <c r="D252" s="15" t="n">
        <v>2.25430011749268</v>
      </c>
      <c r="E252" s="15" t="n">
        <v>0.0255999192595482</v>
      </c>
      <c r="F252" s="15" t="n">
        <v>0.687900006771088</v>
      </c>
      <c r="G252" s="15" t="n">
        <v>2.38170003890991</v>
      </c>
      <c r="H252" s="16">
        <f>C252+E252</f>
        <v/>
      </c>
    </row>
    <row r="253">
      <c r="A253" s="12" t="n">
        <v>42373</v>
      </c>
      <c r="B253" s="15" t="n">
        <v>-0.15990000218153</v>
      </c>
      <c r="C253" s="15" t="n">
        <v>0.23870000243187</v>
      </c>
      <c r="D253" s="15" t="n">
        <v>2.24640011787415</v>
      </c>
      <c r="E253" s="15" t="n">
        <v>0.022399865090847</v>
      </c>
      <c r="F253" s="15" t="n">
        <v>0.674700021743774</v>
      </c>
      <c r="G253" s="15" t="n">
        <v>2.34759998321533</v>
      </c>
      <c r="H253" s="16">
        <f>C253+E253</f>
        <v/>
      </c>
    </row>
    <row r="254">
      <c r="A254" s="12" t="n">
        <v>42374</v>
      </c>
      <c r="B254" s="15" t="n">
        <v>-0.157399997115135</v>
      </c>
      <c r="C254" s="15" t="n">
        <v>0.241899996995926</v>
      </c>
      <c r="D254" s="15" t="n">
        <v>2.24860000610352</v>
      </c>
      <c r="E254" s="15" t="n">
        <v>0.0230999737977982</v>
      </c>
      <c r="F254" s="15" t="n">
        <v>0.668699979782104</v>
      </c>
      <c r="G254" s="15" t="n">
        <v>2.3561999797821</v>
      </c>
      <c r="H254" s="16">
        <f>C254+E254</f>
        <v/>
      </c>
    </row>
    <row r="255">
      <c r="A255" s="12" t="n">
        <v>42375</v>
      </c>
      <c r="B255" s="15" t="n">
        <v>-0.18129999935627</v>
      </c>
      <c r="C255" s="15" t="n">
        <v>0.217500001192093</v>
      </c>
      <c r="D255" s="15" t="n">
        <v>2.23259997367859</v>
      </c>
      <c r="E255" s="15" t="n">
        <v>0.0176001042127609</v>
      </c>
      <c r="F255" s="15" t="n">
        <v>0.691600024700165</v>
      </c>
      <c r="G255" s="15" t="n">
        <v>2.28640007972717</v>
      </c>
      <c r="H255" s="16">
        <f>C255+E255</f>
        <v/>
      </c>
    </row>
    <row r="256">
      <c r="A256" s="12" t="n">
        <v>42376</v>
      </c>
      <c r="B256" s="15" t="n">
        <v>-0.192899995483458</v>
      </c>
      <c r="C256" s="15" t="n">
        <v>0.207499995827675</v>
      </c>
      <c r="D256" s="15" t="n">
        <v>2.2260000705719</v>
      </c>
      <c r="E256" s="15" t="n">
        <v>0.0151999378576875</v>
      </c>
      <c r="F256" s="15" t="n">
        <v>0.70660001039505</v>
      </c>
      <c r="G256" s="15" t="n">
        <v>2.2558000087738</v>
      </c>
      <c r="H256" s="16">
        <f>C256+E256</f>
        <v/>
      </c>
    </row>
    <row r="257">
      <c r="A257" s="12" t="n">
        <v>42377</v>
      </c>
      <c r="B257" s="15" t="n">
        <v>-0.203400002326816</v>
      </c>
      <c r="C257" s="15" t="n">
        <v>0.19820000231266</v>
      </c>
      <c r="D257" s="15" t="n">
        <v>2.22000002861023</v>
      </c>
      <c r="E257" s="15" t="n">
        <v>0.0129998638294637</v>
      </c>
      <c r="F257" s="15" t="n">
        <v>0.708199977874756</v>
      </c>
      <c r="G257" s="15" t="n">
        <v>2.22779989242554</v>
      </c>
      <c r="H257" s="16">
        <f>C257+E257</f>
        <v/>
      </c>
    </row>
    <row r="258">
      <c r="A258" s="12" t="n">
        <v>42380</v>
      </c>
      <c r="B258" s="15" t="n">
        <v>-0.189900001510978</v>
      </c>
      <c r="C258" s="15" t="n">
        <v>0.212200000882149</v>
      </c>
      <c r="D258" s="15" t="n">
        <v>2.23040008544922</v>
      </c>
      <c r="E258" s="15" t="n">
        <v>0.0155999716371298</v>
      </c>
      <c r="F258" s="15" t="n">
        <v>0.744599997997284</v>
      </c>
      <c r="G258" s="15" t="n">
        <v>2.26830005645752</v>
      </c>
      <c r="H258" s="16">
        <f>C258+E258</f>
        <v/>
      </c>
    </row>
    <row r="259">
      <c r="A259" s="12" t="n">
        <v>42381</v>
      </c>
      <c r="B259" s="15" t="n">
        <v>-0.206199993379414</v>
      </c>
      <c r="C259" s="15" t="n">
        <v>0.19149999320507</v>
      </c>
      <c r="D259" s="15" t="n">
        <v>2.21740007400513</v>
      </c>
      <c r="E259" s="15" t="n">
        <v>0.0108998464420438</v>
      </c>
      <c r="F259" s="15" t="n">
        <v>0.749400019645691</v>
      </c>
      <c r="G259" s="15" t="n">
        <v>2.21359992027283</v>
      </c>
      <c r="H259" s="16">
        <f>C259+E259</f>
        <v/>
      </c>
    </row>
    <row r="260">
      <c r="A260" s="12" t="n">
        <v>42382</v>
      </c>
      <c r="B260" s="15" t="n">
        <v>-0.221099995076656</v>
      </c>
      <c r="C260" s="15" t="n">
        <v>0.173899993300438</v>
      </c>
      <c r="D260" s="15" t="n">
        <v>2.20619988441467</v>
      </c>
      <c r="E260" s="15" t="n">
        <v>0.0069001093506813</v>
      </c>
      <c r="F260" s="15" t="n">
        <v>0.745299994945526</v>
      </c>
      <c r="G260" s="15" t="n">
        <v>2.16589999198914</v>
      </c>
      <c r="H260" s="16">
        <f>C260+E260</f>
        <v/>
      </c>
    </row>
    <row r="261">
      <c r="A261" s="12" t="n">
        <v>42383</v>
      </c>
      <c r="B261" s="15" t="n">
        <v>-0.21760000474751</v>
      </c>
      <c r="C261" s="15" t="n">
        <v>0.187800005078316</v>
      </c>
      <c r="D261" s="15" t="n">
        <v>2.21339988708496</v>
      </c>
      <c r="E261" s="15" t="n">
        <v>0.0103002209216356</v>
      </c>
      <c r="F261" s="15" t="n">
        <v>0.739600002765656</v>
      </c>
      <c r="G261" s="15" t="n">
        <v>2.1939001083374</v>
      </c>
      <c r="H261" s="16">
        <f>C261+E261</f>
        <v/>
      </c>
    </row>
    <row r="262">
      <c r="A262" s="12" t="n">
        <v>42384</v>
      </c>
      <c r="B262" s="15" t="n">
        <v>-0.24379999935627</v>
      </c>
      <c r="C262" s="15" t="n">
        <v>0.172600001096725</v>
      </c>
      <c r="D262" s="15" t="n">
        <v>2.20059990882874</v>
      </c>
      <c r="E262" s="15" t="n">
        <v>0.00740014016628265</v>
      </c>
      <c r="F262" s="15" t="n">
        <v>0.780799984931946</v>
      </c>
      <c r="G262" s="15" t="n">
        <v>2.13680005073547</v>
      </c>
      <c r="H262" s="16">
        <f>C262+E262</f>
        <v/>
      </c>
    </row>
    <row r="263">
      <c r="A263" s="12" t="n">
        <v>42388</v>
      </c>
      <c r="B263" s="15" t="n">
        <v>-0.238399993628263</v>
      </c>
      <c r="C263" s="15" t="n">
        <v>0.176599994301796</v>
      </c>
      <c r="D263" s="15" t="n">
        <v>2.20320010185242</v>
      </c>
      <c r="E263" s="15" t="n">
        <v>0.0082998238503933</v>
      </c>
      <c r="F263" s="15" t="n">
        <v>0.760699987411499</v>
      </c>
      <c r="G263" s="15" t="n">
        <v>2.14969992637634</v>
      </c>
      <c r="H263" s="16">
        <f>C263+E263</f>
        <v/>
      </c>
    </row>
    <row r="264">
      <c r="A264" s="12" t="n">
        <v>42389</v>
      </c>
      <c r="B264" s="15" t="n">
        <v>-0.255800008773804</v>
      </c>
      <c r="C264" s="15" t="n">
        <v>0.163200005888939</v>
      </c>
      <c r="D264" s="15" t="n">
        <v>2.1933000087738</v>
      </c>
      <c r="E264" s="15" t="n">
        <v>0.00549997389316559</v>
      </c>
      <c r="F264" s="15" t="n">
        <v>0.789399981498718</v>
      </c>
      <c r="G264" s="15" t="n">
        <v>2.1061999797821</v>
      </c>
      <c r="H264" s="16">
        <f>C264+E264</f>
        <v/>
      </c>
    </row>
    <row r="265">
      <c r="A265" s="12" t="n">
        <v>42390</v>
      </c>
      <c r="B265" s="15" t="n">
        <v>-0.250199995934963</v>
      </c>
      <c r="C265" s="15" t="n">
        <v>0.165399998426437</v>
      </c>
      <c r="D265" s="15" t="n">
        <v>2.19609999656677</v>
      </c>
      <c r="E265" s="15" t="n">
        <v>0.00570010393857956</v>
      </c>
      <c r="F265" s="15" t="n">
        <v>0.8069999814033511</v>
      </c>
      <c r="G265" s="15" t="n">
        <v>2.11700010299683</v>
      </c>
      <c r="H265" s="16">
        <f>C265+E265</f>
        <v/>
      </c>
    </row>
    <row r="266">
      <c r="A266" s="12" t="n">
        <v>42391</v>
      </c>
      <c r="B266" s="15" t="n">
        <v>-0.233799993991852</v>
      </c>
      <c r="C266" s="15" t="n">
        <v>0.17569999396801</v>
      </c>
      <c r="D266" s="15" t="n">
        <v>2.20429992675781</v>
      </c>
      <c r="E266" s="15" t="n">
        <v>0.00780011713504791</v>
      </c>
      <c r="F266" s="15" t="n">
        <v>0.7779999971389771</v>
      </c>
      <c r="G266" s="15" t="n">
        <v>2.15400004386902</v>
      </c>
      <c r="H266" s="16">
        <f>C266+E266</f>
        <v/>
      </c>
    </row>
    <row r="267">
      <c r="A267" s="12" t="n">
        <v>42394</v>
      </c>
      <c r="B267" s="15" t="n">
        <v>-0.240799993276596</v>
      </c>
      <c r="C267" s="15" t="n">
        <v>0.159999996423721</v>
      </c>
      <c r="D267" s="15" t="n">
        <v>2.19569993019104</v>
      </c>
      <c r="E267" s="15" t="n">
        <v>0.00389999151229858</v>
      </c>
      <c r="F267" s="15" t="n">
        <v>0.772899985313416</v>
      </c>
      <c r="G267" s="15" t="n">
        <v>2.11879992485046</v>
      </c>
      <c r="H267" s="16">
        <f>C267+E267</f>
        <v/>
      </c>
    </row>
    <row r="268">
      <c r="A268" s="12" t="n">
        <v>42395</v>
      </c>
      <c r="B268" s="15" t="n">
        <v>-0.244300000369549</v>
      </c>
      <c r="C268" s="15" t="n">
        <v>0.150600001215935</v>
      </c>
      <c r="D268" s="15" t="n">
        <v>2.19129991531372</v>
      </c>
      <c r="E268" s="15" t="n">
        <v>0.0015001967549324</v>
      </c>
      <c r="F268" s="15" t="n">
        <v>0.755200028419495</v>
      </c>
      <c r="G268" s="15" t="n">
        <v>2.09910011291504</v>
      </c>
      <c r="H268" s="16">
        <f>C268+E268</f>
        <v/>
      </c>
    </row>
    <row r="269">
      <c r="A269" s="12" t="n">
        <v>42396</v>
      </c>
      <c r="B269" s="15" t="n">
        <v>-0.246500000357628</v>
      </c>
      <c r="C269" s="15" t="n">
        <v>0.152400001883507</v>
      </c>
      <c r="D269" s="15" t="n">
        <v>2.19180011749268</v>
      </c>
      <c r="E269" s="15" t="n">
        <v>0.00189995765686035</v>
      </c>
      <c r="F269" s="15" t="n">
        <v>0.732200026512146</v>
      </c>
      <c r="G269" s="15" t="n">
        <v>2.09960007667542</v>
      </c>
      <c r="H269" s="16">
        <f>C269+E269</f>
        <v/>
      </c>
    </row>
    <row r="270">
      <c r="A270" s="12" t="n">
        <v>42397</v>
      </c>
      <c r="B270" s="15" t="n">
        <v>-0.250600002706051</v>
      </c>
      <c r="C270" s="15" t="n">
        <v>0.144600003957748</v>
      </c>
      <c r="D270" s="15" t="n">
        <v>2.18799996376038</v>
      </c>
      <c r="E270" s="15" t="n">
        <v>-0.000199981033802032</v>
      </c>
      <c r="F270" s="15" t="n">
        <v>0.70880001783371</v>
      </c>
      <c r="G270" s="15" t="n">
        <v>2.08179998397827</v>
      </c>
      <c r="H270" s="16">
        <f>C270+E270</f>
        <v/>
      </c>
    </row>
    <row r="271">
      <c r="A271" s="12" t="n">
        <v>42398</v>
      </c>
      <c r="B271" s="15" t="n">
        <v>-0.271700009703636</v>
      </c>
      <c r="C271" s="15" t="n">
        <v>0.125400006771088</v>
      </c>
      <c r="D271" s="15" t="n">
        <v>2.17540001869202</v>
      </c>
      <c r="E271" s="15" t="n">
        <v>-0.00460012257099152</v>
      </c>
      <c r="F271" s="15" t="n">
        <v>0.693199992179871</v>
      </c>
      <c r="G271" s="15" t="n">
        <v>2.02449989318848</v>
      </c>
      <c r="H271" s="16">
        <f>C271+E271</f>
        <v/>
      </c>
    </row>
    <row r="272">
      <c r="A272" s="12" t="n">
        <v>42401</v>
      </c>
      <c r="B272" s="15" t="n">
        <v>-0.253600008785725</v>
      </c>
      <c r="C272" s="15" t="n">
        <v>0.13680000603199</v>
      </c>
      <c r="D272" s="15" t="n">
        <v>2.1849000453949</v>
      </c>
      <c r="E272" s="15" t="n">
        <v>-0.00250012427568436</v>
      </c>
      <c r="F272" s="15" t="n">
        <v>0.700500011444092</v>
      </c>
      <c r="G272" s="15" t="n">
        <v>2.06559991836548</v>
      </c>
      <c r="H272" s="16">
        <f>C272+E272</f>
        <v/>
      </c>
    </row>
    <row r="273">
      <c r="A273" s="12" t="n">
        <v>42402</v>
      </c>
      <c r="B273" s="15" t="n">
        <v>-0.284800007939339</v>
      </c>
      <c r="C273" s="15" t="n">
        <v>0.097900003194809</v>
      </c>
      <c r="D273" s="15" t="n">
        <v>2.16100001335144</v>
      </c>
      <c r="E273" s="15" t="n">
        <v>-0.0116000324487686</v>
      </c>
      <c r="F273" s="15" t="n">
        <v>0.709999978542328</v>
      </c>
      <c r="G273" s="15" t="n">
        <v>1.96249997615814</v>
      </c>
      <c r="H273" s="16">
        <f>C273+E273</f>
        <v/>
      </c>
    </row>
    <row r="274">
      <c r="A274" s="12" t="n">
        <v>42403</v>
      </c>
      <c r="B274" s="15" t="n">
        <v>-0.285400003194809</v>
      </c>
      <c r="C274" s="15" t="n">
        <v>0.101099997758865</v>
      </c>
      <c r="D274" s="15" t="n">
        <v>2.16300010681152</v>
      </c>
      <c r="E274" s="15" t="n">
        <v>-0.0110000967979431</v>
      </c>
      <c r="F274" s="15" t="n">
        <v>0.701600015163422</v>
      </c>
      <c r="G274" s="15" t="n">
        <v>1.96770000457764</v>
      </c>
      <c r="H274" s="16">
        <f>C274+E274</f>
        <v/>
      </c>
    </row>
    <row r="275">
      <c r="A275" s="12" t="n">
        <v>42404</v>
      </c>
      <c r="B275" s="15" t="n">
        <v>-0.291600003838539</v>
      </c>
      <c r="C275" s="15" t="n">
        <v>0.102300003170967</v>
      </c>
      <c r="D275" s="15" t="n">
        <v>2.16240000724792</v>
      </c>
      <c r="E275" s="15" t="n">
        <v>-0.0107000470161438</v>
      </c>
      <c r="F275" s="15" t="n">
        <v>0.71340000629425</v>
      </c>
      <c r="G275" s="15" t="n">
        <v>1.96239995956421</v>
      </c>
      <c r="H275" s="16">
        <f>C275+E275</f>
        <v/>
      </c>
    </row>
    <row r="276">
      <c r="A276" s="12" t="n">
        <v>42405</v>
      </c>
      <c r="B276" s="15" t="n">
        <v>-0.291900001466274</v>
      </c>
      <c r="C276" s="15" t="n">
        <v>0.09629999846220021</v>
      </c>
      <c r="D276" s="15" t="n">
        <v>2.15949988365173</v>
      </c>
      <c r="E276" s="15" t="n">
        <v>-0.0120998919010162</v>
      </c>
      <c r="F276" s="15" t="n">
        <v>0.740299999713898</v>
      </c>
      <c r="G276" s="15" t="n">
        <v>1.95179998874664</v>
      </c>
      <c r="H276" s="16">
        <f>C276+E276</f>
        <v/>
      </c>
    </row>
    <row r="277">
      <c r="A277" s="12" t="n">
        <v>42408</v>
      </c>
      <c r="B277" s="15" t="n">
        <v>-0.326299998909235</v>
      </c>
      <c r="C277" s="15" t="n">
        <v>0.0595999993383884</v>
      </c>
      <c r="D277" s="15" t="n">
        <v>2.13529992103577</v>
      </c>
      <c r="E277" s="15" t="n">
        <v>-0.0201999247074127</v>
      </c>
      <c r="F277" s="15" t="n">
        <v>0.795199990272522</v>
      </c>
      <c r="G277" s="15" t="n">
        <v>1.84839999675751</v>
      </c>
      <c r="H277" s="16">
        <f>C277+E277</f>
        <v/>
      </c>
    </row>
    <row r="278">
      <c r="A278" s="12" t="n">
        <v>42409</v>
      </c>
      <c r="B278" s="15" t="n">
        <v>-0.327700011432171</v>
      </c>
      <c r="C278" s="15" t="n">
        <v>0.0522999987006187</v>
      </c>
      <c r="D278" s="15" t="n">
        <v>2.1314001083374</v>
      </c>
      <c r="E278" s="15" t="n">
        <v>-0.021900087594986</v>
      </c>
      <c r="F278" s="15" t="n">
        <v>0.8180999755859381</v>
      </c>
      <c r="G278" s="15" t="n">
        <v>1.83410000801086</v>
      </c>
      <c r="H278" s="16">
        <f>C278+E278</f>
        <v/>
      </c>
    </row>
    <row r="279">
      <c r="A279" s="12" t="n">
        <v>42410</v>
      </c>
      <c r="B279" s="15" t="n">
        <v>-0.335499990731478</v>
      </c>
      <c r="C279" s="15" t="n">
        <v>0.0412000007927418</v>
      </c>
      <c r="D279" s="15" t="n">
        <v>2.12400007247925</v>
      </c>
      <c r="E279" s="15" t="n">
        <v>-0.024200052022934</v>
      </c>
      <c r="F279" s="15" t="n">
        <v>0.802799999713898</v>
      </c>
      <c r="G279" s="15" t="n">
        <v>1.80550003051758</v>
      </c>
      <c r="H279" s="16">
        <f>C279+E279</f>
        <v/>
      </c>
    </row>
    <row r="280">
      <c r="A280" s="12" t="n">
        <v>42411</v>
      </c>
      <c r="B280" s="15" t="n">
        <v>-0.359399991109967</v>
      </c>
      <c r="C280" s="15" t="n">
        <v>0.0175000000745058</v>
      </c>
      <c r="D280" s="15" t="n">
        <v>2.10750007629395</v>
      </c>
      <c r="E280" s="15" t="n">
        <v>-0.0292000770568848</v>
      </c>
      <c r="F280" s="15" t="n">
        <v>0.803099989891052</v>
      </c>
      <c r="G280" s="15" t="n">
        <v>1.7364000082016</v>
      </c>
      <c r="H280" s="16">
        <f>C280+E280</f>
        <v/>
      </c>
    </row>
    <row r="281">
      <c r="A281" s="12" t="n">
        <v>42412</v>
      </c>
      <c r="B281" s="15" t="n">
        <v>-0.329199999570847</v>
      </c>
      <c r="C281" s="15" t="n">
        <v>0.0546000003814697</v>
      </c>
      <c r="D281" s="15" t="n">
        <v>2.13039994239807</v>
      </c>
      <c r="E281" s="15" t="n">
        <v>-0.020499974489212</v>
      </c>
      <c r="F281" s="15" t="n">
        <v>0.778900027275085</v>
      </c>
      <c r="G281" s="15" t="n">
        <v>1.83529996871948</v>
      </c>
      <c r="H281" s="16">
        <f>C281+E281</f>
        <v/>
      </c>
    </row>
    <row r="282">
      <c r="A282" s="12" t="n">
        <v>42416</v>
      </c>
      <c r="B282" s="15" t="n">
        <v>-0.31470000743866</v>
      </c>
      <c r="C282" s="15" t="n">
        <v>0.06780000030994419</v>
      </c>
      <c r="D282" s="15" t="n">
        <v>2.13960003852844</v>
      </c>
      <c r="E282" s="15" t="n">
        <v>-0.01780004799366</v>
      </c>
      <c r="F282" s="15" t="n">
        <v>0.78549998998642</v>
      </c>
      <c r="G282" s="15" t="n">
        <v>1.87489998340607</v>
      </c>
      <c r="H282" s="16">
        <f>C282+E282</f>
        <v/>
      </c>
    </row>
    <row r="283">
      <c r="A283" s="12" t="n">
        <v>42417</v>
      </c>
      <c r="B283" s="15" t="n">
        <v>-0.302500002086163</v>
      </c>
      <c r="C283" s="15" t="n">
        <v>0.0806000009179115</v>
      </c>
      <c r="D283" s="15" t="n">
        <v>2.14809989929199</v>
      </c>
      <c r="E283" s="15" t="n">
        <v>-0.014899954199791</v>
      </c>
      <c r="F283" s="15" t="n">
        <v>0.7756000161170959</v>
      </c>
      <c r="G283" s="15" t="n">
        <v>1.91129994392395</v>
      </c>
      <c r="H283" s="16">
        <f>C283+E283</f>
        <v/>
      </c>
    </row>
    <row r="284">
      <c r="A284" s="12" t="n">
        <v>42418</v>
      </c>
      <c r="B284" s="15" t="n">
        <v>-0.3175999969244</v>
      </c>
      <c r="C284" s="15" t="n">
        <v>0.0581000000238419</v>
      </c>
      <c r="D284" s="15" t="n">
        <v>2.13520002365112</v>
      </c>
      <c r="E284" s="15" t="n">
        <v>-0.0203000605106354</v>
      </c>
      <c r="F284" s="15" t="n">
        <v>0.783500015735626</v>
      </c>
      <c r="G284" s="15" t="n">
        <v>1.85539996623993</v>
      </c>
      <c r="H284" s="16">
        <f>C284+E284</f>
        <v/>
      </c>
    </row>
    <row r="285">
      <c r="A285" s="12" t="n">
        <v>42419</v>
      </c>
      <c r="B285" s="15" t="n">
        <v>-0.312200006097555</v>
      </c>
      <c r="C285" s="15" t="n">
        <v>0.0575000010430813</v>
      </c>
      <c r="D285" s="15" t="n">
        <v>2.13579988479614</v>
      </c>
      <c r="E285" s="15" t="n">
        <v>-0.0204998850822449</v>
      </c>
      <c r="F285" s="15" t="n">
        <v>0.759700000286102</v>
      </c>
      <c r="G285" s="15" t="n">
        <v>1.86059999465942</v>
      </c>
      <c r="H285" s="16">
        <f>C285+E285</f>
        <v/>
      </c>
    </row>
    <row r="286">
      <c r="A286" s="12" t="n">
        <v>42422</v>
      </c>
      <c r="B286" s="15" t="n">
        <v>-0.309000000357628</v>
      </c>
      <c r="C286" s="15" t="n">
        <v>0.059799998998642</v>
      </c>
      <c r="D286" s="15" t="n">
        <v>2.13739991188049</v>
      </c>
      <c r="E286" s="15" t="n">
        <v>-0.0199999660253525</v>
      </c>
      <c r="F286" s="15" t="n">
        <v>0.729600012302399</v>
      </c>
      <c r="G286" s="15" t="n">
        <v>1.86819994449615</v>
      </c>
      <c r="H286" s="16">
        <f>C286+E286</f>
        <v/>
      </c>
    </row>
    <row r="287">
      <c r="A287" s="12" t="n">
        <v>42423</v>
      </c>
      <c r="B287" s="15" t="n">
        <v>-0.315600004047155</v>
      </c>
      <c r="C287" s="15" t="n">
        <v>0.0502999983727932</v>
      </c>
      <c r="D287" s="15" t="n">
        <v>2.13190007209778</v>
      </c>
      <c r="E287" s="15" t="n">
        <v>-0.0223000347614288</v>
      </c>
      <c r="F287" s="15" t="n">
        <v>0.706799983978271</v>
      </c>
      <c r="G287" s="15" t="n">
        <v>1.84430003166199</v>
      </c>
      <c r="H287" s="16">
        <f>C287+E287</f>
        <v/>
      </c>
    </row>
    <row r="288">
      <c r="A288" s="12" t="n">
        <v>42424</v>
      </c>
      <c r="B288" s="15" t="n">
        <v>-0.315199993550777</v>
      </c>
      <c r="C288" s="15" t="n">
        <v>0.0522999987006187</v>
      </c>
      <c r="D288" s="15" t="n">
        <v>2.13289999961853</v>
      </c>
      <c r="E288" s="15" t="n">
        <v>-0.0218000411987305</v>
      </c>
      <c r="F288" s="15" t="n">
        <v>0.675899982452393</v>
      </c>
      <c r="G288" s="15" t="n">
        <v>1.84819996356964</v>
      </c>
      <c r="H288" s="16">
        <f>C288+E288</f>
        <v/>
      </c>
    </row>
    <row r="289">
      <c r="A289" s="12" t="n">
        <v>42425</v>
      </c>
      <c r="B289" s="15" t="n">
        <v>-0.329899989068508</v>
      </c>
      <c r="C289" s="15" t="n">
        <v>0.0364999994635582</v>
      </c>
      <c r="D289" s="15" t="n">
        <v>2.12299990653992</v>
      </c>
      <c r="E289" s="15" t="n">
        <v>-0.0254998803138733</v>
      </c>
      <c r="F289" s="15" t="n">
        <v>0.639800012111664</v>
      </c>
      <c r="G289" s="15" t="n">
        <v>1.80410003662109</v>
      </c>
      <c r="H289" s="16">
        <f>C289+E289</f>
        <v/>
      </c>
    </row>
    <row r="290">
      <c r="A290" s="12" t="n">
        <v>42426</v>
      </c>
      <c r="B290" s="15" t="n">
        <v>-0.306400004774332</v>
      </c>
      <c r="C290" s="15" t="n">
        <v>0.0595999993383884</v>
      </c>
      <c r="D290" s="15" t="n">
        <v>2.13809990882874</v>
      </c>
      <c r="E290" s="15" t="n">
        <v>-0.0201999545097351</v>
      </c>
      <c r="F290" s="15" t="n">
        <v>0.627900004386902</v>
      </c>
      <c r="G290" s="15" t="n">
        <v>1.87109994888306</v>
      </c>
      <c r="H290" s="16">
        <f>C290+E290</f>
        <v/>
      </c>
    </row>
    <row r="291">
      <c r="A291" s="12" t="n">
        <v>42429</v>
      </c>
      <c r="B291" s="15" t="n">
        <v>-0.308900009840727</v>
      </c>
      <c r="C291" s="15" t="n">
        <v>0.0494999997317791</v>
      </c>
      <c r="D291" s="15" t="n">
        <v>2.13319993019104</v>
      </c>
      <c r="E291" s="15" t="n">
        <v>-0.022899866104126</v>
      </c>
      <c r="F291" s="15" t="n">
        <v>0.609000027179718</v>
      </c>
      <c r="G291" s="15" t="n">
        <v>1.85090005397797</v>
      </c>
      <c r="H291" s="16">
        <f>C291+E291</f>
        <v/>
      </c>
    </row>
    <row r="292">
      <c r="A292" s="12" t="n">
        <v>42430</v>
      </c>
      <c r="B292" s="15" t="n">
        <v>-0.279600001871586</v>
      </c>
      <c r="C292" s="15" t="n">
        <v>0.0833000019192696</v>
      </c>
      <c r="D292" s="15" t="n">
        <v>2.15450000762939</v>
      </c>
      <c r="E292" s="15" t="n">
        <v>-0.0150000154972076</v>
      </c>
      <c r="F292" s="15" t="n">
        <v>0.583100020885468</v>
      </c>
      <c r="G292" s="15" t="n">
        <v>1.94319999217987</v>
      </c>
      <c r="H292" s="16">
        <f>C292+E292</f>
        <v/>
      </c>
    </row>
    <row r="293">
      <c r="A293" s="12" t="n">
        <v>42431</v>
      </c>
      <c r="B293" s="15" t="n">
        <v>-0.275500006973743</v>
      </c>
      <c r="C293" s="15" t="n">
        <v>0.0922000035643578</v>
      </c>
      <c r="D293" s="15" t="n">
        <v>2.1586000919342</v>
      </c>
      <c r="E293" s="15" t="n">
        <v>-0.0126000791788101</v>
      </c>
      <c r="F293" s="15" t="n">
        <v>0.564499974250793</v>
      </c>
      <c r="G293" s="15" t="n">
        <v>1.96270000934601</v>
      </c>
      <c r="H293" s="16">
        <f>C293+E293</f>
        <v/>
      </c>
    </row>
    <row r="294">
      <c r="A294" s="12" t="n">
        <v>42432</v>
      </c>
      <c r="B294" s="15" t="n">
        <v>-0.284499995410442</v>
      </c>
      <c r="C294" s="15" t="n">
        <v>0.0859000012278557</v>
      </c>
      <c r="D294" s="15" t="n">
        <v>2.15310001373291</v>
      </c>
      <c r="E294" s="15" t="n">
        <v>-0.0135000348091125</v>
      </c>
      <c r="F294" s="15" t="n">
        <v>0.538299977779388</v>
      </c>
      <c r="G294" s="15" t="n">
        <v>1.94099998474121</v>
      </c>
      <c r="H294" s="16">
        <f>C294+E294</f>
        <v/>
      </c>
    </row>
    <row r="295">
      <c r="A295" s="12" t="n">
        <v>42433</v>
      </c>
      <c r="B295" s="15" t="n">
        <v>-0.265600003302097</v>
      </c>
      <c r="C295" s="15" t="n">
        <v>0.107799999415874</v>
      </c>
      <c r="D295" s="15" t="n">
        <v>2.16680002212524</v>
      </c>
      <c r="E295" s="15" t="n">
        <v>-0.00850005447864532</v>
      </c>
      <c r="F295" s="15" t="n">
        <v>0.555199980735779</v>
      </c>
      <c r="G295" s="15" t="n">
        <v>2.00049996376038</v>
      </c>
      <c r="H295" s="16">
        <f>C295+E295</f>
        <v/>
      </c>
    </row>
    <row r="296">
      <c r="A296" s="12" t="n">
        <v>42436</v>
      </c>
      <c r="B296" s="15" t="n">
        <v>-0.254099994897842</v>
      </c>
      <c r="C296" s="15" t="n">
        <v>0.11540000140667</v>
      </c>
      <c r="D296" s="15" t="n">
        <v>2.17230010032654</v>
      </c>
      <c r="E296" s="15" t="n">
        <v>-0.0067000538110733</v>
      </c>
      <c r="F296" s="15" t="n">
        <v>0.580299973487854</v>
      </c>
      <c r="G296" s="15" t="n">
        <v>2.02690005302429</v>
      </c>
      <c r="H296" s="16">
        <f>C296+E296</f>
        <v/>
      </c>
    </row>
    <row r="297">
      <c r="A297" s="12" t="n">
        <v>42437</v>
      </c>
      <c r="B297" s="15" t="n">
        <v>-0.280900001525879</v>
      </c>
      <c r="C297" s="15" t="n">
        <v>0.0826999992132187</v>
      </c>
      <c r="D297" s="15" t="n">
        <v>2.15140008926392</v>
      </c>
      <c r="E297" s="15" t="n">
        <v>-0.0140000432729721</v>
      </c>
      <c r="F297" s="15" t="n">
        <v>0.572700023651123</v>
      </c>
      <c r="G297" s="15" t="n">
        <v>1.93920004367828</v>
      </c>
      <c r="H297" s="16">
        <f>C297+E297</f>
        <v/>
      </c>
    </row>
    <row r="298">
      <c r="A298" s="12" t="n">
        <v>42438</v>
      </c>
      <c r="B298" s="15" t="n">
        <v>-0.266699999570847</v>
      </c>
      <c r="C298" s="15" t="n">
        <v>0.102799996733665</v>
      </c>
      <c r="D298" s="15" t="n">
        <v>2.1635000705719</v>
      </c>
      <c r="E298" s="15" t="n">
        <v>-0.009400025010108949</v>
      </c>
      <c r="F298" s="15" t="n">
        <v>0.566699981689453</v>
      </c>
      <c r="G298" s="15" t="n">
        <v>1.99020004272461</v>
      </c>
      <c r="H298" s="16">
        <f>C298+E298</f>
        <v/>
      </c>
    </row>
    <row r="299">
      <c r="A299" s="12" t="n">
        <v>42439</v>
      </c>
      <c r="B299" s="15" t="n">
        <v>-0.247800007462502</v>
      </c>
      <c r="C299" s="15" t="n">
        <v>0.118000000715256</v>
      </c>
      <c r="D299" s="15" t="n">
        <v>2.1742000579834</v>
      </c>
      <c r="E299" s="15" t="n">
        <v>-0.00589998066425323</v>
      </c>
      <c r="F299" s="15" t="n">
        <v>0.5835999846458439</v>
      </c>
      <c r="G299" s="15" t="n">
        <v>2.0385000705719</v>
      </c>
      <c r="H299" s="16">
        <f>C299+E299</f>
        <v/>
      </c>
    </row>
    <row r="300">
      <c r="A300" s="12" t="n">
        <v>42440</v>
      </c>
      <c r="B300" s="15" t="n">
        <v>-0.234899997711182</v>
      </c>
      <c r="C300" s="15" t="n">
        <v>0.130199998617172</v>
      </c>
      <c r="D300" s="15" t="n">
        <v>2.18230009078979</v>
      </c>
      <c r="E300" s="15" t="n">
        <v>-0.00330004096031189</v>
      </c>
      <c r="F300" s="15" t="n">
        <v>0.557799994945526</v>
      </c>
      <c r="G300" s="15" t="n">
        <v>2.07430005073547</v>
      </c>
      <c r="H300" s="16">
        <f>C300+E300</f>
        <v/>
      </c>
    </row>
    <row r="301">
      <c r="A301" s="12" t="n">
        <v>42443</v>
      </c>
      <c r="B301" s="15" t="n">
        <v>-0.234700001776218</v>
      </c>
      <c r="C301" s="15" t="n">
        <v>0.127900004386902</v>
      </c>
      <c r="D301" s="15" t="n">
        <v>2.18129992485046</v>
      </c>
      <c r="E301" s="15" t="n">
        <v>-0.00379999727010727</v>
      </c>
      <c r="F301" s="15" t="n">
        <v>0.570100009441376</v>
      </c>
      <c r="G301" s="15" t="n">
        <v>2.07069993019104</v>
      </c>
      <c r="H301" s="16">
        <f>C301+E301</f>
        <v/>
      </c>
    </row>
    <row r="302">
      <c r="A302" s="12" t="n">
        <v>42444</v>
      </c>
      <c r="B302" s="15" t="n">
        <v>-0.234200000762939</v>
      </c>
      <c r="C302" s="15" t="n">
        <v>0.126599997282028</v>
      </c>
      <c r="D302" s="15" t="n">
        <v>2.18059992790222</v>
      </c>
      <c r="E302" s="15" t="n">
        <v>-0.00409981608390808</v>
      </c>
      <c r="F302" s="15" t="n">
        <v>0.591199994087219</v>
      </c>
      <c r="G302" s="15" t="n">
        <v>2.0689001083374</v>
      </c>
      <c r="H302" s="16">
        <f>C302+E302</f>
        <v/>
      </c>
    </row>
    <row r="303">
      <c r="A303" s="12" t="n">
        <v>42445</v>
      </c>
      <c r="B303" s="15" t="n">
        <v>-0.260900005698204</v>
      </c>
      <c r="C303" s="15" t="n">
        <v>0.111800000071526</v>
      </c>
      <c r="D303" s="15" t="n">
        <v>2.16880011558533</v>
      </c>
      <c r="E303" s="15" t="n">
        <v>-0.00720006227493286</v>
      </c>
      <c r="F303" s="15" t="n">
        <v>0.512899994850159</v>
      </c>
      <c r="G303" s="15" t="n">
        <v>2.01250004768372</v>
      </c>
      <c r="H303" s="16">
        <f>C303+E303</f>
        <v/>
      </c>
    </row>
    <row r="304">
      <c r="A304" s="12" t="n">
        <v>42446</v>
      </c>
      <c r="B304" s="15" t="n">
        <v>-0.267499998211861</v>
      </c>
      <c r="C304" s="15" t="n">
        <v>0.10639999806881</v>
      </c>
      <c r="D304" s="15" t="n">
        <v>2.16529989242554</v>
      </c>
      <c r="E304" s="15" t="n">
        <v>-0.008499890565872191</v>
      </c>
      <c r="F304" s="15" t="n">
        <v>0.499900013208389</v>
      </c>
      <c r="G304" s="15" t="n">
        <v>1.99570000171661</v>
      </c>
      <c r="H304" s="16">
        <f>C304+E304</f>
        <v/>
      </c>
    </row>
    <row r="305">
      <c r="A305" s="12" t="n">
        <v>42447</v>
      </c>
      <c r="B305" s="15" t="n">
        <v>-0.281399995088577</v>
      </c>
      <c r="C305" s="15" t="n">
        <v>0.0976999998092651</v>
      </c>
      <c r="D305" s="15" t="n">
        <v>2.1586000919342</v>
      </c>
      <c r="E305" s="15" t="n">
        <v>-0.0105000436306</v>
      </c>
      <c r="F305" s="15" t="n">
        <v>0.474000006914139</v>
      </c>
      <c r="G305" s="15" t="n">
        <v>1.96440005302429</v>
      </c>
      <c r="H305" s="16">
        <f>C305+E305</f>
        <v/>
      </c>
    </row>
    <row r="306">
      <c r="A306" s="12" t="n">
        <v>42450</v>
      </c>
      <c r="B306" s="15" t="n">
        <v>-0.265899993479252</v>
      </c>
      <c r="C306" s="15" t="n">
        <v>0.113099999725819</v>
      </c>
      <c r="D306" s="15" t="n">
        <v>2.16910004615784</v>
      </c>
      <c r="E306" s="15" t="n">
        <v>-0.00720009207725525</v>
      </c>
      <c r="F306" s="15" t="n">
        <v>0.453900009393692</v>
      </c>
      <c r="G306" s="15" t="n">
        <v>2.00909996032715</v>
      </c>
      <c r="H306" s="16">
        <f>C306+E306</f>
        <v/>
      </c>
    </row>
    <row r="307">
      <c r="A307" s="12" t="n">
        <v>42451</v>
      </c>
      <c r="B307" s="15" t="n">
        <v>-0.255899995565414</v>
      </c>
      <c r="C307" s="15" t="n">
        <v>0.124200001358986</v>
      </c>
      <c r="D307" s="15" t="n">
        <v>2.17600011825562</v>
      </c>
      <c r="E307" s="15" t="n">
        <v>-0.00450019538402557</v>
      </c>
      <c r="F307" s="15" t="n">
        <v>0.475199997425079</v>
      </c>
      <c r="G307" s="15" t="n">
        <v>2.03979992866516</v>
      </c>
      <c r="H307" s="16">
        <f>C307+E307</f>
        <v/>
      </c>
    </row>
    <row r="308">
      <c r="A308" s="12" t="n">
        <v>42452</v>
      </c>
      <c r="B308" s="15" t="n">
        <v>-0.27589999884367</v>
      </c>
      <c r="C308" s="15" t="n">
        <v>0.09920000284910201</v>
      </c>
      <c r="D308" s="15" t="n">
        <v>2.16039991378784</v>
      </c>
      <c r="E308" s="15" t="n">
        <v>-0.0102999210357666</v>
      </c>
      <c r="F308" s="15" t="n">
        <v>0.500999987125397</v>
      </c>
      <c r="G308" s="15" t="n">
        <v>1.97339999675751</v>
      </c>
      <c r="H308" s="16">
        <f>C308+E308</f>
        <v/>
      </c>
    </row>
    <row r="309">
      <c r="A309" s="12" t="n">
        <v>42453</v>
      </c>
      <c r="B309" s="15" t="n">
        <v>-0.268600009381771</v>
      </c>
      <c r="C309" s="15" t="n">
        <v>0.107100002467632</v>
      </c>
      <c r="D309" s="15" t="n">
        <v>2.1654999256134</v>
      </c>
      <c r="E309" s="15" t="n">
        <v>-0.008399933576583861</v>
      </c>
      <c r="F309" s="15" t="n">
        <v>0.52319997549057</v>
      </c>
      <c r="G309" s="15" t="n">
        <v>1.99559998512268</v>
      </c>
      <c r="H309" s="16">
        <f>C309+E309</f>
        <v/>
      </c>
    </row>
    <row r="310">
      <c r="A310" s="12" t="n">
        <v>42457</v>
      </c>
      <c r="B310" s="15" t="n">
        <v>-0.271300002932549</v>
      </c>
      <c r="C310" s="15" t="n">
        <v>0.0957999974489212</v>
      </c>
      <c r="D310" s="15" t="n">
        <v>2.15980005264282</v>
      </c>
      <c r="E310" s="15" t="n">
        <v>-0.0112001001834869</v>
      </c>
      <c r="F310" s="15" t="n">
        <v>0.532999992370605</v>
      </c>
      <c r="G310" s="15" t="n">
        <v>1.97309994697571</v>
      </c>
      <c r="H310" s="16">
        <f>C310+E310</f>
        <v/>
      </c>
    </row>
    <row r="311">
      <c r="A311" s="12" t="n">
        <v>42458</v>
      </c>
      <c r="B311" s="15" t="n">
        <v>-0.304700002074242</v>
      </c>
      <c r="C311" s="15" t="n">
        <v>0.06509999930858611</v>
      </c>
      <c r="D311" s="15" t="n">
        <v>2.13899993896484</v>
      </c>
      <c r="E311" s="15" t="n">
        <v>-0.0179999470710754</v>
      </c>
      <c r="F311" s="15" t="n">
        <v>0.464899986982346</v>
      </c>
      <c r="G311" s="15" t="n">
        <v>1.88139998912811</v>
      </c>
      <c r="H311" s="16">
        <f>C311+E311</f>
        <v/>
      </c>
    </row>
    <row r="312">
      <c r="A312" s="12" t="n">
        <v>42459</v>
      </c>
      <c r="B312" s="15" t="n">
        <v>-0.309000007808208</v>
      </c>
      <c r="C312" s="15" t="n">
        <v>0.0807000026106834</v>
      </c>
      <c r="D312" s="15" t="n">
        <v>2.14580011367798</v>
      </c>
      <c r="E312" s="15" t="n">
        <v>-0.0143000781536102</v>
      </c>
      <c r="F312" s="15" t="n">
        <v>0.435900002717972</v>
      </c>
      <c r="G312" s="15" t="n">
        <v>1.90320003032684</v>
      </c>
      <c r="H312" s="16">
        <f>C312+E312</f>
        <v/>
      </c>
    </row>
    <row r="313">
      <c r="A313" s="12" t="n">
        <v>42460</v>
      </c>
      <c r="B313" s="15" t="n">
        <v>-0.323900006711483</v>
      </c>
      <c r="C313" s="15" t="n">
        <v>0.06719999760389329</v>
      </c>
      <c r="D313" s="15" t="n">
        <v>2.13709998130798</v>
      </c>
      <c r="E313" s="15" t="n">
        <v>-0.0174999535083771</v>
      </c>
      <c r="F313" s="15" t="n">
        <v>0.439099997282028</v>
      </c>
      <c r="G313" s="15" t="n">
        <v>1.86290001869202</v>
      </c>
      <c r="H313" s="16">
        <f>C313+E313</f>
        <v/>
      </c>
    </row>
    <row r="314">
      <c r="A314" s="12" t="n">
        <v>42461</v>
      </c>
      <c r="B314" s="15" t="n">
        <v>-0.316399991512299</v>
      </c>
      <c r="C314" s="15" t="n">
        <v>0.0711999982595444</v>
      </c>
      <c r="D314" s="15" t="n">
        <v>2.14030003547668</v>
      </c>
      <c r="E314" s="15" t="n">
        <v>-0.0166000574827194</v>
      </c>
      <c r="F314" s="15" t="n">
        <v>0.443599998950958</v>
      </c>
      <c r="G314" s="15" t="n">
        <v>1.87849998474121</v>
      </c>
      <c r="H314" s="16">
        <f>C314+E314</f>
        <v/>
      </c>
    </row>
    <row r="315">
      <c r="A315" s="12" t="n">
        <v>42464</v>
      </c>
      <c r="B315" s="15" t="n">
        <v>-0.324400015175343</v>
      </c>
      <c r="C315" s="15" t="n">
        <v>0.063000001013279</v>
      </c>
      <c r="D315" s="15" t="n">
        <v>2.13479995727539</v>
      </c>
      <c r="E315" s="15" t="n">
        <v>-0.0183999240398407</v>
      </c>
      <c r="F315" s="15" t="n">
        <v>0.4341000020504</v>
      </c>
      <c r="G315" s="15" t="n">
        <v>1.85500001907349</v>
      </c>
      <c r="H315" s="16">
        <f>C315+E315</f>
        <v/>
      </c>
    </row>
    <row r="316">
      <c r="A316" s="12" t="n">
        <v>42465</v>
      </c>
      <c r="B316" s="15" t="n">
        <v>-0.341100007295609</v>
      </c>
      <c r="C316" s="15" t="n">
        <v>0.0467000007629395</v>
      </c>
      <c r="D316" s="15" t="n">
        <v>2.12360000610352</v>
      </c>
      <c r="E316" s="15" t="n">
        <v>-0.0220000445842743</v>
      </c>
      <c r="F316" s="15" t="n">
        <v>0.455099999904633</v>
      </c>
      <c r="G316" s="15" t="n">
        <v>1.80719995498657</v>
      </c>
      <c r="H316" s="16">
        <f>C316+E316</f>
        <v/>
      </c>
    </row>
    <row r="317">
      <c r="A317" s="12" t="n">
        <v>42466</v>
      </c>
      <c r="B317" s="15" t="n">
        <v>-0.333099987357855</v>
      </c>
      <c r="C317" s="15" t="n">
        <v>0.0590999983251095</v>
      </c>
      <c r="D317" s="15" t="n">
        <v>2.1308000087738</v>
      </c>
      <c r="E317" s="15" t="n">
        <v>-0.0189999938011169</v>
      </c>
      <c r="F317" s="15" t="n">
        <v>0.463099986314774</v>
      </c>
      <c r="G317" s="15" t="n">
        <v>1.83780002593994</v>
      </c>
      <c r="H317" s="16">
        <f>C317+E317</f>
        <v/>
      </c>
    </row>
    <row r="318">
      <c r="A318" s="12" t="n">
        <v>42467</v>
      </c>
      <c r="B318" s="15" t="n">
        <v>-0.353300005197525</v>
      </c>
      <c r="C318" s="15" t="n">
        <v>0.0351999998092651</v>
      </c>
      <c r="D318" s="15" t="n">
        <v>2.11560010910034</v>
      </c>
      <c r="E318" s="15" t="n">
        <v>-0.0244000852108002</v>
      </c>
      <c r="F318" s="15" t="n">
        <v>0.462000012397766</v>
      </c>
      <c r="G318" s="15" t="n">
        <v>1.77310001850128</v>
      </c>
      <c r="H318" s="16">
        <f>C318+E318</f>
        <v/>
      </c>
    </row>
    <row r="319">
      <c r="A319" s="12" t="n">
        <v>42468</v>
      </c>
      <c r="B319" s="15" t="n">
        <v>-0.350199997425079</v>
      </c>
      <c r="C319" s="15" t="n">
        <v>0.0439999997615814</v>
      </c>
      <c r="D319" s="15" t="n">
        <v>2.12030005455017</v>
      </c>
      <c r="E319" s="15" t="n">
        <v>-0.0223000347614288</v>
      </c>
      <c r="F319" s="15" t="n">
        <v>0.466100007295609</v>
      </c>
      <c r="G319" s="15" t="n">
        <v>1.79180002212524</v>
      </c>
      <c r="H319" s="16">
        <f>C319+E319</f>
        <v/>
      </c>
    </row>
    <row r="320">
      <c r="A320" s="12" t="n">
        <v>42471</v>
      </c>
      <c r="B320" s="15" t="n">
        <v>-0.346200000494719</v>
      </c>
      <c r="C320" s="15" t="n">
        <v>0.0485999993979931</v>
      </c>
      <c r="D320" s="15" t="n">
        <v>2.12350010871887</v>
      </c>
      <c r="E320" s="15" t="n">
        <v>-0.02140012383461</v>
      </c>
      <c r="F320" s="15" t="n">
        <v>0.488400012254715</v>
      </c>
      <c r="G320" s="15" t="n">
        <v>1.80449998378754</v>
      </c>
      <c r="H320" s="16">
        <f>C320+E320</f>
        <v/>
      </c>
    </row>
    <row r="321">
      <c r="A321" s="12" t="n">
        <v>42472</v>
      </c>
      <c r="B321" s="15" t="n">
        <v>-0.328799992799759</v>
      </c>
      <c r="C321" s="15" t="n">
        <v>0.0694999992847443</v>
      </c>
      <c r="D321" s="15" t="n">
        <v>2.13649988174438</v>
      </c>
      <c r="E321" s="15" t="n">
        <v>-0.0164998769760132</v>
      </c>
      <c r="F321" s="15" t="n">
        <v>0.510500013828278</v>
      </c>
      <c r="G321" s="15" t="n">
        <v>1.86070001125336</v>
      </c>
      <c r="H321" s="16">
        <f>C321+E321</f>
        <v/>
      </c>
    </row>
    <row r="322">
      <c r="A322" s="12" t="n">
        <v>42473</v>
      </c>
      <c r="B322" s="15" t="n">
        <v>-0.332199994474649</v>
      </c>
      <c r="C322" s="15" t="n">
        <v>0.0604999996721745</v>
      </c>
      <c r="D322" s="15" t="n">
        <v>2.13120007514954</v>
      </c>
      <c r="E322" s="15" t="n">
        <v>-0.0185001194477081</v>
      </c>
      <c r="F322" s="15" t="n">
        <v>0.505699992179871</v>
      </c>
      <c r="G322" s="15" t="n">
        <v>1.84099996089935</v>
      </c>
      <c r="H322" s="16">
        <f>C322+E322</f>
        <v/>
      </c>
    </row>
    <row r="323">
      <c r="A323" s="12" t="n">
        <v>42474</v>
      </c>
      <c r="B323" s="15" t="n">
        <v>-0.32209999114275</v>
      </c>
      <c r="C323" s="15" t="n">
        <v>0.0690999999642372</v>
      </c>
      <c r="D323" s="15" t="n">
        <v>2.13689994812012</v>
      </c>
      <c r="E323" s="15" t="n">
        <v>-0.016400009393692</v>
      </c>
      <c r="F323" s="15" t="n">
        <v>0.5145999789237981</v>
      </c>
      <c r="G323" s="15" t="n">
        <v>1.86749994754791</v>
      </c>
      <c r="H323" s="16">
        <f>C323+E323</f>
        <v/>
      </c>
    </row>
    <row r="324">
      <c r="A324" s="12" t="n">
        <v>42475</v>
      </c>
      <c r="B324" s="15" t="n">
        <v>-0.335200004279613</v>
      </c>
      <c r="C324" s="15" t="n">
        <v>0.0531999990344048</v>
      </c>
      <c r="D324" s="15" t="n">
        <v>2.12700009346008</v>
      </c>
      <c r="E324" s="15" t="n">
        <v>-0.0201000571250916</v>
      </c>
      <c r="F324" s="15" t="n">
        <v>0.495999991893768</v>
      </c>
      <c r="G324" s="15" t="n">
        <v>1.82490003108978</v>
      </c>
      <c r="H324" s="16">
        <f>C324+E324</f>
        <v/>
      </c>
    </row>
    <row r="325">
      <c r="A325" s="12" t="n">
        <v>42478</v>
      </c>
      <c r="B325" s="15" t="n">
        <v>-0.330199997872114</v>
      </c>
      <c r="C325" s="15" t="n">
        <v>0.0619000010192394</v>
      </c>
      <c r="D325" s="15" t="n">
        <v>2.13190007209778</v>
      </c>
      <c r="E325" s="15" t="n">
        <v>-0.018000066280365</v>
      </c>
      <c r="F325" s="15" t="n">
        <v>0.493699997663498</v>
      </c>
      <c r="G325" s="15" t="n">
        <v>1.84560000896454</v>
      </c>
      <c r="H325" s="16">
        <f>C325+E325</f>
        <v/>
      </c>
    </row>
    <row r="326">
      <c r="A326" s="12" t="n">
        <v>42479</v>
      </c>
      <c r="B326" s="15" t="n">
        <v>-0.32379999011755</v>
      </c>
      <c r="C326" s="15" t="n">
        <v>0.0662999972701073</v>
      </c>
      <c r="D326" s="15" t="n">
        <v>2.13499999046326</v>
      </c>
      <c r="E326" s="15" t="n">
        <v>-0.0169000029563904</v>
      </c>
      <c r="F326" s="15" t="n">
        <v>0.461400002241135</v>
      </c>
      <c r="G326" s="15" t="n">
        <v>1.86059999465942</v>
      </c>
      <c r="H326" s="16">
        <f>C326+E326</f>
        <v/>
      </c>
    </row>
    <row r="327">
      <c r="A327" s="12" t="n">
        <v>42480</v>
      </c>
      <c r="B327" s="15" t="n">
        <v>-0.304700002074242</v>
      </c>
      <c r="C327" s="15" t="n">
        <v>0.0916000008583069</v>
      </c>
      <c r="D327" s="15" t="n">
        <v>2.15019989013672</v>
      </c>
      <c r="E327" s="15" t="n">
        <v>-0.0109998732805252</v>
      </c>
      <c r="F327" s="15" t="n">
        <v>0.476000010967255</v>
      </c>
      <c r="G327" s="15" t="n">
        <v>1.92610001564026</v>
      </c>
      <c r="H327" s="16">
        <f>C327+E327</f>
        <v/>
      </c>
    </row>
    <row r="328">
      <c r="A328" s="12" t="n">
        <v>42481</v>
      </c>
      <c r="B328" s="15" t="n">
        <v>-0.298200003802776</v>
      </c>
      <c r="C328" s="15" t="n">
        <v>0.0982000008225441</v>
      </c>
      <c r="D328" s="15" t="n">
        <v>2.15429997444153</v>
      </c>
      <c r="E328" s="15" t="n">
        <v>-0.009399935603141779</v>
      </c>
      <c r="F328" s="15" t="n">
        <v>0.470699995756149</v>
      </c>
      <c r="G328" s="15" t="n">
        <v>1.94490003585815</v>
      </c>
      <c r="H328" s="16">
        <f>C328+E328</f>
        <v/>
      </c>
    </row>
    <row r="329">
      <c r="A329" s="12" t="n">
        <v>42482</v>
      </c>
      <c r="B329" s="15" t="n">
        <v>-0.29110000282526</v>
      </c>
      <c r="C329" s="15" t="n">
        <v>0.104999996721745</v>
      </c>
      <c r="D329" s="15" t="n">
        <v>2.15890002250671</v>
      </c>
      <c r="E329" s="15" t="n">
        <v>-0.00789999961853027</v>
      </c>
      <c r="F329" s="15" t="n">
        <v>0.452800005674362</v>
      </c>
      <c r="G329" s="15" t="n">
        <v>1.96490001678467</v>
      </c>
      <c r="H329" s="16">
        <f>C329+E329</f>
        <v/>
      </c>
    </row>
    <row r="330">
      <c r="A330" s="12" t="n">
        <v>42485</v>
      </c>
      <c r="B330" s="15" t="n">
        <v>-0.282000005245209</v>
      </c>
      <c r="C330" s="15" t="n">
        <v>0.109300002455711</v>
      </c>
      <c r="D330" s="15" t="n">
        <v>2.16319990158081</v>
      </c>
      <c r="E330" s="15" t="n">
        <v>-0.00729994475841522</v>
      </c>
      <c r="F330" s="15" t="n">
        <v>0.44879999756813</v>
      </c>
      <c r="G330" s="15" t="n">
        <v>1.9831999540329</v>
      </c>
      <c r="H330" s="16">
        <f>C330+E330</f>
        <v/>
      </c>
    </row>
    <row r="331">
      <c r="A331" s="12" t="n">
        <v>42486</v>
      </c>
      <c r="B331" s="15" t="n">
        <v>-0.269400000572205</v>
      </c>
      <c r="C331" s="15" t="n">
        <v>0.119499996304512</v>
      </c>
      <c r="D331" s="15" t="n">
        <v>2.17079997062683</v>
      </c>
      <c r="E331" s="15" t="n">
        <v>-0.00509996712207794</v>
      </c>
      <c r="F331" s="15" t="n">
        <v>0.440100014209747</v>
      </c>
      <c r="G331" s="15" t="n">
        <v>2.01579999923706</v>
      </c>
      <c r="H331" s="16">
        <f>C331+E331</f>
        <v/>
      </c>
    </row>
    <row r="332">
      <c r="A332" s="12" t="n">
        <v>42487</v>
      </c>
      <c r="B332" s="15" t="n">
        <v>-0.293499991297722</v>
      </c>
      <c r="C332" s="15" t="n">
        <v>0.09409999847412109</v>
      </c>
      <c r="D332" s="15" t="n">
        <v>2.15370011329651</v>
      </c>
      <c r="E332" s="15" t="n">
        <v>-0.010700061917305</v>
      </c>
      <c r="F332" s="15" t="n">
        <v>0.42739999294281</v>
      </c>
      <c r="G332" s="15" t="n">
        <v>1.9436000585556</v>
      </c>
      <c r="H332" s="16">
        <f>C332+E332</f>
        <v/>
      </c>
    </row>
    <row r="333">
      <c r="A333" s="12" t="n">
        <v>42488</v>
      </c>
      <c r="B333" s="15" t="n">
        <v>-0.309800006449223</v>
      </c>
      <c r="C333" s="15" t="n">
        <v>0.07890000194311141</v>
      </c>
      <c r="D333" s="15" t="n">
        <v>2.14369988441467</v>
      </c>
      <c r="E333" s="15" t="n">
        <v>-0.014199897646904</v>
      </c>
      <c r="F333" s="15" t="n">
        <v>0.375999987125397</v>
      </c>
      <c r="G333" s="15" t="n">
        <v>1.89859998226166</v>
      </c>
      <c r="H333" s="16">
        <f>C333+E333</f>
        <v/>
      </c>
    </row>
    <row r="334">
      <c r="A334" s="12" t="n">
        <v>42489</v>
      </c>
      <c r="B334" s="15" t="n">
        <v>-0.308999992907047</v>
      </c>
      <c r="C334" s="15" t="n">
        <v>0.07959999889135359</v>
      </c>
      <c r="D334" s="15" t="n">
        <v>2.144700050354</v>
      </c>
      <c r="E334" s="15" t="n">
        <v>-0.0143000334501266</v>
      </c>
      <c r="F334" s="15" t="n">
        <v>0.381199985742569</v>
      </c>
      <c r="G334" s="15" t="n">
        <v>1.90100002288818</v>
      </c>
      <c r="H334" s="16">
        <f>C334+E334</f>
        <v/>
      </c>
    </row>
    <row r="335">
      <c r="A335" s="12" t="n">
        <v>42492</v>
      </c>
      <c r="B335" s="15" t="n">
        <v>-0.291400007903576</v>
      </c>
      <c r="C335" s="15" t="n">
        <v>0.100000001490116</v>
      </c>
      <c r="D335" s="15" t="n">
        <v>2.15820002555847</v>
      </c>
      <c r="E335" s="15" t="n">
        <v>-0.00990001857280731</v>
      </c>
      <c r="F335" s="15" t="n">
        <v>0.412900000810623</v>
      </c>
      <c r="G335" s="15" t="n">
        <v>1.9569000005722</v>
      </c>
      <c r="H335" s="16">
        <f>C335+E335</f>
        <v/>
      </c>
    </row>
    <row r="336">
      <c r="A336" s="12" t="n">
        <v>42493</v>
      </c>
      <c r="B336" s="15" t="n">
        <v>-0.313399992883205</v>
      </c>
      <c r="C336" s="15" t="n">
        <v>0.0750999972224236</v>
      </c>
      <c r="D336" s="15" t="n">
        <v>2.14229989051819</v>
      </c>
      <c r="E336" s="15" t="n">
        <v>-0.0155999362468719</v>
      </c>
      <c r="F336" s="15" t="n">
        <v>0.431499987840652</v>
      </c>
      <c r="G336" s="15" t="n">
        <v>1.88839995861053</v>
      </c>
      <c r="H336" s="16">
        <f>C336+E336</f>
        <v/>
      </c>
    </row>
    <row r="337">
      <c r="A337" s="12" t="n">
        <v>42494</v>
      </c>
      <c r="B337" s="15" t="n">
        <v>-0.321199998259544</v>
      </c>
      <c r="C337" s="15" t="n">
        <v>0.06780000030994419</v>
      </c>
      <c r="D337" s="15" t="n">
        <v>2.13739991188049</v>
      </c>
      <c r="E337" s="15" t="n">
        <v>-0.0171999633312225</v>
      </c>
      <c r="F337" s="15" t="n">
        <v>0.444499999284744</v>
      </c>
      <c r="G337" s="15" t="n">
        <v>1.86679995059967</v>
      </c>
      <c r="H337" s="16">
        <f>C337+E337</f>
        <v/>
      </c>
    </row>
    <row r="338">
      <c r="A338" s="12" t="n">
        <v>42495</v>
      </c>
      <c r="B338" s="15" t="n">
        <v>-0.333100009709597</v>
      </c>
      <c r="C338" s="15" t="n">
        <v>0.0524999983608723</v>
      </c>
      <c r="D338" s="15" t="n">
        <v>2.12789988517761</v>
      </c>
      <c r="E338" s="15" t="n">
        <v>-0.0206999182701111</v>
      </c>
      <c r="F338" s="15" t="n">
        <v>0.425000011920929</v>
      </c>
      <c r="G338" s="15" t="n">
        <v>1.82659995555878</v>
      </c>
      <c r="H338" s="16">
        <f>C338+E338</f>
        <v/>
      </c>
    </row>
    <row r="339">
      <c r="A339" s="12" t="n">
        <v>42496</v>
      </c>
      <c r="B339" s="15" t="n">
        <v>-0.322899997234344</v>
      </c>
      <c r="C339" s="15" t="n">
        <v>0.065200001001358</v>
      </c>
      <c r="D339" s="15" t="n">
        <v>2.13590002059937</v>
      </c>
      <c r="E339" s="15" t="n">
        <v>-0.0178000628948212</v>
      </c>
      <c r="F339" s="15" t="n">
        <v>0.455199986696243</v>
      </c>
      <c r="G339" s="15" t="n">
        <v>1.86039996147156</v>
      </c>
      <c r="H339" s="16">
        <f>C339+E339</f>
        <v/>
      </c>
    </row>
    <row r="340">
      <c r="A340" s="12" t="n">
        <v>42499</v>
      </c>
      <c r="B340" s="15" t="n">
        <v>-0.332500003278255</v>
      </c>
      <c r="C340" s="15" t="n">
        <v>0.0568000003695488</v>
      </c>
      <c r="D340" s="15" t="n">
        <v>2.13019990921021</v>
      </c>
      <c r="E340" s="15" t="n">
        <v>-0.019699901342392</v>
      </c>
      <c r="F340" s="15" t="n">
        <v>0.461600005626678</v>
      </c>
      <c r="G340" s="15" t="n">
        <v>1.83480000495911</v>
      </c>
      <c r="H340" s="16">
        <f>C340+E340</f>
        <v/>
      </c>
    </row>
    <row r="341">
      <c r="A341" s="12" t="n">
        <v>42500</v>
      </c>
      <c r="B341" s="15" t="n">
        <v>-0.335399989038706</v>
      </c>
      <c r="C341" s="15" t="n">
        <v>0.0568999983370304</v>
      </c>
      <c r="D341" s="15" t="n">
        <v>2.12930011749268</v>
      </c>
      <c r="E341" s="15" t="n">
        <v>-0.0195001065731049</v>
      </c>
      <c r="F341" s="15" t="n">
        <v>0.432200014591217</v>
      </c>
      <c r="G341" s="15" t="n">
        <v>1.8313000202179</v>
      </c>
      <c r="H341" s="16">
        <f>C341+E341</f>
        <v/>
      </c>
    </row>
    <row r="342">
      <c r="A342" s="12" t="n">
        <v>42501</v>
      </c>
      <c r="B342" s="15" t="n">
        <v>-0.337600015103817</v>
      </c>
      <c r="C342" s="15" t="n">
        <v>0.0507000014185905</v>
      </c>
      <c r="D342" s="15" t="n">
        <v>2.12579989433289</v>
      </c>
      <c r="E342" s="15" t="n">
        <v>-0.0207999050617218</v>
      </c>
      <c r="F342" s="15" t="n">
        <v>0.448599994182587</v>
      </c>
      <c r="G342" s="15" t="n">
        <v>1.81809997558594</v>
      </c>
      <c r="H342" s="16">
        <f>C342+E342</f>
        <v/>
      </c>
    </row>
    <row r="343">
      <c r="A343" s="12" t="n">
        <v>42502</v>
      </c>
      <c r="B343" s="15" t="n">
        <v>-0.329099990427494</v>
      </c>
      <c r="C343" s="15" t="n">
        <v>0.0584999993443489</v>
      </c>
      <c r="D343" s="15" t="n">
        <v>2.13070011138916</v>
      </c>
      <c r="E343" s="15" t="n">
        <v>-0.0190001428127289</v>
      </c>
      <c r="F343" s="15" t="n">
        <v>0.43529999256134</v>
      </c>
      <c r="G343" s="15" t="n">
        <v>1.84109997749329</v>
      </c>
      <c r="H343" s="16">
        <f>C343+E343</f>
        <v/>
      </c>
    </row>
    <row r="344">
      <c r="A344" s="12" t="n">
        <v>42503</v>
      </c>
      <c r="B344" s="15" t="n">
        <v>-0.33899999782443</v>
      </c>
      <c r="C344" s="15" t="n">
        <v>0.0416000001132488</v>
      </c>
      <c r="D344" s="15" t="n">
        <v>2.12050008773804</v>
      </c>
      <c r="E344" s="15" t="n">
        <v>-0.022800087928772</v>
      </c>
      <c r="F344" s="15" t="n">
        <v>0.440699994564056</v>
      </c>
      <c r="G344" s="15" t="n">
        <v>1.80030000209808</v>
      </c>
      <c r="H344" s="16">
        <f>C344+E344</f>
        <v/>
      </c>
    </row>
    <row r="345">
      <c r="A345" s="12" t="n">
        <v>42506</v>
      </c>
      <c r="B345" s="15" t="n">
        <v>-0.32439998909831</v>
      </c>
      <c r="C345" s="15" t="n">
        <v>0.0549000017344952</v>
      </c>
      <c r="D345" s="15" t="n">
        <v>2.12930011749268</v>
      </c>
      <c r="E345" s="15" t="n">
        <v>-0.0197000801563263</v>
      </c>
      <c r="F345" s="15" t="n">
        <v>0.440499991178513</v>
      </c>
      <c r="G345" s="15" t="n">
        <v>1.84010004997253</v>
      </c>
      <c r="H345" s="16">
        <f>C345+E345</f>
        <v/>
      </c>
    </row>
    <row r="346">
      <c r="A346" s="12" t="n">
        <v>42507</v>
      </c>
      <c r="B346" s="15" t="n">
        <v>-0.320100009441376</v>
      </c>
      <c r="C346" s="15" t="n">
        <v>0.0546000003814697</v>
      </c>
      <c r="D346" s="15" t="n">
        <v>2.12949991226196</v>
      </c>
      <c r="E346" s="15" t="n">
        <v>-0.0195998549461365</v>
      </c>
      <c r="F346" s="15" t="n">
        <v>0.427300006151199</v>
      </c>
      <c r="G346" s="15" t="n">
        <v>1.84440004825592</v>
      </c>
      <c r="H346" s="16">
        <f>C346+E346</f>
        <v/>
      </c>
    </row>
    <row r="347">
      <c r="A347" s="12" t="n">
        <v>42508</v>
      </c>
      <c r="B347" s="15" t="n">
        <v>-0.27929999679327</v>
      </c>
      <c r="C347" s="15" t="n">
        <v>0.09560000151395801</v>
      </c>
      <c r="D347" s="15" t="n">
        <v>2.15639996528625</v>
      </c>
      <c r="E347" s="15" t="n">
        <v>-0.0103000104427338</v>
      </c>
      <c r="F347" s="15" t="n">
        <v>0.462799996137619</v>
      </c>
      <c r="G347" s="15" t="n">
        <v>1.96239995956421</v>
      </c>
      <c r="H347" s="16">
        <f>C347+E347</f>
        <v/>
      </c>
    </row>
    <row r="348">
      <c r="A348" s="12" t="n">
        <v>42509</v>
      </c>
      <c r="B348" s="15" t="n">
        <v>-0.286300003528595</v>
      </c>
      <c r="C348" s="15" t="n">
        <v>0.0873000025749207</v>
      </c>
      <c r="D348" s="15" t="n">
        <v>2.15089988708496</v>
      </c>
      <c r="E348" s="15" t="n">
        <v>-0.0119998455047607</v>
      </c>
      <c r="F348" s="15" t="n">
        <v>0.485000014305115</v>
      </c>
      <c r="G348" s="15" t="n">
        <v>1.93990004062653</v>
      </c>
      <c r="H348" s="16">
        <f>C348+E348</f>
        <v/>
      </c>
    </row>
    <row r="349">
      <c r="A349" s="12" t="n">
        <v>42510</v>
      </c>
      <c r="B349" s="15" t="n">
        <v>-0.285400003194809</v>
      </c>
      <c r="C349" s="15" t="n">
        <v>0.0811000019311905</v>
      </c>
      <c r="D349" s="15" t="n">
        <v>2.14860010147095</v>
      </c>
      <c r="E349" s="15" t="n">
        <v>-0.0138000696897507</v>
      </c>
      <c r="F349" s="15" t="n">
        <v>0.493000000715256</v>
      </c>
      <c r="G349" s="15" t="n">
        <v>1.93050003051758</v>
      </c>
      <c r="H349" s="16">
        <f>C349+E349</f>
        <v/>
      </c>
    </row>
    <row r="350">
      <c r="A350" s="12" t="n">
        <v>42513</v>
      </c>
      <c r="B350" s="15" t="n">
        <v>-0.284200005233288</v>
      </c>
      <c r="C350" s="15" t="n">
        <v>0.07519999891519551</v>
      </c>
      <c r="D350" s="15" t="n">
        <v>2.146399974823</v>
      </c>
      <c r="E350" s="15" t="n">
        <v>-0.0153999179601669</v>
      </c>
      <c r="F350" s="15" t="n">
        <v>0.506200015544891</v>
      </c>
      <c r="G350" s="15" t="n">
        <v>1.92200005054474</v>
      </c>
      <c r="H350" s="16">
        <f>C350+E350</f>
        <v/>
      </c>
    </row>
    <row r="351">
      <c r="A351" s="12" t="n">
        <v>42514</v>
      </c>
      <c r="B351" s="15" t="n">
        <v>-0.275800004601479</v>
      </c>
      <c r="C351" s="15" t="n">
        <v>0.0838000029325485</v>
      </c>
      <c r="D351" s="15" t="n">
        <v>2.15199995040894</v>
      </c>
      <c r="E351" s="15" t="n">
        <v>-0.0135000050067902</v>
      </c>
      <c r="F351" s="15" t="n">
        <v>0.502300024032593</v>
      </c>
      <c r="G351" s="15" t="n">
        <v>1.94649994373322</v>
      </c>
      <c r="H351" s="16">
        <f>C351+E351</f>
        <v/>
      </c>
    </row>
    <row r="352">
      <c r="A352" s="12" t="n">
        <v>42515</v>
      </c>
      <c r="B352" s="15" t="n">
        <v>-0.275200001895428</v>
      </c>
      <c r="C352" s="15" t="n">
        <v>0.0869000032544136</v>
      </c>
      <c r="D352" s="15" t="n">
        <v>2.15330004692078</v>
      </c>
      <c r="E352" s="15" t="n">
        <v>-0.0126000791788101</v>
      </c>
      <c r="F352" s="15" t="n">
        <v>0.48089998960495</v>
      </c>
      <c r="G352" s="15" t="n">
        <v>1.95239996910095</v>
      </c>
      <c r="H352" s="16">
        <f>C352+E352</f>
        <v/>
      </c>
    </row>
    <row r="353">
      <c r="A353" s="12" t="n">
        <v>42516</v>
      </c>
      <c r="B353" s="15" t="n">
        <v>-0.28940000385046</v>
      </c>
      <c r="C353" s="15" t="n">
        <v>0.07440000027418139</v>
      </c>
      <c r="D353" s="15" t="n">
        <v>2.14490008354187</v>
      </c>
      <c r="E353" s="15" t="n">
        <v>-0.0154000818729401</v>
      </c>
      <c r="F353" s="15" t="n">
        <v>0.477999985218048</v>
      </c>
      <c r="G353" s="15" t="n">
        <v>1.91449999809265</v>
      </c>
      <c r="H353" s="16">
        <f>C353+E353</f>
        <v/>
      </c>
    </row>
    <row r="354">
      <c r="A354" s="12" t="n">
        <v>42517</v>
      </c>
      <c r="B354" s="15" t="n">
        <v>-0.279599994421005</v>
      </c>
      <c r="C354" s="15" t="n">
        <v>0.08179999887943271</v>
      </c>
      <c r="D354" s="15" t="n">
        <v>2.15009999275208</v>
      </c>
      <c r="E354" s="15" t="n">
        <v>-0.0137999504804611</v>
      </c>
      <c r="F354" s="15" t="n">
        <v>0.482800006866455</v>
      </c>
      <c r="G354" s="15" t="n">
        <v>1.93850004673004</v>
      </c>
      <c r="H354" s="16">
        <f>C354+E354</f>
        <v/>
      </c>
    </row>
    <row r="355">
      <c r="A355" s="12" t="n">
        <v>42521</v>
      </c>
      <c r="B355" s="15" t="n">
        <v>-0.281700007617474</v>
      </c>
      <c r="C355" s="15" t="n">
        <v>0.0763000026345253</v>
      </c>
      <c r="D355" s="15" t="n">
        <v>2.14770007133484</v>
      </c>
      <c r="E355" s="15" t="n">
        <v>-0.0153000205755234</v>
      </c>
      <c r="F355" s="15" t="n">
        <v>0.505800008773804</v>
      </c>
      <c r="G355" s="15" t="n">
        <v>1.92700004577637</v>
      </c>
      <c r="H355" s="16">
        <f>C355+E355</f>
        <v/>
      </c>
    </row>
    <row r="356">
      <c r="A356" s="12" t="n">
        <v>42522</v>
      </c>
      <c r="B356" s="15" t="n">
        <v>-0.278400003910065</v>
      </c>
      <c r="C356" s="15" t="n">
        <v>0.0772999972105026</v>
      </c>
      <c r="D356" s="15" t="n">
        <v>2.14860010147095</v>
      </c>
      <c r="E356" s="15" t="n">
        <v>-0.0150000900030136</v>
      </c>
      <c r="F356" s="15" t="n">
        <v>0.5123999714851381</v>
      </c>
      <c r="G356" s="15" t="n">
        <v>1.93250000476837</v>
      </c>
      <c r="H356" s="16">
        <f>C356+E356</f>
        <v/>
      </c>
    </row>
    <row r="357">
      <c r="A357" s="12" t="n">
        <v>42523</v>
      </c>
      <c r="B357" s="15" t="n">
        <v>-0.292600002139807</v>
      </c>
      <c r="C357" s="15" t="n">
        <v>0.0601000003516674</v>
      </c>
      <c r="D357" s="15" t="n">
        <v>2.13730001449585</v>
      </c>
      <c r="E357" s="15" t="n">
        <v>-0.0187999755144119</v>
      </c>
      <c r="F357" s="15" t="n">
        <v>0.509500026702881</v>
      </c>
      <c r="G357" s="15" t="n">
        <v>1.8860000371933</v>
      </c>
      <c r="H357" s="16">
        <f>C357+E357</f>
        <v/>
      </c>
    </row>
    <row r="358">
      <c r="A358" s="12" t="n">
        <v>42524</v>
      </c>
      <c r="B358" s="15" t="n">
        <v>-0.334299985319376</v>
      </c>
      <c r="C358" s="15" t="n">
        <v>0.0243999995291233</v>
      </c>
      <c r="D358" s="15" t="n">
        <v>2.11260008811951</v>
      </c>
      <c r="E358" s="15" t="n">
        <v>-0.0267000794410706</v>
      </c>
      <c r="F358" s="15" t="n">
        <v>0.490900009870529</v>
      </c>
      <c r="G358" s="15" t="n">
        <v>1.77600002288818</v>
      </c>
      <c r="H358" s="16">
        <f>C358+E358</f>
        <v/>
      </c>
    </row>
    <row r="359">
      <c r="A359" s="12" t="n">
        <v>42527</v>
      </c>
      <c r="B359" s="15" t="n">
        <v>-0.326799988746643</v>
      </c>
      <c r="C359" s="15" t="n">
        <v>0.0324999988079071</v>
      </c>
      <c r="D359" s="15" t="n">
        <v>2.11820006370544</v>
      </c>
      <c r="E359" s="15" t="n">
        <v>-0.0251000821590424</v>
      </c>
      <c r="F359" s="15" t="n">
        <v>0.467099994421005</v>
      </c>
      <c r="G359" s="15" t="n">
        <v>1.79879999160767</v>
      </c>
      <c r="H359" s="16">
        <f>C359+E359</f>
        <v/>
      </c>
    </row>
    <row r="360">
      <c r="A360" s="12" t="n">
        <v>42528</v>
      </c>
      <c r="B360" s="15" t="n">
        <v>-0.331799985840917</v>
      </c>
      <c r="C360" s="15" t="n">
        <v>0.0288999993354082</v>
      </c>
      <c r="D360" s="15" t="n">
        <v>2.11549997329712</v>
      </c>
      <c r="E360" s="15" t="n">
        <v>-0.0256999433040619</v>
      </c>
      <c r="F360" s="15" t="n">
        <v>0.453000009059906</v>
      </c>
      <c r="G360" s="15" t="n">
        <v>1.78690004348755</v>
      </c>
      <c r="H360" s="16">
        <f>C360+E360</f>
        <v/>
      </c>
    </row>
    <row r="361">
      <c r="A361" s="12" t="n">
        <v>42529</v>
      </c>
      <c r="B361" s="15" t="n">
        <v>-0.335899990051985</v>
      </c>
      <c r="C361" s="15" t="n">
        <v>0.0240000002086163</v>
      </c>
      <c r="D361" s="15" t="n">
        <v>2.11240005493164</v>
      </c>
      <c r="E361" s="15" t="n">
        <v>-0.0269000828266144</v>
      </c>
      <c r="F361" s="15" t="n">
        <v>0.431800007820129</v>
      </c>
      <c r="G361" s="15" t="n">
        <v>1.77359998226166</v>
      </c>
      <c r="H361" s="16">
        <f>C361+E361</f>
        <v/>
      </c>
    </row>
    <row r="362">
      <c r="A362" s="12" t="n">
        <v>42530</v>
      </c>
      <c r="B362" s="15" t="n">
        <v>-0.34150000102818</v>
      </c>
      <c r="C362" s="15" t="n">
        <v>0.0165999997407198</v>
      </c>
      <c r="D362" s="15" t="n">
        <v>2.10780000686646</v>
      </c>
      <c r="E362" s="15" t="n">
        <v>-0.0286000072956085</v>
      </c>
      <c r="F362" s="15" t="n">
        <v>0.450599998235703</v>
      </c>
      <c r="G362" s="15" t="n">
        <v>1.75429999828339</v>
      </c>
      <c r="H362" s="16">
        <f>C362+E362</f>
        <v/>
      </c>
    </row>
    <row r="363">
      <c r="A363" s="12" t="n">
        <v>42531</v>
      </c>
      <c r="B363" s="15" t="n">
        <v>-0.35600001225248</v>
      </c>
      <c r="C363" s="15" t="n">
        <v>0.00139999995008111</v>
      </c>
      <c r="D363" s="15" t="n">
        <v>2.09789991378784</v>
      </c>
      <c r="E363" s="15" t="n">
        <v>-0.0320999026298523</v>
      </c>
      <c r="F363" s="15" t="n">
        <v>0.472499996423721</v>
      </c>
      <c r="G363" s="15" t="n">
        <v>1.71119999885559</v>
      </c>
      <c r="H363" s="16">
        <f>C363+E363</f>
        <v/>
      </c>
    </row>
    <row r="364">
      <c r="A364" s="12" t="n">
        <v>42534</v>
      </c>
      <c r="B364" s="15" t="n">
        <v>-0.364300000946969</v>
      </c>
      <c r="C364" s="15" t="n">
        <v>-0.00460000010207295</v>
      </c>
      <c r="D364" s="15" t="n">
        <v>2.09389996528625</v>
      </c>
      <c r="E364" s="15" t="n">
        <v>-0.0335000157356262</v>
      </c>
      <c r="F364" s="15" t="n">
        <v>0.492000013589859</v>
      </c>
      <c r="G364" s="15" t="n">
        <v>1.69149994850159</v>
      </c>
      <c r="H364" s="16">
        <f>C364+E364</f>
        <v/>
      </c>
    </row>
    <row r="365">
      <c r="A365" s="12" t="n">
        <v>42535</v>
      </c>
      <c r="B365" s="15" t="n">
        <v>-0.363000003388152</v>
      </c>
      <c r="C365" s="15" t="n">
        <v>-0.00340000004507601</v>
      </c>
      <c r="D365" s="15" t="n">
        <v>2.09479999542236</v>
      </c>
      <c r="E365" s="15" t="n">
        <v>-0.0333000421524048</v>
      </c>
      <c r="F365" s="15" t="n">
        <v>0.510200023651123</v>
      </c>
      <c r="G365" s="15" t="n">
        <v>1.69509994983673</v>
      </c>
      <c r="H365" s="16">
        <f>C365+E365</f>
        <v/>
      </c>
    </row>
    <row r="366">
      <c r="A366" s="12" t="n">
        <v>42536</v>
      </c>
      <c r="B366" s="15" t="n">
        <v>-0.378700008615851</v>
      </c>
      <c r="C366" s="15" t="n">
        <v>-0.0109000001102686</v>
      </c>
      <c r="D366" s="15" t="n">
        <v>2.08809995651245</v>
      </c>
      <c r="E366" s="15" t="n">
        <v>-0.034699946641922</v>
      </c>
      <c r="F366" s="15" t="n">
        <v>0.503799974918365</v>
      </c>
      <c r="G366" s="15" t="n">
        <v>1.66380000114441</v>
      </c>
      <c r="H366" s="16">
        <f>C366+E366</f>
        <v/>
      </c>
    </row>
    <row r="367">
      <c r="A367" s="12" t="n">
        <v>42537</v>
      </c>
      <c r="B367" s="15" t="n">
        <v>-0.383900009095669</v>
      </c>
      <c r="C367" s="15" t="n">
        <v>-0.0153999999165535</v>
      </c>
      <c r="D367" s="15" t="n">
        <v>2.08459997177124</v>
      </c>
      <c r="E367" s="15" t="n">
        <v>-0.0355000197887421</v>
      </c>
      <c r="F367" s="15" t="n">
        <v>0.535700023174286</v>
      </c>
      <c r="G367" s="15" t="n">
        <v>1.64979994297028</v>
      </c>
      <c r="H367" s="16">
        <f>C367+E367</f>
        <v/>
      </c>
    </row>
    <row r="368">
      <c r="A368" s="12" t="n">
        <v>42538</v>
      </c>
      <c r="B368" s="15" t="n">
        <v>-0.372000006143935</v>
      </c>
      <c r="C368" s="15" t="n">
        <v>-0.0015999999595806</v>
      </c>
      <c r="D368" s="15" t="n">
        <v>2.09360003471375</v>
      </c>
      <c r="E368" s="15" t="n">
        <v>-0.0326000452041626</v>
      </c>
      <c r="F368" s="15" t="n">
        <v>0.548699975013733</v>
      </c>
      <c r="G368" s="15" t="n">
        <v>1.68739998340607</v>
      </c>
      <c r="H368" s="16">
        <f>C368+E368</f>
        <v/>
      </c>
    </row>
    <row r="369">
      <c r="A369" s="12" t="n">
        <v>42541</v>
      </c>
      <c r="B369" s="15" t="n">
        <v>-0.352300010621548</v>
      </c>
      <c r="C369" s="15" t="n">
        <v>0.0109999999403954</v>
      </c>
      <c r="D369" s="15" t="n">
        <v>2.10389995574951</v>
      </c>
      <c r="E369" s="15" t="n">
        <v>-0.0300999879837036</v>
      </c>
      <c r="F369" s="15" t="n">
        <v>0.556299984455109</v>
      </c>
      <c r="G369" s="15" t="n">
        <v>1.73249995708466</v>
      </c>
      <c r="H369" s="16">
        <f>C369+E369</f>
        <v/>
      </c>
    </row>
    <row r="370">
      <c r="A370" s="12" t="n">
        <v>42542</v>
      </c>
      <c r="B370" s="15" t="n">
        <v>-0.340900003910065</v>
      </c>
      <c r="C370" s="15" t="n">
        <v>0.0263999998569489</v>
      </c>
      <c r="D370" s="15" t="n">
        <v>2.11319994926453</v>
      </c>
      <c r="E370" s="15" t="n">
        <v>-0.0264999568462372</v>
      </c>
      <c r="F370" s="15" t="n">
        <v>0.578599989414215</v>
      </c>
      <c r="G370" s="15" t="n">
        <v>1.77219998836517</v>
      </c>
      <c r="H370" s="16">
        <f>C370+E370</f>
        <v/>
      </c>
    </row>
    <row r="371">
      <c r="A371" s="12" t="n">
        <v>42543</v>
      </c>
      <c r="B371" s="15" t="n">
        <v>-0.348799996078014</v>
      </c>
      <c r="C371" s="15" t="n">
        <v>0.0188999995589256</v>
      </c>
      <c r="D371" s="15" t="n">
        <v>2.1078999042511</v>
      </c>
      <c r="E371" s="15" t="n">
        <v>-0.028099924325943</v>
      </c>
      <c r="F371" s="15" t="n">
        <v>0.550599992275238</v>
      </c>
      <c r="G371" s="15" t="n">
        <v>1.74989998340607</v>
      </c>
      <c r="H371" s="16">
        <f>C371+E371</f>
        <v/>
      </c>
    </row>
    <row r="372">
      <c r="A372" s="12" t="n">
        <v>42544</v>
      </c>
      <c r="B372" s="15" t="n">
        <v>-0.329400006681681</v>
      </c>
      <c r="C372" s="15" t="n">
        <v>0.0359000004827976</v>
      </c>
      <c r="D372" s="15" t="n">
        <v>2.11989998817444</v>
      </c>
      <c r="E372" s="15" t="n">
        <v>-0.0243999361991882</v>
      </c>
      <c r="F372" s="15" t="n">
        <v>0.508800029754639</v>
      </c>
      <c r="G372" s="15" t="n">
        <v>1.80200004577637</v>
      </c>
      <c r="H372" s="16">
        <f>C372+E372</f>
        <v/>
      </c>
    </row>
    <row r="373">
      <c r="A373" s="12" t="n">
        <v>42545</v>
      </c>
      <c r="B373" s="15" t="n">
        <v>-0.385500008240342</v>
      </c>
      <c r="C373" s="15" t="n">
        <v>-0.0189999993890524</v>
      </c>
      <c r="D373" s="15" t="n">
        <v>2.08340001106262</v>
      </c>
      <c r="E373" s="15" t="n">
        <v>-0.0367000102996826</v>
      </c>
      <c r="F373" s="15" t="n">
        <v>0.536499977111816</v>
      </c>
      <c r="G373" s="15" t="n">
        <v>1.64219999313354</v>
      </c>
      <c r="H373" s="16">
        <f>C373+E373</f>
        <v/>
      </c>
    </row>
    <row r="374">
      <c r="A374" s="12" t="n">
        <v>42548</v>
      </c>
      <c r="B374" s="15" t="n">
        <v>-0.419100008904934</v>
      </c>
      <c r="C374" s="15" t="n">
        <v>-0.0575999990105629</v>
      </c>
      <c r="D374" s="15" t="n">
        <v>2.05859994888306</v>
      </c>
      <c r="E374" s="15" t="n">
        <v>-0.0453999638557434</v>
      </c>
      <c r="F374" s="15" t="n">
        <v>0.59799998998642</v>
      </c>
      <c r="G374" s="15" t="n">
        <v>1.53649997711182</v>
      </c>
      <c r="H374" s="16">
        <f>C374+E374</f>
        <v/>
      </c>
    </row>
    <row r="375">
      <c r="A375" s="12" t="n">
        <v>42549</v>
      </c>
      <c r="B375" s="15" t="n">
        <v>-0.423299983143806</v>
      </c>
      <c r="C375" s="15" t="n">
        <v>-0.066200003027916</v>
      </c>
      <c r="D375" s="15" t="n">
        <v>2.05340003967285</v>
      </c>
      <c r="E375" s="15" t="n">
        <v>-0.0474000573158264</v>
      </c>
      <c r="F375" s="15" t="n">
        <v>0.583899974822998</v>
      </c>
      <c r="G375" s="15" t="n">
        <v>1.5164999961853</v>
      </c>
      <c r="H375" s="16">
        <f>C375+E375</f>
        <v/>
      </c>
    </row>
    <row r="376">
      <c r="A376" s="12" t="n">
        <v>42550</v>
      </c>
      <c r="B376" s="15" t="n">
        <v>-0.413499992340803</v>
      </c>
      <c r="C376" s="15" t="n">
        <v>-0.0527000017464161</v>
      </c>
      <c r="D376" s="15" t="n">
        <v>2.06130003929138</v>
      </c>
      <c r="E376" s="15" t="n">
        <v>-0.0441000461578369</v>
      </c>
      <c r="F376" s="15" t="n">
        <v>0.546000003814697</v>
      </c>
      <c r="G376" s="15" t="n">
        <v>1.55099999904633</v>
      </c>
      <c r="H376" s="16">
        <f>C376+E376</f>
        <v/>
      </c>
    </row>
    <row r="377">
      <c r="A377" s="12" t="n">
        <v>42551</v>
      </c>
      <c r="B377" s="15" t="n">
        <v>-0.416300013661385</v>
      </c>
      <c r="C377" s="15" t="n">
        <v>-0.0544999986886978</v>
      </c>
      <c r="D377" s="15" t="n">
        <v>2.06040000915527</v>
      </c>
      <c r="E377" s="15" t="n">
        <v>-0.0447000563144684</v>
      </c>
      <c r="F377" s="15" t="n">
        <v>0.546199977397919</v>
      </c>
      <c r="G377" s="15" t="n">
        <v>1.54489994049072</v>
      </c>
      <c r="H377" s="16">
        <f>C377+E377</f>
        <v/>
      </c>
    </row>
    <row r="378">
      <c r="A378" s="12" t="n">
        <v>42552</v>
      </c>
      <c r="B378" s="15" t="n">
        <v>-0.421800009906292</v>
      </c>
      <c r="C378" s="15" t="n">
        <v>-0.06729999929666521</v>
      </c>
      <c r="D378" s="15" t="n">
        <v>2.05310010910034</v>
      </c>
      <c r="E378" s="15" t="n">
        <v>-0.047600120306015</v>
      </c>
      <c r="F378" s="15" t="n">
        <v>0.509400010108948</v>
      </c>
      <c r="G378" s="15" t="n">
        <v>1.51639997959137</v>
      </c>
      <c r="H378" s="16">
        <f>C378+E378</f>
        <v/>
      </c>
    </row>
    <row r="379">
      <c r="A379" s="12" t="n">
        <v>42556</v>
      </c>
      <c r="B379" s="15" t="n">
        <v>-0.44819999486208</v>
      </c>
      <c r="C379" s="15" t="n">
        <v>-0.0980999991297722</v>
      </c>
      <c r="D379" s="15" t="n">
        <v>2.03309988975525</v>
      </c>
      <c r="E379" s="15" t="n">
        <v>-0.0543999075889587</v>
      </c>
      <c r="F379" s="15" t="n">
        <v>0.516099989414215</v>
      </c>
      <c r="G379" s="15" t="n">
        <v>1.43239998817444</v>
      </c>
      <c r="H379" s="16">
        <f>C379+E379</f>
        <v/>
      </c>
    </row>
    <row r="380">
      <c r="A380" s="12" t="n">
        <v>42557</v>
      </c>
      <c r="B380" s="15" t="n">
        <v>-0.445400021970272</v>
      </c>
      <c r="C380" s="15" t="n">
        <v>-0.100000001490116</v>
      </c>
      <c r="D380" s="15" t="n">
        <v>2.03239989280701</v>
      </c>
      <c r="E380" s="15" t="n">
        <v>-0.0547999143600464</v>
      </c>
      <c r="F380" s="15" t="n">
        <v>0.493400007486343</v>
      </c>
      <c r="G380" s="15" t="n">
        <v>1.43219995498657</v>
      </c>
      <c r="H380" s="16">
        <f>C380+E380</f>
        <v/>
      </c>
    </row>
    <row r="381">
      <c r="A381" s="12" t="n">
        <v>42558</v>
      </c>
      <c r="B381" s="15" t="n">
        <v>-0.440199971199036</v>
      </c>
      <c r="C381" s="15" t="n">
        <v>-0.0958999991416931</v>
      </c>
      <c r="D381" s="15" t="n">
        <v>2.03550004959106</v>
      </c>
      <c r="E381" s="15" t="n">
        <v>-0.0539000630378723</v>
      </c>
      <c r="F381" s="15" t="n">
        <v>0.502600014209747</v>
      </c>
      <c r="G381" s="15" t="n">
        <v>1.44550001621246</v>
      </c>
      <c r="H381" s="16">
        <f>C381+E381</f>
        <v/>
      </c>
    </row>
    <row r="382">
      <c r="A382" s="12" t="n">
        <v>42559</v>
      </c>
      <c r="B382" s="15" t="n">
        <v>-0.447400011122227</v>
      </c>
      <c r="C382" s="15" t="n">
        <v>-0.106200002133846</v>
      </c>
      <c r="D382" s="15" t="n">
        <v>2.02870011329651</v>
      </c>
      <c r="E382" s="15" t="n">
        <v>-0.056100070476532</v>
      </c>
      <c r="F382" s="15" t="n">
        <v>0.503099977970123</v>
      </c>
      <c r="G382" s="15" t="n">
        <v>1.4190000295639</v>
      </c>
      <c r="H382" s="16">
        <f>C382+E382</f>
        <v/>
      </c>
    </row>
    <row r="383">
      <c r="A383" s="12" t="n">
        <v>42562</v>
      </c>
      <c r="B383" s="15" t="n">
        <v>-0.423200003802776</v>
      </c>
      <c r="C383" s="15" t="n">
        <v>-0.08760000020265581</v>
      </c>
      <c r="D383" s="15" t="n">
        <v>2.04209995269775</v>
      </c>
      <c r="E383" s="15" t="n">
        <v>-0.0519999265670776</v>
      </c>
      <c r="F383" s="15" t="n">
        <v>0.513800024986267</v>
      </c>
      <c r="G383" s="15" t="n">
        <v>1.47930002212524</v>
      </c>
      <c r="H383" s="16">
        <f>C383+E383</f>
        <v/>
      </c>
    </row>
    <row r="384">
      <c r="A384" s="12" t="n">
        <v>42563</v>
      </c>
      <c r="B384" s="15" t="n">
        <v>-0.397200003266335</v>
      </c>
      <c r="C384" s="15" t="n">
        <v>-0.0544999986886978</v>
      </c>
      <c r="D384" s="15" t="n">
        <v>2.06270003318787</v>
      </c>
      <c r="E384" s="15" t="n">
        <v>-0.0445000827312469</v>
      </c>
      <c r="F384" s="15" t="n">
        <v>0.506699979305267</v>
      </c>
      <c r="G384" s="15" t="n">
        <v>1.56649994850159</v>
      </c>
      <c r="H384" s="16">
        <f>C384+E384</f>
        <v/>
      </c>
    </row>
    <row r="385">
      <c r="A385" s="12" t="n">
        <v>42564</v>
      </c>
      <c r="B385" s="15" t="n">
        <v>-0.407700009644032</v>
      </c>
      <c r="C385" s="15" t="n">
        <v>-0.0683000013232231</v>
      </c>
      <c r="D385" s="15" t="n">
        <v>2.05380010604858</v>
      </c>
      <c r="E385" s="15" t="n">
        <v>-0.0474000573158264</v>
      </c>
      <c r="F385" s="15" t="n">
        <v>0.512000024318695</v>
      </c>
      <c r="G385" s="15" t="n">
        <v>1.5304000377655</v>
      </c>
      <c r="H385" s="16">
        <f>C385+E385</f>
        <v/>
      </c>
    </row>
    <row r="386">
      <c r="A386" s="12" t="n">
        <v>42565</v>
      </c>
      <c r="B386" s="15" t="n">
        <v>-0.393299993127584</v>
      </c>
      <c r="C386" s="15" t="n">
        <v>-0.0507999993860722</v>
      </c>
      <c r="D386" s="15" t="n">
        <v>2.06520009040833</v>
      </c>
      <c r="E386" s="15" t="n">
        <v>-0.0437001287937164</v>
      </c>
      <c r="F386" s="15" t="n">
        <v>0.509700000286102</v>
      </c>
      <c r="G386" s="15" t="n">
        <v>1.57739996910095</v>
      </c>
      <c r="H386" s="16">
        <f>C386+E386</f>
        <v/>
      </c>
    </row>
    <row r="387">
      <c r="A387" s="12" t="n">
        <v>42566</v>
      </c>
      <c r="B387" s="15" t="n">
        <v>-0.372599996626377</v>
      </c>
      <c r="C387" s="15" t="n">
        <v>-0.0267999991774559</v>
      </c>
      <c r="D387" s="15" t="n">
        <v>2.08060002326965</v>
      </c>
      <c r="E387" s="15" t="n">
        <v>-0.0382000207901001</v>
      </c>
      <c r="F387" s="15" t="n">
        <v>0.513499975204468</v>
      </c>
      <c r="G387" s="15" t="n">
        <v>1.64300000667572</v>
      </c>
      <c r="H387" s="16">
        <f>C387+E387</f>
        <v/>
      </c>
    </row>
    <row r="388">
      <c r="A388" s="12" t="n">
        <v>42569</v>
      </c>
      <c r="B388" s="15" t="n">
        <v>-0.373600007966161</v>
      </c>
      <c r="C388" s="15" t="n">
        <v>-0.0308999996632338</v>
      </c>
      <c r="D388" s="15" t="n">
        <v>2.0789999961853</v>
      </c>
      <c r="E388" s="15" t="n">
        <v>-0.0393999814987183</v>
      </c>
      <c r="F388" s="15" t="n">
        <v>0.514699995517731</v>
      </c>
      <c r="G388" s="15" t="n">
        <v>1.63510000705719</v>
      </c>
      <c r="H388" s="16">
        <f>C388+E388</f>
        <v/>
      </c>
    </row>
    <row r="389">
      <c r="A389" s="12" t="n">
        <v>42570</v>
      </c>
      <c r="B389" s="15" t="n">
        <v>-0.379999991506338</v>
      </c>
      <c r="C389" s="15" t="n">
        <v>-0.0401999987661839</v>
      </c>
      <c r="D389" s="15" t="n">
        <v>2.07349991798401</v>
      </c>
      <c r="E389" s="15" t="n">
        <v>-0.0415998697280884</v>
      </c>
      <c r="F389" s="15" t="n">
        <v>0.532599985599518</v>
      </c>
      <c r="G389" s="15" t="n">
        <v>1.6117000579834</v>
      </c>
      <c r="H389" s="16">
        <f>C389+E389</f>
        <v/>
      </c>
    </row>
    <row r="390">
      <c r="A390" s="12" t="n">
        <v>42571</v>
      </c>
      <c r="B390" s="15" t="n">
        <v>-0.370799986645579</v>
      </c>
      <c r="C390" s="15" t="n">
        <v>-0.0297999996691942</v>
      </c>
      <c r="D390" s="15" t="n">
        <v>2.08010005950928</v>
      </c>
      <c r="E390" s="15" t="n">
        <v>-0.0392000377178192</v>
      </c>
      <c r="F390" s="15" t="n">
        <v>0.5368999838829041</v>
      </c>
      <c r="G390" s="15" t="n">
        <v>1.64030003547668</v>
      </c>
      <c r="H390" s="16">
        <f>C390+E390</f>
        <v/>
      </c>
    </row>
    <row r="391">
      <c r="A391" s="12" t="n">
        <v>42572</v>
      </c>
      <c r="B391" s="15" t="n">
        <v>-0.379900000989437</v>
      </c>
      <c r="C391" s="15" t="n">
        <v>-0.0381999984383583</v>
      </c>
      <c r="D391" s="15" t="n">
        <v>2.07480001449585</v>
      </c>
      <c r="E391" s="15" t="n">
        <v>-0.0413000583648682</v>
      </c>
      <c r="F391" s="15" t="n">
        <v>0.547100007534027</v>
      </c>
      <c r="G391" s="15" t="n">
        <v>1.61539995670319</v>
      </c>
      <c r="H391" s="16">
        <f>C391+E391</f>
        <v/>
      </c>
    </row>
    <row r="392">
      <c r="A392" s="12" t="n">
        <v>42573</v>
      </c>
      <c r="B392" s="15" t="n">
        <v>-0.374300010502338</v>
      </c>
      <c r="C392" s="15" t="n">
        <v>-0.033100001513958</v>
      </c>
      <c r="D392" s="15" t="n">
        <v>2.07820010185242</v>
      </c>
      <c r="E392" s="15" t="n">
        <v>-0.0402001142501831</v>
      </c>
      <c r="F392" s="15" t="n">
        <v>0.564999997615814</v>
      </c>
      <c r="G392" s="15" t="n">
        <v>1.63059997558594</v>
      </c>
      <c r="H392" s="16">
        <f>C392+E392</f>
        <v/>
      </c>
    </row>
    <row r="393">
      <c r="A393" s="12" t="n">
        <v>42576</v>
      </c>
      <c r="B393" s="15" t="n">
        <v>-0.371400006115437</v>
      </c>
      <c r="C393" s="15" t="n">
        <v>-0.032200001180172</v>
      </c>
      <c r="D393" s="15" t="n">
        <v>2.07870006561279</v>
      </c>
      <c r="E393" s="15" t="n">
        <v>-0.0398000180721283</v>
      </c>
      <c r="F393" s="15" t="n">
        <v>0.582499980926514</v>
      </c>
      <c r="G393" s="15" t="n">
        <v>1.63530004024506</v>
      </c>
      <c r="H393" s="16">
        <f>C393+E393</f>
        <v/>
      </c>
    </row>
    <row r="394">
      <c r="A394" s="12" t="n">
        <v>42577</v>
      </c>
      <c r="B394" s="15" t="n">
        <v>-0.37559999153018</v>
      </c>
      <c r="C394" s="15" t="n">
        <v>-0.0366999991238117</v>
      </c>
      <c r="D394" s="15" t="n">
        <v>2.07529997825623</v>
      </c>
      <c r="E394" s="15" t="n">
        <v>-0.0405999422073364</v>
      </c>
      <c r="F394" s="15" t="n">
        <v>0.578999996185303</v>
      </c>
      <c r="G394" s="15" t="n">
        <v>1.6224000453949</v>
      </c>
      <c r="H394" s="16">
        <f>C394+E394</f>
        <v/>
      </c>
    </row>
    <row r="395">
      <c r="A395" s="12" t="n">
        <v>42578</v>
      </c>
      <c r="B395" s="15" t="n">
        <v>-0.394399985671043</v>
      </c>
      <c r="C395" s="15" t="n">
        <v>-0.0529000014066696</v>
      </c>
      <c r="D395" s="15" t="n">
        <v>2.06340003013611</v>
      </c>
      <c r="E395" s="15" t="n">
        <v>-0.0439001023769379</v>
      </c>
      <c r="F395" s="15" t="n">
        <v>0.575900018215179</v>
      </c>
      <c r="G395" s="15" t="n">
        <v>1.57219994068146</v>
      </c>
      <c r="H395" s="16">
        <f>C395+E395</f>
        <v/>
      </c>
    </row>
    <row r="396">
      <c r="A396" s="12" t="n">
        <v>42579</v>
      </c>
      <c r="B396" s="15" t="n">
        <v>-0.399500004947186</v>
      </c>
      <c r="C396" s="15" t="n">
        <v>-0.0560000017285347</v>
      </c>
      <c r="D396" s="15" t="n">
        <v>2.06069993972778</v>
      </c>
      <c r="E396" s="15" t="n">
        <v>-0.0443999767303467</v>
      </c>
      <c r="F396" s="15" t="n">
        <v>0.55620002746582</v>
      </c>
      <c r="G396" s="15" t="n">
        <v>1.56079995632172</v>
      </c>
      <c r="H396" s="16">
        <f>C396+E396</f>
        <v/>
      </c>
    </row>
    <row r="397">
      <c r="A397" s="12" t="n">
        <v>42580</v>
      </c>
      <c r="B397" s="15" t="n">
        <v>-0.419300004839897</v>
      </c>
      <c r="C397" s="15" t="n">
        <v>-0.0750000029802322</v>
      </c>
      <c r="D397" s="15" t="n">
        <v>2.04830002784729</v>
      </c>
      <c r="E397" s="15" t="n">
        <v>-0.048799991607666</v>
      </c>
      <c r="F397" s="15" t="n">
        <v>0.555299997329712</v>
      </c>
      <c r="G397" s="15" t="n">
        <v>1.50520002841949</v>
      </c>
      <c r="H397" s="16">
        <f>C397+E397</f>
        <v/>
      </c>
    </row>
    <row r="398">
      <c r="A398" s="12" t="n">
        <v>42583</v>
      </c>
      <c r="B398" s="15" t="n">
        <v>-0.402200002223253</v>
      </c>
      <c r="C398" s="15" t="n">
        <v>-0.0564999990165234</v>
      </c>
      <c r="D398" s="15" t="n">
        <v>2.06100010871887</v>
      </c>
      <c r="E398" s="15" t="n">
        <v>-0.0450001358985901</v>
      </c>
      <c r="F398" s="15" t="n">
        <v>0.591000020503998</v>
      </c>
      <c r="G398" s="15" t="n">
        <v>1.55729997158051</v>
      </c>
      <c r="H398" s="16">
        <f>C398+E398</f>
        <v/>
      </c>
    </row>
    <row r="399">
      <c r="A399" s="12" t="n">
        <v>42584</v>
      </c>
      <c r="B399" s="15" t="n">
        <v>-0.391200002282858</v>
      </c>
      <c r="C399" s="15" t="n">
        <v>-0.0428999997675419</v>
      </c>
      <c r="D399" s="15" t="n">
        <v>2.07019996643066</v>
      </c>
      <c r="E399" s="15" t="n">
        <v>-0.0420999825000763</v>
      </c>
      <c r="F399" s="15" t="n">
        <v>0.619199991226196</v>
      </c>
      <c r="G399" s="15" t="n">
        <v>1.59399998188019</v>
      </c>
      <c r="H399" s="16">
        <f>C399+E399</f>
        <v/>
      </c>
    </row>
    <row r="400">
      <c r="A400" s="12" t="n">
        <v>42585</v>
      </c>
      <c r="B400" s="15" t="n">
        <v>-0.392599996179342</v>
      </c>
      <c r="C400" s="15" t="n">
        <v>-0.0465000011026859</v>
      </c>
      <c r="D400" s="15" t="n">
        <v>2.06859993934631</v>
      </c>
      <c r="E400" s="15" t="n">
        <v>-0.0431999266147614</v>
      </c>
      <c r="F400" s="15" t="n">
        <v>0.597299993038177</v>
      </c>
      <c r="G400" s="15" t="n">
        <v>1.58630001544952</v>
      </c>
      <c r="H400" s="16">
        <f>C400+E400</f>
        <v/>
      </c>
    </row>
    <row r="401">
      <c r="A401" s="12" t="n">
        <v>42586</v>
      </c>
      <c r="B401" s="15" t="n">
        <v>-0.404499992728233</v>
      </c>
      <c r="C401" s="15" t="n">
        <v>-0.0590000003576279</v>
      </c>
      <c r="D401" s="15" t="n">
        <v>2.06060004234314</v>
      </c>
      <c r="E401" s="15" t="n">
        <v>-0.0461000502109528</v>
      </c>
      <c r="F401" s="15" t="n">
        <v>0.575200021266937</v>
      </c>
      <c r="G401" s="15" t="n">
        <v>1.55099999904633</v>
      </c>
      <c r="H401" s="16">
        <f>C401+E401</f>
        <v/>
      </c>
    </row>
    <row r="402">
      <c r="A402" s="12" t="n">
        <v>42587</v>
      </c>
      <c r="B402" s="15" t="n">
        <v>-0.370999990031123</v>
      </c>
      <c r="C402" s="15" t="n">
        <v>-0.0307000000029802</v>
      </c>
      <c r="D402" s="15" t="n">
        <v>2.08030009269714</v>
      </c>
      <c r="E402" s="15" t="n">
        <v>-0.0398000776767731</v>
      </c>
      <c r="F402" s="15" t="n">
        <v>0.574199974536896</v>
      </c>
      <c r="G402" s="15" t="n">
        <v>1.63880002498627</v>
      </c>
      <c r="H402" s="16">
        <f>C402+E402</f>
        <v/>
      </c>
    </row>
    <row r="403">
      <c r="A403" s="12" t="n">
        <v>42590</v>
      </c>
      <c r="B403" s="15" t="n">
        <v>-0.369399996474385</v>
      </c>
      <c r="C403" s="15" t="n">
        <v>-0.0308999996632338</v>
      </c>
      <c r="D403" s="15" t="n">
        <v>2.08010005950928</v>
      </c>
      <c r="E403" s="15" t="n">
        <v>-0.03970006108284</v>
      </c>
      <c r="F403" s="15" t="n">
        <v>0.5703999996185301</v>
      </c>
      <c r="G403" s="15" t="n">
        <v>1.64010000228882</v>
      </c>
      <c r="H403" s="16">
        <f>C403+E403</f>
        <v/>
      </c>
    </row>
    <row r="404">
      <c r="A404" s="12" t="n">
        <v>42591</v>
      </c>
      <c r="B404" s="15" t="n">
        <v>-0.383299995213747</v>
      </c>
      <c r="C404" s="15" t="n">
        <v>-0.0467999987304211</v>
      </c>
      <c r="D404" s="15" t="n">
        <v>2.06960010528564</v>
      </c>
      <c r="E404" s="15" t="n">
        <v>-0.0432001054286957</v>
      </c>
      <c r="F404" s="15" t="n">
        <v>0.576399981975555</v>
      </c>
      <c r="G404" s="15" t="n">
        <v>1.59630000591278</v>
      </c>
      <c r="H404" s="16">
        <f>C404+E404</f>
        <v/>
      </c>
    </row>
    <row r="405">
      <c r="A405" s="12" t="n">
        <v>42592</v>
      </c>
      <c r="B405" s="15" t="n">
        <v>-0.395300004631281</v>
      </c>
      <c r="C405" s="15" t="n">
        <v>-0.0584000013768673</v>
      </c>
      <c r="D405" s="15" t="n">
        <v>2.0618999004364</v>
      </c>
      <c r="E405" s="15" t="n">
        <v>-0.0457999110221863</v>
      </c>
      <c r="F405" s="15" t="n">
        <v>0.590900003910065</v>
      </c>
      <c r="G405" s="15" t="n">
        <v>1.56239998340607</v>
      </c>
      <c r="H405" s="16">
        <f>C405+E405</f>
        <v/>
      </c>
    </row>
    <row r="406">
      <c r="A406" s="12" t="n">
        <v>42593</v>
      </c>
      <c r="B406" s="15" t="n">
        <v>-0.371200010180473</v>
      </c>
      <c r="C406" s="15" t="n">
        <v>-0.0362000018358231</v>
      </c>
      <c r="D406" s="15" t="n">
        <v>2.07669997215271</v>
      </c>
      <c r="E406" s="15" t="n">
        <v>-0.0406999588012695</v>
      </c>
      <c r="F406" s="15" t="n">
        <v>0.58789998292923</v>
      </c>
      <c r="G406" s="15" t="n">
        <v>1.62860000133514</v>
      </c>
      <c r="H406" s="16">
        <f>C406+E406</f>
        <v/>
      </c>
    </row>
    <row r="407">
      <c r="A407" s="12" t="n">
        <v>42594</v>
      </c>
      <c r="B407" s="15" t="n">
        <v>-0.38910000026226</v>
      </c>
      <c r="C407" s="15" t="n">
        <v>-0.0529000014066696</v>
      </c>
      <c r="D407" s="15" t="n">
        <v>2.06520009040833</v>
      </c>
      <c r="E407" s="15" t="n">
        <v>-0.0444001257419586</v>
      </c>
      <c r="F407" s="15" t="n">
        <v>0.586199998855591</v>
      </c>
      <c r="G407" s="15" t="n">
        <v>1.57879996299744</v>
      </c>
      <c r="H407" s="16">
        <f>C407+E407</f>
        <v/>
      </c>
    </row>
    <row r="408">
      <c r="A408" s="12" t="n">
        <v>42597</v>
      </c>
      <c r="B408" s="15" t="n">
        <v>-0.374499998986721</v>
      </c>
      <c r="C408" s="15" t="n">
        <v>-0.0408999994397163</v>
      </c>
      <c r="D408" s="15" t="n">
        <v>2.07410001754761</v>
      </c>
      <c r="E408" s="15" t="n">
        <v>-0.0419000685214996</v>
      </c>
      <c r="F408" s="15" t="n">
        <v>0.587000012397766</v>
      </c>
      <c r="G408" s="15" t="n">
        <v>1.61679995059967</v>
      </c>
      <c r="H408" s="16">
        <f>C408+E408</f>
        <v/>
      </c>
    </row>
    <row r="409">
      <c r="A409" s="12" t="n">
        <v>42598</v>
      </c>
      <c r="B409" s="15" t="n">
        <v>-0.366999994963408</v>
      </c>
      <c r="C409" s="15" t="n">
        <v>-0.0306000001728535</v>
      </c>
      <c r="D409" s="15" t="n">
        <v>2.08019995689392</v>
      </c>
      <c r="E409" s="15" t="n">
        <v>-0.0394999384880066</v>
      </c>
      <c r="F409" s="15" t="n">
        <v>0.598599970340729</v>
      </c>
      <c r="G409" s="15" t="n">
        <v>1.64310002326965</v>
      </c>
      <c r="H409" s="16">
        <f>C409+E409</f>
        <v/>
      </c>
    </row>
    <row r="410">
      <c r="A410" s="12" t="n">
        <v>42599</v>
      </c>
      <c r="B410" s="15" t="n">
        <v>-0.372500013560057</v>
      </c>
      <c r="C410" s="15" t="n">
        <v>-0.0403000004589558</v>
      </c>
      <c r="D410" s="15" t="n">
        <v>2.07450008392334</v>
      </c>
      <c r="E410" s="15" t="n">
        <v>-0.0417000651359558</v>
      </c>
      <c r="F410" s="15" t="n">
        <v>0.573499977588654</v>
      </c>
      <c r="G410" s="15" t="n">
        <v>1.62000000476837</v>
      </c>
      <c r="H410" s="16">
        <f>C410+E410</f>
        <v/>
      </c>
    </row>
    <row r="411">
      <c r="A411" s="12" t="n">
        <v>42600</v>
      </c>
      <c r="B411" s="15" t="n">
        <v>-0.38400000706315</v>
      </c>
      <c r="C411" s="15" t="n">
        <v>-0.048700001090765</v>
      </c>
      <c r="D411" s="15" t="n">
        <v>2.0683000087738</v>
      </c>
      <c r="E411" s="15" t="n">
        <v>-0.0433999598026276</v>
      </c>
      <c r="F411" s="15" t="n">
        <v>0.55510002374649</v>
      </c>
      <c r="G411" s="15" t="n">
        <v>1.59220004081726</v>
      </c>
      <c r="H411" s="16">
        <f>C411+E411</f>
        <v/>
      </c>
    </row>
    <row r="412">
      <c r="A412" s="12" t="n">
        <v>42601</v>
      </c>
      <c r="B412" s="15" t="n">
        <v>-0.366599990054965</v>
      </c>
      <c r="C412" s="15" t="n">
        <v>-0.0281000006943941</v>
      </c>
      <c r="D412" s="15" t="n">
        <v>2.08109998703003</v>
      </c>
      <c r="E412" s="15" t="n">
        <v>-0.0387000441551208</v>
      </c>
      <c r="F412" s="15" t="n">
        <v>0.559899985790253</v>
      </c>
      <c r="G412" s="15" t="n">
        <v>1.64769995212555</v>
      </c>
      <c r="H412" s="16">
        <f>C412+E412</f>
        <v/>
      </c>
    </row>
    <row r="413">
      <c r="A413" s="12" t="n">
        <v>42604</v>
      </c>
      <c r="B413" s="15" t="n">
        <v>-0.376000002026558</v>
      </c>
      <c r="C413" s="15" t="n">
        <v>-0.0432000011205673</v>
      </c>
      <c r="D413" s="15" t="n">
        <v>2.07200002670288</v>
      </c>
      <c r="E413" s="15" t="n">
        <v>-0.0421000123023987</v>
      </c>
      <c r="F413" s="15" t="n">
        <v>0.561999976634979</v>
      </c>
      <c r="G413" s="15" t="n">
        <v>1.61070001125336</v>
      </c>
      <c r="H413" s="16">
        <f>C413+E413</f>
        <v/>
      </c>
    </row>
    <row r="414">
      <c r="A414" s="12" t="n">
        <v>42605</v>
      </c>
      <c r="B414" s="15" t="n">
        <v>-0.376300010830164</v>
      </c>
      <c r="C414" s="15" t="n">
        <v>-0.045099999755621</v>
      </c>
      <c r="D414" s="15" t="n">
        <v>2.07080006599426</v>
      </c>
      <c r="E414" s="15" t="n">
        <v>-0.042400062084198</v>
      </c>
      <c r="F414" s="15" t="n">
        <v>0.556299984455109</v>
      </c>
      <c r="G414" s="15" t="n">
        <v>1.60699999332428</v>
      </c>
      <c r="H414" s="16">
        <f>C414+E414</f>
        <v/>
      </c>
    </row>
    <row r="415">
      <c r="A415" s="12" t="n">
        <v>42606</v>
      </c>
      <c r="B415" s="15" t="n">
        <v>-0.374800015240908</v>
      </c>
      <c r="C415" s="15" t="n">
        <v>-0.0458999983966351</v>
      </c>
      <c r="D415" s="15" t="n">
        <v>2.07089996337891</v>
      </c>
      <c r="E415" s="15" t="n">
        <v>-0.0428000092506409</v>
      </c>
      <c r="F415" s="15" t="n">
        <v>0.558799982070923</v>
      </c>
      <c r="G415" s="15" t="n">
        <v>1.60739994049072</v>
      </c>
      <c r="H415" s="16">
        <f>C415+E415</f>
        <v/>
      </c>
    </row>
    <row r="416">
      <c r="A416" s="12" t="n">
        <v>42607</v>
      </c>
      <c r="B416" s="15" t="n">
        <v>-0.367200009524822</v>
      </c>
      <c r="C416" s="15" t="n">
        <v>-0.0381999984383583</v>
      </c>
      <c r="D416" s="15" t="n">
        <v>2.0757999420166</v>
      </c>
      <c r="E416" s="15" t="n">
        <v>-0.0409999191761017</v>
      </c>
      <c r="F416" s="15" t="n">
        <v>0.55620002746582</v>
      </c>
      <c r="G416" s="15" t="n">
        <v>1.62940001487732</v>
      </c>
      <c r="H416" s="16">
        <f>C416+E416</f>
        <v/>
      </c>
    </row>
    <row r="417">
      <c r="A417" s="12" t="n">
        <v>42608</v>
      </c>
      <c r="B417" s="15" t="n">
        <v>-0.347099989652634</v>
      </c>
      <c r="C417" s="15" t="n">
        <v>-0.0185000002384186</v>
      </c>
      <c r="D417" s="15" t="n">
        <v>2.08839988708496</v>
      </c>
      <c r="E417" s="15" t="n">
        <v>-0.0363998413085938</v>
      </c>
      <c r="F417" s="15" t="n">
        <v>0.578700006008148</v>
      </c>
      <c r="G417" s="15" t="n">
        <v>1.68640005588531</v>
      </c>
      <c r="H417" s="16">
        <f>C417+E417</f>
        <v/>
      </c>
    </row>
    <row r="418">
      <c r="A418" s="12" t="n">
        <v>42611</v>
      </c>
      <c r="B418" s="15" t="n">
        <v>-0.362699989229441</v>
      </c>
      <c r="C418" s="15" t="n">
        <v>-0.0432999990880489</v>
      </c>
      <c r="D418" s="15" t="n">
        <v>2.07369995117188</v>
      </c>
      <c r="E418" s="15" t="n">
        <v>-0.0420999825000763</v>
      </c>
      <c r="F418" s="15" t="n">
        <v>0.579699993133545</v>
      </c>
      <c r="G418" s="15" t="n">
        <v>1.62559998035431</v>
      </c>
      <c r="H418" s="16">
        <f>C418+E418</f>
        <v/>
      </c>
    </row>
    <row r="419">
      <c r="A419" s="12" t="n">
        <v>42612</v>
      </c>
      <c r="B419" s="15" t="n">
        <v>-0.362399991601706</v>
      </c>
      <c r="C419" s="15" t="n">
        <v>-0.0419999994337559</v>
      </c>
      <c r="D419" s="15" t="n">
        <v>2.07430005073547</v>
      </c>
      <c r="E419" s="15" t="n">
        <v>-0.041700005531311</v>
      </c>
      <c r="F419" s="15" t="n">
        <v>0.586300015449524</v>
      </c>
      <c r="G419" s="15" t="n">
        <v>1.6282000541687</v>
      </c>
      <c r="H419" s="16">
        <f>C419+E419</f>
        <v/>
      </c>
    </row>
    <row r="420">
      <c r="A420" s="12" t="n">
        <v>42613</v>
      </c>
      <c r="B420" s="15" t="n">
        <v>-0.361699987202883</v>
      </c>
      <c r="C420" s="15" t="n">
        <v>-0.0388999991118908</v>
      </c>
      <c r="D420" s="15" t="n">
        <v>2.07559990882874</v>
      </c>
      <c r="E420" s="15" t="n">
        <v>-0.0408999621868134</v>
      </c>
      <c r="F420" s="15" t="n">
        <v>0.587999999523163</v>
      </c>
      <c r="G420" s="15" t="n">
        <v>1.63409996032715</v>
      </c>
      <c r="H420" s="16">
        <f>C420+E420</f>
        <v/>
      </c>
    </row>
    <row r="421">
      <c r="A421" s="12" t="n">
        <v>42614</v>
      </c>
      <c r="B421" s="15" t="n">
        <v>-0.364099994301796</v>
      </c>
      <c r="C421" s="15" t="n">
        <v>-0.0405000001192093</v>
      </c>
      <c r="D421" s="15" t="n">
        <v>2.07439994812012</v>
      </c>
      <c r="E421" s="15" t="n">
        <v>-0.0411999523639679</v>
      </c>
      <c r="F421" s="15" t="n">
        <v>0.593999981880188</v>
      </c>
      <c r="G421" s="15" t="n">
        <v>1.62860000133514</v>
      </c>
      <c r="H421" s="16">
        <f>C421+E421</f>
        <v/>
      </c>
    </row>
    <row r="422">
      <c r="A422" s="12" t="n">
        <v>42615</v>
      </c>
      <c r="B422" s="15" t="n">
        <v>-0.358500003814697</v>
      </c>
      <c r="C422" s="15" t="n">
        <v>-0.0273000001907349</v>
      </c>
      <c r="D422" s="15" t="n">
        <v>2.08170008659363</v>
      </c>
      <c r="E422" s="15" t="n">
        <v>-0.0381001234054565</v>
      </c>
      <c r="F422" s="15" t="n">
        <v>0.582000017166138</v>
      </c>
      <c r="G422" s="15" t="n">
        <v>1.65779995918274</v>
      </c>
      <c r="H422" s="16">
        <f>C422+E422</f>
        <v/>
      </c>
    </row>
    <row r="423">
      <c r="A423" s="12" t="n">
        <v>42619</v>
      </c>
      <c r="B423" s="15" t="n">
        <v>-0.377499986439943</v>
      </c>
      <c r="C423" s="15" t="n">
        <v>-0.0494999997317791</v>
      </c>
      <c r="D423" s="15" t="n">
        <v>2.06820011138916</v>
      </c>
      <c r="E423" s="15" t="n">
        <v>-0.0434001088142395</v>
      </c>
      <c r="F423" s="15" t="n">
        <v>0.554000020027161</v>
      </c>
      <c r="G423" s="15" t="n">
        <v>1.5978000164032</v>
      </c>
      <c r="H423" s="16">
        <f>C423+E423</f>
        <v/>
      </c>
    </row>
    <row r="424">
      <c r="A424" s="12" t="n">
        <v>42620</v>
      </c>
      <c r="B424" s="15" t="n">
        <v>-0.376299992203712</v>
      </c>
      <c r="C424" s="15" t="n">
        <v>-0.0562999993562698</v>
      </c>
      <c r="D424" s="15" t="n">
        <v>2.06590008735657</v>
      </c>
      <c r="E424" s="15" t="n">
        <v>-0.0454000532627106</v>
      </c>
      <c r="F424" s="15" t="n">
        <v>0.537199974060059</v>
      </c>
      <c r="G424" s="15" t="n">
        <v>1.58790004253387</v>
      </c>
      <c r="H424" s="16">
        <f>C424+E424</f>
        <v/>
      </c>
    </row>
    <row r="425">
      <c r="A425" s="12" t="n">
        <v>42621</v>
      </c>
      <c r="B425" s="15" t="n">
        <v>-0.350900007411838</v>
      </c>
      <c r="C425" s="15" t="n">
        <v>-0.0272000003606081</v>
      </c>
      <c r="D425" s="15" t="n">
        <v>2.08500003814697</v>
      </c>
      <c r="E425" s="15" t="n">
        <v>-0.0390000641345978</v>
      </c>
      <c r="F425" s="15" t="n">
        <v>0.531300008296967</v>
      </c>
      <c r="G425" s="15" t="n">
        <v>1.66789996623993</v>
      </c>
      <c r="H425" s="16">
        <f>C425+E425</f>
        <v/>
      </c>
    </row>
    <row r="426">
      <c r="A426" s="12" t="n">
        <v>42622</v>
      </c>
      <c r="B426" s="15" t="n">
        <v>-0.330999994184822</v>
      </c>
      <c r="C426" s="15" t="n">
        <v>-0.00139999995008111</v>
      </c>
      <c r="D426" s="15" t="n">
        <v>2.10159993171692</v>
      </c>
      <c r="E426" s="15" t="n">
        <v>-0.0332998931407928</v>
      </c>
      <c r="F426" s="15" t="n">
        <v>0.565500020980835</v>
      </c>
      <c r="G426" s="15" t="n">
        <v>1.73590004444122</v>
      </c>
      <c r="H426" s="16">
        <f>C426+E426</f>
        <v/>
      </c>
    </row>
    <row r="427">
      <c r="A427" s="12" t="n">
        <v>42625</v>
      </c>
      <c r="B427" s="15" t="n">
        <v>-0.330900002736598</v>
      </c>
      <c r="C427" s="15" t="n">
        <v>-0.0063999998383224</v>
      </c>
      <c r="D427" s="15" t="n">
        <v>2.10010004043579</v>
      </c>
      <c r="E427" s="15" t="n">
        <v>-0.0349000096321106</v>
      </c>
      <c r="F427" s="15" t="n">
        <v>0.560000002384186</v>
      </c>
      <c r="G427" s="15" t="n">
        <v>1.72790002822876</v>
      </c>
      <c r="H427" s="16">
        <f>C427+E427</f>
        <v/>
      </c>
    </row>
    <row r="428">
      <c r="A428" s="12" t="n">
        <v>42626</v>
      </c>
      <c r="B428" s="15" t="n">
        <v>-0.311100011691451</v>
      </c>
      <c r="C428" s="15" t="n">
        <v>0.0189999993890524</v>
      </c>
      <c r="D428" s="15" t="n">
        <v>2.11630010604858</v>
      </c>
      <c r="E428" s="15" t="n">
        <v>-0.0292001366615295</v>
      </c>
      <c r="F428" s="15" t="n">
        <v>0.583999991416931</v>
      </c>
      <c r="G428" s="15" t="n">
        <v>1.79499995708466</v>
      </c>
      <c r="H428" s="16">
        <f>C428+E428</f>
        <v/>
      </c>
    </row>
    <row r="429">
      <c r="A429" s="12" t="n">
        <v>42627</v>
      </c>
      <c r="B429" s="15" t="n">
        <v>-0.325499998405576</v>
      </c>
      <c r="C429" s="15" t="n">
        <v>0.00870000012218952</v>
      </c>
      <c r="D429" s="15" t="n">
        <v>2.10890007019043</v>
      </c>
      <c r="E429" s="15" t="n">
        <v>-0.0316001176834106</v>
      </c>
      <c r="F429" s="15" t="n">
        <v>0.581200003623962</v>
      </c>
      <c r="G429" s="15" t="n">
        <v>1.76049995422363</v>
      </c>
      <c r="H429" s="16">
        <f>C429+E429</f>
        <v/>
      </c>
    </row>
    <row r="430">
      <c r="A430" s="12" t="n">
        <v>42628</v>
      </c>
      <c r="B430" s="15" t="n">
        <v>-0.328100012615323</v>
      </c>
      <c r="C430" s="15" t="n">
        <v>0.0175000000745058</v>
      </c>
      <c r="D430" s="15" t="n">
        <v>2.11279988288879</v>
      </c>
      <c r="E430" s="15" t="n">
        <v>-0.0294999182224274</v>
      </c>
      <c r="F430" s="15" t="n">
        <v>0.576099991798401</v>
      </c>
      <c r="G430" s="15" t="n">
        <v>1.77269995212555</v>
      </c>
      <c r="H430" s="16">
        <f>C430+E430</f>
        <v/>
      </c>
    </row>
    <row r="431">
      <c r="A431" s="12" t="n">
        <v>42629</v>
      </c>
      <c r="B431" s="15" t="n">
        <v>-0.328300001099706</v>
      </c>
      <c r="C431" s="15" t="n">
        <v>0.0121999997645617</v>
      </c>
      <c r="D431" s="15" t="n">
        <v>2.10989999771118</v>
      </c>
      <c r="E431" s="15" t="n">
        <v>-0.0306999683380127</v>
      </c>
      <c r="F431" s="15" t="n">
        <v>0.556699991226196</v>
      </c>
      <c r="G431" s="15" t="n">
        <v>1.76310002803802</v>
      </c>
      <c r="H431" s="16">
        <f>C431+E431</f>
        <v/>
      </c>
    </row>
    <row r="432">
      <c r="A432" s="12" t="n">
        <v>42632</v>
      </c>
      <c r="B432" s="15" t="n">
        <v>-0.327499986626208</v>
      </c>
      <c r="C432" s="15" t="n">
        <v>0.0148999998345971</v>
      </c>
      <c r="D432" s="15" t="n">
        <v>2.11100006103516</v>
      </c>
      <c r="E432" s="15" t="n">
        <v>-0.0298000872135162</v>
      </c>
      <c r="F432" s="15" t="n">
        <v>0.556500017642975</v>
      </c>
      <c r="G432" s="15" t="n">
        <v>1.76859998703003</v>
      </c>
      <c r="H432" s="16">
        <f>C432+E432</f>
        <v/>
      </c>
    </row>
    <row r="433">
      <c r="A433" s="12" t="n">
        <v>42633</v>
      </c>
      <c r="B433" s="15" t="n">
        <v>-0.329099985770881</v>
      </c>
      <c r="C433" s="15" t="n">
        <v>0.0104000000283122</v>
      </c>
      <c r="D433" s="15" t="n">
        <v>2.10859990119934</v>
      </c>
      <c r="E433" s="15" t="n">
        <v>-0.0308999717235565</v>
      </c>
      <c r="F433" s="15" t="n">
        <v>0.560599982738495</v>
      </c>
      <c r="G433" s="15" t="n">
        <v>1.75899994373322</v>
      </c>
      <c r="H433" s="16">
        <f>C433+E433</f>
        <v/>
      </c>
    </row>
    <row r="434">
      <c r="A434" s="12" t="n">
        <v>42634</v>
      </c>
      <c r="B434" s="15" t="n">
        <v>-0.342200000304729</v>
      </c>
      <c r="C434" s="15" t="n">
        <v>0.00240000011399388</v>
      </c>
      <c r="D434" s="15" t="n">
        <v>2.10109996795654</v>
      </c>
      <c r="E434" s="15" t="n">
        <v>-0.0320999622344971</v>
      </c>
      <c r="F434" s="15" t="n">
        <v>0.537199974060059</v>
      </c>
      <c r="G434" s="15" t="n">
        <v>1.72920000553131</v>
      </c>
      <c r="H434" s="16">
        <f>C434+E434</f>
        <v/>
      </c>
    </row>
    <row r="435">
      <c r="A435" s="12" t="n">
        <v>42635</v>
      </c>
      <c r="B435" s="15" t="n">
        <v>-0.359000013209879</v>
      </c>
      <c r="C435" s="15" t="n">
        <v>-0.00800000037997961</v>
      </c>
      <c r="D435" s="15" t="n">
        <v>2.0913999080658</v>
      </c>
      <c r="E435" s="15" t="n">
        <v>-0.0335999429225922</v>
      </c>
      <c r="F435" s="15" t="n">
        <v>0.500400006771088</v>
      </c>
      <c r="G435" s="15" t="n">
        <v>1.69079995155334</v>
      </c>
      <c r="H435" s="16">
        <f>C435+E435</f>
        <v/>
      </c>
    </row>
    <row r="436">
      <c r="A436" s="12" t="n">
        <v>42636</v>
      </c>
      <c r="B436" s="15" t="n">
        <v>-0.364099990576506</v>
      </c>
      <c r="C436" s="15" t="n">
        <v>-0.0111999996006489</v>
      </c>
      <c r="D436" s="15" t="n">
        <v>2.08859992027283</v>
      </c>
      <c r="E436" s="15" t="n">
        <v>-0.0341998934745789</v>
      </c>
      <c r="F436" s="15" t="n">
        <v>0.479299992322922</v>
      </c>
      <c r="G436" s="15" t="n">
        <v>1.67910003662109</v>
      </c>
      <c r="H436" s="16">
        <f>C436+E436</f>
        <v/>
      </c>
    </row>
    <row r="437">
      <c r="A437" s="12" t="n">
        <v>42639</v>
      </c>
      <c r="B437" s="15" t="n">
        <v>-0.368400013074279</v>
      </c>
      <c r="C437" s="15" t="n">
        <v>-0.022299999371171</v>
      </c>
      <c r="D437" s="15" t="n">
        <v>2.08319997787476</v>
      </c>
      <c r="E437" s="15" t="n">
        <v>-0.0371999442577362</v>
      </c>
      <c r="F437" s="15" t="n">
        <v>0.488400012254715</v>
      </c>
      <c r="G437" s="15" t="n">
        <v>1.65530002117157</v>
      </c>
      <c r="H437" s="16">
        <f>C437+E437</f>
        <v/>
      </c>
    </row>
    <row r="438">
      <c r="A438" s="12" t="n">
        <v>42640</v>
      </c>
      <c r="B438" s="15" t="n">
        <v>-0.375199995934963</v>
      </c>
      <c r="C438" s="15" t="n">
        <v>-0.0339000001549721</v>
      </c>
      <c r="D438" s="15" t="n">
        <v>2.07649993896484</v>
      </c>
      <c r="E438" s="15" t="n">
        <v>-0.0397999882698059</v>
      </c>
      <c r="F438" s="15" t="n">
        <v>0.498800009489059</v>
      </c>
      <c r="G438" s="15" t="n">
        <v>1.6275999546051</v>
      </c>
      <c r="H438" s="16">
        <f>C438+E438</f>
        <v/>
      </c>
    </row>
    <row r="439">
      <c r="A439" s="12" t="n">
        <v>42641</v>
      </c>
      <c r="B439" s="15" t="n">
        <v>-0.371899992227554</v>
      </c>
      <c r="C439" s="15" t="n">
        <v>-0.0361000001430511</v>
      </c>
      <c r="D439" s="15" t="n">
        <v>2.07629990577698</v>
      </c>
      <c r="E439" s="15" t="n">
        <v>-0.0404999256134033</v>
      </c>
      <c r="F439" s="15" t="n">
        <v>0.465299993753433</v>
      </c>
      <c r="G439" s="15" t="n">
        <v>1.62779998779297</v>
      </c>
      <c r="H439" s="16">
        <f>C439+E439</f>
        <v/>
      </c>
    </row>
    <row r="440">
      <c r="A440" s="12" t="n">
        <v>42642</v>
      </c>
      <c r="B440" s="15" t="n">
        <v>-0.376300003379583</v>
      </c>
      <c r="C440" s="15" t="n">
        <v>-0.0359000004827976</v>
      </c>
      <c r="D440" s="15" t="n">
        <v>2.07559990882874</v>
      </c>
      <c r="E440" s="15" t="n">
        <v>-0.0403998792171478</v>
      </c>
      <c r="F440" s="15" t="n">
        <v>0.474700003862381</v>
      </c>
      <c r="G440" s="15" t="n">
        <v>1.62300002574921</v>
      </c>
      <c r="H440" s="16">
        <f>C440+E440</f>
        <v/>
      </c>
    </row>
    <row r="441">
      <c r="A441" s="12" t="n">
        <v>42643</v>
      </c>
      <c r="B441" s="15" t="n">
        <v>-0.364200012758374</v>
      </c>
      <c r="C441" s="15" t="n">
        <v>-0.0255999993532896</v>
      </c>
      <c r="D441" s="15" t="n">
        <v>2.08299994468689</v>
      </c>
      <c r="E441" s="15" t="n">
        <v>-0.0382999777793884</v>
      </c>
      <c r="F441" s="15" t="n">
        <v>0.452800005674362</v>
      </c>
      <c r="G441" s="15" t="n">
        <v>1.65489995479584</v>
      </c>
      <c r="H441" s="16">
        <f>C441+E441</f>
        <v/>
      </c>
    </row>
    <row r="442">
      <c r="A442" s="12" t="n">
        <v>42646</v>
      </c>
      <c r="B442" s="15" t="n">
        <v>-0.349299987778068</v>
      </c>
      <c r="C442" s="15" t="n">
        <v>-0.0187999997287989</v>
      </c>
      <c r="D442" s="15" t="n">
        <v>2.08940005302429</v>
      </c>
      <c r="E442" s="15" t="n">
        <v>-0.0370001196861267</v>
      </c>
      <c r="F442" s="15" t="n">
        <v>0.435400009155273</v>
      </c>
      <c r="G442" s="15" t="n">
        <v>1.6842999458313</v>
      </c>
      <c r="H442" s="16">
        <f>C442+E442</f>
        <v/>
      </c>
    </row>
    <row r="443">
      <c r="A443" s="12" t="n">
        <v>42647</v>
      </c>
      <c r="B443" s="15" t="n">
        <v>-0.331499991472811</v>
      </c>
      <c r="C443" s="15" t="n">
        <v>0.00630000000819564</v>
      </c>
      <c r="D443" s="15" t="n">
        <v>2.10479998588562</v>
      </c>
      <c r="E443" s="15" t="n">
        <v>-0.0313999354839325</v>
      </c>
      <c r="F443" s="15" t="n">
        <v>0.455900013446808</v>
      </c>
      <c r="G443" s="15" t="n">
        <v>1.74820005893707</v>
      </c>
      <c r="H443" s="16">
        <f>C443+E443</f>
        <v/>
      </c>
    </row>
    <row r="444">
      <c r="A444" s="12" t="n">
        <v>42648</v>
      </c>
      <c r="B444" s="15" t="n">
        <v>-0.321400003507733</v>
      </c>
      <c r="C444" s="15" t="n">
        <v>0.0193000007420778</v>
      </c>
      <c r="D444" s="15" t="n">
        <v>2.11260008811951</v>
      </c>
      <c r="E444" s="15" t="n">
        <v>-0.028200089931488</v>
      </c>
      <c r="F444" s="15" t="n">
        <v>0.454299986362457</v>
      </c>
      <c r="G444" s="15" t="n">
        <v>1.78229999542236</v>
      </c>
      <c r="H444" s="16">
        <f>C444+E444</f>
        <v/>
      </c>
    </row>
    <row r="445">
      <c r="A445" s="12" t="n">
        <v>42649</v>
      </c>
      <c r="B445" s="15" t="n">
        <v>-0.314100001007318</v>
      </c>
      <c r="C445" s="15" t="n">
        <v>0.0331999994814396</v>
      </c>
      <c r="D445" s="15" t="n">
        <v>2.11999988555908</v>
      </c>
      <c r="E445" s="15" t="n">
        <v>-0.0247999429702759</v>
      </c>
      <c r="F445" s="15" t="n">
        <v>0.448000013828278</v>
      </c>
      <c r="G445" s="15" t="n">
        <v>1.81429994106293</v>
      </c>
      <c r="H445" s="16">
        <f>C445+E445</f>
        <v/>
      </c>
    </row>
    <row r="446">
      <c r="A446" s="12" t="n">
        <v>42650</v>
      </c>
      <c r="B446" s="15" t="n">
        <v>-0.321000013500452</v>
      </c>
      <c r="C446" s="15" t="n">
        <v>0.0262000001966953</v>
      </c>
      <c r="D446" s="15" t="n">
        <v>2.11529994010925</v>
      </c>
      <c r="E446" s="15" t="n">
        <v>-0.0262999832630157</v>
      </c>
      <c r="F446" s="15" t="n">
        <v>0.442900002002716</v>
      </c>
      <c r="G446" s="15" t="n">
        <v>1.79419994354248</v>
      </c>
      <c r="H446" s="16">
        <f>C446+E446</f>
        <v/>
      </c>
    </row>
    <row r="447">
      <c r="A447" s="12" t="n">
        <v>42654</v>
      </c>
      <c r="B447" s="15" t="n">
        <v>-0.307000003755093</v>
      </c>
      <c r="C447" s="15" t="n">
        <v>0.0383000001311302</v>
      </c>
      <c r="D447" s="15" t="n">
        <v>2.12380003929138</v>
      </c>
      <c r="E447" s="15" t="n">
        <v>-0.0235999822616577</v>
      </c>
      <c r="F447" s="15" t="n">
        <v>0.44760000705719</v>
      </c>
      <c r="G447" s="15" t="n">
        <v>1.83150005340576</v>
      </c>
      <c r="H447" s="16">
        <f>C447+E447</f>
        <v/>
      </c>
    </row>
    <row r="448">
      <c r="A448" s="12" t="n">
        <v>42655</v>
      </c>
      <c r="B448" s="15" t="n">
        <v>-0.301600001752377</v>
      </c>
      <c r="C448" s="15" t="n">
        <v>0.0425999984145164</v>
      </c>
      <c r="D448" s="15" t="n">
        <v>2.12709999084473</v>
      </c>
      <c r="E448" s="15" t="n">
        <v>-0.0229000449180603</v>
      </c>
      <c r="F448" s="15" t="n">
        <v>0.448300004005432</v>
      </c>
      <c r="G448" s="15" t="n">
        <v>1.84519994258881</v>
      </c>
      <c r="H448" s="16">
        <f>C448+E448</f>
        <v/>
      </c>
    </row>
    <row r="449">
      <c r="A449" s="12" t="n">
        <v>42656</v>
      </c>
      <c r="B449" s="15" t="n">
        <v>-0.317299999296665</v>
      </c>
      <c r="C449" s="15" t="n">
        <v>0.0329999998211861</v>
      </c>
      <c r="D449" s="15" t="n">
        <v>2.11910009384155</v>
      </c>
      <c r="E449" s="15" t="n">
        <v>-0.0246001183986664</v>
      </c>
      <c r="F449" s="15" t="n">
        <v>0.444700002670288</v>
      </c>
      <c r="G449" s="15" t="n">
        <v>1.81019997596741</v>
      </c>
      <c r="H449" s="16">
        <f>C449+E449</f>
        <v/>
      </c>
    </row>
    <row r="450">
      <c r="A450" s="12" t="n">
        <v>42657</v>
      </c>
      <c r="B450" s="15" t="n">
        <v>-0.306200001388788</v>
      </c>
      <c r="C450" s="15" t="n">
        <v>0.0489999987185001</v>
      </c>
      <c r="D450" s="15" t="n">
        <v>2.12930011749268</v>
      </c>
      <c r="E450" s="15" t="n">
        <v>-0.0212000608444214</v>
      </c>
      <c r="F450" s="15" t="n">
        <v>0.430999994277954</v>
      </c>
      <c r="G450" s="15" t="n">
        <v>1.85090005397797</v>
      </c>
      <c r="H450" s="16">
        <f>C450+E450</f>
        <v/>
      </c>
    </row>
    <row r="451">
      <c r="A451" s="12" t="n">
        <v>42660</v>
      </c>
      <c r="B451" s="15" t="n">
        <v>-0.312000006437302</v>
      </c>
      <c r="C451" s="15" t="n">
        <v>0.0379000008106232</v>
      </c>
      <c r="D451" s="15" t="n">
        <v>2.12350010871887</v>
      </c>
      <c r="E451" s="15" t="n">
        <v>-0.0240001082420349</v>
      </c>
      <c r="F451" s="15" t="n">
        <v>0.402599990367889</v>
      </c>
      <c r="G451" s="15" t="n">
        <v>1.82539999485016</v>
      </c>
      <c r="H451" s="16">
        <f>C451+E451</f>
        <v/>
      </c>
    </row>
    <row r="452">
      <c r="A452" s="12" t="n">
        <v>42661</v>
      </c>
      <c r="B452" s="15" t="n">
        <v>-0.315699990838766</v>
      </c>
      <c r="C452" s="15" t="n">
        <v>0.0335999988019466</v>
      </c>
      <c r="D452" s="15" t="n">
        <v>2.12120008468628</v>
      </c>
      <c r="E452" s="15" t="n">
        <v>-0.0252000987529755</v>
      </c>
      <c r="F452" s="15" t="n">
        <v>0.407200008630753</v>
      </c>
      <c r="G452" s="15" t="n">
        <v>1.81389999389648</v>
      </c>
      <c r="H452" s="16">
        <f>C452+E452</f>
        <v/>
      </c>
    </row>
    <row r="453">
      <c r="A453" s="12" t="n">
        <v>42662</v>
      </c>
      <c r="B453" s="15" t="n">
        <v>-0.314800001680851</v>
      </c>
      <c r="C453" s="15" t="n">
        <v>0.0348000004887581</v>
      </c>
      <c r="D453" s="15" t="n">
        <v>2.12220001220703</v>
      </c>
      <c r="E453" s="15" t="n">
        <v>-0.0250000655651093</v>
      </c>
      <c r="F453" s="15" t="n">
        <v>0.395599991083145</v>
      </c>
      <c r="G453" s="15" t="n">
        <v>1.81719994544983</v>
      </c>
      <c r="H453" s="16">
        <f>C453+E453</f>
        <v/>
      </c>
    </row>
    <row r="454">
      <c r="A454" s="12" t="n">
        <v>42663</v>
      </c>
      <c r="B454" s="15" t="n">
        <v>-0.312700010836124</v>
      </c>
      <c r="C454" s="15" t="n">
        <v>0.0357000008225441</v>
      </c>
      <c r="D454" s="15" t="n">
        <v>2.12290000915527</v>
      </c>
      <c r="E454" s="15" t="n">
        <v>-0.0248000025749207</v>
      </c>
      <c r="F454" s="15" t="n">
        <v>0.402700006961823</v>
      </c>
      <c r="G454" s="15" t="n">
        <v>1.82109999656677</v>
      </c>
      <c r="H454" s="16">
        <f>C454+E454</f>
        <v/>
      </c>
    </row>
    <row r="455">
      <c r="A455" s="12" t="n">
        <v>42664</v>
      </c>
      <c r="B455" s="15" t="n">
        <v>-0.318099994212389</v>
      </c>
      <c r="C455" s="15" t="n">
        <v>0.0296999998390675</v>
      </c>
      <c r="D455" s="15" t="n">
        <v>2.11849999427795</v>
      </c>
      <c r="E455" s="15" t="n">
        <v>-0.0258999466896057</v>
      </c>
      <c r="F455" s="15" t="n">
        <v>0.401199996471405</v>
      </c>
      <c r="G455" s="15" t="n">
        <v>1.80420005321503</v>
      </c>
      <c r="H455" s="16">
        <f>C455+E455</f>
        <v/>
      </c>
    </row>
    <row r="456">
      <c r="A456" s="12" t="n">
        <v>42667</v>
      </c>
      <c r="B456" s="15" t="n">
        <v>-0.310699999332428</v>
      </c>
      <c r="C456" s="15" t="n">
        <v>0.0397000014781952</v>
      </c>
      <c r="D456" s="15" t="n">
        <v>2.12459993362427</v>
      </c>
      <c r="E456" s="15" t="n">
        <v>-0.0235998928546906</v>
      </c>
      <c r="F456" s="15" t="n">
        <v>0.409599989652634</v>
      </c>
      <c r="G456" s="15" t="n">
        <v>1.83000004291534</v>
      </c>
      <c r="H456" s="16">
        <f>C456+E456</f>
        <v/>
      </c>
    </row>
    <row r="457">
      <c r="A457" s="12" t="n">
        <v>42668</v>
      </c>
      <c r="B457" s="15" t="n">
        <v>-0.310300000011921</v>
      </c>
      <c r="C457" s="15" t="n">
        <v>0.0339000001549721</v>
      </c>
      <c r="D457" s="15" t="n">
        <v>2.12190008163452</v>
      </c>
      <c r="E457" s="15" t="n">
        <v>-0.0251000821590424</v>
      </c>
      <c r="F457" s="15" t="n">
        <v>0.398499995470047</v>
      </c>
      <c r="G457" s="15" t="n">
        <v>1.82039999961853</v>
      </c>
      <c r="H457" s="16">
        <f>C457+E457</f>
        <v/>
      </c>
    </row>
    <row r="458">
      <c r="A458" s="12" t="n">
        <v>42669</v>
      </c>
      <c r="B458" s="15" t="n">
        <v>-0.301699999719858</v>
      </c>
      <c r="C458" s="15" t="n">
        <v>0.0447000004351139</v>
      </c>
      <c r="D458" s="15" t="n">
        <v>2.12859988212585</v>
      </c>
      <c r="E458" s="15" t="n">
        <v>-0.0225999057292938</v>
      </c>
      <c r="F458" s="15" t="n">
        <v>0.38960000872612</v>
      </c>
      <c r="G458" s="15" t="n">
        <v>1.84899997711182</v>
      </c>
      <c r="H458" s="16">
        <f>C458+E458</f>
        <v/>
      </c>
    </row>
    <row r="459">
      <c r="A459" s="12" t="n">
        <v>42670</v>
      </c>
      <c r="B459" s="15" t="n">
        <v>-0.285400003194809</v>
      </c>
      <c r="C459" s="15" t="n">
        <v>0.06780000030994419</v>
      </c>
      <c r="D459" s="15" t="n">
        <v>2.14289999008179</v>
      </c>
      <c r="E459" s="15" t="n">
        <v>-0.0174000114202499</v>
      </c>
      <c r="F459" s="15" t="n">
        <v>0.398499995470047</v>
      </c>
      <c r="G459" s="15" t="n">
        <v>1.90789997577667</v>
      </c>
      <c r="H459" s="16">
        <f>C459+E459</f>
        <v/>
      </c>
    </row>
    <row r="460">
      <c r="A460" s="12" t="n">
        <v>42671</v>
      </c>
      <c r="B460" s="15" t="n">
        <v>-0.285600006580353</v>
      </c>
      <c r="C460" s="15" t="n">
        <v>0.0714000016450882</v>
      </c>
      <c r="D460" s="15" t="n">
        <v>2.14499998092651</v>
      </c>
      <c r="E460" s="15" t="n">
        <v>-0.0166999250650406</v>
      </c>
      <c r="F460" s="15" t="n">
        <v>0.392100006341934</v>
      </c>
      <c r="G460" s="15" t="n">
        <v>1.91410005092621</v>
      </c>
      <c r="H460" s="16">
        <f>C460+E460</f>
        <v/>
      </c>
    </row>
    <row r="461">
      <c r="A461" s="12" t="n">
        <v>42674</v>
      </c>
      <c r="B461" s="15" t="n">
        <v>-0.286799997091293</v>
      </c>
      <c r="C461" s="15" t="n">
        <v>0.0631999969482422</v>
      </c>
      <c r="D461" s="15" t="n">
        <v>2.14159989356995</v>
      </c>
      <c r="E461" s="15" t="n">
        <v>-0.0188999474048615</v>
      </c>
      <c r="F461" s="15" t="n">
        <v>0.383899986743927</v>
      </c>
      <c r="G461" s="15" t="n">
        <v>1.89909994602203</v>
      </c>
      <c r="H461" s="16">
        <f>C461+E461</f>
        <v/>
      </c>
    </row>
    <row r="462">
      <c r="A462" s="12" t="n">
        <v>42675</v>
      </c>
      <c r="B462" s="15" t="n">
        <v>-0.289300002157688</v>
      </c>
      <c r="C462" s="15" t="n">
        <v>0.06289999932050699</v>
      </c>
      <c r="D462" s="15" t="n">
        <v>2.14140009880066</v>
      </c>
      <c r="E462" s="15" t="n">
        <v>-0.019100084900856</v>
      </c>
      <c r="F462" s="15" t="n">
        <v>0.387899994850159</v>
      </c>
      <c r="G462" s="15" t="n">
        <v>1.89590001106262</v>
      </c>
      <c r="H462" s="16">
        <f>C462+E462</f>
        <v/>
      </c>
    </row>
    <row r="463">
      <c r="A463" s="12" t="n">
        <v>42676</v>
      </c>
      <c r="B463" s="15" t="n">
        <v>-0.29840000346303</v>
      </c>
      <c r="C463" s="15" t="n">
        <v>0.0524999983608723</v>
      </c>
      <c r="D463" s="15" t="n">
        <v>2.13520002365112</v>
      </c>
      <c r="E463" s="15" t="n">
        <v>-0.0216000378131866</v>
      </c>
      <c r="F463" s="15" t="n">
        <v>0.394800007343292</v>
      </c>
      <c r="G463" s="15" t="n">
        <v>1.86769998073578</v>
      </c>
      <c r="H463" s="16">
        <f>C463+E463</f>
        <v/>
      </c>
    </row>
    <row r="464">
      <c r="A464" s="12" t="n">
        <v>42677</v>
      </c>
      <c r="B464" s="15" t="n">
        <v>-0.292800005525351</v>
      </c>
      <c r="C464" s="15" t="n">
        <v>0.0592000000178814</v>
      </c>
      <c r="D464" s="15" t="n">
        <v>2.14010000228882</v>
      </c>
      <c r="E464" s="15" t="n">
        <v>-0.0204999595880508</v>
      </c>
      <c r="F464" s="15" t="n">
        <v>0.415600001811981</v>
      </c>
      <c r="G464" s="15" t="n">
        <v>1.8860000371933</v>
      </c>
      <c r="H464" s="16">
        <f>C464+E464</f>
        <v/>
      </c>
    </row>
    <row r="465">
      <c r="A465" s="12" t="n">
        <v>42678</v>
      </c>
      <c r="B465" s="15" t="n">
        <v>-0.302499998360872</v>
      </c>
      <c r="C465" s="15" t="n">
        <v>0.046399999409914</v>
      </c>
      <c r="D465" s="15" t="n">
        <v>2.13240003585815</v>
      </c>
      <c r="E465" s="15" t="n">
        <v>-0.0234000086784363</v>
      </c>
      <c r="F465" s="15" t="n">
        <v>0.412400007247925</v>
      </c>
      <c r="G465" s="15" t="n">
        <v>1.85290002822876</v>
      </c>
      <c r="H465" s="16">
        <f>C465+E465</f>
        <v/>
      </c>
    </row>
    <row r="466">
      <c r="A466" s="12" t="n">
        <v>42681</v>
      </c>
      <c r="B466" s="15" t="n">
        <v>-0.28600000217557</v>
      </c>
      <c r="C466" s="15" t="n">
        <v>0.0606000013649464</v>
      </c>
      <c r="D466" s="15" t="n">
        <v>2.14240002632141</v>
      </c>
      <c r="E466" s="15" t="n">
        <v>-0.0204000174999237</v>
      </c>
      <c r="F466" s="15" t="n">
        <v>0.392100006341934</v>
      </c>
      <c r="G466" s="15" t="n">
        <v>1.89660000801086</v>
      </c>
      <c r="H466" s="16">
        <f>C466+E466</f>
        <v/>
      </c>
    </row>
    <row r="467">
      <c r="A467" s="12" t="n">
        <v>42682</v>
      </c>
      <c r="B467" s="15" t="n">
        <v>-0.267799995839596</v>
      </c>
      <c r="C467" s="15" t="n">
        <v>0.07599999755620961</v>
      </c>
      <c r="D467" s="15" t="n">
        <v>2.15300011634827</v>
      </c>
      <c r="E467" s="15" t="n">
        <v>-0.0169000625610352</v>
      </c>
      <c r="F467" s="15" t="n">
        <v>0.392300009727478</v>
      </c>
      <c r="G467" s="15" t="n">
        <v>1.94430005550385</v>
      </c>
      <c r="H467" s="16">
        <f>C467+E467</f>
        <v/>
      </c>
    </row>
    <row r="468">
      <c r="A468" s="12" t="n">
        <v>42683</v>
      </c>
      <c r="B468" s="15" t="n">
        <v>-0.210699994117022</v>
      </c>
      <c r="C468" s="15" t="n">
        <v>0.151899993419647</v>
      </c>
      <c r="D468" s="15" t="n">
        <v>2.20009994506836</v>
      </c>
      <c r="E468" s="15" t="n">
        <v>0.000400085002183914</v>
      </c>
      <c r="F468" s="15" t="n">
        <v>0.356599986553192</v>
      </c>
      <c r="G468" s="15" t="n">
        <v>2.14170002937317</v>
      </c>
      <c r="H468" s="16">
        <f>C468+E468</f>
        <v/>
      </c>
    </row>
    <row r="469">
      <c r="A469" s="12" t="n">
        <v>42684</v>
      </c>
      <c r="B469" s="15" t="n">
        <v>-0.182099993806332</v>
      </c>
      <c r="C469" s="15" t="n">
        <v>0.184499993920326</v>
      </c>
      <c r="D469" s="15" t="n">
        <v>2.22140002250671</v>
      </c>
      <c r="E469" s="15" t="n">
        <v>0.0075000929646194</v>
      </c>
      <c r="F469" s="15" t="n">
        <v>0.33610001206398</v>
      </c>
      <c r="G469" s="15" t="n">
        <v>2.23130011558533</v>
      </c>
      <c r="H469" s="16">
        <f>C469+E469</f>
        <v/>
      </c>
    </row>
    <row r="470">
      <c r="A470" s="12" t="n">
        <v>42688</v>
      </c>
      <c r="B470" s="15" t="n">
        <v>-0.143499992787838</v>
      </c>
      <c r="C470" s="15" t="n">
        <v>0.217199996113777</v>
      </c>
      <c r="D470" s="15" t="n">
        <v>2.24469995498657</v>
      </c>
      <c r="E470" s="15" t="n">
        <v>0.0145999863743782</v>
      </c>
      <c r="F470" s="15" t="n">
        <v>0.398099988698959</v>
      </c>
      <c r="G470" s="15" t="n">
        <v>2.33299994468689</v>
      </c>
      <c r="H470" s="16">
        <f>C470+E470</f>
        <v/>
      </c>
    </row>
    <row r="471">
      <c r="A471" s="12" t="n">
        <v>42689</v>
      </c>
      <c r="B471" s="15" t="n">
        <v>-0.144799992442131</v>
      </c>
      <c r="C471" s="15" t="n">
        <v>0.220599994063377</v>
      </c>
      <c r="D471" s="15" t="n">
        <v>2.24499988555908</v>
      </c>
      <c r="E471" s="15" t="n">
        <v>0.0159000754356384</v>
      </c>
      <c r="F471" s="15" t="n">
        <v>0.392699986696243</v>
      </c>
      <c r="G471" s="15" t="n">
        <v>2.33669996261597</v>
      </c>
      <c r="H471" s="16">
        <f>C471+E471</f>
        <v/>
      </c>
    </row>
    <row r="472">
      <c r="A472" s="12" t="n">
        <v>42690</v>
      </c>
      <c r="B472" s="15" t="n">
        <v>-0.146700002253056</v>
      </c>
      <c r="C472" s="15" t="n">
        <v>0.216000005602837</v>
      </c>
      <c r="D472" s="15" t="n">
        <v>2.2418999671936</v>
      </c>
      <c r="E472" s="15" t="n">
        <v>0.015099935233593</v>
      </c>
      <c r="F472" s="15" t="n">
        <v>0.391600012779236</v>
      </c>
      <c r="G472" s="15" t="n">
        <v>2.32629990577698</v>
      </c>
      <c r="H472" s="16">
        <f>C472+E472</f>
        <v/>
      </c>
    </row>
    <row r="473">
      <c r="A473" s="12" t="n">
        <v>42691</v>
      </c>
      <c r="B473" s="15" t="n">
        <v>-0.130799993872643</v>
      </c>
      <c r="C473" s="15" t="n">
        <v>0.239199995994568</v>
      </c>
      <c r="D473" s="15" t="n">
        <v>2.25559997558594</v>
      </c>
      <c r="E473" s="15" t="n">
        <v>0.020500048995018</v>
      </c>
      <c r="F473" s="15" t="n">
        <v>0.37049999833107</v>
      </c>
      <c r="G473" s="15" t="n">
        <v>2.38450002670288</v>
      </c>
      <c r="H473" s="16">
        <f>C473+E473</f>
        <v/>
      </c>
    </row>
    <row r="474">
      <c r="A474" s="12" t="n">
        <v>42692</v>
      </c>
      <c r="B474" s="15" t="n">
        <v>-0.114799991250038</v>
      </c>
      <c r="C474" s="15" t="n">
        <v>0.261599987745285</v>
      </c>
      <c r="D474" s="15" t="n">
        <v>2.26869988441467</v>
      </c>
      <c r="E474" s="15" t="n">
        <v>0.0259001702070236</v>
      </c>
      <c r="F474" s="15" t="n">
        <v>0.370599985122681</v>
      </c>
      <c r="G474" s="15" t="n">
        <v>2.44140005111694</v>
      </c>
      <c r="H474" s="16">
        <f>C474+E474</f>
        <v/>
      </c>
    </row>
    <row r="475">
      <c r="A475" s="12" t="n">
        <v>42695</v>
      </c>
      <c r="B475" s="15" t="n">
        <v>-0.118000000715256</v>
      </c>
      <c r="C475" s="15" t="n">
        <v>0.257400006055832</v>
      </c>
      <c r="D475" s="15" t="n">
        <v>2.26570010185242</v>
      </c>
      <c r="E475" s="15" t="n">
        <v>0.0250999927520752</v>
      </c>
      <c r="F475" s="15" t="n">
        <v>0.361600011587143</v>
      </c>
      <c r="G475" s="15" t="n">
        <v>2.43020009994507</v>
      </c>
      <c r="H475" s="16">
        <f>C475+E475</f>
        <v/>
      </c>
    </row>
    <row r="476">
      <c r="A476" s="12" t="n">
        <v>42696</v>
      </c>
      <c r="B476" s="15" t="n">
        <v>-0.120500013232231</v>
      </c>
      <c r="C476" s="15" t="n">
        <v>0.25220000743866</v>
      </c>
      <c r="D476" s="15" t="n">
        <v>2.26279997825623</v>
      </c>
      <c r="E476" s="15" t="n">
        <v>0.023799940943718</v>
      </c>
      <c r="F476" s="15" t="n">
        <v>0.350600004196167</v>
      </c>
      <c r="G476" s="15" t="n">
        <v>2.41829991340637</v>
      </c>
      <c r="H476" s="16">
        <f>C476+E476</f>
        <v/>
      </c>
    </row>
    <row r="477">
      <c r="A477" s="12" t="n">
        <v>42697</v>
      </c>
      <c r="B477" s="15" t="n">
        <v>-0.102099984884262</v>
      </c>
      <c r="C477" s="15" t="n">
        <v>0.266999989748001</v>
      </c>
      <c r="D477" s="15" t="n">
        <v>2.27309989929199</v>
      </c>
      <c r="E477" s="15" t="n">
        <v>0.0272000432014465</v>
      </c>
      <c r="F477" s="15" t="n">
        <v>0.362300008535385</v>
      </c>
      <c r="G477" s="15" t="n">
        <v>2.46519994735718</v>
      </c>
      <c r="H477" s="16">
        <f>C477+E477</f>
        <v/>
      </c>
    </row>
    <row r="478">
      <c r="A478" s="12" t="n">
        <v>42699</v>
      </c>
      <c r="B478" s="15" t="n">
        <v>-0.102400004863739</v>
      </c>
      <c r="C478" s="15" t="n">
        <v>0.268200010061264</v>
      </c>
      <c r="D478" s="15" t="n">
        <v>2.27320003509521</v>
      </c>
      <c r="E478" s="15" t="n">
        <v>0.0275999009609222</v>
      </c>
      <c r="F478" s="15" t="n">
        <v>0.377999991178513</v>
      </c>
      <c r="G478" s="15" t="n">
        <v>2.46659994125366</v>
      </c>
      <c r="H478" s="16">
        <f>C478+E478</f>
        <v/>
      </c>
    </row>
    <row r="479">
      <c r="A479" s="12" t="n">
        <v>42702</v>
      </c>
      <c r="B479" s="15" t="n">
        <v>-0.116099983453751</v>
      </c>
      <c r="C479" s="15" t="n">
        <v>0.256199985742569</v>
      </c>
      <c r="D479" s="15" t="n">
        <v>2.26460003852844</v>
      </c>
      <c r="E479" s="15" t="n">
        <v>0.0251998901367188</v>
      </c>
      <c r="F479" s="15" t="n">
        <v>0.403800010681152</v>
      </c>
      <c r="G479" s="15" t="n">
        <v>2.42989993095398</v>
      </c>
      <c r="H479" s="16">
        <f>C479+E479</f>
        <v/>
      </c>
    </row>
    <row r="480">
      <c r="A480" s="12" t="n">
        <v>42703</v>
      </c>
      <c r="B480" s="15" t="n">
        <v>-0.123099997639656</v>
      </c>
      <c r="C480" s="15" t="n">
        <v>0.247299998998642</v>
      </c>
      <c r="D480" s="15" t="n">
        <v>2.2590000629425</v>
      </c>
      <c r="E480" s="15" t="n">
        <v>0.0231000036001205</v>
      </c>
      <c r="F480" s="15" t="n">
        <v>0.395399987697601</v>
      </c>
      <c r="G480" s="15" t="n">
        <v>2.40630006790161</v>
      </c>
      <c r="H480" s="16">
        <f>C480+E480</f>
        <v/>
      </c>
    </row>
    <row r="481">
      <c r="A481" s="12" t="n">
        <v>42704</v>
      </c>
      <c r="B481" s="15" t="n">
        <v>-0.103799998760223</v>
      </c>
      <c r="C481" s="15" t="n">
        <v>0.267399996519089</v>
      </c>
      <c r="D481" s="15" t="n">
        <v>2.27239990234375</v>
      </c>
      <c r="E481" s="15" t="n">
        <v>0.0276000201702118</v>
      </c>
      <c r="F481" s="15" t="n">
        <v>0.34909999370575</v>
      </c>
      <c r="G481" s="15" t="n">
        <v>2.46359992027283</v>
      </c>
      <c r="H481" s="16">
        <f>C481+E481</f>
        <v/>
      </c>
    </row>
    <row r="482">
      <c r="A482" s="12" t="n">
        <v>42705</v>
      </c>
      <c r="B482" s="15" t="n">
        <v>-0.08030000329017641</v>
      </c>
      <c r="C482" s="15" t="n">
        <v>0.303700000047684</v>
      </c>
      <c r="D482" s="15" t="n">
        <v>2.29399991035461</v>
      </c>
      <c r="E482" s="15" t="n">
        <v>0.03600013256073</v>
      </c>
      <c r="F482" s="15" t="n">
        <v>0.342799991369247</v>
      </c>
      <c r="G482" s="15" t="n">
        <v>2.55340003967285</v>
      </c>
      <c r="H482" s="16">
        <f>C482+E482</f>
        <v/>
      </c>
    </row>
    <row r="483">
      <c r="A483" s="12" t="n">
        <v>42706</v>
      </c>
      <c r="B483" s="15" t="n">
        <v>-0.0931999981403351</v>
      </c>
      <c r="C483" s="15" t="n">
        <v>0.290199995040894</v>
      </c>
      <c r="D483" s="15" t="n">
        <v>2.28579998016357</v>
      </c>
      <c r="E483" s="15" t="n">
        <v>0.0327000916004181</v>
      </c>
      <c r="F483" s="15" t="n">
        <v>0.368800014257431</v>
      </c>
      <c r="G483" s="15" t="n">
        <v>2.51550006866455</v>
      </c>
      <c r="H483" s="16">
        <f>C483+E483</f>
        <v/>
      </c>
    </row>
    <row r="484">
      <c r="A484" s="12" t="n">
        <v>42709</v>
      </c>
      <c r="B484" s="15" t="n">
        <v>-0.09440001845359799</v>
      </c>
      <c r="C484" s="15" t="n">
        <v>0.280600011348724</v>
      </c>
      <c r="D484" s="15" t="n">
        <v>2.28119993209839</v>
      </c>
      <c r="E484" s="15" t="n">
        <v>0.0303000509738922</v>
      </c>
      <c r="F484" s="15" t="n">
        <v>0.34799998998642</v>
      </c>
      <c r="G484" s="15" t="n">
        <v>2.49769997596741</v>
      </c>
      <c r="H484" s="16">
        <f>C484+E484</f>
        <v/>
      </c>
    </row>
    <row r="485">
      <c r="A485" s="12" t="n">
        <v>42710</v>
      </c>
      <c r="B485" s="15" t="n">
        <v>-0.0939999967813492</v>
      </c>
      <c r="C485" s="15" t="n">
        <v>0.281399995088577</v>
      </c>
      <c r="D485" s="15" t="n">
        <v>2.28189992904663</v>
      </c>
      <c r="E485" s="15" t="n">
        <v>0.0303000062704086</v>
      </c>
      <c r="F485" s="15" t="n">
        <v>0.337599992752075</v>
      </c>
      <c r="G485" s="15" t="n">
        <v>2.49959993362427</v>
      </c>
      <c r="H485" s="16">
        <f>C485+E485</f>
        <v/>
      </c>
    </row>
    <row r="486">
      <c r="A486" s="12" t="n">
        <v>42711</v>
      </c>
      <c r="B486" s="15" t="n">
        <v>-0.106700003147125</v>
      </c>
      <c r="C486" s="15" t="n">
        <v>0.265599995851517</v>
      </c>
      <c r="D486" s="15" t="n">
        <v>2.27230000495911</v>
      </c>
      <c r="E486" s="15" t="n">
        <v>0.0265999138355255</v>
      </c>
      <c r="F486" s="15" t="n">
        <v>0.342599987983704</v>
      </c>
      <c r="G486" s="15" t="n">
        <v>2.45779991149902</v>
      </c>
      <c r="H486" s="16">
        <f>C486+E486</f>
        <v/>
      </c>
    </row>
    <row r="487">
      <c r="A487" s="12" t="n">
        <v>42712</v>
      </c>
      <c r="B487" s="15" t="n">
        <v>-0.0924999862909317</v>
      </c>
      <c r="C487" s="15" t="n">
        <v>0.288199990987778</v>
      </c>
      <c r="D487" s="15" t="n">
        <v>2.28609991073608</v>
      </c>
      <c r="E487" s="15" t="n">
        <v>0.0316001623868942</v>
      </c>
      <c r="F487" s="15" t="n">
        <v>0.321299999952316</v>
      </c>
      <c r="G487" s="15" t="n">
        <v>2.51340007781982</v>
      </c>
      <c r="H487" s="16">
        <f>C487+E487</f>
        <v/>
      </c>
    </row>
    <row r="488">
      <c r="A488" s="12" t="n">
        <v>42713</v>
      </c>
      <c r="B488" s="15" t="n">
        <v>-0.0684999972581863</v>
      </c>
      <c r="C488" s="15" t="n">
        <v>0.316399991512299</v>
      </c>
      <c r="D488" s="15" t="n">
        <v>2.30460000038147</v>
      </c>
      <c r="E488" s="15" t="n">
        <v>0.0378000885248184</v>
      </c>
      <c r="F488" s="15" t="n">
        <v>0.332800000905991</v>
      </c>
      <c r="G488" s="15" t="n">
        <v>2.5903000831604</v>
      </c>
      <c r="H488" s="16">
        <f>C488+E488</f>
        <v/>
      </c>
    </row>
    <row r="489">
      <c r="A489" s="12" t="n">
        <v>42716</v>
      </c>
      <c r="B489" s="15" t="n">
        <v>-0.0676999986171722</v>
      </c>
      <c r="C489" s="15" t="n">
        <v>0.318399995565414</v>
      </c>
      <c r="D489" s="15" t="n">
        <v>2.30579996109009</v>
      </c>
      <c r="E489" s="15" t="n">
        <v>0.0383000373840332</v>
      </c>
      <c r="F489" s="15" t="n">
        <v>0.329499989748001</v>
      </c>
      <c r="G489" s="15" t="n">
        <v>2.59479999542236</v>
      </c>
      <c r="H489" s="16">
        <f>C489+E489</f>
        <v/>
      </c>
    </row>
    <row r="490">
      <c r="A490" s="12" t="n">
        <v>42717</v>
      </c>
      <c r="B490" s="15" t="n">
        <v>-0.0638000071048737</v>
      </c>
      <c r="C490" s="15" t="n">
        <v>0.315600007772446</v>
      </c>
      <c r="D490" s="15" t="n">
        <v>2.30520009994507</v>
      </c>
      <c r="E490" s="15" t="n">
        <v>0.0374999642372131</v>
      </c>
      <c r="F490" s="15" t="n">
        <v>0.336600005626678</v>
      </c>
      <c r="G490" s="15" t="n">
        <v>2.59450006484985</v>
      </c>
      <c r="H490" s="16">
        <f>C490+E490</f>
        <v/>
      </c>
    </row>
    <row r="491">
      <c r="A491" s="12" t="n">
        <v>42718</v>
      </c>
      <c r="B491" s="15" t="n">
        <v>-0.0394000113010406</v>
      </c>
      <c r="C491" s="15" t="n">
        <v>0.337500005960464</v>
      </c>
      <c r="D491" s="15" t="n">
        <v>2.31879997253418</v>
      </c>
      <c r="E491" s="15" t="n">
        <v>0.0429999828338623</v>
      </c>
      <c r="F491" s="15" t="n">
        <v>0.379799991846085</v>
      </c>
      <c r="G491" s="15" t="n">
        <v>2.65989995002747</v>
      </c>
      <c r="H491" s="16">
        <f>C491+E491</f>
        <v/>
      </c>
    </row>
    <row r="492">
      <c r="A492" s="12" t="n">
        <v>42719</v>
      </c>
      <c r="B492" s="15" t="n">
        <v>-0.021699994802475</v>
      </c>
      <c r="C492" s="15" t="n">
        <v>0.360599994659424</v>
      </c>
      <c r="D492" s="15" t="n">
        <v>2.33189988136292</v>
      </c>
      <c r="E492" s="15" t="n">
        <v>0.0488000810146332</v>
      </c>
      <c r="F492" s="15" t="n">
        <v>0.442600011825562</v>
      </c>
      <c r="G492" s="15" t="n">
        <v>2.7195999622345</v>
      </c>
      <c r="H492" s="16">
        <f>C492+E492</f>
        <v/>
      </c>
    </row>
    <row r="493">
      <c r="A493" s="12" t="n">
        <v>42720</v>
      </c>
      <c r="B493" s="15" t="n">
        <v>-0.0253999829292297</v>
      </c>
      <c r="C493" s="15" t="n">
        <v>0.358799993991852</v>
      </c>
      <c r="D493" s="15" t="n">
        <v>2.33019995689392</v>
      </c>
      <c r="E493" s="15" t="n">
        <v>0.0485000610351562</v>
      </c>
      <c r="F493" s="15" t="n">
        <v>0.46560001373291</v>
      </c>
      <c r="G493" s="15" t="n">
        <v>2.7121000289917</v>
      </c>
      <c r="H493" s="16">
        <f>C493+E493</f>
        <v/>
      </c>
    </row>
    <row r="494">
      <c r="A494" s="12" t="n">
        <v>42723</v>
      </c>
      <c r="B494" s="15" t="n">
        <v>-0.044299989938736</v>
      </c>
      <c r="C494" s="15" t="n">
        <v>0.333999991416931</v>
      </c>
      <c r="D494" s="15" t="n">
        <v>2.31459999084473</v>
      </c>
      <c r="E494" s="15" t="n">
        <v>0.0429001152515411</v>
      </c>
      <c r="F494" s="15" t="n">
        <v>0.453799992799759</v>
      </c>
      <c r="G494" s="15" t="n">
        <v>2.64720010757446</v>
      </c>
      <c r="H494" s="16">
        <f>C494+E494</f>
        <v/>
      </c>
    </row>
    <row r="495">
      <c r="A495" s="12" t="n">
        <v>42724</v>
      </c>
      <c r="B495" s="15" t="n">
        <v>-0.0361000001430511</v>
      </c>
      <c r="C495" s="15" t="n">
        <v>0.341699987649918</v>
      </c>
      <c r="D495" s="15" t="n">
        <v>2.3199999332428</v>
      </c>
      <c r="E495" s="15" t="n">
        <v>0.0445000529289246</v>
      </c>
      <c r="F495" s="15" t="n">
        <v>0.423299998044968</v>
      </c>
      <c r="G495" s="15" t="n">
        <v>2.67009997367859</v>
      </c>
      <c r="H495" s="16">
        <f>C495+E495</f>
        <v/>
      </c>
    </row>
    <row r="496">
      <c r="A496" s="12" t="n">
        <v>42725</v>
      </c>
      <c r="B496" s="15" t="n">
        <v>-0.0433000028133392</v>
      </c>
      <c r="C496" s="15" t="n">
        <v>0.335700005292892</v>
      </c>
      <c r="D496" s="15" t="n">
        <v>2.3157000541687</v>
      </c>
      <c r="E496" s="15" t="n">
        <v>0.043199896812439</v>
      </c>
      <c r="F496" s="15" t="n">
        <v>0.41839998960495</v>
      </c>
      <c r="G496" s="15" t="n">
        <v>2.65129995346069</v>
      </c>
      <c r="H496" s="16">
        <f>C496+E496</f>
        <v/>
      </c>
    </row>
    <row r="497">
      <c r="A497" s="12" t="n">
        <v>42726</v>
      </c>
      <c r="B497" s="15" t="n">
        <v>-0.0428999960422516</v>
      </c>
      <c r="C497" s="15" t="n">
        <v>0.335500001907349</v>
      </c>
      <c r="D497" s="15" t="n">
        <v>2.31559991836548</v>
      </c>
      <c r="E497" s="15" t="n">
        <v>0.043300062417984</v>
      </c>
      <c r="F497" s="15" t="n">
        <v>0.379200011491776</v>
      </c>
      <c r="G497" s="15" t="n">
        <v>2.65149998664856</v>
      </c>
      <c r="H497" s="16">
        <f>C497+E497</f>
        <v/>
      </c>
    </row>
    <row r="498">
      <c r="A498" s="12" t="n">
        <v>42727</v>
      </c>
      <c r="B498" s="15" t="n">
        <v>-0.0433000028133392</v>
      </c>
      <c r="C498" s="15" t="n">
        <v>0.334800004959106</v>
      </c>
      <c r="D498" s="15" t="n">
        <v>2.3150999546051</v>
      </c>
      <c r="E498" s="15" t="n">
        <v>0.043099969625473</v>
      </c>
      <c r="F498" s="15" t="n">
        <v>0.367500007152557</v>
      </c>
      <c r="G498" s="15" t="n">
        <v>2.64969992637634</v>
      </c>
      <c r="H498" s="16">
        <f>C498+E498</f>
        <v/>
      </c>
    </row>
    <row r="499">
      <c r="A499" s="12" t="n">
        <v>42731</v>
      </c>
      <c r="B499" s="15" t="n">
        <v>-0.0345999896526337</v>
      </c>
      <c r="C499" s="15" t="n">
        <v>0.342099994421005</v>
      </c>
      <c r="D499" s="15" t="n">
        <v>2.32019996643066</v>
      </c>
      <c r="E499" s="15" t="n">
        <v>0.044700026512146</v>
      </c>
      <c r="F499" s="15" t="n">
        <v>0.362199991941452</v>
      </c>
      <c r="G499" s="15" t="n">
        <v>2.67239999771118</v>
      </c>
      <c r="H499" s="16">
        <f>C499+E499</f>
        <v/>
      </c>
    </row>
    <row r="500">
      <c r="A500" s="12" t="n">
        <v>42732</v>
      </c>
      <c r="B500" s="15" t="n">
        <v>-0.0550000071525574</v>
      </c>
      <c r="C500" s="15" t="n">
        <v>0.326299995183945</v>
      </c>
      <c r="D500" s="15" t="n">
        <v>2.30839991569519</v>
      </c>
      <c r="E500" s="15" t="n">
        <v>0.0414000451564789</v>
      </c>
      <c r="F500" s="15" t="n">
        <v>0.367500007152557</v>
      </c>
      <c r="G500" s="15" t="n">
        <v>2.62109994888306</v>
      </c>
      <c r="H500" s="16">
        <f>C500+E500</f>
        <v/>
      </c>
    </row>
    <row r="501">
      <c r="A501" s="12" t="n">
        <v>42733</v>
      </c>
      <c r="B501" s="15" t="n">
        <v>-0.0675000101327896</v>
      </c>
      <c r="C501" s="15" t="n">
        <v>0.315100014209747</v>
      </c>
      <c r="D501" s="15" t="n">
        <v>2.3011999130249</v>
      </c>
      <c r="E501" s="15" t="n">
        <v>0.0387001782655716</v>
      </c>
      <c r="F501" s="15" t="n">
        <v>0.369899988174438</v>
      </c>
      <c r="G501" s="15" t="n">
        <v>2.58750009536743</v>
      </c>
      <c r="H501" s="16">
        <f>C501+E501</f>
        <v/>
      </c>
    </row>
    <row r="502">
      <c r="A502" s="12" t="n">
        <v>42734</v>
      </c>
      <c r="B502" s="15" t="n">
        <v>-0.07819999754428859</v>
      </c>
      <c r="C502" s="15" t="n">
        <v>0.300799995660782</v>
      </c>
      <c r="D502" s="15" t="n">
        <v>2.29250001907349</v>
      </c>
      <c r="E502" s="15" t="n">
        <v>0.0355000346899033</v>
      </c>
      <c r="F502" s="15" t="n">
        <v>0.349000006914139</v>
      </c>
      <c r="G502" s="15" t="n">
        <v>2.55060005187988</v>
      </c>
      <c r="H502" s="16">
        <f>C502+E502</f>
        <v/>
      </c>
    </row>
    <row r="503">
      <c r="A503" s="12" t="n">
        <v>42738</v>
      </c>
      <c r="B503" s="15" t="n">
        <v>-0.07539999485015871</v>
      </c>
      <c r="C503" s="15" t="n">
        <v>0.293999999761581</v>
      </c>
      <c r="D503" s="15" t="n">
        <v>2.29010009765625</v>
      </c>
      <c r="E503" s="15" t="n">
        <v>0.0335998833179474</v>
      </c>
      <c r="F503" s="15" t="n">
        <v>0.325899988412857</v>
      </c>
      <c r="G503" s="15" t="n">
        <v>2.54229998588562</v>
      </c>
      <c r="H503" s="16">
        <f>C503+E503</f>
        <v/>
      </c>
    </row>
    <row r="504">
      <c r="A504" s="12" t="n">
        <v>42739</v>
      </c>
      <c r="B504" s="15" t="n">
        <v>-0.0749000012874603</v>
      </c>
      <c r="C504" s="15" t="n">
        <v>0.297399997711182</v>
      </c>
      <c r="D504" s="15" t="n">
        <v>2.29150009155273</v>
      </c>
      <c r="E504" s="15" t="n">
        <v>0.0344999730587006</v>
      </c>
      <c r="F504" s="15" t="n">
        <v>0.321799993515015</v>
      </c>
      <c r="G504" s="15" t="n">
        <v>2.54850006103516</v>
      </c>
      <c r="H504" s="16">
        <f>C504+E504</f>
        <v/>
      </c>
    </row>
    <row r="505">
      <c r="A505" s="12" t="n">
        <v>42740</v>
      </c>
      <c r="B505" s="15" t="n">
        <v>-0.101799979805946</v>
      </c>
      <c r="C505" s="15" t="n">
        <v>0.266799986362457</v>
      </c>
      <c r="D505" s="15" t="n">
        <v>2.27180004119873</v>
      </c>
      <c r="E505" s="15" t="n">
        <v>0.0276999026536942</v>
      </c>
      <c r="F505" s="15" t="n">
        <v>0.318699985742569</v>
      </c>
      <c r="G505" s="15" t="n">
        <v>2.46449995040894</v>
      </c>
      <c r="H505" s="16">
        <f>C505+E505</f>
        <v/>
      </c>
    </row>
    <row r="506">
      <c r="A506" s="12" t="n">
        <v>42741</v>
      </c>
      <c r="B506" s="15" t="n">
        <v>-0.0875999927520752</v>
      </c>
      <c r="C506" s="15" t="n">
        <v>0.283399999141693</v>
      </c>
      <c r="D506" s="15" t="n">
        <v>2.28169989585876</v>
      </c>
      <c r="E506" s="15" t="n">
        <v>0.0317001938819885</v>
      </c>
      <c r="F506" s="15" t="n">
        <v>0.333200007677078</v>
      </c>
      <c r="G506" s="15" t="n">
        <v>2.50920009613037</v>
      </c>
      <c r="H506" s="16">
        <f>C506+E506</f>
        <v/>
      </c>
    </row>
    <row r="507">
      <c r="A507" s="12" t="n">
        <v>42744</v>
      </c>
      <c r="B507" s="15" t="n">
        <v>-0.102900013327599</v>
      </c>
      <c r="C507" s="15" t="n">
        <v>0.267300009727478</v>
      </c>
      <c r="D507" s="15" t="n">
        <v>2.27069997787476</v>
      </c>
      <c r="E507" s="15" t="n">
        <v>0.0284000486135483</v>
      </c>
      <c r="F507" s="15" t="n">
        <v>0.332300007343292</v>
      </c>
      <c r="G507" s="15" t="n">
        <v>2.46350002288818</v>
      </c>
      <c r="H507" s="16">
        <f>C507+E507</f>
        <v/>
      </c>
    </row>
    <row r="508">
      <c r="A508" s="12" t="n">
        <v>42745</v>
      </c>
      <c r="B508" s="15" t="n">
        <v>-0.103299990296364</v>
      </c>
      <c r="C508" s="15" t="n">
        <v>0.266299992799759</v>
      </c>
      <c r="D508" s="15" t="n">
        <v>2.26999998092651</v>
      </c>
      <c r="E508" s="15" t="n">
        <v>0.0282000154256821</v>
      </c>
      <c r="F508" s="15" t="n">
        <v>0.321399986743927</v>
      </c>
      <c r="G508" s="15" t="n">
        <v>2.46119999885559</v>
      </c>
      <c r="H508" s="16">
        <f>C508+E508</f>
        <v/>
      </c>
    </row>
    <row r="509">
      <c r="A509" s="12" t="n">
        <v>42746</v>
      </c>
      <c r="B509" s="15" t="n">
        <v>-0.106200009584427</v>
      </c>
      <c r="C509" s="15" t="n">
        <v>0.261900007724762</v>
      </c>
      <c r="D509" s="15" t="n">
        <v>2.26729989051819</v>
      </c>
      <c r="E509" s="15" t="n">
        <v>0.0272001922130585</v>
      </c>
      <c r="F509" s="15" t="n">
        <v>0.298900008201599</v>
      </c>
      <c r="G509" s="15" t="n">
        <v>2.45020008087158</v>
      </c>
      <c r="H509" s="16">
        <f>C509+E509</f>
        <v/>
      </c>
    </row>
    <row r="510">
      <c r="A510" s="12" t="n">
        <v>42747</v>
      </c>
      <c r="B510" s="15" t="n">
        <v>-0.111100003123283</v>
      </c>
      <c r="C510" s="15" t="n">
        <v>0.25900000333786</v>
      </c>
      <c r="D510" s="15" t="n">
        <v>2.26489996910095</v>
      </c>
      <c r="E510" s="15" t="n">
        <v>0.0265999883413315</v>
      </c>
      <c r="F510" s="15" t="n">
        <v>0.291399985551834</v>
      </c>
      <c r="G510" s="15" t="n">
        <v>2.43939995765686</v>
      </c>
      <c r="H510" s="16">
        <f>C510+E510</f>
        <v/>
      </c>
    </row>
    <row r="511">
      <c r="A511" s="12" t="n">
        <v>42748</v>
      </c>
      <c r="B511" s="15" t="n">
        <v>-0.0976999849081039</v>
      </c>
      <c r="C511" s="15" t="n">
        <v>0.270599991083145</v>
      </c>
      <c r="D511" s="15" t="n">
        <v>2.27320003509521</v>
      </c>
      <c r="E511" s="15" t="n">
        <v>0.028999999165535</v>
      </c>
      <c r="F511" s="15" t="n">
        <v>0.297600001096725</v>
      </c>
      <c r="G511" s="15" t="n">
        <v>2.47510004043579</v>
      </c>
      <c r="H511" s="16">
        <f>C511+E511</f>
        <v/>
      </c>
    </row>
    <row r="512">
      <c r="A512" s="12" t="n">
        <v>42752</v>
      </c>
      <c r="B512" s="15" t="n">
        <v>-0.117200002074242</v>
      </c>
      <c r="C512" s="15" t="n">
        <v>0.244800001382828</v>
      </c>
      <c r="D512" s="15" t="n">
        <v>2.25769996643066</v>
      </c>
      <c r="E512" s="15" t="n">
        <v>0.0229000598192215</v>
      </c>
      <c r="F512" s="15" t="n">
        <v>0.284000009298325</v>
      </c>
      <c r="G512" s="15" t="n">
        <v>2.40820002555847</v>
      </c>
      <c r="H512" s="16">
        <f>C512+E512</f>
        <v/>
      </c>
    </row>
    <row r="513">
      <c r="A513" s="12" t="n">
        <v>42753</v>
      </c>
      <c r="B513" s="15" t="n">
        <v>-0.0865000039339066</v>
      </c>
      <c r="C513" s="15" t="n">
        <v>0.277700006961823</v>
      </c>
      <c r="D513" s="15" t="n">
        <v>2.27909994125366</v>
      </c>
      <c r="E513" s="15" t="n">
        <v>0.0304000526666641</v>
      </c>
      <c r="F513" s="15" t="n">
        <v>0.29899999499321</v>
      </c>
      <c r="G513" s="15" t="n">
        <v>2.50069999694824</v>
      </c>
      <c r="H513" s="16">
        <f>C513+E513</f>
        <v/>
      </c>
    </row>
    <row r="514">
      <c r="A514" s="12" t="n">
        <v>42754</v>
      </c>
      <c r="B514" s="15" t="n">
        <v>-0.07430000603199011</v>
      </c>
      <c r="C514" s="15" t="n">
        <v>0.296200007200241</v>
      </c>
      <c r="D514" s="15" t="n">
        <v>2.28979992866516</v>
      </c>
      <c r="E514" s="15" t="n">
        <v>0.0349001735448837</v>
      </c>
      <c r="F514" s="15" t="n">
        <v>0.279100000858307</v>
      </c>
      <c r="G514" s="15" t="n">
        <v>2.5466001033783</v>
      </c>
      <c r="H514" s="16">
        <f>C514+E514</f>
        <v/>
      </c>
    </row>
    <row r="515">
      <c r="A515" s="12" t="n">
        <v>42755</v>
      </c>
      <c r="B515" s="15" t="n">
        <v>-0.0750000029802322</v>
      </c>
      <c r="C515" s="15" t="n">
        <v>0.300500005483627</v>
      </c>
      <c r="D515" s="15" t="n">
        <v>2.29209995269775</v>
      </c>
      <c r="E515" s="15" t="n">
        <v>0.0356000512838364</v>
      </c>
      <c r="F515" s="15" t="n">
        <v>0.270399987697601</v>
      </c>
      <c r="G515" s="15" t="n">
        <v>2.55320000648499</v>
      </c>
      <c r="H515" s="16">
        <f>C515+E515</f>
        <v/>
      </c>
    </row>
    <row r="516">
      <c r="A516" s="12" t="n">
        <v>42758</v>
      </c>
      <c r="B516" s="15" t="n">
        <v>-0.101199999451637</v>
      </c>
      <c r="C516" s="15" t="n">
        <v>0.277500003576279</v>
      </c>
      <c r="D516" s="15" t="n">
        <v>2.27640008926392</v>
      </c>
      <c r="E516" s="15" t="n">
        <v>0.0304999798536301</v>
      </c>
      <c r="F516" s="15" t="n">
        <v>0.270300000905991</v>
      </c>
      <c r="G516" s="15" t="n">
        <v>2.48320007324219</v>
      </c>
      <c r="H516" s="16">
        <f>C516+E516</f>
        <v/>
      </c>
    </row>
    <row r="517">
      <c r="A517" s="12" t="n">
        <v>42759</v>
      </c>
      <c r="B517" s="15" t="n">
        <v>-0.07840001583099369</v>
      </c>
      <c r="C517" s="15" t="n">
        <v>0.298200011253357</v>
      </c>
      <c r="D517" s="15" t="n">
        <v>2.29080009460449</v>
      </c>
      <c r="E517" s="15" t="n">
        <v>0.0349998474121094</v>
      </c>
      <c r="F517" s="15" t="n">
        <v>0.259600013494492</v>
      </c>
      <c r="G517" s="15" t="n">
        <v>2.54559993743896</v>
      </c>
      <c r="H517" s="16">
        <f>C517+E517</f>
        <v/>
      </c>
    </row>
    <row r="518">
      <c r="A518" s="12" t="n">
        <v>42760</v>
      </c>
      <c r="B518" s="15" t="n">
        <v>-0.0620000064373016</v>
      </c>
      <c r="C518" s="15" t="n">
        <v>0.321700006723404</v>
      </c>
      <c r="D518" s="15" t="n">
        <v>2.30489993095398</v>
      </c>
      <c r="E518" s="15" t="n">
        <v>0.0404999852180481</v>
      </c>
      <c r="F518" s="15" t="n">
        <v>0.254599988460541</v>
      </c>
      <c r="G518" s="15" t="n">
        <v>2.60509991645813</v>
      </c>
      <c r="H518" s="16">
        <f>C518+E518</f>
        <v/>
      </c>
    </row>
    <row r="519">
      <c r="A519" s="12" t="n">
        <v>42761</v>
      </c>
      <c r="B519" s="15" t="n">
        <v>-0.0670000016689301</v>
      </c>
      <c r="C519" s="15" t="n">
        <v>0.3158999979496</v>
      </c>
      <c r="D519" s="15" t="n">
        <v>2.30170011520386</v>
      </c>
      <c r="E519" s="15" t="n">
        <v>0.0389999747276306</v>
      </c>
      <c r="F519" s="15" t="n">
        <v>0.244200006127357</v>
      </c>
      <c r="G519" s="15" t="n">
        <v>2.58960008621216</v>
      </c>
      <c r="H519" s="16">
        <f>C519+E519</f>
        <v/>
      </c>
    </row>
    <row r="520">
      <c r="A520" s="12" t="n">
        <v>42762</v>
      </c>
      <c r="B520" s="15" t="n">
        <v>-0.0711000114679337</v>
      </c>
      <c r="C520" s="15" t="n">
        <v>0.307200014591217</v>
      </c>
      <c r="D520" s="15" t="n">
        <v>2.29699993133545</v>
      </c>
      <c r="E520" s="15" t="n">
        <v>0.0368999987840652</v>
      </c>
      <c r="F520" s="15" t="n">
        <v>0.231600001454353</v>
      </c>
      <c r="G520" s="15" t="n">
        <v>2.5699999332428</v>
      </c>
      <c r="H520" s="16">
        <f>C520+E520</f>
        <v/>
      </c>
    </row>
    <row r="521">
      <c r="A521" s="12" t="n">
        <v>42765</v>
      </c>
      <c r="B521" s="15" t="n">
        <v>-0.07019999623298651</v>
      </c>
      <c r="C521" s="15" t="n">
        <v>0.308499991893768</v>
      </c>
      <c r="D521" s="15" t="n">
        <v>2.29800009727478</v>
      </c>
      <c r="E521" s="15" t="n">
        <v>0.0370999276638031</v>
      </c>
      <c r="F521" s="15" t="n">
        <v>0.232500001788139</v>
      </c>
      <c r="G521" s="15" t="n">
        <v>2.57340002059937</v>
      </c>
      <c r="H521" s="16">
        <f>C521+E521</f>
        <v/>
      </c>
    </row>
    <row r="522">
      <c r="A522" s="12" t="n">
        <v>42766</v>
      </c>
      <c r="B522" s="15" t="n">
        <v>-0.08080001175403589</v>
      </c>
      <c r="C522" s="15" t="n">
        <v>0.291900008916855</v>
      </c>
      <c r="D522" s="15" t="n">
        <v>2.28839993476868</v>
      </c>
      <c r="E522" s="15" t="n">
        <v>0.0330000966787338</v>
      </c>
      <c r="F522" s="15" t="n">
        <v>0.222900003194809</v>
      </c>
      <c r="G522" s="15" t="n">
        <v>2.53250002861023</v>
      </c>
      <c r="H522" s="16">
        <f>C522+E522</f>
        <v/>
      </c>
    </row>
    <row r="523">
      <c r="A523" s="12" t="n">
        <v>42767</v>
      </c>
      <c r="B523" s="15" t="n">
        <v>-0.0699999928474426</v>
      </c>
      <c r="C523" s="15" t="n">
        <v>0.30129998922348</v>
      </c>
      <c r="D523" s="15" t="n">
        <v>2.29500007629395</v>
      </c>
      <c r="E523" s="15" t="n">
        <v>0.0350998640060425</v>
      </c>
      <c r="F523" s="15" t="n">
        <v>0.226699993014336</v>
      </c>
      <c r="G523" s="15" t="n">
        <v>2.56139993667603</v>
      </c>
      <c r="H523" s="16">
        <f>C523+E523</f>
        <v/>
      </c>
    </row>
    <row r="524">
      <c r="A524" s="12" t="n">
        <v>42768</v>
      </c>
      <c r="B524" s="15" t="n">
        <v>-0.0738000124692917</v>
      </c>
      <c r="C524" s="15" t="n">
        <v>0.299800008535385</v>
      </c>
      <c r="D524" s="15" t="n">
        <v>2.29349994659424</v>
      </c>
      <c r="E524" s="15" t="n">
        <v>0.0348001271486282</v>
      </c>
      <c r="F524" s="15" t="n">
        <v>0.222200006246567</v>
      </c>
      <c r="G524" s="15" t="n">
        <v>2.55430006980896</v>
      </c>
      <c r="H524" s="16">
        <f>C524+E524</f>
        <v/>
      </c>
    </row>
    <row r="525">
      <c r="A525" s="12" t="n">
        <v>42769</v>
      </c>
      <c r="B525" s="15" t="n">
        <v>-0.0718999952077866</v>
      </c>
      <c r="C525" s="15" t="n">
        <v>0.305999994277954</v>
      </c>
      <c r="D525" s="15" t="n">
        <v>2.29679989814758</v>
      </c>
      <c r="E525" s="15" t="n">
        <v>0.0364001840353012</v>
      </c>
      <c r="F525" s="15" t="n">
        <v>0.229900002479553</v>
      </c>
      <c r="G525" s="15" t="n">
        <v>2.56730008125305</v>
      </c>
      <c r="H525" s="16">
        <f>C525+E525</f>
        <v/>
      </c>
    </row>
    <row r="526">
      <c r="A526" s="12" t="n">
        <v>42772</v>
      </c>
      <c r="B526" s="15" t="n">
        <v>-0.09520001709461209</v>
      </c>
      <c r="C526" s="15" t="n">
        <v>0.280800014734268</v>
      </c>
      <c r="D526" s="15" t="n">
        <v>2.28069996833801</v>
      </c>
      <c r="E526" s="15" t="n">
        <v>0.0306001156568527</v>
      </c>
      <c r="F526" s="15" t="n">
        <v>0.234099999070168</v>
      </c>
      <c r="G526" s="15" t="n">
        <v>2.49690008163452</v>
      </c>
      <c r="H526" s="16">
        <f>C526+E526</f>
        <v/>
      </c>
    </row>
    <row r="527">
      <c r="A527" s="12" t="n">
        <v>42773</v>
      </c>
      <c r="B527" s="15" t="n">
        <v>-0.100600004196167</v>
      </c>
      <c r="C527" s="15" t="n">
        <v>0.269600003957748</v>
      </c>
      <c r="D527" s="15" t="n">
        <v>2.27439999580383</v>
      </c>
      <c r="E527" s="15" t="n">
        <v>0.0278998911380768</v>
      </c>
      <c r="F527" s="15" t="n">
        <v>0.253500014543533</v>
      </c>
      <c r="G527" s="15" t="n">
        <v>2.47129988670349</v>
      </c>
      <c r="H527" s="16">
        <f>C527+E527</f>
        <v/>
      </c>
    </row>
    <row r="528">
      <c r="A528" s="12" t="n">
        <v>42774</v>
      </c>
      <c r="B528" s="15" t="n">
        <v>-0.112800002098083</v>
      </c>
      <c r="C528" s="15" t="n">
        <v>0.252000004053116</v>
      </c>
      <c r="D528" s="15" t="n">
        <v>2.26370000839233</v>
      </c>
      <c r="E528" s="15" t="n">
        <v>0.0238001048564911</v>
      </c>
      <c r="F528" s="15" t="n">
        <v>0.272100001573563</v>
      </c>
      <c r="G528" s="15" t="n">
        <v>2.42670011520386</v>
      </c>
      <c r="H528" s="16">
        <f>C528+E528</f>
        <v/>
      </c>
    </row>
    <row r="529">
      <c r="A529" s="12" t="n">
        <v>42775</v>
      </c>
      <c r="B529" s="15" t="n">
        <v>-0.0925999879837036</v>
      </c>
      <c r="C529" s="15" t="n">
        <v>0.273099988698959</v>
      </c>
      <c r="D529" s="15" t="n">
        <v>2.27740001678467</v>
      </c>
      <c r="E529" s="15" t="n">
        <v>0.0286999046802521</v>
      </c>
      <c r="F529" s="15" t="n">
        <v>0.261000007390976</v>
      </c>
      <c r="G529" s="15" t="n">
        <v>2.48659992218018</v>
      </c>
      <c r="H529" s="16">
        <f>C529+E529</f>
        <v/>
      </c>
    </row>
    <row r="530">
      <c r="A530" s="12" t="n">
        <v>42776</v>
      </c>
      <c r="B530" s="15" t="n">
        <v>-0.08900000154972081</v>
      </c>
      <c r="C530" s="15" t="n">
        <v>0.276600003242493</v>
      </c>
      <c r="D530" s="15" t="n">
        <v>2.27940011024475</v>
      </c>
      <c r="E530" s="15" t="n">
        <v>0.0296999365091324</v>
      </c>
      <c r="F530" s="15" t="n">
        <v>0.246700003743172</v>
      </c>
      <c r="G530" s="15" t="n">
        <v>2.49670004844666</v>
      </c>
      <c r="H530" s="16">
        <f>C530+E530</f>
        <v/>
      </c>
    </row>
    <row r="531">
      <c r="A531" s="12" t="n">
        <v>42779</v>
      </c>
      <c r="B531" s="15" t="n">
        <v>-0.08329999446868901</v>
      </c>
      <c r="C531" s="15" t="n">
        <v>0.286799997091293</v>
      </c>
      <c r="D531" s="15" t="n">
        <v>2.28509998321533</v>
      </c>
      <c r="E531" s="15" t="n">
        <v>0.0320999920368195</v>
      </c>
      <c r="F531" s="15" t="n">
        <v>0.263900011777878</v>
      </c>
      <c r="G531" s="15" t="n">
        <v>2.52069997787476</v>
      </c>
      <c r="H531" s="16">
        <f>C531+E531</f>
        <v/>
      </c>
    </row>
    <row r="532">
      <c r="A532" s="12" t="n">
        <v>42780</v>
      </c>
      <c r="B532" s="15" t="n">
        <v>-0.0647000074386597</v>
      </c>
      <c r="C532" s="15" t="n">
        <v>0.300900012254715</v>
      </c>
      <c r="D532" s="15" t="n">
        <v>2.29509997367859</v>
      </c>
      <c r="E532" s="15" t="n">
        <v>0.0351999700069427</v>
      </c>
      <c r="F532" s="15" t="n">
        <v>0.267899990081787</v>
      </c>
      <c r="G532" s="15" t="n">
        <v>2.56649994850159</v>
      </c>
      <c r="H532" s="16">
        <f>C532+E532</f>
        <v/>
      </c>
    </row>
    <row r="533">
      <c r="A533" s="12" t="n">
        <v>42781</v>
      </c>
      <c r="B533" s="15" t="n">
        <v>-0.0539999902248383</v>
      </c>
      <c r="C533" s="15" t="n">
        <v>0.309399992227554</v>
      </c>
      <c r="D533" s="15" t="n">
        <v>2.30080008506775</v>
      </c>
      <c r="E533" s="15" t="n">
        <v>0.0371999144554138</v>
      </c>
      <c r="F533" s="15" t="n">
        <v>0.242599993944168</v>
      </c>
      <c r="G533" s="15" t="n">
        <v>2.59340000152588</v>
      </c>
      <c r="H533" s="16">
        <f>C533+E533</f>
        <v/>
      </c>
    </row>
    <row r="534">
      <c r="A534" s="12" t="n">
        <v>42782</v>
      </c>
      <c r="B534" s="15" t="n">
        <v>-0.0724000036716461</v>
      </c>
      <c r="C534" s="15" t="n">
        <v>0.291500002145767</v>
      </c>
      <c r="D534" s="15" t="n">
        <v>2.28909993171692</v>
      </c>
      <c r="E534" s="15" t="n">
        <v>0.0331001281738281</v>
      </c>
      <c r="F534" s="15" t="n">
        <v>0.247600004076958</v>
      </c>
      <c r="G534" s="15" t="n">
        <v>2.54130005836487</v>
      </c>
      <c r="H534" s="16">
        <f>C534+E534</f>
        <v/>
      </c>
    </row>
    <row r="535">
      <c r="A535" s="12" t="n">
        <v>42783</v>
      </c>
      <c r="B535" s="15" t="n">
        <v>-0.081399992108345</v>
      </c>
      <c r="C535" s="15" t="n">
        <v>0.280699998140335</v>
      </c>
      <c r="D535" s="15" t="n">
        <v>2.28259992599487</v>
      </c>
      <c r="E535" s="15" t="n">
        <v>0.0304999798536301</v>
      </c>
      <c r="F535" s="15" t="n">
        <v>0.25330001115799</v>
      </c>
      <c r="G535" s="15" t="n">
        <v>2.51239991188049</v>
      </c>
      <c r="H535" s="16">
        <f>C535+E535</f>
        <v/>
      </c>
    </row>
    <row r="536">
      <c r="A536" s="12" t="n">
        <v>42787</v>
      </c>
      <c r="B536" s="15" t="n">
        <v>-0.0769999921321869</v>
      </c>
      <c r="C536" s="15" t="n">
        <v>0.278299987316132</v>
      </c>
      <c r="D536" s="15" t="n">
        <v>2.28279995918274</v>
      </c>
      <c r="E536" s="15" t="n">
        <v>0.02960005402565</v>
      </c>
      <c r="F536" s="15" t="n">
        <v>0.244100004434586</v>
      </c>
      <c r="G536" s="15" t="n">
        <v>2.51370000839233</v>
      </c>
      <c r="H536" s="16">
        <f>C536+E536</f>
        <v/>
      </c>
    </row>
    <row r="537">
      <c r="A537" s="12" t="n">
        <v>42788</v>
      </c>
      <c r="B537" s="15" t="n">
        <v>-0.0798999965190887</v>
      </c>
      <c r="C537" s="15" t="n">
        <v>0.275799989700317</v>
      </c>
      <c r="D537" s="15" t="n">
        <v>2.28110003471375</v>
      </c>
      <c r="E537" s="15" t="n">
        <v>0.0290999114513397</v>
      </c>
      <c r="F537" s="15" t="n">
        <v>0.235799998044968</v>
      </c>
      <c r="G537" s="15" t="n">
        <v>2.50609993934631</v>
      </c>
      <c r="H537" s="16">
        <f>C537+E537</f>
        <v/>
      </c>
    </row>
    <row r="538">
      <c r="A538" s="12" t="n">
        <v>42789</v>
      </c>
      <c r="B538" s="15" t="n">
        <v>-0.0945999920368195</v>
      </c>
      <c r="C538" s="15" t="n">
        <v>0.263099998235703</v>
      </c>
      <c r="D538" s="15" t="n">
        <v>2.27220010757446</v>
      </c>
      <c r="E538" s="15" t="n">
        <v>0.0262998938560486</v>
      </c>
      <c r="F538" s="15" t="n">
        <v>0.228699997067451</v>
      </c>
      <c r="G538" s="15" t="n">
        <v>2.46700000762939</v>
      </c>
      <c r="H538" s="16">
        <f>C538+E538</f>
        <v/>
      </c>
    </row>
    <row r="539">
      <c r="A539" s="12" t="n">
        <v>42790</v>
      </c>
      <c r="B539" s="15" t="n">
        <v>-0.116700008511543</v>
      </c>
      <c r="C539" s="15" t="n">
        <v>0.238900005817413</v>
      </c>
      <c r="D539" s="15" t="n">
        <v>2.25659990310669</v>
      </c>
      <c r="E539" s="15" t="n">
        <v>0.0208001285791397</v>
      </c>
      <c r="F539" s="15" t="n">
        <v>0.225099995732307</v>
      </c>
      <c r="G539" s="15" t="n">
        <v>2.3996000289917</v>
      </c>
      <c r="H539" s="16">
        <f>C539+E539</f>
        <v/>
      </c>
    </row>
    <row r="540">
      <c r="A540" s="12" t="n">
        <v>42793</v>
      </c>
      <c r="B540" s="15" t="n">
        <v>-0.09540000557899481</v>
      </c>
      <c r="C540" s="15" t="n">
        <v>0.255199998617172</v>
      </c>
      <c r="D540" s="15" t="n">
        <v>2.26850008964539</v>
      </c>
      <c r="E540" s="15" t="n">
        <v>0.0242999196052551</v>
      </c>
      <c r="F540" s="15" t="n">
        <v>0.235200002789497</v>
      </c>
      <c r="G540" s="15" t="n">
        <v>2.45260000228882</v>
      </c>
      <c r="H540" s="16">
        <f>C540+E540</f>
        <v/>
      </c>
    </row>
    <row r="541">
      <c r="A541" s="12" t="n">
        <v>42794</v>
      </c>
      <c r="B541" s="15" t="n">
        <v>-0.09209999442100519</v>
      </c>
      <c r="C541" s="15" t="n">
        <v>0.251800000667572</v>
      </c>
      <c r="D541" s="15" t="n">
        <v>2.26690006256104</v>
      </c>
      <c r="E541" s="15" t="n">
        <v>0.0236999094486237</v>
      </c>
      <c r="F541" s="15" t="n">
        <v>0.238600000739098</v>
      </c>
      <c r="G541" s="15" t="n">
        <v>2.45029997825623</v>
      </c>
      <c r="H541" s="16">
        <f>C541+E541</f>
        <v/>
      </c>
    </row>
    <row r="542">
      <c r="A542" s="12" t="n">
        <v>42795</v>
      </c>
      <c r="B542" s="15" t="n">
        <v>-0.0494000166654587</v>
      </c>
      <c r="C542" s="15" t="n">
        <v>0.279000014066696</v>
      </c>
      <c r="D542" s="15" t="n">
        <v>2.28889989852905</v>
      </c>
      <c r="E542" s="15" t="n">
        <v>0.0291001349687576</v>
      </c>
      <c r="F542" s="15" t="n">
        <v>0.256900012493134</v>
      </c>
      <c r="G542" s="15" t="n">
        <v>2.54760003089905</v>
      </c>
      <c r="H542" s="16">
        <f>C542+E542</f>
        <v/>
      </c>
    </row>
    <row r="543">
      <c r="A543" s="12" t="n">
        <v>42796</v>
      </c>
      <c r="B543" s="15" t="n">
        <v>-0.0318000018596649</v>
      </c>
      <c r="C543" s="15" t="n">
        <v>0.28659999370575</v>
      </c>
      <c r="D543" s="15" t="n">
        <v>2.29629993438721</v>
      </c>
      <c r="E543" s="15" t="n">
        <v>0.0304001271724701</v>
      </c>
      <c r="F543" s="15" t="n">
        <v>0.272899985313416</v>
      </c>
      <c r="G543" s="15" t="n">
        <v>2.58150005340576</v>
      </c>
      <c r="H543" s="16">
        <f>C543+E543</f>
        <v/>
      </c>
    </row>
    <row r="544">
      <c r="A544" s="12" t="n">
        <v>42797</v>
      </c>
      <c r="B544" s="15" t="n">
        <v>-0.0350000113248825</v>
      </c>
      <c r="C544" s="15" t="n">
        <v>0.281100004911423</v>
      </c>
      <c r="D544" s="15" t="n">
        <v>2.29329991340637</v>
      </c>
      <c r="E544" s="15" t="n">
        <v>0.028999999165535</v>
      </c>
      <c r="F544" s="15" t="n">
        <v>0.252600014209747</v>
      </c>
      <c r="G544" s="15" t="n">
        <v>2.56839990615845</v>
      </c>
      <c r="H544" s="16">
        <f>C544+E544</f>
        <v/>
      </c>
    </row>
    <row r="545">
      <c r="A545" s="12" t="n">
        <v>42800</v>
      </c>
      <c r="B545" s="15" t="n">
        <v>-0.0326999723911285</v>
      </c>
      <c r="C545" s="15" t="n">
        <v>0.28439998626709</v>
      </c>
      <c r="D545" s="15" t="n">
        <v>2.29559993743896</v>
      </c>
      <c r="E545" s="15" t="n">
        <v>0.02960005402565</v>
      </c>
      <c r="F545" s="15" t="n">
        <v>0.262699991464615</v>
      </c>
      <c r="G545" s="15" t="n">
        <v>2.57690000534058</v>
      </c>
      <c r="H545" s="16">
        <f>C545+E545</f>
        <v/>
      </c>
    </row>
    <row r="546">
      <c r="A546" s="12" t="n">
        <v>42801</v>
      </c>
      <c r="B546" s="15" t="n">
        <v>-0.0273999869823456</v>
      </c>
      <c r="C546" s="15" t="n">
        <v>0.28099998831749</v>
      </c>
      <c r="D546" s="15" t="n">
        <v>2.29559993743896</v>
      </c>
      <c r="E546" s="15" t="n">
        <v>0.028499960899353</v>
      </c>
      <c r="F546" s="15" t="n">
        <v>0.265899986028671</v>
      </c>
      <c r="G546" s="15" t="n">
        <v>2.57769989967346</v>
      </c>
      <c r="H546" s="16">
        <f>C546+E546</f>
        <v/>
      </c>
    </row>
    <row r="547">
      <c r="A547" s="12" t="n">
        <v>42802</v>
      </c>
      <c r="B547" s="15" t="n">
        <v>-0.008499979972839361</v>
      </c>
      <c r="C547" s="15" t="n">
        <v>0.305099993944168</v>
      </c>
      <c r="D547" s="15" t="n">
        <v>2.31049990653992</v>
      </c>
      <c r="E547" s="15" t="n">
        <v>0.0340000092983246</v>
      </c>
      <c r="F547" s="15" t="n">
        <v>0.291299998760223</v>
      </c>
      <c r="G547" s="15" t="n">
        <v>2.64109992980957</v>
      </c>
      <c r="H547" s="16">
        <f>C547+E547</f>
        <v/>
      </c>
    </row>
    <row r="548">
      <c r="A548" s="12" t="n">
        <v>42803</v>
      </c>
      <c r="B548" s="15" t="n">
        <v>0.006600022315979</v>
      </c>
      <c r="C548" s="15" t="n">
        <v>0.320699989795685</v>
      </c>
      <c r="D548" s="15" t="n">
        <v>2.32100009918213</v>
      </c>
      <c r="E548" s="15" t="n">
        <v>0.0373998284339905</v>
      </c>
      <c r="F548" s="15" t="n">
        <v>0.293500006198883</v>
      </c>
      <c r="G548" s="15" t="n">
        <v>2.68569993972778</v>
      </c>
      <c r="H548" s="16">
        <f>C548+E548</f>
        <v/>
      </c>
    </row>
    <row r="549">
      <c r="A549" s="12" t="n">
        <v>42804</v>
      </c>
      <c r="B549" s="15" t="n">
        <v>0.00200000405311584</v>
      </c>
      <c r="C549" s="15" t="n">
        <v>0.312900006771088</v>
      </c>
      <c r="D549" s="15" t="n">
        <v>2.31669998168945</v>
      </c>
      <c r="E549" s="15" t="n">
        <v>0.0354000627994537</v>
      </c>
      <c r="F549" s="15" t="n">
        <v>0.284599989652634</v>
      </c>
      <c r="G549" s="15" t="n">
        <v>2.66700005531311</v>
      </c>
      <c r="H549" s="16">
        <f>C549+E549</f>
        <v/>
      </c>
    </row>
    <row r="550">
      <c r="A550" s="12" t="n">
        <v>42807</v>
      </c>
      <c r="B550" s="15" t="n">
        <v>0.017300009727478</v>
      </c>
      <c r="C550" s="15" t="n">
        <v>0.321999996900558</v>
      </c>
      <c r="D550" s="15" t="n">
        <v>2.32459998130798</v>
      </c>
      <c r="E550" s="15" t="n">
        <v>0.0370999872684479</v>
      </c>
      <c r="F550" s="15" t="n">
        <v>0.294999986886978</v>
      </c>
      <c r="G550" s="15" t="n">
        <v>2.70099997520447</v>
      </c>
      <c r="H550" s="16">
        <f>C550+E550</f>
        <v/>
      </c>
    </row>
    <row r="551">
      <c r="A551" s="12" t="n">
        <v>42808</v>
      </c>
      <c r="B551" s="15" t="n">
        <v>0.013700008392334</v>
      </c>
      <c r="C551" s="15" t="n">
        <v>0.315499991178513</v>
      </c>
      <c r="D551" s="15" t="n">
        <v>2.32100009918213</v>
      </c>
      <c r="E551" s="15" t="n">
        <v>0.0354998409748077</v>
      </c>
      <c r="F551" s="15" t="n">
        <v>0.315200001001358</v>
      </c>
      <c r="G551" s="15" t="n">
        <v>2.68569993972778</v>
      </c>
      <c r="H551" s="16">
        <f>C551+E551</f>
        <v/>
      </c>
    </row>
    <row r="552">
      <c r="A552" s="12" t="n">
        <v>42809</v>
      </c>
      <c r="B552" s="15" t="n">
        <v>-0.0233999788761139</v>
      </c>
      <c r="C552" s="15" t="n">
        <v>0.279399991035461</v>
      </c>
      <c r="D552" s="15" t="n">
        <v>2.29670000076294</v>
      </c>
      <c r="E552" s="15" t="n">
        <v>0.0274999439716339</v>
      </c>
      <c r="F552" s="15" t="n">
        <v>0.270700007677078</v>
      </c>
      <c r="G552" s="15" t="n">
        <v>2.58019995689392</v>
      </c>
      <c r="H552" s="16">
        <f>C552+E552</f>
        <v/>
      </c>
    </row>
    <row r="553">
      <c r="A553" s="12" t="n">
        <v>42810</v>
      </c>
      <c r="B553" s="15" t="n">
        <v>-0.015500009059906</v>
      </c>
      <c r="C553" s="15" t="n">
        <v>0.290100008249283</v>
      </c>
      <c r="D553" s="15" t="n">
        <v>2.30329990386963</v>
      </c>
      <c r="E553" s="15" t="n">
        <v>0.0300000011920929</v>
      </c>
      <c r="F553" s="15" t="n">
        <v>0.265300005674362</v>
      </c>
      <c r="G553" s="15" t="n">
        <v>2.6078999042511</v>
      </c>
      <c r="H553" s="16">
        <f>C553+E553</f>
        <v/>
      </c>
    </row>
    <row r="554">
      <c r="A554" s="12" t="n">
        <v>42811</v>
      </c>
      <c r="B554" s="15" t="n">
        <v>-0.025299996137619</v>
      </c>
      <c r="C554" s="15" t="n">
        <v>0.282799988985062</v>
      </c>
      <c r="D554" s="15" t="n">
        <v>2.29769992828369</v>
      </c>
      <c r="E554" s="15" t="n">
        <v>0.0285000205039978</v>
      </c>
      <c r="F554" s="15" t="n">
        <v>0.263399988412857</v>
      </c>
      <c r="G554" s="15" t="n">
        <v>2.58369994163513</v>
      </c>
      <c r="H554" s="16">
        <f>C554+E554</f>
        <v/>
      </c>
    </row>
    <row r="555">
      <c r="A555" s="12" t="n">
        <v>42814</v>
      </c>
      <c r="B555" s="15" t="n">
        <v>-0.0334999859333038</v>
      </c>
      <c r="C555" s="15" t="n">
        <v>0.268799990415573</v>
      </c>
      <c r="D555" s="15" t="n">
        <v>2.28990006446838</v>
      </c>
      <c r="E555" s="15" t="n">
        <v>0.0250998139381409</v>
      </c>
      <c r="F555" s="15" t="n">
        <v>0.259799987077713</v>
      </c>
      <c r="G555" s="15" t="n">
        <v>2.55029988288879</v>
      </c>
      <c r="H555" s="16">
        <f>C555+E555</f>
        <v/>
      </c>
    </row>
    <row r="556">
      <c r="A556" s="12" t="n">
        <v>42815</v>
      </c>
      <c r="B556" s="15" t="n">
        <v>-0.0429000109434128</v>
      </c>
      <c r="C556" s="15" t="n">
        <v>0.25220000743866</v>
      </c>
      <c r="D556" s="15" t="n">
        <v>2.28099989891052</v>
      </c>
      <c r="E556" s="15" t="n">
        <v>0.0209000557661057</v>
      </c>
      <c r="F556" s="15" t="n">
        <v>0.267800003290176</v>
      </c>
      <c r="G556" s="15" t="n">
        <v>2.51119995117188</v>
      </c>
      <c r="H556" s="16">
        <f>C556+E556</f>
        <v/>
      </c>
    </row>
    <row r="557">
      <c r="A557" s="12" t="n">
        <v>42816</v>
      </c>
      <c r="B557" s="15" t="n">
        <v>-0.050599992275238</v>
      </c>
      <c r="C557" s="15" t="n">
        <v>0.242899999022484</v>
      </c>
      <c r="D557" s="15" t="n">
        <v>2.27519989013672</v>
      </c>
      <c r="E557" s="15" t="n">
        <v>0.0188000947237015</v>
      </c>
      <c r="F557" s="15" t="n">
        <v>0.267899990081787</v>
      </c>
      <c r="G557" s="15" t="n">
        <v>2.48629999160767</v>
      </c>
      <c r="H557" s="16">
        <f>C557+E557</f>
        <v/>
      </c>
    </row>
    <row r="558">
      <c r="A558" s="12" t="n">
        <v>42817</v>
      </c>
      <c r="B558" s="15" t="n">
        <v>-0.0488999933004379</v>
      </c>
      <c r="C558" s="15" t="n">
        <v>0.245600000023842</v>
      </c>
      <c r="D558" s="15" t="n">
        <v>2.27699995040894</v>
      </c>
      <c r="E558" s="15" t="n">
        <v>0.019199937582016</v>
      </c>
      <c r="F558" s="15" t="n">
        <v>0.276199996471405</v>
      </c>
      <c r="G558" s="15" t="n">
        <v>2.49289989471436</v>
      </c>
      <c r="H558" s="16">
        <f>C558+E558</f>
        <v/>
      </c>
    </row>
    <row r="559">
      <c r="A559" s="12" t="n">
        <v>42818</v>
      </c>
      <c r="B559" s="15" t="n">
        <v>-0.0542000085115433</v>
      </c>
      <c r="C559" s="15" t="n">
        <v>0.24040000140667</v>
      </c>
      <c r="D559" s="15" t="n">
        <v>2.27329993247986</v>
      </c>
      <c r="E559" s="15" t="n">
        <v>0.0182000696659088</v>
      </c>
      <c r="F559" s="15" t="n">
        <v>0.266299992799759</v>
      </c>
      <c r="G559" s="15" t="n">
        <v>2.47769999504089</v>
      </c>
      <c r="H559" s="16">
        <f>C559+E559</f>
        <v/>
      </c>
    </row>
    <row r="560">
      <c r="A560" s="12" t="n">
        <v>42821</v>
      </c>
      <c r="B560" s="15" t="n">
        <v>-0.056999996304512</v>
      </c>
      <c r="C560" s="15" t="n">
        <v>0.231199994683266</v>
      </c>
      <c r="D560" s="15" t="n">
        <v>2.26850008964539</v>
      </c>
      <c r="E560" s="15" t="n">
        <v>0.0159998536109924</v>
      </c>
      <c r="F560" s="15" t="n">
        <v>0.266299992799759</v>
      </c>
      <c r="G560" s="15" t="n">
        <v>2.45869994163513</v>
      </c>
      <c r="H560" s="16">
        <f>C560+E560</f>
        <v/>
      </c>
    </row>
    <row r="561">
      <c r="A561" s="12" t="n">
        <v>42822</v>
      </c>
      <c r="B561" s="15" t="n">
        <v>-0.0416000038385391</v>
      </c>
      <c r="C561" s="15" t="n">
        <v>0.245600000023842</v>
      </c>
      <c r="D561" s="15" t="n">
        <v>2.27819991111755</v>
      </c>
      <c r="E561" s="15" t="n">
        <v>0.0192000865936279</v>
      </c>
      <c r="F561" s="15" t="n">
        <v>0.284599989652634</v>
      </c>
      <c r="G561" s="15" t="n">
        <v>2.50139999389648</v>
      </c>
      <c r="H561" s="16">
        <f>C561+E561</f>
        <v/>
      </c>
    </row>
    <row r="562">
      <c r="A562" s="12" t="n">
        <v>42823</v>
      </c>
      <c r="B562" s="15" t="n">
        <v>-0.0537000000476837</v>
      </c>
      <c r="C562" s="15" t="n">
        <v>0.231099992990494</v>
      </c>
      <c r="D562" s="15" t="n">
        <v>2.26909995079041</v>
      </c>
      <c r="E562" s="15" t="n">
        <v>0.0159000158309937</v>
      </c>
      <c r="F562" s="15" t="n">
        <v>0.271899998188019</v>
      </c>
      <c r="G562" s="15" t="n">
        <v>2.46239995956421</v>
      </c>
      <c r="H562" s="16">
        <f>C562+E562</f>
        <v/>
      </c>
    </row>
    <row r="563">
      <c r="A563" s="12" t="n">
        <v>42824</v>
      </c>
      <c r="B563" s="15" t="n">
        <v>-0.0433000028133392</v>
      </c>
      <c r="C563" s="15" t="n">
        <v>0.247099995613098</v>
      </c>
      <c r="D563" s="15" t="n">
        <v>2.27870011329651</v>
      </c>
      <c r="E563" s="15" t="n">
        <v>0.0194999873638153</v>
      </c>
      <c r="F563" s="15" t="n">
        <v>0.290600001811981</v>
      </c>
      <c r="G563" s="15" t="n">
        <v>2.50200009346008</v>
      </c>
      <c r="H563" s="16">
        <f>C563+E563</f>
        <v/>
      </c>
    </row>
    <row r="564">
      <c r="A564" s="12" t="n">
        <v>42825</v>
      </c>
      <c r="B564" s="15" t="n">
        <v>-0.0522000044584274</v>
      </c>
      <c r="C564" s="15" t="n">
        <v>0.237700000405312</v>
      </c>
      <c r="D564" s="15" t="n">
        <v>2.27270007133484</v>
      </c>
      <c r="E564" s="15" t="n">
        <v>0.017399936914444</v>
      </c>
      <c r="F564" s="15" t="n">
        <v>0.278899997472763</v>
      </c>
      <c r="G564" s="15" t="n">
        <v>2.47560000419617</v>
      </c>
      <c r="H564" s="16">
        <f>C564+E564</f>
        <v/>
      </c>
    </row>
    <row r="565">
      <c r="A565" s="12" t="n">
        <v>42828</v>
      </c>
      <c r="B565" s="15" t="n">
        <v>-0.0674000084400177</v>
      </c>
      <c r="C565" s="15" t="n">
        <v>0.216700002551079</v>
      </c>
      <c r="D565" s="15" t="n">
        <v>2.26029992103577</v>
      </c>
      <c r="E565" s="15" t="n">
        <v>0.0124000161886215</v>
      </c>
      <c r="F565" s="15" t="n">
        <v>0.274199992418289</v>
      </c>
      <c r="G565" s="15" t="n">
        <v>2.42199993133545</v>
      </c>
      <c r="H565" s="16">
        <f>C565+E565</f>
        <v/>
      </c>
    </row>
    <row r="566">
      <c r="A566" s="12" t="n">
        <v>42829</v>
      </c>
      <c r="B566" s="15" t="n">
        <v>-0.0647000074386597</v>
      </c>
      <c r="C566" s="15" t="n">
        <v>0.219200000166893</v>
      </c>
      <c r="D566" s="15" t="n">
        <v>2.26230001449585</v>
      </c>
      <c r="E566" s="15" t="n">
        <v>0.0127999931573868</v>
      </c>
      <c r="F566" s="15" t="n">
        <v>0.281899988651276</v>
      </c>
      <c r="G566" s="15" t="n">
        <v>2.42960000038147</v>
      </c>
      <c r="H566" s="16">
        <f>C566+E566</f>
        <v/>
      </c>
    </row>
    <row r="567">
      <c r="A567" s="12" t="n">
        <v>42830</v>
      </c>
      <c r="B567" s="15" t="n">
        <v>-0.0715999901294708</v>
      </c>
      <c r="C567" s="15" t="n">
        <v>0.209199994802475</v>
      </c>
      <c r="D567" s="15" t="n">
        <v>2.25679993629456</v>
      </c>
      <c r="E567" s="15" t="n">
        <v>0.0101999640464783</v>
      </c>
      <c r="F567" s="15" t="n">
        <v>0.261900007724762</v>
      </c>
      <c r="G567" s="15" t="n">
        <v>2.40459990501404</v>
      </c>
      <c r="H567" s="16">
        <f>C567+E567</f>
        <v/>
      </c>
    </row>
    <row r="568">
      <c r="A568" s="12" t="n">
        <v>42831</v>
      </c>
      <c r="B568" s="15" t="n">
        <v>-0.0659999996423721</v>
      </c>
      <c r="C568" s="15" t="n">
        <v>0.21340000629425</v>
      </c>
      <c r="D568" s="15" t="n">
        <v>2.26020002365112</v>
      </c>
      <c r="E568" s="15" t="n">
        <v>0.0110000520944595</v>
      </c>
      <c r="F568" s="15" t="n">
        <v>0.28150001168251</v>
      </c>
      <c r="G568" s="15" t="n">
        <v>2.41860008239746</v>
      </c>
      <c r="H568" s="16">
        <f>C568+E568</f>
        <v/>
      </c>
    </row>
    <row r="569">
      <c r="A569" s="12" t="n">
        <v>42832</v>
      </c>
      <c r="B569" s="15" t="n">
        <v>-0.0504000037908554</v>
      </c>
      <c r="C569" s="15" t="n">
        <v>0.226099997758865</v>
      </c>
      <c r="D569" s="15" t="n">
        <v>2.2688000202179</v>
      </c>
      <c r="E569" s="15" t="n">
        <v>0.0139998942613602</v>
      </c>
      <c r="F569" s="15" t="n">
        <v>0.300799995660782</v>
      </c>
      <c r="G569" s="15" t="n">
        <v>2.45849990844727</v>
      </c>
      <c r="H569" s="16">
        <f>C569+E569</f>
        <v/>
      </c>
    </row>
    <row r="570">
      <c r="A570" s="12" t="n">
        <v>42835</v>
      </c>
      <c r="B570" s="15" t="n">
        <v>-0.0538000017404556</v>
      </c>
      <c r="C570" s="15" t="n">
        <v>0.216800004243851</v>
      </c>
      <c r="D570" s="15" t="n">
        <v>2.26379990577698</v>
      </c>
      <c r="E570" s="15" t="n">
        <v>0.011800155043602</v>
      </c>
      <c r="F570" s="15" t="n">
        <v>0.308800011873245</v>
      </c>
      <c r="G570" s="15" t="n">
        <v>2.43860006332397</v>
      </c>
      <c r="H570" s="16">
        <f>C570+E570</f>
        <v/>
      </c>
    </row>
    <row r="571">
      <c r="A571" s="12" t="n">
        <v>42836</v>
      </c>
      <c r="B571" s="15" t="n">
        <v>-0.07669999450445179</v>
      </c>
      <c r="C571" s="15" t="n">
        <v>0.195999994874001</v>
      </c>
      <c r="D571" s="15" t="n">
        <v>2.24959993362427</v>
      </c>
      <c r="E571" s="15" t="n">
        <v>0.00709999352693558</v>
      </c>
      <c r="F571" s="15" t="n">
        <v>0.318500012159348</v>
      </c>
      <c r="G571" s="15" t="n">
        <v>2.37599992752075</v>
      </c>
      <c r="H571" s="16">
        <f>C571+E571</f>
        <v/>
      </c>
    </row>
    <row r="572">
      <c r="A572" s="12" t="n">
        <v>42837</v>
      </c>
      <c r="B572" s="15" t="n">
        <v>-0.083699993789196</v>
      </c>
      <c r="C572" s="15" t="n">
        <v>0.184599995613098</v>
      </c>
      <c r="D572" s="15" t="n">
        <v>2.24309992790222</v>
      </c>
      <c r="E572" s="15" t="n">
        <v>0.00440018624067307</v>
      </c>
      <c r="F572" s="15" t="n">
        <v>0.29449999332428</v>
      </c>
      <c r="G572" s="15" t="n">
        <v>2.3484001159668</v>
      </c>
      <c r="H572" s="16">
        <f>C572+E572</f>
        <v/>
      </c>
    </row>
    <row r="573">
      <c r="A573" s="12" t="n">
        <v>42838</v>
      </c>
      <c r="B573" s="15" t="n">
        <v>-0.0982999950647354</v>
      </c>
      <c r="C573" s="15" t="n">
        <v>0.168799996376038</v>
      </c>
      <c r="D573" s="15" t="n">
        <v>2.23300004005432</v>
      </c>
      <c r="E573" s="15" t="n">
        <v>0.000800028443336487</v>
      </c>
      <c r="F573" s="15" t="n">
        <v>0.274599999189377</v>
      </c>
      <c r="G573" s="15" t="n">
        <v>2.30430006980896</v>
      </c>
      <c r="H573" s="16">
        <f>C573+E573</f>
        <v/>
      </c>
    </row>
    <row r="574">
      <c r="A574" s="12" t="n">
        <v>42842</v>
      </c>
      <c r="B574" s="15" t="n">
        <v>-0.0891000032424927</v>
      </c>
      <c r="C574" s="15" t="n">
        <v>0.182500004768372</v>
      </c>
      <c r="D574" s="15" t="n">
        <v>2.24169993400574</v>
      </c>
      <c r="E574" s="15" t="n">
        <v>0.0038001537322998</v>
      </c>
      <c r="F574" s="15" t="n">
        <v>0.325100004673004</v>
      </c>
      <c r="G574" s="15" t="n">
        <v>2.33890008926392</v>
      </c>
      <c r="H574" s="16">
        <f>C574+E574</f>
        <v/>
      </c>
    </row>
    <row r="575">
      <c r="A575" s="12" t="n">
        <v>42843</v>
      </c>
      <c r="B575" s="15" t="n">
        <v>-0.115200001746416</v>
      </c>
      <c r="C575" s="15" t="n">
        <v>0.149700000882149</v>
      </c>
      <c r="D575" s="15" t="n">
        <v>2.22140002250671</v>
      </c>
      <c r="E575" s="15" t="n">
        <v>-0.00380003079771996</v>
      </c>
      <c r="F575" s="15" t="n">
        <v>0.336899995803833</v>
      </c>
      <c r="G575" s="15" t="n">
        <v>2.25209999084473</v>
      </c>
      <c r="H575" s="16">
        <f>C575+E575</f>
        <v/>
      </c>
    </row>
    <row r="576">
      <c r="A576" s="12" t="n">
        <v>42844</v>
      </c>
      <c r="B576" s="15" t="n">
        <v>-0.105100002139807</v>
      </c>
      <c r="C576" s="15" t="n">
        <v>0.161200001835823</v>
      </c>
      <c r="D576" s="15" t="n">
        <v>2.22880005836487</v>
      </c>
      <c r="E576" s="15" t="n">
        <v>-0.00120006874203682</v>
      </c>
      <c r="F576" s="15" t="n">
        <v>0.343800008296967</v>
      </c>
      <c r="G576" s="15" t="n">
        <v>2.28369998931885</v>
      </c>
      <c r="H576" s="16">
        <f>C576+E576</f>
        <v/>
      </c>
    </row>
    <row r="577">
      <c r="A577" s="12" t="n">
        <v>42845</v>
      </c>
      <c r="B577" s="15" t="n">
        <v>-0.09699999541044239</v>
      </c>
      <c r="C577" s="15" t="n">
        <v>0.173199996352196</v>
      </c>
      <c r="D577" s="15" t="n">
        <v>2.23569989204407</v>
      </c>
      <c r="E577" s="15" t="n">
        <v>0.00170017033815384</v>
      </c>
      <c r="F577" s="15" t="n">
        <v>0.336699992418289</v>
      </c>
      <c r="G577" s="15" t="n">
        <v>2.31360006332397</v>
      </c>
      <c r="H577" s="16">
        <f>C577+E577</f>
        <v/>
      </c>
    </row>
    <row r="578">
      <c r="A578" s="12" t="n">
        <v>42846</v>
      </c>
      <c r="B578" s="15" t="n">
        <v>-0.100400000810623</v>
      </c>
      <c r="C578" s="15" t="n">
        <v>0.173600003123283</v>
      </c>
      <c r="D578" s="15" t="n">
        <v>2.23510003089905</v>
      </c>
      <c r="E578" s="15" t="n">
        <v>0.00189994275569916</v>
      </c>
      <c r="F578" s="15" t="n">
        <v>0.353399991989136</v>
      </c>
      <c r="G578" s="15" t="n">
        <v>2.31019997596741</v>
      </c>
      <c r="H578" s="16">
        <f>C578+E578</f>
        <v/>
      </c>
    </row>
    <row r="579">
      <c r="A579" s="12" t="n">
        <v>42849</v>
      </c>
      <c r="B579" s="15" t="n">
        <v>-0.0834999978542328</v>
      </c>
      <c r="C579" s="15" t="n">
        <v>0.183899998664856</v>
      </c>
      <c r="D579" s="15" t="n">
        <v>2.24349999427795</v>
      </c>
      <c r="E579" s="15" t="n">
        <v>0.00399991869926453</v>
      </c>
      <c r="F579" s="15" t="n">
        <v>0.342799991369247</v>
      </c>
      <c r="G579" s="15" t="n">
        <v>2.34789991378784</v>
      </c>
      <c r="H579" s="16">
        <f>C579+E579</f>
        <v/>
      </c>
    </row>
    <row r="580">
      <c r="A580" s="12" t="n">
        <v>42850</v>
      </c>
      <c r="B580" s="15" t="n">
        <v>-0.0614000111818314</v>
      </c>
      <c r="C580" s="15" t="n">
        <v>0.204500004649162</v>
      </c>
      <c r="D580" s="15" t="n">
        <v>2.2574999332428</v>
      </c>
      <c r="E580" s="15" t="n">
        <v>0.00850012898445129</v>
      </c>
      <c r="F580" s="15" t="n">
        <v>0.329499989748001</v>
      </c>
      <c r="G580" s="15" t="n">
        <v>2.40910005569458</v>
      </c>
      <c r="H580" s="16">
        <f>C580+E580</f>
        <v/>
      </c>
    </row>
    <row r="581">
      <c r="A581" s="12" t="n">
        <v>42851</v>
      </c>
      <c r="B581" s="15" t="n">
        <v>-0.06790000200271611</v>
      </c>
      <c r="C581" s="15" t="n">
        <v>0.194499999284744</v>
      </c>
      <c r="D581" s="15" t="n">
        <v>2.25180006027222</v>
      </c>
      <c r="E581" s="15" t="n">
        <v>0.00599983334541321</v>
      </c>
      <c r="F581" s="15" t="n">
        <v>0.327899992465973</v>
      </c>
      <c r="G581" s="15" t="n">
        <v>2.38439989089966</v>
      </c>
      <c r="H581" s="16">
        <f>C581+E581</f>
        <v/>
      </c>
    </row>
    <row r="582">
      <c r="A582" s="12" t="n">
        <v>42852</v>
      </c>
      <c r="B582" s="15" t="n">
        <v>-0.07529999315738679</v>
      </c>
      <c r="C582" s="15" t="n">
        <v>0.187999993562698</v>
      </c>
      <c r="D582" s="15" t="n">
        <v>2.2474000453949</v>
      </c>
      <c r="E582" s="15" t="n">
        <v>0.00460003316402435</v>
      </c>
      <c r="F582" s="15" t="n">
        <v>0.318199992179871</v>
      </c>
      <c r="G582" s="15" t="n">
        <v>2.36470007896423</v>
      </c>
      <c r="H582" s="16">
        <f>C582+E582</f>
        <v/>
      </c>
    </row>
    <row r="583">
      <c r="A583" s="12" t="n">
        <v>42853</v>
      </c>
      <c r="B583" s="15" t="n">
        <v>-0.0756999924778938</v>
      </c>
      <c r="C583" s="15" t="n">
        <v>0.18359999358654</v>
      </c>
      <c r="D583" s="15" t="n">
        <v>2.24530005455017</v>
      </c>
      <c r="E583" s="15" t="n">
        <v>0.00349988788366318</v>
      </c>
      <c r="F583" s="15" t="n">
        <v>0.305400013923645</v>
      </c>
      <c r="G583" s="15" t="n">
        <v>2.35669994354248</v>
      </c>
      <c r="H583" s="16">
        <f>C583+E583</f>
        <v/>
      </c>
    </row>
    <row r="584">
      <c r="A584" s="12" t="n">
        <v>42856</v>
      </c>
      <c r="B584" s="15" t="n">
        <v>-0.0657000094652176</v>
      </c>
      <c r="C584" s="15" t="n">
        <v>0.199100002646446</v>
      </c>
      <c r="D584" s="15" t="n">
        <v>2.25460004806519</v>
      </c>
      <c r="E584" s="15" t="n">
        <v>0.00710007548332214</v>
      </c>
      <c r="F584" s="15" t="n">
        <v>0.323100000619888</v>
      </c>
      <c r="G584" s="15" t="n">
        <v>2.39510011672974</v>
      </c>
      <c r="H584" s="16">
        <f>C584+E584</f>
        <v/>
      </c>
    </row>
    <row r="585">
      <c r="A585" s="12" t="n">
        <v>42857</v>
      </c>
      <c r="B585" s="15" t="n">
        <v>-0.0747000053524971</v>
      </c>
      <c r="C585" s="15" t="n">
        <v>0.186800003051758</v>
      </c>
      <c r="D585" s="15" t="n">
        <v>2.24729990959167</v>
      </c>
      <c r="E585" s="15" t="n">
        <v>0.00420010834932327</v>
      </c>
      <c r="F585" s="15" t="n">
        <v>0.340999990701675</v>
      </c>
      <c r="G585" s="15" t="n">
        <v>2.36360001564026</v>
      </c>
      <c r="H585" s="16">
        <f>C585+E585</f>
        <v/>
      </c>
    </row>
    <row r="586">
      <c r="A586" s="12" t="n">
        <v>42858</v>
      </c>
      <c r="B586" s="15" t="n">
        <v>-0.0602999925613403</v>
      </c>
      <c r="C586" s="15" t="n">
        <v>0.199799999594688</v>
      </c>
      <c r="D586" s="15" t="n">
        <v>2.25609993934631</v>
      </c>
      <c r="E586" s="15" t="n">
        <v>0.00710000097751617</v>
      </c>
      <c r="F586" s="15" t="n">
        <v>0.359100013971329</v>
      </c>
      <c r="G586" s="15" t="n">
        <v>2.40269994735718</v>
      </c>
      <c r="H586" s="16">
        <f>C586+E586</f>
        <v/>
      </c>
    </row>
    <row r="587">
      <c r="A587" s="12" t="n">
        <v>42859</v>
      </c>
      <c r="B587" s="15" t="n">
        <v>-0.0507999956607819</v>
      </c>
      <c r="C587" s="15" t="n">
        <v>0.211899995803833</v>
      </c>
      <c r="D587" s="15" t="n">
        <v>2.26360011100769</v>
      </c>
      <c r="E587" s="15" t="n">
        <v>0.00990000367164612</v>
      </c>
      <c r="F587" s="15" t="n">
        <v>0.382299989461899</v>
      </c>
      <c r="G587" s="15" t="n">
        <v>2.43460011482239</v>
      </c>
      <c r="H587" s="16">
        <f>C587+E587</f>
        <v/>
      </c>
    </row>
    <row r="588">
      <c r="A588" s="12" t="n">
        <v>42860</v>
      </c>
      <c r="B588" s="15" t="n">
        <v>-0.0511999875307083</v>
      </c>
      <c r="C588" s="15" t="n">
        <v>0.208199992775917</v>
      </c>
      <c r="D588" s="15" t="n">
        <v>2.26169991493225</v>
      </c>
      <c r="E588" s="15" t="n">
        <v>0.00900012254714966</v>
      </c>
      <c r="F588" s="15" t="n">
        <v>0.379999995231628</v>
      </c>
      <c r="G588" s="15" t="n">
        <v>2.42770004272461</v>
      </c>
      <c r="H588" s="16">
        <f>C588+E588</f>
        <v/>
      </c>
    </row>
    <row r="589">
      <c r="A589" s="12" t="n">
        <v>42863</v>
      </c>
      <c r="B589" s="15" t="n">
        <v>-0.0411000102758408</v>
      </c>
      <c r="C589" s="15" t="n">
        <v>0.218500003218651</v>
      </c>
      <c r="D589" s="15" t="n">
        <v>2.26869988441467</v>
      </c>
      <c r="E589" s="15" t="n">
        <v>0.0112000703811646</v>
      </c>
      <c r="F589" s="15" t="n">
        <v>0.386000007390976</v>
      </c>
      <c r="G589" s="15" t="n">
        <v>2.45729994773865</v>
      </c>
      <c r="H589" s="16">
        <f>C589+E589</f>
        <v/>
      </c>
    </row>
    <row r="590">
      <c r="A590" s="12" t="n">
        <v>42864</v>
      </c>
      <c r="B590" s="15" t="n">
        <v>-0.0296999961137772</v>
      </c>
      <c r="C590" s="15" t="n">
        <v>0.226999998092651</v>
      </c>
      <c r="D590" s="15" t="n">
        <v>2.27509999275208</v>
      </c>
      <c r="E590" s="15" t="n">
        <v>0.0129999667406082</v>
      </c>
      <c r="F590" s="15" t="n">
        <v>0.395099997520447</v>
      </c>
      <c r="G590" s="15" t="n">
        <v>2.48539996147156</v>
      </c>
      <c r="H590" s="16">
        <f>C590+E590</f>
        <v/>
      </c>
    </row>
    <row r="591">
      <c r="A591" s="12" t="n">
        <v>42865</v>
      </c>
      <c r="B591" s="15" t="n">
        <v>-0.0294999927282333</v>
      </c>
      <c r="C591" s="15" t="n">
        <v>0.226799994707108</v>
      </c>
      <c r="D591" s="15" t="n">
        <v>2.27500009536743</v>
      </c>
      <c r="E591" s="15" t="n">
        <v>0.0128998309373856</v>
      </c>
      <c r="F591" s="15" t="n">
        <v>0.381000012159348</v>
      </c>
      <c r="G591" s="15" t="n">
        <v>2.48519992828369</v>
      </c>
      <c r="H591" s="16">
        <f>C591+E591</f>
        <v/>
      </c>
    </row>
    <row r="592">
      <c r="A592" s="12" t="n">
        <v>42866</v>
      </c>
      <c r="B592" s="15" t="n">
        <v>-0.0351999998092651</v>
      </c>
      <c r="C592" s="15" t="n">
        <v>0.219799995422363</v>
      </c>
      <c r="D592" s="15" t="n">
        <v>2.27069997787476</v>
      </c>
      <c r="E592" s="15" t="n">
        <v>0.0112999677658081</v>
      </c>
      <c r="F592" s="15" t="n">
        <v>0.345600008964539</v>
      </c>
      <c r="G592" s="15" t="n">
        <v>2.46659994125366</v>
      </c>
      <c r="H592" s="16">
        <f>C592+E592</f>
        <v/>
      </c>
    </row>
    <row r="593">
      <c r="A593" s="12" t="n">
        <v>42867</v>
      </c>
      <c r="B593" s="15" t="n">
        <v>-0.0549000054597855</v>
      </c>
      <c r="C593" s="15" t="n">
        <v>0.200900003314018</v>
      </c>
      <c r="D593" s="15" t="n">
        <v>2.25850009918213</v>
      </c>
      <c r="E593" s="15" t="n">
        <v>0.00689998269081116</v>
      </c>
      <c r="F593" s="15" t="n">
        <v>0.366899996995926</v>
      </c>
      <c r="G593" s="15" t="n">
        <v>2.41140007972717</v>
      </c>
      <c r="H593" s="16">
        <f>C593+E593</f>
        <v/>
      </c>
    </row>
    <row r="594">
      <c r="A594" s="12" t="n">
        <v>42870</v>
      </c>
      <c r="B594" s="15" t="n">
        <v>-0.0520000010728836</v>
      </c>
      <c r="C594" s="15" t="n">
        <v>0.207000002264977</v>
      </c>
      <c r="D594" s="15" t="n">
        <v>2.26209998130798</v>
      </c>
      <c r="E594" s="15" t="n">
        <v>0.00819990038871765</v>
      </c>
      <c r="F594" s="15" t="n">
        <v>0.383799999952316</v>
      </c>
      <c r="G594" s="15" t="n">
        <v>2.42529988288879</v>
      </c>
      <c r="H594" s="16">
        <f>C594+E594</f>
        <v/>
      </c>
    </row>
    <row r="595">
      <c r="A595" s="12" t="n">
        <v>42871</v>
      </c>
      <c r="B595" s="15" t="n">
        <v>-0.0539999902248383</v>
      </c>
      <c r="C595" s="15" t="n">
        <v>0.199599996209145</v>
      </c>
      <c r="D595" s="15" t="n">
        <v>2.25850009918213</v>
      </c>
      <c r="E595" s="15" t="n">
        <v>0.00639994442462921</v>
      </c>
      <c r="F595" s="15" t="n">
        <v>0.38850000500679</v>
      </c>
      <c r="G595" s="15" t="n">
        <v>2.41050004959106</v>
      </c>
      <c r="H595" s="16">
        <f>C595+E595</f>
        <v/>
      </c>
    </row>
    <row r="596">
      <c r="A596" s="12" t="n">
        <v>42872</v>
      </c>
      <c r="B596" s="15" t="n">
        <v>-0.08890000730752939</v>
      </c>
      <c r="C596" s="15" t="n">
        <v>0.164000004529953</v>
      </c>
      <c r="D596" s="15" t="n">
        <v>2.23460006713867</v>
      </c>
      <c r="E596" s="15" t="n">
        <v>-0.00150018185377121</v>
      </c>
      <c r="F596" s="15" t="n">
        <v>0.387699991464615</v>
      </c>
      <c r="G596" s="15" t="n">
        <v>2.30819988250732</v>
      </c>
      <c r="H596" s="16">
        <f>C596+E596</f>
        <v/>
      </c>
    </row>
    <row r="597">
      <c r="A597" s="12" t="n">
        <v>42873</v>
      </c>
      <c r="B597" s="15" t="n">
        <v>-0.085099995136261</v>
      </c>
      <c r="C597" s="15" t="n">
        <v>0.161799997091293</v>
      </c>
      <c r="D597" s="15" t="n">
        <v>2.23429989814758</v>
      </c>
      <c r="E597" s="15" t="n">
        <v>-0.00209978222846985</v>
      </c>
      <c r="F597" s="15" t="n">
        <v>0.375</v>
      </c>
      <c r="G597" s="15" t="n">
        <v>2.30890011787415</v>
      </c>
      <c r="H597" s="16">
        <f>C597+E597</f>
        <v/>
      </c>
    </row>
    <row r="598">
      <c r="A598" s="12" t="n">
        <v>42874</v>
      </c>
      <c r="B598" s="15" t="n">
        <v>-0.0827000066637993</v>
      </c>
      <c r="C598" s="15" t="n">
        <v>0.160400003194809</v>
      </c>
      <c r="D598" s="15" t="n">
        <v>2.23399996757507</v>
      </c>
      <c r="E598" s="15" t="n">
        <v>-0.00240001827478409</v>
      </c>
      <c r="F598" s="15" t="n">
        <v>0.358799993991852</v>
      </c>
      <c r="G598" s="15" t="n">
        <v>2.3092999458313</v>
      </c>
      <c r="H598" s="16">
        <f>C598+E598</f>
        <v/>
      </c>
    </row>
    <row r="599">
      <c r="A599" s="12" t="n">
        <v>42877</v>
      </c>
      <c r="B599" s="15" t="n">
        <v>-0.0760999992489815</v>
      </c>
      <c r="C599" s="15" t="n">
        <v>0.163800001144409</v>
      </c>
      <c r="D599" s="15" t="n">
        <v>2.23729991912842</v>
      </c>
      <c r="E599" s="15" t="n">
        <v>-0.0018998309969902</v>
      </c>
      <c r="F599" s="15" t="n">
        <v>0.364800006151199</v>
      </c>
      <c r="G599" s="15" t="n">
        <v>2.32310009002686</v>
      </c>
      <c r="H599" s="16">
        <f>C599+E599</f>
        <v/>
      </c>
    </row>
    <row r="600">
      <c r="A600" s="12" t="n">
        <v>42878</v>
      </c>
      <c r="B600" s="15" t="n">
        <v>-0.0608000010251999</v>
      </c>
      <c r="C600" s="15" t="n">
        <v>0.174300000071526</v>
      </c>
      <c r="D600" s="15" t="n">
        <v>2.24550008773804</v>
      </c>
      <c r="E600" s="15" t="n">
        <v>0.00019991397857666</v>
      </c>
      <c r="F600" s="15" t="n">
        <v>0.363000005483627</v>
      </c>
      <c r="G600" s="15" t="n">
        <v>2.35920000076294</v>
      </c>
      <c r="H600" s="16">
        <f>C600+E600</f>
        <v/>
      </c>
    </row>
    <row r="601">
      <c r="A601" s="12" t="n">
        <v>42879</v>
      </c>
      <c r="B601" s="15" t="n">
        <v>-0.0702999979257584</v>
      </c>
      <c r="C601" s="15" t="n">
        <v>0.164599999785423</v>
      </c>
      <c r="D601" s="15" t="n">
        <v>2.23920011520386</v>
      </c>
      <c r="E601" s="15" t="n">
        <v>-0.00200006365776062</v>
      </c>
      <c r="F601" s="15" t="n">
        <v>0.37169998884201</v>
      </c>
      <c r="G601" s="15" t="n">
        <v>2.33150005340576</v>
      </c>
      <c r="H601" s="16">
        <f>C601+E601</f>
        <v/>
      </c>
    </row>
    <row r="602">
      <c r="A602" s="12" t="n">
        <v>42880</v>
      </c>
      <c r="B602" s="15" t="n">
        <v>-0.0719000026583672</v>
      </c>
      <c r="C602" s="15" t="n">
        <v>0.160300001502037</v>
      </c>
      <c r="D602" s="15" t="n">
        <v>2.23699998855591</v>
      </c>
      <c r="E602" s="15" t="n">
        <v>-0.00310003012418747</v>
      </c>
      <c r="F602" s="15" t="n">
        <v>0.380199998617172</v>
      </c>
      <c r="G602" s="15" t="n">
        <v>2.32229995727539</v>
      </c>
      <c r="H602" s="16">
        <f>C602+E602</f>
        <v/>
      </c>
    </row>
    <row r="603">
      <c r="A603" s="12" t="n">
        <v>42881</v>
      </c>
      <c r="B603" s="15" t="n">
        <v>-0.07150000333786009</v>
      </c>
      <c r="C603" s="15" t="n">
        <v>0.159400001168251</v>
      </c>
      <c r="D603" s="15" t="n">
        <v>2.2367000579834</v>
      </c>
      <c r="E603" s="15" t="n">
        <v>-0.00340016186237335</v>
      </c>
      <c r="F603" s="15" t="n">
        <v>0.374099999666214</v>
      </c>
      <c r="G603" s="15" t="n">
        <v>2.32119989395142</v>
      </c>
      <c r="H603" s="16">
        <f>C603+E603</f>
        <v/>
      </c>
    </row>
    <row r="604">
      <c r="A604" s="12" t="n">
        <v>42885</v>
      </c>
      <c r="B604" s="15" t="n">
        <v>-0.0844000056385994</v>
      </c>
      <c r="C604" s="15" t="n">
        <v>0.144800007343292</v>
      </c>
      <c r="D604" s="15" t="n">
        <v>2.22709989547729</v>
      </c>
      <c r="E604" s="15" t="n">
        <v>-0.0064999982714653</v>
      </c>
      <c r="F604" s="15" t="n">
        <v>0.361299991607666</v>
      </c>
      <c r="G604" s="15" t="n">
        <v>2.28099989891052</v>
      </c>
      <c r="H604" s="16">
        <f>C604+E604</f>
        <v/>
      </c>
    </row>
    <row r="605">
      <c r="A605" s="12" t="n">
        <v>42886</v>
      </c>
      <c r="B605" s="15" t="n">
        <v>-0.0843999981880188</v>
      </c>
      <c r="C605" s="15" t="n">
        <v>0.141699999570847</v>
      </c>
      <c r="D605" s="15" t="n">
        <v>2.22580003738403</v>
      </c>
      <c r="E605" s="15" t="n">
        <v>-0.00750008225440979</v>
      </c>
      <c r="F605" s="15" t="n">
        <v>0.362100005149841</v>
      </c>
      <c r="G605" s="15" t="n">
        <v>2.27559995651245</v>
      </c>
      <c r="H605" s="16">
        <f>C605+E605</f>
        <v/>
      </c>
    </row>
    <row r="606">
      <c r="A606" s="12" t="n">
        <v>42887</v>
      </c>
      <c r="B606" s="15" t="n">
        <v>-0.08339999243617061</v>
      </c>
      <c r="C606" s="15" t="n">
        <v>0.143999993801117</v>
      </c>
      <c r="D606" s="15" t="n">
        <v>2.22679996490479</v>
      </c>
      <c r="E606" s="15" t="n">
        <v>-0.00669999793171883</v>
      </c>
      <c r="F606" s="15" t="n">
        <v>0.356000006198883</v>
      </c>
      <c r="G606" s="15" t="n">
        <v>2.28069996833801</v>
      </c>
      <c r="H606" s="16">
        <f>C606+E606</f>
        <v/>
      </c>
    </row>
    <row r="607">
      <c r="A607" s="12" t="n">
        <v>42888</v>
      </c>
      <c r="B607" s="15" t="n">
        <v>-0.102700000628829</v>
      </c>
      <c r="C607" s="15" t="n">
        <v>0.120600000023842</v>
      </c>
      <c r="D607" s="15" t="n">
        <v>2.21169996261597</v>
      </c>
      <c r="E607" s="15" t="n">
        <v>-0.0118999574333429</v>
      </c>
      <c r="F607" s="15" t="n">
        <v>0.351200014352798</v>
      </c>
      <c r="G607" s="15" t="n">
        <v>2.21770000457764</v>
      </c>
      <c r="H607" s="16">
        <f>C607+E607</f>
        <v/>
      </c>
    </row>
    <row r="608">
      <c r="A608" s="12" t="n">
        <v>42891</v>
      </c>
      <c r="B608" s="15" t="n">
        <v>-0.0946000032126904</v>
      </c>
      <c r="C608" s="15" t="n">
        <v>0.130400002002716</v>
      </c>
      <c r="D608" s="15" t="n">
        <v>2.21779990196228</v>
      </c>
      <c r="E608" s="15" t="n">
        <v>-0.00959994271397591</v>
      </c>
      <c r="F608" s="15" t="n">
        <v>0.359100013971329</v>
      </c>
      <c r="G608" s="15" t="n">
        <v>2.24399995803833</v>
      </c>
      <c r="H608" s="16">
        <f>C608+E608</f>
        <v/>
      </c>
    </row>
    <row r="609">
      <c r="A609" s="12" t="n">
        <v>42892</v>
      </c>
      <c r="B609" s="15" t="n">
        <v>-0.103499999269843</v>
      </c>
      <c r="C609" s="15" t="n">
        <v>0.114399999380112</v>
      </c>
      <c r="D609" s="15" t="n">
        <v>2.20869994163513</v>
      </c>
      <c r="E609" s="15" t="n">
        <v>-0.0134000573307276</v>
      </c>
      <c r="F609" s="15" t="n">
        <v>0.360300004482269</v>
      </c>
      <c r="G609" s="15" t="n">
        <v>2.20619988441467</v>
      </c>
      <c r="H609" s="16">
        <f>C609+E609</f>
        <v/>
      </c>
    </row>
    <row r="610">
      <c r="A610" s="12" t="n">
        <v>42893</v>
      </c>
      <c r="B610" s="15" t="n">
        <v>-0.09209999442100519</v>
      </c>
      <c r="C610" s="15" t="n">
        <v>0.12389999628067</v>
      </c>
      <c r="D610" s="15" t="n">
        <v>2.21550011634827</v>
      </c>
      <c r="E610" s="15" t="n">
        <v>-0.0114001929759979</v>
      </c>
      <c r="F610" s="15" t="n">
        <v>0.375699996948242</v>
      </c>
      <c r="G610" s="15" t="n">
        <v>2.23589992523193</v>
      </c>
      <c r="H610" s="16">
        <f>C610+E610</f>
        <v/>
      </c>
    </row>
    <row r="611">
      <c r="A611" s="12" t="n">
        <v>42894</v>
      </c>
      <c r="B611" s="15" t="n">
        <v>-0.08559999614953991</v>
      </c>
      <c r="C611" s="15" t="n">
        <v>0.126599997282028</v>
      </c>
      <c r="D611" s="15" t="n">
        <v>2.21819996833801</v>
      </c>
      <c r="E611" s="15" t="n">
        <v>-0.0110000297427177</v>
      </c>
      <c r="F611" s="15" t="n">
        <v>0.376300007104874</v>
      </c>
      <c r="G611" s="15" t="n">
        <v>2.24819993972778</v>
      </c>
      <c r="H611" s="16">
        <f>C611+E611</f>
        <v/>
      </c>
    </row>
    <row r="612">
      <c r="A612" s="12" t="n">
        <v>42895</v>
      </c>
      <c r="B612" s="15" t="n">
        <v>-0.07749999687075609</v>
      </c>
      <c r="C612" s="15" t="n">
        <v>0.130199998617172</v>
      </c>
      <c r="D612" s="15" t="n">
        <v>2.22160005569458</v>
      </c>
      <c r="E612" s="15" t="n">
        <v>-0.0103001184761524</v>
      </c>
      <c r="F612" s="15" t="n">
        <v>0.381199985742569</v>
      </c>
      <c r="G612" s="15" t="n">
        <v>2.26399993896484</v>
      </c>
      <c r="H612" s="16">
        <f>C612+E612</f>
        <v/>
      </c>
    </row>
    <row r="613">
      <c r="A613" s="12" t="n">
        <v>42898</v>
      </c>
      <c r="B613" s="15" t="n">
        <v>-0.0801999978721142</v>
      </c>
      <c r="C613" s="15" t="n">
        <v>0.135499998927116</v>
      </c>
      <c r="D613" s="15" t="n">
        <v>2.22300004959106</v>
      </c>
      <c r="E613" s="15" t="n">
        <v>-0.008700136095285421</v>
      </c>
      <c r="F613" s="15" t="n">
        <v>0.402700006961823</v>
      </c>
      <c r="G613" s="15" t="n">
        <v>2.26959991455078</v>
      </c>
      <c r="H613" s="16">
        <f>C613+E613</f>
        <v/>
      </c>
    </row>
    <row r="614">
      <c r="A614" s="12" t="n">
        <v>42899</v>
      </c>
      <c r="B614" s="15" t="n">
        <v>-0.0776000060141087</v>
      </c>
      <c r="C614" s="15" t="n">
        <v>0.131500005722046</v>
      </c>
      <c r="D614" s="15" t="n">
        <v>2.22169995307922</v>
      </c>
      <c r="E614" s="15" t="n">
        <v>-0.00979995355010033</v>
      </c>
      <c r="F614" s="15" t="n">
        <v>0.40200001001358</v>
      </c>
      <c r="G614" s="15" t="n">
        <v>2.26579999923706</v>
      </c>
      <c r="H614" s="16">
        <f>C614+E614</f>
        <v/>
      </c>
    </row>
    <row r="615">
      <c r="A615" s="12" t="n">
        <v>42900</v>
      </c>
      <c r="B615" s="15" t="n">
        <v>-0.09340000152587891</v>
      </c>
      <c r="C615" s="15" t="n">
        <v>0.109200000762939</v>
      </c>
      <c r="D615" s="15" t="n">
        <v>2.20799994468689</v>
      </c>
      <c r="E615" s="15" t="n">
        <v>-0.0148999691009521</v>
      </c>
      <c r="F615" s="15" t="n">
        <v>0.43979999423027</v>
      </c>
      <c r="G615" s="15" t="n">
        <v>2.208899974823</v>
      </c>
      <c r="H615" s="16">
        <f>C615+E615</f>
        <v/>
      </c>
    </row>
    <row r="616">
      <c r="A616" s="12" t="n">
        <v>42901</v>
      </c>
      <c r="B616" s="15" t="n">
        <v>-0.08829999715089799</v>
      </c>
      <c r="C616" s="15" t="n">
        <v>0.111199997365475</v>
      </c>
      <c r="D616" s="15" t="n">
        <v>2.20989990234375</v>
      </c>
      <c r="E616" s="15" t="n">
        <v>-0.0144997984170914</v>
      </c>
      <c r="F616" s="15" t="n">
        <v>0.470699995756149</v>
      </c>
      <c r="G616" s="15" t="n">
        <v>2.21830010414124</v>
      </c>
      <c r="H616" s="16">
        <f>C616+E616</f>
        <v/>
      </c>
    </row>
    <row r="617">
      <c r="A617" s="12" t="n">
        <v>42902</v>
      </c>
      <c r="B617" s="15" t="n">
        <v>-0.0925999972969294</v>
      </c>
      <c r="C617" s="15" t="n">
        <v>0.105899997055531</v>
      </c>
      <c r="D617" s="15" t="n">
        <v>2.20659995079041</v>
      </c>
      <c r="E617" s="15" t="n">
        <v>-0.0156999211758375</v>
      </c>
      <c r="F617" s="15" t="n">
        <v>0.472200006246567</v>
      </c>
      <c r="G617" s="15" t="n">
        <v>2.20420002937317</v>
      </c>
      <c r="H617" s="16">
        <f>C617+E617</f>
        <v/>
      </c>
    </row>
    <row r="618">
      <c r="A618" s="12" t="n">
        <v>42905</v>
      </c>
      <c r="B618" s="15" t="n">
        <v>-0.08020000159740449</v>
      </c>
      <c r="C618" s="15" t="n">
        <v>0.118600003421307</v>
      </c>
      <c r="D618" s="15" t="n">
        <v>2.21460008621216</v>
      </c>
      <c r="E618" s="15" t="n">
        <v>-0.0127001479268074</v>
      </c>
      <c r="F618" s="15" t="n">
        <v>0.482400000095367</v>
      </c>
      <c r="G618" s="15" t="n">
        <v>2.24029994010925</v>
      </c>
      <c r="H618" s="16">
        <f>C618+E618</f>
        <v/>
      </c>
    </row>
    <row r="619">
      <c r="A619" s="12" t="n">
        <v>42906</v>
      </c>
      <c r="B619" s="15" t="n">
        <v>-0.0893000001087785</v>
      </c>
      <c r="C619" s="15" t="n">
        <v>0.104299999773502</v>
      </c>
      <c r="D619" s="15" t="n">
        <v>2.20589995384216</v>
      </c>
      <c r="E619" s="15" t="n">
        <v>-0.0157998939976096</v>
      </c>
      <c r="F619" s="15" t="n">
        <v>0.48989999294281</v>
      </c>
      <c r="G619" s="15" t="n">
        <v>2.20510005950928</v>
      </c>
      <c r="H619" s="16">
        <f>C619+E619</f>
        <v/>
      </c>
    </row>
    <row r="620">
      <c r="A620" s="12" t="n">
        <v>42907</v>
      </c>
      <c r="B620" s="15" t="n">
        <v>-0.090700002387166</v>
      </c>
      <c r="C620" s="15" t="n">
        <v>0.105800002813339</v>
      </c>
      <c r="D620" s="15" t="n">
        <v>2.20589995384216</v>
      </c>
      <c r="E620" s="15" t="n">
        <v>-0.0151998978108168</v>
      </c>
      <c r="F620" s="15" t="n">
        <v>0.488999992609024</v>
      </c>
      <c r="G620" s="15" t="n">
        <v>2.20580005645752</v>
      </c>
      <c r="H620" s="16">
        <f>C620+E620</f>
        <v/>
      </c>
    </row>
    <row r="621">
      <c r="A621" s="12" t="n">
        <v>42908</v>
      </c>
      <c r="B621" s="15" t="n">
        <v>-0.09879999700933691</v>
      </c>
      <c r="C621" s="15" t="n">
        <v>0.101499997079372</v>
      </c>
      <c r="D621" s="15" t="n">
        <v>2.20190000534058</v>
      </c>
      <c r="E621" s="15" t="n">
        <v>-0.015999942086637</v>
      </c>
      <c r="F621" s="15" t="n">
        <v>0.460999995470047</v>
      </c>
      <c r="G621" s="15" t="n">
        <v>2.18860006332397</v>
      </c>
      <c r="H621" s="16">
        <f>C621+E621</f>
        <v/>
      </c>
    </row>
    <row r="622">
      <c r="A622" s="12" t="n">
        <v>42909</v>
      </c>
      <c r="B622" s="15" t="n">
        <v>-0.0988999968394637</v>
      </c>
      <c r="C622" s="15" t="n">
        <v>0.102799996733665</v>
      </c>
      <c r="D622" s="15" t="n">
        <v>2.20250010490417</v>
      </c>
      <c r="E622" s="15" t="n">
        <v>-0.0157000506296754</v>
      </c>
      <c r="F622" s="15" t="n">
        <v>0.451700001955032</v>
      </c>
      <c r="G622" s="15" t="n">
        <v>2.1907000541687</v>
      </c>
      <c r="H622" s="16">
        <f>C622+E622</f>
        <v/>
      </c>
    </row>
    <row r="623">
      <c r="A623" s="12" t="n">
        <v>42912</v>
      </c>
      <c r="B623" s="15" t="n">
        <v>-0.100699997448828</v>
      </c>
      <c r="C623" s="15" t="n">
        <v>0.100199997425079</v>
      </c>
      <c r="D623" s="15" t="n">
        <v>2.20090007781982</v>
      </c>
      <c r="E623" s="15" t="n">
        <v>-0.0163001651526429</v>
      </c>
      <c r="F623" s="15" t="n">
        <v>0.444700002670288</v>
      </c>
      <c r="G623" s="15" t="n">
        <v>2.18409991264343</v>
      </c>
      <c r="H623" s="16">
        <f>C623+E623</f>
        <v/>
      </c>
    </row>
    <row r="624">
      <c r="A624" s="12" t="n">
        <v>42913</v>
      </c>
      <c r="B624" s="15" t="n">
        <v>-0.0769999995827675</v>
      </c>
      <c r="C624" s="15" t="n">
        <v>0.123700000345707</v>
      </c>
      <c r="D624" s="15" t="n">
        <v>2.21700000762939</v>
      </c>
      <c r="E624" s="15" t="n">
        <v>-0.011199951171875</v>
      </c>
      <c r="F624" s="15" t="n">
        <v>0.455700010061264</v>
      </c>
      <c r="G624" s="15" t="n">
        <v>2.25250005722046</v>
      </c>
      <c r="H624" s="16">
        <f>C624+E624</f>
        <v/>
      </c>
    </row>
    <row r="625">
      <c r="A625" s="12" t="n">
        <v>42914</v>
      </c>
      <c r="B625" s="15" t="n">
        <v>-0.0762000009417534</v>
      </c>
      <c r="C625" s="15" t="n">
        <v>0.130400002002716</v>
      </c>
      <c r="D625" s="15" t="n">
        <v>2.22079992294312</v>
      </c>
      <c r="E625" s="15" t="n">
        <v>-0.009800024330616001</v>
      </c>
      <c r="F625" s="15" t="n">
        <v>0.430299997329712</v>
      </c>
      <c r="G625" s="15" t="n">
        <v>2.26519989967346</v>
      </c>
      <c r="H625" s="16">
        <f>C625+E625</f>
        <v/>
      </c>
    </row>
    <row r="626">
      <c r="A626" s="12" t="n">
        <v>42915</v>
      </c>
      <c r="B626" s="15" t="n">
        <v>-0.0573000013828278</v>
      </c>
      <c r="C626" s="15" t="n">
        <v>0.152199998497963</v>
      </c>
      <c r="D626" s="15" t="n">
        <v>2.23550009727478</v>
      </c>
      <c r="E626" s="15" t="n">
        <v>-0.00520001351833344</v>
      </c>
      <c r="F626" s="15" t="n">
        <v>0.455799996852875</v>
      </c>
      <c r="G626" s="15" t="n">
        <v>2.32520008087158</v>
      </c>
      <c r="H626" s="16">
        <f>C626+E626</f>
        <v/>
      </c>
    </row>
    <row r="627">
      <c r="A627" s="12" t="n">
        <v>42916</v>
      </c>
      <c r="B627" s="15" t="n">
        <v>-0.0460999980568886</v>
      </c>
      <c r="C627" s="15" t="n">
        <v>0.166199997067451</v>
      </c>
      <c r="D627" s="15" t="n">
        <v>2.24429988861084</v>
      </c>
      <c r="E627" s="15" t="n">
        <v>-0.00199983268976212</v>
      </c>
      <c r="F627" s="15" t="n">
        <v>0.466399997472763</v>
      </c>
      <c r="G627" s="15" t="n">
        <v>2.36240005493164</v>
      </c>
      <c r="H627" s="16">
        <f>C627+E627</f>
        <v/>
      </c>
    </row>
    <row r="628">
      <c r="A628" s="12" t="n">
        <v>42919</v>
      </c>
      <c r="B628" s="15" t="n">
        <v>-0.0337000042200089</v>
      </c>
      <c r="C628" s="15" t="n">
        <v>0.183200001716614</v>
      </c>
      <c r="D628" s="15" t="n">
        <v>2.25430011749268</v>
      </c>
      <c r="E628" s="15" t="n">
        <v>0.00219978392124176</v>
      </c>
      <c r="F628" s="15" t="n">
        <v>0.458099991083145</v>
      </c>
      <c r="G628" s="15" t="n">
        <v>2.40599989891052</v>
      </c>
      <c r="H628" s="16">
        <f>C628+E628</f>
        <v/>
      </c>
    </row>
    <row r="629">
      <c r="A629" s="12" t="n">
        <v>42921</v>
      </c>
      <c r="B629" s="15" t="n">
        <v>-0.0372999906539917</v>
      </c>
      <c r="C629" s="15" t="n">
        <v>0.17399999499321</v>
      </c>
      <c r="D629" s="15" t="n">
        <v>2.24930000305176</v>
      </c>
      <c r="E629" s="15" t="n">
        <v>-9.99867916107178e-05</v>
      </c>
      <c r="F629" s="15" t="n">
        <v>0.449200004339218</v>
      </c>
      <c r="G629" s="15" t="n">
        <v>2.38590002059937</v>
      </c>
      <c r="H629" s="16">
        <f>C629+E629</f>
        <v/>
      </c>
    </row>
    <row r="630">
      <c r="A630" s="12" t="n">
        <v>42922</v>
      </c>
      <c r="B630" s="15" t="n">
        <v>-0.0273000001907349</v>
      </c>
      <c r="C630" s="15" t="n">
        <v>0.190500006079674</v>
      </c>
      <c r="D630" s="15" t="n">
        <v>2.25909996032715</v>
      </c>
      <c r="E630" s="15" t="n">
        <v>0.00370015203952789</v>
      </c>
      <c r="F630" s="15" t="n">
        <v>0.449600011110306</v>
      </c>
      <c r="G630" s="15" t="n">
        <v>2.42600011825562</v>
      </c>
      <c r="H630" s="16">
        <f>C630+E630</f>
        <v/>
      </c>
    </row>
    <row r="631">
      <c r="A631" s="12" t="n">
        <v>42923</v>
      </c>
      <c r="B631" s="15" t="n">
        <v>-0.0203000009059906</v>
      </c>
      <c r="C631" s="15" t="n">
        <v>0.201800003647804</v>
      </c>
      <c r="D631" s="15" t="n">
        <v>2.26609992980957</v>
      </c>
      <c r="E631" s="15" t="n">
        <v>0.00620003044605255</v>
      </c>
      <c r="F631" s="15" t="n">
        <v>0.478100001811981</v>
      </c>
      <c r="G631" s="15" t="n">
        <v>2.45379996299744</v>
      </c>
      <c r="H631" s="16">
        <f>C631+E631</f>
        <v/>
      </c>
    </row>
    <row r="632">
      <c r="A632" s="12" t="n">
        <v>42926</v>
      </c>
      <c r="B632" s="15" t="n">
        <v>-0.0274000018835068</v>
      </c>
      <c r="C632" s="15" t="n">
        <v>0.196700006723404</v>
      </c>
      <c r="D632" s="15" t="n">
        <v>2.26239991188049</v>
      </c>
      <c r="E632" s="15" t="n">
        <v>0.00500018894672394</v>
      </c>
      <c r="F632" s="15" t="n">
        <v>0.488599985837936</v>
      </c>
      <c r="G632" s="15" t="n">
        <v>2.43670010566711</v>
      </c>
      <c r="H632" s="16">
        <f>C632+E632</f>
        <v/>
      </c>
    </row>
    <row r="633">
      <c r="A633" s="12" t="n">
        <v>42927</v>
      </c>
      <c r="B633" s="15" t="n">
        <v>-0.0312999933958054</v>
      </c>
      <c r="C633" s="15" t="n">
        <v>0.189999997615814</v>
      </c>
      <c r="D633" s="15" t="n">
        <v>2.25869989395142</v>
      </c>
      <c r="E633" s="15" t="n">
        <v>0.00340007245540619</v>
      </c>
      <c r="F633" s="15" t="n">
        <v>0.471500009298325</v>
      </c>
      <c r="G633" s="15" t="n">
        <v>2.42079997062683</v>
      </c>
      <c r="H633" s="16">
        <f>C633+E633</f>
        <v/>
      </c>
    </row>
    <row r="634">
      <c r="A634" s="12" t="n">
        <v>42928</v>
      </c>
      <c r="B634" s="15" t="n">
        <v>-0.0455999970436096</v>
      </c>
      <c r="C634" s="15" t="n">
        <v>0.174799993634224</v>
      </c>
      <c r="D634" s="15" t="n">
        <v>2.24900007247925</v>
      </c>
      <c r="E634" s="15" t="n">
        <v>-0.00010015070438385</v>
      </c>
      <c r="F634" s="15" t="n">
        <v>0.455399990081787</v>
      </c>
      <c r="G634" s="15" t="n">
        <v>2.37809991836548</v>
      </c>
      <c r="H634" s="16">
        <f>C634+E634</f>
        <v/>
      </c>
    </row>
    <row r="635">
      <c r="A635" s="12" t="n">
        <v>42929</v>
      </c>
      <c r="B635" s="15" t="n">
        <v>-0.0374999940395355</v>
      </c>
      <c r="C635" s="15" t="n">
        <v>0.182300001382828</v>
      </c>
      <c r="D635" s="15" t="n">
        <v>2.25430011749268</v>
      </c>
      <c r="E635" s="15" t="n">
        <v>0.00149983167648315</v>
      </c>
      <c r="F635" s="15" t="n">
        <v>0.444700002670288</v>
      </c>
      <c r="G635" s="15" t="n">
        <v>2.40059995651245</v>
      </c>
      <c r="H635" s="16">
        <f>C635+E635</f>
        <v/>
      </c>
    </row>
    <row r="636">
      <c r="A636" s="12" t="n">
        <v>42930</v>
      </c>
      <c r="B636" s="15" t="n">
        <v>-0.0459000021219254</v>
      </c>
      <c r="C636" s="15" t="n">
        <v>0.177300006151199</v>
      </c>
      <c r="D636" s="15" t="n">
        <v>2.25029993057251</v>
      </c>
      <c r="E636" s="15" t="n">
        <v>0.000400170683860779</v>
      </c>
      <c r="F636" s="15" t="n">
        <v>0.442200005054474</v>
      </c>
      <c r="G636" s="15" t="n">
        <v>2.38210010528564</v>
      </c>
      <c r="H636" s="16">
        <f>C636+E636</f>
        <v/>
      </c>
    </row>
    <row r="637">
      <c r="A637" s="12" t="n">
        <v>42933</v>
      </c>
      <c r="B637" s="15" t="n">
        <v>-0.0533000007271767</v>
      </c>
      <c r="C637" s="15" t="n">
        <v>0.172499999403954</v>
      </c>
      <c r="D637" s="15" t="n">
        <v>2.24629998207092</v>
      </c>
      <c r="E637" s="15" t="n">
        <v>-0.000400073826313019</v>
      </c>
      <c r="F637" s="15" t="n">
        <v>0.441799998283386</v>
      </c>
      <c r="G637" s="15" t="n">
        <v>2.36509990692139</v>
      </c>
      <c r="H637" s="16">
        <f>C637+E637</f>
        <v/>
      </c>
    </row>
    <row r="638">
      <c r="A638" s="12" t="n">
        <v>42934</v>
      </c>
      <c r="B638" s="15" t="n">
        <v>-0.0637999996542931</v>
      </c>
      <c r="C638" s="15" t="n">
        <v>0.155599996447563</v>
      </c>
      <c r="D638" s="15" t="n">
        <v>2.2360999584198</v>
      </c>
      <c r="E638" s="15" t="n">
        <v>-0.00429990142583847</v>
      </c>
      <c r="F638" s="15" t="n">
        <v>0.436199992895126</v>
      </c>
      <c r="G638" s="15" t="n">
        <v>2.32360005378723</v>
      </c>
      <c r="H638" s="16">
        <f>C638+E638</f>
        <v/>
      </c>
    </row>
    <row r="639">
      <c r="A639" s="12" t="n">
        <v>42935</v>
      </c>
      <c r="B639" s="15" t="n">
        <v>-0.0617000013589859</v>
      </c>
      <c r="C639" s="15" t="n">
        <v>0.155000001192093</v>
      </c>
      <c r="D639" s="15" t="n">
        <v>2.23639988899231</v>
      </c>
      <c r="E639" s="15" t="n">
        <v>-0.00459994375705719</v>
      </c>
      <c r="F639" s="15" t="n">
        <v>0.427799999713898</v>
      </c>
      <c r="G639" s="15" t="n">
        <v>2.32509994506836</v>
      </c>
      <c r="H639" s="16">
        <f>C639+E639</f>
        <v/>
      </c>
    </row>
    <row r="640">
      <c r="A640" s="12" t="n">
        <v>42936</v>
      </c>
      <c r="B640" s="15" t="n">
        <v>-0.0620000064373016</v>
      </c>
      <c r="C640" s="15" t="n">
        <v>0.154400005936623</v>
      </c>
      <c r="D640" s="15" t="n">
        <v>2.23620009422302</v>
      </c>
      <c r="E640" s="15" t="n">
        <v>-0.00480000674724579</v>
      </c>
      <c r="F640" s="15" t="n">
        <v>0.456499993801117</v>
      </c>
      <c r="G640" s="15" t="n">
        <v>2.3238000869751</v>
      </c>
      <c r="H640" s="16">
        <f>C640+E640</f>
        <v/>
      </c>
    </row>
    <row r="641">
      <c r="A641" s="12" t="n">
        <v>42937</v>
      </c>
      <c r="B641" s="15" t="n">
        <v>-0.0719999969005585</v>
      </c>
      <c r="C641" s="15" t="n">
        <v>0.145799994468689</v>
      </c>
      <c r="D641" s="15" t="n">
        <v>2.22989988327026</v>
      </c>
      <c r="E641" s="15" t="n">
        <v>-0.00649991631507874</v>
      </c>
      <c r="F641" s="15" t="n">
        <v>0.463299989700317</v>
      </c>
      <c r="G641" s="15" t="n">
        <v>2.29719996452332</v>
      </c>
      <c r="H641" s="16">
        <f>C641+E641</f>
        <v/>
      </c>
    </row>
    <row r="642">
      <c r="A642" s="12" t="n">
        <v>42940</v>
      </c>
      <c r="B642" s="15" t="n">
        <v>-0.0654000043869019</v>
      </c>
      <c r="C642" s="15" t="n">
        <v>0.148300006985664</v>
      </c>
      <c r="D642" s="15" t="n">
        <v>2.23239994049072</v>
      </c>
      <c r="E642" s="15" t="n">
        <v>-0.00620003044605255</v>
      </c>
      <c r="F642" s="15" t="n">
        <v>0.45440000295639</v>
      </c>
      <c r="G642" s="15" t="n">
        <v>2.30909991264343</v>
      </c>
      <c r="H642" s="16">
        <f>C642+E642</f>
        <v/>
      </c>
    </row>
    <row r="643">
      <c r="A643" s="12" t="n">
        <v>42941</v>
      </c>
      <c r="B643" s="15" t="n">
        <v>-0.0392000079154968</v>
      </c>
      <c r="C643" s="15" t="n">
        <v>0.173800006508827</v>
      </c>
      <c r="D643" s="15" t="n">
        <v>2.24979996681213</v>
      </c>
      <c r="E643" s="15" t="n">
        <v>-0.000500038266181946</v>
      </c>
      <c r="F643" s="15" t="n">
        <v>0.4442999958992</v>
      </c>
      <c r="G643" s="15" t="n">
        <v>2.38389992713928</v>
      </c>
      <c r="H643" s="16">
        <f>C643+E643</f>
        <v/>
      </c>
    </row>
    <row r="644">
      <c r="A644" s="12" t="n">
        <v>42942</v>
      </c>
      <c r="B644" s="15" t="n">
        <v>-0.054799996316433</v>
      </c>
      <c r="C644" s="15" t="n">
        <v>0.159299999475479</v>
      </c>
      <c r="D644" s="15" t="n">
        <v>2.24040007591248</v>
      </c>
      <c r="E644" s="15" t="n">
        <v>-0.00389999896287918</v>
      </c>
      <c r="F644" s="15" t="n">
        <v>0.429399996995926</v>
      </c>
      <c r="G644" s="15" t="n">
        <v>2.34100008010864</v>
      </c>
      <c r="H644" s="16">
        <f>C644+E644</f>
        <v/>
      </c>
    </row>
    <row r="645">
      <c r="A645" s="12" t="n">
        <v>42943</v>
      </c>
      <c r="B645" s="15" t="n">
        <v>-0.0493000000715256</v>
      </c>
      <c r="C645" s="15" t="n">
        <v>0.170699998736382</v>
      </c>
      <c r="D645" s="15" t="n">
        <v>2.24710011482239</v>
      </c>
      <c r="E645" s="15" t="n">
        <v>-0.00130021572113037</v>
      </c>
      <c r="F645" s="15" t="n">
        <v>0.422199994325638</v>
      </c>
      <c r="G645" s="15" t="n">
        <v>2.36719989776611</v>
      </c>
      <c r="H645" s="16">
        <f>C645+E645</f>
        <v/>
      </c>
    </row>
    <row r="646">
      <c r="A646" s="12" t="n">
        <v>42944</v>
      </c>
      <c r="B646" s="15" t="n">
        <v>-0.0539000034332275</v>
      </c>
      <c r="C646" s="15" t="n">
        <v>0.165500000119209</v>
      </c>
      <c r="D646" s="15" t="n">
        <v>2.24379992485046</v>
      </c>
      <c r="E646" s="15" t="n">
        <v>-0.00260002911090851</v>
      </c>
      <c r="F646" s="15" t="n">
        <v>0.416000008583069</v>
      </c>
      <c r="G646" s="15" t="n">
        <v>2.35279989242554</v>
      </c>
      <c r="H646" s="16">
        <f>C646+E646</f>
        <v/>
      </c>
    </row>
    <row r="647">
      <c r="A647" s="12" t="n">
        <v>42947</v>
      </c>
      <c r="B647" s="15" t="n">
        <v>-0.0532999932765961</v>
      </c>
      <c r="C647" s="15" t="n">
        <v>0.165999993681908</v>
      </c>
      <c r="D647" s="15" t="n">
        <v>2.24410009384155</v>
      </c>
      <c r="E647" s="15" t="n">
        <v>-0.00250007212162018</v>
      </c>
      <c r="F647" s="15" t="n">
        <v>0.418599992990494</v>
      </c>
      <c r="G647" s="15" t="n">
        <v>2.35430002212524</v>
      </c>
      <c r="H647" s="16">
        <f>C647+E647</f>
        <v/>
      </c>
    </row>
    <row r="648">
      <c r="A648" s="12" t="n">
        <v>42948</v>
      </c>
      <c r="B648" s="15" t="n">
        <v>-0.0612999945878983</v>
      </c>
      <c r="C648" s="15" t="n">
        <v>0.150099992752075</v>
      </c>
      <c r="D648" s="15" t="n">
        <v>2.23530006408691</v>
      </c>
      <c r="E648" s="15" t="n">
        <v>-0.00620011985301971</v>
      </c>
      <c r="F648" s="15" t="n">
        <v>0.425500005483627</v>
      </c>
      <c r="G648" s="15" t="n">
        <v>2.31789994239807</v>
      </c>
      <c r="H648" s="16">
        <f>C648+E648</f>
        <v/>
      </c>
    </row>
    <row r="649">
      <c r="A649" s="12" t="n">
        <v>42949</v>
      </c>
      <c r="B649" s="15" t="n">
        <v>-0.058899998664856</v>
      </c>
      <c r="C649" s="15" t="n">
        <v>0.150499999523163</v>
      </c>
      <c r="D649" s="15" t="n">
        <v>2.23580002784729</v>
      </c>
      <c r="E649" s="15" t="n">
        <v>-0.00620013475418091</v>
      </c>
      <c r="F649" s="15" t="n">
        <v>0.43079999089241</v>
      </c>
      <c r="G649" s="15" t="n">
        <v>2.32119989395142</v>
      </c>
      <c r="H649" s="16">
        <f>C649+E649</f>
        <v/>
      </c>
    </row>
    <row r="650">
      <c r="A650" s="12" t="n">
        <v>42950</v>
      </c>
      <c r="B650" s="15" t="n">
        <v>-0.0711000040173531</v>
      </c>
      <c r="C650" s="15" t="n">
        <v>0.139500007033348</v>
      </c>
      <c r="D650" s="15" t="n">
        <v>2.2279999256134</v>
      </c>
      <c r="E650" s="15" t="n">
        <v>-0.008499957621097559</v>
      </c>
      <c r="F650" s="15" t="n">
        <v>0.4307000041008</v>
      </c>
      <c r="G650" s="15" t="n">
        <v>2.2878999710083</v>
      </c>
      <c r="H650" s="16">
        <f>C650+E650</f>
        <v/>
      </c>
    </row>
    <row r="651">
      <c r="A651" s="12" t="n">
        <v>42951</v>
      </c>
      <c r="B651" s="15" t="n">
        <v>-0.060699999332428</v>
      </c>
      <c r="C651" s="15" t="n">
        <v>0.150399997830391</v>
      </c>
      <c r="D651" s="15" t="n">
        <v>2.23510003089905</v>
      </c>
      <c r="E651" s="15" t="n">
        <v>-0.00589992105960846</v>
      </c>
      <c r="F651" s="15" t="n">
        <v>0.421499997377396</v>
      </c>
      <c r="G651" s="15" t="n">
        <v>2.3189001083374</v>
      </c>
      <c r="H651" s="16">
        <f>C651+E651</f>
        <v/>
      </c>
    </row>
    <row r="652">
      <c r="A652" s="12" t="n">
        <v>42954</v>
      </c>
      <c r="B652" s="15" t="n">
        <v>-0.0626000016927719</v>
      </c>
      <c r="C652" s="15" t="n">
        <v>0.147900000214577</v>
      </c>
      <c r="D652" s="15" t="n">
        <v>2.2335000038147</v>
      </c>
      <c r="E652" s="15" t="n">
        <v>-0.00650003552436829</v>
      </c>
      <c r="F652" s="15" t="n">
        <v>0.411500006914139</v>
      </c>
      <c r="G652" s="15" t="n">
        <v>2.31229996681213</v>
      </c>
      <c r="H652" s="16">
        <f>C652+E652</f>
        <v/>
      </c>
    </row>
    <row r="653">
      <c r="A653" s="12" t="n">
        <v>42955</v>
      </c>
      <c r="B653" s="15" t="n">
        <v>-0.0534000024199486</v>
      </c>
      <c r="C653" s="15" t="n">
        <v>0.154899999499321</v>
      </c>
      <c r="D653" s="15" t="n">
        <v>2.23880004882812</v>
      </c>
      <c r="E653" s="15" t="n">
        <v>-0.00509997457265854</v>
      </c>
      <c r="F653" s="15" t="n">
        <v>0.394199997186661</v>
      </c>
      <c r="G653" s="15" t="n">
        <v>2.33520007133484</v>
      </c>
      <c r="H653" s="16">
        <f>C653+E653</f>
        <v/>
      </c>
    </row>
    <row r="654">
      <c r="A654" s="12" t="n">
        <v>42956</v>
      </c>
      <c r="B654" s="15" t="n">
        <v>-0.066100001335144</v>
      </c>
      <c r="C654" s="15" t="n">
        <v>0.141000002622604</v>
      </c>
      <c r="D654" s="15" t="n">
        <v>2.22979998588562</v>
      </c>
      <c r="E654" s="15" t="n">
        <v>-0.00829991698265076</v>
      </c>
      <c r="F654" s="15" t="n">
        <v>0.386500000953674</v>
      </c>
      <c r="G654" s="15" t="n">
        <v>2.29640007019043</v>
      </c>
      <c r="H654" s="16">
        <f>C654+E654</f>
        <v/>
      </c>
    </row>
    <row r="655">
      <c r="A655" s="12" t="n">
        <v>42957</v>
      </c>
      <c r="B655" s="15" t="n">
        <v>-0.0768999978899956</v>
      </c>
      <c r="C655" s="15" t="n">
        <v>0.1283999979496</v>
      </c>
      <c r="D655" s="15" t="n">
        <v>2.22149991989136</v>
      </c>
      <c r="E655" s="15" t="n">
        <v>-0.0109998360276222</v>
      </c>
      <c r="F655" s="15" t="n">
        <v>0.392100006341934</v>
      </c>
      <c r="G655" s="15" t="n">
        <v>2.26200008392334</v>
      </c>
      <c r="H655" s="16">
        <f>C655+E655</f>
        <v/>
      </c>
    </row>
    <row r="656">
      <c r="A656" s="12" t="n">
        <v>42958</v>
      </c>
      <c r="B656" s="15" t="n">
        <v>-0.0843999981880188</v>
      </c>
      <c r="C656" s="15" t="n">
        <v>0.122299998998642</v>
      </c>
      <c r="D656" s="15" t="n">
        <v>2.21779990196228</v>
      </c>
      <c r="E656" s="15" t="n">
        <v>-0.0125999748706818</v>
      </c>
      <c r="F656" s="15" t="n">
        <v>0.405800014734268</v>
      </c>
      <c r="G656" s="15" t="n">
        <v>2.24309992790222</v>
      </c>
      <c r="H656" s="16">
        <f>C656+E656</f>
        <v/>
      </c>
    </row>
    <row r="657">
      <c r="A657" s="12" t="n">
        <v>42961</v>
      </c>
      <c r="B657" s="15" t="n">
        <v>-0.0735999941825867</v>
      </c>
      <c r="C657" s="15" t="n">
        <v>0.137899994850159</v>
      </c>
      <c r="D657" s="15" t="n">
        <v>2.22709989547729</v>
      </c>
      <c r="E657" s="15" t="n">
        <v>-0.009000003337860109</v>
      </c>
      <c r="F657" s="15" t="n">
        <v>0.436199992895126</v>
      </c>
      <c r="G657" s="15" t="n">
        <v>2.28239989280701</v>
      </c>
      <c r="H657" s="16">
        <f>C657+E657</f>
        <v/>
      </c>
    </row>
    <row r="658">
      <c r="A658" s="12" t="n">
        <v>42962</v>
      </c>
      <c r="B658" s="15" t="n">
        <v>-0.0566999986767769</v>
      </c>
      <c r="C658" s="15" t="n">
        <v>0.151399999856949</v>
      </c>
      <c r="D658" s="15" t="n">
        <v>2.23679995536804</v>
      </c>
      <c r="E658" s="15" t="n">
        <v>-0.00609984248876572</v>
      </c>
      <c r="F658" s="15" t="n">
        <v>0.444400012493134</v>
      </c>
      <c r="G658" s="15" t="n">
        <v>2.32540011405945</v>
      </c>
      <c r="H658" s="16">
        <f>C658+E658</f>
        <v/>
      </c>
    </row>
    <row r="659">
      <c r="A659" s="12" t="n">
        <v>42963</v>
      </c>
      <c r="B659" s="15" t="n">
        <v>-0.07210000604391099</v>
      </c>
      <c r="C659" s="15" t="n">
        <v>0.13850000500679</v>
      </c>
      <c r="D659" s="15" t="n">
        <v>2.22740006446838</v>
      </c>
      <c r="E659" s="15" t="n">
        <v>-0.00879997760057449</v>
      </c>
      <c r="F659" s="15" t="n">
        <v>0.435499995946884</v>
      </c>
      <c r="G659" s="15" t="n">
        <v>2.28500008583069</v>
      </c>
      <c r="H659" s="16">
        <f>C659+E659</f>
        <v/>
      </c>
    </row>
    <row r="660">
      <c r="A660" s="12" t="n">
        <v>42964</v>
      </c>
      <c r="B660" s="15" t="n">
        <v>-0.08590000495314599</v>
      </c>
      <c r="C660" s="15" t="n">
        <v>0.126200005412102</v>
      </c>
      <c r="D660" s="15" t="n">
        <v>2.21849989891052</v>
      </c>
      <c r="E660" s="15" t="n">
        <v>-0.0111998207867146</v>
      </c>
      <c r="F660" s="15" t="n">
        <v>0.433800011873245</v>
      </c>
      <c r="G660" s="15" t="n">
        <v>2.24760007858276</v>
      </c>
      <c r="H660" s="16">
        <f>C660+E660</f>
        <v/>
      </c>
    </row>
    <row r="661">
      <c r="A661" s="12" t="n">
        <v>42965</v>
      </c>
      <c r="B661" s="15" t="n">
        <v>-0.0826000049710274</v>
      </c>
      <c r="C661" s="15" t="n">
        <v>0.125400006771088</v>
      </c>
      <c r="D661" s="15" t="n">
        <v>2.21889996528625</v>
      </c>
      <c r="E661" s="15" t="n">
        <v>-0.0116000697016716</v>
      </c>
      <c r="F661" s="15" t="n">
        <v>0.437299996614456</v>
      </c>
      <c r="G661" s="15" t="n">
        <v>2.25009989738464</v>
      </c>
      <c r="H661" s="16">
        <f>C661+E661</f>
        <v/>
      </c>
    </row>
    <row r="662">
      <c r="A662" s="12" t="n">
        <v>42968</v>
      </c>
      <c r="B662" s="15" t="n">
        <v>-0.08749999850988389</v>
      </c>
      <c r="C662" s="15" t="n">
        <v>0.123099997639656</v>
      </c>
      <c r="D662" s="15" t="n">
        <v>2.21659994125366</v>
      </c>
      <c r="E662" s="15" t="n">
        <v>-0.0119998976588249</v>
      </c>
      <c r="F662" s="15" t="n">
        <v>0.443199992179871</v>
      </c>
      <c r="G662" s="15" t="n">
        <v>2.24020004272461</v>
      </c>
      <c r="H662" s="16">
        <f>C662+E662</f>
        <v/>
      </c>
    </row>
    <row r="663">
      <c r="A663" s="12" t="n">
        <v>42969</v>
      </c>
      <c r="B663" s="15" t="n">
        <v>-0.0760000012814999</v>
      </c>
      <c r="C663" s="15" t="n">
        <v>0.133000001311302</v>
      </c>
      <c r="D663" s="15" t="n">
        <v>2.22350001335144</v>
      </c>
      <c r="E663" s="15" t="n">
        <v>-0.00969989970326424</v>
      </c>
      <c r="F663" s="15" t="n">
        <v>0.442499995231628</v>
      </c>
      <c r="G663" s="15" t="n">
        <v>2.27080011367798</v>
      </c>
      <c r="H663" s="16">
        <f>C663+E663</f>
        <v/>
      </c>
    </row>
    <row r="664">
      <c r="A664" s="12" t="n">
        <v>42970</v>
      </c>
      <c r="B664" s="15" t="n">
        <v>-0.090999998152256</v>
      </c>
      <c r="C664" s="15" t="n">
        <v>0.117399998009205</v>
      </c>
      <c r="D664" s="15" t="n">
        <v>2.21289992332458</v>
      </c>
      <c r="E664" s="15" t="n">
        <v>-0.0130998194217682</v>
      </c>
      <c r="F664" s="15" t="n">
        <v>0.434399992227554</v>
      </c>
      <c r="G664" s="15" t="n">
        <v>2.22620010375977</v>
      </c>
      <c r="H664" s="16">
        <f>C664+E664</f>
        <v/>
      </c>
    </row>
    <row r="665">
      <c r="A665" s="12" t="n">
        <v>42971</v>
      </c>
      <c r="B665" s="15" t="n">
        <v>-0.0842000022530556</v>
      </c>
      <c r="C665" s="15" t="n">
        <v>0.126000002026558</v>
      </c>
      <c r="D665" s="15" t="n">
        <v>2.21810007095337</v>
      </c>
      <c r="E665" s="15" t="n">
        <v>-0.0110001340508461</v>
      </c>
      <c r="F665" s="15" t="n">
        <v>0.443599998950958</v>
      </c>
      <c r="G665" s="15" t="n">
        <v>2.24889993667603</v>
      </c>
      <c r="H665" s="16">
        <f>C665+E665</f>
        <v/>
      </c>
    </row>
    <row r="666">
      <c r="A666" s="12" t="n">
        <v>42972</v>
      </c>
      <c r="B666" s="15" t="n">
        <v>-0.0898999981582165</v>
      </c>
      <c r="C666" s="15" t="n">
        <v>0.117399998009205</v>
      </c>
      <c r="D666" s="15" t="n">
        <v>2.21269989013672</v>
      </c>
      <c r="E666" s="15" t="n">
        <v>-0.012899961322546</v>
      </c>
      <c r="F666" s="15" t="n">
        <v>0.443300008773804</v>
      </c>
      <c r="G666" s="15" t="n">
        <v>2.22729992866516</v>
      </c>
      <c r="H666" s="16">
        <f>C666+E666</f>
        <v/>
      </c>
    </row>
    <row r="667">
      <c r="A667" s="12" t="n">
        <v>42975</v>
      </c>
      <c r="B667" s="15" t="n">
        <v>-0.09380000270903111</v>
      </c>
      <c r="C667" s="15" t="n">
        <v>0.111100003123283</v>
      </c>
      <c r="D667" s="15" t="n">
        <v>2.20919990539551</v>
      </c>
      <c r="E667" s="15" t="n">
        <v>-0.0145000126212835</v>
      </c>
      <c r="F667" s="15" t="n">
        <v>0.435000002384186</v>
      </c>
      <c r="G667" s="15" t="n">
        <v>2.21199989318848</v>
      </c>
      <c r="H667" s="16">
        <f>C667+E667</f>
        <v/>
      </c>
    </row>
    <row r="668">
      <c r="A668" s="12" t="n">
        <v>42976</v>
      </c>
      <c r="B668" s="15" t="n">
        <v>-0.10150000359863</v>
      </c>
      <c r="C668" s="15" t="n">
        <v>0.098800003528595</v>
      </c>
      <c r="D668" s="15" t="n">
        <v>2.20230007171631</v>
      </c>
      <c r="E668" s="15" t="n">
        <v>-0.0175000140443444</v>
      </c>
      <c r="F668" s="15" t="n">
        <v>0.433299988508224</v>
      </c>
      <c r="G668" s="15" t="n">
        <v>2.18210005760193</v>
      </c>
      <c r="H668" s="16">
        <f>C668+E668</f>
        <v/>
      </c>
    </row>
    <row r="669">
      <c r="A669" s="12" t="n">
        <v>42977</v>
      </c>
      <c r="B669" s="15" t="n">
        <v>-0.099099999293685</v>
      </c>
      <c r="C669" s="15" t="n">
        <v>0.104699999094009</v>
      </c>
      <c r="D669" s="15" t="n">
        <v>2.20530009269714</v>
      </c>
      <c r="E669" s="15" t="n">
        <v>-0.0161001924425364</v>
      </c>
      <c r="F669" s="15" t="n">
        <v>0.434500008821487</v>
      </c>
      <c r="G669" s="15" t="n">
        <v>2.19479990005493</v>
      </c>
      <c r="H669" s="16">
        <f>C669+E669</f>
        <v/>
      </c>
    </row>
    <row r="670">
      <c r="A670" s="12" t="n">
        <v>42978</v>
      </c>
      <c r="B670" s="15" t="n">
        <v>-0.111100001260638</v>
      </c>
      <c r="C670" s="15" t="n">
        <v>0.096000000834465</v>
      </c>
      <c r="D670" s="15" t="n">
        <v>2.1981999874115</v>
      </c>
      <c r="E670" s="15" t="n">
        <v>-0.017699958756566</v>
      </c>
      <c r="F670" s="15" t="n">
        <v>0.416399985551834</v>
      </c>
      <c r="G670" s="15" t="n">
        <v>2.16540002822876</v>
      </c>
      <c r="H670" s="16">
        <f>C670+E670</f>
        <v/>
      </c>
    </row>
    <row r="671">
      <c r="A671" s="12" t="n">
        <v>42979</v>
      </c>
      <c r="B671" s="15" t="n">
        <v>-0.0975000020116568</v>
      </c>
      <c r="C671" s="15" t="n">
        <v>0.109700001776218</v>
      </c>
      <c r="D671" s="15" t="n">
        <v>2.20729994773865</v>
      </c>
      <c r="E671" s="15" t="n">
        <v>-0.014599921181798</v>
      </c>
      <c r="F671" s="15" t="n">
        <v>0.409099996089935</v>
      </c>
      <c r="G671" s="15" t="n">
        <v>2.20490002632141</v>
      </c>
      <c r="H671" s="16">
        <f>C671+E671</f>
        <v/>
      </c>
    </row>
    <row r="672">
      <c r="A672" s="12" t="n">
        <v>42983</v>
      </c>
      <c r="B672" s="15" t="n">
        <v>-0.120400000363588</v>
      </c>
      <c r="C672" s="15" t="n">
        <v>0.07450000196695331</v>
      </c>
      <c r="D672" s="15" t="n">
        <v>2.18700003623962</v>
      </c>
      <c r="E672" s="15" t="n">
        <v>-0.0230001099407673</v>
      </c>
      <c r="F672" s="15" t="n">
        <v>0.391299992799759</v>
      </c>
      <c r="G672" s="15" t="n">
        <v>2.11809992790222</v>
      </c>
      <c r="H672" s="16">
        <f>C672+E672</f>
        <v/>
      </c>
    </row>
    <row r="673">
      <c r="A673" s="12" t="n">
        <v>42984</v>
      </c>
      <c r="B673" s="15" t="n">
        <v>-0.105500003322959</v>
      </c>
      <c r="C673" s="15" t="n">
        <v>0.08160000294446949</v>
      </c>
      <c r="D673" s="15" t="n">
        <v>2.19409990310669</v>
      </c>
      <c r="E673" s="15" t="n">
        <v>-0.0219998676329851</v>
      </c>
      <c r="F673" s="15" t="n">
        <v>0.386799991130829</v>
      </c>
      <c r="G673" s="15" t="n">
        <v>2.14820003509521</v>
      </c>
      <c r="H673" s="16">
        <f>C673+E673</f>
        <v/>
      </c>
    </row>
    <row r="674">
      <c r="A674" s="12" t="n">
        <v>42985</v>
      </c>
      <c r="B674" s="15" t="n">
        <v>-0.124299999326468</v>
      </c>
      <c r="C674" s="15" t="n">
        <v>0.0614000000059605</v>
      </c>
      <c r="D674" s="15" t="n">
        <v>2.18099999427795</v>
      </c>
      <c r="E674" s="15" t="n">
        <v>-0.0265000537037849</v>
      </c>
      <c r="F674" s="15" t="n">
        <v>0.37279999256134</v>
      </c>
      <c r="G674" s="15" t="n">
        <v>2.09159994125366</v>
      </c>
      <c r="H674" s="16">
        <f>C674+E674</f>
        <v/>
      </c>
    </row>
    <row r="675">
      <c r="A675" s="12" t="n">
        <v>42986</v>
      </c>
      <c r="B675" s="15" t="n">
        <v>-0.123100001364946</v>
      </c>
      <c r="C675" s="15" t="n">
        <v>0.065200001001358</v>
      </c>
      <c r="D675" s="15" t="n">
        <v>2.18300008773804</v>
      </c>
      <c r="E675" s="15" t="n">
        <v>-0.0255000106990337</v>
      </c>
      <c r="F675" s="15" t="n">
        <v>0.362500011920929</v>
      </c>
      <c r="G675" s="15" t="n">
        <v>2.09960007667542</v>
      </c>
      <c r="H675" s="16">
        <f>C675+E675</f>
        <v/>
      </c>
    </row>
    <row r="676">
      <c r="A676" s="12" t="n">
        <v>42989</v>
      </c>
      <c r="B676" s="15" t="n">
        <v>-0.0968999981414527</v>
      </c>
      <c r="C676" s="15" t="n">
        <v>0.0931999981403351</v>
      </c>
      <c r="D676" s="15" t="n">
        <v>2.2014000415802</v>
      </c>
      <c r="E676" s="15" t="n">
        <v>-0.019300001906231</v>
      </c>
      <c r="F676" s="15" t="n">
        <v>0.361900001764297</v>
      </c>
      <c r="G676" s="15" t="n">
        <v>2.17840003967285</v>
      </c>
      <c r="H676" s="16">
        <f>C676+E676</f>
        <v/>
      </c>
    </row>
    <row r="677">
      <c r="A677" s="12" t="n">
        <v>42990</v>
      </c>
      <c r="B677" s="15" t="n">
        <v>-0.0861000027507544</v>
      </c>
      <c r="C677" s="15" t="n">
        <v>0.107100002467632</v>
      </c>
      <c r="D677" s="15" t="n">
        <v>2.20980000495911</v>
      </c>
      <c r="E677" s="15" t="n">
        <v>-0.0161000210791826</v>
      </c>
      <c r="F677" s="15" t="n">
        <v>0.362399995326996</v>
      </c>
      <c r="G677" s="15" t="n">
        <v>2.2146999835968</v>
      </c>
      <c r="H677" s="16">
        <f>C677+E677</f>
        <v/>
      </c>
    </row>
    <row r="678">
      <c r="A678" s="12" t="n">
        <v>42991</v>
      </c>
      <c r="B678" s="15" t="n">
        <v>-0.07810000330209731</v>
      </c>
      <c r="C678" s="15" t="n">
        <v>0.117200002074242</v>
      </c>
      <c r="D678" s="15" t="n">
        <v>2.21600008010864</v>
      </c>
      <c r="E678" s="15" t="n">
        <v>-0.0137999728322029</v>
      </c>
      <c r="F678" s="15" t="n">
        <v>0.366200000047684</v>
      </c>
      <c r="G678" s="15" t="n">
        <v>2.24130010604858</v>
      </c>
      <c r="H678" s="16">
        <f>C678+E678</f>
        <v/>
      </c>
    </row>
    <row r="679">
      <c r="A679" s="12" t="n">
        <v>42992</v>
      </c>
      <c r="B679" s="15" t="n">
        <v>-0.0763000026345253</v>
      </c>
      <c r="C679" s="15" t="n">
        <v>0.11540000140667</v>
      </c>
      <c r="D679" s="15" t="n">
        <v>2.21519994735718</v>
      </c>
      <c r="E679" s="15" t="n">
        <v>-0.0140999034047127</v>
      </c>
      <c r="F679" s="15" t="n">
        <v>0.357300013303757</v>
      </c>
      <c r="G679" s="15" t="n">
        <v>2.24020004272461</v>
      </c>
      <c r="H679" s="16">
        <f>C679+E679</f>
        <v/>
      </c>
    </row>
    <row r="680">
      <c r="A680" s="12" t="n">
        <v>42993</v>
      </c>
      <c r="B680" s="15" t="n">
        <v>-0.0720000006258488</v>
      </c>
      <c r="C680" s="15" t="n">
        <v>0.118100002408028</v>
      </c>
      <c r="D680" s="15" t="n">
        <v>2.21679997444153</v>
      </c>
      <c r="E680" s="15" t="n">
        <v>-0.0133000425994396</v>
      </c>
      <c r="F680" s="15" t="n">
        <v>0.355399996042252</v>
      </c>
      <c r="G680" s="15" t="n">
        <v>2.24959993362427</v>
      </c>
      <c r="H680" s="16">
        <f>C680+E680</f>
        <v/>
      </c>
    </row>
    <row r="681">
      <c r="A681" s="12" t="n">
        <v>42996</v>
      </c>
      <c r="B681" s="15" t="n">
        <v>-0.06340000778436659</v>
      </c>
      <c r="C681" s="15" t="n">
        <v>0.127100005745888</v>
      </c>
      <c r="D681" s="15" t="n">
        <v>2.2228000164032</v>
      </c>
      <c r="E681" s="15" t="n">
        <v>-0.0113001242280006</v>
      </c>
      <c r="F681" s="15" t="n">
        <v>0.344599992036819</v>
      </c>
      <c r="G681" s="15" t="n">
        <v>2.27519989013672</v>
      </c>
      <c r="H681" s="16">
        <f>C681+E681</f>
        <v/>
      </c>
    </row>
    <row r="682">
      <c r="A682" s="12" t="n">
        <v>42997</v>
      </c>
      <c r="B682" s="15" t="n">
        <v>-0.0586000010371208</v>
      </c>
      <c r="C682" s="15" t="n">
        <v>0.131099998950958</v>
      </c>
      <c r="D682" s="15" t="n">
        <v>2.22569990158081</v>
      </c>
      <c r="E682" s="15" t="n">
        <v>-0.0104999616742134</v>
      </c>
      <c r="F682" s="15" t="n">
        <v>0.350800007581711</v>
      </c>
      <c r="G682" s="15" t="n">
        <v>2.28769993782043</v>
      </c>
      <c r="H682" s="16">
        <f>C682+E682</f>
        <v/>
      </c>
    </row>
    <row r="683">
      <c r="A683" s="12" t="n">
        <v>42998</v>
      </c>
      <c r="B683" s="15" t="n">
        <v>-0.0432000011205673</v>
      </c>
      <c r="C683" s="15" t="n">
        <v>0.145099997520447</v>
      </c>
      <c r="D683" s="15" t="n">
        <v>2.23499989509583</v>
      </c>
      <c r="E683" s="15" t="n">
        <v>-0.00729979574680328</v>
      </c>
      <c r="F683" s="15" t="n">
        <v>0.375999987125397</v>
      </c>
      <c r="G683" s="15" t="n">
        <v>2.3296000957489</v>
      </c>
      <c r="H683" s="16">
        <f>C683+E683</f>
        <v/>
      </c>
    </row>
    <row r="684">
      <c r="A684" s="12" t="n">
        <v>42999</v>
      </c>
      <c r="B684" s="15" t="n">
        <v>-0.0471000000834465</v>
      </c>
      <c r="C684" s="15" t="n">
        <v>0.141599997878075</v>
      </c>
      <c r="D684" s="15" t="n">
        <v>2.23210000991821</v>
      </c>
      <c r="E684" s="15" t="n">
        <v>-0.00780003517866135</v>
      </c>
      <c r="F684" s="15" t="n">
        <v>0.38629999756813</v>
      </c>
      <c r="G684" s="15" t="n">
        <v>2.31879997253418</v>
      </c>
      <c r="H684" s="16">
        <f>C684+E684</f>
        <v/>
      </c>
    </row>
    <row r="685">
      <c r="A685" s="12" t="n">
        <v>43000</v>
      </c>
      <c r="B685" s="15" t="n">
        <v>-0.0517000034451485</v>
      </c>
      <c r="C685" s="15" t="n">
        <v>0.135600000619888</v>
      </c>
      <c r="D685" s="15" t="n">
        <v>2.22819995880127</v>
      </c>
      <c r="E685" s="15" t="n">
        <v>-0.00909998267889023</v>
      </c>
      <c r="F685" s="15" t="n">
        <v>0.369199991226196</v>
      </c>
      <c r="G685" s="15" t="n">
        <v>2.30299997329712</v>
      </c>
      <c r="H685" s="16">
        <f>C685+E685</f>
        <v/>
      </c>
    </row>
    <row r="686">
      <c r="A686" s="12" t="n">
        <v>43003</v>
      </c>
      <c r="B686" s="15" t="n">
        <v>-0.0645999982953072</v>
      </c>
      <c r="C686" s="15" t="n">
        <v>0.118699997663498</v>
      </c>
      <c r="D686" s="15" t="n">
        <v>2.21770000457764</v>
      </c>
      <c r="E686" s="15" t="n">
        <v>-0.0129000768065453</v>
      </c>
      <c r="F686" s="15" t="n">
        <v>0.358999997377396</v>
      </c>
      <c r="G686" s="15" t="n">
        <v>2.25889992713928</v>
      </c>
      <c r="H686" s="16">
        <f>C686+E686</f>
        <v/>
      </c>
    </row>
    <row r="687">
      <c r="A687" s="12" t="n">
        <v>43004</v>
      </c>
      <c r="B687" s="15" t="n">
        <v>-0.0578000098466873</v>
      </c>
      <c r="C687" s="15" t="n">
        <v>0.126300007104874</v>
      </c>
      <c r="D687" s="15" t="n">
        <v>2.22259998321533</v>
      </c>
      <c r="E687" s="15" t="n">
        <v>-0.0111999064683914</v>
      </c>
      <c r="F687" s="15" t="n">
        <v>0.365500003099442</v>
      </c>
      <c r="G687" s="15" t="n">
        <v>2.27990007400513</v>
      </c>
      <c r="H687" s="16">
        <f>C687+E687</f>
        <v/>
      </c>
    </row>
    <row r="688">
      <c r="A688" s="12" t="n">
        <v>43005</v>
      </c>
      <c r="B688" s="15" t="n">
        <v>-0.0388000011444092</v>
      </c>
      <c r="C688" s="15" t="n">
        <v>0.149900004267693</v>
      </c>
      <c r="D688" s="15" t="n">
        <v>2.23769998550415</v>
      </c>
      <c r="E688" s="15" t="n">
        <v>-0.0060000866651535</v>
      </c>
      <c r="F688" s="15" t="n">
        <v>0.360000014305115</v>
      </c>
      <c r="G688" s="15" t="n">
        <v>2.34279990196228</v>
      </c>
      <c r="H688" s="16">
        <f>C688+E688</f>
        <v/>
      </c>
    </row>
    <row r="689">
      <c r="A689" s="12" t="n">
        <v>43006</v>
      </c>
      <c r="B689" s="15" t="n">
        <v>-0.0413999930024147</v>
      </c>
      <c r="C689" s="15" t="n">
        <v>0.154699996113777</v>
      </c>
      <c r="D689" s="15" t="n">
        <v>2.23959994316101</v>
      </c>
      <c r="E689" s="15" t="n">
        <v>-0.00489989668130875</v>
      </c>
      <c r="F689" s="15" t="n">
        <v>0.358999997377396</v>
      </c>
      <c r="G689" s="15" t="n">
        <v>2.34800004959106</v>
      </c>
      <c r="H689" s="16">
        <f>C689+E689</f>
        <v/>
      </c>
    </row>
    <row r="690">
      <c r="A690" s="12" t="n">
        <v>43007</v>
      </c>
      <c r="B690" s="15" t="n">
        <v>-0.0305999964475632</v>
      </c>
      <c r="C690" s="15" t="n">
        <v>0.162900000810623</v>
      </c>
      <c r="D690" s="15" t="n">
        <v>2.24559998512268</v>
      </c>
      <c r="E690" s="15" t="n">
        <v>-0.00310002267360687</v>
      </c>
      <c r="F690" s="15" t="n">
        <v>0.382600009441376</v>
      </c>
      <c r="G690" s="15" t="n">
        <v>2.37479996681213</v>
      </c>
      <c r="H690" s="16">
        <f>C690+E690</f>
        <v/>
      </c>
    </row>
    <row r="691">
      <c r="A691" s="12" t="n">
        <v>43010</v>
      </c>
      <c r="B691" s="15" t="n">
        <v>-0.0250999927520752</v>
      </c>
      <c r="C691" s="15" t="n">
        <v>0.163699999451637</v>
      </c>
      <c r="D691" s="15" t="n">
        <v>2.24710011482239</v>
      </c>
      <c r="E691" s="15" t="n">
        <v>-0.00300015509128571</v>
      </c>
      <c r="F691" s="15" t="n">
        <v>0.396499991416931</v>
      </c>
      <c r="G691" s="15" t="n">
        <v>2.38269996643066</v>
      </c>
      <c r="H691" s="16">
        <f>C691+E691</f>
        <v/>
      </c>
    </row>
    <row r="692">
      <c r="A692" s="12" t="n">
        <v>43011</v>
      </c>
      <c r="B692" s="15" t="n">
        <v>-0.030799999833107</v>
      </c>
      <c r="C692" s="15" t="n">
        <v>0.158199995756149</v>
      </c>
      <c r="D692" s="15" t="n">
        <v>2.24340009689331</v>
      </c>
      <c r="E692" s="15" t="n">
        <v>-0.00430019199848175</v>
      </c>
      <c r="F692" s="15" t="n">
        <v>0.390300005674362</v>
      </c>
      <c r="G692" s="15" t="n">
        <v>2.36649990081787</v>
      </c>
      <c r="H692" s="16">
        <f>C692+E692</f>
        <v/>
      </c>
    </row>
    <row r="693">
      <c r="A693" s="12" t="n">
        <v>43012</v>
      </c>
      <c r="B693" s="15" t="n">
        <v>-0.030799999833107</v>
      </c>
      <c r="C693" s="15" t="n">
        <v>0.158199995756149</v>
      </c>
      <c r="D693" s="15" t="n">
        <v>2.24340009689331</v>
      </c>
      <c r="E693" s="15" t="n">
        <v>-0.00420005619525909</v>
      </c>
      <c r="F693" s="15" t="n">
        <v>0.380299985408783</v>
      </c>
      <c r="G693" s="15" t="n">
        <v>2.36660003662109</v>
      </c>
      <c r="H693" s="16">
        <f>C693+E693</f>
        <v/>
      </c>
    </row>
    <row r="694">
      <c r="A694" s="12" t="n">
        <v>43013</v>
      </c>
      <c r="B694" s="15" t="n">
        <v>-0.0244000107049942</v>
      </c>
      <c r="C694" s="15" t="n">
        <v>0.165700003504753</v>
      </c>
      <c r="D694" s="15" t="n">
        <v>2.24810004234314</v>
      </c>
      <c r="E694" s="15" t="n">
        <v>-0.00250008702278137</v>
      </c>
      <c r="F694" s="15" t="n">
        <v>0.375200003385544</v>
      </c>
      <c r="G694" s="15" t="n">
        <v>2.38689994812012</v>
      </c>
      <c r="H694" s="16">
        <f>C694+E694</f>
        <v/>
      </c>
    </row>
    <row r="695">
      <c r="A695" s="12" t="n">
        <v>43014</v>
      </c>
      <c r="B695" s="15" t="n">
        <v>-0.0163000077009201</v>
      </c>
      <c r="C695" s="15" t="n">
        <v>0.172900006175041</v>
      </c>
      <c r="D695" s="15" t="n">
        <v>2.25289988517761</v>
      </c>
      <c r="E695" s="15" t="n">
        <v>-0.000799894332885742</v>
      </c>
      <c r="F695" s="15" t="n">
        <v>0.3783999979496</v>
      </c>
      <c r="G695" s="15" t="n">
        <v>2.40869998931885</v>
      </c>
      <c r="H695" s="16">
        <f>C695+E695</f>
        <v/>
      </c>
    </row>
    <row r="696">
      <c r="A696" s="12" t="n">
        <v>43018</v>
      </c>
      <c r="B696" s="15" t="n">
        <v>-0.0181999951601028</v>
      </c>
      <c r="C696" s="15" t="n">
        <v>0.158099994063377</v>
      </c>
      <c r="D696" s="15" t="n">
        <v>2.24620008468628</v>
      </c>
      <c r="E696" s="15" t="n">
        <v>-0.00469997525215149</v>
      </c>
      <c r="F696" s="15" t="n">
        <v>0.361000001430511</v>
      </c>
      <c r="G696" s="15" t="n">
        <v>2.3814001083374</v>
      </c>
      <c r="H696" s="16">
        <f>C696+E696</f>
        <v/>
      </c>
    </row>
    <row r="697">
      <c r="A697" s="12" t="n">
        <v>43019</v>
      </c>
      <c r="B697" s="15" t="n">
        <v>-0.020100012421608</v>
      </c>
      <c r="C697" s="15" t="n">
        <v>0.157100006937981</v>
      </c>
      <c r="D697" s="15" t="n">
        <v>2.24530005455017</v>
      </c>
      <c r="E697" s="15" t="n">
        <v>-0.00490012764930725</v>
      </c>
      <c r="F697" s="15" t="n">
        <v>0.358500003814697</v>
      </c>
      <c r="G697" s="15" t="n">
        <v>2.37739992141724</v>
      </c>
      <c r="H697" s="16">
        <f>C697+E697</f>
        <v/>
      </c>
    </row>
    <row r="698">
      <c r="A698" s="12" t="n">
        <v>43020</v>
      </c>
      <c r="B698" s="15" t="n">
        <v>-0.0219999998807907</v>
      </c>
      <c r="C698" s="15" t="n">
        <v>0.149000003933907</v>
      </c>
      <c r="D698" s="15" t="n">
        <v>2.24110007286072</v>
      </c>
      <c r="E698" s="15" t="n">
        <v>-0.0068000853061676</v>
      </c>
      <c r="F698" s="15" t="n">
        <v>0.35139998793602</v>
      </c>
      <c r="G698" s="15" t="n">
        <v>2.36129999160767</v>
      </c>
      <c r="H698" s="16">
        <f>C698+E698</f>
        <v/>
      </c>
    </row>
    <row r="699">
      <c r="A699" s="12" t="n">
        <v>43021</v>
      </c>
      <c r="B699" s="15" t="n">
        <v>-0.0360000059008598</v>
      </c>
      <c r="C699" s="15" t="n">
        <v>0.134200006723404</v>
      </c>
      <c r="D699" s="15" t="n">
        <v>2.23110008239746</v>
      </c>
      <c r="E699" s="15" t="n">
        <v>-0.0100001469254494</v>
      </c>
      <c r="F699" s="15" t="n">
        <v>0.372000008821487</v>
      </c>
      <c r="G699" s="15" t="n">
        <v>2.31929993629456</v>
      </c>
      <c r="H699" s="16">
        <f>C699+E699</f>
        <v/>
      </c>
    </row>
    <row r="700">
      <c r="A700" s="12" t="n">
        <v>43024</v>
      </c>
      <c r="B700" s="15" t="n">
        <v>-0.0291999951004982</v>
      </c>
      <c r="C700" s="15" t="n">
        <v>0.141299992799759</v>
      </c>
      <c r="D700" s="15" t="n">
        <v>2.23489999771118</v>
      </c>
      <c r="E700" s="15" t="n">
        <v>-0.00800000876188278</v>
      </c>
      <c r="F700" s="15" t="n">
        <v>0.391400009393692</v>
      </c>
      <c r="G700" s="15" t="n">
        <v>2.33899998664856</v>
      </c>
      <c r="H700" s="16">
        <f>C700+E700</f>
        <v/>
      </c>
    </row>
    <row r="701">
      <c r="A701" s="12" t="n">
        <v>43025</v>
      </c>
      <c r="B701" s="15" t="n">
        <v>-0.0282000005245209</v>
      </c>
      <c r="C701" s="15" t="n">
        <v>0.138899996876717</v>
      </c>
      <c r="D701" s="15" t="n">
        <v>2.2335000038147</v>
      </c>
      <c r="E701" s="15" t="n">
        <v>-0.00840006768703461</v>
      </c>
      <c r="F701" s="15" t="n">
        <v>0.396800011396408</v>
      </c>
      <c r="G701" s="15" t="n">
        <v>2.33579993247986</v>
      </c>
      <c r="H701" s="16">
        <f>C701+E701</f>
        <v/>
      </c>
    </row>
    <row r="702">
      <c r="A702" s="12" t="n">
        <v>43026</v>
      </c>
      <c r="B702" s="15" t="n">
        <v>-0.0187000036239624</v>
      </c>
      <c r="C702" s="15" t="n">
        <v>0.153400003910065</v>
      </c>
      <c r="D702" s="15" t="n">
        <v>2.2418999671936</v>
      </c>
      <c r="E702" s="15" t="n">
        <v>-0.00489991903305054</v>
      </c>
      <c r="F702" s="15" t="n">
        <v>0.400599986314774</v>
      </c>
      <c r="G702" s="15" t="n">
        <v>2.37170004844666</v>
      </c>
      <c r="H702" s="16">
        <f>C702+E702</f>
        <v/>
      </c>
    </row>
    <row r="703">
      <c r="A703" s="12" t="n">
        <v>43027</v>
      </c>
      <c r="B703" s="15" t="n">
        <v>-0.021699994802475</v>
      </c>
      <c r="C703" s="15" t="n">
        <v>0.147900000214577</v>
      </c>
      <c r="D703" s="15" t="n">
        <v>2.2386999130249</v>
      </c>
      <c r="E703" s="15" t="n">
        <v>-0.00619988143444061</v>
      </c>
      <c r="F703" s="15" t="n">
        <v>0.402099996805191</v>
      </c>
      <c r="G703" s="15" t="n">
        <v>2.35870003700256</v>
      </c>
      <c r="H703" s="16">
        <f>C703+E703</f>
        <v/>
      </c>
    </row>
    <row r="704">
      <c r="A704" s="12" t="n">
        <v>43028</v>
      </c>
      <c r="B704" s="15" t="n">
        <v>-0.00450000166893005</v>
      </c>
      <c r="C704" s="15" t="n">
        <v>0.167500004172325</v>
      </c>
      <c r="D704" s="15" t="n">
        <v>2.25149989128113</v>
      </c>
      <c r="E704" s="15" t="n">
        <v>-0.00199998915195465</v>
      </c>
      <c r="F704" s="15" t="n">
        <v>0.390500009059906</v>
      </c>
      <c r="G704" s="15" t="n">
        <v>2.41249990463257</v>
      </c>
      <c r="H704" s="16">
        <f>C704+E704</f>
        <v/>
      </c>
    </row>
    <row r="705">
      <c r="A705" s="12" t="n">
        <v>43031</v>
      </c>
      <c r="B705" s="15" t="n">
        <v>-0.00939999520778656</v>
      </c>
      <c r="C705" s="15" t="n">
        <v>0.165500000119209</v>
      </c>
      <c r="D705" s="15" t="n">
        <v>2.24970006942749</v>
      </c>
      <c r="E705" s="15" t="n">
        <v>-0.00240013003349304</v>
      </c>
      <c r="F705" s="15" t="n">
        <v>0.388999998569489</v>
      </c>
      <c r="G705" s="15" t="n">
        <v>2.40339994430542</v>
      </c>
      <c r="H705" s="16">
        <f>C705+E705</f>
        <v/>
      </c>
    </row>
    <row r="706">
      <c r="A706" s="12" t="n">
        <v>43032</v>
      </c>
      <c r="B706" s="15" t="n">
        <v>0.0065000057220459</v>
      </c>
      <c r="C706" s="15" t="n">
        <v>0.179299995303154</v>
      </c>
      <c r="D706" s="15" t="n">
        <v>2.25979995727539</v>
      </c>
      <c r="E706" s="15" t="n">
        <v>0.000500038266181946</v>
      </c>
      <c r="F706" s="15" t="n">
        <v>0.393700003623962</v>
      </c>
      <c r="G706" s="15" t="n">
        <v>2.44609999656677</v>
      </c>
      <c r="H706" s="16">
        <f>C706+E706</f>
        <v/>
      </c>
    </row>
    <row r="707">
      <c r="A707" s="12" t="n">
        <v>43033</v>
      </c>
      <c r="B707" s="15" t="n">
        <v>0.0128999948501587</v>
      </c>
      <c r="C707" s="15" t="n">
        <v>0.187800005078316</v>
      </c>
      <c r="D707" s="15" t="n">
        <v>2.26530003547668</v>
      </c>
      <c r="E707" s="15" t="n">
        <v>0.00230006873607635</v>
      </c>
      <c r="F707" s="15" t="n">
        <v>0.394199997186661</v>
      </c>
      <c r="G707" s="15" t="n">
        <v>2.46830010414124</v>
      </c>
      <c r="H707" s="16">
        <f>C707+E707</f>
        <v/>
      </c>
    </row>
    <row r="708">
      <c r="A708" s="12" t="n">
        <v>43034</v>
      </c>
      <c r="B708" s="15" t="n">
        <v>0.0201999992132187</v>
      </c>
      <c r="C708" s="15" t="n">
        <v>0.194199994206429</v>
      </c>
      <c r="D708" s="15" t="n">
        <v>2.26979994773865</v>
      </c>
      <c r="E708" s="15" t="n">
        <v>0.00370007753372192</v>
      </c>
      <c r="F708" s="15" t="n">
        <v>0.390300005674362</v>
      </c>
      <c r="G708" s="15" t="n">
        <v>2.48790001869202</v>
      </c>
      <c r="H708" s="16">
        <f>C708+E708</f>
        <v/>
      </c>
    </row>
    <row r="709">
      <c r="A709" s="12" t="n">
        <v>43035</v>
      </c>
      <c r="B709" s="15" t="n">
        <v>0.00800000131130219</v>
      </c>
      <c r="C709" s="15" t="n">
        <v>0.181400001049042</v>
      </c>
      <c r="D709" s="15" t="n">
        <v>2.26139998435974</v>
      </c>
      <c r="E709" s="15" t="n">
        <v>0.000800088047981262</v>
      </c>
      <c r="F709" s="15" t="n">
        <v>0.376800000667572</v>
      </c>
      <c r="G709" s="15" t="n">
        <v>2.45160007476807</v>
      </c>
      <c r="H709" s="16">
        <f>C709+E709</f>
        <v/>
      </c>
    </row>
    <row r="710">
      <c r="A710" s="12" t="n">
        <v>43038</v>
      </c>
      <c r="B710" s="15" t="n">
        <v>-0.0103999972343445</v>
      </c>
      <c r="C710" s="15" t="n">
        <v>0.166899994015694</v>
      </c>
      <c r="D710" s="15" t="n">
        <v>2.25040006637573</v>
      </c>
      <c r="E710" s="15" t="n">
        <v>-0.00210012495517731</v>
      </c>
      <c r="F710" s="15" t="n">
        <v>0.374599993228912</v>
      </c>
      <c r="G710" s="15" t="n">
        <v>2.4047999382019</v>
      </c>
      <c r="H710" s="16">
        <f>C710+E710</f>
        <v/>
      </c>
    </row>
    <row r="711">
      <c r="A711" s="12" t="n">
        <v>43039</v>
      </c>
      <c r="B711" s="15" t="n">
        <v>-0.00289998948574066</v>
      </c>
      <c r="C711" s="15" t="n">
        <v>0.163499996066093</v>
      </c>
      <c r="D711" s="15" t="n">
        <v>2.2506000995636</v>
      </c>
      <c r="E711" s="15" t="n">
        <v>-0.00320011377334595</v>
      </c>
      <c r="F711" s="15" t="n">
        <v>0.369700014591217</v>
      </c>
      <c r="G711" s="15" t="n">
        <v>2.40799999237061</v>
      </c>
      <c r="H711" s="16">
        <f>C711+E711</f>
        <v/>
      </c>
    </row>
    <row r="712">
      <c r="A712" s="12" t="n">
        <v>43040</v>
      </c>
      <c r="B712" s="15" t="n">
        <v>-0.00110000371932983</v>
      </c>
      <c r="C712" s="15" t="n">
        <v>0.156499996781349</v>
      </c>
      <c r="D712" s="15" t="n">
        <v>2.24769997596741</v>
      </c>
      <c r="E712" s="15" t="n">
        <v>-0.00489993393421173</v>
      </c>
      <c r="F712" s="15" t="n">
        <v>0.366600006818771</v>
      </c>
      <c r="G712" s="15" t="n">
        <v>2.39820003509521</v>
      </c>
      <c r="H712" s="16">
        <f>C712+E712</f>
        <v/>
      </c>
    </row>
    <row r="713">
      <c r="A713" s="12" t="n">
        <v>43041</v>
      </c>
      <c r="B713" s="15" t="n">
        <v>-0.0072999894618988</v>
      </c>
      <c r="C713" s="15" t="n">
        <v>0.149299994111061</v>
      </c>
      <c r="D713" s="15" t="n">
        <v>2.24289989471436</v>
      </c>
      <c r="E713" s="15" t="n">
        <v>-0.00649981200695038</v>
      </c>
      <c r="F713" s="15" t="n">
        <v>0.365299999713898</v>
      </c>
      <c r="G713" s="15" t="n">
        <v>2.37840008735657</v>
      </c>
      <c r="H713" s="16">
        <f>C713+E713</f>
        <v/>
      </c>
    </row>
    <row r="714">
      <c r="A714" s="12" t="n">
        <v>43042</v>
      </c>
      <c r="B714" s="15" t="n">
        <v>-0.00980000197887421</v>
      </c>
      <c r="C714" s="15" t="n">
        <v>0.142100006341934</v>
      </c>
      <c r="D714" s="15" t="n">
        <v>2.23900008201599</v>
      </c>
      <c r="E714" s="15" t="n">
        <v>-0.008200034499168399</v>
      </c>
      <c r="F714" s="15" t="n">
        <v>0.372500002384186</v>
      </c>
      <c r="G714" s="15" t="n">
        <v>2.36310005187988</v>
      </c>
      <c r="H714" s="16">
        <f>C714+E714</f>
        <v/>
      </c>
    </row>
    <row r="715">
      <c r="A715" s="12" t="n">
        <v>43045</v>
      </c>
      <c r="B715" s="15" t="n">
        <v>-0.0152000039815903</v>
      </c>
      <c r="C715" s="15" t="n">
        <v>0.133300006389618</v>
      </c>
      <c r="D715" s="15" t="n">
        <v>2.23359990119934</v>
      </c>
      <c r="E715" s="15" t="n">
        <v>-0.0101998597383499</v>
      </c>
      <c r="F715" s="15" t="n">
        <v>0.362500011920929</v>
      </c>
      <c r="G715" s="15" t="n">
        <v>2.34150004386902</v>
      </c>
      <c r="H715" s="16">
        <f>C715+E715</f>
        <v/>
      </c>
    </row>
    <row r="716">
      <c r="A716" s="12" t="n">
        <v>43046</v>
      </c>
      <c r="B716" s="15" t="n">
        <v>-0.0134000033140182</v>
      </c>
      <c r="C716" s="15" t="n">
        <v>0.126200005412102</v>
      </c>
      <c r="D716" s="15" t="n">
        <v>2.23079991340637</v>
      </c>
      <c r="E716" s="15" t="n">
        <v>-0.0119999647140503</v>
      </c>
      <c r="F716" s="15" t="n">
        <v>0.354600012302399</v>
      </c>
      <c r="G716" s="15" t="n">
        <v>2.33159995079041</v>
      </c>
      <c r="H716" s="16">
        <f>C716+E716</f>
        <v/>
      </c>
    </row>
    <row r="717">
      <c r="A717" s="12" t="n">
        <v>43047</v>
      </c>
      <c r="B717" s="15" t="n">
        <v>-0.00599999725818634</v>
      </c>
      <c r="C717" s="15" t="n">
        <v>0.131099998950958</v>
      </c>
      <c r="D717" s="15" t="n">
        <v>2.23460006713867</v>
      </c>
      <c r="E717" s="15" t="n">
        <v>-0.0111001580953598</v>
      </c>
      <c r="F717" s="15" t="n">
        <v>0.352800011634827</v>
      </c>
      <c r="G717" s="15" t="n">
        <v>2.34859991073608</v>
      </c>
      <c r="H717" s="16">
        <f>C717+E717</f>
        <v/>
      </c>
    </row>
    <row r="718">
      <c r="A718" s="12" t="n">
        <v>43048</v>
      </c>
      <c r="B718" s="15" t="n">
        <v>-0.00290000438690186</v>
      </c>
      <c r="C718" s="15" t="n">
        <v>0.13459999859333</v>
      </c>
      <c r="D718" s="15" t="n">
        <v>2.23740005493164</v>
      </c>
      <c r="E718" s="15" t="n">
        <v>-0.0105001479387283</v>
      </c>
      <c r="F718" s="15" t="n">
        <v>0.353199988603592</v>
      </c>
      <c r="G718" s="15" t="n">
        <v>2.35859990119934</v>
      </c>
      <c r="H718" s="16">
        <f>C718+E718</f>
        <v/>
      </c>
    </row>
    <row r="719">
      <c r="A719" s="12" t="n">
        <v>43049</v>
      </c>
      <c r="B719" s="15" t="n">
        <v>0.0200000107288361</v>
      </c>
      <c r="C719" s="15" t="n">
        <v>0.162599995732307</v>
      </c>
      <c r="D719" s="15" t="n">
        <v>2.25550007820129</v>
      </c>
      <c r="E719" s="15" t="n">
        <v>-0.00430010259151459</v>
      </c>
      <c r="F719" s="15" t="n">
        <v>0.365200012922287</v>
      </c>
      <c r="G719" s="15" t="n">
        <v>2.43379998207092</v>
      </c>
      <c r="H719" s="16">
        <f>C719+E719</f>
        <v/>
      </c>
    </row>
    <row r="720">
      <c r="A720" s="12" t="n">
        <v>43052</v>
      </c>
      <c r="B720" s="15" t="n">
        <v>0.0240000039339066</v>
      </c>
      <c r="C720" s="15" t="n">
        <v>0.162900000810623</v>
      </c>
      <c r="D720" s="15" t="n">
        <v>2.25620007514954</v>
      </c>
      <c r="E720" s="15" t="n">
        <v>-0.00429998338222504</v>
      </c>
      <c r="F720" s="15" t="n">
        <v>0.366200000047684</v>
      </c>
      <c r="G720" s="15" t="n">
        <v>2.43880009651184</v>
      </c>
      <c r="H720" s="16">
        <f>C720+E720</f>
        <v/>
      </c>
    </row>
    <row r="721">
      <c r="A721" s="12" t="n">
        <v>43053</v>
      </c>
      <c r="B721" s="15" t="n">
        <v>0.0210999995470047</v>
      </c>
      <c r="C721" s="15" t="n">
        <v>0.152999997138977</v>
      </c>
      <c r="D721" s="15" t="n">
        <v>2.25099992752075</v>
      </c>
      <c r="E721" s="15" t="n">
        <v>-0.00659997761249542</v>
      </c>
      <c r="F721" s="15" t="n">
        <v>0.372000008821487</v>
      </c>
      <c r="G721" s="15" t="n">
        <v>2.41849994659424</v>
      </c>
      <c r="H721" s="16">
        <f>C721+E721</f>
        <v/>
      </c>
    </row>
    <row r="722">
      <c r="A722" s="12" t="n">
        <v>43054</v>
      </c>
      <c r="B722" s="15" t="n">
        <v>0.0064999908208847</v>
      </c>
      <c r="C722" s="15" t="n">
        <v>0.133100003004074</v>
      </c>
      <c r="D722" s="15" t="n">
        <v>2.23839998245239</v>
      </c>
      <c r="E722" s="15" t="n">
        <v>-0.0109998732805252</v>
      </c>
      <c r="F722" s="15" t="n">
        <v>0.370900005102158</v>
      </c>
      <c r="G722" s="15" t="n">
        <v>2.36700010299683</v>
      </c>
      <c r="H722" s="16">
        <f>C722+E722</f>
        <v/>
      </c>
    </row>
    <row r="723">
      <c r="A723" s="12" t="n">
        <v>43055</v>
      </c>
      <c r="B723" s="15" t="n">
        <v>0.0205000042915344</v>
      </c>
      <c r="C723" s="15" t="n">
        <v>0.142499998211861</v>
      </c>
      <c r="D723" s="15" t="n">
        <v>2.24580001831055</v>
      </c>
      <c r="E723" s="15" t="n">
        <v>-0.00910009443759918</v>
      </c>
      <c r="F723" s="15" t="n">
        <v>0.373800009489059</v>
      </c>
      <c r="G723" s="15" t="n">
        <v>2.39969992637634</v>
      </c>
      <c r="H723" s="16">
        <f>C723+E723</f>
        <v/>
      </c>
    </row>
    <row r="724">
      <c r="A724" s="12" t="n">
        <v>43056</v>
      </c>
      <c r="B724" s="15" t="n">
        <v>0.0163999944925308</v>
      </c>
      <c r="C724" s="15" t="n">
        <v>0.135000005364418</v>
      </c>
      <c r="D724" s="15" t="n">
        <v>2.24130010604858</v>
      </c>
      <c r="E724" s="15" t="n">
        <v>-0.0108000338077545</v>
      </c>
      <c r="F724" s="15" t="n">
        <v>0.375400006771088</v>
      </c>
      <c r="G724" s="15" t="n">
        <v>2.38190007209778</v>
      </c>
      <c r="H724" s="16">
        <f>C724+E724</f>
        <v/>
      </c>
    </row>
    <row r="725">
      <c r="A725" s="12" t="n">
        <v>43059</v>
      </c>
      <c r="B725" s="15" t="n">
        <v>0.0294999927282333</v>
      </c>
      <c r="C725" s="15" t="n">
        <v>0.139300003647804</v>
      </c>
      <c r="D725" s="15" t="n">
        <v>2.24600005149841</v>
      </c>
      <c r="E725" s="15" t="n">
        <v>-0.0100001096725464</v>
      </c>
      <c r="F725" s="15" t="n">
        <v>0.38170000910759</v>
      </c>
      <c r="G725" s="15" t="n">
        <v>2.4047999382019</v>
      </c>
      <c r="H725" s="16">
        <f>C725+E725</f>
        <v/>
      </c>
    </row>
    <row r="726">
      <c r="A726" s="12" t="n">
        <v>43060</v>
      </c>
      <c r="B726" s="15" t="n">
        <v>0.0294000059366226</v>
      </c>
      <c r="C726" s="15" t="n">
        <v>0.136999994516373</v>
      </c>
      <c r="D726" s="15" t="n">
        <v>2.24429988861084</v>
      </c>
      <c r="E726" s="15" t="n">
        <v>-0.0102999657392502</v>
      </c>
      <c r="F726" s="15" t="n">
        <v>0.390500009059906</v>
      </c>
      <c r="G726" s="15" t="n">
        <v>2.40039992332458</v>
      </c>
      <c r="H726" s="16">
        <f>C726+E726</f>
        <v/>
      </c>
    </row>
    <row r="727">
      <c r="A727" s="12" t="n">
        <v>43061</v>
      </c>
      <c r="B727" s="15" t="n">
        <v>0.0157000049948692</v>
      </c>
      <c r="C727" s="15" t="n">
        <v>0.121799997985363</v>
      </c>
      <c r="D727" s="15" t="n">
        <v>2.23469996452332</v>
      </c>
      <c r="E727" s="15" t="n">
        <v>-0.0138999968767166</v>
      </c>
      <c r="F727" s="15" t="n">
        <v>0.378100007772446</v>
      </c>
      <c r="G727" s="15" t="n">
        <v>2.35829997062683</v>
      </c>
      <c r="H727" s="16">
        <f>C727+E727</f>
        <v/>
      </c>
    </row>
    <row r="728">
      <c r="A728" s="12" t="n">
        <v>43063</v>
      </c>
      <c r="B728" s="15" t="n">
        <v>0.0210999995470047</v>
      </c>
      <c r="C728" s="15" t="n">
        <v>0.128600001335144</v>
      </c>
      <c r="D728" s="15" t="n">
        <v>2.23909997940063</v>
      </c>
      <c r="E728" s="15" t="n">
        <v>-0.0124998837709427</v>
      </c>
      <c r="F728" s="15" t="n">
        <v>0.383799999952316</v>
      </c>
      <c r="G728" s="15" t="n">
        <v>2.37630009651184</v>
      </c>
      <c r="H728" s="16">
        <f>C728+E728</f>
        <v/>
      </c>
    </row>
    <row r="729">
      <c r="A729" s="12" t="n">
        <v>43066</v>
      </c>
      <c r="B729" s="15" t="n">
        <v>0.0130999982357025</v>
      </c>
      <c r="C729" s="15" t="n">
        <v>0.125900000333786</v>
      </c>
      <c r="D729" s="15" t="n">
        <v>2.23589992523193</v>
      </c>
      <c r="E729" s="15" t="n">
        <v>-0.0126999020576477</v>
      </c>
      <c r="F729" s="15" t="n">
        <v>0.388799995183945</v>
      </c>
      <c r="G729" s="15" t="n">
        <v>2.36220002174377</v>
      </c>
      <c r="H729" s="16">
        <f>C729+E729</f>
        <v/>
      </c>
    </row>
    <row r="730">
      <c r="A730" s="12" t="n">
        <v>43067</v>
      </c>
      <c r="B730" s="15" t="n">
        <v>0.0207000076770782</v>
      </c>
      <c r="C730" s="15" t="n">
        <v>0.126399993896484</v>
      </c>
      <c r="D730" s="15" t="n">
        <v>2.23799991607666</v>
      </c>
      <c r="E730" s="15" t="n">
        <v>-0.0128999054431915</v>
      </c>
      <c r="F730" s="15" t="n">
        <v>0.391499996185303</v>
      </c>
      <c r="G730" s="15" t="n">
        <v>2.37220001220703</v>
      </c>
      <c r="H730" s="16">
        <f>C730+E730</f>
        <v/>
      </c>
    </row>
    <row r="731">
      <c r="A731" s="12" t="n">
        <v>43068</v>
      </c>
      <c r="B731" s="15" t="n">
        <v>0.0310000032186508</v>
      </c>
      <c r="C731" s="15" t="n">
        <v>0.141599997878075</v>
      </c>
      <c r="D731" s="15" t="n">
        <v>2.24729990959167</v>
      </c>
      <c r="E731" s="15" t="n">
        <v>-0.00949999690055847</v>
      </c>
      <c r="F731" s="15" t="n">
        <v>0.396899998188019</v>
      </c>
      <c r="G731" s="15" t="n">
        <v>2.41039991378784</v>
      </c>
      <c r="H731" s="16">
        <f>C731+E731</f>
        <v/>
      </c>
    </row>
    <row r="732">
      <c r="A732" s="12" t="n">
        <v>43069</v>
      </c>
      <c r="B732" s="15" t="n">
        <v>0.0435000061988831</v>
      </c>
      <c r="C732" s="15" t="n">
        <v>0.158999994397163</v>
      </c>
      <c r="D732" s="15" t="n">
        <v>2.25740003585815</v>
      </c>
      <c r="E732" s="15" t="n">
        <v>-0.00520004332065582</v>
      </c>
      <c r="F732" s="15" t="n">
        <v>0.397199988365173</v>
      </c>
      <c r="G732" s="15" t="n">
        <v>2.45469999313354</v>
      </c>
      <c r="H732" s="16">
        <f>C732+E732</f>
        <v/>
      </c>
    </row>
    <row r="733">
      <c r="A733" s="12" t="n">
        <v>43070</v>
      </c>
      <c r="B733" s="15" t="n">
        <v>0.0313999950885773</v>
      </c>
      <c r="C733" s="15" t="n">
        <v>0.138199999928474</v>
      </c>
      <c r="D733" s="15" t="n">
        <v>2.24460005760193</v>
      </c>
      <c r="E733" s="15" t="n">
        <v>-0.009900078177452089</v>
      </c>
      <c r="F733" s="15" t="n">
        <v>0.385899990797043</v>
      </c>
      <c r="G733" s="15" t="n">
        <v>2.40429997444153</v>
      </c>
      <c r="H733" s="16">
        <f>C733+E733</f>
        <v/>
      </c>
    </row>
    <row r="734">
      <c r="A734" s="12" t="n">
        <v>43073</v>
      </c>
      <c r="B734" s="15" t="n">
        <v>0.0348999947309494</v>
      </c>
      <c r="C734" s="15" t="n">
        <v>0.138300001621246</v>
      </c>
      <c r="D734" s="15" t="n">
        <v>2.24469995498657</v>
      </c>
      <c r="E734" s="15" t="n">
        <v>-0.009699925780296329</v>
      </c>
      <c r="F734" s="15" t="n">
        <v>0.374700009822845</v>
      </c>
      <c r="G734" s="15" t="n">
        <v>2.40820002555847</v>
      </c>
      <c r="H734" s="16">
        <f>C734+E734</f>
        <v/>
      </c>
    </row>
    <row r="735">
      <c r="A735" s="12" t="n">
        <v>43074</v>
      </c>
      <c r="B735" s="15" t="n">
        <v>0.0349000096321106</v>
      </c>
      <c r="C735" s="15" t="n">
        <v>0.128199994564056</v>
      </c>
      <c r="D735" s="15" t="n">
        <v>2.23970007896423</v>
      </c>
      <c r="E735" s="15" t="n">
        <v>-0.0119001865386963</v>
      </c>
      <c r="F735" s="15" t="n">
        <v>0.378100007772446</v>
      </c>
      <c r="G735" s="15" t="n">
        <v>2.3908998966217</v>
      </c>
      <c r="H735" s="16">
        <f>C735+E735</f>
        <v/>
      </c>
    </row>
    <row r="736">
      <c r="A736" s="12" t="n">
        <v>43075</v>
      </c>
      <c r="B736" s="15" t="n">
        <v>0.0244000032544136</v>
      </c>
      <c r="C736" s="15" t="n">
        <v>0.114000000059605</v>
      </c>
      <c r="D736" s="15" t="n">
        <v>2.23099994659424</v>
      </c>
      <c r="E736" s="15" t="n">
        <v>-0.015200063586235</v>
      </c>
      <c r="F736" s="15" t="n">
        <v>0.376500010490417</v>
      </c>
      <c r="G736" s="15" t="n">
        <v>2.35419988632202</v>
      </c>
      <c r="H736" s="16">
        <f>C736+E736</f>
        <v/>
      </c>
    </row>
    <row r="737">
      <c r="A737" s="12" t="n">
        <v>43076</v>
      </c>
      <c r="B737" s="15" t="n">
        <v>0.034400001168251</v>
      </c>
      <c r="C737" s="15" t="n">
        <v>0.130500003695488</v>
      </c>
      <c r="D737" s="15" t="n">
        <v>2.24090003967285</v>
      </c>
      <c r="E737" s="15" t="n">
        <v>-0.0115000605583191</v>
      </c>
      <c r="F737" s="15" t="n">
        <v>0.375400006771088</v>
      </c>
      <c r="G737" s="15" t="n">
        <v>2.39429998397827</v>
      </c>
      <c r="H737" s="16">
        <f>C737+E737</f>
        <v/>
      </c>
    </row>
    <row r="738">
      <c r="A738" s="12" t="n">
        <v>43077</v>
      </c>
      <c r="B738" s="15" t="n">
        <v>0.0342999994754791</v>
      </c>
      <c r="C738" s="15" t="n">
        <v>0.137199997901917</v>
      </c>
      <c r="D738" s="15" t="n">
        <v>2.24390006065369</v>
      </c>
      <c r="E738" s="15" t="n">
        <v>-0.00970008969306946</v>
      </c>
      <c r="F738" s="15" t="n">
        <v>0.372000008821487</v>
      </c>
      <c r="G738" s="15" t="n">
        <v>2.40569996833801</v>
      </c>
      <c r="H738" s="16">
        <f>C738+E738</f>
        <v/>
      </c>
    </row>
    <row r="739">
      <c r="A739" s="12" t="n">
        <v>43080</v>
      </c>
      <c r="B739" s="15" t="n">
        <v>0.039900004863739</v>
      </c>
      <c r="C739" s="15" t="n">
        <v>0.137899994850159</v>
      </c>
      <c r="D739" s="15" t="n">
        <v>2.24519991874695</v>
      </c>
      <c r="E739" s="15" t="n">
        <v>-0.009699881076812741</v>
      </c>
      <c r="F739" s="15" t="n">
        <v>0.3716000020504</v>
      </c>
      <c r="G739" s="15" t="n">
        <v>2.41330003738403</v>
      </c>
      <c r="H739" s="16">
        <f>C739+E739</f>
        <v/>
      </c>
    </row>
    <row r="740">
      <c r="A740" s="12" t="n">
        <v>43081</v>
      </c>
      <c r="B740" s="15" t="n">
        <v>0.0460000038146973</v>
      </c>
      <c r="C740" s="15" t="n">
        <v>0.140499994158745</v>
      </c>
      <c r="D740" s="15" t="n">
        <v>2.24790000915527</v>
      </c>
      <c r="E740" s="15" t="n">
        <v>-0.009299919009208679</v>
      </c>
      <c r="F740" s="15" t="n">
        <v>0.358999997377396</v>
      </c>
      <c r="G740" s="15" t="n">
        <v>2.42510008811951</v>
      </c>
      <c r="H740" s="16">
        <f>C740+E740</f>
        <v/>
      </c>
    </row>
    <row r="741">
      <c r="A741" s="12" t="n">
        <v>43082</v>
      </c>
      <c r="B741" s="15" t="n">
        <v>0.0296999961137772</v>
      </c>
      <c r="C741" s="15" t="n">
        <v>0.12720000743866</v>
      </c>
      <c r="D741" s="15" t="n">
        <v>2.23880004882812</v>
      </c>
      <c r="E741" s="15" t="n">
        <v>-0.0123000890016556</v>
      </c>
      <c r="F741" s="15" t="n">
        <v>0.368800014257431</v>
      </c>
      <c r="G741" s="15" t="n">
        <v>2.38339996337891</v>
      </c>
      <c r="H741" s="16">
        <f>C741+E741</f>
        <v/>
      </c>
    </row>
    <row r="742">
      <c r="A742" s="12" t="n">
        <v>43083</v>
      </c>
      <c r="B742" s="15" t="n">
        <v>0.0312000066041946</v>
      </c>
      <c r="C742" s="15" t="n">
        <v>0.123199999332428</v>
      </c>
      <c r="D742" s="15" t="n">
        <v>2.23699998855591</v>
      </c>
      <c r="E742" s="15" t="n">
        <v>-0.0133000761270523</v>
      </c>
      <c r="F742" s="15" t="n">
        <v>0.3682000041008</v>
      </c>
      <c r="G742" s="15" t="n">
        <v>2.37809991836548</v>
      </c>
      <c r="H742" s="16">
        <f>C742+E742</f>
        <v/>
      </c>
    </row>
    <row r="743">
      <c r="A743" s="12" t="n">
        <v>43084</v>
      </c>
      <c r="B743" s="15" t="n">
        <v>0.0328000038862228</v>
      </c>
      <c r="C743" s="15" t="n">
        <v>0.121299996972084</v>
      </c>
      <c r="D743" s="15" t="n">
        <v>2.23569989204407</v>
      </c>
      <c r="E743" s="15" t="n">
        <v>-0.0133998990058899</v>
      </c>
      <c r="F743" s="15" t="n">
        <v>0.372000008821487</v>
      </c>
      <c r="G743" s="15" t="n">
        <v>2.37639999389648</v>
      </c>
      <c r="H743" s="16">
        <f>C743+E743</f>
        <v/>
      </c>
    </row>
    <row r="744">
      <c r="A744" s="12" t="n">
        <v>43087</v>
      </c>
      <c r="B744" s="15" t="n">
        <v>0.0449000000953674</v>
      </c>
      <c r="C744" s="15" t="n">
        <v>0.131699994206429</v>
      </c>
      <c r="D744" s="15" t="n">
        <v>2.2435998916626</v>
      </c>
      <c r="E744" s="15" t="n">
        <v>-0.011499896645546</v>
      </c>
      <c r="F744" s="15" t="n">
        <v>0.369800001382828</v>
      </c>
      <c r="G744" s="15" t="n">
        <v>2.40869998931885</v>
      </c>
      <c r="H744" s="16">
        <f>C744+E744</f>
        <v/>
      </c>
    </row>
    <row r="745">
      <c r="A745" s="12" t="n">
        <v>43088</v>
      </c>
      <c r="B745" s="15" t="n">
        <v>0.06630000472068789</v>
      </c>
      <c r="C745" s="15" t="n">
        <v>0.160300001502037</v>
      </c>
      <c r="D745" s="15" t="n">
        <v>2.26169991493225</v>
      </c>
      <c r="E745" s="15" t="n">
        <v>-0.00519998371601105</v>
      </c>
      <c r="F745" s="15" t="n">
        <v>0.37169998884201</v>
      </c>
      <c r="G745" s="15" t="n">
        <v>2.48309993743896</v>
      </c>
      <c r="H745" s="16">
        <f>C745+E745</f>
        <v/>
      </c>
    </row>
    <row r="746">
      <c r="A746" s="12" t="n">
        <v>43089</v>
      </c>
      <c r="B746" s="15" t="n">
        <v>0.0766000002622604</v>
      </c>
      <c r="C746" s="15" t="n">
        <v>0.175899997353554</v>
      </c>
      <c r="D746" s="15" t="n">
        <v>2.27130007743835</v>
      </c>
      <c r="E746" s="15" t="n">
        <v>-0.00159996747970581</v>
      </c>
      <c r="F746" s="15" t="n">
        <v>0.373600006103516</v>
      </c>
      <c r="G746" s="15" t="n">
        <v>2.52220010757446</v>
      </c>
      <c r="H746" s="16">
        <f>C746+E746</f>
        <v/>
      </c>
    </row>
    <row r="747">
      <c r="A747" s="12" t="n">
        <v>43090</v>
      </c>
      <c r="B747" s="15" t="n">
        <v>0.07819999754428859</v>
      </c>
      <c r="C747" s="15" t="n">
        <v>0.169200003147125</v>
      </c>
      <c r="D747" s="15" t="n">
        <v>2.26859998703003</v>
      </c>
      <c r="E747" s="15" t="n">
        <v>-0.0034000426530838</v>
      </c>
      <c r="F747" s="15" t="n">
        <v>0.357499986886978</v>
      </c>
      <c r="G747" s="15" t="n">
        <v>2.51259994506836</v>
      </c>
      <c r="H747" s="16">
        <f>C747+E747</f>
        <v/>
      </c>
    </row>
    <row r="748">
      <c r="A748" s="12" t="n">
        <v>43091</v>
      </c>
      <c r="B748" s="15" t="n">
        <v>0.0793000012636185</v>
      </c>
      <c r="C748" s="15" t="n">
        <v>0.168099999427795</v>
      </c>
      <c r="D748" s="15" t="n">
        <v>2.26810002326965</v>
      </c>
      <c r="E748" s="15" t="n">
        <v>-0.00349994003772736</v>
      </c>
      <c r="F748" s="15" t="n">
        <v>0.354299992322922</v>
      </c>
      <c r="G748" s="15" t="n">
        <v>2.51200008392334</v>
      </c>
      <c r="H748" s="16">
        <f>C748+E748</f>
        <v/>
      </c>
    </row>
    <row r="749">
      <c r="A749" s="12" t="n">
        <v>43095</v>
      </c>
      <c r="B749" s="15" t="n">
        <v>0.07329998910427089</v>
      </c>
      <c r="C749" s="15" t="n">
        <v>0.162200003862381</v>
      </c>
      <c r="D749" s="15" t="n">
        <v>2.26360011100769</v>
      </c>
      <c r="E749" s="15" t="n">
        <v>-0.00460018217563629</v>
      </c>
      <c r="F749" s="15" t="n">
        <v>0.351999998092651</v>
      </c>
      <c r="G749" s="15" t="n">
        <v>2.49449992179871</v>
      </c>
      <c r="H749" s="16">
        <f>C749+E749</f>
        <v/>
      </c>
    </row>
    <row r="750">
      <c r="A750" s="12" t="n">
        <v>43096</v>
      </c>
      <c r="B750" s="15" t="n">
        <v>0.0581999868154526</v>
      </c>
      <c r="C750" s="15" t="n">
        <v>0.139500007033348</v>
      </c>
      <c r="D750" s="15" t="n">
        <v>2.24979996681213</v>
      </c>
      <c r="E750" s="15" t="n">
        <v>-0.00990006327629089</v>
      </c>
      <c r="F750" s="15" t="n">
        <v>0.337399989366531</v>
      </c>
      <c r="G750" s="15" t="n">
        <v>2.43759989738464</v>
      </c>
      <c r="H750" s="16">
        <f>C750+E750</f>
        <v/>
      </c>
    </row>
    <row r="751">
      <c r="A751" s="12" t="n">
        <v>43097</v>
      </c>
      <c r="B751" s="15" t="n">
        <v>0.063400000333786</v>
      </c>
      <c r="C751" s="15" t="n">
        <v>0.143299996852875</v>
      </c>
      <c r="D751" s="15" t="n">
        <v>2.25270009040833</v>
      </c>
      <c r="E751" s="15" t="n">
        <v>-0.00899997353553772</v>
      </c>
      <c r="F751" s="15" t="n">
        <v>0.328299999237061</v>
      </c>
      <c r="G751" s="15" t="n">
        <v>2.45040011405945</v>
      </c>
      <c r="H751" s="16">
        <f>C751+E751</f>
        <v/>
      </c>
    </row>
    <row r="752">
      <c r="A752" s="12" t="n">
        <v>43098</v>
      </c>
      <c r="B752" s="15" t="n">
        <v>0.0550999939441681</v>
      </c>
      <c r="C752" s="15" t="n">
        <v>0.13510000705719</v>
      </c>
      <c r="D752" s="15" t="n">
        <v>2.24720001220703</v>
      </c>
      <c r="E752" s="15" t="n">
        <v>-0.0108000338077545</v>
      </c>
      <c r="F752" s="15" t="n">
        <v>0.308099985122681</v>
      </c>
      <c r="G752" s="15" t="n">
        <v>2.42659997940063</v>
      </c>
      <c r="H752" s="16">
        <f>C752+E752</f>
        <v/>
      </c>
    </row>
    <row r="753">
      <c r="A753" s="12" t="n">
        <v>43102</v>
      </c>
      <c r="B753" s="15" t="n">
        <v>0.0794999897480011</v>
      </c>
      <c r="C753" s="15" t="n">
        <v>0.147400006651878</v>
      </c>
      <c r="D753" s="15" t="n">
        <v>2.2590000629425</v>
      </c>
      <c r="E753" s="15" t="n">
        <v>-0.008999958634376529</v>
      </c>
      <c r="F753" s="15" t="n">
        <v>0.299400001764297</v>
      </c>
      <c r="G753" s="15" t="n">
        <v>2.47690010070801</v>
      </c>
      <c r="H753" s="16">
        <f>C753+E753</f>
        <v/>
      </c>
    </row>
    <row r="754">
      <c r="A754" s="12" t="n">
        <v>43103</v>
      </c>
      <c r="B754" s="15" t="n">
        <v>0.0761000066995621</v>
      </c>
      <c r="C754" s="15" t="n">
        <v>0.143999993801117</v>
      </c>
      <c r="D754" s="15" t="n">
        <v>2.25650000572205</v>
      </c>
      <c r="E754" s="15" t="n">
        <v>-0.00950010120868683</v>
      </c>
      <c r="F754" s="15" t="n">
        <v>0.302300006151199</v>
      </c>
      <c r="G754" s="15" t="n">
        <v>2.46709990501404</v>
      </c>
      <c r="H754" s="16">
        <f>C754+E754</f>
        <v/>
      </c>
    </row>
    <row r="755">
      <c r="A755" s="12" t="n">
        <v>43104</v>
      </c>
      <c r="B755" s="15" t="n">
        <v>0.0808999985456467</v>
      </c>
      <c r="C755" s="15" t="n">
        <v>0.144800007343292</v>
      </c>
      <c r="D755" s="15" t="n">
        <v>2.25740003585815</v>
      </c>
      <c r="E755" s="15" t="n">
        <v>-0.009199962019920351</v>
      </c>
      <c r="F755" s="15" t="n">
        <v>0.293199986219406</v>
      </c>
      <c r="G755" s="15" t="n">
        <v>2.47390007972717</v>
      </c>
      <c r="H755" s="16">
        <f>C755+E755</f>
        <v/>
      </c>
    </row>
    <row r="756">
      <c r="A756" s="12" t="n">
        <v>43105</v>
      </c>
      <c r="B756" s="15" t="n">
        <v>0.0837999880313873</v>
      </c>
      <c r="C756" s="15" t="n">
        <v>0.152600005269051</v>
      </c>
      <c r="D756" s="15" t="n">
        <v>2.26119995117188</v>
      </c>
      <c r="E756" s="15" t="n">
        <v>-0.00730000436306</v>
      </c>
      <c r="F756" s="15" t="n">
        <v>0.282999992370605</v>
      </c>
      <c r="G756" s="15" t="n">
        <v>2.49029994010925</v>
      </c>
      <c r="H756" s="16">
        <f>C756+E756</f>
        <v/>
      </c>
    </row>
    <row r="757">
      <c r="A757" s="12" t="n">
        <v>43108</v>
      </c>
      <c r="B757" s="15" t="n">
        <v>0.0891000032424927</v>
      </c>
      <c r="C757" s="15" t="n">
        <v>0.155900001525879</v>
      </c>
      <c r="D757" s="15" t="n">
        <v>2.26399993896484</v>
      </c>
      <c r="E757" s="15" t="n">
        <v>-0.00669991970062256</v>
      </c>
      <c r="F757" s="15" t="n">
        <v>0.291200011968613</v>
      </c>
      <c r="G757" s="15" t="n">
        <v>2.50230002403259</v>
      </c>
      <c r="H757" s="16">
        <f>C757+E757</f>
        <v/>
      </c>
    </row>
    <row r="758">
      <c r="A758" s="12" t="n">
        <v>43109</v>
      </c>
      <c r="B758" s="15" t="n">
        <v>0.1058000177145</v>
      </c>
      <c r="C758" s="15" t="n">
        <v>0.179299995303154</v>
      </c>
      <c r="D758" s="15" t="n">
        <v>2.27859997749329</v>
      </c>
      <c r="E758" s="15" t="n">
        <v>-0.00140002369880676</v>
      </c>
      <c r="F758" s="15" t="n">
        <v>0.292499989271164</v>
      </c>
      <c r="G758" s="15" t="n">
        <v>2.56229996681213</v>
      </c>
      <c r="H758" s="16">
        <f>C758+E758</f>
        <v/>
      </c>
    </row>
    <row r="759">
      <c r="A759" s="12" t="n">
        <v>43110</v>
      </c>
      <c r="B759" s="15" t="n">
        <v>0.10479998588562</v>
      </c>
      <c r="C759" s="15" t="n">
        <v>0.182300001382828</v>
      </c>
      <c r="D759" s="15" t="n">
        <v>2.27990007400513</v>
      </c>
      <c r="E759" s="15" t="n">
        <v>-0.000700145959854126</v>
      </c>
      <c r="F759" s="15" t="n">
        <v>0.288399994373322</v>
      </c>
      <c r="G759" s="15" t="n">
        <v>2.56629991531372</v>
      </c>
      <c r="H759" s="16">
        <f>C759+E759</f>
        <v/>
      </c>
    </row>
    <row r="760">
      <c r="A760" s="12" t="n">
        <v>43111</v>
      </c>
      <c r="B760" s="15" t="n">
        <v>0.102399989962578</v>
      </c>
      <c r="C760" s="15" t="n">
        <v>0.181500002741814</v>
      </c>
      <c r="D760" s="15" t="n">
        <v>2.2788999080658</v>
      </c>
      <c r="E760" s="15" t="n">
        <v>-0.000799864530563354</v>
      </c>
      <c r="F760" s="15" t="n">
        <v>0.305299997329712</v>
      </c>
      <c r="G760" s="15" t="n">
        <v>2.56200003623962</v>
      </c>
      <c r="H760" s="16">
        <f>C760+E760</f>
        <v/>
      </c>
    </row>
    <row r="761">
      <c r="A761" s="12" t="n">
        <v>43112</v>
      </c>
      <c r="B761" s="15" t="n">
        <v>0.107600003480911</v>
      </c>
      <c r="C761" s="15" t="n">
        <v>0.183400005102158</v>
      </c>
      <c r="D761" s="15" t="n">
        <v>2.2804000377655</v>
      </c>
      <c r="E761" s="15" t="n">
        <v>-0.000200152397155762</v>
      </c>
      <c r="F761" s="15" t="n">
        <v>0.302500009536743</v>
      </c>
      <c r="G761" s="15" t="n">
        <v>2.57119989395142</v>
      </c>
      <c r="H761" s="16">
        <f>C761+E761</f>
        <v/>
      </c>
    </row>
    <row r="762">
      <c r="A762" s="12" t="n">
        <v>43116</v>
      </c>
      <c r="B762" s="15" t="n">
        <v>0.112000003457069</v>
      </c>
      <c r="C762" s="15" t="n">
        <v>0.173600003123283</v>
      </c>
      <c r="D762" s="15" t="n">
        <v>2.27679991722107</v>
      </c>
      <c r="E762" s="15" t="n">
        <v>-0.00289994478225708</v>
      </c>
      <c r="F762" s="15" t="n">
        <v>0.291599988937378</v>
      </c>
      <c r="G762" s="15" t="n">
        <v>2.55949997901917</v>
      </c>
      <c r="H762" s="16">
        <f>C762+E762</f>
        <v/>
      </c>
    </row>
    <row r="763">
      <c r="A763" s="12" t="n">
        <v>43117</v>
      </c>
      <c r="B763" s="15" t="n">
        <v>0.121500000357628</v>
      </c>
      <c r="C763" s="15" t="n">
        <v>0.181500002741814</v>
      </c>
      <c r="D763" s="15" t="n">
        <v>2.28200006484985</v>
      </c>
      <c r="E763" s="15" t="n">
        <v>-0.000900059938430786</v>
      </c>
      <c r="F763" s="15" t="n">
        <v>0.291200011968613</v>
      </c>
      <c r="G763" s="15" t="n">
        <v>2.58410000801086</v>
      </c>
      <c r="H763" s="16">
        <f>C763+E763</f>
        <v/>
      </c>
    </row>
    <row r="764">
      <c r="A764" s="12" t="n">
        <v>43118</v>
      </c>
      <c r="B764" s="15" t="n">
        <v>0.134800001978874</v>
      </c>
      <c r="C764" s="15" t="n">
        <v>0.200000002980232</v>
      </c>
      <c r="D764" s="15" t="n">
        <v>2.29340004920959</v>
      </c>
      <c r="E764" s="15" t="n">
        <v>0.00329995155334473</v>
      </c>
      <c r="F764" s="15" t="n">
        <v>0.278800010681152</v>
      </c>
      <c r="G764" s="15" t="n">
        <v>2.63150000572205</v>
      </c>
      <c r="H764" s="16">
        <f>C764+E764</f>
        <v/>
      </c>
    </row>
    <row r="765">
      <c r="A765" s="12" t="n">
        <v>43119</v>
      </c>
      <c r="B765" s="15" t="n">
        <v>0.139300003647804</v>
      </c>
      <c r="C765" s="15" t="n">
        <v>0.209999993443489</v>
      </c>
      <c r="D765" s="15" t="n">
        <v>2.29839992523193</v>
      </c>
      <c r="E765" s="15" t="n">
        <v>0.0059000551700592</v>
      </c>
      <c r="F765" s="15" t="n">
        <v>0.278800010681152</v>
      </c>
      <c r="G765" s="15" t="n">
        <v>2.65359997749329</v>
      </c>
      <c r="H765" s="16">
        <f>C765+E765</f>
        <v/>
      </c>
    </row>
    <row r="766">
      <c r="A766" s="12" t="n">
        <v>43122</v>
      </c>
      <c r="B766" s="15" t="n">
        <v>0.148599982261658</v>
      </c>
      <c r="C766" s="15" t="n">
        <v>0.21340000629425</v>
      </c>
      <c r="D766" s="15" t="n">
        <v>2.30220007896423</v>
      </c>
      <c r="E766" s="15" t="n">
        <v>0.00629997253417969</v>
      </c>
      <c r="F766" s="15" t="n">
        <v>0.283199995756149</v>
      </c>
      <c r="G766" s="15" t="n">
        <v>2.67050004005432</v>
      </c>
      <c r="H766" s="16">
        <f>C766+E766</f>
        <v/>
      </c>
    </row>
    <row r="767">
      <c r="A767" s="12" t="n">
        <v>43123</v>
      </c>
      <c r="B767" s="15" t="n">
        <v>0.13570000231266</v>
      </c>
      <c r="C767" s="15" t="n">
        <v>0.201399996876717</v>
      </c>
      <c r="D767" s="15" t="n">
        <v>2.29399991035461</v>
      </c>
      <c r="E767" s="15" t="n">
        <v>0.00370004773139954</v>
      </c>
      <c r="F767" s="15" t="n">
        <v>0.281599998474121</v>
      </c>
      <c r="G767" s="15" t="n">
        <v>2.63479995727539</v>
      </c>
      <c r="H767" s="16">
        <f>C767+E767</f>
        <v/>
      </c>
    </row>
    <row r="768">
      <c r="A768" s="12" t="n">
        <v>43124</v>
      </c>
      <c r="B768" s="15" t="n">
        <v>0.141900017857552</v>
      </c>
      <c r="C768" s="15" t="n">
        <v>0.209299996495247</v>
      </c>
      <c r="D768" s="15" t="n">
        <v>2.29889988899231</v>
      </c>
      <c r="E768" s="15" t="n">
        <v>0.00550016760826111</v>
      </c>
      <c r="F768" s="15" t="n">
        <v>0.276199996471405</v>
      </c>
      <c r="G768" s="15" t="n">
        <v>2.65560007095337</v>
      </c>
      <c r="H768" s="16">
        <f>C768+E768</f>
        <v/>
      </c>
    </row>
    <row r="769">
      <c r="A769" s="12" t="n">
        <v>43125</v>
      </c>
      <c r="B769" s="15" t="n">
        <v>0.136599987745285</v>
      </c>
      <c r="C769" s="15" t="n">
        <v>0.198500007390976</v>
      </c>
      <c r="D769" s="15" t="n">
        <v>2.29259991645813</v>
      </c>
      <c r="E769" s="15" t="n">
        <v>0.00310009717941284</v>
      </c>
      <c r="F769" s="15" t="n">
        <v>0.276199996471405</v>
      </c>
      <c r="G769" s="15" t="n">
        <v>2.6308000087738</v>
      </c>
      <c r="H769" s="16">
        <f>C769+E769</f>
        <v/>
      </c>
    </row>
    <row r="770">
      <c r="A770" s="12" t="n">
        <v>43126</v>
      </c>
      <c r="B770" s="15" t="n">
        <v>0.147700011730194</v>
      </c>
      <c r="C770" s="15" t="n">
        <v>0.210999995470047</v>
      </c>
      <c r="D770" s="15" t="n">
        <v>2.29990005493164</v>
      </c>
      <c r="E770" s="15" t="n">
        <v>0.00619986653327942</v>
      </c>
      <c r="F770" s="15" t="n">
        <v>0.265500009059906</v>
      </c>
      <c r="G770" s="15" t="n">
        <v>2.66479992866516</v>
      </c>
      <c r="H770" s="16">
        <f>C770+E770</f>
        <v/>
      </c>
    </row>
    <row r="771">
      <c r="A771" s="12" t="n">
        <v>43129</v>
      </c>
      <c r="B771" s="15" t="n">
        <v>0.161100000143051</v>
      </c>
      <c r="C771" s="15" t="n">
        <v>0.222299993038177</v>
      </c>
      <c r="D771" s="15" t="n">
        <v>2.30809998512268</v>
      </c>
      <c r="E771" s="15" t="n">
        <v>0.00859996676445007</v>
      </c>
      <c r="F771" s="15" t="n">
        <v>0.275000005960464</v>
      </c>
      <c r="G771" s="15" t="n">
        <v>2.70009994506836</v>
      </c>
      <c r="H771" s="16">
        <f>C771+E771</f>
        <v/>
      </c>
    </row>
    <row r="772">
      <c r="A772" s="12" t="n">
        <v>43130</v>
      </c>
      <c r="B772" s="15" t="n">
        <v>0.169400006532669</v>
      </c>
      <c r="C772" s="15" t="n">
        <v>0.234200000762939</v>
      </c>
      <c r="D772" s="15" t="n">
        <v>2.31559991836548</v>
      </c>
      <c r="E772" s="15" t="n">
        <v>0.0112001597881317</v>
      </c>
      <c r="F772" s="15" t="n">
        <v>0.283199995756149</v>
      </c>
      <c r="G772" s="15" t="n">
        <v>2.73040008544922</v>
      </c>
      <c r="H772" s="16">
        <f>C772+E772</f>
        <v/>
      </c>
    </row>
    <row r="773">
      <c r="A773" s="12" t="n">
        <v>43131</v>
      </c>
      <c r="B773" s="15" t="n">
        <v>0.169600009918213</v>
      </c>
      <c r="C773" s="15" t="n">
        <v>0.231099992990494</v>
      </c>
      <c r="D773" s="15" t="n">
        <v>2.31369996070862</v>
      </c>
      <c r="E773" s="15" t="n">
        <v>0.0105999410152435</v>
      </c>
      <c r="F773" s="15" t="n">
        <v>0.269300013780594</v>
      </c>
      <c r="G773" s="15" t="n">
        <v>2.72499990463257</v>
      </c>
      <c r="H773" s="16">
        <f>C773+E773</f>
        <v/>
      </c>
    </row>
    <row r="774">
      <c r="A774" s="12" t="n">
        <v>43132</v>
      </c>
      <c r="B774" s="15" t="n">
        <v>0.185900002717972</v>
      </c>
      <c r="C774" s="15" t="n">
        <v>0.257400006055832</v>
      </c>
      <c r="D774" s="15" t="n">
        <v>2.32890009880066</v>
      </c>
      <c r="E774" s="15" t="n">
        <v>0.0168998241424561</v>
      </c>
      <c r="F774" s="15" t="n">
        <v>0.276300013065338</v>
      </c>
      <c r="G774" s="15" t="n">
        <v>2.78909993171692</v>
      </c>
      <c r="H774" s="16">
        <f>C774+E774</f>
        <v/>
      </c>
    </row>
    <row r="775">
      <c r="A775" s="12" t="n">
        <v>43133</v>
      </c>
      <c r="B775" s="15" t="n">
        <v>0.19990000128746</v>
      </c>
      <c r="C775" s="15" t="n">
        <v>0.281100004911423</v>
      </c>
      <c r="D775" s="15" t="n">
        <v>2.34319996833801</v>
      </c>
      <c r="E775" s="15" t="n">
        <v>0.0222000479698181</v>
      </c>
      <c r="F775" s="15" t="n">
        <v>0.272799998521805</v>
      </c>
      <c r="G775" s="15" t="n">
        <v>2.84640002250671</v>
      </c>
      <c r="H775" s="16">
        <f>C775+E775</f>
        <v/>
      </c>
    </row>
    <row r="776">
      <c r="A776" s="12" t="n">
        <v>43136</v>
      </c>
      <c r="B776" s="15" t="n">
        <v>0.182199984788895</v>
      </c>
      <c r="C776" s="15" t="n">
        <v>0.257200002670288</v>
      </c>
      <c r="D776" s="15" t="n">
        <v>2.32990002632141</v>
      </c>
      <c r="E776" s="15" t="n">
        <v>0.0160000026226044</v>
      </c>
      <c r="F776" s="15" t="n">
        <v>0.278699994087219</v>
      </c>
      <c r="G776" s="15" t="n">
        <v>2.7853000164032</v>
      </c>
      <c r="H776" s="16">
        <f>C776+E776</f>
        <v/>
      </c>
    </row>
    <row r="777">
      <c r="A777" s="12" t="n">
        <v>43137</v>
      </c>
      <c r="B777" s="15" t="n">
        <v>0.190999984741211</v>
      </c>
      <c r="C777" s="15" t="n">
        <v>0.26010000705719</v>
      </c>
      <c r="D777" s="15" t="n">
        <v>2.33349990844727</v>
      </c>
      <c r="E777" s="15" t="n">
        <v>0.0164002180099487</v>
      </c>
      <c r="F777" s="15" t="n">
        <v>0.285400003194809</v>
      </c>
      <c r="G777" s="15" t="n">
        <v>2.80100011825562</v>
      </c>
      <c r="H777" s="16">
        <f>C777+E777</f>
        <v/>
      </c>
    </row>
    <row r="778">
      <c r="A778" s="12" t="n">
        <v>43138</v>
      </c>
      <c r="B778" s="15" t="n">
        <v>0.213200002908707</v>
      </c>
      <c r="C778" s="15" t="n">
        <v>0.280499994754791</v>
      </c>
      <c r="D778" s="15" t="n">
        <v>2.34809994697571</v>
      </c>
      <c r="E778" s="15" t="n">
        <v>0.0206001102924347</v>
      </c>
      <c r="F778" s="15" t="n">
        <v>0.288100004196167</v>
      </c>
      <c r="G778" s="15" t="n">
        <v>2.86240005493164</v>
      </c>
      <c r="H778" s="16">
        <f>C778+E778</f>
        <v/>
      </c>
    </row>
    <row r="779">
      <c r="A779" s="12" t="n">
        <v>43139</v>
      </c>
      <c r="B779" s="15" t="n">
        <v>0.217099994421005</v>
      </c>
      <c r="C779" s="15" t="n">
        <v>0.287600010633469</v>
      </c>
      <c r="D779" s="15" t="n">
        <v>2.35279989242554</v>
      </c>
      <c r="E779" s="15" t="n">
        <v>0.0221001505851746</v>
      </c>
      <c r="F779" s="15" t="n">
        <v>0.307300001382828</v>
      </c>
      <c r="G779" s="15" t="n">
        <v>2.87960004806519</v>
      </c>
      <c r="H779" s="16">
        <f>C779+E779</f>
        <v/>
      </c>
    </row>
    <row r="780">
      <c r="A780" s="12" t="n">
        <v>43140</v>
      </c>
      <c r="B780" s="15" t="n">
        <v>0.208700001239777</v>
      </c>
      <c r="C780" s="15" t="n">
        <v>0.283699989318848</v>
      </c>
      <c r="D780" s="15" t="n">
        <v>2.35060000419617</v>
      </c>
      <c r="E780" s="15" t="n">
        <v>0.0206999182701111</v>
      </c>
      <c r="F780" s="15" t="n">
        <v>0.32710000872612</v>
      </c>
      <c r="G780" s="15" t="n">
        <v>2.8636999130249</v>
      </c>
      <c r="H780" s="16">
        <f>C780+E780</f>
        <v/>
      </c>
    </row>
    <row r="781">
      <c r="A781" s="12" t="n">
        <v>43143</v>
      </c>
      <c r="B781" s="15" t="n">
        <v>0.229999989271164</v>
      </c>
      <c r="C781" s="15" t="n">
        <v>0.286100000143051</v>
      </c>
      <c r="D781" s="15" t="n">
        <v>2.35710000991821</v>
      </c>
      <c r="E781" s="15" t="n">
        <v>0.0203000903129578</v>
      </c>
      <c r="F781" s="15" t="n">
        <v>0.326900005340576</v>
      </c>
      <c r="G781" s="15" t="n">
        <v>2.89350008964539</v>
      </c>
      <c r="H781" s="16">
        <f>C781+E781</f>
        <v/>
      </c>
    </row>
    <row r="782">
      <c r="A782" s="12" t="n">
        <v>43144</v>
      </c>
      <c r="B782" s="15" t="n">
        <v>0.221599996089935</v>
      </c>
      <c r="C782" s="15" t="n">
        <v>0.275000005960464</v>
      </c>
      <c r="D782" s="15" t="n">
        <v>2.35010004043579</v>
      </c>
      <c r="E782" s="15" t="n">
        <v>0.0178999006748199</v>
      </c>
      <c r="F782" s="15" t="n">
        <v>0.328799992799759</v>
      </c>
      <c r="G782" s="15" t="n">
        <v>2.86459994316101</v>
      </c>
      <c r="H782" s="16">
        <f>C782+E782</f>
        <v/>
      </c>
    </row>
    <row r="783">
      <c r="A783" s="12" t="n">
        <v>43145</v>
      </c>
      <c r="B783" s="15" t="n">
        <v>0.250900000333786</v>
      </c>
      <c r="C783" s="15" t="n">
        <v>0.30469998717308</v>
      </c>
      <c r="D783" s="15" t="n">
        <v>2.36899995803833</v>
      </c>
      <c r="E783" s="15" t="n">
        <v>0.0249001383781433</v>
      </c>
      <c r="F783" s="15" t="n">
        <v>0.310099989175797</v>
      </c>
      <c r="G783" s="15" t="n">
        <v>2.94950008392334</v>
      </c>
      <c r="H783" s="16">
        <f>C783+E783</f>
        <v/>
      </c>
    </row>
    <row r="784">
      <c r="A784" s="12" t="n">
        <v>43146</v>
      </c>
      <c r="B784" s="15" t="n">
        <v>0.248300015926361</v>
      </c>
      <c r="C784" s="15" t="n">
        <v>0.297399997711182</v>
      </c>
      <c r="D784" s="15" t="n">
        <v>2.36459994316101</v>
      </c>
      <c r="E784" s="15" t="n">
        <v>0.0232999920845032</v>
      </c>
      <c r="F784" s="15" t="n">
        <v>0.293999999761581</v>
      </c>
      <c r="G784" s="15" t="n">
        <v>2.93359994888306</v>
      </c>
      <c r="H784" s="16">
        <f>C784+E784</f>
        <v/>
      </c>
    </row>
    <row r="785">
      <c r="A785" s="12" t="n">
        <v>43147</v>
      </c>
      <c r="B785" s="15" t="n">
        <v>0.24279996752739</v>
      </c>
      <c r="C785" s="15" t="n">
        <v>0.286900013685226</v>
      </c>
      <c r="D785" s="15" t="n">
        <v>2.3585000038147</v>
      </c>
      <c r="E785" s="15" t="n">
        <v>0.0209000706672668</v>
      </c>
      <c r="F785" s="15" t="n">
        <v>0.292899996042252</v>
      </c>
      <c r="G785" s="15" t="n">
        <v>2.90910005569458</v>
      </c>
      <c r="H785" s="16">
        <f>C785+E785</f>
        <v/>
      </c>
    </row>
    <row r="786">
      <c r="A786" s="12" t="n">
        <v>43151</v>
      </c>
      <c r="B786" s="15" t="n">
        <v>0.250499993562698</v>
      </c>
      <c r="C786" s="15" t="n">
        <v>0.284299999475479</v>
      </c>
      <c r="D786" s="15" t="n">
        <v>2.3591001033783</v>
      </c>
      <c r="E786" s="15" t="n">
        <v>0.0198999047279358</v>
      </c>
      <c r="F786" s="15" t="n">
        <v>0.286399990320206</v>
      </c>
      <c r="G786" s="15" t="n">
        <v>2.91380000114441</v>
      </c>
      <c r="H786" s="16">
        <f>C786+E786</f>
        <v/>
      </c>
    </row>
    <row r="787">
      <c r="A787" s="12" t="n">
        <v>43152</v>
      </c>
      <c r="B787" s="15" t="n">
        <v>0.263900011777878</v>
      </c>
      <c r="C787" s="15" t="n">
        <v>0.305900007486343</v>
      </c>
      <c r="D787" s="15" t="n">
        <v>2.3717999458313</v>
      </c>
      <c r="E787" s="15" t="n">
        <v>0.0249999761581421</v>
      </c>
      <c r="F787" s="15" t="n">
        <v>0.290199995040894</v>
      </c>
      <c r="G787" s="15" t="n">
        <v>2.96659994125366</v>
      </c>
      <c r="H787" s="16">
        <f>C787+E787</f>
        <v/>
      </c>
    </row>
    <row r="788">
      <c r="A788" s="12" t="n">
        <v>43153</v>
      </c>
      <c r="B788" s="15" t="n">
        <v>0.256499975919724</v>
      </c>
      <c r="C788" s="15" t="n">
        <v>0.300500005483627</v>
      </c>
      <c r="D788" s="15" t="n">
        <v>2.36779999732971</v>
      </c>
      <c r="E788" s="15" t="n">
        <v>0.0238000750541687</v>
      </c>
      <c r="F788" s="15" t="n">
        <v>0.288399994373322</v>
      </c>
      <c r="G788" s="15" t="n">
        <v>2.94860005378723</v>
      </c>
      <c r="H788" s="16">
        <f>C788+E788</f>
        <v/>
      </c>
    </row>
    <row r="789">
      <c r="A789" s="12" t="n">
        <v>43154</v>
      </c>
      <c r="B789" s="15" t="n">
        <v>0.243999987840652</v>
      </c>
      <c r="C789" s="15" t="n">
        <v>0.28150001168251</v>
      </c>
      <c r="D789" s="15" t="n">
        <v>2.35640001296997</v>
      </c>
      <c r="E789" s="15" t="n">
        <v>0.0195000767707825</v>
      </c>
      <c r="F789" s="15" t="n">
        <v>0.270999997854233</v>
      </c>
      <c r="G789" s="15" t="n">
        <v>2.90140008926392</v>
      </c>
      <c r="H789" s="16">
        <f>C789+E789</f>
        <v/>
      </c>
    </row>
    <row r="790">
      <c r="A790" s="12" t="n">
        <v>43157</v>
      </c>
      <c r="B790" s="15" t="n">
        <v>0.240200012922287</v>
      </c>
      <c r="C790" s="15" t="n">
        <v>0.272100001573563</v>
      </c>
      <c r="D790" s="15" t="n">
        <v>2.35179996490479</v>
      </c>
      <c r="E790" s="15" t="n">
        <v>0.0169999599456787</v>
      </c>
      <c r="F790" s="15" t="n">
        <v>0.248199999332428</v>
      </c>
      <c r="G790" s="15" t="n">
        <v>2.88109993934631</v>
      </c>
      <c r="H790" s="16">
        <f>C790+E790</f>
        <v/>
      </c>
    </row>
    <row r="791">
      <c r="A791" s="12" t="n">
        <v>43158</v>
      </c>
      <c r="B791" s="15" t="n">
        <v>0.256699979305267</v>
      </c>
      <c r="C791" s="15" t="n">
        <v>0.289499998092651</v>
      </c>
      <c r="D791" s="15" t="n">
        <v>2.36299991607666</v>
      </c>
      <c r="E791" s="15" t="n">
        <v>0.0210002064704895</v>
      </c>
      <c r="F791" s="15" t="n">
        <v>0.26240000128746</v>
      </c>
      <c r="G791" s="15" t="n">
        <v>2.93020009994507</v>
      </c>
      <c r="H791" s="16">
        <f>C791+E791</f>
        <v/>
      </c>
    </row>
    <row r="792">
      <c r="A792" s="12" t="n">
        <v>43159</v>
      </c>
      <c r="B792" s="15" t="n">
        <v>0.247200012207031</v>
      </c>
      <c r="C792" s="15" t="n">
        <v>0.278699994087219</v>
      </c>
      <c r="D792" s="15" t="n">
        <v>2.35560011863708</v>
      </c>
      <c r="E792" s="15" t="n">
        <v>0.018799901008606</v>
      </c>
      <c r="F792" s="15" t="n">
        <v>0.272100001573563</v>
      </c>
      <c r="G792" s="15" t="n">
        <v>2.90030002593994</v>
      </c>
      <c r="H792" s="16">
        <f>C792+E792</f>
        <v/>
      </c>
    </row>
    <row r="793">
      <c r="A793" s="12" t="n">
        <v>43160</v>
      </c>
      <c r="B793" s="15" t="n">
        <v>0.225100010633469</v>
      </c>
      <c r="C793" s="15" t="n">
        <v>0.256599992513657</v>
      </c>
      <c r="D793" s="15" t="n">
        <v>2.34069991111755</v>
      </c>
      <c r="E793" s="15" t="n">
        <v>0.0138999819755554</v>
      </c>
      <c r="F793" s="15" t="n">
        <v>0.261999994516373</v>
      </c>
      <c r="G793" s="15" t="n">
        <v>2.83629989624023</v>
      </c>
      <c r="H793" s="16">
        <f>C793+E793</f>
        <v/>
      </c>
    </row>
    <row r="794">
      <c r="A794" s="12" t="n">
        <v>43161</v>
      </c>
      <c r="B794" s="15" t="n">
        <v>0.241400003433228</v>
      </c>
      <c r="C794" s="15" t="n">
        <v>0.274699985980988</v>
      </c>
      <c r="D794" s="15" t="n">
        <v>2.35240006446838</v>
      </c>
      <c r="E794" s="15" t="n">
        <v>0.0178999304771423</v>
      </c>
      <c r="F794" s="15" t="n">
        <v>0.253600001335144</v>
      </c>
      <c r="G794" s="15" t="n">
        <v>2.88639998435974</v>
      </c>
      <c r="H794" s="16">
        <f>C794+E794</f>
        <v/>
      </c>
    </row>
    <row r="795">
      <c r="A795" s="12" t="n">
        <v>43164</v>
      </c>
      <c r="B795" s="15" t="n">
        <v>0.248199999332428</v>
      </c>
      <c r="C795" s="15" t="n">
        <v>0.282000005245209</v>
      </c>
      <c r="D795" s="15" t="n">
        <v>2.35750007629395</v>
      </c>
      <c r="E795" s="15" t="n">
        <v>0.019399881362915</v>
      </c>
      <c r="F795" s="15" t="n">
        <v>0.248600006103516</v>
      </c>
      <c r="G795" s="15" t="n">
        <v>2.9070999622345</v>
      </c>
      <c r="H795" s="16">
        <f>C795+E795</f>
        <v/>
      </c>
    </row>
    <row r="796">
      <c r="A796" s="12" t="n">
        <v>43165</v>
      </c>
      <c r="B796" s="15" t="n">
        <v>0.249599993228912</v>
      </c>
      <c r="C796" s="15" t="n">
        <v>0.280900001525879</v>
      </c>
      <c r="D796" s="15" t="n">
        <v>2.35739994049072</v>
      </c>
      <c r="E796" s="15" t="n">
        <v>0.0191001296043396</v>
      </c>
      <c r="F796" s="15" t="n">
        <v>0.252400010824203</v>
      </c>
      <c r="G796" s="15" t="n">
        <v>2.90700006484985</v>
      </c>
      <c r="H796" s="16">
        <f>C796+E796</f>
        <v/>
      </c>
    </row>
    <row r="797">
      <c r="A797" s="12" t="n">
        <v>43166</v>
      </c>
      <c r="B797" s="15" t="n">
        <v>0.250900000333786</v>
      </c>
      <c r="C797" s="15" t="n">
        <v>0.281699985265732</v>
      </c>
      <c r="D797" s="15" t="n">
        <v>2.35800004005432</v>
      </c>
      <c r="E797" s="15" t="n">
        <v>0.0192000269889832</v>
      </c>
      <c r="F797" s="15" t="n">
        <v>0.252099990844727</v>
      </c>
      <c r="G797" s="15" t="n">
        <v>2.90980005264282</v>
      </c>
      <c r="H797" s="16">
        <f>C797+E797</f>
        <v/>
      </c>
    </row>
    <row r="798">
      <c r="A798" s="12" t="n">
        <v>43167</v>
      </c>
      <c r="B798" s="15" t="n">
        <v>0.244900017976761</v>
      </c>
      <c r="C798" s="15" t="n">
        <v>0.270999997854233</v>
      </c>
      <c r="D798" s="15" t="n">
        <v>2.35179996490479</v>
      </c>
      <c r="E798" s="15" t="n">
        <v>0.0168000459671021</v>
      </c>
      <c r="F798" s="15" t="n">
        <v>0.256500005722046</v>
      </c>
      <c r="G798" s="15" t="n">
        <v>2.88450002670288</v>
      </c>
      <c r="H798" s="16">
        <f>C798+E798</f>
        <v/>
      </c>
    </row>
    <row r="799">
      <c r="A799" s="12" t="n">
        <v>43168</v>
      </c>
      <c r="B799" s="15" t="n">
        <v>0.254000037908554</v>
      </c>
      <c r="C799" s="15" t="n">
        <v>0.281699985265732</v>
      </c>
      <c r="D799" s="15" t="n">
        <v>2.35859990119934</v>
      </c>
      <c r="E799" s="15" t="n">
        <v>0.0192001461982727</v>
      </c>
      <c r="F799" s="15" t="n">
        <v>0.269300013780594</v>
      </c>
      <c r="G799" s="15" t="n">
        <v>2.9135000705719</v>
      </c>
      <c r="H799" s="16">
        <f>C799+E799</f>
        <v/>
      </c>
    </row>
    <row r="800">
      <c r="A800" s="12" t="n">
        <v>43171</v>
      </c>
      <c r="B800" s="15" t="n">
        <v>0.247399985790253</v>
      </c>
      <c r="C800" s="15" t="n">
        <v>0.270099997520447</v>
      </c>
      <c r="D800" s="15" t="n">
        <v>2.35190010070801</v>
      </c>
      <c r="E800" s="15" t="n">
        <v>0.0163998007774353</v>
      </c>
      <c r="F800" s="15" t="n">
        <v>0.274100005626678</v>
      </c>
      <c r="G800" s="15" t="n">
        <v>2.88579988479614</v>
      </c>
      <c r="H800" s="16">
        <f>C800+E800</f>
        <v/>
      </c>
    </row>
    <row r="801">
      <c r="A801" s="12" t="n">
        <v>43172</v>
      </c>
      <c r="B801" s="15" t="n">
        <v>0.240799993276596</v>
      </c>
      <c r="C801" s="15" t="n">
        <v>0.258100003004074</v>
      </c>
      <c r="D801" s="15" t="n">
        <v>2.3452000617981</v>
      </c>
      <c r="E801" s="15" t="n">
        <v>0.0136000514030457</v>
      </c>
      <c r="F801" s="15" t="n">
        <v>0.275400012731552</v>
      </c>
      <c r="G801" s="15" t="n">
        <v>2.85770010948181</v>
      </c>
      <c r="H801" s="16">
        <f>C801+E801</f>
        <v/>
      </c>
    </row>
    <row r="802">
      <c r="A802" s="12" t="n">
        <v>43173</v>
      </c>
      <c r="B802" s="15" t="n">
        <v>0.237399980425835</v>
      </c>
      <c r="C802" s="15" t="n">
        <v>0.244200006127357</v>
      </c>
      <c r="D802" s="15" t="n">
        <v>2.33829998970032</v>
      </c>
      <c r="E802" s="15" t="n">
        <v>0.0102000832557678</v>
      </c>
      <c r="F802" s="15" t="n">
        <v>0.273200005292892</v>
      </c>
      <c r="G802" s="15" t="n">
        <v>2.83010005950928</v>
      </c>
      <c r="H802" s="16">
        <f>C802+E802</f>
        <v/>
      </c>
    </row>
    <row r="803">
      <c r="A803" s="12" t="n">
        <v>43174</v>
      </c>
      <c r="B803" s="15" t="n">
        <v>0.24099999666214</v>
      </c>
      <c r="C803" s="15" t="n">
        <v>0.242599993944168</v>
      </c>
      <c r="D803" s="15" t="n">
        <v>2.33820009231567</v>
      </c>
      <c r="E803" s="15" t="n">
        <v>0.009599834680557249</v>
      </c>
      <c r="F803" s="15" t="n">
        <v>0.27360001206398</v>
      </c>
      <c r="G803" s="15" t="n">
        <v>2.83139991760254</v>
      </c>
      <c r="H803" s="16">
        <f>C803+E803</f>
        <v/>
      </c>
    </row>
    <row r="804">
      <c r="A804" s="12" t="n">
        <v>43175</v>
      </c>
      <c r="B804" s="15" t="n">
        <v>0.251000016927719</v>
      </c>
      <c r="C804" s="15" t="n">
        <v>0.251599997282028</v>
      </c>
      <c r="D804" s="15" t="n">
        <v>2.34439992904663</v>
      </c>
      <c r="E804" s="15" t="n">
        <v>0.0117000937461853</v>
      </c>
      <c r="F804" s="15" t="n">
        <v>0.285800009965897</v>
      </c>
      <c r="G804" s="15" t="n">
        <v>2.85870003700256</v>
      </c>
      <c r="H804" s="16">
        <f>C804+E804</f>
        <v/>
      </c>
    </row>
    <row r="805">
      <c r="A805" s="12" t="n">
        <v>43178</v>
      </c>
      <c r="B805" s="15" t="n">
        <v>0.256499990820885</v>
      </c>
      <c r="C805" s="15" t="n">
        <v>0.248500004410744</v>
      </c>
      <c r="D805" s="15" t="n">
        <v>2.34450006484985</v>
      </c>
      <c r="E805" s="15" t="n">
        <v>0.0104998350143433</v>
      </c>
      <c r="F805" s="15" t="n">
        <v>0.287600010633469</v>
      </c>
      <c r="G805" s="15" t="n">
        <v>2.85999989509583</v>
      </c>
      <c r="H805" s="16">
        <f>C805+E805</f>
        <v/>
      </c>
    </row>
    <row r="806">
      <c r="A806" s="12" t="n">
        <v>43179</v>
      </c>
      <c r="B806" s="15" t="n">
        <v>0.266000002622604</v>
      </c>
      <c r="C806" s="15" t="n">
        <v>0.262100011110306</v>
      </c>
      <c r="D806" s="15" t="n">
        <v>2.35240006446838</v>
      </c>
      <c r="E806" s="15" t="n">
        <v>0.0138998031616211</v>
      </c>
      <c r="F806" s="15" t="n">
        <v>0.294900000095367</v>
      </c>
      <c r="G806" s="15" t="n">
        <v>2.89439988136292</v>
      </c>
      <c r="H806" s="16">
        <f>C806+E806</f>
        <v/>
      </c>
    </row>
    <row r="807">
      <c r="A807" s="12" t="n">
        <v>43180</v>
      </c>
      <c r="B807" s="15" t="n">
        <v>0.263700008392334</v>
      </c>
      <c r="C807" s="15" t="n">
        <v>0.267199993133545</v>
      </c>
      <c r="D807" s="15" t="n">
        <v>2.35419988632202</v>
      </c>
      <c r="E807" s="15" t="n">
        <v>0.015200138092041</v>
      </c>
      <c r="F807" s="15" t="n">
        <v>0.287600010633469</v>
      </c>
      <c r="G807" s="15" t="n">
        <v>2.90030002593994</v>
      </c>
      <c r="H807" s="16">
        <f>C807+E807</f>
        <v/>
      </c>
    </row>
    <row r="808">
      <c r="A808" s="12" t="n">
        <v>43181</v>
      </c>
      <c r="B808" s="15" t="n">
        <v>0.242899999022484</v>
      </c>
      <c r="C808" s="15" t="n">
        <v>0.243100002408028</v>
      </c>
      <c r="D808" s="15" t="n">
        <v>2.33839988708496</v>
      </c>
      <c r="E808" s="15" t="n">
        <v>0.0100000500679016</v>
      </c>
      <c r="F808" s="15" t="n">
        <v>0.280099987983704</v>
      </c>
      <c r="G808" s="15" t="n">
        <v>2.83439993858337</v>
      </c>
      <c r="H808" s="16">
        <f>C808+E808</f>
        <v/>
      </c>
    </row>
    <row r="809">
      <c r="A809" s="12" t="n">
        <v>43182</v>
      </c>
      <c r="B809" s="15" t="n">
        <v>0.235400006175041</v>
      </c>
      <c r="C809" s="15" t="n">
        <v>0.24269999563694</v>
      </c>
      <c r="D809" s="15" t="n">
        <v>2.33669996261597</v>
      </c>
      <c r="E809" s="15" t="n">
        <v>0.0100000500679016</v>
      </c>
      <c r="F809" s="15" t="n">
        <v>0.287499994039536</v>
      </c>
      <c r="G809" s="15" t="n">
        <v>2.82480001449585</v>
      </c>
      <c r="H809" s="16">
        <f>C809+E809</f>
        <v/>
      </c>
    </row>
    <row r="810">
      <c r="A810" s="12" t="n">
        <v>43185</v>
      </c>
      <c r="B810" s="15" t="n">
        <v>0.249600008130074</v>
      </c>
      <c r="C810" s="15" t="n">
        <v>0.249899998307228</v>
      </c>
      <c r="D810" s="15" t="n">
        <v>2.34310007095337</v>
      </c>
      <c r="E810" s="15" t="n">
        <v>0.0114000141620636</v>
      </c>
      <c r="F810" s="15" t="n">
        <v>0.290899991989136</v>
      </c>
      <c r="G810" s="15" t="n">
        <v>2.85400009155273</v>
      </c>
      <c r="H810" s="16">
        <f>C810+E810</f>
        <v/>
      </c>
    </row>
    <row r="811">
      <c r="A811" s="12" t="n">
        <v>43186</v>
      </c>
      <c r="B811" s="15" t="n">
        <v>0.22529998421669</v>
      </c>
      <c r="C811" s="15" t="n">
        <v>0.223800003528595</v>
      </c>
      <c r="D811" s="15" t="n">
        <v>2.32599997520447</v>
      </c>
      <c r="E811" s="15" t="n">
        <v>0.00550010800361633</v>
      </c>
      <c r="F811" s="15" t="n">
        <v>0.280900001525879</v>
      </c>
      <c r="G811" s="15" t="n">
        <v>2.78060007095337</v>
      </c>
      <c r="H811" s="16">
        <f>C811+E811</f>
        <v/>
      </c>
    </row>
    <row r="812">
      <c r="A812" s="12" t="n">
        <v>43187</v>
      </c>
      <c r="B812" s="15" t="n">
        <v>0.229100003838539</v>
      </c>
      <c r="C812" s="15" t="n">
        <v>0.221900001168251</v>
      </c>
      <c r="D812" s="15" t="n">
        <v>2.32590007781982</v>
      </c>
      <c r="E812" s="15" t="n">
        <v>0.00499984622001648</v>
      </c>
      <c r="F812" s="15" t="n">
        <v>0.290800005197525</v>
      </c>
      <c r="G812" s="15" t="n">
        <v>2.78189992904663</v>
      </c>
      <c r="H812" s="16">
        <f>C812+E812</f>
        <v/>
      </c>
    </row>
    <row r="813">
      <c r="A813" s="12" t="n">
        <v>43188</v>
      </c>
      <c r="B813" s="15" t="n">
        <v>0.215499997138977</v>
      </c>
      <c r="C813" s="15" t="n">
        <v>0.209399998188019</v>
      </c>
      <c r="D813" s="15" t="n">
        <v>2.31680011749268</v>
      </c>
      <c r="E813" s="15" t="n">
        <v>0.00249987840652466</v>
      </c>
      <c r="F813" s="15" t="n">
        <v>0.288100004196167</v>
      </c>
      <c r="G813" s="15" t="n">
        <v>2.7441999912262</v>
      </c>
      <c r="H813" s="16">
        <f>C813+E813</f>
        <v/>
      </c>
    </row>
    <row r="814">
      <c r="A814" s="12" t="n">
        <v>43192</v>
      </c>
      <c r="B814" s="15" t="n">
        <v>0.212300002574921</v>
      </c>
      <c r="C814" s="15" t="n">
        <v>0.207800000905991</v>
      </c>
      <c r="D814" s="15" t="n">
        <v>2.31559991836548</v>
      </c>
      <c r="E814" s="15" t="n">
        <v>0.00200006365776062</v>
      </c>
      <c r="F814" s="15" t="n">
        <v>0.289799988269806</v>
      </c>
      <c r="G814" s="15" t="n">
        <v>2.73769998550415</v>
      </c>
      <c r="H814" s="16">
        <f>C814+E814</f>
        <v/>
      </c>
    </row>
    <row r="815">
      <c r="A815" s="12" t="n">
        <v>43193</v>
      </c>
      <c r="B815" s="15" t="n">
        <v>0.227899998426437</v>
      </c>
      <c r="C815" s="15" t="n">
        <v>0.225600004196167</v>
      </c>
      <c r="D815" s="15" t="n">
        <v>2.32669997215271</v>
      </c>
      <c r="E815" s="15" t="n">
        <v>0.00620010495185852</v>
      </c>
      <c r="F815" s="15" t="n">
        <v>0.278699994087219</v>
      </c>
      <c r="G815" s="15" t="n">
        <v>2.78640007972717</v>
      </c>
      <c r="H815" s="16">
        <f>C815+E815</f>
        <v/>
      </c>
    </row>
    <row r="816">
      <c r="A816" s="12" t="n">
        <v>43194</v>
      </c>
      <c r="B816" s="15" t="n">
        <v>0.228200003504753</v>
      </c>
      <c r="C816" s="15" t="n">
        <v>0.230700001120567</v>
      </c>
      <c r="D816" s="15" t="n">
        <v>2.32859992980957</v>
      </c>
      <c r="E816" s="15" t="n">
        <v>0.00770017504692078</v>
      </c>
      <c r="F816" s="15" t="n">
        <v>0.275799989700317</v>
      </c>
      <c r="G816" s="15" t="n">
        <v>2.79520010948181</v>
      </c>
      <c r="H816" s="16">
        <f>C816+E816</f>
        <v/>
      </c>
    </row>
    <row r="817">
      <c r="A817" s="12" t="n">
        <v>43195</v>
      </c>
      <c r="B817" s="15" t="n">
        <v>0.240199998021126</v>
      </c>
      <c r="C817" s="15" t="n">
        <v>0.242400005459785</v>
      </c>
      <c r="D817" s="15" t="n">
        <v>2.3364999294281</v>
      </c>
      <c r="E817" s="15" t="n">
        <v>0.0103001296520233</v>
      </c>
      <c r="F817" s="15" t="n">
        <v>0.284099996089935</v>
      </c>
      <c r="G817" s="15" t="n">
        <v>2.82940006256104</v>
      </c>
      <c r="H817" s="16">
        <f>C817+E817</f>
        <v/>
      </c>
    </row>
    <row r="818">
      <c r="A818" s="12" t="n">
        <v>43196</v>
      </c>
      <c r="B818" s="15" t="n">
        <v>0.219699993729591</v>
      </c>
      <c r="C818" s="15" t="n">
        <v>0.221000000834465</v>
      </c>
      <c r="D818" s="15" t="n">
        <v>2.32220005989075</v>
      </c>
      <c r="E818" s="15" t="n">
        <v>0.00549989938735962</v>
      </c>
      <c r="F818" s="15" t="n">
        <v>0.277500003576279</v>
      </c>
      <c r="G818" s="15" t="n">
        <v>2.76839995384216</v>
      </c>
      <c r="H818" s="16">
        <f>C818+E818</f>
        <v/>
      </c>
    </row>
    <row r="819">
      <c r="A819" s="12" t="n">
        <v>43199</v>
      </c>
      <c r="B819" s="15" t="n">
        <v>0.226599991321564</v>
      </c>
      <c r="C819" s="15" t="n">
        <v>0.221300005912781</v>
      </c>
      <c r="D819" s="15" t="n">
        <v>2.32389998435974</v>
      </c>
      <c r="E819" s="15" t="n">
        <v>0.00540000200271606</v>
      </c>
      <c r="F819" s="15" t="n">
        <v>0.279399991035461</v>
      </c>
      <c r="G819" s="15" t="n">
        <v>2.7771999835968</v>
      </c>
      <c r="H819" s="16">
        <f>C819+E819</f>
        <v/>
      </c>
    </row>
    <row r="820">
      <c r="A820" s="12" t="n">
        <v>43200</v>
      </c>
      <c r="B820" s="15" t="n">
        <v>0.232699990272522</v>
      </c>
      <c r="C820" s="15" t="n">
        <v>0.226099997758865</v>
      </c>
      <c r="D820" s="15" t="n">
        <v>2.32710003852844</v>
      </c>
      <c r="E820" s="15" t="n">
        <v>0.00649985671043396</v>
      </c>
      <c r="F820" s="15" t="n">
        <v>0.279500007629395</v>
      </c>
      <c r="G820" s="15" t="n">
        <v>2.79239988327026</v>
      </c>
      <c r="H820" s="16">
        <f>C820+E820</f>
        <v/>
      </c>
    </row>
    <row r="821">
      <c r="A821" s="12" t="n">
        <v>43201</v>
      </c>
      <c r="B821" s="15" t="n">
        <v>0.229499995708466</v>
      </c>
      <c r="C821" s="15" t="n">
        <v>0.215700000524521</v>
      </c>
      <c r="D821" s="15" t="n">
        <v>2.3215000629425</v>
      </c>
      <c r="E821" s="15" t="n">
        <v>0.00419995188713074</v>
      </c>
      <c r="F821" s="15" t="n">
        <v>0.256500005722046</v>
      </c>
      <c r="G821" s="15" t="n">
        <v>2.77090001106262</v>
      </c>
      <c r="H821" s="16">
        <f>C821+E821</f>
        <v/>
      </c>
    </row>
    <row r="822">
      <c r="A822" s="12" t="n">
        <v>43202</v>
      </c>
      <c r="B822" s="15" t="n">
        <v>0.245699986815453</v>
      </c>
      <c r="C822" s="15" t="n">
        <v>0.236100003123283</v>
      </c>
      <c r="D822" s="15" t="n">
        <v>2.333899974823</v>
      </c>
      <c r="E822" s="15" t="n">
        <v>0.00890001654624939</v>
      </c>
      <c r="F822" s="15" t="n">
        <v>0.254999995231628</v>
      </c>
      <c r="G822" s="15" t="n">
        <v>2.82459998130798</v>
      </c>
      <c r="H822" s="16">
        <f>C822+E822</f>
        <v/>
      </c>
    </row>
    <row r="823">
      <c r="A823" s="12" t="n">
        <v>43203</v>
      </c>
      <c r="B823" s="15" t="n">
        <v>0.246999993920326</v>
      </c>
      <c r="C823" s="15" t="n">
        <v>0.229300007224083</v>
      </c>
      <c r="D823" s="15" t="n">
        <v>2.33089995384216</v>
      </c>
      <c r="E823" s="15" t="n">
        <v>0.00720000267028809</v>
      </c>
      <c r="F823" s="15" t="n">
        <v>0.244599997997284</v>
      </c>
      <c r="G823" s="15" t="n">
        <v>2.81439995765686</v>
      </c>
      <c r="H823" s="16">
        <f>C823+E823</f>
        <v/>
      </c>
    </row>
    <row r="824">
      <c r="A824" s="12" t="n">
        <v>43206</v>
      </c>
      <c r="B824" s="15" t="n">
        <v>0.252900004386902</v>
      </c>
      <c r="C824" s="15" t="n">
        <v>0.229900002479553</v>
      </c>
      <c r="D824" s="15" t="n">
        <v>2.33240008354187</v>
      </c>
      <c r="E824" s="15" t="n">
        <v>0.00720000267028809</v>
      </c>
      <c r="F824" s="15" t="n">
        <v>0.253600001335144</v>
      </c>
      <c r="G824" s="15" t="n">
        <v>2.82240009307861</v>
      </c>
      <c r="H824" s="16">
        <f>C824+E824</f>
        <v/>
      </c>
    </row>
    <row r="825">
      <c r="A825" s="12" t="n">
        <v>43207</v>
      </c>
      <c r="B825" s="15" t="n">
        <v>0.252300009131432</v>
      </c>
      <c r="C825" s="15" t="n">
        <v>0.219200000166893</v>
      </c>
      <c r="D825" s="15" t="n">
        <v>2.32750010490417</v>
      </c>
      <c r="E825" s="15" t="n">
        <v>0.00459995865821838</v>
      </c>
      <c r="F825" s="15" t="n">
        <v>0.244200006127357</v>
      </c>
      <c r="G825" s="15" t="n">
        <v>2.80360007286072</v>
      </c>
      <c r="H825" s="16">
        <f>C825+E825</f>
        <v/>
      </c>
    </row>
    <row r="826">
      <c r="A826" s="12" t="n">
        <v>43208</v>
      </c>
      <c r="B826" s="15" t="n">
        <v>0.268500000238419</v>
      </c>
      <c r="C826" s="15" t="n">
        <v>0.240099996328354</v>
      </c>
      <c r="D826" s="15" t="n">
        <v>2.3403000831604</v>
      </c>
      <c r="E826" s="15" t="n">
        <v>0.00929999351501465</v>
      </c>
      <c r="F826" s="15" t="n">
        <v>0.236300006508827</v>
      </c>
      <c r="G826" s="15" t="n">
        <v>2.85820007324219</v>
      </c>
      <c r="H826" s="16">
        <f>C826+E826</f>
        <v/>
      </c>
    </row>
    <row r="827">
      <c r="A827" s="12" t="n">
        <v>43209</v>
      </c>
      <c r="B827" s="15" t="n">
        <v>0.28260001540184</v>
      </c>
      <c r="C827" s="15" t="n">
        <v>0.259900003671646</v>
      </c>
      <c r="D827" s="15" t="n">
        <v>2.35240006446838</v>
      </c>
      <c r="E827" s="15" t="n">
        <v>0.0137999057769775</v>
      </c>
      <c r="F827" s="15" t="n">
        <v>0.238600000739098</v>
      </c>
      <c r="G827" s="15" t="n">
        <v>2.90869998931885</v>
      </c>
      <c r="H827" s="16">
        <f>C827+E827</f>
        <v/>
      </c>
    </row>
    <row r="828">
      <c r="A828" s="12" t="n">
        <v>43210</v>
      </c>
      <c r="B828" s="15" t="n">
        <v>0.295200020074844</v>
      </c>
      <c r="C828" s="15" t="n">
        <v>0.276800006628036</v>
      </c>
      <c r="D828" s="15" t="n">
        <v>2.36269998550415</v>
      </c>
      <c r="E828" s="15" t="n">
        <v>0.0178000926971436</v>
      </c>
      <c r="F828" s="15" t="n">
        <v>0.251300007104874</v>
      </c>
      <c r="G828" s="15" t="n">
        <v>2.95250010490417</v>
      </c>
      <c r="H828" s="16">
        <f>C828+E828</f>
        <v/>
      </c>
    </row>
    <row r="829">
      <c r="A829" s="12" t="n">
        <v>43213</v>
      </c>
      <c r="B829" s="15" t="n">
        <v>0.305599987506866</v>
      </c>
      <c r="C829" s="15" t="n">
        <v>0.281599998474121</v>
      </c>
      <c r="D829" s="15" t="n">
        <v>2.36710000038147</v>
      </c>
      <c r="E829" s="15" t="n">
        <v>0.0187000632286072</v>
      </c>
      <c r="F829" s="15" t="n">
        <v>0.251899987459183</v>
      </c>
      <c r="G829" s="15" t="n">
        <v>2.97300004959106</v>
      </c>
      <c r="H829" s="16">
        <f>C829+E829</f>
        <v/>
      </c>
    </row>
    <row r="830">
      <c r="A830" s="12" t="n">
        <v>43214</v>
      </c>
      <c r="B830" s="15" t="n">
        <v>0.310799986124039</v>
      </c>
      <c r="C830" s="15" t="n">
        <v>0.287600010633469</v>
      </c>
      <c r="D830" s="15" t="n">
        <v>2.37150001525879</v>
      </c>
      <c r="E830" s="15" t="n">
        <v>0.0198999643325806</v>
      </c>
      <c r="F830" s="15" t="n">
        <v>0.271800011396408</v>
      </c>
      <c r="G830" s="15" t="n">
        <v>2.98979997634888</v>
      </c>
      <c r="H830" s="16">
        <f>C830+E830</f>
        <v/>
      </c>
    </row>
    <row r="831">
      <c r="A831" s="12" t="n">
        <v>43215</v>
      </c>
      <c r="B831" s="15" t="n">
        <v>0.316900014877319</v>
      </c>
      <c r="C831" s="15" t="n">
        <v>0.301999986171722</v>
      </c>
      <c r="D831" s="15" t="n">
        <v>2.37960004806519</v>
      </c>
      <c r="E831" s="15" t="n">
        <v>0.0231998562812805</v>
      </c>
      <c r="F831" s="15" t="n">
        <v>0.280200004577637</v>
      </c>
      <c r="G831" s="15" t="n">
        <v>3.02169990539551</v>
      </c>
      <c r="H831" s="16">
        <f>C831+E831</f>
        <v/>
      </c>
    </row>
    <row r="832">
      <c r="A832" s="12" t="n">
        <v>43216</v>
      </c>
      <c r="B832" s="15" t="n">
        <v>0.306999981403351</v>
      </c>
      <c r="C832" s="15" t="n">
        <v>0.291299998760223</v>
      </c>
      <c r="D832" s="15" t="n">
        <v>2.37220001220703</v>
      </c>
      <c r="E832" s="15" t="n">
        <v>0.0209999084472656</v>
      </c>
      <c r="F832" s="15" t="n">
        <v>0.270900011062622</v>
      </c>
      <c r="G832" s="15" t="n">
        <v>2.99149990081787</v>
      </c>
      <c r="H832" s="16">
        <f>C832+E832</f>
        <v/>
      </c>
    </row>
    <row r="833">
      <c r="A833" s="12" t="n">
        <v>43217</v>
      </c>
      <c r="B833" s="15" t="n">
        <v>0.296499997377396</v>
      </c>
      <c r="C833" s="15" t="n">
        <v>0.276399999856949</v>
      </c>
      <c r="D833" s="15" t="n">
        <v>2.36279988288879</v>
      </c>
      <c r="E833" s="15" t="n">
        <v>0.0177000164985657</v>
      </c>
      <c r="F833" s="15" t="n">
        <v>0.268200010061264</v>
      </c>
      <c r="G833" s="15" t="n">
        <v>2.9533998966217</v>
      </c>
      <c r="H833" s="16">
        <f>C833+E833</f>
        <v/>
      </c>
    </row>
    <row r="834">
      <c r="A834" s="12" t="n">
        <v>43220</v>
      </c>
      <c r="B834" s="15" t="n">
        <v>0.295399993658066</v>
      </c>
      <c r="C834" s="15" t="n">
        <v>0.267500013113022</v>
      </c>
      <c r="D834" s="15" t="n">
        <v>2.35840010643005</v>
      </c>
      <c r="E834" s="15" t="n">
        <v>0.01559978723526</v>
      </c>
      <c r="F834" s="15" t="n">
        <v>0.258500009775162</v>
      </c>
      <c r="G834" s="15" t="n">
        <v>2.9368999004364</v>
      </c>
      <c r="H834" s="16">
        <f>C834+E834</f>
        <v/>
      </c>
    </row>
    <row r="835">
      <c r="A835" s="12" t="n">
        <v>43221</v>
      </c>
      <c r="B835" s="15" t="n">
        <v>0.303800016641617</v>
      </c>
      <c r="C835" s="15" t="n">
        <v>0.274300009012222</v>
      </c>
      <c r="D835" s="15" t="n">
        <v>2.36330008506775</v>
      </c>
      <c r="E835" s="15" t="n">
        <v>0.0169999003410339</v>
      </c>
      <c r="F835" s="15" t="n">
        <v>0.276399999856949</v>
      </c>
      <c r="G835" s="15" t="n">
        <v>2.95840001106262</v>
      </c>
      <c r="H835" s="16">
        <f>C835+E835</f>
        <v/>
      </c>
    </row>
    <row r="836">
      <c r="A836" s="12" t="n">
        <v>43222</v>
      </c>
      <c r="B836" s="15" t="n">
        <v>0.299399971961975</v>
      </c>
      <c r="C836" s="15" t="n">
        <v>0.274100005626678</v>
      </c>
      <c r="D836" s="15" t="n">
        <v>2.36220002174377</v>
      </c>
      <c r="E836" s="15" t="n">
        <v>0.0169999003410339</v>
      </c>
      <c r="F836" s="15" t="n">
        <v>0.264699995517731</v>
      </c>
      <c r="G836" s="15" t="n">
        <v>2.95269989967346</v>
      </c>
      <c r="H836" s="16">
        <f>C836+E836</f>
        <v/>
      </c>
    </row>
    <row r="837">
      <c r="A837" s="12" t="n">
        <v>43223</v>
      </c>
      <c r="B837" s="15" t="n">
        <v>0.29119998216629</v>
      </c>
      <c r="C837" s="15" t="n">
        <v>0.267199993133545</v>
      </c>
      <c r="D837" s="15" t="n">
        <v>2.35730004310608</v>
      </c>
      <c r="E837" s="15" t="n">
        <v>0.015500009059906</v>
      </c>
      <c r="F837" s="15" t="n">
        <v>0.265199989080429</v>
      </c>
      <c r="G837" s="15" t="n">
        <v>2.93120002746582</v>
      </c>
      <c r="H837" s="16">
        <f>C837+E837</f>
        <v/>
      </c>
    </row>
    <row r="838">
      <c r="A838" s="12" t="n">
        <v>43224</v>
      </c>
      <c r="B838" s="15" t="n">
        <v>0.295800000429153</v>
      </c>
      <c r="C838" s="15" t="n">
        <v>0.272399991750717</v>
      </c>
      <c r="D838" s="15" t="n">
        <v>2.36100006103516</v>
      </c>
      <c r="E838" s="15" t="n">
        <v>0.0166999101638794</v>
      </c>
      <c r="F838" s="15" t="n">
        <v>0.259700000286102</v>
      </c>
      <c r="G838" s="15" t="n">
        <v>2.94589996337891</v>
      </c>
      <c r="H838" s="16">
        <f>C838+E838</f>
        <v/>
      </c>
    </row>
    <row r="839">
      <c r="A839" s="12" t="n">
        <v>43227</v>
      </c>
      <c r="B839" s="15" t="n">
        <v>0.300000011920929</v>
      </c>
      <c r="C839" s="15" t="n">
        <v>0.273400008678436</v>
      </c>
      <c r="D839" s="15" t="n">
        <v>2.36290001869202</v>
      </c>
      <c r="E839" s="15" t="n">
        <v>0.0164999961853027</v>
      </c>
      <c r="F839" s="15" t="n">
        <v>0.253600001335144</v>
      </c>
      <c r="G839" s="15" t="n">
        <v>2.95280003547668</v>
      </c>
      <c r="H839" s="16">
        <f>C839+E839</f>
        <v/>
      </c>
    </row>
    <row r="840">
      <c r="A840" s="12" t="n">
        <v>43228</v>
      </c>
      <c r="B840" s="15" t="n">
        <v>0.307899981737137</v>
      </c>
      <c r="C840" s="15" t="n">
        <v>0.282099992036819</v>
      </c>
      <c r="D840" s="15" t="n">
        <v>2.3685998916626</v>
      </c>
      <c r="E840" s="15" t="n">
        <v>0.018500030040741</v>
      </c>
      <c r="F840" s="15" t="n">
        <v>0.263399988412857</v>
      </c>
      <c r="G840" s="15" t="n">
        <v>2.97709989547729</v>
      </c>
      <c r="H840" s="16">
        <f>C840+E840</f>
        <v/>
      </c>
    </row>
    <row r="841">
      <c r="A841" s="12" t="n">
        <v>43229</v>
      </c>
      <c r="B841" s="15" t="n">
        <v>0.316699981689453</v>
      </c>
      <c r="C841" s="15" t="n">
        <v>0.292699992656708</v>
      </c>
      <c r="D841" s="15" t="n">
        <v>2.37509989738464</v>
      </c>
      <c r="E841" s="15" t="n">
        <v>0.0209000706672668</v>
      </c>
      <c r="F841" s="15" t="n">
        <v>0.255299985408783</v>
      </c>
      <c r="G841" s="15" t="n">
        <v>3.00539994239807</v>
      </c>
      <c r="H841" s="16">
        <f>C841+E841</f>
        <v/>
      </c>
    </row>
    <row r="842">
      <c r="A842" s="12" t="n">
        <v>43230</v>
      </c>
      <c r="B842" s="15" t="n">
        <v>0.310699999332428</v>
      </c>
      <c r="C842" s="15" t="n">
        <v>0.283399999141693</v>
      </c>
      <c r="D842" s="15" t="n">
        <v>2.3691999912262</v>
      </c>
      <c r="E842" s="15" t="n">
        <v>0.0190000534057617</v>
      </c>
      <c r="F842" s="15" t="n">
        <v>0.252099990844727</v>
      </c>
      <c r="G842" s="15" t="n">
        <v>2.98230004310608</v>
      </c>
      <c r="H842" s="16">
        <f>C842+E842</f>
        <v/>
      </c>
    </row>
    <row r="843">
      <c r="A843" s="12" t="n">
        <v>43231</v>
      </c>
      <c r="B843" s="15" t="n">
        <v>0.311800003051758</v>
      </c>
      <c r="C843" s="15" t="n">
        <v>0.280900001525879</v>
      </c>
      <c r="D843" s="15" t="n">
        <v>2.36809992790222</v>
      </c>
      <c r="E843" s="15" t="n">
        <v>0.0183999538421631</v>
      </c>
      <c r="F843" s="15" t="n">
        <v>0.260300010442734</v>
      </c>
      <c r="G843" s="15" t="n">
        <v>2.97919988632202</v>
      </c>
      <c r="H843" s="16">
        <f>C843+E843</f>
        <v/>
      </c>
    </row>
    <row r="844">
      <c r="A844" s="12" t="n">
        <v>43234</v>
      </c>
      <c r="B844" s="15" t="n">
        <v>0.321599960327148</v>
      </c>
      <c r="C844" s="15" t="n">
        <v>0.28600001335144</v>
      </c>
      <c r="D844" s="15" t="n">
        <v>2.37280011177063</v>
      </c>
      <c r="E844" s="15" t="n">
        <v>0.0192999839782715</v>
      </c>
      <c r="F844" s="15" t="n">
        <v>0.264400005340576</v>
      </c>
      <c r="G844" s="15" t="n">
        <v>2.99970006942749</v>
      </c>
      <c r="H844" s="16">
        <f>C844+E844</f>
        <v/>
      </c>
    </row>
    <row r="845">
      <c r="A845" s="12" t="n">
        <v>43235</v>
      </c>
      <c r="B845" s="15" t="n">
        <v>0.345699995756149</v>
      </c>
      <c r="C845" s="15" t="n">
        <v>0.315200001001358</v>
      </c>
      <c r="D845" s="15" t="n">
        <v>2.39129996299744</v>
      </c>
      <c r="E845" s="15" t="n">
        <v>0.0258001089096069</v>
      </c>
      <c r="F845" s="15" t="n">
        <v>0.264800012111664</v>
      </c>
      <c r="G845" s="15" t="n">
        <v>3.07800006866455</v>
      </c>
      <c r="H845" s="16">
        <f>C845+E845</f>
        <v/>
      </c>
    </row>
    <row r="846">
      <c r="A846" s="12" t="n">
        <v>43236</v>
      </c>
      <c r="B846" s="15" t="n">
        <v>0.3507000207901</v>
      </c>
      <c r="C846" s="15" t="n">
        <v>0.321799993515015</v>
      </c>
      <c r="D846" s="15" t="n">
        <v>2.39510011672974</v>
      </c>
      <c r="E846" s="15" t="n">
        <v>0.0273998975753784</v>
      </c>
      <c r="F846" s="15" t="n">
        <v>0.266000002622604</v>
      </c>
      <c r="G846" s="15" t="n">
        <v>3.09500002861023</v>
      </c>
      <c r="H846" s="16">
        <f>C846+E846</f>
        <v/>
      </c>
    </row>
    <row r="847">
      <c r="A847" s="12" t="n">
        <v>43237</v>
      </c>
      <c r="B847" s="15" t="n">
        <v>0.355599999427795</v>
      </c>
      <c r="C847" s="15" t="n">
        <v>0.328599989414215</v>
      </c>
      <c r="D847" s="15" t="n">
        <v>2.3996000289917</v>
      </c>
      <c r="E847" s="15" t="n">
        <v>0.0288999676704407</v>
      </c>
      <c r="F847" s="15" t="n">
        <v>0.27590000629425</v>
      </c>
      <c r="G847" s="15" t="n">
        <v>3.11269998550415</v>
      </c>
      <c r="H847" s="16">
        <f>C847+E847</f>
        <v/>
      </c>
    </row>
    <row r="848">
      <c r="A848" s="12" t="n">
        <v>43238</v>
      </c>
      <c r="B848" s="15" t="n">
        <v>0.340200036764145</v>
      </c>
      <c r="C848" s="15" t="n">
        <v>0.312599986791611</v>
      </c>
      <c r="D848" s="15" t="n">
        <v>2.38930010795593</v>
      </c>
      <c r="E848" s="15" t="n">
        <v>0.0251999497413635</v>
      </c>
      <c r="F848" s="15" t="n">
        <v>0.278800010681152</v>
      </c>
      <c r="G848" s="15" t="n">
        <v>3.06730008125305</v>
      </c>
      <c r="H848" s="16">
        <f>C848+E848</f>
        <v/>
      </c>
    </row>
    <row r="849">
      <c r="A849" s="12" t="n">
        <v>43241</v>
      </c>
      <c r="B849" s="15" t="n">
        <v>0.345499962568283</v>
      </c>
      <c r="C849" s="15" t="n">
        <v>0.306300014257431</v>
      </c>
      <c r="D849" s="15" t="n">
        <v>2.38820004463196</v>
      </c>
      <c r="E849" s="15" t="n">
        <v>0.0231999754905701</v>
      </c>
      <c r="F849" s="15" t="n">
        <v>0.269800007343292</v>
      </c>
      <c r="G849" s="15" t="n">
        <v>3.06319999694824</v>
      </c>
      <c r="H849" s="16">
        <f>C849+E849</f>
        <v/>
      </c>
    </row>
    <row r="850">
      <c r="A850" s="12" t="n">
        <v>43242</v>
      </c>
      <c r="B850" s="15" t="n">
        <v>0.346599966287613</v>
      </c>
      <c r="C850" s="15" t="n">
        <v>0.308400005102158</v>
      </c>
      <c r="D850" s="15" t="n">
        <v>2.38960003852844</v>
      </c>
      <c r="E850" s="15" t="n">
        <v>0.0234999656677246</v>
      </c>
      <c r="F850" s="15" t="n">
        <v>0.273999989032745</v>
      </c>
      <c r="G850" s="15" t="n">
        <v>3.06809997558594</v>
      </c>
      <c r="H850" s="16">
        <f>C850+E850</f>
        <v/>
      </c>
    </row>
    <row r="851">
      <c r="A851" s="12" t="n">
        <v>43243</v>
      </c>
      <c r="B851" s="15" t="n">
        <v>0.326600015163422</v>
      </c>
      <c r="C851" s="15" t="n">
        <v>0.290899991989136</v>
      </c>
      <c r="D851" s="15" t="n">
        <v>2.37770009040833</v>
      </c>
      <c r="E851" s="15" t="n">
        <v>0.0196998715400696</v>
      </c>
      <c r="F851" s="15" t="n">
        <v>0.276899993419647</v>
      </c>
      <c r="G851" s="15" t="n">
        <v>3.01489996910095</v>
      </c>
      <c r="H851" s="16">
        <f>C851+E851</f>
        <v/>
      </c>
    </row>
    <row r="852">
      <c r="A852" s="12" t="n">
        <v>43244</v>
      </c>
      <c r="B852" s="15" t="n">
        <v>0.315299987792969</v>
      </c>
      <c r="C852" s="15" t="n">
        <v>0.280099987983704</v>
      </c>
      <c r="D852" s="15" t="n">
        <v>2.36999988555908</v>
      </c>
      <c r="E852" s="15" t="n">
        <v>0.0174001455307007</v>
      </c>
      <c r="F852" s="15" t="n">
        <v>0.290899991989136</v>
      </c>
      <c r="G852" s="15" t="n">
        <v>2.98280000686646</v>
      </c>
      <c r="H852" s="16">
        <f>C852+E852</f>
        <v/>
      </c>
    </row>
    <row r="853">
      <c r="A853" s="12" t="n">
        <v>43245</v>
      </c>
      <c r="B853" s="15" t="n">
        <v>0.298100024461746</v>
      </c>
      <c r="C853" s="15" t="n">
        <v>0.264099985361099</v>
      </c>
      <c r="D853" s="15" t="n">
        <v>2.35899996757507</v>
      </c>
      <c r="E853" s="15" t="n">
        <v>0.013900101184845</v>
      </c>
      <c r="F853" s="15" t="n">
        <v>0.303600013256073</v>
      </c>
      <c r="G853" s="15" t="n">
        <v>2.93510007858276</v>
      </c>
      <c r="H853" s="16">
        <f>C853+E853</f>
        <v/>
      </c>
    </row>
    <row r="854">
      <c r="A854" s="12" t="n">
        <v>43249</v>
      </c>
      <c r="B854" s="15" t="n">
        <v>0.24439999461174</v>
      </c>
      <c r="C854" s="15" t="n">
        <v>0.206200003623962</v>
      </c>
      <c r="D854" s="15" t="n">
        <v>2.32249999046326</v>
      </c>
      <c r="E854" s="15" t="n">
        <v>0.000300079584121704</v>
      </c>
      <c r="F854" s="15" t="n">
        <v>0.305299997329712</v>
      </c>
      <c r="G854" s="15" t="n">
        <v>2.77340006828308</v>
      </c>
      <c r="H854" s="16">
        <f>C854+E854</f>
        <v/>
      </c>
    </row>
    <row r="855">
      <c r="A855" s="12" t="n">
        <v>43250</v>
      </c>
      <c r="B855" s="15" t="n">
        <v>0.270199999213219</v>
      </c>
      <c r="C855" s="15" t="n">
        <v>0.227099999785423</v>
      </c>
      <c r="D855" s="15" t="n">
        <v>2.33730006217957</v>
      </c>
      <c r="E855" s="15" t="n">
        <v>0.00500002503395081</v>
      </c>
      <c r="F855" s="15" t="n">
        <v>0.307300001382828</v>
      </c>
      <c r="G855" s="15" t="n">
        <v>2.83960008621216</v>
      </c>
      <c r="H855" s="16">
        <f>C855+E855</f>
        <v/>
      </c>
    </row>
    <row r="856">
      <c r="A856" s="12" t="n">
        <v>43251</v>
      </c>
      <c r="B856" s="15" t="n">
        <v>0.267999991774559</v>
      </c>
      <c r="C856" s="15" t="n">
        <v>0.222100004553795</v>
      </c>
      <c r="D856" s="15" t="n">
        <v>2.33419990539551</v>
      </c>
      <c r="E856" s="15" t="n">
        <v>0.00380006432533264</v>
      </c>
      <c r="F856" s="15" t="n">
        <v>0.293300002813339</v>
      </c>
      <c r="G856" s="15" t="n">
        <v>2.82809996604919</v>
      </c>
      <c r="H856" s="16">
        <f>C856+E856</f>
        <v/>
      </c>
    </row>
    <row r="857">
      <c r="A857" s="12" t="n">
        <v>43252</v>
      </c>
      <c r="B857" s="15" t="n">
        <v>0.290200024843216</v>
      </c>
      <c r="C857" s="15" t="n">
        <v>0.242599993944168</v>
      </c>
      <c r="D857" s="15" t="n">
        <v>2.34789991378784</v>
      </c>
      <c r="E857" s="15" t="n">
        <v>0.008600175380706791</v>
      </c>
      <c r="F857" s="15" t="n">
        <v>0.293300002813339</v>
      </c>
      <c r="G857" s="15" t="n">
        <v>2.88930010795593</v>
      </c>
      <c r="H857" s="16">
        <f>C857+E857</f>
        <v/>
      </c>
    </row>
    <row r="858">
      <c r="A858" s="12" t="n">
        <v>43255</v>
      </c>
      <c r="B858" s="15" t="n">
        <v>0.307000041007996</v>
      </c>
      <c r="C858" s="15" t="n">
        <v>0.254599988460541</v>
      </c>
      <c r="D858" s="15" t="n">
        <v>2.35669994354248</v>
      </c>
      <c r="E858" s="15" t="n">
        <v>0.0112001299858093</v>
      </c>
      <c r="F858" s="15" t="n">
        <v>0.288399994373322</v>
      </c>
      <c r="G858" s="15" t="n">
        <v>2.92950010299683</v>
      </c>
      <c r="H858" s="16">
        <f>C858+E858</f>
        <v/>
      </c>
    </row>
    <row r="859">
      <c r="A859" s="12" t="n">
        <v>43256</v>
      </c>
      <c r="B859" s="15" t="n">
        <v>0.299399986863136</v>
      </c>
      <c r="C859" s="15" t="n">
        <v>0.245399996638298</v>
      </c>
      <c r="D859" s="15" t="n">
        <v>2.3510000705719</v>
      </c>
      <c r="E859" s="15" t="n">
        <v>0.00899988412857056</v>
      </c>
      <c r="F859" s="15" t="n">
        <v>0.282900005578995</v>
      </c>
      <c r="G859" s="15" t="n">
        <v>2.9047999382019</v>
      </c>
      <c r="H859" s="16">
        <f>C859+E859</f>
        <v/>
      </c>
    </row>
    <row r="860">
      <c r="A860" s="12" t="n">
        <v>43257</v>
      </c>
      <c r="B860" s="15" t="n">
        <v>0.317800015211105</v>
      </c>
      <c r="C860" s="15" t="n">
        <v>0.268200010061264</v>
      </c>
      <c r="D860" s="15" t="n">
        <v>2.36529994010925</v>
      </c>
      <c r="E860" s="15" t="n">
        <v>0.0142001509666443</v>
      </c>
      <c r="F860" s="15" t="n">
        <v>0.284999996423721</v>
      </c>
      <c r="G860" s="15" t="n">
        <v>2.96550011634827</v>
      </c>
      <c r="H860" s="16">
        <f>C860+E860</f>
        <v/>
      </c>
    </row>
    <row r="861">
      <c r="A861" s="12" t="n">
        <v>43258</v>
      </c>
      <c r="B861" s="15" t="n">
        <v>0.303099989891052</v>
      </c>
      <c r="C861" s="15" t="n">
        <v>0.252600014209747</v>
      </c>
      <c r="D861" s="15" t="n">
        <v>2.35489988327026</v>
      </c>
      <c r="E861" s="15" t="n">
        <v>0.01090008020401</v>
      </c>
      <c r="F861" s="15" t="n">
        <v>0.275400012731552</v>
      </c>
      <c r="G861" s="15" t="n">
        <v>2.92149996757507</v>
      </c>
      <c r="H861" s="16">
        <f>C861+E861</f>
        <v/>
      </c>
    </row>
    <row r="862">
      <c r="A862" s="12" t="n">
        <v>43259</v>
      </c>
      <c r="B862" s="15" t="n">
        <v>0.303999960422516</v>
      </c>
      <c r="C862" s="15" t="n">
        <v>0.254400014877319</v>
      </c>
      <c r="D862" s="15" t="n">
        <v>2.35610008239746</v>
      </c>
      <c r="E862" s="15" t="n">
        <v>0.0111998915672302</v>
      </c>
      <c r="F862" s="15" t="n">
        <v>0.283899992704391</v>
      </c>
      <c r="G862" s="15" t="n">
        <v>2.92569994926453</v>
      </c>
      <c r="H862" s="16">
        <f>C862+E862</f>
        <v/>
      </c>
    </row>
    <row r="863">
      <c r="A863" s="12" t="n">
        <v>43262</v>
      </c>
      <c r="B863" s="15" t="n">
        <v>0.31029999256134</v>
      </c>
      <c r="C863" s="15" t="n">
        <v>0.263000011444092</v>
      </c>
      <c r="D863" s="15" t="n">
        <v>2.36089992523193</v>
      </c>
      <c r="E863" s="15" t="n">
        <v>0.0133999586105347</v>
      </c>
      <c r="F863" s="15" t="n">
        <v>0.284200012683868</v>
      </c>
      <c r="G863" s="15" t="n">
        <v>2.9475998878479</v>
      </c>
      <c r="H863" s="16">
        <f>C863+E863</f>
        <v/>
      </c>
    </row>
    <row r="864">
      <c r="A864" s="12" t="n">
        <v>43263</v>
      </c>
      <c r="B864" s="15" t="n">
        <v>0.312700003385544</v>
      </c>
      <c r="C864" s="15" t="n">
        <v>0.269899994134903</v>
      </c>
      <c r="D864" s="15" t="n">
        <v>2.36450004577637</v>
      </c>
      <c r="E864" s="15" t="n">
        <v>0.0150998830795288</v>
      </c>
      <c r="F864" s="15" t="n">
        <v>0.282099992036819</v>
      </c>
      <c r="G864" s="15" t="n">
        <v>2.96219992637634</v>
      </c>
      <c r="H864" s="16">
        <f>C864+E864</f>
        <v/>
      </c>
    </row>
    <row r="865">
      <c r="A865" s="12" t="n">
        <v>43264</v>
      </c>
      <c r="B865" s="15" t="n">
        <v>0.320600003004074</v>
      </c>
      <c r="C865" s="15" t="n">
        <v>0.280400007963181</v>
      </c>
      <c r="D865" s="15" t="n">
        <v>2.37030005455017</v>
      </c>
      <c r="E865" s="15" t="n">
        <v>0.0177000164985657</v>
      </c>
      <c r="F865" s="15" t="n">
        <v>0.298299998044968</v>
      </c>
      <c r="G865" s="15" t="n">
        <v>2.98900008201599</v>
      </c>
      <c r="H865" s="16">
        <f>C865+E865</f>
        <v/>
      </c>
    </row>
    <row r="866">
      <c r="A866" s="12" t="n">
        <v>43265</v>
      </c>
      <c r="B866" s="15" t="n">
        <v>0.30469998717308</v>
      </c>
      <c r="C866" s="15" t="n">
        <v>0.264099985361099</v>
      </c>
      <c r="D866" s="15" t="n">
        <v>2.35890007019043</v>
      </c>
      <c r="E866" s="15" t="n">
        <v>0.0142998695373535</v>
      </c>
      <c r="F866" s="15" t="n">
        <v>0.279599994421005</v>
      </c>
      <c r="G866" s="15" t="n">
        <v>2.94199991226196</v>
      </c>
      <c r="H866" s="16">
        <f>C866+E866</f>
        <v/>
      </c>
    </row>
    <row r="867">
      <c r="A867" s="12" t="n">
        <v>43266</v>
      </c>
      <c r="B867" s="15" t="n">
        <v>0.302000015974045</v>
      </c>
      <c r="C867" s="15" t="n">
        <v>0.261000007390976</v>
      </c>
      <c r="D867" s="15" t="n">
        <v>2.35669994354248</v>
      </c>
      <c r="E867" s="15" t="n">
        <v>0.0136999487876892</v>
      </c>
      <c r="F867" s="15" t="n">
        <v>0.287999987602234</v>
      </c>
      <c r="G867" s="15" t="n">
        <v>2.93339991569519</v>
      </c>
      <c r="H867" s="16">
        <f>C867+E867</f>
        <v/>
      </c>
    </row>
    <row r="868">
      <c r="A868" s="12" t="n">
        <v>43269</v>
      </c>
      <c r="B868" s="15" t="n">
        <v>0.307099968194962</v>
      </c>
      <c r="C868" s="15" t="n">
        <v>0.253800004720688</v>
      </c>
      <c r="D868" s="15" t="n">
        <v>2.35520005226135</v>
      </c>
      <c r="E868" s="15" t="n">
        <v>0.0114998817443848</v>
      </c>
      <c r="F868" s="15" t="n">
        <v>0.279000014066696</v>
      </c>
      <c r="G868" s="15" t="n">
        <v>2.92759990692139</v>
      </c>
      <c r="H868" s="16">
        <f>C868+E868</f>
        <v/>
      </c>
    </row>
    <row r="869">
      <c r="A869" s="12" t="n">
        <v>43270</v>
      </c>
      <c r="B869" s="15" t="n">
        <v>0.29789999127388</v>
      </c>
      <c r="C869" s="15" t="n">
        <v>0.240799993276596</v>
      </c>
      <c r="D869" s="15" t="n">
        <v>2.3478000164032</v>
      </c>
      <c r="E869" s="15" t="n">
        <v>0.008299946784973139</v>
      </c>
      <c r="F869" s="15" t="n">
        <v>0.275599986314774</v>
      </c>
      <c r="G869" s="15" t="n">
        <v>2.89479994773865</v>
      </c>
      <c r="H869" s="16">
        <f>C869+E869</f>
        <v/>
      </c>
    </row>
    <row r="870">
      <c r="A870" s="12" t="n">
        <v>43271</v>
      </c>
      <c r="B870" s="15" t="n">
        <v>0.311100006103516</v>
      </c>
      <c r="C870" s="15" t="n">
        <v>0.254999995231628</v>
      </c>
      <c r="D870" s="15" t="n">
        <v>2.35739994049072</v>
      </c>
      <c r="E870" s="15" t="n">
        <v>0.0114001035690308</v>
      </c>
      <c r="F870" s="15" t="n">
        <v>0.288500010967255</v>
      </c>
      <c r="G870" s="15" t="n">
        <v>2.9349000453949</v>
      </c>
      <c r="H870" s="16">
        <f>C870+E870</f>
        <v/>
      </c>
    </row>
    <row r="871">
      <c r="A871" s="12" t="n">
        <v>43272</v>
      </c>
      <c r="B871" s="15" t="n">
        <v>0.300500005483627</v>
      </c>
      <c r="C871" s="15" t="n">
        <v>0.2466000020504</v>
      </c>
      <c r="D871" s="15" t="n">
        <v>2.35130000114441</v>
      </c>
      <c r="E871" s="15" t="n">
        <v>0.00950008630752563</v>
      </c>
      <c r="F871" s="15" t="n">
        <v>0.288300007581711</v>
      </c>
      <c r="G871" s="15" t="n">
        <v>2.90790009498596</v>
      </c>
      <c r="H871" s="16">
        <f>C871+E871</f>
        <v/>
      </c>
    </row>
    <row r="872">
      <c r="A872" s="12" t="n">
        <v>43273</v>
      </c>
      <c r="B872" s="15" t="n">
        <v>0.299100026488304</v>
      </c>
      <c r="C872" s="15" t="n">
        <v>0.246999993920326</v>
      </c>
      <c r="D872" s="15" t="n">
        <v>2.3510000705719</v>
      </c>
      <c r="E872" s="15" t="n">
        <v>0.009799838066101071</v>
      </c>
      <c r="F872" s="15" t="n">
        <v>0.275499999523163</v>
      </c>
      <c r="G872" s="15" t="n">
        <v>2.90689992904663</v>
      </c>
      <c r="H872" s="16">
        <f>C872+E872</f>
        <v/>
      </c>
    </row>
    <row r="873">
      <c r="A873" s="12" t="n">
        <v>43276</v>
      </c>
      <c r="B873" s="15" t="n">
        <v>0.293699979782104</v>
      </c>
      <c r="C873" s="15" t="n">
        <v>0.237100005149841</v>
      </c>
      <c r="D873" s="15" t="n">
        <v>2.34579992294312</v>
      </c>
      <c r="E873" s="15" t="n">
        <v>0.00730001926422119</v>
      </c>
      <c r="F873" s="15" t="n">
        <v>0.279199987649918</v>
      </c>
      <c r="G873" s="15" t="n">
        <v>2.88389992713928</v>
      </c>
      <c r="H873" s="16">
        <f>C873+E873</f>
        <v/>
      </c>
    </row>
    <row r="874">
      <c r="A874" s="12" t="n">
        <v>43277</v>
      </c>
      <c r="B874" s="15" t="n">
        <v>0.295799970626831</v>
      </c>
      <c r="C874" s="15" t="n">
        <v>0.237100005149841</v>
      </c>
      <c r="D874" s="15" t="n">
        <v>2.34660005569458</v>
      </c>
      <c r="E874" s="15" t="n">
        <v>0.00699985027313232</v>
      </c>
      <c r="F874" s="15" t="n">
        <v>0.271499991416931</v>
      </c>
      <c r="G874" s="15" t="n">
        <v>2.88649988174438</v>
      </c>
      <c r="H874" s="16">
        <f>C874+E874</f>
        <v/>
      </c>
    </row>
    <row r="875">
      <c r="A875" s="12" t="n">
        <v>43278</v>
      </c>
      <c r="B875" s="15" t="n">
        <v>0.277600020170212</v>
      </c>
      <c r="C875" s="15" t="n">
        <v>0.222900003194809</v>
      </c>
      <c r="D875" s="15" t="n">
        <v>2.33590006828308</v>
      </c>
      <c r="E875" s="15" t="n">
        <v>0.00410002470016479</v>
      </c>
      <c r="F875" s="15" t="n">
        <v>0.268599987030029</v>
      </c>
      <c r="G875" s="15" t="n">
        <v>2.84050011634827</v>
      </c>
      <c r="H875" s="16">
        <f>C875+E875</f>
        <v/>
      </c>
    </row>
    <row r="876">
      <c r="A876" s="12" t="n">
        <v>43279</v>
      </c>
      <c r="B876" s="15" t="n">
        <v>0.282600030303001</v>
      </c>
      <c r="C876" s="15" t="n">
        <v>0.226899996399879</v>
      </c>
      <c r="D876" s="15" t="n">
        <v>2.33870005607605</v>
      </c>
      <c r="E876" s="15" t="n">
        <v>0.00499987602233887</v>
      </c>
      <c r="F876" s="15" t="n">
        <v>0.277599990367889</v>
      </c>
      <c r="G876" s="15" t="n">
        <v>2.85319995880127</v>
      </c>
      <c r="H876" s="16">
        <f>C876+E876</f>
        <v/>
      </c>
    </row>
    <row r="877">
      <c r="A877" s="12" t="n">
        <v>43280</v>
      </c>
      <c r="B877" s="15" t="n">
        <v>0.284400016069412</v>
      </c>
      <c r="C877" s="15" t="n">
        <v>0.228300005197525</v>
      </c>
      <c r="D877" s="15" t="n">
        <v>2.33949995040894</v>
      </c>
      <c r="E877" s="15" t="n">
        <v>0.00550013780593872</v>
      </c>
      <c r="F877" s="15" t="n">
        <v>0.272000014781952</v>
      </c>
      <c r="G877" s="15" t="n">
        <v>2.85770010948181</v>
      </c>
      <c r="H877" s="16">
        <f>C877+E877</f>
        <v/>
      </c>
    </row>
    <row r="878">
      <c r="A878" s="12" t="n">
        <v>43283</v>
      </c>
      <c r="B878" s="15" t="n">
        <v>0.29289998114109</v>
      </c>
      <c r="C878" s="15" t="n">
        <v>0.229599997401237</v>
      </c>
      <c r="D878" s="15" t="n">
        <v>2.34190011024475</v>
      </c>
      <c r="E878" s="15" t="n">
        <v>0.00549989938735962</v>
      </c>
      <c r="F878" s="15" t="n">
        <v>0.263300001621246</v>
      </c>
      <c r="G878" s="15" t="n">
        <v>2.86989998817444</v>
      </c>
      <c r="H878" s="16">
        <f>C878+E878</f>
        <v/>
      </c>
    </row>
    <row r="879">
      <c r="A879" s="12" t="n">
        <v>43284</v>
      </c>
      <c r="B879" s="15" t="n">
        <v>0.280699983239174</v>
      </c>
      <c r="C879" s="15" t="n">
        <v>0.217800006270409</v>
      </c>
      <c r="D879" s="15" t="n">
        <v>2.33369994163513</v>
      </c>
      <c r="E879" s="15" t="n">
        <v>0.00300014019012451</v>
      </c>
      <c r="F879" s="15" t="n">
        <v>0.257699996232986</v>
      </c>
      <c r="G879" s="15" t="n">
        <v>2.83520007133484</v>
      </c>
      <c r="H879" s="16">
        <f>C879+E879</f>
        <v/>
      </c>
    </row>
    <row r="880">
      <c r="A880" s="12" t="n">
        <v>43286</v>
      </c>
      <c r="B880" s="15" t="n">
        <v>0.280599996447563</v>
      </c>
      <c r="C880" s="15" t="n">
        <v>0.217600002884865</v>
      </c>
      <c r="D880" s="15" t="n">
        <v>2.33290004730225</v>
      </c>
      <c r="E880" s="15" t="n">
        <v>0.0031999945640564</v>
      </c>
      <c r="F880" s="15" t="n">
        <v>0.255899995565414</v>
      </c>
      <c r="G880" s="15" t="n">
        <v>2.83430004119873</v>
      </c>
      <c r="H880" s="16">
        <f>C880+E880</f>
        <v/>
      </c>
    </row>
    <row r="881">
      <c r="A881" s="12" t="n">
        <v>43287</v>
      </c>
      <c r="B881" s="15" t="n">
        <v>0.276300013065338</v>
      </c>
      <c r="C881" s="15" t="n">
        <v>0.211199998855591</v>
      </c>
      <c r="D881" s="15" t="n">
        <v>2.32920002937317</v>
      </c>
      <c r="E881" s="15" t="n">
        <v>0.00180000066757202</v>
      </c>
      <c r="F881" s="15" t="n">
        <v>0.255800008773804</v>
      </c>
      <c r="G881" s="15" t="n">
        <v>2.81850004196167</v>
      </c>
      <c r="H881" s="16">
        <f>C881+E881</f>
        <v/>
      </c>
    </row>
    <row r="882">
      <c r="A882" s="12" t="n">
        <v>43290</v>
      </c>
      <c r="B882" s="15" t="n">
        <v>0.290800005197525</v>
      </c>
      <c r="C882" s="15" t="n">
        <v>0.221399992704391</v>
      </c>
      <c r="D882" s="15" t="n">
        <v>2.33719992637634</v>
      </c>
      <c r="E882" s="15" t="n">
        <v>0.0037001371383667</v>
      </c>
      <c r="F882" s="15" t="n">
        <v>0.25900000333786</v>
      </c>
      <c r="G882" s="15" t="n">
        <v>2.85310006141663</v>
      </c>
      <c r="H882" s="16">
        <f>C882+E882</f>
        <v/>
      </c>
    </row>
    <row r="883">
      <c r="A883" s="12" t="n">
        <v>43291</v>
      </c>
      <c r="B883" s="15" t="n">
        <v>0.295599982142448</v>
      </c>
      <c r="C883" s="15" t="n">
        <v>0.224800005555153</v>
      </c>
      <c r="D883" s="15" t="n">
        <v>2.33949995040894</v>
      </c>
      <c r="E883" s="15" t="n">
        <v>0.00460010766983032</v>
      </c>
      <c r="F883" s="15" t="n">
        <v>0.267100006341934</v>
      </c>
      <c r="G883" s="15" t="n">
        <v>2.86450004577637</v>
      </c>
      <c r="H883" s="16">
        <f>C883+E883</f>
        <v/>
      </c>
    </row>
    <row r="884">
      <c r="A884" s="12" t="n">
        <v>43292</v>
      </c>
      <c r="B884" s="15" t="n">
        <v>0.287400022149086</v>
      </c>
      <c r="C884" s="15" t="n">
        <v>0.216999992728233</v>
      </c>
      <c r="D884" s="15" t="n">
        <v>2.33410000801086</v>
      </c>
      <c r="E884" s="15" t="n">
        <v>0.0028998851776123</v>
      </c>
      <c r="F884" s="15" t="n">
        <v>0.26910001039505</v>
      </c>
      <c r="G884" s="15" t="n">
        <v>2.8413999080658</v>
      </c>
      <c r="H884" s="16">
        <f>C884+E884</f>
        <v/>
      </c>
    </row>
    <row r="885">
      <c r="A885" s="12" t="n">
        <v>43293</v>
      </c>
      <c r="B885" s="15" t="n">
        <v>0.291500017046928</v>
      </c>
      <c r="C885" s="15" t="n">
        <v>0.217199996113777</v>
      </c>
      <c r="D885" s="15" t="n">
        <v>2.33520007133484</v>
      </c>
      <c r="E885" s="15" t="n">
        <v>0.00269997119903564</v>
      </c>
      <c r="F885" s="15" t="n">
        <v>0.274199992418289</v>
      </c>
      <c r="G885" s="15" t="n">
        <v>2.84660005569458</v>
      </c>
      <c r="H885" s="16">
        <f>C885+E885</f>
        <v/>
      </c>
    </row>
    <row r="886">
      <c r="A886" s="12" t="n">
        <v>43294</v>
      </c>
      <c r="B886" s="15" t="n">
        <v>0.283800005912781</v>
      </c>
      <c r="C886" s="15" t="n">
        <v>0.209199994802475</v>
      </c>
      <c r="D886" s="15" t="n">
        <v>2.32990002632141</v>
      </c>
      <c r="E886" s="15" t="n">
        <v>0.000999957323074341</v>
      </c>
      <c r="F886" s="15" t="n">
        <v>0.266799986362457</v>
      </c>
      <c r="G886" s="15" t="n">
        <v>2.82389998435974</v>
      </c>
      <c r="H886" s="16">
        <f>C886+E886</f>
        <v/>
      </c>
    </row>
    <row r="887">
      <c r="A887" s="12" t="n">
        <v>43297</v>
      </c>
      <c r="B887" s="15" t="n">
        <v>0.294999971985817</v>
      </c>
      <c r="C887" s="15" t="n">
        <v>0.214200004935265</v>
      </c>
      <c r="D887" s="15" t="n">
        <v>2.33509993553162</v>
      </c>
      <c r="E887" s="15" t="n">
        <v>0.00170004367828369</v>
      </c>
      <c r="F887" s="15" t="n">
        <v>0.274599999189377</v>
      </c>
      <c r="G887" s="15" t="n">
        <v>2.84599995613098</v>
      </c>
      <c r="H887" s="16">
        <f>C887+E887</f>
        <v/>
      </c>
    </row>
    <row r="888">
      <c r="A888" s="12" t="n">
        <v>43298</v>
      </c>
      <c r="B888" s="15" t="n">
        <v>0.299999982118607</v>
      </c>
      <c r="C888" s="15" t="n">
        <v>0.218600004911423</v>
      </c>
      <c r="D888" s="15" t="n">
        <v>2.33829998970032</v>
      </c>
      <c r="E888" s="15" t="n">
        <v>0.00259995460510254</v>
      </c>
      <c r="F888" s="15" t="n">
        <v>0.284599989652634</v>
      </c>
      <c r="G888" s="15" t="n">
        <v>2.85949993133545</v>
      </c>
      <c r="H888" s="16">
        <f>C888+E888</f>
        <v/>
      </c>
    </row>
    <row r="889">
      <c r="A889" s="12" t="n">
        <v>43299</v>
      </c>
      <c r="B889" s="15" t="n">
        <v>0.300500005483627</v>
      </c>
      <c r="C889" s="15" t="n">
        <v>0.224299997091293</v>
      </c>
      <c r="D889" s="15" t="n">
        <v>2.34080004692078</v>
      </c>
      <c r="E889" s="15" t="n">
        <v>0.00409990549087524</v>
      </c>
      <c r="F889" s="15" t="n">
        <v>0.29679998755455</v>
      </c>
      <c r="G889" s="15" t="n">
        <v>2.86969995498657</v>
      </c>
      <c r="H889" s="16">
        <f>C889+E889</f>
        <v/>
      </c>
    </row>
    <row r="890">
      <c r="A890" s="12" t="n">
        <v>43300</v>
      </c>
      <c r="B890" s="15" t="n">
        <v>0.28829999268055</v>
      </c>
      <c r="C890" s="15" t="n">
        <v>0.214900001883507</v>
      </c>
      <c r="D890" s="15" t="n">
        <v>2.33380007743835</v>
      </c>
      <c r="E890" s="15" t="n">
        <v>0.00219994783401489</v>
      </c>
      <c r="F890" s="15" t="n">
        <v>0.301099985837936</v>
      </c>
      <c r="G890" s="15" t="n">
        <v>2.83920001983643</v>
      </c>
      <c r="H890" s="16">
        <f>C890+E890</f>
        <v/>
      </c>
    </row>
    <row r="891">
      <c r="A891" s="12" t="n">
        <v>43301</v>
      </c>
      <c r="B891" s="15" t="n">
        <v>0.301400020718575</v>
      </c>
      <c r="C891" s="15" t="n">
        <v>0.234599992632866</v>
      </c>
      <c r="D891" s="15" t="n">
        <v>2.34590005874634</v>
      </c>
      <c r="E891" s="15" t="n">
        <v>0.00659990310668945</v>
      </c>
      <c r="F891" s="15" t="n">
        <v>0.306400001049042</v>
      </c>
      <c r="G891" s="15" t="n">
        <v>2.88849997520447</v>
      </c>
      <c r="H891" s="16">
        <f>C891+E891</f>
        <v/>
      </c>
    </row>
    <row r="892">
      <c r="A892" s="12" t="n">
        <v>43304</v>
      </c>
      <c r="B892" s="15" t="n">
        <v>0.327600002288818</v>
      </c>
      <c r="C892" s="15" t="n">
        <v>0.259400010108948</v>
      </c>
      <c r="D892" s="15" t="n">
        <v>2.36319994926453</v>
      </c>
      <c r="E892" s="15" t="n">
        <v>0.0117999315261841</v>
      </c>
      <c r="F892" s="15" t="n">
        <v>0.319499999284744</v>
      </c>
      <c r="G892" s="15" t="n">
        <v>2.96199989318848</v>
      </c>
      <c r="H892" s="16">
        <f>C892+E892</f>
        <v/>
      </c>
    </row>
    <row r="893">
      <c r="A893" s="12" t="n">
        <v>43305</v>
      </c>
      <c r="B893" s="15" t="n">
        <v>0.324400037527084</v>
      </c>
      <c r="C893" s="15" t="n">
        <v>0.253699988126755</v>
      </c>
      <c r="D893" s="15" t="n">
        <v>2.35980010032654</v>
      </c>
      <c r="E893" s="15" t="n">
        <v>0.0105997920036316</v>
      </c>
      <c r="F893" s="15" t="n">
        <v>0.325700014829636</v>
      </c>
      <c r="G893" s="15" t="n">
        <v>2.94849991798401</v>
      </c>
      <c r="H893" s="16">
        <f>C893+E893</f>
        <v/>
      </c>
    </row>
    <row r="894">
      <c r="A894" s="12" t="n">
        <v>43306</v>
      </c>
      <c r="B894" s="15" t="n">
        <v>0.320800006389618</v>
      </c>
      <c r="C894" s="15" t="n">
        <v>0.247500002384186</v>
      </c>
      <c r="D894" s="15" t="n">
        <v>2.35599994659424</v>
      </c>
      <c r="E894" s="15" t="n">
        <v>0.00920009613037109</v>
      </c>
      <c r="F894" s="15" t="n">
        <v>0.313499987125397</v>
      </c>
      <c r="G894" s="15" t="n">
        <v>2.93350005149841</v>
      </c>
      <c r="H894" s="16">
        <f>C894+E894</f>
        <v/>
      </c>
    </row>
    <row r="895">
      <c r="A895" s="12" t="n">
        <v>43307</v>
      </c>
      <c r="B895" s="15" t="n">
        <v>0.334700018167496</v>
      </c>
      <c r="C895" s="15" t="n">
        <v>0.265899986028671</v>
      </c>
      <c r="D895" s="15" t="n">
        <v>2.36700010299683</v>
      </c>
      <c r="E895" s="15" t="n">
        <v>0.0134999752044678</v>
      </c>
      <c r="F895" s="15" t="n">
        <v>0.328500002622604</v>
      </c>
      <c r="G895" s="15" t="n">
        <v>2.98110008239746</v>
      </c>
      <c r="H895" s="16">
        <f>C895+E895</f>
        <v/>
      </c>
    </row>
    <row r="896">
      <c r="A896" s="12" t="n">
        <v>43308</v>
      </c>
      <c r="B896" s="15" t="n">
        <v>0.328500002622604</v>
      </c>
      <c r="C896" s="15" t="n">
        <v>0.256000012159348</v>
      </c>
      <c r="D896" s="15" t="n">
        <v>2.36089992523193</v>
      </c>
      <c r="E896" s="15" t="n">
        <v>0.011400043964386</v>
      </c>
      <c r="F896" s="15" t="n">
        <v>0.32260000705719</v>
      </c>
      <c r="G896" s="15" t="n">
        <v>2.95679998397827</v>
      </c>
      <c r="H896" s="16">
        <f>C896+E896</f>
        <v/>
      </c>
    </row>
    <row r="897">
      <c r="A897" s="12" t="n">
        <v>43311</v>
      </c>
      <c r="B897" s="15" t="n">
        <v>0.33490002155304</v>
      </c>
      <c r="C897" s="15" t="n">
        <v>0.259700000286102</v>
      </c>
      <c r="D897" s="15" t="n">
        <v>2.3643000125885</v>
      </c>
      <c r="E897" s="15" t="n">
        <v>0.0120000243186951</v>
      </c>
      <c r="F897" s="15" t="n">
        <v>0.321599990129471</v>
      </c>
      <c r="G897" s="15" t="n">
        <v>2.97090005874634</v>
      </c>
      <c r="H897" s="16">
        <f>C897+E897</f>
        <v/>
      </c>
    </row>
    <row r="898">
      <c r="A898" s="12" t="n">
        <v>43312</v>
      </c>
      <c r="B898" s="15" t="n">
        <v>0.32940000295639</v>
      </c>
      <c r="C898" s="15" t="n">
        <v>0.250699996948242</v>
      </c>
      <c r="D898" s="15" t="n">
        <v>2.35899996757507</v>
      </c>
      <c r="E898" s="15" t="n">
        <v>0.0098000168800354</v>
      </c>
      <c r="F898" s="15" t="n">
        <v>0.324200004339218</v>
      </c>
      <c r="G898" s="15" t="n">
        <v>2.94889998435974</v>
      </c>
      <c r="H898" s="16">
        <f>C898+E898</f>
        <v/>
      </c>
    </row>
    <row r="899">
      <c r="A899" s="12" t="n">
        <v>43313</v>
      </c>
      <c r="B899" s="15" t="n">
        <v>0.341799974441528</v>
      </c>
      <c r="C899" s="15" t="n">
        <v>0.267300009727478</v>
      </c>
      <c r="D899" s="15" t="n">
        <v>2.36940002441406</v>
      </c>
      <c r="E899" s="15" t="n">
        <v>0.0135000944137573</v>
      </c>
      <c r="F899" s="15" t="n">
        <v>0.32710000872612</v>
      </c>
      <c r="G899" s="15" t="n">
        <v>2.99200010299683</v>
      </c>
      <c r="H899" s="16">
        <f>C899+E899</f>
        <v/>
      </c>
    </row>
    <row r="900">
      <c r="A900" s="12" t="n">
        <v>43314</v>
      </c>
      <c r="B900" s="15" t="n">
        <v>0.336299985647202</v>
      </c>
      <c r="C900" s="15" t="n">
        <v>0.261999994516373</v>
      </c>
      <c r="D900" s="15" t="n">
        <v>2.3659999370575</v>
      </c>
      <c r="E900" s="15" t="n">
        <v>0.0123000144958496</v>
      </c>
      <c r="F900" s="15" t="n">
        <v>0.325800001621246</v>
      </c>
      <c r="G900" s="15" t="n">
        <v>2.97659993171692</v>
      </c>
      <c r="H900" s="16">
        <f>C900+E900</f>
        <v/>
      </c>
    </row>
    <row r="901">
      <c r="A901" s="12" t="n">
        <v>43315</v>
      </c>
      <c r="B901" s="15" t="n">
        <v>0.326799988746643</v>
      </c>
      <c r="C901" s="15" t="n">
        <v>0.24889999628067</v>
      </c>
      <c r="D901" s="15" t="n">
        <v>2.3585000038147</v>
      </c>
      <c r="E901" s="15" t="n">
        <v>0.009100019931793209</v>
      </c>
      <c r="F901" s="15" t="n">
        <v>0.319900006055832</v>
      </c>
      <c r="G901" s="15" t="n">
        <v>2.9433000087738</v>
      </c>
      <c r="H901" s="16">
        <f>C901+E901</f>
        <v/>
      </c>
    </row>
    <row r="902">
      <c r="A902" s="12" t="n">
        <v>43318</v>
      </c>
      <c r="B902" s="15" t="n">
        <v>0.324699983000755</v>
      </c>
      <c r="C902" s="15" t="n">
        <v>0.24269999563694</v>
      </c>
      <c r="D902" s="15" t="n">
        <v>2.35560011863708</v>
      </c>
      <c r="E902" s="15" t="n">
        <v>0.00749993324279785</v>
      </c>
      <c r="F902" s="15" t="n">
        <v>0.322100013494492</v>
      </c>
      <c r="G902" s="15" t="n">
        <v>2.93050003051758</v>
      </c>
      <c r="H902" s="16">
        <f>C902+E902</f>
        <v/>
      </c>
    </row>
    <row r="903">
      <c r="A903" s="12" t="n">
        <v>43319</v>
      </c>
      <c r="B903" s="15" t="n">
        <v>0.335900008678436</v>
      </c>
      <c r="C903" s="15" t="n">
        <v>0.255100011825562</v>
      </c>
      <c r="D903" s="15" t="n">
        <v>2.36350011825562</v>
      </c>
      <c r="E903" s="15" t="n">
        <v>0.0102997422218323</v>
      </c>
      <c r="F903" s="15" t="n">
        <v>0.318800002336502</v>
      </c>
      <c r="G903" s="15" t="n">
        <v>2.96479988098145</v>
      </c>
      <c r="H903" s="16">
        <f>C903+E903</f>
        <v/>
      </c>
    </row>
    <row r="904">
      <c r="A904" s="12" t="n">
        <v>43320</v>
      </c>
      <c r="B904" s="15" t="n">
        <v>0.335399985313416</v>
      </c>
      <c r="C904" s="15" t="n">
        <v>0.254299998283386</v>
      </c>
      <c r="D904" s="15" t="n">
        <v>2.36299991607666</v>
      </c>
      <c r="E904" s="15" t="n">
        <v>0.0101001262664795</v>
      </c>
      <c r="F904" s="15" t="n">
        <v>0.321599990129471</v>
      </c>
      <c r="G904" s="15" t="n">
        <v>2.96280002593994</v>
      </c>
      <c r="H904" s="16">
        <f>C904+E904</f>
        <v/>
      </c>
    </row>
    <row r="905">
      <c r="A905" s="12" t="n">
        <v>43321</v>
      </c>
      <c r="B905" s="15" t="n">
        <v>0.326700001955032</v>
      </c>
      <c r="C905" s="15" t="n">
        <v>0.238999992609024</v>
      </c>
      <c r="D905" s="15" t="n">
        <v>2.35439991950989</v>
      </c>
      <c r="E905" s="15" t="n">
        <v>0.00650006532669067</v>
      </c>
      <c r="F905" s="15" t="n">
        <v>0.321099996566772</v>
      </c>
      <c r="G905" s="15" t="n">
        <v>2.92659997940063</v>
      </c>
      <c r="H905" s="16">
        <f>C905+E905</f>
        <v/>
      </c>
    </row>
    <row r="906">
      <c r="A906" s="12" t="n">
        <v>43322</v>
      </c>
      <c r="B906" s="15" t="n">
        <v>0.305699989199638</v>
      </c>
      <c r="C906" s="15" t="n">
        <v>0.219699993729591</v>
      </c>
      <c r="D906" s="15" t="n">
        <v>2.34130001068115</v>
      </c>
      <c r="E906" s="15" t="n">
        <v>0.00209993124008179</v>
      </c>
      <c r="F906" s="15" t="n">
        <v>0.314599990844727</v>
      </c>
      <c r="G906" s="15" t="n">
        <v>2.86879992485046</v>
      </c>
      <c r="H906" s="16">
        <f>C906+E906</f>
        <v/>
      </c>
    </row>
    <row r="907">
      <c r="A907" s="12" t="n">
        <v>43325</v>
      </c>
      <c r="B907" s="15" t="n">
        <v>0.305999979376793</v>
      </c>
      <c r="C907" s="15" t="n">
        <v>0.220500007271767</v>
      </c>
      <c r="D907" s="15" t="n">
        <v>2.34179997444153</v>
      </c>
      <c r="E907" s="15" t="n">
        <v>0.00230002403259277</v>
      </c>
      <c r="F907" s="15" t="n">
        <v>0.312999993562698</v>
      </c>
      <c r="G907" s="15" t="n">
        <v>2.87059998512268</v>
      </c>
      <c r="H907" s="16">
        <f>C907+E907</f>
        <v/>
      </c>
    </row>
    <row r="908">
      <c r="A908" s="12" t="n">
        <v>43326</v>
      </c>
      <c r="B908" s="15" t="n">
        <v>0.315399974584579</v>
      </c>
      <c r="C908" s="15" t="n">
        <v>0.224700003862381</v>
      </c>
      <c r="D908" s="15" t="n">
        <v>2.34599995613098</v>
      </c>
      <c r="E908" s="15" t="n">
        <v>0.00300014019012451</v>
      </c>
      <c r="F908" s="15" t="n">
        <v>0.318800002336502</v>
      </c>
      <c r="G908" s="15" t="n">
        <v>2.88910007476807</v>
      </c>
      <c r="H908" s="16">
        <f>C908+E908</f>
        <v/>
      </c>
    </row>
    <row r="909">
      <c r="A909" s="12" t="n">
        <v>43327</v>
      </c>
      <c r="B909" s="15" t="n">
        <v>0.301800012588501</v>
      </c>
      <c r="C909" s="15" t="n">
        <v>0.214100003242493</v>
      </c>
      <c r="D909" s="15" t="n">
        <v>2.33820009231567</v>
      </c>
      <c r="E909" s="15" t="n">
        <v>0.000699877738952637</v>
      </c>
      <c r="F909" s="15" t="n">
        <v>0.32039999961853</v>
      </c>
      <c r="G909" s="15" t="n">
        <v>2.85479998588562</v>
      </c>
      <c r="H909" s="16">
        <f>C909+E909</f>
        <v/>
      </c>
    </row>
    <row r="910">
      <c r="A910" s="12" t="n">
        <v>43328</v>
      </c>
      <c r="B910" s="15" t="n">
        <v>0.306300014257431</v>
      </c>
      <c r="C910" s="15" t="n">
        <v>0.217099994421005</v>
      </c>
      <c r="D910" s="15" t="n">
        <v>2.34039998054504</v>
      </c>
      <c r="E910" s="15" t="n">
        <v>0.00149995088577271</v>
      </c>
      <c r="F910" s="15" t="n">
        <v>0.323000013828278</v>
      </c>
      <c r="G910" s="15" t="n">
        <v>2.86529994010925</v>
      </c>
      <c r="H910" s="16">
        <f>C910+E910</f>
        <v/>
      </c>
    </row>
    <row r="911">
      <c r="A911" s="12" t="n">
        <v>43329</v>
      </c>
      <c r="B911" s="15" t="n">
        <v>0.305599987506866</v>
      </c>
      <c r="C911" s="15" t="n">
        <v>0.215900003910065</v>
      </c>
      <c r="D911" s="15" t="n">
        <v>2.33960008621216</v>
      </c>
      <c r="E911" s="15" t="n">
        <v>0.00119984149932861</v>
      </c>
      <c r="F911" s="15" t="n">
        <v>0.326400011777878</v>
      </c>
      <c r="G911" s="15" t="n">
        <v>2.86229991912842</v>
      </c>
      <c r="H911" s="16">
        <f>C911+E911</f>
        <v/>
      </c>
    </row>
    <row r="912">
      <c r="A912" s="12" t="n">
        <v>43332</v>
      </c>
      <c r="B912" s="15" t="n">
        <v>0.294699981808662</v>
      </c>
      <c r="C912" s="15" t="n">
        <v>0.195700004696846</v>
      </c>
      <c r="D912" s="15" t="n">
        <v>2.32859992980957</v>
      </c>
      <c r="E912" s="15" t="n">
        <v>-0.0038999617099762</v>
      </c>
      <c r="F912" s="15" t="n">
        <v>0.319799989461899</v>
      </c>
      <c r="G912" s="15" t="n">
        <v>2.8150999546051</v>
      </c>
      <c r="H912" s="16">
        <f>C912+E912</f>
        <v/>
      </c>
    </row>
    <row r="913">
      <c r="A913" s="12" t="n">
        <v>43333</v>
      </c>
      <c r="B913" s="15" t="n">
        <v>0.300799995660782</v>
      </c>
      <c r="C913" s="15" t="n">
        <v>0.203099995851517</v>
      </c>
      <c r="D913" s="15" t="n">
        <v>2.33319997787476</v>
      </c>
      <c r="E913" s="15" t="n">
        <v>-0.00209993124008179</v>
      </c>
      <c r="F913" s="15" t="n">
        <v>0.320899993181229</v>
      </c>
      <c r="G913" s="15" t="n">
        <v>2.83500003814697</v>
      </c>
      <c r="H913" s="16">
        <f>C913+E913</f>
        <v/>
      </c>
    </row>
    <row r="914">
      <c r="A914" s="12" t="n">
        <v>43334</v>
      </c>
      <c r="B914" s="15" t="n">
        <v>0.291500017046928</v>
      </c>
      <c r="C914" s="15" t="n">
        <v>0.195999994874001</v>
      </c>
      <c r="D914" s="15" t="n">
        <v>2.32769989967346</v>
      </c>
      <c r="E914" s="15" t="n">
        <v>-0.00349980592727661</v>
      </c>
      <c r="F914" s="15" t="n">
        <v>0.313100010156631</v>
      </c>
      <c r="G914" s="15" t="n">
        <v>2.81170010566711</v>
      </c>
      <c r="H914" s="16">
        <f>C914+E914</f>
        <v/>
      </c>
    </row>
    <row r="915">
      <c r="A915" s="12" t="n">
        <v>43335</v>
      </c>
      <c r="B915" s="15" t="n">
        <v>0.289599999785423</v>
      </c>
      <c r="C915" s="15" t="n">
        <v>0.19480000436306</v>
      </c>
      <c r="D915" s="15" t="n">
        <v>2.32629990577698</v>
      </c>
      <c r="E915" s="15" t="n">
        <v>-0.0035998523235321</v>
      </c>
      <c r="F915" s="15" t="n">
        <v>0.305000007152557</v>
      </c>
      <c r="G915" s="15" t="n">
        <v>2.80710005760193</v>
      </c>
      <c r="H915" s="16">
        <f>C915+E915</f>
        <v/>
      </c>
    </row>
    <row r="916">
      <c r="A916" s="12" t="n">
        <v>43336</v>
      </c>
      <c r="B916" s="15" t="n">
        <v>0.29339998960495</v>
      </c>
      <c r="C916" s="15" t="n">
        <v>0.194000005722046</v>
      </c>
      <c r="D916" s="15" t="n">
        <v>2.32649993896484</v>
      </c>
      <c r="E916" s="15" t="n">
        <v>-0.00369995832443237</v>
      </c>
      <c r="F916" s="15" t="n">
        <v>0.300700008869171</v>
      </c>
      <c r="G916" s="15" t="n">
        <v>2.81019997596741</v>
      </c>
      <c r="H916" s="16">
        <f>C916+E916</f>
        <v/>
      </c>
    </row>
    <row r="917">
      <c r="A917" s="12" t="n">
        <v>43339</v>
      </c>
      <c r="B917" s="15" t="n">
        <v>0.303300023078918</v>
      </c>
      <c r="C917" s="15" t="n">
        <v>0.200800001621246</v>
      </c>
      <c r="D917" s="15" t="n">
        <v>2.33189988136292</v>
      </c>
      <c r="E917" s="15" t="n">
        <v>-0.00249999761581421</v>
      </c>
      <c r="F917" s="15" t="n">
        <v>0.296299993991852</v>
      </c>
      <c r="G917" s="15" t="n">
        <v>2.83349990844727</v>
      </c>
      <c r="H917" s="16">
        <f>C917+E917</f>
        <v/>
      </c>
    </row>
    <row r="918">
      <c r="A918" s="12" t="n">
        <v>43340</v>
      </c>
      <c r="B918" s="15" t="n">
        <v>0.317100018262863</v>
      </c>
      <c r="C918" s="15" t="n">
        <v>0.212799996137619</v>
      </c>
      <c r="D918" s="15" t="n">
        <v>2.34050011634827</v>
      </c>
      <c r="E918" s="15" t="n">
        <v>-1.78813934326172e-07</v>
      </c>
      <c r="F918" s="15" t="n">
        <v>0.301600009202957</v>
      </c>
      <c r="G918" s="15" t="n">
        <v>2.87039995193481</v>
      </c>
      <c r="H918" s="16">
        <f>C918+E918</f>
        <v/>
      </c>
    </row>
    <row r="919">
      <c r="A919" s="12" t="n">
        <v>43341</v>
      </c>
      <c r="B919" s="15" t="n">
        <v>0.319000020623207</v>
      </c>
      <c r="C919" s="15" t="n">
        <v>0.212699994444847</v>
      </c>
      <c r="D919" s="15" t="n">
        <v>2.34050011634827</v>
      </c>
      <c r="E919" s="15" t="n">
        <v>0.00019991397857666</v>
      </c>
      <c r="F919" s="15" t="n">
        <v>0.302799999713898</v>
      </c>
      <c r="G919" s="15" t="n">
        <v>2.8724000453949</v>
      </c>
      <c r="H919" s="16">
        <f>C919+E919</f>
        <v/>
      </c>
    </row>
    <row r="920">
      <c r="A920" s="12" t="n">
        <v>43342</v>
      </c>
      <c r="B920" s="15" t="n">
        <v>0.309599995613098</v>
      </c>
      <c r="C920" s="15" t="n">
        <v>0.201900005340576</v>
      </c>
      <c r="D920" s="15" t="n">
        <v>2.33369994163513</v>
      </c>
      <c r="E920" s="15" t="n">
        <v>-0.00229990482330322</v>
      </c>
      <c r="F920" s="15" t="n">
        <v>0.305299997329712</v>
      </c>
      <c r="G920" s="15" t="n">
        <v>2.8429000377655</v>
      </c>
      <c r="H920" s="16">
        <f>C920+E920</f>
        <v/>
      </c>
    </row>
    <row r="921">
      <c r="A921" s="12" t="n">
        <v>43343</v>
      </c>
      <c r="B921" s="15" t="n">
        <v>0.309700012207031</v>
      </c>
      <c r="C921" s="15" t="n">
        <v>0.204699993133545</v>
      </c>
      <c r="D921" s="15" t="n">
        <v>2.33559989929199</v>
      </c>
      <c r="E921" s="15" t="n">
        <v>-0.00189995765686035</v>
      </c>
      <c r="F921" s="15" t="n">
        <v>0.318199992179871</v>
      </c>
      <c r="G921" s="15" t="n">
        <v>2.84809994697571</v>
      </c>
      <c r="H921" s="16">
        <f>C921+E921</f>
        <v/>
      </c>
    </row>
    <row r="922">
      <c r="A922" s="12" t="n">
        <v>43347</v>
      </c>
      <c r="B922" s="15" t="n">
        <v>0.324099987745285</v>
      </c>
      <c r="C922" s="15" t="n">
        <v>0.218199998140335</v>
      </c>
      <c r="D922" s="15" t="n">
        <v>2.3452000617981</v>
      </c>
      <c r="E922" s="15" t="n">
        <v>0.000900030136108398</v>
      </c>
      <c r="F922" s="15" t="n">
        <v>0.317999988794327</v>
      </c>
      <c r="G922" s="15" t="n">
        <v>2.88840007781982</v>
      </c>
      <c r="H922" s="16">
        <f>C922+E922</f>
        <v/>
      </c>
    </row>
    <row r="923">
      <c r="A923" s="12" t="n">
        <v>43348</v>
      </c>
      <c r="B923" s="15" t="n">
        <v>0.325700014829636</v>
      </c>
      <c r="C923" s="15" t="n">
        <v>0.218600004911423</v>
      </c>
      <c r="D923" s="15" t="n">
        <v>2.34619998931885</v>
      </c>
      <c r="E923" s="15" t="n">
        <v>0.000799953937530518</v>
      </c>
      <c r="F923" s="15" t="n">
        <v>0.321200013160706</v>
      </c>
      <c r="G923" s="15" t="n">
        <v>2.89129996299744</v>
      </c>
      <c r="H923" s="16">
        <f>C923+E923</f>
        <v/>
      </c>
    </row>
    <row r="924">
      <c r="A924" s="12" t="n">
        <v>43349</v>
      </c>
      <c r="B924" s="15" t="n">
        <v>0.319500029087067</v>
      </c>
      <c r="C924" s="15" t="n">
        <v>0.212999999523163</v>
      </c>
      <c r="D924" s="15" t="n">
        <v>2.34240007400513</v>
      </c>
      <c r="E924" s="15" t="n">
        <v>-0.000500202178955078</v>
      </c>
      <c r="F924" s="15" t="n">
        <v>0.329199999570847</v>
      </c>
      <c r="G924" s="15" t="n">
        <v>2.8743999004364</v>
      </c>
      <c r="H924" s="16">
        <f>C924+E924</f>
        <v/>
      </c>
    </row>
    <row r="925">
      <c r="A925" s="12" t="n">
        <v>43350</v>
      </c>
      <c r="B925" s="15" t="n">
        <v>0.339100018143654</v>
      </c>
      <c r="C925" s="15" t="n">
        <v>0.234300002455711</v>
      </c>
      <c r="D925" s="15" t="n">
        <v>2.35570001602173</v>
      </c>
      <c r="E925" s="15" t="n">
        <v>0.00449991226196289</v>
      </c>
      <c r="F925" s="15" t="n">
        <v>0.329299986362457</v>
      </c>
      <c r="G925" s="15" t="n">
        <v>2.93359994888306</v>
      </c>
      <c r="H925" s="16">
        <f>C925+E925</f>
        <v/>
      </c>
    </row>
    <row r="926">
      <c r="A926" s="12" t="n">
        <v>43353</v>
      </c>
      <c r="B926" s="15" t="n">
        <v>0.340700015425682</v>
      </c>
      <c r="C926" s="15" t="n">
        <v>0.228400006890297</v>
      </c>
      <c r="D926" s="15" t="n">
        <v>2.35319995880127</v>
      </c>
      <c r="E926" s="15" t="n">
        <v>0.00310003757476807</v>
      </c>
      <c r="F926" s="15" t="n">
        <v>0.331800013780594</v>
      </c>
      <c r="G926" s="15" t="n">
        <v>2.92540001869202</v>
      </c>
      <c r="H926" s="16">
        <f>C926+E926</f>
        <v/>
      </c>
    </row>
    <row r="927">
      <c r="A927" s="12" t="n">
        <v>43354</v>
      </c>
      <c r="B927" s="15" t="n">
        <v>0.352699980139732</v>
      </c>
      <c r="C927" s="15" t="n">
        <v>0.243399992585182</v>
      </c>
      <c r="D927" s="15" t="n">
        <v>2.36220002174377</v>
      </c>
      <c r="E927" s="15" t="n">
        <v>0.00669991970062256</v>
      </c>
      <c r="F927" s="15" t="n">
        <v>0.327499985694885</v>
      </c>
      <c r="G927" s="15" t="n">
        <v>2.96499991416931</v>
      </c>
      <c r="H927" s="16">
        <f>C927+E927</f>
        <v/>
      </c>
    </row>
    <row r="928">
      <c r="A928" s="12" t="n">
        <v>43355</v>
      </c>
      <c r="B928" s="15" t="n">
        <v>0.350099980831146</v>
      </c>
      <c r="C928" s="15" t="n">
        <v>0.237100005149841</v>
      </c>
      <c r="D928" s="15" t="n">
        <v>2.3585000038147</v>
      </c>
      <c r="E928" s="15" t="n">
        <v>0.0052000880241394</v>
      </c>
      <c r="F928" s="15" t="n">
        <v>0.321999996900558</v>
      </c>
      <c r="G928" s="15" t="n">
        <v>2.95090007781982</v>
      </c>
      <c r="H928" s="16">
        <f>C928+E928</f>
        <v/>
      </c>
    </row>
    <row r="929">
      <c r="A929" s="12" t="n">
        <v>43356</v>
      </c>
      <c r="B929" s="15" t="n">
        <v>0.351400002837181</v>
      </c>
      <c r="C929" s="15" t="n">
        <v>0.238399997353554</v>
      </c>
      <c r="D929" s="15" t="n">
        <v>2.35929989814758</v>
      </c>
      <c r="E929" s="15" t="n">
        <v>0.00560009479522705</v>
      </c>
      <c r="F929" s="15" t="n">
        <v>0.340499997138977</v>
      </c>
      <c r="G929" s="15" t="n">
        <v>2.95469999313354</v>
      </c>
      <c r="H929" s="16">
        <f>C929+E929</f>
        <v/>
      </c>
    </row>
    <row r="930">
      <c r="A930" s="12" t="n">
        <v>43357</v>
      </c>
      <c r="B930" s="15" t="n">
        <v>0.359800010919571</v>
      </c>
      <c r="C930" s="15" t="n">
        <v>0.247299998998642</v>
      </c>
      <c r="D930" s="15" t="n">
        <v>2.36479997634888</v>
      </c>
      <c r="E930" s="15" t="n">
        <v>0.00769996643066406</v>
      </c>
      <c r="F930" s="15" t="n">
        <v>0.341100007295609</v>
      </c>
      <c r="G930" s="15" t="n">
        <v>2.97959995269775</v>
      </c>
      <c r="H930" s="16">
        <f>C930+E930</f>
        <v/>
      </c>
    </row>
    <row r="931">
      <c r="A931" s="12" t="n">
        <v>43360</v>
      </c>
      <c r="B931" s="15" t="n">
        <v>0.362599983811378</v>
      </c>
      <c r="C931" s="15" t="n">
        <v>0.244299992918968</v>
      </c>
      <c r="D931" s="15" t="n">
        <v>2.3643000125885</v>
      </c>
      <c r="E931" s="15" t="n">
        <v>0.00679993629455566</v>
      </c>
      <c r="F931" s="15" t="n">
        <v>0.341199994087219</v>
      </c>
      <c r="G931" s="15" t="n">
        <v>2.9779999256134</v>
      </c>
      <c r="H931" s="16">
        <f>C931+E931</f>
        <v/>
      </c>
    </row>
    <row r="932">
      <c r="A932" s="12" t="n">
        <v>43361</v>
      </c>
      <c r="B932" s="15" t="n">
        <v>0.380800008773804</v>
      </c>
      <c r="C932" s="15" t="n">
        <v>0.264800012111664</v>
      </c>
      <c r="D932" s="15" t="n">
        <v>2.37779998779297</v>
      </c>
      <c r="E932" s="15" t="n">
        <v>0.0112999081611633</v>
      </c>
      <c r="F932" s="15" t="n">
        <v>0.335500001907349</v>
      </c>
      <c r="G932" s="15" t="n">
        <v>3.0346999168396</v>
      </c>
      <c r="H932" s="16">
        <f>C932+E932</f>
        <v/>
      </c>
    </row>
    <row r="933">
      <c r="A933" s="12" t="n">
        <v>43362</v>
      </c>
      <c r="B933" s="15" t="n">
        <v>0.387700021266937</v>
      </c>
      <c r="C933" s="15" t="n">
        <v>0.276600003242493</v>
      </c>
      <c r="D933" s="15" t="n">
        <v>2.38459992408752</v>
      </c>
      <c r="E933" s="15" t="n">
        <v>0.0140001177787781</v>
      </c>
      <c r="F933" s="15" t="n">
        <v>0.332500010728836</v>
      </c>
      <c r="G933" s="15" t="n">
        <v>3.06290006637573</v>
      </c>
      <c r="H933" s="16">
        <f>C933+E933</f>
        <v/>
      </c>
    </row>
    <row r="934">
      <c r="A934" s="12" t="n">
        <v>43363</v>
      </c>
      <c r="B934" s="15" t="n">
        <v>0.38730001449585</v>
      </c>
      <c r="C934" s="15" t="n">
        <v>0.273699998855591</v>
      </c>
      <c r="D934" s="15" t="n">
        <v>2.38319993019104</v>
      </c>
      <c r="E934" s="15" t="n">
        <v>0.0134000778198242</v>
      </c>
      <c r="F934" s="15" t="n">
        <v>0.330799996852875</v>
      </c>
      <c r="G934" s="15" t="n">
        <v>3.0576000213623</v>
      </c>
      <c r="H934" s="16">
        <f>C934+E934</f>
        <v/>
      </c>
    </row>
    <row r="935">
      <c r="A935" s="12" t="n">
        <v>43364</v>
      </c>
      <c r="B935" s="15" t="n">
        <v>0.38730001449585</v>
      </c>
      <c r="C935" s="15" t="n">
        <v>0.270799994468689</v>
      </c>
      <c r="D935" s="15" t="n">
        <v>2.38199996948242</v>
      </c>
      <c r="E935" s="15" t="n">
        <v>0.0126000642776489</v>
      </c>
      <c r="F935" s="15" t="n">
        <v>0.327499985694885</v>
      </c>
      <c r="G935" s="15" t="n">
        <v>3.05270004272461</v>
      </c>
      <c r="H935" s="16">
        <f>C935+E935</f>
        <v/>
      </c>
    </row>
    <row r="936">
      <c r="A936" s="12" t="n">
        <v>43367</v>
      </c>
      <c r="B936" s="15" t="n">
        <v>0.39180001616478</v>
      </c>
      <c r="C936" s="15" t="n">
        <v>0.273799985647202</v>
      </c>
      <c r="D936" s="15" t="n">
        <v>2.38450002670288</v>
      </c>
      <c r="E936" s="15" t="n">
        <v>0.0130999684333801</v>
      </c>
      <c r="F936" s="15" t="n">
        <v>0.326499998569489</v>
      </c>
      <c r="G936" s="15" t="n">
        <v>3.06319999694824</v>
      </c>
      <c r="H936" s="16">
        <f>C936+E936</f>
        <v/>
      </c>
    </row>
    <row r="937">
      <c r="A937" s="12" t="n">
        <v>43368</v>
      </c>
      <c r="B937" s="15" t="n">
        <v>0.396299988031387</v>
      </c>
      <c r="C937" s="15" t="n">
        <v>0.28099998831749</v>
      </c>
      <c r="D937" s="15" t="n">
        <v>2.38860011100769</v>
      </c>
      <c r="E937" s="15" t="n">
        <v>0.0148999691009521</v>
      </c>
      <c r="F937" s="15" t="n">
        <v>0.327399998903275</v>
      </c>
      <c r="G937" s="15" t="n">
        <v>3.08080005645752</v>
      </c>
      <c r="H937" s="16">
        <f>C937+E937</f>
        <v/>
      </c>
    </row>
    <row r="938">
      <c r="A938" s="12" t="n">
        <v>43369</v>
      </c>
      <c r="B938" s="15" t="n">
        <v>0.385300010442734</v>
      </c>
      <c r="C938" s="15" t="n">
        <v>0.269899994134903</v>
      </c>
      <c r="D938" s="15" t="n">
        <v>2.38109993934631</v>
      </c>
      <c r="E938" s="15" t="n">
        <v>0.0124001502990723</v>
      </c>
      <c r="F938" s="15" t="n">
        <v>0.331200003623962</v>
      </c>
      <c r="G938" s="15" t="n">
        <v>3.04870009422302</v>
      </c>
      <c r="H938" s="16">
        <f>C938+E938</f>
        <v/>
      </c>
    </row>
    <row r="939">
      <c r="A939" s="12" t="n">
        <v>43370</v>
      </c>
      <c r="B939" s="15" t="n">
        <v>0.383800029754639</v>
      </c>
      <c r="C939" s="15" t="n">
        <v>0.267199993133545</v>
      </c>
      <c r="D939" s="15" t="n">
        <v>2.37930011749268</v>
      </c>
      <c r="E939" s="15" t="n">
        <v>0.0118999481201172</v>
      </c>
      <c r="F939" s="15" t="n">
        <v>0.330199986696243</v>
      </c>
      <c r="G939" s="15" t="n">
        <v>3.04220008850098</v>
      </c>
      <c r="H939" s="16">
        <f>C939+E939</f>
        <v/>
      </c>
    </row>
    <row r="940">
      <c r="A940" s="12" t="n">
        <v>43371</v>
      </c>
      <c r="B940" s="15" t="n">
        <v>0.380500018596649</v>
      </c>
      <c r="C940" s="15" t="n">
        <v>0.266799986362457</v>
      </c>
      <c r="D940" s="15" t="n">
        <v>2.37859988212585</v>
      </c>
      <c r="E940" s="15" t="n">
        <v>0.0119001865386963</v>
      </c>
      <c r="F940" s="15" t="n">
        <v>0.329299986362457</v>
      </c>
      <c r="G940" s="15" t="n">
        <v>3.03780007362366</v>
      </c>
      <c r="H940" s="16">
        <f>C940+E940</f>
        <v/>
      </c>
    </row>
    <row r="941">
      <c r="A941" s="12" t="n">
        <v>43374</v>
      </c>
      <c r="B941" s="15" t="n">
        <v>0.394899994134903</v>
      </c>
      <c r="C941" s="15" t="n">
        <v>0.277799993753433</v>
      </c>
      <c r="D941" s="15" t="n">
        <v>2.38750004768372</v>
      </c>
      <c r="E941" s="15" t="n">
        <v>0.0136999487876892</v>
      </c>
      <c r="F941" s="15" t="n">
        <v>0.33840000629425</v>
      </c>
      <c r="G941" s="15" t="n">
        <v>3.07389998435974</v>
      </c>
      <c r="H941" s="16">
        <f>C941+E941</f>
        <v/>
      </c>
    </row>
    <row r="942">
      <c r="A942" s="12" t="n">
        <v>43375</v>
      </c>
      <c r="B942" s="15" t="n">
        <v>0.387900024652481</v>
      </c>
      <c r="C942" s="15" t="n">
        <v>0.264899998903275</v>
      </c>
      <c r="D942" s="15" t="n">
        <v>2.38030004501343</v>
      </c>
      <c r="E942" s="15" t="n">
        <v>0.0107000470161438</v>
      </c>
      <c r="F942" s="15" t="n">
        <v>0.335900008678436</v>
      </c>
      <c r="G942" s="15" t="n">
        <v>3.04380011558533</v>
      </c>
      <c r="H942" s="16">
        <f>C942+E942</f>
        <v/>
      </c>
    </row>
    <row r="943">
      <c r="A943" s="12" t="n">
        <v>43376</v>
      </c>
      <c r="B943" s="15" t="n">
        <v>0.414899975061417</v>
      </c>
      <c r="C943" s="15" t="n">
        <v>0.298700004816055</v>
      </c>
      <c r="D943" s="15" t="n">
        <v>2.40170001983643</v>
      </c>
      <c r="E943" s="15" t="n">
        <v>0.0182999968528748</v>
      </c>
      <c r="F943" s="15" t="n">
        <v>0.336499989032745</v>
      </c>
      <c r="G943" s="15" t="n">
        <v>3.13359999656677</v>
      </c>
      <c r="H943" s="16">
        <f>C943+E943</f>
        <v/>
      </c>
    </row>
    <row r="944">
      <c r="A944" s="12" t="n">
        <v>43377</v>
      </c>
      <c r="B944" s="15" t="n">
        <v>0.430399984121323</v>
      </c>
      <c r="C944" s="15" t="n">
        <v>0.317699998617172</v>
      </c>
      <c r="D944" s="15" t="n">
        <v>2.41380000114441</v>
      </c>
      <c r="E944" s="15" t="n">
        <v>0.022599995136261</v>
      </c>
      <c r="F944" s="15" t="n">
        <v>0.348600000143051</v>
      </c>
      <c r="G944" s="15" t="n">
        <v>3.18449997901917</v>
      </c>
      <c r="H944" s="16">
        <f>C944+E944</f>
        <v/>
      </c>
    </row>
    <row r="945">
      <c r="A945" s="12" t="n">
        <v>43378</v>
      </c>
      <c r="B945" s="15" t="n">
        <v>0.440700024366379</v>
      </c>
      <c r="C945" s="15" t="n">
        <v>0.334899991750717</v>
      </c>
      <c r="D945" s="15" t="n">
        <v>2.42389988899231</v>
      </c>
      <c r="E945" s="15" t="n">
        <v>0.0265001654624939</v>
      </c>
      <c r="F945" s="15" t="n">
        <v>0.352800011634827</v>
      </c>
      <c r="G945" s="15" t="n">
        <v>3.2260000705719</v>
      </c>
      <c r="H945" s="16">
        <f>C945+E945</f>
        <v/>
      </c>
    </row>
    <row r="946">
      <c r="A946" s="12" t="n">
        <v>43382</v>
      </c>
      <c r="B946" s="15" t="n">
        <v>0.438700020313263</v>
      </c>
      <c r="C946" s="15" t="n">
        <v>0.32039999961853</v>
      </c>
      <c r="D946" s="15" t="n">
        <v>2.41720008850098</v>
      </c>
      <c r="E946" s="15" t="n">
        <v>0.0227999091148376</v>
      </c>
      <c r="F946" s="15" t="n">
        <v>0.346300005912781</v>
      </c>
      <c r="G946" s="15" t="n">
        <v>3.19910001754761</v>
      </c>
      <c r="H946" s="16">
        <f>C946+E946</f>
        <v/>
      </c>
    </row>
    <row r="947">
      <c r="A947" s="12" t="n">
        <v>43383</v>
      </c>
      <c r="B947" s="15" t="n">
        <v>0.440599977970123</v>
      </c>
      <c r="C947" s="15" t="n">
        <v>0.325399994850159</v>
      </c>
      <c r="D947" s="15" t="n">
        <v>2.4203999042511</v>
      </c>
      <c r="E947" s="15" t="n">
        <v>0.0238001942634583</v>
      </c>
      <c r="F947" s="15" t="n">
        <v>0.354000002145767</v>
      </c>
      <c r="G947" s="15" t="n">
        <v>3.21020007133484</v>
      </c>
      <c r="H947" s="16">
        <f>C947+E947</f>
        <v/>
      </c>
    </row>
    <row r="948">
      <c r="A948" s="12" t="n">
        <v>43384</v>
      </c>
      <c r="B948" s="15" t="n">
        <v>0.420099973678589</v>
      </c>
      <c r="C948" s="15" t="n">
        <v>0.300300002098083</v>
      </c>
      <c r="D948" s="15" t="n">
        <v>2.40450000762939</v>
      </c>
      <c r="E948" s="15" t="n">
        <v>0.0182000398635864</v>
      </c>
      <c r="F948" s="15" t="n">
        <v>0.365900009870529</v>
      </c>
      <c r="G948" s="15" t="n">
        <v>3.14310002326965</v>
      </c>
      <c r="H948" s="16">
        <f>C948+E948</f>
        <v/>
      </c>
    </row>
    <row r="949">
      <c r="A949" s="12" t="n">
        <v>43385</v>
      </c>
      <c r="B949" s="15" t="n">
        <v>0.420199990272522</v>
      </c>
      <c r="C949" s="15" t="n">
        <v>0.300300002098083</v>
      </c>
      <c r="D949" s="15" t="n">
        <v>2.40459990501404</v>
      </c>
      <c r="E949" s="15" t="n">
        <v>0.0181000232696533</v>
      </c>
      <c r="F949" s="15" t="n">
        <v>0.372900009155273</v>
      </c>
      <c r="G949" s="15" t="n">
        <v>3.1431999206543</v>
      </c>
      <c r="H949" s="16">
        <f>C949+E949</f>
        <v/>
      </c>
    </row>
    <row r="950">
      <c r="A950" s="12" t="n">
        <v>43388</v>
      </c>
      <c r="B950" s="15" t="n">
        <v>0.426999986171722</v>
      </c>
      <c r="C950" s="15" t="n">
        <v>0.301400005817413</v>
      </c>
      <c r="D950" s="15" t="n">
        <v>2.40680003166199</v>
      </c>
      <c r="E950" s="15" t="n">
        <v>0.0181000232696533</v>
      </c>
      <c r="F950" s="15" t="n">
        <v>0.366699993610382</v>
      </c>
      <c r="G950" s="15" t="n">
        <v>3.15330004692078</v>
      </c>
      <c r="H950" s="16">
        <f>C950+E950</f>
        <v/>
      </c>
    </row>
    <row r="951">
      <c r="A951" s="12" t="n">
        <v>43389</v>
      </c>
      <c r="B951" s="15" t="n">
        <v>0.425699979066849</v>
      </c>
      <c r="C951" s="15" t="n">
        <v>0.299800008535385</v>
      </c>
      <c r="D951" s="15" t="n">
        <v>2.40560007095337</v>
      </c>
      <c r="E951" s="15" t="n">
        <v>0.017799973487854</v>
      </c>
      <c r="F951" s="15" t="n">
        <v>0.367500007152557</v>
      </c>
      <c r="G951" s="15" t="n">
        <v>3.14890003204346</v>
      </c>
      <c r="H951" s="16">
        <f>C951+E951</f>
        <v/>
      </c>
    </row>
    <row r="952">
      <c r="A952" s="12" t="n">
        <v>43390</v>
      </c>
      <c r="B952" s="15" t="n">
        <v>0.436000019311905</v>
      </c>
      <c r="C952" s="15" t="n">
        <v>0.310099989175797</v>
      </c>
      <c r="D952" s="15" t="n">
        <v>2.41249990463257</v>
      </c>
      <c r="E952" s="15" t="n">
        <v>0.020000159740448</v>
      </c>
      <c r="F952" s="15" t="n">
        <v>0.374700009822845</v>
      </c>
      <c r="G952" s="15" t="n">
        <v>3.17860007286072</v>
      </c>
      <c r="H952" s="16">
        <f>C952+E952</f>
        <v/>
      </c>
    </row>
    <row r="953">
      <c r="A953" s="12" t="n">
        <v>43391</v>
      </c>
      <c r="B953" s="15" t="n">
        <v>0.431599974632263</v>
      </c>
      <c r="C953" s="15" t="n">
        <v>0.306100010871887</v>
      </c>
      <c r="D953" s="15" t="n">
        <v>2.41000008583069</v>
      </c>
      <c r="E953" s="15" t="n">
        <v>0.0189998149871826</v>
      </c>
      <c r="F953" s="15" t="n">
        <v>0.386400014162064</v>
      </c>
      <c r="G953" s="15" t="n">
        <v>3.16669988632202</v>
      </c>
      <c r="H953" s="16">
        <f>C953+E953</f>
        <v/>
      </c>
    </row>
    <row r="954">
      <c r="A954" s="12" t="n">
        <v>43392</v>
      </c>
      <c r="B954" s="15" t="n">
        <v>0.441700011491776</v>
      </c>
      <c r="C954" s="15" t="n">
        <v>0.314900010824203</v>
      </c>
      <c r="D954" s="15" t="n">
        <v>2.416100025177</v>
      </c>
      <c r="E954" s="15" t="n">
        <v>0.0210999250411987</v>
      </c>
      <c r="F954" s="15" t="n">
        <v>0.394300013780594</v>
      </c>
      <c r="G954" s="15" t="n">
        <v>3.19379997253418</v>
      </c>
      <c r="H954" s="16">
        <f>C954+E954</f>
        <v/>
      </c>
    </row>
    <row r="955">
      <c r="A955" s="12" t="n">
        <v>43395</v>
      </c>
      <c r="B955" s="15" t="n">
        <v>0.441600024700165</v>
      </c>
      <c r="C955" s="15" t="n">
        <v>0.311800003051758</v>
      </c>
      <c r="D955" s="15" t="n">
        <v>2.41470003128052</v>
      </c>
      <c r="E955" s="15" t="n">
        <v>0.0202999711036682</v>
      </c>
      <c r="F955" s="15" t="n">
        <v>0.395500004291534</v>
      </c>
      <c r="G955" s="15" t="n">
        <v>3.18840003013611</v>
      </c>
      <c r="H955" s="16">
        <f>C955+E955</f>
        <v/>
      </c>
    </row>
    <row r="956">
      <c r="A956" s="12" t="n">
        <v>43396</v>
      </c>
      <c r="B956" s="15" t="n">
        <v>0.432500034570694</v>
      </c>
      <c r="C956" s="15" t="n">
        <v>0.303999990224838</v>
      </c>
      <c r="D956" s="15" t="n">
        <v>2.40949988365173</v>
      </c>
      <c r="E956" s="15" t="n">
        <v>0.0184001922607422</v>
      </c>
      <c r="F956" s="15" t="n">
        <v>0.402500003576279</v>
      </c>
      <c r="G956" s="15" t="n">
        <v>3.16440010070801</v>
      </c>
      <c r="H956" s="16">
        <f>C956+E956</f>
        <v/>
      </c>
    </row>
    <row r="957">
      <c r="A957" s="12" t="n">
        <v>43397</v>
      </c>
      <c r="B957" s="15" t="n">
        <v>0.408600002527237</v>
      </c>
      <c r="C957" s="15" t="n">
        <v>0.278899997472763</v>
      </c>
      <c r="D957" s="15" t="n">
        <v>2.39350008964539</v>
      </c>
      <c r="E957" s="15" t="n">
        <v>0.0125999450683594</v>
      </c>
      <c r="F957" s="15" t="n">
        <v>0.401600003242493</v>
      </c>
      <c r="G957" s="15" t="n">
        <v>3.09360003471375</v>
      </c>
      <c r="H957" s="16">
        <f>C957+E957</f>
        <v/>
      </c>
    </row>
    <row r="958">
      <c r="A958" s="12" t="n">
        <v>43398</v>
      </c>
      <c r="B958" s="15" t="n">
        <v>0.421300023794174</v>
      </c>
      <c r="C958" s="15" t="n">
        <v>0.293999999761581</v>
      </c>
      <c r="D958" s="15" t="n">
        <v>2.40319991111755</v>
      </c>
      <c r="E958" s="15" t="n">
        <v>0.0158999562263489</v>
      </c>
      <c r="F958" s="15" t="n">
        <v>0.428799986839294</v>
      </c>
      <c r="G958" s="15" t="n">
        <v>3.13439989089966</v>
      </c>
      <c r="H958" s="16">
        <f>C958+E958</f>
        <v/>
      </c>
    </row>
    <row r="959">
      <c r="A959" s="12" t="n">
        <v>43399</v>
      </c>
      <c r="B959" s="15" t="n">
        <v>0.400699973106384</v>
      </c>
      <c r="C959" s="15" t="n">
        <v>0.27020001411438</v>
      </c>
      <c r="D959" s="15" t="n">
        <v>2.38840007781982</v>
      </c>
      <c r="E959" s="15" t="n">
        <v>0.0103999376296997</v>
      </c>
      <c r="F959" s="15" t="n">
        <v>0.39750000834465</v>
      </c>
      <c r="G959" s="15" t="n">
        <v>3.06970000267029</v>
      </c>
      <c r="H959" s="16">
        <f>C959+E959</f>
        <v/>
      </c>
    </row>
    <row r="960">
      <c r="A960" s="12" t="n">
        <v>43402</v>
      </c>
      <c r="B960" s="15" t="n">
        <v>0.404599994421005</v>
      </c>
      <c r="C960" s="15" t="n">
        <v>0.270300000905991</v>
      </c>
      <c r="D960" s="15" t="n">
        <v>2.38980007171631</v>
      </c>
      <c r="E960" s="15" t="n">
        <v>0.0100999474525452</v>
      </c>
      <c r="F960" s="15" t="n">
        <v>0.401199996471405</v>
      </c>
      <c r="G960" s="15" t="n">
        <v>3.07480001449585</v>
      </c>
      <c r="H960" s="16">
        <f>C960+E960</f>
        <v/>
      </c>
    </row>
    <row r="961">
      <c r="A961" s="12" t="n">
        <v>43403</v>
      </c>
      <c r="B961" s="15" t="n">
        <v>0.415600001811981</v>
      </c>
      <c r="C961" s="15" t="n">
        <v>0.284900009632111</v>
      </c>
      <c r="D961" s="15" t="n">
        <v>2.39869999885559</v>
      </c>
      <c r="E961" s="15" t="n">
        <v>0.0134999752044678</v>
      </c>
      <c r="F961" s="15" t="n">
        <v>0.416200011968613</v>
      </c>
      <c r="G961" s="15" t="n">
        <v>3.11269998550415</v>
      </c>
      <c r="H961" s="16">
        <f>C961+E961</f>
        <v/>
      </c>
    </row>
    <row r="962">
      <c r="A962" s="12" t="n">
        <v>43404</v>
      </c>
      <c r="B962" s="15" t="n">
        <v>0.428599983453751</v>
      </c>
      <c r="C962" s="15" t="n">
        <v>0.298700004816055</v>
      </c>
      <c r="D962" s="15" t="n">
        <v>2.40759992599487</v>
      </c>
      <c r="E962" s="15" t="n">
        <v>0.0166999697685242</v>
      </c>
      <c r="F962" s="15" t="n">
        <v>0.423500001430511</v>
      </c>
      <c r="G962" s="15" t="n">
        <v>3.1515998840332</v>
      </c>
      <c r="H962" s="16">
        <f>C962+E962</f>
        <v/>
      </c>
    </row>
    <row r="963">
      <c r="A963" s="12" t="n">
        <v>43405</v>
      </c>
      <c r="B963" s="15" t="n">
        <v>0.424300014972687</v>
      </c>
      <c r="C963" s="15" t="n">
        <v>0.29559999704361</v>
      </c>
      <c r="D963" s="15" t="n">
        <v>2.40549993515015</v>
      </c>
      <c r="E963" s="15" t="n">
        <v>0.0159000158309937</v>
      </c>
      <c r="F963" s="15" t="n">
        <v>0.440699994564056</v>
      </c>
      <c r="G963" s="15" t="n">
        <v>3.14129996299744</v>
      </c>
      <c r="H963" s="16">
        <f>C963+E963</f>
        <v/>
      </c>
    </row>
    <row r="964">
      <c r="A964" s="12" t="n">
        <v>43406</v>
      </c>
      <c r="B964" s="15" t="n">
        <v>0.448500007390976</v>
      </c>
      <c r="C964" s="15" t="n">
        <v>0.321599990129471</v>
      </c>
      <c r="D964" s="15" t="n">
        <v>2.42219996452332</v>
      </c>
      <c r="E964" s="15" t="n">
        <v>0.0217999219894409</v>
      </c>
      <c r="F964" s="15" t="n">
        <v>0.444700002670288</v>
      </c>
      <c r="G964" s="15" t="n">
        <v>3.2140998840332</v>
      </c>
      <c r="H964" s="16">
        <f>C964+E964</f>
        <v/>
      </c>
    </row>
    <row r="965">
      <c r="A965" s="12" t="n">
        <v>43409</v>
      </c>
      <c r="B965" s="15" t="n">
        <v>0.446000009775162</v>
      </c>
      <c r="C965" s="15" t="n">
        <v>0.312299996614456</v>
      </c>
      <c r="D965" s="15" t="n">
        <v>2.41729998588562</v>
      </c>
      <c r="E965" s="15" t="n">
        <v>0.019599974155426</v>
      </c>
      <c r="F965" s="15" t="n">
        <v>0.434300005435944</v>
      </c>
      <c r="G965" s="15" t="n">
        <v>3.19519996643066</v>
      </c>
      <c r="H965" s="16">
        <f>C965+E965</f>
        <v/>
      </c>
    </row>
    <row r="966">
      <c r="A966" s="12" t="n">
        <v>43410</v>
      </c>
      <c r="B966" s="15" t="n">
        <v>0.452899962663651</v>
      </c>
      <c r="C966" s="15" t="n">
        <v>0.316700011491776</v>
      </c>
      <c r="D966" s="15" t="n">
        <v>2.42059993743896</v>
      </c>
      <c r="E966" s="15" t="n">
        <v>0.0206000208854675</v>
      </c>
      <c r="F966" s="15" t="n">
        <v>0.431600004434586</v>
      </c>
      <c r="G966" s="15" t="n">
        <v>3.21079993247986</v>
      </c>
      <c r="H966" s="16">
        <f>C966+E966</f>
        <v/>
      </c>
    </row>
    <row r="967">
      <c r="A967" s="12" t="n">
        <v>43411</v>
      </c>
      <c r="B967" s="15" t="n">
        <v>0.454700022935867</v>
      </c>
      <c r="C967" s="15" t="n">
        <v>0.318699985742569</v>
      </c>
      <c r="D967" s="15" t="n">
        <v>2.42140007019043</v>
      </c>
      <c r="E967" s="15" t="n">
        <v>0.0212000012397766</v>
      </c>
      <c r="F967" s="15" t="n">
        <v>0.427100002765656</v>
      </c>
      <c r="G967" s="15" t="n">
        <v>3.21600008010864</v>
      </c>
      <c r="H967" s="16">
        <f>C967+E967</f>
        <v/>
      </c>
    </row>
    <row r="968">
      <c r="A968" s="12" t="n">
        <v>43412</v>
      </c>
      <c r="B968" s="15" t="n">
        <v>0.461899995803833</v>
      </c>
      <c r="C968" s="15" t="n">
        <v>0.324000000953674</v>
      </c>
      <c r="D968" s="15" t="n">
        <v>2.42490005493164</v>
      </c>
      <c r="E968" s="15" t="n">
        <v>0.0226000547409058</v>
      </c>
      <c r="F968" s="15" t="n">
        <v>0.4341000020504</v>
      </c>
      <c r="G968" s="15" t="n">
        <v>3.23340010643005</v>
      </c>
      <c r="H968" s="16">
        <f>C968+E968</f>
        <v/>
      </c>
    </row>
    <row r="969">
      <c r="A969" s="12" t="n">
        <v>43413</v>
      </c>
      <c r="B969" s="15" t="n">
        <v>0.447200000286102</v>
      </c>
      <c r="C969" s="15" t="n">
        <v>0.30919998884201</v>
      </c>
      <c r="D969" s="15" t="n">
        <v>2.41519999504089</v>
      </c>
      <c r="E969" s="15" t="n">
        <v>0.0191999673843384</v>
      </c>
      <c r="F969" s="15" t="n">
        <v>0.442699998617172</v>
      </c>
      <c r="G969" s="15" t="n">
        <v>3.19079995155334</v>
      </c>
      <c r="H969" s="16">
        <f>C969+E969</f>
        <v/>
      </c>
    </row>
    <row r="970">
      <c r="A970" s="12" t="n">
        <v>43417</v>
      </c>
      <c r="B970" s="15" t="n">
        <v>0.431700021028519</v>
      </c>
      <c r="C970" s="15" t="n">
        <v>0.287499994039536</v>
      </c>
      <c r="D970" s="15" t="n">
        <v>2.4028000831604</v>
      </c>
      <c r="E970" s="15" t="n">
        <v>0.0138999223709106</v>
      </c>
      <c r="F970" s="15" t="n">
        <v>0.447299987077713</v>
      </c>
      <c r="G970" s="15" t="n">
        <v>3.13590002059937</v>
      </c>
      <c r="H970" s="16">
        <f>C970+E970</f>
        <v/>
      </c>
    </row>
    <row r="971">
      <c r="A971" s="12" t="n">
        <v>43418</v>
      </c>
      <c r="B971" s="15" t="n">
        <v>0.42399999499321</v>
      </c>
      <c r="C971" s="15" t="n">
        <v>0.280800014734268</v>
      </c>
      <c r="D971" s="15" t="n">
        <v>2.39869999885559</v>
      </c>
      <c r="E971" s="15" t="n">
        <v>0.0121999979019165</v>
      </c>
      <c r="F971" s="15" t="n">
        <v>0.457300007343292</v>
      </c>
      <c r="G971" s="15" t="n">
        <v>3.11570000648499</v>
      </c>
      <c r="H971" s="16">
        <f>C971+E971</f>
        <v/>
      </c>
    </row>
    <row r="972">
      <c r="A972" s="12" t="n">
        <v>43419</v>
      </c>
      <c r="B972" s="15" t="n">
        <v>0.419100016355515</v>
      </c>
      <c r="C972" s="15" t="n">
        <v>0.277900010347366</v>
      </c>
      <c r="D972" s="15" t="n">
        <v>2.39669990539551</v>
      </c>
      <c r="E972" s="15" t="n">
        <v>0.0113999843597412</v>
      </c>
      <c r="F972" s="15" t="n">
        <v>0.455000013113022</v>
      </c>
      <c r="G972" s="15" t="n">
        <v>3.10509991645813</v>
      </c>
      <c r="H972" s="16">
        <f>C972+E972</f>
        <v/>
      </c>
    </row>
    <row r="973">
      <c r="A973" s="12" t="n">
        <v>43420</v>
      </c>
      <c r="B973" s="15" t="n">
        <v>0.405599981546402</v>
      </c>
      <c r="C973" s="15" t="n">
        <v>0.268099993467331</v>
      </c>
      <c r="D973" s="15" t="n">
        <v>2.38969993591309</v>
      </c>
      <c r="E973" s="15" t="n">
        <v>0.009199976921081539</v>
      </c>
      <c r="F973" s="15" t="n">
        <v>0.429300010204315</v>
      </c>
      <c r="G973" s="15" t="n">
        <v>3.0725998878479</v>
      </c>
      <c r="H973" s="16">
        <f>C973+E973</f>
        <v/>
      </c>
    </row>
    <row r="974">
      <c r="A974" s="12" t="n">
        <v>43423</v>
      </c>
      <c r="B974" s="15" t="n">
        <v>0.404399961233139</v>
      </c>
      <c r="C974" s="15" t="n">
        <v>0.263200014829636</v>
      </c>
      <c r="D974" s="15" t="n">
        <v>2.38820004463196</v>
      </c>
      <c r="E974" s="15" t="n">
        <v>0.00760000944137573</v>
      </c>
      <c r="F974" s="15" t="n">
        <v>0.440699994564056</v>
      </c>
      <c r="G974" s="15" t="n">
        <v>3.06340003013611</v>
      </c>
      <c r="H974" s="16">
        <f>C974+E974</f>
        <v/>
      </c>
    </row>
    <row r="975">
      <c r="A975" s="12" t="n">
        <v>43424</v>
      </c>
      <c r="B975" s="15" t="n">
        <v>0.40530002117157</v>
      </c>
      <c r="C975" s="15" t="n">
        <v>0.264400005340576</v>
      </c>
      <c r="D975" s="15" t="n">
        <v>2.38910007476807</v>
      </c>
      <c r="E975" s="15" t="n">
        <v>0.00779998302459717</v>
      </c>
      <c r="F975" s="15" t="n">
        <v>0.455000013113022</v>
      </c>
      <c r="G975" s="15" t="n">
        <v>3.06660008430481</v>
      </c>
      <c r="H975" s="16">
        <f>C975+E975</f>
        <v/>
      </c>
    </row>
    <row r="976">
      <c r="A976" s="12" t="n">
        <v>43425</v>
      </c>
      <c r="B976" s="15" t="n">
        <v>0.409500002861023</v>
      </c>
      <c r="C976" s="15" t="n">
        <v>0.266099989414215</v>
      </c>
      <c r="D976" s="15" t="n">
        <v>2.39070010185242</v>
      </c>
      <c r="E976" s="15" t="n">
        <v>0.00809985399246216</v>
      </c>
      <c r="F976" s="15" t="n">
        <v>0.45770001411438</v>
      </c>
      <c r="G976" s="15" t="n">
        <v>3.07439994812012</v>
      </c>
      <c r="H976" s="16">
        <f>C976+E976</f>
        <v/>
      </c>
    </row>
    <row r="977">
      <c r="A977" s="12" t="n">
        <v>43427</v>
      </c>
      <c r="B977" s="15" t="n">
        <v>0.404300034046173</v>
      </c>
      <c r="C977" s="15" t="n">
        <v>0.262499988079071</v>
      </c>
      <c r="D977" s="15" t="n">
        <v>2.38800001144409</v>
      </c>
      <c r="E977" s="15" t="n">
        <v>0.0074000358581543</v>
      </c>
      <c r="F977" s="15" t="n">
        <v>0.477699995040894</v>
      </c>
      <c r="G977" s="15" t="n">
        <v>3.06220006942749</v>
      </c>
      <c r="H977" s="16">
        <f>C977+E977</f>
        <v/>
      </c>
    </row>
    <row r="978">
      <c r="A978" s="12" t="n">
        <v>43430</v>
      </c>
      <c r="B978" s="15" t="n">
        <v>0.413199990987778</v>
      </c>
      <c r="C978" s="15" t="n">
        <v>0.264200001955032</v>
      </c>
      <c r="D978" s="15" t="n">
        <v>2.39050006866455</v>
      </c>
      <c r="E978" s="15" t="n">
        <v>0.00759994983673096</v>
      </c>
      <c r="F978" s="15" t="n">
        <v>0.482699990272522</v>
      </c>
      <c r="G978" s="15" t="n">
        <v>3.07550001144409</v>
      </c>
      <c r="H978" s="16">
        <f>C978+E978</f>
        <v/>
      </c>
    </row>
    <row r="979">
      <c r="A979" s="12" t="n">
        <v>43431</v>
      </c>
      <c r="B979" s="15" t="n">
        <v>0.41090002655983</v>
      </c>
      <c r="C979" s="15" t="n">
        <v>0.263099998235703</v>
      </c>
      <c r="D979" s="15" t="n">
        <v>2.38949990272522</v>
      </c>
      <c r="E979" s="15" t="n">
        <v>0.0074000358581543</v>
      </c>
      <c r="F979" s="15" t="n">
        <v>0.517300009727478</v>
      </c>
      <c r="G979" s="15" t="n">
        <v>3.07089996337891</v>
      </c>
      <c r="H979" s="16">
        <f>C979+E979</f>
        <v/>
      </c>
    </row>
    <row r="980">
      <c r="A980" s="12" t="n">
        <v>43432</v>
      </c>
      <c r="B980" s="15" t="n">
        <v>0.404199987649918</v>
      </c>
      <c r="C980" s="15" t="n">
        <v>0.2533999979496</v>
      </c>
      <c r="D980" s="15" t="n">
        <v>2.38339996337891</v>
      </c>
      <c r="E980" s="15" t="n">
        <v>0.00529998540878296</v>
      </c>
      <c r="F980" s="15" t="n">
        <v>0.505699992179871</v>
      </c>
      <c r="G980" s="15" t="n">
        <v>3.04629993438721</v>
      </c>
      <c r="H980" s="16">
        <f>C980+E980</f>
        <v/>
      </c>
    </row>
    <row r="981">
      <c r="A981" s="12" t="n">
        <v>43433</v>
      </c>
      <c r="B981" s="15" t="n">
        <v>0.397299990057945</v>
      </c>
      <c r="C981" s="15" t="n">
        <v>0.246999993920326</v>
      </c>
      <c r="D981" s="15" t="n">
        <v>2.37879991531372</v>
      </c>
      <c r="E981" s="15" t="n">
        <v>0.00400018692016602</v>
      </c>
      <c r="F981" s="15" t="n">
        <v>0.456000000238419</v>
      </c>
      <c r="G981" s="15" t="n">
        <v>3.02710008621216</v>
      </c>
      <c r="H981" s="16">
        <f>C981+E981</f>
        <v/>
      </c>
    </row>
    <row r="982">
      <c r="A982" s="12" t="n">
        <v>43434</v>
      </c>
      <c r="B982" s="15" t="n">
        <v>0.39089997112751</v>
      </c>
      <c r="C982" s="15" t="n">
        <v>0.24040000140667</v>
      </c>
      <c r="D982" s="15" t="n">
        <v>2.37420010566711</v>
      </c>
      <c r="E982" s="15" t="n">
        <v>0.00259995460510254</v>
      </c>
      <c r="F982" s="15" t="n">
        <v>0.460799992084503</v>
      </c>
      <c r="G982" s="15" t="n">
        <v>3.0081000328064</v>
      </c>
      <c r="H982" s="16">
        <f>C982+E982</f>
        <v/>
      </c>
    </row>
    <row r="983">
      <c r="A983" s="12" t="n">
        <v>43437</v>
      </c>
      <c r="B983" s="15" t="n">
        <v>0.391499981284142</v>
      </c>
      <c r="C983" s="15" t="n">
        <v>0.227599993348122</v>
      </c>
      <c r="D983" s="15" t="n">
        <v>2.36870002746582</v>
      </c>
      <c r="E983" s="15" t="n">
        <v>-0.000800013542175293</v>
      </c>
      <c r="F983" s="15" t="n">
        <v>0.458600014448166</v>
      </c>
      <c r="G983" s="15" t="n">
        <v>2.98699998855591</v>
      </c>
      <c r="H983" s="16">
        <f>C983+E983</f>
        <v/>
      </c>
    </row>
    <row r="984">
      <c r="A984" s="12" t="n">
        <v>43438</v>
      </c>
      <c r="B984" s="15" t="n">
        <v>0.371200025081635</v>
      </c>
      <c r="C984" s="15" t="n">
        <v>0.1942999958992</v>
      </c>
      <c r="D984" s="15" t="n">
        <v>2.34910011291504</v>
      </c>
      <c r="E984" s="15" t="n">
        <v>-0.00850009918212891</v>
      </c>
      <c r="F984" s="15" t="n">
        <v>0.46340000629425</v>
      </c>
      <c r="G984" s="15" t="n">
        <v>2.90610003471375</v>
      </c>
      <c r="H984" s="16">
        <f>C984+E984</f>
        <v/>
      </c>
    </row>
    <row r="985">
      <c r="A985" s="12" t="n">
        <v>43440</v>
      </c>
      <c r="B985" s="15" t="n">
        <v>0.358199968934059</v>
      </c>
      <c r="C985" s="15" t="n">
        <v>0.182600006461143</v>
      </c>
      <c r="D985" s="15" t="n">
        <v>2.34109997749329</v>
      </c>
      <c r="E985" s="15" t="n">
        <v>-0.0110999345779419</v>
      </c>
      <c r="F985" s="15" t="n">
        <v>0.489199995994568</v>
      </c>
      <c r="G985" s="15" t="n">
        <v>2.87080001831055</v>
      </c>
      <c r="H985" s="16">
        <f>C985+E985</f>
        <v/>
      </c>
    </row>
    <row r="986">
      <c r="A986" s="12" t="n">
        <v>43441</v>
      </c>
      <c r="B986" s="15" t="n">
        <v>0.345799997448921</v>
      </c>
      <c r="C986" s="15" t="n">
        <v>0.174300000071526</v>
      </c>
      <c r="D986" s="15" t="n">
        <v>2.33509993553162</v>
      </c>
      <c r="E986" s="15" t="n">
        <v>-0.0129998922348022</v>
      </c>
      <c r="F986" s="15" t="n">
        <v>0.486600011587143</v>
      </c>
      <c r="G986" s="15" t="n">
        <v>2.84220004081726</v>
      </c>
      <c r="H986" s="16">
        <f>C986+E986</f>
        <v/>
      </c>
    </row>
    <row r="987">
      <c r="A987" s="12" t="n">
        <v>43444</v>
      </c>
      <c r="B987" s="15" t="n">
        <v>0.347100034356117</v>
      </c>
      <c r="C987" s="15" t="n">
        <v>0.173899993300438</v>
      </c>
      <c r="D987" s="15" t="n">
        <v>2.33540010452271</v>
      </c>
      <c r="E987" s="15" t="n">
        <v>-0.0132001638412476</v>
      </c>
      <c r="F987" s="15" t="n">
        <v>0.51910001039505</v>
      </c>
      <c r="G987" s="15" t="n">
        <v>2.84319996833801</v>
      </c>
      <c r="H987" s="16">
        <f>C987+E987</f>
        <v/>
      </c>
    </row>
    <row r="988">
      <c r="A988" s="12" t="n">
        <v>43445</v>
      </c>
      <c r="B988" s="15" t="n">
        <v>0.362299978733063</v>
      </c>
      <c r="C988" s="15" t="n">
        <v>0.187900006771088</v>
      </c>
      <c r="D988" s="15" t="n">
        <v>2.34470009803772</v>
      </c>
      <c r="E988" s="15" t="n">
        <v>-0.00990009307861328</v>
      </c>
      <c r="F988" s="15" t="n">
        <v>0.5546000003814699</v>
      </c>
      <c r="G988" s="15" t="n">
        <v>2.88499999046326</v>
      </c>
      <c r="H988" s="16">
        <f>C988+E988</f>
        <v/>
      </c>
    </row>
    <row r="989">
      <c r="A989" s="12" t="n">
        <v>43446</v>
      </c>
      <c r="B989" s="15" t="n">
        <v>0.366799980401993</v>
      </c>
      <c r="C989" s="15" t="n">
        <v>0.193399995565414</v>
      </c>
      <c r="D989" s="15" t="n">
        <v>2.34800004959106</v>
      </c>
      <c r="E989" s="15" t="n">
        <v>-0.008700132369995121</v>
      </c>
      <c r="F989" s="15" t="n">
        <v>0.5636000037193299</v>
      </c>
      <c r="G989" s="15" t="n">
        <v>2.89949989318848</v>
      </c>
      <c r="H989" s="16">
        <f>C989+E989</f>
        <v/>
      </c>
    </row>
    <row r="990">
      <c r="A990" s="12" t="n">
        <v>43447</v>
      </c>
      <c r="B990" s="15" t="n">
        <v>0.362300008535385</v>
      </c>
      <c r="C990" s="15" t="n">
        <v>0.187999993562698</v>
      </c>
      <c r="D990" s="15" t="n">
        <v>2.34450006484985</v>
      </c>
      <c r="E990" s="15" t="n">
        <v>-0.009800076484680179</v>
      </c>
      <c r="F990" s="15" t="n">
        <v>0.557600021362305</v>
      </c>
      <c r="G990" s="15" t="n">
        <v>2.88499999046326</v>
      </c>
      <c r="H990" s="16">
        <f>C990+E990</f>
        <v/>
      </c>
    </row>
    <row r="991">
      <c r="A991" s="12" t="n">
        <v>43448</v>
      </c>
      <c r="B991" s="15" t="n">
        <v>0.356199994683266</v>
      </c>
      <c r="C991" s="15" t="n">
        <v>0.182199999690056</v>
      </c>
      <c r="D991" s="15" t="n">
        <v>2.34089994430542</v>
      </c>
      <c r="E991" s="15" t="n">
        <v>-0.0112999081611633</v>
      </c>
      <c r="F991" s="15" t="n">
        <v>0.564899981021881</v>
      </c>
      <c r="G991" s="15" t="n">
        <v>2.86800003051758</v>
      </c>
      <c r="H991" s="16">
        <f>C991+E991</f>
        <v/>
      </c>
    </row>
    <row r="992">
      <c r="A992" s="12" t="n">
        <v>43451</v>
      </c>
      <c r="B992" s="15" t="n">
        <v>0.343699976801872</v>
      </c>
      <c r="C992" s="15" t="n">
        <v>0.170900002121925</v>
      </c>
      <c r="D992" s="15" t="n">
        <v>2.33349990844727</v>
      </c>
      <c r="E992" s="15" t="n">
        <v>-0.0138999819755554</v>
      </c>
      <c r="F992" s="15" t="n">
        <v>0.569000005722046</v>
      </c>
      <c r="G992" s="15" t="n">
        <v>2.83419990539551</v>
      </c>
      <c r="H992" s="16">
        <f>C992+E992</f>
        <v/>
      </c>
    </row>
    <row r="993">
      <c r="A993" s="12" t="n">
        <v>43452</v>
      </c>
      <c r="B993" s="15" t="n">
        <v>0.331900000572205</v>
      </c>
      <c r="C993" s="15" t="n">
        <v>0.160699993371964</v>
      </c>
      <c r="D993" s="15" t="n">
        <v>2.32680010795593</v>
      </c>
      <c r="E993" s="15" t="n">
        <v>-0.0162999927997589</v>
      </c>
      <c r="F993" s="15" t="n">
        <v>0.560100018978119</v>
      </c>
      <c r="G993" s="15" t="n">
        <v>2.80310010910034</v>
      </c>
      <c r="H993" s="16">
        <f>C993+E993</f>
        <v/>
      </c>
    </row>
    <row r="994">
      <c r="A994" s="12" t="n">
        <v>43453</v>
      </c>
      <c r="B994" s="15" t="n">
        <v>0.317899987101555</v>
      </c>
      <c r="C994" s="15" t="n">
        <v>0.141100004315376</v>
      </c>
      <c r="D994" s="15" t="n">
        <v>2.31480002403259</v>
      </c>
      <c r="E994" s="15" t="n">
        <v>-0.020799994468689</v>
      </c>
      <c r="F994" s="15" t="n">
        <v>0.561999976634979</v>
      </c>
      <c r="G994" s="15" t="n">
        <v>2.75300002098083</v>
      </c>
      <c r="H994" s="16">
        <f>C994+E994</f>
        <v/>
      </c>
    </row>
    <row r="995">
      <c r="A995" s="12" t="n">
        <v>43454</v>
      </c>
      <c r="B995" s="15" t="n">
        <v>0.327899992465973</v>
      </c>
      <c r="C995" s="15" t="n">
        <v>0.149599999189377</v>
      </c>
      <c r="D995" s="15" t="n">
        <v>2.32069993019104</v>
      </c>
      <c r="E995" s="15" t="n">
        <v>-0.018999844789505</v>
      </c>
      <c r="F995" s="15" t="n">
        <v>0.5971000194549561</v>
      </c>
      <c r="G995" s="15" t="n">
        <v>2.77920007705688</v>
      </c>
      <c r="H995" s="16">
        <f>C995+E995</f>
        <v/>
      </c>
    </row>
    <row r="996">
      <c r="A996" s="12" t="n">
        <v>43455</v>
      </c>
      <c r="B996" s="15" t="n">
        <v>0.324499994516373</v>
      </c>
      <c r="C996" s="15" t="n">
        <v>0.150000005960464</v>
      </c>
      <c r="D996" s="15" t="n">
        <v>2.32049989700317</v>
      </c>
      <c r="E996" s="15" t="n">
        <v>-0.0189998745918274</v>
      </c>
      <c r="F996" s="15" t="n">
        <v>0.591600000858307</v>
      </c>
      <c r="G996" s="15" t="n">
        <v>2.77600002288818</v>
      </c>
      <c r="H996" s="16">
        <f>C996+E996</f>
        <v/>
      </c>
    </row>
    <row r="997">
      <c r="A997" s="12" t="n">
        <v>43458</v>
      </c>
      <c r="B997" s="15" t="n">
        <v>0.308100014925003</v>
      </c>
      <c r="C997" s="15" t="n">
        <v>0.136099994182587</v>
      </c>
      <c r="D997" s="15" t="n">
        <v>2.31139993667603</v>
      </c>
      <c r="E997" s="15" t="n">
        <v>-0.0222999751567841</v>
      </c>
      <c r="F997" s="15" t="n">
        <v>0.593400001525879</v>
      </c>
      <c r="G997" s="15" t="n">
        <v>2.73329997062683</v>
      </c>
      <c r="H997" s="16">
        <f>C997+E997</f>
        <v/>
      </c>
    </row>
    <row r="998">
      <c r="A998" s="12" t="n">
        <v>43460</v>
      </c>
      <c r="B998" s="15" t="n">
        <v>0.330799981951714</v>
      </c>
      <c r="C998" s="15" t="n">
        <v>0.161400005221367</v>
      </c>
      <c r="D998" s="15" t="n">
        <v>2.32789993286133</v>
      </c>
      <c r="E998" s="15" t="n">
        <v>-0.0165999829769135</v>
      </c>
      <c r="F998" s="15" t="n">
        <v>0.592499971389771</v>
      </c>
      <c r="G998" s="15" t="n">
        <v>2.8034999370575</v>
      </c>
      <c r="H998" s="16">
        <f>C998+E998</f>
        <v/>
      </c>
    </row>
    <row r="999">
      <c r="A999" s="12" t="n">
        <v>43461</v>
      </c>
      <c r="B999" s="15" t="n">
        <v>0.310999989509583</v>
      </c>
      <c r="C999" s="15" t="n">
        <v>0.153400003910065</v>
      </c>
      <c r="D999" s="15" t="n">
        <v>2.32039999961853</v>
      </c>
      <c r="E999" s="15" t="n">
        <v>-0.0180999636650085</v>
      </c>
      <c r="F999" s="15" t="n">
        <v>0.606199979782104</v>
      </c>
      <c r="G999" s="15" t="n">
        <v>2.76670002937317</v>
      </c>
      <c r="H999" s="16">
        <f>C999+E999</f>
        <v/>
      </c>
    </row>
    <row r="1000">
      <c r="A1000" s="12" t="n">
        <v>43462</v>
      </c>
      <c r="B1000" s="15" t="n">
        <v>0.294799998402596</v>
      </c>
      <c r="C1000" s="15" t="n">
        <v>0.13910000026226</v>
      </c>
      <c r="D1000" s="15" t="n">
        <v>2.31080007553101</v>
      </c>
      <c r="E1000" s="15" t="n">
        <v>-0.0214999914169312</v>
      </c>
      <c r="F1000" s="15" t="n">
        <v>0.598999977111816</v>
      </c>
      <c r="G1000" s="15" t="n">
        <v>2.72320008277893</v>
      </c>
      <c r="H1000" s="16">
        <f>C1000+E1000</f>
        <v/>
      </c>
    </row>
    <row r="1001">
      <c r="A1001" s="12" t="n">
        <v>43465</v>
      </c>
      <c r="B1001" s="15" t="n">
        <v>0.295199990272522</v>
      </c>
      <c r="C1001" s="15" t="n">
        <v>0.1216000020504</v>
      </c>
      <c r="D1001" s="15" t="n">
        <v>2.30469989776611</v>
      </c>
      <c r="E1001" s="15" t="n">
        <v>-0.0265998542308807</v>
      </c>
      <c r="F1001" s="15" t="n">
        <v>0.60259997844696</v>
      </c>
      <c r="G1001" s="15" t="n">
        <v>2.69490003585815</v>
      </c>
      <c r="H1001" s="16">
        <f>C1001+E1001</f>
        <v/>
      </c>
    </row>
    <row r="1002">
      <c r="A1002" s="12" t="n">
        <v>43467</v>
      </c>
      <c r="B1002" s="15" t="n">
        <v>0.281699985265732</v>
      </c>
      <c r="C1002" s="15" t="n">
        <v>0.110100001096725</v>
      </c>
      <c r="D1002" s="15" t="n">
        <v>2.29629993438721</v>
      </c>
      <c r="E1002" s="15" t="n">
        <v>-0.0289998650550842</v>
      </c>
      <c r="F1002" s="15" t="n">
        <v>0.607699990272522</v>
      </c>
      <c r="G1002" s="15" t="n">
        <v>2.65910005569458</v>
      </c>
      <c r="H1002" s="16">
        <f>C1002+E1002</f>
        <v/>
      </c>
    </row>
    <row r="1003">
      <c r="A1003" s="12" t="n">
        <v>43468</v>
      </c>
      <c r="B1003" s="15" t="n">
        <v>0.241600006818771</v>
      </c>
      <c r="C1003" s="15" t="n">
        <v>0.0776000022888184</v>
      </c>
      <c r="D1003" s="15" t="n">
        <v>2.27340006828308</v>
      </c>
      <c r="E1003" s="15" t="n">
        <v>-0.0361001193523407</v>
      </c>
      <c r="F1003" s="15" t="n">
        <v>0.584999978542328</v>
      </c>
      <c r="G1003" s="15" t="n">
        <v>2.55649995803833</v>
      </c>
      <c r="H1003" s="16">
        <f>C1003+E1003</f>
        <v/>
      </c>
    </row>
    <row r="1004">
      <c r="A1004" s="12" t="n">
        <v>43469</v>
      </c>
      <c r="B1004" s="15" t="n">
        <v>0.278899997472763</v>
      </c>
      <c r="C1004" s="15" t="n">
        <v>0.110100001096725</v>
      </c>
      <c r="D1004" s="15" t="n">
        <v>2.29559993743896</v>
      </c>
      <c r="E1004" s="15" t="n">
        <v>-0.0288999676704407</v>
      </c>
      <c r="F1004" s="15" t="n">
        <v>0.551599979400635</v>
      </c>
      <c r="G1004" s="15" t="n">
        <v>2.65569996833801</v>
      </c>
      <c r="H1004" s="16">
        <f>C1004+E1004</f>
        <v/>
      </c>
    </row>
    <row r="1005">
      <c r="A1005" s="12" t="n">
        <v>43472</v>
      </c>
      <c r="B1005" s="15" t="n">
        <v>0.295899987220764</v>
      </c>
      <c r="C1005" s="15" t="n">
        <v>0.118900001049042</v>
      </c>
      <c r="D1005" s="15" t="n">
        <v>2.30299997329712</v>
      </c>
      <c r="E1005" s="15" t="n">
        <v>-0.0270000100135803</v>
      </c>
      <c r="F1005" s="15" t="n">
        <v>0.5368999838829041</v>
      </c>
      <c r="G1005" s="15" t="n">
        <v>2.69079995155334</v>
      </c>
      <c r="H1005" s="16">
        <f>C1005+E1005</f>
        <v/>
      </c>
    </row>
    <row r="1006">
      <c r="A1006" s="12" t="n">
        <v>43473</v>
      </c>
      <c r="B1006" s="15" t="n">
        <v>0.30519999563694</v>
      </c>
      <c r="C1006" s="15" t="n">
        <v>0.125100001692772</v>
      </c>
      <c r="D1006" s="15" t="n">
        <v>2.30690002441406</v>
      </c>
      <c r="E1006" s="15" t="n">
        <v>-0.0253000259399414</v>
      </c>
      <c r="F1006" s="15" t="n">
        <v>0.511399984359741</v>
      </c>
      <c r="G1006" s="15" t="n">
        <v>2.71189999580383</v>
      </c>
      <c r="H1006" s="16">
        <f>C1006+E1006</f>
        <v/>
      </c>
    </row>
    <row r="1007">
      <c r="A1007" s="12" t="n">
        <v>43474</v>
      </c>
      <c r="B1007" s="15" t="n">
        <v>0.304299980401993</v>
      </c>
      <c r="C1007" s="15" t="n">
        <v>0.131500005722046</v>
      </c>
      <c r="D1007" s="15" t="n">
        <v>2.30960011482239</v>
      </c>
      <c r="E1007" s="15" t="n">
        <v>-0.0238000452518463</v>
      </c>
      <c r="F1007" s="15" t="n">
        <v>0.498800009489059</v>
      </c>
      <c r="G1007" s="15" t="n">
        <v>2.72160005569458</v>
      </c>
      <c r="H1007" s="16">
        <f>C1007+E1007</f>
        <v/>
      </c>
    </row>
    <row r="1008">
      <c r="A1008" s="12" t="n">
        <v>43475</v>
      </c>
      <c r="B1008" s="15" t="n">
        <v>0.303700000047684</v>
      </c>
      <c r="C1008" s="15" t="n">
        <v>0.135600000619888</v>
      </c>
      <c r="D1008" s="15" t="n">
        <v>2.31139993667603</v>
      </c>
      <c r="E1008" s="15" t="n">
        <v>-0.0227000117301941</v>
      </c>
      <c r="F1008" s="15" t="n">
        <v>0.511300027370453</v>
      </c>
      <c r="G1008" s="15" t="n">
        <v>2.7279999256134</v>
      </c>
      <c r="H1008" s="16">
        <f>C1008+E1008</f>
        <v/>
      </c>
    </row>
    <row r="1009">
      <c r="A1009" s="12" t="n">
        <v>43476</v>
      </c>
      <c r="B1009" s="15" t="n">
        <v>0.290999978780746</v>
      </c>
      <c r="C1009" s="15" t="n">
        <v>0.125400006771088</v>
      </c>
      <c r="D1009" s="15" t="n">
        <v>2.30390000343323</v>
      </c>
      <c r="E1009" s="15" t="n">
        <v>-0.0248000919818878</v>
      </c>
      <c r="F1009" s="15" t="n">
        <v>0.486900001764297</v>
      </c>
      <c r="G1009" s="15" t="n">
        <v>2.69549989700317</v>
      </c>
      <c r="H1009" s="16">
        <f>C1009+E1009</f>
        <v/>
      </c>
    </row>
    <row r="1010">
      <c r="A1010" s="12" t="n">
        <v>43479</v>
      </c>
      <c r="B1010" s="15" t="n">
        <v>0.296499997377396</v>
      </c>
      <c r="C1010" s="15" t="n">
        <v>0.12729999423027</v>
      </c>
      <c r="D1010" s="15" t="n">
        <v>2.30660009384155</v>
      </c>
      <c r="E1010" s="15" t="n">
        <v>-0.0248000621795654</v>
      </c>
      <c r="F1010" s="15" t="n">
        <v>0.501500010490417</v>
      </c>
      <c r="G1010" s="15" t="n">
        <v>2.70560002326965</v>
      </c>
      <c r="H1010" s="16">
        <f>C1010+E1010</f>
        <v/>
      </c>
    </row>
    <row r="1011">
      <c r="A1011" s="12" t="n">
        <v>43480</v>
      </c>
      <c r="B1011" s="15" t="n">
        <v>0.299300000071526</v>
      </c>
      <c r="C1011" s="15" t="n">
        <v>0.130700007081032</v>
      </c>
      <c r="D1011" s="15" t="n">
        <v>2.30900001525879</v>
      </c>
      <c r="E1011" s="15" t="n">
        <v>-0.0242001414299011</v>
      </c>
      <c r="F1011" s="15" t="n">
        <v>0.516099989414215</v>
      </c>
      <c r="G1011" s="15" t="n">
        <v>2.71479988098145</v>
      </c>
      <c r="H1011" s="16">
        <f>C1011+E1011</f>
        <v/>
      </c>
    </row>
    <row r="1012">
      <c r="A1012" s="12" t="n">
        <v>43481</v>
      </c>
      <c r="B1012" s="15" t="n">
        <v>0.297599986195564</v>
      </c>
      <c r="C1012" s="15" t="n">
        <v>0.136399999260902</v>
      </c>
      <c r="D1012" s="15" t="n">
        <v>2.31060004234314</v>
      </c>
      <c r="E1012" s="15" t="n">
        <v>-0.0222999751567841</v>
      </c>
      <c r="F1012" s="15" t="n">
        <v>0.510599970817566</v>
      </c>
      <c r="G1012" s="15" t="n">
        <v>2.72230005264282</v>
      </c>
      <c r="H1012" s="16">
        <f>C1012+E1012</f>
        <v/>
      </c>
    </row>
    <row r="1013">
      <c r="A1013" s="12" t="n">
        <v>43482</v>
      </c>
      <c r="B1013" s="15" t="n">
        <v>0.306800007820129</v>
      </c>
      <c r="C1013" s="15" t="n">
        <v>0.145500004291534</v>
      </c>
      <c r="D1013" s="15" t="n">
        <v>2.31620001792908</v>
      </c>
      <c r="E1013" s="15" t="n">
        <v>-0.0201000571250916</v>
      </c>
      <c r="F1013" s="15" t="n">
        <v>0.518299996852875</v>
      </c>
      <c r="G1013" s="15" t="n">
        <v>2.74839997291565</v>
      </c>
      <c r="H1013" s="16">
        <f>C1013+E1013</f>
        <v/>
      </c>
    </row>
    <row r="1014">
      <c r="A1014" s="12" t="n">
        <v>43483</v>
      </c>
      <c r="B1014" s="15" t="n">
        <v>0.31700000166893</v>
      </c>
      <c r="C1014" s="15" t="n">
        <v>0.155000001192093</v>
      </c>
      <c r="D1014" s="15" t="n">
        <v>2.32189989089966</v>
      </c>
      <c r="E1014" s="15" t="n">
        <v>-0.0176998376846313</v>
      </c>
      <c r="F1014" s="15" t="n">
        <v>0.506900012493134</v>
      </c>
      <c r="G1014" s="15" t="n">
        <v>2.77620005607605</v>
      </c>
      <c r="H1014" s="16">
        <f>C1014+E1014</f>
        <v/>
      </c>
    </row>
    <row r="1015">
      <c r="A1015" s="12" t="n">
        <v>43487</v>
      </c>
      <c r="B1015" s="15" t="n">
        <v>0.305400013923645</v>
      </c>
      <c r="C1015" s="15" t="n">
        <v>0.137199997901917</v>
      </c>
      <c r="D1015" s="15" t="n">
        <v>2.31150007247925</v>
      </c>
      <c r="E1015" s="15" t="n">
        <v>-0.0220000743865967</v>
      </c>
      <c r="F1015" s="15" t="n">
        <v>0.516200006008148</v>
      </c>
      <c r="G1015" s="15" t="n">
        <v>2.73210000991821</v>
      </c>
      <c r="H1015" s="16">
        <f>C1015+E1015</f>
        <v/>
      </c>
    </row>
    <row r="1016">
      <c r="A1016" s="12" t="n">
        <v>43488</v>
      </c>
      <c r="B1016" s="15" t="n">
        <v>0.309599995613098</v>
      </c>
      <c r="C1016" s="15" t="n">
        <v>0.140799999237061</v>
      </c>
      <c r="D1016" s="15" t="n">
        <v>2.31410002708435</v>
      </c>
      <c r="E1016" s="15" t="n">
        <v>-0.0212000608444214</v>
      </c>
      <c r="F1016" s="15" t="n">
        <v>0.519900023937225</v>
      </c>
      <c r="G1016" s="15" t="n">
        <v>2.74329996109009</v>
      </c>
      <c r="H1016" s="16">
        <f>C1016+E1016</f>
        <v/>
      </c>
    </row>
    <row r="1017">
      <c r="A1017" s="12" t="n">
        <v>43489</v>
      </c>
      <c r="B1017" s="15" t="n">
        <v>0.296500012278557</v>
      </c>
      <c r="C1017" s="15" t="n">
        <v>0.130300000309944</v>
      </c>
      <c r="D1017" s="15" t="n">
        <v>2.30649995803833</v>
      </c>
      <c r="E1017" s="15" t="n">
        <v>-0.0234000682830811</v>
      </c>
      <c r="F1017" s="15" t="n">
        <v>0.5324000120162961</v>
      </c>
      <c r="G1017" s="15" t="n">
        <v>2.70989990234375</v>
      </c>
      <c r="H1017" s="16">
        <f>C1017+E1017</f>
        <v/>
      </c>
    </row>
    <row r="1018">
      <c r="A1018" s="12" t="n">
        <v>43490</v>
      </c>
      <c r="B1018" s="15" t="n">
        <v>0.307700008153915</v>
      </c>
      <c r="C1018" s="15" t="n">
        <v>0.141000002622604</v>
      </c>
      <c r="D1018" s="15" t="n">
        <v>2.31360006332397</v>
      </c>
      <c r="E1018" s="15" t="n">
        <v>-0.0209999680519104</v>
      </c>
      <c r="F1018" s="15" t="n">
        <v>0.532000005245209</v>
      </c>
      <c r="G1018" s="15" t="n">
        <v>2.74130010604858</v>
      </c>
      <c r="H1018" s="16">
        <f>C1018+E1018</f>
        <v/>
      </c>
    </row>
    <row r="1019">
      <c r="A1019" s="12" t="n">
        <v>43493</v>
      </c>
      <c r="B1019" s="15" t="n">
        <v>0.307200014591217</v>
      </c>
      <c r="C1019" s="15" t="n">
        <v>0.138099998235703</v>
      </c>
      <c r="D1019" s="15" t="n">
        <v>2.31220006942749</v>
      </c>
      <c r="E1019" s="15" t="n">
        <v>-0.0217000544071198</v>
      </c>
      <c r="F1019" s="15" t="n">
        <v>0.5382000207901</v>
      </c>
      <c r="G1019" s="15" t="n">
        <v>2.73580002784729</v>
      </c>
      <c r="H1019" s="16">
        <f>C1019+E1019</f>
        <v/>
      </c>
    </row>
    <row r="1020">
      <c r="A1020" s="12" t="n">
        <v>43494</v>
      </c>
      <c r="B1020" s="15" t="n">
        <v>0.296300008893013</v>
      </c>
      <c r="C1020" s="15" t="n">
        <v>0.124200001358986</v>
      </c>
      <c r="D1020" s="15" t="n">
        <v>2.30380010604858</v>
      </c>
      <c r="E1020" s="15" t="n">
        <v>-0.0250000655651093</v>
      </c>
      <c r="F1020" s="15" t="n">
        <v>0.522800028324127</v>
      </c>
      <c r="G1020" s="15" t="n">
        <v>2.69930005073547</v>
      </c>
      <c r="H1020" s="16">
        <f>C1020+E1020</f>
        <v/>
      </c>
    </row>
    <row r="1021">
      <c r="A1021" s="12" t="n">
        <v>43495</v>
      </c>
      <c r="B1021" s="15" t="n">
        <v>0.284500010311604</v>
      </c>
      <c r="C1021" s="15" t="n">
        <v>0.118600003421307</v>
      </c>
      <c r="D1021" s="15" t="n">
        <v>2.29949998855591</v>
      </c>
      <c r="E1021" s="15" t="n">
        <v>-0.026400089263916</v>
      </c>
      <c r="F1021" s="15" t="n">
        <v>0.461899995803833</v>
      </c>
      <c r="G1021" s="15" t="n">
        <v>2.6761999130249</v>
      </c>
      <c r="H1021" s="16">
        <f>C1021+E1021</f>
        <v/>
      </c>
    </row>
    <row r="1022">
      <c r="A1022" s="12" t="n">
        <v>43496</v>
      </c>
      <c r="B1022" s="15" t="n">
        <v>0.259399987757206</v>
      </c>
      <c r="C1022" s="15" t="n">
        <v>0.09920000284910201</v>
      </c>
      <c r="D1022" s="15" t="n">
        <v>2.28559994697571</v>
      </c>
      <c r="E1022" s="15" t="n">
        <v>-0.0306998193264008</v>
      </c>
      <c r="F1022" s="15" t="n">
        <v>0.431800007820129</v>
      </c>
      <c r="G1022" s="15" t="n">
        <v>2.61350011825562</v>
      </c>
      <c r="H1022" s="16">
        <f>C1022+E1022</f>
        <v/>
      </c>
    </row>
    <row r="1023">
      <c r="A1023" s="12" t="n">
        <v>43497</v>
      </c>
      <c r="B1023" s="15" t="n">
        <v>0.281899988651276</v>
      </c>
      <c r="C1023" s="15" t="n">
        <v>0.125900000333786</v>
      </c>
      <c r="D1023" s="15" t="n">
        <v>2.30209994316101</v>
      </c>
      <c r="E1023" s="15" t="n">
        <v>-0.0244000256061554</v>
      </c>
      <c r="F1023" s="15" t="n">
        <v>0.431800007820129</v>
      </c>
      <c r="G1023" s="15" t="n">
        <v>2.68549990653992</v>
      </c>
      <c r="H1023" s="16">
        <f>C1023+E1023</f>
        <v/>
      </c>
    </row>
    <row r="1024">
      <c r="A1024" s="12" t="n">
        <v>43500</v>
      </c>
      <c r="B1024" s="15" t="n">
        <v>0.295500010251999</v>
      </c>
      <c r="C1024" s="15" t="n">
        <v>0.136700004339218</v>
      </c>
      <c r="D1024" s="15" t="n">
        <v>2.3099000453949</v>
      </c>
      <c r="E1024" s="15" t="n">
        <v>-0.0220001339912415</v>
      </c>
      <c r="F1024" s="15" t="n">
        <v>0.439200013875961</v>
      </c>
      <c r="G1024" s="15" t="n">
        <v>2.72009992599487</v>
      </c>
      <c r="H1024" s="16">
        <f>C1024+E1024</f>
        <v/>
      </c>
    </row>
    <row r="1025">
      <c r="A1025" s="12" t="n">
        <v>43501</v>
      </c>
      <c r="B1025" s="15" t="n">
        <v>0.290399998426437</v>
      </c>
      <c r="C1025" s="15" t="n">
        <v>0.12720000743866</v>
      </c>
      <c r="D1025" s="15" t="n">
        <v>2.30460000038147</v>
      </c>
      <c r="E1025" s="15" t="n">
        <v>-0.0244000852108002</v>
      </c>
      <c r="F1025" s="15" t="n">
        <v>0.434500008821487</v>
      </c>
      <c r="G1025" s="15" t="n">
        <v>2.69779992103577</v>
      </c>
      <c r="H1025" s="16">
        <f>C1025+E1025</f>
        <v/>
      </c>
    </row>
    <row r="1026">
      <c r="A1026" s="12" t="n">
        <v>43502</v>
      </c>
      <c r="B1026" s="15" t="n">
        <v>0.287900008261204</v>
      </c>
      <c r="C1026" s="15" t="n">
        <v>0.123800002038479</v>
      </c>
      <c r="D1026" s="15" t="n">
        <v>2.30279994010925</v>
      </c>
      <c r="E1026" s="15" t="n">
        <v>-0.0253000259399414</v>
      </c>
      <c r="F1026" s="15" t="n">
        <v>0.440699994564056</v>
      </c>
      <c r="G1026" s="15" t="n">
        <v>2.68919992446899</v>
      </c>
      <c r="H1026" s="16">
        <f>C1026+E1026</f>
        <v/>
      </c>
    </row>
    <row r="1027">
      <c r="A1027" s="12" t="n">
        <v>43503</v>
      </c>
      <c r="B1027" s="15" t="n">
        <v>0.272900000214577</v>
      </c>
      <c r="C1027" s="15" t="n">
        <v>0.108400002121925</v>
      </c>
      <c r="D1027" s="15" t="n">
        <v>2.292799949646</v>
      </c>
      <c r="E1027" s="15" t="n">
        <v>-0.0288999378681183</v>
      </c>
      <c r="F1027" s="15" t="n">
        <v>0.444400012493134</v>
      </c>
      <c r="G1027" s="15" t="n">
        <v>2.64520001411438</v>
      </c>
      <c r="H1027" s="16">
        <f>C1027+E1027</f>
        <v/>
      </c>
    </row>
    <row r="1028">
      <c r="A1028" s="12" t="n">
        <v>43504</v>
      </c>
      <c r="B1028" s="15" t="n">
        <v>0.267799995839596</v>
      </c>
      <c r="C1028" s="15" t="n">
        <v>0.102700002491474</v>
      </c>
      <c r="D1028" s="15" t="n">
        <v>2.28940010070801</v>
      </c>
      <c r="E1028" s="15" t="n">
        <v>-0.0302001535892487</v>
      </c>
      <c r="F1028" s="15" t="n">
        <v>0.44650000333786</v>
      </c>
      <c r="G1028" s="15" t="n">
        <v>2.62969994544983</v>
      </c>
      <c r="H1028" s="16">
        <f>C1028+E1028</f>
        <v/>
      </c>
    </row>
    <row r="1029">
      <c r="A1029" s="12" t="n">
        <v>43507</v>
      </c>
      <c r="B1029" s="15" t="n">
        <v>0.279400005936623</v>
      </c>
      <c r="C1029" s="15" t="n">
        <v>0.109099999070168</v>
      </c>
      <c r="D1029" s="15" t="n">
        <v>2.29509997367859</v>
      </c>
      <c r="E1029" s="15" t="n">
        <v>-0.0290999710559845</v>
      </c>
      <c r="F1029" s="15" t="n">
        <v>0.453500002622604</v>
      </c>
      <c r="G1029" s="15" t="n">
        <v>2.65450000762939</v>
      </c>
      <c r="H1029" s="16">
        <f>C1029+E1029</f>
        <v/>
      </c>
    </row>
    <row r="1030">
      <c r="A1030" s="12" t="n">
        <v>43508</v>
      </c>
      <c r="B1030" s="15" t="n">
        <v>0.284899987280369</v>
      </c>
      <c r="C1030" s="15" t="n">
        <v>0.119300000369549</v>
      </c>
      <c r="D1030" s="15" t="n">
        <v>2.30060005187988</v>
      </c>
      <c r="E1030" s="15" t="n">
        <v>-0.0265001356601715</v>
      </c>
      <c r="F1030" s="15" t="n">
        <v>0.446900010108948</v>
      </c>
      <c r="G1030" s="15" t="n">
        <v>2.67829990386963</v>
      </c>
      <c r="H1030" s="16">
        <f>C1030+E1030</f>
        <v/>
      </c>
    </row>
    <row r="1031">
      <c r="A1031" s="12" t="n">
        <v>43509</v>
      </c>
      <c r="B1031" s="15" t="n">
        <v>0.29559999704361</v>
      </c>
      <c r="C1031" s="15" t="n">
        <v>0.125900000333786</v>
      </c>
      <c r="D1031" s="15" t="n">
        <v>2.30539989471436</v>
      </c>
      <c r="E1031" s="15" t="n">
        <v>-0.0248999893665314</v>
      </c>
      <c r="F1031" s="15" t="n">
        <v>0.431199997663498</v>
      </c>
      <c r="G1031" s="15" t="n">
        <v>2.70199990272522</v>
      </c>
      <c r="H1031" s="16">
        <f>C1031+E1031</f>
        <v/>
      </c>
    </row>
    <row r="1032">
      <c r="A1032" s="12" t="n">
        <v>43510</v>
      </c>
      <c r="B1032" s="15" t="n">
        <v>0.280800007283688</v>
      </c>
      <c r="C1032" s="15" t="n">
        <v>0.108599998056889</v>
      </c>
      <c r="D1032" s="15" t="n">
        <v>2.29460000991821</v>
      </c>
      <c r="E1032" s="15" t="n">
        <v>-0.0288999080657959</v>
      </c>
      <c r="F1032" s="15" t="n">
        <v>0.424600005149841</v>
      </c>
      <c r="G1032" s="15" t="n">
        <v>2.65510010719299</v>
      </c>
      <c r="H1032" s="16">
        <f>C1032+E1032</f>
        <v/>
      </c>
    </row>
    <row r="1033">
      <c r="A1033" s="12" t="n">
        <v>43511</v>
      </c>
      <c r="B1033" s="15" t="n">
        <v>0.280400015413761</v>
      </c>
      <c r="C1033" s="15" t="n">
        <v>0.110299997031689</v>
      </c>
      <c r="D1033" s="15" t="n">
        <v>2.29480004310608</v>
      </c>
      <c r="E1033" s="15" t="n">
        <v>-0.0284000933170319</v>
      </c>
      <c r="F1033" s="15" t="n">
        <v>0.41839998960495</v>
      </c>
      <c r="G1033" s="15" t="n">
        <v>2.6570999622345</v>
      </c>
      <c r="H1033" s="16">
        <f>C1033+E1033</f>
        <v/>
      </c>
    </row>
    <row r="1034">
      <c r="A1034" s="12" t="n">
        <v>43515</v>
      </c>
      <c r="B1034" s="15" t="n">
        <v>0.278399989008904</v>
      </c>
      <c r="C1034" s="15" t="n">
        <v>0.102300003170967</v>
      </c>
      <c r="D1034" s="15" t="n">
        <v>2.29119992256165</v>
      </c>
      <c r="E1034" s="15" t="n">
        <v>-0.0303999185562134</v>
      </c>
      <c r="F1034" s="15" t="n">
        <v>0.402999997138977</v>
      </c>
      <c r="G1034" s="15" t="n">
        <v>2.6414999961853</v>
      </c>
      <c r="H1034" s="16">
        <f>C1034+E1034</f>
        <v/>
      </c>
    </row>
    <row r="1035">
      <c r="A1035" s="12" t="n">
        <v>43516</v>
      </c>
      <c r="B1035" s="15" t="n">
        <v>0.277300015091896</v>
      </c>
      <c r="C1035" s="15" t="n">
        <v>0.101899996399879</v>
      </c>
      <c r="D1035" s="15" t="n">
        <v>2.29080009460449</v>
      </c>
      <c r="E1035" s="15" t="n">
        <v>-0.0306001007556915</v>
      </c>
      <c r="F1035" s="15" t="n">
        <v>0.387600004673004</v>
      </c>
      <c r="G1035" s="15" t="n">
        <v>2.63940000534058</v>
      </c>
      <c r="H1035" s="16">
        <f>C1035+E1035</f>
        <v/>
      </c>
    </row>
    <row r="1036">
      <c r="A1036" s="12" t="n">
        <v>43517</v>
      </c>
      <c r="B1036" s="15" t="n">
        <v>0.289400011301041</v>
      </c>
      <c r="C1036" s="15" t="n">
        <v>0.11710000038147</v>
      </c>
      <c r="D1036" s="15" t="n">
        <v>2.30010008811951</v>
      </c>
      <c r="E1036" s="15" t="n">
        <v>-0.0270000994205475</v>
      </c>
      <c r="F1036" s="15" t="n">
        <v>0.381300002336502</v>
      </c>
      <c r="G1036" s="15" t="n">
        <v>2.67960000038147</v>
      </c>
      <c r="H1036" s="16">
        <f>C1036+E1036</f>
        <v/>
      </c>
    </row>
    <row r="1037">
      <c r="A1037" s="12" t="n">
        <v>43518</v>
      </c>
      <c r="B1037" s="15" t="n">
        <v>0.277700014412403</v>
      </c>
      <c r="C1037" s="15" t="n">
        <v>0.107799999415874</v>
      </c>
      <c r="D1037" s="15" t="n">
        <v>2.29380011558533</v>
      </c>
      <c r="E1037" s="15" t="n">
        <v>-0.0292001366615295</v>
      </c>
      <c r="F1037" s="15" t="n">
        <v>0.371300011873245</v>
      </c>
      <c r="G1037" s="15" t="n">
        <v>2.65009999275208</v>
      </c>
      <c r="H1037" s="16">
        <f>C1037+E1037</f>
        <v/>
      </c>
    </row>
    <row r="1038">
      <c r="A1038" s="12" t="n">
        <v>43521</v>
      </c>
      <c r="B1038" s="15" t="n">
        <v>0.283500015735626</v>
      </c>
      <c r="C1038" s="15" t="n">
        <v>0.11259999871254</v>
      </c>
      <c r="D1038" s="15" t="n">
        <v>2.29739999771118</v>
      </c>
      <c r="E1038" s="15" t="n">
        <v>-0.028300017118454</v>
      </c>
      <c r="F1038" s="15" t="n">
        <v>0.37389999628067</v>
      </c>
      <c r="G1038" s="15" t="n">
        <v>2.66519999504089</v>
      </c>
      <c r="H1038" s="16">
        <f>C1038+E1038</f>
        <v/>
      </c>
    </row>
    <row r="1039">
      <c r="A1039" s="12" t="n">
        <v>43522</v>
      </c>
      <c r="B1039" s="15" t="n">
        <v>0.273800015449524</v>
      </c>
      <c r="C1039" s="15" t="n">
        <v>0.101099997758865</v>
      </c>
      <c r="D1039" s="15" t="n">
        <v>2.29029989242554</v>
      </c>
      <c r="E1039" s="15" t="n">
        <v>-0.0308999121189117</v>
      </c>
      <c r="F1039" s="15" t="n">
        <v>0.357699990272522</v>
      </c>
      <c r="G1039" s="15" t="n">
        <v>2.63429999351501</v>
      </c>
      <c r="H1039" s="16">
        <f>C1039+E1039</f>
        <v/>
      </c>
    </row>
    <row r="1040">
      <c r="A1040" s="12" t="n">
        <v>43523</v>
      </c>
      <c r="B1040" s="15" t="n">
        <v>0.291000008583069</v>
      </c>
      <c r="C1040" s="15" t="n">
        <v>0.121399998664856</v>
      </c>
      <c r="D1040" s="15" t="n">
        <v>2.30360007286072</v>
      </c>
      <c r="E1040" s="15" t="n">
        <v>-0.0264999866485596</v>
      </c>
      <c r="F1040" s="15" t="n">
        <v>0.357800006866455</v>
      </c>
      <c r="G1040" s="15" t="n">
        <v>2.68950009346008</v>
      </c>
      <c r="H1040" s="16">
        <f>C1040+E1040</f>
        <v/>
      </c>
    </row>
    <row r="1041">
      <c r="A1041" s="12" t="n">
        <v>43524</v>
      </c>
      <c r="B1041" s="15" t="n">
        <v>0.299500003457069</v>
      </c>
      <c r="C1041" s="15" t="n">
        <v>0.13910000026226</v>
      </c>
      <c r="D1041" s="15" t="n">
        <v>2.3131000995636</v>
      </c>
      <c r="E1041" s="15" t="n">
        <v>-0.0221001505851746</v>
      </c>
      <c r="F1041" s="15" t="n">
        <v>0.361000001430511</v>
      </c>
      <c r="G1041" s="15" t="n">
        <v>2.72959995269775</v>
      </c>
      <c r="H1041" s="16">
        <f>C1041+E1041</f>
        <v/>
      </c>
    </row>
    <row r="1042">
      <c r="A1042" s="12" t="n">
        <v>43525</v>
      </c>
      <c r="B1042" s="15" t="n">
        <v>0.310699999332428</v>
      </c>
      <c r="C1042" s="15" t="n">
        <v>0.150499999523163</v>
      </c>
      <c r="D1042" s="15" t="n">
        <v>2.32019996643066</v>
      </c>
      <c r="E1042" s="15" t="n">
        <v>-0.0192999839782715</v>
      </c>
      <c r="F1042" s="15" t="n">
        <v>0.35809999704361</v>
      </c>
      <c r="G1042" s="15" t="n">
        <v>2.76209998130798</v>
      </c>
      <c r="H1042" s="16">
        <f>C1042+E1042</f>
        <v/>
      </c>
    </row>
    <row r="1043">
      <c r="A1043" s="12" t="n">
        <v>43528</v>
      </c>
      <c r="B1043" s="15" t="n">
        <v>0.302900016307831</v>
      </c>
      <c r="C1043" s="15" t="n">
        <v>0.133399993181229</v>
      </c>
      <c r="D1043" s="15" t="n">
        <v>2.31089997291565</v>
      </c>
      <c r="E1043" s="15" t="n">
        <v>-0.0234999358654022</v>
      </c>
      <c r="F1043" s="15" t="n">
        <v>0.359200000762939</v>
      </c>
      <c r="G1043" s="15" t="n">
        <v>2.72370004653931</v>
      </c>
      <c r="H1043" s="16">
        <f>C1043+E1043</f>
        <v/>
      </c>
    </row>
    <row r="1044">
      <c r="A1044" s="12" t="n">
        <v>43529</v>
      </c>
      <c r="B1044" s="15" t="n">
        <v>0.301499992609024</v>
      </c>
      <c r="C1044" s="15" t="n">
        <v>0.131500005722046</v>
      </c>
      <c r="D1044" s="15" t="n">
        <v>2.30960011482239</v>
      </c>
      <c r="E1044" s="15" t="n">
        <v>-0.0238000452518463</v>
      </c>
      <c r="F1044" s="15" t="n">
        <v>0.37389999628067</v>
      </c>
      <c r="G1044" s="15" t="n">
        <v>2.71880006790161</v>
      </c>
      <c r="H1044" s="16">
        <f>C1044+E1044</f>
        <v/>
      </c>
    </row>
    <row r="1045">
      <c r="A1045" s="12" t="n">
        <v>43530</v>
      </c>
      <c r="B1045" s="15" t="n">
        <v>0.290400013327599</v>
      </c>
      <c r="C1045" s="15" t="n">
        <v>0.11879999935627</v>
      </c>
      <c r="D1045" s="15" t="n">
        <v>2.30170011520386</v>
      </c>
      <c r="E1045" s="15" t="n">
        <v>-0.0269001126289368</v>
      </c>
      <c r="F1045" s="15" t="n">
        <v>0.375600010156631</v>
      </c>
      <c r="G1045" s="15" t="n">
        <v>2.68400001525879</v>
      </c>
      <c r="H1045" s="16">
        <f>C1045+E1045</f>
        <v/>
      </c>
    </row>
    <row r="1046">
      <c r="A1046" s="12" t="n">
        <v>43531</v>
      </c>
      <c r="B1046" s="15" t="n">
        <v>0.273800000548363</v>
      </c>
      <c r="C1046" s="15" t="n">
        <v>0.102300003170967</v>
      </c>
      <c r="D1046" s="15" t="n">
        <v>2.291100025177</v>
      </c>
      <c r="E1046" s="15" t="n">
        <v>-0.030700147151947</v>
      </c>
      <c r="F1046" s="15" t="n">
        <v>0.371499985456467</v>
      </c>
      <c r="G1046" s="15" t="n">
        <v>2.63649988174438</v>
      </c>
      <c r="H1046" s="16">
        <f>C1046+E1046</f>
        <v/>
      </c>
    </row>
    <row r="1047">
      <c r="A1047" s="12" t="n">
        <v>43532</v>
      </c>
      <c r="B1047" s="15" t="n">
        <v>0.267900004982948</v>
      </c>
      <c r="C1047" s="15" t="n">
        <v>0.09489999711513521</v>
      </c>
      <c r="D1047" s="15" t="n">
        <v>2.28670001029968</v>
      </c>
      <c r="E1047" s="15" t="n">
        <v>-0.0324999094009399</v>
      </c>
      <c r="F1047" s="15" t="n">
        <v>0.370700001716614</v>
      </c>
      <c r="G1047" s="15" t="n">
        <v>2.61700010299683</v>
      </c>
      <c r="H1047" s="16">
        <f>C1047+E1047</f>
        <v/>
      </c>
    </row>
    <row r="1048">
      <c r="A1048" s="12" t="n">
        <v>43535</v>
      </c>
      <c r="B1048" s="15" t="n">
        <v>0.276099994778633</v>
      </c>
      <c r="C1048" s="15" t="n">
        <v>0.0993999987840652</v>
      </c>
      <c r="D1048" s="15" t="n">
        <v>2.29069995880127</v>
      </c>
      <c r="E1048" s="15" t="n">
        <v>-0.031699925661087</v>
      </c>
      <c r="F1048" s="15" t="n">
        <v>0.366800010204315</v>
      </c>
      <c r="G1048" s="15" t="n">
        <v>2.63450002670288</v>
      </c>
      <c r="H1048" s="16">
        <f>C1048+E1048</f>
        <v/>
      </c>
    </row>
    <row r="1049">
      <c r="A1049" s="12" t="n">
        <v>43536</v>
      </c>
      <c r="B1049" s="15" t="n">
        <v>0.265600010752678</v>
      </c>
      <c r="C1049" s="15" t="n">
        <v>0.0887999981641769</v>
      </c>
      <c r="D1049" s="15" t="n">
        <v>2.28379988670349</v>
      </c>
      <c r="E1049" s="15" t="n">
        <v>-0.0340999066829681</v>
      </c>
      <c r="F1049" s="15" t="n">
        <v>0.365599989891052</v>
      </c>
      <c r="G1049" s="15" t="n">
        <v>2.60409998893738</v>
      </c>
      <c r="H1049" s="16">
        <f>C1049+E1049</f>
        <v/>
      </c>
    </row>
    <row r="1050">
      <c r="A1050" s="12" t="n">
        <v>43537</v>
      </c>
      <c r="B1050" s="15" t="n">
        <v>0.266200006008148</v>
      </c>
      <c r="C1050" s="15" t="n">
        <v>0.089599996805191</v>
      </c>
      <c r="D1050" s="15" t="n">
        <v>2.28430008888245</v>
      </c>
      <c r="E1050" s="15" t="n">
        <v>-0.0340000092983246</v>
      </c>
      <c r="F1050" s="15" t="n">
        <v>0.351000010967255</v>
      </c>
      <c r="G1050" s="15" t="n">
        <v>2.60610008239746</v>
      </c>
      <c r="H1050" s="16">
        <f>C1050+E1050</f>
        <v/>
      </c>
    </row>
    <row r="1051">
      <c r="A1051" s="12" t="n">
        <v>43538</v>
      </c>
      <c r="B1051" s="15" t="n">
        <v>0.271300002932549</v>
      </c>
      <c r="C1051" s="15" t="n">
        <v>0.0987000018358231</v>
      </c>
      <c r="D1051" s="15" t="n">
        <v>2.28949999809265</v>
      </c>
      <c r="E1051" s="15" t="n">
        <v>-0.0317999124526978</v>
      </c>
      <c r="F1051" s="15" t="n">
        <v>0.335299998521805</v>
      </c>
      <c r="G1051" s="15" t="n">
        <v>2.62770009040833</v>
      </c>
      <c r="H1051" s="16">
        <f>C1051+E1051</f>
        <v/>
      </c>
    </row>
    <row r="1052">
      <c r="A1052" s="12" t="n">
        <v>43539</v>
      </c>
      <c r="B1052" s="15" t="n">
        <v>0.260400004684925</v>
      </c>
      <c r="C1052" s="15" t="n">
        <v>0.0859000012278557</v>
      </c>
      <c r="D1052" s="15" t="n">
        <v>2.28139996528625</v>
      </c>
      <c r="E1052" s="15" t="n">
        <v>-0.0345999002456665</v>
      </c>
      <c r="F1052" s="15" t="n">
        <v>0.321399986743927</v>
      </c>
      <c r="G1052" s="15" t="n">
        <v>2.59310007095337</v>
      </c>
      <c r="H1052" s="16">
        <f>C1052+E1052</f>
        <v/>
      </c>
    </row>
    <row r="1053">
      <c r="A1053" s="12" t="n">
        <v>43542</v>
      </c>
      <c r="B1053" s="15" t="n">
        <v>0.263199985027313</v>
      </c>
      <c r="C1053" s="15" t="n">
        <v>0.0907000005245209</v>
      </c>
      <c r="D1053" s="15" t="n">
        <v>2.28390002250671</v>
      </c>
      <c r="E1053" s="15" t="n">
        <v>-0.0334000885486603</v>
      </c>
      <c r="F1053" s="15" t="n">
        <v>0.313100010156631</v>
      </c>
      <c r="G1053" s="15" t="n">
        <v>2.60439991950989</v>
      </c>
      <c r="H1053" s="16">
        <f>C1053+E1053</f>
        <v/>
      </c>
    </row>
    <row r="1054">
      <c r="A1054" s="12" t="n">
        <v>43543</v>
      </c>
      <c r="B1054" s="15" t="n">
        <v>0.267499998211861</v>
      </c>
      <c r="C1054" s="15" t="n">
        <v>0.0939999967813492</v>
      </c>
      <c r="D1054" s="15" t="n">
        <v>2.28640007972717</v>
      </c>
      <c r="E1054" s="15" t="n">
        <v>-0.032800167798996</v>
      </c>
      <c r="F1054" s="15" t="n">
        <v>0.322400003671646</v>
      </c>
      <c r="G1054" s="15" t="n">
        <v>2.61509990692139</v>
      </c>
      <c r="H1054" s="16">
        <f>C1054+E1054</f>
        <v/>
      </c>
    </row>
    <row r="1055">
      <c r="A1055" s="12" t="n">
        <v>43544</v>
      </c>
      <c r="B1055" s="15" t="n">
        <v>0.241399988532066</v>
      </c>
      <c r="C1055" s="15" t="n">
        <v>0.0705000013113022</v>
      </c>
      <c r="D1055" s="15" t="n">
        <v>2.27029991149902</v>
      </c>
      <c r="E1055" s="15" t="n">
        <v>-0.0379999577999115</v>
      </c>
      <c r="F1055" s="15" t="n">
        <v>0.287499994039536</v>
      </c>
      <c r="G1055" s="15" t="n">
        <v>2.54419994354248</v>
      </c>
      <c r="H1055" s="16">
        <f>C1055+E1055</f>
        <v/>
      </c>
    </row>
    <row r="1056">
      <c r="A1056" s="12" t="n">
        <v>43545</v>
      </c>
      <c r="B1056" s="15" t="n">
        <v>0.242799997329712</v>
      </c>
      <c r="C1056" s="15" t="n">
        <v>0.0703999996185303</v>
      </c>
      <c r="D1056" s="15" t="n">
        <v>2.27080011367798</v>
      </c>
      <c r="E1056" s="15" t="n">
        <v>-0.0382001399993896</v>
      </c>
      <c r="F1056" s="15" t="n">
        <v>0.296600013971329</v>
      </c>
      <c r="G1056" s="15" t="n">
        <v>2.54579997062683</v>
      </c>
      <c r="H1056" s="16">
        <f>C1056+E1056</f>
        <v/>
      </c>
    </row>
    <row r="1057">
      <c r="A1057" s="12" t="n">
        <v>43546</v>
      </c>
      <c r="B1057" s="15" t="n">
        <v>0.211300011724234</v>
      </c>
      <c r="C1057" s="15" t="n">
        <v>0.0395000018179417</v>
      </c>
      <c r="D1057" s="15" t="n">
        <v>2.25079989433289</v>
      </c>
      <c r="E1057" s="15" t="n">
        <v>-0.0454000234603882</v>
      </c>
      <c r="F1057" s="15" t="n">
        <v>0.310400009155273</v>
      </c>
      <c r="G1057" s="15" t="n">
        <v>2.45619988441467</v>
      </c>
      <c r="H1057" s="16">
        <f>C1057+E1057</f>
        <v/>
      </c>
    </row>
    <row r="1058">
      <c r="A1058" s="12" t="n">
        <v>43549</v>
      </c>
      <c r="B1058" s="15" t="n">
        <v>0.205800004303455</v>
      </c>
      <c r="C1058" s="15" t="n">
        <v>0.0346999987959862</v>
      </c>
      <c r="D1058" s="15" t="n">
        <v>2.24869990348816</v>
      </c>
      <c r="E1058" s="15" t="n">
        <v>-0.0469999611377716</v>
      </c>
      <c r="F1058" s="15" t="n">
        <v>0.33050000667572</v>
      </c>
      <c r="G1058" s="15" t="n">
        <v>2.44219994544983</v>
      </c>
      <c r="H1058" s="16">
        <f>C1058+E1058</f>
        <v/>
      </c>
    </row>
    <row r="1059">
      <c r="A1059" s="12" t="n">
        <v>43550</v>
      </c>
      <c r="B1059" s="15" t="n">
        <v>0.199800003319979</v>
      </c>
      <c r="C1059" s="15" t="n">
        <v>0.0284000001847744</v>
      </c>
      <c r="D1059" s="15" t="n">
        <v>2.24530005455017</v>
      </c>
      <c r="E1059" s="15" t="n">
        <v>-0.0486000031232834</v>
      </c>
      <c r="F1059" s="15" t="n">
        <v>0.341600000858307</v>
      </c>
      <c r="G1059" s="15" t="n">
        <v>2.42490005493164</v>
      </c>
      <c r="H1059" s="16">
        <f>C1059+E1059</f>
        <v/>
      </c>
    </row>
    <row r="1060">
      <c r="A1060" s="12" t="n">
        <v>43551</v>
      </c>
      <c r="B1060" s="15" t="n">
        <v>0.191300002858043</v>
      </c>
      <c r="C1060" s="15" t="n">
        <v>0.0244999993592501</v>
      </c>
      <c r="D1060" s="15" t="n">
        <v>2.24160003662109</v>
      </c>
      <c r="E1060" s="15" t="n">
        <v>-0.0493001490831375</v>
      </c>
      <c r="F1060" s="15" t="n">
        <v>0.358399987220764</v>
      </c>
      <c r="G1060" s="15" t="n">
        <v>2.40809988975525</v>
      </c>
      <c r="H1060" s="16">
        <f>C1060+E1060</f>
        <v/>
      </c>
    </row>
    <row r="1061">
      <c r="A1061" s="12" t="n">
        <v>43552</v>
      </c>
      <c r="B1061" s="15" t="n">
        <v>0.191500002518296</v>
      </c>
      <c r="C1061" s="15" t="n">
        <v>0.0277999993413687</v>
      </c>
      <c r="D1061" s="15" t="n">
        <v>2.24239993095398</v>
      </c>
      <c r="E1061" s="15" t="n">
        <v>-0.048199862241745</v>
      </c>
      <c r="F1061" s="15" t="n">
        <v>0.366699993610382</v>
      </c>
      <c r="G1061" s="15" t="n">
        <v>2.4135000705719</v>
      </c>
      <c r="H1061" s="16">
        <f>C1061+E1061</f>
        <v/>
      </c>
    </row>
    <row r="1062">
      <c r="A1062" s="12" t="n">
        <v>43553</v>
      </c>
      <c r="B1062" s="15" t="n">
        <v>0.194699995219707</v>
      </c>
      <c r="C1062" s="15" t="n">
        <v>0.0285999998450279</v>
      </c>
      <c r="D1062" s="15" t="n">
        <v>2.2425000667572</v>
      </c>
      <c r="E1062" s="15" t="n">
        <v>-0.0476999431848526</v>
      </c>
      <c r="F1062" s="15" t="n">
        <v>0.338299989700317</v>
      </c>
      <c r="G1062" s="15" t="n">
        <v>2.41810011863708</v>
      </c>
      <c r="H1062" s="16">
        <f>C1062+E1062</f>
        <v/>
      </c>
    </row>
    <row r="1063">
      <c r="A1063" s="12" t="n">
        <v>43556</v>
      </c>
      <c r="B1063" s="15" t="n">
        <v>0.222800008952618</v>
      </c>
      <c r="C1063" s="15" t="n">
        <v>0.0584999993443489</v>
      </c>
      <c r="D1063" s="15" t="n">
        <v>2.26169991493225</v>
      </c>
      <c r="E1063" s="15" t="n">
        <v>-0.040899932384491</v>
      </c>
      <c r="F1063" s="15" t="n">
        <v>0.334699988365173</v>
      </c>
      <c r="G1063" s="15" t="n">
        <v>2.50209999084473</v>
      </c>
      <c r="H1063" s="16">
        <f>C1063+E1063</f>
        <v/>
      </c>
    </row>
    <row r="1064">
      <c r="A1064" s="12" t="n">
        <v>43557</v>
      </c>
      <c r="B1064" s="15" t="n">
        <v>0.216200012713671</v>
      </c>
      <c r="C1064" s="15" t="n">
        <v>0.0540000014007092</v>
      </c>
      <c r="D1064" s="15" t="n">
        <v>2.25819993019104</v>
      </c>
      <c r="E1064" s="15" t="n">
        <v>-0.0418000221252441</v>
      </c>
      <c r="F1064" s="15" t="n">
        <v>0.330000013113022</v>
      </c>
      <c r="G1064" s="15" t="n">
        <v>2.48659992218018</v>
      </c>
      <c r="H1064" s="16">
        <f>C1064+E1064</f>
        <v/>
      </c>
    </row>
    <row r="1065">
      <c r="A1065" s="12" t="n">
        <v>43558</v>
      </c>
      <c r="B1065" s="15" t="n">
        <v>0.228700011968613</v>
      </c>
      <c r="C1065" s="15" t="n">
        <v>0.0703999996185303</v>
      </c>
      <c r="D1065" s="15" t="n">
        <v>2.26830005645752</v>
      </c>
      <c r="E1065" s="15" t="n">
        <v>-0.0379999577999115</v>
      </c>
      <c r="F1065" s="15" t="n">
        <v>0.337700009346008</v>
      </c>
      <c r="G1065" s="15" t="n">
        <v>2.52940011024475</v>
      </c>
      <c r="H1065" s="16">
        <f>C1065+E1065</f>
        <v/>
      </c>
    </row>
    <row r="1066">
      <c r="A1066" s="12" t="n">
        <v>43559</v>
      </c>
      <c r="B1066" s="15" t="n">
        <v>0.227699995040894</v>
      </c>
      <c r="C1066" s="15" t="n">
        <v>0.0667999982833862</v>
      </c>
      <c r="D1066" s="15" t="n">
        <v>2.26640009880066</v>
      </c>
      <c r="E1066" s="15" t="n">
        <v>-0.0388001203536987</v>
      </c>
      <c r="F1066" s="15" t="n">
        <v>0.342000007629395</v>
      </c>
      <c r="G1066" s="15" t="n">
        <v>2.52209997177124</v>
      </c>
      <c r="H1066" s="16">
        <f>C1066+E1066</f>
        <v/>
      </c>
    </row>
    <row r="1067">
      <c r="A1067" s="12" t="n">
        <v>43560</v>
      </c>
      <c r="B1067" s="15" t="n">
        <v>0.225100010633469</v>
      </c>
      <c r="C1067" s="15" t="n">
        <v>0.061599999666214</v>
      </c>
      <c r="D1067" s="15" t="n">
        <v>2.2632999420166</v>
      </c>
      <c r="E1067" s="15" t="n">
        <v>-0.0400998592376709</v>
      </c>
      <c r="F1067" s="15" t="n">
        <v>0.337199985980988</v>
      </c>
      <c r="G1067" s="15" t="n">
        <v>2.50990009307861</v>
      </c>
      <c r="H1067" s="16">
        <f>C1067+E1067</f>
        <v/>
      </c>
    </row>
    <row r="1068">
      <c r="A1068" s="12" t="n">
        <v>43563</v>
      </c>
      <c r="B1068" s="15" t="n">
        <v>0.232800014317036</v>
      </c>
      <c r="C1068" s="15" t="n">
        <v>0.0662999972701073</v>
      </c>
      <c r="D1068" s="15" t="n">
        <v>2.2671000957489</v>
      </c>
      <c r="E1068" s="15" t="n">
        <v>-0.0391000211238861</v>
      </c>
      <c r="F1068" s="15" t="n">
        <v>0.337999999523163</v>
      </c>
      <c r="G1068" s="15" t="n">
        <v>2.52710008621216</v>
      </c>
      <c r="H1068" s="16">
        <f>C1068+E1068</f>
        <v/>
      </c>
    </row>
    <row r="1069">
      <c r="A1069" s="12" t="n">
        <v>43564</v>
      </c>
      <c r="B1069" s="15" t="n">
        <v>0.225300010293722</v>
      </c>
      <c r="C1069" s="15" t="n">
        <v>0.0614000000059605</v>
      </c>
      <c r="D1069" s="15" t="n">
        <v>2.26320004463196</v>
      </c>
      <c r="E1069" s="15" t="n">
        <v>-0.04010009765625</v>
      </c>
      <c r="F1069" s="15" t="n">
        <v>0.337199985980988</v>
      </c>
      <c r="G1069" s="15" t="n">
        <v>2.50979995727539</v>
      </c>
      <c r="H1069" s="16">
        <f>C1069+E1069</f>
        <v/>
      </c>
    </row>
    <row r="1070">
      <c r="A1070" s="12" t="n">
        <v>43565</v>
      </c>
      <c r="B1070" s="15" t="n">
        <v>0.214699998497963</v>
      </c>
      <c r="C1070" s="15" t="n">
        <v>0.0493000000715256</v>
      </c>
      <c r="D1070" s="15" t="n">
        <v>2.25559997558594</v>
      </c>
      <c r="E1070" s="15" t="n">
        <v>-0.0428000092506409</v>
      </c>
      <c r="F1070" s="15" t="n">
        <v>0.309700012207031</v>
      </c>
      <c r="G1070" s="15" t="n">
        <v>2.47679996490479</v>
      </c>
      <c r="H1070" s="16">
        <f>C1070+E1070</f>
        <v/>
      </c>
    </row>
    <row r="1071">
      <c r="A1071" s="12" t="n">
        <v>43566</v>
      </c>
      <c r="B1071" s="15" t="n">
        <v>0.225999992340803</v>
      </c>
      <c r="C1071" s="15" t="n">
        <v>0.0621999986469746</v>
      </c>
      <c r="D1071" s="15" t="n">
        <v>2.26379990577698</v>
      </c>
      <c r="E1071" s="15" t="n">
        <v>-0.0399998128414154</v>
      </c>
      <c r="F1071" s="15" t="n">
        <v>0.317799985408783</v>
      </c>
      <c r="G1071" s="15" t="n">
        <v>2.51200008392334</v>
      </c>
      <c r="H1071" s="16">
        <f>C1071+E1071</f>
        <v/>
      </c>
    </row>
    <row r="1072">
      <c r="A1072" s="12" t="n">
        <v>43567</v>
      </c>
      <c r="B1072" s="15" t="n">
        <v>0.245200000703335</v>
      </c>
      <c r="C1072" s="15" t="n">
        <v>0.0821999981999397</v>
      </c>
      <c r="D1072" s="15" t="n">
        <v>2.27649998664856</v>
      </c>
      <c r="E1072" s="15" t="n">
        <v>-0.035199910402298</v>
      </c>
      <c r="F1072" s="15" t="n">
        <v>0.313800007104874</v>
      </c>
      <c r="G1072" s="15" t="n">
        <v>2.56870007514954</v>
      </c>
      <c r="H1072" s="16">
        <f>C1072+E1072</f>
        <v/>
      </c>
    </row>
    <row r="1073">
      <c r="A1073" s="12" t="n">
        <v>43570</v>
      </c>
      <c r="B1073" s="15" t="n">
        <v>0.241000011563301</v>
      </c>
      <c r="C1073" s="15" t="n">
        <v>0.0790999978780746</v>
      </c>
      <c r="D1073" s="15" t="n">
        <v>2.27390003204346</v>
      </c>
      <c r="E1073" s="15" t="n">
        <v>-0.0358001589775085</v>
      </c>
      <c r="F1073" s="15" t="n">
        <v>0.316500008106232</v>
      </c>
      <c r="G1073" s="15" t="n">
        <v>2.55819988250732</v>
      </c>
      <c r="H1073" s="16">
        <f>C1073+E1073</f>
        <v/>
      </c>
    </row>
    <row r="1074">
      <c r="A1074" s="12" t="n">
        <v>43571</v>
      </c>
      <c r="B1074" s="15" t="n">
        <v>0.254199996590614</v>
      </c>
      <c r="C1074" s="15" t="n">
        <v>0.09420000016689301</v>
      </c>
      <c r="D1074" s="15" t="n">
        <v>2.2836000919342</v>
      </c>
      <c r="E1074" s="15" t="n">
        <v>-0.0323001146316528</v>
      </c>
      <c r="F1074" s="15" t="n">
        <v>0.32940000295639</v>
      </c>
      <c r="G1074" s="15" t="n">
        <v>2.59969997406006</v>
      </c>
      <c r="H1074" s="16">
        <f>C1074+E1074</f>
        <v/>
      </c>
    </row>
    <row r="1075">
      <c r="A1075" s="12" t="n">
        <v>43572</v>
      </c>
      <c r="B1075" s="15" t="n">
        <v>0.254300013184547</v>
      </c>
      <c r="C1075" s="15" t="n">
        <v>0.0957999974489212</v>
      </c>
      <c r="D1075" s="15" t="n">
        <v>2.28449988365173</v>
      </c>
      <c r="E1075" s="15" t="n">
        <v>-0.0320999324321747</v>
      </c>
      <c r="F1075" s="15" t="n">
        <v>0.338899999856949</v>
      </c>
      <c r="G1075" s="15" t="n">
        <v>2.60249996185303</v>
      </c>
      <c r="H1075" s="16">
        <f>C1075+E1075</f>
        <v/>
      </c>
    </row>
    <row r="1076">
      <c r="A1076" s="12" t="n">
        <v>43573</v>
      </c>
      <c r="B1076" s="15" t="n">
        <v>0.244699992239475</v>
      </c>
      <c r="C1076" s="15" t="n">
        <v>0.0841000005602837</v>
      </c>
      <c r="D1076" s="15" t="n">
        <v>2.2771999835968</v>
      </c>
      <c r="E1076" s="15" t="n">
        <v>-0.034699946641922</v>
      </c>
      <c r="F1076" s="15" t="n">
        <v>0.329100012779236</v>
      </c>
      <c r="G1076" s="15" t="n">
        <v>2.57130002975464</v>
      </c>
      <c r="H1076" s="16">
        <f>C1076+E1076</f>
        <v/>
      </c>
    </row>
    <row r="1077">
      <c r="A1077" s="12" t="n">
        <v>43577</v>
      </c>
      <c r="B1077" s="15" t="n">
        <v>0.252399995923042</v>
      </c>
      <c r="C1077" s="15" t="n">
        <v>0.095100000500679</v>
      </c>
      <c r="D1077" s="15" t="n">
        <v>2.28419995307922</v>
      </c>
      <c r="E1077" s="15" t="n">
        <v>-0.0324000418186188</v>
      </c>
      <c r="F1077" s="15" t="n">
        <v>0.332899987697601</v>
      </c>
      <c r="G1077" s="15" t="n">
        <v>2.59929990768433</v>
      </c>
      <c r="H1077" s="16">
        <f>C1077+E1077</f>
        <v/>
      </c>
    </row>
    <row r="1078">
      <c r="A1078" s="12" t="n">
        <v>43578</v>
      </c>
      <c r="B1078" s="15" t="n">
        <v>0.244700014591217</v>
      </c>
      <c r="C1078" s="15" t="n">
        <v>0.089599996805191</v>
      </c>
      <c r="D1078" s="15" t="n">
        <v>2.2804000377655</v>
      </c>
      <c r="E1078" s="15" t="n">
        <v>-0.0336000621318817</v>
      </c>
      <c r="F1078" s="15" t="n">
        <v>0.321299999952316</v>
      </c>
      <c r="G1078" s="15" t="n">
        <v>2.58109998703003</v>
      </c>
      <c r="H1078" s="16">
        <f>C1078+E1078</f>
        <v/>
      </c>
    </row>
    <row r="1079">
      <c r="A1079" s="12" t="n">
        <v>43579</v>
      </c>
      <c r="B1079" s="15" t="n">
        <v>0.229500010609627</v>
      </c>
      <c r="C1079" s="15" t="n">
        <v>0.0720999985933304</v>
      </c>
      <c r="D1079" s="15" t="n">
        <v>2.26950001716614</v>
      </c>
      <c r="E1079" s="15" t="n">
        <v>-0.037699967622757</v>
      </c>
      <c r="F1079" s="15" t="n">
        <v>0.30689999461174</v>
      </c>
      <c r="G1079" s="15" t="n">
        <v>2.53340005874634</v>
      </c>
      <c r="H1079" s="16">
        <f>C1079+E1079</f>
        <v/>
      </c>
    </row>
    <row r="1080">
      <c r="A1080" s="12" t="n">
        <v>43580</v>
      </c>
      <c r="B1080" s="15" t="n">
        <v>0.233400002121925</v>
      </c>
      <c r="C1080" s="15" t="n">
        <v>0.07590000331401819</v>
      </c>
      <c r="D1080" s="15" t="n">
        <v>2.27220010757446</v>
      </c>
      <c r="E1080" s="15" t="n">
        <v>-0.0369001030921936</v>
      </c>
      <c r="F1080" s="15" t="n">
        <v>0.301899999380112</v>
      </c>
      <c r="G1080" s="15" t="n">
        <v>2.54460000991821</v>
      </c>
      <c r="H1080" s="16">
        <f>C1080+E1080</f>
        <v/>
      </c>
    </row>
    <row r="1081">
      <c r="A1081" s="12" t="n">
        <v>43581</v>
      </c>
      <c r="B1081" s="15" t="n">
        <v>0.223299995064735</v>
      </c>
      <c r="C1081" s="15" t="n">
        <v>0.0659999996423721</v>
      </c>
      <c r="D1081" s="15" t="n">
        <v>2.26600003242493</v>
      </c>
      <c r="E1081" s="15" t="n">
        <v>-0.0392999947071075</v>
      </c>
      <c r="F1081" s="15" t="n">
        <v>0.299600005149841</v>
      </c>
      <c r="G1081" s="15" t="n">
        <v>2.51600003242493</v>
      </c>
      <c r="H1081" s="16">
        <f>C1081+E1081</f>
        <v/>
      </c>
    </row>
    <row r="1082">
      <c r="A1082" s="12" t="n">
        <v>43584</v>
      </c>
      <c r="B1082" s="15" t="n">
        <v>0.234700001776218</v>
      </c>
      <c r="C1082" s="15" t="n">
        <v>0.07890000194311141</v>
      </c>
      <c r="D1082" s="15" t="n">
        <v>2.27469992637634</v>
      </c>
      <c r="E1082" s="15" t="n">
        <v>-0.0365998148918152</v>
      </c>
      <c r="F1082" s="15" t="n">
        <v>0.310499995946884</v>
      </c>
      <c r="G1082" s="15" t="n">
        <v>2.55170011520386</v>
      </c>
      <c r="H1082" s="16">
        <f>C1082+E1082</f>
        <v/>
      </c>
    </row>
    <row r="1083">
      <c r="A1083" s="12" t="n">
        <v>43585</v>
      </c>
      <c r="B1083" s="15" t="n">
        <v>0.223099984228611</v>
      </c>
      <c r="C1083" s="15" t="n">
        <v>0.0683000013232231</v>
      </c>
      <c r="D1083" s="15" t="n">
        <v>2.26780009269714</v>
      </c>
      <c r="E1083" s="15" t="n">
        <v>-0.0390000641345978</v>
      </c>
      <c r="F1083" s="15" t="n">
        <v>0.31029999256134</v>
      </c>
      <c r="G1083" s="15" t="n">
        <v>2.52020001411438</v>
      </c>
      <c r="H1083" s="16">
        <f>C1083+E1083</f>
        <v/>
      </c>
    </row>
    <row r="1084">
      <c r="A1084" s="12" t="n">
        <v>43586</v>
      </c>
      <c r="B1084" s="15" t="n">
        <v>0.227400004863739</v>
      </c>
      <c r="C1084" s="15" t="n">
        <v>0.0746999979019165</v>
      </c>
      <c r="D1084" s="15" t="n">
        <v>2.27090001106262</v>
      </c>
      <c r="E1084" s="15" t="n">
        <v>-0.0372999310493469</v>
      </c>
      <c r="F1084" s="15" t="n">
        <v>0.332800000905991</v>
      </c>
      <c r="G1084" s="15" t="n">
        <v>2.53570008277893</v>
      </c>
      <c r="H1084" s="16">
        <f>C1084+E1084</f>
        <v/>
      </c>
    </row>
    <row r="1085">
      <c r="A1085" s="12" t="n">
        <v>43587</v>
      </c>
      <c r="B1085" s="15" t="n">
        <v>0.240200012922287</v>
      </c>
      <c r="C1085" s="15" t="n">
        <v>0.08550000190734861</v>
      </c>
      <c r="D1085" s="15" t="n">
        <v>2.27830004692078</v>
      </c>
      <c r="E1085" s="15" t="n">
        <v>-0.0348000228404999</v>
      </c>
      <c r="F1085" s="15" t="n">
        <v>0.373400002717972</v>
      </c>
      <c r="G1085" s="15" t="n">
        <v>2.56920003890991</v>
      </c>
      <c r="H1085" s="16">
        <f>C1085+E1085</f>
        <v/>
      </c>
    </row>
    <row r="1086">
      <c r="A1086" s="12" t="n">
        <v>43588</v>
      </c>
      <c r="B1086" s="15" t="n">
        <v>0.233199991285801</v>
      </c>
      <c r="C1086" s="15" t="n">
        <v>0.0750999972224236</v>
      </c>
      <c r="D1086" s="15" t="n">
        <v>2.27160000801086</v>
      </c>
      <c r="E1086" s="15" t="n">
        <v>-0.0371000468730927</v>
      </c>
      <c r="F1086" s="15" t="n">
        <v>0.356200009584427</v>
      </c>
      <c r="G1086" s="15" t="n">
        <v>2.542799949646</v>
      </c>
      <c r="H1086" s="16">
        <f>C1086+E1086</f>
        <v/>
      </c>
    </row>
    <row r="1087">
      <c r="A1087" s="12" t="n">
        <v>43591</v>
      </c>
      <c r="B1087" s="15" t="n">
        <v>0.223800010979176</v>
      </c>
      <c r="C1087" s="15" t="n">
        <v>0.0640000030398369</v>
      </c>
      <c r="D1087" s="15" t="n">
        <v>2.26480007171631</v>
      </c>
      <c r="E1087" s="15" t="n">
        <v>-0.0396999716758728</v>
      </c>
      <c r="F1087" s="15" t="n">
        <v>0.34689998626709</v>
      </c>
      <c r="G1087" s="15" t="n">
        <v>2.51290011405945</v>
      </c>
      <c r="H1087" s="16">
        <f>C1087+E1087</f>
        <v/>
      </c>
    </row>
    <row r="1088">
      <c r="A1088" s="12" t="n">
        <v>43592</v>
      </c>
      <c r="B1088" s="15" t="n">
        <v>0.209100011736155</v>
      </c>
      <c r="C1088" s="15" t="n">
        <v>0.046000000089407</v>
      </c>
      <c r="D1088" s="15" t="n">
        <v>2.25370001792908</v>
      </c>
      <c r="E1088" s="15" t="n">
        <v>-0.0439000129699707</v>
      </c>
      <c r="F1088" s="15" t="n">
        <v>0.361299991607666</v>
      </c>
      <c r="G1088" s="15" t="n">
        <v>2.46490001678467</v>
      </c>
      <c r="H1088" s="16">
        <f>C1088+E1088</f>
        <v/>
      </c>
    </row>
    <row r="1089">
      <c r="A1089" s="12" t="n">
        <v>43593</v>
      </c>
      <c r="B1089" s="15" t="n">
        <v>0.218800015747547</v>
      </c>
      <c r="C1089" s="15" t="n">
        <v>0.060199998319149</v>
      </c>
      <c r="D1089" s="15" t="n">
        <v>2.26230001449585</v>
      </c>
      <c r="E1089" s="15" t="n">
        <v>-0.0406000316143036</v>
      </c>
      <c r="F1089" s="15" t="n">
        <v>0.381099998950958</v>
      </c>
      <c r="G1089" s="15" t="n">
        <v>2.50069999694824</v>
      </c>
      <c r="H1089" s="16">
        <f>C1089+E1089</f>
        <v/>
      </c>
    </row>
    <row r="1090">
      <c r="A1090" s="12" t="n">
        <v>43594</v>
      </c>
      <c r="B1090" s="15" t="n">
        <v>0.208199996501207</v>
      </c>
      <c r="C1090" s="15" t="n">
        <v>0.0458999983966351</v>
      </c>
      <c r="D1090" s="15" t="n">
        <v>2.25379991531372</v>
      </c>
      <c r="E1090" s="15" t="n">
        <v>-0.0439998209476471</v>
      </c>
      <c r="F1090" s="15" t="n">
        <v>0.383899986743927</v>
      </c>
      <c r="G1090" s="15" t="n">
        <v>2.46390008926392</v>
      </c>
      <c r="H1090" s="16">
        <f>C1090+E1090</f>
        <v/>
      </c>
    </row>
    <row r="1091">
      <c r="A1091" s="12" t="n">
        <v>43595</v>
      </c>
      <c r="B1091" s="15" t="n">
        <v>0.21179998666048</v>
      </c>
      <c r="C1091" s="15" t="n">
        <v>0.0522999987006187</v>
      </c>
      <c r="D1091" s="15" t="n">
        <v>2.25740003585815</v>
      </c>
      <c r="E1091" s="15" t="n">
        <v>-0.0424999296665192</v>
      </c>
      <c r="F1091" s="15" t="n">
        <v>0.369599997997284</v>
      </c>
      <c r="G1091" s="15" t="n">
        <v>2.47900009155273</v>
      </c>
      <c r="H1091" s="16">
        <f>C1091+E1091</f>
        <v/>
      </c>
    </row>
    <row r="1092">
      <c r="A1092" s="12" t="n">
        <v>43598</v>
      </c>
      <c r="B1092" s="15" t="n">
        <v>0.185300000011921</v>
      </c>
      <c r="C1092" s="15" t="n">
        <v>0.031199999153614</v>
      </c>
      <c r="D1092" s="15" t="n">
        <v>2.24270009994507</v>
      </c>
      <c r="E1092" s="15" t="n">
        <v>-0.0472001582384109</v>
      </c>
      <c r="F1092" s="15" t="n">
        <v>0.371100008487701</v>
      </c>
      <c r="G1092" s="15" t="n">
        <v>2.41199994087219</v>
      </c>
      <c r="H1092" s="16">
        <f>C1092+E1092</f>
        <v/>
      </c>
    </row>
    <row r="1093">
      <c r="A1093" s="12" t="n">
        <v>43599</v>
      </c>
      <c r="B1093" s="15" t="n">
        <v>0.193300005048513</v>
      </c>
      <c r="C1093" s="15" t="n">
        <v>0.0394000001251698</v>
      </c>
      <c r="D1093" s="15" t="n">
        <v>2.24839997291565</v>
      </c>
      <c r="E1093" s="15" t="n">
        <v>-0.0454999357461929</v>
      </c>
      <c r="F1093" s="15" t="n">
        <v>0.36599999666214</v>
      </c>
      <c r="G1093" s="15" t="n">
        <v>2.43560004234314</v>
      </c>
      <c r="H1093" s="16">
        <f>C1093+E1093</f>
        <v/>
      </c>
    </row>
    <row r="1094">
      <c r="A1094" s="12" t="n">
        <v>43600</v>
      </c>
      <c r="B1094" s="15" t="n">
        <v>0.179200002923608</v>
      </c>
      <c r="C1094" s="15" t="n">
        <v>0.0233999993652105</v>
      </c>
      <c r="D1094" s="15" t="n">
        <v>2.23860001564026</v>
      </c>
      <c r="E1094" s="15" t="n">
        <v>-0.049299955368042</v>
      </c>
      <c r="F1094" s="15" t="n">
        <v>0.365000009536743</v>
      </c>
      <c r="G1094" s="15" t="n">
        <v>2.39190006256104</v>
      </c>
      <c r="H1094" s="16">
        <f>C1094+E1094</f>
        <v/>
      </c>
    </row>
    <row r="1095">
      <c r="A1095" s="12" t="n">
        <v>43601</v>
      </c>
      <c r="B1095" s="15" t="n">
        <v>0.187399998307228</v>
      </c>
      <c r="C1095" s="15" t="n">
        <v>0.0324999988079071</v>
      </c>
      <c r="D1095" s="15" t="n">
        <v>2.24460005760193</v>
      </c>
      <c r="E1095" s="15" t="n">
        <v>-0.0472999662160873</v>
      </c>
      <c r="F1095" s="15" t="n">
        <v>0.369899988174438</v>
      </c>
      <c r="G1095" s="15" t="n">
        <v>2.41720008850098</v>
      </c>
      <c r="H1095" s="16">
        <f>C1095+E1095</f>
        <v/>
      </c>
    </row>
    <row r="1096">
      <c r="A1096" s="12" t="n">
        <v>43602</v>
      </c>
      <c r="B1096" s="15" t="n">
        <v>0.184600003063679</v>
      </c>
      <c r="C1096" s="15" t="n">
        <v>0.031300000846386</v>
      </c>
      <c r="D1096" s="15" t="n">
        <v>2.24329996109009</v>
      </c>
      <c r="E1096" s="15" t="n">
        <v>-0.04749995470047</v>
      </c>
      <c r="F1096" s="15" t="n">
        <v>0.392199993133545</v>
      </c>
      <c r="G1096" s="15" t="n">
        <v>2.41170001029968</v>
      </c>
      <c r="H1096" s="16">
        <f>C1096+E1096</f>
        <v/>
      </c>
    </row>
    <row r="1097">
      <c r="A1097" s="12" t="n">
        <v>43605</v>
      </c>
      <c r="B1097" s="15" t="n">
        <v>0.192299995571375</v>
      </c>
      <c r="C1097" s="15" t="n">
        <v>0.0397999994456768</v>
      </c>
      <c r="D1097" s="15" t="n">
        <v>2.24839997291565</v>
      </c>
      <c r="E1097" s="15" t="n">
        <v>-0.0453998893499374</v>
      </c>
      <c r="F1097" s="15" t="n">
        <v>0.401199996471405</v>
      </c>
      <c r="G1097" s="15" t="n">
        <v>2.43510007858276</v>
      </c>
      <c r="H1097" s="16">
        <f>C1097+E1097</f>
        <v/>
      </c>
    </row>
    <row r="1098">
      <c r="A1098" s="12" t="n">
        <v>43606</v>
      </c>
      <c r="B1098" s="15" t="n">
        <v>0.198699995875359</v>
      </c>
      <c r="C1098" s="15" t="n">
        <v>0.0450000017881393</v>
      </c>
      <c r="D1098" s="15" t="n">
        <v>2.25149989128113</v>
      </c>
      <c r="E1098" s="15" t="n">
        <v>-0.0439998805522919</v>
      </c>
      <c r="F1098" s="15" t="n">
        <v>0.394499987363815</v>
      </c>
      <c r="G1098" s="15" t="n">
        <v>2.45120000839233</v>
      </c>
      <c r="H1098" s="16">
        <f>C1098+E1098</f>
        <v/>
      </c>
    </row>
    <row r="1099">
      <c r="A1099" s="12" t="n">
        <v>43607</v>
      </c>
      <c r="B1099" s="15" t="n">
        <v>0.185900002717972</v>
      </c>
      <c r="C1099" s="15" t="n">
        <v>0.032600000500679</v>
      </c>
      <c r="D1099" s="15" t="n">
        <v>2.24300003051758</v>
      </c>
      <c r="E1099" s="15" t="n">
        <v>-0.0467001050710678</v>
      </c>
      <c r="F1099" s="15" t="n">
        <v>0.411799997091293</v>
      </c>
      <c r="G1099" s="15" t="n">
        <v>2.41479992866516</v>
      </c>
      <c r="H1099" s="16">
        <f>C1099+E1099</f>
        <v/>
      </c>
    </row>
    <row r="1100">
      <c r="A1100" s="12" t="n">
        <v>43608</v>
      </c>
      <c r="B1100" s="15" t="n">
        <v>0.158300003968179</v>
      </c>
      <c r="C1100" s="15" t="n">
        <v>0.00389999989420176</v>
      </c>
      <c r="D1100" s="15" t="n">
        <v>2.22469997406006</v>
      </c>
      <c r="E1100" s="15" t="n">
        <v>-0.0532999336719513</v>
      </c>
      <c r="F1100" s="15" t="n">
        <v>0.435499995946884</v>
      </c>
      <c r="G1100" s="15" t="n">
        <v>2.33360004425049</v>
      </c>
      <c r="H1100" s="16">
        <f>C1100+E1100</f>
        <v/>
      </c>
    </row>
    <row r="1101">
      <c r="A1101" s="12" t="n">
        <v>43609</v>
      </c>
      <c r="B1101" s="15" t="n">
        <v>0.160799997858703</v>
      </c>
      <c r="C1101" s="15" t="n">
        <v>0.00719999987632036</v>
      </c>
      <c r="D1101" s="15" t="n">
        <v>2.22650003433228</v>
      </c>
      <c r="E1101" s="15" t="n">
        <v>-0.0525000244379044</v>
      </c>
      <c r="F1101" s="15" t="n">
        <v>0.433099985122681</v>
      </c>
      <c r="G1101" s="15" t="n">
        <v>2.34200000762939</v>
      </c>
      <c r="H1101" s="16">
        <f>C1101+E1101</f>
        <v/>
      </c>
    </row>
    <row r="1102">
      <c r="A1102" s="12" t="n">
        <v>43613</v>
      </c>
      <c r="B1102" s="15" t="n">
        <v>0.142000006511807</v>
      </c>
      <c r="C1102" s="15" t="n">
        <v>-0.0131000000983477</v>
      </c>
      <c r="D1102" s="15" t="n">
        <v>2.21329998970032</v>
      </c>
      <c r="E1102" s="15" t="n">
        <v>-0.0569998770952225</v>
      </c>
      <c r="F1102" s="15" t="n">
        <v>0.444499999284744</v>
      </c>
      <c r="G1102" s="15" t="n">
        <v>2.28520011901855</v>
      </c>
      <c r="H1102" s="16">
        <f>C1102+E1102</f>
        <v/>
      </c>
    </row>
    <row r="1103">
      <c r="A1103" s="12" t="n">
        <v>43614</v>
      </c>
      <c r="B1103" s="15" t="n">
        <v>0.136600002646446</v>
      </c>
      <c r="C1103" s="15" t="n">
        <v>-0.0201999992132187</v>
      </c>
      <c r="D1103" s="15" t="n">
        <v>2.20900011062622</v>
      </c>
      <c r="E1103" s="15" t="n">
        <v>-0.0587000846862793</v>
      </c>
      <c r="F1103" s="15" t="n">
        <v>0.429199993610382</v>
      </c>
      <c r="G1103" s="15" t="n">
        <v>2.26670002937317</v>
      </c>
      <c r="H1103" s="16">
        <f>C1103+E1103</f>
        <v/>
      </c>
    </row>
    <row r="1104">
      <c r="A1104" s="12" t="n">
        <v>43615</v>
      </c>
      <c r="B1104" s="15" t="n">
        <v>0.12950000166893</v>
      </c>
      <c r="C1104" s="15" t="n">
        <v>-0.0333999991416931</v>
      </c>
      <c r="D1104" s="15" t="n">
        <v>2.20190000534058</v>
      </c>
      <c r="E1104" s="15" t="n">
        <v>-0.0621000826358795</v>
      </c>
      <c r="F1104" s="15" t="n">
        <v>0.426800012588501</v>
      </c>
      <c r="G1104" s="15" t="n">
        <v>2.23589992523193</v>
      </c>
      <c r="H1104" s="16">
        <f>C1104+E1104</f>
        <v/>
      </c>
    </row>
    <row r="1105">
      <c r="A1105" s="12" t="n">
        <v>43616</v>
      </c>
      <c r="B1105" s="15" t="n">
        <v>0.0964000001549721</v>
      </c>
      <c r="C1105" s="15" t="n">
        <v>-0.058899998664856</v>
      </c>
      <c r="D1105" s="15" t="n">
        <v>2.18379998207092</v>
      </c>
      <c r="E1105" s="15" t="n">
        <v>-0.0677000060677528</v>
      </c>
      <c r="F1105" s="15" t="n">
        <v>0.409700006246567</v>
      </c>
      <c r="G1105" s="15" t="n">
        <v>2.15359997749329</v>
      </c>
      <c r="H1105" s="16">
        <f>C1105+E1105</f>
        <v/>
      </c>
    </row>
    <row r="1106">
      <c r="A1106" s="12" t="n">
        <v>43619</v>
      </c>
      <c r="B1106" s="15" t="n">
        <v>0.06400000117719171</v>
      </c>
      <c r="C1106" s="15" t="n">
        <v>-0.08020000159740449</v>
      </c>
      <c r="D1106" s="15" t="n">
        <v>2.16810011863708</v>
      </c>
      <c r="E1106" s="15" t="n">
        <v>-0.0724001582711935</v>
      </c>
      <c r="F1106" s="15" t="n">
        <v>0.399399995803833</v>
      </c>
      <c r="G1106" s="15" t="n">
        <v>2.07949995994568</v>
      </c>
      <c r="H1106" s="16">
        <f>C1106+E1106</f>
        <v/>
      </c>
    </row>
    <row r="1107">
      <c r="A1107" s="12" t="n">
        <v>43620</v>
      </c>
      <c r="B1107" s="15" t="n">
        <v>0.0825000014156103</v>
      </c>
      <c r="C1107" s="15" t="n">
        <v>-0.0531000010669231</v>
      </c>
      <c r="D1107" s="15" t="n">
        <v>2.18449997901917</v>
      </c>
      <c r="E1107" s="15" t="n">
        <v>-0.066300043836236</v>
      </c>
      <c r="F1107" s="15" t="n">
        <v>0.398900002241135</v>
      </c>
      <c r="G1107" s="15" t="n">
        <v>2.14759993553162</v>
      </c>
      <c r="H1107" s="16">
        <f>C1107+E1107</f>
        <v/>
      </c>
    </row>
    <row r="1108">
      <c r="A1108" s="12" t="n">
        <v>43621</v>
      </c>
      <c r="B1108" s="15" t="n">
        <v>0.0742000006139278</v>
      </c>
      <c r="C1108" s="15" t="n">
        <v>-0.0493000000715256</v>
      </c>
      <c r="D1108" s="15" t="n">
        <v>2.18470001220703</v>
      </c>
      <c r="E1108" s="15" t="n">
        <v>-0.06520013138651851</v>
      </c>
      <c r="F1108" s="15" t="n">
        <v>0.386099994182587</v>
      </c>
      <c r="G1108" s="15" t="n">
        <v>2.14439988136292</v>
      </c>
      <c r="H1108" s="16">
        <f>C1108+E1108</f>
        <v/>
      </c>
    </row>
    <row r="1109">
      <c r="A1109" s="12" t="n">
        <v>43622</v>
      </c>
      <c r="B1109" s="15" t="n">
        <v>0.075399998575449</v>
      </c>
      <c r="C1109" s="15" t="n">
        <v>-0.0412999987602234</v>
      </c>
      <c r="D1109" s="15" t="n">
        <v>2.18779993057251</v>
      </c>
      <c r="E1109" s="15" t="n">
        <v>-0.0629000104963779</v>
      </c>
      <c r="F1109" s="15" t="n">
        <v>0.399800002574921</v>
      </c>
      <c r="G1109" s="15" t="n">
        <v>2.15899991989136</v>
      </c>
      <c r="H1109" s="16">
        <f>C1109+E1109</f>
        <v/>
      </c>
    </row>
    <row r="1110">
      <c r="A1110" s="12" t="n">
        <v>43623</v>
      </c>
      <c r="B1110" s="15" t="n">
        <v>0.0537999983498594</v>
      </c>
      <c r="C1110" s="15" t="n">
        <v>-0.0535999983549118</v>
      </c>
      <c r="D1110" s="15" t="n">
        <v>2.17650008201599</v>
      </c>
      <c r="E1110" s="15" t="n">
        <v>-0.0647999908396741</v>
      </c>
      <c r="F1110" s="15" t="n">
        <v>0.386900007724762</v>
      </c>
      <c r="G1110" s="15" t="n">
        <v>2.11190009117126</v>
      </c>
      <c r="H1110" s="16">
        <f>C1110+E1110</f>
        <v/>
      </c>
    </row>
    <row r="1111">
      <c r="A1111" s="12" t="n">
        <v>43626</v>
      </c>
      <c r="B1111" s="15" t="n">
        <v>0.0778000019490719</v>
      </c>
      <c r="C1111" s="15" t="n">
        <v>-0.034000001847744</v>
      </c>
      <c r="D1111" s="15" t="n">
        <v>2.19050002098083</v>
      </c>
      <c r="E1111" s="15" t="n">
        <v>-0.0607000626623631</v>
      </c>
      <c r="F1111" s="15" t="n">
        <v>0.407400012016296</v>
      </c>
      <c r="G1111" s="15" t="n">
        <v>2.1735999584198</v>
      </c>
      <c r="H1111" s="16">
        <f>C1111+E1111</f>
        <v/>
      </c>
    </row>
    <row r="1112">
      <c r="A1112" s="12" t="n">
        <v>43627</v>
      </c>
      <c r="B1112" s="15" t="n">
        <v>0.0797000005841255</v>
      </c>
      <c r="C1112" s="15" t="n">
        <v>-0.0340999998152256</v>
      </c>
      <c r="D1112" s="15" t="n">
        <v>2.19050002098083</v>
      </c>
      <c r="E1112" s="15" t="n">
        <v>-0.0606001056730747</v>
      </c>
      <c r="F1112" s="15" t="n">
        <v>0.421000003814697</v>
      </c>
      <c r="G1112" s="15" t="n">
        <v>2.17549991607666</v>
      </c>
      <c r="H1112" s="16">
        <f>C1112+E1112</f>
        <v/>
      </c>
    </row>
    <row r="1113">
      <c r="A1113" s="12" t="n">
        <v>43628</v>
      </c>
      <c r="B1113" s="15" t="n">
        <v>0.0681000016629696</v>
      </c>
      <c r="C1113" s="15" t="n">
        <v>-0.0434000007808208</v>
      </c>
      <c r="D1113" s="15" t="n">
        <v>2.18409991264343</v>
      </c>
      <c r="E1113" s="15" t="n">
        <v>-0.06269986927509311</v>
      </c>
      <c r="F1113" s="15" t="n">
        <v>0.435099989175797</v>
      </c>
      <c r="G1113" s="15" t="n">
        <v>2.14610004425049</v>
      </c>
      <c r="H1113" s="16">
        <f>C1113+E1113</f>
        <v/>
      </c>
    </row>
    <row r="1114">
      <c r="A1114" s="12" t="n">
        <v>43629</v>
      </c>
      <c r="B1114" s="15" t="n">
        <v>0.0550999992992729</v>
      </c>
      <c r="C1114" s="15" t="n">
        <v>-0.0518999993801117</v>
      </c>
      <c r="D1114" s="15" t="n">
        <v>2.17790007591248</v>
      </c>
      <c r="E1114" s="15" t="n">
        <v>-0.06460017501376571</v>
      </c>
      <c r="F1114" s="15" t="n">
        <v>0.447400003671646</v>
      </c>
      <c r="G1114" s="15" t="n">
        <v>2.11649990081787</v>
      </c>
      <c r="H1114" s="16">
        <f>C1114+E1114</f>
        <v/>
      </c>
    </row>
    <row r="1115">
      <c r="A1115" s="12" t="n">
        <v>43630</v>
      </c>
      <c r="B1115" s="15" t="n">
        <v>0.0562999988906085</v>
      </c>
      <c r="C1115" s="15" t="n">
        <v>-0.0511999987065792</v>
      </c>
      <c r="D1115" s="15" t="n">
        <v>2.17829990386963</v>
      </c>
      <c r="E1115" s="15" t="n">
        <v>-0.0643999460153282</v>
      </c>
      <c r="F1115" s="15" t="n">
        <v>0.481900006532669</v>
      </c>
      <c r="G1115" s="15" t="n">
        <v>2.11899995803833</v>
      </c>
      <c r="H1115" s="16">
        <f>C1115+E1115</f>
        <v/>
      </c>
    </row>
    <row r="1116">
      <c r="A1116" s="12" t="n">
        <v>43633</v>
      </c>
      <c r="B1116" s="15" t="n">
        <v>0.0578000016976148</v>
      </c>
      <c r="C1116" s="15" t="n">
        <v>-0.0560000017285347</v>
      </c>
      <c r="D1116" s="15" t="n">
        <v>2.17630004882812</v>
      </c>
      <c r="E1116" s="15" t="n">
        <v>-0.0654999606776983</v>
      </c>
      <c r="F1116" s="15" t="n">
        <v>0.5033000111579899</v>
      </c>
      <c r="G1116" s="15" t="n">
        <v>2.11260008811951</v>
      </c>
      <c r="H1116" s="16">
        <f>C1116+E1116</f>
        <v/>
      </c>
    </row>
    <row r="1117">
      <c r="A1117" s="12" t="n">
        <v>43634</v>
      </c>
      <c r="B1117" s="15" t="n">
        <v>0.0479000024497509</v>
      </c>
      <c r="C1117" s="15" t="n">
        <v>-0.0719000026583672</v>
      </c>
      <c r="D1117" s="15" t="n">
        <v>2.16659998893738</v>
      </c>
      <c r="E1117" s="15" t="n">
        <v>-0.0691000707447529</v>
      </c>
      <c r="F1117" s="15" t="n">
        <v>0.469300001859665</v>
      </c>
      <c r="G1117" s="15" t="n">
        <v>2.07349991798401</v>
      </c>
      <c r="H1117" s="16">
        <f>C1117+E1117</f>
        <v/>
      </c>
    </row>
    <row r="1118">
      <c r="A1118" s="12" t="n">
        <v>43635</v>
      </c>
      <c r="B1118" s="15" t="n">
        <v>0.0227999985218048</v>
      </c>
      <c r="C1118" s="15" t="n">
        <v>-0.0756999999284744</v>
      </c>
      <c r="D1118" s="15" t="n">
        <v>2.15960001945496</v>
      </c>
      <c r="E1118" s="15" t="n">
        <v>-0.0693999081850052</v>
      </c>
      <c r="F1118" s="15" t="n">
        <v>0.432900011539459</v>
      </c>
      <c r="G1118" s="15" t="n">
        <v>2.03730010986328</v>
      </c>
      <c r="H1118" s="16">
        <f>C1118+E1118</f>
        <v/>
      </c>
    </row>
    <row r="1119">
      <c r="A1119" s="12" t="n">
        <v>43636</v>
      </c>
      <c r="B1119" s="15" t="n">
        <v>0.00609999895095825</v>
      </c>
      <c r="C1119" s="15" t="n">
        <v>-0.0763999968767166</v>
      </c>
      <c r="D1119" s="15" t="n">
        <v>2.15499997138977</v>
      </c>
      <c r="E1119" s="15" t="n">
        <v>-0.0686999410390854</v>
      </c>
      <c r="F1119" s="15" t="n">
        <v>0.370099991559982</v>
      </c>
      <c r="G1119" s="15" t="n">
        <v>2.01600003242493</v>
      </c>
      <c r="H1119" s="16">
        <f>C1119+E1119</f>
        <v/>
      </c>
    </row>
    <row r="1120">
      <c r="A1120" s="12" t="n">
        <v>43637</v>
      </c>
      <c r="B1120" s="15" t="n">
        <v>0.0275999996811152</v>
      </c>
      <c r="C1120" s="15" t="n">
        <v>-0.0480000004172325</v>
      </c>
      <c r="D1120" s="15" t="n">
        <v>2.17239999771118</v>
      </c>
      <c r="E1120" s="15" t="n">
        <v>-0.062200115993619</v>
      </c>
      <c r="F1120" s="15" t="n">
        <v>0.392599999904633</v>
      </c>
      <c r="G1120" s="15" t="n">
        <v>2.08979988098145</v>
      </c>
      <c r="H1120" s="16">
        <f>C1120+E1120</f>
        <v/>
      </c>
    </row>
    <row r="1121">
      <c r="A1121" s="12" t="n">
        <v>43640</v>
      </c>
      <c r="B1121" s="15" t="n">
        <v>0.0175999961793423</v>
      </c>
      <c r="C1121" s="15" t="n">
        <v>-0.0697999969124794</v>
      </c>
      <c r="D1121" s="15" t="n">
        <v>2.16109991073608</v>
      </c>
      <c r="E1121" s="15" t="n">
        <v>-0.0677998848259449</v>
      </c>
      <c r="F1121" s="15" t="n">
        <v>0.392599999904633</v>
      </c>
      <c r="G1121" s="15" t="n">
        <v>2.041100025177</v>
      </c>
      <c r="H1121" s="16">
        <f>C1121+E1121</f>
        <v/>
      </c>
    </row>
    <row r="1122">
      <c r="A1122" s="12" t="n">
        <v>43641</v>
      </c>
      <c r="B1122" s="15" t="n">
        <v>0.0135000050067902</v>
      </c>
      <c r="C1122" s="15" t="n">
        <v>-0.07670000195503229</v>
      </c>
      <c r="D1122" s="15" t="n">
        <v>2.15750002861023</v>
      </c>
      <c r="E1122" s="15" t="n">
        <v>-0.0696001052856445</v>
      </c>
      <c r="F1122" s="15" t="n">
        <v>0.423400014638901</v>
      </c>
      <c r="G1122" s="15" t="n">
        <v>2.02469992637634</v>
      </c>
      <c r="H1122" s="16">
        <f>C1122+E1122</f>
        <v/>
      </c>
    </row>
    <row r="1123">
      <c r="A1123" s="12" t="n">
        <v>43642</v>
      </c>
      <c r="B1123" s="15" t="n">
        <v>0.0330999977886677</v>
      </c>
      <c r="C1123" s="15" t="n">
        <v>-0.061099998652935</v>
      </c>
      <c r="D1123" s="15" t="n">
        <v>2.16849994659424</v>
      </c>
      <c r="E1123" s="15" t="n">
        <v>-0.0659998618066311</v>
      </c>
      <c r="F1123" s="15" t="n">
        <v>0.411700010299683</v>
      </c>
      <c r="G1123" s="15" t="n">
        <v>2.07450008392334</v>
      </c>
      <c r="H1123" s="16">
        <f>C1123+E1123</f>
        <v/>
      </c>
    </row>
    <row r="1124">
      <c r="A1124" s="12" t="n">
        <v>43643</v>
      </c>
      <c r="B1124" s="15" t="n">
        <v>0.0214000009000301</v>
      </c>
      <c r="C1124" s="15" t="n">
        <v>-0.0753000006079674</v>
      </c>
      <c r="D1124" s="15" t="n">
        <v>2.1596999168396</v>
      </c>
      <c r="E1124" s="15" t="n">
        <v>-0.0693998374044895</v>
      </c>
      <c r="F1124" s="15" t="n">
        <v>0.416700005531311</v>
      </c>
      <c r="G1124" s="15" t="n">
        <v>2.03640007972717</v>
      </c>
      <c r="H1124" s="16">
        <f>C1124+E1124</f>
        <v/>
      </c>
    </row>
    <row r="1125">
      <c r="A1125" s="12" t="n">
        <v>43644</v>
      </c>
      <c r="B1125" s="15" t="n">
        <v>0.0158999972045422</v>
      </c>
      <c r="C1125" s="15" t="n">
        <v>-0.07819999754428859</v>
      </c>
      <c r="D1125" s="15" t="n">
        <v>2.15700006484985</v>
      </c>
      <c r="E1125" s="15" t="n">
        <v>-0.0698001049458981</v>
      </c>
      <c r="F1125" s="15" t="n">
        <v>0.419400006532669</v>
      </c>
      <c r="G1125" s="15" t="n">
        <v>2.02489995956421</v>
      </c>
      <c r="H1125" s="16">
        <f>C1125+E1125</f>
        <v/>
      </c>
    </row>
    <row r="1126">
      <c r="A1126" s="12" t="n">
        <v>43647</v>
      </c>
      <c r="B1126" s="15" t="n">
        <v>0.0260000005364418</v>
      </c>
      <c r="C1126" s="15" t="n">
        <v>-0.066600002348423</v>
      </c>
      <c r="D1126" s="15" t="n">
        <v>2.16420006752014</v>
      </c>
      <c r="E1126" s="15" t="n">
        <v>-0.0672000050544739</v>
      </c>
      <c r="F1126" s="15" t="n">
        <v>0.425000011920929</v>
      </c>
      <c r="G1126" s="15" t="n">
        <v>2.05640006065369</v>
      </c>
      <c r="H1126" s="16">
        <f>C1126+E1126</f>
        <v/>
      </c>
    </row>
    <row r="1127">
      <c r="A1127" s="12" t="n">
        <v>43648</v>
      </c>
      <c r="B1127" s="15" t="n">
        <v>0.009999997913837429</v>
      </c>
      <c r="C1127" s="15" t="n">
        <v>-0.0842999964952469</v>
      </c>
      <c r="D1127" s="15" t="n">
        <v>2.15249991416931</v>
      </c>
      <c r="E1127" s="15" t="n">
        <v>-0.070999912917614</v>
      </c>
      <c r="F1127" s="15" t="n">
        <v>0.440200001001358</v>
      </c>
      <c r="G1127" s="15" t="n">
        <v>2.00720000267029</v>
      </c>
      <c r="H1127" s="16">
        <f>C1127+E1127</f>
        <v/>
      </c>
    </row>
    <row r="1128">
      <c r="A1128" s="12" t="n">
        <v>43649</v>
      </c>
      <c r="B1128" s="15" t="n">
        <v>0.00190000236034393</v>
      </c>
      <c r="C1128" s="15" t="n">
        <v>-0.0967999994754791</v>
      </c>
      <c r="D1128" s="15" t="n">
        <v>2.144700050354</v>
      </c>
      <c r="E1128" s="15" t="n">
        <v>-0.07380010187625891</v>
      </c>
      <c r="F1128" s="15" t="n">
        <v>0.436899989843369</v>
      </c>
      <c r="G1128" s="15" t="n">
        <v>1.97599995136261</v>
      </c>
      <c r="H1128" s="16">
        <f>C1128+E1128</f>
        <v/>
      </c>
    </row>
    <row r="1129">
      <c r="A1129" s="12" t="n">
        <v>43651</v>
      </c>
      <c r="B1129" s="15" t="n">
        <v>0.0378999970853329</v>
      </c>
      <c r="C1129" s="15" t="n">
        <v>-0.0720999985933304</v>
      </c>
      <c r="D1129" s="15" t="n">
        <v>2.16310000419617</v>
      </c>
      <c r="E1129" s="15" t="n">
        <v>-0.0684000961482525</v>
      </c>
      <c r="F1129" s="15" t="n">
        <v>0.423200011253357</v>
      </c>
      <c r="G1129" s="15" t="n">
        <v>2.06049990653992</v>
      </c>
      <c r="H1129" s="16">
        <f>C1129+E1129</f>
        <v/>
      </c>
    </row>
    <row r="1130">
      <c r="A1130" s="12" t="n">
        <v>43654</v>
      </c>
      <c r="B1130" s="15" t="n">
        <v>0.0396000035107136</v>
      </c>
      <c r="C1130" s="15" t="n">
        <v>-0.0719000026583672</v>
      </c>
      <c r="D1130" s="15" t="n">
        <v>2.16280007362366</v>
      </c>
      <c r="E1130" s="15" t="n">
        <v>-0.0680999718606472</v>
      </c>
      <c r="F1130" s="15" t="n">
        <v>0.422100007534027</v>
      </c>
      <c r="G1130" s="15" t="n">
        <v>2.06240010261536</v>
      </c>
      <c r="H1130" s="16">
        <f>C1130+E1130</f>
        <v/>
      </c>
    </row>
    <row r="1131">
      <c r="A1131" s="12" t="n">
        <v>43655</v>
      </c>
      <c r="B1131" s="15" t="n">
        <v>0.0469000022858381</v>
      </c>
      <c r="C1131" s="15" t="n">
        <v>-0.066600002348423</v>
      </c>
      <c r="D1131" s="15" t="n">
        <v>2.16630005836487</v>
      </c>
      <c r="E1131" s="15" t="n">
        <v>-0.0668001677840948</v>
      </c>
      <c r="F1131" s="15" t="n">
        <v>0.417199999094009</v>
      </c>
      <c r="G1131" s="15" t="n">
        <v>2.07979989051819</v>
      </c>
      <c r="H1131" s="16">
        <f>C1131+E1131</f>
        <v/>
      </c>
    </row>
    <row r="1132">
      <c r="A1132" s="12" t="n">
        <v>43656</v>
      </c>
      <c r="B1132" s="15" t="n">
        <v>0.0293000005185604</v>
      </c>
      <c r="C1132" s="15" t="n">
        <v>-0.0623000003397465</v>
      </c>
      <c r="D1132" s="15" t="n">
        <v>2.16470003128052</v>
      </c>
      <c r="E1132" s="15" t="n">
        <v>-0.0652000829577446</v>
      </c>
      <c r="F1132" s="15" t="n">
        <v>0.393099993467331</v>
      </c>
      <c r="G1132" s="15" t="n">
        <v>2.06649994850159</v>
      </c>
      <c r="H1132" s="16">
        <f>C1132+E1132</f>
        <v/>
      </c>
    </row>
    <row r="1133">
      <c r="A1133" s="12" t="n">
        <v>43657</v>
      </c>
      <c r="B1133" s="15" t="n">
        <v>0.0499999998137355</v>
      </c>
      <c r="C1133" s="15" t="n">
        <v>-0.0364999994635582</v>
      </c>
      <c r="D1133" s="15" t="n">
        <v>2.18120002746582</v>
      </c>
      <c r="E1133" s="15" t="n">
        <v>-0.0595000041648746</v>
      </c>
      <c r="F1133" s="15" t="n">
        <v>0.385699987411499</v>
      </c>
      <c r="G1133" s="15" t="n">
        <v>2.13520002365112</v>
      </c>
      <c r="H1133" s="16">
        <f>C1133+E1133</f>
        <v/>
      </c>
    </row>
    <row r="1134">
      <c r="A1134" s="12" t="n">
        <v>43658</v>
      </c>
      <c r="B1134" s="15" t="n">
        <v>0.044000000692904</v>
      </c>
      <c r="C1134" s="15" t="n">
        <v>-0.0370000004768372</v>
      </c>
      <c r="D1134" s="15" t="n">
        <v>2.17980003356934</v>
      </c>
      <c r="E1134" s="15" t="n">
        <v>-0.05950000975281</v>
      </c>
      <c r="F1134" s="15" t="n">
        <v>0.376899987459183</v>
      </c>
      <c r="G1134" s="15" t="n">
        <v>2.12730002403259</v>
      </c>
      <c r="H1134" s="16">
        <f>C1134+E1134</f>
        <v/>
      </c>
    </row>
    <row r="1135">
      <c r="A1135" s="12" t="n">
        <v>43661</v>
      </c>
      <c r="B1135" s="15" t="n">
        <v>0.0356000000610948</v>
      </c>
      <c r="C1135" s="15" t="n">
        <v>-0.0427000001072884</v>
      </c>
      <c r="D1135" s="15" t="n">
        <v>2.17510008811951</v>
      </c>
      <c r="E1135" s="15" t="n">
        <v>-0.0606001475825906</v>
      </c>
      <c r="F1135" s="15" t="n">
        <v>0.36939999461174</v>
      </c>
      <c r="G1135" s="15" t="n">
        <v>2.10739994049072</v>
      </c>
      <c r="H1135" s="16">
        <f>C1135+E1135</f>
        <v/>
      </c>
    </row>
    <row r="1136">
      <c r="A1136" s="12" t="n">
        <v>43662</v>
      </c>
      <c r="B1136" s="15" t="n">
        <v>0.0467999996617436</v>
      </c>
      <c r="C1136" s="15" t="n">
        <v>-0.0320999994874001</v>
      </c>
      <c r="D1136" s="15" t="n">
        <v>2.18199992179871</v>
      </c>
      <c r="E1136" s="15" t="n">
        <v>-0.0579999135807157</v>
      </c>
      <c r="F1136" s="15" t="n">
        <v>0.367599993944168</v>
      </c>
      <c r="G1136" s="15" t="n">
        <v>2.13870000839233</v>
      </c>
      <c r="H1136" s="16">
        <f>C1136+E1136</f>
        <v/>
      </c>
    </row>
    <row r="1137">
      <c r="A1137" s="12" t="n">
        <v>43663</v>
      </c>
      <c r="B1137" s="15" t="n">
        <v>0.0262999981641769</v>
      </c>
      <c r="C1137" s="15" t="n">
        <v>-0.0533999986946583</v>
      </c>
      <c r="D1137" s="15" t="n">
        <v>2.16759991645813</v>
      </c>
      <c r="E1137" s="15" t="n">
        <v>-0.06259998306632041</v>
      </c>
      <c r="F1137" s="15" t="n">
        <v>0.377499997615814</v>
      </c>
      <c r="G1137" s="15" t="n">
        <v>2.07789993286133</v>
      </c>
      <c r="H1137" s="16">
        <f>C1137+E1137</f>
        <v/>
      </c>
    </row>
    <row r="1138">
      <c r="A1138" s="12" t="n">
        <v>43664</v>
      </c>
      <c r="B1138" s="15" t="n">
        <v>0.008400000631809229</v>
      </c>
      <c r="C1138" s="15" t="n">
        <v>-0.063900001347065</v>
      </c>
      <c r="D1138" s="15" t="n">
        <v>2.15939998626709</v>
      </c>
      <c r="E1138" s="15" t="n">
        <v>-0.0650000870227814</v>
      </c>
      <c r="F1138" s="15" t="n">
        <v>0.379000008106232</v>
      </c>
      <c r="G1138" s="15" t="n">
        <v>2.03889989852905</v>
      </c>
      <c r="H1138" s="16">
        <f>C1138+E1138</f>
        <v/>
      </c>
    </row>
    <row r="1139">
      <c r="A1139" s="12" t="n">
        <v>43665</v>
      </c>
      <c r="B1139" s="15" t="n">
        <v>0.0153999999165535</v>
      </c>
      <c r="C1139" s="15" t="n">
        <v>-0.0606000013649464</v>
      </c>
      <c r="D1139" s="15" t="n">
        <v>2.16240000724792</v>
      </c>
      <c r="E1139" s="15" t="n">
        <v>-0.06429992988705641</v>
      </c>
      <c r="F1139" s="15" t="n">
        <v>0.377900004386902</v>
      </c>
      <c r="G1139" s="15" t="n">
        <v>2.05290007591248</v>
      </c>
      <c r="H1139" s="16">
        <f>C1139+E1139</f>
        <v/>
      </c>
    </row>
    <row r="1140">
      <c r="A1140" s="12" t="n">
        <v>43668</v>
      </c>
      <c r="B1140" s="15" t="n">
        <v>0.0222999975085258</v>
      </c>
      <c r="C1140" s="15" t="n">
        <v>-0.061999998986721</v>
      </c>
      <c r="D1140" s="15" t="n">
        <v>2.16370010375977</v>
      </c>
      <c r="E1140" s="15" t="n">
        <v>-0.0650999844074249</v>
      </c>
      <c r="F1140" s="15" t="n">
        <v>0.37830001115799</v>
      </c>
      <c r="G1140" s="15" t="n">
        <v>2.05890011787415</v>
      </c>
      <c r="H1140" s="16">
        <f>C1140+E1140</f>
        <v/>
      </c>
    </row>
    <row r="1141">
      <c r="A1141" s="12" t="n">
        <v>43669</v>
      </c>
      <c r="B1141" s="15" t="n">
        <v>0.0324000008404255</v>
      </c>
      <c r="C1141" s="15" t="n">
        <v>-0.0560000017285347</v>
      </c>
      <c r="D1141" s="15" t="n">
        <v>2.16890001296997</v>
      </c>
      <c r="E1141" s="15" t="n">
        <v>-0.063999991863966</v>
      </c>
      <c r="F1141" s="15" t="n">
        <v>0.375299990177155</v>
      </c>
      <c r="G1141" s="15" t="n">
        <v>2.0813000202179</v>
      </c>
      <c r="H1141" s="16">
        <f>C1141+E1141</f>
        <v/>
      </c>
    </row>
    <row r="1142">
      <c r="A1142" s="12" t="n">
        <v>43670</v>
      </c>
      <c r="B1142" s="15" t="n">
        <v>0.0274999961256981</v>
      </c>
      <c r="C1142" s="15" t="n">
        <v>-0.06369999796152109</v>
      </c>
      <c r="D1142" s="15" t="n">
        <v>2.16429996490479</v>
      </c>
      <c r="E1142" s="15" t="n">
        <v>-0.06579999625682829</v>
      </c>
      <c r="F1142" s="15" t="n">
        <v>0.38280001282692</v>
      </c>
      <c r="G1142" s="15" t="n">
        <v>2.06229996681213</v>
      </c>
      <c r="H1142" s="16">
        <f>C1142+E1142</f>
        <v/>
      </c>
    </row>
    <row r="1143">
      <c r="A1143" s="12" t="n">
        <v>43671</v>
      </c>
      <c r="B1143" s="15" t="n">
        <v>0.0358000006526709</v>
      </c>
      <c r="C1143" s="15" t="n">
        <v>-0.0562000013887882</v>
      </c>
      <c r="D1143" s="15" t="n">
        <v>2.16910004615784</v>
      </c>
      <c r="E1143" s="15" t="n">
        <v>-0.06390004046261311</v>
      </c>
      <c r="F1143" s="15" t="n">
        <v>0.384999990463257</v>
      </c>
      <c r="G1143" s="15" t="n">
        <v>2.08480000495911</v>
      </c>
      <c r="H1143" s="16">
        <f>C1143+E1143</f>
        <v/>
      </c>
    </row>
    <row r="1144">
      <c r="A1144" s="12" t="n">
        <v>43672</v>
      </c>
      <c r="B1144" s="15" t="n">
        <v>0.0394000001251698</v>
      </c>
      <c r="C1144" s="15" t="n">
        <v>-0.0575000010430813</v>
      </c>
      <c r="D1144" s="15" t="n">
        <v>2.16919994354248</v>
      </c>
      <c r="E1144" s="15" t="n">
        <v>-0.0643999800086021</v>
      </c>
      <c r="F1144" s="15" t="n">
        <v>0.399399995803833</v>
      </c>
      <c r="G1144" s="15" t="n">
        <v>2.08669996261597</v>
      </c>
      <c r="H1144" s="16">
        <f>C1144+E1144</f>
        <v/>
      </c>
    </row>
    <row r="1145">
      <c r="A1145" s="12" t="n">
        <v>43675</v>
      </c>
      <c r="B1145" s="15" t="n">
        <v>0.0319999977946281</v>
      </c>
      <c r="C1145" s="15" t="n">
        <v>-0.06449999660253521</v>
      </c>
      <c r="D1145" s="15" t="n">
        <v>2.16449999809265</v>
      </c>
      <c r="E1145" s="15" t="n">
        <v>-0.0659001171588898</v>
      </c>
      <c r="F1145" s="15" t="n">
        <v>0.406800001859665</v>
      </c>
      <c r="G1145" s="15" t="n">
        <v>2.06609988212585</v>
      </c>
      <c r="H1145" s="16">
        <f>C1145+E1145</f>
        <v/>
      </c>
    </row>
    <row r="1146">
      <c r="A1146" s="12" t="n">
        <v>43676</v>
      </c>
      <c r="B1146" s="15" t="n">
        <v>0.0278999991714954</v>
      </c>
      <c r="C1146" s="15" t="n">
        <v>-0.06289999932050699</v>
      </c>
      <c r="D1146" s="15" t="n">
        <v>2.16389989852905</v>
      </c>
      <c r="E1146" s="15" t="n">
        <v>-0.0652998350560665</v>
      </c>
      <c r="F1146" s="15" t="n">
        <v>0.400700002908707</v>
      </c>
      <c r="G1146" s="15" t="n">
        <v>2.06360006332397</v>
      </c>
      <c r="H1146" s="16">
        <f>C1146+E1146</f>
        <v/>
      </c>
    </row>
    <row r="1147">
      <c r="A1147" s="12" t="n">
        <v>43677</v>
      </c>
      <c r="B1147" s="15" t="n">
        <v>0.0249000005424023</v>
      </c>
      <c r="C1147" s="15" t="n">
        <v>-0.07829999923706051</v>
      </c>
      <c r="D1147" s="15" t="n">
        <v>2.15549993515015</v>
      </c>
      <c r="E1147" s="15" t="n">
        <v>-0.0686998777091503</v>
      </c>
      <c r="F1147" s="15" t="n">
        <v>0.394600003957748</v>
      </c>
      <c r="G1147" s="15" t="n">
        <v>2.03340005874634</v>
      </c>
      <c r="H1147" s="16">
        <f>C1147+E1147</f>
        <v/>
      </c>
    </row>
    <row r="1148">
      <c r="A1148" s="12" t="n">
        <v>43678</v>
      </c>
      <c r="B1148" s="15" t="n">
        <v>-0.0250999927520752</v>
      </c>
      <c r="C1148" s="15" t="n">
        <v>-0.120700001716614</v>
      </c>
      <c r="D1148" s="15" t="n">
        <v>2.12619996070862</v>
      </c>
      <c r="E1148" s="15" t="n">
        <v>-0.07809996604919429</v>
      </c>
      <c r="F1148" s="15" t="n">
        <v>0.423200011253357</v>
      </c>
      <c r="G1148" s="15" t="n">
        <v>1.90230000019073</v>
      </c>
      <c r="H1148" s="16">
        <f>C1148+E1148</f>
        <v/>
      </c>
    </row>
    <row r="1149">
      <c r="A1149" s="12" t="n">
        <v>43679</v>
      </c>
      <c r="B1149" s="15" t="n">
        <v>-0.037200003862381</v>
      </c>
      <c r="C1149" s="15" t="n">
        <v>-0.1317999958992</v>
      </c>
      <c r="D1149" s="15" t="n">
        <v>2.11840009689331</v>
      </c>
      <c r="E1149" s="15" t="n">
        <v>-0.08050015568733219</v>
      </c>
      <c r="F1149" s="15" t="n">
        <v>0.441300004720688</v>
      </c>
      <c r="G1149" s="15" t="n">
        <v>1.8688999414444</v>
      </c>
      <c r="H1149" s="16">
        <f>C1149+E1149</f>
        <v/>
      </c>
    </row>
    <row r="1150">
      <c r="A1150" s="12" t="n">
        <v>43682</v>
      </c>
      <c r="B1150" s="15" t="n">
        <v>-0.07590000331401819</v>
      </c>
      <c r="C1150" s="15" t="n">
        <v>-0.168200001120567</v>
      </c>
      <c r="D1150" s="15" t="n">
        <v>2.09409999847412</v>
      </c>
      <c r="E1150" s="15" t="n">
        <v>-0.0887000262737274</v>
      </c>
      <c r="F1150" s="15" t="n">
        <v>0.464700013399124</v>
      </c>
      <c r="G1150" s="15" t="n">
        <v>1.76129996776581</v>
      </c>
      <c r="H1150" s="16">
        <f>C1150+E1150</f>
        <v/>
      </c>
    </row>
    <row r="1151">
      <c r="A1151" s="12" t="n">
        <v>43683</v>
      </c>
      <c r="B1151" s="15" t="n">
        <v>-0.0829000025987625</v>
      </c>
      <c r="C1151" s="15" t="n">
        <v>-0.180399999022484</v>
      </c>
      <c r="D1151" s="15" t="n">
        <v>2.08730006217957</v>
      </c>
      <c r="E1151" s="15" t="n">
        <v>-0.09170001745224</v>
      </c>
      <c r="F1151" s="15" t="n">
        <v>0.449299991130829</v>
      </c>
      <c r="G1151" s="15" t="n">
        <v>1.73230004310608</v>
      </c>
      <c r="H1151" s="16">
        <f>C1151+E1151</f>
        <v/>
      </c>
    </row>
    <row r="1152">
      <c r="A1152" s="12" t="n">
        <v>43684</v>
      </c>
      <c r="B1152" s="15" t="n">
        <v>-0.0928000062704086</v>
      </c>
      <c r="C1152" s="15" t="n">
        <v>-0.181700006127357</v>
      </c>
      <c r="D1152" s="15" t="n">
        <v>2.08410000801086</v>
      </c>
      <c r="E1152" s="15" t="n">
        <v>-0.0915999412536621</v>
      </c>
      <c r="F1152" s="15" t="n">
        <v>0.450199991464615</v>
      </c>
      <c r="G1152" s="15" t="n">
        <v>1.71800005435944</v>
      </c>
      <c r="H1152" s="16">
        <f>C1152+E1152</f>
        <v/>
      </c>
    </row>
    <row r="1153">
      <c r="A1153" s="12" t="n">
        <v>43685</v>
      </c>
      <c r="B1153" s="15" t="n">
        <v>-0.08930002152919771</v>
      </c>
      <c r="C1153" s="15" t="n">
        <v>-0.180899992585182</v>
      </c>
      <c r="D1153" s="15" t="n">
        <v>2.08470010757446</v>
      </c>
      <c r="E1153" s="15" t="n">
        <v>-0.0912001132965088</v>
      </c>
      <c r="F1153" s="15" t="n">
        <v>0.425000011920929</v>
      </c>
      <c r="G1153" s="15" t="n">
        <v>1.72329998016357</v>
      </c>
      <c r="H1153" s="16">
        <f>C1153+E1153</f>
        <v/>
      </c>
    </row>
    <row r="1154">
      <c r="A1154" s="12" t="n">
        <v>43686</v>
      </c>
      <c r="B1154" s="15" t="n">
        <v>-0.08210001885890961</v>
      </c>
      <c r="C1154" s="15" t="n">
        <v>-0.170499995350838</v>
      </c>
      <c r="D1154" s="15" t="n">
        <v>2.09050011634827</v>
      </c>
      <c r="E1154" s="15" t="n">
        <v>-0.0886000990867615</v>
      </c>
      <c r="F1154" s="15" t="n">
        <v>0.42629998922348</v>
      </c>
      <c r="G1154" s="15" t="n">
        <v>1.74930000305176</v>
      </c>
      <c r="H1154" s="16">
        <f>C1154+E1154</f>
        <v/>
      </c>
    </row>
    <row r="1155">
      <c r="A1155" s="12" t="n">
        <v>43689</v>
      </c>
      <c r="B1155" s="15" t="n">
        <v>-0.110400006175041</v>
      </c>
      <c r="C1155" s="15" t="n">
        <v>-0.203600004315376</v>
      </c>
      <c r="D1155" s="15" t="n">
        <v>2.06909990310669</v>
      </c>
      <c r="E1155" s="15" t="n">
        <v>-0.09599983692169189</v>
      </c>
      <c r="F1155" s="15" t="n">
        <v>0.43979999423027</v>
      </c>
      <c r="G1155" s="15" t="n">
        <v>1.65910005569458</v>
      </c>
      <c r="H1155" s="16">
        <f>C1155+E1155</f>
        <v/>
      </c>
    </row>
    <row r="1156">
      <c r="A1156" s="12" t="n">
        <v>43690</v>
      </c>
      <c r="B1156" s="15" t="n">
        <v>-0.09370002150535579</v>
      </c>
      <c r="C1156" s="15" t="n">
        <v>-0.194999992847443</v>
      </c>
      <c r="D1156" s="15" t="n">
        <v>2.07550001144409</v>
      </c>
      <c r="E1156" s="15" t="n">
        <v>-0.0938000380992889</v>
      </c>
      <c r="F1156" s="15" t="n">
        <v>0.432399988174438</v>
      </c>
      <c r="G1156" s="15" t="n">
        <v>1.692999958992</v>
      </c>
      <c r="H1156" s="16">
        <f>C1156+E1156</f>
        <v/>
      </c>
    </row>
    <row r="1157">
      <c r="A1157" s="12" t="n">
        <v>43691</v>
      </c>
      <c r="B1157" s="15" t="n">
        <v>-0.120800003409386</v>
      </c>
      <c r="C1157" s="15" t="n">
        <v>-0.220599994063377</v>
      </c>
      <c r="D1157" s="15" t="n">
        <v>2.05719995498657</v>
      </c>
      <c r="E1157" s="15" t="n">
        <v>-0.0991999208927155</v>
      </c>
      <c r="F1157" s="15" t="n">
        <v>0.465099990367889</v>
      </c>
      <c r="G1157" s="15" t="n">
        <v>1.61660003662109</v>
      </c>
      <c r="H1157" s="16">
        <f>C1157+E1157</f>
        <v/>
      </c>
    </row>
    <row r="1158">
      <c r="A1158" s="12" t="n">
        <v>43692</v>
      </c>
      <c r="B1158" s="15" t="n">
        <v>-0.153099998831749</v>
      </c>
      <c r="C1158" s="15" t="n">
        <v>-0.241799995303154</v>
      </c>
      <c r="D1158" s="15" t="n">
        <v>2.04060006141663</v>
      </c>
      <c r="E1158" s="15" t="n">
        <v>-0.103600114583969</v>
      </c>
      <c r="F1158" s="15" t="n">
        <v>0.470099985599518</v>
      </c>
      <c r="G1158" s="15" t="n">
        <v>1.54209995269775</v>
      </c>
      <c r="H1158" s="16">
        <f>C1158+E1158</f>
        <v/>
      </c>
    </row>
    <row r="1159">
      <c r="A1159" s="12" t="n">
        <v>43693</v>
      </c>
      <c r="B1159" s="15" t="n">
        <v>-0.150100007653236</v>
      </c>
      <c r="C1159" s="15" t="n">
        <v>-0.230900004506111</v>
      </c>
      <c r="D1159" s="15" t="n">
        <v>2.04649996757507</v>
      </c>
      <c r="E1159" s="15" t="n">
        <v>-0.100899964570999</v>
      </c>
      <c r="F1159" s="15" t="n">
        <v>0.47979998588562</v>
      </c>
      <c r="G1159" s="15" t="n">
        <v>1.56459999084473</v>
      </c>
      <c r="H1159" s="16">
        <f>C1159+E1159</f>
        <v/>
      </c>
    </row>
    <row r="1160">
      <c r="A1160" s="12" t="n">
        <v>43696</v>
      </c>
      <c r="B1160" s="15" t="n">
        <v>-0.127700001001358</v>
      </c>
      <c r="C1160" s="15" t="n">
        <v>-0.215000003576279</v>
      </c>
      <c r="D1160" s="15" t="n">
        <v>2.05890011787415</v>
      </c>
      <c r="E1160" s="15" t="n">
        <v>-0.09780013561248781</v>
      </c>
      <c r="F1160" s="15" t="n">
        <v>0.468300014734268</v>
      </c>
      <c r="G1160" s="15" t="n">
        <v>1.61839997768402</v>
      </c>
      <c r="H1160" s="16">
        <f>C1160+E1160</f>
        <v/>
      </c>
    </row>
    <row r="1161">
      <c r="A1161" s="12" t="n">
        <v>43697</v>
      </c>
      <c r="B1161" s="15" t="n">
        <v>-0.142599999904633</v>
      </c>
      <c r="C1161" s="15" t="n">
        <v>-0.230199992656708</v>
      </c>
      <c r="D1161" s="15" t="n">
        <v>2.0492000579834</v>
      </c>
      <c r="E1161" s="15" t="n">
        <v>-0.101300120353699</v>
      </c>
      <c r="F1161" s="15" t="n">
        <v>0.48089998960495</v>
      </c>
      <c r="G1161" s="15" t="n">
        <v>1.57509994506836</v>
      </c>
      <c r="H1161" s="16">
        <f>C1161+E1161</f>
        <v/>
      </c>
    </row>
    <row r="1162">
      <c r="A1162" s="12" t="n">
        <v>43698</v>
      </c>
      <c r="B1162" s="15" t="n">
        <v>-0.127500012516975</v>
      </c>
      <c r="C1162" s="15" t="n">
        <v>-0.216999992728233</v>
      </c>
      <c r="D1162" s="15" t="n">
        <v>2.05819988250732</v>
      </c>
      <c r="E1162" s="15" t="n">
        <v>-0.098399817943573</v>
      </c>
      <c r="F1162" s="15" t="n">
        <v>0.484400004148483</v>
      </c>
      <c r="G1162" s="15" t="n">
        <v>1.61530005931854</v>
      </c>
      <c r="H1162" s="16">
        <f>C1162+E1162</f>
        <v/>
      </c>
    </row>
    <row r="1163">
      <c r="A1163" s="12" t="n">
        <v>43699</v>
      </c>
      <c r="B1163" s="15" t="n">
        <v>-0.118099987506866</v>
      </c>
      <c r="C1163" s="15" t="n">
        <v>-0.209800004959106</v>
      </c>
      <c r="D1163" s="15" t="n">
        <v>2.06319999694824</v>
      </c>
      <c r="E1163" s="15" t="n">
        <v>-0.0968000292778015</v>
      </c>
      <c r="F1163" s="15" t="n">
        <v>0.484499990940094</v>
      </c>
      <c r="G1163" s="15" t="n">
        <v>1.63849997520447</v>
      </c>
      <c r="H1163" s="16">
        <f>C1163+E1163</f>
        <v/>
      </c>
    </row>
    <row r="1164">
      <c r="A1164" s="12" t="n">
        <v>43700</v>
      </c>
      <c r="B1164" s="15" t="n">
        <v>-0.151300013065338</v>
      </c>
      <c r="C1164" s="15" t="n">
        <v>-0.24210000038147</v>
      </c>
      <c r="D1164" s="15" t="n">
        <v>2.04150009155273</v>
      </c>
      <c r="E1164" s="15" t="n">
        <v>-0.103900134563446</v>
      </c>
      <c r="F1164" s="15" t="n">
        <v>0.469199985265732</v>
      </c>
      <c r="G1164" s="15" t="n">
        <v>1.54419994354248</v>
      </c>
      <c r="H1164" s="16">
        <f>C1164+E1164</f>
        <v/>
      </c>
    </row>
    <row r="1165">
      <c r="A1165" s="12" t="n">
        <v>43703</v>
      </c>
      <c r="B1165" s="15" t="n">
        <v>-0.14130000770092</v>
      </c>
      <c r="C1165" s="15" t="n">
        <v>-0.235200002789497</v>
      </c>
      <c r="D1165" s="15" t="n">
        <v>2.04690003395081</v>
      </c>
      <c r="E1165" s="15" t="n">
        <v>-0.102500081062317</v>
      </c>
      <c r="F1165" s="15" t="n">
        <v>0.47189998626709</v>
      </c>
      <c r="G1165" s="15" t="n">
        <v>1.56789994239807</v>
      </c>
      <c r="H1165" s="16">
        <f>C1165+E1165</f>
        <v/>
      </c>
    </row>
    <row r="1166">
      <c r="A1166" s="12" t="n">
        <v>43704</v>
      </c>
      <c r="B1166" s="15" t="n">
        <v>-0.151899993419647</v>
      </c>
      <c r="C1166" s="15" t="n">
        <v>-0.260199993848801</v>
      </c>
      <c r="D1166" s="15" t="n">
        <v>2.03349995613098</v>
      </c>
      <c r="E1166" s="15" t="n">
        <v>-0.108599990606308</v>
      </c>
      <c r="F1166" s="15" t="n">
        <v>0.454600006341934</v>
      </c>
      <c r="G1166" s="15" t="n">
        <v>1.51279997825623</v>
      </c>
      <c r="H1166" s="16">
        <f>C1166+E1166</f>
        <v/>
      </c>
    </row>
    <row r="1167">
      <c r="A1167" s="12" t="n">
        <v>43705</v>
      </c>
      <c r="B1167" s="15" t="n">
        <v>-0.162300020456314</v>
      </c>
      <c r="C1167" s="15" t="n">
        <v>-0.263599991798401</v>
      </c>
      <c r="D1167" s="15" t="n">
        <v>2.02940011024475</v>
      </c>
      <c r="E1167" s="15" t="n">
        <v>-0.10900005698204</v>
      </c>
      <c r="F1167" s="15" t="n">
        <v>0.445199996232986</v>
      </c>
      <c r="G1167" s="15" t="n">
        <v>1.494500041008</v>
      </c>
      <c r="H1167" s="16">
        <f>C1167+E1167</f>
        <v/>
      </c>
    </row>
    <row r="1168">
      <c r="A1168" s="12" t="n">
        <v>43706</v>
      </c>
      <c r="B1168" s="15" t="n">
        <v>-0.153500020503998</v>
      </c>
      <c r="C1168" s="15" t="n">
        <v>-0.252099990844727</v>
      </c>
      <c r="D1168" s="15" t="n">
        <v>2.03620004653931</v>
      </c>
      <c r="E1168" s="15" t="n">
        <v>-0.106200039386749</v>
      </c>
      <c r="F1168" s="15" t="n">
        <v>0.427300006151199</v>
      </c>
      <c r="G1168" s="15" t="n">
        <v>1.52439999580383</v>
      </c>
      <c r="H1168" s="16">
        <f>C1168+E1168</f>
        <v/>
      </c>
    </row>
    <row r="1169">
      <c r="A1169" s="12" t="n">
        <v>43707</v>
      </c>
      <c r="B1169" s="15" t="n">
        <v>-0.154300004243851</v>
      </c>
      <c r="C1169" s="15" t="n">
        <v>-0.249500006437302</v>
      </c>
      <c r="D1169" s="15" t="n">
        <v>2.03769993782043</v>
      </c>
      <c r="E1169" s="15" t="n">
        <v>-0.105799913406372</v>
      </c>
      <c r="F1169" s="15" t="n">
        <v>0.464199990034103</v>
      </c>
      <c r="G1169" s="15" t="n">
        <v>1.52810001373291</v>
      </c>
      <c r="H1169" s="16">
        <f>C1169+E1169</f>
        <v/>
      </c>
    </row>
    <row r="1170">
      <c r="A1170" s="12" t="n">
        <v>43711</v>
      </c>
      <c r="B1170" s="15" t="n">
        <v>-0.164900004863739</v>
      </c>
      <c r="C1170" s="15" t="n">
        <v>-0.2567999958992</v>
      </c>
      <c r="D1170" s="15" t="n">
        <v>2.0327000617981</v>
      </c>
      <c r="E1170" s="15" t="n">
        <v>-0.107600092887878</v>
      </c>
      <c r="F1170" s="15" t="n">
        <v>0.493499994277954</v>
      </c>
      <c r="G1170" s="15" t="n">
        <v>1.50339996814728</v>
      </c>
      <c r="H1170" s="16">
        <f>C1170+E1170</f>
        <v/>
      </c>
    </row>
    <row r="1171">
      <c r="A1171" s="12" t="n">
        <v>43712</v>
      </c>
      <c r="B1171" s="15" t="n">
        <v>-0.171000003814697</v>
      </c>
      <c r="C1171" s="15" t="n">
        <v>-0.259400010108948</v>
      </c>
      <c r="D1171" s="15" t="n">
        <v>2.03080010414124</v>
      </c>
      <c r="E1171" s="15" t="n">
        <v>-0.108200073242188</v>
      </c>
      <c r="F1171" s="15" t="n">
        <v>0.485100001096725</v>
      </c>
      <c r="G1171" s="15" t="n">
        <v>1.4922000169754</v>
      </c>
      <c r="H1171" s="16">
        <f>C1171+E1171</f>
        <v/>
      </c>
    </row>
    <row r="1172">
      <c r="A1172" s="12" t="n">
        <v>43713</v>
      </c>
      <c r="B1172" s="15" t="n">
        <v>-0.136900007724762</v>
      </c>
      <c r="C1172" s="15" t="n">
        <v>-0.222900003194809</v>
      </c>
      <c r="D1172" s="15" t="n">
        <v>2.05410003662109</v>
      </c>
      <c r="E1172" s="15" t="n">
        <v>-0.0998999774456024</v>
      </c>
      <c r="F1172" s="15" t="n">
        <v>0.473899990320206</v>
      </c>
      <c r="G1172" s="15" t="n">
        <v>1.59440004825592</v>
      </c>
      <c r="H1172" s="16">
        <f>C1172+E1172</f>
        <v/>
      </c>
    </row>
    <row r="1173">
      <c r="A1173" s="12" t="n">
        <v>43714</v>
      </c>
      <c r="B1173" s="15" t="n">
        <v>-0.140900000929832</v>
      </c>
      <c r="C1173" s="15" t="n">
        <v>-0.228000000119209</v>
      </c>
      <c r="D1173" s="15" t="n">
        <v>2.05049991607666</v>
      </c>
      <c r="E1173" s="15" t="n">
        <v>-0.100799858570099</v>
      </c>
      <c r="F1173" s="15" t="n">
        <v>0.474000006914139</v>
      </c>
      <c r="G1173" s="15" t="n">
        <v>1.58080005645752</v>
      </c>
      <c r="H1173" s="16">
        <f>C1173+E1173</f>
        <v/>
      </c>
    </row>
    <row r="1174">
      <c r="A1174" s="12" t="n">
        <v>43717</v>
      </c>
      <c r="B1174" s="15" t="n">
        <v>-0.120099991559982</v>
      </c>
      <c r="C1174" s="15" t="n">
        <v>-0.19990000128746</v>
      </c>
      <c r="D1174" s="15" t="n">
        <v>2.06730008125305</v>
      </c>
      <c r="E1174" s="15" t="n">
        <v>-0.0941000580787659</v>
      </c>
      <c r="F1174" s="15" t="n">
        <v>0.472699999809265</v>
      </c>
      <c r="G1174" s="15" t="n">
        <v>1.65320003032684</v>
      </c>
      <c r="H1174" s="16">
        <f>C1174+E1174</f>
        <v/>
      </c>
    </row>
    <row r="1175">
      <c r="A1175" s="12" t="n">
        <v>43718</v>
      </c>
      <c r="B1175" s="15" t="n">
        <v>-0.0901999920606613</v>
      </c>
      <c r="C1175" s="15" t="n">
        <v>-0.169799998402596</v>
      </c>
      <c r="D1175" s="15" t="n">
        <v>2.08660006523132</v>
      </c>
      <c r="E1175" s="15" t="n">
        <v>-0.0871000289916992</v>
      </c>
      <c r="F1175" s="15" t="n">
        <v>0.478700011968613</v>
      </c>
      <c r="G1175" s="15" t="n">
        <v>1.73950004577637</v>
      </c>
      <c r="H1175" s="16">
        <f>C1175+E1175</f>
        <v/>
      </c>
    </row>
    <row r="1176">
      <c r="A1176" s="12" t="n">
        <v>43719</v>
      </c>
      <c r="B1176" s="15" t="n">
        <v>-0.084199994802475</v>
      </c>
      <c r="C1176" s="15" t="n">
        <v>-0.159299999475479</v>
      </c>
      <c r="D1176" s="15" t="n">
        <v>2.09220004081726</v>
      </c>
      <c r="E1176" s="15" t="n">
        <v>-0.08450007438659669</v>
      </c>
      <c r="F1176" s="15" t="n">
        <v>0.485000014305115</v>
      </c>
      <c r="G1176" s="15" t="n">
        <v>1.76419997215271</v>
      </c>
      <c r="H1176" s="16">
        <f>C1176+E1176</f>
        <v/>
      </c>
    </row>
    <row r="1177">
      <c r="A1177" s="12" t="n">
        <v>43720</v>
      </c>
      <c r="B1177" s="15" t="n">
        <v>-0.06870000064373021</v>
      </c>
      <c r="C1177" s="15" t="n">
        <v>-0.146099999547005</v>
      </c>
      <c r="D1177" s="15" t="n">
        <v>2.10109996795654</v>
      </c>
      <c r="E1177" s="15" t="n">
        <v>-0.0814999341964722</v>
      </c>
      <c r="F1177" s="15" t="n">
        <v>0.47409999370575</v>
      </c>
      <c r="G1177" s="15" t="n">
        <v>1.80480003356934</v>
      </c>
      <c r="H1177" s="16">
        <f>C1177+E1177</f>
        <v/>
      </c>
    </row>
    <row r="1178">
      <c r="A1178" s="12" t="n">
        <v>43721</v>
      </c>
      <c r="B1178" s="15" t="n">
        <v>-0.033100001513958</v>
      </c>
      <c r="C1178" s="15" t="n">
        <v>-0.10869999974966</v>
      </c>
      <c r="D1178" s="15" t="n">
        <v>2.12520003318787</v>
      </c>
      <c r="E1178" s="15" t="n">
        <v>-0.0728999823331833</v>
      </c>
      <c r="F1178" s="15" t="n">
        <v>0.467099994421005</v>
      </c>
      <c r="G1178" s="15" t="n">
        <v>1.91050004959106</v>
      </c>
      <c r="H1178" s="16">
        <f>C1178+E1178</f>
        <v/>
      </c>
    </row>
    <row r="1179">
      <c r="A1179" s="12" t="n">
        <v>43724</v>
      </c>
      <c r="B1179" s="15" t="n">
        <v>-0.0503000020980835</v>
      </c>
      <c r="C1179" s="15" t="n">
        <v>-0.131099998950958</v>
      </c>
      <c r="D1179" s="15" t="n">
        <v>2.11139988899231</v>
      </c>
      <c r="E1179" s="15" t="n">
        <v>-0.0779998898506165</v>
      </c>
      <c r="F1179" s="15" t="n">
        <v>0.446399986743927</v>
      </c>
      <c r="G1179" s="15" t="n">
        <v>1.85199999809265</v>
      </c>
      <c r="H1179" s="16">
        <f>C1179+E1179</f>
        <v/>
      </c>
    </row>
    <row r="1180">
      <c r="A1180" s="12" t="n">
        <v>43725</v>
      </c>
      <c r="B1180" s="15" t="n">
        <v>-0.0584999918937683</v>
      </c>
      <c r="C1180" s="15" t="n">
        <v>-0.141000002622604</v>
      </c>
      <c r="D1180" s="15" t="n">
        <v>2.10560011863708</v>
      </c>
      <c r="E1180" s="15" t="n">
        <v>-0.08050009608268741</v>
      </c>
      <c r="F1180" s="15" t="n">
        <v>0.448399990797043</v>
      </c>
      <c r="G1180" s="15" t="n">
        <v>1.82560002803802</v>
      </c>
      <c r="H1180" s="16">
        <f>C1180+E1180</f>
        <v/>
      </c>
    </row>
    <row r="1181">
      <c r="A1181" s="12" t="n">
        <v>43726</v>
      </c>
      <c r="B1181" s="15" t="n">
        <v>-0.0567000061273575</v>
      </c>
      <c r="C1181" s="15" t="n">
        <v>-0.137299999594688</v>
      </c>
      <c r="D1181" s="15" t="n">
        <v>2.10710000991821</v>
      </c>
      <c r="E1181" s="15" t="n">
        <v>-0.0794000625610352</v>
      </c>
      <c r="F1181" s="15" t="n">
        <v>0.49329999089241</v>
      </c>
      <c r="G1181" s="15" t="n">
        <v>1.83369994163513</v>
      </c>
      <c r="H1181" s="16">
        <f>C1181+E1181</f>
        <v/>
      </c>
    </row>
    <row r="1182">
      <c r="A1182" s="12" t="n">
        <v>43727</v>
      </c>
      <c r="B1182" s="15" t="n">
        <v>-0.0645999908447266</v>
      </c>
      <c r="C1182" s="15" t="n">
        <v>-0.149000003933907</v>
      </c>
      <c r="D1182" s="15" t="n">
        <v>2.09999990463257</v>
      </c>
      <c r="E1182" s="15" t="n">
        <v>-0.0820999592542648</v>
      </c>
      <c r="F1182" s="15" t="n">
        <v>0.488200008869171</v>
      </c>
      <c r="G1182" s="15" t="n">
        <v>1.80429995059967</v>
      </c>
      <c r="H1182" s="16">
        <f>C1182+E1182</f>
        <v/>
      </c>
    </row>
    <row r="1183">
      <c r="A1183" s="12" t="n">
        <v>43728</v>
      </c>
      <c r="B1183" s="15" t="n">
        <v>-0.0819000005722046</v>
      </c>
      <c r="C1183" s="15" t="n">
        <v>-0.167500004172325</v>
      </c>
      <c r="D1183" s="15" t="n">
        <v>2.08800005912781</v>
      </c>
      <c r="E1183" s="15" t="n">
        <v>-0.086200013756752</v>
      </c>
      <c r="F1183" s="15" t="n">
        <v>0.472400009632111</v>
      </c>
      <c r="G1183" s="15" t="n">
        <v>1.75240004062653</v>
      </c>
      <c r="H1183" s="16">
        <f>C1183+E1183</f>
        <v/>
      </c>
    </row>
    <row r="1184">
      <c r="A1184" s="12" t="n">
        <v>43731</v>
      </c>
      <c r="B1184" s="15" t="n">
        <v>-0.08660000562667849</v>
      </c>
      <c r="C1184" s="15" t="n">
        <v>-0.177100002765656</v>
      </c>
      <c r="D1184" s="15" t="n">
        <v>2.08319997787476</v>
      </c>
      <c r="E1184" s="15" t="n">
        <v>-0.0886999368667603</v>
      </c>
      <c r="F1184" s="15" t="n">
        <v>0.468300014734268</v>
      </c>
      <c r="G1184" s="15" t="n">
        <v>1.73080003261566</v>
      </c>
      <c r="H1184" s="16">
        <f>C1184+E1184</f>
        <v/>
      </c>
    </row>
    <row r="1185">
      <c r="A1185" s="12" t="n">
        <v>43732</v>
      </c>
      <c r="B1185" s="15" t="n">
        <v>-0.111500009894371</v>
      </c>
      <c r="C1185" s="15" t="n">
        <v>-0.202299997210503</v>
      </c>
      <c r="D1185" s="15" t="n">
        <v>2.06699991226196</v>
      </c>
      <c r="E1185" s="15" t="n">
        <v>-0.0945999324321747</v>
      </c>
      <c r="F1185" s="15" t="n">
        <v>0.476700007915497</v>
      </c>
      <c r="G1185" s="15" t="n">
        <v>1.65859997272491</v>
      </c>
      <c r="H1185" s="16">
        <f>C1185+E1185</f>
        <v/>
      </c>
    </row>
    <row r="1186">
      <c r="A1186" s="12" t="n">
        <v>43733</v>
      </c>
      <c r="B1186" s="15" t="n">
        <v>-0.0869000107049942</v>
      </c>
      <c r="C1186" s="15" t="n">
        <v>-0.169599995017052</v>
      </c>
      <c r="D1186" s="15" t="n">
        <v>2.08689999580383</v>
      </c>
      <c r="E1186" s="15" t="n">
        <v>-0.0870000123977661</v>
      </c>
      <c r="F1186" s="15" t="n">
        <v>0.488599985837936</v>
      </c>
      <c r="G1186" s="15" t="n">
        <v>1.74339997768402</v>
      </c>
      <c r="H1186" s="16">
        <f>C1186+E1186</f>
        <v/>
      </c>
    </row>
    <row r="1187">
      <c r="A1187" s="12" t="n">
        <v>43734</v>
      </c>
      <c r="B1187" s="15" t="n">
        <v>-0.0946999937295914</v>
      </c>
      <c r="C1187" s="15" t="n">
        <v>-0.174999997019768</v>
      </c>
      <c r="D1187" s="15" t="n">
        <v>2.08209991455078</v>
      </c>
      <c r="E1187" s="15" t="n">
        <v>-0.08789998292922969</v>
      </c>
      <c r="F1187" s="15" t="n">
        <v>0.498699992895126</v>
      </c>
      <c r="G1187" s="15" t="n">
        <v>1.72449994087219</v>
      </c>
      <c r="H1187" s="16">
        <f>C1187+E1187</f>
        <v/>
      </c>
    </row>
    <row r="1188">
      <c r="A1188" s="12" t="n">
        <v>43735</v>
      </c>
      <c r="B1188" s="15" t="n">
        <v>-0.105099990963936</v>
      </c>
      <c r="C1188" s="15" t="n">
        <v>-0.17790000140667</v>
      </c>
      <c r="D1188" s="15" t="n">
        <v>2.07850003242493</v>
      </c>
      <c r="E1188" s="15" t="n">
        <v>-0.0882999897003174</v>
      </c>
      <c r="F1188" s="15" t="n">
        <v>0.524900019168854</v>
      </c>
      <c r="G1188" s="15" t="n">
        <v>1.707200050354</v>
      </c>
      <c r="H1188" s="16">
        <f>C1188+E1188</f>
        <v/>
      </c>
    </row>
    <row r="1189">
      <c r="A1189" s="12" t="n">
        <v>43738</v>
      </c>
      <c r="B1189" s="15" t="n">
        <v>-0.111000016331673</v>
      </c>
      <c r="C1189" s="15" t="n">
        <v>-0.179299995303154</v>
      </c>
      <c r="D1189" s="15" t="n">
        <v>2.07649993896484</v>
      </c>
      <c r="E1189" s="15" t="n">
        <v>-0.0883998870849609</v>
      </c>
      <c r="F1189" s="15" t="n">
        <v>0.528400003910065</v>
      </c>
      <c r="G1189" s="15" t="n">
        <v>1.69780004024506</v>
      </c>
      <c r="H1189" s="16">
        <f>C1189+E1189</f>
        <v/>
      </c>
    </row>
    <row r="1190">
      <c r="A1190" s="12" t="n">
        <v>43739</v>
      </c>
      <c r="B1190" s="15" t="n">
        <v>-0.124099984765053</v>
      </c>
      <c r="C1190" s="15" t="n">
        <v>-0.1858000010252</v>
      </c>
      <c r="D1190" s="15" t="n">
        <v>2.07119989395142</v>
      </c>
      <c r="E1190" s="15" t="n">
        <v>-0.0897999405860901</v>
      </c>
      <c r="F1190" s="15" t="n">
        <v>0.5324000120162961</v>
      </c>
      <c r="G1190" s="15" t="n">
        <v>1.67149996757507</v>
      </c>
      <c r="H1190" s="16">
        <f>C1190+E1190</f>
        <v/>
      </c>
    </row>
    <row r="1191">
      <c r="A1191" s="12" t="n">
        <v>43740</v>
      </c>
      <c r="B1191" s="15" t="n">
        <v>-0.148499980568886</v>
      </c>
      <c r="C1191" s="15" t="n">
        <v>-0.196600005030632</v>
      </c>
      <c r="D1191" s="15" t="n">
        <v>2.06139993667603</v>
      </c>
      <c r="E1191" s="15" t="n">
        <v>-0.0919999480247498</v>
      </c>
      <c r="F1191" s="15" t="n">
        <v>0.538500010967255</v>
      </c>
      <c r="G1191" s="15" t="n">
        <v>1.62430000305176</v>
      </c>
      <c r="H1191" s="16">
        <f>C1191+E1191</f>
        <v/>
      </c>
    </row>
    <row r="1192">
      <c r="A1192" s="12" t="n">
        <v>43741</v>
      </c>
      <c r="B1192" s="15" t="n">
        <v>-0.18299999833107</v>
      </c>
      <c r="C1192" s="15" t="n">
        <v>-0.210299998521805</v>
      </c>
      <c r="D1192" s="15" t="n">
        <v>2.04800009727478</v>
      </c>
      <c r="E1192" s="15" t="n">
        <v>-0.0944001078605652</v>
      </c>
      <c r="F1192" s="15" t="n">
        <v>0.545000016689301</v>
      </c>
      <c r="G1192" s="15" t="n">
        <v>1.56029999256134</v>
      </c>
      <c r="H1192" s="16">
        <f>C1192+E1192</f>
        <v/>
      </c>
    </row>
    <row r="1193">
      <c r="A1193" s="12" t="n">
        <v>43742</v>
      </c>
      <c r="B1193" s="15" t="n">
        <v>-0.190799996256828</v>
      </c>
      <c r="C1193" s="15" t="n">
        <v>-0.216999992728233</v>
      </c>
      <c r="D1193" s="15" t="n">
        <v>2.042799949646</v>
      </c>
      <c r="E1193" s="15" t="n">
        <v>-0.09569999575614931</v>
      </c>
      <c r="F1193" s="15" t="n">
        <v>0.528900027275085</v>
      </c>
      <c r="G1193" s="15" t="n">
        <v>1.53929996490479</v>
      </c>
      <c r="H1193" s="16">
        <f>C1193+E1193</f>
        <v/>
      </c>
    </row>
    <row r="1194">
      <c r="A1194" s="12" t="n">
        <v>43745</v>
      </c>
      <c r="B1194" s="15" t="n">
        <v>-0.16839998960495</v>
      </c>
      <c r="C1194" s="15" t="n">
        <v>-0.210500001907349</v>
      </c>
      <c r="D1194" s="15" t="n">
        <v>2.05069994926453</v>
      </c>
      <c r="E1194" s="15" t="n">
        <v>-0.09479993581771851</v>
      </c>
      <c r="F1194" s="15" t="n">
        <v>0.528199970722198</v>
      </c>
      <c r="G1194" s="15" t="n">
        <v>1.57700002193451</v>
      </c>
      <c r="H1194" s="16">
        <f>C1194+E1194</f>
        <v/>
      </c>
    </row>
    <row r="1195">
      <c r="A1195" s="12" t="n">
        <v>43746</v>
      </c>
      <c r="B1195" s="15" t="n">
        <v>-0.17849999666214</v>
      </c>
      <c r="C1195" s="15" t="n">
        <v>-0.213699996471405</v>
      </c>
      <c r="D1195" s="15" t="n">
        <v>2.04719996452332</v>
      </c>
      <c r="E1195" s="15" t="n">
        <v>-0.0953999757766724</v>
      </c>
      <c r="F1195" s="15" t="n">
        <v>0.547100007534027</v>
      </c>
      <c r="G1195" s="15" t="n">
        <v>1.5595999956131</v>
      </c>
      <c r="H1195" s="16">
        <f>C1195+E1195</f>
        <v/>
      </c>
    </row>
    <row r="1196">
      <c r="A1196" s="12" t="n">
        <v>43747</v>
      </c>
      <c r="B1196" s="15" t="n">
        <v>-0.164000019431114</v>
      </c>
      <c r="C1196" s="15" t="n">
        <v>-0.195999994874001</v>
      </c>
      <c r="D1196" s="15" t="n">
        <v>2.05800008773804</v>
      </c>
      <c r="E1196" s="15" t="n">
        <v>-0.0912001132965088</v>
      </c>
      <c r="F1196" s="15" t="n">
        <v>0.5590999722480769</v>
      </c>
      <c r="G1196" s="15" t="n">
        <v>1.60679996013641</v>
      </c>
      <c r="H1196" s="16">
        <f>C1196+E1196</f>
        <v/>
      </c>
    </row>
    <row r="1197">
      <c r="A1197" s="12" t="n">
        <v>43748</v>
      </c>
      <c r="B1197" s="15" t="n">
        <v>-0.142899990081787</v>
      </c>
      <c r="C1197" s="15" t="n">
        <v>-0.168999999761581</v>
      </c>
      <c r="D1197" s="15" t="n">
        <v>2.07389998435974</v>
      </c>
      <c r="E1197" s="15" t="n">
        <v>-0.08460000157356259</v>
      </c>
      <c r="F1197" s="15" t="n">
        <v>0.548799991607666</v>
      </c>
      <c r="G1197" s="15" t="n">
        <v>1.67739999294281</v>
      </c>
      <c r="H1197" s="16">
        <f>C1197+E1197</f>
        <v/>
      </c>
    </row>
    <row r="1198">
      <c r="A1198" s="12" t="n">
        <v>43749</v>
      </c>
      <c r="B1198" s="15" t="n">
        <v>-0.11259999871254</v>
      </c>
      <c r="C1198" s="15" t="n">
        <v>-0.134200006723404</v>
      </c>
      <c r="D1198" s="15" t="n">
        <v>2.09489989280701</v>
      </c>
      <c r="E1198" s="15" t="n">
        <v>-0.0761998295783997</v>
      </c>
      <c r="F1198" s="15" t="n">
        <v>0.537800014019012</v>
      </c>
      <c r="G1198" s="15" t="n">
        <v>1.77190005779266</v>
      </c>
      <c r="H1198" s="16">
        <f>C1198+E1198</f>
        <v/>
      </c>
    </row>
    <row r="1199">
      <c r="A1199" s="12" t="n">
        <v>43753</v>
      </c>
      <c r="B1199" s="15" t="n">
        <v>-0.112700000405312</v>
      </c>
      <c r="C1199" s="15" t="n">
        <v>-0.13060000538826</v>
      </c>
      <c r="D1199" s="15" t="n">
        <v>2.09579992294312</v>
      </c>
      <c r="E1199" s="15" t="n">
        <v>-0.0748998671770096</v>
      </c>
      <c r="F1199" s="15" t="n">
        <v>0.542500019073486</v>
      </c>
      <c r="G1199" s="15" t="n">
        <v>1.77760004997253</v>
      </c>
      <c r="H1199" s="16">
        <f>C1199+E1199</f>
        <v/>
      </c>
    </row>
    <row r="1200">
      <c r="A1200" s="12" t="n">
        <v>43754</v>
      </c>
      <c r="B1200" s="15" t="n">
        <v>-0.124199986457825</v>
      </c>
      <c r="C1200" s="15" t="n">
        <v>-0.134700000286102</v>
      </c>
      <c r="D1200" s="15" t="n">
        <v>2.0913999080658</v>
      </c>
      <c r="E1200" s="15" t="n">
        <v>-0.0756998658180237</v>
      </c>
      <c r="F1200" s="15" t="n">
        <v>0.530900001525879</v>
      </c>
      <c r="G1200" s="15" t="n">
        <v>1.75680005550385</v>
      </c>
      <c r="H1200" s="16">
        <f>C1200+E1200</f>
        <v/>
      </c>
    </row>
    <row r="1201">
      <c r="A1201" s="12" t="n">
        <v>43755</v>
      </c>
      <c r="B1201" s="15" t="n">
        <v>-0.12389999628067</v>
      </c>
      <c r="C1201" s="15" t="n">
        <v>-0.131099998950958</v>
      </c>
      <c r="D1201" s="15" t="n">
        <v>2.09279990196228</v>
      </c>
      <c r="E1201" s="15" t="n">
        <v>-0.07459986209869381</v>
      </c>
      <c r="F1201" s="15" t="n">
        <v>0.513800024986267</v>
      </c>
      <c r="G1201" s="15" t="n">
        <v>1.76320004463196</v>
      </c>
      <c r="H1201" s="16">
        <f>C1201+E1201</f>
        <v/>
      </c>
    </row>
    <row r="1202">
      <c r="A1202" s="12" t="n">
        <v>43756</v>
      </c>
      <c r="B1202" s="15" t="n">
        <v>-0.12550000846386</v>
      </c>
      <c r="C1202" s="15" t="n">
        <v>-0.130500003695488</v>
      </c>
      <c r="D1202" s="15" t="n">
        <v>2.09299993515015</v>
      </c>
      <c r="E1202" s="15" t="n">
        <v>-0.0744998753070831</v>
      </c>
      <c r="F1202" s="15" t="n">
        <v>0.505699992179871</v>
      </c>
      <c r="G1202" s="15" t="n">
        <v>1.76250004768372</v>
      </c>
      <c r="H1202" s="16">
        <f>C1202+E1202</f>
        <v/>
      </c>
    </row>
    <row r="1203">
      <c r="A1203" s="12" t="n">
        <v>43759</v>
      </c>
      <c r="B1203" s="15" t="n">
        <v>-0.109899997711182</v>
      </c>
      <c r="C1203" s="15" t="n">
        <v>-0.116400003433228</v>
      </c>
      <c r="D1203" s="15" t="n">
        <v>2.10279989242554</v>
      </c>
      <c r="E1203" s="15" t="n">
        <v>-0.0714999437332153</v>
      </c>
      <c r="F1203" s="15" t="n">
        <v>0.509899973869324</v>
      </c>
      <c r="G1203" s="15" t="n">
        <v>1.80499994754791</v>
      </c>
      <c r="H1203" s="16">
        <f>C1203+E1203</f>
        <v/>
      </c>
    </row>
    <row r="1204">
      <c r="A1204" s="12" t="n">
        <v>43760</v>
      </c>
      <c r="B1204" s="15" t="n">
        <v>-0.11599999666214</v>
      </c>
      <c r="C1204" s="15" t="n">
        <v>-0.123099997639656</v>
      </c>
      <c r="D1204" s="15" t="n">
        <v>2.09820008277893</v>
      </c>
      <c r="E1204" s="15" t="n">
        <v>-0.07290004193782811</v>
      </c>
      <c r="F1204" s="15" t="n">
        <v>0.5034000277519231</v>
      </c>
      <c r="G1204" s="15" t="n">
        <v>1.78620004653931</v>
      </c>
      <c r="H1204" s="16">
        <f>C1204+E1204</f>
        <v/>
      </c>
    </row>
    <row r="1205">
      <c r="A1205" s="12" t="n">
        <v>43761</v>
      </c>
      <c r="B1205" s="15" t="n">
        <v>-0.120099991559982</v>
      </c>
      <c r="C1205" s="15" t="n">
        <v>-0.127100005745888</v>
      </c>
      <c r="D1205" s="15" t="n">
        <v>2.09540009498596</v>
      </c>
      <c r="E1205" s="15" t="n">
        <v>-0.0737000852823257</v>
      </c>
      <c r="F1205" s="15" t="n">
        <v>0.492700010538101</v>
      </c>
      <c r="G1205" s="15" t="n">
        <v>1.77450001239777</v>
      </c>
      <c r="H1205" s="16">
        <f>C1205+E1205</f>
        <v/>
      </c>
    </row>
    <row r="1206">
      <c r="A1206" s="12" t="n">
        <v>43762</v>
      </c>
      <c r="B1206" s="15" t="n">
        <v>-0.116699993610382</v>
      </c>
      <c r="C1206" s="15" t="n">
        <v>-0.126000002026558</v>
      </c>
      <c r="D1206" s="15" t="n">
        <v>2.09680008888245</v>
      </c>
      <c r="E1206" s="15" t="n">
        <v>-0.07360003888607029</v>
      </c>
      <c r="F1206" s="15" t="n">
        <v>0.485199987888336</v>
      </c>
      <c r="G1206" s="15" t="n">
        <v>1.78050005435944</v>
      </c>
      <c r="H1206" s="16">
        <f>C1206+E1206</f>
        <v/>
      </c>
    </row>
    <row r="1207">
      <c r="A1207" s="12" t="n">
        <v>43763</v>
      </c>
      <c r="B1207" s="15" t="n">
        <v>-0.106100007891655</v>
      </c>
      <c r="C1207" s="15" t="n">
        <v>-0.117799997329712</v>
      </c>
      <c r="D1207" s="15" t="n">
        <v>2.10249996185303</v>
      </c>
      <c r="E1207" s="15" t="n">
        <v>-0.071699932217598</v>
      </c>
      <c r="F1207" s="15" t="n">
        <v>0.469700008630753</v>
      </c>
      <c r="G1207" s="15" t="n">
        <v>1.80690002441406</v>
      </c>
      <c r="H1207" s="16">
        <f>C1207+E1207</f>
        <v/>
      </c>
    </row>
    <row r="1208">
      <c r="A1208" s="12" t="n">
        <v>43766</v>
      </c>
      <c r="B1208" s="15" t="n">
        <v>-0.0917999967932701</v>
      </c>
      <c r="C1208" s="15" t="n">
        <v>-0.096500001847744</v>
      </c>
      <c r="D1208" s="15" t="n">
        <v>2.11509990692139</v>
      </c>
      <c r="E1208" s="15" t="n">
        <v>-0.0667998939752579</v>
      </c>
      <c r="F1208" s="15" t="n">
        <v>0.486400008201599</v>
      </c>
      <c r="G1208" s="15" t="n">
        <v>1.86000001430511</v>
      </c>
      <c r="H1208" s="16">
        <f>C1208+E1208</f>
        <v/>
      </c>
    </row>
    <row r="1209">
      <c r="A1209" s="12" t="n">
        <v>43767</v>
      </c>
      <c r="B1209" s="15" t="n">
        <v>-0.09489999711513521</v>
      </c>
      <c r="C1209" s="15" t="n">
        <v>-0.096900001168251</v>
      </c>
      <c r="D1209" s="15" t="n">
        <v>2.11409997940063</v>
      </c>
      <c r="E1209" s="15" t="n">
        <v>-0.06659996509552001</v>
      </c>
      <c r="F1209" s="15" t="n">
        <v>0.509199976921082</v>
      </c>
      <c r="G1209" s="15" t="n">
        <v>1.85570001602173</v>
      </c>
      <c r="H1209" s="16">
        <f>C1209+E1209</f>
        <v/>
      </c>
    </row>
    <row r="1210">
      <c r="A1210" s="12" t="n">
        <v>43768</v>
      </c>
      <c r="B1210" s="15" t="n">
        <v>-0.114699997007847</v>
      </c>
      <c r="C1210" s="15" t="n">
        <v>-0.116800002753735</v>
      </c>
      <c r="D1210" s="15" t="n">
        <v>2.10050010681152</v>
      </c>
      <c r="E1210" s="15" t="n">
        <v>-0.0709001123905182</v>
      </c>
      <c r="F1210" s="15" t="n">
        <v>0.524999976158142</v>
      </c>
      <c r="G1210" s="15" t="n">
        <v>1.79809999465942</v>
      </c>
      <c r="H1210" s="16">
        <f>C1210+E1210</f>
        <v/>
      </c>
    </row>
    <row r="1211">
      <c r="A1211" s="12" t="n">
        <v>43769</v>
      </c>
      <c r="B1211" s="15" t="n">
        <v>-0.150299996137619</v>
      </c>
      <c r="C1211" s="15" t="n">
        <v>-0.145099997520447</v>
      </c>
      <c r="D1211" s="15" t="n">
        <v>2.08019995689392</v>
      </c>
      <c r="E1211" s="15" t="n">
        <v>-0.07709994912147521</v>
      </c>
      <c r="F1211" s="15" t="n">
        <v>0.523999989032745</v>
      </c>
      <c r="G1211" s="15" t="n">
        <v>1.70770001411438</v>
      </c>
      <c r="H1211" s="16">
        <f>C1211+E1211</f>
        <v/>
      </c>
    </row>
    <row r="1212">
      <c r="A1212" s="12" t="n">
        <v>43770</v>
      </c>
      <c r="B1212" s="15" t="n">
        <v>-0.144200012087822</v>
      </c>
      <c r="C1212" s="15" t="n">
        <v>-0.134399995207787</v>
      </c>
      <c r="D1212" s="15" t="n">
        <v>2.08579993247986</v>
      </c>
      <c r="E1212" s="15" t="n">
        <v>-0.0743999183177948</v>
      </c>
      <c r="F1212" s="15" t="n">
        <v>0.497599989175797</v>
      </c>
      <c r="G1212" s="15" t="n">
        <v>1.73280000686646</v>
      </c>
      <c r="H1212" s="16">
        <f>C1212+E1212</f>
        <v/>
      </c>
    </row>
    <row r="1213">
      <c r="A1213" s="12" t="n">
        <v>43773</v>
      </c>
      <c r="B1213" s="15" t="n">
        <v>-0.124700002372265</v>
      </c>
      <c r="C1213" s="15" t="n">
        <v>-0.113799996674061</v>
      </c>
      <c r="D1213" s="15" t="n">
        <v>2.09920001029968</v>
      </c>
      <c r="E1213" s="15" t="n">
        <v>-0.06980001926422121</v>
      </c>
      <c r="F1213" s="15" t="n">
        <v>0.469300001859665</v>
      </c>
      <c r="G1213" s="15" t="n">
        <v>1.79089999198914</v>
      </c>
      <c r="H1213" s="16">
        <f>C1213+E1213</f>
        <v/>
      </c>
    </row>
    <row r="1214">
      <c r="A1214" s="12" t="n">
        <v>43774</v>
      </c>
      <c r="B1214" s="15" t="n">
        <v>-0.100400008261204</v>
      </c>
      <c r="C1214" s="15" t="n">
        <v>-0.08479999750852581</v>
      </c>
      <c r="D1214" s="15" t="n">
        <v>2.11759996414185</v>
      </c>
      <c r="E1214" s="15" t="n">
        <v>-0.06309995055198669</v>
      </c>
      <c r="F1214" s="15" t="n">
        <v>0.460999995470047</v>
      </c>
      <c r="G1214" s="15" t="n">
        <v>1.86930000782013</v>
      </c>
      <c r="H1214" s="16">
        <f>C1214+E1214</f>
        <v/>
      </c>
    </row>
    <row r="1215">
      <c r="A1215" s="12" t="n">
        <v>43775</v>
      </c>
      <c r="B1215" s="15" t="n">
        <v>-0.112999990582466</v>
      </c>
      <c r="C1215" s="15" t="n">
        <v>-0.097900003194809</v>
      </c>
      <c r="D1215" s="15" t="n">
        <v>2.10879993438721</v>
      </c>
      <c r="E1215" s="15" t="n">
        <v>-0.0659999400377274</v>
      </c>
      <c r="F1215" s="15" t="n">
        <v>0.451499998569489</v>
      </c>
      <c r="G1215" s="15" t="n">
        <v>1.8319000005722</v>
      </c>
      <c r="H1215" s="16">
        <f>C1215+E1215</f>
        <v/>
      </c>
    </row>
    <row r="1216">
      <c r="A1216" s="12" t="n">
        <v>43776</v>
      </c>
      <c r="B1216" s="15" t="n">
        <v>-0.0769999995827675</v>
      </c>
      <c r="C1216" s="15" t="n">
        <v>-0.0551000013947487</v>
      </c>
      <c r="D1216" s="15" t="n">
        <v>2.13579988479614</v>
      </c>
      <c r="E1216" s="15" t="n">
        <v>-0.0562999099493027</v>
      </c>
      <c r="F1216" s="15" t="n">
        <v>0.457100003957748</v>
      </c>
      <c r="G1216" s="15" t="n">
        <v>1.94739997386932</v>
      </c>
      <c r="H1216" s="16">
        <f>C1216+E1216</f>
        <v/>
      </c>
    </row>
    <row r="1217">
      <c r="A1217" s="12" t="n">
        <v>43777</v>
      </c>
      <c r="B1217" s="15" t="n">
        <v>-0.0721000023186207</v>
      </c>
      <c r="C1217" s="15" t="n">
        <v>-0.046900000423193</v>
      </c>
      <c r="D1217" s="15" t="n">
        <v>2.14050006866455</v>
      </c>
      <c r="E1217" s="15" t="n">
        <v>-0.0542000085115433</v>
      </c>
      <c r="F1217" s="15" t="n">
        <v>0.441799998283386</v>
      </c>
      <c r="G1217" s="15" t="n">
        <v>1.96730005741119</v>
      </c>
      <c r="H1217" s="16">
        <f>C1217+E1217</f>
        <v/>
      </c>
    </row>
    <row r="1218">
      <c r="A1218" s="12" t="n">
        <v>43781</v>
      </c>
      <c r="B1218" s="15" t="n">
        <v>-0.0770999975502491</v>
      </c>
      <c r="C1218" s="15" t="n">
        <v>-0.0548000000417233</v>
      </c>
      <c r="D1218" s="15" t="n">
        <v>2.13610005378723</v>
      </c>
      <c r="E1218" s="15" t="n">
        <v>-0.0562001019716263</v>
      </c>
      <c r="F1218" s="15" t="n">
        <v>0.452199995517731</v>
      </c>
      <c r="G1218" s="15" t="n">
        <v>1.94799995422363</v>
      </c>
      <c r="H1218" s="16">
        <f>C1218+E1218</f>
        <v/>
      </c>
    </row>
    <row r="1219">
      <c r="A1219" s="12" t="n">
        <v>43782</v>
      </c>
      <c r="B1219" s="15" t="n">
        <v>-0.08970000594854349</v>
      </c>
      <c r="C1219" s="15" t="n">
        <v>-0.0697999969124794</v>
      </c>
      <c r="D1219" s="15" t="n">
        <v>2.12689995765686</v>
      </c>
      <c r="E1219" s="15" t="n">
        <v>-0.0597999095916748</v>
      </c>
      <c r="F1219" s="15" t="n">
        <v>0.470200002193451</v>
      </c>
      <c r="G1219" s="15" t="n">
        <v>1.90760004520416</v>
      </c>
      <c r="H1219" s="16">
        <f>C1219+E1219</f>
        <v/>
      </c>
    </row>
    <row r="1220">
      <c r="A1220" s="12" t="n">
        <v>43783</v>
      </c>
      <c r="B1220" s="15" t="n">
        <v>-0.10810000449419</v>
      </c>
      <c r="C1220" s="15" t="n">
        <v>-0.089199997484684</v>
      </c>
      <c r="D1220" s="15" t="n">
        <v>2.11459994316101</v>
      </c>
      <c r="E1220" s="15" t="n">
        <v>-0.0641999989748001</v>
      </c>
      <c r="F1220" s="15" t="n">
        <v>0.483399987220764</v>
      </c>
      <c r="G1220" s="15" t="n">
        <v>1.85309994220734</v>
      </c>
      <c r="H1220" s="16">
        <f>C1220+E1220</f>
        <v/>
      </c>
    </row>
    <row r="1221">
      <c r="A1221" s="12" t="n">
        <v>43784</v>
      </c>
      <c r="B1221" s="15" t="n">
        <v>-0.102299995720387</v>
      </c>
      <c r="C1221" s="15" t="n">
        <v>-0.0865999981760979</v>
      </c>
      <c r="D1221" s="15" t="n">
        <v>2.11700010299683</v>
      </c>
      <c r="E1221" s="15" t="n">
        <v>-0.0637000799179077</v>
      </c>
      <c r="F1221" s="15" t="n">
        <v>0.492799997329712</v>
      </c>
      <c r="G1221" s="15" t="n">
        <v>1.86440002918243</v>
      </c>
      <c r="H1221" s="16">
        <f>C1221+E1221</f>
        <v/>
      </c>
    </row>
    <row r="1222">
      <c r="A1222" s="12" t="n">
        <v>43787</v>
      </c>
      <c r="B1222" s="15" t="n">
        <v>-0.111399993300438</v>
      </c>
      <c r="C1222" s="15" t="n">
        <v>-0.0961000025272369</v>
      </c>
      <c r="D1222" s="15" t="n">
        <v>2.11069989204407</v>
      </c>
      <c r="E1222" s="15" t="n">
        <v>-0.0658999532461166</v>
      </c>
      <c r="F1222" s="15" t="n">
        <v>0.47859999537468</v>
      </c>
      <c r="G1222" s="15" t="n">
        <v>1.83729994297028</v>
      </c>
      <c r="H1222" s="16">
        <f>C1222+E1222</f>
        <v/>
      </c>
    </row>
    <row r="1223">
      <c r="A1223" s="12" t="n">
        <v>43788</v>
      </c>
      <c r="B1223" s="15" t="n">
        <v>-0.11710000038147</v>
      </c>
      <c r="C1223" s="15" t="n">
        <v>-0.104900002479553</v>
      </c>
      <c r="D1223" s="15" t="n">
        <v>2.10520005226135</v>
      </c>
      <c r="E1223" s="15" t="n">
        <v>-0.06780004501342771</v>
      </c>
      <c r="F1223" s="15" t="n">
        <v>0.477100014686584</v>
      </c>
      <c r="G1223" s="15" t="n">
        <v>1.8154000043869</v>
      </c>
      <c r="H1223" s="16">
        <f>C1223+E1223</f>
        <v/>
      </c>
    </row>
    <row r="1224">
      <c r="A1224" s="12" t="n">
        <v>43789</v>
      </c>
      <c r="B1224" s="15" t="n">
        <v>-0.132800005376339</v>
      </c>
      <c r="C1224" s="15" t="n">
        <v>-0.124399997293949</v>
      </c>
      <c r="D1224" s="15" t="n">
        <v>2.09299993515015</v>
      </c>
      <c r="E1224" s="15" t="n">
        <v>-0.0722999572753906</v>
      </c>
      <c r="F1224" s="15" t="n">
        <v>0.47859999537468</v>
      </c>
      <c r="G1224" s="15" t="n">
        <v>1.76349997520447</v>
      </c>
      <c r="H1224" s="16">
        <f>C1224+E1224</f>
        <v/>
      </c>
    </row>
    <row r="1225">
      <c r="A1225" s="12" t="n">
        <v>43790</v>
      </c>
      <c r="B1225" s="15" t="n">
        <v>-0.119099996984005</v>
      </c>
      <c r="C1225" s="15" t="n">
        <v>-0.112300001084805</v>
      </c>
      <c r="D1225" s="15" t="n">
        <v>2.10130000114441</v>
      </c>
      <c r="E1225" s="15" t="n">
        <v>-0.06970001757144929</v>
      </c>
      <c r="F1225" s="15" t="n">
        <v>0.475199997425079</v>
      </c>
      <c r="G1225" s="15" t="n">
        <v>1.80019998550415</v>
      </c>
      <c r="H1225" s="16">
        <f>C1225+E1225</f>
        <v/>
      </c>
    </row>
    <row r="1226">
      <c r="A1226" s="12" t="n">
        <v>43791</v>
      </c>
      <c r="B1226" s="15" t="n">
        <v>-0.118700005114079</v>
      </c>
      <c r="C1226" s="15" t="n">
        <v>-0.113799996674061</v>
      </c>
      <c r="D1226" s="15" t="n">
        <v>2.10030007362366</v>
      </c>
      <c r="E1226" s="15" t="n">
        <v>-0.06990011036396029</v>
      </c>
      <c r="F1226" s="15" t="n">
        <v>0.47409999370575</v>
      </c>
      <c r="G1226" s="15" t="n">
        <v>1.79789996147156</v>
      </c>
      <c r="H1226" s="16">
        <f>C1226+E1226</f>
        <v/>
      </c>
    </row>
    <row r="1227">
      <c r="A1227" s="12" t="n">
        <v>43794</v>
      </c>
      <c r="B1227" s="15" t="n">
        <v>-0.118499994277954</v>
      </c>
      <c r="C1227" s="15" t="n">
        <v>-0.119000002741814</v>
      </c>
      <c r="D1227" s="15" t="n">
        <v>2.09800004959106</v>
      </c>
      <c r="E1227" s="15" t="n">
        <v>-0.0711000710725784</v>
      </c>
      <c r="F1227" s="15" t="n">
        <v>0.467700004577637</v>
      </c>
      <c r="G1227" s="15" t="n">
        <v>1.78939998149872</v>
      </c>
      <c r="H1227" s="16">
        <f>C1227+E1227</f>
        <v/>
      </c>
    </row>
    <row r="1228">
      <c r="A1228" s="12" t="n">
        <v>43795</v>
      </c>
      <c r="B1228" s="15" t="n">
        <v>-0.124999985098839</v>
      </c>
      <c r="C1228" s="15" t="n">
        <v>-0.129800006747246</v>
      </c>
      <c r="D1228" s="15" t="n">
        <v>2.09200000762939</v>
      </c>
      <c r="E1228" s="15" t="n">
        <v>-0.0738000571727753</v>
      </c>
      <c r="F1228" s="15" t="n">
        <v>0.462900012731552</v>
      </c>
      <c r="G1228" s="15" t="n">
        <v>1.76339995861053</v>
      </c>
      <c r="H1228" s="16">
        <f>C1228+E1228</f>
        <v/>
      </c>
    </row>
    <row r="1229">
      <c r="A1229" s="12" t="n">
        <v>43796</v>
      </c>
      <c r="B1229" s="15" t="n">
        <v>-0.111800007522106</v>
      </c>
      <c r="C1229" s="15" t="n">
        <v>-0.118299998342991</v>
      </c>
      <c r="D1229" s="15" t="n">
        <v>2.09990000724792</v>
      </c>
      <c r="E1229" s="15" t="n">
        <v>-0.071200042963028</v>
      </c>
      <c r="F1229" s="15" t="n">
        <v>0.465900003910065</v>
      </c>
      <c r="G1229" s="15" t="n">
        <v>1.7985999584198</v>
      </c>
      <c r="H1229" s="16">
        <f>C1229+E1229</f>
        <v/>
      </c>
    </row>
    <row r="1230">
      <c r="A1230" s="12" t="n">
        <v>43798</v>
      </c>
      <c r="B1230" s="15" t="n">
        <v>-0.109499998390675</v>
      </c>
      <c r="C1230" s="15" t="n">
        <v>-0.113300003111362</v>
      </c>
      <c r="D1230" s="15" t="n">
        <v>2.1029999256134</v>
      </c>
      <c r="E1230" s="15" t="n">
        <v>-0.0701999813318253</v>
      </c>
      <c r="F1230" s="15" t="n">
        <v>0.479900002479553</v>
      </c>
      <c r="G1230" s="15" t="n">
        <v>1.80999994277954</v>
      </c>
      <c r="H1230" s="16">
        <f>C1230+E1230</f>
        <v/>
      </c>
    </row>
    <row r="1231">
      <c r="A1231" s="12" t="n">
        <v>43801</v>
      </c>
      <c r="B1231" s="15" t="n">
        <v>-0.0972000062465668</v>
      </c>
      <c r="C1231" s="15" t="n">
        <v>-0.0916000008583069</v>
      </c>
      <c r="D1231" s="15" t="n">
        <v>2.1159999370575</v>
      </c>
      <c r="E1231" s="15" t="n">
        <v>-0.0651999413967133</v>
      </c>
      <c r="F1231" s="15" t="n">
        <v>0.467999994754791</v>
      </c>
      <c r="G1231" s="15" t="n">
        <v>1.86199998855591</v>
      </c>
      <c r="H1231" s="16">
        <f>C1231+E1231</f>
        <v/>
      </c>
    </row>
    <row r="1232">
      <c r="A1232" s="12" t="n">
        <v>43802</v>
      </c>
      <c r="B1232" s="15" t="n">
        <v>-0.138199999928474</v>
      </c>
      <c r="C1232" s="15" t="n">
        <v>-0.12890000641346</v>
      </c>
      <c r="D1232" s="15" t="n">
        <v>2.09019994735718</v>
      </c>
      <c r="E1232" s="15" t="n">
        <v>-0.07339999079704281</v>
      </c>
      <c r="F1232" s="15" t="n">
        <v>0.45320001244545</v>
      </c>
      <c r="G1232" s="15" t="n">
        <v>1.7496999502182</v>
      </c>
      <c r="H1232" s="16">
        <f>C1232+E1232</f>
        <v/>
      </c>
    </row>
    <row r="1233">
      <c r="A1233" s="12" t="n">
        <v>43803</v>
      </c>
      <c r="B1233" s="15" t="n">
        <v>-0.124099992215633</v>
      </c>
      <c r="C1233" s="15" t="n">
        <v>-0.110600002110004</v>
      </c>
      <c r="D1233" s="15" t="n">
        <v>2.1010000705719</v>
      </c>
      <c r="E1233" s="15" t="n">
        <v>-0.0690000951290131</v>
      </c>
      <c r="F1233" s="15" t="n">
        <v>0.441700011491776</v>
      </c>
      <c r="G1233" s="15" t="n">
        <v>1.79729998111725</v>
      </c>
      <c r="H1233" s="16">
        <f>C1233+E1233</f>
        <v/>
      </c>
    </row>
    <row r="1234">
      <c r="A1234" s="12" t="n">
        <v>43804</v>
      </c>
      <c r="B1234" s="15" t="n">
        <v>-0.11769999563694</v>
      </c>
      <c r="C1234" s="15" t="n">
        <v>-0.09860000014305111</v>
      </c>
      <c r="D1234" s="15" t="n">
        <v>2.10750007629395</v>
      </c>
      <c r="E1234" s="15" t="n">
        <v>-0.0661001354455948</v>
      </c>
      <c r="F1234" s="15" t="n">
        <v>0.444599986076355</v>
      </c>
      <c r="G1234" s="15" t="n">
        <v>1.82509994506836</v>
      </c>
      <c r="H1234" s="16">
        <f>C1234+E1234</f>
        <v/>
      </c>
    </row>
    <row r="1235">
      <c r="A1235" s="12" t="n">
        <v>43805</v>
      </c>
      <c r="B1235" s="15" t="n">
        <v>-0.103700004518032</v>
      </c>
      <c r="C1235" s="15" t="n">
        <v>-0.0838999971747398</v>
      </c>
      <c r="D1235" s="15" t="n">
        <v>2.11669993400574</v>
      </c>
      <c r="E1235" s="15" t="n">
        <v>-0.0624998956918716</v>
      </c>
      <c r="F1235" s="15" t="n">
        <v>0.432900011539459</v>
      </c>
      <c r="G1235" s="15" t="n">
        <v>1.86660003662109</v>
      </c>
      <c r="H1235" s="16">
        <f>C1235+E1235</f>
        <v/>
      </c>
    </row>
    <row r="1236">
      <c r="A1236" s="12" t="n">
        <v>43808</v>
      </c>
      <c r="B1236" s="15" t="n">
        <v>-0.103199996054173</v>
      </c>
      <c r="C1236" s="15" t="n">
        <v>-0.0886000022292137</v>
      </c>
      <c r="D1236" s="15" t="n">
        <v>2.11459994316101</v>
      </c>
      <c r="E1236" s="15" t="n">
        <v>-0.06369996070861821</v>
      </c>
      <c r="F1236" s="15" t="n">
        <v>0.4307000041008</v>
      </c>
      <c r="G1236" s="15" t="n">
        <v>1.85909998416901</v>
      </c>
      <c r="H1236" s="16">
        <f>C1236+E1236</f>
        <v/>
      </c>
    </row>
    <row r="1237">
      <c r="A1237" s="12" t="n">
        <v>43809</v>
      </c>
      <c r="B1237" s="15" t="n">
        <v>-0.100499995052814</v>
      </c>
      <c r="C1237" s="15" t="n">
        <v>-0.0859000012278557</v>
      </c>
      <c r="D1237" s="15" t="n">
        <v>2.11590003967285</v>
      </c>
      <c r="E1237" s="15" t="n">
        <v>-0.0629000067710876</v>
      </c>
      <c r="F1237" s="15" t="n">
        <v>0.42620000243187</v>
      </c>
      <c r="G1237" s="15" t="n">
        <v>1.86660003662109</v>
      </c>
      <c r="H1237" s="16">
        <f>C1237+E1237</f>
        <v/>
      </c>
    </row>
    <row r="1238">
      <c r="A1238" s="12" t="n">
        <v>43810</v>
      </c>
      <c r="B1238" s="15" t="n">
        <v>-0.114600002765656</v>
      </c>
      <c r="C1238" s="15" t="n">
        <v>-0.105599999427795</v>
      </c>
      <c r="D1238" s="15" t="n">
        <v>2.10400009155273</v>
      </c>
      <c r="E1238" s="15" t="n">
        <v>-0.06750005483627319</v>
      </c>
      <c r="F1238" s="15" t="n">
        <v>0.414700001478195</v>
      </c>
      <c r="G1238" s="15" t="n">
        <v>1.81630003452301</v>
      </c>
      <c r="H1238" s="16">
        <f>C1238+E1238</f>
        <v/>
      </c>
    </row>
    <row r="1239">
      <c r="A1239" s="12" t="n">
        <v>43811</v>
      </c>
      <c r="B1239" s="15" t="n">
        <v>-0.08399999886751169</v>
      </c>
      <c r="C1239" s="15" t="n">
        <v>-0.0646999999880791</v>
      </c>
      <c r="D1239" s="15" t="n">
        <v>2.12910008430481</v>
      </c>
      <c r="E1239" s="15" t="n">
        <v>-0.0581001043319702</v>
      </c>
      <c r="F1239" s="15" t="n">
        <v>0.420100003480911</v>
      </c>
      <c r="G1239" s="15" t="n">
        <v>1.92229998111725</v>
      </c>
      <c r="H1239" s="16">
        <f>C1239+E1239</f>
        <v/>
      </c>
    </row>
    <row r="1240">
      <c r="A1240" s="12" t="n">
        <v>43812</v>
      </c>
      <c r="B1240" s="15" t="n">
        <v>-0.108500003814697</v>
      </c>
      <c r="C1240" s="15" t="n">
        <v>-0.09049999713897711</v>
      </c>
      <c r="D1240" s="15" t="n">
        <v>2.11220002174377</v>
      </c>
      <c r="E1240" s="15" t="n">
        <v>-0.0638999938964844</v>
      </c>
      <c r="F1240" s="15" t="n">
        <v>0.411300003528595</v>
      </c>
      <c r="G1240" s="15" t="n">
        <v>1.84930002689362</v>
      </c>
      <c r="H1240" s="16">
        <f>C1240+E1240</f>
        <v/>
      </c>
    </row>
    <row r="1241">
      <c r="A1241" s="12" t="n">
        <v>43815</v>
      </c>
      <c r="B1241" s="15" t="n">
        <v>-0.08789999037981031</v>
      </c>
      <c r="C1241" s="15" t="n">
        <v>-0.06930000334978099</v>
      </c>
      <c r="D1241" s="15" t="n">
        <v>2.12649989128113</v>
      </c>
      <c r="E1241" s="15" t="n">
        <v>-0.0592999309301376</v>
      </c>
      <c r="F1241" s="15" t="n">
        <v>0.408300012350082</v>
      </c>
      <c r="G1241" s="15" t="n">
        <v>1.9099999666214</v>
      </c>
      <c r="H1241" s="16">
        <f>C1241+E1241</f>
        <v/>
      </c>
    </row>
    <row r="1242">
      <c r="A1242" s="12" t="n">
        <v>43816</v>
      </c>
      <c r="B1242" s="15" t="n">
        <v>-0.0879999995231628</v>
      </c>
      <c r="C1242" s="15" t="n">
        <v>-0.06870000064373021</v>
      </c>
      <c r="D1242" s="15" t="n">
        <v>2.12689995765686</v>
      </c>
      <c r="E1242" s="15" t="n">
        <v>-0.0591999441385269</v>
      </c>
      <c r="F1242" s="15" t="n">
        <v>0.394400000572205</v>
      </c>
      <c r="G1242" s="15" t="n">
        <v>1.91100001335144</v>
      </c>
      <c r="H1242" s="16">
        <f>C1242+E1242</f>
        <v/>
      </c>
    </row>
    <row r="1243">
      <c r="A1243" s="12" t="n">
        <v>43817</v>
      </c>
      <c r="B1243" s="15" t="n">
        <v>-0.0777999944984913</v>
      </c>
      <c r="C1243" s="15" t="n">
        <v>-0.0531000010669231</v>
      </c>
      <c r="D1243" s="15" t="n">
        <v>2.13649988174438</v>
      </c>
      <c r="E1243" s="15" t="n">
        <v>-0.0555998384952545</v>
      </c>
      <c r="F1243" s="15" t="n">
        <v>0.386900007724762</v>
      </c>
      <c r="G1243" s="15" t="n">
        <v>1.95000004768372</v>
      </c>
      <c r="H1243" s="16">
        <f>C1243+E1243</f>
        <v/>
      </c>
    </row>
    <row r="1244">
      <c r="A1244" s="12" t="n">
        <v>43818</v>
      </c>
      <c r="B1244" s="15" t="n">
        <v>-0.0808999985456467</v>
      </c>
      <c r="C1244" s="15" t="n">
        <v>-0.0527999997138977</v>
      </c>
      <c r="D1244" s="15" t="n">
        <v>2.1363000869751</v>
      </c>
      <c r="E1244" s="15" t="n">
        <v>-0.0556000620126724</v>
      </c>
      <c r="F1244" s="15" t="n">
        <v>0.376899987459183</v>
      </c>
      <c r="G1244" s="15" t="n">
        <v>1.94700002670288</v>
      </c>
      <c r="H1244" s="16">
        <f>C1244+E1244</f>
        <v/>
      </c>
    </row>
    <row r="1245">
      <c r="A1245" s="12" t="n">
        <v>43819</v>
      </c>
      <c r="B1245" s="15" t="n">
        <v>-0.0775999948382378</v>
      </c>
      <c r="C1245" s="15" t="n">
        <v>-0.0505999997258186</v>
      </c>
      <c r="D1245" s="15" t="n">
        <v>2.13820004463196</v>
      </c>
      <c r="E1245" s="15" t="n">
        <v>-0.0553000569343567</v>
      </c>
      <c r="F1245" s="15" t="n">
        <v>0.379599988460541</v>
      </c>
      <c r="G1245" s="15" t="n">
        <v>1.95469999313354</v>
      </c>
      <c r="H1245" s="16">
        <f>C1245+E1245</f>
        <v/>
      </c>
    </row>
    <row r="1246">
      <c r="A1246" s="12" t="n">
        <v>43822</v>
      </c>
      <c r="B1246" s="15" t="n">
        <v>-0.0714999958872795</v>
      </c>
      <c r="C1246" s="15" t="n">
        <v>-0.0498000010848045</v>
      </c>
      <c r="D1246" s="15" t="n">
        <v>2.13980007171631</v>
      </c>
      <c r="E1246" s="15" t="n">
        <v>-0.0552000850439072</v>
      </c>
      <c r="F1246" s="15" t="n">
        <v>0.391699999570847</v>
      </c>
      <c r="G1246" s="15" t="n">
        <v>1.96329998970032</v>
      </c>
      <c r="H1246" s="16">
        <f>C1246+E1246</f>
        <v/>
      </c>
    </row>
    <row r="1247">
      <c r="A1247" s="12" t="n">
        <v>43823</v>
      </c>
      <c r="B1247" s="15" t="n">
        <v>-0.07899999618530271</v>
      </c>
      <c r="C1247" s="15" t="n">
        <v>-0.0599000006914139</v>
      </c>
      <c r="D1247" s="15" t="n">
        <v>2.13420009613037</v>
      </c>
      <c r="E1247" s="15" t="n">
        <v>-0.0578000992536545</v>
      </c>
      <c r="F1247" s="15" t="n">
        <v>0.386099994182587</v>
      </c>
      <c r="G1247" s="15" t="n">
        <v>1.9375</v>
      </c>
      <c r="H1247" s="16">
        <f>C1247+E1247</f>
        <v/>
      </c>
    </row>
    <row r="1248">
      <c r="A1248" s="12" t="n">
        <v>43825</v>
      </c>
      <c r="B1248" s="15" t="n">
        <v>-0.07870000600814819</v>
      </c>
      <c r="C1248" s="15" t="n">
        <v>-0.060699999332428</v>
      </c>
      <c r="D1248" s="15" t="n">
        <v>2.1340000629425</v>
      </c>
      <c r="E1248" s="15" t="n">
        <v>-0.0580000877380371</v>
      </c>
      <c r="F1248" s="15" t="n">
        <v>0.39070001244545</v>
      </c>
      <c r="G1248" s="15" t="n">
        <v>1.93659996986389</v>
      </c>
      <c r="H1248" s="16">
        <f>C1248+E1248</f>
        <v/>
      </c>
    </row>
    <row r="1249">
      <c r="A1249" s="12" t="n">
        <v>43826</v>
      </c>
      <c r="B1249" s="15" t="n">
        <v>-0.0899000018835068</v>
      </c>
      <c r="C1249" s="15" t="n">
        <v>-0.0666999965906143</v>
      </c>
      <c r="D1249" s="15" t="n">
        <v>2.12940001487732</v>
      </c>
      <c r="E1249" s="15" t="n">
        <v>-0.0593999624252319</v>
      </c>
      <c r="F1249" s="15" t="n">
        <v>0.401399999856949</v>
      </c>
      <c r="G1249" s="15" t="n">
        <v>1.91340005397797</v>
      </c>
      <c r="H1249" s="16">
        <f>C1249+E1249</f>
        <v/>
      </c>
    </row>
    <row r="1250">
      <c r="A1250" s="12" t="n">
        <v>43829</v>
      </c>
      <c r="B1250" s="15" t="n">
        <v>-0.08600000292062759</v>
      </c>
      <c r="C1250" s="15" t="n">
        <v>-0.0612000003457069</v>
      </c>
      <c r="D1250" s="15" t="n">
        <v>2.13339996337891</v>
      </c>
      <c r="E1250" s="15" t="n">
        <v>-0.0584999173879623</v>
      </c>
      <c r="F1250" s="15" t="n">
        <v>0.389800012111664</v>
      </c>
      <c r="G1250" s="15" t="n">
        <v>1.92770004272461</v>
      </c>
      <c r="H1250" s="16">
        <f>C1250+E1250</f>
        <v/>
      </c>
    </row>
    <row r="1251">
      <c r="A1251" s="12" t="n">
        <v>43830</v>
      </c>
      <c r="B1251" s="15" t="n">
        <v>-0.0785000026226044</v>
      </c>
      <c r="C1251" s="15" t="n">
        <v>-0.0500999987125397</v>
      </c>
      <c r="D1251" s="15" t="n">
        <v>2.14050006866455</v>
      </c>
      <c r="E1251" s="15" t="n">
        <v>-0.0560001134872437</v>
      </c>
      <c r="F1251" s="15" t="n">
        <v>0.372599989175797</v>
      </c>
      <c r="G1251" s="15" t="n">
        <v>1.95589995384216</v>
      </c>
      <c r="H1251" s="16">
        <f>C1251+E1251</f>
        <v/>
      </c>
    </row>
    <row r="1252">
      <c r="A1252" s="12" t="n">
        <v>43832</v>
      </c>
      <c r="B1252" s="15" t="n">
        <v>-0.0947999954223633</v>
      </c>
      <c r="C1252" s="15" t="n">
        <v>-0.0649999976158142</v>
      </c>
      <c r="D1252" s="15" t="n">
        <v>2.12969994544983</v>
      </c>
      <c r="E1252" s="15" t="n">
        <v>-0.0590999722480774</v>
      </c>
      <c r="F1252" s="15" t="n">
        <v>0.344700008630753</v>
      </c>
      <c r="G1252" s="15" t="n">
        <v>1.91079998016357</v>
      </c>
      <c r="H1252" s="16">
        <f>C1252+E1252</f>
        <v/>
      </c>
    </row>
    <row r="1253">
      <c r="A1253" s="12" t="n">
        <v>43833</v>
      </c>
      <c r="B1253" s="15" t="n">
        <v>-0.120799995958805</v>
      </c>
      <c r="C1253" s="15" t="n">
        <v>-0.0922000035643578</v>
      </c>
      <c r="D1253" s="15" t="n">
        <v>2.11159992218018</v>
      </c>
      <c r="E1253" s="15" t="n">
        <v>-0.06509989500045781</v>
      </c>
      <c r="F1253" s="15" t="n">
        <v>0.339100003242493</v>
      </c>
      <c r="G1253" s="15" t="n">
        <v>1.83350002765656</v>
      </c>
      <c r="H1253" s="16">
        <f>C1253+E1253</f>
        <v/>
      </c>
    </row>
    <row r="1254">
      <c r="A1254" s="12" t="n">
        <v>43836</v>
      </c>
      <c r="B1254" s="15" t="n">
        <v>-0.11599999666214</v>
      </c>
      <c r="C1254" s="15" t="n">
        <v>-0.0891000032424927</v>
      </c>
      <c r="D1254" s="15" t="n">
        <v>2.11409997940063</v>
      </c>
      <c r="E1254" s="15" t="n">
        <v>-0.0645999312400818</v>
      </c>
      <c r="F1254" s="15" t="n">
        <v>0.355800002813339</v>
      </c>
      <c r="G1254" s="15" t="n">
        <v>1.84440004825592</v>
      </c>
      <c r="H1254" s="16">
        <f>C1254+E1254</f>
        <v/>
      </c>
    </row>
    <row r="1255">
      <c r="A1255" s="12" t="n">
        <v>43837</v>
      </c>
      <c r="B1255" s="15" t="n">
        <v>-0.110299997031689</v>
      </c>
      <c r="C1255" s="15" t="n">
        <v>-0.08160000294446949</v>
      </c>
      <c r="D1255" s="15" t="n">
        <v>2.11879992485046</v>
      </c>
      <c r="E1255" s="15" t="n">
        <v>-0.062799945473671</v>
      </c>
      <c r="F1255" s="15" t="n">
        <v>0.374199986457825</v>
      </c>
      <c r="G1255" s="15" t="n">
        <v>1.86409997940063</v>
      </c>
      <c r="H1255" s="16">
        <f>C1255+E1255</f>
        <v/>
      </c>
    </row>
    <row r="1256">
      <c r="A1256" s="12" t="n">
        <v>43838</v>
      </c>
      <c r="B1256" s="15" t="n">
        <v>-0.0972999930381775</v>
      </c>
      <c r="C1256" s="15" t="n">
        <v>-0.066200003027916</v>
      </c>
      <c r="D1256" s="15" t="n">
        <v>2.12829995155334</v>
      </c>
      <c r="E1256" s="15" t="n">
        <v>-0.0592000037431717</v>
      </c>
      <c r="F1256" s="15" t="n">
        <v>0.372099995613098</v>
      </c>
      <c r="G1256" s="15" t="n">
        <v>1.90559995174408</v>
      </c>
      <c r="H1256" s="16">
        <f>C1256+E1256</f>
        <v/>
      </c>
    </row>
    <row r="1257">
      <c r="A1257" s="12" t="n">
        <v>43839</v>
      </c>
      <c r="B1257" s="15" t="n">
        <v>-0.103399999439716</v>
      </c>
      <c r="C1257" s="15" t="n">
        <v>-0.07360000163316729</v>
      </c>
      <c r="D1257" s="15" t="n">
        <v>2.12360000610352</v>
      </c>
      <c r="E1257" s="15" t="n">
        <v>-0.060900017619133</v>
      </c>
      <c r="F1257" s="15" t="n">
        <v>0.375200003385544</v>
      </c>
      <c r="G1257" s="15" t="n">
        <v>1.8856999874115</v>
      </c>
      <c r="H1257" s="16">
        <f>C1257+E1257</f>
        <v/>
      </c>
    </row>
    <row r="1258">
      <c r="A1258" s="12" t="n">
        <v>43840</v>
      </c>
      <c r="B1258" s="15" t="n">
        <v>-0.112499997019768</v>
      </c>
      <c r="C1258" s="15" t="n">
        <v>-0.0843999981880188</v>
      </c>
      <c r="D1258" s="15" t="n">
        <v>2.11630010604858</v>
      </c>
      <c r="E1258" s="15" t="n">
        <v>-0.0632001310586929</v>
      </c>
      <c r="F1258" s="15" t="n">
        <v>0.365700006484985</v>
      </c>
      <c r="G1258" s="15" t="n">
        <v>1.8561999797821</v>
      </c>
      <c r="H1258" s="16">
        <f>C1258+E1258</f>
        <v/>
      </c>
    </row>
    <row r="1259">
      <c r="A1259" s="12" t="n">
        <v>43843</v>
      </c>
      <c r="B1259" s="15" t="n">
        <v>-0.10530000180006</v>
      </c>
      <c r="C1259" s="15" t="n">
        <v>-0.08039999753236771</v>
      </c>
      <c r="D1259" s="15" t="n">
        <v>2.11969995498657</v>
      </c>
      <c r="E1259" s="15" t="n">
        <v>-0.0623999238014221</v>
      </c>
      <c r="F1259" s="15" t="n">
        <v>0.358599990606308</v>
      </c>
      <c r="G1259" s="15" t="n">
        <v>1.87160003185272</v>
      </c>
      <c r="H1259" s="16">
        <f>C1259+E1259</f>
        <v/>
      </c>
    </row>
    <row r="1260">
      <c r="A1260" s="12" t="n">
        <v>43844</v>
      </c>
      <c r="B1260" s="15" t="n">
        <v>-0.113099992275238</v>
      </c>
      <c r="C1260" s="15" t="n">
        <v>-0.0916000008583069</v>
      </c>
      <c r="D1260" s="15" t="n">
        <v>2.11290001869202</v>
      </c>
      <c r="E1260" s="15" t="n">
        <v>-0.065000057220459</v>
      </c>
      <c r="F1260" s="15" t="n">
        <v>0.354099988937378</v>
      </c>
      <c r="G1260" s="15" t="n">
        <v>1.84319996833801</v>
      </c>
      <c r="H1260" s="16">
        <f>C1260+E1260</f>
        <v/>
      </c>
    </row>
    <row r="1261">
      <c r="A1261" s="12" t="n">
        <v>43845</v>
      </c>
      <c r="B1261" s="15" t="n">
        <v>-0.121299996972084</v>
      </c>
      <c r="C1261" s="15" t="n">
        <v>-0.104599997401237</v>
      </c>
      <c r="D1261" s="15" t="n">
        <v>2.10540008544922</v>
      </c>
      <c r="E1261" s="15" t="n">
        <v>-0.0681000351905823</v>
      </c>
      <c r="F1261" s="15" t="n">
        <v>0.360500007867813</v>
      </c>
      <c r="G1261" s="15" t="n">
        <v>1.81140005588531</v>
      </c>
      <c r="H1261" s="16">
        <f>C1261+E1261</f>
        <v/>
      </c>
    </row>
    <row r="1262">
      <c r="A1262" s="12" t="n">
        <v>43846</v>
      </c>
      <c r="B1262" s="15" t="n">
        <v>-0.115800000727177</v>
      </c>
      <c r="C1262" s="15" t="n">
        <v>-0.0935999974608421</v>
      </c>
      <c r="D1262" s="15" t="n">
        <v>2.11139988899231</v>
      </c>
      <c r="E1262" s="15" t="n">
        <v>-0.06539994478225709</v>
      </c>
      <c r="F1262" s="15" t="n">
        <v>0.369599997997284</v>
      </c>
      <c r="G1262" s="15" t="n">
        <v>1.83659994602203</v>
      </c>
      <c r="H1262" s="16">
        <f>C1262+E1262</f>
        <v/>
      </c>
    </row>
    <row r="1263">
      <c r="A1263" s="12" t="n">
        <v>43847</v>
      </c>
      <c r="B1263" s="15" t="n">
        <v>-0.109200000762939</v>
      </c>
      <c r="C1263" s="15" t="n">
        <v>-0.08470000326633451</v>
      </c>
      <c r="D1263" s="15" t="n">
        <v>2.11730003356934</v>
      </c>
      <c r="E1263" s="15" t="n">
        <v>-0.0635000318288803</v>
      </c>
      <c r="F1263" s="15" t="n">
        <v>0.367500007152557</v>
      </c>
      <c r="G1263" s="15" t="n">
        <v>1.85989999771118</v>
      </c>
      <c r="H1263" s="16">
        <f>C1263+E1263</f>
        <v/>
      </c>
    </row>
    <row r="1264">
      <c r="A1264" s="12" t="n">
        <v>43851</v>
      </c>
      <c r="B1264" s="15" t="n">
        <v>-0.126499995589256</v>
      </c>
      <c r="C1264" s="15" t="n">
        <v>-0.105499997735023</v>
      </c>
      <c r="D1264" s="15" t="n">
        <v>2.10450005531311</v>
      </c>
      <c r="E1264" s="15" t="n">
        <v>-0.0684000253677368</v>
      </c>
      <c r="F1264" s="15" t="n">
        <v>0.359499990940094</v>
      </c>
      <c r="G1264" s="15" t="n">
        <v>1.80410003662109</v>
      </c>
      <c r="H1264" s="16">
        <f>C1264+E1264</f>
        <v/>
      </c>
    </row>
    <row r="1265">
      <c r="A1265" s="12" t="n">
        <v>43852</v>
      </c>
      <c r="B1265" s="15" t="n">
        <v>-0.129300005733967</v>
      </c>
      <c r="C1265" s="15" t="n">
        <v>-0.106899999082088</v>
      </c>
      <c r="D1265" s="15" t="n">
        <v>2.10330009460449</v>
      </c>
      <c r="E1265" s="15" t="n">
        <v>-0.0686001479625702</v>
      </c>
      <c r="F1265" s="15" t="n">
        <v>0.375</v>
      </c>
      <c r="G1265" s="15" t="n">
        <v>1.79849994182587</v>
      </c>
      <c r="H1265" s="16">
        <f>C1265+E1265</f>
        <v/>
      </c>
    </row>
    <row r="1266">
      <c r="A1266" s="12" t="n">
        <v>43853</v>
      </c>
      <c r="B1266" s="15" t="n">
        <v>-0.140399999916553</v>
      </c>
      <c r="C1266" s="15" t="n">
        <v>-0.122000001370907</v>
      </c>
      <c r="D1266" s="15" t="n">
        <v>2.09389996528625</v>
      </c>
      <c r="E1266" s="15" t="n">
        <v>-0.0719999372959137</v>
      </c>
      <c r="F1266" s="15" t="n">
        <v>0.371300011873245</v>
      </c>
      <c r="G1266" s="15" t="n">
        <v>1.75950002670288</v>
      </c>
      <c r="H1266" s="16">
        <f>C1266+E1266</f>
        <v/>
      </c>
    </row>
    <row r="1267">
      <c r="A1267" s="12" t="n">
        <v>43854</v>
      </c>
      <c r="B1267" s="15" t="n">
        <v>-0.153500005602837</v>
      </c>
      <c r="C1267" s="15" t="n">
        <v>-0.136600002646446</v>
      </c>
      <c r="D1267" s="15" t="n">
        <v>2.08439993858337</v>
      </c>
      <c r="E1267" s="15" t="n">
        <v>-0.0752999484539032</v>
      </c>
      <c r="F1267" s="15" t="n">
        <v>0.373600006103516</v>
      </c>
      <c r="G1267" s="15" t="n">
        <v>1.71899998188019</v>
      </c>
      <c r="H1267" s="16">
        <f>C1267+E1267</f>
        <v/>
      </c>
    </row>
    <row r="1268">
      <c r="A1268" s="12" t="n">
        <v>43857</v>
      </c>
      <c r="B1268" s="15" t="n">
        <v>-0.177900016307831</v>
      </c>
      <c r="C1268" s="15" t="n">
        <v>-0.171299993991852</v>
      </c>
      <c r="D1268" s="15" t="n">
        <v>2.06389999389648</v>
      </c>
      <c r="E1268" s="15" t="n">
        <v>-0.0835000276565552</v>
      </c>
      <c r="F1268" s="15" t="n">
        <v>0.392500013113022</v>
      </c>
      <c r="G1268" s="15" t="n">
        <v>1.63119995594025</v>
      </c>
      <c r="H1268" s="16">
        <f>C1268+E1268</f>
        <v/>
      </c>
    </row>
    <row r="1269">
      <c r="A1269" s="12" t="n">
        <v>43858</v>
      </c>
      <c r="B1269" s="15" t="n">
        <v>-0.165600001811981</v>
      </c>
      <c r="C1269" s="15" t="n">
        <v>-0.160899996757507</v>
      </c>
      <c r="D1269" s="15" t="n">
        <v>2.0715000629425</v>
      </c>
      <c r="E1269" s="15" t="n">
        <v>-0.0814000964164734</v>
      </c>
      <c r="F1269" s="15" t="n">
        <v>0.387600004673004</v>
      </c>
      <c r="G1269" s="15" t="n">
        <v>1.66359996795654</v>
      </c>
      <c r="H1269" s="16">
        <f>C1269+E1269</f>
        <v/>
      </c>
    </row>
    <row r="1270">
      <c r="A1270" s="12" t="n">
        <v>43859</v>
      </c>
      <c r="B1270" s="15" t="n">
        <v>-0.183200001716614</v>
      </c>
      <c r="C1270" s="15" t="n">
        <v>-0.179800003767014</v>
      </c>
      <c r="D1270" s="15" t="n">
        <v>2.05940008163452</v>
      </c>
      <c r="E1270" s="15" t="n">
        <v>-0.0857000648975372</v>
      </c>
      <c r="F1270" s="15" t="n">
        <v>0.379099994897842</v>
      </c>
      <c r="G1270" s="15" t="n">
        <v>1.61070001125336</v>
      </c>
      <c r="H1270" s="16">
        <f>C1270+E1270</f>
        <v/>
      </c>
    </row>
    <row r="1271">
      <c r="A1271" s="12" t="n">
        <v>43860</v>
      </c>
      <c r="B1271" s="15" t="n">
        <v>-0.190499991178513</v>
      </c>
      <c r="C1271" s="15" t="n">
        <v>-0.188800007104874</v>
      </c>
      <c r="D1271" s="15" t="n">
        <v>2.05399990081787</v>
      </c>
      <c r="E1271" s="15" t="n">
        <v>-0.087899923324585</v>
      </c>
      <c r="F1271" s="15" t="n">
        <v>0.368699997663498</v>
      </c>
      <c r="G1271" s="15" t="n">
        <v>1.5867999792099</v>
      </c>
      <c r="H1271" s="16">
        <f>C1271+E1271</f>
        <v/>
      </c>
    </row>
    <row r="1272">
      <c r="A1272" s="12" t="n">
        <v>43861</v>
      </c>
      <c r="B1272" s="15" t="n">
        <v>-0.214100018143654</v>
      </c>
      <c r="C1272" s="15" t="n">
        <v>-0.208399996161461</v>
      </c>
      <c r="D1272" s="15" t="n">
        <v>2.04040002822876</v>
      </c>
      <c r="E1272" s="15" t="n">
        <v>-0.0922000408172607</v>
      </c>
      <c r="F1272" s="15" t="n">
        <v>0.347299993038177</v>
      </c>
      <c r="G1272" s="15" t="n">
        <v>1.52569997310638</v>
      </c>
      <c r="H1272" s="16">
        <f>C1272+E1272</f>
        <v/>
      </c>
    </row>
    <row r="1273">
      <c r="A1273" s="12" t="n">
        <v>43864</v>
      </c>
      <c r="B1273" s="15" t="n">
        <v>-0.202300012111664</v>
      </c>
      <c r="C1273" s="15" t="n">
        <v>-0.199000000953674</v>
      </c>
      <c r="D1273" s="15" t="n">
        <v>2.04739999771118</v>
      </c>
      <c r="E1273" s="15" t="n">
        <v>-0.0903000235557556</v>
      </c>
      <c r="F1273" s="15" t="n">
        <v>0.37610000371933</v>
      </c>
      <c r="G1273" s="15" t="n">
        <v>1.55579996109009</v>
      </c>
      <c r="H1273" s="16">
        <f>C1273+E1273</f>
        <v/>
      </c>
    </row>
    <row r="1274">
      <c r="A1274" s="12" t="n">
        <v>43865</v>
      </c>
      <c r="B1274" s="15" t="n">
        <v>-0.179499983787537</v>
      </c>
      <c r="C1274" s="15" t="n">
        <v>-0.174600005149841</v>
      </c>
      <c r="D1274" s="15" t="n">
        <v>2.06319999694824</v>
      </c>
      <c r="E1274" s="15" t="n">
        <v>-0.0848000049591064</v>
      </c>
      <c r="F1274" s="15" t="n">
        <v>0.380499988794327</v>
      </c>
      <c r="G1274" s="15" t="n">
        <v>1.62430000305176</v>
      </c>
      <c r="H1274" s="16">
        <f>C1274+E1274</f>
        <v/>
      </c>
    </row>
    <row r="1275">
      <c r="A1275" s="12" t="n">
        <v>43866</v>
      </c>
      <c r="B1275" s="15" t="n">
        <v>-0.164200007915497</v>
      </c>
      <c r="C1275" s="15" t="n">
        <v>-0.155699998140335</v>
      </c>
      <c r="D1275" s="15" t="n">
        <v>2.07480001449585</v>
      </c>
      <c r="E1275" s="15" t="n">
        <v>-0.0804000198841095</v>
      </c>
      <c r="F1275" s="15" t="n">
        <v>0.371399998664856</v>
      </c>
      <c r="G1275" s="15" t="n">
        <v>1.67449998855591</v>
      </c>
      <c r="H1275" s="16">
        <f>C1275+E1275</f>
        <v/>
      </c>
    </row>
    <row r="1276">
      <c r="A1276" s="12" t="n">
        <v>43867</v>
      </c>
      <c r="B1276" s="15" t="n">
        <v>-0.167200013995171</v>
      </c>
      <c r="C1276" s="15" t="n">
        <v>-0.162599995732307</v>
      </c>
      <c r="D1276" s="15" t="n">
        <v>2.07069993019104</v>
      </c>
      <c r="E1276" s="15" t="n">
        <v>-0.081899881362915</v>
      </c>
      <c r="F1276" s="15" t="n">
        <v>0.363900005817413</v>
      </c>
      <c r="G1276" s="15" t="n">
        <v>1.65900003910065</v>
      </c>
      <c r="H1276" s="16">
        <f>C1276+E1276</f>
        <v/>
      </c>
    </row>
    <row r="1277">
      <c r="A1277" s="12" t="n">
        <v>43868</v>
      </c>
      <c r="B1277" s="15" t="n">
        <v>-0.18419998884201</v>
      </c>
      <c r="C1277" s="15" t="n">
        <v>-0.181400001049042</v>
      </c>
      <c r="D1277" s="15" t="n">
        <v>2.05850005149841</v>
      </c>
      <c r="E1277" s="15" t="n">
        <v>-0.08610010147094729</v>
      </c>
      <c r="F1277" s="15" t="n">
        <v>0.355399996042252</v>
      </c>
      <c r="G1277" s="15" t="n">
        <v>1.60679996013641</v>
      </c>
      <c r="H1277" s="16">
        <f>C1277+E1277</f>
        <v/>
      </c>
    </row>
    <row r="1278">
      <c r="A1278" s="12" t="n">
        <v>43871</v>
      </c>
      <c r="B1278" s="15" t="n">
        <v>-0.193000003695488</v>
      </c>
      <c r="C1278" s="15" t="n">
        <v>-0.193499997258186</v>
      </c>
      <c r="D1278" s="15" t="n">
        <v>2.05159997940063</v>
      </c>
      <c r="E1278" s="15" t="n">
        <v>-0.0891000032424927</v>
      </c>
      <c r="F1278" s="15" t="n">
        <v>0.349900007247925</v>
      </c>
      <c r="G1278" s="15" t="n">
        <v>1.57599997520447</v>
      </c>
      <c r="H1278" s="16">
        <f>C1278+E1278</f>
        <v/>
      </c>
    </row>
    <row r="1279">
      <c r="A1279" s="12" t="n">
        <v>43872</v>
      </c>
      <c r="B1279" s="15" t="n">
        <v>-0.186800003051758</v>
      </c>
      <c r="C1279" s="15" t="n">
        <v>-0.180099993944168</v>
      </c>
      <c r="D1279" s="15" t="n">
        <v>2.05879998207092</v>
      </c>
      <c r="E1279" s="15" t="n">
        <v>-0.08590003848075869</v>
      </c>
      <c r="F1279" s="15" t="n">
        <v>0.364199995994568</v>
      </c>
      <c r="G1279" s="15" t="n">
        <v>1.60599994659424</v>
      </c>
      <c r="H1279" s="16">
        <f>C1279+E1279</f>
        <v/>
      </c>
    </row>
    <row r="1280">
      <c r="A1280" s="12" t="n">
        <v>43873</v>
      </c>
      <c r="B1280" s="15" t="n">
        <v>-0.172799989581108</v>
      </c>
      <c r="C1280" s="15" t="n">
        <v>-0.164399996399879</v>
      </c>
      <c r="D1280" s="15" t="n">
        <v>2.06870007514954</v>
      </c>
      <c r="E1280" s="15" t="n">
        <v>-0.0822001099586487</v>
      </c>
      <c r="F1280" s="15" t="n">
        <v>0.354900002479553</v>
      </c>
      <c r="G1280" s="15" t="n">
        <v>1.6492999792099</v>
      </c>
      <c r="H1280" s="16">
        <f>C1280+E1280</f>
        <v/>
      </c>
    </row>
    <row r="1281">
      <c r="A1281" s="12" t="n">
        <v>43874</v>
      </c>
      <c r="B1281" s="15" t="n">
        <v>-0.176799982786179</v>
      </c>
      <c r="C1281" s="15" t="n">
        <v>-0.170100003480911</v>
      </c>
      <c r="D1281" s="15" t="n">
        <v>2.06489992141724</v>
      </c>
      <c r="E1281" s="15" t="n">
        <v>-0.08339989185333251</v>
      </c>
      <c r="F1281" s="15" t="n">
        <v>0.340299993753433</v>
      </c>
      <c r="G1281" s="15" t="n">
        <v>1.63460004329681</v>
      </c>
      <c r="H1281" s="16">
        <f>C1281+E1281</f>
        <v/>
      </c>
    </row>
    <row r="1282">
      <c r="A1282" s="12" t="n">
        <v>43875</v>
      </c>
      <c r="B1282" s="15" t="n">
        <v>-0.18299999833107</v>
      </c>
      <c r="C1282" s="15" t="n">
        <v>-0.177599996328354</v>
      </c>
      <c r="D1282" s="15" t="n">
        <v>2.06019997596741</v>
      </c>
      <c r="E1282" s="15" t="n">
        <v>-0.0850000381469727</v>
      </c>
      <c r="F1282" s="15" t="n">
        <v>0.342299997806549</v>
      </c>
      <c r="G1282" s="15" t="n">
        <v>1.61459994316101</v>
      </c>
      <c r="H1282" s="16">
        <f>C1282+E1282</f>
        <v/>
      </c>
    </row>
    <row r="1283">
      <c r="A1283" s="12" t="n">
        <v>43879</v>
      </c>
      <c r="B1283" s="15" t="n">
        <v>-0.193899989128113</v>
      </c>
      <c r="C1283" s="15" t="n">
        <v>-0.191799998283386</v>
      </c>
      <c r="D1283" s="15" t="n">
        <v>2.05139994621277</v>
      </c>
      <c r="E1283" s="15" t="n">
        <v>-0.0882999897003174</v>
      </c>
      <c r="F1283" s="15" t="n">
        <v>0.337999999523163</v>
      </c>
      <c r="G1283" s="15" t="n">
        <v>1.57739996910095</v>
      </c>
      <c r="H1283" s="16">
        <f>C1283+E1283</f>
        <v/>
      </c>
    </row>
    <row r="1284">
      <c r="A1284" s="12" t="n">
        <v>43880</v>
      </c>
      <c r="B1284" s="15" t="n">
        <v>-0.189599990844727</v>
      </c>
      <c r="C1284" s="15" t="n">
        <v>-0.1875</v>
      </c>
      <c r="D1284" s="15" t="n">
        <v>2.05419993400574</v>
      </c>
      <c r="E1284" s="15" t="n">
        <v>-0.08729994297027591</v>
      </c>
      <c r="F1284" s="15" t="n">
        <v>0.343699991703033</v>
      </c>
      <c r="G1284" s="15" t="n">
        <v>1.58980000019073</v>
      </c>
      <c r="H1284" s="16">
        <f>C1284+E1284</f>
        <v/>
      </c>
    </row>
    <row r="1285">
      <c r="A1285" s="12" t="n">
        <v>43881</v>
      </c>
      <c r="B1285" s="15" t="n">
        <v>-0.20440000295639</v>
      </c>
      <c r="C1285" s="15" t="n">
        <v>-0.203999996185303</v>
      </c>
      <c r="D1285" s="15" t="n">
        <v>2.04340004920959</v>
      </c>
      <c r="E1285" s="15" t="n">
        <v>-0.0910000205039978</v>
      </c>
      <c r="F1285" s="15" t="n">
        <v>0.350100010633469</v>
      </c>
      <c r="G1285" s="15" t="n">
        <v>1.5440000295639</v>
      </c>
      <c r="H1285" s="16">
        <f>C1285+E1285</f>
        <v/>
      </c>
    </row>
    <row r="1286">
      <c r="A1286" s="12" t="n">
        <v>43882</v>
      </c>
      <c r="B1286" s="15" t="n">
        <v>-0.227200016379356</v>
      </c>
      <c r="C1286" s="15" t="n">
        <v>-0.226699993014336</v>
      </c>
      <c r="D1286" s="15" t="n">
        <v>2.02830004692078</v>
      </c>
      <c r="E1286" s="15" t="n">
        <v>-0.0961000621318817</v>
      </c>
      <c r="F1286" s="15" t="n">
        <v>0.351000010967255</v>
      </c>
      <c r="G1286" s="15" t="n">
        <v>1.4782999753952</v>
      </c>
      <c r="H1286" s="16">
        <f>C1286+E1286</f>
        <v/>
      </c>
    </row>
    <row r="1287">
      <c r="A1287" s="12" t="n">
        <v>43885</v>
      </c>
      <c r="B1287" s="15" t="n">
        <v>-0.25749996304512</v>
      </c>
      <c r="C1287" s="15" t="n">
        <v>-0.251700013875961</v>
      </c>
      <c r="D1287" s="15" t="n">
        <v>2.01079988479614</v>
      </c>
      <c r="E1287" s="15" t="n">
        <v>-0.101599931716919</v>
      </c>
      <c r="F1287" s="15" t="n">
        <v>0.353399991989136</v>
      </c>
      <c r="G1287" s="15" t="n">
        <v>1.39999997615814</v>
      </c>
      <c r="H1287" s="16">
        <f>C1287+E1287</f>
        <v/>
      </c>
    </row>
    <row r="1288">
      <c r="A1288" s="12" t="n">
        <v>43886</v>
      </c>
      <c r="B1288" s="15" t="n">
        <v>-0.277300000190735</v>
      </c>
      <c r="C1288" s="15" t="n">
        <v>-0.265799999237061</v>
      </c>
      <c r="D1288" s="15" t="n">
        <v>2.00049996376038</v>
      </c>
      <c r="E1288" s="15" t="n">
        <v>-0.104699969291687</v>
      </c>
      <c r="F1288" s="15" t="n">
        <v>0.388599991798401</v>
      </c>
      <c r="G1288" s="15" t="n">
        <v>1.35269999504089</v>
      </c>
      <c r="H1288" s="16">
        <f>C1288+E1288</f>
        <v/>
      </c>
    </row>
    <row r="1289">
      <c r="A1289" s="12" t="n">
        <v>43887</v>
      </c>
      <c r="B1289" s="15" t="n">
        <v>-0.284599959850311</v>
      </c>
      <c r="C1289" s="15" t="n">
        <v>-0.263000011444092</v>
      </c>
      <c r="D1289" s="15" t="n">
        <v>2.00020003318787</v>
      </c>
      <c r="E1289" s="15" t="n">
        <v>-0.10370010137558</v>
      </c>
      <c r="F1289" s="15" t="n">
        <v>0.39190000295639</v>
      </c>
      <c r="G1289" s="15" t="n">
        <v>1.34889996051788</v>
      </c>
      <c r="H1289" s="16">
        <f>C1289+E1289</f>
        <v/>
      </c>
    </row>
    <row r="1290">
      <c r="A1290" s="12" t="n">
        <v>43888</v>
      </c>
      <c r="B1290" s="15" t="n">
        <v>-0.305800020694733</v>
      </c>
      <c r="C1290" s="15" t="n">
        <v>-0.263999998569489</v>
      </c>
      <c r="D1290" s="15" t="n">
        <v>1.99460005760193</v>
      </c>
      <c r="E1290" s="15" t="n">
        <v>-0.103100061416626</v>
      </c>
      <c r="F1290" s="15" t="n">
        <v>0.403800010681152</v>
      </c>
      <c r="G1290" s="15" t="n">
        <v>1.32169997692108</v>
      </c>
      <c r="H1290" s="16">
        <f>C1290+E1290</f>
        <v/>
      </c>
    </row>
    <row r="1291">
      <c r="A1291" s="12" t="n">
        <v>43889</v>
      </c>
      <c r="B1291" s="15" t="n">
        <v>-0.389400005340576</v>
      </c>
      <c r="C1291" s="15" t="n">
        <v>-0.299600005149841</v>
      </c>
      <c r="D1291" s="15" t="n">
        <v>1.96019995212555</v>
      </c>
      <c r="E1291" s="15" t="n">
        <v>-0.109399914741516</v>
      </c>
      <c r="F1291" s="15" t="n">
        <v>0.475400000810623</v>
      </c>
      <c r="G1291" s="15" t="n">
        <v>1.16180002689362</v>
      </c>
      <c r="H1291" s="16">
        <f>C1291+E1291</f>
        <v/>
      </c>
    </row>
    <row r="1292">
      <c r="A1292" s="12" t="n">
        <v>43892</v>
      </c>
      <c r="B1292" s="15" t="n">
        <v>-0.418600022792816</v>
      </c>
      <c r="C1292" s="15" t="n">
        <v>-0.291599988937378</v>
      </c>
      <c r="D1292" s="15" t="n">
        <v>1.95539999008179</v>
      </c>
      <c r="E1292" s="15" t="n">
        <v>-0.105699956417084</v>
      </c>
      <c r="F1292" s="15" t="n">
        <v>0.474900007247925</v>
      </c>
      <c r="G1292" s="15" t="n">
        <v>1.13950002193451</v>
      </c>
      <c r="H1292" s="16">
        <f>C1292+E1292</f>
        <v/>
      </c>
    </row>
    <row r="1293">
      <c r="A1293" s="12" t="n">
        <v>43893</v>
      </c>
      <c r="B1293" s="15" t="n">
        <v>-0.466000020503998</v>
      </c>
      <c r="C1293" s="15" t="n">
        <v>-0.308899998664856</v>
      </c>
      <c r="D1293" s="15" t="n">
        <v>1.93620002269745</v>
      </c>
      <c r="E1293" s="15" t="n">
        <v>-0.10809999704361</v>
      </c>
      <c r="F1293" s="15" t="n">
        <v>0.427199989557266</v>
      </c>
      <c r="G1293" s="15" t="n">
        <v>1.05320000648499</v>
      </c>
      <c r="H1293" s="16">
        <f>C1293+E1293</f>
        <v/>
      </c>
    </row>
    <row r="1294">
      <c r="A1294" s="12" t="n">
        <v>43894</v>
      </c>
      <c r="B1294" s="15" t="n">
        <v>-0.486900001764297</v>
      </c>
      <c r="C1294" s="15" t="n">
        <v>-0.28889998793602</v>
      </c>
      <c r="D1294" s="15" t="n">
        <v>1.93929994106293</v>
      </c>
      <c r="E1294" s="15" t="n">
        <v>-0.101899981498718</v>
      </c>
      <c r="F1294" s="15" t="n">
        <v>0.422600001096725</v>
      </c>
      <c r="G1294" s="15" t="n">
        <v>1.06159996986389</v>
      </c>
      <c r="H1294" s="16">
        <f>C1294+E1294</f>
        <v/>
      </c>
    </row>
    <row r="1295">
      <c r="A1295" s="12" t="n">
        <v>43895</v>
      </c>
      <c r="B1295" s="15" t="n">
        <v>-0.534899979829788</v>
      </c>
      <c r="C1295" s="15" t="n">
        <v>-0.305500000715256</v>
      </c>
      <c r="D1295" s="15" t="n">
        <v>1.91929996013641</v>
      </c>
      <c r="E1295" s="15" t="n">
        <v>-0.103599965572357</v>
      </c>
      <c r="F1295" s="15" t="n">
        <v>0.451599985361099</v>
      </c>
      <c r="G1295" s="15" t="n">
        <v>0.975300014019012</v>
      </c>
      <c r="H1295" s="16">
        <f>C1295+E1295</f>
        <v/>
      </c>
    </row>
    <row r="1296">
      <c r="A1296" s="12" t="n">
        <v>43896</v>
      </c>
      <c r="B1296" s="15" t="n">
        <v>-0.593500018119812</v>
      </c>
      <c r="C1296" s="15" t="n">
        <v>-0.350499987602234</v>
      </c>
      <c r="D1296" s="15" t="n">
        <v>1.8831000328064</v>
      </c>
      <c r="E1296" s="15" t="n">
        <v>-0.111800014972687</v>
      </c>
      <c r="F1296" s="15" t="n">
        <v>0.509400010108948</v>
      </c>
      <c r="G1296" s="15" t="n">
        <v>0.827300012111664</v>
      </c>
      <c r="H1296" s="16">
        <f>C1296+E1296</f>
        <v/>
      </c>
    </row>
    <row r="1297">
      <c r="A1297" s="12" t="n">
        <v>43899</v>
      </c>
      <c r="B1297" s="15" t="n">
        <v>-0.65420001745224</v>
      </c>
      <c r="C1297" s="15" t="n">
        <v>-0.391200006008148</v>
      </c>
      <c r="D1297" s="15" t="n">
        <v>1.84879994392395</v>
      </c>
      <c r="E1297" s="15" t="n">
        <v>-0.119199931621552</v>
      </c>
      <c r="F1297" s="15" t="n">
        <v>0.749800026416779</v>
      </c>
      <c r="G1297" s="15" t="n">
        <v>0.6841999888420101</v>
      </c>
      <c r="H1297" s="16">
        <f>C1297+E1297</f>
        <v/>
      </c>
    </row>
    <row r="1298">
      <c r="A1298" s="12" t="n">
        <v>43900</v>
      </c>
      <c r="B1298" s="15" t="n">
        <v>-0.575299978256226</v>
      </c>
      <c r="C1298" s="15" t="n">
        <v>-0.329100012779236</v>
      </c>
      <c r="D1298" s="15" t="n">
        <v>1.89400005340576</v>
      </c>
      <c r="E1298" s="15" t="n">
        <v>-0.105800032615662</v>
      </c>
      <c r="F1298" s="15" t="n">
        <v>0.803600013256073</v>
      </c>
      <c r="G1298" s="15" t="n">
        <v>0.883800029754639</v>
      </c>
      <c r="H1298" s="16">
        <f>C1298+E1298</f>
        <v/>
      </c>
    </row>
    <row r="1299">
      <c r="A1299" s="12" t="n">
        <v>43901</v>
      </c>
      <c r="B1299" s="15" t="n">
        <v>-0.569900006055832</v>
      </c>
      <c r="C1299" s="15" t="n">
        <v>-0.321599990129471</v>
      </c>
      <c r="D1299" s="15" t="n">
        <v>1.89750003814697</v>
      </c>
      <c r="E1299" s="15" t="n">
        <v>-0.103700041770935</v>
      </c>
      <c r="F1299" s="15" t="n">
        <v>0.912599980831146</v>
      </c>
      <c r="G1299" s="15" t="n">
        <v>0.902300000190735</v>
      </c>
      <c r="H1299" s="16">
        <f>C1299+E1299</f>
        <v/>
      </c>
    </row>
    <row r="1300">
      <c r="A1300" s="12" t="n">
        <v>43902</v>
      </c>
      <c r="B1300" s="15" t="n">
        <v>-0.557399988174438</v>
      </c>
      <c r="C1300" s="15" t="n">
        <v>-0.289799988269806</v>
      </c>
      <c r="D1300" s="15" t="n">
        <v>1.91509997844696</v>
      </c>
      <c r="E1300" s="15" t="n">
        <v>-0.0961999893188477</v>
      </c>
      <c r="F1300" s="15" t="n">
        <v>0.94650000333786</v>
      </c>
      <c r="G1300" s="15" t="n">
        <v>0.971700012683868</v>
      </c>
      <c r="H1300" s="16">
        <f>C1300+E1300</f>
        <v/>
      </c>
    </row>
    <row r="1301">
      <c r="A1301" s="12" t="n">
        <v>43903</v>
      </c>
      <c r="B1301" s="15" t="n">
        <v>-0.538299977779388</v>
      </c>
      <c r="C1301" s="15" t="n">
        <v>-0.261500000953674</v>
      </c>
      <c r="D1301" s="15" t="n">
        <v>1.93270003795624</v>
      </c>
      <c r="E1301" s="15" t="n">
        <v>-0.09000009298324579</v>
      </c>
      <c r="F1301" s="15" t="n">
        <v>1.00940001010895</v>
      </c>
      <c r="G1301" s="15" t="n">
        <v>1.04289996623993</v>
      </c>
      <c r="H1301" s="16">
        <f>C1301+E1301</f>
        <v/>
      </c>
    </row>
    <row r="1302">
      <c r="A1302" s="12" t="n">
        <v>43906</v>
      </c>
      <c r="B1302" s="15" t="n">
        <v>-0.612100034952164</v>
      </c>
      <c r="C1302" s="15" t="n">
        <v>-0.328399986028671</v>
      </c>
      <c r="D1302" s="15" t="n">
        <v>1.88670003414154</v>
      </c>
      <c r="E1302" s="15" t="n">
        <v>-0.104600012302399</v>
      </c>
      <c r="F1302" s="15" t="n">
        <v>1.1574000120163</v>
      </c>
      <c r="G1302" s="15" t="n">
        <v>0.841600000858307</v>
      </c>
      <c r="H1302" s="16">
        <f>C1302+E1302</f>
        <v/>
      </c>
    </row>
    <row r="1303">
      <c r="A1303" s="12" t="n">
        <v>43907</v>
      </c>
      <c r="B1303" s="15" t="n">
        <v>-0.535799995064735</v>
      </c>
      <c r="C1303" s="15" t="n">
        <v>-0.207699999213219</v>
      </c>
      <c r="D1303" s="15" t="n">
        <v>1.95910000801086</v>
      </c>
      <c r="E1303" s="15" t="n">
        <v>-0.0771000385284424</v>
      </c>
      <c r="F1303" s="15" t="n">
        <v>1.30729997158051</v>
      </c>
      <c r="G1303" s="15" t="n">
        <v>1.13849997520447</v>
      </c>
      <c r="H1303" s="16">
        <f>C1303+E1303</f>
        <v/>
      </c>
    </row>
    <row r="1304">
      <c r="A1304" s="12" t="n">
        <v>43908</v>
      </c>
      <c r="B1304" s="15" t="n">
        <v>-0.505399972200394</v>
      </c>
      <c r="C1304" s="15" t="n">
        <v>-0.127000004053116</v>
      </c>
      <c r="D1304" s="15" t="n">
        <v>1.99960005283356</v>
      </c>
      <c r="E1304" s="15" t="n">
        <v>-0.056600034236908</v>
      </c>
      <c r="F1304" s="15" t="n">
        <v>1.36199998855591</v>
      </c>
      <c r="G1304" s="15" t="n">
        <v>1.31060004234314</v>
      </c>
      <c r="H1304" s="16">
        <f>C1304+E1304</f>
        <v/>
      </c>
    </row>
    <row r="1305">
      <c r="A1305" s="12" t="n">
        <v>43909</v>
      </c>
      <c r="B1305" s="15" t="n">
        <v>-0.533300027251244</v>
      </c>
      <c r="C1305" s="15" t="n">
        <v>-0.140000000596046</v>
      </c>
      <c r="D1305" s="15" t="n">
        <v>1.98780000209808</v>
      </c>
      <c r="E1305" s="15" t="n">
        <v>-0.0590000152587891</v>
      </c>
      <c r="F1305" s="15" t="n">
        <v>1.40050005912781</v>
      </c>
      <c r="G1305" s="15" t="n">
        <v>1.255499958992</v>
      </c>
      <c r="H1305" s="16">
        <f>C1305+E1305</f>
        <v/>
      </c>
    </row>
    <row r="1306">
      <c r="A1306" s="12" t="n">
        <v>43910</v>
      </c>
      <c r="B1306" s="15" t="n">
        <v>-0.604099974036217</v>
      </c>
      <c r="C1306" s="15" t="n">
        <v>-0.230900004506111</v>
      </c>
      <c r="D1306" s="15" t="n">
        <v>1.93029999732971</v>
      </c>
      <c r="E1306" s="15" t="n">
        <v>-0.07940000295639039</v>
      </c>
      <c r="F1306" s="15" t="n">
        <v>1.17910003662109</v>
      </c>
      <c r="G1306" s="15" t="n">
        <v>1.01590001583099</v>
      </c>
      <c r="H1306" s="16">
        <f>C1306+E1306</f>
        <v/>
      </c>
    </row>
    <row r="1307">
      <c r="A1307" s="12" t="n">
        <v>43913</v>
      </c>
      <c r="B1307" s="15" t="n">
        <v>-0.658099979162216</v>
      </c>
      <c r="C1307" s="15" t="n">
        <v>-0.307700008153915</v>
      </c>
      <c r="D1307" s="15" t="n">
        <v>1.88450002670288</v>
      </c>
      <c r="E1307" s="15" t="n">
        <v>-0.0974000096321106</v>
      </c>
      <c r="F1307" s="15" t="n">
        <v>1.09319996833801</v>
      </c>
      <c r="G1307" s="15" t="n">
        <v>0.821300029754639</v>
      </c>
      <c r="H1307" s="16">
        <f>C1307+E1307</f>
        <v/>
      </c>
    </row>
    <row r="1308">
      <c r="A1308" s="12" t="n">
        <v>43914</v>
      </c>
      <c r="B1308" s="15" t="n">
        <v>-0.628000020980835</v>
      </c>
      <c r="C1308" s="15" t="n">
        <v>-0.28549998998642</v>
      </c>
      <c r="D1308" s="15" t="n">
        <v>1.89970004558563</v>
      </c>
      <c r="E1308" s="15" t="n">
        <v>-0.0920000076293945</v>
      </c>
      <c r="F1308" s="15" t="n">
        <v>0.963500022888184</v>
      </c>
      <c r="G1308" s="15" t="n">
        <v>0.894200026988983</v>
      </c>
      <c r="H1308" s="16">
        <f>C1308+E1308</f>
        <v/>
      </c>
    </row>
    <row r="1309">
      <c r="A1309" s="12" t="n">
        <v>43915</v>
      </c>
      <c r="B1309" s="15" t="n">
        <v>-0.625900030136108</v>
      </c>
      <c r="C1309" s="15" t="n">
        <v>-0.271899998188019</v>
      </c>
      <c r="D1309" s="15" t="n">
        <v>1.90659999847412</v>
      </c>
      <c r="E1309" s="15" t="n">
        <v>-0.0887999534606934</v>
      </c>
      <c r="F1309" s="15" t="n">
        <v>0.893800020217896</v>
      </c>
      <c r="G1309" s="15" t="n">
        <v>0.920000016689301</v>
      </c>
      <c r="H1309" s="16">
        <f>C1309+E1309</f>
        <v/>
      </c>
    </row>
    <row r="1310">
      <c r="A1310" s="12" t="n">
        <v>43916</v>
      </c>
      <c r="B1310" s="15" t="n">
        <v>-0.643399983644485</v>
      </c>
      <c r="C1310" s="15" t="n">
        <v>-0.28099998831749</v>
      </c>
      <c r="D1310" s="15" t="n">
        <v>1.89919996261597</v>
      </c>
      <c r="E1310" s="15" t="n">
        <v>-0.0909000039100647</v>
      </c>
      <c r="F1310" s="15" t="n">
        <v>0.865800023078918</v>
      </c>
      <c r="G1310" s="15" t="n">
        <v>0.883899986743927</v>
      </c>
      <c r="H1310" s="16">
        <f>C1310+E1310</f>
        <v/>
      </c>
    </row>
    <row r="1311">
      <c r="A1311" s="12" t="n">
        <v>43917</v>
      </c>
      <c r="B1311" s="15" t="n">
        <v>-0.673299968242645</v>
      </c>
      <c r="C1311" s="15" t="n">
        <v>-0.310400009155273</v>
      </c>
      <c r="D1311" s="15" t="n">
        <v>1.88010001182556</v>
      </c>
      <c r="E1311" s="15" t="n">
        <v>-0.09760004281997681</v>
      </c>
      <c r="F1311" s="15" t="n">
        <v>0.954900026321411</v>
      </c>
      <c r="G1311" s="15" t="n">
        <v>0.798799991607666</v>
      </c>
      <c r="H1311" s="16">
        <f>C1311+E1311</f>
        <v/>
      </c>
    </row>
    <row r="1312">
      <c r="A1312" s="12" t="n">
        <v>43920</v>
      </c>
      <c r="B1312" s="15" t="n">
        <v>-0.671199977397919</v>
      </c>
      <c r="C1312" s="15" t="n">
        <v>-0.332899987697601</v>
      </c>
      <c r="D1312" s="15" t="n">
        <v>1.87160003185272</v>
      </c>
      <c r="E1312" s="15" t="n">
        <v>-0.103900074958801</v>
      </c>
      <c r="F1312" s="15" t="n">
        <v>0.921199977397919</v>
      </c>
      <c r="G1312" s="15" t="n">
        <v>0.763599991798401</v>
      </c>
      <c r="H1312" s="16">
        <f>C1312+E1312</f>
        <v/>
      </c>
    </row>
    <row r="1313">
      <c r="A1313" s="12" t="n">
        <v>43921</v>
      </c>
      <c r="B1313" s="15" t="n">
        <v>-0.6618999838829041</v>
      </c>
      <c r="C1313" s="15" t="n">
        <v>-0.327199995517731</v>
      </c>
      <c r="D1313" s="15" t="n">
        <v>1.8782000541687</v>
      </c>
      <c r="E1313" s="15" t="n">
        <v>-0.103600084781647</v>
      </c>
      <c r="F1313" s="15" t="n">
        <v>0.97979998588562</v>
      </c>
      <c r="G1313" s="15" t="n">
        <v>0.78549998998642</v>
      </c>
      <c r="H1313" s="16">
        <f>C1313+E1313</f>
        <v/>
      </c>
    </row>
    <row r="1314">
      <c r="A1314" s="12" t="n">
        <v>43922</v>
      </c>
      <c r="B1314" s="15" t="n">
        <v>-0.6841000020504</v>
      </c>
      <c r="C1314" s="15" t="n">
        <v>-0.361099988222122</v>
      </c>
      <c r="D1314" s="15" t="n">
        <v>1.85739994049072</v>
      </c>
      <c r="E1314" s="15" t="n">
        <v>-0.111199975013733</v>
      </c>
      <c r="F1314" s="15" t="n">
        <v>0.933499991893768</v>
      </c>
      <c r="G1314" s="15" t="n">
        <v>0.700999975204468</v>
      </c>
      <c r="H1314" s="16">
        <f>C1314+E1314</f>
        <v/>
      </c>
    </row>
    <row r="1315">
      <c r="A1315" s="12" t="n">
        <v>43923</v>
      </c>
      <c r="B1315" s="15" t="n">
        <v>-0.681499987840652</v>
      </c>
      <c r="C1315" s="15" t="n">
        <v>-0.363599985837936</v>
      </c>
      <c r="D1315" s="15" t="n">
        <v>1.85640001296997</v>
      </c>
      <c r="E1315" s="15" t="n">
        <v>-0.111700057983398</v>
      </c>
      <c r="F1315" s="15" t="n">
        <v>0.830299973487854</v>
      </c>
      <c r="G1315" s="15" t="n">
        <v>0.699599981307983</v>
      </c>
      <c r="H1315" s="16">
        <f>C1315+E1315</f>
        <v/>
      </c>
    </row>
    <row r="1316">
      <c r="A1316" s="12" t="n">
        <v>43924</v>
      </c>
      <c r="B1316" s="15" t="n">
        <v>-0.6807999908924099</v>
      </c>
      <c r="C1316" s="15" t="n">
        <v>-0.363599985837936</v>
      </c>
      <c r="D1316" s="15" t="n">
        <v>1.85640001296997</v>
      </c>
      <c r="E1316" s="15" t="n">
        <v>-0.111700057983398</v>
      </c>
      <c r="F1316" s="15" t="n">
        <v>0.77319997549057</v>
      </c>
      <c r="G1316" s="15" t="n">
        <v>0.700299978256226</v>
      </c>
      <c r="H1316" s="16">
        <f>C1316+E1316</f>
        <v/>
      </c>
    </row>
    <row r="1317">
      <c r="A1317" s="12" t="n">
        <v>43927</v>
      </c>
      <c r="B1317" s="15" t="n">
        <v>-0.663100033998489</v>
      </c>
      <c r="C1317" s="15" t="n">
        <v>-0.347099989652634</v>
      </c>
      <c r="D1317" s="15" t="n">
        <v>1.86769998073578</v>
      </c>
      <c r="E1317" s="15" t="n">
        <v>-0.108099937438965</v>
      </c>
      <c r="F1317" s="15" t="n">
        <v>0.728399991989136</v>
      </c>
      <c r="G1317" s="15" t="n">
        <v>0.749400019645691</v>
      </c>
      <c r="H1317" s="16">
        <f>C1317+E1317</f>
        <v/>
      </c>
    </row>
    <row r="1318">
      <c r="A1318" s="12" t="n">
        <v>43928</v>
      </c>
      <c r="B1318" s="15" t="n">
        <v>-0.6417999863624571</v>
      </c>
      <c r="C1318" s="15" t="n">
        <v>-0.325500011444092</v>
      </c>
      <c r="D1318" s="15" t="n">
        <v>1.88259994983673</v>
      </c>
      <c r="E1318" s="15" t="n">
        <v>-0.103499948978424</v>
      </c>
      <c r="F1318" s="15" t="n">
        <v>0.732800006866455</v>
      </c>
      <c r="G1318" s="15" t="n">
        <v>0.811800003051758</v>
      </c>
      <c r="H1318" s="16">
        <f>C1318+E1318</f>
        <v/>
      </c>
    </row>
    <row r="1319">
      <c r="A1319" s="12" t="n">
        <v>43929</v>
      </c>
      <c r="B1319" s="15" t="n">
        <v>-0.633499979972839</v>
      </c>
      <c r="C1319" s="15" t="n">
        <v>-0.319700002670288</v>
      </c>
      <c r="D1319" s="15" t="n">
        <v>1.8885999917984</v>
      </c>
      <c r="E1319" s="15" t="n">
        <v>-0.102999985218048</v>
      </c>
      <c r="F1319" s="15" t="n">
        <v>0.717499971389771</v>
      </c>
      <c r="G1319" s="15" t="n">
        <v>0.832400023937225</v>
      </c>
      <c r="H1319" s="16">
        <f>C1319+E1319</f>
        <v/>
      </c>
    </row>
    <row r="1320">
      <c r="A1320" s="12" t="n">
        <v>43930</v>
      </c>
      <c r="B1320" s="15" t="n">
        <v>-0.647300004959106</v>
      </c>
      <c r="C1320" s="15" t="n">
        <v>-0.336600005626678</v>
      </c>
      <c r="D1320" s="15" t="n">
        <v>1.87890005111694</v>
      </c>
      <c r="E1320" s="15" t="n">
        <v>-0.107200026512146</v>
      </c>
      <c r="F1320" s="15" t="n">
        <v>0.682600021362305</v>
      </c>
      <c r="G1320" s="15" t="n">
        <v>0.787800014019012</v>
      </c>
      <c r="H1320" s="16">
        <f>C1320+E1320</f>
        <v/>
      </c>
    </row>
    <row r="1321">
      <c r="A1321" s="12" t="n">
        <v>43934</v>
      </c>
      <c r="B1321" s="15" t="n">
        <v>-0.63400000333786</v>
      </c>
      <c r="C1321" s="15" t="n">
        <v>-0.325399994850159</v>
      </c>
      <c r="D1321" s="15" t="n">
        <v>1.88789999485016</v>
      </c>
      <c r="E1321" s="15" t="n">
        <v>-0.105300009250641</v>
      </c>
      <c r="F1321" s="15" t="n">
        <v>0.648000001907349</v>
      </c>
      <c r="G1321" s="15" t="n">
        <v>0.823199987411499</v>
      </c>
      <c r="H1321" s="16">
        <f>C1321+E1321</f>
        <v/>
      </c>
    </row>
    <row r="1322">
      <c r="A1322" s="12" t="n">
        <v>43935</v>
      </c>
      <c r="B1322" s="15" t="n">
        <v>-0.639799982309341</v>
      </c>
      <c r="C1322" s="15" t="n">
        <v>-0.323500007390976</v>
      </c>
      <c r="D1322" s="15" t="n">
        <v>1.88800001144409</v>
      </c>
      <c r="E1322" s="15" t="n">
        <v>-0.104800045490265</v>
      </c>
      <c r="F1322" s="15" t="n">
        <v>0.638400018215179</v>
      </c>
      <c r="G1322" s="15" t="n">
        <v>0.81989997625351</v>
      </c>
      <c r="H1322" s="16">
        <f>C1322+E1322</f>
        <v/>
      </c>
    </row>
    <row r="1323">
      <c r="A1323" s="12" t="n">
        <v>43936</v>
      </c>
      <c r="B1323" s="15" t="n">
        <v>-0.679099947214127</v>
      </c>
      <c r="C1323" s="15" t="n">
        <v>-0.362300008535385</v>
      </c>
      <c r="D1323" s="15" t="n">
        <v>1.86119997501373</v>
      </c>
      <c r="E1323" s="15" t="n">
        <v>-0.113099992275238</v>
      </c>
      <c r="F1323" s="15" t="n">
        <v>0.65530002117157</v>
      </c>
      <c r="G1323" s="15" t="n">
        <v>0.706700026988983</v>
      </c>
      <c r="H1323" s="16">
        <f>C1323+E1323</f>
        <v/>
      </c>
    </row>
    <row r="1324">
      <c r="A1324" s="12" t="n">
        <v>43937</v>
      </c>
      <c r="B1324" s="15" t="n">
        <v>-0.680699974298477</v>
      </c>
      <c r="C1324" s="15" t="n">
        <v>-0.362899988889694</v>
      </c>
      <c r="D1324" s="15" t="n">
        <v>1.86010003089905</v>
      </c>
      <c r="E1324" s="15" t="n">
        <v>-0.113000094890594</v>
      </c>
      <c r="F1324" s="15" t="n">
        <v>0.785399973392487</v>
      </c>
      <c r="G1324" s="15" t="n">
        <v>0.703499972820282</v>
      </c>
      <c r="H1324" s="16">
        <f>C1324+E1324</f>
        <v/>
      </c>
    </row>
    <row r="1325">
      <c r="A1325" s="12" t="n">
        <v>43938</v>
      </c>
      <c r="B1325" s="15" t="n">
        <v>-0.676200032234192</v>
      </c>
      <c r="C1325" s="15" t="n">
        <v>-0.351999998092651</v>
      </c>
      <c r="D1325" s="15" t="n">
        <v>1.86559998989105</v>
      </c>
      <c r="E1325" s="15" t="n">
        <v>-0.110099971294403</v>
      </c>
      <c r="F1325" s="15" t="n">
        <v>0.808200001716614</v>
      </c>
      <c r="G1325" s="15" t="n">
        <v>0.727299988269806</v>
      </c>
      <c r="H1325" s="16">
        <f>C1325+E1325</f>
        <v/>
      </c>
    </row>
    <row r="1326">
      <c r="A1326" s="12" t="n">
        <v>43941</v>
      </c>
      <c r="B1326" s="15" t="n">
        <v>-0.683999955654144</v>
      </c>
      <c r="C1326" s="15" t="n">
        <v>-0.359600007534027</v>
      </c>
      <c r="D1326" s="15" t="n">
        <v>1.86000001430511</v>
      </c>
      <c r="E1326" s="15" t="n">
        <v>-0.111600041389465</v>
      </c>
      <c r="F1326" s="15" t="n">
        <v>0.879499971866608</v>
      </c>
      <c r="G1326" s="15" t="n">
        <v>0.704800009727478</v>
      </c>
      <c r="H1326" s="16">
        <f>C1326+E1326</f>
        <v/>
      </c>
    </row>
    <row r="1327">
      <c r="A1327" s="12" t="n">
        <v>43942</v>
      </c>
      <c r="B1327" s="15" t="n">
        <v>-0.6997000575065609</v>
      </c>
      <c r="C1327" s="15" t="n">
        <v>-0.382499992847443</v>
      </c>
      <c r="D1327" s="15" t="n">
        <v>1.8449000120163</v>
      </c>
      <c r="E1327" s="15" t="n">
        <v>-0.116399943828583</v>
      </c>
      <c r="F1327" s="15" t="n">
        <v>0.857599973678589</v>
      </c>
      <c r="G1327" s="15" t="n">
        <v>0.64630001783371</v>
      </c>
      <c r="H1327" s="16">
        <f>C1327+E1327</f>
        <v/>
      </c>
    </row>
    <row r="1328">
      <c r="A1328" s="12" t="n">
        <v>43943</v>
      </c>
      <c r="B1328" s="15" t="n">
        <v>-0.690699964761734</v>
      </c>
      <c r="C1328" s="15" t="n">
        <v>-0.370900005102158</v>
      </c>
      <c r="D1328" s="15" t="n">
        <v>1.85169994831085</v>
      </c>
      <c r="E1328" s="15" t="n">
        <v>-0.113499999046326</v>
      </c>
      <c r="F1328" s="15" t="n">
        <v>0.794399976730347</v>
      </c>
      <c r="G1328" s="15" t="n">
        <v>0.676599979400635</v>
      </c>
      <c r="H1328" s="16">
        <f>C1328+E1328</f>
        <v/>
      </c>
    </row>
    <row r="1329">
      <c r="A1329" s="12" t="n">
        <v>43944</v>
      </c>
      <c r="B1329" s="15" t="n">
        <v>-0.693800032138824</v>
      </c>
      <c r="C1329" s="15" t="n">
        <v>-0.37610000371933</v>
      </c>
      <c r="D1329" s="15" t="n">
        <v>1.84829998016357</v>
      </c>
      <c r="E1329" s="15" t="n">
        <v>-0.114599943161011</v>
      </c>
      <c r="F1329" s="15" t="n">
        <v>0.7800999879837039</v>
      </c>
      <c r="G1329" s="15" t="n">
        <v>0.663800001144409</v>
      </c>
      <c r="H1329" s="16">
        <f>C1329+E1329</f>
        <v/>
      </c>
    </row>
    <row r="1330">
      <c r="A1330" s="12" t="n">
        <v>43945</v>
      </c>
      <c r="B1330" s="15" t="n">
        <v>-0.696499943733215</v>
      </c>
      <c r="C1330" s="15" t="n">
        <v>-0.380800008773804</v>
      </c>
      <c r="D1330" s="15" t="n">
        <v>1.84529995918274</v>
      </c>
      <c r="E1330" s="15" t="n">
        <v>-0.115599989891052</v>
      </c>
      <c r="F1330" s="15" t="n">
        <v>0.725300014019012</v>
      </c>
      <c r="G1330" s="15" t="n">
        <v>0.652400016784668</v>
      </c>
      <c r="H1330" s="16">
        <f>C1330+E1330</f>
        <v/>
      </c>
    </row>
    <row r="1331">
      <c r="A1331" s="12" t="n">
        <v>43948</v>
      </c>
      <c r="B1331" s="15" t="n">
        <v>-0.678299993276596</v>
      </c>
      <c r="C1331" s="15" t="n">
        <v>-0.358300000429153</v>
      </c>
      <c r="D1331" s="15" t="n">
        <v>1.85979998111725</v>
      </c>
      <c r="E1331" s="15" t="n">
        <v>-0.110599994659424</v>
      </c>
      <c r="F1331" s="15" t="n">
        <v>0.701399981975555</v>
      </c>
      <c r="G1331" s="15" t="n">
        <v>0.712599992752075</v>
      </c>
      <c r="H1331" s="16">
        <f>C1331+E1331</f>
        <v/>
      </c>
    </row>
    <row r="1332">
      <c r="A1332" s="12" t="n">
        <v>43949</v>
      </c>
      <c r="B1332" s="15" t="n">
        <v>-0.69269996881485</v>
      </c>
      <c r="C1332" s="15" t="n">
        <v>-0.371800005435944</v>
      </c>
      <c r="D1332" s="15" t="n">
        <v>1.85029995441437</v>
      </c>
      <c r="E1332" s="15" t="n">
        <v>-0.113399982452393</v>
      </c>
      <c r="F1332" s="15" t="n">
        <v>0.697200000286102</v>
      </c>
      <c r="G1332" s="15" t="n">
        <v>0.672399997711182</v>
      </c>
      <c r="H1332" s="16">
        <f>C1332+E1332</f>
        <v/>
      </c>
    </row>
    <row r="1333">
      <c r="A1333" s="12" t="n">
        <v>43950</v>
      </c>
      <c r="B1333" s="15" t="n">
        <v>-0.694800019264221</v>
      </c>
      <c r="C1333" s="15" t="n">
        <v>-0.369300007820129</v>
      </c>
      <c r="D1333" s="15" t="n">
        <v>1.85130000114441</v>
      </c>
      <c r="E1333" s="15" t="n">
        <v>-0.112899959087372</v>
      </c>
      <c r="F1333" s="15" t="n">
        <v>0.697200000286102</v>
      </c>
      <c r="G1333" s="15" t="n">
        <v>0.674300014972687</v>
      </c>
      <c r="H1333" s="16">
        <f>C1333+E1333</f>
        <v/>
      </c>
    </row>
    <row r="1334">
      <c r="A1334" s="12" t="n">
        <v>43951</v>
      </c>
      <c r="B1334" s="15" t="n">
        <v>-0.689999938011169</v>
      </c>
      <c r="C1334" s="15" t="n">
        <v>-0.357100009918213</v>
      </c>
      <c r="D1334" s="15" t="n">
        <v>1.85829997062683</v>
      </c>
      <c r="E1334" s="15" t="n">
        <v>-0.110200047492981</v>
      </c>
      <c r="F1334" s="15" t="n">
        <v>0.738600015640259</v>
      </c>
      <c r="G1334" s="15" t="n">
        <v>0.700999975204468</v>
      </c>
      <c r="H1334" s="16">
        <f>C1334+E1334</f>
        <v/>
      </c>
    </row>
    <row r="1335">
      <c r="A1335" s="12" t="n">
        <v>43952</v>
      </c>
      <c r="B1335" s="15" t="n">
        <v>-0.689400017261505</v>
      </c>
      <c r="C1335" s="15" t="n">
        <v>-0.359600007534027</v>
      </c>
      <c r="D1335" s="15" t="n">
        <v>1.85730004310608</v>
      </c>
      <c r="E1335" s="15" t="n">
        <v>-0.11080002784729</v>
      </c>
      <c r="F1335" s="15" t="n">
        <v>0.753899991512299</v>
      </c>
      <c r="G1335" s="15" t="n">
        <v>0.6974999904632569</v>
      </c>
      <c r="H1335" s="16">
        <f>C1335+E1335</f>
        <v/>
      </c>
    </row>
    <row r="1336">
      <c r="A1336" s="12" t="n">
        <v>43955</v>
      </c>
      <c r="B1336" s="15" t="n">
        <v>-0.689700067043304</v>
      </c>
      <c r="C1336" s="15" t="n">
        <v>-0.364499986171722</v>
      </c>
      <c r="D1336" s="15" t="n">
        <v>1.855299949646</v>
      </c>
      <c r="E1336" s="15" t="n">
        <v>-0.112099885940552</v>
      </c>
      <c r="F1336" s="15" t="n">
        <v>0.744599997997284</v>
      </c>
      <c r="G1336" s="15" t="n">
        <v>0.689000010490417</v>
      </c>
      <c r="H1336" s="16">
        <f>C1336+E1336</f>
        <v/>
      </c>
    </row>
    <row r="1337">
      <c r="A1337" s="12" t="n">
        <v>43956</v>
      </c>
      <c r="B1337" s="15" t="n">
        <v>-0.684600025415421</v>
      </c>
      <c r="C1337" s="15" t="n">
        <v>-0.360900014638901</v>
      </c>
      <c r="D1337" s="15" t="n">
        <v>1.85839998722076</v>
      </c>
      <c r="E1337" s="15" t="n">
        <v>-0.111599922180176</v>
      </c>
      <c r="F1337" s="15" t="n">
        <v>0.730099976062775</v>
      </c>
      <c r="G1337" s="15" t="n">
        <v>0.701300024986267</v>
      </c>
      <c r="H1337" s="16">
        <f>C1337+E1337</f>
        <v/>
      </c>
    </row>
    <row r="1338">
      <c r="A1338" s="12" t="n">
        <v>43957</v>
      </c>
      <c r="B1338" s="15" t="n">
        <v>-0.669500023126602</v>
      </c>
      <c r="C1338" s="15" t="n">
        <v>-0.338499993085861</v>
      </c>
      <c r="D1338" s="15" t="n">
        <v>1.87310004234314</v>
      </c>
      <c r="E1338" s="15" t="n">
        <v>-0.106900036334991</v>
      </c>
      <c r="F1338" s="15" t="n">
        <v>0.737399995326996</v>
      </c>
      <c r="G1338" s="15" t="n">
        <v>0.758199989795685</v>
      </c>
      <c r="H1338" s="16">
        <f>C1338+E1338</f>
        <v/>
      </c>
    </row>
    <row r="1339">
      <c r="A1339" s="12" t="n">
        <v>43958</v>
      </c>
      <c r="B1339" s="15" t="n">
        <v>-0.698800027370453</v>
      </c>
      <c r="C1339" s="15" t="n">
        <v>-0.370400011539459</v>
      </c>
      <c r="D1339" s="15" t="n">
        <v>1.85239994525909</v>
      </c>
      <c r="E1339" s="15" t="n">
        <v>-0.11409991979599</v>
      </c>
      <c r="F1339" s="15" t="n">
        <v>0.734899997711182</v>
      </c>
      <c r="G1339" s="15" t="n">
        <v>0.669099986553192</v>
      </c>
      <c r="H1339" s="16">
        <f>C1339+E1339</f>
        <v/>
      </c>
    </row>
    <row r="1340">
      <c r="A1340" s="12" t="n">
        <v>43959</v>
      </c>
      <c r="B1340" s="15" t="n">
        <v>-0.6830999553203581</v>
      </c>
      <c r="C1340" s="15" t="n">
        <v>-0.351799994707108</v>
      </c>
      <c r="D1340" s="15" t="n">
        <v>1.86479997634888</v>
      </c>
      <c r="E1340" s="15" t="n">
        <v>-0.110100030899048</v>
      </c>
      <c r="F1340" s="15" t="n">
        <v>0.718800008296967</v>
      </c>
      <c r="G1340" s="15" t="n">
        <v>0.7197999954223629</v>
      </c>
      <c r="H1340" s="16">
        <f>C1340+E1340</f>
        <v/>
      </c>
    </row>
    <row r="1341">
      <c r="A1341" s="12" t="n">
        <v>43962</v>
      </c>
      <c r="B1341" s="15" t="n">
        <v>-0.671299964189529</v>
      </c>
      <c r="C1341" s="15" t="n">
        <v>-0.338499993085861</v>
      </c>
      <c r="D1341" s="15" t="n">
        <v>1.87370002269745</v>
      </c>
      <c r="E1341" s="15" t="n">
        <v>-0.107300043106079</v>
      </c>
      <c r="F1341" s="15" t="n">
        <v>0.71450001001358</v>
      </c>
      <c r="G1341" s="15" t="n">
        <v>0.756600022315979</v>
      </c>
      <c r="H1341" s="16">
        <f>C1341+E1341</f>
        <v/>
      </c>
    </row>
    <row r="1342">
      <c r="A1342" s="12" t="n">
        <v>43963</v>
      </c>
      <c r="B1342" s="15" t="n">
        <v>-0.679500013589859</v>
      </c>
      <c r="C1342" s="15" t="n">
        <v>-0.349400013685226</v>
      </c>
      <c r="D1342" s="15" t="n">
        <v>1.8668999671936</v>
      </c>
      <c r="E1342" s="15" t="n">
        <v>-0.109799921512604</v>
      </c>
      <c r="F1342" s="15" t="n">
        <v>0.730099976062775</v>
      </c>
      <c r="G1342" s="15" t="n">
        <v>0.728200018405914</v>
      </c>
      <c r="H1342" s="16">
        <f>C1342+E1342</f>
        <v/>
      </c>
    </row>
    <row r="1343">
      <c r="A1343" s="12" t="n">
        <v>43964</v>
      </c>
      <c r="B1343" s="15" t="n">
        <v>-0.692299962043762</v>
      </c>
      <c r="C1343" s="15" t="n">
        <v>-0.365000009536743</v>
      </c>
      <c r="D1343" s="15" t="n">
        <v>1.85679996013641</v>
      </c>
      <c r="E1343" s="15" t="n">
        <v>-0.113200008869171</v>
      </c>
      <c r="F1343" s="15" t="n">
        <v>0.729099988937378</v>
      </c>
      <c r="G1343" s="15" t="n">
        <v>0.6862999796867369</v>
      </c>
      <c r="H1343" s="16">
        <f>C1343+E1343</f>
        <v/>
      </c>
    </row>
    <row r="1344">
      <c r="A1344" s="12" t="n">
        <v>43965</v>
      </c>
      <c r="B1344" s="15" t="n">
        <v>-0.696900010108948</v>
      </c>
      <c r="C1344" s="15" t="n">
        <v>-0.372099995613098</v>
      </c>
      <c r="D1344" s="15" t="n">
        <v>1.85239994525909</v>
      </c>
      <c r="E1344" s="15" t="n">
        <v>-0.114699959754944</v>
      </c>
      <c r="F1344" s="15" t="n">
        <v>0.735700011253357</v>
      </c>
      <c r="G1344" s="15" t="n">
        <v>0.668699979782104</v>
      </c>
      <c r="H1344" s="16">
        <f>C1344+E1344</f>
        <v/>
      </c>
    </row>
    <row r="1345">
      <c r="A1345" s="12" t="n">
        <v>43966</v>
      </c>
      <c r="B1345" s="15" t="n">
        <v>-0.693800032138824</v>
      </c>
      <c r="C1345" s="15" t="n">
        <v>-0.367399990558624</v>
      </c>
      <c r="D1345" s="15" t="n">
        <v>1.855299949646</v>
      </c>
      <c r="E1345" s="15" t="n">
        <v>-0.113699913024902</v>
      </c>
      <c r="F1345" s="15" t="n">
        <v>0.708999991416931</v>
      </c>
      <c r="G1345" s="15" t="n">
        <v>0.680400013923645</v>
      </c>
      <c r="H1345" s="16">
        <f>C1345+E1345</f>
        <v/>
      </c>
    </row>
    <row r="1346">
      <c r="A1346" s="12" t="n">
        <v>43969</v>
      </c>
      <c r="B1346" s="15" t="n">
        <v>-0.670700043439865</v>
      </c>
      <c r="C1346" s="15" t="n">
        <v>-0.336699992418289</v>
      </c>
      <c r="D1346" s="15" t="n">
        <v>1.87440001964569</v>
      </c>
      <c r="E1346" s="15" t="n">
        <v>-0.106799960136414</v>
      </c>
      <c r="F1346" s="15" t="n">
        <v>0.665600001811981</v>
      </c>
      <c r="G1346" s="15" t="n">
        <v>0.760200023651123</v>
      </c>
      <c r="H1346" s="16">
        <f>C1346+E1346</f>
        <v/>
      </c>
    </row>
    <row r="1347">
      <c r="A1347" s="12" t="n">
        <v>43970</v>
      </c>
      <c r="B1347" s="15" t="n">
        <v>-0.676800042390823</v>
      </c>
      <c r="C1347" s="15" t="n">
        <v>-0.341399997472763</v>
      </c>
      <c r="D1347" s="15" t="n">
        <v>1.87129998207092</v>
      </c>
      <c r="E1347" s="15" t="n">
        <v>-0.107899963855743</v>
      </c>
      <c r="F1347" s="15" t="n">
        <v>0.66210001707077</v>
      </c>
      <c r="G1347" s="15" t="n">
        <v>0.745199978351593</v>
      </c>
      <c r="H1347" s="16">
        <f>C1347+E1347</f>
        <v/>
      </c>
    </row>
    <row r="1348">
      <c r="A1348" s="12" t="n">
        <v>43971</v>
      </c>
      <c r="B1348" s="15" t="n">
        <v>-0.6841999888420101</v>
      </c>
      <c r="C1348" s="15" t="n">
        <v>-0.348800003528595</v>
      </c>
      <c r="D1348" s="15" t="n">
        <v>1.86619997024536</v>
      </c>
      <c r="E1348" s="15" t="n">
        <v>-0.109399974346161</v>
      </c>
      <c r="F1348" s="15" t="n">
        <v>0.64139997959137</v>
      </c>
      <c r="G1348" s="15" t="n">
        <v>0.723800003528595</v>
      </c>
      <c r="H1348" s="16">
        <f>C1348+E1348</f>
        <v/>
      </c>
    </row>
    <row r="1349">
      <c r="A1349" s="12" t="n">
        <v>43972</v>
      </c>
      <c r="B1349" s="15" t="n">
        <v>-0.683800041675568</v>
      </c>
      <c r="C1349" s="15" t="n">
        <v>-0.349500000476837</v>
      </c>
      <c r="D1349" s="15" t="n">
        <v>1.86580002307892</v>
      </c>
      <c r="E1349" s="15" t="n">
        <v>-0.109600007534027</v>
      </c>
      <c r="F1349" s="15" t="n">
        <v>0.662699997425079</v>
      </c>
      <c r="G1349" s="15" t="n">
        <v>0.722899973392487</v>
      </c>
      <c r="H1349" s="16">
        <f>C1349+E1349</f>
        <v/>
      </c>
    </row>
    <row r="1350">
      <c r="A1350" s="12" t="n">
        <v>43973</v>
      </c>
      <c r="B1350" s="15" t="n">
        <v>-0.688099980354309</v>
      </c>
      <c r="C1350" s="15" t="n">
        <v>-0.361400008201599</v>
      </c>
      <c r="D1350" s="15" t="n">
        <v>1.85930001735687</v>
      </c>
      <c r="E1350" s="15" t="n">
        <v>-0.112400054931641</v>
      </c>
      <c r="F1350" s="15" t="n">
        <v>0.675700008869171</v>
      </c>
      <c r="G1350" s="15" t="n">
        <v>0.697399973869324</v>
      </c>
      <c r="H1350" s="16">
        <f>C1350+E1350</f>
        <v/>
      </c>
    </row>
    <row r="1351">
      <c r="A1351" s="12" t="n">
        <v>43977</v>
      </c>
      <c r="B1351" s="15" t="n">
        <v>-0.678000032901764</v>
      </c>
      <c r="C1351" s="15" t="n">
        <v>-0.350199997425079</v>
      </c>
      <c r="D1351" s="15" t="n">
        <v>1.86699998378754</v>
      </c>
      <c r="E1351" s="15" t="n">
        <v>-0.10999995470047</v>
      </c>
      <c r="F1351" s="15" t="n">
        <v>0.663299977779388</v>
      </c>
      <c r="G1351" s="15" t="n">
        <v>0.7287999987602229</v>
      </c>
      <c r="H1351" s="16">
        <f>C1351+E1351</f>
        <v/>
      </c>
    </row>
    <row r="1352">
      <c r="A1352" s="12" t="n">
        <v>43978</v>
      </c>
      <c r="B1352" s="15" t="n">
        <v>-0.681299954652786</v>
      </c>
      <c r="C1352" s="15" t="n">
        <v>-0.355699986219406</v>
      </c>
      <c r="D1352" s="15" t="n">
        <v>1.86380004882812</v>
      </c>
      <c r="E1352" s="15" t="n">
        <v>-0.111300110816956</v>
      </c>
      <c r="F1352" s="15" t="n">
        <v>0.65420001745224</v>
      </c>
      <c r="G1352" s="15" t="n">
        <v>0.7154999971389771</v>
      </c>
      <c r="H1352" s="16">
        <f>C1352+E1352</f>
        <v/>
      </c>
    </row>
    <row r="1353">
      <c r="A1353" s="12" t="n">
        <v>43979</v>
      </c>
      <c r="B1353" s="15" t="n">
        <v>-0.676300048828125</v>
      </c>
      <c r="C1353" s="15" t="n">
        <v>-0.350499987602234</v>
      </c>
      <c r="D1353" s="15" t="n">
        <v>1.86759996414185</v>
      </c>
      <c r="E1353" s="15" t="n">
        <v>-0.110399901866913</v>
      </c>
      <c r="F1353" s="15" t="n">
        <v>0.620800018310547</v>
      </c>
      <c r="G1353" s="15" t="n">
        <v>0.730400025844574</v>
      </c>
      <c r="H1353" s="16">
        <f>C1353+E1353</f>
        <v/>
      </c>
    </row>
    <row r="1354">
      <c r="A1354" s="12" t="n">
        <v>43980</v>
      </c>
      <c r="B1354" s="15" t="n">
        <v>-0.687999963760376</v>
      </c>
      <c r="C1354" s="15" t="n">
        <v>-0.36489999294281</v>
      </c>
      <c r="D1354" s="15" t="n">
        <v>1.8588000535965</v>
      </c>
      <c r="E1354" s="15" t="n">
        <v>-0.113700091838837</v>
      </c>
      <c r="F1354" s="15" t="n">
        <v>0.629100024700165</v>
      </c>
      <c r="G1354" s="15" t="n">
        <v>0.692200005054474</v>
      </c>
      <c r="H1354" s="16">
        <f>C1354+E1354</f>
        <v/>
      </c>
    </row>
    <row r="1355">
      <c r="A1355" s="12" t="n">
        <v>43983</v>
      </c>
      <c r="B1355" s="15" t="n">
        <v>-0.686300069093704</v>
      </c>
      <c r="C1355" s="15" t="n">
        <v>-0.362899988889694</v>
      </c>
      <c r="D1355" s="15" t="n">
        <v>1.86029994487762</v>
      </c>
      <c r="E1355" s="15" t="n">
        <v>-0.113399863243103</v>
      </c>
      <c r="F1355" s="15" t="n">
        <v>0.609200000762939</v>
      </c>
      <c r="G1355" s="15" t="n">
        <v>0.697700023651123</v>
      </c>
      <c r="H1355" s="16">
        <f>C1355+E1355</f>
        <v/>
      </c>
    </row>
    <row r="1356">
      <c r="A1356" s="12" t="n">
        <v>43984</v>
      </c>
      <c r="B1356" s="15" t="n">
        <v>-0.679800033569336</v>
      </c>
      <c r="C1356" s="15" t="n">
        <v>-0.354099988937378</v>
      </c>
      <c r="D1356" s="15" t="n">
        <v>1.86580002307892</v>
      </c>
      <c r="E1356" s="15" t="n">
        <v>-0.111400008201599</v>
      </c>
      <c r="F1356" s="15" t="n">
        <v>0.617399990558624</v>
      </c>
      <c r="G1356" s="15" t="n">
        <v>0.720499992370605</v>
      </c>
      <c r="H1356" s="16">
        <f>C1356+E1356</f>
        <v/>
      </c>
    </row>
    <row r="1357">
      <c r="A1357" s="12" t="n">
        <v>43985</v>
      </c>
      <c r="B1357" s="15" t="n">
        <v>-0.656399995088577</v>
      </c>
      <c r="C1357" s="15" t="n">
        <v>-0.325199991464615</v>
      </c>
      <c r="D1357" s="15" t="n">
        <v>1.88429999351501</v>
      </c>
      <c r="E1357" s="15" t="n">
        <v>-0.105000019073486</v>
      </c>
      <c r="F1357" s="15" t="n">
        <v>0.612299978733063</v>
      </c>
      <c r="G1357" s="15" t="n">
        <v>0.797699987888336</v>
      </c>
      <c r="H1357" s="16">
        <f>C1357+E1357</f>
        <v/>
      </c>
    </row>
    <row r="1358">
      <c r="A1358" s="12" t="n">
        <v>43986</v>
      </c>
      <c r="B1358" s="15" t="n">
        <v>-0.643799990415573</v>
      </c>
      <c r="C1358" s="15" t="n">
        <v>-0.302300006151199</v>
      </c>
      <c r="D1358" s="15" t="n">
        <v>1.89800000190735</v>
      </c>
      <c r="E1358" s="15" t="n">
        <v>-0.0997999906539917</v>
      </c>
      <c r="F1358" s="15" t="n">
        <v>0.616199970245361</v>
      </c>
      <c r="G1358" s="15" t="n">
        <v>0.852100014686584</v>
      </c>
      <c r="H1358" s="16">
        <f>C1358+E1358</f>
        <v/>
      </c>
    </row>
    <row r="1359">
      <c r="A1359" s="12" t="n">
        <v>43987</v>
      </c>
      <c r="B1359" s="15" t="n">
        <v>-0.619899988174438</v>
      </c>
      <c r="C1359" s="15" t="n">
        <v>-0.269400000572205</v>
      </c>
      <c r="D1359" s="15" t="n">
        <v>1.91830003261566</v>
      </c>
      <c r="E1359" s="15" t="n">
        <v>-0.09240001440048221</v>
      </c>
      <c r="F1359" s="15" t="n">
        <v>0.586199998855591</v>
      </c>
      <c r="G1359" s="15" t="n">
        <v>0.936600029468536</v>
      </c>
      <c r="H1359" s="16">
        <f>C1359+E1359</f>
        <v/>
      </c>
    </row>
    <row r="1360">
      <c r="A1360" s="12" t="n">
        <v>43990</v>
      </c>
      <c r="B1360" s="15" t="n">
        <v>-0.624699980020523</v>
      </c>
      <c r="C1360" s="15" t="n">
        <v>-0.277500003576279</v>
      </c>
      <c r="D1360" s="15" t="n">
        <v>1.91359996795654</v>
      </c>
      <c r="E1360" s="15" t="n">
        <v>-0.0942999720573425</v>
      </c>
      <c r="F1360" s="15" t="n">
        <v>0.558700025081635</v>
      </c>
      <c r="G1360" s="15" t="n">
        <v>0.917100012302399</v>
      </c>
      <c r="H1360" s="16">
        <f>C1360+E1360</f>
        <v/>
      </c>
    </row>
    <row r="1361">
      <c r="A1361" s="12" t="n">
        <v>43991</v>
      </c>
      <c r="B1361" s="15" t="n">
        <v>-0.638000011444092</v>
      </c>
      <c r="C1361" s="15" t="n">
        <v>-0.294600009918213</v>
      </c>
      <c r="D1361" s="15" t="n">
        <v>1.90310001373291</v>
      </c>
      <c r="E1361" s="15" t="n">
        <v>-0.0982999801635742</v>
      </c>
      <c r="F1361" s="15" t="n">
        <v>0.556100010871887</v>
      </c>
      <c r="G1361" s="15" t="n">
        <v>0.872200012207031</v>
      </c>
      <c r="H1361" s="16">
        <f>C1361+E1361</f>
        <v/>
      </c>
    </row>
    <row r="1362">
      <c r="A1362" s="12" t="n">
        <v>43992</v>
      </c>
      <c r="B1362" s="15" t="n">
        <v>-0.663300007581711</v>
      </c>
      <c r="C1362" s="15" t="n">
        <v>-0.328399986028671</v>
      </c>
      <c r="D1362" s="15" t="n">
        <v>1.88230001926422</v>
      </c>
      <c r="E1362" s="15" t="n">
        <v>-0.105900049209595</v>
      </c>
      <c r="F1362" s="15" t="n">
        <v>0.517099976539612</v>
      </c>
      <c r="G1362" s="15" t="n">
        <v>0.7846999764442441</v>
      </c>
      <c r="H1362" s="16">
        <f>C1362+E1362</f>
        <v/>
      </c>
    </row>
    <row r="1363">
      <c r="A1363" s="12" t="n">
        <v>43993</v>
      </c>
      <c r="B1363" s="15" t="n">
        <v>-0.681900054216385</v>
      </c>
      <c r="C1363" s="15" t="n">
        <v>-0.357199996709824</v>
      </c>
      <c r="D1363" s="15" t="n">
        <v>1.86419999599457</v>
      </c>
      <c r="E1363" s="15" t="n">
        <v>-0.112299919128418</v>
      </c>
      <c r="F1363" s="15" t="n">
        <v>0.538100004196167</v>
      </c>
      <c r="G1363" s="15" t="n">
        <v>0.712800025939941</v>
      </c>
      <c r="H1363" s="16">
        <f>C1363+E1363</f>
        <v/>
      </c>
    </row>
    <row r="1364">
      <c r="A1364" s="12" t="n">
        <v>43994</v>
      </c>
      <c r="B1364" s="15" t="n">
        <v>-0.6741000115871431</v>
      </c>
      <c r="C1364" s="15" t="n">
        <v>-0.346100002527237</v>
      </c>
      <c r="D1364" s="15" t="n">
        <v>1.87100005149841</v>
      </c>
      <c r="E1364" s="15" t="n">
        <v>-0.109800040721893</v>
      </c>
      <c r="F1364" s="15" t="n">
        <v>0.556800007820129</v>
      </c>
      <c r="G1364" s="15" t="n">
        <v>0.74099999666214</v>
      </c>
      <c r="H1364" s="16">
        <f>C1364+E1364</f>
        <v/>
      </c>
    </row>
    <row r="1365">
      <c r="A1365" s="12" t="n">
        <v>43997</v>
      </c>
      <c r="B1365" s="15" t="n">
        <v>-0.673299998044968</v>
      </c>
      <c r="C1365" s="15" t="n">
        <v>-0.347499996423721</v>
      </c>
      <c r="D1365" s="15" t="n">
        <v>1.87049996852875</v>
      </c>
      <c r="E1365" s="15" t="n">
        <v>-0.110099971294403</v>
      </c>
      <c r="F1365" s="15" t="n">
        <v>0.541700005531311</v>
      </c>
      <c r="G1365" s="15" t="n">
        <v>0.739600002765656</v>
      </c>
      <c r="H1365" s="16">
        <f>C1365+E1365</f>
        <v/>
      </c>
    </row>
    <row r="1366">
      <c r="A1366" s="12" t="n">
        <v>43998</v>
      </c>
      <c r="B1366" s="15" t="n">
        <v>-0.663699984550476</v>
      </c>
      <c r="C1366" s="15" t="n">
        <v>-0.333400011062622</v>
      </c>
      <c r="D1366" s="15" t="n">
        <v>1.87940001487732</v>
      </c>
      <c r="E1366" s="15" t="n">
        <v>-0.10699999332428</v>
      </c>
      <c r="F1366" s="15" t="n">
        <v>0.5123000144958501</v>
      </c>
      <c r="G1366" s="15" t="n">
        <v>0.775300025939941</v>
      </c>
      <c r="H1366" s="16">
        <f>C1366+E1366</f>
        <v/>
      </c>
    </row>
    <row r="1367">
      <c r="A1367" s="12" t="n">
        <v>43999</v>
      </c>
      <c r="B1367" s="15" t="n">
        <v>-0.666900008916855</v>
      </c>
      <c r="C1367" s="15" t="n">
        <v>-0.334600001573563</v>
      </c>
      <c r="D1367" s="15" t="n">
        <v>1.8782000541687</v>
      </c>
      <c r="E1367" s="15" t="n">
        <v>-0.107200026512146</v>
      </c>
      <c r="F1367" s="15" t="n">
        <v>0.523999989032745</v>
      </c>
      <c r="G1367" s="15" t="n">
        <v>0.769500017166138</v>
      </c>
      <c r="H1367" s="16">
        <f>C1367+E1367</f>
        <v/>
      </c>
    </row>
    <row r="1368">
      <c r="A1368" s="12" t="n">
        <v>44000</v>
      </c>
      <c r="B1368" s="15" t="n">
        <v>-0.676499992609024</v>
      </c>
      <c r="C1368" s="15" t="n">
        <v>-0.347099989652634</v>
      </c>
      <c r="D1368" s="15" t="n">
        <v>1.86979997158051</v>
      </c>
      <c r="E1368" s="15" t="n">
        <v>-0.109799981117249</v>
      </c>
      <c r="F1368" s="15" t="n">
        <v>0.501299977302551</v>
      </c>
      <c r="G1368" s="15" t="n">
        <v>0.736400008201599</v>
      </c>
      <c r="H1368" s="16">
        <f>C1368+E1368</f>
        <v/>
      </c>
    </row>
    <row r="1369">
      <c r="A1369" s="12" t="n">
        <v>44001</v>
      </c>
      <c r="B1369" s="15" t="n">
        <v>-0.678100049495697</v>
      </c>
      <c r="C1369" s="15" t="n">
        <v>-0.349500000476837</v>
      </c>
      <c r="D1369" s="15" t="n">
        <v>1.86810004711151</v>
      </c>
      <c r="E1369" s="15" t="n">
        <v>-0.110199987888336</v>
      </c>
      <c r="F1369" s="15" t="n">
        <v>0.481900006532669</v>
      </c>
      <c r="G1369" s="15" t="n">
        <v>0.730300009250641</v>
      </c>
      <c r="H1369" s="16">
        <f>C1369+E1369</f>
        <v/>
      </c>
    </row>
    <row r="1370">
      <c r="A1370" s="12" t="n">
        <v>44004</v>
      </c>
      <c r="B1370" s="15" t="n">
        <v>-0.675900012254715</v>
      </c>
      <c r="C1370" s="15" t="n">
        <v>-0.349299997091293</v>
      </c>
      <c r="D1370" s="15" t="n">
        <v>1.86870002746582</v>
      </c>
      <c r="E1370" s="15" t="n">
        <v>-0.110300004482269</v>
      </c>
      <c r="F1370" s="15" t="n">
        <v>0.454299986362457</v>
      </c>
      <c r="G1370" s="15" t="n">
        <v>0.7332000136375429</v>
      </c>
      <c r="H1370" s="16">
        <f>C1370+E1370</f>
        <v/>
      </c>
    </row>
    <row r="1371">
      <c r="A1371" s="12" t="n">
        <v>44005</v>
      </c>
      <c r="B1371" s="15" t="n">
        <v>-0.676400065422058</v>
      </c>
      <c r="C1371" s="15" t="n">
        <v>-0.34689998626709</v>
      </c>
      <c r="D1371" s="15" t="n">
        <v>1.86969995498657</v>
      </c>
      <c r="E1371" s="15" t="n">
        <v>-0.109599888324738</v>
      </c>
      <c r="F1371" s="15" t="n">
        <v>0.418700009584427</v>
      </c>
      <c r="G1371" s="15" t="n">
        <v>0.736800014972687</v>
      </c>
      <c r="H1371" s="16">
        <f>C1371+E1371</f>
        <v/>
      </c>
    </row>
    <row r="1372">
      <c r="A1372" s="12" t="n">
        <v>44006</v>
      </c>
      <c r="B1372" s="15" t="n">
        <v>-0.6819999814033511</v>
      </c>
      <c r="C1372" s="15" t="n">
        <v>-0.353100001811981</v>
      </c>
      <c r="D1372" s="15" t="n">
        <v>1.86570000648499</v>
      </c>
      <c r="E1372" s="15" t="n">
        <v>-0.111000001430511</v>
      </c>
      <c r="F1372" s="15" t="n">
        <v>0.450300008058548</v>
      </c>
      <c r="G1372" s="15" t="n">
        <v>0.719600021839142</v>
      </c>
      <c r="H1372" s="16">
        <f>C1372+E1372</f>
        <v/>
      </c>
    </row>
    <row r="1373">
      <c r="A1373" s="12" t="n">
        <v>44007</v>
      </c>
      <c r="B1373" s="15" t="n">
        <v>-0.683299988508224</v>
      </c>
      <c r="C1373" s="15" t="n">
        <v>-0.356799989938736</v>
      </c>
      <c r="D1373" s="15" t="n">
        <v>1.86349999904633</v>
      </c>
      <c r="E1373" s="15" t="n">
        <v>-0.111800014972687</v>
      </c>
      <c r="F1373" s="15" t="n">
        <v>0.439099997282028</v>
      </c>
      <c r="G1373" s="15" t="n">
        <v>0.711600005626678</v>
      </c>
      <c r="H1373" s="16">
        <f>C1373+E1373</f>
        <v/>
      </c>
    </row>
    <row r="1374">
      <c r="A1374" s="12" t="n">
        <v>44008</v>
      </c>
      <c r="B1374" s="15" t="n">
        <v>-0.693999946117401</v>
      </c>
      <c r="C1374" s="15" t="n">
        <v>-0.371100008487701</v>
      </c>
      <c r="D1374" s="15" t="n">
        <v>1.85459995269775</v>
      </c>
      <c r="E1374" s="15" t="n">
        <v>-0.115100026130676</v>
      </c>
      <c r="F1374" s="15" t="n">
        <v>0.433299988508224</v>
      </c>
      <c r="G1374" s="15" t="n">
        <v>0.674399971961975</v>
      </c>
      <c r="H1374" s="16">
        <f>C1374+E1374</f>
        <v/>
      </c>
    </row>
    <row r="1375">
      <c r="A1375" s="12" t="n">
        <v>44011</v>
      </c>
      <c r="B1375" s="15" t="n">
        <v>-0.697199940681458</v>
      </c>
      <c r="C1375" s="15" t="n">
        <v>-0.376500010490417</v>
      </c>
      <c r="D1375" s="15" t="n">
        <v>1.85179996490479</v>
      </c>
      <c r="E1375" s="15" t="n">
        <v>-0.116400003433228</v>
      </c>
      <c r="F1375" s="15" t="n">
        <v>0.417499989271164</v>
      </c>
      <c r="G1375" s="15" t="n">
        <v>0.661700010299683</v>
      </c>
      <c r="H1375" s="16">
        <f>C1375+E1375</f>
        <v/>
      </c>
    </row>
    <row r="1376">
      <c r="A1376" s="12" t="n">
        <v>44012</v>
      </c>
      <c r="B1376" s="15" t="n">
        <v>-0.69049996137619</v>
      </c>
      <c r="C1376" s="15" t="n">
        <v>-0.366800010204315</v>
      </c>
      <c r="D1376" s="15" t="n">
        <v>1.85810005664825</v>
      </c>
      <c r="E1376" s="15" t="n">
        <v>-0.114400088787079</v>
      </c>
      <c r="F1376" s="15" t="n">
        <v>0.416399985551834</v>
      </c>
      <c r="G1376" s="15" t="n">
        <v>0.6863999962806701</v>
      </c>
      <c r="H1376" s="16">
        <f>C1376+E1376</f>
        <v/>
      </c>
    </row>
    <row r="1377">
      <c r="A1377" s="12" t="n">
        <v>44013</v>
      </c>
      <c r="B1377" s="15" t="n">
        <v>-0.683800041675568</v>
      </c>
      <c r="C1377" s="15" t="n">
        <v>-0.35589998960495</v>
      </c>
      <c r="D1377" s="15" t="n">
        <v>1.86450004577637</v>
      </c>
      <c r="E1377" s="15" t="n">
        <v>-0.11190003156662</v>
      </c>
      <c r="F1377" s="15" t="n">
        <v>0.404199987649918</v>
      </c>
      <c r="G1377" s="15" t="n">
        <v>0.71289998292923</v>
      </c>
      <c r="H1377" s="16">
        <f>C1377+E1377</f>
        <v/>
      </c>
    </row>
    <row r="1378">
      <c r="A1378" s="12" t="n">
        <v>44014</v>
      </c>
      <c r="B1378" s="15" t="n">
        <v>-0.690199941396713</v>
      </c>
      <c r="C1378" s="15" t="n">
        <v>-0.360500007867813</v>
      </c>
      <c r="D1378" s="15" t="n">
        <v>1.86090004444122</v>
      </c>
      <c r="E1378" s="15" t="n">
        <v>-0.112800121307373</v>
      </c>
      <c r="F1378" s="15" t="n">
        <v>0.370400011539459</v>
      </c>
      <c r="G1378" s="15" t="n">
        <v>0.697399973869324</v>
      </c>
      <c r="H1378" s="16">
        <f>C1378+E1378</f>
        <v/>
      </c>
    </row>
    <row r="1379">
      <c r="A1379" s="12" t="n">
        <v>44018</v>
      </c>
      <c r="B1379" s="15" t="n">
        <v>-0.686499983072281</v>
      </c>
      <c r="C1379" s="15" t="n">
        <v>-0.355699986219406</v>
      </c>
      <c r="D1379" s="15" t="n">
        <v>1.86380004882812</v>
      </c>
      <c r="E1379" s="15" t="n">
        <v>-0.11160010099411</v>
      </c>
      <c r="F1379" s="15" t="n">
        <v>0.330000013113022</v>
      </c>
      <c r="G1379" s="15" t="n">
        <v>0.709999978542328</v>
      </c>
      <c r="H1379" s="16">
        <f>C1379+E1379</f>
        <v/>
      </c>
    </row>
    <row r="1380">
      <c r="A1380" s="12" t="n">
        <v>44019</v>
      </c>
      <c r="B1380" s="15" t="n">
        <v>-0.694700002670288</v>
      </c>
      <c r="C1380" s="15" t="n">
        <v>-0.370000004768372</v>
      </c>
      <c r="D1380" s="15" t="n">
        <v>1.85539996623993</v>
      </c>
      <c r="E1380" s="15" t="n">
        <v>-0.114899933338165</v>
      </c>
      <c r="F1380" s="15" t="n">
        <v>0.332100003957748</v>
      </c>
      <c r="G1380" s="15" t="n">
        <v>0.675800025463104</v>
      </c>
      <c r="H1380" s="16">
        <f>C1380+E1380</f>
        <v/>
      </c>
    </row>
    <row r="1381">
      <c r="A1381" s="12" t="n">
        <v>44020</v>
      </c>
      <c r="B1381" s="15" t="n">
        <v>-0.691700041294098</v>
      </c>
      <c r="C1381" s="15" t="n">
        <v>-0.36599999666214</v>
      </c>
      <c r="D1381" s="15" t="n">
        <v>1.85800004005432</v>
      </c>
      <c r="E1381" s="15" t="n">
        <v>-0.114099979400635</v>
      </c>
      <c r="F1381" s="15" t="n">
        <v>0.344500005245209</v>
      </c>
      <c r="G1381" s="15" t="n">
        <v>0.686200022697449</v>
      </c>
      <c r="H1381" s="16">
        <f>C1381+E1381</f>
        <v/>
      </c>
    </row>
    <row r="1382">
      <c r="A1382" s="12" t="n">
        <v>44021</v>
      </c>
      <c r="B1382" s="15" t="n">
        <v>-0.703899949789047</v>
      </c>
      <c r="C1382" s="15" t="n">
        <v>-0.381999999284744</v>
      </c>
      <c r="D1382" s="15" t="n">
        <v>1.8474999666214</v>
      </c>
      <c r="E1382" s="15" t="n">
        <v>-0.117399990558624</v>
      </c>
      <c r="F1382" s="15" t="n">
        <v>0.354200005531311</v>
      </c>
      <c r="G1382" s="15" t="n">
        <v>0.644200026988983</v>
      </c>
      <c r="H1382" s="16">
        <f>C1382+E1382</f>
        <v/>
      </c>
    </row>
    <row r="1383">
      <c r="A1383" s="12" t="n">
        <v>44022</v>
      </c>
      <c r="B1383" s="15" t="n">
        <v>-0.6974000334739689</v>
      </c>
      <c r="C1383" s="15" t="n">
        <v>-0.371100008487701</v>
      </c>
      <c r="D1383" s="15" t="n">
        <v>1.853600025177</v>
      </c>
      <c r="E1383" s="15" t="n">
        <v>-0.114799976348877</v>
      </c>
      <c r="F1383" s="15" t="n">
        <v>0.347099989652634</v>
      </c>
      <c r="G1383" s="15" t="n">
        <v>0.670300006866455</v>
      </c>
      <c r="H1383" s="16">
        <f>C1383+E1383</f>
        <v/>
      </c>
    </row>
    <row r="1384">
      <c r="A1384" s="12" t="n">
        <v>44025</v>
      </c>
      <c r="B1384" s="15" t="n">
        <v>-0.700699955224991</v>
      </c>
      <c r="C1384" s="15" t="n">
        <v>-0.375099986791611</v>
      </c>
      <c r="D1384" s="15" t="n">
        <v>1.85090005397797</v>
      </c>
      <c r="E1384" s="15" t="n">
        <v>-0.115700125694275</v>
      </c>
      <c r="F1384" s="15" t="n">
        <v>0.334199994802475</v>
      </c>
      <c r="G1384" s="15" t="n">
        <v>0.65939998626709</v>
      </c>
      <c r="H1384" s="16">
        <f>C1384+E1384</f>
        <v/>
      </c>
    </row>
    <row r="1385">
      <c r="A1385" s="12" t="n">
        <v>44026</v>
      </c>
      <c r="B1385" s="15" t="n">
        <v>-0.705399990081787</v>
      </c>
      <c r="C1385" s="15" t="n">
        <v>-0.379400014877319</v>
      </c>
      <c r="D1385" s="15" t="n">
        <v>1.84769999980927</v>
      </c>
      <c r="E1385" s="15" t="n">
        <v>-0.116500020027161</v>
      </c>
      <c r="F1385" s="15" t="n">
        <v>0.334300011396408</v>
      </c>
      <c r="G1385" s="15" t="n">
        <v>0.646399974822998</v>
      </c>
      <c r="H1385" s="16">
        <f>C1385+E1385</f>
        <v/>
      </c>
    </row>
    <row r="1386">
      <c r="A1386" s="12" t="n">
        <v>44027</v>
      </c>
      <c r="B1386" s="15" t="n">
        <v>-0.702300012111664</v>
      </c>
      <c r="C1386" s="15" t="n">
        <v>-0.376800000667572</v>
      </c>
      <c r="D1386" s="15" t="n">
        <v>1.84979999065399</v>
      </c>
      <c r="E1386" s="15" t="n">
        <v>-0.116099953651428</v>
      </c>
      <c r="F1386" s="15" t="n">
        <v>0.329199999570847</v>
      </c>
      <c r="G1386" s="15" t="n">
        <v>0.654600024223328</v>
      </c>
      <c r="H1386" s="16">
        <f>C1386+E1386</f>
        <v/>
      </c>
    </row>
    <row r="1387">
      <c r="A1387" s="12" t="n">
        <v>44028</v>
      </c>
      <c r="B1387" s="15" t="n">
        <v>-0.708100020885468</v>
      </c>
      <c r="C1387" s="15" t="n">
        <v>-0.379700005054474</v>
      </c>
      <c r="D1387" s="15" t="n">
        <v>1.84689998626709</v>
      </c>
      <c r="E1387" s="15" t="n">
        <v>-0.116499960422516</v>
      </c>
      <c r="F1387" s="15" t="n">
        <v>0.321999996900558</v>
      </c>
      <c r="G1387" s="15" t="n">
        <v>0.642599999904633</v>
      </c>
      <c r="H1387" s="16">
        <f>C1387+E1387</f>
        <v/>
      </c>
    </row>
    <row r="1388">
      <c r="A1388" s="12" t="n">
        <v>44029</v>
      </c>
      <c r="B1388" s="15" t="n">
        <v>-0.706099957227707</v>
      </c>
      <c r="C1388" s="15" t="n">
        <v>-0.376300007104874</v>
      </c>
      <c r="D1388" s="15" t="n">
        <v>1.84889996051788</v>
      </c>
      <c r="E1388" s="15" t="n">
        <v>-0.115700006484985</v>
      </c>
      <c r="F1388" s="15" t="n">
        <v>0.291200011968613</v>
      </c>
      <c r="G1388" s="15" t="n">
        <v>0.650799989700317</v>
      </c>
      <c r="H1388" s="16">
        <f>C1388+E1388</f>
        <v/>
      </c>
    </row>
    <row r="1389">
      <c r="A1389" s="12" t="n">
        <v>44032</v>
      </c>
      <c r="B1389" s="15" t="n">
        <v>-0.706599980592728</v>
      </c>
      <c r="C1389" s="15" t="n">
        <v>-0.380199998617172</v>
      </c>
      <c r="D1389" s="15" t="n">
        <v>1.84689998626709</v>
      </c>
      <c r="E1389" s="15" t="n">
        <v>-0.116600036621094</v>
      </c>
      <c r="F1389" s="15" t="n">
        <v>0.276699990034103</v>
      </c>
      <c r="G1389" s="15" t="n">
        <v>0.643499970436096</v>
      </c>
      <c r="H1389" s="16">
        <f>C1389+E1389</f>
        <v/>
      </c>
    </row>
    <row r="1390">
      <c r="A1390" s="12" t="n">
        <v>44033</v>
      </c>
      <c r="B1390" s="15" t="n">
        <v>-0.712699949741364</v>
      </c>
      <c r="C1390" s="15" t="n">
        <v>-0.386099994182587</v>
      </c>
      <c r="D1390" s="15" t="n">
        <v>1.84280002117157</v>
      </c>
      <c r="E1390" s="15" t="n">
        <v>-0.11790007352829</v>
      </c>
      <c r="F1390" s="15" t="n">
        <v>0.252900004386902</v>
      </c>
      <c r="G1390" s="15" t="n">
        <v>0.6261000037193299</v>
      </c>
      <c r="H1390" s="16">
        <f>C1390+E1390</f>
        <v/>
      </c>
    </row>
    <row r="1391">
      <c r="A1391" s="12" t="n">
        <v>44034</v>
      </c>
      <c r="B1391" s="15" t="n">
        <v>-0.7121999561786651</v>
      </c>
      <c r="C1391" s="15" t="n">
        <v>-0.388099998235703</v>
      </c>
      <c r="D1391" s="15" t="n">
        <v>1.84200000762939</v>
      </c>
      <c r="E1391" s="15" t="n">
        <v>-0.118400037288666</v>
      </c>
      <c r="F1391" s="15" t="n">
        <v>0.247500002384186</v>
      </c>
      <c r="G1391" s="15" t="n">
        <v>0.623300015926361</v>
      </c>
      <c r="H1391" s="16">
        <f>C1391+E1391</f>
        <v/>
      </c>
    </row>
    <row r="1392">
      <c r="A1392" s="12" t="n">
        <v>44035</v>
      </c>
      <c r="B1392" s="15" t="n">
        <v>-0.715499967336655</v>
      </c>
      <c r="C1392" s="15" t="n">
        <v>-0.392100006341934</v>
      </c>
      <c r="D1392" s="15" t="n">
        <v>1.83910000324249</v>
      </c>
      <c r="E1392" s="15" t="n">
        <v>-0.119200050830841</v>
      </c>
      <c r="F1392" s="15" t="n">
        <v>0.270599991083145</v>
      </c>
      <c r="G1392" s="15" t="n">
        <v>0.612299978733063</v>
      </c>
      <c r="H1392" s="16">
        <f>C1392+E1392</f>
        <v/>
      </c>
    </row>
    <row r="1393">
      <c r="A1393" s="12" t="n">
        <v>44036</v>
      </c>
      <c r="B1393" s="15" t="n">
        <v>-0.714499980211258</v>
      </c>
      <c r="C1393" s="15" t="n">
        <v>-0.393099993467331</v>
      </c>
      <c r="D1393" s="15" t="n">
        <v>1.83879995346069</v>
      </c>
      <c r="E1393" s="15" t="n">
        <v>-0.119399964809418</v>
      </c>
      <c r="F1393" s="15" t="n">
        <v>0.27810001373291</v>
      </c>
      <c r="G1393" s="15" t="n">
        <v>0.611800014972687</v>
      </c>
      <c r="H1393" s="16">
        <f>C1393+E1393</f>
        <v/>
      </c>
    </row>
    <row r="1394">
      <c r="A1394" s="12" t="n">
        <v>44039</v>
      </c>
      <c r="B1394" s="15" t="n">
        <v>-0.708400011062622</v>
      </c>
      <c r="C1394" s="15" t="n">
        <v>-0.385699987411499</v>
      </c>
      <c r="D1394" s="15" t="n">
        <v>1.84350001811981</v>
      </c>
      <c r="E1394" s="15" t="n">
        <v>-0.117700040340424</v>
      </c>
      <c r="F1394" s="15" t="n">
        <v>0.277500003576279</v>
      </c>
      <c r="G1394" s="15" t="n">
        <v>0.631699979305267</v>
      </c>
      <c r="H1394" s="16">
        <f>C1394+E1394</f>
        <v/>
      </c>
    </row>
    <row r="1395">
      <c r="A1395" s="12" t="n">
        <v>44040</v>
      </c>
      <c r="B1395" s="15" t="n">
        <v>-0.720499992370605</v>
      </c>
      <c r="C1395" s="15" t="n">
        <v>-0.396499991416931</v>
      </c>
      <c r="D1395" s="15" t="n">
        <v>1.83560001850128</v>
      </c>
      <c r="E1395" s="15" t="n">
        <v>-0.119900047779083</v>
      </c>
      <c r="F1395" s="15" t="n">
        <v>0.274699985980988</v>
      </c>
      <c r="G1395" s="15" t="n">
        <v>0.598699986934662</v>
      </c>
      <c r="H1395" s="16">
        <f>C1395+E1395</f>
        <v/>
      </c>
    </row>
    <row r="1396">
      <c r="A1396" s="12" t="n">
        <v>44041</v>
      </c>
      <c r="B1396" s="15" t="n">
        <v>-0.723900020122528</v>
      </c>
      <c r="C1396" s="15" t="n">
        <v>-0.398999989032745</v>
      </c>
      <c r="D1396" s="15" t="n">
        <v>1.83399999141693</v>
      </c>
      <c r="E1396" s="15" t="n">
        <v>-0.120499968528748</v>
      </c>
      <c r="F1396" s="15" t="n">
        <v>0.252499997615814</v>
      </c>
      <c r="G1396" s="15" t="n">
        <v>0.59060001373291</v>
      </c>
      <c r="H1396" s="16">
        <f>C1396+E1396</f>
        <v/>
      </c>
    </row>
    <row r="1397">
      <c r="A1397" s="12" t="n">
        <v>44042</v>
      </c>
      <c r="B1397" s="15" t="n">
        <v>-0.7333000302314761</v>
      </c>
      <c r="C1397" s="15" t="n">
        <v>-0.409200012683868</v>
      </c>
      <c r="D1397" s="15" t="n">
        <v>1.82710003852844</v>
      </c>
      <c r="E1397" s="15" t="n">
        <v>-0.122699975967407</v>
      </c>
      <c r="F1397" s="15" t="n">
        <v>0.248799994587898</v>
      </c>
      <c r="G1397" s="15" t="n">
        <v>0.561900019645691</v>
      </c>
      <c r="H1397" s="16">
        <f>C1397+E1397</f>
        <v/>
      </c>
    </row>
    <row r="1398">
      <c r="A1398" s="12" t="n">
        <v>44043</v>
      </c>
      <c r="B1398" s="15" t="n">
        <v>-0.737999975681305</v>
      </c>
      <c r="C1398" s="15" t="n">
        <v>-0.412000000476837</v>
      </c>
      <c r="D1398" s="15" t="n">
        <v>1.82480001449585</v>
      </c>
      <c r="E1398" s="15" t="n">
        <v>-0.123300015926361</v>
      </c>
      <c r="F1398" s="15" t="n">
        <v>0.220799997448921</v>
      </c>
      <c r="G1398" s="15" t="n">
        <v>0.551500022411346</v>
      </c>
      <c r="H1398" s="16">
        <f>C1398+E1398</f>
        <v/>
      </c>
    </row>
    <row r="1399">
      <c r="A1399" s="12" t="n">
        <v>44046</v>
      </c>
      <c r="B1399" s="15" t="n">
        <v>-0.733800023794174</v>
      </c>
      <c r="C1399" s="15" t="n">
        <v>-0.407900005578995</v>
      </c>
      <c r="D1399" s="15" t="n">
        <v>1.82790005207062</v>
      </c>
      <c r="E1399" s="15" t="n">
        <v>-0.122500002384186</v>
      </c>
      <c r="F1399" s="15" t="n">
        <v>0.18809999525547</v>
      </c>
      <c r="G1399" s="15" t="n">
        <v>0.5637000203132631</v>
      </c>
      <c r="H1399" s="16">
        <f>C1399+E1399</f>
        <v/>
      </c>
    </row>
    <row r="1400">
      <c r="A1400" s="12" t="n">
        <v>44047</v>
      </c>
      <c r="B1400" s="15" t="n">
        <v>-0.743499964475632</v>
      </c>
      <c r="C1400" s="15" t="n">
        <v>-0.421499997377396</v>
      </c>
      <c r="D1400" s="15" t="n">
        <v>1.81959998607635</v>
      </c>
      <c r="E1400" s="15" t="n">
        <v>-0.125600039958954</v>
      </c>
      <c r="F1400" s="15" t="n">
        <v>0.185699999332428</v>
      </c>
      <c r="G1400" s="15" t="n">
        <v>0.528999984264374</v>
      </c>
      <c r="H1400" s="16">
        <f>C1400+E1400</f>
        <v/>
      </c>
    </row>
    <row r="1401">
      <c r="A1401" s="12" t="n">
        <v>44048</v>
      </c>
      <c r="B1401" s="15" t="n">
        <v>-0.734500050544739</v>
      </c>
      <c r="C1401" s="15" t="n">
        <v>-0.413100004196167</v>
      </c>
      <c r="D1401" s="15" t="n">
        <v>1.82539999485016</v>
      </c>
      <c r="E1401" s="15" t="n">
        <v>-0.123899936676025</v>
      </c>
      <c r="F1401" s="15" t="n">
        <v>0.148399993777275</v>
      </c>
      <c r="G1401" s="15" t="n">
        <v>0.553900003433228</v>
      </c>
      <c r="H1401" s="16">
        <f>C1401+E1401</f>
        <v/>
      </c>
    </row>
    <row r="1402">
      <c r="A1402" s="12" t="n">
        <v>44049</v>
      </c>
      <c r="B1402" s="15" t="n">
        <v>-0.736700028181076</v>
      </c>
      <c r="C1402" s="15" t="n">
        <v>-0.413599997758865</v>
      </c>
      <c r="D1402" s="15" t="n">
        <v>1.82459998130798</v>
      </c>
      <c r="E1402" s="15" t="n">
        <v>-0.123799979686737</v>
      </c>
      <c r="F1402" s="15" t="n">
        <v>0.139300003647804</v>
      </c>
      <c r="G1402" s="15" t="n">
        <v>0.550499975681305</v>
      </c>
      <c r="H1402" s="16">
        <f>C1402+E1402</f>
        <v/>
      </c>
    </row>
    <row r="1403">
      <c r="A1403" s="12" t="n">
        <v>44050</v>
      </c>
      <c r="B1403" s="15" t="n">
        <v>-0.727300018072128</v>
      </c>
      <c r="C1403" s="15" t="n">
        <v>-0.402900010347366</v>
      </c>
      <c r="D1403" s="15" t="n">
        <v>1.83169996738434</v>
      </c>
      <c r="E1403" s="15" t="n">
        <v>-0.121499955654144</v>
      </c>
      <c r="F1403" s="15" t="n">
        <v>0.156000003218651</v>
      </c>
      <c r="G1403" s="15" t="n">
        <v>0.579999983310699</v>
      </c>
      <c r="H1403" s="16">
        <f>C1403+E1403</f>
        <v/>
      </c>
    </row>
    <row r="1404">
      <c r="A1404" s="12" t="n">
        <v>44053</v>
      </c>
      <c r="B1404" s="15" t="n">
        <v>-0.722200036048889</v>
      </c>
      <c r="C1404" s="15" t="n">
        <v>-0.397899985313416</v>
      </c>
      <c r="D1404" s="15" t="n">
        <v>1.83539998531342</v>
      </c>
      <c r="E1404" s="15" t="n">
        <v>-0.120499968528748</v>
      </c>
      <c r="F1404" s="15" t="n">
        <v>0.167199999094009</v>
      </c>
      <c r="G1404" s="15" t="n">
        <v>0.5947999954223629</v>
      </c>
      <c r="H1404" s="16">
        <f>C1404+E1404</f>
        <v/>
      </c>
    </row>
    <row r="1405">
      <c r="A1405" s="12" t="n">
        <v>44054</v>
      </c>
      <c r="B1405" s="15" t="n">
        <v>-0.70880001783371</v>
      </c>
      <c r="C1405" s="15" t="n">
        <v>-0.377499997615814</v>
      </c>
      <c r="D1405" s="15" t="n">
        <v>1.84769999980927</v>
      </c>
      <c r="E1405" s="15" t="n">
        <v>-0.115899980068207</v>
      </c>
      <c r="F1405" s="15" t="n">
        <v>0.166400000452995</v>
      </c>
      <c r="G1405" s="15" t="n">
        <v>0.645500004291534</v>
      </c>
      <c r="H1405" s="16">
        <f>C1405+E1405</f>
        <v/>
      </c>
    </row>
    <row r="1406">
      <c r="A1406" s="12" t="n">
        <v>44055</v>
      </c>
      <c r="B1406" s="15" t="n">
        <v>-0.698100000619888</v>
      </c>
      <c r="C1406" s="15" t="n">
        <v>-0.361600011587143</v>
      </c>
      <c r="D1406" s="15" t="n">
        <v>1.85730004310608</v>
      </c>
      <c r="E1406" s="15" t="n">
        <v>-0.112300038337708</v>
      </c>
      <c r="F1406" s="15" t="n">
        <v>0.140799999237061</v>
      </c>
      <c r="G1406" s="15" t="n">
        <v>0.68529999256134</v>
      </c>
      <c r="H1406" s="16">
        <f>C1406+E1406</f>
        <v/>
      </c>
    </row>
    <row r="1407">
      <c r="A1407" s="12" t="n">
        <v>44056</v>
      </c>
      <c r="B1407" s="15" t="n">
        <v>-0.688799947500229</v>
      </c>
      <c r="C1407" s="15" t="n">
        <v>-0.347499996423721</v>
      </c>
      <c r="D1407" s="15" t="n">
        <v>1.86600005626678</v>
      </c>
      <c r="E1407" s="15" t="n">
        <v>-0.109100103378296</v>
      </c>
      <c r="F1407" s="15" t="n">
        <v>0.142299994826317</v>
      </c>
      <c r="G1407" s="15" t="n">
        <v>0.720600008964539</v>
      </c>
      <c r="H1407" s="16">
        <f>C1407+E1407</f>
        <v/>
      </c>
    </row>
    <row r="1408">
      <c r="A1408" s="12" t="n">
        <v>44057</v>
      </c>
      <c r="B1408" s="15" t="n">
        <v>-0.69049996137619</v>
      </c>
      <c r="C1408" s="15" t="n">
        <v>-0.346599996089935</v>
      </c>
      <c r="D1408" s="15" t="n">
        <v>1.86660003662109</v>
      </c>
      <c r="E1408" s="15" t="n">
        <v>-0.109100103378296</v>
      </c>
      <c r="F1408" s="15" t="n">
        <v>0.152799993753433</v>
      </c>
      <c r="G1408" s="15" t="n">
        <v>0.720399975776672</v>
      </c>
      <c r="H1408" s="16">
        <f>C1408+E1408</f>
        <v/>
      </c>
    </row>
    <row r="1409">
      <c r="A1409" s="12" t="n">
        <v>44060</v>
      </c>
      <c r="B1409" s="15" t="n">
        <v>-0.69650000333786</v>
      </c>
      <c r="C1409" s="15" t="n">
        <v>-0.355300009250641</v>
      </c>
      <c r="D1409" s="15" t="n">
        <v>1.86129999160767</v>
      </c>
      <c r="E1409" s="15" t="n">
        <v>-0.1110999584198</v>
      </c>
      <c r="F1409" s="15" t="n">
        <v>0.145500004291534</v>
      </c>
      <c r="G1409" s="15" t="n">
        <v>0.698400020599365</v>
      </c>
      <c r="H1409" s="16">
        <f>C1409+E1409</f>
        <v/>
      </c>
    </row>
    <row r="1410">
      <c r="A1410" s="12" t="n">
        <v>44061</v>
      </c>
      <c r="B1410" s="15" t="n">
        <v>-0.701199978590012</v>
      </c>
      <c r="C1410" s="15" t="n">
        <v>-0.364800006151199</v>
      </c>
      <c r="D1410" s="15" t="n">
        <v>1.85590004920959</v>
      </c>
      <c r="E1410" s="15" t="n">
        <v>-0.113300085067749</v>
      </c>
      <c r="F1410" s="15" t="n">
        <v>0.115900002419949</v>
      </c>
      <c r="G1410" s="15" t="n">
        <v>0.676599979400635</v>
      </c>
      <c r="H1410" s="16">
        <f>C1410+E1410</f>
        <v/>
      </c>
    </row>
    <row r="1411">
      <c r="A1411" s="12" t="n">
        <v>44062</v>
      </c>
      <c r="B1411" s="15" t="n">
        <v>-0.698499977588654</v>
      </c>
      <c r="C1411" s="15" t="n">
        <v>-0.35809999704361</v>
      </c>
      <c r="D1411" s="15" t="n">
        <v>1.85969996452332</v>
      </c>
      <c r="E1411" s="15" t="n">
        <v>-0.111800014972687</v>
      </c>
      <c r="F1411" s="15" t="n">
        <v>0.125900000333786</v>
      </c>
      <c r="G1411" s="15" t="n">
        <v>0.691299974918365</v>
      </c>
      <c r="H1411" s="16">
        <f>C1411+E1411</f>
        <v/>
      </c>
    </row>
    <row r="1412">
      <c r="A1412" s="12" t="n">
        <v>44063</v>
      </c>
      <c r="B1412" s="15" t="n">
        <v>-0.703799962997437</v>
      </c>
      <c r="C1412" s="15" t="n">
        <v>-0.367900013923645</v>
      </c>
      <c r="D1412" s="15" t="n">
        <v>1.85420000553131</v>
      </c>
      <c r="E1412" s="15" t="n">
        <v>-0.11410003900528</v>
      </c>
      <c r="F1412" s="15" t="n">
        <v>0.160300001502037</v>
      </c>
      <c r="G1412" s="15" t="n">
        <v>0.66839998960495</v>
      </c>
      <c r="H1412" s="16">
        <f>C1412+E1412</f>
        <v/>
      </c>
    </row>
    <row r="1413">
      <c r="A1413" s="12" t="n">
        <v>44064</v>
      </c>
      <c r="B1413" s="15" t="n">
        <v>-0.7085999846458439</v>
      </c>
      <c r="C1413" s="15" t="n">
        <v>-0.374700009822845</v>
      </c>
      <c r="D1413" s="15" t="n">
        <v>1.84949994087219</v>
      </c>
      <c r="E1413" s="15" t="n">
        <v>-0.115499973297119</v>
      </c>
      <c r="F1413" s="15" t="n">
        <v>0.144500002264977</v>
      </c>
      <c r="G1413" s="15" t="n">
        <v>0.6506999731063841</v>
      </c>
      <c r="H1413" s="16">
        <f>C1413+E1413</f>
        <v/>
      </c>
    </row>
    <row r="1414">
      <c r="A1414" s="12" t="n">
        <v>44067</v>
      </c>
      <c r="B1414" s="15" t="n">
        <v>-0.70580005645752</v>
      </c>
      <c r="C1414" s="15" t="n">
        <v>-0.372099995613098</v>
      </c>
      <c r="D1414" s="15" t="n">
        <v>1.85099995136261</v>
      </c>
      <c r="E1414" s="15" t="n">
        <v>-0.114699900150299</v>
      </c>
      <c r="F1414" s="15" t="n">
        <v>0.114799998700619</v>
      </c>
      <c r="G1414" s="15" t="n">
        <v>0.658399999141693</v>
      </c>
      <c r="H1414" s="16">
        <f>C1414+E1414</f>
        <v/>
      </c>
    </row>
    <row r="1415">
      <c r="A1415" s="12" t="n">
        <v>44068</v>
      </c>
      <c r="B1415" s="15" t="n">
        <v>-0.69719997048378</v>
      </c>
      <c r="C1415" s="15" t="n">
        <v>-0.358700007200241</v>
      </c>
      <c r="D1415" s="15" t="n">
        <v>1.85920000076294</v>
      </c>
      <c r="E1415" s="15" t="n">
        <v>-0.111800014972687</v>
      </c>
      <c r="F1415" s="15" t="n">
        <v>0.100400000810623</v>
      </c>
      <c r="G1415" s="15" t="n">
        <v>0.691500008106232</v>
      </c>
      <c r="H1415" s="16">
        <f>C1415+E1415</f>
        <v/>
      </c>
    </row>
    <row r="1416">
      <c r="A1416" s="12" t="n">
        <v>44069</v>
      </c>
      <c r="B1416" s="15" t="n">
        <v>-0.696199983358383</v>
      </c>
      <c r="C1416" s="15" t="n">
        <v>-0.355500012636185</v>
      </c>
      <c r="D1416" s="15" t="n">
        <v>1.8610999584198</v>
      </c>
      <c r="E1416" s="15" t="n">
        <v>-0.1110999584198</v>
      </c>
      <c r="F1416" s="15" t="n">
        <v>0.07090000063180921</v>
      </c>
      <c r="G1416" s="15" t="n">
        <v>0.698300004005432</v>
      </c>
      <c r="H1416" s="16">
        <f>C1416+E1416</f>
        <v/>
      </c>
    </row>
    <row r="1417">
      <c r="A1417" s="12" t="n">
        <v>44070</v>
      </c>
      <c r="B1417" s="15" t="n">
        <v>-0.683200001716614</v>
      </c>
      <c r="C1417" s="15" t="n">
        <v>-0.332599997520447</v>
      </c>
      <c r="D1417" s="15" t="n">
        <v>1.87489998340607</v>
      </c>
      <c r="E1417" s="15" t="n">
        <v>-0.106000006198883</v>
      </c>
      <c r="F1417" s="15" t="n">
        <v>0.0742999985814095</v>
      </c>
      <c r="G1417" s="15" t="n">
        <v>0.753099977970123</v>
      </c>
      <c r="H1417" s="16">
        <f>C1417+E1417</f>
        <v/>
      </c>
    </row>
    <row r="1418">
      <c r="A1418" s="12" t="n">
        <v>44071</v>
      </c>
      <c r="B1418" s="15" t="n">
        <v>-0.687300056219101</v>
      </c>
      <c r="C1418" s="15" t="n">
        <v>-0.333099991083145</v>
      </c>
      <c r="D1418" s="15" t="n">
        <v>1.87460005283356</v>
      </c>
      <c r="E1418" s="15" t="n">
        <v>-0.106299996376038</v>
      </c>
      <c r="F1418" s="15" t="n">
        <v>0.0449000000953674</v>
      </c>
      <c r="G1418" s="15" t="n">
        <v>0.747900009155273</v>
      </c>
      <c r="H1418" s="16">
        <f>C1418+E1418</f>
        <v/>
      </c>
    </row>
    <row r="1419">
      <c r="A1419" s="12" t="n">
        <v>44074</v>
      </c>
      <c r="B1419" s="15" t="n">
        <v>-0.689600020647049</v>
      </c>
      <c r="C1419" s="15" t="n">
        <v>-0.341500014066696</v>
      </c>
      <c r="D1419" s="15" t="n">
        <v>1.87059998512268</v>
      </c>
      <c r="E1419" s="15" t="n">
        <v>-0.108499944210052</v>
      </c>
      <c r="F1419" s="15" t="n">
        <v>0.0148999998345971</v>
      </c>
      <c r="G1419" s="15" t="n">
        <v>0.7310000061988829</v>
      </c>
      <c r="H1419" s="16">
        <f>C1419+E1419</f>
        <v/>
      </c>
    </row>
    <row r="1420">
      <c r="A1420" s="12" t="n">
        <v>44075</v>
      </c>
      <c r="B1420" s="15" t="n">
        <v>-0.698100000619888</v>
      </c>
      <c r="C1420" s="15" t="n">
        <v>-0.355100005865097</v>
      </c>
      <c r="D1420" s="15" t="n">
        <v>1.86249995231628</v>
      </c>
      <c r="E1420" s="15" t="n">
        <v>-0.111599922180176</v>
      </c>
      <c r="F1420" s="15" t="n">
        <v>0.0308999996632338</v>
      </c>
      <c r="G1420" s="15" t="n">
        <v>0.697700023651123</v>
      </c>
      <c r="H1420" s="16">
        <f>C1420+E1420</f>
        <v/>
      </c>
    </row>
    <row r="1421">
      <c r="A1421" s="12" t="n">
        <v>44076</v>
      </c>
      <c r="B1421" s="15" t="n">
        <v>-0.7032000124454501</v>
      </c>
      <c r="C1421" s="15" t="n">
        <v>-0.362300008535385</v>
      </c>
      <c r="D1421" s="15" t="n">
        <v>1.85759997367859</v>
      </c>
      <c r="E1421" s="15" t="n">
        <v>-0.112999975681305</v>
      </c>
      <c r="F1421" s="15" t="n">
        <v>0.0570000000298023</v>
      </c>
      <c r="G1421" s="15" t="n">
        <v>0.679099977016449</v>
      </c>
      <c r="H1421" s="16">
        <f>C1421+E1421</f>
        <v/>
      </c>
    </row>
    <row r="1422">
      <c r="A1422" s="12" t="n">
        <v>44077</v>
      </c>
      <c r="B1422" s="15" t="n">
        <v>-0.711300015449524</v>
      </c>
      <c r="C1422" s="15" t="n">
        <v>-0.373600006103516</v>
      </c>
      <c r="D1422" s="15" t="n">
        <v>1.8503999710083</v>
      </c>
      <c r="E1422" s="15" t="n">
        <v>-0.115399956703186</v>
      </c>
      <c r="F1422" s="15" t="n">
        <v>0.112800002098083</v>
      </c>
      <c r="G1422" s="15" t="n">
        <v>0.650099992752075</v>
      </c>
      <c r="H1422" s="16">
        <f>C1422+E1422</f>
        <v/>
      </c>
    </row>
    <row r="1423">
      <c r="A1423" s="12" t="n">
        <v>44078</v>
      </c>
      <c r="B1423" s="15" t="n">
        <v>-0.689300000667572</v>
      </c>
      <c r="C1423" s="15" t="n">
        <v>-0.345099985599518</v>
      </c>
      <c r="D1423" s="15" t="n">
        <v>1.86810004711151</v>
      </c>
      <c r="E1423" s="15" t="n">
        <v>-0.109000086784363</v>
      </c>
      <c r="F1423" s="15" t="n">
        <v>0.106299996376038</v>
      </c>
      <c r="G1423" s="15" t="n">
        <v>0.724699974060059</v>
      </c>
      <c r="H1423" s="16">
        <f>C1423+E1423</f>
        <v/>
      </c>
    </row>
    <row r="1424">
      <c r="A1424" s="12" t="n">
        <v>44082</v>
      </c>
      <c r="B1424" s="15" t="n">
        <v>-0.694799959659576</v>
      </c>
      <c r="C1424" s="15" t="n">
        <v>-0.35589998960495</v>
      </c>
      <c r="D1424" s="15" t="n">
        <v>1.86220002174377</v>
      </c>
      <c r="E1424" s="15" t="n">
        <v>-0.111700057983398</v>
      </c>
      <c r="F1424" s="15" t="n">
        <v>0.107799999415874</v>
      </c>
      <c r="G1424" s="15" t="n">
        <v>0.6998000144958501</v>
      </c>
      <c r="H1424" s="16">
        <f>C1424+E1424</f>
        <v/>
      </c>
    </row>
    <row r="1425">
      <c r="A1425" s="12" t="n">
        <v>44083</v>
      </c>
      <c r="B1425" s="15" t="n">
        <v>-0.69240003824234</v>
      </c>
      <c r="C1425" s="15" t="n">
        <v>-0.353100001811981</v>
      </c>
      <c r="D1425" s="15" t="n">
        <v>1.86419999599457</v>
      </c>
      <c r="E1425" s="15" t="n">
        <v>-0.1110999584198</v>
      </c>
      <c r="F1425" s="15" t="n">
        <v>0.09279999881982801</v>
      </c>
      <c r="G1425" s="15" t="n">
        <v>0.707599997520447</v>
      </c>
      <c r="H1425" s="16">
        <f>C1425+E1425</f>
        <v/>
      </c>
    </row>
    <row r="1426">
      <c r="A1426" s="12" t="n">
        <v>44084</v>
      </c>
      <c r="B1426" s="15" t="n">
        <v>-0.700000017881393</v>
      </c>
      <c r="C1426" s="15" t="n">
        <v>-0.358300000429153</v>
      </c>
      <c r="D1426" s="15" t="n">
        <v>1.86000001430511</v>
      </c>
      <c r="E1426" s="15" t="n">
        <v>-0.112100005149841</v>
      </c>
      <c r="F1426" s="15" t="n">
        <v>0.09549999982118609</v>
      </c>
      <c r="G1426" s="15" t="n">
        <v>0.689599990844727</v>
      </c>
      <c r="H1426" s="16">
        <f>C1426+E1426</f>
        <v/>
      </c>
    </row>
    <row r="1427">
      <c r="A1427" s="12" t="n">
        <v>44085</v>
      </c>
      <c r="B1427" s="15" t="n">
        <v>-0.702400028705597</v>
      </c>
      <c r="C1427" s="15" t="n">
        <v>-0.360300004482269</v>
      </c>
      <c r="D1427" s="15" t="n">
        <v>1.85870003700256</v>
      </c>
      <c r="E1427" s="15" t="n">
        <v>-0.112600028514862</v>
      </c>
      <c r="F1427" s="15" t="n">
        <v>0.113799996674061</v>
      </c>
      <c r="G1427" s="15" t="n">
        <v>0.683399975299835</v>
      </c>
      <c r="H1427" s="16">
        <f>C1427+E1427</f>
        <v/>
      </c>
    </row>
    <row r="1428">
      <c r="A1428" s="12" t="n">
        <v>44088</v>
      </c>
      <c r="B1428" s="15" t="n">
        <v>-0.699999988079071</v>
      </c>
      <c r="C1428" s="15" t="n">
        <v>-0.360300004482269</v>
      </c>
      <c r="D1428" s="15" t="n">
        <v>1.85920000076294</v>
      </c>
      <c r="E1428" s="15" t="n">
        <v>-0.112600028514862</v>
      </c>
      <c r="F1428" s="15" t="n">
        <v>0.120800003409386</v>
      </c>
      <c r="G1428" s="15" t="n">
        <v>0.6862999796867369</v>
      </c>
      <c r="H1428" s="16">
        <f>C1428+E1428</f>
        <v/>
      </c>
    </row>
    <row r="1429">
      <c r="A1429" s="12" t="n">
        <v>44089</v>
      </c>
      <c r="B1429" s="15" t="n">
        <v>-0.701600015163422</v>
      </c>
      <c r="C1429" s="15" t="n">
        <v>-0.361000001430511</v>
      </c>
      <c r="D1429" s="15" t="n">
        <v>1.85829997062683</v>
      </c>
      <c r="E1429" s="15" t="n">
        <v>-0.112599968910217</v>
      </c>
      <c r="F1429" s="15" t="n">
        <v>0.108900003135204</v>
      </c>
      <c r="G1429" s="15" t="n">
        <v>0.683099985122681</v>
      </c>
      <c r="H1429" s="16">
        <f>C1429+E1429</f>
        <v/>
      </c>
    </row>
    <row r="1430">
      <c r="A1430" s="12" t="n">
        <v>44090</v>
      </c>
      <c r="B1430" s="15" t="n">
        <v>-0.698200017213821</v>
      </c>
      <c r="C1430" s="15" t="n">
        <v>-0.355800002813339</v>
      </c>
      <c r="D1430" s="15" t="n">
        <v>1.8614000082016</v>
      </c>
      <c r="E1430" s="15" t="n">
        <v>-0.111400008201599</v>
      </c>
      <c r="F1430" s="15" t="n">
        <v>0.101000003516674</v>
      </c>
      <c r="G1430" s="15" t="n">
        <v>0.695999979972839</v>
      </c>
      <c r="H1430" s="16">
        <f>C1430+E1430</f>
        <v/>
      </c>
    </row>
    <row r="1431">
      <c r="A1431" s="12" t="n">
        <v>44091</v>
      </c>
      <c r="B1431" s="15" t="n">
        <v>-0.699500054121017</v>
      </c>
      <c r="C1431" s="15" t="n">
        <v>-0.354000002145767</v>
      </c>
      <c r="D1431" s="15" t="n">
        <v>1.86189997196198</v>
      </c>
      <c r="E1431" s="15" t="n">
        <v>-0.110899925231934</v>
      </c>
      <c r="F1431" s="15" t="n">
        <v>0.105099998414516</v>
      </c>
      <c r="G1431" s="15" t="n">
        <v>0.6974999904632569</v>
      </c>
      <c r="H1431" s="16">
        <f>C1431+E1431</f>
        <v/>
      </c>
    </row>
    <row r="1432">
      <c r="A1432" s="12" t="n">
        <v>44092</v>
      </c>
      <c r="B1432" s="15" t="n">
        <v>-0.6953000426292421</v>
      </c>
      <c r="C1432" s="15" t="n">
        <v>-0.350300014019012</v>
      </c>
      <c r="D1432" s="15" t="n">
        <v>1.86459994316101</v>
      </c>
      <c r="E1432" s="15" t="n">
        <v>-0.110099911689758</v>
      </c>
      <c r="F1432" s="15" t="n">
        <v>0.105700001120567</v>
      </c>
      <c r="G1432" s="15" t="n">
        <v>0.708899974822998</v>
      </c>
      <c r="H1432" s="16">
        <f>C1432+E1432</f>
        <v/>
      </c>
    </row>
    <row r="1433">
      <c r="A1433" s="12" t="n">
        <v>44095</v>
      </c>
      <c r="B1433" s="15" t="n">
        <v>-0.700200021266937</v>
      </c>
      <c r="C1433" s="15" t="n">
        <v>-0.354499995708466</v>
      </c>
      <c r="D1433" s="15" t="n">
        <v>1.86160004138947</v>
      </c>
      <c r="E1433" s="15" t="n">
        <v>-0.111000001430511</v>
      </c>
      <c r="F1433" s="15" t="n">
        <v>0.144800007343292</v>
      </c>
      <c r="G1433" s="15" t="n">
        <v>0.695900022983551</v>
      </c>
      <c r="H1433" s="16">
        <f>C1433+E1433</f>
        <v/>
      </c>
    </row>
    <row r="1434">
      <c r="A1434" s="12" t="n">
        <v>44096</v>
      </c>
      <c r="B1434" s="15" t="n">
        <v>-0.703000009059906</v>
      </c>
      <c r="C1434" s="15" t="n">
        <v>-0.35809999704361</v>
      </c>
      <c r="D1434" s="15" t="n">
        <v>1.85930001735687</v>
      </c>
      <c r="E1434" s="15" t="n">
        <v>-0.11190003156662</v>
      </c>
      <c r="F1434" s="15" t="n">
        <v>0.153699994087219</v>
      </c>
      <c r="G1434" s="15" t="n">
        <v>0.6862999796867369</v>
      </c>
      <c r="H1434" s="16">
        <f>C1434+E1434</f>
        <v/>
      </c>
    </row>
    <row r="1435">
      <c r="A1435" s="12" t="n">
        <v>44097</v>
      </c>
      <c r="B1435" s="15" t="n">
        <v>-0.7020999789237981</v>
      </c>
      <c r="C1435" s="15" t="n">
        <v>-0.357400000095367</v>
      </c>
      <c r="D1435" s="15" t="n">
        <v>1.85969996452332</v>
      </c>
      <c r="E1435" s="15" t="n">
        <v>-0.111599981784821</v>
      </c>
      <c r="F1435" s="15" t="n">
        <v>0.163499996066093</v>
      </c>
      <c r="G1435" s="15" t="n">
        <v>0.6886000037193299</v>
      </c>
      <c r="H1435" s="16">
        <f>C1435+E1435</f>
        <v/>
      </c>
    </row>
    <row r="1436">
      <c r="A1436" s="12" t="n">
        <v>44098</v>
      </c>
      <c r="B1436" s="15" t="n">
        <v>-0.7043000459671021</v>
      </c>
      <c r="C1436" s="15" t="n">
        <v>-0.361299991607666</v>
      </c>
      <c r="D1436" s="15" t="n">
        <v>1.85720002651215</v>
      </c>
      <c r="E1436" s="15" t="n">
        <v>-0.112500011920929</v>
      </c>
      <c r="F1436" s="15" t="n">
        <v>0.177799999713898</v>
      </c>
      <c r="G1436" s="15" t="n">
        <v>0.679099977016449</v>
      </c>
      <c r="H1436" s="16">
        <f>C1436+E1436</f>
        <v/>
      </c>
    </row>
    <row r="1437">
      <c r="A1437" s="12" t="n">
        <v>44099</v>
      </c>
      <c r="B1437" s="15" t="n">
        <v>-0.7075000107288359</v>
      </c>
      <c r="C1437" s="15" t="n">
        <v>-0.365799993276596</v>
      </c>
      <c r="D1437" s="15" t="n">
        <v>1.85440003871918</v>
      </c>
      <c r="E1437" s="15" t="n">
        <v>-0.113400042057037</v>
      </c>
      <c r="F1437" s="15" t="n">
        <v>0.176699995994568</v>
      </c>
      <c r="G1437" s="15" t="n">
        <v>0.667699992656708</v>
      </c>
      <c r="H1437" s="16">
        <f>C1437+E1437</f>
        <v/>
      </c>
    </row>
    <row r="1438">
      <c r="A1438" s="12" t="n">
        <v>44102</v>
      </c>
      <c r="B1438" s="15" t="n">
        <v>-0.707699954509735</v>
      </c>
      <c r="C1438" s="15" t="n">
        <v>-0.366100013256073</v>
      </c>
      <c r="D1438" s="15" t="n">
        <v>1.85420000553131</v>
      </c>
      <c r="E1438" s="15" t="n">
        <v>-0.11350005865097</v>
      </c>
      <c r="F1438" s="15" t="n">
        <v>0.151500001549721</v>
      </c>
      <c r="G1438" s="15" t="n">
        <v>0.666899979114532</v>
      </c>
      <c r="H1438" s="16">
        <f>C1438+E1438</f>
        <v/>
      </c>
    </row>
    <row r="1439">
      <c r="A1439" s="12" t="n">
        <v>44103</v>
      </c>
      <c r="B1439" s="15" t="n">
        <v>-0.710500031709671</v>
      </c>
      <c r="C1439" s="15" t="n">
        <v>-0.369500011205673</v>
      </c>
      <c r="D1439" s="15" t="n">
        <v>1.85210001468658</v>
      </c>
      <c r="E1439" s="15" t="n">
        <v>-0.114299952983856</v>
      </c>
      <c r="F1439" s="15" t="n">
        <v>0.130799993872643</v>
      </c>
      <c r="G1439" s="15" t="n">
        <v>0.657800018787384</v>
      </c>
      <c r="H1439" s="16">
        <f>C1439+E1439</f>
        <v/>
      </c>
    </row>
    <row r="1440">
      <c r="A1440" s="12" t="n">
        <v>44104</v>
      </c>
      <c r="B1440" s="15" t="n">
        <v>-0.7008999884128569</v>
      </c>
      <c r="C1440" s="15" t="n">
        <v>-0.355699986219406</v>
      </c>
      <c r="D1440" s="15" t="n">
        <v>1.86080002784729</v>
      </c>
      <c r="E1440" s="15" t="n">
        <v>-0.111300051212311</v>
      </c>
      <c r="F1440" s="15" t="n">
        <v>0.141800001263618</v>
      </c>
      <c r="G1440" s="15" t="n">
        <v>0.692900002002716</v>
      </c>
      <c r="H1440" s="16">
        <f>C1440+E1440</f>
        <v/>
      </c>
    </row>
    <row r="1441">
      <c r="A1441" s="12" t="n">
        <v>44105</v>
      </c>
      <c r="B1441" s="15" t="n">
        <v>-0.703600019216537</v>
      </c>
      <c r="C1441" s="15" t="n">
        <v>-0.356900006532669</v>
      </c>
      <c r="D1441" s="15" t="n">
        <v>1.85950005054474</v>
      </c>
      <c r="E1441" s="15" t="n">
        <v>-0.111400008201599</v>
      </c>
      <c r="F1441" s="15" t="n">
        <v>0.14300000667572</v>
      </c>
      <c r="G1441" s="15" t="n">
        <v>0.687600016593933</v>
      </c>
      <c r="H1441" s="16">
        <f>C1441+E1441</f>
        <v/>
      </c>
    </row>
    <row r="1442">
      <c r="A1442" s="12" t="n">
        <v>44106</v>
      </c>
      <c r="B1442" s="15" t="n">
        <v>-0.6974999904632569</v>
      </c>
      <c r="C1442" s="15" t="n">
        <v>-0.350499987602234</v>
      </c>
      <c r="D1442" s="15" t="n">
        <v>1.86380004882812</v>
      </c>
      <c r="E1442" s="15" t="n">
        <v>-0.110100090503693</v>
      </c>
      <c r="F1442" s="15" t="n">
        <v>0.138999998569489</v>
      </c>
      <c r="G1442" s="15" t="n">
        <v>0.705699980258942</v>
      </c>
      <c r="H1442" s="16">
        <f>C1442+E1442</f>
        <v/>
      </c>
    </row>
    <row r="1443">
      <c r="A1443" s="12" t="n">
        <v>44109</v>
      </c>
      <c r="B1443" s="15" t="n">
        <v>-0.676699995994568</v>
      </c>
      <c r="C1443" s="15" t="n">
        <v>-0.321399986743927</v>
      </c>
      <c r="D1443" s="15" t="n">
        <v>1.88199996948242</v>
      </c>
      <c r="E1443" s="15" t="n">
        <v>-0.103500008583069</v>
      </c>
      <c r="F1443" s="15" t="n">
        <v>0.12890000641346</v>
      </c>
      <c r="G1443" s="15" t="n">
        <v>0.780399978160858</v>
      </c>
      <c r="H1443" s="16">
        <f>C1443+E1443</f>
        <v/>
      </c>
    </row>
    <row r="1444">
      <c r="A1444" s="12" t="n">
        <v>44110</v>
      </c>
      <c r="B1444" s="15" t="n">
        <v>-0.680399954319</v>
      </c>
      <c r="C1444" s="15" t="n">
        <v>-0.324999988079071</v>
      </c>
      <c r="D1444" s="15" t="n">
        <v>1.87969994544983</v>
      </c>
      <c r="E1444" s="15" t="n">
        <v>-0.104399979114532</v>
      </c>
      <c r="F1444" s="15" t="n">
        <v>0.133599996566772</v>
      </c>
      <c r="G1444" s="15" t="n">
        <v>0.769900023937225</v>
      </c>
      <c r="H1444" s="16">
        <f>C1444+E1444</f>
        <v/>
      </c>
    </row>
    <row r="1445">
      <c r="A1445" s="12" t="n">
        <v>44111</v>
      </c>
      <c r="B1445" s="15" t="n">
        <v>-0.668200016021729</v>
      </c>
      <c r="C1445" s="15" t="n">
        <v>-0.31139999628067</v>
      </c>
      <c r="D1445" s="15" t="n">
        <v>1.88870000839233</v>
      </c>
      <c r="E1445" s="15" t="n">
        <v>-0.101400017738342</v>
      </c>
      <c r="F1445" s="15" t="n">
        <v>0.116999998688698</v>
      </c>
      <c r="G1445" s="15" t="n">
        <v>0.807699978351593</v>
      </c>
      <c r="H1445" s="16">
        <f>C1445+E1445</f>
        <v/>
      </c>
    </row>
    <row r="1446">
      <c r="A1446" s="12" t="n">
        <v>44112</v>
      </c>
      <c r="B1446" s="15" t="n">
        <v>-0.67620000243187</v>
      </c>
      <c r="C1446" s="15" t="n">
        <v>-0.320899993181229</v>
      </c>
      <c r="D1446" s="15" t="n">
        <v>1.8827999830246</v>
      </c>
      <c r="E1446" s="15" t="n">
        <v>-0.10369998216629</v>
      </c>
      <c r="F1446" s="15" t="n">
        <v>0.09560000151395801</v>
      </c>
      <c r="G1446" s="15" t="n">
        <v>0.782000005245209</v>
      </c>
      <c r="H1446" s="16">
        <f>C1446+E1446</f>
        <v/>
      </c>
    </row>
    <row r="1447">
      <c r="A1447" s="12" t="n">
        <v>44113</v>
      </c>
      <c r="B1447" s="15" t="n">
        <v>-0.671200007200241</v>
      </c>
      <c r="C1447" s="15" t="n">
        <v>-0.315600007772446</v>
      </c>
      <c r="D1447" s="15" t="n">
        <v>1.88619995117188</v>
      </c>
      <c r="E1447" s="15" t="n">
        <v>-0.102499961853027</v>
      </c>
      <c r="F1447" s="15" t="n">
        <v>0.09560000151395801</v>
      </c>
      <c r="G1447" s="15" t="n">
        <v>0.796899974346161</v>
      </c>
      <c r="H1447" s="16">
        <f>C1447+E1447</f>
        <v/>
      </c>
    </row>
    <row r="1448">
      <c r="A1448" s="12" t="n">
        <v>44117</v>
      </c>
      <c r="B1448" s="15" t="n">
        <v>-0.6837999522686</v>
      </c>
      <c r="C1448" s="15" t="n">
        <v>-0.332500010728836</v>
      </c>
      <c r="D1448" s="15" t="n">
        <v>1.87569999694824</v>
      </c>
      <c r="E1448" s="15" t="n">
        <v>-0.106300055980682</v>
      </c>
      <c r="F1448" s="15" t="n">
        <v>0.103900000452995</v>
      </c>
      <c r="G1448" s="15" t="n">
        <v>0.753099977970123</v>
      </c>
      <c r="H1448" s="16">
        <f>C1448+E1448</f>
        <v/>
      </c>
    </row>
    <row r="1449">
      <c r="A1449" s="12" t="n">
        <v>44118</v>
      </c>
      <c r="B1449" s="15" t="n">
        <v>-0.686900019645691</v>
      </c>
      <c r="C1449" s="15" t="n">
        <v>-0.337599992752075</v>
      </c>
      <c r="D1449" s="15" t="n">
        <v>1.87259995937347</v>
      </c>
      <c r="E1449" s="15" t="n">
        <v>-0.107399940490723</v>
      </c>
      <c r="F1449" s="15" t="n">
        <v>0.109399996697903</v>
      </c>
      <c r="G1449" s="15" t="n">
        <v>0.740700006484985</v>
      </c>
      <c r="H1449" s="16">
        <f>C1449+E1449</f>
        <v/>
      </c>
    </row>
    <row r="1450">
      <c r="A1450" s="12" t="n">
        <v>44119</v>
      </c>
      <c r="B1450" s="15" t="n">
        <v>-0.683199942111969</v>
      </c>
      <c r="C1450" s="15" t="n">
        <v>-0.333000004291534</v>
      </c>
      <c r="D1450" s="15" t="n">
        <v>1.87539994716644</v>
      </c>
      <c r="E1450" s="15" t="n">
        <v>-0.106299996376038</v>
      </c>
      <c r="F1450" s="15" t="n">
        <v>0.113300003111362</v>
      </c>
      <c r="G1450" s="15" t="n">
        <v>0.752900004386902</v>
      </c>
      <c r="H1450" s="16">
        <f>C1450+E1450</f>
        <v/>
      </c>
    </row>
    <row r="1451">
      <c r="A1451" s="12" t="n">
        <v>44120</v>
      </c>
      <c r="B1451" s="15" t="n">
        <v>-0.681099981069565</v>
      </c>
      <c r="C1451" s="15" t="n">
        <v>-0.330300003290176</v>
      </c>
      <c r="D1451" s="15" t="n">
        <v>1.87709999084473</v>
      </c>
      <c r="E1451" s="15" t="n">
        <v>-0.105700016021729</v>
      </c>
      <c r="F1451" s="15" t="n">
        <v>0.10639999806881</v>
      </c>
      <c r="G1451" s="15" t="n">
        <v>0.7599999904632569</v>
      </c>
      <c r="H1451" s="16">
        <f>C1451+E1451</f>
        <v/>
      </c>
    </row>
    <row r="1452">
      <c r="A1452" s="12" t="n">
        <v>44123</v>
      </c>
      <c r="B1452" s="15" t="n">
        <v>-0.67620000243187</v>
      </c>
      <c r="C1452" s="15" t="n">
        <v>-0.320199996232986</v>
      </c>
      <c r="D1452" s="15" t="n">
        <v>1.8827999830246</v>
      </c>
      <c r="E1452" s="15" t="n">
        <v>-0.103399991989136</v>
      </c>
      <c r="F1452" s="15" t="n">
        <v>0.11710000038147</v>
      </c>
      <c r="G1452" s="15" t="n">
        <v>0.782999992370605</v>
      </c>
      <c r="H1452" s="16">
        <f>C1452+E1452</f>
        <v/>
      </c>
    </row>
    <row r="1453">
      <c r="A1453" s="12" t="n">
        <v>44124</v>
      </c>
      <c r="B1453" s="15" t="n">
        <v>-0.667800009250641</v>
      </c>
      <c r="C1453" s="15" t="n">
        <v>-0.308899998664856</v>
      </c>
      <c r="D1453" s="15" t="n">
        <v>1.89020001888275</v>
      </c>
      <c r="E1453" s="15" t="n">
        <v>-0.101000010967255</v>
      </c>
      <c r="F1453" s="15" t="n">
        <v>0.111699998378754</v>
      </c>
      <c r="G1453" s="15" t="n">
        <v>0.8125</v>
      </c>
      <c r="H1453" s="16">
        <f>C1453+E1453</f>
        <v/>
      </c>
    </row>
    <row r="1454">
      <c r="A1454" s="12" t="n">
        <v>44125</v>
      </c>
      <c r="B1454" s="15" t="n">
        <v>-0.662400007247925</v>
      </c>
      <c r="C1454" s="15" t="n">
        <v>-0.30019998550415</v>
      </c>
      <c r="D1454" s="15" t="n">
        <v>1.89559996128082</v>
      </c>
      <c r="E1454" s="15" t="n">
        <v>-0.09899997711181641</v>
      </c>
      <c r="F1454" s="15" t="n">
        <v>0.100599996745586</v>
      </c>
      <c r="G1454" s="15" t="n">
        <v>0.833999991416931</v>
      </c>
      <c r="H1454" s="16">
        <f>C1454+E1454</f>
        <v/>
      </c>
    </row>
    <row r="1455">
      <c r="A1455" s="12" t="n">
        <v>44126</v>
      </c>
      <c r="B1455" s="15" t="n">
        <v>-0.652499973773956</v>
      </c>
      <c r="C1455" s="15" t="n">
        <v>-0.283399999141693</v>
      </c>
      <c r="D1455" s="15" t="n">
        <v>1.90559995174408</v>
      </c>
      <c r="E1455" s="15" t="n">
        <v>-0.09509998559951779</v>
      </c>
      <c r="F1455" s="15" t="n">
        <v>0.0922999978065491</v>
      </c>
      <c r="G1455" s="15" t="n">
        <v>0.874599993228912</v>
      </c>
      <c r="H1455" s="16">
        <f>C1455+E1455</f>
        <v/>
      </c>
    </row>
    <row r="1456">
      <c r="A1456" s="12" t="n">
        <v>44127</v>
      </c>
      <c r="B1456" s="15" t="n">
        <v>-0.655499994754791</v>
      </c>
      <c r="C1456" s="15" t="n">
        <v>-0.287299990653992</v>
      </c>
      <c r="D1456" s="15" t="n">
        <v>1.90310001373291</v>
      </c>
      <c r="E1456" s="15" t="n">
        <v>-0.09600001573562621</v>
      </c>
      <c r="F1456" s="15" t="n">
        <v>0.096000000834465</v>
      </c>
      <c r="G1456" s="15" t="n">
        <v>0.864300012588501</v>
      </c>
      <c r="H1456" s="16">
        <f>C1456+E1456</f>
        <v/>
      </c>
    </row>
    <row r="1457">
      <c r="A1457" s="12" t="n">
        <v>44130</v>
      </c>
      <c r="B1457" s="15" t="n">
        <v>-0.663900017738342</v>
      </c>
      <c r="C1457" s="15" t="n">
        <v>-0.301699995994568</v>
      </c>
      <c r="D1457" s="15" t="n">
        <v>1.89460003376007</v>
      </c>
      <c r="E1457" s="15" t="n">
        <v>-0.09930002689361569</v>
      </c>
      <c r="F1457" s="15" t="n">
        <v>0.105899997055531</v>
      </c>
      <c r="G1457" s="15" t="n">
        <v>0.829699993133545</v>
      </c>
      <c r="H1457" s="16">
        <f>C1457+E1457</f>
        <v/>
      </c>
    </row>
    <row r="1458">
      <c r="A1458" s="12" t="n">
        <v>44131</v>
      </c>
      <c r="B1458" s="15" t="n">
        <v>-0.671700000762939</v>
      </c>
      <c r="C1458" s="15" t="n">
        <v>-0.31139999628067</v>
      </c>
      <c r="D1458" s="15" t="n">
        <v>1.88820004463196</v>
      </c>
      <c r="E1458" s="15" t="n">
        <v>-0.101400077342987</v>
      </c>
      <c r="F1458" s="15" t="n">
        <v>0.105200000107288</v>
      </c>
      <c r="G1458" s="15" t="n">
        <v>0.803699970245361</v>
      </c>
      <c r="H1458" s="16">
        <f>C1458+E1458</f>
        <v/>
      </c>
    </row>
    <row r="1459">
      <c r="A1459" s="12" t="n">
        <v>44132</v>
      </c>
      <c r="B1459" s="15" t="n">
        <v>-0.671499997377396</v>
      </c>
      <c r="C1459" s="15" t="n">
        <v>-0.311199992895126</v>
      </c>
      <c r="D1459" s="15" t="n">
        <v>1.8882999420166</v>
      </c>
      <c r="E1459" s="15" t="n">
        <v>-0.101399958133698</v>
      </c>
      <c r="F1459" s="15" t="n">
        <v>0.121799997985363</v>
      </c>
      <c r="G1459" s="15" t="n">
        <v>0.804199993610382</v>
      </c>
      <c r="H1459" s="16">
        <f>C1459+E1459</f>
        <v/>
      </c>
    </row>
    <row r="1460">
      <c r="A1460" s="12" t="n">
        <v>44133</v>
      </c>
      <c r="B1460" s="15" t="n">
        <v>-0.657899975776672</v>
      </c>
      <c r="C1460" s="15" t="n">
        <v>-0.288800001144409</v>
      </c>
      <c r="D1460" s="15" t="n">
        <v>1.90170001983643</v>
      </c>
      <c r="E1460" s="15" t="n">
        <v>-0.0963000655174255</v>
      </c>
      <c r="F1460" s="15" t="n">
        <v>0.136099994182587</v>
      </c>
      <c r="G1460" s="15" t="n">
        <v>0.858699977397919</v>
      </c>
      <c r="H1460" s="16">
        <f>C1460+E1460</f>
        <v/>
      </c>
    </row>
    <row r="1461">
      <c r="A1461" s="12" t="n">
        <v>44134</v>
      </c>
      <c r="B1461" s="15" t="n">
        <v>-0.648099988698959</v>
      </c>
      <c r="C1461" s="15" t="n">
        <v>-0.275000005960464</v>
      </c>
      <c r="D1461" s="15" t="n">
        <v>1.91059994697571</v>
      </c>
      <c r="E1461" s="15" t="n">
        <v>-0.093299925327301</v>
      </c>
      <c r="F1461" s="15" t="n">
        <v>0.14470000565052</v>
      </c>
      <c r="G1461" s="15" t="n">
        <v>0.894200026988983</v>
      </c>
      <c r="H1461" s="16">
        <f>C1461+E1461</f>
        <v/>
      </c>
    </row>
    <row r="1462">
      <c r="A1462" s="12" t="n">
        <v>44137</v>
      </c>
      <c r="B1462" s="15" t="n">
        <v>-0.651500016450882</v>
      </c>
      <c r="C1462" s="15" t="n">
        <v>-0.280299991369247</v>
      </c>
      <c r="D1462" s="15" t="n">
        <v>1.9074000120163</v>
      </c>
      <c r="E1462" s="15" t="n">
        <v>-0.0945000052452087</v>
      </c>
      <c r="F1462" s="15" t="n">
        <v>0.137700006365776</v>
      </c>
      <c r="G1462" s="15" t="n">
        <v>0.881099998950958</v>
      </c>
      <c r="H1462" s="16">
        <f>C1462+E1462</f>
        <v/>
      </c>
    </row>
    <row r="1463">
      <c r="A1463" s="12" t="n">
        <v>44138</v>
      </c>
      <c r="B1463" s="15" t="n">
        <v>-0.642899990081787</v>
      </c>
      <c r="C1463" s="15" t="n">
        <v>-0.270900011062622</v>
      </c>
      <c r="D1463" s="15" t="n">
        <v>1.91380000114441</v>
      </c>
      <c r="E1463" s="15" t="n">
        <v>-0.09249997138977049</v>
      </c>
      <c r="F1463" s="15" t="n">
        <v>0.135499998927116</v>
      </c>
      <c r="G1463" s="15" t="n">
        <v>0.907500028610229</v>
      </c>
      <c r="H1463" s="16">
        <f>C1463+E1463</f>
        <v/>
      </c>
    </row>
    <row r="1464">
      <c r="A1464" s="12" t="n">
        <v>44139</v>
      </c>
      <c r="B1464" s="15" t="n">
        <v>-0.673299998044968</v>
      </c>
      <c r="C1464" s="15" t="n">
        <v>-0.308400005102158</v>
      </c>
      <c r="D1464" s="15" t="n">
        <v>1.88950002193451</v>
      </c>
      <c r="E1464" s="15" t="n">
        <v>-0.1007000207901</v>
      </c>
      <c r="F1464" s="15" t="n">
        <v>0.165000006556511</v>
      </c>
      <c r="G1464" s="15" t="n">
        <v>0.807099997997284</v>
      </c>
      <c r="H1464" s="16">
        <f>C1464+E1464</f>
        <v/>
      </c>
    </row>
    <row r="1465">
      <c r="A1465" s="12" t="n">
        <v>44140</v>
      </c>
      <c r="B1465" s="15" t="n">
        <v>-0.674200028181076</v>
      </c>
      <c r="C1465" s="15" t="n">
        <v>-0.312599986791611</v>
      </c>
      <c r="D1465" s="15" t="n">
        <v>1.88689994812012</v>
      </c>
      <c r="E1465" s="15" t="n">
        <v>-0.101599931716919</v>
      </c>
      <c r="F1465" s="15" t="n">
        <v>0.163399994373322</v>
      </c>
      <c r="G1465" s="15" t="n">
        <v>0.798500001430511</v>
      </c>
      <c r="H1465" s="16">
        <f>C1465+E1465</f>
        <v/>
      </c>
    </row>
    <row r="1466">
      <c r="A1466" s="12" t="n">
        <v>44141</v>
      </c>
      <c r="B1466" s="15" t="n">
        <v>-0.661399990320206</v>
      </c>
      <c r="C1466" s="15" t="n">
        <v>-0.296900004148483</v>
      </c>
      <c r="D1466" s="15" t="n">
        <v>1.89709997177124</v>
      </c>
      <c r="E1466" s="15" t="n">
        <v>-0.0981000065803528</v>
      </c>
      <c r="F1466" s="15" t="n">
        <v>0.179100006818771</v>
      </c>
      <c r="G1466" s="15" t="n">
        <v>0.840699970722198</v>
      </c>
      <c r="H1466" s="16">
        <f>C1466+E1466</f>
        <v/>
      </c>
    </row>
    <row r="1467">
      <c r="A1467" s="12" t="n">
        <v>44144</v>
      </c>
      <c r="B1467" s="15" t="n">
        <v>-0.6293999850749969</v>
      </c>
      <c r="C1467" s="15" t="n">
        <v>-0.252700001001358</v>
      </c>
      <c r="D1467" s="15" t="n">
        <v>1.92449998855591</v>
      </c>
      <c r="E1467" s="15" t="n">
        <v>-0.08810001611709591</v>
      </c>
      <c r="F1467" s="15" t="n">
        <v>0.147499993443489</v>
      </c>
      <c r="G1467" s="15" t="n">
        <v>0.9542999863624571</v>
      </c>
      <c r="H1467" s="16">
        <f>C1467+E1467</f>
        <v/>
      </c>
    </row>
    <row r="1468">
      <c r="A1468" s="12" t="n">
        <v>44145</v>
      </c>
      <c r="B1468" s="15" t="n">
        <v>-0.621499985456467</v>
      </c>
      <c r="C1468" s="15" t="n">
        <v>-0.239800006151199</v>
      </c>
      <c r="D1468" s="15" t="n">
        <v>1.93229997158051</v>
      </c>
      <c r="E1468" s="15" t="n">
        <v>-0.0851999521255493</v>
      </c>
      <c r="F1468" s="15" t="n">
        <v>0.118500001728535</v>
      </c>
      <c r="G1468" s="15" t="n">
        <v>0.98580002784729</v>
      </c>
      <c r="H1468" s="16">
        <f>C1468+E1468</f>
        <v/>
      </c>
    </row>
    <row r="1469">
      <c r="A1469" s="12" t="n">
        <v>44147</v>
      </c>
      <c r="B1469" s="15" t="n">
        <v>-0.647799998521805</v>
      </c>
      <c r="C1469" s="15" t="n">
        <v>-0.273499995470047</v>
      </c>
      <c r="D1469" s="15" t="n">
        <v>1.91079998016357</v>
      </c>
      <c r="E1469" s="15" t="n">
        <v>-0.0927000045776367</v>
      </c>
      <c r="F1469" s="15" t="n">
        <v>0.130199998617172</v>
      </c>
      <c r="G1469" s="15" t="n">
        <v>0.896799981594086</v>
      </c>
      <c r="H1469" s="16">
        <f>C1469+E1469</f>
        <v/>
      </c>
    </row>
    <row r="1470">
      <c r="A1470" s="12" t="n">
        <v>44148</v>
      </c>
      <c r="B1470" s="15" t="n">
        <v>-0.645699977874756</v>
      </c>
      <c r="C1470" s="15" t="n">
        <v>-0.271899998188019</v>
      </c>
      <c r="D1470" s="15" t="n">
        <v>1.91180002689362</v>
      </c>
      <c r="E1470" s="15" t="n">
        <v>-0.09230005741119381</v>
      </c>
      <c r="F1470" s="15" t="n">
        <v>0.12899999320507</v>
      </c>
      <c r="G1470" s="15" t="n">
        <v>0.901899993419647</v>
      </c>
      <c r="H1470" s="16">
        <f>C1470+E1470</f>
        <v/>
      </c>
    </row>
    <row r="1471">
      <c r="A1471" s="12" t="n">
        <v>44151</v>
      </c>
      <c r="B1471" s="15" t="n">
        <v>-0.640099972486496</v>
      </c>
      <c r="C1471" s="15" t="n">
        <v>-0.268500000238419</v>
      </c>
      <c r="D1471" s="15" t="n">
        <v>1.91489994525909</v>
      </c>
      <c r="E1471" s="15" t="n">
        <v>-0.09179997444152831</v>
      </c>
      <c r="F1471" s="15" t="n">
        <v>0.134100005030632</v>
      </c>
      <c r="G1471" s="15" t="n">
        <v>0.914499998092651</v>
      </c>
      <c r="H1471" s="16">
        <f>C1471+E1471</f>
        <v/>
      </c>
    </row>
    <row r="1472">
      <c r="A1472" s="12" t="n">
        <v>44152</v>
      </c>
      <c r="B1472" s="15" t="n">
        <v>-0.652600020170212</v>
      </c>
      <c r="C1472" s="15" t="n">
        <v>-0.281800001859665</v>
      </c>
      <c r="D1472" s="15" t="n">
        <v>1.90579998493195</v>
      </c>
      <c r="E1472" s="15" t="n">
        <v>-0.0945999622344971</v>
      </c>
      <c r="F1472" s="15" t="n">
        <v>0.136500000953674</v>
      </c>
      <c r="G1472" s="15" t="n">
        <v>0.876800000667572</v>
      </c>
      <c r="H1472" s="16">
        <f>C1472+E1472</f>
        <v/>
      </c>
    </row>
    <row r="1473">
      <c r="A1473" s="12" t="n">
        <v>44153</v>
      </c>
      <c r="B1473" s="15" t="n">
        <v>-0.648899972438812</v>
      </c>
      <c r="C1473" s="15" t="n">
        <v>-0.27700001001358</v>
      </c>
      <c r="D1473" s="15" t="n">
        <v>1.90869998931885</v>
      </c>
      <c r="E1473" s="15" t="n">
        <v>-0.09340000152587891</v>
      </c>
      <c r="F1473" s="15" t="n">
        <v>0.137899994850159</v>
      </c>
      <c r="G1473" s="15" t="n">
        <v>0.8894000053405759</v>
      </c>
      <c r="H1473" s="16">
        <f>C1473+E1473</f>
        <v/>
      </c>
    </row>
    <row r="1474">
      <c r="A1474" s="12" t="n">
        <v>44154</v>
      </c>
      <c r="B1474" s="15" t="n">
        <v>-0.655100017786026</v>
      </c>
      <c r="C1474" s="15" t="n">
        <v>-0.285800009965897</v>
      </c>
      <c r="D1474" s="15" t="n">
        <v>1.90299999713898</v>
      </c>
      <c r="E1474" s="15" t="n">
        <v>-0.0952999591827393</v>
      </c>
      <c r="F1474" s="15" t="n">
        <v>0.142599999904633</v>
      </c>
      <c r="G1474" s="15" t="n">
        <v>0.866800010204315</v>
      </c>
      <c r="H1474" s="16">
        <f>C1474+E1474</f>
        <v/>
      </c>
    </row>
    <row r="1475">
      <c r="A1475" s="12" t="n">
        <v>44155</v>
      </c>
      <c r="B1475" s="15" t="n">
        <v>-0.66100001335144</v>
      </c>
      <c r="C1475" s="15" t="n">
        <v>-0.294900000095367</v>
      </c>
      <c r="D1475" s="15" t="n">
        <v>1.89730000495911</v>
      </c>
      <c r="E1475" s="15" t="n">
        <v>-0.0972999930381775</v>
      </c>
      <c r="F1475" s="15" t="n">
        <v>0.145699992775917</v>
      </c>
      <c r="G1475" s="15" t="n">
        <v>0.844099998474121</v>
      </c>
      <c r="H1475" s="16">
        <f>C1475+E1475</f>
        <v/>
      </c>
    </row>
    <row r="1476">
      <c r="A1476" s="12" t="n">
        <v>44158</v>
      </c>
      <c r="B1476" s="15" t="n">
        <v>-0.658099979162216</v>
      </c>
      <c r="C1476" s="15" t="n">
        <v>-0.285800009965897</v>
      </c>
      <c r="D1476" s="15" t="n">
        <v>1.90190005302429</v>
      </c>
      <c r="E1476" s="15" t="n">
        <v>-0.0950000882148743</v>
      </c>
      <c r="F1476" s="15" t="n">
        <v>0.144500002264977</v>
      </c>
      <c r="G1476" s="15" t="n">
        <v>0.862999975681305</v>
      </c>
      <c r="H1476" s="16">
        <f>C1476+E1476</f>
        <v/>
      </c>
    </row>
    <row r="1477">
      <c r="A1477" s="12" t="n">
        <v>44159</v>
      </c>
      <c r="B1477" s="15" t="n">
        <v>-0.651399999856949</v>
      </c>
      <c r="C1477" s="15" t="n">
        <v>-0.279300004243851</v>
      </c>
      <c r="D1477" s="15" t="n">
        <v>1.90680003166199</v>
      </c>
      <c r="E1477" s="15" t="n">
        <v>-0.0939000248908997</v>
      </c>
      <c r="F1477" s="15" t="n">
        <v>0.122000001370907</v>
      </c>
      <c r="G1477" s="15" t="n">
        <v>0.882200002670288</v>
      </c>
      <c r="H1477" s="16">
        <f>C1477+E1477</f>
        <v/>
      </c>
    </row>
    <row r="1478">
      <c r="A1478" s="12" t="n">
        <v>44160</v>
      </c>
      <c r="B1478" s="15" t="n">
        <v>-0.651999980211258</v>
      </c>
      <c r="C1478" s="15" t="n">
        <v>-0.276399999856949</v>
      </c>
      <c r="D1478" s="15" t="n">
        <v>1.9083000421524</v>
      </c>
      <c r="E1478" s="15" t="n">
        <v>-0.0932000875473022</v>
      </c>
      <c r="F1478" s="15" t="n">
        <v>0.104999996721745</v>
      </c>
      <c r="G1478" s="15" t="n">
        <v>0.886699974536896</v>
      </c>
      <c r="H1478" s="16">
        <f>C1478+E1478</f>
        <v/>
      </c>
    </row>
    <row r="1479">
      <c r="A1479" s="12" t="n">
        <v>44162</v>
      </c>
      <c r="B1479" s="15" t="n">
        <v>-0.6608000099658971</v>
      </c>
      <c r="C1479" s="15" t="n">
        <v>-0.291200011968613</v>
      </c>
      <c r="D1479" s="15" t="n">
        <v>1.8996000289917</v>
      </c>
      <c r="E1479" s="15" t="n">
        <v>-0.0965999960899353</v>
      </c>
      <c r="F1479" s="15" t="n">
        <v>0.09489999711513521</v>
      </c>
      <c r="G1479" s="15" t="n">
        <v>0.851000010967255</v>
      </c>
      <c r="H1479" s="16">
        <f>C1479+E1479</f>
        <v/>
      </c>
    </row>
    <row r="1480">
      <c r="A1480" s="12" t="n">
        <v>44165</v>
      </c>
      <c r="B1480" s="15" t="n">
        <v>-0.662000000476837</v>
      </c>
      <c r="C1480" s="15" t="n">
        <v>-0.290600001811981</v>
      </c>
      <c r="D1480" s="15" t="n">
        <v>1.89970004558563</v>
      </c>
      <c r="E1480" s="15" t="n">
        <v>-0.096500039100647</v>
      </c>
      <c r="F1480" s="15" t="n">
        <v>0.0786999985575676</v>
      </c>
      <c r="G1480" s="15" t="n">
        <v>0.850600004196167</v>
      </c>
      <c r="H1480" s="16">
        <f>C1480+E1480</f>
        <v/>
      </c>
    </row>
    <row r="1481">
      <c r="A1481" s="12" t="n">
        <v>44166</v>
      </c>
      <c r="B1481" s="15" t="n">
        <v>-0.639400035142899</v>
      </c>
      <c r="C1481" s="15" t="n">
        <v>-0.261599987745285</v>
      </c>
      <c r="D1481" s="15" t="n">
        <v>1.91820001602173</v>
      </c>
      <c r="E1481" s="15" t="n">
        <v>-0.0899999737739563</v>
      </c>
      <c r="F1481" s="15" t="n">
        <v>0.0666999965906143</v>
      </c>
      <c r="G1481" s="15" t="n">
        <v>0.927200019359589</v>
      </c>
      <c r="H1481" s="16">
        <f>C1481+E1481</f>
        <v/>
      </c>
    </row>
    <row r="1482">
      <c r="A1482" s="12" t="n">
        <v>44167</v>
      </c>
      <c r="B1482" s="15" t="n">
        <v>-0.633200019598007</v>
      </c>
      <c r="C1482" s="15" t="n">
        <v>-0.250499993562698</v>
      </c>
      <c r="D1482" s="15" t="n">
        <v>1.92509996891022</v>
      </c>
      <c r="E1482" s="15" t="n">
        <v>-0.0876999497413635</v>
      </c>
      <c r="F1482" s="15" t="n">
        <v>0.0414000004529953</v>
      </c>
      <c r="G1482" s="15" t="n">
        <v>0.953700006008148</v>
      </c>
      <c r="H1482" s="16">
        <f>C1482+E1482</f>
        <v/>
      </c>
    </row>
    <row r="1483">
      <c r="A1483" s="12" t="n">
        <v>44168</v>
      </c>
      <c r="B1483" s="15" t="n">
        <v>-0.641400009393692</v>
      </c>
      <c r="C1483" s="15" t="n">
        <v>-0.258399993181229</v>
      </c>
      <c r="D1483" s="15" t="n">
        <v>1.91970002651215</v>
      </c>
      <c r="E1483" s="15" t="n">
        <v>-0.08940005302429201</v>
      </c>
      <c r="F1483" s="15" t="n">
        <v>0.0173000004142523</v>
      </c>
      <c r="G1483" s="15" t="n">
        <v>0.930499970912933</v>
      </c>
      <c r="H1483" s="16">
        <f>C1483+E1483</f>
        <v/>
      </c>
    </row>
    <row r="1484">
      <c r="A1484" s="12" t="n">
        <v>44169</v>
      </c>
      <c r="B1484" s="15" t="n">
        <v>-0.629199996590614</v>
      </c>
      <c r="C1484" s="15" t="n">
        <v>-0.241799995303154</v>
      </c>
      <c r="D1484" s="15" t="n">
        <v>1.93050003051758</v>
      </c>
      <c r="E1484" s="15" t="n">
        <v>-0.08580005168914789</v>
      </c>
      <c r="F1484" s="15" t="n">
        <v>-0.0052000000141561</v>
      </c>
      <c r="G1484" s="15" t="n">
        <v>0.973699986934662</v>
      </c>
      <c r="H1484" s="16">
        <f>C1484+E1484</f>
        <v/>
      </c>
    </row>
    <row r="1485">
      <c r="A1485" s="12" t="n">
        <v>44172</v>
      </c>
      <c r="B1485" s="15" t="n">
        <v>-0.638299971818924</v>
      </c>
      <c r="C1485" s="15" t="n">
        <v>-0.253100007772446</v>
      </c>
      <c r="D1485" s="15" t="n">
        <v>1.9235999584198</v>
      </c>
      <c r="E1485" s="15" t="n">
        <v>-0.0884999632835388</v>
      </c>
      <c r="F1485" s="15" t="n">
        <v>-0.0157999992370605</v>
      </c>
      <c r="G1485" s="15" t="n">
        <v>0.943700015544891</v>
      </c>
      <c r="H1485" s="16">
        <f>C1485+E1485</f>
        <v/>
      </c>
    </row>
    <row r="1486">
      <c r="A1486" s="12" t="n">
        <v>44173</v>
      </c>
      <c r="B1486" s="15" t="n">
        <v>-0.643500030040741</v>
      </c>
      <c r="C1486" s="15" t="n">
        <v>-0.259299993515015</v>
      </c>
      <c r="D1486" s="15" t="n">
        <v>1.91939997673035</v>
      </c>
      <c r="E1486" s="15" t="n">
        <v>-0.089699923992157</v>
      </c>
      <c r="F1486" s="15" t="n">
        <v>-0.0256999991834164</v>
      </c>
      <c r="G1486" s="15" t="n">
        <v>0.926900029182434</v>
      </c>
      <c r="H1486" s="16">
        <f>C1486+E1486</f>
        <v/>
      </c>
    </row>
    <row r="1487">
      <c r="A1487" s="12" t="n">
        <v>44174</v>
      </c>
      <c r="B1487" s="15" t="n">
        <v>-0.6371999979019169</v>
      </c>
      <c r="C1487" s="15" t="n">
        <v>-0.25110000371933</v>
      </c>
      <c r="D1487" s="15" t="n">
        <v>1.92439997196198</v>
      </c>
      <c r="E1487" s="15" t="n">
        <v>-0.08789998292922969</v>
      </c>
      <c r="F1487" s="15" t="n">
        <v>-0.0271000005304813</v>
      </c>
      <c r="G1487" s="15" t="n">
        <v>0.948199987411499</v>
      </c>
      <c r="H1487" s="16">
        <f>C1487+E1487</f>
        <v/>
      </c>
    </row>
    <row r="1488">
      <c r="A1488" s="12" t="n">
        <v>44175</v>
      </c>
      <c r="B1488" s="15" t="n">
        <v>-0.645300000905991</v>
      </c>
      <c r="C1488" s="15" t="n">
        <v>-0.261000007390976</v>
      </c>
      <c r="D1488" s="15" t="n">
        <v>1.91820001602173</v>
      </c>
      <c r="E1488" s="15" t="n">
        <v>-0.0902000069618225</v>
      </c>
      <c r="F1488" s="15" t="n">
        <v>-0.0167999994009733</v>
      </c>
      <c r="G1488" s="15" t="n">
        <v>0.921700000762939</v>
      </c>
      <c r="H1488" s="16">
        <f>C1488+E1488</f>
        <v/>
      </c>
    </row>
    <row r="1489">
      <c r="A1489" s="12" t="n">
        <v>44176</v>
      </c>
      <c r="B1489" s="15" t="n">
        <v>-0.652700036764145</v>
      </c>
      <c r="C1489" s="15" t="n">
        <v>-0.266999989748001</v>
      </c>
      <c r="D1489" s="15" t="n">
        <v>1.91400003433228</v>
      </c>
      <c r="E1489" s="15" t="n">
        <v>-0.09149998426437379</v>
      </c>
      <c r="F1489" s="15" t="n">
        <v>-0.00889999978244305</v>
      </c>
      <c r="G1489" s="15" t="n">
        <v>0.9028000235557559</v>
      </c>
      <c r="H1489" s="16">
        <f>C1489+E1489</f>
        <v/>
      </c>
    </row>
    <row r="1490">
      <c r="A1490" s="12" t="n">
        <v>44179</v>
      </c>
      <c r="B1490" s="15" t="n">
        <v>-0.65310001373291</v>
      </c>
      <c r="C1490" s="15" t="n">
        <v>-0.267199993133545</v>
      </c>
      <c r="D1490" s="15" t="n">
        <v>1.91400003433228</v>
      </c>
      <c r="E1490" s="15" t="n">
        <v>-0.0916000008583069</v>
      </c>
      <c r="F1490" s="15" t="n">
        <v>-0.0176999997347593</v>
      </c>
      <c r="G1490" s="15" t="n">
        <v>0.902100026607513</v>
      </c>
      <c r="H1490" s="16">
        <f>C1490+E1490</f>
        <v/>
      </c>
    </row>
    <row r="1491">
      <c r="A1491" s="12" t="n">
        <v>44180</v>
      </c>
      <c r="B1491" s="15" t="n">
        <v>-0.6485000252723691</v>
      </c>
      <c r="C1491" s="15" t="n">
        <v>-0.260399997234344</v>
      </c>
      <c r="D1491" s="15" t="n">
        <v>1.91820001602173</v>
      </c>
      <c r="E1491" s="15" t="n">
        <v>-0.0900999903678894</v>
      </c>
      <c r="F1491" s="15" t="n">
        <v>-0.0436000004410744</v>
      </c>
      <c r="G1491" s="15" t="n">
        <v>0.919200003147125</v>
      </c>
      <c r="H1491" s="16">
        <f>C1491+E1491</f>
        <v/>
      </c>
    </row>
    <row r="1492">
      <c r="A1492" s="12" t="n">
        <v>44181</v>
      </c>
      <c r="B1492" s="15" t="n">
        <v>-0.646500021219254</v>
      </c>
      <c r="C1492" s="15" t="n">
        <v>-0.259200006723404</v>
      </c>
      <c r="D1492" s="15" t="n">
        <v>1.91939997673035</v>
      </c>
      <c r="E1492" s="15" t="n">
        <v>-0.08989995718002319</v>
      </c>
      <c r="F1492" s="15" t="n">
        <v>-0.060199998319149</v>
      </c>
      <c r="G1492" s="15" t="n">
        <v>0.923799991607666</v>
      </c>
      <c r="H1492" s="16">
        <f>C1492+E1492</f>
        <v/>
      </c>
    </row>
    <row r="1493">
      <c r="A1493" s="12" t="n">
        <v>44182</v>
      </c>
      <c r="B1493" s="15" t="n">
        <v>-0.642100006341934</v>
      </c>
      <c r="C1493" s="15" t="n">
        <v>-0.253699988126755</v>
      </c>
      <c r="D1493" s="15" t="n">
        <v>1.92299997806549</v>
      </c>
      <c r="E1493" s="15" t="n">
        <v>-0.088699996471405</v>
      </c>
      <c r="F1493" s="15" t="n">
        <v>-0.07310000061988831</v>
      </c>
      <c r="G1493" s="15" t="n">
        <v>0.938499987125397</v>
      </c>
      <c r="H1493" s="16">
        <f>C1493+E1493</f>
        <v/>
      </c>
    </row>
    <row r="1494">
      <c r="A1494" s="12" t="n">
        <v>44183</v>
      </c>
      <c r="B1494" s="15" t="n">
        <v>-0.6390000134706501</v>
      </c>
      <c r="C1494" s="15" t="n">
        <v>-0.2483000010252</v>
      </c>
      <c r="D1494" s="15" t="n">
        <v>1.92639994621277</v>
      </c>
      <c r="E1494" s="15" t="n">
        <v>-0.0874999165534973</v>
      </c>
      <c r="F1494" s="15" t="n">
        <v>-0.08039999753236771</v>
      </c>
      <c r="G1494" s="15" t="n">
        <v>0.951600015163422</v>
      </c>
      <c r="H1494" s="16">
        <f>C1494+E1494</f>
        <v/>
      </c>
    </row>
    <row r="1495">
      <c r="A1495" s="12" t="n">
        <v>44186</v>
      </c>
      <c r="B1495" s="15" t="n">
        <v>-0.6378999799489971</v>
      </c>
      <c r="C1495" s="15" t="n">
        <v>-0.246700003743172</v>
      </c>
      <c r="D1495" s="15" t="n">
        <v>1.92739999294281</v>
      </c>
      <c r="E1495" s="15" t="n">
        <v>-0.08719998598098749</v>
      </c>
      <c r="F1495" s="15" t="n">
        <v>-0.0756999999284744</v>
      </c>
      <c r="G1495" s="15" t="n">
        <v>0.955600023269653</v>
      </c>
      <c r="H1495" s="16">
        <f>C1495+E1495</f>
        <v/>
      </c>
    </row>
    <row r="1496">
      <c r="A1496" s="12" t="n">
        <v>44187</v>
      </c>
      <c r="B1496" s="15" t="n">
        <v>-0.644699990749359</v>
      </c>
      <c r="C1496" s="15" t="n">
        <v>-0.255800008773804</v>
      </c>
      <c r="D1496" s="15" t="n">
        <v>1.92180001735687</v>
      </c>
      <c r="E1496" s="15" t="n">
        <v>-0.0893000364303589</v>
      </c>
      <c r="F1496" s="15" t="n">
        <v>-0.07299999892711639</v>
      </c>
      <c r="G1496" s="15" t="n">
        <v>0.9319999814033511</v>
      </c>
      <c r="H1496" s="16">
        <f>C1496+E1496</f>
        <v/>
      </c>
    </row>
    <row r="1497">
      <c r="A1497" s="12" t="n">
        <v>44188</v>
      </c>
      <c r="B1497" s="15" t="n">
        <v>-0.6366999894380569</v>
      </c>
      <c r="C1497" s="15" t="n">
        <v>-0.244000002741814</v>
      </c>
      <c r="D1497" s="15" t="n">
        <v>1.92920005321503</v>
      </c>
      <c r="E1497" s="15" t="n">
        <v>-0.08680003881454471</v>
      </c>
      <c r="F1497" s="15" t="n">
        <v>-0.08889999985694889</v>
      </c>
      <c r="G1497" s="15" t="n">
        <v>0.961700022220612</v>
      </c>
      <c r="H1497" s="16">
        <f>C1497+E1497</f>
        <v/>
      </c>
    </row>
    <row r="1498">
      <c r="A1498" s="12" t="n">
        <v>44189</v>
      </c>
      <c r="B1498" s="15" t="n">
        <v>-0.641500025987625</v>
      </c>
      <c r="C1498" s="15" t="n">
        <v>-0.251199990510941</v>
      </c>
      <c r="D1498" s="15" t="n">
        <v>1.92480003833771</v>
      </c>
      <c r="E1498" s="15" t="n">
        <v>-0.0884000062942505</v>
      </c>
      <c r="F1498" s="15" t="n">
        <v>-0.093699999153614</v>
      </c>
      <c r="G1498" s="15" t="n">
        <v>0.943700015544891</v>
      </c>
      <c r="H1498" s="16">
        <f>C1498+E1498</f>
        <v/>
      </c>
    </row>
    <row r="1499">
      <c r="A1499" s="12" t="n">
        <v>44193</v>
      </c>
      <c r="B1499" s="15" t="n">
        <v>-0.638999968767166</v>
      </c>
      <c r="C1499" s="15" t="n">
        <v>-0.253100007772446</v>
      </c>
      <c r="D1499" s="15" t="n">
        <v>1.92460000514984</v>
      </c>
      <c r="E1499" s="15" t="n">
        <v>-0.0890000462532043</v>
      </c>
      <c r="F1499" s="15" t="n">
        <v>-0.095100000500679</v>
      </c>
      <c r="G1499" s="15" t="n">
        <v>0.943499982357025</v>
      </c>
      <c r="H1499" s="16">
        <f>C1499+E1499</f>
        <v/>
      </c>
    </row>
    <row r="1500">
      <c r="A1500" s="12" t="n">
        <v>44194</v>
      </c>
      <c r="B1500" s="15" t="n">
        <v>-0.636299967765808</v>
      </c>
      <c r="C1500" s="15" t="n">
        <v>-0.25220000743866</v>
      </c>
      <c r="D1500" s="15" t="n">
        <v>1.92589998245239</v>
      </c>
      <c r="E1500" s="15" t="n">
        <v>-0.0889999866485596</v>
      </c>
      <c r="F1500" s="15" t="n">
        <v>-0.0878000035881996</v>
      </c>
      <c r="G1500" s="15" t="n">
        <v>0.948400020599365</v>
      </c>
      <c r="H1500" s="16">
        <f>C1500+E1500</f>
        <v/>
      </c>
    </row>
    <row r="1501">
      <c r="A1501" s="12" t="n">
        <v>44195</v>
      </c>
      <c r="B1501" s="15" t="n">
        <v>-0.642300009727478</v>
      </c>
      <c r="C1501" s="15" t="n">
        <v>-0.253199994564056</v>
      </c>
      <c r="D1501" s="15" t="n">
        <v>1.9239000082016</v>
      </c>
      <c r="E1501" s="15" t="n">
        <v>-0.0889000296592712</v>
      </c>
      <c r="F1501" s="15" t="n">
        <v>-0.09260000288486479</v>
      </c>
      <c r="G1501" s="15" t="n">
        <v>0.939499974250793</v>
      </c>
      <c r="H1501" s="16">
        <f>C1501+E1501</f>
        <v/>
      </c>
    </row>
    <row r="1502">
      <c r="A1502" s="12" t="n">
        <v>44196</v>
      </c>
      <c r="B1502" s="15" t="n">
        <v>-0.645699977874756</v>
      </c>
      <c r="C1502" s="15" t="n">
        <v>-0.257200002670288</v>
      </c>
      <c r="D1502" s="15" t="n">
        <v>1.92120003700256</v>
      </c>
      <c r="E1502" s="15" t="n">
        <v>-0.0898000597953796</v>
      </c>
      <c r="F1502" s="15" t="n">
        <v>-0.117799997329712</v>
      </c>
      <c r="G1502" s="15" t="n">
        <v>0.92849999666214</v>
      </c>
      <c r="H1502" s="16">
        <f>C1502+E1502</f>
        <v/>
      </c>
    </row>
    <row r="1503">
      <c r="A1503" s="12" t="n">
        <v>44200</v>
      </c>
      <c r="B1503" s="15" t="n">
        <v>-0.64740002155304</v>
      </c>
      <c r="C1503" s="15" t="n">
        <v>-0.258599996566772</v>
      </c>
      <c r="D1503" s="15" t="n">
        <v>1.92030000686646</v>
      </c>
      <c r="E1503" s="15" t="n">
        <v>-0.0900999903678894</v>
      </c>
      <c r="F1503" s="15" t="n">
        <v>-0.138699993491173</v>
      </c>
      <c r="G1503" s="15" t="n">
        <v>0.924199998378754</v>
      </c>
      <c r="H1503" s="16">
        <f>C1503+E1503</f>
        <v/>
      </c>
    </row>
    <row r="1504">
      <c r="A1504" s="12" t="n">
        <v>44201</v>
      </c>
      <c r="B1504" s="15" t="n">
        <v>-0.638999998569489</v>
      </c>
      <c r="C1504" s="15" t="n">
        <v>-0.246399998664856</v>
      </c>
      <c r="D1504" s="15" t="n">
        <v>1.92789995670319</v>
      </c>
      <c r="E1504" s="15" t="n">
        <v>-0.08729994297027591</v>
      </c>
      <c r="F1504" s="15" t="n">
        <v>-0.146699994802475</v>
      </c>
      <c r="G1504" s="15" t="n">
        <v>0.955200016498566</v>
      </c>
      <c r="H1504" s="16">
        <f>C1504+E1504</f>
        <v/>
      </c>
    </row>
    <row r="1505">
      <c r="A1505" s="12" t="n">
        <v>44202</v>
      </c>
      <c r="B1505" s="15" t="n">
        <v>-0.615099981427193</v>
      </c>
      <c r="C1505" s="15" t="n">
        <v>-0.212400004267693</v>
      </c>
      <c r="D1505" s="15" t="n">
        <v>1.94900000095367</v>
      </c>
      <c r="E1505" s="15" t="n">
        <v>-0.07969999313354489</v>
      </c>
      <c r="F1505" s="15" t="n">
        <v>-0.157600000500679</v>
      </c>
      <c r="G1505" s="15" t="n">
        <v>1.04180002212524</v>
      </c>
      <c r="H1505" s="16">
        <f>C1505+E1505</f>
        <v/>
      </c>
    </row>
    <row r="1506">
      <c r="A1506" s="12" t="n">
        <v>44203</v>
      </c>
      <c r="B1506" s="15" t="n">
        <v>-0.603000029921532</v>
      </c>
      <c r="C1506" s="15" t="n">
        <v>-0.193499997258186</v>
      </c>
      <c r="D1506" s="15" t="n">
        <v>1.96060001850128</v>
      </c>
      <c r="E1506" s="15" t="n">
        <v>-0.0755999684333801</v>
      </c>
      <c r="F1506" s="15" t="n">
        <v>-0.175999999046326</v>
      </c>
      <c r="G1506" s="15" t="n">
        <v>1.08850002288818</v>
      </c>
      <c r="H1506" s="16">
        <f>C1506+E1506</f>
        <v/>
      </c>
    </row>
    <row r="1507">
      <c r="A1507" s="12" t="n">
        <v>44204</v>
      </c>
      <c r="B1507" s="15" t="n">
        <v>-0.589200034737587</v>
      </c>
      <c r="C1507" s="15" t="n">
        <v>-0.172099992632866</v>
      </c>
      <c r="D1507" s="15" t="n">
        <v>1.97379994392395</v>
      </c>
      <c r="E1507" s="15" t="n">
        <v>-0.07069987058639531</v>
      </c>
      <c r="F1507" s="15" t="n">
        <v>-0.142800003290176</v>
      </c>
      <c r="G1507" s="15" t="n">
        <v>1.1418000459671</v>
      </c>
      <c r="H1507" s="16">
        <f>C1507+E1507</f>
        <v/>
      </c>
    </row>
    <row r="1508">
      <c r="A1508" s="12" t="n">
        <v>44207</v>
      </c>
      <c r="B1508" s="15" t="n">
        <v>-0.5825000107288359</v>
      </c>
      <c r="C1508" s="15" t="n">
        <v>-0.164299994707108</v>
      </c>
      <c r="D1508" s="15" t="n">
        <v>1.97920000553131</v>
      </c>
      <c r="E1508" s="15" t="n">
        <v>-0.06919997930526731</v>
      </c>
      <c r="F1508" s="15" t="n">
        <v>-0.139200001955032</v>
      </c>
      <c r="G1508" s="15" t="n">
        <v>1.1632000207901</v>
      </c>
      <c r="H1508" s="16">
        <f>C1508+E1508</f>
        <v/>
      </c>
    </row>
    <row r="1509">
      <c r="A1509" s="12" t="n">
        <v>44208</v>
      </c>
      <c r="B1509" s="15" t="n">
        <v>-0.584499999880791</v>
      </c>
      <c r="C1509" s="15" t="n">
        <v>-0.164399996399879</v>
      </c>
      <c r="D1509" s="15" t="n">
        <v>1.97870004177094</v>
      </c>
      <c r="E1509" s="15" t="n">
        <v>-0.0692000985145569</v>
      </c>
      <c r="F1509" s="15" t="n">
        <v>-0.145799994468689</v>
      </c>
      <c r="G1509" s="15" t="n">
        <v>1.16059994697571</v>
      </c>
      <c r="H1509" s="16">
        <f>C1509+E1509</f>
        <v/>
      </c>
    </row>
    <row r="1510">
      <c r="A1510" s="12" t="n">
        <v>44209</v>
      </c>
      <c r="B1510" s="15" t="n">
        <v>-0.59469997882843</v>
      </c>
      <c r="C1510" s="15" t="n">
        <v>-0.182099997997284</v>
      </c>
      <c r="D1510" s="15" t="n">
        <v>1.96809995174408</v>
      </c>
      <c r="E1510" s="15" t="n">
        <v>-0.07310003042221069</v>
      </c>
      <c r="F1510" s="15" t="n">
        <v>-0.150199994444847</v>
      </c>
      <c r="G1510" s="15" t="n">
        <v>1.11819994449615</v>
      </c>
      <c r="H1510" s="16">
        <f>C1510+E1510</f>
        <v/>
      </c>
    </row>
    <row r="1511">
      <c r="A1511" s="12" t="n">
        <v>44210</v>
      </c>
      <c r="B1511" s="15" t="n">
        <v>-0.585599988698959</v>
      </c>
      <c r="C1511" s="15" t="n">
        <v>-0.16609999537468</v>
      </c>
      <c r="D1511" s="15" t="n">
        <v>1.97769999504089</v>
      </c>
      <c r="E1511" s="15" t="n">
        <v>-0.06950002908706671</v>
      </c>
      <c r="F1511" s="15" t="n">
        <v>-0.160199999809265</v>
      </c>
      <c r="G1511" s="15" t="n">
        <v>1.15649998188019</v>
      </c>
      <c r="H1511" s="16">
        <f>C1511+E1511</f>
        <v/>
      </c>
    </row>
    <row r="1512">
      <c r="A1512" s="12" t="n">
        <v>44211</v>
      </c>
      <c r="B1512" s="15" t="n">
        <v>-0.595500007271767</v>
      </c>
      <c r="C1512" s="15" t="n">
        <v>-0.180800005793571</v>
      </c>
      <c r="D1512" s="15" t="n">
        <v>1.96899998188019</v>
      </c>
      <c r="E1512" s="15" t="n">
        <v>-0.0730000138282776</v>
      </c>
      <c r="F1512" s="15" t="n">
        <v>-0.18350000679493</v>
      </c>
      <c r="G1512" s="15" t="n">
        <v>1.11969995498657</v>
      </c>
      <c r="H1512" s="16">
        <f>C1512+E1512</f>
        <v/>
      </c>
    </row>
    <row r="1513">
      <c r="A1513" s="12" t="n">
        <v>44215</v>
      </c>
      <c r="B1513" s="15" t="n">
        <v>-0.596299976110458</v>
      </c>
      <c r="C1513" s="15" t="n">
        <v>-0.1841000020504</v>
      </c>
      <c r="D1513" s="15" t="n">
        <v>1.96770000457764</v>
      </c>
      <c r="E1513" s="15" t="n">
        <v>-0.07400006055831911</v>
      </c>
      <c r="F1513" s="15" t="n">
        <v>-0.200100004673004</v>
      </c>
      <c r="G1513" s="15" t="n">
        <v>1.11329996585846</v>
      </c>
      <c r="H1513" s="16">
        <f>C1513+E1513</f>
        <v/>
      </c>
    </row>
    <row r="1514">
      <c r="A1514" s="12" t="n">
        <v>44216</v>
      </c>
      <c r="B1514" s="15" t="n">
        <v>-0.598299980163574</v>
      </c>
      <c r="C1514" s="15" t="n">
        <v>-0.184599995613098</v>
      </c>
      <c r="D1514" s="15" t="n">
        <v>1.96700000762939</v>
      </c>
      <c r="E1514" s="15" t="n">
        <v>-0.0740000009536743</v>
      </c>
      <c r="F1514" s="15" t="n">
        <v>-0.220300003886223</v>
      </c>
      <c r="G1514" s="15" t="n">
        <v>1.11010003089905</v>
      </c>
      <c r="H1514" s="16">
        <f>C1514+E1514</f>
        <v/>
      </c>
    </row>
    <row r="1515">
      <c r="A1515" s="12" t="n">
        <v>44217</v>
      </c>
      <c r="B1515" s="15" t="n">
        <v>-0.59519998729229</v>
      </c>
      <c r="C1515" s="15" t="n">
        <v>-0.176599994301796</v>
      </c>
      <c r="D1515" s="15" t="n">
        <v>1.97150003910065</v>
      </c>
      <c r="E1515" s="15" t="n">
        <v>-0.07220000028610229</v>
      </c>
      <c r="F1515" s="15" t="n">
        <v>-0.254999995231628</v>
      </c>
      <c r="G1515" s="15" t="n">
        <v>1.12750005722046</v>
      </c>
      <c r="H1515" s="16">
        <f>C1515+E1515</f>
        <v/>
      </c>
    </row>
    <row r="1516">
      <c r="A1516" s="12" t="n">
        <v>44218</v>
      </c>
      <c r="B1516" s="15" t="n">
        <v>-0.597900003194809</v>
      </c>
      <c r="C1516" s="15" t="n">
        <v>-0.181600004434586</v>
      </c>
      <c r="D1516" s="15" t="n">
        <v>1.96879994869232</v>
      </c>
      <c r="E1516" s="15" t="n">
        <v>-0.0734999179840088</v>
      </c>
      <c r="F1516" s="15" t="n">
        <v>-0.24779999256134</v>
      </c>
      <c r="G1516" s="15" t="n">
        <v>1.11580002307892</v>
      </c>
      <c r="H1516" s="16">
        <f>C1516+E1516</f>
        <v/>
      </c>
    </row>
    <row r="1517">
      <c r="A1517" s="12" t="n">
        <v>44221</v>
      </c>
      <c r="B1517" s="15" t="n">
        <v>-0.6114999949932099</v>
      </c>
      <c r="C1517" s="15" t="n">
        <v>-0.19990000128746</v>
      </c>
      <c r="D1517" s="15" t="n">
        <v>1.95710003376007</v>
      </c>
      <c r="E1517" s="15" t="n">
        <v>-0.07750004529953</v>
      </c>
      <c r="F1517" s="15" t="n">
        <v>-0.252999991178513</v>
      </c>
      <c r="G1517" s="15" t="n">
        <v>1.06819999217987</v>
      </c>
      <c r="H1517" s="16">
        <f>C1517+E1517</f>
        <v/>
      </c>
    </row>
    <row r="1518">
      <c r="A1518" s="12" t="n">
        <v>44222</v>
      </c>
      <c r="B1518" s="15" t="n">
        <v>-0.611900016665459</v>
      </c>
      <c r="C1518" s="15" t="n">
        <v>-0.201100006699562</v>
      </c>
      <c r="D1518" s="15" t="n">
        <v>1.9563000202179</v>
      </c>
      <c r="E1518" s="15" t="n">
        <v>-0.0775999426841736</v>
      </c>
      <c r="F1518" s="15" t="n">
        <v>-0.257699996232986</v>
      </c>
      <c r="G1518" s="15" t="n">
        <v>1.0657000541687</v>
      </c>
      <c r="H1518" s="16">
        <f>C1518+E1518</f>
        <v/>
      </c>
    </row>
    <row r="1519">
      <c r="A1519" s="12" t="n">
        <v>44223</v>
      </c>
      <c r="B1519" s="15" t="n">
        <v>-0.615499973297119</v>
      </c>
      <c r="C1519" s="15" t="n">
        <v>-0.206900000572205</v>
      </c>
      <c r="D1519" s="15" t="n">
        <v>1.95270001888275</v>
      </c>
      <c r="E1519" s="15" t="n">
        <v>-0.07890009880065919</v>
      </c>
      <c r="F1519" s="15" t="n">
        <v>-0.261700004339218</v>
      </c>
      <c r="G1519" s="15" t="n">
        <v>1.05139994621277</v>
      </c>
      <c r="H1519" s="16">
        <f>C1519+E1519</f>
        <v/>
      </c>
    </row>
    <row r="1520">
      <c r="A1520" s="12" t="n">
        <v>44224</v>
      </c>
      <c r="B1520" s="15" t="n">
        <v>-0.610500022768974</v>
      </c>
      <c r="C1520" s="15" t="n">
        <v>-0.197799995541573</v>
      </c>
      <c r="D1520" s="15" t="n">
        <v>1.95780003070831</v>
      </c>
      <c r="E1520" s="15" t="n">
        <v>-0.07679998874664309</v>
      </c>
      <c r="F1520" s="15" t="n">
        <v>-0.290800005197525</v>
      </c>
      <c r="G1520" s="15" t="n">
        <v>1.07270002365112</v>
      </c>
      <c r="H1520" s="16">
        <f>C1520+E1520</f>
        <v/>
      </c>
    </row>
    <row r="1521">
      <c r="A1521" s="12" t="n">
        <v>44225</v>
      </c>
      <c r="B1521" s="15" t="n">
        <v>-0.598800003528595</v>
      </c>
      <c r="C1521" s="15" t="n">
        <v>-0.175999999046326</v>
      </c>
      <c r="D1521" s="15" t="n">
        <v>1.97060000896454</v>
      </c>
      <c r="E1521" s="15" t="n">
        <v>-0.0717000365257263</v>
      </c>
      <c r="F1521" s="15" t="n">
        <v>-0.292499989271164</v>
      </c>
      <c r="G1521" s="15" t="n">
        <v>1.12409996986389</v>
      </c>
      <c r="H1521" s="16">
        <f>C1521+E1521</f>
        <v/>
      </c>
    </row>
    <row r="1522">
      <c r="A1522" s="12" t="n">
        <v>44228</v>
      </c>
      <c r="B1522" s="15" t="n">
        <v>-0.604200005531311</v>
      </c>
      <c r="C1522" s="15" t="n">
        <v>-0.182799994945526</v>
      </c>
      <c r="D1522" s="15" t="n">
        <v>1.96679997444153</v>
      </c>
      <c r="E1522" s="15" t="n">
        <v>-0.07349997758865361</v>
      </c>
      <c r="F1522" s="15" t="n">
        <v>-0.277599990367889</v>
      </c>
      <c r="G1522" s="15" t="n">
        <v>1.10629999637604</v>
      </c>
      <c r="H1522" s="16">
        <f>C1522+E1522</f>
        <v/>
      </c>
    </row>
    <row r="1523">
      <c r="A1523" s="12" t="n">
        <v>44229</v>
      </c>
      <c r="B1523" s="15" t="n">
        <v>-0.596999987959862</v>
      </c>
      <c r="C1523" s="15" t="n">
        <v>-0.174099996685982</v>
      </c>
      <c r="D1523" s="15" t="n">
        <v>1.97239995002747</v>
      </c>
      <c r="E1523" s="15" t="n">
        <v>-0.07150000333786009</v>
      </c>
      <c r="F1523" s="15" t="n">
        <v>-0.29899999499321</v>
      </c>
      <c r="G1523" s="15" t="n">
        <v>1.12979996204376</v>
      </c>
      <c r="H1523" s="16">
        <f>C1523+E1523</f>
        <v/>
      </c>
    </row>
    <row r="1524">
      <c r="A1524" s="12" t="n">
        <v>44230</v>
      </c>
      <c r="B1524" s="15" t="n">
        <v>-0.591599985957146</v>
      </c>
      <c r="C1524" s="15" t="n">
        <v>-0.160500004887581</v>
      </c>
      <c r="D1524" s="15" t="n">
        <v>1.97979998588562</v>
      </c>
      <c r="E1524" s="15" t="n">
        <v>-0.0683000087738037</v>
      </c>
      <c r="F1524" s="15" t="n">
        <v>-0.32150000333786</v>
      </c>
      <c r="G1524" s="15" t="n">
        <v>1.15939998626709</v>
      </c>
      <c r="H1524" s="16">
        <f>C1524+E1524</f>
        <v/>
      </c>
    </row>
    <row r="1525">
      <c r="A1525" s="12" t="n">
        <v>44231</v>
      </c>
      <c r="B1525" s="15" t="n">
        <v>-0.589299991726875</v>
      </c>
      <c r="C1525" s="15" t="n">
        <v>-0.154899999499321</v>
      </c>
      <c r="D1525" s="15" t="n">
        <v>1.98300004005432</v>
      </c>
      <c r="E1525" s="15" t="n">
        <v>-0.06710004806518551</v>
      </c>
      <c r="F1525" s="15" t="n">
        <v>-0.314300000667572</v>
      </c>
      <c r="G1525" s="15" t="n">
        <v>1.17170000076294</v>
      </c>
      <c r="H1525" s="16">
        <f>C1525+E1525</f>
        <v/>
      </c>
    </row>
    <row r="1526">
      <c r="A1526" s="12" t="n">
        <v>44232</v>
      </c>
      <c r="B1526" s="15" t="n">
        <v>-0.5842000097036359</v>
      </c>
      <c r="C1526" s="15" t="n">
        <v>-0.142900004982948</v>
      </c>
      <c r="D1526" s="15" t="n">
        <v>1.99000000953674</v>
      </c>
      <c r="E1526" s="15" t="n">
        <v>-0.0644999742507935</v>
      </c>
      <c r="F1526" s="15" t="n">
        <v>-0.329800009727478</v>
      </c>
      <c r="G1526" s="15" t="n">
        <v>1.19840002059937</v>
      </c>
      <c r="H1526" s="16">
        <f>C1526+E1526</f>
        <v/>
      </c>
    </row>
    <row r="1527">
      <c r="A1527" s="12" t="n">
        <v>44235</v>
      </c>
      <c r="B1527" s="15" t="n">
        <v>-0.582499980926514</v>
      </c>
      <c r="C1527" s="15" t="n">
        <v>-0.141200006008148</v>
      </c>
      <c r="D1527" s="15" t="n">
        <v>1.99100005626678</v>
      </c>
      <c r="E1527" s="15" t="n">
        <v>-0.06390005350112921</v>
      </c>
      <c r="F1527" s="15" t="n">
        <v>-0.341500014066696</v>
      </c>
      <c r="G1527" s="15" t="n">
        <v>1.20340001583099</v>
      </c>
      <c r="H1527" s="16">
        <f>C1527+E1527</f>
        <v/>
      </c>
    </row>
    <row r="1528">
      <c r="A1528" s="12" t="n">
        <v>44236</v>
      </c>
      <c r="B1528" s="15" t="n">
        <v>-0.583000004291534</v>
      </c>
      <c r="C1528" s="15" t="n">
        <v>-0.144400000572205</v>
      </c>
      <c r="D1528" s="15" t="n">
        <v>1.98940002918243</v>
      </c>
      <c r="E1528" s="15" t="n">
        <v>-0.0647000670433044</v>
      </c>
      <c r="F1528" s="15" t="n">
        <v>-0.347200006246567</v>
      </c>
      <c r="G1528" s="15" t="n">
        <v>1.19729995727539</v>
      </c>
      <c r="H1528" s="16">
        <f>C1528+E1528</f>
        <v/>
      </c>
    </row>
    <row r="1529">
      <c r="A1529" s="12" t="n">
        <v>44237</v>
      </c>
      <c r="B1529" s="15" t="n">
        <v>-0.591099992394447</v>
      </c>
      <c r="C1529" s="15" t="n">
        <v>-0.156000003218651</v>
      </c>
      <c r="D1529" s="15" t="n">
        <v>1.98230004310608</v>
      </c>
      <c r="E1529" s="15" t="n">
        <v>-0.0674000978469849</v>
      </c>
      <c r="F1529" s="15" t="n">
        <v>-0.346399992704391</v>
      </c>
      <c r="G1529" s="15" t="n">
        <v>1.167799949646</v>
      </c>
      <c r="H1529" s="16">
        <f>C1529+E1529</f>
        <v/>
      </c>
    </row>
    <row r="1530">
      <c r="A1530" s="12" t="n">
        <v>44238</v>
      </c>
      <c r="B1530" s="15" t="n">
        <v>-0.588300004601479</v>
      </c>
      <c r="C1530" s="15" t="n">
        <v>-0.151999995112419</v>
      </c>
      <c r="D1530" s="15" t="n">
        <v>1.98489999771118</v>
      </c>
      <c r="E1530" s="15" t="n">
        <v>-0.06660002470016479</v>
      </c>
      <c r="F1530" s="15" t="n">
        <v>-0.343800008296967</v>
      </c>
      <c r="G1530" s="15" t="n">
        <v>1.17799997329712</v>
      </c>
      <c r="H1530" s="16">
        <f>C1530+E1530</f>
        <v/>
      </c>
    </row>
    <row r="1531">
      <c r="A1531" s="12" t="n">
        <v>44239</v>
      </c>
      <c r="B1531" s="15" t="n">
        <v>-0.576299965381622</v>
      </c>
      <c r="C1531" s="15" t="n">
        <v>-0.131500005722046</v>
      </c>
      <c r="D1531" s="15" t="n">
        <v>1.99720001220703</v>
      </c>
      <c r="E1531" s="15" t="n">
        <v>-0.0619000792503357</v>
      </c>
      <c r="F1531" s="15" t="n">
        <v>-0.350699990987778</v>
      </c>
      <c r="G1531" s="15" t="n">
        <v>1.22749996185303</v>
      </c>
      <c r="H1531" s="16">
        <f>C1531+E1531</f>
        <v/>
      </c>
    </row>
    <row r="1532">
      <c r="A1532" s="12" t="n">
        <v>44243</v>
      </c>
      <c r="B1532" s="15" t="n">
        <v>-0.547599978744984</v>
      </c>
      <c r="C1532" s="15" t="n">
        <v>-0.09269999712705609</v>
      </c>
      <c r="D1532" s="15" t="n">
        <v>2.02160000801086</v>
      </c>
      <c r="E1532" s="15" t="n">
        <v>-0.0532000660896301</v>
      </c>
      <c r="F1532" s="15" t="n">
        <v>-0.341699987649918</v>
      </c>
      <c r="G1532" s="15" t="n">
        <v>1.32809996604919</v>
      </c>
      <c r="H1532" s="16">
        <f>C1532+E1532</f>
        <v/>
      </c>
    </row>
    <row r="1533">
      <c r="A1533" s="12" t="n">
        <v>44244</v>
      </c>
      <c r="B1533" s="15" t="n">
        <v>-0.546400010585785</v>
      </c>
      <c r="C1533" s="15" t="n">
        <v>-0.0879999995231628</v>
      </c>
      <c r="D1533" s="15" t="n">
        <v>2.02439999580383</v>
      </c>
      <c r="E1533" s="15" t="n">
        <v>-0.052299976348877</v>
      </c>
      <c r="F1533" s="15" t="n">
        <v>-0.321799993515015</v>
      </c>
      <c r="G1533" s="15" t="n">
        <v>1.33770000934601</v>
      </c>
      <c r="H1533" s="16">
        <f>C1533+E1533</f>
        <v/>
      </c>
    </row>
    <row r="1534">
      <c r="A1534" s="12" t="n">
        <v>44245</v>
      </c>
      <c r="B1534" s="15" t="n">
        <v>-0.548700004816055</v>
      </c>
      <c r="C1534" s="15" t="n">
        <v>-0.08460000157356259</v>
      </c>
      <c r="D1534" s="15" t="n">
        <v>2.02559995651245</v>
      </c>
      <c r="E1534" s="15" t="n">
        <v>-0.0514000058174133</v>
      </c>
      <c r="F1534" s="15" t="n">
        <v>-0.27700001001358</v>
      </c>
      <c r="G1534" s="15" t="n">
        <v>1.34089994430542</v>
      </c>
      <c r="H1534" s="16">
        <f>C1534+E1534</f>
        <v/>
      </c>
    </row>
    <row r="1535">
      <c r="A1535" s="12" t="n">
        <v>44246</v>
      </c>
      <c r="B1535" s="15" t="n">
        <v>-0.532399989664555</v>
      </c>
      <c r="C1535" s="15" t="n">
        <v>-0.06490000337362289</v>
      </c>
      <c r="D1535" s="15" t="n">
        <v>2.03880000114441</v>
      </c>
      <c r="E1535" s="15" t="n">
        <v>-0.0472000241279602</v>
      </c>
      <c r="F1535" s="15" t="n">
        <v>-0.25229999423027</v>
      </c>
      <c r="G1535" s="15" t="n">
        <v>1.39429998397827</v>
      </c>
      <c r="H1535" s="16">
        <f>C1535+E1535</f>
        <v/>
      </c>
    </row>
    <row r="1536">
      <c r="A1536" s="12" t="n">
        <v>44249</v>
      </c>
      <c r="B1536" s="15" t="n">
        <v>-0.528000019490719</v>
      </c>
      <c r="C1536" s="15" t="n">
        <v>-0.0533000007271767</v>
      </c>
      <c r="D1536" s="15" t="n">
        <v>2.04509997367859</v>
      </c>
      <c r="E1536" s="15" t="n">
        <v>-0.0444999933242798</v>
      </c>
      <c r="F1536" s="15" t="n">
        <v>-0.273000001907349</v>
      </c>
      <c r="G1536" s="15" t="n">
        <v>1.41929996013641</v>
      </c>
      <c r="H1536" s="16">
        <f>C1536+E1536</f>
        <v/>
      </c>
    </row>
    <row r="1537">
      <c r="A1537" s="12" t="n">
        <v>44250</v>
      </c>
      <c r="B1537" s="15" t="n">
        <v>-0.527200002223253</v>
      </c>
      <c r="C1537" s="15" t="n">
        <v>-0.0522000007331371</v>
      </c>
      <c r="D1537" s="15" t="n">
        <v>2.04620003700256</v>
      </c>
      <c r="E1537" s="15" t="n">
        <v>-0.0445000529289246</v>
      </c>
      <c r="F1537" s="15" t="n">
        <v>-0.279500007629395</v>
      </c>
      <c r="G1537" s="15" t="n">
        <v>1.42229998111725</v>
      </c>
      <c r="H1537" s="16">
        <f>C1537+E1537</f>
        <v/>
      </c>
    </row>
    <row r="1538">
      <c r="A1538" s="12" t="n">
        <v>44251</v>
      </c>
      <c r="B1538" s="15" t="n">
        <v>-0.52020001038909</v>
      </c>
      <c r="C1538" s="15" t="n">
        <v>-0.0438000001013279</v>
      </c>
      <c r="D1538" s="15" t="n">
        <v>2.05159997940063</v>
      </c>
      <c r="E1538" s="15" t="n">
        <v>-0.0425999164581299</v>
      </c>
      <c r="F1538" s="15" t="n">
        <v>-0.287999987602234</v>
      </c>
      <c r="G1538" s="15" t="n">
        <v>1.44500005245209</v>
      </c>
      <c r="H1538" s="16">
        <f>C1538+E1538</f>
        <v/>
      </c>
    </row>
    <row r="1539">
      <c r="A1539" s="12" t="n">
        <v>44252</v>
      </c>
      <c r="B1539" s="15" t="n">
        <v>-0.460099996998906</v>
      </c>
      <c r="C1539" s="15" t="n">
        <v>0.0297999996691942</v>
      </c>
      <c r="D1539" s="15" t="n">
        <v>2.09759998321533</v>
      </c>
      <c r="E1539" s="15" t="n">
        <v>-0.0255999565124512</v>
      </c>
      <c r="F1539" s="15" t="n">
        <v>-0.227200001478195</v>
      </c>
      <c r="G1539" s="15" t="n">
        <v>1.64170002937317</v>
      </c>
      <c r="H1539" s="16">
        <f>C1539+E1539</f>
        <v/>
      </c>
    </row>
    <row r="1540">
      <c r="A1540" s="12" t="n">
        <v>44253</v>
      </c>
      <c r="B1540" s="15" t="n">
        <v>-0.488000000827014</v>
      </c>
      <c r="C1540" s="15" t="n">
        <v>-0.0059000002220273</v>
      </c>
      <c r="D1540" s="15" t="n">
        <v>2.07419991493225</v>
      </c>
      <c r="E1540" s="15" t="n">
        <v>-0.0332998633384705</v>
      </c>
      <c r="F1540" s="15" t="n">
        <v>-0.265199989080429</v>
      </c>
      <c r="G1540" s="15" t="n">
        <v>1.54700005054474</v>
      </c>
      <c r="H1540" s="16">
        <f>C1540+E1540</f>
        <v/>
      </c>
    </row>
    <row r="1541">
      <c r="A1541" s="12" t="n">
        <v>44256</v>
      </c>
      <c r="B1541" s="15" t="n">
        <v>-0.49069999717176</v>
      </c>
      <c r="C1541" s="15" t="n">
        <v>-0.00999999977648258</v>
      </c>
      <c r="D1541" s="15" t="n">
        <v>2.0725998878479</v>
      </c>
      <c r="E1541" s="15" t="n">
        <v>-0.0345999002456665</v>
      </c>
      <c r="F1541" s="15" t="n">
        <v>-0.282299995422363</v>
      </c>
      <c r="G1541" s="15" t="n">
        <v>1.53729999065399</v>
      </c>
      <c r="H1541" s="16">
        <f>C1541+E1541</f>
        <v/>
      </c>
    </row>
    <row r="1542">
      <c r="A1542" s="12" t="n">
        <v>44257</v>
      </c>
      <c r="B1542" s="15" t="n">
        <v>-0.503100017085671</v>
      </c>
      <c r="C1542" s="15" t="n">
        <v>-0.0242999996989965</v>
      </c>
      <c r="D1542" s="15" t="n">
        <v>2.06360006332397</v>
      </c>
      <c r="E1542" s="15" t="n">
        <v>-0.0379000902175903</v>
      </c>
      <c r="F1542" s="15" t="n">
        <v>-0.324999988079071</v>
      </c>
      <c r="G1542" s="15" t="n">
        <v>1.49829995632172</v>
      </c>
      <c r="H1542" s="16">
        <f>C1542+E1542</f>
        <v/>
      </c>
    </row>
    <row r="1543">
      <c r="A1543" s="12" t="n">
        <v>44258</v>
      </c>
      <c r="B1543" s="15" t="n">
        <v>-0.48340000747703</v>
      </c>
      <c r="C1543" s="15" t="n">
        <v>-0.00120000005699694</v>
      </c>
      <c r="D1543" s="15" t="n">
        <v>2.07859992980957</v>
      </c>
      <c r="E1543" s="15" t="n">
        <v>-0.0327998995780945</v>
      </c>
      <c r="F1543" s="15" t="n">
        <v>-0.324999988079071</v>
      </c>
      <c r="G1543" s="15" t="n">
        <v>1.56120002269745</v>
      </c>
      <c r="H1543" s="16">
        <f>C1543+E1543</f>
        <v/>
      </c>
    </row>
    <row r="1544">
      <c r="A1544" s="12" t="n">
        <v>44259</v>
      </c>
      <c r="B1544" s="15" t="n">
        <v>-0.461600003764033</v>
      </c>
      <c r="C1544" s="15" t="n">
        <v>0.0308999996632338</v>
      </c>
      <c r="D1544" s="15" t="n">
        <v>2.09859991073608</v>
      </c>
      <c r="E1544" s="15" t="n">
        <v>-0.0256999135017395</v>
      </c>
      <c r="F1544" s="15" t="n">
        <v>-0.297199994325638</v>
      </c>
      <c r="G1544" s="15" t="n">
        <v>1.64219999313354</v>
      </c>
      <c r="H1544" s="16">
        <f>C1544+E1544</f>
        <v/>
      </c>
    </row>
    <row r="1545">
      <c r="A1545" s="12" t="n">
        <v>44260</v>
      </c>
      <c r="B1545" s="15" t="n">
        <v>-0.457200013101101</v>
      </c>
      <c r="C1545" s="15" t="n">
        <v>0.0373999997973442</v>
      </c>
      <c r="D1545" s="15" t="n">
        <v>2.10249996185303</v>
      </c>
      <c r="E1545" s="15" t="n">
        <v>-0.0241999924182892</v>
      </c>
      <c r="F1545" s="15" t="n">
        <v>-0.293300002813339</v>
      </c>
      <c r="G1545" s="15" t="n">
        <v>1.65849995613098</v>
      </c>
      <c r="H1545" s="16">
        <f>C1545+E1545</f>
        <v/>
      </c>
    </row>
    <row r="1546">
      <c r="A1546" s="12" t="n">
        <v>44263</v>
      </c>
      <c r="B1546" s="15" t="n">
        <v>-0.444400012493134</v>
      </c>
      <c r="C1546" s="15" t="n">
        <v>0.0546000003814697</v>
      </c>
      <c r="D1546" s="15" t="n">
        <v>2.11249995231628</v>
      </c>
      <c r="E1546" s="15" t="n">
        <v>-0.0199999213218689</v>
      </c>
      <c r="F1546" s="15" t="n">
        <v>-0.267300009727478</v>
      </c>
      <c r="G1546" s="15" t="n">
        <v>1.70270001888275</v>
      </c>
      <c r="H1546" s="16">
        <f>C1546+E1546</f>
        <v/>
      </c>
    </row>
    <row r="1547">
      <c r="A1547" s="12" t="n">
        <v>44264</v>
      </c>
      <c r="B1547" s="15" t="n">
        <v>-0.457400012761354</v>
      </c>
      <c r="C1547" s="15" t="n">
        <v>0.0333000011742115</v>
      </c>
      <c r="D1547" s="15" t="n">
        <v>2.09940004348755</v>
      </c>
      <c r="E1547" s="15" t="n">
        <v>-0.0247000753879547</v>
      </c>
      <c r="F1547" s="15" t="n">
        <v>-0.277399986982346</v>
      </c>
      <c r="G1547" s="15" t="n">
        <v>1.65059995651245</v>
      </c>
      <c r="H1547" s="16">
        <f>C1547+E1547</f>
        <v/>
      </c>
    </row>
    <row r="1548">
      <c r="A1548" s="12" t="n">
        <v>44265</v>
      </c>
      <c r="B1548" s="15" t="n">
        <v>-0.46909998729825</v>
      </c>
      <c r="C1548" s="15" t="n">
        <v>0.0190999992191792</v>
      </c>
      <c r="D1548" s="15" t="n">
        <v>2.09010004997253</v>
      </c>
      <c r="E1548" s="15" t="n">
        <v>-0.0279000401496887</v>
      </c>
      <c r="F1548" s="15" t="n">
        <v>-0.321000009775162</v>
      </c>
      <c r="G1548" s="15" t="n">
        <v>1.61220002174377</v>
      </c>
      <c r="H1548" s="16">
        <f>C1548+E1548</f>
        <v/>
      </c>
    </row>
    <row r="1549">
      <c r="A1549" s="12" t="n">
        <v>44266</v>
      </c>
      <c r="B1549" s="15" t="n">
        <v>-0.469399999827147</v>
      </c>
      <c r="C1549" s="15" t="n">
        <v>0.0240000002086163</v>
      </c>
      <c r="D1549" s="15" t="n">
        <v>2.09260010719299</v>
      </c>
      <c r="E1549" s="15" t="n">
        <v>-0.0267001390457153</v>
      </c>
      <c r="F1549" s="15" t="n">
        <v>-0.351700007915497</v>
      </c>
      <c r="G1549" s="15" t="n">
        <v>1.62049996852875</v>
      </c>
      <c r="H1549" s="16">
        <f>C1549+E1549</f>
        <v/>
      </c>
    </row>
    <row r="1550">
      <c r="A1550" s="12" t="n">
        <v>44267</v>
      </c>
      <c r="B1550" s="15" t="n">
        <v>-0.436599984765053</v>
      </c>
      <c r="C1550" s="15" t="n">
        <v>0.0702999979257584</v>
      </c>
      <c r="D1550" s="15" t="n">
        <v>2.12190008163452</v>
      </c>
      <c r="E1550" s="15" t="n">
        <v>-0.0166001319885254</v>
      </c>
      <c r="F1550" s="15" t="n">
        <v>-0.320800006389618</v>
      </c>
      <c r="G1550" s="15" t="n">
        <v>1.7389999628067</v>
      </c>
      <c r="H1550" s="16">
        <f>C1550+E1550</f>
        <v/>
      </c>
    </row>
    <row r="1551">
      <c r="A1551" s="12" t="n">
        <v>44270</v>
      </c>
      <c r="B1551" s="15" t="n">
        <v>-0.44200000166893</v>
      </c>
      <c r="C1551" s="15" t="n">
        <v>0.06360000371932981</v>
      </c>
      <c r="D1551" s="15" t="n">
        <v>2.11770009994507</v>
      </c>
      <c r="E1551" s="15" t="n">
        <v>-0.0181001126766205</v>
      </c>
      <c r="F1551" s="15" t="n">
        <v>-0.34400001168251</v>
      </c>
      <c r="G1551" s="15" t="n">
        <v>1.72119998931885</v>
      </c>
      <c r="H1551" s="16">
        <f>C1551+E1551</f>
        <v/>
      </c>
    </row>
    <row r="1552">
      <c r="A1552" s="12" t="n">
        <v>44271</v>
      </c>
      <c r="B1552" s="15" t="n">
        <v>-0.443499997258186</v>
      </c>
      <c r="C1552" s="15" t="n">
        <v>0.0626000016927719</v>
      </c>
      <c r="D1552" s="15" t="n">
        <v>2.11710000038147</v>
      </c>
      <c r="E1552" s="15" t="n">
        <v>-0.0183999836444855</v>
      </c>
      <c r="F1552" s="15" t="n">
        <v>-0.37279999256134</v>
      </c>
      <c r="G1552" s="15" t="n">
        <v>1.71780002117157</v>
      </c>
      <c r="H1552" s="16">
        <f>C1552+E1552</f>
        <v/>
      </c>
    </row>
    <row r="1553">
      <c r="A1553" s="12" t="n">
        <v>44272</v>
      </c>
      <c r="B1553" s="15" t="n">
        <v>-0.445200003683567</v>
      </c>
      <c r="C1553" s="15" t="n">
        <v>0.0681999996304512</v>
      </c>
      <c r="D1553" s="15" t="n">
        <v>2.12030005455017</v>
      </c>
      <c r="E1553" s="15" t="n">
        <v>-0.0173000991344452</v>
      </c>
      <c r="F1553" s="15" t="n">
        <v>-0.377499997615814</v>
      </c>
      <c r="G1553" s="15" t="n">
        <v>1.72599995136261</v>
      </c>
      <c r="H1553" s="16">
        <f>C1553+E1553</f>
        <v/>
      </c>
    </row>
    <row r="1554">
      <c r="A1554" s="12" t="n">
        <v>44273</v>
      </c>
      <c r="B1554" s="15" t="n">
        <v>-0.422699987888336</v>
      </c>
      <c r="C1554" s="15" t="n">
        <v>0.105599999427795</v>
      </c>
      <c r="D1554" s="15" t="n">
        <v>2.14269995689392</v>
      </c>
      <c r="E1554" s="15" t="n">
        <v>-0.0087999701499939</v>
      </c>
      <c r="F1554" s="15" t="n">
        <v>-0.324000000953674</v>
      </c>
      <c r="G1554" s="15" t="n">
        <v>1.81679999828339</v>
      </c>
      <c r="H1554" s="16">
        <f>C1554+E1554</f>
        <v/>
      </c>
    </row>
    <row r="1555">
      <c r="A1555" s="12" t="n">
        <v>44274</v>
      </c>
      <c r="B1555" s="15" t="n">
        <v>-0.415000006556511</v>
      </c>
      <c r="C1555" s="15" t="n">
        <v>0.116999998688698</v>
      </c>
      <c r="D1555" s="15" t="n">
        <v>2.14939999580383</v>
      </c>
      <c r="E1555" s="15" t="n">
        <v>-0.00610002875328064</v>
      </c>
      <c r="F1555" s="15" t="n">
        <v>-0.32490000128746</v>
      </c>
      <c r="G1555" s="15" t="n">
        <v>1.84529995918274</v>
      </c>
      <c r="H1555" s="16">
        <f>C1555+E1555</f>
        <v/>
      </c>
    </row>
    <row r="1556">
      <c r="A1556" s="12" t="n">
        <v>44277</v>
      </c>
      <c r="B1556" s="15" t="n">
        <v>-0.426600009202957</v>
      </c>
      <c r="C1556" s="15" t="n">
        <v>0.0943000018596649</v>
      </c>
      <c r="D1556" s="15" t="n">
        <v>2.13619995117188</v>
      </c>
      <c r="E1556" s="15" t="n">
        <v>-0.0113999247550964</v>
      </c>
      <c r="F1556" s="15" t="n">
        <v>-0.344199985265732</v>
      </c>
      <c r="G1556" s="15" t="n">
        <v>1.79250001907349</v>
      </c>
      <c r="H1556" s="16">
        <f>C1556+E1556</f>
        <v/>
      </c>
    </row>
    <row r="1557">
      <c r="A1557" s="12" t="n">
        <v>44278</v>
      </c>
      <c r="B1557" s="15" t="n">
        <v>-0.442299999296665</v>
      </c>
      <c r="C1557" s="15" t="n">
        <v>0.07360000163316729</v>
      </c>
      <c r="D1557" s="15" t="n">
        <v>2.12290000915527</v>
      </c>
      <c r="E1557" s="15" t="n">
        <v>-0.0158000290393829</v>
      </c>
      <c r="F1557" s="15" t="n">
        <v>-0.334300011396408</v>
      </c>
      <c r="G1557" s="15" t="n">
        <v>1.73839998245239</v>
      </c>
      <c r="H1557" s="16">
        <f>C1557+E1557</f>
        <v/>
      </c>
    </row>
    <row r="1558">
      <c r="A1558" s="12" t="n">
        <v>44279</v>
      </c>
      <c r="B1558" s="15" t="n">
        <v>-0.44879999756813</v>
      </c>
      <c r="C1558" s="15" t="n">
        <v>0.063400000333786</v>
      </c>
      <c r="D1558" s="15" t="n">
        <v>2.11660003662109</v>
      </c>
      <c r="E1558" s="15" t="n">
        <v>-0.0181999802589417</v>
      </c>
      <c r="F1558" s="15" t="n">
        <v>-0.350800007581711</v>
      </c>
      <c r="G1558" s="15" t="n">
        <v>1.71300005912781</v>
      </c>
      <c r="H1558" s="16">
        <f>C1558+E1558</f>
        <v/>
      </c>
    </row>
    <row r="1559">
      <c r="A1559" s="12" t="n">
        <v>44280</v>
      </c>
      <c r="B1559" s="15" t="n">
        <v>-0.446500010788441</v>
      </c>
      <c r="C1559" s="15" t="n">
        <v>0.067500002682209</v>
      </c>
      <c r="D1559" s="15" t="n">
        <v>2.11910009384155</v>
      </c>
      <c r="E1559" s="15" t="n">
        <v>-0.0172000527381897</v>
      </c>
      <c r="F1559" s="15" t="n">
        <v>-0.363000005483627</v>
      </c>
      <c r="G1559" s="15" t="n">
        <v>1.72290003299713</v>
      </c>
      <c r="H1559" s="16">
        <f>C1559+E1559</f>
        <v/>
      </c>
    </row>
    <row r="1560">
      <c r="A1560" s="12" t="n">
        <v>44281</v>
      </c>
      <c r="B1560" s="15" t="n">
        <v>-0.434599988162518</v>
      </c>
      <c r="C1560" s="15" t="n">
        <v>0.0841000005602837</v>
      </c>
      <c r="D1560" s="15" t="n">
        <v>2.12949991226196</v>
      </c>
      <c r="E1560" s="15" t="n">
        <v>-0.0135998725891113</v>
      </c>
      <c r="F1560" s="15" t="n">
        <v>-0.373400002717972</v>
      </c>
      <c r="G1560" s="15" t="n">
        <v>1.76540005207062</v>
      </c>
      <c r="H1560" s="16">
        <f>C1560+E1560</f>
        <v/>
      </c>
    </row>
    <row r="1561">
      <c r="A1561" s="12" t="n">
        <v>44284</v>
      </c>
      <c r="B1561" s="15" t="n">
        <v>-0.418899990618229</v>
      </c>
      <c r="C1561" s="15" t="n">
        <v>0.10700000077486</v>
      </c>
      <c r="D1561" s="15" t="n">
        <v>2.14369988441467</v>
      </c>
      <c r="E1561" s="15" t="n">
        <v>-0.008499890565872191</v>
      </c>
      <c r="F1561" s="15" t="n">
        <v>-0.363400012254715</v>
      </c>
      <c r="G1561" s="15" t="n">
        <v>1.82330000400543</v>
      </c>
      <c r="H1561" s="16">
        <f>C1561+E1561</f>
        <v/>
      </c>
    </row>
    <row r="1562">
      <c r="A1562" s="12" t="n">
        <v>44285</v>
      </c>
      <c r="B1562" s="15" t="n">
        <v>-0.416400007903576</v>
      </c>
      <c r="C1562" s="15" t="n">
        <v>0.110299997031689</v>
      </c>
      <c r="D1562" s="15" t="n">
        <v>2.14560008049011</v>
      </c>
      <c r="E1562" s="15" t="n">
        <v>-0.00760006904602051</v>
      </c>
      <c r="F1562" s="15" t="n">
        <v>-0.342599987983704</v>
      </c>
      <c r="G1562" s="15" t="n">
        <v>1.8319000005722</v>
      </c>
      <c r="H1562" s="16">
        <f>C1562+E1562</f>
        <v/>
      </c>
    </row>
    <row r="1563">
      <c r="A1563" s="12" t="n">
        <v>44286</v>
      </c>
      <c r="B1563" s="15" t="n">
        <v>-0.410499997437</v>
      </c>
      <c r="C1563" s="15" t="n">
        <v>0.114000000059605</v>
      </c>
      <c r="D1563" s="15" t="n">
        <v>2.14829993247986</v>
      </c>
      <c r="E1563" s="15" t="n">
        <v>-0.00679990649223328</v>
      </c>
      <c r="F1563" s="15" t="n">
        <v>-0.355100005865097</v>
      </c>
      <c r="G1563" s="15" t="n">
        <v>1.84500002861023</v>
      </c>
      <c r="H1563" s="16">
        <f>C1563+E1563</f>
        <v/>
      </c>
    </row>
    <row r="1564">
      <c r="A1564" s="12" t="n">
        <v>44287</v>
      </c>
      <c r="B1564" s="15" t="n">
        <v>-0.423599995672703</v>
      </c>
      <c r="C1564" s="15" t="n">
        <v>0.09549999982118609</v>
      </c>
      <c r="D1564" s="15" t="n">
        <v>2.13619995117188</v>
      </c>
      <c r="E1564" s="15" t="n">
        <v>-0.0106999576091766</v>
      </c>
      <c r="F1564" s="15" t="n">
        <v>-0.359699994325638</v>
      </c>
      <c r="G1564" s="15" t="n">
        <v>1.79739999771118</v>
      </c>
      <c r="H1564" s="16">
        <f>C1564+E1564</f>
        <v/>
      </c>
    </row>
    <row r="1565">
      <c r="A1565" s="12" t="n">
        <v>44288</v>
      </c>
      <c r="B1565" s="15" t="n">
        <v>-0.411500006914139</v>
      </c>
      <c r="C1565" s="15" t="n">
        <v>0.106499999761581</v>
      </c>
      <c r="D1565" s="15" t="n">
        <v>2.14280009269714</v>
      </c>
      <c r="E1565" s="15" t="n">
        <v>-0.00780004262924194</v>
      </c>
      <c r="F1565" s="15" t="n">
        <v>-0.362399995326996</v>
      </c>
      <c r="G1565" s="15" t="n">
        <v>1.83000004291534</v>
      </c>
      <c r="H1565" s="16">
        <f>C1565+E1565</f>
        <v/>
      </c>
    </row>
    <row r="1566">
      <c r="A1566" s="12" t="n">
        <v>44291</v>
      </c>
      <c r="B1566" s="15" t="n">
        <v>-0.414299994707108</v>
      </c>
      <c r="C1566" s="15" t="n">
        <v>0.106299996376038</v>
      </c>
      <c r="D1566" s="15" t="n">
        <v>2.14229989051819</v>
      </c>
      <c r="E1566" s="15" t="n">
        <v>-0.00779983401298523</v>
      </c>
      <c r="F1566" s="15" t="n">
        <v>-0.350899994373322</v>
      </c>
      <c r="G1566" s="15" t="n">
        <v>1.82650005817413</v>
      </c>
      <c r="H1566" s="16">
        <f>C1566+E1566</f>
        <v/>
      </c>
    </row>
    <row r="1567">
      <c r="A1567" s="12" t="n">
        <v>44292</v>
      </c>
      <c r="B1567" s="15" t="n">
        <v>-0.43240001052618</v>
      </c>
      <c r="C1567" s="15" t="n">
        <v>0.0841000005602837</v>
      </c>
      <c r="D1567" s="15" t="n">
        <v>2.12859988212585</v>
      </c>
      <c r="E1567" s="15" t="n">
        <v>-0.0129998624324799</v>
      </c>
      <c r="F1567" s="15" t="n">
        <v>-0.347000002861023</v>
      </c>
      <c r="G1567" s="15" t="n">
        <v>1.76730000972748</v>
      </c>
      <c r="H1567" s="16">
        <f>C1567+E1567</f>
        <v/>
      </c>
    </row>
    <row r="1568">
      <c r="A1568" s="12" t="n">
        <v>44293</v>
      </c>
      <c r="B1568" s="15" t="n">
        <v>-0.431500010192394</v>
      </c>
      <c r="C1568" s="15" t="n">
        <v>0.0859000012278557</v>
      </c>
      <c r="D1568" s="15" t="n">
        <v>2.13000011444092</v>
      </c>
      <c r="E1568" s="15" t="n">
        <v>-0.012700080871582</v>
      </c>
      <c r="F1568" s="15" t="n">
        <v>-0.362399995326996</v>
      </c>
      <c r="G1568" s="15" t="n">
        <v>1.7717000246048</v>
      </c>
      <c r="H1568" s="16">
        <f>C1568+E1568</f>
        <v/>
      </c>
    </row>
    <row r="1569">
      <c r="A1569" s="12" t="n">
        <v>44294</v>
      </c>
      <c r="B1569" s="15" t="n">
        <v>-0.442499987781048</v>
      </c>
      <c r="C1569" s="15" t="n">
        <v>0.0707999989390373</v>
      </c>
      <c r="D1569" s="15" t="n">
        <v>2.12069988250732</v>
      </c>
      <c r="E1569" s="15" t="n">
        <v>-0.0160998702049255</v>
      </c>
      <c r="F1569" s="15" t="n">
        <v>-0.37270000576973</v>
      </c>
      <c r="G1569" s="15" t="n">
        <v>1.73290002346039</v>
      </c>
      <c r="H1569" s="16">
        <f>C1569+E1569</f>
        <v/>
      </c>
    </row>
    <row r="1570">
      <c r="A1570" s="12" t="n">
        <v>44295</v>
      </c>
      <c r="B1570" s="15" t="n">
        <v>-0.433999985456467</v>
      </c>
      <c r="C1570" s="15" t="n">
        <v>0.0834999978542328</v>
      </c>
      <c r="D1570" s="15" t="n">
        <v>2.12829995155334</v>
      </c>
      <c r="E1570" s="15" t="n">
        <v>-0.0131999254226685</v>
      </c>
      <c r="F1570" s="15" t="n">
        <v>-0.340799987316132</v>
      </c>
      <c r="G1570" s="15" t="n">
        <v>1.76460003852844</v>
      </c>
      <c r="H1570" s="16">
        <f>C1570+E1570</f>
        <v/>
      </c>
    </row>
    <row r="1571">
      <c r="A1571" s="12" t="n">
        <v>44298</v>
      </c>
      <c r="B1571" s="15" t="n">
        <v>-0.429199986159801</v>
      </c>
      <c r="C1571" s="15" t="n">
        <v>0.0856999978423119</v>
      </c>
      <c r="D1571" s="15" t="n">
        <v>2.13000011444092</v>
      </c>
      <c r="E1571" s="15" t="n">
        <v>-0.0127001106739044</v>
      </c>
      <c r="F1571" s="15" t="n">
        <v>-0.349599987268448</v>
      </c>
      <c r="G1571" s="15" t="n">
        <v>1.77380001544952</v>
      </c>
      <c r="H1571" s="16">
        <f>C1571+E1571</f>
        <v/>
      </c>
    </row>
    <row r="1572">
      <c r="A1572" s="12" t="n">
        <v>44299</v>
      </c>
      <c r="B1572" s="15" t="n">
        <v>-0.442399993538857</v>
      </c>
      <c r="C1572" s="15" t="n">
        <v>0.0659999996423721</v>
      </c>
      <c r="D1572" s="15" t="n">
        <v>2.11820006370544</v>
      </c>
      <c r="E1572" s="15" t="n">
        <v>-0.0173001289367676</v>
      </c>
      <c r="F1572" s="15" t="n">
        <v>-0.364699989557266</v>
      </c>
      <c r="G1572" s="15" t="n">
        <v>1.72449994087219</v>
      </c>
      <c r="H1572" s="16">
        <f>C1572+E1572</f>
        <v/>
      </c>
    </row>
    <row r="1573">
      <c r="A1573" s="12" t="n">
        <v>44300</v>
      </c>
      <c r="B1573" s="15" t="n">
        <v>-0.439499996602535</v>
      </c>
      <c r="C1573" s="15" t="n">
        <v>0.0707999989390373</v>
      </c>
      <c r="D1573" s="15" t="n">
        <v>2.12080001831055</v>
      </c>
      <c r="E1573" s="15" t="n">
        <v>-0.0161000788211823</v>
      </c>
      <c r="F1573" s="15" t="n">
        <v>-0.37270000576973</v>
      </c>
      <c r="G1573" s="15" t="n">
        <v>1.73599994182587</v>
      </c>
      <c r="H1573" s="16">
        <f>C1573+E1573</f>
        <v/>
      </c>
    </row>
    <row r="1574">
      <c r="A1574" s="12" t="n">
        <v>44301</v>
      </c>
      <c r="B1574" s="15" t="n">
        <v>-0.462699986994267</v>
      </c>
      <c r="C1574" s="15" t="n">
        <v>0.0384000018239021</v>
      </c>
      <c r="D1574" s="15" t="n">
        <v>2.10060000419617</v>
      </c>
      <c r="E1574" s="15" t="n">
        <v>-0.0233000218868256</v>
      </c>
      <c r="F1574" s="15" t="n">
        <v>-0.3783999979496</v>
      </c>
      <c r="G1574" s="15" t="n">
        <v>1.65299999713898</v>
      </c>
      <c r="H1574" s="16">
        <f>C1574+E1574</f>
        <v/>
      </c>
    </row>
    <row r="1575">
      <c r="A1575" s="12" t="n">
        <v>44302</v>
      </c>
      <c r="B1575" s="15" t="n">
        <v>-0.454799991101027</v>
      </c>
      <c r="C1575" s="15" t="n">
        <v>0.0467999987304211</v>
      </c>
      <c r="D1575" s="15" t="n">
        <v>2.10590004920959</v>
      </c>
      <c r="E1575" s="15" t="n">
        <v>-0.0213000774383545</v>
      </c>
      <c r="F1575" s="15" t="n">
        <v>-0.389899998903275</v>
      </c>
      <c r="G1575" s="15" t="n">
        <v>1.67659997940063</v>
      </c>
      <c r="H1575" s="16">
        <f>C1575+E1575</f>
        <v/>
      </c>
    </row>
    <row r="1576">
      <c r="A1576" s="12" t="n">
        <v>44305</v>
      </c>
      <c r="B1576" s="15" t="n">
        <v>-0.448399990797043</v>
      </c>
      <c r="C1576" s="15" t="n">
        <v>0.0579999983310699</v>
      </c>
      <c r="D1576" s="15" t="n">
        <v>2.11279988288879</v>
      </c>
      <c r="E1576" s="15" t="n">
        <v>-0.0188998579978943</v>
      </c>
      <c r="F1576" s="15" t="n">
        <v>-0.375600010156631</v>
      </c>
      <c r="G1576" s="15" t="n">
        <v>1.70350003242493</v>
      </c>
      <c r="H1576" s="16">
        <f>C1576+E1576</f>
        <v/>
      </c>
    </row>
    <row r="1577">
      <c r="A1577" s="12" t="n">
        <v>44306</v>
      </c>
      <c r="B1577" s="15" t="n">
        <v>-0.457999996840954</v>
      </c>
      <c r="C1577" s="15" t="n">
        <v>0.0461999997496605</v>
      </c>
      <c r="D1577" s="15" t="n">
        <v>2.10549998283386</v>
      </c>
      <c r="E1577" s="15" t="n">
        <v>-0.0216999351978302</v>
      </c>
      <c r="F1577" s="15" t="n">
        <v>-0.362899988889694</v>
      </c>
      <c r="G1577" s="15" t="n">
        <v>1.67200005054474</v>
      </c>
      <c r="H1577" s="16">
        <f>C1577+E1577</f>
        <v/>
      </c>
    </row>
    <row r="1578">
      <c r="A1578" s="12" t="n">
        <v>44307</v>
      </c>
      <c r="B1578" s="15" t="n">
        <v>-0.46119998767972</v>
      </c>
      <c r="C1578" s="15" t="n">
        <v>0.0412000007927418</v>
      </c>
      <c r="D1578" s="15" t="n">
        <v>2.10249996185303</v>
      </c>
      <c r="E1578" s="15" t="n">
        <v>-0.02279993891716</v>
      </c>
      <c r="F1578" s="15" t="n">
        <v>-0.371100008487701</v>
      </c>
      <c r="G1578" s="15" t="n">
        <v>1.65970003604889</v>
      </c>
      <c r="H1578" s="16">
        <f>C1578+E1578</f>
        <v/>
      </c>
    </row>
    <row r="1579">
      <c r="A1579" s="12" t="n">
        <v>44308</v>
      </c>
      <c r="B1579" s="15" t="n">
        <v>-0.461999993771315</v>
      </c>
      <c r="C1579" s="15" t="n">
        <v>0.0388999991118908</v>
      </c>
      <c r="D1579" s="15" t="n">
        <v>2.10109996795654</v>
      </c>
      <c r="E1579" s="15" t="n">
        <v>-0.0231999158859253</v>
      </c>
      <c r="F1579" s="15" t="n">
        <v>-0.367900013923645</v>
      </c>
      <c r="G1579" s="15" t="n">
        <v>1.65480005741119</v>
      </c>
      <c r="H1579" s="16">
        <f>C1579+E1579</f>
        <v/>
      </c>
    </row>
    <row r="1580">
      <c r="A1580" s="12" t="n">
        <v>44309</v>
      </c>
      <c r="B1580" s="15" t="n">
        <v>-0.457999989390373</v>
      </c>
      <c r="C1580" s="15" t="n">
        <v>0.0450000017881393</v>
      </c>
      <c r="D1580" s="15" t="n">
        <v>2.10430002212524</v>
      </c>
      <c r="E1580" s="15" t="n">
        <v>-0.0216000080108643</v>
      </c>
      <c r="F1580" s="15" t="n">
        <v>-0.374199986457825</v>
      </c>
      <c r="G1580" s="15" t="n">
        <v>1.66970002651215</v>
      </c>
      <c r="H1580" s="16">
        <f>C1580+E1580</f>
        <v/>
      </c>
    </row>
    <row r="1581">
      <c r="A1581" s="12" t="n">
        <v>44312</v>
      </c>
      <c r="B1581" s="15" t="n">
        <v>-0.456400007009506</v>
      </c>
      <c r="C1581" s="15" t="n">
        <v>0.0430999994277954</v>
      </c>
      <c r="D1581" s="15" t="n">
        <v>2.10339999198914</v>
      </c>
      <c r="E1581" s="15" t="n">
        <v>-0.0218999683856964</v>
      </c>
      <c r="F1581" s="15" t="n">
        <v>-0.38850000500679</v>
      </c>
      <c r="G1581" s="15" t="n">
        <v>1.66820001602173</v>
      </c>
      <c r="H1581" s="16">
        <f>C1581+E1581</f>
        <v/>
      </c>
    </row>
    <row r="1582">
      <c r="A1582" s="12" t="n">
        <v>44313</v>
      </c>
      <c r="B1582" s="15" t="n">
        <v>-0.443999998271465</v>
      </c>
      <c r="C1582" s="15" t="n">
        <v>0.0604000017046928</v>
      </c>
      <c r="D1582" s="15" t="n">
        <v>2.11409997940063</v>
      </c>
      <c r="E1582" s="15" t="n">
        <v>-0.0181000232696533</v>
      </c>
      <c r="F1582" s="15" t="n">
        <v>-0.403299987316132</v>
      </c>
      <c r="G1582" s="15" t="n">
        <v>1.71239995956421</v>
      </c>
      <c r="H1582" s="16">
        <f>C1582+E1582</f>
        <v/>
      </c>
    </row>
    <row r="1583">
      <c r="A1583" s="12" t="n">
        <v>44314</v>
      </c>
      <c r="B1583" s="15" t="n">
        <v>-0.445500008761883</v>
      </c>
      <c r="C1583" s="15" t="n">
        <v>0.061099998652935</v>
      </c>
      <c r="D1583" s="15" t="n">
        <v>2.11439990997314</v>
      </c>
      <c r="E1583" s="15" t="n">
        <v>-0.0179998874664307</v>
      </c>
      <c r="F1583" s="15" t="n">
        <v>-0.431100010871887</v>
      </c>
      <c r="G1583" s="15" t="n">
        <v>1.71200001239777</v>
      </c>
      <c r="H1583" s="16">
        <f>C1583+E1583</f>
        <v/>
      </c>
    </row>
    <row r="1584">
      <c r="A1584" s="12" t="n">
        <v>44315</v>
      </c>
      <c r="B1584" s="15" t="n">
        <v>-0.440600007772446</v>
      </c>
      <c r="C1584" s="15" t="n">
        <v>0.0697000026702881</v>
      </c>
      <c r="D1584" s="15" t="n">
        <v>2.11980009078979</v>
      </c>
      <c r="E1584" s="15" t="n">
        <v>-0.0162000954151154</v>
      </c>
      <c r="F1584" s="15" t="n">
        <v>-0.440699994564056</v>
      </c>
      <c r="G1584" s="15" t="n">
        <v>1.73269999027252</v>
      </c>
      <c r="H1584" s="16">
        <f>C1584+E1584</f>
        <v/>
      </c>
    </row>
    <row r="1585">
      <c r="A1585" s="12" t="n">
        <v>44316</v>
      </c>
      <c r="B1585" s="15" t="n">
        <v>-0.441500000655651</v>
      </c>
      <c r="C1585" s="15" t="n">
        <v>0.0719000026583672</v>
      </c>
      <c r="D1585" s="15" t="n">
        <v>2.12080001831055</v>
      </c>
      <c r="E1585" s="15" t="n">
        <v>-0.0157000422477722</v>
      </c>
      <c r="F1585" s="15" t="n">
        <v>-0.43979999423027</v>
      </c>
      <c r="G1585" s="15" t="n">
        <v>1.73549997806549</v>
      </c>
      <c r="H1585" s="16">
        <f>C1585+E1585</f>
        <v/>
      </c>
    </row>
    <row r="1586">
      <c r="A1586" s="12" t="n">
        <v>44319</v>
      </c>
      <c r="B1586" s="15" t="n">
        <v>-0.447600014507771</v>
      </c>
      <c r="C1586" s="15" t="n">
        <v>0.062100000679493</v>
      </c>
      <c r="D1586" s="15" t="n">
        <v>2.11520004272461</v>
      </c>
      <c r="E1586" s="15" t="n">
        <v>-0.018000066280365</v>
      </c>
      <c r="F1586" s="15" t="n">
        <v>-0.460099995136261</v>
      </c>
      <c r="G1586" s="15" t="n">
        <v>1.71169996261597</v>
      </c>
      <c r="H1586" s="16">
        <f>C1586+E1586</f>
        <v/>
      </c>
    </row>
    <row r="1587">
      <c r="A1587" s="12" t="n">
        <v>44320</v>
      </c>
      <c r="B1587" s="15" t="n">
        <v>-0.452300008386374</v>
      </c>
      <c r="C1587" s="15" t="n">
        <v>0.0548000000417233</v>
      </c>
      <c r="D1587" s="15" t="n">
        <v>2.11089992523193</v>
      </c>
      <c r="E1587" s="15" t="n">
        <v>-0.0196999609470367</v>
      </c>
      <c r="F1587" s="15" t="n">
        <v>-0.477100014686584</v>
      </c>
      <c r="G1587" s="15" t="n">
        <v>1.69369995594025</v>
      </c>
      <c r="H1587" s="16">
        <f>C1587+E1587</f>
        <v/>
      </c>
    </row>
    <row r="1588">
      <c r="A1588" s="12" t="n">
        <v>44321</v>
      </c>
      <c r="B1588" s="15" t="n">
        <v>-0.460299991071224</v>
      </c>
      <c r="C1588" s="15" t="n">
        <v>0.0434999987483025</v>
      </c>
      <c r="D1588" s="15" t="n">
        <v>2.10400009155273</v>
      </c>
      <c r="E1588" s="15" t="n">
        <v>-0.0224000513553619</v>
      </c>
      <c r="F1588" s="15" t="n">
        <v>-0.527199983596802</v>
      </c>
      <c r="G1588" s="15" t="n">
        <v>1.66480004787445</v>
      </c>
      <c r="H1588" s="16">
        <f>C1588+E1588</f>
        <v/>
      </c>
    </row>
    <row r="1589">
      <c r="A1589" s="12" t="n">
        <v>44322</v>
      </c>
      <c r="B1589" s="15" t="n">
        <v>-0.458999987691641</v>
      </c>
      <c r="C1589" s="15" t="n">
        <v>0.045099999755621</v>
      </c>
      <c r="D1589" s="15" t="n">
        <v>2.10500001907349</v>
      </c>
      <c r="E1589" s="15" t="n">
        <v>-0.021900087594986</v>
      </c>
      <c r="F1589" s="15" t="n">
        <v>-0.514999985694885</v>
      </c>
      <c r="G1589" s="15" t="n">
        <v>1.66919994354248</v>
      </c>
      <c r="H1589" s="16">
        <f>C1589+E1589</f>
        <v/>
      </c>
    </row>
    <row r="1590">
      <c r="A1590" s="12" t="n">
        <v>44323</v>
      </c>
      <c r="B1590" s="15" t="n">
        <v>-0.459899999201298</v>
      </c>
      <c r="C1590" s="15" t="n">
        <v>0.0469999983906746</v>
      </c>
      <c r="D1590" s="15" t="n">
        <v>2.10630011558533</v>
      </c>
      <c r="E1590" s="15" t="n">
        <v>-0.0217001140117645</v>
      </c>
      <c r="F1590" s="15" t="n">
        <v>-0.536300003528595</v>
      </c>
      <c r="G1590" s="15" t="n">
        <v>1.67170000076294</v>
      </c>
      <c r="H1590" s="16">
        <f>C1590+E1590</f>
        <v/>
      </c>
    </row>
    <row r="1591">
      <c r="A1591" s="12" t="n">
        <v>44326</v>
      </c>
      <c r="B1591" s="15" t="n">
        <v>-0.452899996191263</v>
      </c>
      <c r="C1591" s="15" t="n">
        <v>0.0568999983370304</v>
      </c>
      <c r="D1591" s="15" t="n">
        <v>2.11260008811951</v>
      </c>
      <c r="E1591" s="15" t="n">
        <v>-0.0196000635623932</v>
      </c>
      <c r="F1591" s="15" t="n">
        <v>-0.565400004386902</v>
      </c>
      <c r="G1591" s="15" t="n">
        <v>1.69700002670288</v>
      </c>
      <c r="H1591" s="16">
        <f>C1591+E1591</f>
        <v/>
      </c>
    </row>
    <row r="1592">
      <c r="A1592" s="12" t="n">
        <v>44327</v>
      </c>
      <c r="B1592" s="15" t="n">
        <v>-0.446600012481213</v>
      </c>
      <c r="C1592" s="15" t="n">
        <v>0.06650000065565111</v>
      </c>
      <c r="D1592" s="15" t="n">
        <v>2.11849999427795</v>
      </c>
      <c r="E1592" s="15" t="n">
        <v>-0.0174000263214111</v>
      </c>
      <c r="F1592" s="15" t="n">
        <v>-0.556299984455109</v>
      </c>
      <c r="G1592" s="15" t="n">
        <v>1.72099995613098</v>
      </c>
      <c r="H1592" s="16">
        <f>C1592+E1592</f>
        <v/>
      </c>
    </row>
    <row r="1593">
      <c r="A1593" s="12" t="n">
        <v>44328</v>
      </c>
      <c r="B1593" s="15" t="n">
        <v>-0.427499994635582</v>
      </c>
      <c r="C1593" s="15" t="n">
        <v>0.092399999499321</v>
      </c>
      <c r="D1593" s="15" t="n">
        <v>2.13470005989075</v>
      </c>
      <c r="E1593" s="15" t="n">
        <v>-0.0116000771522522</v>
      </c>
      <c r="F1593" s="15" t="n">
        <v>-0.551400005817413</v>
      </c>
      <c r="G1593" s="15" t="n">
        <v>1.78799998760223</v>
      </c>
      <c r="H1593" s="16">
        <f>C1593+E1593</f>
        <v/>
      </c>
    </row>
    <row r="1594">
      <c r="A1594" s="12" t="n">
        <v>44329</v>
      </c>
      <c r="B1594" s="15" t="n">
        <v>-0.43529999256134</v>
      </c>
      <c r="C1594" s="15" t="n">
        <v>0.08619999885559081</v>
      </c>
      <c r="D1594" s="15" t="n">
        <v>2.13019990921021</v>
      </c>
      <c r="E1594" s="15" t="n">
        <v>-0.0128998756408691</v>
      </c>
      <c r="F1594" s="15" t="n">
        <v>-0.527599990367889</v>
      </c>
      <c r="G1594" s="15" t="n">
        <v>1.76820003986359</v>
      </c>
      <c r="H1594" s="16">
        <f>C1594+E1594</f>
        <v/>
      </c>
    </row>
    <row r="1595">
      <c r="A1595" s="12" t="n">
        <v>44330</v>
      </c>
      <c r="B1595" s="15" t="n">
        <v>-0.443600013852119</v>
      </c>
      <c r="C1595" s="15" t="n">
        <v>0.0741000026464462</v>
      </c>
      <c r="D1595" s="15" t="n">
        <v>2.12249994277954</v>
      </c>
      <c r="E1595" s="15" t="n">
        <v>-0.0155998766422272</v>
      </c>
      <c r="F1595" s="15" t="n">
        <v>-0.531899988651276</v>
      </c>
      <c r="G1595" s="15" t="n">
        <v>1.73740005493164</v>
      </c>
      <c r="H1595" s="16">
        <f>C1595+E1595</f>
        <v/>
      </c>
    </row>
    <row r="1596">
      <c r="A1596" s="12" t="n">
        <v>44333</v>
      </c>
      <c r="B1596" s="15" t="n">
        <v>-0.440800003707409</v>
      </c>
      <c r="C1596" s="15" t="n">
        <v>0.0741999968886375</v>
      </c>
      <c r="D1596" s="15" t="n">
        <v>2.12310004234314</v>
      </c>
      <c r="E1596" s="15" t="n">
        <v>-0.0155999958515167</v>
      </c>
      <c r="F1596" s="15" t="n">
        <v>-0.547399997711182</v>
      </c>
      <c r="G1596" s="15" t="n">
        <v>1.74090003967285</v>
      </c>
      <c r="H1596" s="16">
        <f>C1596+E1596</f>
        <v/>
      </c>
    </row>
    <row r="1597">
      <c r="A1597" s="12" t="n">
        <v>44334</v>
      </c>
      <c r="B1597" s="15" t="n">
        <v>-0.442600004374981</v>
      </c>
      <c r="C1597" s="15" t="n">
        <v>0.0750999972224236</v>
      </c>
      <c r="D1597" s="15" t="n">
        <v>2.12330007553101</v>
      </c>
      <c r="E1597" s="15" t="n">
        <v>-0.0154001116752625</v>
      </c>
      <c r="F1597" s="15" t="n">
        <v>-0.540000021457672</v>
      </c>
      <c r="G1597" s="15" t="n">
        <v>1.74039995670319</v>
      </c>
      <c r="H1597" s="16">
        <f>C1597+E1597</f>
        <v/>
      </c>
    </row>
    <row r="1598">
      <c r="A1598" s="12" t="n">
        <v>44335</v>
      </c>
      <c r="B1598" s="15" t="n">
        <v>-0.429200008511543</v>
      </c>
      <c r="C1598" s="15" t="n">
        <v>0.0930999964475632</v>
      </c>
      <c r="D1598" s="15" t="n">
        <v>2.13439989089966</v>
      </c>
      <c r="E1598" s="15" t="n">
        <v>-0.0112999379634857</v>
      </c>
      <c r="F1598" s="15" t="n">
        <v>-0.485900014638901</v>
      </c>
      <c r="G1598" s="15" t="n">
        <v>1.78699994087219</v>
      </c>
      <c r="H1598" s="16">
        <f>C1598+E1598</f>
        <v/>
      </c>
    </row>
    <row r="1599">
      <c r="A1599" s="12" t="n">
        <v>44336</v>
      </c>
      <c r="B1599" s="15" t="n">
        <v>-0.443700008094311</v>
      </c>
      <c r="C1599" s="15" t="n">
        <v>0.0750999972224236</v>
      </c>
      <c r="D1599" s="15" t="n">
        <v>2.12299990653992</v>
      </c>
      <c r="E1599" s="15" t="n">
        <v>-0.015299916267395</v>
      </c>
      <c r="F1599" s="15" t="n">
        <v>-0.44420000910759</v>
      </c>
      <c r="G1599" s="15" t="n">
        <v>1.73909997940063</v>
      </c>
      <c r="H1599" s="16">
        <f>C1599+E1599</f>
        <v/>
      </c>
    </row>
    <row r="1600">
      <c r="A1600" s="12" t="n">
        <v>44337</v>
      </c>
      <c r="B1600" s="15" t="n">
        <v>-0.445500001311302</v>
      </c>
      <c r="C1600" s="15" t="n">
        <v>0.07230000197887421</v>
      </c>
      <c r="D1600" s="15" t="n">
        <v>2.12089991569519</v>
      </c>
      <c r="E1600" s="15" t="n">
        <v>-0.0157999396324158</v>
      </c>
      <c r="F1600" s="15" t="n">
        <v>-0.444599986076355</v>
      </c>
      <c r="G1600" s="15" t="n">
        <v>1.73189997673035</v>
      </c>
      <c r="H1600" s="16">
        <f>C1600+E1600</f>
        <v/>
      </c>
    </row>
    <row r="1601">
      <c r="A1601" s="12" t="n">
        <v>44340</v>
      </c>
      <c r="B1601" s="15" t="n">
        <v>-0.450800009071827</v>
      </c>
      <c r="C1601" s="15" t="n">
        <v>0.062100000679493</v>
      </c>
      <c r="D1601" s="15" t="n">
        <v>2.1149001121521</v>
      </c>
      <c r="E1601" s="15" t="n">
        <v>-0.0181001424789429</v>
      </c>
      <c r="F1601" s="15" t="n">
        <v>-0.460500001907349</v>
      </c>
      <c r="G1601" s="15" t="n">
        <v>1.70809996128082</v>
      </c>
      <c r="H1601" s="16">
        <f>C1601+E1601</f>
        <v/>
      </c>
    </row>
    <row r="1602">
      <c r="A1602" s="12" t="n">
        <v>44341</v>
      </c>
      <c r="B1602" s="15" t="n">
        <v>-0.462900012731552</v>
      </c>
      <c r="C1602" s="15" t="n">
        <v>0.0421999990940094</v>
      </c>
      <c r="D1602" s="15" t="n">
        <v>2.10310006141663</v>
      </c>
      <c r="E1602" s="15" t="n">
        <v>-0.0227000117301941</v>
      </c>
      <c r="F1602" s="15" t="n">
        <v>-0.467200011014938</v>
      </c>
      <c r="G1602" s="15" t="n">
        <v>1.65970003604889</v>
      </c>
      <c r="H1602" s="16">
        <f>C1602+E1602</f>
        <v/>
      </c>
    </row>
    <row r="1603">
      <c r="A1603" s="12" t="n">
        <v>44342</v>
      </c>
      <c r="B1603" s="15" t="n">
        <v>-0.458500012755394</v>
      </c>
      <c r="C1603" s="15" t="n">
        <v>0.0483999997377396</v>
      </c>
      <c r="D1603" s="15" t="n">
        <v>2.10719990730286</v>
      </c>
      <c r="E1603" s="15" t="n">
        <v>-0.0212999284267426</v>
      </c>
      <c r="F1603" s="15" t="n">
        <v>-0.43970000743866</v>
      </c>
      <c r="G1603" s="15" t="n">
        <v>1.67579996585846</v>
      </c>
      <c r="H1603" s="16">
        <f>C1603+E1603</f>
        <v/>
      </c>
    </row>
    <row r="1604">
      <c r="A1604" s="12" t="n">
        <v>44343</v>
      </c>
      <c r="B1604" s="15" t="n">
        <v>-0.451200004667044</v>
      </c>
      <c r="C1604" s="15" t="n">
        <v>0.0590999983251095</v>
      </c>
      <c r="D1604" s="15" t="n">
        <v>2.11389994621277</v>
      </c>
      <c r="E1604" s="15" t="n">
        <v>-0.0190999209880829</v>
      </c>
      <c r="F1604" s="15" t="n">
        <v>-0.435099989175797</v>
      </c>
      <c r="G1604" s="15" t="n">
        <v>1.70270001888275</v>
      </c>
      <c r="H1604" s="16">
        <f>C1604+E1604</f>
        <v/>
      </c>
    </row>
    <row r="1605">
      <c r="A1605" s="12" t="n">
        <v>44344</v>
      </c>
      <c r="B1605" s="15" t="n">
        <v>-0.460299998521805</v>
      </c>
      <c r="C1605" s="15" t="n">
        <v>0.0494000017642975</v>
      </c>
      <c r="D1605" s="15" t="n">
        <v>2.10739994049072</v>
      </c>
      <c r="E1605" s="15" t="n">
        <v>-0.0211999416351318</v>
      </c>
      <c r="F1605" s="15" t="n">
        <v>-0.440200001001358</v>
      </c>
      <c r="G1605" s="15" t="n">
        <v>1.67530000209808</v>
      </c>
      <c r="H1605" s="16">
        <f>C1605+E1605</f>
        <v/>
      </c>
    </row>
    <row r="1606">
      <c r="A1606" s="12" t="n">
        <v>44348</v>
      </c>
      <c r="B1606" s="15" t="n">
        <v>-0.449899990111589</v>
      </c>
      <c r="C1606" s="15" t="n">
        <v>0.0612999983131886</v>
      </c>
      <c r="D1606" s="15" t="n">
        <v>2.11529994010925</v>
      </c>
      <c r="E1606" s="15" t="n">
        <v>-0.0185999870300293</v>
      </c>
      <c r="F1606" s="15" t="n">
        <v>-0.454199999570847</v>
      </c>
      <c r="G1606" s="15" t="n">
        <v>1.70809996128082</v>
      </c>
      <c r="H1606" s="16">
        <f>C1606+E1606</f>
        <v/>
      </c>
    </row>
    <row r="1607">
      <c r="A1607" s="12" t="n">
        <v>44349</v>
      </c>
      <c r="B1607" s="15" t="n">
        <v>-0.454500012099743</v>
      </c>
      <c r="C1607" s="15" t="n">
        <v>0.0549999997019768</v>
      </c>
      <c r="D1607" s="15" t="n">
        <v>2.11139988899231</v>
      </c>
      <c r="E1607" s="15" t="n">
        <v>-0.0199998617172241</v>
      </c>
      <c r="F1607" s="15" t="n">
        <v>-0.453099995851517</v>
      </c>
      <c r="G1607" s="15" t="n">
        <v>1.69190001487732</v>
      </c>
      <c r="H1607" s="16">
        <f>C1607+E1607</f>
        <v/>
      </c>
    </row>
    <row r="1608">
      <c r="A1608" s="12" t="n">
        <v>44350</v>
      </c>
      <c r="B1608" s="15" t="n">
        <v>-0.442600004374981</v>
      </c>
      <c r="C1608" s="15" t="n">
        <v>0.0689999982714653</v>
      </c>
      <c r="D1608" s="15" t="n">
        <v>2.1201000213623</v>
      </c>
      <c r="E1608" s="15" t="n">
        <v>-0.0167000293731689</v>
      </c>
      <c r="F1608" s="15" t="n">
        <v>-0.418799996376038</v>
      </c>
      <c r="G1608" s="15" t="n">
        <v>1.72979998588562</v>
      </c>
      <c r="H1608" s="16">
        <f>C1608+E1608</f>
        <v/>
      </c>
    </row>
    <row r="1609">
      <c r="A1609" s="12" t="n">
        <v>44351</v>
      </c>
      <c r="B1609" s="15" t="n">
        <v>-0.463200002908707</v>
      </c>
      <c r="C1609" s="15" t="n">
        <v>0.0403999984264374</v>
      </c>
      <c r="D1609" s="15" t="n">
        <v>2.10209989547729</v>
      </c>
      <c r="E1609" s="15" t="n">
        <v>-0.0230998396873474</v>
      </c>
      <c r="F1609" s="15" t="n">
        <v>-0.423099994659424</v>
      </c>
      <c r="G1609" s="15" t="n">
        <v>1.65620005130768</v>
      </c>
      <c r="H1609" s="16">
        <f>C1609+E1609</f>
        <v/>
      </c>
    </row>
    <row r="1610">
      <c r="A1610" s="12" t="n">
        <v>44354</v>
      </c>
      <c r="B1610" s="15" t="n">
        <v>-0.461200006306171</v>
      </c>
      <c r="C1610" s="15" t="n">
        <v>0.0417999997735023</v>
      </c>
      <c r="D1610" s="15" t="n">
        <v>2.10310006141663</v>
      </c>
      <c r="E1610" s="15" t="n">
        <v>-0.0228000581264496</v>
      </c>
      <c r="F1610" s="15" t="n">
        <v>-0.403299987316132</v>
      </c>
      <c r="G1610" s="15" t="n">
        <v>1.66089999675751</v>
      </c>
      <c r="H1610" s="16">
        <f>C1610+E1610</f>
        <v/>
      </c>
    </row>
    <row r="1611">
      <c r="A1611" s="12" t="n">
        <v>44355</v>
      </c>
      <c r="B1611" s="15" t="n">
        <v>-0.470899991691113</v>
      </c>
      <c r="C1611" s="15" t="n">
        <v>0.0276999995112419</v>
      </c>
      <c r="D1611" s="15" t="n">
        <v>2.09419989585876</v>
      </c>
      <c r="E1611" s="15" t="n">
        <v>-0.0258998870849609</v>
      </c>
      <c r="F1611" s="15" t="n">
        <v>-0.387699991464615</v>
      </c>
      <c r="G1611" s="15" t="n">
        <v>1.62510001659393</v>
      </c>
      <c r="H1611" s="16">
        <f>C1611+E1611</f>
        <v/>
      </c>
    </row>
    <row r="1612">
      <c r="A1612" s="12" t="n">
        <v>44356</v>
      </c>
      <c r="B1612" s="15" t="n">
        <v>-0.480499994009733</v>
      </c>
      <c r="C1612" s="15" t="n">
        <v>0.013399999588728</v>
      </c>
      <c r="D1612" s="15" t="n">
        <v>2.08540010452271</v>
      </c>
      <c r="E1612" s="15" t="n">
        <v>-0.0290000736713409</v>
      </c>
      <c r="F1612" s="15" t="n">
        <v>-0.352299988269806</v>
      </c>
      <c r="G1612" s="15" t="n">
        <v>1.58930003643036</v>
      </c>
      <c r="H1612" s="16">
        <f>C1612+E1612</f>
        <v/>
      </c>
    </row>
    <row r="1613">
      <c r="A1613" s="12" t="n">
        <v>44357</v>
      </c>
      <c r="B1613" s="15" t="n">
        <v>-0.493200013414025</v>
      </c>
      <c r="C1613" s="15" t="n">
        <v>-0.00669999979436398</v>
      </c>
      <c r="D1613" s="15" t="n">
        <v>2.07299995422363</v>
      </c>
      <c r="E1613" s="15" t="n">
        <v>-0.0334999263286591</v>
      </c>
      <c r="F1613" s="15" t="n">
        <v>-0.391099989414215</v>
      </c>
      <c r="G1613" s="15" t="n">
        <v>1.53960001468658</v>
      </c>
      <c r="H1613" s="16">
        <f>C1613+E1613</f>
        <v/>
      </c>
    </row>
    <row r="1614">
      <c r="A1614" s="12" t="n">
        <v>44358</v>
      </c>
      <c r="B1614" s="15" t="n">
        <v>-0.485400000354275</v>
      </c>
      <c r="C1614" s="15" t="n">
        <v>0.00209999992512167</v>
      </c>
      <c r="D1614" s="15" t="n">
        <v>2.0783998966217</v>
      </c>
      <c r="E1614" s="15" t="n">
        <v>-0.0313999354839325</v>
      </c>
      <c r="F1614" s="15" t="n">
        <v>-0.347900003194809</v>
      </c>
      <c r="G1614" s="15" t="n">
        <v>1.56369996070862</v>
      </c>
      <c r="H1614" s="16">
        <f>C1614+E1614</f>
        <v/>
      </c>
    </row>
    <row r="1615">
      <c r="A1615" s="12" t="n">
        <v>44361</v>
      </c>
      <c r="B1615" s="15" t="n">
        <v>-0.474799999035895</v>
      </c>
      <c r="C1615" s="15" t="n">
        <v>0.012699999846518</v>
      </c>
      <c r="D1615" s="15" t="n">
        <v>2.08529996871948</v>
      </c>
      <c r="E1615" s="15" t="n">
        <v>-0.0288999378681183</v>
      </c>
      <c r="F1615" s="15" t="n">
        <v>-0.352100014686584</v>
      </c>
      <c r="G1615" s="15" t="n">
        <v>1.59430003166199</v>
      </c>
      <c r="H1615" s="16">
        <f>C1615+E1615</f>
        <v/>
      </c>
    </row>
    <row r="1616">
      <c r="A1616" s="12" t="n">
        <v>44362</v>
      </c>
      <c r="B1616" s="15" t="n">
        <v>-0.474200001917779</v>
      </c>
      <c r="C1616" s="15" t="n">
        <v>0.0127999996766448</v>
      </c>
      <c r="D1616" s="15" t="n">
        <v>2.08529996871948</v>
      </c>
      <c r="E1616" s="15" t="n">
        <v>-0.0288999378681183</v>
      </c>
      <c r="F1616" s="15" t="n">
        <v>-0.375600010156631</v>
      </c>
      <c r="G1616" s="15" t="n">
        <v>1.59500002861023</v>
      </c>
      <c r="H1616" s="16">
        <f>C1616+E1616</f>
        <v/>
      </c>
    </row>
    <row r="1617">
      <c r="A1617" s="12" t="n">
        <v>44363</v>
      </c>
      <c r="B1617" s="15" t="n">
        <v>-0.447600014507771</v>
      </c>
      <c r="C1617" s="15" t="n">
        <v>0.0417999997735023</v>
      </c>
      <c r="D1617" s="15" t="n">
        <v>2.10369992256165</v>
      </c>
      <c r="E1617" s="15" t="n">
        <v>-0.0220999419689178</v>
      </c>
      <c r="F1617" s="15" t="n">
        <v>-0.30919998884201</v>
      </c>
      <c r="G1617" s="15" t="n">
        <v>1.67579996585846</v>
      </c>
      <c r="H1617" s="16">
        <f>C1617+E1617</f>
        <v/>
      </c>
    </row>
    <row r="1618">
      <c r="A1618" s="12" t="n">
        <v>44364</v>
      </c>
      <c r="B1618" s="15" t="n">
        <v>-0.458799988031387</v>
      </c>
      <c r="C1618" s="15" t="n">
        <v>0.0203000009059906</v>
      </c>
      <c r="D1618" s="15" t="n">
        <v>2.08990001678467</v>
      </c>
      <c r="E1618" s="15" t="n">
        <v>-0.0266000628471375</v>
      </c>
      <c r="F1618" s="15" t="n">
        <v>-0.271800011396408</v>
      </c>
      <c r="G1618" s="15" t="n">
        <v>1.62479996681213</v>
      </c>
      <c r="H1618" s="16">
        <f>C1618+E1618</f>
        <v/>
      </c>
    </row>
    <row r="1619">
      <c r="A1619" s="12" t="n">
        <v>44365</v>
      </c>
      <c r="B1619" s="15" t="n">
        <v>-0.475100005045533</v>
      </c>
      <c r="C1619" s="15" t="n">
        <v>-0.0120000001043081</v>
      </c>
      <c r="D1619" s="15" t="n">
        <v>2.06949996948242</v>
      </c>
      <c r="E1619" s="15" t="n">
        <v>-0.0331999063491821</v>
      </c>
      <c r="F1619" s="15" t="n">
        <v>-0.252000004053116</v>
      </c>
      <c r="G1619" s="15" t="n">
        <v>1.5492000579834</v>
      </c>
      <c r="H1619" s="16">
        <f>C1619+E1619</f>
        <v/>
      </c>
    </row>
    <row r="1620">
      <c r="A1620" s="12" t="n">
        <v>44368</v>
      </c>
      <c r="B1620" s="15" t="n">
        <v>-0.466999987955205</v>
      </c>
      <c r="C1620" s="15" t="n">
        <v>-0.000600000028498471</v>
      </c>
      <c r="D1620" s="15" t="n">
        <v>2.07610011100769</v>
      </c>
      <c r="E1620" s="15" t="n">
        <v>-0.0305001735687256</v>
      </c>
      <c r="F1620" s="15" t="n">
        <v>-0.244499996304512</v>
      </c>
      <c r="G1620" s="15" t="n">
        <v>1.57799994945526</v>
      </c>
      <c r="H1620" s="16">
        <f>C1620+E1620</f>
        <v/>
      </c>
    </row>
    <row r="1621">
      <c r="A1621" s="12" t="n">
        <v>44369</v>
      </c>
      <c r="B1621" s="15" t="n">
        <v>-0.475200014188886</v>
      </c>
      <c r="C1621" s="15" t="n">
        <v>-0.009800000116229061</v>
      </c>
      <c r="D1621" s="15" t="n">
        <v>2.07019996643066</v>
      </c>
      <c r="E1621" s="15" t="n">
        <v>-0.032599925994873</v>
      </c>
      <c r="F1621" s="15" t="n">
        <v>-0.311300009489059</v>
      </c>
      <c r="G1621" s="15" t="n">
        <v>1.55260002613068</v>
      </c>
      <c r="H1621" s="16">
        <f>C1621+E1621</f>
        <v/>
      </c>
    </row>
    <row r="1622">
      <c r="A1622" s="12" t="n">
        <v>44370</v>
      </c>
      <c r="B1622" s="15" t="n">
        <v>-0.470100012375042</v>
      </c>
      <c r="C1622" s="15" t="n">
        <v>-0.000699999975040555</v>
      </c>
      <c r="D1622" s="15" t="n">
        <v>2.07529997825623</v>
      </c>
      <c r="E1622" s="15" t="n">
        <v>-0.0303999483585358</v>
      </c>
      <c r="F1622" s="15" t="n">
        <v>-0.346799999475479</v>
      </c>
      <c r="G1622" s="15" t="n">
        <v>1.57410001754761</v>
      </c>
      <c r="H1622" s="16">
        <f>C1622+E1622</f>
        <v/>
      </c>
    </row>
    <row r="1623">
      <c r="A1623" s="12" t="n">
        <v>44371</v>
      </c>
      <c r="B1623" s="15" t="n">
        <v>-0.467999994056299</v>
      </c>
      <c r="C1623" s="15" t="n">
        <v>0.00179999996908009</v>
      </c>
      <c r="D1623" s="15" t="n">
        <v>2.07680010795593</v>
      </c>
      <c r="E1623" s="15" t="n">
        <v>-0.0298000574111938</v>
      </c>
      <c r="F1623" s="15" t="n">
        <v>-0.315100014209747</v>
      </c>
      <c r="G1623" s="15" t="n">
        <v>1.58080005645752</v>
      </c>
      <c r="H1623" s="16">
        <f>C1623+E1623</f>
        <v/>
      </c>
    </row>
    <row r="1624">
      <c r="A1624" s="12" t="n">
        <v>44372</v>
      </c>
      <c r="B1624" s="15" t="n">
        <v>-0.45639999397099</v>
      </c>
      <c r="C1624" s="15" t="n">
        <v>0.0156999994069338</v>
      </c>
      <c r="D1624" s="15" t="n">
        <v>2.08590006828308</v>
      </c>
      <c r="E1624" s="15" t="n">
        <v>-0.0268000960350037</v>
      </c>
      <c r="F1624" s="15" t="n">
        <v>-0.322899997234344</v>
      </c>
      <c r="G1624" s="15" t="n">
        <v>1.61839997768402</v>
      </c>
      <c r="H1624" s="16">
        <f>C1624+E1624</f>
        <v/>
      </c>
    </row>
    <row r="1625">
      <c r="A1625" s="12" t="n">
        <v>44375</v>
      </c>
      <c r="B1625" s="15" t="n">
        <v>-0.469600009731948</v>
      </c>
      <c r="C1625" s="15" t="n">
        <v>-0.00279999990016222</v>
      </c>
      <c r="D1625" s="15" t="n">
        <v>2.07430005073547</v>
      </c>
      <c r="E1625" s="15" t="n">
        <v>-0.0309000611305237</v>
      </c>
      <c r="F1625" s="15" t="n">
        <v>-0.332500010728836</v>
      </c>
      <c r="G1625" s="15" t="n">
        <v>1.57099997997284</v>
      </c>
      <c r="H1625" s="16">
        <f>C1625+E1625</f>
        <v/>
      </c>
    </row>
    <row r="1626">
      <c r="A1626" s="12" t="n">
        <v>44376</v>
      </c>
      <c r="B1626" s="15" t="n">
        <v>-0.470000000204891</v>
      </c>
      <c r="C1626" s="15" t="n">
        <v>-0.00359999993816018</v>
      </c>
      <c r="D1626" s="15" t="n">
        <v>2.07389998435974</v>
      </c>
      <c r="E1626" s="15" t="n">
        <v>-0.031099945306778</v>
      </c>
      <c r="F1626" s="15" t="n">
        <v>-0.325199991464615</v>
      </c>
      <c r="G1626" s="15" t="n">
        <v>1.56920003890991</v>
      </c>
      <c r="H1626" s="16">
        <f>C1626+E1626</f>
        <v/>
      </c>
    </row>
    <row r="1627">
      <c r="A1627" s="12" t="n">
        <v>44377</v>
      </c>
      <c r="B1627" s="15" t="n">
        <v>-0.48000000603497</v>
      </c>
      <c r="C1627" s="15" t="n">
        <v>-0.0186000000685453</v>
      </c>
      <c r="D1627" s="15" t="n">
        <v>2.06459999084473</v>
      </c>
      <c r="E1627" s="15" t="n">
        <v>-0.0343999862670898</v>
      </c>
      <c r="F1627" s="15" t="n">
        <v>-0.340900003910065</v>
      </c>
      <c r="G1627" s="15" t="n">
        <v>1.53159999847412</v>
      </c>
      <c r="H1627" s="16">
        <f>C1627+E1627</f>
        <v/>
      </c>
    </row>
    <row r="1628">
      <c r="A1628" s="12" t="n">
        <v>44378</v>
      </c>
      <c r="B1628" s="15" t="n">
        <v>-0.474600014276803</v>
      </c>
      <c r="C1628" s="15" t="n">
        <v>-0.0104000000283122</v>
      </c>
      <c r="D1628" s="15" t="n">
        <v>2.06920003890991</v>
      </c>
      <c r="E1628" s="15" t="n">
        <v>-0.0322999954223633</v>
      </c>
      <c r="F1628" s="15" t="n">
        <v>-0.345499992370605</v>
      </c>
      <c r="G1628" s="15" t="n">
        <v>1.55190002918243</v>
      </c>
      <c r="H1628" s="16">
        <f>C1628+E1628</f>
        <v/>
      </c>
    </row>
    <row r="1629">
      <c r="A1629" s="12" t="n">
        <v>44379</v>
      </c>
      <c r="B1629" s="15" t="n">
        <v>-0.485599992796779</v>
      </c>
      <c r="C1629" s="15" t="n">
        <v>-0.023700000718236</v>
      </c>
      <c r="D1629" s="15" t="n">
        <v>2.06080007553101</v>
      </c>
      <c r="E1629" s="15" t="n">
        <v>-0.0354000329971313</v>
      </c>
      <c r="F1629" s="15" t="n">
        <v>-0.351700007915497</v>
      </c>
      <c r="G1629" s="15" t="n">
        <v>1.51610004901886</v>
      </c>
      <c r="H1629" s="16">
        <f>C1629+E1629</f>
        <v/>
      </c>
    </row>
    <row r="1630">
      <c r="A1630" s="12" t="n">
        <v>44383</v>
      </c>
      <c r="B1630" s="15" t="n">
        <v>-0.504000008106232</v>
      </c>
      <c r="C1630" s="15" t="n">
        <v>-0.0509999990463257</v>
      </c>
      <c r="D1630" s="15" t="n">
        <v>2.04439997673035</v>
      </c>
      <c r="E1630" s="15" t="n">
        <v>-0.0416999459266663</v>
      </c>
      <c r="F1630" s="15" t="n">
        <v>-0.361000001430511</v>
      </c>
      <c r="G1630" s="15" t="n">
        <v>1.44770002365112</v>
      </c>
      <c r="H1630" s="16">
        <f>C1630+E1630</f>
        <v/>
      </c>
    </row>
    <row r="1631">
      <c r="A1631" s="12" t="n">
        <v>44384</v>
      </c>
      <c r="B1631" s="15" t="n">
        <v>-0.515699990093708</v>
      </c>
      <c r="C1631" s="15" t="n">
        <v>-0.06719999760389329</v>
      </c>
      <c r="D1631" s="15" t="n">
        <v>2.03410005569458</v>
      </c>
      <c r="E1631" s="15" t="n">
        <v>-0.0452000498771667</v>
      </c>
      <c r="F1631" s="15" t="n">
        <v>-0.337700009346008</v>
      </c>
      <c r="G1631" s="15" t="n">
        <v>1.40600001811981</v>
      </c>
      <c r="H1631" s="16">
        <f>C1631+E1631</f>
        <v/>
      </c>
    </row>
    <row r="1632">
      <c r="A1632" s="12" t="n">
        <v>44385</v>
      </c>
      <c r="B1632" s="15" t="n">
        <v>-0.524999998509884</v>
      </c>
      <c r="C1632" s="15" t="n">
        <v>-0.0794999971985817</v>
      </c>
      <c r="D1632" s="15" t="n">
        <v>2.02699995040894</v>
      </c>
      <c r="E1632" s="15" t="n">
        <v>-0.0482999682426453</v>
      </c>
      <c r="F1632" s="15" t="n">
        <v>-0.306600004434586</v>
      </c>
      <c r="G1632" s="15" t="n">
        <v>1.37419998645782</v>
      </c>
      <c r="H1632" s="16">
        <f>C1632+E1632</f>
        <v/>
      </c>
    </row>
    <row r="1633">
      <c r="A1633" s="12" t="n">
        <v>44386</v>
      </c>
      <c r="B1633" s="15" t="n">
        <v>-0.509299989789724</v>
      </c>
      <c r="C1633" s="15" t="n">
        <v>-0.0577999986708164</v>
      </c>
      <c r="D1633" s="15" t="n">
        <v>2.04029989242554</v>
      </c>
      <c r="E1633" s="15" t="n">
        <v>-0.0432998538017273</v>
      </c>
      <c r="F1633" s="15" t="n">
        <v>-0.328000009059906</v>
      </c>
      <c r="G1633" s="15" t="n">
        <v>1.42990005016327</v>
      </c>
      <c r="H1633" s="16">
        <f>C1633+E1633</f>
        <v/>
      </c>
    </row>
    <row r="1634">
      <c r="A1634" s="12" t="n">
        <v>44389</v>
      </c>
      <c r="B1634" s="15" t="n">
        <v>-0.505199991166592</v>
      </c>
      <c r="C1634" s="15" t="n">
        <v>-0.0551000013947487</v>
      </c>
      <c r="D1634" s="15" t="n">
        <v>2.04229998588562</v>
      </c>
      <c r="E1634" s="15" t="n">
        <v>-0.0427999496459961</v>
      </c>
      <c r="F1634" s="15" t="n">
        <v>-0.365799993276596</v>
      </c>
      <c r="G1634" s="15" t="n">
        <v>1.43920004367828</v>
      </c>
      <c r="H1634" s="16">
        <f>C1634+E1634</f>
        <v/>
      </c>
    </row>
    <row r="1635">
      <c r="A1635" s="12" t="n">
        <v>44390</v>
      </c>
      <c r="B1635" s="15" t="n">
        <v>-0.493099987506866</v>
      </c>
      <c r="C1635" s="15" t="n">
        <v>-0.0412999987602234</v>
      </c>
      <c r="D1635" s="15" t="n">
        <v>2.05080008506775</v>
      </c>
      <c r="E1635" s="15" t="n">
        <v>-0.0394001007080078</v>
      </c>
      <c r="F1635" s="15" t="n">
        <v>-0.411700010299683</v>
      </c>
      <c r="G1635" s="15" t="n">
        <v>1.47699999809265</v>
      </c>
      <c r="H1635" s="16">
        <f>C1635+E1635</f>
        <v/>
      </c>
    </row>
    <row r="1636">
      <c r="A1636" s="12" t="n">
        <v>44391</v>
      </c>
      <c r="B1636" s="15" t="n">
        <v>-0.50840001180768</v>
      </c>
      <c r="C1636" s="15" t="n">
        <v>-0.0573999993503094</v>
      </c>
      <c r="D1636" s="15" t="n">
        <v>2.04019999504089</v>
      </c>
      <c r="E1636" s="15" t="n">
        <v>-0.0430000424385071</v>
      </c>
      <c r="F1636" s="15" t="n">
        <v>-0.411199986934662</v>
      </c>
      <c r="G1636" s="15" t="n">
        <v>1.4313999414444</v>
      </c>
      <c r="H1636" s="16">
        <f>C1636+E1636</f>
        <v/>
      </c>
    </row>
    <row r="1637">
      <c r="A1637" s="12" t="n">
        <v>44392</v>
      </c>
      <c r="B1637" s="15" t="n">
        <v>-0.522800020873547</v>
      </c>
      <c r="C1637" s="15" t="n">
        <v>-0.0797000005841255</v>
      </c>
      <c r="D1637" s="15" t="n">
        <v>2.02629995346069</v>
      </c>
      <c r="E1637" s="15" t="n">
        <v>-0.0479999184608459</v>
      </c>
      <c r="F1637" s="15" t="n">
        <v>-0.408800005912781</v>
      </c>
      <c r="G1637" s="15" t="n">
        <v>1.37580001354218</v>
      </c>
      <c r="H1637" s="16">
        <f>C1637+E1637</f>
        <v/>
      </c>
    </row>
    <row r="1638">
      <c r="A1638" s="12" t="n">
        <v>44393</v>
      </c>
      <c r="B1638" s="15" t="n">
        <v>-0.5218000262975691</v>
      </c>
      <c r="C1638" s="15" t="n">
        <v>-0.0799999982118607</v>
      </c>
      <c r="D1638" s="15" t="n">
        <v>2.02609992027283</v>
      </c>
      <c r="E1638" s="15" t="n">
        <v>-0.0478999018669128</v>
      </c>
      <c r="F1638" s="15" t="n">
        <v>-0.412099987268448</v>
      </c>
      <c r="G1638" s="15" t="n">
        <v>1.37639999389648</v>
      </c>
      <c r="H1638" s="16">
        <f>C1638+E1638</f>
        <v/>
      </c>
    </row>
    <row r="1639">
      <c r="A1639" s="12" t="n">
        <v>44396</v>
      </c>
      <c r="B1639" s="15" t="n">
        <v>-0.552099987864494</v>
      </c>
      <c r="C1639" s="15" t="n">
        <v>-0.123099997639656</v>
      </c>
      <c r="D1639" s="15" t="n">
        <v>1.99979996681213</v>
      </c>
      <c r="E1639" s="15" t="n">
        <v>-0.0577999353408813</v>
      </c>
      <c r="F1639" s="15" t="n">
        <v>-0.372599989175797</v>
      </c>
      <c r="G1639" s="15" t="n">
        <v>1.2668000459671</v>
      </c>
      <c r="H1639" s="16">
        <f>C1639+E1639</f>
        <v/>
      </c>
    </row>
    <row r="1640">
      <c r="A1640" s="12" t="n">
        <v>44397</v>
      </c>
      <c r="B1640" s="15" t="n">
        <v>-0.548100024461746</v>
      </c>
      <c r="C1640" s="15" t="n">
        <v>-0.116200000047684</v>
      </c>
      <c r="D1640" s="15" t="n">
        <v>2.00449991226196</v>
      </c>
      <c r="E1640" s="15" t="n">
        <v>-0.0563998818397522</v>
      </c>
      <c r="F1640" s="15" t="n">
        <v>-0.365000009536743</v>
      </c>
      <c r="G1640" s="15" t="n">
        <v>1.28380000591278</v>
      </c>
      <c r="H1640" s="16">
        <f>C1640+E1640</f>
        <v/>
      </c>
    </row>
    <row r="1641">
      <c r="A1641" s="12" t="n">
        <v>44398</v>
      </c>
      <c r="B1641" s="15" t="n">
        <v>-0.530400015413761</v>
      </c>
      <c r="C1641" s="15" t="n">
        <v>-0.0886000022292137</v>
      </c>
      <c r="D1641" s="15" t="n">
        <v>2.02119994163513</v>
      </c>
      <c r="E1641" s="15" t="n">
        <v>-0.0501999258995056</v>
      </c>
      <c r="F1641" s="15" t="n">
        <v>-0.373100012540817</v>
      </c>
      <c r="G1641" s="15" t="n">
        <v>1.35199999809265</v>
      </c>
      <c r="H1641" s="16">
        <f>C1641+E1641</f>
        <v/>
      </c>
    </row>
    <row r="1642">
      <c r="A1642" s="12" t="n">
        <v>44399</v>
      </c>
      <c r="B1642" s="15" t="n">
        <v>-0.539099998772144</v>
      </c>
      <c r="C1642" s="15" t="n">
        <v>-0.09920000284910201</v>
      </c>
      <c r="D1642" s="15" t="n">
        <v>2.01460003852844</v>
      </c>
      <c r="E1642" s="15" t="n">
        <v>-0.0526999831199646</v>
      </c>
      <c r="F1642" s="15" t="n">
        <v>-0.387600004673004</v>
      </c>
      <c r="G1642" s="15" t="n">
        <v>1.32360005378723</v>
      </c>
      <c r="H1642" s="16">
        <f>C1642+E1642</f>
        <v/>
      </c>
    </row>
    <row r="1643">
      <c r="A1643" s="12" t="n">
        <v>44400</v>
      </c>
      <c r="B1643" s="15" t="n">
        <v>-0.533099986612797</v>
      </c>
      <c r="C1643" s="15" t="n">
        <v>-0.0910999998450279</v>
      </c>
      <c r="D1643" s="15" t="n">
        <v>2.01959991455078</v>
      </c>
      <c r="E1643" s="15" t="n">
        <v>-0.0507999658584595</v>
      </c>
      <c r="F1643" s="15" t="n">
        <v>-0.432300001382828</v>
      </c>
      <c r="G1643" s="15" t="n">
        <v>1.3445999622345</v>
      </c>
      <c r="H1643" s="16">
        <f>C1643+E1643</f>
        <v/>
      </c>
    </row>
    <row r="1644">
      <c r="A1644" s="12" t="n">
        <v>44403</v>
      </c>
      <c r="B1644" s="15" t="n">
        <v>-0.531800031661987</v>
      </c>
      <c r="C1644" s="15" t="n">
        <v>-0.0922999978065491</v>
      </c>
      <c r="D1644" s="15" t="n">
        <v>2.01939988136292</v>
      </c>
      <c r="E1644" s="15" t="n">
        <v>-0.0511998534202576</v>
      </c>
      <c r="F1644" s="15" t="n">
        <v>-0.486000001430511</v>
      </c>
      <c r="G1644" s="15" t="n">
        <v>1.34409999847412</v>
      </c>
      <c r="H1644" s="16">
        <f>C1644+E1644</f>
        <v/>
      </c>
    </row>
    <row r="1645">
      <c r="A1645" s="12" t="n">
        <v>44404</v>
      </c>
      <c r="B1645" s="15" t="n">
        <v>-0.541500002145767</v>
      </c>
      <c r="C1645" s="15" t="n">
        <v>-0.102899998426437</v>
      </c>
      <c r="D1645" s="15" t="n">
        <v>2.01239991188049</v>
      </c>
      <c r="E1645" s="15" t="n">
        <v>-0.0534999370574951</v>
      </c>
      <c r="F1645" s="15" t="n">
        <v>-0.474599987268448</v>
      </c>
      <c r="G1645" s="15" t="n">
        <v>1.31449997425079</v>
      </c>
      <c r="H1645" s="16">
        <f>C1645+E1645</f>
        <v/>
      </c>
    </row>
    <row r="1646">
      <c r="A1646" s="12" t="n">
        <v>44405</v>
      </c>
      <c r="B1646" s="15" t="n">
        <v>-0.540700003504753</v>
      </c>
      <c r="C1646" s="15" t="n">
        <v>-0.103000000119209</v>
      </c>
      <c r="D1646" s="15" t="n">
        <v>2.01230001449585</v>
      </c>
      <c r="E1646" s="15" t="n">
        <v>-0.0535000562667847</v>
      </c>
      <c r="F1646" s="15" t="n">
        <v>-0.500199973583221</v>
      </c>
      <c r="G1646" s="15" t="n">
        <v>1.3150999546051</v>
      </c>
      <c r="H1646" s="16">
        <f>C1646+E1646</f>
        <v/>
      </c>
    </row>
    <row r="1647">
      <c r="A1647" s="12" t="n">
        <v>44406</v>
      </c>
      <c r="B1647" s="15" t="n">
        <v>-0.53499998152256</v>
      </c>
      <c r="C1647" s="15" t="n">
        <v>-0.09420000016689301</v>
      </c>
      <c r="D1647" s="15" t="n">
        <v>2.01769995689392</v>
      </c>
      <c r="E1647" s="15" t="n">
        <v>-0.0514999628067017</v>
      </c>
      <c r="F1647" s="15" t="n">
        <v>-0.517799973487854</v>
      </c>
      <c r="G1647" s="15" t="n">
        <v>1.33700001239777</v>
      </c>
      <c r="H1647" s="16">
        <f>C1647+E1647</f>
        <v/>
      </c>
    </row>
    <row r="1648">
      <c r="A1648" s="12" t="n">
        <v>44407</v>
      </c>
      <c r="B1648" s="15" t="n">
        <v>-0.543799974024296</v>
      </c>
      <c r="C1648" s="15" t="n">
        <v>-0.104400001466274</v>
      </c>
      <c r="D1648" s="15" t="n">
        <v>2.01139998435974</v>
      </c>
      <c r="E1648" s="15" t="n">
        <v>-0.0539000630378723</v>
      </c>
      <c r="F1648" s="15" t="n">
        <v>-0.5144000053405759</v>
      </c>
      <c r="G1648" s="15" t="n">
        <v>1.3092999458313</v>
      </c>
      <c r="H1648" s="16">
        <f>C1648+E1648</f>
        <v/>
      </c>
    </row>
    <row r="1649">
      <c r="A1649" s="12" t="n">
        <v>44410</v>
      </c>
      <c r="B1649" s="15" t="n">
        <v>-0.555899985134602</v>
      </c>
      <c r="C1649" s="15" t="n">
        <v>-0.122900001704693</v>
      </c>
      <c r="D1649" s="15" t="n">
        <v>2.00049996376038</v>
      </c>
      <c r="E1649" s="15" t="n">
        <v>-0.0582000017166138</v>
      </c>
      <c r="F1649" s="15" t="n">
        <v>-0.501800000667572</v>
      </c>
      <c r="G1649" s="15" t="n">
        <v>1.26349997520447</v>
      </c>
      <c r="H1649" s="16">
        <f>C1649+E1649</f>
        <v/>
      </c>
    </row>
    <row r="1650">
      <c r="A1650" s="12" t="n">
        <v>44411</v>
      </c>
      <c r="B1650" s="15" t="n">
        <v>-0.5598000138998031</v>
      </c>
      <c r="C1650" s="15" t="n">
        <v>-0.129600003361702</v>
      </c>
      <c r="D1650" s="15" t="n">
        <v>1.99670004844666</v>
      </c>
      <c r="E1650" s="15" t="n">
        <v>-0.0598000884056091</v>
      </c>
      <c r="F1650" s="15" t="n">
        <v>-0.505200028419495</v>
      </c>
      <c r="G1650" s="15" t="n">
        <v>1.24749994277954</v>
      </c>
      <c r="H1650" s="16">
        <f>C1650+E1650</f>
        <v/>
      </c>
    </row>
    <row r="1651">
      <c r="A1651" s="12" t="n">
        <v>44412</v>
      </c>
      <c r="B1651" s="15" t="n">
        <v>-0.558600008487701</v>
      </c>
      <c r="C1651" s="15" t="n">
        <v>-0.128199994564056</v>
      </c>
      <c r="D1651" s="15" t="n">
        <v>1.99699997901917</v>
      </c>
      <c r="E1651" s="15" t="n">
        <v>-0.0591999292373657</v>
      </c>
      <c r="F1651" s="15" t="n">
        <v>-0.479099988937378</v>
      </c>
      <c r="G1651" s="15" t="n">
        <v>1.25100004673004</v>
      </c>
      <c r="H1651" s="16">
        <f>C1651+E1651</f>
        <v/>
      </c>
    </row>
    <row r="1652">
      <c r="A1652" s="12" t="n">
        <v>44413</v>
      </c>
      <c r="B1652" s="15" t="n">
        <v>-0.543700024485588</v>
      </c>
      <c r="C1652" s="15" t="n">
        <v>-0.113399997353554</v>
      </c>
      <c r="D1652" s="15" t="n">
        <v>2.00650000572205</v>
      </c>
      <c r="E1652" s="15" t="n">
        <v>-0.0558000206947327</v>
      </c>
      <c r="F1652" s="15" t="n">
        <v>-0.446700006723404</v>
      </c>
      <c r="G1652" s="15" t="n">
        <v>1.29359996318817</v>
      </c>
      <c r="H1652" s="16">
        <f>C1652+E1652</f>
        <v/>
      </c>
    </row>
    <row r="1653">
      <c r="A1653" s="12" t="n">
        <v>44414</v>
      </c>
      <c r="B1653" s="15" t="n">
        <v>-0.524300023913383</v>
      </c>
      <c r="C1653" s="15" t="n">
        <v>-0.0872000008821487</v>
      </c>
      <c r="D1653" s="15" t="n">
        <v>2.02259993553162</v>
      </c>
      <c r="E1653" s="15" t="n">
        <v>-0.049799919128418</v>
      </c>
      <c r="F1653" s="15" t="n">
        <v>-0.443199992179871</v>
      </c>
      <c r="G1653" s="15" t="n">
        <v>1.36129999160767</v>
      </c>
      <c r="H1653" s="16">
        <f>C1653+E1653</f>
        <v/>
      </c>
    </row>
    <row r="1654">
      <c r="A1654" s="12" t="n">
        <v>44417</v>
      </c>
      <c r="B1654" s="15" t="n">
        <v>-0.517800018191338</v>
      </c>
      <c r="C1654" s="15" t="n">
        <v>-0.07819999754428859</v>
      </c>
      <c r="D1654" s="15" t="n">
        <v>2.02789998054504</v>
      </c>
      <c r="E1654" s="15" t="n">
        <v>-0.0476999878883362</v>
      </c>
      <c r="F1654" s="15" t="n">
        <v>-0.442099988460541</v>
      </c>
      <c r="G1654" s="15" t="n">
        <v>1.38419997692108</v>
      </c>
      <c r="H1654" s="16">
        <f>C1654+E1654</f>
        <v/>
      </c>
    </row>
    <row r="1655">
      <c r="A1655" s="12" t="n">
        <v>44418</v>
      </c>
      <c r="B1655" s="15" t="n">
        <v>-0.510999992489815</v>
      </c>
      <c r="C1655" s="15" t="n">
        <v>-0.06870000064373021</v>
      </c>
      <c r="D1655" s="15" t="n">
        <v>2.03309988975525</v>
      </c>
      <c r="E1655" s="15" t="n">
        <v>-0.0451998710632324</v>
      </c>
      <c r="F1655" s="15" t="n">
        <v>-0.461699992418289</v>
      </c>
      <c r="G1655" s="15" t="n">
        <v>1.40820002555847</v>
      </c>
      <c r="H1655" s="16">
        <f>C1655+E1655</f>
        <v/>
      </c>
    </row>
    <row r="1656">
      <c r="A1656" s="12" t="n">
        <v>44419</v>
      </c>
      <c r="B1656" s="15" t="n">
        <v>-0.513000011444092</v>
      </c>
      <c r="C1656" s="15" t="n">
        <v>-0.0710999965667725</v>
      </c>
      <c r="D1656" s="15" t="n">
        <v>2.03180003166199</v>
      </c>
      <c r="E1656" s="15" t="n">
        <v>-0.0458999872207642</v>
      </c>
      <c r="F1656" s="15" t="n">
        <v>-0.48089998960495</v>
      </c>
      <c r="G1656" s="15" t="n">
        <v>1.40180003643036</v>
      </c>
      <c r="H1656" s="16">
        <f>C1656+E1656</f>
        <v/>
      </c>
    </row>
    <row r="1657">
      <c r="A1657" s="12" t="n">
        <v>44420</v>
      </c>
      <c r="B1657" s="15" t="n">
        <v>-0.505899976938963</v>
      </c>
      <c r="C1657" s="15" t="n">
        <v>-0.0621999986469746</v>
      </c>
      <c r="D1657" s="15" t="n">
        <v>2.03740000724792</v>
      </c>
      <c r="E1657" s="15" t="n">
        <v>-0.0436999797821045</v>
      </c>
      <c r="F1657" s="15" t="n">
        <v>-0.479600012302399</v>
      </c>
      <c r="G1657" s="15" t="n">
        <v>1.42560005187988</v>
      </c>
      <c r="H1657" s="16">
        <f>C1657+E1657</f>
        <v/>
      </c>
    </row>
    <row r="1658">
      <c r="A1658" s="12" t="n">
        <v>44421</v>
      </c>
      <c r="B1658" s="15" t="n">
        <v>-0.523800007998943</v>
      </c>
      <c r="C1658" s="15" t="n">
        <v>-0.0851000025868416</v>
      </c>
      <c r="D1658" s="15" t="n">
        <v>2.02259993553162</v>
      </c>
      <c r="E1658" s="15" t="n">
        <v>-0.0487999320030212</v>
      </c>
      <c r="F1658" s="15" t="n">
        <v>-0.468600004911423</v>
      </c>
      <c r="G1658" s="15" t="n">
        <v>1.36489999294281</v>
      </c>
      <c r="H1658" s="16">
        <f>C1658+E1658</f>
        <v/>
      </c>
    </row>
    <row r="1659">
      <c r="A1659" s="12" t="n">
        <v>44424</v>
      </c>
      <c r="B1659" s="15" t="n">
        <v>-0.535800017416477</v>
      </c>
      <c r="C1659" s="15" t="n">
        <v>-0.10080000013113</v>
      </c>
      <c r="D1659" s="15" t="n">
        <v>2.01279997825623</v>
      </c>
      <c r="E1659" s="15" t="n">
        <v>-0.0523999929428101</v>
      </c>
      <c r="F1659" s="15" t="n">
        <v>-0.467900007963181</v>
      </c>
      <c r="G1659" s="15" t="n">
        <v>1.32379996776581</v>
      </c>
      <c r="H1659" s="16">
        <f>C1659+E1659</f>
        <v/>
      </c>
    </row>
    <row r="1660">
      <c r="A1660" s="12" t="n">
        <v>44425</v>
      </c>
      <c r="B1660" s="15" t="n">
        <v>-0.5310999751091</v>
      </c>
      <c r="C1660" s="15" t="n">
        <v>-0.0983999967575073</v>
      </c>
      <c r="D1660" s="15" t="n">
        <v>2.01500010490417</v>
      </c>
      <c r="E1660" s="15" t="n">
        <v>-0.0519000887870789</v>
      </c>
      <c r="F1660" s="15" t="n">
        <v>-0.437700003385544</v>
      </c>
      <c r="G1660" s="15" t="n">
        <v>1.33360004425049</v>
      </c>
      <c r="H1660" s="16">
        <f>C1660+E1660</f>
        <v/>
      </c>
    </row>
    <row r="1661">
      <c r="A1661" s="12" t="n">
        <v>44426</v>
      </c>
      <c r="B1661" s="15" t="n">
        <v>-0.530700020492077</v>
      </c>
      <c r="C1661" s="15" t="n">
        <v>-0.0973000004887581</v>
      </c>
      <c r="D1661" s="15" t="n">
        <v>2.01519989967346</v>
      </c>
      <c r="E1661" s="15" t="n">
        <v>-0.0514998435974121</v>
      </c>
      <c r="F1661" s="15" t="n">
        <v>-0.418900012969971</v>
      </c>
      <c r="G1661" s="15" t="n">
        <v>1.33570003509521</v>
      </c>
      <c r="H1661" s="16">
        <f>C1661+E1661</f>
        <v/>
      </c>
    </row>
    <row r="1662">
      <c r="A1662" s="12" t="n">
        <v>44427</v>
      </c>
      <c r="B1662" s="15" t="n">
        <v>-0.537099987268448</v>
      </c>
      <c r="C1662" s="15" t="n">
        <v>-0.107600003480911</v>
      </c>
      <c r="D1662" s="15" t="n">
        <v>2.00859999656677</v>
      </c>
      <c r="E1662" s="15" t="n">
        <v>-0.0537000298500061</v>
      </c>
      <c r="F1662" s="15" t="n">
        <v>-0.40149998664856</v>
      </c>
      <c r="G1662" s="15" t="n">
        <v>1.31019997596741</v>
      </c>
      <c r="H1662" s="16">
        <f>C1662+E1662</f>
        <v/>
      </c>
    </row>
    <row r="1663">
      <c r="A1663" s="12" t="n">
        <v>44428</v>
      </c>
      <c r="B1663" s="15" t="n">
        <v>-0.53269999474287</v>
      </c>
      <c r="C1663" s="15" t="n">
        <v>-0.102700002491474</v>
      </c>
      <c r="D1663" s="15" t="n">
        <v>2.01149988174438</v>
      </c>
      <c r="E1663" s="15" t="n">
        <v>-0.0524998307228088</v>
      </c>
      <c r="F1663" s="15" t="n">
        <v>-0.366299986839294</v>
      </c>
      <c r="G1663" s="15" t="n">
        <v>1.32360005378723</v>
      </c>
      <c r="H1663" s="16">
        <f>C1663+E1663</f>
        <v/>
      </c>
    </row>
    <row r="1664">
      <c r="A1664" s="12" t="n">
        <v>44431</v>
      </c>
      <c r="B1664" s="15" t="n">
        <v>-0.536700025200844</v>
      </c>
      <c r="C1664" s="15" t="n">
        <v>-0.110699996352196</v>
      </c>
      <c r="D1664" s="15" t="n">
        <v>2.00690007209778</v>
      </c>
      <c r="E1664" s="15" t="n">
        <v>-0.05430006980896</v>
      </c>
      <c r="F1664" s="15" t="n">
        <v>-0.38060000538826</v>
      </c>
      <c r="G1664" s="15" t="n">
        <v>1.30519998073578</v>
      </c>
      <c r="H1664" s="16">
        <f>C1664+E1664</f>
        <v/>
      </c>
    </row>
    <row r="1665">
      <c r="A1665" s="12" t="n">
        <v>44432</v>
      </c>
      <c r="B1665" s="15" t="n">
        <v>-0.527800016105175</v>
      </c>
      <c r="C1665" s="15" t="n">
        <v>-0.09619999676942829</v>
      </c>
      <c r="D1665" s="15" t="n">
        <v>2.01550006866455</v>
      </c>
      <c r="E1665" s="15" t="n">
        <v>-0.0510000586509705</v>
      </c>
      <c r="F1665" s="15" t="n">
        <v>-0.392199993133545</v>
      </c>
      <c r="G1665" s="15" t="n">
        <v>1.34049999713898</v>
      </c>
      <c r="H1665" s="16">
        <f>C1665+E1665</f>
        <v/>
      </c>
    </row>
    <row r="1666">
      <c r="A1666" s="12" t="n">
        <v>44433</v>
      </c>
      <c r="B1666" s="15" t="n">
        <v>-0.512499995529652</v>
      </c>
      <c r="C1666" s="15" t="n">
        <v>-0.0750999972224236</v>
      </c>
      <c r="D1666" s="15" t="n">
        <v>2.0288999080658</v>
      </c>
      <c r="E1666" s="15" t="n">
        <v>-0.046299934387207</v>
      </c>
      <c r="F1666" s="15" t="n">
        <v>-0.408800005912781</v>
      </c>
      <c r="G1666" s="15" t="n">
        <v>1.39499998092651</v>
      </c>
      <c r="H1666" s="16">
        <f>C1666+E1666</f>
        <v/>
      </c>
    </row>
    <row r="1667">
      <c r="A1667" s="12" t="n">
        <v>44434</v>
      </c>
      <c r="B1667" s="15" t="n">
        <v>-0.5114999935030941</v>
      </c>
      <c r="C1667" s="15" t="n">
        <v>-0.07360000163316729</v>
      </c>
      <c r="D1667" s="15" t="n">
        <v>2.02990007400513</v>
      </c>
      <c r="E1667" s="15" t="n">
        <v>-0.0461000800132751</v>
      </c>
      <c r="F1667" s="15" t="n">
        <v>-0.403699994087219</v>
      </c>
      <c r="G1667" s="15" t="n">
        <v>1.39869999885559</v>
      </c>
      <c r="H1667" s="16">
        <f>C1667+E1667</f>
        <v/>
      </c>
    </row>
    <row r="1668">
      <c r="A1668" s="12" t="n">
        <v>44435</v>
      </c>
      <c r="B1668" s="15" t="n">
        <v>-0.525100015103817</v>
      </c>
      <c r="C1668" s="15" t="n">
        <v>-0.0878000035881996</v>
      </c>
      <c r="D1668" s="15" t="n">
        <v>2.02060008049011</v>
      </c>
      <c r="E1668" s="15" t="n">
        <v>-0.0493000745773315</v>
      </c>
      <c r="F1668" s="15" t="n">
        <v>-0.45100000500679</v>
      </c>
      <c r="G1668" s="15" t="n">
        <v>1.35839998722076</v>
      </c>
      <c r="H1668" s="16">
        <f>C1668+E1668</f>
        <v/>
      </c>
    </row>
    <row r="1669">
      <c r="A1669" s="12" t="n">
        <v>44438</v>
      </c>
      <c r="B1669" s="15" t="n">
        <v>-0.530400022864342</v>
      </c>
      <c r="C1669" s="15" t="n">
        <v>-0.09260000288486479</v>
      </c>
      <c r="D1669" s="15" t="n">
        <v>2.01769995689392</v>
      </c>
      <c r="E1669" s="15" t="n">
        <v>-0.0503998994827271</v>
      </c>
      <c r="F1669" s="15" t="n">
        <v>-0.440100014209747</v>
      </c>
      <c r="G1669" s="15" t="n">
        <v>1.34430003166199</v>
      </c>
      <c r="H1669" s="16">
        <f>C1669+E1669</f>
        <v/>
      </c>
    </row>
    <row r="1670">
      <c r="A1670" s="12" t="n">
        <v>44439</v>
      </c>
      <c r="B1670" s="15" t="n">
        <v>-0.524599976837635</v>
      </c>
      <c r="C1670" s="15" t="n">
        <v>-0.0859000012278557</v>
      </c>
      <c r="D1670" s="15" t="n">
        <v>2.02259993553162</v>
      </c>
      <c r="E1670" s="15" t="n">
        <v>-0.0491999387741089</v>
      </c>
      <c r="F1670" s="15" t="n">
        <v>-0.414400011301041</v>
      </c>
      <c r="G1670" s="15" t="n">
        <v>1.36290001869202</v>
      </c>
      <c r="H1670" s="16">
        <f>C1670+E1670</f>
        <v/>
      </c>
    </row>
    <row r="1671">
      <c r="A1671" s="12" t="n">
        <v>44440</v>
      </c>
      <c r="B1671" s="15" t="n">
        <v>-0.524399973452091</v>
      </c>
      <c r="C1671" s="15" t="n">
        <v>-0.08680000156164169</v>
      </c>
      <c r="D1671" s="15" t="n">
        <v>2.02220010757446</v>
      </c>
      <c r="E1671" s="15" t="n">
        <v>-0.0495001077651978</v>
      </c>
      <c r="F1671" s="15" t="n">
        <v>-0.407099992036819</v>
      </c>
      <c r="G1671" s="15" t="n">
        <v>1.36150002479553</v>
      </c>
      <c r="H1671" s="16">
        <f>C1671+E1671</f>
        <v/>
      </c>
    </row>
    <row r="1672">
      <c r="A1672" s="12" t="n">
        <v>44441</v>
      </c>
      <c r="B1672" s="15" t="n">
        <v>-0.527199983596802</v>
      </c>
      <c r="C1672" s="15" t="n">
        <v>-0.0916000008583069</v>
      </c>
      <c r="D1672" s="15" t="n">
        <v>2.01929998397827</v>
      </c>
      <c r="E1672" s="15" t="n">
        <v>-0.0504999756813049</v>
      </c>
      <c r="F1672" s="15" t="n">
        <v>-0.402799993753433</v>
      </c>
      <c r="G1672" s="15" t="n">
        <v>1.35000002384186</v>
      </c>
      <c r="H1672" s="16">
        <f>C1672+E1672</f>
        <v/>
      </c>
    </row>
    <row r="1673">
      <c r="A1673" s="12" t="n">
        <v>44442</v>
      </c>
      <c r="B1673" s="15" t="n">
        <v>-0.521600022912025</v>
      </c>
      <c r="C1673" s="15" t="n">
        <v>-0.08020000159740449</v>
      </c>
      <c r="D1673" s="15" t="n">
        <v>2.02589988708496</v>
      </c>
      <c r="E1673" s="15" t="n">
        <v>-0.0479999184608459</v>
      </c>
      <c r="F1673" s="15" t="n">
        <v>-0.401199996471405</v>
      </c>
      <c r="G1673" s="15" t="n">
        <v>1.37609994411469</v>
      </c>
      <c r="H1673" s="16">
        <f>C1673+E1673</f>
        <v/>
      </c>
    </row>
    <row r="1674">
      <c r="A1674" s="12" t="n">
        <v>44446</v>
      </c>
      <c r="B1674" s="15" t="n">
        <v>-0.507100030779839</v>
      </c>
      <c r="C1674" s="15" t="n">
        <v>-0.0623999983072281</v>
      </c>
      <c r="D1674" s="15" t="n">
        <v>2.03730010986328</v>
      </c>
      <c r="E1674" s="15" t="n">
        <v>-0.0439000725746155</v>
      </c>
      <c r="F1674" s="15" t="n">
        <v>-0.404700011014938</v>
      </c>
      <c r="G1674" s="15" t="n">
        <v>1.4239000082016</v>
      </c>
      <c r="H1674" s="16">
        <f>C1674+E1674</f>
        <v/>
      </c>
    </row>
    <row r="1675">
      <c r="A1675" s="12" t="n">
        <v>44447</v>
      </c>
      <c r="B1675" s="15" t="n">
        <v>-0.515899993479252</v>
      </c>
      <c r="C1675" s="15" t="n">
        <v>-0.0753000006079674</v>
      </c>
      <c r="D1675" s="15" t="n">
        <v>2.02929997444153</v>
      </c>
      <c r="E1675" s="15" t="n">
        <v>-0.0468000173568726</v>
      </c>
      <c r="F1675" s="15" t="n">
        <v>-0.428600013256073</v>
      </c>
      <c r="G1675" s="15" t="n">
        <v>1.39129996299744</v>
      </c>
      <c r="H1675" s="16">
        <f>C1675+E1675</f>
        <v/>
      </c>
    </row>
    <row r="1676">
      <c r="A1676" s="12" t="n">
        <v>44448</v>
      </c>
      <c r="B1676" s="15" t="n">
        <v>-0.526899993419647</v>
      </c>
      <c r="C1676" s="15" t="n">
        <v>-0.0898000001907349</v>
      </c>
      <c r="D1676" s="15" t="n">
        <v>2.01979994773865</v>
      </c>
      <c r="E1676" s="15" t="n">
        <v>-0.0498999953269958</v>
      </c>
      <c r="F1676" s="15" t="n">
        <v>-0.454699993133545</v>
      </c>
      <c r="G1676" s="15" t="n">
        <v>1.35319995880127</v>
      </c>
      <c r="H1676" s="16">
        <f>C1676+E1676</f>
        <v/>
      </c>
    </row>
    <row r="1677">
      <c r="A1677" s="12" t="n">
        <v>44449</v>
      </c>
      <c r="B1677" s="15" t="n">
        <v>-0.514100030064583</v>
      </c>
      <c r="C1677" s="15" t="n">
        <v>-0.0747999995946884</v>
      </c>
      <c r="D1677" s="15" t="n">
        <v>2.02950000762939</v>
      </c>
      <c r="E1677" s="15" t="n">
        <v>-0.0465999245643616</v>
      </c>
      <c r="F1677" s="15" t="n">
        <v>-0.455599993467331</v>
      </c>
      <c r="G1677" s="15" t="n">
        <v>1.39400005340576</v>
      </c>
      <c r="H1677" s="16">
        <f>C1677+E1677</f>
        <v/>
      </c>
    </row>
    <row r="1678">
      <c r="A1678" s="12" t="n">
        <v>44452</v>
      </c>
      <c r="B1678" s="15" t="n">
        <v>-0.517999976873398</v>
      </c>
      <c r="C1678" s="15" t="n">
        <v>-0.0798999965190887</v>
      </c>
      <c r="D1678" s="15" t="n">
        <v>2.02629995346069</v>
      </c>
      <c r="E1678" s="15" t="n">
        <v>-0.0478000044822693</v>
      </c>
      <c r="F1678" s="15" t="n">
        <v>-0.432300001382828</v>
      </c>
      <c r="G1678" s="15" t="n">
        <v>1.38059997558594</v>
      </c>
      <c r="H1678" s="16">
        <f>C1678+E1678</f>
        <v/>
      </c>
    </row>
    <row r="1679">
      <c r="A1679" s="12" t="n">
        <v>44453</v>
      </c>
      <c r="B1679" s="15" t="n">
        <v>-0.531299985945225</v>
      </c>
      <c r="C1679" s="15" t="n">
        <v>-0.0971999987959862</v>
      </c>
      <c r="D1679" s="15" t="n">
        <v>2.01500010490417</v>
      </c>
      <c r="E1679" s="15" t="n">
        <v>-0.0514000654220581</v>
      </c>
      <c r="F1679" s="15" t="n">
        <v>-0.40939998626709</v>
      </c>
      <c r="G1679" s="15" t="n">
        <v>1.33510005474091</v>
      </c>
      <c r="H1679" s="16">
        <f>C1679+E1679</f>
        <v/>
      </c>
    </row>
    <row r="1680">
      <c r="A1680" s="12" t="n">
        <v>44454</v>
      </c>
      <c r="B1680" s="15" t="n">
        <v>-0.526100009679794</v>
      </c>
      <c r="C1680" s="15" t="n">
        <v>-0.0913999974727631</v>
      </c>
      <c r="D1680" s="15" t="n">
        <v>2.01859998703003</v>
      </c>
      <c r="E1680" s="15" t="n">
        <v>-0.0501000285148621</v>
      </c>
      <c r="F1680" s="15" t="n">
        <v>-0.41609999537468</v>
      </c>
      <c r="G1680" s="15" t="n">
        <v>1.35099995136261</v>
      </c>
      <c r="H1680" s="16">
        <f>C1680+E1680</f>
        <v/>
      </c>
    </row>
    <row r="1681">
      <c r="A1681" s="12" t="n">
        <v>44455</v>
      </c>
      <c r="B1681" s="15" t="n">
        <v>-0.5149999707937239</v>
      </c>
      <c r="C1681" s="15" t="n">
        <v>-0.0768000036478043</v>
      </c>
      <c r="D1681" s="15" t="n">
        <v>2.02749991416931</v>
      </c>
      <c r="E1681" s="15" t="n">
        <v>-0.0466998815536499</v>
      </c>
      <c r="F1681" s="15" t="n">
        <v>-0.414099991321564</v>
      </c>
      <c r="G1681" s="15" t="n">
        <v>1.38900005817413</v>
      </c>
      <c r="H1681" s="16">
        <f>C1681+E1681</f>
        <v/>
      </c>
    </row>
    <row r="1682">
      <c r="A1682" s="12" t="n">
        <v>44456</v>
      </c>
      <c r="B1682" s="15" t="n">
        <v>-0.503900002688169</v>
      </c>
      <c r="C1682" s="15" t="n">
        <v>-0.0615000016987324</v>
      </c>
      <c r="D1682" s="15" t="n">
        <v>2.03670001029968</v>
      </c>
      <c r="E1682" s="15" t="n">
        <v>-0.0430999994277954</v>
      </c>
      <c r="F1682" s="15" t="n">
        <v>-0.39300000667572</v>
      </c>
      <c r="G1682" s="15" t="n">
        <v>1.42820000648499</v>
      </c>
      <c r="H1682" s="16">
        <f>C1682+E1682</f>
        <v/>
      </c>
    </row>
    <row r="1683">
      <c r="A1683" s="12" t="n">
        <v>44459</v>
      </c>
      <c r="B1683" s="15" t="n">
        <v>-0.520500004291534</v>
      </c>
      <c r="C1683" s="15" t="n">
        <v>-0.0837000012397766</v>
      </c>
      <c r="D1683" s="15" t="n">
        <v>2.02279996871948</v>
      </c>
      <c r="E1683" s="15" t="n">
        <v>-0.0480999946594238</v>
      </c>
      <c r="F1683" s="15" t="n">
        <v>-0.367000013589859</v>
      </c>
      <c r="G1683" s="15" t="n">
        <v>1.37049996852875</v>
      </c>
      <c r="H1683" s="16">
        <f>C1683+E1683</f>
        <v/>
      </c>
    </row>
    <row r="1684">
      <c r="A1684" s="12" t="n">
        <v>44460</v>
      </c>
      <c r="B1684" s="15" t="n">
        <v>-0.519499979913235</v>
      </c>
      <c r="C1684" s="15" t="n">
        <v>-0.0806000009179115</v>
      </c>
      <c r="D1684" s="15" t="n">
        <v>2.02430009841919</v>
      </c>
      <c r="E1684" s="15" t="n">
        <v>-0.0473001599311829</v>
      </c>
      <c r="F1684" s="15" t="n">
        <v>-0.363499999046326</v>
      </c>
      <c r="G1684" s="15" t="n">
        <v>1.37689995765686</v>
      </c>
      <c r="H1684" s="16">
        <f>C1684+E1684</f>
        <v/>
      </c>
    </row>
    <row r="1685">
      <c r="A1685" s="12" t="n">
        <v>44461</v>
      </c>
      <c r="B1685" s="15" t="n">
        <v>-0.517699994146824</v>
      </c>
      <c r="C1685" s="15" t="n">
        <v>-0.0838999971747398</v>
      </c>
      <c r="D1685" s="15" t="n">
        <v>2.02250003814697</v>
      </c>
      <c r="E1685" s="15" t="n">
        <v>-0.0479000210762024</v>
      </c>
      <c r="F1685" s="15" t="n">
        <v>-0.34799998998642</v>
      </c>
      <c r="G1685" s="15" t="n">
        <v>1.37300002574921</v>
      </c>
      <c r="H1685" s="16">
        <f>C1685+E1685</f>
        <v/>
      </c>
    </row>
    <row r="1686">
      <c r="A1686" s="12" t="n">
        <v>44462</v>
      </c>
      <c r="B1686" s="15" t="n">
        <v>-0.492899999022484</v>
      </c>
      <c r="C1686" s="15" t="n">
        <v>-0.0502000004053116</v>
      </c>
      <c r="D1686" s="15" t="n">
        <v>2.042799949646</v>
      </c>
      <c r="E1686" s="15" t="n">
        <v>-0.0398999452590942</v>
      </c>
      <c r="F1686" s="15" t="n">
        <v>-0.35479998588562</v>
      </c>
      <c r="G1686" s="15" t="n">
        <v>1.45980000495911</v>
      </c>
      <c r="H1686" s="16">
        <f>C1686+E1686</f>
        <v/>
      </c>
    </row>
    <row r="1687">
      <c r="A1687" s="12" t="n">
        <v>44463</v>
      </c>
      <c r="B1687" s="15" t="n">
        <v>-0.475899994373322</v>
      </c>
      <c r="C1687" s="15" t="n">
        <v>-0.0273000001907349</v>
      </c>
      <c r="D1687" s="15" t="n">
        <v>2.05710005760193</v>
      </c>
      <c r="E1687" s="15" t="n">
        <v>-0.0349000096321106</v>
      </c>
      <c r="F1687" s="15" t="n">
        <v>-0.349200010299683</v>
      </c>
      <c r="G1687" s="15" t="n">
        <v>1.51900005340576</v>
      </c>
      <c r="H1687" s="16">
        <f>C1687+E1687</f>
        <v/>
      </c>
    </row>
    <row r="1688">
      <c r="A1688" s="12" t="n">
        <v>44466</v>
      </c>
      <c r="B1688" s="15" t="n">
        <v>-0.469599986448884</v>
      </c>
      <c r="C1688" s="15" t="n">
        <v>-0.0189999993890524</v>
      </c>
      <c r="D1688" s="15" t="n">
        <v>2.06220006942749</v>
      </c>
      <c r="E1688" s="15" t="n">
        <v>-0.0329001247882843</v>
      </c>
      <c r="F1688" s="15" t="n">
        <v>-0.366800010204315</v>
      </c>
      <c r="G1688" s="15" t="n">
        <v>1.54069995880127</v>
      </c>
      <c r="H1688" s="16">
        <f>C1688+E1688</f>
        <v/>
      </c>
    </row>
    <row r="1689">
      <c r="A1689" s="12" t="n">
        <v>44467</v>
      </c>
      <c r="B1689" s="15" t="n">
        <v>-0.453200007788837</v>
      </c>
      <c r="C1689" s="15" t="n">
        <v>0.00380000006407499</v>
      </c>
      <c r="D1689" s="15" t="n">
        <v>2.07669997215271</v>
      </c>
      <c r="E1689" s="15" t="n">
        <v>-0.0279999375343323</v>
      </c>
      <c r="F1689" s="15" t="n">
        <v>-0.375499993562698</v>
      </c>
      <c r="G1689" s="15" t="n">
        <v>1.59930002689362</v>
      </c>
      <c r="H1689" s="16">
        <f>C1689+E1689</f>
        <v/>
      </c>
    </row>
    <row r="1690">
      <c r="A1690" s="12" t="n">
        <v>44468</v>
      </c>
      <c r="B1690" s="15" t="n">
        <v>-0.45200000423938</v>
      </c>
      <c r="C1690" s="15" t="n">
        <v>0.0115999998524785</v>
      </c>
      <c r="D1690" s="15" t="n">
        <v>2.08119988441467</v>
      </c>
      <c r="E1690" s="15" t="n">
        <v>-0.0262998342514038</v>
      </c>
      <c r="F1690" s="15" t="n">
        <v>-0.365000009536743</v>
      </c>
      <c r="G1690" s="15" t="n">
        <v>1.61450004577637</v>
      </c>
      <c r="H1690" s="16">
        <f>C1690+E1690</f>
        <v/>
      </c>
    </row>
    <row r="1691">
      <c r="A1691" s="12" t="n">
        <v>44469</v>
      </c>
      <c r="B1691" s="15" t="n">
        <v>-0.459700010484084</v>
      </c>
      <c r="C1691" s="15" t="n">
        <v>0.00310000008903444</v>
      </c>
      <c r="D1691" s="15" t="n">
        <v>2.07599997520447</v>
      </c>
      <c r="E1691" s="15" t="n">
        <v>-0.0282999873161316</v>
      </c>
      <c r="F1691" s="15" t="n">
        <v>-0.370599985122681</v>
      </c>
      <c r="G1691" s="15" t="n">
        <v>1.59109997749329</v>
      </c>
      <c r="H1691" s="16">
        <f>C1691+E1691</f>
        <v/>
      </c>
    </row>
    <row r="1692">
      <c r="A1692" s="12" t="n">
        <v>44470</v>
      </c>
      <c r="B1692" s="15" t="n">
        <v>-0.47359998524189</v>
      </c>
      <c r="C1692" s="15" t="n">
        <v>-0.0141000002622604</v>
      </c>
      <c r="D1692" s="15" t="n">
        <v>2.06559991836548</v>
      </c>
      <c r="E1692" s="15" t="n">
        <v>-0.0323998928070068</v>
      </c>
      <c r="F1692" s="15" t="n">
        <v>-0.384200006723404</v>
      </c>
      <c r="G1692" s="15" t="n">
        <v>1.54550004005432</v>
      </c>
      <c r="H1692" s="16">
        <f>C1692+E1692</f>
        <v/>
      </c>
    </row>
    <row r="1693">
      <c r="A1693" s="12" t="n">
        <v>44473</v>
      </c>
      <c r="B1693" s="15" t="n">
        <v>-0.468300005421042</v>
      </c>
      <c r="C1693" s="15" t="n">
        <v>-0.0109000001102686</v>
      </c>
      <c r="D1693" s="15" t="n">
        <v>2.0683000087738</v>
      </c>
      <c r="E1693" s="15" t="n">
        <v>-0.0318000316619873</v>
      </c>
      <c r="F1693" s="15" t="n">
        <v>-0.383899986743927</v>
      </c>
      <c r="G1693" s="15" t="n">
        <v>1.55729997158051</v>
      </c>
      <c r="H1693" s="16">
        <f>C1693+E1693</f>
        <v/>
      </c>
    </row>
    <row r="1694">
      <c r="A1694" s="12" t="n">
        <v>44474</v>
      </c>
      <c r="B1694" s="15" t="n">
        <v>-0.45650000218302</v>
      </c>
      <c r="C1694" s="15" t="n">
        <v>0.00389999989420176</v>
      </c>
      <c r="D1694" s="15" t="n">
        <v>2.07760000228882</v>
      </c>
      <c r="E1694" s="15" t="n">
        <v>-0.0283999443054199</v>
      </c>
      <c r="F1694" s="15" t="n">
        <v>-0.423799991607666</v>
      </c>
      <c r="G1694" s="15" t="n">
        <v>1.59660005569458</v>
      </c>
      <c r="H1694" s="16">
        <f>C1694+E1694</f>
        <v/>
      </c>
    </row>
    <row r="1695">
      <c r="A1695" s="12" t="n">
        <v>44475</v>
      </c>
      <c r="B1695" s="15" t="n">
        <v>-0.455700011923909</v>
      </c>
      <c r="C1695" s="15" t="n">
        <v>0.00430000014603138</v>
      </c>
      <c r="D1695" s="15" t="n">
        <v>2.07769989967346</v>
      </c>
      <c r="E1695" s="15" t="n">
        <v>-0.0282998383045197</v>
      </c>
      <c r="F1695" s="15" t="n">
        <v>-0.41159999370575</v>
      </c>
      <c r="G1695" s="15" t="n">
        <v>1.59800004959106</v>
      </c>
      <c r="H1695" s="16">
        <f>C1695+E1695</f>
        <v/>
      </c>
    </row>
    <row r="1696">
      <c r="A1696" s="12" t="n">
        <v>44476</v>
      </c>
      <c r="B1696" s="15" t="n">
        <v>-0.442899990826845</v>
      </c>
      <c r="C1696" s="15" t="n">
        <v>0.0208999998867512</v>
      </c>
      <c r="D1696" s="15" t="n">
        <v>2.08800005912781</v>
      </c>
      <c r="E1696" s="15" t="n">
        <v>-0.0245000720024109</v>
      </c>
      <c r="F1696" s="15" t="n">
        <v>-0.42509999871254</v>
      </c>
      <c r="G1696" s="15" t="n">
        <v>1.6414999961853</v>
      </c>
      <c r="H1696" s="16">
        <f>C1696+E1696</f>
        <v/>
      </c>
    </row>
    <row r="1697">
      <c r="A1697" s="12" t="n">
        <v>44477</v>
      </c>
      <c r="B1697" s="15" t="n">
        <v>-0.432000003755093</v>
      </c>
      <c r="C1697" s="15" t="n">
        <v>0.033100001513958</v>
      </c>
      <c r="D1697" s="15" t="n">
        <v>2.09590005874634</v>
      </c>
      <c r="E1697" s="15" t="n">
        <v>-0.0218000710010529</v>
      </c>
      <c r="F1697" s="15" t="n">
        <v>-0.444499999284744</v>
      </c>
      <c r="G1697" s="15" t="n">
        <v>1.67519998550415</v>
      </c>
      <c r="H1697" s="16">
        <f>C1697+E1697</f>
        <v/>
      </c>
    </row>
    <row r="1698">
      <c r="A1698" s="12" t="n">
        <v>44481</v>
      </c>
      <c r="B1698" s="15" t="n">
        <v>-0.434899996966124</v>
      </c>
      <c r="C1698" s="15" t="n">
        <v>0.0258000008761883</v>
      </c>
      <c r="D1698" s="15" t="n">
        <v>2.09069991111755</v>
      </c>
      <c r="E1698" s="15" t="n">
        <v>-0.0228999257087708</v>
      </c>
      <c r="F1698" s="15" t="n">
        <v>-0.436300009489059</v>
      </c>
      <c r="G1698" s="15" t="n">
        <v>1.65869998931885</v>
      </c>
      <c r="H1698" s="16">
        <f>C1698+E1698</f>
        <v/>
      </c>
    </row>
    <row r="1699">
      <c r="A1699" s="12" t="n">
        <v>44482</v>
      </c>
      <c r="B1699" s="15" t="n">
        <v>-0.441899991594255</v>
      </c>
      <c r="C1699" s="15" t="n">
        <v>0.0102000003680587</v>
      </c>
      <c r="D1699" s="15" t="n">
        <v>2.08060002326965</v>
      </c>
      <c r="E1699" s="15" t="n">
        <v>-0.0261000394821167</v>
      </c>
      <c r="F1699" s="15" t="n">
        <v>-0.465999990701675</v>
      </c>
      <c r="G1699" s="15" t="n">
        <v>1.62279999256134</v>
      </c>
      <c r="H1699" s="16">
        <f>C1699+E1699</f>
        <v/>
      </c>
    </row>
    <row r="1700">
      <c r="A1700" s="12" t="n">
        <v>44483</v>
      </c>
      <c r="B1700" s="15" t="n">
        <v>-0.45390000147745</v>
      </c>
      <c r="C1700" s="15" t="n">
        <v>-0.00570000009611249</v>
      </c>
      <c r="D1700" s="15" t="n">
        <v>2.07039999961853</v>
      </c>
      <c r="E1700" s="15" t="n">
        <v>-0.0295999944210052</v>
      </c>
      <c r="F1700" s="15" t="n">
        <v>-0.480100005865097</v>
      </c>
      <c r="G1700" s="15" t="n">
        <v>1.58120000362396</v>
      </c>
      <c r="H1700" s="16">
        <f>C1700+E1700</f>
        <v/>
      </c>
    </row>
    <row r="1701">
      <c r="A1701" s="12" t="n">
        <v>44484</v>
      </c>
      <c r="B1701" s="15" t="n">
        <v>-0.43359999358654</v>
      </c>
      <c r="C1701" s="15" t="n">
        <v>0.0159000009298325</v>
      </c>
      <c r="D1701" s="15" t="n">
        <v>2.08369994163513</v>
      </c>
      <c r="E1701" s="15" t="n">
        <v>-0.0242999196052551</v>
      </c>
      <c r="F1701" s="15" t="n">
        <v>-0.482499986886978</v>
      </c>
      <c r="G1701" s="15" t="n">
        <v>1.64170002937317</v>
      </c>
      <c r="H1701" s="16">
        <f>C1701+E1701</f>
        <v/>
      </c>
    </row>
    <row r="1702">
      <c r="A1702" s="12" t="n">
        <v>44487</v>
      </c>
      <c r="B1702" s="15" t="n">
        <v>-0.429900007322431</v>
      </c>
      <c r="C1702" s="15" t="n">
        <v>0.0175000000745058</v>
      </c>
      <c r="D1702" s="15" t="n">
        <v>2.08419990539551</v>
      </c>
      <c r="E1702" s="15" t="n">
        <v>-0.0235998630523682</v>
      </c>
      <c r="F1702" s="15" t="n">
        <v>-0.462099999189377</v>
      </c>
      <c r="G1702" s="15" t="n">
        <v>1.64820003509521</v>
      </c>
      <c r="H1702" s="16">
        <f>C1702+E1702</f>
        <v/>
      </c>
    </row>
    <row r="1703">
      <c r="A1703" s="12" t="n">
        <v>44488</v>
      </c>
      <c r="B1703" s="15" t="n">
        <v>-0.418400008231401</v>
      </c>
      <c r="C1703" s="15" t="n">
        <v>0.0375999994575977</v>
      </c>
      <c r="D1703" s="15" t="n">
        <v>2.09640002250671</v>
      </c>
      <c r="E1703" s="15" t="n">
        <v>-0.0191000699996948</v>
      </c>
      <c r="F1703" s="15" t="n">
        <v>-0.44870001077652</v>
      </c>
      <c r="G1703" s="15" t="n">
        <v>1.69649994373322</v>
      </c>
      <c r="H1703" s="16">
        <f>C1703+E1703</f>
        <v/>
      </c>
    </row>
    <row r="1704">
      <c r="A1704" s="12" t="n">
        <v>44489</v>
      </c>
      <c r="B1704" s="15" t="n">
        <v>-0.419699985533953</v>
      </c>
      <c r="C1704" s="15" t="n">
        <v>0.0384999997913837</v>
      </c>
      <c r="D1704" s="15" t="n">
        <v>2.09669995307922</v>
      </c>
      <c r="E1704" s="15" t="n">
        <v>-0.0189000070095062</v>
      </c>
      <c r="F1704" s="15" t="n">
        <v>-0.481099992990494</v>
      </c>
      <c r="G1704" s="15" t="n">
        <v>1.69659996032715</v>
      </c>
      <c r="H1704" s="16">
        <f>C1704+E1704</f>
        <v/>
      </c>
    </row>
    <row r="1705">
      <c r="A1705" s="12" t="n">
        <v>44490</v>
      </c>
      <c r="B1705" s="15" t="n">
        <v>-0.406399995088577</v>
      </c>
      <c r="C1705" s="15" t="n">
        <v>0.0494000017642975</v>
      </c>
      <c r="D1705" s="15" t="n">
        <v>2.103600025177</v>
      </c>
      <c r="E1705" s="15" t="n">
        <v>-0.016200065612793</v>
      </c>
      <c r="F1705" s="15" t="n">
        <v>-0.541000008583069</v>
      </c>
      <c r="G1705" s="15" t="n">
        <v>1.73039996623993</v>
      </c>
      <c r="H1705" s="16">
        <f>C1705+E1705</f>
        <v/>
      </c>
    </row>
    <row r="1706">
      <c r="A1706" s="12" t="n">
        <v>44491</v>
      </c>
      <c r="B1706" s="15" t="n">
        <v>-0.409300003200769</v>
      </c>
      <c r="C1706" s="15" t="n">
        <v>0.0401999987661839</v>
      </c>
      <c r="D1706" s="15" t="n">
        <v>2.09809994697571</v>
      </c>
      <c r="E1706" s="15" t="n">
        <v>-0.0181998908519745</v>
      </c>
      <c r="F1706" s="15" t="n">
        <v>-0.5390999913215641</v>
      </c>
      <c r="G1706" s="15" t="n">
        <v>1.71080005168915</v>
      </c>
      <c r="H1706" s="16">
        <f>C1706+E1706</f>
        <v/>
      </c>
    </row>
    <row r="1707">
      <c r="A1707" s="12" t="n">
        <v>44494</v>
      </c>
      <c r="B1707" s="15" t="n">
        <v>-0.418500002473593</v>
      </c>
      <c r="C1707" s="15" t="n">
        <v>0.0320000015199184</v>
      </c>
      <c r="D1707" s="15" t="n">
        <v>2.09249997138977</v>
      </c>
      <c r="E1707" s="15" t="n">
        <v>-0.0198999643325806</v>
      </c>
      <c r="F1707" s="15" t="n">
        <v>-0.570500016212463</v>
      </c>
      <c r="G1707" s="15" t="n">
        <v>1.68610000610352</v>
      </c>
      <c r="H1707" s="16">
        <f>C1707+E1707</f>
        <v/>
      </c>
    </row>
    <row r="1708">
      <c r="A1708" s="12" t="n">
        <v>44495</v>
      </c>
      <c r="B1708" s="15" t="n">
        <v>-0.421199994161725</v>
      </c>
      <c r="C1708" s="15" t="n">
        <v>0.0263000000268221</v>
      </c>
      <c r="D1708" s="15" t="n">
        <v>2.08879995346069</v>
      </c>
      <c r="E1708" s="15" t="n">
        <v>-0.0209999978542328</v>
      </c>
      <c r="F1708" s="15" t="n">
        <v>-0.595399975776672</v>
      </c>
      <c r="G1708" s="15" t="n">
        <v>1.67289996147156</v>
      </c>
      <c r="H1708" s="16">
        <f>C1708+E1708</f>
        <v/>
      </c>
    </row>
    <row r="1709">
      <c r="A1709" s="12" t="n">
        <v>44496</v>
      </c>
      <c r="B1709" s="15" t="n">
        <v>-0.438900005538017</v>
      </c>
      <c r="C1709" s="15" t="n">
        <v>-0.00510000018402934</v>
      </c>
      <c r="D1709" s="15" t="n">
        <v>2.06979990005493</v>
      </c>
      <c r="E1709" s="15" t="n">
        <v>-0.0279998779296875</v>
      </c>
      <c r="F1709" s="15" t="n">
        <v>-0.6015999913215641</v>
      </c>
      <c r="G1709" s="15" t="n">
        <v>1.5978000164032</v>
      </c>
      <c r="H1709" s="16">
        <f>C1709+E1709</f>
        <v/>
      </c>
    </row>
    <row r="1710">
      <c r="A1710" s="12" t="n">
        <v>44497</v>
      </c>
      <c r="B1710" s="15" t="n">
        <v>-0.4270000141114</v>
      </c>
      <c r="C1710" s="15" t="n">
        <v>0.0132999997586012</v>
      </c>
      <c r="D1710" s="15" t="n">
        <v>2.0806999206543</v>
      </c>
      <c r="E1710" s="15" t="n">
        <v>-0.023799866437912</v>
      </c>
      <c r="F1710" s="15" t="n">
        <v>-0.530799984931946</v>
      </c>
      <c r="G1710" s="15" t="n">
        <v>1.64320003986359</v>
      </c>
      <c r="H1710" s="16">
        <f>C1710+E1710</f>
        <v/>
      </c>
    </row>
    <row r="1711">
      <c r="A1711" s="12" t="n">
        <v>44498</v>
      </c>
      <c r="B1711" s="15" t="n">
        <v>-0.428099999204278</v>
      </c>
      <c r="C1711" s="15" t="n">
        <v>0.0118000004440546</v>
      </c>
      <c r="D1711" s="15" t="n">
        <v>2.08010005950928</v>
      </c>
      <c r="E1711" s="15" t="n">
        <v>-0.0242000222206116</v>
      </c>
      <c r="F1711" s="15" t="n">
        <v>-0.5011000037193299</v>
      </c>
      <c r="G1711" s="15" t="n">
        <v>1.63960003852844</v>
      </c>
      <c r="H1711" s="16">
        <f>C1711+E1711</f>
        <v/>
      </c>
    </row>
    <row r="1712">
      <c r="A1712" s="12" t="n">
        <v>44501</v>
      </c>
      <c r="B1712" s="15" t="n">
        <v>-0.421699993312359</v>
      </c>
      <c r="C1712" s="15" t="n">
        <v>0.0207000002264977</v>
      </c>
      <c r="D1712" s="15" t="n">
        <v>2.08529996871948</v>
      </c>
      <c r="E1712" s="15" t="n">
        <v>-0.0221000015735626</v>
      </c>
      <c r="F1712" s="15" t="n">
        <v>-0.480199992656708</v>
      </c>
      <c r="G1712" s="15" t="n">
        <v>1.66219997406006</v>
      </c>
      <c r="H1712" s="16">
        <f>C1712+E1712</f>
        <v/>
      </c>
    </row>
    <row r="1713">
      <c r="A1713" s="12" t="n">
        <v>44502</v>
      </c>
      <c r="B1713" s="15" t="n">
        <v>-0.434599987231195</v>
      </c>
      <c r="C1713" s="15" t="n">
        <v>0.00490000005811453</v>
      </c>
      <c r="D1713" s="15" t="n">
        <v>2.0757999420166</v>
      </c>
      <c r="E1713" s="15" t="n">
        <v>-0.0258999168872833</v>
      </c>
      <c r="F1713" s="15" t="n">
        <v>-0.483799993991852</v>
      </c>
      <c r="G1713" s="15" t="n">
        <v>1.62020003795624</v>
      </c>
      <c r="H1713" s="16">
        <f>C1713+E1713</f>
        <v/>
      </c>
    </row>
    <row r="1714">
      <c r="A1714" s="12" t="n">
        <v>44503</v>
      </c>
      <c r="B1714" s="15" t="n">
        <v>-0.42230000346899</v>
      </c>
      <c r="C1714" s="15" t="n">
        <v>0.0188999995589256</v>
      </c>
      <c r="D1714" s="15" t="n">
        <v>2.08480000495911</v>
      </c>
      <c r="E1714" s="15" t="n">
        <v>-0.0227000117301941</v>
      </c>
      <c r="F1714" s="15" t="n">
        <v>-0.486799985170364</v>
      </c>
      <c r="G1714" s="15" t="n">
        <v>1.65869998931885</v>
      </c>
      <c r="H1714" s="16">
        <f>C1714+E1714</f>
        <v/>
      </c>
    </row>
    <row r="1715">
      <c r="A1715" s="12" t="n">
        <v>44504</v>
      </c>
      <c r="B1715" s="15" t="n">
        <v>-0.447699987329543</v>
      </c>
      <c r="C1715" s="15" t="n">
        <v>-0.0102000003680587</v>
      </c>
      <c r="D1715" s="15" t="n">
        <v>2.06669998168945</v>
      </c>
      <c r="E1715" s="15" t="n">
        <v>-0.0295999646186829</v>
      </c>
      <c r="F1715" s="15" t="n">
        <v>-0.528599977493286</v>
      </c>
      <c r="G1715" s="15" t="n">
        <v>1.57920002937317</v>
      </c>
      <c r="H1715" s="16">
        <f>C1715+E1715</f>
        <v/>
      </c>
    </row>
    <row r="1716">
      <c r="A1716" s="12" t="n">
        <v>44505</v>
      </c>
      <c r="B1716" s="15" t="n">
        <v>-0.468199979513884</v>
      </c>
      <c r="C1716" s="15" t="n">
        <v>-0.0384999997913837</v>
      </c>
      <c r="D1716" s="15" t="n">
        <v>2.04949998855591</v>
      </c>
      <c r="E1716" s="15" t="n">
        <v>-0.0360999703407288</v>
      </c>
      <c r="F1716" s="15" t="n">
        <v>-0.54009997844696</v>
      </c>
      <c r="G1716" s="15" t="n">
        <v>1.50670003890991</v>
      </c>
      <c r="H1716" s="16">
        <f>C1716+E1716</f>
        <v/>
      </c>
    </row>
    <row r="1717">
      <c r="A1717" s="12" t="n">
        <v>44508</v>
      </c>
      <c r="B1717" s="15" t="n">
        <v>-0.448500005528331</v>
      </c>
      <c r="C1717" s="15" t="n">
        <v>-0.0200999993830919</v>
      </c>
      <c r="D1717" s="15" t="n">
        <v>2.06119990348816</v>
      </c>
      <c r="E1717" s="15" t="n">
        <v>-0.031699925661087</v>
      </c>
      <c r="F1717" s="15" t="n">
        <v>-0.578299999237061</v>
      </c>
      <c r="G1717" s="15" t="n">
        <v>1.56089997291565</v>
      </c>
      <c r="H1717" s="16">
        <f>C1717+E1717</f>
        <v/>
      </c>
    </row>
    <row r="1718">
      <c r="A1718" s="12" t="n">
        <v>44509</v>
      </c>
      <c r="B1718" s="15" t="n">
        <v>-0.466999974101782</v>
      </c>
      <c r="C1718" s="15" t="n">
        <v>-0.0410999990999699</v>
      </c>
      <c r="D1718" s="15" t="n">
        <v>2.04719996452332</v>
      </c>
      <c r="E1718" s="15" t="n">
        <v>-0.0361999869346619</v>
      </c>
      <c r="F1718" s="15" t="n">
        <v>-0.602999985218048</v>
      </c>
      <c r="G1718" s="15" t="n">
        <v>1.5029000043869</v>
      </c>
      <c r="H1718" s="16">
        <f>C1718+E1718</f>
        <v/>
      </c>
    </row>
    <row r="1719">
      <c r="A1719" s="12" t="n">
        <v>44510</v>
      </c>
      <c r="B1719" s="15" t="n">
        <v>-0.428699990967289</v>
      </c>
      <c r="C1719" s="15" t="n">
        <v>-0.00209999992512167</v>
      </c>
      <c r="D1719" s="15" t="n">
        <v>2.07179999351501</v>
      </c>
      <c r="E1719" s="15" t="n">
        <v>-0.0270000398159027</v>
      </c>
      <c r="F1719" s="15" t="n">
        <v>-0.640200018882751</v>
      </c>
      <c r="G1719" s="15" t="n">
        <v>1.6139999628067</v>
      </c>
      <c r="H1719" s="16">
        <f>C1719+E1719</f>
        <v/>
      </c>
    </row>
    <row r="1720">
      <c r="A1720" s="12" t="n">
        <v>44512</v>
      </c>
      <c r="B1720" s="15" t="n">
        <v>-0.422800005879253</v>
      </c>
      <c r="C1720" s="15" t="n">
        <v>0.0052000000141561</v>
      </c>
      <c r="D1720" s="15" t="n">
        <v>2.07570004463196</v>
      </c>
      <c r="E1720" s="15" t="n">
        <v>-0.0250000059604645</v>
      </c>
      <c r="F1720" s="15" t="n">
        <v>-0.667100012302399</v>
      </c>
      <c r="G1720" s="15" t="n">
        <v>1.6331000328064</v>
      </c>
      <c r="H1720" s="16">
        <f>C1720+E1720</f>
        <v/>
      </c>
    </row>
    <row r="1721">
      <c r="A1721" s="12" t="n">
        <v>44515</v>
      </c>
      <c r="B1721" s="15" t="n">
        <v>-0.412099998444319</v>
      </c>
      <c r="C1721" s="15" t="n">
        <v>0.0240000002086163</v>
      </c>
      <c r="D1721" s="15" t="n">
        <v>2.0864999294281</v>
      </c>
      <c r="E1721" s="15" t="n">
        <v>-0.0205998718738556</v>
      </c>
      <c r="F1721" s="15" t="n">
        <v>-0.697399973869324</v>
      </c>
      <c r="G1721" s="15" t="n">
        <v>1.67780005931854</v>
      </c>
      <c r="H1721" s="16">
        <f>C1721+E1721</f>
        <v/>
      </c>
    </row>
    <row r="1722">
      <c r="A1722" s="12" t="n">
        <v>44516</v>
      </c>
      <c r="B1722" s="15" t="n">
        <v>-0.406300004571676</v>
      </c>
      <c r="C1722" s="15" t="n">
        <v>0.0320000015199184</v>
      </c>
      <c r="D1722" s="15" t="n">
        <v>2.09170007705688</v>
      </c>
      <c r="E1722" s="15" t="n">
        <v>-0.0189000368118286</v>
      </c>
      <c r="F1722" s="15" t="n">
        <v>-0.68529999256134</v>
      </c>
      <c r="G1722" s="15" t="n">
        <v>1.6985000371933</v>
      </c>
      <c r="H1722" s="16">
        <f>C1722+E1722</f>
        <v/>
      </c>
    </row>
    <row r="1723">
      <c r="A1723" s="12" t="n">
        <v>44517</v>
      </c>
      <c r="B1723" s="15" t="n">
        <v>-0.414899989962578</v>
      </c>
      <c r="C1723" s="15" t="n">
        <v>0.0238000005483627</v>
      </c>
      <c r="D1723" s="15" t="n">
        <v>2.08619999885559</v>
      </c>
      <c r="E1723" s="15" t="n">
        <v>-0.0207000374794006</v>
      </c>
      <c r="F1723" s="15" t="n">
        <v>-0.671700000762939</v>
      </c>
      <c r="G1723" s="15" t="n">
        <v>1.67439997196198</v>
      </c>
      <c r="H1723" s="16">
        <f>C1723+E1723</f>
        <v/>
      </c>
    </row>
    <row r="1724">
      <c r="A1724" s="12" t="n">
        <v>44518</v>
      </c>
      <c r="B1724" s="15" t="n">
        <v>-0.421200014650822</v>
      </c>
      <c r="C1724" s="15" t="n">
        <v>0.0153999999165535</v>
      </c>
      <c r="D1724" s="15" t="n">
        <v>2.08100008964539</v>
      </c>
      <c r="E1724" s="15" t="n">
        <v>-0.0226000249385834</v>
      </c>
      <c r="F1724" s="15" t="n">
        <v>-0.663800001144409</v>
      </c>
      <c r="G1724" s="15" t="n">
        <v>1.65260004997253</v>
      </c>
      <c r="H1724" s="16">
        <f>C1724+E1724</f>
        <v/>
      </c>
    </row>
    <row r="1725">
      <c r="A1725" s="12" t="n">
        <v>44519</v>
      </c>
      <c r="B1725" s="15" t="n">
        <v>-0.428400002769195</v>
      </c>
      <c r="C1725" s="15" t="n">
        <v>0.00130000000353903</v>
      </c>
      <c r="D1725" s="15" t="n">
        <v>2.07229995727539</v>
      </c>
      <c r="E1725" s="15" t="n">
        <v>-0.0255998969078064</v>
      </c>
      <c r="F1725" s="15" t="n">
        <v>-0.625299990177155</v>
      </c>
      <c r="G1725" s="15" t="n">
        <v>1.61960005760193</v>
      </c>
      <c r="H1725" s="16">
        <f>C1725+E1725</f>
        <v/>
      </c>
    </row>
    <row r="1726">
      <c r="A1726" s="12" t="n">
        <v>44522</v>
      </c>
      <c r="B1726" s="15" t="n">
        <v>-0.397100005298853</v>
      </c>
      <c r="C1726" s="15" t="n">
        <v>0.0350000001490116</v>
      </c>
      <c r="D1726" s="15" t="n">
        <v>2.09360003471375</v>
      </c>
      <c r="E1726" s="15" t="n">
        <v>-0.017799973487854</v>
      </c>
      <c r="F1726" s="15" t="n">
        <v>-0.559599995613098</v>
      </c>
      <c r="G1726" s="15" t="n">
        <v>1.71370005607605</v>
      </c>
      <c r="H1726" s="16">
        <f>C1726+E1726</f>
        <v/>
      </c>
    </row>
    <row r="1727">
      <c r="A1727" s="12" t="n">
        <v>44523</v>
      </c>
      <c r="B1727" s="15" t="n">
        <v>-0.390799984335899</v>
      </c>
      <c r="C1727" s="15" t="n">
        <v>0.0456999987363815</v>
      </c>
      <c r="D1727" s="15" t="n">
        <v>2.09980010986328</v>
      </c>
      <c r="E1727" s="15" t="n">
        <v>-0.0153000950813293</v>
      </c>
      <c r="F1727" s="15" t="n">
        <v>-0.554000020027161</v>
      </c>
      <c r="G1727" s="15" t="n">
        <v>1.73940002918243</v>
      </c>
      <c r="H1727" s="16">
        <f>C1727+E1727</f>
        <v/>
      </c>
    </row>
    <row r="1728">
      <c r="A1728" s="12" t="n">
        <v>44524</v>
      </c>
      <c r="B1728" s="15" t="n">
        <v>-0.391600012779236</v>
      </c>
      <c r="C1728" s="15" t="n">
        <v>0.0342999994754791</v>
      </c>
      <c r="D1728" s="15" t="n">
        <v>2.09389996528625</v>
      </c>
      <c r="E1728" s="15" t="n">
        <v>-0.0178000032901764</v>
      </c>
      <c r="F1728" s="15" t="n">
        <v>-0.569199979305267</v>
      </c>
      <c r="G1728" s="15" t="n">
        <v>1.71879994869232</v>
      </c>
      <c r="H1728" s="16">
        <f>C1728+E1728</f>
        <v/>
      </c>
    </row>
    <row r="1729">
      <c r="A1729" s="12" t="n">
        <v>44526</v>
      </c>
      <c r="B1729" s="15" t="n">
        <v>-0.442299995571375</v>
      </c>
      <c r="C1729" s="15" t="n">
        <v>-0.0274999998509884</v>
      </c>
      <c r="D1729" s="15" t="n">
        <v>2.05579996109009</v>
      </c>
      <c r="E1729" s="15" t="n">
        <v>-0.0322999954223633</v>
      </c>
      <c r="F1729" s="15" t="n">
        <v>-0.545199990272522</v>
      </c>
      <c r="G1729" s="15" t="n">
        <v>1.55369997024536</v>
      </c>
      <c r="H1729" s="16">
        <f>C1729+E1729</f>
        <v/>
      </c>
    </row>
    <row r="1730">
      <c r="A1730" s="12" t="n">
        <v>44529</v>
      </c>
      <c r="B1730" s="15" t="n">
        <v>-0.433899998664856</v>
      </c>
      <c r="C1730" s="15" t="n">
        <v>-0.0166999995708466</v>
      </c>
      <c r="D1730" s="15" t="n">
        <v>2.06340003013611</v>
      </c>
      <c r="E1730" s="15" t="n">
        <v>-0.0302000343799591</v>
      </c>
      <c r="F1730" s="15" t="n">
        <v>-0.5278999805450439</v>
      </c>
      <c r="G1730" s="15" t="n">
        <v>1.58259999752045</v>
      </c>
      <c r="H1730" s="16">
        <f>C1730+E1730</f>
        <v/>
      </c>
    </row>
    <row r="1731">
      <c r="A1731" s="12" t="n">
        <v>44530</v>
      </c>
      <c r="B1731" s="15" t="n">
        <v>-0.451500009745359</v>
      </c>
      <c r="C1731" s="15" t="n">
        <v>-0.0430000014603138</v>
      </c>
      <c r="D1731" s="15" t="n">
        <v>2.04730010032654</v>
      </c>
      <c r="E1731" s="15" t="n">
        <v>-0.0361000597476959</v>
      </c>
      <c r="F1731" s="15" t="n">
        <v>-0.495299994945526</v>
      </c>
      <c r="G1731" s="15" t="n">
        <v>1.51670002937317</v>
      </c>
      <c r="H1731" s="16">
        <f>C1731+E1731</f>
        <v/>
      </c>
    </row>
    <row r="1732">
      <c r="A1732" s="12" t="n">
        <v>44531</v>
      </c>
      <c r="B1732" s="15" t="n">
        <v>-0.44820000231266</v>
      </c>
      <c r="C1732" s="15" t="n">
        <v>-0.0405000001192093</v>
      </c>
      <c r="D1732" s="15" t="n">
        <v>2.0492000579834</v>
      </c>
      <c r="E1732" s="15" t="n">
        <v>-0.0356000959873199</v>
      </c>
      <c r="F1732" s="15" t="n">
        <v>-0.41159999370575</v>
      </c>
      <c r="G1732" s="15" t="n">
        <v>1.52489995956421</v>
      </c>
      <c r="H1732" s="16">
        <f>C1732+E1732</f>
        <v/>
      </c>
    </row>
    <row r="1733">
      <c r="A1733" s="12" t="n">
        <v>44532</v>
      </c>
      <c r="B1733" s="15" t="n">
        <v>-0.444500003010035</v>
      </c>
      <c r="C1733" s="15" t="n">
        <v>-0.0432999990880489</v>
      </c>
      <c r="D1733" s="15" t="n">
        <v>2.04679989814758</v>
      </c>
      <c r="E1733" s="15" t="n">
        <v>-0.0356998443603516</v>
      </c>
      <c r="F1733" s="15" t="n">
        <v>-0.424600005149841</v>
      </c>
      <c r="G1733" s="15" t="n">
        <v>1.52330005168915</v>
      </c>
      <c r="H1733" s="16">
        <f>C1733+E1733</f>
        <v/>
      </c>
    </row>
    <row r="1734">
      <c r="A1734" s="12" t="n">
        <v>44533</v>
      </c>
      <c r="B1734" s="15" t="n">
        <v>-0.470099970698357</v>
      </c>
      <c r="C1734" s="15" t="n">
        <v>-0.07750000059604641</v>
      </c>
      <c r="D1734" s="15" t="n">
        <v>2.02500009536743</v>
      </c>
      <c r="E1734" s="15" t="n">
        <v>-0.0432000756263733</v>
      </c>
      <c r="F1734" s="15" t="n">
        <v>-0.422800004482269</v>
      </c>
      <c r="G1734" s="15" t="n">
        <v>1.43420004844666</v>
      </c>
      <c r="H1734" s="16">
        <f>C1734+E1734</f>
        <v/>
      </c>
    </row>
    <row r="1735">
      <c r="A1735" s="12" t="n">
        <v>44536</v>
      </c>
      <c r="B1735" s="15" t="n">
        <v>-0.443799991160631</v>
      </c>
      <c r="C1735" s="15" t="n">
        <v>-0.0564999990165234</v>
      </c>
      <c r="D1735" s="15" t="n">
        <v>2.04010009765625</v>
      </c>
      <c r="E1735" s="15" t="n">
        <v>-0.0387001633644104</v>
      </c>
      <c r="F1735" s="15" t="n">
        <v>-0.432500004768372</v>
      </c>
      <c r="G1735" s="15" t="n">
        <v>1.50109994411469</v>
      </c>
      <c r="H1735" s="16">
        <f>C1735+E1735</f>
        <v/>
      </c>
    </row>
    <row r="1736">
      <c r="A1736" s="12" t="n">
        <v>44537</v>
      </c>
      <c r="B1736" s="15" t="n">
        <v>-0.425700005143881</v>
      </c>
      <c r="C1736" s="15" t="n">
        <v>-0.0419999994337559</v>
      </c>
      <c r="D1736" s="15" t="n">
        <v>2.05019998550415</v>
      </c>
      <c r="E1736" s="15" t="n">
        <v>-0.0354000329971313</v>
      </c>
      <c r="F1736" s="15" t="n">
        <v>-0.453299999237061</v>
      </c>
      <c r="G1736" s="15" t="n">
        <v>1.54709994792938</v>
      </c>
      <c r="H1736" s="16">
        <f>C1736+E1736</f>
        <v/>
      </c>
    </row>
    <row r="1737">
      <c r="A1737" s="12" t="n">
        <v>44538</v>
      </c>
      <c r="B1737" s="15" t="n">
        <v>-0.422499988228083</v>
      </c>
      <c r="C1737" s="15" t="n">
        <v>-0.0320000015199184</v>
      </c>
      <c r="D1737" s="15" t="n">
        <v>2.05529999732971</v>
      </c>
      <c r="E1737" s="15" t="n">
        <v>-0.0328000485897064</v>
      </c>
      <c r="F1737" s="15" t="n">
        <v>-0.479699999094009</v>
      </c>
      <c r="G1737" s="15" t="n">
        <v>1.567999958992</v>
      </c>
      <c r="H1737" s="16">
        <f>C1737+E1737</f>
        <v/>
      </c>
    </row>
    <row r="1738">
      <c r="A1738" s="12" t="n">
        <v>44539</v>
      </c>
      <c r="B1738" s="15" t="n">
        <v>-0.426699988543987</v>
      </c>
      <c r="C1738" s="15" t="n">
        <v>-0.0348000004887581</v>
      </c>
      <c r="D1738" s="15" t="n">
        <v>2.05279994010925</v>
      </c>
      <c r="E1738" s="15" t="n">
        <v>-0.0331999659538269</v>
      </c>
      <c r="F1738" s="15" t="n">
        <v>-0.443599998950958</v>
      </c>
      <c r="G1738" s="15" t="n">
        <v>1.55809998512268</v>
      </c>
      <c r="H1738" s="16">
        <f>C1738+E1738</f>
        <v/>
      </c>
    </row>
    <row r="1739">
      <c r="A1739" s="12" t="n">
        <v>44540</v>
      </c>
      <c r="B1739" s="15" t="n">
        <v>-0.427500005811453</v>
      </c>
      <c r="C1739" s="15" t="n">
        <v>-0.0377000011503696</v>
      </c>
      <c r="D1739" s="15" t="n">
        <v>2.05130004882812</v>
      </c>
      <c r="E1739" s="15" t="n">
        <v>-0.0340000987052917</v>
      </c>
      <c r="F1739" s="15" t="n">
        <v>-0.423299998044968</v>
      </c>
      <c r="G1739" s="15" t="n">
        <v>1.55209994316101</v>
      </c>
      <c r="H1739" s="16">
        <f>C1739+E1739</f>
        <v/>
      </c>
    </row>
    <row r="1740">
      <c r="A1740" s="12" t="n">
        <v>44543</v>
      </c>
      <c r="B1740" s="15" t="n">
        <v>-0.445000026375055</v>
      </c>
      <c r="C1740" s="15" t="n">
        <v>-0.0566000007092953</v>
      </c>
      <c r="D1740" s="15" t="n">
        <v>2.03859996795654</v>
      </c>
      <c r="E1740" s="15" t="n">
        <v>-0.0380998849868774</v>
      </c>
      <c r="F1740" s="15" t="n">
        <v>-0.406199991703033</v>
      </c>
      <c r="G1740" s="15" t="n">
        <v>1.49890005588531</v>
      </c>
      <c r="H1740" s="16">
        <f>C1740+E1740</f>
        <v/>
      </c>
    </row>
    <row r="1741">
      <c r="A1741" s="12" t="n">
        <v>44544</v>
      </c>
      <c r="B1741" s="15" t="n">
        <v>-0.436199989169836</v>
      </c>
      <c r="C1741" s="15" t="n">
        <v>-0.0507999993860722</v>
      </c>
      <c r="D1741" s="15" t="n">
        <v>2.04310011863708</v>
      </c>
      <c r="E1741" s="15" t="n">
        <v>-0.0369001626968384</v>
      </c>
      <c r="F1741" s="15" t="n">
        <v>-0.364100009202957</v>
      </c>
      <c r="G1741" s="15" t="n">
        <v>1.51919996738434</v>
      </c>
      <c r="H1741" s="16">
        <f>C1741+E1741</f>
        <v/>
      </c>
    </row>
    <row r="1742">
      <c r="A1742" s="12" t="n">
        <v>44545</v>
      </c>
      <c r="B1742" s="15" t="n">
        <v>-0.427999995648861</v>
      </c>
      <c r="C1742" s="15" t="n">
        <v>-0.0427000001072884</v>
      </c>
      <c r="D1742" s="15" t="n">
        <v>2.04819989204407</v>
      </c>
      <c r="E1742" s="15" t="n">
        <v>-0.0349998772144318</v>
      </c>
      <c r="F1742" s="15" t="n">
        <v>-0.362199991941452</v>
      </c>
      <c r="G1742" s="15" t="n">
        <v>1.54250001907349</v>
      </c>
      <c r="H1742" s="16">
        <f>C1742+E1742</f>
        <v/>
      </c>
    </row>
    <row r="1743">
      <c r="A1743" s="12" t="n">
        <v>44546</v>
      </c>
      <c r="B1743" s="15" t="n">
        <v>-0.44590001553297</v>
      </c>
      <c r="C1743" s="15" t="n">
        <v>-0.0584999993443489</v>
      </c>
      <c r="D1743" s="15" t="n">
        <v>2.03839993476868</v>
      </c>
      <c r="E1743" s="15" t="n">
        <v>-0.0388998985290527</v>
      </c>
      <c r="F1743" s="15" t="n">
        <v>-0.393299996852875</v>
      </c>
      <c r="G1743" s="15" t="n">
        <v>1.4951000213623</v>
      </c>
      <c r="H1743" s="16">
        <f>C1743+E1743</f>
        <v/>
      </c>
    </row>
    <row r="1744">
      <c r="A1744" s="12" t="n">
        <v>44547</v>
      </c>
      <c r="B1744" s="15" t="n">
        <v>-0.447300001978874</v>
      </c>
      <c r="C1744" s="15" t="n">
        <v>-0.0617000013589859</v>
      </c>
      <c r="D1744" s="15" t="n">
        <v>2.03690004348755</v>
      </c>
      <c r="E1744" s="15" t="n">
        <v>-0.0397999882698059</v>
      </c>
      <c r="F1744" s="15" t="n">
        <v>-0.371100008487701</v>
      </c>
      <c r="G1744" s="15" t="n">
        <v>1.48810005187988</v>
      </c>
      <c r="H1744" s="16">
        <f>C1744+E1744</f>
        <v/>
      </c>
    </row>
    <row r="1745">
      <c r="A1745" s="12" t="n">
        <v>44550</v>
      </c>
      <c r="B1745" s="15" t="n">
        <v>-0.443499993532896</v>
      </c>
      <c r="C1745" s="15" t="n">
        <v>-0.0621999986469746</v>
      </c>
      <c r="D1745" s="15" t="n">
        <v>2.03830003738403</v>
      </c>
      <c r="E1745" s="15" t="n">
        <v>-0.0404000282287598</v>
      </c>
      <c r="F1745" s="15" t="n">
        <v>-0.371899992227554</v>
      </c>
      <c r="G1745" s="15" t="n">
        <v>1.4922000169754</v>
      </c>
      <c r="H1745" s="16">
        <f>C1745+E1745</f>
        <v/>
      </c>
    </row>
    <row r="1746">
      <c r="A1746" s="12" t="n">
        <v>44551</v>
      </c>
      <c r="B1746" s="15" t="n">
        <v>-0.427000001072884</v>
      </c>
      <c r="C1746" s="15" t="n">
        <v>-0.0450000017881393</v>
      </c>
      <c r="D1746" s="15" t="n">
        <v>2.04940009117126</v>
      </c>
      <c r="E1746" s="15" t="n">
        <v>-0.0364000797271729</v>
      </c>
      <c r="F1746" s="15" t="n">
        <v>-0.395500004291534</v>
      </c>
      <c r="G1746" s="15" t="n">
        <v>1.54100000858307</v>
      </c>
      <c r="H1746" s="16">
        <f>C1746+E1746</f>
        <v/>
      </c>
    </row>
    <row r="1747">
      <c r="A1747" s="12" t="n">
        <v>44552</v>
      </c>
      <c r="B1747" s="15" t="n">
        <v>-0.430299989879131</v>
      </c>
      <c r="C1747" s="15" t="n">
        <v>-0.0496999993920326</v>
      </c>
      <c r="D1747" s="15" t="n">
        <v>2.04620003700256</v>
      </c>
      <c r="E1747" s="15" t="n">
        <v>-0.0373000204563141</v>
      </c>
      <c r="F1747" s="15" t="n">
        <v>-0.424400001764297</v>
      </c>
      <c r="G1747" s="15" t="n">
        <v>1.52890002727509</v>
      </c>
      <c r="H1747" s="16">
        <f>C1747+E1747</f>
        <v/>
      </c>
    </row>
    <row r="1748">
      <c r="A1748" s="12" t="n">
        <v>44553</v>
      </c>
      <c r="B1748" s="15" t="n">
        <v>-0.416899997740984</v>
      </c>
      <c r="C1748" s="15" t="n">
        <v>-0.0373000018298626</v>
      </c>
      <c r="D1748" s="15" t="n">
        <v>2.05509996414185</v>
      </c>
      <c r="E1748" s="15" t="n">
        <v>-0.0347999632358551</v>
      </c>
      <c r="F1748" s="15" t="n">
        <v>-0.416799992322922</v>
      </c>
      <c r="G1748" s="15" t="n">
        <v>1.56610000133514</v>
      </c>
      <c r="H1748" s="16">
        <f>C1748+E1748</f>
        <v/>
      </c>
    </row>
    <row r="1749">
      <c r="A1749" s="12" t="n">
        <v>44557</v>
      </c>
      <c r="B1749" s="15" t="n">
        <v>-0.416199989616871</v>
      </c>
      <c r="C1749" s="15" t="n">
        <v>-0.0471000000834465</v>
      </c>
      <c r="D1749" s="15" t="n">
        <v>2.05049991607666</v>
      </c>
      <c r="E1749" s="15" t="n">
        <v>-0.0371999740600586</v>
      </c>
      <c r="F1749" s="15" t="n">
        <v>-0.444099992513657</v>
      </c>
      <c r="G1749" s="15" t="n">
        <v>1.54999995231628</v>
      </c>
      <c r="H1749" s="16">
        <f>C1749+E1749</f>
        <v/>
      </c>
    </row>
    <row r="1750">
      <c r="A1750" s="12" t="n">
        <v>44558</v>
      </c>
      <c r="B1750" s="15" t="n">
        <v>-0.415899988263845</v>
      </c>
      <c r="C1750" s="15" t="n">
        <v>-0.0447000004351139</v>
      </c>
      <c r="D1750" s="15" t="n">
        <v>2.0518000125885</v>
      </c>
      <c r="E1750" s="15" t="n">
        <v>-0.0366000235080719</v>
      </c>
      <c r="F1750" s="15" t="n">
        <v>-0.446299999952316</v>
      </c>
      <c r="G1750" s="15" t="n">
        <v>1.55460000038147</v>
      </c>
      <c r="H1750" s="16">
        <f>C1750+E1750</f>
        <v/>
      </c>
    </row>
    <row r="1751">
      <c r="A1751" s="12" t="n">
        <v>44559</v>
      </c>
      <c r="B1751" s="15" t="n">
        <v>-0.401399999856949</v>
      </c>
      <c r="C1751" s="15" t="n">
        <v>-0.0203000009059906</v>
      </c>
      <c r="D1751" s="15" t="n">
        <v>2.06640005111694</v>
      </c>
      <c r="E1751" s="15" t="n">
        <v>-0.031000018119812</v>
      </c>
      <c r="F1751" s="15" t="n">
        <v>-0.47189998626709</v>
      </c>
      <c r="G1751" s="15" t="n">
        <v>1.61370003223419</v>
      </c>
      <c r="H1751" s="16">
        <f>C1751+E1751</f>
        <v/>
      </c>
    </row>
    <row r="1752">
      <c r="A1752" s="12" t="n">
        <v>44560</v>
      </c>
      <c r="B1752" s="15" t="n">
        <v>-0.410600008442998</v>
      </c>
      <c r="C1752" s="15" t="n">
        <v>-0.0308999996632338</v>
      </c>
      <c r="D1752" s="15" t="n">
        <v>2.05970001220703</v>
      </c>
      <c r="E1752" s="15" t="n">
        <v>-0.0335000157356262</v>
      </c>
      <c r="F1752" s="15" t="n">
        <v>-0.514800012111664</v>
      </c>
      <c r="G1752" s="15" t="n">
        <v>1.58469998836517</v>
      </c>
      <c r="H1752" s="16">
        <f>C1752+E1752</f>
        <v/>
      </c>
    </row>
    <row r="1753">
      <c r="A1753" s="12" t="n">
        <v>44561</v>
      </c>
      <c r="B1753" s="15" t="n">
        <v>-0.411400005221367</v>
      </c>
      <c r="C1753" s="15" t="n">
        <v>-0.030799999833107</v>
      </c>
      <c r="D1753" s="15" t="n">
        <v>2.0599000453949</v>
      </c>
      <c r="E1753" s="15" t="n">
        <v>-0.0336000323295593</v>
      </c>
      <c r="F1753" s="15" t="n">
        <v>-0.513000011444092</v>
      </c>
      <c r="G1753" s="15" t="n">
        <v>1.58410000801086</v>
      </c>
      <c r="H1753" s="16">
        <f>C1753+E1753</f>
        <v/>
      </c>
    </row>
    <row r="1754">
      <c r="A1754" s="12" t="n">
        <v>44564</v>
      </c>
      <c r="B1754" s="15" t="n">
        <v>-0.372299991548061</v>
      </c>
      <c r="C1754" s="15" t="n">
        <v>0.0119000002741814</v>
      </c>
      <c r="D1754" s="15" t="n">
        <v>2.08800005912781</v>
      </c>
      <c r="E1754" s="15" t="n">
        <v>-0.0241000354290009</v>
      </c>
      <c r="F1754" s="15" t="n">
        <v>-0.52649998664856</v>
      </c>
      <c r="G1754" s="15" t="n">
        <v>1.70350003242493</v>
      </c>
      <c r="H1754" s="16">
        <f>C1754+E1754</f>
        <v/>
      </c>
    </row>
    <row r="1755">
      <c r="A1755" s="12" t="n">
        <v>44565</v>
      </c>
      <c r="B1755" s="15" t="n">
        <v>-0.362600015476346</v>
      </c>
      <c r="C1755" s="15" t="n">
        <v>0.0281000006943941</v>
      </c>
      <c r="D1755" s="15" t="n">
        <v>2.09859991073608</v>
      </c>
      <c r="E1755" s="15" t="n">
        <v>-0.0208999514579773</v>
      </c>
      <c r="F1755" s="15" t="n">
        <v>-0.507200002670288</v>
      </c>
      <c r="G1755" s="15" t="n">
        <v>1.74319994449615</v>
      </c>
      <c r="H1755" s="16">
        <f>C1755+E1755</f>
        <v/>
      </c>
    </row>
    <row r="1756">
      <c r="A1756" s="12" t="n">
        <v>44566</v>
      </c>
      <c r="B1756" s="15" t="n">
        <v>-0.345400009304285</v>
      </c>
      <c r="C1756" s="15" t="n">
        <v>0.0465000011026859</v>
      </c>
      <c r="D1756" s="15" t="n">
        <v>2.11030006408691</v>
      </c>
      <c r="E1756" s="15" t="n">
        <v>-0.0166000127792358</v>
      </c>
      <c r="F1756" s="15" t="n">
        <v>-0.453399986028671</v>
      </c>
      <c r="G1756" s="15" t="n">
        <v>1.79480004310608</v>
      </c>
      <c r="H1756" s="16">
        <f>C1756+E1756</f>
        <v/>
      </c>
    </row>
    <row r="1757">
      <c r="A1757" s="12" t="n">
        <v>44567</v>
      </c>
      <c r="B1757" s="15" t="n">
        <v>-0.334100011736155</v>
      </c>
      <c r="C1757" s="15" t="n">
        <v>0.0568999983370304</v>
      </c>
      <c r="D1757" s="15" t="n">
        <v>2.11660003662109</v>
      </c>
      <c r="E1757" s="15" t="n">
        <v>-0.0140000283718109</v>
      </c>
      <c r="F1757" s="15" t="n">
        <v>-0.383199989795685</v>
      </c>
      <c r="G1757" s="15" t="n">
        <v>1.82539999485016</v>
      </c>
      <c r="H1757" s="16">
        <f>C1757+E1757</f>
        <v/>
      </c>
    </row>
    <row r="1758">
      <c r="A1758" s="12" t="n">
        <v>44568</v>
      </c>
      <c r="B1758" s="15" t="n">
        <v>-0.32439998537302</v>
      </c>
      <c r="C1758" s="15" t="n">
        <v>0.06729999929666521</v>
      </c>
      <c r="D1758" s="15" t="n">
        <v>2.12310004234314</v>
      </c>
      <c r="E1758" s="15" t="n">
        <v>-0.0115000009536743</v>
      </c>
      <c r="F1758" s="15" t="n">
        <v>-0.38510000705719</v>
      </c>
      <c r="G1758" s="15" t="n">
        <v>1.85450005531311</v>
      </c>
      <c r="H1758" s="16">
        <f>C1758+E1758</f>
        <v/>
      </c>
    </row>
    <row r="1759">
      <c r="A1759" s="12" t="n">
        <v>44571</v>
      </c>
      <c r="B1759" s="15" t="n">
        <v>-0.312999993562698</v>
      </c>
      <c r="C1759" s="15" t="n">
        <v>0.0659999996423721</v>
      </c>
      <c r="D1759" s="15" t="n">
        <v>2.12470006942749</v>
      </c>
      <c r="E1759" s="15" t="n">
        <v>-0.0121000856161118</v>
      </c>
      <c r="F1759" s="15" t="n">
        <v>-0.376199990510941</v>
      </c>
      <c r="G1759" s="15" t="n">
        <v>1.86559998989105</v>
      </c>
      <c r="H1759" s="16">
        <f>C1759+E1759</f>
        <v/>
      </c>
    </row>
    <row r="1760">
      <c r="A1760" s="12" t="n">
        <v>44572</v>
      </c>
      <c r="B1760" s="15" t="n">
        <v>-0.323000002652407</v>
      </c>
      <c r="C1760" s="15" t="n">
        <v>0.0518000014126301</v>
      </c>
      <c r="D1760" s="15" t="n">
        <v>2.11560010910034</v>
      </c>
      <c r="E1760" s="15" t="n">
        <v>-0.0151000618934631</v>
      </c>
      <c r="F1760" s="15" t="n">
        <v>-0.444799989461899</v>
      </c>
      <c r="G1760" s="15" t="n">
        <v>1.8293000459671</v>
      </c>
      <c r="H1760" s="16">
        <f>C1760+E1760</f>
        <v/>
      </c>
    </row>
    <row r="1761">
      <c r="A1761" s="12" t="n">
        <v>44573</v>
      </c>
      <c r="B1761" s="15" t="n">
        <v>-0.322699993848801</v>
      </c>
      <c r="C1761" s="15" t="n">
        <v>0.0527999997138977</v>
      </c>
      <c r="D1761" s="15" t="n">
        <v>2.11630010604858</v>
      </c>
      <c r="E1761" s="15" t="n">
        <v>-0.0149000585079193</v>
      </c>
      <c r="F1761" s="15" t="n">
        <v>-0.406100004911423</v>
      </c>
      <c r="G1761" s="15" t="n">
        <v>1.83150005340576</v>
      </c>
      <c r="H1761" s="16">
        <f>C1761+E1761</f>
        <v/>
      </c>
    </row>
    <row r="1762">
      <c r="A1762" s="12" t="n">
        <v>44574</v>
      </c>
      <c r="B1762" s="15" t="n">
        <v>-0.333200007677078</v>
      </c>
      <c r="C1762" s="15" t="n">
        <v>0.0403999984264374</v>
      </c>
      <c r="D1762" s="15" t="n">
        <v>2.10859990119934</v>
      </c>
      <c r="E1762" s="15" t="n">
        <v>-0.0177999138832092</v>
      </c>
      <c r="F1762" s="15" t="n">
        <v>-0.369800001382828</v>
      </c>
      <c r="G1762" s="15" t="n">
        <v>1.79799997806549</v>
      </c>
      <c r="H1762" s="16">
        <f>C1762+E1762</f>
        <v/>
      </c>
    </row>
    <row r="1763">
      <c r="A1763" s="12" t="n">
        <v>44575</v>
      </c>
      <c r="B1763" s="15" t="n">
        <v>-0.305600002408028</v>
      </c>
      <c r="C1763" s="15" t="n">
        <v>0.066200003027916</v>
      </c>
      <c r="D1763" s="15" t="n">
        <v>2.12590003013611</v>
      </c>
      <c r="E1763" s="15" t="n">
        <v>-0.0119999945163727</v>
      </c>
      <c r="F1763" s="15" t="n">
        <v>-0.356799989938736</v>
      </c>
      <c r="G1763" s="15" t="n">
        <v>1.87450003623962</v>
      </c>
      <c r="H1763" s="16">
        <f>C1763+E1763</f>
        <v/>
      </c>
    </row>
    <row r="1764">
      <c r="A1764" s="12" t="n">
        <v>44579</v>
      </c>
      <c r="B1764" s="15" t="n">
        <v>-0.268700003623962</v>
      </c>
      <c r="C1764" s="15" t="n">
        <v>0.090599998831749</v>
      </c>
      <c r="D1764" s="15" t="n">
        <v>2.14499998092651</v>
      </c>
      <c r="E1764" s="15" t="n">
        <v>-0.00699995458126068</v>
      </c>
      <c r="F1764" s="15" t="n">
        <v>-0.348800003528595</v>
      </c>
      <c r="G1764" s="15" t="n">
        <v>1.95990002155304</v>
      </c>
      <c r="H1764" s="16">
        <f>C1764+E1764</f>
        <v/>
      </c>
    </row>
    <row r="1765">
      <c r="A1765" s="12" t="n">
        <v>44580</v>
      </c>
      <c r="B1765" s="15" t="n">
        <v>-0.277499996125698</v>
      </c>
      <c r="C1765" s="15" t="n">
        <v>0.0794999971985817</v>
      </c>
      <c r="D1765" s="15" t="n">
        <v>2.13790011405945</v>
      </c>
      <c r="E1765" s="15" t="n">
        <v>-0.00950010120868683</v>
      </c>
      <c r="F1765" s="15" t="n">
        <v>-0.310999989509583</v>
      </c>
      <c r="G1765" s="15" t="n">
        <v>1.93040001392365</v>
      </c>
      <c r="H1765" s="16">
        <f>C1765+E1765</f>
        <v/>
      </c>
    </row>
    <row r="1766">
      <c r="A1766" s="12" t="n">
        <v>44581</v>
      </c>
      <c r="B1766" s="15" t="n">
        <v>-0.280700005590916</v>
      </c>
      <c r="C1766" s="15" t="n">
        <v>0.0728000029921532</v>
      </c>
      <c r="D1766" s="15" t="n">
        <v>2.13380002975464</v>
      </c>
      <c r="E1766" s="15" t="n">
        <v>-0.0109000653028488</v>
      </c>
      <c r="F1766" s="15" t="n">
        <v>-0.317299991846085</v>
      </c>
      <c r="G1766" s="15" t="n">
        <v>1.91499996185303</v>
      </c>
      <c r="H1766" s="16">
        <f>C1766+E1766</f>
        <v/>
      </c>
    </row>
    <row r="1767">
      <c r="A1767" s="12" t="n">
        <v>44582</v>
      </c>
      <c r="B1767" s="15" t="n">
        <v>-0.305500015616417</v>
      </c>
      <c r="C1767" s="15" t="n">
        <v>0.0441000014543533</v>
      </c>
      <c r="D1767" s="15" t="n">
        <v>2.11540007591248</v>
      </c>
      <c r="E1767" s="15" t="n">
        <v>-0.0174001157283783</v>
      </c>
      <c r="F1767" s="15" t="n">
        <v>-0.328500002622604</v>
      </c>
      <c r="G1767" s="15" t="n">
        <v>1.83659994602203</v>
      </c>
      <c r="H1767" s="16">
        <f>C1767+E1767</f>
        <v/>
      </c>
    </row>
    <row r="1768">
      <c r="A1768" s="12" t="n">
        <v>44585</v>
      </c>
      <c r="B1768" s="15" t="n">
        <v>-0.302500002086163</v>
      </c>
      <c r="C1768" s="15" t="n">
        <v>0.0419000014662743</v>
      </c>
      <c r="D1768" s="15" t="n">
        <v>2.11630010604858</v>
      </c>
      <c r="E1768" s="15" t="n">
        <v>-0.0185000598430634</v>
      </c>
      <c r="F1768" s="15" t="n">
        <v>-0.362500011920929</v>
      </c>
      <c r="G1768" s="15" t="n">
        <v>1.83720004558563</v>
      </c>
      <c r="H1768" s="16">
        <f>C1768+E1768</f>
        <v/>
      </c>
    </row>
    <row r="1769">
      <c r="A1769" s="12" t="n">
        <v>44586</v>
      </c>
      <c r="B1769" s="15" t="n">
        <v>-0.291200004518032</v>
      </c>
      <c r="C1769" s="15" t="n">
        <v>0.0531999990344048</v>
      </c>
      <c r="D1769" s="15" t="n">
        <v>2.12400007247925</v>
      </c>
      <c r="E1769" s="15" t="n">
        <v>-0.0161000788211823</v>
      </c>
      <c r="F1769" s="15" t="n">
        <v>-0.379700005054474</v>
      </c>
      <c r="G1769" s="15" t="n">
        <v>1.86989998817444</v>
      </c>
      <c r="H1769" s="16">
        <f>C1769+E1769</f>
        <v/>
      </c>
    </row>
    <row r="1770">
      <c r="A1770" s="12" t="n">
        <v>44587</v>
      </c>
      <c r="B1770" s="15" t="n">
        <v>-0.263099998235703</v>
      </c>
      <c r="C1770" s="15" t="n">
        <v>0.0799999982118607</v>
      </c>
      <c r="D1770" s="15" t="n">
        <v>2.14109992980957</v>
      </c>
      <c r="E1770" s="15" t="n">
        <v>-0.009699925780296329</v>
      </c>
      <c r="F1770" s="15" t="n">
        <v>-0.334600001573563</v>
      </c>
      <c r="G1770" s="15" t="n">
        <v>1.94830000400543</v>
      </c>
      <c r="H1770" s="16">
        <f>C1770+E1770</f>
        <v/>
      </c>
    </row>
    <row r="1771">
      <c r="A1771" s="12" t="n">
        <v>44588</v>
      </c>
      <c r="B1771" s="15" t="n">
        <v>-0.269499994814396</v>
      </c>
      <c r="C1771" s="15" t="n">
        <v>0.0557999983429909</v>
      </c>
      <c r="D1771" s="15" t="n">
        <v>2.12730002403259</v>
      </c>
      <c r="E1771" s="15" t="n">
        <v>-0.0151000618934631</v>
      </c>
      <c r="F1771" s="15" t="n">
        <v>-0.349999994039536</v>
      </c>
      <c r="G1771" s="15" t="n">
        <v>1.89849996566772</v>
      </c>
      <c r="H1771" s="16">
        <f>C1771+E1771</f>
        <v/>
      </c>
    </row>
    <row r="1772">
      <c r="A1772" s="12" t="n">
        <v>44589</v>
      </c>
      <c r="B1772" s="15" t="n">
        <v>-0.284100003540516</v>
      </c>
      <c r="C1772" s="15" t="n">
        <v>0.0355999991297722</v>
      </c>
      <c r="D1772" s="15" t="n">
        <v>2.11470007896423</v>
      </c>
      <c r="E1772" s="15" t="n">
        <v>-0.0196000188589096</v>
      </c>
      <c r="F1772" s="15" t="n">
        <v>-0.391999989748001</v>
      </c>
      <c r="G1772" s="15" t="n">
        <v>1.84660005569458</v>
      </c>
      <c r="H1772" s="16">
        <f>C1772+E1772</f>
        <v/>
      </c>
    </row>
    <row r="1773">
      <c r="A1773" s="12" t="n">
        <v>44592</v>
      </c>
      <c r="B1773" s="15" t="n">
        <v>-0.271599996834993</v>
      </c>
      <c r="C1773" s="15" t="n">
        <v>0.0377000011503696</v>
      </c>
      <c r="D1773" s="15" t="n">
        <v>2.11929988861084</v>
      </c>
      <c r="E1773" s="15" t="n">
        <v>-0.0197999030351639</v>
      </c>
      <c r="F1773" s="15" t="n">
        <v>-0.402300000190735</v>
      </c>
      <c r="G1773" s="15" t="n">
        <v>1.86559998989105</v>
      </c>
      <c r="H1773" s="16">
        <f>C1773+E1773</f>
        <v/>
      </c>
    </row>
    <row r="1774">
      <c r="A1774" s="12" t="n">
        <v>44593</v>
      </c>
      <c r="B1774" s="15" t="n">
        <v>-0.266999993473291</v>
      </c>
      <c r="C1774" s="15" t="n">
        <v>0.0447000004351139</v>
      </c>
      <c r="D1774" s="15" t="n">
        <v>2.12369990348816</v>
      </c>
      <c r="E1774" s="15" t="n">
        <v>-0.0182998776435852</v>
      </c>
      <c r="F1774" s="15" t="n">
        <v>-0.384700000286102</v>
      </c>
      <c r="G1774" s="15" t="n">
        <v>1.8831000328064</v>
      </c>
      <c r="H1774" s="16">
        <f>C1774+E1774</f>
        <v/>
      </c>
    </row>
    <row r="1775">
      <c r="A1775" s="12" t="n">
        <v>44594</v>
      </c>
      <c r="B1775" s="15" t="n">
        <v>-0.278300002217293</v>
      </c>
      <c r="C1775" s="15" t="n">
        <v>0.0377999991178513</v>
      </c>
      <c r="D1775" s="15" t="n">
        <v>2.11800003051758</v>
      </c>
      <c r="E1775" s="15" t="n">
        <v>-0.0197000205516815</v>
      </c>
      <c r="F1775" s="15" t="n">
        <v>-0.381099998950958</v>
      </c>
      <c r="G1775" s="15" t="n">
        <v>1.85780000686646</v>
      </c>
      <c r="H1775" s="16">
        <f>C1775+E1775</f>
        <v/>
      </c>
    </row>
    <row r="1776">
      <c r="A1776" s="12" t="n">
        <v>44595</v>
      </c>
      <c r="B1776" s="15" t="n">
        <v>-0.260599993169308</v>
      </c>
      <c r="C1776" s="15" t="n">
        <v>0.0531999990344048</v>
      </c>
      <c r="D1776" s="15" t="n">
        <v>2.12890005111694</v>
      </c>
      <c r="E1776" s="15" t="n">
        <v>-0.0163000524044037</v>
      </c>
      <c r="F1776" s="15" t="n">
        <v>-0.340799987316132</v>
      </c>
      <c r="G1776" s="15" t="n">
        <v>1.90520000457764</v>
      </c>
      <c r="H1776" s="16">
        <f>C1776+E1776</f>
        <v/>
      </c>
    </row>
    <row r="1777">
      <c r="A1777" s="12" t="n">
        <v>44596</v>
      </c>
      <c r="B1777" s="15" t="n">
        <v>-0.217699997127056</v>
      </c>
      <c r="C1777" s="15" t="n">
        <v>0.0834000036120415</v>
      </c>
      <c r="D1777" s="15" t="n">
        <v>2.15129995346069</v>
      </c>
      <c r="E1777" s="15" t="n">
        <v>-0.00979995727539062</v>
      </c>
      <c r="F1777" s="15" t="n">
        <v>-0.328299999237061</v>
      </c>
      <c r="G1777" s="15" t="n">
        <v>2.00720000267029</v>
      </c>
      <c r="H1777" s="16">
        <f>C1777+E1777</f>
        <v/>
      </c>
    </row>
    <row r="1778">
      <c r="A1778" s="12" t="n">
        <v>44599</v>
      </c>
      <c r="B1778" s="15" t="n">
        <v>-0.216400004923344</v>
      </c>
      <c r="C1778" s="15" t="n">
        <v>0.07360000163316729</v>
      </c>
      <c r="D1778" s="15" t="n">
        <v>2.14739990234375</v>
      </c>
      <c r="E1778" s="15" t="n">
        <v>-0.0123998820781708</v>
      </c>
      <c r="F1778" s="15" t="n">
        <v>-0.310600012540817</v>
      </c>
      <c r="G1778" s="15" t="n">
        <v>1.9922000169754</v>
      </c>
      <c r="H1778" s="16">
        <f>C1778+E1778</f>
        <v/>
      </c>
    </row>
    <row r="1779">
      <c r="A1779" s="12" t="n">
        <v>44600</v>
      </c>
      <c r="B1779" s="15" t="n">
        <v>-0.203100003302097</v>
      </c>
      <c r="C1779" s="15" t="n">
        <v>0.0856000036001205</v>
      </c>
      <c r="D1779" s="15" t="n">
        <v>2.15529990196228</v>
      </c>
      <c r="E1779" s="15" t="n">
        <v>-0.00959999114274979</v>
      </c>
      <c r="F1779" s="15" t="n">
        <v>-0.31139999628067</v>
      </c>
      <c r="G1779" s="15" t="n">
        <v>2.02819991111755</v>
      </c>
      <c r="H1779" s="16">
        <f>C1779+E1779</f>
        <v/>
      </c>
    </row>
    <row r="1780">
      <c r="A1780" s="12" t="n">
        <v>44601</v>
      </c>
      <c r="B1780" s="15" t="n">
        <v>-0.20610000193119</v>
      </c>
      <c r="C1780" s="15" t="n">
        <v>0.0835999995470047</v>
      </c>
      <c r="D1780" s="15" t="n">
        <v>2.15289998054504</v>
      </c>
      <c r="E1780" s="15" t="n">
        <v>-0.00959986448287964</v>
      </c>
      <c r="F1780" s="15" t="n">
        <v>-0.317799985408783</v>
      </c>
      <c r="G1780" s="15" t="n">
        <v>2.02080011367798</v>
      </c>
      <c r="H1780" s="16">
        <f>C1780+E1780</f>
        <v/>
      </c>
    </row>
    <row r="1781">
      <c r="A1781" s="12" t="n">
        <v>44602</v>
      </c>
      <c r="B1781" s="15" t="n">
        <v>-0.149700004607439</v>
      </c>
      <c r="C1781" s="15" t="n">
        <v>0.098800003528595</v>
      </c>
      <c r="D1781" s="15" t="n">
        <v>2.17090010643005</v>
      </c>
      <c r="E1781" s="15" t="n">
        <v>-0.00700018927454948</v>
      </c>
      <c r="F1781" s="15" t="n">
        <v>-0.321999996900558</v>
      </c>
      <c r="G1781" s="15" t="n">
        <v>2.11299991607666</v>
      </c>
      <c r="H1781" s="16">
        <f>C1781+E1781</f>
        <v/>
      </c>
    </row>
    <row r="1782">
      <c r="A1782" s="12" t="n">
        <v>44603</v>
      </c>
      <c r="B1782" s="15" t="n">
        <v>-0.186100002378225</v>
      </c>
      <c r="C1782" s="15" t="n">
        <v>0.0593000017106533</v>
      </c>
      <c r="D1782" s="15" t="n">
        <v>2.14510011672974</v>
      </c>
      <c r="E1782" s="15" t="n">
        <v>-0.0160000920295715</v>
      </c>
      <c r="F1782" s="15" t="n">
        <v>-0.349799990653992</v>
      </c>
      <c r="G1782" s="15" t="n">
        <v>2.00230002403259</v>
      </c>
      <c r="H1782" s="16">
        <f>C1782+E1782</f>
        <v/>
      </c>
    </row>
    <row r="1783">
      <c r="A1783" s="12" t="n">
        <v>44606</v>
      </c>
      <c r="B1783" s="15" t="n">
        <v>-0.15820000320673</v>
      </c>
      <c r="C1783" s="15" t="n">
        <v>0.0734999999403954</v>
      </c>
      <c r="D1783" s="15" t="n">
        <v>2.15779995918274</v>
      </c>
      <c r="E1783" s="15" t="n">
        <v>-0.0133000463247299</v>
      </c>
      <c r="F1783" s="15" t="n">
        <v>-0.388900011777878</v>
      </c>
      <c r="G1783" s="15" t="n">
        <v>2.05979990959167</v>
      </c>
      <c r="H1783" s="16">
        <f>C1783+E1783</f>
        <v/>
      </c>
    </row>
    <row r="1784">
      <c r="A1784" s="12" t="n">
        <v>44607</v>
      </c>
      <c r="B1784" s="15" t="n">
        <v>-0.145700003951788</v>
      </c>
      <c r="C1784" s="15" t="n">
        <v>0.10360000282526</v>
      </c>
      <c r="D1784" s="15" t="n">
        <v>2.17440009117126</v>
      </c>
      <c r="E1784" s="15" t="n">
        <v>-0.00620002672076225</v>
      </c>
      <c r="F1784" s="15" t="n">
        <v>-0.356599986553192</v>
      </c>
      <c r="G1784" s="15" t="n">
        <v>2.12610006332397</v>
      </c>
      <c r="H1784" s="16">
        <f>C1784+E1784</f>
        <v/>
      </c>
    </row>
    <row r="1785">
      <c r="A1785" s="12" t="n">
        <v>44608</v>
      </c>
      <c r="B1785" s="15" t="n">
        <v>-0.161300003528595</v>
      </c>
      <c r="C1785" s="15" t="n">
        <v>0.101800002157688</v>
      </c>
      <c r="D1785" s="15" t="n">
        <v>2.17020010948181</v>
      </c>
      <c r="E1785" s="15" t="n">
        <v>-0.00610015541315079</v>
      </c>
      <c r="F1785" s="15" t="n">
        <v>-0.35589998960495</v>
      </c>
      <c r="G1785" s="15" t="n">
        <v>2.10459995269775</v>
      </c>
      <c r="H1785" s="16">
        <f>C1785+E1785</f>
        <v/>
      </c>
    </row>
    <row r="1786">
      <c r="A1786" s="12" t="n">
        <v>44609</v>
      </c>
      <c r="B1786" s="15" t="n">
        <v>-0.180900000035763</v>
      </c>
      <c r="C1786" s="15" t="n">
        <v>0.0857999995350838</v>
      </c>
      <c r="D1786" s="15" t="n">
        <v>2.15879988670349</v>
      </c>
      <c r="E1786" s="15" t="n">
        <v>-0.009699985384941099</v>
      </c>
      <c r="F1786" s="15" t="n">
        <v>-0.347099989652634</v>
      </c>
      <c r="G1786" s="15" t="n">
        <v>2.05399990081787</v>
      </c>
      <c r="H1786" s="16">
        <f>C1786+E1786</f>
        <v/>
      </c>
    </row>
    <row r="1787">
      <c r="A1787" s="12" t="n">
        <v>44610</v>
      </c>
      <c r="B1787" s="15" t="n">
        <v>-0.193900004029274</v>
      </c>
      <c r="C1787" s="15" t="n">
        <v>0.0688000023365021</v>
      </c>
      <c r="D1787" s="15" t="n">
        <v>2.14820003509521</v>
      </c>
      <c r="E1787" s="15" t="n">
        <v>-0.0135001093149185</v>
      </c>
      <c r="F1787" s="15" t="n">
        <v>-0.34349998831749</v>
      </c>
      <c r="G1787" s="15" t="n">
        <v>2.00959992408752</v>
      </c>
      <c r="H1787" s="16">
        <f>C1787+E1787</f>
        <v/>
      </c>
    </row>
    <row r="1788">
      <c r="A1788" s="12" t="n">
        <v>44614</v>
      </c>
      <c r="B1788" s="15" t="n">
        <v>-0.178199999034405</v>
      </c>
      <c r="C1788" s="15" t="n">
        <v>0.0604000017046928</v>
      </c>
      <c r="D1788" s="15" t="n">
        <v>2.14770007133484</v>
      </c>
      <c r="E1788" s="15" t="n">
        <v>-0.0161001682281494</v>
      </c>
      <c r="F1788" s="15" t="n">
        <v>-0.368800014257431</v>
      </c>
      <c r="G1788" s="15" t="n">
        <v>2.01379990577698</v>
      </c>
      <c r="H1788" s="16">
        <f>C1788+E1788</f>
        <v/>
      </c>
    </row>
    <row r="1789">
      <c r="A1789" s="12" t="n">
        <v>44615</v>
      </c>
      <c r="B1789" s="15" t="n">
        <v>-0.164599999785423</v>
      </c>
      <c r="C1789" s="15" t="n">
        <v>0.0727000012993813</v>
      </c>
      <c r="D1789" s="15" t="n">
        <v>2.15599989891052</v>
      </c>
      <c r="E1789" s="15" t="n">
        <v>-0.0132998153567314</v>
      </c>
      <c r="F1789" s="15" t="n">
        <v>-0.425300002098083</v>
      </c>
      <c r="G1789" s="15" t="n">
        <v>2.05080008506775</v>
      </c>
      <c r="H1789" s="16">
        <f>C1789+E1789</f>
        <v/>
      </c>
    </row>
    <row r="1790">
      <c r="A1790" s="12" t="n">
        <v>44616</v>
      </c>
      <c r="B1790" s="15" t="n">
        <v>-0.185599997639656</v>
      </c>
      <c r="C1790" s="15" t="n">
        <v>0.0741999968886375</v>
      </c>
      <c r="D1790" s="15" t="n">
        <v>2.15179991722107</v>
      </c>
      <c r="E1790" s="15" t="n">
        <v>-0.0122000053524971</v>
      </c>
      <c r="F1790" s="15" t="n">
        <v>-0.467599987983704</v>
      </c>
      <c r="G1790" s="15" t="n">
        <v>2.02819991111755</v>
      </c>
      <c r="H1790" s="16">
        <f>C1790+E1790</f>
        <v/>
      </c>
    </row>
    <row r="1791">
      <c r="A1791" s="12" t="n">
        <v>44617</v>
      </c>
      <c r="B1791" s="15" t="n">
        <v>-0.170800000429153</v>
      </c>
      <c r="C1791" s="15" t="n">
        <v>0.07890000194311141</v>
      </c>
      <c r="D1791" s="15" t="n">
        <v>2.15739989280701</v>
      </c>
      <c r="E1791" s="15" t="n">
        <v>-0.0114999935030937</v>
      </c>
      <c r="F1791" s="15" t="n">
        <v>-0.456900000572205</v>
      </c>
      <c r="G1791" s="15" t="n">
        <v>2.05399990081787</v>
      </c>
      <c r="H1791" s="16">
        <f>C1791+E1791</f>
        <v/>
      </c>
    </row>
    <row r="1792">
      <c r="A1792" s="12" t="n">
        <v>44620</v>
      </c>
      <c r="B1792" s="15" t="n">
        <v>-0.224299997091293</v>
      </c>
      <c r="C1792" s="15" t="n">
        <v>0.0185000002384186</v>
      </c>
      <c r="D1792" s="15" t="n">
        <v>2.11879992485046</v>
      </c>
      <c r="E1792" s="15" t="n">
        <v>-0.0251999497413635</v>
      </c>
      <c r="F1792" s="15" t="n">
        <v>-0.557299971580505</v>
      </c>
      <c r="G1792" s="15" t="n">
        <v>1.88779997825623</v>
      </c>
      <c r="H1792" s="16">
        <f>C1792+E1792</f>
        <v/>
      </c>
    </row>
    <row r="1793">
      <c r="A1793" s="12" t="n">
        <v>44621</v>
      </c>
      <c r="B1793" s="15" t="n">
        <v>-0.274099990725517</v>
      </c>
      <c r="C1793" s="15" t="n">
        <v>-0.0159000009298325</v>
      </c>
      <c r="D1793" s="15" t="n">
        <v>2.09330010414124</v>
      </c>
      <c r="E1793" s="15" t="n">
        <v>-0.0327001512050629</v>
      </c>
      <c r="F1793" s="15" t="n">
        <v>-0.596499979496002</v>
      </c>
      <c r="G1793" s="15" t="n">
        <v>1.77059996128082</v>
      </c>
      <c r="H1793" s="16">
        <f>C1793+E1793</f>
        <v/>
      </c>
    </row>
    <row r="1794">
      <c r="A1794" s="12" t="n">
        <v>44622</v>
      </c>
      <c r="B1794" s="15" t="n">
        <v>-0.215599991381168</v>
      </c>
      <c r="C1794" s="15" t="n">
        <v>0.0346999987959862</v>
      </c>
      <c r="D1794" s="15" t="n">
        <v>2.12829995155334</v>
      </c>
      <c r="E1794" s="15" t="n">
        <v>-0.02149997651577</v>
      </c>
      <c r="F1794" s="15" t="n">
        <v>-0.633499979972839</v>
      </c>
      <c r="G1794" s="15" t="n">
        <v>1.92589998245239</v>
      </c>
      <c r="H1794" s="16">
        <f>C1794+E1794</f>
        <v/>
      </c>
    </row>
    <row r="1795">
      <c r="A1795" s="12" t="n">
        <v>44623</v>
      </c>
      <c r="B1795" s="15" t="n">
        <v>-0.212699994444847</v>
      </c>
      <c r="C1795" s="15" t="n">
        <v>0.0333999991416931</v>
      </c>
      <c r="D1795" s="15" t="n">
        <v>2.12800002098083</v>
      </c>
      <c r="E1795" s="15" t="n">
        <v>-0.0217999964952469</v>
      </c>
      <c r="F1795" s="15" t="n">
        <v>-0.611000001430511</v>
      </c>
      <c r="G1795" s="15" t="n">
        <v>1.92690002918243</v>
      </c>
      <c r="H1795" s="16">
        <f>C1795+E1795</f>
        <v/>
      </c>
    </row>
    <row r="1796">
      <c r="A1796" s="12" t="n">
        <v>44624</v>
      </c>
      <c r="B1796" s="15" t="n">
        <v>-0.251800013706088</v>
      </c>
      <c r="C1796" s="15" t="n">
        <v>-0.0175000000745058</v>
      </c>
      <c r="D1796" s="15" t="n">
        <v>2.09579992294312</v>
      </c>
      <c r="E1796" s="15" t="n">
        <v>-0.0330998599529266</v>
      </c>
      <c r="F1796" s="15" t="n">
        <v>-0.642899990081787</v>
      </c>
      <c r="G1796" s="15" t="n">
        <v>1.79340004920959</v>
      </c>
      <c r="H1796" s="16">
        <f>C1796+E1796</f>
        <v/>
      </c>
    </row>
    <row r="1797">
      <c r="A1797" s="12" t="n">
        <v>44627</v>
      </c>
      <c r="B1797" s="15" t="n">
        <v>-0.229599997401237</v>
      </c>
      <c r="C1797" s="15" t="n">
        <v>-0.0122999995946884</v>
      </c>
      <c r="D1797" s="15" t="n">
        <v>2.10279989242554</v>
      </c>
      <c r="E1797" s="15" t="n">
        <v>-0.0324998795986176</v>
      </c>
      <c r="F1797" s="15" t="n">
        <v>-0.707599997520447</v>
      </c>
      <c r="G1797" s="15" t="n">
        <v>1.82840001583099</v>
      </c>
      <c r="H1797" s="16">
        <f>C1797+E1797</f>
        <v/>
      </c>
    </row>
    <row r="1798">
      <c r="A1798" s="12" t="n">
        <v>44628</v>
      </c>
      <c r="B1798" s="15" t="n">
        <v>-0.206599997356534</v>
      </c>
      <c r="C1798" s="15" t="n">
        <v>0.0156999994069338</v>
      </c>
      <c r="D1798" s="15" t="n">
        <v>2.11899995803833</v>
      </c>
      <c r="E1798" s="15" t="n">
        <v>-0.0254999101161957</v>
      </c>
      <c r="F1798" s="15" t="n">
        <v>-0.792999982833862</v>
      </c>
      <c r="G1798" s="15" t="n">
        <v>1.90260004997253</v>
      </c>
      <c r="H1798" s="16">
        <f>C1798+E1798</f>
        <v/>
      </c>
    </row>
    <row r="1799">
      <c r="A1799" s="12" t="n">
        <v>44629</v>
      </c>
      <c r="B1799" s="15" t="n">
        <v>-0.177299994975328</v>
      </c>
      <c r="C1799" s="15" t="n">
        <v>0.0483000017702579</v>
      </c>
      <c r="D1799" s="15" t="n">
        <v>2.14010000228882</v>
      </c>
      <c r="E1799" s="15" t="n">
        <v>-0.0181999951601028</v>
      </c>
      <c r="F1799" s="15" t="n">
        <v>-0.702700018882751</v>
      </c>
      <c r="G1799" s="15" t="n">
        <v>1.99290001392365</v>
      </c>
      <c r="H1799" s="16">
        <f>C1799+E1799</f>
        <v/>
      </c>
    </row>
    <row r="1800">
      <c r="A1800" s="12" t="n">
        <v>44630</v>
      </c>
      <c r="B1800" s="15" t="n">
        <v>-0.164000000804663</v>
      </c>
      <c r="C1800" s="15" t="n">
        <v>0.0621999986469746</v>
      </c>
      <c r="D1800" s="15" t="n">
        <v>2.14849996566772</v>
      </c>
      <c r="E1800" s="15" t="n">
        <v>-0.014699898660183</v>
      </c>
      <c r="F1800" s="15" t="n">
        <v>-0.724500000476837</v>
      </c>
      <c r="G1800" s="15" t="n">
        <v>2.03200006484985</v>
      </c>
      <c r="H1800" s="16">
        <f>C1800+E1800</f>
        <v/>
      </c>
    </row>
    <row r="1801">
      <c r="A1801" s="12" t="n">
        <v>44631</v>
      </c>
      <c r="B1801" s="15" t="n">
        <v>-0.156999997794628</v>
      </c>
      <c r="C1801" s="15" t="n">
        <v>0.062100000679493</v>
      </c>
      <c r="D1801" s="15" t="n">
        <v>2.1489999294281</v>
      </c>
      <c r="E1801" s="15" t="n">
        <v>-0.0145000368356705</v>
      </c>
      <c r="F1801" s="15" t="n">
        <v>-0.7868000268936159</v>
      </c>
      <c r="G1801" s="15" t="n">
        <v>2.03959989547729</v>
      </c>
      <c r="H1801" s="16">
        <f>C1801+E1801</f>
        <v/>
      </c>
    </row>
    <row r="1802">
      <c r="A1802" s="12" t="n">
        <v>44634</v>
      </c>
      <c r="B1802" s="15" t="n">
        <v>-0.097499999217689</v>
      </c>
      <c r="C1802" s="15" t="n">
        <v>0.111299999058247</v>
      </c>
      <c r="D1802" s="15" t="n">
        <v>2.18460011482239</v>
      </c>
      <c r="E1802" s="15" t="n">
        <v>-0.00420007575303316</v>
      </c>
      <c r="F1802" s="15" t="n">
        <v>-0.741299986839294</v>
      </c>
      <c r="G1802" s="15" t="n">
        <v>2.19420003890991</v>
      </c>
      <c r="H1802" s="16">
        <f>C1802+E1802</f>
        <v/>
      </c>
    </row>
    <row r="1803">
      <c r="A1803" s="12" t="n">
        <v>44635</v>
      </c>
      <c r="B1803" s="15" t="n">
        <v>-0.0921000018715858</v>
      </c>
      <c r="C1803" s="15" t="n">
        <v>0.117200002074242</v>
      </c>
      <c r="D1803" s="15" t="n">
        <v>2.18880009651184</v>
      </c>
      <c r="E1803" s="15" t="n">
        <v>-0.00300002843141556</v>
      </c>
      <c r="F1803" s="15" t="n">
        <v>-0.665899991989136</v>
      </c>
      <c r="G1803" s="15" t="n">
        <v>2.21090006828308</v>
      </c>
      <c r="H1803" s="16">
        <f>C1803+E1803</f>
        <v/>
      </c>
    </row>
    <row r="1804">
      <c r="A1804" s="12" t="n">
        <v>44636</v>
      </c>
      <c r="B1804" s="15" t="n">
        <v>-0.0747999958693981</v>
      </c>
      <c r="C1804" s="15" t="n">
        <v>0.131899997591972</v>
      </c>
      <c r="D1804" s="15" t="n">
        <v>2.19790005683899</v>
      </c>
      <c r="E1804" s="15" t="n">
        <v>0.000700052827596664</v>
      </c>
      <c r="F1804" s="15" t="n">
        <v>-0.60180002450943</v>
      </c>
      <c r="G1804" s="15" t="n">
        <v>2.25570011138916</v>
      </c>
      <c r="H1804" s="16">
        <f>C1804+E1804</f>
        <v/>
      </c>
    </row>
    <row r="1805">
      <c r="A1805" s="12" t="n">
        <v>44637</v>
      </c>
      <c r="B1805" s="15" t="n">
        <v>-0.0849999971687794</v>
      </c>
      <c r="C1805" s="15" t="n">
        <v>0.131899997591972</v>
      </c>
      <c r="D1805" s="15" t="n">
        <v>2.19429993629456</v>
      </c>
      <c r="E1805" s="15" t="n">
        <v>0.00169995799660683</v>
      </c>
      <c r="F1805" s="15" t="n">
        <v>-0.708400011062622</v>
      </c>
      <c r="G1805" s="15" t="n">
        <v>2.24289989471436</v>
      </c>
      <c r="H1805" s="16">
        <f>C1805+E1805</f>
        <v/>
      </c>
    </row>
    <row r="1806">
      <c r="A1806" s="12" t="n">
        <v>44638</v>
      </c>
      <c r="B1806" s="15" t="n">
        <v>-0.09599999897181991</v>
      </c>
      <c r="C1806" s="15" t="n">
        <v>0.114399999380112</v>
      </c>
      <c r="D1806" s="15" t="n">
        <v>2.18319988250732</v>
      </c>
      <c r="E1806" s="15" t="n">
        <v>-0.00209979899227619</v>
      </c>
      <c r="F1806" s="15" t="n">
        <v>-0.69379997253418</v>
      </c>
      <c r="G1806" s="15" t="n">
        <v>2.19950008392334</v>
      </c>
      <c r="H1806" s="16">
        <f>C1806+E1806</f>
        <v/>
      </c>
    </row>
    <row r="1807">
      <c r="A1807" s="12" t="n">
        <v>44641</v>
      </c>
      <c r="B1807" s="15" t="n">
        <v>-0.0226000100374222</v>
      </c>
      <c r="C1807" s="15" t="n">
        <v>0.164800003170967</v>
      </c>
      <c r="D1807" s="15" t="n">
        <v>2.22160005569458</v>
      </c>
      <c r="E1807" s="15" t="n">
        <v>0.008499860763549799</v>
      </c>
      <c r="F1807" s="15" t="n">
        <v>-0.677100002765656</v>
      </c>
      <c r="G1807" s="15" t="n">
        <v>2.37229990959167</v>
      </c>
      <c r="H1807" s="16">
        <f>C1807+E1807</f>
        <v/>
      </c>
    </row>
    <row r="1808">
      <c r="A1808" s="12" t="n">
        <v>44642</v>
      </c>
      <c r="B1808" s="15" t="n">
        <v>-0.00139999389648438</v>
      </c>
      <c r="C1808" s="15" t="n">
        <v>0.184499993920326</v>
      </c>
      <c r="D1808" s="15" t="n">
        <v>2.23480010032654</v>
      </c>
      <c r="E1808" s="15" t="n">
        <v>0.0129999965429306</v>
      </c>
      <c r="F1808" s="15" t="n">
        <v>-0.662299990653992</v>
      </c>
      <c r="G1808" s="15" t="n">
        <v>2.43090009689331</v>
      </c>
      <c r="H1808" s="16">
        <f>C1808+E1808</f>
        <v/>
      </c>
    </row>
    <row r="1809">
      <c r="A1809" s="12" t="n">
        <v>44643</v>
      </c>
      <c r="B1809" s="15" t="n">
        <v>-0.0239000022411346</v>
      </c>
      <c r="C1809" s="15" t="n">
        <v>0.165500000119209</v>
      </c>
      <c r="D1809" s="15" t="n">
        <v>2.22090005874634</v>
      </c>
      <c r="E1809" s="15" t="n">
        <v>0.008999958634376529</v>
      </c>
      <c r="F1809" s="15" t="n">
        <v>-0.708199977874756</v>
      </c>
      <c r="G1809" s="15" t="n">
        <v>2.37150001525879</v>
      </c>
      <c r="H1809" s="16">
        <f>C1809+E1809</f>
        <v/>
      </c>
    </row>
    <row r="1810">
      <c r="A1810" s="12" t="n">
        <v>44644</v>
      </c>
      <c r="B1810" s="15" t="n">
        <v>-0.0126999914646149</v>
      </c>
      <c r="C1810" s="15" t="n">
        <v>0.173199996352196</v>
      </c>
      <c r="D1810" s="15" t="n">
        <v>2.22690010070801</v>
      </c>
      <c r="E1810" s="15" t="n">
        <v>0.0105998963117599</v>
      </c>
      <c r="F1810" s="15" t="n">
        <v>-0.702600002288818</v>
      </c>
      <c r="G1810" s="15" t="n">
        <v>2.39800000190735</v>
      </c>
      <c r="H1810" s="16">
        <f>C1810+E1810</f>
        <v/>
      </c>
    </row>
    <row r="1811">
      <c r="A1811" s="12" t="n">
        <v>44645</v>
      </c>
      <c r="B1811" s="15" t="n">
        <v>0.0437000095844269</v>
      </c>
      <c r="C1811" s="15" t="n">
        <v>0.225199997425079</v>
      </c>
      <c r="D1811" s="15" t="n">
        <v>2.26189994812012</v>
      </c>
      <c r="E1811" s="15" t="n">
        <v>0.0223001539707184</v>
      </c>
      <c r="F1811" s="15" t="n">
        <v>-0.675800025463104</v>
      </c>
      <c r="G1811" s="15" t="n">
        <v>2.55310010910034</v>
      </c>
      <c r="H1811" s="16">
        <f>C1811+E1811</f>
        <v/>
      </c>
    </row>
    <row r="1812">
      <c r="A1812" s="12" t="n">
        <v>44648</v>
      </c>
      <c r="B1812" s="15" t="n">
        <v>0.0473999977111816</v>
      </c>
      <c r="C1812" s="15" t="n">
        <v>0.202199995517731</v>
      </c>
      <c r="D1812" s="15" t="n">
        <v>2.25149989128113</v>
      </c>
      <c r="E1812" s="15" t="n">
        <v>0.0167002081871033</v>
      </c>
      <c r="F1812" s="15" t="n">
        <v>-0.678699970245361</v>
      </c>
      <c r="G1812" s="15" t="n">
        <v>2.51780009269714</v>
      </c>
      <c r="H1812" s="16">
        <f>C1812+E1812</f>
        <v/>
      </c>
    </row>
    <row r="1813">
      <c r="A1813" s="12" t="n">
        <v>44649</v>
      </c>
      <c r="B1813" s="15" t="n">
        <v>0.0309000015258789</v>
      </c>
      <c r="C1813" s="15" t="n">
        <v>0.18359999358654</v>
      </c>
      <c r="D1813" s="15" t="n">
        <v>2.23889994621277</v>
      </c>
      <c r="E1813" s="15" t="n">
        <v>0.0128001719713211</v>
      </c>
      <c r="F1813" s="15" t="n">
        <v>-0.592199981212616</v>
      </c>
      <c r="G1813" s="15" t="n">
        <v>2.46620011329651</v>
      </c>
      <c r="H1813" s="16">
        <f>C1813+E1813</f>
        <v/>
      </c>
    </row>
    <row r="1814">
      <c r="A1814" s="12" t="n">
        <v>44650</v>
      </c>
      <c r="B1814" s="15" t="n">
        <v>0.00720000267028809</v>
      </c>
      <c r="C1814" s="15" t="n">
        <v>0.157399997115135</v>
      </c>
      <c r="D1814" s="15" t="n">
        <v>2.22140002250671</v>
      </c>
      <c r="E1814" s="15" t="n">
        <v>0.00719989836215973</v>
      </c>
      <c r="F1814" s="15" t="n">
        <v>-0.60290002822876</v>
      </c>
      <c r="G1814" s="15" t="n">
        <v>2.3931999206543</v>
      </c>
      <c r="H1814" s="16">
        <f>C1814+E1814</f>
        <v/>
      </c>
    </row>
    <row r="1815">
      <c r="A1815" s="12" t="n">
        <v>44651</v>
      </c>
      <c r="B1815" s="15" t="n">
        <v>-0.000900000333786011</v>
      </c>
      <c r="C1815" s="15" t="n">
        <v>0.145799994468689</v>
      </c>
      <c r="D1815" s="15" t="n">
        <v>2.21460008621216</v>
      </c>
      <c r="E1815" s="15" t="n">
        <v>0.0043998658657074</v>
      </c>
      <c r="F1815" s="15" t="n">
        <v>-0.5746999979019169</v>
      </c>
      <c r="G1815" s="15" t="n">
        <v>2.36389994621277</v>
      </c>
      <c r="H1815" s="16">
        <f>C1815+E1815</f>
        <v/>
      </c>
    </row>
    <row r="1816">
      <c r="A1816" s="12" t="n">
        <v>44652</v>
      </c>
      <c r="B1816" s="15" t="n">
        <v>0.0319000035524368</v>
      </c>
      <c r="C1816" s="15" t="n">
        <v>0.166400000452995</v>
      </c>
      <c r="D1816" s="15" t="n">
        <v>2.22909998893738</v>
      </c>
      <c r="E1816" s="15" t="n">
        <v>0.00940001010894775</v>
      </c>
      <c r="F1816" s="15" t="n">
        <v>-0.506500005722046</v>
      </c>
      <c r="G1816" s="15" t="n">
        <v>2.43680000305176</v>
      </c>
      <c r="H1816" s="16">
        <f>C1816+E1816</f>
        <v/>
      </c>
    </row>
    <row r="1817">
      <c r="A1817" s="12" t="n">
        <v>44655</v>
      </c>
      <c r="B1817" s="15" t="n">
        <v>0.0449000000953674</v>
      </c>
      <c r="C1817" s="15" t="n">
        <v>0.166299998760223</v>
      </c>
      <c r="D1817" s="15" t="n">
        <v>2.23230004310608</v>
      </c>
      <c r="E1817" s="15" t="n">
        <v>0.00880002975463867</v>
      </c>
      <c r="F1817" s="15" t="n">
        <v>-0.496899992227554</v>
      </c>
      <c r="G1817" s="15" t="n">
        <v>2.45230007171631</v>
      </c>
      <c r="H1817" s="16">
        <f>C1817+E1817</f>
        <v/>
      </c>
    </row>
    <row r="1818">
      <c r="A1818" s="12" t="n">
        <v>44656</v>
      </c>
      <c r="B1818" s="15" t="n">
        <v>0.08209998905658721</v>
      </c>
      <c r="C1818" s="15" t="n">
        <v>0.21170000731945</v>
      </c>
      <c r="D1818" s="15" t="n">
        <v>2.26049995422363</v>
      </c>
      <c r="E1818" s="15" t="n">
        <v>0.0191999673843384</v>
      </c>
      <c r="F1818" s="15" t="n">
        <v>-0.47979998588562</v>
      </c>
      <c r="G1818" s="15" t="n">
        <v>2.57349991798401</v>
      </c>
      <c r="H1818" s="16">
        <f>C1818+E1818</f>
        <v/>
      </c>
    </row>
    <row r="1819">
      <c r="A1819" s="12" t="n">
        <v>44657</v>
      </c>
      <c r="B1819" s="15" t="n">
        <v>0.0991999953985214</v>
      </c>
      <c r="C1819" s="15" t="n">
        <v>0.236599996685982</v>
      </c>
      <c r="D1819" s="15" t="n">
        <v>2.2765998840332</v>
      </c>
      <c r="E1819" s="15" t="n">
        <v>0.0246002078056335</v>
      </c>
      <c r="F1819" s="15" t="n">
        <v>-0.458200007677078</v>
      </c>
      <c r="G1819" s="15" t="n">
        <v>2.63700008392334</v>
      </c>
      <c r="H1819" s="16">
        <f>C1819+E1819</f>
        <v/>
      </c>
    </row>
    <row r="1820">
      <c r="A1820" s="12" t="n">
        <v>44658</v>
      </c>
      <c r="B1820" s="15" t="n">
        <v>0.110699981451035</v>
      </c>
      <c r="C1820" s="15" t="n">
        <v>0.261400014162064</v>
      </c>
      <c r="D1820" s="15" t="n">
        <v>2.29169988632202</v>
      </c>
      <c r="E1820" s="15" t="n">
        <v>0.0299001932144165</v>
      </c>
      <c r="F1820" s="15" t="n">
        <v>-0.447200000286102</v>
      </c>
      <c r="G1820" s="15" t="n">
        <v>2.69370007514954</v>
      </c>
      <c r="H1820" s="16">
        <f>C1820+E1820</f>
        <v/>
      </c>
    </row>
    <row r="1821">
      <c r="A1821" s="12" t="n">
        <v>44659</v>
      </c>
      <c r="B1821" s="15" t="n">
        <v>0.13579997420311</v>
      </c>
      <c r="C1821" s="15" t="n">
        <v>0.283300012350082</v>
      </c>
      <c r="D1821" s="15" t="n">
        <v>2.30749988555908</v>
      </c>
      <c r="E1821" s="15" t="n">
        <v>0.0345001816749573</v>
      </c>
      <c r="F1821" s="15" t="n">
        <v>-0.477999985218048</v>
      </c>
      <c r="G1821" s="15" t="n">
        <v>2.76110005378723</v>
      </c>
      <c r="H1821" s="16">
        <f>C1821+E1821</f>
        <v/>
      </c>
    </row>
    <row r="1822">
      <c r="A1822" s="12" t="n">
        <v>44662</v>
      </c>
      <c r="B1822" s="15" t="n">
        <v>0.157200008630753</v>
      </c>
      <c r="C1822" s="15" t="n">
        <v>0.299699991941452</v>
      </c>
      <c r="D1822" s="15" t="n">
        <v>2.32119989395142</v>
      </c>
      <c r="E1822" s="15" t="n">
        <v>0.0372000932693481</v>
      </c>
      <c r="F1822" s="15" t="n">
        <v>-0.501900017261505</v>
      </c>
      <c r="G1822" s="15" t="n">
        <v>2.81529998779297</v>
      </c>
      <c r="H1822" s="16">
        <f>C1822+E1822</f>
        <v/>
      </c>
    </row>
    <row r="1823">
      <c r="A1823" s="12" t="n">
        <v>44663</v>
      </c>
      <c r="B1823" s="15" t="n">
        <v>0.127499997615814</v>
      </c>
      <c r="C1823" s="15" t="n">
        <v>0.282999992370605</v>
      </c>
      <c r="D1823" s="15" t="n">
        <v>2.30960011482239</v>
      </c>
      <c r="E1823" s="15" t="n">
        <v>0.0327997803688049</v>
      </c>
      <c r="F1823" s="15" t="n">
        <v>-0.487199991941452</v>
      </c>
      <c r="G1823" s="15" t="n">
        <v>2.75289988517761</v>
      </c>
      <c r="H1823" s="16">
        <f>C1823+E1823</f>
        <v/>
      </c>
    </row>
    <row r="1824">
      <c r="A1824" s="12" t="n">
        <v>44664</v>
      </c>
      <c r="B1824" s="15" t="n">
        <v>0.123600006103516</v>
      </c>
      <c r="C1824" s="15" t="n">
        <v>0.282999992370605</v>
      </c>
      <c r="D1824" s="15" t="n">
        <v>2.30970001220703</v>
      </c>
      <c r="E1824" s="15" t="n">
        <v>0.032599925994873</v>
      </c>
      <c r="F1824" s="15" t="n">
        <v>-0.438499987125397</v>
      </c>
      <c r="G1824" s="15" t="n">
        <v>2.74889993667603</v>
      </c>
      <c r="H1824" s="16">
        <f>C1824+E1824</f>
        <v/>
      </c>
    </row>
    <row r="1825">
      <c r="A1825" s="12" t="n">
        <v>44665</v>
      </c>
      <c r="B1825" s="15" t="n">
        <v>0.167800009250641</v>
      </c>
      <c r="C1825" s="15" t="n">
        <v>0.323300004005432</v>
      </c>
      <c r="D1825" s="15" t="n">
        <v>2.33759999275208</v>
      </c>
      <c r="E1825" s="15" t="n">
        <v>0.0412998795509338</v>
      </c>
      <c r="F1825" s="15" t="n">
        <v>-0.467599987983704</v>
      </c>
      <c r="G1825" s="15" t="n">
        <v>2.86999988555908</v>
      </c>
      <c r="H1825" s="16">
        <f>C1825+E1825</f>
        <v/>
      </c>
    </row>
    <row r="1826">
      <c r="A1826" s="12" t="n">
        <v>44669</v>
      </c>
      <c r="B1826" s="15" t="n">
        <v>0.178600013256073</v>
      </c>
      <c r="C1826" s="15" t="n">
        <v>0.329699993133545</v>
      </c>
      <c r="D1826" s="15" t="n">
        <v>2.34369993209839</v>
      </c>
      <c r="E1826" s="15" t="n">
        <v>0.0423000454902649</v>
      </c>
      <c r="F1826" s="15" t="n">
        <v>-0.486400008201599</v>
      </c>
      <c r="G1826" s="15" t="n">
        <v>2.89429998397827</v>
      </c>
      <c r="H1826" s="16">
        <f>C1826+E1826</f>
        <v/>
      </c>
    </row>
    <row r="1827">
      <c r="A1827" s="12" t="n">
        <v>44670</v>
      </c>
      <c r="B1827" s="15" t="n">
        <v>0.211199998855591</v>
      </c>
      <c r="C1827" s="15" t="n">
        <v>0.359499990940094</v>
      </c>
      <c r="D1827" s="15" t="n">
        <v>2.36330008506775</v>
      </c>
      <c r="E1827" s="15" t="n">
        <v>0.0491999983787537</v>
      </c>
      <c r="F1827" s="15" t="n">
        <v>-0.477999985218048</v>
      </c>
      <c r="G1827" s="15" t="n">
        <v>2.98320007324219</v>
      </c>
      <c r="H1827" s="16">
        <f>C1827+E1827</f>
        <v/>
      </c>
    </row>
    <row r="1828">
      <c r="A1828" s="12" t="n">
        <v>44671</v>
      </c>
      <c r="B1828" s="15" t="n">
        <v>0.18970000743866</v>
      </c>
      <c r="C1828" s="15" t="n">
        <v>0.326900005340576</v>
      </c>
      <c r="D1828" s="15" t="n">
        <v>2.34270000457764</v>
      </c>
      <c r="E1828" s="15" t="n">
        <v>0.042199969291687</v>
      </c>
      <c r="F1828" s="15" t="n">
        <v>-0.492500007152557</v>
      </c>
      <c r="G1828" s="15" t="n">
        <v>2.90149998664856</v>
      </c>
      <c r="H1828" s="16">
        <f>C1828+E1828</f>
        <v/>
      </c>
    </row>
    <row r="1829">
      <c r="A1829" s="12" t="n">
        <v>44672</v>
      </c>
      <c r="B1829" s="15" t="n">
        <v>0.211299985647202</v>
      </c>
      <c r="C1829" s="15" t="n">
        <v>0.339300006628036</v>
      </c>
      <c r="D1829" s="15" t="n">
        <v>2.35170006752014</v>
      </c>
      <c r="E1829" s="15" t="n">
        <v>0.0451999306678772</v>
      </c>
      <c r="F1829" s="15" t="n">
        <v>-0.569100022315979</v>
      </c>
      <c r="G1829" s="15" t="n">
        <v>2.94749999046326</v>
      </c>
      <c r="H1829" s="16">
        <f>C1829+E1829</f>
        <v/>
      </c>
    </row>
    <row r="1830">
      <c r="A1830" s="12" t="n">
        <v>44673</v>
      </c>
      <c r="B1830" s="15" t="n">
        <v>0.213799983263016</v>
      </c>
      <c r="C1830" s="15" t="n">
        <v>0.340400010347366</v>
      </c>
      <c r="D1830" s="15" t="n">
        <v>2.35279989242554</v>
      </c>
      <c r="E1830" s="15" t="n">
        <v>0.0453001856803894</v>
      </c>
      <c r="F1830" s="15" t="n">
        <v>-0.548200011253357</v>
      </c>
      <c r="G1830" s="15" t="n">
        <v>2.95230007171631</v>
      </c>
      <c r="H1830" s="16">
        <f>C1830+E1830</f>
        <v/>
      </c>
    </row>
    <row r="1831">
      <c r="A1831" s="12" t="n">
        <v>44676</v>
      </c>
      <c r="B1831" s="15" t="n">
        <v>0.196399986743927</v>
      </c>
      <c r="C1831" s="15" t="n">
        <v>0.296600013971329</v>
      </c>
      <c r="D1831" s="15" t="n">
        <v>2.33080005645752</v>
      </c>
      <c r="E1831" s="15" t="n">
        <v>0.0340998470783234</v>
      </c>
      <c r="F1831" s="15" t="n">
        <v>-0.512600004673004</v>
      </c>
      <c r="G1831" s="15" t="n">
        <v>2.8578999042511</v>
      </c>
      <c r="H1831" s="16">
        <f>C1831+E1831</f>
        <v/>
      </c>
    </row>
    <row r="1832">
      <c r="A1832" s="12" t="n">
        <v>44677</v>
      </c>
      <c r="B1832" s="15" t="n">
        <v>0.178200006484985</v>
      </c>
      <c r="C1832" s="15" t="n">
        <v>0.281199991703033</v>
      </c>
      <c r="D1832" s="15" t="n">
        <v>2.32119989395142</v>
      </c>
      <c r="E1832" s="15" t="n">
        <v>0.0303000807762146</v>
      </c>
      <c r="F1832" s="15" t="n">
        <v>-0.477999985218048</v>
      </c>
      <c r="G1832" s="15" t="n">
        <v>2.81089997291565</v>
      </c>
      <c r="H1832" s="16">
        <f>C1832+E1832</f>
        <v/>
      </c>
    </row>
    <row r="1833">
      <c r="A1833" s="12" t="n">
        <v>44678</v>
      </c>
      <c r="B1833" s="15" t="n">
        <v>0.18860000371933</v>
      </c>
      <c r="C1833" s="15" t="n">
        <v>0.29679998755455</v>
      </c>
      <c r="D1833" s="15" t="n">
        <v>2.33080005645752</v>
      </c>
      <c r="E1833" s="15" t="n">
        <v>0.0337998569011688</v>
      </c>
      <c r="F1833" s="15" t="n">
        <v>-0.493699997663498</v>
      </c>
      <c r="G1833" s="15" t="n">
        <v>2.84999990463257</v>
      </c>
      <c r="H1833" s="16">
        <f>C1833+E1833</f>
        <v/>
      </c>
    </row>
    <row r="1834">
      <c r="A1834" s="12" t="n">
        <v>44679</v>
      </c>
      <c r="B1834" s="15" t="n">
        <v>0.198900014162064</v>
      </c>
      <c r="C1834" s="15" t="n">
        <v>0.308999985456467</v>
      </c>
      <c r="D1834" s="15" t="n">
        <v>2.33780002593994</v>
      </c>
      <c r="E1834" s="15" t="n">
        <v>0.0367999076843262</v>
      </c>
      <c r="F1834" s="15" t="n">
        <v>-0.555800020694733</v>
      </c>
      <c r="G1834" s="15" t="n">
        <v>2.8824999332428</v>
      </c>
      <c r="H1834" s="16">
        <f>C1834+E1834</f>
        <v/>
      </c>
    </row>
    <row r="1835">
      <c r="A1835" s="12" t="n">
        <v>44680</v>
      </c>
      <c r="B1835" s="15" t="n">
        <v>0.222800016403198</v>
      </c>
      <c r="C1835" s="15" t="n">
        <v>0.333400011062622</v>
      </c>
      <c r="D1835" s="15" t="n">
        <v>2.35369992256165</v>
      </c>
      <c r="E1835" s="15" t="n">
        <v>0.0424001216888428</v>
      </c>
      <c r="F1835" s="15" t="n">
        <v>-0.487100005149841</v>
      </c>
      <c r="G1835" s="15" t="n">
        <v>2.95230007171631</v>
      </c>
      <c r="H1835" s="16">
        <f>C1835+E1835</f>
        <v/>
      </c>
    </row>
    <row r="1836">
      <c r="A1836" s="12" t="n">
        <v>44683</v>
      </c>
      <c r="B1836" s="15" t="n">
        <v>0.260999977588654</v>
      </c>
      <c r="C1836" s="15" t="n">
        <v>0.364300012588501</v>
      </c>
      <c r="D1836" s="15" t="n">
        <v>2.37680006027222</v>
      </c>
      <c r="E1836" s="15" t="n">
        <v>0.0487000346183777</v>
      </c>
      <c r="F1836" s="15" t="n">
        <v>-0.397899985313416</v>
      </c>
      <c r="G1836" s="15" t="n">
        <v>3.05080008506775</v>
      </c>
      <c r="H1836" s="16">
        <f>C1836+E1836</f>
        <v/>
      </c>
    </row>
    <row r="1837">
      <c r="A1837" s="12" t="n">
        <v>44684</v>
      </c>
      <c r="B1837" s="15" t="n">
        <v>0.251700013875961</v>
      </c>
      <c r="C1837" s="15" t="n">
        <v>0.354699999094009</v>
      </c>
      <c r="D1837" s="15" t="n">
        <v>2.36940002441406</v>
      </c>
      <c r="E1837" s="15" t="n">
        <v>0.0469999313354492</v>
      </c>
      <c r="F1837" s="15" t="n">
        <v>-0.399199992418289</v>
      </c>
      <c r="G1837" s="15" t="n">
        <v>3.02279996871948</v>
      </c>
      <c r="H1837" s="16">
        <f>C1837+E1837</f>
        <v/>
      </c>
    </row>
    <row r="1838">
      <c r="A1838" s="12" t="n">
        <v>44685</v>
      </c>
      <c r="B1838" s="15" t="n">
        <v>0.230100005865097</v>
      </c>
      <c r="C1838" s="15" t="n">
        <v>0.340400010347366</v>
      </c>
      <c r="D1838" s="15" t="n">
        <v>2.35899996757507</v>
      </c>
      <c r="E1838" s="15" t="n">
        <v>0.043700098991394</v>
      </c>
      <c r="F1838" s="15" t="n">
        <v>-0.435900002717972</v>
      </c>
      <c r="G1838" s="15" t="n">
        <v>2.97320008277893</v>
      </c>
      <c r="H1838" s="16">
        <f>C1838+E1838</f>
        <v/>
      </c>
    </row>
    <row r="1839">
      <c r="A1839" s="12" t="n">
        <v>44686</v>
      </c>
      <c r="B1839" s="15" t="n">
        <v>0.260199993848801</v>
      </c>
      <c r="C1839" s="15" t="n">
        <v>0.398799985647202</v>
      </c>
      <c r="D1839" s="15" t="n">
        <v>2.39249992370605</v>
      </c>
      <c r="E1839" s="15" t="n">
        <v>0.0573000311851501</v>
      </c>
      <c r="F1839" s="15" t="n">
        <v>-0.394899994134903</v>
      </c>
      <c r="G1839" s="15" t="n">
        <v>3.10879993438721</v>
      </c>
      <c r="H1839" s="16">
        <f>C1839+E1839</f>
        <v/>
      </c>
    </row>
    <row r="1840">
      <c r="A1840" s="12" t="n">
        <v>44687</v>
      </c>
      <c r="B1840" s="15" t="n">
        <v>0.283999979496002</v>
      </c>
      <c r="C1840" s="15" t="n">
        <v>0.428900003433228</v>
      </c>
      <c r="D1840" s="15" t="n">
        <v>2.41190004348755</v>
      </c>
      <c r="E1840" s="15" t="n">
        <v>0.0638999342918396</v>
      </c>
      <c r="F1840" s="15" t="n">
        <v>-0.374399989843369</v>
      </c>
      <c r="G1840" s="15" t="n">
        <v>3.18869996070862</v>
      </c>
      <c r="H1840" s="16">
        <f>C1840+E1840</f>
        <v/>
      </c>
    </row>
    <row r="1841">
      <c r="A1841" s="12" t="n">
        <v>44690</v>
      </c>
      <c r="B1841" s="15" t="n">
        <v>0.261499971151352</v>
      </c>
      <c r="C1841" s="15" t="n">
        <v>0.402900010347366</v>
      </c>
      <c r="D1841" s="15" t="n">
        <v>2.39739990234375</v>
      </c>
      <c r="E1841" s="15" t="n">
        <v>0.0571001768112183</v>
      </c>
      <c r="F1841" s="15" t="n">
        <v>-0.291900008916855</v>
      </c>
      <c r="G1841" s="15" t="n">
        <v>3.11890006065369</v>
      </c>
      <c r="H1841" s="16">
        <f>C1841+E1841</f>
        <v/>
      </c>
    </row>
    <row r="1842">
      <c r="A1842" s="12" t="n">
        <v>44691</v>
      </c>
      <c r="B1842" s="15" t="n">
        <v>0.248499989509583</v>
      </c>
      <c r="C1842" s="15" t="n">
        <v>0.379000008106232</v>
      </c>
      <c r="D1842" s="15" t="n">
        <v>2.38409996032715</v>
      </c>
      <c r="E1842" s="15" t="n">
        <v>0.0514000058174133</v>
      </c>
      <c r="F1842" s="15" t="n">
        <v>-0.209399998188019</v>
      </c>
      <c r="G1842" s="15" t="n">
        <v>3.06299996376038</v>
      </c>
      <c r="H1842" s="16">
        <f>C1842+E1842</f>
        <v/>
      </c>
    </row>
    <row r="1843">
      <c r="A1843" s="12" t="n">
        <v>44692</v>
      </c>
      <c r="B1843" s="15" t="n">
        <v>0.229199975728989</v>
      </c>
      <c r="C1843" s="15" t="n">
        <v>0.348300009965897</v>
      </c>
      <c r="D1843" s="15" t="n">
        <v>2.36500000953674</v>
      </c>
      <c r="E1843" s="15" t="n">
        <v>0.044700026512146</v>
      </c>
      <c r="F1843" s="15" t="n">
        <v>-0.265199989080429</v>
      </c>
      <c r="G1843" s="15" t="n">
        <v>2.98720002174377</v>
      </c>
      <c r="H1843" s="16">
        <f>C1843+E1843</f>
        <v/>
      </c>
    </row>
    <row r="1844">
      <c r="A1844" s="12" t="n">
        <v>44693</v>
      </c>
      <c r="B1844" s="15" t="n">
        <v>0.209300011396408</v>
      </c>
      <c r="C1844" s="15" t="n">
        <v>0.327399998903275</v>
      </c>
      <c r="D1844" s="15" t="n">
        <v>2.35209989547729</v>
      </c>
      <c r="E1844" s="15" t="n">
        <v>0.0394999980926514</v>
      </c>
      <c r="F1844" s="15" t="n">
        <v>-0.202399998903275</v>
      </c>
      <c r="G1844" s="15" t="n">
        <v>2.92829990386963</v>
      </c>
      <c r="H1844" s="16">
        <f>C1844+E1844</f>
        <v/>
      </c>
    </row>
    <row r="1845">
      <c r="A1845" s="12" t="n">
        <v>44694</v>
      </c>
      <c r="B1845" s="15" t="n">
        <v>0.23580002784729</v>
      </c>
      <c r="C1845" s="15" t="n">
        <v>0.350499987602234</v>
      </c>
      <c r="D1845" s="15" t="n">
        <v>2.36849999427795</v>
      </c>
      <c r="E1845" s="15" t="n">
        <v>0.0444999933242798</v>
      </c>
      <c r="F1845" s="15" t="n">
        <v>-0.275400012731552</v>
      </c>
      <c r="G1845" s="15" t="n">
        <v>2.99930000305176</v>
      </c>
      <c r="H1845" s="16">
        <f>C1845+E1845</f>
        <v/>
      </c>
    </row>
    <row r="1846">
      <c r="A1846" s="12" t="n">
        <v>44697</v>
      </c>
      <c r="B1846" s="15" t="n">
        <v>0.230500012636185</v>
      </c>
      <c r="C1846" s="15" t="n">
        <v>0.327699989080429</v>
      </c>
      <c r="D1846" s="15" t="n">
        <v>2.35859990119934</v>
      </c>
      <c r="E1846" s="15" t="n">
        <v>0.0382000207901001</v>
      </c>
      <c r="F1846" s="15" t="n">
        <v>-0.270300000905991</v>
      </c>
      <c r="G1846" s="15" t="n">
        <v>2.95499992370605</v>
      </c>
      <c r="H1846" s="16">
        <f>C1846+E1846</f>
        <v/>
      </c>
    </row>
    <row r="1847">
      <c r="A1847" s="12" t="n">
        <v>44698</v>
      </c>
      <c r="B1847" s="15" t="n">
        <v>0.267999976873398</v>
      </c>
      <c r="C1847" s="15" t="n">
        <v>0.359100013971329</v>
      </c>
      <c r="D1847" s="15" t="n">
        <v>2.38030004501343</v>
      </c>
      <c r="E1847" s="15" t="n">
        <v>0.0453999042510986</v>
      </c>
      <c r="F1847" s="15" t="n">
        <v>-0.261099994182587</v>
      </c>
      <c r="G1847" s="15" t="n">
        <v>3.05279994010925</v>
      </c>
      <c r="H1847" s="16">
        <f>C1847+E1847</f>
        <v/>
      </c>
    </row>
    <row r="1848">
      <c r="A1848" s="12" t="n">
        <v>44699</v>
      </c>
      <c r="B1848" s="15" t="n">
        <v>0.240700006484985</v>
      </c>
      <c r="C1848" s="15" t="n">
        <v>0.320699989795685</v>
      </c>
      <c r="D1848" s="15" t="n">
        <v>2.3561999797821</v>
      </c>
      <c r="E1848" s="15" t="n">
        <v>0.0368000864982605</v>
      </c>
      <c r="F1848" s="15" t="n">
        <v>-0.278899997472763</v>
      </c>
      <c r="G1848" s="15" t="n">
        <v>2.95440006256104</v>
      </c>
      <c r="H1848" s="16">
        <f>C1848+E1848</f>
        <v/>
      </c>
    </row>
    <row r="1849">
      <c r="A1849" s="12" t="n">
        <v>44700</v>
      </c>
      <c r="B1849" s="15" t="n">
        <v>0.222999960184097</v>
      </c>
      <c r="C1849" s="15" t="n">
        <v>0.313100010156631</v>
      </c>
      <c r="D1849" s="15" t="n">
        <v>2.34910011291504</v>
      </c>
      <c r="E1849" s="15" t="n">
        <v>0.0352999567985535</v>
      </c>
      <c r="F1849" s="15" t="n">
        <v>-0.230800002813339</v>
      </c>
      <c r="G1849" s="15" t="n">
        <v>2.92050004005432</v>
      </c>
      <c r="H1849" s="16">
        <f>C1849+E1849</f>
        <v/>
      </c>
    </row>
    <row r="1850">
      <c r="A1850" s="12" t="n">
        <v>44701</v>
      </c>
      <c r="B1850" s="15" t="n">
        <v>0.205499976873398</v>
      </c>
      <c r="C1850" s="15" t="n">
        <v>0.296200007200241</v>
      </c>
      <c r="D1850" s="15" t="n">
        <v>2.33789992332458</v>
      </c>
      <c r="E1850" s="15" t="n">
        <v>0.0315000414848328</v>
      </c>
      <c r="F1850" s="15" t="n">
        <v>-0.169400006532669</v>
      </c>
      <c r="G1850" s="15" t="n">
        <v>2.87109994888306</v>
      </c>
      <c r="H1850" s="16">
        <f>C1850+E1850</f>
        <v/>
      </c>
    </row>
    <row r="1851">
      <c r="A1851" s="12" t="n">
        <v>44704</v>
      </c>
      <c r="B1851" s="15" t="n">
        <v>0.236999988555908</v>
      </c>
      <c r="C1851" s="15" t="n">
        <v>0.316399991512299</v>
      </c>
      <c r="D1851" s="15" t="n">
        <v>2.35400009155273</v>
      </c>
      <c r="E1851" s="15" t="n">
        <v>0.0356000065803528</v>
      </c>
      <c r="F1851" s="15" t="n">
        <v>-0.179499998688698</v>
      </c>
      <c r="G1851" s="15" t="n">
        <v>2.94300007820129</v>
      </c>
      <c r="H1851" s="16">
        <f>C1851+E1851</f>
        <v/>
      </c>
    </row>
    <row r="1852">
      <c r="A1852" s="12" t="n">
        <v>44705</v>
      </c>
      <c r="B1852" s="15" t="n">
        <v>0.198199987411499</v>
      </c>
      <c r="C1852" s="15" t="n">
        <v>0.280600011348724</v>
      </c>
      <c r="D1852" s="15" t="n">
        <v>2.33010005950928</v>
      </c>
      <c r="E1852" s="15" t="n">
        <v>0.0273998379707336</v>
      </c>
      <c r="F1852" s="15" t="n">
        <v>-0.16329999268055</v>
      </c>
      <c r="G1852" s="15" t="n">
        <v>2.83629989624023</v>
      </c>
      <c r="H1852" s="16">
        <f>C1852+E1852</f>
        <v/>
      </c>
    </row>
    <row r="1853">
      <c r="A1853" s="12" t="n">
        <v>44706</v>
      </c>
      <c r="B1853" s="15" t="n">
        <v>0.189599990844727</v>
      </c>
      <c r="C1853" s="15" t="n">
        <v>0.274300009012222</v>
      </c>
      <c r="D1853" s="15" t="n">
        <v>2.32610011100769</v>
      </c>
      <c r="E1853" s="15" t="n">
        <v>0.0257998406887054</v>
      </c>
      <c r="F1853" s="15" t="n">
        <v>-0.16779999434948</v>
      </c>
      <c r="G1853" s="15" t="n">
        <v>2.81579995155334</v>
      </c>
      <c r="H1853" s="16">
        <f>C1853+E1853</f>
        <v/>
      </c>
    </row>
    <row r="1854">
      <c r="A1854" s="12" t="n">
        <v>44707</v>
      </c>
      <c r="B1854" s="15" t="n">
        <v>0.187800019979477</v>
      </c>
      <c r="C1854" s="15" t="n">
        <v>0.273299992084503</v>
      </c>
      <c r="D1854" s="15" t="n">
        <v>2.32559990882874</v>
      </c>
      <c r="E1854" s="15" t="n">
        <v>0.0254000127315521</v>
      </c>
      <c r="F1854" s="15" t="n">
        <v>-0.235400006175041</v>
      </c>
      <c r="G1854" s="15" t="n">
        <v>2.81209993362427</v>
      </c>
      <c r="H1854" s="16">
        <f>C1854+E1854</f>
        <v/>
      </c>
    </row>
    <row r="1855">
      <c r="A1855" s="12" t="n">
        <v>44708</v>
      </c>
      <c r="B1855" s="15" t="n">
        <v>0.191300004720688</v>
      </c>
      <c r="C1855" s="15" t="n">
        <v>0.274399995803833</v>
      </c>
      <c r="D1855" s="15" t="n">
        <v>2.32690000534058</v>
      </c>
      <c r="E1855" s="15" t="n">
        <v>0.0256001055240631</v>
      </c>
      <c r="F1855" s="15" t="n">
        <v>-0.245800003409386</v>
      </c>
      <c r="G1855" s="15" t="n">
        <v>2.81820011138916</v>
      </c>
      <c r="H1855" s="16">
        <f>C1855+E1855</f>
        <v/>
      </c>
    </row>
    <row r="1856">
      <c r="A1856" s="12" t="n">
        <v>44712</v>
      </c>
      <c r="B1856" s="15" t="n">
        <v>0.237100005149841</v>
      </c>
      <c r="C1856" s="15" t="n">
        <v>0.303600013256073</v>
      </c>
      <c r="D1856" s="15" t="n">
        <v>2.35130000114441</v>
      </c>
      <c r="E1856" s="15" t="n">
        <v>0.0310000777244568</v>
      </c>
      <c r="F1856" s="15" t="n">
        <v>-0.235799998044968</v>
      </c>
      <c r="G1856" s="15" t="n">
        <v>2.92300009727478</v>
      </c>
      <c r="H1856" s="16">
        <f>C1856+E1856</f>
        <v/>
      </c>
    </row>
    <row r="1857">
      <c r="A1857" s="12" t="n">
        <v>44713</v>
      </c>
      <c r="B1857" s="15" t="n">
        <v>0.269399970769882</v>
      </c>
      <c r="C1857" s="15" t="n">
        <v>0.335700005292892</v>
      </c>
      <c r="D1857" s="15" t="n">
        <v>2.37170004844666</v>
      </c>
      <c r="E1857" s="15" t="n">
        <v>0.0385999083518982</v>
      </c>
      <c r="F1857" s="15" t="n">
        <v>-0.200900003314018</v>
      </c>
      <c r="G1857" s="15" t="n">
        <v>3.01539993286133</v>
      </c>
      <c r="H1857" s="16">
        <f>C1857+E1857</f>
        <v/>
      </c>
    </row>
    <row r="1858">
      <c r="A1858" s="12" t="n">
        <v>44714</v>
      </c>
      <c r="B1858" s="15" t="n">
        <v>0.26230001449585</v>
      </c>
      <c r="C1858" s="15" t="n">
        <v>0.32260000705719</v>
      </c>
      <c r="D1858" s="15" t="n">
        <v>2.36360001564026</v>
      </c>
      <c r="E1858" s="15" t="n">
        <v>0.0357998609542847</v>
      </c>
      <c r="F1858" s="15" t="n">
        <v>-0.220200002193451</v>
      </c>
      <c r="G1858" s="15" t="n">
        <v>2.98429989814758</v>
      </c>
      <c r="H1858" s="16">
        <f>C1858+E1858</f>
        <v/>
      </c>
    </row>
    <row r="1859">
      <c r="A1859" s="12" t="n">
        <v>44715</v>
      </c>
      <c r="B1859" s="15" t="n">
        <v>0.274199992418289</v>
      </c>
      <c r="C1859" s="15" t="n">
        <v>0.328099995851517</v>
      </c>
      <c r="D1859" s="15" t="n">
        <v>2.36849999427795</v>
      </c>
      <c r="E1859" s="15" t="n">
        <v>0.0368999838829041</v>
      </c>
      <c r="F1859" s="15" t="n">
        <v>-0.266699999570847</v>
      </c>
      <c r="G1859" s="15" t="n">
        <v>3.00769996643066</v>
      </c>
      <c r="H1859" s="16">
        <f>C1859+E1859</f>
        <v/>
      </c>
    </row>
    <row r="1860">
      <c r="A1860" s="12" t="n">
        <v>44718</v>
      </c>
      <c r="B1860" s="15" t="n">
        <v>0.31180003285408</v>
      </c>
      <c r="C1860" s="15" t="n">
        <v>0.357199996709824</v>
      </c>
      <c r="D1860" s="15" t="n">
        <v>2.39030003547668</v>
      </c>
      <c r="E1860" s="15" t="n">
        <v>0.0428999662399292</v>
      </c>
      <c r="F1860" s="15" t="n">
        <v>-0.266499996185303</v>
      </c>
      <c r="G1860" s="15" t="n">
        <v>3.10220003128052</v>
      </c>
      <c r="H1860" s="16">
        <f>C1860+E1860</f>
        <v/>
      </c>
    </row>
    <row r="1861">
      <c r="A1861" s="12" t="n">
        <v>44719</v>
      </c>
      <c r="B1861" s="15" t="n">
        <v>0.299300014972687</v>
      </c>
      <c r="C1861" s="15" t="n">
        <v>0.335799992084503</v>
      </c>
      <c r="D1861" s="15" t="n">
        <v>2.37800002098083</v>
      </c>
      <c r="E1861" s="15" t="n">
        <v>0.0377999544143677</v>
      </c>
      <c r="F1861" s="15" t="n">
        <v>-0.268799990415573</v>
      </c>
      <c r="G1861" s="15" t="n">
        <v>3.05089998245239</v>
      </c>
      <c r="H1861" s="16">
        <f>C1861+E1861</f>
        <v/>
      </c>
    </row>
    <row r="1862">
      <c r="A1862" s="12" t="n">
        <v>44720</v>
      </c>
      <c r="B1862" s="15" t="n">
        <v>0.315099984407425</v>
      </c>
      <c r="C1862" s="15" t="n">
        <v>0.349400013685226</v>
      </c>
      <c r="D1862" s="15" t="n">
        <v>2.38790011405945</v>
      </c>
      <c r="E1862" s="15" t="n">
        <v>0.0405998229980469</v>
      </c>
      <c r="F1862" s="15" t="n">
        <v>-0.268999993801117</v>
      </c>
      <c r="G1862" s="15" t="n">
        <v>3.09299993515015</v>
      </c>
      <c r="H1862" s="16">
        <f>C1862+E1862</f>
        <v/>
      </c>
    </row>
    <row r="1863">
      <c r="A1863" s="12" t="n">
        <v>44721</v>
      </c>
      <c r="B1863" s="15" t="n">
        <v>0.325199961662292</v>
      </c>
      <c r="C1863" s="15" t="n">
        <v>0.350300014019012</v>
      </c>
      <c r="D1863" s="15" t="n">
        <v>2.39010000228882</v>
      </c>
      <c r="E1863" s="15" t="n">
        <v>0.0407001376152039</v>
      </c>
      <c r="F1863" s="15" t="n">
        <v>-0.271200001239777</v>
      </c>
      <c r="G1863" s="15" t="n">
        <v>3.10630011558533</v>
      </c>
      <c r="H1863" s="16">
        <f>C1863+E1863</f>
        <v/>
      </c>
    </row>
    <row r="1864">
      <c r="A1864" s="12" t="n">
        <v>44722</v>
      </c>
      <c r="B1864" s="15" t="n">
        <v>0.392899990081787</v>
      </c>
      <c r="C1864" s="15" t="n">
        <v>0.380400002002716</v>
      </c>
      <c r="D1864" s="15" t="n">
        <v>2.417799949646</v>
      </c>
      <c r="E1864" s="15" t="n">
        <v>0.0465001463890076</v>
      </c>
      <c r="F1864" s="15" t="n">
        <v>-0.269600003957748</v>
      </c>
      <c r="G1864" s="15" t="n">
        <v>3.23760008811951</v>
      </c>
      <c r="H1864" s="16">
        <f>C1864+E1864</f>
        <v/>
      </c>
    </row>
    <row r="1865">
      <c r="A1865" s="12" t="n">
        <v>44725</v>
      </c>
      <c r="B1865" s="15" t="n">
        <v>0.521299988031387</v>
      </c>
      <c r="C1865" s="15" t="n">
        <v>0.451700001955032</v>
      </c>
      <c r="D1865" s="15" t="n">
        <v>2.47810006141663</v>
      </c>
      <c r="E1865" s="15" t="n">
        <v>0.0604999661445618</v>
      </c>
      <c r="F1865" s="15" t="n">
        <v>-0.191799998283386</v>
      </c>
      <c r="G1865" s="15" t="n">
        <v>3.51160001754761</v>
      </c>
      <c r="H1865" s="16">
        <f>C1865+E1865</f>
        <v/>
      </c>
    </row>
    <row r="1866">
      <c r="A1866" s="12" t="n">
        <v>44726</v>
      </c>
      <c r="B1866" s="15" t="n">
        <v>0.5669999420642849</v>
      </c>
      <c r="C1866" s="15" t="n">
        <v>0.460700005292892</v>
      </c>
      <c r="D1866" s="15" t="n">
        <v>2.49429988861084</v>
      </c>
      <c r="E1866" s="15" t="n">
        <v>0.0604002475738525</v>
      </c>
      <c r="F1866" s="15" t="n">
        <v>-0.0421000011265278</v>
      </c>
      <c r="G1866" s="15" t="n">
        <v>3.58240008354187</v>
      </c>
      <c r="H1866" s="16">
        <f>C1866+E1866</f>
        <v/>
      </c>
    </row>
    <row r="1867">
      <c r="A1867" s="12" t="n">
        <v>44727</v>
      </c>
      <c r="B1867" s="15" t="n">
        <v>0.490000009536743</v>
      </c>
      <c r="C1867" s="15" t="n">
        <v>0.396499991416931</v>
      </c>
      <c r="D1867" s="15" t="n">
        <v>2.45029997825623</v>
      </c>
      <c r="E1867" s="15" t="n">
        <v>0.0456999540328979</v>
      </c>
      <c r="F1867" s="15" t="n">
        <v>-0.153500005602837</v>
      </c>
      <c r="G1867" s="15" t="n">
        <v>3.3824999332428</v>
      </c>
      <c r="H1867" s="16">
        <f>C1867+E1867</f>
        <v/>
      </c>
    </row>
    <row r="1868">
      <c r="A1868" s="12" t="n">
        <v>44728</v>
      </c>
      <c r="B1868" s="15" t="n">
        <v>0.466500014066696</v>
      </c>
      <c r="C1868" s="15" t="n">
        <v>0.388099998235703</v>
      </c>
      <c r="D1868" s="15" t="n">
        <v>2.4407000541687</v>
      </c>
      <c r="E1868" s="15" t="n">
        <v>0.0445999503135681</v>
      </c>
      <c r="F1868" s="15" t="n">
        <v>-0.0841000005602837</v>
      </c>
      <c r="G1868" s="15" t="n">
        <v>3.33990001678467</v>
      </c>
      <c r="H1868" s="16">
        <f>C1868+E1868</f>
        <v/>
      </c>
    </row>
    <row r="1869">
      <c r="A1869" s="12" t="n">
        <v>44729</v>
      </c>
      <c r="B1869" s="15" t="n">
        <v>0.462800025939941</v>
      </c>
      <c r="C1869" s="15" t="n">
        <v>0.385399997234344</v>
      </c>
      <c r="D1869" s="15" t="n">
        <v>2.43840003013611</v>
      </c>
      <c r="E1869" s="15" t="n">
        <v>0.0442999005317688</v>
      </c>
      <c r="F1869" s="15" t="n">
        <v>-0.0467000007629395</v>
      </c>
      <c r="G1869" s="15" t="n">
        <v>3.33089995384216</v>
      </c>
      <c r="H1869" s="16">
        <f>C1869+E1869</f>
        <v/>
      </c>
    </row>
    <row r="1870">
      <c r="A1870" s="12" t="n">
        <v>44733</v>
      </c>
      <c r="B1870" s="15" t="n">
        <v>0.503899991512299</v>
      </c>
      <c r="C1870" s="15" t="n">
        <v>0.386500000953674</v>
      </c>
      <c r="D1870" s="15" t="n">
        <v>2.45059990882874</v>
      </c>
      <c r="E1870" s="15" t="n">
        <v>0.0421001315116882</v>
      </c>
      <c r="F1870" s="15" t="n">
        <v>-0.0603000000119209</v>
      </c>
      <c r="G1870" s="15" t="n">
        <v>3.3831000328064</v>
      </c>
      <c r="H1870" s="16">
        <f>C1870+E1870</f>
        <v/>
      </c>
    </row>
    <row r="1871">
      <c r="A1871" s="12" t="n">
        <v>44734</v>
      </c>
      <c r="B1871" s="15" t="n">
        <v>0.455699980258942</v>
      </c>
      <c r="C1871" s="15" t="n">
        <v>0.334500014781952</v>
      </c>
      <c r="D1871" s="15" t="n">
        <v>2.41820001602173</v>
      </c>
      <c r="E1871" s="15" t="n">
        <v>0.0297999382019043</v>
      </c>
      <c r="F1871" s="15" t="n">
        <v>-0.0348999984562397</v>
      </c>
      <c r="G1871" s="15" t="n">
        <v>3.23819994926453</v>
      </c>
      <c r="H1871" s="16">
        <f>C1871+E1871</f>
        <v/>
      </c>
    </row>
    <row r="1872">
      <c r="A1872" s="12" t="n">
        <v>44735</v>
      </c>
      <c r="B1872" s="15" t="n">
        <v>0.436600029468536</v>
      </c>
      <c r="C1872" s="15" t="n">
        <v>0.307399988174438</v>
      </c>
      <c r="D1872" s="15" t="n">
        <v>2.40370011329651</v>
      </c>
      <c r="E1872" s="15" t="n">
        <v>0.0225998759269714</v>
      </c>
      <c r="F1872" s="15" t="n">
        <v>-0.0220999997109175</v>
      </c>
      <c r="G1872" s="15" t="n">
        <v>3.17030000686646</v>
      </c>
      <c r="H1872" s="16">
        <f>C1872+E1872</f>
        <v/>
      </c>
    </row>
    <row r="1873">
      <c r="A1873" s="12" t="n">
        <v>44736</v>
      </c>
      <c r="B1873" s="15" t="n">
        <v>0.454200029373169</v>
      </c>
      <c r="C1873" s="15" t="n">
        <v>0.313899993896484</v>
      </c>
      <c r="D1873" s="15" t="n">
        <v>2.41199994087219</v>
      </c>
      <c r="E1873" s="15" t="n">
        <v>0.0231001377105713</v>
      </c>
      <c r="F1873" s="15" t="n">
        <v>-0.0593000017106533</v>
      </c>
      <c r="G1873" s="15" t="n">
        <v>3.20320010185242</v>
      </c>
      <c r="H1873" s="16">
        <f>C1873+E1873</f>
        <v/>
      </c>
    </row>
    <row r="1874">
      <c r="A1874" s="12" t="n">
        <v>44739</v>
      </c>
      <c r="B1874" s="15" t="n">
        <v>0.487299978733063</v>
      </c>
      <c r="C1874" s="15" t="n">
        <v>0.334100008010864</v>
      </c>
      <c r="D1874" s="15" t="n">
        <v>2.42910003662109</v>
      </c>
      <c r="E1874" s="15" t="n">
        <v>0.0268999934196472</v>
      </c>
      <c r="F1874" s="15" t="n">
        <v>-0.0364999994635582</v>
      </c>
      <c r="G1874" s="15" t="n">
        <v>3.27740001678467</v>
      </c>
      <c r="H1874" s="16">
        <f>C1874+E1874</f>
        <v/>
      </c>
    </row>
    <row r="1875">
      <c r="A1875" s="12" t="n">
        <v>44740</v>
      </c>
      <c r="B1875" s="15" t="n">
        <v>0.490199983119965</v>
      </c>
      <c r="C1875" s="15" t="n">
        <v>0.33840000629425</v>
      </c>
      <c r="D1875" s="15" t="n">
        <v>2.43199992179871</v>
      </c>
      <c r="E1875" s="15" t="n">
        <v>0.0277001261711121</v>
      </c>
      <c r="F1875" s="15" t="n">
        <v>0.00740000000223517</v>
      </c>
      <c r="G1875" s="15" t="n">
        <v>3.28830003738403</v>
      </c>
      <c r="H1875" s="16">
        <f>C1875+E1875</f>
        <v/>
      </c>
    </row>
    <row r="1876">
      <c r="A1876" s="12" t="n">
        <v>44741</v>
      </c>
      <c r="B1876" s="15" t="n">
        <v>0.465799987316132</v>
      </c>
      <c r="C1876" s="15" t="n">
        <v>0.3125</v>
      </c>
      <c r="D1876" s="15" t="n">
        <v>2.416100025177</v>
      </c>
      <c r="E1876" s="15" t="n">
        <v>0.0214999318122864</v>
      </c>
      <c r="F1876" s="15" t="n">
        <v>0.123700000345707</v>
      </c>
      <c r="G1876" s="15" t="n">
        <v>3.21589994430542</v>
      </c>
      <c r="H1876" s="16">
        <f>C1876+E1876</f>
        <v/>
      </c>
    </row>
    <row r="1877">
      <c r="A1877" s="12" t="n">
        <v>44742</v>
      </c>
      <c r="B1877" s="15" t="n">
        <v>0.416300028562546</v>
      </c>
      <c r="C1877" s="15" t="n">
        <v>0.266999989748001</v>
      </c>
      <c r="D1877" s="15" t="n">
        <v>2.38590002059937</v>
      </c>
      <c r="E1877" s="15" t="n">
        <v>0.0109999179840088</v>
      </c>
      <c r="F1877" s="15" t="n">
        <v>0.0734999999403954</v>
      </c>
      <c r="G1877" s="15" t="n">
        <v>3.08019995689392</v>
      </c>
      <c r="H1877" s="16">
        <f>C1877+E1877</f>
        <v/>
      </c>
    </row>
    <row r="1878">
      <c r="A1878" s="12" t="n">
        <v>44743</v>
      </c>
      <c r="B1878" s="15" t="n">
        <v>0.377499997615814</v>
      </c>
      <c r="C1878" s="15" t="n">
        <v>0.220200002193451</v>
      </c>
      <c r="D1878" s="15" t="n">
        <v>2.35719990730286</v>
      </c>
      <c r="E1878" s="15" t="n">
        <v>-0.000100016593933105</v>
      </c>
      <c r="F1878" s="15" t="n">
        <v>0.0340999998152256</v>
      </c>
      <c r="G1878" s="15" t="n">
        <v>2.95479989051819</v>
      </c>
      <c r="H1878" s="16">
        <f>C1878+E1878</f>
        <v/>
      </c>
    </row>
    <row r="1879">
      <c r="A1879" s="12" t="n">
        <v>44747</v>
      </c>
      <c r="B1879" s="15" t="n">
        <v>0.375600025057793</v>
      </c>
      <c r="C1879" s="15" t="n">
        <v>0.204999998211861</v>
      </c>
      <c r="D1879" s="15" t="n">
        <v>2.35229992866516</v>
      </c>
      <c r="E1879" s="15" t="n">
        <v>-0.00479984283447266</v>
      </c>
      <c r="F1879" s="15" t="n">
        <v>0.0491999983787537</v>
      </c>
      <c r="G1879" s="15" t="n">
        <v>2.92810010910034</v>
      </c>
      <c r="H1879" s="16">
        <f>C1879+E1879</f>
        <v/>
      </c>
    </row>
    <row r="1880">
      <c r="A1880" s="12" t="n">
        <v>44748</v>
      </c>
      <c r="B1880" s="15" t="n">
        <v>0.418999969959259</v>
      </c>
      <c r="C1880" s="15" t="n">
        <v>0.241400003433228</v>
      </c>
      <c r="D1880" s="15" t="n">
        <v>2.37789988517761</v>
      </c>
      <c r="E1880" s="15" t="n">
        <v>0.00310009717941284</v>
      </c>
      <c r="F1880" s="15" t="n">
        <v>0.0917999967932701</v>
      </c>
      <c r="G1880" s="15" t="n">
        <v>3.04139995574951</v>
      </c>
      <c r="H1880" s="16">
        <f>C1880+E1880</f>
        <v/>
      </c>
    </row>
    <row r="1881">
      <c r="A1881" s="12" t="n">
        <v>44749</v>
      </c>
      <c r="B1881" s="15" t="n">
        <v>0.44269996881485</v>
      </c>
      <c r="C1881" s="15" t="n">
        <v>0.263700008392334</v>
      </c>
      <c r="D1881" s="15" t="n">
        <v>2.39229989051819</v>
      </c>
      <c r="E1881" s="15" t="n">
        <v>0.008500039577484131</v>
      </c>
      <c r="F1881" s="15" t="n">
        <v>0.08100000023841861</v>
      </c>
      <c r="G1881" s="15" t="n">
        <v>3.10719990730286</v>
      </c>
      <c r="H1881" s="16">
        <f>C1881+E1881</f>
        <v/>
      </c>
    </row>
    <row r="1882">
      <c r="A1882" s="12" t="n">
        <v>44750</v>
      </c>
      <c r="B1882" s="15" t="n">
        <v>0.47309997677803</v>
      </c>
      <c r="C1882" s="15" t="n">
        <v>0.288599997758865</v>
      </c>
      <c r="D1882" s="15" t="n">
        <v>2.40960001945496</v>
      </c>
      <c r="E1882" s="15" t="n">
        <v>0.0140001177787781</v>
      </c>
      <c r="F1882" s="15" t="n">
        <v>0.049600001424551</v>
      </c>
      <c r="G1882" s="15" t="n">
        <v>3.18530011177063</v>
      </c>
      <c r="H1882" s="16">
        <f>C1882+E1882</f>
        <v/>
      </c>
    </row>
    <row r="1883">
      <c r="A1883" s="12" t="n">
        <v>44753</v>
      </c>
      <c r="B1883" s="15" t="n">
        <v>0.461300000548363</v>
      </c>
      <c r="C1883" s="15" t="n">
        <v>0.241300001740456</v>
      </c>
      <c r="D1883" s="15" t="n">
        <v>2.38680005073547</v>
      </c>
      <c r="E1883" s="15" t="n">
        <v>0.00199985504150391</v>
      </c>
      <c r="F1883" s="15" t="n">
        <v>0.0606000013649464</v>
      </c>
      <c r="G1883" s="15" t="n">
        <v>3.0913999080658</v>
      </c>
      <c r="H1883" s="16">
        <f>C1883+E1883</f>
        <v/>
      </c>
    </row>
    <row r="1884">
      <c r="A1884" s="12" t="n">
        <v>44754</v>
      </c>
      <c r="B1884" s="15" t="n">
        <v>0.446700006723404</v>
      </c>
      <c r="C1884" s="15" t="n">
        <v>0.220400005578995</v>
      </c>
      <c r="D1884" s="15" t="n">
        <v>2.37459993362427</v>
      </c>
      <c r="E1884" s="15" t="n">
        <v>-0.00309997797012329</v>
      </c>
      <c r="F1884" s="15" t="n">
        <v>0.07220000028610229</v>
      </c>
      <c r="G1884" s="15" t="n">
        <v>3.03859996795654</v>
      </c>
      <c r="H1884" s="16">
        <f>C1884+E1884</f>
        <v/>
      </c>
    </row>
    <row r="1885">
      <c r="A1885" s="12" t="n">
        <v>44755</v>
      </c>
      <c r="B1885" s="15" t="n">
        <v>0.460799992084503</v>
      </c>
      <c r="C1885" s="15" t="n">
        <v>0.186800003051758</v>
      </c>
      <c r="D1885" s="15" t="n">
        <v>2.36290001869202</v>
      </c>
      <c r="E1885" s="15" t="n">
        <v>-0.0123000741004944</v>
      </c>
      <c r="F1885" s="15" t="n">
        <v>0.0500999987125397</v>
      </c>
      <c r="G1885" s="15" t="n">
        <v>2.99819993972778</v>
      </c>
      <c r="H1885" s="16">
        <f>C1885+E1885</f>
        <v/>
      </c>
    </row>
    <row r="1886">
      <c r="A1886" s="12" t="n">
        <v>44756</v>
      </c>
      <c r="B1886" s="15" t="n">
        <v>0.472699984908104</v>
      </c>
      <c r="C1886" s="15" t="n">
        <v>0.200699999928474</v>
      </c>
      <c r="D1886" s="15" t="n">
        <v>2.37170004844666</v>
      </c>
      <c r="E1886" s="15" t="n">
        <v>-0.00900012254714966</v>
      </c>
      <c r="F1886" s="15" t="n">
        <v>0.0432999990880489</v>
      </c>
      <c r="G1886" s="15" t="n">
        <v>3.03609991073608</v>
      </c>
      <c r="H1886" s="16">
        <f>C1886+E1886</f>
        <v/>
      </c>
    </row>
    <row r="1887">
      <c r="A1887" s="12" t="n">
        <v>44757</v>
      </c>
      <c r="B1887" s="15" t="n">
        <v>0.466799974441528</v>
      </c>
      <c r="C1887" s="15" t="n">
        <v>0.190400004386902</v>
      </c>
      <c r="D1887" s="15" t="n">
        <v>2.36549997329712</v>
      </c>
      <c r="E1887" s="15" t="n">
        <v>-0.0112999677658081</v>
      </c>
      <c r="F1887" s="15" t="n">
        <v>0.0138999996706843</v>
      </c>
      <c r="G1887" s="15" t="n">
        <v>3.01139998435974</v>
      </c>
      <c r="H1887" s="16">
        <f>C1887+E1887</f>
        <v/>
      </c>
    </row>
    <row r="1888">
      <c r="A1888" s="12" t="n">
        <v>44760</v>
      </c>
      <c r="B1888" s="15" t="n">
        <v>0.483199998736382</v>
      </c>
      <c r="C1888" s="15" t="n">
        <v>0.192399993538857</v>
      </c>
      <c r="D1888" s="15" t="n">
        <v>2.37109994888306</v>
      </c>
      <c r="E1888" s="15" t="n">
        <v>-0.0117999911308289</v>
      </c>
      <c r="F1888" s="15" t="n">
        <v>-0.00329999998211861</v>
      </c>
      <c r="G1888" s="15" t="n">
        <v>3.03489995002747</v>
      </c>
      <c r="H1888" s="16">
        <f>C1888+E1888</f>
        <v/>
      </c>
    </row>
    <row r="1889">
      <c r="A1889" s="12" t="n">
        <v>44761</v>
      </c>
      <c r="B1889" s="15" t="n">
        <v>0.508500024676323</v>
      </c>
      <c r="C1889" s="15" t="n">
        <v>0.205699995160103</v>
      </c>
      <c r="D1889" s="15" t="n">
        <v>2.38280010223389</v>
      </c>
      <c r="E1889" s="15" t="n">
        <v>-0.00930023193359375</v>
      </c>
      <c r="F1889" s="15" t="n">
        <v>-0.00719999987632036</v>
      </c>
      <c r="G1889" s="15" t="n">
        <v>3.08769989013672</v>
      </c>
      <c r="H1889" s="16">
        <f>C1889+E1889</f>
        <v/>
      </c>
    </row>
    <row r="1890">
      <c r="A1890" s="12" t="n">
        <v>44762</v>
      </c>
      <c r="B1890" s="15" t="n">
        <v>0.517299979925156</v>
      </c>
      <c r="C1890" s="15" t="n">
        <v>0.216800004243851</v>
      </c>
      <c r="D1890" s="15" t="n">
        <v>2.38910007476807</v>
      </c>
      <c r="E1890" s="15" t="n">
        <v>-0.006600022315979</v>
      </c>
      <c r="F1890" s="15" t="n">
        <v>0.00359999993816018</v>
      </c>
      <c r="G1890" s="15" t="n">
        <v>3.11660003662109</v>
      </c>
      <c r="H1890" s="16">
        <f>C1890+E1890</f>
        <v/>
      </c>
    </row>
    <row r="1891">
      <c r="A1891" s="12" t="n">
        <v>44763</v>
      </c>
      <c r="B1891" s="15" t="n">
        <v>0.461199998855591</v>
      </c>
      <c r="C1891" s="15" t="n">
        <v>0.168099999427795</v>
      </c>
      <c r="D1891" s="15" t="n">
        <v>2.35540008544922</v>
      </c>
      <c r="E1891" s="15" t="n">
        <v>-0.017300009727478</v>
      </c>
      <c r="F1891" s="15" t="n">
        <v>0.0502999983727932</v>
      </c>
      <c r="G1891" s="15" t="n">
        <v>2.96740007400513</v>
      </c>
      <c r="H1891" s="16">
        <f>C1891+E1891</f>
        <v/>
      </c>
    </row>
    <row r="1892">
      <c r="A1892" s="12" t="n">
        <v>44764</v>
      </c>
      <c r="B1892" s="15" t="n">
        <v>0.414399981498718</v>
      </c>
      <c r="C1892" s="15" t="n">
        <v>0.118900001049042</v>
      </c>
      <c r="D1892" s="15" t="n">
        <v>2.3238000869751</v>
      </c>
      <c r="E1892" s="15" t="n">
        <v>-0.0286000370979309</v>
      </c>
      <c r="F1892" s="15" t="n">
        <v>0.011400000192225</v>
      </c>
      <c r="G1892" s="15" t="n">
        <v>2.82850003242493</v>
      </c>
      <c r="H1892" s="16">
        <f>C1892+E1892</f>
        <v/>
      </c>
    </row>
    <row r="1893">
      <c r="A1893" s="12" t="n">
        <v>44767</v>
      </c>
      <c r="B1893" s="15" t="n">
        <v>0.437500007450581</v>
      </c>
      <c r="C1893" s="15" t="n">
        <v>0.123599998652935</v>
      </c>
      <c r="D1893" s="15" t="n">
        <v>2.33249998092651</v>
      </c>
      <c r="E1893" s="15" t="n">
        <v>-0.0288999080657959</v>
      </c>
      <c r="F1893" s="15" t="n">
        <v>-0.00279999990016222</v>
      </c>
      <c r="G1893" s="15" t="n">
        <v>2.86470007896423</v>
      </c>
      <c r="H1893" s="16">
        <f>C1893+E1893</f>
        <v/>
      </c>
    </row>
    <row r="1894">
      <c r="A1894" s="12" t="n">
        <v>44768</v>
      </c>
      <c r="B1894" s="15" t="n">
        <v>0.433300018310547</v>
      </c>
      <c r="C1894" s="15" t="n">
        <v>0.126800000667572</v>
      </c>
      <c r="D1894" s="15" t="n">
        <v>2.33260011672974</v>
      </c>
      <c r="E1894" s="15" t="n">
        <v>-0.0276002287864685</v>
      </c>
      <c r="F1894" s="15" t="n">
        <v>0.00669999979436398</v>
      </c>
      <c r="G1894" s="15" t="n">
        <v>2.86509990692139</v>
      </c>
      <c r="H1894" s="16">
        <f>C1894+E1894</f>
        <v/>
      </c>
    </row>
    <row r="1895">
      <c r="A1895" s="12" t="n">
        <v>44769</v>
      </c>
      <c r="B1895" s="15" t="n">
        <v>0.407499976456165</v>
      </c>
      <c r="C1895" s="15" t="n">
        <v>0.116800002753735</v>
      </c>
      <c r="D1895" s="15" t="n">
        <v>2.32240009307861</v>
      </c>
      <c r="E1895" s="15" t="n">
        <v>-0.0293999910354614</v>
      </c>
      <c r="F1895" s="15" t="n">
        <v>-0.0467999987304211</v>
      </c>
      <c r="G1895" s="15" t="n">
        <v>2.81730008125305</v>
      </c>
      <c r="H1895" s="16">
        <f>C1895+E1895</f>
        <v/>
      </c>
    </row>
    <row r="1896">
      <c r="A1896" s="12" t="n">
        <v>44770</v>
      </c>
      <c r="B1896" s="15" t="n">
        <v>0.365599997341633</v>
      </c>
      <c r="C1896" s="15" t="n">
        <v>0.0825000032782555</v>
      </c>
      <c r="D1896" s="15" t="n">
        <v>2.29850006103516</v>
      </c>
      <c r="E1896" s="15" t="n">
        <v>-0.0370000898838043</v>
      </c>
      <c r="F1896" s="15" t="n">
        <v>-0.133200004696846</v>
      </c>
      <c r="G1896" s="15" t="n">
        <v>2.70959997177124</v>
      </c>
      <c r="H1896" s="16">
        <f>C1896+E1896</f>
        <v/>
      </c>
    </row>
    <row r="1897">
      <c r="A1897" s="12" t="n">
        <v>44771</v>
      </c>
      <c r="B1897" s="15" t="n">
        <v>0.367899991571903</v>
      </c>
      <c r="C1897" s="15" t="n">
        <v>0.07959999889135359</v>
      </c>
      <c r="D1897" s="15" t="n">
        <v>2.29789996147156</v>
      </c>
      <c r="E1897" s="15" t="n">
        <v>-0.0379998683929443</v>
      </c>
      <c r="F1897" s="15" t="n">
        <v>-0.19650000333786</v>
      </c>
      <c r="G1897" s="15" t="n">
        <v>2.70740008354187</v>
      </c>
      <c r="H1897" s="16">
        <f>C1897+E1897</f>
        <v/>
      </c>
    </row>
    <row r="1898">
      <c r="A1898" s="12" t="n">
        <v>44774</v>
      </c>
      <c r="B1898" s="15" t="n">
        <v>0.358199987560511</v>
      </c>
      <c r="C1898" s="15" t="n">
        <v>0.0520999990403652</v>
      </c>
      <c r="D1898" s="15" t="n">
        <v>2.28369998931885</v>
      </c>
      <c r="E1898" s="15" t="n">
        <v>-0.0446998775005341</v>
      </c>
      <c r="F1898" s="15" t="n">
        <v>-0.210899993777275</v>
      </c>
      <c r="G1898" s="15" t="n">
        <v>2.64930009841919</v>
      </c>
      <c r="H1898" s="16">
        <f>C1898+E1898</f>
        <v/>
      </c>
    </row>
    <row r="1899">
      <c r="A1899" s="12" t="n">
        <v>44775</v>
      </c>
      <c r="B1899" s="15" t="n">
        <v>0.415899977087975</v>
      </c>
      <c r="C1899" s="15" t="n">
        <v>0.105499997735023</v>
      </c>
      <c r="D1899" s="15" t="n">
        <v>2.31920003890991</v>
      </c>
      <c r="E1899" s="15" t="n">
        <v>-0.0325000286102295</v>
      </c>
      <c r="F1899" s="15" t="n">
        <v>-0.139400005340576</v>
      </c>
      <c r="G1899" s="15" t="n">
        <v>2.80809998512268</v>
      </c>
      <c r="H1899" s="16">
        <f>C1899+E1899</f>
        <v/>
      </c>
    </row>
    <row r="1900">
      <c r="A1900" s="12" t="n">
        <v>44776</v>
      </c>
      <c r="B1900" s="15" t="n">
        <v>0.409299992024899</v>
      </c>
      <c r="C1900" s="15" t="n">
        <v>0.090999998152256</v>
      </c>
      <c r="D1900" s="15" t="n">
        <v>2.30960011482239</v>
      </c>
      <c r="E1900" s="15" t="n">
        <v>-0.035300076007843</v>
      </c>
      <c r="F1900" s="15" t="n">
        <v>-0.163599997758865</v>
      </c>
      <c r="G1900" s="15" t="n">
        <v>2.7746000289917</v>
      </c>
      <c r="H1900" s="16">
        <f>C1900+E1900</f>
        <v/>
      </c>
    </row>
    <row r="1901">
      <c r="A1901" s="12" t="n">
        <v>44777</v>
      </c>
      <c r="B1901" s="15" t="n">
        <v>0.385700009763241</v>
      </c>
      <c r="C1901" s="15" t="n">
        <v>0.07090000063180921</v>
      </c>
      <c r="D1901" s="15" t="n">
        <v>2.29579997062683</v>
      </c>
      <c r="E1901" s="15" t="n">
        <v>-0.0397999882698059</v>
      </c>
      <c r="F1901" s="15" t="n">
        <v>-0.141800001263618</v>
      </c>
      <c r="G1901" s="15" t="n">
        <v>2.71259999275208</v>
      </c>
      <c r="H1901" s="16">
        <f>C1901+E1901</f>
        <v/>
      </c>
    </row>
    <row r="1902">
      <c r="A1902" s="12" t="n">
        <v>44778</v>
      </c>
      <c r="B1902" s="15" t="n">
        <v>0.45430002361536</v>
      </c>
      <c r="C1902" s="15" t="n">
        <v>0.117299996316433</v>
      </c>
      <c r="D1902" s="15" t="n">
        <v>2.33080005645752</v>
      </c>
      <c r="E1902" s="15" t="n">
        <v>-0.0297999978065491</v>
      </c>
      <c r="F1902" s="15" t="n">
        <v>-0.105099998414516</v>
      </c>
      <c r="G1902" s="15" t="n">
        <v>2.87260007858276</v>
      </c>
      <c r="H1902" s="16">
        <f>C1902+E1902</f>
        <v/>
      </c>
    </row>
    <row r="1903">
      <c r="A1903" s="12" t="n">
        <v>44781</v>
      </c>
      <c r="B1903" s="15" t="n">
        <v>0.442300014197826</v>
      </c>
      <c r="C1903" s="15" t="n">
        <v>0.0821999981999397</v>
      </c>
      <c r="D1903" s="15" t="n">
        <v>2.31229996681213</v>
      </c>
      <c r="E1903" s="15" t="n">
        <v>-0.0382999181747437</v>
      </c>
      <c r="F1903" s="15" t="n">
        <v>-0.13910000026226</v>
      </c>
      <c r="G1903" s="15" t="n">
        <v>2.79850006103516</v>
      </c>
      <c r="H1903" s="16">
        <f>C1903+E1903</f>
        <v/>
      </c>
    </row>
    <row r="1904">
      <c r="A1904" s="12" t="n">
        <v>44782</v>
      </c>
      <c r="B1904" s="15" t="n">
        <v>0.457100003957748</v>
      </c>
      <c r="C1904" s="15" t="n">
        <v>0.0907000005245209</v>
      </c>
      <c r="D1904" s="15" t="n">
        <v>2.3189001083374</v>
      </c>
      <c r="E1904" s="15" t="n">
        <v>-0.0364000201225281</v>
      </c>
      <c r="F1904" s="15" t="n">
        <v>-0.122000001370907</v>
      </c>
      <c r="G1904" s="15" t="n">
        <v>2.83030009269714</v>
      </c>
      <c r="H1904" s="16">
        <f>C1904+E1904</f>
        <v/>
      </c>
    </row>
    <row r="1905">
      <c r="A1905" s="12" t="n">
        <v>44783</v>
      </c>
      <c r="B1905" s="15" t="n">
        <v>0.446999989449978</v>
      </c>
      <c r="C1905" s="15" t="n">
        <v>0.0921000018715858</v>
      </c>
      <c r="D1905" s="15" t="n">
        <v>2.31769990921021</v>
      </c>
      <c r="E1905" s="15" t="n">
        <v>-0.0359998345375061</v>
      </c>
      <c r="F1905" s="15" t="n">
        <v>-0.101599998772144</v>
      </c>
      <c r="G1905" s="15" t="n">
        <v>2.82080006599426</v>
      </c>
      <c r="H1905" s="16">
        <f>C1905+E1905</f>
        <v/>
      </c>
    </row>
    <row r="1906">
      <c r="A1906" s="12" t="n">
        <v>44784</v>
      </c>
      <c r="B1906" s="15" t="n">
        <v>0.463099986314774</v>
      </c>
      <c r="C1906" s="15" t="n">
        <v>0.13060000538826</v>
      </c>
      <c r="D1906" s="15" t="n">
        <v>2.33890008926392</v>
      </c>
      <c r="E1906" s="15" t="n">
        <v>-0.0267999768257141</v>
      </c>
      <c r="F1906" s="15" t="n">
        <v>-0.114600002765656</v>
      </c>
      <c r="G1906" s="15" t="n">
        <v>2.90580010414124</v>
      </c>
      <c r="H1906" s="16">
        <f>C1906+E1906</f>
        <v/>
      </c>
    </row>
    <row r="1907">
      <c r="A1907" s="12" t="n">
        <v>44785</v>
      </c>
      <c r="B1907" s="15" t="n">
        <v>0.462499968707561</v>
      </c>
      <c r="C1907" s="15" t="n">
        <v>0.118500001728535</v>
      </c>
      <c r="D1907" s="15" t="n">
        <v>2.33319997787476</v>
      </c>
      <c r="E1907" s="15" t="n">
        <v>-0.0298999547958374</v>
      </c>
      <c r="F1907" s="15" t="n">
        <v>-0.12610000371933</v>
      </c>
      <c r="G1907" s="15" t="n">
        <v>2.88429999351501</v>
      </c>
      <c r="H1907" s="16">
        <f>C1907+E1907</f>
        <v/>
      </c>
    </row>
    <row r="1908">
      <c r="A1908" s="12" t="n">
        <v>44788</v>
      </c>
      <c r="B1908" s="15" t="n">
        <v>0.448200009763241</v>
      </c>
      <c r="C1908" s="15" t="n">
        <v>0.0982000008225441</v>
      </c>
      <c r="D1908" s="15" t="n">
        <v>2.32159996032715</v>
      </c>
      <c r="E1908" s="15" t="n">
        <v>-0.0346998572349548</v>
      </c>
      <c r="F1908" s="15" t="n">
        <v>-0.112999998033047</v>
      </c>
      <c r="G1908" s="15" t="n">
        <v>2.83330011367798</v>
      </c>
      <c r="H1908" s="16">
        <f>C1908+E1908</f>
        <v/>
      </c>
    </row>
    <row r="1909">
      <c r="A1909" s="12" t="n">
        <v>44789</v>
      </c>
      <c r="B1909" s="15" t="n">
        <v>0.457299999892712</v>
      </c>
      <c r="C1909" s="15" t="n">
        <v>0.10700000077486</v>
      </c>
      <c r="D1909" s="15" t="n">
        <v>2.32710003852844</v>
      </c>
      <c r="E1909" s="15" t="n">
        <v>-0.0327000021934509</v>
      </c>
      <c r="F1909" s="15" t="n">
        <v>-0.10249999910593</v>
      </c>
      <c r="G1909" s="15" t="n">
        <v>2.85870003700256</v>
      </c>
      <c r="H1909" s="16">
        <f>C1909+E1909</f>
        <v/>
      </c>
    </row>
    <row r="1910">
      <c r="A1910" s="12" t="n">
        <v>44790</v>
      </c>
      <c r="B1910" s="15" t="n">
        <v>0.482700005173683</v>
      </c>
      <c r="C1910" s="15" t="n">
        <v>0.130799993872643</v>
      </c>
      <c r="D1910" s="15" t="n">
        <v>2.34249997138977</v>
      </c>
      <c r="E1910" s="15" t="n">
        <v>-0.0270999670028687</v>
      </c>
      <c r="F1910" s="15" t="n">
        <v>-0.0995000004768372</v>
      </c>
      <c r="G1910" s="15" t="n">
        <v>2.92890000343323</v>
      </c>
      <c r="H1910" s="16">
        <f>C1910+E1910</f>
        <v/>
      </c>
    </row>
    <row r="1911">
      <c r="A1911" s="12" t="n">
        <v>44791</v>
      </c>
      <c r="B1911" s="15" t="n">
        <v>0.472000002861023</v>
      </c>
      <c r="C1911" s="15" t="n">
        <v>0.123199999332428</v>
      </c>
      <c r="D1911" s="15" t="n">
        <v>2.33640003204346</v>
      </c>
      <c r="E1911" s="15" t="n">
        <v>-0.0285000205039978</v>
      </c>
      <c r="F1911" s="15" t="n">
        <v>-0.144099995493889</v>
      </c>
      <c r="G1911" s="15" t="n">
        <v>2.90310001373291</v>
      </c>
      <c r="H1911" s="16">
        <f>C1911+E1911</f>
        <v/>
      </c>
    </row>
    <row r="1912">
      <c r="A1912" s="12" t="n">
        <v>44792</v>
      </c>
      <c r="B1912" s="15" t="n">
        <v>0.50629997253418</v>
      </c>
      <c r="C1912" s="15" t="n">
        <v>0.163100004196167</v>
      </c>
      <c r="D1912" s="15" t="n">
        <v>2.36249995231628</v>
      </c>
      <c r="E1912" s="15" t="n">
        <v>-0.0196998119354248</v>
      </c>
      <c r="F1912" s="15" t="n">
        <v>-0.145199999213219</v>
      </c>
      <c r="G1912" s="15" t="n">
        <v>3.01220011711121</v>
      </c>
      <c r="H1912" s="16">
        <f>C1912+E1912</f>
        <v/>
      </c>
    </row>
    <row r="1913">
      <c r="A1913" s="12" t="n">
        <v>44795</v>
      </c>
      <c r="B1913" s="15" t="n">
        <v>0.533699989318848</v>
      </c>
      <c r="C1913" s="15" t="n">
        <v>0.177799999713898</v>
      </c>
      <c r="D1913" s="15" t="n">
        <v>2.37529993057251</v>
      </c>
      <c r="E1913" s="15" t="n">
        <v>-0.0168998837471008</v>
      </c>
      <c r="F1913" s="15" t="n">
        <v>-0.150999993085861</v>
      </c>
      <c r="G1913" s="15" t="n">
        <v>3.06990003585815</v>
      </c>
      <c r="H1913" s="16">
        <f>C1913+E1913</f>
        <v/>
      </c>
    </row>
    <row r="1914">
      <c r="A1914" s="12" t="n">
        <v>44796</v>
      </c>
      <c r="B1914" s="15" t="n">
        <v>0.538300007581711</v>
      </c>
      <c r="C1914" s="15" t="n">
        <v>0.187000006437302</v>
      </c>
      <c r="D1914" s="15" t="n">
        <v>2.38089990615845</v>
      </c>
      <c r="E1914" s="15" t="n">
        <v>-0.0149998068809509</v>
      </c>
      <c r="F1914" s="15" t="n">
        <v>-0.158600002527237</v>
      </c>
      <c r="G1914" s="15" t="n">
        <v>3.09120011329651</v>
      </c>
      <c r="H1914" s="16">
        <f>C1914+E1914</f>
        <v/>
      </c>
    </row>
    <row r="1915">
      <c r="A1915" s="12" t="n">
        <v>44797</v>
      </c>
      <c r="B1915" s="15" t="n">
        <v>0.565299987792969</v>
      </c>
      <c r="C1915" s="15" t="n">
        <v>0.205099999904633</v>
      </c>
      <c r="D1915" s="15" t="n">
        <v>2.39529991149902</v>
      </c>
      <c r="E1915" s="15" t="n">
        <v>-0.0113999247550964</v>
      </c>
      <c r="F1915" s="15" t="n">
        <v>-0.182799994945526</v>
      </c>
      <c r="G1915" s="15" t="n">
        <v>3.15429997444153</v>
      </c>
      <c r="H1915" s="16">
        <f>C1915+E1915</f>
        <v/>
      </c>
    </row>
    <row r="1916">
      <c r="A1916" s="12" t="n">
        <v>44798</v>
      </c>
      <c r="B1916" s="15" t="n">
        <v>0.541699975728989</v>
      </c>
      <c r="C1916" s="15" t="n">
        <v>0.178700000047684</v>
      </c>
      <c r="D1916" s="15" t="n">
        <v>2.37779998779297</v>
      </c>
      <c r="E1916" s="15" t="n">
        <v>-0.0171998739242554</v>
      </c>
      <c r="F1916" s="15" t="n">
        <v>-0.194900006055832</v>
      </c>
      <c r="G1916" s="15" t="n">
        <v>3.08100008964539</v>
      </c>
      <c r="H1916" s="16">
        <f>C1916+E1916</f>
        <v/>
      </c>
    </row>
    <row r="1917">
      <c r="A1917" s="12" t="n">
        <v>44799</v>
      </c>
      <c r="B1917" s="15" t="n">
        <v>0.552000030875206</v>
      </c>
      <c r="C1917" s="15" t="n">
        <v>0.186299994587898</v>
      </c>
      <c r="D1917" s="15" t="n">
        <v>2.38299989700317</v>
      </c>
      <c r="E1917" s="15" t="n">
        <v>-0.0153998732566833</v>
      </c>
      <c r="F1917" s="15" t="n">
        <v>-0.164900004863739</v>
      </c>
      <c r="G1917" s="15" t="n">
        <v>3.10590004920959</v>
      </c>
      <c r="H1917" s="16">
        <f>C1917+E1917</f>
        <v/>
      </c>
    </row>
    <row r="1918">
      <c r="A1918" s="12" t="n">
        <v>44802</v>
      </c>
      <c r="B1918" s="15" t="n">
        <v>0.5860000252723691</v>
      </c>
      <c r="C1918" s="15" t="n">
        <v>0.200800001621246</v>
      </c>
      <c r="D1918" s="15" t="n">
        <v>2.39800000190735</v>
      </c>
      <c r="E1918" s="15" t="n">
        <v>-0.0131999254226685</v>
      </c>
      <c r="F1918" s="15" t="n">
        <v>-0.13629999756813</v>
      </c>
      <c r="G1918" s="15" t="n">
        <v>3.1716001033783</v>
      </c>
      <c r="H1918" s="16">
        <f>C1918+E1918</f>
        <v/>
      </c>
    </row>
    <row r="1919">
      <c r="A1919" s="12" t="n">
        <v>44803</v>
      </c>
      <c r="B1919" s="15" t="n">
        <v>0.588900029659271</v>
      </c>
      <c r="C1919" s="15" t="n">
        <v>0.197899997234344</v>
      </c>
      <c r="D1919" s="15" t="n">
        <v>2.39720010757446</v>
      </c>
      <c r="E1919" s="15" t="n">
        <v>-0.0140000581741333</v>
      </c>
      <c r="F1919" s="15" t="n">
        <v>-0.116599999368191</v>
      </c>
      <c r="G1919" s="15" t="n">
        <v>3.17000007629395</v>
      </c>
      <c r="H1919" s="16">
        <f>C1919+E1919</f>
        <v/>
      </c>
    </row>
    <row r="1920">
      <c r="A1920" s="12" t="n">
        <v>44804</v>
      </c>
      <c r="B1920" s="15" t="n">
        <v>0.599699974060059</v>
      </c>
      <c r="C1920" s="15" t="n">
        <v>0.214800000190735</v>
      </c>
      <c r="D1920" s="15" t="n">
        <v>2.40790009498596</v>
      </c>
      <c r="E1920" s="15" t="n">
        <v>-0.0103000402450562</v>
      </c>
      <c r="F1920" s="15" t="n">
        <v>-0.0430999994277954</v>
      </c>
      <c r="G1920" s="15" t="n">
        <v>3.2121000289917</v>
      </c>
      <c r="H1920" s="16">
        <f>C1920+E1920</f>
        <v/>
      </c>
    </row>
    <row r="1921">
      <c r="A1921" s="12" t="n">
        <v>44805</v>
      </c>
      <c r="B1921" s="15" t="n">
        <v>0.6361000239849089</v>
      </c>
      <c r="C1921" s="15" t="n">
        <v>0.257699996232986</v>
      </c>
      <c r="D1921" s="15" t="n">
        <v>2.43560004234314</v>
      </c>
      <c r="E1921" s="15" t="n">
        <v>-0.000800132751464844</v>
      </c>
      <c r="F1921" s="15" t="n">
        <v>0.0245999991893768</v>
      </c>
      <c r="G1921" s="15" t="n">
        <v>3.32859992980957</v>
      </c>
      <c r="H1921" s="16">
        <f>C1921+E1921</f>
        <v/>
      </c>
    </row>
    <row r="1922">
      <c r="A1922" s="12" t="n">
        <v>44806</v>
      </c>
      <c r="B1922" s="15" t="n">
        <v>0.611600026488304</v>
      </c>
      <c r="C1922" s="15" t="n">
        <v>0.235499992966652</v>
      </c>
      <c r="D1922" s="15" t="n">
        <v>2.42129993438721</v>
      </c>
      <c r="E1922" s="15" t="n">
        <v>-0.00619983673095703</v>
      </c>
      <c r="F1922" s="15" t="n">
        <v>-0.00150000001303852</v>
      </c>
      <c r="G1922" s="15" t="n">
        <v>3.26220011711121</v>
      </c>
      <c r="H1922" s="16">
        <f>C1922+E1922</f>
        <v/>
      </c>
    </row>
    <row r="1923">
      <c r="A1923" s="12" t="n">
        <v>44810</v>
      </c>
      <c r="B1923" s="15" t="n">
        <v>0.661100000143051</v>
      </c>
      <c r="C1923" s="15" t="n">
        <v>0.280400007963181</v>
      </c>
      <c r="D1923" s="15" t="n">
        <v>2.45320010185242</v>
      </c>
      <c r="E1923" s="15" t="n">
        <v>0.00329989194869995</v>
      </c>
      <c r="F1923" s="15" t="n">
        <v>0.0522000007331371</v>
      </c>
      <c r="G1923" s="15" t="n">
        <v>3.39800000190735</v>
      </c>
      <c r="H1923" s="16">
        <f>C1923+E1923</f>
        <v/>
      </c>
    </row>
    <row r="1924">
      <c r="A1924" s="12" t="n">
        <v>44811</v>
      </c>
      <c r="B1924" s="15" t="n">
        <v>0.64369997382164</v>
      </c>
      <c r="C1924" s="15" t="n">
        <v>0.255199998617172</v>
      </c>
      <c r="D1924" s="15" t="n">
        <v>2.43849992752075</v>
      </c>
      <c r="E1924" s="15" t="n">
        <v>-0.00269979238510132</v>
      </c>
      <c r="F1924" s="15" t="n">
        <v>0.06650000065565111</v>
      </c>
      <c r="G1924" s="15" t="n">
        <v>3.33470010757446</v>
      </c>
      <c r="H1924" s="16">
        <f>C1924+E1924</f>
        <v/>
      </c>
    </row>
    <row r="1925">
      <c r="A1925" s="12" t="n">
        <v>44812</v>
      </c>
      <c r="B1925" s="15" t="n">
        <v>0.656699985265732</v>
      </c>
      <c r="C1925" s="15" t="n">
        <v>0.258399993181229</v>
      </c>
      <c r="D1925" s="15" t="n">
        <v>2.44300007820129</v>
      </c>
      <c r="E1925" s="15" t="n">
        <v>-0.00240004062652588</v>
      </c>
      <c r="F1925" s="15" t="n">
        <v>0.104099996387959</v>
      </c>
      <c r="G1925" s="15" t="n">
        <v>3.35570001602173</v>
      </c>
      <c r="H1925" s="16">
        <f>C1925+E1925</f>
        <v/>
      </c>
    </row>
    <row r="1926">
      <c r="A1926" s="12" t="n">
        <v>44813</v>
      </c>
      <c r="B1926" s="15" t="n">
        <v>0.676899999380112</v>
      </c>
      <c r="C1926" s="15" t="n">
        <v>0.260199993848801</v>
      </c>
      <c r="D1926" s="15" t="n">
        <v>2.44810009002686</v>
      </c>
      <c r="E1926" s="15" t="n">
        <v>-0.00250011682510376</v>
      </c>
      <c r="F1926" s="15" t="n">
        <v>0.09560000151395801</v>
      </c>
      <c r="G1926" s="15" t="n">
        <v>3.38269996643066</v>
      </c>
      <c r="H1926" s="16">
        <f>C1926+E1926</f>
        <v/>
      </c>
    </row>
    <row r="1927">
      <c r="A1927" s="12" t="n">
        <v>44816</v>
      </c>
      <c r="B1927" s="15" t="n">
        <v>0.692699998617172</v>
      </c>
      <c r="C1927" s="15" t="n">
        <v>0.269300013780594</v>
      </c>
      <c r="D1927" s="15" t="n">
        <v>2.45650005340576</v>
      </c>
      <c r="E1927" s="15" t="n">
        <v>-0.00110018253326416</v>
      </c>
      <c r="F1927" s="15" t="n">
        <v>0.100199997425079</v>
      </c>
      <c r="G1927" s="15" t="n">
        <v>3.41739988327026</v>
      </c>
      <c r="H1927" s="16">
        <f>C1927+E1927</f>
        <v/>
      </c>
    </row>
    <row r="1928">
      <c r="A1928" s="12" t="n">
        <v>44817</v>
      </c>
      <c r="B1928" s="15" t="n">
        <v>0.7387999594211579</v>
      </c>
      <c r="C1928" s="15" t="n">
        <v>0.266000002622604</v>
      </c>
      <c r="D1928" s="15" t="n">
        <v>2.46519994735718</v>
      </c>
      <c r="E1928" s="15" t="n">
        <v>-0.00339996814727783</v>
      </c>
      <c r="F1928" s="15" t="n">
        <v>0.09009999781847</v>
      </c>
      <c r="G1928" s="15" t="n">
        <v>3.46659994125366</v>
      </c>
      <c r="H1928" s="16">
        <f>C1928+E1928</f>
        <v/>
      </c>
    </row>
    <row r="1929">
      <c r="A1929" s="12" t="n">
        <v>44818</v>
      </c>
      <c r="B1929" s="15" t="n">
        <v>0.741300016641617</v>
      </c>
      <c r="C1929" s="15" t="n">
        <v>0.253699988126755</v>
      </c>
      <c r="D1929" s="15" t="n">
        <v>2.45959997177124</v>
      </c>
      <c r="E1929" s="15" t="n">
        <v>-0.00630009174346924</v>
      </c>
      <c r="F1929" s="15" t="n">
        <v>0.065200001001358</v>
      </c>
      <c r="G1929" s="15" t="n">
        <v>3.44829988479614</v>
      </c>
      <c r="H1929" s="16">
        <f>C1929+E1929</f>
        <v/>
      </c>
    </row>
    <row r="1930">
      <c r="A1930" s="12" t="n">
        <v>44819</v>
      </c>
      <c r="B1930" s="15" t="n">
        <v>0.761800050735474</v>
      </c>
      <c r="C1930" s="15" t="n">
        <v>0.272300004959106</v>
      </c>
      <c r="D1930" s="15" t="n">
        <v>2.47180008888245</v>
      </c>
      <c r="E1930" s="15" t="n">
        <v>-0.00200009346008301</v>
      </c>
      <c r="F1930" s="15" t="n">
        <v>0.100599996745586</v>
      </c>
      <c r="G1930" s="15" t="n">
        <v>3.50390005111694</v>
      </c>
      <c r="H1930" s="16">
        <f>C1930+E1930</f>
        <v/>
      </c>
    </row>
    <row r="1931">
      <c r="A1931" s="12" t="n">
        <v>44820</v>
      </c>
      <c r="B1931" s="15" t="n">
        <v>0.756800055503845</v>
      </c>
      <c r="C1931" s="15" t="n">
        <v>0.272199988365173</v>
      </c>
      <c r="D1931" s="15" t="n">
        <v>2.47119998931885</v>
      </c>
      <c r="E1931" s="15" t="n">
        <v>-0.00209999084472656</v>
      </c>
      <c r="F1931" s="15" t="n">
        <v>0.147200003266335</v>
      </c>
      <c r="G1931" s="15" t="n">
        <v>3.49810004234314</v>
      </c>
      <c r="H1931" s="16">
        <f>C1931+E1931</f>
        <v/>
      </c>
    </row>
    <row r="1932">
      <c r="A1932" s="12" t="n">
        <v>44823</v>
      </c>
      <c r="B1932" s="15" t="n">
        <v>0.784700036048889</v>
      </c>
      <c r="C1932" s="15" t="n">
        <v>0.275200009346008</v>
      </c>
      <c r="D1932" s="15" t="n">
        <v>2.47880005836487</v>
      </c>
      <c r="E1932" s="15" t="n">
        <v>-0.00230002403259277</v>
      </c>
      <c r="F1932" s="15" t="n">
        <v>0.193200007081032</v>
      </c>
      <c r="G1932" s="15" t="n">
        <v>3.53640007972717</v>
      </c>
      <c r="H1932" s="16">
        <f>C1932+E1932</f>
        <v/>
      </c>
    </row>
    <row r="1933">
      <c r="A1933" s="12" t="n">
        <v>44824</v>
      </c>
      <c r="B1933" s="15" t="n">
        <v>0.806100010871887</v>
      </c>
      <c r="C1933" s="15" t="n">
        <v>0.301699995994568</v>
      </c>
      <c r="D1933" s="15" t="n">
        <v>2.49550008773804</v>
      </c>
      <c r="E1933" s="15" t="n">
        <v>0.0037999153137207</v>
      </c>
      <c r="F1933" s="15" t="n">
        <v>0.175500005483627</v>
      </c>
      <c r="G1933" s="15" t="n">
        <v>3.60710000991821</v>
      </c>
      <c r="H1933" s="16">
        <f>C1933+E1933</f>
        <v/>
      </c>
    </row>
    <row r="1934">
      <c r="A1934" s="12" t="n">
        <v>44825</v>
      </c>
      <c r="B1934" s="15" t="n">
        <v>0.7967999875545499</v>
      </c>
      <c r="C1934" s="15" t="n">
        <v>0.282900005578995</v>
      </c>
      <c r="D1934" s="15" t="n">
        <v>2.48379993438721</v>
      </c>
      <c r="E1934" s="15" t="n">
        <v>-0.000200033187866211</v>
      </c>
      <c r="F1934" s="15" t="n">
        <v>0.173700004816055</v>
      </c>
      <c r="G1934" s="15" t="n">
        <v>3.56329989433289</v>
      </c>
      <c r="H1934" s="16">
        <f>C1934+E1934</f>
        <v/>
      </c>
    </row>
    <row r="1935">
      <c r="A1935" s="12" t="n">
        <v>44826</v>
      </c>
      <c r="B1935" s="15" t="n">
        <v>0.854399979114532</v>
      </c>
      <c r="C1935" s="15" t="n">
        <v>0.352299988269806</v>
      </c>
      <c r="D1935" s="15" t="n">
        <v>2.52699995040894</v>
      </c>
      <c r="E1935" s="15" t="n">
        <v>0.0158001184463501</v>
      </c>
      <c r="F1935" s="15" t="n">
        <v>0.230100005865097</v>
      </c>
      <c r="G1935" s="15" t="n">
        <v>3.74950003623962</v>
      </c>
      <c r="H1935" s="16">
        <f>C1935+E1935</f>
        <v/>
      </c>
    </row>
    <row r="1936">
      <c r="A1936" s="12" t="n">
        <v>44827</v>
      </c>
      <c r="B1936" s="15" t="n">
        <v>0.8494000434875491</v>
      </c>
      <c r="C1936" s="15" t="n">
        <v>0.34060001373291</v>
      </c>
      <c r="D1936" s="15" t="n">
        <v>2.51740002632141</v>
      </c>
      <c r="E1936" s="15" t="n">
        <v>0.0142998695373535</v>
      </c>
      <c r="F1936" s="15" t="n">
        <v>0.24600000679493</v>
      </c>
      <c r="G1936" s="15" t="n">
        <v>3.72169995307922</v>
      </c>
      <c r="H1936" s="16">
        <f>C1936+E1936</f>
        <v/>
      </c>
    </row>
    <row r="1937">
      <c r="A1937" s="12" t="n">
        <v>44830</v>
      </c>
      <c r="B1937" s="15" t="n">
        <v>0.921499967575073</v>
      </c>
      <c r="C1937" s="15" t="n">
        <v>0.400099992752075</v>
      </c>
      <c r="D1937" s="15" t="n">
        <v>2.5592999458313</v>
      </c>
      <c r="E1937" s="15" t="n">
        <v>0.0275001525878906</v>
      </c>
      <c r="F1937" s="15" t="n">
        <v>0.337300002574921</v>
      </c>
      <c r="G1937" s="15" t="n">
        <v>3.90840005874634</v>
      </c>
      <c r="H1937" s="16">
        <f>C1937+E1937</f>
        <v/>
      </c>
    </row>
    <row r="1938">
      <c r="A1938" s="12" t="n">
        <v>44831</v>
      </c>
      <c r="B1938" s="15" t="n">
        <v>0.942000031471252</v>
      </c>
      <c r="C1938" s="15" t="n">
        <v>0.436699986457825</v>
      </c>
      <c r="D1938" s="15" t="n">
        <v>2.58010005950928</v>
      </c>
      <c r="E1938" s="15" t="n">
        <v>0.0361998081207275</v>
      </c>
      <c r="F1938" s="15" t="n">
        <v>0.350600004196167</v>
      </c>
      <c r="G1938" s="15" t="n">
        <v>3.99499988555908</v>
      </c>
      <c r="H1938" s="16">
        <f>C1938+E1938</f>
        <v/>
      </c>
    </row>
    <row r="1939">
      <c r="A1939" s="12" t="n">
        <v>44832</v>
      </c>
      <c r="B1939" s="15" t="n">
        <v>0.853400021791458</v>
      </c>
      <c r="C1939" s="15" t="n">
        <v>0.349999994039536</v>
      </c>
      <c r="D1939" s="15" t="n">
        <v>2.52320003509521</v>
      </c>
      <c r="E1939" s="15" t="n">
        <v>0.0163999795913696</v>
      </c>
      <c r="F1939" s="15" t="n">
        <v>0.263999998569489</v>
      </c>
      <c r="G1939" s="15" t="n">
        <v>3.74300003051758</v>
      </c>
      <c r="H1939" s="16">
        <f>C1939+E1939</f>
        <v/>
      </c>
    </row>
    <row r="1940">
      <c r="A1940" s="12" t="n">
        <v>44833</v>
      </c>
      <c r="B1940" s="15" t="n">
        <v>0.876400023698807</v>
      </c>
      <c r="C1940" s="15" t="n">
        <v>0.380199998617172</v>
      </c>
      <c r="D1940" s="15" t="n">
        <v>2.542799949646</v>
      </c>
      <c r="E1940" s="15" t="n">
        <v>0.0228999853134155</v>
      </c>
      <c r="F1940" s="15" t="n">
        <v>0.405800014734268</v>
      </c>
      <c r="G1940" s="15" t="n">
        <v>3.82229995727539</v>
      </c>
      <c r="H1940" s="16">
        <f>C1940+E1940</f>
        <v/>
      </c>
    </row>
    <row r="1941">
      <c r="A1941" s="12" t="n">
        <v>44834</v>
      </c>
      <c r="B1941" s="15" t="n">
        <v>0.902599990367889</v>
      </c>
      <c r="C1941" s="15" t="n">
        <v>0.40200001001358</v>
      </c>
      <c r="D1941" s="15" t="n">
        <v>2.55839991569519</v>
      </c>
      <c r="E1941" s="15" t="n">
        <v>0.0276000499725342</v>
      </c>
      <c r="F1941" s="15" t="n">
        <v>0.472499996423721</v>
      </c>
      <c r="G1941" s="15" t="n">
        <v>3.89059996604919</v>
      </c>
      <c r="H1941" s="16">
        <f>C1941+E1941</f>
        <v/>
      </c>
    </row>
    <row r="1942">
      <c r="A1942" s="12" t="n">
        <v>44837</v>
      </c>
      <c r="B1942" s="15" t="n">
        <v>0.8527000248432161</v>
      </c>
      <c r="C1942" s="15" t="n">
        <v>0.327699989080429</v>
      </c>
      <c r="D1942" s="15" t="n">
        <v>2.51449990272522</v>
      </c>
      <c r="E1942" s="15" t="n">
        <v>0.0101000070571899</v>
      </c>
      <c r="F1942" s="15" t="n">
        <v>0.354099988937378</v>
      </c>
      <c r="G1942" s="15" t="n">
        <v>3.70499992370605</v>
      </c>
      <c r="H1942" s="16">
        <f>C1942+E1942</f>
        <v/>
      </c>
    </row>
    <row r="1943">
      <c r="A1943" s="12" t="n">
        <v>44838</v>
      </c>
      <c r="B1943" s="15" t="n">
        <v>0.840700000524521</v>
      </c>
      <c r="C1943" s="15" t="n">
        <v>0.309399992227554</v>
      </c>
      <c r="D1943" s="15" t="n">
        <v>2.50480008125305</v>
      </c>
      <c r="E1943" s="15" t="n">
        <v>0.00530004501342773</v>
      </c>
      <c r="F1943" s="15" t="n">
        <v>0.337900012731552</v>
      </c>
      <c r="G1943" s="15" t="n">
        <v>3.66020011901855</v>
      </c>
      <c r="H1943" s="16">
        <f>C1943+E1943</f>
        <v/>
      </c>
    </row>
    <row r="1944">
      <c r="A1944" s="12" t="n">
        <v>44839</v>
      </c>
      <c r="B1944" s="15" t="n">
        <v>0.887900054454803</v>
      </c>
      <c r="C1944" s="15" t="n">
        <v>0.369599997997284</v>
      </c>
      <c r="D1944" s="15" t="n">
        <v>2.54349994659424</v>
      </c>
      <c r="E1944" s="15" t="n">
        <v>0.0184999704360962</v>
      </c>
      <c r="F1944" s="15" t="n">
        <v>0.391799986362457</v>
      </c>
      <c r="G1944" s="15" t="n">
        <v>3.81949996948242</v>
      </c>
      <c r="H1944" s="16">
        <f>C1944+E1944</f>
        <v/>
      </c>
    </row>
    <row r="1945">
      <c r="A1945" s="12" t="n">
        <v>44840</v>
      </c>
      <c r="B1945" s="15" t="n">
        <v>0.914000004529953</v>
      </c>
      <c r="C1945" s="15" t="n">
        <v>0.393500000238419</v>
      </c>
      <c r="D1945" s="15" t="n">
        <v>2.55979990959167</v>
      </c>
      <c r="E1945" s="15" t="n">
        <v>0.0238000154495239</v>
      </c>
      <c r="F1945" s="15" t="n">
        <v>0.409000009298325</v>
      </c>
      <c r="G1945" s="15" t="n">
        <v>3.89109992980957</v>
      </c>
      <c r="H1945" s="16">
        <f>C1945+E1945</f>
        <v/>
      </c>
    </row>
    <row r="1946">
      <c r="A1946" s="12" t="n">
        <v>44841</v>
      </c>
      <c r="B1946" s="15" t="n">
        <v>0.937900006771088</v>
      </c>
      <c r="C1946" s="15" t="n">
        <v>0.402599990367889</v>
      </c>
      <c r="D1946" s="15" t="n">
        <v>2.56780004501343</v>
      </c>
      <c r="E1946" s="15" t="n">
        <v>0.025999903678894</v>
      </c>
      <c r="F1946" s="15" t="n">
        <v>0.380199998617172</v>
      </c>
      <c r="G1946" s="15" t="n">
        <v>3.9342999458313</v>
      </c>
      <c r="H1946" s="16">
        <f>C1946+E1946</f>
        <v/>
      </c>
    </row>
    <row r="1947">
      <c r="A1947" s="12" t="n">
        <v>44845</v>
      </c>
      <c r="B1947" s="15" t="n">
        <v>0.962299972772598</v>
      </c>
      <c r="C1947" s="15" t="n">
        <v>0.413199990987778</v>
      </c>
      <c r="D1947" s="15" t="n">
        <v>2.5796000957489</v>
      </c>
      <c r="E1947" s="15" t="n">
        <v>0.0271999835968018</v>
      </c>
      <c r="F1947" s="15" t="n">
        <v>0.350800007581711</v>
      </c>
      <c r="G1947" s="15" t="n">
        <v>3.98230004310608</v>
      </c>
      <c r="H1947" s="16">
        <f>C1947+E1947</f>
        <v/>
      </c>
    </row>
    <row r="1948">
      <c r="A1948" s="12" t="n">
        <v>44846</v>
      </c>
      <c r="B1948" s="15" t="n">
        <v>0.9565000534057621</v>
      </c>
      <c r="C1948" s="15" t="n">
        <v>0.409500002861023</v>
      </c>
      <c r="D1948" s="15" t="n">
        <v>2.57750010490417</v>
      </c>
      <c r="E1948" s="15" t="n">
        <v>0.0260998010635376</v>
      </c>
      <c r="F1948" s="15" t="n">
        <v>0.369599997997284</v>
      </c>
      <c r="G1948" s="15" t="n">
        <v>3.9695999622345</v>
      </c>
      <c r="H1948" s="16">
        <f>C1948+E1948</f>
        <v/>
      </c>
    </row>
    <row r="1949">
      <c r="A1949" s="12" t="n">
        <v>44847</v>
      </c>
      <c r="B1949" s="15" t="n">
        <v>0.9962999522686</v>
      </c>
      <c r="C1949" s="15" t="n">
        <v>0.415800005197525</v>
      </c>
      <c r="D1949" s="15" t="n">
        <v>2.58879995346069</v>
      </c>
      <c r="E1949" s="15" t="n">
        <v>0.0263999700546265</v>
      </c>
      <c r="F1949" s="15" t="n">
        <v>0.340000003576279</v>
      </c>
      <c r="G1949" s="15" t="n">
        <v>4.02729988098145</v>
      </c>
      <c r="H1949" s="16">
        <f>C1949+E1949</f>
        <v/>
      </c>
    </row>
    <row r="1950">
      <c r="A1950" s="12" t="n">
        <v>44848</v>
      </c>
      <c r="B1950" s="15" t="n">
        <v>1.00919994711876</v>
      </c>
      <c r="C1950" s="15" t="n">
        <v>0.421499997377396</v>
      </c>
      <c r="D1950" s="15" t="n">
        <v>2.59380006790161</v>
      </c>
      <c r="E1950" s="15" t="n">
        <v>0.0276998281478882</v>
      </c>
      <c r="F1950" s="15" t="n">
        <v>0.289000004529953</v>
      </c>
      <c r="G1950" s="15" t="n">
        <v>4.05219984054565</v>
      </c>
      <c r="H1950" s="16">
        <f>C1950+E1950</f>
        <v/>
      </c>
    </row>
    <row r="1951">
      <c r="A1951" s="12" t="n">
        <v>44851</v>
      </c>
      <c r="B1951" s="15" t="n">
        <v>1.01949998736382</v>
      </c>
      <c r="C1951" s="15" t="n">
        <v>0.418700009584427</v>
      </c>
      <c r="D1951" s="15" t="n">
        <v>2.59640002250671</v>
      </c>
      <c r="E1951" s="15" t="n">
        <v>0.02590012550354</v>
      </c>
      <c r="F1951" s="15" t="n">
        <v>0.252799987792969</v>
      </c>
      <c r="G1951" s="15" t="n">
        <v>4.0605001449585</v>
      </c>
      <c r="H1951" s="16">
        <f>C1951+E1951</f>
        <v/>
      </c>
    </row>
    <row r="1952">
      <c r="A1952" s="12" t="n">
        <v>44852</v>
      </c>
      <c r="B1952" s="15" t="n">
        <v>1.01600003242493</v>
      </c>
      <c r="C1952" s="15" t="n">
        <v>0.414499998092651</v>
      </c>
      <c r="D1952" s="15" t="n">
        <v>2.59489989280701</v>
      </c>
      <c r="E1952" s="15" t="n">
        <v>0.024399995803833</v>
      </c>
      <c r="F1952" s="15" t="n">
        <v>0.290499985218048</v>
      </c>
      <c r="G1952" s="15" t="n">
        <v>4.04979991912842</v>
      </c>
      <c r="H1952" s="16">
        <f>C1952+E1952</f>
        <v/>
      </c>
    </row>
    <row r="1953">
      <c r="A1953" s="12" t="n">
        <v>44853</v>
      </c>
      <c r="B1953" s="15" t="n">
        <v>1.06439998745918</v>
      </c>
      <c r="C1953" s="15" t="n">
        <v>0.453399986028671</v>
      </c>
      <c r="D1953" s="15" t="n">
        <v>2.62310004234314</v>
      </c>
      <c r="E1953" s="15" t="n">
        <v>0.0327998399734497</v>
      </c>
      <c r="F1953" s="15" t="n">
        <v>0.309899985790253</v>
      </c>
      <c r="G1953" s="15" t="n">
        <v>4.17369985580444</v>
      </c>
      <c r="H1953" s="16">
        <f>C1953+E1953</f>
        <v/>
      </c>
    </row>
    <row r="1954">
      <c r="A1954" s="12" t="n">
        <v>44854</v>
      </c>
      <c r="B1954" s="15" t="n">
        <v>1.09569996595383</v>
      </c>
      <c r="C1954" s="15" t="n">
        <v>0.478799998760223</v>
      </c>
      <c r="D1954" s="15" t="n">
        <v>2.64050006866455</v>
      </c>
      <c r="E1954" s="15" t="n">
        <v>0.038699746131897</v>
      </c>
      <c r="F1954" s="15" t="n">
        <v>0.269400000572205</v>
      </c>
      <c r="G1954" s="15" t="n">
        <v>4.2536997795105</v>
      </c>
      <c r="H1954" s="16">
        <f>C1954+E1954</f>
        <v/>
      </c>
    </row>
    <row r="1955">
      <c r="A1955" s="12" t="n">
        <v>44855</v>
      </c>
      <c r="B1955" s="15" t="n">
        <v>1.07529997825623</v>
      </c>
      <c r="C1955" s="15" t="n">
        <v>0.482699990272522</v>
      </c>
      <c r="D1955" s="15" t="n">
        <v>2.64000010490417</v>
      </c>
      <c r="E1955" s="15" t="n">
        <v>0.0392998456954956</v>
      </c>
      <c r="F1955" s="15" t="n">
        <v>0.226699993014336</v>
      </c>
      <c r="G1955" s="15" t="n">
        <v>4.23729991912842</v>
      </c>
      <c r="H1955" s="16">
        <f>C1955+E1955</f>
        <v/>
      </c>
    </row>
    <row r="1956">
      <c r="A1956" s="12" t="n">
        <v>44858</v>
      </c>
      <c r="B1956" s="15" t="n">
        <v>1.09909999370575</v>
      </c>
      <c r="C1956" s="15" t="n">
        <v>0.496399998664856</v>
      </c>
      <c r="D1956" s="15" t="n">
        <v>2.65380001068115</v>
      </c>
      <c r="E1956" s="15" t="n">
        <v>0.0409998893737793</v>
      </c>
      <c r="F1956" s="15" t="n">
        <v>0.185399994254112</v>
      </c>
      <c r="G1956" s="15" t="n">
        <v>4.29029989242554</v>
      </c>
      <c r="H1956" s="16">
        <f>C1956+E1956</f>
        <v/>
      </c>
    </row>
    <row r="1957">
      <c r="A1957" s="12" t="n">
        <v>44859</v>
      </c>
      <c r="B1957" s="15" t="n">
        <v>1.06279996037483</v>
      </c>
      <c r="C1957" s="15" t="n">
        <v>0.449099987745285</v>
      </c>
      <c r="D1957" s="15" t="n">
        <v>2.62450003623962</v>
      </c>
      <c r="E1957" s="15" t="n">
        <v>0.0302002429962158</v>
      </c>
      <c r="F1957" s="15" t="n">
        <v>0.208800002932549</v>
      </c>
      <c r="G1957" s="15" t="n">
        <v>4.16660022735596</v>
      </c>
      <c r="H1957" s="16">
        <f>C1957+E1957</f>
        <v/>
      </c>
    </row>
    <row r="1958">
      <c r="A1958" s="12" t="n">
        <v>44860</v>
      </c>
      <c r="B1958" s="15" t="n">
        <v>1.041100025177</v>
      </c>
      <c r="C1958" s="15" t="n">
        <v>0.431800007820129</v>
      </c>
      <c r="D1958" s="15" t="n">
        <v>2.61240005493164</v>
      </c>
      <c r="E1958" s="15" t="n">
        <v>0.0262998342514038</v>
      </c>
      <c r="F1958" s="15" t="n">
        <v>0.253100007772446</v>
      </c>
      <c r="G1958" s="15" t="n">
        <v>4.11159992218018</v>
      </c>
      <c r="H1958" s="16">
        <f>C1958+E1958</f>
        <v/>
      </c>
    </row>
    <row r="1959">
      <c r="A1959" s="12" t="n">
        <v>44861</v>
      </c>
      <c r="B1959" s="15" t="n">
        <v>1.01220002770424</v>
      </c>
      <c r="C1959" s="15" t="n">
        <v>0.408300012350082</v>
      </c>
      <c r="D1959" s="15" t="n">
        <v>2.59680008888245</v>
      </c>
      <c r="E1959" s="15" t="n">
        <v>0.0206999778747559</v>
      </c>
      <c r="F1959" s="15" t="n">
        <v>0.214000001549721</v>
      </c>
      <c r="G1959" s="15" t="n">
        <v>4.03800010681152</v>
      </c>
      <c r="H1959" s="16">
        <f>C1959+E1959</f>
        <v/>
      </c>
    </row>
    <row r="1960">
      <c r="A1960" s="12" t="n">
        <v>44862</v>
      </c>
      <c r="B1960" s="15" t="n">
        <v>1.04509994387627</v>
      </c>
      <c r="C1960" s="15" t="n">
        <v>0.430200010538101</v>
      </c>
      <c r="D1960" s="15" t="n">
        <v>2.61439990997314</v>
      </c>
      <c r="E1960" s="15" t="n">
        <v>0.0249999761581421</v>
      </c>
      <c r="F1960" s="15" t="n">
        <v>0.19140000641346</v>
      </c>
      <c r="G1960" s="15" t="n">
        <v>4.11469984054565</v>
      </c>
      <c r="H1960" s="16">
        <f>C1960+E1960</f>
        <v/>
      </c>
    </row>
    <row r="1961">
      <c r="A1961" s="12" t="n">
        <v>44865</v>
      </c>
      <c r="B1961" s="15" t="n">
        <v>1.07879999279976</v>
      </c>
      <c r="C1961" s="15" t="n">
        <v>0.447100013494492</v>
      </c>
      <c r="D1961" s="15" t="n">
        <v>2.63010001182556</v>
      </c>
      <c r="E1961" s="15" t="n">
        <v>0.0278002023696899</v>
      </c>
      <c r="F1961" s="15" t="n">
        <v>0.188299998641014</v>
      </c>
      <c r="G1961" s="15" t="n">
        <v>4.1838002204895</v>
      </c>
      <c r="H1961" s="16">
        <f>C1961+E1961</f>
        <v/>
      </c>
    </row>
    <row r="1962">
      <c r="A1962" s="12" t="n">
        <v>44866</v>
      </c>
      <c r="B1962" s="15" t="n">
        <v>1.08029994368553</v>
      </c>
      <c r="C1962" s="15" t="n">
        <v>0.438100010156631</v>
      </c>
      <c r="D1962" s="15" t="n">
        <v>2.62579989433289</v>
      </c>
      <c r="E1962" s="15" t="n">
        <v>0.0257000923156738</v>
      </c>
      <c r="F1962" s="15" t="n">
        <v>0.18299999833107</v>
      </c>
      <c r="G1962" s="15" t="n">
        <v>4.16989994049072</v>
      </c>
      <c r="H1962" s="16">
        <f>C1962+E1962</f>
        <v/>
      </c>
    </row>
    <row r="1963">
      <c r="A1963" s="12" t="n">
        <v>44867</v>
      </c>
      <c r="B1963" s="15" t="n">
        <v>1.08580002188683</v>
      </c>
      <c r="C1963" s="15" t="n">
        <v>0.441599994897842</v>
      </c>
      <c r="D1963" s="15" t="n">
        <v>2.6275999546051</v>
      </c>
      <c r="E1963" s="15" t="n">
        <v>0.026900053024292</v>
      </c>
      <c r="F1963" s="15" t="n">
        <v>0.179499998688698</v>
      </c>
      <c r="G1963" s="15" t="n">
        <v>4.18190002441406</v>
      </c>
      <c r="H1963" s="16">
        <f>C1963+E1963</f>
        <v/>
      </c>
    </row>
    <row r="1964">
      <c r="A1964" s="12" t="n">
        <v>44868</v>
      </c>
      <c r="B1964" s="15" t="n">
        <v>1.10309997200966</v>
      </c>
      <c r="C1964" s="15" t="n">
        <v>0.465700000524521</v>
      </c>
      <c r="D1964" s="15" t="n">
        <v>2.64140009880066</v>
      </c>
      <c r="E1964" s="15" t="n">
        <v>0.0327999591827393</v>
      </c>
      <c r="F1964" s="15" t="n">
        <v>0.291299998760223</v>
      </c>
      <c r="G1964" s="15" t="n">
        <v>4.24300003051758</v>
      </c>
      <c r="H1964" s="16">
        <f>C1964+E1964</f>
        <v/>
      </c>
    </row>
    <row r="1965">
      <c r="A1965" s="12" t="n">
        <v>44869</v>
      </c>
      <c r="B1965" s="15" t="n">
        <v>1.09929996728897</v>
      </c>
      <c r="C1965" s="15" t="n">
        <v>0.470200002193451</v>
      </c>
      <c r="D1965" s="15" t="n">
        <v>2.64310002326965</v>
      </c>
      <c r="E1965" s="15" t="n">
        <v>0.0339000225067139</v>
      </c>
      <c r="F1965" s="15" t="n">
        <v>0.24549999833107</v>
      </c>
      <c r="G1965" s="15" t="n">
        <v>4.24650001525879</v>
      </c>
      <c r="H1965" s="16">
        <f>C1965+E1965</f>
        <v/>
      </c>
    </row>
    <row r="1966">
      <c r="A1966" s="12" t="n">
        <v>44872</v>
      </c>
      <c r="B1966" s="15" t="n">
        <v>1.12679997086525</v>
      </c>
      <c r="C1966" s="15" t="n">
        <v>0.486600011587143</v>
      </c>
      <c r="D1966" s="15" t="n">
        <v>2.65729999542236</v>
      </c>
      <c r="E1966" s="15" t="n">
        <v>0.0369000434875488</v>
      </c>
      <c r="F1966" s="15" t="n">
        <v>0.204899996519089</v>
      </c>
      <c r="G1966" s="15" t="n">
        <v>4.3076000213623</v>
      </c>
      <c r="H1966" s="16">
        <f>C1966+E1966</f>
        <v/>
      </c>
    </row>
    <row r="1967">
      <c r="A1967" s="12" t="n">
        <v>44873</v>
      </c>
      <c r="B1967" s="15" t="n">
        <v>1.10149994492531</v>
      </c>
      <c r="C1967" s="15" t="n">
        <v>0.459300011396408</v>
      </c>
      <c r="D1967" s="15" t="n">
        <v>2.64000010490417</v>
      </c>
      <c r="E1967" s="15" t="n">
        <v>0.0304001569747925</v>
      </c>
      <c r="F1967" s="15" t="n">
        <v>0.222499996423721</v>
      </c>
      <c r="G1967" s="15" t="n">
        <v>4.23120021820068</v>
      </c>
      <c r="H1967" s="16">
        <f>C1967+E1967</f>
        <v/>
      </c>
    </row>
    <row r="1968">
      <c r="A1968" s="12" t="n">
        <v>44874</v>
      </c>
      <c r="B1968" s="15" t="n">
        <v>1.09779998660088</v>
      </c>
      <c r="C1968" s="15" t="n">
        <v>0.463200002908707</v>
      </c>
      <c r="D1968" s="15" t="n">
        <v>2.64229989051819</v>
      </c>
      <c r="E1968" s="15" t="n">
        <v>0.0310002565383911</v>
      </c>
      <c r="F1968" s="15" t="n">
        <v>0.270000010728836</v>
      </c>
      <c r="G1968" s="15" t="n">
        <v>4.23430013656616</v>
      </c>
      <c r="H1968" s="16">
        <f>C1968+E1968</f>
        <v/>
      </c>
    </row>
    <row r="1969">
      <c r="A1969" s="12" t="n">
        <v>44875</v>
      </c>
      <c r="B1969" s="15" t="n">
        <v>0.982399970293045</v>
      </c>
      <c r="C1969" s="15" t="n">
        <v>0.340700000524521</v>
      </c>
      <c r="D1969" s="15" t="n">
        <v>2.56229996681213</v>
      </c>
      <c r="E1969" s="15" t="n">
        <v>0.00339996814727783</v>
      </c>
      <c r="F1969" s="15" t="n">
        <v>0.226899996399879</v>
      </c>
      <c r="G1969" s="15" t="n">
        <v>3.88879990577698</v>
      </c>
      <c r="H1969" s="16">
        <f>C1969+E1969</f>
        <v/>
      </c>
    </row>
    <row r="1970">
      <c r="A1970" s="12" t="n">
        <v>44879</v>
      </c>
      <c r="B1970" s="15" t="n">
        <v>1.00249999761581</v>
      </c>
      <c r="C1970" s="15" t="n">
        <v>0.35589998960495</v>
      </c>
      <c r="D1970" s="15" t="n">
        <v>2.57399988174438</v>
      </c>
      <c r="E1970" s="15" t="n">
        <v>0.00650012493133545</v>
      </c>
      <c r="F1970" s="15" t="n">
        <v>0.272799998521805</v>
      </c>
      <c r="G1970" s="15" t="n">
        <v>3.93889999389648</v>
      </c>
      <c r="H1970" s="16">
        <f>C1970+E1970</f>
        <v/>
      </c>
    </row>
    <row r="1971">
      <c r="A1971" s="12" t="n">
        <v>44880</v>
      </c>
      <c r="B1971" s="15" t="n">
        <v>0.975999981164932</v>
      </c>
      <c r="C1971" s="15" t="n">
        <v>0.326299995183945</v>
      </c>
      <c r="D1971" s="15" t="n">
        <v>2.5550000667572</v>
      </c>
      <c r="E1971" s="15" t="n">
        <v>-0.000299930572509766</v>
      </c>
      <c r="F1971" s="15" t="n">
        <v>0.267399996519089</v>
      </c>
      <c r="G1971" s="15" t="n">
        <v>3.85700011253357</v>
      </c>
      <c r="H1971" s="16">
        <f>C1971+E1971</f>
        <v/>
      </c>
    </row>
    <row r="1972">
      <c r="A1972" s="12" t="n">
        <v>44881</v>
      </c>
      <c r="B1972" s="15" t="n">
        <v>0.940299957990646</v>
      </c>
      <c r="C1972" s="15" t="n">
        <v>0.275000005960464</v>
      </c>
      <c r="D1972" s="15" t="n">
        <v>2.52379989624023</v>
      </c>
      <c r="E1972" s="15" t="n">
        <v>-0.0119999647140503</v>
      </c>
      <c r="F1972" s="15" t="n">
        <v>0.273200005292892</v>
      </c>
      <c r="G1972" s="15" t="n">
        <v>3.72709989547729</v>
      </c>
      <c r="H1972" s="16">
        <f>C1972+E1972</f>
        <v/>
      </c>
    </row>
    <row r="1973">
      <c r="A1973" s="12" t="n">
        <v>44882</v>
      </c>
      <c r="B1973" s="15" t="n">
        <v>0.971599966287613</v>
      </c>
      <c r="C1973" s="15" t="n">
        <v>0.303400009870529</v>
      </c>
      <c r="D1973" s="15" t="n">
        <v>2.54290008544922</v>
      </c>
      <c r="E1973" s="15" t="n">
        <v>-0.00560009479522705</v>
      </c>
      <c r="F1973" s="15" t="n">
        <v>0.322699993848801</v>
      </c>
      <c r="G1973" s="15" t="n">
        <v>3.81229996681213</v>
      </c>
      <c r="H1973" s="16">
        <f>C1973+E1973</f>
        <v/>
      </c>
    </row>
    <row r="1974">
      <c r="A1974" s="12" t="n">
        <v>44883</v>
      </c>
      <c r="B1974" s="15" t="n">
        <v>0.993000060319901</v>
      </c>
      <c r="C1974" s="15" t="n">
        <v>0.314099997282028</v>
      </c>
      <c r="D1974" s="15" t="n">
        <v>2.55189990997314</v>
      </c>
      <c r="E1974" s="15" t="n">
        <v>-0.00329995155334473</v>
      </c>
      <c r="F1974" s="15" t="n">
        <v>0.365599989891052</v>
      </c>
      <c r="G1974" s="15" t="n">
        <v>3.85570001602173</v>
      </c>
      <c r="H1974" s="16">
        <f>C1974+E1974</f>
        <v/>
      </c>
    </row>
    <row r="1975">
      <c r="A1975" s="12" t="n">
        <v>44886</v>
      </c>
      <c r="B1975" s="15" t="n">
        <v>1.00529995560646</v>
      </c>
      <c r="C1975" s="15" t="n">
        <v>0.319099992513657</v>
      </c>
      <c r="D1975" s="15" t="n">
        <v>2.55780005455017</v>
      </c>
      <c r="E1975" s="15" t="n">
        <v>-0.00279998779296875</v>
      </c>
      <c r="F1975" s="15" t="n">
        <v>0.31020000576973</v>
      </c>
      <c r="G1975" s="15" t="n">
        <v>3.87940001487732</v>
      </c>
      <c r="H1975" s="16">
        <f>C1975+E1975</f>
        <v/>
      </c>
    </row>
    <row r="1976">
      <c r="A1976" s="12" t="n">
        <v>44887</v>
      </c>
      <c r="B1976" s="15" t="n">
        <v>0.984800040721893</v>
      </c>
      <c r="C1976" s="15" t="n">
        <v>0.278299987316132</v>
      </c>
      <c r="D1976" s="15" t="n">
        <v>2.53390002250671</v>
      </c>
      <c r="E1976" s="15" t="n">
        <v>-0.0121001005172729</v>
      </c>
      <c r="F1976" s="15" t="n">
        <v>0.283699989318848</v>
      </c>
      <c r="G1976" s="15" t="n">
        <v>3.78489995002747</v>
      </c>
      <c r="H1976" s="16">
        <f>C1976+E1976</f>
        <v/>
      </c>
    </row>
    <row r="1977">
      <c r="A1977" s="12" t="n">
        <v>44888</v>
      </c>
      <c r="B1977" s="15" t="n">
        <v>0.96699994802475</v>
      </c>
      <c r="C1977" s="15" t="n">
        <v>0.250400006771088</v>
      </c>
      <c r="D1977" s="15" t="n">
        <v>2.51690006256104</v>
      </c>
      <c r="E1977" s="15" t="n">
        <v>-0.0184000730514526</v>
      </c>
      <c r="F1977" s="15" t="n">
        <v>0.282999992370605</v>
      </c>
      <c r="G1977" s="15" t="n">
        <v>3.71589994430542</v>
      </c>
      <c r="H1977" s="16">
        <f>C1977+E1977</f>
        <v/>
      </c>
    </row>
    <row r="1978">
      <c r="A1978" s="12" t="n">
        <v>44890</v>
      </c>
      <c r="B1978" s="15" t="n">
        <v>0.955600008368492</v>
      </c>
      <c r="C1978" s="15" t="n">
        <v>0.239099994301796</v>
      </c>
      <c r="D1978" s="15" t="n">
        <v>2.50950002670288</v>
      </c>
      <c r="E1978" s="15" t="n">
        <v>-0.0210001468658447</v>
      </c>
      <c r="F1978" s="15" t="n">
        <v>0.275799989700317</v>
      </c>
      <c r="G1978" s="15" t="n">
        <v>3.68319988250732</v>
      </c>
      <c r="H1978" s="16">
        <f>C1978+E1978</f>
        <v/>
      </c>
    </row>
    <row r="1979">
      <c r="A1979" s="12" t="n">
        <v>44893</v>
      </c>
      <c r="B1979" s="15" t="n">
        <v>0.965899959206581</v>
      </c>
      <c r="C1979" s="15" t="n">
        <v>0.245100006461143</v>
      </c>
      <c r="D1979" s="15" t="n">
        <v>2.51489996910095</v>
      </c>
      <c r="E1979" s="15" t="n">
        <v>-0.0199999809265137</v>
      </c>
      <c r="F1979" s="15" t="n">
        <v>0.319099992513657</v>
      </c>
      <c r="G1979" s="15" t="n">
        <v>3.70589995384216</v>
      </c>
      <c r="H1979" s="16">
        <f>C1979+E1979</f>
        <v/>
      </c>
    </row>
    <row r="1980">
      <c r="A1980" s="12" t="n">
        <v>44894</v>
      </c>
      <c r="B1980" s="15" t="n">
        <v>0.979599982500076</v>
      </c>
      <c r="C1980" s="15" t="n">
        <v>0.265300005674362</v>
      </c>
      <c r="D1980" s="15" t="n">
        <v>2.5271999835968</v>
      </c>
      <c r="E1980" s="15" t="n">
        <v>-0.0153000354766846</v>
      </c>
      <c r="F1980" s="15" t="n">
        <v>0.340099990367889</v>
      </c>
      <c r="G1980" s="15" t="n">
        <v>3.75679993629456</v>
      </c>
      <c r="H1980" s="16">
        <f>C1980+E1980</f>
        <v/>
      </c>
    </row>
    <row r="1981">
      <c r="A1981" s="12" t="n">
        <v>44895</v>
      </c>
      <c r="B1981" s="15" t="n">
        <v>0.946599960327148</v>
      </c>
      <c r="C1981" s="15" t="n">
        <v>0.234899997711182</v>
      </c>
      <c r="D1981" s="15" t="n">
        <v>2.50729990005493</v>
      </c>
      <c r="E1981" s="15" t="n">
        <v>-0.0224997997283936</v>
      </c>
      <c r="F1981" s="15" t="n">
        <v>0.261900007724762</v>
      </c>
      <c r="G1981" s="15" t="n">
        <v>3.66630005836487</v>
      </c>
      <c r="H1981" s="16">
        <f>C1981+E1981</f>
        <v/>
      </c>
    </row>
    <row r="1982">
      <c r="A1982" s="12" t="n">
        <v>44896</v>
      </c>
      <c r="B1982" s="15" t="n">
        <v>0.895999997854233</v>
      </c>
      <c r="C1982" s="15" t="n">
        <v>0.187999993562698</v>
      </c>
      <c r="D1982" s="15" t="n">
        <v>2.4760000705719</v>
      </c>
      <c r="E1982" s="15" t="n">
        <v>-0.0331000089645386</v>
      </c>
      <c r="F1982" s="15" t="n">
        <v>0.200200006365776</v>
      </c>
      <c r="G1982" s="15" t="n">
        <v>3.52690005302429</v>
      </c>
      <c r="H1982" s="16">
        <f>C1982+E1982</f>
        <v/>
      </c>
    </row>
    <row r="1983">
      <c r="A1983" s="12" t="n">
        <v>44897</v>
      </c>
      <c r="B1983" s="15" t="n">
        <v>0.892399936914444</v>
      </c>
      <c r="C1983" s="15" t="n">
        <v>0.179100006818771</v>
      </c>
      <c r="D1983" s="15" t="n">
        <v>2.47129988670349</v>
      </c>
      <c r="E1983" s="15" t="n">
        <v>-0.0352998971939087</v>
      </c>
      <c r="F1983" s="15" t="n">
        <v>0.141599997878075</v>
      </c>
      <c r="G1983" s="15" t="n">
        <v>3.5074999332428</v>
      </c>
      <c r="H1983" s="16">
        <f>C1983+E1983</f>
        <v/>
      </c>
    </row>
    <row r="1984">
      <c r="A1984" s="12" t="n">
        <v>44900</v>
      </c>
      <c r="B1984" s="15" t="n">
        <v>0.9390999525785449</v>
      </c>
      <c r="C1984" s="15" t="n">
        <v>0.211500003933907</v>
      </c>
      <c r="D1984" s="15" t="n">
        <v>2.49569988250732</v>
      </c>
      <c r="E1984" s="15" t="n">
        <v>-0.0283999443054199</v>
      </c>
      <c r="F1984" s="15" t="n">
        <v>0.196299999952316</v>
      </c>
      <c r="G1984" s="15" t="n">
        <v>3.61789989471436</v>
      </c>
      <c r="H1984" s="16">
        <f>C1984+E1984</f>
        <v/>
      </c>
    </row>
    <row r="1985">
      <c r="A1985" s="12" t="n">
        <v>44901</v>
      </c>
      <c r="B1985" s="15" t="n">
        <v>0.913299962878227</v>
      </c>
      <c r="C1985" s="15" t="n">
        <v>0.176300004124641</v>
      </c>
      <c r="D1985" s="15" t="n">
        <v>2.47399997711182</v>
      </c>
      <c r="E1985" s="15" t="n">
        <v>-0.0363999605178833</v>
      </c>
      <c r="F1985" s="15" t="n">
        <v>0.239199995994568</v>
      </c>
      <c r="G1985" s="15" t="n">
        <v>3.5271999835968</v>
      </c>
      <c r="H1985" s="16">
        <f>C1985+E1985</f>
        <v/>
      </c>
    </row>
    <row r="1986">
      <c r="A1986" s="12" t="n">
        <v>44902</v>
      </c>
      <c r="B1986" s="15" t="n">
        <v>0.878200024366379</v>
      </c>
      <c r="C1986" s="15" t="n">
        <v>0.13850000500679</v>
      </c>
      <c r="D1986" s="15" t="n">
        <v>2.44959998130798</v>
      </c>
      <c r="E1986" s="15" t="n">
        <v>-0.0450000762939453</v>
      </c>
      <c r="F1986" s="15" t="n">
        <v>0.26010000705719</v>
      </c>
      <c r="G1986" s="15" t="n">
        <v>3.42129993438721</v>
      </c>
      <c r="H1986" s="16">
        <f>C1986+E1986</f>
        <v/>
      </c>
    </row>
    <row r="1987">
      <c r="A1987" s="12" t="n">
        <v>44903</v>
      </c>
      <c r="B1987" s="15" t="n">
        <v>0.89900004863739</v>
      </c>
      <c r="C1987" s="15" t="n">
        <v>0.163800001144409</v>
      </c>
      <c r="D1987" s="15" t="n">
        <v>2.46499991416931</v>
      </c>
      <c r="E1987" s="15" t="n">
        <v>-0.0389999151229858</v>
      </c>
      <c r="F1987" s="15" t="n">
        <v>0.256500005722046</v>
      </c>
      <c r="G1987" s="15" t="n">
        <v>3.48880004882812</v>
      </c>
      <c r="H1987" s="16">
        <f>C1987+E1987</f>
        <v/>
      </c>
    </row>
    <row r="1988">
      <c r="A1988" s="12" t="n">
        <v>44904</v>
      </c>
      <c r="B1988" s="15" t="n">
        <v>0.921800032258034</v>
      </c>
      <c r="C1988" s="15" t="n">
        <v>0.19480000436306</v>
      </c>
      <c r="D1988" s="15" t="n">
        <v>2.48449993133545</v>
      </c>
      <c r="E1988" s="15" t="n">
        <v>-0.0320999622344971</v>
      </c>
      <c r="F1988" s="15" t="n">
        <v>0.30460000038147</v>
      </c>
      <c r="G1988" s="15" t="n">
        <v>3.56900000572205</v>
      </c>
      <c r="H1988" s="16">
        <f>C1988+E1988</f>
        <v/>
      </c>
    </row>
    <row r="1989">
      <c r="A1989" s="12" t="n">
        <v>44907</v>
      </c>
      <c r="B1989" s="15" t="n">
        <v>0.939899951219559</v>
      </c>
      <c r="C1989" s="15" t="n">
        <v>0.197699993848801</v>
      </c>
      <c r="D1989" s="15" t="n">
        <v>2.48979997634888</v>
      </c>
      <c r="E1989" s="15" t="n">
        <v>-0.0319998264312744</v>
      </c>
      <c r="F1989" s="15" t="n">
        <v>0.294200003147125</v>
      </c>
      <c r="G1989" s="15" t="n">
        <v>3.59540009498596</v>
      </c>
      <c r="H1989" s="16">
        <f>C1989+E1989</f>
        <v/>
      </c>
    </row>
    <row r="1990">
      <c r="A1990" s="12" t="n">
        <v>44908</v>
      </c>
      <c r="B1990" s="15" t="n">
        <v>0.890999972820282</v>
      </c>
      <c r="C1990" s="15" t="n">
        <v>0.162000000476837</v>
      </c>
      <c r="D1990" s="15" t="n">
        <v>2.46359992027283</v>
      </c>
      <c r="E1990" s="15" t="n">
        <v>-0.0396997928619385</v>
      </c>
      <c r="F1990" s="15" t="n">
        <v>0.308200001716614</v>
      </c>
      <c r="G1990" s="15" t="n">
        <v>3.47690010070801</v>
      </c>
      <c r="H1990" s="16">
        <f>C1990+E1990</f>
        <v/>
      </c>
    </row>
    <row r="1991">
      <c r="A1991" s="12" t="n">
        <v>44909</v>
      </c>
      <c r="B1991" s="15" t="n">
        <v>0.883799999952316</v>
      </c>
      <c r="C1991" s="15" t="n">
        <v>0.161500006914139</v>
      </c>
      <c r="D1991" s="15" t="n">
        <v>2.46219992637634</v>
      </c>
      <c r="E1991" s="15" t="n">
        <v>-0.0397999286651611</v>
      </c>
      <c r="F1991" s="15" t="n">
        <v>0.34799998998642</v>
      </c>
      <c r="G1991" s="15" t="n">
        <v>3.46770000457764</v>
      </c>
      <c r="H1991" s="16">
        <f>C1991+E1991</f>
        <v/>
      </c>
    </row>
    <row r="1992">
      <c r="A1992" s="12" t="n">
        <v>44910</v>
      </c>
      <c r="B1992" s="15" t="n">
        <v>0.874800026416779</v>
      </c>
      <c r="C1992" s="15" t="n">
        <v>0.142599999904633</v>
      </c>
      <c r="D1992" s="15" t="n">
        <v>2.4514000415802</v>
      </c>
      <c r="E1992" s="15" t="n">
        <v>-0.0441000461578369</v>
      </c>
      <c r="F1992" s="15" t="n">
        <v>0.356299996376038</v>
      </c>
      <c r="G1992" s="15" t="n">
        <v>3.42470002174377</v>
      </c>
      <c r="H1992" s="16">
        <f>C1992+E1992</f>
        <v/>
      </c>
    </row>
    <row r="1993">
      <c r="A1993" s="12" t="n">
        <v>44911</v>
      </c>
      <c r="B1993" s="15" t="n">
        <v>0.879400014877319</v>
      </c>
      <c r="C1993" s="15" t="n">
        <v>0.159500002861023</v>
      </c>
      <c r="D1993" s="15" t="n">
        <v>2.46110010147095</v>
      </c>
      <c r="E1993" s="15" t="n">
        <v>-0.0405000448226929</v>
      </c>
      <c r="F1993" s="15" t="n">
        <v>0.402099996805191</v>
      </c>
      <c r="G1993" s="15" t="n">
        <v>3.4595000743866</v>
      </c>
      <c r="H1993" s="16">
        <f>C1993+E1993</f>
        <v/>
      </c>
    </row>
    <row r="1994">
      <c r="A1994" s="12" t="n">
        <v>44914</v>
      </c>
      <c r="B1994" s="15" t="n">
        <v>0.910299986600876</v>
      </c>
      <c r="C1994" s="15" t="n">
        <v>0.1908999979496</v>
      </c>
      <c r="D1994" s="15" t="n">
        <v>2.48210000991821</v>
      </c>
      <c r="E1994" s="15" t="n">
        <v>-0.033500075340271</v>
      </c>
      <c r="F1994" s="15" t="n">
        <v>0.405900001525879</v>
      </c>
      <c r="G1994" s="15" t="n">
        <v>3.54979991912842</v>
      </c>
      <c r="H1994" s="16">
        <f>C1994+E1994</f>
        <v/>
      </c>
    </row>
    <row r="1995">
      <c r="A1995" s="12" t="n">
        <v>44915</v>
      </c>
      <c r="B1995" s="15" t="n">
        <v>0.94159996509552</v>
      </c>
      <c r="C1995" s="15" t="n">
        <v>0.233500003814697</v>
      </c>
      <c r="D1995" s="15" t="n">
        <v>2.50850009918213</v>
      </c>
      <c r="E1995" s="15" t="n">
        <v>-0.0238000154495239</v>
      </c>
      <c r="F1995" s="15" t="n">
        <v>0.371300011873245</v>
      </c>
      <c r="G1995" s="15" t="n">
        <v>3.65980005264282</v>
      </c>
      <c r="H1995" s="16">
        <f>C1995+E1995</f>
        <v/>
      </c>
    </row>
    <row r="1996">
      <c r="A1996" s="12" t="n">
        <v>44916</v>
      </c>
      <c r="B1996" s="15" t="n">
        <v>0.936599940061569</v>
      </c>
      <c r="C1996" s="15" t="n">
        <v>0.240500003099442</v>
      </c>
      <c r="D1996" s="15" t="n">
        <v>2.5106999874115</v>
      </c>
      <c r="E1996" s="15" t="n">
        <v>-0.0219998359680176</v>
      </c>
      <c r="F1996" s="15" t="n">
        <v>0.329800009727478</v>
      </c>
      <c r="G1996" s="15" t="n">
        <v>3.66580009460449</v>
      </c>
      <c r="H1996" s="16">
        <f>C1996+E1996</f>
        <v/>
      </c>
    </row>
    <row r="1997">
      <c r="A1997" s="12" t="n">
        <v>44917</v>
      </c>
      <c r="B1997" s="15" t="n">
        <v>0.938099980354309</v>
      </c>
      <c r="C1997" s="15" t="n">
        <v>0.242799997329712</v>
      </c>
      <c r="D1997" s="15" t="n">
        <v>2.51169991493225</v>
      </c>
      <c r="E1997" s="15" t="n">
        <v>-0.0212999582290649</v>
      </c>
      <c r="F1997" s="15" t="n">
        <v>0.384600013494492</v>
      </c>
      <c r="G1997" s="15" t="n">
        <v>3.67129993438721</v>
      </c>
      <c r="H1997" s="16">
        <f>C1997+E1997</f>
        <v/>
      </c>
    </row>
    <row r="1998">
      <c r="A1998" s="12" t="n">
        <v>44918</v>
      </c>
      <c r="B1998" s="15" t="n">
        <v>0.958899945020676</v>
      </c>
      <c r="C1998" s="15" t="n">
        <v>0.265599995851517</v>
      </c>
      <c r="D1998" s="15" t="n">
        <v>2.52620005607605</v>
      </c>
      <c r="E1998" s="15" t="n">
        <v>-0.0160999298095703</v>
      </c>
      <c r="F1998" s="15" t="n">
        <v>0.386400014162064</v>
      </c>
      <c r="G1998" s="15" t="n">
        <v>3.73460006713867</v>
      </c>
      <c r="H1998" s="16">
        <f>C1998+E1998</f>
        <v/>
      </c>
    </row>
    <row r="1999">
      <c r="A1999" s="12" t="n">
        <v>44922</v>
      </c>
      <c r="B1999" s="15" t="n">
        <v>0.997800052165985</v>
      </c>
      <c r="C1999" s="15" t="n">
        <v>0.294200003147125</v>
      </c>
      <c r="D1999" s="15" t="n">
        <v>2.54780006408691</v>
      </c>
      <c r="E1999" s="15" t="n">
        <v>-0.0101001262664795</v>
      </c>
      <c r="F1999" s="15" t="n">
        <v>0.361999988555908</v>
      </c>
      <c r="G1999" s="15" t="n">
        <v>3.82969999313354</v>
      </c>
      <c r="H1999" s="16">
        <f>C1999+E1999</f>
        <v/>
      </c>
    </row>
    <row r="2000">
      <c r="A2000" s="12" t="n">
        <v>44923</v>
      </c>
      <c r="B2000" s="15" t="n">
        <v>1.00850000977516</v>
      </c>
      <c r="C2000" s="15" t="n">
        <v>0.310499995946884</v>
      </c>
      <c r="D2000" s="15" t="n">
        <v>2.55780005455017</v>
      </c>
      <c r="E2000" s="15" t="n">
        <v>-0.0065000057220459</v>
      </c>
      <c r="F2000" s="15" t="n">
        <v>0.363499999046326</v>
      </c>
      <c r="G2000" s="15" t="n">
        <v>3.87030005455017</v>
      </c>
      <c r="H2000" s="16">
        <f>C2000+E2000</f>
        <v/>
      </c>
    </row>
    <row r="2001">
      <c r="A2001" s="12" t="n">
        <v>44924</v>
      </c>
      <c r="B2001" s="15" t="n">
        <v>0.9956000149250031</v>
      </c>
      <c r="C2001" s="15" t="n">
        <v>0.296900004148483</v>
      </c>
      <c r="D2001" s="15" t="n">
        <v>2.54839992523193</v>
      </c>
      <c r="E2001" s="15" t="n">
        <v>-0.0093998908996582</v>
      </c>
      <c r="F2001" s="15" t="n">
        <v>0.350600004196167</v>
      </c>
      <c r="G2001" s="15" t="n">
        <v>3.83150005340576</v>
      </c>
      <c r="H2001" s="16">
        <f>C2001+E2001</f>
        <v/>
      </c>
    </row>
    <row r="2002">
      <c r="A2002" s="12" t="n">
        <v>44925</v>
      </c>
      <c r="B2002" s="15" t="n">
        <v>1.01320004463196</v>
      </c>
      <c r="C2002" s="15" t="n">
        <v>0.31029999256134</v>
      </c>
      <c r="D2002" s="15" t="n">
        <v>2.55800008773804</v>
      </c>
      <c r="E2002" s="15" t="n">
        <v>-0.00640022754669189</v>
      </c>
      <c r="F2002" s="15" t="n">
        <v>0.348199993371964</v>
      </c>
      <c r="G2002" s="15" t="n">
        <v>3.87509989738464</v>
      </c>
      <c r="H2002" s="16">
        <f>C2002+E2002</f>
        <v/>
      </c>
    </row>
    <row r="2003">
      <c r="A2003" s="12" t="n">
        <v>44929</v>
      </c>
      <c r="B2003" s="15" t="n">
        <v>0.993099987506866</v>
      </c>
      <c r="C2003" s="15" t="n">
        <v>0.272700011730194</v>
      </c>
      <c r="D2003" s="15" t="n">
        <v>2.53670001029968</v>
      </c>
      <c r="E2003" s="15" t="n">
        <v>-0.0151998996734619</v>
      </c>
      <c r="F2003" s="15" t="n">
        <v>0.357800006866455</v>
      </c>
      <c r="G2003" s="15" t="n">
        <v>3.78730010986328</v>
      </c>
      <c r="H2003" s="16">
        <f>C2003+E2003</f>
        <v/>
      </c>
    </row>
    <row r="2004">
      <c r="A2004" s="12" t="n">
        <v>44930</v>
      </c>
      <c r="B2004" s="15" t="n">
        <v>0.965400010347366</v>
      </c>
      <c r="C2004" s="15" t="n">
        <v>0.232199996709824</v>
      </c>
      <c r="D2004" s="15" t="n">
        <v>2.51279997825623</v>
      </c>
      <c r="E2004" s="15" t="n">
        <v>-0.0247999429702759</v>
      </c>
      <c r="F2004" s="15" t="n">
        <v>0.377499997615814</v>
      </c>
      <c r="G2004" s="15" t="n">
        <v>3.68560004234314</v>
      </c>
      <c r="H2004" s="16">
        <f>C2004+E2004</f>
        <v/>
      </c>
    </row>
    <row r="2005">
      <c r="A2005" s="12" t="n">
        <v>44931</v>
      </c>
      <c r="B2005" s="15" t="n">
        <v>0.97879995405674</v>
      </c>
      <c r="C2005" s="15" t="n">
        <v>0.230700001120567</v>
      </c>
      <c r="D2005" s="15" t="n">
        <v>2.51449990272522</v>
      </c>
      <c r="E2005" s="15" t="n">
        <v>-0.0252999067306519</v>
      </c>
      <c r="F2005" s="15" t="n">
        <v>0.386900007724762</v>
      </c>
      <c r="G2005" s="15" t="n">
        <v>3.69869995117188</v>
      </c>
      <c r="H2005" s="16">
        <f>C2005+E2005</f>
        <v/>
      </c>
    </row>
    <row r="2006">
      <c r="A2006" s="12" t="n">
        <v>44932</v>
      </c>
      <c r="B2006" s="15" t="n">
        <v>0.920599967241287</v>
      </c>
      <c r="C2006" s="15" t="n">
        <v>0.17399999499321</v>
      </c>
      <c r="D2006" s="15" t="n">
        <v>2.47810006141663</v>
      </c>
      <c r="E2006" s="15" t="n">
        <v>-0.0387001037597656</v>
      </c>
      <c r="F2006" s="15" t="n">
        <v>0.355300009250641</v>
      </c>
      <c r="G2006" s="15" t="n">
        <v>3.53399991989136</v>
      </c>
      <c r="H2006" s="16">
        <f>C2006+E2006</f>
        <v/>
      </c>
    </row>
    <row r="2007">
      <c r="A2007" s="12" t="n">
        <v>44935</v>
      </c>
      <c r="B2007" s="15" t="n">
        <v>0.918900027871132</v>
      </c>
      <c r="C2007" s="15" t="n">
        <v>0.165999993681908</v>
      </c>
      <c r="D2007" s="15" t="n">
        <v>2.47609996795654</v>
      </c>
      <c r="E2007" s="15" t="n">
        <v>-0.0416001081466675</v>
      </c>
      <c r="F2007" s="15" t="n">
        <v>0.346599996089935</v>
      </c>
      <c r="G2007" s="15" t="n">
        <v>3.51939988136292</v>
      </c>
      <c r="H2007" s="16">
        <f>C2007+E2007</f>
        <v/>
      </c>
    </row>
    <row r="2008">
      <c r="A2008" s="12" t="n">
        <v>44936</v>
      </c>
      <c r="B2008" s="15" t="n">
        <v>0.9457999914884569</v>
      </c>
      <c r="C2008" s="15" t="n">
        <v>0.196400001645088</v>
      </c>
      <c r="D2008" s="15" t="n">
        <v>2.49699997901917</v>
      </c>
      <c r="E2008" s="15" t="n">
        <v>-0.0351998805999756</v>
      </c>
      <c r="F2008" s="15" t="n">
        <v>0.354299992322922</v>
      </c>
      <c r="G2008" s="15" t="n">
        <v>3.60400009155273</v>
      </c>
      <c r="H2008" s="16">
        <f>C2008+E2008</f>
        <v/>
      </c>
    </row>
    <row r="2009">
      <c r="A2009" s="12" t="n">
        <v>44937</v>
      </c>
      <c r="B2009" s="15" t="n">
        <v>0.926599949598312</v>
      </c>
      <c r="C2009" s="15" t="n">
        <v>0.17509999871254</v>
      </c>
      <c r="D2009" s="15" t="n">
        <v>2.48370003700256</v>
      </c>
      <c r="E2009" s="15" t="n">
        <v>-0.0403000116348267</v>
      </c>
      <c r="F2009" s="15" t="n">
        <v>0.335799992084503</v>
      </c>
      <c r="G2009" s="15" t="n">
        <v>3.54509997367859</v>
      </c>
      <c r="H2009" s="16">
        <f>C2009+E2009</f>
        <v/>
      </c>
    </row>
    <row r="2010">
      <c r="A2010" s="12" t="n">
        <v>44938</v>
      </c>
      <c r="B2010" s="15" t="n">
        <v>0.880299970507622</v>
      </c>
      <c r="C2010" s="15" t="n">
        <v>0.138199999928474</v>
      </c>
      <c r="D2010" s="15" t="n">
        <v>2.45709991455078</v>
      </c>
      <c r="E2010" s="15" t="n">
        <v>-0.0481997728347778</v>
      </c>
      <c r="F2010" s="15" t="n">
        <v>0.311699986457825</v>
      </c>
      <c r="G2010" s="15" t="n">
        <v>3.4274001121521</v>
      </c>
      <c r="H2010" s="16">
        <f>C2010+E2010</f>
        <v/>
      </c>
    </row>
    <row r="2011">
      <c r="A2011" s="12" t="n">
        <v>44939</v>
      </c>
      <c r="B2011" s="15" t="n">
        <v>0.89869998395443</v>
      </c>
      <c r="C2011" s="15" t="n">
        <v>0.155799999833107</v>
      </c>
      <c r="D2011" s="15" t="n">
        <v>2.46840000152588</v>
      </c>
      <c r="E2011" s="15" t="n">
        <v>-0.0440000295639038</v>
      </c>
      <c r="F2011" s="15" t="n">
        <v>0.345400005578995</v>
      </c>
      <c r="G2011" s="15" t="n">
        <v>3.47889995574951</v>
      </c>
      <c r="H2011" s="16">
        <f>C2011+E2011</f>
        <v/>
      </c>
    </row>
    <row r="2012">
      <c r="A2012" s="12" t="n">
        <v>44943</v>
      </c>
      <c r="B2012" s="15" t="n">
        <v>0.910399988293648</v>
      </c>
      <c r="C2012" s="15" t="n">
        <v>0.165000006556511</v>
      </c>
      <c r="D2012" s="15" t="n">
        <v>2.47639989852905</v>
      </c>
      <c r="E2012" s="15" t="n">
        <v>-0.042699933052063</v>
      </c>
      <c r="F2012" s="15" t="n">
        <v>0.362300008535385</v>
      </c>
      <c r="G2012" s="15" t="n">
        <v>3.50909996032715</v>
      </c>
      <c r="H2012" s="16">
        <f>C2012+E2012</f>
        <v/>
      </c>
    </row>
    <row r="2013">
      <c r="A2013" s="12" t="n">
        <v>44944</v>
      </c>
      <c r="B2013" s="15" t="n">
        <v>0.8565000146627429</v>
      </c>
      <c r="C2013" s="15" t="n">
        <v>0.106600001454353</v>
      </c>
      <c r="D2013" s="15" t="n">
        <v>2.43919992446899</v>
      </c>
      <c r="E2013" s="15" t="n">
        <v>-0.0560999512672424</v>
      </c>
      <c r="F2013" s="15" t="n">
        <v>0.370599985122681</v>
      </c>
      <c r="G2013" s="15" t="n">
        <v>3.34619998931885</v>
      </c>
      <c r="H2013" s="16">
        <f>C2013+E2013</f>
        <v/>
      </c>
    </row>
    <row r="2014">
      <c r="A2014" s="12" t="n">
        <v>44945</v>
      </c>
      <c r="B2014" s="15" t="n">
        <v>0.864499993622303</v>
      </c>
      <c r="C2014" s="15" t="n">
        <v>0.112099997699261</v>
      </c>
      <c r="D2014" s="15" t="n">
        <v>2.4433000087738</v>
      </c>
      <c r="E2014" s="15" t="n">
        <v>-0.0549998879432678</v>
      </c>
      <c r="F2014" s="15" t="n">
        <v>0.296000003814697</v>
      </c>
      <c r="G2014" s="15" t="n">
        <v>3.3649001121521</v>
      </c>
      <c r="H2014" s="16">
        <f>C2014+E2014</f>
        <v/>
      </c>
    </row>
    <row r="2015">
      <c r="A2015" s="12" t="n">
        <v>44946</v>
      </c>
      <c r="B2015" s="15" t="n">
        <v>0.892300024628639</v>
      </c>
      <c r="C2015" s="15" t="n">
        <v>0.144500002264977</v>
      </c>
      <c r="D2015" s="15" t="n">
        <v>2.46390008926392</v>
      </c>
      <c r="E2015" s="15" t="n">
        <v>-0.0475000143051147</v>
      </c>
      <c r="F2015" s="15" t="n">
        <v>0.293900012969971</v>
      </c>
      <c r="G2015" s="15" t="n">
        <v>3.45320010185242</v>
      </c>
      <c r="H2015" s="16">
        <f>C2015+E2015</f>
        <v/>
      </c>
    </row>
    <row r="2016">
      <c r="A2016" s="12" t="n">
        <v>44949</v>
      </c>
      <c r="B2016" s="15" t="n">
        <v>0.907800048589706</v>
      </c>
      <c r="C2016" s="15" t="n">
        <v>0.155699998140335</v>
      </c>
      <c r="D2016" s="15" t="n">
        <v>2.47169995307922</v>
      </c>
      <c r="E2016" s="15" t="n">
        <v>-0.0449000597000122</v>
      </c>
      <c r="F2016" s="15" t="n">
        <v>0.266000002622604</v>
      </c>
      <c r="G2016" s="15" t="n">
        <v>3.49029994010925</v>
      </c>
      <c r="H2016" s="16">
        <f>C2016+E2016</f>
        <v/>
      </c>
    </row>
    <row r="2017">
      <c r="A2017" s="12" t="n">
        <v>44950</v>
      </c>
      <c r="B2017" s="15" t="n">
        <v>0.894800037145615</v>
      </c>
      <c r="C2017" s="15" t="n">
        <v>0.132699996232986</v>
      </c>
      <c r="D2017" s="15" t="n">
        <v>2.45819997787476</v>
      </c>
      <c r="E2017" s="15" t="n">
        <v>-0.0502001047134399</v>
      </c>
      <c r="F2017" s="15" t="n">
        <v>0.251199990510941</v>
      </c>
      <c r="G2017" s="15" t="n">
        <v>3.43549990653992</v>
      </c>
      <c r="H2017" s="16">
        <f>C2017+E2017</f>
        <v/>
      </c>
    </row>
    <row r="2018">
      <c r="A2018" s="12" t="n">
        <v>44951</v>
      </c>
      <c r="B2018" s="15" t="n">
        <v>0.886800050735474</v>
      </c>
      <c r="C2018" s="15" t="n">
        <v>0.133599996566772</v>
      </c>
      <c r="D2018" s="15" t="n">
        <v>2.45659995079041</v>
      </c>
      <c r="E2018" s="15" t="n">
        <v>-0.0495998859405518</v>
      </c>
      <c r="F2018" s="15" t="n">
        <v>0.240899994969368</v>
      </c>
      <c r="G2018" s="15" t="n">
        <v>3.4274001121521</v>
      </c>
      <c r="H2018" s="16">
        <f>C2018+E2018</f>
        <v/>
      </c>
    </row>
    <row r="2019">
      <c r="A2019" s="12" t="n">
        <v>44952</v>
      </c>
      <c r="B2019" s="15" t="n">
        <v>0.896599978208542</v>
      </c>
      <c r="C2019" s="15" t="n">
        <v>0.142800003290176</v>
      </c>
      <c r="D2019" s="15" t="n">
        <v>2.46230006217957</v>
      </c>
      <c r="E2019" s="15" t="n">
        <v>-0.0472999811172485</v>
      </c>
      <c r="F2019" s="15" t="n">
        <v>0.203600004315376</v>
      </c>
      <c r="G2019" s="15" t="n">
        <v>3.45440006256104</v>
      </c>
      <c r="H2019" s="16">
        <f>C2019+E2019</f>
        <v/>
      </c>
    </row>
    <row r="2020">
      <c r="A2020" s="12" t="n">
        <v>44953</v>
      </c>
      <c r="B2020" s="15" t="n">
        <v>0.908100053668022</v>
      </c>
      <c r="C2020" s="15" t="n">
        <v>0.155399993062019</v>
      </c>
      <c r="D2020" s="15" t="n">
        <v>2.47040009498596</v>
      </c>
      <c r="E2020" s="15" t="n">
        <v>-0.0445002317428589</v>
      </c>
      <c r="F2020" s="15" t="n">
        <v>0.216499999165535</v>
      </c>
      <c r="G2020" s="15" t="n">
        <v>3.48939990997314</v>
      </c>
      <c r="H2020" s="16">
        <f>C2020+E2020</f>
        <v/>
      </c>
    </row>
    <row r="2021">
      <c r="A2021" s="12" t="n">
        <v>44956</v>
      </c>
      <c r="B2021" s="15" t="n">
        <v>0.921400025486946</v>
      </c>
      <c r="C2021" s="15" t="n">
        <v>0.166400000452995</v>
      </c>
      <c r="D2021" s="15" t="n">
        <v>2.47760009765625</v>
      </c>
      <c r="E2021" s="15" t="n">
        <v>-0.0418000221252441</v>
      </c>
      <c r="F2021" s="15" t="n">
        <v>0.243100002408028</v>
      </c>
      <c r="G2021" s="15" t="n">
        <v>3.52360010147095</v>
      </c>
      <c r="H2021" s="16">
        <f>C2021+E2021</f>
        <v/>
      </c>
    </row>
    <row r="2022">
      <c r="A2022" s="12" t="n">
        <v>44957</v>
      </c>
      <c r="B2022" s="15" t="n">
        <v>0.911100000143051</v>
      </c>
      <c r="C2022" s="15" t="n">
        <v>0.160699993371964</v>
      </c>
      <c r="D2022" s="15" t="n">
        <v>2.47350001335144</v>
      </c>
      <c r="E2022" s="15" t="n">
        <v>-0.0432999134063721</v>
      </c>
      <c r="F2022" s="15" t="n">
        <v>0.26800000667572</v>
      </c>
      <c r="G2022" s="15" t="n">
        <v>3.50200009346008</v>
      </c>
      <c r="H2022" s="16">
        <f>C2022+E2022</f>
        <v/>
      </c>
    </row>
    <row r="2023">
      <c r="A2023" s="12" t="n">
        <v>44958</v>
      </c>
      <c r="B2023" s="15" t="n">
        <v>0.863900005817413</v>
      </c>
      <c r="C2023" s="15" t="n">
        <v>0.112800002098083</v>
      </c>
      <c r="D2023" s="15" t="n">
        <v>2.44280004501343</v>
      </c>
      <c r="E2023" s="15" t="n">
        <v>-0.0545000433921814</v>
      </c>
      <c r="F2023" s="15" t="n">
        <v>0.232800006866455</v>
      </c>
      <c r="G2023" s="15" t="n">
        <v>3.36500000953674</v>
      </c>
      <c r="H2023" s="16">
        <f>C2023+E2023</f>
        <v/>
      </c>
    </row>
    <row r="2024">
      <c r="A2024" s="12" t="n">
        <v>44959</v>
      </c>
      <c r="B2024" s="15" t="n">
        <v>0.863600015640259</v>
      </c>
      <c r="C2024" s="15" t="n">
        <v>0.119599997997284</v>
      </c>
      <c r="D2024" s="15" t="n">
        <v>2.44619989395142</v>
      </c>
      <c r="E2024" s="15" t="n">
        <v>-0.0529000163078308</v>
      </c>
      <c r="F2024" s="15" t="n">
        <v>0.259099990129471</v>
      </c>
      <c r="G2024" s="15" t="n">
        <v>3.37649989128113</v>
      </c>
      <c r="H2024" s="16">
        <f>C2024+E2024</f>
        <v/>
      </c>
    </row>
    <row r="2025">
      <c r="A2025" s="12" t="n">
        <v>44960</v>
      </c>
      <c r="B2025" s="15" t="n">
        <v>0.9174999892711641</v>
      </c>
      <c r="C2025" s="15" t="n">
        <v>0.161500006914139</v>
      </c>
      <c r="D2025" s="15" t="n">
        <v>2.47510004043579</v>
      </c>
      <c r="E2025" s="15" t="n">
        <v>-0.0432000160217285</v>
      </c>
      <c r="F2025" s="15" t="n">
        <v>0.293999999761581</v>
      </c>
      <c r="G2025" s="15" t="n">
        <v>3.51090002059937</v>
      </c>
      <c r="H2025" s="16">
        <f>C2025+E2025</f>
        <v/>
      </c>
    </row>
    <row r="2026">
      <c r="A2026" s="12" t="n">
        <v>44963</v>
      </c>
      <c r="B2026" s="15" t="n">
        <v>0.956499963998795</v>
      </c>
      <c r="C2026" s="15" t="n">
        <v>0.181199997663498</v>
      </c>
      <c r="D2026" s="15" t="n">
        <v>2.49040007591248</v>
      </c>
      <c r="E2026" s="15" t="n">
        <v>-0.0386000871658325</v>
      </c>
      <c r="F2026" s="15" t="n">
        <v>0.30019998550415</v>
      </c>
      <c r="G2026" s="15" t="n">
        <v>3.58949995040894</v>
      </c>
      <c r="H2026" s="16">
        <f>C2026+E2026</f>
        <v/>
      </c>
    </row>
    <row r="2027">
      <c r="A2027" s="12" t="n">
        <v>44964</v>
      </c>
      <c r="B2027" s="15" t="n">
        <v>0.966399997472763</v>
      </c>
      <c r="C2027" s="15" t="n">
        <v>0.188800007104874</v>
      </c>
      <c r="D2027" s="15" t="n">
        <v>2.49469995498657</v>
      </c>
      <c r="E2027" s="15" t="n">
        <v>-0.0363998413085938</v>
      </c>
      <c r="F2027" s="15" t="n">
        <v>0.259600013494492</v>
      </c>
      <c r="G2027" s="15" t="n">
        <v>3.61350011825562</v>
      </c>
      <c r="H2027" s="16">
        <f>C2027+E2027</f>
        <v/>
      </c>
    </row>
    <row r="2028">
      <c r="A2028" s="12" t="n">
        <v>44965</v>
      </c>
      <c r="B2028" s="15" t="n">
        <v>0.958400055766106</v>
      </c>
      <c r="C2028" s="15" t="n">
        <v>0.182699993252754</v>
      </c>
      <c r="D2028" s="15" t="n">
        <v>2.49009990692139</v>
      </c>
      <c r="E2028" s="15" t="n">
        <v>-0.0375999212265015</v>
      </c>
      <c r="F2028" s="15" t="n">
        <v>0.205599993467331</v>
      </c>
      <c r="G2028" s="15" t="n">
        <v>3.59360003471375</v>
      </c>
      <c r="H2028" s="16">
        <f>C2028+E2028</f>
        <v/>
      </c>
    </row>
    <row r="2029">
      <c r="A2029" s="12" t="n">
        <v>44966</v>
      </c>
      <c r="B2029" s="15" t="n">
        <v>0.975400030612946</v>
      </c>
      <c r="C2029" s="15" t="n">
        <v>0.197200000286102</v>
      </c>
      <c r="D2029" s="15" t="n">
        <v>2.49990010261536</v>
      </c>
      <c r="E2029" s="15" t="n">
        <v>-0.0343000888824463</v>
      </c>
      <c r="F2029" s="15" t="n">
        <v>0.22409999370575</v>
      </c>
      <c r="G2029" s="15" t="n">
        <v>3.63820004463196</v>
      </c>
      <c r="H2029" s="16">
        <f>C2029+E2029</f>
        <v/>
      </c>
    </row>
    <row r="2030">
      <c r="A2030" s="12" t="n">
        <v>44967</v>
      </c>
      <c r="B2030" s="15" t="n">
        <v>0.995199993252754</v>
      </c>
      <c r="C2030" s="15" t="n">
        <v>0.226699993014336</v>
      </c>
      <c r="D2030" s="15" t="n">
        <v>2.51769995689392</v>
      </c>
      <c r="E2030" s="15" t="n">
        <v>-0.0276000499725342</v>
      </c>
      <c r="F2030" s="15" t="n">
        <v>0.228799998760223</v>
      </c>
      <c r="G2030" s="15" t="n">
        <v>3.71199989318848</v>
      </c>
      <c r="H2030" s="16">
        <f>C2030+E2030</f>
        <v/>
      </c>
    </row>
    <row r="2031">
      <c r="A2031" s="12" t="n">
        <v>44970</v>
      </c>
      <c r="B2031" s="15" t="n">
        <v>1.00080001354218</v>
      </c>
      <c r="C2031" s="15" t="n">
        <v>0.207599997520447</v>
      </c>
      <c r="D2031" s="15" t="n">
        <v>2.51049995422363</v>
      </c>
      <c r="E2031" s="15" t="n">
        <v>-0.0327000617980957</v>
      </c>
      <c r="F2031" s="15" t="n">
        <v>0.240700006484985</v>
      </c>
      <c r="G2031" s="15" t="n">
        <v>3.68619990348816</v>
      </c>
      <c r="H2031" s="16">
        <f>C2031+E2031</f>
        <v/>
      </c>
    </row>
    <row r="2032">
      <c r="A2032" s="12" t="n">
        <v>44971</v>
      </c>
      <c r="B2032" s="15" t="n">
        <v>1.01870001852512</v>
      </c>
      <c r="C2032" s="15" t="n">
        <v>0.220599994063377</v>
      </c>
      <c r="D2032" s="15" t="n">
        <v>2.51889991760254</v>
      </c>
      <c r="E2032" s="15" t="n">
        <v>-0.0292999744415283</v>
      </c>
      <c r="F2032" s="15" t="n">
        <v>0.25450000166893</v>
      </c>
      <c r="G2032" s="15" t="n">
        <v>3.72889995574951</v>
      </c>
      <c r="H2032" s="16">
        <f>C2032+E2032</f>
        <v/>
      </c>
    </row>
    <row r="2033">
      <c r="A2033" s="12" t="n">
        <v>44972</v>
      </c>
      <c r="B2033" s="15" t="n">
        <v>1.03899997472763</v>
      </c>
      <c r="C2033" s="15" t="n">
        <v>0.2567999958992</v>
      </c>
      <c r="D2033" s="15" t="n">
        <v>2.54069995880127</v>
      </c>
      <c r="E2033" s="15" t="n">
        <v>-0.0211999416351318</v>
      </c>
      <c r="F2033" s="15" t="n">
        <v>0.210999995470047</v>
      </c>
      <c r="G2033" s="15" t="n">
        <v>3.81529998779297</v>
      </c>
      <c r="H2033" s="16">
        <f>C2033+E2033</f>
        <v/>
      </c>
    </row>
    <row r="2034">
      <c r="A2034" s="12" t="n">
        <v>44973</v>
      </c>
      <c r="B2034" s="15" t="n">
        <v>1.04480004310608</v>
      </c>
      <c r="C2034" s="15" t="n">
        <v>0.258700013160706</v>
      </c>
      <c r="D2034" s="15" t="n">
        <v>2.54209995269775</v>
      </c>
      <c r="E2034" s="15" t="n">
        <v>-0.0205999612808228</v>
      </c>
      <c r="F2034" s="15" t="n">
        <v>0.218500003218651</v>
      </c>
      <c r="G2034" s="15" t="n">
        <v>3.82500004768372</v>
      </c>
      <c r="H2034" s="16">
        <f>C2034+E2034</f>
        <v/>
      </c>
    </row>
    <row r="2035">
      <c r="A2035" s="12" t="n">
        <v>44974</v>
      </c>
      <c r="B2035" s="15" t="n">
        <v>1.0348000228405</v>
      </c>
      <c r="C2035" s="15" t="n">
        <v>0.244800001382828</v>
      </c>
      <c r="D2035" s="15" t="n">
        <v>2.53390002250671</v>
      </c>
      <c r="E2035" s="15" t="n">
        <v>-0.0240000486373901</v>
      </c>
      <c r="F2035" s="15" t="n">
        <v>0.22579999268055</v>
      </c>
      <c r="G2035" s="15" t="n">
        <v>3.78949999809265</v>
      </c>
      <c r="H2035" s="16">
        <f>C2035+E2035</f>
        <v/>
      </c>
    </row>
    <row r="2036">
      <c r="A2036" s="12" t="n">
        <v>44978</v>
      </c>
      <c r="B2036" s="15" t="n">
        <v>1.08320000767708</v>
      </c>
      <c r="C2036" s="15" t="n">
        <v>0.280400007963181</v>
      </c>
      <c r="D2036" s="15" t="n">
        <v>2.56060004234314</v>
      </c>
      <c r="E2036" s="15" t="n">
        <v>-0.0164999961853027</v>
      </c>
      <c r="F2036" s="15" t="n">
        <v>0.206699997186661</v>
      </c>
      <c r="G2036" s="15" t="n">
        <v>3.9077000617981</v>
      </c>
      <c r="H2036" s="16">
        <f>C2036+E2036</f>
        <v/>
      </c>
    </row>
    <row r="2037">
      <c r="A2037" s="12" t="n">
        <v>44979</v>
      </c>
      <c r="B2037" s="15" t="n">
        <v>1.09319996833801</v>
      </c>
      <c r="C2037" s="15" t="n">
        <v>0.295199990272522</v>
      </c>
      <c r="D2037" s="15" t="n">
        <v>2.57089996337891</v>
      </c>
      <c r="E2037" s="15" t="n">
        <v>-0.0135999917984009</v>
      </c>
      <c r="F2037" s="15" t="n">
        <v>0.200200006365776</v>
      </c>
      <c r="G2037" s="15" t="n">
        <v>3.94569993019104</v>
      </c>
      <c r="H2037" s="16">
        <f>C2037+E2037</f>
        <v/>
      </c>
    </row>
    <row r="2038">
      <c r="A2038" s="12" t="n">
        <v>44980</v>
      </c>
      <c r="B2038" s="15" t="n">
        <v>1.07769998908043</v>
      </c>
      <c r="C2038" s="15" t="n">
        <v>0.285699993371964</v>
      </c>
      <c r="D2038" s="15" t="n">
        <v>2.56340003013611</v>
      </c>
      <c r="E2038" s="15" t="n">
        <v>-0.0155999660491943</v>
      </c>
      <c r="F2038" s="15" t="n">
        <v>0.200100004673004</v>
      </c>
      <c r="G2038" s="15" t="n">
        <v>3.91120004653931</v>
      </c>
      <c r="H2038" s="16">
        <f>C2038+E2038</f>
        <v/>
      </c>
    </row>
    <row r="2039">
      <c r="A2039" s="12" t="n">
        <v>44981</v>
      </c>
      <c r="B2039" s="15" t="n">
        <v>1.10609996318817</v>
      </c>
      <c r="C2039" s="15" t="n">
        <v>0.315400004386902</v>
      </c>
      <c r="D2039" s="15" t="n">
        <v>2.58229994773865</v>
      </c>
      <c r="E2039" s="15" t="n">
        <v>-0.00880002975463867</v>
      </c>
      <c r="F2039" s="15" t="n">
        <v>0.240799993276596</v>
      </c>
      <c r="G2039" s="15" t="n">
        <v>3.99499988555908</v>
      </c>
      <c r="H2039" s="16">
        <f>C2039+E2039</f>
        <v/>
      </c>
    </row>
    <row r="2040">
      <c r="A2040" s="12" t="n">
        <v>44984</v>
      </c>
      <c r="B2040" s="15" t="n">
        <v>1.10170003771782</v>
      </c>
      <c r="C2040" s="15" t="n">
        <v>0.299299985170364</v>
      </c>
      <c r="D2040" s="15" t="n">
        <v>2.57439994812012</v>
      </c>
      <c r="E2040" s="15" t="n">
        <v>-0.0127999782562256</v>
      </c>
      <c r="F2040" s="15" t="n">
        <v>0.234699994325638</v>
      </c>
      <c r="G2040" s="15" t="n">
        <v>3.96259999275208</v>
      </c>
      <c r="H2040" s="16">
        <f>C2040+E2040</f>
        <v/>
      </c>
    </row>
    <row r="2041">
      <c r="A2041" s="12" t="n">
        <v>44985</v>
      </c>
      <c r="B2041" s="15" t="n">
        <v>1.09860000014305</v>
      </c>
      <c r="C2041" s="15" t="n">
        <v>0.293599992990494</v>
      </c>
      <c r="D2041" s="15" t="n">
        <v>2.57089996337891</v>
      </c>
      <c r="E2041" s="15" t="n">
        <v>-0.0139999389648438</v>
      </c>
      <c r="F2041" s="15" t="n">
        <v>0.1858000010252</v>
      </c>
      <c r="G2041" s="15" t="n">
        <v>3.94910001754761</v>
      </c>
      <c r="H2041" s="16">
        <f>C2041+E2041</f>
        <v/>
      </c>
    </row>
    <row r="2042">
      <c r="A2042" s="12" t="n">
        <v>44986</v>
      </c>
      <c r="B2042" s="15" t="n">
        <v>1.13249999284744</v>
      </c>
      <c r="C2042" s="15" t="n">
        <v>0.326499998569489</v>
      </c>
      <c r="D2042" s="15" t="n">
        <v>2.59279990196228</v>
      </c>
      <c r="E2042" s="15" t="n">
        <v>-0.00669968128204346</v>
      </c>
      <c r="F2042" s="15" t="n">
        <v>0.196299999952316</v>
      </c>
      <c r="G2042" s="15" t="n">
        <v>4.04510021209717</v>
      </c>
      <c r="H2042" s="16">
        <f>C2042+E2042</f>
        <v/>
      </c>
    </row>
    <row r="2043">
      <c r="A2043" s="12" t="n">
        <v>44987</v>
      </c>
      <c r="B2043" s="15" t="n">
        <v>1.14890000224113</v>
      </c>
      <c r="C2043" s="15" t="n">
        <v>0.351900011301041</v>
      </c>
      <c r="D2043" s="15" t="n">
        <v>2.60750007629395</v>
      </c>
      <c r="E2043" s="15" t="n">
        <v>-0.000600218772888184</v>
      </c>
      <c r="F2043" s="15" t="n">
        <v>0.168300002813339</v>
      </c>
      <c r="G2043" s="15" t="n">
        <v>4.10769987106323</v>
      </c>
      <c r="H2043" s="16">
        <f>C2043+E2043</f>
        <v/>
      </c>
    </row>
    <row r="2044">
      <c r="A2044" s="12" t="n">
        <v>44988</v>
      </c>
      <c r="B2044" s="15" t="n">
        <v>1.12020003795624</v>
      </c>
      <c r="C2044" s="15" t="n">
        <v>0.313199996948242</v>
      </c>
      <c r="D2044" s="15" t="n">
        <v>2.58279991149902</v>
      </c>
      <c r="E2044" s="15" t="n">
        <v>-0.00909984111785889</v>
      </c>
      <c r="F2044" s="15" t="n">
        <v>0.104400001466274</v>
      </c>
      <c r="G2044" s="15" t="n">
        <v>4.00710010528564</v>
      </c>
      <c r="H2044" s="16">
        <f>C2044+E2044</f>
        <v/>
      </c>
    </row>
    <row r="2045">
      <c r="A2045" s="12" t="n">
        <v>44991</v>
      </c>
      <c r="B2045" s="15" t="n">
        <v>1.12179997563362</v>
      </c>
      <c r="C2045" s="15" t="n">
        <v>0.29679998755455</v>
      </c>
      <c r="D2045" s="15" t="n">
        <v>2.57450008392334</v>
      </c>
      <c r="E2045" s="15" t="n">
        <v>-0.0126999616622925</v>
      </c>
      <c r="F2045" s="15" t="n">
        <v>0.131300002336502</v>
      </c>
      <c r="G2045" s="15" t="n">
        <v>3.98040008544922</v>
      </c>
      <c r="H2045" s="16">
        <f>C2045+E2045</f>
        <v/>
      </c>
    </row>
    <row r="2046">
      <c r="A2046" s="12" t="n">
        <v>44992</v>
      </c>
      <c r="B2046" s="15" t="n">
        <v>1.14369994401932</v>
      </c>
      <c r="C2046" s="15" t="n">
        <v>0.294900000095367</v>
      </c>
      <c r="D2046" s="15" t="n">
        <v>2.57879996299744</v>
      </c>
      <c r="E2046" s="15" t="n">
        <v>-0.0140997171401978</v>
      </c>
      <c r="F2046" s="15" t="n">
        <v>0.230100005865097</v>
      </c>
      <c r="G2046" s="15" t="n">
        <v>4.00330018997192</v>
      </c>
      <c r="H2046" s="16">
        <f>C2046+E2046</f>
        <v/>
      </c>
    </row>
    <row r="2047">
      <c r="A2047" s="12" t="n">
        <v>44993</v>
      </c>
      <c r="B2047" s="15" t="n">
        <v>1.15000003576279</v>
      </c>
      <c r="C2047" s="15" t="n">
        <v>0.289200007915497</v>
      </c>
      <c r="D2047" s="15" t="n">
        <v>2.57710003852844</v>
      </c>
      <c r="E2047" s="15" t="n">
        <v>-0.0154999494552612</v>
      </c>
      <c r="F2047" s="15" t="n">
        <v>0.287900000810623</v>
      </c>
      <c r="G2047" s="15" t="n">
        <v>4.00080013275146</v>
      </c>
      <c r="H2047" s="16">
        <f>C2047+E2047</f>
        <v/>
      </c>
    </row>
    <row r="2048">
      <c r="A2048" s="12" t="n">
        <v>44994</v>
      </c>
      <c r="B2048" s="15" t="n">
        <v>1.12049996852875</v>
      </c>
      <c r="C2048" s="15" t="n">
        <v>0.264400005340576</v>
      </c>
      <c r="D2048" s="15" t="n">
        <v>2.56089997291565</v>
      </c>
      <c r="E2048" s="15" t="n">
        <v>-0.0213998556137085</v>
      </c>
      <c r="F2048" s="15" t="n">
        <v>0.290100008249283</v>
      </c>
      <c r="G2048" s="15" t="n">
        <v>3.92440009117126</v>
      </c>
      <c r="H2048" s="16">
        <f>C2048+E2048</f>
        <v/>
      </c>
    </row>
    <row r="2049">
      <c r="A2049" s="12" t="n">
        <v>44995</v>
      </c>
      <c r="B2049" s="15" t="n">
        <v>1.02739997208118</v>
      </c>
      <c r="C2049" s="15" t="n">
        <v>0.19149999320507</v>
      </c>
      <c r="D2049" s="15" t="n">
        <v>2.50839996337891</v>
      </c>
      <c r="E2049" s="15" t="n">
        <v>-0.0371999740600586</v>
      </c>
      <c r="F2049" s="15" t="n">
        <v>0.278400003910065</v>
      </c>
      <c r="G2049" s="15" t="n">
        <v>3.6900999546051</v>
      </c>
      <c r="H2049" s="16">
        <f>C2049+E2049</f>
        <v/>
      </c>
    </row>
    <row r="2050">
      <c r="A2050" s="12" t="n">
        <v>44998</v>
      </c>
      <c r="B2050" s="15" t="n">
        <v>0.921000063419342</v>
      </c>
      <c r="C2050" s="15" t="n">
        <v>0.179199993610382</v>
      </c>
      <c r="D2050" s="15" t="n">
        <v>2.48210000991821</v>
      </c>
      <c r="E2050" s="15" t="n">
        <v>-0.0379999876022339</v>
      </c>
      <c r="F2050" s="15" t="n">
        <v>0.291299998760223</v>
      </c>
      <c r="G2050" s="15" t="n">
        <v>3.5443000793457</v>
      </c>
      <c r="H2050" s="16">
        <f>C2050+E2050</f>
        <v/>
      </c>
    </row>
    <row r="2051">
      <c r="A2051" s="12" t="n">
        <v>44999</v>
      </c>
      <c r="B2051" s="15" t="n">
        <v>0.960300028324127</v>
      </c>
      <c r="C2051" s="15" t="n">
        <v>0.205099999904633</v>
      </c>
      <c r="D2051" s="15" t="n">
        <v>2.50289988517761</v>
      </c>
      <c r="E2051" s="15" t="n">
        <v>-0.0328998565673828</v>
      </c>
      <c r="F2051" s="15" t="n">
        <v>0.250499993562698</v>
      </c>
      <c r="G2051" s="15" t="n">
        <v>3.63540005683899</v>
      </c>
      <c r="H2051" s="16">
        <f>C2051+E2051</f>
        <v/>
      </c>
    </row>
    <row r="2052">
      <c r="A2052" s="12" t="n">
        <v>45000</v>
      </c>
      <c r="B2052" s="15" t="n">
        <v>0.891599982976913</v>
      </c>
      <c r="C2052" s="15" t="n">
        <v>0.178000003099442</v>
      </c>
      <c r="D2052" s="15" t="n">
        <v>2.47630000114441</v>
      </c>
      <c r="E2052" s="15" t="n">
        <v>-0.0379999876022339</v>
      </c>
      <c r="F2052" s="15" t="n">
        <v>0.229399994015694</v>
      </c>
      <c r="G2052" s="15" t="n">
        <v>3.50789999961853</v>
      </c>
      <c r="H2052" s="16">
        <f>C2052+E2052</f>
        <v/>
      </c>
    </row>
    <row r="2053">
      <c r="A2053" s="12" t="n">
        <v>45001</v>
      </c>
      <c r="B2053" s="15" t="n">
        <v>0.945900022983551</v>
      </c>
      <c r="C2053" s="15" t="n">
        <v>0.1942999958992</v>
      </c>
      <c r="D2053" s="15" t="n">
        <v>2.49609994888306</v>
      </c>
      <c r="E2053" s="15" t="n">
        <v>-0.0356999635696411</v>
      </c>
      <c r="F2053" s="15" t="n">
        <v>0.292100012302399</v>
      </c>
      <c r="G2053" s="15" t="n">
        <v>3.60060000419617</v>
      </c>
      <c r="H2053" s="16">
        <f>C2053+E2053</f>
        <v/>
      </c>
    </row>
    <row r="2054">
      <c r="A2054" s="12" t="n">
        <v>45002</v>
      </c>
      <c r="B2054" s="15" t="n">
        <v>0.861200019717216</v>
      </c>
      <c r="C2054" s="15" t="n">
        <v>0.156200006604195</v>
      </c>
      <c r="D2054" s="15" t="n">
        <v>2.46199989318848</v>
      </c>
      <c r="E2054" s="15" t="n">
        <v>-0.0433998107910156</v>
      </c>
      <c r="F2054" s="15" t="n">
        <v>0.336600005626678</v>
      </c>
      <c r="G2054" s="15" t="n">
        <v>3.43600010871887</v>
      </c>
      <c r="H2054" s="16">
        <f>C2054+E2054</f>
        <v/>
      </c>
    </row>
    <row r="2055">
      <c r="A2055" s="12" t="n">
        <v>45005</v>
      </c>
      <c r="B2055" s="15" t="n">
        <v>0.898999959230423</v>
      </c>
      <c r="C2055" s="15" t="n">
        <v>0.185499995946884</v>
      </c>
      <c r="D2055" s="15" t="n">
        <v>2.48390007019043</v>
      </c>
      <c r="E2055" s="15" t="n">
        <v>-0.0374001264572144</v>
      </c>
      <c r="F2055" s="15" t="n">
        <v>0.336699992418289</v>
      </c>
      <c r="G2055" s="15" t="n">
        <v>3.53099989891052</v>
      </c>
      <c r="H2055" s="16">
        <f>C2055+E2055</f>
        <v/>
      </c>
    </row>
    <row r="2056">
      <c r="A2056" s="12" t="n">
        <v>45006</v>
      </c>
      <c r="B2056" s="15" t="n">
        <v>0.958500057458878</v>
      </c>
      <c r="C2056" s="15" t="n">
        <v>0.205599993467331</v>
      </c>
      <c r="D2056" s="15" t="n">
        <v>2.50530004501343</v>
      </c>
      <c r="E2056" s="15" t="n">
        <v>-0.0339001417160034</v>
      </c>
      <c r="F2056" s="15" t="n">
        <v>0.293500006198883</v>
      </c>
      <c r="G2056" s="15" t="n">
        <v>3.63549995422363</v>
      </c>
      <c r="H2056" s="16">
        <f>C2056+E2056</f>
        <v/>
      </c>
    </row>
    <row r="2057">
      <c r="A2057" s="12" t="n">
        <v>45007</v>
      </c>
      <c r="B2057" s="15" t="n">
        <v>0.913699984550476</v>
      </c>
      <c r="C2057" s="15" t="n">
        <v>0.157299995422363</v>
      </c>
      <c r="D2057" s="15" t="n">
        <v>2.47580003738403</v>
      </c>
      <c r="E2057" s="15" t="n">
        <v>-0.0456000566482544</v>
      </c>
      <c r="F2057" s="15" t="n">
        <v>0.203600004315376</v>
      </c>
      <c r="G2057" s="15" t="n">
        <v>3.50119996070862</v>
      </c>
      <c r="H2057" s="16">
        <f>C2057+E2057</f>
        <v/>
      </c>
    </row>
    <row r="2058">
      <c r="A2058" s="12" t="n">
        <v>45008</v>
      </c>
      <c r="B2058" s="15" t="n">
        <v>0.862499997019768</v>
      </c>
      <c r="C2058" s="15" t="n">
        <v>0.142499998211861</v>
      </c>
      <c r="D2058" s="15" t="n">
        <v>2.46000003814697</v>
      </c>
      <c r="E2058" s="15" t="n">
        <v>-0.0486000776290894</v>
      </c>
      <c r="F2058" s="15" t="n">
        <v>0.202600002288818</v>
      </c>
      <c r="G2058" s="15" t="n">
        <v>3.41639995574951</v>
      </c>
      <c r="H2058" s="16">
        <f>C2058+E2058</f>
        <v/>
      </c>
    </row>
    <row r="2059">
      <c r="A2059" s="12" t="n">
        <v>45009</v>
      </c>
      <c r="B2059" s="15" t="n">
        <v>0.859899967908859</v>
      </c>
      <c r="C2059" s="15" t="n">
        <v>0.154300004243851</v>
      </c>
      <c r="D2059" s="15" t="n">
        <v>2.46510004997253</v>
      </c>
      <c r="E2059" s="15" t="n">
        <v>-0.0457000732421875</v>
      </c>
      <c r="F2059" s="15" t="n">
        <v>0.227300003170967</v>
      </c>
      <c r="G2059" s="15" t="n">
        <v>3.43359994888306</v>
      </c>
      <c r="H2059" s="16">
        <f>C2059+E2059</f>
        <v/>
      </c>
    </row>
    <row r="2060">
      <c r="A2060" s="12" t="n">
        <v>45012</v>
      </c>
      <c r="B2060" s="15" t="n">
        <v>0.923099964857101</v>
      </c>
      <c r="C2060" s="15" t="n">
        <v>0.201700001955032</v>
      </c>
      <c r="D2060" s="15" t="n">
        <v>2.49950003623962</v>
      </c>
      <c r="E2060" s="15" t="n">
        <v>-0.0353000164031982</v>
      </c>
      <c r="F2060" s="15" t="n">
        <v>0.246500000357628</v>
      </c>
      <c r="G2060" s="15" t="n">
        <v>3.58899998664856</v>
      </c>
      <c r="H2060" s="16">
        <f>C2060+E2060</f>
        <v/>
      </c>
    </row>
    <row r="2061">
      <c r="A2061" s="12" t="n">
        <v>45013</v>
      </c>
      <c r="B2061" s="15" t="n">
        <v>0.93259996175766</v>
      </c>
      <c r="C2061" s="15" t="n">
        <v>0.197899997234344</v>
      </c>
      <c r="D2061" s="15" t="n">
        <v>2.49850010871887</v>
      </c>
      <c r="E2061" s="15" t="n">
        <v>-0.03600013256073</v>
      </c>
      <c r="F2061" s="15" t="n">
        <v>0.195500001311302</v>
      </c>
      <c r="G2061" s="15" t="n">
        <v>3.59299993515015</v>
      </c>
      <c r="H2061" s="16">
        <f>C2061+E2061</f>
        <v/>
      </c>
    </row>
    <row r="2062">
      <c r="A2062" s="12" t="n">
        <v>45014</v>
      </c>
      <c r="B2062" s="15" t="n">
        <v>0.942900016903877</v>
      </c>
      <c r="C2062" s="15" t="n">
        <v>0.202299997210503</v>
      </c>
      <c r="D2062" s="15" t="n">
        <v>2.50219988822937</v>
      </c>
      <c r="E2062" s="15" t="n">
        <v>-0.035099983215332</v>
      </c>
      <c r="F2062" s="15" t="n">
        <v>0.174799993634224</v>
      </c>
      <c r="G2062" s="15" t="n">
        <v>3.61229991912842</v>
      </c>
      <c r="H2062" s="16">
        <f>C2062+E2062</f>
        <v/>
      </c>
    </row>
    <row r="2063">
      <c r="A2063" s="12" t="n">
        <v>45015</v>
      </c>
      <c r="B2063" s="15" t="n">
        <v>0.937899976968765</v>
      </c>
      <c r="C2063" s="15" t="n">
        <v>0.192699998617172</v>
      </c>
      <c r="D2063" s="15" t="n">
        <v>2.49640011787415</v>
      </c>
      <c r="E2063" s="15" t="n">
        <v>-0.0372002124786377</v>
      </c>
      <c r="F2063" s="15" t="n">
        <v>0.156000003218651</v>
      </c>
      <c r="G2063" s="15" t="n">
        <v>3.58979988098145</v>
      </c>
      <c r="H2063" s="16">
        <f>C2063+E2063</f>
        <v/>
      </c>
    </row>
    <row r="2064">
      <c r="A2064" s="12" t="n">
        <v>45016</v>
      </c>
      <c r="B2064" s="15" t="n">
        <v>0.919300049543381</v>
      </c>
      <c r="C2064" s="15" t="n">
        <v>0.166500002145767</v>
      </c>
      <c r="D2064" s="15" t="n">
        <v>2.48099994659424</v>
      </c>
      <c r="E2064" s="15" t="n">
        <v>-0.0433999300003052</v>
      </c>
      <c r="F2064" s="15" t="n">
        <v>0.13740000128746</v>
      </c>
      <c r="G2064" s="15" t="n">
        <v>3.52340006828308</v>
      </c>
      <c r="H2064" s="16">
        <f>C2064+E2064</f>
        <v/>
      </c>
    </row>
    <row r="2065">
      <c r="A2065" s="12" t="n">
        <v>45019</v>
      </c>
      <c r="B2065" s="15" t="n">
        <v>0.896699965000153</v>
      </c>
      <c r="C2065" s="15" t="n">
        <v>0.149100005626678</v>
      </c>
      <c r="D2065" s="15" t="n">
        <v>2.46939992904663</v>
      </c>
      <c r="E2065" s="15" t="n">
        <v>-0.0475997924804688</v>
      </c>
      <c r="F2065" s="15" t="n">
        <v>0.148200005292892</v>
      </c>
      <c r="G2065" s="15" t="n">
        <v>3.46760010719299</v>
      </c>
      <c r="H2065" s="16">
        <f>C2065+E2065</f>
        <v/>
      </c>
    </row>
    <row r="2066">
      <c r="A2066" s="12" t="n">
        <v>45020</v>
      </c>
      <c r="B2066" s="15" t="n">
        <v>0.857699990272522</v>
      </c>
      <c r="C2066" s="15" t="n">
        <v>0.128600001335144</v>
      </c>
      <c r="D2066" s="15" t="n">
        <v>2.45300006866455</v>
      </c>
      <c r="E2066" s="15" t="n">
        <v>-0.0520999431610107</v>
      </c>
      <c r="F2066" s="15" t="n">
        <v>0.162000000476837</v>
      </c>
      <c r="G2066" s="15" t="n">
        <v>3.38720011711121</v>
      </c>
      <c r="H2066" s="16">
        <f>C2066+E2066</f>
        <v/>
      </c>
    </row>
    <row r="2067">
      <c r="A2067" s="12" t="n">
        <v>45021</v>
      </c>
      <c r="B2067" s="15" t="n">
        <v>0.846200026571751</v>
      </c>
      <c r="C2067" s="15" t="n">
        <v>0.112999998033047</v>
      </c>
      <c r="D2067" s="15" t="n">
        <v>2.44420003890991</v>
      </c>
      <c r="E2067" s="15" t="n">
        <v>-0.0560001134872437</v>
      </c>
      <c r="F2067" s="15" t="n">
        <v>0.172000005841255</v>
      </c>
      <c r="G2067" s="15" t="n">
        <v>3.34739995002747</v>
      </c>
      <c r="H2067" s="16">
        <f>C2067+E2067</f>
        <v/>
      </c>
    </row>
    <row r="2068">
      <c r="A2068" s="12" t="n">
        <v>45022</v>
      </c>
      <c r="B2068" s="15" t="n">
        <v>0.859499983489513</v>
      </c>
      <c r="C2068" s="15" t="n">
        <v>0.0979999974370003</v>
      </c>
      <c r="D2068" s="15" t="n">
        <v>2.44140005111694</v>
      </c>
      <c r="E2068" s="15" t="n">
        <v>-0.0606999397277832</v>
      </c>
      <c r="F2068" s="15" t="n">
        <v>0.163800001144409</v>
      </c>
      <c r="G2068" s="15" t="n">
        <v>3.33820009231567</v>
      </c>
      <c r="H2068" s="16">
        <f>C2068+E2068</f>
        <v/>
      </c>
    </row>
    <row r="2069">
      <c r="A2069" s="12" t="n">
        <v>45023</v>
      </c>
      <c r="B2069" s="15" t="n">
        <v>0.895100057125092</v>
      </c>
      <c r="C2069" s="15" t="n">
        <v>0.127499997615814</v>
      </c>
      <c r="D2069" s="15" t="n">
        <v>2.46169996261597</v>
      </c>
      <c r="E2069" s="15" t="n">
        <v>-0.0540000200271606</v>
      </c>
      <c r="F2069" s="15" t="n">
        <v>0.1841000020504</v>
      </c>
      <c r="G2069" s="15" t="n">
        <v>3.43029999732971</v>
      </c>
      <c r="H2069" s="16">
        <f>C2069+E2069</f>
        <v/>
      </c>
    </row>
    <row r="2070">
      <c r="A2070" s="12" t="n">
        <v>45026</v>
      </c>
      <c r="B2070" s="15" t="n">
        <v>0.90460005402565</v>
      </c>
      <c r="C2070" s="15" t="n">
        <v>0.128800004720688</v>
      </c>
      <c r="D2070" s="15" t="n">
        <v>2.46399998664856</v>
      </c>
      <c r="E2070" s="15" t="n">
        <v>-0.0539000034332275</v>
      </c>
      <c r="F2070" s="15" t="n">
        <v>0.180399999022484</v>
      </c>
      <c r="G2070" s="15" t="n">
        <v>3.44350004196167</v>
      </c>
      <c r="H2070" s="16">
        <f>C2070+E2070</f>
        <v/>
      </c>
    </row>
    <row r="2071">
      <c r="A2071" s="12" t="n">
        <v>45027</v>
      </c>
      <c r="B2071" s="15" t="n">
        <v>0.910700038075447</v>
      </c>
      <c r="C2071" s="15" t="n">
        <v>0.13120000064373</v>
      </c>
      <c r="D2071" s="15" t="n">
        <v>2.46589994430542</v>
      </c>
      <c r="E2071" s="15" t="n">
        <v>-0.0531998872756958</v>
      </c>
      <c r="F2071" s="15" t="n">
        <v>0.173899993300438</v>
      </c>
      <c r="G2071" s="15" t="n">
        <v>3.4546000957489</v>
      </c>
      <c r="H2071" s="16">
        <f>C2071+E2071</f>
        <v/>
      </c>
    </row>
    <row r="2072">
      <c r="A2072" s="12" t="n">
        <v>45028</v>
      </c>
      <c r="B2072" s="15" t="n">
        <v>0.896599978208542</v>
      </c>
      <c r="C2072" s="15" t="n">
        <v>0.123400002717972</v>
      </c>
      <c r="D2072" s="15" t="n">
        <v>2.46059989929199</v>
      </c>
      <c r="E2072" s="15" t="n">
        <v>-0.0551998615264893</v>
      </c>
      <c r="F2072" s="15" t="n">
        <v>0.19650000333786</v>
      </c>
      <c r="G2072" s="15" t="n">
        <v>3.42540001869202</v>
      </c>
      <c r="H2072" s="16">
        <f>C2072+E2072</f>
        <v/>
      </c>
    </row>
    <row r="2073">
      <c r="A2073" s="12" t="n">
        <v>45029</v>
      </c>
      <c r="B2073" s="15" t="n">
        <v>0.907200023531914</v>
      </c>
      <c r="C2073" s="15" t="n">
        <v>0.14470000565052</v>
      </c>
      <c r="D2073" s="15" t="n">
        <v>2.4728000164032</v>
      </c>
      <c r="E2073" s="15" t="n">
        <v>-0.0503000020980835</v>
      </c>
      <c r="F2073" s="15" t="n">
        <v>0.218199998140335</v>
      </c>
      <c r="G2073" s="15" t="n">
        <v>3.47440004348755</v>
      </c>
      <c r="H2073" s="16">
        <f>C2073+E2073</f>
        <v/>
      </c>
    </row>
    <row r="2074">
      <c r="A2074" s="12" t="n">
        <v>45030</v>
      </c>
      <c r="B2074" s="15" t="n">
        <v>0.9413999766111369</v>
      </c>
      <c r="C2074" s="15" t="n">
        <v>0.164100006222725</v>
      </c>
      <c r="D2074" s="15" t="n">
        <v>2.48860001564026</v>
      </c>
      <c r="E2074" s="15" t="n">
        <v>-0.046299934387207</v>
      </c>
      <c r="F2074" s="15" t="n">
        <v>0.219699993729591</v>
      </c>
      <c r="G2074" s="15" t="n">
        <v>3.54780006408691</v>
      </c>
      <c r="H2074" s="16">
        <f>C2074+E2074</f>
        <v/>
      </c>
    </row>
    <row r="2075">
      <c r="A2075" s="12" t="n">
        <v>45033</v>
      </c>
      <c r="B2075" s="15" t="n">
        <v>0.970900014042854</v>
      </c>
      <c r="C2075" s="15" t="n">
        <v>0.185100004076958</v>
      </c>
      <c r="D2075" s="15" t="n">
        <v>2.50399994850159</v>
      </c>
      <c r="E2075" s="15" t="n">
        <v>-0.041700005531311</v>
      </c>
      <c r="F2075" s="15" t="n">
        <v>0.20100000500679</v>
      </c>
      <c r="G2075" s="15" t="n">
        <v>3.61829996109009</v>
      </c>
      <c r="H2075" s="16">
        <f>C2075+E2075</f>
        <v/>
      </c>
    </row>
    <row r="2076">
      <c r="A2076" s="12" t="n">
        <v>45034</v>
      </c>
      <c r="B2076" s="15" t="n">
        <v>0.970400035381317</v>
      </c>
      <c r="C2076" s="15" t="n">
        <v>0.177100002765656</v>
      </c>
      <c r="D2076" s="15" t="n">
        <v>2.50009989738464</v>
      </c>
      <c r="E2076" s="15" t="n">
        <v>-0.0436999797821045</v>
      </c>
      <c r="F2076" s="15" t="n">
        <v>0.217600002884865</v>
      </c>
      <c r="G2076" s="15" t="n">
        <v>3.60389995574951</v>
      </c>
      <c r="H2076" s="16">
        <f>C2076+E2076</f>
        <v/>
      </c>
    </row>
    <row r="2077">
      <c r="A2077" s="12" t="n">
        <v>45035</v>
      </c>
      <c r="B2077" s="15" t="n">
        <v>0.979000061750412</v>
      </c>
      <c r="C2077" s="15" t="n">
        <v>0.180099993944168</v>
      </c>
      <c r="D2077" s="15" t="n">
        <v>2.5025999546051</v>
      </c>
      <c r="E2077" s="15" t="n">
        <v>-0.0427999496459961</v>
      </c>
      <c r="F2077" s="15" t="n">
        <v>0.219799995422363</v>
      </c>
      <c r="G2077" s="15" t="n">
        <v>3.61890006065369</v>
      </c>
      <c r="H2077" s="16">
        <f>C2077+E2077</f>
        <v/>
      </c>
    </row>
    <row r="2078">
      <c r="A2078" s="12" t="n">
        <v>45036</v>
      </c>
      <c r="B2078" s="15" t="n">
        <v>0.952000007033348</v>
      </c>
      <c r="C2078" s="15" t="n">
        <v>0.163699999451637</v>
      </c>
      <c r="D2078" s="15" t="n">
        <v>2.48970007896423</v>
      </c>
      <c r="E2078" s="15" t="n">
        <v>-0.0463001728057861</v>
      </c>
      <c r="F2078" s="15" t="n">
        <v>0.218600004911423</v>
      </c>
      <c r="G2078" s="15" t="n">
        <v>3.55909991264343</v>
      </c>
      <c r="H2078" s="16">
        <f>C2078+E2078</f>
        <v/>
      </c>
    </row>
    <row r="2079">
      <c r="A2079" s="12" t="n">
        <v>45037</v>
      </c>
      <c r="B2079" s="15" t="n">
        <v>0.9627000242471691</v>
      </c>
      <c r="C2079" s="15" t="n">
        <v>0.174700006842613</v>
      </c>
      <c r="D2079" s="15" t="n">
        <v>2.4974000453949</v>
      </c>
      <c r="E2079" s="15" t="n">
        <v>-0.0440000295639038</v>
      </c>
      <c r="F2079" s="15" t="n">
        <v>0.213799998164177</v>
      </c>
      <c r="G2079" s="15" t="n">
        <v>3.59080004692078</v>
      </c>
      <c r="H2079" s="16">
        <f>C2079+E2079</f>
        <v/>
      </c>
    </row>
    <row r="2080">
      <c r="A2080" s="12" t="n">
        <v>45040</v>
      </c>
      <c r="B2080" s="15" t="n">
        <v>0.943100050091743</v>
      </c>
      <c r="C2080" s="15" t="n">
        <v>0.156299993395805</v>
      </c>
      <c r="D2080" s="15" t="n">
        <v>2.48519992828369</v>
      </c>
      <c r="E2080" s="15" t="n">
        <v>-0.0481998920440674</v>
      </c>
      <c r="F2080" s="15" t="n">
        <v>0.193000003695488</v>
      </c>
      <c r="G2080" s="15" t="n">
        <v>3.53640007972717</v>
      </c>
      <c r="H2080" s="16">
        <f>C2080+E2080</f>
        <v/>
      </c>
    </row>
    <row r="2081">
      <c r="A2081" s="12" t="n">
        <v>45041</v>
      </c>
      <c r="B2081" s="15" t="n">
        <v>0.892900049686432</v>
      </c>
      <c r="C2081" s="15" t="n">
        <v>0.122500002384186</v>
      </c>
      <c r="D2081" s="15" t="n">
        <v>2.46079993247986</v>
      </c>
      <c r="E2081" s="15" t="n">
        <v>-0.055899977684021</v>
      </c>
      <c r="F2081" s="15" t="n">
        <v>0.197999998927116</v>
      </c>
      <c r="G2081" s="15" t="n">
        <v>3.42030000686646</v>
      </c>
      <c r="H2081" s="16">
        <f>C2081+E2081</f>
        <v/>
      </c>
    </row>
    <row r="2082">
      <c r="A2082" s="12" t="n">
        <v>45042</v>
      </c>
      <c r="B2082" s="15" t="n">
        <v>0.905900001525879</v>
      </c>
      <c r="C2082" s="15" t="n">
        <v>0.136500000953674</v>
      </c>
      <c r="D2082" s="15" t="n">
        <v>2.47079992294312</v>
      </c>
      <c r="E2082" s="15" t="n">
        <v>-0.0531998872756958</v>
      </c>
      <c r="F2082" s="15" t="n">
        <v>0.200000002980232</v>
      </c>
      <c r="G2082" s="15" t="n">
        <v>3.46000003814697</v>
      </c>
      <c r="H2082" s="16">
        <f>C2082+E2082</f>
        <v/>
      </c>
    </row>
    <row r="2083">
      <c r="A2083" s="12" t="n">
        <v>45043</v>
      </c>
      <c r="B2083" s="15" t="n">
        <v>0.949600011110306</v>
      </c>
      <c r="C2083" s="15" t="n">
        <v>0.170399993658066</v>
      </c>
      <c r="D2083" s="15" t="n">
        <v>2.49480009078979</v>
      </c>
      <c r="E2083" s="15" t="n">
        <v>-0.0457001924514771</v>
      </c>
      <c r="F2083" s="15" t="n">
        <v>0.201100006699562</v>
      </c>
      <c r="G2083" s="15" t="n">
        <v>3.56909990310669</v>
      </c>
      <c r="H2083" s="16">
        <f>C2083+E2083</f>
        <v/>
      </c>
    </row>
    <row r="2084">
      <c r="A2084" s="12" t="n">
        <v>45044</v>
      </c>
      <c r="B2084" s="15" t="n">
        <v>0.926400020718575</v>
      </c>
      <c r="C2084" s="15" t="n">
        <v>0.13910000026226</v>
      </c>
      <c r="D2084" s="15" t="n">
        <v>2.47569990158081</v>
      </c>
      <c r="E2084" s="15" t="n">
        <v>-0.0528998374938965</v>
      </c>
      <c r="F2084" s="15" t="n">
        <v>0.243499994277954</v>
      </c>
      <c r="G2084" s="15" t="n">
        <v>3.48830008506775</v>
      </c>
      <c r="H2084" s="16">
        <f>C2084+E2084</f>
        <v/>
      </c>
    </row>
    <row r="2085">
      <c r="A2085" s="12" t="n">
        <v>45047</v>
      </c>
      <c r="B2085" s="15" t="n">
        <v>0.972100004553795</v>
      </c>
      <c r="C2085" s="15" t="n">
        <v>0.18019999563694</v>
      </c>
      <c r="D2085" s="15" t="n">
        <v>2.50480008125305</v>
      </c>
      <c r="E2085" s="15" t="n">
        <v>-0.0441001653671265</v>
      </c>
      <c r="F2085" s="15" t="n">
        <v>0.252000004053116</v>
      </c>
      <c r="G2085" s="15" t="n">
        <v>3.61299991607666</v>
      </c>
      <c r="H2085" s="16">
        <f>C2085+E2085</f>
        <v/>
      </c>
    </row>
    <row r="2086">
      <c r="A2086" s="12" t="n">
        <v>45048</v>
      </c>
      <c r="B2086" s="15" t="n">
        <v>0.912400007247925</v>
      </c>
      <c r="C2086" s="15" t="n">
        <v>0.132200002670288</v>
      </c>
      <c r="D2086" s="15" t="n">
        <v>2.47079992294312</v>
      </c>
      <c r="E2086" s="15" t="n">
        <v>-0.0548000335693359</v>
      </c>
      <c r="F2086" s="15" t="n">
        <v>0.249799996614456</v>
      </c>
      <c r="G2086" s="15" t="n">
        <v>3.46059989929199</v>
      </c>
      <c r="H2086" s="16">
        <f>C2086+E2086</f>
        <v/>
      </c>
    </row>
    <row r="2087">
      <c r="A2087" s="12" t="n">
        <v>45049</v>
      </c>
      <c r="B2087" s="15" t="n">
        <v>0.89220006018877</v>
      </c>
      <c r="C2087" s="15" t="n">
        <v>0.110299997031689</v>
      </c>
      <c r="D2087" s="15" t="n">
        <v>2.45819997787476</v>
      </c>
      <c r="E2087" s="15" t="n">
        <v>-0.0604000091552734</v>
      </c>
      <c r="F2087" s="15" t="n">
        <v>0.224800005555153</v>
      </c>
      <c r="G2087" s="15" t="n">
        <v>3.40030002593994</v>
      </c>
      <c r="H2087" s="16">
        <f>C2087+E2087</f>
        <v/>
      </c>
    </row>
    <row r="2088">
      <c r="A2088" s="12" t="n">
        <v>45050</v>
      </c>
      <c r="B2088" s="15" t="n">
        <v>0.878899991512299</v>
      </c>
      <c r="C2088" s="15" t="n">
        <v>0.111699998378754</v>
      </c>
      <c r="D2088" s="15" t="n">
        <v>2.45840001106262</v>
      </c>
      <c r="E2088" s="15" t="n">
        <v>-0.0607000589370728</v>
      </c>
      <c r="F2088" s="15" t="n">
        <v>0.244699999690056</v>
      </c>
      <c r="G2088" s="15" t="n">
        <v>3.3882999420166</v>
      </c>
      <c r="H2088" s="16">
        <f>C2088+E2088</f>
        <v/>
      </c>
    </row>
    <row r="2089">
      <c r="A2089" s="12" t="n">
        <v>45051</v>
      </c>
      <c r="B2089" s="15" t="n">
        <v>0.918400019407272</v>
      </c>
      <c r="C2089" s="15" t="n">
        <v>0.133399993181229</v>
      </c>
      <c r="D2089" s="15" t="n">
        <v>2.47690010070801</v>
      </c>
      <c r="E2089" s="15" t="n">
        <v>-0.0564000606536865</v>
      </c>
      <c r="F2089" s="15" t="n">
        <v>0.233799993991852</v>
      </c>
      <c r="G2089" s="15" t="n">
        <v>3.47230005264282</v>
      </c>
      <c r="H2089" s="16">
        <f>C2089+E2089</f>
        <v/>
      </c>
    </row>
    <row r="2090">
      <c r="A2090" s="12" t="n">
        <v>45054</v>
      </c>
      <c r="B2090" s="15" t="n">
        <v>0.945100009441376</v>
      </c>
      <c r="C2090" s="15" t="n">
        <v>0.160600006580353</v>
      </c>
      <c r="D2090" s="15" t="n">
        <v>2.49449992179871</v>
      </c>
      <c r="E2090" s="15" t="n">
        <v>-0.0501999855041504</v>
      </c>
      <c r="F2090" s="15" t="n">
        <v>0.231800004839897</v>
      </c>
      <c r="G2090" s="15" t="n">
        <v>3.54999995231628</v>
      </c>
      <c r="H2090" s="16">
        <f>C2090+E2090</f>
        <v/>
      </c>
    </row>
    <row r="2091">
      <c r="A2091" s="12" t="n">
        <v>45055</v>
      </c>
      <c r="B2091" s="15" t="n">
        <v>0.953499972820282</v>
      </c>
      <c r="C2091" s="15" t="n">
        <v>0.162000000476837</v>
      </c>
      <c r="D2091" s="15" t="n">
        <v>2.49699997901917</v>
      </c>
      <c r="E2091" s="15" t="n">
        <v>-0.0500998497009277</v>
      </c>
      <c r="F2091" s="15" t="n">
        <v>0.233600005507469</v>
      </c>
      <c r="G2091" s="15" t="n">
        <v>3.56240010261536</v>
      </c>
      <c r="H2091" s="16">
        <f>C2091+E2091</f>
        <v/>
      </c>
    </row>
    <row r="2092">
      <c r="A2092" s="12" t="n">
        <v>45056</v>
      </c>
      <c r="B2092" s="15" t="n">
        <v>0.91889999806881</v>
      </c>
      <c r="C2092" s="15" t="n">
        <v>0.137099996209145</v>
      </c>
      <c r="D2092" s="15" t="n">
        <v>2.47930002212524</v>
      </c>
      <c r="E2092" s="15" t="n">
        <v>-0.0557000637054443</v>
      </c>
      <c r="F2092" s="15" t="n">
        <v>0.254799991846085</v>
      </c>
      <c r="G2092" s="15" t="n">
        <v>3.47959995269775</v>
      </c>
      <c r="H2092" s="16">
        <f>C2092+E2092</f>
        <v/>
      </c>
    </row>
    <row r="2093">
      <c r="A2093" s="12" t="n">
        <v>45057</v>
      </c>
      <c r="B2093" s="15" t="n">
        <v>0.9068999439477921</v>
      </c>
      <c r="C2093" s="15" t="n">
        <v>0.117899999022484</v>
      </c>
      <c r="D2093" s="15" t="n">
        <v>2.46799993515015</v>
      </c>
      <c r="E2093" s="15" t="n">
        <v>-0.0601998567581177</v>
      </c>
      <c r="F2093" s="15" t="n">
        <v>0.265199989080429</v>
      </c>
      <c r="G2093" s="15" t="n">
        <v>3.4326000213623</v>
      </c>
      <c r="H2093" s="16">
        <f>C2093+E2093</f>
        <v/>
      </c>
    </row>
    <row r="2094">
      <c r="A2094" s="12" t="n">
        <v>45058</v>
      </c>
      <c r="B2094" s="15" t="n">
        <v>0.933799967169762</v>
      </c>
      <c r="C2094" s="15" t="n">
        <v>0.138600006699562</v>
      </c>
      <c r="D2094" s="15" t="n">
        <v>2.48250007629395</v>
      </c>
      <c r="E2094" s="15" t="n">
        <v>-0.0555001497268677</v>
      </c>
      <c r="F2094" s="15" t="n">
        <v>0.279100000858307</v>
      </c>
      <c r="G2094" s="15" t="n">
        <v>3.4993999004364</v>
      </c>
      <c r="H2094" s="16">
        <f>C2094+E2094</f>
        <v/>
      </c>
    </row>
    <row r="2095">
      <c r="A2095" s="12" t="n">
        <v>45061</v>
      </c>
      <c r="B2095" s="15" t="n">
        <v>0.949699953198433</v>
      </c>
      <c r="C2095" s="15" t="n">
        <v>0.146999999880791</v>
      </c>
      <c r="D2095" s="15" t="n">
        <v>2.49060010910034</v>
      </c>
      <c r="E2095" s="15" t="n">
        <v>-0.0542001724243164</v>
      </c>
      <c r="F2095" s="15" t="n">
        <v>0.272199988365173</v>
      </c>
      <c r="G2095" s="15" t="n">
        <v>3.53309988975525</v>
      </c>
      <c r="H2095" s="16">
        <f>C2095+E2095</f>
        <v/>
      </c>
    </row>
    <row r="2096">
      <c r="A2096" s="12" t="n">
        <v>45062</v>
      </c>
      <c r="B2096" s="15" t="n">
        <v>0.972099989652634</v>
      </c>
      <c r="C2096" s="15" t="n">
        <v>0.161500006914139</v>
      </c>
      <c r="D2096" s="15" t="n">
        <v>2.50230002403259</v>
      </c>
      <c r="E2096" s="15" t="n">
        <v>-0.0513999462127686</v>
      </c>
      <c r="F2096" s="15" t="n">
        <v>0.285600006580353</v>
      </c>
      <c r="G2096" s="15" t="n">
        <v>3.5845000743866</v>
      </c>
      <c r="H2096" s="16">
        <f>C2096+E2096</f>
        <v/>
      </c>
    </row>
    <row r="2097">
      <c r="A2097" s="12" t="n">
        <v>45063</v>
      </c>
      <c r="B2097" s="15" t="n">
        <v>0.988699942827225</v>
      </c>
      <c r="C2097" s="15" t="n">
        <v>0.167600005865097</v>
      </c>
      <c r="D2097" s="15" t="n">
        <v>2.50789999961853</v>
      </c>
      <c r="E2097" s="15" t="n">
        <v>-0.0500999689102173</v>
      </c>
      <c r="F2097" s="15" t="n">
        <v>0.267899990081787</v>
      </c>
      <c r="G2097" s="15" t="n">
        <v>3.61409997940063</v>
      </c>
      <c r="H2097" s="16">
        <f>C2097+E2097</f>
        <v/>
      </c>
    </row>
    <row r="2098">
      <c r="A2098" s="12" t="n">
        <v>45064</v>
      </c>
      <c r="B2098" s="15" t="n">
        <v>1.02799996733665</v>
      </c>
      <c r="C2098" s="15" t="n">
        <v>0.190200001001358</v>
      </c>
      <c r="D2098" s="15" t="n">
        <v>2.52600002288818</v>
      </c>
      <c r="E2098" s="15" t="n">
        <v>-0.0453000068664551</v>
      </c>
      <c r="F2098" s="15" t="n">
        <v>0.282099992036819</v>
      </c>
      <c r="G2098" s="15" t="n">
        <v>3.69889998435974</v>
      </c>
      <c r="H2098" s="16">
        <f>C2098+E2098</f>
        <v/>
      </c>
    </row>
    <row r="2099">
      <c r="A2099" s="12" t="n">
        <v>45065</v>
      </c>
      <c r="B2099" s="15" t="n">
        <v>1.04270000755787</v>
      </c>
      <c r="C2099" s="15" t="n">
        <v>0.208800002932549</v>
      </c>
      <c r="D2099" s="15" t="n">
        <v>2.53670001029968</v>
      </c>
      <c r="E2099" s="15" t="n">
        <v>-0.0407000780105591</v>
      </c>
      <c r="F2099" s="15" t="n">
        <v>0.281300008296967</v>
      </c>
      <c r="G2099" s="15" t="n">
        <v>3.74749994277954</v>
      </c>
      <c r="H2099" s="16">
        <f>C2099+E2099</f>
        <v/>
      </c>
    </row>
    <row r="2100">
      <c r="A2100" s="12" t="n">
        <v>45068</v>
      </c>
      <c r="B2100" s="15" t="n">
        <v>1.05529995262623</v>
      </c>
      <c r="C2100" s="15" t="n">
        <v>0.209499999880791</v>
      </c>
      <c r="D2100" s="15" t="n">
        <v>2.54019999504089</v>
      </c>
      <c r="E2100" s="15" t="n">
        <v>-0.0410999059677124</v>
      </c>
      <c r="F2100" s="15" t="n">
        <v>0.285899996757507</v>
      </c>
      <c r="G2100" s="15" t="n">
        <v>3.7639000415802</v>
      </c>
      <c r="H2100" s="16">
        <f>C2100+E2100</f>
        <v/>
      </c>
    </row>
    <row r="2101">
      <c r="A2101" s="12" t="n">
        <v>45069</v>
      </c>
      <c r="B2101" s="15" t="n">
        <v>1.04819996654987</v>
      </c>
      <c r="C2101" s="15" t="n">
        <v>0.202999994158745</v>
      </c>
      <c r="D2101" s="15" t="n">
        <v>2.53520011901855</v>
      </c>
      <c r="E2101" s="15" t="n">
        <v>-0.0422999858856201</v>
      </c>
      <c r="F2101" s="15" t="n">
        <v>0.265300005674362</v>
      </c>
      <c r="G2101" s="15" t="n">
        <v>3.74410009384155</v>
      </c>
      <c r="H2101" s="16">
        <f>C2101+E2101</f>
        <v/>
      </c>
    </row>
    <row r="2102">
      <c r="A2102" s="12" t="n">
        <v>45070</v>
      </c>
      <c r="B2102" s="15" t="n">
        <v>1.0611999630928</v>
      </c>
      <c r="C2102" s="15" t="n">
        <v>0.210099995136261</v>
      </c>
      <c r="D2102" s="15" t="n">
        <v>2.54099988937378</v>
      </c>
      <c r="E2102" s="15" t="n">
        <v>-0.0408998727798462</v>
      </c>
      <c r="F2102" s="15" t="n">
        <v>0.28439998626709</v>
      </c>
      <c r="G2102" s="15" t="n">
        <v>3.771399974823</v>
      </c>
      <c r="H2102" s="16">
        <f>C2102+E2102</f>
        <v/>
      </c>
    </row>
    <row r="2103">
      <c r="A2103" s="12" t="n">
        <v>45071</v>
      </c>
      <c r="B2103" s="15" t="n">
        <v>1.10119996964931</v>
      </c>
      <c r="C2103" s="15" t="n">
        <v>0.241300001740456</v>
      </c>
      <c r="D2103" s="15" t="n">
        <v>2.56200003623962</v>
      </c>
      <c r="E2103" s="15" t="n">
        <v>-0.0334000587463379</v>
      </c>
      <c r="F2103" s="15" t="n">
        <v>0.32600000500679</v>
      </c>
      <c r="G2103" s="15" t="n">
        <v>3.87109994888306</v>
      </c>
      <c r="H2103" s="16">
        <f>C2103+E2103</f>
        <v/>
      </c>
    </row>
    <row r="2104">
      <c r="A2104" s="12" t="n">
        <v>45072</v>
      </c>
      <c r="B2104" s="15" t="n">
        <v>1.09429995715618</v>
      </c>
      <c r="C2104" s="15" t="n">
        <v>0.231600001454353</v>
      </c>
      <c r="D2104" s="15" t="n">
        <v>2.55380010604858</v>
      </c>
      <c r="E2104" s="15" t="n">
        <v>-0.0346001386642456</v>
      </c>
      <c r="F2104" s="15" t="n">
        <v>0.319499999284744</v>
      </c>
      <c r="G2104" s="15" t="n">
        <v>3.84509992599487</v>
      </c>
      <c r="H2104" s="16">
        <f>C2104+E2104</f>
        <v/>
      </c>
    </row>
    <row r="2105">
      <c r="A2105" s="12" t="n">
        <v>45076</v>
      </c>
      <c r="B2105" s="15" t="n">
        <v>1.07379999756813</v>
      </c>
      <c r="C2105" s="15" t="n">
        <v>0.181199997663498</v>
      </c>
      <c r="D2105" s="15" t="n">
        <v>2.52819991111755</v>
      </c>
      <c r="E2105" s="15" t="n">
        <v>-0.0475000143051147</v>
      </c>
      <c r="F2105" s="15" t="n">
        <v>0.311599999666214</v>
      </c>
      <c r="G2105" s="15" t="n">
        <v>3.73569989204407</v>
      </c>
      <c r="H2105" s="16">
        <f>C2105+E2105</f>
        <v/>
      </c>
    </row>
    <row r="2106">
      <c r="A2106" s="12" t="n">
        <v>45077</v>
      </c>
      <c r="B2106" s="15" t="n">
        <v>1.04880000650883</v>
      </c>
      <c r="C2106" s="15" t="n">
        <v>0.165299996733665</v>
      </c>
      <c r="D2106" s="15" t="n">
        <v>2.51670002937317</v>
      </c>
      <c r="E2106" s="15" t="n">
        <v>-0.0512000322341919</v>
      </c>
      <c r="F2106" s="15" t="n">
        <v>0.334500014781952</v>
      </c>
      <c r="G2106" s="15" t="n">
        <v>3.67960000038147</v>
      </c>
      <c r="H2106" s="16">
        <f>C2106+E2106</f>
        <v/>
      </c>
    </row>
    <row r="2107">
      <c r="A2107" s="12" t="n">
        <v>45078</v>
      </c>
      <c r="B2107" s="15" t="n">
        <v>1.03459995985031</v>
      </c>
      <c r="C2107" s="15" t="n">
        <v>0.157000005245209</v>
      </c>
      <c r="D2107" s="15" t="n">
        <v>2.51060009002686</v>
      </c>
      <c r="E2107" s="15" t="n">
        <v>-0.0530999898910522</v>
      </c>
      <c r="F2107" s="15" t="n">
        <v>0.339199990034103</v>
      </c>
      <c r="G2107" s="15" t="n">
        <v>3.64910006523132</v>
      </c>
      <c r="H2107" s="16">
        <f>C2107+E2107</f>
        <v/>
      </c>
    </row>
    <row r="2108">
      <c r="A2108" s="12" t="n">
        <v>45079</v>
      </c>
      <c r="B2108" s="15" t="n">
        <v>1.07360000908375</v>
      </c>
      <c r="C2108" s="15" t="n">
        <v>0.182899996638298</v>
      </c>
      <c r="D2108" s="15" t="n">
        <v>2.5297999382019</v>
      </c>
      <c r="E2108" s="15" t="n">
        <v>-0.0473999977111816</v>
      </c>
      <c r="F2108" s="15" t="n">
        <v>0.339599996805191</v>
      </c>
      <c r="G2108" s="15" t="n">
        <v>3.73889994621277</v>
      </c>
      <c r="H2108" s="16">
        <f>C2108+E2108</f>
        <v/>
      </c>
    </row>
    <row r="2109">
      <c r="A2109" s="12" t="n">
        <v>45082</v>
      </c>
      <c r="B2109" s="15" t="n">
        <v>1.06560005247593</v>
      </c>
      <c r="C2109" s="15" t="n">
        <v>0.181799992918968</v>
      </c>
      <c r="D2109" s="15" t="n">
        <v>2.52699995040894</v>
      </c>
      <c r="E2109" s="15" t="n">
        <v>-0.0471000671386719</v>
      </c>
      <c r="F2109" s="15" t="n">
        <v>0.326999992132187</v>
      </c>
      <c r="G2109" s="15" t="n">
        <v>3.72729992866516</v>
      </c>
      <c r="H2109" s="16">
        <f>C2109+E2109</f>
        <v/>
      </c>
    </row>
    <row r="2110">
      <c r="A2110" s="12" t="n">
        <v>45083</v>
      </c>
      <c r="B2110" s="15" t="n">
        <v>1.06599996984005</v>
      </c>
      <c r="C2110" s="15" t="n">
        <v>0.184499993920326</v>
      </c>
      <c r="D2110" s="15" t="n">
        <v>2.52729988098145</v>
      </c>
      <c r="E2110" s="15" t="n">
        <v>-0.0459997653961182</v>
      </c>
      <c r="F2110" s="15" t="n">
        <v>0.334399998188019</v>
      </c>
      <c r="G2110" s="15" t="n">
        <v>3.7318000793457</v>
      </c>
      <c r="H2110" s="16">
        <f>C2110+E2110</f>
        <v/>
      </c>
    </row>
    <row r="2111">
      <c r="A2111" s="12" t="n">
        <v>45084</v>
      </c>
      <c r="B2111" s="15" t="n">
        <v>1.09290000796318</v>
      </c>
      <c r="C2111" s="15" t="n">
        <v>0.221799999475479</v>
      </c>
      <c r="D2111" s="15" t="n">
        <v>2.54940009117126</v>
      </c>
      <c r="E2111" s="15" t="n">
        <v>-0.0372999906539917</v>
      </c>
      <c r="F2111" s="15" t="n">
        <v>0.344599992036819</v>
      </c>
      <c r="G2111" s="15" t="n">
        <v>3.82680010795593</v>
      </c>
      <c r="H2111" s="16">
        <f>C2111+E2111</f>
        <v/>
      </c>
    </row>
    <row r="2112">
      <c r="A2112" s="12" t="n">
        <v>45085</v>
      </c>
      <c r="B2112" s="15" t="n">
        <v>1.0667000412941</v>
      </c>
      <c r="C2112" s="15" t="n">
        <v>0.19650000333786</v>
      </c>
      <c r="D2112" s="15" t="n">
        <v>2.53139996528625</v>
      </c>
      <c r="E2112" s="15" t="n">
        <v>-0.0425000190734863</v>
      </c>
      <c r="F2112" s="15" t="n">
        <v>0.340099990367889</v>
      </c>
      <c r="G2112" s="15" t="n">
        <v>3.75209999084473</v>
      </c>
      <c r="H2112" s="16">
        <f>C2112+E2112</f>
        <v/>
      </c>
    </row>
    <row r="2113">
      <c r="A2113" s="12" t="n">
        <v>45086</v>
      </c>
      <c r="B2113" s="15" t="n">
        <v>1.07329994440079</v>
      </c>
      <c r="C2113" s="15" t="n">
        <v>0.20440000295639</v>
      </c>
      <c r="D2113" s="15" t="n">
        <v>2.53500008583069</v>
      </c>
      <c r="E2113" s="15" t="n">
        <v>-0.04010009765625</v>
      </c>
      <c r="F2113" s="15" t="n">
        <v>0.35699999332428</v>
      </c>
      <c r="G2113" s="15" t="n">
        <v>3.77259993553162</v>
      </c>
      <c r="H2113" s="16">
        <f>C2113+E2113</f>
        <v/>
      </c>
    </row>
    <row r="2114">
      <c r="A2114" s="12" t="n">
        <v>45089</v>
      </c>
      <c r="B2114" s="15" t="n">
        <v>1.06640003621578</v>
      </c>
      <c r="C2114" s="15" t="n">
        <v>0.19820000231266</v>
      </c>
      <c r="D2114" s="15" t="n">
        <v>2.53060007095337</v>
      </c>
      <c r="E2114" s="15" t="n">
        <v>-0.0413000583648682</v>
      </c>
      <c r="F2114" s="15" t="n">
        <v>0.37279999256134</v>
      </c>
      <c r="G2114" s="15" t="n">
        <v>3.75390005111694</v>
      </c>
      <c r="H2114" s="16">
        <f>C2114+E2114</f>
        <v/>
      </c>
    </row>
    <row r="2115">
      <c r="A2115" s="12" t="n">
        <v>45090</v>
      </c>
      <c r="B2115" s="15" t="n">
        <v>1.09680004417896</v>
      </c>
      <c r="C2115" s="15" t="n">
        <v>0.231800004839897</v>
      </c>
      <c r="D2115" s="15" t="n">
        <v>2.55080008506775</v>
      </c>
      <c r="E2115" s="15" t="n">
        <v>-0.0331002473831177</v>
      </c>
      <c r="F2115" s="15" t="n">
        <v>0.38730001449585</v>
      </c>
      <c r="G2115" s="15" t="n">
        <v>3.84629988670349</v>
      </c>
      <c r="H2115" s="16">
        <f>C2115+E2115</f>
        <v/>
      </c>
    </row>
    <row r="2116">
      <c r="A2116" s="12" t="n">
        <v>45091</v>
      </c>
      <c r="B2116" s="15" t="n">
        <v>1.0958000421524</v>
      </c>
      <c r="C2116" s="15" t="n">
        <v>0.221300005912781</v>
      </c>
      <c r="D2116" s="15" t="n">
        <v>2.54340004920959</v>
      </c>
      <c r="E2116" s="15" t="n">
        <v>-0.0347001552581787</v>
      </c>
      <c r="F2116" s="15" t="n">
        <v>0.379400014877319</v>
      </c>
      <c r="G2116" s="15" t="n">
        <v>3.8257999420166</v>
      </c>
      <c r="H2116" s="16">
        <f>C2116+E2116</f>
        <v/>
      </c>
    </row>
    <row r="2117">
      <c r="A2117" s="12" t="n">
        <v>45092</v>
      </c>
      <c r="B2117" s="15" t="n">
        <v>1.05269998311996</v>
      </c>
      <c r="C2117" s="15" t="n">
        <v>0.182799994945526</v>
      </c>
      <c r="D2117" s="15" t="n">
        <v>2.51679992675781</v>
      </c>
      <c r="E2117" s="15" t="n">
        <v>-0.0430999994277954</v>
      </c>
      <c r="F2117" s="15" t="n">
        <v>0.335399985313416</v>
      </c>
      <c r="G2117" s="15" t="n">
        <v>3.70919990539551</v>
      </c>
      <c r="H2117" s="16">
        <f>C2117+E2117</f>
        <v/>
      </c>
    </row>
    <row r="2118">
      <c r="A2118" s="12" t="n">
        <v>45093</v>
      </c>
      <c r="B2118" s="15" t="n">
        <v>1.07040004432201</v>
      </c>
      <c r="C2118" s="15" t="n">
        <v>0.19709999859333</v>
      </c>
      <c r="D2118" s="15" t="n">
        <v>2.52609992027283</v>
      </c>
      <c r="E2118" s="15" t="n">
        <v>-0.0396000146865845</v>
      </c>
      <c r="F2118" s="15" t="n">
        <v>0.347000002861023</v>
      </c>
      <c r="G2118" s="15" t="n">
        <v>3.75399994850159</v>
      </c>
      <c r="H2118" s="16">
        <f>C2118+E2118</f>
        <v/>
      </c>
    </row>
    <row r="2119">
      <c r="A2119" s="12" t="n">
        <v>45097</v>
      </c>
      <c r="B2119" s="15" t="n">
        <v>1.06779997050762</v>
      </c>
      <c r="C2119" s="15" t="n">
        <v>0.177000001072884</v>
      </c>
      <c r="D2119" s="15" t="n">
        <v>2.51690006256104</v>
      </c>
      <c r="E2119" s="15" t="n">
        <v>-0.0449000597000122</v>
      </c>
      <c r="F2119" s="15" t="n">
        <v>0.341899991035461</v>
      </c>
      <c r="G2119" s="15" t="n">
        <v>3.71679997444153</v>
      </c>
      <c r="H2119" s="16">
        <f>C2119+E2119</f>
        <v/>
      </c>
    </row>
    <row r="2120">
      <c r="A2120" s="12" t="n">
        <v>45098</v>
      </c>
      <c r="B2120" s="15" t="n">
        <v>1.06429995596409</v>
      </c>
      <c r="C2120" s="15" t="n">
        <v>0.16889999806881</v>
      </c>
      <c r="D2120" s="15" t="n">
        <v>2.51259994506836</v>
      </c>
      <c r="E2120" s="15" t="n">
        <v>-0.0468999147415161</v>
      </c>
      <c r="F2120" s="15" t="n">
        <v>0.34400001168251</v>
      </c>
      <c r="G2120" s="15" t="n">
        <v>3.69889998435974</v>
      </c>
      <c r="H2120" s="16">
        <f>C2120+E2120</f>
        <v/>
      </c>
    </row>
    <row r="2121">
      <c r="A2121" s="12" t="n">
        <v>45099</v>
      </c>
      <c r="B2121" s="15" t="n">
        <v>1.08680005371571</v>
      </c>
      <c r="C2121" s="15" t="n">
        <v>0.193000003695488</v>
      </c>
      <c r="D2121" s="15" t="n">
        <v>2.52769994735718</v>
      </c>
      <c r="E2121" s="15" t="n">
        <v>-0.0412000417709351</v>
      </c>
      <c r="F2121" s="15" t="n">
        <v>0.343300014734268</v>
      </c>
      <c r="G2121" s="15" t="n">
        <v>3.76629996299744</v>
      </c>
      <c r="H2121" s="16">
        <f>C2121+E2121</f>
        <v/>
      </c>
    </row>
    <row r="2122">
      <c r="A2122" s="12" t="n">
        <v>45100</v>
      </c>
      <c r="B2122" s="15" t="n">
        <v>1.07599994540215</v>
      </c>
      <c r="C2122" s="15" t="n">
        <v>0.179399996995926</v>
      </c>
      <c r="D2122" s="15" t="n">
        <v>2.51950001716614</v>
      </c>
      <c r="E2122" s="15" t="n">
        <v>-0.0443999767303467</v>
      </c>
      <c r="F2122" s="15" t="n">
        <v>0.344999998807907</v>
      </c>
      <c r="G2122" s="15" t="n">
        <v>3.73049998283386</v>
      </c>
      <c r="H2122" s="16">
        <f>C2122+E2122</f>
        <v/>
      </c>
    </row>
    <row r="2123">
      <c r="A2123" s="12" t="n">
        <v>45103</v>
      </c>
      <c r="B2123" s="15" t="n">
        <v>1.07380005717278</v>
      </c>
      <c r="C2123" s="15" t="n">
        <v>0.171499997377396</v>
      </c>
      <c r="D2123" s="15" t="n">
        <v>2.51640009880066</v>
      </c>
      <c r="E2123" s="15" t="n">
        <v>-0.0467002391815186</v>
      </c>
      <c r="F2123" s="15" t="n">
        <v>0.35479998588562</v>
      </c>
      <c r="G2123" s="15" t="n">
        <v>3.71499991416931</v>
      </c>
      <c r="H2123" s="16">
        <f>C2123+E2123</f>
        <v/>
      </c>
    </row>
    <row r="2124">
      <c r="A2124" s="12" t="n">
        <v>45104</v>
      </c>
      <c r="B2124" s="15" t="n">
        <v>1.08910001814365</v>
      </c>
      <c r="C2124" s="15" t="n">
        <v>0.181099995970726</v>
      </c>
      <c r="D2124" s="15" t="n">
        <v>2.52340006828308</v>
      </c>
      <c r="E2124" s="15" t="n">
        <v>-0.0445001125335693</v>
      </c>
      <c r="F2124" s="15" t="n">
        <v>0.373100012540817</v>
      </c>
      <c r="G2124" s="15" t="n">
        <v>3.74909996986389</v>
      </c>
      <c r="H2124" s="16">
        <f>C2124+E2124</f>
        <v/>
      </c>
    </row>
    <row r="2125">
      <c r="A2125" s="12" t="n">
        <v>45105</v>
      </c>
      <c r="B2125" s="15" t="n">
        <v>1.07100002467632</v>
      </c>
      <c r="C2125" s="15" t="n">
        <v>0.158299997448921</v>
      </c>
      <c r="D2125" s="15" t="n">
        <v>2.50920009613037</v>
      </c>
      <c r="E2125" s="15" t="n">
        <v>-0.0497000217437744</v>
      </c>
      <c r="F2125" s="15" t="n">
        <v>0.365900009870529</v>
      </c>
      <c r="G2125" s="15" t="n">
        <v>3.68880009651184</v>
      </c>
      <c r="H2125" s="16">
        <f>C2125+E2125</f>
        <v/>
      </c>
    </row>
    <row r="2126">
      <c r="A2126" s="12" t="n">
        <v>45106</v>
      </c>
      <c r="B2126" s="15" t="n">
        <v>1.13329994678497</v>
      </c>
      <c r="C2126" s="15" t="n">
        <v>0.226999998092651</v>
      </c>
      <c r="D2126" s="15" t="n">
        <v>2.55410003662109</v>
      </c>
      <c r="E2126" s="15" t="n">
        <v>-0.0343998670578003</v>
      </c>
      <c r="F2126" s="15" t="n">
        <v>0.370299994945526</v>
      </c>
      <c r="G2126" s="15" t="n">
        <v>3.88000011444092</v>
      </c>
      <c r="H2126" s="16">
        <f>C2126+E2126</f>
        <v/>
      </c>
    </row>
    <row r="2127">
      <c r="A2127" s="12" t="n">
        <v>45107</v>
      </c>
      <c r="B2127" s="15" t="n">
        <v>1.11820004880428</v>
      </c>
      <c r="C2127" s="15" t="n">
        <v>0.210400000214577</v>
      </c>
      <c r="D2127" s="15" t="n">
        <v>2.54200005531311</v>
      </c>
      <c r="E2127" s="15" t="n">
        <v>-0.0376001596450806</v>
      </c>
      <c r="F2127" s="15" t="n">
        <v>0.350800007581711</v>
      </c>
      <c r="G2127" s="15" t="n">
        <v>3.83299994468689</v>
      </c>
      <c r="H2127" s="16">
        <f>C2127+E2127</f>
        <v/>
      </c>
    </row>
    <row r="2128">
      <c r="A2128" s="12" t="n">
        <v>45110</v>
      </c>
      <c r="B2128" s="15" t="n">
        <v>1.13620002567768</v>
      </c>
      <c r="C2128" s="15" t="n">
        <v>0.221000000834465</v>
      </c>
      <c r="D2128" s="15" t="n">
        <v>2.54970002174377</v>
      </c>
      <c r="E2128" s="15" t="n">
        <v>-0.0351001024246216</v>
      </c>
      <c r="F2128" s="15" t="n">
        <v>0.337099999189377</v>
      </c>
      <c r="G2128" s="15" t="n">
        <v>3.8717999458313</v>
      </c>
      <c r="H2128" s="16">
        <f>C2128+E2128</f>
        <v/>
      </c>
    </row>
    <row r="2129">
      <c r="A2129" s="12" t="n">
        <v>45112</v>
      </c>
      <c r="B2129" s="15" t="n">
        <v>1.15690004825592</v>
      </c>
      <c r="C2129" s="15" t="n">
        <v>0.254999995231628</v>
      </c>
      <c r="D2129" s="15" t="n">
        <v>2.56949996948242</v>
      </c>
      <c r="E2129" s="15" t="n">
        <v>-0.0269999504089355</v>
      </c>
      <c r="F2129" s="15" t="n">
        <v>0.361799985170364</v>
      </c>
      <c r="G2129" s="15" t="n">
        <v>3.95440006256104</v>
      </c>
      <c r="H2129" s="16">
        <f>C2129+E2129</f>
        <v/>
      </c>
    </row>
    <row r="2130">
      <c r="A2130" s="12" t="n">
        <v>45113</v>
      </c>
      <c r="B2130" s="15" t="n">
        <v>1.19339999556541</v>
      </c>
      <c r="C2130" s="15" t="n">
        <v>0.293700009584427</v>
      </c>
      <c r="D2130" s="15" t="n">
        <v>2.59450006484985</v>
      </c>
      <c r="E2130" s="15" t="n">
        <v>-0.0182002782821655</v>
      </c>
      <c r="F2130" s="15" t="n">
        <v>0.379900008440018</v>
      </c>
      <c r="G2130" s="15" t="n">
        <v>4.06339979171753</v>
      </c>
      <c r="H2130" s="16">
        <f>C2130+E2130</f>
        <v/>
      </c>
    </row>
    <row r="2131">
      <c r="A2131" s="12" t="n">
        <v>45114</v>
      </c>
      <c r="B2131" s="15" t="n">
        <v>1.19100001454353</v>
      </c>
      <c r="C2131" s="15" t="n">
        <v>0.300399988889694</v>
      </c>
      <c r="D2131" s="15" t="n">
        <v>2.59739995002747</v>
      </c>
      <c r="E2131" s="15" t="n">
        <v>-0.0166001319885254</v>
      </c>
      <c r="F2131" s="15" t="n">
        <v>0.377499997615814</v>
      </c>
      <c r="G2131" s="15" t="n">
        <v>4.07219982147217</v>
      </c>
      <c r="H2131" s="16">
        <f>C2131+E2131</f>
        <v/>
      </c>
    </row>
    <row r="2132">
      <c r="A2132" s="12" t="n">
        <v>45117</v>
      </c>
      <c r="B2132" s="15" t="n">
        <v>1.17000004649162</v>
      </c>
      <c r="C2132" s="15" t="n">
        <v>0.273499995470047</v>
      </c>
      <c r="D2132" s="15" t="n">
        <v>2.58200001716614</v>
      </c>
      <c r="E2132" s="15" t="n">
        <v>-0.0232999324798584</v>
      </c>
      <c r="F2132" s="15" t="n">
        <v>0.378699988126755</v>
      </c>
      <c r="G2132" s="15" t="n">
        <v>4.00220012664795</v>
      </c>
      <c r="H2132" s="16">
        <f>C2132+E2132</f>
        <v/>
      </c>
    </row>
    <row r="2133">
      <c r="A2133" s="12" t="n">
        <v>45118</v>
      </c>
      <c r="B2133" s="15" t="n">
        <v>1.16609996557236</v>
      </c>
      <c r="C2133" s="15" t="n">
        <v>0.263999998569489</v>
      </c>
      <c r="D2133" s="15" t="n">
        <v>2.57699990272522</v>
      </c>
      <c r="E2133" s="15" t="n">
        <v>-0.0256998538970947</v>
      </c>
      <c r="F2133" s="15" t="n">
        <v>0.391699999570847</v>
      </c>
      <c r="G2133" s="15" t="n">
        <v>3.98140001296997</v>
      </c>
      <c r="H2133" s="16">
        <f>C2133+E2133</f>
        <v/>
      </c>
    </row>
    <row r="2134">
      <c r="A2134" s="12" t="n">
        <v>45119</v>
      </c>
      <c r="B2134" s="15" t="n">
        <v>1.11700005829334</v>
      </c>
      <c r="C2134" s="15" t="n">
        <v>0.214499995112419</v>
      </c>
      <c r="D2134" s="15" t="n">
        <v>2.5453999042511</v>
      </c>
      <c r="E2134" s="15" t="n">
        <v>-0.0372998714447021</v>
      </c>
      <c r="F2134" s="15" t="n">
        <v>0.337799996137619</v>
      </c>
      <c r="G2134" s="15" t="n">
        <v>3.83960008621216</v>
      </c>
      <c r="H2134" s="16">
        <f>C2134+E2134</f>
        <v/>
      </c>
    </row>
    <row r="2135">
      <c r="A2135" s="12" t="n">
        <v>45120</v>
      </c>
      <c r="B2135" s="15" t="n">
        <v>1.07910005748272</v>
      </c>
      <c r="C2135" s="15" t="n">
        <v>0.186299994587898</v>
      </c>
      <c r="D2135" s="15" t="n">
        <v>2.52679991722107</v>
      </c>
      <c r="E2135" s="15" t="n">
        <v>-0.0442999601364136</v>
      </c>
      <c r="F2135" s="15" t="n">
        <v>0.325199991464615</v>
      </c>
      <c r="G2135" s="15" t="n">
        <v>3.74790000915527</v>
      </c>
      <c r="H2135" s="16">
        <f>C2135+E2135</f>
        <v/>
      </c>
    </row>
    <row r="2136">
      <c r="A2136" s="12" t="n">
        <v>45121</v>
      </c>
      <c r="B2136" s="15" t="n">
        <v>1.10489995777607</v>
      </c>
      <c r="C2136" s="15" t="n">
        <v>0.204500004649162</v>
      </c>
      <c r="D2136" s="15" t="n">
        <v>2.53979992866516</v>
      </c>
      <c r="E2136" s="15" t="n">
        <v>-0.0400999784469604</v>
      </c>
      <c r="F2136" s="15" t="n">
        <v>0.360500007867813</v>
      </c>
      <c r="G2136" s="15" t="n">
        <v>3.80909991264343</v>
      </c>
      <c r="H2136" s="16">
        <f>C2136+E2136</f>
        <v/>
      </c>
    </row>
    <row r="2137">
      <c r="A2137" s="12" t="n">
        <v>45124</v>
      </c>
      <c r="B2137" s="15" t="n">
        <v>1.09879998862743</v>
      </c>
      <c r="C2137" s="15" t="n">
        <v>0.193499997258186</v>
      </c>
      <c r="D2137" s="15" t="n">
        <v>2.53329992294312</v>
      </c>
      <c r="E2137" s="15" t="n">
        <v>-0.0425999164581299</v>
      </c>
      <c r="F2137" s="15" t="n">
        <v>0.345200002193451</v>
      </c>
      <c r="G2137" s="15" t="n">
        <v>3.78299999237061</v>
      </c>
      <c r="H2137" s="16">
        <f>C2137+E2137</f>
        <v/>
      </c>
    </row>
    <row r="2138">
      <c r="A2138" s="12" t="n">
        <v>45125</v>
      </c>
      <c r="B2138" s="15" t="n">
        <v>1.09320005774498</v>
      </c>
      <c r="C2138" s="15" t="n">
        <v>0.186599999666214</v>
      </c>
      <c r="D2138" s="15" t="n">
        <v>2.52859997749329</v>
      </c>
      <c r="E2138" s="15" t="n">
        <v>-0.0440000295639038</v>
      </c>
      <c r="F2138" s="15" t="n">
        <v>0.364600002765656</v>
      </c>
      <c r="G2138" s="15" t="n">
        <v>3.76440000534058</v>
      </c>
      <c r="H2138" s="16">
        <f>C2138+E2138</f>
        <v/>
      </c>
    </row>
    <row r="2139">
      <c r="A2139" s="12" t="n">
        <v>45126</v>
      </c>
      <c r="B2139" s="15" t="n">
        <v>1.0787999778986</v>
      </c>
      <c r="C2139" s="15" t="n">
        <v>0.164599999785423</v>
      </c>
      <c r="D2139" s="15" t="n">
        <v>2.51480007171631</v>
      </c>
      <c r="E2139" s="15" t="n">
        <v>-0.0488001108169556</v>
      </c>
      <c r="F2139" s="15" t="n">
        <v>0.354600012302399</v>
      </c>
      <c r="G2139" s="15" t="n">
        <v>3.70939993858337</v>
      </c>
      <c r="H2139" s="16">
        <f>C2139+E2139</f>
        <v/>
      </c>
    </row>
    <row r="2140">
      <c r="A2140" s="12" t="n">
        <v>45127</v>
      </c>
      <c r="B2140" s="15" t="n">
        <v>1.10899996757507</v>
      </c>
      <c r="C2140" s="15" t="n">
        <v>0.196099996566772</v>
      </c>
      <c r="D2140" s="15" t="n">
        <v>2.53480005264282</v>
      </c>
      <c r="E2140" s="15" t="n">
        <v>-0.0415000915527344</v>
      </c>
      <c r="F2140" s="15" t="n">
        <v>0.318399995565414</v>
      </c>
      <c r="G2140" s="15" t="n">
        <v>3.79839992523193</v>
      </c>
      <c r="H2140" s="16">
        <f>C2140+E2140</f>
        <v/>
      </c>
    </row>
    <row r="2141">
      <c r="A2141" s="12" t="n">
        <v>45128</v>
      </c>
      <c r="B2141" s="15" t="n">
        <v>1.1116000264883</v>
      </c>
      <c r="C2141" s="15" t="n">
        <v>0.195999994874001</v>
      </c>
      <c r="D2141" s="15" t="n">
        <v>2.53480005264282</v>
      </c>
      <c r="E2141" s="15" t="n">
        <v>-0.0413000583648682</v>
      </c>
      <c r="F2141" s="15" t="n">
        <v>0.306699991226196</v>
      </c>
      <c r="G2141" s="15" t="n">
        <v>3.80110001564026</v>
      </c>
      <c r="H2141" s="16">
        <f>C2141+E2141</f>
        <v/>
      </c>
    </row>
    <row r="2142">
      <c r="A2142" s="12" t="n">
        <v>45131</v>
      </c>
      <c r="B2142" s="15" t="n">
        <v>1.12619994580746</v>
      </c>
      <c r="C2142" s="15" t="n">
        <v>0.206799998879433</v>
      </c>
      <c r="D2142" s="15" t="n">
        <v>2.54229998588562</v>
      </c>
      <c r="E2142" s="15" t="n">
        <v>-0.0388000011444092</v>
      </c>
      <c r="F2142" s="15" t="n">
        <v>0.270399987697601</v>
      </c>
      <c r="G2142" s="15" t="n">
        <v>3.8364999294281</v>
      </c>
      <c r="H2142" s="16">
        <f>C2142+E2142</f>
        <v/>
      </c>
    </row>
    <row r="2143">
      <c r="A2143" s="12" t="n">
        <v>45132</v>
      </c>
      <c r="B2143" s="15" t="n">
        <v>1.14530003070831</v>
      </c>
      <c r="C2143" s="15" t="n">
        <v>0.224900007247925</v>
      </c>
      <c r="D2143" s="15" t="n">
        <v>2.55450010299683</v>
      </c>
      <c r="E2143" s="15" t="n">
        <v>-0.0348001718521118</v>
      </c>
      <c r="F2143" s="15" t="n">
        <v>0.272100001573563</v>
      </c>
      <c r="G2143" s="15" t="n">
        <v>3.88989996910095</v>
      </c>
      <c r="H2143" s="16">
        <f>C2143+E2143</f>
        <v/>
      </c>
    </row>
    <row r="2144">
      <c r="A2144" s="12" t="n">
        <v>45133</v>
      </c>
      <c r="B2144" s="15" t="n">
        <v>1.13130004703999</v>
      </c>
      <c r="C2144" s="15" t="n">
        <v>0.221000000834465</v>
      </c>
      <c r="D2144" s="15" t="n">
        <v>2.55110001564026</v>
      </c>
      <c r="E2144" s="15" t="n">
        <v>-0.0358999967575073</v>
      </c>
      <c r="F2144" s="15" t="n">
        <v>0.274100005626678</v>
      </c>
      <c r="G2144" s="15" t="n">
        <v>3.8675000667572</v>
      </c>
      <c r="H2144" s="16">
        <f>C2144+E2144</f>
        <v/>
      </c>
    </row>
    <row r="2145">
      <c r="A2145" s="12" t="n">
        <v>45134</v>
      </c>
      <c r="B2145" s="15" t="n">
        <v>1.1752000451088</v>
      </c>
      <c r="C2145" s="15" t="n">
        <v>0.268400013446808</v>
      </c>
      <c r="D2145" s="15" t="n">
        <v>2.58119988441467</v>
      </c>
      <c r="E2145" s="15" t="n">
        <v>-0.0248998403549194</v>
      </c>
      <c r="F2145" s="15" t="n">
        <v>0.311100006103516</v>
      </c>
      <c r="G2145" s="15" t="n">
        <v>3.99990010261536</v>
      </c>
      <c r="H2145" s="16">
        <f>C2145+E2145</f>
        <v/>
      </c>
    </row>
    <row r="2146">
      <c r="A2146" s="12" t="n">
        <v>45135</v>
      </c>
      <c r="B2146" s="15" t="n">
        <v>1.15240003168583</v>
      </c>
      <c r="C2146" s="15" t="n">
        <v>0.246500000357628</v>
      </c>
      <c r="D2146" s="15" t="n">
        <v>2.56609988212585</v>
      </c>
      <c r="E2146" s="15" t="n">
        <v>-0.0296998023986816</v>
      </c>
      <c r="F2146" s="15" t="n">
        <v>0.287000000476837</v>
      </c>
      <c r="G2146" s="15" t="n">
        <v>3.93530011177063</v>
      </c>
      <c r="H2146" s="16">
        <f>C2146+E2146</f>
        <v/>
      </c>
    </row>
    <row r="2147">
      <c r="A2147" s="12" t="n">
        <v>45138</v>
      </c>
      <c r="B2147" s="15" t="n">
        <v>1.15550005435944</v>
      </c>
      <c r="C2147" s="15" t="n">
        <v>0.259299993515015</v>
      </c>
      <c r="D2147" s="15" t="n">
        <v>2.57360005378723</v>
      </c>
      <c r="E2147" s="15" t="n">
        <v>-0.0270000696182251</v>
      </c>
      <c r="F2147" s="15" t="n">
        <v>0.288399994373322</v>
      </c>
      <c r="G2147" s="15" t="n">
        <v>3.96140003204346</v>
      </c>
      <c r="H2147" s="16">
        <f>C2147+E2147</f>
        <v/>
      </c>
    </row>
    <row r="2148">
      <c r="A2148" s="12" t="n">
        <v>45139</v>
      </c>
      <c r="B2148" s="15" t="n">
        <v>1.17919999361038</v>
      </c>
      <c r="C2148" s="15" t="n">
        <v>0.293500006198883</v>
      </c>
      <c r="D2148" s="15" t="n">
        <v>2.59500002861023</v>
      </c>
      <c r="E2148" s="15" t="n">
        <v>-0.0194002389907837</v>
      </c>
      <c r="F2148" s="15" t="n">
        <v>0.312599986791611</v>
      </c>
      <c r="G2148" s="15" t="n">
        <v>4.04829978942871</v>
      </c>
      <c r="H2148" s="16">
        <f>C2148+E2148</f>
        <v/>
      </c>
    </row>
    <row r="2149">
      <c r="A2149" s="12" t="n">
        <v>45140</v>
      </c>
      <c r="B2149" s="15" t="n">
        <v>1.180399954319</v>
      </c>
      <c r="C2149" s="15" t="n">
        <v>0.298500001430511</v>
      </c>
      <c r="D2149" s="15" t="n">
        <v>2.59739995002747</v>
      </c>
      <c r="E2149" s="15" t="n">
        <v>-0.0181000232696533</v>
      </c>
      <c r="F2149" s="15" t="n">
        <v>0.325899988412857</v>
      </c>
      <c r="G2149" s="15" t="n">
        <v>4.05819988250732</v>
      </c>
      <c r="H2149" s="16">
        <f>C2149+E2149</f>
        <v/>
      </c>
    </row>
    <row r="2150">
      <c r="A2150" s="12" t="n">
        <v>45141</v>
      </c>
      <c r="B2150" s="15" t="n">
        <v>1.20829996466637</v>
      </c>
      <c r="C2150" s="15" t="n">
        <v>0.339700013399124</v>
      </c>
      <c r="D2150" s="15" t="n">
        <v>2.62290000915527</v>
      </c>
      <c r="E2150" s="15" t="n">
        <v>-0.00899994373321533</v>
      </c>
      <c r="F2150" s="15" t="n">
        <v>0.353100001811981</v>
      </c>
      <c r="G2150" s="15" t="n">
        <v>4.16190004348755</v>
      </c>
      <c r="H2150" s="16">
        <f>C2150+E2150</f>
        <v/>
      </c>
    </row>
    <row r="2151">
      <c r="A2151" s="12" t="n">
        <v>45142</v>
      </c>
      <c r="B2151" s="15" t="n">
        <v>1.15979999303818</v>
      </c>
      <c r="C2151" s="15" t="n">
        <v>0.289099991321564</v>
      </c>
      <c r="D2151" s="15" t="n">
        <v>2.59039998054504</v>
      </c>
      <c r="E2151" s="15" t="n">
        <v>-0.0206999778747559</v>
      </c>
      <c r="F2151" s="15" t="n">
        <v>0.299499988555908</v>
      </c>
      <c r="G2151" s="15" t="n">
        <v>4.01859998703003</v>
      </c>
      <c r="H2151" s="16">
        <f>C2151+E2151</f>
        <v/>
      </c>
    </row>
    <row r="2152">
      <c r="A2152" s="12" t="n">
        <v>45145</v>
      </c>
      <c r="B2152" s="15" t="n">
        <v>1.1734000146389</v>
      </c>
      <c r="C2152" s="15" t="n">
        <v>0.303700000047684</v>
      </c>
      <c r="D2152" s="15" t="n">
        <v>2.60150003433228</v>
      </c>
      <c r="E2152" s="15" t="n">
        <v>-0.0180002450942993</v>
      </c>
      <c r="F2152" s="15" t="n">
        <v>0.277200013399124</v>
      </c>
      <c r="G2152" s="15" t="n">
        <v>4.06059980392456</v>
      </c>
      <c r="H2152" s="16">
        <f>C2152+E2152</f>
        <v/>
      </c>
    </row>
    <row r="2153">
      <c r="A2153" s="12" t="n">
        <v>45146</v>
      </c>
      <c r="B2153" s="15" t="n">
        <v>1.15630003809929</v>
      </c>
      <c r="C2153" s="15" t="n">
        <v>0.282200008630753</v>
      </c>
      <c r="D2153" s="15" t="n">
        <v>2.58879995346069</v>
      </c>
      <c r="E2153" s="15" t="n">
        <v>-0.0232001543045044</v>
      </c>
      <c r="F2153" s="15" t="n">
        <v>0.298400014638901</v>
      </c>
      <c r="G2153" s="15" t="n">
        <v>4.00409984588623</v>
      </c>
      <c r="H2153" s="16">
        <f>C2153+E2153</f>
        <v/>
      </c>
    </row>
    <row r="2154">
      <c r="A2154" s="12" t="n">
        <v>45147</v>
      </c>
      <c r="B2154" s="15" t="n">
        <v>1.15739995241165</v>
      </c>
      <c r="C2154" s="15" t="n">
        <v>0.277599990367889</v>
      </c>
      <c r="D2154" s="15" t="n">
        <v>2.58640003204346</v>
      </c>
      <c r="E2154" s="15" t="n">
        <v>-0.0241999626159668</v>
      </c>
      <c r="F2154" s="15" t="n">
        <v>0.307200014591217</v>
      </c>
      <c r="G2154" s="15" t="n">
        <v>3.99720001220703</v>
      </c>
      <c r="H2154" s="16">
        <f>C2154+E2154</f>
        <v/>
      </c>
    </row>
    <row r="2155">
      <c r="A2155" s="12" t="n">
        <v>45148</v>
      </c>
      <c r="B2155" s="15" t="n">
        <v>1.18379998207092</v>
      </c>
      <c r="C2155" s="15" t="n">
        <v>0.313899993896484</v>
      </c>
      <c r="D2155" s="15" t="n">
        <v>2.60840010643005</v>
      </c>
      <c r="E2155" s="15" t="n">
        <v>-0.0157999992370605</v>
      </c>
      <c r="F2155" s="15" t="n">
        <v>0.328900009393692</v>
      </c>
      <c r="G2155" s="15" t="n">
        <v>4.0903000831604</v>
      </c>
      <c r="H2155" s="16">
        <f>C2155+E2155</f>
        <v/>
      </c>
    </row>
    <row r="2156">
      <c r="A2156" s="12" t="n">
        <v>45149</v>
      </c>
      <c r="B2156" s="15" t="n">
        <v>1.20799997448921</v>
      </c>
      <c r="C2156" s="15" t="n">
        <v>0.340700000524521</v>
      </c>
      <c r="D2156" s="15" t="n">
        <v>2.62450003623962</v>
      </c>
      <c r="E2156" s="15" t="n">
        <v>-0.009199976921081539</v>
      </c>
      <c r="F2156" s="15" t="n">
        <v>0.323399990797043</v>
      </c>
      <c r="G2156" s="15" t="n">
        <v>4.16400003433228</v>
      </c>
      <c r="H2156" s="16">
        <f>C2156+E2156</f>
        <v/>
      </c>
    </row>
    <row r="2157">
      <c r="A2157" s="12" t="n">
        <v>45152</v>
      </c>
      <c r="B2157" s="15" t="n">
        <v>1.21919995546341</v>
      </c>
      <c r="C2157" s="15" t="n">
        <v>0.339399993419647</v>
      </c>
      <c r="D2157" s="15" t="n">
        <v>2.625</v>
      </c>
      <c r="E2157" s="15" t="n">
        <v>-0.00929975509643555</v>
      </c>
      <c r="F2157" s="15" t="n">
        <v>0.341399997472763</v>
      </c>
      <c r="G2157" s="15" t="n">
        <v>4.17430019378662</v>
      </c>
      <c r="H2157" s="16">
        <f>C2157+E2157</f>
        <v/>
      </c>
    </row>
    <row r="2158">
      <c r="A2158" s="12" t="n">
        <v>45153</v>
      </c>
      <c r="B2158" s="15" t="n">
        <v>1.22519996762276</v>
      </c>
      <c r="C2158" s="15" t="n">
        <v>0.351500004529953</v>
      </c>
      <c r="D2158" s="15" t="n">
        <v>2.63190007209778</v>
      </c>
      <c r="E2158" s="15" t="n">
        <v>-0.006500244140625</v>
      </c>
      <c r="F2158" s="15" t="n">
        <v>0.373499989509583</v>
      </c>
      <c r="G2158" s="15" t="n">
        <v>4.20209980010986</v>
      </c>
      <c r="H2158" s="16">
        <f>C2158+E2158</f>
        <v/>
      </c>
    </row>
    <row r="2159">
      <c r="A2159" s="12" t="n">
        <v>45154</v>
      </c>
      <c r="B2159" s="15" t="n">
        <v>1.2427000105381</v>
      </c>
      <c r="C2159" s="15" t="n">
        <v>0.372999995946884</v>
      </c>
      <c r="D2159" s="15" t="n">
        <v>2.64499998092651</v>
      </c>
      <c r="E2159" s="15" t="n">
        <v>-0.00139975547790527</v>
      </c>
      <c r="F2159" s="15" t="n">
        <v>0.399599999189377</v>
      </c>
      <c r="G2159" s="15" t="n">
        <v>4.25930023193359</v>
      </c>
      <c r="H2159" s="16">
        <f>C2159+E2159</f>
        <v/>
      </c>
    </row>
    <row r="2160">
      <c r="A2160" s="12" t="n">
        <v>45155</v>
      </c>
      <c r="B2160" s="15" t="n">
        <v>1.24589997529984</v>
      </c>
      <c r="C2160" s="15" t="n">
        <v>0.386799991130829</v>
      </c>
      <c r="D2160" s="15" t="n">
        <v>2.65229988098145</v>
      </c>
      <c r="E2160" s="15" t="n">
        <v>0.0018000602722168</v>
      </c>
      <c r="F2160" s="15" t="n">
        <v>0.399300009012222</v>
      </c>
      <c r="G2160" s="15" t="n">
        <v>4.28679990768433</v>
      </c>
      <c r="H2160" s="16">
        <f>C2160+E2160</f>
        <v/>
      </c>
    </row>
    <row r="2161">
      <c r="A2161" s="12" t="n">
        <v>45156</v>
      </c>
      <c r="B2161" s="15" t="n">
        <v>1.23230001330376</v>
      </c>
      <c r="C2161" s="15" t="n">
        <v>0.374099999666214</v>
      </c>
      <c r="D2161" s="15" t="n">
        <v>2.64369988441467</v>
      </c>
      <c r="E2161" s="15" t="n">
        <v>-0.000999689102172852</v>
      </c>
      <c r="F2161" s="15" t="n">
        <v>0.400599986314774</v>
      </c>
      <c r="G2161" s="15" t="n">
        <v>4.24910020828247</v>
      </c>
      <c r="H2161" s="16">
        <f>C2161+E2161</f>
        <v/>
      </c>
    </row>
    <row r="2162">
      <c r="A2162" s="12" t="n">
        <v>45159</v>
      </c>
      <c r="B2162" s="15" t="n">
        <v>1.26360002160072</v>
      </c>
      <c r="C2162" s="15" t="n">
        <v>0.398799985647202</v>
      </c>
      <c r="D2162" s="15" t="n">
        <v>2.66210007667542</v>
      </c>
      <c r="E2162" s="15" t="n">
        <v>0.00409984588623047</v>
      </c>
      <c r="F2162" s="15" t="n">
        <v>0.397399991750717</v>
      </c>
      <c r="G2162" s="15" t="n">
        <v>4.32859992980957</v>
      </c>
      <c r="H2162" s="16">
        <f>C2162+E2162</f>
        <v/>
      </c>
    </row>
    <row r="2163">
      <c r="A2163" s="12" t="n">
        <v>45160</v>
      </c>
      <c r="B2163" s="15" t="n">
        <v>1.27360001206398</v>
      </c>
      <c r="C2163" s="15" t="n">
        <v>0.413199990987778</v>
      </c>
      <c r="D2163" s="15" t="n">
        <v>2.67090010643005</v>
      </c>
      <c r="E2163" s="15" t="n">
        <v>0.0073997974395752</v>
      </c>
      <c r="F2163" s="15" t="n">
        <v>0.375099986791611</v>
      </c>
      <c r="G2163" s="15" t="n">
        <v>4.36509990692139</v>
      </c>
      <c r="H2163" s="16">
        <f>C2163+E2163</f>
        <v/>
      </c>
    </row>
    <row r="2164">
      <c r="A2164" s="12" t="n">
        <v>45161</v>
      </c>
      <c r="B2164" s="15" t="n">
        <v>1.22239997982979</v>
      </c>
      <c r="C2164" s="15" t="n">
        <v>0.347799986600876</v>
      </c>
      <c r="D2164" s="15" t="n">
        <v>2.62910008430481</v>
      </c>
      <c r="E2164" s="15" t="n">
        <v>-0.00720000267028809</v>
      </c>
      <c r="F2164" s="15" t="n">
        <v>0.354600012302399</v>
      </c>
      <c r="G2164" s="15" t="n">
        <v>4.19210004806519</v>
      </c>
      <c r="H2164" s="16">
        <f>C2164+E2164</f>
        <v/>
      </c>
    </row>
    <row r="2165">
      <c r="A2165" s="12" t="n">
        <v>45162</v>
      </c>
      <c r="B2165" s="15" t="n">
        <v>1.23820000886917</v>
      </c>
      <c r="C2165" s="15" t="n">
        <v>0.353100001811981</v>
      </c>
      <c r="D2165" s="15" t="n">
        <v>2.63499999046326</v>
      </c>
      <c r="E2165" s="15" t="n">
        <v>-0.00630021095275879</v>
      </c>
      <c r="F2165" s="15" t="n">
        <v>0.38280001282692</v>
      </c>
      <c r="G2165" s="15" t="n">
        <v>4.21999979019165</v>
      </c>
      <c r="H2165" s="16">
        <f>C2165+E2165</f>
        <v/>
      </c>
    </row>
    <row r="2166">
      <c r="A2166" s="12" t="n">
        <v>45163</v>
      </c>
      <c r="B2166" s="15" t="n">
        <v>1.24729999899864</v>
      </c>
      <c r="C2166" s="15" t="n">
        <v>0.356200009584427</v>
      </c>
      <c r="D2166" s="15" t="n">
        <v>2.63770008087158</v>
      </c>
      <c r="E2166" s="15" t="n">
        <v>-0.00549995899200439</v>
      </c>
      <c r="F2166" s="15" t="n">
        <v>0.394300013780594</v>
      </c>
      <c r="G2166" s="15" t="n">
        <v>4.23570013046265</v>
      </c>
      <c r="H2166" s="16">
        <f>C2166+E2166</f>
        <v/>
      </c>
    </row>
    <row r="2167">
      <c r="A2167" s="12" t="n">
        <v>45166</v>
      </c>
      <c r="B2167" s="15" t="n">
        <v>1.23539996147156</v>
      </c>
      <c r="C2167" s="15" t="n">
        <v>0.33899998664856</v>
      </c>
      <c r="D2167" s="15" t="n">
        <v>2.62750005722046</v>
      </c>
      <c r="E2167" s="15" t="n">
        <v>-0.009500026702880859</v>
      </c>
      <c r="F2167" s="15" t="n">
        <v>0.396600008010864</v>
      </c>
      <c r="G2167" s="15" t="n">
        <v>4.1923999786377</v>
      </c>
      <c r="H2167" s="16">
        <f>C2167+E2167</f>
        <v/>
      </c>
    </row>
    <row r="2168">
      <c r="A2168" s="12" t="n">
        <v>45167</v>
      </c>
      <c r="B2168" s="15" t="n">
        <v>1.20120000839233</v>
      </c>
      <c r="C2168" s="15" t="n">
        <v>0.311699986457825</v>
      </c>
      <c r="D2168" s="15" t="n">
        <v>2.60879993438721</v>
      </c>
      <c r="E2168" s="15" t="n">
        <v>-0.0158001184463501</v>
      </c>
      <c r="F2168" s="15" t="n">
        <v>0.385500013828278</v>
      </c>
      <c r="G2168" s="15" t="n">
        <v>4.10589981079102</v>
      </c>
      <c r="H2168" s="16">
        <f>C2168+E2168</f>
        <v/>
      </c>
    </row>
    <row r="2169">
      <c r="A2169" s="12" t="n">
        <v>45168</v>
      </c>
      <c r="B2169" s="15" t="n">
        <v>1.20509999990463</v>
      </c>
      <c r="C2169" s="15" t="n">
        <v>0.32150000333786</v>
      </c>
      <c r="D2169" s="15" t="n">
        <v>2.61470007896423</v>
      </c>
      <c r="E2169" s="15" t="n">
        <v>-0.0136998891830444</v>
      </c>
      <c r="F2169" s="15" t="n">
        <v>0.402300000190735</v>
      </c>
      <c r="G2169" s="15" t="n">
        <v>4.12760019302368</v>
      </c>
      <c r="H2169" s="16">
        <f>C2169+E2169</f>
        <v/>
      </c>
    </row>
    <row r="2170">
      <c r="A2170" s="12" t="n">
        <v>45169</v>
      </c>
      <c r="B2170" s="15" t="n">
        <v>1.191899985075</v>
      </c>
      <c r="C2170" s="15" t="n">
        <v>0.314500004053116</v>
      </c>
      <c r="D2170" s="15" t="n">
        <v>2.60899996757507</v>
      </c>
      <c r="E2170" s="15" t="n">
        <v>-0.0151997804641724</v>
      </c>
      <c r="F2170" s="15" t="n">
        <v>0.408800005912781</v>
      </c>
      <c r="G2170" s="15" t="n">
        <v>4.10020017623901</v>
      </c>
      <c r="H2170" s="16">
        <f>C2170+E2170</f>
        <v/>
      </c>
    </row>
    <row r="2171">
      <c r="A2171" s="12" t="n">
        <v>45170</v>
      </c>
      <c r="B2171" s="15" t="n">
        <v>1.21419996023178</v>
      </c>
      <c r="C2171" s="15" t="n">
        <v>0.350199997425079</v>
      </c>
      <c r="D2171" s="15" t="n">
        <v>2.63059997558594</v>
      </c>
      <c r="E2171" s="15" t="n">
        <v>-0.00709986686706543</v>
      </c>
      <c r="F2171" s="15" t="n">
        <v>0.414200007915497</v>
      </c>
      <c r="G2171" s="15" t="n">
        <v>4.18790006637573</v>
      </c>
      <c r="H2171" s="16">
        <f>C2171+E2171</f>
        <v/>
      </c>
    </row>
    <row r="2172">
      <c r="A2172" s="12" t="n">
        <v>45174</v>
      </c>
      <c r="B2172" s="15" t="n">
        <v>1.24329999089241</v>
      </c>
      <c r="C2172" s="15" t="n">
        <v>0.372999995946884</v>
      </c>
      <c r="D2172" s="15" t="n">
        <v>2.6470000743866</v>
      </c>
      <c r="E2172" s="15" t="n">
        <v>-0.00220024585723877</v>
      </c>
      <c r="F2172" s="15" t="n">
        <v>0.402599990367889</v>
      </c>
      <c r="G2172" s="15" t="n">
        <v>4.26109981536865</v>
      </c>
      <c r="H2172" s="16">
        <f>C2172+E2172</f>
        <v/>
      </c>
    </row>
    <row r="2173">
      <c r="A2173" s="12" t="n">
        <v>45175</v>
      </c>
      <c r="B2173" s="15" t="n">
        <v>1.26429995894432</v>
      </c>
      <c r="C2173" s="15" t="n">
        <v>0.397799998521805</v>
      </c>
      <c r="D2173" s="15" t="n">
        <v>2.66260004043579</v>
      </c>
      <c r="E2173" s="15" t="n">
        <v>0.00349986553192139</v>
      </c>
      <c r="F2173" s="15" t="n">
        <v>0.396100014448166</v>
      </c>
      <c r="G2173" s="15" t="n">
        <v>4.32819986343384</v>
      </c>
      <c r="H2173" s="16">
        <f>C2173+E2173</f>
        <v/>
      </c>
    </row>
    <row r="2174">
      <c r="A2174" s="12" t="n">
        <v>45176</v>
      </c>
      <c r="B2174" s="15" t="n">
        <v>1.24180001020432</v>
      </c>
      <c r="C2174" s="15" t="n">
        <v>0.37389999628067</v>
      </c>
      <c r="D2174" s="15" t="n">
        <v>2.646399974823</v>
      </c>
      <c r="E2174" s="15" t="n">
        <v>-0.00170016288757324</v>
      </c>
      <c r="F2174" s="15" t="n">
        <v>0.384999990463257</v>
      </c>
      <c r="G2174" s="15" t="n">
        <v>4.26039981842041</v>
      </c>
      <c r="H2174" s="16">
        <f>C2174+E2174</f>
        <v/>
      </c>
    </row>
    <row r="2175">
      <c r="A2175" s="12" t="n">
        <v>45177</v>
      </c>
      <c r="B2175" s="15" t="n">
        <v>1.23849993944168</v>
      </c>
      <c r="C2175" s="15" t="n">
        <v>0.3682000041008</v>
      </c>
      <c r="D2175" s="15" t="n">
        <v>2.64219999313354</v>
      </c>
      <c r="E2175" s="15" t="n">
        <v>-0.00259971618652344</v>
      </c>
      <c r="F2175" s="15" t="n">
        <v>0.372599989175797</v>
      </c>
      <c r="G2175" s="15" t="n">
        <v>4.2463002204895</v>
      </c>
      <c r="H2175" s="16">
        <f>C2175+E2175</f>
        <v/>
      </c>
    </row>
    <row r="2176">
      <c r="A2176" s="12" t="n">
        <v>45180</v>
      </c>
      <c r="B2176" s="15" t="n">
        <v>1.24619996547699</v>
      </c>
      <c r="C2176" s="15" t="n">
        <v>0.375</v>
      </c>
      <c r="D2176" s="15" t="n">
        <v>2.64720010757446</v>
      </c>
      <c r="E2176" s="15" t="n">
        <v>-0.00130021572113037</v>
      </c>
      <c r="F2176" s="15" t="n">
        <v>0.36599999666214</v>
      </c>
      <c r="G2176" s="15" t="n">
        <v>4.26709985733032</v>
      </c>
      <c r="H2176" s="16">
        <f>C2176+E2176</f>
        <v/>
      </c>
    </row>
    <row r="2177">
      <c r="A2177" s="12" t="n">
        <v>45181</v>
      </c>
      <c r="B2177" s="15" t="n">
        <v>1.2457999587059</v>
      </c>
      <c r="C2177" s="15" t="n">
        <v>0.366100013256073</v>
      </c>
      <c r="D2177" s="15" t="n">
        <v>2.64269995689392</v>
      </c>
      <c r="E2177" s="15" t="n">
        <v>-0.00330007076263428</v>
      </c>
      <c r="F2177" s="15" t="n">
        <v>0.368099987506866</v>
      </c>
      <c r="G2177" s="15" t="n">
        <v>4.25129985809326</v>
      </c>
      <c r="H2177" s="16">
        <f>C2177+E2177</f>
        <v/>
      </c>
    </row>
    <row r="2178">
      <c r="A2178" s="12" t="n">
        <v>45182</v>
      </c>
      <c r="B2178" s="15" t="n">
        <v>1.2383000254631</v>
      </c>
      <c r="C2178" s="15" t="n">
        <v>0.358900010585785</v>
      </c>
      <c r="D2178" s="15" t="n">
        <v>2.63779997825623</v>
      </c>
      <c r="E2178" s="15" t="n">
        <v>-0.00489985942840576</v>
      </c>
      <c r="F2178" s="15" t="n">
        <v>0.357699990272522</v>
      </c>
      <c r="G2178" s="15" t="n">
        <v>4.23010015487671</v>
      </c>
      <c r="H2178" s="16">
        <f>C2178+E2178</f>
        <v/>
      </c>
    </row>
    <row r="2179">
      <c r="A2179" s="12" t="n">
        <v>45183</v>
      </c>
      <c r="B2179" s="15" t="n">
        <v>1.24709996581078</v>
      </c>
      <c r="C2179" s="15" t="n">
        <v>0.374099999666214</v>
      </c>
      <c r="D2179" s="15" t="n">
        <v>2.64630007743835</v>
      </c>
      <c r="E2179" s="15" t="n">
        <v>-0.00119984149932861</v>
      </c>
      <c r="F2179" s="15" t="n">
        <v>0.373800009489059</v>
      </c>
      <c r="G2179" s="15" t="n">
        <v>4.26630020141602</v>
      </c>
      <c r="H2179" s="16">
        <f>C2179+E2179</f>
        <v/>
      </c>
    </row>
    <row r="2180">
      <c r="A2180" s="12" t="n">
        <v>45184</v>
      </c>
      <c r="B2180" s="15" t="n">
        <v>1.26450005173683</v>
      </c>
      <c r="C2180" s="15" t="n">
        <v>0.405299991369247</v>
      </c>
      <c r="D2180" s="15" t="n">
        <v>2.66499996185303</v>
      </c>
      <c r="E2180" s="15" t="n">
        <v>0.00580000877380371</v>
      </c>
      <c r="F2180" s="15" t="n">
        <v>0.365500003099442</v>
      </c>
      <c r="G2180" s="15" t="n">
        <v>4.34060001373291</v>
      </c>
      <c r="H2180" s="16">
        <f>C2180+E2180</f>
        <v/>
      </c>
    </row>
    <row r="2181">
      <c r="A2181" s="12" t="n">
        <v>45187</v>
      </c>
      <c r="B2181" s="15" t="n">
        <v>1.26699995994568</v>
      </c>
      <c r="C2181" s="15" t="n">
        <v>0.403699994087219</v>
      </c>
      <c r="D2181" s="15" t="n">
        <v>2.66470003128052</v>
      </c>
      <c r="E2181" s="15" t="n">
        <v>0.00539982318878174</v>
      </c>
      <c r="F2181" s="15" t="n">
        <v>0.349700003862381</v>
      </c>
      <c r="G2181" s="15" t="n">
        <v>4.3407998085022</v>
      </c>
      <c r="H2181" s="16">
        <f>C2181+E2181</f>
        <v/>
      </c>
    </row>
    <row r="2182">
      <c r="A2182" s="12" t="n">
        <v>45188</v>
      </c>
      <c r="B2182" s="15" t="n">
        <v>1.28079998493195</v>
      </c>
      <c r="C2182" s="15" t="n">
        <v>0.416000008583069</v>
      </c>
      <c r="D2182" s="15" t="n">
        <v>2.67249989509583</v>
      </c>
      <c r="E2182" s="15" t="n">
        <v>0.00839996337890625</v>
      </c>
      <c r="F2182" s="15" t="n">
        <v>0.356499999761581</v>
      </c>
      <c r="G2182" s="15" t="n">
        <v>4.37769985198975</v>
      </c>
      <c r="H2182" s="16">
        <f>C2182+E2182</f>
        <v/>
      </c>
    </row>
    <row r="2183">
      <c r="A2183" s="12" t="n">
        <v>45189</v>
      </c>
      <c r="B2183" s="15" t="n">
        <v>1.27770006656647</v>
      </c>
      <c r="C2183" s="15" t="n">
        <v>0.408699989318848</v>
      </c>
      <c r="D2183" s="15" t="n">
        <v>2.66759991645813</v>
      </c>
      <c r="E2183" s="15" t="n">
        <v>0.00700008869171143</v>
      </c>
      <c r="F2183" s="15" t="n">
        <v>0.374500006437302</v>
      </c>
      <c r="G2183" s="15" t="n">
        <v>4.36100006103516</v>
      </c>
      <c r="H2183" s="16">
        <f>C2183+E2183</f>
        <v/>
      </c>
    </row>
    <row r="2184">
      <c r="A2184" s="12" t="n">
        <v>45190</v>
      </c>
      <c r="B2184" s="15" t="n">
        <v>1.31749996542931</v>
      </c>
      <c r="C2184" s="15" t="n">
        <v>0.464700013399124</v>
      </c>
      <c r="D2184" s="15" t="n">
        <v>2.70269989967346</v>
      </c>
      <c r="E2184" s="15" t="n">
        <v>0.0194998979568481</v>
      </c>
      <c r="F2184" s="15" t="n">
        <v>0.388900011777878</v>
      </c>
      <c r="G2184" s="15" t="n">
        <v>4.50439977645874</v>
      </c>
      <c r="H2184" s="16">
        <f>C2184+E2184</f>
        <v/>
      </c>
    </row>
    <row r="2185">
      <c r="A2185" s="12" t="n">
        <v>45191</v>
      </c>
      <c r="B2185" s="15" t="n">
        <v>1.30490002036095</v>
      </c>
      <c r="C2185" s="15" t="n">
        <v>0.451599985361099</v>
      </c>
      <c r="D2185" s="15" t="n">
        <v>2.69440007209778</v>
      </c>
      <c r="E2185" s="15" t="n">
        <v>0.0163998603820801</v>
      </c>
      <c r="F2185" s="15" t="n">
        <v>0.375800013542175</v>
      </c>
      <c r="G2185" s="15" t="n">
        <v>4.4672999382019</v>
      </c>
      <c r="H2185" s="16">
        <f>C2185+E2185</f>
        <v/>
      </c>
    </row>
    <row r="2186">
      <c r="A2186" s="12" t="n">
        <v>45194</v>
      </c>
      <c r="B2186" s="15" t="n">
        <v>1.33399999141693</v>
      </c>
      <c r="C2186" s="15" t="n">
        <v>0.495599985122681</v>
      </c>
      <c r="D2186" s="15" t="n">
        <v>2.72210001945496</v>
      </c>
      <c r="E2186" s="15" t="n">
        <v>0.0259000062942505</v>
      </c>
      <c r="F2186" s="15" t="n">
        <v>0.408699989318848</v>
      </c>
      <c r="G2186" s="15" t="n">
        <v>4.57760000228882</v>
      </c>
      <c r="H2186" s="16">
        <f>C2186+E2186</f>
        <v/>
      </c>
    </row>
    <row r="2187">
      <c r="A2187" s="12" t="n">
        <v>45195</v>
      </c>
      <c r="B2187" s="15" t="n">
        <v>1.34119999408722</v>
      </c>
      <c r="C2187" s="15" t="n">
        <v>0.506500005722046</v>
      </c>
      <c r="D2187" s="15" t="n">
        <v>2.72939991950989</v>
      </c>
      <c r="E2187" s="15" t="n">
        <v>0.0282000303268433</v>
      </c>
      <c r="F2187" s="15" t="n">
        <v>0.43979999423027</v>
      </c>
      <c r="G2187" s="15" t="n">
        <v>4.605299949646</v>
      </c>
      <c r="H2187" s="16">
        <f>C2187+E2187</f>
        <v/>
      </c>
    </row>
    <row r="2188">
      <c r="A2188" s="12" t="n">
        <v>45196</v>
      </c>
      <c r="B2188" s="15" t="n">
        <v>1.36120003461838</v>
      </c>
      <c r="C2188" s="15" t="n">
        <v>0.527599990367889</v>
      </c>
      <c r="D2188" s="15" t="n">
        <v>2.74329996109009</v>
      </c>
      <c r="E2188" s="15" t="n">
        <v>0.0328999757766724</v>
      </c>
      <c r="F2188" s="15" t="n">
        <v>0.433899998664856</v>
      </c>
      <c r="G2188" s="15" t="n">
        <v>4.66499996185303</v>
      </c>
      <c r="H2188" s="16">
        <f>C2188+E2188</f>
        <v/>
      </c>
    </row>
    <row r="2189">
      <c r="A2189" s="12" t="n">
        <v>45197</v>
      </c>
      <c r="B2189" s="15" t="n">
        <v>1.34839999675751</v>
      </c>
      <c r="C2189" s="15" t="n">
        <v>0.518800020217896</v>
      </c>
      <c r="D2189" s="15" t="n">
        <v>2.73720002174377</v>
      </c>
      <c r="E2189" s="15" t="n">
        <v>0.0306998491287231</v>
      </c>
      <c r="F2189" s="15" t="n">
        <v>0.39750000834465</v>
      </c>
      <c r="G2189" s="15" t="n">
        <v>4.6350998878479</v>
      </c>
      <c r="H2189" s="16">
        <f>C2189+E2189</f>
        <v/>
      </c>
    </row>
    <row r="2190">
      <c r="A2190" s="12" t="n">
        <v>45198</v>
      </c>
      <c r="B2190" s="15" t="n">
        <v>1.34810000658035</v>
      </c>
      <c r="C2190" s="15" t="n">
        <v>0.526099979877472</v>
      </c>
      <c r="D2190" s="15" t="n">
        <v>2.74149990081787</v>
      </c>
      <c r="E2190" s="15" t="n">
        <v>0.0322002172470093</v>
      </c>
      <c r="F2190" s="15" t="n">
        <v>0.422399997711182</v>
      </c>
      <c r="G2190" s="15" t="n">
        <v>4.64790010452271</v>
      </c>
      <c r="H2190" s="16">
        <f>C2190+E2190</f>
        <v/>
      </c>
    </row>
    <row r="2191">
      <c r="A2191" s="12" t="n">
        <v>45201</v>
      </c>
      <c r="B2191" s="15" t="n">
        <v>1.38299995660782</v>
      </c>
      <c r="C2191" s="15" t="n">
        <v>0.562799990177155</v>
      </c>
      <c r="D2191" s="15" t="n">
        <v>2.7658998966217</v>
      </c>
      <c r="E2191" s="15" t="n">
        <v>0.0402003526687622</v>
      </c>
      <c r="F2191" s="15" t="n">
        <v>0.459199994802475</v>
      </c>
      <c r="G2191" s="15" t="n">
        <v>4.75190019607544</v>
      </c>
      <c r="H2191" s="16">
        <f>C2191+E2191</f>
        <v/>
      </c>
    </row>
    <row r="2192">
      <c r="A2192" s="12" t="n">
        <v>45202</v>
      </c>
      <c r="B2192" s="15" t="n">
        <v>1.4174998998642</v>
      </c>
      <c r="C2192" s="15" t="n">
        <v>0.608399987220764</v>
      </c>
      <c r="D2192" s="15" t="n">
        <v>2.79419994354248</v>
      </c>
      <c r="E2192" s="15" t="n">
        <v>0.0506000518798828</v>
      </c>
      <c r="F2192" s="15" t="n">
        <v>0.483999997377396</v>
      </c>
      <c r="G2192" s="15" t="n">
        <v>4.87069988250732</v>
      </c>
      <c r="H2192" s="16">
        <f>C2192+E2192</f>
        <v/>
      </c>
    </row>
    <row r="2193">
      <c r="A2193" s="12" t="n">
        <v>45203</v>
      </c>
      <c r="B2193" s="15" t="n">
        <v>1.39029997587204</v>
      </c>
      <c r="C2193" s="15" t="n">
        <v>0.582099974155426</v>
      </c>
      <c r="D2193" s="15" t="n">
        <v>2.77699995040894</v>
      </c>
      <c r="E2193" s="15" t="n">
        <v>0.0445001125335693</v>
      </c>
      <c r="F2193" s="15" t="n">
        <v>0.486400008201599</v>
      </c>
      <c r="G2193" s="15" t="n">
        <v>4.79390001296997</v>
      </c>
      <c r="H2193" s="16">
        <f>C2193+E2193</f>
        <v/>
      </c>
    </row>
    <row r="2194">
      <c r="A2194" s="12" t="n">
        <v>45204</v>
      </c>
      <c r="B2194" s="15" t="n">
        <v>1.38450002670288</v>
      </c>
      <c r="C2194" s="15" t="n">
        <v>0.580600023269653</v>
      </c>
      <c r="D2194" s="15" t="n">
        <v>2.77600002288818</v>
      </c>
      <c r="E2194" s="15" t="n">
        <v>0.0438997745513916</v>
      </c>
      <c r="F2194" s="15" t="n">
        <v>0.50220000743866</v>
      </c>
      <c r="G2194" s="15" t="n">
        <v>4.78499984741211</v>
      </c>
      <c r="H2194" s="16">
        <f>C2194+E2194</f>
        <v/>
      </c>
    </row>
    <row r="2195">
      <c r="A2195" s="12" t="n">
        <v>45205</v>
      </c>
      <c r="B2195" s="15" t="n">
        <v>1.40399998426437</v>
      </c>
      <c r="C2195" s="15" t="n">
        <v>0.595899999141693</v>
      </c>
      <c r="D2195" s="15" t="n">
        <v>2.78710007667542</v>
      </c>
      <c r="E2195" s="15" t="n">
        <v>0.0471998453140259</v>
      </c>
      <c r="F2195" s="15" t="n">
        <v>0.517400026321411</v>
      </c>
      <c r="G2195" s="15" t="n">
        <v>4.83419990539551</v>
      </c>
      <c r="H2195" s="16">
        <f>C2195+E2195</f>
        <v/>
      </c>
    </row>
    <row r="2196">
      <c r="A2196" s="12" t="n">
        <v>45209</v>
      </c>
      <c r="B2196" s="15" t="n">
        <v>1.36470001935959</v>
      </c>
      <c r="C2196" s="15" t="n">
        <v>0.554099977016449</v>
      </c>
      <c r="D2196" s="15" t="n">
        <v>2.76020002365112</v>
      </c>
      <c r="E2196" s="15" t="n">
        <v>0.0375999212265015</v>
      </c>
      <c r="F2196" s="15" t="n">
        <v>0.470899999141693</v>
      </c>
      <c r="G2196" s="15" t="n">
        <v>4.71659994125366</v>
      </c>
      <c r="H2196" s="16">
        <f>C2196+E2196</f>
        <v/>
      </c>
    </row>
    <row r="2197">
      <c r="A2197" s="12" t="n">
        <v>45210</v>
      </c>
      <c r="B2197" s="15" t="n">
        <v>1.34329998493195</v>
      </c>
      <c r="C2197" s="15" t="n">
        <v>0.521700024604797</v>
      </c>
      <c r="D2197" s="15" t="n">
        <v>2.74000000953674</v>
      </c>
      <c r="E2197" s="15" t="n">
        <v>0.0304999351501465</v>
      </c>
      <c r="F2197" s="15" t="n">
        <v>0.453099995851517</v>
      </c>
      <c r="G2197" s="15" t="n">
        <v>4.63549995422363</v>
      </c>
      <c r="H2197" s="16">
        <f>C2197+E2197</f>
        <v/>
      </c>
    </row>
    <row r="2198">
      <c r="A2198" s="12" t="n">
        <v>45211</v>
      </c>
      <c r="B2198" s="15" t="n">
        <v>1.38570004701614</v>
      </c>
      <c r="C2198" s="15" t="n">
        <v>0.569999992847443</v>
      </c>
      <c r="D2198" s="15" t="n">
        <v>2.77150011062622</v>
      </c>
      <c r="E2198" s="15" t="n">
        <v>0.0412000417709351</v>
      </c>
      <c r="F2198" s="15" t="n">
        <v>0.453799992799759</v>
      </c>
      <c r="G2198" s="15" t="n">
        <v>4.76840019226074</v>
      </c>
      <c r="H2198" s="16">
        <f>C2198+E2198</f>
        <v/>
      </c>
    </row>
    <row r="2199">
      <c r="A2199" s="12" t="n">
        <v>45212</v>
      </c>
      <c r="B2199" s="15" t="n">
        <v>1.36520004272461</v>
      </c>
      <c r="C2199" s="15" t="n">
        <v>0.54449999332428</v>
      </c>
      <c r="D2199" s="15" t="n">
        <v>2.75510001182556</v>
      </c>
      <c r="E2199" s="15" t="n">
        <v>0.0355998277664185</v>
      </c>
      <c r="F2199" s="15" t="n">
        <v>0.42509999871254</v>
      </c>
      <c r="G2199" s="15" t="n">
        <v>4.70039987564087</v>
      </c>
      <c r="H2199" s="16">
        <f>C2199+E2199</f>
        <v/>
      </c>
    </row>
    <row r="2200">
      <c r="A2200" s="12" t="n">
        <v>45215</v>
      </c>
      <c r="B2200" s="15" t="n">
        <v>1.39010000228882</v>
      </c>
      <c r="C2200" s="15" t="n">
        <v>0.5770000219345091</v>
      </c>
      <c r="D2200" s="15" t="n">
        <v>2.77530002593994</v>
      </c>
      <c r="E2200" s="15" t="n">
        <v>0.0429998636245728</v>
      </c>
      <c r="F2200" s="15" t="n">
        <v>0.424600005149841</v>
      </c>
      <c r="G2200" s="15" t="n">
        <v>4.78539991378784</v>
      </c>
      <c r="H2200" s="16">
        <f>C2200+E2200</f>
        <v/>
      </c>
    </row>
    <row r="2201">
      <c r="A2201" s="12" t="n">
        <v>45216</v>
      </c>
      <c r="B2201" s="15" t="n">
        <v>1.43180000782013</v>
      </c>
      <c r="C2201" s="15" t="n">
        <v>0.619300007820129</v>
      </c>
      <c r="D2201" s="15" t="n">
        <v>2.80229997634888</v>
      </c>
      <c r="E2201" s="15" t="n">
        <v>0.0529000759124756</v>
      </c>
      <c r="F2201" s="15" t="n">
        <v>0.432799994945526</v>
      </c>
      <c r="G2201" s="15" t="n">
        <v>4.90630006790161</v>
      </c>
      <c r="H2201" s="16">
        <f>C2201+E2201</f>
        <v/>
      </c>
    </row>
    <row r="2202">
      <c r="A2202" s="12" t="n">
        <v>45217</v>
      </c>
      <c r="B2202" s="15" t="n">
        <v>1.44609993696213</v>
      </c>
      <c r="C2202" s="15" t="n">
        <v>0.640600025653839</v>
      </c>
      <c r="D2202" s="15" t="n">
        <v>2.81380009651184</v>
      </c>
      <c r="E2202" s="15" t="n">
        <v>0.0583999156951904</v>
      </c>
      <c r="F2202" s="15" t="n">
        <v>0.437299996614456</v>
      </c>
      <c r="G2202" s="15" t="n">
        <v>4.958899974823</v>
      </c>
      <c r="H2202" s="16">
        <f>C2202+E2202</f>
        <v/>
      </c>
    </row>
    <row r="2203">
      <c r="A2203" s="12" t="n">
        <v>45218</v>
      </c>
      <c r="B2203" s="15" t="n">
        <v>1.46189999580383</v>
      </c>
      <c r="C2203" s="15" t="n">
        <v>0.675400018692017</v>
      </c>
      <c r="D2203" s="15" t="n">
        <v>2.83369994163513</v>
      </c>
      <c r="E2203" s="15" t="n">
        <v>0.0663998126983643</v>
      </c>
      <c r="F2203" s="15" t="n">
        <v>0.406399995088577</v>
      </c>
      <c r="G2203" s="15" t="n">
        <v>5.03739976882935</v>
      </c>
      <c r="H2203" s="16">
        <f>C2203+E2203</f>
        <v/>
      </c>
    </row>
    <row r="2204">
      <c r="A2204" s="12" t="n">
        <v>45219</v>
      </c>
      <c r="B2204" s="15" t="n">
        <v>1.44220006465912</v>
      </c>
      <c r="C2204" s="15" t="n">
        <v>0.665300011634827</v>
      </c>
      <c r="D2204" s="15" t="n">
        <v>2.82610011100769</v>
      </c>
      <c r="E2204" s="15" t="n">
        <v>0.0638997554779053</v>
      </c>
      <c r="F2204" s="15" t="n">
        <v>0.411199986934662</v>
      </c>
      <c r="G2204" s="15" t="n">
        <v>4.99749994277954</v>
      </c>
      <c r="H2204" s="16">
        <f>C2204+E2204</f>
        <v/>
      </c>
    </row>
    <row r="2205">
      <c r="A2205" s="12" t="n">
        <v>45222</v>
      </c>
      <c r="B2205" s="15" t="n">
        <v>1.42469996213913</v>
      </c>
      <c r="C2205" s="15" t="n">
        <v>0.638999998569489</v>
      </c>
      <c r="D2205" s="15" t="n">
        <v>2.81110000610352</v>
      </c>
      <c r="E2205" s="15" t="n">
        <v>0.0573999881744385</v>
      </c>
      <c r="F2205" s="15" t="n">
        <v>0.450399994850159</v>
      </c>
      <c r="G2205" s="15" t="n">
        <v>4.93219995498657</v>
      </c>
      <c r="H2205" s="16">
        <f>C2205+E2205</f>
        <v/>
      </c>
    </row>
    <row r="2206">
      <c r="A2206" s="12" t="n">
        <v>45223</v>
      </c>
      <c r="B2206" s="15" t="n">
        <v>1.42239999771118</v>
      </c>
      <c r="C2206" s="15" t="n">
        <v>0.628000020980835</v>
      </c>
      <c r="D2206" s="15" t="n">
        <v>2.80520009994507</v>
      </c>
      <c r="E2206" s="15" t="n">
        <v>0.0548999309539795</v>
      </c>
      <c r="F2206" s="15" t="n">
        <v>0.464599996805191</v>
      </c>
      <c r="G2206" s="15" t="n">
        <v>4.91050004959106</v>
      </c>
      <c r="H2206" s="16">
        <f>C2206+E2206</f>
        <v/>
      </c>
    </row>
    <row r="2207">
      <c r="A2207" s="12" t="n">
        <v>45224</v>
      </c>
      <c r="B2207" s="15" t="n">
        <v>1.45550006628036</v>
      </c>
      <c r="C2207" s="15" t="n">
        <v>0.669200003147125</v>
      </c>
      <c r="D2207" s="15" t="n">
        <v>2.83100008964539</v>
      </c>
      <c r="E2207" s="15" t="n">
        <v>0.06439995765686039</v>
      </c>
      <c r="F2207" s="15" t="n">
        <v>0.465000003576279</v>
      </c>
      <c r="G2207" s="15" t="n">
        <v>5.02010011672974</v>
      </c>
      <c r="H2207" s="16">
        <f>C2207+E2207</f>
        <v/>
      </c>
    </row>
    <row r="2208">
      <c r="A2208" s="12" t="n">
        <v>45225</v>
      </c>
      <c r="B2208" s="15" t="n">
        <v>1.424899995327</v>
      </c>
      <c r="C2208" s="15" t="n">
        <v>0.638999998569489</v>
      </c>
      <c r="D2208" s="15" t="n">
        <v>2.81089997291565</v>
      </c>
      <c r="E2208" s="15" t="n">
        <v>0.0576002597808838</v>
      </c>
      <c r="F2208" s="15" t="n">
        <v>0.45210000872612</v>
      </c>
      <c r="G2208" s="15" t="n">
        <v>4.93240022659302</v>
      </c>
      <c r="H2208" s="16">
        <f>C2208+E2208</f>
        <v/>
      </c>
    </row>
    <row r="2209">
      <c r="A2209" s="12" t="n">
        <v>45226</v>
      </c>
      <c r="B2209" s="15" t="n">
        <v>1.41649997234344</v>
      </c>
      <c r="C2209" s="15" t="n">
        <v>0.633000016212463</v>
      </c>
      <c r="D2209" s="15" t="n">
        <v>2.80739998817444</v>
      </c>
      <c r="E2209" s="15" t="n">
        <v>0.0558998584747314</v>
      </c>
      <c r="F2209" s="15" t="n">
        <v>0.438800007104874</v>
      </c>
      <c r="G2209" s="15" t="n">
        <v>4.91279983520508</v>
      </c>
      <c r="H2209" s="16">
        <f>C2209+E2209</f>
        <v/>
      </c>
    </row>
    <row r="2210">
      <c r="A2210" s="12" t="n">
        <v>45229</v>
      </c>
      <c r="B2210" s="15" t="n">
        <v>1.42919993400574</v>
      </c>
      <c r="C2210" s="15" t="n">
        <v>0.646399974822998</v>
      </c>
      <c r="D2210" s="15" t="n">
        <v>2.81649994850159</v>
      </c>
      <c r="E2210" s="15" t="n">
        <v>0.058800220489502</v>
      </c>
      <c r="F2210" s="15" t="n">
        <v>0.441799998283386</v>
      </c>
      <c r="G2210" s="15" t="n">
        <v>4.95090007781982</v>
      </c>
      <c r="H2210" s="16">
        <f>C2210+E2210</f>
        <v/>
      </c>
    </row>
    <row r="2211">
      <c r="A2211" s="12" t="n">
        <v>45230</v>
      </c>
      <c r="B2211" s="15" t="n">
        <v>1.43270003795624</v>
      </c>
      <c r="C2211" s="15" t="n">
        <v>0.646000027656555</v>
      </c>
      <c r="D2211" s="15" t="n">
        <v>2.81690001487732</v>
      </c>
      <c r="E2211" s="15" t="n">
        <v>0.0585997104644775</v>
      </c>
      <c r="F2211" s="15" t="n">
        <v>0.445100009441376</v>
      </c>
      <c r="G2211" s="15" t="n">
        <v>4.95419979095459</v>
      </c>
      <c r="H2211" s="16">
        <f>C2211+E2211</f>
        <v/>
      </c>
    </row>
    <row r="2212">
      <c r="A2212" s="12" t="n">
        <v>45231</v>
      </c>
      <c r="B2212" s="15" t="n">
        <v>1.38929998874664</v>
      </c>
      <c r="C2212" s="15" t="n">
        <v>0.603500008583069</v>
      </c>
      <c r="D2212" s="15" t="n">
        <v>2.78900003433228</v>
      </c>
      <c r="E2212" s="15" t="n">
        <v>0.0488998889923096</v>
      </c>
      <c r="F2212" s="15" t="n">
        <v>0.432500004768372</v>
      </c>
      <c r="G2212" s="15" t="n">
        <v>4.8306999206543</v>
      </c>
      <c r="H2212" s="16">
        <f>C2212+E2212</f>
        <v/>
      </c>
    </row>
    <row r="2213">
      <c r="A2213" s="12" t="n">
        <v>45232</v>
      </c>
      <c r="B2213" s="15" t="n">
        <v>1.36420005559921</v>
      </c>
      <c r="C2213" s="15" t="n">
        <v>0.564199984073639</v>
      </c>
      <c r="D2213" s="15" t="n">
        <v>2.76440000534058</v>
      </c>
      <c r="E2213" s="15" t="n">
        <v>0.0404000282287598</v>
      </c>
      <c r="F2213" s="15" t="n">
        <v>0.422100007534027</v>
      </c>
      <c r="G2213" s="15" t="n">
        <v>4.73320007324219</v>
      </c>
      <c r="H2213" s="16">
        <f>C2213+E2213</f>
        <v/>
      </c>
    </row>
    <row r="2214">
      <c r="A2214" s="12" t="n">
        <v>45233</v>
      </c>
      <c r="B2214" s="15" t="n">
        <v>1.31869995594025</v>
      </c>
      <c r="C2214" s="15" t="n">
        <v>0.526600003242493</v>
      </c>
      <c r="D2214" s="15" t="n">
        <v>2.73850011825562</v>
      </c>
      <c r="E2214" s="15" t="n">
        <v>0.0318000316619873</v>
      </c>
      <c r="F2214" s="15" t="n">
        <v>0.410299986600876</v>
      </c>
      <c r="G2214" s="15" t="n">
        <v>4.61560010910034</v>
      </c>
      <c r="H2214" s="16">
        <f>C2214+E2214</f>
        <v/>
      </c>
    </row>
    <row r="2215">
      <c r="A2215" s="12" t="n">
        <v>45236</v>
      </c>
      <c r="B2215" s="15" t="n">
        <v>1.35149997472763</v>
      </c>
      <c r="C2215" s="15" t="n">
        <v>0.559400022029877</v>
      </c>
      <c r="D2215" s="15" t="n">
        <v>2.7600998878479</v>
      </c>
      <c r="E2215" s="15" t="n">
        <v>0.0391999483108521</v>
      </c>
      <c r="F2215" s="15" t="n">
        <v>0.409700006246567</v>
      </c>
      <c r="G2215" s="15" t="n">
        <v>4.71019983291626</v>
      </c>
      <c r="H2215" s="16">
        <f>C2215+E2215</f>
        <v/>
      </c>
    </row>
    <row r="2216">
      <c r="A2216" s="12" t="n">
        <v>45237</v>
      </c>
      <c r="B2216" s="15" t="n">
        <v>1.32599997520447</v>
      </c>
      <c r="C2216" s="15" t="n">
        <v>0.527199983596802</v>
      </c>
      <c r="D2216" s="15" t="n">
        <v>2.73939990997314</v>
      </c>
      <c r="E2216" s="15" t="n">
        <v>0.0322003364562988</v>
      </c>
      <c r="F2216" s="15" t="n">
        <v>0.413100004196167</v>
      </c>
      <c r="G2216" s="15" t="n">
        <v>4.62480020523071</v>
      </c>
      <c r="H2216" s="16">
        <f>C2216+E2216</f>
        <v/>
      </c>
    </row>
    <row r="2217">
      <c r="A2217" s="12" t="n">
        <v>45238</v>
      </c>
      <c r="B2217" s="15" t="n">
        <v>1.31160002946854</v>
      </c>
      <c r="C2217" s="15" t="n">
        <v>0.504100024700165</v>
      </c>
      <c r="D2217" s="15" t="n">
        <v>2.72499990463257</v>
      </c>
      <c r="E2217" s="15" t="n">
        <v>0.0271000862121582</v>
      </c>
      <c r="F2217" s="15" t="n">
        <v>0.427700012922287</v>
      </c>
      <c r="G2217" s="15" t="n">
        <v>4.56780004501343</v>
      </c>
      <c r="H2217" s="16">
        <f>C2217+E2217</f>
        <v/>
      </c>
    </row>
    <row r="2218">
      <c r="A2218" s="12" t="n">
        <v>45239</v>
      </c>
      <c r="B2218" s="15" t="n">
        <v>1.35490000247955</v>
      </c>
      <c r="C2218" s="15" t="n">
        <v>0.556699991226196</v>
      </c>
      <c r="D2218" s="15" t="n">
        <v>2.75769996643066</v>
      </c>
      <c r="E2218" s="15" t="n">
        <v>0.0393000841140747</v>
      </c>
      <c r="F2218" s="15" t="n">
        <v>0.458200007677078</v>
      </c>
      <c r="G2218" s="15" t="n">
        <v>4.70860004425049</v>
      </c>
      <c r="H2218" s="16">
        <f>C2218+E2218</f>
        <v/>
      </c>
    </row>
    <row r="2219">
      <c r="A2219" s="12" t="n">
        <v>45240</v>
      </c>
      <c r="B2219" s="15" t="n">
        <v>1.35249996185303</v>
      </c>
      <c r="C2219" s="15" t="n">
        <v>0.551100015640259</v>
      </c>
      <c r="D2219" s="15" t="n">
        <v>2.75359988212585</v>
      </c>
      <c r="E2219" s="15" t="n">
        <v>0.0384001731872559</v>
      </c>
      <c r="F2219" s="15" t="n">
        <v>0.467900007963181</v>
      </c>
      <c r="G2219" s="15" t="n">
        <v>4.6956000328064</v>
      </c>
      <c r="H2219" s="16">
        <f>C2219+E2219</f>
        <v/>
      </c>
    </row>
    <row r="2220">
      <c r="A2220" s="12" t="n">
        <v>45243</v>
      </c>
      <c r="B2220" s="15" t="n">
        <v>1.35579997301102</v>
      </c>
      <c r="C2220" s="15" t="n">
        <v>0.554099977016449</v>
      </c>
      <c r="D2220" s="15" t="n">
        <v>2.75559997558594</v>
      </c>
      <c r="E2220" s="15" t="n">
        <v>0.0390999317169189</v>
      </c>
      <c r="F2220" s="15" t="n">
        <v>0.476799994707108</v>
      </c>
      <c r="G2220" s="15" t="n">
        <v>4.70459985733032</v>
      </c>
      <c r="H2220" s="16">
        <f>C2220+E2220</f>
        <v/>
      </c>
    </row>
    <row r="2221">
      <c r="A2221" s="12" t="n">
        <v>45244</v>
      </c>
      <c r="B2221" s="15" t="n">
        <v>1.27999994158745</v>
      </c>
      <c r="C2221" s="15" t="n">
        <v>0.481900006532669</v>
      </c>
      <c r="D2221" s="15" t="n">
        <v>2.70779991149902</v>
      </c>
      <c r="E2221" s="15" t="n">
        <v>0.022700309753418</v>
      </c>
      <c r="F2221" s="15" t="n">
        <v>0.462300002574921</v>
      </c>
      <c r="G2221" s="15" t="n">
        <v>4.49240016937256</v>
      </c>
      <c r="H2221" s="16">
        <f>C2221+E2221</f>
        <v/>
      </c>
    </row>
    <row r="2222">
      <c r="A2222" s="12" t="n">
        <v>45245</v>
      </c>
      <c r="B2222" s="15" t="n">
        <v>1.30790001153946</v>
      </c>
      <c r="C2222" s="15" t="n">
        <v>0.513300001621246</v>
      </c>
      <c r="D2222" s="15" t="n">
        <v>2.72779989242554</v>
      </c>
      <c r="E2222" s="15" t="n">
        <v>0.0298002958297729</v>
      </c>
      <c r="F2222" s="15" t="n">
        <v>0.477100014686584</v>
      </c>
      <c r="G2222" s="15" t="n">
        <v>4.57880020141602</v>
      </c>
      <c r="H2222" s="16">
        <f>C2222+E2222</f>
        <v/>
      </c>
    </row>
    <row r="2223">
      <c r="A2223" s="12" t="n">
        <v>45246</v>
      </c>
      <c r="B2223" s="15" t="n">
        <v>1.28149998188019</v>
      </c>
      <c r="C2223" s="15" t="n">
        <v>0.489300012588501</v>
      </c>
      <c r="D2223" s="15" t="n">
        <v>2.71160006523132</v>
      </c>
      <c r="E2223" s="15" t="n">
        <v>0.0244001150131226</v>
      </c>
      <c r="F2223" s="15" t="n">
        <v>0.47749999165535</v>
      </c>
      <c r="G2223" s="15" t="n">
        <v>4.50680017471313</v>
      </c>
      <c r="H2223" s="16">
        <f>C2223+E2223</f>
        <v/>
      </c>
    </row>
    <row r="2224">
      <c r="A2224" s="12" t="n">
        <v>45247</v>
      </c>
      <c r="B2224" s="15" t="n">
        <v>1.27910000085831</v>
      </c>
      <c r="C2224" s="15" t="n">
        <v>0.480300009250641</v>
      </c>
      <c r="D2224" s="15" t="n">
        <v>2.70619988441467</v>
      </c>
      <c r="E2224" s="15" t="n">
        <v>0.0226002931594849</v>
      </c>
      <c r="F2224" s="15" t="n">
        <v>0.470899999141693</v>
      </c>
      <c r="G2224" s="15" t="n">
        <v>4.48820018768311</v>
      </c>
      <c r="H2224" s="16">
        <f>C2224+E2224</f>
        <v/>
      </c>
    </row>
    <row r="2225">
      <c r="A2225" s="12" t="n">
        <v>45250</v>
      </c>
      <c r="B2225" s="15" t="n">
        <v>1.27550002932549</v>
      </c>
      <c r="C2225" s="15" t="n">
        <v>0.465999990701675</v>
      </c>
      <c r="D2225" s="15" t="n">
        <v>2.69860005378723</v>
      </c>
      <c r="E2225" s="15" t="n">
        <v>0.0191999673843384</v>
      </c>
      <c r="F2225" s="15" t="n">
        <v>0.451700001955032</v>
      </c>
      <c r="G2225" s="15" t="n">
        <v>4.45930004119873</v>
      </c>
      <c r="H2225" s="16">
        <f>C2225+E2225</f>
        <v/>
      </c>
    </row>
    <row r="2226">
      <c r="A2226" s="12" t="n">
        <v>45251</v>
      </c>
      <c r="B2226" s="15" t="n">
        <v>1.27390003204346</v>
      </c>
      <c r="C2226" s="15" t="n">
        <v>0.466300010681152</v>
      </c>
      <c r="D2226" s="15" t="n">
        <v>2.69910001754761</v>
      </c>
      <c r="E2226" s="15" t="n">
        <v>0.0190000534057617</v>
      </c>
      <c r="F2226" s="15" t="n">
        <v>0.490399986505508</v>
      </c>
      <c r="G2226" s="15" t="n">
        <v>4.45830011367798</v>
      </c>
      <c r="H2226" s="16">
        <f>C2226+E2226</f>
        <v/>
      </c>
    </row>
    <row r="2227">
      <c r="A2227" s="12" t="n">
        <v>45252</v>
      </c>
      <c r="B2227" s="15" t="n">
        <v>1.27709996700287</v>
      </c>
      <c r="C2227" s="15" t="n">
        <v>0.467599987983704</v>
      </c>
      <c r="D2227" s="15" t="n">
        <v>2.70009994506836</v>
      </c>
      <c r="E2227" s="15" t="n">
        <v>0.0194001197814941</v>
      </c>
      <c r="F2227" s="15" t="n">
        <v>0.487100005149841</v>
      </c>
      <c r="G2227" s="15" t="n">
        <v>4.46420001983643</v>
      </c>
      <c r="H2227" s="16">
        <f>C2227+E2227</f>
        <v/>
      </c>
    </row>
    <row r="2228">
      <c r="A2228" s="12" t="n">
        <v>45254</v>
      </c>
      <c r="B2228" s="15" t="n">
        <v>1.302600055933</v>
      </c>
      <c r="C2228" s="15" t="n">
        <v>0.49439999461174</v>
      </c>
      <c r="D2228" s="15" t="n">
        <v>2.71830010414124</v>
      </c>
      <c r="E2228" s="15" t="n">
        <v>0.0252000093460083</v>
      </c>
      <c r="F2228" s="15" t="n">
        <v>0.490000009536743</v>
      </c>
      <c r="G2228" s="15" t="n">
        <v>4.54050016403198</v>
      </c>
      <c r="H2228" s="16">
        <f>C2228+E2228</f>
        <v/>
      </c>
    </row>
    <row r="2229">
      <c r="A2229" s="12" t="n">
        <v>45257</v>
      </c>
      <c r="B2229" s="15" t="n">
        <v>1.27380001544952</v>
      </c>
      <c r="C2229" s="15" t="n">
        <v>0.460500001907349</v>
      </c>
      <c r="D2229" s="15" t="n">
        <v>2.69679999351501</v>
      </c>
      <c r="E2229" s="15" t="n">
        <v>0.0174998044967651</v>
      </c>
      <c r="F2229" s="15" t="n">
        <v>0.520099997520447</v>
      </c>
      <c r="G2229" s="15" t="n">
        <v>4.44859981536865</v>
      </c>
      <c r="H2229" s="16">
        <f>C2229+E2229</f>
        <v/>
      </c>
    </row>
    <row r="2230">
      <c r="A2230" s="12" t="n">
        <v>45258</v>
      </c>
      <c r="B2230" s="15" t="n">
        <v>1.24940001964569</v>
      </c>
      <c r="C2230" s="15" t="n">
        <v>0.444700002670288</v>
      </c>
      <c r="D2230" s="15" t="n">
        <v>2.68580007553101</v>
      </c>
      <c r="E2230" s="15" t="n">
        <v>0.0135000944137573</v>
      </c>
      <c r="F2230" s="15" t="n">
        <v>0.49329999089241</v>
      </c>
      <c r="G2230" s="15" t="n">
        <v>4.39340019226074</v>
      </c>
      <c r="H2230" s="16">
        <f>C2230+E2230</f>
        <v/>
      </c>
    </row>
    <row r="2231">
      <c r="A2231" s="12" t="n">
        <v>45259</v>
      </c>
      <c r="B2231" s="15" t="n">
        <v>1.22450003027916</v>
      </c>
      <c r="C2231" s="15" t="n">
        <v>0.425900012254715</v>
      </c>
      <c r="D2231" s="15" t="n">
        <v>2.67289996147156</v>
      </c>
      <c r="E2231" s="15" t="n">
        <v>0.00909984111785889</v>
      </c>
      <c r="F2231" s="15" t="n">
        <v>0.483900010585785</v>
      </c>
      <c r="G2231" s="15" t="n">
        <v>4.33239984512329</v>
      </c>
      <c r="H2231" s="16">
        <f>C2231+E2231</f>
        <v/>
      </c>
    </row>
    <row r="2232">
      <c r="A2232" s="12" t="n">
        <v>45260</v>
      </c>
      <c r="B2232" s="15" t="n">
        <v>1.25350004434586</v>
      </c>
      <c r="C2232" s="15" t="n">
        <v>0.462300002574921</v>
      </c>
      <c r="D2232" s="15" t="n">
        <v>2.69580006599426</v>
      </c>
      <c r="E2232" s="15" t="n">
        <v>0.017399787902832</v>
      </c>
      <c r="F2232" s="15" t="n">
        <v>0.495000004768372</v>
      </c>
      <c r="G2232" s="15" t="n">
        <v>4.42899990081787</v>
      </c>
      <c r="H2232" s="16">
        <f>C2232+E2232</f>
        <v/>
      </c>
    </row>
    <row r="2233">
      <c r="A2233" s="12" t="n">
        <v>45261</v>
      </c>
      <c r="B2233" s="15" t="n">
        <v>1.19869995117188</v>
      </c>
      <c r="C2233" s="15" t="n">
        <v>0.412299990653992</v>
      </c>
      <c r="D2233" s="15" t="n">
        <v>2.66199994087219</v>
      </c>
      <c r="E2233" s="15" t="n">
        <v>0.00610005855560303</v>
      </c>
      <c r="F2233" s="15" t="n">
        <v>0.473399996757507</v>
      </c>
      <c r="G2233" s="15" t="n">
        <v>4.27909994125366</v>
      </c>
      <c r="H2233" s="16">
        <f>C2233+E2233</f>
        <v/>
      </c>
    </row>
    <row r="2234">
      <c r="A2234" s="12" t="n">
        <v>45264</v>
      </c>
      <c r="B2234" s="15" t="n">
        <v>1.22660002112389</v>
      </c>
      <c r="C2234" s="15" t="n">
        <v>0.432300001382828</v>
      </c>
      <c r="D2234" s="15" t="n">
        <v>2.67709994316101</v>
      </c>
      <c r="E2234" s="15" t="n">
        <v>0.0103998184204102</v>
      </c>
      <c r="F2234" s="15" t="n">
        <v>0.494599997997284</v>
      </c>
      <c r="G2234" s="15" t="n">
        <v>4.34639978408813</v>
      </c>
      <c r="H2234" s="16">
        <f>C2234+E2234</f>
        <v/>
      </c>
    </row>
    <row r="2235">
      <c r="A2235" s="12" t="n">
        <v>45265</v>
      </c>
      <c r="B2235" s="15" t="n">
        <v>1.19229999184608</v>
      </c>
      <c r="C2235" s="15" t="n">
        <v>0.393900007009506</v>
      </c>
      <c r="D2235" s="15" t="n">
        <v>2.65190005302429</v>
      </c>
      <c r="E2235" s="15" t="n">
        <v>0.00189971923828125</v>
      </c>
      <c r="F2235" s="15" t="n">
        <v>0.498800009489059</v>
      </c>
      <c r="G2235" s="15" t="n">
        <v>4.23999977111816</v>
      </c>
      <c r="H2235" s="16">
        <f>C2235+E2235</f>
        <v/>
      </c>
    </row>
    <row r="2236">
      <c r="A2236" s="12" t="n">
        <v>45266</v>
      </c>
      <c r="B2236" s="15" t="n">
        <v>1.17689996957779</v>
      </c>
      <c r="C2236" s="15" t="n">
        <v>0.366100013256073</v>
      </c>
      <c r="D2236" s="15" t="n">
        <v>2.63520002365112</v>
      </c>
      <c r="E2236" s="15" t="n">
        <v>-0.00440001487731934</v>
      </c>
      <c r="F2236" s="15" t="n">
        <v>0.516099989414215</v>
      </c>
      <c r="G2236" s="15" t="n">
        <v>4.17379999160767</v>
      </c>
      <c r="H2236" s="16">
        <f>C2236+E2236</f>
        <v/>
      </c>
    </row>
    <row r="2237">
      <c r="A2237" s="12" t="n">
        <v>45267</v>
      </c>
      <c r="B2237" s="15" t="n">
        <v>1.17379999160767</v>
      </c>
      <c r="C2237" s="15" t="n">
        <v>0.369199991226196</v>
      </c>
      <c r="D2237" s="15" t="n">
        <v>2.6356999874115</v>
      </c>
      <c r="E2237" s="15" t="n">
        <v>-0.00339984893798828</v>
      </c>
      <c r="F2237" s="15" t="n">
        <v>0.506600022315979</v>
      </c>
      <c r="G2237" s="15" t="n">
        <v>4.17530012130737</v>
      </c>
      <c r="H2237" s="16">
        <f>C2237+E2237</f>
        <v/>
      </c>
    </row>
    <row r="2238">
      <c r="A2238" s="12" t="n">
        <v>45268</v>
      </c>
      <c r="B2238" s="15" t="n">
        <v>1.20800000429153</v>
      </c>
      <c r="C2238" s="15" t="n">
        <v>0.398400008678436</v>
      </c>
      <c r="D2238" s="15" t="n">
        <v>2.65499997138977</v>
      </c>
      <c r="E2238" s="15" t="n">
        <v>0.00350022315979004</v>
      </c>
      <c r="F2238" s="15" t="n">
        <v>0.499300003051758</v>
      </c>
      <c r="G2238" s="15" t="n">
        <v>4.26490020751953</v>
      </c>
      <c r="H2238" s="16">
        <f>C2238+E2238</f>
        <v/>
      </c>
    </row>
    <row r="2239">
      <c r="A2239" s="12" t="n">
        <v>45271</v>
      </c>
      <c r="B2239" s="15" t="n">
        <v>1.21159994602203</v>
      </c>
      <c r="C2239" s="15" t="n">
        <v>0.400200009346008</v>
      </c>
      <c r="D2239" s="15" t="n">
        <v>2.65619993209839</v>
      </c>
      <c r="E2239" s="15" t="n">
        <v>0.00399994850158691</v>
      </c>
      <c r="F2239" s="15" t="n">
        <v>0.507000029087067</v>
      </c>
      <c r="G2239" s="15" t="n">
        <v>4.27199983596802</v>
      </c>
      <c r="H2239" s="16">
        <f>C2239+E2239</f>
        <v/>
      </c>
    </row>
    <row r="2240">
      <c r="A2240" s="12" t="n">
        <v>45272</v>
      </c>
      <c r="B2240" s="15" t="n">
        <v>1.20270004868507</v>
      </c>
      <c r="C2240" s="15" t="n">
        <v>0.384499996900558</v>
      </c>
      <c r="D2240" s="15" t="n">
        <v>2.64689993858337</v>
      </c>
      <c r="E2240" s="15" t="n">
        <v>0.000500082969665527</v>
      </c>
      <c r="F2240" s="15" t="n">
        <v>0.527100026607513</v>
      </c>
      <c r="G2240" s="15" t="n">
        <v>4.23460006713867</v>
      </c>
      <c r="H2240" s="16">
        <f>C2240+E2240</f>
        <v/>
      </c>
    </row>
    <row r="2241">
      <c r="A2241" s="12" t="n">
        <v>45273</v>
      </c>
      <c r="B2241" s="15" t="n">
        <v>1.13519996404648</v>
      </c>
      <c r="C2241" s="15" t="n">
        <v>0.330900013446808</v>
      </c>
      <c r="D2241" s="15" t="n">
        <v>2.60960006713867</v>
      </c>
      <c r="E2241" s="15" t="n">
        <v>-0.0116002559661865</v>
      </c>
      <c r="F2241" s="15" t="n">
        <v>0.472900003194809</v>
      </c>
      <c r="G2241" s="15" t="n">
        <v>4.06409978866577</v>
      </c>
      <c r="H2241" s="16">
        <f>C2241+E2241</f>
        <v/>
      </c>
    </row>
    <row r="2242">
      <c r="A2242" s="12" t="n">
        <v>45274</v>
      </c>
      <c r="B2242" s="15" t="n">
        <v>1.09500005841255</v>
      </c>
      <c r="C2242" s="15" t="n">
        <v>0.286799997091293</v>
      </c>
      <c r="D2242" s="15" t="n">
        <v>2.58150005340576</v>
      </c>
      <c r="E2242" s="15" t="n">
        <v>-0.02180016040802</v>
      </c>
      <c r="F2242" s="15" t="n">
        <v>0.390799999237061</v>
      </c>
      <c r="G2242" s="15" t="n">
        <v>3.94149994850159</v>
      </c>
      <c r="H2242" s="16">
        <f>C2242+E2242</f>
        <v/>
      </c>
    </row>
    <row r="2243">
      <c r="A2243" s="12" t="n">
        <v>45275</v>
      </c>
      <c r="B2243" s="15" t="n">
        <v>1.09940001368523</v>
      </c>
      <c r="C2243" s="15" t="n">
        <v>0.281399995088577</v>
      </c>
      <c r="D2243" s="15" t="n">
        <v>2.58010005950928</v>
      </c>
      <c r="E2243" s="15" t="n">
        <v>-0.0233001708984375</v>
      </c>
      <c r="F2243" s="15" t="n">
        <v>0.392500013113022</v>
      </c>
      <c r="G2243" s="15" t="n">
        <v>3.93759989738464</v>
      </c>
      <c r="H2243" s="16">
        <f>C2243+E2243</f>
        <v/>
      </c>
    </row>
    <row r="2244">
      <c r="A2244" s="12" t="n">
        <v>45278</v>
      </c>
      <c r="B2244" s="15" t="n">
        <v>1.11250001192093</v>
      </c>
      <c r="C2244" s="15" t="n">
        <v>0.294900000095367</v>
      </c>
      <c r="D2244" s="15" t="n">
        <v>2.58929991722107</v>
      </c>
      <c r="E2244" s="15" t="n">
        <v>-0.0204998254776001</v>
      </c>
      <c r="F2244" s="15" t="n">
        <v>0.402300000190735</v>
      </c>
      <c r="G2244" s="15" t="n">
        <v>3.97620010375977</v>
      </c>
      <c r="H2244" s="16">
        <f>C2244+E2244</f>
        <v/>
      </c>
    </row>
    <row r="2245">
      <c r="A2245" s="12" t="n">
        <v>45279</v>
      </c>
      <c r="B2245" s="15" t="n">
        <v>1.1089999973774</v>
      </c>
      <c r="C2245" s="15" t="n">
        <v>0.293199986219406</v>
      </c>
      <c r="D2245" s="15" t="n">
        <v>2.58789992332458</v>
      </c>
      <c r="E2245" s="15" t="n">
        <v>-0.0207998752593994</v>
      </c>
      <c r="F2245" s="15" t="n">
        <v>0.403299987316132</v>
      </c>
      <c r="G2245" s="15" t="n">
        <v>3.96930003166199</v>
      </c>
      <c r="H2245" s="16">
        <f>C2245+E2245</f>
        <v/>
      </c>
    </row>
    <row r="2246">
      <c r="A2246" s="12" t="n">
        <v>45280</v>
      </c>
      <c r="B2246" s="15" t="n">
        <v>1.08480003476143</v>
      </c>
      <c r="C2246" s="15" t="n">
        <v>0.268099993467331</v>
      </c>
      <c r="D2246" s="15" t="n">
        <v>2.57170009613037</v>
      </c>
      <c r="E2246" s="15" t="n">
        <v>-0.0266001224517822</v>
      </c>
      <c r="F2246" s="15" t="n">
        <v>0.392899990081787</v>
      </c>
      <c r="G2246" s="15" t="n">
        <v>3.89800000190735</v>
      </c>
      <c r="H2246" s="16">
        <f>C2246+E2246</f>
        <v/>
      </c>
    </row>
    <row r="2247">
      <c r="A2247" s="12" t="n">
        <v>45281</v>
      </c>
      <c r="B2247" s="15" t="n">
        <v>1.08980000019073</v>
      </c>
      <c r="C2247" s="15" t="n">
        <v>0.281599998474121</v>
      </c>
      <c r="D2247" s="15" t="n">
        <v>2.57929992675781</v>
      </c>
      <c r="E2247" s="15" t="n">
        <v>-0.0234998464584351</v>
      </c>
      <c r="F2247" s="15" t="n">
        <v>0.400999993085861</v>
      </c>
      <c r="G2247" s="15" t="n">
        <v>3.92720007896423</v>
      </c>
      <c r="H2247" s="16">
        <f>C2247+E2247</f>
        <v/>
      </c>
    </row>
    <row r="2248">
      <c r="A2248" s="12" t="n">
        <v>45282</v>
      </c>
      <c r="B2248" s="15" t="n">
        <v>1.09239995479584</v>
      </c>
      <c r="C2248" s="15" t="n">
        <v>0.28659999370575</v>
      </c>
      <c r="D2248" s="15" t="n">
        <v>2.58279991149902</v>
      </c>
      <c r="E2248" s="15" t="n">
        <v>-0.0225999355316162</v>
      </c>
      <c r="F2248" s="15" t="n">
        <v>0.405900001525879</v>
      </c>
      <c r="G2248" s="15" t="n">
        <v>3.93919992446899</v>
      </c>
      <c r="H2248" s="16">
        <f>C2248+E2248</f>
        <v/>
      </c>
    </row>
    <row r="2249">
      <c r="A2249" s="12" t="n">
        <v>45286</v>
      </c>
      <c r="B2249" s="15" t="n">
        <v>1.08820003271103</v>
      </c>
      <c r="C2249" s="15" t="n">
        <v>0.288399994373322</v>
      </c>
      <c r="D2249" s="15" t="n">
        <v>2.58209991455078</v>
      </c>
      <c r="E2249" s="15" t="n">
        <v>-0.0216999053955078</v>
      </c>
      <c r="F2249" s="15" t="n">
        <v>0.410299986600876</v>
      </c>
      <c r="G2249" s="15" t="n">
        <v>3.93700003623962</v>
      </c>
      <c r="H2249" s="16">
        <f>C2249+E2249</f>
        <v/>
      </c>
    </row>
    <row r="2250">
      <c r="A2250" s="12" t="n">
        <v>45287</v>
      </c>
      <c r="B2250" s="15" t="n">
        <v>1.05209998786449</v>
      </c>
      <c r="C2250" s="15" t="n">
        <v>0.244499996304512</v>
      </c>
      <c r="D2250" s="15" t="n">
        <v>2.55390000343323</v>
      </c>
      <c r="E2250" s="15" t="n">
        <v>-0.0315998792648315</v>
      </c>
      <c r="F2250" s="15" t="n">
        <v>0.41100001335144</v>
      </c>
      <c r="G2250" s="15" t="n">
        <v>3.8189001083374</v>
      </c>
      <c r="H2250" s="16">
        <f>C2250+E2250</f>
        <v/>
      </c>
    </row>
    <row r="2251">
      <c r="A2251" s="12" t="n">
        <v>45288</v>
      </c>
      <c r="B2251" s="15" t="n">
        <v>1.0667000412941</v>
      </c>
      <c r="C2251" s="15" t="n">
        <v>0.258199989795685</v>
      </c>
      <c r="D2251" s="15" t="n">
        <v>2.56299996376038</v>
      </c>
      <c r="E2251" s="15" t="n">
        <v>-0.028499960899353</v>
      </c>
      <c r="F2251" s="15" t="n">
        <v>0.426699995994568</v>
      </c>
      <c r="G2251" s="15" t="n">
        <v>3.85940003395081</v>
      </c>
      <c r="H2251" s="16">
        <f>C2251+E2251</f>
        <v/>
      </c>
    </row>
    <row r="2252">
      <c r="A2252" s="12" t="n">
        <v>45289</v>
      </c>
      <c r="B2252" s="15" t="n">
        <v>1.07460007071495</v>
      </c>
      <c r="C2252" s="15" t="n">
        <v>0.279199987649918</v>
      </c>
      <c r="D2252" s="15" t="n">
        <v>2.57489991188049</v>
      </c>
      <c r="E2252" s="15" t="n">
        <v>-0.0235998630523682</v>
      </c>
      <c r="F2252" s="15" t="n">
        <v>0.432300001382828</v>
      </c>
      <c r="G2252" s="15" t="n">
        <v>3.90510010719299</v>
      </c>
      <c r="H2252" s="16">
        <f>C2252+E2252</f>
        <v/>
      </c>
    </row>
    <row r="2253">
      <c r="A2253" s="12" t="n">
        <v>45293</v>
      </c>
      <c r="B2253" s="15" t="n">
        <v>1.09490007162094</v>
      </c>
      <c r="C2253" s="15" t="n">
        <v>0.301999986171722</v>
      </c>
      <c r="D2253" s="15" t="n">
        <v>2.58890008926392</v>
      </c>
      <c r="E2253" s="15" t="n">
        <v>-0.0182000398635864</v>
      </c>
      <c r="F2253" s="15" t="n">
        <v>0.418199986219406</v>
      </c>
      <c r="G2253" s="15" t="n">
        <v>3.96760010719299</v>
      </c>
      <c r="H2253" s="16">
        <f>C2253+E2253</f>
        <v/>
      </c>
    </row>
    <row r="2254">
      <c r="A2254" s="12" t="n">
        <v>45294</v>
      </c>
      <c r="B2254" s="15" t="n">
        <v>1.08740001916885</v>
      </c>
      <c r="C2254" s="15" t="n">
        <v>0.288500010967255</v>
      </c>
      <c r="D2254" s="15" t="n">
        <v>2.58119988441467</v>
      </c>
      <c r="E2254" s="15" t="n">
        <v>-0.021399974822998</v>
      </c>
      <c r="F2254" s="15" t="n">
        <v>0.407599985599518</v>
      </c>
      <c r="G2254" s="15" t="n">
        <v>3.93569993972778</v>
      </c>
      <c r="H2254" s="16">
        <f>C2254+E2254</f>
        <v/>
      </c>
    </row>
    <row r="2255">
      <c r="A2255" s="12" t="n">
        <v>45295</v>
      </c>
      <c r="B2255" s="15" t="n">
        <v>1.11230000853539</v>
      </c>
      <c r="C2255" s="15" t="n">
        <v>0.318699985742569</v>
      </c>
      <c r="D2255" s="15" t="n">
        <v>2.60019993782043</v>
      </c>
      <c r="E2255" s="15" t="n">
        <v>-0.0145001411437988</v>
      </c>
      <c r="F2255" s="15" t="n">
        <v>0.419099986553192</v>
      </c>
      <c r="G2255" s="15" t="n">
        <v>4.01669979095459</v>
      </c>
      <c r="H2255" s="16">
        <f>C2255+E2255</f>
        <v/>
      </c>
    </row>
    <row r="2256">
      <c r="A2256" s="12" t="n">
        <v>45296</v>
      </c>
      <c r="B2256" s="15" t="n">
        <v>1.12810003757477</v>
      </c>
      <c r="C2256" s="15" t="n">
        <v>0.343400001525879</v>
      </c>
      <c r="D2256" s="15" t="n">
        <v>2.61470007896423</v>
      </c>
      <c r="E2256" s="15" t="n">
        <v>-0.00870025157928467</v>
      </c>
      <c r="F2256" s="15" t="n">
        <v>0.431300014257431</v>
      </c>
      <c r="G2256" s="15" t="n">
        <v>4.0774998664856</v>
      </c>
      <c r="H2256" s="16">
        <f>C2256+E2256</f>
        <v/>
      </c>
    </row>
    <row r="2257">
      <c r="A2257" s="12" t="n">
        <v>45299</v>
      </c>
      <c r="B2257" s="15" t="n">
        <v>1.11249998211861</v>
      </c>
      <c r="C2257" s="15" t="n">
        <v>0.329199999570847</v>
      </c>
      <c r="D2257" s="15" t="n">
        <v>2.60509991645813</v>
      </c>
      <c r="E2257" s="15" t="n">
        <v>-0.0118997097015381</v>
      </c>
      <c r="F2257" s="15" t="n">
        <v>0.420700013637543</v>
      </c>
      <c r="G2257" s="15" t="n">
        <v>4.03490018844604</v>
      </c>
      <c r="H2257" s="16">
        <f>C2257+E2257</f>
        <v/>
      </c>
    </row>
    <row r="2258">
      <c r="A2258" s="12" t="n">
        <v>45300</v>
      </c>
      <c r="B2258" s="15" t="n">
        <v>1.11369997262955</v>
      </c>
      <c r="C2258" s="15" t="n">
        <v>0.330799996852875</v>
      </c>
      <c r="D2258" s="15" t="n">
        <v>2.60610008239746</v>
      </c>
      <c r="E2258" s="15" t="n">
        <v>-0.0116000175476074</v>
      </c>
      <c r="F2258" s="15" t="n">
        <v>0.428099989891052</v>
      </c>
      <c r="G2258" s="15" t="n">
        <v>4.03900003433228</v>
      </c>
      <c r="H2258" s="16">
        <f>C2258+E2258</f>
        <v/>
      </c>
    </row>
    <row r="2259">
      <c r="A2259" s="12" t="n">
        <v>45301</v>
      </c>
      <c r="B2259" s="15" t="n">
        <v>1.11899998784065</v>
      </c>
      <c r="C2259" s="15" t="n">
        <v>0.338499993085861</v>
      </c>
      <c r="D2259" s="15" t="n">
        <v>2.61089992523193</v>
      </c>
      <c r="E2259" s="15" t="n">
        <v>-0.00990009307861328</v>
      </c>
      <c r="F2259" s="15" t="n">
        <v>0.43639999628067</v>
      </c>
      <c r="G2259" s="15" t="n">
        <v>4.05849981307983</v>
      </c>
      <c r="H2259" s="16">
        <f>C2259+E2259</f>
        <v/>
      </c>
    </row>
    <row r="2260">
      <c r="A2260" s="12" t="n">
        <v>45302</v>
      </c>
      <c r="B2260" s="15" t="n">
        <v>1.09750002622604</v>
      </c>
      <c r="C2260" s="15" t="n">
        <v>0.3192999958992</v>
      </c>
      <c r="D2260" s="15" t="n">
        <v>2.59850001335144</v>
      </c>
      <c r="E2260" s="15" t="n">
        <v>-0.0144999027252197</v>
      </c>
      <c r="F2260" s="15" t="n">
        <v>0.410199999809265</v>
      </c>
      <c r="G2260" s="15" t="n">
        <v>4.00080013275146</v>
      </c>
      <c r="H2260" s="16">
        <f>C2260+E2260</f>
        <v/>
      </c>
    </row>
    <row r="2261">
      <c r="A2261" s="12" t="n">
        <v>45303</v>
      </c>
      <c r="B2261" s="15" t="n">
        <v>1.07640001177788</v>
      </c>
      <c r="C2261" s="15" t="n">
        <v>0.315200001001358</v>
      </c>
      <c r="D2261" s="15" t="n">
        <v>2.59319996833801</v>
      </c>
      <c r="E2261" s="15" t="n">
        <v>-0.0154000520706177</v>
      </c>
      <c r="F2261" s="15" t="n">
        <v>0.372200012207031</v>
      </c>
      <c r="G2261" s="15" t="n">
        <v>3.96939992904663</v>
      </c>
      <c r="H2261" s="16">
        <f>C2261+E2261</f>
        <v/>
      </c>
    </row>
    <row r="2262">
      <c r="A2262" s="12" t="n">
        <v>45307</v>
      </c>
      <c r="B2262" s="15" t="n">
        <v>1.11409994959831</v>
      </c>
      <c r="C2262" s="15" t="n">
        <v>0.363299995660782</v>
      </c>
      <c r="D2262" s="15" t="n">
        <v>2.62360000610352</v>
      </c>
      <c r="E2262" s="15" t="n">
        <v>-0.00450003147125244</v>
      </c>
      <c r="F2262" s="15" t="n">
        <v>0.375699996948242</v>
      </c>
      <c r="G2262" s="15" t="n">
        <v>4.09649991989136</v>
      </c>
      <c r="H2262" s="16">
        <f>C2262+E2262</f>
        <v/>
      </c>
    </row>
    <row r="2263">
      <c r="A2263" s="12" t="n">
        <v>45308</v>
      </c>
      <c r="B2263" s="15" t="n">
        <v>1.13390004634857</v>
      </c>
      <c r="C2263" s="15" t="n">
        <v>0.375</v>
      </c>
      <c r="D2263" s="15" t="n">
        <v>2.63220000267029</v>
      </c>
      <c r="E2263" s="15" t="n">
        <v>-0.00180017948150635</v>
      </c>
      <c r="F2263" s="15" t="n">
        <v>0.378899991512299</v>
      </c>
      <c r="G2263" s="15" t="n">
        <v>4.13929986953735</v>
      </c>
      <c r="H2263" s="16">
        <f>C2263+E2263</f>
        <v/>
      </c>
    </row>
    <row r="2264">
      <c r="A2264" s="12" t="n">
        <v>45309</v>
      </c>
      <c r="B2264" s="15" t="n">
        <v>1.14230000972748</v>
      </c>
      <c r="C2264" s="15" t="n">
        <v>0.385800004005432</v>
      </c>
      <c r="D2264" s="15" t="n">
        <v>2.63870000839233</v>
      </c>
      <c r="E2264" s="15" t="n">
        <v>0.000800132751464844</v>
      </c>
      <c r="F2264" s="15" t="n">
        <v>0.351500004529953</v>
      </c>
      <c r="G2264" s="15" t="n">
        <v>4.16760015487671</v>
      </c>
      <c r="H2264" s="16">
        <f>C2264+E2264</f>
        <v/>
      </c>
    </row>
    <row r="2265">
      <c r="A2265" s="12" t="n">
        <v>45310</v>
      </c>
      <c r="B2265" s="15" t="n">
        <v>1.14989995956421</v>
      </c>
      <c r="C2265" s="15" t="n">
        <v>0.389999985694885</v>
      </c>
      <c r="D2265" s="15" t="n">
        <v>2.64159989356995</v>
      </c>
      <c r="E2265" s="15" t="n">
        <v>0.00199997425079346</v>
      </c>
      <c r="F2265" s="15" t="n">
        <v>0.346399992704391</v>
      </c>
      <c r="G2265" s="15" t="n">
        <v>4.18349981307983</v>
      </c>
      <c r="H2265" s="16">
        <f>C2265+E2265</f>
        <v/>
      </c>
    </row>
    <row r="2266">
      <c r="A2266" s="12" t="n">
        <v>45313</v>
      </c>
      <c r="B2266" s="15" t="n">
        <v>1.13510000705719</v>
      </c>
      <c r="C2266" s="15" t="n">
        <v>0.371399998664856</v>
      </c>
      <c r="D2266" s="15" t="n">
        <v>2.63000011444092</v>
      </c>
      <c r="E2266" s="15" t="n">
        <v>-0.00240015983581543</v>
      </c>
      <c r="F2266" s="15" t="n">
        <v>0.35699999332428</v>
      </c>
      <c r="G2266" s="15" t="n">
        <v>4.13409996032715</v>
      </c>
      <c r="H2266" s="16">
        <f>C2266+E2266</f>
        <v/>
      </c>
    </row>
    <row r="2267">
      <c r="A2267" s="12" t="n">
        <v>45314</v>
      </c>
      <c r="B2267" s="15" t="n">
        <v>1.14589995145798</v>
      </c>
      <c r="C2267" s="15" t="n">
        <v>0.386900007724762</v>
      </c>
      <c r="D2267" s="15" t="n">
        <v>2.63969993591309</v>
      </c>
      <c r="E2267" s="15" t="n">
        <v>0.00100016593933105</v>
      </c>
      <c r="F2267" s="15" t="n">
        <v>0.375900000333786</v>
      </c>
      <c r="G2267" s="15" t="n">
        <v>4.17350006103516</v>
      </c>
      <c r="H2267" s="16">
        <f>C2267+E2267</f>
        <v/>
      </c>
    </row>
    <row r="2268">
      <c r="A2268" s="12" t="n">
        <v>45315</v>
      </c>
      <c r="B2268" s="15" t="n">
        <v>1.15910002589226</v>
      </c>
      <c r="C2268" s="15" t="n">
        <v>0.401399999856949</v>
      </c>
      <c r="D2268" s="15" t="n">
        <v>2.64910006523132</v>
      </c>
      <c r="E2268" s="15" t="n">
        <v>0.00440013408660889</v>
      </c>
      <c r="F2268" s="15" t="n">
        <v>0.375499993562698</v>
      </c>
      <c r="G2268" s="15" t="n">
        <v>4.21400022506714</v>
      </c>
      <c r="H2268" s="16">
        <f>C2268+E2268</f>
        <v/>
      </c>
    </row>
    <row r="2269">
      <c r="A2269" s="12" t="n">
        <v>45316</v>
      </c>
      <c r="B2269" s="15" t="n">
        <v>1.13969999551773</v>
      </c>
      <c r="C2269" s="15" t="n">
        <v>0.389800012111664</v>
      </c>
      <c r="D2269" s="15" t="n">
        <v>2.63989996910095</v>
      </c>
      <c r="E2269" s="15" t="n">
        <v>0.00200009346008301</v>
      </c>
      <c r="F2269" s="15" t="n">
        <v>0.3682000041008</v>
      </c>
      <c r="G2269" s="15" t="n">
        <v>4.17140007019043</v>
      </c>
      <c r="H2269" s="16">
        <f>C2269+E2269</f>
        <v/>
      </c>
    </row>
    <row r="2270">
      <c r="A2270" s="12" t="n">
        <v>45317</v>
      </c>
      <c r="B2270" s="15" t="n">
        <v>1.14740002155304</v>
      </c>
      <c r="C2270" s="15" t="n">
        <v>0.395900011062622</v>
      </c>
      <c r="D2270" s="15" t="n">
        <v>2.64409995079041</v>
      </c>
      <c r="E2270" s="15" t="n">
        <v>0.00330007076263428</v>
      </c>
      <c r="F2270" s="15" t="n">
        <v>0.36370000243187</v>
      </c>
      <c r="G2270" s="15" t="n">
        <v>4.1907000541687</v>
      </c>
      <c r="H2270" s="16">
        <f>C2270+E2270</f>
        <v/>
      </c>
    </row>
    <row r="2271">
      <c r="A2271" s="12" t="n">
        <v>45320</v>
      </c>
      <c r="B2271" s="15" t="n">
        <v>1.11849999427795</v>
      </c>
      <c r="C2271" s="15" t="n">
        <v>0.364300012588501</v>
      </c>
      <c r="D2271" s="15" t="n">
        <v>2.62339997291565</v>
      </c>
      <c r="E2271" s="15" t="n">
        <v>-0.00359988212585449</v>
      </c>
      <c r="F2271" s="15" t="n">
        <v>0.347900003194809</v>
      </c>
      <c r="G2271" s="15" t="n">
        <v>4.10260009765625</v>
      </c>
      <c r="H2271" s="16">
        <f>C2271+E2271</f>
        <v/>
      </c>
    </row>
    <row r="2272">
      <c r="A2272" s="12" t="n">
        <v>45321</v>
      </c>
      <c r="B2272" s="15" t="n">
        <v>1.12280002236366</v>
      </c>
      <c r="C2272" s="15" t="n">
        <v>0.360100001096725</v>
      </c>
      <c r="D2272" s="15" t="n">
        <v>2.62190008163452</v>
      </c>
      <c r="E2272" s="15" t="n">
        <v>-0.00470006465911865</v>
      </c>
      <c r="F2272" s="15" t="n">
        <v>0.358399987220764</v>
      </c>
      <c r="G2272" s="15" t="n">
        <v>4.10010004043579</v>
      </c>
      <c r="H2272" s="16">
        <f>C2272+E2272</f>
        <v/>
      </c>
    </row>
    <row r="2273">
      <c r="A2273" s="12" t="n">
        <v>45322</v>
      </c>
      <c r="B2273" s="15" t="n">
        <v>1.09519997239113</v>
      </c>
      <c r="C2273" s="15" t="n">
        <v>0.326999992132187</v>
      </c>
      <c r="D2273" s="15" t="n">
        <v>2.60130000114441</v>
      </c>
      <c r="E2273" s="15" t="n">
        <v>-0.0123000144958496</v>
      </c>
      <c r="F2273" s="15" t="n">
        <v>0.34349998831749</v>
      </c>
      <c r="G2273" s="15" t="n">
        <v>4.01119995117188</v>
      </c>
      <c r="H2273" s="16">
        <f>C2273+E2273</f>
        <v/>
      </c>
    </row>
    <row r="2274">
      <c r="A2274" s="12" t="n">
        <v>45323</v>
      </c>
      <c r="B2274" s="15" t="n">
        <v>1.05399996042252</v>
      </c>
      <c r="C2274" s="15" t="n">
        <v>0.282700002193451</v>
      </c>
      <c r="D2274" s="15" t="n">
        <v>2.57220005989075</v>
      </c>
      <c r="E2274" s="15" t="n">
        <v>-0.0223000049591064</v>
      </c>
      <c r="F2274" s="15" t="n">
        <v>0.374500006437302</v>
      </c>
      <c r="G2274" s="15" t="n">
        <v>3.88660001754761</v>
      </c>
      <c r="H2274" s="16">
        <f>C2274+E2274</f>
        <v/>
      </c>
    </row>
    <row r="2275">
      <c r="A2275" s="12" t="n">
        <v>45324</v>
      </c>
      <c r="B2275" s="15" t="n">
        <v>1.11579996347427</v>
      </c>
      <c r="C2275" s="15" t="n">
        <v>0.340099990367889</v>
      </c>
      <c r="D2275" s="15" t="n">
        <v>2.61100006103516</v>
      </c>
      <c r="E2275" s="15" t="n">
        <v>-0.009400129318237299</v>
      </c>
      <c r="F2275" s="15" t="n">
        <v>0.405900001525879</v>
      </c>
      <c r="G2275" s="15" t="n">
        <v>4.05749988555908</v>
      </c>
      <c r="H2275" s="16">
        <f>C2275+E2275</f>
        <v/>
      </c>
    </row>
    <row r="2276">
      <c r="A2276" s="12" t="n">
        <v>45327</v>
      </c>
      <c r="B2276" s="15" t="n">
        <v>1.16029998660088</v>
      </c>
      <c r="C2276" s="15" t="n">
        <v>0.384900003671646</v>
      </c>
      <c r="D2276" s="15" t="n">
        <v>2.64000010490417</v>
      </c>
      <c r="E2276" s="15" t="n">
        <v>0.0010000467300415</v>
      </c>
      <c r="F2276" s="15" t="n">
        <v>0.387600004673004</v>
      </c>
      <c r="G2276" s="15" t="n">
        <v>4.18620014190674</v>
      </c>
      <c r="H2276" s="16">
        <f>C2276+E2276</f>
        <v/>
      </c>
    </row>
    <row r="2277">
      <c r="A2277" s="12" t="n">
        <v>45328</v>
      </c>
      <c r="B2277" s="15" t="n">
        <v>1.1343999505043</v>
      </c>
      <c r="C2277" s="15" t="n">
        <v>0.357400000095367</v>
      </c>
      <c r="D2277" s="15" t="n">
        <v>2.62210011482239</v>
      </c>
      <c r="E2277" s="15" t="n">
        <v>-0.00529992580413818</v>
      </c>
      <c r="F2277" s="15" t="n">
        <v>0.378500014543533</v>
      </c>
      <c r="G2277" s="15" t="n">
        <v>4.10860013961792</v>
      </c>
      <c r="H2277" s="16">
        <f>C2277+E2277</f>
        <v/>
      </c>
    </row>
    <row r="2278">
      <c r="A2278" s="12" t="n">
        <v>45329</v>
      </c>
      <c r="B2278" s="15" t="n">
        <v>1.1395999789238</v>
      </c>
      <c r="C2278" s="15" t="n">
        <v>0.36379998922348</v>
      </c>
      <c r="D2278" s="15" t="n">
        <v>2.62610006332397</v>
      </c>
      <c r="E2278" s="15" t="n">
        <v>-0.00380003452301025</v>
      </c>
      <c r="F2278" s="15" t="n">
        <v>0.381900012493134</v>
      </c>
      <c r="G2278" s="15" t="n">
        <v>4.12569999694824</v>
      </c>
      <c r="H2278" s="16">
        <f>C2278+E2278</f>
        <v/>
      </c>
    </row>
    <row r="2279">
      <c r="A2279" s="12" t="n">
        <v>45330</v>
      </c>
      <c r="B2279" s="15" t="n">
        <v>1.16219997406006</v>
      </c>
      <c r="C2279" s="15" t="n">
        <v>0.389299988746643</v>
      </c>
      <c r="D2279" s="15" t="n">
        <v>2.64249992370605</v>
      </c>
      <c r="E2279" s="15" t="n">
        <v>0.0019000768661499</v>
      </c>
      <c r="F2279" s="15" t="n">
        <v>0.380899995565414</v>
      </c>
      <c r="G2279" s="15" t="n">
        <v>4.19589996337891</v>
      </c>
      <c r="H2279" s="16">
        <f>C2279+E2279</f>
        <v/>
      </c>
    </row>
    <row r="2280">
      <c r="A2280" s="12" t="n">
        <v>45331</v>
      </c>
      <c r="B2280" s="15" t="n">
        <v>1.17009997367859</v>
      </c>
      <c r="C2280" s="15" t="n">
        <v>0.393700003623962</v>
      </c>
      <c r="D2280" s="15" t="n">
        <v>2.64599990844727</v>
      </c>
      <c r="E2280" s="15" t="n">
        <v>0.00290000438690186</v>
      </c>
      <c r="F2280" s="15" t="n">
        <v>0.384999990463257</v>
      </c>
      <c r="G2280" s="15" t="n">
        <v>4.21269989013672</v>
      </c>
      <c r="H2280" s="16">
        <f>C2280+E2280</f>
        <v/>
      </c>
    </row>
    <row r="2281">
      <c r="A2281" s="12" t="n">
        <v>45334</v>
      </c>
      <c r="B2281" s="15" t="n">
        <v>1.16759994626045</v>
      </c>
      <c r="C2281" s="15" t="n">
        <v>0.391000002622604</v>
      </c>
      <c r="D2281" s="15" t="n">
        <v>2.64439988136292</v>
      </c>
      <c r="E2281" s="15" t="n">
        <v>0.00220036506652832</v>
      </c>
      <c r="F2281" s="15" t="n">
        <v>0.393500000238419</v>
      </c>
      <c r="G2281" s="15" t="n">
        <v>4.2052001953125</v>
      </c>
      <c r="H2281" s="16">
        <f>C2281+E2281</f>
        <v/>
      </c>
    </row>
    <row r="2282">
      <c r="A2282" s="12" t="n">
        <v>45335</v>
      </c>
      <c r="B2282" s="15" t="n">
        <v>1.22089999914169</v>
      </c>
      <c r="C2282" s="15" t="n">
        <v>0.436500012874603</v>
      </c>
      <c r="D2282" s="15" t="n">
        <v>2.67519998550415</v>
      </c>
      <c r="E2282" s="15" t="n">
        <v>0.0126000642776489</v>
      </c>
      <c r="F2282" s="15" t="n">
        <v>0.380199998617172</v>
      </c>
      <c r="G2282" s="15" t="n">
        <v>4.3452000617981</v>
      </c>
      <c r="H2282" s="16">
        <f>C2282+E2282</f>
        <v/>
      </c>
    </row>
    <row r="2283">
      <c r="A2283" s="12" t="n">
        <v>45336</v>
      </c>
      <c r="B2283" s="15" t="n">
        <v>1.20509999990463</v>
      </c>
      <c r="C2283" s="15" t="n">
        <v>0.421299993991852</v>
      </c>
      <c r="D2283" s="15" t="n">
        <v>2.66490006446838</v>
      </c>
      <c r="E2283" s="15" t="n">
        <v>0.00929999351501465</v>
      </c>
      <c r="F2283" s="15" t="n">
        <v>0.358799993991852</v>
      </c>
      <c r="G2283" s="15" t="n">
        <v>4.30060005187988</v>
      </c>
      <c r="H2283" s="16">
        <f>C2283+E2283</f>
        <v/>
      </c>
    </row>
    <row r="2284">
      <c r="A2284" s="12" t="n">
        <v>45337</v>
      </c>
      <c r="B2284" s="15" t="n">
        <v>1.19640004634857</v>
      </c>
      <c r="C2284" s="15" t="n">
        <v>0.411700010299683</v>
      </c>
      <c r="D2284" s="15" t="n">
        <v>2.65890002250671</v>
      </c>
      <c r="E2284" s="15" t="n">
        <v>0.00709974765777588</v>
      </c>
      <c r="F2284" s="15" t="n">
        <v>0.350199997425079</v>
      </c>
      <c r="G2284" s="15" t="n">
        <v>4.27409982681274</v>
      </c>
      <c r="H2284" s="16">
        <f>C2284+E2284</f>
        <v/>
      </c>
    </row>
    <row r="2285">
      <c r="A2285" s="12" t="n">
        <v>45338</v>
      </c>
      <c r="B2285" s="15" t="n">
        <v>1.21600005030632</v>
      </c>
      <c r="C2285" s="15" t="n">
        <v>0.429399996995926</v>
      </c>
      <c r="D2285" s="15" t="n">
        <v>2.67050004005432</v>
      </c>
      <c r="E2285" s="15" t="n">
        <v>0.0111997127532959</v>
      </c>
      <c r="F2285" s="15" t="n">
        <v>0.342400014400482</v>
      </c>
      <c r="G2285" s="15" t="n">
        <v>4.32709980010986</v>
      </c>
      <c r="H2285" s="16">
        <f>C2285+E2285</f>
        <v/>
      </c>
    </row>
    <row r="2286">
      <c r="A2286" s="12" t="n">
        <v>45342</v>
      </c>
      <c r="B2286" s="15" t="n">
        <v>1.20759996771812</v>
      </c>
      <c r="C2286" s="15" t="n">
        <v>0.422199994325638</v>
      </c>
      <c r="D2286" s="15" t="n">
        <v>2.66589999198914</v>
      </c>
      <c r="E2286" s="15" t="n">
        <v>0.00940001010894775</v>
      </c>
      <c r="F2286" s="15" t="n">
        <v>0.342299997806549</v>
      </c>
      <c r="G2286" s="15" t="n">
        <v>4.30509996414185</v>
      </c>
      <c r="H2286" s="16">
        <f>C2286+E2286</f>
        <v/>
      </c>
    </row>
    <row r="2287">
      <c r="A2287" s="12" t="n">
        <v>45343</v>
      </c>
      <c r="B2287" s="15" t="n">
        <v>1.22220003604889</v>
      </c>
      <c r="C2287" s="15" t="n">
        <v>0.439599990844727</v>
      </c>
      <c r="D2287" s="15" t="n">
        <v>2.6768000125885</v>
      </c>
      <c r="E2287" s="15" t="n">
        <v>0.0134001970291138</v>
      </c>
      <c r="F2287" s="15" t="n">
        <v>0.337700009346008</v>
      </c>
      <c r="G2287" s="15" t="n">
        <v>4.35200023651123</v>
      </c>
      <c r="H2287" s="16">
        <f>C2287+E2287</f>
        <v/>
      </c>
    </row>
    <row r="2288">
      <c r="A2288" s="12" t="n">
        <v>45344</v>
      </c>
      <c r="B2288" s="15" t="n">
        <v>1.22889992594719</v>
      </c>
      <c r="C2288" s="15" t="n">
        <v>0.441000014543533</v>
      </c>
      <c r="D2288" s="15" t="n">
        <v>2.67799997329712</v>
      </c>
      <c r="E2288" s="15" t="n">
        <v>0.0139999389648438</v>
      </c>
      <c r="F2288" s="15" t="n">
        <v>0.35929998755455</v>
      </c>
      <c r="G2288" s="15" t="n">
        <v>4.36189985275269</v>
      </c>
      <c r="H2288" s="16">
        <f>C2288+E2288</f>
        <v/>
      </c>
    </row>
    <row r="2289">
      <c r="A2289" s="12" t="n">
        <v>45345</v>
      </c>
      <c r="B2289" s="15" t="n">
        <v>1.2075999379158</v>
      </c>
      <c r="C2289" s="15" t="n">
        <v>0.410600006580353</v>
      </c>
      <c r="D2289" s="15" t="n">
        <v>2.65899991989136</v>
      </c>
      <c r="E2289" s="15" t="n">
        <v>0.00720012187957764</v>
      </c>
      <c r="F2289" s="15" t="n">
        <v>0.364100009202957</v>
      </c>
      <c r="G2289" s="15" t="n">
        <v>4.28439998626709</v>
      </c>
      <c r="H2289" s="16">
        <f>C2289+E2289</f>
        <v/>
      </c>
    </row>
    <row r="2290">
      <c r="A2290" s="12" t="n">
        <v>45348</v>
      </c>
      <c r="B2290" s="15" t="n">
        <v>1.21320003271103</v>
      </c>
      <c r="C2290" s="15" t="n">
        <v>0.414099991321564</v>
      </c>
      <c r="D2290" s="15" t="n">
        <v>2.66120004653931</v>
      </c>
      <c r="E2290" s="15" t="n">
        <v>0.008099794387817379</v>
      </c>
      <c r="F2290" s="15" t="n">
        <v>0.355500012636185</v>
      </c>
      <c r="G2290" s="15" t="n">
        <v>4.29659986495972</v>
      </c>
      <c r="H2290" s="16">
        <f>C2290+E2290</f>
        <v/>
      </c>
    </row>
    <row r="2291">
      <c r="A2291" s="12" t="n">
        <v>45349</v>
      </c>
      <c r="B2291" s="15" t="n">
        <v>1.21930000185966</v>
      </c>
      <c r="C2291" s="15" t="n">
        <v>0.42509999871254</v>
      </c>
      <c r="D2291" s="15" t="n">
        <v>2.66729998588562</v>
      </c>
      <c r="E2291" s="15" t="n">
        <v>0.0108002424240112</v>
      </c>
      <c r="F2291" s="15" t="n">
        <v>0.351300001144409</v>
      </c>
      <c r="G2291" s="15" t="n">
        <v>4.32250022888184</v>
      </c>
      <c r="H2291" s="16">
        <f>C2291+E2291</f>
        <v/>
      </c>
    </row>
    <row r="2292">
      <c r="A2292" s="12" t="n">
        <v>45350</v>
      </c>
      <c r="B2292" s="15" t="n">
        <v>1.20330002903938</v>
      </c>
      <c r="C2292" s="15" t="n">
        <v>0.413199990987778</v>
      </c>
      <c r="D2292" s="15" t="n">
        <v>2.6586000919342</v>
      </c>
      <c r="E2292" s="15" t="n">
        <v>0.008299946784973139</v>
      </c>
      <c r="F2292" s="15" t="n">
        <v>0.334899991750717</v>
      </c>
      <c r="G2292" s="15" t="n">
        <v>4.28340005874634</v>
      </c>
      <c r="H2292" s="16">
        <f>C2292+E2292</f>
        <v/>
      </c>
    </row>
    <row r="2293">
      <c r="A2293" s="12" t="n">
        <v>45351</v>
      </c>
      <c r="B2293" s="15" t="n">
        <v>1.19780001044273</v>
      </c>
      <c r="C2293" s="15" t="n">
        <v>0.40650001168251</v>
      </c>
      <c r="D2293" s="15" t="n">
        <v>2.65450000762939</v>
      </c>
      <c r="E2293" s="15" t="n">
        <v>0.00670003890991211</v>
      </c>
      <c r="F2293" s="15" t="n">
        <v>0.326900005340576</v>
      </c>
      <c r="G2293" s="15" t="n">
        <v>4.26550006866455</v>
      </c>
      <c r="H2293" s="16">
        <f>C2293+E2293</f>
        <v/>
      </c>
    </row>
    <row r="2294">
      <c r="A2294" s="12" t="n">
        <v>45352</v>
      </c>
      <c r="B2294" s="15" t="n">
        <v>1.17079997062683</v>
      </c>
      <c r="C2294" s="15" t="n">
        <v>0.385699987411499</v>
      </c>
      <c r="D2294" s="15" t="n">
        <v>2.64010000228882</v>
      </c>
      <c r="E2294" s="15" t="n">
        <v>0.00190019607543945</v>
      </c>
      <c r="F2294" s="15" t="n">
        <v>0.316799998283386</v>
      </c>
      <c r="G2294" s="15" t="n">
        <v>4.19850015640259</v>
      </c>
      <c r="H2294" s="16">
        <f>C2294+E2294</f>
        <v/>
      </c>
    </row>
    <row r="2295">
      <c r="A2295" s="12" t="n">
        <v>45355</v>
      </c>
      <c r="B2295" s="15" t="n">
        <v>1.18640002608299</v>
      </c>
      <c r="C2295" s="15" t="n">
        <v>0.395700007677078</v>
      </c>
      <c r="D2295" s="15" t="n">
        <v>2.64809989929199</v>
      </c>
      <c r="E2295" s="15" t="n">
        <v>0.00400006771087646</v>
      </c>
      <c r="F2295" s="15" t="n">
        <v>0.309399992227554</v>
      </c>
      <c r="G2295" s="15" t="n">
        <v>4.23420000076294</v>
      </c>
      <c r="H2295" s="16">
        <f>C2295+E2295</f>
        <v/>
      </c>
    </row>
    <row r="2296">
      <c r="A2296" s="12" t="n">
        <v>45356</v>
      </c>
      <c r="B2296" s="15" t="n">
        <v>1.15879994630814</v>
      </c>
      <c r="C2296" s="15" t="n">
        <v>0.362500011920929</v>
      </c>
      <c r="D2296" s="15" t="n">
        <v>2.62709999084473</v>
      </c>
      <c r="E2296" s="15" t="n">
        <v>-0.00359976291656494</v>
      </c>
      <c r="F2296" s="15" t="n">
        <v>0.300000011920929</v>
      </c>
      <c r="G2296" s="15" t="n">
        <v>4.14480018615723</v>
      </c>
      <c r="H2296" s="16">
        <f>C2296+E2296</f>
        <v/>
      </c>
    </row>
    <row r="2297">
      <c r="A2297" s="12" t="n">
        <v>45357</v>
      </c>
      <c r="B2297" s="15" t="n">
        <v>1.15069997310638</v>
      </c>
      <c r="C2297" s="15" t="n">
        <v>0.34850001335144</v>
      </c>
      <c r="D2297" s="15" t="n">
        <v>2.61870002746582</v>
      </c>
      <c r="E2297" s="15" t="n">
        <v>-0.00689995288848877</v>
      </c>
      <c r="F2297" s="15" t="n">
        <v>0.313800007104874</v>
      </c>
      <c r="G2297" s="15" t="n">
        <v>4.11100006103516</v>
      </c>
      <c r="H2297" s="16">
        <f>C2297+E2297</f>
        <v/>
      </c>
    </row>
    <row r="2298">
      <c r="A2298" s="12" t="n">
        <v>45358</v>
      </c>
      <c r="B2298" s="15" t="n">
        <v>1.14050003886223</v>
      </c>
      <c r="C2298" s="15" t="n">
        <v>0.341100007295609</v>
      </c>
      <c r="D2298" s="15" t="n">
        <v>2.6136999130249</v>
      </c>
      <c r="E2298" s="15" t="n">
        <v>-0.008499860763549799</v>
      </c>
      <c r="F2298" s="15" t="n">
        <v>0.328900009393692</v>
      </c>
      <c r="G2298" s="15" t="n">
        <v>4.08680009841919</v>
      </c>
      <c r="H2298" s="16">
        <f>C2298+E2298</f>
        <v/>
      </c>
    </row>
    <row r="2299">
      <c r="A2299" s="12" t="n">
        <v>45359</v>
      </c>
      <c r="B2299" s="15" t="n">
        <v>1.13849997520447</v>
      </c>
      <c r="C2299" s="15" t="n">
        <v>0.341199994087219</v>
      </c>
      <c r="D2299" s="15" t="n">
        <v>2.61389994621277</v>
      </c>
      <c r="E2299" s="15" t="n">
        <v>-0.008800148963928219</v>
      </c>
      <c r="F2299" s="15" t="n">
        <v>0.326999992132187</v>
      </c>
      <c r="G2299" s="15" t="n">
        <v>4.08479976654053</v>
      </c>
      <c r="H2299" s="16">
        <f>C2299+E2299</f>
        <v/>
      </c>
    </row>
    <row r="2300">
      <c r="A2300" s="12" t="n">
        <v>45362</v>
      </c>
      <c r="B2300" s="15" t="n">
        <v>1.14400005340576</v>
      </c>
      <c r="C2300" s="15" t="n">
        <v>0.343400001525879</v>
      </c>
      <c r="D2300" s="15" t="n">
        <v>2.6159999370575</v>
      </c>
      <c r="E2300" s="15" t="n">
        <v>-0.008300065994262701</v>
      </c>
      <c r="F2300" s="15" t="n">
        <v>0.342599987983704</v>
      </c>
      <c r="G2300" s="15" t="n">
        <v>4.09509992599487</v>
      </c>
      <c r="H2300" s="16">
        <f>C2300+E2300</f>
        <v/>
      </c>
    </row>
    <row r="2301">
      <c r="A2301" s="12" t="n">
        <v>45363</v>
      </c>
      <c r="B2301" s="15" t="n">
        <v>1.16650000214577</v>
      </c>
      <c r="C2301" s="15" t="n">
        <v>0.363000005483627</v>
      </c>
      <c r="D2301" s="15" t="n">
        <v>2.62919998168945</v>
      </c>
      <c r="E2301" s="15" t="n">
        <v>-0.0037999153137207</v>
      </c>
      <c r="F2301" s="15" t="n">
        <v>0.335799992084503</v>
      </c>
      <c r="G2301" s="15" t="n">
        <v>4.15490007400513</v>
      </c>
      <c r="H2301" s="16">
        <f>C2301+E2301</f>
        <v/>
      </c>
    </row>
    <row r="2302">
      <c r="A2302" s="12" t="n">
        <v>45364</v>
      </c>
      <c r="B2302" s="15" t="n">
        <v>1.17670002579689</v>
      </c>
      <c r="C2302" s="15" t="n">
        <v>0.374399989843369</v>
      </c>
      <c r="D2302" s="15" t="n">
        <v>2.63610005378723</v>
      </c>
      <c r="E2302" s="15" t="n">
        <v>-0.0009999275207519529</v>
      </c>
      <c r="F2302" s="15" t="n">
        <v>0.33899998664856</v>
      </c>
      <c r="G2302" s="15" t="n">
        <v>4.18620014190674</v>
      </c>
      <c r="H2302" s="16">
        <f>C2302+E2302</f>
        <v/>
      </c>
    </row>
    <row r="2303">
      <c r="A2303" s="12" t="n">
        <v>45365</v>
      </c>
      <c r="B2303" s="15" t="n">
        <v>1.21099999547005</v>
      </c>
      <c r="C2303" s="15" t="n">
        <v>0.414700001478195</v>
      </c>
      <c r="D2303" s="15" t="n">
        <v>2.66140007972717</v>
      </c>
      <c r="E2303" s="15" t="n">
        <v>0.008300065994262701</v>
      </c>
      <c r="F2303" s="15" t="n">
        <v>0.362399995326996</v>
      </c>
      <c r="G2303" s="15" t="n">
        <v>4.29540014266968</v>
      </c>
      <c r="H2303" s="16">
        <f>C2303+E2303</f>
        <v/>
      </c>
    </row>
    <row r="2304">
      <c r="A2304" s="12" t="n">
        <v>45366</v>
      </c>
      <c r="B2304" s="15" t="n">
        <v>1.21680000424385</v>
      </c>
      <c r="C2304" s="15" t="n">
        <v>0.418999999761581</v>
      </c>
      <c r="D2304" s="15" t="n">
        <v>2.66359996795654</v>
      </c>
      <c r="E2304" s="15" t="n">
        <v>0.00960004329681396</v>
      </c>
      <c r="F2304" s="15" t="n">
        <v>0.356799989938736</v>
      </c>
      <c r="G2304" s="15" t="n">
        <v>4.30900001525879</v>
      </c>
      <c r="H2304" s="16">
        <f>C2304+E2304</f>
        <v/>
      </c>
    </row>
    <row r="2305">
      <c r="A2305" s="12" t="n">
        <v>45369</v>
      </c>
      <c r="B2305" s="15" t="n">
        <v>1.22499996423721</v>
      </c>
      <c r="C2305" s="15" t="n">
        <v>0.429300010204315</v>
      </c>
      <c r="D2305" s="15" t="n">
        <v>2.66960000991821</v>
      </c>
      <c r="E2305" s="15" t="n">
        <v>0.0120999813079834</v>
      </c>
      <c r="F2305" s="15" t="n">
        <v>0.366800010204315</v>
      </c>
      <c r="G2305" s="15" t="n">
        <v>4.33599996566772</v>
      </c>
      <c r="H2305" s="16">
        <f>C2305+E2305</f>
        <v/>
      </c>
    </row>
    <row r="2306">
      <c r="A2306" s="12" t="n">
        <v>45370</v>
      </c>
      <c r="B2306" s="15" t="n">
        <v>1.2127999663353</v>
      </c>
      <c r="C2306" s="15" t="n">
        <v>0.414900004863739</v>
      </c>
      <c r="D2306" s="15" t="n">
        <v>2.6609001159668</v>
      </c>
      <c r="E2306" s="15" t="n">
        <v>0.00860011577606201</v>
      </c>
      <c r="F2306" s="15" t="n">
        <v>0.361999988555908</v>
      </c>
      <c r="G2306" s="15" t="n">
        <v>4.29720020294189</v>
      </c>
      <c r="H2306" s="16">
        <f>C2306+E2306</f>
        <v/>
      </c>
    </row>
    <row r="2307">
      <c r="A2307" s="12" t="n">
        <v>45371</v>
      </c>
      <c r="B2307" s="15" t="n">
        <v>1.19780001044273</v>
      </c>
      <c r="C2307" s="15" t="n">
        <v>0.408499985933304</v>
      </c>
      <c r="D2307" s="15" t="n">
        <v>2.65560007095337</v>
      </c>
      <c r="E2307" s="15" t="n">
        <v>0.00709998607635498</v>
      </c>
      <c r="F2307" s="15" t="n">
        <v>0.337000012397766</v>
      </c>
      <c r="G2307" s="15" t="n">
        <v>4.26900005340576</v>
      </c>
      <c r="H2307" s="16">
        <f>C2307+E2307</f>
        <v/>
      </c>
    </row>
    <row r="2308">
      <c r="A2308" s="12" t="n">
        <v>45372</v>
      </c>
      <c r="B2308" s="15" t="n">
        <v>1.19930002093315</v>
      </c>
      <c r="C2308" s="15" t="n">
        <v>0.409999996423721</v>
      </c>
      <c r="D2308" s="15" t="n">
        <v>2.65680003166199</v>
      </c>
      <c r="E2308" s="15" t="n">
        <v>0.00729978084564209</v>
      </c>
      <c r="F2308" s="15" t="n">
        <v>0.313499987125397</v>
      </c>
      <c r="G2308" s="15" t="n">
        <v>4.2733998298645</v>
      </c>
      <c r="H2308" s="16">
        <f>C2308+E2308</f>
        <v/>
      </c>
    </row>
    <row r="2309">
      <c r="A2309" s="12" t="n">
        <v>45373</v>
      </c>
      <c r="B2309" s="15" t="n">
        <v>1.17919999361038</v>
      </c>
      <c r="C2309" s="15" t="n">
        <v>0.390399992465973</v>
      </c>
      <c r="D2309" s="15" t="n">
        <v>2.64369988441467</v>
      </c>
      <c r="E2309" s="15" t="n">
        <v>0.00290000438690186</v>
      </c>
      <c r="F2309" s="15" t="n">
        <v>0.306699991226196</v>
      </c>
      <c r="G2309" s="15" t="n">
        <v>4.21619987487793</v>
      </c>
      <c r="H2309" s="16">
        <f>C2309+E2309</f>
        <v/>
      </c>
    </row>
    <row r="2310">
      <c r="A2310" s="12" t="n">
        <v>45376</v>
      </c>
      <c r="B2310" s="15" t="n">
        <v>1.19190001487732</v>
      </c>
      <c r="C2310" s="15" t="n">
        <v>0.402300000190735</v>
      </c>
      <c r="D2310" s="15" t="n">
        <v>2.65210008621216</v>
      </c>
      <c r="E2310" s="15" t="n">
        <v>0.00549995899200439</v>
      </c>
      <c r="F2310" s="15" t="n">
        <v>0.319799989461899</v>
      </c>
      <c r="G2310" s="15" t="n">
        <v>4.25180006027222</v>
      </c>
      <c r="H2310" s="16">
        <f>C2310+E2310</f>
        <v/>
      </c>
    </row>
    <row r="2311">
      <c r="A2311" s="12" t="n">
        <v>45377</v>
      </c>
      <c r="B2311" s="15" t="n">
        <v>1.1889999806881</v>
      </c>
      <c r="C2311" s="15" t="n">
        <v>0.397100001573563</v>
      </c>
      <c r="D2311" s="15" t="n">
        <v>2.6489999294281</v>
      </c>
      <c r="E2311" s="15" t="n">
        <v>0.00429999828338623</v>
      </c>
      <c r="F2311" s="15" t="n">
        <v>0.333299994468689</v>
      </c>
      <c r="G2311" s="15" t="n">
        <v>4.23939990997314</v>
      </c>
      <c r="H2311" s="16">
        <f>C2311+E2311</f>
        <v/>
      </c>
    </row>
    <row r="2312">
      <c r="A2312" s="12" t="n">
        <v>45378</v>
      </c>
      <c r="B2312" s="15" t="n">
        <v>1.17539998888969</v>
      </c>
      <c r="C2312" s="15" t="n">
        <v>0.379200011491776</v>
      </c>
      <c r="D2312" s="15" t="n">
        <v>2.63790011405945</v>
      </c>
      <c r="E2312" s="15" t="n">
        <v>0.000299930572509766</v>
      </c>
      <c r="F2312" s="15" t="n">
        <v>0.329800009727478</v>
      </c>
      <c r="G2312" s="15" t="n">
        <v>4.19280004501343</v>
      </c>
      <c r="H2312" s="16">
        <f>C2312+E2312</f>
        <v/>
      </c>
    </row>
    <row r="2313">
      <c r="A2313" s="12" t="n">
        <v>45379</v>
      </c>
      <c r="B2313" s="15" t="n">
        <v>1.18070003390312</v>
      </c>
      <c r="C2313" s="15" t="n">
        <v>0.375499993562698</v>
      </c>
      <c r="D2313" s="15" t="n">
        <v>2.63680005073547</v>
      </c>
      <c r="E2313" s="15" t="n">
        <v>-0.000700235366821289</v>
      </c>
      <c r="F2313" s="15" t="n">
        <v>0.32379999756813</v>
      </c>
      <c r="G2313" s="15" t="n">
        <v>4.19229984283447</v>
      </c>
      <c r="H2313" s="16">
        <f>C2313+E2313</f>
        <v/>
      </c>
    </row>
    <row r="2314">
      <c r="A2314" s="12" t="n">
        <v>45383</v>
      </c>
      <c r="B2314" s="15" t="n">
        <v>1.2185999751091</v>
      </c>
      <c r="C2314" s="15" t="n">
        <v>0.42059999704361</v>
      </c>
      <c r="D2314" s="15" t="n">
        <v>2.66479992866516</v>
      </c>
      <c r="E2314" s="15" t="n">
        <v>0.00979995727539062</v>
      </c>
      <c r="F2314" s="15" t="n">
        <v>0.339700013399124</v>
      </c>
      <c r="G2314" s="15" t="n">
        <v>4.31379985809326</v>
      </c>
      <c r="H2314" s="16">
        <f>C2314+E2314</f>
        <v/>
      </c>
    </row>
    <row r="2315">
      <c r="A2315" s="12" t="n">
        <v>45384</v>
      </c>
      <c r="B2315" s="15" t="n">
        <v>1.22479993104935</v>
      </c>
      <c r="C2315" s="15" t="n">
        <v>0.437200009822845</v>
      </c>
      <c r="D2315" s="15" t="n">
        <v>2.67350006103516</v>
      </c>
      <c r="E2315" s="15" t="n">
        <v>0.0140001773834229</v>
      </c>
      <c r="F2315" s="15" t="n">
        <v>0.328999996185303</v>
      </c>
      <c r="G2315" s="15" t="n">
        <v>4.34950017929077</v>
      </c>
      <c r="H2315" s="16">
        <f>C2315+E2315</f>
        <v/>
      </c>
    </row>
    <row r="2316">
      <c r="A2316" s="12" t="n">
        <v>45385</v>
      </c>
      <c r="B2316" s="15" t="n">
        <v>1.22260004281998</v>
      </c>
      <c r="C2316" s="15" t="n">
        <v>0.43860000371933</v>
      </c>
      <c r="D2316" s="15" t="n">
        <v>2.67400002479553</v>
      </c>
      <c r="E2316" s="15" t="n">
        <v>0.0143001079559326</v>
      </c>
      <c r="F2316" s="15" t="n">
        <v>0.334300011396408</v>
      </c>
      <c r="G2316" s="15" t="n">
        <v>4.34950017929077</v>
      </c>
      <c r="H2316" s="16">
        <f>C2316+E2316</f>
        <v/>
      </c>
    </row>
    <row r="2317">
      <c r="A2317" s="12" t="n">
        <v>45386</v>
      </c>
      <c r="B2317" s="15" t="n">
        <v>1.20850002765656</v>
      </c>
      <c r="C2317" s="15" t="n">
        <v>0.423799991607666</v>
      </c>
      <c r="D2317" s="15" t="n">
        <v>2.66429996490479</v>
      </c>
      <c r="E2317" s="15" t="n">
        <v>0.0108999013900757</v>
      </c>
      <c r="F2317" s="15" t="n">
        <v>0.327800005674362</v>
      </c>
      <c r="G2317" s="15" t="n">
        <v>4.30749988555908</v>
      </c>
      <c r="H2317" s="16">
        <f>C2317+E2317</f>
        <v/>
      </c>
    </row>
    <row r="2318">
      <c r="A2318" s="12" t="n">
        <v>45387</v>
      </c>
      <c r="B2318" s="15" t="n">
        <v>1.23470005393028</v>
      </c>
      <c r="C2318" s="15" t="n">
        <v>0.448100000619888</v>
      </c>
      <c r="D2318" s="15" t="n">
        <v>2.68050003051758</v>
      </c>
      <c r="E2318" s="15" t="n">
        <v>0.0164000988006592</v>
      </c>
      <c r="F2318" s="15" t="n">
        <v>0.327300012111664</v>
      </c>
      <c r="G2318" s="15" t="n">
        <v>4.37970018386841</v>
      </c>
      <c r="H2318" s="16">
        <f>C2318+E2318</f>
        <v/>
      </c>
    </row>
    <row r="2319">
      <c r="A2319" s="12" t="n">
        <v>45390</v>
      </c>
      <c r="B2319" s="15" t="n">
        <v>1.24550005793571</v>
      </c>
      <c r="C2319" s="15" t="n">
        <v>0.457399994134903</v>
      </c>
      <c r="D2319" s="15" t="n">
        <v>2.68610000610352</v>
      </c>
      <c r="E2319" s="15" t="n">
        <v>0.0188997983932495</v>
      </c>
      <c r="F2319" s="15" t="n">
        <v>0.326200008392334</v>
      </c>
      <c r="G2319" s="15" t="n">
        <v>4.40789985656738</v>
      </c>
      <c r="H2319" s="16">
        <f>C2319+E2319</f>
        <v/>
      </c>
    </row>
    <row r="2320">
      <c r="A2320" s="12" t="n">
        <v>45391</v>
      </c>
      <c r="B2320" s="15" t="n">
        <v>1.22619998455048</v>
      </c>
      <c r="C2320" s="15" t="n">
        <v>0.435999989509583</v>
      </c>
      <c r="D2320" s="15" t="n">
        <v>2.67190003395081</v>
      </c>
      <c r="E2320" s="15" t="n">
        <v>0.0140998363494873</v>
      </c>
      <c r="F2320" s="15" t="n">
        <v>0.326099991798401</v>
      </c>
      <c r="G2320" s="15" t="n">
        <v>4.34819984436035</v>
      </c>
      <c r="H2320" s="16">
        <f>C2320+E2320</f>
        <v/>
      </c>
    </row>
    <row r="2321">
      <c r="A2321" s="12" t="n">
        <v>45392</v>
      </c>
      <c r="B2321" s="15" t="n">
        <v>1.29600006341934</v>
      </c>
      <c r="C2321" s="15" t="n">
        <v>0.49669998884201</v>
      </c>
      <c r="D2321" s="15" t="n">
        <v>2.71259999275208</v>
      </c>
      <c r="E2321" s="15" t="n">
        <v>0.0281000137329102</v>
      </c>
      <c r="F2321" s="15" t="n">
        <v>0.353199988603592</v>
      </c>
      <c r="G2321" s="15" t="n">
        <v>4.53340005874634</v>
      </c>
      <c r="H2321" s="16">
        <f>C2321+E2321</f>
        <v/>
      </c>
    </row>
    <row r="2322">
      <c r="A2322" s="12" t="n">
        <v>45393</v>
      </c>
      <c r="B2322" s="15" t="n">
        <v>1.29470005631447</v>
      </c>
      <c r="C2322" s="15" t="n">
        <v>0.497299998998642</v>
      </c>
      <c r="D2322" s="15" t="n">
        <v>2.71169996261597</v>
      </c>
      <c r="E2322" s="15" t="n">
        <v>0.0287997722625732</v>
      </c>
      <c r="F2322" s="15" t="n">
        <v>0.362300008535385</v>
      </c>
      <c r="G2322" s="15" t="n">
        <v>4.53249979019165</v>
      </c>
      <c r="H2322" s="16">
        <f>C2322+E2322</f>
        <v/>
      </c>
    </row>
    <row r="2323">
      <c r="A2323" s="12" t="n">
        <v>45394</v>
      </c>
      <c r="B2323" s="15" t="n">
        <v>1.27259996533394</v>
      </c>
      <c r="C2323" s="15" t="n">
        <v>0.477200001478195</v>
      </c>
      <c r="D2323" s="15" t="n">
        <v>2.69790005683899</v>
      </c>
      <c r="E2323" s="15" t="n">
        <v>0.0243000984191895</v>
      </c>
      <c r="F2323" s="15" t="n">
        <v>0.348199993371964</v>
      </c>
      <c r="G2323" s="15" t="n">
        <v>4.47200012207031</v>
      </c>
      <c r="H2323" s="16">
        <f>C2323+E2323</f>
        <v/>
      </c>
    </row>
    <row r="2324">
      <c r="A2324" s="12" t="n">
        <v>45397</v>
      </c>
      <c r="B2324" s="15" t="n">
        <v>1.31000006198883</v>
      </c>
      <c r="C2324" s="15" t="n">
        <v>0.52209997177124</v>
      </c>
      <c r="D2324" s="15" t="n">
        <v>2.72679996490479</v>
      </c>
      <c r="E2324" s="15" t="n">
        <v>0.0343002080917358</v>
      </c>
      <c r="F2324" s="15" t="n">
        <v>0.359800010919571</v>
      </c>
      <c r="G2324" s="15" t="n">
        <v>4.59320020675659</v>
      </c>
      <c r="H2324" s="16">
        <f>C2324+E2324</f>
        <v/>
      </c>
    </row>
    <row r="2325">
      <c r="A2325" s="12" t="n">
        <v>45398</v>
      </c>
      <c r="B2325" s="15" t="n">
        <v>1.32449996471405</v>
      </c>
      <c r="C2325" s="15" t="n">
        <v>0.540300011634827</v>
      </c>
      <c r="D2325" s="15" t="n">
        <v>2.73790001869202</v>
      </c>
      <c r="E2325" s="15" t="n">
        <v>0.0386002063751221</v>
      </c>
      <c r="F2325" s="15" t="n">
        <v>0.371199995279312</v>
      </c>
      <c r="G2325" s="15" t="n">
        <v>4.64130020141602</v>
      </c>
      <c r="H2325" s="16">
        <f>C2325+E2325</f>
        <v/>
      </c>
    </row>
    <row r="2326">
      <c r="A2326" s="12" t="n">
        <v>45399</v>
      </c>
      <c r="B2326" s="15" t="n">
        <v>1.29930001497269</v>
      </c>
      <c r="C2326" s="15" t="n">
        <v>0.510999977588654</v>
      </c>
      <c r="D2326" s="15" t="n">
        <v>2.71900010108948</v>
      </c>
      <c r="E2326" s="15" t="n">
        <v>0.0319997072219849</v>
      </c>
      <c r="F2326" s="15" t="n">
        <v>0.379599988460541</v>
      </c>
      <c r="G2326" s="15" t="n">
        <v>4.5612998008728</v>
      </c>
      <c r="H2326" s="16">
        <f>C2326+E2326</f>
        <v/>
      </c>
    </row>
    <row r="2327">
      <c r="A2327" s="12" t="n">
        <v>45400</v>
      </c>
      <c r="B2327" s="15" t="n">
        <v>1.31719994544983</v>
      </c>
      <c r="C2327" s="15" t="n">
        <v>0.528900027275085</v>
      </c>
      <c r="D2327" s="15" t="n">
        <v>2.73070001602173</v>
      </c>
      <c r="E2327" s="15" t="n">
        <v>0.0360997915267944</v>
      </c>
      <c r="F2327" s="15" t="n">
        <v>0.378500014543533</v>
      </c>
      <c r="G2327" s="15" t="n">
        <v>4.61289978027344</v>
      </c>
      <c r="H2327" s="16">
        <f>C2327+E2327</f>
        <v/>
      </c>
    </row>
    <row r="2328">
      <c r="A2328" s="12" t="n">
        <v>45401</v>
      </c>
      <c r="B2328" s="15" t="n">
        <v>1.31169998645782</v>
      </c>
      <c r="C2328" s="15" t="n">
        <v>0.519400000572205</v>
      </c>
      <c r="D2328" s="15" t="n">
        <v>2.72510004043579</v>
      </c>
      <c r="E2328" s="15" t="n">
        <v>0.0338997840881348</v>
      </c>
      <c r="F2328" s="15" t="n">
        <v>0.371800005435944</v>
      </c>
      <c r="G2328" s="15" t="n">
        <v>4.59009981155396</v>
      </c>
      <c r="H2328" s="16">
        <f>C2328+E2328</f>
        <v/>
      </c>
    </row>
    <row r="2329">
      <c r="A2329" s="12" t="n">
        <v>45404</v>
      </c>
      <c r="B2329" s="15" t="n">
        <v>1.31059998273849</v>
      </c>
      <c r="C2329" s="15" t="n">
        <v>0.520600020885468</v>
      </c>
      <c r="D2329" s="15" t="n">
        <v>2.72550010681152</v>
      </c>
      <c r="E2329" s="15" t="n">
        <v>0.0341998338699341</v>
      </c>
      <c r="F2329" s="15" t="n">
        <v>0.371100008487701</v>
      </c>
      <c r="G2329" s="15" t="n">
        <v>4.59089994430542</v>
      </c>
      <c r="H2329" s="16">
        <f>C2329+E2329</f>
        <v/>
      </c>
    </row>
    <row r="2330">
      <c r="A2330" s="12" t="n">
        <v>45405</v>
      </c>
      <c r="B2330" s="15" t="n">
        <v>1.30389994382858</v>
      </c>
      <c r="C2330" s="15" t="n">
        <v>0.516300022602081</v>
      </c>
      <c r="D2330" s="15" t="n">
        <v>2.7228000164032</v>
      </c>
      <c r="E2330" s="15" t="n">
        <v>0.0330002307891846</v>
      </c>
      <c r="F2330" s="15" t="n">
        <v>0.36719998717308</v>
      </c>
      <c r="G2330" s="15" t="n">
        <v>4.57600021362305</v>
      </c>
      <c r="H2330" s="16">
        <f>C2330+E2330</f>
        <v/>
      </c>
    </row>
    <row r="2331">
      <c r="A2331" s="12" t="n">
        <v>45406</v>
      </c>
      <c r="B2331" s="15" t="n">
        <v>1.31839996576309</v>
      </c>
      <c r="C2331" s="15" t="n">
        <v>0.534300029277802</v>
      </c>
      <c r="D2331" s="15" t="n">
        <v>2.73469996452332</v>
      </c>
      <c r="E2331" s="15" t="n">
        <v>0.0369000434875488</v>
      </c>
      <c r="F2331" s="15" t="n">
        <v>0.372000008821487</v>
      </c>
      <c r="G2331" s="15" t="n">
        <v>4.62430000305176</v>
      </c>
      <c r="H2331" s="16">
        <f>C2331+E2331</f>
        <v/>
      </c>
    </row>
    <row r="2332">
      <c r="A2332" s="12" t="n">
        <v>45407</v>
      </c>
      <c r="B2332" s="15" t="n">
        <v>1.3377999663353</v>
      </c>
      <c r="C2332" s="15" t="n">
        <v>0.552900016307831</v>
      </c>
      <c r="D2332" s="15" t="n">
        <v>2.74690008163452</v>
      </c>
      <c r="E2332" s="15" t="n">
        <v>0.0410999059677124</v>
      </c>
      <c r="F2332" s="15" t="n">
        <v>0.372500002384186</v>
      </c>
      <c r="G2332" s="15" t="n">
        <v>4.67869997024536</v>
      </c>
      <c r="H2332" s="16">
        <f>C2332+E2332</f>
        <v/>
      </c>
    </row>
    <row r="2333">
      <c r="A2333" s="12" t="n">
        <v>45408</v>
      </c>
      <c r="B2333" s="15" t="n">
        <v>1.32809996604919</v>
      </c>
      <c r="C2333" s="15" t="n">
        <v>0.538699984550476</v>
      </c>
      <c r="D2333" s="15" t="n">
        <v>2.73790001869202</v>
      </c>
      <c r="E2333" s="15" t="n">
        <v>0.0380998849868774</v>
      </c>
      <c r="F2333" s="15" t="n">
        <v>0.361200004816055</v>
      </c>
      <c r="G2333" s="15" t="n">
        <v>4.64279985427856</v>
      </c>
      <c r="H2333" s="16">
        <f>C2333+E2333</f>
        <v/>
      </c>
    </row>
    <row r="2334">
      <c r="A2334" s="12" t="n">
        <v>45411</v>
      </c>
      <c r="B2334" s="15" t="n">
        <v>1.31359994411469</v>
      </c>
      <c r="C2334" s="15" t="n">
        <v>0.522300004959106</v>
      </c>
      <c r="D2334" s="15" t="n">
        <v>2.72720003128052</v>
      </c>
      <c r="E2334" s="15" t="n">
        <v>0.0343998670578003</v>
      </c>
      <c r="F2334" s="15" t="n">
        <v>0.365000009536743</v>
      </c>
      <c r="G2334" s="15" t="n">
        <v>4.59749984741211</v>
      </c>
      <c r="H2334" s="16">
        <f>C2334+E2334</f>
        <v/>
      </c>
    </row>
    <row r="2335">
      <c r="A2335" s="12" t="n">
        <v>45412</v>
      </c>
      <c r="B2335" s="15" t="n">
        <v>1.33339995145798</v>
      </c>
      <c r="C2335" s="15" t="n">
        <v>0.5412999987602229</v>
      </c>
      <c r="D2335" s="15" t="n">
        <v>2.73950004577637</v>
      </c>
      <c r="E2335" s="15" t="n">
        <v>0.0389000177383423</v>
      </c>
      <c r="F2335" s="15" t="n">
        <v>0.388099998235703</v>
      </c>
      <c r="G2335" s="15" t="n">
        <v>4.65310001373291</v>
      </c>
      <c r="H2335" s="16">
        <f>C2335+E2335</f>
        <v/>
      </c>
    </row>
    <row r="2336">
      <c r="A2336" s="12" t="n">
        <v>45413</v>
      </c>
      <c r="B2336" s="15" t="n">
        <v>1.31019997596741</v>
      </c>
      <c r="C2336" s="15" t="n">
        <v>0.518700003623962</v>
      </c>
      <c r="D2336" s="15" t="n">
        <v>2.72469997406006</v>
      </c>
      <c r="E2336" s="15" t="n">
        <v>0.0338000059127808</v>
      </c>
      <c r="F2336" s="15" t="n">
        <v>0.395500004291534</v>
      </c>
      <c r="G2336" s="15" t="n">
        <v>4.58739995956421</v>
      </c>
      <c r="H2336" s="16">
        <f>C2336+E2336</f>
        <v/>
      </c>
    </row>
    <row r="2337">
      <c r="A2337" s="12" t="n">
        <v>45414</v>
      </c>
      <c r="B2337" s="15" t="n">
        <v>1.29259997606277</v>
      </c>
      <c r="C2337" s="15" t="n">
        <v>0.504700005054474</v>
      </c>
      <c r="D2337" s="15" t="n">
        <v>2.71580004692078</v>
      </c>
      <c r="E2337" s="15" t="n">
        <v>0.0302001237869263</v>
      </c>
      <c r="F2337" s="15" t="n">
        <v>0.387100011110306</v>
      </c>
      <c r="G2337" s="15" t="n">
        <v>4.54330015182495</v>
      </c>
      <c r="H2337" s="16">
        <f>C2337+E2337</f>
        <v/>
      </c>
    </row>
    <row r="2338">
      <c r="A2338" s="12" t="n">
        <v>45415</v>
      </c>
      <c r="B2338" s="15" t="n">
        <v>1.26840004324913</v>
      </c>
      <c r="C2338" s="15" t="n">
        <v>0.479000002145767</v>
      </c>
      <c r="D2338" s="15" t="n">
        <v>2.70029997825623</v>
      </c>
      <c r="E2338" s="15" t="n">
        <v>0.0237998962402344</v>
      </c>
      <c r="F2338" s="15" t="n">
        <v>0.372000008821487</v>
      </c>
      <c r="G2338" s="15" t="n">
        <v>4.47149991989136</v>
      </c>
      <c r="H2338" s="16">
        <f>C2338+E2338</f>
        <v/>
      </c>
    </row>
    <row r="2339">
      <c r="A2339" s="12" t="n">
        <v>45418</v>
      </c>
      <c r="B2339" s="15" t="n">
        <v>1.26650005578995</v>
      </c>
      <c r="C2339" s="15" t="n">
        <v>0.473699986934662</v>
      </c>
      <c r="D2339" s="15" t="n">
        <v>2.6975998878479</v>
      </c>
      <c r="E2339" s="15" t="n">
        <v>0.0225000381469727</v>
      </c>
      <c r="F2339" s="15" t="n">
        <v>0.378899991512299</v>
      </c>
      <c r="G2339" s="15" t="n">
        <v>4.46029996871948</v>
      </c>
      <c r="H2339" s="16">
        <f>C2339+E2339</f>
        <v/>
      </c>
    </row>
    <row r="2340">
      <c r="A2340" s="12" t="n">
        <v>45419</v>
      </c>
      <c r="B2340" s="15" t="n">
        <v>1.26049998402596</v>
      </c>
      <c r="C2340" s="15" t="n">
        <v>0.464199990034103</v>
      </c>
      <c r="D2340" s="15" t="n">
        <v>2.69190001487732</v>
      </c>
      <c r="E2340" s="15" t="n">
        <v>0.0203001499176025</v>
      </c>
      <c r="F2340" s="15" t="n">
        <v>0.401100009679794</v>
      </c>
      <c r="G2340" s="15" t="n">
        <v>4.43690013885498</v>
      </c>
      <c r="H2340" s="16">
        <f>C2340+E2340</f>
        <v/>
      </c>
    </row>
    <row r="2341">
      <c r="A2341" s="12" t="n">
        <v>45420</v>
      </c>
      <c r="B2341" s="15" t="n">
        <v>1.26910001039505</v>
      </c>
      <c r="C2341" s="15" t="n">
        <v>0.474500000476837</v>
      </c>
      <c r="D2341" s="15" t="n">
        <v>2.69840002059937</v>
      </c>
      <c r="E2341" s="15" t="n">
        <v>0.0226000547409058</v>
      </c>
      <c r="F2341" s="15" t="n">
        <v>0.403800010681152</v>
      </c>
      <c r="G2341" s="15" t="n">
        <v>4.46460008621216</v>
      </c>
      <c r="H2341" s="16">
        <f>C2341+E2341</f>
        <v/>
      </c>
    </row>
    <row r="2342">
      <c r="A2342" s="12" t="n">
        <v>45421</v>
      </c>
      <c r="B2342" s="15" t="n">
        <v>1.25720000267029</v>
      </c>
      <c r="C2342" s="15" t="n">
        <v>0.46340000629425</v>
      </c>
      <c r="D2342" s="15" t="n">
        <v>2.69090008735657</v>
      </c>
      <c r="E2342" s="15" t="n">
        <v>0.0202001333236694</v>
      </c>
      <c r="F2342" s="15" t="n">
        <v>0.38289999961853</v>
      </c>
      <c r="G2342" s="15" t="n">
        <v>4.43170022964478</v>
      </c>
      <c r="H2342" s="16">
        <f>C2342+E2342</f>
        <v/>
      </c>
    </row>
    <row r="2343">
      <c r="A2343" s="12" t="n">
        <v>45422</v>
      </c>
      <c r="B2343" s="15" t="n">
        <v>1.27420005202293</v>
      </c>
      <c r="C2343" s="15" t="n">
        <v>0.478300005197525</v>
      </c>
      <c r="D2343" s="15" t="n">
        <v>2.70120000839233</v>
      </c>
      <c r="E2343" s="15" t="n">
        <v>0.0234999656677246</v>
      </c>
      <c r="F2343" s="15" t="n">
        <v>0.388700008392334</v>
      </c>
      <c r="G2343" s="15" t="n">
        <v>4.47720003128052</v>
      </c>
      <c r="H2343" s="16">
        <f>C2343+E2343</f>
        <v/>
      </c>
    </row>
    <row r="2344">
      <c r="A2344" s="12" t="n">
        <v>45425</v>
      </c>
      <c r="B2344" s="15" t="n">
        <v>1.26960006356239</v>
      </c>
      <c r="C2344" s="15" t="n">
        <v>0.472099989652634</v>
      </c>
      <c r="D2344" s="15" t="n">
        <v>2.69729995727539</v>
      </c>
      <c r="E2344" s="15" t="n">
        <v>0.0221000909805298</v>
      </c>
      <c r="F2344" s="15" t="n">
        <v>0.389800012111664</v>
      </c>
      <c r="G2344" s="15" t="n">
        <v>4.46110010147095</v>
      </c>
      <c r="H2344" s="16">
        <f>C2344+E2344</f>
        <v/>
      </c>
    </row>
    <row r="2345">
      <c r="A2345" s="12" t="n">
        <v>45426</v>
      </c>
      <c r="B2345" s="15" t="n">
        <v>1.25809994339943</v>
      </c>
      <c r="C2345" s="15" t="n">
        <v>0.46000000834465</v>
      </c>
      <c r="D2345" s="15" t="n">
        <v>2.68980002403259</v>
      </c>
      <c r="E2345" s="15" t="n">
        <v>0.0192002058029175</v>
      </c>
      <c r="F2345" s="15" t="n">
        <v>0.383500009775162</v>
      </c>
      <c r="G2345" s="15" t="n">
        <v>4.42710018157959</v>
      </c>
      <c r="H2345" s="16">
        <f>C2345+E2345</f>
        <v/>
      </c>
    </row>
    <row r="2346">
      <c r="A2346" s="12" t="n">
        <v>45427</v>
      </c>
      <c r="B2346" s="15" t="n">
        <v>1.22539994120598</v>
      </c>
      <c r="C2346" s="15" t="n">
        <v>0.427300006151199</v>
      </c>
      <c r="D2346" s="15" t="n">
        <v>2.66880011558533</v>
      </c>
      <c r="E2346" s="15" t="n">
        <v>0.0115997791290283</v>
      </c>
      <c r="F2346" s="15" t="n">
        <v>0.374700009822845</v>
      </c>
      <c r="G2346" s="15" t="n">
        <v>4.33309984207153</v>
      </c>
      <c r="H2346" s="16">
        <f>C2346+E2346</f>
        <v/>
      </c>
    </row>
    <row r="2347">
      <c r="A2347" s="12" t="n">
        <v>45428</v>
      </c>
      <c r="B2347" s="15" t="n">
        <v>1.23780000209808</v>
      </c>
      <c r="C2347" s="15" t="n">
        <v>0.4375</v>
      </c>
      <c r="D2347" s="15" t="n">
        <v>2.67600011825562</v>
      </c>
      <c r="E2347" s="15" t="n">
        <v>0.0138999223709106</v>
      </c>
      <c r="F2347" s="15" t="n">
        <v>0.378699988126755</v>
      </c>
      <c r="G2347" s="15" t="n">
        <v>4.36520004272461</v>
      </c>
      <c r="H2347" s="16">
        <f>C2347+E2347</f>
        <v/>
      </c>
    </row>
    <row r="2348">
      <c r="A2348" s="12" t="n">
        <v>45429</v>
      </c>
      <c r="B2348" s="15" t="n">
        <v>1.24790000915527</v>
      </c>
      <c r="C2348" s="15" t="n">
        <v>0.44760000705719</v>
      </c>
      <c r="D2348" s="15" t="n">
        <v>2.68230009078979</v>
      </c>
      <c r="E2348" s="15" t="n">
        <v>0.0161999464035034</v>
      </c>
      <c r="F2348" s="15" t="n">
        <v>0.381099998950958</v>
      </c>
      <c r="G2348" s="15" t="n">
        <v>4.39400005340576</v>
      </c>
      <c r="H2348" s="16">
        <f>C2348+E2348</f>
        <v/>
      </c>
    </row>
    <row r="2349">
      <c r="A2349" s="12" t="n">
        <v>45432</v>
      </c>
      <c r="B2349" s="15" t="n">
        <v>1.25429999828339</v>
      </c>
      <c r="C2349" s="15" t="n">
        <v>0.452499985694885</v>
      </c>
      <c r="D2349" s="15" t="n">
        <v>2.68560004234314</v>
      </c>
      <c r="E2349" s="15" t="n">
        <v>0.0174000263214111</v>
      </c>
      <c r="F2349" s="15" t="n">
        <v>0.379900008440018</v>
      </c>
      <c r="G2349" s="15" t="n">
        <v>4.40980005264282</v>
      </c>
      <c r="H2349" s="16">
        <f>C2349+E2349</f>
        <v/>
      </c>
    </row>
    <row r="2350">
      <c r="A2350" s="12" t="n">
        <v>45433</v>
      </c>
      <c r="B2350" s="15" t="n">
        <v>1.24470001459122</v>
      </c>
      <c r="C2350" s="15" t="n">
        <v>0.442200005054474</v>
      </c>
      <c r="D2350" s="15" t="n">
        <v>2.67869997024536</v>
      </c>
      <c r="E2350" s="15" t="n">
        <v>0.0151997804641724</v>
      </c>
      <c r="F2350" s="15" t="n">
        <v>0.370799988508224</v>
      </c>
      <c r="G2350" s="15" t="n">
        <v>4.38079977035522</v>
      </c>
      <c r="H2350" s="16">
        <f>C2350+E2350</f>
        <v/>
      </c>
    </row>
    <row r="2351">
      <c r="A2351" s="12" t="n">
        <v>45434</v>
      </c>
      <c r="B2351" s="15" t="n">
        <v>1.25069996714592</v>
      </c>
      <c r="C2351" s="15" t="n">
        <v>0.443699985742569</v>
      </c>
      <c r="D2351" s="15" t="n">
        <v>2.6800000667572</v>
      </c>
      <c r="E2351" s="15" t="n">
        <v>0.0156999826431274</v>
      </c>
      <c r="F2351" s="15" t="n">
        <v>0.378899991512299</v>
      </c>
      <c r="G2351" s="15" t="n">
        <v>4.39010000228882</v>
      </c>
      <c r="H2351" s="16">
        <f>C2351+E2351</f>
        <v/>
      </c>
    </row>
    <row r="2352">
      <c r="A2352" s="12" t="n">
        <v>45435</v>
      </c>
      <c r="B2352" s="15" t="n">
        <v>1.27219995856285</v>
      </c>
      <c r="C2352" s="15" t="n">
        <v>0.467500001192093</v>
      </c>
      <c r="D2352" s="15" t="n">
        <v>2.69519996643066</v>
      </c>
      <c r="E2352" s="15" t="n">
        <v>0.0210999250411987</v>
      </c>
      <c r="F2352" s="15" t="n">
        <v>0.396600008010864</v>
      </c>
      <c r="G2352" s="15" t="n">
        <v>4.45599985122681</v>
      </c>
      <c r="H2352" s="16">
        <f>C2352+E2352</f>
        <v/>
      </c>
    </row>
    <row r="2353">
      <c r="A2353" s="12" t="n">
        <v>45436</v>
      </c>
      <c r="B2353" s="15" t="n">
        <v>1.271399974823</v>
      </c>
      <c r="C2353" s="15" t="n">
        <v>0.46560001373291</v>
      </c>
      <c r="D2353" s="15" t="n">
        <v>2.69379997253418</v>
      </c>
      <c r="E2353" s="15" t="n">
        <v>0.0208001136779785</v>
      </c>
      <c r="F2353" s="15" t="n">
        <v>0.386700004339218</v>
      </c>
      <c r="G2353" s="15" t="n">
        <v>4.45160007476807</v>
      </c>
      <c r="H2353" s="16">
        <f>C2353+E2353</f>
        <v/>
      </c>
    </row>
    <row r="2354">
      <c r="A2354" s="12" t="n">
        <v>45440</v>
      </c>
      <c r="B2354" s="15" t="n">
        <v>1.28670004010201</v>
      </c>
      <c r="C2354" s="15" t="n">
        <v>0.483000010251999</v>
      </c>
      <c r="D2354" s="15" t="n">
        <v>2.70449995994568</v>
      </c>
      <c r="E2354" s="15" t="n">
        <v>0.0249998569488525</v>
      </c>
      <c r="F2354" s="15" t="n">
        <v>0.39750000834465</v>
      </c>
      <c r="G2354" s="15" t="n">
        <v>4.49919986724854</v>
      </c>
      <c r="H2354" s="16">
        <f>C2354+E2354</f>
        <v/>
      </c>
    </row>
    <row r="2355">
      <c r="A2355" s="12" t="n">
        <v>45441</v>
      </c>
      <c r="B2355" s="15" t="n">
        <v>1.31250005960464</v>
      </c>
      <c r="C2355" s="15" t="n">
        <v>0.52319997549057</v>
      </c>
      <c r="D2355" s="15" t="n">
        <v>2.72869992256165</v>
      </c>
      <c r="E2355" s="15" t="n">
        <v>0.034099817276001</v>
      </c>
      <c r="F2355" s="15" t="n">
        <v>0.386700004339218</v>
      </c>
      <c r="G2355" s="15" t="n">
        <v>4.59849977493286</v>
      </c>
      <c r="H2355" s="16">
        <f>C2355+E2355</f>
        <v/>
      </c>
    </row>
    <row r="2356">
      <c r="A2356" s="12" t="n">
        <v>45442</v>
      </c>
      <c r="B2356" s="15" t="n">
        <v>1.29429996013641</v>
      </c>
      <c r="C2356" s="15" t="n">
        <v>0.503600001335144</v>
      </c>
      <c r="D2356" s="15" t="n">
        <v>2.71620011329651</v>
      </c>
      <c r="E2356" s="15" t="n">
        <v>0.0295000076293945</v>
      </c>
      <c r="F2356" s="15" t="n">
        <v>0.370099991559982</v>
      </c>
      <c r="G2356" s="15" t="n">
        <v>4.54360008239746</v>
      </c>
      <c r="H2356" s="16">
        <f>C2356+E2356</f>
        <v/>
      </c>
    </row>
    <row r="2357">
      <c r="A2357" s="12" t="n">
        <v>45443</v>
      </c>
      <c r="B2357" s="15" t="n">
        <v>1.27979999780655</v>
      </c>
      <c r="C2357" s="15" t="n">
        <v>0.487500011920929</v>
      </c>
      <c r="D2357" s="15" t="n">
        <v>2.70639991760254</v>
      </c>
      <c r="E2357" s="15" t="n">
        <v>0.0257002115249634</v>
      </c>
      <c r="F2357" s="15" t="n">
        <v>0.367599993944168</v>
      </c>
      <c r="G2357" s="15" t="n">
        <v>4.49940013885498</v>
      </c>
      <c r="H2357" s="16">
        <f>C2357+E2357</f>
        <v/>
      </c>
    </row>
    <row r="2358">
      <c r="A2358" s="12" t="n">
        <v>45446</v>
      </c>
      <c r="B2358" s="15" t="n">
        <v>1.24370002746582</v>
      </c>
      <c r="C2358" s="15" t="n">
        <v>0.441799998283386</v>
      </c>
      <c r="D2358" s="15" t="n">
        <v>2.67779994010925</v>
      </c>
      <c r="E2358" s="15" t="n">
        <v>0.0153001546859741</v>
      </c>
      <c r="F2358" s="15" t="n">
        <v>0.362399995326996</v>
      </c>
      <c r="G2358" s="15" t="n">
        <v>4.37860012054443</v>
      </c>
      <c r="H2358" s="16">
        <f>C2358+E2358</f>
        <v/>
      </c>
    </row>
    <row r="2359">
      <c r="A2359" s="12" t="n">
        <v>45447</v>
      </c>
      <c r="B2359" s="15" t="n">
        <v>1.21890005469322</v>
      </c>
      <c r="C2359" s="15" t="n">
        <v>0.412900000810623</v>
      </c>
      <c r="D2359" s="15" t="n">
        <v>2.6596999168396</v>
      </c>
      <c r="E2359" s="15" t="n">
        <v>0.00859987735748291</v>
      </c>
      <c r="F2359" s="15" t="n">
        <v>0.364699989557266</v>
      </c>
      <c r="G2359" s="15" t="n">
        <v>4.30009984970093</v>
      </c>
      <c r="H2359" s="16">
        <f>C2359+E2359</f>
        <v/>
      </c>
    </row>
    <row r="2360">
      <c r="A2360" s="12" t="n">
        <v>45448</v>
      </c>
      <c r="B2360" s="15" t="n">
        <v>1.20570001006126</v>
      </c>
      <c r="C2360" s="15" t="n">
        <v>0.399899989366531</v>
      </c>
      <c r="D2360" s="15" t="n">
        <v>2.65149998664856</v>
      </c>
      <c r="E2360" s="15" t="n">
        <v>0.00560009479522705</v>
      </c>
      <c r="F2360" s="15" t="n">
        <v>0.361799985170364</v>
      </c>
      <c r="G2360" s="15" t="n">
        <v>4.26270008087158</v>
      </c>
      <c r="H2360" s="16">
        <f>C2360+E2360</f>
        <v/>
      </c>
    </row>
    <row r="2361">
      <c r="A2361" s="12" t="n">
        <v>45449</v>
      </c>
      <c r="B2361" s="15" t="n">
        <v>1.20139995217323</v>
      </c>
      <c r="C2361" s="15" t="n">
        <v>0.395300000905991</v>
      </c>
      <c r="D2361" s="15" t="n">
        <v>2.64890003204346</v>
      </c>
      <c r="E2361" s="15" t="n">
        <v>0.00429987907409668</v>
      </c>
      <c r="F2361" s="15" t="n">
        <v>0.375999987125397</v>
      </c>
      <c r="G2361" s="15" t="n">
        <v>4.24989986419678</v>
      </c>
      <c r="H2361" s="16">
        <f>C2361+E2361</f>
        <v/>
      </c>
    </row>
    <row r="2362">
      <c r="A2362" s="12" t="n">
        <v>45450</v>
      </c>
      <c r="B2362" s="15" t="n">
        <v>1.25190004706383</v>
      </c>
      <c r="C2362" s="15" t="n">
        <v>0.445199996232986</v>
      </c>
      <c r="D2362" s="15" t="n">
        <v>2.68160009384155</v>
      </c>
      <c r="E2362" s="15" t="n">
        <v>0.0156999826431274</v>
      </c>
      <c r="F2362" s="15" t="n">
        <v>0.405099987983704</v>
      </c>
      <c r="G2362" s="15" t="n">
        <v>4.39440011978149</v>
      </c>
      <c r="H2362" s="16">
        <f>C2362+E2362</f>
        <v/>
      </c>
    </row>
    <row r="2363">
      <c r="A2363" s="12" t="n">
        <v>45453</v>
      </c>
      <c r="B2363" s="15" t="n">
        <v>1.26579999923706</v>
      </c>
      <c r="C2363" s="15" t="n">
        <v>0.467000007629395</v>
      </c>
      <c r="D2363" s="15" t="n">
        <v>2.69470000267029</v>
      </c>
      <c r="E2363" s="15" t="n">
        <v>0.020700216293335</v>
      </c>
      <c r="F2363" s="15" t="n">
        <v>0.400599986314774</v>
      </c>
      <c r="G2363" s="15" t="n">
        <v>4.44820022583008</v>
      </c>
      <c r="H2363" s="16">
        <f>C2363+E2363</f>
        <v/>
      </c>
    </row>
    <row r="2364">
      <c r="A2364" s="12" t="n">
        <v>45454</v>
      </c>
      <c r="B2364" s="15" t="n">
        <v>1.24019998311996</v>
      </c>
      <c r="C2364" s="15" t="n">
        <v>0.437900006771088</v>
      </c>
      <c r="D2364" s="15" t="n">
        <v>2.67589998245239</v>
      </c>
      <c r="E2364" s="15" t="n">
        <v>0.0141998529434204</v>
      </c>
      <c r="F2364" s="15" t="n">
        <v>0.404300004243851</v>
      </c>
      <c r="G2364" s="15" t="n">
        <v>4.36819982528687</v>
      </c>
      <c r="H2364" s="16">
        <f>C2364+E2364</f>
        <v/>
      </c>
    </row>
    <row r="2365">
      <c r="A2365" s="12" t="n">
        <v>45455</v>
      </c>
      <c r="B2365" s="15" t="n">
        <v>1.21429994702339</v>
      </c>
      <c r="C2365" s="15" t="n">
        <v>0.410400003194809</v>
      </c>
      <c r="D2365" s="15" t="n">
        <v>2.6586000919342</v>
      </c>
      <c r="E2365" s="15" t="n">
        <v>0.00769984722137451</v>
      </c>
      <c r="F2365" s="15" t="n">
        <v>0.432599991559982</v>
      </c>
      <c r="G2365" s="15" t="n">
        <v>4.29099988937378</v>
      </c>
      <c r="H2365" s="16">
        <f>C2365+E2365</f>
        <v/>
      </c>
    </row>
    <row r="2366">
      <c r="A2366" s="12" t="n">
        <v>45456</v>
      </c>
      <c r="B2366" s="15" t="n">
        <v>1.18860003352165</v>
      </c>
      <c r="C2366" s="15" t="n">
        <v>0.38280001282692</v>
      </c>
      <c r="D2366" s="15" t="n">
        <v>2.64120006561279</v>
      </c>
      <c r="E2366" s="15" t="n">
        <v>0.00129997730255127</v>
      </c>
      <c r="F2366" s="15" t="n">
        <v>0.43079999089241</v>
      </c>
      <c r="G2366" s="15" t="n">
        <v>4.21390008926392</v>
      </c>
      <c r="H2366" s="16">
        <f>C2366+E2366</f>
        <v/>
      </c>
    </row>
    <row r="2367">
      <c r="A2367" s="12" t="n">
        <v>45457</v>
      </c>
      <c r="B2367" s="15" t="n">
        <v>1.18299996852875</v>
      </c>
      <c r="C2367" s="15" t="n">
        <v>0.373600006103516</v>
      </c>
      <c r="D2367" s="15" t="n">
        <v>2.63590002059937</v>
      </c>
      <c r="E2367" s="15" t="n">
        <v>-0.0009998083114624019</v>
      </c>
      <c r="F2367" s="15" t="n">
        <v>0.448000013828278</v>
      </c>
      <c r="G2367" s="15" t="n">
        <v>4.19150018692017</v>
      </c>
      <c r="H2367" s="16">
        <f>C2367+E2367</f>
        <v/>
      </c>
    </row>
    <row r="2368">
      <c r="A2368" s="12" t="n">
        <v>45460</v>
      </c>
      <c r="B2368" s="15" t="n">
        <v>1.20359995961189</v>
      </c>
      <c r="C2368" s="15" t="n">
        <v>0.390199989080429</v>
      </c>
      <c r="D2368" s="15" t="n">
        <v>2.64739990234375</v>
      </c>
      <c r="E2368" s="15" t="n">
        <v>0.00290024280548096</v>
      </c>
      <c r="F2368" s="15" t="n">
        <v>0.441500008106232</v>
      </c>
      <c r="G2368" s="15" t="n">
        <v>4.24410009384155</v>
      </c>
      <c r="H2368" s="16">
        <f>C2368+E2368</f>
        <v/>
      </c>
    </row>
    <row r="2369">
      <c r="A2369" s="12" t="n">
        <v>45461</v>
      </c>
      <c r="B2369" s="15" t="n">
        <v>1.1850999891758</v>
      </c>
      <c r="C2369" s="15" t="n">
        <v>0.371499985456467</v>
      </c>
      <c r="D2369" s="15" t="n">
        <v>2.6350998878479</v>
      </c>
      <c r="E2369" s="15" t="n">
        <v>-0.00139987468719482</v>
      </c>
      <c r="F2369" s="15" t="n">
        <v>0.416799992322922</v>
      </c>
      <c r="G2369" s="15" t="n">
        <v>4.19029998779297</v>
      </c>
      <c r="H2369" s="16">
        <f>C2369+E2369</f>
        <v/>
      </c>
    </row>
    <row r="2370">
      <c r="A2370" s="12" t="n">
        <v>45463</v>
      </c>
      <c r="B2370" s="15" t="n">
        <v>1.19410002231598</v>
      </c>
      <c r="C2370" s="15" t="n">
        <v>0.383599996566772</v>
      </c>
      <c r="D2370" s="15" t="n">
        <v>2.64280009269714</v>
      </c>
      <c r="E2370" s="15" t="n">
        <v>0.00129973888397217</v>
      </c>
      <c r="F2370" s="15" t="n">
        <v>0.39640000462532</v>
      </c>
      <c r="G2370" s="15" t="n">
        <v>4.22179985046387</v>
      </c>
      <c r="H2370" s="16">
        <f>C2370+E2370</f>
        <v/>
      </c>
    </row>
    <row r="2371">
      <c r="A2371" s="12" t="n">
        <v>45464</v>
      </c>
      <c r="B2371" s="15" t="n">
        <v>1.19520002603531</v>
      </c>
      <c r="C2371" s="15" t="n">
        <v>0.388300001621246</v>
      </c>
      <c r="D2371" s="15" t="n">
        <v>2.64520001411438</v>
      </c>
      <c r="E2371" s="15" t="n">
        <v>0.00240004062652588</v>
      </c>
      <c r="F2371" s="15" t="n">
        <v>0.413300007581711</v>
      </c>
      <c r="G2371" s="15" t="n">
        <v>4.23110008239746</v>
      </c>
      <c r="H2371" s="16">
        <f>C2371+E2371</f>
        <v/>
      </c>
    </row>
    <row r="2372">
      <c r="A2372" s="12" t="n">
        <v>45467</v>
      </c>
      <c r="B2372" s="15" t="n">
        <v>1.19430002570152</v>
      </c>
      <c r="C2372" s="15" t="n">
        <v>0.386400014162064</v>
      </c>
      <c r="D2372" s="15" t="n">
        <v>2.64389991760254</v>
      </c>
      <c r="E2372" s="15" t="n">
        <v>0.00209987163543701</v>
      </c>
      <c r="F2372" s="15" t="n">
        <v>0.419200003147125</v>
      </c>
      <c r="G2372" s="15" t="n">
        <v>4.22669982910156</v>
      </c>
      <c r="H2372" s="16">
        <f>C2372+E2372</f>
        <v/>
      </c>
    </row>
    <row r="2373">
      <c r="A2373" s="12" t="n">
        <v>45468</v>
      </c>
      <c r="B2373" s="15" t="n">
        <v>1.18940001726151</v>
      </c>
      <c r="C2373" s="15" t="n">
        <v>0.379700005054474</v>
      </c>
      <c r="D2373" s="15" t="n">
        <v>2.63969993591309</v>
      </c>
      <c r="E2373" s="15" t="n">
        <v>0.000600218772888184</v>
      </c>
      <c r="F2373" s="15" t="n">
        <v>0.420899987220764</v>
      </c>
      <c r="G2373" s="15" t="n">
        <v>4.20940017700195</v>
      </c>
      <c r="H2373" s="16">
        <f>C2373+E2373</f>
        <v/>
      </c>
    </row>
    <row r="2374">
      <c r="A2374" s="12" t="n">
        <v>45469</v>
      </c>
      <c r="B2374" s="15" t="n">
        <v>1.21540001034737</v>
      </c>
      <c r="C2374" s="15" t="n">
        <v>0.411100000143051</v>
      </c>
      <c r="D2374" s="15" t="n">
        <v>2.65919995307922</v>
      </c>
      <c r="E2374" s="15" t="n">
        <v>0.007900118827819821</v>
      </c>
      <c r="F2374" s="15" t="n">
        <v>0.411199986934662</v>
      </c>
      <c r="G2374" s="15" t="n">
        <v>4.29360008239746</v>
      </c>
      <c r="H2374" s="16">
        <f>C2374+E2374</f>
        <v/>
      </c>
    </row>
    <row r="2375">
      <c r="A2375" s="12" t="n">
        <v>45470</v>
      </c>
      <c r="B2375" s="15" t="n">
        <v>1.20340001583099</v>
      </c>
      <c r="C2375" s="15" t="n">
        <v>0.402999997138977</v>
      </c>
      <c r="D2375" s="15" t="n">
        <v>2.6528000831604</v>
      </c>
      <c r="E2375" s="15" t="n">
        <v>0.00619983673095703</v>
      </c>
      <c r="F2375" s="15" t="n">
        <v>0.393599987030029</v>
      </c>
      <c r="G2375" s="15" t="n">
        <v>4.26539993286133</v>
      </c>
      <c r="H2375" s="16">
        <f>C2375+E2375</f>
        <v/>
      </c>
    </row>
    <row r="2376">
      <c r="A2376" s="12" t="n">
        <v>45471</v>
      </c>
      <c r="B2376" s="15" t="n">
        <v>1.22009998559952</v>
      </c>
      <c r="C2376" s="15" t="n">
        <v>0.430599987506866</v>
      </c>
      <c r="D2376" s="15" t="n">
        <v>2.6693000793457</v>
      </c>
      <c r="E2376" s="15" t="n">
        <v>0.0124999284744263</v>
      </c>
      <c r="F2376" s="15" t="n">
        <v>0.396499991416931</v>
      </c>
      <c r="G2376" s="15" t="n">
        <v>4.33249998092651</v>
      </c>
      <c r="H2376" s="16">
        <f>C2376+E2376</f>
        <v/>
      </c>
    </row>
    <row r="2377">
      <c r="A2377" s="12" t="n">
        <v>45474</v>
      </c>
      <c r="B2377" s="15" t="n">
        <v>1.25969997048378</v>
      </c>
      <c r="C2377" s="15" t="n">
        <v>0.482899993658066</v>
      </c>
      <c r="D2377" s="15" t="n">
        <v>2.70210003852844</v>
      </c>
      <c r="E2377" s="15" t="n">
        <v>0.0242998600006104</v>
      </c>
      <c r="F2377" s="15" t="n">
        <v>0.39070001244545</v>
      </c>
      <c r="G2377" s="15" t="n">
        <v>4.4689998626709</v>
      </c>
      <c r="H2377" s="16">
        <f>C2377+E2377</f>
        <v/>
      </c>
    </row>
    <row r="2378">
      <c r="A2378" s="12" t="n">
        <v>45475</v>
      </c>
      <c r="B2378" s="15" t="n">
        <v>1.2440000474453</v>
      </c>
      <c r="C2378" s="15" t="n">
        <v>0.468199998140335</v>
      </c>
      <c r="D2378" s="15" t="n">
        <v>2.69219994544983</v>
      </c>
      <c r="E2378" s="15" t="n">
        <v>0.0209001302719116</v>
      </c>
      <c r="F2378" s="15" t="n">
        <v>0.396200001239777</v>
      </c>
      <c r="G2378" s="15" t="n">
        <v>4.42530012130737</v>
      </c>
      <c r="H2378" s="16">
        <f>C2378+E2378</f>
        <v/>
      </c>
    </row>
    <row r="2379">
      <c r="A2379" s="12" t="n">
        <v>45476</v>
      </c>
      <c r="B2379" s="15" t="n">
        <v>1.22240003943443</v>
      </c>
      <c r="C2379" s="15" t="n">
        <v>0.4408999979496</v>
      </c>
      <c r="D2379" s="15" t="n">
        <v>2.67540001869202</v>
      </c>
      <c r="E2379" s="15" t="n">
        <v>0.0146000385284424</v>
      </c>
      <c r="F2379" s="15" t="n">
        <v>0.402200013399124</v>
      </c>
      <c r="G2379" s="15" t="n">
        <v>4.35330009460449</v>
      </c>
      <c r="H2379" s="16">
        <f>C2379+E2379</f>
        <v/>
      </c>
    </row>
    <row r="2380">
      <c r="A2380" s="12" t="n">
        <v>45478</v>
      </c>
      <c r="B2380" s="15" t="n">
        <v>1.18969994783401</v>
      </c>
      <c r="C2380" s="15" t="n">
        <v>0.411300003528595</v>
      </c>
      <c r="D2380" s="15" t="n">
        <v>2.65580010414124</v>
      </c>
      <c r="E2380" s="15" t="n">
        <v>0.00779974460601807</v>
      </c>
      <c r="F2380" s="15" t="n">
        <v>0.380800008773804</v>
      </c>
      <c r="G2380" s="15" t="n">
        <v>4.26459980010986</v>
      </c>
      <c r="H2380" s="16">
        <f>C2380+E2380</f>
        <v/>
      </c>
    </row>
    <row r="2381">
      <c r="A2381" s="12" t="n">
        <v>45481</v>
      </c>
      <c r="B2381" s="15" t="n">
        <v>1.18990004062653</v>
      </c>
      <c r="C2381" s="15" t="n">
        <v>0.41100001335144</v>
      </c>
      <c r="D2381" s="15" t="n">
        <v>2.65590000152588</v>
      </c>
      <c r="E2381" s="15" t="n">
        <v>0.00759994983673096</v>
      </c>
      <c r="F2381" s="15" t="n">
        <v>0.388799995183945</v>
      </c>
      <c r="G2381" s="15" t="n">
        <v>4.26440000534058</v>
      </c>
      <c r="H2381" s="16">
        <f>C2381+E2381</f>
        <v/>
      </c>
    </row>
    <row r="2382">
      <c r="A2382" s="12" t="n">
        <v>45482</v>
      </c>
      <c r="B2382" s="15" t="n">
        <v>1.19880002737045</v>
      </c>
      <c r="C2382" s="15" t="n">
        <v>0.421400010585785</v>
      </c>
      <c r="D2382" s="15" t="n">
        <v>2.66300010681152</v>
      </c>
      <c r="E2382" s="15" t="n">
        <v>0.009800076484680179</v>
      </c>
      <c r="F2382" s="15" t="n">
        <v>0.393999993801117</v>
      </c>
      <c r="G2382" s="15" t="n">
        <v>4.29300022125244</v>
      </c>
      <c r="H2382" s="16">
        <f>C2382+E2382</f>
        <v/>
      </c>
    </row>
    <row r="2383">
      <c r="A2383" s="12" t="n">
        <v>45483</v>
      </c>
      <c r="B2383" s="15" t="n">
        <v>1.19489997625351</v>
      </c>
      <c r="C2383" s="15" t="n">
        <v>0.415499985218048</v>
      </c>
      <c r="D2383" s="15" t="n">
        <v>2.65949988365173</v>
      </c>
      <c r="E2383" s="15" t="n">
        <v>0.00839996337890625</v>
      </c>
      <c r="F2383" s="15" t="n">
        <v>0.384799987077713</v>
      </c>
      <c r="G2383" s="15" t="n">
        <v>4.2782998085022</v>
      </c>
      <c r="H2383" s="16">
        <f>C2383+E2383</f>
        <v/>
      </c>
    </row>
    <row r="2384">
      <c r="A2384" s="12" t="n">
        <v>45484</v>
      </c>
      <c r="B2384" s="15" t="n">
        <v>1.15499997138977</v>
      </c>
      <c r="C2384" s="15" t="n">
        <v>0.392300009727478</v>
      </c>
      <c r="D2384" s="15" t="n">
        <v>2.64059996604919</v>
      </c>
      <c r="E2384" s="15" t="n">
        <v>0.0036998987197876</v>
      </c>
      <c r="F2384" s="15" t="n">
        <v>0.389800012111664</v>
      </c>
      <c r="G2384" s="15" t="n">
        <v>4.19159984588623</v>
      </c>
      <c r="H2384" s="16">
        <f>C2384+E2384</f>
        <v/>
      </c>
    </row>
    <row r="2385">
      <c r="A2385" s="12" t="n">
        <v>45485</v>
      </c>
      <c r="B2385" s="15" t="n">
        <v>1.14730003476143</v>
      </c>
      <c r="C2385" s="15" t="n">
        <v>0.391699999570847</v>
      </c>
      <c r="D2385" s="15" t="n">
        <v>2.63930010795593</v>
      </c>
      <c r="E2385" s="15" t="n">
        <v>0.00349974632263184</v>
      </c>
      <c r="F2385" s="15" t="n">
        <v>0.397899985313416</v>
      </c>
      <c r="G2385" s="15" t="n">
        <v>4.18179988861084</v>
      </c>
      <c r="H2385" s="16">
        <f>C2385+E2385</f>
        <v/>
      </c>
    </row>
    <row r="2386">
      <c r="A2386" s="12" t="n">
        <v>45488</v>
      </c>
      <c r="B2386" s="15" t="n">
        <v>1.15800005197525</v>
      </c>
      <c r="C2386" s="15" t="n">
        <v>0.411300003528595</v>
      </c>
      <c r="D2386" s="15" t="n">
        <v>2.65100002288818</v>
      </c>
      <c r="E2386" s="15" t="n">
        <v>0.007899880409240719</v>
      </c>
      <c r="F2386" s="15" t="n">
        <v>0.378600001335144</v>
      </c>
      <c r="G2386" s="15" t="n">
        <v>4.22819995880127</v>
      </c>
      <c r="H2386" s="16">
        <f>C2386+E2386</f>
        <v/>
      </c>
    </row>
    <row r="2387">
      <c r="A2387" s="12" t="n">
        <v>45489</v>
      </c>
      <c r="B2387" s="15" t="n">
        <v>1.14079996943474</v>
      </c>
      <c r="C2387" s="15" t="n">
        <v>0.389200001955032</v>
      </c>
      <c r="D2387" s="15" t="n">
        <v>2.63730001449585</v>
      </c>
      <c r="E2387" s="15" t="n">
        <v>0.0028998851776123</v>
      </c>
      <c r="F2387" s="15" t="n">
        <v>0.36719998717308</v>
      </c>
      <c r="G2387" s="15" t="n">
        <v>4.17019987106323</v>
      </c>
      <c r="H2387" s="16">
        <f>C2387+E2387</f>
        <v/>
      </c>
    </row>
    <row r="2388">
      <c r="A2388" s="12" t="n">
        <v>45490</v>
      </c>
      <c r="B2388" s="15" t="n">
        <v>1.13640001416206</v>
      </c>
      <c r="C2388" s="15" t="n">
        <v>0.383100003004074</v>
      </c>
      <c r="D2388" s="15" t="n">
        <v>2.63359999656677</v>
      </c>
      <c r="E2388" s="15" t="n">
        <v>0.00139999389648438</v>
      </c>
      <c r="F2388" s="15" t="n">
        <v>0.369800001382828</v>
      </c>
      <c r="G2388" s="15" t="n">
        <v>4.15450000762939</v>
      </c>
      <c r="H2388" s="16">
        <f>C2388+E2388</f>
        <v/>
      </c>
    </row>
    <row r="2389">
      <c r="A2389" s="12" t="n">
        <v>45491</v>
      </c>
      <c r="B2389" s="15" t="n">
        <v>1.15219995379448</v>
      </c>
      <c r="C2389" s="15" t="n">
        <v>0.399899989366531</v>
      </c>
      <c r="D2389" s="15" t="n">
        <v>2.644700050354</v>
      </c>
      <c r="E2389" s="15" t="n">
        <v>0.00510001182556152</v>
      </c>
      <c r="F2389" s="15" t="n">
        <v>0.373499989509583</v>
      </c>
      <c r="G2389" s="15" t="n">
        <v>4.20190000534058</v>
      </c>
      <c r="H2389" s="16">
        <f>C2389+E2389</f>
        <v/>
      </c>
    </row>
    <row r="2390">
      <c r="A2390" s="12" t="n">
        <v>45492</v>
      </c>
      <c r="B2390" s="15" t="n">
        <v>1.16639998555183</v>
      </c>
      <c r="C2390" s="15" t="n">
        <v>0.416799992322922</v>
      </c>
      <c r="D2390" s="15" t="n">
        <v>2.65510010719299</v>
      </c>
      <c r="E2390" s="15" t="n">
        <v>0.009099721908569339</v>
      </c>
      <c r="F2390" s="15" t="n">
        <v>0.38740000128746</v>
      </c>
      <c r="G2390" s="15" t="n">
        <v>4.24739980697632</v>
      </c>
      <c r="H2390" s="16">
        <f>C2390+E2390</f>
        <v/>
      </c>
    </row>
    <row r="2391">
      <c r="A2391" s="12" t="n">
        <v>45495</v>
      </c>
      <c r="B2391" s="15" t="n">
        <v>1.17080000042915</v>
      </c>
      <c r="C2391" s="15" t="n">
        <v>0.422600001096725</v>
      </c>
      <c r="D2391" s="15" t="n">
        <v>2.65849995613098</v>
      </c>
      <c r="E2391" s="15" t="n">
        <v>0.0105001926422119</v>
      </c>
      <c r="F2391" s="15" t="n">
        <v>0.393200010061264</v>
      </c>
      <c r="G2391" s="15" t="n">
        <v>4.26240015029907</v>
      </c>
      <c r="H2391" s="16">
        <f>C2391+E2391</f>
        <v/>
      </c>
    </row>
    <row r="2392">
      <c r="A2392" s="12" t="n">
        <v>45496</v>
      </c>
      <c r="B2392" s="15" t="n">
        <v>1.16290000081062</v>
      </c>
      <c r="C2392" s="15" t="n">
        <v>0.419800013303757</v>
      </c>
      <c r="D2392" s="15" t="n">
        <v>2.65560007095337</v>
      </c>
      <c r="E2392" s="15" t="n">
        <v>0.009999990463256839</v>
      </c>
      <c r="F2392" s="15" t="n">
        <v>0.401399999856949</v>
      </c>
      <c r="G2392" s="15" t="n">
        <v>4.24830007553101</v>
      </c>
      <c r="H2392" s="16">
        <f>C2392+E2392</f>
        <v/>
      </c>
    </row>
    <row r="2393">
      <c r="A2393" s="12" t="n">
        <v>45497</v>
      </c>
      <c r="B2393" s="15" t="n">
        <v>1.16769999265671</v>
      </c>
      <c r="C2393" s="15" t="n">
        <v>0.437099993228912</v>
      </c>
      <c r="D2393" s="15" t="n">
        <v>2.66519999504089</v>
      </c>
      <c r="E2393" s="15" t="n">
        <v>0.0138998031616211</v>
      </c>
      <c r="F2393" s="15" t="n">
        <v>0.407799988985062</v>
      </c>
      <c r="G2393" s="15" t="n">
        <v>4.28389978408813</v>
      </c>
      <c r="H2393" s="16">
        <f>C2393+E2393</f>
        <v/>
      </c>
    </row>
    <row r="2394">
      <c r="A2394" s="12" t="n">
        <v>45498</v>
      </c>
      <c r="B2394" s="15" t="n">
        <v>1.16399997472763</v>
      </c>
      <c r="C2394" s="15" t="n">
        <v>0.432799994945526</v>
      </c>
      <c r="D2394" s="15" t="n">
        <v>2.66190004348755</v>
      </c>
      <c r="E2394" s="15" t="n">
        <v>0.013299822807312</v>
      </c>
      <c r="F2394" s="15" t="n">
        <v>0.409599989652634</v>
      </c>
      <c r="G2394" s="15" t="n">
        <v>4.27199983596802</v>
      </c>
      <c r="H2394" s="16">
        <f>C2394+E2394</f>
        <v/>
      </c>
    </row>
    <row r="2395">
      <c r="A2395" s="12" t="n">
        <v>45499</v>
      </c>
      <c r="B2395" s="15" t="n">
        <v>1.13989996910095</v>
      </c>
      <c r="C2395" s="15" t="n">
        <v>0.407299995422363</v>
      </c>
      <c r="D2395" s="15" t="n">
        <v>2.64540004730225</v>
      </c>
      <c r="E2395" s="15" t="n">
        <v>0.0073997974395752</v>
      </c>
      <c r="F2395" s="15" t="n">
        <v>0.402900010347366</v>
      </c>
      <c r="G2395" s="15" t="n">
        <v>4.19999980926514</v>
      </c>
      <c r="H2395" s="16">
        <f>C2395+E2395</f>
        <v/>
      </c>
    </row>
    <row r="2396">
      <c r="A2396" s="12" t="n">
        <v>45502</v>
      </c>
      <c r="B2396" s="15" t="n">
        <v>1.13270002603531</v>
      </c>
      <c r="C2396" s="15" t="n">
        <v>0.397599995136261</v>
      </c>
      <c r="D2396" s="15" t="n">
        <v>2.63949990272522</v>
      </c>
      <c r="E2396" s="15" t="n">
        <v>0.00510013103485107</v>
      </c>
      <c r="F2396" s="15" t="n">
        <v>0.403400003910065</v>
      </c>
      <c r="G2396" s="15" t="n">
        <v>4.17490005493164</v>
      </c>
      <c r="H2396" s="16">
        <f>C2396+E2396</f>
        <v/>
      </c>
    </row>
    <row r="2397">
      <c r="A2397" s="12" t="n">
        <v>45503</v>
      </c>
      <c r="B2397" s="15" t="n">
        <v>1.12299996614456</v>
      </c>
      <c r="C2397" s="15" t="n">
        <v>0.390399992465973</v>
      </c>
      <c r="D2397" s="15" t="n">
        <v>2.63409996032715</v>
      </c>
      <c r="E2397" s="15" t="n">
        <v>0.0036998987197876</v>
      </c>
      <c r="F2397" s="15" t="n">
        <v>0.406300008296967</v>
      </c>
      <c r="G2397" s="15" t="n">
        <v>4.15119981765747</v>
      </c>
      <c r="H2397" s="16">
        <f>C2397+E2397</f>
        <v/>
      </c>
    </row>
    <row r="2398">
      <c r="A2398" s="12" t="n">
        <v>45504</v>
      </c>
      <c r="B2398" s="15" t="n">
        <v>1.09870004653931</v>
      </c>
      <c r="C2398" s="15" t="n">
        <v>0.366299986839294</v>
      </c>
      <c r="D2398" s="15" t="n">
        <v>2.61820006370544</v>
      </c>
      <c r="E2398" s="15" t="n">
        <v>-0.00180017948150635</v>
      </c>
      <c r="F2398" s="15" t="n">
        <v>0.391600012779236</v>
      </c>
      <c r="G2398" s="15" t="n">
        <v>4.08139991760254</v>
      </c>
      <c r="H2398" s="16">
        <f>C2398+E2398</f>
        <v/>
      </c>
    </row>
    <row r="2399">
      <c r="A2399" s="12" t="n">
        <v>45505</v>
      </c>
      <c r="B2399" s="15" t="n">
        <v>1.05759999155998</v>
      </c>
      <c r="C2399" s="15" t="n">
        <v>0.335299998521805</v>
      </c>
      <c r="D2399" s="15" t="n">
        <v>2.59599995613098</v>
      </c>
      <c r="E2399" s="15" t="n">
        <v>-0.008699893951416021</v>
      </c>
      <c r="F2399" s="15" t="n">
        <v>0.401699990034103</v>
      </c>
      <c r="G2399" s="15" t="n">
        <v>3.98020005226135</v>
      </c>
      <c r="H2399" s="16">
        <f>C2399+E2399</f>
        <v/>
      </c>
    </row>
    <row r="2400">
      <c r="A2400" s="12" t="n">
        <v>45506</v>
      </c>
      <c r="B2400" s="15" t="n">
        <v>0.973600059747696</v>
      </c>
      <c r="C2400" s="15" t="n">
        <v>0.286799997091293</v>
      </c>
      <c r="D2400" s="15" t="n">
        <v>2.5566999912262</v>
      </c>
      <c r="E2400" s="15" t="n">
        <v>-0.018700122833252</v>
      </c>
      <c r="F2400" s="15" t="n">
        <v>0.496399998664856</v>
      </c>
      <c r="G2400" s="15" t="n">
        <v>3.79839992523193</v>
      </c>
      <c r="H2400" s="16">
        <f>C2400+E2400</f>
        <v/>
      </c>
    </row>
    <row r="2401">
      <c r="A2401" s="12" t="n">
        <v>45509</v>
      </c>
      <c r="B2401" s="15" t="n">
        <v>0.966299951076508</v>
      </c>
      <c r="C2401" s="15" t="n">
        <v>0.276199996471405</v>
      </c>
      <c r="D2401" s="15" t="n">
        <v>2.54990005493164</v>
      </c>
      <c r="E2401" s="15" t="n">
        <v>-0.0210999250411987</v>
      </c>
      <c r="F2401" s="15" t="n">
        <v>0.476999998092651</v>
      </c>
      <c r="G2401" s="15" t="n">
        <v>3.77130007743835</v>
      </c>
      <c r="H2401" s="16">
        <f>C2401+E2401</f>
        <v/>
      </c>
    </row>
    <row r="2402">
      <c r="A2402" s="12" t="n">
        <v>45510</v>
      </c>
      <c r="B2402" s="15" t="n">
        <v>1.01320001482964</v>
      </c>
      <c r="C2402" s="15" t="n">
        <v>0.312999993562698</v>
      </c>
      <c r="D2402" s="15" t="n">
        <v>2.57719993591309</v>
      </c>
      <c r="E2402" s="15" t="n">
        <v>-0.0132999420166016</v>
      </c>
      <c r="F2402" s="15" t="n">
        <v>0.463600009679794</v>
      </c>
      <c r="G2402" s="15" t="n">
        <v>3.89010000228882</v>
      </c>
      <c r="H2402" s="16">
        <f>C2402+E2402</f>
        <v/>
      </c>
    </row>
    <row r="2403">
      <c r="A2403" s="12" t="n">
        <v>45511</v>
      </c>
      <c r="B2403" s="15" t="n">
        <v>1.03780001401901</v>
      </c>
      <c r="C2403" s="15" t="n">
        <v>0.343800008296967</v>
      </c>
      <c r="D2403" s="15" t="n">
        <v>2.59680008888245</v>
      </c>
      <c r="E2403" s="15" t="n">
        <v>-0.00650012493133545</v>
      </c>
      <c r="F2403" s="15" t="n">
        <v>0.47189998626709</v>
      </c>
      <c r="G2403" s="15" t="n">
        <v>3.97189998626709</v>
      </c>
      <c r="H2403" s="16">
        <f>C2403+E2403</f>
        <v/>
      </c>
    </row>
    <row r="2404">
      <c r="A2404" s="12" t="n">
        <v>45512</v>
      </c>
      <c r="B2404" s="15" t="n">
        <v>1.05220004916191</v>
      </c>
      <c r="C2404" s="15" t="n">
        <v>0.356799989938736</v>
      </c>
      <c r="D2404" s="15" t="n">
        <v>2.60579991340637</v>
      </c>
      <c r="E2404" s="15" t="n">
        <v>-0.0037001371383667</v>
      </c>
      <c r="F2404" s="15" t="n">
        <v>0.469700008630753</v>
      </c>
      <c r="G2404" s="15" t="n">
        <v>4.01109981536865</v>
      </c>
      <c r="H2404" s="16">
        <f>C2404+E2404</f>
        <v/>
      </c>
    </row>
    <row r="2405">
      <c r="A2405" s="12" t="n">
        <v>45513</v>
      </c>
      <c r="B2405" s="15" t="n">
        <v>1.04080000519753</v>
      </c>
      <c r="C2405" s="15" t="n">
        <v>0.340700000524521</v>
      </c>
      <c r="D2405" s="15" t="n">
        <v>2.59579992294312</v>
      </c>
      <c r="E2405" s="15" t="n">
        <v>-0.00720000267028809</v>
      </c>
      <c r="F2405" s="15" t="n">
        <v>0.467400014400482</v>
      </c>
      <c r="G2405" s="15" t="n">
        <v>3.97009992599487</v>
      </c>
      <c r="H2405" s="16">
        <f>C2405+E2405</f>
        <v/>
      </c>
    </row>
    <row r="2406">
      <c r="A2406" s="12" t="n">
        <v>45516</v>
      </c>
      <c r="B2406" s="15" t="n">
        <v>1.02590000629425</v>
      </c>
      <c r="C2406" s="15" t="n">
        <v>0.323199987411499</v>
      </c>
      <c r="D2406" s="15" t="n">
        <v>2.58509993553162</v>
      </c>
      <c r="E2406" s="15" t="n">
        <v>-0.0113998651504517</v>
      </c>
      <c r="F2406" s="15" t="n">
        <v>0.448199987411499</v>
      </c>
      <c r="G2406" s="15" t="n">
        <v>3.92280006408691</v>
      </c>
      <c r="H2406" s="16">
        <f>C2406+E2406</f>
        <v/>
      </c>
    </row>
    <row r="2407">
      <c r="A2407" s="12" t="n">
        <v>45517</v>
      </c>
      <c r="B2407" s="15" t="n">
        <v>0.999500006437302</v>
      </c>
      <c r="C2407" s="15" t="n">
        <v>0.303700000047684</v>
      </c>
      <c r="D2407" s="15" t="n">
        <v>2.57069993019104</v>
      </c>
      <c r="E2407" s="15" t="n">
        <v>-0.0154998302459717</v>
      </c>
      <c r="F2407" s="15" t="n">
        <v>0.454699993133545</v>
      </c>
      <c r="G2407" s="15" t="n">
        <v>3.85840010643005</v>
      </c>
      <c r="H2407" s="16">
        <f>C2407+E2407</f>
        <v/>
      </c>
    </row>
    <row r="2408">
      <c r="A2408" s="12" t="n">
        <v>45518</v>
      </c>
      <c r="B2408" s="15" t="n">
        <v>0.997299998998642</v>
      </c>
      <c r="C2408" s="15" t="n">
        <v>0.293599992990494</v>
      </c>
      <c r="D2408" s="15" t="n">
        <v>2.56579995155334</v>
      </c>
      <c r="E2408" s="15" t="n">
        <v>-0.0181000232696533</v>
      </c>
      <c r="F2408" s="15" t="n">
        <v>0.474799990653992</v>
      </c>
      <c r="G2408" s="15" t="n">
        <v>3.83859992027283</v>
      </c>
      <c r="H2408" s="16">
        <f>C2408+E2408</f>
        <v/>
      </c>
    </row>
    <row r="2409">
      <c r="A2409" s="12" t="n">
        <v>45519</v>
      </c>
      <c r="B2409" s="15" t="n">
        <v>1.03619995713234</v>
      </c>
      <c r="C2409" s="15" t="n">
        <v>0.322699993848801</v>
      </c>
      <c r="D2409" s="15" t="n">
        <v>2.58680009841919</v>
      </c>
      <c r="E2409" s="15" t="n">
        <v>-0.0117000341415405</v>
      </c>
      <c r="F2409" s="15" t="n">
        <v>0.449999988079071</v>
      </c>
      <c r="G2409" s="15" t="n">
        <v>3.93400001525879</v>
      </c>
      <c r="H2409" s="16">
        <f>C2409+E2409</f>
        <v/>
      </c>
    </row>
    <row r="2410">
      <c r="A2410" s="12" t="n">
        <v>45520</v>
      </c>
      <c r="B2410" s="15" t="n">
        <v>1.0256000161171</v>
      </c>
      <c r="C2410" s="15" t="n">
        <v>0.315100014209747</v>
      </c>
      <c r="D2410" s="15" t="n">
        <v>2.58049988746643</v>
      </c>
      <c r="E2410" s="15" t="n">
        <v>-0.0131000280380249</v>
      </c>
      <c r="F2410" s="15" t="n">
        <v>0.466800004243851</v>
      </c>
      <c r="G2410" s="15" t="n">
        <v>3.90809988975525</v>
      </c>
      <c r="H2410" s="16">
        <f>C2410+E2410</f>
        <v/>
      </c>
    </row>
    <row r="2411">
      <c r="A2411" s="12" t="n">
        <v>45523</v>
      </c>
      <c r="B2411" s="15" t="n">
        <v>1.01440006494522</v>
      </c>
      <c r="C2411" s="15" t="n">
        <v>0.304199993610382</v>
      </c>
      <c r="D2411" s="15" t="n">
        <v>2.57240009307861</v>
      </c>
      <c r="E2411" s="15" t="n">
        <v>-0.0152002573013306</v>
      </c>
      <c r="F2411" s="15" t="n">
        <v>0.471100002527237</v>
      </c>
      <c r="G2411" s="15" t="n">
        <v>3.87579989433289</v>
      </c>
      <c r="H2411" s="16">
        <f>C2411+E2411</f>
        <v/>
      </c>
    </row>
    <row r="2412">
      <c r="A2412" s="12" t="n">
        <v>45524</v>
      </c>
      <c r="B2412" s="15" t="n">
        <v>0.992999970912933</v>
      </c>
      <c r="C2412" s="15" t="n">
        <v>0.289099991321564</v>
      </c>
      <c r="D2412" s="15" t="n">
        <v>2.56060004234314</v>
      </c>
      <c r="E2412" s="15" t="n">
        <v>-0.0181999206542969</v>
      </c>
      <c r="F2412" s="15" t="n">
        <v>0.463899999856949</v>
      </c>
      <c r="G2412" s="15" t="n">
        <v>3.82450008392334</v>
      </c>
      <c r="H2412" s="16">
        <f>C2412+E2412</f>
        <v/>
      </c>
    </row>
    <row r="2413">
      <c r="A2413" s="12" t="n">
        <v>45525</v>
      </c>
      <c r="B2413" s="15" t="n">
        <v>0.974999994039536</v>
      </c>
      <c r="C2413" s="15" t="n">
        <v>0.28150001168251</v>
      </c>
      <c r="D2413" s="15" t="n">
        <v>2.5534999370575</v>
      </c>
      <c r="E2413" s="15" t="n">
        <v>-0.0195999145507812</v>
      </c>
      <c r="F2413" s="15" t="n">
        <v>0.459800004959106</v>
      </c>
      <c r="G2413" s="15" t="n">
        <v>3.79040002822876</v>
      </c>
      <c r="H2413" s="16">
        <f>C2413+E2413</f>
        <v/>
      </c>
    </row>
    <row r="2414">
      <c r="A2414" s="12" t="n">
        <v>45526</v>
      </c>
      <c r="B2414" s="15" t="n">
        <v>1.00269997119904</v>
      </c>
      <c r="C2414" s="15" t="n">
        <v>0.306100010871887</v>
      </c>
      <c r="D2414" s="15" t="n">
        <v>2.57069993019104</v>
      </c>
      <c r="E2414" s="15" t="n">
        <v>-0.01419997215271</v>
      </c>
      <c r="F2414" s="15" t="n">
        <v>0.45550000667572</v>
      </c>
      <c r="G2414" s="15" t="n">
        <v>3.86529994010925</v>
      </c>
      <c r="H2414" s="16">
        <f>C2414+E2414</f>
        <v/>
      </c>
    </row>
    <row r="2415">
      <c r="A2415" s="12" t="n">
        <v>45527</v>
      </c>
      <c r="B2415" s="15" t="n">
        <v>0.979999959468842</v>
      </c>
      <c r="C2415" s="15" t="n">
        <v>0.288399994373322</v>
      </c>
      <c r="D2415" s="15" t="n">
        <v>2.55819988250732</v>
      </c>
      <c r="E2415" s="15" t="n">
        <v>-0.0181999206542969</v>
      </c>
      <c r="F2415" s="15" t="n">
        <v>0.414000004529953</v>
      </c>
      <c r="G2415" s="15" t="n">
        <v>3.80839991569519</v>
      </c>
      <c r="H2415" s="16">
        <f>C2415+E2415</f>
        <v/>
      </c>
    </row>
    <row r="2416">
      <c r="A2416" s="12" t="n">
        <v>45530</v>
      </c>
      <c r="B2416" s="15" t="n">
        <v>0.981700003147125</v>
      </c>
      <c r="C2416" s="15" t="n">
        <v>0.29559999704361</v>
      </c>
      <c r="D2416" s="15" t="n">
        <v>2.56170010566711</v>
      </c>
      <c r="E2416" s="15" t="n">
        <v>-0.0165001153945923</v>
      </c>
      <c r="F2416" s="15" t="n">
        <v>0.39860001206398</v>
      </c>
      <c r="G2416" s="15" t="n">
        <v>3.82249999046326</v>
      </c>
      <c r="H2416" s="16">
        <f>C2416+E2416</f>
        <v/>
      </c>
    </row>
    <row r="2417">
      <c r="A2417" s="12" t="n">
        <v>45531</v>
      </c>
      <c r="B2417" s="15" t="n">
        <v>0.983099937438965</v>
      </c>
      <c r="C2417" s="15" t="n">
        <v>0.306800007820129</v>
      </c>
      <c r="D2417" s="15" t="n">
        <v>2.5673999786377</v>
      </c>
      <c r="E2417" s="15" t="n">
        <v>-0.0138000249862671</v>
      </c>
      <c r="F2417" s="15" t="n">
        <v>0.398900002241135</v>
      </c>
      <c r="G2417" s="15" t="n">
        <v>3.84349989891052</v>
      </c>
      <c r="H2417" s="16">
        <f>C2417+E2417</f>
        <v/>
      </c>
    </row>
    <row r="2418">
      <c r="A2418" s="12" t="n">
        <v>45532</v>
      </c>
      <c r="B2418" s="15" t="n">
        <v>0.983799993991852</v>
      </c>
      <c r="C2418" s="15" t="n">
        <v>0.312200009822845</v>
      </c>
      <c r="D2418" s="15" t="n">
        <v>2.57010006904602</v>
      </c>
      <c r="E2418" s="15" t="n">
        <v>-0.0125000476837158</v>
      </c>
      <c r="F2418" s="15" t="n">
        <v>0.39860001206398</v>
      </c>
      <c r="G2418" s="15" t="n">
        <v>3.853600025177</v>
      </c>
      <c r="H2418" s="16">
        <f>C2418+E2418</f>
        <v/>
      </c>
    </row>
    <row r="2419">
      <c r="A2419" s="12" t="n">
        <v>45533</v>
      </c>
      <c r="B2419" s="15" t="n">
        <v>0.994800060987473</v>
      </c>
      <c r="C2419" s="15" t="n">
        <v>0.321599990129471</v>
      </c>
      <c r="D2419" s="15" t="n">
        <v>2.57680010795593</v>
      </c>
      <c r="E2419" s="15" t="n">
        <v>-0.0104000568389893</v>
      </c>
      <c r="F2419" s="15" t="n">
        <v>0.396699994802475</v>
      </c>
      <c r="G2419" s="15" t="n">
        <v>3.88280010223389</v>
      </c>
      <c r="H2419" s="16">
        <f>C2419+E2419</f>
        <v/>
      </c>
    </row>
    <row r="2420">
      <c r="A2420" s="12" t="n">
        <v>45534</v>
      </c>
      <c r="B2420" s="15" t="n">
        <v>1.0090000629425</v>
      </c>
      <c r="C2420" s="15" t="n">
        <v>0.336899995803833</v>
      </c>
      <c r="D2420" s="15" t="n">
        <v>2.58689999580383</v>
      </c>
      <c r="E2420" s="15" t="n">
        <v>-0.00710010528564453</v>
      </c>
      <c r="F2420" s="15" t="n">
        <v>0.414299994707108</v>
      </c>
      <c r="G2420" s="15" t="n">
        <v>3.92569994926453</v>
      </c>
      <c r="H2420" s="16">
        <f>C2420+E2420</f>
        <v/>
      </c>
    </row>
    <row r="2421">
      <c r="A2421" s="12" t="n">
        <v>45538</v>
      </c>
      <c r="B2421" s="15" t="n">
        <v>0.982899993658066</v>
      </c>
      <c r="C2421" s="15" t="n">
        <v>0.313699990510941</v>
      </c>
      <c r="D2421" s="15" t="n">
        <v>2.57049989700317</v>
      </c>
      <c r="E2421" s="15" t="n">
        <v>-0.0120998620986938</v>
      </c>
      <c r="F2421" s="15" t="n">
        <v>0.441300004720688</v>
      </c>
      <c r="G2421" s="15" t="n">
        <v>3.85500001907349</v>
      </c>
      <c r="H2421" s="16">
        <f>C2421+E2421</f>
        <v/>
      </c>
    </row>
    <row r="2422">
      <c r="A2422" s="12" t="n">
        <v>45539</v>
      </c>
      <c r="B2422" s="15" t="n">
        <v>0.949200004339218</v>
      </c>
      <c r="C2422" s="15" t="n">
        <v>0.290800005197525</v>
      </c>
      <c r="D2422" s="15" t="n">
        <v>2.55299997329712</v>
      </c>
      <c r="E2422" s="15" t="n">
        <v>-0.0169000625610352</v>
      </c>
      <c r="F2422" s="15" t="n">
        <v>0.468199998140335</v>
      </c>
      <c r="G2422" s="15" t="n">
        <v>3.77609992027283</v>
      </c>
      <c r="H2422" s="16">
        <f>C2422+E2422</f>
        <v/>
      </c>
    </row>
    <row r="2423">
      <c r="A2423" s="12" t="n">
        <v>45540</v>
      </c>
      <c r="B2423" s="15" t="n">
        <v>0.938500016927719</v>
      </c>
      <c r="C2423" s="15" t="n">
        <v>0.281399995088577</v>
      </c>
      <c r="D2423" s="15" t="n">
        <v>2.54640007019043</v>
      </c>
      <c r="E2423" s="15" t="n">
        <v>-0.0189000368118286</v>
      </c>
      <c r="F2423" s="15" t="n">
        <v>0.483799993991852</v>
      </c>
      <c r="G2423" s="15" t="n">
        <v>3.7474000453949</v>
      </c>
      <c r="H2423" s="16">
        <f>C2423+E2423</f>
        <v/>
      </c>
    </row>
    <row r="2424">
      <c r="A2424" s="12" t="n">
        <v>45541</v>
      </c>
      <c r="B2424" s="15" t="n">
        <v>0.926099956035614</v>
      </c>
      <c r="C2424" s="15" t="n">
        <v>0.278400003910065</v>
      </c>
      <c r="D2424" s="15" t="n">
        <v>2.54299998283386</v>
      </c>
      <c r="E2424" s="15" t="n">
        <v>-0.0195999145507812</v>
      </c>
      <c r="F2424" s="15" t="n">
        <v>0.48879998922348</v>
      </c>
      <c r="G2424" s="15" t="n">
        <v>3.72790002822876</v>
      </c>
      <c r="H2424" s="16">
        <f>C2424+E2424</f>
        <v/>
      </c>
    </row>
    <row r="2425">
      <c r="A2425" s="12" t="n">
        <v>45544</v>
      </c>
      <c r="B2425" s="15" t="n">
        <v>0.9162999987602229</v>
      </c>
      <c r="C2425" s="15" t="n">
        <v>0.273400008678436</v>
      </c>
      <c r="D2425" s="15" t="n">
        <v>2.53830003738403</v>
      </c>
      <c r="E2425" s="15" t="n">
        <v>-0.020300030708313</v>
      </c>
      <c r="F2425" s="15" t="n">
        <v>0.477100014686584</v>
      </c>
      <c r="G2425" s="15" t="n">
        <v>3.70770001411438</v>
      </c>
      <c r="H2425" s="16">
        <f>C2425+E2425</f>
        <v/>
      </c>
    </row>
    <row r="2426">
      <c r="A2426" s="12" t="n">
        <v>45545</v>
      </c>
      <c r="B2426" s="15" t="n">
        <v>0.89640000462532</v>
      </c>
      <c r="C2426" s="15" t="n">
        <v>0.258100003004074</v>
      </c>
      <c r="D2426" s="15" t="n">
        <v>2.52740001678467</v>
      </c>
      <c r="E2426" s="15" t="n">
        <v>-0.0236999988555908</v>
      </c>
      <c r="F2426" s="15" t="n">
        <v>0.480199992656708</v>
      </c>
      <c r="G2426" s="15" t="n">
        <v>3.65820002555847</v>
      </c>
      <c r="H2426" s="16">
        <f>C2426+E2426</f>
        <v/>
      </c>
    </row>
    <row r="2427">
      <c r="A2427" s="12" t="n">
        <v>45546</v>
      </c>
      <c r="B2427" s="15" t="n">
        <v>0.90599998831749</v>
      </c>
      <c r="C2427" s="15" t="n">
        <v>0.251899987459183</v>
      </c>
      <c r="D2427" s="15" t="n">
        <v>2.5271999835968</v>
      </c>
      <c r="E2427" s="15" t="n">
        <v>-0.0257998704910278</v>
      </c>
      <c r="F2427" s="15" t="n">
        <v>0.458000004291534</v>
      </c>
      <c r="G2427" s="15" t="n">
        <v>3.65930008888245</v>
      </c>
      <c r="H2427" s="16">
        <f>C2427+E2427</f>
        <v/>
      </c>
    </row>
    <row r="2428">
      <c r="A2428" s="12" t="n">
        <v>45547</v>
      </c>
      <c r="B2428" s="15" t="n">
        <v>0.9119000434875491</v>
      </c>
      <c r="C2428" s="15" t="n">
        <v>0.266600012779236</v>
      </c>
      <c r="D2428" s="15" t="n">
        <v>2.53489995002747</v>
      </c>
      <c r="E2428" s="15" t="n">
        <v>-0.022300124168396</v>
      </c>
      <c r="F2428" s="15" t="n">
        <v>0.449600011110306</v>
      </c>
      <c r="G2428" s="15" t="n">
        <v>3.69109988212585</v>
      </c>
      <c r="H2428" s="16">
        <f>C2428+E2428</f>
        <v/>
      </c>
    </row>
    <row r="2429">
      <c r="A2429" s="12" t="n">
        <v>45548</v>
      </c>
      <c r="B2429" s="15" t="n">
        <v>0.893499970436096</v>
      </c>
      <c r="C2429" s="15" t="n">
        <v>0.26230001449585</v>
      </c>
      <c r="D2429" s="15" t="n">
        <v>2.52880001068115</v>
      </c>
      <c r="E2429" s="15" t="n">
        <v>-0.0226999521255493</v>
      </c>
      <c r="F2429" s="15" t="n">
        <v>0.426800012588501</v>
      </c>
      <c r="G2429" s="15" t="n">
        <v>3.66190004348755</v>
      </c>
      <c r="H2429" s="16">
        <f>C2429+E2429</f>
        <v/>
      </c>
    </row>
    <row r="2430">
      <c r="A2430" s="12" t="n">
        <v>45551</v>
      </c>
      <c r="B2430" s="15" t="n">
        <v>0.875600010156631</v>
      </c>
      <c r="C2430" s="15" t="n">
        <v>0.260300010442734</v>
      </c>
      <c r="D2430" s="15" t="n">
        <v>2.52290010452271</v>
      </c>
      <c r="E2430" s="15" t="n">
        <v>-0.0221002101898193</v>
      </c>
      <c r="F2430" s="15" t="n">
        <v>0.41729998588562</v>
      </c>
      <c r="G2430" s="15" t="n">
        <v>3.63669991493225</v>
      </c>
      <c r="H2430" s="16">
        <f>C2430+E2430</f>
        <v/>
      </c>
    </row>
    <row r="2431">
      <c r="A2431" s="12" t="n">
        <v>45552</v>
      </c>
      <c r="B2431" s="15" t="n">
        <v>0.880900025367737</v>
      </c>
      <c r="C2431" s="15" t="n">
        <v>0.26800000667572</v>
      </c>
      <c r="D2431" s="15" t="n">
        <v>2.52670001983643</v>
      </c>
      <c r="E2431" s="15" t="n">
        <v>-0.0199000835418701</v>
      </c>
      <c r="F2431" s="15" t="n">
        <v>0.405000001192093</v>
      </c>
      <c r="G2431" s="15" t="n">
        <v>3.65569996833801</v>
      </c>
      <c r="H2431" s="16">
        <f>C2431+E2431</f>
        <v/>
      </c>
    </row>
    <row r="2432">
      <c r="A2432" s="12" t="n">
        <v>45553</v>
      </c>
      <c r="B2432" s="15" t="n">
        <v>0.892499983310699</v>
      </c>
      <c r="C2432" s="15" t="n">
        <v>0.294900000095367</v>
      </c>
      <c r="D2432" s="15" t="n">
        <v>2.54089999198914</v>
      </c>
      <c r="E2432" s="15" t="n">
        <v>-0.0133000612258911</v>
      </c>
      <c r="F2432" s="15" t="n">
        <v>0.406100004911423</v>
      </c>
      <c r="G2432" s="15" t="n">
        <v>3.71499991416931</v>
      </c>
      <c r="H2432" s="16">
        <f>C2432+E2432</f>
        <v/>
      </c>
    </row>
    <row r="2433">
      <c r="A2433" s="12" t="n">
        <v>45554</v>
      </c>
      <c r="B2433" s="15" t="n">
        <v>0.8939999938011171</v>
      </c>
      <c r="C2433" s="15" t="n">
        <v>0.307900011539459</v>
      </c>
      <c r="D2433" s="15" t="n">
        <v>2.54670000076294</v>
      </c>
      <c r="E2433" s="15" t="n">
        <v>-0.00990009307861328</v>
      </c>
      <c r="F2433" s="15" t="n">
        <v>0.37830001115799</v>
      </c>
      <c r="G2433" s="15" t="n">
        <v>3.7386999130249</v>
      </c>
      <c r="H2433" s="16">
        <f>C2433+E2433</f>
        <v/>
      </c>
    </row>
    <row r="2434">
      <c r="A2434" s="12" t="n">
        <v>45555</v>
      </c>
      <c r="B2434" s="15" t="n">
        <v>0.888800054788589</v>
      </c>
      <c r="C2434" s="15" t="n">
        <v>0.312700003385544</v>
      </c>
      <c r="D2434" s="15" t="n">
        <v>2.54760003089905</v>
      </c>
      <c r="E2434" s="15" t="n">
        <v>-0.00860011577606201</v>
      </c>
      <c r="F2434" s="15" t="n">
        <v>0.388000011444092</v>
      </c>
      <c r="G2434" s="15" t="n">
        <v>3.74049997329712</v>
      </c>
      <c r="H2434" s="16">
        <f>C2434+E2434</f>
        <v/>
      </c>
    </row>
    <row r="2435">
      <c r="A2435" s="12" t="n">
        <v>45558</v>
      </c>
      <c r="B2435" s="15" t="n">
        <v>0.887299984693527</v>
      </c>
      <c r="C2435" s="15" t="n">
        <v>0.325899988412857</v>
      </c>
      <c r="D2435" s="15" t="n">
        <v>2.55229997634888</v>
      </c>
      <c r="E2435" s="15" t="n">
        <v>-0.00470006465911865</v>
      </c>
      <c r="F2435" s="15" t="n">
        <v>0.383500009775162</v>
      </c>
      <c r="G2435" s="15" t="n">
        <v>3.76079988479614</v>
      </c>
      <c r="H2435" s="16">
        <f>C2435+E2435</f>
        <v/>
      </c>
    </row>
    <row r="2436">
      <c r="A2436" s="12" t="n">
        <v>45559</v>
      </c>
      <c r="B2436" s="15" t="n">
        <v>0.8761999607086181</v>
      </c>
      <c r="C2436" s="15" t="n">
        <v>0.324699997901917</v>
      </c>
      <c r="D2436" s="15" t="n">
        <v>2.5492000579834</v>
      </c>
      <c r="E2436" s="15" t="n">
        <v>-0.004599928855896</v>
      </c>
      <c r="F2436" s="15" t="n">
        <v>0.360199987888336</v>
      </c>
      <c r="G2436" s="15" t="n">
        <v>3.74550008773804</v>
      </c>
      <c r="H2436" s="16">
        <f>C2436+E2436</f>
        <v/>
      </c>
    </row>
    <row r="2437">
      <c r="A2437" s="12" t="n">
        <v>45560</v>
      </c>
      <c r="B2437" s="15" t="n">
        <v>0.893599987030029</v>
      </c>
      <c r="C2437" s="15" t="n">
        <v>0.346300005912781</v>
      </c>
      <c r="D2437" s="15" t="n">
        <v>2.56270003318787</v>
      </c>
      <c r="E2437" s="15" t="n">
        <v>0.000300049781799316</v>
      </c>
      <c r="F2437" s="15" t="n">
        <v>0.37729999423027</v>
      </c>
      <c r="G2437" s="15" t="n">
        <v>3.80290007591248</v>
      </c>
      <c r="H2437" s="16">
        <f>C2437+E2437</f>
        <v/>
      </c>
    </row>
    <row r="2438">
      <c r="A2438" s="12" t="n">
        <v>45561</v>
      </c>
      <c r="B2438" s="15" t="n">
        <v>0.900999993085861</v>
      </c>
      <c r="C2438" s="15" t="n">
        <v>0.346100002527237</v>
      </c>
      <c r="D2438" s="15" t="n">
        <v>2.56340003013611</v>
      </c>
      <c r="E2438" s="15" t="n">
        <v>0.000399947166442871</v>
      </c>
      <c r="F2438" s="15" t="n">
        <v>0.38850000500679</v>
      </c>
      <c r="G2438" s="15" t="n">
        <v>3.81089997291565</v>
      </c>
      <c r="H2438" s="16">
        <f>C2438+E2438</f>
        <v/>
      </c>
    </row>
    <row r="2439">
      <c r="A2439" s="12" t="n">
        <v>45562</v>
      </c>
      <c r="B2439" s="15" t="n">
        <v>0.883000016212463</v>
      </c>
      <c r="C2439" s="15" t="n">
        <v>0.329699993133545</v>
      </c>
      <c r="D2439" s="15" t="n">
        <v>2.55209994316101</v>
      </c>
      <c r="E2439" s="15" t="n">
        <v>-0.00319993495941162</v>
      </c>
      <c r="F2439" s="15" t="n">
        <v>0.38730001449585</v>
      </c>
      <c r="G2439" s="15" t="n">
        <v>3.76160001754761</v>
      </c>
      <c r="H2439" s="16">
        <f>C2439+E2439</f>
        <v/>
      </c>
    </row>
    <row r="2440">
      <c r="A2440" s="12" t="n">
        <v>45565</v>
      </c>
      <c r="B2440" s="15" t="n">
        <v>0.901500016450882</v>
      </c>
      <c r="C2440" s="15" t="n">
        <v>0.350100010633469</v>
      </c>
      <c r="D2440" s="15" t="n">
        <v>2.56439995765686</v>
      </c>
      <c r="E2440" s="15" t="n">
        <v>0.0018000602722168</v>
      </c>
      <c r="F2440" s="15" t="n">
        <v>0.379700005054474</v>
      </c>
      <c r="G2440" s="15" t="n">
        <v>3.81780004501343</v>
      </c>
      <c r="H2440" s="16">
        <f>C2440+E2440</f>
        <v/>
      </c>
    </row>
    <row r="2441">
      <c r="A2441" s="12" t="n">
        <v>45566</v>
      </c>
      <c r="B2441" s="15" t="n">
        <v>0.878800004720688</v>
      </c>
      <c r="C2441" s="15" t="n">
        <v>0.324600011110306</v>
      </c>
      <c r="D2441" s="15" t="n">
        <v>2.54749989509583</v>
      </c>
      <c r="E2441" s="15" t="n">
        <v>-0.00379979610443115</v>
      </c>
      <c r="F2441" s="15" t="n">
        <v>0.355599999427795</v>
      </c>
      <c r="G2441" s="15" t="n">
        <v>3.74710011482239</v>
      </c>
      <c r="H2441" s="16">
        <f>C2441+E2441</f>
        <v/>
      </c>
    </row>
    <row r="2442">
      <c r="A2442" s="12" t="n">
        <v>45567</v>
      </c>
      <c r="B2442" s="15" t="n">
        <v>0.891400009393692</v>
      </c>
      <c r="C2442" s="15" t="n">
        <v>0.341500014066696</v>
      </c>
      <c r="D2442" s="15" t="n">
        <v>2.55789995193481</v>
      </c>
      <c r="E2442" s="15" t="n">
        <v>0.000100016593933105</v>
      </c>
      <c r="F2442" s="15" t="n">
        <v>0.34400001168251</v>
      </c>
      <c r="G2442" s="15" t="n">
        <v>3.79089999198914</v>
      </c>
      <c r="H2442" s="16">
        <f>C2442+E2442</f>
        <v/>
      </c>
    </row>
    <row r="2443">
      <c r="A2443" s="12" t="n">
        <v>45568</v>
      </c>
      <c r="B2443" s="15" t="n">
        <v>0.914600044488907</v>
      </c>
      <c r="C2443" s="15" t="n">
        <v>0.366600006818771</v>
      </c>
      <c r="D2443" s="15" t="n">
        <v>2.57389998435974</v>
      </c>
      <c r="E2443" s="15" t="n">
        <v>0.00579988956451416</v>
      </c>
      <c r="F2443" s="15" t="n">
        <v>0.359100013971329</v>
      </c>
      <c r="G2443" s="15" t="n">
        <v>3.86089992523193</v>
      </c>
      <c r="H2443" s="16">
        <f>C2443+E2443</f>
        <v/>
      </c>
    </row>
    <row r="2444">
      <c r="A2444" s="12" t="n">
        <v>45569</v>
      </c>
      <c r="B2444" s="15" t="n">
        <v>0.97299998998642</v>
      </c>
      <c r="C2444" s="15" t="n">
        <v>0.406199991703033</v>
      </c>
      <c r="D2444" s="15" t="n">
        <v>2.60279989242554</v>
      </c>
      <c r="E2444" s="15" t="n">
        <v>0.0149002075195312</v>
      </c>
      <c r="F2444" s="15" t="n">
        <v>0.372200012207031</v>
      </c>
      <c r="G2444" s="15" t="n">
        <v>3.99690008163452</v>
      </c>
      <c r="H2444" s="16">
        <f>C2444+E2444</f>
        <v/>
      </c>
    </row>
    <row r="2445">
      <c r="A2445" s="12" t="n">
        <v>45572</v>
      </c>
      <c r="B2445" s="15" t="n">
        <v>0.989500015974045</v>
      </c>
      <c r="C2445" s="15" t="n">
        <v>0.424299985170364</v>
      </c>
      <c r="D2445" s="15" t="n">
        <v>2.61350011825562</v>
      </c>
      <c r="E2445" s="15" t="n">
        <v>0.0192997455596924</v>
      </c>
      <c r="F2445" s="15" t="n">
        <v>0.353199988603592</v>
      </c>
      <c r="G2445" s="15" t="n">
        <v>4.04659986495972</v>
      </c>
      <c r="H2445" s="16">
        <f>C2445+E2445</f>
        <v/>
      </c>
    </row>
    <row r="2446">
      <c r="A2446" s="12" t="n">
        <v>45573</v>
      </c>
      <c r="B2446" s="15" t="n">
        <v>0.9876000285148619</v>
      </c>
      <c r="C2446" s="15" t="n">
        <v>0.425000011920929</v>
      </c>
      <c r="D2446" s="15" t="n">
        <v>2.61279988288879</v>
      </c>
      <c r="E2446" s="15" t="n">
        <v>0.0197999477386475</v>
      </c>
      <c r="F2446" s="15" t="n">
        <v>0.354299992322922</v>
      </c>
      <c r="G2446" s="15" t="n">
        <v>4.04519987106323</v>
      </c>
      <c r="H2446" s="16">
        <f>C2446+E2446</f>
        <v/>
      </c>
    </row>
    <row r="2447">
      <c r="A2447" s="12" t="n">
        <v>45574</v>
      </c>
      <c r="B2447" s="15" t="n">
        <v>1.00069996714592</v>
      </c>
      <c r="C2447" s="15" t="n">
        <v>0.437299996614456</v>
      </c>
      <c r="D2447" s="15" t="n">
        <v>2.62120008468628</v>
      </c>
      <c r="E2447" s="15" t="n">
        <v>0.0224997997283936</v>
      </c>
      <c r="F2447" s="15" t="n">
        <v>0.340200006961823</v>
      </c>
      <c r="G2447" s="15" t="n">
        <v>4.08169984817505</v>
      </c>
      <c r="H2447" s="16">
        <f>C2447+E2447</f>
        <v/>
      </c>
    </row>
    <row r="2448">
      <c r="A2448" s="12" t="n">
        <v>45575</v>
      </c>
      <c r="B2448" s="15" t="n">
        <v>1.00450006127357</v>
      </c>
      <c r="C2448" s="15" t="n">
        <v>0.443399995565414</v>
      </c>
      <c r="D2448" s="15" t="n">
        <v>2.62490010261536</v>
      </c>
      <c r="E2448" s="15" t="n">
        <v>0.023900032043457</v>
      </c>
      <c r="F2448" s="15" t="n">
        <v>0.312700003385544</v>
      </c>
      <c r="G2448" s="15" t="n">
        <v>4.0967001914978</v>
      </c>
      <c r="H2448" s="16">
        <f>C2448+E2448</f>
        <v/>
      </c>
    </row>
    <row r="2449">
      <c r="A2449" s="12" t="n">
        <v>45576</v>
      </c>
      <c r="B2449" s="15" t="n">
        <v>0.999699950218201</v>
      </c>
      <c r="C2449" s="15" t="n">
        <v>0.447499990463257</v>
      </c>
      <c r="D2449" s="15" t="n">
        <v>2.62639999389648</v>
      </c>
      <c r="E2449" s="15" t="n">
        <v>0.024800181388855</v>
      </c>
      <c r="F2449" s="15" t="n">
        <v>0.307200014591217</v>
      </c>
      <c r="G2449" s="15" t="n">
        <v>4.0984001159668</v>
      </c>
      <c r="H2449" s="16">
        <f>C2449+E2449</f>
        <v/>
      </c>
    </row>
    <row r="2450">
      <c r="A2450" s="12" t="n">
        <v>45580</v>
      </c>
      <c r="B2450" s="15" t="n">
        <v>0.985300004482269</v>
      </c>
      <c r="C2450" s="15" t="n">
        <v>0.428600013256073</v>
      </c>
      <c r="D2450" s="15" t="n">
        <v>2.61420011520386</v>
      </c>
      <c r="E2450" s="15" t="n">
        <v>0.0206998586654663</v>
      </c>
      <c r="F2450" s="15" t="n">
        <v>0.332199990749359</v>
      </c>
      <c r="G2450" s="15" t="n">
        <v>4.04879999160767</v>
      </c>
      <c r="H2450" s="16">
        <f>C2450+E2450</f>
        <v/>
      </c>
    </row>
    <row r="2451">
      <c r="A2451" s="12" t="n">
        <v>45581</v>
      </c>
      <c r="B2451" s="15" t="n">
        <v>0.980699986219406</v>
      </c>
      <c r="C2451" s="15" t="n">
        <v>0.423000007867813</v>
      </c>
      <c r="D2451" s="15" t="n">
        <v>2.61059999465942</v>
      </c>
      <c r="E2451" s="15" t="n">
        <v>0.0194000005722046</v>
      </c>
      <c r="F2451" s="15" t="n">
        <v>0.348899990320206</v>
      </c>
      <c r="G2451" s="15" t="n">
        <v>4.03369998931885</v>
      </c>
      <c r="H2451" s="16">
        <f>C2451+E2451</f>
        <v/>
      </c>
    </row>
    <row r="2452">
      <c r="A2452" s="12" t="n">
        <v>45582</v>
      </c>
      <c r="B2452" s="15" t="n">
        <v>1.00469994544983</v>
      </c>
      <c r="C2452" s="15" t="n">
        <v>0.450500011444092</v>
      </c>
      <c r="D2452" s="15" t="n">
        <v>2.62879991531372</v>
      </c>
      <c r="E2452" s="15" t="n">
        <v>0.0253002643585205</v>
      </c>
      <c r="F2452" s="15" t="n">
        <v>0.340400010347366</v>
      </c>
      <c r="G2452" s="15" t="n">
        <v>4.10930013656616</v>
      </c>
      <c r="H2452" s="16">
        <f>C2452+E2452</f>
        <v/>
      </c>
    </row>
    <row r="2453">
      <c r="A2453" s="12" t="n">
        <v>45583</v>
      </c>
      <c r="B2453" s="15" t="n">
        <v>1.00150004029274</v>
      </c>
      <c r="C2453" s="15" t="n">
        <v>0.446299999952316</v>
      </c>
      <c r="D2453" s="15" t="n">
        <v>2.62669992446899</v>
      </c>
      <c r="E2453" s="15" t="n">
        <v>0.0242000818252563</v>
      </c>
      <c r="F2453" s="15" t="n">
        <v>0.322200000286102</v>
      </c>
      <c r="G2453" s="15" t="n">
        <v>4.09870004653931</v>
      </c>
      <c r="H2453" s="16">
        <f>C2453+E2453</f>
        <v/>
      </c>
    </row>
    <row r="2454">
      <c r="A2454" s="12" t="n">
        <v>45586</v>
      </c>
      <c r="B2454" s="15" t="n">
        <v>1.03719997406006</v>
      </c>
      <c r="C2454" s="15" t="n">
        <v>0.488499999046326</v>
      </c>
      <c r="D2454" s="15" t="n">
        <v>2.65380001068115</v>
      </c>
      <c r="E2454" s="15" t="n">
        <v>0.0337001085281372</v>
      </c>
      <c r="F2454" s="15" t="n">
        <v>0.35479998588562</v>
      </c>
      <c r="G2454" s="15" t="n">
        <v>4.21320009231567</v>
      </c>
      <c r="H2454" s="16">
        <f>C2454+E2454</f>
        <v/>
      </c>
    </row>
    <row r="2455">
      <c r="A2455" s="12" t="n">
        <v>45587</v>
      </c>
      <c r="B2455" s="15" t="n">
        <v>1.04320001602173</v>
      </c>
      <c r="C2455" s="15" t="n">
        <v>0.495000004768372</v>
      </c>
      <c r="D2455" s="15" t="n">
        <v>2.65750002861023</v>
      </c>
      <c r="E2455" s="15" t="n">
        <v>0.0352998971939087</v>
      </c>
      <c r="F2455" s="15" t="n">
        <v>0.340999990701675</v>
      </c>
      <c r="G2455" s="15" t="n">
        <v>4.23099994659424</v>
      </c>
      <c r="H2455" s="16">
        <f>C2455+E2455</f>
        <v/>
      </c>
    </row>
    <row r="2456">
      <c r="A2456" s="12" t="n">
        <v>45588</v>
      </c>
      <c r="B2456" s="15" t="n">
        <v>1.05889999866486</v>
      </c>
      <c r="C2456" s="15" t="n">
        <v>0.509400010108948</v>
      </c>
      <c r="D2456" s="15" t="n">
        <v>2.66709995269775</v>
      </c>
      <c r="E2456" s="15" t="n">
        <v>0.0386002063751221</v>
      </c>
      <c r="F2456" s="15" t="n">
        <v>0.356700003147125</v>
      </c>
      <c r="G2456" s="15" t="n">
        <v>4.27400016784668</v>
      </c>
      <c r="H2456" s="16">
        <f>C2456+E2456</f>
        <v/>
      </c>
    </row>
    <row r="2457">
      <c r="A2457" s="12" t="n">
        <v>45589</v>
      </c>
      <c r="B2457" s="15" t="n">
        <v>1.049899995327</v>
      </c>
      <c r="C2457" s="15" t="n">
        <v>0.495299994945526</v>
      </c>
      <c r="D2457" s="15" t="n">
        <v>2.65829992294312</v>
      </c>
      <c r="E2457" s="15" t="n">
        <v>0.0354999303817749</v>
      </c>
      <c r="F2457" s="15" t="n">
        <v>0.36259999871254</v>
      </c>
      <c r="G2457" s="15" t="n">
        <v>4.23899984359741</v>
      </c>
      <c r="H2457" s="16">
        <f>C2457+E2457</f>
        <v/>
      </c>
    </row>
    <row r="2458">
      <c r="A2458" s="12" t="n">
        <v>45590</v>
      </c>
      <c r="B2458" s="15" t="n">
        <v>1.06630003452301</v>
      </c>
      <c r="C2458" s="15" t="n">
        <v>0.5078999996185301</v>
      </c>
      <c r="D2458" s="15" t="n">
        <v>2.66759991645813</v>
      </c>
      <c r="E2458" s="15" t="n">
        <v>0.0382002592086792</v>
      </c>
      <c r="F2458" s="15" t="n">
        <v>0.392300009727478</v>
      </c>
      <c r="G2458" s="15" t="n">
        <v>4.28000020980835</v>
      </c>
      <c r="H2458" s="16">
        <f>C2458+E2458</f>
        <v/>
      </c>
    </row>
    <row r="2459">
      <c r="A2459" s="12" t="n">
        <v>45593</v>
      </c>
      <c r="B2459" s="15" t="n">
        <v>1.07239997386932</v>
      </c>
      <c r="C2459" s="15" t="n">
        <v>0.522199988365173</v>
      </c>
      <c r="D2459" s="15" t="n">
        <v>2.67459988594055</v>
      </c>
      <c r="E2459" s="15" t="n">
        <v>0.0420002937316895</v>
      </c>
      <c r="F2459" s="15" t="n">
        <v>0.404000014066696</v>
      </c>
      <c r="G2459" s="15" t="n">
        <v>4.31120014190674</v>
      </c>
      <c r="H2459" s="16">
        <f>C2459+E2459</f>
        <v/>
      </c>
    </row>
    <row r="2460">
      <c r="A2460" s="12" t="n">
        <v>45594</v>
      </c>
      <c r="B2460" s="15" t="n">
        <v>1.07079994678497</v>
      </c>
      <c r="C2460" s="15" t="n">
        <v>0.522300004959106</v>
      </c>
      <c r="D2460" s="15" t="n">
        <v>2.67409992218018</v>
      </c>
      <c r="E2460" s="15" t="n">
        <v>0.0421000719070435</v>
      </c>
      <c r="F2460" s="15" t="n">
        <v>0.392599999904633</v>
      </c>
      <c r="G2460" s="15" t="n">
        <v>4.3092999458313</v>
      </c>
      <c r="H2460" s="16">
        <f>C2460+E2460</f>
        <v/>
      </c>
    </row>
    <row r="2461">
      <c r="A2461" s="12" t="n">
        <v>45595</v>
      </c>
      <c r="B2461" s="15" t="n">
        <v>1.07359999418259</v>
      </c>
      <c r="C2461" s="15" t="n">
        <v>0.5234000086784359</v>
      </c>
      <c r="D2461" s="15" t="n">
        <v>2.67400002479553</v>
      </c>
      <c r="E2461" s="15" t="n">
        <v>0.0427998304367065</v>
      </c>
      <c r="F2461" s="15" t="n">
        <v>0.365200012922287</v>
      </c>
      <c r="G2461" s="15" t="n">
        <v>4.31379985809326</v>
      </c>
      <c r="H2461" s="16">
        <f>C2461+E2461</f>
        <v/>
      </c>
    </row>
    <row r="2462">
      <c r="A2462" s="12" t="n">
        <v>45596</v>
      </c>
      <c r="B2462" s="15" t="n">
        <v>1.07110005617142</v>
      </c>
      <c r="C2462" s="15" t="n">
        <v>0.5212000012397771</v>
      </c>
      <c r="D2462" s="15" t="n">
        <v>2.6716001033783</v>
      </c>
      <c r="E2462" s="15" t="n">
        <v>0.042699933052063</v>
      </c>
      <c r="F2462" s="15" t="n">
        <v>0.357800006866455</v>
      </c>
      <c r="G2462" s="15" t="n">
        <v>4.30660009384155</v>
      </c>
      <c r="H2462" s="16">
        <f>C2462+E2462</f>
        <v/>
      </c>
    </row>
    <row r="2463">
      <c r="A2463" s="12" t="n">
        <v>45597</v>
      </c>
      <c r="B2463" s="15" t="n">
        <v>1.09589993953705</v>
      </c>
      <c r="C2463" s="15" t="n">
        <v>0.559800028800964</v>
      </c>
      <c r="D2463" s="15" t="n">
        <v>2.69429993629456</v>
      </c>
      <c r="E2463" s="15" t="n">
        <v>0.0517001152038574</v>
      </c>
      <c r="F2463" s="15" t="n">
        <v>0.388700008392334</v>
      </c>
      <c r="G2463" s="15" t="n">
        <v>4.40170001983643</v>
      </c>
      <c r="H2463" s="16">
        <f>C2463+E2463</f>
        <v/>
      </c>
    </row>
    <row r="2464">
      <c r="A2464" s="12" t="n">
        <v>45600</v>
      </c>
      <c r="B2464" s="15" t="n">
        <v>1.07440006732941</v>
      </c>
      <c r="C2464" s="15" t="n">
        <v>0.540899991989136</v>
      </c>
      <c r="D2464" s="15" t="n">
        <v>2.68050003051758</v>
      </c>
      <c r="E2464" s="15" t="n">
        <v>0.0478998422622681</v>
      </c>
      <c r="F2464" s="15" t="n">
        <v>0.404300004243851</v>
      </c>
      <c r="G2464" s="15" t="n">
        <v>4.34369993209839</v>
      </c>
      <c r="H2464" s="16">
        <f>C2464+E2464</f>
        <v/>
      </c>
    </row>
    <row r="2465">
      <c r="A2465" s="12" t="n">
        <v>45601</v>
      </c>
      <c r="B2465" s="15" t="n">
        <v>1.0654000043869</v>
      </c>
      <c r="C2465" s="15" t="n">
        <v>0.526000022888184</v>
      </c>
      <c r="D2465" s="15" t="n">
        <v>2.67090010643005</v>
      </c>
      <c r="E2465" s="15" t="n">
        <v>0.0448998212814331</v>
      </c>
      <c r="F2465" s="15" t="n">
        <v>0.392399996519089</v>
      </c>
      <c r="G2465" s="15" t="n">
        <v>4.30719995498657</v>
      </c>
      <c r="H2465" s="16">
        <f>C2465+E2465</f>
        <v/>
      </c>
    </row>
    <row r="2466">
      <c r="A2466" s="12" t="n">
        <v>45602</v>
      </c>
      <c r="B2466" s="15" t="n">
        <v>1.10890007019043</v>
      </c>
      <c r="C2466" s="15" t="n">
        <v>0.573899984359741</v>
      </c>
      <c r="D2466" s="15" t="n">
        <v>2.70199990272522</v>
      </c>
      <c r="E2466" s="15" t="n">
        <v>0.0555000305175781</v>
      </c>
      <c r="F2466" s="15" t="n">
        <v>0.334100008010864</v>
      </c>
      <c r="G2466" s="15" t="n">
        <v>4.44029998779297</v>
      </c>
      <c r="H2466" s="16">
        <f>C2466+E2466</f>
        <v/>
      </c>
    </row>
    <row r="2467">
      <c r="A2467" s="12" t="n">
        <v>45603</v>
      </c>
      <c r="B2467" s="15" t="n">
        <v>1.07849997282028</v>
      </c>
      <c r="C2467" s="15" t="n">
        <v>0.5436000227928161</v>
      </c>
      <c r="D2467" s="15" t="n">
        <v>2.68199992179871</v>
      </c>
      <c r="E2467" s="15" t="n">
        <v>0.0486999750137329</v>
      </c>
      <c r="F2467" s="15" t="n">
        <v>0.348600000143051</v>
      </c>
      <c r="G2467" s="15" t="n">
        <v>4.35279989242554</v>
      </c>
      <c r="H2467" s="16">
        <f>C2467+E2467</f>
        <v/>
      </c>
    </row>
    <row r="2468">
      <c r="A2468" s="12" t="n">
        <v>45604</v>
      </c>
      <c r="B2468" s="15" t="n">
        <v>1.07549995183945</v>
      </c>
      <c r="C2468" s="15" t="n">
        <v>0.527599990367889</v>
      </c>
      <c r="D2468" s="15" t="n">
        <v>2.67319989204407</v>
      </c>
      <c r="E2468" s="15" t="n">
        <v>0.045199990272522</v>
      </c>
      <c r="F2468" s="15" t="n">
        <v>0.344199985265732</v>
      </c>
      <c r="G2468" s="15" t="n">
        <v>4.32149982452393</v>
      </c>
      <c r="H2468" s="16">
        <f>C2468+E2468</f>
        <v/>
      </c>
    </row>
    <row r="2469">
      <c r="A2469" s="12" t="n">
        <v>45608</v>
      </c>
      <c r="B2469" s="15" t="n">
        <v>1.11800003051758</v>
      </c>
      <c r="C2469" s="15" t="n">
        <v>0.5702999830245969</v>
      </c>
      <c r="D2469" s="15" t="n">
        <v>2.70129990577698</v>
      </c>
      <c r="E2469" s="15" t="n">
        <v>0.054900050163269</v>
      </c>
      <c r="F2469" s="15" t="n">
        <v>0.376199990510941</v>
      </c>
      <c r="G2469" s="15" t="n">
        <v>4.44449996948242</v>
      </c>
      <c r="H2469" s="16">
        <f>C2469+E2469</f>
        <v/>
      </c>
    </row>
    <row r="2470">
      <c r="A2470" s="12" t="n">
        <v>45609</v>
      </c>
      <c r="B2470" s="15" t="n">
        <v>1.1152999997139</v>
      </c>
      <c r="C2470" s="15" t="n">
        <v>0.583100020885468</v>
      </c>
      <c r="D2470" s="15" t="n">
        <v>2.70689988136292</v>
      </c>
      <c r="E2470" s="15" t="n">
        <v>0.0580003261566162</v>
      </c>
      <c r="F2470" s="15" t="n">
        <v>0.381900012493134</v>
      </c>
      <c r="G2470" s="15" t="n">
        <v>4.4633002281189</v>
      </c>
      <c r="H2470" s="16">
        <f>C2470+E2470</f>
        <v/>
      </c>
    </row>
    <row r="2471">
      <c r="A2471" s="12" t="n">
        <v>45610</v>
      </c>
      <c r="B2471" s="15" t="n">
        <v>1.11559998989105</v>
      </c>
      <c r="C2471" s="15" t="n">
        <v>0.571699976921082</v>
      </c>
      <c r="D2471" s="15" t="n">
        <v>2.70099997520447</v>
      </c>
      <c r="E2471" s="15" t="n">
        <v>0.0553998947143555</v>
      </c>
      <c r="F2471" s="15" t="n">
        <v>0.398299992084503</v>
      </c>
      <c r="G2471" s="15" t="n">
        <v>4.44369983673096</v>
      </c>
      <c r="H2471" s="16">
        <f>C2471+E2471</f>
        <v/>
      </c>
    </row>
    <row r="2472">
      <c r="A2472" s="12" t="n">
        <v>45611</v>
      </c>
      <c r="B2472" s="15" t="n">
        <v>1.11580002307892</v>
      </c>
      <c r="C2472" s="15" t="n">
        <v>0.5724999904632569</v>
      </c>
      <c r="D2472" s="15" t="n">
        <v>2.70210003852844</v>
      </c>
      <c r="E2472" s="15" t="n">
        <v>0.0553001165390015</v>
      </c>
      <c r="F2472" s="15" t="n">
        <v>0.398799985647202</v>
      </c>
      <c r="G2472" s="15" t="n">
        <v>4.44570016860962</v>
      </c>
      <c r="H2472" s="16">
        <f>C2472+E2472</f>
        <v/>
      </c>
    </row>
    <row r="2473">
      <c r="A2473" s="12" t="n">
        <v>45614</v>
      </c>
      <c r="B2473" s="15" t="n">
        <v>1.11059999465942</v>
      </c>
      <c r="C2473" s="15" t="n">
        <v>0.569700002670288</v>
      </c>
      <c r="D2473" s="15" t="n">
        <v>2.70009994506836</v>
      </c>
      <c r="E2473" s="15" t="n">
        <v>0.0546000003814697</v>
      </c>
      <c r="F2473" s="15" t="n">
        <v>0.385199993848801</v>
      </c>
      <c r="G2473" s="15" t="n">
        <v>4.43499994277954</v>
      </c>
      <c r="H2473" s="16">
        <f>C2473+E2473</f>
        <v/>
      </c>
    </row>
    <row r="2474">
      <c r="A2474" s="12" t="n">
        <v>45615</v>
      </c>
      <c r="B2474" s="15" t="n">
        <v>1.10199993848801</v>
      </c>
      <c r="C2474" s="15" t="n">
        <v>0.556500017642975</v>
      </c>
      <c r="D2474" s="15" t="n">
        <v>2.69250011444092</v>
      </c>
      <c r="E2474" s="15" t="n">
        <v>0.0513999462127686</v>
      </c>
      <c r="F2474" s="15" t="n">
        <v>0.3783999979496</v>
      </c>
      <c r="G2474" s="15" t="n">
        <v>4.40240001678467</v>
      </c>
      <c r="H2474" s="16">
        <f>C2474+E2474</f>
        <v/>
      </c>
    </row>
    <row r="2475">
      <c r="A2475" s="12" t="n">
        <v>45616</v>
      </c>
      <c r="B2475" s="15" t="n">
        <v>1.10600006580353</v>
      </c>
      <c r="C2475" s="15" t="n">
        <v>0.558799982070923</v>
      </c>
      <c r="D2475" s="15" t="n">
        <v>2.69409990310669</v>
      </c>
      <c r="E2475" s="15" t="n">
        <v>0.0520001649856567</v>
      </c>
      <c r="F2475" s="15" t="n">
        <v>0.380800008773804</v>
      </c>
      <c r="G2475" s="15" t="n">
        <v>4.4109001159668</v>
      </c>
      <c r="H2475" s="16">
        <f>C2475+E2475</f>
        <v/>
      </c>
    </row>
    <row r="2476">
      <c r="A2476" s="12" t="n">
        <v>45617</v>
      </c>
      <c r="B2476" s="15" t="n">
        <v>1.11479997634888</v>
      </c>
      <c r="C2476" s="15" t="n">
        <v>0.564000010490417</v>
      </c>
      <c r="D2476" s="15" t="n">
        <v>2.69790005683899</v>
      </c>
      <c r="E2476" s="15" t="n">
        <v>0.0532997846603394</v>
      </c>
      <c r="F2476" s="15" t="n">
        <v>0.389699995517731</v>
      </c>
      <c r="G2476" s="15" t="n">
        <v>4.42999982833862</v>
      </c>
      <c r="H2476" s="16">
        <f>C2476+E2476</f>
        <v/>
      </c>
    </row>
    <row r="2477">
      <c r="A2477" s="12" t="n">
        <v>45618</v>
      </c>
      <c r="B2477" s="15" t="n">
        <v>1.11349999904633</v>
      </c>
      <c r="C2477" s="15" t="n">
        <v>0.557399988174438</v>
      </c>
      <c r="D2477" s="15" t="n">
        <v>2.69420003890991</v>
      </c>
      <c r="E2477" s="15" t="n">
        <v>0.0518001317977905</v>
      </c>
      <c r="F2477" s="15" t="n">
        <v>0.383599996566772</v>
      </c>
      <c r="G2477" s="15" t="n">
        <v>4.41690015792847</v>
      </c>
      <c r="H2477" s="16">
        <f>C2477+E2477</f>
        <v/>
      </c>
    </row>
    <row r="2478">
      <c r="A2478" s="12" t="n">
        <v>45621</v>
      </c>
      <c r="B2478" s="15" t="n">
        <v>1.07059997320175</v>
      </c>
      <c r="C2478" s="15" t="n">
        <v>0.5033000111579899</v>
      </c>
      <c r="D2478" s="15" t="n">
        <v>2.66059994697571</v>
      </c>
      <c r="E2478" s="15" t="n">
        <v>0.0394001007080078</v>
      </c>
      <c r="F2478" s="15" t="n">
        <v>0.398200005292892</v>
      </c>
      <c r="G2478" s="15" t="n">
        <v>4.27390003204346</v>
      </c>
      <c r="H2478" s="16">
        <f>C2478+E2478</f>
        <v/>
      </c>
    </row>
    <row r="2479">
      <c r="A2479" s="12" t="n">
        <v>45622</v>
      </c>
      <c r="B2479" s="15" t="n">
        <v>1.0774000287056</v>
      </c>
      <c r="C2479" s="15" t="n">
        <v>0.517000019550323</v>
      </c>
      <c r="D2479" s="15" t="n">
        <v>2.66860008239746</v>
      </c>
      <c r="E2479" s="15" t="n">
        <v>0.0426000356674194</v>
      </c>
      <c r="F2479" s="15" t="n">
        <v>0.412499994039536</v>
      </c>
      <c r="G2479" s="15" t="n">
        <v>4.3056001663208</v>
      </c>
      <c r="H2479" s="16">
        <f>C2479+E2479</f>
        <v/>
      </c>
    </row>
    <row r="2480">
      <c r="A2480" s="12" t="n">
        <v>45623</v>
      </c>
      <c r="B2480" s="15" t="n">
        <v>1.05860003829002</v>
      </c>
      <c r="C2480" s="15" t="n">
        <v>0.49770000576973</v>
      </c>
      <c r="D2480" s="15" t="n">
        <v>2.65599989891052</v>
      </c>
      <c r="E2480" s="15" t="n">
        <v>0.0382002592086792</v>
      </c>
      <c r="F2480" s="15" t="n">
        <v>0.407799988985062</v>
      </c>
      <c r="G2480" s="15" t="n">
        <v>4.25050020217896</v>
      </c>
      <c r="H2480" s="16">
        <f>C2480+E2480</f>
        <v/>
      </c>
    </row>
    <row r="2481">
      <c r="A2481" s="12" t="n">
        <v>45625</v>
      </c>
      <c r="B2481" s="15" t="n">
        <v>1.03680002689362</v>
      </c>
      <c r="C2481" s="15" t="n">
        <v>0.477800011634827</v>
      </c>
      <c r="D2481" s="15" t="n">
        <v>2.64280009269714</v>
      </c>
      <c r="E2481" s="15" t="n">
        <v>0.033599853515625</v>
      </c>
      <c r="F2481" s="15" t="n">
        <v>0.390300005674362</v>
      </c>
      <c r="G2481" s="15" t="n">
        <v>4.19099998474121</v>
      </c>
      <c r="H2481" s="16">
        <f>C2481+E2481</f>
        <v/>
      </c>
    </row>
    <row r="2482">
      <c r="A2482" s="12" t="n">
        <v>45628</v>
      </c>
      <c r="B2482" s="15" t="n">
        <v>1.03979998826981</v>
      </c>
      <c r="C2482" s="15" t="n">
        <v>0.479600012302399</v>
      </c>
      <c r="D2482" s="15" t="n">
        <v>2.64409995079041</v>
      </c>
      <c r="E2482" s="15" t="n">
        <v>0.0339001417160034</v>
      </c>
      <c r="F2482" s="15" t="n">
        <v>0.400799989700317</v>
      </c>
      <c r="G2482" s="15" t="n">
        <v>4.19740009307861</v>
      </c>
      <c r="H2482" s="16">
        <f>C2482+E2482</f>
        <v/>
      </c>
    </row>
    <row r="2483">
      <c r="A2483" s="12" t="n">
        <v>45629</v>
      </c>
      <c r="B2483" s="15" t="n">
        <v>1.04520002007484</v>
      </c>
      <c r="C2483" s="15" t="n">
        <v>0.496499985456467</v>
      </c>
      <c r="D2483" s="15" t="n">
        <v>2.65249991416931</v>
      </c>
      <c r="E2483" s="15" t="n">
        <v>0.0383001565933228</v>
      </c>
      <c r="F2483" s="15" t="n">
        <v>0.387800008058548</v>
      </c>
      <c r="G2483" s="15" t="n">
        <v>4.23250007629395</v>
      </c>
      <c r="H2483" s="16">
        <f>C2483+E2483</f>
        <v/>
      </c>
    </row>
    <row r="2484">
      <c r="A2484" s="12" t="n">
        <v>45630</v>
      </c>
      <c r="B2484" s="15" t="n">
        <v>1.03120005130768</v>
      </c>
      <c r="C2484" s="15" t="n">
        <v>0.488499999046326</v>
      </c>
      <c r="D2484" s="15" t="n">
        <v>2.64590001106262</v>
      </c>
      <c r="E2484" s="15" t="n">
        <v>0.03659987449646</v>
      </c>
      <c r="F2484" s="15" t="n">
        <v>0.37169998884201</v>
      </c>
      <c r="G2484" s="15" t="n">
        <v>4.20219993591309</v>
      </c>
      <c r="H2484" s="16">
        <f>C2484+E2484</f>
        <v/>
      </c>
    </row>
    <row r="2485">
      <c r="A2485" s="12" t="n">
        <v>45631</v>
      </c>
      <c r="B2485" s="15" t="n">
        <v>1.02639997005463</v>
      </c>
      <c r="C2485" s="15" t="n">
        <v>0.480599999427795</v>
      </c>
      <c r="D2485" s="15" t="n">
        <v>2.6408998966217</v>
      </c>
      <c r="E2485" s="15" t="n">
        <v>0.0350000858306885</v>
      </c>
      <c r="F2485" s="15" t="n">
        <v>0.396299988031387</v>
      </c>
      <c r="G2485" s="15" t="n">
        <v>4.18289995193481</v>
      </c>
      <c r="H2485" s="16">
        <f>C2485+E2485</f>
        <v/>
      </c>
    </row>
    <row r="2486">
      <c r="A2486" s="12" t="n">
        <v>45632</v>
      </c>
      <c r="B2486" s="15" t="n">
        <v>1.01319998502731</v>
      </c>
      <c r="C2486" s="15" t="n">
        <v>0.476000010967255</v>
      </c>
      <c r="D2486" s="15" t="n">
        <v>2.63579988479614</v>
      </c>
      <c r="E2486" s="15" t="n">
        <v>0.0342999696731567</v>
      </c>
      <c r="F2486" s="15" t="n">
        <v>0.406300008296967</v>
      </c>
      <c r="G2486" s="15" t="n">
        <v>4.15929985046387</v>
      </c>
      <c r="H2486" s="16">
        <f>C2486+E2486</f>
        <v/>
      </c>
    </row>
    <row r="2487">
      <c r="A2487" s="12" t="n">
        <v>45635</v>
      </c>
      <c r="B2487" s="15" t="n">
        <v>1.02379995584488</v>
      </c>
      <c r="C2487" s="15" t="n">
        <v>0.490299999713898</v>
      </c>
      <c r="D2487" s="15" t="n">
        <v>2.64450001716614</v>
      </c>
      <c r="E2487" s="15" t="n">
        <v>0.0375999212265015</v>
      </c>
      <c r="F2487" s="15" t="n">
        <v>0.406300008296967</v>
      </c>
      <c r="G2487" s="15" t="n">
        <v>4.19619989395142</v>
      </c>
      <c r="H2487" s="16">
        <f>C2487+E2487</f>
        <v/>
      </c>
    </row>
    <row r="2488">
      <c r="A2488" s="12" t="n">
        <v>45636</v>
      </c>
      <c r="B2488" s="15" t="n">
        <v>1.03149995207787</v>
      </c>
      <c r="C2488" s="15" t="n">
        <v>0.497599989175797</v>
      </c>
      <c r="D2488" s="15" t="n">
        <v>2.64919996261597</v>
      </c>
      <c r="E2488" s="15" t="n">
        <v>0.0392999649047852</v>
      </c>
      <c r="F2488" s="15" t="n">
        <v>0.397100001573563</v>
      </c>
      <c r="G2488" s="15" t="n">
        <v>4.21759986877441</v>
      </c>
      <c r="H2488" s="16">
        <f>C2488+E2488</f>
        <v/>
      </c>
    </row>
    <row r="2489">
      <c r="A2489" s="12" t="n">
        <v>45637</v>
      </c>
      <c r="B2489" s="15" t="n">
        <v>1.04269999265671</v>
      </c>
      <c r="C2489" s="15" t="n">
        <v>0.520500004291534</v>
      </c>
      <c r="D2489" s="15" t="n">
        <v>2.66179990768433</v>
      </c>
      <c r="E2489" s="15" t="n">
        <v>0.0448002815246582</v>
      </c>
      <c r="F2489" s="15" t="n">
        <v>0.390300005674362</v>
      </c>
      <c r="G2489" s="15" t="n">
        <v>4.26980018615723</v>
      </c>
      <c r="H2489" s="16">
        <f>C2489+E2489</f>
        <v/>
      </c>
    </row>
    <row r="2490">
      <c r="A2490" s="12" t="n">
        <v>45638</v>
      </c>
      <c r="B2490" s="15" t="n">
        <v>1.05900001525879</v>
      </c>
      <c r="C2490" s="15" t="n">
        <v>0.546599984169006</v>
      </c>
      <c r="D2490" s="15" t="n">
        <v>2.67709994316101</v>
      </c>
      <c r="E2490" s="15" t="n">
        <v>0.0509001016616821</v>
      </c>
      <c r="F2490" s="15" t="n">
        <v>0.389299988746643</v>
      </c>
      <c r="G2490" s="15" t="n">
        <v>4.33360004425049</v>
      </c>
      <c r="H2490" s="16">
        <f>C2490+E2490</f>
        <v/>
      </c>
    </row>
    <row r="2491">
      <c r="A2491" s="12" t="n">
        <v>45639</v>
      </c>
      <c r="B2491" s="15" t="n">
        <v>1.08480006456375</v>
      </c>
      <c r="C2491" s="15" t="n">
        <v>0.57779997587204</v>
      </c>
      <c r="D2491" s="15" t="n">
        <v>2.6965000629425</v>
      </c>
      <c r="E2491" s="15" t="n">
        <v>0.0580999851226807</v>
      </c>
      <c r="F2491" s="15" t="n">
        <v>0.398499995470047</v>
      </c>
      <c r="G2491" s="15" t="n">
        <v>4.41720008850098</v>
      </c>
      <c r="H2491" s="16">
        <f>C2491+E2491</f>
        <v/>
      </c>
    </row>
    <row r="2492">
      <c r="A2492" s="12" t="n">
        <v>45642</v>
      </c>
      <c r="B2492" s="15" t="n">
        <v>1.08040004968643</v>
      </c>
      <c r="C2492" s="15" t="n">
        <v>0.5770999789237981</v>
      </c>
      <c r="D2492" s="15" t="n">
        <v>2.69479990005493</v>
      </c>
      <c r="E2492" s="15" t="n">
        <v>0.0583999156951904</v>
      </c>
      <c r="F2492" s="15" t="n">
        <v>0.411100000143051</v>
      </c>
      <c r="G2492" s="15" t="n">
        <v>4.41069984436035</v>
      </c>
      <c r="H2492" s="16">
        <f>C2492+E2492</f>
        <v/>
      </c>
    </row>
    <row r="2493">
      <c r="A2493" s="12" t="n">
        <v>45643</v>
      </c>
      <c r="B2493" s="15" t="n">
        <v>1.08339995145798</v>
      </c>
      <c r="C2493" s="15" t="n">
        <v>0.579500019550323</v>
      </c>
      <c r="D2493" s="15" t="n">
        <v>2.6965000629425</v>
      </c>
      <c r="E2493" s="15" t="n">
        <v>0.0587999820709229</v>
      </c>
      <c r="F2493" s="15" t="n">
        <v>0.42620000243187</v>
      </c>
      <c r="G2493" s="15" t="n">
        <v>4.41820001602173</v>
      </c>
      <c r="H2493" s="16">
        <f>C2493+E2493</f>
        <v/>
      </c>
    </row>
    <row r="2494">
      <c r="A2494" s="12" t="n">
        <v>45644</v>
      </c>
      <c r="B2494" s="15" t="n">
        <v>1.1217999458313</v>
      </c>
      <c r="C2494" s="15" t="n">
        <v>0.623000025749207</v>
      </c>
      <c r="D2494" s="15" t="n">
        <v>2.72329998016357</v>
      </c>
      <c r="E2494" s="15" t="n">
        <v>0.069100022315979</v>
      </c>
      <c r="F2494" s="15" t="n">
        <v>0.439399987459183</v>
      </c>
      <c r="G2494" s="15" t="n">
        <v>4.53719997406006</v>
      </c>
      <c r="H2494" s="16">
        <f>C2494+E2494</f>
        <v/>
      </c>
    </row>
    <row r="2495">
      <c r="A2495" s="12" t="n">
        <v>45645</v>
      </c>
      <c r="B2495" s="15" t="n">
        <v>1.13660007715225</v>
      </c>
      <c r="C2495" s="15" t="n">
        <v>0.652499973773956</v>
      </c>
      <c r="D2495" s="15" t="n">
        <v>2.74000000953674</v>
      </c>
      <c r="E2495" s="15" t="n">
        <v>0.0760000944137573</v>
      </c>
      <c r="F2495" s="15" t="n">
        <v>0.48089998960495</v>
      </c>
      <c r="G2495" s="15" t="n">
        <v>4.60510015487671</v>
      </c>
      <c r="H2495" s="16">
        <f>C2495+E2495</f>
        <v/>
      </c>
    </row>
    <row r="2496">
      <c r="A2496" s="12" t="n">
        <v>45646</v>
      </c>
      <c r="B2496" s="15" t="n">
        <v>1.11809992790222</v>
      </c>
      <c r="C2496" s="15" t="n">
        <v>0.630900025367737</v>
      </c>
      <c r="D2496" s="15" t="n">
        <v>2.72609996795654</v>
      </c>
      <c r="E2496" s="15" t="n">
        <v>0.07120001316070559</v>
      </c>
      <c r="F2496" s="15" t="n">
        <v>0.472799986600876</v>
      </c>
      <c r="G2496" s="15" t="n">
        <v>4.54629993438721</v>
      </c>
      <c r="H2496" s="16">
        <f>C2496+E2496</f>
        <v/>
      </c>
    </row>
    <row r="2497">
      <c r="A2497" s="12" t="n">
        <v>45649</v>
      </c>
      <c r="B2497" s="15" t="n">
        <v>1.14070004224777</v>
      </c>
      <c r="C2497" s="15" t="n">
        <v>0.6560999751091</v>
      </c>
      <c r="D2497" s="15" t="n">
        <v>2.74239993095398</v>
      </c>
      <c r="E2497" s="15" t="n">
        <v>0.07700002193450931</v>
      </c>
      <c r="F2497" s="15" t="n">
        <v>0.463299989700317</v>
      </c>
      <c r="G2497" s="15" t="n">
        <v>4.61619997024536</v>
      </c>
      <c r="H2497" s="16">
        <f>C2497+E2497</f>
        <v/>
      </c>
    </row>
    <row r="2498">
      <c r="A2498" s="12" t="n">
        <v>45650</v>
      </c>
      <c r="B2498" s="15" t="n">
        <v>1.14319998025894</v>
      </c>
      <c r="C2498" s="15" t="n">
        <v>0.655399978160858</v>
      </c>
      <c r="D2498" s="15" t="n">
        <v>2.74239993095398</v>
      </c>
      <c r="E2498" s="15" t="n">
        <v>0.0767002105712891</v>
      </c>
      <c r="F2498" s="15" t="n">
        <v>0.441900014877319</v>
      </c>
      <c r="G2498" s="15" t="n">
        <v>4.61770009994507</v>
      </c>
      <c r="H2498" s="16">
        <f>C2498+E2498</f>
        <v/>
      </c>
    </row>
    <row r="2499">
      <c r="A2499" s="12" t="n">
        <v>45652</v>
      </c>
      <c r="B2499" s="15" t="n">
        <v>1.13919997215271</v>
      </c>
      <c r="C2499" s="15" t="n">
        <v>0.649399995803833</v>
      </c>
      <c r="D2499" s="15" t="n">
        <v>2.73909997940063</v>
      </c>
      <c r="E2499" s="15" t="n">
        <v>0.0753002166748047</v>
      </c>
      <c r="F2499" s="15" t="n">
        <v>0.441700011491776</v>
      </c>
      <c r="G2499" s="15" t="n">
        <v>4.60300016403198</v>
      </c>
      <c r="H2499" s="16">
        <f>C2499+E2499</f>
        <v/>
      </c>
    </row>
    <row r="2500">
      <c r="A2500" s="12" t="n">
        <v>45653</v>
      </c>
      <c r="B2500" s="15" t="n">
        <v>1.14919996261597</v>
      </c>
      <c r="C2500" s="15" t="n">
        <v>0.669700026512146</v>
      </c>
      <c r="D2500" s="15" t="n">
        <v>2.75079989433289</v>
      </c>
      <c r="E2500" s="15" t="n">
        <v>0.0800002813339233</v>
      </c>
      <c r="F2500" s="15" t="n">
        <v>0.459100008010864</v>
      </c>
      <c r="G2500" s="15" t="n">
        <v>4.64970016479492</v>
      </c>
      <c r="H2500" s="16">
        <f>C2500+E2500</f>
        <v/>
      </c>
    </row>
    <row r="2501">
      <c r="A2501" s="12" t="n">
        <v>45656</v>
      </c>
      <c r="B2501" s="15" t="n">
        <v>1.12260007858276</v>
      </c>
      <c r="C2501" s="15" t="n">
        <v>0.644999980926514</v>
      </c>
      <c r="D2501" s="15" t="n">
        <v>2.73440003395081</v>
      </c>
      <c r="E2501" s="15" t="n">
        <v>0.07430005073547361</v>
      </c>
      <c r="F2501" s="15" t="n">
        <v>0.465200006961823</v>
      </c>
      <c r="G2501" s="15" t="n">
        <v>4.57630014419556</v>
      </c>
      <c r="H2501" s="16">
        <f>C2501+E2501</f>
        <v/>
      </c>
    </row>
    <row r="2502">
      <c r="A2502" s="12" t="n">
        <v>45657</v>
      </c>
      <c r="B2502" s="15" t="n">
        <v>1.12610000371933</v>
      </c>
      <c r="C2502" s="15" t="n">
        <v>0.652700006961823</v>
      </c>
      <c r="D2502" s="15" t="n">
        <v>2.73880004882812</v>
      </c>
      <c r="E2502" s="15" t="n">
        <v>0.0760998725891113</v>
      </c>
      <c r="F2502" s="15" t="n">
        <v>0.457199990749359</v>
      </c>
      <c r="G2502" s="15" t="n">
        <v>4.59369993209839</v>
      </c>
      <c r="H2502" s="16">
        <f>C2502+E2502</f>
        <v/>
      </c>
    </row>
    <row r="2503">
      <c r="A2503" s="12" t="n">
        <v>45659</v>
      </c>
      <c r="B2503" s="15" t="n">
        <v>1.12459999322891</v>
      </c>
      <c r="C2503" s="15" t="n">
        <v>0.649900019168854</v>
      </c>
      <c r="D2503" s="15" t="n">
        <v>2.73749995231628</v>
      </c>
      <c r="E2503" s="15" t="n">
        <v>0.0752002000808716</v>
      </c>
      <c r="F2503" s="15" t="n">
        <v>0.445800006389618</v>
      </c>
      <c r="G2503" s="15" t="n">
        <v>4.58720016479492</v>
      </c>
      <c r="H2503" s="16">
        <f>C2503+E2503</f>
        <v/>
      </c>
    </row>
    <row r="2504">
      <c r="A2504" s="12" t="n">
        <v>45660</v>
      </c>
      <c r="B2504" s="15" t="n">
        <v>1.13679999113083</v>
      </c>
      <c r="C2504" s="15" t="n">
        <v>0.664200007915497</v>
      </c>
      <c r="D2504" s="15" t="n">
        <v>2.74659991264343</v>
      </c>
      <c r="E2504" s="15" t="n">
        <v>0.07850015163421629</v>
      </c>
      <c r="F2504" s="15" t="n">
        <v>0.450899988412857</v>
      </c>
      <c r="G2504" s="15" t="n">
        <v>4.62610006332397</v>
      </c>
      <c r="H2504" s="16">
        <f>C2504+E2504</f>
        <v/>
      </c>
    </row>
    <row r="2505">
      <c r="A2505" s="12" t="n">
        <v>45663</v>
      </c>
      <c r="B2505" s="15" t="n">
        <v>1.13940000534058</v>
      </c>
      <c r="C2505" s="15" t="n">
        <v>0.674000024795532</v>
      </c>
      <c r="D2505" s="15" t="n">
        <v>2.75160002708435</v>
      </c>
      <c r="E2505" s="15" t="n">
        <v>0.080899715423584</v>
      </c>
      <c r="F2505" s="15" t="n">
        <v>0.454699993133545</v>
      </c>
      <c r="G2505" s="15" t="n">
        <v>4.64589977264404</v>
      </c>
      <c r="H2505" s="16">
        <f>C2505+E2505</f>
        <v/>
      </c>
    </row>
    <row r="2506">
      <c r="A2506" s="12" t="n">
        <v>45664</v>
      </c>
      <c r="B2506" s="15" t="n">
        <v>1.15569996833801</v>
      </c>
      <c r="C2506" s="15" t="n">
        <v>0.694599986076355</v>
      </c>
      <c r="D2506" s="15" t="n">
        <v>2.76460003852844</v>
      </c>
      <c r="E2506" s="15" t="n">
        <v>0.0856000185012817</v>
      </c>
      <c r="F2506" s="15" t="n">
        <v>0.433800011873245</v>
      </c>
      <c r="G2506" s="15" t="n">
        <v>4.70050001144409</v>
      </c>
      <c r="H2506" s="16">
        <f>C2506+E2506</f>
        <v/>
      </c>
    </row>
    <row r="2507">
      <c r="A2507" s="12" t="n">
        <v>45665</v>
      </c>
      <c r="B2507" s="15" t="n">
        <v>1.15400004386902</v>
      </c>
      <c r="C2507" s="15" t="n">
        <v>0.694599986076355</v>
      </c>
      <c r="D2507" s="15" t="n">
        <v>2.76449990272522</v>
      </c>
      <c r="E2507" s="15" t="n">
        <v>0.0854998826980591</v>
      </c>
      <c r="F2507" s="15" t="n">
        <v>0.414400011301041</v>
      </c>
      <c r="G2507" s="15" t="n">
        <v>4.69859981536865</v>
      </c>
      <c r="H2507" s="16">
        <f>C2507+E2507</f>
        <v/>
      </c>
    </row>
    <row r="2508">
      <c r="A2508" s="12" t="n">
        <v>45666</v>
      </c>
      <c r="B2508" s="15" t="n">
        <v>1.1593000292778</v>
      </c>
      <c r="C2508" s="15" t="n">
        <v>0.702899992465973</v>
      </c>
      <c r="D2508" s="15" t="n">
        <v>2.769700050354</v>
      </c>
      <c r="E2508" s="15" t="n">
        <v>0.0873000621795654</v>
      </c>
      <c r="F2508" s="15" t="n">
        <v>0.422100007534027</v>
      </c>
      <c r="G2508" s="15" t="n">
        <v>4.71920013427734</v>
      </c>
      <c r="H2508" s="16">
        <f>C2508+E2508</f>
        <v/>
      </c>
    </row>
    <row r="2509">
      <c r="A2509" s="12" t="n">
        <v>45667</v>
      </c>
      <c r="B2509" s="15" t="n">
        <v>1.19739997386932</v>
      </c>
      <c r="C2509" s="15" t="n">
        <v>0.737200021743774</v>
      </c>
      <c r="D2509" s="15" t="n">
        <v>2.79250001907349</v>
      </c>
      <c r="E2509" s="15" t="n">
        <v>0.09519994258880619</v>
      </c>
      <c r="F2509" s="15" t="n">
        <v>0.408399999141693</v>
      </c>
      <c r="G2509" s="15" t="n">
        <v>4.82229995727539</v>
      </c>
      <c r="H2509" s="16">
        <f>C2509+E2509</f>
        <v/>
      </c>
    </row>
    <row r="2510">
      <c r="A2510" s="12" t="n">
        <v>45670</v>
      </c>
      <c r="B2510" s="15" t="n">
        <v>1.20460003614426</v>
      </c>
      <c r="C2510" s="15" t="n">
        <v>0.740400016307831</v>
      </c>
      <c r="D2510" s="15" t="n">
        <v>2.79520010948181</v>
      </c>
      <c r="E2510" s="15" t="n">
        <v>0.0958999395370483</v>
      </c>
      <c r="F2510" s="15" t="n">
        <v>0.389499992132187</v>
      </c>
      <c r="G2510" s="15" t="n">
        <v>4.83610010147095</v>
      </c>
      <c r="H2510" s="16">
        <f>C2510+E2510</f>
        <v/>
      </c>
    </row>
    <row r="2511">
      <c r="A2511" s="12" t="n">
        <v>45671</v>
      </c>
      <c r="B2511" s="15" t="n">
        <v>1.20149999856949</v>
      </c>
      <c r="C2511" s="15" t="n">
        <v>0.73879998922348</v>
      </c>
      <c r="D2511" s="15" t="n">
        <v>2.79410004615784</v>
      </c>
      <c r="E2511" s="15" t="n">
        <v>0.09549975395202639</v>
      </c>
      <c r="F2511" s="15" t="n">
        <v>0.388399988412857</v>
      </c>
      <c r="G2511" s="15" t="n">
        <v>4.82989978790283</v>
      </c>
      <c r="H2511" s="16">
        <f>C2511+E2511</f>
        <v/>
      </c>
    </row>
    <row r="2512">
      <c r="A2512" s="12" t="n">
        <v>45672</v>
      </c>
      <c r="B2512" s="15" t="n">
        <v>1.15469998121262</v>
      </c>
      <c r="C2512" s="15" t="n">
        <v>0.689199984073639</v>
      </c>
      <c r="D2512" s="15" t="n">
        <v>2.76200008392334</v>
      </c>
      <c r="E2512" s="15" t="n">
        <v>0.0841000080108643</v>
      </c>
      <c r="F2512" s="15" t="n">
        <v>0.375800013542175</v>
      </c>
      <c r="G2512" s="15" t="n">
        <v>4.69000005722046</v>
      </c>
      <c r="H2512" s="16">
        <f>C2512+E2512</f>
        <v/>
      </c>
    </row>
    <row r="2513">
      <c r="A2513" s="12" t="n">
        <v>45673</v>
      </c>
      <c r="B2513" s="15" t="n">
        <v>1.13980001211166</v>
      </c>
      <c r="C2513" s="15" t="n">
        <v>0.672800004482269</v>
      </c>
      <c r="D2513" s="15" t="n">
        <v>2.75219988822937</v>
      </c>
      <c r="E2513" s="15" t="n">
        <v>0.08020007610321039</v>
      </c>
      <c r="F2513" s="15" t="n">
        <v>0.368499994277954</v>
      </c>
      <c r="G2513" s="15" t="n">
        <v>4.64499998092651</v>
      </c>
      <c r="H2513" s="16">
        <f>C2513+E2513</f>
        <v/>
      </c>
    </row>
    <row r="2514">
      <c r="A2514" s="12" t="n">
        <v>45674</v>
      </c>
      <c r="B2514" s="15" t="n">
        <v>1.1453999876976</v>
      </c>
      <c r="C2514" s="15" t="n">
        <v>0.67059999704361</v>
      </c>
      <c r="D2514" s="15" t="n">
        <v>2.75219988822937</v>
      </c>
      <c r="E2514" s="15" t="n">
        <v>0.0794999599456787</v>
      </c>
      <c r="F2514" s="15" t="n">
        <v>0.370900005102158</v>
      </c>
      <c r="G2514" s="15" t="n">
        <v>4.64769983291626</v>
      </c>
      <c r="H2514" s="16">
        <f>C2514+E2514</f>
        <v/>
      </c>
    </row>
    <row r="2515">
      <c r="A2515" s="12" t="n">
        <v>45678</v>
      </c>
      <c r="B2515" s="15" t="n">
        <v>1.13559997081757</v>
      </c>
      <c r="C2515" s="15" t="n">
        <v>0.654600024223328</v>
      </c>
      <c r="D2515" s="15" t="n">
        <v>2.7425000667572</v>
      </c>
      <c r="E2515" s="15" t="n">
        <v>0.0757999420166016</v>
      </c>
      <c r="F2515" s="15" t="n">
        <v>0.387600004673004</v>
      </c>
      <c r="G2515" s="15" t="n">
        <v>4.6085000038147</v>
      </c>
      <c r="H2515" s="16">
        <f>C2515+E2515</f>
        <v/>
      </c>
    </row>
    <row r="2516">
      <c r="A2516" s="12" t="n">
        <v>45679</v>
      </c>
      <c r="B2516" s="15" t="n">
        <v>1.14190006256104</v>
      </c>
      <c r="C2516" s="15" t="n">
        <v>0.66159999370575</v>
      </c>
      <c r="D2516" s="15" t="n">
        <v>2.7467999458313</v>
      </c>
      <c r="E2516" s="15" t="n">
        <v>0.0776001214981079</v>
      </c>
      <c r="F2516" s="15" t="n">
        <v>0.38850000500679</v>
      </c>
      <c r="G2516" s="15" t="n">
        <v>4.62790012359619</v>
      </c>
      <c r="H2516" s="16">
        <f>C2516+E2516</f>
        <v/>
      </c>
    </row>
    <row r="2517">
      <c r="A2517" s="12" t="n">
        <v>45680</v>
      </c>
      <c r="B2517" s="15" t="n">
        <v>1.14959996938705</v>
      </c>
      <c r="C2517" s="15" t="n">
        <v>0.677100002765656</v>
      </c>
      <c r="D2517" s="15" t="n">
        <v>2.75530004501343</v>
      </c>
      <c r="E2517" s="15" t="n">
        <v>0.08140015602111821</v>
      </c>
      <c r="F2517" s="15" t="n">
        <v>0.369500011205673</v>
      </c>
      <c r="G2517" s="15" t="n">
        <v>4.66340017318726</v>
      </c>
      <c r="H2517" s="16">
        <f>C2517+E2517</f>
        <v/>
      </c>
    </row>
    <row r="2518">
      <c r="A2518" s="12" t="n">
        <v>45681</v>
      </c>
      <c r="B2518" s="15" t="n">
        <v>1.14320003986359</v>
      </c>
      <c r="C2518" s="15" t="n">
        <v>0.6730999946594241</v>
      </c>
      <c r="D2518" s="15" t="n">
        <v>2.75200009346008</v>
      </c>
      <c r="E2518" s="15" t="n">
        <v>0.0805999040603638</v>
      </c>
      <c r="F2518" s="15" t="n">
        <v>0.357600003480911</v>
      </c>
      <c r="G2518" s="15" t="n">
        <v>4.64890003204346</v>
      </c>
      <c r="H2518" s="16">
        <f>C2518+E2518</f>
        <v/>
      </c>
    </row>
    <row r="2519">
      <c r="A2519" s="12" t="n">
        <v>45684</v>
      </c>
      <c r="B2519" s="15" t="n">
        <v>1.11269992589951</v>
      </c>
      <c r="C2519" s="15" t="n">
        <v>0.637000024318695</v>
      </c>
      <c r="D2519" s="15" t="n">
        <v>2.72939991950989</v>
      </c>
      <c r="E2519" s="15" t="n">
        <v>0.07220017910003659</v>
      </c>
      <c r="F2519" s="15" t="n">
        <v>0.342200011014938</v>
      </c>
      <c r="G2519" s="15" t="n">
        <v>4.55130004882812</v>
      </c>
      <c r="H2519" s="16">
        <f>C2519+E2519</f>
        <v/>
      </c>
    </row>
    <row r="2520">
      <c r="A2520" s="12" t="n">
        <v>45685</v>
      </c>
      <c r="B2520" s="15" t="n">
        <v>1.11680006980896</v>
      </c>
      <c r="C2520" s="15" t="n">
        <v>0.642799973487854</v>
      </c>
      <c r="D2520" s="15" t="n">
        <v>2.73340010643005</v>
      </c>
      <c r="E2520" s="15" t="n">
        <v>0.073299765586853</v>
      </c>
      <c r="F2520" s="15" t="n">
        <v>0.334600001573563</v>
      </c>
      <c r="G2520" s="15" t="n">
        <v>4.56629991531372</v>
      </c>
      <c r="H2520" s="16">
        <f>C2520+E2520</f>
        <v/>
      </c>
    </row>
    <row r="2521">
      <c r="A2521" s="12" t="n">
        <v>45686</v>
      </c>
      <c r="B2521" s="15" t="n">
        <v>1.12370002269745</v>
      </c>
      <c r="C2521" s="15" t="n">
        <v>0.645099997520447</v>
      </c>
      <c r="D2521" s="15" t="n">
        <v>2.7360999584198</v>
      </c>
      <c r="E2521" s="15" t="n">
        <v>0.0735998153686523</v>
      </c>
      <c r="F2521" s="15" t="n">
        <v>0.337999999523163</v>
      </c>
      <c r="G2521" s="15" t="n">
        <v>4.57849979400635</v>
      </c>
      <c r="H2521" s="16">
        <f>C2521+E2521</f>
        <v/>
      </c>
    </row>
    <row r="2522">
      <c r="A2522" s="12" t="n">
        <v>45687</v>
      </c>
      <c r="B2522" s="15" t="n">
        <v>1.11199998855591</v>
      </c>
      <c r="C2522" s="15" t="n">
        <v>0.631500005722046</v>
      </c>
      <c r="D2522" s="15" t="n">
        <v>2.72769999504089</v>
      </c>
      <c r="E2522" s="15" t="n">
        <v>0.0704002380371094</v>
      </c>
      <c r="F2522" s="15" t="n">
        <v>0.350300014019012</v>
      </c>
      <c r="G2522" s="15" t="n">
        <v>4.54160022735596</v>
      </c>
      <c r="H2522" s="16">
        <f>C2522+E2522</f>
        <v/>
      </c>
    </row>
    <row r="2523">
      <c r="A2523" s="12" t="n">
        <v>45688</v>
      </c>
      <c r="B2523" s="15" t="n">
        <v>1.1298999786377</v>
      </c>
      <c r="C2523" s="15" t="n">
        <v>0.6528999805450439</v>
      </c>
      <c r="D2523" s="15" t="n">
        <v>2.74130010604858</v>
      </c>
      <c r="E2523" s="15" t="n">
        <v>0.0752999782562256</v>
      </c>
      <c r="F2523" s="15" t="n">
        <v>0.337900012731552</v>
      </c>
      <c r="G2523" s="15" t="n">
        <v>4.59940004348755</v>
      </c>
      <c r="H2523" s="16">
        <f>C2523+E2523</f>
        <v/>
      </c>
    </row>
    <row r="2524">
      <c r="A2524" s="12" t="n">
        <v>45691</v>
      </c>
      <c r="B2524" s="15" t="n">
        <v>1.11899995803833</v>
      </c>
      <c r="C2524" s="15" t="n">
        <v>0.631600022315979</v>
      </c>
      <c r="D2524" s="15" t="n">
        <v>2.72849988937378</v>
      </c>
      <c r="E2524" s="15" t="n">
        <v>0.07059991359710691</v>
      </c>
      <c r="F2524" s="15" t="n">
        <v>0.293999999761581</v>
      </c>
      <c r="G2524" s="15" t="n">
        <v>4.5496997833252</v>
      </c>
      <c r="H2524" s="16">
        <f>C2524+E2524</f>
        <v/>
      </c>
    </row>
    <row r="2525">
      <c r="A2525" s="12" t="n">
        <v>45692</v>
      </c>
      <c r="B2525" s="15" t="n">
        <v>1.11150002479553</v>
      </c>
      <c r="C2525" s="15" t="n">
        <v>0.626999974250793</v>
      </c>
      <c r="D2525" s="15" t="n">
        <v>2.72510004043579</v>
      </c>
      <c r="E2525" s="15" t="n">
        <v>0.06959974765777591</v>
      </c>
      <c r="F2525" s="15" t="n">
        <v>0.290300011634827</v>
      </c>
      <c r="G2525" s="15" t="n">
        <v>4.53319978713989</v>
      </c>
      <c r="H2525" s="16">
        <f>C2525+E2525</f>
        <v/>
      </c>
    </row>
    <row r="2526">
      <c r="A2526" s="12" t="n">
        <v>45693</v>
      </c>
      <c r="B2526" s="15" t="n">
        <v>1.08399999141693</v>
      </c>
      <c r="C2526" s="15" t="n">
        <v>0.591199994087219</v>
      </c>
      <c r="D2526" s="15" t="n">
        <v>2.70289993286133</v>
      </c>
      <c r="E2526" s="15" t="n">
        <v>0.0613999366760254</v>
      </c>
      <c r="F2526" s="15" t="n">
        <v>0.288199990987778</v>
      </c>
      <c r="G2526" s="15" t="n">
        <v>4.4394998550415</v>
      </c>
      <c r="H2526" s="16">
        <f>C2526+E2526</f>
        <v/>
      </c>
    </row>
    <row r="2527">
      <c r="A2527" s="12" t="n">
        <v>45694</v>
      </c>
      <c r="B2527" s="15" t="n">
        <v>1.09199994802475</v>
      </c>
      <c r="C2527" s="15" t="n">
        <v>0.595200002193451</v>
      </c>
      <c r="D2527" s="15" t="n">
        <v>2.70619988441467</v>
      </c>
      <c r="E2527" s="15" t="n">
        <v>0.0621999502182007</v>
      </c>
      <c r="F2527" s="15" t="n">
        <v>0.300900012254715</v>
      </c>
      <c r="G2527" s="15" t="n">
        <v>4.45559978485107</v>
      </c>
      <c r="H2527" s="16">
        <f>C2527+E2527</f>
        <v/>
      </c>
    </row>
    <row r="2528">
      <c r="A2528" s="12" t="n">
        <v>45695</v>
      </c>
      <c r="B2528" s="15" t="n">
        <v>1.10959994792938</v>
      </c>
      <c r="C2528" s="15" t="n">
        <v>0.60699999332428</v>
      </c>
      <c r="D2528" s="15" t="n">
        <v>2.71449995040894</v>
      </c>
      <c r="E2528" s="15" t="n">
        <v>0.065000057220459</v>
      </c>
      <c r="F2528" s="15" t="n">
        <v>0.3091000020504</v>
      </c>
      <c r="G2528" s="15" t="n">
        <v>4.49609994888306</v>
      </c>
      <c r="H2528" s="16">
        <f>C2528+E2528</f>
        <v/>
      </c>
    </row>
    <row r="2529">
      <c r="A2529" s="12" t="n">
        <v>45698</v>
      </c>
      <c r="B2529" s="15" t="n">
        <v>1.10989999771118</v>
      </c>
      <c r="C2529" s="15" t="n">
        <v>0.607100009918213</v>
      </c>
      <c r="D2529" s="15" t="n">
        <v>2.71440005302429</v>
      </c>
      <c r="E2529" s="15" t="n">
        <v>0.0650999546051025</v>
      </c>
      <c r="F2529" s="15" t="n">
        <v>0.303299993276596</v>
      </c>
      <c r="G2529" s="15" t="n">
        <v>4.49650001525879</v>
      </c>
      <c r="H2529" s="16">
        <f>C2529+E2529</f>
        <v/>
      </c>
    </row>
    <row r="2530">
      <c r="A2530" s="12" t="n">
        <v>45699</v>
      </c>
      <c r="B2530" s="15" t="n">
        <v>1.12070000171661</v>
      </c>
      <c r="C2530" s="15" t="n">
        <v>0.619099974632263</v>
      </c>
      <c r="D2530" s="15" t="n">
        <v>2.72230005264282</v>
      </c>
      <c r="E2530" s="15" t="n">
        <v>0.06769990921020511</v>
      </c>
      <c r="F2530" s="15" t="n">
        <v>0.286500006914139</v>
      </c>
      <c r="G2530" s="15" t="n">
        <v>4.5297999382019</v>
      </c>
      <c r="H2530" s="16">
        <f>C2530+E2530</f>
        <v/>
      </c>
    </row>
    <row r="2531">
      <c r="A2531" s="12" t="n">
        <v>45700</v>
      </c>
      <c r="B2531" s="15" t="n">
        <v>1.15810000896454</v>
      </c>
      <c r="C2531" s="15" t="n">
        <v>0.660899996757507</v>
      </c>
      <c r="D2531" s="15" t="n">
        <v>2.74920010566711</v>
      </c>
      <c r="E2531" s="15" t="n">
        <v>0.0771999359130859</v>
      </c>
      <c r="F2531" s="15" t="n">
        <v>0.298299998044968</v>
      </c>
      <c r="G2531" s="15" t="n">
        <v>4.64540004730225</v>
      </c>
      <c r="H2531" s="16">
        <f>C2531+E2531</f>
        <v/>
      </c>
    </row>
    <row r="2532">
      <c r="A2532" s="12" t="n">
        <v>45701</v>
      </c>
      <c r="B2532" s="15" t="n">
        <v>1.12539994716644</v>
      </c>
      <c r="C2532" s="15" t="n">
        <v>0.621399998664856</v>
      </c>
      <c r="D2532" s="15" t="n">
        <v>2.72399997711182</v>
      </c>
      <c r="E2532" s="15" t="n">
        <v>0.0683002471923828</v>
      </c>
      <c r="F2532" s="15" t="n">
        <v>0.28889998793602</v>
      </c>
      <c r="G2532" s="15" t="n">
        <v>4.5391001701355</v>
      </c>
      <c r="H2532" s="16">
        <f>C2532+E2532</f>
        <v/>
      </c>
    </row>
    <row r="2533">
      <c r="A2533" s="12" t="n">
        <v>45702</v>
      </c>
      <c r="B2533" s="15" t="n">
        <v>1.10820001363754</v>
      </c>
      <c r="C2533" s="15" t="n">
        <v>0.601000010967255</v>
      </c>
      <c r="D2533" s="15" t="n">
        <v>2.71140003204346</v>
      </c>
      <c r="E2533" s="15" t="n">
        <v>0.0635999441146851</v>
      </c>
      <c r="F2533" s="15" t="n">
        <v>0.288100004196167</v>
      </c>
      <c r="G2533" s="15" t="n">
        <v>4.48420000076294</v>
      </c>
      <c r="H2533" s="16">
        <f>C2533+E2533</f>
        <v/>
      </c>
    </row>
    <row r="2534">
      <c r="A2534" s="12" t="n">
        <v>45706</v>
      </c>
      <c r="B2534" s="15" t="n">
        <v>1.13349997997284</v>
      </c>
      <c r="C2534" s="15" t="n">
        <v>0.627699971199036</v>
      </c>
      <c r="D2534" s="15" t="n">
        <v>2.72930002212524</v>
      </c>
      <c r="E2534" s="15" t="n">
        <v>0.0694999694824219</v>
      </c>
      <c r="F2534" s="15" t="n">
        <v>0.290600001811981</v>
      </c>
      <c r="G2534" s="15" t="n">
        <v>4.55999994277954</v>
      </c>
      <c r="H2534" s="16">
        <f>C2534+E2534</f>
        <v/>
      </c>
    </row>
    <row r="2535">
      <c r="A2535" s="12" t="n">
        <v>45707</v>
      </c>
      <c r="B2535" s="15" t="n">
        <v>1.12480002641678</v>
      </c>
      <c r="C2535" s="15" t="n">
        <v>0.621800005435944</v>
      </c>
      <c r="D2535" s="15" t="n">
        <v>2.72519993782043</v>
      </c>
      <c r="E2535" s="15" t="n">
        <v>0.0680001974105835</v>
      </c>
      <c r="F2535" s="15" t="n">
        <v>0.278200000524521</v>
      </c>
      <c r="G2535" s="15" t="n">
        <v>4.53980016708374</v>
      </c>
      <c r="H2535" s="16">
        <f>C2535+E2535</f>
        <v/>
      </c>
    </row>
    <row r="2536">
      <c r="A2536" s="12" t="n">
        <v>45708</v>
      </c>
      <c r="B2536" s="15" t="n">
        <v>1.11599999666214</v>
      </c>
      <c r="C2536" s="15" t="n">
        <v>0.612999975681305</v>
      </c>
      <c r="D2536" s="15" t="n">
        <v>2.71930003166199</v>
      </c>
      <c r="E2536" s="15" t="n">
        <v>0.066100001335144</v>
      </c>
      <c r="F2536" s="15" t="n">
        <v>0.266799986362457</v>
      </c>
      <c r="G2536" s="15" t="n">
        <v>4.51440000534058</v>
      </c>
      <c r="H2536" s="16">
        <f>C2536+E2536</f>
        <v/>
      </c>
    </row>
    <row r="2537">
      <c r="A2537" s="12" t="n">
        <v>45709</v>
      </c>
      <c r="B2537" s="15" t="n">
        <v>1.09110003709793</v>
      </c>
      <c r="C2537" s="15" t="n">
        <v>0.590200006961823</v>
      </c>
      <c r="D2537" s="15" t="n">
        <v>2.70420002937317</v>
      </c>
      <c r="E2537" s="15" t="n">
        <v>0.0607999563217163</v>
      </c>
      <c r="F2537" s="15" t="n">
        <v>0.283100008964539</v>
      </c>
      <c r="G2537" s="15" t="n">
        <v>4.44630002975464</v>
      </c>
      <c r="H2537" s="16">
        <f>C2537+E2537</f>
        <v/>
      </c>
    </row>
    <row r="2538">
      <c r="A2538" s="12" t="n">
        <v>45712</v>
      </c>
      <c r="B2538" s="15" t="n">
        <v>1.08259999752045</v>
      </c>
      <c r="C2538" s="15" t="n">
        <v>0.583400011062622</v>
      </c>
      <c r="D2538" s="15" t="n">
        <v>2.69959998130798</v>
      </c>
      <c r="E2538" s="15" t="n">
        <v>0.0591999292373657</v>
      </c>
      <c r="F2538" s="15" t="n">
        <v>0.273499995470047</v>
      </c>
      <c r="G2538" s="15" t="n">
        <v>4.42479991912842</v>
      </c>
      <c r="H2538" s="16">
        <f>C2538+E2538</f>
        <v/>
      </c>
    </row>
    <row r="2539">
      <c r="A2539" s="12" t="n">
        <v>45713</v>
      </c>
      <c r="B2539" s="15" t="n">
        <v>1.04980003833771</v>
      </c>
      <c r="C2539" s="15" t="n">
        <v>0.546800017356873</v>
      </c>
      <c r="D2539" s="15" t="n">
        <v>2.67659997940063</v>
      </c>
      <c r="E2539" s="15" t="n">
        <v>0.0507001876831055</v>
      </c>
      <c r="F2539" s="15" t="n">
        <v>0.274599999189377</v>
      </c>
      <c r="G2539" s="15" t="n">
        <v>4.32390022277832</v>
      </c>
      <c r="H2539" s="16">
        <f>C2539+E2539</f>
        <v/>
      </c>
    </row>
    <row r="2540">
      <c r="A2540" s="12" t="n">
        <v>45714</v>
      </c>
      <c r="B2540" s="15" t="n">
        <v>1.03479999303818</v>
      </c>
      <c r="C2540" s="15" t="n">
        <v>0.528299987316132</v>
      </c>
      <c r="D2540" s="15" t="n">
        <v>2.66560006141663</v>
      </c>
      <c r="E2540" s="15" t="n">
        <v>0.0461999177932739</v>
      </c>
      <c r="F2540" s="15" t="n">
        <v>0.288199990987778</v>
      </c>
      <c r="G2540" s="15" t="n">
        <v>4.27489995956421</v>
      </c>
      <c r="H2540" s="16">
        <f>C2540+E2540</f>
        <v/>
      </c>
    </row>
    <row r="2541">
      <c r="A2541" s="12" t="n">
        <v>45715</v>
      </c>
      <c r="B2541" s="15" t="n">
        <v>1.04470002651215</v>
      </c>
      <c r="C2541" s="15" t="n">
        <v>0.541599988937378</v>
      </c>
      <c r="D2541" s="15" t="n">
        <v>2.67429995536804</v>
      </c>
      <c r="E2541" s="15" t="n">
        <v>0.0491000413894653</v>
      </c>
      <c r="F2541" s="15" t="n">
        <v>0.286300003528595</v>
      </c>
      <c r="G2541" s="15" t="n">
        <v>4.30970001220703</v>
      </c>
      <c r="H2541" s="16">
        <f>C2541+E2541</f>
        <v/>
      </c>
    </row>
    <row r="2542">
      <c r="A2542" s="12" t="n">
        <v>45716</v>
      </c>
      <c r="B2542" s="15" t="n">
        <v>1.02450001239777</v>
      </c>
      <c r="C2542" s="15" t="n">
        <v>0.526600003242493</v>
      </c>
      <c r="D2542" s="15" t="n">
        <v>2.6635000705719</v>
      </c>
      <c r="E2542" s="15" t="n">
        <v>0.0457000732421875</v>
      </c>
      <c r="F2542" s="15" t="n">
        <v>0.261500000953674</v>
      </c>
      <c r="G2542" s="15" t="n">
        <v>4.26030015945435</v>
      </c>
      <c r="H2542" s="16">
        <f>C2542+E2542</f>
        <v/>
      </c>
    </row>
    <row r="2543">
      <c r="A2543" s="12" t="n">
        <v>45719</v>
      </c>
      <c r="B2543" s="15" t="n">
        <v>1.0025999546051</v>
      </c>
      <c r="C2543" s="15" t="n">
        <v>0.502900004386902</v>
      </c>
      <c r="D2543" s="15" t="n">
        <v>2.64829993247986</v>
      </c>
      <c r="E2543" s="15" t="n">
        <v>0.0403000116348267</v>
      </c>
      <c r="F2543" s="15" t="n">
        <v>0.24439999461174</v>
      </c>
      <c r="G2543" s="15" t="n">
        <v>4.19409990310669</v>
      </c>
      <c r="H2543" s="16">
        <f>C2543+E2543</f>
        <v/>
      </c>
    </row>
    <row r="2544">
      <c r="A2544" s="12" t="n">
        <v>45720</v>
      </c>
      <c r="B2544" s="15" t="n">
        <v>1.0145999789238</v>
      </c>
      <c r="C2544" s="15" t="n">
        <v>0.530600011348724</v>
      </c>
      <c r="D2544" s="15" t="n">
        <v>2.66380000114441</v>
      </c>
      <c r="E2544" s="15" t="n">
        <v>0.0467997789382935</v>
      </c>
      <c r="F2544" s="15" t="n">
        <v>0.26120001077652</v>
      </c>
      <c r="G2544" s="15" t="n">
        <v>4.25579977035522</v>
      </c>
      <c r="H2544" s="16">
        <f>C2544+E2544</f>
        <v/>
      </c>
    </row>
    <row r="2545">
      <c r="A2545" s="12" t="n">
        <v>45721</v>
      </c>
      <c r="B2545" s="15" t="n">
        <v>1.03860002756119</v>
      </c>
      <c r="C2545" s="15" t="n">
        <v>0.554899990558624</v>
      </c>
      <c r="D2545" s="15" t="n">
        <v>2.67989993095398</v>
      </c>
      <c r="E2545" s="15" t="n">
        <v>0.0522001981735229</v>
      </c>
      <c r="F2545" s="15" t="n">
        <v>0.290800005197525</v>
      </c>
      <c r="G2545" s="15" t="n">
        <v>4.32560014724731</v>
      </c>
      <c r="H2545" s="16">
        <f>C2545+E2545</f>
        <v/>
      </c>
    </row>
    <row r="2546">
      <c r="A2546" s="12" t="n">
        <v>45722</v>
      </c>
      <c r="B2546" s="15" t="n">
        <v>1.03510004281998</v>
      </c>
      <c r="C2546" s="15" t="n">
        <v>0.562799990177155</v>
      </c>
      <c r="D2546" s="15" t="n">
        <v>2.68280005455017</v>
      </c>
      <c r="E2546" s="15" t="n">
        <v>0.0541998147964478</v>
      </c>
      <c r="F2546" s="15" t="n">
        <v>0.300399988889694</v>
      </c>
      <c r="G2546" s="15" t="n">
        <v>4.33489990234375</v>
      </c>
      <c r="H2546" s="16">
        <f>C2546+E2546</f>
        <v/>
      </c>
    </row>
    <row r="2547">
      <c r="A2547" s="12" t="n">
        <v>45723</v>
      </c>
      <c r="B2547" s="15" t="n">
        <v>1.04539996385574</v>
      </c>
      <c r="C2547" s="15" t="n">
        <v>0.572799980640411</v>
      </c>
      <c r="D2547" s="15" t="n">
        <v>2.68959999084473</v>
      </c>
      <c r="E2547" s="15" t="n">
        <v>0.0564001798629761</v>
      </c>
      <c r="F2547" s="15" t="n">
        <v>0.313499987125397</v>
      </c>
      <c r="G2547" s="15" t="n">
        <v>4.36420011520386</v>
      </c>
      <c r="H2547" s="16">
        <f>C2547+E2547</f>
        <v/>
      </c>
    </row>
    <row r="2548">
      <c r="A2548" s="12" t="n">
        <v>45726</v>
      </c>
      <c r="B2548" s="15" t="n">
        <v>1.00890004634857</v>
      </c>
      <c r="C2548" s="15" t="n">
        <v>0.539499998092651</v>
      </c>
      <c r="D2548" s="15" t="n">
        <v>2.66700005531311</v>
      </c>
      <c r="E2548" s="15" t="n">
        <v>0.04889976978302</v>
      </c>
      <c r="F2548" s="15" t="n">
        <v>0.310999989509583</v>
      </c>
      <c r="G2548" s="15" t="n">
        <v>4.26429986953735</v>
      </c>
      <c r="H2548" s="16">
        <f>C2548+E2548</f>
        <v/>
      </c>
    </row>
    <row r="2549">
      <c r="A2549" s="12" t="n">
        <v>45727</v>
      </c>
      <c r="B2549" s="15" t="n">
        <v>1.02780002355576</v>
      </c>
      <c r="C2549" s="15" t="n">
        <v>0.560000002384186</v>
      </c>
      <c r="D2549" s="15" t="n">
        <v>2.68079996109009</v>
      </c>
      <c r="E2549" s="15" t="n">
        <v>0.0534000396728516</v>
      </c>
      <c r="F2549" s="15" t="n">
        <v>0.324400007724762</v>
      </c>
      <c r="G2549" s="15" t="n">
        <v>4.32200002670288</v>
      </c>
      <c r="H2549" s="16">
        <f>C2549+E2549</f>
        <v/>
      </c>
    </row>
    <row r="2550">
      <c r="A2550" s="12" t="n">
        <v>45728</v>
      </c>
      <c r="B2550" s="15" t="n">
        <v>1.04339998960495</v>
      </c>
      <c r="C2550" s="15" t="n">
        <v>0.574500024318695</v>
      </c>
      <c r="D2550" s="15" t="n">
        <v>2.69050002098083</v>
      </c>
      <c r="E2550" s="15" t="n">
        <v>0.0565997362136841</v>
      </c>
      <c r="F2550" s="15" t="n">
        <v>0.315499991178513</v>
      </c>
      <c r="G2550" s="15" t="n">
        <v>4.36499977111816</v>
      </c>
      <c r="H2550" s="16">
        <f>C2550+E2550</f>
        <v/>
      </c>
    </row>
    <row r="2551">
      <c r="A2551" s="12" t="n">
        <v>45729</v>
      </c>
      <c r="B2551" s="15" t="n">
        <v>1.02700001001358</v>
      </c>
      <c r="C2551" s="15" t="n">
        <v>0.558600008487701</v>
      </c>
      <c r="D2551" s="15" t="n">
        <v>2.6800000667572</v>
      </c>
      <c r="E2551" s="15" t="n">
        <v>0.0530000925064087</v>
      </c>
      <c r="F2551" s="15" t="n">
        <v>0.333299994468689</v>
      </c>
      <c r="G2551" s="15" t="n">
        <v>4.31860017776489</v>
      </c>
      <c r="H2551" s="16">
        <f>C2551+E2551</f>
        <v/>
      </c>
    </row>
    <row r="2552">
      <c r="A2552" s="12" t="n">
        <v>45730</v>
      </c>
      <c r="B2552" s="15" t="n">
        <v>1.04479998350143</v>
      </c>
      <c r="C2552" s="15" t="n">
        <v>0.572099983692169</v>
      </c>
      <c r="D2552" s="15" t="n">
        <v>2.68950009346008</v>
      </c>
      <c r="E2552" s="15" t="n">
        <v>0.0561997890472412</v>
      </c>
      <c r="F2552" s="15" t="n">
        <v>0.349000006914139</v>
      </c>
      <c r="G2552" s="15" t="n">
        <v>4.36259984970093</v>
      </c>
      <c r="H2552" s="16">
        <f>C2552+E2552</f>
        <v/>
      </c>
    </row>
    <row r="2553">
      <c r="A2553" s="12" t="n">
        <v>45733</v>
      </c>
      <c r="B2553" s="15" t="n">
        <v>1.04629999399185</v>
      </c>
      <c r="C2553" s="15" t="n">
        <v>0.567200005054474</v>
      </c>
      <c r="D2553" s="15" t="n">
        <v>2.6868999004364</v>
      </c>
      <c r="E2553" s="15" t="n">
        <v>0.0551003217697144</v>
      </c>
      <c r="F2553" s="15" t="n">
        <v>0.35589998960495</v>
      </c>
      <c r="G2553" s="15" t="n">
        <v>4.35550022125244</v>
      </c>
      <c r="H2553" s="16">
        <f>C2553+E2553</f>
        <v/>
      </c>
    </row>
    <row r="2554">
      <c r="A2554" s="12" t="n">
        <v>45734</v>
      </c>
      <c r="B2554" s="15" t="n">
        <v>1.03649997711182</v>
      </c>
      <c r="C2554" s="15" t="n">
        <v>0.5546000003814699</v>
      </c>
      <c r="D2554" s="15" t="n">
        <v>2.67890000343323</v>
      </c>
      <c r="E2554" s="15" t="n">
        <v>0.0524001121520996</v>
      </c>
      <c r="F2554" s="15" t="n">
        <v>0.349900007247925</v>
      </c>
      <c r="G2554" s="15" t="n">
        <v>4.32240009307861</v>
      </c>
      <c r="H2554" s="16">
        <f>C2554+E2554</f>
        <v/>
      </c>
    </row>
    <row r="2555">
      <c r="A2555" s="12" t="n">
        <v>45735</v>
      </c>
      <c r="B2555" s="15" t="n">
        <v>1.02419996261597</v>
      </c>
      <c r="C2555" s="15" t="n">
        <v>0.540899991989136</v>
      </c>
      <c r="D2555" s="15" t="n">
        <v>2.67050004005432</v>
      </c>
      <c r="E2555" s="15" t="n">
        <v>0.0490999221801758</v>
      </c>
      <c r="F2555" s="15" t="n">
        <v>0.323000013828278</v>
      </c>
      <c r="G2555" s="15" t="n">
        <v>4.2846999168396</v>
      </c>
      <c r="H2555" s="16">
        <f>C2555+E2555</f>
        <v/>
      </c>
    </row>
    <row r="2556">
      <c r="A2556" s="12" t="n">
        <v>45736</v>
      </c>
      <c r="B2556" s="15" t="n">
        <v>1.01480001211166</v>
      </c>
      <c r="C2556" s="15" t="n">
        <v>0.537800014019012</v>
      </c>
      <c r="D2556" s="15" t="n">
        <v>2.66729998588562</v>
      </c>
      <c r="E2556" s="15" t="n">
        <v>0.0485001802444458</v>
      </c>
      <c r="F2556" s="15" t="n">
        <v>0.310699999332428</v>
      </c>
      <c r="G2556" s="15" t="n">
        <v>4.26840019226074</v>
      </c>
      <c r="H2556" s="16">
        <f>C2556+E2556</f>
        <v/>
      </c>
    </row>
    <row r="2557">
      <c r="A2557" s="12" t="n">
        <v>45737</v>
      </c>
      <c r="B2557" s="15" t="n">
        <v>1.01730006933212</v>
      </c>
      <c r="C2557" s="15" t="n">
        <v>0.544799983501434</v>
      </c>
      <c r="D2557" s="15" t="n">
        <v>2.6716001033783</v>
      </c>
      <c r="E2557" s="15" t="n">
        <v>0.049899697303772</v>
      </c>
      <c r="F2557" s="15" t="n">
        <v>0.304199993610382</v>
      </c>
      <c r="G2557" s="15" t="n">
        <v>4.28359985351562</v>
      </c>
      <c r="H2557" s="16">
        <f>C2557+E2557</f>
        <v/>
      </c>
    </row>
    <row r="2558">
      <c r="A2558" s="12" t="n">
        <v>45740</v>
      </c>
      <c r="B2558" s="15" t="n">
        <v>1.0453000664711</v>
      </c>
      <c r="C2558" s="15" t="n">
        <v>0.57779997587204</v>
      </c>
      <c r="D2558" s="15" t="n">
        <v>2.69219994544983</v>
      </c>
      <c r="E2558" s="15" t="n">
        <v>0.057499885559082</v>
      </c>
      <c r="F2558" s="15" t="n">
        <v>0.309599995613098</v>
      </c>
      <c r="G2558" s="15" t="n">
        <v>4.37279987335205</v>
      </c>
      <c r="H2558" s="16">
        <f>C2558+E2558</f>
        <v/>
      </c>
    </row>
    <row r="2559">
      <c r="A2559" s="12" t="n">
        <v>45741</v>
      </c>
      <c r="B2559" s="15" t="n">
        <v>1.03670001029968</v>
      </c>
      <c r="C2559" s="15" t="n">
        <v>0.569100022315979</v>
      </c>
      <c r="D2559" s="15" t="n">
        <v>2.68639993667603</v>
      </c>
      <c r="E2559" s="15" t="n">
        <v>0.0556999444961548</v>
      </c>
      <c r="F2559" s="15" t="n">
        <v>0.292400002479553</v>
      </c>
      <c r="G2559" s="15" t="n">
        <v>4.34789991378784</v>
      </c>
      <c r="H2559" s="16">
        <f>C2559+E2559</f>
        <v/>
      </c>
    </row>
    <row r="2560">
      <c r="A2560" s="12" t="n">
        <v>45742</v>
      </c>
      <c r="B2560" s="15" t="n">
        <v>1.04649996757507</v>
      </c>
      <c r="C2560" s="15" t="n">
        <v>0.582000017166138</v>
      </c>
      <c r="D2560" s="15" t="n">
        <v>2.69449996948242</v>
      </c>
      <c r="E2560" s="15" t="n">
        <v>0.0585999488830566</v>
      </c>
      <c r="F2560" s="15" t="n">
        <v>0.287000000476837</v>
      </c>
      <c r="G2560" s="15" t="n">
        <v>4.38159990310669</v>
      </c>
      <c r="H2560" s="16">
        <f>C2560+E2560</f>
        <v/>
      </c>
    </row>
    <row r="2561">
      <c r="A2561" s="12" t="n">
        <v>45743</v>
      </c>
      <c r="B2561" s="15" t="n">
        <v>1.05269998311996</v>
      </c>
      <c r="C2561" s="15" t="n">
        <v>0.592999994754791</v>
      </c>
      <c r="D2561" s="15" t="n">
        <v>2.70120000839233</v>
      </c>
      <c r="E2561" s="15" t="n">
        <v>0.060999870300293</v>
      </c>
      <c r="F2561" s="15" t="n">
        <v>0.267899990081787</v>
      </c>
      <c r="G2561" s="15" t="n">
        <v>4.40789985656738</v>
      </c>
      <c r="H2561" s="16">
        <f>C2561+E2561</f>
        <v/>
      </c>
    </row>
    <row r="2562">
      <c r="A2562" s="12" t="n">
        <v>45744</v>
      </c>
      <c r="B2562" s="15" t="n">
        <v>1.01760005950928</v>
      </c>
      <c r="C2562" s="15" t="n">
        <v>0.554499983787537</v>
      </c>
      <c r="D2562" s="15" t="n">
        <v>2.67689990997314</v>
      </c>
      <c r="E2562" s="15" t="n">
        <v>0.0520001649856567</v>
      </c>
      <c r="F2562" s="15" t="n">
        <v>0.252600014209747</v>
      </c>
      <c r="G2562" s="15" t="n">
        <v>4.30100011825562</v>
      </c>
      <c r="H2562" s="16">
        <f>C2562+E2562</f>
        <v/>
      </c>
    </row>
    <row r="2563">
      <c r="A2563" s="12" t="n">
        <v>45747</v>
      </c>
      <c r="B2563" s="15" t="n">
        <v>1.00719994306564</v>
      </c>
      <c r="C2563" s="15" t="n">
        <v>0.539900004863739</v>
      </c>
      <c r="D2563" s="15" t="n">
        <v>2.66820001602173</v>
      </c>
      <c r="E2563" s="15" t="n">
        <v>0.0485998392105103</v>
      </c>
      <c r="F2563" s="15" t="n">
        <v>0.228000000119209</v>
      </c>
      <c r="G2563" s="15" t="n">
        <v>4.26389980316162</v>
      </c>
      <c r="H2563" s="16">
        <f>C2563+E2563</f>
        <v/>
      </c>
    </row>
    <row r="2564">
      <c r="A2564" s="12" t="n">
        <v>45748</v>
      </c>
      <c r="B2564" s="15" t="n">
        <v>0.990900039672852</v>
      </c>
      <c r="C2564" s="15" t="n">
        <v>0.521600008010864</v>
      </c>
      <c r="D2564" s="15" t="n">
        <v>2.65659999847412</v>
      </c>
      <c r="E2564" s="15" t="n">
        <v>0.044299840927124</v>
      </c>
      <c r="F2564" s="15" t="n">
        <v>0.260600000619888</v>
      </c>
      <c r="G2564" s="15" t="n">
        <v>4.21339988708496</v>
      </c>
      <c r="H2564" s="16">
        <f>C2564+E2564</f>
        <v/>
      </c>
    </row>
    <row r="2565">
      <c r="A2565" s="12" t="n">
        <v>45749</v>
      </c>
      <c r="B2565" s="15" t="n">
        <v>1.00349998474121</v>
      </c>
      <c r="C2565" s="15" t="n">
        <v>0.5302000045776371</v>
      </c>
      <c r="D2565" s="15" t="n">
        <v>2.66319990158081</v>
      </c>
      <c r="E2565" s="15" t="n">
        <v>0.0461001396179199</v>
      </c>
      <c r="F2565" s="15" t="n">
        <v>0.282700002193451</v>
      </c>
      <c r="G2565" s="15" t="n">
        <v>4.24300003051758</v>
      </c>
      <c r="H2565" s="16">
        <f>C2565+E2565</f>
        <v/>
      </c>
    </row>
    <row r="2566">
      <c r="A2566" s="12" t="n">
        <v>45750</v>
      </c>
      <c r="B2566" s="15" t="n">
        <v>0.9474999904632569</v>
      </c>
      <c r="C2566" s="15" t="n">
        <v>0.47979998588562</v>
      </c>
      <c r="D2566" s="15" t="n">
        <v>2.63000011444092</v>
      </c>
      <c r="E2566" s="15" t="n">
        <v>0.0343999862670898</v>
      </c>
      <c r="F2566" s="15" t="n">
        <v>0.25789999961853</v>
      </c>
      <c r="G2566" s="15" t="n">
        <v>4.09170007705688</v>
      </c>
      <c r="H2566" s="16">
        <f>C2566+E2566</f>
        <v/>
      </c>
    </row>
    <row r="2567">
      <c r="A2567" s="12" t="n">
        <v>45751</v>
      </c>
      <c r="B2567" s="15" t="n">
        <v>0.932100027799606</v>
      </c>
      <c r="C2567" s="15" t="n">
        <v>0.476099997758865</v>
      </c>
      <c r="D2567" s="15" t="n">
        <v>2.62529993057251</v>
      </c>
      <c r="E2567" s="15" t="n">
        <v>0.0337998867034912</v>
      </c>
      <c r="F2567" s="15" t="n">
        <v>0.355599999427795</v>
      </c>
      <c r="G2567" s="15" t="n">
        <v>4.06729984283447</v>
      </c>
      <c r="H2567" s="16">
        <f>C2567+E2567</f>
        <v/>
      </c>
    </row>
    <row r="2568">
      <c r="A2568" s="12" t="n">
        <v>45754</v>
      </c>
      <c r="B2568" s="15" t="n">
        <v>0.969299972057343</v>
      </c>
      <c r="C2568" s="15" t="n">
        <v>0.531300008296967</v>
      </c>
      <c r="D2568" s="15" t="n">
        <v>2.65890002250671</v>
      </c>
      <c r="E2568" s="15" t="n">
        <v>0.0464001893997192</v>
      </c>
      <c r="F2568" s="15" t="n">
        <v>0.404000014066696</v>
      </c>
      <c r="G2568" s="15" t="n">
        <v>4.20590019226074</v>
      </c>
      <c r="H2568" s="16">
        <f>C2568+E2568</f>
        <v/>
      </c>
    </row>
    <row r="2569">
      <c r="A2569" s="12" t="n">
        <v>45755</v>
      </c>
      <c r="B2569" s="15" t="n">
        <v>1.00119996070862</v>
      </c>
      <c r="C2569" s="15" t="n">
        <v>0.579100012779236</v>
      </c>
      <c r="D2569" s="15" t="n">
        <v>2.68860006332397</v>
      </c>
      <c r="E2569" s="15" t="n">
        <v>0.0568999052047729</v>
      </c>
      <c r="F2569" s="15" t="n">
        <v>0.402500003576279</v>
      </c>
      <c r="G2569" s="15" t="n">
        <v>4.3257999420166</v>
      </c>
      <c r="H2569" s="16">
        <f>C2569+E2569</f>
        <v/>
      </c>
    </row>
    <row r="2570">
      <c r="A2570" s="12" t="n">
        <v>45756</v>
      </c>
      <c r="B2570" s="15" t="n">
        <v>1.0495999455452</v>
      </c>
      <c r="C2570" s="15" t="n">
        <v>0.6082000136375429</v>
      </c>
      <c r="D2570" s="15" t="n">
        <v>2.71070003509521</v>
      </c>
      <c r="E2570" s="15" t="n">
        <v>0.0635001659393311</v>
      </c>
      <c r="F2570" s="15" t="n">
        <v>0.374399989843369</v>
      </c>
      <c r="G2570" s="15" t="n">
        <v>4.43200016021729</v>
      </c>
      <c r="H2570" s="16">
        <f>C2570+E2570</f>
        <v/>
      </c>
    </row>
    <row r="2571">
      <c r="A2571" s="12" t="n">
        <v>45757</v>
      </c>
      <c r="B2571" s="15" t="n">
        <v>1.0579000711441</v>
      </c>
      <c r="C2571" s="15" t="n">
        <v>0.640699982643127</v>
      </c>
      <c r="D2571" s="15" t="n">
        <v>2.72830009460449</v>
      </c>
      <c r="E2571" s="15" t="n">
        <v>0.0709998607635498</v>
      </c>
      <c r="F2571" s="15" t="n">
        <v>0.455399990081787</v>
      </c>
      <c r="G2571" s="15" t="n">
        <v>4.49790000915527</v>
      </c>
      <c r="H2571" s="16">
        <f>C2571+E2571</f>
        <v/>
      </c>
    </row>
    <row r="2572">
      <c r="A2572" s="12" t="n">
        <v>45758</v>
      </c>
      <c r="B2572" s="15" t="n">
        <v>1.0890000462532</v>
      </c>
      <c r="C2572" s="15" t="n">
        <v>0.664799988269806</v>
      </c>
      <c r="D2572" s="15" t="n">
        <v>2.74499988555908</v>
      </c>
      <c r="E2572" s="15" t="n">
        <v>0.0765002965927124</v>
      </c>
      <c r="F2572" s="15" t="n">
        <v>0.480599999427795</v>
      </c>
      <c r="G2572" s="15" t="n">
        <v>4.5753002166748</v>
      </c>
      <c r="H2572" s="16">
        <f>C2572+E2572</f>
        <v/>
      </c>
    </row>
    <row r="2573">
      <c r="A2573" s="12" t="n">
        <v>45761</v>
      </c>
      <c r="B2573" s="15" t="n">
        <v>1.04829996824265</v>
      </c>
      <c r="C2573" s="15" t="n">
        <v>0.619700014591217</v>
      </c>
      <c r="D2573" s="15" t="n">
        <v>2.71620011329651</v>
      </c>
      <c r="E2573" s="15" t="n">
        <v>0.06619977951049801</v>
      </c>
      <c r="F2573" s="15" t="n">
        <v>0.429300010204315</v>
      </c>
      <c r="G2573" s="15" t="n">
        <v>4.45039987564087</v>
      </c>
      <c r="H2573" s="16">
        <f>C2573+E2573</f>
        <v/>
      </c>
    </row>
    <row r="2574">
      <c r="A2574" s="12" t="n">
        <v>45762</v>
      </c>
      <c r="B2574" s="15" t="n">
        <v>1.04109996557236</v>
      </c>
      <c r="C2574" s="15" t="n">
        <v>0.609600007534027</v>
      </c>
      <c r="D2574" s="15" t="n">
        <v>2.71079993247986</v>
      </c>
      <c r="E2574" s="15" t="n">
        <v>0.0635999441146851</v>
      </c>
      <c r="F2574" s="15" t="n">
        <v>0.437900006771088</v>
      </c>
      <c r="G2574" s="15" t="n">
        <v>4.42509984970093</v>
      </c>
      <c r="H2574" s="16">
        <f>C2574+E2574</f>
        <v/>
      </c>
    </row>
    <row r="2575">
      <c r="A2575" s="12" t="n">
        <v>45763</v>
      </c>
      <c r="B2575" s="15" t="n">
        <v>1.01890003681183</v>
      </c>
      <c r="C2575" s="15" t="n">
        <v>0.587499976158142</v>
      </c>
      <c r="D2575" s="15" t="n">
        <v>2.69709992408752</v>
      </c>
      <c r="E2575" s="15" t="n">
        <v>0.0580999851226807</v>
      </c>
      <c r="F2575" s="15" t="n">
        <v>0.458000004291534</v>
      </c>
      <c r="G2575" s="15" t="n">
        <v>4.36159992218018</v>
      </c>
      <c r="H2575" s="16">
        <f>C2575+E2575</f>
        <v/>
      </c>
    </row>
    <row r="2576">
      <c r="A2576" s="12" t="n">
        <v>45764</v>
      </c>
      <c r="B2576" s="15" t="n">
        <v>1.03590005636215</v>
      </c>
      <c r="C2576" s="15" t="n">
        <v>0.60369998216629</v>
      </c>
      <c r="D2576" s="15" t="n">
        <v>2.70860004425049</v>
      </c>
      <c r="E2576" s="15" t="n">
        <v>0.0615999698638916</v>
      </c>
      <c r="F2576" s="15" t="n">
        <v>0.404000014066696</v>
      </c>
      <c r="G2576" s="15" t="n">
        <v>4.40980005264282</v>
      </c>
      <c r="H2576" s="16">
        <f>C2576+E2576</f>
        <v/>
      </c>
    </row>
    <row r="2577">
      <c r="A2577" s="12" t="n">
        <v>45768</v>
      </c>
      <c r="B2577" s="15" t="n">
        <v>1.05579996109009</v>
      </c>
      <c r="C2577" s="15" t="n">
        <v>0.644999980926514</v>
      </c>
      <c r="D2577" s="15" t="n">
        <v>2.7335000038147</v>
      </c>
      <c r="E2577" s="15" t="n">
        <v>0.0706000328063965</v>
      </c>
      <c r="F2577" s="15" t="n">
        <v>0.439099997282028</v>
      </c>
      <c r="G2577" s="15" t="n">
        <v>4.5048999786377</v>
      </c>
      <c r="H2577" s="16">
        <f>C2577+E2577</f>
        <v/>
      </c>
    </row>
    <row r="2578">
      <c r="A2578" s="12" t="n">
        <v>45769</v>
      </c>
      <c r="B2578" s="15" t="n">
        <v>1.05520004034042</v>
      </c>
      <c r="C2578" s="15" t="n">
        <v>0.638300001621246</v>
      </c>
      <c r="D2578" s="15" t="n">
        <v>2.73000001907349</v>
      </c>
      <c r="E2578" s="15" t="n">
        <v>0.0689001083374023</v>
      </c>
      <c r="F2578" s="15" t="n">
        <v>0.391299992799759</v>
      </c>
      <c r="G2578" s="15" t="n">
        <v>4.49240016937256</v>
      </c>
      <c r="H2578" s="16">
        <f>C2578+E2578</f>
        <v/>
      </c>
    </row>
    <row r="2579">
      <c r="A2579" s="12" t="n">
        <v>45770</v>
      </c>
      <c r="B2579" s="15" t="n">
        <v>1.05699998140335</v>
      </c>
      <c r="C2579" s="15" t="n">
        <v>0.630400002002716</v>
      </c>
      <c r="D2579" s="15" t="n">
        <v>2.72550010681152</v>
      </c>
      <c r="E2579" s="15" t="n">
        <v>0.0674999952316284</v>
      </c>
      <c r="F2579" s="15" t="n">
        <v>0.3783999979496</v>
      </c>
      <c r="G2579" s="15" t="n">
        <v>4.48040008544922</v>
      </c>
      <c r="H2579" s="16">
        <f>C2579+E2579</f>
        <v/>
      </c>
    </row>
    <row r="2580">
      <c r="A2580" s="12" t="n">
        <v>45771</v>
      </c>
      <c r="B2580" s="15" t="n">
        <v>1.03010004758835</v>
      </c>
      <c r="C2580" s="15" t="n">
        <v>0.596599996089935</v>
      </c>
      <c r="D2580" s="15" t="n">
        <v>2.70429992675781</v>
      </c>
      <c r="E2580" s="15" t="n">
        <v>0.0598000288009644</v>
      </c>
      <c r="F2580" s="15" t="n">
        <v>0.33160001039505</v>
      </c>
      <c r="G2580" s="15" t="n">
        <v>4.39079999923706</v>
      </c>
      <c r="H2580" s="16">
        <f>C2580+E2580</f>
        <v/>
      </c>
    </row>
    <row r="2581">
      <c r="A2581" s="12" t="n">
        <v>45772</v>
      </c>
      <c r="B2581" s="15" t="n">
        <v>1.01839995384216</v>
      </c>
      <c r="C2581" s="15" t="n">
        <v>0.58270001411438</v>
      </c>
      <c r="D2581" s="15" t="n">
        <v>2.69589996337891</v>
      </c>
      <c r="E2581" s="15" t="n">
        <v>0.0564999580383301</v>
      </c>
      <c r="F2581" s="15" t="n">
        <v>0.361400008201599</v>
      </c>
      <c r="G2581" s="15" t="n">
        <v>4.35349988937378</v>
      </c>
      <c r="H2581" s="16">
        <f>C2581+E2581</f>
        <v/>
      </c>
    </row>
    <row r="2582">
      <c r="A2582" s="12" t="n">
        <v>45775</v>
      </c>
      <c r="B2582" s="15" t="n">
        <v>0.99729996919632</v>
      </c>
      <c r="C2582" s="15" t="n">
        <v>0.562200009822845</v>
      </c>
      <c r="D2582" s="15" t="n">
        <v>2.68289995193481</v>
      </c>
      <c r="E2582" s="15" t="n">
        <v>0.0516002178192139</v>
      </c>
      <c r="F2582" s="15" t="n">
        <v>0.342700004577637</v>
      </c>
      <c r="G2582" s="15" t="n">
        <v>4.29400014877319</v>
      </c>
      <c r="H2582" s="16">
        <f>C2582+E2582</f>
        <v/>
      </c>
    </row>
    <row r="2583">
      <c r="A2583" s="12" t="n">
        <v>45776</v>
      </c>
      <c r="B2583" s="15" t="n">
        <v>0.981400012969971</v>
      </c>
      <c r="C2583" s="15" t="n">
        <v>0.547399997711182</v>
      </c>
      <c r="D2583" s="15" t="n">
        <v>2.67309999465942</v>
      </c>
      <c r="E2583" s="15" t="n">
        <v>0.0482001304626465</v>
      </c>
      <c r="F2583" s="15" t="n">
        <v>0.357400000095367</v>
      </c>
      <c r="G2583" s="15" t="n">
        <v>4.25010013580322</v>
      </c>
      <c r="H2583" s="16">
        <f>C2583+E2583</f>
        <v/>
      </c>
    </row>
    <row r="2584">
      <c r="A2584" s="12" t="n">
        <v>45777</v>
      </c>
      <c r="B2584" s="15" t="n">
        <v>0.972500026226044</v>
      </c>
      <c r="C2584" s="15" t="n">
        <v>0.541899979114532</v>
      </c>
      <c r="D2584" s="15" t="n">
        <v>2.66989994049072</v>
      </c>
      <c r="E2584" s="15" t="n">
        <v>0.0465998649597168</v>
      </c>
      <c r="F2584" s="15" t="n">
        <v>0.339300006628036</v>
      </c>
      <c r="G2584" s="15" t="n">
        <v>4.23089981079102</v>
      </c>
      <c r="H2584" s="16">
        <f>C2584+E2584</f>
        <v/>
      </c>
    </row>
    <row r="2585">
      <c r="A2585" s="12" t="n">
        <v>45778</v>
      </c>
      <c r="B2585" s="15" t="n">
        <v>1.00419992208481</v>
      </c>
      <c r="C2585" s="15" t="n">
        <v>0.571600019931793</v>
      </c>
      <c r="D2585" s="15" t="n">
        <v>2.69020009040833</v>
      </c>
      <c r="E2585" s="15" t="n">
        <v>0.0530998706817627</v>
      </c>
      <c r="F2585" s="15" t="n">
        <v>0.348600000143051</v>
      </c>
      <c r="G2585" s="15" t="n">
        <v>4.31909990310669</v>
      </c>
      <c r="H2585" s="16">
        <f>C2585+E2585</f>
        <v/>
      </c>
    </row>
    <row r="2586">
      <c r="A2586" s="12" t="n">
        <v>45779</v>
      </c>
      <c r="B2586" s="15" t="n">
        <v>1.03729999065399</v>
      </c>
      <c r="C2586" s="15" t="n">
        <v>0.596300005912781</v>
      </c>
      <c r="D2586" s="15" t="n">
        <v>2.70770001411438</v>
      </c>
      <c r="E2586" s="15" t="n">
        <v>0.0587000846862793</v>
      </c>
      <c r="F2586" s="15" t="n">
        <v>0.363499999046326</v>
      </c>
      <c r="G2586" s="15" t="n">
        <v>4.40000009536743</v>
      </c>
      <c r="H2586" s="16">
        <f>C2586+E2586</f>
        <v/>
      </c>
    </row>
    <row r="2587">
      <c r="A2587" s="12" t="n">
        <v>45782</v>
      </c>
      <c r="B2587" s="15" t="n">
        <v>1.042799949646</v>
      </c>
      <c r="C2587" s="15" t="n">
        <v>0.60699999332428</v>
      </c>
      <c r="D2587" s="15" t="n">
        <v>2.71309995651245</v>
      </c>
      <c r="E2587" s="15" t="n">
        <v>0.0614999532699585</v>
      </c>
      <c r="F2587" s="15" t="n">
        <v>0.357800006866455</v>
      </c>
      <c r="G2587" s="15" t="n">
        <v>4.42439985275269</v>
      </c>
      <c r="H2587" s="16">
        <f>C2587+E2587</f>
        <v/>
      </c>
    </row>
    <row r="2588">
      <c r="A2588" s="12" t="n">
        <v>45783</v>
      </c>
      <c r="B2588" s="15" t="n">
        <v>1.0300999879837</v>
      </c>
      <c r="C2588" s="15" t="n">
        <v>0.5970000028610229</v>
      </c>
      <c r="D2588" s="15" t="n">
        <v>2.70600008964539</v>
      </c>
      <c r="E2588" s="15" t="n">
        <v>0.0592997074127197</v>
      </c>
      <c r="F2588" s="15" t="n">
        <v>0.337099999189377</v>
      </c>
      <c r="G2588" s="15" t="n">
        <v>4.39239978790283</v>
      </c>
      <c r="H2588" s="16">
        <f>C2588+E2588</f>
        <v/>
      </c>
    </row>
    <row r="2589">
      <c r="A2589" s="12" t="n">
        <v>45784</v>
      </c>
      <c r="B2589" s="15" t="n">
        <v>1.01960003376007</v>
      </c>
      <c r="C2589" s="15" t="n">
        <v>0.580999970436096</v>
      </c>
      <c r="D2589" s="15" t="n">
        <v>2.69659996032715</v>
      </c>
      <c r="E2589" s="15" t="n">
        <v>0.0555999279022217</v>
      </c>
      <c r="F2589" s="15" t="n">
        <v>0.336499989032745</v>
      </c>
      <c r="G2589" s="15" t="n">
        <v>4.35279989242554</v>
      </c>
      <c r="H2589" s="16">
        <f>C2589+E2589</f>
        <v/>
      </c>
    </row>
    <row r="2590">
      <c r="A2590" s="12" t="n">
        <v>45785</v>
      </c>
      <c r="B2590" s="15" t="n">
        <v>1.05870002508163</v>
      </c>
      <c r="C2590" s="15" t="n">
        <v>0.616100013256073</v>
      </c>
      <c r="D2590" s="15" t="n">
        <v>2.72009992599487</v>
      </c>
      <c r="E2590" s="15" t="n">
        <v>0.0635999441146851</v>
      </c>
      <c r="F2590" s="15" t="n">
        <v>0.330900013446808</v>
      </c>
      <c r="G2590" s="15" t="n">
        <v>4.45849990844727</v>
      </c>
      <c r="H2590" s="16">
        <f>C2590+E2590</f>
        <v/>
      </c>
    </row>
    <row r="2591">
      <c r="A2591" s="12" t="n">
        <v>45786</v>
      </c>
      <c r="B2591" s="15" t="n">
        <v>1.05599999427795</v>
      </c>
      <c r="C2591" s="15" t="n">
        <v>0.6172000169754031</v>
      </c>
      <c r="D2591" s="15" t="n">
        <v>2.71950006484985</v>
      </c>
      <c r="E2591" s="15" t="n">
        <v>0.06409990787506099</v>
      </c>
      <c r="F2591" s="15" t="n">
        <v>0.325899988412857</v>
      </c>
      <c r="G2591" s="15" t="n">
        <v>4.45679998397827</v>
      </c>
      <c r="H2591" s="16">
        <f>C2591+E2591</f>
        <v/>
      </c>
    </row>
    <row r="2592">
      <c r="A2592" s="12" t="n">
        <v>45789</v>
      </c>
      <c r="B2592" s="15" t="n">
        <v>1.08530002832413</v>
      </c>
      <c r="C2592" s="15" t="n">
        <v>0.6439999938011171</v>
      </c>
      <c r="D2592" s="15" t="n">
        <v>2.73690009117126</v>
      </c>
      <c r="E2592" s="15" t="n">
        <v>0.0704996585845947</v>
      </c>
      <c r="F2592" s="15" t="n">
        <v>0.360100001096725</v>
      </c>
      <c r="G2592" s="15" t="n">
        <v>4.5366997718811</v>
      </c>
      <c r="H2592" s="16">
        <f>C2592+E2592</f>
        <v/>
      </c>
    </row>
    <row r="2593">
      <c r="A2593" s="12" t="n">
        <v>45790</v>
      </c>
      <c r="B2593" s="15" t="n">
        <v>1.09499996900558</v>
      </c>
      <c r="C2593" s="15" t="n">
        <v>0.655399978160858</v>
      </c>
      <c r="D2593" s="15" t="n">
        <v>2.7435998916626</v>
      </c>
      <c r="E2593" s="15" t="n">
        <v>0.0733000040054321</v>
      </c>
      <c r="F2593" s="15" t="n">
        <v>0.343699991703033</v>
      </c>
      <c r="G2593" s="15" t="n">
        <v>4.56729984283447</v>
      </c>
      <c r="H2593" s="16">
        <f>C2593+E2593</f>
        <v/>
      </c>
    </row>
    <row r="2594">
      <c r="A2594" s="12" t="n">
        <v>45791</v>
      </c>
      <c r="B2594" s="15" t="n">
        <v>1.1071999669075</v>
      </c>
      <c r="C2594" s="15" t="n">
        <v>0.6662999987602229</v>
      </c>
      <c r="D2594" s="15" t="n">
        <v>2.75049996376038</v>
      </c>
      <c r="E2594" s="15" t="n">
        <v>0.0758998394012451</v>
      </c>
      <c r="F2594" s="15" t="n">
        <v>0.3091000020504</v>
      </c>
      <c r="G2594" s="15" t="n">
        <v>4.59989976882935</v>
      </c>
      <c r="H2594" s="16">
        <f>C2594+E2594</f>
        <v/>
      </c>
    </row>
    <row r="2595">
      <c r="A2595" s="12" t="n">
        <v>45792</v>
      </c>
      <c r="B2595" s="15" t="n">
        <v>1.07940000295639</v>
      </c>
      <c r="C2595" s="15" t="n">
        <v>0.639100015163422</v>
      </c>
      <c r="D2595" s="15" t="n">
        <v>2.7328999042511</v>
      </c>
      <c r="E2595" s="15" t="n">
        <v>0.06959998607635499</v>
      </c>
      <c r="F2595" s="15" t="n">
        <v>0.309700012207031</v>
      </c>
      <c r="G2595" s="15" t="n">
        <v>4.52099990844727</v>
      </c>
      <c r="H2595" s="16">
        <f>C2595+E2595</f>
        <v/>
      </c>
    </row>
    <row r="2596">
      <c r="A2596" s="12" t="n">
        <v>45793</v>
      </c>
      <c r="B2596" s="15" t="n">
        <v>1.0760999917984</v>
      </c>
      <c r="C2596" s="15" t="n">
        <v>0.630800008773804</v>
      </c>
      <c r="D2596" s="15" t="n">
        <v>2.728600025177</v>
      </c>
      <c r="E2596" s="15" t="n">
        <v>0.067599892616272</v>
      </c>
      <c r="F2596" s="15" t="n">
        <v>0.298200011253357</v>
      </c>
      <c r="G2596" s="15" t="n">
        <v>4.50309991836548</v>
      </c>
      <c r="H2596" s="16">
        <f>C2596+E2596</f>
        <v/>
      </c>
    </row>
    <row r="2597">
      <c r="A2597" s="12" t="n">
        <v>45796</v>
      </c>
      <c r="B2597" s="15" t="n">
        <v>1.08450001478195</v>
      </c>
      <c r="C2597" s="15" t="n">
        <v>0.639100015163422</v>
      </c>
      <c r="D2597" s="15" t="n">
        <v>2.73489999771118</v>
      </c>
      <c r="E2597" s="15" t="n">
        <v>0.0690997838973999</v>
      </c>
      <c r="F2597" s="15" t="n">
        <v>0.296099990606308</v>
      </c>
      <c r="G2597" s="15" t="n">
        <v>4.52759981155396</v>
      </c>
      <c r="H2597" s="16">
        <f>C2597+E2597</f>
        <v/>
      </c>
    </row>
    <row r="2598">
      <c r="A2598" s="12" t="n">
        <v>45797</v>
      </c>
      <c r="B2598" s="15" t="n">
        <v>1.09090000391006</v>
      </c>
      <c r="C2598" s="15" t="n">
        <v>0.649699985980988</v>
      </c>
      <c r="D2598" s="15" t="n">
        <v>2.7418999671936</v>
      </c>
      <c r="E2598" s="15" t="n">
        <v>0.07120001316070559</v>
      </c>
      <c r="F2598" s="15" t="n">
        <v>0.303200006484985</v>
      </c>
      <c r="G2598" s="15" t="n">
        <v>4.55369997024536</v>
      </c>
      <c r="H2598" s="16">
        <f>C2598+E2598</f>
        <v/>
      </c>
    </row>
    <row r="2599">
      <c r="A2599" s="12" t="n">
        <v>45798</v>
      </c>
      <c r="B2599" s="15" t="n">
        <v>1.12280005216599</v>
      </c>
      <c r="C2599" s="15" t="n">
        <v>0.692099988460541</v>
      </c>
      <c r="D2599" s="15" t="n">
        <v>2.7688000202179</v>
      </c>
      <c r="E2599" s="15" t="n">
        <v>0.0805999040603638</v>
      </c>
      <c r="F2599" s="15" t="n">
        <v>0.318800002336502</v>
      </c>
      <c r="G2599" s="15" t="n">
        <v>4.66429996490479</v>
      </c>
      <c r="H2599" s="16">
        <f>C2599+E2599</f>
        <v/>
      </c>
    </row>
    <row r="2600">
      <c r="A2600" s="12" t="n">
        <v>45799</v>
      </c>
      <c r="B2600" s="15" t="n">
        <v>1.11360001564026</v>
      </c>
      <c r="C2600" s="15" t="n">
        <v>0.678300023078918</v>
      </c>
      <c r="D2600" s="15" t="n">
        <v>2.76079988479614</v>
      </c>
      <c r="E2600" s="15" t="n">
        <v>0.0773001909255981</v>
      </c>
      <c r="F2600" s="15" t="n">
        <v>0.30919998884201</v>
      </c>
      <c r="G2600" s="15" t="n">
        <v>4.63000011444092</v>
      </c>
      <c r="H2600" s="16">
        <f>C2600+E2600</f>
        <v/>
      </c>
    </row>
    <row r="2601">
      <c r="A2601" s="12" t="n">
        <v>45800</v>
      </c>
      <c r="B2601" s="15" t="n">
        <v>1.1071999669075</v>
      </c>
      <c r="C2601" s="15" t="n">
        <v>0.6662999987602229</v>
      </c>
      <c r="D2601" s="15" t="n">
        <v>2.75419998168945</v>
      </c>
      <c r="E2601" s="15" t="n">
        <v>0.0743999481201172</v>
      </c>
      <c r="F2601" s="15" t="n">
        <v>0.313699990510941</v>
      </c>
      <c r="G2601" s="15" t="n">
        <v>4.60209989547729</v>
      </c>
      <c r="H2601" s="16">
        <f>C2601+E2601</f>
        <v/>
      </c>
    </row>
    <row r="2602">
      <c r="A2602" s="12" t="n">
        <v>45804</v>
      </c>
      <c r="B2602" s="15" t="n">
        <v>1.08270001411438</v>
      </c>
      <c r="C2602" s="15" t="n">
        <v>0.6351000070571901</v>
      </c>
      <c r="D2602" s="15" t="n">
        <v>2.73449993133545</v>
      </c>
      <c r="E2602" s="15" t="n">
        <v>0.0674000978469849</v>
      </c>
      <c r="F2602" s="15" t="n">
        <v>0.304100006818771</v>
      </c>
      <c r="G2602" s="15" t="n">
        <v>4.519700050354</v>
      </c>
      <c r="H2602" s="16">
        <f>C2602+E2602</f>
        <v/>
      </c>
    </row>
    <row r="2603">
      <c r="A2603" s="12" t="n">
        <v>45805</v>
      </c>
      <c r="B2603" s="15" t="n">
        <v>1.09559994935989</v>
      </c>
      <c r="C2603" s="15" t="n">
        <v>0.647599995136261</v>
      </c>
      <c r="D2603" s="15" t="n">
        <v>2.74300003051758</v>
      </c>
      <c r="E2603" s="15" t="n">
        <v>0.0701001882553101</v>
      </c>
      <c r="F2603" s="15" t="n">
        <v>0.312099993228912</v>
      </c>
      <c r="G2603" s="15" t="n">
        <v>4.55630016326904</v>
      </c>
      <c r="H2603" s="16">
        <f>C2603+E2603</f>
        <v/>
      </c>
    </row>
    <row r="2604">
      <c r="A2604" s="12" t="n">
        <v>45806</v>
      </c>
      <c r="B2604" s="15" t="n">
        <v>1.07839995622635</v>
      </c>
      <c r="C2604" s="15" t="n">
        <v>0.626900017261505</v>
      </c>
      <c r="D2604" s="15" t="n">
        <v>2.73009991645813</v>
      </c>
      <c r="E2604" s="15" t="n">
        <v>0.0653001070022583</v>
      </c>
      <c r="F2604" s="15" t="n">
        <v>0.308600008487701</v>
      </c>
      <c r="G2604" s="15" t="n">
        <v>4.50069999694824</v>
      </c>
      <c r="H2604" s="16">
        <f>C2604+E2604</f>
        <v/>
      </c>
    </row>
    <row r="2605">
      <c r="A2605" s="12" t="n">
        <v>45807</v>
      </c>
      <c r="B2605" s="15" t="n">
        <v>1.07080006599426</v>
      </c>
      <c r="C2605" s="15" t="n">
        <v>0.619099974632263</v>
      </c>
      <c r="D2605" s="15" t="n">
        <v>2.72550010681152</v>
      </c>
      <c r="E2605" s="15" t="n">
        <v>0.06330001354217531</v>
      </c>
      <c r="F2605" s="15" t="n">
        <v>0.287499994039536</v>
      </c>
      <c r="G2605" s="15" t="n">
        <v>4.47870016098022</v>
      </c>
      <c r="H2605" s="16">
        <f>C2605+E2605</f>
        <v/>
      </c>
    </row>
    <row r="2606">
      <c r="A2606" s="12" t="n">
        <v>45810</v>
      </c>
      <c r="B2606" s="15" t="n">
        <v>1.08500003814697</v>
      </c>
      <c r="C2606" s="15" t="n">
        <v>0.642799973487854</v>
      </c>
      <c r="D2606" s="15" t="n">
        <v>2.73950004577637</v>
      </c>
      <c r="E2606" s="15" t="n">
        <v>0.0687998533248901</v>
      </c>
      <c r="F2606" s="15" t="n">
        <v>0.312900006771088</v>
      </c>
      <c r="G2606" s="15" t="n">
        <v>4.53609991073608</v>
      </c>
      <c r="H2606" s="16">
        <f>C2606+E2606</f>
        <v/>
      </c>
    </row>
    <row r="2607">
      <c r="A2607" s="12" t="n">
        <v>45811</v>
      </c>
      <c r="B2607" s="15" t="n">
        <v>1.08749997615814</v>
      </c>
      <c r="C2607" s="15" t="n">
        <v>0.64520001411438</v>
      </c>
      <c r="D2607" s="15" t="n">
        <v>2.74070000648499</v>
      </c>
      <c r="E2607" s="15" t="n">
        <v>0.0696002244949341</v>
      </c>
      <c r="F2607" s="15" t="n">
        <v>0.315499991178513</v>
      </c>
      <c r="G2607" s="15" t="n">
        <v>4.54300022125244</v>
      </c>
      <c r="H2607" s="16">
        <f>C2607+E2607</f>
        <v/>
      </c>
    </row>
    <row r="2608">
      <c r="A2608" s="12" t="n">
        <v>45812</v>
      </c>
      <c r="B2608" s="15" t="n">
        <v>1.05329996347427</v>
      </c>
      <c r="C2608" s="15" t="n">
        <v>0.608799993991852</v>
      </c>
      <c r="D2608" s="15" t="n">
        <v>2.71690011024475</v>
      </c>
      <c r="E2608" s="15" t="n">
        <v>0.0614000558853149</v>
      </c>
      <c r="F2608" s="15" t="n">
        <v>0.326099991798401</v>
      </c>
      <c r="G2608" s="15" t="n">
        <v>4.44040012359619</v>
      </c>
      <c r="H2608" s="16">
        <f>C2608+E2608</f>
        <v/>
      </c>
    </row>
    <row r="2609">
      <c r="A2609" s="12" t="n">
        <v>45813</v>
      </c>
      <c r="B2609" s="15" t="n">
        <v>1.06560003757477</v>
      </c>
      <c r="C2609" s="15" t="n">
        <v>0.619199991226196</v>
      </c>
      <c r="D2609" s="15" t="n">
        <v>2.72350001335144</v>
      </c>
      <c r="E2609" s="15" t="n">
        <v>0.0638998746871948</v>
      </c>
      <c r="F2609" s="15" t="n">
        <v>0.347699999809265</v>
      </c>
      <c r="G2609" s="15" t="n">
        <v>4.4721999168396</v>
      </c>
      <c r="H2609" s="16">
        <f>C2609+E2609</f>
        <v/>
      </c>
    </row>
    <row r="2610">
      <c r="A2610" s="12" t="n">
        <v>45814</v>
      </c>
      <c r="B2610" s="15" t="n">
        <v>1.10509997606277</v>
      </c>
      <c r="C2610" s="15" t="n">
        <v>0.659099996089935</v>
      </c>
      <c r="D2610" s="15" t="n">
        <v>2.74900007247925</v>
      </c>
      <c r="E2610" s="15" t="n">
        <v>0.07330012321472169</v>
      </c>
      <c r="F2610" s="15" t="n">
        <v>0.360799998044968</v>
      </c>
      <c r="G2610" s="15" t="n">
        <v>4.58650016784668</v>
      </c>
      <c r="H2610" s="16">
        <f>C2610+E2610</f>
        <v/>
      </c>
    </row>
    <row r="2611">
      <c r="A2611" s="12" t="n">
        <v>45817</v>
      </c>
      <c r="B2611" s="15" t="n">
        <v>1.09650003910065</v>
      </c>
      <c r="C2611" s="15" t="n">
        <v>0.647300004959106</v>
      </c>
      <c r="D2611" s="15" t="n">
        <v>2.74160003662109</v>
      </c>
      <c r="E2611" s="15" t="n">
        <v>0.07060015201568599</v>
      </c>
      <c r="F2611" s="15" t="n">
        <v>0.355100005865097</v>
      </c>
      <c r="G2611" s="15" t="n">
        <v>4.55600023269653</v>
      </c>
      <c r="H2611" s="16">
        <f>C2611+E2611</f>
        <v/>
      </c>
    </row>
    <row r="2612">
      <c r="A2612" s="12" t="n">
        <v>45818</v>
      </c>
      <c r="B2612" s="15" t="n">
        <v>1.09170001745224</v>
      </c>
      <c r="C2612" s="15" t="n">
        <v>0.639900028705597</v>
      </c>
      <c r="D2612" s="15" t="n">
        <v>2.73699998855591</v>
      </c>
      <c r="E2612" s="15" t="n">
        <v>0.0690000057220459</v>
      </c>
      <c r="F2612" s="15" t="n">
        <v>0.363099992275238</v>
      </c>
      <c r="G2612" s="15" t="n">
        <v>4.53760004043579</v>
      </c>
      <c r="H2612" s="16">
        <f>C2612+E2612</f>
        <v/>
      </c>
    </row>
    <row r="2613">
      <c r="A2613" s="12" t="n">
        <v>45819</v>
      </c>
      <c r="B2613" s="15" t="n">
        <v>1.07160001993179</v>
      </c>
      <c r="C2613" s="15" t="n">
        <v>0.619700014591217</v>
      </c>
      <c r="D2613" s="15" t="n">
        <v>2.72399997711182</v>
      </c>
      <c r="E2613" s="15" t="n">
        <v>0.0642999410629272</v>
      </c>
      <c r="F2613" s="15" t="n">
        <v>0.368000000715256</v>
      </c>
      <c r="G2613" s="15" t="n">
        <v>4.47959995269775</v>
      </c>
      <c r="H2613" s="16">
        <f>C2613+E2613</f>
        <v/>
      </c>
    </row>
    <row r="2614">
      <c r="A2614" s="12" t="n">
        <v>45820</v>
      </c>
      <c r="B2614" s="15" t="n">
        <v>1.05099999904633</v>
      </c>
      <c r="C2614" s="15" t="n">
        <v>0.597800016403198</v>
      </c>
      <c r="D2614" s="15" t="n">
        <v>2.70970010757446</v>
      </c>
      <c r="E2614" s="15" t="n">
        <v>0.0592998266220093</v>
      </c>
      <c r="F2614" s="15" t="n">
        <v>0.372099995613098</v>
      </c>
      <c r="G2614" s="15" t="n">
        <v>4.417799949646</v>
      </c>
      <c r="H2614" s="16">
        <f>C2614+E2614</f>
        <v/>
      </c>
    </row>
    <row r="2615">
      <c r="A2615" s="12" t="n">
        <v>45821</v>
      </c>
      <c r="B2615" s="15" t="n">
        <v>1.06909996271133</v>
      </c>
      <c r="C2615" s="15" t="n">
        <v>0.618300020694733</v>
      </c>
      <c r="D2615" s="15" t="n">
        <v>2.72289991378784</v>
      </c>
      <c r="E2615" s="15" t="n">
        <v>0.06400001049041749</v>
      </c>
      <c r="F2615" s="15" t="n">
        <v>0.361999988555908</v>
      </c>
      <c r="G2615" s="15" t="n">
        <v>4.47429990768433</v>
      </c>
      <c r="H2615" s="16">
        <f>C2615+E2615</f>
        <v/>
      </c>
    </row>
    <row r="2616">
      <c r="A2616" s="12" t="n">
        <v>45824</v>
      </c>
      <c r="B2616" s="15" t="n">
        <v>1.08280003070831</v>
      </c>
      <c r="C2616" s="15" t="n">
        <v>0.6328999996185301</v>
      </c>
      <c r="D2616" s="15" t="n">
        <v>2.7328999042511</v>
      </c>
      <c r="E2616" s="15" t="n">
        <v>0.067099928855896</v>
      </c>
      <c r="F2616" s="15" t="n">
        <v>0.355100005865097</v>
      </c>
      <c r="G2616" s="15" t="n">
        <v>4.51569986343384</v>
      </c>
      <c r="H2616" s="16">
        <f>C2616+E2616</f>
        <v/>
      </c>
    </row>
    <row r="2617">
      <c r="A2617" s="12" t="n">
        <v>45825</v>
      </c>
      <c r="B2617" s="15" t="n">
        <v>1.06149995326996</v>
      </c>
      <c r="C2617" s="15" t="n">
        <v>0.606299996376038</v>
      </c>
      <c r="D2617" s="15" t="n">
        <v>2.71609997749329</v>
      </c>
      <c r="E2617" s="15" t="n">
        <v>0.0610001087188721</v>
      </c>
      <c r="F2617" s="15" t="n">
        <v>0.328299999237061</v>
      </c>
      <c r="G2617" s="15" t="n">
        <v>4.44490003585815</v>
      </c>
      <c r="H2617" s="16">
        <f>C2617+E2617</f>
        <v/>
      </c>
    </row>
    <row r="2618">
      <c r="A2618" s="12" t="n">
        <v>45826</v>
      </c>
      <c r="B2618" s="15" t="n">
        <v>1.0634999871254</v>
      </c>
      <c r="C2618" s="15" t="n">
        <v>0.605099976062775</v>
      </c>
      <c r="D2618" s="15" t="n">
        <v>2.7163999080658</v>
      </c>
      <c r="E2618" s="15" t="n">
        <v>0.0605000257492065</v>
      </c>
      <c r="F2618" s="15" t="n">
        <v>0.322499990463257</v>
      </c>
      <c r="G2618" s="15" t="n">
        <v>4.44549989700317</v>
      </c>
      <c r="H2618" s="16">
        <f>C2618+E2618</f>
        <v/>
      </c>
    </row>
    <row r="2619">
      <c r="A2619" s="12" t="n">
        <v>45828</v>
      </c>
      <c r="B2619" s="15" t="n">
        <v>1.05699998140335</v>
      </c>
      <c r="C2619" s="15" t="n">
        <v>0.60589998960495</v>
      </c>
      <c r="D2619" s="15" t="n">
        <v>2.71560001373291</v>
      </c>
      <c r="E2619" s="15" t="n">
        <v>0.0609002113342285</v>
      </c>
      <c r="F2619" s="15" t="n">
        <v>0.307599991559982</v>
      </c>
      <c r="G2619" s="15" t="n">
        <v>4.43940019607544</v>
      </c>
      <c r="H2619" s="16">
        <f>C2619+E2619</f>
        <v/>
      </c>
    </row>
    <row r="2620">
      <c r="A2620" s="12" t="n">
        <v>45831</v>
      </c>
      <c r="B2620" s="15" t="n">
        <v>1.04040002822876</v>
      </c>
      <c r="C2620" s="15" t="n">
        <v>0.595399975776672</v>
      </c>
      <c r="D2620" s="15" t="n">
        <v>2.70799994468689</v>
      </c>
      <c r="E2620" s="15" t="n">
        <v>0.0584002733230591</v>
      </c>
      <c r="F2620" s="15" t="n">
        <v>0.318699985742569</v>
      </c>
      <c r="G2620" s="15" t="n">
        <v>4.40220022201538</v>
      </c>
      <c r="H2620" s="16">
        <f>C2620+E2620</f>
        <v/>
      </c>
    </row>
    <row r="2621">
      <c r="A2621" s="12" t="n">
        <v>45832</v>
      </c>
      <c r="B2621" s="15" t="n">
        <v>1.02600002288818</v>
      </c>
      <c r="C2621" s="15" t="n">
        <v>0.582000017166138</v>
      </c>
      <c r="D2621" s="15" t="n">
        <v>2.69939994812012</v>
      </c>
      <c r="E2621" s="15" t="n">
        <v>0.0551002025604248</v>
      </c>
      <c r="F2621" s="15" t="n">
        <v>0.323500007390976</v>
      </c>
      <c r="G2621" s="15" t="n">
        <v>4.36250019073486</v>
      </c>
      <c r="H2621" s="16">
        <f>C2621+E2621</f>
        <v/>
      </c>
    </row>
    <row r="2622">
      <c r="A2622" s="12" t="n">
        <v>45833</v>
      </c>
      <c r="B2622" s="15" t="n">
        <v>1.02179992198944</v>
      </c>
      <c r="C2622" s="15" t="n">
        <v>0.580600023269653</v>
      </c>
      <c r="D2622" s="15" t="n">
        <v>2.6981999874115</v>
      </c>
      <c r="E2622" s="15" t="n">
        <v>0.0548001527786255</v>
      </c>
      <c r="F2622" s="15" t="n">
        <v>0.317799985408783</v>
      </c>
      <c r="G2622" s="15" t="n">
        <v>4.35540008544922</v>
      </c>
      <c r="H2622" s="16">
        <f>C2622+E2622</f>
        <v/>
      </c>
    </row>
    <row r="2623">
      <c r="A2623" s="12" t="n">
        <v>45834</v>
      </c>
      <c r="B2623" s="15" t="n">
        <v>1.00960004329681</v>
      </c>
      <c r="C2623" s="15" t="n">
        <v>0.571200013160706</v>
      </c>
      <c r="D2623" s="15" t="n">
        <v>2.69199991226196</v>
      </c>
      <c r="E2623" s="15" t="n">
        <v>0.0525002479553223</v>
      </c>
      <c r="F2623" s="15" t="n">
        <v>0.3091000020504</v>
      </c>
      <c r="G2623" s="15" t="n">
        <v>4.3253002166748</v>
      </c>
      <c r="H2623" s="16">
        <f>C2623+E2623</f>
        <v/>
      </c>
    </row>
    <row r="2624">
      <c r="A2624" s="12" t="n">
        <v>45835</v>
      </c>
      <c r="B2624" s="15" t="n">
        <v>1.02209997177124</v>
      </c>
      <c r="C2624" s="15" t="n">
        <v>0.584699988365173</v>
      </c>
      <c r="D2624" s="15" t="n">
        <v>2.70099997520447</v>
      </c>
      <c r="E2624" s="15" t="n">
        <v>0.0554002523422241</v>
      </c>
      <c r="F2624" s="15" t="n">
        <v>0.30460000038147</v>
      </c>
      <c r="G2624" s="15" t="n">
        <v>4.36320018768311</v>
      </c>
      <c r="H2624" s="16">
        <f>C2624+E2624</f>
        <v/>
      </c>
    </row>
    <row r="2625">
      <c r="A2625" s="12" t="n">
        <v>45838</v>
      </c>
      <c r="B2625" s="15" t="n">
        <v>1.00669997930527</v>
      </c>
      <c r="C2625" s="15" t="n">
        <v>0.561600029468536</v>
      </c>
      <c r="D2625" s="15" t="n">
        <v>2.68729996681213</v>
      </c>
      <c r="E2625" s="15" t="n">
        <v>0.0500998497009277</v>
      </c>
      <c r="F2625" s="15" t="n">
        <v>0.294900000095367</v>
      </c>
      <c r="G2625" s="15" t="n">
        <v>4.30569982528687</v>
      </c>
      <c r="H2625" s="16">
        <f>C2625+E2625</f>
        <v/>
      </c>
    </row>
    <row r="2626">
      <c r="A2626" s="12" t="n">
        <v>45839</v>
      </c>
      <c r="B2626" s="15" t="n">
        <v>1.01710003614426</v>
      </c>
      <c r="C2626" s="15" t="n">
        <v>0.568499982357025</v>
      </c>
      <c r="D2626" s="15" t="n">
        <v>2.69190001487732</v>
      </c>
      <c r="E2626" s="15" t="n">
        <v>0.0517998933792114</v>
      </c>
      <c r="F2626" s="15" t="n">
        <v>0.302599996328354</v>
      </c>
      <c r="G2626" s="15" t="n">
        <v>4.32929992675781</v>
      </c>
      <c r="H2626" s="16">
        <f>C2626+E2626</f>
        <v/>
      </c>
    </row>
    <row r="2627">
      <c r="A2627" s="12" t="n">
        <v>45840</v>
      </c>
      <c r="B2627" s="15" t="n">
        <v>1.02720004320145</v>
      </c>
      <c r="C2627" s="15" t="n">
        <v>0.584299981594086</v>
      </c>
      <c r="D2627" s="15" t="n">
        <v>2.70090007781982</v>
      </c>
      <c r="E2627" s="15" t="n">
        <v>0.0557000637054443</v>
      </c>
      <c r="F2627" s="15" t="n">
        <v>0.296900004148483</v>
      </c>
      <c r="G2627" s="15" t="n">
        <v>4.3681001663208</v>
      </c>
      <c r="H2627" s="16">
        <f>C2627+E2627</f>
        <v/>
      </c>
    </row>
    <row r="2628">
      <c r="A2628" s="12" t="n">
        <v>45841</v>
      </c>
      <c r="B2628" s="15" t="n">
        <v>1.05210000276566</v>
      </c>
      <c r="C2628" s="15" t="n">
        <v>0.597500026226044</v>
      </c>
      <c r="D2628" s="15" t="n">
        <v>2.71189999580383</v>
      </c>
      <c r="E2628" s="15" t="n">
        <v>0.0582997798919678</v>
      </c>
      <c r="F2628" s="15" t="n">
        <v>0.287699997425079</v>
      </c>
      <c r="G2628" s="15" t="n">
        <v>4.4197998046875</v>
      </c>
      <c r="H2628" s="16">
        <f>C2628+E2628</f>
        <v/>
      </c>
    </row>
    <row r="2629">
      <c r="A2629" s="12" t="n">
        <v>45845</v>
      </c>
      <c r="B2629" s="15" t="n">
        <v>1.06290000677109</v>
      </c>
      <c r="C2629" s="15" t="n">
        <v>0.614000022411346</v>
      </c>
      <c r="D2629" s="15" t="n">
        <v>2.72180008888245</v>
      </c>
      <c r="E2629" s="15" t="n">
        <v>0.0621997117996216</v>
      </c>
      <c r="F2629" s="15" t="n">
        <v>0.27590000629425</v>
      </c>
      <c r="G2629" s="15" t="n">
        <v>4.4608998298645</v>
      </c>
      <c r="H2629" s="16">
        <f>C2629+E2629</f>
        <v/>
      </c>
    </row>
    <row r="2630">
      <c r="A2630" s="12" t="n">
        <v>45846</v>
      </c>
      <c r="B2630" s="15" t="n">
        <v>1.07140004634857</v>
      </c>
      <c r="C2630" s="15" t="n">
        <v>0.625599980354309</v>
      </c>
      <c r="D2630" s="15" t="n">
        <v>2.72889995574951</v>
      </c>
      <c r="E2630" s="15" t="n">
        <v>0.0647997856140137</v>
      </c>
      <c r="F2630" s="15" t="n">
        <v>0.284700006246567</v>
      </c>
      <c r="G2630" s="15" t="n">
        <v>4.49069976806641</v>
      </c>
      <c r="H2630" s="16">
        <f>C2630+E2630</f>
        <v/>
      </c>
    </row>
    <row r="2631">
      <c r="A2631" s="12" t="n">
        <v>45847</v>
      </c>
      <c r="B2631" s="15" t="n">
        <v>1.04529994726181</v>
      </c>
      <c r="C2631" s="15" t="n">
        <v>0.598200023174286</v>
      </c>
      <c r="D2631" s="15" t="n">
        <v>2.71070003509521</v>
      </c>
      <c r="E2631" s="15" t="n">
        <v>0.0588001012802124</v>
      </c>
      <c r="F2631" s="15" t="n">
        <v>0.278400003910065</v>
      </c>
      <c r="G2631" s="15" t="n">
        <v>4.41300010681152</v>
      </c>
      <c r="H2631" s="16">
        <f>C2631+E2631</f>
        <v/>
      </c>
    </row>
    <row r="2632">
      <c r="A2632" s="12" t="n">
        <v>45848</v>
      </c>
      <c r="B2632" s="15" t="n">
        <v>1.04719996452332</v>
      </c>
      <c r="C2632" s="15" t="n">
        <v>0.59909999370575</v>
      </c>
      <c r="D2632" s="15" t="n">
        <v>2.71129989624023</v>
      </c>
      <c r="E2632" s="15" t="n">
        <v>0.0590003728866577</v>
      </c>
      <c r="F2632" s="15" t="n">
        <v>0.275099992752075</v>
      </c>
      <c r="G2632" s="15" t="n">
        <v>4.41660022735596</v>
      </c>
      <c r="H2632" s="16">
        <f>C2632+E2632</f>
        <v/>
      </c>
    </row>
    <row r="2633">
      <c r="A2633" s="12" t="n">
        <v>45849</v>
      </c>
      <c r="B2633" s="15" t="n">
        <v>1.06879997253418</v>
      </c>
      <c r="C2633" s="15" t="n">
        <v>0.630699992179871</v>
      </c>
      <c r="D2633" s="15" t="n">
        <v>2.730299949646</v>
      </c>
      <c r="E2633" s="15" t="n">
        <v>0.0663000345230103</v>
      </c>
      <c r="F2633" s="15" t="n">
        <v>0.262100011110306</v>
      </c>
      <c r="G2633" s="15" t="n">
        <v>4.49609994888306</v>
      </c>
      <c r="H2633" s="16">
        <f>C2633+E2633</f>
        <v/>
      </c>
    </row>
    <row r="2634">
      <c r="A2634" s="12" t="n">
        <v>45852</v>
      </c>
      <c r="B2634" s="15" t="n">
        <v>1.06940001249313</v>
      </c>
      <c r="C2634" s="15" t="n">
        <v>0.631699979305267</v>
      </c>
      <c r="D2634" s="15" t="n">
        <v>2.73110008239746</v>
      </c>
      <c r="E2634" s="15" t="n">
        <v>0.06650006771087651</v>
      </c>
      <c r="F2634" s="15" t="n">
        <v>0.246900007128716</v>
      </c>
      <c r="G2634" s="15" t="n">
        <v>4.49870014190674</v>
      </c>
      <c r="H2634" s="16">
        <f>C2634+E2634</f>
        <v/>
      </c>
    </row>
    <row r="2635">
      <c r="A2635" s="12" t="n">
        <v>45853</v>
      </c>
      <c r="B2635" s="15" t="n">
        <v>1.09310001134872</v>
      </c>
      <c r="C2635" s="15" t="n">
        <v>0.655399978160858</v>
      </c>
      <c r="D2635" s="15" t="n">
        <v>2.74690008163452</v>
      </c>
      <c r="E2635" s="15" t="n">
        <v>0.0718001127243042</v>
      </c>
      <c r="F2635" s="15" t="n">
        <v>0.245399996638298</v>
      </c>
      <c r="G2635" s="15" t="n">
        <v>4.56720018386841</v>
      </c>
      <c r="H2635" s="16">
        <f>C2635+E2635</f>
        <v/>
      </c>
    </row>
    <row r="2636">
      <c r="A2636" s="12" t="n">
        <v>45854</v>
      </c>
      <c r="B2636" s="15" t="n">
        <v>1.07690000534058</v>
      </c>
      <c r="C2636" s="15" t="n">
        <v>0.644500017166138</v>
      </c>
      <c r="D2636" s="15" t="n">
        <v>2.73909997940063</v>
      </c>
      <c r="E2636" s="15" t="n">
        <v>0.06929993629455571</v>
      </c>
      <c r="F2636" s="15" t="n">
        <v>0.221399992704391</v>
      </c>
      <c r="G2636" s="15" t="n">
        <v>4.5297999382019</v>
      </c>
      <c r="H2636" s="16">
        <f>C2636+E2636</f>
        <v/>
      </c>
    </row>
    <row r="2637">
      <c r="A2637" s="12" t="n">
        <v>45855</v>
      </c>
      <c r="B2637" s="15" t="n">
        <v>1.08240002393723</v>
      </c>
      <c r="C2637" s="15" t="n">
        <v>0.648299992084503</v>
      </c>
      <c r="D2637" s="15" t="n">
        <v>2.74210000038147</v>
      </c>
      <c r="E2637" s="15" t="n">
        <v>0.06999993324279789</v>
      </c>
      <c r="F2637" s="15" t="n">
        <v>0.202000007033348</v>
      </c>
      <c r="G2637" s="15" t="n">
        <v>4.542799949646</v>
      </c>
      <c r="H2637" s="16">
        <f>C2637+E2637</f>
        <v/>
      </c>
    </row>
    <row r="2638">
      <c r="A2638" s="12" t="n">
        <v>45856</v>
      </c>
      <c r="B2638" s="15" t="n">
        <v>1.06840002536774</v>
      </c>
      <c r="C2638" s="15" t="n">
        <v>0.640200018882751</v>
      </c>
      <c r="D2638" s="15" t="n">
        <v>2.73559999465942</v>
      </c>
      <c r="E2638" s="15" t="n">
        <v>0.0682997703552246</v>
      </c>
      <c r="F2638" s="15" t="n">
        <v>0.208599999547005</v>
      </c>
      <c r="G2638" s="15" t="n">
        <v>4.51249980926514</v>
      </c>
      <c r="H2638" s="16">
        <f>C2638+E2638</f>
        <v/>
      </c>
    </row>
    <row r="2639">
      <c r="A2639" s="12" t="n">
        <v>45859</v>
      </c>
      <c r="B2639" s="15" t="n">
        <v>1.05150002241135</v>
      </c>
      <c r="C2639" s="15" t="n">
        <v>0.616699993610382</v>
      </c>
      <c r="D2639" s="15" t="n">
        <v>2.72149991989136</v>
      </c>
      <c r="E2639" s="15" t="n">
        <v>0.0627002716064453</v>
      </c>
      <c r="F2639" s="15" t="n">
        <v>0.203299999237061</v>
      </c>
      <c r="G2639" s="15" t="n">
        <v>4.45240020751953</v>
      </c>
      <c r="H2639" s="16">
        <f>C2639+E2639</f>
        <v/>
      </c>
    </row>
    <row r="2640">
      <c r="A2640" s="12" t="n">
        <v>45860</v>
      </c>
      <c r="B2640" s="15" t="n">
        <v>1.04109996557236</v>
      </c>
      <c r="C2640" s="15" t="n">
        <v>0.603100001811981</v>
      </c>
      <c r="D2640" s="15" t="n">
        <v>2.71339988708496</v>
      </c>
      <c r="E2640" s="15" t="n">
        <v>0.0595000982284546</v>
      </c>
      <c r="F2640" s="15" t="n">
        <v>0.210999995470047</v>
      </c>
      <c r="G2640" s="15" t="n">
        <v>4.41709995269775</v>
      </c>
      <c r="H2640" s="16">
        <f>C2640+E2640</f>
        <v/>
      </c>
    </row>
    <row r="2641">
      <c r="A2641" s="12" t="n">
        <v>45861</v>
      </c>
      <c r="B2641" s="15" t="n">
        <v>1.05930000543594</v>
      </c>
      <c r="C2641" s="15" t="n">
        <v>0.621100008487701</v>
      </c>
      <c r="D2641" s="15" t="n">
        <v>2.72519993782043</v>
      </c>
      <c r="E2641" s="15" t="n">
        <v>0.0636998414993286</v>
      </c>
      <c r="F2641" s="15" t="n">
        <v>0.242300003767014</v>
      </c>
      <c r="G2641" s="15" t="n">
        <v>4.46929979324341</v>
      </c>
      <c r="H2641" s="16">
        <f>C2641+E2641</f>
        <v/>
      </c>
    </row>
    <row r="2642">
      <c r="A2642" s="12" t="n">
        <v>45862</v>
      </c>
      <c r="B2642" s="15" t="n">
        <v>1.06740003824234</v>
      </c>
      <c r="C2642" s="15" t="n">
        <v>0.624700009822845</v>
      </c>
      <c r="D2642" s="15" t="n">
        <v>2.72790002822876</v>
      </c>
      <c r="E2642" s="15" t="n">
        <v>0.0645999908447266</v>
      </c>
      <c r="F2642" s="15" t="n">
        <v>0.218700006604195</v>
      </c>
      <c r="G2642" s="15" t="n">
        <v>4.48460006713867</v>
      </c>
      <c r="H2642" s="16">
        <f>C2642+E2642</f>
        <v/>
      </c>
    </row>
    <row r="2643">
      <c r="A2643" s="12" t="n">
        <v>45863</v>
      </c>
      <c r="B2643" s="15" t="n">
        <v>1.05640000104904</v>
      </c>
      <c r="C2643" s="15" t="n">
        <v>0.614499986171722</v>
      </c>
      <c r="D2643" s="15" t="n">
        <v>2.72040009498596</v>
      </c>
      <c r="E2643" s="15" t="n">
        <v>0.062599778175354</v>
      </c>
      <c r="F2643" s="15" t="n">
        <v>0.220500007271767</v>
      </c>
      <c r="G2643" s="15" t="n">
        <v>4.45389986038208</v>
      </c>
      <c r="H2643" s="16">
        <f>C2643+E2643</f>
        <v/>
      </c>
    </row>
    <row r="2644">
      <c r="A2644" s="12" t="n">
        <v>45866</v>
      </c>
      <c r="B2644" s="15" t="n">
        <v>1.06410002708435</v>
      </c>
      <c r="C2644" s="15" t="n">
        <v>0.624899983406067</v>
      </c>
      <c r="D2644" s="15" t="n">
        <v>2.72659993171692</v>
      </c>
      <c r="E2644" s="15" t="n">
        <v>0.06499993801116941</v>
      </c>
      <c r="F2644" s="15" t="n">
        <v>0.222599998116493</v>
      </c>
      <c r="G2644" s="15" t="n">
        <v>4.48059988021851</v>
      </c>
      <c r="H2644" s="16">
        <f>C2644+E2644</f>
        <v/>
      </c>
    </row>
    <row r="2645">
      <c r="A2645" s="12" t="n">
        <v>45867</v>
      </c>
      <c r="B2645" s="15" t="n">
        <v>1.03450000286102</v>
      </c>
      <c r="C2645" s="15" t="n">
        <v>0.593299984931946</v>
      </c>
      <c r="D2645" s="15" t="n">
        <v>2.70530009269714</v>
      </c>
      <c r="E2645" s="15" t="n">
        <v>0.0582001209259033</v>
      </c>
      <c r="F2645" s="15" t="n">
        <v>0.210700005292892</v>
      </c>
      <c r="G2645" s="15" t="n">
        <v>4.39130020141602</v>
      </c>
      <c r="H2645" s="16">
        <f>C2645+E2645</f>
        <v/>
      </c>
    </row>
    <row r="2646">
      <c r="A2646" s="12" t="n">
        <v>45868</v>
      </c>
      <c r="B2646" s="15" t="n">
        <v>1.05429995059967</v>
      </c>
      <c r="C2646" s="15" t="n">
        <v>0.605599999427795</v>
      </c>
      <c r="D2646" s="15" t="n">
        <v>2.71490001678467</v>
      </c>
      <c r="E2646" s="15" t="n">
        <v>0.0607998371124268</v>
      </c>
      <c r="F2646" s="15" t="n">
        <v>0.219600006937981</v>
      </c>
      <c r="G2646" s="15" t="n">
        <v>4.43559980392456</v>
      </c>
      <c r="H2646" s="16">
        <f>C2646+E2646</f>
        <v/>
      </c>
    </row>
    <row r="2647">
      <c r="A2647" s="12" t="n">
        <v>45869</v>
      </c>
      <c r="B2647" s="15" t="n">
        <v>1.05320000648499</v>
      </c>
      <c r="C2647" s="15" t="n">
        <v>0.602800011634827</v>
      </c>
      <c r="D2647" s="15" t="n">
        <v>2.71320009231567</v>
      </c>
      <c r="E2647" s="15" t="n">
        <v>0.0601998567581177</v>
      </c>
      <c r="F2647" s="15" t="n">
        <v>0.242899999022484</v>
      </c>
      <c r="G2647" s="15" t="n">
        <v>4.4293999671936</v>
      </c>
      <c r="H2647" s="16">
        <f>C2647+E2647</f>
        <v/>
      </c>
    </row>
    <row r="2648">
      <c r="A2648" s="12" t="n">
        <v>45870</v>
      </c>
      <c r="B2648" s="15" t="n">
        <v>0.985899984836578</v>
      </c>
      <c r="C2648" s="15" t="n">
        <v>0.565599977970123</v>
      </c>
      <c r="D2648" s="15" t="n">
        <v>2.68239998817444</v>
      </c>
      <c r="E2648" s="15" t="n">
        <v>0.0527001619338989</v>
      </c>
      <c r="F2648" s="15" t="n">
        <v>0.25900000333786</v>
      </c>
      <c r="G2648" s="15" t="n">
        <v>4.28660011291504</v>
      </c>
      <c r="H2648" s="16">
        <f>C2648+E2648</f>
        <v/>
      </c>
    </row>
    <row r="2649">
      <c r="A2649" s="12" t="n">
        <v>45873</v>
      </c>
      <c r="B2649" s="15" t="n">
        <v>0.975499987602234</v>
      </c>
      <c r="C2649" s="15" t="n">
        <v>0.560500025749207</v>
      </c>
      <c r="D2649" s="15" t="n">
        <v>2.67810010910034</v>
      </c>
      <c r="E2649" s="15" t="n">
        <v>0.0515997409820557</v>
      </c>
      <c r="F2649" s="15" t="n">
        <v>0.233700007200241</v>
      </c>
      <c r="G2649" s="15" t="n">
        <v>4.26569986343384</v>
      </c>
      <c r="H2649" s="16">
        <f>C2649+E2649</f>
        <v/>
      </c>
    </row>
    <row r="2650">
      <c r="A2650" s="12" t="n">
        <v>45874</v>
      </c>
      <c r="B2650" s="15" t="n">
        <v>0.980399966239929</v>
      </c>
      <c r="C2650" s="15" t="n">
        <v>0.563300013542175</v>
      </c>
      <c r="D2650" s="15" t="n">
        <v>2.68029999732971</v>
      </c>
      <c r="E2650" s="15" t="n">
        <v>0.0521998405456543</v>
      </c>
      <c r="F2650" s="15" t="n">
        <v>0.239199995994568</v>
      </c>
      <c r="G2650" s="15" t="n">
        <v>4.27619981765747</v>
      </c>
      <c r="H2650" s="16">
        <f>C2650+E2650</f>
        <v/>
      </c>
    </row>
    <row r="2651">
      <c r="A2651" s="12" t="n">
        <v>45875</v>
      </c>
      <c r="B2651" s="15" t="n">
        <v>0.982400000095367</v>
      </c>
      <c r="C2651" s="15" t="n">
        <v>0.570900022983551</v>
      </c>
      <c r="D2651" s="15" t="n">
        <v>2.68460011482239</v>
      </c>
      <c r="E2651" s="15" t="n">
        <v>0.0537997484207153</v>
      </c>
      <c r="F2651" s="15" t="n">
        <v>0.24439999461174</v>
      </c>
      <c r="G2651" s="15" t="n">
        <v>4.29169988632202</v>
      </c>
      <c r="H2651" s="16">
        <f>C2651+E2651</f>
        <v/>
      </c>
    </row>
    <row r="2652">
      <c r="A2652" s="12" t="n">
        <v>45876</v>
      </c>
      <c r="B2652" s="15" t="n">
        <v>0.988200008869171</v>
      </c>
      <c r="C2652" s="15" t="n">
        <v>0.576499998569489</v>
      </c>
      <c r="D2652" s="15" t="n">
        <v>2.68799996376038</v>
      </c>
      <c r="E2652" s="15" t="n">
        <v>0.0553001165390015</v>
      </c>
      <c r="F2652" s="15" t="n">
        <v>0.237100005149841</v>
      </c>
      <c r="G2652" s="15" t="n">
        <v>4.30800008773804</v>
      </c>
      <c r="H2652" s="16">
        <f>C2652+E2652</f>
        <v/>
      </c>
    </row>
    <row r="2653">
      <c r="A2653" s="12" t="n">
        <v>45877</v>
      </c>
      <c r="B2653" s="15" t="n">
        <v>1.00110006332397</v>
      </c>
      <c r="C2653" s="15" t="n">
        <v>0.58899998664856</v>
      </c>
      <c r="D2653" s="15" t="n">
        <v>2.69600009918213</v>
      </c>
      <c r="E2653" s="15" t="n">
        <v>0.0581996440887451</v>
      </c>
      <c r="F2653" s="15" t="n">
        <v>0.212400004267693</v>
      </c>
      <c r="G2653" s="15" t="n">
        <v>4.34429979324341</v>
      </c>
      <c r="H2653" s="16">
        <f>C2653+E2653</f>
        <v/>
      </c>
    </row>
    <row r="2654">
      <c r="A2654" s="12" t="n">
        <v>45880</v>
      </c>
      <c r="B2654" s="15" t="n">
        <v>0.99700003862381</v>
      </c>
      <c r="C2654" s="15" t="n">
        <v>0.5881000161170959</v>
      </c>
      <c r="D2654" s="15" t="n">
        <v>2.69429993629456</v>
      </c>
      <c r="E2654" s="15" t="n">
        <v>0.0582998991012573</v>
      </c>
      <c r="F2654" s="15" t="n">
        <v>0.209999993443489</v>
      </c>
      <c r="G2654" s="15" t="n">
        <v>4.33769989013672</v>
      </c>
      <c r="H2654" s="16">
        <f>C2654+E2654</f>
        <v/>
      </c>
    </row>
    <row r="2655">
      <c r="A2655" s="12" t="n">
        <v>45881</v>
      </c>
      <c r="B2655" s="15" t="n">
        <v>0.998700022697449</v>
      </c>
      <c r="C2655" s="15" t="n">
        <v>0.599699974060059</v>
      </c>
      <c r="D2655" s="15" t="n">
        <v>2.70029997825623</v>
      </c>
      <c r="E2655" s="15" t="n">
        <v>0.060900092124939</v>
      </c>
      <c r="F2655" s="15" t="n">
        <v>0.230499997735023</v>
      </c>
      <c r="G2655" s="15" t="n">
        <v>4.35960006713867</v>
      </c>
      <c r="H2655" s="16">
        <f>C2655+E2655</f>
        <v/>
      </c>
    </row>
    <row r="2656">
      <c r="A2656" s="12" t="n">
        <v>45882</v>
      </c>
      <c r="B2656" s="15" t="n">
        <v>0.975800037384033</v>
      </c>
      <c r="C2656" s="15" t="n">
        <v>0.583199977874756</v>
      </c>
      <c r="D2656" s="15" t="n">
        <v>2.68770003318787</v>
      </c>
      <c r="E2656" s="15" t="n">
        <v>0.0575997829437256</v>
      </c>
      <c r="F2656" s="15" t="n">
        <v>0.225600004196167</v>
      </c>
      <c r="G2656" s="15" t="n">
        <v>4.30429983139038</v>
      </c>
      <c r="H2656" s="16">
        <f>C2656+E2656</f>
        <v/>
      </c>
    </row>
    <row r="2657">
      <c r="A2657" s="12" t="n">
        <v>45883</v>
      </c>
      <c r="B2657" s="15" t="n">
        <v>0.995800018310547</v>
      </c>
      <c r="C2657" s="15" t="n">
        <v>0.59909999370575</v>
      </c>
      <c r="D2657" s="15" t="n">
        <v>2.69950008392334</v>
      </c>
      <c r="E2657" s="15" t="n">
        <v>0.0608998537063599</v>
      </c>
      <c r="F2657" s="15" t="n">
        <v>0.224500000476837</v>
      </c>
      <c r="G2657" s="15" t="n">
        <v>4.355299949646</v>
      </c>
      <c r="H2657" s="16">
        <f>C2657+E2657</f>
        <v/>
      </c>
    </row>
    <row r="2658">
      <c r="A2658" s="12" t="n">
        <v>45884</v>
      </c>
      <c r="B2658" s="15" t="n">
        <v>1.0077999830246</v>
      </c>
      <c r="C2658" s="15" t="n">
        <v>0.6171000003814699</v>
      </c>
      <c r="D2658" s="15" t="n">
        <v>2.71040010452271</v>
      </c>
      <c r="E2658" s="15" t="n">
        <v>0.06499993801116941</v>
      </c>
      <c r="F2658" s="15" t="n">
        <v>0.240099996328354</v>
      </c>
      <c r="G2658" s="15" t="n">
        <v>4.40030002593994</v>
      </c>
      <c r="H2658" s="16">
        <f>C2658+E2658</f>
        <v/>
      </c>
    </row>
    <row r="2659">
      <c r="A2659" s="12" t="n">
        <v>45887</v>
      </c>
      <c r="B2659" s="15" t="n">
        <v>1.01300001144409</v>
      </c>
      <c r="C2659" s="15" t="n">
        <v>0.619899988174438</v>
      </c>
      <c r="D2659" s="15" t="n">
        <v>2.71300005912781</v>
      </c>
      <c r="E2659" s="15" t="n">
        <v>0.0655999183654785</v>
      </c>
      <c r="F2659" s="15" t="n">
        <v>0.246399998664856</v>
      </c>
      <c r="G2659" s="15" t="n">
        <v>4.41149997711182</v>
      </c>
      <c r="H2659" s="16">
        <f>C2659+E2659</f>
        <v/>
      </c>
    </row>
    <row r="2660">
      <c r="A2660" s="12" t="n">
        <v>45888</v>
      </c>
      <c r="B2660" s="15" t="n">
        <v>1.00070005655289</v>
      </c>
      <c r="C2660" s="15" t="n">
        <v>0.608699977397919</v>
      </c>
      <c r="D2660" s="15" t="n">
        <v>2.70519995689392</v>
      </c>
      <c r="E2660" s="15" t="n">
        <v>0.06300020217895511</v>
      </c>
      <c r="F2660" s="15" t="n">
        <v>0.251399993896484</v>
      </c>
      <c r="G2660" s="15" t="n">
        <v>4.37760019302368</v>
      </c>
      <c r="H2660" s="16">
        <f>C2660+E2660</f>
        <v/>
      </c>
    </row>
    <row r="2661">
      <c r="A2661" s="12" t="n">
        <v>45889</v>
      </c>
      <c r="B2661" s="15" t="n">
        <v>0.9944999814033511</v>
      </c>
      <c r="C2661" s="15" t="n">
        <v>0.60180002450943</v>
      </c>
      <c r="D2661" s="15" t="n">
        <v>2.7007999420166</v>
      </c>
      <c r="E2661" s="15" t="n">
        <v>0.0614000558853149</v>
      </c>
      <c r="F2661" s="15" t="n">
        <v>0.249899998307228</v>
      </c>
      <c r="G2661" s="15" t="n">
        <v>4.3585000038147</v>
      </c>
      <c r="H2661" s="16">
        <f>C2661+E2661</f>
        <v/>
      </c>
    </row>
    <row r="2662">
      <c r="A2662" s="12" t="n">
        <v>45890</v>
      </c>
      <c r="B2662" s="15" t="n">
        <v>1.01179999113083</v>
      </c>
      <c r="C2662" s="15" t="n">
        <v>0.612999975681305</v>
      </c>
      <c r="D2662" s="15" t="n">
        <v>2.70939993858337</v>
      </c>
      <c r="E2662" s="15" t="n">
        <v>0.0637998580932617</v>
      </c>
      <c r="F2662" s="15" t="n">
        <v>0.230100005865097</v>
      </c>
      <c r="G2662" s="15" t="n">
        <v>4.39799976348877</v>
      </c>
      <c r="H2662" s="16">
        <f>C2662+E2662</f>
        <v/>
      </c>
    </row>
    <row r="2663">
      <c r="A2663" s="12" t="n">
        <v>45891</v>
      </c>
      <c r="B2663" s="15" t="n">
        <v>0.978499948978424</v>
      </c>
      <c r="C2663" s="15" t="n">
        <v>0.589399993419647</v>
      </c>
      <c r="D2663" s="15" t="n">
        <v>2.69169998168945</v>
      </c>
      <c r="E2663" s="15" t="n">
        <v>0.0589001178741455</v>
      </c>
      <c r="F2663" s="15" t="n">
        <v>0.181999996304512</v>
      </c>
      <c r="G2663" s="15" t="n">
        <v>4.31850004196167</v>
      </c>
      <c r="H2663" s="16">
        <f>C2663+E2663</f>
        <v/>
      </c>
    </row>
    <row r="2664">
      <c r="A2664" s="12" t="n">
        <v>45894</v>
      </c>
      <c r="B2664" s="15" t="n">
        <v>0.986899971961975</v>
      </c>
      <c r="C2664" s="15" t="n">
        <v>0.602800011634827</v>
      </c>
      <c r="D2664" s="15" t="n">
        <v>2.69939994812012</v>
      </c>
      <c r="E2664" s="15" t="n">
        <v>0.0621001720428467</v>
      </c>
      <c r="F2664" s="15" t="n">
        <v>0.189099997282028</v>
      </c>
      <c r="G2664" s="15" t="n">
        <v>4.35120010375977</v>
      </c>
      <c r="H2664" s="16">
        <f>C2664+E2664</f>
        <v/>
      </c>
    </row>
    <row r="2665">
      <c r="A2665" s="12" t="n">
        <v>45895</v>
      </c>
      <c r="B2665" s="15" t="n">
        <v>0.97409999370575</v>
      </c>
      <c r="C2665" s="15" t="n">
        <v>0.596400022506714</v>
      </c>
      <c r="D2665" s="15" t="n">
        <v>2.69429993629456</v>
      </c>
      <c r="E2665" s="15" t="n">
        <v>0.0605999231338501</v>
      </c>
      <c r="F2665" s="15" t="n">
        <v>0.16889999806881</v>
      </c>
      <c r="G2665" s="15" t="n">
        <v>4.32539987564087</v>
      </c>
      <c r="H2665" s="16">
        <f>C2665+E2665</f>
        <v/>
      </c>
    </row>
    <row r="2666">
      <c r="A2666" s="12" t="n">
        <v>45896</v>
      </c>
      <c r="B2666" s="15" t="n">
        <v>0.966799974441528</v>
      </c>
      <c r="C2666" s="15" t="n">
        <v>0.593400001525879</v>
      </c>
      <c r="D2666" s="15" t="n">
        <v>2.69190001487732</v>
      </c>
      <c r="E2666" s="15" t="n">
        <v>0.0598001480102539</v>
      </c>
      <c r="F2666" s="15" t="n">
        <v>0.142800003290176</v>
      </c>
      <c r="G2666" s="15" t="n">
        <v>4.31190013885498</v>
      </c>
      <c r="H2666" s="16">
        <f>C2666+E2666</f>
        <v/>
      </c>
    </row>
    <row r="2667">
      <c r="A2667" s="12" t="n">
        <v>45897</v>
      </c>
      <c r="B2667" s="15" t="n">
        <v>0.9617999792099</v>
      </c>
      <c r="C2667" s="15" t="n">
        <v>0.586199998855591</v>
      </c>
      <c r="D2667" s="15" t="n">
        <v>2.68759989738464</v>
      </c>
      <c r="E2667" s="15" t="n">
        <v>0.0581003427505493</v>
      </c>
      <c r="F2667" s="15" t="n">
        <v>0.158800005912781</v>
      </c>
      <c r="G2667" s="15" t="n">
        <v>4.29370021820068</v>
      </c>
      <c r="H2667" s="16">
        <f>C2667+E2667</f>
        <v/>
      </c>
    </row>
    <row r="2668">
      <c r="A2668" s="12" t="n">
        <v>45898</v>
      </c>
      <c r="B2668" s="15" t="n">
        <v>0.961199998855591</v>
      </c>
      <c r="C2668" s="15" t="n">
        <v>0.5927000045776371</v>
      </c>
      <c r="D2668" s="15" t="n">
        <v>2.6907000541687</v>
      </c>
      <c r="E2668" s="15" t="n">
        <v>0.0596997737884521</v>
      </c>
      <c r="F2668" s="15" t="n">
        <v>0.165600001811981</v>
      </c>
      <c r="G2668" s="15" t="n">
        <v>4.30429983139038</v>
      </c>
      <c r="H2668" s="16">
        <f>C2668+E2668</f>
        <v/>
      </c>
    </row>
    <row r="2669">
      <c r="A2669" s="12" t="n">
        <v>45902</v>
      </c>
      <c r="B2669" s="15" t="n">
        <v>0.980199933052063</v>
      </c>
      <c r="C2669" s="15" t="n">
        <v>0.612900018692017</v>
      </c>
      <c r="D2669" s="15" t="n">
        <v>2.70409989356995</v>
      </c>
      <c r="E2669" s="15" t="n">
        <v>0.0641001462936401</v>
      </c>
      <c r="F2669" s="15" t="n">
        <v>0.177599996328354</v>
      </c>
      <c r="G2669" s="15" t="n">
        <v>4.36129999160767</v>
      </c>
      <c r="H2669" s="16">
        <f>C2669+E2669</f>
        <v/>
      </c>
    </row>
    <row r="2670">
      <c r="A2670" s="12" t="n">
        <v>45903</v>
      </c>
      <c r="B2670" s="15" t="n">
        <v>0.959299981594086</v>
      </c>
      <c r="C2670" s="15" t="n">
        <v>0.590799987316132</v>
      </c>
      <c r="D2670" s="15" t="n">
        <v>2.68930006027222</v>
      </c>
      <c r="E2670" s="15" t="n">
        <v>0.0592998266220093</v>
      </c>
      <c r="F2670" s="15" t="n">
        <v>0.176899999380112</v>
      </c>
      <c r="G2670" s="15" t="n">
        <v>4.29869985580444</v>
      </c>
      <c r="H2670" s="16">
        <f>C2670+E2670</f>
        <v/>
      </c>
    </row>
    <row r="2671">
      <c r="A2671" s="12" t="n">
        <v>45904</v>
      </c>
      <c r="B2671" s="15" t="n">
        <v>0.941900014877319</v>
      </c>
      <c r="C2671" s="15" t="n">
        <v>0.574000000953674</v>
      </c>
      <c r="D2671" s="15" t="n">
        <v>2.67779994010925</v>
      </c>
      <c r="E2671" s="15" t="n">
        <v>0.0556000471115112</v>
      </c>
      <c r="F2671" s="15" t="n">
        <v>0.179499998688698</v>
      </c>
      <c r="G2671" s="15" t="n">
        <v>4.24930000305176</v>
      </c>
      <c r="H2671" s="16">
        <f>C2671+E2671</f>
        <v/>
      </c>
    </row>
    <row r="2672">
      <c r="A2672" s="12" t="n">
        <v>45905</v>
      </c>
      <c r="B2672" s="15" t="n">
        <v>0.9073999524116521</v>
      </c>
      <c r="C2672" s="15" t="n">
        <v>0.554899990558624</v>
      </c>
      <c r="D2672" s="15" t="n">
        <v>2.66070008277893</v>
      </c>
      <c r="E2672" s="15" t="n">
        <v>0.0523000955581665</v>
      </c>
      <c r="F2672" s="15" t="n">
        <v>0.18359999358654</v>
      </c>
      <c r="G2672" s="15" t="n">
        <v>4.17530012130737</v>
      </c>
      <c r="H2672" s="16">
        <f>C2672+E2672</f>
        <v/>
      </c>
    </row>
    <row r="2673">
      <c r="A2673" s="12" t="n">
        <v>45908</v>
      </c>
      <c r="B2673" s="15" t="n">
        <v>0.894599974155426</v>
      </c>
      <c r="C2673" s="15" t="n">
        <v>0.5390999913215641</v>
      </c>
      <c r="D2673" s="15" t="n">
        <v>2.65000009536743</v>
      </c>
      <c r="E2673" s="15" t="n">
        <v>0.0491000413894653</v>
      </c>
      <c r="F2673" s="15" t="n">
        <v>0.187299996614456</v>
      </c>
      <c r="G2673" s="15" t="n">
        <v>4.13280010223389</v>
      </c>
      <c r="H2673" s="16">
        <f>C2673+E2673</f>
        <v/>
      </c>
    </row>
    <row r="2674">
      <c r="A2674" s="12" t="n">
        <v>45909</v>
      </c>
      <c r="B2674" s="15" t="n">
        <v>0.902599990367889</v>
      </c>
      <c r="C2674" s="15" t="n">
        <v>0.544099986553192</v>
      </c>
      <c r="D2674" s="15" t="n">
        <v>2.65339994430542</v>
      </c>
      <c r="E2674" s="15" t="n">
        <v>0.0503002405166626</v>
      </c>
      <c r="F2674" s="15" t="n">
        <v>0.188999995589256</v>
      </c>
      <c r="G2674" s="15" t="n">
        <v>4.15040016174316</v>
      </c>
      <c r="H2674" s="16">
        <f>C2674+E2674</f>
        <v/>
      </c>
    </row>
    <row r="2675">
      <c r="A2675" s="12" t="n">
        <v>45910</v>
      </c>
      <c r="B2675" s="15" t="n">
        <v>0.893099963665009</v>
      </c>
      <c r="C2675" s="15" t="n">
        <v>0.531899988651276</v>
      </c>
      <c r="D2675" s="15" t="n">
        <v>2.64510011672974</v>
      </c>
      <c r="E2675" s="15" t="n">
        <v>0.0478999614715576</v>
      </c>
      <c r="F2675" s="15" t="n">
        <v>0.185599997639656</v>
      </c>
      <c r="G2675" s="15" t="n">
        <v>4.11800003051758</v>
      </c>
      <c r="H2675" s="16">
        <f>C2675+E2675</f>
        <v/>
      </c>
    </row>
    <row r="2676">
      <c r="A2676" s="12" t="n">
        <v>45911</v>
      </c>
      <c r="B2676" s="15" t="n">
        <v>0.883800029754639</v>
      </c>
      <c r="C2676" s="15" t="n">
        <v>0.52240002155304</v>
      </c>
      <c r="D2676" s="15" t="n">
        <v>2.63800001144409</v>
      </c>
      <c r="E2676" s="15" t="n">
        <v>0.0459998846054077</v>
      </c>
      <c r="F2676" s="15" t="n">
        <v>0.187199994921684</v>
      </c>
      <c r="G2676" s="15" t="n">
        <v>4.09019994735718</v>
      </c>
      <c r="H2676" s="16">
        <f>C2676+E2676</f>
        <v/>
      </c>
    </row>
    <row r="2677">
      <c r="A2677" s="12" t="n">
        <v>45912</v>
      </c>
      <c r="B2677" s="15" t="n">
        <v>0.898900032043457</v>
      </c>
      <c r="C2677" s="15" t="n">
        <v>0.538699984550476</v>
      </c>
      <c r="D2677" s="15" t="n">
        <v>2.64829993247986</v>
      </c>
      <c r="E2677" s="15" t="n">
        <v>0.0498999357223511</v>
      </c>
      <c r="F2677" s="15" t="n">
        <v>0.192900002002716</v>
      </c>
      <c r="G2677" s="15" t="n">
        <v>4.13579988479614</v>
      </c>
      <c r="H2677" s="16">
        <f>C2677+E2677</f>
        <v/>
      </c>
    </row>
    <row r="2678">
      <c r="A2678" s="12" t="n">
        <v>45915</v>
      </c>
      <c r="B2678" s="15" t="n">
        <v>0.888599991798401</v>
      </c>
      <c r="C2678" s="15" t="n">
        <v>0.533800005912781</v>
      </c>
      <c r="D2678" s="15" t="n">
        <v>2.64350008964539</v>
      </c>
      <c r="E2678" s="15" t="n">
        <v>0.0490996837615967</v>
      </c>
      <c r="F2678" s="15" t="n">
        <v>0.193499997258186</v>
      </c>
      <c r="G2678" s="15" t="n">
        <v>4.11499977111816</v>
      </c>
      <c r="H2678" s="16">
        <f>C2678+E2678</f>
        <v/>
      </c>
    </row>
    <row r="2679">
      <c r="A2679" s="12" t="n">
        <v>45916</v>
      </c>
      <c r="B2679" s="15" t="n">
        <v>0.88400000333786</v>
      </c>
      <c r="C2679" s="15" t="n">
        <v>0.530399978160858</v>
      </c>
      <c r="D2679" s="15" t="n">
        <v>2.64109992980957</v>
      </c>
      <c r="E2679" s="15" t="n">
        <v>0.0482999086380005</v>
      </c>
      <c r="F2679" s="15" t="n">
        <v>0.187000006437302</v>
      </c>
      <c r="G2679" s="15" t="n">
        <v>4.10379981994629</v>
      </c>
      <c r="H2679" s="16">
        <f>C2679+E2679</f>
        <v/>
      </c>
    </row>
    <row r="2680">
      <c r="A2680" s="12" t="n">
        <v>45917</v>
      </c>
      <c r="B2680" s="15" t="n">
        <v>0.89109992980957</v>
      </c>
      <c r="C2680" s="15" t="n">
        <v>0.540300011634827</v>
      </c>
      <c r="D2680" s="15" t="n">
        <v>2.64669990539551</v>
      </c>
      <c r="E2680" s="15" t="n">
        <v>0.0508002042770386</v>
      </c>
      <c r="F2680" s="15" t="n">
        <v>0.187399998307228</v>
      </c>
      <c r="G2680" s="15" t="n">
        <v>4.12890005111694</v>
      </c>
      <c r="H2680" s="16">
        <f>C2680+E2680</f>
        <v/>
      </c>
    </row>
    <row r="2681">
      <c r="A2681" s="12" t="n">
        <v>45918</v>
      </c>
      <c r="B2681" s="15" t="n">
        <v>0.909000039100647</v>
      </c>
      <c r="C2681" s="15" t="n">
        <v>0.558799982070923</v>
      </c>
      <c r="D2681" s="15" t="n">
        <v>2.65890002250671</v>
      </c>
      <c r="E2681" s="15" t="n">
        <v>0.054900050163269</v>
      </c>
      <c r="F2681" s="15" t="n">
        <v>0.195999994874001</v>
      </c>
      <c r="G2681" s="15" t="n">
        <v>4.18160009384155</v>
      </c>
      <c r="H2681" s="16">
        <f>C2681+E2681</f>
        <v/>
      </c>
    </row>
    <row r="2682">
      <c r="A2682" s="12" t="n">
        <v>45919</v>
      </c>
      <c r="B2682" s="15" t="n">
        <v>0.9162999987602229</v>
      </c>
      <c r="C2682" s="15" t="n">
        <v>0.568700015544891</v>
      </c>
      <c r="D2682" s="15" t="n">
        <v>2.66490006446838</v>
      </c>
      <c r="E2682" s="15" t="n">
        <v>0.0571998357772827</v>
      </c>
      <c r="F2682" s="15" t="n">
        <v>0.201399996876717</v>
      </c>
      <c r="G2682" s="15" t="n">
        <v>4.20709991455078</v>
      </c>
      <c r="H2682" s="16">
        <f>C2682+E2682</f>
        <v/>
      </c>
    </row>
    <row r="2683">
      <c r="A2683" s="12" t="n">
        <v>45922</v>
      </c>
      <c r="B2683" s="15" t="n">
        <v>0.920099973678589</v>
      </c>
      <c r="C2683" s="15" t="n">
        <v>0.575299978256226</v>
      </c>
      <c r="D2683" s="15" t="n">
        <v>2.66849994659424</v>
      </c>
      <c r="E2683" s="15" t="n">
        <v>0.0588998794555664</v>
      </c>
      <c r="F2683" s="15" t="n">
        <v>0.221599996089935</v>
      </c>
      <c r="G2683" s="15" t="n">
        <v>4.22279977798462</v>
      </c>
      <c r="H2683" s="16">
        <f>C2683+E2683</f>
        <v/>
      </c>
    </row>
    <row r="2684">
      <c r="A2684" s="12" t="n">
        <v>45923</v>
      </c>
      <c r="B2684" s="15" t="n">
        <v>0.909799993038177</v>
      </c>
      <c r="C2684" s="15" t="n">
        <v>0.562200009822845</v>
      </c>
      <c r="D2684" s="15" t="n">
        <v>2.66009998321533</v>
      </c>
      <c r="E2684" s="15" t="n">
        <v>0.0559002161026001</v>
      </c>
      <c r="F2684" s="15" t="n">
        <v>0.210899993777275</v>
      </c>
      <c r="G2684" s="15" t="n">
        <v>4.18800020217896</v>
      </c>
      <c r="H2684" s="16">
        <f>C2684+E2684</f>
        <v/>
      </c>
    </row>
    <row r="2685">
      <c r="A2685" s="12" t="n">
        <v>45924</v>
      </c>
      <c r="B2685" s="15" t="n">
        <v>0.921999990940094</v>
      </c>
      <c r="C2685" s="15" t="n">
        <v>0.573800027370453</v>
      </c>
      <c r="D2685" s="15" t="n">
        <v>2.66770005226135</v>
      </c>
      <c r="E2685" s="15" t="n">
        <v>0.0586998462677002</v>
      </c>
      <c r="F2685" s="15" t="n">
        <v>0.212300002574921</v>
      </c>
      <c r="G2685" s="15" t="n">
        <v>4.2221999168396</v>
      </c>
      <c r="H2685" s="16">
        <f>C2685+E2685</f>
        <v/>
      </c>
    </row>
    <row r="2686">
      <c r="A2686" s="12" t="n">
        <v>45925</v>
      </c>
      <c r="B2686" s="15" t="n">
        <v>0.936099946498871</v>
      </c>
      <c r="C2686" s="15" t="n">
        <v>0.576600015163422</v>
      </c>
      <c r="D2686" s="15" t="n">
        <v>2.67149996757507</v>
      </c>
      <c r="E2686" s="15" t="n">
        <v>0.0591000318527222</v>
      </c>
      <c r="F2686" s="15" t="n">
        <v>0.217199996113777</v>
      </c>
      <c r="G2686" s="15" t="n">
        <v>4.24329996109009</v>
      </c>
      <c r="H2686" s="16">
        <f>C2686+E2686</f>
        <v/>
      </c>
    </row>
    <row r="2687">
      <c r="A2687" s="12" t="n">
        <v>45926</v>
      </c>
      <c r="B2687" s="15" t="n">
        <v>0.939100027084351</v>
      </c>
      <c r="C2687" s="15" t="n">
        <v>0.584800004959106</v>
      </c>
      <c r="D2687" s="15" t="n">
        <v>2.67549991607666</v>
      </c>
      <c r="E2687" s="15" t="n">
        <v>0.0613002777099609</v>
      </c>
      <c r="F2687" s="15" t="n">
        <v>0.225700005888939</v>
      </c>
      <c r="G2687" s="15" t="n">
        <v>4.26070022583008</v>
      </c>
      <c r="H2687" s="16">
        <f>C2687+E2687</f>
        <v/>
      </c>
    </row>
    <row r="2688">
      <c r="A2688" s="12" t="n">
        <v>45929</v>
      </c>
      <c r="B2688" s="15" t="n">
        <v>0.9251999258995059</v>
      </c>
      <c r="C2688" s="15" t="n">
        <v>0.569500029087067</v>
      </c>
      <c r="D2688" s="15" t="n">
        <v>2.66529989242554</v>
      </c>
      <c r="E2688" s="15" t="n">
        <v>0.0578999519348145</v>
      </c>
      <c r="F2688" s="15" t="n">
        <v>0.232700005173683</v>
      </c>
      <c r="G2688" s="15" t="n">
        <v>4.21789979934692</v>
      </c>
      <c r="H2688" s="16">
        <f>C2688+E2688</f>
        <v/>
      </c>
    </row>
    <row r="2689">
      <c r="A2689" s="12" t="n">
        <v>45930</v>
      </c>
      <c r="B2689" s="15" t="n">
        <v>0.924199998378754</v>
      </c>
      <c r="C2689" s="15" t="n">
        <v>0.572799980640411</v>
      </c>
      <c r="D2689" s="15" t="n">
        <v>2.66669988632202</v>
      </c>
      <c r="E2689" s="15" t="n">
        <v>0.0587999820709229</v>
      </c>
      <c r="F2689" s="15" t="n">
        <v>0.230499997735023</v>
      </c>
      <c r="G2689" s="15" t="n">
        <v>4.22249984741211</v>
      </c>
      <c r="H2689" s="16">
        <f>C2689+E2689</f>
        <v/>
      </c>
    </row>
    <row r="2690">
      <c r="A2690" s="12" t="n">
        <v>45931</v>
      </c>
      <c r="B2690" s="15" t="n">
        <v>0.907899975776672</v>
      </c>
      <c r="C2690" s="15" t="n">
        <v>0.563899993896484</v>
      </c>
      <c r="D2690" s="15" t="n">
        <v>2.65960001945496</v>
      </c>
      <c r="E2690" s="15" t="n">
        <v>0.0568000078201294</v>
      </c>
      <c r="F2690" s="15" t="n">
        <v>0.231600001454353</v>
      </c>
      <c r="G2690" s="15" t="n">
        <v>4.18819999694824</v>
      </c>
      <c r="H2690" s="16">
        <f>C2690+E2690</f>
        <v/>
      </c>
    </row>
    <row r="2691">
      <c r="A2691" s="12" t="n">
        <v>45932</v>
      </c>
      <c r="B2691" s="15" t="n">
        <v>0.903699994087219</v>
      </c>
      <c r="C2691" s="15" t="n">
        <v>0.556599974632263</v>
      </c>
      <c r="D2691" s="15" t="n">
        <v>2.65560007095337</v>
      </c>
      <c r="E2691" s="15" t="n">
        <v>0.054999828338623</v>
      </c>
      <c r="F2691" s="15" t="n">
        <v>0.240500003099442</v>
      </c>
      <c r="G2691" s="15" t="n">
        <v>4.17089986801147</v>
      </c>
      <c r="H2691" s="16">
        <f>C2691+E2691</f>
        <v/>
      </c>
    </row>
    <row r="2692">
      <c r="A2692" s="12" t="n">
        <v>45933</v>
      </c>
      <c r="B2692" s="15" t="n">
        <v>0.916499972343445</v>
      </c>
      <c r="C2692" s="15" t="n">
        <v>0.568400025367737</v>
      </c>
      <c r="D2692" s="15" t="n">
        <v>2.6635000705719</v>
      </c>
      <c r="E2692" s="15" t="n">
        <v>0.0576999187469482</v>
      </c>
      <c r="F2692" s="15" t="n">
        <v>0.250499993562698</v>
      </c>
      <c r="G2692" s="15" t="n">
        <v>4.20609998703003</v>
      </c>
      <c r="H2692" s="16">
        <f>C2692+E2692</f>
        <v/>
      </c>
    </row>
    <row r="2693">
      <c r="A2693" s="12" t="n">
        <v>45936</v>
      </c>
      <c r="B2693" s="15" t="n">
        <v>0.928700029850006</v>
      </c>
      <c r="C2693" s="15" t="n">
        <v>0.586399972438812</v>
      </c>
      <c r="D2693" s="15" t="n">
        <v>2.6742000579834</v>
      </c>
      <c r="E2693" s="15" t="n">
        <v>0.0619001388549805</v>
      </c>
      <c r="F2693" s="15" t="n">
        <v>0.256000012159348</v>
      </c>
      <c r="G2693" s="15" t="n">
        <v>4.2512001991272</v>
      </c>
      <c r="H2693" s="16">
        <f>C2693+E2693</f>
        <v/>
      </c>
    </row>
    <row r="2694">
      <c r="A2694" s="12" t="n">
        <v>45937</v>
      </c>
      <c r="B2694" s="15" t="n">
        <v>0.915500044822693</v>
      </c>
      <c r="C2694" s="15" t="n">
        <v>0.571099996566772</v>
      </c>
      <c r="D2694" s="15" t="n">
        <v>2.66440010070801</v>
      </c>
      <c r="E2694" s="15" t="n">
        <v>0.0584996938705444</v>
      </c>
      <c r="F2694" s="15" t="n">
        <v>0.241099998354912</v>
      </c>
      <c r="G2694" s="15" t="n">
        <v>4.20949983596802</v>
      </c>
      <c r="H2694" s="16">
        <f>C2694+E2694</f>
        <v/>
      </c>
    </row>
    <row r="2695">
      <c r="A2695" s="12" t="n">
        <v>45938</v>
      </c>
      <c r="B2695" s="15" t="n">
        <v>0.918799996376038</v>
      </c>
      <c r="C2695" s="15" t="n">
        <v>0.571200013160706</v>
      </c>
      <c r="D2695" s="15" t="n">
        <v>2.66499996185303</v>
      </c>
      <c r="E2695" s="15" t="n">
        <v>0.0583999156951904</v>
      </c>
      <c r="F2695" s="15" t="n">
        <v>0.233600005507469</v>
      </c>
      <c r="G2695" s="15" t="n">
        <v>4.21339988708496</v>
      </c>
      <c r="H2695" s="16">
        <f>C2695+E2695</f>
        <v/>
      </c>
    </row>
    <row r="2696">
      <c r="A2696" s="12" t="n">
        <v>45939</v>
      </c>
      <c r="B2696" s="15" t="n">
        <v>0.923799932003021</v>
      </c>
      <c r="C2696" s="15" t="n">
        <v>0.574500024318695</v>
      </c>
      <c r="D2696" s="15" t="n">
        <v>2.66759991645813</v>
      </c>
      <c r="E2696" s="15" t="n">
        <v>0.0592001676559448</v>
      </c>
      <c r="F2696" s="15" t="n">
        <v>0.242300003767014</v>
      </c>
      <c r="G2696" s="15" t="n">
        <v>4.22510004043579</v>
      </c>
      <c r="H2696" s="16">
        <f>C2696+E2696</f>
        <v/>
      </c>
    </row>
    <row r="2697">
      <c r="A2697" s="12" t="n">
        <v>45940</v>
      </c>
      <c r="B2697" s="15" t="n">
        <v>0.893299996852875</v>
      </c>
      <c r="C2697" s="15" t="n">
        <v>0.541999995708466</v>
      </c>
      <c r="D2697" s="15" t="n">
        <v>2.64650011062622</v>
      </c>
      <c r="E2697" s="15" t="n">
        <v>0.0518001317977905</v>
      </c>
      <c r="F2697" s="15" t="n">
        <v>0.253699988126755</v>
      </c>
      <c r="G2697" s="15" t="n">
        <v>4.13360023498535</v>
      </c>
      <c r="H2697" s="16">
        <f>C2697+E2697</f>
        <v/>
      </c>
    </row>
    <row r="2698">
      <c r="A2698" s="12" t="n">
        <v>45944</v>
      </c>
      <c r="B2698" s="15" t="n">
        <v>0.8806000351905821</v>
      </c>
      <c r="C2698" s="15" t="n">
        <v>0.531199991703033</v>
      </c>
      <c r="D2698" s="15" t="n">
        <v>2.63949990272522</v>
      </c>
      <c r="E2698" s="15" t="n">
        <v>0.0491000413894653</v>
      </c>
      <c r="F2698" s="15" t="n">
        <v>0.258899986743927</v>
      </c>
      <c r="G2698" s="15" t="n">
        <v>4.1003999710083</v>
      </c>
      <c r="H2698" s="16">
        <f>C2698+E2698</f>
        <v/>
      </c>
    </row>
    <row r="2699">
      <c r="A2699" s="12" t="n">
        <v>45945</v>
      </c>
      <c r="B2699" s="15" t="n">
        <v>0.891099989414215</v>
      </c>
      <c r="C2699" s="15" t="n">
        <v>0.53930002450943</v>
      </c>
      <c r="D2699" s="15" t="n">
        <v>2.64580011367798</v>
      </c>
      <c r="E2699" s="15" t="n">
        <v>0.0507000684738159</v>
      </c>
      <c r="F2699" s="15" t="n">
        <v>0.274899989366531</v>
      </c>
      <c r="G2699" s="15" t="n">
        <v>4.12690019607544</v>
      </c>
      <c r="H2699" s="16">
        <f>C2699+E2699</f>
        <v/>
      </c>
    </row>
    <row r="2700">
      <c r="A2700" s="12" t="n">
        <v>45946</v>
      </c>
      <c r="B2700" s="15" t="n">
        <v>0.8649000525474549</v>
      </c>
      <c r="C2700" s="15" t="n">
        <v>0.516099989414215</v>
      </c>
      <c r="D2700" s="15" t="n">
        <v>2.63000011444092</v>
      </c>
      <c r="E2700" s="15" t="n">
        <v>0.0454998016357422</v>
      </c>
      <c r="F2700" s="15" t="n">
        <v>0.280200004577637</v>
      </c>
      <c r="G2700" s="15" t="n">
        <v>4.05649995803833</v>
      </c>
      <c r="H2700" s="16">
        <f>C2700+E2700</f>
        <v/>
      </c>
    </row>
    <row r="2701">
      <c r="A2701" s="12" t="n">
        <v>45947</v>
      </c>
      <c r="B2701" s="15" t="n">
        <v>0.876600027084351</v>
      </c>
      <c r="C2701" s="15" t="n">
        <v>0.529600024223328</v>
      </c>
      <c r="D2701" s="15" t="n">
        <v>2.63849997520447</v>
      </c>
      <c r="E2701" s="15" t="n">
        <v>0.0486999750137329</v>
      </c>
      <c r="F2701" s="15" t="n">
        <v>0.294400006532669</v>
      </c>
      <c r="G2701" s="15" t="n">
        <v>4.09340000152588</v>
      </c>
      <c r="H2701" s="16">
        <f>C2701+E2701</f>
        <v/>
      </c>
    </row>
    <row r="2702">
      <c r="A2702" s="12" t="n">
        <v>45950</v>
      </c>
      <c r="B2702" s="15" t="n">
        <v>0.869199991226196</v>
      </c>
      <c r="C2702" s="15" t="n">
        <v>0.524399995803833</v>
      </c>
      <c r="D2702" s="15" t="n">
        <v>2.63409996032715</v>
      </c>
      <c r="E2702" s="15" t="n">
        <v>0.0476999282836914</v>
      </c>
      <c r="F2702" s="15" t="n">
        <v>0.298000007867813</v>
      </c>
      <c r="G2702" s="15" t="n">
        <v>4.07539987564087</v>
      </c>
      <c r="H2702" s="16">
        <f>C2702+E2702</f>
        <v/>
      </c>
    </row>
    <row r="2703">
      <c r="A2703" s="12" t="n">
        <v>45951</v>
      </c>
      <c r="B2703" s="15" t="n">
        <v>0.859899938106537</v>
      </c>
      <c r="C2703" s="15" t="n">
        <v>0.511900007724762</v>
      </c>
      <c r="D2703" s="15" t="n">
        <v>2.62599992752075</v>
      </c>
      <c r="E2703" s="15" t="n">
        <v>0.0450000762939453</v>
      </c>
      <c r="F2703" s="15" t="n">
        <v>0.279199987649918</v>
      </c>
      <c r="G2703" s="15" t="n">
        <v>4.042799949646</v>
      </c>
      <c r="H2703" s="16">
        <f>C2703+E2703</f>
        <v/>
      </c>
    </row>
    <row r="2704">
      <c r="A2704" s="12" t="n">
        <v>45952</v>
      </c>
      <c r="B2704" s="15" t="n">
        <v>0.859499931335449</v>
      </c>
      <c r="C2704" s="15" t="n">
        <v>0.509500026702881</v>
      </c>
      <c r="D2704" s="15" t="n">
        <v>2.62490010261536</v>
      </c>
      <c r="E2704" s="15" t="n">
        <v>0.0443999767303467</v>
      </c>
      <c r="F2704" s="15" t="n">
        <v>0.264800012111664</v>
      </c>
      <c r="G2704" s="15" t="n">
        <v>4.03830003738403</v>
      </c>
      <c r="H2704" s="16">
        <f>C2704+E2704</f>
        <v/>
      </c>
    </row>
    <row r="2705">
      <c r="A2705" s="12" t="n">
        <v>45953</v>
      </c>
      <c r="B2705" s="15" t="n">
        <v>0.874100029468536</v>
      </c>
      <c r="C2705" s="15" t="n">
        <v>0.5256000161170959</v>
      </c>
      <c r="D2705" s="15" t="n">
        <v>2.6350998878479</v>
      </c>
      <c r="E2705" s="15" t="n">
        <v>0.0481001138687134</v>
      </c>
      <c r="F2705" s="15" t="n">
        <v>0.265899986028671</v>
      </c>
      <c r="G2705" s="15" t="n">
        <v>4.08290004730225</v>
      </c>
      <c r="H2705" s="16">
        <f>C2705+E2705</f>
        <v/>
      </c>
    </row>
    <row r="2706">
      <c r="A2706" s="12" t="n">
        <v>45954</v>
      </c>
      <c r="B2706" s="15" t="n">
        <v>0.873599946498871</v>
      </c>
      <c r="C2706" s="15" t="n">
        <v>0.530700027942657</v>
      </c>
      <c r="D2706" s="15" t="n">
        <v>2.63700008392334</v>
      </c>
      <c r="E2706" s="15" t="n">
        <v>0.0495998859405518</v>
      </c>
      <c r="F2706" s="15" t="n">
        <v>0.280200004577637</v>
      </c>
      <c r="G2706" s="15" t="n">
        <v>4.09089994430542</v>
      </c>
      <c r="H2706" s="16">
        <f>C2706+E2706</f>
        <v/>
      </c>
    </row>
    <row r="2707">
      <c r="A2707" s="12" t="n">
        <v>45957</v>
      </c>
      <c r="B2707" s="15" t="n">
        <v>0.870199918746948</v>
      </c>
      <c r="C2707" s="15" t="n">
        <v>0.529600024223328</v>
      </c>
      <c r="D2707" s="15" t="n">
        <v>2.63499999046326</v>
      </c>
      <c r="E2707" s="15" t="n">
        <v>0.0496999025344849</v>
      </c>
      <c r="F2707" s="15" t="n">
        <v>0.288599997758865</v>
      </c>
      <c r="G2707" s="15" t="n">
        <v>4.08449983596802</v>
      </c>
      <c r="H2707" s="16">
        <f>C2707+E2707</f>
        <v/>
      </c>
    </row>
    <row r="2708">
      <c r="A2708" s="12" t="n">
        <v>45958</v>
      </c>
      <c r="B2708" s="15" t="n">
        <v>0.864899933338165</v>
      </c>
      <c r="C2708" s="15" t="n">
        <v>0.522800028324127</v>
      </c>
      <c r="D2708" s="15" t="n">
        <v>2.63030004501343</v>
      </c>
      <c r="E2708" s="15" t="n">
        <v>0.0484000444412231</v>
      </c>
      <c r="F2708" s="15" t="n">
        <v>0.287800014019012</v>
      </c>
      <c r="G2708" s="15" t="n">
        <v>4.06640005111694</v>
      </c>
      <c r="H2708" s="16">
        <f>C2708+E2708</f>
        <v/>
      </c>
    </row>
    <row r="2709">
      <c r="A2709" s="12" t="n">
        <v>45959</v>
      </c>
      <c r="B2709" s="15" t="n">
        <v>0.899900078773499</v>
      </c>
      <c r="C2709" s="15" t="n">
        <v>0.545099973678589</v>
      </c>
      <c r="D2709" s="15" t="n">
        <v>2.64770007133484</v>
      </c>
      <c r="E2709" s="15" t="n">
        <v>0.0530999898910522</v>
      </c>
      <c r="F2709" s="15" t="n">
        <v>0.304300010204315</v>
      </c>
      <c r="G2709" s="15" t="n">
        <v>4.14580011367798</v>
      </c>
      <c r="H2709" s="16">
        <f>C2709+E2709</f>
        <v/>
      </c>
    </row>
    <row r="2710">
      <c r="A2710" s="12" t="n">
        <v>45960</v>
      </c>
      <c r="B2710" s="15" t="n">
        <v>0.908800005912781</v>
      </c>
      <c r="C2710" s="15" t="n">
        <v>0.555299997329712</v>
      </c>
      <c r="D2710" s="15" t="n">
        <v>2.65420007705688</v>
      </c>
      <c r="E2710" s="15" t="n">
        <v>0.0553997755050659</v>
      </c>
      <c r="F2710" s="15" t="n">
        <v>0.307399988174438</v>
      </c>
      <c r="G2710" s="15" t="n">
        <v>4.17369985580444</v>
      </c>
      <c r="H2710" s="16">
        <f>C2710+E2710</f>
        <v/>
      </c>
    </row>
    <row r="2711">
      <c r="A2711" s="12" t="n">
        <v>45961</v>
      </c>
      <c r="B2711" s="15" t="n">
        <v>0.907600045204163</v>
      </c>
      <c r="C2711" s="15" t="n">
        <v>0.555400013923645</v>
      </c>
      <c r="D2711" s="15" t="n">
        <v>2.65429997444153</v>
      </c>
      <c r="E2711" s="15" t="n">
        <v>0.0552997589111328</v>
      </c>
      <c r="F2711" s="15" t="n">
        <v>0.293999999761581</v>
      </c>
      <c r="G2711" s="15" t="n">
        <v>4.17259979248047</v>
      </c>
      <c r="H2711" s="16">
        <f>C2711+E2711</f>
        <v/>
      </c>
    </row>
    <row r="2712">
      <c r="A2712" s="12" t="n">
        <v>45964</v>
      </c>
      <c r="B2712" s="15" t="n">
        <v>0.913199961185455</v>
      </c>
      <c r="C2712" s="15" t="n">
        <v>0.560800015926361</v>
      </c>
      <c r="D2712" s="15" t="n">
        <v>2.65820002555847</v>
      </c>
      <c r="E2712" s="15" t="n">
        <v>0.0564000606536865</v>
      </c>
      <c r="F2712" s="15" t="n">
        <v>0.292400002479553</v>
      </c>
      <c r="G2712" s="15" t="n">
        <v>4.18860006332397</v>
      </c>
      <c r="H2712" s="16">
        <f>C2712+E2712</f>
        <v/>
      </c>
    </row>
    <row r="2713">
      <c r="A2713" s="12" t="n">
        <v>45965</v>
      </c>
      <c r="B2713" s="15" t="n">
        <v>0.9029999375343321</v>
      </c>
      <c r="C2713" s="15" t="n">
        <v>0.5557000041008</v>
      </c>
      <c r="D2713" s="15" t="n">
        <v>2.65370011329651</v>
      </c>
      <c r="E2713" s="15" t="n">
        <v>0.0552997589111328</v>
      </c>
      <c r="F2713" s="15" t="n">
        <v>0.297500014305115</v>
      </c>
      <c r="G2713" s="15" t="n">
        <v>4.16769981384277</v>
      </c>
      <c r="H2713" s="16">
        <f>C2713+E2713</f>
        <v/>
      </c>
    </row>
    <row r="2714">
      <c r="A2714" s="12" t="n">
        <v>45966</v>
      </c>
      <c r="B2714" s="15" t="n">
        <v>0.92660003900528</v>
      </c>
      <c r="C2714" s="15" t="n">
        <v>0.580799996852875</v>
      </c>
      <c r="D2714" s="15" t="n">
        <v>2.67009997367859</v>
      </c>
      <c r="E2714" s="15" t="n">
        <v>0.0610001087188721</v>
      </c>
      <c r="F2714" s="15" t="n">
        <v>0.308299988508224</v>
      </c>
      <c r="G2714" s="15" t="n">
        <v>4.23850011825562</v>
      </c>
      <c r="H2714" s="16">
        <f>C2714+E2714</f>
        <v/>
      </c>
    </row>
    <row r="2715">
      <c r="A2715" s="12" t="n">
        <v>45967</v>
      </c>
      <c r="B2715" s="15" t="n">
        <v>0.902100026607513</v>
      </c>
      <c r="C2715" s="15" t="n">
        <v>0.560000002384186</v>
      </c>
      <c r="D2715" s="15" t="n">
        <v>2.65560007095337</v>
      </c>
      <c r="E2715" s="15" t="n">
        <v>0.0563998222351074</v>
      </c>
      <c r="F2715" s="15" t="n">
        <v>0.311699986457825</v>
      </c>
      <c r="G2715" s="15" t="n">
        <v>4.17409992218018</v>
      </c>
      <c r="H2715" s="16">
        <f>C2715+E2715</f>
        <v/>
      </c>
    </row>
    <row r="2716">
      <c r="A2716" s="12" t="n">
        <v>45968</v>
      </c>
      <c r="B2716" s="15" t="n">
        <v>0.900499999523163</v>
      </c>
      <c r="C2716" s="15" t="n">
        <v>0.560100018978119</v>
      </c>
      <c r="D2716" s="15" t="n">
        <v>2.65560007095337</v>
      </c>
      <c r="E2716" s="15" t="n">
        <v>0.0563997030258179</v>
      </c>
      <c r="F2716" s="15" t="n">
        <v>0.312799990177155</v>
      </c>
      <c r="G2716" s="15" t="n">
        <v>4.17259979248047</v>
      </c>
      <c r="H2716" s="16">
        <f>C2716+E2716</f>
        <v/>
      </c>
    </row>
    <row r="2717">
      <c r="A2717" s="12" t="n">
        <v>45971</v>
      </c>
      <c r="B2717" s="15" t="n">
        <v>0.911100029945374</v>
      </c>
      <c r="C2717" s="15" t="n">
        <v>0.566699981689453</v>
      </c>
      <c r="D2717" s="15" t="n">
        <v>2.66079998016357</v>
      </c>
      <c r="E2717" s="15" t="n">
        <v>0.0577000379562378</v>
      </c>
      <c r="F2717" s="15" t="n">
        <v>0.307700008153915</v>
      </c>
      <c r="G2717" s="15" t="n">
        <v>4.19630002975464</v>
      </c>
      <c r="H2717" s="16">
        <f>C2717+E2717</f>
        <v/>
      </c>
    </row>
    <row r="2718">
      <c r="A2718" s="12" t="n">
        <v>45973</v>
      </c>
      <c r="B2718" s="15" t="n">
        <v>0.897899985313416</v>
      </c>
      <c r="C2718" s="15" t="n">
        <v>0.549499988555908</v>
      </c>
      <c r="D2718" s="15" t="n">
        <v>2.65019989013672</v>
      </c>
      <c r="E2718" s="15" t="n">
        <v>0.0538002252578735</v>
      </c>
      <c r="F2718" s="15" t="n">
        <v>0.308400005102158</v>
      </c>
      <c r="G2718" s="15" t="n">
        <v>4.15140008926392</v>
      </c>
      <c r="H2718" s="16">
        <f>C2718+E2718</f>
        <v/>
      </c>
    </row>
    <row r="2719">
      <c r="A2719" s="12" t="n">
        <v>45974</v>
      </c>
      <c r="B2719" s="15" t="n">
        <v>0.910300016403198</v>
      </c>
      <c r="C2719" s="15" t="n">
        <v>0.561800003051758</v>
      </c>
      <c r="D2719" s="15" t="n">
        <v>2.65849995613098</v>
      </c>
      <c r="E2719" s="15" t="n">
        <v>0.0564999580383301</v>
      </c>
      <c r="F2719" s="15" t="n">
        <v>0.308899998664856</v>
      </c>
      <c r="G2719" s="15" t="n">
        <v>4.18709993362427</v>
      </c>
      <c r="H2719" s="16">
        <f>C2719+E2719</f>
        <v/>
      </c>
    </row>
    <row r="2720">
      <c r="A2720" s="12" t="n">
        <v>45975</v>
      </c>
      <c r="B2720" s="15" t="n">
        <v>0.92220002412796</v>
      </c>
      <c r="C2720" s="15" t="n">
        <v>0.574500024318695</v>
      </c>
      <c r="D2720" s="15" t="n">
        <v>2.66700005531311</v>
      </c>
      <c r="E2720" s="15" t="n">
        <v>0.0592999458312988</v>
      </c>
      <c r="F2720" s="15" t="n">
        <v>0.31020000576973</v>
      </c>
      <c r="G2720" s="15" t="n">
        <v>4.22300004959106</v>
      </c>
      <c r="H2720" s="16">
        <f>C2720+E2720</f>
        <v/>
      </c>
    </row>
    <row r="2721">
      <c r="A2721" s="12" t="n">
        <v>45978</v>
      </c>
      <c r="B2721" s="15" t="n">
        <v>0.917399942874908</v>
      </c>
      <c r="C2721" s="15" t="n">
        <v>0.5680000185966489</v>
      </c>
      <c r="D2721" s="15" t="n">
        <v>2.66300010681152</v>
      </c>
      <c r="E2721" s="15" t="n">
        <v>0.0576999187469482</v>
      </c>
      <c r="F2721" s="15" t="n">
        <v>0.314599990844727</v>
      </c>
      <c r="G2721" s="15" t="n">
        <v>4.20609998703003</v>
      </c>
      <c r="H2721" s="16">
        <f>C2721+E2721</f>
        <v/>
      </c>
    </row>
    <row r="2722">
      <c r="A2722" s="12" t="n">
        <v>45979</v>
      </c>
      <c r="B2722" s="15" t="n">
        <v>0.91049998998642</v>
      </c>
      <c r="C2722" s="15" t="n">
        <v>0.567300021648407</v>
      </c>
      <c r="D2722" s="15" t="n">
        <v>2.66160011291504</v>
      </c>
      <c r="E2722" s="15" t="n">
        <v>0.0577000379562378</v>
      </c>
      <c r="F2722" s="15" t="n">
        <v>0.314000010490417</v>
      </c>
      <c r="G2722" s="15" t="n">
        <v>4.1971001625061</v>
      </c>
      <c r="H2722" s="16">
        <f>C2722+E2722</f>
        <v/>
      </c>
    </row>
    <row r="2723">
      <c r="A2723" s="12" t="n">
        <v>45980</v>
      </c>
      <c r="B2723" s="15" t="n">
        <v>0.915700018405914</v>
      </c>
      <c r="C2723" s="15" t="n">
        <v>0.570699989795685</v>
      </c>
      <c r="D2723" s="15" t="n">
        <v>2.66459989547729</v>
      </c>
      <c r="E2723" s="15" t="n">
        <v>0.0580998659133911</v>
      </c>
      <c r="F2723" s="15" t="n">
        <v>0.318399995565414</v>
      </c>
      <c r="G2723" s="15" t="n">
        <v>4.20909976959229</v>
      </c>
      <c r="H2723" s="16">
        <f>C2723+E2723</f>
        <v/>
      </c>
    </row>
    <row r="2724">
      <c r="A2724" s="12" t="n">
        <v>45981</v>
      </c>
      <c r="B2724" s="15" t="n">
        <v>0.906599938869476</v>
      </c>
      <c r="C2724" s="15" t="n">
        <v>0.562200009822845</v>
      </c>
      <c r="D2724" s="15" t="n">
        <v>2.65910005569458</v>
      </c>
      <c r="E2724" s="15" t="n">
        <v>0.0562001466751099</v>
      </c>
      <c r="F2724" s="15" t="n">
        <v>0.326799988746643</v>
      </c>
      <c r="G2724" s="15" t="n">
        <v>4.18410015106201</v>
      </c>
      <c r="H2724" s="16">
        <f>C2724+E2724</f>
        <v/>
      </c>
    </row>
    <row r="2725">
      <c r="A2725" s="12" t="n">
        <v>45982</v>
      </c>
      <c r="B2725" s="15" t="n">
        <v>0.888100028038025</v>
      </c>
      <c r="C2725" s="15" t="n">
        <v>0.551599979400635</v>
      </c>
      <c r="D2725" s="15" t="n">
        <v>2.65059995651245</v>
      </c>
      <c r="E2725" s="15" t="n">
        <v>0.053899884223938</v>
      </c>
      <c r="F2725" s="15" t="n">
        <v>0.320100009441376</v>
      </c>
      <c r="G2725" s="15" t="n">
        <v>4.14419984817505</v>
      </c>
      <c r="H2725" s="16">
        <f>C2725+E2725</f>
        <v/>
      </c>
    </row>
    <row r="2726">
      <c r="A2726" s="12" t="n">
        <v>45985</v>
      </c>
      <c r="B2726" s="15" t="n">
        <v>0.883399963378906</v>
      </c>
      <c r="C2726" s="15" t="n">
        <v>0.544000029563904</v>
      </c>
      <c r="D2726" s="15" t="n">
        <v>2.64630007743835</v>
      </c>
      <c r="E2726" s="15" t="n">
        <v>0.0521000623703003</v>
      </c>
      <c r="F2726" s="15" t="n">
        <v>0.330199986696243</v>
      </c>
      <c r="G2726" s="15" t="n">
        <v>4.12580013275146</v>
      </c>
      <c r="H2726" s="16">
        <f>C2726+E2726</f>
        <v/>
      </c>
    </row>
    <row r="2727">
      <c r="A2727" s="12" t="n">
        <v>45986</v>
      </c>
      <c r="B2727" s="15" t="n">
        <v>0.870999991893768</v>
      </c>
      <c r="C2727" s="15" t="n">
        <v>0.533999979496002</v>
      </c>
      <c r="D2727" s="15" t="n">
        <v>2.63919997215271</v>
      </c>
      <c r="E2727" s="15" t="n">
        <v>0.0499000549316406</v>
      </c>
      <c r="F2727" s="15" t="n">
        <v>0.329299986362457</v>
      </c>
      <c r="G2727" s="15" t="n">
        <v>4.09409999847412</v>
      </c>
      <c r="H2727" s="16">
        <f>C2727+E2727</f>
        <v/>
      </c>
    </row>
    <row r="2728">
      <c r="A2728" s="12" t="n">
        <v>45987</v>
      </c>
      <c r="B2728" s="15" t="n">
        <v>0.871200025081635</v>
      </c>
      <c r="C2728" s="15" t="n">
        <v>0.527499973773956</v>
      </c>
      <c r="D2728" s="15" t="n">
        <v>2.6363000869751</v>
      </c>
      <c r="E2728" s="15" t="n">
        <v>0.04830002784729</v>
      </c>
      <c r="F2728" s="15" t="n">
        <v>0.31479999423027</v>
      </c>
      <c r="G2728" s="15" t="n">
        <v>4.08330011367798</v>
      </c>
      <c r="H2728" s="16">
        <f>C2728+E2728</f>
        <v/>
      </c>
    </row>
    <row r="2729">
      <c r="A2729" s="12" t="n">
        <v>45989</v>
      </c>
      <c r="B2729" s="15" t="n">
        <v>0.879400014877319</v>
      </c>
      <c r="C2729" s="15" t="n">
        <v>0.539499998092651</v>
      </c>
      <c r="D2729" s="15" t="n">
        <v>2.64330005645752</v>
      </c>
      <c r="E2729" s="15" t="n">
        <v>0.0510997772216797</v>
      </c>
      <c r="F2729" s="15" t="n">
        <v>0.321399986743927</v>
      </c>
      <c r="G2729" s="15" t="n">
        <v>4.11329984664917</v>
      </c>
      <c r="H2729" s="16">
        <f>C2729+E2729</f>
        <v/>
      </c>
    </row>
    <row r="2730">
      <c r="A2730" s="12" t="n">
        <v>45992</v>
      </c>
      <c r="B2730" s="15" t="n">
        <v>0.8985000252723691</v>
      </c>
      <c r="C2730" s="15" t="n">
        <v>0.570800006389618</v>
      </c>
      <c r="D2730" s="15" t="n">
        <v>2.66109991073608</v>
      </c>
      <c r="E2730" s="15" t="n">
        <v>0.0586998462677002</v>
      </c>
      <c r="F2730" s="15" t="n">
        <v>0.33610001206398</v>
      </c>
      <c r="G2730" s="15" t="n">
        <v>4.18909978866577</v>
      </c>
      <c r="H2730" s="16">
        <f>C2730+E2730</f>
        <v/>
      </c>
    </row>
    <row r="2731">
      <c r="A2731" s="12" t="n">
        <v>45993</v>
      </c>
      <c r="B2731" s="15" t="n">
        <v>0.89300000667572</v>
      </c>
      <c r="C2731" s="15" t="n">
        <v>0.5726000070571901</v>
      </c>
      <c r="D2731" s="15" t="n">
        <v>2.66039991378784</v>
      </c>
      <c r="E2731" s="15" t="n">
        <v>0.0594000816345215</v>
      </c>
      <c r="F2731" s="15" t="n">
        <v>0.342400014400482</v>
      </c>
      <c r="G2731" s="15" t="n">
        <v>4.18540000915527</v>
      </c>
      <c r="H2731" s="16">
        <f>C2731+E2731</f>
        <v/>
      </c>
    </row>
    <row r="2732">
      <c r="A2732" s="12" t="n">
        <v>45994</v>
      </c>
      <c r="B2732" s="15" t="n">
        <v>0.878899991512299</v>
      </c>
      <c r="C2732" s="15" t="n">
        <v>0.564300000667572</v>
      </c>
      <c r="D2732" s="15" t="n">
        <v>2.65339994430542</v>
      </c>
      <c r="E2732" s="15" t="n">
        <v>0.0577999353408813</v>
      </c>
      <c r="F2732" s="15" t="n">
        <v>0.335599988698959</v>
      </c>
      <c r="G2732" s="15" t="n">
        <v>4.15439987182617</v>
      </c>
      <c r="H2732" s="16">
        <f>C2732+E2732</f>
        <v/>
      </c>
    </row>
    <row r="2733">
      <c r="A2733" s="12" t="n">
        <v>45995</v>
      </c>
      <c r="B2733" s="15" t="n">
        <v>0.894499957561493</v>
      </c>
      <c r="C2733" s="15" t="n">
        <v>0.582899987697601</v>
      </c>
      <c r="D2733" s="15" t="n">
        <v>2.66470003128052</v>
      </c>
      <c r="E2733" s="15" t="n">
        <v>0.0623000860214233</v>
      </c>
      <c r="F2733" s="15" t="n">
        <v>0.331800013780594</v>
      </c>
      <c r="G2733" s="15" t="n">
        <v>4.20440006256104</v>
      </c>
      <c r="H2733" s="16">
        <f>C2733+E2733</f>
        <v/>
      </c>
    </row>
    <row r="2734">
      <c r="A2734" s="12" t="n">
        <v>45996</v>
      </c>
      <c r="B2734" s="15" t="n">
        <v>0.903299987316132</v>
      </c>
      <c r="C2734" s="15" t="n">
        <v>0.592999994754791</v>
      </c>
      <c r="D2734" s="15" t="n">
        <v>2.67059993743896</v>
      </c>
      <c r="E2734" s="15" t="n">
        <v>0.0648000240325928</v>
      </c>
      <c r="F2734" s="15" t="n">
        <v>0.33950001001358</v>
      </c>
      <c r="G2734" s="15" t="n">
        <v>4.23169994354248</v>
      </c>
      <c r="H2734" s="16">
        <f>C2734+E2734</f>
        <v/>
      </c>
    </row>
    <row r="2735">
      <c r="A2735" s="12" t="n">
        <v>45999</v>
      </c>
      <c r="B2735" s="15" t="n">
        <v>0.9141000509262081</v>
      </c>
      <c r="C2735" s="15" t="n">
        <v>0.606199979782104</v>
      </c>
      <c r="D2735" s="15" t="n">
        <v>2.6784999370575</v>
      </c>
      <c r="E2735" s="15" t="n">
        <v>0.06799995899200439</v>
      </c>
      <c r="F2735" s="15" t="n">
        <v>0.354600012302399</v>
      </c>
      <c r="G2735" s="15" t="n">
        <v>4.26679992675781</v>
      </c>
      <c r="H2735" s="16">
        <f>C2735+E2735</f>
        <v/>
      </c>
    </row>
    <row r="2736">
      <c r="A2736" s="12" t="n">
        <v>46000</v>
      </c>
      <c r="B2736" s="15" t="n">
        <v>0.918899953365326</v>
      </c>
      <c r="C2736" s="15" t="n">
        <v>0.606800019741058</v>
      </c>
      <c r="D2736" s="15" t="n">
        <v>2.67910003662109</v>
      </c>
      <c r="E2736" s="15" t="n">
        <v>0.0682998895645142</v>
      </c>
      <c r="F2736" s="15" t="n">
        <v>0.364499986171722</v>
      </c>
      <c r="G2736" s="15" t="n">
        <v>4.27309989929199</v>
      </c>
      <c r="H2736" s="16">
        <f>C2736+E2736</f>
        <v/>
      </c>
    </row>
    <row r="2737">
      <c r="A2737" s="12" t="n">
        <v>46001</v>
      </c>
      <c r="B2737" s="15" t="n">
        <v>0.901999950408936</v>
      </c>
      <c r="C2737" s="15" t="n">
        <v>0.59909999370575</v>
      </c>
      <c r="D2737" s="15" t="n">
        <v>2.67199993133545</v>
      </c>
      <c r="E2737" s="15" t="n">
        <v>0.0668998956680298</v>
      </c>
      <c r="F2737" s="15" t="n">
        <v>0.345899999141693</v>
      </c>
      <c r="G2737" s="15" t="n">
        <v>4.23999977111816</v>
      </c>
      <c r="H2737" s="16">
        <f>C2737+E2737</f>
        <v/>
      </c>
    </row>
    <row r="2738">
      <c r="A2738" s="12" t="n">
        <v>46002</v>
      </c>
      <c r="B2738" s="15" t="n">
        <v>0.894999921321869</v>
      </c>
      <c r="C2738" s="15" t="n">
        <v>0.602500021457672</v>
      </c>
      <c r="D2738" s="15" t="n">
        <v>2.67190003395081</v>
      </c>
      <c r="E2738" s="15" t="n">
        <v>0.0678999423980713</v>
      </c>
      <c r="F2738" s="15" t="n">
        <v>0.349999994039536</v>
      </c>
      <c r="G2738" s="15" t="n">
        <v>4.23729991912842</v>
      </c>
      <c r="H2738" s="16">
        <f>C2738+E2738</f>
        <v/>
      </c>
    </row>
    <row r="2739">
      <c r="A2739" s="12" t="n">
        <v>46003</v>
      </c>
      <c r="B2739" s="15" t="n">
        <v>0.904599964618683</v>
      </c>
      <c r="C2739" s="15" t="n">
        <v>0.6283000111579899</v>
      </c>
      <c r="D2739" s="15" t="n">
        <v>2.68549990653992</v>
      </c>
      <c r="E2739" s="15" t="n">
        <v>0.0742002725601196</v>
      </c>
      <c r="F2739" s="15" t="n">
        <v>0.357300013303757</v>
      </c>
      <c r="G2739" s="15" t="n">
        <v>4.29260015487671</v>
      </c>
      <c r="H2739" s="16">
        <f>C2739+E2739</f>
        <v/>
      </c>
    </row>
    <row r="2740">
      <c r="A2740" s="12" t="n">
        <v>46006</v>
      </c>
      <c r="B2740" s="15" t="n">
        <v>0.901700019836426</v>
      </c>
      <c r="C2740" s="15" t="n">
        <v>0.624199986457825</v>
      </c>
      <c r="D2740" s="15" t="n">
        <v>2.68339991569519</v>
      </c>
      <c r="E2740" s="15" t="n">
        <v>0.07310020923614501</v>
      </c>
      <c r="F2740" s="15" t="n">
        <v>0.366600006818771</v>
      </c>
      <c r="G2740" s="15" t="n">
        <v>4.28240013122559</v>
      </c>
      <c r="H2740" s="16">
        <f>C2740+E2740</f>
        <v/>
      </c>
    </row>
    <row r="2741">
      <c r="A2741" s="12" t="n">
        <v>46007</v>
      </c>
      <c r="B2741" s="15" t="n">
        <v>0.889700055122375</v>
      </c>
      <c r="C2741" s="15" t="n">
        <v>0.6128000020980831</v>
      </c>
      <c r="D2741" s="15" t="n">
        <v>2.67589998245239</v>
      </c>
      <c r="E2741" s="15" t="n">
        <v>0.0704998970031738</v>
      </c>
      <c r="F2741" s="15" t="n">
        <v>0.383199989795685</v>
      </c>
      <c r="G2741" s="15" t="n">
        <v>4.24889993667603</v>
      </c>
      <c r="H2741" s="16">
        <f>C2741+E2741</f>
        <v/>
      </c>
    </row>
    <row r="2742">
      <c r="A2742" s="12" t="n">
        <v>46008</v>
      </c>
      <c r="B2742" s="15" t="n">
        <v>0.8917999863624571</v>
      </c>
      <c r="C2742" s="15" t="n">
        <v>0.615299999713898</v>
      </c>
      <c r="D2742" s="15" t="n">
        <v>2.67759990692139</v>
      </c>
      <c r="E2742" s="15" t="n">
        <v>0.0710998773574829</v>
      </c>
      <c r="F2742" s="15" t="n">
        <v>0.380899995565414</v>
      </c>
      <c r="G2742" s="15" t="n">
        <v>4.25579977035522</v>
      </c>
      <c r="H2742" s="16">
        <f>C2742+E2742</f>
        <v/>
      </c>
    </row>
    <row r="2743">
      <c r="A2743" s="12" t="n">
        <v>46009</v>
      </c>
      <c r="B2743" s="15" t="n">
        <v>0.87909996509552</v>
      </c>
      <c r="C2743" s="15" t="n">
        <v>0.601999998092651</v>
      </c>
      <c r="D2743" s="15" t="n">
        <v>2.66890001296997</v>
      </c>
      <c r="E2743" s="15" t="n">
        <v>0.06810009479522711</v>
      </c>
      <c r="F2743" s="15" t="n">
        <v>0.372500002384186</v>
      </c>
      <c r="G2743" s="15" t="n">
        <v>4.21810007095337</v>
      </c>
      <c r="H2743" s="16">
        <f>C2743+E2743</f>
        <v/>
      </c>
    </row>
    <row r="2744">
      <c r="A2744" s="12" t="n">
        <v>46010</v>
      </c>
      <c r="B2744" s="15" t="n">
        <v>0.8916999697685239</v>
      </c>
      <c r="C2744" s="15" t="n">
        <v>0.6126000285148619</v>
      </c>
      <c r="D2744" s="15" t="n">
        <v>2.67650008201599</v>
      </c>
      <c r="E2744" s="15" t="n">
        <v>0.0702999830245972</v>
      </c>
      <c r="F2744" s="15" t="n">
        <v>0.382999986410141</v>
      </c>
      <c r="G2744" s="15" t="n">
        <v>4.25110006332397</v>
      </c>
      <c r="H2744" s="16">
        <f>C2744+E2744</f>
        <v/>
      </c>
    </row>
    <row r="2745">
      <c r="A2745" s="12" t="n">
        <v>46013</v>
      </c>
      <c r="B2745" s="15" t="n">
        <v>0.89599996805191</v>
      </c>
      <c r="C2745" s="15" t="n">
        <v>0.618300020694733</v>
      </c>
      <c r="D2745" s="15" t="n">
        <v>2.67969989776611</v>
      </c>
      <c r="E2745" s="15" t="n">
        <v>0.0716999769210815</v>
      </c>
      <c r="F2745" s="15" t="n">
        <v>0.395799994468689</v>
      </c>
      <c r="G2745" s="15" t="n">
        <v>4.26569986343384</v>
      </c>
      <c r="H2745" s="16">
        <f>C2745+E2745</f>
        <v/>
      </c>
    </row>
    <row r="2746">
      <c r="A2746" s="12" t="n">
        <v>46014</v>
      </c>
      <c r="B2746" s="15" t="n">
        <v>0.89709997177124</v>
      </c>
      <c r="C2746" s="15" t="n">
        <v>0.615700006484985</v>
      </c>
      <c r="D2746" s="15" t="n">
        <v>2.67779994010925</v>
      </c>
      <c r="E2746" s="15" t="n">
        <v>0.071500301361084</v>
      </c>
      <c r="F2746" s="15" t="n">
        <v>0.392800003290176</v>
      </c>
      <c r="G2746" s="15" t="n">
        <v>4.26210021972656</v>
      </c>
      <c r="H2746" s="16">
        <f>C2746+E2746</f>
        <v/>
      </c>
    </row>
    <row r="2747">
      <c r="A2747" s="12" t="n">
        <v>46015</v>
      </c>
      <c r="B2747" s="15" t="n">
        <v>0.8889000415802</v>
      </c>
      <c r="C2747" s="15" t="n">
        <v>0.605499982833862</v>
      </c>
      <c r="D2747" s="15" t="n">
        <v>2.67079997062683</v>
      </c>
      <c r="E2747" s="15" t="n">
        <v>0.06940007209777831</v>
      </c>
      <c r="F2747" s="15" t="n">
        <v>0.386599987745285</v>
      </c>
      <c r="G2747" s="15" t="n">
        <v>4.23460006713867</v>
      </c>
      <c r="H2747" s="16">
        <f>C2747+E2747</f>
        <v/>
      </c>
    </row>
    <row r="2748">
      <c r="A2748" s="12" t="n">
        <v>46017</v>
      </c>
      <c r="B2748" s="15" t="n">
        <v>0.884599924087524</v>
      </c>
      <c r="C2748" s="15" t="n">
        <v>0.605000019073486</v>
      </c>
      <c r="D2748" s="15" t="n">
        <v>2.67030000686646</v>
      </c>
      <c r="E2748" s="15" t="n">
        <v>0.0691001415252686</v>
      </c>
      <c r="F2748" s="15" t="n">
        <v>0.394499987363815</v>
      </c>
      <c r="G2748" s="15" t="n">
        <v>4.22900009155273</v>
      </c>
      <c r="H2748" s="16">
        <f>C2748+E2748</f>
        <v/>
      </c>
    </row>
    <row r="2749">
      <c r="A2749" s="12" t="n">
        <v>46020</v>
      </c>
      <c r="B2749" s="15" t="n">
        <v>0.8805000185966489</v>
      </c>
      <c r="C2749" s="15" t="n">
        <v>0.596800029277802</v>
      </c>
      <c r="D2749" s="15" t="n">
        <v>2.66630005836487</v>
      </c>
      <c r="E2749" s="15" t="n">
        <v>0.0669997930526733</v>
      </c>
      <c r="F2749" s="15" t="n">
        <v>0.394899994134903</v>
      </c>
      <c r="G2749" s="15" t="n">
        <v>4.21059989929199</v>
      </c>
      <c r="H2749" s="16">
        <f>C2749+E2749</f>
        <v/>
      </c>
    </row>
    <row r="2750">
      <c r="A2750" s="12" t="n">
        <v>46021</v>
      </c>
      <c r="B2750" s="15" t="n">
        <v>0.883700013160706</v>
      </c>
      <c r="C2750" s="15" t="n">
        <v>0.601199984550476</v>
      </c>
      <c r="D2750" s="15" t="n">
        <v>2.66939997673035</v>
      </c>
      <c r="E2750" s="15" t="n">
        <v>0.06779980659484861</v>
      </c>
      <c r="F2750" s="15" t="n">
        <v>0.388399988412857</v>
      </c>
      <c r="G2750" s="15" t="n">
        <v>4.22209978103638</v>
      </c>
      <c r="H2750" s="16">
        <f>C2750+E2750</f>
        <v/>
      </c>
    </row>
    <row r="2751">
      <c r="A2751" s="12" t="n">
        <v>46022</v>
      </c>
      <c r="B2751" s="15" t="n">
        <v>0.898599982261658</v>
      </c>
      <c r="C2751" s="15" t="n">
        <v>0.619300007820129</v>
      </c>
      <c r="D2751" s="15" t="n">
        <v>2.68070006370544</v>
      </c>
      <c r="E2751" s="15" t="n">
        <v>0.0719997882843018</v>
      </c>
      <c r="F2751" s="15" t="n">
        <v>0.39300000667572</v>
      </c>
      <c r="G2751" s="15" t="n">
        <v>4.27059984207153</v>
      </c>
      <c r="H2751" s="16">
        <f>C2751+E2751</f>
        <v/>
      </c>
    </row>
    <row r="2752">
      <c r="A2752" s="12" t="n">
        <v>46024</v>
      </c>
      <c r="B2752" s="15" t="n">
        <v>0.903900027275085</v>
      </c>
      <c r="C2752" s="15" t="n">
        <v>0.627699971199036</v>
      </c>
      <c r="D2752" s="15" t="n">
        <v>2.68580007553101</v>
      </c>
      <c r="E2752" s="15" t="n">
        <v>0.0738997459411621</v>
      </c>
      <c r="F2752" s="15" t="n">
        <v>0.380699992179871</v>
      </c>
      <c r="G2752" s="15" t="n">
        <v>4.29129981994629</v>
      </c>
      <c r="H2752" s="16">
        <f>C2752+E2752</f>
        <v/>
      </c>
    </row>
    <row r="2753">
      <c r="A2753" s="12" t="n">
        <v>46027</v>
      </c>
      <c r="B2753" s="15" t="n">
        <v>0.893099963665009</v>
      </c>
      <c r="C2753" s="15" t="n">
        <v>0.620299994945526</v>
      </c>
      <c r="D2753" s="15" t="n">
        <v>2.68009996414185</v>
      </c>
      <c r="E2753" s="15" t="n">
        <v>0.0723000764846802</v>
      </c>
      <c r="F2753" s="15" t="n">
        <v>0.365200012922287</v>
      </c>
      <c r="G2753" s="15" t="n">
        <v>4.26579999923706</v>
      </c>
      <c r="H2753" s="16">
        <f>C2753+E2753</f>
        <v/>
      </c>
    </row>
    <row r="2754">
      <c r="A2754" s="12" t="n">
        <v>46028</v>
      </c>
      <c r="B2754" s="15" t="n">
        <v>0.896699965000153</v>
      </c>
      <c r="C2754" s="15" t="n">
        <v>0.625400006771088</v>
      </c>
      <c r="D2754" s="15" t="n">
        <v>2.68330001831055</v>
      </c>
      <c r="E2754" s="15" t="n">
        <v>0.07340002059936521</v>
      </c>
      <c r="F2754" s="15" t="n">
        <v>0.362399995326996</v>
      </c>
      <c r="G2754" s="15" t="n">
        <v>4.27880001068115</v>
      </c>
      <c r="H2754" s="16">
        <f>C2754+E2754</f>
        <v/>
      </c>
    </row>
    <row r="2755">
      <c r="A2755" s="12" t="n">
        <v>46029</v>
      </c>
      <c r="B2755" s="15" t="n">
        <v>0.886200070381165</v>
      </c>
      <c r="C2755" s="15" t="n">
        <v>0.6104999780654909</v>
      </c>
      <c r="D2755" s="15" t="n">
        <v>2.67400002479553</v>
      </c>
      <c r="E2755" s="15" t="n">
        <v>0.07009983062744141</v>
      </c>
      <c r="F2755" s="15" t="n">
        <v>0.357899993658066</v>
      </c>
      <c r="G2755" s="15" t="n">
        <v>4.24079990386963</v>
      </c>
      <c r="H2755" s="16">
        <f>C2755+E2755</f>
        <v/>
      </c>
    </row>
    <row r="2756">
      <c r="A2756" s="12" t="n">
        <v>46030</v>
      </c>
      <c r="B2756" s="15" t="n">
        <v>0.899300038814545</v>
      </c>
      <c r="C2756" s="15" t="n">
        <v>0.625999987125397</v>
      </c>
      <c r="D2756" s="15" t="n">
        <v>2.68350005149841</v>
      </c>
      <c r="E2756" s="15" t="n">
        <v>0.0737998485565186</v>
      </c>
      <c r="F2756" s="15" t="n">
        <v>0.362300008535385</v>
      </c>
      <c r="G2756" s="15" t="n">
        <v>4.28259992599487</v>
      </c>
      <c r="H2756" s="16">
        <f>C2756+E2756</f>
        <v/>
      </c>
    </row>
    <row r="2757">
      <c r="A2757" s="12" t="n">
        <v>46031</v>
      </c>
      <c r="B2757" s="15" t="n">
        <v>0.898999989032745</v>
      </c>
      <c r="C2757" s="15" t="n">
        <v>0.618099987506866</v>
      </c>
      <c r="D2757" s="15" t="n">
        <v>2.67890000343323</v>
      </c>
      <c r="E2757" s="15" t="n">
        <v>0.07219994068145751</v>
      </c>
      <c r="F2757" s="15" t="n">
        <v>0.355599999427795</v>
      </c>
      <c r="G2757" s="15" t="n">
        <v>4.2681999206543</v>
      </c>
      <c r="H2757" s="16">
        <f>C2757+E2757</f>
        <v/>
      </c>
    </row>
    <row r="2758">
      <c r="A2758" s="12" t="n">
        <v>46034</v>
      </c>
      <c r="B2758" s="15" t="n">
        <v>0.9029000401496891</v>
      </c>
      <c r="C2758" s="15" t="n">
        <v>0.6194999814033511</v>
      </c>
      <c r="D2758" s="15" t="n">
        <v>2.68020009994507</v>
      </c>
      <c r="E2758" s="15" t="n">
        <v>0.0725997686386108</v>
      </c>
      <c r="F2758" s="15" t="n">
        <v>0.339399993419647</v>
      </c>
      <c r="G2758" s="15" t="n">
        <v>4.27519989013672</v>
      </c>
      <c r="H2758" s="16">
        <f>C2758+E2758</f>
        <v/>
      </c>
    </row>
    <row r="2759">
      <c r="A2759" s="12" t="n">
        <v>46035</v>
      </c>
      <c r="B2759" s="15" t="n">
        <v>0.898899972438812</v>
      </c>
      <c r="C2759" s="15" t="n">
        <v>0.615199983119965</v>
      </c>
      <c r="D2759" s="15" t="n">
        <v>2.67759990692139</v>
      </c>
      <c r="E2759" s="15" t="n">
        <v>0.0714999437332153</v>
      </c>
      <c r="F2759" s="15" t="n">
        <v>0.326999992132187</v>
      </c>
      <c r="G2759" s="15" t="n">
        <v>4.26319980621338</v>
      </c>
      <c r="H2759" s="16">
        <f>C2759+E2759</f>
        <v/>
      </c>
    </row>
    <row r="2760">
      <c r="A2760" s="12" t="n">
        <v>46036</v>
      </c>
      <c r="B2760" s="15" t="n">
        <v>0.8894000053405759</v>
      </c>
      <c r="C2760" s="15" t="n">
        <v>0.602800011634827</v>
      </c>
      <c r="D2760" s="15" t="n">
        <v>2.66989994049072</v>
      </c>
      <c r="E2760" s="15" t="n">
        <v>0.0687001943588257</v>
      </c>
      <c r="F2760" s="15" t="n">
        <v>0.325599998235703</v>
      </c>
      <c r="G2760" s="15" t="n">
        <v>4.23080015182495</v>
      </c>
      <c r="H2760" s="16">
        <f>C2760+E2760</f>
        <v/>
      </c>
    </row>
    <row r="2761">
      <c r="A2761" s="12" t="n">
        <v>46037</v>
      </c>
      <c r="B2761" s="15" t="n">
        <v>0.900899946689606</v>
      </c>
      <c r="C2761" s="15" t="n">
        <v>0.610300004482269</v>
      </c>
      <c r="D2761" s="15" t="n">
        <v>2.67519998550415</v>
      </c>
      <c r="E2761" s="15" t="n">
        <v>0.0704002380371094</v>
      </c>
      <c r="F2761" s="15" t="n">
        <v>0.320199996232986</v>
      </c>
      <c r="G2761" s="15" t="n">
        <v>4.25680017471313</v>
      </c>
      <c r="H2761" s="16">
        <f>C2761+E2761</f>
        <v/>
      </c>
    </row>
    <row r="2762">
      <c r="A2762" s="12" t="n">
        <v>46038</v>
      </c>
      <c r="B2762" s="15" t="n">
        <v>0.919600009918213</v>
      </c>
      <c r="C2762" s="15" t="n">
        <v>0.629999995231628</v>
      </c>
      <c r="D2762" s="15" t="n">
        <v>2.68779993057251</v>
      </c>
      <c r="E2762" s="15" t="n">
        <v>0.0749999284744263</v>
      </c>
      <c r="F2762" s="15" t="n">
        <v>0.316599994897842</v>
      </c>
      <c r="G2762" s="15" t="n">
        <v>4.31239986419678</v>
      </c>
      <c r="H2762" s="16">
        <f>C2762+E2762</f>
        <v/>
      </c>
    </row>
    <row r="2763">
      <c r="A2763" s="12" t="n">
        <v>46042</v>
      </c>
      <c r="B2763" s="15" t="n">
        <v>0.938700079917908</v>
      </c>
      <c r="C2763" s="15" t="n">
        <v>0.658599972724915</v>
      </c>
      <c r="D2763" s="15" t="n">
        <v>2.70530009269714</v>
      </c>
      <c r="E2763" s="15" t="n">
        <v>0.0814998149871826</v>
      </c>
      <c r="F2763" s="15" t="n">
        <v>0.321399986743927</v>
      </c>
      <c r="G2763" s="15" t="n">
        <v>4.38409996032715</v>
      </c>
      <c r="H2763" s="16">
        <f>C2763+E2763</f>
        <v/>
      </c>
    </row>
    <row r="2764">
      <c r="A2764" s="12" t="n">
        <v>46043</v>
      </c>
      <c r="B2764" s="15" t="n">
        <v>0.928600013256073</v>
      </c>
      <c r="C2764" s="15" t="n">
        <v>0.644200026988983</v>
      </c>
      <c r="D2764" s="15" t="n">
        <v>2.69670009613037</v>
      </c>
      <c r="E2764" s="15" t="n">
        <v>0.0780998468399048</v>
      </c>
      <c r="F2764" s="15" t="n">
        <v>0.292100012302399</v>
      </c>
      <c r="G2764" s="15" t="n">
        <v>4.34759998321533</v>
      </c>
      <c r="H2764" s="16">
        <f>C2764+E2764</f>
        <v/>
      </c>
    </row>
    <row r="2765">
      <c r="A2765" s="12" t="n">
        <v>46044</v>
      </c>
      <c r="B2765" s="15" t="n">
        <v>0.930699944496155</v>
      </c>
      <c r="C2765" s="15" t="n">
        <v>0.64300000667572</v>
      </c>
      <c r="D2765" s="15" t="n">
        <v>2.69619989395142</v>
      </c>
      <c r="E2765" s="15" t="n">
        <v>0.0778002738952637</v>
      </c>
      <c r="F2765" s="15" t="n">
        <v>0.297399997711182</v>
      </c>
      <c r="G2765" s="15" t="n">
        <v>4.34770011901855</v>
      </c>
      <c r="H2765" s="16">
        <f>C2765+E2765</f>
        <v/>
      </c>
    </row>
    <row r="2766">
      <c r="A2766" s="12" t="n">
        <v>46045</v>
      </c>
      <c r="B2766" s="15" t="n">
        <v>0.925400078296661</v>
      </c>
      <c r="C2766" s="15" t="n">
        <v>0.635299980640411</v>
      </c>
      <c r="D2766" s="15" t="n">
        <v>2.69129991531372</v>
      </c>
      <c r="E2766" s="15" t="n">
        <v>0.07610023021697999</v>
      </c>
      <c r="F2766" s="15" t="n">
        <v>0.27649998664856</v>
      </c>
      <c r="G2766" s="15" t="n">
        <v>4.32810020446777</v>
      </c>
      <c r="H2766" s="16">
        <f>C2766+E2766</f>
        <v/>
      </c>
    </row>
    <row r="2767">
      <c r="A2767" s="12" t="n">
        <v>46048</v>
      </c>
      <c r="B2767" s="15" t="n">
        <v>0.919300019741058</v>
      </c>
      <c r="C2767" s="15" t="n">
        <v>0.626900017261505</v>
      </c>
      <c r="D2767" s="15" t="n">
        <v>2.68600010871887</v>
      </c>
      <c r="E2767" s="15" t="n">
        <v>0.0742998123168945</v>
      </c>
      <c r="F2767" s="15" t="n">
        <v>0.268500000238419</v>
      </c>
      <c r="G2767" s="15" t="n">
        <v>4.30649995803833</v>
      </c>
      <c r="H2767" s="16">
        <f>C2767+E2767</f>
        <v/>
      </c>
    </row>
    <row r="2768">
      <c r="A2768" s="12" t="n">
        <v>46049</v>
      </c>
      <c r="B2768" s="15" t="n">
        <v>0.9229999780654909</v>
      </c>
      <c r="C2768" s="15" t="n">
        <v>0.633599996566772</v>
      </c>
      <c r="D2768" s="15" t="n">
        <v>2.69020009040833</v>
      </c>
      <c r="E2768" s="15" t="n">
        <v>0.075799822807312</v>
      </c>
      <c r="F2768" s="15" t="n">
        <v>0.251300007104874</v>
      </c>
      <c r="G2768" s="15" t="n">
        <v>4.3225998878479</v>
      </c>
      <c r="H2768" s="16">
        <f>C2768+E2768</f>
        <v/>
      </c>
    </row>
    <row r="2769">
      <c r="A2769" s="12" t="n">
        <v>46050</v>
      </c>
      <c r="B2769" s="15" t="n">
        <v>0.931699991226196</v>
      </c>
      <c r="C2769" s="15" t="n">
        <v>0.642899990081787</v>
      </c>
      <c r="D2769" s="15" t="n">
        <v>2.69659996032715</v>
      </c>
      <c r="E2769" s="15" t="n">
        <v>0.0778000354766846</v>
      </c>
      <c r="F2769" s="15" t="n">
        <v>0.232999995350838</v>
      </c>
      <c r="G2769" s="15" t="n">
        <v>4.34899997711182</v>
      </c>
      <c r="H2769" s="16">
        <f>C2769+E2769</f>
        <v/>
      </c>
    </row>
    <row r="2770">
      <c r="A2770" s="12" t="n">
        <v>46051</v>
      </c>
      <c r="B2770" s="15" t="n">
        <v>0.9230000376701351</v>
      </c>
      <c r="C2770" s="15" t="n">
        <v>0.637600004673004</v>
      </c>
      <c r="D2770" s="15" t="n">
        <v>2.69289994239807</v>
      </c>
      <c r="E2770" s="15" t="n">
        <v>0.07639980316162109</v>
      </c>
      <c r="F2770" s="15" t="n">
        <v>0.228400006890297</v>
      </c>
      <c r="G2770" s="15" t="n">
        <v>4.32989978790283</v>
      </c>
      <c r="H2770" s="16">
        <f>C2770+E2770</f>
        <v/>
      </c>
    </row>
    <row r="2771">
      <c r="A2771" s="12" t="n">
        <v>46052</v>
      </c>
      <c r="B2771" s="15" t="n">
        <v>0.922699987888336</v>
      </c>
      <c r="C2771" s="15" t="n">
        <v>0.642499983310699</v>
      </c>
      <c r="D2771" s="15" t="n">
        <v>2.6956000328064</v>
      </c>
      <c r="E2771" s="15" t="n">
        <v>0.0775002241134644</v>
      </c>
      <c r="F2771" s="15" t="n">
        <v>0.224399998784065</v>
      </c>
      <c r="G2771" s="15" t="n">
        <v>4.3383002281189</v>
      </c>
      <c r="H2771" s="16">
        <f>C2771+E2771</f>
        <v/>
      </c>
    </row>
    <row r="2772">
      <c r="A2772" s="12" t="n">
        <v>46055</v>
      </c>
      <c r="B2772" s="15" t="n">
        <v>0.935900032520294</v>
      </c>
      <c r="C2772" s="15" t="n">
        <v>0.656899988651276</v>
      </c>
      <c r="D2772" s="15" t="n">
        <v>2.70510005950928</v>
      </c>
      <c r="E2772" s="15" t="n">
        <v>0.0805999040603638</v>
      </c>
      <c r="F2772" s="15" t="n">
        <v>0.243100002408028</v>
      </c>
      <c r="G2772" s="15" t="n">
        <v>4.37849998474121</v>
      </c>
      <c r="H2772" s="16">
        <f>C2772+E2772</f>
        <v/>
      </c>
    </row>
    <row r="2773">
      <c r="A2773" s="12" t="n">
        <v>46056</v>
      </c>
      <c r="B2773" s="15" t="n">
        <v>0.9342999458312991</v>
      </c>
      <c r="C2773" s="15" t="n">
        <v>0.653900027275085</v>
      </c>
      <c r="D2773" s="15" t="n">
        <v>2.70329999923706</v>
      </c>
      <c r="E2773" s="15" t="n">
        <v>0.0798999071121216</v>
      </c>
      <c r="F2773" s="15" t="n">
        <v>0.228000000119209</v>
      </c>
      <c r="G2773" s="15" t="n">
        <v>4.37139987945557</v>
      </c>
      <c r="H2773" s="16">
        <f>C2773+E2773</f>
        <v/>
      </c>
    </row>
    <row r="2774">
      <c r="A2774" s="12" t="n">
        <v>46057</v>
      </c>
      <c r="B2774" s="15" t="n">
        <v>0.938799977302551</v>
      </c>
      <c r="C2774" s="15" t="n">
        <v>0.657999992370605</v>
      </c>
      <c r="D2774" s="15" t="n">
        <v>2.7063000202179</v>
      </c>
      <c r="E2774" s="15" t="n">
        <v>0.0807000398635864</v>
      </c>
      <c r="F2774" s="15" t="n">
        <v>0.23870000243187</v>
      </c>
      <c r="G2774" s="15" t="n">
        <v>4.38380002975464</v>
      </c>
      <c r="H2774" s="16">
        <f>C2774+E2774</f>
        <v/>
      </c>
    </row>
    <row r="2775">
      <c r="A2775" s="12" t="n">
        <v>46058</v>
      </c>
      <c r="B2775" s="15" t="n">
        <v>0.907700002193451</v>
      </c>
      <c r="C2775" s="15" t="n">
        <v>0.63239997625351</v>
      </c>
      <c r="D2775" s="15" t="n">
        <v>2.68849992752075</v>
      </c>
      <c r="E2775" s="15" t="n">
        <v>0.0749999284744263</v>
      </c>
      <c r="F2775" s="15" t="n">
        <v>0.242400005459785</v>
      </c>
      <c r="G2775" s="15" t="n">
        <v>4.30359983444214</v>
      </c>
      <c r="H2775" s="16">
        <f>C2775+E2775</f>
        <v/>
      </c>
    </row>
    <row r="2776">
      <c r="A2776" s="12" t="n">
        <v>46059</v>
      </c>
      <c r="B2776" s="15" t="n">
        <v>0.910899996757507</v>
      </c>
      <c r="C2776" s="15" t="n">
        <v>0.633499979972839</v>
      </c>
      <c r="D2776" s="15" t="n">
        <v>2.68969988822937</v>
      </c>
      <c r="E2776" s="15" t="n">
        <v>0.075200080871582</v>
      </c>
      <c r="F2776" s="15" t="n">
        <v>0.238299995660782</v>
      </c>
      <c r="G2776" s="15" t="n">
        <v>4.3092999458313</v>
      </c>
      <c r="H2776" s="16">
        <f>C2776+E2776</f>
        <v/>
      </c>
    </row>
    <row r="2777">
      <c r="A2777" s="12" t="n">
        <v>46062</v>
      </c>
      <c r="B2777" s="15" t="n">
        <v>0.907700002193451</v>
      </c>
      <c r="C2777" s="15" t="n">
        <v>0.631900012493134</v>
      </c>
      <c r="D2777" s="15" t="n">
        <v>2.68840003013611</v>
      </c>
      <c r="E2777" s="15" t="n">
        <v>0.0748001337051392</v>
      </c>
      <c r="F2777" s="15" t="n">
        <v>0.228100001811981</v>
      </c>
      <c r="G2777" s="15" t="n">
        <v>4.30280017852783</v>
      </c>
      <c r="H2777" s="16">
        <f>C2777+E2777</f>
        <v/>
      </c>
    </row>
    <row r="2778">
      <c r="A2778" s="12" t="n">
        <v>46063</v>
      </c>
      <c r="B2778" s="15" t="n">
        <v>0.891299962997437</v>
      </c>
      <c r="C2778" s="15" t="n">
        <v>0.611500024795532</v>
      </c>
      <c r="D2778" s="15" t="n">
        <v>2.67560005187988</v>
      </c>
      <c r="E2778" s="15" t="n">
        <v>0.0701999664306641</v>
      </c>
      <c r="F2778" s="15" t="n">
        <v>0.234899997711182</v>
      </c>
      <c r="G2778" s="15" t="n">
        <v>4.24860000610352</v>
      </c>
      <c r="H2778" s="16">
        <f>C2778+E2778</f>
        <v/>
      </c>
    </row>
    <row r="2779">
      <c r="A2779" s="12" t="n">
        <v>46064</v>
      </c>
      <c r="B2779" s="15" t="n">
        <v>0.904100060462952</v>
      </c>
      <c r="C2779" s="15" t="n">
        <v>0.621399998664856</v>
      </c>
      <c r="D2779" s="15" t="n">
        <v>2.68249988555908</v>
      </c>
      <c r="E2779" s="15" t="n">
        <v>0.07239985466003419</v>
      </c>
      <c r="F2779" s="15" t="n">
        <v>0.236599996685982</v>
      </c>
      <c r="G2779" s="15" t="n">
        <v>4.28039979934692</v>
      </c>
      <c r="H2779" s="16">
        <f>C2779+E2779</f>
        <v/>
      </c>
    </row>
    <row r="2780">
      <c r="A2780" s="12" t="n">
        <v>46065</v>
      </c>
      <c r="B2780" s="15" t="n">
        <v>0.877900004386902</v>
      </c>
      <c r="C2780" s="15" t="n">
        <v>0.59060001373291</v>
      </c>
      <c r="D2780" s="15" t="n">
        <v>2.66280007362366</v>
      </c>
      <c r="E2780" s="15" t="n">
        <v>0.0655001401901245</v>
      </c>
      <c r="F2780" s="15" t="n">
        <v>0.233600005507469</v>
      </c>
      <c r="G2780" s="15" t="n">
        <v>4.19680023193359</v>
      </c>
      <c r="H2780" s="16">
        <f>C2780+E2780</f>
        <v/>
      </c>
    </row>
    <row r="2781">
      <c r="A2781" s="12" t="n">
        <v>46066</v>
      </c>
      <c r="B2781" s="15" t="n">
        <v>0.860299944877625</v>
      </c>
      <c r="C2781" s="15" t="n">
        <v>0.571300029754639</v>
      </c>
      <c r="D2781" s="15" t="n">
        <v>2.65100002288818</v>
      </c>
      <c r="E2781" s="15" t="n">
        <v>0.0608998537063599</v>
      </c>
      <c r="F2781" s="15" t="n">
        <v>0.241799995303154</v>
      </c>
      <c r="G2781" s="15" t="n">
        <v>4.14349985122681</v>
      </c>
      <c r="H2781" s="16">
        <f>C2781+E2781</f>
        <v/>
      </c>
    </row>
    <row r="2782">
      <c r="A2782" s="12" t="n">
        <v>46070</v>
      </c>
      <c r="B2782" s="15" t="n">
        <v>0.864700019359589</v>
      </c>
      <c r="C2782" s="15" t="n">
        <v>0.57150000333786</v>
      </c>
      <c r="D2782" s="15" t="n">
        <v>2.65199995040894</v>
      </c>
      <c r="E2782" s="15" t="n">
        <v>0.0608001947402954</v>
      </c>
      <c r="F2782" s="15" t="n">
        <v>0.263300001621246</v>
      </c>
      <c r="G2782" s="15" t="n">
        <v>4.14900016784668</v>
      </c>
      <c r="H2782" s="16">
        <f>C2782+E2782</f>
        <v/>
      </c>
    </row>
    <row r="2783">
      <c r="A2783" s="12" t="n">
        <v>46071</v>
      </c>
      <c r="B2783" s="15" t="n">
        <v>0.873300075531006</v>
      </c>
      <c r="C2783" s="15" t="n">
        <v>0.580999970436096</v>
      </c>
      <c r="D2783" s="15" t="n">
        <v>2.65790009498596</v>
      </c>
      <c r="E2783" s="15" t="n">
        <v>0.0630999803543091</v>
      </c>
      <c r="F2783" s="15" t="n">
        <v>0.255100011825562</v>
      </c>
      <c r="G2783" s="15" t="n">
        <v>4.17530012130737</v>
      </c>
      <c r="H2783" s="16">
        <f>C2783+E2783</f>
        <v/>
      </c>
    </row>
    <row r="2784">
      <c r="A2784" s="12" t="n">
        <v>46072</v>
      </c>
      <c r="B2784" s="15" t="n">
        <v>0.871899962425232</v>
      </c>
      <c r="C2784" s="15" t="n">
        <v>0.576099991798401</v>
      </c>
      <c r="D2784" s="15" t="n">
        <v>2.65529990196228</v>
      </c>
      <c r="E2784" s="15" t="n">
        <v>0.0619003772735596</v>
      </c>
      <c r="F2784" s="15" t="n">
        <v>0.24889999628067</v>
      </c>
      <c r="G2784" s="15" t="n">
        <v>4.16520023345947</v>
      </c>
      <c r="H2784" s="16">
        <f>C2784+E2784</f>
        <v/>
      </c>
    </row>
    <row r="2785">
      <c r="A2785" s="12" t="n">
        <v>46073</v>
      </c>
      <c r="B2785" s="15" t="n">
        <v>0.874200046062469</v>
      </c>
      <c r="C2785" s="15" t="n">
        <v>0.578499972820282</v>
      </c>
      <c r="D2785" s="15" t="n">
        <v>2.65700006484985</v>
      </c>
      <c r="E2785" s="15" t="n">
        <v>0.0622998476028442</v>
      </c>
      <c r="F2785" s="15" t="n">
        <v>0.251899987459183</v>
      </c>
      <c r="G2785" s="15" t="n">
        <v>4.17199993133545</v>
      </c>
      <c r="H2785" s="16">
        <f>C2785+E2785</f>
        <v/>
      </c>
    </row>
    <row r="2786">
      <c r="A2786" s="12" t="n">
        <v>46076</v>
      </c>
      <c r="B2786" s="15" t="n">
        <v>0.8582000136375429</v>
      </c>
      <c r="C2786" s="15" t="n">
        <v>0.5590999722480769</v>
      </c>
      <c r="D2786" s="15" t="n">
        <v>2.64549994468689</v>
      </c>
      <c r="E2786" s="15" t="n">
        <v>0.0576000213623047</v>
      </c>
      <c r="F2786" s="15" t="n">
        <v>0.255800008773804</v>
      </c>
      <c r="G2786" s="15" t="n">
        <v>4.12039995193481</v>
      </c>
      <c r="H2786" s="16">
        <f>C2786+E2786</f>
        <v/>
      </c>
    </row>
    <row r="2787">
      <c r="A2787" s="12" t="n">
        <v>46077</v>
      </c>
      <c r="B2787" s="15" t="n">
        <v>0.862399995326996</v>
      </c>
      <c r="C2787" s="15" t="n">
        <v>0.562099993228912</v>
      </c>
      <c r="D2787" s="15" t="n">
        <v>2.64779996871948</v>
      </c>
      <c r="E2787" s="15" t="n">
        <v>0.0581998825073242</v>
      </c>
      <c r="F2787" s="15" t="n">
        <v>0.261799991130829</v>
      </c>
      <c r="G2787" s="15" t="n">
        <v>4.13049983978271</v>
      </c>
      <c r="H2787" s="16">
        <f>C2787+E2787</f>
        <v/>
      </c>
    </row>
    <row r="2788">
      <c r="A2788" s="12" t="n">
        <v>46078</v>
      </c>
      <c r="B2788" s="15" t="n">
        <v>0.8650000095367431</v>
      </c>
      <c r="C2788" s="15" t="n">
        <v>0.563300013542175</v>
      </c>
      <c r="D2788" s="15" t="n">
        <v>2.64849996566772</v>
      </c>
      <c r="E2788" s="15" t="n">
        <v>0.0586999654769897</v>
      </c>
      <c r="F2788" s="15" t="n">
        <v>0.247600004076958</v>
      </c>
      <c r="G2788" s="15" t="n">
        <v>4.13549995422363</v>
      </c>
      <c r="H2788" s="16">
        <f>C2788+E2788</f>
        <v/>
      </c>
    </row>
    <row r="2789">
      <c r="A2789" s="12" t="n">
        <v>46079</v>
      </c>
      <c r="B2789" s="15" t="n">
        <v>0.854099988937378</v>
      </c>
      <c r="C2789" s="15" t="n">
        <v>0.5501999855041499</v>
      </c>
      <c r="D2789" s="15" t="n">
        <v>2.64030003547668</v>
      </c>
      <c r="E2789" s="15" t="n">
        <v>0.0556001663208008</v>
      </c>
      <c r="F2789" s="15" t="n">
        <v>0.23139999806881</v>
      </c>
      <c r="G2789" s="15" t="n">
        <v>4.10020017623901</v>
      </c>
      <c r="H2789" s="16">
        <f>C2789+E2789</f>
        <v/>
      </c>
    </row>
    <row r="2790">
      <c r="A2790" s="12" t="n">
        <v>46080</v>
      </c>
      <c r="B2790" s="15" t="n">
        <v>0.836700022220612</v>
      </c>
      <c r="C2790" s="15" t="n">
        <v>0.537000000476837</v>
      </c>
      <c r="D2790" s="15" t="n">
        <v>2.63120007514954</v>
      </c>
      <c r="E2790" s="15" t="n">
        <v>0.0525001287460327</v>
      </c>
      <c r="F2790" s="15" t="n">
        <v>0.235400006175041</v>
      </c>
      <c r="G2790" s="15" t="n">
        <v>4.05740022659302</v>
      </c>
      <c r="H2790" s="16">
        <f>C2790+E2790</f>
        <v/>
      </c>
    </row>
    <row r="2791">
      <c r="A2791" s="12" t="n">
        <v>46083</v>
      </c>
      <c r="B2791" s="15" t="n">
        <v>0.86679995059967</v>
      </c>
      <c r="C2791" s="15" t="n">
        <v>0.563300013542175</v>
      </c>
      <c r="D2791" s="15" t="n">
        <v>2.64930009841919</v>
      </c>
      <c r="E2791" s="15" t="n">
        <v>0.0584001541137695</v>
      </c>
      <c r="F2791" s="15" t="n">
        <v>0.235799998044968</v>
      </c>
      <c r="G2791" s="15" t="n">
        <v>4.1378002166748</v>
      </c>
      <c r="H2791" s="16">
        <f>C2791+E2791</f>
        <v/>
      </c>
    </row>
    <row r="2792">
      <c r="A2792" s="12" t="n">
        <v>46084</v>
      </c>
      <c r="B2792" s="15" t="n">
        <v>0.870999991893768</v>
      </c>
      <c r="C2792" s="15" t="n">
        <v>0.566600024700165</v>
      </c>
      <c r="D2792" s="15" t="n">
        <v>2.65120005607605</v>
      </c>
      <c r="E2792" s="15" t="n">
        <v>0.0592998266220093</v>
      </c>
      <c r="F2792" s="15" t="n">
        <v>0.233199998736382</v>
      </c>
      <c r="G2792" s="15" t="n">
        <v>4.14809989929199</v>
      </c>
      <c r="H2792" s="16">
        <f>C2792+E2792</f>
        <v/>
      </c>
    </row>
    <row r="2793">
      <c r="A2793" s="12" t="n">
        <v>46085</v>
      </c>
      <c r="B2793" s="15" t="n">
        <v>0.880399942398071</v>
      </c>
      <c r="C2793" s="15" t="n">
        <v>0.575500011444092</v>
      </c>
      <c r="D2793" s="15" t="n">
        <v>2.65659999847412</v>
      </c>
      <c r="E2793" s="15" t="n">
        <v>0.0614998340606689</v>
      </c>
      <c r="F2793" s="15" t="n">
        <v>0.246800005435944</v>
      </c>
      <c r="G2793" s="15" t="n">
        <v>4.17399978637695</v>
      </c>
      <c r="H2793" s="16">
        <f>C2793+E2793</f>
        <v/>
      </c>
    </row>
    <row r="2794">
      <c r="A2794" s="12" t="n">
        <v>46086</v>
      </c>
      <c r="B2794" s="15" t="n">
        <v>0.891999959945679</v>
      </c>
      <c r="C2794" s="15" t="n">
        <v>0.587700009346008</v>
      </c>
      <c r="D2794" s="15" t="n">
        <v>2.66380000114441</v>
      </c>
      <c r="E2794" s="15" t="n">
        <v>0.0647000074386597</v>
      </c>
      <c r="F2794" s="15" t="n">
        <v>0.221599996089935</v>
      </c>
      <c r="G2794" s="15" t="n">
        <v>4.20819997787476</v>
      </c>
      <c r="H2794" s="16">
        <f>C2794+E2794</f>
        <v/>
      </c>
    </row>
    <row r="2795">
      <c r="A2795" s="12" t="n">
        <v>46087</v>
      </c>
      <c r="B2795" s="15" t="n">
        <v>0.89300000667572</v>
      </c>
      <c r="C2795" s="15" t="n">
        <v>0.595499992370605</v>
      </c>
      <c r="D2795" s="15" t="n">
        <v>2.66720008850098</v>
      </c>
      <c r="E2795" s="15" t="n">
        <v>0.0667001008987427</v>
      </c>
      <c r="F2795" s="15" t="n">
        <v>0.189500004053116</v>
      </c>
      <c r="G2795" s="15" t="n">
        <v>4.22240018844604</v>
      </c>
      <c r="H2795" s="16">
        <f>C2795+E2795</f>
        <v/>
      </c>
    </row>
    <row r="2796">
      <c r="A2796" s="12" t="n">
        <v>46090</v>
      </c>
      <c r="B2796" s="15" t="n">
        <v>0.888600051403046</v>
      </c>
      <c r="C2796" s="15" t="n">
        <v>0.585799992084503</v>
      </c>
      <c r="D2796" s="15" t="n">
        <v>2.66190004348755</v>
      </c>
      <c r="E2796" s="15" t="n">
        <v>0.06439971923828119</v>
      </c>
      <c r="F2796" s="15" t="n">
        <v>0.185599997639656</v>
      </c>
      <c r="G2796" s="15" t="n">
        <v>4.20069980621338</v>
      </c>
      <c r="H2796" s="16">
        <f>C2796+E2796</f>
        <v/>
      </c>
    </row>
    <row r="2797">
      <c r="A2797" s="12" t="n">
        <v>46091</v>
      </c>
      <c r="B2797" s="15" t="n">
        <v>0.89599996805191</v>
      </c>
      <c r="C2797" s="15" t="n">
        <v>0.596499979496002</v>
      </c>
      <c r="D2797" s="15" t="n">
        <v>2.66829991340637</v>
      </c>
      <c r="E2797" s="15" t="n">
        <v>0.066900372505188</v>
      </c>
      <c r="F2797" s="15" t="n">
        <v>0.213699996471405</v>
      </c>
      <c r="G2797" s="15" t="n">
        <v>4.22770023345947</v>
      </c>
      <c r="H2797" s="16">
        <f>C2797+E2797</f>
        <v/>
      </c>
    </row>
    <row r="2798">
      <c r="A2798" s="12" t="n">
        <v>46092</v>
      </c>
      <c r="B2798" s="15" t="n">
        <v>0.915900051593781</v>
      </c>
      <c r="C2798" s="15" t="n">
        <v>0.6182000041008</v>
      </c>
      <c r="D2798" s="15" t="n">
        <v>2.68210005760193</v>
      </c>
      <c r="E2798" s="15" t="n">
        <v>0.07179999351501461</v>
      </c>
      <c r="F2798" s="15" t="n">
        <v>0.176899999380112</v>
      </c>
      <c r="G2798" s="15" t="n">
        <v>4.28800010681152</v>
      </c>
      <c r="H2798" s="16">
        <f>C2798+E2798</f>
        <v/>
      </c>
    </row>
    <row r="2799">
      <c r="A2799" s="12" t="n">
        <v>46093</v>
      </c>
      <c r="B2799" s="15" t="n">
        <v>0.946400046348572</v>
      </c>
      <c r="C2799" s="15" t="n">
        <v>0.643700003623962</v>
      </c>
      <c r="D2799" s="15" t="n">
        <v>2.69919991493225</v>
      </c>
      <c r="E2799" s="15" t="n">
        <v>0.0778999328613281</v>
      </c>
      <c r="F2799" s="15" t="n">
        <v>0.189999997615814</v>
      </c>
      <c r="G2799" s="15" t="n">
        <v>4.36719989776611</v>
      </c>
      <c r="H2799" s="16">
        <f>C2799+E2799</f>
        <v/>
      </c>
    </row>
    <row r="2800">
      <c r="A2800" s="12" t="n">
        <v>46094</v>
      </c>
      <c r="B2800" s="15" t="n">
        <v>0.946799993515015</v>
      </c>
      <c r="C2800" s="15" t="n">
        <v>0.648699998855591</v>
      </c>
      <c r="D2800" s="15" t="n">
        <v>2.70149993896484</v>
      </c>
      <c r="E2800" s="15" t="n">
        <v>0.0791001319885254</v>
      </c>
      <c r="F2800" s="15" t="n">
        <v>0.20440000295639</v>
      </c>
      <c r="G2800" s="15" t="n">
        <v>4.37610006332397</v>
      </c>
      <c r="H2800" s="16">
        <f>C2800+E2800</f>
        <v/>
      </c>
    </row>
    <row r="2801">
      <c r="A2801" s="12" t="n">
        <v>46097</v>
      </c>
      <c r="B2801" s="15" t="n">
        <v>0.927100002765656</v>
      </c>
      <c r="C2801" s="15" t="n">
        <v>0.621100008487701</v>
      </c>
      <c r="D2801" s="15" t="n">
        <v>2.68519997596741</v>
      </c>
      <c r="E2801" s="15" t="n">
        <v>0.0725001096725464</v>
      </c>
      <c r="F2801" s="15" t="n">
        <v>0.185000002384186</v>
      </c>
      <c r="G2801" s="15" t="n">
        <v>4.30590009689331</v>
      </c>
      <c r="H2801" s="16">
        <f>C2801+E2801</f>
        <v/>
      </c>
    </row>
    <row r="2802">
      <c r="A2802" s="12" t="n">
        <v>46098</v>
      </c>
      <c r="B2802" s="15" t="n">
        <v>0.921199977397919</v>
      </c>
      <c r="C2802" s="15" t="n">
        <v>0.612299978733063</v>
      </c>
      <c r="D2802" s="15" t="n">
        <v>2.68020009994507</v>
      </c>
      <c r="E2802" s="15" t="n">
        <v>0.0703999996185303</v>
      </c>
      <c r="F2802" s="15" t="n">
        <v>0.179700002074242</v>
      </c>
      <c r="G2802" s="15" t="n">
        <v>4.28410005569458</v>
      </c>
      <c r="H2802" s="16">
        <f>C2802+E2802</f>
        <v/>
      </c>
    </row>
    <row r="2803">
      <c r="A2803" s="12" t="n">
        <v>46099</v>
      </c>
      <c r="B2803" s="15" t="n">
        <v>0.945199966430664</v>
      </c>
      <c r="C2803" s="15" t="n">
        <v>0.632300019264221</v>
      </c>
      <c r="D2803" s="15" t="n">
        <v>2.69379997253418</v>
      </c>
      <c r="E2803" s="15" t="n">
        <v>0.0750001668930054</v>
      </c>
      <c r="F2803" s="15" t="n">
        <v>0.150000005960464</v>
      </c>
      <c r="G2803" s="15" t="n">
        <v>4.34630012512207</v>
      </c>
      <c r="H2803" s="16">
        <f>C2803+E2803</f>
        <v/>
      </c>
    </row>
    <row r="2804">
      <c r="A2804" s="12" t="n">
        <v>46100</v>
      </c>
      <c r="B2804" s="15" t="n">
        <v>0.950500011444092</v>
      </c>
      <c r="C2804" s="15" t="n">
        <v>0.629899978637695</v>
      </c>
      <c r="D2804" s="15" t="n">
        <v>2.69320011138916</v>
      </c>
      <c r="E2804" s="15" t="n">
        <v>0.0745997428894043</v>
      </c>
      <c r="F2804" s="15" t="n">
        <v>0.17620000243187</v>
      </c>
      <c r="G2804" s="15" t="n">
        <v>4.34819984436035</v>
      </c>
      <c r="H2804" s="16">
        <f>C2804+E2804</f>
        <v/>
      </c>
    </row>
    <row r="2805">
      <c r="A2805" s="12" t="n">
        <v>46101</v>
      </c>
      <c r="B2805" s="15" t="n">
        <v>0.998700022697449</v>
      </c>
      <c r="C2805" s="15" t="n">
        <v>0.683899998664856</v>
      </c>
      <c r="D2805" s="15" t="n">
        <v>2.72779989242554</v>
      </c>
      <c r="E2805" s="15" t="n">
        <v>0.08680009841918949</v>
      </c>
      <c r="F2805" s="15" t="n">
        <v>0.20100000500679</v>
      </c>
      <c r="G2805" s="15" t="n">
        <v>4.49720001220703</v>
      </c>
      <c r="H2805" s="16">
        <f>C2805+E2805</f>
        <v/>
      </c>
    </row>
    <row r="2806">
      <c r="A2806" s="12" t="n">
        <v>46104</v>
      </c>
      <c r="B2806" s="15" t="n">
        <v>0.981900036334991</v>
      </c>
      <c r="C2806" s="15" t="n">
        <v>0.668299973011017</v>
      </c>
      <c r="D2806" s="15" t="n">
        <v>2.71720004081726</v>
      </c>
      <c r="E2806" s="15" t="n">
        <v>0.08339989185333251</v>
      </c>
      <c r="F2806" s="15" t="n">
        <v>0.244800001382828</v>
      </c>
      <c r="G2806" s="15" t="n">
        <v>4.4507999420166</v>
      </c>
      <c r="H2806" s="16">
        <f>C2806+E2806</f>
        <v/>
      </c>
    </row>
    <row r="2807">
      <c r="A2807" s="12" t="n">
        <v>46105</v>
      </c>
      <c r="B2807" s="15" t="n">
        <v>0.999600052833557</v>
      </c>
      <c r="C2807" s="15" t="n">
        <v>0.682500004768372</v>
      </c>
      <c r="D2807" s="15" t="n">
        <v>2.72650003433228</v>
      </c>
      <c r="E2807" s="15" t="n">
        <v>0.08679986000061039</v>
      </c>
      <c r="F2807" s="15" t="n">
        <v>0.263599991798401</v>
      </c>
      <c r="G2807" s="15" t="n">
        <v>4.49539995193481</v>
      </c>
      <c r="H2807" s="16">
        <f>C2807+E2807</f>
        <v/>
      </c>
    </row>
    <row r="2808">
      <c r="A2808" s="12" t="n">
        <v>46106</v>
      </c>
      <c r="B2808" s="15" t="n">
        <v>0.976199984550476</v>
      </c>
      <c r="C2808" s="15" t="n">
        <v>0.657999992370605</v>
      </c>
      <c r="D2808" s="15" t="n">
        <v>2.70989990234375</v>
      </c>
      <c r="E2808" s="15" t="n">
        <v>0.0815001726150513</v>
      </c>
      <c r="F2808" s="15" t="n">
        <v>0.264299988746643</v>
      </c>
      <c r="G2808" s="15" t="n">
        <v>4.42560005187988</v>
      </c>
      <c r="H2808" s="16">
        <f>C2808+E2808</f>
        <v/>
      </c>
    </row>
    <row r="2809">
      <c r="A2809" s="12" t="n">
        <v>46107</v>
      </c>
      <c r="B2809" s="15" t="n">
        <v>1.01050001382828</v>
      </c>
      <c r="C2809" s="15" t="n">
        <v>0.692200005054474</v>
      </c>
      <c r="D2809" s="15" t="n">
        <v>2.73160004615784</v>
      </c>
      <c r="E2809" s="15" t="n">
        <v>0.08959996700286869</v>
      </c>
      <c r="F2809" s="15" t="n">
        <v>0.26010000705719</v>
      </c>
      <c r="G2809" s="15" t="n">
        <v>4.52390003204346</v>
      </c>
      <c r="H2809" s="16">
        <f>C2809+E2809</f>
        <v/>
      </c>
    </row>
    <row r="2810">
      <c r="A2810" s="12" t="n">
        <v>46108</v>
      </c>
      <c r="B2810" s="15" t="n">
        <v>1.00630003213882</v>
      </c>
      <c r="C2810" s="15" t="n">
        <v>0.699500024318695</v>
      </c>
      <c r="D2810" s="15" t="n">
        <v>2.73449993133545</v>
      </c>
      <c r="E2810" s="15" t="n">
        <v>0.091400146484375</v>
      </c>
      <c r="F2810" s="15" t="n">
        <v>0.280200004577637</v>
      </c>
      <c r="G2810" s="15" t="n">
        <v>4.53170013427734</v>
      </c>
      <c r="H2810" s="16">
        <f>C2810+E2810</f>
        <v/>
      </c>
    </row>
    <row r="2811">
      <c r="A2811" s="12" t="n">
        <v>46111</v>
      </c>
      <c r="B2811" s="15" t="n">
        <v>0.975799977779388</v>
      </c>
      <c r="C2811" s="15" t="n">
        <v>0.662599980831146</v>
      </c>
      <c r="D2811" s="15" t="n">
        <v>2.71189999580383</v>
      </c>
      <c r="E2811" s="15" t="n">
        <v>0.08259999752044681</v>
      </c>
      <c r="F2811" s="15" t="n">
        <v>0.258500009775162</v>
      </c>
      <c r="G2811" s="15" t="n">
        <v>4.43289995193481</v>
      </c>
      <c r="H2811" s="16">
        <f>C2811+E2811</f>
        <v/>
      </c>
    </row>
    <row r="2812">
      <c r="A2812" s="12" t="n">
        <v>46112</v>
      </c>
      <c r="B2812" s="15" t="n">
        <v>0.960200011730194</v>
      </c>
      <c r="C2812" s="15" t="n">
        <v>0.645500004291534</v>
      </c>
      <c r="D2812" s="15" t="n">
        <v>2.7014000415802</v>
      </c>
      <c r="E2812" s="15" t="n">
        <v>0.0786001682281494</v>
      </c>
      <c r="F2812" s="15" t="n">
        <v>0.255199998617172</v>
      </c>
      <c r="G2812" s="15" t="n">
        <v>4.38570022583008</v>
      </c>
      <c r="H2812" s="16">
        <f>C2812+E2812</f>
        <v/>
      </c>
    </row>
    <row r="2813">
      <c r="A2813" s="12" t="n">
        <v>46113</v>
      </c>
      <c r="B2813" s="15" t="n">
        <v>0.97189998626709</v>
      </c>
      <c r="C2813" s="15" t="n">
        <v>0.662400007247925</v>
      </c>
      <c r="D2813" s="15" t="n">
        <v>2.71160006523132</v>
      </c>
      <c r="E2813" s="15" t="n">
        <v>0.0824999809265137</v>
      </c>
      <c r="F2813" s="15" t="n">
        <v>0.26460000872612</v>
      </c>
      <c r="G2813" s="15" t="n">
        <v>4.42840003967285</v>
      </c>
      <c r="H2813" s="16">
        <f>C2813+E2813</f>
        <v/>
      </c>
    </row>
    <row r="2814">
      <c r="A2814" s="12" t="n">
        <v>46114</v>
      </c>
      <c r="B2814" s="15" t="n">
        <v>0.9630999565124509</v>
      </c>
      <c r="C2814" s="15" t="n">
        <v>0.648800015449524</v>
      </c>
      <c r="D2814" s="15" t="n">
        <v>2.70350003242493</v>
      </c>
      <c r="E2814" s="15" t="n">
        <v>0.07930004596710211</v>
      </c>
      <c r="F2814" s="15" t="n">
        <v>0.234999999403954</v>
      </c>
      <c r="G2814" s="15" t="n">
        <v>4.394700050354</v>
      </c>
      <c r="H2814" s="16">
        <f>C2814+E2814</f>
        <v/>
      </c>
    </row>
    <row r="2815">
      <c r="A2815" s="12" t="n">
        <v>46115</v>
      </c>
      <c r="B2815" s="15" t="n">
        <v>0.979399979114532</v>
      </c>
      <c r="C2815" s="15" t="n">
        <v>0.664200007915497</v>
      </c>
      <c r="D2815" s="15" t="n">
        <v>2.71379995346069</v>
      </c>
      <c r="E2815" s="15" t="n">
        <v>0.0827999114990234</v>
      </c>
      <c r="F2815" s="15" t="n">
        <v>0.223900005221367</v>
      </c>
      <c r="G2815" s="15" t="n">
        <v>4.44019985198975</v>
      </c>
      <c r="H2815" s="16">
        <f>C2815+E2815</f>
        <v/>
      </c>
    </row>
    <row r="2816">
      <c r="A2816" s="12" t="n">
        <v>46118</v>
      </c>
      <c r="B2816" s="15" t="n">
        <v>0.977499961853027</v>
      </c>
      <c r="C2816" s="15" t="n">
        <v>0.658200025558472</v>
      </c>
      <c r="D2816" s="15" t="n">
        <v>2.71050000190735</v>
      </c>
      <c r="E2816" s="15" t="n">
        <v>0.0813999176025391</v>
      </c>
      <c r="F2816" s="15" t="n">
        <v>0.227300003170967</v>
      </c>
      <c r="G2816" s="15" t="n">
        <v>4.42759990692139</v>
      </c>
      <c r="H2816" s="16">
        <f>C2816+E2816</f>
        <v/>
      </c>
    </row>
    <row r="2817">
      <c r="A2817" s="12" t="n">
        <v>46119</v>
      </c>
      <c r="B2817" s="15" t="n">
        <v>0.969099998474121</v>
      </c>
      <c r="C2817" s="15" t="n">
        <v>0.654299974441528</v>
      </c>
      <c r="D2817" s="15" t="n">
        <v>2.70709991455078</v>
      </c>
      <c r="E2817" s="15" t="n">
        <v>0.08060002326965331</v>
      </c>
      <c r="F2817" s="15" t="n">
        <v>0.217600002884865</v>
      </c>
      <c r="G2817" s="15" t="n">
        <v>4.41109991073608</v>
      </c>
      <c r="H2817" s="16">
        <f>C2817+E2817</f>
        <v/>
      </c>
    </row>
    <row r="2818">
      <c r="A2818" s="12" t="n">
        <v>46120</v>
      </c>
      <c r="B2818" s="15" t="n">
        <v>0.95930004119873</v>
      </c>
      <c r="C2818" s="15" t="n">
        <v>0.644400000572205</v>
      </c>
      <c r="D2818" s="15" t="n">
        <v>2.70090007781982</v>
      </c>
      <c r="E2818" s="15" t="n">
        <v>0.0783001184463501</v>
      </c>
      <c r="F2818" s="15" t="n">
        <v>0.243100002408028</v>
      </c>
      <c r="G2818" s="15" t="n">
        <v>4.38290023803711</v>
      </c>
      <c r="H2818" s="16">
        <f>C2818+E2818</f>
        <v/>
      </c>
    </row>
    <row r="2819">
      <c r="A2819" s="12" t="n">
        <v>46121</v>
      </c>
      <c r="B2819" s="15" t="n">
        <v>0.95550000667572</v>
      </c>
      <c r="C2819" s="15" t="n">
        <v>0.644999980926514</v>
      </c>
      <c r="D2819" s="15" t="n">
        <v>2.70050001144409</v>
      </c>
      <c r="E2819" s="15" t="n">
        <v>0.07849991321563719</v>
      </c>
      <c r="F2819" s="15" t="n">
        <v>0.237900003790855</v>
      </c>
      <c r="G2819" s="15" t="n">
        <v>4.37949991226196</v>
      </c>
      <c r="H2819" s="16">
        <f>C2819+E2819</f>
        <v/>
      </c>
    </row>
    <row r="2820">
      <c r="A2820" s="12" t="n">
        <v>46122</v>
      </c>
      <c r="B2820" s="15" t="n">
        <v>0.963900029659271</v>
      </c>
      <c r="C2820" s="15" t="n">
        <v>0.653199970722198</v>
      </c>
      <c r="D2820" s="15" t="n">
        <v>2.70589995384216</v>
      </c>
      <c r="E2820" s="15" t="n">
        <v>0.08029985427856449</v>
      </c>
      <c r="F2820" s="15" t="n">
        <v>0.225899994373322</v>
      </c>
      <c r="G2820" s="15" t="n">
        <v>4.4032998085022</v>
      </c>
      <c r="H2820" s="16">
        <f>C2820+E2820</f>
        <v/>
      </c>
    </row>
    <row r="2821">
      <c r="A2821" s="12" t="n">
        <v>46125</v>
      </c>
      <c r="B2821" s="15" t="n">
        <v>0.958899974822998</v>
      </c>
      <c r="C2821" s="15" t="n">
        <v>0.642799973487854</v>
      </c>
      <c r="D2821" s="15" t="n">
        <v>2.70050001144409</v>
      </c>
      <c r="E2821" s="15" t="n">
        <v>0.07759988307952879</v>
      </c>
      <c r="F2821" s="15" t="n">
        <v>0.202500000596046</v>
      </c>
      <c r="G2821" s="15" t="n">
        <v>4.37979984283447</v>
      </c>
      <c r="H2821" s="16">
        <f>C2821+E2821</f>
        <v/>
      </c>
    </row>
    <row r="2822">
      <c r="A2822" s="12" t="n">
        <v>46126</v>
      </c>
      <c r="B2822" s="15" t="n">
        <v>0.9442999958992</v>
      </c>
      <c r="C2822" s="15" t="n">
        <v>0.626800000667572</v>
      </c>
      <c r="D2822" s="15" t="n">
        <v>2.69039988517761</v>
      </c>
      <c r="E2822" s="15" t="n">
        <v>0.07399988174438479</v>
      </c>
      <c r="F2822" s="15" t="n">
        <v>0.202199995517731</v>
      </c>
      <c r="G2822" s="15" t="n">
        <v>4.33549976348877</v>
      </c>
      <c r="H2822" s="16">
        <f>C2822+E2822</f>
        <v/>
      </c>
    </row>
    <row r="2823">
      <c r="A2823" s="12" t="n">
        <v>46127</v>
      </c>
      <c r="B2823" s="15" t="n">
        <v>0.95250004529953</v>
      </c>
      <c r="C2823" s="15" t="n">
        <v>0.636900007724762</v>
      </c>
      <c r="D2823" s="15" t="n">
        <v>2.69689989089966</v>
      </c>
      <c r="E2823" s="15" t="n">
        <v>0.0762002468109131</v>
      </c>
      <c r="F2823" s="15" t="n">
        <v>0.202800005674362</v>
      </c>
      <c r="G2823" s="15" t="n">
        <v>4.36250019073486</v>
      </c>
      <c r="H2823" s="16">
        <f>C2823+E2823</f>
        <v/>
      </c>
    </row>
    <row r="2824">
      <c r="A2824" s="12" t="n">
        <v>46128</v>
      </c>
      <c r="B2824" s="15" t="n">
        <v>0.959299981594086</v>
      </c>
      <c r="C2824" s="15" t="n">
        <v>0.651799976825714</v>
      </c>
      <c r="D2824" s="15" t="n">
        <v>2.70510005950928</v>
      </c>
      <c r="E2824" s="15" t="n">
        <v>0.07969975471496581</v>
      </c>
      <c r="F2824" s="15" t="n">
        <v>0.210800006985664</v>
      </c>
      <c r="G2824" s="15" t="n">
        <v>4.39589977264404</v>
      </c>
      <c r="H2824" s="16">
        <f>C2824+E2824</f>
        <v/>
      </c>
    </row>
    <row r="2825">
      <c r="A2825" s="12" t="n">
        <v>46129</v>
      </c>
      <c r="B2825" s="15" t="n">
        <v>0.935300052165985</v>
      </c>
      <c r="C2825" s="15" t="n">
        <v>0.633300006389618</v>
      </c>
      <c r="D2825" s="15" t="n">
        <v>2.69180011749268</v>
      </c>
      <c r="E2825" s="15" t="n">
        <v>0.0756999254226685</v>
      </c>
      <c r="F2825" s="15" t="n">
        <v>0.238800004124641</v>
      </c>
      <c r="G2825" s="15" t="n">
        <v>4.33610010147095</v>
      </c>
      <c r="H2825" s="16">
        <f>C2825+E2825</f>
        <v/>
      </c>
    </row>
    <row r="2826">
      <c r="A2826" s="12" t="n">
        <v>46132</v>
      </c>
      <c r="B2826" s="15" t="n">
        <v>0.939999997615814</v>
      </c>
      <c r="C2826" s="15" t="n">
        <v>0.629100024700165</v>
      </c>
      <c r="D2826" s="15" t="n">
        <v>2.69120001792908</v>
      </c>
      <c r="E2826" s="15" t="n">
        <v>0.0744000673294067</v>
      </c>
      <c r="F2826" s="15" t="n">
        <v>0.2432000041008</v>
      </c>
      <c r="G2826" s="15" t="n">
        <v>4.33470010757446</v>
      </c>
      <c r="H2826" s="16">
        <f>C2826+E2826</f>
        <v/>
      </c>
    </row>
    <row r="2827">
      <c r="A2827" s="12" t="n">
        <v>46133</v>
      </c>
      <c r="B2827" s="15" t="n">
        <v>0.955199956893921</v>
      </c>
      <c r="C2827" s="15" t="n">
        <v>0.640799999237061</v>
      </c>
      <c r="D2827" s="15" t="n">
        <v>2.69930005073547</v>
      </c>
      <c r="E2827" s="15" t="n">
        <v>0.0770998001098633</v>
      </c>
      <c r="F2827" s="15" t="n">
        <v>0.217700004577637</v>
      </c>
      <c r="G2827" s="15" t="n">
        <v>4.37239980697632</v>
      </c>
      <c r="H2827" s="16">
        <f>C2827+E2827</f>
        <v/>
      </c>
    </row>
    <row r="2828">
      <c r="A2828" s="12" t="n">
        <v>46134</v>
      </c>
      <c r="B2828" s="15" t="n">
        <v>0.957299947738647</v>
      </c>
      <c r="C2828" s="15" t="n">
        <v>0.64520001411438</v>
      </c>
      <c r="D2828" s="15" t="n">
        <v>2.7014000415802</v>
      </c>
      <c r="E2828" s="15" t="n">
        <v>0.0782997608184814</v>
      </c>
      <c r="F2828" s="15" t="n">
        <v>0.201800003647804</v>
      </c>
      <c r="G2828" s="15" t="n">
        <v>4.38219976425171</v>
      </c>
      <c r="H2828" s="16">
        <f>C2828+E2828</f>
        <v/>
      </c>
    </row>
    <row r="2829">
      <c r="A2829" s="12" t="n">
        <v>46135</v>
      </c>
      <c r="B2829" s="15" t="n">
        <v>0.970499932765961</v>
      </c>
      <c r="C2829" s="15" t="n">
        <v>0.657800018787384</v>
      </c>
      <c r="D2829" s="15" t="n">
        <v>2.7095000743866</v>
      </c>
      <c r="E2829" s="15" t="n">
        <v>0.08120012283325199</v>
      </c>
      <c r="F2829" s="15" t="n">
        <v>0.181700006127357</v>
      </c>
      <c r="G2829" s="15" t="n">
        <v>4.41900014877319</v>
      </c>
      <c r="H2829" s="16">
        <f>C2829+E2829</f>
        <v/>
      </c>
    </row>
    <row r="2830">
      <c r="A2830" s="12" t="n">
        <v>46136</v>
      </c>
      <c r="B2830" s="15" t="n">
        <v>0.957499980926514</v>
      </c>
      <c r="C2830" s="15" t="n">
        <v>0.646499991416931</v>
      </c>
      <c r="D2830" s="15" t="n">
        <v>2.70180010795593</v>
      </c>
      <c r="E2830" s="15" t="n">
        <v>0.0785998106002808</v>
      </c>
      <c r="F2830" s="15" t="n">
        <v>0.161200001835823</v>
      </c>
      <c r="G2830" s="15" t="n">
        <v>4.38439989089966</v>
      </c>
      <c r="H2830" s="16">
        <f>C2830+E2830</f>
        <v/>
      </c>
    </row>
    <row r="2831">
      <c r="A2831" s="12" t="n">
        <v>46139</v>
      </c>
      <c r="B2831" s="15" t="n">
        <v>0.969000041484833</v>
      </c>
      <c r="C2831" s="15" t="n">
        <v>0.661199986934662</v>
      </c>
      <c r="D2831" s="15" t="n">
        <v>2.71099996566772</v>
      </c>
      <c r="E2831" s="15" t="n">
        <v>0.0820001363754272</v>
      </c>
      <c r="F2831" s="15" t="n">
        <v>0.151600003242493</v>
      </c>
      <c r="G2831" s="15" t="n">
        <v>4.42320013046265</v>
      </c>
      <c r="H2831" s="16">
        <f>C2831+E2831</f>
        <v/>
      </c>
    </row>
    <row r="2832">
      <c r="A2832" s="12" t="n">
        <v>46140</v>
      </c>
      <c r="B2832" s="15" t="n">
        <v>0.978600025177002</v>
      </c>
      <c r="C2832" s="15" t="n">
        <v>0.668900012969971</v>
      </c>
      <c r="D2832" s="15" t="n">
        <v>2.71620011329651</v>
      </c>
      <c r="E2832" s="15" t="n">
        <v>0.08380007743835451</v>
      </c>
      <c r="F2832" s="15" t="n">
        <v>0.149900004267693</v>
      </c>
      <c r="G2832" s="15" t="n">
        <v>4.44750022888184</v>
      </c>
      <c r="H2832" s="16">
        <f>C2832+E2832</f>
        <v/>
      </c>
    </row>
    <row r="2833">
      <c r="A2833" s="12" t="n">
        <v>46141</v>
      </c>
      <c r="B2833" s="15" t="n">
        <v>0.999999940395355</v>
      </c>
      <c r="C2833" s="15" t="n">
        <v>0.691600024700165</v>
      </c>
      <c r="D2833" s="15" t="n">
        <v>2.73020005226135</v>
      </c>
      <c r="E2833" s="15" t="n">
        <v>0.0892997980117798</v>
      </c>
      <c r="F2833" s="15" t="n">
        <v>0.142100006341934</v>
      </c>
      <c r="G2833" s="15" t="n">
        <v>4.51109981536865</v>
      </c>
      <c r="H2833" s="16">
        <f>C2833+E2833</f>
        <v/>
      </c>
    </row>
    <row r="2834">
      <c r="A2834" s="12" t="n">
        <v>46142</v>
      </c>
      <c r="B2834" s="15" t="n">
        <v>0.988599956035614</v>
      </c>
      <c r="C2834" s="15" t="n">
        <v>0.685699999332428</v>
      </c>
      <c r="D2834" s="15" t="n">
        <v>2.72499990463257</v>
      </c>
      <c r="E2834" s="15" t="n">
        <v>0.0882003307342529</v>
      </c>
      <c r="F2834" s="15" t="n">
        <v>0.13910000026226</v>
      </c>
      <c r="G2834" s="15" t="n">
        <v>4.48750019073486</v>
      </c>
      <c r="H2834" s="16">
        <f>C2834+E2834</f>
        <v/>
      </c>
    </row>
    <row r="2835">
      <c r="A2835" s="12" t="n">
        <v>46143</v>
      </c>
      <c r="B2835" s="15" t="n">
        <v>0.9877999424934391</v>
      </c>
      <c r="C2835" s="15" t="n">
        <v>0.681500017642975</v>
      </c>
      <c r="D2835" s="15" t="n">
        <v>2.7228000164032</v>
      </c>
      <c r="E2835" s="15" t="n">
        <v>0.0870999097824097</v>
      </c>
      <c r="F2835" s="15" t="n">
        <v>0.115500003099442</v>
      </c>
      <c r="G2835" s="15" t="n">
        <v>4.47919988632202</v>
      </c>
      <c r="H2835" s="16">
        <f>C2835+E2835</f>
        <v/>
      </c>
    </row>
    <row r="2836">
      <c r="A2836" s="12" t="n">
        <v>46146</v>
      </c>
      <c r="B2836" s="15" t="n">
        <v>1.01099997758865</v>
      </c>
      <c r="C2836" s="15" t="n">
        <v>0.703599989414215</v>
      </c>
      <c r="D2836" s="15" t="n">
        <v>2.73749995231628</v>
      </c>
      <c r="E2836" s="15" t="n">
        <v>0.09220016002655031</v>
      </c>
      <c r="F2836" s="15" t="n">
        <v>0.109200000762939</v>
      </c>
      <c r="G2836" s="15" t="n">
        <v>4.5443000793457</v>
      </c>
      <c r="H2836" s="16">
        <f>C2836+E2836</f>
        <v/>
      </c>
    </row>
    <row r="2837">
      <c r="A2837" s="12" t="n">
        <v>46147</v>
      </c>
      <c r="B2837" s="15" t="n">
        <v>1.00569999217987</v>
      </c>
      <c r="C2837" s="15" t="n">
        <v>0.699000000953674</v>
      </c>
      <c r="D2837" s="15" t="n">
        <v>2.7341001033783</v>
      </c>
      <c r="E2837" s="15" t="n">
        <v>0.0912997722625732</v>
      </c>
      <c r="F2837" s="15" t="n">
        <v>0.140100002288818</v>
      </c>
      <c r="G2837" s="15" t="n">
        <v>4.53009986877441</v>
      </c>
      <c r="H2837" s="16">
        <f>C2837+E2837</f>
        <v/>
      </c>
    </row>
    <row r="2838">
      <c r="A2838" s="12" t="n">
        <v>46148</v>
      </c>
      <c r="B2838" s="15" t="n">
        <v>0.980400025844574</v>
      </c>
      <c r="C2838" s="15" t="n">
        <v>0.671899974346161</v>
      </c>
      <c r="D2838" s="15" t="n">
        <v>2.71659994125366</v>
      </c>
      <c r="E2838" s="15" t="n">
        <v>0.0851000547409058</v>
      </c>
      <c r="F2838" s="15" t="n">
        <v>0.187099993228912</v>
      </c>
      <c r="G2838" s="15" t="n">
        <v>4.4539999961853</v>
      </c>
      <c r="H2838" s="16">
        <f>C2838+E2838</f>
        <v/>
      </c>
    </row>
    <row r="2839">
      <c r="A2839" s="12" t="n">
        <v>46149</v>
      </c>
      <c r="B2839" s="15" t="n">
        <v>0.993199944496155</v>
      </c>
      <c r="C2839" s="15" t="n">
        <v>0.684800028800964</v>
      </c>
      <c r="D2839" s="15" t="n">
        <v>2.72480010986328</v>
      </c>
      <c r="E2839" s="15" t="n">
        <v>0.0882000923156738</v>
      </c>
      <c r="F2839" s="15" t="n">
        <v>0.179499998688698</v>
      </c>
      <c r="G2839" s="15" t="n">
        <v>4.49100017547607</v>
      </c>
      <c r="H2839" s="16">
        <f>C2839+E2839</f>
        <v/>
      </c>
    </row>
    <row r="2840">
      <c r="A2840" s="12" t="n">
        <v>46150</v>
      </c>
      <c r="B2840" s="15" t="n">
        <v>0.983800053596497</v>
      </c>
      <c r="C2840" s="15" t="n">
        <v>0.6730999946594241</v>
      </c>
      <c r="D2840" s="15" t="n">
        <v>2.7172999382019</v>
      </c>
      <c r="E2840" s="15" t="n">
        <v>0.0855001211166382</v>
      </c>
      <c r="F2840" s="15" t="n">
        <v>0.168699994683266</v>
      </c>
      <c r="G2840" s="15" t="n">
        <v>4.45970010757446</v>
      </c>
      <c r="H2840" s="16">
        <f>C2840+E2840</f>
        <v/>
      </c>
    </row>
    <row r="2841">
      <c r="A2841" s="12" t="n">
        <v>46153</v>
      </c>
      <c r="B2841" s="15" t="n">
        <v>1.0025999546051</v>
      </c>
      <c r="C2841" s="15" t="n">
        <v>0.687600016593933</v>
      </c>
      <c r="D2841" s="15" t="n">
        <v>2.72790002822876</v>
      </c>
      <c r="E2841" s="15" t="n">
        <v>0.0886000394821167</v>
      </c>
      <c r="F2841" s="15" t="n">
        <v>0.152099996805191</v>
      </c>
      <c r="G2841" s="15" t="n">
        <v>4.50670003890991</v>
      </c>
      <c r="H2841" s="16">
        <f>C2841+E2841</f>
        <v/>
      </c>
    </row>
    <row r="2842">
      <c r="A2842" s="12" t="n">
        <v>46154</v>
      </c>
      <c r="B2842" s="15" t="n">
        <v>1.02100002765656</v>
      </c>
      <c r="C2842" s="15" t="n">
        <v>0.709100008010864</v>
      </c>
      <c r="D2842" s="15" t="n">
        <v>2.74130010604858</v>
      </c>
      <c r="E2842" s="15" t="n">
        <v>0.09359991550445559</v>
      </c>
      <c r="F2842" s="15" t="n">
        <v>0.135600000619888</v>
      </c>
      <c r="G2842" s="15" t="n">
        <v>4.56500005722046</v>
      </c>
      <c r="H2842" s="16">
        <f>C2842+E2842</f>
        <v/>
      </c>
    </row>
    <row r="2843">
      <c r="A2843" s="12" t="n">
        <v>46155</v>
      </c>
      <c r="B2843" s="15" t="n">
        <v>1.02090001106262</v>
      </c>
      <c r="C2843" s="15" t="n">
        <v>0.711199998855591</v>
      </c>
      <c r="D2843" s="15" t="n">
        <v>2.74230003356934</v>
      </c>
      <c r="E2843" s="15" t="n">
        <v>0.09420013427734381</v>
      </c>
      <c r="F2843" s="15" t="n">
        <v>0.150099992752075</v>
      </c>
      <c r="G2843" s="15" t="n">
        <v>4.56860017776489</v>
      </c>
      <c r="H2843" s="16">
        <f>C2843+E2843</f>
        <v/>
      </c>
    </row>
    <row r="2844">
      <c r="A2844" s="12" t="n">
        <v>46156</v>
      </c>
      <c r="B2844" s="15" t="n">
        <v>1.02150005102158</v>
      </c>
      <c r="C2844" s="15" t="n">
        <v>0.712199985980988</v>
      </c>
      <c r="D2844" s="15" t="n">
        <v>2.74239993095398</v>
      </c>
      <c r="E2844" s="15" t="n">
        <v>0.0946002006530762</v>
      </c>
      <c r="F2844" s="15" t="n">
        <v>0.168699994683266</v>
      </c>
      <c r="G2844" s="15" t="n">
        <v>4.57070016860962</v>
      </c>
      <c r="H2844" s="16">
        <f>C2844+E2844</f>
        <v/>
      </c>
    </row>
    <row r="2845">
      <c r="A2845" s="12" t="n">
        <v>46157</v>
      </c>
      <c r="B2845" s="15" t="n">
        <v>1.06400007009506</v>
      </c>
      <c r="C2845" s="15" t="n">
        <v>0.762499988079071</v>
      </c>
      <c r="D2845" s="15" t="n">
        <v>2.77390003204346</v>
      </c>
      <c r="E2845" s="15" t="n">
        <v>0.106200098991394</v>
      </c>
      <c r="F2845" s="15" t="n">
        <v>0.159700006246567</v>
      </c>
      <c r="G2845" s="15" t="n">
        <v>4.70660018920898</v>
      </c>
      <c r="H2845" s="16">
        <f>C2845+E2845</f>
        <v/>
      </c>
    </row>
    <row r="2846">
      <c r="A2846" s="12" t="n">
        <v>46160</v>
      </c>
      <c r="B2846" s="15" t="n">
        <v>1.06699997186661</v>
      </c>
      <c r="C2846" s="15" t="n">
        <v>0.768199980258942</v>
      </c>
      <c r="D2846" s="15" t="n">
        <v>2.77699995040894</v>
      </c>
      <c r="E2846" s="15" t="n">
        <v>0.107600092887878</v>
      </c>
      <c r="F2846" s="15" t="n">
        <v>0.173199996352196</v>
      </c>
      <c r="G2846" s="15" t="n">
        <v>4.71979999542236</v>
      </c>
      <c r="H2846" s="16">
        <f>C2846+E2846</f>
        <v/>
      </c>
    </row>
    <row r="2847">
      <c r="A2847" s="12" t="n">
        <v>46161</v>
      </c>
      <c r="B2847" s="15" t="n">
        <v>1.08700001239777</v>
      </c>
      <c r="C2847" s="15" t="n">
        <v>0.792999982833862</v>
      </c>
      <c r="D2847" s="15" t="n">
        <v>2.79220008850098</v>
      </c>
      <c r="E2847" s="15" t="n">
        <v>0.113400101661682</v>
      </c>
      <c r="F2847" s="15" t="n">
        <v>0.18860000371933</v>
      </c>
      <c r="G2847" s="15" t="n">
        <v>4.78560018539429</v>
      </c>
      <c r="H2847" s="16">
        <f>C2847+E2847</f>
        <v/>
      </c>
    </row>
    <row r="2848">
      <c r="A2848" s="12" t="n">
        <v>46162</v>
      </c>
      <c r="B2848" s="15" t="n">
        <v>1.05209994316101</v>
      </c>
      <c r="C2848" s="15" t="n">
        <v>0.757300019264221</v>
      </c>
      <c r="D2848" s="15" t="n">
        <v>2.76850008964539</v>
      </c>
      <c r="E2848" s="15" t="n">
        <v>0.105500102043152</v>
      </c>
      <c r="F2848" s="15" t="n">
        <v>0.211799994111061</v>
      </c>
      <c r="G2848" s="15" t="n">
        <v>4.68340015411377</v>
      </c>
      <c r="H2848" s="16">
        <f>C2848+E2848</f>
        <v/>
      </c>
    </row>
    <row r="2849">
      <c r="A2849" s="12" t="n">
        <v>46163</v>
      </c>
      <c r="B2849" s="15" t="n">
        <v>1.05870002508163</v>
      </c>
      <c r="C2849" s="15" t="n">
        <v>0.754700005054474</v>
      </c>
      <c r="D2849" s="15" t="n">
        <v>2.76869988441467</v>
      </c>
      <c r="E2849" s="15" t="n">
        <v>0.104500293731689</v>
      </c>
      <c r="F2849" s="15" t="n">
        <v>0.251500010490417</v>
      </c>
      <c r="G2849" s="15" t="n">
        <v>4.68660020828247</v>
      </c>
      <c r="H2849" s="16">
        <f>C2849+E2849</f>
        <v/>
      </c>
    </row>
    <row r="2850">
      <c r="A2850" s="12" t="n">
        <v>46164</v>
      </c>
      <c r="B2850" s="15" t="n">
        <v>1.06099998950958</v>
      </c>
      <c r="C2850" s="15" t="n">
        <v>0.748399972915649</v>
      </c>
      <c r="D2850" s="15" t="n">
        <v>2.76550006866455</v>
      </c>
      <c r="E2850" s="15" t="n">
        <v>0.103200078010559</v>
      </c>
      <c r="F2850" s="15" t="n">
        <v>0.270799994468689</v>
      </c>
      <c r="G2850" s="15" t="n">
        <v>4.67810010910034</v>
      </c>
      <c r="H2850" s="16">
        <f>C2850+E2850</f>
        <v/>
      </c>
    </row>
    <row r="2851">
      <c r="A2851" s="12" t="n">
        <v>46168</v>
      </c>
      <c r="B2851" s="15" t="n">
        <v>1.03690004348755</v>
      </c>
      <c r="C2851" s="15" t="n">
        <v>0.716799974441528</v>
      </c>
      <c r="D2851" s="15" t="n">
        <v>2.74629998207092</v>
      </c>
      <c r="E2851" s="15" t="n">
        <v>0.09600019454956051</v>
      </c>
      <c r="F2851" s="15" t="n">
        <v>0.254099994897842</v>
      </c>
      <c r="G2851" s="15" t="n">
        <v>4.59600019454956</v>
      </c>
      <c r="H2851" s="16">
        <f>C2851+E2851</f>
        <v/>
      </c>
    </row>
    <row r="2852">
      <c r="A2852" s="12" t="n">
        <v>46169</v>
      </c>
      <c r="B2852" s="15" t="n">
        <v>1.0310999751091</v>
      </c>
      <c r="C2852" s="15" t="n">
        <v>0.7110000252723691</v>
      </c>
      <c r="D2852" s="15" t="n">
        <v>2.74259996414185</v>
      </c>
      <c r="E2852" s="15" t="n">
        <v>0.0945999622344971</v>
      </c>
      <c r="F2852" s="15" t="n">
        <v>0.250200003385544</v>
      </c>
      <c r="G2852" s="15" t="n">
        <v>4.57929992675781</v>
      </c>
      <c r="H2852" s="16">
        <f>C2852+E2852</f>
        <v/>
      </c>
    </row>
    <row r="2853">
      <c r="A2853" s="12" t="n">
        <v>46170</v>
      </c>
      <c r="B2853" s="15" t="n">
        <v>1.02350002527237</v>
      </c>
      <c r="C2853" s="15" t="n">
        <v>0.700699985027313</v>
      </c>
      <c r="D2853" s="15" t="n">
        <v>2.73620009422302</v>
      </c>
      <c r="E2853" s="15" t="n">
        <v>0.0921998023986816</v>
      </c>
      <c r="F2853" s="15" t="n">
        <v>0.241400003433228</v>
      </c>
      <c r="G2853" s="15" t="n">
        <v>4.55259990692139</v>
      </c>
      <c r="H2853" s="16">
        <f>C2853+E2853</f>
        <v/>
      </c>
    </row>
    <row r="2854">
      <c r="A2854" s="12" t="n">
        <v>46171</v>
      </c>
      <c r="B2854" s="15" t="n">
        <v>1.01900005340576</v>
      </c>
      <c r="C2854" s="15" t="n">
        <v>0.698300004005432</v>
      </c>
      <c r="D2854" s="15" t="n">
        <v>2.73440003395081</v>
      </c>
      <c r="E2854" s="15" t="n">
        <v>0.0916000604629517</v>
      </c>
      <c r="F2854" s="15" t="n">
        <v>0.250699996948242</v>
      </c>
      <c r="G2854" s="15" t="n">
        <v>4.54330015182495</v>
      </c>
      <c r="H2854" s="16">
        <f>C2854+E2854</f>
        <v/>
      </c>
    </row>
    <row r="2855">
      <c r="A2855" s="12" t="n">
        <v>46174</v>
      </c>
      <c r="B2855" s="15" t="n">
        <v>1.03219997882843</v>
      </c>
      <c r="C2855" s="15" t="n">
        <v>0.705399990081787</v>
      </c>
      <c r="D2855" s="15" t="n">
        <v>2.74029994010925</v>
      </c>
      <c r="E2855" s="15" t="n">
        <v>0.09310019016265871</v>
      </c>
      <c r="F2855" s="15" t="n">
        <v>0.247400000691414</v>
      </c>
      <c r="G2855" s="15" t="n">
        <v>4.57100009918213</v>
      </c>
      <c r="H2855" s="16">
        <f>C2855+E2855</f>
        <v/>
      </c>
    </row>
    <row r="2856">
      <c r="A2856" s="12" t="n">
        <v>46175</v>
      </c>
      <c r="B2856" s="15" t="n">
        <v>1.02759999036789</v>
      </c>
      <c r="C2856" s="15" t="n">
        <v>0.700200021266937</v>
      </c>
      <c r="D2856" s="15" t="n">
        <v>2.7367000579834</v>
      </c>
      <c r="E2856" s="15" t="n">
        <v>0.09199988842010499</v>
      </c>
      <c r="F2856" s="15" t="n">
        <v>0.263300001621246</v>
      </c>
      <c r="G2856" s="15" t="n">
        <v>4.55649995803833</v>
      </c>
      <c r="H2856" s="16">
        <f>C2856+E2856</f>
        <v/>
      </c>
    </row>
    <row r="2857">
      <c r="A2857" s="12" t="n">
        <v>46176</v>
      </c>
      <c r="B2857" s="15" t="n">
        <v>1.03960001468658</v>
      </c>
      <c r="C2857" s="15" t="n">
        <v>0.71399998664856</v>
      </c>
      <c r="D2857" s="15" t="n">
        <v>2.74519991874695</v>
      </c>
      <c r="E2857" s="15" t="n">
        <v>0.09540021419525151</v>
      </c>
      <c r="F2857" s="15" t="n">
        <v>0.263700008392334</v>
      </c>
      <c r="G2857" s="15" t="n">
        <v>4.59420013427734</v>
      </c>
      <c r="H2857" s="16">
        <f>C2857+E2857</f>
        <v/>
      </c>
    </row>
    <row r="2858">
      <c r="A2858" s="12" t="n">
        <v>46177</v>
      </c>
      <c r="B2858" s="15" t="n">
        <v>1.03219997882843</v>
      </c>
      <c r="C2858" s="15" t="n">
        <v>0.707000017166138</v>
      </c>
      <c r="D2858" s="15" t="n">
        <v>2.74060010910034</v>
      </c>
      <c r="E2858" s="15" t="n">
        <v>0.09370005130767819</v>
      </c>
      <c r="F2858" s="15" t="n">
        <v>0.294699996709824</v>
      </c>
      <c r="G2858" s="15" t="n">
        <v>4.57350015640259</v>
      </c>
      <c r="H2858" s="16">
        <f>C2858+E2858</f>
        <v/>
      </c>
    </row>
    <row r="2859">
      <c r="A2859" s="12" t="n">
        <v>46178</v>
      </c>
      <c r="B2859" s="15" t="n">
        <v>1.06400001049042</v>
      </c>
      <c r="C2859" s="15" t="n">
        <v>0.734300017356873</v>
      </c>
      <c r="D2859" s="15" t="n">
        <v>2.75920009613037</v>
      </c>
      <c r="E2859" s="15" t="n">
        <v>0.0999000072479248</v>
      </c>
      <c r="F2859" s="15" t="n">
        <v>0.32600000500679</v>
      </c>
      <c r="G2859" s="15" t="n">
        <v>4.65740013122559</v>
      </c>
      <c r="H2859" s="16">
        <f>C2859+E2859</f>
        <v/>
      </c>
    </row>
    <row r="2860">
      <c r="A2860" s="12" t="n">
        <v>46181</v>
      </c>
      <c r="B2860" s="15" t="n">
        <v>1.06699997186661</v>
      </c>
      <c r="C2860" s="15" t="n">
        <v>0.7332000136375429</v>
      </c>
      <c r="D2860" s="15" t="n">
        <v>2.75929999351501</v>
      </c>
      <c r="E2860" s="15" t="n">
        <v>0.099600076675415</v>
      </c>
      <c r="F2860" s="15" t="n">
        <v>0.335299998521805</v>
      </c>
      <c r="G2860" s="15" t="n">
        <v>4.65910005569458</v>
      </c>
      <c r="H2860" s="16">
        <f>C2860+E2860</f>
        <v/>
      </c>
    </row>
    <row r="2861">
      <c r="A2861" s="12" t="n">
        <v>46182</v>
      </c>
      <c r="B2861" s="15" t="n">
        <v>1.0566999912262</v>
      </c>
      <c r="C2861" s="15" t="n">
        <v>0.722699999809265</v>
      </c>
      <c r="D2861" s="15" t="n">
        <v>2.75239992141724</v>
      </c>
      <c r="E2861" s="15" t="n">
        <v>0.09710013866424561</v>
      </c>
      <c r="F2861" s="15" t="n">
        <v>0.344599992036819</v>
      </c>
      <c r="G2861" s="15" t="n">
        <v>4.62890005111694</v>
      </c>
      <c r="H2861" s="16">
        <f>C2861+E2861</f>
        <v/>
      </c>
    </row>
    <row r="2862">
      <c r="A2862" s="12" t="n">
        <v>46183</v>
      </c>
      <c r="B2862" s="15" t="n">
        <v>1.06099998950958</v>
      </c>
      <c r="C2862" s="15" t="n">
        <v>0.728500008583069</v>
      </c>
      <c r="D2862" s="15" t="n">
        <v>2.75609993934631</v>
      </c>
      <c r="E2862" s="15" t="n">
        <v>0.0984001159667969</v>
      </c>
      <c r="F2862" s="15" t="n">
        <v>0.349000006914139</v>
      </c>
      <c r="G2862" s="15" t="n">
        <v>4.64400005340576</v>
      </c>
      <c r="H2862" s="16">
        <f>C2862+E2862</f>
        <v/>
      </c>
    </row>
    <row r="2863">
      <c r="A2863" s="12" t="n">
        <v>46184</v>
      </c>
      <c r="B2863" s="15" t="n">
        <v>1.02970004081726</v>
      </c>
      <c r="C2863" s="15" t="n">
        <v>0.6930999755859381</v>
      </c>
      <c r="D2863" s="15" t="n">
        <v>2.7335000038147</v>
      </c>
      <c r="E2863" s="15" t="n">
        <v>0.0903999805450439</v>
      </c>
      <c r="F2863" s="15" t="n">
        <v>0.354999989271164</v>
      </c>
      <c r="G2863" s="15" t="n">
        <v>4.54670000076294</v>
      </c>
      <c r="H2863" s="16">
        <f>C2863+E2863</f>
        <v/>
      </c>
    </row>
    <row r="2864">
      <c r="A2864" s="12" t="n">
        <v>46185</v>
      </c>
      <c r="B2864" s="15" t="n">
        <v>1.0388999581337</v>
      </c>
      <c r="C2864" s="15" t="n">
        <v>0.702899992465973</v>
      </c>
      <c r="D2864" s="15" t="n">
        <v>2.7399001121521</v>
      </c>
      <c r="E2864" s="15" t="n">
        <v>0.0925997495651245</v>
      </c>
      <c r="F2864" s="15" t="n">
        <v>0.349200010299683</v>
      </c>
      <c r="G2864" s="15" t="n">
        <v>4.57429981231689</v>
      </c>
      <c r="H2864" s="16">
        <f>C2864+E2864</f>
        <v/>
      </c>
    </row>
    <row r="2865">
      <c r="A2865" s="12" t="n">
        <v>46188</v>
      </c>
      <c r="B2865" s="15" t="n">
        <v>1.03179997205734</v>
      </c>
      <c r="C2865" s="15" t="n">
        <v>0.694999992847443</v>
      </c>
      <c r="D2865" s="15" t="n">
        <v>2.73499989509583</v>
      </c>
      <c r="E2865" s="15" t="n">
        <v>0.0906999111175537</v>
      </c>
      <c r="F2865" s="15" t="n">
        <v>0.336800009012222</v>
      </c>
      <c r="G2865" s="15" t="n">
        <v>4.55249977111816</v>
      </c>
      <c r="H2865" s="16">
        <f>C2865+E2865</f>
        <v/>
      </c>
    </row>
    <row r="2866">
      <c r="A2866" s="12" t="n">
        <v>46189</v>
      </c>
      <c r="B2866" s="15" t="n">
        <v>1.0203999876976</v>
      </c>
      <c r="C2866" s="15" t="n">
        <v>0.679899990558624</v>
      </c>
      <c r="D2866" s="15" t="n">
        <v>2.72569990158081</v>
      </c>
      <c r="E2866" s="15" t="n">
        <v>0.0871999263763428</v>
      </c>
      <c r="F2866" s="15" t="n">
        <v>0.34850001335144</v>
      </c>
      <c r="G2866" s="15" t="n">
        <v>4.51319980621338</v>
      </c>
      <c r="H2866" s="16">
        <f>C2866+E2866</f>
        <v/>
      </c>
    </row>
    <row r="2867">
      <c r="A2867" s="12" t="n">
        <v>46190</v>
      </c>
      <c r="B2867" s="15" t="n">
        <v>1.06179994344711</v>
      </c>
      <c r="C2867" s="15" t="n">
        <v>0.696600019931793</v>
      </c>
      <c r="D2867" s="15" t="n">
        <v>2.74180006980896</v>
      </c>
      <c r="E2867" s="15" t="n">
        <v>0.0903999805450439</v>
      </c>
      <c r="F2867" s="15" t="n">
        <v>0.39860001206398</v>
      </c>
      <c r="G2867" s="15" t="n">
        <v>4.59060001373291</v>
      </c>
      <c r="H2867" s="16">
        <f>C2867+E2867</f>
        <v/>
      </c>
    </row>
    <row r="2868">
      <c r="A2868" s="12" t="n">
        <v>46191</v>
      </c>
      <c r="B2868" s="15" t="n">
        <v>1.04869997501373</v>
      </c>
      <c r="C2868" s="15" t="n">
        <v>0.674399971961975</v>
      </c>
      <c r="D2868" s="15" t="n">
        <v>2.728600025177</v>
      </c>
      <c r="E2868" s="15" t="n">
        <v>0.0853002071380615</v>
      </c>
      <c r="F2868" s="15" t="n">
        <v>0.393799990415573</v>
      </c>
      <c r="G2868" s="15" t="n">
        <v>4.53700017929077</v>
      </c>
      <c r="H2868" s="16">
        <f>C2868+E2868</f>
        <v/>
      </c>
    </row>
    <row r="2869">
      <c r="A2869" s="12" t="n">
        <v>46195</v>
      </c>
      <c r="B2869" s="15" t="n">
        <v>1.07379996776581</v>
      </c>
      <c r="C2869" s="15" t="n">
        <v>0.689000010490417</v>
      </c>
      <c r="D2869" s="15" t="n">
        <v>2.74090003967285</v>
      </c>
      <c r="E2869" s="15" t="n">
        <v>0.0880000591278076</v>
      </c>
      <c r="F2869" s="15" t="n">
        <v>0.42059999704361</v>
      </c>
      <c r="G2869" s="15" t="n">
        <v>4.59170007705688</v>
      </c>
      <c r="H2869" s="16">
        <f>C2869+E2869</f>
        <v/>
      </c>
    </row>
    <row r="2870">
      <c r="A2870" s="12" t="n">
        <v>46196</v>
      </c>
      <c r="B2870" s="15" t="n">
        <v>1.06680005788803</v>
      </c>
      <c r="C2870" s="15" t="n">
        <v>0.684899985790253</v>
      </c>
      <c r="D2870" s="15" t="n">
        <v>2.73769998550415</v>
      </c>
      <c r="E2870" s="15" t="n">
        <v>0.0872000455856323</v>
      </c>
      <c r="F2870" s="15" t="n">
        <v>0.441199988126755</v>
      </c>
      <c r="G2870" s="15" t="n">
        <v>4.57660007476807</v>
      </c>
      <c r="H2870" s="16">
        <f>C2870+E2870</f>
        <v/>
      </c>
    </row>
    <row r="2871">
      <c r="A2871" s="12" t="n">
        <v>46197</v>
      </c>
      <c r="B2871" s="15" t="n">
        <v>1.03609997034073</v>
      </c>
      <c r="C2871" s="15" t="n">
        <v>0.649800002574921</v>
      </c>
      <c r="D2871" s="15" t="n">
        <v>2.71539998054504</v>
      </c>
      <c r="E2871" s="15" t="n">
        <v>0.0791001319885254</v>
      </c>
      <c r="F2871" s="15" t="n">
        <v>0.442699998617172</v>
      </c>
      <c r="G2871" s="15" t="n">
        <v>4.48040008544922</v>
      </c>
      <c r="H2871" s="16">
        <f>C2871+E2871</f>
        <v/>
      </c>
    </row>
    <row r="2872">
      <c r="A2872" s="12" t="n">
        <v>46198</v>
      </c>
      <c r="B2872" s="15" t="n">
        <v>1.0288000702858</v>
      </c>
      <c r="C2872" s="15" t="n">
        <v>0.64029997587204</v>
      </c>
      <c r="D2872" s="15" t="n">
        <v>2.70980000495911</v>
      </c>
      <c r="E2872" s="15" t="n">
        <v>0.0770001411437988</v>
      </c>
      <c r="F2872" s="15" t="n">
        <v>0.416700005531311</v>
      </c>
      <c r="G2872" s="15" t="n">
        <v>4.45590019226074</v>
      </c>
      <c r="H2872" s="16">
        <f>C2872+E2872</f>
        <v/>
      </c>
    </row>
    <row r="2873">
      <c r="A2873" s="12" t="n">
        <v>46199</v>
      </c>
      <c r="B2873" s="15" t="n">
        <v>1.02150005102158</v>
      </c>
      <c r="C2873" s="15" t="n">
        <v>0.636099994182587</v>
      </c>
      <c r="D2873" s="15" t="n">
        <v>2.70689988136292</v>
      </c>
      <c r="E2873" s="15" t="n">
        <v>0.0758000612258911</v>
      </c>
      <c r="F2873" s="15" t="n">
        <v>0.416500002145767</v>
      </c>
      <c r="G2873" s="15" t="n">
        <v>4.44029998779297</v>
      </c>
      <c r="H2873" s="16">
        <f>C2873+E2873</f>
        <v/>
      </c>
    </row>
    <row r="2874">
      <c r="A2874" s="12" t="n">
        <v>46202</v>
      </c>
      <c r="B2874" s="15" t="n">
        <v>1.02749997377396</v>
      </c>
      <c r="C2874" s="15" t="n">
        <v>0.6327000260353089</v>
      </c>
      <c r="D2874" s="15" t="n">
        <v>2.70709991455078</v>
      </c>
      <c r="E2874" s="15" t="n">
        <v>0.07459986209869381</v>
      </c>
      <c r="F2874" s="15" t="n">
        <v>0.402099996805191</v>
      </c>
      <c r="G2874" s="15" t="n">
        <v>4.44189977645874</v>
      </c>
      <c r="H2874" s="16">
        <f>C2874+E2874</f>
        <v/>
      </c>
    </row>
    <row r="2875">
      <c r="A2875" s="12" t="n">
        <v>46203</v>
      </c>
      <c r="B2875" s="15" t="n">
        <v>1.0479000210762</v>
      </c>
      <c r="C2875" s="15" t="n">
        <v>0.654799997806549</v>
      </c>
      <c r="D2875" s="15" t="n">
        <v>2.72180008888245</v>
      </c>
      <c r="E2875" s="15" t="n">
        <v>0.07939994335174561</v>
      </c>
      <c r="F2875" s="15" t="n">
        <v>0.398400008678436</v>
      </c>
      <c r="G2875" s="15" t="n">
        <v>4.50390005111694</v>
      </c>
      <c r="H2875" s="16">
        <f>C2875+E2875</f>
        <v/>
      </c>
    </row>
    <row r="2876">
      <c r="A2876" s="12" t="n">
        <v>46204</v>
      </c>
      <c r="B2876" s="15" t="n">
        <v>1.06290000677109</v>
      </c>
      <c r="C2876" s="15" t="n">
        <v>0.67629998922348</v>
      </c>
      <c r="D2876" s="15" t="n">
        <v>2.73460006713867</v>
      </c>
      <c r="E2876" s="15" t="n">
        <v>0.0843998193740845</v>
      </c>
      <c r="F2876" s="15" t="n">
        <v>0.409999996423721</v>
      </c>
      <c r="G2876" s="15" t="n">
        <v>4.55819988250732</v>
      </c>
      <c r="H2876" s="16">
        <f>C2876+E2876</f>
        <v/>
      </c>
    </row>
    <row r="2877">
      <c r="A2877" s="12" t="n">
        <v>46205</v>
      </c>
      <c r="B2877" s="15" t="n">
        <v>1.06040000915527</v>
      </c>
      <c r="C2877" s="15" t="n">
        <v>0.684499979019165</v>
      </c>
      <c r="D2877" s="15" t="n">
        <v>2.73790001869202</v>
      </c>
      <c r="E2877" s="15" t="n">
        <v>0.0865998268127441</v>
      </c>
      <c r="F2877" s="15" t="n">
        <v>0.418900012969971</v>
      </c>
      <c r="G2877" s="15" t="n">
        <v>4.5693998336792</v>
      </c>
      <c r="H2877" s="16">
        <f>C2877+E2877</f>
        <v/>
      </c>
    </row>
    <row r="2878">
      <c r="A2878" s="12" t="n">
        <v>46209</v>
      </c>
      <c r="B2878" s="15" t="n">
        <v>1.05530005693436</v>
      </c>
      <c r="C2878" s="15" t="n">
        <v>0.678399980068207</v>
      </c>
      <c r="D2878" s="15" t="n">
        <v>2.73429989814758</v>
      </c>
      <c r="E2878" s="15" t="n">
        <v>0.0850000381469727</v>
      </c>
      <c r="F2878" s="15" t="n">
        <v>0.39860001206398</v>
      </c>
      <c r="G2878" s="15" t="n">
        <v>4.55299997329712</v>
      </c>
      <c r="H2878" s="16">
        <f>C2878+E2878</f>
        <v/>
      </c>
    </row>
    <row r="2879">
      <c r="A2879" s="12" t="n">
        <v>46210</v>
      </c>
      <c r="B2879" s="15" t="n">
        <v>1.07890003919601</v>
      </c>
      <c r="C2879" s="15" t="n">
        <v>0.70440000295639</v>
      </c>
      <c r="D2879" s="15" t="n">
        <v>2.75119996070862</v>
      </c>
      <c r="E2879" s="15" t="n">
        <v>0.0909000635147095</v>
      </c>
      <c r="F2879" s="15" t="n">
        <v>0.405400007963181</v>
      </c>
      <c r="G2879" s="15" t="n">
        <v>4.62540006637573</v>
      </c>
      <c r="H2879" s="16">
        <f>C2879+E2879</f>
        <v/>
      </c>
    </row>
    <row r="2880">
      <c r="A2880" s="12" t="n">
        <v>46211</v>
      </c>
      <c r="B2880" s="15" t="n">
        <v>1.08749997615814</v>
      </c>
      <c r="C2880" s="15" t="n">
        <v>0.714900016784668</v>
      </c>
      <c r="D2880" s="15" t="n">
        <v>2.75760006904602</v>
      </c>
      <c r="E2880" s="15" t="n">
        <v>0.0933998823165894</v>
      </c>
      <c r="F2880" s="15" t="n">
        <v>0.399300009012222</v>
      </c>
      <c r="G2880" s="15" t="n">
        <v>4.65339994430542</v>
      </c>
      <c r="H2880" s="16">
        <f>C2880+E2880</f>
        <v/>
      </c>
    </row>
    <row r="2881">
      <c r="A2881" s="12" t="n">
        <v>46212</v>
      </c>
      <c r="B2881" s="15" t="n">
        <v>1.0745000243187</v>
      </c>
      <c r="C2881" s="15" t="n">
        <v>0.7110000252723691</v>
      </c>
      <c r="D2881" s="15" t="n">
        <v>2.75300002098083</v>
      </c>
      <c r="E2881" s="15" t="n">
        <v>0.0927999019622803</v>
      </c>
      <c r="F2881" s="15" t="n">
        <v>0.41049998998642</v>
      </c>
      <c r="G2881" s="15" t="n">
        <v>4.63129997253418</v>
      </c>
      <c r="H2881" s="16">
        <f>C2881+E2881</f>
        <v/>
      </c>
    </row>
    <row r="2882">
      <c r="A2882" s="12" t="n">
        <v>46213</v>
      </c>
      <c r="B2882" s="15" t="n">
        <v>1.08719998598099</v>
      </c>
      <c r="C2882" s="15" t="n">
        <v>0.71670001745224</v>
      </c>
      <c r="D2882" s="15" t="n">
        <v>2.75819993019104</v>
      </c>
      <c r="E2882" s="15" t="n">
        <v>0.093900203704834</v>
      </c>
      <c r="F2882" s="15" t="n">
        <v>0.404900014400482</v>
      </c>
      <c r="G2882" s="15" t="n">
        <v>4.6560001373291</v>
      </c>
      <c r="H2882" s="16">
        <f>C2882+E2882</f>
        <v/>
      </c>
    </row>
    <row r="2883">
      <c r="A2883" s="12" t="n">
        <v>46216</v>
      </c>
      <c r="B2883" s="15" t="n">
        <v>1.10989993810654</v>
      </c>
      <c r="C2883" s="15" t="n">
        <v>0.731700003147125</v>
      </c>
      <c r="D2883" s="15" t="n">
        <v>2.76979994773865</v>
      </c>
      <c r="E2883" s="15" t="n">
        <v>0.0971000194549561</v>
      </c>
      <c r="F2883" s="15" t="n">
        <v>0.404599994421005</v>
      </c>
      <c r="G2883" s="15" t="n">
        <v>4.70849990844727</v>
      </c>
      <c r="H2883" s="16">
        <f>C2883+E2883</f>
        <v/>
      </c>
    </row>
    <row r="2884">
      <c r="A2884" s="12" t="n">
        <v>46217</v>
      </c>
      <c r="B2884" s="15" t="n">
        <v>1.08689999580383</v>
      </c>
      <c r="C2884" s="15" t="n">
        <v>0.724799990653992</v>
      </c>
      <c r="D2884" s="15" t="n">
        <v>2.76149988174438</v>
      </c>
      <c r="E2884" s="15" t="n">
        <v>0.09610021114349369</v>
      </c>
      <c r="F2884" s="15" t="n">
        <v>0.405000001192093</v>
      </c>
      <c r="G2884" s="15" t="n">
        <v>4.6693000793457</v>
      </c>
      <c r="H2884" s="16">
        <f>C2884+E2884</f>
        <v/>
      </c>
    </row>
    <row r="2885">
      <c r="A2885" s="12" t="n">
        <v>46218</v>
      </c>
      <c r="B2885" s="15" t="n">
        <v>1.07099992036819</v>
      </c>
      <c r="C2885" s="15" t="n">
        <v>0.716000020503998</v>
      </c>
      <c r="D2885" s="15" t="n">
        <v>2.75460004806519</v>
      </c>
      <c r="E2885" s="15" t="n">
        <v>0.0941002368927002</v>
      </c>
      <c r="F2885" s="15" t="n">
        <v>0.416500002145767</v>
      </c>
      <c r="G2885" s="15" t="n">
        <v>4.63570022583008</v>
      </c>
      <c r="H2885" s="16">
        <f>C2885+E2885</f>
        <v/>
      </c>
    </row>
    <row r="2886">
      <c r="A2886" s="12" t="n">
        <v>46219</v>
      </c>
      <c r="B2886" s="15" t="n">
        <v>1.0789999961853</v>
      </c>
      <c r="C2886" s="15" t="n">
        <v>0.7243000268936159</v>
      </c>
      <c r="D2886" s="15" t="n">
        <v>2.76020002365112</v>
      </c>
      <c r="E2886" s="15" t="n">
        <v>0.0958999395370483</v>
      </c>
      <c r="F2886" s="15" t="n">
        <v>0.428700000047684</v>
      </c>
      <c r="G2886" s="15" t="n">
        <v>4.65939998626709</v>
      </c>
      <c r="H2886" s="16">
        <f>C2886+E2886</f>
        <v/>
      </c>
    </row>
    <row r="2887">
      <c r="A2887" s="12" t="n">
        <v>46220</v>
      </c>
      <c r="B2887" s="15" t="n">
        <v>1.0764000415802</v>
      </c>
      <c r="C2887" s="15" t="n">
        <v>0.71560001373291</v>
      </c>
      <c r="D2887" s="15" t="n">
        <v>2.75539994239807</v>
      </c>
      <c r="E2887" s="15" t="n">
        <v>0.093900203704834</v>
      </c>
      <c r="F2887" s="15" t="n">
        <v>0.410400003194809</v>
      </c>
      <c r="G2887" s="15" t="n">
        <v>4.64130020141602</v>
      </c>
      <c r="H2887" s="16">
        <f>C2887+E2887</f>
        <v/>
      </c>
    </row>
    <row r="2888">
      <c r="A2888" s="12" t="n">
        <v>46223</v>
      </c>
      <c r="B2888" s="15" t="n">
        <v>1.09670007228851</v>
      </c>
      <c r="C2888" s="15" t="n">
        <v>0.728299975395203</v>
      </c>
      <c r="D2888" s="15" t="n">
        <v>2.76579999923706</v>
      </c>
      <c r="E2888" s="15" t="n">
        <v>0.09640002250671389</v>
      </c>
      <c r="F2888" s="15" t="n">
        <v>0.412099987268448</v>
      </c>
      <c r="G2888" s="15" t="n">
        <v>4.68720006942749</v>
      </c>
      <c r="H2888" s="16">
        <f>C2888+E2888</f>
        <v/>
      </c>
    </row>
    <row r="2889">
      <c r="A2889" s="12" t="n">
        <v>46224</v>
      </c>
      <c r="B2889" s="15" t="n">
        <v>1.11309999227524</v>
      </c>
      <c r="C2889" s="15" t="n">
        <v>0.740299999713898</v>
      </c>
      <c r="D2889" s="15" t="n">
        <v>2.7746000289917</v>
      </c>
      <c r="E2889" s="15" t="n">
        <v>0.09909987449646</v>
      </c>
      <c r="F2889" s="15" t="n">
        <v>0.409799993038177</v>
      </c>
      <c r="G2889" s="15" t="n">
        <v>4.72709989547729</v>
      </c>
      <c r="H2889" s="16">
        <f>C2889+E2889</f>
        <v/>
      </c>
    </row>
    <row r="2890">
      <c r="A2890" s="12" t="n">
        <v>46225</v>
      </c>
      <c r="B2890" s="15" t="n">
        <v>1.12799996137619</v>
      </c>
      <c r="C2890" s="15" t="n">
        <v>0.752499997615814</v>
      </c>
      <c r="D2890" s="15" t="n">
        <v>2.78320002555847</v>
      </c>
      <c r="E2890" s="15" t="n">
        <v>0.101699948310852</v>
      </c>
      <c r="F2890" s="15" t="n">
        <v>0.405400007963181</v>
      </c>
      <c r="G2890" s="15" t="n">
        <v>4.76539993286133</v>
      </c>
      <c r="H2890" s="16">
        <f>C2890+E2890</f>
        <v/>
      </c>
    </row>
    <row r="2891">
      <c r="A2891" s="12" t="n">
        <v>46226</v>
      </c>
      <c r="B2891" s="15" t="n">
        <v>1.14759999513626</v>
      </c>
      <c r="C2891" s="15" t="n">
        <v>0.7645999789237981</v>
      </c>
      <c r="D2891" s="15" t="n">
        <v>2.79290008544922</v>
      </c>
      <c r="E2891" s="15" t="n">
        <v>0.104199886322021</v>
      </c>
      <c r="F2891" s="15" t="n">
        <v>0.423299998044968</v>
      </c>
      <c r="G2891" s="15" t="n">
        <v>4.8092999458313</v>
      </c>
      <c r="H2891" s="16">
        <f>C2891+E2891</f>
        <v/>
      </c>
    </row>
    <row r="2892">
      <c r="A2892" s="12" t="n">
        <v>46227</v>
      </c>
      <c r="B2892" s="15" t="n">
        <v>1.13840001821518</v>
      </c>
      <c r="C2892" s="15" t="n">
        <v>0.754800021648407</v>
      </c>
      <c r="D2892" s="15" t="n">
        <v>2.78649997711182</v>
      </c>
      <c r="E2892" s="15" t="n">
        <v>0.102000117301941</v>
      </c>
      <c r="F2892" s="15" t="n">
        <v>0.444400012493134</v>
      </c>
      <c r="G2892" s="15" t="n">
        <v>4.78170013427734</v>
      </c>
      <c r="H2892" s="16">
        <f>C2892+E2892</f>
        <v/>
      </c>
    </row>
    <row r="2893">
      <c r="A2893" s="12" t="n">
        <v>46230</v>
      </c>
      <c r="B2893" s="15" t="n">
        <v>1.13369995355606</v>
      </c>
      <c r="C2893" s="15" t="n">
        <v>0.73879998922348</v>
      </c>
      <c r="D2893" s="15" t="n">
        <v>2.77859997749329</v>
      </c>
      <c r="E2893" s="15" t="n">
        <v>0.0979001522064209</v>
      </c>
      <c r="F2893" s="15" t="n">
        <v>0.47749999165535</v>
      </c>
      <c r="G2893" s="15" t="n">
        <v>4.74900007247925</v>
      </c>
      <c r="H2893" s="16">
        <f>C2893+E2893</f>
        <v/>
      </c>
    </row>
    <row r="2894">
      <c r="A2894" s="12" t="n">
        <v>46231</v>
      </c>
      <c r="B2894" s="15" t="n">
        <v>1.11319994926453</v>
      </c>
      <c r="C2894" s="15" t="n">
        <v>0.72409999370575</v>
      </c>
      <c r="D2894" s="15" t="n">
        <v>2.76740002632141</v>
      </c>
      <c r="E2894" s="15" t="n">
        <v>0.0948001146316528</v>
      </c>
      <c r="F2894" s="15" t="n">
        <v>0.483799993991852</v>
      </c>
      <c r="G2894" s="15" t="n">
        <v>4.69950008392334</v>
      </c>
      <c r="H2894" s="16">
        <f>C2894+E2894</f>
        <v/>
      </c>
    </row>
    <row r="2895">
      <c r="A2895" s="12" t="n">
        <v>46232</v>
      </c>
      <c r="B2895" s="15" t="n">
        <v>1.11479997634888</v>
      </c>
      <c r="C2895" s="15" t="n">
        <v>0.754199981689453</v>
      </c>
      <c r="D2895" s="15" t="n">
        <v>2.78139996528625</v>
      </c>
      <c r="E2895" s="15" t="n">
        <v>0.102400064468384</v>
      </c>
      <c r="F2895" s="15" t="n">
        <v>0.441199988126755</v>
      </c>
      <c r="G2895" s="15" t="n">
        <v>4.75279998779297</v>
      </c>
      <c r="H2895" s="16">
        <f>C2895+E2895</f>
        <v/>
      </c>
    </row>
    <row r="2896">
      <c r="A2896" s="12" t="n">
        <v>46233</v>
      </c>
      <c r="B2896" s="15" t="n">
        <v>1.12009996175766</v>
      </c>
      <c r="C2896" s="15" t="n">
        <v>0.764800012111664</v>
      </c>
      <c r="D2896" s="15" t="n">
        <v>2.78749990463257</v>
      </c>
      <c r="E2896" s="15" t="n">
        <v>0.104900002479553</v>
      </c>
      <c r="F2896" s="15" t="n">
        <v>0.437599986791611</v>
      </c>
      <c r="G2896" s="15" t="n">
        <v>4.77729988098145</v>
      </c>
      <c r="H2896" s="16">
        <f>C2896+E2896</f>
        <v/>
      </c>
    </row>
    <row r="2897">
      <c r="A2897" s="12" t="n">
        <v>46234</v>
      </c>
      <c r="B2897" s="15" t="n">
        <v>1.14179998636246</v>
      </c>
      <c r="C2897" s="15" t="n">
        <v>0.792800009250641</v>
      </c>
      <c r="D2897" s="15" t="n">
        <v>2.80480003356934</v>
      </c>
      <c r="E2897" s="15" t="n">
        <v>0.111299872398376</v>
      </c>
      <c r="F2897" s="15" t="n">
        <v>0.440600007772446</v>
      </c>
      <c r="G2897" s="15" t="n">
        <v>4.85069990158081</v>
      </c>
      <c r="H2897" s="16">
        <f>C2897+E2897</f>
        <v/>
      </c>
    </row>
    <row r="2898">
      <c r="A2898" s="12" t="n">
        <v>46237</v>
      </c>
      <c r="B2898" s="15" t="n">
        <v>1.13079994916916</v>
      </c>
      <c r="C2898" s="15" t="n">
        <v>0.769900023937225</v>
      </c>
      <c r="D2898" s="15" t="n">
        <v>2.79239988327026</v>
      </c>
      <c r="E2898" s="15" t="n">
        <v>0.105700135231018</v>
      </c>
      <c r="F2898" s="15" t="n">
        <v>0.442499995231628</v>
      </c>
      <c r="G2898" s="15" t="n">
        <v>4.79879999160767</v>
      </c>
      <c r="H2898" s="16">
        <f>C2898+E2898</f>
        <v/>
      </c>
    </row>
    <row r="2899">
      <c r="A2899" s="12" t="n">
        <v>46238</v>
      </c>
      <c r="B2899" s="15" t="n">
        <v>1.10689997673035</v>
      </c>
      <c r="C2899" s="15" t="n">
        <v>0.746999979019165</v>
      </c>
      <c r="D2899" s="15" t="n">
        <v>2.7771999835968</v>
      </c>
      <c r="E2899" s="15" t="n">
        <v>0.100499868392944</v>
      </c>
      <c r="F2899" s="15" t="n">
        <v>0.45890000462532</v>
      </c>
      <c r="G2899" s="15" t="n">
        <v>4.73159980773926</v>
      </c>
      <c r="H2899" s="16">
        <f>C2899+E2899</f>
        <v/>
      </c>
    </row>
    <row r="2900">
      <c r="A2900" s="12" t="n">
        <v>46239</v>
      </c>
      <c r="B2900" s="15" t="n">
        <v>1.10439997911453</v>
      </c>
      <c r="C2900" s="15" t="n">
        <v>0.7466999888420101</v>
      </c>
      <c r="D2900" s="15" t="n">
        <v>2.7765998840332</v>
      </c>
      <c r="E2900" s="15" t="n">
        <v>0.100500106811523</v>
      </c>
      <c r="F2900" s="15" t="n">
        <v>0.467999994754791</v>
      </c>
      <c r="G2900" s="15" t="n">
        <v>4.72819995880127</v>
      </c>
      <c r="H2900" s="16">
        <f>C2900+E2900</f>
        <v/>
      </c>
    </row>
    <row r="2901">
      <c r="A2901" s="12" t="n">
        <v>46240</v>
      </c>
      <c r="B2901" s="15" t="n">
        <v>1.12349998950958</v>
      </c>
      <c r="C2901" s="15" t="n">
        <v>0.765699982643127</v>
      </c>
      <c r="D2901" s="15" t="n">
        <v>2.78889989852905</v>
      </c>
      <c r="E2901" s="15" t="n">
        <v>0.104900121688843</v>
      </c>
      <c r="F2901" s="15" t="n">
        <v>0.453299999237061</v>
      </c>
      <c r="G2901" s="15" t="n">
        <v>4.78299999237061</v>
      </c>
      <c r="H2901" s="16">
        <f>C2901+E2901</f>
        <v/>
      </c>
    </row>
    <row r="2902">
      <c r="A2902" s="12" t="n">
        <v>46241</v>
      </c>
      <c r="B2902" s="15" t="n">
        <v>1.10740005970001</v>
      </c>
      <c r="C2902" s="15" t="n">
        <v>0.755699992179871</v>
      </c>
      <c r="D2902" s="15" t="n">
        <v>2.78099989891052</v>
      </c>
      <c r="E2902" s="15" t="n">
        <v>0.102800130844116</v>
      </c>
      <c r="F2902" s="15" t="n">
        <v>0.443599998950958</v>
      </c>
      <c r="G2902" s="15" t="n">
        <v>4.74690008163452</v>
      </c>
      <c r="H2902" s="16">
        <f>C2902+E2902</f>
        <v/>
      </c>
    </row>
    <row r="2903">
      <c r="A2903" s="12" t="n">
        <v>46244</v>
      </c>
      <c r="B2903" s="15" t="n">
        <v>1.1317999958992</v>
      </c>
      <c r="C2903" s="15" t="n">
        <v>0.77700001001358</v>
      </c>
      <c r="D2903" s="15" t="n">
        <v>2.79609990119934</v>
      </c>
      <c r="E2903" s="15" t="n">
        <v>0.107300162315369</v>
      </c>
      <c r="F2903" s="15" t="n">
        <v>0.43520000576973</v>
      </c>
      <c r="G2903" s="15" t="n">
        <v>4.81220006942749</v>
      </c>
      <c r="H2903" s="16">
        <f>C2903+E2903</f>
        <v/>
      </c>
    </row>
    <row r="2904">
      <c r="A2904" s="12" t="n">
        <v>46245</v>
      </c>
      <c r="B2904" s="15" t="n">
        <v>1.12700003385544</v>
      </c>
      <c r="C2904" s="15" t="n">
        <v>0.773999989032745</v>
      </c>
      <c r="D2904" s="15" t="n">
        <v>2.79380011558533</v>
      </c>
      <c r="E2904" s="15" t="n">
        <v>0.106600046157837</v>
      </c>
      <c r="F2904" s="15" t="n">
        <v>0.44080001115799</v>
      </c>
      <c r="G2904" s="15" t="n">
        <v>4.80140018463135</v>
      </c>
      <c r="H2904" s="16">
        <f>C2904+E2904</f>
        <v/>
      </c>
    </row>
    <row r="2905">
      <c r="A2905" s="12" t="n">
        <v>46246</v>
      </c>
      <c r="B2905" s="15" t="n">
        <v>1.11870002746582</v>
      </c>
      <c r="C2905" s="15" t="n">
        <v>0.77240002155304</v>
      </c>
      <c r="D2905" s="15" t="n">
        <v>2.79130005836487</v>
      </c>
      <c r="E2905" s="15" t="n">
        <v>0.106499791145325</v>
      </c>
      <c r="F2905" s="15" t="n">
        <v>0.438199996948242</v>
      </c>
      <c r="G2905" s="15" t="n">
        <v>4.78889989852905</v>
      </c>
      <c r="H2905" s="16">
        <f>C2905+E2905</f>
        <v/>
      </c>
    </row>
    <row r="2906">
      <c r="A2906" s="12" t="n">
        <v>46247</v>
      </c>
      <c r="B2906" s="15" t="n">
        <v>1.09950000047684</v>
      </c>
      <c r="C2906" s="15" t="n">
        <v>0.756200015544891</v>
      </c>
      <c r="D2906" s="15" t="n">
        <v>2.78010010719299</v>
      </c>
      <c r="E2906" s="15" t="n">
        <v>0.102899789810181</v>
      </c>
      <c r="F2906" s="15" t="n">
        <v>0.439999997615814</v>
      </c>
      <c r="G2906" s="15" t="n">
        <v>4.7386999130249</v>
      </c>
      <c r="H2906" s="16">
        <f>C2906+E2906</f>
        <v/>
      </c>
    </row>
    <row r="2907">
      <c r="A2907" s="12" t="n">
        <v>46248</v>
      </c>
      <c r="B2907" s="15" t="n">
        <v>1.11529994010925</v>
      </c>
      <c r="C2907" s="15" t="n">
        <v>0.774500012397766</v>
      </c>
      <c r="D2907" s="15" t="n">
        <v>2.79200005531311</v>
      </c>
      <c r="E2907" s="15" t="n">
        <v>0.106900095939636</v>
      </c>
      <c r="F2907" s="15" t="n">
        <v>0.427799999713898</v>
      </c>
      <c r="G2907" s="15" t="n">
        <v>4.78870010375977</v>
      </c>
      <c r="H2907" s="16">
        <f>C2907+E2907</f>
        <v/>
      </c>
    </row>
    <row r="2908">
      <c r="A2908" s="12" t="n">
        <v>46251</v>
      </c>
      <c r="B2908" s="15" t="n">
        <v>1.1246999502182</v>
      </c>
      <c r="C2908" s="15" t="n">
        <v>0.788900017738342</v>
      </c>
      <c r="D2908" s="15" t="n">
        <v>2.80089998245239</v>
      </c>
      <c r="E2908" s="15" t="n">
        <v>0.110100269317627</v>
      </c>
      <c r="F2908" s="15" t="n">
        <v>0.429100006818771</v>
      </c>
      <c r="G2908" s="15" t="n">
        <v>4.82460021972656</v>
      </c>
      <c r="H2908" s="16">
        <f>C2908+E2908</f>
        <v/>
      </c>
    </row>
    <row r="2909">
      <c r="A2909" s="12" t="n">
        <v>46252</v>
      </c>
      <c r="B2909" s="15" t="n">
        <v>1.11979991197586</v>
      </c>
      <c r="C2909" s="15" t="n">
        <v>0.784300029277802</v>
      </c>
      <c r="D2909" s="15" t="n">
        <v>2.79749989509583</v>
      </c>
      <c r="E2909" s="15" t="n">
        <v>0.109200239181519</v>
      </c>
      <c r="F2909" s="15" t="n">
        <v>0.412499994039536</v>
      </c>
      <c r="G2909" s="15" t="n">
        <v>4.81080007553101</v>
      </c>
      <c r="H2909" s="16">
        <f>C2909+E2909</f>
        <v/>
      </c>
    </row>
    <row r="2910">
      <c r="A2910" s="12" t="n">
        <v>46253</v>
      </c>
      <c r="B2910" s="15" t="n">
        <v>1.10339993238449</v>
      </c>
      <c r="C2910" s="15" t="n">
        <v>0.759100019931793</v>
      </c>
      <c r="D2910" s="15" t="n">
        <v>2.78169989585876</v>
      </c>
      <c r="E2910" s="15" t="n">
        <v>0.103800296783447</v>
      </c>
      <c r="F2910" s="15" t="n">
        <v>0.397899985313416</v>
      </c>
      <c r="G2910" s="15" t="n">
        <v>4.7480001449585</v>
      </c>
      <c r="H2910" s="16">
        <f>C2910+E2910</f>
        <v/>
      </c>
    </row>
    <row r="2911">
      <c r="A2911" s="12" t="n">
        <v>46254</v>
      </c>
      <c r="B2911" s="15" t="n">
        <v>1.11389994621277</v>
      </c>
      <c r="C2911" s="15" t="n">
        <v>0.771600008010864</v>
      </c>
      <c r="D2911" s="15" t="n">
        <v>2.78940010070801</v>
      </c>
      <c r="E2911" s="15" t="n">
        <v>0.10669994354248</v>
      </c>
      <c r="F2911" s="15" t="n">
        <v>0.376199990510941</v>
      </c>
      <c r="G2911" s="15" t="n">
        <v>4.78159999847412</v>
      </c>
      <c r="H2911" s="16">
        <f>C2911+E2911</f>
        <v/>
      </c>
    </row>
    <row r="2912">
      <c r="A2912" s="12" t="n">
        <v>46255</v>
      </c>
      <c r="B2912" s="15" t="n">
        <v>1.13060003519058</v>
      </c>
      <c r="C2912" s="15" t="n">
        <v>0.789799988269806</v>
      </c>
      <c r="D2912" s="15" t="n">
        <v>2.80110001564026</v>
      </c>
      <c r="E2912" s="15" t="n">
        <v>0.11080014705658</v>
      </c>
      <c r="F2912" s="15" t="n">
        <v>0.386599987745285</v>
      </c>
      <c r="G2912" s="15" t="n">
        <v>4.83230018615723</v>
      </c>
      <c r="H2912" s="16">
        <f>C2912+E2912</f>
        <v/>
      </c>
    </row>
    <row r="2913">
      <c r="A2913" s="12" t="n">
        <v>46258</v>
      </c>
      <c r="B2913" s="15" t="n">
        <v>1.12349992990494</v>
      </c>
      <c r="C2913" s="15" t="n">
        <v>0.776300013065338</v>
      </c>
      <c r="D2913" s="15" t="n">
        <v>2.79299998283386</v>
      </c>
      <c r="E2913" s="15" t="n">
        <v>0.107800126075745</v>
      </c>
      <c r="F2913" s="15" t="n">
        <v>0.38740000128746</v>
      </c>
      <c r="G2913" s="15" t="n">
        <v>4.80060005187988</v>
      </c>
      <c r="H2913" s="16">
        <f>C2913+E2913</f>
        <v/>
      </c>
    </row>
    <row r="2914">
      <c r="A2914" s="12" t="n">
        <v>46259</v>
      </c>
      <c r="B2914" s="15" t="n">
        <v>1.10100001096725</v>
      </c>
      <c r="C2914" s="15" t="n">
        <v>0.749700009822845</v>
      </c>
      <c r="D2914" s="15" t="n">
        <v>2.77600002288818</v>
      </c>
      <c r="E2914" s="15" t="n">
        <v>0.101799845695496</v>
      </c>
      <c r="F2914" s="15" t="n">
        <v>0.381199985742569</v>
      </c>
      <c r="G2914" s="15" t="n">
        <v>4.72849988937378</v>
      </c>
      <c r="H2914" s="16">
        <f>C2914+E2914</f>
        <v/>
      </c>
    </row>
    <row r="2915">
      <c r="A2915" s="12" t="n">
        <v>46260</v>
      </c>
      <c r="B2915" s="15" t="n">
        <v>1.10810005664825</v>
      </c>
      <c r="C2915" s="15" t="n">
        <v>0.759299993515015</v>
      </c>
      <c r="D2915" s="15" t="n">
        <v>2.78159999847412</v>
      </c>
      <c r="E2915" s="15" t="n">
        <v>0.104200005531311</v>
      </c>
      <c r="F2915" s="15" t="n">
        <v>0.382600009441376</v>
      </c>
      <c r="G2915" s="15" t="n">
        <v>4.7532000541687</v>
      </c>
      <c r="H2915" s="16">
        <f>C2915+E2915</f>
        <v/>
      </c>
    </row>
    <row r="2916">
      <c r="A2916" s="12" t="n">
        <v>46261</v>
      </c>
      <c r="B2916" s="15" t="n">
        <v>1.11220002174377</v>
      </c>
      <c r="C2916" s="15" t="n">
        <v>0.7644000053405759</v>
      </c>
      <c r="D2916" s="15" t="n">
        <v>2.78460001945496</v>
      </c>
      <c r="E2916" s="15" t="n">
        <v>0.105400085449219</v>
      </c>
      <c r="F2916" s="15" t="n">
        <v>0.382400006055832</v>
      </c>
      <c r="G2916" s="15" t="n">
        <v>4.76660013198853</v>
      </c>
      <c r="H2916" s="16">
        <f>C2916+E2916</f>
        <v/>
      </c>
    </row>
    <row r="2917">
      <c r="A2917" s="12" t="n">
        <v>46262</v>
      </c>
      <c r="B2917" s="15" t="n">
        <v>1.1438000202179</v>
      </c>
      <c r="C2917" s="15" t="n">
        <v>0.780900001525879</v>
      </c>
      <c r="D2917" s="15" t="n">
        <v>2.79830002784729</v>
      </c>
      <c r="E2917" s="15" t="n">
        <v>0.108799934387207</v>
      </c>
      <c r="F2917" s="15" t="n">
        <v>0.413100004196167</v>
      </c>
      <c r="G2917" s="15" t="n">
        <v>4.83179998397827</v>
      </c>
      <c r="H2917" s="16">
        <f>C2917+E2917</f>
        <v/>
      </c>
    </row>
    <row r="2918">
      <c r="A2918" s="12" t="n">
        <v>46265</v>
      </c>
      <c r="B2918" s="15" t="n">
        <v>1.15270000696182</v>
      </c>
      <c r="C2918" s="15" t="n">
        <v>0.781199991703033</v>
      </c>
      <c r="D2918" s="15" t="n">
        <v>2.80069994926453</v>
      </c>
      <c r="E2918" s="15" t="n">
        <v>0.108500123023987</v>
      </c>
      <c r="F2918" s="15" t="n">
        <v>0.41159999370575</v>
      </c>
      <c r="G2918" s="15" t="n">
        <v>4.84310007095337</v>
      </c>
      <c r="H2918" s="16">
        <f>C2918+E2918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4" customWidth="1" min="14" max="14"/>
    <col width="15" customWidth="1" min="15" max="15"/>
    <col width="12" customWidth="1" min="16" max="16"/>
    <col width="11" customWidth="1" min="17" max="17"/>
    <col width="11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  <col width="13" customWidth="1" min="24" max="24"/>
    <col width="12" customWidth="1" min="25" max="25"/>
    <col width="12" customWidth="1" min="26" max="26"/>
    <col width="13" customWidth="1" min="27" max="27"/>
    <col width="12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45" customHeight="1">
      <c r="A1" s="5" t="inlineStr">
        <is>
          <t>日期</t>
        </is>
      </c>
      <c r="B1" s="5" t="inlineStr">
        <is>
          <t>10Y 公債 (%)</t>
        </is>
      </c>
      <c r="C1" s="5" t="inlineStr">
        <is>
          <t>10Y Swap (%)</t>
        </is>
      </c>
      <c r="D1" s="5" t="inlineStr">
        <is>
          <t>MOVE (bp)</t>
        </is>
      </c>
      <c r="E1" s="5" t="inlineStr">
        <is>
          <t>Swaption IV (bp/y)</t>
        </is>
      </c>
      <c r="F1" s="5" t="inlineStr">
        <is>
          <t>Δ 10Y 公債 (bp)</t>
        </is>
      </c>
      <c r="G1" s="5" t="inlineStr">
        <is>
          <t>Δ 10Y Swap (bp)</t>
        </is>
      </c>
      <c r="H1" s="5" t="inlineStr">
        <is>
          <t>RV 公債 短期 (bp/y)</t>
        </is>
      </c>
      <c r="I1" s="5" t="inlineStr">
        <is>
          <t>RV 公債 長期 (bp/y)</t>
        </is>
      </c>
      <c r="J1" s="5" t="inlineStr">
        <is>
          <t>RV Swap 短期 (bp/y)</t>
        </is>
      </c>
      <c r="K1" s="5" t="inlineStr">
        <is>
          <t>RV Swap 長期 (bp/y)</t>
        </is>
      </c>
      <c r="L1" s="5" t="inlineStr">
        <is>
          <t>MOVE − RV 公債短期</t>
        </is>
      </c>
      <c r="M1" s="5" t="inlineStr">
        <is>
          <t>Swaption IV − RV Swap 長期</t>
        </is>
      </c>
      <c r="N1" s="5" t="inlineStr">
        <is>
          <t>未來長期視窗 Swap RV (bp/y)</t>
        </is>
      </c>
      <c r="O1" s="5" t="inlineStr">
        <is>
          <t>事後 VRP：Swaption IV − 未來 RV</t>
        </is>
      </c>
      <c r="P1" s="5" t="inlineStr">
        <is>
          <t>Kim-Wright TP (bp)</t>
        </is>
      </c>
      <c r="Q1" s="5" t="inlineStr">
        <is>
          <t>10Y TIPS (%)</t>
        </is>
      </c>
      <c r="R1" s="5" t="inlineStr">
        <is>
          <t>10Y BEI (%)</t>
        </is>
      </c>
      <c r="S1" s="5" t="inlineStr">
        <is>
          <t>檢查：名目 − TIPS − BEI (bp)</t>
        </is>
      </c>
      <c r="T1" s="5" t="inlineStr">
        <is>
          <t>Δ10Y 名目 相對基準日 (bp)</t>
        </is>
      </c>
      <c r="U1" s="5" t="inlineStr">
        <is>
          <t>ΔTIPS 實質利率貢獻 (bp)</t>
        </is>
      </c>
      <c r="V1" s="5" t="inlineStr">
        <is>
          <t>ΔBEI 通膨預期貢獻 (bp)</t>
        </is>
      </c>
      <c r="W1" s="5" t="inlineStr">
        <is>
          <t>ΔKim-Wright TP 相對基準日 (bp)</t>
        </is>
      </c>
      <c r="X1" s="5" t="inlineStr">
        <is>
          <t>DKW Δ預期實質短率 (bp)</t>
        </is>
      </c>
      <c r="Y1" s="5" t="inlineStr">
        <is>
          <t>DKW Δ實質 TP (bp)</t>
        </is>
      </c>
      <c r="Z1" s="5" t="inlineStr">
        <is>
          <t>DKW Δ預期通膨 (bp)</t>
        </is>
      </c>
      <c r="AA1" s="5" t="inlineStr">
        <is>
          <t>DKW Δ通膨風險溢酬 (bp)</t>
        </is>
      </c>
      <c r="AB1" s="5" t="inlineStr">
        <is>
          <t>DKW Δ名目 TP (bp)</t>
        </is>
      </c>
      <c r="AC1" s="5" t="inlineStr">
        <is>
          <t>2Y 公債 (%)</t>
        </is>
      </c>
      <c r="AD1" s="5" t="inlineStr">
        <is>
          <t>5Y 公債 (%)</t>
        </is>
      </c>
      <c r="AE1" s="5" t="inlineStr">
        <is>
          <t>30Y 公債 (%)</t>
        </is>
      </c>
      <c r="AF1" s="5" t="inlineStr">
        <is>
          <t>2s10s (bp)</t>
        </is>
      </c>
      <c r="AG1" s="5" t="inlineStr">
        <is>
          <t>5s30s (bp)</t>
        </is>
      </c>
      <c r="AH1" s="5" t="inlineStr">
        <is>
          <t>HY OAS (bp)</t>
        </is>
      </c>
      <c r="AI1" s="5" t="inlineStr">
        <is>
          <t>IG OAS (bp)</t>
        </is>
      </c>
      <c r="AJ1" s="5" t="inlineStr">
        <is>
          <t>CDX IG 5Y (bp)</t>
        </is>
      </c>
      <c r="AK1" s="5" t="inlineStr">
        <is>
          <t>CDX HY 5Y (bp)</t>
        </is>
      </c>
    </row>
    <row r="2">
      <c r="A2" s="17">
        <f>IF(ISNUMBER(BBG_Data!A2),BBG_Data!A2,"")</f>
        <v/>
      </c>
      <c r="B2" s="18">
        <f>IF(AND(ISNUMBER($A2),ISNUMBER(BBG_Data!B2)),BBG_Data!B2,NA())</f>
        <v/>
      </c>
      <c r="C2" s="18">
        <f>IF(NOT(ISNUMBER($A2)),NA(),IFERROR(1*INDEX(BBG_Data!$D$2:$D$4000,MATCH($A2,BBG_Data!$C$2:$C$4000,0)),NA()))</f>
        <v/>
      </c>
      <c r="D2" s="19">
        <f>IF(NOT(ISNUMBER($A2)),NA(),IFERROR(1*INDEX(BBG_Data!$F$2:$F$4000,MATCH($A2,BBG_Data!$E$2:$E$4000,0)),NA()))</f>
        <v/>
      </c>
      <c r="E2" s="19">
        <f>IF(NOT(ISNUMBER($A2)),NA(),IFERROR(1*INDEX(BBG_Data!$H$2:$H$4000,MATCH($A2,BBG_Data!$G$2:$G$4000,0)),NA()))</f>
        <v/>
      </c>
      <c r="F2" s="20">
        <f>""</f>
        <v/>
      </c>
      <c r="G2" s="20">
        <f>""</f>
        <v/>
      </c>
      <c r="H2" s="20">
        <f>IF(OR(NOT(ISNUMBER($A2)),ROW()-2&lt;Settings!$B$11),NA(),IF(COUNT(OFFSET(F2,1-Settings!$B$11,0,Settings!$B$11,1))&lt;ROUNDUP(Settings!$B$11*Settings!$B$26,0),NA(),STDEV(OFFSET(F2,1-Settings!$B$11,0,Settings!$B$11,1))*SQRT(Settings!$B$13)))</f>
        <v/>
      </c>
      <c r="I2" s="20">
        <f>IF(OR(NOT(ISNUMBER($A2)),ROW()-2&lt;Settings!$B$12),NA(),IF(COUNT(OFFSET(F2,1-Settings!$B$12,0,Settings!$B$12,1))&lt;ROUNDUP(Settings!$B$12*Settings!$B$26,0),NA(),STDEV(OFFSET(F2,1-Settings!$B$12,0,Settings!$B$12,1))*SQRT(Settings!$B$13)))</f>
        <v/>
      </c>
      <c r="J2" s="20">
        <f>IF(OR(NOT(ISNUMBER($A2)),ROW()-2&lt;Settings!$B$11),NA(),IF(COUNT(OFFSET(G2,1-Settings!$B$11,0,Settings!$B$11,1))&lt;ROUNDUP(Settings!$B$11*Settings!$B$26,0),NA(),STDEV(OFFSET(G2,1-Settings!$B$11,0,Settings!$B$11,1))*SQRT(Settings!$B$13)))</f>
        <v/>
      </c>
      <c r="K2" s="20">
        <f>IF(OR(NOT(ISNUMBER($A2)),ROW()-2&lt;Settings!$B$12),NA(),IF(COUNT(OFFSET(G2,1-Settings!$B$12,0,Settings!$B$12,1))&lt;ROUNDUP(Settings!$B$12*Settings!$B$26,0),NA(),STDEV(OFFSET(G2,1-Settings!$B$12,0,Settings!$B$12,1))*SQRT(Settings!$B$13)))</f>
        <v/>
      </c>
      <c r="L2" s="20">
        <f>IF(AND(ISNUMBER(D2),ISNUMBER(H2)),D2-H2,NA())</f>
        <v/>
      </c>
      <c r="M2" s="20">
        <f>IF(AND(ISNUMBER(E2),ISNUMBER(K2)),E2-K2,NA())</f>
        <v/>
      </c>
      <c r="N2" s="20">
        <f>IF(NOT(ISNUMBER($A2)),NA(),IF(COUNT(OFFSET(G2,1,0,Settings!$B$12,1))&lt;ROUNDUP(Settings!$B$12*Settings!$B$26,0),NA(),STDEV(OFFSET(G2,1,0,Settings!$B$12,1))*SQRT(Settings!$B$13)))</f>
        <v/>
      </c>
      <c r="O2" s="20">
        <f>IF(AND(ISNUMBER(E2),ISNUMBER(N2)),E2-N2,NA())</f>
        <v/>
      </c>
      <c r="P2" s="19">
        <f>IF(NOT(ISNUMBER($A2)),NA(),IF(OR($A2&lt;MIN(KW_TP!$A$2:$A$2501),$A2&gt;MAX(KW_TP!$A$2:$A$2501)),NA(),INDEX(KW_TP!$C$2:$C$2501,MATCH($A2,KW_TP!$A$2:$A$2501,1))))</f>
        <v/>
      </c>
      <c r="Q2" s="18">
        <f>IF(NOT(ISNUMBER($A2)),NA(),IFERROR(1*INDEX(BBG_Data!$J$2:$J$4000,MATCH($A2,BBG_Data!$I$2:$I$4000,0)),NA()))</f>
        <v/>
      </c>
      <c r="R2" s="18">
        <f>IF(NOT(ISNUMBER($A2)),NA(),IFERROR(1*INDEX(BBG_Data!$L$2:$L$4000,MATCH($A2,BBG_Data!$K$2:$K$4000,0)),NA()))</f>
        <v/>
      </c>
      <c r="S2" s="20">
        <f>IF(AND(ISNUMBER(B2),ISNUMBER(Q2),ISNUMBER(R2)),(B2-Q2-R2)*100,NA())</f>
        <v/>
      </c>
      <c r="T2" s="20">
        <f>IF(AND(ISNUMBER(B2),Settings!$B$17&gt;0),IF(ISNUMBER(INDEX($B:$B,Settings!$B$17)),(B2-INDEX($B:$B,Settings!$B$17))*100,NA()),NA())</f>
        <v/>
      </c>
      <c r="U2" s="20">
        <f>IF(AND(ISNUMBER(Q2),Settings!$B$17&gt;0),IF(ISNUMBER(INDEX($Q:$Q,Settings!$B$17)),(Q2-INDEX($Q:$Q,Settings!$B$17))*100,NA()),NA())</f>
        <v/>
      </c>
      <c r="V2" s="20">
        <f>IF(AND(ISNUMBER(R2),Settings!$B$17&gt;0),IF(ISNUMBER(INDEX($R:$R,Settings!$B$17)),(R2-INDEX($R:$R,Settings!$B$17))*100,NA()),NA())</f>
        <v/>
      </c>
      <c r="W2" s="20">
        <f>IF(AND(ISNUMBER(P2),Settings!$B$17&gt;0),IF(ISNUMBER(INDEX($P:$P,Settings!$B$17)),P2-INDEX($P:$P,Settings!$B$17),NA()),NA())</f>
        <v/>
      </c>
      <c r="X2" s="19">
        <f>IF(NOT(ISNUMBER($A2)),NA(),IF(OR($A2&lt;MIN(DKW_10Y!$A$2:$A$2918),$A2&gt;MAX(DKW_10Y!$A$2:$A$2918),Settings!$B$16&lt;MIN(DKW_10Y!$A$2:$A$2918)),NA(),(INDEX(DKW_10Y!$B$2:$B$2918,MATCH($A2,DKW_10Y!$A$2:$A$2918,1))-INDEX(DKW_10Y!$B$2:$B$2918,MATCH(Settings!$B$16,DKW_10Y!$A$2:$A$2918,1)))*100))</f>
        <v/>
      </c>
      <c r="Y2" s="19">
        <f>IF(NOT(ISNUMBER($A2)),NA(),IF(OR($A2&lt;MIN(DKW_10Y!$A$2:$A$2918),$A2&gt;MAX(DKW_10Y!$A$2:$A$2918),Settings!$B$16&lt;MIN(DKW_10Y!$A$2:$A$2918)),NA(),(INDEX(DKW_10Y!$C$2:$C$2918,MATCH($A2,DKW_10Y!$A$2:$A$2918,1))-INDEX(DKW_10Y!$C$2:$C$2918,MATCH(Settings!$B$16,DKW_10Y!$A$2:$A$2918,1)))*100))</f>
        <v/>
      </c>
      <c r="Z2" s="19">
        <f>IF(NOT(ISNUMBER($A2)),NA(),IF(OR($A2&lt;MIN(DKW_10Y!$A$2:$A$2918),$A2&gt;MAX(DKW_10Y!$A$2:$A$2918),Settings!$B$16&lt;MIN(DKW_10Y!$A$2:$A$2918)),NA(),(INDEX(DKW_10Y!$D$2:$D$2918,MATCH($A2,DKW_10Y!$A$2:$A$2918,1))-INDEX(DKW_10Y!$D$2:$D$2918,MATCH(Settings!$B$16,DKW_10Y!$A$2:$A$2918,1)))*100))</f>
        <v/>
      </c>
      <c r="AA2" s="19">
        <f>IF(NOT(ISNUMBER($A2)),NA(),IF(OR($A2&lt;MIN(DKW_10Y!$A$2:$A$2918),$A2&gt;MAX(DKW_10Y!$A$2:$A$2918),Settings!$B$16&lt;MIN(DKW_10Y!$A$2:$A$2918)),NA(),(INDEX(DKW_10Y!$E$2:$E$2918,MATCH($A2,DKW_10Y!$A$2:$A$2918,1))-INDEX(DKW_10Y!$E$2:$E$2918,MATCH(Settings!$B$16,DKW_10Y!$A$2:$A$2918,1)))*100))</f>
        <v/>
      </c>
      <c r="AB2" s="19">
        <f>IF(NOT(ISNUMBER($A2)),NA(),IF(OR($A2&lt;MIN(DKW_10Y!$A$2:$A$2918),$A2&gt;MAX(DKW_10Y!$A$2:$A$2918),Settings!$B$16&lt;MIN(DKW_10Y!$A$2:$A$2918)),NA(),(INDEX(DKW_10Y!$H$2:$H$2918,MATCH($A2,DKW_10Y!$A$2:$A$2918,1))-INDEX(DKW_10Y!$H$2:$H$2918,MATCH(Settings!$B$16,DKW_10Y!$A$2:$A$2918,1)))*100))</f>
        <v/>
      </c>
      <c r="AC2" s="18">
        <f>IF(NOT(ISNUMBER($A2)),NA(),IFERROR(1*INDEX(BBG_Data!$N$2:$N$4000,MATCH($A2,BBG_Data!$M$2:$M$4000,0)),NA()))</f>
        <v/>
      </c>
      <c r="AD2" s="18">
        <f>IF(NOT(ISNUMBER($A2)),NA(),IFERROR(1*INDEX(BBG_Data!$P$2:$P$4000,MATCH($A2,BBG_Data!$O$2:$O$4000,0)),NA()))</f>
        <v/>
      </c>
      <c r="AE2" s="18">
        <f>IF(NOT(ISNUMBER($A2)),NA(),IFERROR(1*INDEX(BBG_Data!$R$2:$R$4000,MATCH($A2,BBG_Data!$Q$2:$Q$4000,0)),NA()))</f>
        <v/>
      </c>
      <c r="AF2" s="20">
        <f>IF(AND(ISNUMBER(B2),ISNUMBER(AC2)),(B2-AC2)*100,NA())</f>
        <v/>
      </c>
      <c r="AG2" s="20">
        <f>IF(AND(ISNUMBER(AE2),ISNUMBER(AD2)),(AE2-AD2)*100,NA())</f>
        <v/>
      </c>
      <c r="AH2" s="19">
        <f>IF(NOT(ISNUMBER($A2)),NA(),IFERROR(INDEX(BBG_Data!$T$2:$T$4000,MATCH($A2,BBG_Data!$S$2:$S$4000,0))*Settings!$B$25,NA()))</f>
        <v/>
      </c>
      <c r="AI2" s="19">
        <f>IF(NOT(ISNUMBER($A2)),NA(),IFERROR(INDEX(BBG_Data!$V$2:$V$4000,MATCH($A2,BBG_Data!$U$2:$U$4000,0))*Settings!$B$25,NA()))</f>
        <v/>
      </c>
      <c r="AJ2" s="19">
        <f>IF(NOT(ISNUMBER($A2)),NA(),IFERROR(1*INDEX(BBG_Data!$X$2:$X$4000,MATCH($A2,BBG_Data!$W$2:$W$4000,0)),NA()))</f>
        <v/>
      </c>
      <c r="AK2" s="19">
        <f>IF(NOT(ISNUMBER($A2)),NA(),IFERROR(1*INDEX(BBG_Data!$Z$2:$Z$4000,MATCH($A2,BBG_Data!$Y$2:$Y$4000,0)),NA()))</f>
        <v/>
      </c>
    </row>
    <row r="3">
      <c r="A3" s="17">
        <f>IF(ISNUMBER(BBG_Data!A3),BBG_Data!A3,"")</f>
        <v/>
      </c>
      <c r="B3" s="18">
        <f>IF(AND(ISNUMBER($A3),ISNUMBER(BBG_Data!B3)),BBG_Data!B3,NA())</f>
        <v/>
      </c>
      <c r="C3" s="18">
        <f>IF(NOT(ISNUMBER($A3)),NA(),IFERROR(1*INDEX(BBG_Data!$D$2:$D$4000,MATCH($A3,BBG_Data!$C$2:$C$4000,0)),NA()))</f>
        <v/>
      </c>
      <c r="D3" s="19">
        <f>IF(NOT(ISNUMBER($A3)),NA(),IFERROR(1*INDEX(BBG_Data!$F$2:$F$4000,MATCH($A3,BBG_Data!$E$2:$E$4000,0)),NA()))</f>
        <v/>
      </c>
      <c r="E3" s="19">
        <f>IF(NOT(ISNUMBER($A3)),NA(),IFERROR(1*INDEX(BBG_Data!$H$2:$H$4000,MATCH($A3,BBG_Data!$G$2:$G$4000,0)),NA()))</f>
        <v/>
      </c>
      <c r="F3" s="20">
        <f>IF(AND(ISNUMBER(B3),ISNUMBER(B2)),IF(B3=B2,"",(B3-B2)*100),"")</f>
        <v/>
      </c>
      <c r="G3" s="20">
        <f>IF(AND(ISNUMBER(C3),ISNUMBER(C2)),IF(C3=C2,"",(C3-C2)*100),"")</f>
        <v/>
      </c>
      <c r="H3" s="20">
        <f>IF(OR(NOT(ISNUMBER($A3)),ROW()-2&lt;Settings!$B$11),NA(),IF(COUNT(OFFSET(F3,1-Settings!$B$11,0,Settings!$B$11,1))&lt;ROUNDUP(Settings!$B$11*Settings!$B$26,0),NA(),STDEV(OFFSET(F3,1-Settings!$B$11,0,Settings!$B$11,1))*SQRT(Settings!$B$13)))</f>
        <v/>
      </c>
      <c r="I3" s="20">
        <f>IF(OR(NOT(ISNUMBER($A3)),ROW()-2&lt;Settings!$B$12),NA(),IF(COUNT(OFFSET(F3,1-Settings!$B$12,0,Settings!$B$12,1))&lt;ROUNDUP(Settings!$B$12*Settings!$B$26,0),NA(),STDEV(OFFSET(F3,1-Settings!$B$12,0,Settings!$B$12,1))*SQRT(Settings!$B$13)))</f>
        <v/>
      </c>
      <c r="J3" s="20">
        <f>IF(OR(NOT(ISNUMBER($A3)),ROW()-2&lt;Settings!$B$11),NA(),IF(COUNT(OFFSET(G3,1-Settings!$B$11,0,Settings!$B$11,1))&lt;ROUNDUP(Settings!$B$11*Settings!$B$26,0),NA(),STDEV(OFFSET(G3,1-Settings!$B$11,0,Settings!$B$11,1))*SQRT(Settings!$B$13)))</f>
        <v/>
      </c>
      <c r="K3" s="20">
        <f>IF(OR(NOT(ISNUMBER($A3)),ROW()-2&lt;Settings!$B$12),NA(),IF(COUNT(OFFSET(G3,1-Settings!$B$12,0,Settings!$B$12,1))&lt;ROUNDUP(Settings!$B$12*Settings!$B$26,0),NA(),STDEV(OFFSET(G3,1-Settings!$B$12,0,Settings!$B$12,1))*SQRT(Settings!$B$13)))</f>
        <v/>
      </c>
      <c r="L3" s="20">
        <f>IF(AND(ISNUMBER(D3),ISNUMBER(H3)),D3-H3,NA())</f>
        <v/>
      </c>
      <c r="M3" s="20">
        <f>IF(AND(ISNUMBER(E3),ISNUMBER(K3)),E3-K3,NA())</f>
        <v/>
      </c>
      <c r="N3" s="20">
        <f>IF(NOT(ISNUMBER($A3)),NA(),IF(COUNT(OFFSET(G3,1,0,Settings!$B$12,1))&lt;ROUNDUP(Settings!$B$12*Settings!$B$26,0),NA(),STDEV(OFFSET(G3,1,0,Settings!$B$12,1))*SQRT(Settings!$B$13)))</f>
        <v/>
      </c>
      <c r="O3" s="20">
        <f>IF(AND(ISNUMBER(E3),ISNUMBER(N3)),E3-N3,NA())</f>
        <v/>
      </c>
      <c r="P3" s="19">
        <f>IF(NOT(ISNUMBER($A3)),NA(),IF(OR($A3&lt;MIN(KW_TP!$A$2:$A$2501),$A3&gt;MAX(KW_TP!$A$2:$A$2501)),NA(),INDEX(KW_TP!$C$2:$C$2501,MATCH($A3,KW_TP!$A$2:$A$2501,1))))</f>
        <v/>
      </c>
      <c r="Q3" s="18">
        <f>IF(NOT(ISNUMBER($A3)),NA(),IFERROR(1*INDEX(BBG_Data!$J$2:$J$4000,MATCH($A3,BBG_Data!$I$2:$I$4000,0)),NA()))</f>
        <v/>
      </c>
      <c r="R3" s="18">
        <f>IF(NOT(ISNUMBER($A3)),NA(),IFERROR(1*INDEX(BBG_Data!$L$2:$L$4000,MATCH($A3,BBG_Data!$K$2:$K$4000,0)),NA()))</f>
        <v/>
      </c>
      <c r="S3" s="20">
        <f>IF(AND(ISNUMBER(B3),ISNUMBER(Q3),ISNUMBER(R3)),(B3-Q3-R3)*100,NA())</f>
        <v/>
      </c>
      <c r="T3" s="20">
        <f>IF(AND(ISNUMBER(B3),Settings!$B$17&gt;0),IF(ISNUMBER(INDEX($B:$B,Settings!$B$17)),(B3-INDEX($B:$B,Settings!$B$17))*100,NA()),NA())</f>
        <v/>
      </c>
      <c r="U3" s="20">
        <f>IF(AND(ISNUMBER(Q3),Settings!$B$17&gt;0),IF(ISNUMBER(INDEX($Q:$Q,Settings!$B$17)),(Q3-INDEX($Q:$Q,Settings!$B$17))*100,NA()),NA())</f>
        <v/>
      </c>
      <c r="V3" s="20">
        <f>IF(AND(ISNUMBER(R3),Settings!$B$17&gt;0),IF(ISNUMBER(INDEX($R:$R,Settings!$B$17)),(R3-INDEX($R:$R,Settings!$B$17))*100,NA()),NA())</f>
        <v/>
      </c>
      <c r="W3" s="20">
        <f>IF(AND(ISNUMBER(P3),Settings!$B$17&gt;0),IF(ISNUMBER(INDEX($P:$P,Settings!$B$17)),P3-INDEX($P:$P,Settings!$B$17),NA()),NA())</f>
        <v/>
      </c>
      <c r="X3" s="19">
        <f>IF(NOT(ISNUMBER($A3)),NA(),IF(OR($A3&lt;MIN(DKW_10Y!$A$2:$A$2918),$A3&gt;MAX(DKW_10Y!$A$2:$A$2918),Settings!$B$16&lt;MIN(DKW_10Y!$A$2:$A$2918)),NA(),(INDEX(DKW_10Y!$B$2:$B$2918,MATCH($A3,DKW_10Y!$A$2:$A$2918,1))-INDEX(DKW_10Y!$B$2:$B$2918,MATCH(Settings!$B$16,DKW_10Y!$A$2:$A$2918,1)))*100))</f>
        <v/>
      </c>
      <c r="Y3" s="19">
        <f>IF(NOT(ISNUMBER($A3)),NA(),IF(OR($A3&lt;MIN(DKW_10Y!$A$2:$A$2918),$A3&gt;MAX(DKW_10Y!$A$2:$A$2918),Settings!$B$16&lt;MIN(DKW_10Y!$A$2:$A$2918)),NA(),(INDEX(DKW_10Y!$C$2:$C$2918,MATCH($A3,DKW_10Y!$A$2:$A$2918,1))-INDEX(DKW_10Y!$C$2:$C$2918,MATCH(Settings!$B$16,DKW_10Y!$A$2:$A$2918,1)))*100))</f>
        <v/>
      </c>
      <c r="Z3" s="19">
        <f>IF(NOT(ISNUMBER($A3)),NA(),IF(OR($A3&lt;MIN(DKW_10Y!$A$2:$A$2918),$A3&gt;MAX(DKW_10Y!$A$2:$A$2918),Settings!$B$16&lt;MIN(DKW_10Y!$A$2:$A$2918)),NA(),(INDEX(DKW_10Y!$D$2:$D$2918,MATCH($A3,DKW_10Y!$A$2:$A$2918,1))-INDEX(DKW_10Y!$D$2:$D$2918,MATCH(Settings!$B$16,DKW_10Y!$A$2:$A$2918,1)))*100))</f>
        <v/>
      </c>
      <c r="AA3" s="19">
        <f>IF(NOT(ISNUMBER($A3)),NA(),IF(OR($A3&lt;MIN(DKW_10Y!$A$2:$A$2918),$A3&gt;MAX(DKW_10Y!$A$2:$A$2918),Settings!$B$16&lt;MIN(DKW_10Y!$A$2:$A$2918)),NA(),(INDEX(DKW_10Y!$E$2:$E$2918,MATCH($A3,DKW_10Y!$A$2:$A$2918,1))-INDEX(DKW_10Y!$E$2:$E$2918,MATCH(Settings!$B$16,DKW_10Y!$A$2:$A$2918,1)))*100))</f>
        <v/>
      </c>
      <c r="AB3" s="19">
        <f>IF(NOT(ISNUMBER($A3)),NA(),IF(OR($A3&lt;MIN(DKW_10Y!$A$2:$A$2918),$A3&gt;MAX(DKW_10Y!$A$2:$A$2918),Settings!$B$16&lt;MIN(DKW_10Y!$A$2:$A$2918)),NA(),(INDEX(DKW_10Y!$H$2:$H$2918,MATCH($A3,DKW_10Y!$A$2:$A$2918,1))-INDEX(DKW_10Y!$H$2:$H$2918,MATCH(Settings!$B$16,DKW_10Y!$A$2:$A$2918,1)))*100))</f>
        <v/>
      </c>
      <c r="AC3" s="18">
        <f>IF(NOT(ISNUMBER($A3)),NA(),IFERROR(1*INDEX(BBG_Data!$N$2:$N$4000,MATCH($A3,BBG_Data!$M$2:$M$4000,0)),NA()))</f>
        <v/>
      </c>
      <c r="AD3" s="18">
        <f>IF(NOT(ISNUMBER($A3)),NA(),IFERROR(1*INDEX(BBG_Data!$P$2:$P$4000,MATCH($A3,BBG_Data!$O$2:$O$4000,0)),NA()))</f>
        <v/>
      </c>
      <c r="AE3" s="18">
        <f>IF(NOT(ISNUMBER($A3)),NA(),IFERROR(1*INDEX(BBG_Data!$R$2:$R$4000,MATCH($A3,BBG_Data!$Q$2:$Q$4000,0)),NA()))</f>
        <v/>
      </c>
      <c r="AF3" s="20">
        <f>IF(AND(ISNUMBER(B3),ISNUMBER(AC3)),(B3-AC3)*100,NA())</f>
        <v/>
      </c>
      <c r="AG3" s="20">
        <f>IF(AND(ISNUMBER(AE3),ISNUMBER(AD3)),(AE3-AD3)*100,NA())</f>
        <v/>
      </c>
      <c r="AH3" s="19">
        <f>IF(NOT(ISNUMBER($A3)),NA(),IFERROR(INDEX(BBG_Data!$T$2:$T$4000,MATCH($A3,BBG_Data!$S$2:$S$4000,0))*Settings!$B$25,NA()))</f>
        <v/>
      </c>
      <c r="AI3" s="19">
        <f>IF(NOT(ISNUMBER($A3)),NA(),IFERROR(INDEX(BBG_Data!$V$2:$V$4000,MATCH($A3,BBG_Data!$U$2:$U$4000,0))*Settings!$B$25,NA()))</f>
        <v/>
      </c>
      <c r="AJ3" s="19">
        <f>IF(NOT(ISNUMBER($A3)),NA(),IFERROR(1*INDEX(BBG_Data!$X$2:$X$4000,MATCH($A3,BBG_Data!$W$2:$W$4000,0)),NA()))</f>
        <v/>
      </c>
      <c r="AK3" s="19">
        <f>IF(NOT(ISNUMBER($A3)),NA(),IFERROR(1*INDEX(BBG_Data!$Z$2:$Z$4000,MATCH($A3,BBG_Data!$Y$2:$Y$4000,0)),NA()))</f>
        <v/>
      </c>
    </row>
    <row r="4">
      <c r="A4" s="17">
        <f>IF(ISNUMBER(BBG_Data!A4),BBG_Data!A4,"")</f>
        <v/>
      </c>
      <c r="B4" s="18">
        <f>IF(AND(ISNUMBER($A4),ISNUMBER(BBG_Data!B4)),BBG_Data!B4,NA())</f>
        <v/>
      </c>
      <c r="C4" s="18">
        <f>IF(NOT(ISNUMBER($A4)),NA(),IFERROR(1*INDEX(BBG_Data!$D$2:$D$4000,MATCH($A4,BBG_Data!$C$2:$C$4000,0)),NA()))</f>
        <v/>
      </c>
      <c r="D4" s="19">
        <f>IF(NOT(ISNUMBER($A4)),NA(),IFERROR(1*INDEX(BBG_Data!$F$2:$F$4000,MATCH($A4,BBG_Data!$E$2:$E$4000,0)),NA()))</f>
        <v/>
      </c>
      <c r="E4" s="19">
        <f>IF(NOT(ISNUMBER($A4)),NA(),IFERROR(1*INDEX(BBG_Data!$H$2:$H$4000,MATCH($A4,BBG_Data!$G$2:$G$4000,0)),NA()))</f>
        <v/>
      </c>
      <c r="F4" s="20">
        <f>IF(AND(ISNUMBER(B4),ISNUMBER(B3)),IF(B4=B3,"",(B4-B3)*100),"")</f>
        <v/>
      </c>
      <c r="G4" s="20">
        <f>IF(AND(ISNUMBER(C4),ISNUMBER(C3)),IF(C4=C3,"",(C4-C3)*100),"")</f>
        <v/>
      </c>
      <c r="H4" s="20">
        <f>IF(OR(NOT(ISNUMBER($A4)),ROW()-2&lt;Settings!$B$11),NA(),IF(COUNT(OFFSET(F4,1-Settings!$B$11,0,Settings!$B$11,1))&lt;ROUNDUP(Settings!$B$11*Settings!$B$26,0),NA(),STDEV(OFFSET(F4,1-Settings!$B$11,0,Settings!$B$11,1))*SQRT(Settings!$B$13)))</f>
        <v/>
      </c>
      <c r="I4" s="20">
        <f>IF(OR(NOT(ISNUMBER($A4)),ROW()-2&lt;Settings!$B$12),NA(),IF(COUNT(OFFSET(F4,1-Settings!$B$12,0,Settings!$B$12,1))&lt;ROUNDUP(Settings!$B$12*Settings!$B$26,0),NA(),STDEV(OFFSET(F4,1-Settings!$B$12,0,Settings!$B$12,1))*SQRT(Settings!$B$13)))</f>
        <v/>
      </c>
      <c r="J4" s="20">
        <f>IF(OR(NOT(ISNUMBER($A4)),ROW()-2&lt;Settings!$B$11),NA(),IF(COUNT(OFFSET(G4,1-Settings!$B$11,0,Settings!$B$11,1))&lt;ROUNDUP(Settings!$B$11*Settings!$B$26,0),NA(),STDEV(OFFSET(G4,1-Settings!$B$11,0,Settings!$B$11,1))*SQRT(Settings!$B$13)))</f>
        <v/>
      </c>
      <c r="K4" s="20">
        <f>IF(OR(NOT(ISNUMBER($A4)),ROW()-2&lt;Settings!$B$12),NA(),IF(COUNT(OFFSET(G4,1-Settings!$B$12,0,Settings!$B$12,1))&lt;ROUNDUP(Settings!$B$12*Settings!$B$26,0),NA(),STDEV(OFFSET(G4,1-Settings!$B$12,0,Settings!$B$12,1))*SQRT(Settings!$B$13)))</f>
        <v/>
      </c>
      <c r="L4" s="20">
        <f>IF(AND(ISNUMBER(D4),ISNUMBER(H4)),D4-H4,NA())</f>
        <v/>
      </c>
      <c r="M4" s="20">
        <f>IF(AND(ISNUMBER(E4),ISNUMBER(K4)),E4-K4,NA())</f>
        <v/>
      </c>
      <c r="N4" s="20">
        <f>IF(NOT(ISNUMBER($A4)),NA(),IF(COUNT(OFFSET(G4,1,0,Settings!$B$12,1))&lt;ROUNDUP(Settings!$B$12*Settings!$B$26,0),NA(),STDEV(OFFSET(G4,1,0,Settings!$B$12,1))*SQRT(Settings!$B$13)))</f>
        <v/>
      </c>
      <c r="O4" s="20">
        <f>IF(AND(ISNUMBER(E4),ISNUMBER(N4)),E4-N4,NA())</f>
        <v/>
      </c>
      <c r="P4" s="19">
        <f>IF(NOT(ISNUMBER($A4)),NA(),IF(OR($A4&lt;MIN(KW_TP!$A$2:$A$2501),$A4&gt;MAX(KW_TP!$A$2:$A$2501)),NA(),INDEX(KW_TP!$C$2:$C$2501,MATCH($A4,KW_TP!$A$2:$A$2501,1))))</f>
        <v/>
      </c>
      <c r="Q4" s="18">
        <f>IF(NOT(ISNUMBER($A4)),NA(),IFERROR(1*INDEX(BBG_Data!$J$2:$J$4000,MATCH($A4,BBG_Data!$I$2:$I$4000,0)),NA()))</f>
        <v/>
      </c>
      <c r="R4" s="18">
        <f>IF(NOT(ISNUMBER($A4)),NA(),IFERROR(1*INDEX(BBG_Data!$L$2:$L$4000,MATCH($A4,BBG_Data!$K$2:$K$4000,0)),NA()))</f>
        <v/>
      </c>
      <c r="S4" s="20">
        <f>IF(AND(ISNUMBER(B4),ISNUMBER(Q4),ISNUMBER(R4)),(B4-Q4-R4)*100,NA())</f>
        <v/>
      </c>
      <c r="T4" s="20">
        <f>IF(AND(ISNUMBER(B4),Settings!$B$17&gt;0),IF(ISNUMBER(INDEX($B:$B,Settings!$B$17)),(B4-INDEX($B:$B,Settings!$B$17))*100,NA()),NA())</f>
        <v/>
      </c>
      <c r="U4" s="20">
        <f>IF(AND(ISNUMBER(Q4),Settings!$B$17&gt;0),IF(ISNUMBER(INDEX($Q:$Q,Settings!$B$17)),(Q4-INDEX($Q:$Q,Settings!$B$17))*100,NA()),NA())</f>
        <v/>
      </c>
      <c r="V4" s="20">
        <f>IF(AND(ISNUMBER(R4),Settings!$B$17&gt;0),IF(ISNUMBER(INDEX($R:$R,Settings!$B$17)),(R4-INDEX($R:$R,Settings!$B$17))*100,NA()),NA())</f>
        <v/>
      </c>
      <c r="W4" s="20">
        <f>IF(AND(ISNUMBER(P4),Settings!$B$17&gt;0),IF(ISNUMBER(INDEX($P:$P,Settings!$B$17)),P4-INDEX($P:$P,Settings!$B$17),NA()),NA())</f>
        <v/>
      </c>
      <c r="X4" s="19">
        <f>IF(NOT(ISNUMBER($A4)),NA(),IF(OR($A4&lt;MIN(DKW_10Y!$A$2:$A$2918),$A4&gt;MAX(DKW_10Y!$A$2:$A$2918),Settings!$B$16&lt;MIN(DKW_10Y!$A$2:$A$2918)),NA(),(INDEX(DKW_10Y!$B$2:$B$2918,MATCH($A4,DKW_10Y!$A$2:$A$2918,1))-INDEX(DKW_10Y!$B$2:$B$2918,MATCH(Settings!$B$16,DKW_10Y!$A$2:$A$2918,1)))*100))</f>
        <v/>
      </c>
      <c r="Y4" s="19">
        <f>IF(NOT(ISNUMBER($A4)),NA(),IF(OR($A4&lt;MIN(DKW_10Y!$A$2:$A$2918),$A4&gt;MAX(DKW_10Y!$A$2:$A$2918),Settings!$B$16&lt;MIN(DKW_10Y!$A$2:$A$2918)),NA(),(INDEX(DKW_10Y!$C$2:$C$2918,MATCH($A4,DKW_10Y!$A$2:$A$2918,1))-INDEX(DKW_10Y!$C$2:$C$2918,MATCH(Settings!$B$16,DKW_10Y!$A$2:$A$2918,1)))*100))</f>
        <v/>
      </c>
      <c r="Z4" s="19">
        <f>IF(NOT(ISNUMBER($A4)),NA(),IF(OR($A4&lt;MIN(DKW_10Y!$A$2:$A$2918),$A4&gt;MAX(DKW_10Y!$A$2:$A$2918),Settings!$B$16&lt;MIN(DKW_10Y!$A$2:$A$2918)),NA(),(INDEX(DKW_10Y!$D$2:$D$2918,MATCH($A4,DKW_10Y!$A$2:$A$2918,1))-INDEX(DKW_10Y!$D$2:$D$2918,MATCH(Settings!$B$16,DKW_10Y!$A$2:$A$2918,1)))*100))</f>
        <v/>
      </c>
      <c r="AA4" s="19">
        <f>IF(NOT(ISNUMBER($A4)),NA(),IF(OR($A4&lt;MIN(DKW_10Y!$A$2:$A$2918),$A4&gt;MAX(DKW_10Y!$A$2:$A$2918),Settings!$B$16&lt;MIN(DKW_10Y!$A$2:$A$2918)),NA(),(INDEX(DKW_10Y!$E$2:$E$2918,MATCH($A4,DKW_10Y!$A$2:$A$2918,1))-INDEX(DKW_10Y!$E$2:$E$2918,MATCH(Settings!$B$16,DKW_10Y!$A$2:$A$2918,1)))*100))</f>
        <v/>
      </c>
      <c r="AB4" s="19">
        <f>IF(NOT(ISNUMBER($A4)),NA(),IF(OR($A4&lt;MIN(DKW_10Y!$A$2:$A$2918),$A4&gt;MAX(DKW_10Y!$A$2:$A$2918),Settings!$B$16&lt;MIN(DKW_10Y!$A$2:$A$2918)),NA(),(INDEX(DKW_10Y!$H$2:$H$2918,MATCH($A4,DKW_10Y!$A$2:$A$2918,1))-INDEX(DKW_10Y!$H$2:$H$2918,MATCH(Settings!$B$16,DKW_10Y!$A$2:$A$2918,1)))*100))</f>
        <v/>
      </c>
      <c r="AC4" s="18">
        <f>IF(NOT(ISNUMBER($A4)),NA(),IFERROR(1*INDEX(BBG_Data!$N$2:$N$4000,MATCH($A4,BBG_Data!$M$2:$M$4000,0)),NA()))</f>
        <v/>
      </c>
      <c r="AD4" s="18">
        <f>IF(NOT(ISNUMBER($A4)),NA(),IFERROR(1*INDEX(BBG_Data!$P$2:$P$4000,MATCH($A4,BBG_Data!$O$2:$O$4000,0)),NA()))</f>
        <v/>
      </c>
      <c r="AE4" s="18">
        <f>IF(NOT(ISNUMBER($A4)),NA(),IFERROR(1*INDEX(BBG_Data!$R$2:$R$4000,MATCH($A4,BBG_Data!$Q$2:$Q$4000,0)),NA()))</f>
        <v/>
      </c>
      <c r="AF4" s="20">
        <f>IF(AND(ISNUMBER(B4),ISNUMBER(AC4)),(B4-AC4)*100,NA())</f>
        <v/>
      </c>
      <c r="AG4" s="20">
        <f>IF(AND(ISNUMBER(AE4),ISNUMBER(AD4)),(AE4-AD4)*100,NA())</f>
        <v/>
      </c>
      <c r="AH4" s="19">
        <f>IF(NOT(ISNUMBER($A4)),NA(),IFERROR(INDEX(BBG_Data!$T$2:$T$4000,MATCH($A4,BBG_Data!$S$2:$S$4000,0))*Settings!$B$25,NA()))</f>
        <v/>
      </c>
      <c r="AI4" s="19">
        <f>IF(NOT(ISNUMBER($A4)),NA(),IFERROR(INDEX(BBG_Data!$V$2:$V$4000,MATCH($A4,BBG_Data!$U$2:$U$4000,0))*Settings!$B$25,NA()))</f>
        <v/>
      </c>
      <c r="AJ4" s="19">
        <f>IF(NOT(ISNUMBER($A4)),NA(),IFERROR(1*INDEX(BBG_Data!$X$2:$X$4000,MATCH($A4,BBG_Data!$W$2:$W$4000,0)),NA()))</f>
        <v/>
      </c>
      <c r="AK4" s="19">
        <f>IF(NOT(ISNUMBER($A4)),NA(),IFERROR(1*INDEX(BBG_Data!$Z$2:$Z$4000,MATCH($A4,BBG_Data!$Y$2:$Y$4000,0)),NA()))</f>
        <v/>
      </c>
    </row>
    <row r="5">
      <c r="A5" s="17">
        <f>IF(ISNUMBER(BBG_Data!A5),BBG_Data!A5,"")</f>
        <v/>
      </c>
      <c r="B5" s="18">
        <f>IF(AND(ISNUMBER($A5),ISNUMBER(BBG_Data!B5)),BBG_Data!B5,NA())</f>
        <v/>
      </c>
      <c r="C5" s="18">
        <f>IF(NOT(ISNUMBER($A5)),NA(),IFERROR(1*INDEX(BBG_Data!$D$2:$D$4000,MATCH($A5,BBG_Data!$C$2:$C$4000,0)),NA()))</f>
        <v/>
      </c>
      <c r="D5" s="19">
        <f>IF(NOT(ISNUMBER($A5)),NA(),IFERROR(1*INDEX(BBG_Data!$F$2:$F$4000,MATCH($A5,BBG_Data!$E$2:$E$4000,0)),NA()))</f>
        <v/>
      </c>
      <c r="E5" s="19">
        <f>IF(NOT(ISNUMBER($A5)),NA(),IFERROR(1*INDEX(BBG_Data!$H$2:$H$4000,MATCH($A5,BBG_Data!$G$2:$G$4000,0)),NA()))</f>
        <v/>
      </c>
      <c r="F5" s="20">
        <f>IF(AND(ISNUMBER(B5),ISNUMBER(B4)),IF(B5=B4,"",(B5-B4)*100),"")</f>
        <v/>
      </c>
      <c r="G5" s="20">
        <f>IF(AND(ISNUMBER(C5),ISNUMBER(C4)),IF(C5=C4,"",(C5-C4)*100),"")</f>
        <v/>
      </c>
      <c r="H5" s="20">
        <f>IF(OR(NOT(ISNUMBER($A5)),ROW()-2&lt;Settings!$B$11),NA(),IF(COUNT(OFFSET(F5,1-Settings!$B$11,0,Settings!$B$11,1))&lt;ROUNDUP(Settings!$B$11*Settings!$B$26,0),NA(),STDEV(OFFSET(F5,1-Settings!$B$11,0,Settings!$B$11,1))*SQRT(Settings!$B$13)))</f>
        <v/>
      </c>
      <c r="I5" s="20">
        <f>IF(OR(NOT(ISNUMBER($A5)),ROW()-2&lt;Settings!$B$12),NA(),IF(COUNT(OFFSET(F5,1-Settings!$B$12,0,Settings!$B$12,1))&lt;ROUNDUP(Settings!$B$12*Settings!$B$26,0),NA(),STDEV(OFFSET(F5,1-Settings!$B$12,0,Settings!$B$12,1))*SQRT(Settings!$B$13)))</f>
        <v/>
      </c>
      <c r="J5" s="20">
        <f>IF(OR(NOT(ISNUMBER($A5)),ROW()-2&lt;Settings!$B$11),NA(),IF(COUNT(OFFSET(G5,1-Settings!$B$11,0,Settings!$B$11,1))&lt;ROUNDUP(Settings!$B$11*Settings!$B$26,0),NA(),STDEV(OFFSET(G5,1-Settings!$B$11,0,Settings!$B$11,1))*SQRT(Settings!$B$13)))</f>
        <v/>
      </c>
      <c r="K5" s="20">
        <f>IF(OR(NOT(ISNUMBER($A5)),ROW()-2&lt;Settings!$B$12),NA(),IF(COUNT(OFFSET(G5,1-Settings!$B$12,0,Settings!$B$12,1))&lt;ROUNDUP(Settings!$B$12*Settings!$B$26,0),NA(),STDEV(OFFSET(G5,1-Settings!$B$12,0,Settings!$B$12,1))*SQRT(Settings!$B$13)))</f>
        <v/>
      </c>
      <c r="L5" s="20">
        <f>IF(AND(ISNUMBER(D5),ISNUMBER(H5)),D5-H5,NA())</f>
        <v/>
      </c>
      <c r="M5" s="20">
        <f>IF(AND(ISNUMBER(E5),ISNUMBER(K5)),E5-K5,NA())</f>
        <v/>
      </c>
      <c r="N5" s="20">
        <f>IF(NOT(ISNUMBER($A5)),NA(),IF(COUNT(OFFSET(G5,1,0,Settings!$B$12,1))&lt;ROUNDUP(Settings!$B$12*Settings!$B$26,0),NA(),STDEV(OFFSET(G5,1,0,Settings!$B$12,1))*SQRT(Settings!$B$13)))</f>
        <v/>
      </c>
      <c r="O5" s="20">
        <f>IF(AND(ISNUMBER(E5),ISNUMBER(N5)),E5-N5,NA())</f>
        <v/>
      </c>
      <c r="P5" s="19">
        <f>IF(NOT(ISNUMBER($A5)),NA(),IF(OR($A5&lt;MIN(KW_TP!$A$2:$A$2501),$A5&gt;MAX(KW_TP!$A$2:$A$2501)),NA(),INDEX(KW_TP!$C$2:$C$2501,MATCH($A5,KW_TP!$A$2:$A$2501,1))))</f>
        <v/>
      </c>
      <c r="Q5" s="18">
        <f>IF(NOT(ISNUMBER($A5)),NA(),IFERROR(1*INDEX(BBG_Data!$J$2:$J$4000,MATCH($A5,BBG_Data!$I$2:$I$4000,0)),NA()))</f>
        <v/>
      </c>
      <c r="R5" s="18">
        <f>IF(NOT(ISNUMBER($A5)),NA(),IFERROR(1*INDEX(BBG_Data!$L$2:$L$4000,MATCH($A5,BBG_Data!$K$2:$K$4000,0)),NA()))</f>
        <v/>
      </c>
      <c r="S5" s="20">
        <f>IF(AND(ISNUMBER(B5),ISNUMBER(Q5),ISNUMBER(R5)),(B5-Q5-R5)*100,NA())</f>
        <v/>
      </c>
      <c r="T5" s="20">
        <f>IF(AND(ISNUMBER(B5),Settings!$B$17&gt;0),IF(ISNUMBER(INDEX($B:$B,Settings!$B$17)),(B5-INDEX($B:$B,Settings!$B$17))*100,NA()),NA())</f>
        <v/>
      </c>
      <c r="U5" s="20">
        <f>IF(AND(ISNUMBER(Q5),Settings!$B$17&gt;0),IF(ISNUMBER(INDEX($Q:$Q,Settings!$B$17)),(Q5-INDEX($Q:$Q,Settings!$B$17))*100,NA()),NA())</f>
        <v/>
      </c>
      <c r="V5" s="20">
        <f>IF(AND(ISNUMBER(R5),Settings!$B$17&gt;0),IF(ISNUMBER(INDEX($R:$R,Settings!$B$17)),(R5-INDEX($R:$R,Settings!$B$17))*100,NA()),NA())</f>
        <v/>
      </c>
      <c r="W5" s="20">
        <f>IF(AND(ISNUMBER(P5),Settings!$B$17&gt;0),IF(ISNUMBER(INDEX($P:$P,Settings!$B$17)),P5-INDEX($P:$P,Settings!$B$17),NA()),NA())</f>
        <v/>
      </c>
      <c r="X5" s="19">
        <f>IF(NOT(ISNUMBER($A5)),NA(),IF(OR($A5&lt;MIN(DKW_10Y!$A$2:$A$2918),$A5&gt;MAX(DKW_10Y!$A$2:$A$2918),Settings!$B$16&lt;MIN(DKW_10Y!$A$2:$A$2918)),NA(),(INDEX(DKW_10Y!$B$2:$B$2918,MATCH($A5,DKW_10Y!$A$2:$A$2918,1))-INDEX(DKW_10Y!$B$2:$B$2918,MATCH(Settings!$B$16,DKW_10Y!$A$2:$A$2918,1)))*100))</f>
        <v/>
      </c>
      <c r="Y5" s="19">
        <f>IF(NOT(ISNUMBER($A5)),NA(),IF(OR($A5&lt;MIN(DKW_10Y!$A$2:$A$2918),$A5&gt;MAX(DKW_10Y!$A$2:$A$2918),Settings!$B$16&lt;MIN(DKW_10Y!$A$2:$A$2918)),NA(),(INDEX(DKW_10Y!$C$2:$C$2918,MATCH($A5,DKW_10Y!$A$2:$A$2918,1))-INDEX(DKW_10Y!$C$2:$C$2918,MATCH(Settings!$B$16,DKW_10Y!$A$2:$A$2918,1)))*100))</f>
        <v/>
      </c>
      <c r="Z5" s="19">
        <f>IF(NOT(ISNUMBER($A5)),NA(),IF(OR($A5&lt;MIN(DKW_10Y!$A$2:$A$2918),$A5&gt;MAX(DKW_10Y!$A$2:$A$2918),Settings!$B$16&lt;MIN(DKW_10Y!$A$2:$A$2918)),NA(),(INDEX(DKW_10Y!$D$2:$D$2918,MATCH($A5,DKW_10Y!$A$2:$A$2918,1))-INDEX(DKW_10Y!$D$2:$D$2918,MATCH(Settings!$B$16,DKW_10Y!$A$2:$A$2918,1)))*100))</f>
        <v/>
      </c>
      <c r="AA5" s="19">
        <f>IF(NOT(ISNUMBER($A5)),NA(),IF(OR($A5&lt;MIN(DKW_10Y!$A$2:$A$2918),$A5&gt;MAX(DKW_10Y!$A$2:$A$2918),Settings!$B$16&lt;MIN(DKW_10Y!$A$2:$A$2918)),NA(),(INDEX(DKW_10Y!$E$2:$E$2918,MATCH($A5,DKW_10Y!$A$2:$A$2918,1))-INDEX(DKW_10Y!$E$2:$E$2918,MATCH(Settings!$B$16,DKW_10Y!$A$2:$A$2918,1)))*100))</f>
        <v/>
      </c>
      <c r="AB5" s="19">
        <f>IF(NOT(ISNUMBER($A5)),NA(),IF(OR($A5&lt;MIN(DKW_10Y!$A$2:$A$2918),$A5&gt;MAX(DKW_10Y!$A$2:$A$2918),Settings!$B$16&lt;MIN(DKW_10Y!$A$2:$A$2918)),NA(),(INDEX(DKW_10Y!$H$2:$H$2918,MATCH($A5,DKW_10Y!$A$2:$A$2918,1))-INDEX(DKW_10Y!$H$2:$H$2918,MATCH(Settings!$B$16,DKW_10Y!$A$2:$A$2918,1)))*100))</f>
        <v/>
      </c>
      <c r="AC5" s="18">
        <f>IF(NOT(ISNUMBER($A5)),NA(),IFERROR(1*INDEX(BBG_Data!$N$2:$N$4000,MATCH($A5,BBG_Data!$M$2:$M$4000,0)),NA()))</f>
        <v/>
      </c>
      <c r="AD5" s="18">
        <f>IF(NOT(ISNUMBER($A5)),NA(),IFERROR(1*INDEX(BBG_Data!$P$2:$P$4000,MATCH($A5,BBG_Data!$O$2:$O$4000,0)),NA()))</f>
        <v/>
      </c>
      <c r="AE5" s="18">
        <f>IF(NOT(ISNUMBER($A5)),NA(),IFERROR(1*INDEX(BBG_Data!$R$2:$R$4000,MATCH($A5,BBG_Data!$Q$2:$Q$4000,0)),NA()))</f>
        <v/>
      </c>
      <c r="AF5" s="20">
        <f>IF(AND(ISNUMBER(B5),ISNUMBER(AC5)),(B5-AC5)*100,NA())</f>
        <v/>
      </c>
      <c r="AG5" s="20">
        <f>IF(AND(ISNUMBER(AE5),ISNUMBER(AD5)),(AE5-AD5)*100,NA())</f>
        <v/>
      </c>
      <c r="AH5" s="19">
        <f>IF(NOT(ISNUMBER($A5)),NA(),IFERROR(INDEX(BBG_Data!$T$2:$T$4000,MATCH($A5,BBG_Data!$S$2:$S$4000,0))*Settings!$B$25,NA()))</f>
        <v/>
      </c>
      <c r="AI5" s="19">
        <f>IF(NOT(ISNUMBER($A5)),NA(),IFERROR(INDEX(BBG_Data!$V$2:$V$4000,MATCH($A5,BBG_Data!$U$2:$U$4000,0))*Settings!$B$25,NA()))</f>
        <v/>
      </c>
      <c r="AJ5" s="19">
        <f>IF(NOT(ISNUMBER($A5)),NA(),IFERROR(1*INDEX(BBG_Data!$X$2:$X$4000,MATCH($A5,BBG_Data!$W$2:$W$4000,0)),NA()))</f>
        <v/>
      </c>
      <c r="AK5" s="19">
        <f>IF(NOT(ISNUMBER($A5)),NA(),IFERROR(1*INDEX(BBG_Data!$Z$2:$Z$4000,MATCH($A5,BBG_Data!$Y$2:$Y$4000,0)),NA()))</f>
        <v/>
      </c>
    </row>
    <row r="6">
      <c r="A6" s="17">
        <f>IF(ISNUMBER(BBG_Data!A6),BBG_Data!A6,"")</f>
        <v/>
      </c>
      <c r="B6" s="18">
        <f>IF(AND(ISNUMBER($A6),ISNUMBER(BBG_Data!B6)),BBG_Data!B6,NA())</f>
        <v/>
      </c>
      <c r="C6" s="18">
        <f>IF(NOT(ISNUMBER($A6)),NA(),IFERROR(1*INDEX(BBG_Data!$D$2:$D$4000,MATCH($A6,BBG_Data!$C$2:$C$4000,0)),NA()))</f>
        <v/>
      </c>
      <c r="D6" s="19">
        <f>IF(NOT(ISNUMBER($A6)),NA(),IFERROR(1*INDEX(BBG_Data!$F$2:$F$4000,MATCH($A6,BBG_Data!$E$2:$E$4000,0)),NA()))</f>
        <v/>
      </c>
      <c r="E6" s="19">
        <f>IF(NOT(ISNUMBER($A6)),NA(),IFERROR(1*INDEX(BBG_Data!$H$2:$H$4000,MATCH($A6,BBG_Data!$G$2:$G$4000,0)),NA()))</f>
        <v/>
      </c>
      <c r="F6" s="20">
        <f>IF(AND(ISNUMBER(B6),ISNUMBER(B5)),IF(B6=B5,"",(B6-B5)*100),"")</f>
        <v/>
      </c>
      <c r="G6" s="20">
        <f>IF(AND(ISNUMBER(C6),ISNUMBER(C5)),IF(C6=C5,"",(C6-C5)*100),"")</f>
        <v/>
      </c>
      <c r="H6" s="20">
        <f>IF(OR(NOT(ISNUMBER($A6)),ROW()-2&lt;Settings!$B$11),NA(),IF(COUNT(OFFSET(F6,1-Settings!$B$11,0,Settings!$B$11,1))&lt;ROUNDUP(Settings!$B$11*Settings!$B$26,0),NA(),STDEV(OFFSET(F6,1-Settings!$B$11,0,Settings!$B$11,1))*SQRT(Settings!$B$13)))</f>
        <v/>
      </c>
      <c r="I6" s="20">
        <f>IF(OR(NOT(ISNUMBER($A6)),ROW()-2&lt;Settings!$B$12),NA(),IF(COUNT(OFFSET(F6,1-Settings!$B$12,0,Settings!$B$12,1))&lt;ROUNDUP(Settings!$B$12*Settings!$B$26,0),NA(),STDEV(OFFSET(F6,1-Settings!$B$12,0,Settings!$B$12,1))*SQRT(Settings!$B$13)))</f>
        <v/>
      </c>
      <c r="J6" s="20">
        <f>IF(OR(NOT(ISNUMBER($A6)),ROW()-2&lt;Settings!$B$11),NA(),IF(COUNT(OFFSET(G6,1-Settings!$B$11,0,Settings!$B$11,1))&lt;ROUNDUP(Settings!$B$11*Settings!$B$26,0),NA(),STDEV(OFFSET(G6,1-Settings!$B$11,0,Settings!$B$11,1))*SQRT(Settings!$B$13)))</f>
        <v/>
      </c>
      <c r="K6" s="20">
        <f>IF(OR(NOT(ISNUMBER($A6)),ROW()-2&lt;Settings!$B$12),NA(),IF(COUNT(OFFSET(G6,1-Settings!$B$12,0,Settings!$B$12,1))&lt;ROUNDUP(Settings!$B$12*Settings!$B$26,0),NA(),STDEV(OFFSET(G6,1-Settings!$B$12,0,Settings!$B$12,1))*SQRT(Settings!$B$13)))</f>
        <v/>
      </c>
      <c r="L6" s="20">
        <f>IF(AND(ISNUMBER(D6),ISNUMBER(H6)),D6-H6,NA())</f>
        <v/>
      </c>
      <c r="M6" s="20">
        <f>IF(AND(ISNUMBER(E6),ISNUMBER(K6)),E6-K6,NA())</f>
        <v/>
      </c>
      <c r="N6" s="20">
        <f>IF(NOT(ISNUMBER($A6)),NA(),IF(COUNT(OFFSET(G6,1,0,Settings!$B$12,1))&lt;ROUNDUP(Settings!$B$12*Settings!$B$26,0),NA(),STDEV(OFFSET(G6,1,0,Settings!$B$12,1))*SQRT(Settings!$B$13)))</f>
        <v/>
      </c>
      <c r="O6" s="20">
        <f>IF(AND(ISNUMBER(E6),ISNUMBER(N6)),E6-N6,NA())</f>
        <v/>
      </c>
      <c r="P6" s="19">
        <f>IF(NOT(ISNUMBER($A6)),NA(),IF(OR($A6&lt;MIN(KW_TP!$A$2:$A$2501),$A6&gt;MAX(KW_TP!$A$2:$A$2501)),NA(),INDEX(KW_TP!$C$2:$C$2501,MATCH($A6,KW_TP!$A$2:$A$2501,1))))</f>
        <v/>
      </c>
      <c r="Q6" s="18">
        <f>IF(NOT(ISNUMBER($A6)),NA(),IFERROR(1*INDEX(BBG_Data!$J$2:$J$4000,MATCH($A6,BBG_Data!$I$2:$I$4000,0)),NA()))</f>
        <v/>
      </c>
      <c r="R6" s="18">
        <f>IF(NOT(ISNUMBER($A6)),NA(),IFERROR(1*INDEX(BBG_Data!$L$2:$L$4000,MATCH($A6,BBG_Data!$K$2:$K$4000,0)),NA()))</f>
        <v/>
      </c>
      <c r="S6" s="20">
        <f>IF(AND(ISNUMBER(B6),ISNUMBER(Q6),ISNUMBER(R6)),(B6-Q6-R6)*100,NA())</f>
        <v/>
      </c>
      <c r="T6" s="20">
        <f>IF(AND(ISNUMBER(B6),Settings!$B$17&gt;0),IF(ISNUMBER(INDEX($B:$B,Settings!$B$17)),(B6-INDEX($B:$B,Settings!$B$17))*100,NA()),NA())</f>
        <v/>
      </c>
      <c r="U6" s="20">
        <f>IF(AND(ISNUMBER(Q6),Settings!$B$17&gt;0),IF(ISNUMBER(INDEX($Q:$Q,Settings!$B$17)),(Q6-INDEX($Q:$Q,Settings!$B$17))*100,NA()),NA())</f>
        <v/>
      </c>
      <c r="V6" s="20">
        <f>IF(AND(ISNUMBER(R6),Settings!$B$17&gt;0),IF(ISNUMBER(INDEX($R:$R,Settings!$B$17)),(R6-INDEX($R:$R,Settings!$B$17))*100,NA()),NA())</f>
        <v/>
      </c>
      <c r="W6" s="20">
        <f>IF(AND(ISNUMBER(P6),Settings!$B$17&gt;0),IF(ISNUMBER(INDEX($P:$P,Settings!$B$17)),P6-INDEX($P:$P,Settings!$B$17),NA()),NA())</f>
        <v/>
      </c>
      <c r="X6" s="19">
        <f>IF(NOT(ISNUMBER($A6)),NA(),IF(OR($A6&lt;MIN(DKW_10Y!$A$2:$A$2918),$A6&gt;MAX(DKW_10Y!$A$2:$A$2918),Settings!$B$16&lt;MIN(DKW_10Y!$A$2:$A$2918)),NA(),(INDEX(DKW_10Y!$B$2:$B$2918,MATCH($A6,DKW_10Y!$A$2:$A$2918,1))-INDEX(DKW_10Y!$B$2:$B$2918,MATCH(Settings!$B$16,DKW_10Y!$A$2:$A$2918,1)))*100))</f>
        <v/>
      </c>
      <c r="Y6" s="19">
        <f>IF(NOT(ISNUMBER($A6)),NA(),IF(OR($A6&lt;MIN(DKW_10Y!$A$2:$A$2918),$A6&gt;MAX(DKW_10Y!$A$2:$A$2918),Settings!$B$16&lt;MIN(DKW_10Y!$A$2:$A$2918)),NA(),(INDEX(DKW_10Y!$C$2:$C$2918,MATCH($A6,DKW_10Y!$A$2:$A$2918,1))-INDEX(DKW_10Y!$C$2:$C$2918,MATCH(Settings!$B$16,DKW_10Y!$A$2:$A$2918,1)))*100))</f>
        <v/>
      </c>
      <c r="Z6" s="19">
        <f>IF(NOT(ISNUMBER($A6)),NA(),IF(OR($A6&lt;MIN(DKW_10Y!$A$2:$A$2918),$A6&gt;MAX(DKW_10Y!$A$2:$A$2918),Settings!$B$16&lt;MIN(DKW_10Y!$A$2:$A$2918)),NA(),(INDEX(DKW_10Y!$D$2:$D$2918,MATCH($A6,DKW_10Y!$A$2:$A$2918,1))-INDEX(DKW_10Y!$D$2:$D$2918,MATCH(Settings!$B$16,DKW_10Y!$A$2:$A$2918,1)))*100))</f>
        <v/>
      </c>
      <c r="AA6" s="19">
        <f>IF(NOT(ISNUMBER($A6)),NA(),IF(OR($A6&lt;MIN(DKW_10Y!$A$2:$A$2918),$A6&gt;MAX(DKW_10Y!$A$2:$A$2918),Settings!$B$16&lt;MIN(DKW_10Y!$A$2:$A$2918)),NA(),(INDEX(DKW_10Y!$E$2:$E$2918,MATCH($A6,DKW_10Y!$A$2:$A$2918,1))-INDEX(DKW_10Y!$E$2:$E$2918,MATCH(Settings!$B$16,DKW_10Y!$A$2:$A$2918,1)))*100))</f>
        <v/>
      </c>
      <c r="AB6" s="19">
        <f>IF(NOT(ISNUMBER($A6)),NA(),IF(OR($A6&lt;MIN(DKW_10Y!$A$2:$A$2918),$A6&gt;MAX(DKW_10Y!$A$2:$A$2918),Settings!$B$16&lt;MIN(DKW_10Y!$A$2:$A$2918)),NA(),(INDEX(DKW_10Y!$H$2:$H$2918,MATCH($A6,DKW_10Y!$A$2:$A$2918,1))-INDEX(DKW_10Y!$H$2:$H$2918,MATCH(Settings!$B$16,DKW_10Y!$A$2:$A$2918,1)))*100))</f>
        <v/>
      </c>
      <c r="AC6" s="18">
        <f>IF(NOT(ISNUMBER($A6)),NA(),IFERROR(1*INDEX(BBG_Data!$N$2:$N$4000,MATCH($A6,BBG_Data!$M$2:$M$4000,0)),NA()))</f>
        <v/>
      </c>
      <c r="AD6" s="18">
        <f>IF(NOT(ISNUMBER($A6)),NA(),IFERROR(1*INDEX(BBG_Data!$P$2:$P$4000,MATCH($A6,BBG_Data!$O$2:$O$4000,0)),NA()))</f>
        <v/>
      </c>
      <c r="AE6" s="18">
        <f>IF(NOT(ISNUMBER($A6)),NA(),IFERROR(1*INDEX(BBG_Data!$R$2:$R$4000,MATCH($A6,BBG_Data!$Q$2:$Q$4000,0)),NA()))</f>
        <v/>
      </c>
      <c r="AF6" s="20">
        <f>IF(AND(ISNUMBER(B6),ISNUMBER(AC6)),(B6-AC6)*100,NA())</f>
        <v/>
      </c>
      <c r="AG6" s="20">
        <f>IF(AND(ISNUMBER(AE6),ISNUMBER(AD6)),(AE6-AD6)*100,NA())</f>
        <v/>
      </c>
      <c r="AH6" s="19">
        <f>IF(NOT(ISNUMBER($A6)),NA(),IFERROR(INDEX(BBG_Data!$T$2:$T$4000,MATCH($A6,BBG_Data!$S$2:$S$4000,0))*Settings!$B$25,NA()))</f>
        <v/>
      </c>
      <c r="AI6" s="19">
        <f>IF(NOT(ISNUMBER($A6)),NA(),IFERROR(INDEX(BBG_Data!$V$2:$V$4000,MATCH($A6,BBG_Data!$U$2:$U$4000,0))*Settings!$B$25,NA()))</f>
        <v/>
      </c>
      <c r="AJ6" s="19">
        <f>IF(NOT(ISNUMBER($A6)),NA(),IFERROR(1*INDEX(BBG_Data!$X$2:$X$4000,MATCH($A6,BBG_Data!$W$2:$W$4000,0)),NA()))</f>
        <v/>
      </c>
      <c r="AK6" s="19">
        <f>IF(NOT(ISNUMBER($A6)),NA(),IFERROR(1*INDEX(BBG_Data!$Z$2:$Z$4000,MATCH($A6,BBG_Data!$Y$2:$Y$4000,0)),NA()))</f>
        <v/>
      </c>
    </row>
    <row r="7">
      <c r="A7" s="17">
        <f>IF(ISNUMBER(BBG_Data!A7),BBG_Data!A7,"")</f>
        <v/>
      </c>
      <c r="B7" s="18">
        <f>IF(AND(ISNUMBER($A7),ISNUMBER(BBG_Data!B7)),BBG_Data!B7,NA())</f>
        <v/>
      </c>
      <c r="C7" s="18">
        <f>IF(NOT(ISNUMBER($A7)),NA(),IFERROR(1*INDEX(BBG_Data!$D$2:$D$4000,MATCH($A7,BBG_Data!$C$2:$C$4000,0)),NA()))</f>
        <v/>
      </c>
      <c r="D7" s="19">
        <f>IF(NOT(ISNUMBER($A7)),NA(),IFERROR(1*INDEX(BBG_Data!$F$2:$F$4000,MATCH($A7,BBG_Data!$E$2:$E$4000,0)),NA()))</f>
        <v/>
      </c>
      <c r="E7" s="19">
        <f>IF(NOT(ISNUMBER($A7)),NA(),IFERROR(1*INDEX(BBG_Data!$H$2:$H$4000,MATCH($A7,BBG_Data!$G$2:$G$4000,0)),NA()))</f>
        <v/>
      </c>
      <c r="F7" s="20">
        <f>IF(AND(ISNUMBER(B7),ISNUMBER(B6)),IF(B7=B6,"",(B7-B6)*100),"")</f>
        <v/>
      </c>
      <c r="G7" s="20">
        <f>IF(AND(ISNUMBER(C7),ISNUMBER(C6)),IF(C7=C6,"",(C7-C6)*100),"")</f>
        <v/>
      </c>
      <c r="H7" s="20">
        <f>IF(OR(NOT(ISNUMBER($A7)),ROW()-2&lt;Settings!$B$11),NA(),IF(COUNT(OFFSET(F7,1-Settings!$B$11,0,Settings!$B$11,1))&lt;ROUNDUP(Settings!$B$11*Settings!$B$26,0),NA(),STDEV(OFFSET(F7,1-Settings!$B$11,0,Settings!$B$11,1))*SQRT(Settings!$B$13)))</f>
        <v/>
      </c>
      <c r="I7" s="20">
        <f>IF(OR(NOT(ISNUMBER($A7)),ROW()-2&lt;Settings!$B$12),NA(),IF(COUNT(OFFSET(F7,1-Settings!$B$12,0,Settings!$B$12,1))&lt;ROUNDUP(Settings!$B$12*Settings!$B$26,0),NA(),STDEV(OFFSET(F7,1-Settings!$B$12,0,Settings!$B$12,1))*SQRT(Settings!$B$13)))</f>
        <v/>
      </c>
      <c r="J7" s="20">
        <f>IF(OR(NOT(ISNUMBER($A7)),ROW()-2&lt;Settings!$B$11),NA(),IF(COUNT(OFFSET(G7,1-Settings!$B$11,0,Settings!$B$11,1))&lt;ROUNDUP(Settings!$B$11*Settings!$B$26,0),NA(),STDEV(OFFSET(G7,1-Settings!$B$11,0,Settings!$B$11,1))*SQRT(Settings!$B$13)))</f>
        <v/>
      </c>
      <c r="K7" s="20">
        <f>IF(OR(NOT(ISNUMBER($A7)),ROW()-2&lt;Settings!$B$12),NA(),IF(COUNT(OFFSET(G7,1-Settings!$B$12,0,Settings!$B$12,1))&lt;ROUNDUP(Settings!$B$12*Settings!$B$26,0),NA(),STDEV(OFFSET(G7,1-Settings!$B$12,0,Settings!$B$12,1))*SQRT(Settings!$B$13)))</f>
        <v/>
      </c>
      <c r="L7" s="20">
        <f>IF(AND(ISNUMBER(D7),ISNUMBER(H7)),D7-H7,NA())</f>
        <v/>
      </c>
      <c r="M7" s="20">
        <f>IF(AND(ISNUMBER(E7),ISNUMBER(K7)),E7-K7,NA())</f>
        <v/>
      </c>
      <c r="N7" s="20">
        <f>IF(NOT(ISNUMBER($A7)),NA(),IF(COUNT(OFFSET(G7,1,0,Settings!$B$12,1))&lt;ROUNDUP(Settings!$B$12*Settings!$B$26,0),NA(),STDEV(OFFSET(G7,1,0,Settings!$B$12,1))*SQRT(Settings!$B$13)))</f>
        <v/>
      </c>
      <c r="O7" s="20">
        <f>IF(AND(ISNUMBER(E7),ISNUMBER(N7)),E7-N7,NA())</f>
        <v/>
      </c>
      <c r="P7" s="19">
        <f>IF(NOT(ISNUMBER($A7)),NA(),IF(OR($A7&lt;MIN(KW_TP!$A$2:$A$2501),$A7&gt;MAX(KW_TP!$A$2:$A$2501)),NA(),INDEX(KW_TP!$C$2:$C$2501,MATCH($A7,KW_TP!$A$2:$A$2501,1))))</f>
        <v/>
      </c>
      <c r="Q7" s="18">
        <f>IF(NOT(ISNUMBER($A7)),NA(),IFERROR(1*INDEX(BBG_Data!$J$2:$J$4000,MATCH($A7,BBG_Data!$I$2:$I$4000,0)),NA()))</f>
        <v/>
      </c>
      <c r="R7" s="18">
        <f>IF(NOT(ISNUMBER($A7)),NA(),IFERROR(1*INDEX(BBG_Data!$L$2:$L$4000,MATCH($A7,BBG_Data!$K$2:$K$4000,0)),NA()))</f>
        <v/>
      </c>
      <c r="S7" s="20">
        <f>IF(AND(ISNUMBER(B7),ISNUMBER(Q7),ISNUMBER(R7)),(B7-Q7-R7)*100,NA())</f>
        <v/>
      </c>
      <c r="T7" s="20">
        <f>IF(AND(ISNUMBER(B7),Settings!$B$17&gt;0),IF(ISNUMBER(INDEX($B:$B,Settings!$B$17)),(B7-INDEX($B:$B,Settings!$B$17))*100,NA()),NA())</f>
        <v/>
      </c>
      <c r="U7" s="20">
        <f>IF(AND(ISNUMBER(Q7),Settings!$B$17&gt;0),IF(ISNUMBER(INDEX($Q:$Q,Settings!$B$17)),(Q7-INDEX($Q:$Q,Settings!$B$17))*100,NA()),NA())</f>
        <v/>
      </c>
      <c r="V7" s="20">
        <f>IF(AND(ISNUMBER(R7),Settings!$B$17&gt;0),IF(ISNUMBER(INDEX($R:$R,Settings!$B$17)),(R7-INDEX($R:$R,Settings!$B$17))*100,NA()),NA())</f>
        <v/>
      </c>
      <c r="W7" s="20">
        <f>IF(AND(ISNUMBER(P7),Settings!$B$17&gt;0),IF(ISNUMBER(INDEX($P:$P,Settings!$B$17)),P7-INDEX($P:$P,Settings!$B$17),NA()),NA())</f>
        <v/>
      </c>
      <c r="X7" s="19">
        <f>IF(NOT(ISNUMBER($A7)),NA(),IF(OR($A7&lt;MIN(DKW_10Y!$A$2:$A$2918),$A7&gt;MAX(DKW_10Y!$A$2:$A$2918),Settings!$B$16&lt;MIN(DKW_10Y!$A$2:$A$2918)),NA(),(INDEX(DKW_10Y!$B$2:$B$2918,MATCH($A7,DKW_10Y!$A$2:$A$2918,1))-INDEX(DKW_10Y!$B$2:$B$2918,MATCH(Settings!$B$16,DKW_10Y!$A$2:$A$2918,1)))*100))</f>
        <v/>
      </c>
      <c r="Y7" s="19">
        <f>IF(NOT(ISNUMBER($A7)),NA(),IF(OR($A7&lt;MIN(DKW_10Y!$A$2:$A$2918),$A7&gt;MAX(DKW_10Y!$A$2:$A$2918),Settings!$B$16&lt;MIN(DKW_10Y!$A$2:$A$2918)),NA(),(INDEX(DKW_10Y!$C$2:$C$2918,MATCH($A7,DKW_10Y!$A$2:$A$2918,1))-INDEX(DKW_10Y!$C$2:$C$2918,MATCH(Settings!$B$16,DKW_10Y!$A$2:$A$2918,1)))*100))</f>
        <v/>
      </c>
      <c r="Z7" s="19">
        <f>IF(NOT(ISNUMBER($A7)),NA(),IF(OR($A7&lt;MIN(DKW_10Y!$A$2:$A$2918),$A7&gt;MAX(DKW_10Y!$A$2:$A$2918),Settings!$B$16&lt;MIN(DKW_10Y!$A$2:$A$2918)),NA(),(INDEX(DKW_10Y!$D$2:$D$2918,MATCH($A7,DKW_10Y!$A$2:$A$2918,1))-INDEX(DKW_10Y!$D$2:$D$2918,MATCH(Settings!$B$16,DKW_10Y!$A$2:$A$2918,1)))*100))</f>
        <v/>
      </c>
      <c r="AA7" s="19">
        <f>IF(NOT(ISNUMBER($A7)),NA(),IF(OR($A7&lt;MIN(DKW_10Y!$A$2:$A$2918),$A7&gt;MAX(DKW_10Y!$A$2:$A$2918),Settings!$B$16&lt;MIN(DKW_10Y!$A$2:$A$2918)),NA(),(INDEX(DKW_10Y!$E$2:$E$2918,MATCH($A7,DKW_10Y!$A$2:$A$2918,1))-INDEX(DKW_10Y!$E$2:$E$2918,MATCH(Settings!$B$16,DKW_10Y!$A$2:$A$2918,1)))*100))</f>
        <v/>
      </c>
      <c r="AB7" s="19">
        <f>IF(NOT(ISNUMBER($A7)),NA(),IF(OR($A7&lt;MIN(DKW_10Y!$A$2:$A$2918),$A7&gt;MAX(DKW_10Y!$A$2:$A$2918),Settings!$B$16&lt;MIN(DKW_10Y!$A$2:$A$2918)),NA(),(INDEX(DKW_10Y!$H$2:$H$2918,MATCH($A7,DKW_10Y!$A$2:$A$2918,1))-INDEX(DKW_10Y!$H$2:$H$2918,MATCH(Settings!$B$16,DKW_10Y!$A$2:$A$2918,1)))*100))</f>
        <v/>
      </c>
      <c r="AC7" s="18">
        <f>IF(NOT(ISNUMBER($A7)),NA(),IFERROR(1*INDEX(BBG_Data!$N$2:$N$4000,MATCH($A7,BBG_Data!$M$2:$M$4000,0)),NA()))</f>
        <v/>
      </c>
      <c r="AD7" s="18">
        <f>IF(NOT(ISNUMBER($A7)),NA(),IFERROR(1*INDEX(BBG_Data!$P$2:$P$4000,MATCH($A7,BBG_Data!$O$2:$O$4000,0)),NA()))</f>
        <v/>
      </c>
      <c r="AE7" s="18">
        <f>IF(NOT(ISNUMBER($A7)),NA(),IFERROR(1*INDEX(BBG_Data!$R$2:$R$4000,MATCH($A7,BBG_Data!$Q$2:$Q$4000,0)),NA()))</f>
        <v/>
      </c>
      <c r="AF7" s="20">
        <f>IF(AND(ISNUMBER(B7),ISNUMBER(AC7)),(B7-AC7)*100,NA())</f>
        <v/>
      </c>
      <c r="AG7" s="20">
        <f>IF(AND(ISNUMBER(AE7),ISNUMBER(AD7)),(AE7-AD7)*100,NA())</f>
        <v/>
      </c>
      <c r="AH7" s="19">
        <f>IF(NOT(ISNUMBER($A7)),NA(),IFERROR(INDEX(BBG_Data!$T$2:$T$4000,MATCH($A7,BBG_Data!$S$2:$S$4000,0))*Settings!$B$25,NA()))</f>
        <v/>
      </c>
      <c r="AI7" s="19">
        <f>IF(NOT(ISNUMBER($A7)),NA(),IFERROR(INDEX(BBG_Data!$V$2:$V$4000,MATCH($A7,BBG_Data!$U$2:$U$4000,0))*Settings!$B$25,NA()))</f>
        <v/>
      </c>
      <c r="AJ7" s="19">
        <f>IF(NOT(ISNUMBER($A7)),NA(),IFERROR(1*INDEX(BBG_Data!$X$2:$X$4000,MATCH($A7,BBG_Data!$W$2:$W$4000,0)),NA()))</f>
        <v/>
      </c>
      <c r="AK7" s="19">
        <f>IF(NOT(ISNUMBER($A7)),NA(),IFERROR(1*INDEX(BBG_Data!$Z$2:$Z$4000,MATCH($A7,BBG_Data!$Y$2:$Y$4000,0)),NA()))</f>
        <v/>
      </c>
    </row>
    <row r="8">
      <c r="A8" s="17">
        <f>IF(ISNUMBER(BBG_Data!A8),BBG_Data!A8,"")</f>
        <v/>
      </c>
      <c r="B8" s="18">
        <f>IF(AND(ISNUMBER($A8),ISNUMBER(BBG_Data!B8)),BBG_Data!B8,NA())</f>
        <v/>
      </c>
      <c r="C8" s="18">
        <f>IF(NOT(ISNUMBER($A8)),NA(),IFERROR(1*INDEX(BBG_Data!$D$2:$D$4000,MATCH($A8,BBG_Data!$C$2:$C$4000,0)),NA()))</f>
        <v/>
      </c>
      <c r="D8" s="19">
        <f>IF(NOT(ISNUMBER($A8)),NA(),IFERROR(1*INDEX(BBG_Data!$F$2:$F$4000,MATCH($A8,BBG_Data!$E$2:$E$4000,0)),NA()))</f>
        <v/>
      </c>
      <c r="E8" s="19">
        <f>IF(NOT(ISNUMBER($A8)),NA(),IFERROR(1*INDEX(BBG_Data!$H$2:$H$4000,MATCH($A8,BBG_Data!$G$2:$G$4000,0)),NA()))</f>
        <v/>
      </c>
      <c r="F8" s="20">
        <f>IF(AND(ISNUMBER(B8),ISNUMBER(B7)),IF(B8=B7,"",(B8-B7)*100),"")</f>
        <v/>
      </c>
      <c r="G8" s="20">
        <f>IF(AND(ISNUMBER(C8),ISNUMBER(C7)),IF(C8=C7,"",(C8-C7)*100),"")</f>
        <v/>
      </c>
      <c r="H8" s="20">
        <f>IF(OR(NOT(ISNUMBER($A8)),ROW()-2&lt;Settings!$B$11),NA(),IF(COUNT(OFFSET(F8,1-Settings!$B$11,0,Settings!$B$11,1))&lt;ROUNDUP(Settings!$B$11*Settings!$B$26,0),NA(),STDEV(OFFSET(F8,1-Settings!$B$11,0,Settings!$B$11,1))*SQRT(Settings!$B$13)))</f>
        <v/>
      </c>
      <c r="I8" s="20">
        <f>IF(OR(NOT(ISNUMBER($A8)),ROW()-2&lt;Settings!$B$12),NA(),IF(COUNT(OFFSET(F8,1-Settings!$B$12,0,Settings!$B$12,1))&lt;ROUNDUP(Settings!$B$12*Settings!$B$26,0),NA(),STDEV(OFFSET(F8,1-Settings!$B$12,0,Settings!$B$12,1))*SQRT(Settings!$B$13)))</f>
        <v/>
      </c>
      <c r="J8" s="20">
        <f>IF(OR(NOT(ISNUMBER($A8)),ROW()-2&lt;Settings!$B$11),NA(),IF(COUNT(OFFSET(G8,1-Settings!$B$11,0,Settings!$B$11,1))&lt;ROUNDUP(Settings!$B$11*Settings!$B$26,0),NA(),STDEV(OFFSET(G8,1-Settings!$B$11,0,Settings!$B$11,1))*SQRT(Settings!$B$13)))</f>
        <v/>
      </c>
      <c r="K8" s="20">
        <f>IF(OR(NOT(ISNUMBER($A8)),ROW()-2&lt;Settings!$B$12),NA(),IF(COUNT(OFFSET(G8,1-Settings!$B$12,0,Settings!$B$12,1))&lt;ROUNDUP(Settings!$B$12*Settings!$B$26,0),NA(),STDEV(OFFSET(G8,1-Settings!$B$12,0,Settings!$B$12,1))*SQRT(Settings!$B$13)))</f>
        <v/>
      </c>
      <c r="L8" s="20">
        <f>IF(AND(ISNUMBER(D8),ISNUMBER(H8)),D8-H8,NA())</f>
        <v/>
      </c>
      <c r="M8" s="20">
        <f>IF(AND(ISNUMBER(E8),ISNUMBER(K8)),E8-K8,NA())</f>
        <v/>
      </c>
      <c r="N8" s="20">
        <f>IF(NOT(ISNUMBER($A8)),NA(),IF(COUNT(OFFSET(G8,1,0,Settings!$B$12,1))&lt;ROUNDUP(Settings!$B$12*Settings!$B$26,0),NA(),STDEV(OFFSET(G8,1,0,Settings!$B$12,1))*SQRT(Settings!$B$13)))</f>
        <v/>
      </c>
      <c r="O8" s="20">
        <f>IF(AND(ISNUMBER(E8),ISNUMBER(N8)),E8-N8,NA())</f>
        <v/>
      </c>
      <c r="P8" s="19">
        <f>IF(NOT(ISNUMBER($A8)),NA(),IF(OR($A8&lt;MIN(KW_TP!$A$2:$A$2501),$A8&gt;MAX(KW_TP!$A$2:$A$2501)),NA(),INDEX(KW_TP!$C$2:$C$2501,MATCH($A8,KW_TP!$A$2:$A$2501,1))))</f>
        <v/>
      </c>
      <c r="Q8" s="18">
        <f>IF(NOT(ISNUMBER($A8)),NA(),IFERROR(1*INDEX(BBG_Data!$J$2:$J$4000,MATCH($A8,BBG_Data!$I$2:$I$4000,0)),NA()))</f>
        <v/>
      </c>
      <c r="R8" s="18">
        <f>IF(NOT(ISNUMBER($A8)),NA(),IFERROR(1*INDEX(BBG_Data!$L$2:$L$4000,MATCH($A8,BBG_Data!$K$2:$K$4000,0)),NA()))</f>
        <v/>
      </c>
      <c r="S8" s="20">
        <f>IF(AND(ISNUMBER(B8),ISNUMBER(Q8),ISNUMBER(R8)),(B8-Q8-R8)*100,NA())</f>
        <v/>
      </c>
      <c r="T8" s="20">
        <f>IF(AND(ISNUMBER(B8),Settings!$B$17&gt;0),IF(ISNUMBER(INDEX($B:$B,Settings!$B$17)),(B8-INDEX($B:$B,Settings!$B$17))*100,NA()),NA())</f>
        <v/>
      </c>
      <c r="U8" s="20">
        <f>IF(AND(ISNUMBER(Q8),Settings!$B$17&gt;0),IF(ISNUMBER(INDEX($Q:$Q,Settings!$B$17)),(Q8-INDEX($Q:$Q,Settings!$B$17))*100,NA()),NA())</f>
        <v/>
      </c>
      <c r="V8" s="20">
        <f>IF(AND(ISNUMBER(R8),Settings!$B$17&gt;0),IF(ISNUMBER(INDEX($R:$R,Settings!$B$17)),(R8-INDEX($R:$R,Settings!$B$17))*100,NA()),NA())</f>
        <v/>
      </c>
      <c r="W8" s="20">
        <f>IF(AND(ISNUMBER(P8),Settings!$B$17&gt;0),IF(ISNUMBER(INDEX($P:$P,Settings!$B$17)),P8-INDEX($P:$P,Settings!$B$17),NA()),NA())</f>
        <v/>
      </c>
      <c r="X8" s="19">
        <f>IF(NOT(ISNUMBER($A8)),NA(),IF(OR($A8&lt;MIN(DKW_10Y!$A$2:$A$2918),$A8&gt;MAX(DKW_10Y!$A$2:$A$2918),Settings!$B$16&lt;MIN(DKW_10Y!$A$2:$A$2918)),NA(),(INDEX(DKW_10Y!$B$2:$B$2918,MATCH($A8,DKW_10Y!$A$2:$A$2918,1))-INDEX(DKW_10Y!$B$2:$B$2918,MATCH(Settings!$B$16,DKW_10Y!$A$2:$A$2918,1)))*100))</f>
        <v/>
      </c>
      <c r="Y8" s="19">
        <f>IF(NOT(ISNUMBER($A8)),NA(),IF(OR($A8&lt;MIN(DKW_10Y!$A$2:$A$2918),$A8&gt;MAX(DKW_10Y!$A$2:$A$2918),Settings!$B$16&lt;MIN(DKW_10Y!$A$2:$A$2918)),NA(),(INDEX(DKW_10Y!$C$2:$C$2918,MATCH($A8,DKW_10Y!$A$2:$A$2918,1))-INDEX(DKW_10Y!$C$2:$C$2918,MATCH(Settings!$B$16,DKW_10Y!$A$2:$A$2918,1)))*100))</f>
        <v/>
      </c>
      <c r="Z8" s="19">
        <f>IF(NOT(ISNUMBER($A8)),NA(),IF(OR($A8&lt;MIN(DKW_10Y!$A$2:$A$2918),$A8&gt;MAX(DKW_10Y!$A$2:$A$2918),Settings!$B$16&lt;MIN(DKW_10Y!$A$2:$A$2918)),NA(),(INDEX(DKW_10Y!$D$2:$D$2918,MATCH($A8,DKW_10Y!$A$2:$A$2918,1))-INDEX(DKW_10Y!$D$2:$D$2918,MATCH(Settings!$B$16,DKW_10Y!$A$2:$A$2918,1)))*100))</f>
        <v/>
      </c>
      <c r="AA8" s="19">
        <f>IF(NOT(ISNUMBER($A8)),NA(),IF(OR($A8&lt;MIN(DKW_10Y!$A$2:$A$2918),$A8&gt;MAX(DKW_10Y!$A$2:$A$2918),Settings!$B$16&lt;MIN(DKW_10Y!$A$2:$A$2918)),NA(),(INDEX(DKW_10Y!$E$2:$E$2918,MATCH($A8,DKW_10Y!$A$2:$A$2918,1))-INDEX(DKW_10Y!$E$2:$E$2918,MATCH(Settings!$B$16,DKW_10Y!$A$2:$A$2918,1)))*100))</f>
        <v/>
      </c>
      <c r="AB8" s="19">
        <f>IF(NOT(ISNUMBER($A8)),NA(),IF(OR($A8&lt;MIN(DKW_10Y!$A$2:$A$2918),$A8&gt;MAX(DKW_10Y!$A$2:$A$2918),Settings!$B$16&lt;MIN(DKW_10Y!$A$2:$A$2918)),NA(),(INDEX(DKW_10Y!$H$2:$H$2918,MATCH($A8,DKW_10Y!$A$2:$A$2918,1))-INDEX(DKW_10Y!$H$2:$H$2918,MATCH(Settings!$B$16,DKW_10Y!$A$2:$A$2918,1)))*100))</f>
        <v/>
      </c>
      <c r="AC8" s="18">
        <f>IF(NOT(ISNUMBER($A8)),NA(),IFERROR(1*INDEX(BBG_Data!$N$2:$N$4000,MATCH($A8,BBG_Data!$M$2:$M$4000,0)),NA()))</f>
        <v/>
      </c>
      <c r="AD8" s="18">
        <f>IF(NOT(ISNUMBER($A8)),NA(),IFERROR(1*INDEX(BBG_Data!$P$2:$P$4000,MATCH($A8,BBG_Data!$O$2:$O$4000,0)),NA()))</f>
        <v/>
      </c>
      <c r="AE8" s="18">
        <f>IF(NOT(ISNUMBER($A8)),NA(),IFERROR(1*INDEX(BBG_Data!$R$2:$R$4000,MATCH($A8,BBG_Data!$Q$2:$Q$4000,0)),NA()))</f>
        <v/>
      </c>
      <c r="AF8" s="20">
        <f>IF(AND(ISNUMBER(B8),ISNUMBER(AC8)),(B8-AC8)*100,NA())</f>
        <v/>
      </c>
      <c r="AG8" s="20">
        <f>IF(AND(ISNUMBER(AE8),ISNUMBER(AD8)),(AE8-AD8)*100,NA())</f>
        <v/>
      </c>
      <c r="AH8" s="19">
        <f>IF(NOT(ISNUMBER($A8)),NA(),IFERROR(INDEX(BBG_Data!$T$2:$T$4000,MATCH($A8,BBG_Data!$S$2:$S$4000,0))*Settings!$B$25,NA()))</f>
        <v/>
      </c>
      <c r="AI8" s="19">
        <f>IF(NOT(ISNUMBER($A8)),NA(),IFERROR(INDEX(BBG_Data!$V$2:$V$4000,MATCH($A8,BBG_Data!$U$2:$U$4000,0))*Settings!$B$25,NA()))</f>
        <v/>
      </c>
      <c r="AJ8" s="19">
        <f>IF(NOT(ISNUMBER($A8)),NA(),IFERROR(1*INDEX(BBG_Data!$X$2:$X$4000,MATCH($A8,BBG_Data!$W$2:$W$4000,0)),NA()))</f>
        <v/>
      </c>
      <c r="AK8" s="19">
        <f>IF(NOT(ISNUMBER($A8)),NA(),IFERROR(1*INDEX(BBG_Data!$Z$2:$Z$4000,MATCH($A8,BBG_Data!$Y$2:$Y$4000,0)),NA()))</f>
        <v/>
      </c>
    </row>
    <row r="9">
      <c r="A9" s="17">
        <f>IF(ISNUMBER(BBG_Data!A9),BBG_Data!A9,"")</f>
        <v/>
      </c>
      <c r="B9" s="18">
        <f>IF(AND(ISNUMBER($A9),ISNUMBER(BBG_Data!B9)),BBG_Data!B9,NA())</f>
        <v/>
      </c>
      <c r="C9" s="18">
        <f>IF(NOT(ISNUMBER($A9)),NA(),IFERROR(1*INDEX(BBG_Data!$D$2:$D$4000,MATCH($A9,BBG_Data!$C$2:$C$4000,0)),NA()))</f>
        <v/>
      </c>
      <c r="D9" s="19">
        <f>IF(NOT(ISNUMBER($A9)),NA(),IFERROR(1*INDEX(BBG_Data!$F$2:$F$4000,MATCH($A9,BBG_Data!$E$2:$E$4000,0)),NA()))</f>
        <v/>
      </c>
      <c r="E9" s="19">
        <f>IF(NOT(ISNUMBER($A9)),NA(),IFERROR(1*INDEX(BBG_Data!$H$2:$H$4000,MATCH($A9,BBG_Data!$G$2:$G$4000,0)),NA()))</f>
        <v/>
      </c>
      <c r="F9" s="20">
        <f>IF(AND(ISNUMBER(B9),ISNUMBER(B8)),IF(B9=B8,"",(B9-B8)*100),"")</f>
        <v/>
      </c>
      <c r="G9" s="20">
        <f>IF(AND(ISNUMBER(C9),ISNUMBER(C8)),IF(C9=C8,"",(C9-C8)*100),"")</f>
        <v/>
      </c>
      <c r="H9" s="20">
        <f>IF(OR(NOT(ISNUMBER($A9)),ROW()-2&lt;Settings!$B$11),NA(),IF(COUNT(OFFSET(F9,1-Settings!$B$11,0,Settings!$B$11,1))&lt;ROUNDUP(Settings!$B$11*Settings!$B$26,0),NA(),STDEV(OFFSET(F9,1-Settings!$B$11,0,Settings!$B$11,1))*SQRT(Settings!$B$13)))</f>
        <v/>
      </c>
      <c r="I9" s="20">
        <f>IF(OR(NOT(ISNUMBER($A9)),ROW()-2&lt;Settings!$B$12),NA(),IF(COUNT(OFFSET(F9,1-Settings!$B$12,0,Settings!$B$12,1))&lt;ROUNDUP(Settings!$B$12*Settings!$B$26,0),NA(),STDEV(OFFSET(F9,1-Settings!$B$12,0,Settings!$B$12,1))*SQRT(Settings!$B$13)))</f>
        <v/>
      </c>
      <c r="J9" s="20">
        <f>IF(OR(NOT(ISNUMBER($A9)),ROW()-2&lt;Settings!$B$11),NA(),IF(COUNT(OFFSET(G9,1-Settings!$B$11,0,Settings!$B$11,1))&lt;ROUNDUP(Settings!$B$11*Settings!$B$26,0),NA(),STDEV(OFFSET(G9,1-Settings!$B$11,0,Settings!$B$11,1))*SQRT(Settings!$B$13)))</f>
        <v/>
      </c>
      <c r="K9" s="20">
        <f>IF(OR(NOT(ISNUMBER($A9)),ROW()-2&lt;Settings!$B$12),NA(),IF(COUNT(OFFSET(G9,1-Settings!$B$12,0,Settings!$B$12,1))&lt;ROUNDUP(Settings!$B$12*Settings!$B$26,0),NA(),STDEV(OFFSET(G9,1-Settings!$B$12,0,Settings!$B$12,1))*SQRT(Settings!$B$13)))</f>
        <v/>
      </c>
      <c r="L9" s="20">
        <f>IF(AND(ISNUMBER(D9),ISNUMBER(H9)),D9-H9,NA())</f>
        <v/>
      </c>
      <c r="M9" s="20">
        <f>IF(AND(ISNUMBER(E9),ISNUMBER(K9)),E9-K9,NA())</f>
        <v/>
      </c>
      <c r="N9" s="20">
        <f>IF(NOT(ISNUMBER($A9)),NA(),IF(COUNT(OFFSET(G9,1,0,Settings!$B$12,1))&lt;ROUNDUP(Settings!$B$12*Settings!$B$26,0),NA(),STDEV(OFFSET(G9,1,0,Settings!$B$12,1))*SQRT(Settings!$B$13)))</f>
        <v/>
      </c>
      <c r="O9" s="20">
        <f>IF(AND(ISNUMBER(E9),ISNUMBER(N9)),E9-N9,NA())</f>
        <v/>
      </c>
      <c r="P9" s="19">
        <f>IF(NOT(ISNUMBER($A9)),NA(),IF(OR($A9&lt;MIN(KW_TP!$A$2:$A$2501),$A9&gt;MAX(KW_TP!$A$2:$A$2501)),NA(),INDEX(KW_TP!$C$2:$C$2501,MATCH($A9,KW_TP!$A$2:$A$2501,1))))</f>
        <v/>
      </c>
      <c r="Q9" s="18">
        <f>IF(NOT(ISNUMBER($A9)),NA(),IFERROR(1*INDEX(BBG_Data!$J$2:$J$4000,MATCH($A9,BBG_Data!$I$2:$I$4000,0)),NA()))</f>
        <v/>
      </c>
      <c r="R9" s="18">
        <f>IF(NOT(ISNUMBER($A9)),NA(),IFERROR(1*INDEX(BBG_Data!$L$2:$L$4000,MATCH($A9,BBG_Data!$K$2:$K$4000,0)),NA()))</f>
        <v/>
      </c>
      <c r="S9" s="20">
        <f>IF(AND(ISNUMBER(B9),ISNUMBER(Q9),ISNUMBER(R9)),(B9-Q9-R9)*100,NA())</f>
        <v/>
      </c>
      <c r="T9" s="20">
        <f>IF(AND(ISNUMBER(B9),Settings!$B$17&gt;0),IF(ISNUMBER(INDEX($B:$B,Settings!$B$17)),(B9-INDEX($B:$B,Settings!$B$17))*100,NA()),NA())</f>
        <v/>
      </c>
      <c r="U9" s="20">
        <f>IF(AND(ISNUMBER(Q9),Settings!$B$17&gt;0),IF(ISNUMBER(INDEX($Q:$Q,Settings!$B$17)),(Q9-INDEX($Q:$Q,Settings!$B$17))*100,NA()),NA())</f>
        <v/>
      </c>
      <c r="V9" s="20">
        <f>IF(AND(ISNUMBER(R9),Settings!$B$17&gt;0),IF(ISNUMBER(INDEX($R:$R,Settings!$B$17)),(R9-INDEX($R:$R,Settings!$B$17))*100,NA()),NA())</f>
        <v/>
      </c>
      <c r="W9" s="20">
        <f>IF(AND(ISNUMBER(P9),Settings!$B$17&gt;0),IF(ISNUMBER(INDEX($P:$P,Settings!$B$17)),P9-INDEX($P:$P,Settings!$B$17),NA()),NA())</f>
        <v/>
      </c>
      <c r="X9" s="19">
        <f>IF(NOT(ISNUMBER($A9)),NA(),IF(OR($A9&lt;MIN(DKW_10Y!$A$2:$A$2918),$A9&gt;MAX(DKW_10Y!$A$2:$A$2918),Settings!$B$16&lt;MIN(DKW_10Y!$A$2:$A$2918)),NA(),(INDEX(DKW_10Y!$B$2:$B$2918,MATCH($A9,DKW_10Y!$A$2:$A$2918,1))-INDEX(DKW_10Y!$B$2:$B$2918,MATCH(Settings!$B$16,DKW_10Y!$A$2:$A$2918,1)))*100))</f>
        <v/>
      </c>
      <c r="Y9" s="19">
        <f>IF(NOT(ISNUMBER($A9)),NA(),IF(OR($A9&lt;MIN(DKW_10Y!$A$2:$A$2918),$A9&gt;MAX(DKW_10Y!$A$2:$A$2918),Settings!$B$16&lt;MIN(DKW_10Y!$A$2:$A$2918)),NA(),(INDEX(DKW_10Y!$C$2:$C$2918,MATCH($A9,DKW_10Y!$A$2:$A$2918,1))-INDEX(DKW_10Y!$C$2:$C$2918,MATCH(Settings!$B$16,DKW_10Y!$A$2:$A$2918,1)))*100))</f>
        <v/>
      </c>
      <c r="Z9" s="19">
        <f>IF(NOT(ISNUMBER($A9)),NA(),IF(OR($A9&lt;MIN(DKW_10Y!$A$2:$A$2918),$A9&gt;MAX(DKW_10Y!$A$2:$A$2918),Settings!$B$16&lt;MIN(DKW_10Y!$A$2:$A$2918)),NA(),(INDEX(DKW_10Y!$D$2:$D$2918,MATCH($A9,DKW_10Y!$A$2:$A$2918,1))-INDEX(DKW_10Y!$D$2:$D$2918,MATCH(Settings!$B$16,DKW_10Y!$A$2:$A$2918,1)))*100))</f>
        <v/>
      </c>
      <c r="AA9" s="19">
        <f>IF(NOT(ISNUMBER($A9)),NA(),IF(OR($A9&lt;MIN(DKW_10Y!$A$2:$A$2918),$A9&gt;MAX(DKW_10Y!$A$2:$A$2918),Settings!$B$16&lt;MIN(DKW_10Y!$A$2:$A$2918)),NA(),(INDEX(DKW_10Y!$E$2:$E$2918,MATCH($A9,DKW_10Y!$A$2:$A$2918,1))-INDEX(DKW_10Y!$E$2:$E$2918,MATCH(Settings!$B$16,DKW_10Y!$A$2:$A$2918,1)))*100))</f>
        <v/>
      </c>
      <c r="AB9" s="19">
        <f>IF(NOT(ISNUMBER($A9)),NA(),IF(OR($A9&lt;MIN(DKW_10Y!$A$2:$A$2918),$A9&gt;MAX(DKW_10Y!$A$2:$A$2918),Settings!$B$16&lt;MIN(DKW_10Y!$A$2:$A$2918)),NA(),(INDEX(DKW_10Y!$H$2:$H$2918,MATCH($A9,DKW_10Y!$A$2:$A$2918,1))-INDEX(DKW_10Y!$H$2:$H$2918,MATCH(Settings!$B$16,DKW_10Y!$A$2:$A$2918,1)))*100))</f>
        <v/>
      </c>
      <c r="AC9" s="18">
        <f>IF(NOT(ISNUMBER($A9)),NA(),IFERROR(1*INDEX(BBG_Data!$N$2:$N$4000,MATCH($A9,BBG_Data!$M$2:$M$4000,0)),NA()))</f>
        <v/>
      </c>
      <c r="AD9" s="18">
        <f>IF(NOT(ISNUMBER($A9)),NA(),IFERROR(1*INDEX(BBG_Data!$P$2:$P$4000,MATCH($A9,BBG_Data!$O$2:$O$4000,0)),NA()))</f>
        <v/>
      </c>
      <c r="AE9" s="18">
        <f>IF(NOT(ISNUMBER($A9)),NA(),IFERROR(1*INDEX(BBG_Data!$R$2:$R$4000,MATCH($A9,BBG_Data!$Q$2:$Q$4000,0)),NA()))</f>
        <v/>
      </c>
      <c r="AF9" s="20">
        <f>IF(AND(ISNUMBER(B9),ISNUMBER(AC9)),(B9-AC9)*100,NA())</f>
        <v/>
      </c>
      <c r="AG9" s="20">
        <f>IF(AND(ISNUMBER(AE9),ISNUMBER(AD9)),(AE9-AD9)*100,NA())</f>
        <v/>
      </c>
      <c r="AH9" s="19">
        <f>IF(NOT(ISNUMBER($A9)),NA(),IFERROR(INDEX(BBG_Data!$T$2:$T$4000,MATCH($A9,BBG_Data!$S$2:$S$4000,0))*Settings!$B$25,NA()))</f>
        <v/>
      </c>
      <c r="AI9" s="19">
        <f>IF(NOT(ISNUMBER($A9)),NA(),IFERROR(INDEX(BBG_Data!$V$2:$V$4000,MATCH($A9,BBG_Data!$U$2:$U$4000,0))*Settings!$B$25,NA()))</f>
        <v/>
      </c>
      <c r="AJ9" s="19">
        <f>IF(NOT(ISNUMBER($A9)),NA(),IFERROR(1*INDEX(BBG_Data!$X$2:$X$4000,MATCH($A9,BBG_Data!$W$2:$W$4000,0)),NA()))</f>
        <v/>
      </c>
      <c r="AK9" s="19">
        <f>IF(NOT(ISNUMBER($A9)),NA(),IFERROR(1*INDEX(BBG_Data!$Z$2:$Z$4000,MATCH($A9,BBG_Data!$Y$2:$Y$4000,0)),NA()))</f>
        <v/>
      </c>
    </row>
    <row r="10">
      <c r="A10" s="17">
        <f>IF(ISNUMBER(BBG_Data!A10),BBG_Data!A10,"")</f>
        <v/>
      </c>
      <c r="B10" s="18">
        <f>IF(AND(ISNUMBER($A10),ISNUMBER(BBG_Data!B10)),BBG_Data!B10,NA())</f>
        <v/>
      </c>
      <c r="C10" s="18">
        <f>IF(NOT(ISNUMBER($A10)),NA(),IFERROR(1*INDEX(BBG_Data!$D$2:$D$4000,MATCH($A10,BBG_Data!$C$2:$C$4000,0)),NA()))</f>
        <v/>
      </c>
      <c r="D10" s="19">
        <f>IF(NOT(ISNUMBER($A10)),NA(),IFERROR(1*INDEX(BBG_Data!$F$2:$F$4000,MATCH($A10,BBG_Data!$E$2:$E$4000,0)),NA()))</f>
        <v/>
      </c>
      <c r="E10" s="19">
        <f>IF(NOT(ISNUMBER($A10)),NA(),IFERROR(1*INDEX(BBG_Data!$H$2:$H$4000,MATCH($A10,BBG_Data!$G$2:$G$4000,0)),NA()))</f>
        <v/>
      </c>
      <c r="F10" s="20">
        <f>IF(AND(ISNUMBER(B10),ISNUMBER(B9)),IF(B10=B9,"",(B10-B9)*100),"")</f>
        <v/>
      </c>
      <c r="G10" s="20">
        <f>IF(AND(ISNUMBER(C10),ISNUMBER(C9)),IF(C10=C9,"",(C10-C9)*100),"")</f>
        <v/>
      </c>
      <c r="H10" s="20">
        <f>IF(OR(NOT(ISNUMBER($A10)),ROW()-2&lt;Settings!$B$11),NA(),IF(COUNT(OFFSET(F10,1-Settings!$B$11,0,Settings!$B$11,1))&lt;ROUNDUP(Settings!$B$11*Settings!$B$26,0),NA(),STDEV(OFFSET(F10,1-Settings!$B$11,0,Settings!$B$11,1))*SQRT(Settings!$B$13)))</f>
        <v/>
      </c>
      <c r="I10" s="20">
        <f>IF(OR(NOT(ISNUMBER($A10)),ROW()-2&lt;Settings!$B$12),NA(),IF(COUNT(OFFSET(F10,1-Settings!$B$12,0,Settings!$B$12,1))&lt;ROUNDUP(Settings!$B$12*Settings!$B$26,0),NA(),STDEV(OFFSET(F10,1-Settings!$B$12,0,Settings!$B$12,1))*SQRT(Settings!$B$13)))</f>
        <v/>
      </c>
      <c r="J10" s="20">
        <f>IF(OR(NOT(ISNUMBER($A10)),ROW()-2&lt;Settings!$B$11),NA(),IF(COUNT(OFFSET(G10,1-Settings!$B$11,0,Settings!$B$11,1))&lt;ROUNDUP(Settings!$B$11*Settings!$B$26,0),NA(),STDEV(OFFSET(G10,1-Settings!$B$11,0,Settings!$B$11,1))*SQRT(Settings!$B$13)))</f>
        <v/>
      </c>
      <c r="K10" s="20">
        <f>IF(OR(NOT(ISNUMBER($A10)),ROW()-2&lt;Settings!$B$12),NA(),IF(COUNT(OFFSET(G10,1-Settings!$B$12,0,Settings!$B$12,1))&lt;ROUNDUP(Settings!$B$12*Settings!$B$26,0),NA(),STDEV(OFFSET(G10,1-Settings!$B$12,0,Settings!$B$12,1))*SQRT(Settings!$B$13)))</f>
        <v/>
      </c>
      <c r="L10" s="20">
        <f>IF(AND(ISNUMBER(D10),ISNUMBER(H10)),D10-H10,NA())</f>
        <v/>
      </c>
      <c r="M10" s="20">
        <f>IF(AND(ISNUMBER(E10),ISNUMBER(K10)),E10-K10,NA())</f>
        <v/>
      </c>
      <c r="N10" s="20">
        <f>IF(NOT(ISNUMBER($A10)),NA(),IF(COUNT(OFFSET(G10,1,0,Settings!$B$12,1))&lt;ROUNDUP(Settings!$B$12*Settings!$B$26,0),NA(),STDEV(OFFSET(G10,1,0,Settings!$B$12,1))*SQRT(Settings!$B$13)))</f>
        <v/>
      </c>
      <c r="O10" s="20">
        <f>IF(AND(ISNUMBER(E10),ISNUMBER(N10)),E10-N10,NA())</f>
        <v/>
      </c>
      <c r="P10" s="19">
        <f>IF(NOT(ISNUMBER($A10)),NA(),IF(OR($A10&lt;MIN(KW_TP!$A$2:$A$2501),$A10&gt;MAX(KW_TP!$A$2:$A$2501)),NA(),INDEX(KW_TP!$C$2:$C$2501,MATCH($A10,KW_TP!$A$2:$A$2501,1))))</f>
        <v/>
      </c>
      <c r="Q10" s="18">
        <f>IF(NOT(ISNUMBER($A10)),NA(),IFERROR(1*INDEX(BBG_Data!$J$2:$J$4000,MATCH($A10,BBG_Data!$I$2:$I$4000,0)),NA()))</f>
        <v/>
      </c>
      <c r="R10" s="18">
        <f>IF(NOT(ISNUMBER($A10)),NA(),IFERROR(1*INDEX(BBG_Data!$L$2:$L$4000,MATCH($A10,BBG_Data!$K$2:$K$4000,0)),NA()))</f>
        <v/>
      </c>
      <c r="S10" s="20">
        <f>IF(AND(ISNUMBER(B10),ISNUMBER(Q10),ISNUMBER(R10)),(B10-Q10-R10)*100,NA())</f>
        <v/>
      </c>
      <c r="T10" s="20">
        <f>IF(AND(ISNUMBER(B10),Settings!$B$17&gt;0),IF(ISNUMBER(INDEX($B:$B,Settings!$B$17)),(B10-INDEX($B:$B,Settings!$B$17))*100,NA()),NA())</f>
        <v/>
      </c>
      <c r="U10" s="20">
        <f>IF(AND(ISNUMBER(Q10),Settings!$B$17&gt;0),IF(ISNUMBER(INDEX($Q:$Q,Settings!$B$17)),(Q10-INDEX($Q:$Q,Settings!$B$17))*100,NA()),NA())</f>
        <v/>
      </c>
      <c r="V10" s="20">
        <f>IF(AND(ISNUMBER(R10),Settings!$B$17&gt;0),IF(ISNUMBER(INDEX($R:$R,Settings!$B$17)),(R10-INDEX($R:$R,Settings!$B$17))*100,NA()),NA())</f>
        <v/>
      </c>
      <c r="W10" s="20">
        <f>IF(AND(ISNUMBER(P10),Settings!$B$17&gt;0),IF(ISNUMBER(INDEX($P:$P,Settings!$B$17)),P10-INDEX($P:$P,Settings!$B$17),NA()),NA())</f>
        <v/>
      </c>
      <c r="X10" s="19">
        <f>IF(NOT(ISNUMBER($A10)),NA(),IF(OR($A10&lt;MIN(DKW_10Y!$A$2:$A$2918),$A10&gt;MAX(DKW_10Y!$A$2:$A$2918),Settings!$B$16&lt;MIN(DKW_10Y!$A$2:$A$2918)),NA(),(INDEX(DKW_10Y!$B$2:$B$2918,MATCH($A10,DKW_10Y!$A$2:$A$2918,1))-INDEX(DKW_10Y!$B$2:$B$2918,MATCH(Settings!$B$16,DKW_10Y!$A$2:$A$2918,1)))*100))</f>
        <v/>
      </c>
      <c r="Y10" s="19">
        <f>IF(NOT(ISNUMBER($A10)),NA(),IF(OR($A10&lt;MIN(DKW_10Y!$A$2:$A$2918),$A10&gt;MAX(DKW_10Y!$A$2:$A$2918),Settings!$B$16&lt;MIN(DKW_10Y!$A$2:$A$2918)),NA(),(INDEX(DKW_10Y!$C$2:$C$2918,MATCH($A10,DKW_10Y!$A$2:$A$2918,1))-INDEX(DKW_10Y!$C$2:$C$2918,MATCH(Settings!$B$16,DKW_10Y!$A$2:$A$2918,1)))*100))</f>
        <v/>
      </c>
      <c r="Z10" s="19">
        <f>IF(NOT(ISNUMBER($A10)),NA(),IF(OR($A10&lt;MIN(DKW_10Y!$A$2:$A$2918),$A10&gt;MAX(DKW_10Y!$A$2:$A$2918),Settings!$B$16&lt;MIN(DKW_10Y!$A$2:$A$2918)),NA(),(INDEX(DKW_10Y!$D$2:$D$2918,MATCH($A10,DKW_10Y!$A$2:$A$2918,1))-INDEX(DKW_10Y!$D$2:$D$2918,MATCH(Settings!$B$16,DKW_10Y!$A$2:$A$2918,1)))*100))</f>
        <v/>
      </c>
      <c r="AA10" s="19">
        <f>IF(NOT(ISNUMBER($A10)),NA(),IF(OR($A10&lt;MIN(DKW_10Y!$A$2:$A$2918),$A10&gt;MAX(DKW_10Y!$A$2:$A$2918),Settings!$B$16&lt;MIN(DKW_10Y!$A$2:$A$2918)),NA(),(INDEX(DKW_10Y!$E$2:$E$2918,MATCH($A10,DKW_10Y!$A$2:$A$2918,1))-INDEX(DKW_10Y!$E$2:$E$2918,MATCH(Settings!$B$16,DKW_10Y!$A$2:$A$2918,1)))*100))</f>
        <v/>
      </c>
      <c r="AB10" s="19">
        <f>IF(NOT(ISNUMBER($A10)),NA(),IF(OR($A10&lt;MIN(DKW_10Y!$A$2:$A$2918),$A10&gt;MAX(DKW_10Y!$A$2:$A$2918),Settings!$B$16&lt;MIN(DKW_10Y!$A$2:$A$2918)),NA(),(INDEX(DKW_10Y!$H$2:$H$2918,MATCH($A10,DKW_10Y!$A$2:$A$2918,1))-INDEX(DKW_10Y!$H$2:$H$2918,MATCH(Settings!$B$16,DKW_10Y!$A$2:$A$2918,1)))*100))</f>
        <v/>
      </c>
      <c r="AC10" s="18">
        <f>IF(NOT(ISNUMBER($A10)),NA(),IFERROR(1*INDEX(BBG_Data!$N$2:$N$4000,MATCH($A10,BBG_Data!$M$2:$M$4000,0)),NA()))</f>
        <v/>
      </c>
      <c r="AD10" s="18">
        <f>IF(NOT(ISNUMBER($A10)),NA(),IFERROR(1*INDEX(BBG_Data!$P$2:$P$4000,MATCH($A10,BBG_Data!$O$2:$O$4000,0)),NA()))</f>
        <v/>
      </c>
      <c r="AE10" s="18">
        <f>IF(NOT(ISNUMBER($A10)),NA(),IFERROR(1*INDEX(BBG_Data!$R$2:$R$4000,MATCH($A10,BBG_Data!$Q$2:$Q$4000,0)),NA()))</f>
        <v/>
      </c>
      <c r="AF10" s="20">
        <f>IF(AND(ISNUMBER(B10),ISNUMBER(AC10)),(B10-AC10)*100,NA())</f>
        <v/>
      </c>
      <c r="AG10" s="20">
        <f>IF(AND(ISNUMBER(AE10),ISNUMBER(AD10)),(AE10-AD10)*100,NA())</f>
        <v/>
      </c>
      <c r="AH10" s="19">
        <f>IF(NOT(ISNUMBER($A10)),NA(),IFERROR(INDEX(BBG_Data!$T$2:$T$4000,MATCH($A10,BBG_Data!$S$2:$S$4000,0))*Settings!$B$25,NA()))</f>
        <v/>
      </c>
      <c r="AI10" s="19">
        <f>IF(NOT(ISNUMBER($A10)),NA(),IFERROR(INDEX(BBG_Data!$V$2:$V$4000,MATCH($A10,BBG_Data!$U$2:$U$4000,0))*Settings!$B$25,NA()))</f>
        <v/>
      </c>
      <c r="AJ10" s="19">
        <f>IF(NOT(ISNUMBER($A10)),NA(),IFERROR(1*INDEX(BBG_Data!$X$2:$X$4000,MATCH($A10,BBG_Data!$W$2:$W$4000,0)),NA()))</f>
        <v/>
      </c>
      <c r="AK10" s="19">
        <f>IF(NOT(ISNUMBER($A10)),NA(),IFERROR(1*INDEX(BBG_Data!$Z$2:$Z$4000,MATCH($A10,BBG_Data!$Y$2:$Y$4000,0)),NA()))</f>
        <v/>
      </c>
    </row>
    <row r="11">
      <c r="A11" s="17">
        <f>IF(ISNUMBER(BBG_Data!A11),BBG_Data!A11,"")</f>
        <v/>
      </c>
      <c r="B11" s="18">
        <f>IF(AND(ISNUMBER($A11),ISNUMBER(BBG_Data!B11)),BBG_Data!B11,NA())</f>
        <v/>
      </c>
      <c r="C11" s="18">
        <f>IF(NOT(ISNUMBER($A11)),NA(),IFERROR(1*INDEX(BBG_Data!$D$2:$D$4000,MATCH($A11,BBG_Data!$C$2:$C$4000,0)),NA()))</f>
        <v/>
      </c>
      <c r="D11" s="19">
        <f>IF(NOT(ISNUMBER($A11)),NA(),IFERROR(1*INDEX(BBG_Data!$F$2:$F$4000,MATCH($A11,BBG_Data!$E$2:$E$4000,0)),NA()))</f>
        <v/>
      </c>
      <c r="E11" s="19">
        <f>IF(NOT(ISNUMBER($A11)),NA(),IFERROR(1*INDEX(BBG_Data!$H$2:$H$4000,MATCH($A11,BBG_Data!$G$2:$G$4000,0)),NA()))</f>
        <v/>
      </c>
      <c r="F11" s="20">
        <f>IF(AND(ISNUMBER(B11),ISNUMBER(B10)),IF(B11=B10,"",(B11-B10)*100),"")</f>
        <v/>
      </c>
      <c r="G11" s="20">
        <f>IF(AND(ISNUMBER(C11),ISNUMBER(C10)),IF(C11=C10,"",(C11-C10)*100),"")</f>
        <v/>
      </c>
      <c r="H11" s="20">
        <f>IF(OR(NOT(ISNUMBER($A11)),ROW()-2&lt;Settings!$B$11),NA(),IF(COUNT(OFFSET(F11,1-Settings!$B$11,0,Settings!$B$11,1))&lt;ROUNDUP(Settings!$B$11*Settings!$B$26,0),NA(),STDEV(OFFSET(F11,1-Settings!$B$11,0,Settings!$B$11,1))*SQRT(Settings!$B$13)))</f>
        <v/>
      </c>
      <c r="I11" s="20">
        <f>IF(OR(NOT(ISNUMBER($A11)),ROW()-2&lt;Settings!$B$12),NA(),IF(COUNT(OFFSET(F11,1-Settings!$B$12,0,Settings!$B$12,1))&lt;ROUNDUP(Settings!$B$12*Settings!$B$26,0),NA(),STDEV(OFFSET(F11,1-Settings!$B$12,0,Settings!$B$12,1))*SQRT(Settings!$B$13)))</f>
        <v/>
      </c>
      <c r="J11" s="20">
        <f>IF(OR(NOT(ISNUMBER($A11)),ROW()-2&lt;Settings!$B$11),NA(),IF(COUNT(OFFSET(G11,1-Settings!$B$11,0,Settings!$B$11,1))&lt;ROUNDUP(Settings!$B$11*Settings!$B$26,0),NA(),STDEV(OFFSET(G11,1-Settings!$B$11,0,Settings!$B$11,1))*SQRT(Settings!$B$13)))</f>
        <v/>
      </c>
      <c r="K11" s="20">
        <f>IF(OR(NOT(ISNUMBER($A11)),ROW()-2&lt;Settings!$B$12),NA(),IF(COUNT(OFFSET(G11,1-Settings!$B$12,0,Settings!$B$12,1))&lt;ROUNDUP(Settings!$B$12*Settings!$B$26,0),NA(),STDEV(OFFSET(G11,1-Settings!$B$12,0,Settings!$B$12,1))*SQRT(Settings!$B$13)))</f>
        <v/>
      </c>
      <c r="L11" s="20">
        <f>IF(AND(ISNUMBER(D11),ISNUMBER(H11)),D11-H11,NA())</f>
        <v/>
      </c>
      <c r="M11" s="20">
        <f>IF(AND(ISNUMBER(E11),ISNUMBER(K11)),E11-K11,NA())</f>
        <v/>
      </c>
      <c r="N11" s="20">
        <f>IF(NOT(ISNUMBER($A11)),NA(),IF(COUNT(OFFSET(G11,1,0,Settings!$B$12,1))&lt;ROUNDUP(Settings!$B$12*Settings!$B$26,0),NA(),STDEV(OFFSET(G11,1,0,Settings!$B$12,1))*SQRT(Settings!$B$13)))</f>
        <v/>
      </c>
      <c r="O11" s="20">
        <f>IF(AND(ISNUMBER(E11),ISNUMBER(N11)),E11-N11,NA())</f>
        <v/>
      </c>
      <c r="P11" s="19">
        <f>IF(NOT(ISNUMBER($A11)),NA(),IF(OR($A11&lt;MIN(KW_TP!$A$2:$A$2501),$A11&gt;MAX(KW_TP!$A$2:$A$2501)),NA(),INDEX(KW_TP!$C$2:$C$2501,MATCH($A11,KW_TP!$A$2:$A$2501,1))))</f>
        <v/>
      </c>
      <c r="Q11" s="18">
        <f>IF(NOT(ISNUMBER($A11)),NA(),IFERROR(1*INDEX(BBG_Data!$J$2:$J$4000,MATCH($A11,BBG_Data!$I$2:$I$4000,0)),NA()))</f>
        <v/>
      </c>
      <c r="R11" s="18">
        <f>IF(NOT(ISNUMBER($A11)),NA(),IFERROR(1*INDEX(BBG_Data!$L$2:$L$4000,MATCH($A11,BBG_Data!$K$2:$K$4000,0)),NA()))</f>
        <v/>
      </c>
      <c r="S11" s="20">
        <f>IF(AND(ISNUMBER(B11),ISNUMBER(Q11),ISNUMBER(R11)),(B11-Q11-R11)*100,NA())</f>
        <v/>
      </c>
      <c r="T11" s="20">
        <f>IF(AND(ISNUMBER(B11),Settings!$B$17&gt;0),IF(ISNUMBER(INDEX($B:$B,Settings!$B$17)),(B11-INDEX($B:$B,Settings!$B$17))*100,NA()),NA())</f>
        <v/>
      </c>
      <c r="U11" s="20">
        <f>IF(AND(ISNUMBER(Q11),Settings!$B$17&gt;0),IF(ISNUMBER(INDEX($Q:$Q,Settings!$B$17)),(Q11-INDEX($Q:$Q,Settings!$B$17))*100,NA()),NA())</f>
        <v/>
      </c>
      <c r="V11" s="20">
        <f>IF(AND(ISNUMBER(R11),Settings!$B$17&gt;0),IF(ISNUMBER(INDEX($R:$R,Settings!$B$17)),(R11-INDEX($R:$R,Settings!$B$17))*100,NA()),NA())</f>
        <v/>
      </c>
      <c r="W11" s="20">
        <f>IF(AND(ISNUMBER(P11),Settings!$B$17&gt;0),IF(ISNUMBER(INDEX($P:$P,Settings!$B$17)),P11-INDEX($P:$P,Settings!$B$17),NA()),NA())</f>
        <v/>
      </c>
      <c r="X11" s="19">
        <f>IF(NOT(ISNUMBER($A11)),NA(),IF(OR($A11&lt;MIN(DKW_10Y!$A$2:$A$2918),$A11&gt;MAX(DKW_10Y!$A$2:$A$2918),Settings!$B$16&lt;MIN(DKW_10Y!$A$2:$A$2918)),NA(),(INDEX(DKW_10Y!$B$2:$B$2918,MATCH($A11,DKW_10Y!$A$2:$A$2918,1))-INDEX(DKW_10Y!$B$2:$B$2918,MATCH(Settings!$B$16,DKW_10Y!$A$2:$A$2918,1)))*100))</f>
        <v/>
      </c>
      <c r="Y11" s="19">
        <f>IF(NOT(ISNUMBER($A11)),NA(),IF(OR($A11&lt;MIN(DKW_10Y!$A$2:$A$2918),$A11&gt;MAX(DKW_10Y!$A$2:$A$2918),Settings!$B$16&lt;MIN(DKW_10Y!$A$2:$A$2918)),NA(),(INDEX(DKW_10Y!$C$2:$C$2918,MATCH($A11,DKW_10Y!$A$2:$A$2918,1))-INDEX(DKW_10Y!$C$2:$C$2918,MATCH(Settings!$B$16,DKW_10Y!$A$2:$A$2918,1)))*100))</f>
        <v/>
      </c>
      <c r="Z11" s="19">
        <f>IF(NOT(ISNUMBER($A11)),NA(),IF(OR($A11&lt;MIN(DKW_10Y!$A$2:$A$2918),$A11&gt;MAX(DKW_10Y!$A$2:$A$2918),Settings!$B$16&lt;MIN(DKW_10Y!$A$2:$A$2918)),NA(),(INDEX(DKW_10Y!$D$2:$D$2918,MATCH($A11,DKW_10Y!$A$2:$A$2918,1))-INDEX(DKW_10Y!$D$2:$D$2918,MATCH(Settings!$B$16,DKW_10Y!$A$2:$A$2918,1)))*100))</f>
        <v/>
      </c>
      <c r="AA11" s="19">
        <f>IF(NOT(ISNUMBER($A11)),NA(),IF(OR($A11&lt;MIN(DKW_10Y!$A$2:$A$2918),$A11&gt;MAX(DKW_10Y!$A$2:$A$2918),Settings!$B$16&lt;MIN(DKW_10Y!$A$2:$A$2918)),NA(),(INDEX(DKW_10Y!$E$2:$E$2918,MATCH($A11,DKW_10Y!$A$2:$A$2918,1))-INDEX(DKW_10Y!$E$2:$E$2918,MATCH(Settings!$B$16,DKW_10Y!$A$2:$A$2918,1)))*100))</f>
        <v/>
      </c>
      <c r="AB11" s="19">
        <f>IF(NOT(ISNUMBER($A11)),NA(),IF(OR($A11&lt;MIN(DKW_10Y!$A$2:$A$2918),$A11&gt;MAX(DKW_10Y!$A$2:$A$2918),Settings!$B$16&lt;MIN(DKW_10Y!$A$2:$A$2918)),NA(),(INDEX(DKW_10Y!$H$2:$H$2918,MATCH($A11,DKW_10Y!$A$2:$A$2918,1))-INDEX(DKW_10Y!$H$2:$H$2918,MATCH(Settings!$B$16,DKW_10Y!$A$2:$A$2918,1)))*100))</f>
        <v/>
      </c>
      <c r="AC11" s="18">
        <f>IF(NOT(ISNUMBER($A11)),NA(),IFERROR(1*INDEX(BBG_Data!$N$2:$N$4000,MATCH($A11,BBG_Data!$M$2:$M$4000,0)),NA()))</f>
        <v/>
      </c>
      <c r="AD11" s="18">
        <f>IF(NOT(ISNUMBER($A11)),NA(),IFERROR(1*INDEX(BBG_Data!$P$2:$P$4000,MATCH($A11,BBG_Data!$O$2:$O$4000,0)),NA()))</f>
        <v/>
      </c>
      <c r="AE11" s="18">
        <f>IF(NOT(ISNUMBER($A11)),NA(),IFERROR(1*INDEX(BBG_Data!$R$2:$R$4000,MATCH($A11,BBG_Data!$Q$2:$Q$4000,0)),NA()))</f>
        <v/>
      </c>
      <c r="AF11" s="20">
        <f>IF(AND(ISNUMBER(B11),ISNUMBER(AC11)),(B11-AC11)*100,NA())</f>
        <v/>
      </c>
      <c r="AG11" s="20">
        <f>IF(AND(ISNUMBER(AE11),ISNUMBER(AD11)),(AE11-AD11)*100,NA())</f>
        <v/>
      </c>
      <c r="AH11" s="19">
        <f>IF(NOT(ISNUMBER($A11)),NA(),IFERROR(INDEX(BBG_Data!$T$2:$T$4000,MATCH($A11,BBG_Data!$S$2:$S$4000,0))*Settings!$B$25,NA()))</f>
        <v/>
      </c>
      <c r="AI11" s="19">
        <f>IF(NOT(ISNUMBER($A11)),NA(),IFERROR(INDEX(BBG_Data!$V$2:$V$4000,MATCH($A11,BBG_Data!$U$2:$U$4000,0))*Settings!$B$25,NA()))</f>
        <v/>
      </c>
      <c r="AJ11" s="19">
        <f>IF(NOT(ISNUMBER($A11)),NA(),IFERROR(1*INDEX(BBG_Data!$X$2:$X$4000,MATCH($A11,BBG_Data!$W$2:$W$4000,0)),NA()))</f>
        <v/>
      </c>
      <c r="AK11" s="19">
        <f>IF(NOT(ISNUMBER($A11)),NA(),IFERROR(1*INDEX(BBG_Data!$Z$2:$Z$4000,MATCH($A11,BBG_Data!$Y$2:$Y$4000,0)),NA()))</f>
        <v/>
      </c>
    </row>
    <row r="12">
      <c r="A12" s="17">
        <f>IF(ISNUMBER(BBG_Data!A12),BBG_Data!A12,"")</f>
        <v/>
      </c>
      <c r="B12" s="18">
        <f>IF(AND(ISNUMBER($A12),ISNUMBER(BBG_Data!B12)),BBG_Data!B12,NA())</f>
        <v/>
      </c>
      <c r="C12" s="18">
        <f>IF(NOT(ISNUMBER($A12)),NA(),IFERROR(1*INDEX(BBG_Data!$D$2:$D$4000,MATCH($A12,BBG_Data!$C$2:$C$4000,0)),NA()))</f>
        <v/>
      </c>
      <c r="D12" s="19">
        <f>IF(NOT(ISNUMBER($A12)),NA(),IFERROR(1*INDEX(BBG_Data!$F$2:$F$4000,MATCH($A12,BBG_Data!$E$2:$E$4000,0)),NA()))</f>
        <v/>
      </c>
      <c r="E12" s="19">
        <f>IF(NOT(ISNUMBER($A12)),NA(),IFERROR(1*INDEX(BBG_Data!$H$2:$H$4000,MATCH($A12,BBG_Data!$G$2:$G$4000,0)),NA()))</f>
        <v/>
      </c>
      <c r="F12" s="20">
        <f>IF(AND(ISNUMBER(B12),ISNUMBER(B11)),IF(B12=B11,"",(B12-B11)*100),"")</f>
        <v/>
      </c>
      <c r="G12" s="20">
        <f>IF(AND(ISNUMBER(C12),ISNUMBER(C11)),IF(C12=C11,"",(C12-C11)*100),"")</f>
        <v/>
      </c>
      <c r="H12" s="20">
        <f>IF(OR(NOT(ISNUMBER($A12)),ROW()-2&lt;Settings!$B$11),NA(),IF(COUNT(OFFSET(F12,1-Settings!$B$11,0,Settings!$B$11,1))&lt;ROUNDUP(Settings!$B$11*Settings!$B$26,0),NA(),STDEV(OFFSET(F12,1-Settings!$B$11,0,Settings!$B$11,1))*SQRT(Settings!$B$13)))</f>
        <v/>
      </c>
      <c r="I12" s="20">
        <f>IF(OR(NOT(ISNUMBER($A12)),ROW()-2&lt;Settings!$B$12),NA(),IF(COUNT(OFFSET(F12,1-Settings!$B$12,0,Settings!$B$12,1))&lt;ROUNDUP(Settings!$B$12*Settings!$B$26,0),NA(),STDEV(OFFSET(F12,1-Settings!$B$12,0,Settings!$B$12,1))*SQRT(Settings!$B$13)))</f>
        <v/>
      </c>
      <c r="J12" s="20">
        <f>IF(OR(NOT(ISNUMBER($A12)),ROW()-2&lt;Settings!$B$11),NA(),IF(COUNT(OFFSET(G12,1-Settings!$B$11,0,Settings!$B$11,1))&lt;ROUNDUP(Settings!$B$11*Settings!$B$26,0),NA(),STDEV(OFFSET(G12,1-Settings!$B$11,0,Settings!$B$11,1))*SQRT(Settings!$B$13)))</f>
        <v/>
      </c>
      <c r="K12" s="20">
        <f>IF(OR(NOT(ISNUMBER($A12)),ROW()-2&lt;Settings!$B$12),NA(),IF(COUNT(OFFSET(G12,1-Settings!$B$12,0,Settings!$B$12,1))&lt;ROUNDUP(Settings!$B$12*Settings!$B$26,0),NA(),STDEV(OFFSET(G12,1-Settings!$B$12,0,Settings!$B$12,1))*SQRT(Settings!$B$13)))</f>
        <v/>
      </c>
      <c r="L12" s="20">
        <f>IF(AND(ISNUMBER(D12),ISNUMBER(H12)),D12-H12,NA())</f>
        <v/>
      </c>
      <c r="M12" s="20">
        <f>IF(AND(ISNUMBER(E12),ISNUMBER(K12)),E12-K12,NA())</f>
        <v/>
      </c>
      <c r="N12" s="20">
        <f>IF(NOT(ISNUMBER($A12)),NA(),IF(COUNT(OFFSET(G12,1,0,Settings!$B$12,1))&lt;ROUNDUP(Settings!$B$12*Settings!$B$26,0),NA(),STDEV(OFFSET(G12,1,0,Settings!$B$12,1))*SQRT(Settings!$B$13)))</f>
        <v/>
      </c>
      <c r="O12" s="20">
        <f>IF(AND(ISNUMBER(E12),ISNUMBER(N12)),E12-N12,NA())</f>
        <v/>
      </c>
      <c r="P12" s="19">
        <f>IF(NOT(ISNUMBER($A12)),NA(),IF(OR($A12&lt;MIN(KW_TP!$A$2:$A$2501),$A12&gt;MAX(KW_TP!$A$2:$A$2501)),NA(),INDEX(KW_TP!$C$2:$C$2501,MATCH($A12,KW_TP!$A$2:$A$2501,1))))</f>
        <v/>
      </c>
      <c r="Q12" s="18">
        <f>IF(NOT(ISNUMBER($A12)),NA(),IFERROR(1*INDEX(BBG_Data!$J$2:$J$4000,MATCH($A12,BBG_Data!$I$2:$I$4000,0)),NA()))</f>
        <v/>
      </c>
      <c r="R12" s="18">
        <f>IF(NOT(ISNUMBER($A12)),NA(),IFERROR(1*INDEX(BBG_Data!$L$2:$L$4000,MATCH($A12,BBG_Data!$K$2:$K$4000,0)),NA()))</f>
        <v/>
      </c>
      <c r="S12" s="20">
        <f>IF(AND(ISNUMBER(B12),ISNUMBER(Q12),ISNUMBER(R12)),(B12-Q12-R12)*100,NA())</f>
        <v/>
      </c>
      <c r="T12" s="20">
        <f>IF(AND(ISNUMBER(B12),Settings!$B$17&gt;0),IF(ISNUMBER(INDEX($B:$B,Settings!$B$17)),(B12-INDEX($B:$B,Settings!$B$17))*100,NA()),NA())</f>
        <v/>
      </c>
      <c r="U12" s="20">
        <f>IF(AND(ISNUMBER(Q12),Settings!$B$17&gt;0),IF(ISNUMBER(INDEX($Q:$Q,Settings!$B$17)),(Q12-INDEX($Q:$Q,Settings!$B$17))*100,NA()),NA())</f>
        <v/>
      </c>
      <c r="V12" s="20">
        <f>IF(AND(ISNUMBER(R12),Settings!$B$17&gt;0),IF(ISNUMBER(INDEX($R:$R,Settings!$B$17)),(R12-INDEX($R:$R,Settings!$B$17))*100,NA()),NA())</f>
        <v/>
      </c>
      <c r="W12" s="20">
        <f>IF(AND(ISNUMBER(P12),Settings!$B$17&gt;0),IF(ISNUMBER(INDEX($P:$P,Settings!$B$17)),P12-INDEX($P:$P,Settings!$B$17),NA()),NA())</f>
        <v/>
      </c>
      <c r="X12" s="19">
        <f>IF(NOT(ISNUMBER($A12)),NA(),IF(OR($A12&lt;MIN(DKW_10Y!$A$2:$A$2918),$A12&gt;MAX(DKW_10Y!$A$2:$A$2918),Settings!$B$16&lt;MIN(DKW_10Y!$A$2:$A$2918)),NA(),(INDEX(DKW_10Y!$B$2:$B$2918,MATCH($A12,DKW_10Y!$A$2:$A$2918,1))-INDEX(DKW_10Y!$B$2:$B$2918,MATCH(Settings!$B$16,DKW_10Y!$A$2:$A$2918,1)))*100))</f>
        <v/>
      </c>
      <c r="Y12" s="19">
        <f>IF(NOT(ISNUMBER($A12)),NA(),IF(OR($A12&lt;MIN(DKW_10Y!$A$2:$A$2918),$A12&gt;MAX(DKW_10Y!$A$2:$A$2918),Settings!$B$16&lt;MIN(DKW_10Y!$A$2:$A$2918)),NA(),(INDEX(DKW_10Y!$C$2:$C$2918,MATCH($A12,DKW_10Y!$A$2:$A$2918,1))-INDEX(DKW_10Y!$C$2:$C$2918,MATCH(Settings!$B$16,DKW_10Y!$A$2:$A$2918,1)))*100))</f>
        <v/>
      </c>
      <c r="Z12" s="19">
        <f>IF(NOT(ISNUMBER($A12)),NA(),IF(OR($A12&lt;MIN(DKW_10Y!$A$2:$A$2918),$A12&gt;MAX(DKW_10Y!$A$2:$A$2918),Settings!$B$16&lt;MIN(DKW_10Y!$A$2:$A$2918)),NA(),(INDEX(DKW_10Y!$D$2:$D$2918,MATCH($A12,DKW_10Y!$A$2:$A$2918,1))-INDEX(DKW_10Y!$D$2:$D$2918,MATCH(Settings!$B$16,DKW_10Y!$A$2:$A$2918,1)))*100))</f>
        <v/>
      </c>
      <c r="AA12" s="19">
        <f>IF(NOT(ISNUMBER($A12)),NA(),IF(OR($A12&lt;MIN(DKW_10Y!$A$2:$A$2918),$A12&gt;MAX(DKW_10Y!$A$2:$A$2918),Settings!$B$16&lt;MIN(DKW_10Y!$A$2:$A$2918)),NA(),(INDEX(DKW_10Y!$E$2:$E$2918,MATCH($A12,DKW_10Y!$A$2:$A$2918,1))-INDEX(DKW_10Y!$E$2:$E$2918,MATCH(Settings!$B$16,DKW_10Y!$A$2:$A$2918,1)))*100))</f>
        <v/>
      </c>
      <c r="AB12" s="19">
        <f>IF(NOT(ISNUMBER($A12)),NA(),IF(OR($A12&lt;MIN(DKW_10Y!$A$2:$A$2918),$A12&gt;MAX(DKW_10Y!$A$2:$A$2918),Settings!$B$16&lt;MIN(DKW_10Y!$A$2:$A$2918)),NA(),(INDEX(DKW_10Y!$H$2:$H$2918,MATCH($A12,DKW_10Y!$A$2:$A$2918,1))-INDEX(DKW_10Y!$H$2:$H$2918,MATCH(Settings!$B$16,DKW_10Y!$A$2:$A$2918,1)))*100))</f>
        <v/>
      </c>
      <c r="AC12" s="18">
        <f>IF(NOT(ISNUMBER($A12)),NA(),IFERROR(1*INDEX(BBG_Data!$N$2:$N$4000,MATCH($A12,BBG_Data!$M$2:$M$4000,0)),NA()))</f>
        <v/>
      </c>
      <c r="AD12" s="18">
        <f>IF(NOT(ISNUMBER($A12)),NA(),IFERROR(1*INDEX(BBG_Data!$P$2:$P$4000,MATCH($A12,BBG_Data!$O$2:$O$4000,0)),NA()))</f>
        <v/>
      </c>
      <c r="AE12" s="18">
        <f>IF(NOT(ISNUMBER($A12)),NA(),IFERROR(1*INDEX(BBG_Data!$R$2:$R$4000,MATCH($A12,BBG_Data!$Q$2:$Q$4000,0)),NA()))</f>
        <v/>
      </c>
      <c r="AF12" s="20">
        <f>IF(AND(ISNUMBER(B12),ISNUMBER(AC12)),(B12-AC12)*100,NA())</f>
        <v/>
      </c>
      <c r="AG12" s="20">
        <f>IF(AND(ISNUMBER(AE12),ISNUMBER(AD12)),(AE12-AD12)*100,NA())</f>
        <v/>
      </c>
      <c r="AH12" s="19">
        <f>IF(NOT(ISNUMBER($A12)),NA(),IFERROR(INDEX(BBG_Data!$T$2:$T$4000,MATCH($A12,BBG_Data!$S$2:$S$4000,0))*Settings!$B$25,NA()))</f>
        <v/>
      </c>
      <c r="AI12" s="19">
        <f>IF(NOT(ISNUMBER($A12)),NA(),IFERROR(INDEX(BBG_Data!$V$2:$V$4000,MATCH($A12,BBG_Data!$U$2:$U$4000,0))*Settings!$B$25,NA()))</f>
        <v/>
      </c>
      <c r="AJ12" s="19">
        <f>IF(NOT(ISNUMBER($A12)),NA(),IFERROR(1*INDEX(BBG_Data!$X$2:$X$4000,MATCH($A12,BBG_Data!$W$2:$W$4000,0)),NA()))</f>
        <v/>
      </c>
      <c r="AK12" s="19">
        <f>IF(NOT(ISNUMBER($A12)),NA(),IFERROR(1*INDEX(BBG_Data!$Z$2:$Z$4000,MATCH($A12,BBG_Data!$Y$2:$Y$4000,0)),NA()))</f>
        <v/>
      </c>
    </row>
    <row r="13">
      <c r="A13" s="17">
        <f>IF(ISNUMBER(BBG_Data!A13),BBG_Data!A13,"")</f>
        <v/>
      </c>
      <c r="B13" s="18">
        <f>IF(AND(ISNUMBER($A13),ISNUMBER(BBG_Data!B13)),BBG_Data!B13,NA())</f>
        <v/>
      </c>
      <c r="C13" s="18">
        <f>IF(NOT(ISNUMBER($A13)),NA(),IFERROR(1*INDEX(BBG_Data!$D$2:$D$4000,MATCH($A13,BBG_Data!$C$2:$C$4000,0)),NA()))</f>
        <v/>
      </c>
      <c r="D13" s="19">
        <f>IF(NOT(ISNUMBER($A13)),NA(),IFERROR(1*INDEX(BBG_Data!$F$2:$F$4000,MATCH($A13,BBG_Data!$E$2:$E$4000,0)),NA()))</f>
        <v/>
      </c>
      <c r="E13" s="19">
        <f>IF(NOT(ISNUMBER($A13)),NA(),IFERROR(1*INDEX(BBG_Data!$H$2:$H$4000,MATCH($A13,BBG_Data!$G$2:$G$4000,0)),NA()))</f>
        <v/>
      </c>
      <c r="F13" s="20">
        <f>IF(AND(ISNUMBER(B13),ISNUMBER(B12)),IF(B13=B12,"",(B13-B12)*100),"")</f>
        <v/>
      </c>
      <c r="G13" s="20">
        <f>IF(AND(ISNUMBER(C13),ISNUMBER(C12)),IF(C13=C12,"",(C13-C12)*100),"")</f>
        <v/>
      </c>
      <c r="H13" s="20">
        <f>IF(OR(NOT(ISNUMBER($A13)),ROW()-2&lt;Settings!$B$11),NA(),IF(COUNT(OFFSET(F13,1-Settings!$B$11,0,Settings!$B$11,1))&lt;ROUNDUP(Settings!$B$11*Settings!$B$26,0),NA(),STDEV(OFFSET(F13,1-Settings!$B$11,0,Settings!$B$11,1))*SQRT(Settings!$B$13)))</f>
        <v/>
      </c>
      <c r="I13" s="20">
        <f>IF(OR(NOT(ISNUMBER($A13)),ROW()-2&lt;Settings!$B$12),NA(),IF(COUNT(OFFSET(F13,1-Settings!$B$12,0,Settings!$B$12,1))&lt;ROUNDUP(Settings!$B$12*Settings!$B$26,0),NA(),STDEV(OFFSET(F13,1-Settings!$B$12,0,Settings!$B$12,1))*SQRT(Settings!$B$13)))</f>
        <v/>
      </c>
      <c r="J13" s="20">
        <f>IF(OR(NOT(ISNUMBER($A13)),ROW()-2&lt;Settings!$B$11),NA(),IF(COUNT(OFFSET(G13,1-Settings!$B$11,0,Settings!$B$11,1))&lt;ROUNDUP(Settings!$B$11*Settings!$B$26,0),NA(),STDEV(OFFSET(G13,1-Settings!$B$11,0,Settings!$B$11,1))*SQRT(Settings!$B$13)))</f>
        <v/>
      </c>
      <c r="K13" s="20">
        <f>IF(OR(NOT(ISNUMBER($A13)),ROW()-2&lt;Settings!$B$12),NA(),IF(COUNT(OFFSET(G13,1-Settings!$B$12,0,Settings!$B$12,1))&lt;ROUNDUP(Settings!$B$12*Settings!$B$26,0),NA(),STDEV(OFFSET(G13,1-Settings!$B$12,0,Settings!$B$12,1))*SQRT(Settings!$B$13)))</f>
        <v/>
      </c>
      <c r="L13" s="20">
        <f>IF(AND(ISNUMBER(D13),ISNUMBER(H13)),D13-H13,NA())</f>
        <v/>
      </c>
      <c r="M13" s="20">
        <f>IF(AND(ISNUMBER(E13),ISNUMBER(K13)),E13-K13,NA())</f>
        <v/>
      </c>
      <c r="N13" s="20">
        <f>IF(NOT(ISNUMBER($A13)),NA(),IF(COUNT(OFFSET(G13,1,0,Settings!$B$12,1))&lt;ROUNDUP(Settings!$B$12*Settings!$B$26,0),NA(),STDEV(OFFSET(G13,1,0,Settings!$B$12,1))*SQRT(Settings!$B$13)))</f>
        <v/>
      </c>
      <c r="O13" s="20">
        <f>IF(AND(ISNUMBER(E13),ISNUMBER(N13)),E13-N13,NA())</f>
        <v/>
      </c>
      <c r="P13" s="19">
        <f>IF(NOT(ISNUMBER($A13)),NA(),IF(OR($A13&lt;MIN(KW_TP!$A$2:$A$2501),$A13&gt;MAX(KW_TP!$A$2:$A$2501)),NA(),INDEX(KW_TP!$C$2:$C$2501,MATCH($A13,KW_TP!$A$2:$A$2501,1))))</f>
        <v/>
      </c>
      <c r="Q13" s="18">
        <f>IF(NOT(ISNUMBER($A13)),NA(),IFERROR(1*INDEX(BBG_Data!$J$2:$J$4000,MATCH($A13,BBG_Data!$I$2:$I$4000,0)),NA()))</f>
        <v/>
      </c>
      <c r="R13" s="18">
        <f>IF(NOT(ISNUMBER($A13)),NA(),IFERROR(1*INDEX(BBG_Data!$L$2:$L$4000,MATCH($A13,BBG_Data!$K$2:$K$4000,0)),NA()))</f>
        <v/>
      </c>
      <c r="S13" s="20">
        <f>IF(AND(ISNUMBER(B13),ISNUMBER(Q13),ISNUMBER(R13)),(B13-Q13-R13)*100,NA())</f>
        <v/>
      </c>
      <c r="T13" s="20">
        <f>IF(AND(ISNUMBER(B13),Settings!$B$17&gt;0),IF(ISNUMBER(INDEX($B:$B,Settings!$B$17)),(B13-INDEX($B:$B,Settings!$B$17))*100,NA()),NA())</f>
        <v/>
      </c>
      <c r="U13" s="20">
        <f>IF(AND(ISNUMBER(Q13),Settings!$B$17&gt;0),IF(ISNUMBER(INDEX($Q:$Q,Settings!$B$17)),(Q13-INDEX($Q:$Q,Settings!$B$17))*100,NA()),NA())</f>
        <v/>
      </c>
      <c r="V13" s="20">
        <f>IF(AND(ISNUMBER(R13),Settings!$B$17&gt;0),IF(ISNUMBER(INDEX($R:$R,Settings!$B$17)),(R13-INDEX($R:$R,Settings!$B$17))*100,NA()),NA())</f>
        <v/>
      </c>
      <c r="W13" s="20">
        <f>IF(AND(ISNUMBER(P13),Settings!$B$17&gt;0),IF(ISNUMBER(INDEX($P:$P,Settings!$B$17)),P13-INDEX($P:$P,Settings!$B$17),NA()),NA())</f>
        <v/>
      </c>
      <c r="X13" s="19">
        <f>IF(NOT(ISNUMBER($A13)),NA(),IF(OR($A13&lt;MIN(DKW_10Y!$A$2:$A$2918),$A13&gt;MAX(DKW_10Y!$A$2:$A$2918),Settings!$B$16&lt;MIN(DKW_10Y!$A$2:$A$2918)),NA(),(INDEX(DKW_10Y!$B$2:$B$2918,MATCH($A13,DKW_10Y!$A$2:$A$2918,1))-INDEX(DKW_10Y!$B$2:$B$2918,MATCH(Settings!$B$16,DKW_10Y!$A$2:$A$2918,1)))*100))</f>
        <v/>
      </c>
      <c r="Y13" s="19">
        <f>IF(NOT(ISNUMBER($A13)),NA(),IF(OR($A13&lt;MIN(DKW_10Y!$A$2:$A$2918),$A13&gt;MAX(DKW_10Y!$A$2:$A$2918),Settings!$B$16&lt;MIN(DKW_10Y!$A$2:$A$2918)),NA(),(INDEX(DKW_10Y!$C$2:$C$2918,MATCH($A13,DKW_10Y!$A$2:$A$2918,1))-INDEX(DKW_10Y!$C$2:$C$2918,MATCH(Settings!$B$16,DKW_10Y!$A$2:$A$2918,1)))*100))</f>
        <v/>
      </c>
      <c r="Z13" s="19">
        <f>IF(NOT(ISNUMBER($A13)),NA(),IF(OR($A13&lt;MIN(DKW_10Y!$A$2:$A$2918),$A13&gt;MAX(DKW_10Y!$A$2:$A$2918),Settings!$B$16&lt;MIN(DKW_10Y!$A$2:$A$2918)),NA(),(INDEX(DKW_10Y!$D$2:$D$2918,MATCH($A13,DKW_10Y!$A$2:$A$2918,1))-INDEX(DKW_10Y!$D$2:$D$2918,MATCH(Settings!$B$16,DKW_10Y!$A$2:$A$2918,1)))*100))</f>
        <v/>
      </c>
      <c r="AA13" s="19">
        <f>IF(NOT(ISNUMBER($A13)),NA(),IF(OR($A13&lt;MIN(DKW_10Y!$A$2:$A$2918),$A13&gt;MAX(DKW_10Y!$A$2:$A$2918),Settings!$B$16&lt;MIN(DKW_10Y!$A$2:$A$2918)),NA(),(INDEX(DKW_10Y!$E$2:$E$2918,MATCH($A13,DKW_10Y!$A$2:$A$2918,1))-INDEX(DKW_10Y!$E$2:$E$2918,MATCH(Settings!$B$16,DKW_10Y!$A$2:$A$2918,1)))*100))</f>
        <v/>
      </c>
      <c r="AB13" s="19">
        <f>IF(NOT(ISNUMBER($A13)),NA(),IF(OR($A13&lt;MIN(DKW_10Y!$A$2:$A$2918),$A13&gt;MAX(DKW_10Y!$A$2:$A$2918),Settings!$B$16&lt;MIN(DKW_10Y!$A$2:$A$2918)),NA(),(INDEX(DKW_10Y!$H$2:$H$2918,MATCH($A13,DKW_10Y!$A$2:$A$2918,1))-INDEX(DKW_10Y!$H$2:$H$2918,MATCH(Settings!$B$16,DKW_10Y!$A$2:$A$2918,1)))*100))</f>
        <v/>
      </c>
      <c r="AC13" s="18">
        <f>IF(NOT(ISNUMBER($A13)),NA(),IFERROR(1*INDEX(BBG_Data!$N$2:$N$4000,MATCH($A13,BBG_Data!$M$2:$M$4000,0)),NA()))</f>
        <v/>
      </c>
      <c r="AD13" s="18">
        <f>IF(NOT(ISNUMBER($A13)),NA(),IFERROR(1*INDEX(BBG_Data!$P$2:$P$4000,MATCH($A13,BBG_Data!$O$2:$O$4000,0)),NA()))</f>
        <v/>
      </c>
      <c r="AE13" s="18">
        <f>IF(NOT(ISNUMBER($A13)),NA(),IFERROR(1*INDEX(BBG_Data!$R$2:$R$4000,MATCH($A13,BBG_Data!$Q$2:$Q$4000,0)),NA()))</f>
        <v/>
      </c>
      <c r="AF13" s="20">
        <f>IF(AND(ISNUMBER(B13),ISNUMBER(AC13)),(B13-AC13)*100,NA())</f>
        <v/>
      </c>
      <c r="AG13" s="20">
        <f>IF(AND(ISNUMBER(AE13),ISNUMBER(AD13)),(AE13-AD13)*100,NA())</f>
        <v/>
      </c>
      <c r="AH13" s="19">
        <f>IF(NOT(ISNUMBER($A13)),NA(),IFERROR(INDEX(BBG_Data!$T$2:$T$4000,MATCH($A13,BBG_Data!$S$2:$S$4000,0))*Settings!$B$25,NA()))</f>
        <v/>
      </c>
      <c r="AI13" s="19">
        <f>IF(NOT(ISNUMBER($A13)),NA(),IFERROR(INDEX(BBG_Data!$V$2:$V$4000,MATCH($A13,BBG_Data!$U$2:$U$4000,0))*Settings!$B$25,NA()))</f>
        <v/>
      </c>
      <c r="AJ13" s="19">
        <f>IF(NOT(ISNUMBER($A13)),NA(),IFERROR(1*INDEX(BBG_Data!$X$2:$X$4000,MATCH($A13,BBG_Data!$W$2:$W$4000,0)),NA()))</f>
        <v/>
      </c>
      <c r="AK13" s="19">
        <f>IF(NOT(ISNUMBER($A13)),NA(),IFERROR(1*INDEX(BBG_Data!$Z$2:$Z$4000,MATCH($A13,BBG_Data!$Y$2:$Y$4000,0)),NA()))</f>
        <v/>
      </c>
    </row>
    <row r="14">
      <c r="A14" s="17">
        <f>IF(ISNUMBER(BBG_Data!A14),BBG_Data!A14,"")</f>
        <v/>
      </c>
      <c r="B14" s="18">
        <f>IF(AND(ISNUMBER($A14),ISNUMBER(BBG_Data!B14)),BBG_Data!B14,NA())</f>
        <v/>
      </c>
      <c r="C14" s="18">
        <f>IF(NOT(ISNUMBER($A14)),NA(),IFERROR(1*INDEX(BBG_Data!$D$2:$D$4000,MATCH($A14,BBG_Data!$C$2:$C$4000,0)),NA()))</f>
        <v/>
      </c>
      <c r="D14" s="19">
        <f>IF(NOT(ISNUMBER($A14)),NA(),IFERROR(1*INDEX(BBG_Data!$F$2:$F$4000,MATCH($A14,BBG_Data!$E$2:$E$4000,0)),NA()))</f>
        <v/>
      </c>
      <c r="E14" s="19">
        <f>IF(NOT(ISNUMBER($A14)),NA(),IFERROR(1*INDEX(BBG_Data!$H$2:$H$4000,MATCH($A14,BBG_Data!$G$2:$G$4000,0)),NA()))</f>
        <v/>
      </c>
      <c r="F14" s="20">
        <f>IF(AND(ISNUMBER(B14),ISNUMBER(B13)),IF(B14=B13,"",(B14-B13)*100),"")</f>
        <v/>
      </c>
      <c r="G14" s="20">
        <f>IF(AND(ISNUMBER(C14),ISNUMBER(C13)),IF(C14=C13,"",(C14-C13)*100),"")</f>
        <v/>
      </c>
      <c r="H14" s="20">
        <f>IF(OR(NOT(ISNUMBER($A14)),ROW()-2&lt;Settings!$B$11),NA(),IF(COUNT(OFFSET(F14,1-Settings!$B$11,0,Settings!$B$11,1))&lt;ROUNDUP(Settings!$B$11*Settings!$B$26,0),NA(),STDEV(OFFSET(F14,1-Settings!$B$11,0,Settings!$B$11,1))*SQRT(Settings!$B$13)))</f>
        <v/>
      </c>
      <c r="I14" s="20">
        <f>IF(OR(NOT(ISNUMBER($A14)),ROW()-2&lt;Settings!$B$12),NA(),IF(COUNT(OFFSET(F14,1-Settings!$B$12,0,Settings!$B$12,1))&lt;ROUNDUP(Settings!$B$12*Settings!$B$26,0),NA(),STDEV(OFFSET(F14,1-Settings!$B$12,0,Settings!$B$12,1))*SQRT(Settings!$B$13)))</f>
        <v/>
      </c>
      <c r="J14" s="20">
        <f>IF(OR(NOT(ISNUMBER($A14)),ROW()-2&lt;Settings!$B$11),NA(),IF(COUNT(OFFSET(G14,1-Settings!$B$11,0,Settings!$B$11,1))&lt;ROUNDUP(Settings!$B$11*Settings!$B$26,0),NA(),STDEV(OFFSET(G14,1-Settings!$B$11,0,Settings!$B$11,1))*SQRT(Settings!$B$13)))</f>
        <v/>
      </c>
      <c r="K14" s="20">
        <f>IF(OR(NOT(ISNUMBER($A14)),ROW()-2&lt;Settings!$B$12),NA(),IF(COUNT(OFFSET(G14,1-Settings!$B$12,0,Settings!$B$12,1))&lt;ROUNDUP(Settings!$B$12*Settings!$B$26,0),NA(),STDEV(OFFSET(G14,1-Settings!$B$12,0,Settings!$B$12,1))*SQRT(Settings!$B$13)))</f>
        <v/>
      </c>
      <c r="L14" s="20">
        <f>IF(AND(ISNUMBER(D14),ISNUMBER(H14)),D14-H14,NA())</f>
        <v/>
      </c>
      <c r="M14" s="20">
        <f>IF(AND(ISNUMBER(E14),ISNUMBER(K14)),E14-K14,NA())</f>
        <v/>
      </c>
      <c r="N14" s="20">
        <f>IF(NOT(ISNUMBER($A14)),NA(),IF(COUNT(OFFSET(G14,1,0,Settings!$B$12,1))&lt;ROUNDUP(Settings!$B$12*Settings!$B$26,0),NA(),STDEV(OFFSET(G14,1,0,Settings!$B$12,1))*SQRT(Settings!$B$13)))</f>
        <v/>
      </c>
      <c r="O14" s="20">
        <f>IF(AND(ISNUMBER(E14),ISNUMBER(N14)),E14-N14,NA())</f>
        <v/>
      </c>
      <c r="P14" s="19">
        <f>IF(NOT(ISNUMBER($A14)),NA(),IF(OR($A14&lt;MIN(KW_TP!$A$2:$A$2501),$A14&gt;MAX(KW_TP!$A$2:$A$2501)),NA(),INDEX(KW_TP!$C$2:$C$2501,MATCH($A14,KW_TP!$A$2:$A$2501,1))))</f>
        <v/>
      </c>
      <c r="Q14" s="18">
        <f>IF(NOT(ISNUMBER($A14)),NA(),IFERROR(1*INDEX(BBG_Data!$J$2:$J$4000,MATCH($A14,BBG_Data!$I$2:$I$4000,0)),NA()))</f>
        <v/>
      </c>
      <c r="R14" s="18">
        <f>IF(NOT(ISNUMBER($A14)),NA(),IFERROR(1*INDEX(BBG_Data!$L$2:$L$4000,MATCH($A14,BBG_Data!$K$2:$K$4000,0)),NA()))</f>
        <v/>
      </c>
      <c r="S14" s="20">
        <f>IF(AND(ISNUMBER(B14),ISNUMBER(Q14),ISNUMBER(R14)),(B14-Q14-R14)*100,NA())</f>
        <v/>
      </c>
      <c r="T14" s="20">
        <f>IF(AND(ISNUMBER(B14),Settings!$B$17&gt;0),IF(ISNUMBER(INDEX($B:$B,Settings!$B$17)),(B14-INDEX($B:$B,Settings!$B$17))*100,NA()),NA())</f>
        <v/>
      </c>
      <c r="U14" s="20">
        <f>IF(AND(ISNUMBER(Q14),Settings!$B$17&gt;0),IF(ISNUMBER(INDEX($Q:$Q,Settings!$B$17)),(Q14-INDEX($Q:$Q,Settings!$B$17))*100,NA()),NA())</f>
        <v/>
      </c>
      <c r="V14" s="20">
        <f>IF(AND(ISNUMBER(R14),Settings!$B$17&gt;0),IF(ISNUMBER(INDEX($R:$R,Settings!$B$17)),(R14-INDEX($R:$R,Settings!$B$17))*100,NA()),NA())</f>
        <v/>
      </c>
      <c r="W14" s="20">
        <f>IF(AND(ISNUMBER(P14),Settings!$B$17&gt;0),IF(ISNUMBER(INDEX($P:$P,Settings!$B$17)),P14-INDEX($P:$P,Settings!$B$17),NA()),NA())</f>
        <v/>
      </c>
      <c r="X14" s="19">
        <f>IF(NOT(ISNUMBER($A14)),NA(),IF(OR($A14&lt;MIN(DKW_10Y!$A$2:$A$2918),$A14&gt;MAX(DKW_10Y!$A$2:$A$2918),Settings!$B$16&lt;MIN(DKW_10Y!$A$2:$A$2918)),NA(),(INDEX(DKW_10Y!$B$2:$B$2918,MATCH($A14,DKW_10Y!$A$2:$A$2918,1))-INDEX(DKW_10Y!$B$2:$B$2918,MATCH(Settings!$B$16,DKW_10Y!$A$2:$A$2918,1)))*100))</f>
        <v/>
      </c>
      <c r="Y14" s="19">
        <f>IF(NOT(ISNUMBER($A14)),NA(),IF(OR($A14&lt;MIN(DKW_10Y!$A$2:$A$2918),$A14&gt;MAX(DKW_10Y!$A$2:$A$2918),Settings!$B$16&lt;MIN(DKW_10Y!$A$2:$A$2918)),NA(),(INDEX(DKW_10Y!$C$2:$C$2918,MATCH($A14,DKW_10Y!$A$2:$A$2918,1))-INDEX(DKW_10Y!$C$2:$C$2918,MATCH(Settings!$B$16,DKW_10Y!$A$2:$A$2918,1)))*100))</f>
        <v/>
      </c>
      <c r="Z14" s="19">
        <f>IF(NOT(ISNUMBER($A14)),NA(),IF(OR($A14&lt;MIN(DKW_10Y!$A$2:$A$2918),$A14&gt;MAX(DKW_10Y!$A$2:$A$2918),Settings!$B$16&lt;MIN(DKW_10Y!$A$2:$A$2918)),NA(),(INDEX(DKW_10Y!$D$2:$D$2918,MATCH($A14,DKW_10Y!$A$2:$A$2918,1))-INDEX(DKW_10Y!$D$2:$D$2918,MATCH(Settings!$B$16,DKW_10Y!$A$2:$A$2918,1)))*100))</f>
        <v/>
      </c>
      <c r="AA14" s="19">
        <f>IF(NOT(ISNUMBER($A14)),NA(),IF(OR($A14&lt;MIN(DKW_10Y!$A$2:$A$2918),$A14&gt;MAX(DKW_10Y!$A$2:$A$2918),Settings!$B$16&lt;MIN(DKW_10Y!$A$2:$A$2918)),NA(),(INDEX(DKW_10Y!$E$2:$E$2918,MATCH($A14,DKW_10Y!$A$2:$A$2918,1))-INDEX(DKW_10Y!$E$2:$E$2918,MATCH(Settings!$B$16,DKW_10Y!$A$2:$A$2918,1)))*100))</f>
        <v/>
      </c>
      <c r="AB14" s="19">
        <f>IF(NOT(ISNUMBER($A14)),NA(),IF(OR($A14&lt;MIN(DKW_10Y!$A$2:$A$2918),$A14&gt;MAX(DKW_10Y!$A$2:$A$2918),Settings!$B$16&lt;MIN(DKW_10Y!$A$2:$A$2918)),NA(),(INDEX(DKW_10Y!$H$2:$H$2918,MATCH($A14,DKW_10Y!$A$2:$A$2918,1))-INDEX(DKW_10Y!$H$2:$H$2918,MATCH(Settings!$B$16,DKW_10Y!$A$2:$A$2918,1)))*100))</f>
        <v/>
      </c>
      <c r="AC14" s="18">
        <f>IF(NOT(ISNUMBER($A14)),NA(),IFERROR(1*INDEX(BBG_Data!$N$2:$N$4000,MATCH($A14,BBG_Data!$M$2:$M$4000,0)),NA()))</f>
        <v/>
      </c>
      <c r="AD14" s="18">
        <f>IF(NOT(ISNUMBER($A14)),NA(),IFERROR(1*INDEX(BBG_Data!$P$2:$P$4000,MATCH($A14,BBG_Data!$O$2:$O$4000,0)),NA()))</f>
        <v/>
      </c>
      <c r="AE14" s="18">
        <f>IF(NOT(ISNUMBER($A14)),NA(),IFERROR(1*INDEX(BBG_Data!$R$2:$R$4000,MATCH($A14,BBG_Data!$Q$2:$Q$4000,0)),NA()))</f>
        <v/>
      </c>
      <c r="AF14" s="20">
        <f>IF(AND(ISNUMBER(B14),ISNUMBER(AC14)),(B14-AC14)*100,NA())</f>
        <v/>
      </c>
      <c r="AG14" s="20">
        <f>IF(AND(ISNUMBER(AE14),ISNUMBER(AD14)),(AE14-AD14)*100,NA())</f>
        <v/>
      </c>
      <c r="AH14" s="19">
        <f>IF(NOT(ISNUMBER($A14)),NA(),IFERROR(INDEX(BBG_Data!$T$2:$T$4000,MATCH($A14,BBG_Data!$S$2:$S$4000,0))*Settings!$B$25,NA()))</f>
        <v/>
      </c>
      <c r="AI14" s="19">
        <f>IF(NOT(ISNUMBER($A14)),NA(),IFERROR(INDEX(BBG_Data!$V$2:$V$4000,MATCH($A14,BBG_Data!$U$2:$U$4000,0))*Settings!$B$25,NA()))</f>
        <v/>
      </c>
      <c r="AJ14" s="19">
        <f>IF(NOT(ISNUMBER($A14)),NA(),IFERROR(1*INDEX(BBG_Data!$X$2:$X$4000,MATCH($A14,BBG_Data!$W$2:$W$4000,0)),NA()))</f>
        <v/>
      </c>
      <c r="AK14" s="19">
        <f>IF(NOT(ISNUMBER($A14)),NA(),IFERROR(1*INDEX(BBG_Data!$Z$2:$Z$4000,MATCH($A14,BBG_Data!$Y$2:$Y$4000,0)),NA()))</f>
        <v/>
      </c>
    </row>
    <row r="15">
      <c r="A15" s="17">
        <f>IF(ISNUMBER(BBG_Data!A15),BBG_Data!A15,"")</f>
        <v/>
      </c>
      <c r="B15" s="18">
        <f>IF(AND(ISNUMBER($A15),ISNUMBER(BBG_Data!B15)),BBG_Data!B15,NA())</f>
        <v/>
      </c>
      <c r="C15" s="18">
        <f>IF(NOT(ISNUMBER($A15)),NA(),IFERROR(1*INDEX(BBG_Data!$D$2:$D$4000,MATCH($A15,BBG_Data!$C$2:$C$4000,0)),NA()))</f>
        <v/>
      </c>
      <c r="D15" s="19">
        <f>IF(NOT(ISNUMBER($A15)),NA(),IFERROR(1*INDEX(BBG_Data!$F$2:$F$4000,MATCH($A15,BBG_Data!$E$2:$E$4000,0)),NA()))</f>
        <v/>
      </c>
      <c r="E15" s="19">
        <f>IF(NOT(ISNUMBER($A15)),NA(),IFERROR(1*INDEX(BBG_Data!$H$2:$H$4000,MATCH($A15,BBG_Data!$G$2:$G$4000,0)),NA()))</f>
        <v/>
      </c>
      <c r="F15" s="20">
        <f>IF(AND(ISNUMBER(B15),ISNUMBER(B14)),IF(B15=B14,"",(B15-B14)*100),"")</f>
        <v/>
      </c>
      <c r="G15" s="20">
        <f>IF(AND(ISNUMBER(C15),ISNUMBER(C14)),IF(C15=C14,"",(C15-C14)*100),"")</f>
        <v/>
      </c>
      <c r="H15" s="20">
        <f>IF(OR(NOT(ISNUMBER($A15)),ROW()-2&lt;Settings!$B$11),NA(),IF(COUNT(OFFSET(F15,1-Settings!$B$11,0,Settings!$B$11,1))&lt;ROUNDUP(Settings!$B$11*Settings!$B$26,0),NA(),STDEV(OFFSET(F15,1-Settings!$B$11,0,Settings!$B$11,1))*SQRT(Settings!$B$13)))</f>
        <v/>
      </c>
      <c r="I15" s="20">
        <f>IF(OR(NOT(ISNUMBER($A15)),ROW()-2&lt;Settings!$B$12),NA(),IF(COUNT(OFFSET(F15,1-Settings!$B$12,0,Settings!$B$12,1))&lt;ROUNDUP(Settings!$B$12*Settings!$B$26,0),NA(),STDEV(OFFSET(F15,1-Settings!$B$12,0,Settings!$B$12,1))*SQRT(Settings!$B$13)))</f>
        <v/>
      </c>
      <c r="J15" s="20">
        <f>IF(OR(NOT(ISNUMBER($A15)),ROW()-2&lt;Settings!$B$11),NA(),IF(COUNT(OFFSET(G15,1-Settings!$B$11,0,Settings!$B$11,1))&lt;ROUNDUP(Settings!$B$11*Settings!$B$26,0),NA(),STDEV(OFFSET(G15,1-Settings!$B$11,0,Settings!$B$11,1))*SQRT(Settings!$B$13)))</f>
        <v/>
      </c>
      <c r="K15" s="20">
        <f>IF(OR(NOT(ISNUMBER($A15)),ROW()-2&lt;Settings!$B$12),NA(),IF(COUNT(OFFSET(G15,1-Settings!$B$12,0,Settings!$B$12,1))&lt;ROUNDUP(Settings!$B$12*Settings!$B$26,0),NA(),STDEV(OFFSET(G15,1-Settings!$B$12,0,Settings!$B$12,1))*SQRT(Settings!$B$13)))</f>
        <v/>
      </c>
      <c r="L15" s="20">
        <f>IF(AND(ISNUMBER(D15),ISNUMBER(H15)),D15-H15,NA())</f>
        <v/>
      </c>
      <c r="M15" s="20">
        <f>IF(AND(ISNUMBER(E15),ISNUMBER(K15)),E15-K15,NA())</f>
        <v/>
      </c>
      <c r="N15" s="20">
        <f>IF(NOT(ISNUMBER($A15)),NA(),IF(COUNT(OFFSET(G15,1,0,Settings!$B$12,1))&lt;ROUNDUP(Settings!$B$12*Settings!$B$26,0),NA(),STDEV(OFFSET(G15,1,0,Settings!$B$12,1))*SQRT(Settings!$B$13)))</f>
        <v/>
      </c>
      <c r="O15" s="20">
        <f>IF(AND(ISNUMBER(E15),ISNUMBER(N15)),E15-N15,NA())</f>
        <v/>
      </c>
      <c r="P15" s="19">
        <f>IF(NOT(ISNUMBER($A15)),NA(),IF(OR($A15&lt;MIN(KW_TP!$A$2:$A$2501),$A15&gt;MAX(KW_TP!$A$2:$A$2501)),NA(),INDEX(KW_TP!$C$2:$C$2501,MATCH($A15,KW_TP!$A$2:$A$2501,1))))</f>
        <v/>
      </c>
      <c r="Q15" s="18">
        <f>IF(NOT(ISNUMBER($A15)),NA(),IFERROR(1*INDEX(BBG_Data!$J$2:$J$4000,MATCH($A15,BBG_Data!$I$2:$I$4000,0)),NA()))</f>
        <v/>
      </c>
      <c r="R15" s="18">
        <f>IF(NOT(ISNUMBER($A15)),NA(),IFERROR(1*INDEX(BBG_Data!$L$2:$L$4000,MATCH($A15,BBG_Data!$K$2:$K$4000,0)),NA()))</f>
        <v/>
      </c>
      <c r="S15" s="20">
        <f>IF(AND(ISNUMBER(B15),ISNUMBER(Q15),ISNUMBER(R15)),(B15-Q15-R15)*100,NA())</f>
        <v/>
      </c>
      <c r="T15" s="20">
        <f>IF(AND(ISNUMBER(B15),Settings!$B$17&gt;0),IF(ISNUMBER(INDEX($B:$B,Settings!$B$17)),(B15-INDEX($B:$B,Settings!$B$17))*100,NA()),NA())</f>
        <v/>
      </c>
      <c r="U15" s="20">
        <f>IF(AND(ISNUMBER(Q15),Settings!$B$17&gt;0),IF(ISNUMBER(INDEX($Q:$Q,Settings!$B$17)),(Q15-INDEX($Q:$Q,Settings!$B$17))*100,NA()),NA())</f>
        <v/>
      </c>
      <c r="V15" s="20">
        <f>IF(AND(ISNUMBER(R15),Settings!$B$17&gt;0),IF(ISNUMBER(INDEX($R:$R,Settings!$B$17)),(R15-INDEX($R:$R,Settings!$B$17))*100,NA()),NA())</f>
        <v/>
      </c>
      <c r="W15" s="20">
        <f>IF(AND(ISNUMBER(P15),Settings!$B$17&gt;0),IF(ISNUMBER(INDEX($P:$P,Settings!$B$17)),P15-INDEX($P:$P,Settings!$B$17),NA()),NA())</f>
        <v/>
      </c>
      <c r="X15" s="19">
        <f>IF(NOT(ISNUMBER($A15)),NA(),IF(OR($A15&lt;MIN(DKW_10Y!$A$2:$A$2918),$A15&gt;MAX(DKW_10Y!$A$2:$A$2918),Settings!$B$16&lt;MIN(DKW_10Y!$A$2:$A$2918)),NA(),(INDEX(DKW_10Y!$B$2:$B$2918,MATCH($A15,DKW_10Y!$A$2:$A$2918,1))-INDEX(DKW_10Y!$B$2:$B$2918,MATCH(Settings!$B$16,DKW_10Y!$A$2:$A$2918,1)))*100))</f>
        <v/>
      </c>
      <c r="Y15" s="19">
        <f>IF(NOT(ISNUMBER($A15)),NA(),IF(OR($A15&lt;MIN(DKW_10Y!$A$2:$A$2918),$A15&gt;MAX(DKW_10Y!$A$2:$A$2918),Settings!$B$16&lt;MIN(DKW_10Y!$A$2:$A$2918)),NA(),(INDEX(DKW_10Y!$C$2:$C$2918,MATCH($A15,DKW_10Y!$A$2:$A$2918,1))-INDEX(DKW_10Y!$C$2:$C$2918,MATCH(Settings!$B$16,DKW_10Y!$A$2:$A$2918,1)))*100))</f>
        <v/>
      </c>
      <c r="Z15" s="19">
        <f>IF(NOT(ISNUMBER($A15)),NA(),IF(OR($A15&lt;MIN(DKW_10Y!$A$2:$A$2918),$A15&gt;MAX(DKW_10Y!$A$2:$A$2918),Settings!$B$16&lt;MIN(DKW_10Y!$A$2:$A$2918)),NA(),(INDEX(DKW_10Y!$D$2:$D$2918,MATCH($A15,DKW_10Y!$A$2:$A$2918,1))-INDEX(DKW_10Y!$D$2:$D$2918,MATCH(Settings!$B$16,DKW_10Y!$A$2:$A$2918,1)))*100))</f>
        <v/>
      </c>
      <c r="AA15" s="19">
        <f>IF(NOT(ISNUMBER($A15)),NA(),IF(OR($A15&lt;MIN(DKW_10Y!$A$2:$A$2918),$A15&gt;MAX(DKW_10Y!$A$2:$A$2918),Settings!$B$16&lt;MIN(DKW_10Y!$A$2:$A$2918)),NA(),(INDEX(DKW_10Y!$E$2:$E$2918,MATCH($A15,DKW_10Y!$A$2:$A$2918,1))-INDEX(DKW_10Y!$E$2:$E$2918,MATCH(Settings!$B$16,DKW_10Y!$A$2:$A$2918,1)))*100))</f>
        <v/>
      </c>
      <c r="AB15" s="19">
        <f>IF(NOT(ISNUMBER($A15)),NA(),IF(OR($A15&lt;MIN(DKW_10Y!$A$2:$A$2918),$A15&gt;MAX(DKW_10Y!$A$2:$A$2918),Settings!$B$16&lt;MIN(DKW_10Y!$A$2:$A$2918)),NA(),(INDEX(DKW_10Y!$H$2:$H$2918,MATCH($A15,DKW_10Y!$A$2:$A$2918,1))-INDEX(DKW_10Y!$H$2:$H$2918,MATCH(Settings!$B$16,DKW_10Y!$A$2:$A$2918,1)))*100))</f>
        <v/>
      </c>
      <c r="AC15" s="18">
        <f>IF(NOT(ISNUMBER($A15)),NA(),IFERROR(1*INDEX(BBG_Data!$N$2:$N$4000,MATCH($A15,BBG_Data!$M$2:$M$4000,0)),NA()))</f>
        <v/>
      </c>
      <c r="AD15" s="18">
        <f>IF(NOT(ISNUMBER($A15)),NA(),IFERROR(1*INDEX(BBG_Data!$P$2:$P$4000,MATCH($A15,BBG_Data!$O$2:$O$4000,0)),NA()))</f>
        <v/>
      </c>
      <c r="AE15" s="18">
        <f>IF(NOT(ISNUMBER($A15)),NA(),IFERROR(1*INDEX(BBG_Data!$R$2:$R$4000,MATCH($A15,BBG_Data!$Q$2:$Q$4000,0)),NA()))</f>
        <v/>
      </c>
      <c r="AF15" s="20">
        <f>IF(AND(ISNUMBER(B15),ISNUMBER(AC15)),(B15-AC15)*100,NA())</f>
        <v/>
      </c>
      <c r="AG15" s="20">
        <f>IF(AND(ISNUMBER(AE15),ISNUMBER(AD15)),(AE15-AD15)*100,NA())</f>
        <v/>
      </c>
      <c r="AH15" s="19">
        <f>IF(NOT(ISNUMBER($A15)),NA(),IFERROR(INDEX(BBG_Data!$T$2:$T$4000,MATCH($A15,BBG_Data!$S$2:$S$4000,0))*Settings!$B$25,NA()))</f>
        <v/>
      </c>
      <c r="AI15" s="19">
        <f>IF(NOT(ISNUMBER($A15)),NA(),IFERROR(INDEX(BBG_Data!$V$2:$V$4000,MATCH($A15,BBG_Data!$U$2:$U$4000,0))*Settings!$B$25,NA()))</f>
        <v/>
      </c>
      <c r="AJ15" s="19">
        <f>IF(NOT(ISNUMBER($A15)),NA(),IFERROR(1*INDEX(BBG_Data!$X$2:$X$4000,MATCH($A15,BBG_Data!$W$2:$W$4000,0)),NA()))</f>
        <v/>
      </c>
      <c r="AK15" s="19">
        <f>IF(NOT(ISNUMBER($A15)),NA(),IFERROR(1*INDEX(BBG_Data!$Z$2:$Z$4000,MATCH($A15,BBG_Data!$Y$2:$Y$4000,0)),NA()))</f>
        <v/>
      </c>
    </row>
    <row r="16">
      <c r="A16" s="17">
        <f>IF(ISNUMBER(BBG_Data!A16),BBG_Data!A16,"")</f>
        <v/>
      </c>
      <c r="B16" s="18">
        <f>IF(AND(ISNUMBER($A16),ISNUMBER(BBG_Data!B16)),BBG_Data!B16,NA())</f>
        <v/>
      </c>
      <c r="C16" s="18">
        <f>IF(NOT(ISNUMBER($A16)),NA(),IFERROR(1*INDEX(BBG_Data!$D$2:$D$4000,MATCH($A16,BBG_Data!$C$2:$C$4000,0)),NA()))</f>
        <v/>
      </c>
      <c r="D16" s="19">
        <f>IF(NOT(ISNUMBER($A16)),NA(),IFERROR(1*INDEX(BBG_Data!$F$2:$F$4000,MATCH($A16,BBG_Data!$E$2:$E$4000,0)),NA()))</f>
        <v/>
      </c>
      <c r="E16" s="19">
        <f>IF(NOT(ISNUMBER($A16)),NA(),IFERROR(1*INDEX(BBG_Data!$H$2:$H$4000,MATCH($A16,BBG_Data!$G$2:$G$4000,0)),NA()))</f>
        <v/>
      </c>
      <c r="F16" s="20">
        <f>IF(AND(ISNUMBER(B16),ISNUMBER(B15)),IF(B16=B15,"",(B16-B15)*100),"")</f>
        <v/>
      </c>
      <c r="G16" s="20">
        <f>IF(AND(ISNUMBER(C16),ISNUMBER(C15)),IF(C16=C15,"",(C16-C15)*100),"")</f>
        <v/>
      </c>
      <c r="H16" s="20">
        <f>IF(OR(NOT(ISNUMBER($A16)),ROW()-2&lt;Settings!$B$11),NA(),IF(COUNT(OFFSET(F16,1-Settings!$B$11,0,Settings!$B$11,1))&lt;ROUNDUP(Settings!$B$11*Settings!$B$26,0),NA(),STDEV(OFFSET(F16,1-Settings!$B$11,0,Settings!$B$11,1))*SQRT(Settings!$B$13)))</f>
        <v/>
      </c>
      <c r="I16" s="20">
        <f>IF(OR(NOT(ISNUMBER($A16)),ROW()-2&lt;Settings!$B$12),NA(),IF(COUNT(OFFSET(F16,1-Settings!$B$12,0,Settings!$B$12,1))&lt;ROUNDUP(Settings!$B$12*Settings!$B$26,0),NA(),STDEV(OFFSET(F16,1-Settings!$B$12,0,Settings!$B$12,1))*SQRT(Settings!$B$13)))</f>
        <v/>
      </c>
      <c r="J16" s="20">
        <f>IF(OR(NOT(ISNUMBER($A16)),ROW()-2&lt;Settings!$B$11),NA(),IF(COUNT(OFFSET(G16,1-Settings!$B$11,0,Settings!$B$11,1))&lt;ROUNDUP(Settings!$B$11*Settings!$B$26,0),NA(),STDEV(OFFSET(G16,1-Settings!$B$11,0,Settings!$B$11,1))*SQRT(Settings!$B$13)))</f>
        <v/>
      </c>
      <c r="K16" s="20">
        <f>IF(OR(NOT(ISNUMBER($A16)),ROW()-2&lt;Settings!$B$12),NA(),IF(COUNT(OFFSET(G16,1-Settings!$B$12,0,Settings!$B$12,1))&lt;ROUNDUP(Settings!$B$12*Settings!$B$26,0),NA(),STDEV(OFFSET(G16,1-Settings!$B$12,0,Settings!$B$12,1))*SQRT(Settings!$B$13)))</f>
        <v/>
      </c>
      <c r="L16" s="20">
        <f>IF(AND(ISNUMBER(D16),ISNUMBER(H16)),D16-H16,NA())</f>
        <v/>
      </c>
      <c r="M16" s="20">
        <f>IF(AND(ISNUMBER(E16),ISNUMBER(K16)),E16-K16,NA())</f>
        <v/>
      </c>
      <c r="N16" s="20">
        <f>IF(NOT(ISNUMBER($A16)),NA(),IF(COUNT(OFFSET(G16,1,0,Settings!$B$12,1))&lt;ROUNDUP(Settings!$B$12*Settings!$B$26,0),NA(),STDEV(OFFSET(G16,1,0,Settings!$B$12,1))*SQRT(Settings!$B$13)))</f>
        <v/>
      </c>
      <c r="O16" s="20">
        <f>IF(AND(ISNUMBER(E16),ISNUMBER(N16)),E16-N16,NA())</f>
        <v/>
      </c>
      <c r="P16" s="19">
        <f>IF(NOT(ISNUMBER($A16)),NA(),IF(OR($A16&lt;MIN(KW_TP!$A$2:$A$2501),$A16&gt;MAX(KW_TP!$A$2:$A$2501)),NA(),INDEX(KW_TP!$C$2:$C$2501,MATCH($A16,KW_TP!$A$2:$A$2501,1))))</f>
        <v/>
      </c>
      <c r="Q16" s="18">
        <f>IF(NOT(ISNUMBER($A16)),NA(),IFERROR(1*INDEX(BBG_Data!$J$2:$J$4000,MATCH($A16,BBG_Data!$I$2:$I$4000,0)),NA()))</f>
        <v/>
      </c>
      <c r="R16" s="18">
        <f>IF(NOT(ISNUMBER($A16)),NA(),IFERROR(1*INDEX(BBG_Data!$L$2:$L$4000,MATCH($A16,BBG_Data!$K$2:$K$4000,0)),NA()))</f>
        <v/>
      </c>
      <c r="S16" s="20">
        <f>IF(AND(ISNUMBER(B16),ISNUMBER(Q16),ISNUMBER(R16)),(B16-Q16-R16)*100,NA())</f>
        <v/>
      </c>
      <c r="T16" s="20">
        <f>IF(AND(ISNUMBER(B16),Settings!$B$17&gt;0),IF(ISNUMBER(INDEX($B:$B,Settings!$B$17)),(B16-INDEX($B:$B,Settings!$B$17))*100,NA()),NA())</f>
        <v/>
      </c>
      <c r="U16" s="20">
        <f>IF(AND(ISNUMBER(Q16),Settings!$B$17&gt;0),IF(ISNUMBER(INDEX($Q:$Q,Settings!$B$17)),(Q16-INDEX($Q:$Q,Settings!$B$17))*100,NA()),NA())</f>
        <v/>
      </c>
      <c r="V16" s="20">
        <f>IF(AND(ISNUMBER(R16),Settings!$B$17&gt;0),IF(ISNUMBER(INDEX($R:$R,Settings!$B$17)),(R16-INDEX($R:$R,Settings!$B$17))*100,NA()),NA())</f>
        <v/>
      </c>
      <c r="W16" s="20">
        <f>IF(AND(ISNUMBER(P16),Settings!$B$17&gt;0),IF(ISNUMBER(INDEX($P:$P,Settings!$B$17)),P16-INDEX($P:$P,Settings!$B$17),NA()),NA())</f>
        <v/>
      </c>
      <c r="X16" s="19">
        <f>IF(NOT(ISNUMBER($A16)),NA(),IF(OR($A16&lt;MIN(DKW_10Y!$A$2:$A$2918),$A16&gt;MAX(DKW_10Y!$A$2:$A$2918),Settings!$B$16&lt;MIN(DKW_10Y!$A$2:$A$2918)),NA(),(INDEX(DKW_10Y!$B$2:$B$2918,MATCH($A16,DKW_10Y!$A$2:$A$2918,1))-INDEX(DKW_10Y!$B$2:$B$2918,MATCH(Settings!$B$16,DKW_10Y!$A$2:$A$2918,1)))*100))</f>
        <v/>
      </c>
      <c r="Y16" s="19">
        <f>IF(NOT(ISNUMBER($A16)),NA(),IF(OR($A16&lt;MIN(DKW_10Y!$A$2:$A$2918),$A16&gt;MAX(DKW_10Y!$A$2:$A$2918),Settings!$B$16&lt;MIN(DKW_10Y!$A$2:$A$2918)),NA(),(INDEX(DKW_10Y!$C$2:$C$2918,MATCH($A16,DKW_10Y!$A$2:$A$2918,1))-INDEX(DKW_10Y!$C$2:$C$2918,MATCH(Settings!$B$16,DKW_10Y!$A$2:$A$2918,1)))*100))</f>
        <v/>
      </c>
      <c r="Z16" s="19">
        <f>IF(NOT(ISNUMBER($A16)),NA(),IF(OR($A16&lt;MIN(DKW_10Y!$A$2:$A$2918),$A16&gt;MAX(DKW_10Y!$A$2:$A$2918),Settings!$B$16&lt;MIN(DKW_10Y!$A$2:$A$2918)),NA(),(INDEX(DKW_10Y!$D$2:$D$2918,MATCH($A16,DKW_10Y!$A$2:$A$2918,1))-INDEX(DKW_10Y!$D$2:$D$2918,MATCH(Settings!$B$16,DKW_10Y!$A$2:$A$2918,1)))*100))</f>
        <v/>
      </c>
      <c r="AA16" s="19">
        <f>IF(NOT(ISNUMBER($A16)),NA(),IF(OR($A16&lt;MIN(DKW_10Y!$A$2:$A$2918),$A16&gt;MAX(DKW_10Y!$A$2:$A$2918),Settings!$B$16&lt;MIN(DKW_10Y!$A$2:$A$2918)),NA(),(INDEX(DKW_10Y!$E$2:$E$2918,MATCH($A16,DKW_10Y!$A$2:$A$2918,1))-INDEX(DKW_10Y!$E$2:$E$2918,MATCH(Settings!$B$16,DKW_10Y!$A$2:$A$2918,1)))*100))</f>
        <v/>
      </c>
      <c r="AB16" s="19">
        <f>IF(NOT(ISNUMBER($A16)),NA(),IF(OR($A16&lt;MIN(DKW_10Y!$A$2:$A$2918),$A16&gt;MAX(DKW_10Y!$A$2:$A$2918),Settings!$B$16&lt;MIN(DKW_10Y!$A$2:$A$2918)),NA(),(INDEX(DKW_10Y!$H$2:$H$2918,MATCH($A16,DKW_10Y!$A$2:$A$2918,1))-INDEX(DKW_10Y!$H$2:$H$2918,MATCH(Settings!$B$16,DKW_10Y!$A$2:$A$2918,1)))*100))</f>
        <v/>
      </c>
      <c r="AC16" s="18">
        <f>IF(NOT(ISNUMBER($A16)),NA(),IFERROR(1*INDEX(BBG_Data!$N$2:$N$4000,MATCH($A16,BBG_Data!$M$2:$M$4000,0)),NA()))</f>
        <v/>
      </c>
      <c r="AD16" s="18">
        <f>IF(NOT(ISNUMBER($A16)),NA(),IFERROR(1*INDEX(BBG_Data!$P$2:$P$4000,MATCH($A16,BBG_Data!$O$2:$O$4000,0)),NA()))</f>
        <v/>
      </c>
      <c r="AE16" s="18">
        <f>IF(NOT(ISNUMBER($A16)),NA(),IFERROR(1*INDEX(BBG_Data!$R$2:$R$4000,MATCH($A16,BBG_Data!$Q$2:$Q$4000,0)),NA()))</f>
        <v/>
      </c>
      <c r="AF16" s="20">
        <f>IF(AND(ISNUMBER(B16),ISNUMBER(AC16)),(B16-AC16)*100,NA())</f>
        <v/>
      </c>
      <c r="AG16" s="20">
        <f>IF(AND(ISNUMBER(AE16),ISNUMBER(AD16)),(AE16-AD16)*100,NA())</f>
        <v/>
      </c>
      <c r="AH16" s="19">
        <f>IF(NOT(ISNUMBER($A16)),NA(),IFERROR(INDEX(BBG_Data!$T$2:$T$4000,MATCH($A16,BBG_Data!$S$2:$S$4000,0))*Settings!$B$25,NA()))</f>
        <v/>
      </c>
      <c r="AI16" s="19">
        <f>IF(NOT(ISNUMBER($A16)),NA(),IFERROR(INDEX(BBG_Data!$V$2:$V$4000,MATCH($A16,BBG_Data!$U$2:$U$4000,0))*Settings!$B$25,NA()))</f>
        <v/>
      </c>
      <c r="AJ16" s="19">
        <f>IF(NOT(ISNUMBER($A16)),NA(),IFERROR(1*INDEX(BBG_Data!$X$2:$X$4000,MATCH($A16,BBG_Data!$W$2:$W$4000,0)),NA()))</f>
        <v/>
      </c>
      <c r="AK16" s="19">
        <f>IF(NOT(ISNUMBER($A16)),NA(),IFERROR(1*INDEX(BBG_Data!$Z$2:$Z$4000,MATCH($A16,BBG_Data!$Y$2:$Y$4000,0)),NA()))</f>
        <v/>
      </c>
    </row>
    <row r="17">
      <c r="A17" s="17">
        <f>IF(ISNUMBER(BBG_Data!A17),BBG_Data!A17,"")</f>
        <v/>
      </c>
      <c r="B17" s="18">
        <f>IF(AND(ISNUMBER($A17),ISNUMBER(BBG_Data!B17)),BBG_Data!B17,NA())</f>
        <v/>
      </c>
      <c r="C17" s="18">
        <f>IF(NOT(ISNUMBER($A17)),NA(),IFERROR(1*INDEX(BBG_Data!$D$2:$D$4000,MATCH($A17,BBG_Data!$C$2:$C$4000,0)),NA()))</f>
        <v/>
      </c>
      <c r="D17" s="19">
        <f>IF(NOT(ISNUMBER($A17)),NA(),IFERROR(1*INDEX(BBG_Data!$F$2:$F$4000,MATCH($A17,BBG_Data!$E$2:$E$4000,0)),NA()))</f>
        <v/>
      </c>
      <c r="E17" s="19">
        <f>IF(NOT(ISNUMBER($A17)),NA(),IFERROR(1*INDEX(BBG_Data!$H$2:$H$4000,MATCH($A17,BBG_Data!$G$2:$G$4000,0)),NA()))</f>
        <v/>
      </c>
      <c r="F17" s="20">
        <f>IF(AND(ISNUMBER(B17),ISNUMBER(B16)),IF(B17=B16,"",(B17-B16)*100),"")</f>
        <v/>
      </c>
      <c r="G17" s="20">
        <f>IF(AND(ISNUMBER(C17),ISNUMBER(C16)),IF(C17=C16,"",(C17-C16)*100),"")</f>
        <v/>
      </c>
      <c r="H17" s="20">
        <f>IF(OR(NOT(ISNUMBER($A17)),ROW()-2&lt;Settings!$B$11),NA(),IF(COUNT(OFFSET(F17,1-Settings!$B$11,0,Settings!$B$11,1))&lt;ROUNDUP(Settings!$B$11*Settings!$B$26,0),NA(),STDEV(OFFSET(F17,1-Settings!$B$11,0,Settings!$B$11,1))*SQRT(Settings!$B$13)))</f>
        <v/>
      </c>
      <c r="I17" s="20">
        <f>IF(OR(NOT(ISNUMBER($A17)),ROW()-2&lt;Settings!$B$12),NA(),IF(COUNT(OFFSET(F17,1-Settings!$B$12,0,Settings!$B$12,1))&lt;ROUNDUP(Settings!$B$12*Settings!$B$26,0),NA(),STDEV(OFFSET(F17,1-Settings!$B$12,0,Settings!$B$12,1))*SQRT(Settings!$B$13)))</f>
        <v/>
      </c>
      <c r="J17" s="20">
        <f>IF(OR(NOT(ISNUMBER($A17)),ROW()-2&lt;Settings!$B$11),NA(),IF(COUNT(OFFSET(G17,1-Settings!$B$11,0,Settings!$B$11,1))&lt;ROUNDUP(Settings!$B$11*Settings!$B$26,0),NA(),STDEV(OFFSET(G17,1-Settings!$B$11,0,Settings!$B$11,1))*SQRT(Settings!$B$13)))</f>
        <v/>
      </c>
      <c r="K17" s="20">
        <f>IF(OR(NOT(ISNUMBER($A17)),ROW()-2&lt;Settings!$B$12),NA(),IF(COUNT(OFFSET(G17,1-Settings!$B$12,0,Settings!$B$12,1))&lt;ROUNDUP(Settings!$B$12*Settings!$B$26,0),NA(),STDEV(OFFSET(G17,1-Settings!$B$12,0,Settings!$B$12,1))*SQRT(Settings!$B$13)))</f>
        <v/>
      </c>
      <c r="L17" s="20">
        <f>IF(AND(ISNUMBER(D17),ISNUMBER(H17)),D17-H17,NA())</f>
        <v/>
      </c>
      <c r="M17" s="20">
        <f>IF(AND(ISNUMBER(E17),ISNUMBER(K17)),E17-K17,NA())</f>
        <v/>
      </c>
      <c r="N17" s="20">
        <f>IF(NOT(ISNUMBER($A17)),NA(),IF(COUNT(OFFSET(G17,1,0,Settings!$B$12,1))&lt;ROUNDUP(Settings!$B$12*Settings!$B$26,0),NA(),STDEV(OFFSET(G17,1,0,Settings!$B$12,1))*SQRT(Settings!$B$13)))</f>
        <v/>
      </c>
      <c r="O17" s="20">
        <f>IF(AND(ISNUMBER(E17),ISNUMBER(N17)),E17-N17,NA())</f>
        <v/>
      </c>
      <c r="P17" s="19">
        <f>IF(NOT(ISNUMBER($A17)),NA(),IF(OR($A17&lt;MIN(KW_TP!$A$2:$A$2501),$A17&gt;MAX(KW_TP!$A$2:$A$2501)),NA(),INDEX(KW_TP!$C$2:$C$2501,MATCH($A17,KW_TP!$A$2:$A$2501,1))))</f>
        <v/>
      </c>
      <c r="Q17" s="18">
        <f>IF(NOT(ISNUMBER($A17)),NA(),IFERROR(1*INDEX(BBG_Data!$J$2:$J$4000,MATCH($A17,BBG_Data!$I$2:$I$4000,0)),NA()))</f>
        <v/>
      </c>
      <c r="R17" s="18">
        <f>IF(NOT(ISNUMBER($A17)),NA(),IFERROR(1*INDEX(BBG_Data!$L$2:$L$4000,MATCH($A17,BBG_Data!$K$2:$K$4000,0)),NA()))</f>
        <v/>
      </c>
      <c r="S17" s="20">
        <f>IF(AND(ISNUMBER(B17),ISNUMBER(Q17),ISNUMBER(R17)),(B17-Q17-R17)*100,NA())</f>
        <v/>
      </c>
      <c r="T17" s="20">
        <f>IF(AND(ISNUMBER(B17),Settings!$B$17&gt;0),IF(ISNUMBER(INDEX($B:$B,Settings!$B$17)),(B17-INDEX($B:$B,Settings!$B$17))*100,NA()),NA())</f>
        <v/>
      </c>
      <c r="U17" s="20">
        <f>IF(AND(ISNUMBER(Q17),Settings!$B$17&gt;0),IF(ISNUMBER(INDEX($Q:$Q,Settings!$B$17)),(Q17-INDEX($Q:$Q,Settings!$B$17))*100,NA()),NA())</f>
        <v/>
      </c>
      <c r="V17" s="20">
        <f>IF(AND(ISNUMBER(R17),Settings!$B$17&gt;0),IF(ISNUMBER(INDEX($R:$R,Settings!$B$17)),(R17-INDEX($R:$R,Settings!$B$17))*100,NA()),NA())</f>
        <v/>
      </c>
      <c r="W17" s="20">
        <f>IF(AND(ISNUMBER(P17),Settings!$B$17&gt;0),IF(ISNUMBER(INDEX($P:$P,Settings!$B$17)),P17-INDEX($P:$P,Settings!$B$17),NA()),NA())</f>
        <v/>
      </c>
      <c r="X17" s="19">
        <f>IF(NOT(ISNUMBER($A17)),NA(),IF(OR($A17&lt;MIN(DKW_10Y!$A$2:$A$2918),$A17&gt;MAX(DKW_10Y!$A$2:$A$2918),Settings!$B$16&lt;MIN(DKW_10Y!$A$2:$A$2918)),NA(),(INDEX(DKW_10Y!$B$2:$B$2918,MATCH($A17,DKW_10Y!$A$2:$A$2918,1))-INDEX(DKW_10Y!$B$2:$B$2918,MATCH(Settings!$B$16,DKW_10Y!$A$2:$A$2918,1)))*100))</f>
        <v/>
      </c>
      <c r="Y17" s="19">
        <f>IF(NOT(ISNUMBER($A17)),NA(),IF(OR($A17&lt;MIN(DKW_10Y!$A$2:$A$2918),$A17&gt;MAX(DKW_10Y!$A$2:$A$2918),Settings!$B$16&lt;MIN(DKW_10Y!$A$2:$A$2918)),NA(),(INDEX(DKW_10Y!$C$2:$C$2918,MATCH($A17,DKW_10Y!$A$2:$A$2918,1))-INDEX(DKW_10Y!$C$2:$C$2918,MATCH(Settings!$B$16,DKW_10Y!$A$2:$A$2918,1)))*100))</f>
        <v/>
      </c>
      <c r="Z17" s="19">
        <f>IF(NOT(ISNUMBER($A17)),NA(),IF(OR($A17&lt;MIN(DKW_10Y!$A$2:$A$2918),$A17&gt;MAX(DKW_10Y!$A$2:$A$2918),Settings!$B$16&lt;MIN(DKW_10Y!$A$2:$A$2918)),NA(),(INDEX(DKW_10Y!$D$2:$D$2918,MATCH($A17,DKW_10Y!$A$2:$A$2918,1))-INDEX(DKW_10Y!$D$2:$D$2918,MATCH(Settings!$B$16,DKW_10Y!$A$2:$A$2918,1)))*100))</f>
        <v/>
      </c>
      <c r="AA17" s="19">
        <f>IF(NOT(ISNUMBER($A17)),NA(),IF(OR($A17&lt;MIN(DKW_10Y!$A$2:$A$2918),$A17&gt;MAX(DKW_10Y!$A$2:$A$2918),Settings!$B$16&lt;MIN(DKW_10Y!$A$2:$A$2918)),NA(),(INDEX(DKW_10Y!$E$2:$E$2918,MATCH($A17,DKW_10Y!$A$2:$A$2918,1))-INDEX(DKW_10Y!$E$2:$E$2918,MATCH(Settings!$B$16,DKW_10Y!$A$2:$A$2918,1)))*100))</f>
        <v/>
      </c>
      <c r="AB17" s="19">
        <f>IF(NOT(ISNUMBER($A17)),NA(),IF(OR($A17&lt;MIN(DKW_10Y!$A$2:$A$2918),$A17&gt;MAX(DKW_10Y!$A$2:$A$2918),Settings!$B$16&lt;MIN(DKW_10Y!$A$2:$A$2918)),NA(),(INDEX(DKW_10Y!$H$2:$H$2918,MATCH($A17,DKW_10Y!$A$2:$A$2918,1))-INDEX(DKW_10Y!$H$2:$H$2918,MATCH(Settings!$B$16,DKW_10Y!$A$2:$A$2918,1)))*100))</f>
        <v/>
      </c>
      <c r="AC17" s="18">
        <f>IF(NOT(ISNUMBER($A17)),NA(),IFERROR(1*INDEX(BBG_Data!$N$2:$N$4000,MATCH($A17,BBG_Data!$M$2:$M$4000,0)),NA()))</f>
        <v/>
      </c>
      <c r="AD17" s="18">
        <f>IF(NOT(ISNUMBER($A17)),NA(),IFERROR(1*INDEX(BBG_Data!$P$2:$P$4000,MATCH($A17,BBG_Data!$O$2:$O$4000,0)),NA()))</f>
        <v/>
      </c>
      <c r="AE17" s="18">
        <f>IF(NOT(ISNUMBER($A17)),NA(),IFERROR(1*INDEX(BBG_Data!$R$2:$R$4000,MATCH($A17,BBG_Data!$Q$2:$Q$4000,0)),NA()))</f>
        <v/>
      </c>
      <c r="AF17" s="20">
        <f>IF(AND(ISNUMBER(B17),ISNUMBER(AC17)),(B17-AC17)*100,NA())</f>
        <v/>
      </c>
      <c r="AG17" s="20">
        <f>IF(AND(ISNUMBER(AE17),ISNUMBER(AD17)),(AE17-AD17)*100,NA())</f>
        <v/>
      </c>
      <c r="AH17" s="19">
        <f>IF(NOT(ISNUMBER($A17)),NA(),IFERROR(INDEX(BBG_Data!$T$2:$T$4000,MATCH($A17,BBG_Data!$S$2:$S$4000,0))*Settings!$B$25,NA()))</f>
        <v/>
      </c>
      <c r="AI17" s="19">
        <f>IF(NOT(ISNUMBER($A17)),NA(),IFERROR(INDEX(BBG_Data!$V$2:$V$4000,MATCH($A17,BBG_Data!$U$2:$U$4000,0))*Settings!$B$25,NA()))</f>
        <v/>
      </c>
      <c r="AJ17" s="19">
        <f>IF(NOT(ISNUMBER($A17)),NA(),IFERROR(1*INDEX(BBG_Data!$X$2:$X$4000,MATCH($A17,BBG_Data!$W$2:$W$4000,0)),NA()))</f>
        <v/>
      </c>
      <c r="AK17" s="19">
        <f>IF(NOT(ISNUMBER($A17)),NA(),IFERROR(1*INDEX(BBG_Data!$Z$2:$Z$4000,MATCH($A17,BBG_Data!$Y$2:$Y$4000,0)),NA()))</f>
        <v/>
      </c>
    </row>
    <row r="18">
      <c r="A18" s="17">
        <f>IF(ISNUMBER(BBG_Data!A18),BBG_Data!A18,"")</f>
        <v/>
      </c>
      <c r="B18" s="18">
        <f>IF(AND(ISNUMBER($A18),ISNUMBER(BBG_Data!B18)),BBG_Data!B18,NA())</f>
        <v/>
      </c>
      <c r="C18" s="18">
        <f>IF(NOT(ISNUMBER($A18)),NA(),IFERROR(1*INDEX(BBG_Data!$D$2:$D$4000,MATCH($A18,BBG_Data!$C$2:$C$4000,0)),NA()))</f>
        <v/>
      </c>
      <c r="D18" s="19">
        <f>IF(NOT(ISNUMBER($A18)),NA(),IFERROR(1*INDEX(BBG_Data!$F$2:$F$4000,MATCH($A18,BBG_Data!$E$2:$E$4000,0)),NA()))</f>
        <v/>
      </c>
      <c r="E18" s="19">
        <f>IF(NOT(ISNUMBER($A18)),NA(),IFERROR(1*INDEX(BBG_Data!$H$2:$H$4000,MATCH($A18,BBG_Data!$G$2:$G$4000,0)),NA()))</f>
        <v/>
      </c>
      <c r="F18" s="20">
        <f>IF(AND(ISNUMBER(B18),ISNUMBER(B17)),IF(B18=B17,"",(B18-B17)*100),"")</f>
        <v/>
      </c>
      <c r="G18" s="20">
        <f>IF(AND(ISNUMBER(C18),ISNUMBER(C17)),IF(C18=C17,"",(C18-C17)*100),"")</f>
        <v/>
      </c>
      <c r="H18" s="20">
        <f>IF(OR(NOT(ISNUMBER($A18)),ROW()-2&lt;Settings!$B$11),NA(),IF(COUNT(OFFSET(F18,1-Settings!$B$11,0,Settings!$B$11,1))&lt;ROUNDUP(Settings!$B$11*Settings!$B$26,0),NA(),STDEV(OFFSET(F18,1-Settings!$B$11,0,Settings!$B$11,1))*SQRT(Settings!$B$13)))</f>
        <v/>
      </c>
      <c r="I18" s="20">
        <f>IF(OR(NOT(ISNUMBER($A18)),ROW()-2&lt;Settings!$B$12),NA(),IF(COUNT(OFFSET(F18,1-Settings!$B$12,0,Settings!$B$12,1))&lt;ROUNDUP(Settings!$B$12*Settings!$B$26,0),NA(),STDEV(OFFSET(F18,1-Settings!$B$12,0,Settings!$B$12,1))*SQRT(Settings!$B$13)))</f>
        <v/>
      </c>
      <c r="J18" s="20">
        <f>IF(OR(NOT(ISNUMBER($A18)),ROW()-2&lt;Settings!$B$11),NA(),IF(COUNT(OFFSET(G18,1-Settings!$B$11,0,Settings!$B$11,1))&lt;ROUNDUP(Settings!$B$11*Settings!$B$26,0),NA(),STDEV(OFFSET(G18,1-Settings!$B$11,0,Settings!$B$11,1))*SQRT(Settings!$B$13)))</f>
        <v/>
      </c>
      <c r="K18" s="20">
        <f>IF(OR(NOT(ISNUMBER($A18)),ROW()-2&lt;Settings!$B$12),NA(),IF(COUNT(OFFSET(G18,1-Settings!$B$12,0,Settings!$B$12,1))&lt;ROUNDUP(Settings!$B$12*Settings!$B$26,0),NA(),STDEV(OFFSET(G18,1-Settings!$B$12,0,Settings!$B$12,1))*SQRT(Settings!$B$13)))</f>
        <v/>
      </c>
      <c r="L18" s="20">
        <f>IF(AND(ISNUMBER(D18),ISNUMBER(H18)),D18-H18,NA())</f>
        <v/>
      </c>
      <c r="M18" s="20">
        <f>IF(AND(ISNUMBER(E18),ISNUMBER(K18)),E18-K18,NA())</f>
        <v/>
      </c>
      <c r="N18" s="20">
        <f>IF(NOT(ISNUMBER($A18)),NA(),IF(COUNT(OFFSET(G18,1,0,Settings!$B$12,1))&lt;ROUNDUP(Settings!$B$12*Settings!$B$26,0),NA(),STDEV(OFFSET(G18,1,0,Settings!$B$12,1))*SQRT(Settings!$B$13)))</f>
        <v/>
      </c>
      <c r="O18" s="20">
        <f>IF(AND(ISNUMBER(E18),ISNUMBER(N18)),E18-N18,NA())</f>
        <v/>
      </c>
      <c r="P18" s="19">
        <f>IF(NOT(ISNUMBER($A18)),NA(),IF(OR($A18&lt;MIN(KW_TP!$A$2:$A$2501),$A18&gt;MAX(KW_TP!$A$2:$A$2501)),NA(),INDEX(KW_TP!$C$2:$C$2501,MATCH($A18,KW_TP!$A$2:$A$2501,1))))</f>
        <v/>
      </c>
      <c r="Q18" s="18">
        <f>IF(NOT(ISNUMBER($A18)),NA(),IFERROR(1*INDEX(BBG_Data!$J$2:$J$4000,MATCH($A18,BBG_Data!$I$2:$I$4000,0)),NA()))</f>
        <v/>
      </c>
      <c r="R18" s="18">
        <f>IF(NOT(ISNUMBER($A18)),NA(),IFERROR(1*INDEX(BBG_Data!$L$2:$L$4000,MATCH($A18,BBG_Data!$K$2:$K$4000,0)),NA()))</f>
        <v/>
      </c>
      <c r="S18" s="20">
        <f>IF(AND(ISNUMBER(B18),ISNUMBER(Q18),ISNUMBER(R18)),(B18-Q18-R18)*100,NA())</f>
        <v/>
      </c>
      <c r="T18" s="20">
        <f>IF(AND(ISNUMBER(B18),Settings!$B$17&gt;0),IF(ISNUMBER(INDEX($B:$B,Settings!$B$17)),(B18-INDEX($B:$B,Settings!$B$17))*100,NA()),NA())</f>
        <v/>
      </c>
      <c r="U18" s="20">
        <f>IF(AND(ISNUMBER(Q18),Settings!$B$17&gt;0),IF(ISNUMBER(INDEX($Q:$Q,Settings!$B$17)),(Q18-INDEX($Q:$Q,Settings!$B$17))*100,NA()),NA())</f>
        <v/>
      </c>
      <c r="V18" s="20">
        <f>IF(AND(ISNUMBER(R18),Settings!$B$17&gt;0),IF(ISNUMBER(INDEX($R:$R,Settings!$B$17)),(R18-INDEX($R:$R,Settings!$B$17))*100,NA()),NA())</f>
        <v/>
      </c>
      <c r="W18" s="20">
        <f>IF(AND(ISNUMBER(P18),Settings!$B$17&gt;0),IF(ISNUMBER(INDEX($P:$P,Settings!$B$17)),P18-INDEX($P:$P,Settings!$B$17),NA()),NA())</f>
        <v/>
      </c>
      <c r="X18" s="19">
        <f>IF(NOT(ISNUMBER($A18)),NA(),IF(OR($A18&lt;MIN(DKW_10Y!$A$2:$A$2918),$A18&gt;MAX(DKW_10Y!$A$2:$A$2918),Settings!$B$16&lt;MIN(DKW_10Y!$A$2:$A$2918)),NA(),(INDEX(DKW_10Y!$B$2:$B$2918,MATCH($A18,DKW_10Y!$A$2:$A$2918,1))-INDEX(DKW_10Y!$B$2:$B$2918,MATCH(Settings!$B$16,DKW_10Y!$A$2:$A$2918,1)))*100))</f>
        <v/>
      </c>
      <c r="Y18" s="19">
        <f>IF(NOT(ISNUMBER($A18)),NA(),IF(OR($A18&lt;MIN(DKW_10Y!$A$2:$A$2918),$A18&gt;MAX(DKW_10Y!$A$2:$A$2918),Settings!$B$16&lt;MIN(DKW_10Y!$A$2:$A$2918)),NA(),(INDEX(DKW_10Y!$C$2:$C$2918,MATCH($A18,DKW_10Y!$A$2:$A$2918,1))-INDEX(DKW_10Y!$C$2:$C$2918,MATCH(Settings!$B$16,DKW_10Y!$A$2:$A$2918,1)))*100))</f>
        <v/>
      </c>
      <c r="Z18" s="19">
        <f>IF(NOT(ISNUMBER($A18)),NA(),IF(OR($A18&lt;MIN(DKW_10Y!$A$2:$A$2918),$A18&gt;MAX(DKW_10Y!$A$2:$A$2918),Settings!$B$16&lt;MIN(DKW_10Y!$A$2:$A$2918)),NA(),(INDEX(DKW_10Y!$D$2:$D$2918,MATCH($A18,DKW_10Y!$A$2:$A$2918,1))-INDEX(DKW_10Y!$D$2:$D$2918,MATCH(Settings!$B$16,DKW_10Y!$A$2:$A$2918,1)))*100))</f>
        <v/>
      </c>
      <c r="AA18" s="19">
        <f>IF(NOT(ISNUMBER($A18)),NA(),IF(OR($A18&lt;MIN(DKW_10Y!$A$2:$A$2918),$A18&gt;MAX(DKW_10Y!$A$2:$A$2918),Settings!$B$16&lt;MIN(DKW_10Y!$A$2:$A$2918)),NA(),(INDEX(DKW_10Y!$E$2:$E$2918,MATCH($A18,DKW_10Y!$A$2:$A$2918,1))-INDEX(DKW_10Y!$E$2:$E$2918,MATCH(Settings!$B$16,DKW_10Y!$A$2:$A$2918,1)))*100))</f>
        <v/>
      </c>
      <c r="AB18" s="19">
        <f>IF(NOT(ISNUMBER($A18)),NA(),IF(OR($A18&lt;MIN(DKW_10Y!$A$2:$A$2918),$A18&gt;MAX(DKW_10Y!$A$2:$A$2918),Settings!$B$16&lt;MIN(DKW_10Y!$A$2:$A$2918)),NA(),(INDEX(DKW_10Y!$H$2:$H$2918,MATCH($A18,DKW_10Y!$A$2:$A$2918,1))-INDEX(DKW_10Y!$H$2:$H$2918,MATCH(Settings!$B$16,DKW_10Y!$A$2:$A$2918,1)))*100))</f>
        <v/>
      </c>
      <c r="AC18" s="18">
        <f>IF(NOT(ISNUMBER($A18)),NA(),IFERROR(1*INDEX(BBG_Data!$N$2:$N$4000,MATCH($A18,BBG_Data!$M$2:$M$4000,0)),NA()))</f>
        <v/>
      </c>
      <c r="AD18" s="18">
        <f>IF(NOT(ISNUMBER($A18)),NA(),IFERROR(1*INDEX(BBG_Data!$P$2:$P$4000,MATCH($A18,BBG_Data!$O$2:$O$4000,0)),NA()))</f>
        <v/>
      </c>
      <c r="AE18" s="18">
        <f>IF(NOT(ISNUMBER($A18)),NA(),IFERROR(1*INDEX(BBG_Data!$R$2:$R$4000,MATCH($A18,BBG_Data!$Q$2:$Q$4000,0)),NA()))</f>
        <v/>
      </c>
      <c r="AF18" s="20">
        <f>IF(AND(ISNUMBER(B18),ISNUMBER(AC18)),(B18-AC18)*100,NA())</f>
        <v/>
      </c>
      <c r="AG18" s="20">
        <f>IF(AND(ISNUMBER(AE18),ISNUMBER(AD18)),(AE18-AD18)*100,NA())</f>
        <v/>
      </c>
      <c r="AH18" s="19">
        <f>IF(NOT(ISNUMBER($A18)),NA(),IFERROR(INDEX(BBG_Data!$T$2:$T$4000,MATCH($A18,BBG_Data!$S$2:$S$4000,0))*Settings!$B$25,NA()))</f>
        <v/>
      </c>
      <c r="AI18" s="19">
        <f>IF(NOT(ISNUMBER($A18)),NA(),IFERROR(INDEX(BBG_Data!$V$2:$V$4000,MATCH($A18,BBG_Data!$U$2:$U$4000,0))*Settings!$B$25,NA()))</f>
        <v/>
      </c>
      <c r="AJ18" s="19">
        <f>IF(NOT(ISNUMBER($A18)),NA(),IFERROR(1*INDEX(BBG_Data!$X$2:$X$4000,MATCH($A18,BBG_Data!$W$2:$W$4000,0)),NA()))</f>
        <v/>
      </c>
      <c r="AK18" s="19">
        <f>IF(NOT(ISNUMBER($A18)),NA(),IFERROR(1*INDEX(BBG_Data!$Z$2:$Z$4000,MATCH($A18,BBG_Data!$Y$2:$Y$4000,0)),NA()))</f>
        <v/>
      </c>
    </row>
    <row r="19">
      <c r="A19" s="17">
        <f>IF(ISNUMBER(BBG_Data!A19),BBG_Data!A19,"")</f>
        <v/>
      </c>
      <c r="B19" s="18">
        <f>IF(AND(ISNUMBER($A19),ISNUMBER(BBG_Data!B19)),BBG_Data!B19,NA())</f>
        <v/>
      </c>
      <c r="C19" s="18">
        <f>IF(NOT(ISNUMBER($A19)),NA(),IFERROR(1*INDEX(BBG_Data!$D$2:$D$4000,MATCH($A19,BBG_Data!$C$2:$C$4000,0)),NA()))</f>
        <v/>
      </c>
      <c r="D19" s="19">
        <f>IF(NOT(ISNUMBER($A19)),NA(),IFERROR(1*INDEX(BBG_Data!$F$2:$F$4000,MATCH($A19,BBG_Data!$E$2:$E$4000,0)),NA()))</f>
        <v/>
      </c>
      <c r="E19" s="19">
        <f>IF(NOT(ISNUMBER($A19)),NA(),IFERROR(1*INDEX(BBG_Data!$H$2:$H$4000,MATCH($A19,BBG_Data!$G$2:$G$4000,0)),NA()))</f>
        <v/>
      </c>
      <c r="F19" s="20">
        <f>IF(AND(ISNUMBER(B19),ISNUMBER(B18)),IF(B19=B18,"",(B19-B18)*100),"")</f>
        <v/>
      </c>
      <c r="G19" s="20">
        <f>IF(AND(ISNUMBER(C19),ISNUMBER(C18)),IF(C19=C18,"",(C19-C18)*100),"")</f>
        <v/>
      </c>
      <c r="H19" s="20">
        <f>IF(OR(NOT(ISNUMBER($A19)),ROW()-2&lt;Settings!$B$11),NA(),IF(COUNT(OFFSET(F19,1-Settings!$B$11,0,Settings!$B$11,1))&lt;ROUNDUP(Settings!$B$11*Settings!$B$26,0),NA(),STDEV(OFFSET(F19,1-Settings!$B$11,0,Settings!$B$11,1))*SQRT(Settings!$B$13)))</f>
        <v/>
      </c>
      <c r="I19" s="20">
        <f>IF(OR(NOT(ISNUMBER($A19)),ROW()-2&lt;Settings!$B$12),NA(),IF(COUNT(OFFSET(F19,1-Settings!$B$12,0,Settings!$B$12,1))&lt;ROUNDUP(Settings!$B$12*Settings!$B$26,0),NA(),STDEV(OFFSET(F19,1-Settings!$B$12,0,Settings!$B$12,1))*SQRT(Settings!$B$13)))</f>
        <v/>
      </c>
      <c r="J19" s="20">
        <f>IF(OR(NOT(ISNUMBER($A19)),ROW()-2&lt;Settings!$B$11),NA(),IF(COUNT(OFFSET(G19,1-Settings!$B$11,0,Settings!$B$11,1))&lt;ROUNDUP(Settings!$B$11*Settings!$B$26,0),NA(),STDEV(OFFSET(G19,1-Settings!$B$11,0,Settings!$B$11,1))*SQRT(Settings!$B$13)))</f>
        <v/>
      </c>
      <c r="K19" s="20">
        <f>IF(OR(NOT(ISNUMBER($A19)),ROW()-2&lt;Settings!$B$12),NA(),IF(COUNT(OFFSET(G19,1-Settings!$B$12,0,Settings!$B$12,1))&lt;ROUNDUP(Settings!$B$12*Settings!$B$26,0),NA(),STDEV(OFFSET(G19,1-Settings!$B$12,0,Settings!$B$12,1))*SQRT(Settings!$B$13)))</f>
        <v/>
      </c>
      <c r="L19" s="20">
        <f>IF(AND(ISNUMBER(D19),ISNUMBER(H19)),D19-H19,NA())</f>
        <v/>
      </c>
      <c r="M19" s="20">
        <f>IF(AND(ISNUMBER(E19),ISNUMBER(K19)),E19-K19,NA())</f>
        <v/>
      </c>
      <c r="N19" s="20">
        <f>IF(NOT(ISNUMBER($A19)),NA(),IF(COUNT(OFFSET(G19,1,0,Settings!$B$12,1))&lt;ROUNDUP(Settings!$B$12*Settings!$B$26,0),NA(),STDEV(OFFSET(G19,1,0,Settings!$B$12,1))*SQRT(Settings!$B$13)))</f>
        <v/>
      </c>
      <c r="O19" s="20">
        <f>IF(AND(ISNUMBER(E19),ISNUMBER(N19)),E19-N19,NA())</f>
        <v/>
      </c>
      <c r="P19" s="19">
        <f>IF(NOT(ISNUMBER($A19)),NA(),IF(OR($A19&lt;MIN(KW_TP!$A$2:$A$2501),$A19&gt;MAX(KW_TP!$A$2:$A$2501)),NA(),INDEX(KW_TP!$C$2:$C$2501,MATCH($A19,KW_TP!$A$2:$A$2501,1))))</f>
        <v/>
      </c>
      <c r="Q19" s="18">
        <f>IF(NOT(ISNUMBER($A19)),NA(),IFERROR(1*INDEX(BBG_Data!$J$2:$J$4000,MATCH($A19,BBG_Data!$I$2:$I$4000,0)),NA()))</f>
        <v/>
      </c>
      <c r="R19" s="18">
        <f>IF(NOT(ISNUMBER($A19)),NA(),IFERROR(1*INDEX(BBG_Data!$L$2:$L$4000,MATCH($A19,BBG_Data!$K$2:$K$4000,0)),NA()))</f>
        <v/>
      </c>
      <c r="S19" s="20">
        <f>IF(AND(ISNUMBER(B19),ISNUMBER(Q19),ISNUMBER(R19)),(B19-Q19-R19)*100,NA())</f>
        <v/>
      </c>
      <c r="T19" s="20">
        <f>IF(AND(ISNUMBER(B19),Settings!$B$17&gt;0),IF(ISNUMBER(INDEX($B:$B,Settings!$B$17)),(B19-INDEX($B:$B,Settings!$B$17))*100,NA()),NA())</f>
        <v/>
      </c>
      <c r="U19" s="20">
        <f>IF(AND(ISNUMBER(Q19),Settings!$B$17&gt;0),IF(ISNUMBER(INDEX($Q:$Q,Settings!$B$17)),(Q19-INDEX($Q:$Q,Settings!$B$17))*100,NA()),NA())</f>
        <v/>
      </c>
      <c r="V19" s="20">
        <f>IF(AND(ISNUMBER(R19),Settings!$B$17&gt;0),IF(ISNUMBER(INDEX($R:$R,Settings!$B$17)),(R19-INDEX($R:$R,Settings!$B$17))*100,NA()),NA())</f>
        <v/>
      </c>
      <c r="W19" s="20">
        <f>IF(AND(ISNUMBER(P19),Settings!$B$17&gt;0),IF(ISNUMBER(INDEX($P:$P,Settings!$B$17)),P19-INDEX($P:$P,Settings!$B$17),NA()),NA())</f>
        <v/>
      </c>
      <c r="X19" s="19">
        <f>IF(NOT(ISNUMBER($A19)),NA(),IF(OR($A19&lt;MIN(DKW_10Y!$A$2:$A$2918),$A19&gt;MAX(DKW_10Y!$A$2:$A$2918),Settings!$B$16&lt;MIN(DKW_10Y!$A$2:$A$2918)),NA(),(INDEX(DKW_10Y!$B$2:$B$2918,MATCH($A19,DKW_10Y!$A$2:$A$2918,1))-INDEX(DKW_10Y!$B$2:$B$2918,MATCH(Settings!$B$16,DKW_10Y!$A$2:$A$2918,1)))*100))</f>
        <v/>
      </c>
      <c r="Y19" s="19">
        <f>IF(NOT(ISNUMBER($A19)),NA(),IF(OR($A19&lt;MIN(DKW_10Y!$A$2:$A$2918),$A19&gt;MAX(DKW_10Y!$A$2:$A$2918),Settings!$B$16&lt;MIN(DKW_10Y!$A$2:$A$2918)),NA(),(INDEX(DKW_10Y!$C$2:$C$2918,MATCH($A19,DKW_10Y!$A$2:$A$2918,1))-INDEX(DKW_10Y!$C$2:$C$2918,MATCH(Settings!$B$16,DKW_10Y!$A$2:$A$2918,1)))*100))</f>
        <v/>
      </c>
      <c r="Z19" s="19">
        <f>IF(NOT(ISNUMBER($A19)),NA(),IF(OR($A19&lt;MIN(DKW_10Y!$A$2:$A$2918),$A19&gt;MAX(DKW_10Y!$A$2:$A$2918),Settings!$B$16&lt;MIN(DKW_10Y!$A$2:$A$2918)),NA(),(INDEX(DKW_10Y!$D$2:$D$2918,MATCH($A19,DKW_10Y!$A$2:$A$2918,1))-INDEX(DKW_10Y!$D$2:$D$2918,MATCH(Settings!$B$16,DKW_10Y!$A$2:$A$2918,1)))*100))</f>
        <v/>
      </c>
      <c r="AA19" s="19">
        <f>IF(NOT(ISNUMBER($A19)),NA(),IF(OR($A19&lt;MIN(DKW_10Y!$A$2:$A$2918),$A19&gt;MAX(DKW_10Y!$A$2:$A$2918),Settings!$B$16&lt;MIN(DKW_10Y!$A$2:$A$2918)),NA(),(INDEX(DKW_10Y!$E$2:$E$2918,MATCH($A19,DKW_10Y!$A$2:$A$2918,1))-INDEX(DKW_10Y!$E$2:$E$2918,MATCH(Settings!$B$16,DKW_10Y!$A$2:$A$2918,1)))*100))</f>
        <v/>
      </c>
      <c r="AB19" s="19">
        <f>IF(NOT(ISNUMBER($A19)),NA(),IF(OR($A19&lt;MIN(DKW_10Y!$A$2:$A$2918),$A19&gt;MAX(DKW_10Y!$A$2:$A$2918),Settings!$B$16&lt;MIN(DKW_10Y!$A$2:$A$2918)),NA(),(INDEX(DKW_10Y!$H$2:$H$2918,MATCH($A19,DKW_10Y!$A$2:$A$2918,1))-INDEX(DKW_10Y!$H$2:$H$2918,MATCH(Settings!$B$16,DKW_10Y!$A$2:$A$2918,1)))*100))</f>
        <v/>
      </c>
      <c r="AC19" s="18">
        <f>IF(NOT(ISNUMBER($A19)),NA(),IFERROR(1*INDEX(BBG_Data!$N$2:$N$4000,MATCH($A19,BBG_Data!$M$2:$M$4000,0)),NA()))</f>
        <v/>
      </c>
      <c r="AD19" s="18">
        <f>IF(NOT(ISNUMBER($A19)),NA(),IFERROR(1*INDEX(BBG_Data!$P$2:$P$4000,MATCH($A19,BBG_Data!$O$2:$O$4000,0)),NA()))</f>
        <v/>
      </c>
      <c r="AE19" s="18">
        <f>IF(NOT(ISNUMBER($A19)),NA(),IFERROR(1*INDEX(BBG_Data!$R$2:$R$4000,MATCH($A19,BBG_Data!$Q$2:$Q$4000,0)),NA()))</f>
        <v/>
      </c>
      <c r="AF19" s="20">
        <f>IF(AND(ISNUMBER(B19),ISNUMBER(AC19)),(B19-AC19)*100,NA())</f>
        <v/>
      </c>
      <c r="AG19" s="20">
        <f>IF(AND(ISNUMBER(AE19),ISNUMBER(AD19)),(AE19-AD19)*100,NA())</f>
        <v/>
      </c>
      <c r="AH19" s="19">
        <f>IF(NOT(ISNUMBER($A19)),NA(),IFERROR(INDEX(BBG_Data!$T$2:$T$4000,MATCH($A19,BBG_Data!$S$2:$S$4000,0))*Settings!$B$25,NA()))</f>
        <v/>
      </c>
      <c r="AI19" s="19">
        <f>IF(NOT(ISNUMBER($A19)),NA(),IFERROR(INDEX(BBG_Data!$V$2:$V$4000,MATCH($A19,BBG_Data!$U$2:$U$4000,0))*Settings!$B$25,NA()))</f>
        <v/>
      </c>
      <c r="AJ19" s="19">
        <f>IF(NOT(ISNUMBER($A19)),NA(),IFERROR(1*INDEX(BBG_Data!$X$2:$X$4000,MATCH($A19,BBG_Data!$W$2:$W$4000,0)),NA()))</f>
        <v/>
      </c>
      <c r="AK19" s="19">
        <f>IF(NOT(ISNUMBER($A19)),NA(),IFERROR(1*INDEX(BBG_Data!$Z$2:$Z$4000,MATCH($A19,BBG_Data!$Y$2:$Y$4000,0)),NA()))</f>
        <v/>
      </c>
    </row>
    <row r="20">
      <c r="A20" s="17">
        <f>IF(ISNUMBER(BBG_Data!A20),BBG_Data!A20,"")</f>
        <v/>
      </c>
      <c r="B20" s="18">
        <f>IF(AND(ISNUMBER($A20),ISNUMBER(BBG_Data!B20)),BBG_Data!B20,NA())</f>
        <v/>
      </c>
      <c r="C20" s="18">
        <f>IF(NOT(ISNUMBER($A20)),NA(),IFERROR(1*INDEX(BBG_Data!$D$2:$D$4000,MATCH($A20,BBG_Data!$C$2:$C$4000,0)),NA()))</f>
        <v/>
      </c>
      <c r="D20" s="19">
        <f>IF(NOT(ISNUMBER($A20)),NA(),IFERROR(1*INDEX(BBG_Data!$F$2:$F$4000,MATCH($A20,BBG_Data!$E$2:$E$4000,0)),NA()))</f>
        <v/>
      </c>
      <c r="E20" s="19">
        <f>IF(NOT(ISNUMBER($A20)),NA(),IFERROR(1*INDEX(BBG_Data!$H$2:$H$4000,MATCH($A20,BBG_Data!$G$2:$G$4000,0)),NA()))</f>
        <v/>
      </c>
      <c r="F20" s="20">
        <f>IF(AND(ISNUMBER(B20),ISNUMBER(B19)),IF(B20=B19,"",(B20-B19)*100),"")</f>
        <v/>
      </c>
      <c r="G20" s="20">
        <f>IF(AND(ISNUMBER(C20),ISNUMBER(C19)),IF(C20=C19,"",(C20-C19)*100),"")</f>
        <v/>
      </c>
      <c r="H20" s="20">
        <f>IF(OR(NOT(ISNUMBER($A20)),ROW()-2&lt;Settings!$B$11),NA(),IF(COUNT(OFFSET(F20,1-Settings!$B$11,0,Settings!$B$11,1))&lt;ROUNDUP(Settings!$B$11*Settings!$B$26,0),NA(),STDEV(OFFSET(F20,1-Settings!$B$11,0,Settings!$B$11,1))*SQRT(Settings!$B$13)))</f>
        <v/>
      </c>
      <c r="I20" s="20">
        <f>IF(OR(NOT(ISNUMBER($A20)),ROW()-2&lt;Settings!$B$12),NA(),IF(COUNT(OFFSET(F20,1-Settings!$B$12,0,Settings!$B$12,1))&lt;ROUNDUP(Settings!$B$12*Settings!$B$26,0),NA(),STDEV(OFFSET(F20,1-Settings!$B$12,0,Settings!$B$12,1))*SQRT(Settings!$B$13)))</f>
        <v/>
      </c>
      <c r="J20" s="20">
        <f>IF(OR(NOT(ISNUMBER($A20)),ROW()-2&lt;Settings!$B$11),NA(),IF(COUNT(OFFSET(G20,1-Settings!$B$11,0,Settings!$B$11,1))&lt;ROUNDUP(Settings!$B$11*Settings!$B$26,0),NA(),STDEV(OFFSET(G20,1-Settings!$B$11,0,Settings!$B$11,1))*SQRT(Settings!$B$13)))</f>
        <v/>
      </c>
      <c r="K20" s="20">
        <f>IF(OR(NOT(ISNUMBER($A20)),ROW()-2&lt;Settings!$B$12),NA(),IF(COUNT(OFFSET(G20,1-Settings!$B$12,0,Settings!$B$12,1))&lt;ROUNDUP(Settings!$B$12*Settings!$B$26,0),NA(),STDEV(OFFSET(G20,1-Settings!$B$12,0,Settings!$B$12,1))*SQRT(Settings!$B$13)))</f>
        <v/>
      </c>
      <c r="L20" s="20">
        <f>IF(AND(ISNUMBER(D20),ISNUMBER(H20)),D20-H20,NA())</f>
        <v/>
      </c>
      <c r="M20" s="20">
        <f>IF(AND(ISNUMBER(E20),ISNUMBER(K20)),E20-K20,NA())</f>
        <v/>
      </c>
      <c r="N20" s="20">
        <f>IF(NOT(ISNUMBER($A20)),NA(),IF(COUNT(OFFSET(G20,1,0,Settings!$B$12,1))&lt;ROUNDUP(Settings!$B$12*Settings!$B$26,0),NA(),STDEV(OFFSET(G20,1,0,Settings!$B$12,1))*SQRT(Settings!$B$13)))</f>
        <v/>
      </c>
      <c r="O20" s="20">
        <f>IF(AND(ISNUMBER(E20),ISNUMBER(N20)),E20-N20,NA())</f>
        <v/>
      </c>
      <c r="P20" s="19">
        <f>IF(NOT(ISNUMBER($A20)),NA(),IF(OR($A20&lt;MIN(KW_TP!$A$2:$A$2501),$A20&gt;MAX(KW_TP!$A$2:$A$2501)),NA(),INDEX(KW_TP!$C$2:$C$2501,MATCH($A20,KW_TP!$A$2:$A$2501,1))))</f>
        <v/>
      </c>
      <c r="Q20" s="18">
        <f>IF(NOT(ISNUMBER($A20)),NA(),IFERROR(1*INDEX(BBG_Data!$J$2:$J$4000,MATCH($A20,BBG_Data!$I$2:$I$4000,0)),NA()))</f>
        <v/>
      </c>
      <c r="R20" s="18">
        <f>IF(NOT(ISNUMBER($A20)),NA(),IFERROR(1*INDEX(BBG_Data!$L$2:$L$4000,MATCH($A20,BBG_Data!$K$2:$K$4000,0)),NA()))</f>
        <v/>
      </c>
      <c r="S20" s="20">
        <f>IF(AND(ISNUMBER(B20),ISNUMBER(Q20),ISNUMBER(R20)),(B20-Q20-R20)*100,NA())</f>
        <v/>
      </c>
      <c r="T20" s="20">
        <f>IF(AND(ISNUMBER(B20),Settings!$B$17&gt;0),IF(ISNUMBER(INDEX($B:$B,Settings!$B$17)),(B20-INDEX($B:$B,Settings!$B$17))*100,NA()),NA())</f>
        <v/>
      </c>
      <c r="U20" s="20">
        <f>IF(AND(ISNUMBER(Q20),Settings!$B$17&gt;0),IF(ISNUMBER(INDEX($Q:$Q,Settings!$B$17)),(Q20-INDEX($Q:$Q,Settings!$B$17))*100,NA()),NA())</f>
        <v/>
      </c>
      <c r="V20" s="20">
        <f>IF(AND(ISNUMBER(R20),Settings!$B$17&gt;0),IF(ISNUMBER(INDEX($R:$R,Settings!$B$17)),(R20-INDEX($R:$R,Settings!$B$17))*100,NA()),NA())</f>
        <v/>
      </c>
      <c r="W20" s="20">
        <f>IF(AND(ISNUMBER(P20),Settings!$B$17&gt;0),IF(ISNUMBER(INDEX($P:$P,Settings!$B$17)),P20-INDEX($P:$P,Settings!$B$17),NA()),NA())</f>
        <v/>
      </c>
      <c r="X20" s="19">
        <f>IF(NOT(ISNUMBER($A20)),NA(),IF(OR($A20&lt;MIN(DKW_10Y!$A$2:$A$2918),$A20&gt;MAX(DKW_10Y!$A$2:$A$2918),Settings!$B$16&lt;MIN(DKW_10Y!$A$2:$A$2918)),NA(),(INDEX(DKW_10Y!$B$2:$B$2918,MATCH($A20,DKW_10Y!$A$2:$A$2918,1))-INDEX(DKW_10Y!$B$2:$B$2918,MATCH(Settings!$B$16,DKW_10Y!$A$2:$A$2918,1)))*100))</f>
        <v/>
      </c>
      <c r="Y20" s="19">
        <f>IF(NOT(ISNUMBER($A20)),NA(),IF(OR($A20&lt;MIN(DKW_10Y!$A$2:$A$2918),$A20&gt;MAX(DKW_10Y!$A$2:$A$2918),Settings!$B$16&lt;MIN(DKW_10Y!$A$2:$A$2918)),NA(),(INDEX(DKW_10Y!$C$2:$C$2918,MATCH($A20,DKW_10Y!$A$2:$A$2918,1))-INDEX(DKW_10Y!$C$2:$C$2918,MATCH(Settings!$B$16,DKW_10Y!$A$2:$A$2918,1)))*100))</f>
        <v/>
      </c>
      <c r="Z20" s="19">
        <f>IF(NOT(ISNUMBER($A20)),NA(),IF(OR($A20&lt;MIN(DKW_10Y!$A$2:$A$2918),$A20&gt;MAX(DKW_10Y!$A$2:$A$2918),Settings!$B$16&lt;MIN(DKW_10Y!$A$2:$A$2918)),NA(),(INDEX(DKW_10Y!$D$2:$D$2918,MATCH($A20,DKW_10Y!$A$2:$A$2918,1))-INDEX(DKW_10Y!$D$2:$D$2918,MATCH(Settings!$B$16,DKW_10Y!$A$2:$A$2918,1)))*100))</f>
        <v/>
      </c>
      <c r="AA20" s="19">
        <f>IF(NOT(ISNUMBER($A20)),NA(),IF(OR($A20&lt;MIN(DKW_10Y!$A$2:$A$2918),$A20&gt;MAX(DKW_10Y!$A$2:$A$2918),Settings!$B$16&lt;MIN(DKW_10Y!$A$2:$A$2918)),NA(),(INDEX(DKW_10Y!$E$2:$E$2918,MATCH($A20,DKW_10Y!$A$2:$A$2918,1))-INDEX(DKW_10Y!$E$2:$E$2918,MATCH(Settings!$B$16,DKW_10Y!$A$2:$A$2918,1)))*100))</f>
        <v/>
      </c>
      <c r="AB20" s="19">
        <f>IF(NOT(ISNUMBER($A20)),NA(),IF(OR($A20&lt;MIN(DKW_10Y!$A$2:$A$2918),$A20&gt;MAX(DKW_10Y!$A$2:$A$2918),Settings!$B$16&lt;MIN(DKW_10Y!$A$2:$A$2918)),NA(),(INDEX(DKW_10Y!$H$2:$H$2918,MATCH($A20,DKW_10Y!$A$2:$A$2918,1))-INDEX(DKW_10Y!$H$2:$H$2918,MATCH(Settings!$B$16,DKW_10Y!$A$2:$A$2918,1)))*100))</f>
        <v/>
      </c>
      <c r="AC20" s="18">
        <f>IF(NOT(ISNUMBER($A20)),NA(),IFERROR(1*INDEX(BBG_Data!$N$2:$N$4000,MATCH($A20,BBG_Data!$M$2:$M$4000,0)),NA()))</f>
        <v/>
      </c>
      <c r="AD20" s="18">
        <f>IF(NOT(ISNUMBER($A20)),NA(),IFERROR(1*INDEX(BBG_Data!$P$2:$P$4000,MATCH($A20,BBG_Data!$O$2:$O$4000,0)),NA()))</f>
        <v/>
      </c>
      <c r="AE20" s="18">
        <f>IF(NOT(ISNUMBER($A20)),NA(),IFERROR(1*INDEX(BBG_Data!$R$2:$R$4000,MATCH($A20,BBG_Data!$Q$2:$Q$4000,0)),NA()))</f>
        <v/>
      </c>
      <c r="AF20" s="20">
        <f>IF(AND(ISNUMBER(B20),ISNUMBER(AC20)),(B20-AC20)*100,NA())</f>
        <v/>
      </c>
      <c r="AG20" s="20">
        <f>IF(AND(ISNUMBER(AE20),ISNUMBER(AD20)),(AE20-AD20)*100,NA())</f>
        <v/>
      </c>
      <c r="AH20" s="19">
        <f>IF(NOT(ISNUMBER($A20)),NA(),IFERROR(INDEX(BBG_Data!$T$2:$T$4000,MATCH($A20,BBG_Data!$S$2:$S$4000,0))*Settings!$B$25,NA()))</f>
        <v/>
      </c>
      <c r="AI20" s="19">
        <f>IF(NOT(ISNUMBER($A20)),NA(),IFERROR(INDEX(BBG_Data!$V$2:$V$4000,MATCH($A20,BBG_Data!$U$2:$U$4000,0))*Settings!$B$25,NA()))</f>
        <v/>
      </c>
      <c r="AJ20" s="19">
        <f>IF(NOT(ISNUMBER($A20)),NA(),IFERROR(1*INDEX(BBG_Data!$X$2:$X$4000,MATCH($A20,BBG_Data!$W$2:$W$4000,0)),NA()))</f>
        <v/>
      </c>
      <c r="AK20" s="19">
        <f>IF(NOT(ISNUMBER($A20)),NA(),IFERROR(1*INDEX(BBG_Data!$Z$2:$Z$4000,MATCH($A20,BBG_Data!$Y$2:$Y$4000,0)),NA()))</f>
        <v/>
      </c>
    </row>
    <row r="21">
      <c r="A21" s="17">
        <f>IF(ISNUMBER(BBG_Data!A21),BBG_Data!A21,"")</f>
        <v/>
      </c>
      <c r="B21" s="18">
        <f>IF(AND(ISNUMBER($A21),ISNUMBER(BBG_Data!B21)),BBG_Data!B21,NA())</f>
        <v/>
      </c>
      <c r="C21" s="18">
        <f>IF(NOT(ISNUMBER($A21)),NA(),IFERROR(1*INDEX(BBG_Data!$D$2:$D$4000,MATCH($A21,BBG_Data!$C$2:$C$4000,0)),NA()))</f>
        <v/>
      </c>
      <c r="D21" s="19">
        <f>IF(NOT(ISNUMBER($A21)),NA(),IFERROR(1*INDEX(BBG_Data!$F$2:$F$4000,MATCH($A21,BBG_Data!$E$2:$E$4000,0)),NA()))</f>
        <v/>
      </c>
      <c r="E21" s="19">
        <f>IF(NOT(ISNUMBER($A21)),NA(),IFERROR(1*INDEX(BBG_Data!$H$2:$H$4000,MATCH($A21,BBG_Data!$G$2:$G$4000,0)),NA()))</f>
        <v/>
      </c>
      <c r="F21" s="20">
        <f>IF(AND(ISNUMBER(B21),ISNUMBER(B20)),IF(B21=B20,"",(B21-B20)*100),"")</f>
        <v/>
      </c>
      <c r="G21" s="20">
        <f>IF(AND(ISNUMBER(C21),ISNUMBER(C20)),IF(C21=C20,"",(C21-C20)*100),"")</f>
        <v/>
      </c>
      <c r="H21" s="20">
        <f>IF(OR(NOT(ISNUMBER($A21)),ROW()-2&lt;Settings!$B$11),NA(),IF(COUNT(OFFSET(F21,1-Settings!$B$11,0,Settings!$B$11,1))&lt;ROUNDUP(Settings!$B$11*Settings!$B$26,0),NA(),STDEV(OFFSET(F21,1-Settings!$B$11,0,Settings!$B$11,1))*SQRT(Settings!$B$13)))</f>
        <v/>
      </c>
      <c r="I21" s="20">
        <f>IF(OR(NOT(ISNUMBER($A21)),ROW()-2&lt;Settings!$B$12),NA(),IF(COUNT(OFFSET(F21,1-Settings!$B$12,0,Settings!$B$12,1))&lt;ROUNDUP(Settings!$B$12*Settings!$B$26,0),NA(),STDEV(OFFSET(F21,1-Settings!$B$12,0,Settings!$B$12,1))*SQRT(Settings!$B$13)))</f>
        <v/>
      </c>
      <c r="J21" s="20">
        <f>IF(OR(NOT(ISNUMBER($A21)),ROW()-2&lt;Settings!$B$11),NA(),IF(COUNT(OFFSET(G21,1-Settings!$B$11,0,Settings!$B$11,1))&lt;ROUNDUP(Settings!$B$11*Settings!$B$26,0),NA(),STDEV(OFFSET(G21,1-Settings!$B$11,0,Settings!$B$11,1))*SQRT(Settings!$B$13)))</f>
        <v/>
      </c>
      <c r="K21" s="20">
        <f>IF(OR(NOT(ISNUMBER($A21)),ROW()-2&lt;Settings!$B$12),NA(),IF(COUNT(OFFSET(G21,1-Settings!$B$12,0,Settings!$B$12,1))&lt;ROUNDUP(Settings!$B$12*Settings!$B$26,0),NA(),STDEV(OFFSET(G21,1-Settings!$B$12,0,Settings!$B$12,1))*SQRT(Settings!$B$13)))</f>
        <v/>
      </c>
      <c r="L21" s="20">
        <f>IF(AND(ISNUMBER(D21),ISNUMBER(H21)),D21-H21,NA())</f>
        <v/>
      </c>
      <c r="M21" s="20">
        <f>IF(AND(ISNUMBER(E21),ISNUMBER(K21)),E21-K21,NA())</f>
        <v/>
      </c>
      <c r="N21" s="20">
        <f>IF(NOT(ISNUMBER($A21)),NA(),IF(COUNT(OFFSET(G21,1,0,Settings!$B$12,1))&lt;ROUNDUP(Settings!$B$12*Settings!$B$26,0),NA(),STDEV(OFFSET(G21,1,0,Settings!$B$12,1))*SQRT(Settings!$B$13)))</f>
        <v/>
      </c>
      <c r="O21" s="20">
        <f>IF(AND(ISNUMBER(E21),ISNUMBER(N21)),E21-N21,NA())</f>
        <v/>
      </c>
      <c r="P21" s="19">
        <f>IF(NOT(ISNUMBER($A21)),NA(),IF(OR($A21&lt;MIN(KW_TP!$A$2:$A$2501),$A21&gt;MAX(KW_TP!$A$2:$A$2501)),NA(),INDEX(KW_TP!$C$2:$C$2501,MATCH($A21,KW_TP!$A$2:$A$2501,1))))</f>
        <v/>
      </c>
      <c r="Q21" s="18">
        <f>IF(NOT(ISNUMBER($A21)),NA(),IFERROR(1*INDEX(BBG_Data!$J$2:$J$4000,MATCH($A21,BBG_Data!$I$2:$I$4000,0)),NA()))</f>
        <v/>
      </c>
      <c r="R21" s="18">
        <f>IF(NOT(ISNUMBER($A21)),NA(),IFERROR(1*INDEX(BBG_Data!$L$2:$L$4000,MATCH($A21,BBG_Data!$K$2:$K$4000,0)),NA()))</f>
        <v/>
      </c>
      <c r="S21" s="20">
        <f>IF(AND(ISNUMBER(B21),ISNUMBER(Q21),ISNUMBER(R21)),(B21-Q21-R21)*100,NA())</f>
        <v/>
      </c>
      <c r="T21" s="20">
        <f>IF(AND(ISNUMBER(B21),Settings!$B$17&gt;0),IF(ISNUMBER(INDEX($B:$B,Settings!$B$17)),(B21-INDEX($B:$B,Settings!$B$17))*100,NA()),NA())</f>
        <v/>
      </c>
      <c r="U21" s="20">
        <f>IF(AND(ISNUMBER(Q21),Settings!$B$17&gt;0),IF(ISNUMBER(INDEX($Q:$Q,Settings!$B$17)),(Q21-INDEX($Q:$Q,Settings!$B$17))*100,NA()),NA())</f>
        <v/>
      </c>
      <c r="V21" s="20">
        <f>IF(AND(ISNUMBER(R21),Settings!$B$17&gt;0),IF(ISNUMBER(INDEX($R:$R,Settings!$B$17)),(R21-INDEX($R:$R,Settings!$B$17))*100,NA()),NA())</f>
        <v/>
      </c>
      <c r="W21" s="20">
        <f>IF(AND(ISNUMBER(P21),Settings!$B$17&gt;0),IF(ISNUMBER(INDEX($P:$P,Settings!$B$17)),P21-INDEX($P:$P,Settings!$B$17),NA()),NA())</f>
        <v/>
      </c>
      <c r="X21" s="19">
        <f>IF(NOT(ISNUMBER($A21)),NA(),IF(OR($A21&lt;MIN(DKW_10Y!$A$2:$A$2918),$A21&gt;MAX(DKW_10Y!$A$2:$A$2918),Settings!$B$16&lt;MIN(DKW_10Y!$A$2:$A$2918)),NA(),(INDEX(DKW_10Y!$B$2:$B$2918,MATCH($A21,DKW_10Y!$A$2:$A$2918,1))-INDEX(DKW_10Y!$B$2:$B$2918,MATCH(Settings!$B$16,DKW_10Y!$A$2:$A$2918,1)))*100))</f>
        <v/>
      </c>
      <c r="Y21" s="19">
        <f>IF(NOT(ISNUMBER($A21)),NA(),IF(OR($A21&lt;MIN(DKW_10Y!$A$2:$A$2918),$A21&gt;MAX(DKW_10Y!$A$2:$A$2918),Settings!$B$16&lt;MIN(DKW_10Y!$A$2:$A$2918)),NA(),(INDEX(DKW_10Y!$C$2:$C$2918,MATCH($A21,DKW_10Y!$A$2:$A$2918,1))-INDEX(DKW_10Y!$C$2:$C$2918,MATCH(Settings!$B$16,DKW_10Y!$A$2:$A$2918,1)))*100))</f>
        <v/>
      </c>
      <c r="Z21" s="19">
        <f>IF(NOT(ISNUMBER($A21)),NA(),IF(OR($A21&lt;MIN(DKW_10Y!$A$2:$A$2918),$A21&gt;MAX(DKW_10Y!$A$2:$A$2918),Settings!$B$16&lt;MIN(DKW_10Y!$A$2:$A$2918)),NA(),(INDEX(DKW_10Y!$D$2:$D$2918,MATCH($A21,DKW_10Y!$A$2:$A$2918,1))-INDEX(DKW_10Y!$D$2:$D$2918,MATCH(Settings!$B$16,DKW_10Y!$A$2:$A$2918,1)))*100))</f>
        <v/>
      </c>
      <c r="AA21" s="19">
        <f>IF(NOT(ISNUMBER($A21)),NA(),IF(OR($A21&lt;MIN(DKW_10Y!$A$2:$A$2918),$A21&gt;MAX(DKW_10Y!$A$2:$A$2918),Settings!$B$16&lt;MIN(DKW_10Y!$A$2:$A$2918)),NA(),(INDEX(DKW_10Y!$E$2:$E$2918,MATCH($A21,DKW_10Y!$A$2:$A$2918,1))-INDEX(DKW_10Y!$E$2:$E$2918,MATCH(Settings!$B$16,DKW_10Y!$A$2:$A$2918,1)))*100))</f>
        <v/>
      </c>
      <c r="AB21" s="19">
        <f>IF(NOT(ISNUMBER($A21)),NA(),IF(OR($A21&lt;MIN(DKW_10Y!$A$2:$A$2918),$A21&gt;MAX(DKW_10Y!$A$2:$A$2918),Settings!$B$16&lt;MIN(DKW_10Y!$A$2:$A$2918)),NA(),(INDEX(DKW_10Y!$H$2:$H$2918,MATCH($A21,DKW_10Y!$A$2:$A$2918,1))-INDEX(DKW_10Y!$H$2:$H$2918,MATCH(Settings!$B$16,DKW_10Y!$A$2:$A$2918,1)))*100))</f>
        <v/>
      </c>
      <c r="AC21" s="18">
        <f>IF(NOT(ISNUMBER($A21)),NA(),IFERROR(1*INDEX(BBG_Data!$N$2:$N$4000,MATCH($A21,BBG_Data!$M$2:$M$4000,0)),NA()))</f>
        <v/>
      </c>
      <c r="AD21" s="18">
        <f>IF(NOT(ISNUMBER($A21)),NA(),IFERROR(1*INDEX(BBG_Data!$P$2:$P$4000,MATCH($A21,BBG_Data!$O$2:$O$4000,0)),NA()))</f>
        <v/>
      </c>
      <c r="AE21" s="18">
        <f>IF(NOT(ISNUMBER($A21)),NA(),IFERROR(1*INDEX(BBG_Data!$R$2:$R$4000,MATCH($A21,BBG_Data!$Q$2:$Q$4000,0)),NA()))</f>
        <v/>
      </c>
      <c r="AF21" s="20">
        <f>IF(AND(ISNUMBER(B21),ISNUMBER(AC21)),(B21-AC21)*100,NA())</f>
        <v/>
      </c>
      <c r="AG21" s="20">
        <f>IF(AND(ISNUMBER(AE21),ISNUMBER(AD21)),(AE21-AD21)*100,NA())</f>
        <v/>
      </c>
      <c r="AH21" s="19">
        <f>IF(NOT(ISNUMBER($A21)),NA(),IFERROR(INDEX(BBG_Data!$T$2:$T$4000,MATCH($A21,BBG_Data!$S$2:$S$4000,0))*Settings!$B$25,NA()))</f>
        <v/>
      </c>
      <c r="AI21" s="19">
        <f>IF(NOT(ISNUMBER($A21)),NA(),IFERROR(INDEX(BBG_Data!$V$2:$V$4000,MATCH($A21,BBG_Data!$U$2:$U$4000,0))*Settings!$B$25,NA()))</f>
        <v/>
      </c>
      <c r="AJ21" s="19">
        <f>IF(NOT(ISNUMBER($A21)),NA(),IFERROR(1*INDEX(BBG_Data!$X$2:$X$4000,MATCH($A21,BBG_Data!$W$2:$W$4000,0)),NA()))</f>
        <v/>
      </c>
      <c r="AK21" s="19">
        <f>IF(NOT(ISNUMBER($A21)),NA(),IFERROR(1*INDEX(BBG_Data!$Z$2:$Z$4000,MATCH($A21,BBG_Data!$Y$2:$Y$4000,0)),NA()))</f>
        <v/>
      </c>
    </row>
    <row r="22">
      <c r="A22" s="17">
        <f>IF(ISNUMBER(BBG_Data!A22),BBG_Data!A22,"")</f>
        <v/>
      </c>
      <c r="B22" s="18">
        <f>IF(AND(ISNUMBER($A22),ISNUMBER(BBG_Data!B22)),BBG_Data!B22,NA())</f>
        <v/>
      </c>
      <c r="C22" s="18">
        <f>IF(NOT(ISNUMBER($A22)),NA(),IFERROR(1*INDEX(BBG_Data!$D$2:$D$4000,MATCH($A22,BBG_Data!$C$2:$C$4000,0)),NA()))</f>
        <v/>
      </c>
      <c r="D22" s="19">
        <f>IF(NOT(ISNUMBER($A22)),NA(),IFERROR(1*INDEX(BBG_Data!$F$2:$F$4000,MATCH($A22,BBG_Data!$E$2:$E$4000,0)),NA()))</f>
        <v/>
      </c>
      <c r="E22" s="19">
        <f>IF(NOT(ISNUMBER($A22)),NA(),IFERROR(1*INDEX(BBG_Data!$H$2:$H$4000,MATCH($A22,BBG_Data!$G$2:$G$4000,0)),NA()))</f>
        <v/>
      </c>
      <c r="F22" s="20">
        <f>IF(AND(ISNUMBER(B22),ISNUMBER(B21)),IF(B22=B21,"",(B22-B21)*100),"")</f>
        <v/>
      </c>
      <c r="G22" s="20">
        <f>IF(AND(ISNUMBER(C22),ISNUMBER(C21)),IF(C22=C21,"",(C22-C21)*100),"")</f>
        <v/>
      </c>
      <c r="H22" s="20">
        <f>IF(OR(NOT(ISNUMBER($A22)),ROW()-2&lt;Settings!$B$11),NA(),IF(COUNT(OFFSET(F22,1-Settings!$B$11,0,Settings!$B$11,1))&lt;ROUNDUP(Settings!$B$11*Settings!$B$26,0),NA(),STDEV(OFFSET(F22,1-Settings!$B$11,0,Settings!$B$11,1))*SQRT(Settings!$B$13)))</f>
        <v/>
      </c>
      <c r="I22" s="20">
        <f>IF(OR(NOT(ISNUMBER($A22)),ROW()-2&lt;Settings!$B$12),NA(),IF(COUNT(OFFSET(F22,1-Settings!$B$12,0,Settings!$B$12,1))&lt;ROUNDUP(Settings!$B$12*Settings!$B$26,0),NA(),STDEV(OFFSET(F22,1-Settings!$B$12,0,Settings!$B$12,1))*SQRT(Settings!$B$13)))</f>
        <v/>
      </c>
      <c r="J22" s="20">
        <f>IF(OR(NOT(ISNUMBER($A22)),ROW()-2&lt;Settings!$B$11),NA(),IF(COUNT(OFFSET(G22,1-Settings!$B$11,0,Settings!$B$11,1))&lt;ROUNDUP(Settings!$B$11*Settings!$B$26,0),NA(),STDEV(OFFSET(G22,1-Settings!$B$11,0,Settings!$B$11,1))*SQRT(Settings!$B$13)))</f>
        <v/>
      </c>
      <c r="K22" s="20">
        <f>IF(OR(NOT(ISNUMBER($A22)),ROW()-2&lt;Settings!$B$12),NA(),IF(COUNT(OFFSET(G22,1-Settings!$B$12,0,Settings!$B$12,1))&lt;ROUNDUP(Settings!$B$12*Settings!$B$26,0),NA(),STDEV(OFFSET(G22,1-Settings!$B$12,0,Settings!$B$12,1))*SQRT(Settings!$B$13)))</f>
        <v/>
      </c>
      <c r="L22" s="20">
        <f>IF(AND(ISNUMBER(D22),ISNUMBER(H22)),D22-H22,NA())</f>
        <v/>
      </c>
      <c r="M22" s="20">
        <f>IF(AND(ISNUMBER(E22),ISNUMBER(K22)),E22-K22,NA())</f>
        <v/>
      </c>
      <c r="N22" s="20">
        <f>IF(NOT(ISNUMBER($A22)),NA(),IF(COUNT(OFFSET(G22,1,0,Settings!$B$12,1))&lt;ROUNDUP(Settings!$B$12*Settings!$B$26,0),NA(),STDEV(OFFSET(G22,1,0,Settings!$B$12,1))*SQRT(Settings!$B$13)))</f>
        <v/>
      </c>
      <c r="O22" s="20">
        <f>IF(AND(ISNUMBER(E22),ISNUMBER(N22)),E22-N22,NA())</f>
        <v/>
      </c>
      <c r="P22" s="19">
        <f>IF(NOT(ISNUMBER($A22)),NA(),IF(OR($A22&lt;MIN(KW_TP!$A$2:$A$2501),$A22&gt;MAX(KW_TP!$A$2:$A$2501)),NA(),INDEX(KW_TP!$C$2:$C$2501,MATCH($A22,KW_TP!$A$2:$A$2501,1))))</f>
        <v/>
      </c>
      <c r="Q22" s="18">
        <f>IF(NOT(ISNUMBER($A22)),NA(),IFERROR(1*INDEX(BBG_Data!$J$2:$J$4000,MATCH($A22,BBG_Data!$I$2:$I$4000,0)),NA()))</f>
        <v/>
      </c>
      <c r="R22" s="18">
        <f>IF(NOT(ISNUMBER($A22)),NA(),IFERROR(1*INDEX(BBG_Data!$L$2:$L$4000,MATCH($A22,BBG_Data!$K$2:$K$4000,0)),NA()))</f>
        <v/>
      </c>
      <c r="S22" s="20">
        <f>IF(AND(ISNUMBER(B22),ISNUMBER(Q22),ISNUMBER(R22)),(B22-Q22-R22)*100,NA())</f>
        <v/>
      </c>
      <c r="T22" s="20">
        <f>IF(AND(ISNUMBER(B22),Settings!$B$17&gt;0),IF(ISNUMBER(INDEX($B:$B,Settings!$B$17)),(B22-INDEX($B:$B,Settings!$B$17))*100,NA()),NA())</f>
        <v/>
      </c>
      <c r="U22" s="20">
        <f>IF(AND(ISNUMBER(Q22),Settings!$B$17&gt;0),IF(ISNUMBER(INDEX($Q:$Q,Settings!$B$17)),(Q22-INDEX($Q:$Q,Settings!$B$17))*100,NA()),NA())</f>
        <v/>
      </c>
      <c r="V22" s="20">
        <f>IF(AND(ISNUMBER(R22),Settings!$B$17&gt;0),IF(ISNUMBER(INDEX($R:$R,Settings!$B$17)),(R22-INDEX($R:$R,Settings!$B$17))*100,NA()),NA())</f>
        <v/>
      </c>
      <c r="W22" s="20">
        <f>IF(AND(ISNUMBER(P22),Settings!$B$17&gt;0),IF(ISNUMBER(INDEX($P:$P,Settings!$B$17)),P22-INDEX($P:$P,Settings!$B$17),NA()),NA())</f>
        <v/>
      </c>
      <c r="X22" s="19">
        <f>IF(NOT(ISNUMBER($A22)),NA(),IF(OR($A22&lt;MIN(DKW_10Y!$A$2:$A$2918),$A22&gt;MAX(DKW_10Y!$A$2:$A$2918),Settings!$B$16&lt;MIN(DKW_10Y!$A$2:$A$2918)),NA(),(INDEX(DKW_10Y!$B$2:$B$2918,MATCH($A22,DKW_10Y!$A$2:$A$2918,1))-INDEX(DKW_10Y!$B$2:$B$2918,MATCH(Settings!$B$16,DKW_10Y!$A$2:$A$2918,1)))*100))</f>
        <v/>
      </c>
      <c r="Y22" s="19">
        <f>IF(NOT(ISNUMBER($A22)),NA(),IF(OR($A22&lt;MIN(DKW_10Y!$A$2:$A$2918),$A22&gt;MAX(DKW_10Y!$A$2:$A$2918),Settings!$B$16&lt;MIN(DKW_10Y!$A$2:$A$2918)),NA(),(INDEX(DKW_10Y!$C$2:$C$2918,MATCH($A22,DKW_10Y!$A$2:$A$2918,1))-INDEX(DKW_10Y!$C$2:$C$2918,MATCH(Settings!$B$16,DKW_10Y!$A$2:$A$2918,1)))*100))</f>
        <v/>
      </c>
      <c r="Z22" s="19">
        <f>IF(NOT(ISNUMBER($A22)),NA(),IF(OR($A22&lt;MIN(DKW_10Y!$A$2:$A$2918),$A22&gt;MAX(DKW_10Y!$A$2:$A$2918),Settings!$B$16&lt;MIN(DKW_10Y!$A$2:$A$2918)),NA(),(INDEX(DKW_10Y!$D$2:$D$2918,MATCH($A22,DKW_10Y!$A$2:$A$2918,1))-INDEX(DKW_10Y!$D$2:$D$2918,MATCH(Settings!$B$16,DKW_10Y!$A$2:$A$2918,1)))*100))</f>
        <v/>
      </c>
      <c r="AA22" s="19">
        <f>IF(NOT(ISNUMBER($A22)),NA(),IF(OR($A22&lt;MIN(DKW_10Y!$A$2:$A$2918),$A22&gt;MAX(DKW_10Y!$A$2:$A$2918),Settings!$B$16&lt;MIN(DKW_10Y!$A$2:$A$2918)),NA(),(INDEX(DKW_10Y!$E$2:$E$2918,MATCH($A22,DKW_10Y!$A$2:$A$2918,1))-INDEX(DKW_10Y!$E$2:$E$2918,MATCH(Settings!$B$16,DKW_10Y!$A$2:$A$2918,1)))*100))</f>
        <v/>
      </c>
      <c r="AB22" s="19">
        <f>IF(NOT(ISNUMBER($A22)),NA(),IF(OR($A22&lt;MIN(DKW_10Y!$A$2:$A$2918),$A22&gt;MAX(DKW_10Y!$A$2:$A$2918),Settings!$B$16&lt;MIN(DKW_10Y!$A$2:$A$2918)),NA(),(INDEX(DKW_10Y!$H$2:$H$2918,MATCH($A22,DKW_10Y!$A$2:$A$2918,1))-INDEX(DKW_10Y!$H$2:$H$2918,MATCH(Settings!$B$16,DKW_10Y!$A$2:$A$2918,1)))*100))</f>
        <v/>
      </c>
      <c r="AC22" s="18">
        <f>IF(NOT(ISNUMBER($A22)),NA(),IFERROR(1*INDEX(BBG_Data!$N$2:$N$4000,MATCH($A22,BBG_Data!$M$2:$M$4000,0)),NA()))</f>
        <v/>
      </c>
      <c r="AD22" s="18">
        <f>IF(NOT(ISNUMBER($A22)),NA(),IFERROR(1*INDEX(BBG_Data!$P$2:$P$4000,MATCH($A22,BBG_Data!$O$2:$O$4000,0)),NA()))</f>
        <v/>
      </c>
      <c r="AE22" s="18">
        <f>IF(NOT(ISNUMBER($A22)),NA(),IFERROR(1*INDEX(BBG_Data!$R$2:$R$4000,MATCH($A22,BBG_Data!$Q$2:$Q$4000,0)),NA()))</f>
        <v/>
      </c>
      <c r="AF22" s="20">
        <f>IF(AND(ISNUMBER(B22),ISNUMBER(AC22)),(B22-AC22)*100,NA())</f>
        <v/>
      </c>
      <c r="AG22" s="20">
        <f>IF(AND(ISNUMBER(AE22),ISNUMBER(AD22)),(AE22-AD22)*100,NA())</f>
        <v/>
      </c>
      <c r="AH22" s="19">
        <f>IF(NOT(ISNUMBER($A22)),NA(),IFERROR(INDEX(BBG_Data!$T$2:$T$4000,MATCH($A22,BBG_Data!$S$2:$S$4000,0))*Settings!$B$25,NA()))</f>
        <v/>
      </c>
      <c r="AI22" s="19">
        <f>IF(NOT(ISNUMBER($A22)),NA(),IFERROR(INDEX(BBG_Data!$V$2:$V$4000,MATCH($A22,BBG_Data!$U$2:$U$4000,0))*Settings!$B$25,NA()))</f>
        <v/>
      </c>
      <c r="AJ22" s="19">
        <f>IF(NOT(ISNUMBER($A22)),NA(),IFERROR(1*INDEX(BBG_Data!$X$2:$X$4000,MATCH($A22,BBG_Data!$W$2:$W$4000,0)),NA()))</f>
        <v/>
      </c>
      <c r="AK22" s="19">
        <f>IF(NOT(ISNUMBER($A22)),NA(),IFERROR(1*INDEX(BBG_Data!$Z$2:$Z$4000,MATCH($A22,BBG_Data!$Y$2:$Y$4000,0)),NA()))</f>
        <v/>
      </c>
    </row>
    <row r="23">
      <c r="A23" s="17">
        <f>IF(ISNUMBER(BBG_Data!A23),BBG_Data!A23,"")</f>
        <v/>
      </c>
      <c r="B23" s="18">
        <f>IF(AND(ISNUMBER($A23),ISNUMBER(BBG_Data!B23)),BBG_Data!B23,NA())</f>
        <v/>
      </c>
      <c r="C23" s="18">
        <f>IF(NOT(ISNUMBER($A23)),NA(),IFERROR(1*INDEX(BBG_Data!$D$2:$D$4000,MATCH($A23,BBG_Data!$C$2:$C$4000,0)),NA()))</f>
        <v/>
      </c>
      <c r="D23" s="19">
        <f>IF(NOT(ISNUMBER($A23)),NA(),IFERROR(1*INDEX(BBG_Data!$F$2:$F$4000,MATCH($A23,BBG_Data!$E$2:$E$4000,0)),NA()))</f>
        <v/>
      </c>
      <c r="E23" s="19">
        <f>IF(NOT(ISNUMBER($A23)),NA(),IFERROR(1*INDEX(BBG_Data!$H$2:$H$4000,MATCH($A23,BBG_Data!$G$2:$G$4000,0)),NA()))</f>
        <v/>
      </c>
      <c r="F23" s="20">
        <f>IF(AND(ISNUMBER(B23),ISNUMBER(B22)),IF(B23=B22,"",(B23-B22)*100),"")</f>
        <v/>
      </c>
      <c r="G23" s="20">
        <f>IF(AND(ISNUMBER(C23),ISNUMBER(C22)),IF(C23=C22,"",(C23-C22)*100),"")</f>
        <v/>
      </c>
      <c r="H23" s="20">
        <f>IF(OR(NOT(ISNUMBER($A23)),ROW()-2&lt;Settings!$B$11),NA(),IF(COUNT(OFFSET(F23,1-Settings!$B$11,0,Settings!$B$11,1))&lt;ROUNDUP(Settings!$B$11*Settings!$B$26,0),NA(),STDEV(OFFSET(F23,1-Settings!$B$11,0,Settings!$B$11,1))*SQRT(Settings!$B$13)))</f>
        <v/>
      </c>
      <c r="I23" s="20">
        <f>IF(OR(NOT(ISNUMBER($A23)),ROW()-2&lt;Settings!$B$12),NA(),IF(COUNT(OFFSET(F23,1-Settings!$B$12,0,Settings!$B$12,1))&lt;ROUNDUP(Settings!$B$12*Settings!$B$26,0),NA(),STDEV(OFFSET(F23,1-Settings!$B$12,0,Settings!$B$12,1))*SQRT(Settings!$B$13)))</f>
        <v/>
      </c>
      <c r="J23" s="20">
        <f>IF(OR(NOT(ISNUMBER($A23)),ROW()-2&lt;Settings!$B$11),NA(),IF(COUNT(OFFSET(G23,1-Settings!$B$11,0,Settings!$B$11,1))&lt;ROUNDUP(Settings!$B$11*Settings!$B$26,0),NA(),STDEV(OFFSET(G23,1-Settings!$B$11,0,Settings!$B$11,1))*SQRT(Settings!$B$13)))</f>
        <v/>
      </c>
      <c r="K23" s="20">
        <f>IF(OR(NOT(ISNUMBER($A23)),ROW()-2&lt;Settings!$B$12),NA(),IF(COUNT(OFFSET(G23,1-Settings!$B$12,0,Settings!$B$12,1))&lt;ROUNDUP(Settings!$B$12*Settings!$B$26,0),NA(),STDEV(OFFSET(G23,1-Settings!$B$12,0,Settings!$B$12,1))*SQRT(Settings!$B$13)))</f>
        <v/>
      </c>
      <c r="L23" s="20">
        <f>IF(AND(ISNUMBER(D23),ISNUMBER(H23)),D23-H23,NA())</f>
        <v/>
      </c>
      <c r="M23" s="20">
        <f>IF(AND(ISNUMBER(E23),ISNUMBER(K23)),E23-K23,NA())</f>
        <v/>
      </c>
      <c r="N23" s="20">
        <f>IF(NOT(ISNUMBER($A23)),NA(),IF(COUNT(OFFSET(G23,1,0,Settings!$B$12,1))&lt;ROUNDUP(Settings!$B$12*Settings!$B$26,0),NA(),STDEV(OFFSET(G23,1,0,Settings!$B$12,1))*SQRT(Settings!$B$13)))</f>
        <v/>
      </c>
      <c r="O23" s="20">
        <f>IF(AND(ISNUMBER(E23),ISNUMBER(N23)),E23-N23,NA())</f>
        <v/>
      </c>
      <c r="P23" s="19">
        <f>IF(NOT(ISNUMBER($A23)),NA(),IF(OR($A23&lt;MIN(KW_TP!$A$2:$A$2501),$A23&gt;MAX(KW_TP!$A$2:$A$2501)),NA(),INDEX(KW_TP!$C$2:$C$2501,MATCH($A23,KW_TP!$A$2:$A$2501,1))))</f>
        <v/>
      </c>
      <c r="Q23" s="18">
        <f>IF(NOT(ISNUMBER($A23)),NA(),IFERROR(1*INDEX(BBG_Data!$J$2:$J$4000,MATCH($A23,BBG_Data!$I$2:$I$4000,0)),NA()))</f>
        <v/>
      </c>
      <c r="R23" s="18">
        <f>IF(NOT(ISNUMBER($A23)),NA(),IFERROR(1*INDEX(BBG_Data!$L$2:$L$4000,MATCH($A23,BBG_Data!$K$2:$K$4000,0)),NA()))</f>
        <v/>
      </c>
      <c r="S23" s="20">
        <f>IF(AND(ISNUMBER(B23),ISNUMBER(Q23),ISNUMBER(R23)),(B23-Q23-R23)*100,NA())</f>
        <v/>
      </c>
      <c r="T23" s="20">
        <f>IF(AND(ISNUMBER(B23),Settings!$B$17&gt;0),IF(ISNUMBER(INDEX($B:$B,Settings!$B$17)),(B23-INDEX($B:$B,Settings!$B$17))*100,NA()),NA())</f>
        <v/>
      </c>
      <c r="U23" s="20">
        <f>IF(AND(ISNUMBER(Q23),Settings!$B$17&gt;0),IF(ISNUMBER(INDEX($Q:$Q,Settings!$B$17)),(Q23-INDEX($Q:$Q,Settings!$B$17))*100,NA()),NA())</f>
        <v/>
      </c>
      <c r="V23" s="20">
        <f>IF(AND(ISNUMBER(R23),Settings!$B$17&gt;0),IF(ISNUMBER(INDEX($R:$R,Settings!$B$17)),(R23-INDEX($R:$R,Settings!$B$17))*100,NA()),NA())</f>
        <v/>
      </c>
      <c r="W23" s="20">
        <f>IF(AND(ISNUMBER(P23),Settings!$B$17&gt;0),IF(ISNUMBER(INDEX($P:$P,Settings!$B$17)),P23-INDEX($P:$P,Settings!$B$17),NA()),NA())</f>
        <v/>
      </c>
      <c r="X23" s="19">
        <f>IF(NOT(ISNUMBER($A23)),NA(),IF(OR($A23&lt;MIN(DKW_10Y!$A$2:$A$2918),$A23&gt;MAX(DKW_10Y!$A$2:$A$2918),Settings!$B$16&lt;MIN(DKW_10Y!$A$2:$A$2918)),NA(),(INDEX(DKW_10Y!$B$2:$B$2918,MATCH($A23,DKW_10Y!$A$2:$A$2918,1))-INDEX(DKW_10Y!$B$2:$B$2918,MATCH(Settings!$B$16,DKW_10Y!$A$2:$A$2918,1)))*100))</f>
        <v/>
      </c>
      <c r="Y23" s="19">
        <f>IF(NOT(ISNUMBER($A23)),NA(),IF(OR($A23&lt;MIN(DKW_10Y!$A$2:$A$2918),$A23&gt;MAX(DKW_10Y!$A$2:$A$2918),Settings!$B$16&lt;MIN(DKW_10Y!$A$2:$A$2918)),NA(),(INDEX(DKW_10Y!$C$2:$C$2918,MATCH($A23,DKW_10Y!$A$2:$A$2918,1))-INDEX(DKW_10Y!$C$2:$C$2918,MATCH(Settings!$B$16,DKW_10Y!$A$2:$A$2918,1)))*100))</f>
        <v/>
      </c>
      <c r="Z23" s="19">
        <f>IF(NOT(ISNUMBER($A23)),NA(),IF(OR($A23&lt;MIN(DKW_10Y!$A$2:$A$2918),$A23&gt;MAX(DKW_10Y!$A$2:$A$2918),Settings!$B$16&lt;MIN(DKW_10Y!$A$2:$A$2918)),NA(),(INDEX(DKW_10Y!$D$2:$D$2918,MATCH($A23,DKW_10Y!$A$2:$A$2918,1))-INDEX(DKW_10Y!$D$2:$D$2918,MATCH(Settings!$B$16,DKW_10Y!$A$2:$A$2918,1)))*100))</f>
        <v/>
      </c>
      <c r="AA23" s="19">
        <f>IF(NOT(ISNUMBER($A23)),NA(),IF(OR($A23&lt;MIN(DKW_10Y!$A$2:$A$2918),$A23&gt;MAX(DKW_10Y!$A$2:$A$2918),Settings!$B$16&lt;MIN(DKW_10Y!$A$2:$A$2918)),NA(),(INDEX(DKW_10Y!$E$2:$E$2918,MATCH($A23,DKW_10Y!$A$2:$A$2918,1))-INDEX(DKW_10Y!$E$2:$E$2918,MATCH(Settings!$B$16,DKW_10Y!$A$2:$A$2918,1)))*100))</f>
        <v/>
      </c>
      <c r="AB23" s="19">
        <f>IF(NOT(ISNUMBER($A23)),NA(),IF(OR($A23&lt;MIN(DKW_10Y!$A$2:$A$2918),$A23&gt;MAX(DKW_10Y!$A$2:$A$2918),Settings!$B$16&lt;MIN(DKW_10Y!$A$2:$A$2918)),NA(),(INDEX(DKW_10Y!$H$2:$H$2918,MATCH($A23,DKW_10Y!$A$2:$A$2918,1))-INDEX(DKW_10Y!$H$2:$H$2918,MATCH(Settings!$B$16,DKW_10Y!$A$2:$A$2918,1)))*100))</f>
        <v/>
      </c>
      <c r="AC23" s="18">
        <f>IF(NOT(ISNUMBER($A23)),NA(),IFERROR(1*INDEX(BBG_Data!$N$2:$N$4000,MATCH($A23,BBG_Data!$M$2:$M$4000,0)),NA()))</f>
        <v/>
      </c>
      <c r="AD23" s="18">
        <f>IF(NOT(ISNUMBER($A23)),NA(),IFERROR(1*INDEX(BBG_Data!$P$2:$P$4000,MATCH($A23,BBG_Data!$O$2:$O$4000,0)),NA()))</f>
        <v/>
      </c>
      <c r="AE23" s="18">
        <f>IF(NOT(ISNUMBER($A23)),NA(),IFERROR(1*INDEX(BBG_Data!$R$2:$R$4000,MATCH($A23,BBG_Data!$Q$2:$Q$4000,0)),NA()))</f>
        <v/>
      </c>
      <c r="AF23" s="20">
        <f>IF(AND(ISNUMBER(B23),ISNUMBER(AC23)),(B23-AC23)*100,NA())</f>
        <v/>
      </c>
      <c r="AG23" s="20">
        <f>IF(AND(ISNUMBER(AE23),ISNUMBER(AD23)),(AE23-AD23)*100,NA())</f>
        <v/>
      </c>
      <c r="AH23" s="19">
        <f>IF(NOT(ISNUMBER($A23)),NA(),IFERROR(INDEX(BBG_Data!$T$2:$T$4000,MATCH($A23,BBG_Data!$S$2:$S$4000,0))*Settings!$B$25,NA()))</f>
        <v/>
      </c>
      <c r="AI23" s="19">
        <f>IF(NOT(ISNUMBER($A23)),NA(),IFERROR(INDEX(BBG_Data!$V$2:$V$4000,MATCH($A23,BBG_Data!$U$2:$U$4000,0))*Settings!$B$25,NA()))</f>
        <v/>
      </c>
      <c r="AJ23" s="19">
        <f>IF(NOT(ISNUMBER($A23)),NA(),IFERROR(1*INDEX(BBG_Data!$X$2:$X$4000,MATCH($A23,BBG_Data!$W$2:$W$4000,0)),NA()))</f>
        <v/>
      </c>
      <c r="AK23" s="19">
        <f>IF(NOT(ISNUMBER($A23)),NA(),IFERROR(1*INDEX(BBG_Data!$Z$2:$Z$4000,MATCH($A23,BBG_Data!$Y$2:$Y$4000,0)),NA()))</f>
        <v/>
      </c>
    </row>
    <row r="24">
      <c r="A24" s="17">
        <f>IF(ISNUMBER(BBG_Data!A24),BBG_Data!A24,"")</f>
        <v/>
      </c>
      <c r="B24" s="18">
        <f>IF(AND(ISNUMBER($A24),ISNUMBER(BBG_Data!B24)),BBG_Data!B24,NA())</f>
        <v/>
      </c>
      <c r="C24" s="18">
        <f>IF(NOT(ISNUMBER($A24)),NA(),IFERROR(1*INDEX(BBG_Data!$D$2:$D$4000,MATCH($A24,BBG_Data!$C$2:$C$4000,0)),NA()))</f>
        <v/>
      </c>
      <c r="D24" s="19">
        <f>IF(NOT(ISNUMBER($A24)),NA(),IFERROR(1*INDEX(BBG_Data!$F$2:$F$4000,MATCH($A24,BBG_Data!$E$2:$E$4000,0)),NA()))</f>
        <v/>
      </c>
      <c r="E24" s="19">
        <f>IF(NOT(ISNUMBER($A24)),NA(),IFERROR(1*INDEX(BBG_Data!$H$2:$H$4000,MATCH($A24,BBG_Data!$G$2:$G$4000,0)),NA()))</f>
        <v/>
      </c>
      <c r="F24" s="20">
        <f>IF(AND(ISNUMBER(B24),ISNUMBER(B23)),IF(B24=B23,"",(B24-B23)*100),"")</f>
        <v/>
      </c>
      <c r="G24" s="20">
        <f>IF(AND(ISNUMBER(C24),ISNUMBER(C23)),IF(C24=C23,"",(C24-C23)*100),"")</f>
        <v/>
      </c>
      <c r="H24" s="20">
        <f>IF(OR(NOT(ISNUMBER($A24)),ROW()-2&lt;Settings!$B$11),NA(),IF(COUNT(OFFSET(F24,1-Settings!$B$11,0,Settings!$B$11,1))&lt;ROUNDUP(Settings!$B$11*Settings!$B$26,0),NA(),STDEV(OFFSET(F24,1-Settings!$B$11,0,Settings!$B$11,1))*SQRT(Settings!$B$13)))</f>
        <v/>
      </c>
      <c r="I24" s="20">
        <f>IF(OR(NOT(ISNUMBER($A24)),ROW()-2&lt;Settings!$B$12),NA(),IF(COUNT(OFFSET(F24,1-Settings!$B$12,0,Settings!$B$12,1))&lt;ROUNDUP(Settings!$B$12*Settings!$B$26,0),NA(),STDEV(OFFSET(F24,1-Settings!$B$12,0,Settings!$B$12,1))*SQRT(Settings!$B$13)))</f>
        <v/>
      </c>
      <c r="J24" s="20">
        <f>IF(OR(NOT(ISNUMBER($A24)),ROW()-2&lt;Settings!$B$11),NA(),IF(COUNT(OFFSET(G24,1-Settings!$B$11,0,Settings!$B$11,1))&lt;ROUNDUP(Settings!$B$11*Settings!$B$26,0),NA(),STDEV(OFFSET(G24,1-Settings!$B$11,0,Settings!$B$11,1))*SQRT(Settings!$B$13)))</f>
        <v/>
      </c>
      <c r="K24" s="20">
        <f>IF(OR(NOT(ISNUMBER($A24)),ROW()-2&lt;Settings!$B$12),NA(),IF(COUNT(OFFSET(G24,1-Settings!$B$12,0,Settings!$B$12,1))&lt;ROUNDUP(Settings!$B$12*Settings!$B$26,0),NA(),STDEV(OFFSET(G24,1-Settings!$B$12,0,Settings!$B$12,1))*SQRT(Settings!$B$13)))</f>
        <v/>
      </c>
      <c r="L24" s="20">
        <f>IF(AND(ISNUMBER(D24),ISNUMBER(H24)),D24-H24,NA())</f>
        <v/>
      </c>
      <c r="M24" s="20">
        <f>IF(AND(ISNUMBER(E24),ISNUMBER(K24)),E24-K24,NA())</f>
        <v/>
      </c>
      <c r="N24" s="20">
        <f>IF(NOT(ISNUMBER($A24)),NA(),IF(COUNT(OFFSET(G24,1,0,Settings!$B$12,1))&lt;ROUNDUP(Settings!$B$12*Settings!$B$26,0),NA(),STDEV(OFFSET(G24,1,0,Settings!$B$12,1))*SQRT(Settings!$B$13)))</f>
        <v/>
      </c>
      <c r="O24" s="20">
        <f>IF(AND(ISNUMBER(E24),ISNUMBER(N24)),E24-N24,NA())</f>
        <v/>
      </c>
      <c r="P24" s="19">
        <f>IF(NOT(ISNUMBER($A24)),NA(),IF(OR($A24&lt;MIN(KW_TP!$A$2:$A$2501),$A24&gt;MAX(KW_TP!$A$2:$A$2501)),NA(),INDEX(KW_TP!$C$2:$C$2501,MATCH($A24,KW_TP!$A$2:$A$2501,1))))</f>
        <v/>
      </c>
      <c r="Q24" s="18">
        <f>IF(NOT(ISNUMBER($A24)),NA(),IFERROR(1*INDEX(BBG_Data!$J$2:$J$4000,MATCH($A24,BBG_Data!$I$2:$I$4000,0)),NA()))</f>
        <v/>
      </c>
      <c r="R24" s="18">
        <f>IF(NOT(ISNUMBER($A24)),NA(),IFERROR(1*INDEX(BBG_Data!$L$2:$L$4000,MATCH($A24,BBG_Data!$K$2:$K$4000,0)),NA()))</f>
        <v/>
      </c>
      <c r="S24" s="20">
        <f>IF(AND(ISNUMBER(B24),ISNUMBER(Q24),ISNUMBER(R24)),(B24-Q24-R24)*100,NA())</f>
        <v/>
      </c>
      <c r="T24" s="20">
        <f>IF(AND(ISNUMBER(B24),Settings!$B$17&gt;0),IF(ISNUMBER(INDEX($B:$B,Settings!$B$17)),(B24-INDEX($B:$B,Settings!$B$17))*100,NA()),NA())</f>
        <v/>
      </c>
      <c r="U24" s="20">
        <f>IF(AND(ISNUMBER(Q24),Settings!$B$17&gt;0),IF(ISNUMBER(INDEX($Q:$Q,Settings!$B$17)),(Q24-INDEX($Q:$Q,Settings!$B$17))*100,NA()),NA())</f>
        <v/>
      </c>
      <c r="V24" s="20">
        <f>IF(AND(ISNUMBER(R24),Settings!$B$17&gt;0),IF(ISNUMBER(INDEX($R:$R,Settings!$B$17)),(R24-INDEX($R:$R,Settings!$B$17))*100,NA()),NA())</f>
        <v/>
      </c>
      <c r="W24" s="20">
        <f>IF(AND(ISNUMBER(P24),Settings!$B$17&gt;0),IF(ISNUMBER(INDEX($P:$P,Settings!$B$17)),P24-INDEX($P:$P,Settings!$B$17),NA()),NA())</f>
        <v/>
      </c>
      <c r="X24" s="19">
        <f>IF(NOT(ISNUMBER($A24)),NA(),IF(OR($A24&lt;MIN(DKW_10Y!$A$2:$A$2918),$A24&gt;MAX(DKW_10Y!$A$2:$A$2918),Settings!$B$16&lt;MIN(DKW_10Y!$A$2:$A$2918)),NA(),(INDEX(DKW_10Y!$B$2:$B$2918,MATCH($A24,DKW_10Y!$A$2:$A$2918,1))-INDEX(DKW_10Y!$B$2:$B$2918,MATCH(Settings!$B$16,DKW_10Y!$A$2:$A$2918,1)))*100))</f>
        <v/>
      </c>
      <c r="Y24" s="19">
        <f>IF(NOT(ISNUMBER($A24)),NA(),IF(OR($A24&lt;MIN(DKW_10Y!$A$2:$A$2918),$A24&gt;MAX(DKW_10Y!$A$2:$A$2918),Settings!$B$16&lt;MIN(DKW_10Y!$A$2:$A$2918)),NA(),(INDEX(DKW_10Y!$C$2:$C$2918,MATCH($A24,DKW_10Y!$A$2:$A$2918,1))-INDEX(DKW_10Y!$C$2:$C$2918,MATCH(Settings!$B$16,DKW_10Y!$A$2:$A$2918,1)))*100))</f>
        <v/>
      </c>
      <c r="Z24" s="19">
        <f>IF(NOT(ISNUMBER($A24)),NA(),IF(OR($A24&lt;MIN(DKW_10Y!$A$2:$A$2918),$A24&gt;MAX(DKW_10Y!$A$2:$A$2918),Settings!$B$16&lt;MIN(DKW_10Y!$A$2:$A$2918)),NA(),(INDEX(DKW_10Y!$D$2:$D$2918,MATCH($A24,DKW_10Y!$A$2:$A$2918,1))-INDEX(DKW_10Y!$D$2:$D$2918,MATCH(Settings!$B$16,DKW_10Y!$A$2:$A$2918,1)))*100))</f>
        <v/>
      </c>
      <c r="AA24" s="19">
        <f>IF(NOT(ISNUMBER($A24)),NA(),IF(OR($A24&lt;MIN(DKW_10Y!$A$2:$A$2918),$A24&gt;MAX(DKW_10Y!$A$2:$A$2918),Settings!$B$16&lt;MIN(DKW_10Y!$A$2:$A$2918)),NA(),(INDEX(DKW_10Y!$E$2:$E$2918,MATCH($A24,DKW_10Y!$A$2:$A$2918,1))-INDEX(DKW_10Y!$E$2:$E$2918,MATCH(Settings!$B$16,DKW_10Y!$A$2:$A$2918,1)))*100))</f>
        <v/>
      </c>
      <c r="AB24" s="19">
        <f>IF(NOT(ISNUMBER($A24)),NA(),IF(OR($A24&lt;MIN(DKW_10Y!$A$2:$A$2918),$A24&gt;MAX(DKW_10Y!$A$2:$A$2918),Settings!$B$16&lt;MIN(DKW_10Y!$A$2:$A$2918)),NA(),(INDEX(DKW_10Y!$H$2:$H$2918,MATCH($A24,DKW_10Y!$A$2:$A$2918,1))-INDEX(DKW_10Y!$H$2:$H$2918,MATCH(Settings!$B$16,DKW_10Y!$A$2:$A$2918,1)))*100))</f>
        <v/>
      </c>
      <c r="AC24" s="18">
        <f>IF(NOT(ISNUMBER($A24)),NA(),IFERROR(1*INDEX(BBG_Data!$N$2:$N$4000,MATCH($A24,BBG_Data!$M$2:$M$4000,0)),NA()))</f>
        <v/>
      </c>
      <c r="AD24" s="18">
        <f>IF(NOT(ISNUMBER($A24)),NA(),IFERROR(1*INDEX(BBG_Data!$P$2:$P$4000,MATCH($A24,BBG_Data!$O$2:$O$4000,0)),NA()))</f>
        <v/>
      </c>
      <c r="AE24" s="18">
        <f>IF(NOT(ISNUMBER($A24)),NA(),IFERROR(1*INDEX(BBG_Data!$R$2:$R$4000,MATCH($A24,BBG_Data!$Q$2:$Q$4000,0)),NA()))</f>
        <v/>
      </c>
      <c r="AF24" s="20">
        <f>IF(AND(ISNUMBER(B24),ISNUMBER(AC24)),(B24-AC24)*100,NA())</f>
        <v/>
      </c>
      <c r="AG24" s="20">
        <f>IF(AND(ISNUMBER(AE24),ISNUMBER(AD24)),(AE24-AD24)*100,NA())</f>
        <v/>
      </c>
      <c r="AH24" s="19">
        <f>IF(NOT(ISNUMBER($A24)),NA(),IFERROR(INDEX(BBG_Data!$T$2:$T$4000,MATCH($A24,BBG_Data!$S$2:$S$4000,0))*Settings!$B$25,NA()))</f>
        <v/>
      </c>
      <c r="AI24" s="19">
        <f>IF(NOT(ISNUMBER($A24)),NA(),IFERROR(INDEX(BBG_Data!$V$2:$V$4000,MATCH($A24,BBG_Data!$U$2:$U$4000,0))*Settings!$B$25,NA()))</f>
        <v/>
      </c>
      <c r="AJ24" s="19">
        <f>IF(NOT(ISNUMBER($A24)),NA(),IFERROR(1*INDEX(BBG_Data!$X$2:$X$4000,MATCH($A24,BBG_Data!$W$2:$W$4000,0)),NA()))</f>
        <v/>
      </c>
      <c r="AK24" s="19">
        <f>IF(NOT(ISNUMBER($A24)),NA(),IFERROR(1*INDEX(BBG_Data!$Z$2:$Z$4000,MATCH($A24,BBG_Data!$Y$2:$Y$4000,0)),NA()))</f>
        <v/>
      </c>
    </row>
    <row r="25">
      <c r="A25" s="17">
        <f>IF(ISNUMBER(BBG_Data!A25),BBG_Data!A25,"")</f>
        <v/>
      </c>
      <c r="B25" s="18">
        <f>IF(AND(ISNUMBER($A25),ISNUMBER(BBG_Data!B25)),BBG_Data!B25,NA())</f>
        <v/>
      </c>
      <c r="C25" s="18">
        <f>IF(NOT(ISNUMBER($A25)),NA(),IFERROR(1*INDEX(BBG_Data!$D$2:$D$4000,MATCH($A25,BBG_Data!$C$2:$C$4000,0)),NA()))</f>
        <v/>
      </c>
      <c r="D25" s="19">
        <f>IF(NOT(ISNUMBER($A25)),NA(),IFERROR(1*INDEX(BBG_Data!$F$2:$F$4000,MATCH($A25,BBG_Data!$E$2:$E$4000,0)),NA()))</f>
        <v/>
      </c>
      <c r="E25" s="19">
        <f>IF(NOT(ISNUMBER($A25)),NA(),IFERROR(1*INDEX(BBG_Data!$H$2:$H$4000,MATCH($A25,BBG_Data!$G$2:$G$4000,0)),NA()))</f>
        <v/>
      </c>
      <c r="F25" s="20">
        <f>IF(AND(ISNUMBER(B25),ISNUMBER(B24)),IF(B25=B24,"",(B25-B24)*100),"")</f>
        <v/>
      </c>
      <c r="G25" s="20">
        <f>IF(AND(ISNUMBER(C25),ISNUMBER(C24)),IF(C25=C24,"",(C25-C24)*100),"")</f>
        <v/>
      </c>
      <c r="H25" s="20">
        <f>IF(OR(NOT(ISNUMBER($A25)),ROW()-2&lt;Settings!$B$11),NA(),IF(COUNT(OFFSET(F25,1-Settings!$B$11,0,Settings!$B$11,1))&lt;ROUNDUP(Settings!$B$11*Settings!$B$26,0),NA(),STDEV(OFFSET(F25,1-Settings!$B$11,0,Settings!$B$11,1))*SQRT(Settings!$B$13)))</f>
        <v/>
      </c>
      <c r="I25" s="20">
        <f>IF(OR(NOT(ISNUMBER($A25)),ROW()-2&lt;Settings!$B$12),NA(),IF(COUNT(OFFSET(F25,1-Settings!$B$12,0,Settings!$B$12,1))&lt;ROUNDUP(Settings!$B$12*Settings!$B$26,0),NA(),STDEV(OFFSET(F25,1-Settings!$B$12,0,Settings!$B$12,1))*SQRT(Settings!$B$13)))</f>
        <v/>
      </c>
      <c r="J25" s="20">
        <f>IF(OR(NOT(ISNUMBER($A25)),ROW()-2&lt;Settings!$B$11),NA(),IF(COUNT(OFFSET(G25,1-Settings!$B$11,0,Settings!$B$11,1))&lt;ROUNDUP(Settings!$B$11*Settings!$B$26,0),NA(),STDEV(OFFSET(G25,1-Settings!$B$11,0,Settings!$B$11,1))*SQRT(Settings!$B$13)))</f>
        <v/>
      </c>
      <c r="K25" s="20">
        <f>IF(OR(NOT(ISNUMBER($A25)),ROW()-2&lt;Settings!$B$12),NA(),IF(COUNT(OFFSET(G25,1-Settings!$B$12,0,Settings!$B$12,1))&lt;ROUNDUP(Settings!$B$12*Settings!$B$26,0),NA(),STDEV(OFFSET(G25,1-Settings!$B$12,0,Settings!$B$12,1))*SQRT(Settings!$B$13)))</f>
        <v/>
      </c>
      <c r="L25" s="20">
        <f>IF(AND(ISNUMBER(D25),ISNUMBER(H25)),D25-H25,NA())</f>
        <v/>
      </c>
      <c r="M25" s="20">
        <f>IF(AND(ISNUMBER(E25),ISNUMBER(K25)),E25-K25,NA())</f>
        <v/>
      </c>
      <c r="N25" s="20">
        <f>IF(NOT(ISNUMBER($A25)),NA(),IF(COUNT(OFFSET(G25,1,0,Settings!$B$12,1))&lt;ROUNDUP(Settings!$B$12*Settings!$B$26,0),NA(),STDEV(OFFSET(G25,1,0,Settings!$B$12,1))*SQRT(Settings!$B$13)))</f>
        <v/>
      </c>
      <c r="O25" s="20">
        <f>IF(AND(ISNUMBER(E25),ISNUMBER(N25)),E25-N25,NA())</f>
        <v/>
      </c>
      <c r="P25" s="19">
        <f>IF(NOT(ISNUMBER($A25)),NA(),IF(OR($A25&lt;MIN(KW_TP!$A$2:$A$2501),$A25&gt;MAX(KW_TP!$A$2:$A$2501)),NA(),INDEX(KW_TP!$C$2:$C$2501,MATCH($A25,KW_TP!$A$2:$A$2501,1))))</f>
        <v/>
      </c>
      <c r="Q25" s="18">
        <f>IF(NOT(ISNUMBER($A25)),NA(),IFERROR(1*INDEX(BBG_Data!$J$2:$J$4000,MATCH($A25,BBG_Data!$I$2:$I$4000,0)),NA()))</f>
        <v/>
      </c>
      <c r="R25" s="18">
        <f>IF(NOT(ISNUMBER($A25)),NA(),IFERROR(1*INDEX(BBG_Data!$L$2:$L$4000,MATCH($A25,BBG_Data!$K$2:$K$4000,0)),NA()))</f>
        <v/>
      </c>
      <c r="S25" s="20">
        <f>IF(AND(ISNUMBER(B25),ISNUMBER(Q25),ISNUMBER(R25)),(B25-Q25-R25)*100,NA())</f>
        <v/>
      </c>
      <c r="T25" s="20">
        <f>IF(AND(ISNUMBER(B25),Settings!$B$17&gt;0),IF(ISNUMBER(INDEX($B:$B,Settings!$B$17)),(B25-INDEX($B:$B,Settings!$B$17))*100,NA()),NA())</f>
        <v/>
      </c>
      <c r="U25" s="20">
        <f>IF(AND(ISNUMBER(Q25),Settings!$B$17&gt;0),IF(ISNUMBER(INDEX($Q:$Q,Settings!$B$17)),(Q25-INDEX($Q:$Q,Settings!$B$17))*100,NA()),NA())</f>
        <v/>
      </c>
      <c r="V25" s="20">
        <f>IF(AND(ISNUMBER(R25),Settings!$B$17&gt;0),IF(ISNUMBER(INDEX($R:$R,Settings!$B$17)),(R25-INDEX($R:$R,Settings!$B$17))*100,NA()),NA())</f>
        <v/>
      </c>
      <c r="W25" s="20">
        <f>IF(AND(ISNUMBER(P25),Settings!$B$17&gt;0),IF(ISNUMBER(INDEX($P:$P,Settings!$B$17)),P25-INDEX($P:$P,Settings!$B$17),NA()),NA())</f>
        <v/>
      </c>
      <c r="X25" s="19">
        <f>IF(NOT(ISNUMBER($A25)),NA(),IF(OR($A25&lt;MIN(DKW_10Y!$A$2:$A$2918),$A25&gt;MAX(DKW_10Y!$A$2:$A$2918),Settings!$B$16&lt;MIN(DKW_10Y!$A$2:$A$2918)),NA(),(INDEX(DKW_10Y!$B$2:$B$2918,MATCH($A25,DKW_10Y!$A$2:$A$2918,1))-INDEX(DKW_10Y!$B$2:$B$2918,MATCH(Settings!$B$16,DKW_10Y!$A$2:$A$2918,1)))*100))</f>
        <v/>
      </c>
      <c r="Y25" s="19">
        <f>IF(NOT(ISNUMBER($A25)),NA(),IF(OR($A25&lt;MIN(DKW_10Y!$A$2:$A$2918),$A25&gt;MAX(DKW_10Y!$A$2:$A$2918),Settings!$B$16&lt;MIN(DKW_10Y!$A$2:$A$2918)),NA(),(INDEX(DKW_10Y!$C$2:$C$2918,MATCH($A25,DKW_10Y!$A$2:$A$2918,1))-INDEX(DKW_10Y!$C$2:$C$2918,MATCH(Settings!$B$16,DKW_10Y!$A$2:$A$2918,1)))*100))</f>
        <v/>
      </c>
      <c r="Z25" s="19">
        <f>IF(NOT(ISNUMBER($A25)),NA(),IF(OR($A25&lt;MIN(DKW_10Y!$A$2:$A$2918),$A25&gt;MAX(DKW_10Y!$A$2:$A$2918),Settings!$B$16&lt;MIN(DKW_10Y!$A$2:$A$2918)),NA(),(INDEX(DKW_10Y!$D$2:$D$2918,MATCH($A25,DKW_10Y!$A$2:$A$2918,1))-INDEX(DKW_10Y!$D$2:$D$2918,MATCH(Settings!$B$16,DKW_10Y!$A$2:$A$2918,1)))*100))</f>
        <v/>
      </c>
      <c r="AA25" s="19">
        <f>IF(NOT(ISNUMBER($A25)),NA(),IF(OR($A25&lt;MIN(DKW_10Y!$A$2:$A$2918),$A25&gt;MAX(DKW_10Y!$A$2:$A$2918),Settings!$B$16&lt;MIN(DKW_10Y!$A$2:$A$2918)),NA(),(INDEX(DKW_10Y!$E$2:$E$2918,MATCH($A25,DKW_10Y!$A$2:$A$2918,1))-INDEX(DKW_10Y!$E$2:$E$2918,MATCH(Settings!$B$16,DKW_10Y!$A$2:$A$2918,1)))*100))</f>
        <v/>
      </c>
      <c r="AB25" s="19">
        <f>IF(NOT(ISNUMBER($A25)),NA(),IF(OR($A25&lt;MIN(DKW_10Y!$A$2:$A$2918),$A25&gt;MAX(DKW_10Y!$A$2:$A$2918),Settings!$B$16&lt;MIN(DKW_10Y!$A$2:$A$2918)),NA(),(INDEX(DKW_10Y!$H$2:$H$2918,MATCH($A25,DKW_10Y!$A$2:$A$2918,1))-INDEX(DKW_10Y!$H$2:$H$2918,MATCH(Settings!$B$16,DKW_10Y!$A$2:$A$2918,1)))*100))</f>
        <v/>
      </c>
      <c r="AC25" s="18">
        <f>IF(NOT(ISNUMBER($A25)),NA(),IFERROR(1*INDEX(BBG_Data!$N$2:$N$4000,MATCH($A25,BBG_Data!$M$2:$M$4000,0)),NA()))</f>
        <v/>
      </c>
      <c r="AD25" s="18">
        <f>IF(NOT(ISNUMBER($A25)),NA(),IFERROR(1*INDEX(BBG_Data!$P$2:$P$4000,MATCH($A25,BBG_Data!$O$2:$O$4000,0)),NA()))</f>
        <v/>
      </c>
      <c r="AE25" s="18">
        <f>IF(NOT(ISNUMBER($A25)),NA(),IFERROR(1*INDEX(BBG_Data!$R$2:$R$4000,MATCH($A25,BBG_Data!$Q$2:$Q$4000,0)),NA()))</f>
        <v/>
      </c>
      <c r="AF25" s="20">
        <f>IF(AND(ISNUMBER(B25),ISNUMBER(AC25)),(B25-AC25)*100,NA())</f>
        <v/>
      </c>
      <c r="AG25" s="20">
        <f>IF(AND(ISNUMBER(AE25),ISNUMBER(AD25)),(AE25-AD25)*100,NA())</f>
        <v/>
      </c>
      <c r="AH25" s="19">
        <f>IF(NOT(ISNUMBER($A25)),NA(),IFERROR(INDEX(BBG_Data!$T$2:$T$4000,MATCH($A25,BBG_Data!$S$2:$S$4000,0))*Settings!$B$25,NA()))</f>
        <v/>
      </c>
      <c r="AI25" s="19">
        <f>IF(NOT(ISNUMBER($A25)),NA(),IFERROR(INDEX(BBG_Data!$V$2:$V$4000,MATCH($A25,BBG_Data!$U$2:$U$4000,0))*Settings!$B$25,NA()))</f>
        <v/>
      </c>
      <c r="AJ25" s="19">
        <f>IF(NOT(ISNUMBER($A25)),NA(),IFERROR(1*INDEX(BBG_Data!$X$2:$X$4000,MATCH($A25,BBG_Data!$W$2:$W$4000,0)),NA()))</f>
        <v/>
      </c>
      <c r="AK25" s="19">
        <f>IF(NOT(ISNUMBER($A25)),NA(),IFERROR(1*INDEX(BBG_Data!$Z$2:$Z$4000,MATCH($A25,BBG_Data!$Y$2:$Y$4000,0)),NA()))</f>
        <v/>
      </c>
    </row>
    <row r="26">
      <c r="A26" s="17">
        <f>IF(ISNUMBER(BBG_Data!A26),BBG_Data!A26,"")</f>
        <v/>
      </c>
      <c r="B26" s="18">
        <f>IF(AND(ISNUMBER($A26),ISNUMBER(BBG_Data!B26)),BBG_Data!B26,NA())</f>
        <v/>
      </c>
      <c r="C26" s="18">
        <f>IF(NOT(ISNUMBER($A26)),NA(),IFERROR(1*INDEX(BBG_Data!$D$2:$D$4000,MATCH($A26,BBG_Data!$C$2:$C$4000,0)),NA()))</f>
        <v/>
      </c>
      <c r="D26" s="19">
        <f>IF(NOT(ISNUMBER($A26)),NA(),IFERROR(1*INDEX(BBG_Data!$F$2:$F$4000,MATCH($A26,BBG_Data!$E$2:$E$4000,0)),NA()))</f>
        <v/>
      </c>
      <c r="E26" s="19">
        <f>IF(NOT(ISNUMBER($A26)),NA(),IFERROR(1*INDEX(BBG_Data!$H$2:$H$4000,MATCH($A26,BBG_Data!$G$2:$G$4000,0)),NA()))</f>
        <v/>
      </c>
      <c r="F26" s="20">
        <f>IF(AND(ISNUMBER(B26),ISNUMBER(B25)),IF(B26=B25,"",(B26-B25)*100),"")</f>
        <v/>
      </c>
      <c r="G26" s="20">
        <f>IF(AND(ISNUMBER(C26),ISNUMBER(C25)),IF(C26=C25,"",(C26-C25)*100),"")</f>
        <v/>
      </c>
      <c r="H26" s="20">
        <f>IF(OR(NOT(ISNUMBER($A26)),ROW()-2&lt;Settings!$B$11),NA(),IF(COUNT(OFFSET(F26,1-Settings!$B$11,0,Settings!$B$11,1))&lt;ROUNDUP(Settings!$B$11*Settings!$B$26,0),NA(),STDEV(OFFSET(F26,1-Settings!$B$11,0,Settings!$B$11,1))*SQRT(Settings!$B$13)))</f>
        <v/>
      </c>
      <c r="I26" s="20">
        <f>IF(OR(NOT(ISNUMBER($A26)),ROW()-2&lt;Settings!$B$12),NA(),IF(COUNT(OFFSET(F26,1-Settings!$B$12,0,Settings!$B$12,1))&lt;ROUNDUP(Settings!$B$12*Settings!$B$26,0),NA(),STDEV(OFFSET(F26,1-Settings!$B$12,0,Settings!$B$12,1))*SQRT(Settings!$B$13)))</f>
        <v/>
      </c>
      <c r="J26" s="20">
        <f>IF(OR(NOT(ISNUMBER($A26)),ROW()-2&lt;Settings!$B$11),NA(),IF(COUNT(OFFSET(G26,1-Settings!$B$11,0,Settings!$B$11,1))&lt;ROUNDUP(Settings!$B$11*Settings!$B$26,0),NA(),STDEV(OFFSET(G26,1-Settings!$B$11,0,Settings!$B$11,1))*SQRT(Settings!$B$13)))</f>
        <v/>
      </c>
      <c r="K26" s="20">
        <f>IF(OR(NOT(ISNUMBER($A26)),ROW()-2&lt;Settings!$B$12),NA(),IF(COUNT(OFFSET(G26,1-Settings!$B$12,0,Settings!$B$12,1))&lt;ROUNDUP(Settings!$B$12*Settings!$B$26,0),NA(),STDEV(OFFSET(G26,1-Settings!$B$12,0,Settings!$B$12,1))*SQRT(Settings!$B$13)))</f>
        <v/>
      </c>
      <c r="L26" s="20">
        <f>IF(AND(ISNUMBER(D26),ISNUMBER(H26)),D26-H26,NA())</f>
        <v/>
      </c>
      <c r="M26" s="20">
        <f>IF(AND(ISNUMBER(E26),ISNUMBER(K26)),E26-K26,NA())</f>
        <v/>
      </c>
      <c r="N26" s="20">
        <f>IF(NOT(ISNUMBER($A26)),NA(),IF(COUNT(OFFSET(G26,1,0,Settings!$B$12,1))&lt;ROUNDUP(Settings!$B$12*Settings!$B$26,0),NA(),STDEV(OFFSET(G26,1,0,Settings!$B$12,1))*SQRT(Settings!$B$13)))</f>
        <v/>
      </c>
      <c r="O26" s="20">
        <f>IF(AND(ISNUMBER(E26),ISNUMBER(N26)),E26-N26,NA())</f>
        <v/>
      </c>
      <c r="P26" s="19">
        <f>IF(NOT(ISNUMBER($A26)),NA(),IF(OR($A26&lt;MIN(KW_TP!$A$2:$A$2501),$A26&gt;MAX(KW_TP!$A$2:$A$2501)),NA(),INDEX(KW_TP!$C$2:$C$2501,MATCH($A26,KW_TP!$A$2:$A$2501,1))))</f>
        <v/>
      </c>
      <c r="Q26" s="18">
        <f>IF(NOT(ISNUMBER($A26)),NA(),IFERROR(1*INDEX(BBG_Data!$J$2:$J$4000,MATCH($A26,BBG_Data!$I$2:$I$4000,0)),NA()))</f>
        <v/>
      </c>
      <c r="R26" s="18">
        <f>IF(NOT(ISNUMBER($A26)),NA(),IFERROR(1*INDEX(BBG_Data!$L$2:$L$4000,MATCH($A26,BBG_Data!$K$2:$K$4000,0)),NA()))</f>
        <v/>
      </c>
      <c r="S26" s="20">
        <f>IF(AND(ISNUMBER(B26),ISNUMBER(Q26),ISNUMBER(R26)),(B26-Q26-R26)*100,NA())</f>
        <v/>
      </c>
      <c r="T26" s="20">
        <f>IF(AND(ISNUMBER(B26),Settings!$B$17&gt;0),IF(ISNUMBER(INDEX($B:$B,Settings!$B$17)),(B26-INDEX($B:$B,Settings!$B$17))*100,NA()),NA())</f>
        <v/>
      </c>
      <c r="U26" s="20">
        <f>IF(AND(ISNUMBER(Q26),Settings!$B$17&gt;0),IF(ISNUMBER(INDEX($Q:$Q,Settings!$B$17)),(Q26-INDEX($Q:$Q,Settings!$B$17))*100,NA()),NA())</f>
        <v/>
      </c>
      <c r="V26" s="20">
        <f>IF(AND(ISNUMBER(R26),Settings!$B$17&gt;0),IF(ISNUMBER(INDEX($R:$R,Settings!$B$17)),(R26-INDEX($R:$R,Settings!$B$17))*100,NA()),NA())</f>
        <v/>
      </c>
      <c r="W26" s="20">
        <f>IF(AND(ISNUMBER(P26),Settings!$B$17&gt;0),IF(ISNUMBER(INDEX($P:$P,Settings!$B$17)),P26-INDEX($P:$P,Settings!$B$17),NA()),NA())</f>
        <v/>
      </c>
      <c r="X26" s="19">
        <f>IF(NOT(ISNUMBER($A26)),NA(),IF(OR($A26&lt;MIN(DKW_10Y!$A$2:$A$2918),$A26&gt;MAX(DKW_10Y!$A$2:$A$2918),Settings!$B$16&lt;MIN(DKW_10Y!$A$2:$A$2918)),NA(),(INDEX(DKW_10Y!$B$2:$B$2918,MATCH($A26,DKW_10Y!$A$2:$A$2918,1))-INDEX(DKW_10Y!$B$2:$B$2918,MATCH(Settings!$B$16,DKW_10Y!$A$2:$A$2918,1)))*100))</f>
        <v/>
      </c>
      <c r="Y26" s="19">
        <f>IF(NOT(ISNUMBER($A26)),NA(),IF(OR($A26&lt;MIN(DKW_10Y!$A$2:$A$2918),$A26&gt;MAX(DKW_10Y!$A$2:$A$2918),Settings!$B$16&lt;MIN(DKW_10Y!$A$2:$A$2918)),NA(),(INDEX(DKW_10Y!$C$2:$C$2918,MATCH($A26,DKW_10Y!$A$2:$A$2918,1))-INDEX(DKW_10Y!$C$2:$C$2918,MATCH(Settings!$B$16,DKW_10Y!$A$2:$A$2918,1)))*100))</f>
        <v/>
      </c>
      <c r="Z26" s="19">
        <f>IF(NOT(ISNUMBER($A26)),NA(),IF(OR($A26&lt;MIN(DKW_10Y!$A$2:$A$2918),$A26&gt;MAX(DKW_10Y!$A$2:$A$2918),Settings!$B$16&lt;MIN(DKW_10Y!$A$2:$A$2918)),NA(),(INDEX(DKW_10Y!$D$2:$D$2918,MATCH($A26,DKW_10Y!$A$2:$A$2918,1))-INDEX(DKW_10Y!$D$2:$D$2918,MATCH(Settings!$B$16,DKW_10Y!$A$2:$A$2918,1)))*100))</f>
        <v/>
      </c>
      <c r="AA26" s="19">
        <f>IF(NOT(ISNUMBER($A26)),NA(),IF(OR($A26&lt;MIN(DKW_10Y!$A$2:$A$2918),$A26&gt;MAX(DKW_10Y!$A$2:$A$2918),Settings!$B$16&lt;MIN(DKW_10Y!$A$2:$A$2918)),NA(),(INDEX(DKW_10Y!$E$2:$E$2918,MATCH($A26,DKW_10Y!$A$2:$A$2918,1))-INDEX(DKW_10Y!$E$2:$E$2918,MATCH(Settings!$B$16,DKW_10Y!$A$2:$A$2918,1)))*100))</f>
        <v/>
      </c>
      <c r="AB26" s="19">
        <f>IF(NOT(ISNUMBER($A26)),NA(),IF(OR($A26&lt;MIN(DKW_10Y!$A$2:$A$2918),$A26&gt;MAX(DKW_10Y!$A$2:$A$2918),Settings!$B$16&lt;MIN(DKW_10Y!$A$2:$A$2918)),NA(),(INDEX(DKW_10Y!$H$2:$H$2918,MATCH($A26,DKW_10Y!$A$2:$A$2918,1))-INDEX(DKW_10Y!$H$2:$H$2918,MATCH(Settings!$B$16,DKW_10Y!$A$2:$A$2918,1)))*100))</f>
        <v/>
      </c>
      <c r="AC26" s="18">
        <f>IF(NOT(ISNUMBER($A26)),NA(),IFERROR(1*INDEX(BBG_Data!$N$2:$N$4000,MATCH($A26,BBG_Data!$M$2:$M$4000,0)),NA()))</f>
        <v/>
      </c>
      <c r="AD26" s="18">
        <f>IF(NOT(ISNUMBER($A26)),NA(),IFERROR(1*INDEX(BBG_Data!$P$2:$P$4000,MATCH($A26,BBG_Data!$O$2:$O$4000,0)),NA()))</f>
        <v/>
      </c>
      <c r="AE26" s="18">
        <f>IF(NOT(ISNUMBER($A26)),NA(),IFERROR(1*INDEX(BBG_Data!$R$2:$R$4000,MATCH($A26,BBG_Data!$Q$2:$Q$4000,0)),NA()))</f>
        <v/>
      </c>
      <c r="AF26" s="20">
        <f>IF(AND(ISNUMBER(B26),ISNUMBER(AC26)),(B26-AC26)*100,NA())</f>
        <v/>
      </c>
      <c r="AG26" s="20">
        <f>IF(AND(ISNUMBER(AE26),ISNUMBER(AD26)),(AE26-AD26)*100,NA())</f>
        <v/>
      </c>
      <c r="AH26" s="19">
        <f>IF(NOT(ISNUMBER($A26)),NA(),IFERROR(INDEX(BBG_Data!$T$2:$T$4000,MATCH($A26,BBG_Data!$S$2:$S$4000,0))*Settings!$B$25,NA()))</f>
        <v/>
      </c>
      <c r="AI26" s="19">
        <f>IF(NOT(ISNUMBER($A26)),NA(),IFERROR(INDEX(BBG_Data!$V$2:$V$4000,MATCH($A26,BBG_Data!$U$2:$U$4000,0))*Settings!$B$25,NA()))</f>
        <v/>
      </c>
      <c r="AJ26" s="19">
        <f>IF(NOT(ISNUMBER($A26)),NA(),IFERROR(1*INDEX(BBG_Data!$X$2:$X$4000,MATCH($A26,BBG_Data!$W$2:$W$4000,0)),NA()))</f>
        <v/>
      </c>
      <c r="AK26" s="19">
        <f>IF(NOT(ISNUMBER($A26)),NA(),IFERROR(1*INDEX(BBG_Data!$Z$2:$Z$4000,MATCH($A26,BBG_Data!$Y$2:$Y$4000,0)),NA()))</f>
        <v/>
      </c>
    </row>
    <row r="27">
      <c r="A27" s="17">
        <f>IF(ISNUMBER(BBG_Data!A27),BBG_Data!A27,"")</f>
        <v/>
      </c>
      <c r="B27" s="18">
        <f>IF(AND(ISNUMBER($A27),ISNUMBER(BBG_Data!B27)),BBG_Data!B27,NA())</f>
        <v/>
      </c>
      <c r="C27" s="18">
        <f>IF(NOT(ISNUMBER($A27)),NA(),IFERROR(1*INDEX(BBG_Data!$D$2:$D$4000,MATCH($A27,BBG_Data!$C$2:$C$4000,0)),NA()))</f>
        <v/>
      </c>
      <c r="D27" s="19">
        <f>IF(NOT(ISNUMBER($A27)),NA(),IFERROR(1*INDEX(BBG_Data!$F$2:$F$4000,MATCH($A27,BBG_Data!$E$2:$E$4000,0)),NA()))</f>
        <v/>
      </c>
      <c r="E27" s="19">
        <f>IF(NOT(ISNUMBER($A27)),NA(),IFERROR(1*INDEX(BBG_Data!$H$2:$H$4000,MATCH($A27,BBG_Data!$G$2:$G$4000,0)),NA()))</f>
        <v/>
      </c>
      <c r="F27" s="20">
        <f>IF(AND(ISNUMBER(B27),ISNUMBER(B26)),IF(B27=B26,"",(B27-B26)*100),"")</f>
        <v/>
      </c>
      <c r="G27" s="20">
        <f>IF(AND(ISNUMBER(C27),ISNUMBER(C26)),IF(C27=C26,"",(C27-C26)*100),"")</f>
        <v/>
      </c>
      <c r="H27" s="20">
        <f>IF(OR(NOT(ISNUMBER($A27)),ROW()-2&lt;Settings!$B$11),NA(),IF(COUNT(OFFSET(F27,1-Settings!$B$11,0,Settings!$B$11,1))&lt;ROUNDUP(Settings!$B$11*Settings!$B$26,0),NA(),STDEV(OFFSET(F27,1-Settings!$B$11,0,Settings!$B$11,1))*SQRT(Settings!$B$13)))</f>
        <v/>
      </c>
      <c r="I27" s="20">
        <f>IF(OR(NOT(ISNUMBER($A27)),ROW()-2&lt;Settings!$B$12),NA(),IF(COUNT(OFFSET(F27,1-Settings!$B$12,0,Settings!$B$12,1))&lt;ROUNDUP(Settings!$B$12*Settings!$B$26,0),NA(),STDEV(OFFSET(F27,1-Settings!$B$12,0,Settings!$B$12,1))*SQRT(Settings!$B$13)))</f>
        <v/>
      </c>
      <c r="J27" s="20">
        <f>IF(OR(NOT(ISNUMBER($A27)),ROW()-2&lt;Settings!$B$11),NA(),IF(COUNT(OFFSET(G27,1-Settings!$B$11,0,Settings!$B$11,1))&lt;ROUNDUP(Settings!$B$11*Settings!$B$26,0),NA(),STDEV(OFFSET(G27,1-Settings!$B$11,0,Settings!$B$11,1))*SQRT(Settings!$B$13)))</f>
        <v/>
      </c>
      <c r="K27" s="20">
        <f>IF(OR(NOT(ISNUMBER($A27)),ROW()-2&lt;Settings!$B$12),NA(),IF(COUNT(OFFSET(G27,1-Settings!$B$12,0,Settings!$B$12,1))&lt;ROUNDUP(Settings!$B$12*Settings!$B$26,0),NA(),STDEV(OFFSET(G27,1-Settings!$B$12,0,Settings!$B$12,1))*SQRT(Settings!$B$13)))</f>
        <v/>
      </c>
      <c r="L27" s="20">
        <f>IF(AND(ISNUMBER(D27),ISNUMBER(H27)),D27-H27,NA())</f>
        <v/>
      </c>
      <c r="M27" s="20">
        <f>IF(AND(ISNUMBER(E27),ISNUMBER(K27)),E27-K27,NA())</f>
        <v/>
      </c>
      <c r="N27" s="20">
        <f>IF(NOT(ISNUMBER($A27)),NA(),IF(COUNT(OFFSET(G27,1,0,Settings!$B$12,1))&lt;ROUNDUP(Settings!$B$12*Settings!$B$26,0),NA(),STDEV(OFFSET(G27,1,0,Settings!$B$12,1))*SQRT(Settings!$B$13)))</f>
        <v/>
      </c>
      <c r="O27" s="20">
        <f>IF(AND(ISNUMBER(E27),ISNUMBER(N27)),E27-N27,NA())</f>
        <v/>
      </c>
      <c r="P27" s="19">
        <f>IF(NOT(ISNUMBER($A27)),NA(),IF(OR($A27&lt;MIN(KW_TP!$A$2:$A$2501),$A27&gt;MAX(KW_TP!$A$2:$A$2501)),NA(),INDEX(KW_TP!$C$2:$C$2501,MATCH($A27,KW_TP!$A$2:$A$2501,1))))</f>
        <v/>
      </c>
      <c r="Q27" s="18">
        <f>IF(NOT(ISNUMBER($A27)),NA(),IFERROR(1*INDEX(BBG_Data!$J$2:$J$4000,MATCH($A27,BBG_Data!$I$2:$I$4000,0)),NA()))</f>
        <v/>
      </c>
      <c r="R27" s="18">
        <f>IF(NOT(ISNUMBER($A27)),NA(),IFERROR(1*INDEX(BBG_Data!$L$2:$L$4000,MATCH($A27,BBG_Data!$K$2:$K$4000,0)),NA()))</f>
        <v/>
      </c>
      <c r="S27" s="20">
        <f>IF(AND(ISNUMBER(B27),ISNUMBER(Q27),ISNUMBER(R27)),(B27-Q27-R27)*100,NA())</f>
        <v/>
      </c>
      <c r="T27" s="20">
        <f>IF(AND(ISNUMBER(B27),Settings!$B$17&gt;0),IF(ISNUMBER(INDEX($B:$B,Settings!$B$17)),(B27-INDEX($B:$B,Settings!$B$17))*100,NA()),NA())</f>
        <v/>
      </c>
      <c r="U27" s="20">
        <f>IF(AND(ISNUMBER(Q27),Settings!$B$17&gt;0),IF(ISNUMBER(INDEX($Q:$Q,Settings!$B$17)),(Q27-INDEX($Q:$Q,Settings!$B$17))*100,NA()),NA())</f>
        <v/>
      </c>
      <c r="V27" s="20">
        <f>IF(AND(ISNUMBER(R27),Settings!$B$17&gt;0),IF(ISNUMBER(INDEX($R:$R,Settings!$B$17)),(R27-INDEX($R:$R,Settings!$B$17))*100,NA()),NA())</f>
        <v/>
      </c>
      <c r="W27" s="20">
        <f>IF(AND(ISNUMBER(P27),Settings!$B$17&gt;0),IF(ISNUMBER(INDEX($P:$P,Settings!$B$17)),P27-INDEX($P:$P,Settings!$B$17),NA()),NA())</f>
        <v/>
      </c>
      <c r="X27" s="19">
        <f>IF(NOT(ISNUMBER($A27)),NA(),IF(OR($A27&lt;MIN(DKW_10Y!$A$2:$A$2918),$A27&gt;MAX(DKW_10Y!$A$2:$A$2918),Settings!$B$16&lt;MIN(DKW_10Y!$A$2:$A$2918)),NA(),(INDEX(DKW_10Y!$B$2:$B$2918,MATCH($A27,DKW_10Y!$A$2:$A$2918,1))-INDEX(DKW_10Y!$B$2:$B$2918,MATCH(Settings!$B$16,DKW_10Y!$A$2:$A$2918,1)))*100))</f>
        <v/>
      </c>
      <c r="Y27" s="19">
        <f>IF(NOT(ISNUMBER($A27)),NA(),IF(OR($A27&lt;MIN(DKW_10Y!$A$2:$A$2918),$A27&gt;MAX(DKW_10Y!$A$2:$A$2918),Settings!$B$16&lt;MIN(DKW_10Y!$A$2:$A$2918)),NA(),(INDEX(DKW_10Y!$C$2:$C$2918,MATCH($A27,DKW_10Y!$A$2:$A$2918,1))-INDEX(DKW_10Y!$C$2:$C$2918,MATCH(Settings!$B$16,DKW_10Y!$A$2:$A$2918,1)))*100))</f>
        <v/>
      </c>
      <c r="Z27" s="19">
        <f>IF(NOT(ISNUMBER($A27)),NA(),IF(OR($A27&lt;MIN(DKW_10Y!$A$2:$A$2918),$A27&gt;MAX(DKW_10Y!$A$2:$A$2918),Settings!$B$16&lt;MIN(DKW_10Y!$A$2:$A$2918)),NA(),(INDEX(DKW_10Y!$D$2:$D$2918,MATCH($A27,DKW_10Y!$A$2:$A$2918,1))-INDEX(DKW_10Y!$D$2:$D$2918,MATCH(Settings!$B$16,DKW_10Y!$A$2:$A$2918,1)))*100))</f>
        <v/>
      </c>
      <c r="AA27" s="19">
        <f>IF(NOT(ISNUMBER($A27)),NA(),IF(OR($A27&lt;MIN(DKW_10Y!$A$2:$A$2918),$A27&gt;MAX(DKW_10Y!$A$2:$A$2918),Settings!$B$16&lt;MIN(DKW_10Y!$A$2:$A$2918)),NA(),(INDEX(DKW_10Y!$E$2:$E$2918,MATCH($A27,DKW_10Y!$A$2:$A$2918,1))-INDEX(DKW_10Y!$E$2:$E$2918,MATCH(Settings!$B$16,DKW_10Y!$A$2:$A$2918,1)))*100))</f>
        <v/>
      </c>
      <c r="AB27" s="19">
        <f>IF(NOT(ISNUMBER($A27)),NA(),IF(OR($A27&lt;MIN(DKW_10Y!$A$2:$A$2918),$A27&gt;MAX(DKW_10Y!$A$2:$A$2918),Settings!$B$16&lt;MIN(DKW_10Y!$A$2:$A$2918)),NA(),(INDEX(DKW_10Y!$H$2:$H$2918,MATCH($A27,DKW_10Y!$A$2:$A$2918,1))-INDEX(DKW_10Y!$H$2:$H$2918,MATCH(Settings!$B$16,DKW_10Y!$A$2:$A$2918,1)))*100))</f>
        <v/>
      </c>
      <c r="AC27" s="18">
        <f>IF(NOT(ISNUMBER($A27)),NA(),IFERROR(1*INDEX(BBG_Data!$N$2:$N$4000,MATCH($A27,BBG_Data!$M$2:$M$4000,0)),NA()))</f>
        <v/>
      </c>
      <c r="AD27" s="18">
        <f>IF(NOT(ISNUMBER($A27)),NA(),IFERROR(1*INDEX(BBG_Data!$P$2:$P$4000,MATCH($A27,BBG_Data!$O$2:$O$4000,0)),NA()))</f>
        <v/>
      </c>
      <c r="AE27" s="18">
        <f>IF(NOT(ISNUMBER($A27)),NA(),IFERROR(1*INDEX(BBG_Data!$R$2:$R$4000,MATCH($A27,BBG_Data!$Q$2:$Q$4000,0)),NA()))</f>
        <v/>
      </c>
      <c r="AF27" s="20">
        <f>IF(AND(ISNUMBER(B27),ISNUMBER(AC27)),(B27-AC27)*100,NA())</f>
        <v/>
      </c>
      <c r="AG27" s="20">
        <f>IF(AND(ISNUMBER(AE27),ISNUMBER(AD27)),(AE27-AD27)*100,NA())</f>
        <v/>
      </c>
      <c r="AH27" s="19">
        <f>IF(NOT(ISNUMBER($A27)),NA(),IFERROR(INDEX(BBG_Data!$T$2:$T$4000,MATCH($A27,BBG_Data!$S$2:$S$4000,0))*Settings!$B$25,NA()))</f>
        <v/>
      </c>
      <c r="AI27" s="19">
        <f>IF(NOT(ISNUMBER($A27)),NA(),IFERROR(INDEX(BBG_Data!$V$2:$V$4000,MATCH($A27,BBG_Data!$U$2:$U$4000,0))*Settings!$B$25,NA()))</f>
        <v/>
      </c>
      <c r="AJ27" s="19">
        <f>IF(NOT(ISNUMBER($A27)),NA(),IFERROR(1*INDEX(BBG_Data!$X$2:$X$4000,MATCH($A27,BBG_Data!$W$2:$W$4000,0)),NA()))</f>
        <v/>
      </c>
      <c r="AK27" s="19">
        <f>IF(NOT(ISNUMBER($A27)),NA(),IFERROR(1*INDEX(BBG_Data!$Z$2:$Z$4000,MATCH($A27,BBG_Data!$Y$2:$Y$4000,0)),NA()))</f>
        <v/>
      </c>
    </row>
    <row r="28">
      <c r="A28" s="17">
        <f>IF(ISNUMBER(BBG_Data!A28),BBG_Data!A28,"")</f>
        <v/>
      </c>
      <c r="B28" s="18">
        <f>IF(AND(ISNUMBER($A28),ISNUMBER(BBG_Data!B28)),BBG_Data!B28,NA())</f>
        <v/>
      </c>
      <c r="C28" s="18">
        <f>IF(NOT(ISNUMBER($A28)),NA(),IFERROR(1*INDEX(BBG_Data!$D$2:$D$4000,MATCH($A28,BBG_Data!$C$2:$C$4000,0)),NA()))</f>
        <v/>
      </c>
      <c r="D28" s="19">
        <f>IF(NOT(ISNUMBER($A28)),NA(),IFERROR(1*INDEX(BBG_Data!$F$2:$F$4000,MATCH($A28,BBG_Data!$E$2:$E$4000,0)),NA()))</f>
        <v/>
      </c>
      <c r="E28" s="19">
        <f>IF(NOT(ISNUMBER($A28)),NA(),IFERROR(1*INDEX(BBG_Data!$H$2:$H$4000,MATCH($A28,BBG_Data!$G$2:$G$4000,0)),NA()))</f>
        <v/>
      </c>
      <c r="F28" s="20">
        <f>IF(AND(ISNUMBER(B28),ISNUMBER(B27)),IF(B28=B27,"",(B28-B27)*100),"")</f>
        <v/>
      </c>
      <c r="G28" s="20">
        <f>IF(AND(ISNUMBER(C28),ISNUMBER(C27)),IF(C28=C27,"",(C28-C27)*100),"")</f>
        <v/>
      </c>
      <c r="H28" s="20">
        <f>IF(OR(NOT(ISNUMBER($A28)),ROW()-2&lt;Settings!$B$11),NA(),IF(COUNT(OFFSET(F28,1-Settings!$B$11,0,Settings!$B$11,1))&lt;ROUNDUP(Settings!$B$11*Settings!$B$26,0),NA(),STDEV(OFFSET(F28,1-Settings!$B$11,0,Settings!$B$11,1))*SQRT(Settings!$B$13)))</f>
        <v/>
      </c>
      <c r="I28" s="20">
        <f>IF(OR(NOT(ISNUMBER($A28)),ROW()-2&lt;Settings!$B$12),NA(),IF(COUNT(OFFSET(F28,1-Settings!$B$12,0,Settings!$B$12,1))&lt;ROUNDUP(Settings!$B$12*Settings!$B$26,0),NA(),STDEV(OFFSET(F28,1-Settings!$B$12,0,Settings!$B$12,1))*SQRT(Settings!$B$13)))</f>
        <v/>
      </c>
      <c r="J28" s="20">
        <f>IF(OR(NOT(ISNUMBER($A28)),ROW()-2&lt;Settings!$B$11),NA(),IF(COUNT(OFFSET(G28,1-Settings!$B$11,0,Settings!$B$11,1))&lt;ROUNDUP(Settings!$B$11*Settings!$B$26,0),NA(),STDEV(OFFSET(G28,1-Settings!$B$11,0,Settings!$B$11,1))*SQRT(Settings!$B$13)))</f>
        <v/>
      </c>
      <c r="K28" s="20">
        <f>IF(OR(NOT(ISNUMBER($A28)),ROW()-2&lt;Settings!$B$12),NA(),IF(COUNT(OFFSET(G28,1-Settings!$B$12,0,Settings!$B$12,1))&lt;ROUNDUP(Settings!$B$12*Settings!$B$26,0),NA(),STDEV(OFFSET(G28,1-Settings!$B$12,0,Settings!$B$12,1))*SQRT(Settings!$B$13)))</f>
        <v/>
      </c>
      <c r="L28" s="20">
        <f>IF(AND(ISNUMBER(D28),ISNUMBER(H28)),D28-H28,NA())</f>
        <v/>
      </c>
      <c r="M28" s="20">
        <f>IF(AND(ISNUMBER(E28),ISNUMBER(K28)),E28-K28,NA())</f>
        <v/>
      </c>
      <c r="N28" s="20">
        <f>IF(NOT(ISNUMBER($A28)),NA(),IF(COUNT(OFFSET(G28,1,0,Settings!$B$12,1))&lt;ROUNDUP(Settings!$B$12*Settings!$B$26,0),NA(),STDEV(OFFSET(G28,1,0,Settings!$B$12,1))*SQRT(Settings!$B$13)))</f>
        <v/>
      </c>
      <c r="O28" s="20">
        <f>IF(AND(ISNUMBER(E28),ISNUMBER(N28)),E28-N28,NA())</f>
        <v/>
      </c>
      <c r="P28" s="19">
        <f>IF(NOT(ISNUMBER($A28)),NA(),IF(OR($A28&lt;MIN(KW_TP!$A$2:$A$2501),$A28&gt;MAX(KW_TP!$A$2:$A$2501)),NA(),INDEX(KW_TP!$C$2:$C$2501,MATCH($A28,KW_TP!$A$2:$A$2501,1))))</f>
        <v/>
      </c>
      <c r="Q28" s="18">
        <f>IF(NOT(ISNUMBER($A28)),NA(),IFERROR(1*INDEX(BBG_Data!$J$2:$J$4000,MATCH($A28,BBG_Data!$I$2:$I$4000,0)),NA()))</f>
        <v/>
      </c>
      <c r="R28" s="18">
        <f>IF(NOT(ISNUMBER($A28)),NA(),IFERROR(1*INDEX(BBG_Data!$L$2:$L$4000,MATCH($A28,BBG_Data!$K$2:$K$4000,0)),NA()))</f>
        <v/>
      </c>
      <c r="S28" s="20">
        <f>IF(AND(ISNUMBER(B28),ISNUMBER(Q28),ISNUMBER(R28)),(B28-Q28-R28)*100,NA())</f>
        <v/>
      </c>
      <c r="T28" s="20">
        <f>IF(AND(ISNUMBER(B28),Settings!$B$17&gt;0),IF(ISNUMBER(INDEX($B:$B,Settings!$B$17)),(B28-INDEX($B:$B,Settings!$B$17))*100,NA()),NA())</f>
        <v/>
      </c>
      <c r="U28" s="20">
        <f>IF(AND(ISNUMBER(Q28),Settings!$B$17&gt;0),IF(ISNUMBER(INDEX($Q:$Q,Settings!$B$17)),(Q28-INDEX($Q:$Q,Settings!$B$17))*100,NA()),NA())</f>
        <v/>
      </c>
      <c r="V28" s="20">
        <f>IF(AND(ISNUMBER(R28),Settings!$B$17&gt;0),IF(ISNUMBER(INDEX($R:$R,Settings!$B$17)),(R28-INDEX($R:$R,Settings!$B$17))*100,NA()),NA())</f>
        <v/>
      </c>
      <c r="W28" s="20">
        <f>IF(AND(ISNUMBER(P28),Settings!$B$17&gt;0),IF(ISNUMBER(INDEX($P:$P,Settings!$B$17)),P28-INDEX($P:$P,Settings!$B$17),NA()),NA())</f>
        <v/>
      </c>
      <c r="X28" s="19">
        <f>IF(NOT(ISNUMBER($A28)),NA(),IF(OR($A28&lt;MIN(DKW_10Y!$A$2:$A$2918),$A28&gt;MAX(DKW_10Y!$A$2:$A$2918),Settings!$B$16&lt;MIN(DKW_10Y!$A$2:$A$2918)),NA(),(INDEX(DKW_10Y!$B$2:$B$2918,MATCH($A28,DKW_10Y!$A$2:$A$2918,1))-INDEX(DKW_10Y!$B$2:$B$2918,MATCH(Settings!$B$16,DKW_10Y!$A$2:$A$2918,1)))*100))</f>
        <v/>
      </c>
      <c r="Y28" s="19">
        <f>IF(NOT(ISNUMBER($A28)),NA(),IF(OR($A28&lt;MIN(DKW_10Y!$A$2:$A$2918),$A28&gt;MAX(DKW_10Y!$A$2:$A$2918),Settings!$B$16&lt;MIN(DKW_10Y!$A$2:$A$2918)),NA(),(INDEX(DKW_10Y!$C$2:$C$2918,MATCH($A28,DKW_10Y!$A$2:$A$2918,1))-INDEX(DKW_10Y!$C$2:$C$2918,MATCH(Settings!$B$16,DKW_10Y!$A$2:$A$2918,1)))*100))</f>
        <v/>
      </c>
      <c r="Z28" s="19">
        <f>IF(NOT(ISNUMBER($A28)),NA(),IF(OR($A28&lt;MIN(DKW_10Y!$A$2:$A$2918),$A28&gt;MAX(DKW_10Y!$A$2:$A$2918),Settings!$B$16&lt;MIN(DKW_10Y!$A$2:$A$2918)),NA(),(INDEX(DKW_10Y!$D$2:$D$2918,MATCH($A28,DKW_10Y!$A$2:$A$2918,1))-INDEX(DKW_10Y!$D$2:$D$2918,MATCH(Settings!$B$16,DKW_10Y!$A$2:$A$2918,1)))*100))</f>
        <v/>
      </c>
      <c r="AA28" s="19">
        <f>IF(NOT(ISNUMBER($A28)),NA(),IF(OR($A28&lt;MIN(DKW_10Y!$A$2:$A$2918),$A28&gt;MAX(DKW_10Y!$A$2:$A$2918),Settings!$B$16&lt;MIN(DKW_10Y!$A$2:$A$2918)),NA(),(INDEX(DKW_10Y!$E$2:$E$2918,MATCH($A28,DKW_10Y!$A$2:$A$2918,1))-INDEX(DKW_10Y!$E$2:$E$2918,MATCH(Settings!$B$16,DKW_10Y!$A$2:$A$2918,1)))*100))</f>
        <v/>
      </c>
      <c r="AB28" s="19">
        <f>IF(NOT(ISNUMBER($A28)),NA(),IF(OR($A28&lt;MIN(DKW_10Y!$A$2:$A$2918),$A28&gt;MAX(DKW_10Y!$A$2:$A$2918),Settings!$B$16&lt;MIN(DKW_10Y!$A$2:$A$2918)),NA(),(INDEX(DKW_10Y!$H$2:$H$2918,MATCH($A28,DKW_10Y!$A$2:$A$2918,1))-INDEX(DKW_10Y!$H$2:$H$2918,MATCH(Settings!$B$16,DKW_10Y!$A$2:$A$2918,1)))*100))</f>
        <v/>
      </c>
      <c r="AC28" s="18">
        <f>IF(NOT(ISNUMBER($A28)),NA(),IFERROR(1*INDEX(BBG_Data!$N$2:$N$4000,MATCH($A28,BBG_Data!$M$2:$M$4000,0)),NA()))</f>
        <v/>
      </c>
      <c r="AD28" s="18">
        <f>IF(NOT(ISNUMBER($A28)),NA(),IFERROR(1*INDEX(BBG_Data!$P$2:$P$4000,MATCH($A28,BBG_Data!$O$2:$O$4000,0)),NA()))</f>
        <v/>
      </c>
      <c r="AE28" s="18">
        <f>IF(NOT(ISNUMBER($A28)),NA(),IFERROR(1*INDEX(BBG_Data!$R$2:$R$4000,MATCH($A28,BBG_Data!$Q$2:$Q$4000,0)),NA()))</f>
        <v/>
      </c>
      <c r="AF28" s="20">
        <f>IF(AND(ISNUMBER(B28),ISNUMBER(AC28)),(B28-AC28)*100,NA())</f>
        <v/>
      </c>
      <c r="AG28" s="20">
        <f>IF(AND(ISNUMBER(AE28),ISNUMBER(AD28)),(AE28-AD28)*100,NA())</f>
        <v/>
      </c>
      <c r="AH28" s="19">
        <f>IF(NOT(ISNUMBER($A28)),NA(),IFERROR(INDEX(BBG_Data!$T$2:$T$4000,MATCH($A28,BBG_Data!$S$2:$S$4000,0))*Settings!$B$25,NA()))</f>
        <v/>
      </c>
      <c r="AI28" s="19">
        <f>IF(NOT(ISNUMBER($A28)),NA(),IFERROR(INDEX(BBG_Data!$V$2:$V$4000,MATCH($A28,BBG_Data!$U$2:$U$4000,0))*Settings!$B$25,NA()))</f>
        <v/>
      </c>
      <c r="AJ28" s="19">
        <f>IF(NOT(ISNUMBER($A28)),NA(),IFERROR(1*INDEX(BBG_Data!$X$2:$X$4000,MATCH($A28,BBG_Data!$W$2:$W$4000,0)),NA()))</f>
        <v/>
      </c>
      <c r="AK28" s="19">
        <f>IF(NOT(ISNUMBER($A28)),NA(),IFERROR(1*INDEX(BBG_Data!$Z$2:$Z$4000,MATCH($A28,BBG_Data!$Y$2:$Y$4000,0)),NA()))</f>
        <v/>
      </c>
    </row>
    <row r="29">
      <c r="A29" s="17">
        <f>IF(ISNUMBER(BBG_Data!A29),BBG_Data!A29,"")</f>
        <v/>
      </c>
      <c r="B29" s="18">
        <f>IF(AND(ISNUMBER($A29),ISNUMBER(BBG_Data!B29)),BBG_Data!B29,NA())</f>
        <v/>
      </c>
      <c r="C29" s="18">
        <f>IF(NOT(ISNUMBER($A29)),NA(),IFERROR(1*INDEX(BBG_Data!$D$2:$D$4000,MATCH($A29,BBG_Data!$C$2:$C$4000,0)),NA()))</f>
        <v/>
      </c>
      <c r="D29" s="19">
        <f>IF(NOT(ISNUMBER($A29)),NA(),IFERROR(1*INDEX(BBG_Data!$F$2:$F$4000,MATCH($A29,BBG_Data!$E$2:$E$4000,0)),NA()))</f>
        <v/>
      </c>
      <c r="E29" s="19">
        <f>IF(NOT(ISNUMBER($A29)),NA(),IFERROR(1*INDEX(BBG_Data!$H$2:$H$4000,MATCH($A29,BBG_Data!$G$2:$G$4000,0)),NA()))</f>
        <v/>
      </c>
      <c r="F29" s="20">
        <f>IF(AND(ISNUMBER(B29),ISNUMBER(B28)),IF(B29=B28,"",(B29-B28)*100),"")</f>
        <v/>
      </c>
      <c r="G29" s="20">
        <f>IF(AND(ISNUMBER(C29),ISNUMBER(C28)),IF(C29=C28,"",(C29-C28)*100),"")</f>
        <v/>
      </c>
      <c r="H29" s="20">
        <f>IF(OR(NOT(ISNUMBER($A29)),ROW()-2&lt;Settings!$B$11),NA(),IF(COUNT(OFFSET(F29,1-Settings!$B$11,0,Settings!$B$11,1))&lt;ROUNDUP(Settings!$B$11*Settings!$B$26,0),NA(),STDEV(OFFSET(F29,1-Settings!$B$11,0,Settings!$B$11,1))*SQRT(Settings!$B$13)))</f>
        <v/>
      </c>
      <c r="I29" s="20">
        <f>IF(OR(NOT(ISNUMBER($A29)),ROW()-2&lt;Settings!$B$12),NA(),IF(COUNT(OFFSET(F29,1-Settings!$B$12,0,Settings!$B$12,1))&lt;ROUNDUP(Settings!$B$12*Settings!$B$26,0),NA(),STDEV(OFFSET(F29,1-Settings!$B$12,0,Settings!$B$12,1))*SQRT(Settings!$B$13)))</f>
        <v/>
      </c>
      <c r="J29" s="20">
        <f>IF(OR(NOT(ISNUMBER($A29)),ROW()-2&lt;Settings!$B$11),NA(),IF(COUNT(OFFSET(G29,1-Settings!$B$11,0,Settings!$B$11,1))&lt;ROUNDUP(Settings!$B$11*Settings!$B$26,0),NA(),STDEV(OFFSET(G29,1-Settings!$B$11,0,Settings!$B$11,1))*SQRT(Settings!$B$13)))</f>
        <v/>
      </c>
      <c r="K29" s="20">
        <f>IF(OR(NOT(ISNUMBER($A29)),ROW()-2&lt;Settings!$B$12),NA(),IF(COUNT(OFFSET(G29,1-Settings!$B$12,0,Settings!$B$12,1))&lt;ROUNDUP(Settings!$B$12*Settings!$B$26,0),NA(),STDEV(OFFSET(G29,1-Settings!$B$12,0,Settings!$B$12,1))*SQRT(Settings!$B$13)))</f>
        <v/>
      </c>
      <c r="L29" s="20">
        <f>IF(AND(ISNUMBER(D29),ISNUMBER(H29)),D29-H29,NA())</f>
        <v/>
      </c>
      <c r="M29" s="20">
        <f>IF(AND(ISNUMBER(E29),ISNUMBER(K29)),E29-K29,NA())</f>
        <v/>
      </c>
      <c r="N29" s="20">
        <f>IF(NOT(ISNUMBER($A29)),NA(),IF(COUNT(OFFSET(G29,1,0,Settings!$B$12,1))&lt;ROUNDUP(Settings!$B$12*Settings!$B$26,0),NA(),STDEV(OFFSET(G29,1,0,Settings!$B$12,1))*SQRT(Settings!$B$13)))</f>
        <v/>
      </c>
      <c r="O29" s="20">
        <f>IF(AND(ISNUMBER(E29),ISNUMBER(N29)),E29-N29,NA())</f>
        <v/>
      </c>
      <c r="P29" s="19">
        <f>IF(NOT(ISNUMBER($A29)),NA(),IF(OR($A29&lt;MIN(KW_TP!$A$2:$A$2501),$A29&gt;MAX(KW_TP!$A$2:$A$2501)),NA(),INDEX(KW_TP!$C$2:$C$2501,MATCH($A29,KW_TP!$A$2:$A$2501,1))))</f>
        <v/>
      </c>
      <c r="Q29" s="18">
        <f>IF(NOT(ISNUMBER($A29)),NA(),IFERROR(1*INDEX(BBG_Data!$J$2:$J$4000,MATCH($A29,BBG_Data!$I$2:$I$4000,0)),NA()))</f>
        <v/>
      </c>
      <c r="R29" s="18">
        <f>IF(NOT(ISNUMBER($A29)),NA(),IFERROR(1*INDEX(BBG_Data!$L$2:$L$4000,MATCH($A29,BBG_Data!$K$2:$K$4000,0)),NA()))</f>
        <v/>
      </c>
      <c r="S29" s="20">
        <f>IF(AND(ISNUMBER(B29),ISNUMBER(Q29),ISNUMBER(R29)),(B29-Q29-R29)*100,NA())</f>
        <v/>
      </c>
      <c r="T29" s="20">
        <f>IF(AND(ISNUMBER(B29),Settings!$B$17&gt;0),IF(ISNUMBER(INDEX($B:$B,Settings!$B$17)),(B29-INDEX($B:$B,Settings!$B$17))*100,NA()),NA())</f>
        <v/>
      </c>
      <c r="U29" s="20">
        <f>IF(AND(ISNUMBER(Q29),Settings!$B$17&gt;0),IF(ISNUMBER(INDEX($Q:$Q,Settings!$B$17)),(Q29-INDEX($Q:$Q,Settings!$B$17))*100,NA()),NA())</f>
        <v/>
      </c>
      <c r="V29" s="20">
        <f>IF(AND(ISNUMBER(R29),Settings!$B$17&gt;0),IF(ISNUMBER(INDEX($R:$R,Settings!$B$17)),(R29-INDEX($R:$R,Settings!$B$17))*100,NA()),NA())</f>
        <v/>
      </c>
      <c r="W29" s="20">
        <f>IF(AND(ISNUMBER(P29),Settings!$B$17&gt;0),IF(ISNUMBER(INDEX($P:$P,Settings!$B$17)),P29-INDEX($P:$P,Settings!$B$17),NA()),NA())</f>
        <v/>
      </c>
      <c r="X29" s="19">
        <f>IF(NOT(ISNUMBER($A29)),NA(),IF(OR($A29&lt;MIN(DKW_10Y!$A$2:$A$2918),$A29&gt;MAX(DKW_10Y!$A$2:$A$2918),Settings!$B$16&lt;MIN(DKW_10Y!$A$2:$A$2918)),NA(),(INDEX(DKW_10Y!$B$2:$B$2918,MATCH($A29,DKW_10Y!$A$2:$A$2918,1))-INDEX(DKW_10Y!$B$2:$B$2918,MATCH(Settings!$B$16,DKW_10Y!$A$2:$A$2918,1)))*100))</f>
        <v/>
      </c>
      <c r="Y29" s="19">
        <f>IF(NOT(ISNUMBER($A29)),NA(),IF(OR($A29&lt;MIN(DKW_10Y!$A$2:$A$2918),$A29&gt;MAX(DKW_10Y!$A$2:$A$2918),Settings!$B$16&lt;MIN(DKW_10Y!$A$2:$A$2918)),NA(),(INDEX(DKW_10Y!$C$2:$C$2918,MATCH($A29,DKW_10Y!$A$2:$A$2918,1))-INDEX(DKW_10Y!$C$2:$C$2918,MATCH(Settings!$B$16,DKW_10Y!$A$2:$A$2918,1)))*100))</f>
        <v/>
      </c>
      <c r="Z29" s="19">
        <f>IF(NOT(ISNUMBER($A29)),NA(),IF(OR($A29&lt;MIN(DKW_10Y!$A$2:$A$2918),$A29&gt;MAX(DKW_10Y!$A$2:$A$2918),Settings!$B$16&lt;MIN(DKW_10Y!$A$2:$A$2918)),NA(),(INDEX(DKW_10Y!$D$2:$D$2918,MATCH($A29,DKW_10Y!$A$2:$A$2918,1))-INDEX(DKW_10Y!$D$2:$D$2918,MATCH(Settings!$B$16,DKW_10Y!$A$2:$A$2918,1)))*100))</f>
        <v/>
      </c>
      <c r="AA29" s="19">
        <f>IF(NOT(ISNUMBER($A29)),NA(),IF(OR($A29&lt;MIN(DKW_10Y!$A$2:$A$2918),$A29&gt;MAX(DKW_10Y!$A$2:$A$2918),Settings!$B$16&lt;MIN(DKW_10Y!$A$2:$A$2918)),NA(),(INDEX(DKW_10Y!$E$2:$E$2918,MATCH($A29,DKW_10Y!$A$2:$A$2918,1))-INDEX(DKW_10Y!$E$2:$E$2918,MATCH(Settings!$B$16,DKW_10Y!$A$2:$A$2918,1)))*100))</f>
        <v/>
      </c>
      <c r="AB29" s="19">
        <f>IF(NOT(ISNUMBER($A29)),NA(),IF(OR($A29&lt;MIN(DKW_10Y!$A$2:$A$2918),$A29&gt;MAX(DKW_10Y!$A$2:$A$2918),Settings!$B$16&lt;MIN(DKW_10Y!$A$2:$A$2918)),NA(),(INDEX(DKW_10Y!$H$2:$H$2918,MATCH($A29,DKW_10Y!$A$2:$A$2918,1))-INDEX(DKW_10Y!$H$2:$H$2918,MATCH(Settings!$B$16,DKW_10Y!$A$2:$A$2918,1)))*100))</f>
        <v/>
      </c>
      <c r="AC29" s="18">
        <f>IF(NOT(ISNUMBER($A29)),NA(),IFERROR(1*INDEX(BBG_Data!$N$2:$N$4000,MATCH($A29,BBG_Data!$M$2:$M$4000,0)),NA()))</f>
        <v/>
      </c>
      <c r="AD29" s="18">
        <f>IF(NOT(ISNUMBER($A29)),NA(),IFERROR(1*INDEX(BBG_Data!$P$2:$P$4000,MATCH($A29,BBG_Data!$O$2:$O$4000,0)),NA()))</f>
        <v/>
      </c>
      <c r="AE29" s="18">
        <f>IF(NOT(ISNUMBER($A29)),NA(),IFERROR(1*INDEX(BBG_Data!$R$2:$R$4000,MATCH($A29,BBG_Data!$Q$2:$Q$4000,0)),NA()))</f>
        <v/>
      </c>
      <c r="AF29" s="20">
        <f>IF(AND(ISNUMBER(B29),ISNUMBER(AC29)),(B29-AC29)*100,NA())</f>
        <v/>
      </c>
      <c r="AG29" s="20">
        <f>IF(AND(ISNUMBER(AE29),ISNUMBER(AD29)),(AE29-AD29)*100,NA())</f>
        <v/>
      </c>
      <c r="AH29" s="19">
        <f>IF(NOT(ISNUMBER($A29)),NA(),IFERROR(INDEX(BBG_Data!$T$2:$T$4000,MATCH($A29,BBG_Data!$S$2:$S$4000,0))*Settings!$B$25,NA()))</f>
        <v/>
      </c>
      <c r="AI29" s="19">
        <f>IF(NOT(ISNUMBER($A29)),NA(),IFERROR(INDEX(BBG_Data!$V$2:$V$4000,MATCH($A29,BBG_Data!$U$2:$U$4000,0))*Settings!$B$25,NA()))</f>
        <v/>
      </c>
      <c r="AJ29" s="19">
        <f>IF(NOT(ISNUMBER($A29)),NA(),IFERROR(1*INDEX(BBG_Data!$X$2:$X$4000,MATCH($A29,BBG_Data!$W$2:$W$4000,0)),NA()))</f>
        <v/>
      </c>
      <c r="AK29" s="19">
        <f>IF(NOT(ISNUMBER($A29)),NA(),IFERROR(1*INDEX(BBG_Data!$Z$2:$Z$4000,MATCH($A29,BBG_Data!$Y$2:$Y$4000,0)),NA()))</f>
        <v/>
      </c>
    </row>
    <row r="30">
      <c r="A30" s="17">
        <f>IF(ISNUMBER(BBG_Data!A30),BBG_Data!A30,"")</f>
        <v/>
      </c>
      <c r="B30" s="18">
        <f>IF(AND(ISNUMBER($A30),ISNUMBER(BBG_Data!B30)),BBG_Data!B30,NA())</f>
        <v/>
      </c>
      <c r="C30" s="18">
        <f>IF(NOT(ISNUMBER($A30)),NA(),IFERROR(1*INDEX(BBG_Data!$D$2:$D$4000,MATCH($A30,BBG_Data!$C$2:$C$4000,0)),NA()))</f>
        <v/>
      </c>
      <c r="D30" s="19">
        <f>IF(NOT(ISNUMBER($A30)),NA(),IFERROR(1*INDEX(BBG_Data!$F$2:$F$4000,MATCH($A30,BBG_Data!$E$2:$E$4000,0)),NA()))</f>
        <v/>
      </c>
      <c r="E30" s="19">
        <f>IF(NOT(ISNUMBER($A30)),NA(),IFERROR(1*INDEX(BBG_Data!$H$2:$H$4000,MATCH($A30,BBG_Data!$G$2:$G$4000,0)),NA()))</f>
        <v/>
      </c>
      <c r="F30" s="20">
        <f>IF(AND(ISNUMBER(B30),ISNUMBER(B29)),IF(B30=B29,"",(B30-B29)*100),"")</f>
        <v/>
      </c>
      <c r="G30" s="20">
        <f>IF(AND(ISNUMBER(C30),ISNUMBER(C29)),IF(C30=C29,"",(C30-C29)*100),"")</f>
        <v/>
      </c>
      <c r="H30" s="20">
        <f>IF(OR(NOT(ISNUMBER($A30)),ROW()-2&lt;Settings!$B$11),NA(),IF(COUNT(OFFSET(F30,1-Settings!$B$11,0,Settings!$B$11,1))&lt;ROUNDUP(Settings!$B$11*Settings!$B$26,0),NA(),STDEV(OFFSET(F30,1-Settings!$B$11,0,Settings!$B$11,1))*SQRT(Settings!$B$13)))</f>
        <v/>
      </c>
      <c r="I30" s="20">
        <f>IF(OR(NOT(ISNUMBER($A30)),ROW()-2&lt;Settings!$B$12),NA(),IF(COUNT(OFFSET(F30,1-Settings!$B$12,0,Settings!$B$12,1))&lt;ROUNDUP(Settings!$B$12*Settings!$B$26,0),NA(),STDEV(OFFSET(F30,1-Settings!$B$12,0,Settings!$B$12,1))*SQRT(Settings!$B$13)))</f>
        <v/>
      </c>
      <c r="J30" s="20">
        <f>IF(OR(NOT(ISNUMBER($A30)),ROW()-2&lt;Settings!$B$11),NA(),IF(COUNT(OFFSET(G30,1-Settings!$B$11,0,Settings!$B$11,1))&lt;ROUNDUP(Settings!$B$11*Settings!$B$26,0),NA(),STDEV(OFFSET(G30,1-Settings!$B$11,0,Settings!$B$11,1))*SQRT(Settings!$B$13)))</f>
        <v/>
      </c>
      <c r="K30" s="20">
        <f>IF(OR(NOT(ISNUMBER($A30)),ROW()-2&lt;Settings!$B$12),NA(),IF(COUNT(OFFSET(G30,1-Settings!$B$12,0,Settings!$B$12,1))&lt;ROUNDUP(Settings!$B$12*Settings!$B$26,0),NA(),STDEV(OFFSET(G30,1-Settings!$B$12,0,Settings!$B$12,1))*SQRT(Settings!$B$13)))</f>
        <v/>
      </c>
      <c r="L30" s="20">
        <f>IF(AND(ISNUMBER(D30),ISNUMBER(H30)),D30-H30,NA())</f>
        <v/>
      </c>
      <c r="M30" s="20">
        <f>IF(AND(ISNUMBER(E30),ISNUMBER(K30)),E30-K30,NA())</f>
        <v/>
      </c>
      <c r="N30" s="20">
        <f>IF(NOT(ISNUMBER($A30)),NA(),IF(COUNT(OFFSET(G30,1,0,Settings!$B$12,1))&lt;ROUNDUP(Settings!$B$12*Settings!$B$26,0),NA(),STDEV(OFFSET(G30,1,0,Settings!$B$12,1))*SQRT(Settings!$B$13)))</f>
        <v/>
      </c>
      <c r="O30" s="20">
        <f>IF(AND(ISNUMBER(E30),ISNUMBER(N30)),E30-N30,NA())</f>
        <v/>
      </c>
      <c r="P30" s="19">
        <f>IF(NOT(ISNUMBER($A30)),NA(),IF(OR($A30&lt;MIN(KW_TP!$A$2:$A$2501),$A30&gt;MAX(KW_TP!$A$2:$A$2501)),NA(),INDEX(KW_TP!$C$2:$C$2501,MATCH($A30,KW_TP!$A$2:$A$2501,1))))</f>
        <v/>
      </c>
      <c r="Q30" s="18">
        <f>IF(NOT(ISNUMBER($A30)),NA(),IFERROR(1*INDEX(BBG_Data!$J$2:$J$4000,MATCH($A30,BBG_Data!$I$2:$I$4000,0)),NA()))</f>
        <v/>
      </c>
      <c r="R30" s="18">
        <f>IF(NOT(ISNUMBER($A30)),NA(),IFERROR(1*INDEX(BBG_Data!$L$2:$L$4000,MATCH($A30,BBG_Data!$K$2:$K$4000,0)),NA()))</f>
        <v/>
      </c>
      <c r="S30" s="20">
        <f>IF(AND(ISNUMBER(B30),ISNUMBER(Q30),ISNUMBER(R30)),(B30-Q30-R30)*100,NA())</f>
        <v/>
      </c>
      <c r="T30" s="20">
        <f>IF(AND(ISNUMBER(B30),Settings!$B$17&gt;0),IF(ISNUMBER(INDEX($B:$B,Settings!$B$17)),(B30-INDEX($B:$B,Settings!$B$17))*100,NA()),NA())</f>
        <v/>
      </c>
      <c r="U30" s="20">
        <f>IF(AND(ISNUMBER(Q30),Settings!$B$17&gt;0),IF(ISNUMBER(INDEX($Q:$Q,Settings!$B$17)),(Q30-INDEX($Q:$Q,Settings!$B$17))*100,NA()),NA())</f>
        <v/>
      </c>
      <c r="V30" s="20">
        <f>IF(AND(ISNUMBER(R30),Settings!$B$17&gt;0),IF(ISNUMBER(INDEX($R:$R,Settings!$B$17)),(R30-INDEX($R:$R,Settings!$B$17))*100,NA()),NA())</f>
        <v/>
      </c>
      <c r="W30" s="20">
        <f>IF(AND(ISNUMBER(P30),Settings!$B$17&gt;0),IF(ISNUMBER(INDEX($P:$P,Settings!$B$17)),P30-INDEX($P:$P,Settings!$B$17),NA()),NA())</f>
        <v/>
      </c>
      <c r="X30" s="19">
        <f>IF(NOT(ISNUMBER($A30)),NA(),IF(OR($A30&lt;MIN(DKW_10Y!$A$2:$A$2918),$A30&gt;MAX(DKW_10Y!$A$2:$A$2918),Settings!$B$16&lt;MIN(DKW_10Y!$A$2:$A$2918)),NA(),(INDEX(DKW_10Y!$B$2:$B$2918,MATCH($A30,DKW_10Y!$A$2:$A$2918,1))-INDEX(DKW_10Y!$B$2:$B$2918,MATCH(Settings!$B$16,DKW_10Y!$A$2:$A$2918,1)))*100))</f>
        <v/>
      </c>
      <c r="Y30" s="19">
        <f>IF(NOT(ISNUMBER($A30)),NA(),IF(OR($A30&lt;MIN(DKW_10Y!$A$2:$A$2918),$A30&gt;MAX(DKW_10Y!$A$2:$A$2918),Settings!$B$16&lt;MIN(DKW_10Y!$A$2:$A$2918)),NA(),(INDEX(DKW_10Y!$C$2:$C$2918,MATCH($A30,DKW_10Y!$A$2:$A$2918,1))-INDEX(DKW_10Y!$C$2:$C$2918,MATCH(Settings!$B$16,DKW_10Y!$A$2:$A$2918,1)))*100))</f>
        <v/>
      </c>
      <c r="Z30" s="19">
        <f>IF(NOT(ISNUMBER($A30)),NA(),IF(OR($A30&lt;MIN(DKW_10Y!$A$2:$A$2918),$A30&gt;MAX(DKW_10Y!$A$2:$A$2918),Settings!$B$16&lt;MIN(DKW_10Y!$A$2:$A$2918)),NA(),(INDEX(DKW_10Y!$D$2:$D$2918,MATCH($A30,DKW_10Y!$A$2:$A$2918,1))-INDEX(DKW_10Y!$D$2:$D$2918,MATCH(Settings!$B$16,DKW_10Y!$A$2:$A$2918,1)))*100))</f>
        <v/>
      </c>
      <c r="AA30" s="19">
        <f>IF(NOT(ISNUMBER($A30)),NA(),IF(OR($A30&lt;MIN(DKW_10Y!$A$2:$A$2918),$A30&gt;MAX(DKW_10Y!$A$2:$A$2918),Settings!$B$16&lt;MIN(DKW_10Y!$A$2:$A$2918)),NA(),(INDEX(DKW_10Y!$E$2:$E$2918,MATCH($A30,DKW_10Y!$A$2:$A$2918,1))-INDEX(DKW_10Y!$E$2:$E$2918,MATCH(Settings!$B$16,DKW_10Y!$A$2:$A$2918,1)))*100))</f>
        <v/>
      </c>
      <c r="AB30" s="19">
        <f>IF(NOT(ISNUMBER($A30)),NA(),IF(OR($A30&lt;MIN(DKW_10Y!$A$2:$A$2918),$A30&gt;MAX(DKW_10Y!$A$2:$A$2918),Settings!$B$16&lt;MIN(DKW_10Y!$A$2:$A$2918)),NA(),(INDEX(DKW_10Y!$H$2:$H$2918,MATCH($A30,DKW_10Y!$A$2:$A$2918,1))-INDEX(DKW_10Y!$H$2:$H$2918,MATCH(Settings!$B$16,DKW_10Y!$A$2:$A$2918,1)))*100))</f>
        <v/>
      </c>
      <c r="AC30" s="18">
        <f>IF(NOT(ISNUMBER($A30)),NA(),IFERROR(1*INDEX(BBG_Data!$N$2:$N$4000,MATCH($A30,BBG_Data!$M$2:$M$4000,0)),NA()))</f>
        <v/>
      </c>
      <c r="AD30" s="18">
        <f>IF(NOT(ISNUMBER($A30)),NA(),IFERROR(1*INDEX(BBG_Data!$P$2:$P$4000,MATCH($A30,BBG_Data!$O$2:$O$4000,0)),NA()))</f>
        <v/>
      </c>
      <c r="AE30" s="18">
        <f>IF(NOT(ISNUMBER($A30)),NA(),IFERROR(1*INDEX(BBG_Data!$R$2:$R$4000,MATCH($A30,BBG_Data!$Q$2:$Q$4000,0)),NA()))</f>
        <v/>
      </c>
      <c r="AF30" s="20">
        <f>IF(AND(ISNUMBER(B30),ISNUMBER(AC30)),(B30-AC30)*100,NA())</f>
        <v/>
      </c>
      <c r="AG30" s="20">
        <f>IF(AND(ISNUMBER(AE30),ISNUMBER(AD30)),(AE30-AD30)*100,NA())</f>
        <v/>
      </c>
      <c r="AH30" s="19">
        <f>IF(NOT(ISNUMBER($A30)),NA(),IFERROR(INDEX(BBG_Data!$T$2:$T$4000,MATCH($A30,BBG_Data!$S$2:$S$4000,0))*Settings!$B$25,NA()))</f>
        <v/>
      </c>
      <c r="AI30" s="19">
        <f>IF(NOT(ISNUMBER($A30)),NA(),IFERROR(INDEX(BBG_Data!$V$2:$V$4000,MATCH($A30,BBG_Data!$U$2:$U$4000,0))*Settings!$B$25,NA()))</f>
        <v/>
      </c>
      <c r="AJ30" s="19">
        <f>IF(NOT(ISNUMBER($A30)),NA(),IFERROR(1*INDEX(BBG_Data!$X$2:$X$4000,MATCH($A30,BBG_Data!$W$2:$W$4000,0)),NA()))</f>
        <v/>
      </c>
      <c r="AK30" s="19">
        <f>IF(NOT(ISNUMBER($A30)),NA(),IFERROR(1*INDEX(BBG_Data!$Z$2:$Z$4000,MATCH($A30,BBG_Data!$Y$2:$Y$4000,0)),NA()))</f>
        <v/>
      </c>
    </row>
    <row r="31">
      <c r="A31" s="17">
        <f>IF(ISNUMBER(BBG_Data!A31),BBG_Data!A31,"")</f>
        <v/>
      </c>
      <c r="B31" s="18">
        <f>IF(AND(ISNUMBER($A31),ISNUMBER(BBG_Data!B31)),BBG_Data!B31,NA())</f>
        <v/>
      </c>
      <c r="C31" s="18">
        <f>IF(NOT(ISNUMBER($A31)),NA(),IFERROR(1*INDEX(BBG_Data!$D$2:$D$4000,MATCH($A31,BBG_Data!$C$2:$C$4000,0)),NA()))</f>
        <v/>
      </c>
      <c r="D31" s="19">
        <f>IF(NOT(ISNUMBER($A31)),NA(),IFERROR(1*INDEX(BBG_Data!$F$2:$F$4000,MATCH($A31,BBG_Data!$E$2:$E$4000,0)),NA()))</f>
        <v/>
      </c>
      <c r="E31" s="19">
        <f>IF(NOT(ISNUMBER($A31)),NA(),IFERROR(1*INDEX(BBG_Data!$H$2:$H$4000,MATCH($A31,BBG_Data!$G$2:$G$4000,0)),NA()))</f>
        <v/>
      </c>
      <c r="F31" s="20">
        <f>IF(AND(ISNUMBER(B31),ISNUMBER(B30)),IF(B31=B30,"",(B31-B30)*100),"")</f>
        <v/>
      </c>
      <c r="G31" s="20">
        <f>IF(AND(ISNUMBER(C31),ISNUMBER(C30)),IF(C31=C30,"",(C31-C30)*100),"")</f>
        <v/>
      </c>
      <c r="H31" s="20">
        <f>IF(OR(NOT(ISNUMBER($A31)),ROW()-2&lt;Settings!$B$11),NA(),IF(COUNT(OFFSET(F31,1-Settings!$B$11,0,Settings!$B$11,1))&lt;ROUNDUP(Settings!$B$11*Settings!$B$26,0),NA(),STDEV(OFFSET(F31,1-Settings!$B$11,0,Settings!$B$11,1))*SQRT(Settings!$B$13)))</f>
        <v/>
      </c>
      <c r="I31" s="20">
        <f>IF(OR(NOT(ISNUMBER($A31)),ROW()-2&lt;Settings!$B$12),NA(),IF(COUNT(OFFSET(F31,1-Settings!$B$12,0,Settings!$B$12,1))&lt;ROUNDUP(Settings!$B$12*Settings!$B$26,0),NA(),STDEV(OFFSET(F31,1-Settings!$B$12,0,Settings!$B$12,1))*SQRT(Settings!$B$13)))</f>
        <v/>
      </c>
      <c r="J31" s="20">
        <f>IF(OR(NOT(ISNUMBER($A31)),ROW()-2&lt;Settings!$B$11),NA(),IF(COUNT(OFFSET(G31,1-Settings!$B$11,0,Settings!$B$11,1))&lt;ROUNDUP(Settings!$B$11*Settings!$B$26,0),NA(),STDEV(OFFSET(G31,1-Settings!$B$11,0,Settings!$B$11,1))*SQRT(Settings!$B$13)))</f>
        <v/>
      </c>
      <c r="K31" s="20">
        <f>IF(OR(NOT(ISNUMBER($A31)),ROW()-2&lt;Settings!$B$12),NA(),IF(COUNT(OFFSET(G31,1-Settings!$B$12,0,Settings!$B$12,1))&lt;ROUNDUP(Settings!$B$12*Settings!$B$26,0),NA(),STDEV(OFFSET(G31,1-Settings!$B$12,0,Settings!$B$12,1))*SQRT(Settings!$B$13)))</f>
        <v/>
      </c>
      <c r="L31" s="20">
        <f>IF(AND(ISNUMBER(D31),ISNUMBER(H31)),D31-H31,NA())</f>
        <v/>
      </c>
      <c r="M31" s="20">
        <f>IF(AND(ISNUMBER(E31),ISNUMBER(K31)),E31-K31,NA())</f>
        <v/>
      </c>
      <c r="N31" s="20">
        <f>IF(NOT(ISNUMBER($A31)),NA(),IF(COUNT(OFFSET(G31,1,0,Settings!$B$12,1))&lt;ROUNDUP(Settings!$B$12*Settings!$B$26,0),NA(),STDEV(OFFSET(G31,1,0,Settings!$B$12,1))*SQRT(Settings!$B$13)))</f>
        <v/>
      </c>
      <c r="O31" s="20">
        <f>IF(AND(ISNUMBER(E31),ISNUMBER(N31)),E31-N31,NA())</f>
        <v/>
      </c>
      <c r="P31" s="19">
        <f>IF(NOT(ISNUMBER($A31)),NA(),IF(OR($A31&lt;MIN(KW_TP!$A$2:$A$2501),$A31&gt;MAX(KW_TP!$A$2:$A$2501)),NA(),INDEX(KW_TP!$C$2:$C$2501,MATCH($A31,KW_TP!$A$2:$A$2501,1))))</f>
        <v/>
      </c>
      <c r="Q31" s="18">
        <f>IF(NOT(ISNUMBER($A31)),NA(),IFERROR(1*INDEX(BBG_Data!$J$2:$J$4000,MATCH($A31,BBG_Data!$I$2:$I$4000,0)),NA()))</f>
        <v/>
      </c>
      <c r="R31" s="18">
        <f>IF(NOT(ISNUMBER($A31)),NA(),IFERROR(1*INDEX(BBG_Data!$L$2:$L$4000,MATCH($A31,BBG_Data!$K$2:$K$4000,0)),NA()))</f>
        <v/>
      </c>
      <c r="S31" s="20">
        <f>IF(AND(ISNUMBER(B31),ISNUMBER(Q31),ISNUMBER(R31)),(B31-Q31-R31)*100,NA())</f>
        <v/>
      </c>
      <c r="T31" s="20">
        <f>IF(AND(ISNUMBER(B31),Settings!$B$17&gt;0),IF(ISNUMBER(INDEX($B:$B,Settings!$B$17)),(B31-INDEX($B:$B,Settings!$B$17))*100,NA()),NA())</f>
        <v/>
      </c>
      <c r="U31" s="20">
        <f>IF(AND(ISNUMBER(Q31),Settings!$B$17&gt;0),IF(ISNUMBER(INDEX($Q:$Q,Settings!$B$17)),(Q31-INDEX($Q:$Q,Settings!$B$17))*100,NA()),NA())</f>
        <v/>
      </c>
      <c r="V31" s="20">
        <f>IF(AND(ISNUMBER(R31),Settings!$B$17&gt;0),IF(ISNUMBER(INDEX($R:$R,Settings!$B$17)),(R31-INDEX($R:$R,Settings!$B$17))*100,NA()),NA())</f>
        <v/>
      </c>
      <c r="W31" s="20">
        <f>IF(AND(ISNUMBER(P31),Settings!$B$17&gt;0),IF(ISNUMBER(INDEX($P:$P,Settings!$B$17)),P31-INDEX($P:$P,Settings!$B$17),NA()),NA())</f>
        <v/>
      </c>
      <c r="X31" s="19">
        <f>IF(NOT(ISNUMBER($A31)),NA(),IF(OR($A31&lt;MIN(DKW_10Y!$A$2:$A$2918),$A31&gt;MAX(DKW_10Y!$A$2:$A$2918),Settings!$B$16&lt;MIN(DKW_10Y!$A$2:$A$2918)),NA(),(INDEX(DKW_10Y!$B$2:$B$2918,MATCH($A31,DKW_10Y!$A$2:$A$2918,1))-INDEX(DKW_10Y!$B$2:$B$2918,MATCH(Settings!$B$16,DKW_10Y!$A$2:$A$2918,1)))*100))</f>
        <v/>
      </c>
      <c r="Y31" s="19">
        <f>IF(NOT(ISNUMBER($A31)),NA(),IF(OR($A31&lt;MIN(DKW_10Y!$A$2:$A$2918),$A31&gt;MAX(DKW_10Y!$A$2:$A$2918),Settings!$B$16&lt;MIN(DKW_10Y!$A$2:$A$2918)),NA(),(INDEX(DKW_10Y!$C$2:$C$2918,MATCH($A31,DKW_10Y!$A$2:$A$2918,1))-INDEX(DKW_10Y!$C$2:$C$2918,MATCH(Settings!$B$16,DKW_10Y!$A$2:$A$2918,1)))*100))</f>
        <v/>
      </c>
      <c r="Z31" s="19">
        <f>IF(NOT(ISNUMBER($A31)),NA(),IF(OR($A31&lt;MIN(DKW_10Y!$A$2:$A$2918),$A31&gt;MAX(DKW_10Y!$A$2:$A$2918),Settings!$B$16&lt;MIN(DKW_10Y!$A$2:$A$2918)),NA(),(INDEX(DKW_10Y!$D$2:$D$2918,MATCH($A31,DKW_10Y!$A$2:$A$2918,1))-INDEX(DKW_10Y!$D$2:$D$2918,MATCH(Settings!$B$16,DKW_10Y!$A$2:$A$2918,1)))*100))</f>
        <v/>
      </c>
      <c r="AA31" s="19">
        <f>IF(NOT(ISNUMBER($A31)),NA(),IF(OR($A31&lt;MIN(DKW_10Y!$A$2:$A$2918),$A31&gt;MAX(DKW_10Y!$A$2:$A$2918),Settings!$B$16&lt;MIN(DKW_10Y!$A$2:$A$2918)),NA(),(INDEX(DKW_10Y!$E$2:$E$2918,MATCH($A31,DKW_10Y!$A$2:$A$2918,1))-INDEX(DKW_10Y!$E$2:$E$2918,MATCH(Settings!$B$16,DKW_10Y!$A$2:$A$2918,1)))*100))</f>
        <v/>
      </c>
      <c r="AB31" s="19">
        <f>IF(NOT(ISNUMBER($A31)),NA(),IF(OR($A31&lt;MIN(DKW_10Y!$A$2:$A$2918),$A31&gt;MAX(DKW_10Y!$A$2:$A$2918),Settings!$B$16&lt;MIN(DKW_10Y!$A$2:$A$2918)),NA(),(INDEX(DKW_10Y!$H$2:$H$2918,MATCH($A31,DKW_10Y!$A$2:$A$2918,1))-INDEX(DKW_10Y!$H$2:$H$2918,MATCH(Settings!$B$16,DKW_10Y!$A$2:$A$2918,1)))*100))</f>
        <v/>
      </c>
      <c r="AC31" s="18">
        <f>IF(NOT(ISNUMBER($A31)),NA(),IFERROR(1*INDEX(BBG_Data!$N$2:$N$4000,MATCH($A31,BBG_Data!$M$2:$M$4000,0)),NA()))</f>
        <v/>
      </c>
      <c r="AD31" s="18">
        <f>IF(NOT(ISNUMBER($A31)),NA(),IFERROR(1*INDEX(BBG_Data!$P$2:$P$4000,MATCH($A31,BBG_Data!$O$2:$O$4000,0)),NA()))</f>
        <v/>
      </c>
      <c r="AE31" s="18">
        <f>IF(NOT(ISNUMBER($A31)),NA(),IFERROR(1*INDEX(BBG_Data!$R$2:$R$4000,MATCH($A31,BBG_Data!$Q$2:$Q$4000,0)),NA()))</f>
        <v/>
      </c>
      <c r="AF31" s="20">
        <f>IF(AND(ISNUMBER(B31),ISNUMBER(AC31)),(B31-AC31)*100,NA())</f>
        <v/>
      </c>
      <c r="AG31" s="20">
        <f>IF(AND(ISNUMBER(AE31),ISNUMBER(AD31)),(AE31-AD31)*100,NA())</f>
        <v/>
      </c>
      <c r="AH31" s="19">
        <f>IF(NOT(ISNUMBER($A31)),NA(),IFERROR(INDEX(BBG_Data!$T$2:$T$4000,MATCH($A31,BBG_Data!$S$2:$S$4000,0))*Settings!$B$25,NA()))</f>
        <v/>
      </c>
      <c r="AI31" s="19">
        <f>IF(NOT(ISNUMBER($A31)),NA(),IFERROR(INDEX(BBG_Data!$V$2:$V$4000,MATCH($A31,BBG_Data!$U$2:$U$4000,0))*Settings!$B$25,NA()))</f>
        <v/>
      </c>
      <c r="AJ31" s="19">
        <f>IF(NOT(ISNUMBER($A31)),NA(),IFERROR(1*INDEX(BBG_Data!$X$2:$X$4000,MATCH($A31,BBG_Data!$W$2:$W$4000,0)),NA()))</f>
        <v/>
      </c>
      <c r="AK31" s="19">
        <f>IF(NOT(ISNUMBER($A31)),NA(),IFERROR(1*INDEX(BBG_Data!$Z$2:$Z$4000,MATCH($A31,BBG_Data!$Y$2:$Y$4000,0)),NA()))</f>
        <v/>
      </c>
    </row>
    <row r="32">
      <c r="A32" s="17">
        <f>IF(ISNUMBER(BBG_Data!A32),BBG_Data!A32,"")</f>
        <v/>
      </c>
      <c r="B32" s="18">
        <f>IF(AND(ISNUMBER($A32),ISNUMBER(BBG_Data!B32)),BBG_Data!B32,NA())</f>
        <v/>
      </c>
      <c r="C32" s="18">
        <f>IF(NOT(ISNUMBER($A32)),NA(),IFERROR(1*INDEX(BBG_Data!$D$2:$D$4000,MATCH($A32,BBG_Data!$C$2:$C$4000,0)),NA()))</f>
        <v/>
      </c>
      <c r="D32" s="19">
        <f>IF(NOT(ISNUMBER($A32)),NA(),IFERROR(1*INDEX(BBG_Data!$F$2:$F$4000,MATCH($A32,BBG_Data!$E$2:$E$4000,0)),NA()))</f>
        <v/>
      </c>
      <c r="E32" s="19">
        <f>IF(NOT(ISNUMBER($A32)),NA(),IFERROR(1*INDEX(BBG_Data!$H$2:$H$4000,MATCH($A32,BBG_Data!$G$2:$G$4000,0)),NA()))</f>
        <v/>
      </c>
      <c r="F32" s="20">
        <f>IF(AND(ISNUMBER(B32),ISNUMBER(B31)),IF(B32=B31,"",(B32-B31)*100),"")</f>
        <v/>
      </c>
      <c r="G32" s="20">
        <f>IF(AND(ISNUMBER(C32),ISNUMBER(C31)),IF(C32=C31,"",(C32-C31)*100),"")</f>
        <v/>
      </c>
      <c r="H32" s="20">
        <f>IF(OR(NOT(ISNUMBER($A32)),ROW()-2&lt;Settings!$B$11),NA(),IF(COUNT(OFFSET(F32,1-Settings!$B$11,0,Settings!$B$11,1))&lt;ROUNDUP(Settings!$B$11*Settings!$B$26,0),NA(),STDEV(OFFSET(F32,1-Settings!$B$11,0,Settings!$B$11,1))*SQRT(Settings!$B$13)))</f>
        <v/>
      </c>
      <c r="I32" s="20">
        <f>IF(OR(NOT(ISNUMBER($A32)),ROW()-2&lt;Settings!$B$12),NA(),IF(COUNT(OFFSET(F32,1-Settings!$B$12,0,Settings!$B$12,1))&lt;ROUNDUP(Settings!$B$12*Settings!$B$26,0),NA(),STDEV(OFFSET(F32,1-Settings!$B$12,0,Settings!$B$12,1))*SQRT(Settings!$B$13)))</f>
        <v/>
      </c>
      <c r="J32" s="20">
        <f>IF(OR(NOT(ISNUMBER($A32)),ROW()-2&lt;Settings!$B$11),NA(),IF(COUNT(OFFSET(G32,1-Settings!$B$11,0,Settings!$B$11,1))&lt;ROUNDUP(Settings!$B$11*Settings!$B$26,0),NA(),STDEV(OFFSET(G32,1-Settings!$B$11,0,Settings!$B$11,1))*SQRT(Settings!$B$13)))</f>
        <v/>
      </c>
      <c r="K32" s="20">
        <f>IF(OR(NOT(ISNUMBER($A32)),ROW()-2&lt;Settings!$B$12),NA(),IF(COUNT(OFFSET(G32,1-Settings!$B$12,0,Settings!$B$12,1))&lt;ROUNDUP(Settings!$B$12*Settings!$B$26,0),NA(),STDEV(OFFSET(G32,1-Settings!$B$12,0,Settings!$B$12,1))*SQRT(Settings!$B$13)))</f>
        <v/>
      </c>
      <c r="L32" s="20">
        <f>IF(AND(ISNUMBER(D32),ISNUMBER(H32)),D32-H32,NA())</f>
        <v/>
      </c>
      <c r="M32" s="20">
        <f>IF(AND(ISNUMBER(E32),ISNUMBER(K32)),E32-K32,NA())</f>
        <v/>
      </c>
      <c r="N32" s="20">
        <f>IF(NOT(ISNUMBER($A32)),NA(),IF(COUNT(OFFSET(G32,1,0,Settings!$B$12,1))&lt;ROUNDUP(Settings!$B$12*Settings!$B$26,0),NA(),STDEV(OFFSET(G32,1,0,Settings!$B$12,1))*SQRT(Settings!$B$13)))</f>
        <v/>
      </c>
      <c r="O32" s="20">
        <f>IF(AND(ISNUMBER(E32),ISNUMBER(N32)),E32-N32,NA())</f>
        <v/>
      </c>
      <c r="P32" s="19">
        <f>IF(NOT(ISNUMBER($A32)),NA(),IF(OR($A32&lt;MIN(KW_TP!$A$2:$A$2501),$A32&gt;MAX(KW_TP!$A$2:$A$2501)),NA(),INDEX(KW_TP!$C$2:$C$2501,MATCH($A32,KW_TP!$A$2:$A$2501,1))))</f>
        <v/>
      </c>
      <c r="Q32" s="18">
        <f>IF(NOT(ISNUMBER($A32)),NA(),IFERROR(1*INDEX(BBG_Data!$J$2:$J$4000,MATCH($A32,BBG_Data!$I$2:$I$4000,0)),NA()))</f>
        <v/>
      </c>
      <c r="R32" s="18">
        <f>IF(NOT(ISNUMBER($A32)),NA(),IFERROR(1*INDEX(BBG_Data!$L$2:$L$4000,MATCH($A32,BBG_Data!$K$2:$K$4000,0)),NA()))</f>
        <v/>
      </c>
      <c r="S32" s="20">
        <f>IF(AND(ISNUMBER(B32),ISNUMBER(Q32),ISNUMBER(R32)),(B32-Q32-R32)*100,NA())</f>
        <v/>
      </c>
      <c r="T32" s="20">
        <f>IF(AND(ISNUMBER(B32),Settings!$B$17&gt;0),IF(ISNUMBER(INDEX($B:$B,Settings!$B$17)),(B32-INDEX($B:$B,Settings!$B$17))*100,NA()),NA())</f>
        <v/>
      </c>
      <c r="U32" s="20">
        <f>IF(AND(ISNUMBER(Q32),Settings!$B$17&gt;0),IF(ISNUMBER(INDEX($Q:$Q,Settings!$B$17)),(Q32-INDEX($Q:$Q,Settings!$B$17))*100,NA()),NA())</f>
        <v/>
      </c>
      <c r="V32" s="20">
        <f>IF(AND(ISNUMBER(R32),Settings!$B$17&gt;0),IF(ISNUMBER(INDEX($R:$R,Settings!$B$17)),(R32-INDEX($R:$R,Settings!$B$17))*100,NA()),NA())</f>
        <v/>
      </c>
      <c r="W32" s="20">
        <f>IF(AND(ISNUMBER(P32),Settings!$B$17&gt;0),IF(ISNUMBER(INDEX($P:$P,Settings!$B$17)),P32-INDEX($P:$P,Settings!$B$17),NA()),NA())</f>
        <v/>
      </c>
      <c r="X32" s="19">
        <f>IF(NOT(ISNUMBER($A32)),NA(),IF(OR($A32&lt;MIN(DKW_10Y!$A$2:$A$2918),$A32&gt;MAX(DKW_10Y!$A$2:$A$2918),Settings!$B$16&lt;MIN(DKW_10Y!$A$2:$A$2918)),NA(),(INDEX(DKW_10Y!$B$2:$B$2918,MATCH($A32,DKW_10Y!$A$2:$A$2918,1))-INDEX(DKW_10Y!$B$2:$B$2918,MATCH(Settings!$B$16,DKW_10Y!$A$2:$A$2918,1)))*100))</f>
        <v/>
      </c>
      <c r="Y32" s="19">
        <f>IF(NOT(ISNUMBER($A32)),NA(),IF(OR($A32&lt;MIN(DKW_10Y!$A$2:$A$2918),$A32&gt;MAX(DKW_10Y!$A$2:$A$2918),Settings!$B$16&lt;MIN(DKW_10Y!$A$2:$A$2918)),NA(),(INDEX(DKW_10Y!$C$2:$C$2918,MATCH($A32,DKW_10Y!$A$2:$A$2918,1))-INDEX(DKW_10Y!$C$2:$C$2918,MATCH(Settings!$B$16,DKW_10Y!$A$2:$A$2918,1)))*100))</f>
        <v/>
      </c>
      <c r="Z32" s="19">
        <f>IF(NOT(ISNUMBER($A32)),NA(),IF(OR($A32&lt;MIN(DKW_10Y!$A$2:$A$2918),$A32&gt;MAX(DKW_10Y!$A$2:$A$2918),Settings!$B$16&lt;MIN(DKW_10Y!$A$2:$A$2918)),NA(),(INDEX(DKW_10Y!$D$2:$D$2918,MATCH($A32,DKW_10Y!$A$2:$A$2918,1))-INDEX(DKW_10Y!$D$2:$D$2918,MATCH(Settings!$B$16,DKW_10Y!$A$2:$A$2918,1)))*100))</f>
        <v/>
      </c>
      <c r="AA32" s="19">
        <f>IF(NOT(ISNUMBER($A32)),NA(),IF(OR($A32&lt;MIN(DKW_10Y!$A$2:$A$2918),$A32&gt;MAX(DKW_10Y!$A$2:$A$2918),Settings!$B$16&lt;MIN(DKW_10Y!$A$2:$A$2918)),NA(),(INDEX(DKW_10Y!$E$2:$E$2918,MATCH($A32,DKW_10Y!$A$2:$A$2918,1))-INDEX(DKW_10Y!$E$2:$E$2918,MATCH(Settings!$B$16,DKW_10Y!$A$2:$A$2918,1)))*100))</f>
        <v/>
      </c>
      <c r="AB32" s="19">
        <f>IF(NOT(ISNUMBER($A32)),NA(),IF(OR($A32&lt;MIN(DKW_10Y!$A$2:$A$2918),$A32&gt;MAX(DKW_10Y!$A$2:$A$2918),Settings!$B$16&lt;MIN(DKW_10Y!$A$2:$A$2918)),NA(),(INDEX(DKW_10Y!$H$2:$H$2918,MATCH($A32,DKW_10Y!$A$2:$A$2918,1))-INDEX(DKW_10Y!$H$2:$H$2918,MATCH(Settings!$B$16,DKW_10Y!$A$2:$A$2918,1)))*100))</f>
        <v/>
      </c>
      <c r="AC32" s="18">
        <f>IF(NOT(ISNUMBER($A32)),NA(),IFERROR(1*INDEX(BBG_Data!$N$2:$N$4000,MATCH($A32,BBG_Data!$M$2:$M$4000,0)),NA()))</f>
        <v/>
      </c>
      <c r="AD32" s="18">
        <f>IF(NOT(ISNUMBER($A32)),NA(),IFERROR(1*INDEX(BBG_Data!$P$2:$P$4000,MATCH($A32,BBG_Data!$O$2:$O$4000,0)),NA()))</f>
        <v/>
      </c>
      <c r="AE32" s="18">
        <f>IF(NOT(ISNUMBER($A32)),NA(),IFERROR(1*INDEX(BBG_Data!$R$2:$R$4000,MATCH($A32,BBG_Data!$Q$2:$Q$4000,0)),NA()))</f>
        <v/>
      </c>
      <c r="AF32" s="20">
        <f>IF(AND(ISNUMBER(B32),ISNUMBER(AC32)),(B32-AC32)*100,NA())</f>
        <v/>
      </c>
      <c r="AG32" s="20">
        <f>IF(AND(ISNUMBER(AE32),ISNUMBER(AD32)),(AE32-AD32)*100,NA())</f>
        <v/>
      </c>
      <c r="AH32" s="19">
        <f>IF(NOT(ISNUMBER($A32)),NA(),IFERROR(INDEX(BBG_Data!$T$2:$T$4000,MATCH($A32,BBG_Data!$S$2:$S$4000,0))*Settings!$B$25,NA()))</f>
        <v/>
      </c>
      <c r="AI32" s="19">
        <f>IF(NOT(ISNUMBER($A32)),NA(),IFERROR(INDEX(BBG_Data!$V$2:$V$4000,MATCH($A32,BBG_Data!$U$2:$U$4000,0))*Settings!$B$25,NA()))</f>
        <v/>
      </c>
      <c r="AJ32" s="19">
        <f>IF(NOT(ISNUMBER($A32)),NA(),IFERROR(1*INDEX(BBG_Data!$X$2:$X$4000,MATCH($A32,BBG_Data!$W$2:$W$4000,0)),NA()))</f>
        <v/>
      </c>
      <c r="AK32" s="19">
        <f>IF(NOT(ISNUMBER($A32)),NA(),IFERROR(1*INDEX(BBG_Data!$Z$2:$Z$4000,MATCH($A32,BBG_Data!$Y$2:$Y$4000,0)),NA()))</f>
        <v/>
      </c>
    </row>
    <row r="33">
      <c r="A33" s="17">
        <f>IF(ISNUMBER(BBG_Data!A33),BBG_Data!A33,"")</f>
        <v/>
      </c>
      <c r="B33" s="18">
        <f>IF(AND(ISNUMBER($A33),ISNUMBER(BBG_Data!B33)),BBG_Data!B33,NA())</f>
        <v/>
      </c>
      <c r="C33" s="18">
        <f>IF(NOT(ISNUMBER($A33)),NA(),IFERROR(1*INDEX(BBG_Data!$D$2:$D$4000,MATCH($A33,BBG_Data!$C$2:$C$4000,0)),NA()))</f>
        <v/>
      </c>
      <c r="D33" s="19">
        <f>IF(NOT(ISNUMBER($A33)),NA(),IFERROR(1*INDEX(BBG_Data!$F$2:$F$4000,MATCH($A33,BBG_Data!$E$2:$E$4000,0)),NA()))</f>
        <v/>
      </c>
      <c r="E33" s="19">
        <f>IF(NOT(ISNUMBER($A33)),NA(),IFERROR(1*INDEX(BBG_Data!$H$2:$H$4000,MATCH($A33,BBG_Data!$G$2:$G$4000,0)),NA()))</f>
        <v/>
      </c>
      <c r="F33" s="20">
        <f>IF(AND(ISNUMBER(B33),ISNUMBER(B32)),IF(B33=B32,"",(B33-B32)*100),"")</f>
        <v/>
      </c>
      <c r="G33" s="20">
        <f>IF(AND(ISNUMBER(C33),ISNUMBER(C32)),IF(C33=C32,"",(C33-C32)*100),"")</f>
        <v/>
      </c>
      <c r="H33" s="20">
        <f>IF(OR(NOT(ISNUMBER($A33)),ROW()-2&lt;Settings!$B$11),NA(),IF(COUNT(OFFSET(F33,1-Settings!$B$11,0,Settings!$B$11,1))&lt;ROUNDUP(Settings!$B$11*Settings!$B$26,0),NA(),STDEV(OFFSET(F33,1-Settings!$B$11,0,Settings!$B$11,1))*SQRT(Settings!$B$13)))</f>
        <v/>
      </c>
      <c r="I33" s="20">
        <f>IF(OR(NOT(ISNUMBER($A33)),ROW()-2&lt;Settings!$B$12),NA(),IF(COUNT(OFFSET(F33,1-Settings!$B$12,0,Settings!$B$12,1))&lt;ROUNDUP(Settings!$B$12*Settings!$B$26,0),NA(),STDEV(OFFSET(F33,1-Settings!$B$12,0,Settings!$B$12,1))*SQRT(Settings!$B$13)))</f>
        <v/>
      </c>
      <c r="J33" s="20">
        <f>IF(OR(NOT(ISNUMBER($A33)),ROW()-2&lt;Settings!$B$11),NA(),IF(COUNT(OFFSET(G33,1-Settings!$B$11,0,Settings!$B$11,1))&lt;ROUNDUP(Settings!$B$11*Settings!$B$26,0),NA(),STDEV(OFFSET(G33,1-Settings!$B$11,0,Settings!$B$11,1))*SQRT(Settings!$B$13)))</f>
        <v/>
      </c>
      <c r="K33" s="20">
        <f>IF(OR(NOT(ISNUMBER($A33)),ROW()-2&lt;Settings!$B$12),NA(),IF(COUNT(OFFSET(G33,1-Settings!$B$12,0,Settings!$B$12,1))&lt;ROUNDUP(Settings!$B$12*Settings!$B$26,0),NA(),STDEV(OFFSET(G33,1-Settings!$B$12,0,Settings!$B$12,1))*SQRT(Settings!$B$13)))</f>
        <v/>
      </c>
      <c r="L33" s="20">
        <f>IF(AND(ISNUMBER(D33),ISNUMBER(H33)),D33-H33,NA())</f>
        <v/>
      </c>
      <c r="M33" s="20">
        <f>IF(AND(ISNUMBER(E33),ISNUMBER(K33)),E33-K33,NA())</f>
        <v/>
      </c>
      <c r="N33" s="20">
        <f>IF(NOT(ISNUMBER($A33)),NA(),IF(COUNT(OFFSET(G33,1,0,Settings!$B$12,1))&lt;ROUNDUP(Settings!$B$12*Settings!$B$26,0),NA(),STDEV(OFFSET(G33,1,0,Settings!$B$12,1))*SQRT(Settings!$B$13)))</f>
        <v/>
      </c>
      <c r="O33" s="20">
        <f>IF(AND(ISNUMBER(E33),ISNUMBER(N33)),E33-N33,NA())</f>
        <v/>
      </c>
      <c r="P33" s="19">
        <f>IF(NOT(ISNUMBER($A33)),NA(),IF(OR($A33&lt;MIN(KW_TP!$A$2:$A$2501),$A33&gt;MAX(KW_TP!$A$2:$A$2501)),NA(),INDEX(KW_TP!$C$2:$C$2501,MATCH($A33,KW_TP!$A$2:$A$2501,1))))</f>
        <v/>
      </c>
      <c r="Q33" s="18">
        <f>IF(NOT(ISNUMBER($A33)),NA(),IFERROR(1*INDEX(BBG_Data!$J$2:$J$4000,MATCH($A33,BBG_Data!$I$2:$I$4000,0)),NA()))</f>
        <v/>
      </c>
      <c r="R33" s="18">
        <f>IF(NOT(ISNUMBER($A33)),NA(),IFERROR(1*INDEX(BBG_Data!$L$2:$L$4000,MATCH($A33,BBG_Data!$K$2:$K$4000,0)),NA()))</f>
        <v/>
      </c>
      <c r="S33" s="20">
        <f>IF(AND(ISNUMBER(B33),ISNUMBER(Q33),ISNUMBER(R33)),(B33-Q33-R33)*100,NA())</f>
        <v/>
      </c>
      <c r="T33" s="20">
        <f>IF(AND(ISNUMBER(B33),Settings!$B$17&gt;0),IF(ISNUMBER(INDEX($B:$B,Settings!$B$17)),(B33-INDEX($B:$B,Settings!$B$17))*100,NA()),NA())</f>
        <v/>
      </c>
      <c r="U33" s="20">
        <f>IF(AND(ISNUMBER(Q33),Settings!$B$17&gt;0),IF(ISNUMBER(INDEX($Q:$Q,Settings!$B$17)),(Q33-INDEX($Q:$Q,Settings!$B$17))*100,NA()),NA())</f>
        <v/>
      </c>
      <c r="V33" s="20">
        <f>IF(AND(ISNUMBER(R33),Settings!$B$17&gt;0),IF(ISNUMBER(INDEX($R:$R,Settings!$B$17)),(R33-INDEX($R:$R,Settings!$B$17))*100,NA()),NA())</f>
        <v/>
      </c>
      <c r="W33" s="20">
        <f>IF(AND(ISNUMBER(P33),Settings!$B$17&gt;0),IF(ISNUMBER(INDEX($P:$P,Settings!$B$17)),P33-INDEX($P:$P,Settings!$B$17),NA()),NA())</f>
        <v/>
      </c>
      <c r="X33" s="19">
        <f>IF(NOT(ISNUMBER($A33)),NA(),IF(OR($A33&lt;MIN(DKW_10Y!$A$2:$A$2918),$A33&gt;MAX(DKW_10Y!$A$2:$A$2918),Settings!$B$16&lt;MIN(DKW_10Y!$A$2:$A$2918)),NA(),(INDEX(DKW_10Y!$B$2:$B$2918,MATCH($A33,DKW_10Y!$A$2:$A$2918,1))-INDEX(DKW_10Y!$B$2:$B$2918,MATCH(Settings!$B$16,DKW_10Y!$A$2:$A$2918,1)))*100))</f>
        <v/>
      </c>
      <c r="Y33" s="19">
        <f>IF(NOT(ISNUMBER($A33)),NA(),IF(OR($A33&lt;MIN(DKW_10Y!$A$2:$A$2918),$A33&gt;MAX(DKW_10Y!$A$2:$A$2918),Settings!$B$16&lt;MIN(DKW_10Y!$A$2:$A$2918)),NA(),(INDEX(DKW_10Y!$C$2:$C$2918,MATCH($A33,DKW_10Y!$A$2:$A$2918,1))-INDEX(DKW_10Y!$C$2:$C$2918,MATCH(Settings!$B$16,DKW_10Y!$A$2:$A$2918,1)))*100))</f>
        <v/>
      </c>
      <c r="Z33" s="19">
        <f>IF(NOT(ISNUMBER($A33)),NA(),IF(OR($A33&lt;MIN(DKW_10Y!$A$2:$A$2918),$A33&gt;MAX(DKW_10Y!$A$2:$A$2918),Settings!$B$16&lt;MIN(DKW_10Y!$A$2:$A$2918)),NA(),(INDEX(DKW_10Y!$D$2:$D$2918,MATCH($A33,DKW_10Y!$A$2:$A$2918,1))-INDEX(DKW_10Y!$D$2:$D$2918,MATCH(Settings!$B$16,DKW_10Y!$A$2:$A$2918,1)))*100))</f>
        <v/>
      </c>
      <c r="AA33" s="19">
        <f>IF(NOT(ISNUMBER($A33)),NA(),IF(OR($A33&lt;MIN(DKW_10Y!$A$2:$A$2918),$A33&gt;MAX(DKW_10Y!$A$2:$A$2918),Settings!$B$16&lt;MIN(DKW_10Y!$A$2:$A$2918)),NA(),(INDEX(DKW_10Y!$E$2:$E$2918,MATCH($A33,DKW_10Y!$A$2:$A$2918,1))-INDEX(DKW_10Y!$E$2:$E$2918,MATCH(Settings!$B$16,DKW_10Y!$A$2:$A$2918,1)))*100))</f>
        <v/>
      </c>
      <c r="AB33" s="19">
        <f>IF(NOT(ISNUMBER($A33)),NA(),IF(OR($A33&lt;MIN(DKW_10Y!$A$2:$A$2918),$A33&gt;MAX(DKW_10Y!$A$2:$A$2918),Settings!$B$16&lt;MIN(DKW_10Y!$A$2:$A$2918)),NA(),(INDEX(DKW_10Y!$H$2:$H$2918,MATCH($A33,DKW_10Y!$A$2:$A$2918,1))-INDEX(DKW_10Y!$H$2:$H$2918,MATCH(Settings!$B$16,DKW_10Y!$A$2:$A$2918,1)))*100))</f>
        <v/>
      </c>
      <c r="AC33" s="18">
        <f>IF(NOT(ISNUMBER($A33)),NA(),IFERROR(1*INDEX(BBG_Data!$N$2:$N$4000,MATCH($A33,BBG_Data!$M$2:$M$4000,0)),NA()))</f>
        <v/>
      </c>
      <c r="AD33" s="18">
        <f>IF(NOT(ISNUMBER($A33)),NA(),IFERROR(1*INDEX(BBG_Data!$P$2:$P$4000,MATCH($A33,BBG_Data!$O$2:$O$4000,0)),NA()))</f>
        <v/>
      </c>
      <c r="AE33" s="18">
        <f>IF(NOT(ISNUMBER($A33)),NA(),IFERROR(1*INDEX(BBG_Data!$R$2:$R$4000,MATCH($A33,BBG_Data!$Q$2:$Q$4000,0)),NA()))</f>
        <v/>
      </c>
      <c r="AF33" s="20">
        <f>IF(AND(ISNUMBER(B33),ISNUMBER(AC33)),(B33-AC33)*100,NA())</f>
        <v/>
      </c>
      <c r="AG33" s="20">
        <f>IF(AND(ISNUMBER(AE33),ISNUMBER(AD33)),(AE33-AD33)*100,NA())</f>
        <v/>
      </c>
      <c r="AH33" s="19">
        <f>IF(NOT(ISNUMBER($A33)),NA(),IFERROR(INDEX(BBG_Data!$T$2:$T$4000,MATCH($A33,BBG_Data!$S$2:$S$4000,0))*Settings!$B$25,NA()))</f>
        <v/>
      </c>
      <c r="AI33" s="19">
        <f>IF(NOT(ISNUMBER($A33)),NA(),IFERROR(INDEX(BBG_Data!$V$2:$V$4000,MATCH($A33,BBG_Data!$U$2:$U$4000,0))*Settings!$B$25,NA()))</f>
        <v/>
      </c>
      <c r="AJ33" s="19">
        <f>IF(NOT(ISNUMBER($A33)),NA(),IFERROR(1*INDEX(BBG_Data!$X$2:$X$4000,MATCH($A33,BBG_Data!$W$2:$W$4000,0)),NA()))</f>
        <v/>
      </c>
      <c r="AK33" s="19">
        <f>IF(NOT(ISNUMBER($A33)),NA(),IFERROR(1*INDEX(BBG_Data!$Z$2:$Z$4000,MATCH($A33,BBG_Data!$Y$2:$Y$4000,0)),NA()))</f>
        <v/>
      </c>
    </row>
    <row r="34">
      <c r="A34" s="17">
        <f>IF(ISNUMBER(BBG_Data!A34),BBG_Data!A34,"")</f>
        <v/>
      </c>
      <c r="B34" s="18">
        <f>IF(AND(ISNUMBER($A34),ISNUMBER(BBG_Data!B34)),BBG_Data!B34,NA())</f>
        <v/>
      </c>
      <c r="C34" s="18">
        <f>IF(NOT(ISNUMBER($A34)),NA(),IFERROR(1*INDEX(BBG_Data!$D$2:$D$4000,MATCH($A34,BBG_Data!$C$2:$C$4000,0)),NA()))</f>
        <v/>
      </c>
      <c r="D34" s="19">
        <f>IF(NOT(ISNUMBER($A34)),NA(),IFERROR(1*INDEX(BBG_Data!$F$2:$F$4000,MATCH($A34,BBG_Data!$E$2:$E$4000,0)),NA()))</f>
        <v/>
      </c>
      <c r="E34" s="19">
        <f>IF(NOT(ISNUMBER($A34)),NA(),IFERROR(1*INDEX(BBG_Data!$H$2:$H$4000,MATCH($A34,BBG_Data!$G$2:$G$4000,0)),NA()))</f>
        <v/>
      </c>
      <c r="F34" s="20">
        <f>IF(AND(ISNUMBER(B34),ISNUMBER(B33)),IF(B34=B33,"",(B34-B33)*100),"")</f>
        <v/>
      </c>
      <c r="G34" s="20">
        <f>IF(AND(ISNUMBER(C34),ISNUMBER(C33)),IF(C34=C33,"",(C34-C33)*100),"")</f>
        <v/>
      </c>
      <c r="H34" s="20">
        <f>IF(OR(NOT(ISNUMBER($A34)),ROW()-2&lt;Settings!$B$11),NA(),IF(COUNT(OFFSET(F34,1-Settings!$B$11,0,Settings!$B$11,1))&lt;ROUNDUP(Settings!$B$11*Settings!$B$26,0),NA(),STDEV(OFFSET(F34,1-Settings!$B$11,0,Settings!$B$11,1))*SQRT(Settings!$B$13)))</f>
        <v/>
      </c>
      <c r="I34" s="20">
        <f>IF(OR(NOT(ISNUMBER($A34)),ROW()-2&lt;Settings!$B$12),NA(),IF(COUNT(OFFSET(F34,1-Settings!$B$12,0,Settings!$B$12,1))&lt;ROUNDUP(Settings!$B$12*Settings!$B$26,0),NA(),STDEV(OFFSET(F34,1-Settings!$B$12,0,Settings!$B$12,1))*SQRT(Settings!$B$13)))</f>
        <v/>
      </c>
      <c r="J34" s="20">
        <f>IF(OR(NOT(ISNUMBER($A34)),ROW()-2&lt;Settings!$B$11),NA(),IF(COUNT(OFFSET(G34,1-Settings!$B$11,0,Settings!$B$11,1))&lt;ROUNDUP(Settings!$B$11*Settings!$B$26,0),NA(),STDEV(OFFSET(G34,1-Settings!$B$11,0,Settings!$B$11,1))*SQRT(Settings!$B$13)))</f>
        <v/>
      </c>
      <c r="K34" s="20">
        <f>IF(OR(NOT(ISNUMBER($A34)),ROW()-2&lt;Settings!$B$12),NA(),IF(COUNT(OFFSET(G34,1-Settings!$B$12,0,Settings!$B$12,1))&lt;ROUNDUP(Settings!$B$12*Settings!$B$26,0),NA(),STDEV(OFFSET(G34,1-Settings!$B$12,0,Settings!$B$12,1))*SQRT(Settings!$B$13)))</f>
        <v/>
      </c>
      <c r="L34" s="20">
        <f>IF(AND(ISNUMBER(D34),ISNUMBER(H34)),D34-H34,NA())</f>
        <v/>
      </c>
      <c r="M34" s="20">
        <f>IF(AND(ISNUMBER(E34),ISNUMBER(K34)),E34-K34,NA())</f>
        <v/>
      </c>
      <c r="N34" s="20">
        <f>IF(NOT(ISNUMBER($A34)),NA(),IF(COUNT(OFFSET(G34,1,0,Settings!$B$12,1))&lt;ROUNDUP(Settings!$B$12*Settings!$B$26,0),NA(),STDEV(OFFSET(G34,1,0,Settings!$B$12,1))*SQRT(Settings!$B$13)))</f>
        <v/>
      </c>
      <c r="O34" s="20">
        <f>IF(AND(ISNUMBER(E34),ISNUMBER(N34)),E34-N34,NA())</f>
        <v/>
      </c>
      <c r="P34" s="19">
        <f>IF(NOT(ISNUMBER($A34)),NA(),IF(OR($A34&lt;MIN(KW_TP!$A$2:$A$2501),$A34&gt;MAX(KW_TP!$A$2:$A$2501)),NA(),INDEX(KW_TP!$C$2:$C$2501,MATCH($A34,KW_TP!$A$2:$A$2501,1))))</f>
        <v/>
      </c>
      <c r="Q34" s="18">
        <f>IF(NOT(ISNUMBER($A34)),NA(),IFERROR(1*INDEX(BBG_Data!$J$2:$J$4000,MATCH($A34,BBG_Data!$I$2:$I$4000,0)),NA()))</f>
        <v/>
      </c>
      <c r="R34" s="18">
        <f>IF(NOT(ISNUMBER($A34)),NA(),IFERROR(1*INDEX(BBG_Data!$L$2:$L$4000,MATCH($A34,BBG_Data!$K$2:$K$4000,0)),NA()))</f>
        <v/>
      </c>
      <c r="S34" s="20">
        <f>IF(AND(ISNUMBER(B34),ISNUMBER(Q34),ISNUMBER(R34)),(B34-Q34-R34)*100,NA())</f>
        <v/>
      </c>
      <c r="T34" s="20">
        <f>IF(AND(ISNUMBER(B34),Settings!$B$17&gt;0),IF(ISNUMBER(INDEX($B:$B,Settings!$B$17)),(B34-INDEX($B:$B,Settings!$B$17))*100,NA()),NA())</f>
        <v/>
      </c>
      <c r="U34" s="20">
        <f>IF(AND(ISNUMBER(Q34),Settings!$B$17&gt;0),IF(ISNUMBER(INDEX($Q:$Q,Settings!$B$17)),(Q34-INDEX($Q:$Q,Settings!$B$17))*100,NA()),NA())</f>
        <v/>
      </c>
      <c r="V34" s="20">
        <f>IF(AND(ISNUMBER(R34),Settings!$B$17&gt;0),IF(ISNUMBER(INDEX($R:$R,Settings!$B$17)),(R34-INDEX($R:$R,Settings!$B$17))*100,NA()),NA())</f>
        <v/>
      </c>
      <c r="W34" s="20">
        <f>IF(AND(ISNUMBER(P34),Settings!$B$17&gt;0),IF(ISNUMBER(INDEX($P:$P,Settings!$B$17)),P34-INDEX($P:$P,Settings!$B$17),NA()),NA())</f>
        <v/>
      </c>
      <c r="X34" s="19">
        <f>IF(NOT(ISNUMBER($A34)),NA(),IF(OR($A34&lt;MIN(DKW_10Y!$A$2:$A$2918),$A34&gt;MAX(DKW_10Y!$A$2:$A$2918),Settings!$B$16&lt;MIN(DKW_10Y!$A$2:$A$2918)),NA(),(INDEX(DKW_10Y!$B$2:$B$2918,MATCH($A34,DKW_10Y!$A$2:$A$2918,1))-INDEX(DKW_10Y!$B$2:$B$2918,MATCH(Settings!$B$16,DKW_10Y!$A$2:$A$2918,1)))*100))</f>
        <v/>
      </c>
      <c r="Y34" s="19">
        <f>IF(NOT(ISNUMBER($A34)),NA(),IF(OR($A34&lt;MIN(DKW_10Y!$A$2:$A$2918),$A34&gt;MAX(DKW_10Y!$A$2:$A$2918),Settings!$B$16&lt;MIN(DKW_10Y!$A$2:$A$2918)),NA(),(INDEX(DKW_10Y!$C$2:$C$2918,MATCH($A34,DKW_10Y!$A$2:$A$2918,1))-INDEX(DKW_10Y!$C$2:$C$2918,MATCH(Settings!$B$16,DKW_10Y!$A$2:$A$2918,1)))*100))</f>
        <v/>
      </c>
      <c r="Z34" s="19">
        <f>IF(NOT(ISNUMBER($A34)),NA(),IF(OR($A34&lt;MIN(DKW_10Y!$A$2:$A$2918),$A34&gt;MAX(DKW_10Y!$A$2:$A$2918),Settings!$B$16&lt;MIN(DKW_10Y!$A$2:$A$2918)),NA(),(INDEX(DKW_10Y!$D$2:$D$2918,MATCH($A34,DKW_10Y!$A$2:$A$2918,1))-INDEX(DKW_10Y!$D$2:$D$2918,MATCH(Settings!$B$16,DKW_10Y!$A$2:$A$2918,1)))*100))</f>
        <v/>
      </c>
      <c r="AA34" s="19">
        <f>IF(NOT(ISNUMBER($A34)),NA(),IF(OR($A34&lt;MIN(DKW_10Y!$A$2:$A$2918),$A34&gt;MAX(DKW_10Y!$A$2:$A$2918),Settings!$B$16&lt;MIN(DKW_10Y!$A$2:$A$2918)),NA(),(INDEX(DKW_10Y!$E$2:$E$2918,MATCH($A34,DKW_10Y!$A$2:$A$2918,1))-INDEX(DKW_10Y!$E$2:$E$2918,MATCH(Settings!$B$16,DKW_10Y!$A$2:$A$2918,1)))*100))</f>
        <v/>
      </c>
      <c r="AB34" s="19">
        <f>IF(NOT(ISNUMBER($A34)),NA(),IF(OR($A34&lt;MIN(DKW_10Y!$A$2:$A$2918),$A34&gt;MAX(DKW_10Y!$A$2:$A$2918),Settings!$B$16&lt;MIN(DKW_10Y!$A$2:$A$2918)),NA(),(INDEX(DKW_10Y!$H$2:$H$2918,MATCH($A34,DKW_10Y!$A$2:$A$2918,1))-INDEX(DKW_10Y!$H$2:$H$2918,MATCH(Settings!$B$16,DKW_10Y!$A$2:$A$2918,1)))*100))</f>
        <v/>
      </c>
      <c r="AC34" s="18">
        <f>IF(NOT(ISNUMBER($A34)),NA(),IFERROR(1*INDEX(BBG_Data!$N$2:$N$4000,MATCH($A34,BBG_Data!$M$2:$M$4000,0)),NA()))</f>
        <v/>
      </c>
      <c r="AD34" s="18">
        <f>IF(NOT(ISNUMBER($A34)),NA(),IFERROR(1*INDEX(BBG_Data!$P$2:$P$4000,MATCH($A34,BBG_Data!$O$2:$O$4000,0)),NA()))</f>
        <v/>
      </c>
      <c r="AE34" s="18">
        <f>IF(NOT(ISNUMBER($A34)),NA(),IFERROR(1*INDEX(BBG_Data!$R$2:$R$4000,MATCH($A34,BBG_Data!$Q$2:$Q$4000,0)),NA()))</f>
        <v/>
      </c>
      <c r="AF34" s="20">
        <f>IF(AND(ISNUMBER(B34),ISNUMBER(AC34)),(B34-AC34)*100,NA())</f>
        <v/>
      </c>
      <c r="AG34" s="20">
        <f>IF(AND(ISNUMBER(AE34),ISNUMBER(AD34)),(AE34-AD34)*100,NA())</f>
        <v/>
      </c>
      <c r="AH34" s="19">
        <f>IF(NOT(ISNUMBER($A34)),NA(),IFERROR(INDEX(BBG_Data!$T$2:$T$4000,MATCH($A34,BBG_Data!$S$2:$S$4000,0))*Settings!$B$25,NA()))</f>
        <v/>
      </c>
      <c r="AI34" s="19">
        <f>IF(NOT(ISNUMBER($A34)),NA(),IFERROR(INDEX(BBG_Data!$V$2:$V$4000,MATCH($A34,BBG_Data!$U$2:$U$4000,0))*Settings!$B$25,NA()))</f>
        <v/>
      </c>
      <c r="AJ34" s="19">
        <f>IF(NOT(ISNUMBER($A34)),NA(),IFERROR(1*INDEX(BBG_Data!$X$2:$X$4000,MATCH($A34,BBG_Data!$W$2:$W$4000,0)),NA()))</f>
        <v/>
      </c>
      <c r="AK34" s="19">
        <f>IF(NOT(ISNUMBER($A34)),NA(),IFERROR(1*INDEX(BBG_Data!$Z$2:$Z$4000,MATCH($A34,BBG_Data!$Y$2:$Y$4000,0)),NA()))</f>
        <v/>
      </c>
    </row>
    <row r="35">
      <c r="A35" s="17">
        <f>IF(ISNUMBER(BBG_Data!A35),BBG_Data!A35,"")</f>
        <v/>
      </c>
      <c r="B35" s="18">
        <f>IF(AND(ISNUMBER($A35),ISNUMBER(BBG_Data!B35)),BBG_Data!B35,NA())</f>
        <v/>
      </c>
      <c r="C35" s="18">
        <f>IF(NOT(ISNUMBER($A35)),NA(),IFERROR(1*INDEX(BBG_Data!$D$2:$D$4000,MATCH($A35,BBG_Data!$C$2:$C$4000,0)),NA()))</f>
        <v/>
      </c>
      <c r="D35" s="19">
        <f>IF(NOT(ISNUMBER($A35)),NA(),IFERROR(1*INDEX(BBG_Data!$F$2:$F$4000,MATCH($A35,BBG_Data!$E$2:$E$4000,0)),NA()))</f>
        <v/>
      </c>
      <c r="E35" s="19">
        <f>IF(NOT(ISNUMBER($A35)),NA(),IFERROR(1*INDEX(BBG_Data!$H$2:$H$4000,MATCH($A35,BBG_Data!$G$2:$G$4000,0)),NA()))</f>
        <v/>
      </c>
      <c r="F35" s="20">
        <f>IF(AND(ISNUMBER(B35),ISNUMBER(B34)),IF(B35=B34,"",(B35-B34)*100),"")</f>
        <v/>
      </c>
      <c r="G35" s="20">
        <f>IF(AND(ISNUMBER(C35),ISNUMBER(C34)),IF(C35=C34,"",(C35-C34)*100),"")</f>
        <v/>
      </c>
      <c r="H35" s="20">
        <f>IF(OR(NOT(ISNUMBER($A35)),ROW()-2&lt;Settings!$B$11),NA(),IF(COUNT(OFFSET(F35,1-Settings!$B$11,0,Settings!$B$11,1))&lt;ROUNDUP(Settings!$B$11*Settings!$B$26,0),NA(),STDEV(OFFSET(F35,1-Settings!$B$11,0,Settings!$B$11,1))*SQRT(Settings!$B$13)))</f>
        <v/>
      </c>
      <c r="I35" s="20">
        <f>IF(OR(NOT(ISNUMBER($A35)),ROW()-2&lt;Settings!$B$12),NA(),IF(COUNT(OFFSET(F35,1-Settings!$B$12,0,Settings!$B$12,1))&lt;ROUNDUP(Settings!$B$12*Settings!$B$26,0),NA(),STDEV(OFFSET(F35,1-Settings!$B$12,0,Settings!$B$12,1))*SQRT(Settings!$B$13)))</f>
        <v/>
      </c>
      <c r="J35" s="20">
        <f>IF(OR(NOT(ISNUMBER($A35)),ROW()-2&lt;Settings!$B$11),NA(),IF(COUNT(OFFSET(G35,1-Settings!$B$11,0,Settings!$B$11,1))&lt;ROUNDUP(Settings!$B$11*Settings!$B$26,0),NA(),STDEV(OFFSET(G35,1-Settings!$B$11,0,Settings!$B$11,1))*SQRT(Settings!$B$13)))</f>
        <v/>
      </c>
      <c r="K35" s="20">
        <f>IF(OR(NOT(ISNUMBER($A35)),ROW()-2&lt;Settings!$B$12),NA(),IF(COUNT(OFFSET(G35,1-Settings!$B$12,0,Settings!$B$12,1))&lt;ROUNDUP(Settings!$B$12*Settings!$B$26,0),NA(),STDEV(OFFSET(G35,1-Settings!$B$12,0,Settings!$B$12,1))*SQRT(Settings!$B$13)))</f>
        <v/>
      </c>
      <c r="L35" s="20">
        <f>IF(AND(ISNUMBER(D35),ISNUMBER(H35)),D35-H35,NA())</f>
        <v/>
      </c>
      <c r="M35" s="20">
        <f>IF(AND(ISNUMBER(E35),ISNUMBER(K35)),E35-K35,NA())</f>
        <v/>
      </c>
      <c r="N35" s="20">
        <f>IF(NOT(ISNUMBER($A35)),NA(),IF(COUNT(OFFSET(G35,1,0,Settings!$B$12,1))&lt;ROUNDUP(Settings!$B$12*Settings!$B$26,0),NA(),STDEV(OFFSET(G35,1,0,Settings!$B$12,1))*SQRT(Settings!$B$13)))</f>
        <v/>
      </c>
      <c r="O35" s="20">
        <f>IF(AND(ISNUMBER(E35),ISNUMBER(N35)),E35-N35,NA())</f>
        <v/>
      </c>
      <c r="P35" s="19">
        <f>IF(NOT(ISNUMBER($A35)),NA(),IF(OR($A35&lt;MIN(KW_TP!$A$2:$A$2501),$A35&gt;MAX(KW_TP!$A$2:$A$2501)),NA(),INDEX(KW_TP!$C$2:$C$2501,MATCH($A35,KW_TP!$A$2:$A$2501,1))))</f>
        <v/>
      </c>
      <c r="Q35" s="18">
        <f>IF(NOT(ISNUMBER($A35)),NA(),IFERROR(1*INDEX(BBG_Data!$J$2:$J$4000,MATCH($A35,BBG_Data!$I$2:$I$4000,0)),NA()))</f>
        <v/>
      </c>
      <c r="R35" s="18">
        <f>IF(NOT(ISNUMBER($A35)),NA(),IFERROR(1*INDEX(BBG_Data!$L$2:$L$4000,MATCH($A35,BBG_Data!$K$2:$K$4000,0)),NA()))</f>
        <v/>
      </c>
      <c r="S35" s="20">
        <f>IF(AND(ISNUMBER(B35),ISNUMBER(Q35),ISNUMBER(R35)),(B35-Q35-R35)*100,NA())</f>
        <v/>
      </c>
      <c r="T35" s="20">
        <f>IF(AND(ISNUMBER(B35),Settings!$B$17&gt;0),IF(ISNUMBER(INDEX($B:$B,Settings!$B$17)),(B35-INDEX($B:$B,Settings!$B$17))*100,NA()),NA())</f>
        <v/>
      </c>
      <c r="U35" s="20">
        <f>IF(AND(ISNUMBER(Q35),Settings!$B$17&gt;0),IF(ISNUMBER(INDEX($Q:$Q,Settings!$B$17)),(Q35-INDEX($Q:$Q,Settings!$B$17))*100,NA()),NA())</f>
        <v/>
      </c>
      <c r="V35" s="20">
        <f>IF(AND(ISNUMBER(R35),Settings!$B$17&gt;0),IF(ISNUMBER(INDEX($R:$R,Settings!$B$17)),(R35-INDEX($R:$R,Settings!$B$17))*100,NA()),NA())</f>
        <v/>
      </c>
      <c r="W35" s="20">
        <f>IF(AND(ISNUMBER(P35),Settings!$B$17&gt;0),IF(ISNUMBER(INDEX($P:$P,Settings!$B$17)),P35-INDEX($P:$P,Settings!$B$17),NA()),NA())</f>
        <v/>
      </c>
      <c r="X35" s="19">
        <f>IF(NOT(ISNUMBER($A35)),NA(),IF(OR($A35&lt;MIN(DKW_10Y!$A$2:$A$2918),$A35&gt;MAX(DKW_10Y!$A$2:$A$2918),Settings!$B$16&lt;MIN(DKW_10Y!$A$2:$A$2918)),NA(),(INDEX(DKW_10Y!$B$2:$B$2918,MATCH($A35,DKW_10Y!$A$2:$A$2918,1))-INDEX(DKW_10Y!$B$2:$B$2918,MATCH(Settings!$B$16,DKW_10Y!$A$2:$A$2918,1)))*100))</f>
        <v/>
      </c>
      <c r="Y35" s="19">
        <f>IF(NOT(ISNUMBER($A35)),NA(),IF(OR($A35&lt;MIN(DKW_10Y!$A$2:$A$2918),$A35&gt;MAX(DKW_10Y!$A$2:$A$2918),Settings!$B$16&lt;MIN(DKW_10Y!$A$2:$A$2918)),NA(),(INDEX(DKW_10Y!$C$2:$C$2918,MATCH($A35,DKW_10Y!$A$2:$A$2918,1))-INDEX(DKW_10Y!$C$2:$C$2918,MATCH(Settings!$B$16,DKW_10Y!$A$2:$A$2918,1)))*100))</f>
        <v/>
      </c>
      <c r="Z35" s="19">
        <f>IF(NOT(ISNUMBER($A35)),NA(),IF(OR($A35&lt;MIN(DKW_10Y!$A$2:$A$2918),$A35&gt;MAX(DKW_10Y!$A$2:$A$2918),Settings!$B$16&lt;MIN(DKW_10Y!$A$2:$A$2918)),NA(),(INDEX(DKW_10Y!$D$2:$D$2918,MATCH($A35,DKW_10Y!$A$2:$A$2918,1))-INDEX(DKW_10Y!$D$2:$D$2918,MATCH(Settings!$B$16,DKW_10Y!$A$2:$A$2918,1)))*100))</f>
        <v/>
      </c>
      <c r="AA35" s="19">
        <f>IF(NOT(ISNUMBER($A35)),NA(),IF(OR($A35&lt;MIN(DKW_10Y!$A$2:$A$2918),$A35&gt;MAX(DKW_10Y!$A$2:$A$2918),Settings!$B$16&lt;MIN(DKW_10Y!$A$2:$A$2918)),NA(),(INDEX(DKW_10Y!$E$2:$E$2918,MATCH($A35,DKW_10Y!$A$2:$A$2918,1))-INDEX(DKW_10Y!$E$2:$E$2918,MATCH(Settings!$B$16,DKW_10Y!$A$2:$A$2918,1)))*100))</f>
        <v/>
      </c>
      <c r="AB35" s="19">
        <f>IF(NOT(ISNUMBER($A35)),NA(),IF(OR($A35&lt;MIN(DKW_10Y!$A$2:$A$2918),$A35&gt;MAX(DKW_10Y!$A$2:$A$2918),Settings!$B$16&lt;MIN(DKW_10Y!$A$2:$A$2918)),NA(),(INDEX(DKW_10Y!$H$2:$H$2918,MATCH($A35,DKW_10Y!$A$2:$A$2918,1))-INDEX(DKW_10Y!$H$2:$H$2918,MATCH(Settings!$B$16,DKW_10Y!$A$2:$A$2918,1)))*100))</f>
        <v/>
      </c>
      <c r="AC35" s="18">
        <f>IF(NOT(ISNUMBER($A35)),NA(),IFERROR(1*INDEX(BBG_Data!$N$2:$N$4000,MATCH($A35,BBG_Data!$M$2:$M$4000,0)),NA()))</f>
        <v/>
      </c>
      <c r="AD35" s="18">
        <f>IF(NOT(ISNUMBER($A35)),NA(),IFERROR(1*INDEX(BBG_Data!$P$2:$P$4000,MATCH($A35,BBG_Data!$O$2:$O$4000,0)),NA()))</f>
        <v/>
      </c>
      <c r="AE35" s="18">
        <f>IF(NOT(ISNUMBER($A35)),NA(),IFERROR(1*INDEX(BBG_Data!$R$2:$R$4000,MATCH($A35,BBG_Data!$Q$2:$Q$4000,0)),NA()))</f>
        <v/>
      </c>
      <c r="AF35" s="20">
        <f>IF(AND(ISNUMBER(B35),ISNUMBER(AC35)),(B35-AC35)*100,NA())</f>
        <v/>
      </c>
      <c r="AG35" s="20">
        <f>IF(AND(ISNUMBER(AE35),ISNUMBER(AD35)),(AE35-AD35)*100,NA())</f>
        <v/>
      </c>
      <c r="AH35" s="19">
        <f>IF(NOT(ISNUMBER($A35)),NA(),IFERROR(INDEX(BBG_Data!$T$2:$T$4000,MATCH($A35,BBG_Data!$S$2:$S$4000,0))*Settings!$B$25,NA()))</f>
        <v/>
      </c>
      <c r="AI35" s="19">
        <f>IF(NOT(ISNUMBER($A35)),NA(),IFERROR(INDEX(BBG_Data!$V$2:$V$4000,MATCH($A35,BBG_Data!$U$2:$U$4000,0))*Settings!$B$25,NA()))</f>
        <v/>
      </c>
      <c r="AJ35" s="19">
        <f>IF(NOT(ISNUMBER($A35)),NA(),IFERROR(1*INDEX(BBG_Data!$X$2:$X$4000,MATCH($A35,BBG_Data!$W$2:$W$4000,0)),NA()))</f>
        <v/>
      </c>
      <c r="AK35" s="19">
        <f>IF(NOT(ISNUMBER($A35)),NA(),IFERROR(1*INDEX(BBG_Data!$Z$2:$Z$4000,MATCH($A35,BBG_Data!$Y$2:$Y$4000,0)),NA()))</f>
        <v/>
      </c>
    </row>
    <row r="36">
      <c r="A36" s="17">
        <f>IF(ISNUMBER(BBG_Data!A36),BBG_Data!A36,"")</f>
        <v/>
      </c>
      <c r="B36" s="18">
        <f>IF(AND(ISNUMBER($A36),ISNUMBER(BBG_Data!B36)),BBG_Data!B36,NA())</f>
        <v/>
      </c>
      <c r="C36" s="18">
        <f>IF(NOT(ISNUMBER($A36)),NA(),IFERROR(1*INDEX(BBG_Data!$D$2:$D$4000,MATCH($A36,BBG_Data!$C$2:$C$4000,0)),NA()))</f>
        <v/>
      </c>
      <c r="D36" s="19">
        <f>IF(NOT(ISNUMBER($A36)),NA(),IFERROR(1*INDEX(BBG_Data!$F$2:$F$4000,MATCH($A36,BBG_Data!$E$2:$E$4000,0)),NA()))</f>
        <v/>
      </c>
      <c r="E36" s="19">
        <f>IF(NOT(ISNUMBER($A36)),NA(),IFERROR(1*INDEX(BBG_Data!$H$2:$H$4000,MATCH($A36,BBG_Data!$G$2:$G$4000,0)),NA()))</f>
        <v/>
      </c>
      <c r="F36" s="20">
        <f>IF(AND(ISNUMBER(B36),ISNUMBER(B35)),IF(B36=B35,"",(B36-B35)*100),"")</f>
        <v/>
      </c>
      <c r="G36" s="20">
        <f>IF(AND(ISNUMBER(C36),ISNUMBER(C35)),IF(C36=C35,"",(C36-C35)*100),"")</f>
        <v/>
      </c>
      <c r="H36" s="20">
        <f>IF(OR(NOT(ISNUMBER($A36)),ROW()-2&lt;Settings!$B$11),NA(),IF(COUNT(OFFSET(F36,1-Settings!$B$11,0,Settings!$B$11,1))&lt;ROUNDUP(Settings!$B$11*Settings!$B$26,0),NA(),STDEV(OFFSET(F36,1-Settings!$B$11,0,Settings!$B$11,1))*SQRT(Settings!$B$13)))</f>
        <v/>
      </c>
      <c r="I36" s="20">
        <f>IF(OR(NOT(ISNUMBER($A36)),ROW()-2&lt;Settings!$B$12),NA(),IF(COUNT(OFFSET(F36,1-Settings!$B$12,0,Settings!$B$12,1))&lt;ROUNDUP(Settings!$B$12*Settings!$B$26,0),NA(),STDEV(OFFSET(F36,1-Settings!$B$12,0,Settings!$B$12,1))*SQRT(Settings!$B$13)))</f>
        <v/>
      </c>
      <c r="J36" s="20">
        <f>IF(OR(NOT(ISNUMBER($A36)),ROW()-2&lt;Settings!$B$11),NA(),IF(COUNT(OFFSET(G36,1-Settings!$B$11,0,Settings!$B$11,1))&lt;ROUNDUP(Settings!$B$11*Settings!$B$26,0),NA(),STDEV(OFFSET(G36,1-Settings!$B$11,0,Settings!$B$11,1))*SQRT(Settings!$B$13)))</f>
        <v/>
      </c>
      <c r="K36" s="20">
        <f>IF(OR(NOT(ISNUMBER($A36)),ROW()-2&lt;Settings!$B$12),NA(),IF(COUNT(OFFSET(G36,1-Settings!$B$12,0,Settings!$B$12,1))&lt;ROUNDUP(Settings!$B$12*Settings!$B$26,0),NA(),STDEV(OFFSET(G36,1-Settings!$B$12,0,Settings!$B$12,1))*SQRT(Settings!$B$13)))</f>
        <v/>
      </c>
      <c r="L36" s="20">
        <f>IF(AND(ISNUMBER(D36),ISNUMBER(H36)),D36-H36,NA())</f>
        <v/>
      </c>
      <c r="M36" s="20">
        <f>IF(AND(ISNUMBER(E36),ISNUMBER(K36)),E36-K36,NA())</f>
        <v/>
      </c>
      <c r="N36" s="20">
        <f>IF(NOT(ISNUMBER($A36)),NA(),IF(COUNT(OFFSET(G36,1,0,Settings!$B$12,1))&lt;ROUNDUP(Settings!$B$12*Settings!$B$26,0),NA(),STDEV(OFFSET(G36,1,0,Settings!$B$12,1))*SQRT(Settings!$B$13)))</f>
        <v/>
      </c>
      <c r="O36" s="20">
        <f>IF(AND(ISNUMBER(E36),ISNUMBER(N36)),E36-N36,NA())</f>
        <v/>
      </c>
      <c r="P36" s="19">
        <f>IF(NOT(ISNUMBER($A36)),NA(),IF(OR($A36&lt;MIN(KW_TP!$A$2:$A$2501),$A36&gt;MAX(KW_TP!$A$2:$A$2501)),NA(),INDEX(KW_TP!$C$2:$C$2501,MATCH($A36,KW_TP!$A$2:$A$2501,1))))</f>
        <v/>
      </c>
      <c r="Q36" s="18">
        <f>IF(NOT(ISNUMBER($A36)),NA(),IFERROR(1*INDEX(BBG_Data!$J$2:$J$4000,MATCH($A36,BBG_Data!$I$2:$I$4000,0)),NA()))</f>
        <v/>
      </c>
      <c r="R36" s="18">
        <f>IF(NOT(ISNUMBER($A36)),NA(),IFERROR(1*INDEX(BBG_Data!$L$2:$L$4000,MATCH($A36,BBG_Data!$K$2:$K$4000,0)),NA()))</f>
        <v/>
      </c>
      <c r="S36" s="20">
        <f>IF(AND(ISNUMBER(B36),ISNUMBER(Q36),ISNUMBER(R36)),(B36-Q36-R36)*100,NA())</f>
        <v/>
      </c>
      <c r="T36" s="20">
        <f>IF(AND(ISNUMBER(B36),Settings!$B$17&gt;0),IF(ISNUMBER(INDEX($B:$B,Settings!$B$17)),(B36-INDEX($B:$B,Settings!$B$17))*100,NA()),NA())</f>
        <v/>
      </c>
      <c r="U36" s="20">
        <f>IF(AND(ISNUMBER(Q36),Settings!$B$17&gt;0),IF(ISNUMBER(INDEX($Q:$Q,Settings!$B$17)),(Q36-INDEX($Q:$Q,Settings!$B$17))*100,NA()),NA())</f>
        <v/>
      </c>
      <c r="V36" s="20">
        <f>IF(AND(ISNUMBER(R36),Settings!$B$17&gt;0),IF(ISNUMBER(INDEX($R:$R,Settings!$B$17)),(R36-INDEX($R:$R,Settings!$B$17))*100,NA()),NA())</f>
        <v/>
      </c>
      <c r="W36" s="20">
        <f>IF(AND(ISNUMBER(P36),Settings!$B$17&gt;0),IF(ISNUMBER(INDEX($P:$P,Settings!$B$17)),P36-INDEX($P:$P,Settings!$B$17),NA()),NA())</f>
        <v/>
      </c>
      <c r="X36" s="19">
        <f>IF(NOT(ISNUMBER($A36)),NA(),IF(OR($A36&lt;MIN(DKW_10Y!$A$2:$A$2918),$A36&gt;MAX(DKW_10Y!$A$2:$A$2918),Settings!$B$16&lt;MIN(DKW_10Y!$A$2:$A$2918)),NA(),(INDEX(DKW_10Y!$B$2:$B$2918,MATCH($A36,DKW_10Y!$A$2:$A$2918,1))-INDEX(DKW_10Y!$B$2:$B$2918,MATCH(Settings!$B$16,DKW_10Y!$A$2:$A$2918,1)))*100))</f>
        <v/>
      </c>
      <c r="Y36" s="19">
        <f>IF(NOT(ISNUMBER($A36)),NA(),IF(OR($A36&lt;MIN(DKW_10Y!$A$2:$A$2918),$A36&gt;MAX(DKW_10Y!$A$2:$A$2918),Settings!$B$16&lt;MIN(DKW_10Y!$A$2:$A$2918)),NA(),(INDEX(DKW_10Y!$C$2:$C$2918,MATCH($A36,DKW_10Y!$A$2:$A$2918,1))-INDEX(DKW_10Y!$C$2:$C$2918,MATCH(Settings!$B$16,DKW_10Y!$A$2:$A$2918,1)))*100))</f>
        <v/>
      </c>
      <c r="Z36" s="19">
        <f>IF(NOT(ISNUMBER($A36)),NA(),IF(OR($A36&lt;MIN(DKW_10Y!$A$2:$A$2918),$A36&gt;MAX(DKW_10Y!$A$2:$A$2918),Settings!$B$16&lt;MIN(DKW_10Y!$A$2:$A$2918)),NA(),(INDEX(DKW_10Y!$D$2:$D$2918,MATCH($A36,DKW_10Y!$A$2:$A$2918,1))-INDEX(DKW_10Y!$D$2:$D$2918,MATCH(Settings!$B$16,DKW_10Y!$A$2:$A$2918,1)))*100))</f>
        <v/>
      </c>
      <c r="AA36" s="19">
        <f>IF(NOT(ISNUMBER($A36)),NA(),IF(OR($A36&lt;MIN(DKW_10Y!$A$2:$A$2918),$A36&gt;MAX(DKW_10Y!$A$2:$A$2918),Settings!$B$16&lt;MIN(DKW_10Y!$A$2:$A$2918)),NA(),(INDEX(DKW_10Y!$E$2:$E$2918,MATCH($A36,DKW_10Y!$A$2:$A$2918,1))-INDEX(DKW_10Y!$E$2:$E$2918,MATCH(Settings!$B$16,DKW_10Y!$A$2:$A$2918,1)))*100))</f>
        <v/>
      </c>
      <c r="AB36" s="19">
        <f>IF(NOT(ISNUMBER($A36)),NA(),IF(OR($A36&lt;MIN(DKW_10Y!$A$2:$A$2918),$A36&gt;MAX(DKW_10Y!$A$2:$A$2918),Settings!$B$16&lt;MIN(DKW_10Y!$A$2:$A$2918)),NA(),(INDEX(DKW_10Y!$H$2:$H$2918,MATCH($A36,DKW_10Y!$A$2:$A$2918,1))-INDEX(DKW_10Y!$H$2:$H$2918,MATCH(Settings!$B$16,DKW_10Y!$A$2:$A$2918,1)))*100))</f>
        <v/>
      </c>
      <c r="AC36" s="18">
        <f>IF(NOT(ISNUMBER($A36)),NA(),IFERROR(1*INDEX(BBG_Data!$N$2:$N$4000,MATCH($A36,BBG_Data!$M$2:$M$4000,0)),NA()))</f>
        <v/>
      </c>
      <c r="AD36" s="18">
        <f>IF(NOT(ISNUMBER($A36)),NA(),IFERROR(1*INDEX(BBG_Data!$P$2:$P$4000,MATCH($A36,BBG_Data!$O$2:$O$4000,0)),NA()))</f>
        <v/>
      </c>
      <c r="AE36" s="18">
        <f>IF(NOT(ISNUMBER($A36)),NA(),IFERROR(1*INDEX(BBG_Data!$R$2:$R$4000,MATCH($A36,BBG_Data!$Q$2:$Q$4000,0)),NA()))</f>
        <v/>
      </c>
      <c r="AF36" s="20">
        <f>IF(AND(ISNUMBER(B36),ISNUMBER(AC36)),(B36-AC36)*100,NA())</f>
        <v/>
      </c>
      <c r="AG36" s="20">
        <f>IF(AND(ISNUMBER(AE36),ISNUMBER(AD36)),(AE36-AD36)*100,NA())</f>
        <v/>
      </c>
      <c r="AH36" s="19">
        <f>IF(NOT(ISNUMBER($A36)),NA(),IFERROR(INDEX(BBG_Data!$T$2:$T$4000,MATCH($A36,BBG_Data!$S$2:$S$4000,0))*Settings!$B$25,NA()))</f>
        <v/>
      </c>
      <c r="AI36" s="19">
        <f>IF(NOT(ISNUMBER($A36)),NA(),IFERROR(INDEX(BBG_Data!$V$2:$V$4000,MATCH($A36,BBG_Data!$U$2:$U$4000,0))*Settings!$B$25,NA()))</f>
        <v/>
      </c>
      <c r="AJ36" s="19">
        <f>IF(NOT(ISNUMBER($A36)),NA(),IFERROR(1*INDEX(BBG_Data!$X$2:$X$4000,MATCH($A36,BBG_Data!$W$2:$W$4000,0)),NA()))</f>
        <v/>
      </c>
      <c r="AK36" s="19">
        <f>IF(NOT(ISNUMBER($A36)),NA(),IFERROR(1*INDEX(BBG_Data!$Z$2:$Z$4000,MATCH($A36,BBG_Data!$Y$2:$Y$4000,0)),NA()))</f>
        <v/>
      </c>
    </row>
    <row r="37">
      <c r="A37" s="17">
        <f>IF(ISNUMBER(BBG_Data!A37),BBG_Data!A37,"")</f>
        <v/>
      </c>
      <c r="B37" s="18">
        <f>IF(AND(ISNUMBER($A37),ISNUMBER(BBG_Data!B37)),BBG_Data!B37,NA())</f>
        <v/>
      </c>
      <c r="C37" s="18">
        <f>IF(NOT(ISNUMBER($A37)),NA(),IFERROR(1*INDEX(BBG_Data!$D$2:$D$4000,MATCH($A37,BBG_Data!$C$2:$C$4000,0)),NA()))</f>
        <v/>
      </c>
      <c r="D37" s="19">
        <f>IF(NOT(ISNUMBER($A37)),NA(),IFERROR(1*INDEX(BBG_Data!$F$2:$F$4000,MATCH($A37,BBG_Data!$E$2:$E$4000,0)),NA()))</f>
        <v/>
      </c>
      <c r="E37" s="19">
        <f>IF(NOT(ISNUMBER($A37)),NA(),IFERROR(1*INDEX(BBG_Data!$H$2:$H$4000,MATCH($A37,BBG_Data!$G$2:$G$4000,0)),NA()))</f>
        <v/>
      </c>
      <c r="F37" s="20">
        <f>IF(AND(ISNUMBER(B37),ISNUMBER(B36)),IF(B37=B36,"",(B37-B36)*100),"")</f>
        <v/>
      </c>
      <c r="G37" s="20">
        <f>IF(AND(ISNUMBER(C37),ISNUMBER(C36)),IF(C37=C36,"",(C37-C36)*100),"")</f>
        <v/>
      </c>
      <c r="H37" s="20">
        <f>IF(OR(NOT(ISNUMBER($A37)),ROW()-2&lt;Settings!$B$11),NA(),IF(COUNT(OFFSET(F37,1-Settings!$B$11,0,Settings!$B$11,1))&lt;ROUNDUP(Settings!$B$11*Settings!$B$26,0),NA(),STDEV(OFFSET(F37,1-Settings!$B$11,0,Settings!$B$11,1))*SQRT(Settings!$B$13)))</f>
        <v/>
      </c>
      <c r="I37" s="20">
        <f>IF(OR(NOT(ISNUMBER($A37)),ROW()-2&lt;Settings!$B$12),NA(),IF(COUNT(OFFSET(F37,1-Settings!$B$12,0,Settings!$B$12,1))&lt;ROUNDUP(Settings!$B$12*Settings!$B$26,0),NA(),STDEV(OFFSET(F37,1-Settings!$B$12,0,Settings!$B$12,1))*SQRT(Settings!$B$13)))</f>
        <v/>
      </c>
      <c r="J37" s="20">
        <f>IF(OR(NOT(ISNUMBER($A37)),ROW()-2&lt;Settings!$B$11),NA(),IF(COUNT(OFFSET(G37,1-Settings!$B$11,0,Settings!$B$11,1))&lt;ROUNDUP(Settings!$B$11*Settings!$B$26,0),NA(),STDEV(OFFSET(G37,1-Settings!$B$11,0,Settings!$B$11,1))*SQRT(Settings!$B$13)))</f>
        <v/>
      </c>
      <c r="K37" s="20">
        <f>IF(OR(NOT(ISNUMBER($A37)),ROW()-2&lt;Settings!$B$12),NA(),IF(COUNT(OFFSET(G37,1-Settings!$B$12,0,Settings!$B$12,1))&lt;ROUNDUP(Settings!$B$12*Settings!$B$26,0),NA(),STDEV(OFFSET(G37,1-Settings!$B$12,0,Settings!$B$12,1))*SQRT(Settings!$B$13)))</f>
        <v/>
      </c>
      <c r="L37" s="20">
        <f>IF(AND(ISNUMBER(D37),ISNUMBER(H37)),D37-H37,NA())</f>
        <v/>
      </c>
      <c r="M37" s="20">
        <f>IF(AND(ISNUMBER(E37),ISNUMBER(K37)),E37-K37,NA())</f>
        <v/>
      </c>
      <c r="N37" s="20">
        <f>IF(NOT(ISNUMBER($A37)),NA(),IF(COUNT(OFFSET(G37,1,0,Settings!$B$12,1))&lt;ROUNDUP(Settings!$B$12*Settings!$B$26,0),NA(),STDEV(OFFSET(G37,1,0,Settings!$B$12,1))*SQRT(Settings!$B$13)))</f>
        <v/>
      </c>
      <c r="O37" s="20">
        <f>IF(AND(ISNUMBER(E37),ISNUMBER(N37)),E37-N37,NA())</f>
        <v/>
      </c>
      <c r="P37" s="19">
        <f>IF(NOT(ISNUMBER($A37)),NA(),IF(OR($A37&lt;MIN(KW_TP!$A$2:$A$2501),$A37&gt;MAX(KW_TP!$A$2:$A$2501)),NA(),INDEX(KW_TP!$C$2:$C$2501,MATCH($A37,KW_TP!$A$2:$A$2501,1))))</f>
        <v/>
      </c>
      <c r="Q37" s="18">
        <f>IF(NOT(ISNUMBER($A37)),NA(),IFERROR(1*INDEX(BBG_Data!$J$2:$J$4000,MATCH($A37,BBG_Data!$I$2:$I$4000,0)),NA()))</f>
        <v/>
      </c>
      <c r="R37" s="18">
        <f>IF(NOT(ISNUMBER($A37)),NA(),IFERROR(1*INDEX(BBG_Data!$L$2:$L$4000,MATCH($A37,BBG_Data!$K$2:$K$4000,0)),NA()))</f>
        <v/>
      </c>
      <c r="S37" s="20">
        <f>IF(AND(ISNUMBER(B37),ISNUMBER(Q37),ISNUMBER(R37)),(B37-Q37-R37)*100,NA())</f>
        <v/>
      </c>
      <c r="T37" s="20">
        <f>IF(AND(ISNUMBER(B37),Settings!$B$17&gt;0),IF(ISNUMBER(INDEX($B:$B,Settings!$B$17)),(B37-INDEX($B:$B,Settings!$B$17))*100,NA()),NA())</f>
        <v/>
      </c>
      <c r="U37" s="20">
        <f>IF(AND(ISNUMBER(Q37),Settings!$B$17&gt;0),IF(ISNUMBER(INDEX($Q:$Q,Settings!$B$17)),(Q37-INDEX($Q:$Q,Settings!$B$17))*100,NA()),NA())</f>
        <v/>
      </c>
      <c r="V37" s="20">
        <f>IF(AND(ISNUMBER(R37),Settings!$B$17&gt;0),IF(ISNUMBER(INDEX($R:$R,Settings!$B$17)),(R37-INDEX($R:$R,Settings!$B$17))*100,NA()),NA())</f>
        <v/>
      </c>
      <c r="W37" s="20">
        <f>IF(AND(ISNUMBER(P37),Settings!$B$17&gt;0),IF(ISNUMBER(INDEX($P:$P,Settings!$B$17)),P37-INDEX($P:$P,Settings!$B$17),NA()),NA())</f>
        <v/>
      </c>
      <c r="X37" s="19">
        <f>IF(NOT(ISNUMBER($A37)),NA(),IF(OR($A37&lt;MIN(DKW_10Y!$A$2:$A$2918),$A37&gt;MAX(DKW_10Y!$A$2:$A$2918),Settings!$B$16&lt;MIN(DKW_10Y!$A$2:$A$2918)),NA(),(INDEX(DKW_10Y!$B$2:$B$2918,MATCH($A37,DKW_10Y!$A$2:$A$2918,1))-INDEX(DKW_10Y!$B$2:$B$2918,MATCH(Settings!$B$16,DKW_10Y!$A$2:$A$2918,1)))*100))</f>
        <v/>
      </c>
      <c r="Y37" s="19">
        <f>IF(NOT(ISNUMBER($A37)),NA(),IF(OR($A37&lt;MIN(DKW_10Y!$A$2:$A$2918),$A37&gt;MAX(DKW_10Y!$A$2:$A$2918),Settings!$B$16&lt;MIN(DKW_10Y!$A$2:$A$2918)),NA(),(INDEX(DKW_10Y!$C$2:$C$2918,MATCH($A37,DKW_10Y!$A$2:$A$2918,1))-INDEX(DKW_10Y!$C$2:$C$2918,MATCH(Settings!$B$16,DKW_10Y!$A$2:$A$2918,1)))*100))</f>
        <v/>
      </c>
      <c r="Z37" s="19">
        <f>IF(NOT(ISNUMBER($A37)),NA(),IF(OR($A37&lt;MIN(DKW_10Y!$A$2:$A$2918),$A37&gt;MAX(DKW_10Y!$A$2:$A$2918),Settings!$B$16&lt;MIN(DKW_10Y!$A$2:$A$2918)),NA(),(INDEX(DKW_10Y!$D$2:$D$2918,MATCH($A37,DKW_10Y!$A$2:$A$2918,1))-INDEX(DKW_10Y!$D$2:$D$2918,MATCH(Settings!$B$16,DKW_10Y!$A$2:$A$2918,1)))*100))</f>
        <v/>
      </c>
      <c r="AA37" s="19">
        <f>IF(NOT(ISNUMBER($A37)),NA(),IF(OR($A37&lt;MIN(DKW_10Y!$A$2:$A$2918),$A37&gt;MAX(DKW_10Y!$A$2:$A$2918),Settings!$B$16&lt;MIN(DKW_10Y!$A$2:$A$2918)),NA(),(INDEX(DKW_10Y!$E$2:$E$2918,MATCH($A37,DKW_10Y!$A$2:$A$2918,1))-INDEX(DKW_10Y!$E$2:$E$2918,MATCH(Settings!$B$16,DKW_10Y!$A$2:$A$2918,1)))*100))</f>
        <v/>
      </c>
      <c r="AB37" s="19">
        <f>IF(NOT(ISNUMBER($A37)),NA(),IF(OR($A37&lt;MIN(DKW_10Y!$A$2:$A$2918),$A37&gt;MAX(DKW_10Y!$A$2:$A$2918),Settings!$B$16&lt;MIN(DKW_10Y!$A$2:$A$2918)),NA(),(INDEX(DKW_10Y!$H$2:$H$2918,MATCH($A37,DKW_10Y!$A$2:$A$2918,1))-INDEX(DKW_10Y!$H$2:$H$2918,MATCH(Settings!$B$16,DKW_10Y!$A$2:$A$2918,1)))*100))</f>
        <v/>
      </c>
      <c r="AC37" s="18">
        <f>IF(NOT(ISNUMBER($A37)),NA(),IFERROR(1*INDEX(BBG_Data!$N$2:$N$4000,MATCH($A37,BBG_Data!$M$2:$M$4000,0)),NA()))</f>
        <v/>
      </c>
      <c r="AD37" s="18">
        <f>IF(NOT(ISNUMBER($A37)),NA(),IFERROR(1*INDEX(BBG_Data!$P$2:$P$4000,MATCH($A37,BBG_Data!$O$2:$O$4000,0)),NA()))</f>
        <v/>
      </c>
      <c r="AE37" s="18">
        <f>IF(NOT(ISNUMBER($A37)),NA(),IFERROR(1*INDEX(BBG_Data!$R$2:$R$4000,MATCH($A37,BBG_Data!$Q$2:$Q$4000,0)),NA()))</f>
        <v/>
      </c>
      <c r="AF37" s="20">
        <f>IF(AND(ISNUMBER(B37),ISNUMBER(AC37)),(B37-AC37)*100,NA())</f>
        <v/>
      </c>
      <c r="AG37" s="20">
        <f>IF(AND(ISNUMBER(AE37),ISNUMBER(AD37)),(AE37-AD37)*100,NA())</f>
        <v/>
      </c>
      <c r="AH37" s="19">
        <f>IF(NOT(ISNUMBER($A37)),NA(),IFERROR(INDEX(BBG_Data!$T$2:$T$4000,MATCH($A37,BBG_Data!$S$2:$S$4000,0))*Settings!$B$25,NA()))</f>
        <v/>
      </c>
      <c r="AI37" s="19">
        <f>IF(NOT(ISNUMBER($A37)),NA(),IFERROR(INDEX(BBG_Data!$V$2:$V$4000,MATCH($A37,BBG_Data!$U$2:$U$4000,0))*Settings!$B$25,NA()))</f>
        <v/>
      </c>
      <c r="AJ37" s="19">
        <f>IF(NOT(ISNUMBER($A37)),NA(),IFERROR(1*INDEX(BBG_Data!$X$2:$X$4000,MATCH($A37,BBG_Data!$W$2:$W$4000,0)),NA()))</f>
        <v/>
      </c>
      <c r="AK37" s="19">
        <f>IF(NOT(ISNUMBER($A37)),NA(),IFERROR(1*INDEX(BBG_Data!$Z$2:$Z$4000,MATCH($A37,BBG_Data!$Y$2:$Y$4000,0)),NA()))</f>
        <v/>
      </c>
    </row>
    <row r="38">
      <c r="A38" s="17">
        <f>IF(ISNUMBER(BBG_Data!A38),BBG_Data!A38,"")</f>
        <v/>
      </c>
      <c r="B38" s="18">
        <f>IF(AND(ISNUMBER($A38),ISNUMBER(BBG_Data!B38)),BBG_Data!B38,NA())</f>
        <v/>
      </c>
      <c r="C38" s="18">
        <f>IF(NOT(ISNUMBER($A38)),NA(),IFERROR(1*INDEX(BBG_Data!$D$2:$D$4000,MATCH($A38,BBG_Data!$C$2:$C$4000,0)),NA()))</f>
        <v/>
      </c>
      <c r="D38" s="19">
        <f>IF(NOT(ISNUMBER($A38)),NA(),IFERROR(1*INDEX(BBG_Data!$F$2:$F$4000,MATCH($A38,BBG_Data!$E$2:$E$4000,0)),NA()))</f>
        <v/>
      </c>
      <c r="E38" s="19">
        <f>IF(NOT(ISNUMBER($A38)),NA(),IFERROR(1*INDEX(BBG_Data!$H$2:$H$4000,MATCH($A38,BBG_Data!$G$2:$G$4000,0)),NA()))</f>
        <v/>
      </c>
      <c r="F38" s="20">
        <f>IF(AND(ISNUMBER(B38),ISNUMBER(B37)),IF(B38=B37,"",(B38-B37)*100),"")</f>
        <v/>
      </c>
      <c r="G38" s="20">
        <f>IF(AND(ISNUMBER(C38),ISNUMBER(C37)),IF(C38=C37,"",(C38-C37)*100),"")</f>
        <v/>
      </c>
      <c r="H38" s="20">
        <f>IF(OR(NOT(ISNUMBER($A38)),ROW()-2&lt;Settings!$B$11),NA(),IF(COUNT(OFFSET(F38,1-Settings!$B$11,0,Settings!$B$11,1))&lt;ROUNDUP(Settings!$B$11*Settings!$B$26,0),NA(),STDEV(OFFSET(F38,1-Settings!$B$11,0,Settings!$B$11,1))*SQRT(Settings!$B$13)))</f>
        <v/>
      </c>
      <c r="I38" s="20">
        <f>IF(OR(NOT(ISNUMBER($A38)),ROW()-2&lt;Settings!$B$12),NA(),IF(COUNT(OFFSET(F38,1-Settings!$B$12,0,Settings!$B$12,1))&lt;ROUNDUP(Settings!$B$12*Settings!$B$26,0),NA(),STDEV(OFFSET(F38,1-Settings!$B$12,0,Settings!$B$12,1))*SQRT(Settings!$B$13)))</f>
        <v/>
      </c>
      <c r="J38" s="20">
        <f>IF(OR(NOT(ISNUMBER($A38)),ROW()-2&lt;Settings!$B$11),NA(),IF(COUNT(OFFSET(G38,1-Settings!$B$11,0,Settings!$B$11,1))&lt;ROUNDUP(Settings!$B$11*Settings!$B$26,0),NA(),STDEV(OFFSET(G38,1-Settings!$B$11,0,Settings!$B$11,1))*SQRT(Settings!$B$13)))</f>
        <v/>
      </c>
      <c r="K38" s="20">
        <f>IF(OR(NOT(ISNUMBER($A38)),ROW()-2&lt;Settings!$B$12),NA(),IF(COUNT(OFFSET(G38,1-Settings!$B$12,0,Settings!$B$12,1))&lt;ROUNDUP(Settings!$B$12*Settings!$B$26,0),NA(),STDEV(OFFSET(G38,1-Settings!$B$12,0,Settings!$B$12,1))*SQRT(Settings!$B$13)))</f>
        <v/>
      </c>
      <c r="L38" s="20">
        <f>IF(AND(ISNUMBER(D38),ISNUMBER(H38)),D38-H38,NA())</f>
        <v/>
      </c>
      <c r="M38" s="20">
        <f>IF(AND(ISNUMBER(E38),ISNUMBER(K38)),E38-K38,NA())</f>
        <v/>
      </c>
      <c r="N38" s="20">
        <f>IF(NOT(ISNUMBER($A38)),NA(),IF(COUNT(OFFSET(G38,1,0,Settings!$B$12,1))&lt;ROUNDUP(Settings!$B$12*Settings!$B$26,0),NA(),STDEV(OFFSET(G38,1,0,Settings!$B$12,1))*SQRT(Settings!$B$13)))</f>
        <v/>
      </c>
      <c r="O38" s="20">
        <f>IF(AND(ISNUMBER(E38),ISNUMBER(N38)),E38-N38,NA())</f>
        <v/>
      </c>
      <c r="P38" s="19">
        <f>IF(NOT(ISNUMBER($A38)),NA(),IF(OR($A38&lt;MIN(KW_TP!$A$2:$A$2501),$A38&gt;MAX(KW_TP!$A$2:$A$2501)),NA(),INDEX(KW_TP!$C$2:$C$2501,MATCH($A38,KW_TP!$A$2:$A$2501,1))))</f>
        <v/>
      </c>
      <c r="Q38" s="18">
        <f>IF(NOT(ISNUMBER($A38)),NA(),IFERROR(1*INDEX(BBG_Data!$J$2:$J$4000,MATCH($A38,BBG_Data!$I$2:$I$4000,0)),NA()))</f>
        <v/>
      </c>
      <c r="R38" s="18">
        <f>IF(NOT(ISNUMBER($A38)),NA(),IFERROR(1*INDEX(BBG_Data!$L$2:$L$4000,MATCH($A38,BBG_Data!$K$2:$K$4000,0)),NA()))</f>
        <v/>
      </c>
      <c r="S38" s="20">
        <f>IF(AND(ISNUMBER(B38),ISNUMBER(Q38),ISNUMBER(R38)),(B38-Q38-R38)*100,NA())</f>
        <v/>
      </c>
      <c r="T38" s="20">
        <f>IF(AND(ISNUMBER(B38),Settings!$B$17&gt;0),IF(ISNUMBER(INDEX($B:$B,Settings!$B$17)),(B38-INDEX($B:$B,Settings!$B$17))*100,NA()),NA())</f>
        <v/>
      </c>
      <c r="U38" s="20">
        <f>IF(AND(ISNUMBER(Q38),Settings!$B$17&gt;0),IF(ISNUMBER(INDEX($Q:$Q,Settings!$B$17)),(Q38-INDEX($Q:$Q,Settings!$B$17))*100,NA()),NA())</f>
        <v/>
      </c>
      <c r="V38" s="20">
        <f>IF(AND(ISNUMBER(R38),Settings!$B$17&gt;0),IF(ISNUMBER(INDEX($R:$R,Settings!$B$17)),(R38-INDEX($R:$R,Settings!$B$17))*100,NA()),NA())</f>
        <v/>
      </c>
      <c r="W38" s="20">
        <f>IF(AND(ISNUMBER(P38),Settings!$B$17&gt;0),IF(ISNUMBER(INDEX($P:$P,Settings!$B$17)),P38-INDEX($P:$P,Settings!$B$17),NA()),NA())</f>
        <v/>
      </c>
      <c r="X38" s="19">
        <f>IF(NOT(ISNUMBER($A38)),NA(),IF(OR($A38&lt;MIN(DKW_10Y!$A$2:$A$2918),$A38&gt;MAX(DKW_10Y!$A$2:$A$2918),Settings!$B$16&lt;MIN(DKW_10Y!$A$2:$A$2918)),NA(),(INDEX(DKW_10Y!$B$2:$B$2918,MATCH($A38,DKW_10Y!$A$2:$A$2918,1))-INDEX(DKW_10Y!$B$2:$B$2918,MATCH(Settings!$B$16,DKW_10Y!$A$2:$A$2918,1)))*100))</f>
        <v/>
      </c>
      <c r="Y38" s="19">
        <f>IF(NOT(ISNUMBER($A38)),NA(),IF(OR($A38&lt;MIN(DKW_10Y!$A$2:$A$2918),$A38&gt;MAX(DKW_10Y!$A$2:$A$2918),Settings!$B$16&lt;MIN(DKW_10Y!$A$2:$A$2918)),NA(),(INDEX(DKW_10Y!$C$2:$C$2918,MATCH($A38,DKW_10Y!$A$2:$A$2918,1))-INDEX(DKW_10Y!$C$2:$C$2918,MATCH(Settings!$B$16,DKW_10Y!$A$2:$A$2918,1)))*100))</f>
        <v/>
      </c>
      <c r="Z38" s="19">
        <f>IF(NOT(ISNUMBER($A38)),NA(),IF(OR($A38&lt;MIN(DKW_10Y!$A$2:$A$2918),$A38&gt;MAX(DKW_10Y!$A$2:$A$2918),Settings!$B$16&lt;MIN(DKW_10Y!$A$2:$A$2918)),NA(),(INDEX(DKW_10Y!$D$2:$D$2918,MATCH($A38,DKW_10Y!$A$2:$A$2918,1))-INDEX(DKW_10Y!$D$2:$D$2918,MATCH(Settings!$B$16,DKW_10Y!$A$2:$A$2918,1)))*100))</f>
        <v/>
      </c>
      <c r="AA38" s="19">
        <f>IF(NOT(ISNUMBER($A38)),NA(),IF(OR($A38&lt;MIN(DKW_10Y!$A$2:$A$2918),$A38&gt;MAX(DKW_10Y!$A$2:$A$2918),Settings!$B$16&lt;MIN(DKW_10Y!$A$2:$A$2918)),NA(),(INDEX(DKW_10Y!$E$2:$E$2918,MATCH($A38,DKW_10Y!$A$2:$A$2918,1))-INDEX(DKW_10Y!$E$2:$E$2918,MATCH(Settings!$B$16,DKW_10Y!$A$2:$A$2918,1)))*100))</f>
        <v/>
      </c>
      <c r="AB38" s="19">
        <f>IF(NOT(ISNUMBER($A38)),NA(),IF(OR($A38&lt;MIN(DKW_10Y!$A$2:$A$2918),$A38&gt;MAX(DKW_10Y!$A$2:$A$2918),Settings!$B$16&lt;MIN(DKW_10Y!$A$2:$A$2918)),NA(),(INDEX(DKW_10Y!$H$2:$H$2918,MATCH($A38,DKW_10Y!$A$2:$A$2918,1))-INDEX(DKW_10Y!$H$2:$H$2918,MATCH(Settings!$B$16,DKW_10Y!$A$2:$A$2918,1)))*100))</f>
        <v/>
      </c>
      <c r="AC38" s="18">
        <f>IF(NOT(ISNUMBER($A38)),NA(),IFERROR(1*INDEX(BBG_Data!$N$2:$N$4000,MATCH($A38,BBG_Data!$M$2:$M$4000,0)),NA()))</f>
        <v/>
      </c>
      <c r="AD38" s="18">
        <f>IF(NOT(ISNUMBER($A38)),NA(),IFERROR(1*INDEX(BBG_Data!$P$2:$P$4000,MATCH($A38,BBG_Data!$O$2:$O$4000,0)),NA()))</f>
        <v/>
      </c>
      <c r="AE38" s="18">
        <f>IF(NOT(ISNUMBER($A38)),NA(),IFERROR(1*INDEX(BBG_Data!$R$2:$R$4000,MATCH($A38,BBG_Data!$Q$2:$Q$4000,0)),NA()))</f>
        <v/>
      </c>
      <c r="AF38" s="20">
        <f>IF(AND(ISNUMBER(B38),ISNUMBER(AC38)),(B38-AC38)*100,NA())</f>
        <v/>
      </c>
      <c r="AG38" s="20">
        <f>IF(AND(ISNUMBER(AE38),ISNUMBER(AD38)),(AE38-AD38)*100,NA())</f>
        <v/>
      </c>
      <c r="AH38" s="19">
        <f>IF(NOT(ISNUMBER($A38)),NA(),IFERROR(INDEX(BBG_Data!$T$2:$T$4000,MATCH($A38,BBG_Data!$S$2:$S$4000,0))*Settings!$B$25,NA()))</f>
        <v/>
      </c>
      <c r="AI38" s="19">
        <f>IF(NOT(ISNUMBER($A38)),NA(),IFERROR(INDEX(BBG_Data!$V$2:$V$4000,MATCH($A38,BBG_Data!$U$2:$U$4000,0))*Settings!$B$25,NA()))</f>
        <v/>
      </c>
      <c r="AJ38" s="19">
        <f>IF(NOT(ISNUMBER($A38)),NA(),IFERROR(1*INDEX(BBG_Data!$X$2:$X$4000,MATCH($A38,BBG_Data!$W$2:$W$4000,0)),NA()))</f>
        <v/>
      </c>
      <c r="AK38" s="19">
        <f>IF(NOT(ISNUMBER($A38)),NA(),IFERROR(1*INDEX(BBG_Data!$Z$2:$Z$4000,MATCH($A38,BBG_Data!$Y$2:$Y$4000,0)),NA()))</f>
        <v/>
      </c>
    </row>
    <row r="39">
      <c r="A39" s="17">
        <f>IF(ISNUMBER(BBG_Data!A39),BBG_Data!A39,"")</f>
        <v/>
      </c>
      <c r="B39" s="18">
        <f>IF(AND(ISNUMBER($A39),ISNUMBER(BBG_Data!B39)),BBG_Data!B39,NA())</f>
        <v/>
      </c>
      <c r="C39" s="18">
        <f>IF(NOT(ISNUMBER($A39)),NA(),IFERROR(1*INDEX(BBG_Data!$D$2:$D$4000,MATCH($A39,BBG_Data!$C$2:$C$4000,0)),NA()))</f>
        <v/>
      </c>
      <c r="D39" s="19">
        <f>IF(NOT(ISNUMBER($A39)),NA(),IFERROR(1*INDEX(BBG_Data!$F$2:$F$4000,MATCH($A39,BBG_Data!$E$2:$E$4000,0)),NA()))</f>
        <v/>
      </c>
      <c r="E39" s="19">
        <f>IF(NOT(ISNUMBER($A39)),NA(),IFERROR(1*INDEX(BBG_Data!$H$2:$H$4000,MATCH($A39,BBG_Data!$G$2:$G$4000,0)),NA()))</f>
        <v/>
      </c>
      <c r="F39" s="20">
        <f>IF(AND(ISNUMBER(B39),ISNUMBER(B38)),IF(B39=B38,"",(B39-B38)*100),"")</f>
        <v/>
      </c>
      <c r="G39" s="20">
        <f>IF(AND(ISNUMBER(C39),ISNUMBER(C38)),IF(C39=C38,"",(C39-C38)*100),"")</f>
        <v/>
      </c>
      <c r="H39" s="20">
        <f>IF(OR(NOT(ISNUMBER($A39)),ROW()-2&lt;Settings!$B$11),NA(),IF(COUNT(OFFSET(F39,1-Settings!$B$11,0,Settings!$B$11,1))&lt;ROUNDUP(Settings!$B$11*Settings!$B$26,0),NA(),STDEV(OFFSET(F39,1-Settings!$B$11,0,Settings!$B$11,1))*SQRT(Settings!$B$13)))</f>
        <v/>
      </c>
      <c r="I39" s="20">
        <f>IF(OR(NOT(ISNUMBER($A39)),ROW()-2&lt;Settings!$B$12),NA(),IF(COUNT(OFFSET(F39,1-Settings!$B$12,0,Settings!$B$12,1))&lt;ROUNDUP(Settings!$B$12*Settings!$B$26,0),NA(),STDEV(OFFSET(F39,1-Settings!$B$12,0,Settings!$B$12,1))*SQRT(Settings!$B$13)))</f>
        <v/>
      </c>
      <c r="J39" s="20">
        <f>IF(OR(NOT(ISNUMBER($A39)),ROW()-2&lt;Settings!$B$11),NA(),IF(COUNT(OFFSET(G39,1-Settings!$B$11,0,Settings!$B$11,1))&lt;ROUNDUP(Settings!$B$11*Settings!$B$26,0),NA(),STDEV(OFFSET(G39,1-Settings!$B$11,0,Settings!$B$11,1))*SQRT(Settings!$B$13)))</f>
        <v/>
      </c>
      <c r="K39" s="20">
        <f>IF(OR(NOT(ISNUMBER($A39)),ROW()-2&lt;Settings!$B$12),NA(),IF(COUNT(OFFSET(G39,1-Settings!$B$12,0,Settings!$B$12,1))&lt;ROUNDUP(Settings!$B$12*Settings!$B$26,0),NA(),STDEV(OFFSET(G39,1-Settings!$B$12,0,Settings!$B$12,1))*SQRT(Settings!$B$13)))</f>
        <v/>
      </c>
      <c r="L39" s="20">
        <f>IF(AND(ISNUMBER(D39),ISNUMBER(H39)),D39-H39,NA())</f>
        <v/>
      </c>
      <c r="M39" s="20">
        <f>IF(AND(ISNUMBER(E39),ISNUMBER(K39)),E39-K39,NA())</f>
        <v/>
      </c>
      <c r="N39" s="20">
        <f>IF(NOT(ISNUMBER($A39)),NA(),IF(COUNT(OFFSET(G39,1,0,Settings!$B$12,1))&lt;ROUNDUP(Settings!$B$12*Settings!$B$26,0),NA(),STDEV(OFFSET(G39,1,0,Settings!$B$12,1))*SQRT(Settings!$B$13)))</f>
        <v/>
      </c>
      <c r="O39" s="20">
        <f>IF(AND(ISNUMBER(E39),ISNUMBER(N39)),E39-N39,NA())</f>
        <v/>
      </c>
      <c r="P39" s="19">
        <f>IF(NOT(ISNUMBER($A39)),NA(),IF(OR($A39&lt;MIN(KW_TP!$A$2:$A$2501),$A39&gt;MAX(KW_TP!$A$2:$A$2501)),NA(),INDEX(KW_TP!$C$2:$C$2501,MATCH($A39,KW_TP!$A$2:$A$2501,1))))</f>
        <v/>
      </c>
      <c r="Q39" s="18">
        <f>IF(NOT(ISNUMBER($A39)),NA(),IFERROR(1*INDEX(BBG_Data!$J$2:$J$4000,MATCH($A39,BBG_Data!$I$2:$I$4000,0)),NA()))</f>
        <v/>
      </c>
      <c r="R39" s="18">
        <f>IF(NOT(ISNUMBER($A39)),NA(),IFERROR(1*INDEX(BBG_Data!$L$2:$L$4000,MATCH($A39,BBG_Data!$K$2:$K$4000,0)),NA()))</f>
        <v/>
      </c>
      <c r="S39" s="20">
        <f>IF(AND(ISNUMBER(B39),ISNUMBER(Q39),ISNUMBER(R39)),(B39-Q39-R39)*100,NA())</f>
        <v/>
      </c>
      <c r="T39" s="20">
        <f>IF(AND(ISNUMBER(B39),Settings!$B$17&gt;0),IF(ISNUMBER(INDEX($B:$B,Settings!$B$17)),(B39-INDEX($B:$B,Settings!$B$17))*100,NA()),NA())</f>
        <v/>
      </c>
      <c r="U39" s="20">
        <f>IF(AND(ISNUMBER(Q39),Settings!$B$17&gt;0),IF(ISNUMBER(INDEX($Q:$Q,Settings!$B$17)),(Q39-INDEX($Q:$Q,Settings!$B$17))*100,NA()),NA())</f>
        <v/>
      </c>
      <c r="V39" s="20">
        <f>IF(AND(ISNUMBER(R39),Settings!$B$17&gt;0),IF(ISNUMBER(INDEX($R:$R,Settings!$B$17)),(R39-INDEX($R:$R,Settings!$B$17))*100,NA()),NA())</f>
        <v/>
      </c>
      <c r="W39" s="20">
        <f>IF(AND(ISNUMBER(P39),Settings!$B$17&gt;0),IF(ISNUMBER(INDEX($P:$P,Settings!$B$17)),P39-INDEX($P:$P,Settings!$B$17),NA()),NA())</f>
        <v/>
      </c>
      <c r="X39" s="19">
        <f>IF(NOT(ISNUMBER($A39)),NA(),IF(OR($A39&lt;MIN(DKW_10Y!$A$2:$A$2918),$A39&gt;MAX(DKW_10Y!$A$2:$A$2918),Settings!$B$16&lt;MIN(DKW_10Y!$A$2:$A$2918)),NA(),(INDEX(DKW_10Y!$B$2:$B$2918,MATCH($A39,DKW_10Y!$A$2:$A$2918,1))-INDEX(DKW_10Y!$B$2:$B$2918,MATCH(Settings!$B$16,DKW_10Y!$A$2:$A$2918,1)))*100))</f>
        <v/>
      </c>
      <c r="Y39" s="19">
        <f>IF(NOT(ISNUMBER($A39)),NA(),IF(OR($A39&lt;MIN(DKW_10Y!$A$2:$A$2918),$A39&gt;MAX(DKW_10Y!$A$2:$A$2918),Settings!$B$16&lt;MIN(DKW_10Y!$A$2:$A$2918)),NA(),(INDEX(DKW_10Y!$C$2:$C$2918,MATCH($A39,DKW_10Y!$A$2:$A$2918,1))-INDEX(DKW_10Y!$C$2:$C$2918,MATCH(Settings!$B$16,DKW_10Y!$A$2:$A$2918,1)))*100))</f>
        <v/>
      </c>
      <c r="Z39" s="19">
        <f>IF(NOT(ISNUMBER($A39)),NA(),IF(OR($A39&lt;MIN(DKW_10Y!$A$2:$A$2918),$A39&gt;MAX(DKW_10Y!$A$2:$A$2918),Settings!$B$16&lt;MIN(DKW_10Y!$A$2:$A$2918)),NA(),(INDEX(DKW_10Y!$D$2:$D$2918,MATCH($A39,DKW_10Y!$A$2:$A$2918,1))-INDEX(DKW_10Y!$D$2:$D$2918,MATCH(Settings!$B$16,DKW_10Y!$A$2:$A$2918,1)))*100))</f>
        <v/>
      </c>
      <c r="AA39" s="19">
        <f>IF(NOT(ISNUMBER($A39)),NA(),IF(OR($A39&lt;MIN(DKW_10Y!$A$2:$A$2918),$A39&gt;MAX(DKW_10Y!$A$2:$A$2918),Settings!$B$16&lt;MIN(DKW_10Y!$A$2:$A$2918)),NA(),(INDEX(DKW_10Y!$E$2:$E$2918,MATCH($A39,DKW_10Y!$A$2:$A$2918,1))-INDEX(DKW_10Y!$E$2:$E$2918,MATCH(Settings!$B$16,DKW_10Y!$A$2:$A$2918,1)))*100))</f>
        <v/>
      </c>
      <c r="AB39" s="19">
        <f>IF(NOT(ISNUMBER($A39)),NA(),IF(OR($A39&lt;MIN(DKW_10Y!$A$2:$A$2918),$A39&gt;MAX(DKW_10Y!$A$2:$A$2918),Settings!$B$16&lt;MIN(DKW_10Y!$A$2:$A$2918)),NA(),(INDEX(DKW_10Y!$H$2:$H$2918,MATCH($A39,DKW_10Y!$A$2:$A$2918,1))-INDEX(DKW_10Y!$H$2:$H$2918,MATCH(Settings!$B$16,DKW_10Y!$A$2:$A$2918,1)))*100))</f>
        <v/>
      </c>
      <c r="AC39" s="18">
        <f>IF(NOT(ISNUMBER($A39)),NA(),IFERROR(1*INDEX(BBG_Data!$N$2:$N$4000,MATCH($A39,BBG_Data!$M$2:$M$4000,0)),NA()))</f>
        <v/>
      </c>
      <c r="AD39" s="18">
        <f>IF(NOT(ISNUMBER($A39)),NA(),IFERROR(1*INDEX(BBG_Data!$P$2:$P$4000,MATCH($A39,BBG_Data!$O$2:$O$4000,0)),NA()))</f>
        <v/>
      </c>
      <c r="AE39" s="18">
        <f>IF(NOT(ISNUMBER($A39)),NA(),IFERROR(1*INDEX(BBG_Data!$R$2:$R$4000,MATCH($A39,BBG_Data!$Q$2:$Q$4000,0)),NA()))</f>
        <v/>
      </c>
      <c r="AF39" s="20">
        <f>IF(AND(ISNUMBER(B39),ISNUMBER(AC39)),(B39-AC39)*100,NA())</f>
        <v/>
      </c>
      <c r="AG39" s="20">
        <f>IF(AND(ISNUMBER(AE39),ISNUMBER(AD39)),(AE39-AD39)*100,NA())</f>
        <v/>
      </c>
      <c r="AH39" s="19">
        <f>IF(NOT(ISNUMBER($A39)),NA(),IFERROR(INDEX(BBG_Data!$T$2:$T$4000,MATCH($A39,BBG_Data!$S$2:$S$4000,0))*Settings!$B$25,NA()))</f>
        <v/>
      </c>
      <c r="AI39" s="19">
        <f>IF(NOT(ISNUMBER($A39)),NA(),IFERROR(INDEX(BBG_Data!$V$2:$V$4000,MATCH($A39,BBG_Data!$U$2:$U$4000,0))*Settings!$B$25,NA()))</f>
        <v/>
      </c>
      <c r="AJ39" s="19">
        <f>IF(NOT(ISNUMBER($A39)),NA(),IFERROR(1*INDEX(BBG_Data!$X$2:$X$4000,MATCH($A39,BBG_Data!$W$2:$W$4000,0)),NA()))</f>
        <v/>
      </c>
      <c r="AK39" s="19">
        <f>IF(NOT(ISNUMBER($A39)),NA(),IFERROR(1*INDEX(BBG_Data!$Z$2:$Z$4000,MATCH($A39,BBG_Data!$Y$2:$Y$4000,0)),NA()))</f>
        <v/>
      </c>
    </row>
    <row r="40">
      <c r="A40" s="17">
        <f>IF(ISNUMBER(BBG_Data!A40),BBG_Data!A40,"")</f>
        <v/>
      </c>
      <c r="B40" s="18">
        <f>IF(AND(ISNUMBER($A40),ISNUMBER(BBG_Data!B40)),BBG_Data!B40,NA())</f>
        <v/>
      </c>
      <c r="C40" s="18">
        <f>IF(NOT(ISNUMBER($A40)),NA(),IFERROR(1*INDEX(BBG_Data!$D$2:$D$4000,MATCH($A40,BBG_Data!$C$2:$C$4000,0)),NA()))</f>
        <v/>
      </c>
      <c r="D40" s="19">
        <f>IF(NOT(ISNUMBER($A40)),NA(),IFERROR(1*INDEX(BBG_Data!$F$2:$F$4000,MATCH($A40,BBG_Data!$E$2:$E$4000,0)),NA()))</f>
        <v/>
      </c>
      <c r="E40" s="19">
        <f>IF(NOT(ISNUMBER($A40)),NA(),IFERROR(1*INDEX(BBG_Data!$H$2:$H$4000,MATCH($A40,BBG_Data!$G$2:$G$4000,0)),NA()))</f>
        <v/>
      </c>
      <c r="F40" s="20">
        <f>IF(AND(ISNUMBER(B40),ISNUMBER(B39)),IF(B40=B39,"",(B40-B39)*100),"")</f>
        <v/>
      </c>
      <c r="G40" s="20">
        <f>IF(AND(ISNUMBER(C40),ISNUMBER(C39)),IF(C40=C39,"",(C40-C39)*100),"")</f>
        <v/>
      </c>
      <c r="H40" s="20">
        <f>IF(OR(NOT(ISNUMBER($A40)),ROW()-2&lt;Settings!$B$11),NA(),IF(COUNT(OFFSET(F40,1-Settings!$B$11,0,Settings!$B$11,1))&lt;ROUNDUP(Settings!$B$11*Settings!$B$26,0),NA(),STDEV(OFFSET(F40,1-Settings!$B$11,0,Settings!$B$11,1))*SQRT(Settings!$B$13)))</f>
        <v/>
      </c>
      <c r="I40" s="20">
        <f>IF(OR(NOT(ISNUMBER($A40)),ROW()-2&lt;Settings!$B$12),NA(),IF(COUNT(OFFSET(F40,1-Settings!$B$12,0,Settings!$B$12,1))&lt;ROUNDUP(Settings!$B$12*Settings!$B$26,0),NA(),STDEV(OFFSET(F40,1-Settings!$B$12,0,Settings!$B$12,1))*SQRT(Settings!$B$13)))</f>
        <v/>
      </c>
      <c r="J40" s="20">
        <f>IF(OR(NOT(ISNUMBER($A40)),ROW()-2&lt;Settings!$B$11),NA(),IF(COUNT(OFFSET(G40,1-Settings!$B$11,0,Settings!$B$11,1))&lt;ROUNDUP(Settings!$B$11*Settings!$B$26,0),NA(),STDEV(OFFSET(G40,1-Settings!$B$11,0,Settings!$B$11,1))*SQRT(Settings!$B$13)))</f>
        <v/>
      </c>
      <c r="K40" s="20">
        <f>IF(OR(NOT(ISNUMBER($A40)),ROW()-2&lt;Settings!$B$12),NA(),IF(COUNT(OFFSET(G40,1-Settings!$B$12,0,Settings!$B$12,1))&lt;ROUNDUP(Settings!$B$12*Settings!$B$26,0),NA(),STDEV(OFFSET(G40,1-Settings!$B$12,0,Settings!$B$12,1))*SQRT(Settings!$B$13)))</f>
        <v/>
      </c>
      <c r="L40" s="20">
        <f>IF(AND(ISNUMBER(D40),ISNUMBER(H40)),D40-H40,NA())</f>
        <v/>
      </c>
      <c r="M40" s="20">
        <f>IF(AND(ISNUMBER(E40),ISNUMBER(K40)),E40-K40,NA())</f>
        <v/>
      </c>
      <c r="N40" s="20">
        <f>IF(NOT(ISNUMBER($A40)),NA(),IF(COUNT(OFFSET(G40,1,0,Settings!$B$12,1))&lt;ROUNDUP(Settings!$B$12*Settings!$B$26,0),NA(),STDEV(OFFSET(G40,1,0,Settings!$B$12,1))*SQRT(Settings!$B$13)))</f>
        <v/>
      </c>
      <c r="O40" s="20">
        <f>IF(AND(ISNUMBER(E40),ISNUMBER(N40)),E40-N40,NA())</f>
        <v/>
      </c>
      <c r="P40" s="19">
        <f>IF(NOT(ISNUMBER($A40)),NA(),IF(OR($A40&lt;MIN(KW_TP!$A$2:$A$2501),$A40&gt;MAX(KW_TP!$A$2:$A$2501)),NA(),INDEX(KW_TP!$C$2:$C$2501,MATCH($A40,KW_TP!$A$2:$A$2501,1))))</f>
        <v/>
      </c>
      <c r="Q40" s="18">
        <f>IF(NOT(ISNUMBER($A40)),NA(),IFERROR(1*INDEX(BBG_Data!$J$2:$J$4000,MATCH($A40,BBG_Data!$I$2:$I$4000,0)),NA()))</f>
        <v/>
      </c>
      <c r="R40" s="18">
        <f>IF(NOT(ISNUMBER($A40)),NA(),IFERROR(1*INDEX(BBG_Data!$L$2:$L$4000,MATCH($A40,BBG_Data!$K$2:$K$4000,0)),NA()))</f>
        <v/>
      </c>
      <c r="S40" s="20">
        <f>IF(AND(ISNUMBER(B40),ISNUMBER(Q40),ISNUMBER(R40)),(B40-Q40-R40)*100,NA())</f>
        <v/>
      </c>
      <c r="T40" s="20">
        <f>IF(AND(ISNUMBER(B40),Settings!$B$17&gt;0),IF(ISNUMBER(INDEX($B:$B,Settings!$B$17)),(B40-INDEX($B:$B,Settings!$B$17))*100,NA()),NA())</f>
        <v/>
      </c>
      <c r="U40" s="20">
        <f>IF(AND(ISNUMBER(Q40),Settings!$B$17&gt;0),IF(ISNUMBER(INDEX($Q:$Q,Settings!$B$17)),(Q40-INDEX($Q:$Q,Settings!$B$17))*100,NA()),NA())</f>
        <v/>
      </c>
      <c r="V40" s="20">
        <f>IF(AND(ISNUMBER(R40),Settings!$B$17&gt;0),IF(ISNUMBER(INDEX($R:$R,Settings!$B$17)),(R40-INDEX($R:$R,Settings!$B$17))*100,NA()),NA())</f>
        <v/>
      </c>
      <c r="W40" s="20">
        <f>IF(AND(ISNUMBER(P40),Settings!$B$17&gt;0),IF(ISNUMBER(INDEX($P:$P,Settings!$B$17)),P40-INDEX($P:$P,Settings!$B$17),NA()),NA())</f>
        <v/>
      </c>
      <c r="X40" s="19">
        <f>IF(NOT(ISNUMBER($A40)),NA(),IF(OR($A40&lt;MIN(DKW_10Y!$A$2:$A$2918),$A40&gt;MAX(DKW_10Y!$A$2:$A$2918),Settings!$B$16&lt;MIN(DKW_10Y!$A$2:$A$2918)),NA(),(INDEX(DKW_10Y!$B$2:$B$2918,MATCH($A40,DKW_10Y!$A$2:$A$2918,1))-INDEX(DKW_10Y!$B$2:$B$2918,MATCH(Settings!$B$16,DKW_10Y!$A$2:$A$2918,1)))*100))</f>
        <v/>
      </c>
      <c r="Y40" s="19">
        <f>IF(NOT(ISNUMBER($A40)),NA(),IF(OR($A40&lt;MIN(DKW_10Y!$A$2:$A$2918),$A40&gt;MAX(DKW_10Y!$A$2:$A$2918),Settings!$B$16&lt;MIN(DKW_10Y!$A$2:$A$2918)),NA(),(INDEX(DKW_10Y!$C$2:$C$2918,MATCH($A40,DKW_10Y!$A$2:$A$2918,1))-INDEX(DKW_10Y!$C$2:$C$2918,MATCH(Settings!$B$16,DKW_10Y!$A$2:$A$2918,1)))*100))</f>
        <v/>
      </c>
      <c r="Z40" s="19">
        <f>IF(NOT(ISNUMBER($A40)),NA(),IF(OR($A40&lt;MIN(DKW_10Y!$A$2:$A$2918),$A40&gt;MAX(DKW_10Y!$A$2:$A$2918),Settings!$B$16&lt;MIN(DKW_10Y!$A$2:$A$2918)),NA(),(INDEX(DKW_10Y!$D$2:$D$2918,MATCH($A40,DKW_10Y!$A$2:$A$2918,1))-INDEX(DKW_10Y!$D$2:$D$2918,MATCH(Settings!$B$16,DKW_10Y!$A$2:$A$2918,1)))*100))</f>
        <v/>
      </c>
      <c r="AA40" s="19">
        <f>IF(NOT(ISNUMBER($A40)),NA(),IF(OR($A40&lt;MIN(DKW_10Y!$A$2:$A$2918),$A40&gt;MAX(DKW_10Y!$A$2:$A$2918),Settings!$B$16&lt;MIN(DKW_10Y!$A$2:$A$2918)),NA(),(INDEX(DKW_10Y!$E$2:$E$2918,MATCH($A40,DKW_10Y!$A$2:$A$2918,1))-INDEX(DKW_10Y!$E$2:$E$2918,MATCH(Settings!$B$16,DKW_10Y!$A$2:$A$2918,1)))*100))</f>
        <v/>
      </c>
      <c r="AB40" s="19">
        <f>IF(NOT(ISNUMBER($A40)),NA(),IF(OR($A40&lt;MIN(DKW_10Y!$A$2:$A$2918),$A40&gt;MAX(DKW_10Y!$A$2:$A$2918),Settings!$B$16&lt;MIN(DKW_10Y!$A$2:$A$2918)),NA(),(INDEX(DKW_10Y!$H$2:$H$2918,MATCH($A40,DKW_10Y!$A$2:$A$2918,1))-INDEX(DKW_10Y!$H$2:$H$2918,MATCH(Settings!$B$16,DKW_10Y!$A$2:$A$2918,1)))*100))</f>
        <v/>
      </c>
      <c r="AC40" s="18">
        <f>IF(NOT(ISNUMBER($A40)),NA(),IFERROR(1*INDEX(BBG_Data!$N$2:$N$4000,MATCH($A40,BBG_Data!$M$2:$M$4000,0)),NA()))</f>
        <v/>
      </c>
      <c r="AD40" s="18">
        <f>IF(NOT(ISNUMBER($A40)),NA(),IFERROR(1*INDEX(BBG_Data!$P$2:$P$4000,MATCH($A40,BBG_Data!$O$2:$O$4000,0)),NA()))</f>
        <v/>
      </c>
      <c r="AE40" s="18">
        <f>IF(NOT(ISNUMBER($A40)),NA(),IFERROR(1*INDEX(BBG_Data!$R$2:$R$4000,MATCH($A40,BBG_Data!$Q$2:$Q$4000,0)),NA()))</f>
        <v/>
      </c>
      <c r="AF40" s="20">
        <f>IF(AND(ISNUMBER(B40),ISNUMBER(AC40)),(B40-AC40)*100,NA())</f>
        <v/>
      </c>
      <c r="AG40" s="20">
        <f>IF(AND(ISNUMBER(AE40),ISNUMBER(AD40)),(AE40-AD40)*100,NA())</f>
        <v/>
      </c>
      <c r="AH40" s="19">
        <f>IF(NOT(ISNUMBER($A40)),NA(),IFERROR(INDEX(BBG_Data!$T$2:$T$4000,MATCH($A40,BBG_Data!$S$2:$S$4000,0))*Settings!$B$25,NA()))</f>
        <v/>
      </c>
      <c r="AI40" s="19">
        <f>IF(NOT(ISNUMBER($A40)),NA(),IFERROR(INDEX(BBG_Data!$V$2:$V$4000,MATCH($A40,BBG_Data!$U$2:$U$4000,0))*Settings!$B$25,NA()))</f>
        <v/>
      </c>
      <c r="AJ40" s="19">
        <f>IF(NOT(ISNUMBER($A40)),NA(),IFERROR(1*INDEX(BBG_Data!$X$2:$X$4000,MATCH($A40,BBG_Data!$W$2:$W$4000,0)),NA()))</f>
        <v/>
      </c>
      <c r="AK40" s="19">
        <f>IF(NOT(ISNUMBER($A40)),NA(),IFERROR(1*INDEX(BBG_Data!$Z$2:$Z$4000,MATCH($A40,BBG_Data!$Y$2:$Y$4000,0)),NA()))</f>
        <v/>
      </c>
    </row>
    <row r="41">
      <c r="A41" s="17">
        <f>IF(ISNUMBER(BBG_Data!A41),BBG_Data!A41,"")</f>
        <v/>
      </c>
      <c r="B41" s="18">
        <f>IF(AND(ISNUMBER($A41),ISNUMBER(BBG_Data!B41)),BBG_Data!B41,NA())</f>
        <v/>
      </c>
      <c r="C41" s="18">
        <f>IF(NOT(ISNUMBER($A41)),NA(),IFERROR(1*INDEX(BBG_Data!$D$2:$D$4000,MATCH($A41,BBG_Data!$C$2:$C$4000,0)),NA()))</f>
        <v/>
      </c>
      <c r="D41" s="19">
        <f>IF(NOT(ISNUMBER($A41)),NA(),IFERROR(1*INDEX(BBG_Data!$F$2:$F$4000,MATCH($A41,BBG_Data!$E$2:$E$4000,0)),NA()))</f>
        <v/>
      </c>
      <c r="E41" s="19">
        <f>IF(NOT(ISNUMBER($A41)),NA(),IFERROR(1*INDEX(BBG_Data!$H$2:$H$4000,MATCH($A41,BBG_Data!$G$2:$G$4000,0)),NA()))</f>
        <v/>
      </c>
      <c r="F41" s="20">
        <f>IF(AND(ISNUMBER(B41),ISNUMBER(B40)),IF(B41=B40,"",(B41-B40)*100),"")</f>
        <v/>
      </c>
      <c r="G41" s="20">
        <f>IF(AND(ISNUMBER(C41),ISNUMBER(C40)),IF(C41=C40,"",(C41-C40)*100),"")</f>
        <v/>
      </c>
      <c r="H41" s="20">
        <f>IF(OR(NOT(ISNUMBER($A41)),ROW()-2&lt;Settings!$B$11),NA(),IF(COUNT(OFFSET(F41,1-Settings!$B$11,0,Settings!$B$11,1))&lt;ROUNDUP(Settings!$B$11*Settings!$B$26,0),NA(),STDEV(OFFSET(F41,1-Settings!$B$11,0,Settings!$B$11,1))*SQRT(Settings!$B$13)))</f>
        <v/>
      </c>
      <c r="I41" s="20">
        <f>IF(OR(NOT(ISNUMBER($A41)),ROW()-2&lt;Settings!$B$12),NA(),IF(COUNT(OFFSET(F41,1-Settings!$B$12,0,Settings!$B$12,1))&lt;ROUNDUP(Settings!$B$12*Settings!$B$26,0),NA(),STDEV(OFFSET(F41,1-Settings!$B$12,0,Settings!$B$12,1))*SQRT(Settings!$B$13)))</f>
        <v/>
      </c>
      <c r="J41" s="20">
        <f>IF(OR(NOT(ISNUMBER($A41)),ROW()-2&lt;Settings!$B$11),NA(),IF(COUNT(OFFSET(G41,1-Settings!$B$11,0,Settings!$B$11,1))&lt;ROUNDUP(Settings!$B$11*Settings!$B$26,0),NA(),STDEV(OFFSET(G41,1-Settings!$B$11,0,Settings!$B$11,1))*SQRT(Settings!$B$13)))</f>
        <v/>
      </c>
      <c r="K41" s="20">
        <f>IF(OR(NOT(ISNUMBER($A41)),ROW()-2&lt;Settings!$B$12),NA(),IF(COUNT(OFFSET(G41,1-Settings!$B$12,0,Settings!$B$12,1))&lt;ROUNDUP(Settings!$B$12*Settings!$B$26,0),NA(),STDEV(OFFSET(G41,1-Settings!$B$12,0,Settings!$B$12,1))*SQRT(Settings!$B$13)))</f>
        <v/>
      </c>
      <c r="L41" s="20">
        <f>IF(AND(ISNUMBER(D41),ISNUMBER(H41)),D41-H41,NA())</f>
        <v/>
      </c>
      <c r="M41" s="20">
        <f>IF(AND(ISNUMBER(E41),ISNUMBER(K41)),E41-K41,NA())</f>
        <v/>
      </c>
      <c r="N41" s="20">
        <f>IF(NOT(ISNUMBER($A41)),NA(),IF(COUNT(OFFSET(G41,1,0,Settings!$B$12,1))&lt;ROUNDUP(Settings!$B$12*Settings!$B$26,0),NA(),STDEV(OFFSET(G41,1,0,Settings!$B$12,1))*SQRT(Settings!$B$13)))</f>
        <v/>
      </c>
      <c r="O41" s="20">
        <f>IF(AND(ISNUMBER(E41),ISNUMBER(N41)),E41-N41,NA())</f>
        <v/>
      </c>
      <c r="P41" s="19">
        <f>IF(NOT(ISNUMBER($A41)),NA(),IF(OR($A41&lt;MIN(KW_TP!$A$2:$A$2501),$A41&gt;MAX(KW_TP!$A$2:$A$2501)),NA(),INDEX(KW_TP!$C$2:$C$2501,MATCH($A41,KW_TP!$A$2:$A$2501,1))))</f>
        <v/>
      </c>
      <c r="Q41" s="18">
        <f>IF(NOT(ISNUMBER($A41)),NA(),IFERROR(1*INDEX(BBG_Data!$J$2:$J$4000,MATCH($A41,BBG_Data!$I$2:$I$4000,0)),NA()))</f>
        <v/>
      </c>
      <c r="R41" s="18">
        <f>IF(NOT(ISNUMBER($A41)),NA(),IFERROR(1*INDEX(BBG_Data!$L$2:$L$4000,MATCH($A41,BBG_Data!$K$2:$K$4000,0)),NA()))</f>
        <v/>
      </c>
      <c r="S41" s="20">
        <f>IF(AND(ISNUMBER(B41),ISNUMBER(Q41),ISNUMBER(R41)),(B41-Q41-R41)*100,NA())</f>
        <v/>
      </c>
      <c r="T41" s="20">
        <f>IF(AND(ISNUMBER(B41),Settings!$B$17&gt;0),IF(ISNUMBER(INDEX($B:$B,Settings!$B$17)),(B41-INDEX($B:$B,Settings!$B$17))*100,NA()),NA())</f>
        <v/>
      </c>
      <c r="U41" s="20">
        <f>IF(AND(ISNUMBER(Q41),Settings!$B$17&gt;0),IF(ISNUMBER(INDEX($Q:$Q,Settings!$B$17)),(Q41-INDEX($Q:$Q,Settings!$B$17))*100,NA()),NA())</f>
        <v/>
      </c>
      <c r="V41" s="20">
        <f>IF(AND(ISNUMBER(R41),Settings!$B$17&gt;0),IF(ISNUMBER(INDEX($R:$R,Settings!$B$17)),(R41-INDEX($R:$R,Settings!$B$17))*100,NA()),NA())</f>
        <v/>
      </c>
      <c r="W41" s="20">
        <f>IF(AND(ISNUMBER(P41),Settings!$B$17&gt;0),IF(ISNUMBER(INDEX($P:$P,Settings!$B$17)),P41-INDEX($P:$P,Settings!$B$17),NA()),NA())</f>
        <v/>
      </c>
      <c r="X41" s="19">
        <f>IF(NOT(ISNUMBER($A41)),NA(),IF(OR($A41&lt;MIN(DKW_10Y!$A$2:$A$2918),$A41&gt;MAX(DKW_10Y!$A$2:$A$2918),Settings!$B$16&lt;MIN(DKW_10Y!$A$2:$A$2918)),NA(),(INDEX(DKW_10Y!$B$2:$B$2918,MATCH($A41,DKW_10Y!$A$2:$A$2918,1))-INDEX(DKW_10Y!$B$2:$B$2918,MATCH(Settings!$B$16,DKW_10Y!$A$2:$A$2918,1)))*100))</f>
        <v/>
      </c>
      <c r="Y41" s="19">
        <f>IF(NOT(ISNUMBER($A41)),NA(),IF(OR($A41&lt;MIN(DKW_10Y!$A$2:$A$2918),$A41&gt;MAX(DKW_10Y!$A$2:$A$2918),Settings!$B$16&lt;MIN(DKW_10Y!$A$2:$A$2918)),NA(),(INDEX(DKW_10Y!$C$2:$C$2918,MATCH($A41,DKW_10Y!$A$2:$A$2918,1))-INDEX(DKW_10Y!$C$2:$C$2918,MATCH(Settings!$B$16,DKW_10Y!$A$2:$A$2918,1)))*100))</f>
        <v/>
      </c>
      <c r="Z41" s="19">
        <f>IF(NOT(ISNUMBER($A41)),NA(),IF(OR($A41&lt;MIN(DKW_10Y!$A$2:$A$2918),$A41&gt;MAX(DKW_10Y!$A$2:$A$2918),Settings!$B$16&lt;MIN(DKW_10Y!$A$2:$A$2918)),NA(),(INDEX(DKW_10Y!$D$2:$D$2918,MATCH($A41,DKW_10Y!$A$2:$A$2918,1))-INDEX(DKW_10Y!$D$2:$D$2918,MATCH(Settings!$B$16,DKW_10Y!$A$2:$A$2918,1)))*100))</f>
        <v/>
      </c>
      <c r="AA41" s="19">
        <f>IF(NOT(ISNUMBER($A41)),NA(),IF(OR($A41&lt;MIN(DKW_10Y!$A$2:$A$2918),$A41&gt;MAX(DKW_10Y!$A$2:$A$2918),Settings!$B$16&lt;MIN(DKW_10Y!$A$2:$A$2918)),NA(),(INDEX(DKW_10Y!$E$2:$E$2918,MATCH($A41,DKW_10Y!$A$2:$A$2918,1))-INDEX(DKW_10Y!$E$2:$E$2918,MATCH(Settings!$B$16,DKW_10Y!$A$2:$A$2918,1)))*100))</f>
        <v/>
      </c>
      <c r="AB41" s="19">
        <f>IF(NOT(ISNUMBER($A41)),NA(),IF(OR($A41&lt;MIN(DKW_10Y!$A$2:$A$2918),$A41&gt;MAX(DKW_10Y!$A$2:$A$2918),Settings!$B$16&lt;MIN(DKW_10Y!$A$2:$A$2918)),NA(),(INDEX(DKW_10Y!$H$2:$H$2918,MATCH($A41,DKW_10Y!$A$2:$A$2918,1))-INDEX(DKW_10Y!$H$2:$H$2918,MATCH(Settings!$B$16,DKW_10Y!$A$2:$A$2918,1)))*100))</f>
        <v/>
      </c>
      <c r="AC41" s="18">
        <f>IF(NOT(ISNUMBER($A41)),NA(),IFERROR(1*INDEX(BBG_Data!$N$2:$N$4000,MATCH($A41,BBG_Data!$M$2:$M$4000,0)),NA()))</f>
        <v/>
      </c>
      <c r="AD41" s="18">
        <f>IF(NOT(ISNUMBER($A41)),NA(),IFERROR(1*INDEX(BBG_Data!$P$2:$P$4000,MATCH($A41,BBG_Data!$O$2:$O$4000,0)),NA()))</f>
        <v/>
      </c>
      <c r="AE41" s="18">
        <f>IF(NOT(ISNUMBER($A41)),NA(),IFERROR(1*INDEX(BBG_Data!$R$2:$R$4000,MATCH($A41,BBG_Data!$Q$2:$Q$4000,0)),NA()))</f>
        <v/>
      </c>
      <c r="AF41" s="20">
        <f>IF(AND(ISNUMBER(B41),ISNUMBER(AC41)),(B41-AC41)*100,NA())</f>
        <v/>
      </c>
      <c r="AG41" s="20">
        <f>IF(AND(ISNUMBER(AE41),ISNUMBER(AD41)),(AE41-AD41)*100,NA())</f>
        <v/>
      </c>
      <c r="AH41" s="19">
        <f>IF(NOT(ISNUMBER($A41)),NA(),IFERROR(INDEX(BBG_Data!$T$2:$T$4000,MATCH($A41,BBG_Data!$S$2:$S$4000,0))*Settings!$B$25,NA()))</f>
        <v/>
      </c>
      <c r="AI41" s="19">
        <f>IF(NOT(ISNUMBER($A41)),NA(),IFERROR(INDEX(BBG_Data!$V$2:$V$4000,MATCH($A41,BBG_Data!$U$2:$U$4000,0))*Settings!$B$25,NA()))</f>
        <v/>
      </c>
      <c r="AJ41" s="19">
        <f>IF(NOT(ISNUMBER($A41)),NA(),IFERROR(1*INDEX(BBG_Data!$X$2:$X$4000,MATCH($A41,BBG_Data!$W$2:$W$4000,0)),NA()))</f>
        <v/>
      </c>
      <c r="AK41" s="19">
        <f>IF(NOT(ISNUMBER($A41)),NA(),IFERROR(1*INDEX(BBG_Data!$Z$2:$Z$4000,MATCH($A41,BBG_Data!$Y$2:$Y$4000,0)),NA()))</f>
        <v/>
      </c>
    </row>
    <row r="42">
      <c r="A42" s="17">
        <f>IF(ISNUMBER(BBG_Data!A42),BBG_Data!A42,"")</f>
        <v/>
      </c>
      <c r="B42" s="18">
        <f>IF(AND(ISNUMBER($A42),ISNUMBER(BBG_Data!B42)),BBG_Data!B42,NA())</f>
        <v/>
      </c>
      <c r="C42" s="18">
        <f>IF(NOT(ISNUMBER($A42)),NA(),IFERROR(1*INDEX(BBG_Data!$D$2:$D$4000,MATCH($A42,BBG_Data!$C$2:$C$4000,0)),NA()))</f>
        <v/>
      </c>
      <c r="D42" s="19">
        <f>IF(NOT(ISNUMBER($A42)),NA(),IFERROR(1*INDEX(BBG_Data!$F$2:$F$4000,MATCH($A42,BBG_Data!$E$2:$E$4000,0)),NA()))</f>
        <v/>
      </c>
      <c r="E42" s="19">
        <f>IF(NOT(ISNUMBER($A42)),NA(),IFERROR(1*INDEX(BBG_Data!$H$2:$H$4000,MATCH($A42,BBG_Data!$G$2:$G$4000,0)),NA()))</f>
        <v/>
      </c>
      <c r="F42" s="20">
        <f>IF(AND(ISNUMBER(B42),ISNUMBER(B41)),IF(B42=B41,"",(B42-B41)*100),"")</f>
        <v/>
      </c>
      <c r="G42" s="20">
        <f>IF(AND(ISNUMBER(C42),ISNUMBER(C41)),IF(C42=C41,"",(C42-C41)*100),"")</f>
        <v/>
      </c>
      <c r="H42" s="20">
        <f>IF(OR(NOT(ISNUMBER($A42)),ROW()-2&lt;Settings!$B$11),NA(),IF(COUNT(OFFSET(F42,1-Settings!$B$11,0,Settings!$B$11,1))&lt;ROUNDUP(Settings!$B$11*Settings!$B$26,0),NA(),STDEV(OFFSET(F42,1-Settings!$B$11,0,Settings!$B$11,1))*SQRT(Settings!$B$13)))</f>
        <v/>
      </c>
      <c r="I42" s="20">
        <f>IF(OR(NOT(ISNUMBER($A42)),ROW()-2&lt;Settings!$B$12),NA(),IF(COUNT(OFFSET(F42,1-Settings!$B$12,0,Settings!$B$12,1))&lt;ROUNDUP(Settings!$B$12*Settings!$B$26,0),NA(),STDEV(OFFSET(F42,1-Settings!$B$12,0,Settings!$B$12,1))*SQRT(Settings!$B$13)))</f>
        <v/>
      </c>
      <c r="J42" s="20">
        <f>IF(OR(NOT(ISNUMBER($A42)),ROW()-2&lt;Settings!$B$11),NA(),IF(COUNT(OFFSET(G42,1-Settings!$B$11,0,Settings!$B$11,1))&lt;ROUNDUP(Settings!$B$11*Settings!$B$26,0),NA(),STDEV(OFFSET(G42,1-Settings!$B$11,0,Settings!$B$11,1))*SQRT(Settings!$B$13)))</f>
        <v/>
      </c>
      <c r="K42" s="20">
        <f>IF(OR(NOT(ISNUMBER($A42)),ROW()-2&lt;Settings!$B$12),NA(),IF(COUNT(OFFSET(G42,1-Settings!$B$12,0,Settings!$B$12,1))&lt;ROUNDUP(Settings!$B$12*Settings!$B$26,0),NA(),STDEV(OFFSET(G42,1-Settings!$B$12,0,Settings!$B$12,1))*SQRT(Settings!$B$13)))</f>
        <v/>
      </c>
      <c r="L42" s="20">
        <f>IF(AND(ISNUMBER(D42),ISNUMBER(H42)),D42-H42,NA())</f>
        <v/>
      </c>
      <c r="M42" s="20">
        <f>IF(AND(ISNUMBER(E42),ISNUMBER(K42)),E42-K42,NA())</f>
        <v/>
      </c>
      <c r="N42" s="20">
        <f>IF(NOT(ISNUMBER($A42)),NA(),IF(COUNT(OFFSET(G42,1,0,Settings!$B$12,1))&lt;ROUNDUP(Settings!$B$12*Settings!$B$26,0),NA(),STDEV(OFFSET(G42,1,0,Settings!$B$12,1))*SQRT(Settings!$B$13)))</f>
        <v/>
      </c>
      <c r="O42" s="20">
        <f>IF(AND(ISNUMBER(E42),ISNUMBER(N42)),E42-N42,NA())</f>
        <v/>
      </c>
      <c r="P42" s="19">
        <f>IF(NOT(ISNUMBER($A42)),NA(),IF(OR($A42&lt;MIN(KW_TP!$A$2:$A$2501),$A42&gt;MAX(KW_TP!$A$2:$A$2501)),NA(),INDEX(KW_TP!$C$2:$C$2501,MATCH($A42,KW_TP!$A$2:$A$2501,1))))</f>
        <v/>
      </c>
      <c r="Q42" s="18">
        <f>IF(NOT(ISNUMBER($A42)),NA(),IFERROR(1*INDEX(BBG_Data!$J$2:$J$4000,MATCH($A42,BBG_Data!$I$2:$I$4000,0)),NA()))</f>
        <v/>
      </c>
      <c r="R42" s="18">
        <f>IF(NOT(ISNUMBER($A42)),NA(),IFERROR(1*INDEX(BBG_Data!$L$2:$L$4000,MATCH($A42,BBG_Data!$K$2:$K$4000,0)),NA()))</f>
        <v/>
      </c>
      <c r="S42" s="20">
        <f>IF(AND(ISNUMBER(B42),ISNUMBER(Q42),ISNUMBER(R42)),(B42-Q42-R42)*100,NA())</f>
        <v/>
      </c>
      <c r="T42" s="20">
        <f>IF(AND(ISNUMBER(B42),Settings!$B$17&gt;0),IF(ISNUMBER(INDEX($B:$B,Settings!$B$17)),(B42-INDEX($B:$B,Settings!$B$17))*100,NA()),NA())</f>
        <v/>
      </c>
      <c r="U42" s="20">
        <f>IF(AND(ISNUMBER(Q42),Settings!$B$17&gt;0),IF(ISNUMBER(INDEX($Q:$Q,Settings!$B$17)),(Q42-INDEX($Q:$Q,Settings!$B$17))*100,NA()),NA())</f>
        <v/>
      </c>
      <c r="V42" s="20">
        <f>IF(AND(ISNUMBER(R42),Settings!$B$17&gt;0),IF(ISNUMBER(INDEX($R:$R,Settings!$B$17)),(R42-INDEX($R:$R,Settings!$B$17))*100,NA()),NA())</f>
        <v/>
      </c>
      <c r="W42" s="20">
        <f>IF(AND(ISNUMBER(P42),Settings!$B$17&gt;0),IF(ISNUMBER(INDEX($P:$P,Settings!$B$17)),P42-INDEX($P:$P,Settings!$B$17),NA()),NA())</f>
        <v/>
      </c>
      <c r="X42" s="19">
        <f>IF(NOT(ISNUMBER($A42)),NA(),IF(OR($A42&lt;MIN(DKW_10Y!$A$2:$A$2918),$A42&gt;MAX(DKW_10Y!$A$2:$A$2918),Settings!$B$16&lt;MIN(DKW_10Y!$A$2:$A$2918)),NA(),(INDEX(DKW_10Y!$B$2:$B$2918,MATCH($A42,DKW_10Y!$A$2:$A$2918,1))-INDEX(DKW_10Y!$B$2:$B$2918,MATCH(Settings!$B$16,DKW_10Y!$A$2:$A$2918,1)))*100))</f>
        <v/>
      </c>
      <c r="Y42" s="19">
        <f>IF(NOT(ISNUMBER($A42)),NA(),IF(OR($A42&lt;MIN(DKW_10Y!$A$2:$A$2918),$A42&gt;MAX(DKW_10Y!$A$2:$A$2918),Settings!$B$16&lt;MIN(DKW_10Y!$A$2:$A$2918)),NA(),(INDEX(DKW_10Y!$C$2:$C$2918,MATCH($A42,DKW_10Y!$A$2:$A$2918,1))-INDEX(DKW_10Y!$C$2:$C$2918,MATCH(Settings!$B$16,DKW_10Y!$A$2:$A$2918,1)))*100))</f>
        <v/>
      </c>
      <c r="Z42" s="19">
        <f>IF(NOT(ISNUMBER($A42)),NA(),IF(OR($A42&lt;MIN(DKW_10Y!$A$2:$A$2918),$A42&gt;MAX(DKW_10Y!$A$2:$A$2918),Settings!$B$16&lt;MIN(DKW_10Y!$A$2:$A$2918)),NA(),(INDEX(DKW_10Y!$D$2:$D$2918,MATCH($A42,DKW_10Y!$A$2:$A$2918,1))-INDEX(DKW_10Y!$D$2:$D$2918,MATCH(Settings!$B$16,DKW_10Y!$A$2:$A$2918,1)))*100))</f>
        <v/>
      </c>
      <c r="AA42" s="19">
        <f>IF(NOT(ISNUMBER($A42)),NA(),IF(OR($A42&lt;MIN(DKW_10Y!$A$2:$A$2918),$A42&gt;MAX(DKW_10Y!$A$2:$A$2918),Settings!$B$16&lt;MIN(DKW_10Y!$A$2:$A$2918)),NA(),(INDEX(DKW_10Y!$E$2:$E$2918,MATCH($A42,DKW_10Y!$A$2:$A$2918,1))-INDEX(DKW_10Y!$E$2:$E$2918,MATCH(Settings!$B$16,DKW_10Y!$A$2:$A$2918,1)))*100))</f>
        <v/>
      </c>
      <c r="AB42" s="19">
        <f>IF(NOT(ISNUMBER($A42)),NA(),IF(OR($A42&lt;MIN(DKW_10Y!$A$2:$A$2918),$A42&gt;MAX(DKW_10Y!$A$2:$A$2918),Settings!$B$16&lt;MIN(DKW_10Y!$A$2:$A$2918)),NA(),(INDEX(DKW_10Y!$H$2:$H$2918,MATCH($A42,DKW_10Y!$A$2:$A$2918,1))-INDEX(DKW_10Y!$H$2:$H$2918,MATCH(Settings!$B$16,DKW_10Y!$A$2:$A$2918,1)))*100))</f>
        <v/>
      </c>
      <c r="AC42" s="18">
        <f>IF(NOT(ISNUMBER($A42)),NA(),IFERROR(1*INDEX(BBG_Data!$N$2:$N$4000,MATCH($A42,BBG_Data!$M$2:$M$4000,0)),NA()))</f>
        <v/>
      </c>
      <c r="AD42" s="18">
        <f>IF(NOT(ISNUMBER($A42)),NA(),IFERROR(1*INDEX(BBG_Data!$P$2:$P$4000,MATCH($A42,BBG_Data!$O$2:$O$4000,0)),NA()))</f>
        <v/>
      </c>
      <c r="AE42" s="18">
        <f>IF(NOT(ISNUMBER($A42)),NA(),IFERROR(1*INDEX(BBG_Data!$R$2:$R$4000,MATCH($A42,BBG_Data!$Q$2:$Q$4000,0)),NA()))</f>
        <v/>
      </c>
      <c r="AF42" s="20">
        <f>IF(AND(ISNUMBER(B42),ISNUMBER(AC42)),(B42-AC42)*100,NA())</f>
        <v/>
      </c>
      <c r="AG42" s="20">
        <f>IF(AND(ISNUMBER(AE42),ISNUMBER(AD42)),(AE42-AD42)*100,NA())</f>
        <v/>
      </c>
      <c r="AH42" s="19">
        <f>IF(NOT(ISNUMBER($A42)),NA(),IFERROR(INDEX(BBG_Data!$T$2:$T$4000,MATCH($A42,BBG_Data!$S$2:$S$4000,0))*Settings!$B$25,NA()))</f>
        <v/>
      </c>
      <c r="AI42" s="19">
        <f>IF(NOT(ISNUMBER($A42)),NA(),IFERROR(INDEX(BBG_Data!$V$2:$V$4000,MATCH($A42,BBG_Data!$U$2:$U$4000,0))*Settings!$B$25,NA()))</f>
        <v/>
      </c>
      <c r="AJ42" s="19">
        <f>IF(NOT(ISNUMBER($A42)),NA(),IFERROR(1*INDEX(BBG_Data!$X$2:$X$4000,MATCH($A42,BBG_Data!$W$2:$W$4000,0)),NA()))</f>
        <v/>
      </c>
      <c r="AK42" s="19">
        <f>IF(NOT(ISNUMBER($A42)),NA(),IFERROR(1*INDEX(BBG_Data!$Z$2:$Z$4000,MATCH($A42,BBG_Data!$Y$2:$Y$4000,0)),NA()))</f>
        <v/>
      </c>
    </row>
    <row r="43">
      <c r="A43" s="17">
        <f>IF(ISNUMBER(BBG_Data!A43),BBG_Data!A43,"")</f>
        <v/>
      </c>
      <c r="B43" s="18">
        <f>IF(AND(ISNUMBER($A43),ISNUMBER(BBG_Data!B43)),BBG_Data!B43,NA())</f>
        <v/>
      </c>
      <c r="C43" s="18">
        <f>IF(NOT(ISNUMBER($A43)),NA(),IFERROR(1*INDEX(BBG_Data!$D$2:$D$4000,MATCH($A43,BBG_Data!$C$2:$C$4000,0)),NA()))</f>
        <v/>
      </c>
      <c r="D43" s="19">
        <f>IF(NOT(ISNUMBER($A43)),NA(),IFERROR(1*INDEX(BBG_Data!$F$2:$F$4000,MATCH($A43,BBG_Data!$E$2:$E$4000,0)),NA()))</f>
        <v/>
      </c>
      <c r="E43" s="19">
        <f>IF(NOT(ISNUMBER($A43)),NA(),IFERROR(1*INDEX(BBG_Data!$H$2:$H$4000,MATCH($A43,BBG_Data!$G$2:$G$4000,0)),NA()))</f>
        <v/>
      </c>
      <c r="F43" s="20">
        <f>IF(AND(ISNUMBER(B43),ISNUMBER(B42)),IF(B43=B42,"",(B43-B42)*100),"")</f>
        <v/>
      </c>
      <c r="G43" s="20">
        <f>IF(AND(ISNUMBER(C43),ISNUMBER(C42)),IF(C43=C42,"",(C43-C42)*100),"")</f>
        <v/>
      </c>
      <c r="H43" s="20">
        <f>IF(OR(NOT(ISNUMBER($A43)),ROW()-2&lt;Settings!$B$11),NA(),IF(COUNT(OFFSET(F43,1-Settings!$B$11,0,Settings!$B$11,1))&lt;ROUNDUP(Settings!$B$11*Settings!$B$26,0),NA(),STDEV(OFFSET(F43,1-Settings!$B$11,0,Settings!$B$11,1))*SQRT(Settings!$B$13)))</f>
        <v/>
      </c>
      <c r="I43" s="20">
        <f>IF(OR(NOT(ISNUMBER($A43)),ROW()-2&lt;Settings!$B$12),NA(),IF(COUNT(OFFSET(F43,1-Settings!$B$12,0,Settings!$B$12,1))&lt;ROUNDUP(Settings!$B$12*Settings!$B$26,0),NA(),STDEV(OFFSET(F43,1-Settings!$B$12,0,Settings!$B$12,1))*SQRT(Settings!$B$13)))</f>
        <v/>
      </c>
      <c r="J43" s="20">
        <f>IF(OR(NOT(ISNUMBER($A43)),ROW()-2&lt;Settings!$B$11),NA(),IF(COUNT(OFFSET(G43,1-Settings!$B$11,0,Settings!$B$11,1))&lt;ROUNDUP(Settings!$B$11*Settings!$B$26,0),NA(),STDEV(OFFSET(G43,1-Settings!$B$11,0,Settings!$B$11,1))*SQRT(Settings!$B$13)))</f>
        <v/>
      </c>
      <c r="K43" s="20">
        <f>IF(OR(NOT(ISNUMBER($A43)),ROW()-2&lt;Settings!$B$12),NA(),IF(COUNT(OFFSET(G43,1-Settings!$B$12,0,Settings!$B$12,1))&lt;ROUNDUP(Settings!$B$12*Settings!$B$26,0),NA(),STDEV(OFFSET(G43,1-Settings!$B$12,0,Settings!$B$12,1))*SQRT(Settings!$B$13)))</f>
        <v/>
      </c>
      <c r="L43" s="20">
        <f>IF(AND(ISNUMBER(D43),ISNUMBER(H43)),D43-H43,NA())</f>
        <v/>
      </c>
      <c r="M43" s="20">
        <f>IF(AND(ISNUMBER(E43),ISNUMBER(K43)),E43-K43,NA())</f>
        <v/>
      </c>
      <c r="N43" s="20">
        <f>IF(NOT(ISNUMBER($A43)),NA(),IF(COUNT(OFFSET(G43,1,0,Settings!$B$12,1))&lt;ROUNDUP(Settings!$B$12*Settings!$B$26,0),NA(),STDEV(OFFSET(G43,1,0,Settings!$B$12,1))*SQRT(Settings!$B$13)))</f>
        <v/>
      </c>
      <c r="O43" s="20">
        <f>IF(AND(ISNUMBER(E43),ISNUMBER(N43)),E43-N43,NA())</f>
        <v/>
      </c>
      <c r="P43" s="19">
        <f>IF(NOT(ISNUMBER($A43)),NA(),IF(OR($A43&lt;MIN(KW_TP!$A$2:$A$2501),$A43&gt;MAX(KW_TP!$A$2:$A$2501)),NA(),INDEX(KW_TP!$C$2:$C$2501,MATCH($A43,KW_TP!$A$2:$A$2501,1))))</f>
        <v/>
      </c>
      <c r="Q43" s="18">
        <f>IF(NOT(ISNUMBER($A43)),NA(),IFERROR(1*INDEX(BBG_Data!$J$2:$J$4000,MATCH($A43,BBG_Data!$I$2:$I$4000,0)),NA()))</f>
        <v/>
      </c>
      <c r="R43" s="18">
        <f>IF(NOT(ISNUMBER($A43)),NA(),IFERROR(1*INDEX(BBG_Data!$L$2:$L$4000,MATCH($A43,BBG_Data!$K$2:$K$4000,0)),NA()))</f>
        <v/>
      </c>
      <c r="S43" s="20">
        <f>IF(AND(ISNUMBER(B43),ISNUMBER(Q43),ISNUMBER(R43)),(B43-Q43-R43)*100,NA())</f>
        <v/>
      </c>
      <c r="T43" s="20">
        <f>IF(AND(ISNUMBER(B43),Settings!$B$17&gt;0),IF(ISNUMBER(INDEX($B:$B,Settings!$B$17)),(B43-INDEX($B:$B,Settings!$B$17))*100,NA()),NA())</f>
        <v/>
      </c>
      <c r="U43" s="20">
        <f>IF(AND(ISNUMBER(Q43),Settings!$B$17&gt;0),IF(ISNUMBER(INDEX($Q:$Q,Settings!$B$17)),(Q43-INDEX($Q:$Q,Settings!$B$17))*100,NA()),NA())</f>
        <v/>
      </c>
      <c r="V43" s="20">
        <f>IF(AND(ISNUMBER(R43),Settings!$B$17&gt;0),IF(ISNUMBER(INDEX($R:$R,Settings!$B$17)),(R43-INDEX($R:$R,Settings!$B$17))*100,NA()),NA())</f>
        <v/>
      </c>
      <c r="W43" s="20">
        <f>IF(AND(ISNUMBER(P43),Settings!$B$17&gt;0),IF(ISNUMBER(INDEX($P:$P,Settings!$B$17)),P43-INDEX($P:$P,Settings!$B$17),NA()),NA())</f>
        <v/>
      </c>
      <c r="X43" s="19">
        <f>IF(NOT(ISNUMBER($A43)),NA(),IF(OR($A43&lt;MIN(DKW_10Y!$A$2:$A$2918),$A43&gt;MAX(DKW_10Y!$A$2:$A$2918),Settings!$B$16&lt;MIN(DKW_10Y!$A$2:$A$2918)),NA(),(INDEX(DKW_10Y!$B$2:$B$2918,MATCH($A43,DKW_10Y!$A$2:$A$2918,1))-INDEX(DKW_10Y!$B$2:$B$2918,MATCH(Settings!$B$16,DKW_10Y!$A$2:$A$2918,1)))*100))</f>
        <v/>
      </c>
      <c r="Y43" s="19">
        <f>IF(NOT(ISNUMBER($A43)),NA(),IF(OR($A43&lt;MIN(DKW_10Y!$A$2:$A$2918),$A43&gt;MAX(DKW_10Y!$A$2:$A$2918),Settings!$B$16&lt;MIN(DKW_10Y!$A$2:$A$2918)),NA(),(INDEX(DKW_10Y!$C$2:$C$2918,MATCH($A43,DKW_10Y!$A$2:$A$2918,1))-INDEX(DKW_10Y!$C$2:$C$2918,MATCH(Settings!$B$16,DKW_10Y!$A$2:$A$2918,1)))*100))</f>
        <v/>
      </c>
      <c r="Z43" s="19">
        <f>IF(NOT(ISNUMBER($A43)),NA(),IF(OR($A43&lt;MIN(DKW_10Y!$A$2:$A$2918),$A43&gt;MAX(DKW_10Y!$A$2:$A$2918),Settings!$B$16&lt;MIN(DKW_10Y!$A$2:$A$2918)),NA(),(INDEX(DKW_10Y!$D$2:$D$2918,MATCH($A43,DKW_10Y!$A$2:$A$2918,1))-INDEX(DKW_10Y!$D$2:$D$2918,MATCH(Settings!$B$16,DKW_10Y!$A$2:$A$2918,1)))*100))</f>
        <v/>
      </c>
      <c r="AA43" s="19">
        <f>IF(NOT(ISNUMBER($A43)),NA(),IF(OR($A43&lt;MIN(DKW_10Y!$A$2:$A$2918),$A43&gt;MAX(DKW_10Y!$A$2:$A$2918),Settings!$B$16&lt;MIN(DKW_10Y!$A$2:$A$2918)),NA(),(INDEX(DKW_10Y!$E$2:$E$2918,MATCH($A43,DKW_10Y!$A$2:$A$2918,1))-INDEX(DKW_10Y!$E$2:$E$2918,MATCH(Settings!$B$16,DKW_10Y!$A$2:$A$2918,1)))*100))</f>
        <v/>
      </c>
      <c r="AB43" s="19">
        <f>IF(NOT(ISNUMBER($A43)),NA(),IF(OR($A43&lt;MIN(DKW_10Y!$A$2:$A$2918),$A43&gt;MAX(DKW_10Y!$A$2:$A$2918),Settings!$B$16&lt;MIN(DKW_10Y!$A$2:$A$2918)),NA(),(INDEX(DKW_10Y!$H$2:$H$2918,MATCH($A43,DKW_10Y!$A$2:$A$2918,1))-INDEX(DKW_10Y!$H$2:$H$2918,MATCH(Settings!$B$16,DKW_10Y!$A$2:$A$2918,1)))*100))</f>
        <v/>
      </c>
      <c r="AC43" s="18">
        <f>IF(NOT(ISNUMBER($A43)),NA(),IFERROR(1*INDEX(BBG_Data!$N$2:$N$4000,MATCH($A43,BBG_Data!$M$2:$M$4000,0)),NA()))</f>
        <v/>
      </c>
      <c r="AD43" s="18">
        <f>IF(NOT(ISNUMBER($A43)),NA(),IFERROR(1*INDEX(BBG_Data!$P$2:$P$4000,MATCH($A43,BBG_Data!$O$2:$O$4000,0)),NA()))</f>
        <v/>
      </c>
      <c r="AE43" s="18">
        <f>IF(NOT(ISNUMBER($A43)),NA(),IFERROR(1*INDEX(BBG_Data!$R$2:$R$4000,MATCH($A43,BBG_Data!$Q$2:$Q$4000,0)),NA()))</f>
        <v/>
      </c>
      <c r="AF43" s="20">
        <f>IF(AND(ISNUMBER(B43),ISNUMBER(AC43)),(B43-AC43)*100,NA())</f>
        <v/>
      </c>
      <c r="AG43" s="20">
        <f>IF(AND(ISNUMBER(AE43),ISNUMBER(AD43)),(AE43-AD43)*100,NA())</f>
        <v/>
      </c>
      <c r="AH43" s="19">
        <f>IF(NOT(ISNUMBER($A43)),NA(),IFERROR(INDEX(BBG_Data!$T$2:$T$4000,MATCH($A43,BBG_Data!$S$2:$S$4000,0))*Settings!$B$25,NA()))</f>
        <v/>
      </c>
      <c r="AI43" s="19">
        <f>IF(NOT(ISNUMBER($A43)),NA(),IFERROR(INDEX(BBG_Data!$V$2:$V$4000,MATCH($A43,BBG_Data!$U$2:$U$4000,0))*Settings!$B$25,NA()))</f>
        <v/>
      </c>
      <c r="AJ43" s="19">
        <f>IF(NOT(ISNUMBER($A43)),NA(),IFERROR(1*INDEX(BBG_Data!$X$2:$X$4000,MATCH($A43,BBG_Data!$W$2:$W$4000,0)),NA()))</f>
        <v/>
      </c>
      <c r="AK43" s="19">
        <f>IF(NOT(ISNUMBER($A43)),NA(),IFERROR(1*INDEX(BBG_Data!$Z$2:$Z$4000,MATCH($A43,BBG_Data!$Y$2:$Y$4000,0)),NA()))</f>
        <v/>
      </c>
    </row>
    <row r="44">
      <c r="A44" s="17">
        <f>IF(ISNUMBER(BBG_Data!A44),BBG_Data!A44,"")</f>
        <v/>
      </c>
      <c r="B44" s="18">
        <f>IF(AND(ISNUMBER($A44),ISNUMBER(BBG_Data!B44)),BBG_Data!B44,NA())</f>
        <v/>
      </c>
      <c r="C44" s="18">
        <f>IF(NOT(ISNUMBER($A44)),NA(),IFERROR(1*INDEX(BBG_Data!$D$2:$D$4000,MATCH($A44,BBG_Data!$C$2:$C$4000,0)),NA()))</f>
        <v/>
      </c>
      <c r="D44" s="19">
        <f>IF(NOT(ISNUMBER($A44)),NA(),IFERROR(1*INDEX(BBG_Data!$F$2:$F$4000,MATCH($A44,BBG_Data!$E$2:$E$4000,0)),NA()))</f>
        <v/>
      </c>
      <c r="E44" s="19">
        <f>IF(NOT(ISNUMBER($A44)),NA(),IFERROR(1*INDEX(BBG_Data!$H$2:$H$4000,MATCH($A44,BBG_Data!$G$2:$G$4000,0)),NA()))</f>
        <v/>
      </c>
      <c r="F44" s="20">
        <f>IF(AND(ISNUMBER(B44),ISNUMBER(B43)),IF(B44=B43,"",(B44-B43)*100),"")</f>
        <v/>
      </c>
      <c r="G44" s="20">
        <f>IF(AND(ISNUMBER(C44),ISNUMBER(C43)),IF(C44=C43,"",(C44-C43)*100),"")</f>
        <v/>
      </c>
      <c r="H44" s="20">
        <f>IF(OR(NOT(ISNUMBER($A44)),ROW()-2&lt;Settings!$B$11),NA(),IF(COUNT(OFFSET(F44,1-Settings!$B$11,0,Settings!$B$11,1))&lt;ROUNDUP(Settings!$B$11*Settings!$B$26,0),NA(),STDEV(OFFSET(F44,1-Settings!$B$11,0,Settings!$B$11,1))*SQRT(Settings!$B$13)))</f>
        <v/>
      </c>
      <c r="I44" s="20">
        <f>IF(OR(NOT(ISNUMBER($A44)),ROW()-2&lt;Settings!$B$12),NA(),IF(COUNT(OFFSET(F44,1-Settings!$B$12,0,Settings!$B$12,1))&lt;ROUNDUP(Settings!$B$12*Settings!$B$26,0),NA(),STDEV(OFFSET(F44,1-Settings!$B$12,0,Settings!$B$12,1))*SQRT(Settings!$B$13)))</f>
        <v/>
      </c>
      <c r="J44" s="20">
        <f>IF(OR(NOT(ISNUMBER($A44)),ROW()-2&lt;Settings!$B$11),NA(),IF(COUNT(OFFSET(G44,1-Settings!$B$11,0,Settings!$B$11,1))&lt;ROUNDUP(Settings!$B$11*Settings!$B$26,0),NA(),STDEV(OFFSET(G44,1-Settings!$B$11,0,Settings!$B$11,1))*SQRT(Settings!$B$13)))</f>
        <v/>
      </c>
      <c r="K44" s="20">
        <f>IF(OR(NOT(ISNUMBER($A44)),ROW()-2&lt;Settings!$B$12),NA(),IF(COUNT(OFFSET(G44,1-Settings!$B$12,0,Settings!$B$12,1))&lt;ROUNDUP(Settings!$B$12*Settings!$B$26,0),NA(),STDEV(OFFSET(G44,1-Settings!$B$12,0,Settings!$B$12,1))*SQRT(Settings!$B$13)))</f>
        <v/>
      </c>
      <c r="L44" s="20">
        <f>IF(AND(ISNUMBER(D44),ISNUMBER(H44)),D44-H44,NA())</f>
        <v/>
      </c>
      <c r="M44" s="20">
        <f>IF(AND(ISNUMBER(E44),ISNUMBER(K44)),E44-K44,NA())</f>
        <v/>
      </c>
      <c r="N44" s="20">
        <f>IF(NOT(ISNUMBER($A44)),NA(),IF(COUNT(OFFSET(G44,1,0,Settings!$B$12,1))&lt;ROUNDUP(Settings!$B$12*Settings!$B$26,0),NA(),STDEV(OFFSET(G44,1,0,Settings!$B$12,1))*SQRT(Settings!$B$13)))</f>
        <v/>
      </c>
      <c r="O44" s="20">
        <f>IF(AND(ISNUMBER(E44),ISNUMBER(N44)),E44-N44,NA())</f>
        <v/>
      </c>
      <c r="P44" s="19">
        <f>IF(NOT(ISNUMBER($A44)),NA(),IF(OR($A44&lt;MIN(KW_TP!$A$2:$A$2501),$A44&gt;MAX(KW_TP!$A$2:$A$2501)),NA(),INDEX(KW_TP!$C$2:$C$2501,MATCH($A44,KW_TP!$A$2:$A$2501,1))))</f>
        <v/>
      </c>
      <c r="Q44" s="18">
        <f>IF(NOT(ISNUMBER($A44)),NA(),IFERROR(1*INDEX(BBG_Data!$J$2:$J$4000,MATCH($A44,BBG_Data!$I$2:$I$4000,0)),NA()))</f>
        <v/>
      </c>
      <c r="R44" s="18">
        <f>IF(NOT(ISNUMBER($A44)),NA(),IFERROR(1*INDEX(BBG_Data!$L$2:$L$4000,MATCH($A44,BBG_Data!$K$2:$K$4000,0)),NA()))</f>
        <v/>
      </c>
      <c r="S44" s="20">
        <f>IF(AND(ISNUMBER(B44),ISNUMBER(Q44),ISNUMBER(R44)),(B44-Q44-R44)*100,NA())</f>
        <v/>
      </c>
      <c r="T44" s="20">
        <f>IF(AND(ISNUMBER(B44),Settings!$B$17&gt;0),IF(ISNUMBER(INDEX($B:$B,Settings!$B$17)),(B44-INDEX($B:$B,Settings!$B$17))*100,NA()),NA())</f>
        <v/>
      </c>
      <c r="U44" s="20">
        <f>IF(AND(ISNUMBER(Q44),Settings!$B$17&gt;0),IF(ISNUMBER(INDEX($Q:$Q,Settings!$B$17)),(Q44-INDEX($Q:$Q,Settings!$B$17))*100,NA()),NA())</f>
        <v/>
      </c>
      <c r="V44" s="20">
        <f>IF(AND(ISNUMBER(R44),Settings!$B$17&gt;0),IF(ISNUMBER(INDEX($R:$R,Settings!$B$17)),(R44-INDEX($R:$R,Settings!$B$17))*100,NA()),NA())</f>
        <v/>
      </c>
      <c r="W44" s="20">
        <f>IF(AND(ISNUMBER(P44),Settings!$B$17&gt;0),IF(ISNUMBER(INDEX($P:$P,Settings!$B$17)),P44-INDEX($P:$P,Settings!$B$17),NA()),NA())</f>
        <v/>
      </c>
      <c r="X44" s="19">
        <f>IF(NOT(ISNUMBER($A44)),NA(),IF(OR($A44&lt;MIN(DKW_10Y!$A$2:$A$2918),$A44&gt;MAX(DKW_10Y!$A$2:$A$2918),Settings!$B$16&lt;MIN(DKW_10Y!$A$2:$A$2918)),NA(),(INDEX(DKW_10Y!$B$2:$B$2918,MATCH($A44,DKW_10Y!$A$2:$A$2918,1))-INDEX(DKW_10Y!$B$2:$B$2918,MATCH(Settings!$B$16,DKW_10Y!$A$2:$A$2918,1)))*100))</f>
        <v/>
      </c>
      <c r="Y44" s="19">
        <f>IF(NOT(ISNUMBER($A44)),NA(),IF(OR($A44&lt;MIN(DKW_10Y!$A$2:$A$2918),$A44&gt;MAX(DKW_10Y!$A$2:$A$2918),Settings!$B$16&lt;MIN(DKW_10Y!$A$2:$A$2918)),NA(),(INDEX(DKW_10Y!$C$2:$C$2918,MATCH($A44,DKW_10Y!$A$2:$A$2918,1))-INDEX(DKW_10Y!$C$2:$C$2918,MATCH(Settings!$B$16,DKW_10Y!$A$2:$A$2918,1)))*100))</f>
        <v/>
      </c>
      <c r="Z44" s="19">
        <f>IF(NOT(ISNUMBER($A44)),NA(),IF(OR($A44&lt;MIN(DKW_10Y!$A$2:$A$2918),$A44&gt;MAX(DKW_10Y!$A$2:$A$2918),Settings!$B$16&lt;MIN(DKW_10Y!$A$2:$A$2918)),NA(),(INDEX(DKW_10Y!$D$2:$D$2918,MATCH($A44,DKW_10Y!$A$2:$A$2918,1))-INDEX(DKW_10Y!$D$2:$D$2918,MATCH(Settings!$B$16,DKW_10Y!$A$2:$A$2918,1)))*100))</f>
        <v/>
      </c>
      <c r="AA44" s="19">
        <f>IF(NOT(ISNUMBER($A44)),NA(),IF(OR($A44&lt;MIN(DKW_10Y!$A$2:$A$2918),$A44&gt;MAX(DKW_10Y!$A$2:$A$2918),Settings!$B$16&lt;MIN(DKW_10Y!$A$2:$A$2918)),NA(),(INDEX(DKW_10Y!$E$2:$E$2918,MATCH($A44,DKW_10Y!$A$2:$A$2918,1))-INDEX(DKW_10Y!$E$2:$E$2918,MATCH(Settings!$B$16,DKW_10Y!$A$2:$A$2918,1)))*100))</f>
        <v/>
      </c>
      <c r="AB44" s="19">
        <f>IF(NOT(ISNUMBER($A44)),NA(),IF(OR($A44&lt;MIN(DKW_10Y!$A$2:$A$2918),$A44&gt;MAX(DKW_10Y!$A$2:$A$2918),Settings!$B$16&lt;MIN(DKW_10Y!$A$2:$A$2918)),NA(),(INDEX(DKW_10Y!$H$2:$H$2918,MATCH($A44,DKW_10Y!$A$2:$A$2918,1))-INDEX(DKW_10Y!$H$2:$H$2918,MATCH(Settings!$B$16,DKW_10Y!$A$2:$A$2918,1)))*100))</f>
        <v/>
      </c>
      <c r="AC44" s="18">
        <f>IF(NOT(ISNUMBER($A44)),NA(),IFERROR(1*INDEX(BBG_Data!$N$2:$N$4000,MATCH($A44,BBG_Data!$M$2:$M$4000,0)),NA()))</f>
        <v/>
      </c>
      <c r="AD44" s="18">
        <f>IF(NOT(ISNUMBER($A44)),NA(),IFERROR(1*INDEX(BBG_Data!$P$2:$P$4000,MATCH($A44,BBG_Data!$O$2:$O$4000,0)),NA()))</f>
        <v/>
      </c>
      <c r="AE44" s="18">
        <f>IF(NOT(ISNUMBER($A44)),NA(),IFERROR(1*INDEX(BBG_Data!$R$2:$R$4000,MATCH($A44,BBG_Data!$Q$2:$Q$4000,0)),NA()))</f>
        <v/>
      </c>
      <c r="AF44" s="20">
        <f>IF(AND(ISNUMBER(B44),ISNUMBER(AC44)),(B44-AC44)*100,NA())</f>
        <v/>
      </c>
      <c r="AG44" s="20">
        <f>IF(AND(ISNUMBER(AE44),ISNUMBER(AD44)),(AE44-AD44)*100,NA())</f>
        <v/>
      </c>
      <c r="AH44" s="19">
        <f>IF(NOT(ISNUMBER($A44)),NA(),IFERROR(INDEX(BBG_Data!$T$2:$T$4000,MATCH($A44,BBG_Data!$S$2:$S$4000,0))*Settings!$B$25,NA()))</f>
        <v/>
      </c>
      <c r="AI44" s="19">
        <f>IF(NOT(ISNUMBER($A44)),NA(),IFERROR(INDEX(BBG_Data!$V$2:$V$4000,MATCH($A44,BBG_Data!$U$2:$U$4000,0))*Settings!$B$25,NA()))</f>
        <v/>
      </c>
      <c r="AJ44" s="19">
        <f>IF(NOT(ISNUMBER($A44)),NA(),IFERROR(1*INDEX(BBG_Data!$X$2:$X$4000,MATCH($A44,BBG_Data!$W$2:$W$4000,0)),NA()))</f>
        <v/>
      </c>
      <c r="AK44" s="19">
        <f>IF(NOT(ISNUMBER($A44)),NA(),IFERROR(1*INDEX(BBG_Data!$Z$2:$Z$4000,MATCH($A44,BBG_Data!$Y$2:$Y$4000,0)),NA()))</f>
        <v/>
      </c>
    </row>
    <row r="45">
      <c r="A45" s="17">
        <f>IF(ISNUMBER(BBG_Data!A45),BBG_Data!A45,"")</f>
        <v/>
      </c>
      <c r="B45" s="18">
        <f>IF(AND(ISNUMBER($A45),ISNUMBER(BBG_Data!B45)),BBG_Data!B45,NA())</f>
        <v/>
      </c>
      <c r="C45" s="18">
        <f>IF(NOT(ISNUMBER($A45)),NA(),IFERROR(1*INDEX(BBG_Data!$D$2:$D$4000,MATCH($A45,BBG_Data!$C$2:$C$4000,0)),NA()))</f>
        <v/>
      </c>
      <c r="D45" s="19">
        <f>IF(NOT(ISNUMBER($A45)),NA(),IFERROR(1*INDEX(BBG_Data!$F$2:$F$4000,MATCH($A45,BBG_Data!$E$2:$E$4000,0)),NA()))</f>
        <v/>
      </c>
      <c r="E45" s="19">
        <f>IF(NOT(ISNUMBER($A45)),NA(),IFERROR(1*INDEX(BBG_Data!$H$2:$H$4000,MATCH($A45,BBG_Data!$G$2:$G$4000,0)),NA()))</f>
        <v/>
      </c>
      <c r="F45" s="20">
        <f>IF(AND(ISNUMBER(B45),ISNUMBER(B44)),IF(B45=B44,"",(B45-B44)*100),"")</f>
        <v/>
      </c>
      <c r="G45" s="20">
        <f>IF(AND(ISNUMBER(C45),ISNUMBER(C44)),IF(C45=C44,"",(C45-C44)*100),"")</f>
        <v/>
      </c>
      <c r="H45" s="20">
        <f>IF(OR(NOT(ISNUMBER($A45)),ROW()-2&lt;Settings!$B$11),NA(),IF(COUNT(OFFSET(F45,1-Settings!$B$11,0,Settings!$B$11,1))&lt;ROUNDUP(Settings!$B$11*Settings!$B$26,0),NA(),STDEV(OFFSET(F45,1-Settings!$B$11,0,Settings!$B$11,1))*SQRT(Settings!$B$13)))</f>
        <v/>
      </c>
      <c r="I45" s="20">
        <f>IF(OR(NOT(ISNUMBER($A45)),ROW()-2&lt;Settings!$B$12),NA(),IF(COUNT(OFFSET(F45,1-Settings!$B$12,0,Settings!$B$12,1))&lt;ROUNDUP(Settings!$B$12*Settings!$B$26,0),NA(),STDEV(OFFSET(F45,1-Settings!$B$12,0,Settings!$B$12,1))*SQRT(Settings!$B$13)))</f>
        <v/>
      </c>
      <c r="J45" s="20">
        <f>IF(OR(NOT(ISNUMBER($A45)),ROW()-2&lt;Settings!$B$11),NA(),IF(COUNT(OFFSET(G45,1-Settings!$B$11,0,Settings!$B$11,1))&lt;ROUNDUP(Settings!$B$11*Settings!$B$26,0),NA(),STDEV(OFFSET(G45,1-Settings!$B$11,0,Settings!$B$11,1))*SQRT(Settings!$B$13)))</f>
        <v/>
      </c>
      <c r="K45" s="20">
        <f>IF(OR(NOT(ISNUMBER($A45)),ROW()-2&lt;Settings!$B$12),NA(),IF(COUNT(OFFSET(G45,1-Settings!$B$12,0,Settings!$B$12,1))&lt;ROUNDUP(Settings!$B$12*Settings!$B$26,0),NA(),STDEV(OFFSET(G45,1-Settings!$B$12,0,Settings!$B$12,1))*SQRT(Settings!$B$13)))</f>
        <v/>
      </c>
      <c r="L45" s="20">
        <f>IF(AND(ISNUMBER(D45),ISNUMBER(H45)),D45-H45,NA())</f>
        <v/>
      </c>
      <c r="M45" s="20">
        <f>IF(AND(ISNUMBER(E45),ISNUMBER(K45)),E45-K45,NA())</f>
        <v/>
      </c>
      <c r="N45" s="20">
        <f>IF(NOT(ISNUMBER($A45)),NA(),IF(COUNT(OFFSET(G45,1,0,Settings!$B$12,1))&lt;ROUNDUP(Settings!$B$12*Settings!$B$26,0),NA(),STDEV(OFFSET(G45,1,0,Settings!$B$12,1))*SQRT(Settings!$B$13)))</f>
        <v/>
      </c>
      <c r="O45" s="20">
        <f>IF(AND(ISNUMBER(E45),ISNUMBER(N45)),E45-N45,NA())</f>
        <v/>
      </c>
      <c r="P45" s="19">
        <f>IF(NOT(ISNUMBER($A45)),NA(),IF(OR($A45&lt;MIN(KW_TP!$A$2:$A$2501),$A45&gt;MAX(KW_TP!$A$2:$A$2501)),NA(),INDEX(KW_TP!$C$2:$C$2501,MATCH($A45,KW_TP!$A$2:$A$2501,1))))</f>
        <v/>
      </c>
      <c r="Q45" s="18">
        <f>IF(NOT(ISNUMBER($A45)),NA(),IFERROR(1*INDEX(BBG_Data!$J$2:$J$4000,MATCH($A45,BBG_Data!$I$2:$I$4000,0)),NA()))</f>
        <v/>
      </c>
      <c r="R45" s="18">
        <f>IF(NOT(ISNUMBER($A45)),NA(),IFERROR(1*INDEX(BBG_Data!$L$2:$L$4000,MATCH($A45,BBG_Data!$K$2:$K$4000,0)),NA()))</f>
        <v/>
      </c>
      <c r="S45" s="20">
        <f>IF(AND(ISNUMBER(B45),ISNUMBER(Q45),ISNUMBER(R45)),(B45-Q45-R45)*100,NA())</f>
        <v/>
      </c>
      <c r="T45" s="20">
        <f>IF(AND(ISNUMBER(B45),Settings!$B$17&gt;0),IF(ISNUMBER(INDEX($B:$B,Settings!$B$17)),(B45-INDEX($B:$B,Settings!$B$17))*100,NA()),NA())</f>
        <v/>
      </c>
      <c r="U45" s="20">
        <f>IF(AND(ISNUMBER(Q45),Settings!$B$17&gt;0),IF(ISNUMBER(INDEX($Q:$Q,Settings!$B$17)),(Q45-INDEX($Q:$Q,Settings!$B$17))*100,NA()),NA())</f>
        <v/>
      </c>
      <c r="V45" s="20">
        <f>IF(AND(ISNUMBER(R45),Settings!$B$17&gt;0),IF(ISNUMBER(INDEX($R:$R,Settings!$B$17)),(R45-INDEX($R:$R,Settings!$B$17))*100,NA()),NA())</f>
        <v/>
      </c>
      <c r="W45" s="20">
        <f>IF(AND(ISNUMBER(P45),Settings!$B$17&gt;0),IF(ISNUMBER(INDEX($P:$P,Settings!$B$17)),P45-INDEX($P:$P,Settings!$B$17),NA()),NA())</f>
        <v/>
      </c>
      <c r="X45" s="19">
        <f>IF(NOT(ISNUMBER($A45)),NA(),IF(OR($A45&lt;MIN(DKW_10Y!$A$2:$A$2918),$A45&gt;MAX(DKW_10Y!$A$2:$A$2918),Settings!$B$16&lt;MIN(DKW_10Y!$A$2:$A$2918)),NA(),(INDEX(DKW_10Y!$B$2:$B$2918,MATCH($A45,DKW_10Y!$A$2:$A$2918,1))-INDEX(DKW_10Y!$B$2:$B$2918,MATCH(Settings!$B$16,DKW_10Y!$A$2:$A$2918,1)))*100))</f>
        <v/>
      </c>
      <c r="Y45" s="19">
        <f>IF(NOT(ISNUMBER($A45)),NA(),IF(OR($A45&lt;MIN(DKW_10Y!$A$2:$A$2918),$A45&gt;MAX(DKW_10Y!$A$2:$A$2918),Settings!$B$16&lt;MIN(DKW_10Y!$A$2:$A$2918)),NA(),(INDEX(DKW_10Y!$C$2:$C$2918,MATCH($A45,DKW_10Y!$A$2:$A$2918,1))-INDEX(DKW_10Y!$C$2:$C$2918,MATCH(Settings!$B$16,DKW_10Y!$A$2:$A$2918,1)))*100))</f>
        <v/>
      </c>
      <c r="Z45" s="19">
        <f>IF(NOT(ISNUMBER($A45)),NA(),IF(OR($A45&lt;MIN(DKW_10Y!$A$2:$A$2918),$A45&gt;MAX(DKW_10Y!$A$2:$A$2918),Settings!$B$16&lt;MIN(DKW_10Y!$A$2:$A$2918)),NA(),(INDEX(DKW_10Y!$D$2:$D$2918,MATCH($A45,DKW_10Y!$A$2:$A$2918,1))-INDEX(DKW_10Y!$D$2:$D$2918,MATCH(Settings!$B$16,DKW_10Y!$A$2:$A$2918,1)))*100))</f>
        <v/>
      </c>
      <c r="AA45" s="19">
        <f>IF(NOT(ISNUMBER($A45)),NA(),IF(OR($A45&lt;MIN(DKW_10Y!$A$2:$A$2918),$A45&gt;MAX(DKW_10Y!$A$2:$A$2918),Settings!$B$16&lt;MIN(DKW_10Y!$A$2:$A$2918)),NA(),(INDEX(DKW_10Y!$E$2:$E$2918,MATCH($A45,DKW_10Y!$A$2:$A$2918,1))-INDEX(DKW_10Y!$E$2:$E$2918,MATCH(Settings!$B$16,DKW_10Y!$A$2:$A$2918,1)))*100))</f>
        <v/>
      </c>
      <c r="AB45" s="19">
        <f>IF(NOT(ISNUMBER($A45)),NA(),IF(OR($A45&lt;MIN(DKW_10Y!$A$2:$A$2918),$A45&gt;MAX(DKW_10Y!$A$2:$A$2918),Settings!$B$16&lt;MIN(DKW_10Y!$A$2:$A$2918)),NA(),(INDEX(DKW_10Y!$H$2:$H$2918,MATCH($A45,DKW_10Y!$A$2:$A$2918,1))-INDEX(DKW_10Y!$H$2:$H$2918,MATCH(Settings!$B$16,DKW_10Y!$A$2:$A$2918,1)))*100))</f>
        <v/>
      </c>
      <c r="AC45" s="18">
        <f>IF(NOT(ISNUMBER($A45)),NA(),IFERROR(1*INDEX(BBG_Data!$N$2:$N$4000,MATCH($A45,BBG_Data!$M$2:$M$4000,0)),NA()))</f>
        <v/>
      </c>
      <c r="AD45" s="18">
        <f>IF(NOT(ISNUMBER($A45)),NA(),IFERROR(1*INDEX(BBG_Data!$P$2:$P$4000,MATCH($A45,BBG_Data!$O$2:$O$4000,0)),NA()))</f>
        <v/>
      </c>
      <c r="AE45" s="18">
        <f>IF(NOT(ISNUMBER($A45)),NA(),IFERROR(1*INDEX(BBG_Data!$R$2:$R$4000,MATCH($A45,BBG_Data!$Q$2:$Q$4000,0)),NA()))</f>
        <v/>
      </c>
      <c r="AF45" s="20">
        <f>IF(AND(ISNUMBER(B45),ISNUMBER(AC45)),(B45-AC45)*100,NA())</f>
        <v/>
      </c>
      <c r="AG45" s="20">
        <f>IF(AND(ISNUMBER(AE45),ISNUMBER(AD45)),(AE45-AD45)*100,NA())</f>
        <v/>
      </c>
      <c r="AH45" s="19">
        <f>IF(NOT(ISNUMBER($A45)),NA(),IFERROR(INDEX(BBG_Data!$T$2:$T$4000,MATCH($A45,BBG_Data!$S$2:$S$4000,0))*Settings!$B$25,NA()))</f>
        <v/>
      </c>
      <c r="AI45" s="19">
        <f>IF(NOT(ISNUMBER($A45)),NA(),IFERROR(INDEX(BBG_Data!$V$2:$V$4000,MATCH($A45,BBG_Data!$U$2:$U$4000,0))*Settings!$B$25,NA()))</f>
        <v/>
      </c>
      <c r="AJ45" s="19">
        <f>IF(NOT(ISNUMBER($A45)),NA(),IFERROR(1*INDEX(BBG_Data!$X$2:$X$4000,MATCH($A45,BBG_Data!$W$2:$W$4000,0)),NA()))</f>
        <v/>
      </c>
      <c r="AK45" s="19">
        <f>IF(NOT(ISNUMBER($A45)),NA(),IFERROR(1*INDEX(BBG_Data!$Z$2:$Z$4000,MATCH($A45,BBG_Data!$Y$2:$Y$4000,0)),NA()))</f>
        <v/>
      </c>
    </row>
    <row r="46">
      <c r="A46" s="17">
        <f>IF(ISNUMBER(BBG_Data!A46),BBG_Data!A46,"")</f>
        <v/>
      </c>
      <c r="B46" s="18">
        <f>IF(AND(ISNUMBER($A46),ISNUMBER(BBG_Data!B46)),BBG_Data!B46,NA())</f>
        <v/>
      </c>
      <c r="C46" s="18">
        <f>IF(NOT(ISNUMBER($A46)),NA(),IFERROR(1*INDEX(BBG_Data!$D$2:$D$4000,MATCH($A46,BBG_Data!$C$2:$C$4000,0)),NA()))</f>
        <v/>
      </c>
      <c r="D46" s="19">
        <f>IF(NOT(ISNUMBER($A46)),NA(),IFERROR(1*INDEX(BBG_Data!$F$2:$F$4000,MATCH($A46,BBG_Data!$E$2:$E$4000,0)),NA()))</f>
        <v/>
      </c>
      <c r="E46" s="19">
        <f>IF(NOT(ISNUMBER($A46)),NA(),IFERROR(1*INDEX(BBG_Data!$H$2:$H$4000,MATCH($A46,BBG_Data!$G$2:$G$4000,0)),NA()))</f>
        <v/>
      </c>
      <c r="F46" s="20">
        <f>IF(AND(ISNUMBER(B46),ISNUMBER(B45)),IF(B46=B45,"",(B46-B45)*100),"")</f>
        <v/>
      </c>
      <c r="G46" s="20">
        <f>IF(AND(ISNUMBER(C46),ISNUMBER(C45)),IF(C46=C45,"",(C46-C45)*100),"")</f>
        <v/>
      </c>
      <c r="H46" s="20">
        <f>IF(OR(NOT(ISNUMBER($A46)),ROW()-2&lt;Settings!$B$11),NA(),IF(COUNT(OFFSET(F46,1-Settings!$B$11,0,Settings!$B$11,1))&lt;ROUNDUP(Settings!$B$11*Settings!$B$26,0),NA(),STDEV(OFFSET(F46,1-Settings!$B$11,0,Settings!$B$11,1))*SQRT(Settings!$B$13)))</f>
        <v/>
      </c>
      <c r="I46" s="20">
        <f>IF(OR(NOT(ISNUMBER($A46)),ROW()-2&lt;Settings!$B$12),NA(),IF(COUNT(OFFSET(F46,1-Settings!$B$12,0,Settings!$B$12,1))&lt;ROUNDUP(Settings!$B$12*Settings!$B$26,0),NA(),STDEV(OFFSET(F46,1-Settings!$B$12,0,Settings!$B$12,1))*SQRT(Settings!$B$13)))</f>
        <v/>
      </c>
      <c r="J46" s="20">
        <f>IF(OR(NOT(ISNUMBER($A46)),ROW()-2&lt;Settings!$B$11),NA(),IF(COUNT(OFFSET(G46,1-Settings!$B$11,0,Settings!$B$11,1))&lt;ROUNDUP(Settings!$B$11*Settings!$B$26,0),NA(),STDEV(OFFSET(G46,1-Settings!$B$11,0,Settings!$B$11,1))*SQRT(Settings!$B$13)))</f>
        <v/>
      </c>
      <c r="K46" s="20">
        <f>IF(OR(NOT(ISNUMBER($A46)),ROW()-2&lt;Settings!$B$12),NA(),IF(COUNT(OFFSET(G46,1-Settings!$B$12,0,Settings!$B$12,1))&lt;ROUNDUP(Settings!$B$12*Settings!$B$26,0),NA(),STDEV(OFFSET(G46,1-Settings!$B$12,0,Settings!$B$12,1))*SQRT(Settings!$B$13)))</f>
        <v/>
      </c>
      <c r="L46" s="20">
        <f>IF(AND(ISNUMBER(D46),ISNUMBER(H46)),D46-H46,NA())</f>
        <v/>
      </c>
      <c r="M46" s="20">
        <f>IF(AND(ISNUMBER(E46),ISNUMBER(K46)),E46-K46,NA())</f>
        <v/>
      </c>
      <c r="N46" s="20">
        <f>IF(NOT(ISNUMBER($A46)),NA(),IF(COUNT(OFFSET(G46,1,0,Settings!$B$12,1))&lt;ROUNDUP(Settings!$B$12*Settings!$B$26,0),NA(),STDEV(OFFSET(G46,1,0,Settings!$B$12,1))*SQRT(Settings!$B$13)))</f>
        <v/>
      </c>
      <c r="O46" s="20">
        <f>IF(AND(ISNUMBER(E46),ISNUMBER(N46)),E46-N46,NA())</f>
        <v/>
      </c>
      <c r="P46" s="19">
        <f>IF(NOT(ISNUMBER($A46)),NA(),IF(OR($A46&lt;MIN(KW_TP!$A$2:$A$2501),$A46&gt;MAX(KW_TP!$A$2:$A$2501)),NA(),INDEX(KW_TP!$C$2:$C$2501,MATCH($A46,KW_TP!$A$2:$A$2501,1))))</f>
        <v/>
      </c>
      <c r="Q46" s="18">
        <f>IF(NOT(ISNUMBER($A46)),NA(),IFERROR(1*INDEX(BBG_Data!$J$2:$J$4000,MATCH($A46,BBG_Data!$I$2:$I$4000,0)),NA()))</f>
        <v/>
      </c>
      <c r="R46" s="18">
        <f>IF(NOT(ISNUMBER($A46)),NA(),IFERROR(1*INDEX(BBG_Data!$L$2:$L$4000,MATCH($A46,BBG_Data!$K$2:$K$4000,0)),NA()))</f>
        <v/>
      </c>
      <c r="S46" s="20">
        <f>IF(AND(ISNUMBER(B46),ISNUMBER(Q46),ISNUMBER(R46)),(B46-Q46-R46)*100,NA())</f>
        <v/>
      </c>
      <c r="T46" s="20">
        <f>IF(AND(ISNUMBER(B46),Settings!$B$17&gt;0),IF(ISNUMBER(INDEX($B:$B,Settings!$B$17)),(B46-INDEX($B:$B,Settings!$B$17))*100,NA()),NA())</f>
        <v/>
      </c>
      <c r="U46" s="20">
        <f>IF(AND(ISNUMBER(Q46),Settings!$B$17&gt;0),IF(ISNUMBER(INDEX($Q:$Q,Settings!$B$17)),(Q46-INDEX($Q:$Q,Settings!$B$17))*100,NA()),NA())</f>
        <v/>
      </c>
      <c r="V46" s="20">
        <f>IF(AND(ISNUMBER(R46),Settings!$B$17&gt;0),IF(ISNUMBER(INDEX($R:$R,Settings!$B$17)),(R46-INDEX($R:$R,Settings!$B$17))*100,NA()),NA())</f>
        <v/>
      </c>
      <c r="W46" s="20">
        <f>IF(AND(ISNUMBER(P46),Settings!$B$17&gt;0),IF(ISNUMBER(INDEX($P:$P,Settings!$B$17)),P46-INDEX($P:$P,Settings!$B$17),NA()),NA())</f>
        <v/>
      </c>
      <c r="X46" s="19">
        <f>IF(NOT(ISNUMBER($A46)),NA(),IF(OR($A46&lt;MIN(DKW_10Y!$A$2:$A$2918),$A46&gt;MAX(DKW_10Y!$A$2:$A$2918),Settings!$B$16&lt;MIN(DKW_10Y!$A$2:$A$2918)),NA(),(INDEX(DKW_10Y!$B$2:$B$2918,MATCH($A46,DKW_10Y!$A$2:$A$2918,1))-INDEX(DKW_10Y!$B$2:$B$2918,MATCH(Settings!$B$16,DKW_10Y!$A$2:$A$2918,1)))*100))</f>
        <v/>
      </c>
      <c r="Y46" s="19">
        <f>IF(NOT(ISNUMBER($A46)),NA(),IF(OR($A46&lt;MIN(DKW_10Y!$A$2:$A$2918),$A46&gt;MAX(DKW_10Y!$A$2:$A$2918),Settings!$B$16&lt;MIN(DKW_10Y!$A$2:$A$2918)),NA(),(INDEX(DKW_10Y!$C$2:$C$2918,MATCH($A46,DKW_10Y!$A$2:$A$2918,1))-INDEX(DKW_10Y!$C$2:$C$2918,MATCH(Settings!$B$16,DKW_10Y!$A$2:$A$2918,1)))*100))</f>
        <v/>
      </c>
      <c r="Z46" s="19">
        <f>IF(NOT(ISNUMBER($A46)),NA(),IF(OR($A46&lt;MIN(DKW_10Y!$A$2:$A$2918),$A46&gt;MAX(DKW_10Y!$A$2:$A$2918),Settings!$B$16&lt;MIN(DKW_10Y!$A$2:$A$2918)),NA(),(INDEX(DKW_10Y!$D$2:$D$2918,MATCH($A46,DKW_10Y!$A$2:$A$2918,1))-INDEX(DKW_10Y!$D$2:$D$2918,MATCH(Settings!$B$16,DKW_10Y!$A$2:$A$2918,1)))*100))</f>
        <v/>
      </c>
      <c r="AA46" s="19">
        <f>IF(NOT(ISNUMBER($A46)),NA(),IF(OR($A46&lt;MIN(DKW_10Y!$A$2:$A$2918),$A46&gt;MAX(DKW_10Y!$A$2:$A$2918),Settings!$B$16&lt;MIN(DKW_10Y!$A$2:$A$2918)),NA(),(INDEX(DKW_10Y!$E$2:$E$2918,MATCH($A46,DKW_10Y!$A$2:$A$2918,1))-INDEX(DKW_10Y!$E$2:$E$2918,MATCH(Settings!$B$16,DKW_10Y!$A$2:$A$2918,1)))*100))</f>
        <v/>
      </c>
      <c r="AB46" s="19">
        <f>IF(NOT(ISNUMBER($A46)),NA(),IF(OR($A46&lt;MIN(DKW_10Y!$A$2:$A$2918),$A46&gt;MAX(DKW_10Y!$A$2:$A$2918),Settings!$B$16&lt;MIN(DKW_10Y!$A$2:$A$2918)),NA(),(INDEX(DKW_10Y!$H$2:$H$2918,MATCH($A46,DKW_10Y!$A$2:$A$2918,1))-INDEX(DKW_10Y!$H$2:$H$2918,MATCH(Settings!$B$16,DKW_10Y!$A$2:$A$2918,1)))*100))</f>
        <v/>
      </c>
      <c r="AC46" s="18">
        <f>IF(NOT(ISNUMBER($A46)),NA(),IFERROR(1*INDEX(BBG_Data!$N$2:$N$4000,MATCH($A46,BBG_Data!$M$2:$M$4000,0)),NA()))</f>
        <v/>
      </c>
      <c r="AD46" s="18">
        <f>IF(NOT(ISNUMBER($A46)),NA(),IFERROR(1*INDEX(BBG_Data!$P$2:$P$4000,MATCH($A46,BBG_Data!$O$2:$O$4000,0)),NA()))</f>
        <v/>
      </c>
      <c r="AE46" s="18">
        <f>IF(NOT(ISNUMBER($A46)),NA(),IFERROR(1*INDEX(BBG_Data!$R$2:$R$4000,MATCH($A46,BBG_Data!$Q$2:$Q$4000,0)),NA()))</f>
        <v/>
      </c>
      <c r="AF46" s="20">
        <f>IF(AND(ISNUMBER(B46),ISNUMBER(AC46)),(B46-AC46)*100,NA())</f>
        <v/>
      </c>
      <c r="AG46" s="20">
        <f>IF(AND(ISNUMBER(AE46),ISNUMBER(AD46)),(AE46-AD46)*100,NA())</f>
        <v/>
      </c>
      <c r="AH46" s="19">
        <f>IF(NOT(ISNUMBER($A46)),NA(),IFERROR(INDEX(BBG_Data!$T$2:$T$4000,MATCH($A46,BBG_Data!$S$2:$S$4000,0))*Settings!$B$25,NA()))</f>
        <v/>
      </c>
      <c r="AI46" s="19">
        <f>IF(NOT(ISNUMBER($A46)),NA(),IFERROR(INDEX(BBG_Data!$V$2:$V$4000,MATCH($A46,BBG_Data!$U$2:$U$4000,0))*Settings!$B$25,NA()))</f>
        <v/>
      </c>
      <c r="AJ46" s="19">
        <f>IF(NOT(ISNUMBER($A46)),NA(),IFERROR(1*INDEX(BBG_Data!$X$2:$X$4000,MATCH($A46,BBG_Data!$W$2:$W$4000,0)),NA()))</f>
        <v/>
      </c>
      <c r="AK46" s="19">
        <f>IF(NOT(ISNUMBER($A46)),NA(),IFERROR(1*INDEX(BBG_Data!$Z$2:$Z$4000,MATCH($A46,BBG_Data!$Y$2:$Y$4000,0)),NA()))</f>
        <v/>
      </c>
    </row>
    <row r="47">
      <c r="A47" s="17">
        <f>IF(ISNUMBER(BBG_Data!A47),BBG_Data!A47,"")</f>
        <v/>
      </c>
      <c r="B47" s="18">
        <f>IF(AND(ISNUMBER($A47),ISNUMBER(BBG_Data!B47)),BBG_Data!B47,NA())</f>
        <v/>
      </c>
      <c r="C47" s="18">
        <f>IF(NOT(ISNUMBER($A47)),NA(),IFERROR(1*INDEX(BBG_Data!$D$2:$D$4000,MATCH($A47,BBG_Data!$C$2:$C$4000,0)),NA()))</f>
        <v/>
      </c>
      <c r="D47" s="19">
        <f>IF(NOT(ISNUMBER($A47)),NA(),IFERROR(1*INDEX(BBG_Data!$F$2:$F$4000,MATCH($A47,BBG_Data!$E$2:$E$4000,0)),NA()))</f>
        <v/>
      </c>
      <c r="E47" s="19">
        <f>IF(NOT(ISNUMBER($A47)),NA(),IFERROR(1*INDEX(BBG_Data!$H$2:$H$4000,MATCH($A47,BBG_Data!$G$2:$G$4000,0)),NA()))</f>
        <v/>
      </c>
      <c r="F47" s="20">
        <f>IF(AND(ISNUMBER(B47),ISNUMBER(B46)),IF(B47=B46,"",(B47-B46)*100),"")</f>
        <v/>
      </c>
      <c r="G47" s="20">
        <f>IF(AND(ISNUMBER(C47),ISNUMBER(C46)),IF(C47=C46,"",(C47-C46)*100),"")</f>
        <v/>
      </c>
      <c r="H47" s="20">
        <f>IF(OR(NOT(ISNUMBER($A47)),ROW()-2&lt;Settings!$B$11),NA(),IF(COUNT(OFFSET(F47,1-Settings!$B$11,0,Settings!$B$11,1))&lt;ROUNDUP(Settings!$B$11*Settings!$B$26,0),NA(),STDEV(OFFSET(F47,1-Settings!$B$11,0,Settings!$B$11,1))*SQRT(Settings!$B$13)))</f>
        <v/>
      </c>
      <c r="I47" s="20">
        <f>IF(OR(NOT(ISNUMBER($A47)),ROW()-2&lt;Settings!$B$12),NA(),IF(COUNT(OFFSET(F47,1-Settings!$B$12,0,Settings!$B$12,1))&lt;ROUNDUP(Settings!$B$12*Settings!$B$26,0),NA(),STDEV(OFFSET(F47,1-Settings!$B$12,0,Settings!$B$12,1))*SQRT(Settings!$B$13)))</f>
        <v/>
      </c>
      <c r="J47" s="20">
        <f>IF(OR(NOT(ISNUMBER($A47)),ROW()-2&lt;Settings!$B$11),NA(),IF(COUNT(OFFSET(G47,1-Settings!$B$11,0,Settings!$B$11,1))&lt;ROUNDUP(Settings!$B$11*Settings!$B$26,0),NA(),STDEV(OFFSET(G47,1-Settings!$B$11,0,Settings!$B$11,1))*SQRT(Settings!$B$13)))</f>
        <v/>
      </c>
      <c r="K47" s="20">
        <f>IF(OR(NOT(ISNUMBER($A47)),ROW()-2&lt;Settings!$B$12),NA(),IF(COUNT(OFFSET(G47,1-Settings!$B$12,0,Settings!$B$12,1))&lt;ROUNDUP(Settings!$B$12*Settings!$B$26,0),NA(),STDEV(OFFSET(G47,1-Settings!$B$12,0,Settings!$B$12,1))*SQRT(Settings!$B$13)))</f>
        <v/>
      </c>
      <c r="L47" s="20">
        <f>IF(AND(ISNUMBER(D47),ISNUMBER(H47)),D47-H47,NA())</f>
        <v/>
      </c>
      <c r="M47" s="20">
        <f>IF(AND(ISNUMBER(E47),ISNUMBER(K47)),E47-K47,NA())</f>
        <v/>
      </c>
      <c r="N47" s="20">
        <f>IF(NOT(ISNUMBER($A47)),NA(),IF(COUNT(OFFSET(G47,1,0,Settings!$B$12,1))&lt;ROUNDUP(Settings!$B$12*Settings!$B$26,0),NA(),STDEV(OFFSET(G47,1,0,Settings!$B$12,1))*SQRT(Settings!$B$13)))</f>
        <v/>
      </c>
      <c r="O47" s="20">
        <f>IF(AND(ISNUMBER(E47),ISNUMBER(N47)),E47-N47,NA())</f>
        <v/>
      </c>
      <c r="P47" s="19">
        <f>IF(NOT(ISNUMBER($A47)),NA(),IF(OR($A47&lt;MIN(KW_TP!$A$2:$A$2501),$A47&gt;MAX(KW_TP!$A$2:$A$2501)),NA(),INDEX(KW_TP!$C$2:$C$2501,MATCH($A47,KW_TP!$A$2:$A$2501,1))))</f>
        <v/>
      </c>
      <c r="Q47" s="18">
        <f>IF(NOT(ISNUMBER($A47)),NA(),IFERROR(1*INDEX(BBG_Data!$J$2:$J$4000,MATCH($A47,BBG_Data!$I$2:$I$4000,0)),NA()))</f>
        <v/>
      </c>
      <c r="R47" s="18">
        <f>IF(NOT(ISNUMBER($A47)),NA(),IFERROR(1*INDEX(BBG_Data!$L$2:$L$4000,MATCH($A47,BBG_Data!$K$2:$K$4000,0)),NA()))</f>
        <v/>
      </c>
      <c r="S47" s="20">
        <f>IF(AND(ISNUMBER(B47),ISNUMBER(Q47),ISNUMBER(R47)),(B47-Q47-R47)*100,NA())</f>
        <v/>
      </c>
      <c r="T47" s="20">
        <f>IF(AND(ISNUMBER(B47),Settings!$B$17&gt;0),IF(ISNUMBER(INDEX($B:$B,Settings!$B$17)),(B47-INDEX($B:$B,Settings!$B$17))*100,NA()),NA())</f>
        <v/>
      </c>
      <c r="U47" s="20">
        <f>IF(AND(ISNUMBER(Q47),Settings!$B$17&gt;0),IF(ISNUMBER(INDEX($Q:$Q,Settings!$B$17)),(Q47-INDEX($Q:$Q,Settings!$B$17))*100,NA()),NA())</f>
        <v/>
      </c>
      <c r="V47" s="20">
        <f>IF(AND(ISNUMBER(R47),Settings!$B$17&gt;0),IF(ISNUMBER(INDEX($R:$R,Settings!$B$17)),(R47-INDEX($R:$R,Settings!$B$17))*100,NA()),NA())</f>
        <v/>
      </c>
      <c r="W47" s="20">
        <f>IF(AND(ISNUMBER(P47),Settings!$B$17&gt;0),IF(ISNUMBER(INDEX($P:$P,Settings!$B$17)),P47-INDEX($P:$P,Settings!$B$17),NA()),NA())</f>
        <v/>
      </c>
      <c r="X47" s="19">
        <f>IF(NOT(ISNUMBER($A47)),NA(),IF(OR($A47&lt;MIN(DKW_10Y!$A$2:$A$2918),$A47&gt;MAX(DKW_10Y!$A$2:$A$2918),Settings!$B$16&lt;MIN(DKW_10Y!$A$2:$A$2918)),NA(),(INDEX(DKW_10Y!$B$2:$B$2918,MATCH($A47,DKW_10Y!$A$2:$A$2918,1))-INDEX(DKW_10Y!$B$2:$B$2918,MATCH(Settings!$B$16,DKW_10Y!$A$2:$A$2918,1)))*100))</f>
        <v/>
      </c>
      <c r="Y47" s="19">
        <f>IF(NOT(ISNUMBER($A47)),NA(),IF(OR($A47&lt;MIN(DKW_10Y!$A$2:$A$2918),$A47&gt;MAX(DKW_10Y!$A$2:$A$2918),Settings!$B$16&lt;MIN(DKW_10Y!$A$2:$A$2918)),NA(),(INDEX(DKW_10Y!$C$2:$C$2918,MATCH($A47,DKW_10Y!$A$2:$A$2918,1))-INDEX(DKW_10Y!$C$2:$C$2918,MATCH(Settings!$B$16,DKW_10Y!$A$2:$A$2918,1)))*100))</f>
        <v/>
      </c>
      <c r="Z47" s="19">
        <f>IF(NOT(ISNUMBER($A47)),NA(),IF(OR($A47&lt;MIN(DKW_10Y!$A$2:$A$2918),$A47&gt;MAX(DKW_10Y!$A$2:$A$2918),Settings!$B$16&lt;MIN(DKW_10Y!$A$2:$A$2918)),NA(),(INDEX(DKW_10Y!$D$2:$D$2918,MATCH($A47,DKW_10Y!$A$2:$A$2918,1))-INDEX(DKW_10Y!$D$2:$D$2918,MATCH(Settings!$B$16,DKW_10Y!$A$2:$A$2918,1)))*100))</f>
        <v/>
      </c>
      <c r="AA47" s="19">
        <f>IF(NOT(ISNUMBER($A47)),NA(),IF(OR($A47&lt;MIN(DKW_10Y!$A$2:$A$2918),$A47&gt;MAX(DKW_10Y!$A$2:$A$2918),Settings!$B$16&lt;MIN(DKW_10Y!$A$2:$A$2918)),NA(),(INDEX(DKW_10Y!$E$2:$E$2918,MATCH($A47,DKW_10Y!$A$2:$A$2918,1))-INDEX(DKW_10Y!$E$2:$E$2918,MATCH(Settings!$B$16,DKW_10Y!$A$2:$A$2918,1)))*100))</f>
        <v/>
      </c>
      <c r="AB47" s="19">
        <f>IF(NOT(ISNUMBER($A47)),NA(),IF(OR($A47&lt;MIN(DKW_10Y!$A$2:$A$2918),$A47&gt;MAX(DKW_10Y!$A$2:$A$2918),Settings!$B$16&lt;MIN(DKW_10Y!$A$2:$A$2918)),NA(),(INDEX(DKW_10Y!$H$2:$H$2918,MATCH($A47,DKW_10Y!$A$2:$A$2918,1))-INDEX(DKW_10Y!$H$2:$H$2918,MATCH(Settings!$B$16,DKW_10Y!$A$2:$A$2918,1)))*100))</f>
        <v/>
      </c>
      <c r="AC47" s="18">
        <f>IF(NOT(ISNUMBER($A47)),NA(),IFERROR(1*INDEX(BBG_Data!$N$2:$N$4000,MATCH($A47,BBG_Data!$M$2:$M$4000,0)),NA()))</f>
        <v/>
      </c>
      <c r="AD47" s="18">
        <f>IF(NOT(ISNUMBER($A47)),NA(),IFERROR(1*INDEX(BBG_Data!$P$2:$P$4000,MATCH($A47,BBG_Data!$O$2:$O$4000,0)),NA()))</f>
        <v/>
      </c>
      <c r="AE47" s="18">
        <f>IF(NOT(ISNUMBER($A47)),NA(),IFERROR(1*INDEX(BBG_Data!$R$2:$R$4000,MATCH($A47,BBG_Data!$Q$2:$Q$4000,0)),NA()))</f>
        <v/>
      </c>
      <c r="AF47" s="20">
        <f>IF(AND(ISNUMBER(B47),ISNUMBER(AC47)),(B47-AC47)*100,NA())</f>
        <v/>
      </c>
      <c r="AG47" s="20">
        <f>IF(AND(ISNUMBER(AE47),ISNUMBER(AD47)),(AE47-AD47)*100,NA())</f>
        <v/>
      </c>
      <c r="AH47" s="19">
        <f>IF(NOT(ISNUMBER($A47)),NA(),IFERROR(INDEX(BBG_Data!$T$2:$T$4000,MATCH($A47,BBG_Data!$S$2:$S$4000,0))*Settings!$B$25,NA()))</f>
        <v/>
      </c>
      <c r="AI47" s="19">
        <f>IF(NOT(ISNUMBER($A47)),NA(),IFERROR(INDEX(BBG_Data!$V$2:$V$4000,MATCH($A47,BBG_Data!$U$2:$U$4000,0))*Settings!$B$25,NA()))</f>
        <v/>
      </c>
      <c r="AJ47" s="19">
        <f>IF(NOT(ISNUMBER($A47)),NA(),IFERROR(1*INDEX(BBG_Data!$X$2:$X$4000,MATCH($A47,BBG_Data!$W$2:$W$4000,0)),NA()))</f>
        <v/>
      </c>
      <c r="AK47" s="19">
        <f>IF(NOT(ISNUMBER($A47)),NA(),IFERROR(1*INDEX(BBG_Data!$Z$2:$Z$4000,MATCH($A47,BBG_Data!$Y$2:$Y$4000,0)),NA()))</f>
        <v/>
      </c>
    </row>
    <row r="48">
      <c r="A48" s="17">
        <f>IF(ISNUMBER(BBG_Data!A48),BBG_Data!A48,"")</f>
        <v/>
      </c>
      <c r="B48" s="18">
        <f>IF(AND(ISNUMBER($A48),ISNUMBER(BBG_Data!B48)),BBG_Data!B48,NA())</f>
        <v/>
      </c>
      <c r="C48" s="18">
        <f>IF(NOT(ISNUMBER($A48)),NA(),IFERROR(1*INDEX(BBG_Data!$D$2:$D$4000,MATCH($A48,BBG_Data!$C$2:$C$4000,0)),NA()))</f>
        <v/>
      </c>
      <c r="D48" s="19">
        <f>IF(NOT(ISNUMBER($A48)),NA(),IFERROR(1*INDEX(BBG_Data!$F$2:$F$4000,MATCH($A48,BBG_Data!$E$2:$E$4000,0)),NA()))</f>
        <v/>
      </c>
      <c r="E48" s="19">
        <f>IF(NOT(ISNUMBER($A48)),NA(),IFERROR(1*INDEX(BBG_Data!$H$2:$H$4000,MATCH($A48,BBG_Data!$G$2:$G$4000,0)),NA()))</f>
        <v/>
      </c>
      <c r="F48" s="20">
        <f>IF(AND(ISNUMBER(B48),ISNUMBER(B47)),IF(B48=B47,"",(B48-B47)*100),"")</f>
        <v/>
      </c>
      <c r="G48" s="20">
        <f>IF(AND(ISNUMBER(C48),ISNUMBER(C47)),IF(C48=C47,"",(C48-C47)*100),"")</f>
        <v/>
      </c>
      <c r="H48" s="20">
        <f>IF(OR(NOT(ISNUMBER($A48)),ROW()-2&lt;Settings!$B$11),NA(),IF(COUNT(OFFSET(F48,1-Settings!$B$11,0,Settings!$B$11,1))&lt;ROUNDUP(Settings!$B$11*Settings!$B$26,0),NA(),STDEV(OFFSET(F48,1-Settings!$B$11,0,Settings!$B$11,1))*SQRT(Settings!$B$13)))</f>
        <v/>
      </c>
      <c r="I48" s="20">
        <f>IF(OR(NOT(ISNUMBER($A48)),ROW()-2&lt;Settings!$B$12),NA(),IF(COUNT(OFFSET(F48,1-Settings!$B$12,0,Settings!$B$12,1))&lt;ROUNDUP(Settings!$B$12*Settings!$B$26,0),NA(),STDEV(OFFSET(F48,1-Settings!$B$12,0,Settings!$B$12,1))*SQRT(Settings!$B$13)))</f>
        <v/>
      </c>
      <c r="J48" s="20">
        <f>IF(OR(NOT(ISNUMBER($A48)),ROW()-2&lt;Settings!$B$11),NA(),IF(COUNT(OFFSET(G48,1-Settings!$B$11,0,Settings!$B$11,1))&lt;ROUNDUP(Settings!$B$11*Settings!$B$26,0),NA(),STDEV(OFFSET(G48,1-Settings!$B$11,0,Settings!$B$11,1))*SQRT(Settings!$B$13)))</f>
        <v/>
      </c>
      <c r="K48" s="20">
        <f>IF(OR(NOT(ISNUMBER($A48)),ROW()-2&lt;Settings!$B$12),NA(),IF(COUNT(OFFSET(G48,1-Settings!$B$12,0,Settings!$B$12,1))&lt;ROUNDUP(Settings!$B$12*Settings!$B$26,0),NA(),STDEV(OFFSET(G48,1-Settings!$B$12,0,Settings!$B$12,1))*SQRT(Settings!$B$13)))</f>
        <v/>
      </c>
      <c r="L48" s="20">
        <f>IF(AND(ISNUMBER(D48),ISNUMBER(H48)),D48-H48,NA())</f>
        <v/>
      </c>
      <c r="M48" s="20">
        <f>IF(AND(ISNUMBER(E48),ISNUMBER(K48)),E48-K48,NA())</f>
        <v/>
      </c>
      <c r="N48" s="20">
        <f>IF(NOT(ISNUMBER($A48)),NA(),IF(COUNT(OFFSET(G48,1,0,Settings!$B$12,1))&lt;ROUNDUP(Settings!$B$12*Settings!$B$26,0),NA(),STDEV(OFFSET(G48,1,0,Settings!$B$12,1))*SQRT(Settings!$B$13)))</f>
        <v/>
      </c>
      <c r="O48" s="20">
        <f>IF(AND(ISNUMBER(E48),ISNUMBER(N48)),E48-N48,NA())</f>
        <v/>
      </c>
      <c r="P48" s="19">
        <f>IF(NOT(ISNUMBER($A48)),NA(),IF(OR($A48&lt;MIN(KW_TP!$A$2:$A$2501),$A48&gt;MAX(KW_TP!$A$2:$A$2501)),NA(),INDEX(KW_TP!$C$2:$C$2501,MATCH($A48,KW_TP!$A$2:$A$2501,1))))</f>
        <v/>
      </c>
      <c r="Q48" s="18">
        <f>IF(NOT(ISNUMBER($A48)),NA(),IFERROR(1*INDEX(BBG_Data!$J$2:$J$4000,MATCH($A48,BBG_Data!$I$2:$I$4000,0)),NA()))</f>
        <v/>
      </c>
      <c r="R48" s="18">
        <f>IF(NOT(ISNUMBER($A48)),NA(),IFERROR(1*INDEX(BBG_Data!$L$2:$L$4000,MATCH($A48,BBG_Data!$K$2:$K$4000,0)),NA()))</f>
        <v/>
      </c>
      <c r="S48" s="20">
        <f>IF(AND(ISNUMBER(B48),ISNUMBER(Q48),ISNUMBER(R48)),(B48-Q48-R48)*100,NA())</f>
        <v/>
      </c>
      <c r="T48" s="20">
        <f>IF(AND(ISNUMBER(B48),Settings!$B$17&gt;0),IF(ISNUMBER(INDEX($B:$B,Settings!$B$17)),(B48-INDEX($B:$B,Settings!$B$17))*100,NA()),NA())</f>
        <v/>
      </c>
      <c r="U48" s="20">
        <f>IF(AND(ISNUMBER(Q48),Settings!$B$17&gt;0),IF(ISNUMBER(INDEX($Q:$Q,Settings!$B$17)),(Q48-INDEX($Q:$Q,Settings!$B$17))*100,NA()),NA())</f>
        <v/>
      </c>
      <c r="V48" s="20">
        <f>IF(AND(ISNUMBER(R48),Settings!$B$17&gt;0),IF(ISNUMBER(INDEX($R:$R,Settings!$B$17)),(R48-INDEX($R:$R,Settings!$B$17))*100,NA()),NA())</f>
        <v/>
      </c>
      <c r="W48" s="20">
        <f>IF(AND(ISNUMBER(P48),Settings!$B$17&gt;0),IF(ISNUMBER(INDEX($P:$P,Settings!$B$17)),P48-INDEX($P:$P,Settings!$B$17),NA()),NA())</f>
        <v/>
      </c>
      <c r="X48" s="19">
        <f>IF(NOT(ISNUMBER($A48)),NA(),IF(OR($A48&lt;MIN(DKW_10Y!$A$2:$A$2918),$A48&gt;MAX(DKW_10Y!$A$2:$A$2918),Settings!$B$16&lt;MIN(DKW_10Y!$A$2:$A$2918)),NA(),(INDEX(DKW_10Y!$B$2:$B$2918,MATCH($A48,DKW_10Y!$A$2:$A$2918,1))-INDEX(DKW_10Y!$B$2:$B$2918,MATCH(Settings!$B$16,DKW_10Y!$A$2:$A$2918,1)))*100))</f>
        <v/>
      </c>
      <c r="Y48" s="19">
        <f>IF(NOT(ISNUMBER($A48)),NA(),IF(OR($A48&lt;MIN(DKW_10Y!$A$2:$A$2918),$A48&gt;MAX(DKW_10Y!$A$2:$A$2918),Settings!$B$16&lt;MIN(DKW_10Y!$A$2:$A$2918)),NA(),(INDEX(DKW_10Y!$C$2:$C$2918,MATCH($A48,DKW_10Y!$A$2:$A$2918,1))-INDEX(DKW_10Y!$C$2:$C$2918,MATCH(Settings!$B$16,DKW_10Y!$A$2:$A$2918,1)))*100))</f>
        <v/>
      </c>
      <c r="Z48" s="19">
        <f>IF(NOT(ISNUMBER($A48)),NA(),IF(OR($A48&lt;MIN(DKW_10Y!$A$2:$A$2918),$A48&gt;MAX(DKW_10Y!$A$2:$A$2918),Settings!$B$16&lt;MIN(DKW_10Y!$A$2:$A$2918)),NA(),(INDEX(DKW_10Y!$D$2:$D$2918,MATCH($A48,DKW_10Y!$A$2:$A$2918,1))-INDEX(DKW_10Y!$D$2:$D$2918,MATCH(Settings!$B$16,DKW_10Y!$A$2:$A$2918,1)))*100))</f>
        <v/>
      </c>
      <c r="AA48" s="19">
        <f>IF(NOT(ISNUMBER($A48)),NA(),IF(OR($A48&lt;MIN(DKW_10Y!$A$2:$A$2918),$A48&gt;MAX(DKW_10Y!$A$2:$A$2918),Settings!$B$16&lt;MIN(DKW_10Y!$A$2:$A$2918)),NA(),(INDEX(DKW_10Y!$E$2:$E$2918,MATCH($A48,DKW_10Y!$A$2:$A$2918,1))-INDEX(DKW_10Y!$E$2:$E$2918,MATCH(Settings!$B$16,DKW_10Y!$A$2:$A$2918,1)))*100))</f>
        <v/>
      </c>
      <c r="AB48" s="19">
        <f>IF(NOT(ISNUMBER($A48)),NA(),IF(OR($A48&lt;MIN(DKW_10Y!$A$2:$A$2918),$A48&gt;MAX(DKW_10Y!$A$2:$A$2918),Settings!$B$16&lt;MIN(DKW_10Y!$A$2:$A$2918)),NA(),(INDEX(DKW_10Y!$H$2:$H$2918,MATCH($A48,DKW_10Y!$A$2:$A$2918,1))-INDEX(DKW_10Y!$H$2:$H$2918,MATCH(Settings!$B$16,DKW_10Y!$A$2:$A$2918,1)))*100))</f>
        <v/>
      </c>
      <c r="AC48" s="18">
        <f>IF(NOT(ISNUMBER($A48)),NA(),IFERROR(1*INDEX(BBG_Data!$N$2:$N$4000,MATCH($A48,BBG_Data!$M$2:$M$4000,0)),NA()))</f>
        <v/>
      </c>
      <c r="AD48" s="18">
        <f>IF(NOT(ISNUMBER($A48)),NA(),IFERROR(1*INDEX(BBG_Data!$P$2:$P$4000,MATCH($A48,BBG_Data!$O$2:$O$4000,0)),NA()))</f>
        <v/>
      </c>
      <c r="AE48" s="18">
        <f>IF(NOT(ISNUMBER($A48)),NA(),IFERROR(1*INDEX(BBG_Data!$R$2:$R$4000,MATCH($A48,BBG_Data!$Q$2:$Q$4000,0)),NA()))</f>
        <v/>
      </c>
      <c r="AF48" s="20">
        <f>IF(AND(ISNUMBER(B48),ISNUMBER(AC48)),(B48-AC48)*100,NA())</f>
        <v/>
      </c>
      <c r="AG48" s="20">
        <f>IF(AND(ISNUMBER(AE48),ISNUMBER(AD48)),(AE48-AD48)*100,NA())</f>
        <v/>
      </c>
      <c r="AH48" s="19">
        <f>IF(NOT(ISNUMBER($A48)),NA(),IFERROR(INDEX(BBG_Data!$T$2:$T$4000,MATCH($A48,BBG_Data!$S$2:$S$4000,0))*Settings!$B$25,NA()))</f>
        <v/>
      </c>
      <c r="AI48" s="19">
        <f>IF(NOT(ISNUMBER($A48)),NA(),IFERROR(INDEX(BBG_Data!$V$2:$V$4000,MATCH($A48,BBG_Data!$U$2:$U$4000,0))*Settings!$B$25,NA()))</f>
        <v/>
      </c>
      <c r="AJ48" s="19">
        <f>IF(NOT(ISNUMBER($A48)),NA(),IFERROR(1*INDEX(BBG_Data!$X$2:$X$4000,MATCH($A48,BBG_Data!$W$2:$W$4000,0)),NA()))</f>
        <v/>
      </c>
      <c r="AK48" s="19">
        <f>IF(NOT(ISNUMBER($A48)),NA(),IFERROR(1*INDEX(BBG_Data!$Z$2:$Z$4000,MATCH($A48,BBG_Data!$Y$2:$Y$4000,0)),NA()))</f>
        <v/>
      </c>
    </row>
    <row r="49">
      <c r="A49" s="17">
        <f>IF(ISNUMBER(BBG_Data!A49),BBG_Data!A49,"")</f>
        <v/>
      </c>
      <c r="B49" s="18">
        <f>IF(AND(ISNUMBER($A49),ISNUMBER(BBG_Data!B49)),BBG_Data!B49,NA())</f>
        <v/>
      </c>
      <c r="C49" s="18">
        <f>IF(NOT(ISNUMBER($A49)),NA(),IFERROR(1*INDEX(BBG_Data!$D$2:$D$4000,MATCH($A49,BBG_Data!$C$2:$C$4000,0)),NA()))</f>
        <v/>
      </c>
      <c r="D49" s="19">
        <f>IF(NOT(ISNUMBER($A49)),NA(),IFERROR(1*INDEX(BBG_Data!$F$2:$F$4000,MATCH($A49,BBG_Data!$E$2:$E$4000,0)),NA()))</f>
        <v/>
      </c>
      <c r="E49" s="19">
        <f>IF(NOT(ISNUMBER($A49)),NA(),IFERROR(1*INDEX(BBG_Data!$H$2:$H$4000,MATCH($A49,BBG_Data!$G$2:$G$4000,0)),NA()))</f>
        <v/>
      </c>
      <c r="F49" s="20">
        <f>IF(AND(ISNUMBER(B49),ISNUMBER(B48)),IF(B49=B48,"",(B49-B48)*100),"")</f>
        <v/>
      </c>
      <c r="G49" s="20">
        <f>IF(AND(ISNUMBER(C49),ISNUMBER(C48)),IF(C49=C48,"",(C49-C48)*100),"")</f>
        <v/>
      </c>
      <c r="H49" s="20">
        <f>IF(OR(NOT(ISNUMBER($A49)),ROW()-2&lt;Settings!$B$11),NA(),IF(COUNT(OFFSET(F49,1-Settings!$B$11,0,Settings!$B$11,1))&lt;ROUNDUP(Settings!$B$11*Settings!$B$26,0),NA(),STDEV(OFFSET(F49,1-Settings!$B$11,0,Settings!$B$11,1))*SQRT(Settings!$B$13)))</f>
        <v/>
      </c>
      <c r="I49" s="20">
        <f>IF(OR(NOT(ISNUMBER($A49)),ROW()-2&lt;Settings!$B$12),NA(),IF(COUNT(OFFSET(F49,1-Settings!$B$12,0,Settings!$B$12,1))&lt;ROUNDUP(Settings!$B$12*Settings!$B$26,0),NA(),STDEV(OFFSET(F49,1-Settings!$B$12,0,Settings!$B$12,1))*SQRT(Settings!$B$13)))</f>
        <v/>
      </c>
      <c r="J49" s="20">
        <f>IF(OR(NOT(ISNUMBER($A49)),ROW()-2&lt;Settings!$B$11),NA(),IF(COUNT(OFFSET(G49,1-Settings!$B$11,0,Settings!$B$11,1))&lt;ROUNDUP(Settings!$B$11*Settings!$B$26,0),NA(),STDEV(OFFSET(G49,1-Settings!$B$11,0,Settings!$B$11,1))*SQRT(Settings!$B$13)))</f>
        <v/>
      </c>
      <c r="K49" s="20">
        <f>IF(OR(NOT(ISNUMBER($A49)),ROW()-2&lt;Settings!$B$12),NA(),IF(COUNT(OFFSET(G49,1-Settings!$B$12,0,Settings!$B$12,1))&lt;ROUNDUP(Settings!$B$12*Settings!$B$26,0),NA(),STDEV(OFFSET(G49,1-Settings!$B$12,0,Settings!$B$12,1))*SQRT(Settings!$B$13)))</f>
        <v/>
      </c>
      <c r="L49" s="20">
        <f>IF(AND(ISNUMBER(D49),ISNUMBER(H49)),D49-H49,NA())</f>
        <v/>
      </c>
      <c r="M49" s="20">
        <f>IF(AND(ISNUMBER(E49),ISNUMBER(K49)),E49-K49,NA())</f>
        <v/>
      </c>
      <c r="N49" s="20">
        <f>IF(NOT(ISNUMBER($A49)),NA(),IF(COUNT(OFFSET(G49,1,0,Settings!$B$12,1))&lt;ROUNDUP(Settings!$B$12*Settings!$B$26,0),NA(),STDEV(OFFSET(G49,1,0,Settings!$B$12,1))*SQRT(Settings!$B$13)))</f>
        <v/>
      </c>
      <c r="O49" s="20">
        <f>IF(AND(ISNUMBER(E49),ISNUMBER(N49)),E49-N49,NA())</f>
        <v/>
      </c>
      <c r="P49" s="19">
        <f>IF(NOT(ISNUMBER($A49)),NA(),IF(OR($A49&lt;MIN(KW_TP!$A$2:$A$2501),$A49&gt;MAX(KW_TP!$A$2:$A$2501)),NA(),INDEX(KW_TP!$C$2:$C$2501,MATCH($A49,KW_TP!$A$2:$A$2501,1))))</f>
        <v/>
      </c>
      <c r="Q49" s="18">
        <f>IF(NOT(ISNUMBER($A49)),NA(),IFERROR(1*INDEX(BBG_Data!$J$2:$J$4000,MATCH($A49,BBG_Data!$I$2:$I$4000,0)),NA()))</f>
        <v/>
      </c>
      <c r="R49" s="18">
        <f>IF(NOT(ISNUMBER($A49)),NA(),IFERROR(1*INDEX(BBG_Data!$L$2:$L$4000,MATCH($A49,BBG_Data!$K$2:$K$4000,0)),NA()))</f>
        <v/>
      </c>
      <c r="S49" s="20">
        <f>IF(AND(ISNUMBER(B49),ISNUMBER(Q49),ISNUMBER(R49)),(B49-Q49-R49)*100,NA())</f>
        <v/>
      </c>
      <c r="T49" s="20">
        <f>IF(AND(ISNUMBER(B49),Settings!$B$17&gt;0),IF(ISNUMBER(INDEX($B:$B,Settings!$B$17)),(B49-INDEX($B:$B,Settings!$B$17))*100,NA()),NA())</f>
        <v/>
      </c>
      <c r="U49" s="20">
        <f>IF(AND(ISNUMBER(Q49),Settings!$B$17&gt;0),IF(ISNUMBER(INDEX($Q:$Q,Settings!$B$17)),(Q49-INDEX($Q:$Q,Settings!$B$17))*100,NA()),NA())</f>
        <v/>
      </c>
      <c r="V49" s="20">
        <f>IF(AND(ISNUMBER(R49),Settings!$B$17&gt;0),IF(ISNUMBER(INDEX($R:$R,Settings!$B$17)),(R49-INDEX($R:$R,Settings!$B$17))*100,NA()),NA())</f>
        <v/>
      </c>
      <c r="W49" s="20">
        <f>IF(AND(ISNUMBER(P49),Settings!$B$17&gt;0),IF(ISNUMBER(INDEX($P:$P,Settings!$B$17)),P49-INDEX($P:$P,Settings!$B$17),NA()),NA())</f>
        <v/>
      </c>
      <c r="X49" s="19">
        <f>IF(NOT(ISNUMBER($A49)),NA(),IF(OR($A49&lt;MIN(DKW_10Y!$A$2:$A$2918),$A49&gt;MAX(DKW_10Y!$A$2:$A$2918),Settings!$B$16&lt;MIN(DKW_10Y!$A$2:$A$2918)),NA(),(INDEX(DKW_10Y!$B$2:$B$2918,MATCH($A49,DKW_10Y!$A$2:$A$2918,1))-INDEX(DKW_10Y!$B$2:$B$2918,MATCH(Settings!$B$16,DKW_10Y!$A$2:$A$2918,1)))*100))</f>
        <v/>
      </c>
      <c r="Y49" s="19">
        <f>IF(NOT(ISNUMBER($A49)),NA(),IF(OR($A49&lt;MIN(DKW_10Y!$A$2:$A$2918),$A49&gt;MAX(DKW_10Y!$A$2:$A$2918),Settings!$B$16&lt;MIN(DKW_10Y!$A$2:$A$2918)),NA(),(INDEX(DKW_10Y!$C$2:$C$2918,MATCH($A49,DKW_10Y!$A$2:$A$2918,1))-INDEX(DKW_10Y!$C$2:$C$2918,MATCH(Settings!$B$16,DKW_10Y!$A$2:$A$2918,1)))*100))</f>
        <v/>
      </c>
      <c r="Z49" s="19">
        <f>IF(NOT(ISNUMBER($A49)),NA(),IF(OR($A49&lt;MIN(DKW_10Y!$A$2:$A$2918),$A49&gt;MAX(DKW_10Y!$A$2:$A$2918),Settings!$B$16&lt;MIN(DKW_10Y!$A$2:$A$2918)),NA(),(INDEX(DKW_10Y!$D$2:$D$2918,MATCH($A49,DKW_10Y!$A$2:$A$2918,1))-INDEX(DKW_10Y!$D$2:$D$2918,MATCH(Settings!$B$16,DKW_10Y!$A$2:$A$2918,1)))*100))</f>
        <v/>
      </c>
      <c r="AA49" s="19">
        <f>IF(NOT(ISNUMBER($A49)),NA(),IF(OR($A49&lt;MIN(DKW_10Y!$A$2:$A$2918),$A49&gt;MAX(DKW_10Y!$A$2:$A$2918),Settings!$B$16&lt;MIN(DKW_10Y!$A$2:$A$2918)),NA(),(INDEX(DKW_10Y!$E$2:$E$2918,MATCH($A49,DKW_10Y!$A$2:$A$2918,1))-INDEX(DKW_10Y!$E$2:$E$2918,MATCH(Settings!$B$16,DKW_10Y!$A$2:$A$2918,1)))*100))</f>
        <v/>
      </c>
      <c r="AB49" s="19">
        <f>IF(NOT(ISNUMBER($A49)),NA(),IF(OR($A49&lt;MIN(DKW_10Y!$A$2:$A$2918),$A49&gt;MAX(DKW_10Y!$A$2:$A$2918),Settings!$B$16&lt;MIN(DKW_10Y!$A$2:$A$2918)),NA(),(INDEX(DKW_10Y!$H$2:$H$2918,MATCH($A49,DKW_10Y!$A$2:$A$2918,1))-INDEX(DKW_10Y!$H$2:$H$2918,MATCH(Settings!$B$16,DKW_10Y!$A$2:$A$2918,1)))*100))</f>
        <v/>
      </c>
      <c r="AC49" s="18">
        <f>IF(NOT(ISNUMBER($A49)),NA(),IFERROR(1*INDEX(BBG_Data!$N$2:$N$4000,MATCH($A49,BBG_Data!$M$2:$M$4000,0)),NA()))</f>
        <v/>
      </c>
      <c r="AD49" s="18">
        <f>IF(NOT(ISNUMBER($A49)),NA(),IFERROR(1*INDEX(BBG_Data!$P$2:$P$4000,MATCH($A49,BBG_Data!$O$2:$O$4000,0)),NA()))</f>
        <v/>
      </c>
      <c r="AE49" s="18">
        <f>IF(NOT(ISNUMBER($A49)),NA(),IFERROR(1*INDEX(BBG_Data!$R$2:$R$4000,MATCH($A49,BBG_Data!$Q$2:$Q$4000,0)),NA()))</f>
        <v/>
      </c>
      <c r="AF49" s="20">
        <f>IF(AND(ISNUMBER(B49),ISNUMBER(AC49)),(B49-AC49)*100,NA())</f>
        <v/>
      </c>
      <c r="AG49" s="20">
        <f>IF(AND(ISNUMBER(AE49),ISNUMBER(AD49)),(AE49-AD49)*100,NA())</f>
        <v/>
      </c>
      <c r="AH49" s="19">
        <f>IF(NOT(ISNUMBER($A49)),NA(),IFERROR(INDEX(BBG_Data!$T$2:$T$4000,MATCH($A49,BBG_Data!$S$2:$S$4000,0))*Settings!$B$25,NA()))</f>
        <v/>
      </c>
      <c r="AI49" s="19">
        <f>IF(NOT(ISNUMBER($A49)),NA(),IFERROR(INDEX(BBG_Data!$V$2:$V$4000,MATCH($A49,BBG_Data!$U$2:$U$4000,0))*Settings!$B$25,NA()))</f>
        <v/>
      </c>
      <c r="AJ49" s="19">
        <f>IF(NOT(ISNUMBER($A49)),NA(),IFERROR(1*INDEX(BBG_Data!$X$2:$X$4000,MATCH($A49,BBG_Data!$W$2:$W$4000,0)),NA()))</f>
        <v/>
      </c>
      <c r="AK49" s="19">
        <f>IF(NOT(ISNUMBER($A49)),NA(),IFERROR(1*INDEX(BBG_Data!$Z$2:$Z$4000,MATCH($A49,BBG_Data!$Y$2:$Y$4000,0)),NA()))</f>
        <v/>
      </c>
    </row>
    <row r="50">
      <c r="A50" s="17">
        <f>IF(ISNUMBER(BBG_Data!A50),BBG_Data!A50,"")</f>
        <v/>
      </c>
      <c r="B50" s="18">
        <f>IF(AND(ISNUMBER($A50),ISNUMBER(BBG_Data!B50)),BBG_Data!B50,NA())</f>
        <v/>
      </c>
      <c r="C50" s="18">
        <f>IF(NOT(ISNUMBER($A50)),NA(),IFERROR(1*INDEX(BBG_Data!$D$2:$D$4000,MATCH($A50,BBG_Data!$C$2:$C$4000,0)),NA()))</f>
        <v/>
      </c>
      <c r="D50" s="19">
        <f>IF(NOT(ISNUMBER($A50)),NA(),IFERROR(1*INDEX(BBG_Data!$F$2:$F$4000,MATCH($A50,BBG_Data!$E$2:$E$4000,0)),NA()))</f>
        <v/>
      </c>
      <c r="E50" s="19">
        <f>IF(NOT(ISNUMBER($A50)),NA(),IFERROR(1*INDEX(BBG_Data!$H$2:$H$4000,MATCH($A50,BBG_Data!$G$2:$G$4000,0)),NA()))</f>
        <v/>
      </c>
      <c r="F50" s="20">
        <f>IF(AND(ISNUMBER(B50),ISNUMBER(B49)),IF(B50=B49,"",(B50-B49)*100),"")</f>
        <v/>
      </c>
      <c r="G50" s="20">
        <f>IF(AND(ISNUMBER(C50),ISNUMBER(C49)),IF(C50=C49,"",(C50-C49)*100),"")</f>
        <v/>
      </c>
      <c r="H50" s="20">
        <f>IF(OR(NOT(ISNUMBER($A50)),ROW()-2&lt;Settings!$B$11),NA(),IF(COUNT(OFFSET(F50,1-Settings!$B$11,0,Settings!$B$11,1))&lt;ROUNDUP(Settings!$B$11*Settings!$B$26,0),NA(),STDEV(OFFSET(F50,1-Settings!$B$11,0,Settings!$B$11,1))*SQRT(Settings!$B$13)))</f>
        <v/>
      </c>
      <c r="I50" s="20">
        <f>IF(OR(NOT(ISNUMBER($A50)),ROW()-2&lt;Settings!$B$12),NA(),IF(COUNT(OFFSET(F50,1-Settings!$B$12,0,Settings!$B$12,1))&lt;ROUNDUP(Settings!$B$12*Settings!$B$26,0),NA(),STDEV(OFFSET(F50,1-Settings!$B$12,0,Settings!$B$12,1))*SQRT(Settings!$B$13)))</f>
        <v/>
      </c>
      <c r="J50" s="20">
        <f>IF(OR(NOT(ISNUMBER($A50)),ROW()-2&lt;Settings!$B$11),NA(),IF(COUNT(OFFSET(G50,1-Settings!$B$11,0,Settings!$B$11,1))&lt;ROUNDUP(Settings!$B$11*Settings!$B$26,0),NA(),STDEV(OFFSET(G50,1-Settings!$B$11,0,Settings!$B$11,1))*SQRT(Settings!$B$13)))</f>
        <v/>
      </c>
      <c r="K50" s="20">
        <f>IF(OR(NOT(ISNUMBER($A50)),ROW()-2&lt;Settings!$B$12),NA(),IF(COUNT(OFFSET(G50,1-Settings!$B$12,0,Settings!$B$12,1))&lt;ROUNDUP(Settings!$B$12*Settings!$B$26,0),NA(),STDEV(OFFSET(G50,1-Settings!$B$12,0,Settings!$B$12,1))*SQRT(Settings!$B$13)))</f>
        <v/>
      </c>
      <c r="L50" s="20">
        <f>IF(AND(ISNUMBER(D50),ISNUMBER(H50)),D50-H50,NA())</f>
        <v/>
      </c>
      <c r="M50" s="20">
        <f>IF(AND(ISNUMBER(E50),ISNUMBER(K50)),E50-K50,NA())</f>
        <v/>
      </c>
      <c r="N50" s="20">
        <f>IF(NOT(ISNUMBER($A50)),NA(),IF(COUNT(OFFSET(G50,1,0,Settings!$B$12,1))&lt;ROUNDUP(Settings!$B$12*Settings!$B$26,0),NA(),STDEV(OFFSET(G50,1,0,Settings!$B$12,1))*SQRT(Settings!$B$13)))</f>
        <v/>
      </c>
      <c r="O50" s="20">
        <f>IF(AND(ISNUMBER(E50),ISNUMBER(N50)),E50-N50,NA())</f>
        <v/>
      </c>
      <c r="P50" s="19">
        <f>IF(NOT(ISNUMBER($A50)),NA(),IF(OR($A50&lt;MIN(KW_TP!$A$2:$A$2501),$A50&gt;MAX(KW_TP!$A$2:$A$2501)),NA(),INDEX(KW_TP!$C$2:$C$2501,MATCH($A50,KW_TP!$A$2:$A$2501,1))))</f>
        <v/>
      </c>
      <c r="Q50" s="18">
        <f>IF(NOT(ISNUMBER($A50)),NA(),IFERROR(1*INDEX(BBG_Data!$J$2:$J$4000,MATCH($A50,BBG_Data!$I$2:$I$4000,0)),NA()))</f>
        <v/>
      </c>
      <c r="R50" s="18">
        <f>IF(NOT(ISNUMBER($A50)),NA(),IFERROR(1*INDEX(BBG_Data!$L$2:$L$4000,MATCH($A50,BBG_Data!$K$2:$K$4000,0)),NA()))</f>
        <v/>
      </c>
      <c r="S50" s="20">
        <f>IF(AND(ISNUMBER(B50),ISNUMBER(Q50),ISNUMBER(R50)),(B50-Q50-R50)*100,NA())</f>
        <v/>
      </c>
      <c r="T50" s="20">
        <f>IF(AND(ISNUMBER(B50),Settings!$B$17&gt;0),IF(ISNUMBER(INDEX($B:$B,Settings!$B$17)),(B50-INDEX($B:$B,Settings!$B$17))*100,NA()),NA())</f>
        <v/>
      </c>
      <c r="U50" s="20">
        <f>IF(AND(ISNUMBER(Q50),Settings!$B$17&gt;0),IF(ISNUMBER(INDEX($Q:$Q,Settings!$B$17)),(Q50-INDEX($Q:$Q,Settings!$B$17))*100,NA()),NA())</f>
        <v/>
      </c>
      <c r="V50" s="20">
        <f>IF(AND(ISNUMBER(R50),Settings!$B$17&gt;0),IF(ISNUMBER(INDEX($R:$R,Settings!$B$17)),(R50-INDEX($R:$R,Settings!$B$17))*100,NA()),NA())</f>
        <v/>
      </c>
      <c r="W50" s="20">
        <f>IF(AND(ISNUMBER(P50),Settings!$B$17&gt;0),IF(ISNUMBER(INDEX($P:$P,Settings!$B$17)),P50-INDEX($P:$P,Settings!$B$17),NA()),NA())</f>
        <v/>
      </c>
      <c r="X50" s="19">
        <f>IF(NOT(ISNUMBER($A50)),NA(),IF(OR($A50&lt;MIN(DKW_10Y!$A$2:$A$2918),$A50&gt;MAX(DKW_10Y!$A$2:$A$2918),Settings!$B$16&lt;MIN(DKW_10Y!$A$2:$A$2918)),NA(),(INDEX(DKW_10Y!$B$2:$B$2918,MATCH($A50,DKW_10Y!$A$2:$A$2918,1))-INDEX(DKW_10Y!$B$2:$B$2918,MATCH(Settings!$B$16,DKW_10Y!$A$2:$A$2918,1)))*100))</f>
        <v/>
      </c>
      <c r="Y50" s="19">
        <f>IF(NOT(ISNUMBER($A50)),NA(),IF(OR($A50&lt;MIN(DKW_10Y!$A$2:$A$2918),$A50&gt;MAX(DKW_10Y!$A$2:$A$2918),Settings!$B$16&lt;MIN(DKW_10Y!$A$2:$A$2918)),NA(),(INDEX(DKW_10Y!$C$2:$C$2918,MATCH($A50,DKW_10Y!$A$2:$A$2918,1))-INDEX(DKW_10Y!$C$2:$C$2918,MATCH(Settings!$B$16,DKW_10Y!$A$2:$A$2918,1)))*100))</f>
        <v/>
      </c>
      <c r="Z50" s="19">
        <f>IF(NOT(ISNUMBER($A50)),NA(),IF(OR($A50&lt;MIN(DKW_10Y!$A$2:$A$2918),$A50&gt;MAX(DKW_10Y!$A$2:$A$2918),Settings!$B$16&lt;MIN(DKW_10Y!$A$2:$A$2918)),NA(),(INDEX(DKW_10Y!$D$2:$D$2918,MATCH($A50,DKW_10Y!$A$2:$A$2918,1))-INDEX(DKW_10Y!$D$2:$D$2918,MATCH(Settings!$B$16,DKW_10Y!$A$2:$A$2918,1)))*100))</f>
        <v/>
      </c>
      <c r="AA50" s="19">
        <f>IF(NOT(ISNUMBER($A50)),NA(),IF(OR($A50&lt;MIN(DKW_10Y!$A$2:$A$2918),$A50&gt;MAX(DKW_10Y!$A$2:$A$2918),Settings!$B$16&lt;MIN(DKW_10Y!$A$2:$A$2918)),NA(),(INDEX(DKW_10Y!$E$2:$E$2918,MATCH($A50,DKW_10Y!$A$2:$A$2918,1))-INDEX(DKW_10Y!$E$2:$E$2918,MATCH(Settings!$B$16,DKW_10Y!$A$2:$A$2918,1)))*100))</f>
        <v/>
      </c>
      <c r="AB50" s="19">
        <f>IF(NOT(ISNUMBER($A50)),NA(),IF(OR($A50&lt;MIN(DKW_10Y!$A$2:$A$2918),$A50&gt;MAX(DKW_10Y!$A$2:$A$2918),Settings!$B$16&lt;MIN(DKW_10Y!$A$2:$A$2918)),NA(),(INDEX(DKW_10Y!$H$2:$H$2918,MATCH($A50,DKW_10Y!$A$2:$A$2918,1))-INDEX(DKW_10Y!$H$2:$H$2918,MATCH(Settings!$B$16,DKW_10Y!$A$2:$A$2918,1)))*100))</f>
        <v/>
      </c>
      <c r="AC50" s="18">
        <f>IF(NOT(ISNUMBER($A50)),NA(),IFERROR(1*INDEX(BBG_Data!$N$2:$N$4000,MATCH($A50,BBG_Data!$M$2:$M$4000,0)),NA()))</f>
        <v/>
      </c>
      <c r="AD50" s="18">
        <f>IF(NOT(ISNUMBER($A50)),NA(),IFERROR(1*INDEX(BBG_Data!$P$2:$P$4000,MATCH($A50,BBG_Data!$O$2:$O$4000,0)),NA()))</f>
        <v/>
      </c>
      <c r="AE50" s="18">
        <f>IF(NOT(ISNUMBER($A50)),NA(),IFERROR(1*INDEX(BBG_Data!$R$2:$R$4000,MATCH($A50,BBG_Data!$Q$2:$Q$4000,0)),NA()))</f>
        <v/>
      </c>
      <c r="AF50" s="20">
        <f>IF(AND(ISNUMBER(B50),ISNUMBER(AC50)),(B50-AC50)*100,NA())</f>
        <v/>
      </c>
      <c r="AG50" s="20">
        <f>IF(AND(ISNUMBER(AE50),ISNUMBER(AD50)),(AE50-AD50)*100,NA())</f>
        <v/>
      </c>
      <c r="AH50" s="19">
        <f>IF(NOT(ISNUMBER($A50)),NA(),IFERROR(INDEX(BBG_Data!$T$2:$T$4000,MATCH($A50,BBG_Data!$S$2:$S$4000,0))*Settings!$B$25,NA()))</f>
        <v/>
      </c>
      <c r="AI50" s="19">
        <f>IF(NOT(ISNUMBER($A50)),NA(),IFERROR(INDEX(BBG_Data!$V$2:$V$4000,MATCH($A50,BBG_Data!$U$2:$U$4000,0))*Settings!$B$25,NA()))</f>
        <v/>
      </c>
      <c r="AJ50" s="19">
        <f>IF(NOT(ISNUMBER($A50)),NA(),IFERROR(1*INDEX(BBG_Data!$X$2:$X$4000,MATCH($A50,BBG_Data!$W$2:$W$4000,0)),NA()))</f>
        <v/>
      </c>
      <c r="AK50" s="19">
        <f>IF(NOT(ISNUMBER($A50)),NA(),IFERROR(1*INDEX(BBG_Data!$Z$2:$Z$4000,MATCH($A50,BBG_Data!$Y$2:$Y$4000,0)),NA()))</f>
        <v/>
      </c>
    </row>
    <row r="51">
      <c r="A51" s="17">
        <f>IF(ISNUMBER(BBG_Data!A51),BBG_Data!A51,"")</f>
        <v/>
      </c>
      <c r="B51" s="18">
        <f>IF(AND(ISNUMBER($A51),ISNUMBER(BBG_Data!B51)),BBG_Data!B51,NA())</f>
        <v/>
      </c>
      <c r="C51" s="18">
        <f>IF(NOT(ISNUMBER($A51)),NA(),IFERROR(1*INDEX(BBG_Data!$D$2:$D$4000,MATCH($A51,BBG_Data!$C$2:$C$4000,0)),NA()))</f>
        <v/>
      </c>
      <c r="D51" s="19">
        <f>IF(NOT(ISNUMBER($A51)),NA(),IFERROR(1*INDEX(BBG_Data!$F$2:$F$4000,MATCH($A51,BBG_Data!$E$2:$E$4000,0)),NA()))</f>
        <v/>
      </c>
      <c r="E51" s="19">
        <f>IF(NOT(ISNUMBER($A51)),NA(),IFERROR(1*INDEX(BBG_Data!$H$2:$H$4000,MATCH($A51,BBG_Data!$G$2:$G$4000,0)),NA()))</f>
        <v/>
      </c>
      <c r="F51" s="20">
        <f>IF(AND(ISNUMBER(B51),ISNUMBER(B50)),IF(B51=B50,"",(B51-B50)*100),"")</f>
        <v/>
      </c>
      <c r="G51" s="20">
        <f>IF(AND(ISNUMBER(C51),ISNUMBER(C50)),IF(C51=C50,"",(C51-C50)*100),"")</f>
        <v/>
      </c>
      <c r="H51" s="20">
        <f>IF(OR(NOT(ISNUMBER($A51)),ROW()-2&lt;Settings!$B$11),NA(),IF(COUNT(OFFSET(F51,1-Settings!$B$11,0,Settings!$B$11,1))&lt;ROUNDUP(Settings!$B$11*Settings!$B$26,0),NA(),STDEV(OFFSET(F51,1-Settings!$B$11,0,Settings!$B$11,1))*SQRT(Settings!$B$13)))</f>
        <v/>
      </c>
      <c r="I51" s="20">
        <f>IF(OR(NOT(ISNUMBER($A51)),ROW()-2&lt;Settings!$B$12),NA(),IF(COUNT(OFFSET(F51,1-Settings!$B$12,0,Settings!$B$12,1))&lt;ROUNDUP(Settings!$B$12*Settings!$B$26,0),NA(),STDEV(OFFSET(F51,1-Settings!$B$12,0,Settings!$B$12,1))*SQRT(Settings!$B$13)))</f>
        <v/>
      </c>
      <c r="J51" s="20">
        <f>IF(OR(NOT(ISNUMBER($A51)),ROW()-2&lt;Settings!$B$11),NA(),IF(COUNT(OFFSET(G51,1-Settings!$B$11,0,Settings!$B$11,1))&lt;ROUNDUP(Settings!$B$11*Settings!$B$26,0),NA(),STDEV(OFFSET(G51,1-Settings!$B$11,0,Settings!$B$11,1))*SQRT(Settings!$B$13)))</f>
        <v/>
      </c>
      <c r="K51" s="20">
        <f>IF(OR(NOT(ISNUMBER($A51)),ROW()-2&lt;Settings!$B$12),NA(),IF(COUNT(OFFSET(G51,1-Settings!$B$12,0,Settings!$B$12,1))&lt;ROUNDUP(Settings!$B$12*Settings!$B$26,0),NA(),STDEV(OFFSET(G51,1-Settings!$B$12,0,Settings!$B$12,1))*SQRT(Settings!$B$13)))</f>
        <v/>
      </c>
      <c r="L51" s="20">
        <f>IF(AND(ISNUMBER(D51),ISNUMBER(H51)),D51-H51,NA())</f>
        <v/>
      </c>
      <c r="M51" s="20">
        <f>IF(AND(ISNUMBER(E51),ISNUMBER(K51)),E51-K51,NA())</f>
        <v/>
      </c>
      <c r="N51" s="20">
        <f>IF(NOT(ISNUMBER($A51)),NA(),IF(COUNT(OFFSET(G51,1,0,Settings!$B$12,1))&lt;ROUNDUP(Settings!$B$12*Settings!$B$26,0),NA(),STDEV(OFFSET(G51,1,0,Settings!$B$12,1))*SQRT(Settings!$B$13)))</f>
        <v/>
      </c>
      <c r="O51" s="20">
        <f>IF(AND(ISNUMBER(E51),ISNUMBER(N51)),E51-N51,NA())</f>
        <v/>
      </c>
      <c r="P51" s="19">
        <f>IF(NOT(ISNUMBER($A51)),NA(),IF(OR($A51&lt;MIN(KW_TP!$A$2:$A$2501),$A51&gt;MAX(KW_TP!$A$2:$A$2501)),NA(),INDEX(KW_TP!$C$2:$C$2501,MATCH($A51,KW_TP!$A$2:$A$2501,1))))</f>
        <v/>
      </c>
      <c r="Q51" s="18">
        <f>IF(NOT(ISNUMBER($A51)),NA(),IFERROR(1*INDEX(BBG_Data!$J$2:$J$4000,MATCH($A51,BBG_Data!$I$2:$I$4000,0)),NA()))</f>
        <v/>
      </c>
      <c r="R51" s="18">
        <f>IF(NOT(ISNUMBER($A51)),NA(),IFERROR(1*INDEX(BBG_Data!$L$2:$L$4000,MATCH($A51,BBG_Data!$K$2:$K$4000,0)),NA()))</f>
        <v/>
      </c>
      <c r="S51" s="20">
        <f>IF(AND(ISNUMBER(B51),ISNUMBER(Q51),ISNUMBER(R51)),(B51-Q51-R51)*100,NA())</f>
        <v/>
      </c>
      <c r="T51" s="20">
        <f>IF(AND(ISNUMBER(B51),Settings!$B$17&gt;0),IF(ISNUMBER(INDEX($B:$B,Settings!$B$17)),(B51-INDEX($B:$B,Settings!$B$17))*100,NA()),NA())</f>
        <v/>
      </c>
      <c r="U51" s="20">
        <f>IF(AND(ISNUMBER(Q51),Settings!$B$17&gt;0),IF(ISNUMBER(INDEX($Q:$Q,Settings!$B$17)),(Q51-INDEX($Q:$Q,Settings!$B$17))*100,NA()),NA())</f>
        <v/>
      </c>
      <c r="V51" s="20">
        <f>IF(AND(ISNUMBER(R51),Settings!$B$17&gt;0),IF(ISNUMBER(INDEX($R:$R,Settings!$B$17)),(R51-INDEX($R:$R,Settings!$B$17))*100,NA()),NA())</f>
        <v/>
      </c>
      <c r="W51" s="20">
        <f>IF(AND(ISNUMBER(P51),Settings!$B$17&gt;0),IF(ISNUMBER(INDEX($P:$P,Settings!$B$17)),P51-INDEX($P:$P,Settings!$B$17),NA()),NA())</f>
        <v/>
      </c>
      <c r="X51" s="19">
        <f>IF(NOT(ISNUMBER($A51)),NA(),IF(OR($A51&lt;MIN(DKW_10Y!$A$2:$A$2918),$A51&gt;MAX(DKW_10Y!$A$2:$A$2918),Settings!$B$16&lt;MIN(DKW_10Y!$A$2:$A$2918)),NA(),(INDEX(DKW_10Y!$B$2:$B$2918,MATCH($A51,DKW_10Y!$A$2:$A$2918,1))-INDEX(DKW_10Y!$B$2:$B$2918,MATCH(Settings!$B$16,DKW_10Y!$A$2:$A$2918,1)))*100))</f>
        <v/>
      </c>
      <c r="Y51" s="19">
        <f>IF(NOT(ISNUMBER($A51)),NA(),IF(OR($A51&lt;MIN(DKW_10Y!$A$2:$A$2918),$A51&gt;MAX(DKW_10Y!$A$2:$A$2918),Settings!$B$16&lt;MIN(DKW_10Y!$A$2:$A$2918)),NA(),(INDEX(DKW_10Y!$C$2:$C$2918,MATCH($A51,DKW_10Y!$A$2:$A$2918,1))-INDEX(DKW_10Y!$C$2:$C$2918,MATCH(Settings!$B$16,DKW_10Y!$A$2:$A$2918,1)))*100))</f>
        <v/>
      </c>
      <c r="Z51" s="19">
        <f>IF(NOT(ISNUMBER($A51)),NA(),IF(OR($A51&lt;MIN(DKW_10Y!$A$2:$A$2918),$A51&gt;MAX(DKW_10Y!$A$2:$A$2918),Settings!$B$16&lt;MIN(DKW_10Y!$A$2:$A$2918)),NA(),(INDEX(DKW_10Y!$D$2:$D$2918,MATCH($A51,DKW_10Y!$A$2:$A$2918,1))-INDEX(DKW_10Y!$D$2:$D$2918,MATCH(Settings!$B$16,DKW_10Y!$A$2:$A$2918,1)))*100))</f>
        <v/>
      </c>
      <c r="AA51" s="19">
        <f>IF(NOT(ISNUMBER($A51)),NA(),IF(OR($A51&lt;MIN(DKW_10Y!$A$2:$A$2918),$A51&gt;MAX(DKW_10Y!$A$2:$A$2918),Settings!$B$16&lt;MIN(DKW_10Y!$A$2:$A$2918)),NA(),(INDEX(DKW_10Y!$E$2:$E$2918,MATCH($A51,DKW_10Y!$A$2:$A$2918,1))-INDEX(DKW_10Y!$E$2:$E$2918,MATCH(Settings!$B$16,DKW_10Y!$A$2:$A$2918,1)))*100))</f>
        <v/>
      </c>
      <c r="AB51" s="19">
        <f>IF(NOT(ISNUMBER($A51)),NA(),IF(OR($A51&lt;MIN(DKW_10Y!$A$2:$A$2918),$A51&gt;MAX(DKW_10Y!$A$2:$A$2918),Settings!$B$16&lt;MIN(DKW_10Y!$A$2:$A$2918)),NA(),(INDEX(DKW_10Y!$H$2:$H$2918,MATCH($A51,DKW_10Y!$A$2:$A$2918,1))-INDEX(DKW_10Y!$H$2:$H$2918,MATCH(Settings!$B$16,DKW_10Y!$A$2:$A$2918,1)))*100))</f>
        <v/>
      </c>
      <c r="AC51" s="18">
        <f>IF(NOT(ISNUMBER($A51)),NA(),IFERROR(1*INDEX(BBG_Data!$N$2:$N$4000,MATCH($A51,BBG_Data!$M$2:$M$4000,0)),NA()))</f>
        <v/>
      </c>
      <c r="AD51" s="18">
        <f>IF(NOT(ISNUMBER($A51)),NA(),IFERROR(1*INDEX(BBG_Data!$P$2:$P$4000,MATCH($A51,BBG_Data!$O$2:$O$4000,0)),NA()))</f>
        <v/>
      </c>
      <c r="AE51" s="18">
        <f>IF(NOT(ISNUMBER($A51)),NA(),IFERROR(1*INDEX(BBG_Data!$R$2:$R$4000,MATCH($A51,BBG_Data!$Q$2:$Q$4000,0)),NA()))</f>
        <v/>
      </c>
      <c r="AF51" s="20">
        <f>IF(AND(ISNUMBER(B51),ISNUMBER(AC51)),(B51-AC51)*100,NA())</f>
        <v/>
      </c>
      <c r="AG51" s="20">
        <f>IF(AND(ISNUMBER(AE51),ISNUMBER(AD51)),(AE51-AD51)*100,NA())</f>
        <v/>
      </c>
      <c r="AH51" s="19">
        <f>IF(NOT(ISNUMBER($A51)),NA(),IFERROR(INDEX(BBG_Data!$T$2:$T$4000,MATCH($A51,BBG_Data!$S$2:$S$4000,0))*Settings!$B$25,NA()))</f>
        <v/>
      </c>
      <c r="AI51" s="19">
        <f>IF(NOT(ISNUMBER($A51)),NA(),IFERROR(INDEX(BBG_Data!$V$2:$V$4000,MATCH($A51,BBG_Data!$U$2:$U$4000,0))*Settings!$B$25,NA()))</f>
        <v/>
      </c>
      <c r="AJ51" s="19">
        <f>IF(NOT(ISNUMBER($A51)),NA(),IFERROR(1*INDEX(BBG_Data!$X$2:$X$4000,MATCH($A51,BBG_Data!$W$2:$W$4000,0)),NA()))</f>
        <v/>
      </c>
      <c r="AK51" s="19">
        <f>IF(NOT(ISNUMBER($A51)),NA(),IFERROR(1*INDEX(BBG_Data!$Z$2:$Z$4000,MATCH($A51,BBG_Data!$Y$2:$Y$4000,0)),NA()))</f>
        <v/>
      </c>
    </row>
    <row r="52">
      <c r="A52" s="17">
        <f>IF(ISNUMBER(BBG_Data!A52),BBG_Data!A52,"")</f>
        <v/>
      </c>
      <c r="B52" s="18">
        <f>IF(AND(ISNUMBER($A52),ISNUMBER(BBG_Data!B52)),BBG_Data!B52,NA())</f>
        <v/>
      </c>
      <c r="C52" s="18">
        <f>IF(NOT(ISNUMBER($A52)),NA(),IFERROR(1*INDEX(BBG_Data!$D$2:$D$4000,MATCH($A52,BBG_Data!$C$2:$C$4000,0)),NA()))</f>
        <v/>
      </c>
      <c r="D52" s="19">
        <f>IF(NOT(ISNUMBER($A52)),NA(),IFERROR(1*INDEX(BBG_Data!$F$2:$F$4000,MATCH($A52,BBG_Data!$E$2:$E$4000,0)),NA()))</f>
        <v/>
      </c>
      <c r="E52" s="19">
        <f>IF(NOT(ISNUMBER($A52)),NA(),IFERROR(1*INDEX(BBG_Data!$H$2:$H$4000,MATCH($A52,BBG_Data!$G$2:$G$4000,0)),NA()))</f>
        <v/>
      </c>
      <c r="F52" s="20">
        <f>IF(AND(ISNUMBER(B52),ISNUMBER(B51)),IF(B52=B51,"",(B52-B51)*100),"")</f>
        <v/>
      </c>
      <c r="G52" s="20">
        <f>IF(AND(ISNUMBER(C52),ISNUMBER(C51)),IF(C52=C51,"",(C52-C51)*100),"")</f>
        <v/>
      </c>
      <c r="H52" s="20">
        <f>IF(OR(NOT(ISNUMBER($A52)),ROW()-2&lt;Settings!$B$11),NA(),IF(COUNT(OFFSET(F52,1-Settings!$B$11,0,Settings!$B$11,1))&lt;ROUNDUP(Settings!$B$11*Settings!$B$26,0),NA(),STDEV(OFFSET(F52,1-Settings!$B$11,0,Settings!$B$11,1))*SQRT(Settings!$B$13)))</f>
        <v/>
      </c>
      <c r="I52" s="20">
        <f>IF(OR(NOT(ISNUMBER($A52)),ROW()-2&lt;Settings!$B$12),NA(),IF(COUNT(OFFSET(F52,1-Settings!$B$12,0,Settings!$B$12,1))&lt;ROUNDUP(Settings!$B$12*Settings!$B$26,0),NA(),STDEV(OFFSET(F52,1-Settings!$B$12,0,Settings!$B$12,1))*SQRT(Settings!$B$13)))</f>
        <v/>
      </c>
      <c r="J52" s="20">
        <f>IF(OR(NOT(ISNUMBER($A52)),ROW()-2&lt;Settings!$B$11),NA(),IF(COUNT(OFFSET(G52,1-Settings!$B$11,0,Settings!$B$11,1))&lt;ROUNDUP(Settings!$B$11*Settings!$B$26,0),NA(),STDEV(OFFSET(G52,1-Settings!$B$11,0,Settings!$B$11,1))*SQRT(Settings!$B$13)))</f>
        <v/>
      </c>
      <c r="K52" s="20">
        <f>IF(OR(NOT(ISNUMBER($A52)),ROW()-2&lt;Settings!$B$12),NA(),IF(COUNT(OFFSET(G52,1-Settings!$B$12,0,Settings!$B$12,1))&lt;ROUNDUP(Settings!$B$12*Settings!$B$26,0),NA(),STDEV(OFFSET(G52,1-Settings!$B$12,0,Settings!$B$12,1))*SQRT(Settings!$B$13)))</f>
        <v/>
      </c>
      <c r="L52" s="20">
        <f>IF(AND(ISNUMBER(D52),ISNUMBER(H52)),D52-H52,NA())</f>
        <v/>
      </c>
      <c r="M52" s="20">
        <f>IF(AND(ISNUMBER(E52),ISNUMBER(K52)),E52-K52,NA())</f>
        <v/>
      </c>
      <c r="N52" s="20">
        <f>IF(NOT(ISNUMBER($A52)),NA(),IF(COUNT(OFFSET(G52,1,0,Settings!$B$12,1))&lt;ROUNDUP(Settings!$B$12*Settings!$B$26,0),NA(),STDEV(OFFSET(G52,1,0,Settings!$B$12,1))*SQRT(Settings!$B$13)))</f>
        <v/>
      </c>
      <c r="O52" s="20">
        <f>IF(AND(ISNUMBER(E52),ISNUMBER(N52)),E52-N52,NA())</f>
        <v/>
      </c>
      <c r="P52" s="19">
        <f>IF(NOT(ISNUMBER($A52)),NA(),IF(OR($A52&lt;MIN(KW_TP!$A$2:$A$2501),$A52&gt;MAX(KW_TP!$A$2:$A$2501)),NA(),INDEX(KW_TP!$C$2:$C$2501,MATCH($A52,KW_TP!$A$2:$A$2501,1))))</f>
        <v/>
      </c>
      <c r="Q52" s="18">
        <f>IF(NOT(ISNUMBER($A52)),NA(),IFERROR(1*INDEX(BBG_Data!$J$2:$J$4000,MATCH($A52,BBG_Data!$I$2:$I$4000,0)),NA()))</f>
        <v/>
      </c>
      <c r="R52" s="18">
        <f>IF(NOT(ISNUMBER($A52)),NA(),IFERROR(1*INDEX(BBG_Data!$L$2:$L$4000,MATCH($A52,BBG_Data!$K$2:$K$4000,0)),NA()))</f>
        <v/>
      </c>
      <c r="S52" s="20">
        <f>IF(AND(ISNUMBER(B52),ISNUMBER(Q52),ISNUMBER(R52)),(B52-Q52-R52)*100,NA())</f>
        <v/>
      </c>
      <c r="T52" s="20">
        <f>IF(AND(ISNUMBER(B52),Settings!$B$17&gt;0),IF(ISNUMBER(INDEX($B:$B,Settings!$B$17)),(B52-INDEX($B:$B,Settings!$B$17))*100,NA()),NA())</f>
        <v/>
      </c>
      <c r="U52" s="20">
        <f>IF(AND(ISNUMBER(Q52),Settings!$B$17&gt;0),IF(ISNUMBER(INDEX($Q:$Q,Settings!$B$17)),(Q52-INDEX($Q:$Q,Settings!$B$17))*100,NA()),NA())</f>
        <v/>
      </c>
      <c r="V52" s="20">
        <f>IF(AND(ISNUMBER(R52),Settings!$B$17&gt;0),IF(ISNUMBER(INDEX($R:$R,Settings!$B$17)),(R52-INDEX($R:$R,Settings!$B$17))*100,NA()),NA())</f>
        <v/>
      </c>
      <c r="W52" s="20">
        <f>IF(AND(ISNUMBER(P52),Settings!$B$17&gt;0),IF(ISNUMBER(INDEX($P:$P,Settings!$B$17)),P52-INDEX($P:$P,Settings!$B$17),NA()),NA())</f>
        <v/>
      </c>
      <c r="X52" s="19">
        <f>IF(NOT(ISNUMBER($A52)),NA(),IF(OR($A52&lt;MIN(DKW_10Y!$A$2:$A$2918),$A52&gt;MAX(DKW_10Y!$A$2:$A$2918),Settings!$B$16&lt;MIN(DKW_10Y!$A$2:$A$2918)),NA(),(INDEX(DKW_10Y!$B$2:$B$2918,MATCH($A52,DKW_10Y!$A$2:$A$2918,1))-INDEX(DKW_10Y!$B$2:$B$2918,MATCH(Settings!$B$16,DKW_10Y!$A$2:$A$2918,1)))*100))</f>
        <v/>
      </c>
      <c r="Y52" s="19">
        <f>IF(NOT(ISNUMBER($A52)),NA(),IF(OR($A52&lt;MIN(DKW_10Y!$A$2:$A$2918),$A52&gt;MAX(DKW_10Y!$A$2:$A$2918),Settings!$B$16&lt;MIN(DKW_10Y!$A$2:$A$2918)),NA(),(INDEX(DKW_10Y!$C$2:$C$2918,MATCH($A52,DKW_10Y!$A$2:$A$2918,1))-INDEX(DKW_10Y!$C$2:$C$2918,MATCH(Settings!$B$16,DKW_10Y!$A$2:$A$2918,1)))*100))</f>
        <v/>
      </c>
      <c r="Z52" s="19">
        <f>IF(NOT(ISNUMBER($A52)),NA(),IF(OR($A52&lt;MIN(DKW_10Y!$A$2:$A$2918),$A52&gt;MAX(DKW_10Y!$A$2:$A$2918),Settings!$B$16&lt;MIN(DKW_10Y!$A$2:$A$2918)),NA(),(INDEX(DKW_10Y!$D$2:$D$2918,MATCH($A52,DKW_10Y!$A$2:$A$2918,1))-INDEX(DKW_10Y!$D$2:$D$2918,MATCH(Settings!$B$16,DKW_10Y!$A$2:$A$2918,1)))*100))</f>
        <v/>
      </c>
      <c r="AA52" s="19">
        <f>IF(NOT(ISNUMBER($A52)),NA(),IF(OR($A52&lt;MIN(DKW_10Y!$A$2:$A$2918),$A52&gt;MAX(DKW_10Y!$A$2:$A$2918),Settings!$B$16&lt;MIN(DKW_10Y!$A$2:$A$2918)),NA(),(INDEX(DKW_10Y!$E$2:$E$2918,MATCH($A52,DKW_10Y!$A$2:$A$2918,1))-INDEX(DKW_10Y!$E$2:$E$2918,MATCH(Settings!$B$16,DKW_10Y!$A$2:$A$2918,1)))*100))</f>
        <v/>
      </c>
      <c r="AB52" s="19">
        <f>IF(NOT(ISNUMBER($A52)),NA(),IF(OR($A52&lt;MIN(DKW_10Y!$A$2:$A$2918),$A52&gt;MAX(DKW_10Y!$A$2:$A$2918),Settings!$B$16&lt;MIN(DKW_10Y!$A$2:$A$2918)),NA(),(INDEX(DKW_10Y!$H$2:$H$2918,MATCH($A52,DKW_10Y!$A$2:$A$2918,1))-INDEX(DKW_10Y!$H$2:$H$2918,MATCH(Settings!$B$16,DKW_10Y!$A$2:$A$2918,1)))*100))</f>
        <v/>
      </c>
      <c r="AC52" s="18">
        <f>IF(NOT(ISNUMBER($A52)),NA(),IFERROR(1*INDEX(BBG_Data!$N$2:$N$4000,MATCH($A52,BBG_Data!$M$2:$M$4000,0)),NA()))</f>
        <v/>
      </c>
      <c r="AD52" s="18">
        <f>IF(NOT(ISNUMBER($A52)),NA(),IFERROR(1*INDEX(BBG_Data!$P$2:$P$4000,MATCH($A52,BBG_Data!$O$2:$O$4000,0)),NA()))</f>
        <v/>
      </c>
      <c r="AE52" s="18">
        <f>IF(NOT(ISNUMBER($A52)),NA(),IFERROR(1*INDEX(BBG_Data!$R$2:$R$4000,MATCH($A52,BBG_Data!$Q$2:$Q$4000,0)),NA()))</f>
        <v/>
      </c>
      <c r="AF52" s="20">
        <f>IF(AND(ISNUMBER(B52),ISNUMBER(AC52)),(B52-AC52)*100,NA())</f>
        <v/>
      </c>
      <c r="AG52" s="20">
        <f>IF(AND(ISNUMBER(AE52),ISNUMBER(AD52)),(AE52-AD52)*100,NA())</f>
        <v/>
      </c>
      <c r="AH52" s="19">
        <f>IF(NOT(ISNUMBER($A52)),NA(),IFERROR(INDEX(BBG_Data!$T$2:$T$4000,MATCH($A52,BBG_Data!$S$2:$S$4000,0))*Settings!$B$25,NA()))</f>
        <v/>
      </c>
      <c r="AI52" s="19">
        <f>IF(NOT(ISNUMBER($A52)),NA(),IFERROR(INDEX(BBG_Data!$V$2:$V$4000,MATCH($A52,BBG_Data!$U$2:$U$4000,0))*Settings!$B$25,NA()))</f>
        <v/>
      </c>
      <c r="AJ52" s="19">
        <f>IF(NOT(ISNUMBER($A52)),NA(),IFERROR(1*INDEX(BBG_Data!$X$2:$X$4000,MATCH($A52,BBG_Data!$W$2:$W$4000,0)),NA()))</f>
        <v/>
      </c>
      <c r="AK52" s="19">
        <f>IF(NOT(ISNUMBER($A52)),NA(),IFERROR(1*INDEX(BBG_Data!$Z$2:$Z$4000,MATCH($A52,BBG_Data!$Y$2:$Y$4000,0)),NA()))</f>
        <v/>
      </c>
    </row>
    <row r="53">
      <c r="A53" s="17">
        <f>IF(ISNUMBER(BBG_Data!A53),BBG_Data!A53,"")</f>
        <v/>
      </c>
      <c r="B53" s="18">
        <f>IF(AND(ISNUMBER($A53),ISNUMBER(BBG_Data!B53)),BBG_Data!B53,NA())</f>
        <v/>
      </c>
      <c r="C53" s="18">
        <f>IF(NOT(ISNUMBER($A53)),NA(),IFERROR(1*INDEX(BBG_Data!$D$2:$D$4000,MATCH($A53,BBG_Data!$C$2:$C$4000,0)),NA()))</f>
        <v/>
      </c>
      <c r="D53" s="19">
        <f>IF(NOT(ISNUMBER($A53)),NA(),IFERROR(1*INDEX(BBG_Data!$F$2:$F$4000,MATCH($A53,BBG_Data!$E$2:$E$4000,0)),NA()))</f>
        <v/>
      </c>
      <c r="E53" s="19">
        <f>IF(NOT(ISNUMBER($A53)),NA(),IFERROR(1*INDEX(BBG_Data!$H$2:$H$4000,MATCH($A53,BBG_Data!$G$2:$G$4000,0)),NA()))</f>
        <v/>
      </c>
      <c r="F53" s="20">
        <f>IF(AND(ISNUMBER(B53),ISNUMBER(B52)),IF(B53=B52,"",(B53-B52)*100),"")</f>
        <v/>
      </c>
      <c r="G53" s="20">
        <f>IF(AND(ISNUMBER(C53),ISNUMBER(C52)),IF(C53=C52,"",(C53-C52)*100),"")</f>
        <v/>
      </c>
      <c r="H53" s="20">
        <f>IF(OR(NOT(ISNUMBER($A53)),ROW()-2&lt;Settings!$B$11),NA(),IF(COUNT(OFFSET(F53,1-Settings!$B$11,0,Settings!$B$11,1))&lt;ROUNDUP(Settings!$B$11*Settings!$B$26,0),NA(),STDEV(OFFSET(F53,1-Settings!$B$11,0,Settings!$B$11,1))*SQRT(Settings!$B$13)))</f>
        <v/>
      </c>
      <c r="I53" s="20">
        <f>IF(OR(NOT(ISNUMBER($A53)),ROW()-2&lt;Settings!$B$12),NA(),IF(COUNT(OFFSET(F53,1-Settings!$B$12,0,Settings!$B$12,1))&lt;ROUNDUP(Settings!$B$12*Settings!$B$26,0),NA(),STDEV(OFFSET(F53,1-Settings!$B$12,0,Settings!$B$12,1))*SQRT(Settings!$B$13)))</f>
        <v/>
      </c>
      <c r="J53" s="20">
        <f>IF(OR(NOT(ISNUMBER($A53)),ROW()-2&lt;Settings!$B$11),NA(),IF(COUNT(OFFSET(G53,1-Settings!$B$11,0,Settings!$B$11,1))&lt;ROUNDUP(Settings!$B$11*Settings!$B$26,0),NA(),STDEV(OFFSET(G53,1-Settings!$B$11,0,Settings!$B$11,1))*SQRT(Settings!$B$13)))</f>
        <v/>
      </c>
      <c r="K53" s="20">
        <f>IF(OR(NOT(ISNUMBER($A53)),ROW()-2&lt;Settings!$B$12),NA(),IF(COUNT(OFFSET(G53,1-Settings!$B$12,0,Settings!$B$12,1))&lt;ROUNDUP(Settings!$B$12*Settings!$B$26,0),NA(),STDEV(OFFSET(G53,1-Settings!$B$12,0,Settings!$B$12,1))*SQRT(Settings!$B$13)))</f>
        <v/>
      </c>
      <c r="L53" s="20">
        <f>IF(AND(ISNUMBER(D53),ISNUMBER(H53)),D53-H53,NA())</f>
        <v/>
      </c>
      <c r="M53" s="20">
        <f>IF(AND(ISNUMBER(E53),ISNUMBER(K53)),E53-K53,NA())</f>
        <v/>
      </c>
      <c r="N53" s="20">
        <f>IF(NOT(ISNUMBER($A53)),NA(),IF(COUNT(OFFSET(G53,1,0,Settings!$B$12,1))&lt;ROUNDUP(Settings!$B$12*Settings!$B$26,0),NA(),STDEV(OFFSET(G53,1,0,Settings!$B$12,1))*SQRT(Settings!$B$13)))</f>
        <v/>
      </c>
      <c r="O53" s="20">
        <f>IF(AND(ISNUMBER(E53),ISNUMBER(N53)),E53-N53,NA())</f>
        <v/>
      </c>
      <c r="P53" s="19">
        <f>IF(NOT(ISNUMBER($A53)),NA(),IF(OR($A53&lt;MIN(KW_TP!$A$2:$A$2501),$A53&gt;MAX(KW_TP!$A$2:$A$2501)),NA(),INDEX(KW_TP!$C$2:$C$2501,MATCH($A53,KW_TP!$A$2:$A$2501,1))))</f>
        <v/>
      </c>
      <c r="Q53" s="18">
        <f>IF(NOT(ISNUMBER($A53)),NA(),IFERROR(1*INDEX(BBG_Data!$J$2:$J$4000,MATCH($A53,BBG_Data!$I$2:$I$4000,0)),NA()))</f>
        <v/>
      </c>
      <c r="R53" s="18">
        <f>IF(NOT(ISNUMBER($A53)),NA(),IFERROR(1*INDEX(BBG_Data!$L$2:$L$4000,MATCH($A53,BBG_Data!$K$2:$K$4000,0)),NA()))</f>
        <v/>
      </c>
      <c r="S53" s="20">
        <f>IF(AND(ISNUMBER(B53),ISNUMBER(Q53),ISNUMBER(R53)),(B53-Q53-R53)*100,NA())</f>
        <v/>
      </c>
      <c r="T53" s="20">
        <f>IF(AND(ISNUMBER(B53),Settings!$B$17&gt;0),IF(ISNUMBER(INDEX($B:$B,Settings!$B$17)),(B53-INDEX($B:$B,Settings!$B$17))*100,NA()),NA())</f>
        <v/>
      </c>
      <c r="U53" s="20">
        <f>IF(AND(ISNUMBER(Q53),Settings!$B$17&gt;0),IF(ISNUMBER(INDEX($Q:$Q,Settings!$B$17)),(Q53-INDEX($Q:$Q,Settings!$B$17))*100,NA()),NA())</f>
        <v/>
      </c>
      <c r="V53" s="20">
        <f>IF(AND(ISNUMBER(R53),Settings!$B$17&gt;0),IF(ISNUMBER(INDEX($R:$R,Settings!$B$17)),(R53-INDEX($R:$R,Settings!$B$17))*100,NA()),NA())</f>
        <v/>
      </c>
      <c r="W53" s="20">
        <f>IF(AND(ISNUMBER(P53),Settings!$B$17&gt;0),IF(ISNUMBER(INDEX($P:$P,Settings!$B$17)),P53-INDEX($P:$P,Settings!$B$17),NA()),NA())</f>
        <v/>
      </c>
      <c r="X53" s="19">
        <f>IF(NOT(ISNUMBER($A53)),NA(),IF(OR($A53&lt;MIN(DKW_10Y!$A$2:$A$2918),$A53&gt;MAX(DKW_10Y!$A$2:$A$2918),Settings!$B$16&lt;MIN(DKW_10Y!$A$2:$A$2918)),NA(),(INDEX(DKW_10Y!$B$2:$B$2918,MATCH($A53,DKW_10Y!$A$2:$A$2918,1))-INDEX(DKW_10Y!$B$2:$B$2918,MATCH(Settings!$B$16,DKW_10Y!$A$2:$A$2918,1)))*100))</f>
        <v/>
      </c>
      <c r="Y53" s="19">
        <f>IF(NOT(ISNUMBER($A53)),NA(),IF(OR($A53&lt;MIN(DKW_10Y!$A$2:$A$2918),$A53&gt;MAX(DKW_10Y!$A$2:$A$2918),Settings!$B$16&lt;MIN(DKW_10Y!$A$2:$A$2918)),NA(),(INDEX(DKW_10Y!$C$2:$C$2918,MATCH($A53,DKW_10Y!$A$2:$A$2918,1))-INDEX(DKW_10Y!$C$2:$C$2918,MATCH(Settings!$B$16,DKW_10Y!$A$2:$A$2918,1)))*100))</f>
        <v/>
      </c>
      <c r="Z53" s="19">
        <f>IF(NOT(ISNUMBER($A53)),NA(),IF(OR($A53&lt;MIN(DKW_10Y!$A$2:$A$2918),$A53&gt;MAX(DKW_10Y!$A$2:$A$2918),Settings!$B$16&lt;MIN(DKW_10Y!$A$2:$A$2918)),NA(),(INDEX(DKW_10Y!$D$2:$D$2918,MATCH($A53,DKW_10Y!$A$2:$A$2918,1))-INDEX(DKW_10Y!$D$2:$D$2918,MATCH(Settings!$B$16,DKW_10Y!$A$2:$A$2918,1)))*100))</f>
        <v/>
      </c>
      <c r="AA53" s="19">
        <f>IF(NOT(ISNUMBER($A53)),NA(),IF(OR($A53&lt;MIN(DKW_10Y!$A$2:$A$2918),$A53&gt;MAX(DKW_10Y!$A$2:$A$2918),Settings!$B$16&lt;MIN(DKW_10Y!$A$2:$A$2918)),NA(),(INDEX(DKW_10Y!$E$2:$E$2918,MATCH($A53,DKW_10Y!$A$2:$A$2918,1))-INDEX(DKW_10Y!$E$2:$E$2918,MATCH(Settings!$B$16,DKW_10Y!$A$2:$A$2918,1)))*100))</f>
        <v/>
      </c>
      <c r="AB53" s="19">
        <f>IF(NOT(ISNUMBER($A53)),NA(),IF(OR($A53&lt;MIN(DKW_10Y!$A$2:$A$2918),$A53&gt;MAX(DKW_10Y!$A$2:$A$2918),Settings!$B$16&lt;MIN(DKW_10Y!$A$2:$A$2918)),NA(),(INDEX(DKW_10Y!$H$2:$H$2918,MATCH($A53,DKW_10Y!$A$2:$A$2918,1))-INDEX(DKW_10Y!$H$2:$H$2918,MATCH(Settings!$B$16,DKW_10Y!$A$2:$A$2918,1)))*100))</f>
        <v/>
      </c>
      <c r="AC53" s="18">
        <f>IF(NOT(ISNUMBER($A53)),NA(),IFERROR(1*INDEX(BBG_Data!$N$2:$N$4000,MATCH($A53,BBG_Data!$M$2:$M$4000,0)),NA()))</f>
        <v/>
      </c>
      <c r="AD53" s="18">
        <f>IF(NOT(ISNUMBER($A53)),NA(),IFERROR(1*INDEX(BBG_Data!$P$2:$P$4000,MATCH($A53,BBG_Data!$O$2:$O$4000,0)),NA()))</f>
        <v/>
      </c>
      <c r="AE53" s="18">
        <f>IF(NOT(ISNUMBER($A53)),NA(),IFERROR(1*INDEX(BBG_Data!$R$2:$R$4000,MATCH($A53,BBG_Data!$Q$2:$Q$4000,0)),NA()))</f>
        <v/>
      </c>
      <c r="AF53" s="20">
        <f>IF(AND(ISNUMBER(B53),ISNUMBER(AC53)),(B53-AC53)*100,NA())</f>
        <v/>
      </c>
      <c r="AG53" s="20">
        <f>IF(AND(ISNUMBER(AE53),ISNUMBER(AD53)),(AE53-AD53)*100,NA())</f>
        <v/>
      </c>
      <c r="AH53" s="19">
        <f>IF(NOT(ISNUMBER($A53)),NA(),IFERROR(INDEX(BBG_Data!$T$2:$T$4000,MATCH($A53,BBG_Data!$S$2:$S$4000,0))*Settings!$B$25,NA()))</f>
        <v/>
      </c>
      <c r="AI53" s="19">
        <f>IF(NOT(ISNUMBER($A53)),NA(),IFERROR(INDEX(BBG_Data!$V$2:$V$4000,MATCH($A53,BBG_Data!$U$2:$U$4000,0))*Settings!$B$25,NA()))</f>
        <v/>
      </c>
      <c r="AJ53" s="19">
        <f>IF(NOT(ISNUMBER($A53)),NA(),IFERROR(1*INDEX(BBG_Data!$X$2:$X$4000,MATCH($A53,BBG_Data!$W$2:$W$4000,0)),NA()))</f>
        <v/>
      </c>
      <c r="AK53" s="19">
        <f>IF(NOT(ISNUMBER($A53)),NA(),IFERROR(1*INDEX(BBG_Data!$Z$2:$Z$4000,MATCH($A53,BBG_Data!$Y$2:$Y$4000,0)),NA()))</f>
        <v/>
      </c>
    </row>
    <row r="54">
      <c r="A54" s="17">
        <f>IF(ISNUMBER(BBG_Data!A54),BBG_Data!A54,"")</f>
        <v/>
      </c>
      <c r="B54" s="18">
        <f>IF(AND(ISNUMBER($A54),ISNUMBER(BBG_Data!B54)),BBG_Data!B54,NA())</f>
        <v/>
      </c>
      <c r="C54" s="18">
        <f>IF(NOT(ISNUMBER($A54)),NA(),IFERROR(1*INDEX(BBG_Data!$D$2:$D$4000,MATCH($A54,BBG_Data!$C$2:$C$4000,0)),NA()))</f>
        <v/>
      </c>
      <c r="D54" s="19">
        <f>IF(NOT(ISNUMBER($A54)),NA(),IFERROR(1*INDEX(BBG_Data!$F$2:$F$4000,MATCH($A54,BBG_Data!$E$2:$E$4000,0)),NA()))</f>
        <v/>
      </c>
      <c r="E54" s="19">
        <f>IF(NOT(ISNUMBER($A54)),NA(),IFERROR(1*INDEX(BBG_Data!$H$2:$H$4000,MATCH($A54,BBG_Data!$G$2:$G$4000,0)),NA()))</f>
        <v/>
      </c>
      <c r="F54" s="20">
        <f>IF(AND(ISNUMBER(B54),ISNUMBER(B53)),IF(B54=B53,"",(B54-B53)*100),"")</f>
        <v/>
      </c>
      <c r="G54" s="20">
        <f>IF(AND(ISNUMBER(C54),ISNUMBER(C53)),IF(C54=C53,"",(C54-C53)*100),"")</f>
        <v/>
      </c>
      <c r="H54" s="20">
        <f>IF(OR(NOT(ISNUMBER($A54)),ROW()-2&lt;Settings!$B$11),NA(),IF(COUNT(OFFSET(F54,1-Settings!$B$11,0,Settings!$B$11,1))&lt;ROUNDUP(Settings!$B$11*Settings!$B$26,0),NA(),STDEV(OFFSET(F54,1-Settings!$B$11,0,Settings!$B$11,1))*SQRT(Settings!$B$13)))</f>
        <v/>
      </c>
      <c r="I54" s="20">
        <f>IF(OR(NOT(ISNUMBER($A54)),ROW()-2&lt;Settings!$B$12),NA(),IF(COUNT(OFFSET(F54,1-Settings!$B$12,0,Settings!$B$12,1))&lt;ROUNDUP(Settings!$B$12*Settings!$B$26,0),NA(),STDEV(OFFSET(F54,1-Settings!$B$12,0,Settings!$B$12,1))*SQRT(Settings!$B$13)))</f>
        <v/>
      </c>
      <c r="J54" s="20">
        <f>IF(OR(NOT(ISNUMBER($A54)),ROW()-2&lt;Settings!$B$11),NA(),IF(COUNT(OFFSET(G54,1-Settings!$B$11,0,Settings!$B$11,1))&lt;ROUNDUP(Settings!$B$11*Settings!$B$26,0),NA(),STDEV(OFFSET(G54,1-Settings!$B$11,0,Settings!$B$11,1))*SQRT(Settings!$B$13)))</f>
        <v/>
      </c>
      <c r="K54" s="20">
        <f>IF(OR(NOT(ISNUMBER($A54)),ROW()-2&lt;Settings!$B$12),NA(),IF(COUNT(OFFSET(G54,1-Settings!$B$12,0,Settings!$B$12,1))&lt;ROUNDUP(Settings!$B$12*Settings!$B$26,0),NA(),STDEV(OFFSET(G54,1-Settings!$B$12,0,Settings!$B$12,1))*SQRT(Settings!$B$13)))</f>
        <v/>
      </c>
      <c r="L54" s="20">
        <f>IF(AND(ISNUMBER(D54),ISNUMBER(H54)),D54-H54,NA())</f>
        <v/>
      </c>
      <c r="M54" s="20">
        <f>IF(AND(ISNUMBER(E54),ISNUMBER(K54)),E54-K54,NA())</f>
        <v/>
      </c>
      <c r="N54" s="20">
        <f>IF(NOT(ISNUMBER($A54)),NA(),IF(COUNT(OFFSET(G54,1,0,Settings!$B$12,1))&lt;ROUNDUP(Settings!$B$12*Settings!$B$26,0),NA(),STDEV(OFFSET(G54,1,0,Settings!$B$12,1))*SQRT(Settings!$B$13)))</f>
        <v/>
      </c>
      <c r="O54" s="20">
        <f>IF(AND(ISNUMBER(E54),ISNUMBER(N54)),E54-N54,NA())</f>
        <v/>
      </c>
      <c r="P54" s="19">
        <f>IF(NOT(ISNUMBER($A54)),NA(),IF(OR($A54&lt;MIN(KW_TP!$A$2:$A$2501),$A54&gt;MAX(KW_TP!$A$2:$A$2501)),NA(),INDEX(KW_TP!$C$2:$C$2501,MATCH($A54,KW_TP!$A$2:$A$2501,1))))</f>
        <v/>
      </c>
      <c r="Q54" s="18">
        <f>IF(NOT(ISNUMBER($A54)),NA(),IFERROR(1*INDEX(BBG_Data!$J$2:$J$4000,MATCH($A54,BBG_Data!$I$2:$I$4000,0)),NA()))</f>
        <v/>
      </c>
      <c r="R54" s="18">
        <f>IF(NOT(ISNUMBER($A54)),NA(),IFERROR(1*INDEX(BBG_Data!$L$2:$L$4000,MATCH($A54,BBG_Data!$K$2:$K$4000,0)),NA()))</f>
        <v/>
      </c>
      <c r="S54" s="20">
        <f>IF(AND(ISNUMBER(B54),ISNUMBER(Q54),ISNUMBER(R54)),(B54-Q54-R54)*100,NA())</f>
        <v/>
      </c>
      <c r="T54" s="20">
        <f>IF(AND(ISNUMBER(B54),Settings!$B$17&gt;0),IF(ISNUMBER(INDEX($B:$B,Settings!$B$17)),(B54-INDEX($B:$B,Settings!$B$17))*100,NA()),NA())</f>
        <v/>
      </c>
      <c r="U54" s="20">
        <f>IF(AND(ISNUMBER(Q54),Settings!$B$17&gt;0),IF(ISNUMBER(INDEX($Q:$Q,Settings!$B$17)),(Q54-INDEX($Q:$Q,Settings!$B$17))*100,NA()),NA())</f>
        <v/>
      </c>
      <c r="V54" s="20">
        <f>IF(AND(ISNUMBER(R54),Settings!$B$17&gt;0),IF(ISNUMBER(INDEX($R:$R,Settings!$B$17)),(R54-INDEX($R:$R,Settings!$B$17))*100,NA()),NA())</f>
        <v/>
      </c>
      <c r="W54" s="20">
        <f>IF(AND(ISNUMBER(P54),Settings!$B$17&gt;0),IF(ISNUMBER(INDEX($P:$P,Settings!$B$17)),P54-INDEX($P:$P,Settings!$B$17),NA()),NA())</f>
        <v/>
      </c>
      <c r="X54" s="19">
        <f>IF(NOT(ISNUMBER($A54)),NA(),IF(OR($A54&lt;MIN(DKW_10Y!$A$2:$A$2918),$A54&gt;MAX(DKW_10Y!$A$2:$A$2918),Settings!$B$16&lt;MIN(DKW_10Y!$A$2:$A$2918)),NA(),(INDEX(DKW_10Y!$B$2:$B$2918,MATCH($A54,DKW_10Y!$A$2:$A$2918,1))-INDEX(DKW_10Y!$B$2:$B$2918,MATCH(Settings!$B$16,DKW_10Y!$A$2:$A$2918,1)))*100))</f>
        <v/>
      </c>
      <c r="Y54" s="19">
        <f>IF(NOT(ISNUMBER($A54)),NA(),IF(OR($A54&lt;MIN(DKW_10Y!$A$2:$A$2918),$A54&gt;MAX(DKW_10Y!$A$2:$A$2918),Settings!$B$16&lt;MIN(DKW_10Y!$A$2:$A$2918)),NA(),(INDEX(DKW_10Y!$C$2:$C$2918,MATCH($A54,DKW_10Y!$A$2:$A$2918,1))-INDEX(DKW_10Y!$C$2:$C$2918,MATCH(Settings!$B$16,DKW_10Y!$A$2:$A$2918,1)))*100))</f>
        <v/>
      </c>
      <c r="Z54" s="19">
        <f>IF(NOT(ISNUMBER($A54)),NA(),IF(OR($A54&lt;MIN(DKW_10Y!$A$2:$A$2918),$A54&gt;MAX(DKW_10Y!$A$2:$A$2918),Settings!$B$16&lt;MIN(DKW_10Y!$A$2:$A$2918)),NA(),(INDEX(DKW_10Y!$D$2:$D$2918,MATCH($A54,DKW_10Y!$A$2:$A$2918,1))-INDEX(DKW_10Y!$D$2:$D$2918,MATCH(Settings!$B$16,DKW_10Y!$A$2:$A$2918,1)))*100))</f>
        <v/>
      </c>
      <c r="AA54" s="19">
        <f>IF(NOT(ISNUMBER($A54)),NA(),IF(OR($A54&lt;MIN(DKW_10Y!$A$2:$A$2918),$A54&gt;MAX(DKW_10Y!$A$2:$A$2918),Settings!$B$16&lt;MIN(DKW_10Y!$A$2:$A$2918)),NA(),(INDEX(DKW_10Y!$E$2:$E$2918,MATCH($A54,DKW_10Y!$A$2:$A$2918,1))-INDEX(DKW_10Y!$E$2:$E$2918,MATCH(Settings!$B$16,DKW_10Y!$A$2:$A$2918,1)))*100))</f>
        <v/>
      </c>
      <c r="AB54" s="19">
        <f>IF(NOT(ISNUMBER($A54)),NA(),IF(OR($A54&lt;MIN(DKW_10Y!$A$2:$A$2918),$A54&gt;MAX(DKW_10Y!$A$2:$A$2918),Settings!$B$16&lt;MIN(DKW_10Y!$A$2:$A$2918)),NA(),(INDEX(DKW_10Y!$H$2:$H$2918,MATCH($A54,DKW_10Y!$A$2:$A$2918,1))-INDEX(DKW_10Y!$H$2:$H$2918,MATCH(Settings!$B$16,DKW_10Y!$A$2:$A$2918,1)))*100))</f>
        <v/>
      </c>
      <c r="AC54" s="18">
        <f>IF(NOT(ISNUMBER($A54)),NA(),IFERROR(1*INDEX(BBG_Data!$N$2:$N$4000,MATCH($A54,BBG_Data!$M$2:$M$4000,0)),NA()))</f>
        <v/>
      </c>
      <c r="AD54" s="18">
        <f>IF(NOT(ISNUMBER($A54)),NA(),IFERROR(1*INDEX(BBG_Data!$P$2:$P$4000,MATCH($A54,BBG_Data!$O$2:$O$4000,0)),NA()))</f>
        <v/>
      </c>
      <c r="AE54" s="18">
        <f>IF(NOT(ISNUMBER($A54)),NA(),IFERROR(1*INDEX(BBG_Data!$R$2:$R$4000,MATCH($A54,BBG_Data!$Q$2:$Q$4000,0)),NA()))</f>
        <v/>
      </c>
      <c r="AF54" s="20">
        <f>IF(AND(ISNUMBER(B54),ISNUMBER(AC54)),(B54-AC54)*100,NA())</f>
        <v/>
      </c>
      <c r="AG54" s="20">
        <f>IF(AND(ISNUMBER(AE54),ISNUMBER(AD54)),(AE54-AD54)*100,NA())</f>
        <v/>
      </c>
      <c r="AH54" s="19">
        <f>IF(NOT(ISNUMBER($A54)),NA(),IFERROR(INDEX(BBG_Data!$T$2:$T$4000,MATCH($A54,BBG_Data!$S$2:$S$4000,0))*Settings!$B$25,NA()))</f>
        <v/>
      </c>
      <c r="AI54" s="19">
        <f>IF(NOT(ISNUMBER($A54)),NA(),IFERROR(INDEX(BBG_Data!$V$2:$V$4000,MATCH($A54,BBG_Data!$U$2:$U$4000,0))*Settings!$B$25,NA()))</f>
        <v/>
      </c>
      <c r="AJ54" s="19">
        <f>IF(NOT(ISNUMBER($A54)),NA(),IFERROR(1*INDEX(BBG_Data!$X$2:$X$4000,MATCH($A54,BBG_Data!$W$2:$W$4000,0)),NA()))</f>
        <v/>
      </c>
      <c r="AK54" s="19">
        <f>IF(NOT(ISNUMBER($A54)),NA(),IFERROR(1*INDEX(BBG_Data!$Z$2:$Z$4000,MATCH($A54,BBG_Data!$Y$2:$Y$4000,0)),NA()))</f>
        <v/>
      </c>
    </row>
    <row r="55">
      <c r="A55" s="17">
        <f>IF(ISNUMBER(BBG_Data!A55),BBG_Data!A55,"")</f>
        <v/>
      </c>
      <c r="B55" s="18">
        <f>IF(AND(ISNUMBER($A55),ISNUMBER(BBG_Data!B55)),BBG_Data!B55,NA())</f>
        <v/>
      </c>
      <c r="C55" s="18">
        <f>IF(NOT(ISNUMBER($A55)),NA(),IFERROR(1*INDEX(BBG_Data!$D$2:$D$4000,MATCH($A55,BBG_Data!$C$2:$C$4000,0)),NA()))</f>
        <v/>
      </c>
      <c r="D55" s="19">
        <f>IF(NOT(ISNUMBER($A55)),NA(),IFERROR(1*INDEX(BBG_Data!$F$2:$F$4000,MATCH($A55,BBG_Data!$E$2:$E$4000,0)),NA()))</f>
        <v/>
      </c>
      <c r="E55" s="19">
        <f>IF(NOT(ISNUMBER($A55)),NA(),IFERROR(1*INDEX(BBG_Data!$H$2:$H$4000,MATCH($A55,BBG_Data!$G$2:$G$4000,0)),NA()))</f>
        <v/>
      </c>
      <c r="F55" s="20">
        <f>IF(AND(ISNUMBER(B55),ISNUMBER(B54)),IF(B55=B54,"",(B55-B54)*100),"")</f>
        <v/>
      </c>
      <c r="G55" s="20">
        <f>IF(AND(ISNUMBER(C55),ISNUMBER(C54)),IF(C55=C54,"",(C55-C54)*100),"")</f>
        <v/>
      </c>
      <c r="H55" s="20">
        <f>IF(OR(NOT(ISNUMBER($A55)),ROW()-2&lt;Settings!$B$11),NA(),IF(COUNT(OFFSET(F55,1-Settings!$B$11,0,Settings!$B$11,1))&lt;ROUNDUP(Settings!$B$11*Settings!$B$26,0),NA(),STDEV(OFFSET(F55,1-Settings!$B$11,0,Settings!$B$11,1))*SQRT(Settings!$B$13)))</f>
        <v/>
      </c>
      <c r="I55" s="20">
        <f>IF(OR(NOT(ISNUMBER($A55)),ROW()-2&lt;Settings!$B$12),NA(),IF(COUNT(OFFSET(F55,1-Settings!$B$12,0,Settings!$B$12,1))&lt;ROUNDUP(Settings!$B$12*Settings!$B$26,0),NA(),STDEV(OFFSET(F55,1-Settings!$B$12,0,Settings!$B$12,1))*SQRT(Settings!$B$13)))</f>
        <v/>
      </c>
      <c r="J55" s="20">
        <f>IF(OR(NOT(ISNUMBER($A55)),ROW()-2&lt;Settings!$B$11),NA(),IF(COUNT(OFFSET(G55,1-Settings!$B$11,0,Settings!$B$11,1))&lt;ROUNDUP(Settings!$B$11*Settings!$B$26,0),NA(),STDEV(OFFSET(G55,1-Settings!$B$11,0,Settings!$B$11,1))*SQRT(Settings!$B$13)))</f>
        <v/>
      </c>
      <c r="K55" s="20">
        <f>IF(OR(NOT(ISNUMBER($A55)),ROW()-2&lt;Settings!$B$12),NA(),IF(COUNT(OFFSET(G55,1-Settings!$B$12,0,Settings!$B$12,1))&lt;ROUNDUP(Settings!$B$12*Settings!$B$26,0),NA(),STDEV(OFFSET(G55,1-Settings!$B$12,0,Settings!$B$12,1))*SQRT(Settings!$B$13)))</f>
        <v/>
      </c>
      <c r="L55" s="20">
        <f>IF(AND(ISNUMBER(D55),ISNUMBER(H55)),D55-H55,NA())</f>
        <v/>
      </c>
      <c r="M55" s="20">
        <f>IF(AND(ISNUMBER(E55),ISNUMBER(K55)),E55-K55,NA())</f>
        <v/>
      </c>
      <c r="N55" s="20">
        <f>IF(NOT(ISNUMBER($A55)),NA(),IF(COUNT(OFFSET(G55,1,0,Settings!$B$12,1))&lt;ROUNDUP(Settings!$B$12*Settings!$B$26,0),NA(),STDEV(OFFSET(G55,1,0,Settings!$B$12,1))*SQRT(Settings!$B$13)))</f>
        <v/>
      </c>
      <c r="O55" s="20">
        <f>IF(AND(ISNUMBER(E55),ISNUMBER(N55)),E55-N55,NA())</f>
        <v/>
      </c>
      <c r="P55" s="19">
        <f>IF(NOT(ISNUMBER($A55)),NA(),IF(OR($A55&lt;MIN(KW_TP!$A$2:$A$2501),$A55&gt;MAX(KW_TP!$A$2:$A$2501)),NA(),INDEX(KW_TP!$C$2:$C$2501,MATCH($A55,KW_TP!$A$2:$A$2501,1))))</f>
        <v/>
      </c>
      <c r="Q55" s="18">
        <f>IF(NOT(ISNUMBER($A55)),NA(),IFERROR(1*INDEX(BBG_Data!$J$2:$J$4000,MATCH($A55,BBG_Data!$I$2:$I$4000,0)),NA()))</f>
        <v/>
      </c>
      <c r="R55" s="18">
        <f>IF(NOT(ISNUMBER($A55)),NA(),IFERROR(1*INDEX(BBG_Data!$L$2:$L$4000,MATCH($A55,BBG_Data!$K$2:$K$4000,0)),NA()))</f>
        <v/>
      </c>
      <c r="S55" s="20">
        <f>IF(AND(ISNUMBER(B55),ISNUMBER(Q55),ISNUMBER(R55)),(B55-Q55-R55)*100,NA())</f>
        <v/>
      </c>
      <c r="T55" s="20">
        <f>IF(AND(ISNUMBER(B55),Settings!$B$17&gt;0),IF(ISNUMBER(INDEX($B:$B,Settings!$B$17)),(B55-INDEX($B:$B,Settings!$B$17))*100,NA()),NA())</f>
        <v/>
      </c>
      <c r="U55" s="20">
        <f>IF(AND(ISNUMBER(Q55),Settings!$B$17&gt;0),IF(ISNUMBER(INDEX($Q:$Q,Settings!$B$17)),(Q55-INDEX($Q:$Q,Settings!$B$17))*100,NA()),NA())</f>
        <v/>
      </c>
      <c r="V55" s="20">
        <f>IF(AND(ISNUMBER(R55),Settings!$B$17&gt;0),IF(ISNUMBER(INDEX($R:$R,Settings!$B$17)),(R55-INDEX($R:$R,Settings!$B$17))*100,NA()),NA())</f>
        <v/>
      </c>
      <c r="W55" s="20">
        <f>IF(AND(ISNUMBER(P55),Settings!$B$17&gt;0),IF(ISNUMBER(INDEX($P:$P,Settings!$B$17)),P55-INDEX($P:$P,Settings!$B$17),NA()),NA())</f>
        <v/>
      </c>
      <c r="X55" s="19">
        <f>IF(NOT(ISNUMBER($A55)),NA(),IF(OR($A55&lt;MIN(DKW_10Y!$A$2:$A$2918),$A55&gt;MAX(DKW_10Y!$A$2:$A$2918),Settings!$B$16&lt;MIN(DKW_10Y!$A$2:$A$2918)),NA(),(INDEX(DKW_10Y!$B$2:$B$2918,MATCH($A55,DKW_10Y!$A$2:$A$2918,1))-INDEX(DKW_10Y!$B$2:$B$2918,MATCH(Settings!$B$16,DKW_10Y!$A$2:$A$2918,1)))*100))</f>
        <v/>
      </c>
      <c r="Y55" s="19">
        <f>IF(NOT(ISNUMBER($A55)),NA(),IF(OR($A55&lt;MIN(DKW_10Y!$A$2:$A$2918),$A55&gt;MAX(DKW_10Y!$A$2:$A$2918),Settings!$B$16&lt;MIN(DKW_10Y!$A$2:$A$2918)),NA(),(INDEX(DKW_10Y!$C$2:$C$2918,MATCH($A55,DKW_10Y!$A$2:$A$2918,1))-INDEX(DKW_10Y!$C$2:$C$2918,MATCH(Settings!$B$16,DKW_10Y!$A$2:$A$2918,1)))*100))</f>
        <v/>
      </c>
      <c r="Z55" s="19">
        <f>IF(NOT(ISNUMBER($A55)),NA(),IF(OR($A55&lt;MIN(DKW_10Y!$A$2:$A$2918),$A55&gt;MAX(DKW_10Y!$A$2:$A$2918),Settings!$B$16&lt;MIN(DKW_10Y!$A$2:$A$2918)),NA(),(INDEX(DKW_10Y!$D$2:$D$2918,MATCH($A55,DKW_10Y!$A$2:$A$2918,1))-INDEX(DKW_10Y!$D$2:$D$2918,MATCH(Settings!$B$16,DKW_10Y!$A$2:$A$2918,1)))*100))</f>
        <v/>
      </c>
      <c r="AA55" s="19">
        <f>IF(NOT(ISNUMBER($A55)),NA(),IF(OR($A55&lt;MIN(DKW_10Y!$A$2:$A$2918),$A55&gt;MAX(DKW_10Y!$A$2:$A$2918),Settings!$B$16&lt;MIN(DKW_10Y!$A$2:$A$2918)),NA(),(INDEX(DKW_10Y!$E$2:$E$2918,MATCH($A55,DKW_10Y!$A$2:$A$2918,1))-INDEX(DKW_10Y!$E$2:$E$2918,MATCH(Settings!$B$16,DKW_10Y!$A$2:$A$2918,1)))*100))</f>
        <v/>
      </c>
      <c r="AB55" s="19">
        <f>IF(NOT(ISNUMBER($A55)),NA(),IF(OR($A55&lt;MIN(DKW_10Y!$A$2:$A$2918),$A55&gt;MAX(DKW_10Y!$A$2:$A$2918),Settings!$B$16&lt;MIN(DKW_10Y!$A$2:$A$2918)),NA(),(INDEX(DKW_10Y!$H$2:$H$2918,MATCH($A55,DKW_10Y!$A$2:$A$2918,1))-INDEX(DKW_10Y!$H$2:$H$2918,MATCH(Settings!$B$16,DKW_10Y!$A$2:$A$2918,1)))*100))</f>
        <v/>
      </c>
      <c r="AC55" s="18">
        <f>IF(NOT(ISNUMBER($A55)),NA(),IFERROR(1*INDEX(BBG_Data!$N$2:$N$4000,MATCH($A55,BBG_Data!$M$2:$M$4000,0)),NA()))</f>
        <v/>
      </c>
      <c r="AD55" s="18">
        <f>IF(NOT(ISNUMBER($A55)),NA(),IFERROR(1*INDEX(BBG_Data!$P$2:$P$4000,MATCH($A55,BBG_Data!$O$2:$O$4000,0)),NA()))</f>
        <v/>
      </c>
      <c r="AE55" s="18">
        <f>IF(NOT(ISNUMBER($A55)),NA(),IFERROR(1*INDEX(BBG_Data!$R$2:$R$4000,MATCH($A55,BBG_Data!$Q$2:$Q$4000,0)),NA()))</f>
        <v/>
      </c>
      <c r="AF55" s="20">
        <f>IF(AND(ISNUMBER(B55),ISNUMBER(AC55)),(B55-AC55)*100,NA())</f>
        <v/>
      </c>
      <c r="AG55" s="20">
        <f>IF(AND(ISNUMBER(AE55),ISNUMBER(AD55)),(AE55-AD55)*100,NA())</f>
        <v/>
      </c>
      <c r="AH55" s="19">
        <f>IF(NOT(ISNUMBER($A55)),NA(),IFERROR(INDEX(BBG_Data!$T$2:$T$4000,MATCH($A55,BBG_Data!$S$2:$S$4000,0))*Settings!$B$25,NA()))</f>
        <v/>
      </c>
      <c r="AI55" s="19">
        <f>IF(NOT(ISNUMBER($A55)),NA(),IFERROR(INDEX(BBG_Data!$V$2:$V$4000,MATCH($A55,BBG_Data!$U$2:$U$4000,0))*Settings!$B$25,NA()))</f>
        <v/>
      </c>
      <c r="AJ55" s="19">
        <f>IF(NOT(ISNUMBER($A55)),NA(),IFERROR(1*INDEX(BBG_Data!$X$2:$X$4000,MATCH($A55,BBG_Data!$W$2:$W$4000,0)),NA()))</f>
        <v/>
      </c>
      <c r="AK55" s="19">
        <f>IF(NOT(ISNUMBER($A55)),NA(),IFERROR(1*INDEX(BBG_Data!$Z$2:$Z$4000,MATCH($A55,BBG_Data!$Y$2:$Y$4000,0)),NA()))</f>
        <v/>
      </c>
    </row>
    <row r="56">
      <c r="A56" s="17">
        <f>IF(ISNUMBER(BBG_Data!A56),BBG_Data!A56,"")</f>
        <v/>
      </c>
      <c r="B56" s="18">
        <f>IF(AND(ISNUMBER($A56),ISNUMBER(BBG_Data!B56)),BBG_Data!B56,NA())</f>
        <v/>
      </c>
      <c r="C56" s="18">
        <f>IF(NOT(ISNUMBER($A56)),NA(),IFERROR(1*INDEX(BBG_Data!$D$2:$D$4000,MATCH($A56,BBG_Data!$C$2:$C$4000,0)),NA()))</f>
        <v/>
      </c>
      <c r="D56" s="19">
        <f>IF(NOT(ISNUMBER($A56)),NA(),IFERROR(1*INDEX(BBG_Data!$F$2:$F$4000,MATCH($A56,BBG_Data!$E$2:$E$4000,0)),NA()))</f>
        <v/>
      </c>
      <c r="E56" s="19">
        <f>IF(NOT(ISNUMBER($A56)),NA(),IFERROR(1*INDEX(BBG_Data!$H$2:$H$4000,MATCH($A56,BBG_Data!$G$2:$G$4000,0)),NA()))</f>
        <v/>
      </c>
      <c r="F56" s="20">
        <f>IF(AND(ISNUMBER(B56),ISNUMBER(B55)),IF(B56=B55,"",(B56-B55)*100),"")</f>
        <v/>
      </c>
      <c r="G56" s="20">
        <f>IF(AND(ISNUMBER(C56),ISNUMBER(C55)),IF(C56=C55,"",(C56-C55)*100),"")</f>
        <v/>
      </c>
      <c r="H56" s="20">
        <f>IF(OR(NOT(ISNUMBER($A56)),ROW()-2&lt;Settings!$B$11),NA(),IF(COUNT(OFFSET(F56,1-Settings!$B$11,0,Settings!$B$11,1))&lt;ROUNDUP(Settings!$B$11*Settings!$B$26,0),NA(),STDEV(OFFSET(F56,1-Settings!$B$11,0,Settings!$B$11,1))*SQRT(Settings!$B$13)))</f>
        <v/>
      </c>
      <c r="I56" s="20">
        <f>IF(OR(NOT(ISNUMBER($A56)),ROW()-2&lt;Settings!$B$12),NA(),IF(COUNT(OFFSET(F56,1-Settings!$B$12,0,Settings!$B$12,1))&lt;ROUNDUP(Settings!$B$12*Settings!$B$26,0),NA(),STDEV(OFFSET(F56,1-Settings!$B$12,0,Settings!$B$12,1))*SQRT(Settings!$B$13)))</f>
        <v/>
      </c>
      <c r="J56" s="20">
        <f>IF(OR(NOT(ISNUMBER($A56)),ROW()-2&lt;Settings!$B$11),NA(),IF(COUNT(OFFSET(G56,1-Settings!$B$11,0,Settings!$B$11,1))&lt;ROUNDUP(Settings!$B$11*Settings!$B$26,0),NA(),STDEV(OFFSET(G56,1-Settings!$B$11,0,Settings!$B$11,1))*SQRT(Settings!$B$13)))</f>
        <v/>
      </c>
      <c r="K56" s="20">
        <f>IF(OR(NOT(ISNUMBER($A56)),ROW()-2&lt;Settings!$B$12),NA(),IF(COUNT(OFFSET(G56,1-Settings!$B$12,0,Settings!$B$12,1))&lt;ROUNDUP(Settings!$B$12*Settings!$B$26,0),NA(),STDEV(OFFSET(G56,1-Settings!$B$12,0,Settings!$B$12,1))*SQRT(Settings!$B$13)))</f>
        <v/>
      </c>
      <c r="L56" s="20">
        <f>IF(AND(ISNUMBER(D56),ISNUMBER(H56)),D56-H56,NA())</f>
        <v/>
      </c>
      <c r="M56" s="20">
        <f>IF(AND(ISNUMBER(E56),ISNUMBER(K56)),E56-K56,NA())</f>
        <v/>
      </c>
      <c r="N56" s="20">
        <f>IF(NOT(ISNUMBER($A56)),NA(),IF(COUNT(OFFSET(G56,1,0,Settings!$B$12,1))&lt;ROUNDUP(Settings!$B$12*Settings!$B$26,0),NA(),STDEV(OFFSET(G56,1,0,Settings!$B$12,1))*SQRT(Settings!$B$13)))</f>
        <v/>
      </c>
      <c r="O56" s="20">
        <f>IF(AND(ISNUMBER(E56),ISNUMBER(N56)),E56-N56,NA())</f>
        <v/>
      </c>
      <c r="P56" s="19">
        <f>IF(NOT(ISNUMBER($A56)),NA(),IF(OR($A56&lt;MIN(KW_TP!$A$2:$A$2501),$A56&gt;MAX(KW_TP!$A$2:$A$2501)),NA(),INDEX(KW_TP!$C$2:$C$2501,MATCH($A56,KW_TP!$A$2:$A$2501,1))))</f>
        <v/>
      </c>
      <c r="Q56" s="18">
        <f>IF(NOT(ISNUMBER($A56)),NA(),IFERROR(1*INDEX(BBG_Data!$J$2:$J$4000,MATCH($A56,BBG_Data!$I$2:$I$4000,0)),NA()))</f>
        <v/>
      </c>
      <c r="R56" s="18">
        <f>IF(NOT(ISNUMBER($A56)),NA(),IFERROR(1*INDEX(BBG_Data!$L$2:$L$4000,MATCH($A56,BBG_Data!$K$2:$K$4000,0)),NA()))</f>
        <v/>
      </c>
      <c r="S56" s="20">
        <f>IF(AND(ISNUMBER(B56),ISNUMBER(Q56),ISNUMBER(R56)),(B56-Q56-R56)*100,NA())</f>
        <v/>
      </c>
      <c r="T56" s="20">
        <f>IF(AND(ISNUMBER(B56),Settings!$B$17&gt;0),IF(ISNUMBER(INDEX($B:$B,Settings!$B$17)),(B56-INDEX($B:$B,Settings!$B$17))*100,NA()),NA())</f>
        <v/>
      </c>
      <c r="U56" s="20">
        <f>IF(AND(ISNUMBER(Q56),Settings!$B$17&gt;0),IF(ISNUMBER(INDEX($Q:$Q,Settings!$B$17)),(Q56-INDEX($Q:$Q,Settings!$B$17))*100,NA()),NA())</f>
        <v/>
      </c>
      <c r="V56" s="20">
        <f>IF(AND(ISNUMBER(R56),Settings!$B$17&gt;0),IF(ISNUMBER(INDEX($R:$R,Settings!$B$17)),(R56-INDEX($R:$R,Settings!$B$17))*100,NA()),NA())</f>
        <v/>
      </c>
      <c r="W56" s="20">
        <f>IF(AND(ISNUMBER(P56),Settings!$B$17&gt;0),IF(ISNUMBER(INDEX($P:$P,Settings!$B$17)),P56-INDEX($P:$P,Settings!$B$17),NA()),NA())</f>
        <v/>
      </c>
      <c r="X56" s="19">
        <f>IF(NOT(ISNUMBER($A56)),NA(),IF(OR($A56&lt;MIN(DKW_10Y!$A$2:$A$2918),$A56&gt;MAX(DKW_10Y!$A$2:$A$2918),Settings!$B$16&lt;MIN(DKW_10Y!$A$2:$A$2918)),NA(),(INDEX(DKW_10Y!$B$2:$B$2918,MATCH($A56,DKW_10Y!$A$2:$A$2918,1))-INDEX(DKW_10Y!$B$2:$B$2918,MATCH(Settings!$B$16,DKW_10Y!$A$2:$A$2918,1)))*100))</f>
        <v/>
      </c>
      <c r="Y56" s="19">
        <f>IF(NOT(ISNUMBER($A56)),NA(),IF(OR($A56&lt;MIN(DKW_10Y!$A$2:$A$2918),$A56&gt;MAX(DKW_10Y!$A$2:$A$2918),Settings!$B$16&lt;MIN(DKW_10Y!$A$2:$A$2918)),NA(),(INDEX(DKW_10Y!$C$2:$C$2918,MATCH($A56,DKW_10Y!$A$2:$A$2918,1))-INDEX(DKW_10Y!$C$2:$C$2918,MATCH(Settings!$B$16,DKW_10Y!$A$2:$A$2918,1)))*100))</f>
        <v/>
      </c>
      <c r="Z56" s="19">
        <f>IF(NOT(ISNUMBER($A56)),NA(),IF(OR($A56&lt;MIN(DKW_10Y!$A$2:$A$2918),$A56&gt;MAX(DKW_10Y!$A$2:$A$2918),Settings!$B$16&lt;MIN(DKW_10Y!$A$2:$A$2918)),NA(),(INDEX(DKW_10Y!$D$2:$D$2918,MATCH($A56,DKW_10Y!$A$2:$A$2918,1))-INDEX(DKW_10Y!$D$2:$D$2918,MATCH(Settings!$B$16,DKW_10Y!$A$2:$A$2918,1)))*100))</f>
        <v/>
      </c>
      <c r="AA56" s="19">
        <f>IF(NOT(ISNUMBER($A56)),NA(),IF(OR($A56&lt;MIN(DKW_10Y!$A$2:$A$2918),$A56&gt;MAX(DKW_10Y!$A$2:$A$2918),Settings!$B$16&lt;MIN(DKW_10Y!$A$2:$A$2918)),NA(),(INDEX(DKW_10Y!$E$2:$E$2918,MATCH($A56,DKW_10Y!$A$2:$A$2918,1))-INDEX(DKW_10Y!$E$2:$E$2918,MATCH(Settings!$B$16,DKW_10Y!$A$2:$A$2918,1)))*100))</f>
        <v/>
      </c>
      <c r="AB56" s="19">
        <f>IF(NOT(ISNUMBER($A56)),NA(),IF(OR($A56&lt;MIN(DKW_10Y!$A$2:$A$2918),$A56&gt;MAX(DKW_10Y!$A$2:$A$2918),Settings!$B$16&lt;MIN(DKW_10Y!$A$2:$A$2918)),NA(),(INDEX(DKW_10Y!$H$2:$H$2918,MATCH($A56,DKW_10Y!$A$2:$A$2918,1))-INDEX(DKW_10Y!$H$2:$H$2918,MATCH(Settings!$B$16,DKW_10Y!$A$2:$A$2918,1)))*100))</f>
        <v/>
      </c>
      <c r="AC56" s="18">
        <f>IF(NOT(ISNUMBER($A56)),NA(),IFERROR(1*INDEX(BBG_Data!$N$2:$N$4000,MATCH($A56,BBG_Data!$M$2:$M$4000,0)),NA()))</f>
        <v/>
      </c>
      <c r="AD56" s="18">
        <f>IF(NOT(ISNUMBER($A56)),NA(),IFERROR(1*INDEX(BBG_Data!$P$2:$P$4000,MATCH($A56,BBG_Data!$O$2:$O$4000,0)),NA()))</f>
        <v/>
      </c>
      <c r="AE56" s="18">
        <f>IF(NOT(ISNUMBER($A56)),NA(),IFERROR(1*INDEX(BBG_Data!$R$2:$R$4000,MATCH($A56,BBG_Data!$Q$2:$Q$4000,0)),NA()))</f>
        <v/>
      </c>
      <c r="AF56" s="20">
        <f>IF(AND(ISNUMBER(B56),ISNUMBER(AC56)),(B56-AC56)*100,NA())</f>
        <v/>
      </c>
      <c r="AG56" s="20">
        <f>IF(AND(ISNUMBER(AE56),ISNUMBER(AD56)),(AE56-AD56)*100,NA())</f>
        <v/>
      </c>
      <c r="AH56" s="19">
        <f>IF(NOT(ISNUMBER($A56)),NA(),IFERROR(INDEX(BBG_Data!$T$2:$T$4000,MATCH($A56,BBG_Data!$S$2:$S$4000,0))*Settings!$B$25,NA()))</f>
        <v/>
      </c>
      <c r="AI56" s="19">
        <f>IF(NOT(ISNUMBER($A56)),NA(),IFERROR(INDEX(BBG_Data!$V$2:$V$4000,MATCH($A56,BBG_Data!$U$2:$U$4000,0))*Settings!$B$25,NA()))</f>
        <v/>
      </c>
      <c r="AJ56" s="19">
        <f>IF(NOT(ISNUMBER($A56)),NA(),IFERROR(1*INDEX(BBG_Data!$X$2:$X$4000,MATCH($A56,BBG_Data!$W$2:$W$4000,0)),NA()))</f>
        <v/>
      </c>
      <c r="AK56" s="19">
        <f>IF(NOT(ISNUMBER($A56)),NA(),IFERROR(1*INDEX(BBG_Data!$Z$2:$Z$4000,MATCH($A56,BBG_Data!$Y$2:$Y$4000,0)),NA()))</f>
        <v/>
      </c>
    </row>
    <row r="57">
      <c r="A57" s="17">
        <f>IF(ISNUMBER(BBG_Data!A57),BBG_Data!A57,"")</f>
        <v/>
      </c>
      <c r="B57" s="18">
        <f>IF(AND(ISNUMBER($A57),ISNUMBER(BBG_Data!B57)),BBG_Data!B57,NA())</f>
        <v/>
      </c>
      <c r="C57" s="18">
        <f>IF(NOT(ISNUMBER($A57)),NA(),IFERROR(1*INDEX(BBG_Data!$D$2:$D$4000,MATCH($A57,BBG_Data!$C$2:$C$4000,0)),NA()))</f>
        <v/>
      </c>
      <c r="D57" s="19">
        <f>IF(NOT(ISNUMBER($A57)),NA(),IFERROR(1*INDEX(BBG_Data!$F$2:$F$4000,MATCH($A57,BBG_Data!$E$2:$E$4000,0)),NA()))</f>
        <v/>
      </c>
      <c r="E57" s="19">
        <f>IF(NOT(ISNUMBER($A57)),NA(),IFERROR(1*INDEX(BBG_Data!$H$2:$H$4000,MATCH($A57,BBG_Data!$G$2:$G$4000,0)),NA()))</f>
        <v/>
      </c>
      <c r="F57" s="20">
        <f>IF(AND(ISNUMBER(B57),ISNUMBER(B56)),IF(B57=B56,"",(B57-B56)*100),"")</f>
        <v/>
      </c>
      <c r="G57" s="20">
        <f>IF(AND(ISNUMBER(C57),ISNUMBER(C56)),IF(C57=C56,"",(C57-C56)*100),"")</f>
        <v/>
      </c>
      <c r="H57" s="20">
        <f>IF(OR(NOT(ISNUMBER($A57)),ROW()-2&lt;Settings!$B$11),NA(),IF(COUNT(OFFSET(F57,1-Settings!$B$11,0,Settings!$B$11,1))&lt;ROUNDUP(Settings!$B$11*Settings!$B$26,0),NA(),STDEV(OFFSET(F57,1-Settings!$B$11,0,Settings!$B$11,1))*SQRT(Settings!$B$13)))</f>
        <v/>
      </c>
      <c r="I57" s="20">
        <f>IF(OR(NOT(ISNUMBER($A57)),ROW()-2&lt;Settings!$B$12),NA(),IF(COUNT(OFFSET(F57,1-Settings!$B$12,0,Settings!$B$12,1))&lt;ROUNDUP(Settings!$B$12*Settings!$B$26,0),NA(),STDEV(OFFSET(F57,1-Settings!$B$12,0,Settings!$B$12,1))*SQRT(Settings!$B$13)))</f>
        <v/>
      </c>
      <c r="J57" s="20">
        <f>IF(OR(NOT(ISNUMBER($A57)),ROW()-2&lt;Settings!$B$11),NA(),IF(COUNT(OFFSET(G57,1-Settings!$B$11,0,Settings!$B$11,1))&lt;ROUNDUP(Settings!$B$11*Settings!$B$26,0),NA(),STDEV(OFFSET(G57,1-Settings!$B$11,0,Settings!$B$11,1))*SQRT(Settings!$B$13)))</f>
        <v/>
      </c>
      <c r="K57" s="20">
        <f>IF(OR(NOT(ISNUMBER($A57)),ROW()-2&lt;Settings!$B$12),NA(),IF(COUNT(OFFSET(G57,1-Settings!$B$12,0,Settings!$B$12,1))&lt;ROUNDUP(Settings!$B$12*Settings!$B$26,0),NA(),STDEV(OFFSET(G57,1-Settings!$B$12,0,Settings!$B$12,1))*SQRT(Settings!$B$13)))</f>
        <v/>
      </c>
      <c r="L57" s="20">
        <f>IF(AND(ISNUMBER(D57),ISNUMBER(H57)),D57-H57,NA())</f>
        <v/>
      </c>
      <c r="M57" s="20">
        <f>IF(AND(ISNUMBER(E57),ISNUMBER(K57)),E57-K57,NA())</f>
        <v/>
      </c>
      <c r="N57" s="20">
        <f>IF(NOT(ISNUMBER($A57)),NA(),IF(COUNT(OFFSET(G57,1,0,Settings!$B$12,1))&lt;ROUNDUP(Settings!$B$12*Settings!$B$26,0),NA(),STDEV(OFFSET(G57,1,0,Settings!$B$12,1))*SQRT(Settings!$B$13)))</f>
        <v/>
      </c>
      <c r="O57" s="20">
        <f>IF(AND(ISNUMBER(E57),ISNUMBER(N57)),E57-N57,NA())</f>
        <v/>
      </c>
      <c r="P57" s="19">
        <f>IF(NOT(ISNUMBER($A57)),NA(),IF(OR($A57&lt;MIN(KW_TP!$A$2:$A$2501),$A57&gt;MAX(KW_TP!$A$2:$A$2501)),NA(),INDEX(KW_TP!$C$2:$C$2501,MATCH($A57,KW_TP!$A$2:$A$2501,1))))</f>
        <v/>
      </c>
      <c r="Q57" s="18">
        <f>IF(NOT(ISNUMBER($A57)),NA(),IFERROR(1*INDEX(BBG_Data!$J$2:$J$4000,MATCH($A57,BBG_Data!$I$2:$I$4000,0)),NA()))</f>
        <v/>
      </c>
      <c r="R57" s="18">
        <f>IF(NOT(ISNUMBER($A57)),NA(),IFERROR(1*INDEX(BBG_Data!$L$2:$L$4000,MATCH($A57,BBG_Data!$K$2:$K$4000,0)),NA()))</f>
        <v/>
      </c>
      <c r="S57" s="20">
        <f>IF(AND(ISNUMBER(B57),ISNUMBER(Q57),ISNUMBER(R57)),(B57-Q57-R57)*100,NA())</f>
        <v/>
      </c>
      <c r="T57" s="20">
        <f>IF(AND(ISNUMBER(B57),Settings!$B$17&gt;0),IF(ISNUMBER(INDEX($B:$B,Settings!$B$17)),(B57-INDEX($B:$B,Settings!$B$17))*100,NA()),NA())</f>
        <v/>
      </c>
      <c r="U57" s="20">
        <f>IF(AND(ISNUMBER(Q57),Settings!$B$17&gt;0),IF(ISNUMBER(INDEX($Q:$Q,Settings!$B$17)),(Q57-INDEX($Q:$Q,Settings!$B$17))*100,NA()),NA())</f>
        <v/>
      </c>
      <c r="V57" s="20">
        <f>IF(AND(ISNUMBER(R57),Settings!$B$17&gt;0),IF(ISNUMBER(INDEX($R:$R,Settings!$B$17)),(R57-INDEX($R:$R,Settings!$B$17))*100,NA()),NA())</f>
        <v/>
      </c>
      <c r="W57" s="20">
        <f>IF(AND(ISNUMBER(P57),Settings!$B$17&gt;0),IF(ISNUMBER(INDEX($P:$P,Settings!$B$17)),P57-INDEX($P:$P,Settings!$B$17),NA()),NA())</f>
        <v/>
      </c>
      <c r="X57" s="19">
        <f>IF(NOT(ISNUMBER($A57)),NA(),IF(OR($A57&lt;MIN(DKW_10Y!$A$2:$A$2918),$A57&gt;MAX(DKW_10Y!$A$2:$A$2918),Settings!$B$16&lt;MIN(DKW_10Y!$A$2:$A$2918)),NA(),(INDEX(DKW_10Y!$B$2:$B$2918,MATCH($A57,DKW_10Y!$A$2:$A$2918,1))-INDEX(DKW_10Y!$B$2:$B$2918,MATCH(Settings!$B$16,DKW_10Y!$A$2:$A$2918,1)))*100))</f>
        <v/>
      </c>
      <c r="Y57" s="19">
        <f>IF(NOT(ISNUMBER($A57)),NA(),IF(OR($A57&lt;MIN(DKW_10Y!$A$2:$A$2918),$A57&gt;MAX(DKW_10Y!$A$2:$A$2918),Settings!$B$16&lt;MIN(DKW_10Y!$A$2:$A$2918)),NA(),(INDEX(DKW_10Y!$C$2:$C$2918,MATCH($A57,DKW_10Y!$A$2:$A$2918,1))-INDEX(DKW_10Y!$C$2:$C$2918,MATCH(Settings!$B$16,DKW_10Y!$A$2:$A$2918,1)))*100))</f>
        <v/>
      </c>
      <c r="Z57" s="19">
        <f>IF(NOT(ISNUMBER($A57)),NA(),IF(OR($A57&lt;MIN(DKW_10Y!$A$2:$A$2918),$A57&gt;MAX(DKW_10Y!$A$2:$A$2918),Settings!$B$16&lt;MIN(DKW_10Y!$A$2:$A$2918)),NA(),(INDEX(DKW_10Y!$D$2:$D$2918,MATCH($A57,DKW_10Y!$A$2:$A$2918,1))-INDEX(DKW_10Y!$D$2:$D$2918,MATCH(Settings!$B$16,DKW_10Y!$A$2:$A$2918,1)))*100))</f>
        <v/>
      </c>
      <c r="AA57" s="19">
        <f>IF(NOT(ISNUMBER($A57)),NA(),IF(OR($A57&lt;MIN(DKW_10Y!$A$2:$A$2918),$A57&gt;MAX(DKW_10Y!$A$2:$A$2918),Settings!$B$16&lt;MIN(DKW_10Y!$A$2:$A$2918)),NA(),(INDEX(DKW_10Y!$E$2:$E$2918,MATCH($A57,DKW_10Y!$A$2:$A$2918,1))-INDEX(DKW_10Y!$E$2:$E$2918,MATCH(Settings!$B$16,DKW_10Y!$A$2:$A$2918,1)))*100))</f>
        <v/>
      </c>
      <c r="AB57" s="19">
        <f>IF(NOT(ISNUMBER($A57)),NA(),IF(OR($A57&lt;MIN(DKW_10Y!$A$2:$A$2918),$A57&gt;MAX(DKW_10Y!$A$2:$A$2918),Settings!$B$16&lt;MIN(DKW_10Y!$A$2:$A$2918)),NA(),(INDEX(DKW_10Y!$H$2:$H$2918,MATCH($A57,DKW_10Y!$A$2:$A$2918,1))-INDEX(DKW_10Y!$H$2:$H$2918,MATCH(Settings!$B$16,DKW_10Y!$A$2:$A$2918,1)))*100))</f>
        <v/>
      </c>
      <c r="AC57" s="18">
        <f>IF(NOT(ISNUMBER($A57)),NA(),IFERROR(1*INDEX(BBG_Data!$N$2:$N$4000,MATCH($A57,BBG_Data!$M$2:$M$4000,0)),NA()))</f>
        <v/>
      </c>
      <c r="AD57" s="18">
        <f>IF(NOT(ISNUMBER($A57)),NA(),IFERROR(1*INDEX(BBG_Data!$P$2:$P$4000,MATCH($A57,BBG_Data!$O$2:$O$4000,0)),NA()))</f>
        <v/>
      </c>
      <c r="AE57" s="18">
        <f>IF(NOT(ISNUMBER($A57)),NA(),IFERROR(1*INDEX(BBG_Data!$R$2:$R$4000,MATCH($A57,BBG_Data!$Q$2:$Q$4000,0)),NA()))</f>
        <v/>
      </c>
      <c r="AF57" s="20">
        <f>IF(AND(ISNUMBER(B57),ISNUMBER(AC57)),(B57-AC57)*100,NA())</f>
        <v/>
      </c>
      <c r="AG57" s="20">
        <f>IF(AND(ISNUMBER(AE57),ISNUMBER(AD57)),(AE57-AD57)*100,NA())</f>
        <v/>
      </c>
      <c r="AH57" s="19">
        <f>IF(NOT(ISNUMBER($A57)),NA(),IFERROR(INDEX(BBG_Data!$T$2:$T$4000,MATCH($A57,BBG_Data!$S$2:$S$4000,0))*Settings!$B$25,NA()))</f>
        <v/>
      </c>
      <c r="AI57" s="19">
        <f>IF(NOT(ISNUMBER($A57)),NA(),IFERROR(INDEX(BBG_Data!$V$2:$V$4000,MATCH($A57,BBG_Data!$U$2:$U$4000,0))*Settings!$B$25,NA()))</f>
        <v/>
      </c>
      <c r="AJ57" s="19">
        <f>IF(NOT(ISNUMBER($A57)),NA(),IFERROR(1*INDEX(BBG_Data!$X$2:$X$4000,MATCH($A57,BBG_Data!$W$2:$W$4000,0)),NA()))</f>
        <v/>
      </c>
      <c r="AK57" s="19">
        <f>IF(NOT(ISNUMBER($A57)),NA(),IFERROR(1*INDEX(BBG_Data!$Z$2:$Z$4000,MATCH($A57,BBG_Data!$Y$2:$Y$4000,0)),NA()))</f>
        <v/>
      </c>
    </row>
    <row r="58">
      <c r="A58" s="17">
        <f>IF(ISNUMBER(BBG_Data!A58),BBG_Data!A58,"")</f>
        <v/>
      </c>
      <c r="B58" s="18">
        <f>IF(AND(ISNUMBER($A58),ISNUMBER(BBG_Data!B58)),BBG_Data!B58,NA())</f>
        <v/>
      </c>
      <c r="C58" s="18">
        <f>IF(NOT(ISNUMBER($A58)),NA(),IFERROR(1*INDEX(BBG_Data!$D$2:$D$4000,MATCH($A58,BBG_Data!$C$2:$C$4000,0)),NA()))</f>
        <v/>
      </c>
      <c r="D58" s="19">
        <f>IF(NOT(ISNUMBER($A58)),NA(),IFERROR(1*INDEX(BBG_Data!$F$2:$F$4000,MATCH($A58,BBG_Data!$E$2:$E$4000,0)),NA()))</f>
        <v/>
      </c>
      <c r="E58" s="19">
        <f>IF(NOT(ISNUMBER($A58)),NA(),IFERROR(1*INDEX(BBG_Data!$H$2:$H$4000,MATCH($A58,BBG_Data!$G$2:$G$4000,0)),NA()))</f>
        <v/>
      </c>
      <c r="F58" s="20">
        <f>IF(AND(ISNUMBER(B58),ISNUMBER(B57)),IF(B58=B57,"",(B58-B57)*100),"")</f>
        <v/>
      </c>
      <c r="G58" s="20">
        <f>IF(AND(ISNUMBER(C58),ISNUMBER(C57)),IF(C58=C57,"",(C58-C57)*100),"")</f>
        <v/>
      </c>
      <c r="H58" s="20">
        <f>IF(OR(NOT(ISNUMBER($A58)),ROW()-2&lt;Settings!$B$11),NA(),IF(COUNT(OFFSET(F58,1-Settings!$B$11,0,Settings!$B$11,1))&lt;ROUNDUP(Settings!$B$11*Settings!$B$26,0),NA(),STDEV(OFFSET(F58,1-Settings!$B$11,0,Settings!$B$11,1))*SQRT(Settings!$B$13)))</f>
        <v/>
      </c>
      <c r="I58" s="20">
        <f>IF(OR(NOT(ISNUMBER($A58)),ROW()-2&lt;Settings!$B$12),NA(),IF(COUNT(OFFSET(F58,1-Settings!$B$12,0,Settings!$B$12,1))&lt;ROUNDUP(Settings!$B$12*Settings!$B$26,0),NA(),STDEV(OFFSET(F58,1-Settings!$B$12,0,Settings!$B$12,1))*SQRT(Settings!$B$13)))</f>
        <v/>
      </c>
      <c r="J58" s="20">
        <f>IF(OR(NOT(ISNUMBER($A58)),ROW()-2&lt;Settings!$B$11),NA(),IF(COUNT(OFFSET(G58,1-Settings!$B$11,0,Settings!$B$11,1))&lt;ROUNDUP(Settings!$B$11*Settings!$B$26,0),NA(),STDEV(OFFSET(G58,1-Settings!$B$11,0,Settings!$B$11,1))*SQRT(Settings!$B$13)))</f>
        <v/>
      </c>
      <c r="K58" s="20">
        <f>IF(OR(NOT(ISNUMBER($A58)),ROW()-2&lt;Settings!$B$12),NA(),IF(COUNT(OFFSET(G58,1-Settings!$B$12,0,Settings!$B$12,1))&lt;ROUNDUP(Settings!$B$12*Settings!$B$26,0),NA(),STDEV(OFFSET(G58,1-Settings!$B$12,0,Settings!$B$12,1))*SQRT(Settings!$B$13)))</f>
        <v/>
      </c>
      <c r="L58" s="20">
        <f>IF(AND(ISNUMBER(D58),ISNUMBER(H58)),D58-H58,NA())</f>
        <v/>
      </c>
      <c r="M58" s="20">
        <f>IF(AND(ISNUMBER(E58),ISNUMBER(K58)),E58-K58,NA())</f>
        <v/>
      </c>
      <c r="N58" s="20">
        <f>IF(NOT(ISNUMBER($A58)),NA(),IF(COUNT(OFFSET(G58,1,0,Settings!$B$12,1))&lt;ROUNDUP(Settings!$B$12*Settings!$B$26,0),NA(),STDEV(OFFSET(G58,1,0,Settings!$B$12,1))*SQRT(Settings!$B$13)))</f>
        <v/>
      </c>
      <c r="O58" s="20">
        <f>IF(AND(ISNUMBER(E58),ISNUMBER(N58)),E58-N58,NA())</f>
        <v/>
      </c>
      <c r="P58" s="19">
        <f>IF(NOT(ISNUMBER($A58)),NA(),IF(OR($A58&lt;MIN(KW_TP!$A$2:$A$2501),$A58&gt;MAX(KW_TP!$A$2:$A$2501)),NA(),INDEX(KW_TP!$C$2:$C$2501,MATCH($A58,KW_TP!$A$2:$A$2501,1))))</f>
        <v/>
      </c>
      <c r="Q58" s="18">
        <f>IF(NOT(ISNUMBER($A58)),NA(),IFERROR(1*INDEX(BBG_Data!$J$2:$J$4000,MATCH($A58,BBG_Data!$I$2:$I$4000,0)),NA()))</f>
        <v/>
      </c>
      <c r="R58" s="18">
        <f>IF(NOT(ISNUMBER($A58)),NA(),IFERROR(1*INDEX(BBG_Data!$L$2:$L$4000,MATCH($A58,BBG_Data!$K$2:$K$4000,0)),NA()))</f>
        <v/>
      </c>
      <c r="S58" s="20">
        <f>IF(AND(ISNUMBER(B58),ISNUMBER(Q58),ISNUMBER(R58)),(B58-Q58-R58)*100,NA())</f>
        <v/>
      </c>
      <c r="T58" s="20">
        <f>IF(AND(ISNUMBER(B58),Settings!$B$17&gt;0),IF(ISNUMBER(INDEX($B:$B,Settings!$B$17)),(B58-INDEX($B:$B,Settings!$B$17))*100,NA()),NA())</f>
        <v/>
      </c>
      <c r="U58" s="20">
        <f>IF(AND(ISNUMBER(Q58),Settings!$B$17&gt;0),IF(ISNUMBER(INDEX($Q:$Q,Settings!$B$17)),(Q58-INDEX($Q:$Q,Settings!$B$17))*100,NA()),NA())</f>
        <v/>
      </c>
      <c r="V58" s="20">
        <f>IF(AND(ISNUMBER(R58),Settings!$B$17&gt;0),IF(ISNUMBER(INDEX($R:$R,Settings!$B$17)),(R58-INDEX($R:$R,Settings!$B$17))*100,NA()),NA())</f>
        <v/>
      </c>
      <c r="W58" s="20">
        <f>IF(AND(ISNUMBER(P58),Settings!$B$17&gt;0),IF(ISNUMBER(INDEX($P:$P,Settings!$B$17)),P58-INDEX($P:$P,Settings!$B$17),NA()),NA())</f>
        <v/>
      </c>
      <c r="X58" s="19">
        <f>IF(NOT(ISNUMBER($A58)),NA(),IF(OR($A58&lt;MIN(DKW_10Y!$A$2:$A$2918),$A58&gt;MAX(DKW_10Y!$A$2:$A$2918),Settings!$B$16&lt;MIN(DKW_10Y!$A$2:$A$2918)),NA(),(INDEX(DKW_10Y!$B$2:$B$2918,MATCH($A58,DKW_10Y!$A$2:$A$2918,1))-INDEX(DKW_10Y!$B$2:$B$2918,MATCH(Settings!$B$16,DKW_10Y!$A$2:$A$2918,1)))*100))</f>
        <v/>
      </c>
      <c r="Y58" s="19">
        <f>IF(NOT(ISNUMBER($A58)),NA(),IF(OR($A58&lt;MIN(DKW_10Y!$A$2:$A$2918),$A58&gt;MAX(DKW_10Y!$A$2:$A$2918),Settings!$B$16&lt;MIN(DKW_10Y!$A$2:$A$2918)),NA(),(INDEX(DKW_10Y!$C$2:$C$2918,MATCH($A58,DKW_10Y!$A$2:$A$2918,1))-INDEX(DKW_10Y!$C$2:$C$2918,MATCH(Settings!$B$16,DKW_10Y!$A$2:$A$2918,1)))*100))</f>
        <v/>
      </c>
      <c r="Z58" s="19">
        <f>IF(NOT(ISNUMBER($A58)),NA(),IF(OR($A58&lt;MIN(DKW_10Y!$A$2:$A$2918),$A58&gt;MAX(DKW_10Y!$A$2:$A$2918),Settings!$B$16&lt;MIN(DKW_10Y!$A$2:$A$2918)),NA(),(INDEX(DKW_10Y!$D$2:$D$2918,MATCH($A58,DKW_10Y!$A$2:$A$2918,1))-INDEX(DKW_10Y!$D$2:$D$2918,MATCH(Settings!$B$16,DKW_10Y!$A$2:$A$2918,1)))*100))</f>
        <v/>
      </c>
      <c r="AA58" s="19">
        <f>IF(NOT(ISNUMBER($A58)),NA(),IF(OR($A58&lt;MIN(DKW_10Y!$A$2:$A$2918),$A58&gt;MAX(DKW_10Y!$A$2:$A$2918),Settings!$B$16&lt;MIN(DKW_10Y!$A$2:$A$2918)),NA(),(INDEX(DKW_10Y!$E$2:$E$2918,MATCH($A58,DKW_10Y!$A$2:$A$2918,1))-INDEX(DKW_10Y!$E$2:$E$2918,MATCH(Settings!$B$16,DKW_10Y!$A$2:$A$2918,1)))*100))</f>
        <v/>
      </c>
      <c r="AB58" s="19">
        <f>IF(NOT(ISNUMBER($A58)),NA(),IF(OR($A58&lt;MIN(DKW_10Y!$A$2:$A$2918),$A58&gt;MAX(DKW_10Y!$A$2:$A$2918),Settings!$B$16&lt;MIN(DKW_10Y!$A$2:$A$2918)),NA(),(INDEX(DKW_10Y!$H$2:$H$2918,MATCH($A58,DKW_10Y!$A$2:$A$2918,1))-INDEX(DKW_10Y!$H$2:$H$2918,MATCH(Settings!$B$16,DKW_10Y!$A$2:$A$2918,1)))*100))</f>
        <v/>
      </c>
      <c r="AC58" s="18">
        <f>IF(NOT(ISNUMBER($A58)),NA(),IFERROR(1*INDEX(BBG_Data!$N$2:$N$4000,MATCH($A58,BBG_Data!$M$2:$M$4000,0)),NA()))</f>
        <v/>
      </c>
      <c r="AD58" s="18">
        <f>IF(NOT(ISNUMBER($A58)),NA(),IFERROR(1*INDEX(BBG_Data!$P$2:$P$4000,MATCH($A58,BBG_Data!$O$2:$O$4000,0)),NA()))</f>
        <v/>
      </c>
      <c r="AE58" s="18">
        <f>IF(NOT(ISNUMBER($A58)),NA(),IFERROR(1*INDEX(BBG_Data!$R$2:$R$4000,MATCH($A58,BBG_Data!$Q$2:$Q$4000,0)),NA()))</f>
        <v/>
      </c>
      <c r="AF58" s="20">
        <f>IF(AND(ISNUMBER(B58),ISNUMBER(AC58)),(B58-AC58)*100,NA())</f>
        <v/>
      </c>
      <c r="AG58" s="20">
        <f>IF(AND(ISNUMBER(AE58),ISNUMBER(AD58)),(AE58-AD58)*100,NA())</f>
        <v/>
      </c>
      <c r="AH58" s="19">
        <f>IF(NOT(ISNUMBER($A58)),NA(),IFERROR(INDEX(BBG_Data!$T$2:$T$4000,MATCH($A58,BBG_Data!$S$2:$S$4000,0))*Settings!$B$25,NA()))</f>
        <v/>
      </c>
      <c r="AI58" s="19">
        <f>IF(NOT(ISNUMBER($A58)),NA(),IFERROR(INDEX(BBG_Data!$V$2:$V$4000,MATCH($A58,BBG_Data!$U$2:$U$4000,0))*Settings!$B$25,NA()))</f>
        <v/>
      </c>
      <c r="AJ58" s="19">
        <f>IF(NOT(ISNUMBER($A58)),NA(),IFERROR(1*INDEX(BBG_Data!$X$2:$X$4000,MATCH($A58,BBG_Data!$W$2:$W$4000,0)),NA()))</f>
        <v/>
      </c>
      <c r="AK58" s="19">
        <f>IF(NOT(ISNUMBER($A58)),NA(),IFERROR(1*INDEX(BBG_Data!$Z$2:$Z$4000,MATCH($A58,BBG_Data!$Y$2:$Y$4000,0)),NA()))</f>
        <v/>
      </c>
    </row>
    <row r="59">
      <c r="A59" s="17">
        <f>IF(ISNUMBER(BBG_Data!A59),BBG_Data!A59,"")</f>
        <v/>
      </c>
      <c r="B59" s="18">
        <f>IF(AND(ISNUMBER($A59),ISNUMBER(BBG_Data!B59)),BBG_Data!B59,NA())</f>
        <v/>
      </c>
      <c r="C59" s="18">
        <f>IF(NOT(ISNUMBER($A59)),NA(),IFERROR(1*INDEX(BBG_Data!$D$2:$D$4000,MATCH($A59,BBG_Data!$C$2:$C$4000,0)),NA()))</f>
        <v/>
      </c>
      <c r="D59" s="19">
        <f>IF(NOT(ISNUMBER($A59)),NA(),IFERROR(1*INDEX(BBG_Data!$F$2:$F$4000,MATCH($A59,BBG_Data!$E$2:$E$4000,0)),NA()))</f>
        <v/>
      </c>
      <c r="E59" s="19">
        <f>IF(NOT(ISNUMBER($A59)),NA(),IFERROR(1*INDEX(BBG_Data!$H$2:$H$4000,MATCH($A59,BBG_Data!$G$2:$G$4000,0)),NA()))</f>
        <v/>
      </c>
      <c r="F59" s="20">
        <f>IF(AND(ISNUMBER(B59),ISNUMBER(B58)),IF(B59=B58,"",(B59-B58)*100),"")</f>
        <v/>
      </c>
      <c r="G59" s="20">
        <f>IF(AND(ISNUMBER(C59),ISNUMBER(C58)),IF(C59=C58,"",(C59-C58)*100),"")</f>
        <v/>
      </c>
      <c r="H59" s="20">
        <f>IF(OR(NOT(ISNUMBER($A59)),ROW()-2&lt;Settings!$B$11),NA(),IF(COUNT(OFFSET(F59,1-Settings!$B$11,0,Settings!$B$11,1))&lt;ROUNDUP(Settings!$B$11*Settings!$B$26,0),NA(),STDEV(OFFSET(F59,1-Settings!$B$11,0,Settings!$B$11,1))*SQRT(Settings!$B$13)))</f>
        <v/>
      </c>
      <c r="I59" s="20">
        <f>IF(OR(NOT(ISNUMBER($A59)),ROW()-2&lt;Settings!$B$12),NA(),IF(COUNT(OFFSET(F59,1-Settings!$B$12,0,Settings!$B$12,1))&lt;ROUNDUP(Settings!$B$12*Settings!$B$26,0),NA(),STDEV(OFFSET(F59,1-Settings!$B$12,0,Settings!$B$12,1))*SQRT(Settings!$B$13)))</f>
        <v/>
      </c>
      <c r="J59" s="20">
        <f>IF(OR(NOT(ISNUMBER($A59)),ROW()-2&lt;Settings!$B$11),NA(),IF(COUNT(OFFSET(G59,1-Settings!$B$11,0,Settings!$B$11,1))&lt;ROUNDUP(Settings!$B$11*Settings!$B$26,0),NA(),STDEV(OFFSET(G59,1-Settings!$B$11,0,Settings!$B$11,1))*SQRT(Settings!$B$13)))</f>
        <v/>
      </c>
      <c r="K59" s="20">
        <f>IF(OR(NOT(ISNUMBER($A59)),ROW()-2&lt;Settings!$B$12),NA(),IF(COUNT(OFFSET(G59,1-Settings!$B$12,0,Settings!$B$12,1))&lt;ROUNDUP(Settings!$B$12*Settings!$B$26,0),NA(),STDEV(OFFSET(G59,1-Settings!$B$12,0,Settings!$B$12,1))*SQRT(Settings!$B$13)))</f>
        <v/>
      </c>
      <c r="L59" s="20">
        <f>IF(AND(ISNUMBER(D59),ISNUMBER(H59)),D59-H59,NA())</f>
        <v/>
      </c>
      <c r="M59" s="20">
        <f>IF(AND(ISNUMBER(E59),ISNUMBER(K59)),E59-K59,NA())</f>
        <v/>
      </c>
      <c r="N59" s="20">
        <f>IF(NOT(ISNUMBER($A59)),NA(),IF(COUNT(OFFSET(G59,1,0,Settings!$B$12,1))&lt;ROUNDUP(Settings!$B$12*Settings!$B$26,0),NA(),STDEV(OFFSET(G59,1,0,Settings!$B$12,1))*SQRT(Settings!$B$13)))</f>
        <v/>
      </c>
      <c r="O59" s="20">
        <f>IF(AND(ISNUMBER(E59),ISNUMBER(N59)),E59-N59,NA())</f>
        <v/>
      </c>
      <c r="P59" s="19">
        <f>IF(NOT(ISNUMBER($A59)),NA(),IF(OR($A59&lt;MIN(KW_TP!$A$2:$A$2501),$A59&gt;MAX(KW_TP!$A$2:$A$2501)),NA(),INDEX(KW_TP!$C$2:$C$2501,MATCH($A59,KW_TP!$A$2:$A$2501,1))))</f>
        <v/>
      </c>
      <c r="Q59" s="18">
        <f>IF(NOT(ISNUMBER($A59)),NA(),IFERROR(1*INDEX(BBG_Data!$J$2:$J$4000,MATCH($A59,BBG_Data!$I$2:$I$4000,0)),NA()))</f>
        <v/>
      </c>
      <c r="R59" s="18">
        <f>IF(NOT(ISNUMBER($A59)),NA(),IFERROR(1*INDEX(BBG_Data!$L$2:$L$4000,MATCH($A59,BBG_Data!$K$2:$K$4000,0)),NA()))</f>
        <v/>
      </c>
      <c r="S59" s="20">
        <f>IF(AND(ISNUMBER(B59),ISNUMBER(Q59),ISNUMBER(R59)),(B59-Q59-R59)*100,NA())</f>
        <v/>
      </c>
      <c r="T59" s="20">
        <f>IF(AND(ISNUMBER(B59),Settings!$B$17&gt;0),IF(ISNUMBER(INDEX($B:$B,Settings!$B$17)),(B59-INDEX($B:$B,Settings!$B$17))*100,NA()),NA())</f>
        <v/>
      </c>
      <c r="U59" s="20">
        <f>IF(AND(ISNUMBER(Q59),Settings!$B$17&gt;0),IF(ISNUMBER(INDEX($Q:$Q,Settings!$B$17)),(Q59-INDEX($Q:$Q,Settings!$B$17))*100,NA()),NA())</f>
        <v/>
      </c>
      <c r="V59" s="20">
        <f>IF(AND(ISNUMBER(R59),Settings!$B$17&gt;0),IF(ISNUMBER(INDEX($R:$R,Settings!$B$17)),(R59-INDEX($R:$R,Settings!$B$17))*100,NA()),NA())</f>
        <v/>
      </c>
      <c r="W59" s="20">
        <f>IF(AND(ISNUMBER(P59),Settings!$B$17&gt;0),IF(ISNUMBER(INDEX($P:$P,Settings!$B$17)),P59-INDEX($P:$P,Settings!$B$17),NA()),NA())</f>
        <v/>
      </c>
      <c r="X59" s="19">
        <f>IF(NOT(ISNUMBER($A59)),NA(),IF(OR($A59&lt;MIN(DKW_10Y!$A$2:$A$2918),$A59&gt;MAX(DKW_10Y!$A$2:$A$2918),Settings!$B$16&lt;MIN(DKW_10Y!$A$2:$A$2918)),NA(),(INDEX(DKW_10Y!$B$2:$B$2918,MATCH($A59,DKW_10Y!$A$2:$A$2918,1))-INDEX(DKW_10Y!$B$2:$B$2918,MATCH(Settings!$B$16,DKW_10Y!$A$2:$A$2918,1)))*100))</f>
        <v/>
      </c>
      <c r="Y59" s="19">
        <f>IF(NOT(ISNUMBER($A59)),NA(),IF(OR($A59&lt;MIN(DKW_10Y!$A$2:$A$2918),$A59&gt;MAX(DKW_10Y!$A$2:$A$2918),Settings!$B$16&lt;MIN(DKW_10Y!$A$2:$A$2918)),NA(),(INDEX(DKW_10Y!$C$2:$C$2918,MATCH($A59,DKW_10Y!$A$2:$A$2918,1))-INDEX(DKW_10Y!$C$2:$C$2918,MATCH(Settings!$B$16,DKW_10Y!$A$2:$A$2918,1)))*100))</f>
        <v/>
      </c>
      <c r="Z59" s="19">
        <f>IF(NOT(ISNUMBER($A59)),NA(),IF(OR($A59&lt;MIN(DKW_10Y!$A$2:$A$2918),$A59&gt;MAX(DKW_10Y!$A$2:$A$2918),Settings!$B$16&lt;MIN(DKW_10Y!$A$2:$A$2918)),NA(),(INDEX(DKW_10Y!$D$2:$D$2918,MATCH($A59,DKW_10Y!$A$2:$A$2918,1))-INDEX(DKW_10Y!$D$2:$D$2918,MATCH(Settings!$B$16,DKW_10Y!$A$2:$A$2918,1)))*100))</f>
        <v/>
      </c>
      <c r="AA59" s="19">
        <f>IF(NOT(ISNUMBER($A59)),NA(),IF(OR($A59&lt;MIN(DKW_10Y!$A$2:$A$2918),$A59&gt;MAX(DKW_10Y!$A$2:$A$2918),Settings!$B$16&lt;MIN(DKW_10Y!$A$2:$A$2918)),NA(),(INDEX(DKW_10Y!$E$2:$E$2918,MATCH($A59,DKW_10Y!$A$2:$A$2918,1))-INDEX(DKW_10Y!$E$2:$E$2918,MATCH(Settings!$B$16,DKW_10Y!$A$2:$A$2918,1)))*100))</f>
        <v/>
      </c>
      <c r="AB59" s="19">
        <f>IF(NOT(ISNUMBER($A59)),NA(),IF(OR($A59&lt;MIN(DKW_10Y!$A$2:$A$2918),$A59&gt;MAX(DKW_10Y!$A$2:$A$2918),Settings!$B$16&lt;MIN(DKW_10Y!$A$2:$A$2918)),NA(),(INDEX(DKW_10Y!$H$2:$H$2918,MATCH($A59,DKW_10Y!$A$2:$A$2918,1))-INDEX(DKW_10Y!$H$2:$H$2918,MATCH(Settings!$B$16,DKW_10Y!$A$2:$A$2918,1)))*100))</f>
        <v/>
      </c>
      <c r="AC59" s="18">
        <f>IF(NOT(ISNUMBER($A59)),NA(),IFERROR(1*INDEX(BBG_Data!$N$2:$N$4000,MATCH($A59,BBG_Data!$M$2:$M$4000,0)),NA()))</f>
        <v/>
      </c>
      <c r="AD59" s="18">
        <f>IF(NOT(ISNUMBER($A59)),NA(),IFERROR(1*INDEX(BBG_Data!$P$2:$P$4000,MATCH($A59,BBG_Data!$O$2:$O$4000,0)),NA()))</f>
        <v/>
      </c>
      <c r="AE59" s="18">
        <f>IF(NOT(ISNUMBER($A59)),NA(),IFERROR(1*INDEX(BBG_Data!$R$2:$R$4000,MATCH($A59,BBG_Data!$Q$2:$Q$4000,0)),NA()))</f>
        <v/>
      </c>
      <c r="AF59" s="20">
        <f>IF(AND(ISNUMBER(B59),ISNUMBER(AC59)),(B59-AC59)*100,NA())</f>
        <v/>
      </c>
      <c r="AG59" s="20">
        <f>IF(AND(ISNUMBER(AE59),ISNUMBER(AD59)),(AE59-AD59)*100,NA())</f>
        <v/>
      </c>
      <c r="AH59" s="19">
        <f>IF(NOT(ISNUMBER($A59)),NA(),IFERROR(INDEX(BBG_Data!$T$2:$T$4000,MATCH($A59,BBG_Data!$S$2:$S$4000,0))*Settings!$B$25,NA()))</f>
        <v/>
      </c>
      <c r="AI59" s="19">
        <f>IF(NOT(ISNUMBER($A59)),NA(),IFERROR(INDEX(BBG_Data!$V$2:$V$4000,MATCH($A59,BBG_Data!$U$2:$U$4000,0))*Settings!$B$25,NA()))</f>
        <v/>
      </c>
      <c r="AJ59" s="19">
        <f>IF(NOT(ISNUMBER($A59)),NA(),IFERROR(1*INDEX(BBG_Data!$X$2:$X$4000,MATCH($A59,BBG_Data!$W$2:$W$4000,0)),NA()))</f>
        <v/>
      </c>
      <c r="AK59" s="19">
        <f>IF(NOT(ISNUMBER($A59)),NA(),IFERROR(1*INDEX(BBG_Data!$Z$2:$Z$4000,MATCH($A59,BBG_Data!$Y$2:$Y$4000,0)),NA()))</f>
        <v/>
      </c>
    </row>
    <row r="60">
      <c r="A60" s="17">
        <f>IF(ISNUMBER(BBG_Data!A60),BBG_Data!A60,"")</f>
        <v/>
      </c>
      <c r="B60" s="18">
        <f>IF(AND(ISNUMBER($A60),ISNUMBER(BBG_Data!B60)),BBG_Data!B60,NA())</f>
        <v/>
      </c>
      <c r="C60" s="18">
        <f>IF(NOT(ISNUMBER($A60)),NA(),IFERROR(1*INDEX(BBG_Data!$D$2:$D$4000,MATCH($A60,BBG_Data!$C$2:$C$4000,0)),NA()))</f>
        <v/>
      </c>
      <c r="D60" s="19">
        <f>IF(NOT(ISNUMBER($A60)),NA(),IFERROR(1*INDEX(BBG_Data!$F$2:$F$4000,MATCH($A60,BBG_Data!$E$2:$E$4000,0)),NA()))</f>
        <v/>
      </c>
      <c r="E60" s="19">
        <f>IF(NOT(ISNUMBER($A60)),NA(),IFERROR(1*INDEX(BBG_Data!$H$2:$H$4000,MATCH($A60,BBG_Data!$G$2:$G$4000,0)),NA()))</f>
        <v/>
      </c>
      <c r="F60" s="20">
        <f>IF(AND(ISNUMBER(B60),ISNUMBER(B59)),IF(B60=B59,"",(B60-B59)*100),"")</f>
        <v/>
      </c>
      <c r="G60" s="20">
        <f>IF(AND(ISNUMBER(C60),ISNUMBER(C59)),IF(C60=C59,"",(C60-C59)*100),"")</f>
        <v/>
      </c>
      <c r="H60" s="20">
        <f>IF(OR(NOT(ISNUMBER($A60)),ROW()-2&lt;Settings!$B$11),NA(),IF(COUNT(OFFSET(F60,1-Settings!$B$11,0,Settings!$B$11,1))&lt;ROUNDUP(Settings!$B$11*Settings!$B$26,0),NA(),STDEV(OFFSET(F60,1-Settings!$B$11,0,Settings!$B$11,1))*SQRT(Settings!$B$13)))</f>
        <v/>
      </c>
      <c r="I60" s="20">
        <f>IF(OR(NOT(ISNUMBER($A60)),ROW()-2&lt;Settings!$B$12),NA(),IF(COUNT(OFFSET(F60,1-Settings!$B$12,0,Settings!$B$12,1))&lt;ROUNDUP(Settings!$B$12*Settings!$B$26,0),NA(),STDEV(OFFSET(F60,1-Settings!$B$12,0,Settings!$B$12,1))*SQRT(Settings!$B$13)))</f>
        <v/>
      </c>
      <c r="J60" s="20">
        <f>IF(OR(NOT(ISNUMBER($A60)),ROW()-2&lt;Settings!$B$11),NA(),IF(COUNT(OFFSET(G60,1-Settings!$B$11,0,Settings!$B$11,1))&lt;ROUNDUP(Settings!$B$11*Settings!$B$26,0),NA(),STDEV(OFFSET(G60,1-Settings!$B$11,0,Settings!$B$11,1))*SQRT(Settings!$B$13)))</f>
        <v/>
      </c>
      <c r="K60" s="20">
        <f>IF(OR(NOT(ISNUMBER($A60)),ROW()-2&lt;Settings!$B$12),NA(),IF(COUNT(OFFSET(G60,1-Settings!$B$12,0,Settings!$B$12,1))&lt;ROUNDUP(Settings!$B$12*Settings!$B$26,0),NA(),STDEV(OFFSET(G60,1-Settings!$B$12,0,Settings!$B$12,1))*SQRT(Settings!$B$13)))</f>
        <v/>
      </c>
      <c r="L60" s="20">
        <f>IF(AND(ISNUMBER(D60),ISNUMBER(H60)),D60-H60,NA())</f>
        <v/>
      </c>
      <c r="M60" s="20">
        <f>IF(AND(ISNUMBER(E60),ISNUMBER(K60)),E60-K60,NA())</f>
        <v/>
      </c>
      <c r="N60" s="20">
        <f>IF(NOT(ISNUMBER($A60)),NA(),IF(COUNT(OFFSET(G60,1,0,Settings!$B$12,1))&lt;ROUNDUP(Settings!$B$12*Settings!$B$26,0),NA(),STDEV(OFFSET(G60,1,0,Settings!$B$12,1))*SQRT(Settings!$B$13)))</f>
        <v/>
      </c>
      <c r="O60" s="20">
        <f>IF(AND(ISNUMBER(E60),ISNUMBER(N60)),E60-N60,NA())</f>
        <v/>
      </c>
      <c r="P60" s="19">
        <f>IF(NOT(ISNUMBER($A60)),NA(),IF(OR($A60&lt;MIN(KW_TP!$A$2:$A$2501),$A60&gt;MAX(KW_TP!$A$2:$A$2501)),NA(),INDEX(KW_TP!$C$2:$C$2501,MATCH($A60,KW_TP!$A$2:$A$2501,1))))</f>
        <v/>
      </c>
      <c r="Q60" s="18">
        <f>IF(NOT(ISNUMBER($A60)),NA(),IFERROR(1*INDEX(BBG_Data!$J$2:$J$4000,MATCH($A60,BBG_Data!$I$2:$I$4000,0)),NA()))</f>
        <v/>
      </c>
      <c r="R60" s="18">
        <f>IF(NOT(ISNUMBER($A60)),NA(),IFERROR(1*INDEX(BBG_Data!$L$2:$L$4000,MATCH($A60,BBG_Data!$K$2:$K$4000,0)),NA()))</f>
        <v/>
      </c>
      <c r="S60" s="20">
        <f>IF(AND(ISNUMBER(B60),ISNUMBER(Q60),ISNUMBER(R60)),(B60-Q60-R60)*100,NA())</f>
        <v/>
      </c>
      <c r="T60" s="20">
        <f>IF(AND(ISNUMBER(B60),Settings!$B$17&gt;0),IF(ISNUMBER(INDEX($B:$B,Settings!$B$17)),(B60-INDEX($B:$B,Settings!$B$17))*100,NA()),NA())</f>
        <v/>
      </c>
      <c r="U60" s="20">
        <f>IF(AND(ISNUMBER(Q60),Settings!$B$17&gt;0),IF(ISNUMBER(INDEX($Q:$Q,Settings!$B$17)),(Q60-INDEX($Q:$Q,Settings!$B$17))*100,NA()),NA())</f>
        <v/>
      </c>
      <c r="V60" s="20">
        <f>IF(AND(ISNUMBER(R60),Settings!$B$17&gt;0),IF(ISNUMBER(INDEX($R:$R,Settings!$B$17)),(R60-INDEX($R:$R,Settings!$B$17))*100,NA()),NA())</f>
        <v/>
      </c>
      <c r="W60" s="20">
        <f>IF(AND(ISNUMBER(P60),Settings!$B$17&gt;0),IF(ISNUMBER(INDEX($P:$P,Settings!$B$17)),P60-INDEX($P:$P,Settings!$B$17),NA()),NA())</f>
        <v/>
      </c>
      <c r="X60" s="19">
        <f>IF(NOT(ISNUMBER($A60)),NA(),IF(OR($A60&lt;MIN(DKW_10Y!$A$2:$A$2918),$A60&gt;MAX(DKW_10Y!$A$2:$A$2918),Settings!$B$16&lt;MIN(DKW_10Y!$A$2:$A$2918)),NA(),(INDEX(DKW_10Y!$B$2:$B$2918,MATCH($A60,DKW_10Y!$A$2:$A$2918,1))-INDEX(DKW_10Y!$B$2:$B$2918,MATCH(Settings!$B$16,DKW_10Y!$A$2:$A$2918,1)))*100))</f>
        <v/>
      </c>
      <c r="Y60" s="19">
        <f>IF(NOT(ISNUMBER($A60)),NA(),IF(OR($A60&lt;MIN(DKW_10Y!$A$2:$A$2918),$A60&gt;MAX(DKW_10Y!$A$2:$A$2918),Settings!$B$16&lt;MIN(DKW_10Y!$A$2:$A$2918)),NA(),(INDEX(DKW_10Y!$C$2:$C$2918,MATCH($A60,DKW_10Y!$A$2:$A$2918,1))-INDEX(DKW_10Y!$C$2:$C$2918,MATCH(Settings!$B$16,DKW_10Y!$A$2:$A$2918,1)))*100))</f>
        <v/>
      </c>
      <c r="Z60" s="19">
        <f>IF(NOT(ISNUMBER($A60)),NA(),IF(OR($A60&lt;MIN(DKW_10Y!$A$2:$A$2918),$A60&gt;MAX(DKW_10Y!$A$2:$A$2918),Settings!$B$16&lt;MIN(DKW_10Y!$A$2:$A$2918)),NA(),(INDEX(DKW_10Y!$D$2:$D$2918,MATCH($A60,DKW_10Y!$A$2:$A$2918,1))-INDEX(DKW_10Y!$D$2:$D$2918,MATCH(Settings!$B$16,DKW_10Y!$A$2:$A$2918,1)))*100))</f>
        <v/>
      </c>
      <c r="AA60" s="19">
        <f>IF(NOT(ISNUMBER($A60)),NA(),IF(OR($A60&lt;MIN(DKW_10Y!$A$2:$A$2918),$A60&gt;MAX(DKW_10Y!$A$2:$A$2918),Settings!$B$16&lt;MIN(DKW_10Y!$A$2:$A$2918)),NA(),(INDEX(DKW_10Y!$E$2:$E$2918,MATCH($A60,DKW_10Y!$A$2:$A$2918,1))-INDEX(DKW_10Y!$E$2:$E$2918,MATCH(Settings!$B$16,DKW_10Y!$A$2:$A$2918,1)))*100))</f>
        <v/>
      </c>
      <c r="AB60" s="19">
        <f>IF(NOT(ISNUMBER($A60)),NA(),IF(OR($A60&lt;MIN(DKW_10Y!$A$2:$A$2918),$A60&gt;MAX(DKW_10Y!$A$2:$A$2918),Settings!$B$16&lt;MIN(DKW_10Y!$A$2:$A$2918)),NA(),(INDEX(DKW_10Y!$H$2:$H$2918,MATCH($A60,DKW_10Y!$A$2:$A$2918,1))-INDEX(DKW_10Y!$H$2:$H$2918,MATCH(Settings!$B$16,DKW_10Y!$A$2:$A$2918,1)))*100))</f>
        <v/>
      </c>
      <c r="AC60" s="18">
        <f>IF(NOT(ISNUMBER($A60)),NA(),IFERROR(1*INDEX(BBG_Data!$N$2:$N$4000,MATCH($A60,BBG_Data!$M$2:$M$4000,0)),NA()))</f>
        <v/>
      </c>
      <c r="AD60" s="18">
        <f>IF(NOT(ISNUMBER($A60)),NA(),IFERROR(1*INDEX(BBG_Data!$P$2:$P$4000,MATCH($A60,BBG_Data!$O$2:$O$4000,0)),NA()))</f>
        <v/>
      </c>
      <c r="AE60" s="18">
        <f>IF(NOT(ISNUMBER($A60)),NA(),IFERROR(1*INDEX(BBG_Data!$R$2:$R$4000,MATCH($A60,BBG_Data!$Q$2:$Q$4000,0)),NA()))</f>
        <v/>
      </c>
      <c r="AF60" s="20">
        <f>IF(AND(ISNUMBER(B60),ISNUMBER(AC60)),(B60-AC60)*100,NA())</f>
        <v/>
      </c>
      <c r="AG60" s="20">
        <f>IF(AND(ISNUMBER(AE60),ISNUMBER(AD60)),(AE60-AD60)*100,NA())</f>
        <v/>
      </c>
      <c r="AH60" s="19">
        <f>IF(NOT(ISNUMBER($A60)),NA(),IFERROR(INDEX(BBG_Data!$T$2:$T$4000,MATCH($A60,BBG_Data!$S$2:$S$4000,0))*Settings!$B$25,NA()))</f>
        <v/>
      </c>
      <c r="AI60" s="19">
        <f>IF(NOT(ISNUMBER($A60)),NA(),IFERROR(INDEX(BBG_Data!$V$2:$V$4000,MATCH($A60,BBG_Data!$U$2:$U$4000,0))*Settings!$B$25,NA()))</f>
        <v/>
      </c>
      <c r="AJ60" s="19">
        <f>IF(NOT(ISNUMBER($A60)),NA(),IFERROR(1*INDEX(BBG_Data!$X$2:$X$4000,MATCH($A60,BBG_Data!$W$2:$W$4000,0)),NA()))</f>
        <v/>
      </c>
      <c r="AK60" s="19">
        <f>IF(NOT(ISNUMBER($A60)),NA(),IFERROR(1*INDEX(BBG_Data!$Z$2:$Z$4000,MATCH($A60,BBG_Data!$Y$2:$Y$4000,0)),NA()))</f>
        <v/>
      </c>
    </row>
    <row r="61">
      <c r="A61" s="17">
        <f>IF(ISNUMBER(BBG_Data!A61),BBG_Data!A61,"")</f>
        <v/>
      </c>
      <c r="B61" s="18">
        <f>IF(AND(ISNUMBER($A61),ISNUMBER(BBG_Data!B61)),BBG_Data!B61,NA())</f>
        <v/>
      </c>
      <c r="C61" s="18">
        <f>IF(NOT(ISNUMBER($A61)),NA(),IFERROR(1*INDEX(BBG_Data!$D$2:$D$4000,MATCH($A61,BBG_Data!$C$2:$C$4000,0)),NA()))</f>
        <v/>
      </c>
      <c r="D61" s="19">
        <f>IF(NOT(ISNUMBER($A61)),NA(),IFERROR(1*INDEX(BBG_Data!$F$2:$F$4000,MATCH($A61,BBG_Data!$E$2:$E$4000,0)),NA()))</f>
        <v/>
      </c>
      <c r="E61" s="19">
        <f>IF(NOT(ISNUMBER($A61)),NA(),IFERROR(1*INDEX(BBG_Data!$H$2:$H$4000,MATCH($A61,BBG_Data!$G$2:$G$4000,0)),NA()))</f>
        <v/>
      </c>
      <c r="F61" s="20">
        <f>IF(AND(ISNUMBER(B61),ISNUMBER(B60)),IF(B61=B60,"",(B61-B60)*100),"")</f>
        <v/>
      </c>
      <c r="G61" s="20">
        <f>IF(AND(ISNUMBER(C61),ISNUMBER(C60)),IF(C61=C60,"",(C61-C60)*100),"")</f>
        <v/>
      </c>
      <c r="H61" s="20">
        <f>IF(OR(NOT(ISNUMBER($A61)),ROW()-2&lt;Settings!$B$11),NA(),IF(COUNT(OFFSET(F61,1-Settings!$B$11,0,Settings!$B$11,1))&lt;ROUNDUP(Settings!$B$11*Settings!$B$26,0),NA(),STDEV(OFFSET(F61,1-Settings!$B$11,0,Settings!$B$11,1))*SQRT(Settings!$B$13)))</f>
        <v/>
      </c>
      <c r="I61" s="20">
        <f>IF(OR(NOT(ISNUMBER($A61)),ROW()-2&lt;Settings!$B$12),NA(),IF(COUNT(OFFSET(F61,1-Settings!$B$12,0,Settings!$B$12,1))&lt;ROUNDUP(Settings!$B$12*Settings!$B$26,0),NA(),STDEV(OFFSET(F61,1-Settings!$B$12,0,Settings!$B$12,1))*SQRT(Settings!$B$13)))</f>
        <v/>
      </c>
      <c r="J61" s="20">
        <f>IF(OR(NOT(ISNUMBER($A61)),ROW()-2&lt;Settings!$B$11),NA(),IF(COUNT(OFFSET(G61,1-Settings!$B$11,0,Settings!$B$11,1))&lt;ROUNDUP(Settings!$B$11*Settings!$B$26,0),NA(),STDEV(OFFSET(G61,1-Settings!$B$11,0,Settings!$B$11,1))*SQRT(Settings!$B$13)))</f>
        <v/>
      </c>
      <c r="K61" s="20">
        <f>IF(OR(NOT(ISNUMBER($A61)),ROW()-2&lt;Settings!$B$12),NA(),IF(COUNT(OFFSET(G61,1-Settings!$B$12,0,Settings!$B$12,1))&lt;ROUNDUP(Settings!$B$12*Settings!$B$26,0),NA(),STDEV(OFFSET(G61,1-Settings!$B$12,0,Settings!$B$12,1))*SQRT(Settings!$B$13)))</f>
        <v/>
      </c>
      <c r="L61" s="20">
        <f>IF(AND(ISNUMBER(D61),ISNUMBER(H61)),D61-H61,NA())</f>
        <v/>
      </c>
      <c r="M61" s="20">
        <f>IF(AND(ISNUMBER(E61),ISNUMBER(K61)),E61-K61,NA())</f>
        <v/>
      </c>
      <c r="N61" s="20">
        <f>IF(NOT(ISNUMBER($A61)),NA(),IF(COUNT(OFFSET(G61,1,0,Settings!$B$12,1))&lt;ROUNDUP(Settings!$B$12*Settings!$B$26,0),NA(),STDEV(OFFSET(G61,1,0,Settings!$B$12,1))*SQRT(Settings!$B$13)))</f>
        <v/>
      </c>
      <c r="O61" s="20">
        <f>IF(AND(ISNUMBER(E61),ISNUMBER(N61)),E61-N61,NA())</f>
        <v/>
      </c>
      <c r="P61" s="19">
        <f>IF(NOT(ISNUMBER($A61)),NA(),IF(OR($A61&lt;MIN(KW_TP!$A$2:$A$2501),$A61&gt;MAX(KW_TP!$A$2:$A$2501)),NA(),INDEX(KW_TP!$C$2:$C$2501,MATCH($A61,KW_TP!$A$2:$A$2501,1))))</f>
        <v/>
      </c>
      <c r="Q61" s="18">
        <f>IF(NOT(ISNUMBER($A61)),NA(),IFERROR(1*INDEX(BBG_Data!$J$2:$J$4000,MATCH($A61,BBG_Data!$I$2:$I$4000,0)),NA()))</f>
        <v/>
      </c>
      <c r="R61" s="18">
        <f>IF(NOT(ISNUMBER($A61)),NA(),IFERROR(1*INDEX(BBG_Data!$L$2:$L$4000,MATCH($A61,BBG_Data!$K$2:$K$4000,0)),NA()))</f>
        <v/>
      </c>
      <c r="S61" s="20">
        <f>IF(AND(ISNUMBER(B61),ISNUMBER(Q61),ISNUMBER(R61)),(B61-Q61-R61)*100,NA())</f>
        <v/>
      </c>
      <c r="T61" s="20">
        <f>IF(AND(ISNUMBER(B61),Settings!$B$17&gt;0),IF(ISNUMBER(INDEX($B:$B,Settings!$B$17)),(B61-INDEX($B:$B,Settings!$B$17))*100,NA()),NA())</f>
        <v/>
      </c>
      <c r="U61" s="20">
        <f>IF(AND(ISNUMBER(Q61),Settings!$B$17&gt;0),IF(ISNUMBER(INDEX($Q:$Q,Settings!$B$17)),(Q61-INDEX($Q:$Q,Settings!$B$17))*100,NA()),NA())</f>
        <v/>
      </c>
      <c r="V61" s="20">
        <f>IF(AND(ISNUMBER(R61),Settings!$B$17&gt;0),IF(ISNUMBER(INDEX($R:$R,Settings!$B$17)),(R61-INDEX($R:$R,Settings!$B$17))*100,NA()),NA())</f>
        <v/>
      </c>
      <c r="W61" s="20">
        <f>IF(AND(ISNUMBER(P61),Settings!$B$17&gt;0),IF(ISNUMBER(INDEX($P:$P,Settings!$B$17)),P61-INDEX($P:$P,Settings!$B$17),NA()),NA())</f>
        <v/>
      </c>
      <c r="X61" s="19">
        <f>IF(NOT(ISNUMBER($A61)),NA(),IF(OR($A61&lt;MIN(DKW_10Y!$A$2:$A$2918),$A61&gt;MAX(DKW_10Y!$A$2:$A$2918),Settings!$B$16&lt;MIN(DKW_10Y!$A$2:$A$2918)),NA(),(INDEX(DKW_10Y!$B$2:$B$2918,MATCH($A61,DKW_10Y!$A$2:$A$2918,1))-INDEX(DKW_10Y!$B$2:$B$2918,MATCH(Settings!$B$16,DKW_10Y!$A$2:$A$2918,1)))*100))</f>
        <v/>
      </c>
      <c r="Y61" s="19">
        <f>IF(NOT(ISNUMBER($A61)),NA(),IF(OR($A61&lt;MIN(DKW_10Y!$A$2:$A$2918),$A61&gt;MAX(DKW_10Y!$A$2:$A$2918),Settings!$B$16&lt;MIN(DKW_10Y!$A$2:$A$2918)),NA(),(INDEX(DKW_10Y!$C$2:$C$2918,MATCH($A61,DKW_10Y!$A$2:$A$2918,1))-INDEX(DKW_10Y!$C$2:$C$2918,MATCH(Settings!$B$16,DKW_10Y!$A$2:$A$2918,1)))*100))</f>
        <v/>
      </c>
      <c r="Z61" s="19">
        <f>IF(NOT(ISNUMBER($A61)),NA(),IF(OR($A61&lt;MIN(DKW_10Y!$A$2:$A$2918),$A61&gt;MAX(DKW_10Y!$A$2:$A$2918),Settings!$B$16&lt;MIN(DKW_10Y!$A$2:$A$2918)),NA(),(INDEX(DKW_10Y!$D$2:$D$2918,MATCH($A61,DKW_10Y!$A$2:$A$2918,1))-INDEX(DKW_10Y!$D$2:$D$2918,MATCH(Settings!$B$16,DKW_10Y!$A$2:$A$2918,1)))*100))</f>
        <v/>
      </c>
      <c r="AA61" s="19">
        <f>IF(NOT(ISNUMBER($A61)),NA(),IF(OR($A61&lt;MIN(DKW_10Y!$A$2:$A$2918),$A61&gt;MAX(DKW_10Y!$A$2:$A$2918),Settings!$B$16&lt;MIN(DKW_10Y!$A$2:$A$2918)),NA(),(INDEX(DKW_10Y!$E$2:$E$2918,MATCH($A61,DKW_10Y!$A$2:$A$2918,1))-INDEX(DKW_10Y!$E$2:$E$2918,MATCH(Settings!$B$16,DKW_10Y!$A$2:$A$2918,1)))*100))</f>
        <v/>
      </c>
      <c r="AB61" s="19">
        <f>IF(NOT(ISNUMBER($A61)),NA(),IF(OR($A61&lt;MIN(DKW_10Y!$A$2:$A$2918),$A61&gt;MAX(DKW_10Y!$A$2:$A$2918),Settings!$B$16&lt;MIN(DKW_10Y!$A$2:$A$2918)),NA(),(INDEX(DKW_10Y!$H$2:$H$2918,MATCH($A61,DKW_10Y!$A$2:$A$2918,1))-INDEX(DKW_10Y!$H$2:$H$2918,MATCH(Settings!$B$16,DKW_10Y!$A$2:$A$2918,1)))*100))</f>
        <v/>
      </c>
      <c r="AC61" s="18">
        <f>IF(NOT(ISNUMBER($A61)),NA(),IFERROR(1*INDEX(BBG_Data!$N$2:$N$4000,MATCH($A61,BBG_Data!$M$2:$M$4000,0)),NA()))</f>
        <v/>
      </c>
      <c r="AD61" s="18">
        <f>IF(NOT(ISNUMBER($A61)),NA(),IFERROR(1*INDEX(BBG_Data!$P$2:$P$4000,MATCH($A61,BBG_Data!$O$2:$O$4000,0)),NA()))</f>
        <v/>
      </c>
      <c r="AE61" s="18">
        <f>IF(NOT(ISNUMBER($A61)),NA(),IFERROR(1*INDEX(BBG_Data!$R$2:$R$4000,MATCH($A61,BBG_Data!$Q$2:$Q$4000,0)),NA()))</f>
        <v/>
      </c>
      <c r="AF61" s="20">
        <f>IF(AND(ISNUMBER(B61),ISNUMBER(AC61)),(B61-AC61)*100,NA())</f>
        <v/>
      </c>
      <c r="AG61" s="20">
        <f>IF(AND(ISNUMBER(AE61),ISNUMBER(AD61)),(AE61-AD61)*100,NA())</f>
        <v/>
      </c>
      <c r="AH61" s="19">
        <f>IF(NOT(ISNUMBER($A61)),NA(),IFERROR(INDEX(BBG_Data!$T$2:$T$4000,MATCH($A61,BBG_Data!$S$2:$S$4000,0))*Settings!$B$25,NA()))</f>
        <v/>
      </c>
      <c r="AI61" s="19">
        <f>IF(NOT(ISNUMBER($A61)),NA(),IFERROR(INDEX(BBG_Data!$V$2:$V$4000,MATCH($A61,BBG_Data!$U$2:$U$4000,0))*Settings!$B$25,NA()))</f>
        <v/>
      </c>
      <c r="AJ61" s="19">
        <f>IF(NOT(ISNUMBER($A61)),NA(),IFERROR(1*INDEX(BBG_Data!$X$2:$X$4000,MATCH($A61,BBG_Data!$W$2:$W$4000,0)),NA()))</f>
        <v/>
      </c>
      <c r="AK61" s="19">
        <f>IF(NOT(ISNUMBER($A61)),NA(),IFERROR(1*INDEX(BBG_Data!$Z$2:$Z$4000,MATCH($A61,BBG_Data!$Y$2:$Y$4000,0)),NA()))</f>
        <v/>
      </c>
    </row>
    <row r="62">
      <c r="A62" s="17">
        <f>IF(ISNUMBER(BBG_Data!A62),BBG_Data!A62,"")</f>
        <v/>
      </c>
      <c r="B62" s="18">
        <f>IF(AND(ISNUMBER($A62),ISNUMBER(BBG_Data!B62)),BBG_Data!B62,NA())</f>
        <v/>
      </c>
      <c r="C62" s="18">
        <f>IF(NOT(ISNUMBER($A62)),NA(),IFERROR(1*INDEX(BBG_Data!$D$2:$D$4000,MATCH($A62,BBG_Data!$C$2:$C$4000,0)),NA()))</f>
        <v/>
      </c>
      <c r="D62" s="19">
        <f>IF(NOT(ISNUMBER($A62)),NA(),IFERROR(1*INDEX(BBG_Data!$F$2:$F$4000,MATCH($A62,BBG_Data!$E$2:$E$4000,0)),NA()))</f>
        <v/>
      </c>
      <c r="E62" s="19">
        <f>IF(NOT(ISNUMBER($A62)),NA(),IFERROR(1*INDEX(BBG_Data!$H$2:$H$4000,MATCH($A62,BBG_Data!$G$2:$G$4000,0)),NA()))</f>
        <v/>
      </c>
      <c r="F62" s="20">
        <f>IF(AND(ISNUMBER(B62),ISNUMBER(B61)),IF(B62=B61,"",(B62-B61)*100),"")</f>
        <v/>
      </c>
      <c r="G62" s="20">
        <f>IF(AND(ISNUMBER(C62),ISNUMBER(C61)),IF(C62=C61,"",(C62-C61)*100),"")</f>
        <v/>
      </c>
      <c r="H62" s="20">
        <f>IF(OR(NOT(ISNUMBER($A62)),ROW()-2&lt;Settings!$B$11),NA(),IF(COUNT(OFFSET(F62,1-Settings!$B$11,0,Settings!$B$11,1))&lt;ROUNDUP(Settings!$B$11*Settings!$B$26,0),NA(),STDEV(OFFSET(F62,1-Settings!$B$11,0,Settings!$B$11,1))*SQRT(Settings!$B$13)))</f>
        <v/>
      </c>
      <c r="I62" s="20">
        <f>IF(OR(NOT(ISNUMBER($A62)),ROW()-2&lt;Settings!$B$12),NA(),IF(COUNT(OFFSET(F62,1-Settings!$B$12,0,Settings!$B$12,1))&lt;ROUNDUP(Settings!$B$12*Settings!$B$26,0),NA(),STDEV(OFFSET(F62,1-Settings!$B$12,0,Settings!$B$12,1))*SQRT(Settings!$B$13)))</f>
        <v/>
      </c>
      <c r="J62" s="20">
        <f>IF(OR(NOT(ISNUMBER($A62)),ROW()-2&lt;Settings!$B$11),NA(),IF(COUNT(OFFSET(G62,1-Settings!$B$11,0,Settings!$B$11,1))&lt;ROUNDUP(Settings!$B$11*Settings!$B$26,0),NA(),STDEV(OFFSET(G62,1-Settings!$B$11,0,Settings!$B$11,1))*SQRT(Settings!$B$13)))</f>
        <v/>
      </c>
      <c r="K62" s="20">
        <f>IF(OR(NOT(ISNUMBER($A62)),ROW()-2&lt;Settings!$B$12),NA(),IF(COUNT(OFFSET(G62,1-Settings!$B$12,0,Settings!$B$12,1))&lt;ROUNDUP(Settings!$B$12*Settings!$B$26,0),NA(),STDEV(OFFSET(G62,1-Settings!$B$12,0,Settings!$B$12,1))*SQRT(Settings!$B$13)))</f>
        <v/>
      </c>
      <c r="L62" s="20">
        <f>IF(AND(ISNUMBER(D62),ISNUMBER(H62)),D62-H62,NA())</f>
        <v/>
      </c>
      <c r="M62" s="20">
        <f>IF(AND(ISNUMBER(E62),ISNUMBER(K62)),E62-K62,NA())</f>
        <v/>
      </c>
      <c r="N62" s="20">
        <f>IF(NOT(ISNUMBER($A62)),NA(),IF(COUNT(OFFSET(G62,1,0,Settings!$B$12,1))&lt;ROUNDUP(Settings!$B$12*Settings!$B$26,0),NA(),STDEV(OFFSET(G62,1,0,Settings!$B$12,1))*SQRT(Settings!$B$13)))</f>
        <v/>
      </c>
      <c r="O62" s="20">
        <f>IF(AND(ISNUMBER(E62),ISNUMBER(N62)),E62-N62,NA())</f>
        <v/>
      </c>
      <c r="P62" s="19">
        <f>IF(NOT(ISNUMBER($A62)),NA(),IF(OR($A62&lt;MIN(KW_TP!$A$2:$A$2501),$A62&gt;MAX(KW_TP!$A$2:$A$2501)),NA(),INDEX(KW_TP!$C$2:$C$2501,MATCH($A62,KW_TP!$A$2:$A$2501,1))))</f>
        <v/>
      </c>
      <c r="Q62" s="18">
        <f>IF(NOT(ISNUMBER($A62)),NA(),IFERROR(1*INDEX(BBG_Data!$J$2:$J$4000,MATCH($A62,BBG_Data!$I$2:$I$4000,0)),NA()))</f>
        <v/>
      </c>
      <c r="R62" s="18">
        <f>IF(NOT(ISNUMBER($A62)),NA(),IFERROR(1*INDEX(BBG_Data!$L$2:$L$4000,MATCH($A62,BBG_Data!$K$2:$K$4000,0)),NA()))</f>
        <v/>
      </c>
      <c r="S62" s="20">
        <f>IF(AND(ISNUMBER(B62),ISNUMBER(Q62),ISNUMBER(R62)),(B62-Q62-R62)*100,NA())</f>
        <v/>
      </c>
      <c r="T62" s="20">
        <f>IF(AND(ISNUMBER(B62),Settings!$B$17&gt;0),IF(ISNUMBER(INDEX($B:$B,Settings!$B$17)),(B62-INDEX($B:$B,Settings!$B$17))*100,NA()),NA())</f>
        <v/>
      </c>
      <c r="U62" s="20">
        <f>IF(AND(ISNUMBER(Q62),Settings!$B$17&gt;0),IF(ISNUMBER(INDEX($Q:$Q,Settings!$B$17)),(Q62-INDEX($Q:$Q,Settings!$B$17))*100,NA()),NA())</f>
        <v/>
      </c>
      <c r="V62" s="20">
        <f>IF(AND(ISNUMBER(R62),Settings!$B$17&gt;0),IF(ISNUMBER(INDEX($R:$R,Settings!$B$17)),(R62-INDEX($R:$R,Settings!$B$17))*100,NA()),NA())</f>
        <v/>
      </c>
      <c r="W62" s="20">
        <f>IF(AND(ISNUMBER(P62),Settings!$B$17&gt;0),IF(ISNUMBER(INDEX($P:$P,Settings!$B$17)),P62-INDEX($P:$P,Settings!$B$17),NA()),NA())</f>
        <v/>
      </c>
      <c r="X62" s="19">
        <f>IF(NOT(ISNUMBER($A62)),NA(),IF(OR($A62&lt;MIN(DKW_10Y!$A$2:$A$2918),$A62&gt;MAX(DKW_10Y!$A$2:$A$2918),Settings!$B$16&lt;MIN(DKW_10Y!$A$2:$A$2918)),NA(),(INDEX(DKW_10Y!$B$2:$B$2918,MATCH($A62,DKW_10Y!$A$2:$A$2918,1))-INDEX(DKW_10Y!$B$2:$B$2918,MATCH(Settings!$B$16,DKW_10Y!$A$2:$A$2918,1)))*100))</f>
        <v/>
      </c>
      <c r="Y62" s="19">
        <f>IF(NOT(ISNUMBER($A62)),NA(),IF(OR($A62&lt;MIN(DKW_10Y!$A$2:$A$2918),$A62&gt;MAX(DKW_10Y!$A$2:$A$2918),Settings!$B$16&lt;MIN(DKW_10Y!$A$2:$A$2918)),NA(),(INDEX(DKW_10Y!$C$2:$C$2918,MATCH($A62,DKW_10Y!$A$2:$A$2918,1))-INDEX(DKW_10Y!$C$2:$C$2918,MATCH(Settings!$B$16,DKW_10Y!$A$2:$A$2918,1)))*100))</f>
        <v/>
      </c>
      <c r="Z62" s="19">
        <f>IF(NOT(ISNUMBER($A62)),NA(),IF(OR($A62&lt;MIN(DKW_10Y!$A$2:$A$2918),$A62&gt;MAX(DKW_10Y!$A$2:$A$2918),Settings!$B$16&lt;MIN(DKW_10Y!$A$2:$A$2918)),NA(),(INDEX(DKW_10Y!$D$2:$D$2918,MATCH($A62,DKW_10Y!$A$2:$A$2918,1))-INDEX(DKW_10Y!$D$2:$D$2918,MATCH(Settings!$B$16,DKW_10Y!$A$2:$A$2918,1)))*100))</f>
        <v/>
      </c>
      <c r="AA62" s="19">
        <f>IF(NOT(ISNUMBER($A62)),NA(),IF(OR($A62&lt;MIN(DKW_10Y!$A$2:$A$2918),$A62&gt;MAX(DKW_10Y!$A$2:$A$2918),Settings!$B$16&lt;MIN(DKW_10Y!$A$2:$A$2918)),NA(),(INDEX(DKW_10Y!$E$2:$E$2918,MATCH($A62,DKW_10Y!$A$2:$A$2918,1))-INDEX(DKW_10Y!$E$2:$E$2918,MATCH(Settings!$B$16,DKW_10Y!$A$2:$A$2918,1)))*100))</f>
        <v/>
      </c>
      <c r="AB62" s="19">
        <f>IF(NOT(ISNUMBER($A62)),NA(),IF(OR($A62&lt;MIN(DKW_10Y!$A$2:$A$2918),$A62&gt;MAX(DKW_10Y!$A$2:$A$2918),Settings!$B$16&lt;MIN(DKW_10Y!$A$2:$A$2918)),NA(),(INDEX(DKW_10Y!$H$2:$H$2918,MATCH($A62,DKW_10Y!$A$2:$A$2918,1))-INDEX(DKW_10Y!$H$2:$H$2918,MATCH(Settings!$B$16,DKW_10Y!$A$2:$A$2918,1)))*100))</f>
        <v/>
      </c>
      <c r="AC62" s="18">
        <f>IF(NOT(ISNUMBER($A62)),NA(),IFERROR(1*INDEX(BBG_Data!$N$2:$N$4000,MATCH($A62,BBG_Data!$M$2:$M$4000,0)),NA()))</f>
        <v/>
      </c>
      <c r="AD62" s="18">
        <f>IF(NOT(ISNUMBER($A62)),NA(),IFERROR(1*INDEX(BBG_Data!$P$2:$P$4000,MATCH($A62,BBG_Data!$O$2:$O$4000,0)),NA()))</f>
        <v/>
      </c>
      <c r="AE62" s="18">
        <f>IF(NOT(ISNUMBER($A62)),NA(),IFERROR(1*INDEX(BBG_Data!$R$2:$R$4000,MATCH($A62,BBG_Data!$Q$2:$Q$4000,0)),NA()))</f>
        <v/>
      </c>
      <c r="AF62" s="20">
        <f>IF(AND(ISNUMBER(B62),ISNUMBER(AC62)),(B62-AC62)*100,NA())</f>
        <v/>
      </c>
      <c r="AG62" s="20">
        <f>IF(AND(ISNUMBER(AE62),ISNUMBER(AD62)),(AE62-AD62)*100,NA())</f>
        <v/>
      </c>
      <c r="AH62" s="19">
        <f>IF(NOT(ISNUMBER($A62)),NA(),IFERROR(INDEX(BBG_Data!$T$2:$T$4000,MATCH($A62,BBG_Data!$S$2:$S$4000,0))*Settings!$B$25,NA()))</f>
        <v/>
      </c>
      <c r="AI62" s="19">
        <f>IF(NOT(ISNUMBER($A62)),NA(),IFERROR(INDEX(BBG_Data!$V$2:$V$4000,MATCH($A62,BBG_Data!$U$2:$U$4000,0))*Settings!$B$25,NA()))</f>
        <v/>
      </c>
      <c r="AJ62" s="19">
        <f>IF(NOT(ISNUMBER($A62)),NA(),IFERROR(1*INDEX(BBG_Data!$X$2:$X$4000,MATCH($A62,BBG_Data!$W$2:$W$4000,0)),NA()))</f>
        <v/>
      </c>
      <c r="AK62" s="19">
        <f>IF(NOT(ISNUMBER($A62)),NA(),IFERROR(1*INDEX(BBG_Data!$Z$2:$Z$4000,MATCH($A62,BBG_Data!$Y$2:$Y$4000,0)),NA()))</f>
        <v/>
      </c>
    </row>
    <row r="63">
      <c r="A63" s="17">
        <f>IF(ISNUMBER(BBG_Data!A63),BBG_Data!A63,"")</f>
        <v/>
      </c>
      <c r="B63" s="18">
        <f>IF(AND(ISNUMBER($A63),ISNUMBER(BBG_Data!B63)),BBG_Data!B63,NA())</f>
        <v/>
      </c>
      <c r="C63" s="18">
        <f>IF(NOT(ISNUMBER($A63)),NA(),IFERROR(1*INDEX(BBG_Data!$D$2:$D$4000,MATCH($A63,BBG_Data!$C$2:$C$4000,0)),NA()))</f>
        <v/>
      </c>
      <c r="D63" s="19">
        <f>IF(NOT(ISNUMBER($A63)),NA(),IFERROR(1*INDEX(BBG_Data!$F$2:$F$4000,MATCH($A63,BBG_Data!$E$2:$E$4000,0)),NA()))</f>
        <v/>
      </c>
      <c r="E63" s="19">
        <f>IF(NOT(ISNUMBER($A63)),NA(),IFERROR(1*INDEX(BBG_Data!$H$2:$H$4000,MATCH($A63,BBG_Data!$G$2:$G$4000,0)),NA()))</f>
        <v/>
      </c>
      <c r="F63" s="20">
        <f>IF(AND(ISNUMBER(B63),ISNUMBER(B62)),IF(B63=B62,"",(B63-B62)*100),"")</f>
        <v/>
      </c>
      <c r="G63" s="20">
        <f>IF(AND(ISNUMBER(C63),ISNUMBER(C62)),IF(C63=C62,"",(C63-C62)*100),"")</f>
        <v/>
      </c>
      <c r="H63" s="20">
        <f>IF(OR(NOT(ISNUMBER($A63)),ROW()-2&lt;Settings!$B$11),NA(),IF(COUNT(OFFSET(F63,1-Settings!$B$11,0,Settings!$B$11,1))&lt;ROUNDUP(Settings!$B$11*Settings!$B$26,0),NA(),STDEV(OFFSET(F63,1-Settings!$B$11,0,Settings!$B$11,1))*SQRT(Settings!$B$13)))</f>
        <v/>
      </c>
      <c r="I63" s="20">
        <f>IF(OR(NOT(ISNUMBER($A63)),ROW()-2&lt;Settings!$B$12),NA(),IF(COUNT(OFFSET(F63,1-Settings!$B$12,0,Settings!$B$12,1))&lt;ROUNDUP(Settings!$B$12*Settings!$B$26,0),NA(),STDEV(OFFSET(F63,1-Settings!$B$12,0,Settings!$B$12,1))*SQRT(Settings!$B$13)))</f>
        <v/>
      </c>
      <c r="J63" s="20">
        <f>IF(OR(NOT(ISNUMBER($A63)),ROW()-2&lt;Settings!$B$11),NA(),IF(COUNT(OFFSET(G63,1-Settings!$B$11,0,Settings!$B$11,1))&lt;ROUNDUP(Settings!$B$11*Settings!$B$26,0),NA(),STDEV(OFFSET(G63,1-Settings!$B$11,0,Settings!$B$11,1))*SQRT(Settings!$B$13)))</f>
        <v/>
      </c>
      <c r="K63" s="20">
        <f>IF(OR(NOT(ISNUMBER($A63)),ROW()-2&lt;Settings!$B$12),NA(),IF(COUNT(OFFSET(G63,1-Settings!$B$12,0,Settings!$B$12,1))&lt;ROUNDUP(Settings!$B$12*Settings!$B$26,0),NA(),STDEV(OFFSET(G63,1-Settings!$B$12,0,Settings!$B$12,1))*SQRT(Settings!$B$13)))</f>
        <v/>
      </c>
      <c r="L63" s="20">
        <f>IF(AND(ISNUMBER(D63),ISNUMBER(H63)),D63-H63,NA())</f>
        <v/>
      </c>
      <c r="M63" s="20">
        <f>IF(AND(ISNUMBER(E63),ISNUMBER(K63)),E63-K63,NA())</f>
        <v/>
      </c>
      <c r="N63" s="20">
        <f>IF(NOT(ISNUMBER($A63)),NA(),IF(COUNT(OFFSET(G63,1,0,Settings!$B$12,1))&lt;ROUNDUP(Settings!$B$12*Settings!$B$26,0),NA(),STDEV(OFFSET(G63,1,0,Settings!$B$12,1))*SQRT(Settings!$B$13)))</f>
        <v/>
      </c>
      <c r="O63" s="20">
        <f>IF(AND(ISNUMBER(E63),ISNUMBER(N63)),E63-N63,NA())</f>
        <v/>
      </c>
      <c r="P63" s="19">
        <f>IF(NOT(ISNUMBER($A63)),NA(),IF(OR($A63&lt;MIN(KW_TP!$A$2:$A$2501),$A63&gt;MAX(KW_TP!$A$2:$A$2501)),NA(),INDEX(KW_TP!$C$2:$C$2501,MATCH($A63,KW_TP!$A$2:$A$2501,1))))</f>
        <v/>
      </c>
      <c r="Q63" s="18">
        <f>IF(NOT(ISNUMBER($A63)),NA(),IFERROR(1*INDEX(BBG_Data!$J$2:$J$4000,MATCH($A63,BBG_Data!$I$2:$I$4000,0)),NA()))</f>
        <v/>
      </c>
      <c r="R63" s="18">
        <f>IF(NOT(ISNUMBER($A63)),NA(),IFERROR(1*INDEX(BBG_Data!$L$2:$L$4000,MATCH($A63,BBG_Data!$K$2:$K$4000,0)),NA()))</f>
        <v/>
      </c>
      <c r="S63" s="20">
        <f>IF(AND(ISNUMBER(B63),ISNUMBER(Q63),ISNUMBER(R63)),(B63-Q63-R63)*100,NA())</f>
        <v/>
      </c>
      <c r="T63" s="20">
        <f>IF(AND(ISNUMBER(B63),Settings!$B$17&gt;0),IF(ISNUMBER(INDEX($B:$B,Settings!$B$17)),(B63-INDEX($B:$B,Settings!$B$17))*100,NA()),NA())</f>
        <v/>
      </c>
      <c r="U63" s="20">
        <f>IF(AND(ISNUMBER(Q63),Settings!$B$17&gt;0),IF(ISNUMBER(INDEX($Q:$Q,Settings!$B$17)),(Q63-INDEX($Q:$Q,Settings!$B$17))*100,NA()),NA())</f>
        <v/>
      </c>
      <c r="V63" s="20">
        <f>IF(AND(ISNUMBER(R63),Settings!$B$17&gt;0),IF(ISNUMBER(INDEX($R:$R,Settings!$B$17)),(R63-INDEX($R:$R,Settings!$B$17))*100,NA()),NA())</f>
        <v/>
      </c>
      <c r="W63" s="20">
        <f>IF(AND(ISNUMBER(P63),Settings!$B$17&gt;0),IF(ISNUMBER(INDEX($P:$P,Settings!$B$17)),P63-INDEX($P:$P,Settings!$B$17),NA()),NA())</f>
        <v/>
      </c>
      <c r="X63" s="19">
        <f>IF(NOT(ISNUMBER($A63)),NA(),IF(OR($A63&lt;MIN(DKW_10Y!$A$2:$A$2918),$A63&gt;MAX(DKW_10Y!$A$2:$A$2918),Settings!$B$16&lt;MIN(DKW_10Y!$A$2:$A$2918)),NA(),(INDEX(DKW_10Y!$B$2:$B$2918,MATCH($A63,DKW_10Y!$A$2:$A$2918,1))-INDEX(DKW_10Y!$B$2:$B$2918,MATCH(Settings!$B$16,DKW_10Y!$A$2:$A$2918,1)))*100))</f>
        <v/>
      </c>
      <c r="Y63" s="19">
        <f>IF(NOT(ISNUMBER($A63)),NA(),IF(OR($A63&lt;MIN(DKW_10Y!$A$2:$A$2918),$A63&gt;MAX(DKW_10Y!$A$2:$A$2918),Settings!$B$16&lt;MIN(DKW_10Y!$A$2:$A$2918)),NA(),(INDEX(DKW_10Y!$C$2:$C$2918,MATCH($A63,DKW_10Y!$A$2:$A$2918,1))-INDEX(DKW_10Y!$C$2:$C$2918,MATCH(Settings!$B$16,DKW_10Y!$A$2:$A$2918,1)))*100))</f>
        <v/>
      </c>
      <c r="Z63" s="19">
        <f>IF(NOT(ISNUMBER($A63)),NA(),IF(OR($A63&lt;MIN(DKW_10Y!$A$2:$A$2918),$A63&gt;MAX(DKW_10Y!$A$2:$A$2918),Settings!$B$16&lt;MIN(DKW_10Y!$A$2:$A$2918)),NA(),(INDEX(DKW_10Y!$D$2:$D$2918,MATCH($A63,DKW_10Y!$A$2:$A$2918,1))-INDEX(DKW_10Y!$D$2:$D$2918,MATCH(Settings!$B$16,DKW_10Y!$A$2:$A$2918,1)))*100))</f>
        <v/>
      </c>
      <c r="AA63" s="19">
        <f>IF(NOT(ISNUMBER($A63)),NA(),IF(OR($A63&lt;MIN(DKW_10Y!$A$2:$A$2918),$A63&gt;MAX(DKW_10Y!$A$2:$A$2918),Settings!$B$16&lt;MIN(DKW_10Y!$A$2:$A$2918)),NA(),(INDEX(DKW_10Y!$E$2:$E$2918,MATCH($A63,DKW_10Y!$A$2:$A$2918,1))-INDEX(DKW_10Y!$E$2:$E$2918,MATCH(Settings!$B$16,DKW_10Y!$A$2:$A$2918,1)))*100))</f>
        <v/>
      </c>
      <c r="AB63" s="19">
        <f>IF(NOT(ISNUMBER($A63)),NA(),IF(OR($A63&lt;MIN(DKW_10Y!$A$2:$A$2918),$A63&gt;MAX(DKW_10Y!$A$2:$A$2918),Settings!$B$16&lt;MIN(DKW_10Y!$A$2:$A$2918)),NA(),(INDEX(DKW_10Y!$H$2:$H$2918,MATCH($A63,DKW_10Y!$A$2:$A$2918,1))-INDEX(DKW_10Y!$H$2:$H$2918,MATCH(Settings!$B$16,DKW_10Y!$A$2:$A$2918,1)))*100))</f>
        <v/>
      </c>
      <c r="AC63" s="18">
        <f>IF(NOT(ISNUMBER($A63)),NA(),IFERROR(1*INDEX(BBG_Data!$N$2:$N$4000,MATCH($A63,BBG_Data!$M$2:$M$4000,0)),NA()))</f>
        <v/>
      </c>
      <c r="AD63" s="18">
        <f>IF(NOT(ISNUMBER($A63)),NA(),IFERROR(1*INDEX(BBG_Data!$P$2:$P$4000,MATCH($A63,BBG_Data!$O$2:$O$4000,0)),NA()))</f>
        <v/>
      </c>
      <c r="AE63" s="18">
        <f>IF(NOT(ISNUMBER($A63)),NA(),IFERROR(1*INDEX(BBG_Data!$R$2:$R$4000,MATCH($A63,BBG_Data!$Q$2:$Q$4000,0)),NA()))</f>
        <v/>
      </c>
      <c r="AF63" s="20">
        <f>IF(AND(ISNUMBER(B63),ISNUMBER(AC63)),(B63-AC63)*100,NA())</f>
        <v/>
      </c>
      <c r="AG63" s="20">
        <f>IF(AND(ISNUMBER(AE63),ISNUMBER(AD63)),(AE63-AD63)*100,NA())</f>
        <v/>
      </c>
      <c r="AH63" s="19">
        <f>IF(NOT(ISNUMBER($A63)),NA(),IFERROR(INDEX(BBG_Data!$T$2:$T$4000,MATCH($A63,BBG_Data!$S$2:$S$4000,0))*Settings!$B$25,NA()))</f>
        <v/>
      </c>
      <c r="AI63" s="19">
        <f>IF(NOT(ISNUMBER($A63)),NA(),IFERROR(INDEX(BBG_Data!$V$2:$V$4000,MATCH($A63,BBG_Data!$U$2:$U$4000,0))*Settings!$B$25,NA()))</f>
        <v/>
      </c>
      <c r="AJ63" s="19">
        <f>IF(NOT(ISNUMBER($A63)),NA(),IFERROR(1*INDEX(BBG_Data!$X$2:$X$4000,MATCH($A63,BBG_Data!$W$2:$W$4000,0)),NA()))</f>
        <v/>
      </c>
      <c r="AK63" s="19">
        <f>IF(NOT(ISNUMBER($A63)),NA(),IFERROR(1*INDEX(BBG_Data!$Z$2:$Z$4000,MATCH($A63,BBG_Data!$Y$2:$Y$4000,0)),NA()))</f>
        <v/>
      </c>
    </row>
    <row r="64">
      <c r="A64" s="17">
        <f>IF(ISNUMBER(BBG_Data!A64),BBG_Data!A64,"")</f>
        <v/>
      </c>
      <c r="B64" s="18">
        <f>IF(AND(ISNUMBER($A64),ISNUMBER(BBG_Data!B64)),BBG_Data!B64,NA())</f>
        <v/>
      </c>
      <c r="C64" s="18">
        <f>IF(NOT(ISNUMBER($A64)),NA(),IFERROR(1*INDEX(BBG_Data!$D$2:$D$4000,MATCH($A64,BBG_Data!$C$2:$C$4000,0)),NA()))</f>
        <v/>
      </c>
      <c r="D64" s="19">
        <f>IF(NOT(ISNUMBER($A64)),NA(),IFERROR(1*INDEX(BBG_Data!$F$2:$F$4000,MATCH($A64,BBG_Data!$E$2:$E$4000,0)),NA()))</f>
        <v/>
      </c>
      <c r="E64" s="19">
        <f>IF(NOT(ISNUMBER($A64)),NA(),IFERROR(1*INDEX(BBG_Data!$H$2:$H$4000,MATCH($A64,BBG_Data!$G$2:$G$4000,0)),NA()))</f>
        <v/>
      </c>
      <c r="F64" s="20">
        <f>IF(AND(ISNUMBER(B64),ISNUMBER(B63)),IF(B64=B63,"",(B64-B63)*100),"")</f>
        <v/>
      </c>
      <c r="G64" s="20">
        <f>IF(AND(ISNUMBER(C64),ISNUMBER(C63)),IF(C64=C63,"",(C64-C63)*100),"")</f>
        <v/>
      </c>
      <c r="H64" s="20">
        <f>IF(OR(NOT(ISNUMBER($A64)),ROW()-2&lt;Settings!$B$11),NA(),IF(COUNT(OFFSET(F64,1-Settings!$B$11,0,Settings!$B$11,1))&lt;ROUNDUP(Settings!$B$11*Settings!$B$26,0),NA(),STDEV(OFFSET(F64,1-Settings!$B$11,0,Settings!$B$11,1))*SQRT(Settings!$B$13)))</f>
        <v/>
      </c>
      <c r="I64" s="20">
        <f>IF(OR(NOT(ISNUMBER($A64)),ROW()-2&lt;Settings!$B$12),NA(),IF(COUNT(OFFSET(F64,1-Settings!$B$12,0,Settings!$B$12,1))&lt;ROUNDUP(Settings!$B$12*Settings!$B$26,0),NA(),STDEV(OFFSET(F64,1-Settings!$B$12,0,Settings!$B$12,1))*SQRT(Settings!$B$13)))</f>
        <v/>
      </c>
      <c r="J64" s="20">
        <f>IF(OR(NOT(ISNUMBER($A64)),ROW()-2&lt;Settings!$B$11),NA(),IF(COUNT(OFFSET(G64,1-Settings!$B$11,0,Settings!$B$11,1))&lt;ROUNDUP(Settings!$B$11*Settings!$B$26,0),NA(),STDEV(OFFSET(G64,1-Settings!$B$11,0,Settings!$B$11,1))*SQRT(Settings!$B$13)))</f>
        <v/>
      </c>
      <c r="K64" s="20">
        <f>IF(OR(NOT(ISNUMBER($A64)),ROW()-2&lt;Settings!$B$12),NA(),IF(COUNT(OFFSET(G64,1-Settings!$B$12,0,Settings!$B$12,1))&lt;ROUNDUP(Settings!$B$12*Settings!$B$26,0),NA(),STDEV(OFFSET(G64,1-Settings!$B$12,0,Settings!$B$12,1))*SQRT(Settings!$B$13)))</f>
        <v/>
      </c>
      <c r="L64" s="20">
        <f>IF(AND(ISNUMBER(D64),ISNUMBER(H64)),D64-H64,NA())</f>
        <v/>
      </c>
      <c r="M64" s="20">
        <f>IF(AND(ISNUMBER(E64),ISNUMBER(K64)),E64-K64,NA())</f>
        <v/>
      </c>
      <c r="N64" s="20">
        <f>IF(NOT(ISNUMBER($A64)),NA(),IF(COUNT(OFFSET(G64,1,0,Settings!$B$12,1))&lt;ROUNDUP(Settings!$B$12*Settings!$B$26,0),NA(),STDEV(OFFSET(G64,1,0,Settings!$B$12,1))*SQRT(Settings!$B$13)))</f>
        <v/>
      </c>
      <c r="O64" s="20">
        <f>IF(AND(ISNUMBER(E64),ISNUMBER(N64)),E64-N64,NA())</f>
        <v/>
      </c>
      <c r="P64" s="19">
        <f>IF(NOT(ISNUMBER($A64)),NA(),IF(OR($A64&lt;MIN(KW_TP!$A$2:$A$2501),$A64&gt;MAX(KW_TP!$A$2:$A$2501)),NA(),INDEX(KW_TP!$C$2:$C$2501,MATCH($A64,KW_TP!$A$2:$A$2501,1))))</f>
        <v/>
      </c>
      <c r="Q64" s="18">
        <f>IF(NOT(ISNUMBER($A64)),NA(),IFERROR(1*INDEX(BBG_Data!$J$2:$J$4000,MATCH($A64,BBG_Data!$I$2:$I$4000,0)),NA()))</f>
        <v/>
      </c>
      <c r="R64" s="18">
        <f>IF(NOT(ISNUMBER($A64)),NA(),IFERROR(1*INDEX(BBG_Data!$L$2:$L$4000,MATCH($A64,BBG_Data!$K$2:$K$4000,0)),NA()))</f>
        <v/>
      </c>
      <c r="S64" s="20">
        <f>IF(AND(ISNUMBER(B64),ISNUMBER(Q64),ISNUMBER(R64)),(B64-Q64-R64)*100,NA())</f>
        <v/>
      </c>
      <c r="T64" s="20">
        <f>IF(AND(ISNUMBER(B64),Settings!$B$17&gt;0),IF(ISNUMBER(INDEX($B:$B,Settings!$B$17)),(B64-INDEX($B:$B,Settings!$B$17))*100,NA()),NA())</f>
        <v/>
      </c>
      <c r="U64" s="20">
        <f>IF(AND(ISNUMBER(Q64),Settings!$B$17&gt;0),IF(ISNUMBER(INDEX($Q:$Q,Settings!$B$17)),(Q64-INDEX($Q:$Q,Settings!$B$17))*100,NA()),NA())</f>
        <v/>
      </c>
      <c r="V64" s="20">
        <f>IF(AND(ISNUMBER(R64),Settings!$B$17&gt;0),IF(ISNUMBER(INDEX($R:$R,Settings!$B$17)),(R64-INDEX($R:$R,Settings!$B$17))*100,NA()),NA())</f>
        <v/>
      </c>
      <c r="W64" s="20">
        <f>IF(AND(ISNUMBER(P64),Settings!$B$17&gt;0),IF(ISNUMBER(INDEX($P:$P,Settings!$B$17)),P64-INDEX($P:$P,Settings!$B$17),NA()),NA())</f>
        <v/>
      </c>
      <c r="X64" s="19">
        <f>IF(NOT(ISNUMBER($A64)),NA(),IF(OR($A64&lt;MIN(DKW_10Y!$A$2:$A$2918),$A64&gt;MAX(DKW_10Y!$A$2:$A$2918),Settings!$B$16&lt;MIN(DKW_10Y!$A$2:$A$2918)),NA(),(INDEX(DKW_10Y!$B$2:$B$2918,MATCH($A64,DKW_10Y!$A$2:$A$2918,1))-INDEX(DKW_10Y!$B$2:$B$2918,MATCH(Settings!$B$16,DKW_10Y!$A$2:$A$2918,1)))*100))</f>
        <v/>
      </c>
      <c r="Y64" s="19">
        <f>IF(NOT(ISNUMBER($A64)),NA(),IF(OR($A64&lt;MIN(DKW_10Y!$A$2:$A$2918),$A64&gt;MAX(DKW_10Y!$A$2:$A$2918),Settings!$B$16&lt;MIN(DKW_10Y!$A$2:$A$2918)),NA(),(INDEX(DKW_10Y!$C$2:$C$2918,MATCH($A64,DKW_10Y!$A$2:$A$2918,1))-INDEX(DKW_10Y!$C$2:$C$2918,MATCH(Settings!$B$16,DKW_10Y!$A$2:$A$2918,1)))*100))</f>
        <v/>
      </c>
      <c r="Z64" s="19">
        <f>IF(NOT(ISNUMBER($A64)),NA(),IF(OR($A64&lt;MIN(DKW_10Y!$A$2:$A$2918),$A64&gt;MAX(DKW_10Y!$A$2:$A$2918),Settings!$B$16&lt;MIN(DKW_10Y!$A$2:$A$2918)),NA(),(INDEX(DKW_10Y!$D$2:$D$2918,MATCH($A64,DKW_10Y!$A$2:$A$2918,1))-INDEX(DKW_10Y!$D$2:$D$2918,MATCH(Settings!$B$16,DKW_10Y!$A$2:$A$2918,1)))*100))</f>
        <v/>
      </c>
      <c r="AA64" s="19">
        <f>IF(NOT(ISNUMBER($A64)),NA(),IF(OR($A64&lt;MIN(DKW_10Y!$A$2:$A$2918),$A64&gt;MAX(DKW_10Y!$A$2:$A$2918),Settings!$B$16&lt;MIN(DKW_10Y!$A$2:$A$2918)),NA(),(INDEX(DKW_10Y!$E$2:$E$2918,MATCH($A64,DKW_10Y!$A$2:$A$2918,1))-INDEX(DKW_10Y!$E$2:$E$2918,MATCH(Settings!$B$16,DKW_10Y!$A$2:$A$2918,1)))*100))</f>
        <v/>
      </c>
      <c r="AB64" s="19">
        <f>IF(NOT(ISNUMBER($A64)),NA(),IF(OR($A64&lt;MIN(DKW_10Y!$A$2:$A$2918),$A64&gt;MAX(DKW_10Y!$A$2:$A$2918),Settings!$B$16&lt;MIN(DKW_10Y!$A$2:$A$2918)),NA(),(INDEX(DKW_10Y!$H$2:$H$2918,MATCH($A64,DKW_10Y!$A$2:$A$2918,1))-INDEX(DKW_10Y!$H$2:$H$2918,MATCH(Settings!$B$16,DKW_10Y!$A$2:$A$2918,1)))*100))</f>
        <v/>
      </c>
      <c r="AC64" s="18">
        <f>IF(NOT(ISNUMBER($A64)),NA(),IFERROR(1*INDEX(BBG_Data!$N$2:$N$4000,MATCH($A64,BBG_Data!$M$2:$M$4000,0)),NA()))</f>
        <v/>
      </c>
      <c r="AD64" s="18">
        <f>IF(NOT(ISNUMBER($A64)),NA(),IFERROR(1*INDEX(BBG_Data!$P$2:$P$4000,MATCH($A64,BBG_Data!$O$2:$O$4000,0)),NA()))</f>
        <v/>
      </c>
      <c r="AE64" s="18">
        <f>IF(NOT(ISNUMBER($A64)),NA(),IFERROR(1*INDEX(BBG_Data!$R$2:$R$4000,MATCH($A64,BBG_Data!$Q$2:$Q$4000,0)),NA()))</f>
        <v/>
      </c>
      <c r="AF64" s="20">
        <f>IF(AND(ISNUMBER(B64),ISNUMBER(AC64)),(B64-AC64)*100,NA())</f>
        <v/>
      </c>
      <c r="AG64" s="20">
        <f>IF(AND(ISNUMBER(AE64),ISNUMBER(AD64)),(AE64-AD64)*100,NA())</f>
        <v/>
      </c>
      <c r="AH64" s="19">
        <f>IF(NOT(ISNUMBER($A64)),NA(),IFERROR(INDEX(BBG_Data!$T$2:$T$4000,MATCH($A64,BBG_Data!$S$2:$S$4000,0))*Settings!$B$25,NA()))</f>
        <v/>
      </c>
      <c r="AI64" s="19">
        <f>IF(NOT(ISNUMBER($A64)),NA(),IFERROR(INDEX(BBG_Data!$V$2:$V$4000,MATCH($A64,BBG_Data!$U$2:$U$4000,0))*Settings!$B$25,NA()))</f>
        <v/>
      </c>
      <c r="AJ64" s="19">
        <f>IF(NOT(ISNUMBER($A64)),NA(),IFERROR(1*INDEX(BBG_Data!$X$2:$X$4000,MATCH($A64,BBG_Data!$W$2:$W$4000,0)),NA()))</f>
        <v/>
      </c>
      <c r="AK64" s="19">
        <f>IF(NOT(ISNUMBER($A64)),NA(),IFERROR(1*INDEX(BBG_Data!$Z$2:$Z$4000,MATCH($A64,BBG_Data!$Y$2:$Y$4000,0)),NA()))</f>
        <v/>
      </c>
    </row>
    <row r="65">
      <c r="A65" s="17">
        <f>IF(ISNUMBER(BBG_Data!A65),BBG_Data!A65,"")</f>
        <v/>
      </c>
      <c r="B65" s="18">
        <f>IF(AND(ISNUMBER($A65),ISNUMBER(BBG_Data!B65)),BBG_Data!B65,NA())</f>
        <v/>
      </c>
      <c r="C65" s="18">
        <f>IF(NOT(ISNUMBER($A65)),NA(),IFERROR(1*INDEX(BBG_Data!$D$2:$D$4000,MATCH($A65,BBG_Data!$C$2:$C$4000,0)),NA()))</f>
        <v/>
      </c>
      <c r="D65" s="19">
        <f>IF(NOT(ISNUMBER($A65)),NA(),IFERROR(1*INDEX(BBG_Data!$F$2:$F$4000,MATCH($A65,BBG_Data!$E$2:$E$4000,0)),NA()))</f>
        <v/>
      </c>
      <c r="E65" s="19">
        <f>IF(NOT(ISNUMBER($A65)),NA(),IFERROR(1*INDEX(BBG_Data!$H$2:$H$4000,MATCH($A65,BBG_Data!$G$2:$G$4000,0)),NA()))</f>
        <v/>
      </c>
      <c r="F65" s="20">
        <f>IF(AND(ISNUMBER(B65),ISNUMBER(B64)),IF(B65=B64,"",(B65-B64)*100),"")</f>
        <v/>
      </c>
      <c r="G65" s="20">
        <f>IF(AND(ISNUMBER(C65),ISNUMBER(C64)),IF(C65=C64,"",(C65-C64)*100),"")</f>
        <v/>
      </c>
      <c r="H65" s="20">
        <f>IF(OR(NOT(ISNUMBER($A65)),ROW()-2&lt;Settings!$B$11),NA(),IF(COUNT(OFFSET(F65,1-Settings!$B$11,0,Settings!$B$11,1))&lt;ROUNDUP(Settings!$B$11*Settings!$B$26,0),NA(),STDEV(OFFSET(F65,1-Settings!$B$11,0,Settings!$B$11,1))*SQRT(Settings!$B$13)))</f>
        <v/>
      </c>
      <c r="I65" s="20">
        <f>IF(OR(NOT(ISNUMBER($A65)),ROW()-2&lt;Settings!$B$12),NA(),IF(COUNT(OFFSET(F65,1-Settings!$B$12,0,Settings!$B$12,1))&lt;ROUNDUP(Settings!$B$12*Settings!$B$26,0),NA(),STDEV(OFFSET(F65,1-Settings!$B$12,0,Settings!$B$12,1))*SQRT(Settings!$B$13)))</f>
        <v/>
      </c>
      <c r="J65" s="20">
        <f>IF(OR(NOT(ISNUMBER($A65)),ROW()-2&lt;Settings!$B$11),NA(),IF(COUNT(OFFSET(G65,1-Settings!$B$11,0,Settings!$B$11,1))&lt;ROUNDUP(Settings!$B$11*Settings!$B$26,0),NA(),STDEV(OFFSET(G65,1-Settings!$B$11,0,Settings!$B$11,1))*SQRT(Settings!$B$13)))</f>
        <v/>
      </c>
      <c r="K65" s="20">
        <f>IF(OR(NOT(ISNUMBER($A65)),ROW()-2&lt;Settings!$B$12),NA(),IF(COUNT(OFFSET(G65,1-Settings!$B$12,0,Settings!$B$12,1))&lt;ROUNDUP(Settings!$B$12*Settings!$B$26,0),NA(),STDEV(OFFSET(G65,1-Settings!$B$12,0,Settings!$B$12,1))*SQRT(Settings!$B$13)))</f>
        <v/>
      </c>
      <c r="L65" s="20">
        <f>IF(AND(ISNUMBER(D65),ISNUMBER(H65)),D65-H65,NA())</f>
        <v/>
      </c>
      <c r="M65" s="20">
        <f>IF(AND(ISNUMBER(E65),ISNUMBER(K65)),E65-K65,NA())</f>
        <v/>
      </c>
      <c r="N65" s="20">
        <f>IF(NOT(ISNUMBER($A65)),NA(),IF(COUNT(OFFSET(G65,1,0,Settings!$B$12,1))&lt;ROUNDUP(Settings!$B$12*Settings!$B$26,0),NA(),STDEV(OFFSET(G65,1,0,Settings!$B$12,1))*SQRT(Settings!$B$13)))</f>
        <v/>
      </c>
      <c r="O65" s="20">
        <f>IF(AND(ISNUMBER(E65),ISNUMBER(N65)),E65-N65,NA())</f>
        <v/>
      </c>
      <c r="P65" s="19">
        <f>IF(NOT(ISNUMBER($A65)),NA(),IF(OR($A65&lt;MIN(KW_TP!$A$2:$A$2501),$A65&gt;MAX(KW_TP!$A$2:$A$2501)),NA(),INDEX(KW_TP!$C$2:$C$2501,MATCH($A65,KW_TP!$A$2:$A$2501,1))))</f>
        <v/>
      </c>
      <c r="Q65" s="18">
        <f>IF(NOT(ISNUMBER($A65)),NA(),IFERROR(1*INDEX(BBG_Data!$J$2:$J$4000,MATCH($A65,BBG_Data!$I$2:$I$4000,0)),NA()))</f>
        <v/>
      </c>
      <c r="R65" s="18">
        <f>IF(NOT(ISNUMBER($A65)),NA(),IFERROR(1*INDEX(BBG_Data!$L$2:$L$4000,MATCH($A65,BBG_Data!$K$2:$K$4000,0)),NA()))</f>
        <v/>
      </c>
      <c r="S65" s="20">
        <f>IF(AND(ISNUMBER(B65),ISNUMBER(Q65),ISNUMBER(R65)),(B65-Q65-R65)*100,NA())</f>
        <v/>
      </c>
      <c r="T65" s="20">
        <f>IF(AND(ISNUMBER(B65),Settings!$B$17&gt;0),IF(ISNUMBER(INDEX($B:$B,Settings!$B$17)),(B65-INDEX($B:$B,Settings!$B$17))*100,NA()),NA())</f>
        <v/>
      </c>
      <c r="U65" s="20">
        <f>IF(AND(ISNUMBER(Q65),Settings!$B$17&gt;0),IF(ISNUMBER(INDEX($Q:$Q,Settings!$B$17)),(Q65-INDEX($Q:$Q,Settings!$B$17))*100,NA()),NA())</f>
        <v/>
      </c>
      <c r="V65" s="20">
        <f>IF(AND(ISNUMBER(R65),Settings!$B$17&gt;0),IF(ISNUMBER(INDEX($R:$R,Settings!$B$17)),(R65-INDEX($R:$R,Settings!$B$17))*100,NA()),NA())</f>
        <v/>
      </c>
      <c r="W65" s="20">
        <f>IF(AND(ISNUMBER(P65),Settings!$B$17&gt;0),IF(ISNUMBER(INDEX($P:$P,Settings!$B$17)),P65-INDEX($P:$P,Settings!$B$17),NA()),NA())</f>
        <v/>
      </c>
      <c r="X65" s="19">
        <f>IF(NOT(ISNUMBER($A65)),NA(),IF(OR($A65&lt;MIN(DKW_10Y!$A$2:$A$2918),$A65&gt;MAX(DKW_10Y!$A$2:$A$2918),Settings!$B$16&lt;MIN(DKW_10Y!$A$2:$A$2918)),NA(),(INDEX(DKW_10Y!$B$2:$B$2918,MATCH($A65,DKW_10Y!$A$2:$A$2918,1))-INDEX(DKW_10Y!$B$2:$B$2918,MATCH(Settings!$B$16,DKW_10Y!$A$2:$A$2918,1)))*100))</f>
        <v/>
      </c>
      <c r="Y65" s="19">
        <f>IF(NOT(ISNUMBER($A65)),NA(),IF(OR($A65&lt;MIN(DKW_10Y!$A$2:$A$2918),$A65&gt;MAX(DKW_10Y!$A$2:$A$2918),Settings!$B$16&lt;MIN(DKW_10Y!$A$2:$A$2918)),NA(),(INDEX(DKW_10Y!$C$2:$C$2918,MATCH($A65,DKW_10Y!$A$2:$A$2918,1))-INDEX(DKW_10Y!$C$2:$C$2918,MATCH(Settings!$B$16,DKW_10Y!$A$2:$A$2918,1)))*100))</f>
        <v/>
      </c>
      <c r="Z65" s="19">
        <f>IF(NOT(ISNUMBER($A65)),NA(),IF(OR($A65&lt;MIN(DKW_10Y!$A$2:$A$2918),$A65&gt;MAX(DKW_10Y!$A$2:$A$2918),Settings!$B$16&lt;MIN(DKW_10Y!$A$2:$A$2918)),NA(),(INDEX(DKW_10Y!$D$2:$D$2918,MATCH($A65,DKW_10Y!$A$2:$A$2918,1))-INDEX(DKW_10Y!$D$2:$D$2918,MATCH(Settings!$B$16,DKW_10Y!$A$2:$A$2918,1)))*100))</f>
        <v/>
      </c>
      <c r="AA65" s="19">
        <f>IF(NOT(ISNUMBER($A65)),NA(),IF(OR($A65&lt;MIN(DKW_10Y!$A$2:$A$2918),$A65&gt;MAX(DKW_10Y!$A$2:$A$2918),Settings!$B$16&lt;MIN(DKW_10Y!$A$2:$A$2918)),NA(),(INDEX(DKW_10Y!$E$2:$E$2918,MATCH($A65,DKW_10Y!$A$2:$A$2918,1))-INDEX(DKW_10Y!$E$2:$E$2918,MATCH(Settings!$B$16,DKW_10Y!$A$2:$A$2918,1)))*100))</f>
        <v/>
      </c>
      <c r="AB65" s="19">
        <f>IF(NOT(ISNUMBER($A65)),NA(),IF(OR($A65&lt;MIN(DKW_10Y!$A$2:$A$2918),$A65&gt;MAX(DKW_10Y!$A$2:$A$2918),Settings!$B$16&lt;MIN(DKW_10Y!$A$2:$A$2918)),NA(),(INDEX(DKW_10Y!$H$2:$H$2918,MATCH($A65,DKW_10Y!$A$2:$A$2918,1))-INDEX(DKW_10Y!$H$2:$H$2918,MATCH(Settings!$B$16,DKW_10Y!$A$2:$A$2918,1)))*100))</f>
        <v/>
      </c>
      <c r="AC65" s="18">
        <f>IF(NOT(ISNUMBER($A65)),NA(),IFERROR(1*INDEX(BBG_Data!$N$2:$N$4000,MATCH($A65,BBG_Data!$M$2:$M$4000,0)),NA()))</f>
        <v/>
      </c>
      <c r="AD65" s="18">
        <f>IF(NOT(ISNUMBER($A65)),NA(),IFERROR(1*INDEX(BBG_Data!$P$2:$P$4000,MATCH($A65,BBG_Data!$O$2:$O$4000,0)),NA()))</f>
        <v/>
      </c>
      <c r="AE65" s="18">
        <f>IF(NOT(ISNUMBER($A65)),NA(),IFERROR(1*INDEX(BBG_Data!$R$2:$R$4000,MATCH($A65,BBG_Data!$Q$2:$Q$4000,0)),NA()))</f>
        <v/>
      </c>
      <c r="AF65" s="20">
        <f>IF(AND(ISNUMBER(B65),ISNUMBER(AC65)),(B65-AC65)*100,NA())</f>
        <v/>
      </c>
      <c r="AG65" s="20">
        <f>IF(AND(ISNUMBER(AE65),ISNUMBER(AD65)),(AE65-AD65)*100,NA())</f>
        <v/>
      </c>
      <c r="AH65" s="19">
        <f>IF(NOT(ISNUMBER($A65)),NA(),IFERROR(INDEX(BBG_Data!$T$2:$T$4000,MATCH($A65,BBG_Data!$S$2:$S$4000,0))*Settings!$B$25,NA()))</f>
        <v/>
      </c>
      <c r="AI65" s="19">
        <f>IF(NOT(ISNUMBER($A65)),NA(),IFERROR(INDEX(BBG_Data!$V$2:$V$4000,MATCH($A65,BBG_Data!$U$2:$U$4000,0))*Settings!$B$25,NA()))</f>
        <v/>
      </c>
      <c r="AJ65" s="19">
        <f>IF(NOT(ISNUMBER($A65)),NA(),IFERROR(1*INDEX(BBG_Data!$X$2:$X$4000,MATCH($A65,BBG_Data!$W$2:$W$4000,0)),NA()))</f>
        <v/>
      </c>
      <c r="AK65" s="19">
        <f>IF(NOT(ISNUMBER($A65)),NA(),IFERROR(1*INDEX(BBG_Data!$Z$2:$Z$4000,MATCH($A65,BBG_Data!$Y$2:$Y$4000,0)),NA()))</f>
        <v/>
      </c>
    </row>
    <row r="66">
      <c r="A66" s="17">
        <f>IF(ISNUMBER(BBG_Data!A66),BBG_Data!A66,"")</f>
        <v/>
      </c>
      <c r="B66" s="18">
        <f>IF(AND(ISNUMBER($A66),ISNUMBER(BBG_Data!B66)),BBG_Data!B66,NA())</f>
        <v/>
      </c>
      <c r="C66" s="18">
        <f>IF(NOT(ISNUMBER($A66)),NA(),IFERROR(1*INDEX(BBG_Data!$D$2:$D$4000,MATCH($A66,BBG_Data!$C$2:$C$4000,0)),NA()))</f>
        <v/>
      </c>
      <c r="D66" s="19">
        <f>IF(NOT(ISNUMBER($A66)),NA(),IFERROR(1*INDEX(BBG_Data!$F$2:$F$4000,MATCH($A66,BBG_Data!$E$2:$E$4000,0)),NA()))</f>
        <v/>
      </c>
      <c r="E66" s="19">
        <f>IF(NOT(ISNUMBER($A66)),NA(),IFERROR(1*INDEX(BBG_Data!$H$2:$H$4000,MATCH($A66,BBG_Data!$G$2:$G$4000,0)),NA()))</f>
        <v/>
      </c>
      <c r="F66" s="20">
        <f>IF(AND(ISNUMBER(B66),ISNUMBER(B65)),IF(B66=B65,"",(B66-B65)*100),"")</f>
        <v/>
      </c>
      <c r="G66" s="20">
        <f>IF(AND(ISNUMBER(C66),ISNUMBER(C65)),IF(C66=C65,"",(C66-C65)*100),"")</f>
        <v/>
      </c>
      <c r="H66" s="20">
        <f>IF(OR(NOT(ISNUMBER($A66)),ROW()-2&lt;Settings!$B$11),NA(),IF(COUNT(OFFSET(F66,1-Settings!$B$11,0,Settings!$B$11,1))&lt;ROUNDUP(Settings!$B$11*Settings!$B$26,0),NA(),STDEV(OFFSET(F66,1-Settings!$B$11,0,Settings!$B$11,1))*SQRT(Settings!$B$13)))</f>
        <v/>
      </c>
      <c r="I66" s="20">
        <f>IF(OR(NOT(ISNUMBER($A66)),ROW()-2&lt;Settings!$B$12),NA(),IF(COUNT(OFFSET(F66,1-Settings!$B$12,0,Settings!$B$12,1))&lt;ROUNDUP(Settings!$B$12*Settings!$B$26,0),NA(),STDEV(OFFSET(F66,1-Settings!$B$12,0,Settings!$B$12,1))*SQRT(Settings!$B$13)))</f>
        <v/>
      </c>
      <c r="J66" s="20">
        <f>IF(OR(NOT(ISNUMBER($A66)),ROW()-2&lt;Settings!$B$11),NA(),IF(COUNT(OFFSET(G66,1-Settings!$B$11,0,Settings!$B$11,1))&lt;ROUNDUP(Settings!$B$11*Settings!$B$26,0),NA(),STDEV(OFFSET(G66,1-Settings!$B$11,0,Settings!$B$11,1))*SQRT(Settings!$B$13)))</f>
        <v/>
      </c>
      <c r="K66" s="20">
        <f>IF(OR(NOT(ISNUMBER($A66)),ROW()-2&lt;Settings!$B$12),NA(),IF(COUNT(OFFSET(G66,1-Settings!$B$12,0,Settings!$B$12,1))&lt;ROUNDUP(Settings!$B$12*Settings!$B$26,0),NA(),STDEV(OFFSET(G66,1-Settings!$B$12,0,Settings!$B$12,1))*SQRT(Settings!$B$13)))</f>
        <v/>
      </c>
      <c r="L66" s="20">
        <f>IF(AND(ISNUMBER(D66),ISNUMBER(H66)),D66-H66,NA())</f>
        <v/>
      </c>
      <c r="M66" s="20">
        <f>IF(AND(ISNUMBER(E66),ISNUMBER(K66)),E66-K66,NA())</f>
        <v/>
      </c>
      <c r="N66" s="20">
        <f>IF(NOT(ISNUMBER($A66)),NA(),IF(COUNT(OFFSET(G66,1,0,Settings!$B$12,1))&lt;ROUNDUP(Settings!$B$12*Settings!$B$26,0),NA(),STDEV(OFFSET(G66,1,0,Settings!$B$12,1))*SQRT(Settings!$B$13)))</f>
        <v/>
      </c>
      <c r="O66" s="20">
        <f>IF(AND(ISNUMBER(E66),ISNUMBER(N66)),E66-N66,NA())</f>
        <v/>
      </c>
      <c r="P66" s="19">
        <f>IF(NOT(ISNUMBER($A66)),NA(),IF(OR($A66&lt;MIN(KW_TP!$A$2:$A$2501),$A66&gt;MAX(KW_TP!$A$2:$A$2501)),NA(),INDEX(KW_TP!$C$2:$C$2501,MATCH($A66,KW_TP!$A$2:$A$2501,1))))</f>
        <v/>
      </c>
      <c r="Q66" s="18">
        <f>IF(NOT(ISNUMBER($A66)),NA(),IFERROR(1*INDEX(BBG_Data!$J$2:$J$4000,MATCH($A66,BBG_Data!$I$2:$I$4000,0)),NA()))</f>
        <v/>
      </c>
      <c r="R66" s="18">
        <f>IF(NOT(ISNUMBER($A66)),NA(),IFERROR(1*INDEX(BBG_Data!$L$2:$L$4000,MATCH($A66,BBG_Data!$K$2:$K$4000,0)),NA()))</f>
        <v/>
      </c>
      <c r="S66" s="20">
        <f>IF(AND(ISNUMBER(B66),ISNUMBER(Q66),ISNUMBER(R66)),(B66-Q66-R66)*100,NA())</f>
        <v/>
      </c>
      <c r="T66" s="20">
        <f>IF(AND(ISNUMBER(B66),Settings!$B$17&gt;0),IF(ISNUMBER(INDEX($B:$B,Settings!$B$17)),(B66-INDEX($B:$B,Settings!$B$17))*100,NA()),NA())</f>
        <v/>
      </c>
      <c r="U66" s="20">
        <f>IF(AND(ISNUMBER(Q66),Settings!$B$17&gt;0),IF(ISNUMBER(INDEX($Q:$Q,Settings!$B$17)),(Q66-INDEX($Q:$Q,Settings!$B$17))*100,NA()),NA())</f>
        <v/>
      </c>
      <c r="V66" s="20">
        <f>IF(AND(ISNUMBER(R66),Settings!$B$17&gt;0),IF(ISNUMBER(INDEX($R:$R,Settings!$B$17)),(R66-INDEX($R:$R,Settings!$B$17))*100,NA()),NA())</f>
        <v/>
      </c>
      <c r="W66" s="20">
        <f>IF(AND(ISNUMBER(P66),Settings!$B$17&gt;0),IF(ISNUMBER(INDEX($P:$P,Settings!$B$17)),P66-INDEX($P:$P,Settings!$B$17),NA()),NA())</f>
        <v/>
      </c>
      <c r="X66" s="19">
        <f>IF(NOT(ISNUMBER($A66)),NA(),IF(OR($A66&lt;MIN(DKW_10Y!$A$2:$A$2918),$A66&gt;MAX(DKW_10Y!$A$2:$A$2918),Settings!$B$16&lt;MIN(DKW_10Y!$A$2:$A$2918)),NA(),(INDEX(DKW_10Y!$B$2:$B$2918,MATCH($A66,DKW_10Y!$A$2:$A$2918,1))-INDEX(DKW_10Y!$B$2:$B$2918,MATCH(Settings!$B$16,DKW_10Y!$A$2:$A$2918,1)))*100))</f>
        <v/>
      </c>
      <c r="Y66" s="19">
        <f>IF(NOT(ISNUMBER($A66)),NA(),IF(OR($A66&lt;MIN(DKW_10Y!$A$2:$A$2918),$A66&gt;MAX(DKW_10Y!$A$2:$A$2918),Settings!$B$16&lt;MIN(DKW_10Y!$A$2:$A$2918)),NA(),(INDEX(DKW_10Y!$C$2:$C$2918,MATCH($A66,DKW_10Y!$A$2:$A$2918,1))-INDEX(DKW_10Y!$C$2:$C$2918,MATCH(Settings!$B$16,DKW_10Y!$A$2:$A$2918,1)))*100))</f>
        <v/>
      </c>
      <c r="Z66" s="19">
        <f>IF(NOT(ISNUMBER($A66)),NA(),IF(OR($A66&lt;MIN(DKW_10Y!$A$2:$A$2918),$A66&gt;MAX(DKW_10Y!$A$2:$A$2918),Settings!$B$16&lt;MIN(DKW_10Y!$A$2:$A$2918)),NA(),(INDEX(DKW_10Y!$D$2:$D$2918,MATCH($A66,DKW_10Y!$A$2:$A$2918,1))-INDEX(DKW_10Y!$D$2:$D$2918,MATCH(Settings!$B$16,DKW_10Y!$A$2:$A$2918,1)))*100))</f>
        <v/>
      </c>
      <c r="AA66" s="19">
        <f>IF(NOT(ISNUMBER($A66)),NA(),IF(OR($A66&lt;MIN(DKW_10Y!$A$2:$A$2918),$A66&gt;MAX(DKW_10Y!$A$2:$A$2918),Settings!$B$16&lt;MIN(DKW_10Y!$A$2:$A$2918)),NA(),(INDEX(DKW_10Y!$E$2:$E$2918,MATCH($A66,DKW_10Y!$A$2:$A$2918,1))-INDEX(DKW_10Y!$E$2:$E$2918,MATCH(Settings!$B$16,DKW_10Y!$A$2:$A$2918,1)))*100))</f>
        <v/>
      </c>
      <c r="AB66" s="19">
        <f>IF(NOT(ISNUMBER($A66)),NA(),IF(OR($A66&lt;MIN(DKW_10Y!$A$2:$A$2918),$A66&gt;MAX(DKW_10Y!$A$2:$A$2918),Settings!$B$16&lt;MIN(DKW_10Y!$A$2:$A$2918)),NA(),(INDEX(DKW_10Y!$H$2:$H$2918,MATCH($A66,DKW_10Y!$A$2:$A$2918,1))-INDEX(DKW_10Y!$H$2:$H$2918,MATCH(Settings!$B$16,DKW_10Y!$A$2:$A$2918,1)))*100))</f>
        <v/>
      </c>
      <c r="AC66" s="18">
        <f>IF(NOT(ISNUMBER($A66)),NA(),IFERROR(1*INDEX(BBG_Data!$N$2:$N$4000,MATCH($A66,BBG_Data!$M$2:$M$4000,0)),NA()))</f>
        <v/>
      </c>
      <c r="AD66" s="18">
        <f>IF(NOT(ISNUMBER($A66)),NA(),IFERROR(1*INDEX(BBG_Data!$P$2:$P$4000,MATCH($A66,BBG_Data!$O$2:$O$4000,0)),NA()))</f>
        <v/>
      </c>
      <c r="AE66" s="18">
        <f>IF(NOT(ISNUMBER($A66)),NA(),IFERROR(1*INDEX(BBG_Data!$R$2:$R$4000,MATCH($A66,BBG_Data!$Q$2:$Q$4000,0)),NA()))</f>
        <v/>
      </c>
      <c r="AF66" s="20">
        <f>IF(AND(ISNUMBER(B66),ISNUMBER(AC66)),(B66-AC66)*100,NA())</f>
        <v/>
      </c>
      <c r="AG66" s="20">
        <f>IF(AND(ISNUMBER(AE66),ISNUMBER(AD66)),(AE66-AD66)*100,NA())</f>
        <v/>
      </c>
      <c r="AH66" s="19">
        <f>IF(NOT(ISNUMBER($A66)),NA(),IFERROR(INDEX(BBG_Data!$T$2:$T$4000,MATCH($A66,BBG_Data!$S$2:$S$4000,0))*Settings!$B$25,NA()))</f>
        <v/>
      </c>
      <c r="AI66" s="19">
        <f>IF(NOT(ISNUMBER($A66)),NA(),IFERROR(INDEX(BBG_Data!$V$2:$V$4000,MATCH($A66,BBG_Data!$U$2:$U$4000,0))*Settings!$B$25,NA()))</f>
        <v/>
      </c>
      <c r="AJ66" s="19">
        <f>IF(NOT(ISNUMBER($A66)),NA(),IFERROR(1*INDEX(BBG_Data!$X$2:$X$4000,MATCH($A66,BBG_Data!$W$2:$W$4000,0)),NA()))</f>
        <v/>
      </c>
      <c r="AK66" s="19">
        <f>IF(NOT(ISNUMBER($A66)),NA(),IFERROR(1*INDEX(BBG_Data!$Z$2:$Z$4000,MATCH($A66,BBG_Data!$Y$2:$Y$4000,0)),NA()))</f>
        <v/>
      </c>
    </row>
    <row r="67">
      <c r="A67" s="17">
        <f>IF(ISNUMBER(BBG_Data!A67),BBG_Data!A67,"")</f>
        <v/>
      </c>
      <c r="B67" s="18">
        <f>IF(AND(ISNUMBER($A67),ISNUMBER(BBG_Data!B67)),BBG_Data!B67,NA())</f>
        <v/>
      </c>
      <c r="C67" s="18">
        <f>IF(NOT(ISNUMBER($A67)),NA(),IFERROR(1*INDEX(BBG_Data!$D$2:$D$4000,MATCH($A67,BBG_Data!$C$2:$C$4000,0)),NA()))</f>
        <v/>
      </c>
      <c r="D67" s="19">
        <f>IF(NOT(ISNUMBER($A67)),NA(),IFERROR(1*INDEX(BBG_Data!$F$2:$F$4000,MATCH($A67,BBG_Data!$E$2:$E$4000,0)),NA()))</f>
        <v/>
      </c>
      <c r="E67" s="19">
        <f>IF(NOT(ISNUMBER($A67)),NA(),IFERROR(1*INDEX(BBG_Data!$H$2:$H$4000,MATCH($A67,BBG_Data!$G$2:$G$4000,0)),NA()))</f>
        <v/>
      </c>
      <c r="F67" s="20">
        <f>IF(AND(ISNUMBER(B67),ISNUMBER(B66)),IF(B67=B66,"",(B67-B66)*100),"")</f>
        <v/>
      </c>
      <c r="G67" s="20">
        <f>IF(AND(ISNUMBER(C67),ISNUMBER(C66)),IF(C67=C66,"",(C67-C66)*100),"")</f>
        <v/>
      </c>
      <c r="H67" s="20">
        <f>IF(OR(NOT(ISNUMBER($A67)),ROW()-2&lt;Settings!$B$11),NA(),IF(COUNT(OFFSET(F67,1-Settings!$B$11,0,Settings!$B$11,1))&lt;ROUNDUP(Settings!$B$11*Settings!$B$26,0),NA(),STDEV(OFFSET(F67,1-Settings!$B$11,0,Settings!$B$11,1))*SQRT(Settings!$B$13)))</f>
        <v/>
      </c>
      <c r="I67" s="20">
        <f>IF(OR(NOT(ISNUMBER($A67)),ROW()-2&lt;Settings!$B$12),NA(),IF(COUNT(OFFSET(F67,1-Settings!$B$12,0,Settings!$B$12,1))&lt;ROUNDUP(Settings!$B$12*Settings!$B$26,0),NA(),STDEV(OFFSET(F67,1-Settings!$B$12,0,Settings!$B$12,1))*SQRT(Settings!$B$13)))</f>
        <v/>
      </c>
      <c r="J67" s="20">
        <f>IF(OR(NOT(ISNUMBER($A67)),ROW()-2&lt;Settings!$B$11),NA(),IF(COUNT(OFFSET(G67,1-Settings!$B$11,0,Settings!$B$11,1))&lt;ROUNDUP(Settings!$B$11*Settings!$B$26,0),NA(),STDEV(OFFSET(G67,1-Settings!$B$11,0,Settings!$B$11,1))*SQRT(Settings!$B$13)))</f>
        <v/>
      </c>
      <c r="K67" s="20">
        <f>IF(OR(NOT(ISNUMBER($A67)),ROW()-2&lt;Settings!$B$12),NA(),IF(COUNT(OFFSET(G67,1-Settings!$B$12,0,Settings!$B$12,1))&lt;ROUNDUP(Settings!$B$12*Settings!$B$26,0),NA(),STDEV(OFFSET(G67,1-Settings!$B$12,0,Settings!$B$12,1))*SQRT(Settings!$B$13)))</f>
        <v/>
      </c>
      <c r="L67" s="20">
        <f>IF(AND(ISNUMBER(D67),ISNUMBER(H67)),D67-H67,NA())</f>
        <v/>
      </c>
      <c r="M67" s="20">
        <f>IF(AND(ISNUMBER(E67),ISNUMBER(K67)),E67-K67,NA())</f>
        <v/>
      </c>
      <c r="N67" s="20">
        <f>IF(NOT(ISNUMBER($A67)),NA(),IF(COUNT(OFFSET(G67,1,0,Settings!$B$12,1))&lt;ROUNDUP(Settings!$B$12*Settings!$B$26,0),NA(),STDEV(OFFSET(G67,1,0,Settings!$B$12,1))*SQRT(Settings!$B$13)))</f>
        <v/>
      </c>
      <c r="O67" s="20">
        <f>IF(AND(ISNUMBER(E67),ISNUMBER(N67)),E67-N67,NA())</f>
        <v/>
      </c>
      <c r="P67" s="19">
        <f>IF(NOT(ISNUMBER($A67)),NA(),IF(OR($A67&lt;MIN(KW_TP!$A$2:$A$2501),$A67&gt;MAX(KW_TP!$A$2:$A$2501)),NA(),INDEX(KW_TP!$C$2:$C$2501,MATCH($A67,KW_TP!$A$2:$A$2501,1))))</f>
        <v/>
      </c>
      <c r="Q67" s="18">
        <f>IF(NOT(ISNUMBER($A67)),NA(),IFERROR(1*INDEX(BBG_Data!$J$2:$J$4000,MATCH($A67,BBG_Data!$I$2:$I$4000,0)),NA()))</f>
        <v/>
      </c>
      <c r="R67" s="18">
        <f>IF(NOT(ISNUMBER($A67)),NA(),IFERROR(1*INDEX(BBG_Data!$L$2:$L$4000,MATCH($A67,BBG_Data!$K$2:$K$4000,0)),NA()))</f>
        <v/>
      </c>
      <c r="S67" s="20">
        <f>IF(AND(ISNUMBER(B67),ISNUMBER(Q67),ISNUMBER(R67)),(B67-Q67-R67)*100,NA())</f>
        <v/>
      </c>
      <c r="T67" s="20">
        <f>IF(AND(ISNUMBER(B67),Settings!$B$17&gt;0),IF(ISNUMBER(INDEX($B:$B,Settings!$B$17)),(B67-INDEX($B:$B,Settings!$B$17))*100,NA()),NA())</f>
        <v/>
      </c>
      <c r="U67" s="20">
        <f>IF(AND(ISNUMBER(Q67),Settings!$B$17&gt;0),IF(ISNUMBER(INDEX($Q:$Q,Settings!$B$17)),(Q67-INDEX($Q:$Q,Settings!$B$17))*100,NA()),NA())</f>
        <v/>
      </c>
      <c r="V67" s="20">
        <f>IF(AND(ISNUMBER(R67),Settings!$B$17&gt;0),IF(ISNUMBER(INDEX($R:$R,Settings!$B$17)),(R67-INDEX($R:$R,Settings!$B$17))*100,NA()),NA())</f>
        <v/>
      </c>
      <c r="W67" s="20">
        <f>IF(AND(ISNUMBER(P67),Settings!$B$17&gt;0),IF(ISNUMBER(INDEX($P:$P,Settings!$B$17)),P67-INDEX($P:$P,Settings!$B$17),NA()),NA())</f>
        <v/>
      </c>
      <c r="X67" s="19">
        <f>IF(NOT(ISNUMBER($A67)),NA(),IF(OR($A67&lt;MIN(DKW_10Y!$A$2:$A$2918),$A67&gt;MAX(DKW_10Y!$A$2:$A$2918),Settings!$B$16&lt;MIN(DKW_10Y!$A$2:$A$2918)),NA(),(INDEX(DKW_10Y!$B$2:$B$2918,MATCH($A67,DKW_10Y!$A$2:$A$2918,1))-INDEX(DKW_10Y!$B$2:$B$2918,MATCH(Settings!$B$16,DKW_10Y!$A$2:$A$2918,1)))*100))</f>
        <v/>
      </c>
      <c r="Y67" s="19">
        <f>IF(NOT(ISNUMBER($A67)),NA(),IF(OR($A67&lt;MIN(DKW_10Y!$A$2:$A$2918),$A67&gt;MAX(DKW_10Y!$A$2:$A$2918),Settings!$B$16&lt;MIN(DKW_10Y!$A$2:$A$2918)),NA(),(INDEX(DKW_10Y!$C$2:$C$2918,MATCH($A67,DKW_10Y!$A$2:$A$2918,1))-INDEX(DKW_10Y!$C$2:$C$2918,MATCH(Settings!$B$16,DKW_10Y!$A$2:$A$2918,1)))*100))</f>
        <v/>
      </c>
      <c r="Z67" s="19">
        <f>IF(NOT(ISNUMBER($A67)),NA(),IF(OR($A67&lt;MIN(DKW_10Y!$A$2:$A$2918),$A67&gt;MAX(DKW_10Y!$A$2:$A$2918),Settings!$B$16&lt;MIN(DKW_10Y!$A$2:$A$2918)),NA(),(INDEX(DKW_10Y!$D$2:$D$2918,MATCH($A67,DKW_10Y!$A$2:$A$2918,1))-INDEX(DKW_10Y!$D$2:$D$2918,MATCH(Settings!$B$16,DKW_10Y!$A$2:$A$2918,1)))*100))</f>
        <v/>
      </c>
      <c r="AA67" s="19">
        <f>IF(NOT(ISNUMBER($A67)),NA(),IF(OR($A67&lt;MIN(DKW_10Y!$A$2:$A$2918),$A67&gt;MAX(DKW_10Y!$A$2:$A$2918),Settings!$B$16&lt;MIN(DKW_10Y!$A$2:$A$2918)),NA(),(INDEX(DKW_10Y!$E$2:$E$2918,MATCH($A67,DKW_10Y!$A$2:$A$2918,1))-INDEX(DKW_10Y!$E$2:$E$2918,MATCH(Settings!$B$16,DKW_10Y!$A$2:$A$2918,1)))*100))</f>
        <v/>
      </c>
      <c r="AB67" s="19">
        <f>IF(NOT(ISNUMBER($A67)),NA(),IF(OR($A67&lt;MIN(DKW_10Y!$A$2:$A$2918),$A67&gt;MAX(DKW_10Y!$A$2:$A$2918),Settings!$B$16&lt;MIN(DKW_10Y!$A$2:$A$2918)),NA(),(INDEX(DKW_10Y!$H$2:$H$2918,MATCH($A67,DKW_10Y!$A$2:$A$2918,1))-INDEX(DKW_10Y!$H$2:$H$2918,MATCH(Settings!$B$16,DKW_10Y!$A$2:$A$2918,1)))*100))</f>
        <v/>
      </c>
      <c r="AC67" s="18">
        <f>IF(NOT(ISNUMBER($A67)),NA(),IFERROR(1*INDEX(BBG_Data!$N$2:$N$4000,MATCH($A67,BBG_Data!$M$2:$M$4000,0)),NA()))</f>
        <v/>
      </c>
      <c r="AD67" s="18">
        <f>IF(NOT(ISNUMBER($A67)),NA(),IFERROR(1*INDEX(BBG_Data!$P$2:$P$4000,MATCH($A67,BBG_Data!$O$2:$O$4000,0)),NA()))</f>
        <v/>
      </c>
      <c r="AE67" s="18">
        <f>IF(NOT(ISNUMBER($A67)),NA(),IFERROR(1*INDEX(BBG_Data!$R$2:$R$4000,MATCH($A67,BBG_Data!$Q$2:$Q$4000,0)),NA()))</f>
        <v/>
      </c>
      <c r="AF67" s="20">
        <f>IF(AND(ISNUMBER(B67),ISNUMBER(AC67)),(B67-AC67)*100,NA())</f>
        <v/>
      </c>
      <c r="AG67" s="20">
        <f>IF(AND(ISNUMBER(AE67),ISNUMBER(AD67)),(AE67-AD67)*100,NA())</f>
        <v/>
      </c>
      <c r="AH67" s="19">
        <f>IF(NOT(ISNUMBER($A67)),NA(),IFERROR(INDEX(BBG_Data!$T$2:$T$4000,MATCH($A67,BBG_Data!$S$2:$S$4000,0))*Settings!$B$25,NA()))</f>
        <v/>
      </c>
      <c r="AI67" s="19">
        <f>IF(NOT(ISNUMBER($A67)),NA(),IFERROR(INDEX(BBG_Data!$V$2:$V$4000,MATCH($A67,BBG_Data!$U$2:$U$4000,0))*Settings!$B$25,NA()))</f>
        <v/>
      </c>
      <c r="AJ67" s="19">
        <f>IF(NOT(ISNUMBER($A67)),NA(),IFERROR(1*INDEX(BBG_Data!$X$2:$X$4000,MATCH($A67,BBG_Data!$W$2:$W$4000,0)),NA()))</f>
        <v/>
      </c>
      <c r="AK67" s="19">
        <f>IF(NOT(ISNUMBER($A67)),NA(),IFERROR(1*INDEX(BBG_Data!$Z$2:$Z$4000,MATCH($A67,BBG_Data!$Y$2:$Y$4000,0)),NA()))</f>
        <v/>
      </c>
    </row>
    <row r="68">
      <c r="A68" s="17">
        <f>IF(ISNUMBER(BBG_Data!A68),BBG_Data!A68,"")</f>
        <v/>
      </c>
      <c r="B68" s="18">
        <f>IF(AND(ISNUMBER($A68),ISNUMBER(BBG_Data!B68)),BBG_Data!B68,NA())</f>
        <v/>
      </c>
      <c r="C68" s="18">
        <f>IF(NOT(ISNUMBER($A68)),NA(),IFERROR(1*INDEX(BBG_Data!$D$2:$D$4000,MATCH($A68,BBG_Data!$C$2:$C$4000,0)),NA()))</f>
        <v/>
      </c>
      <c r="D68" s="19">
        <f>IF(NOT(ISNUMBER($A68)),NA(),IFERROR(1*INDEX(BBG_Data!$F$2:$F$4000,MATCH($A68,BBG_Data!$E$2:$E$4000,0)),NA()))</f>
        <v/>
      </c>
      <c r="E68" s="19">
        <f>IF(NOT(ISNUMBER($A68)),NA(),IFERROR(1*INDEX(BBG_Data!$H$2:$H$4000,MATCH($A68,BBG_Data!$G$2:$G$4000,0)),NA()))</f>
        <v/>
      </c>
      <c r="F68" s="20">
        <f>IF(AND(ISNUMBER(B68),ISNUMBER(B67)),IF(B68=B67,"",(B68-B67)*100),"")</f>
        <v/>
      </c>
      <c r="G68" s="20">
        <f>IF(AND(ISNUMBER(C68),ISNUMBER(C67)),IF(C68=C67,"",(C68-C67)*100),"")</f>
        <v/>
      </c>
      <c r="H68" s="20">
        <f>IF(OR(NOT(ISNUMBER($A68)),ROW()-2&lt;Settings!$B$11),NA(),IF(COUNT(OFFSET(F68,1-Settings!$B$11,0,Settings!$B$11,1))&lt;ROUNDUP(Settings!$B$11*Settings!$B$26,0),NA(),STDEV(OFFSET(F68,1-Settings!$B$11,0,Settings!$B$11,1))*SQRT(Settings!$B$13)))</f>
        <v/>
      </c>
      <c r="I68" s="20">
        <f>IF(OR(NOT(ISNUMBER($A68)),ROW()-2&lt;Settings!$B$12),NA(),IF(COUNT(OFFSET(F68,1-Settings!$B$12,0,Settings!$B$12,1))&lt;ROUNDUP(Settings!$B$12*Settings!$B$26,0),NA(),STDEV(OFFSET(F68,1-Settings!$B$12,0,Settings!$B$12,1))*SQRT(Settings!$B$13)))</f>
        <v/>
      </c>
      <c r="J68" s="20">
        <f>IF(OR(NOT(ISNUMBER($A68)),ROW()-2&lt;Settings!$B$11),NA(),IF(COUNT(OFFSET(G68,1-Settings!$B$11,0,Settings!$B$11,1))&lt;ROUNDUP(Settings!$B$11*Settings!$B$26,0),NA(),STDEV(OFFSET(G68,1-Settings!$B$11,0,Settings!$B$11,1))*SQRT(Settings!$B$13)))</f>
        <v/>
      </c>
      <c r="K68" s="20">
        <f>IF(OR(NOT(ISNUMBER($A68)),ROW()-2&lt;Settings!$B$12),NA(),IF(COUNT(OFFSET(G68,1-Settings!$B$12,0,Settings!$B$12,1))&lt;ROUNDUP(Settings!$B$12*Settings!$B$26,0),NA(),STDEV(OFFSET(G68,1-Settings!$B$12,0,Settings!$B$12,1))*SQRT(Settings!$B$13)))</f>
        <v/>
      </c>
      <c r="L68" s="20">
        <f>IF(AND(ISNUMBER(D68),ISNUMBER(H68)),D68-H68,NA())</f>
        <v/>
      </c>
      <c r="M68" s="20">
        <f>IF(AND(ISNUMBER(E68),ISNUMBER(K68)),E68-K68,NA())</f>
        <v/>
      </c>
      <c r="N68" s="20">
        <f>IF(NOT(ISNUMBER($A68)),NA(),IF(COUNT(OFFSET(G68,1,0,Settings!$B$12,1))&lt;ROUNDUP(Settings!$B$12*Settings!$B$26,0),NA(),STDEV(OFFSET(G68,1,0,Settings!$B$12,1))*SQRT(Settings!$B$13)))</f>
        <v/>
      </c>
      <c r="O68" s="20">
        <f>IF(AND(ISNUMBER(E68),ISNUMBER(N68)),E68-N68,NA())</f>
        <v/>
      </c>
      <c r="P68" s="19">
        <f>IF(NOT(ISNUMBER($A68)),NA(),IF(OR($A68&lt;MIN(KW_TP!$A$2:$A$2501),$A68&gt;MAX(KW_TP!$A$2:$A$2501)),NA(),INDEX(KW_TP!$C$2:$C$2501,MATCH($A68,KW_TP!$A$2:$A$2501,1))))</f>
        <v/>
      </c>
      <c r="Q68" s="18">
        <f>IF(NOT(ISNUMBER($A68)),NA(),IFERROR(1*INDEX(BBG_Data!$J$2:$J$4000,MATCH($A68,BBG_Data!$I$2:$I$4000,0)),NA()))</f>
        <v/>
      </c>
      <c r="R68" s="18">
        <f>IF(NOT(ISNUMBER($A68)),NA(),IFERROR(1*INDEX(BBG_Data!$L$2:$L$4000,MATCH($A68,BBG_Data!$K$2:$K$4000,0)),NA()))</f>
        <v/>
      </c>
      <c r="S68" s="20">
        <f>IF(AND(ISNUMBER(B68),ISNUMBER(Q68),ISNUMBER(R68)),(B68-Q68-R68)*100,NA())</f>
        <v/>
      </c>
      <c r="T68" s="20">
        <f>IF(AND(ISNUMBER(B68),Settings!$B$17&gt;0),IF(ISNUMBER(INDEX($B:$B,Settings!$B$17)),(B68-INDEX($B:$B,Settings!$B$17))*100,NA()),NA())</f>
        <v/>
      </c>
      <c r="U68" s="20">
        <f>IF(AND(ISNUMBER(Q68),Settings!$B$17&gt;0),IF(ISNUMBER(INDEX($Q:$Q,Settings!$B$17)),(Q68-INDEX($Q:$Q,Settings!$B$17))*100,NA()),NA())</f>
        <v/>
      </c>
      <c r="V68" s="20">
        <f>IF(AND(ISNUMBER(R68),Settings!$B$17&gt;0),IF(ISNUMBER(INDEX($R:$R,Settings!$B$17)),(R68-INDEX($R:$R,Settings!$B$17))*100,NA()),NA())</f>
        <v/>
      </c>
      <c r="W68" s="20">
        <f>IF(AND(ISNUMBER(P68),Settings!$B$17&gt;0),IF(ISNUMBER(INDEX($P:$P,Settings!$B$17)),P68-INDEX($P:$P,Settings!$B$17),NA()),NA())</f>
        <v/>
      </c>
      <c r="X68" s="19">
        <f>IF(NOT(ISNUMBER($A68)),NA(),IF(OR($A68&lt;MIN(DKW_10Y!$A$2:$A$2918),$A68&gt;MAX(DKW_10Y!$A$2:$A$2918),Settings!$B$16&lt;MIN(DKW_10Y!$A$2:$A$2918)),NA(),(INDEX(DKW_10Y!$B$2:$B$2918,MATCH($A68,DKW_10Y!$A$2:$A$2918,1))-INDEX(DKW_10Y!$B$2:$B$2918,MATCH(Settings!$B$16,DKW_10Y!$A$2:$A$2918,1)))*100))</f>
        <v/>
      </c>
      <c r="Y68" s="19">
        <f>IF(NOT(ISNUMBER($A68)),NA(),IF(OR($A68&lt;MIN(DKW_10Y!$A$2:$A$2918),$A68&gt;MAX(DKW_10Y!$A$2:$A$2918),Settings!$B$16&lt;MIN(DKW_10Y!$A$2:$A$2918)),NA(),(INDEX(DKW_10Y!$C$2:$C$2918,MATCH($A68,DKW_10Y!$A$2:$A$2918,1))-INDEX(DKW_10Y!$C$2:$C$2918,MATCH(Settings!$B$16,DKW_10Y!$A$2:$A$2918,1)))*100))</f>
        <v/>
      </c>
      <c r="Z68" s="19">
        <f>IF(NOT(ISNUMBER($A68)),NA(),IF(OR($A68&lt;MIN(DKW_10Y!$A$2:$A$2918),$A68&gt;MAX(DKW_10Y!$A$2:$A$2918),Settings!$B$16&lt;MIN(DKW_10Y!$A$2:$A$2918)),NA(),(INDEX(DKW_10Y!$D$2:$D$2918,MATCH($A68,DKW_10Y!$A$2:$A$2918,1))-INDEX(DKW_10Y!$D$2:$D$2918,MATCH(Settings!$B$16,DKW_10Y!$A$2:$A$2918,1)))*100))</f>
        <v/>
      </c>
      <c r="AA68" s="19">
        <f>IF(NOT(ISNUMBER($A68)),NA(),IF(OR($A68&lt;MIN(DKW_10Y!$A$2:$A$2918),$A68&gt;MAX(DKW_10Y!$A$2:$A$2918),Settings!$B$16&lt;MIN(DKW_10Y!$A$2:$A$2918)),NA(),(INDEX(DKW_10Y!$E$2:$E$2918,MATCH($A68,DKW_10Y!$A$2:$A$2918,1))-INDEX(DKW_10Y!$E$2:$E$2918,MATCH(Settings!$B$16,DKW_10Y!$A$2:$A$2918,1)))*100))</f>
        <v/>
      </c>
      <c r="AB68" s="19">
        <f>IF(NOT(ISNUMBER($A68)),NA(),IF(OR($A68&lt;MIN(DKW_10Y!$A$2:$A$2918),$A68&gt;MAX(DKW_10Y!$A$2:$A$2918),Settings!$B$16&lt;MIN(DKW_10Y!$A$2:$A$2918)),NA(),(INDEX(DKW_10Y!$H$2:$H$2918,MATCH($A68,DKW_10Y!$A$2:$A$2918,1))-INDEX(DKW_10Y!$H$2:$H$2918,MATCH(Settings!$B$16,DKW_10Y!$A$2:$A$2918,1)))*100))</f>
        <v/>
      </c>
      <c r="AC68" s="18">
        <f>IF(NOT(ISNUMBER($A68)),NA(),IFERROR(1*INDEX(BBG_Data!$N$2:$N$4000,MATCH($A68,BBG_Data!$M$2:$M$4000,0)),NA()))</f>
        <v/>
      </c>
      <c r="AD68" s="18">
        <f>IF(NOT(ISNUMBER($A68)),NA(),IFERROR(1*INDEX(BBG_Data!$P$2:$P$4000,MATCH($A68,BBG_Data!$O$2:$O$4000,0)),NA()))</f>
        <v/>
      </c>
      <c r="AE68" s="18">
        <f>IF(NOT(ISNUMBER($A68)),NA(),IFERROR(1*INDEX(BBG_Data!$R$2:$R$4000,MATCH($A68,BBG_Data!$Q$2:$Q$4000,0)),NA()))</f>
        <v/>
      </c>
      <c r="AF68" s="20">
        <f>IF(AND(ISNUMBER(B68),ISNUMBER(AC68)),(B68-AC68)*100,NA())</f>
        <v/>
      </c>
      <c r="AG68" s="20">
        <f>IF(AND(ISNUMBER(AE68),ISNUMBER(AD68)),(AE68-AD68)*100,NA())</f>
        <v/>
      </c>
      <c r="AH68" s="19">
        <f>IF(NOT(ISNUMBER($A68)),NA(),IFERROR(INDEX(BBG_Data!$T$2:$T$4000,MATCH($A68,BBG_Data!$S$2:$S$4000,0))*Settings!$B$25,NA()))</f>
        <v/>
      </c>
      <c r="AI68" s="19">
        <f>IF(NOT(ISNUMBER($A68)),NA(),IFERROR(INDEX(BBG_Data!$V$2:$V$4000,MATCH($A68,BBG_Data!$U$2:$U$4000,0))*Settings!$B$25,NA()))</f>
        <v/>
      </c>
      <c r="AJ68" s="19">
        <f>IF(NOT(ISNUMBER($A68)),NA(),IFERROR(1*INDEX(BBG_Data!$X$2:$X$4000,MATCH($A68,BBG_Data!$W$2:$W$4000,0)),NA()))</f>
        <v/>
      </c>
      <c r="AK68" s="19">
        <f>IF(NOT(ISNUMBER($A68)),NA(),IFERROR(1*INDEX(BBG_Data!$Z$2:$Z$4000,MATCH($A68,BBG_Data!$Y$2:$Y$4000,0)),NA()))</f>
        <v/>
      </c>
    </row>
    <row r="69">
      <c r="A69" s="17">
        <f>IF(ISNUMBER(BBG_Data!A69),BBG_Data!A69,"")</f>
        <v/>
      </c>
      <c r="B69" s="18">
        <f>IF(AND(ISNUMBER($A69),ISNUMBER(BBG_Data!B69)),BBG_Data!B69,NA())</f>
        <v/>
      </c>
      <c r="C69" s="18">
        <f>IF(NOT(ISNUMBER($A69)),NA(),IFERROR(1*INDEX(BBG_Data!$D$2:$D$4000,MATCH($A69,BBG_Data!$C$2:$C$4000,0)),NA()))</f>
        <v/>
      </c>
      <c r="D69" s="19">
        <f>IF(NOT(ISNUMBER($A69)),NA(),IFERROR(1*INDEX(BBG_Data!$F$2:$F$4000,MATCH($A69,BBG_Data!$E$2:$E$4000,0)),NA()))</f>
        <v/>
      </c>
      <c r="E69" s="19">
        <f>IF(NOT(ISNUMBER($A69)),NA(),IFERROR(1*INDEX(BBG_Data!$H$2:$H$4000,MATCH($A69,BBG_Data!$G$2:$G$4000,0)),NA()))</f>
        <v/>
      </c>
      <c r="F69" s="20">
        <f>IF(AND(ISNUMBER(B69),ISNUMBER(B68)),IF(B69=B68,"",(B69-B68)*100),"")</f>
        <v/>
      </c>
      <c r="G69" s="20">
        <f>IF(AND(ISNUMBER(C69),ISNUMBER(C68)),IF(C69=C68,"",(C69-C68)*100),"")</f>
        <v/>
      </c>
      <c r="H69" s="20">
        <f>IF(OR(NOT(ISNUMBER($A69)),ROW()-2&lt;Settings!$B$11),NA(),IF(COUNT(OFFSET(F69,1-Settings!$B$11,0,Settings!$B$11,1))&lt;ROUNDUP(Settings!$B$11*Settings!$B$26,0),NA(),STDEV(OFFSET(F69,1-Settings!$B$11,0,Settings!$B$11,1))*SQRT(Settings!$B$13)))</f>
        <v/>
      </c>
      <c r="I69" s="20">
        <f>IF(OR(NOT(ISNUMBER($A69)),ROW()-2&lt;Settings!$B$12),NA(),IF(COUNT(OFFSET(F69,1-Settings!$B$12,0,Settings!$B$12,1))&lt;ROUNDUP(Settings!$B$12*Settings!$B$26,0),NA(),STDEV(OFFSET(F69,1-Settings!$B$12,0,Settings!$B$12,1))*SQRT(Settings!$B$13)))</f>
        <v/>
      </c>
      <c r="J69" s="20">
        <f>IF(OR(NOT(ISNUMBER($A69)),ROW()-2&lt;Settings!$B$11),NA(),IF(COUNT(OFFSET(G69,1-Settings!$B$11,0,Settings!$B$11,1))&lt;ROUNDUP(Settings!$B$11*Settings!$B$26,0),NA(),STDEV(OFFSET(G69,1-Settings!$B$11,0,Settings!$B$11,1))*SQRT(Settings!$B$13)))</f>
        <v/>
      </c>
      <c r="K69" s="20">
        <f>IF(OR(NOT(ISNUMBER($A69)),ROW()-2&lt;Settings!$B$12),NA(),IF(COUNT(OFFSET(G69,1-Settings!$B$12,0,Settings!$B$12,1))&lt;ROUNDUP(Settings!$B$12*Settings!$B$26,0),NA(),STDEV(OFFSET(G69,1-Settings!$B$12,0,Settings!$B$12,1))*SQRT(Settings!$B$13)))</f>
        <v/>
      </c>
      <c r="L69" s="20">
        <f>IF(AND(ISNUMBER(D69),ISNUMBER(H69)),D69-H69,NA())</f>
        <v/>
      </c>
      <c r="M69" s="20">
        <f>IF(AND(ISNUMBER(E69),ISNUMBER(K69)),E69-K69,NA())</f>
        <v/>
      </c>
      <c r="N69" s="20">
        <f>IF(NOT(ISNUMBER($A69)),NA(),IF(COUNT(OFFSET(G69,1,0,Settings!$B$12,1))&lt;ROUNDUP(Settings!$B$12*Settings!$B$26,0),NA(),STDEV(OFFSET(G69,1,0,Settings!$B$12,1))*SQRT(Settings!$B$13)))</f>
        <v/>
      </c>
      <c r="O69" s="20">
        <f>IF(AND(ISNUMBER(E69),ISNUMBER(N69)),E69-N69,NA())</f>
        <v/>
      </c>
      <c r="P69" s="19">
        <f>IF(NOT(ISNUMBER($A69)),NA(),IF(OR($A69&lt;MIN(KW_TP!$A$2:$A$2501),$A69&gt;MAX(KW_TP!$A$2:$A$2501)),NA(),INDEX(KW_TP!$C$2:$C$2501,MATCH($A69,KW_TP!$A$2:$A$2501,1))))</f>
        <v/>
      </c>
      <c r="Q69" s="18">
        <f>IF(NOT(ISNUMBER($A69)),NA(),IFERROR(1*INDEX(BBG_Data!$J$2:$J$4000,MATCH($A69,BBG_Data!$I$2:$I$4000,0)),NA()))</f>
        <v/>
      </c>
      <c r="R69" s="18">
        <f>IF(NOT(ISNUMBER($A69)),NA(),IFERROR(1*INDEX(BBG_Data!$L$2:$L$4000,MATCH($A69,BBG_Data!$K$2:$K$4000,0)),NA()))</f>
        <v/>
      </c>
      <c r="S69" s="20">
        <f>IF(AND(ISNUMBER(B69),ISNUMBER(Q69),ISNUMBER(R69)),(B69-Q69-R69)*100,NA())</f>
        <v/>
      </c>
      <c r="T69" s="20">
        <f>IF(AND(ISNUMBER(B69),Settings!$B$17&gt;0),IF(ISNUMBER(INDEX($B:$B,Settings!$B$17)),(B69-INDEX($B:$B,Settings!$B$17))*100,NA()),NA())</f>
        <v/>
      </c>
      <c r="U69" s="20">
        <f>IF(AND(ISNUMBER(Q69),Settings!$B$17&gt;0),IF(ISNUMBER(INDEX($Q:$Q,Settings!$B$17)),(Q69-INDEX($Q:$Q,Settings!$B$17))*100,NA()),NA())</f>
        <v/>
      </c>
      <c r="V69" s="20">
        <f>IF(AND(ISNUMBER(R69),Settings!$B$17&gt;0),IF(ISNUMBER(INDEX($R:$R,Settings!$B$17)),(R69-INDEX($R:$R,Settings!$B$17))*100,NA()),NA())</f>
        <v/>
      </c>
      <c r="W69" s="20">
        <f>IF(AND(ISNUMBER(P69),Settings!$B$17&gt;0),IF(ISNUMBER(INDEX($P:$P,Settings!$B$17)),P69-INDEX($P:$P,Settings!$B$17),NA()),NA())</f>
        <v/>
      </c>
      <c r="X69" s="19">
        <f>IF(NOT(ISNUMBER($A69)),NA(),IF(OR($A69&lt;MIN(DKW_10Y!$A$2:$A$2918),$A69&gt;MAX(DKW_10Y!$A$2:$A$2918),Settings!$B$16&lt;MIN(DKW_10Y!$A$2:$A$2918)),NA(),(INDEX(DKW_10Y!$B$2:$B$2918,MATCH($A69,DKW_10Y!$A$2:$A$2918,1))-INDEX(DKW_10Y!$B$2:$B$2918,MATCH(Settings!$B$16,DKW_10Y!$A$2:$A$2918,1)))*100))</f>
        <v/>
      </c>
      <c r="Y69" s="19">
        <f>IF(NOT(ISNUMBER($A69)),NA(),IF(OR($A69&lt;MIN(DKW_10Y!$A$2:$A$2918),$A69&gt;MAX(DKW_10Y!$A$2:$A$2918),Settings!$B$16&lt;MIN(DKW_10Y!$A$2:$A$2918)),NA(),(INDEX(DKW_10Y!$C$2:$C$2918,MATCH($A69,DKW_10Y!$A$2:$A$2918,1))-INDEX(DKW_10Y!$C$2:$C$2918,MATCH(Settings!$B$16,DKW_10Y!$A$2:$A$2918,1)))*100))</f>
        <v/>
      </c>
      <c r="Z69" s="19">
        <f>IF(NOT(ISNUMBER($A69)),NA(),IF(OR($A69&lt;MIN(DKW_10Y!$A$2:$A$2918),$A69&gt;MAX(DKW_10Y!$A$2:$A$2918),Settings!$B$16&lt;MIN(DKW_10Y!$A$2:$A$2918)),NA(),(INDEX(DKW_10Y!$D$2:$D$2918,MATCH($A69,DKW_10Y!$A$2:$A$2918,1))-INDEX(DKW_10Y!$D$2:$D$2918,MATCH(Settings!$B$16,DKW_10Y!$A$2:$A$2918,1)))*100))</f>
        <v/>
      </c>
      <c r="AA69" s="19">
        <f>IF(NOT(ISNUMBER($A69)),NA(),IF(OR($A69&lt;MIN(DKW_10Y!$A$2:$A$2918),$A69&gt;MAX(DKW_10Y!$A$2:$A$2918),Settings!$B$16&lt;MIN(DKW_10Y!$A$2:$A$2918)),NA(),(INDEX(DKW_10Y!$E$2:$E$2918,MATCH($A69,DKW_10Y!$A$2:$A$2918,1))-INDEX(DKW_10Y!$E$2:$E$2918,MATCH(Settings!$B$16,DKW_10Y!$A$2:$A$2918,1)))*100))</f>
        <v/>
      </c>
      <c r="AB69" s="19">
        <f>IF(NOT(ISNUMBER($A69)),NA(),IF(OR($A69&lt;MIN(DKW_10Y!$A$2:$A$2918),$A69&gt;MAX(DKW_10Y!$A$2:$A$2918),Settings!$B$16&lt;MIN(DKW_10Y!$A$2:$A$2918)),NA(),(INDEX(DKW_10Y!$H$2:$H$2918,MATCH($A69,DKW_10Y!$A$2:$A$2918,1))-INDEX(DKW_10Y!$H$2:$H$2918,MATCH(Settings!$B$16,DKW_10Y!$A$2:$A$2918,1)))*100))</f>
        <v/>
      </c>
      <c r="AC69" s="18">
        <f>IF(NOT(ISNUMBER($A69)),NA(),IFERROR(1*INDEX(BBG_Data!$N$2:$N$4000,MATCH($A69,BBG_Data!$M$2:$M$4000,0)),NA()))</f>
        <v/>
      </c>
      <c r="AD69" s="18">
        <f>IF(NOT(ISNUMBER($A69)),NA(),IFERROR(1*INDEX(BBG_Data!$P$2:$P$4000,MATCH($A69,BBG_Data!$O$2:$O$4000,0)),NA()))</f>
        <v/>
      </c>
      <c r="AE69" s="18">
        <f>IF(NOT(ISNUMBER($A69)),NA(),IFERROR(1*INDEX(BBG_Data!$R$2:$R$4000,MATCH($A69,BBG_Data!$Q$2:$Q$4000,0)),NA()))</f>
        <v/>
      </c>
      <c r="AF69" s="20">
        <f>IF(AND(ISNUMBER(B69),ISNUMBER(AC69)),(B69-AC69)*100,NA())</f>
        <v/>
      </c>
      <c r="AG69" s="20">
        <f>IF(AND(ISNUMBER(AE69),ISNUMBER(AD69)),(AE69-AD69)*100,NA())</f>
        <v/>
      </c>
      <c r="AH69" s="19">
        <f>IF(NOT(ISNUMBER($A69)),NA(),IFERROR(INDEX(BBG_Data!$T$2:$T$4000,MATCH($A69,BBG_Data!$S$2:$S$4000,0))*Settings!$B$25,NA()))</f>
        <v/>
      </c>
      <c r="AI69" s="19">
        <f>IF(NOT(ISNUMBER($A69)),NA(),IFERROR(INDEX(BBG_Data!$V$2:$V$4000,MATCH($A69,BBG_Data!$U$2:$U$4000,0))*Settings!$B$25,NA()))</f>
        <v/>
      </c>
      <c r="AJ69" s="19">
        <f>IF(NOT(ISNUMBER($A69)),NA(),IFERROR(1*INDEX(BBG_Data!$X$2:$X$4000,MATCH($A69,BBG_Data!$W$2:$W$4000,0)),NA()))</f>
        <v/>
      </c>
      <c r="AK69" s="19">
        <f>IF(NOT(ISNUMBER($A69)),NA(),IFERROR(1*INDEX(BBG_Data!$Z$2:$Z$4000,MATCH($A69,BBG_Data!$Y$2:$Y$4000,0)),NA()))</f>
        <v/>
      </c>
    </row>
    <row r="70">
      <c r="A70" s="17">
        <f>IF(ISNUMBER(BBG_Data!A70),BBG_Data!A70,"")</f>
        <v/>
      </c>
      <c r="B70" s="18">
        <f>IF(AND(ISNUMBER($A70),ISNUMBER(BBG_Data!B70)),BBG_Data!B70,NA())</f>
        <v/>
      </c>
      <c r="C70" s="18">
        <f>IF(NOT(ISNUMBER($A70)),NA(),IFERROR(1*INDEX(BBG_Data!$D$2:$D$4000,MATCH($A70,BBG_Data!$C$2:$C$4000,0)),NA()))</f>
        <v/>
      </c>
      <c r="D70" s="19">
        <f>IF(NOT(ISNUMBER($A70)),NA(),IFERROR(1*INDEX(BBG_Data!$F$2:$F$4000,MATCH($A70,BBG_Data!$E$2:$E$4000,0)),NA()))</f>
        <v/>
      </c>
      <c r="E70" s="19">
        <f>IF(NOT(ISNUMBER($A70)),NA(),IFERROR(1*INDEX(BBG_Data!$H$2:$H$4000,MATCH($A70,BBG_Data!$G$2:$G$4000,0)),NA()))</f>
        <v/>
      </c>
      <c r="F70" s="20">
        <f>IF(AND(ISNUMBER(B70),ISNUMBER(B69)),IF(B70=B69,"",(B70-B69)*100),"")</f>
        <v/>
      </c>
      <c r="G70" s="20">
        <f>IF(AND(ISNUMBER(C70),ISNUMBER(C69)),IF(C70=C69,"",(C70-C69)*100),"")</f>
        <v/>
      </c>
      <c r="H70" s="20">
        <f>IF(OR(NOT(ISNUMBER($A70)),ROW()-2&lt;Settings!$B$11),NA(),IF(COUNT(OFFSET(F70,1-Settings!$B$11,0,Settings!$B$11,1))&lt;ROUNDUP(Settings!$B$11*Settings!$B$26,0),NA(),STDEV(OFFSET(F70,1-Settings!$B$11,0,Settings!$B$11,1))*SQRT(Settings!$B$13)))</f>
        <v/>
      </c>
      <c r="I70" s="20">
        <f>IF(OR(NOT(ISNUMBER($A70)),ROW()-2&lt;Settings!$B$12),NA(),IF(COUNT(OFFSET(F70,1-Settings!$B$12,0,Settings!$B$12,1))&lt;ROUNDUP(Settings!$B$12*Settings!$B$26,0),NA(),STDEV(OFFSET(F70,1-Settings!$B$12,0,Settings!$B$12,1))*SQRT(Settings!$B$13)))</f>
        <v/>
      </c>
      <c r="J70" s="20">
        <f>IF(OR(NOT(ISNUMBER($A70)),ROW()-2&lt;Settings!$B$11),NA(),IF(COUNT(OFFSET(G70,1-Settings!$B$11,0,Settings!$B$11,1))&lt;ROUNDUP(Settings!$B$11*Settings!$B$26,0),NA(),STDEV(OFFSET(G70,1-Settings!$B$11,0,Settings!$B$11,1))*SQRT(Settings!$B$13)))</f>
        <v/>
      </c>
      <c r="K70" s="20">
        <f>IF(OR(NOT(ISNUMBER($A70)),ROW()-2&lt;Settings!$B$12),NA(),IF(COUNT(OFFSET(G70,1-Settings!$B$12,0,Settings!$B$12,1))&lt;ROUNDUP(Settings!$B$12*Settings!$B$26,0),NA(),STDEV(OFFSET(G70,1-Settings!$B$12,0,Settings!$B$12,1))*SQRT(Settings!$B$13)))</f>
        <v/>
      </c>
      <c r="L70" s="20">
        <f>IF(AND(ISNUMBER(D70),ISNUMBER(H70)),D70-H70,NA())</f>
        <v/>
      </c>
      <c r="M70" s="20">
        <f>IF(AND(ISNUMBER(E70),ISNUMBER(K70)),E70-K70,NA())</f>
        <v/>
      </c>
      <c r="N70" s="20">
        <f>IF(NOT(ISNUMBER($A70)),NA(),IF(COUNT(OFFSET(G70,1,0,Settings!$B$12,1))&lt;ROUNDUP(Settings!$B$12*Settings!$B$26,0),NA(),STDEV(OFFSET(G70,1,0,Settings!$B$12,1))*SQRT(Settings!$B$13)))</f>
        <v/>
      </c>
      <c r="O70" s="20">
        <f>IF(AND(ISNUMBER(E70),ISNUMBER(N70)),E70-N70,NA())</f>
        <v/>
      </c>
      <c r="P70" s="19">
        <f>IF(NOT(ISNUMBER($A70)),NA(),IF(OR($A70&lt;MIN(KW_TP!$A$2:$A$2501),$A70&gt;MAX(KW_TP!$A$2:$A$2501)),NA(),INDEX(KW_TP!$C$2:$C$2501,MATCH($A70,KW_TP!$A$2:$A$2501,1))))</f>
        <v/>
      </c>
      <c r="Q70" s="18">
        <f>IF(NOT(ISNUMBER($A70)),NA(),IFERROR(1*INDEX(BBG_Data!$J$2:$J$4000,MATCH($A70,BBG_Data!$I$2:$I$4000,0)),NA()))</f>
        <v/>
      </c>
      <c r="R70" s="18">
        <f>IF(NOT(ISNUMBER($A70)),NA(),IFERROR(1*INDEX(BBG_Data!$L$2:$L$4000,MATCH($A70,BBG_Data!$K$2:$K$4000,0)),NA()))</f>
        <v/>
      </c>
      <c r="S70" s="20">
        <f>IF(AND(ISNUMBER(B70),ISNUMBER(Q70),ISNUMBER(R70)),(B70-Q70-R70)*100,NA())</f>
        <v/>
      </c>
      <c r="T70" s="20">
        <f>IF(AND(ISNUMBER(B70),Settings!$B$17&gt;0),IF(ISNUMBER(INDEX($B:$B,Settings!$B$17)),(B70-INDEX($B:$B,Settings!$B$17))*100,NA()),NA())</f>
        <v/>
      </c>
      <c r="U70" s="20">
        <f>IF(AND(ISNUMBER(Q70),Settings!$B$17&gt;0),IF(ISNUMBER(INDEX($Q:$Q,Settings!$B$17)),(Q70-INDEX($Q:$Q,Settings!$B$17))*100,NA()),NA())</f>
        <v/>
      </c>
      <c r="V70" s="20">
        <f>IF(AND(ISNUMBER(R70),Settings!$B$17&gt;0),IF(ISNUMBER(INDEX($R:$R,Settings!$B$17)),(R70-INDEX($R:$R,Settings!$B$17))*100,NA()),NA())</f>
        <v/>
      </c>
      <c r="W70" s="20">
        <f>IF(AND(ISNUMBER(P70),Settings!$B$17&gt;0),IF(ISNUMBER(INDEX($P:$P,Settings!$B$17)),P70-INDEX($P:$P,Settings!$B$17),NA()),NA())</f>
        <v/>
      </c>
      <c r="X70" s="19">
        <f>IF(NOT(ISNUMBER($A70)),NA(),IF(OR($A70&lt;MIN(DKW_10Y!$A$2:$A$2918),$A70&gt;MAX(DKW_10Y!$A$2:$A$2918),Settings!$B$16&lt;MIN(DKW_10Y!$A$2:$A$2918)),NA(),(INDEX(DKW_10Y!$B$2:$B$2918,MATCH($A70,DKW_10Y!$A$2:$A$2918,1))-INDEX(DKW_10Y!$B$2:$B$2918,MATCH(Settings!$B$16,DKW_10Y!$A$2:$A$2918,1)))*100))</f>
        <v/>
      </c>
      <c r="Y70" s="19">
        <f>IF(NOT(ISNUMBER($A70)),NA(),IF(OR($A70&lt;MIN(DKW_10Y!$A$2:$A$2918),$A70&gt;MAX(DKW_10Y!$A$2:$A$2918),Settings!$B$16&lt;MIN(DKW_10Y!$A$2:$A$2918)),NA(),(INDEX(DKW_10Y!$C$2:$C$2918,MATCH($A70,DKW_10Y!$A$2:$A$2918,1))-INDEX(DKW_10Y!$C$2:$C$2918,MATCH(Settings!$B$16,DKW_10Y!$A$2:$A$2918,1)))*100))</f>
        <v/>
      </c>
      <c r="Z70" s="19">
        <f>IF(NOT(ISNUMBER($A70)),NA(),IF(OR($A70&lt;MIN(DKW_10Y!$A$2:$A$2918),$A70&gt;MAX(DKW_10Y!$A$2:$A$2918),Settings!$B$16&lt;MIN(DKW_10Y!$A$2:$A$2918)),NA(),(INDEX(DKW_10Y!$D$2:$D$2918,MATCH($A70,DKW_10Y!$A$2:$A$2918,1))-INDEX(DKW_10Y!$D$2:$D$2918,MATCH(Settings!$B$16,DKW_10Y!$A$2:$A$2918,1)))*100))</f>
        <v/>
      </c>
      <c r="AA70" s="19">
        <f>IF(NOT(ISNUMBER($A70)),NA(),IF(OR($A70&lt;MIN(DKW_10Y!$A$2:$A$2918),$A70&gt;MAX(DKW_10Y!$A$2:$A$2918),Settings!$B$16&lt;MIN(DKW_10Y!$A$2:$A$2918)),NA(),(INDEX(DKW_10Y!$E$2:$E$2918,MATCH($A70,DKW_10Y!$A$2:$A$2918,1))-INDEX(DKW_10Y!$E$2:$E$2918,MATCH(Settings!$B$16,DKW_10Y!$A$2:$A$2918,1)))*100))</f>
        <v/>
      </c>
      <c r="AB70" s="19">
        <f>IF(NOT(ISNUMBER($A70)),NA(),IF(OR($A70&lt;MIN(DKW_10Y!$A$2:$A$2918),$A70&gt;MAX(DKW_10Y!$A$2:$A$2918),Settings!$B$16&lt;MIN(DKW_10Y!$A$2:$A$2918)),NA(),(INDEX(DKW_10Y!$H$2:$H$2918,MATCH($A70,DKW_10Y!$A$2:$A$2918,1))-INDEX(DKW_10Y!$H$2:$H$2918,MATCH(Settings!$B$16,DKW_10Y!$A$2:$A$2918,1)))*100))</f>
        <v/>
      </c>
      <c r="AC70" s="18">
        <f>IF(NOT(ISNUMBER($A70)),NA(),IFERROR(1*INDEX(BBG_Data!$N$2:$N$4000,MATCH($A70,BBG_Data!$M$2:$M$4000,0)),NA()))</f>
        <v/>
      </c>
      <c r="AD70" s="18">
        <f>IF(NOT(ISNUMBER($A70)),NA(),IFERROR(1*INDEX(BBG_Data!$P$2:$P$4000,MATCH($A70,BBG_Data!$O$2:$O$4000,0)),NA()))</f>
        <v/>
      </c>
      <c r="AE70" s="18">
        <f>IF(NOT(ISNUMBER($A70)),NA(),IFERROR(1*INDEX(BBG_Data!$R$2:$R$4000,MATCH($A70,BBG_Data!$Q$2:$Q$4000,0)),NA()))</f>
        <v/>
      </c>
      <c r="AF70" s="20">
        <f>IF(AND(ISNUMBER(B70),ISNUMBER(AC70)),(B70-AC70)*100,NA())</f>
        <v/>
      </c>
      <c r="AG70" s="20">
        <f>IF(AND(ISNUMBER(AE70),ISNUMBER(AD70)),(AE70-AD70)*100,NA())</f>
        <v/>
      </c>
      <c r="AH70" s="19">
        <f>IF(NOT(ISNUMBER($A70)),NA(),IFERROR(INDEX(BBG_Data!$T$2:$T$4000,MATCH($A70,BBG_Data!$S$2:$S$4000,0))*Settings!$B$25,NA()))</f>
        <v/>
      </c>
      <c r="AI70" s="19">
        <f>IF(NOT(ISNUMBER($A70)),NA(),IFERROR(INDEX(BBG_Data!$V$2:$V$4000,MATCH($A70,BBG_Data!$U$2:$U$4000,0))*Settings!$B$25,NA()))</f>
        <v/>
      </c>
      <c r="AJ70" s="19">
        <f>IF(NOT(ISNUMBER($A70)),NA(),IFERROR(1*INDEX(BBG_Data!$X$2:$X$4000,MATCH($A70,BBG_Data!$W$2:$W$4000,0)),NA()))</f>
        <v/>
      </c>
      <c r="AK70" s="19">
        <f>IF(NOT(ISNUMBER($A70)),NA(),IFERROR(1*INDEX(BBG_Data!$Z$2:$Z$4000,MATCH($A70,BBG_Data!$Y$2:$Y$4000,0)),NA()))</f>
        <v/>
      </c>
    </row>
    <row r="71">
      <c r="A71" s="17">
        <f>IF(ISNUMBER(BBG_Data!A71),BBG_Data!A71,"")</f>
        <v/>
      </c>
      <c r="B71" s="18">
        <f>IF(AND(ISNUMBER($A71),ISNUMBER(BBG_Data!B71)),BBG_Data!B71,NA())</f>
        <v/>
      </c>
      <c r="C71" s="18">
        <f>IF(NOT(ISNUMBER($A71)),NA(),IFERROR(1*INDEX(BBG_Data!$D$2:$D$4000,MATCH($A71,BBG_Data!$C$2:$C$4000,0)),NA()))</f>
        <v/>
      </c>
      <c r="D71" s="19">
        <f>IF(NOT(ISNUMBER($A71)),NA(),IFERROR(1*INDEX(BBG_Data!$F$2:$F$4000,MATCH($A71,BBG_Data!$E$2:$E$4000,0)),NA()))</f>
        <v/>
      </c>
      <c r="E71" s="19">
        <f>IF(NOT(ISNUMBER($A71)),NA(),IFERROR(1*INDEX(BBG_Data!$H$2:$H$4000,MATCH($A71,BBG_Data!$G$2:$G$4000,0)),NA()))</f>
        <v/>
      </c>
      <c r="F71" s="20">
        <f>IF(AND(ISNUMBER(B71),ISNUMBER(B70)),IF(B71=B70,"",(B71-B70)*100),"")</f>
        <v/>
      </c>
      <c r="G71" s="20">
        <f>IF(AND(ISNUMBER(C71),ISNUMBER(C70)),IF(C71=C70,"",(C71-C70)*100),"")</f>
        <v/>
      </c>
      <c r="H71" s="20">
        <f>IF(OR(NOT(ISNUMBER($A71)),ROW()-2&lt;Settings!$B$11),NA(),IF(COUNT(OFFSET(F71,1-Settings!$B$11,0,Settings!$B$11,1))&lt;ROUNDUP(Settings!$B$11*Settings!$B$26,0),NA(),STDEV(OFFSET(F71,1-Settings!$B$11,0,Settings!$B$11,1))*SQRT(Settings!$B$13)))</f>
        <v/>
      </c>
      <c r="I71" s="20">
        <f>IF(OR(NOT(ISNUMBER($A71)),ROW()-2&lt;Settings!$B$12),NA(),IF(COUNT(OFFSET(F71,1-Settings!$B$12,0,Settings!$B$12,1))&lt;ROUNDUP(Settings!$B$12*Settings!$B$26,0),NA(),STDEV(OFFSET(F71,1-Settings!$B$12,0,Settings!$B$12,1))*SQRT(Settings!$B$13)))</f>
        <v/>
      </c>
      <c r="J71" s="20">
        <f>IF(OR(NOT(ISNUMBER($A71)),ROW()-2&lt;Settings!$B$11),NA(),IF(COUNT(OFFSET(G71,1-Settings!$B$11,0,Settings!$B$11,1))&lt;ROUNDUP(Settings!$B$11*Settings!$B$26,0),NA(),STDEV(OFFSET(G71,1-Settings!$B$11,0,Settings!$B$11,1))*SQRT(Settings!$B$13)))</f>
        <v/>
      </c>
      <c r="K71" s="20">
        <f>IF(OR(NOT(ISNUMBER($A71)),ROW()-2&lt;Settings!$B$12),NA(),IF(COUNT(OFFSET(G71,1-Settings!$B$12,0,Settings!$B$12,1))&lt;ROUNDUP(Settings!$B$12*Settings!$B$26,0),NA(),STDEV(OFFSET(G71,1-Settings!$B$12,0,Settings!$B$12,1))*SQRT(Settings!$B$13)))</f>
        <v/>
      </c>
      <c r="L71" s="20">
        <f>IF(AND(ISNUMBER(D71),ISNUMBER(H71)),D71-H71,NA())</f>
        <v/>
      </c>
      <c r="M71" s="20">
        <f>IF(AND(ISNUMBER(E71),ISNUMBER(K71)),E71-K71,NA())</f>
        <v/>
      </c>
      <c r="N71" s="20">
        <f>IF(NOT(ISNUMBER($A71)),NA(),IF(COUNT(OFFSET(G71,1,0,Settings!$B$12,1))&lt;ROUNDUP(Settings!$B$12*Settings!$B$26,0),NA(),STDEV(OFFSET(G71,1,0,Settings!$B$12,1))*SQRT(Settings!$B$13)))</f>
        <v/>
      </c>
      <c r="O71" s="20">
        <f>IF(AND(ISNUMBER(E71),ISNUMBER(N71)),E71-N71,NA())</f>
        <v/>
      </c>
      <c r="P71" s="19">
        <f>IF(NOT(ISNUMBER($A71)),NA(),IF(OR($A71&lt;MIN(KW_TP!$A$2:$A$2501),$A71&gt;MAX(KW_TP!$A$2:$A$2501)),NA(),INDEX(KW_TP!$C$2:$C$2501,MATCH($A71,KW_TP!$A$2:$A$2501,1))))</f>
        <v/>
      </c>
      <c r="Q71" s="18">
        <f>IF(NOT(ISNUMBER($A71)),NA(),IFERROR(1*INDEX(BBG_Data!$J$2:$J$4000,MATCH($A71,BBG_Data!$I$2:$I$4000,0)),NA()))</f>
        <v/>
      </c>
      <c r="R71" s="18">
        <f>IF(NOT(ISNUMBER($A71)),NA(),IFERROR(1*INDEX(BBG_Data!$L$2:$L$4000,MATCH($A71,BBG_Data!$K$2:$K$4000,0)),NA()))</f>
        <v/>
      </c>
      <c r="S71" s="20">
        <f>IF(AND(ISNUMBER(B71),ISNUMBER(Q71),ISNUMBER(R71)),(B71-Q71-R71)*100,NA())</f>
        <v/>
      </c>
      <c r="T71" s="20">
        <f>IF(AND(ISNUMBER(B71),Settings!$B$17&gt;0),IF(ISNUMBER(INDEX($B:$B,Settings!$B$17)),(B71-INDEX($B:$B,Settings!$B$17))*100,NA()),NA())</f>
        <v/>
      </c>
      <c r="U71" s="20">
        <f>IF(AND(ISNUMBER(Q71),Settings!$B$17&gt;0),IF(ISNUMBER(INDEX($Q:$Q,Settings!$B$17)),(Q71-INDEX($Q:$Q,Settings!$B$17))*100,NA()),NA())</f>
        <v/>
      </c>
      <c r="V71" s="20">
        <f>IF(AND(ISNUMBER(R71),Settings!$B$17&gt;0),IF(ISNUMBER(INDEX($R:$R,Settings!$B$17)),(R71-INDEX($R:$R,Settings!$B$17))*100,NA()),NA())</f>
        <v/>
      </c>
      <c r="W71" s="20">
        <f>IF(AND(ISNUMBER(P71),Settings!$B$17&gt;0),IF(ISNUMBER(INDEX($P:$P,Settings!$B$17)),P71-INDEX($P:$P,Settings!$B$17),NA()),NA())</f>
        <v/>
      </c>
      <c r="X71" s="19">
        <f>IF(NOT(ISNUMBER($A71)),NA(),IF(OR($A71&lt;MIN(DKW_10Y!$A$2:$A$2918),$A71&gt;MAX(DKW_10Y!$A$2:$A$2918),Settings!$B$16&lt;MIN(DKW_10Y!$A$2:$A$2918)),NA(),(INDEX(DKW_10Y!$B$2:$B$2918,MATCH($A71,DKW_10Y!$A$2:$A$2918,1))-INDEX(DKW_10Y!$B$2:$B$2918,MATCH(Settings!$B$16,DKW_10Y!$A$2:$A$2918,1)))*100))</f>
        <v/>
      </c>
      <c r="Y71" s="19">
        <f>IF(NOT(ISNUMBER($A71)),NA(),IF(OR($A71&lt;MIN(DKW_10Y!$A$2:$A$2918),$A71&gt;MAX(DKW_10Y!$A$2:$A$2918),Settings!$B$16&lt;MIN(DKW_10Y!$A$2:$A$2918)),NA(),(INDEX(DKW_10Y!$C$2:$C$2918,MATCH($A71,DKW_10Y!$A$2:$A$2918,1))-INDEX(DKW_10Y!$C$2:$C$2918,MATCH(Settings!$B$16,DKW_10Y!$A$2:$A$2918,1)))*100))</f>
        <v/>
      </c>
      <c r="Z71" s="19">
        <f>IF(NOT(ISNUMBER($A71)),NA(),IF(OR($A71&lt;MIN(DKW_10Y!$A$2:$A$2918),$A71&gt;MAX(DKW_10Y!$A$2:$A$2918),Settings!$B$16&lt;MIN(DKW_10Y!$A$2:$A$2918)),NA(),(INDEX(DKW_10Y!$D$2:$D$2918,MATCH($A71,DKW_10Y!$A$2:$A$2918,1))-INDEX(DKW_10Y!$D$2:$D$2918,MATCH(Settings!$B$16,DKW_10Y!$A$2:$A$2918,1)))*100))</f>
        <v/>
      </c>
      <c r="AA71" s="19">
        <f>IF(NOT(ISNUMBER($A71)),NA(),IF(OR($A71&lt;MIN(DKW_10Y!$A$2:$A$2918),$A71&gt;MAX(DKW_10Y!$A$2:$A$2918),Settings!$B$16&lt;MIN(DKW_10Y!$A$2:$A$2918)),NA(),(INDEX(DKW_10Y!$E$2:$E$2918,MATCH($A71,DKW_10Y!$A$2:$A$2918,1))-INDEX(DKW_10Y!$E$2:$E$2918,MATCH(Settings!$B$16,DKW_10Y!$A$2:$A$2918,1)))*100))</f>
        <v/>
      </c>
      <c r="AB71" s="19">
        <f>IF(NOT(ISNUMBER($A71)),NA(),IF(OR($A71&lt;MIN(DKW_10Y!$A$2:$A$2918),$A71&gt;MAX(DKW_10Y!$A$2:$A$2918),Settings!$B$16&lt;MIN(DKW_10Y!$A$2:$A$2918)),NA(),(INDEX(DKW_10Y!$H$2:$H$2918,MATCH($A71,DKW_10Y!$A$2:$A$2918,1))-INDEX(DKW_10Y!$H$2:$H$2918,MATCH(Settings!$B$16,DKW_10Y!$A$2:$A$2918,1)))*100))</f>
        <v/>
      </c>
      <c r="AC71" s="18">
        <f>IF(NOT(ISNUMBER($A71)),NA(),IFERROR(1*INDEX(BBG_Data!$N$2:$N$4000,MATCH($A71,BBG_Data!$M$2:$M$4000,0)),NA()))</f>
        <v/>
      </c>
      <c r="AD71" s="18">
        <f>IF(NOT(ISNUMBER($A71)),NA(),IFERROR(1*INDEX(BBG_Data!$P$2:$P$4000,MATCH($A71,BBG_Data!$O$2:$O$4000,0)),NA()))</f>
        <v/>
      </c>
      <c r="AE71" s="18">
        <f>IF(NOT(ISNUMBER($A71)),NA(),IFERROR(1*INDEX(BBG_Data!$R$2:$R$4000,MATCH($A71,BBG_Data!$Q$2:$Q$4000,0)),NA()))</f>
        <v/>
      </c>
      <c r="AF71" s="20">
        <f>IF(AND(ISNUMBER(B71),ISNUMBER(AC71)),(B71-AC71)*100,NA())</f>
        <v/>
      </c>
      <c r="AG71" s="20">
        <f>IF(AND(ISNUMBER(AE71),ISNUMBER(AD71)),(AE71-AD71)*100,NA())</f>
        <v/>
      </c>
      <c r="AH71" s="19">
        <f>IF(NOT(ISNUMBER($A71)),NA(),IFERROR(INDEX(BBG_Data!$T$2:$T$4000,MATCH($A71,BBG_Data!$S$2:$S$4000,0))*Settings!$B$25,NA()))</f>
        <v/>
      </c>
      <c r="AI71" s="19">
        <f>IF(NOT(ISNUMBER($A71)),NA(),IFERROR(INDEX(BBG_Data!$V$2:$V$4000,MATCH($A71,BBG_Data!$U$2:$U$4000,0))*Settings!$B$25,NA()))</f>
        <v/>
      </c>
      <c r="AJ71" s="19">
        <f>IF(NOT(ISNUMBER($A71)),NA(),IFERROR(1*INDEX(BBG_Data!$X$2:$X$4000,MATCH($A71,BBG_Data!$W$2:$W$4000,0)),NA()))</f>
        <v/>
      </c>
      <c r="AK71" s="19">
        <f>IF(NOT(ISNUMBER($A71)),NA(),IFERROR(1*INDEX(BBG_Data!$Z$2:$Z$4000,MATCH($A71,BBG_Data!$Y$2:$Y$4000,0)),NA()))</f>
        <v/>
      </c>
    </row>
    <row r="72">
      <c r="A72" s="17">
        <f>IF(ISNUMBER(BBG_Data!A72),BBG_Data!A72,"")</f>
        <v/>
      </c>
      <c r="B72" s="18">
        <f>IF(AND(ISNUMBER($A72),ISNUMBER(BBG_Data!B72)),BBG_Data!B72,NA())</f>
        <v/>
      </c>
      <c r="C72" s="18">
        <f>IF(NOT(ISNUMBER($A72)),NA(),IFERROR(1*INDEX(BBG_Data!$D$2:$D$4000,MATCH($A72,BBG_Data!$C$2:$C$4000,0)),NA()))</f>
        <v/>
      </c>
      <c r="D72" s="19">
        <f>IF(NOT(ISNUMBER($A72)),NA(),IFERROR(1*INDEX(BBG_Data!$F$2:$F$4000,MATCH($A72,BBG_Data!$E$2:$E$4000,0)),NA()))</f>
        <v/>
      </c>
      <c r="E72" s="19">
        <f>IF(NOT(ISNUMBER($A72)),NA(),IFERROR(1*INDEX(BBG_Data!$H$2:$H$4000,MATCH($A72,BBG_Data!$G$2:$G$4000,0)),NA()))</f>
        <v/>
      </c>
      <c r="F72" s="20">
        <f>IF(AND(ISNUMBER(B72),ISNUMBER(B71)),IF(B72=B71,"",(B72-B71)*100),"")</f>
        <v/>
      </c>
      <c r="G72" s="20">
        <f>IF(AND(ISNUMBER(C72),ISNUMBER(C71)),IF(C72=C71,"",(C72-C71)*100),"")</f>
        <v/>
      </c>
      <c r="H72" s="20">
        <f>IF(OR(NOT(ISNUMBER($A72)),ROW()-2&lt;Settings!$B$11),NA(),IF(COUNT(OFFSET(F72,1-Settings!$B$11,0,Settings!$B$11,1))&lt;ROUNDUP(Settings!$B$11*Settings!$B$26,0),NA(),STDEV(OFFSET(F72,1-Settings!$B$11,0,Settings!$B$11,1))*SQRT(Settings!$B$13)))</f>
        <v/>
      </c>
      <c r="I72" s="20">
        <f>IF(OR(NOT(ISNUMBER($A72)),ROW()-2&lt;Settings!$B$12),NA(),IF(COUNT(OFFSET(F72,1-Settings!$B$12,0,Settings!$B$12,1))&lt;ROUNDUP(Settings!$B$12*Settings!$B$26,0),NA(),STDEV(OFFSET(F72,1-Settings!$B$12,0,Settings!$B$12,1))*SQRT(Settings!$B$13)))</f>
        <v/>
      </c>
      <c r="J72" s="20">
        <f>IF(OR(NOT(ISNUMBER($A72)),ROW()-2&lt;Settings!$B$11),NA(),IF(COUNT(OFFSET(G72,1-Settings!$B$11,0,Settings!$B$11,1))&lt;ROUNDUP(Settings!$B$11*Settings!$B$26,0),NA(),STDEV(OFFSET(G72,1-Settings!$B$11,0,Settings!$B$11,1))*SQRT(Settings!$B$13)))</f>
        <v/>
      </c>
      <c r="K72" s="20">
        <f>IF(OR(NOT(ISNUMBER($A72)),ROW()-2&lt;Settings!$B$12),NA(),IF(COUNT(OFFSET(G72,1-Settings!$B$12,0,Settings!$B$12,1))&lt;ROUNDUP(Settings!$B$12*Settings!$B$26,0),NA(),STDEV(OFFSET(G72,1-Settings!$B$12,0,Settings!$B$12,1))*SQRT(Settings!$B$13)))</f>
        <v/>
      </c>
      <c r="L72" s="20">
        <f>IF(AND(ISNUMBER(D72),ISNUMBER(H72)),D72-H72,NA())</f>
        <v/>
      </c>
      <c r="M72" s="20">
        <f>IF(AND(ISNUMBER(E72),ISNUMBER(K72)),E72-K72,NA())</f>
        <v/>
      </c>
      <c r="N72" s="20">
        <f>IF(NOT(ISNUMBER($A72)),NA(),IF(COUNT(OFFSET(G72,1,0,Settings!$B$12,1))&lt;ROUNDUP(Settings!$B$12*Settings!$B$26,0),NA(),STDEV(OFFSET(G72,1,0,Settings!$B$12,1))*SQRT(Settings!$B$13)))</f>
        <v/>
      </c>
      <c r="O72" s="20">
        <f>IF(AND(ISNUMBER(E72),ISNUMBER(N72)),E72-N72,NA())</f>
        <v/>
      </c>
      <c r="P72" s="19">
        <f>IF(NOT(ISNUMBER($A72)),NA(),IF(OR($A72&lt;MIN(KW_TP!$A$2:$A$2501),$A72&gt;MAX(KW_TP!$A$2:$A$2501)),NA(),INDEX(KW_TP!$C$2:$C$2501,MATCH($A72,KW_TP!$A$2:$A$2501,1))))</f>
        <v/>
      </c>
      <c r="Q72" s="18">
        <f>IF(NOT(ISNUMBER($A72)),NA(),IFERROR(1*INDEX(BBG_Data!$J$2:$J$4000,MATCH($A72,BBG_Data!$I$2:$I$4000,0)),NA()))</f>
        <v/>
      </c>
      <c r="R72" s="18">
        <f>IF(NOT(ISNUMBER($A72)),NA(),IFERROR(1*INDEX(BBG_Data!$L$2:$L$4000,MATCH($A72,BBG_Data!$K$2:$K$4000,0)),NA()))</f>
        <v/>
      </c>
      <c r="S72" s="20">
        <f>IF(AND(ISNUMBER(B72),ISNUMBER(Q72),ISNUMBER(R72)),(B72-Q72-R72)*100,NA())</f>
        <v/>
      </c>
      <c r="T72" s="20">
        <f>IF(AND(ISNUMBER(B72),Settings!$B$17&gt;0),IF(ISNUMBER(INDEX($B:$B,Settings!$B$17)),(B72-INDEX($B:$B,Settings!$B$17))*100,NA()),NA())</f>
        <v/>
      </c>
      <c r="U72" s="20">
        <f>IF(AND(ISNUMBER(Q72),Settings!$B$17&gt;0),IF(ISNUMBER(INDEX($Q:$Q,Settings!$B$17)),(Q72-INDEX($Q:$Q,Settings!$B$17))*100,NA()),NA())</f>
        <v/>
      </c>
      <c r="V72" s="20">
        <f>IF(AND(ISNUMBER(R72),Settings!$B$17&gt;0),IF(ISNUMBER(INDEX($R:$R,Settings!$B$17)),(R72-INDEX($R:$R,Settings!$B$17))*100,NA()),NA())</f>
        <v/>
      </c>
      <c r="W72" s="20">
        <f>IF(AND(ISNUMBER(P72),Settings!$B$17&gt;0),IF(ISNUMBER(INDEX($P:$P,Settings!$B$17)),P72-INDEX($P:$P,Settings!$B$17),NA()),NA())</f>
        <v/>
      </c>
      <c r="X72" s="19">
        <f>IF(NOT(ISNUMBER($A72)),NA(),IF(OR($A72&lt;MIN(DKW_10Y!$A$2:$A$2918),$A72&gt;MAX(DKW_10Y!$A$2:$A$2918),Settings!$B$16&lt;MIN(DKW_10Y!$A$2:$A$2918)),NA(),(INDEX(DKW_10Y!$B$2:$B$2918,MATCH($A72,DKW_10Y!$A$2:$A$2918,1))-INDEX(DKW_10Y!$B$2:$B$2918,MATCH(Settings!$B$16,DKW_10Y!$A$2:$A$2918,1)))*100))</f>
        <v/>
      </c>
      <c r="Y72" s="19">
        <f>IF(NOT(ISNUMBER($A72)),NA(),IF(OR($A72&lt;MIN(DKW_10Y!$A$2:$A$2918),$A72&gt;MAX(DKW_10Y!$A$2:$A$2918),Settings!$B$16&lt;MIN(DKW_10Y!$A$2:$A$2918)),NA(),(INDEX(DKW_10Y!$C$2:$C$2918,MATCH($A72,DKW_10Y!$A$2:$A$2918,1))-INDEX(DKW_10Y!$C$2:$C$2918,MATCH(Settings!$B$16,DKW_10Y!$A$2:$A$2918,1)))*100))</f>
        <v/>
      </c>
      <c r="Z72" s="19">
        <f>IF(NOT(ISNUMBER($A72)),NA(),IF(OR($A72&lt;MIN(DKW_10Y!$A$2:$A$2918),$A72&gt;MAX(DKW_10Y!$A$2:$A$2918),Settings!$B$16&lt;MIN(DKW_10Y!$A$2:$A$2918)),NA(),(INDEX(DKW_10Y!$D$2:$D$2918,MATCH($A72,DKW_10Y!$A$2:$A$2918,1))-INDEX(DKW_10Y!$D$2:$D$2918,MATCH(Settings!$B$16,DKW_10Y!$A$2:$A$2918,1)))*100))</f>
        <v/>
      </c>
      <c r="AA72" s="19">
        <f>IF(NOT(ISNUMBER($A72)),NA(),IF(OR($A72&lt;MIN(DKW_10Y!$A$2:$A$2918),$A72&gt;MAX(DKW_10Y!$A$2:$A$2918),Settings!$B$16&lt;MIN(DKW_10Y!$A$2:$A$2918)),NA(),(INDEX(DKW_10Y!$E$2:$E$2918,MATCH($A72,DKW_10Y!$A$2:$A$2918,1))-INDEX(DKW_10Y!$E$2:$E$2918,MATCH(Settings!$B$16,DKW_10Y!$A$2:$A$2918,1)))*100))</f>
        <v/>
      </c>
      <c r="AB72" s="19">
        <f>IF(NOT(ISNUMBER($A72)),NA(),IF(OR($A72&lt;MIN(DKW_10Y!$A$2:$A$2918),$A72&gt;MAX(DKW_10Y!$A$2:$A$2918),Settings!$B$16&lt;MIN(DKW_10Y!$A$2:$A$2918)),NA(),(INDEX(DKW_10Y!$H$2:$H$2918,MATCH($A72,DKW_10Y!$A$2:$A$2918,1))-INDEX(DKW_10Y!$H$2:$H$2918,MATCH(Settings!$B$16,DKW_10Y!$A$2:$A$2918,1)))*100))</f>
        <v/>
      </c>
      <c r="AC72" s="18">
        <f>IF(NOT(ISNUMBER($A72)),NA(),IFERROR(1*INDEX(BBG_Data!$N$2:$N$4000,MATCH($A72,BBG_Data!$M$2:$M$4000,0)),NA()))</f>
        <v/>
      </c>
      <c r="AD72" s="18">
        <f>IF(NOT(ISNUMBER($A72)),NA(),IFERROR(1*INDEX(BBG_Data!$P$2:$P$4000,MATCH($A72,BBG_Data!$O$2:$O$4000,0)),NA()))</f>
        <v/>
      </c>
      <c r="AE72" s="18">
        <f>IF(NOT(ISNUMBER($A72)),NA(),IFERROR(1*INDEX(BBG_Data!$R$2:$R$4000,MATCH($A72,BBG_Data!$Q$2:$Q$4000,0)),NA()))</f>
        <v/>
      </c>
      <c r="AF72" s="20">
        <f>IF(AND(ISNUMBER(B72),ISNUMBER(AC72)),(B72-AC72)*100,NA())</f>
        <v/>
      </c>
      <c r="AG72" s="20">
        <f>IF(AND(ISNUMBER(AE72),ISNUMBER(AD72)),(AE72-AD72)*100,NA())</f>
        <v/>
      </c>
      <c r="AH72" s="19">
        <f>IF(NOT(ISNUMBER($A72)),NA(),IFERROR(INDEX(BBG_Data!$T$2:$T$4000,MATCH($A72,BBG_Data!$S$2:$S$4000,0))*Settings!$B$25,NA()))</f>
        <v/>
      </c>
      <c r="AI72" s="19">
        <f>IF(NOT(ISNUMBER($A72)),NA(),IFERROR(INDEX(BBG_Data!$V$2:$V$4000,MATCH($A72,BBG_Data!$U$2:$U$4000,0))*Settings!$B$25,NA()))</f>
        <v/>
      </c>
      <c r="AJ72" s="19">
        <f>IF(NOT(ISNUMBER($A72)),NA(),IFERROR(1*INDEX(BBG_Data!$X$2:$X$4000,MATCH($A72,BBG_Data!$W$2:$W$4000,0)),NA()))</f>
        <v/>
      </c>
      <c r="AK72" s="19">
        <f>IF(NOT(ISNUMBER($A72)),NA(),IFERROR(1*INDEX(BBG_Data!$Z$2:$Z$4000,MATCH($A72,BBG_Data!$Y$2:$Y$4000,0)),NA()))</f>
        <v/>
      </c>
    </row>
    <row r="73">
      <c r="A73" s="17">
        <f>IF(ISNUMBER(BBG_Data!A73),BBG_Data!A73,"")</f>
        <v/>
      </c>
      <c r="B73" s="18">
        <f>IF(AND(ISNUMBER($A73),ISNUMBER(BBG_Data!B73)),BBG_Data!B73,NA())</f>
        <v/>
      </c>
      <c r="C73" s="18">
        <f>IF(NOT(ISNUMBER($A73)),NA(),IFERROR(1*INDEX(BBG_Data!$D$2:$D$4000,MATCH($A73,BBG_Data!$C$2:$C$4000,0)),NA()))</f>
        <v/>
      </c>
      <c r="D73" s="19">
        <f>IF(NOT(ISNUMBER($A73)),NA(),IFERROR(1*INDEX(BBG_Data!$F$2:$F$4000,MATCH($A73,BBG_Data!$E$2:$E$4000,0)),NA()))</f>
        <v/>
      </c>
      <c r="E73" s="19">
        <f>IF(NOT(ISNUMBER($A73)),NA(),IFERROR(1*INDEX(BBG_Data!$H$2:$H$4000,MATCH($A73,BBG_Data!$G$2:$G$4000,0)),NA()))</f>
        <v/>
      </c>
      <c r="F73" s="20">
        <f>IF(AND(ISNUMBER(B73),ISNUMBER(B72)),IF(B73=B72,"",(B73-B72)*100),"")</f>
        <v/>
      </c>
      <c r="G73" s="20">
        <f>IF(AND(ISNUMBER(C73),ISNUMBER(C72)),IF(C73=C72,"",(C73-C72)*100),"")</f>
        <v/>
      </c>
      <c r="H73" s="20">
        <f>IF(OR(NOT(ISNUMBER($A73)),ROW()-2&lt;Settings!$B$11),NA(),IF(COUNT(OFFSET(F73,1-Settings!$B$11,0,Settings!$B$11,1))&lt;ROUNDUP(Settings!$B$11*Settings!$B$26,0),NA(),STDEV(OFFSET(F73,1-Settings!$B$11,0,Settings!$B$11,1))*SQRT(Settings!$B$13)))</f>
        <v/>
      </c>
      <c r="I73" s="20">
        <f>IF(OR(NOT(ISNUMBER($A73)),ROW()-2&lt;Settings!$B$12),NA(),IF(COUNT(OFFSET(F73,1-Settings!$B$12,0,Settings!$B$12,1))&lt;ROUNDUP(Settings!$B$12*Settings!$B$26,0),NA(),STDEV(OFFSET(F73,1-Settings!$B$12,0,Settings!$B$12,1))*SQRT(Settings!$B$13)))</f>
        <v/>
      </c>
      <c r="J73" s="20">
        <f>IF(OR(NOT(ISNUMBER($A73)),ROW()-2&lt;Settings!$B$11),NA(),IF(COUNT(OFFSET(G73,1-Settings!$B$11,0,Settings!$B$11,1))&lt;ROUNDUP(Settings!$B$11*Settings!$B$26,0),NA(),STDEV(OFFSET(G73,1-Settings!$B$11,0,Settings!$B$11,1))*SQRT(Settings!$B$13)))</f>
        <v/>
      </c>
      <c r="K73" s="20">
        <f>IF(OR(NOT(ISNUMBER($A73)),ROW()-2&lt;Settings!$B$12),NA(),IF(COUNT(OFFSET(G73,1-Settings!$B$12,0,Settings!$B$12,1))&lt;ROUNDUP(Settings!$B$12*Settings!$B$26,0),NA(),STDEV(OFFSET(G73,1-Settings!$B$12,0,Settings!$B$12,1))*SQRT(Settings!$B$13)))</f>
        <v/>
      </c>
      <c r="L73" s="20">
        <f>IF(AND(ISNUMBER(D73),ISNUMBER(H73)),D73-H73,NA())</f>
        <v/>
      </c>
      <c r="M73" s="20">
        <f>IF(AND(ISNUMBER(E73),ISNUMBER(K73)),E73-K73,NA())</f>
        <v/>
      </c>
      <c r="N73" s="20">
        <f>IF(NOT(ISNUMBER($A73)),NA(),IF(COUNT(OFFSET(G73,1,0,Settings!$B$12,1))&lt;ROUNDUP(Settings!$B$12*Settings!$B$26,0),NA(),STDEV(OFFSET(G73,1,0,Settings!$B$12,1))*SQRT(Settings!$B$13)))</f>
        <v/>
      </c>
      <c r="O73" s="20">
        <f>IF(AND(ISNUMBER(E73),ISNUMBER(N73)),E73-N73,NA())</f>
        <v/>
      </c>
      <c r="P73" s="19">
        <f>IF(NOT(ISNUMBER($A73)),NA(),IF(OR($A73&lt;MIN(KW_TP!$A$2:$A$2501),$A73&gt;MAX(KW_TP!$A$2:$A$2501)),NA(),INDEX(KW_TP!$C$2:$C$2501,MATCH($A73,KW_TP!$A$2:$A$2501,1))))</f>
        <v/>
      </c>
      <c r="Q73" s="18">
        <f>IF(NOT(ISNUMBER($A73)),NA(),IFERROR(1*INDEX(BBG_Data!$J$2:$J$4000,MATCH($A73,BBG_Data!$I$2:$I$4000,0)),NA()))</f>
        <v/>
      </c>
      <c r="R73" s="18">
        <f>IF(NOT(ISNUMBER($A73)),NA(),IFERROR(1*INDEX(BBG_Data!$L$2:$L$4000,MATCH($A73,BBG_Data!$K$2:$K$4000,0)),NA()))</f>
        <v/>
      </c>
      <c r="S73" s="20">
        <f>IF(AND(ISNUMBER(B73),ISNUMBER(Q73),ISNUMBER(R73)),(B73-Q73-R73)*100,NA())</f>
        <v/>
      </c>
      <c r="T73" s="20">
        <f>IF(AND(ISNUMBER(B73),Settings!$B$17&gt;0),IF(ISNUMBER(INDEX($B:$B,Settings!$B$17)),(B73-INDEX($B:$B,Settings!$B$17))*100,NA()),NA())</f>
        <v/>
      </c>
      <c r="U73" s="20">
        <f>IF(AND(ISNUMBER(Q73),Settings!$B$17&gt;0),IF(ISNUMBER(INDEX($Q:$Q,Settings!$B$17)),(Q73-INDEX($Q:$Q,Settings!$B$17))*100,NA()),NA())</f>
        <v/>
      </c>
      <c r="V73" s="20">
        <f>IF(AND(ISNUMBER(R73),Settings!$B$17&gt;0),IF(ISNUMBER(INDEX($R:$R,Settings!$B$17)),(R73-INDEX($R:$R,Settings!$B$17))*100,NA()),NA())</f>
        <v/>
      </c>
      <c r="W73" s="20">
        <f>IF(AND(ISNUMBER(P73),Settings!$B$17&gt;0),IF(ISNUMBER(INDEX($P:$P,Settings!$B$17)),P73-INDEX($P:$P,Settings!$B$17),NA()),NA())</f>
        <v/>
      </c>
      <c r="X73" s="19">
        <f>IF(NOT(ISNUMBER($A73)),NA(),IF(OR($A73&lt;MIN(DKW_10Y!$A$2:$A$2918),$A73&gt;MAX(DKW_10Y!$A$2:$A$2918),Settings!$B$16&lt;MIN(DKW_10Y!$A$2:$A$2918)),NA(),(INDEX(DKW_10Y!$B$2:$B$2918,MATCH($A73,DKW_10Y!$A$2:$A$2918,1))-INDEX(DKW_10Y!$B$2:$B$2918,MATCH(Settings!$B$16,DKW_10Y!$A$2:$A$2918,1)))*100))</f>
        <v/>
      </c>
      <c r="Y73" s="19">
        <f>IF(NOT(ISNUMBER($A73)),NA(),IF(OR($A73&lt;MIN(DKW_10Y!$A$2:$A$2918),$A73&gt;MAX(DKW_10Y!$A$2:$A$2918),Settings!$B$16&lt;MIN(DKW_10Y!$A$2:$A$2918)),NA(),(INDEX(DKW_10Y!$C$2:$C$2918,MATCH($A73,DKW_10Y!$A$2:$A$2918,1))-INDEX(DKW_10Y!$C$2:$C$2918,MATCH(Settings!$B$16,DKW_10Y!$A$2:$A$2918,1)))*100))</f>
        <v/>
      </c>
      <c r="Z73" s="19">
        <f>IF(NOT(ISNUMBER($A73)),NA(),IF(OR($A73&lt;MIN(DKW_10Y!$A$2:$A$2918),$A73&gt;MAX(DKW_10Y!$A$2:$A$2918),Settings!$B$16&lt;MIN(DKW_10Y!$A$2:$A$2918)),NA(),(INDEX(DKW_10Y!$D$2:$D$2918,MATCH($A73,DKW_10Y!$A$2:$A$2918,1))-INDEX(DKW_10Y!$D$2:$D$2918,MATCH(Settings!$B$16,DKW_10Y!$A$2:$A$2918,1)))*100))</f>
        <v/>
      </c>
      <c r="AA73" s="19">
        <f>IF(NOT(ISNUMBER($A73)),NA(),IF(OR($A73&lt;MIN(DKW_10Y!$A$2:$A$2918),$A73&gt;MAX(DKW_10Y!$A$2:$A$2918),Settings!$B$16&lt;MIN(DKW_10Y!$A$2:$A$2918)),NA(),(INDEX(DKW_10Y!$E$2:$E$2918,MATCH($A73,DKW_10Y!$A$2:$A$2918,1))-INDEX(DKW_10Y!$E$2:$E$2918,MATCH(Settings!$B$16,DKW_10Y!$A$2:$A$2918,1)))*100))</f>
        <v/>
      </c>
      <c r="AB73" s="19">
        <f>IF(NOT(ISNUMBER($A73)),NA(),IF(OR($A73&lt;MIN(DKW_10Y!$A$2:$A$2918),$A73&gt;MAX(DKW_10Y!$A$2:$A$2918),Settings!$B$16&lt;MIN(DKW_10Y!$A$2:$A$2918)),NA(),(INDEX(DKW_10Y!$H$2:$H$2918,MATCH($A73,DKW_10Y!$A$2:$A$2918,1))-INDEX(DKW_10Y!$H$2:$H$2918,MATCH(Settings!$B$16,DKW_10Y!$A$2:$A$2918,1)))*100))</f>
        <v/>
      </c>
      <c r="AC73" s="18">
        <f>IF(NOT(ISNUMBER($A73)),NA(),IFERROR(1*INDEX(BBG_Data!$N$2:$N$4000,MATCH($A73,BBG_Data!$M$2:$M$4000,0)),NA()))</f>
        <v/>
      </c>
      <c r="AD73" s="18">
        <f>IF(NOT(ISNUMBER($A73)),NA(),IFERROR(1*INDEX(BBG_Data!$P$2:$P$4000,MATCH($A73,BBG_Data!$O$2:$O$4000,0)),NA()))</f>
        <v/>
      </c>
      <c r="AE73" s="18">
        <f>IF(NOT(ISNUMBER($A73)),NA(),IFERROR(1*INDEX(BBG_Data!$R$2:$R$4000,MATCH($A73,BBG_Data!$Q$2:$Q$4000,0)),NA()))</f>
        <v/>
      </c>
      <c r="AF73" s="20">
        <f>IF(AND(ISNUMBER(B73),ISNUMBER(AC73)),(B73-AC73)*100,NA())</f>
        <v/>
      </c>
      <c r="AG73" s="20">
        <f>IF(AND(ISNUMBER(AE73),ISNUMBER(AD73)),(AE73-AD73)*100,NA())</f>
        <v/>
      </c>
      <c r="AH73" s="19">
        <f>IF(NOT(ISNUMBER($A73)),NA(),IFERROR(INDEX(BBG_Data!$T$2:$T$4000,MATCH($A73,BBG_Data!$S$2:$S$4000,0))*Settings!$B$25,NA()))</f>
        <v/>
      </c>
      <c r="AI73" s="19">
        <f>IF(NOT(ISNUMBER($A73)),NA(),IFERROR(INDEX(BBG_Data!$V$2:$V$4000,MATCH($A73,BBG_Data!$U$2:$U$4000,0))*Settings!$B$25,NA()))</f>
        <v/>
      </c>
      <c r="AJ73" s="19">
        <f>IF(NOT(ISNUMBER($A73)),NA(),IFERROR(1*INDEX(BBG_Data!$X$2:$X$4000,MATCH($A73,BBG_Data!$W$2:$W$4000,0)),NA()))</f>
        <v/>
      </c>
      <c r="AK73" s="19">
        <f>IF(NOT(ISNUMBER($A73)),NA(),IFERROR(1*INDEX(BBG_Data!$Z$2:$Z$4000,MATCH($A73,BBG_Data!$Y$2:$Y$4000,0)),NA()))</f>
        <v/>
      </c>
    </row>
    <row r="74">
      <c r="A74" s="17">
        <f>IF(ISNUMBER(BBG_Data!A74),BBG_Data!A74,"")</f>
        <v/>
      </c>
      <c r="B74" s="18">
        <f>IF(AND(ISNUMBER($A74),ISNUMBER(BBG_Data!B74)),BBG_Data!B74,NA())</f>
        <v/>
      </c>
      <c r="C74" s="18">
        <f>IF(NOT(ISNUMBER($A74)),NA(),IFERROR(1*INDEX(BBG_Data!$D$2:$D$4000,MATCH($A74,BBG_Data!$C$2:$C$4000,0)),NA()))</f>
        <v/>
      </c>
      <c r="D74" s="19">
        <f>IF(NOT(ISNUMBER($A74)),NA(),IFERROR(1*INDEX(BBG_Data!$F$2:$F$4000,MATCH($A74,BBG_Data!$E$2:$E$4000,0)),NA()))</f>
        <v/>
      </c>
      <c r="E74" s="19">
        <f>IF(NOT(ISNUMBER($A74)),NA(),IFERROR(1*INDEX(BBG_Data!$H$2:$H$4000,MATCH($A74,BBG_Data!$G$2:$G$4000,0)),NA()))</f>
        <v/>
      </c>
      <c r="F74" s="20">
        <f>IF(AND(ISNUMBER(B74),ISNUMBER(B73)),IF(B74=B73,"",(B74-B73)*100),"")</f>
        <v/>
      </c>
      <c r="G74" s="20">
        <f>IF(AND(ISNUMBER(C74),ISNUMBER(C73)),IF(C74=C73,"",(C74-C73)*100),"")</f>
        <v/>
      </c>
      <c r="H74" s="20">
        <f>IF(OR(NOT(ISNUMBER($A74)),ROW()-2&lt;Settings!$B$11),NA(),IF(COUNT(OFFSET(F74,1-Settings!$B$11,0,Settings!$B$11,1))&lt;ROUNDUP(Settings!$B$11*Settings!$B$26,0),NA(),STDEV(OFFSET(F74,1-Settings!$B$11,0,Settings!$B$11,1))*SQRT(Settings!$B$13)))</f>
        <v/>
      </c>
      <c r="I74" s="20">
        <f>IF(OR(NOT(ISNUMBER($A74)),ROW()-2&lt;Settings!$B$12),NA(),IF(COUNT(OFFSET(F74,1-Settings!$B$12,0,Settings!$B$12,1))&lt;ROUNDUP(Settings!$B$12*Settings!$B$26,0),NA(),STDEV(OFFSET(F74,1-Settings!$B$12,0,Settings!$B$12,1))*SQRT(Settings!$B$13)))</f>
        <v/>
      </c>
      <c r="J74" s="20">
        <f>IF(OR(NOT(ISNUMBER($A74)),ROW()-2&lt;Settings!$B$11),NA(),IF(COUNT(OFFSET(G74,1-Settings!$B$11,0,Settings!$B$11,1))&lt;ROUNDUP(Settings!$B$11*Settings!$B$26,0),NA(),STDEV(OFFSET(G74,1-Settings!$B$11,0,Settings!$B$11,1))*SQRT(Settings!$B$13)))</f>
        <v/>
      </c>
      <c r="K74" s="20">
        <f>IF(OR(NOT(ISNUMBER($A74)),ROW()-2&lt;Settings!$B$12),NA(),IF(COUNT(OFFSET(G74,1-Settings!$B$12,0,Settings!$B$12,1))&lt;ROUNDUP(Settings!$B$12*Settings!$B$26,0),NA(),STDEV(OFFSET(G74,1-Settings!$B$12,0,Settings!$B$12,1))*SQRT(Settings!$B$13)))</f>
        <v/>
      </c>
      <c r="L74" s="20">
        <f>IF(AND(ISNUMBER(D74),ISNUMBER(H74)),D74-H74,NA())</f>
        <v/>
      </c>
      <c r="M74" s="20">
        <f>IF(AND(ISNUMBER(E74),ISNUMBER(K74)),E74-K74,NA())</f>
        <v/>
      </c>
      <c r="N74" s="20">
        <f>IF(NOT(ISNUMBER($A74)),NA(),IF(COUNT(OFFSET(G74,1,0,Settings!$B$12,1))&lt;ROUNDUP(Settings!$B$12*Settings!$B$26,0),NA(),STDEV(OFFSET(G74,1,0,Settings!$B$12,1))*SQRT(Settings!$B$13)))</f>
        <v/>
      </c>
      <c r="O74" s="20">
        <f>IF(AND(ISNUMBER(E74),ISNUMBER(N74)),E74-N74,NA())</f>
        <v/>
      </c>
      <c r="P74" s="19">
        <f>IF(NOT(ISNUMBER($A74)),NA(),IF(OR($A74&lt;MIN(KW_TP!$A$2:$A$2501),$A74&gt;MAX(KW_TP!$A$2:$A$2501)),NA(),INDEX(KW_TP!$C$2:$C$2501,MATCH($A74,KW_TP!$A$2:$A$2501,1))))</f>
        <v/>
      </c>
      <c r="Q74" s="18">
        <f>IF(NOT(ISNUMBER($A74)),NA(),IFERROR(1*INDEX(BBG_Data!$J$2:$J$4000,MATCH($A74,BBG_Data!$I$2:$I$4000,0)),NA()))</f>
        <v/>
      </c>
      <c r="R74" s="18">
        <f>IF(NOT(ISNUMBER($A74)),NA(),IFERROR(1*INDEX(BBG_Data!$L$2:$L$4000,MATCH($A74,BBG_Data!$K$2:$K$4000,0)),NA()))</f>
        <v/>
      </c>
      <c r="S74" s="20">
        <f>IF(AND(ISNUMBER(B74),ISNUMBER(Q74),ISNUMBER(R74)),(B74-Q74-R74)*100,NA())</f>
        <v/>
      </c>
      <c r="T74" s="20">
        <f>IF(AND(ISNUMBER(B74),Settings!$B$17&gt;0),IF(ISNUMBER(INDEX($B:$B,Settings!$B$17)),(B74-INDEX($B:$B,Settings!$B$17))*100,NA()),NA())</f>
        <v/>
      </c>
      <c r="U74" s="20">
        <f>IF(AND(ISNUMBER(Q74),Settings!$B$17&gt;0),IF(ISNUMBER(INDEX($Q:$Q,Settings!$B$17)),(Q74-INDEX($Q:$Q,Settings!$B$17))*100,NA()),NA())</f>
        <v/>
      </c>
      <c r="V74" s="20">
        <f>IF(AND(ISNUMBER(R74),Settings!$B$17&gt;0),IF(ISNUMBER(INDEX($R:$R,Settings!$B$17)),(R74-INDEX($R:$R,Settings!$B$17))*100,NA()),NA())</f>
        <v/>
      </c>
      <c r="W74" s="20">
        <f>IF(AND(ISNUMBER(P74),Settings!$B$17&gt;0),IF(ISNUMBER(INDEX($P:$P,Settings!$B$17)),P74-INDEX($P:$P,Settings!$B$17),NA()),NA())</f>
        <v/>
      </c>
      <c r="X74" s="19">
        <f>IF(NOT(ISNUMBER($A74)),NA(),IF(OR($A74&lt;MIN(DKW_10Y!$A$2:$A$2918),$A74&gt;MAX(DKW_10Y!$A$2:$A$2918),Settings!$B$16&lt;MIN(DKW_10Y!$A$2:$A$2918)),NA(),(INDEX(DKW_10Y!$B$2:$B$2918,MATCH($A74,DKW_10Y!$A$2:$A$2918,1))-INDEX(DKW_10Y!$B$2:$B$2918,MATCH(Settings!$B$16,DKW_10Y!$A$2:$A$2918,1)))*100))</f>
        <v/>
      </c>
      <c r="Y74" s="19">
        <f>IF(NOT(ISNUMBER($A74)),NA(),IF(OR($A74&lt;MIN(DKW_10Y!$A$2:$A$2918),$A74&gt;MAX(DKW_10Y!$A$2:$A$2918),Settings!$B$16&lt;MIN(DKW_10Y!$A$2:$A$2918)),NA(),(INDEX(DKW_10Y!$C$2:$C$2918,MATCH($A74,DKW_10Y!$A$2:$A$2918,1))-INDEX(DKW_10Y!$C$2:$C$2918,MATCH(Settings!$B$16,DKW_10Y!$A$2:$A$2918,1)))*100))</f>
        <v/>
      </c>
      <c r="Z74" s="19">
        <f>IF(NOT(ISNUMBER($A74)),NA(),IF(OR($A74&lt;MIN(DKW_10Y!$A$2:$A$2918),$A74&gt;MAX(DKW_10Y!$A$2:$A$2918),Settings!$B$16&lt;MIN(DKW_10Y!$A$2:$A$2918)),NA(),(INDEX(DKW_10Y!$D$2:$D$2918,MATCH($A74,DKW_10Y!$A$2:$A$2918,1))-INDEX(DKW_10Y!$D$2:$D$2918,MATCH(Settings!$B$16,DKW_10Y!$A$2:$A$2918,1)))*100))</f>
        <v/>
      </c>
      <c r="AA74" s="19">
        <f>IF(NOT(ISNUMBER($A74)),NA(),IF(OR($A74&lt;MIN(DKW_10Y!$A$2:$A$2918),$A74&gt;MAX(DKW_10Y!$A$2:$A$2918),Settings!$B$16&lt;MIN(DKW_10Y!$A$2:$A$2918)),NA(),(INDEX(DKW_10Y!$E$2:$E$2918,MATCH($A74,DKW_10Y!$A$2:$A$2918,1))-INDEX(DKW_10Y!$E$2:$E$2918,MATCH(Settings!$B$16,DKW_10Y!$A$2:$A$2918,1)))*100))</f>
        <v/>
      </c>
      <c r="AB74" s="19">
        <f>IF(NOT(ISNUMBER($A74)),NA(),IF(OR($A74&lt;MIN(DKW_10Y!$A$2:$A$2918),$A74&gt;MAX(DKW_10Y!$A$2:$A$2918),Settings!$B$16&lt;MIN(DKW_10Y!$A$2:$A$2918)),NA(),(INDEX(DKW_10Y!$H$2:$H$2918,MATCH($A74,DKW_10Y!$A$2:$A$2918,1))-INDEX(DKW_10Y!$H$2:$H$2918,MATCH(Settings!$B$16,DKW_10Y!$A$2:$A$2918,1)))*100))</f>
        <v/>
      </c>
      <c r="AC74" s="18">
        <f>IF(NOT(ISNUMBER($A74)),NA(),IFERROR(1*INDEX(BBG_Data!$N$2:$N$4000,MATCH($A74,BBG_Data!$M$2:$M$4000,0)),NA()))</f>
        <v/>
      </c>
      <c r="AD74" s="18">
        <f>IF(NOT(ISNUMBER($A74)),NA(),IFERROR(1*INDEX(BBG_Data!$P$2:$P$4000,MATCH($A74,BBG_Data!$O$2:$O$4000,0)),NA()))</f>
        <v/>
      </c>
      <c r="AE74" s="18">
        <f>IF(NOT(ISNUMBER($A74)),NA(),IFERROR(1*INDEX(BBG_Data!$R$2:$R$4000,MATCH($A74,BBG_Data!$Q$2:$Q$4000,0)),NA()))</f>
        <v/>
      </c>
      <c r="AF74" s="20">
        <f>IF(AND(ISNUMBER(B74),ISNUMBER(AC74)),(B74-AC74)*100,NA())</f>
        <v/>
      </c>
      <c r="AG74" s="20">
        <f>IF(AND(ISNUMBER(AE74),ISNUMBER(AD74)),(AE74-AD74)*100,NA())</f>
        <v/>
      </c>
      <c r="AH74" s="19">
        <f>IF(NOT(ISNUMBER($A74)),NA(),IFERROR(INDEX(BBG_Data!$T$2:$T$4000,MATCH($A74,BBG_Data!$S$2:$S$4000,0))*Settings!$B$25,NA()))</f>
        <v/>
      </c>
      <c r="AI74" s="19">
        <f>IF(NOT(ISNUMBER($A74)),NA(),IFERROR(INDEX(BBG_Data!$V$2:$V$4000,MATCH($A74,BBG_Data!$U$2:$U$4000,0))*Settings!$B$25,NA()))</f>
        <v/>
      </c>
      <c r="AJ74" s="19">
        <f>IF(NOT(ISNUMBER($A74)),NA(),IFERROR(1*INDEX(BBG_Data!$X$2:$X$4000,MATCH($A74,BBG_Data!$W$2:$W$4000,0)),NA()))</f>
        <v/>
      </c>
      <c r="AK74" s="19">
        <f>IF(NOT(ISNUMBER($A74)),NA(),IFERROR(1*INDEX(BBG_Data!$Z$2:$Z$4000,MATCH($A74,BBG_Data!$Y$2:$Y$4000,0)),NA()))</f>
        <v/>
      </c>
    </row>
    <row r="75">
      <c r="A75" s="17">
        <f>IF(ISNUMBER(BBG_Data!A75),BBG_Data!A75,"")</f>
        <v/>
      </c>
      <c r="B75" s="18">
        <f>IF(AND(ISNUMBER($A75),ISNUMBER(BBG_Data!B75)),BBG_Data!B75,NA())</f>
        <v/>
      </c>
      <c r="C75" s="18">
        <f>IF(NOT(ISNUMBER($A75)),NA(),IFERROR(1*INDEX(BBG_Data!$D$2:$D$4000,MATCH($A75,BBG_Data!$C$2:$C$4000,0)),NA()))</f>
        <v/>
      </c>
      <c r="D75" s="19">
        <f>IF(NOT(ISNUMBER($A75)),NA(),IFERROR(1*INDEX(BBG_Data!$F$2:$F$4000,MATCH($A75,BBG_Data!$E$2:$E$4000,0)),NA()))</f>
        <v/>
      </c>
      <c r="E75" s="19">
        <f>IF(NOT(ISNUMBER($A75)),NA(),IFERROR(1*INDEX(BBG_Data!$H$2:$H$4000,MATCH($A75,BBG_Data!$G$2:$G$4000,0)),NA()))</f>
        <v/>
      </c>
      <c r="F75" s="20">
        <f>IF(AND(ISNUMBER(B75),ISNUMBER(B74)),IF(B75=B74,"",(B75-B74)*100),"")</f>
        <v/>
      </c>
      <c r="G75" s="20">
        <f>IF(AND(ISNUMBER(C75),ISNUMBER(C74)),IF(C75=C74,"",(C75-C74)*100),"")</f>
        <v/>
      </c>
      <c r="H75" s="20">
        <f>IF(OR(NOT(ISNUMBER($A75)),ROW()-2&lt;Settings!$B$11),NA(),IF(COUNT(OFFSET(F75,1-Settings!$B$11,0,Settings!$B$11,1))&lt;ROUNDUP(Settings!$B$11*Settings!$B$26,0),NA(),STDEV(OFFSET(F75,1-Settings!$B$11,0,Settings!$B$11,1))*SQRT(Settings!$B$13)))</f>
        <v/>
      </c>
      <c r="I75" s="20">
        <f>IF(OR(NOT(ISNUMBER($A75)),ROW()-2&lt;Settings!$B$12),NA(),IF(COUNT(OFFSET(F75,1-Settings!$B$12,0,Settings!$B$12,1))&lt;ROUNDUP(Settings!$B$12*Settings!$B$26,0),NA(),STDEV(OFFSET(F75,1-Settings!$B$12,0,Settings!$B$12,1))*SQRT(Settings!$B$13)))</f>
        <v/>
      </c>
      <c r="J75" s="20">
        <f>IF(OR(NOT(ISNUMBER($A75)),ROW()-2&lt;Settings!$B$11),NA(),IF(COUNT(OFFSET(G75,1-Settings!$B$11,0,Settings!$B$11,1))&lt;ROUNDUP(Settings!$B$11*Settings!$B$26,0),NA(),STDEV(OFFSET(G75,1-Settings!$B$11,0,Settings!$B$11,1))*SQRT(Settings!$B$13)))</f>
        <v/>
      </c>
      <c r="K75" s="20">
        <f>IF(OR(NOT(ISNUMBER($A75)),ROW()-2&lt;Settings!$B$12),NA(),IF(COUNT(OFFSET(G75,1-Settings!$B$12,0,Settings!$B$12,1))&lt;ROUNDUP(Settings!$B$12*Settings!$B$26,0),NA(),STDEV(OFFSET(G75,1-Settings!$B$12,0,Settings!$B$12,1))*SQRT(Settings!$B$13)))</f>
        <v/>
      </c>
      <c r="L75" s="20">
        <f>IF(AND(ISNUMBER(D75),ISNUMBER(H75)),D75-H75,NA())</f>
        <v/>
      </c>
      <c r="M75" s="20">
        <f>IF(AND(ISNUMBER(E75),ISNUMBER(K75)),E75-K75,NA())</f>
        <v/>
      </c>
      <c r="N75" s="20">
        <f>IF(NOT(ISNUMBER($A75)),NA(),IF(COUNT(OFFSET(G75,1,0,Settings!$B$12,1))&lt;ROUNDUP(Settings!$B$12*Settings!$B$26,0),NA(),STDEV(OFFSET(G75,1,0,Settings!$B$12,1))*SQRT(Settings!$B$13)))</f>
        <v/>
      </c>
      <c r="O75" s="20">
        <f>IF(AND(ISNUMBER(E75),ISNUMBER(N75)),E75-N75,NA())</f>
        <v/>
      </c>
      <c r="P75" s="19">
        <f>IF(NOT(ISNUMBER($A75)),NA(),IF(OR($A75&lt;MIN(KW_TP!$A$2:$A$2501),$A75&gt;MAX(KW_TP!$A$2:$A$2501)),NA(),INDEX(KW_TP!$C$2:$C$2501,MATCH($A75,KW_TP!$A$2:$A$2501,1))))</f>
        <v/>
      </c>
      <c r="Q75" s="18">
        <f>IF(NOT(ISNUMBER($A75)),NA(),IFERROR(1*INDEX(BBG_Data!$J$2:$J$4000,MATCH($A75,BBG_Data!$I$2:$I$4000,0)),NA()))</f>
        <v/>
      </c>
      <c r="R75" s="18">
        <f>IF(NOT(ISNUMBER($A75)),NA(),IFERROR(1*INDEX(BBG_Data!$L$2:$L$4000,MATCH($A75,BBG_Data!$K$2:$K$4000,0)),NA()))</f>
        <v/>
      </c>
      <c r="S75" s="20">
        <f>IF(AND(ISNUMBER(B75),ISNUMBER(Q75),ISNUMBER(R75)),(B75-Q75-R75)*100,NA())</f>
        <v/>
      </c>
      <c r="T75" s="20">
        <f>IF(AND(ISNUMBER(B75),Settings!$B$17&gt;0),IF(ISNUMBER(INDEX($B:$B,Settings!$B$17)),(B75-INDEX($B:$B,Settings!$B$17))*100,NA()),NA())</f>
        <v/>
      </c>
      <c r="U75" s="20">
        <f>IF(AND(ISNUMBER(Q75),Settings!$B$17&gt;0),IF(ISNUMBER(INDEX($Q:$Q,Settings!$B$17)),(Q75-INDEX($Q:$Q,Settings!$B$17))*100,NA()),NA())</f>
        <v/>
      </c>
      <c r="V75" s="20">
        <f>IF(AND(ISNUMBER(R75),Settings!$B$17&gt;0),IF(ISNUMBER(INDEX($R:$R,Settings!$B$17)),(R75-INDEX($R:$R,Settings!$B$17))*100,NA()),NA())</f>
        <v/>
      </c>
      <c r="W75" s="20">
        <f>IF(AND(ISNUMBER(P75),Settings!$B$17&gt;0),IF(ISNUMBER(INDEX($P:$P,Settings!$B$17)),P75-INDEX($P:$P,Settings!$B$17),NA()),NA())</f>
        <v/>
      </c>
      <c r="X75" s="19">
        <f>IF(NOT(ISNUMBER($A75)),NA(),IF(OR($A75&lt;MIN(DKW_10Y!$A$2:$A$2918),$A75&gt;MAX(DKW_10Y!$A$2:$A$2918),Settings!$B$16&lt;MIN(DKW_10Y!$A$2:$A$2918)),NA(),(INDEX(DKW_10Y!$B$2:$B$2918,MATCH($A75,DKW_10Y!$A$2:$A$2918,1))-INDEX(DKW_10Y!$B$2:$B$2918,MATCH(Settings!$B$16,DKW_10Y!$A$2:$A$2918,1)))*100))</f>
        <v/>
      </c>
      <c r="Y75" s="19">
        <f>IF(NOT(ISNUMBER($A75)),NA(),IF(OR($A75&lt;MIN(DKW_10Y!$A$2:$A$2918),$A75&gt;MAX(DKW_10Y!$A$2:$A$2918),Settings!$B$16&lt;MIN(DKW_10Y!$A$2:$A$2918)),NA(),(INDEX(DKW_10Y!$C$2:$C$2918,MATCH($A75,DKW_10Y!$A$2:$A$2918,1))-INDEX(DKW_10Y!$C$2:$C$2918,MATCH(Settings!$B$16,DKW_10Y!$A$2:$A$2918,1)))*100))</f>
        <v/>
      </c>
      <c r="Z75" s="19">
        <f>IF(NOT(ISNUMBER($A75)),NA(),IF(OR($A75&lt;MIN(DKW_10Y!$A$2:$A$2918),$A75&gt;MAX(DKW_10Y!$A$2:$A$2918),Settings!$B$16&lt;MIN(DKW_10Y!$A$2:$A$2918)),NA(),(INDEX(DKW_10Y!$D$2:$D$2918,MATCH($A75,DKW_10Y!$A$2:$A$2918,1))-INDEX(DKW_10Y!$D$2:$D$2918,MATCH(Settings!$B$16,DKW_10Y!$A$2:$A$2918,1)))*100))</f>
        <v/>
      </c>
      <c r="AA75" s="19">
        <f>IF(NOT(ISNUMBER($A75)),NA(),IF(OR($A75&lt;MIN(DKW_10Y!$A$2:$A$2918),$A75&gt;MAX(DKW_10Y!$A$2:$A$2918),Settings!$B$16&lt;MIN(DKW_10Y!$A$2:$A$2918)),NA(),(INDEX(DKW_10Y!$E$2:$E$2918,MATCH($A75,DKW_10Y!$A$2:$A$2918,1))-INDEX(DKW_10Y!$E$2:$E$2918,MATCH(Settings!$B$16,DKW_10Y!$A$2:$A$2918,1)))*100))</f>
        <v/>
      </c>
      <c r="AB75" s="19">
        <f>IF(NOT(ISNUMBER($A75)),NA(),IF(OR($A75&lt;MIN(DKW_10Y!$A$2:$A$2918),$A75&gt;MAX(DKW_10Y!$A$2:$A$2918),Settings!$B$16&lt;MIN(DKW_10Y!$A$2:$A$2918)),NA(),(INDEX(DKW_10Y!$H$2:$H$2918,MATCH($A75,DKW_10Y!$A$2:$A$2918,1))-INDEX(DKW_10Y!$H$2:$H$2918,MATCH(Settings!$B$16,DKW_10Y!$A$2:$A$2918,1)))*100))</f>
        <v/>
      </c>
      <c r="AC75" s="18">
        <f>IF(NOT(ISNUMBER($A75)),NA(),IFERROR(1*INDEX(BBG_Data!$N$2:$N$4000,MATCH($A75,BBG_Data!$M$2:$M$4000,0)),NA()))</f>
        <v/>
      </c>
      <c r="AD75" s="18">
        <f>IF(NOT(ISNUMBER($A75)),NA(),IFERROR(1*INDEX(BBG_Data!$P$2:$P$4000,MATCH($A75,BBG_Data!$O$2:$O$4000,0)),NA()))</f>
        <v/>
      </c>
      <c r="AE75" s="18">
        <f>IF(NOT(ISNUMBER($A75)),NA(),IFERROR(1*INDEX(BBG_Data!$R$2:$R$4000,MATCH($A75,BBG_Data!$Q$2:$Q$4000,0)),NA()))</f>
        <v/>
      </c>
      <c r="AF75" s="20">
        <f>IF(AND(ISNUMBER(B75),ISNUMBER(AC75)),(B75-AC75)*100,NA())</f>
        <v/>
      </c>
      <c r="AG75" s="20">
        <f>IF(AND(ISNUMBER(AE75),ISNUMBER(AD75)),(AE75-AD75)*100,NA())</f>
        <v/>
      </c>
      <c r="AH75" s="19">
        <f>IF(NOT(ISNUMBER($A75)),NA(),IFERROR(INDEX(BBG_Data!$T$2:$T$4000,MATCH($A75,BBG_Data!$S$2:$S$4000,0))*Settings!$B$25,NA()))</f>
        <v/>
      </c>
      <c r="AI75" s="19">
        <f>IF(NOT(ISNUMBER($A75)),NA(),IFERROR(INDEX(BBG_Data!$V$2:$V$4000,MATCH($A75,BBG_Data!$U$2:$U$4000,0))*Settings!$B$25,NA()))</f>
        <v/>
      </c>
      <c r="AJ75" s="19">
        <f>IF(NOT(ISNUMBER($A75)),NA(),IFERROR(1*INDEX(BBG_Data!$X$2:$X$4000,MATCH($A75,BBG_Data!$W$2:$W$4000,0)),NA()))</f>
        <v/>
      </c>
      <c r="AK75" s="19">
        <f>IF(NOT(ISNUMBER($A75)),NA(),IFERROR(1*INDEX(BBG_Data!$Z$2:$Z$4000,MATCH($A75,BBG_Data!$Y$2:$Y$4000,0)),NA()))</f>
        <v/>
      </c>
    </row>
    <row r="76">
      <c r="A76" s="17">
        <f>IF(ISNUMBER(BBG_Data!A76),BBG_Data!A76,"")</f>
        <v/>
      </c>
      <c r="B76" s="18">
        <f>IF(AND(ISNUMBER($A76),ISNUMBER(BBG_Data!B76)),BBG_Data!B76,NA())</f>
        <v/>
      </c>
      <c r="C76" s="18">
        <f>IF(NOT(ISNUMBER($A76)),NA(),IFERROR(1*INDEX(BBG_Data!$D$2:$D$4000,MATCH($A76,BBG_Data!$C$2:$C$4000,0)),NA()))</f>
        <v/>
      </c>
      <c r="D76" s="19">
        <f>IF(NOT(ISNUMBER($A76)),NA(),IFERROR(1*INDEX(BBG_Data!$F$2:$F$4000,MATCH($A76,BBG_Data!$E$2:$E$4000,0)),NA()))</f>
        <v/>
      </c>
      <c r="E76" s="19">
        <f>IF(NOT(ISNUMBER($A76)),NA(),IFERROR(1*INDEX(BBG_Data!$H$2:$H$4000,MATCH($A76,BBG_Data!$G$2:$G$4000,0)),NA()))</f>
        <v/>
      </c>
      <c r="F76" s="20">
        <f>IF(AND(ISNUMBER(B76),ISNUMBER(B75)),IF(B76=B75,"",(B76-B75)*100),"")</f>
        <v/>
      </c>
      <c r="G76" s="20">
        <f>IF(AND(ISNUMBER(C76),ISNUMBER(C75)),IF(C76=C75,"",(C76-C75)*100),"")</f>
        <v/>
      </c>
      <c r="H76" s="20">
        <f>IF(OR(NOT(ISNUMBER($A76)),ROW()-2&lt;Settings!$B$11),NA(),IF(COUNT(OFFSET(F76,1-Settings!$B$11,0,Settings!$B$11,1))&lt;ROUNDUP(Settings!$B$11*Settings!$B$26,0),NA(),STDEV(OFFSET(F76,1-Settings!$B$11,0,Settings!$B$11,1))*SQRT(Settings!$B$13)))</f>
        <v/>
      </c>
      <c r="I76" s="20">
        <f>IF(OR(NOT(ISNUMBER($A76)),ROW()-2&lt;Settings!$B$12),NA(),IF(COUNT(OFFSET(F76,1-Settings!$B$12,0,Settings!$B$12,1))&lt;ROUNDUP(Settings!$B$12*Settings!$B$26,0),NA(),STDEV(OFFSET(F76,1-Settings!$B$12,0,Settings!$B$12,1))*SQRT(Settings!$B$13)))</f>
        <v/>
      </c>
      <c r="J76" s="20">
        <f>IF(OR(NOT(ISNUMBER($A76)),ROW()-2&lt;Settings!$B$11),NA(),IF(COUNT(OFFSET(G76,1-Settings!$B$11,0,Settings!$B$11,1))&lt;ROUNDUP(Settings!$B$11*Settings!$B$26,0),NA(),STDEV(OFFSET(G76,1-Settings!$B$11,0,Settings!$B$11,1))*SQRT(Settings!$B$13)))</f>
        <v/>
      </c>
      <c r="K76" s="20">
        <f>IF(OR(NOT(ISNUMBER($A76)),ROW()-2&lt;Settings!$B$12),NA(),IF(COUNT(OFFSET(G76,1-Settings!$B$12,0,Settings!$B$12,1))&lt;ROUNDUP(Settings!$B$12*Settings!$B$26,0),NA(),STDEV(OFFSET(G76,1-Settings!$B$12,0,Settings!$B$12,1))*SQRT(Settings!$B$13)))</f>
        <v/>
      </c>
      <c r="L76" s="20">
        <f>IF(AND(ISNUMBER(D76),ISNUMBER(H76)),D76-H76,NA())</f>
        <v/>
      </c>
      <c r="M76" s="20">
        <f>IF(AND(ISNUMBER(E76),ISNUMBER(K76)),E76-K76,NA())</f>
        <v/>
      </c>
      <c r="N76" s="20">
        <f>IF(NOT(ISNUMBER($A76)),NA(),IF(COUNT(OFFSET(G76,1,0,Settings!$B$12,1))&lt;ROUNDUP(Settings!$B$12*Settings!$B$26,0),NA(),STDEV(OFFSET(G76,1,0,Settings!$B$12,1))*SQRT(Settings!$B$13)))</f>
        <v/>
      </c>
      <c r="O76" s="20">
        <f>IF(AND(ISNUMBER(E76),ISNUMBER(N76)),E76-N76,NA())</f>
        <v/>
      </c>
      <c r="P76" s="19">
        <f>IF(NOT(ISNUMBER($A76)),NA(),IF(OR($A76&lt;MIN(KW_TP!$A$2:$A$2501),$A76&gt;MAX(KW_TP!$A$2:$A$2501)),NA(),INDEX(KW_TP!$C$2:$C$2501,MATCH($A76,KW_TP!$A$2:$A$2501,1))))</f>
        <v/>
      </c>
      <c r="Q76" s="18">
        <f>IF(NOT(ISNUMBER($A76)),NA(),IFERROR(1*INDEX(BBG_Data!$J$2:$J$4000,MATCH($A76,BBG_Data!$I$2:$I$4000,0)),NA()))</f>
        <v/>
      </c>
      <c r="R76" s="18">
        <f>IF(NOT(ISNUMBER($A76)),NA(),IFERROR(1*INDEX(BBG_Data!$L$2:$L$4000,MATCH($A76,BBG_Data!$K$2:$K$4000,0)),NA()))</f>
        <v/>
      </c>
      <c r="S76" s="20">
        <f>IF(AND(ISNUMBER(B76),ISNUMBER(Q76),ISNUMBER(R76)),(B76-Q76-R76)*100,NA())</f>
        <v/>
      </c>
      <c r="T76" s="20">
        <f>IF(AND(ISNUMBER(B76),Settings!$B$17&gt;0),IF(ISNUMBER(INDEX($B:$B,Settings!$B$17)),(B76-INDEX($B:$B,Settings!$B$17))*100,NA()),NA())</f>
        <v/>
      </c>
      <c r="U76" s="20">
        <f>IF(AND(ISNUMBER(Q76),Settings!$B$17&gt;0),IF(ISNUMBER(INDEX($Q:$Q,Settings!$B$17)),(Q76-INDEX($Q:$Q,Settings!$B$17))*100,NA()),NA())</f>
        <v/>
      </c>
      <c r="V76" s="20">
        <f>IF(AND(ISNUMBER(R76),Settings!$B$17&gt;0),IF(ISNUMBER(INDEX($R:$R,Settings!$B$17)),(R76-INDEX($R:$R,Settings!$B$17))*100,NA()),NA())</f>
        <v/>
      </c>
      <c r="W76" s="20">
        <f>IF(AND(ISNUMBER(P76),Settings!$B$17&gt;0),IF(ISNUMBER(INDEX($P:$P,Settings!$B$17)),P76-INDEX($P:$P,Settings!$B$17),NA()),NA())</f>
        <v/>
      </c>
      <c r="X76" s="19">
        <f>IF(NOT(ISNUMBER($A76)),NA(),IF(OR($A76&lt;MIN(DKW_10Y!$A$2:$A$2918),$A76&gt;MAX(DKW_10Y!$A$2:$A$2918),Settings!$B$16&lt;MIN(DKW_10Y!$A$2:$A$2918)),NA(),(INDEX(DKW_10Y!$B$2:$B$2918,MATCH($A76,DKW_10Y!$A$2:$A$2918,1))-INDEX(DKW_10Y!$B$2:$B$2918,MATCH(Settings!$B$16,DKW_10Y!$A$2:$A$2918,1)))*100))</f>
        <v/>
      </c>
      <c r="Y76" s="19">
        <f>IF(NOT(ISNUMBER($A76)),NA(),IF(OR($A76&lt;MIN(DKW_10Y!$A$2:$A$2918),$A76&gt;MAX(DKW_10Y!$A$2:$A$2918),Settings!$B$16&lt;MIN(DKW_10Y!$A$2:$A$2918)),NA(),(INDEX(DKW_10Y!$C$2:$C$2918,MATCH($A76,DKW_10Y!$A$2:$A$2918,1))-INDEX(DKW_10Y!$C$2:$C$2918,MATCH(Settings!$B$16,DKW_10Y!$A$2:$A$2918,1)))*100))</f>
        <v/>
      </c>
      <c r="Z76" s="19">
        <f>IF(NOT(ISNUMBER($A76)),NA(),IF(OR($A76&lt;MIN(DKW_10Y!$A$2:$A$2918),$A76&gt;MAX(DKW_10Y!$A$2:$A$2918),Settings!$B$16&lt;MIN(DKW_10Y!$A$2:$A$2918)),NA(),(INDEX(DKW_10Y!$D$2:$D$2918,MATCH($A76,DKW_10Y!$A$2:$A$2918,1))-INDEX(DKW_10Y!$D$2:$D$2918,MATCH(Settings!$B$16,DKW_10Y!$A$2:$A$2918,1)))*100))</f>
        <v/>
      </c>
      <c r="AA76" s="19">
        <f>IF(NOT(ISNUMBER($A76)),NA(),IF(OR($A76&lt;MIN(DKW_10Y!$A$2:$A$2918),$A76&gt;MAX(DKW_10Y!$A$2:$A$2918),Settings!$B$16&lt;MIN(DKW_10Y!$A$2:$A$2918)),NA(),(INDEX(DKW_10Y!$E$2:$E$2918,MATCH($A76,DKW_10Y!$A$2:$A$2918,1))-INDEX(DKW_10Y!$E$2:$E$2918,MATCH(Settings!$B$16,DKW_10Y!$A$2:$A$2918,1)))*100))</f>
        <v/>
      </c>
      <c r="AB76" s="19">
        <f>IF(NOT(ISNUMBER($A76)),NA(),IF(OR($A76&lt;MIN(DKW_10Y!$A$2:$A$2918),$A76&gt;MAX(DKW_10Y!$A$2:$A$2918),Settings!$B$16&lt;MIN(DKW_10Y!$A$2:$A$2918)),NA(),(INDEX(DKW_10Y!$H$2:$H$2918,MATCH($A76,DKW_10Y!$A$2:$A$2918,1))-INDEX(DKW_10Y!$H$2:$H$2918,MATCH(Settings!$B$16,DKW_10Y!$A$2:$A$2918,1)))*100))</f>
        <v/>
      </c>
      <c r="AC76" s="18">
        <f>IF(NOT(ISNUMBER($A76)),NA(),IFERROR(1*INDEX(BBG_Data!$N$2:$N$4000,MATCH($A76,BBG_Data!$M$2:$M$4000,0)),NA()))</f>
        <v/>
      </c>
      <c r="AD76" s="18">
        <f>IF(NOT(ISNUMBER($A76)),NA(),IFERROR(1*INDEX(BBG_Data!$P$2:$P$4000,MATCH($A76,BBG_Data!$O$2:$O$4000,0)),NA()))</f>
        <v/>
      </c>
      <c r="AE76" s="18">
        <f>IF(NOT(ISNUMBER($A76)),NA(),IFERROR(1*INDEX(BBG_Data!$R$2:$R$4000,MATCH($A76,BBG_Data!$Q$2:$Q$4000,0)),NA()))</f>
        <v/>
      </c>
      <c r="AF76" s="20">
        <f>IF(AND(ISNUMBER(B76),ISNUMBER(AC76)),(B76-AC76)*100,NA())</f>
        <v/>
      </c>
      <c r="AG76" s="20">
        <f>IF(AND(ISNUMBER(AE76),ISNUMBER(AD76)),(AE76-AD76)*100,NA())</f>
        <v/>
      </c>
      <c r="AH76" s="19">
        <f>IF(NOT(ISNUMBER($A76)),NA(),IFERROR(INDEX(BBG_Data!$T$2:$T$4000,MATCH($A76,BBG_Data!$S$2:$S$4000,0))*Settings!$B$25,NA()))</f>
        <v/>
      </c>
      <c r="AI76" s="19">
        <f>IF(NOT(ISNUMBER($A76)),NA(),IFERROR(INDEX(BBG_Data!$V$2:$V$4000,MATCH($A76,BBG_Data!$U$2:$U$4000,0))*Settings!$B$25,NA()))</f>
        <v/>
      </c>
      <c r="AJ76" s="19">
        <f>IF(NOT(ISNUMBER($A76)),NA(),IFERROR(1*INDEX(BBG_Data!$X$2:$X$4000,MATCH($A76,BBG_Data!$W$2:$W$4000,0)),NA()))</f>
        <v/>
      </c>
      <c r="AK76" s="19">
        <f>IF(NOT(ISNUMBER($A76)),NA(),IFERROR(1*INDEX(BBG_Data!$Z$2:$Z$4000,MATCH($A76,BBG_Data!$Y$2:$Y$4000,0)),NA()))</f>
        <v/>
      </c>
    </row>
    <row r="77">
      <c r="A77" s="17">
        <f>IF(ISNUMBER(BBG_Data!A77),BBG_Data!A77,"")</f>
        <v/>
      </c>
      <c r="B77" s="18">
        <f>IF(AND(ISNUMBER($A77),ISNUMBER(BBG_Data!B77)),BBG_Data!B77,NA())</f>
        <v/>
      </c>
      <c r="C77" s="18">
        <f>IF(NOT(ISNUMBER($A77)),NA(),IFERROR(1*INDEX(BBG_Data!$D$2:$D$4000,MATCH($A77,BBG_Data!$C$2:$C$4000,0)),NA()))</f>
        <v/>
      </c>
      <c r="D77" s="19">
        <f>IF(NOT(ISNUMBER($A77)),NA(),IFERROR(1*INDEX(BBG_Data!$F$2:$F$4000,MATCH($A77,BBG_Data!$E$2:$E$4000,0)),NA()))</f>
        <v/>
      </c>
      <c r="E77" s="19">
        <f>IF(NOT(ISNUMBER($A77)),NA(),IFERROR(1*INDEX(BBG_Data!$H$2:$H$4000,MATCH($A77,BBG_Data!$G$2:$G$4000,0)),NA()))</f>
        <v/>
      </c>
      <c r="F77" s="20">
        <f>IF(AND(ISNUMBER(B77),ISNUMBER(B76)),IF(B77=B76,"",(B77-B76)*100),"")</f>
        <v/>
      </c>
      <c r="G77" s="20">
        <f>IF(AND(ISNUMBER(C77),ISNUMBER(C76)),IF(C77=C76,"",(C77-C76)*100),"")</f>
        <v/>
      </c>
      <c r="H77" s="20">
        <f>IF(OR(NOT(ISNUMBER($A77)),ROW()-2&lt;Settings!$B$11),NA(),IF(COUNT(OFFSET(F77,1-Settings!$B$11,0,Settings!$B$11,1))&lt;ROUNDUP(Settings!$B$11*Settings!$B$26,0),NA(),STDEV(OFFSET(F77,1-Settings!$B$11,0,Settings!$B$11,1))*SQRT(Settings!$B$13)))</f>
        <v/>
      </c>
      <c r="I77" s="20">
        <f>IF(OR(NOT(ISNUMBER($A77)),ROW()-2&lt;Settings!$B$12),NA(),IF(COUNT(OFFSET(F77,1-Settings!$B$12,0,Settings!$B$12,1))&lt;ROUNDUP(Settings!$B$12*Settings!$B$26,0),NA(),STDEV(OFFSET(F77,1-Settings!$B$12,0,Settings!$B$12,1))*SQRT(Settings!$B$13)))</f>
        <v/>
      </c>
      <c r="J77" s="20">
        <f>IF(OR(NOT(ISNUMBER($A77)),ROW()-2&lt;Settings!$B$11),NA(),IF(COUNT(OFFSET(G77,1-Settings!$B$11,0,Settings!$B$11,1))&lt;ROUNDUP(Settings!$B$11*Settings!$B$26,0),NA(),STDEV(OFFSET(G77,1-Settings!$B$11,0,Settings!$B$11,1))*SQRT(Settings!$B$13)))</f>
        <v/>
      </c>
      <c r="K77" s="20">
        <f>IF(OR(NOT(ISNUMBER($A77)),ROW()-2&lt;Settings!$B$12),NA(),IF(COUNT(OFFSET(G77,1-Settings!$B$12,0,Settings!$B$12,1))&lt;ROUNDUP(Settings!$B$12*Settings!$B$26,0),NA(),STDEV(OFFSET(G77,1-Settings!$B$12,0,Settings!$B$12,1))*SQRT(Settings!$B$13)))</f>
        <v/>
      </c>
      <c r="L77" s="20">
        <f>IF(AND(ISNUMBER(D77),ISNUMBER(H77)),D77-H77,NA())</f>
        <v/>
      </c>
      <c r="M77" s="20">
        <f>IF(AND(ISNUMBER(E77),ISNUMBER(K77)),E77-K77,NA())</f>
        <v/>
      </c>
      <c r="N77" s="20">
        <f>IF(NOT(ISNUMBER($A77)),NA(),IF(COUNT(OFFSET(G77,1,0,Settings!$B$12,1))&lt;ROUNDUP(Settings!$B$12*Settings!$B$26,0),NA(),STDEV(OFFSET(G77,1,0,Settings!$B$12,1))*SQRT(Settings!$B$13)))</f>
        <v/>
      </c>
      <c r="O77" s="20">
        <f>IF(AND(ISNUMBER(E77),ISNUMBER(N77)),E77-N77,NA())</f>
        <v/>
      </c>
      <c r="P77" s="19">
        <f>IF(NOT(ISNUMBER($A77)),NA(),IF(OR($A77&lt;MIN(KW_TP!$A$2:$A$2501),$A77&gt;MAX(KW_TP!$A$2:$A$2501)),NA(),INDEX(KW_TP!$C$2:$C$2501,MATCH($A77,KW_TP!$A$2:$A$2501,1))))</f>
        <v/>
      </c>
      <c r="Q77" s="18">
        <f>IF(NOT(ISNUMBER($A77)),NA(),IFERROR(1*INDEX(BBG_Data!$J$2:$J$4000,MATCH($A77,BBG_Data!$I$2:$I$4000,0)),NA()))</f>
        <v/>
      </c>
      <c r="R77" s="18">
        <f>IF(NOT(ISNUMBER($A77)),NA(),IFERROR(1*INDEX(BBG_Data!$L$2:$L$4000,MATCH($A77,BBG_Data!$K$2:$K$4000,0)),NA()))</f>
        <v/>
      </c>
      <c r="S77" s="20">
        <f>IF(AND(ISNUMBER(B77),ISNUMBER(Q77),ISNUMBER(R77)),(B77-Q77-R77)*100,NA())</f>
        <v/>
      </c>
      <c r="T77" s="20">
        <f>IF(AND(ISNUMBER(B77),Settings!$B$17&gt;0),IF(ISNUMBER(INDEX($B:$B,Settings!$B$17)),(B77-INDEX($B:$B,Settings!$B$17))*100,NA()),NA())</f>
        <v/>
      </c>
      <c r="U77" s="20">
        <f>IF(AND(ISNUMBER(Q77),Settings!$B$17&gt;0),IF(ISNUMBER(INDEX($Q:$Q,Settings!$B$17)),(Q77-INDEX($Q:$Q,Settings!$B$17))*100,NA()),NA())</f>
        <v/>
      </c>
      <c r="V77" s="20">
        <f>IF(AND(ISNUMBER(R77),Settings!$B$17&gt;0),IF(ISNUMBER(INDEX($R:$R,Settings!$B$17)),(R77-INDEX($R:$R,Settings!$B$17))*100,NA()),NA())</f>
        <v/>
      </c>
      <c r="W77" s="20">
        <f>IF(AND(ISNUMBER(P77),Settings!$B$17&gt;0),IF(ISNUMBER(INDEX($P:$P,Settings!$B$17)),P77-INDEX($P:$P,Settings!$B$17),NA()),NA())</f>
        <v/>
      </c>
      <c r="X77" s="19">
        <f>IF(NOT(ISNUMBER($A77)),NA(),IF(OR($A77&lt;MIN(DKW_10Y!$A$2:$A$2918),$A77&gt;MAX(DKW_10Y!$A$2:$A$2918),Settings!$B$16&lt;MIN(DKW_10Y!$A$2:$A$2918)),NA(),(INDEX(DKW_10Y!$B$2:$B$2918,MATCH($A77,DKW_10Y!$A$2:$A$2918,1))-INDEX(DKW_10Y!$B$2:$B$2918,MATCH(Settings!$B$16,DKW_10Y!$A$2:$A$2918,1)))*100))</f>
        <v/>
      </c>
      <c r="Y77" s="19">
        <f>IF(NOT(ISNUMBER($A77)),NA(),IF(OR($A77&lt;MIN(DKW_10Y!$A$2:$A$2918),$A77&gt;MAX(DKW_10Y!$A$2:$A$2918),Settings!$B$16&lt;MIN(DKW_10Y!$A$2:$A$2918)),NA(),(INDEX(DKW_10Y!$C$2:$C$2918,MATCH($A77,DKW_10Y!$A$2:$A$2918,1))-INDEX(DKW_10Y!$C$2:$C$2918,MATCH(Settings!$B$16,DKW_10Y!$A$2:$A$2918,1)))*100))</f>
        <v/>
      </c>
      <c r="Z77" s="19">
        <f>IF(NOT(ISNUMBER($A77)),NA(),IF(OR($A77&lt;MIN(DKW_10Y!$A$2:$A$2918),$A77&gt;MAX(DKW_10Y!$A$2:$A$2918),Settings!$B$16&lt;MIN(DKW_10Y!$A$2:$A$2918)),NA(),(INDEX(DKW_10Y!$D$2:$D$2918,MATCH($A77,DKW_10Y!$A$2:$A$2918,1))-INDEX(DKW_10Y!$D$2:$D$2918,MATCH(Settings!$B$16,DKW_10Y!$A$2:$A$2918,1)))*100))</f>
        <v/>
      </c>
      <c r="AA77" s="19">
        <f>IF(NOT(ISNUMBER($A77)),NA(),IF(OR($A77&lt;MIN(DKW_10Y!$A$2:$A$2918),$A77&gt;MAX(DKW_10Y!$A$2:$A$2918),Settings!$B$16&lt;MIN(DKW_10Y!$A$2:$A$2918)),NA(),(INDEX(DKW_10Y!$E$2:$E$2918,MATCH($A77,DKW_10Y!$A$2:$A$2918,1))-INDEX(DKW_10Y!$E$2:$E$2918,MATCH(Settings!$B$16,DKW_10Y!$A$2:$A$2918,1)))*100))</f>
        <v/>
      </c>
      <c r="AB77" s="19">
        <f>IF(NOT(ISNUMBER($A77)),NA(),IF(OR($A77&lt;MIN(DKW_10Y!$A$2:$A$2918),$A77&gt;MAX(DKW_10Y!$A$2:$A$2918),Settings!$B$16&lt;MIN(DKW_10Y!$A$2:$A$2918)),NA(),(INDEX(DKW_10Y!$H$2:$H$2918,MATCH($A77,DKW_10Y!$A$2:$A$2918,1))-INDEX(DKW_10Y!$H$2:$H$2918,MATCH(Settings!$B$16,DKW_10Y!$A$2:$A$2918,1)))*100))</f>
        <v/>
      </c>
      <c r="AC77" s="18">
        <f>IF(NOT(ISNUMBER($A77)),NA(),IFERROR(1*INDEX(BBG_Data!$N$2:$N$4000,MATCH($A77,BBG_Data!$M$2:$M$4000,0)),NA()))</f>
        <v/>
      </c>
      <c r="AD77" s="18">
        <f>IF(NOT(ISNUMBER($A77)),NA(),IFERROR(1*INDEX(BBG_Data!$P$2:$P$4000,MATCH($A77,BBG_Data!$O$2:$O$4000,0)),NA()))</f>
        <v/>
      </c>
      <c r="AE77" s="18">
        <f>IF(NOT(ISNUMBER($A77)),NA(),IFERROR(1*INDEX(BBG_Data!$R$2:$R$4000,MATCH($A77,BBG_Data!$Q$2:$Q$4000,0)),NA()))</f>
        <v/>
      </c>
      <c r="AF77" s="20">
        <f>IF(AND(ISNUMBER(B77),ISNUMBER(AC77)),(B77-AC77)*100,NA())</f>
        <v/>
      </c>
      <c r="AG77" s="20">
        <f>IF(AND(ISNUMBER(AE77),ISNUMBER(AD77)),(AE77-AD77)*100,NA())</f>
        <v/>
      </c>
      <c r="AH77" s="19">
        <f>IF(NOT(ISNUMBER($A77)),NA(),IFERROR(INDEX(BBG_Data!$T$2:$T$4000,MATCH($A77,BBG_Data!$S$2:$S$4000,0))*Settings!$B$25,NA()))</f>
        <v/>
      </c>
      <c r="AI77" s="19">
        <f>IF(NOT(ISNUMBER($A77)),NA(),IFERROR(INDEX(BBG_Data!$V$2:$V$4000,MATCH($A77,BBG_Data!$U$2:$U$4000,0))*Settings!$B$25,NA()))</f>
        <v/>
      </c>
      <c r="AJ77" s="19">
        <f>IF(NOT(ISNUMBER($A77)),NA(),IFERROR(1*INDEX(BBG_Data!$X$2:$X$4000,MATCH($A77,BBG_Data!$W$2:$W$4000,0)),NA()))</f>
        <v/>
      </c>
      <c r="AK77" s="19">
        <f>IF(NOT(ISNUMBER($A77)),NA(),IFERROR(1*INDEX(BBG_Data!$Z$2:$Z$4000,MATCH($A77,BBG_Data!$Y$2:$Y$4000,0)),NA()))</f>
        <v/>
      </c>
    </row>
    <row r="78">
      <c r="A78" s="17">
        <f>IF(ISNUMBER(BBG_Data!A78),BBG_Data!A78,"")</f>
        <v/>
      </c>
      <c r="B78" s="18">
        <f>IF(AND(ISNUMBER($A78),ISNUMBER(BBG_Data!B78)),BBG_Data!B78,NA())</f>
        <v/>
      </c>
      <c r="C78" s="18">
        <f>IF(NOT(ISNUMBER($A78)),NA(),IFERROR(1*INDEX(BBG_Data!$D$2:$D$4000,MATCH($A78,BBG_Data!$C$2:$C$4000,0)),NA()))</f>
        <v/>
      </c>
      <c r="D78" s="19">
        <f>IF(NOT(ISNUMBER($A78)),NA(),IFERROR(1*INDEX(BBG_Data!$F$2:$F$4000,MATCH($A78,BBG_Data!$E$2:$E$4000,0)),NA()))</f>
        <v/>
      </c>
      <c r="E78" s="19">
        <f>IF(NOT(ISNUMBER($A78)),NA(),IFERROR(1*INDEX(BBG_Data!$H$2:$H$4000,MATCH($A78,BBG_Data!$G$2:$G$4000,0)),NA()))</f>
        <v/>
      </c>
      <c r="F78" s="20">
        <f>IF(AND(ISNUMBER(B78),ISNUMBER(B77)),IF(B78=B77,"",(B78-B77)*100),"")</f>
        <v/>
      </c>
      <c r="G78" s="20">
        <f>IF(AND(ISNUMBER(C78),ISNUMBER(C77)),IF(C78=C77,"",(C78-C77)*100),"")</f>
        <v/>
      </c>
      <c r="H78" s="20">
        <f>IF(OR(NOT(ISNUMBER($A78)),ROW()-2&lt;Settings!$B$11),NA(),IF(COUNT(OFFSET(F78,1-Settings!$B$11,0,Settings!$B$11,1))&lt;ROUNDUP(Settings!$B$11*Settings!$B$26,0),NA(),STDEV(OFFSET(F78,1-Settings!$B$11,0,Settings!$B$11,1))*SQRT(Settings!$B$13)))</f>
        <v/>
      </c>
      <c r="I78" s="20">
        <f>IF(OR(NOT(ISNUMBER($A78)),ROW()-2&lt;Settings!$B$12),NA(),IF(COUNT(OFFSET(F78,1-Settings!$B$12,0,Settings!$B$12,1))&lt;ROUNDUP(Settings!$B$12*Settings!$B$26,0),NA(),STDEV(OFFSET(F78,1-Settings!$B$12,0,Settings!$B$12,1))*SQRT(Settings!$B$13)))</f>
        <v/>
      </c>
      <c r="J78" s="20">
        <f>IF(OR(NOT(ISNUMBER($A78)),ROW()-2&lt;Settings!$B$11),NA(),IF(COUNT(OFFSET(G78,1-Settings!$B$11,0,Settings!$B$11,1))&lt;ROUNDUP(Settings!$B$11*Settings!$B$26,0),NA(),STDEV(OFFSET(G78,1-Settings!$B$11,0,Settings!$B$11,1))*SQRT(Settings!$B$13)))</f>
        <v/>
      </c>
      <c r="K78" s="20">
        <f>IF(OR(NOT(ISNUMBER($A78)),ROW()-2&lt;Settings!$B$12),NA(),IF(COUNT(OFFSET(G78,1-Settings!$B$12,0,Settings!$B$12,1))&lt;ROUNDUP(Settings!$B$12*Settings!$B$26,0),NA(),STDEV(OFFSET(G78,1-Settings!$B$12,0,Settings!$B$12,1))*SQRT(Settings!$B$13)))</f>
        <v/>
      </c>
      <c r="L78" s="20">
        <f>IF(AND(ISNUMBER(D78),ISNUMBER(H78)),D78-H78,NA())</f>
        <v/>
      </c>
      <c r="M78" s="20">
        <f>IF(AND(ISNUMBER(E78),ISNUMBER(K78)),E78-K78,NA())</f>
        <v/>
      </c>
      <c r="N78" s="20">
        <f>IF(NOT(ISNUMBER($A78)),NA(),IF(COUNT(OFFSET(G78,1,0,Settings!$B$12,1))&lt;ROUNDUP(Settings!$B$12*Settings!$B$26,0),NA(),STDEV(OFFSET(G78,1,0,Settings!$B$12,1))*SQRT(Settings!$B$13)))</f>
        <v/>
      </c>
      <c r="O78" s="20">
        <f>IF(AND(ISNUMBER(E78),ISNUMBER(N78)),E78-N78,NA())</f>
        <v/>
      </c>
      <c r="P78" s="19">
        <f>IF(NOT(ISNUMBER($A78)),NA(),IF(OR($A78&lt;MIN(KW_TP!$A$2:$A$2501),$A78&gt;MAX(KW_TP!$A$2:$A$2501)),NA(),INDEX(KW_TP!$C$2:$C$2501,MATCH($A78,KW_TP!$A$2:$A$2501,1))))</f>
        <v/>
      </c>
      <c r="Q78" s="18">
        <f>IF(NOT(ISNUMBER($A78)),NA(),IFERROR(1*INDEX(BBG_Data!$J$2:$J$4000,MATCH($A78,BBG_Data!$I$2:$I$4000,0)),NA()))</f>
        <v/>
      </c>
      <c r="R78" s="18">
        <f>IF(NOT(ISNUMBER($A78)),NA(),IFERROR(1*INDEX(BBG_Data!$L$2:$L$4000,MATCH($A78,BBG_Data!$K$2:$K$4000,0)),NA()))</f>
        <v/>
      </c>
      <c r="S78" s="20">
        <f>IF(AND(ISNUMBER(B78),ISNUMBER(Q78),ISNUMBER(R78)),(B78-Q78-R78)*100,NA())</f>
        <v/>
      </c>
      <c r="T78" s="20">
        <f>IF(AND(ISNUMBER(B78),Settings!$B$17&gt;0),IF(ISNUMBER(INDEX($B:$B,Settings!$B$17)),(B78-INDEX($B:$B,Settings!$B$17))*100,NA()),NA())</f>
        <v/>
      </c>
      <c r="U78" s="20">
        <f>IF(AND(ISNUMBER(Q78),Settings!$B$17&gt;0),IF(ISNUMBER(INDEX($Q:$Q,Settings!$B$17)),(Q78-INDEX($Q:$Q,Settings!$B$17))*100,NA()),NA())</f>
        <v/>
      </c>
      <c r="V78" s="20">
        <f>IF(AND(ISNUMBER(R78),Settings!$B$17&gt;0),IF(ISNUMBER(INDEX($R:$R,Settings!$B$17)),(R78-INDEX($R:$R,Settings!$B$17))*100,NA()),NA())</f>
        <v/>
      </c>
      <c r="W78" s="20">
        <f>IF(AND(ISNUMBER(P78),Settings!$B$17&gt;0),IF(ISNUMBER(INDEX($P:$P,Settings!$B$17)),P78-INDEX($P:$P,Settings!$B$17),NA()),NA())</f>
        <v/>
      </c>
      <c r="X78" s="19">
        <f>IF(NOT(ISNUMBER($A78)),NA(),IF(OR($A78&lt;MIN(DKW_10Y!$A$2:$A$2918),$A78&gt;MAX(DKW_10Y!$A$2:$A$2918),Settings!$B$16&lt;MIN(DKW_10Y!$A$2:$A$2918)),NA(),(INDEX(DKW_10Y!$B$2:$B$2918,MATCH($A78,DKW_10Y!$A$2:$A$2918,1))-INDEX(DKW_10Y!$B$2:$B$2918,MATCH(Settings!$B$16,DKW_10Y!$A$2:$A$2918,1)))*100))</f>
        <v/>
      </c>
      <c r="Y78" s="19">
        <f>IF(NOT(ISNUMBER($A78)),NA(),IF(OR($A78&lt;MIN(DKW_10Y!$A$2:$A$2918),$A78&gt;MAX(DKW_10Y!$A$2:$A$2918),Settings!$B$16&lt;MIN(DKW_10Y!$A$2:$A$2918)),NA(),(INDEX(DKW_10Y!$C$2:$C$2918,MATCH($A78,DKW_10Y!$A$2:$A$2918,1))-INDEX(DKW_10Y!$C$2:$C$2918,MATCH(Settings!$B$16,DKW_10Y!$A$2:$A$2918,1)))*100))</f>
        <v/>
      </c>
      <c r="Z78" s="19">
        <f>IF(NOT(ISNUMBER($A78)),NA(),IF(OR($A78&lt;MIN(DKW_10Y!$A$2:$A$2918),$A78&gt;MAX(DKW_10Y!$A$2:$A$2918),Settings!$B$16&lt;MIN(DKW_10Y!$A$2:$A$2918)),NA(),(INDEX(DKW_10Y!$D$2:$D$2918,MATCH($A78,DKW_10Y!$A$2:$A$2918,1))-INDEX(DKW_10Y!$D$2:$D$2918,MATCH(Settings!$B$16,DKW_10Y!$A$2:$A$2918,1)))*100))</f>
        <v/>
      </c>
      <c r="AA78" s="19">
        <f>IF(NOT(ISNUMBER($A78)),NA(),IF(OR($A78&lt;MIN(DKW_10Y!$A$2:$A$2918),$A78&gt;MAX(DKW_10Y!$A$2:$A$2918),Settings!$B$16&lt;MIN(DKW_10Y!$A$2:$A$2918)),NA(),(INDEX(DKW_10Y!$E$2:$E$2918,MATCH($A78,DKW_10Y!$A$2:$A$2918,1))-INDEX(DKW_10Y!$E$2:$E$2918,MATCH(Settings!$B$16,DKW_10Y!$A$2:$A$2918,1)))*100))</f>
        <v/>
      </c>
      <c r="AB78" s="19">
        <f>IF(NOT(ISNUMBER($A78)),NA(),IF(OR($A78&lt;MIN(DKW_10Y!$A$2:$A$2918),$A78&gt;MAX(DKW_10Y!$A$2:$A$2918),Settings!$B$16&lt;MIN(DKW_10Y!$A$2:$A$2918)),NA(),(INDEX(DKW_10Y!$H$2:$H$2918,MATCH($A78,DKW_10Y!$A$2:$A$2918,1))-INDEX(DKW_10Y!$H$2:$H$2918,MATCH(Settings!$B$16,DKW_10Y!$A$2:$A$2918,1)))*100))</f>
        <v/>
      </c>
      <c r="AC78" s="18">
        <f>IF(NOT(ISNUMBER($A78)),NA(),IFERROR(1*INDEX(BBG_Data!$N$2:$N$4000,MATCH($A78,BBG_Data!$M$2:$M$4000,0)),NA()))</f>
        <v/>
      </c>
      <c r="AD78" s="18">
        <f>IF(NOT(ISNUMBER($A78)),NA(),IFERROR(1*INDEX(BBG_Data!$P$2:$P$4000,MATCH($A78,BBG_Data!$O$2:$O$4000,0)),NA()))</f>
        <v/>
      </c>
      <c r="AE78" s="18">
        <f>IF(NOT(ISNUMBER($A78)),NA(),IFERROR(1*INDEX(BBG_Data!$R$2:$R$4000,MATCH($A78,BBG_Data!$Q$2:$Q$4000,0)),NA()))</f>
        <v/>
      </c>
      <c r="AF78" s="20">
        <f>IF(AND(ISNUMBER(B78),ISNUMBER(AC78)),(B78-AC78)*100,NA())</f>
        <v/>
      </c>
      <c r="AG78" s="20">
        <f>IF(AND(ISNUMBER(AE78),ISNUMBER(AD78)),(AE78-AD78)*100,NA())</f>
        <v/>
      </c>
      <c r="AH78" s="19">
        <f>IF(NOT(ISNUMBER($A78)),NA(),IFERROR(INDEX(BBG_Data!$T$2:$T$4000,MATCH($A78,BBG_Data!$S$2:$S$4000,0))*Settings!$B$25,NA()))</f>
        <v/>
      </c>
      <c r="AI78" s="19">
        <f>IF(NOT(ISNUMBER($A78)),NA(),IFERROR(INDEX(BBG_Data!$V$2:$V$4000,MATCH($A78,BBG_Data!$U$2:$U$4000,0))*Settings!$B$25,NA()))</f>
        <v/>
      </c>
      <c r="AJ78" s="19">
        <f>IF(NOT(ISNUMBER($A78)),NA(),IFERROR(1*INDEX(BBG_Data!$X$2:$X$4000,MATCH($A78,BBG_Data!$W$2:$W$4000,0)),NA()))</f>
        <v/>
      </c>
      <c r="AK78" s="19">
        <f>IF(NOT(ISNUMBER($A78)),NA(),IFERROR(1*INDEX(BBG_Data!$Z$2:$Z$4000,MATCH($A78,BBG_Data!$Y$2:$Y$4000,0)),NA()))</f>
        <v/>
      </c>
    </row>
    <row r="79">
      <c r="A79" s="17">
        <f>IF(ISNUMBER(BBG_Data!A79),BBG_Data!A79,"")</f>
        <v/>
      </c>
      <c r="B79" s="18">
        <f>IF(AND(ISNUMBER($A79),ISNUMBER(BBG_Data!B79)),BBG_Data!B79,NA())</f>
        <v/>
      </c>
      <c r="C79" s="18">
        <f>IF(NOT(ISNUMBER($A79)),NA(),IFERROR(1*INDEX(BBG_Data!$D$2:$D$4000,MATCH($A79,BBG_Data!$C$2:$C$4000,0)),NA()))</f>
        <v/>
      </c>
      <c r="D79" s="19">
        <f>IF(NOT(ISNUMBER($A79)),NA(),IFERROR(1*INDEX(BBG_Data!$F$2:$F$4000,MATCH($A79,BBG_Data!$E$2:$E$4000,0)),NA()))</f>
        <v/>
      </c>
      <c r="E79" s="19">
        <f>IF(NOT(ISNUMBER($A79)),NA(),IFERROR(1*INDEX(BBG_Data!$H$2:$H$4000,MATCH($A79,BBG_Data!$G$2:$G$4000,0)),NA()))</f>
        <v/>
      </c>
      <c r="F79" s="20">
        <f>IF(AND(ISNUMBER(B79),ISNUMBER(B78)),IF(B79=B78,"",(B79-B78)*100),"")</f>
        <v/>
      </c>
      <c r="G79" s="20">
        <f>IF(AND(ISNUMBER(C79),ISNUMBER(C78)),IF(C79=C78,"",(C79-C78)*100),"")</f>
        <v/>
      </c>
      <c r="H79" s="20">
        <f>IF(OR(NOT(ISNUMBER($A79)),ROW()-2&lt;Settings!$B$11),NA(),IF(COUNT(OFFSET(F79,1-Settings!$B$11,0,Settings!$B$11,1))&lt;ROUNDUP(Settings!$B$11*Settings!$B$26,0),NA(),STDEV(OFFSET(F79,1-Settings!$B$11,0,Settings!$B$11,1))*SQRT(Settings!$B$13)))</f>
        <v/>
      </c>
      <c r="I79" s="20">
        <f>IF(OR(NOT(ISNUMBER($A79)),ROW()-2&lt;Settings!$B$12),NA(),IF(COUNT(OFFSET(F79,1-Settings!$B$12,0,Settings!$B$12,1))&lt;ROUNDUP(Settings!$B$12*Settings!$B$26,0),NA(),STDEV(OFFSET(F79,1-Settings!$B$12,0,Settings!$B$12,1))*SQRT(Settings!$B$13)))</f>
        <v/>
      </c>
      <c r="J79" s="20">
        <f>IF(OR(NOT(ISNUMBER($A79)),ROW()-2&lt;Settings!$B$11),NA(),IF(COUNT(OFFSET(G79,1-Settings!$B$11,0,Settings!$B$11,1))&lt;ROUNDUP(Settings!$B$11*Settings!$B$26,0),NA(),STDEV(OFFSET(G79,1-Settings!$B$11,0,Settings!$B$11,1))*SQRT(Settings!$B$13)))</f>
        <v/>
      </c>
      <c r="K79" s="20">
        <f>IF(OR(NOT(ISNUMBER($A79)),ROW()-2&lt;Settings!$B$12),NA(),IF(COUNT(OFFSET(G79,1-Settings!$B$12,0,Settings!$B$12,1))&lt;ROUNDUP(Settings!$B$12*Settings!$B$26,0),NA(),STDEV(OFFSET(G79,1-Settings!$B$12,0,Settings!$B$12,1))*SQRT(Settings!$B$13)))</f>
        <v/>
      </c>
      <c r="L79" s="20">
        <f>IF(AND(ISNUMBER(D79),ISNUMBER(H79)),D79-H79,NA())</f>
        <v/>
      </c>
      <c r="M79" s="20">
        <f>IF(AND(ISNUMBER(E79),ISNUMBER(K79)),E79-K79,NA())</f>
        <v/>
      </c>
      <c r="N79" s="20">
        <f>IF(NOT(ISNUMBER($A79)),NA(),IF(COUNT(OFFSET(G79,1,0,Settings!$B$12,1))&lt;ROUNDUP(Settings!$B$12*Settings!$B$26,0),NA(),STDEV(OFFSET(G79,1,0,Settings!$B$12,1))*SQRT(Settings!$B$13)))</f>
        <v/>
      </c>
      <c r="O79" s="20">
        <f>IF(AND(ISNUMBER(E79),ISNUMBER(N79)),E79-N79,NA())</f>
        <v/>
      </c>
      <c r="P79" s="19">
        <f>IF(NOT(ISNUMBER($A79)),NA(),IF(OR($A79&lt;MIN(KW_TP!$A$2:$A$2501),$A79&gt;MAX(KW_TP!$A$2:$A$2501)),NA(),INDEX(KW_TP!$C$2:$C$2501,MATCH($A79,KW_TP!$A$2:$A$2501,1))))</f>
        <v/>
      </c>
      <c r="Q79" s="18">
        <f>IF(NOT(ISNUMBER($A79)),NA(),IFERROR(1*INDEX(BBG_Data!$J$2:$J$4000,MATCH($A79,BBG_Data!$I$2:$I$4000,0)),NA()))</f>
        <v/>
      </c>
      <c r="R79" s="18">
        <f>IF(NOT(ISNUMBER($A79)),NA(),IFERROR(1*INDEX(BBG_Data!$L$2:$L$4000,MATCH($A79,BBG_Data!$K$2:$K$4000,0)),NA()))</f>
        <v/>
      </c>
      <c r="S79" s="20">
        <f>IF(AND(ISNUMBER(B79),ISNUMBER(Q79),ISNUMBER(R79)),(B79-Q79-R79)*100,NA())</f>
        <v/>
      </c>
      <c r="T79" s="20">
        <f>IF(AND(ISNUMBER(B79),Settings!$B$17&gt;0),IF(ISNUMBER(INDEX($B:$B,Settings!$B$17)),(B79-INDEX($B:$B,Settings!$B$17))*100,NA()),NA())</f>
        <v/>
      </c>
      <c r="U79" s="20">
        <f>IF(AND(ISNUMBER(Q79),Settings!$B$17&gt;0),IF(ISNUMBER(INDEX($Q:$Q,Settings!$B$17)),(Q79-INDEX($Q:$Q,Settings!$B$17))*100,NA()),NA())</f>
        <v/>
      </c>
      <c r="V79" s="20">
        <f>IF(AND(ISNUMBER(R79),Settings!$B$17&gt;0),IF(ISNUMBER(INDEX($R:$R,Settings!$B$17)),(R79-INDEX($R:$R,Settings!$B$17))*100,NA()),NA())</f>
        <v/>
      </c>
      <c r="W79" s="20">
        <f>IF(AND(ISNUMBER(P79),Settings!$B$17&gt;0),IF(ISNUMBER(INDEX($P:$P,Settings!$B$17)),P79-INDEX($P:$P,Settings!$B$17),NA()),NA())</f>
        <v/>
      </c>
      <c r="X79" s="19">
        <f>IF(NOT(ISNUMBER($A79)),NA(),IF(OR($A79&lt;MIN(DKW_10Y!$A$2:$A$2918),$A79&gt;MAX(DKW_10Y!$A$2:$A$2918),Settings!$B$16&lt;MIN(DKW_10Y!$A$2:$A$2918)),NA(),(INDEX(DKW_10Y!$B$2:$B$2918,MATCH($A79,DKW_10Y!$A$2:$A$2918,1))-INDEX(DKW_10Y!$B$2:$B$2918,MATCH(Settings!$B$16,DKW_10Y!$A$2:$A$2918,1)))*100))</f>
        <v/>
      </c>
      <c r="Y79" s="19">
        <f>IF(NOT(ISNUMBER($A79)),NA(),IF(OR($A79&lt;MIN(DKW_10Y!$A$2:$A$2918),$A79&gt;MAX(DKW_10Y!$A$2:$A$2918),Settings!$B$16&lt;MIN(DKW_10Y!$A$2:$A$2918)),NA(),(INDEX(DKW_10Y!$C$2:$C$2918,MATCH($A79,DKW_10Y!$A$2:$A$2918,1))-INDEX(DKW_10Y!$C$2:$C$2918,MATCH(Settings!$B$16,DKW_10Y!$A$2:$A$2918,1)))*100))</f>
        <v/>
      </c>
      <c r="Z79" s="19">
        <f>IF(NOT(ISNUMBER($A79)),NA(),IF(OR($A79&lt;MIN(DKW_10Y!$A$2:$A$2918),$A79&gt;MAX(DKW_10Y!$A$2:$A$2918),Settings!$B$16&lt;MIN(DKW_10Y!$A$2:$A$2918)),NA(),(INDEX(DKW_10Y!$D$2:$D$2918,MATCH($A79,DKW_10Y!$A$2:$A$2918,1))-INDEX(DKW_10Y!$D$2:$D$2918,MATCH(Settings!$B$16,DKW_10Y!$A$2:$A$2918,1)))*100))</f>
        <v/>
      </c>
      <c r="AA79" s="19">
        <f>IF(NOT(ISNUMBER($A79)),NA(),IF(OR($A79&lt;MIN(DKW_10Y!$A$2:$A$2918),$A79&gt;MAX(DKW_10Y!$A$2:$A$2918),Settings!$B$16&lt;MIN(DKW_10Y!$A$2:$A$2918)),NA(),(INDEX(DKW_10Y!$E$2:$E$2918,MATCH($A79,DKW_10Y!$A$2:$A$2918,1))-INDEX(DKW_10Y!$E$2:$E$2918,MATCH(Settings!$B$16,DKW_10Y!$A$2:$A$2918,1)))*100))</f>
        <v/>
      </c>
      <c r="AB79" s="19">
        <f>IF(NOT(ISNUMBER($A79)),NA(),IF(OR($A79&lt;MIN(DKW_10Y!$A$2:$A$2918),$A79&gt;MAX(DKW_10Y!$A$2:$A$2918),Settings!$B$16&lt;MIN(DKW_10Y!$A$2:$A$2918)),NA(),(INDEX(DKW_10Y!$H$2:$H$2918,MATCH($A79,DKW_10Y!$A$2:$A$2918,1))-INDEX(DKW_10Y!$H$2:$H$2918,MATCH(Settings!$B$16,DKW_10Y!$A$2:$A$2918,1)))*100))</f>
        <v/>
      </c>
      <c r="AC79" s="18">
        <f>IF(NOT(ISNUMBER($A79)),NA(),IFERROR(1*INDEX(BBG_Data!$N$2:$N$4000,MATCH($A79,BBG_Data!$M$2:$M$4000,0)),NA()))</f>
        <v/>
      </c>
      <c r="AD79" s="18">
        <f>IF(NOT(ISNUMBER($A79)),NA(),IFERROR(1*INDEX(BBG_Data!$P$2:$P$4000,MATCH($A79,BBG_Data!$O$2:$O$4000,0)),NA()))</f>
        <v/>
      </c>
      <c r="AE79" s="18">
        <f>IF(NOT(ISNUMBER($A79)),NA(),IFERROR(1*INDEX(BBG_Data!$R$2:$R$4000,MATCH($A79,BBG_Data!$Q$2:$Q$4000,0)),NA()))</f>
        <v/>
      </c>
      <c r="AF79" s="20">
        <f>IF(AND(ISNUMBER(B79),ISNUMBER(AC79)),(B79-AC79)*100,NA())</f>
        <v/>
      </c>
      <c r="AG79" s="20">
        <f>IF(AND(ISNUMBER(AE79),ISNUMBER(AD79)),(AE79-AD79)*100,NA())</f>
        <v/>
      </c>
      <c r="AH79" s="19">
        <f>IF(NOT(ISNUMBER($A79)),NA(),IFERROR(INDEX(BBG_Data!$T$2:$T$4000,MATCH($A79,BBG_Data!$S$2:$S$4000,0))*Settings!$B$25,NA()))</f>
        <v/>
      </c>
      <c r="AI79" s="19">
        <f>IF(NOT(ISNUMBER($A79)),NA(),IFERROR(INDEX(BBG_Data!$V$2:$V$4000,MATCH($A79,BBG_Data!$U$2:$U$4000,0))*Settings!$B$25,NA()))</f>
        <v/>
      </c>
      <c r="AJ79" s="19">
        <f>IF(NOT(ISNUMBER($A79)),NA(),IFERROR(1*INDEX(BBG_Data!$X$2:$X$4000,MATCH($A79,BBG_Data!$W$2:$W$4000,0)),NA()))</f>
        <v/>
      </c>
      <c r="AK79" s="19">
        <f>IF(NOT(ISNUMBER($A79)),NA(),IFERROR(1*INDEX(BBG_Data!$Z$2:$Z$4000,MATCH($A79,BBG_Data!$Y$2:$Y$4000,0)),NA()))</f>
        <v/>
      </c>
    </row>
    <row r="80">
      <c r="A80" s="17">
        <f>IF(ISNUMBER(BBG_Data!A80),BBG_Data!A80,"")</f>
        <v/>
      </c>
      <c r="B80" s="18">
        <f>IF(AND(ISNUMBER($A80),ISNUMBER(BBG_Data!B80)),BBG_Data!B80,NA())</f>
        <v/>
      </c>
      <c r="C80" s="18">
        <f>IF(NOT(ISNUMBER($A80)),NA(),IFERROR(1*INDEX(BBG_Data!$D$2:$D$4000,MATCH($A80,BBG_Data!$C$2:$C$4000,0)),NA()))</f>
        <v/>
      </c>
      <c r="D80" s="19">
        <f>IF(NOT(ISNUMBER($A80)),NA(),IFERROR(1*INDEX(BBG_Data!$F$2:$F$4000,MATCH($A80,BBG_Data!$E$2:$E$4000,0)),NA()))</f>
        <v/>
      </c>
      <c r="E80" s="19">
        <f>IF(NOT(ISNUMBER($A80)),NA(),IFERROR(1*INDEX(BBG_Data!$H$2:$H$4000,MATCH($A80,BBG_Data!$G$2:$G$4000,0)),NA()))</f>
        <v/>
      </c>
      <c r="F80" s="20">
        <f>IF(AND(ISNUMBER(B80),ISNUMBER(B79)),IF(B80=B79,"",(B80-B79)*100),"")</f>
        <v/>
      </c>
      <c r="G80" s="20">
        <f>IF(AND(ISNUMBER(C80),ISNUMBER(C79)),IF(C80=C79,"",(C80-C79)*100),"")</f>
        <v/>
      </c>
      <c r="H80" s="20">
        <f>IF(OR(NOT(ISNUMBER($A80)),ROW()-2&lt;Settings!$B$11),NA(),IF(COUNT(OFFSET(F80,1-Settings!$B$11,0,Settings!$B$11,1))&lt;ROUNDUP(Settings!$B$11*Settings!$B$26,0),NA(),STDEV(OFFSET(F80,1-Settings!$B$11,0,Settings!$B$11,1))*SQRT(Settings!$B$13)))</f>
        <v/>
      </c>
      <c r="I80" s="20">
        <f>IF(OR(NOT(ISNUMBER($A80)),ROW()-2&lt;Settings!$B$12),NA(),IF(COUNT(OFFSET(F80,1-Settings!$B$12,0,Settings!$B$12,1))&lt;ROUNDUP(Settings!$B$12*Settings!$B$26,0),NA(),STDEV(OFFSET(F80,1-Settings!$B$12,0,Settings!$B$12,1))*SQRT(Settings!$B$13)))</f>
        <v/>
      </c>
      <c r="J80" s="20">
        <f>IF(OR(NOT(ISNUMBER($A80)),ROW()-2&lt;Settings!$B$11),NA(),IF(COUNT(OFFSET(G80,1-Settings!$B$11,0,Settings!$B$11,1))&lt;ROUNDUP(Settings!$B$11*Settings!$B$26,0),NA(),STDEV(OFFSET(G80,1-Settings!$B$11,0,Settings!$B$11,1))*SQRT(Settings!$B$13)))</f>
        <v/>
      </c>
      <c r="K80" s="20">
        <f>IF(OR(NOT(ISNUMBER($A80)),ROW()-2&lt;Settings!$B$12),NA(),IF(COUNT(OFFSET(G80,1-Settings!$B$12,0,Settings!$B$12,1))&lt;ROUNDUP(Settings!$B$12*Settings!$B$26,0),NA(),STDEV(OFFSET(G80,1-Settings!$B$12,0,Settings!$B$12,1))*SQRT(Settings!$B$13)))</f>
        <v/>
      </c>
      <c r="L80" s="20">
        <f>IF(AND(ISNUMBER(D80),ISNUMBER(H80)),D80-H80,NA())</f>
        <v/>
      </c>
      <c r="M80" s="20">
        <f>IF(AND(ISNUMBER(E80),ISNUMBER(K80)),E80-K80,NA())</f>
        <v/>
      </c>
      <c r="N80" s="20">
        <f>IF(NOT(ISNUMBER($A80)),NA(),IF(COUNT(OFFSET(G80,1,0,Settings!$B$12,1))&lt;ROUNDUP(Settings!$B$12*Settings!$B$26,0),NA(),STDEV(OFFSET(G80,1,0,Settings!$B$12,1))*SQRT(Settings!$B$13)))</f>
        <v/>
      </c>
      <c r="O80" s="20">
        <f>IF(AND(ISNUMBER(E80),ISNUMBER(N80)),E80-N80,NA())</f>
        <v/>
      </c>
      <c r="P80" s="19">
        <f>IF(NOT(ISNUMBER($A80)),NA(),IF(OR($A80&lt;MIN(KW_TP!$A$2:$A$2501),$A80&gt;MAX(KW_TP!$A$2:$A$2501)),NA(),INDEX(KW_TP!$C$2:$C$2501,MATCH($A80,KW_TP!$A$2:$A$2501,1))))</f>
        <v/>
      </c>
      <c r="Q80" s="18">
        <f>IF(NOT(ISNUMBER($A80)),NA(),IFERROR(1*INDEX(BBG_Data!$J$2:$J$4000,MATCH($A80,BBG_Data!$I$2:$I$4000,0)),NA()))</f>
        <v/>
      </c>
      <c r="R80" s="18">
        <f>IF(NOT(ISNUMBER($A80)),NA(),IFERROR(1*INDEX(BBG_Data!$L$2:$L$4000,MATCH($A80,BBG_Data!$K$2:$K$4000,0)),NA()))</f>
        <v/>
      </c>
      <c r="S80" s="20">
        <f>IF(AND(ISNUMBER(B80),ISNUMBER(Q80),ISNUMBER(R80)),(B80-Q80-R80)*100,NA())</f>
        <v/>
      </c>
      <c r="T80" s="20">
        <f>IF(AND(ISNUMBER(B80),Settings!$B$17&gt;0),IF(ISNUMBER(INDEX($B:$B,Settings!$B$17)),(B80-INDEX($B:$B,Settings!$B$17))*100,NA()),NA())</f>
        <v/>
      </c>
      <c r="U80" s="20">
        <f>IF(AND(ISNUMBER(Q80),Settings!$B$17&gt;0),IF(ISNUMBER(INDEX($Q:$Q,Settings!$B$17)),(Q80-INDEX($Q:$Q,Settings!$B$17))*100,NA()),NA())</f>
        <v/>
      </c>
      <c r="V80" s="20">
        <f>IF(AND(ISNUMBER(R80),Settings!$B$17&gt;0),IF(ISNUMBER(INDEX($R:$R,Settings!$B$17)),(R80-INDEX($R:$R,Settings!$B$17))*100,NA()),NA())</f>
        <v/>
      </c>
      <c r="W80" s="20">
        <f>IF(AND(ISNUMBER(P80),Settings!$B$17&gt;0),IF(ISNUMBER(INDEX($P:$P,Settings!$B$17)),P80-INDEX($P:$P,Settings!$B$17),NA()),NA())</f>
        <v/>
      </c>
      <c r="X80" s="19">
        <f>IF(NOT(ISNUMBER($A80)),NA(),IF(OR($A80&lt;MIN(DKW_10Y!$A$2:$A$2918),$A80&gt;MAX(DKW_10Y!$A$2:$A$2918),Settings!$B$16&lt;MIN(DKW_10Y!$A$2:$A$2918)),NA(),(INDEX(DKW_10Y!$B$2:$B$2918,MATCH($A80,DKW_10Y!$A$2:$A$2918,1))-INDEX(DKW_10Y!$B$2:$B$2918,MATCH(Settings!$B$16,DKW_10Y!$A$2:$A$2918,1)))*100))</f>
        <v/>
      </c>
      <c r="Y80" s="19">
        <f>IF(NOT(ISNUMBER($A80)),NA(),IF(OR($A80&lt;MIN(DKW_10Y!$A$2:$A$2918),$A80&gt;MAX(DKW_10Y!$A$2:$A$2918),Settings!$B$16&lt;MIN(DKW_10Y!$A$2:$A$2918)),NA(),(INDEX(DKW_10Y!$C$2:$C$2918,MATCH($A80,DKW_10Y!$A$2:$A$2918,1))-INDEX(DKW_10Y!$C$2:$C$2918,MATCH(Settings!$B$16,DKW_10Y!$A$2:$A$2918,1)))*100))</f>
        <v/>
      </c>
      <c r="Z80" s="19">
        <f>IF(NOT(ISNUMBER($A80)),NA(),IF(OR($A80&lt;MIN(DKW_10Y!$A$2:$A$2918),$A80&gt;MAX(DKW_10Y!$A$2:$A$2918),Settings!$B$16&lt;MIN(DKW_10Y!$A$2:$A$2918)),NA(),(INDEX(DKW_10Y!$D$2:$D$2918,MATCH($A80,DKW_10Y!$A$2:$A$2918,1))-INDEX(DKW_10Y!$D$2:$D$2918,MATCH(Settings!$B$16,DKW_10Y!$A$2:$A$2918,1)))*100))</f>
        <v/>
      </c>
      <c r="AA80" s="19">
        <f>IF(NOT(ISNUMBER($A80)),NA(),IF(OR($A80&lt;MIN(DKW_10Y!$A$2:$A$2918),$A80&gt;MAX(DKW_10Y!$A$2:$A$2918),Settings!$B$16&lt;MIN(DKW_10Y!$A$2:$A$2918)),NA(),(INDEX(DKW_10Y!$E$2:$E$2918,MATCH($A80,DKW_10Y!$A$2:$A$2918,1))-INDEX(DKW_10Y!$E$2:$E$2918,MATCH(Settings!$B$16,DKW_10Y!$A$2:$A$2918,1)))*100))</f>
        <v/>
      </c>
      <c r="AB80" s="19">
        <f>IF(NOT(ISNUMBER($A80)),NA(),IF(OR($A80&lt;MIN(DKW_10Y!$A$2:$A$2918),$A80&gt;MAX(DKW_10Y!$A$2:$A$2918),Settings!$B$16&lt;MIN(DKW_10Y!$A$2:$A$2918)),NA(),(INDEX(DKW_10Y!$H$2:$H$2918,MATCH($A80,DKW_10Y!$A$2:$A$2918,1))-INDEX(DKW_10Y!$H$2:$H$2918,MATCH(Settings!$B$16,DKW_10Y!$A$2:$A$2918,1)))*100))</f>
        <v/>
      </c>
      <c r="AC80" s="18">
        <f>IF(NOT(ISNUMBER($A80)),NA(),IFERROR(1*INDEX(BBG_Data!$N$2:$N$4000,MATCH($A80,BBG_Data!$M$2:$M$4000,0)),NA()))</f>
        <v/>
      </c>
      <c r="AD80" s="18">
        <f>IF(NOT(ISNUMBER($A80)),NA(),IFERROR(1*INDEX(BBG_Data!$P$2:$P$4000,MATCH($A80,BBG_Data!$O$2:$O$4000,0)),NA()))</f>
        <v/>
      </c>
      <c r="AE80" s="18">
        <f>IF(NOT(ISNUMBER($A80)),NA(),IFERROR(1*INDEX(BBG_Data!$R$2:$R$4000,MATCH($A80,BBG_Data!$Q$2:$Q$4000,0)),NA()))</f>
        <v/>
      </c>
      <c r="AF80" s="20">
        <f>IF(AND(ISNUMBER(B80),ISNUMBER(AC80)),(B80-AC80)*100,NA())</f>
        <v/>
      </c>
      <c r="AG80" s="20">
        <f>IF(AND(ISNUMBER(AE80),ISNUMBER(AD80)),(AE80-AD80)*100,NA())</f>
        <v/>
      </c>
      <c r="AH80" s="19">
        <f>IF(NOT(ISNUMBER($A80)),NA(),IFERROR(INDEX(BBG_Data!$T$2:$T$4000,MATCH($A80,BBG_Data!$S$2:$S$4000,0))*Settings!$B$25,NA()))</f>
        <v/>
      </c>
      <c r="AI80" s="19">
        <f>IF(NOT(ISNUMBER($A80)),NA(),IFERROR(INDEX(BBG_Data!$V$2:$V$4000,MATCH($A80,BBG_Data!$U$2:$U$4000,0))*Settings!$B$25,NA()))</f>
        <v/>
      </c>
      <c r="AJ80" s="19">
        <f>IF(NOT(ISNUMBER($A80)),NA(),IFERROR(1*INDEX(BBG_Data!$X$2:$X$4000,MATCH($A80,BBG_Data!$W$2:$W$4000,0)),NA()))</f>
        <v/>
      </c>
      <c r="AK80" s="19">
        <f>IF(NOT(ISNUMBER($A80)),NA(),IFERROR(1*INDEX(BBG_Data!$Z$2:$Z$4000,MATCH($A80,BBG_Data!$Y$2:$Y$4000,0)),NA()))</f>
        <v/>
      </c>
    </row>
    <row r="81">
      <c r="A81" s="17">
        <f>IF(ISNUMBER(BBG_Data!A81),BBG_Data!A81,"")</f>
        <v/>
      </c>
      <c r="B81" s="18">
        <f>IF(AND(ISNUMBER($A81),ISNUMBER(BBG_Data!B81)),BBG_Data!B81,NA())</f>
        <v/>
      </c>
      <c r="C81" s="18">
        <f>IF(NOT(ISNUMBER($A81)),NA(),IFERROR(1*INDEX(BBG_Data!$D$2:$D$4000,MATCH($A81,BBG_Data!$C$2:$C$4000,0)),NA()))</f>
        <v/>
      </c>
      <c r="D81" s="19">
        <f>IF(NOT(ISNUMBER($A81)),NA(),IFERROR(1*INDEX(BBG_Data!$F$2:$F$4000,MATCH($A81,BBG_Data!$E$2:$E$4000,0)),NA()))</f>
        <v/>
      </c>
      <c r="E81" s="19">
        <f>IF(NOT(ISNUMBER($A81)),NA(),IFERROR(1*INDEX(BBG_Data!$H$2:$H$4000,MATCH($A81,BBG_Data!$G$2:$G$4000,0)),NA()))</f>
        <v/>
      </c>
      <c r="F81" s="20">
        <f>IF(AND(ISNUMBER(B81),ISNUMBER(B80)),IF(B81=B80,"",(B81-B80)*100),"")</f>
        <v/>
      </c>
      <c r="G81" s="20">
        <f>IF(AND(ISNUMBER(C81),ISNUMBER(C80)),IF(C81=C80,"",(C81-C80)*100),"")</f>
        <v/>
      </c>
      <c r="H81" s="20">
        <f>IF(OR(NOT(ISNUMBER($A81)),ROW()-2&lt;Settings!$B$11),NA(),IF(COUNT(OFFSET(F81,1-Settings!$B$11,0,Settings!$B$11,1))&lt;ROUNDUP(Settings!$B$11*Settings!$B$26,0),NA(),STDEV(OFFSET(F81,1-Settings!$B$11,0,Settings!$B$11,1))*SQRT(Settings!$B$13)))</f>
        <v/>
      </c>
      <c r="I81" s="20">
        <f>IF(OR(NOT(ISNUMBER($A81)),ROW()-2&lt;Settings!$B$12),NA(),IF(COUNT(OFFSET(F81,1-Settings!$B$12,0,Settings!$B$12,1))&lt;ROUNDUP(Settings!$B$12*Settings!$B$26,0),NA(),STDEV(OFFSET(F81,1-Settings!$B$12,0,Settings!$B$12,1))*SQRT(Settings!$B$13)))</f>
        <v/>
      </c>
      <c r="J81" s="20">
        <f>IF(OR(NOT(ISNUMBER($A81)),ROW()-2&lt;Settings!$B$11),NA(),IF(COUNT(OFFSET(G81,1-Settings!$B$11,0,Settings!$B$11,1))&lt;ROUNDUP(Settings!$B$11*Settings!$B$26,0),NA(),STDEV(OFFSET(G81,1-Settings!$B$11,0,Settings!$B$11,1))*SQRT(Settings!$B$13)))</f>
        <v/>
      </c>
      <c r="K81" s="20">
        <f>IF(OR(NOT(ISNUMBER($A81)),ROW()-2&lt;Settings!$B$12),NA(),IF(COUNT(OFFSET(G81,1-Settings!$B$12,0,Settings!$B$12,1))&lt;ROUNDUP(Settings!$B$12*Settings!$B$26,0),NA(),STDEV(OFFSET(G81,1-Settings!$B$12,0,Settings!$B$12,1))*SQRT(Settings!$B$13)))</f>
        <v/>
      </c>
      <c r="L81" s="20">
        <f>IF(AND(ISNUMBER(D81),ISNUMBER(H81)),D81-H81,NA())</f>
        <v/>
      </c>
      <c r="M81" s="20">
        <f>IF(AND(ISNUMBER(E81),ISNUMBER(K81)),E81-K81,NA())</f>
        <v/>
      </c>
      <c r="N81" s="20">
        <f>IF(NOT(ISNUMBER($A81)),NA(),IF(COUNT(OFFSET(G81,1,0,Settings!$B$12,1))&lt;ROUNDUP(Settings!$B$12*Settings!$B$26,0),NA(),STDEV(OFFSET(G81,1,0,Settings!$B$12,1))*SQRT(Settings!$B$13)))</f>
        <v/>
      </c>
      <c r="O81" s="20">
        <f>IF(AND(ISNUMBER(E81),ISNUMBER(N81)),E81-N81,NA())</f>
        <v/>
      </c>
      <c r="P81" s="19">
        <f>IF(NOT(ISNUMBER($A81)),NA(),IF(OR($A81&lt;MIN(KW_TP!$A$2:$A$2501),$A81&gt;MAX(KW_TP!$A$2:$A$2501)),NA(),INDEX(KW_TP!$C$2:$C$2501,MATCH($A81,KW_TP!$A$2:$A$2501,1))))</f>
        <v/>
      </c>
      <c r="Q81" s="18">
        <f>IF(NOT(ISNUMBER($A81)),NA(),IFERROR(1*INDEX(BBG_Data!$J$2:$J$4000,MATCH($A81,BBG_Data!$I$2:$I$4000,0)),NA()))</f>
        <v/>
      </c>
      <c r="R81" s="18">
        <f>IF(NOT(ISNUMBER($A81)),NA(),IFERROR(1*INDEX(BBG_Data!$L$2:$L$4000,MATCH($A81,BBG_Data!$K$2:$K$4000,0)),NA()))</f>
        <v/>
      </c>
      <c r="S81" s="20">
        <f>IF(AND(ISNUMBER(B81),ISNUMBER(Q81),ISNUMBER(R81)),(B81-Q81-R81)*100,NA())</f>
        <v/>
      </c>
      <c r="T81" s="20">
        <f>IF(AND(ISNUMBER(B81),Settings!$B$17&gt;0),IF(ISNUMBER(INDEX($B:$B,Settings!$B$17)),(B81-INDEX($B:$B,Settings!$B$17))*100,NA()),NA())</f>
        <v/>
      </c>
      <c r="U81" s="20">
        <f>IF(AND(ISNUMBER(Q81),Settings!$B$17&gt;0),IF(ISNUMBER(INDEX($Q:$Q,Settings!$B$17)),(Q81-INDEX($Q:$Q,Settings!$B$17))*100,NA()),NA())</f>
        <v/>
      </c>
      <c r="V81" s="20">
        <f>IF(AND(ISNUMBER(R81),Settings!$B$17&gt;0),IF(ISNUMBER(INDEX($R:$R,Settings!$B$17)),(R81-INDEX($R:$R,Settings!$B$17))*100,NA()),NA())</f>
        <v/>
      </c>
      <c r="W81" s="20">
        <f>IF(AND(ISNUMBER(P81),Settings!$B$17&gt;0),IF(ISNUMBER(INDEX($P:$P,Settings!$B$17)),P81-INDEX($P:$P,Settings!$B$17),NA()),NA())</f>
        <v/>
      </c>
      <c r="X81" s="19">
        <f>IF(NOT(ISNUMBER($A81)),NA(),IF(OR($A81&lt;MIN(DKW_10Y!$A$2:$A$2918),$A81&gt;MAX(DKW_10Y!$A$2:$A$2918),Settings!$B$16&lt;MIN(DKW_10Y!$A$2:$A$2918)),NA(),(INDEX(DKW_10Y!$B$2:$B$2918,MATCH($A81,DKW_10Y!$A$2:$A$2918,1))-INDEX(DKW_10Y!$B$2:$B$2918,MATCH(Settings!$B$16,DKW_10Y!$A$2:$A$2918,1)))*100))</f>
        <v/>
      </c>
      <c r="Y81" s="19">
        <f>IF(NOT(ISNUMBER($A81)),NA(),IF(OR($A81&lt;MIN(DKW_10Y!$A$2:$A$2918),$A81&gt;MAX(DKW_10Y!$A$2:$A$2918),Settings!$B$16&lt;MIN(DKW_10Y!$A$2:$A$2918)),NA(),(INDEX(DKW_10Y!$C$2:$C$2918,MATCH($A81,DKW_10Y!$A$2:$A$2918,1))-INDEX(DKW_10Y!$C$2:$C$2918,MATCH(Settings!$B$16,DKW_10Y!$A$2:$A$2918,1)))*100))</f>
        <v/>
      </c>
      <c r="Z81" s="19">
        <f>IF(NOT(ISNUMBER($A81)),NA(),IF(OR($A81&lt;MIN(DKW_10Y!$A$2:$A$2918),$A81&gt;MAX(DKW_10Y!$A$2:$A$2918),Settings!$B$16&lt;MIN(DKW_10Y!$A$2:$A$2918)),NA(),(INDEX(DKW_10Y!$D$2:$D$2918,MATCH($A81,DKW_10Y!$A$2:$A$2918,1))-INDEX(DKW_10Y!$D$2:$D$2918,MATCH(Settings!$B$16,DKW_10Y!$A$2:$A$2918,1)))*100))</f>
        <v/>
      </c>
      <c r="AA81" s="19">
        <f>IF(NOT(ISNUMBER($A81)),NA(),IF(OR($A81&lt;MIN(DKW_10Y!$A$2:$A$2918),$A81&gt;MAX(DKW_10Y!$A$2:$A$2918),Settings!$B$16&lt;MIN(DKW_10Y!$A$2:$A$2918)),NA(),(INDEX(DKW_10Y!$E$2:$E$2918,MATCH($A81,DKW_10Y!$A$2:$A$2918,1))-INDEX(DKW_10Y!$E$2:$E$2918,MATCH(Settings!$B$16,DKW_10Y!$A$2:$A$2918,1)))*100))</f>
        <v/>
      </c>
      <c r="AB81" s="19">
        <f>IF(NOT(ISNUMBER($A81)),NA(),IF(OR($A81&lt;MIN(DKW_10Y!$A$2:$A$2918),$A81&gt;MAX(DKW_10Y!$A$2:$A$2918),Settings!$B$16&lt;MIN(DKW_10Y!$A$2:$A$2918)),NA(),(INDEX(DKW_10Y!$H$2:$H$2918,MATCH($A81,DKW_10Y!$A$2:$A$2918,1))-INDEX(DKW_10Y!$H$2:$H$2918,MATCH(Settings!$B$16,DKW_10Y!$A$2:$A$2918,1)))*100))</f>
        <v/>
      </c>
      <c r="AC81" s="18">
        <f>IF(NOT(ISNUMBER($A81)),NA(),IFERROR(1*INDEX(BBG_Data!$N$2:$N$4000,MATCH($A81,BBG_Data!$M$2:$M$4000,0)),NA()))</f>
        <v/>
      </c>
      <c r="AD81" s="18">
        <f>IF(NOT(ISNUMBER($A81)),NA(),IFERROR(1*INDEX(BBG_Data!$P$2:$P$4000,MATCH($A81,BBG_Data!$O$2:$O$4000,0)),NA()))</f>
        <v/>
      </c>
      <c r="AE81" s="18">
        <f>IF(NOT(ISNUMBER($A81)),NA(),IFERROR(1*INDEX(BBG_Data!$R$2:$R$4000,MATCH($A81,BBG_Data!$Q$2:$Q$4000,0)),NA()))</f>
        <v/>
      </c>
      <c r="AF81" s="20">
        <f>IF(AND(ISNUMBER(B81),ISNUMBER(AC81)),(B81-AC81)*100,NA())</f>
        <v/>
      </c>
      <c r="AG81" s="20">
        <f>IF(AND(ISNUMBER(AE81),ISNUMBER(AD81)),(AE81-AD81)*100,NA())</f>
        <v/>
      </c>
      <c r="AH81" s="19">
        <f>IF(NOT(ISNUMBER($A81)),NA(),IFERROR(INDEX(BBG_Data!$T$2:$T$4000,MATCH($A81,BBG_Data!$S$2:$S$4000,0))*Settings!$B$25,NA()))</f>
        <v/>
      </c>
      <c r="AI81" s="19">
        <f>IF(NOT(ISNUMBER($A81)),NA(),IFERROR(INDEX(BBG_Data!$V$2:$V$4000,MATCH($A81,BBG_Data!$U$2:$U$4000,0))*Settings!$B$25,NA()))</f>
        <v/>
      </c>
      <c r="AJ81" s="19">
        <f>IF(NOT(ISNUMBER($A81)),NA(),IFERROR(1*INDEX(BBG_Data!$X$2:$X$4000,MATCH($A81,BBG_Data!$W$2:$W$4000,0)),NA()))</f>
        <v/>
      </c>
      <c r="AK81" s="19">
        <f>IF(NOT(ISNUMBER($A81)),NA(),IFERROR(1*INDEX(BBG_Data!$Z$2:$Z$4000,MATCH($A81,BBG_Data!$Y$2:$Y$4000,0)),NA()))</f>
        <v/>
      </c>
    </row>
    <row r="82">
      <c r="A82" s="17">
        <f>IF(ISNUMBER(BBG_Data!A82),BBG_Data!A82,"")</f>
        <v/>
      </c>
      <c r="B82" s="18">
        <f>IF(AND(ISNUMBER($A82),ISNUMBER(BBG_Data!B82)),BBG_Data!B82,NA())</f>
        <v/>
      </c>
      <c r="C82" s="18">
        <f>IF(NOT(ISNUMBER($A82)),NA(),IFERROR(1*INDEX(BBG_Data!$D$2:$D$4000,MATCH($A82,BBG_Data!$C$2:$C$4000,0)),NA()))</f>
        <v/>
      </c>
      <c r="D82" s="19">
        <f>IF(NOT(ISNUMBER($A82)),NA(),IFERROR(1*INDEX(BBG_Data!$F$2:$F$4000,MATCH($A82,BBG_Data!$E$2:$E$4000,0)),NA()))</f>
        <v/>
      </c>
      <c r="E82" s="19">
        <f>IF(NOT(ISNUMBER($A82)),NA(),IFERROR(1*INDEX(BBG_Data!$H$2:$H$4000,MATCH($A82,BBG_Data!$G$2:$G$4000,0)),NA()))</f>
        <v/>
      </c>
      <c r="F82" s="20">
        <f>IF(AND(ISNUMBER(B82),ISNUMBER(B81)),IF(B82=B81,"",(B82-B81)*100),"")</f>
        <v/>
      </c>
      <c r="G82" s="20">
        <f>IF(AND(ISNUMBER(C82),ISNUMBER(C81)),IF(C82=C81,"",(C82-C81)*100),"")</f>
        <v/>
      </c>
      <c r="H82" s="20">
        <f>IF(OR(NOT(ISNUMBER($A82)),ROW()-2&lt;Settings!$B$11),NA(),IF(COUNT(OFFSET(F82,1-Settings!$B$11,0,Settings!$B$11,1))&lt;ROUNDUP(Settings!$B$11*Settings!$B$26,0),NA(),STDEV(OFFSET(F82,1-Settings!$B$11,0,Settings!$B$11,1))*SQRT(Settings!$B$13)))</f>
        <v/>
      </c>
      <c r="I82" s="20">
        <f>IF(OR(NOT(ISNUMBER($A82)),ROW()-2&lt;Settings!$B$12),NA(),IF(COUNT(OFFSET(F82,1-Settings!$B$12,0,Settings!$B$12,1))&lt;ROUNDUP(Settings!$B$12*Settings!$B$26,0),NA(),STDEV(OFFSET(F82,1-Settings!$B$12,0,Settings!$B$12,1))*SQRT(Settings!$B$13)))</f>
        <v/>
      </c>
      <c r="J82" s="20">
        <f>IF(OR(NOT(ISNUMBER($A82)),ROW()-2&lt;Settings!$B$11),NA(),IF(COUNT(OFFSET(G82,1-Settings!$B$11,0,Settings!$B$11,1))&lt;ROUNDUP(Settings!$B$11*Settings!$B$26,0),NA(),STDEV(OFFSET(G82,1-Settings!$B$11,0,Settings!$B$11,1))*SQRT(Settings!$B$13)))</f>
        <v/>
      </c>
      <c r="K82" s="20">
        <f>IF(OR(NOT(ISNUMBER($A82)),ROW()-2&lt;Settings!$B$12),NA(),IF(COUNT(OFFSET(G82,1-Settings!$B$12,0,Settings!$B$12,1))&lt;ROUNDUP(Settings!$B$12*Settings!$B$26,0),NA(),STDEV(OFFSET(G82,1-Settings!$B$12,0,Settings!$B$12,1))*SQRT(Settings!$B$13)))</f>
        <v/>
      </c>
      <c r="L82" s="20">
        <f>IF(AND(ISNUMBER(D82),ISNUMBER(H82)),D82-H82,NA())</f>
        <v/>
      </c>
      <c r="M82" s="20">
        <f>IF(AND(ISNUMBER(E82),ISNUMBER(K82)),E82-K82,NA())</f>
        <v/>
      </c>
      <c r="N82" s="20">
        <f>IF(NOT(ISNUMBER($A82)),NA(),IF(COUNT(OFFSET(G82,1,0,Settings!$B$12,1))&lt;ROUNDUP(Settings!$B$12*Settings!$B$26,0),NA(),STDEV(OFFSET(G82,1,0,Settings!$B$12,1))*SQRT(Settings!$B$13)))</f>
        <v/>
      </c>
      <c r="O82" s="20">
        <f>IF(AND(ISNUMBER(E82),ISNUMBER(N82)),E82-N82,NA())</f>
        <v/>
      </c>
      <c r="P82" s="19">
        <f>IF(NOT(ISNUMBER($A82)),NA(),IF(OR($A82&lt;MIN(KW_TP!$A$2:$A$2501),$A82&gt;MAX(KW_TP!$A$2:$A$2501)),NA(),INDEX(KW_TP!$C$2:$C$2501,MATCH($A82,KW_TP!$A$2:$A$2501,1))))</f>
        <v/>
      </c>
      <c r="Q82" s="18">
        <f>IF(NOT(ISNUMBER($A82)),NA(),IFERROR(1*INDEX(BBG_Data!$J$2:$J$4000,MATCH($A82,BBG_Data!$I$2:$I$4000,0)),NA()))</f>
        <v/>
      </c>
      <c r="R82" s="18">
        <f>IF(NOT(ISNUMBER($A82)),NA(),IFERROR(1*INDEX(BBG_Data!$L$2:$L$4000,MATCH($A82,BBG_Data!$K$2:$K$4000,0)),NA()))</f>
        <v/>
      </c>
      <c r="S82" s="20">
        <f>IF(AND(ISNUMBER(B82),ISNUMBER(Q82),ISNUMBER(R82)),(B82-Q82-R82)*100,NA())</f>
        <v/>
      </c>
      <c r="T82" s="20">
        <f>IF(AND(ISNUMBER(B82),Settings!$B$17&gt;0),IF(ISNUMBER(INDEX($B:$B,Settings!$B$17)),(B82-INDEX($B:$B,Settings!$B$17))*100,NA()),NA())</f>
        <v/>
      </c>
      <c r="U82" s="20">
        <f>IF(AND(ISNUMBER(Q82),Settings!$B$17&gt;0),IF(ISNUMBER(INDEX($Q:$Q,Settings!$B$17)),(Q82-INDEX($Q:$Q,Settings!$B$17))*100,NA()),NA())</f>
        <v/>
      </c>
      <c r="V82" s="20">
        <f>IF(AND(ISNUMBER(R82),Settings!$B$17&gt;0),IF(ISNUMBER(INDEX($R:$R,Settings!$B$17)),(R82-INDEX($R:$R,Settings!$B$17))*100,NA()),NA())</f>
        <v/>
      </c>
      <c r="W82" s="20">
        <f>IF(AND(ISNUMBER(P82),Settings!$B$17&gt;0),IF(ISNUMBER(INDEX($P:$P,Settings!$B$17)),P82-INDEX($P:$P,Settings!$B$17),NA()),NA())</f>
        <v/>
      </c>
      <c r="X82" s="19">
        <f>IF(NOT(ISNUMBER($A82)),NA(),IF(OR($A82&lt;MIN(DKW_10Y!$A$2:$A$2918),$A82&gt;MAX(DKW_10Y!$A$2:$A$2918),Settings!$B$16&lt;MIN(DKW_10Y!$A$2:$A$2918)),NA(),(INDEX(DKW_10Y!$B$2:$B$2918,MATCH($A82,DKW_10Y!$A$2:$A$2918,1))-INDEX(DKW_10Y!$B$2:$B$2918,MATCH(Settings!$B$16,DKW_10Y!$A$2:$A$2918,1)))*100))</f>
        <v/>
      </c>
      <c r="Y82" s="19">
        <f>IF(NOT(ISNUMBER($A82)),NA(),IF(OR($A82&lt;MIN(DKW_10Y!$A$2:$A$2918),$A82&gt;MAX(DKW_10Y!$A$2:$A$2918),Settings!$B$16&lt;MIN(DKW_10Y!$A$2:$A$2918)),NA(),(INDEX(DKW_10Y!$C$2:$C$2918,MATCH($A82,DKW_10Y!$A$2:$A$2918,1))-INDEX(DKW_10Y!$C$2:$C$2918,MATCH(Settings!$B$16,DKW_10Y!$A$2:$A$2918,1)))*100))</f>
        <v/>
      </c>
      <c r="Z82" s="19">
        <f>IF(NOT(ISNUMBER($A82)),NA(),IF(OR($A82&lt;MIN(DKW_10Y!$A$2:$A$2918),$A82&gt;MAX(DKW_10Y!$A$2:$A$2918),Settings!$B$16&lt;MIN(DKW_10Y!$A$2:$A$2918)),NA(),(INDEX(DKW_10Y!$D$2:$D$2918,MATCH($A82,DKW_10Y!$A$2:$A$2918,1))-INDEX(DKW_10Y!$D$2:$D$2918,MATCH(Settings!$B$16,DKW_10Y!$A$2:$A$2918,1)))*100))</f>
        <v/>
      </c>
      <c r="AA82" s="19">
        <f>IF(NOT(ISNUMBER($A82)),NA(),IF(OR($A82&lt;MIN(DKW_10Y!$A$2:$A$2918),$A82&gt;MAX(DKW_10Y!$A$2:$A$2918),Settings!$B$16&lt;MIN(DKW_10Y!$A$2:$A$2918)),NA(),(INDEX(DKW_10Y!$E$2:$E$2918,MATCH($A82,DKW_10Y!$A$2:$A$2918,1))-INDEX(DKW_10Y!$E$2:$E$2918,MATCH(Settings!$B$16,DKW_10Y!$A$2:$A$2918,1)))*100))</f>
        <v/>
      </c>
      <c r="AB82" s="19">
        <f>IF(NOT(ISNUMBER($A82)),NA(),IF(OR($A82&lt;MIN(DKW_10Y!$A$2:$A$2918),$A82&gt;MAX(DKW_10Y!$A$2:$A$2918),Settings!$B$16&lt;MIN(DKW_10Y!$A$2:$A$2918)),NA(),(INDEX(DKW_10Y!$H$2:$H$2918,MATCH($A82,DKW_10Y!$A$2:$A$2918,1))-INDEX(DKW_10Y!$H$2:$H$2918,MATCH(Settings!$B$16,DKW_10Y!$A$2:$A$2918,1)))*100))</f>
        <v/>
      </c>
      <c r="AC82" s="18">
        <f>IF(NOT(ISNUMBER($A82)),NA(),IFERROR(1*INDEX(BBG_Data!$N$2:$N$4000,MATCH($A82,BBG_Data!$M$2:$M$4000,0)),NA()))</f>
        <v/>
      </c>
      <c r="AD82" s="18">
        <f>IF(NOT(ISNUMBER($A82)),NA(),IFERROR(1*INDEX(BBG_Data!$P$2:$P$4000,MATCH($A82,BBG_Data!$O$2:$O$4000,0)),NA()))</f>
        <v/>
      </c>
      <c r="AE82" s="18">
        <f>IF(NOT(ISNUMBER($A82)),NA(),IFERROR(1*INDEX(BBG_Data!$R$2:$R$4000,MATCH($A82,BBG_Data!$Q$2:$Q$4000,0)),NA()))</f>
        <v/>
      </c>
      <c r="AF82" s="20">
        <f>IF(AND(ISNUMBER(B82),ISNUMBER(AC82)),(B82-AC82)*100,NA())</f>
        <v/>
      </c>
      <c r="AG82" s="20">
        <f>IF(AND(ISNUMBER(AE82),ISNUMBER(AD82)),(AE82-AD82)*100,NA())</f>
        <v/>
      </c>
      <c r="AH82" s="19">
        <f>IF(NOT(ISNUMBER($A82)),NA(),IFERROR(INDEX(BBG_Data!$T$2:$T$4000,MATCH($A82,BBG_Data!$S$2:$S$4000,0))*Settings!$B$25,NA()))</f>
        <v/>
      </c>
      <c r="AI82" s="19">
        <f>IF(NOT(ISNUMBER($A82)),NA(),IFERROR(INDEX(BBG_Data!$V$2:$V$4000,MATCH($A82,BBG_Data!$U$2:$U$4000,0))*Settings!$B$25,NA()))</f>
        <v/>
      </c>
      <c r="AJ82" s="19">
        <f>IF(NOT(ISNUMBER($A82)),NA(),IFERROR(1*INDEX(BBG_Data!$X$2:$X$4000,MATCH($A82,BBG_Data!$W$2:$W$4000,0)),NA()))</f>
        <v/>
      </c>
      <c r="AK82" s="19">
        <f>IF(NOT(ISNUMBER($A82)),NA(),IFERROR(1*INDEX(BBG_Data!$Z$2:$Z$4000,MATCH($A82,BBG_Data!$Y$2:$Y$4000,0)),NA()))</f>
        <v/>
      </c>
    </row>
    <row r="83">
      <c r="A83" s="17">
        <f>IF(ISNUMBER(BBG_Data!A83),BBG_Data!A83,"")</f>
        <v/>
      </c>
      <c r="B83" s="18">
        <f>IF(AND(ISNUMBER($A83),ISNUMBER(BBG_Data!B83)),BBG_Data!B83,NA())</f>
        <v/>
      </c>
      <c r="C83" s="18">
        <f>IF(NOT(ISNUMBER($A83)),NA(),IFERROR(1*INDEX(BBG_Data!$D$2:$D$4000,MATCH($A83,BBG_Data!$C$2:$C$4000,0)),NA()))</f>
        <v/>
      </c>
      <c r="D83" s="19">
        <f>IF(NOT(ISNUMBER($A83)),NA(),IFERROR(1*INDEX(BBG_Data!$F$2:$F$4000,MATCH($A83,BBG_Data!$E$2:$E$4000,0)),NA()))</f>
        <v/>
      </c>
      <c r="E83" s="19">
        <f>IF(NOT(ISNUMBER($A83)),NA(),IFERROR(1*INDEX(BBG_Data!$H$2:$H$4000,MATCH($A83,BBG_Data!$G$2:$G$4000,0)),NA()))</f>
        <v/>
      </c>
      <c r="F83" s="20">
        <f>IF(AND(ISNUMBER(B83),ISNUMBER(B82)),IF(B83=B82,"",(B83-B82)*100),"")</f>
        <v/>
      </c>
      <c r="G83" s="20">
        <f>IF(AND(ISNUMBER(C83),ISNUMBER(C82)),IF(C83=C82,"",(C83-C82)*100),"")</f>
        <v/>
      </c>
      <c r="H83" s="20">
        <f>IF(OR(NOT(ISNUMBER($A83)),ROW()-2&lt;Settings!$B$11),NA(),IF(COUNT(OFFSET(F83,1-Settings!$B$11,0,Settings!$B$11,1))&lt;ROUNDUP(Settings!$B$11*Settings!$B$26,0),NA(),STDEV(OFFSET(F83,1-Settings!$B$11,0,Settings!$B$11,1))*SQRT(Settings!$B$13)))</f>
        <v/>
      </c>
      <c r="I83" s="20">
        <f>IF(OR(NOT(ISNUMBER($A83)),ROW()-2&lt;Settings!$B$12),NA(),IF(COUNT(OFFSET(F83,1-Settings!$B$12,0,Settings!$B$12,1))&lt;ROUNDUP(Settings!$B$12*Settings!$B$26,0),NA(),STDEV(OFFSET(F83,1-Settings!$B$12,0,Settings!$B$12,1))*SQRT(Settings!$B$13)))</f>
        <v/>
      </c>
      <c r="J83" s="20">
        <f>IF(OR(NOT(ISNUMBER($A83)),ROW()-2&lt;Settings!$B$11),NA(),IF(COUNT(OFFSET(G83,1-Settings!$B$11,0,Settings!$B$11,1))&lt;ROUNDUP(Settings!$B$11*Settings!$B$26,0),NA(),STDEV(OFFSET(G83,1-Settings!$B$11,0,Settings!$B$11,1))*SQRT(Settings!$B$13)))</f>
        <v/>
      </c>
      <c r="K83" s="20">
        <f>IF(OR(NOT(ISNUMBER($A83)),ROW()-2&lt;Settings!$B$12),NA(),IF(COUNT(OFFSET(G83,1-Settings!$B$12,0,Settings!$B$12,1))&lt;ROUNDUP(Settings!$B$12*Settings!$B$26,0),NA(),STDEV(OFFSET(G83,1-Settings!$B$12,0,Settings!$B$12,1))*SQRT(Settings!$B$13)))</f>
        <v/>
      </c>
      <c r="L83" s="20">
        <f>IF(AND(ISNUMBER(D83),ISNUMBER(H83)),D83-H83,NA())</f>
        <v/>
      </c>
      <c r="M83" s="20">
        <f>IF(AND(ISNUMBER(E83),ISNUMBER(K83)),E83-K83,NA())</f>
        <v/>
      </c>
      <c r="N83" s="20">
        <f>IF(NOT(ISNUMBER($A83)),NA(),IF(COUNT(OFFSET(G83,1,0,Settings!$B$12,1))&lt;ROUNDUP(Settings!$B$12*Settings!$B$26,0),NA(),STDEV(OFFSET(G83,1,0,Settings!$B$12,1))*SQRT(Settings!$B$13)))</f>
        <v/>
      </c>
      <c r="O83" s="20">
        <f>IF(AND(ISNUMBER(E83),ISNUMBER(N83)),E83-N83,NA())</f>
        <v/>
      </c>
      <c r="P83" s="19">
        <f>IF(NOT(ISNUMBER($A83)),NA(),IF(OR($A83&lt;MIN(KW_TP!$A$2:$A$2501),$A83&gt;MAX(KW_TP!$A$2:$A$2501)),NA(),INDEX(KW_TP!$C$2:$C$2501,MATCH($A83,KW_TP!$A$2:$A$2501,1))))</f>
        <v/>
      </c>
      <c r="Q83" s="18">
        <f>IF(NOT(ISNUMBER($A83)),NA(),IFERROR(1*INDEX(BBG_Data!$J$2:$J$4000,MATCH($A83,BBG_Data!$I$2:$I$4000,0)),NA()))</f>
        <v/>
      </c>
      <c r="R83" s="18">
        <f>IF(NOT(ISNUMBER($A83)),NA(),IFERROR(1*INDEX(BBG_Data!$L$2:$L$4000,MATCH($A83,BBG_Data!$K$2:$K$4000,0)),NA()))</f>
        <v/>
      </c>
      <c r="S83" s="20">
        <f>IF(AND(ISNUMBER(B83),ISNUMBER(Q83),ISNUMBER(R83)),(B83-Q83-R83)*100,NA())</f>
        <v/>
      </c>
      <c r="T83" s="20">
        <f>IF(AND(ISNUMBER(B83),Settings!$B$17&gt;0),IF(ISNUMBER(INDEX($B:$B,Settings!$B$17)),(B83-INDEX($B:$B,Settings!$B$17))*100,NA()),NA())</f>
        <v/>
      </c>
      <c r="U83" s="20">
        <f>IF(AND(ISNUMBER(Q83),Settings!$B$17&gt;0),IF(ISNUMBER(INDEX($Q:$Q,Settings!$B$17)),(Q83-INDEX($Q:$Q,Settings!$B$17))*100,NA()),NA())</f>
        <v/>
      </c>
      <c r="V83" s="20">
        <f>IF(AND(ISNUMBER(R83),Settings!$B$17&gt;0),IF(ISNUMBER(INDEX($R:$R,Settings!$B$17)),(R83-INDEX($R:$R,Settings!$B$17))*100,NA()),NA())</f>
        <v/>
      </c>
      <c r="W83" s="20">
        <f>IF(AND(ISNUMBER(P83),Settings!$B$17&gt;0),IF(ISNUMBER(INDEX($P:$P,Settings!$B$17)),P83-INDEX($P:$P,Settings!$B$17),NA()),NA())</f>
        <v/>
      </c>
      <c r="X83" s="19">
        <f>IF(NOT(ISNUMBER($A83)),NA(),IF(OR($A83&lt;MIN(DKW_10Y!$A$2:$A$2918),$A83&gt;MAX(DKW_10Y!$A$2:$A$2918),Settings!$B$16&lt;MIN(DKW_10Y!$A$2:$A$2918)),NA(),(INDEX(DKW_10Y!$B$2:$B$2918,MATCH($A83,DKW_10Y!$A$2:$A$2918,1))-INDEX(DKW_10Y!$B$2:$B$2918,MATCH(Settings!$B$16,DKW_10Y!$A$2:$A$2918,1)))*100))</f>
        <v/>
      </c>
      <c r="Y83" s="19">
        <f>IF(NOT(ISNUMBER($A83)),NA(),IF(OR($A83&lt;MIN(DKW_10Y!$A$2:$A$2918),$A83&gt;MAX(DKW_10Y!$A$2:$A$2918),Settings!$B$16&lt;MIN(DKW_10Y!$A$2:$A$2918)),NA(),(INDEX(DKW_10Y!$C$2:$C$2918,MATCH($A83,DKW_10Y!$A$2:$A$2918,1))-INDEX(DKW_10Y!$C$2:$C$2918,MATCH(Settings!$B$16,DKW_10Y!$A$2:$A$2918,1)))*100))</f>
        <v/>
      </c>
      <c r="Z83" s="19">
        <f>IF(NOT(ISNUMBER($A83)),NA(),IF(OR($A83&lt;MIN(DKW_10Y!$A$2:$A$2918),$A83&gt;MAX(DKW_10Y!$A$2:$A$2918),Settings!$B$16&lt;MIN(DKW_10Y!$A$2:$A$2918)),NA(),(INDEX(DKW_10Y!$D$2:$D$2918,MATCH($A83,DKW_10Y!$A$2:$A$2918,1))-INDEX(DKW_10Y!$D$2:$D$2918,MATCH(Settings!$B$16,DKW_10Y!$A$2:$A$2918,1)))*100))</f>
        <v/>
      </c>
      <c r="AA83" s="19">
        <f>IF(NOT(ISNUMBER($A83)),NA(),IF(OR($A83&lt;MIN(DKW_10Y!$A$2:$A$2918),$A83&gt;MAX(DKW_10Y!$A$2:$A$2918),Settings!$B$16&lt;MIN(DKW_10Y!$A$2:$A$2918)),NA(),(INDEX(DKW_10Y!$E$2:$E$2918,MATCH($A83,DKW_10Y!$A$2:$A$2918,1))-INDEX(DKW_10Y!$E$2:$E$2918,MATCH(Settings!$B$16,DKW_10Y!$A$2:$A$2918,1)))*100))</f>
        <v/>
      </c>
      <c r="AB83" s="19">
        <f>IF(NOT(ISNUMBER($A83)),NA(),IF(OR($A83&lt;MIN(DKW_10Y!$A$2:$A$2918),$A83&gt;MAX(DKW_10Y!$A$2:$A$2918),Settings!$B$16&lt;MIN(DKW_10Y!$A$2:$A$2918)),NA(),(INDEX(DKW_10Y!$H$2:$H$2918,MATCH($A83,DKW_10Y!$A$2:$A$2918,1))-INDEX(DKW_10Y!$H$2:$H$2918,MATCH(Settings!$B$16,DKW_10Y!$A$2:$A$2918,1)))*100))</f>
        <v/>
      </c>
      <c r="AC83" s="18">
        <f>IF(NOT(ISNUMBER($A83)),NA(),IFERROR(1*INDEX(BBG_Data!$N$2:$N$4000,MATCH($A83,BBG_Data!$M$2:$M$4000,0)),NA()))</f>
        <v/>
      </c>
      <c r="AD83" s="18">
        <f>IF(NOT(ISNUMBER($A83)),NA(),IFERROR(1*INDEX(BBG_Data!$P$2:$P$4000,MATCH($A83,BBG_Data!$O$2:$O$4000,0)),NA()))</f>
        <v/>
      </c>
      <c r="AE83" s="18">
        <f>IF(NOT(ISNUMBER($A83)),NA(),IFERROR(1*INDEX(BBG_Data!$R$2:$R$4000,MATCH($A83,BBG_Data!$Q$2:$Q$4000,0)),NA()))</f>
        <v/>
      </c>
      <c r="AF83" s="20">
        <f>IF(AND(ISNUMBER(B83),ISNUMBER(AC83)),(B83-AC83)*100,NA())</f>
        <v/>
      </c>
      <c r="AG83" s="20">
        <f>IF(AND(ISNUMBER(AE83),ISNUMBER(AD83)),(AE83-AD83)*100,NA())</f>
        <v/>
      </c>
      <c r="AH83" s="19">
        <f>IF(NOT(ISNUMBER($A83)),NA(),IFERROR(INDEX(BBG_Data!$T$2:$T$4000,MATCH($A83,BBG_Data!$S$2:$S$4000,0))*Settings!$B$25,NA()))</f>
        <v/>
      </c>
      <c r="AI83" s="19">
        <f>IF(NOT(ISNUMBER($A83)),NA(),IFERROR(INDEX(BBG_Data!$V$2:$V$4000,MATCH($A83,BBG_Data!$U$2:$U$4000,0))*Settings!$B$25,NA()))</f>
        <v/>
      </c>
      <c r="AJ83" s="19">
        <f>IF(NOT(ISNUMBER($A83)),NA(),IFERROR(1*INDEX(BBG_Data!$X$2:$X$4000,MATCH($A83,BBG_Data!$W$2:$W$4000,0)),NA()))</f>
        <v/>
      </c>
      <c r="AK83" s="19">
        <f>IF(NOT(ISNUMBER($A83)),NA(),IFERROR(1*INDEX(BBG_Data!$Z$2:$Z$4000,MATCH($A83,BBG_Data!$Y$2:$Y$4000,0)),NA()))</f>
        <v/>
      </c>
    </row>
    <row r="84">
      <c r="A84" s="17">
        <f>IF(ISNUMBER(BBG_Data!A84),BBG_Data!A84,"")</f>
        <v/>
      </c>
      <c r="B84" s="18">
        <f>IF(AND(ISNUMBER($A84),ISNUMBER(BBG_Data!B84)),BBG_Data!B84,NA())</f>
        <v/>
      </c>
      <c r="C84" s="18">
        <f>IF(NOT(ISNUMBER($A84)),NA(),IFERROR(1*INDEX(BBG_Data!$D$2:$D$4000,MATCH($A84,BBG_Data!$C$2:$C$4000,0)),NA()))</f>
        <v/>
      </c>
      <c r="D84" s="19">
        <f>IF(NOT(ISNUMBER($A84)),NA(),IFERROR(1*INDEX(BBG_Data!$F$2:$F$4000,MATCH($A84,BBG_Data!$E$2:$E$4000,0)),NA()))</f>
        <v/>
      </c>
      <c r="E84" s="19">
        <f>IF(NOT(ISNUMBER($A84)),NA(),IFERROR(1*INDEX(BBG_Data!$H$2:$H$4000,MATCH($A84,BBG_Data!$G$2:$G$4000,0)),NA()))</f>
        <v/>
      </c>
      <c r="F84" s="20">
        <f>IF(AND(ISNUMBER(B84),ISNUMBER(B83)),IF(B84=B83,"",(B84-B83)*100),"")</f>
        <v/>
      </c>
      <c r="G84" s="20">
        <f>IF(AND(ISNUMBER(C84),ISNUMBER(C83)),IF(C84=C83,"",(C84-C83)*100),"")</f>
        <v/>
      </c>
      <c r="H84" s="20">
        <f>IF(OR(NOT(ISNUMBER($A84)),ROW()-2&lt;Settings!$B$11),NA(),IF(COUNT(OFFSET(F84,1-Settings!$B$11,0,Settings!$B$11,1))&lt;ROUNDUP(Settings!$B$11*Settings!$B$26,0),NA(),STDEV(OFFSET(F84,1-Settings!$B$11,0,Settings!$B$11,1))*SQRT(Settings!$B$13)))</f>
        <v/>
      </c>
      <c r="I84" s="20">
        <f>IF(OR(NOT(ISNUMBER($A84)),ROW()-2&lt;Settings!$B$12),NA(),IF(COUNT(OFFSET(F84,1-Settings!$B$12,0,Settings!$B$12,1))&lt;ROUNDUP(Settings!$B$12*Settings!$B$26,0),NA(),STDEV(OFFSET(F84,1-Settings!$B$12,0,Settings!$B$12,1))*SQRT(Settings!$B$13)))</f>
        <v/>
      </c>
      <c r="J84" s="20">
        <f>IF(OR(NOT(ISNUMBER($A84)),ROW()-2&lt;Settings!$B$11),NA(),IF(COUNT(OFFSET(G84,1-Settings!$B$11,0,Settings!$B$11,1))&lt;ROUNDUP(Settings!$B$11*Settings!$B$26,0),NA(),STDEV(OFFSET(G84,1-Settings!$B$11,0,Settings!$B$11,1))*SQRT(Settings!$B$13)))</f>
        <v/>
      </c>
      <c r="K84" s="20">
        <f>IF(OR(NOT(ISNUMBER($A84)),ROW()-2&lt;Settings!$B$12),NA(),IF(COUNT(OFFSET(G84,1-Settings!$B$12,0,Settings!$B$12,1))&lt;ROUNDUP(Settings!$B$12*Settings!$B$26,0),NA(),STDEV(OFFSET(G84,1-Settings!$B$12,0,Settings!$B$12,1))*SQRT(Settings!$B$13)))</f>
        <v/>
      </c>
      <c r="L84" s="20">
        <f>IF(AND(ISNUMBER(D84),ISNUMBER(H84)),D84-H84,NA())</f>
        <v/>
      </c>
      <c r="M84" s="20">
        <f>IF(AND(ISNUMBER(E84),ISNUMBER(K84)),E84-K84,NA())</f>
        <v/>
      </c>
      <c r="N84" s="20">
        <f>IF(NOT(ISNUMBER($A84)),NA(),IF(COUNT(OFFSET(G84,1,0,Settings!$B$12,1))&lt;ROUNDUP(Settings!$B$12*Settings!$B$26,0),NA(),STDEV(OFFSET(G84,1,0,Settings!$B$12,1))*SQRT(Settings!$B$13)))</f>
        <v/>
      </c>
      <c r="O84" s="20">
        <f>IF(AND(ISNUMBER(E84),ISNUMBER(N84)),E84-N84,NA())</f>
        <v/>
      </c>
      <c r="P84" s="19">
        <f>IF(NOT(ISNUMBER($A84)),NA(),IF(OR($A84&lt;MIN(KW_TP!$A$2:$A$2501),$A84&gt;MAX(KW_TP!$A$2:$A$2501)),NA(),INDEX(KW_TP!$C$2:$C$2501,MATCH($A84,KW_TP!$A$2:$A$2501,1))))</f>
        <v/>
      </c>
      <c r="Q84" s="18">
        <f>IF(NOT(ISNUMBER($A84)),NA(),IFERROR(1*INDEX(BBG_Data!$J$2:$J$4000,MATCH($A84,BBG_Data!$I$2:$I$4000,0)),NA()))</f>
        <v/>
      </c>
      <c r="R84" s="18">
        <f>IF(NOT(ISNUMBER($A84)),NA(),IFERROR(1*INDEX(BBG_Data!$L$2:$L$4000,MATCH($A84,BBG_Data!$K$2:$K$4000,0)),NA()))</f>
        <v/>
      </c>
      <c r="S84" s="20">
        <f>IF(AND(ISNUMBER(B84),ISNUMBER(Q84),ISNUMBER(R84)),(B84-Q84-R84)*100,NA())</f>
        <v/>
      </c>
      <c r="T84" s="20">
        <f>IF(AND(ISNUMBER(B84),Settings!$B$17&gt;0),IF(ISNUMBER(INDEX($B:$B,Settings!$B$17)),(B84-INDEX($B:$B,Settings!$B$17))*100,NA()),NA())</f>
        <v/>
      </c>
      <c r="U84" s="20">
        <f>IF(AND(ISNUMBER(Q84),Settings!$B$17&gt;0),IF(ISNUMBER(INDEX($Q:$Q,Settings!$B$17)),(Q84-INDEX($Q:$Q,Settings!$B$17))*100,NA()),NA())</f>
        <v/>
      </c>
      <c r="V84" s="20">
        <f>IF(AND(ISNUMBER(R84),Settings!$B$17&gt;0),IF(ISNUMBER(INDEX($R:$R,Settings!$B$17)),(R84-INDEX($R:$R,Settings!$B$17))*100,NA()),NA())</f>
        <v/>
      </c>
      <c r="W84" s="20">
        <f>IF(AND(ISNUMBER(P84),Settings!$B$17&gt;0),IF(ISNUMBER(INDEX($P:$P,Settings!$B$17)),P84-INDEX($P:$P,Settings!$B$17),NA()),NA())</f>
        <v/>
      </c>
      <c r="X84" s="19">
        <f>IF(NOT(ISNUMBER($A84)),NA(),IF(OR($A84&lt;MIN(DKW_10Y!$A$2:$A$2918),$A84&gt;MAX(DKW_10Y!$A$2:$A$2918),Settings!$B$16&lt;MIN(DKW_10Y!$A$2:$A$2918)),NA(),(INDEX(DKW_10Y!$B$2:$B$2918,MATCH($A84,DKW_10Y!$A$2:$A$2918,1))-INDEX(DKW_10Y!$B$2:$B$2918,MATCH(Settings!$B$16,DKW_10Y!$A$2:$A$2918,1)))*100))</f>
        <v/>
      </c>
      <c r="Y84" s="19">
        <f>IF(NOT(ISNUMBER($A84)),NA(),IF(OR($A84&lt;MIN(DKW_10Y!$A$2:$A$2918),$A84&gt;MAX(DKW_10Y!$A$2:$A$2918),Settings!$B$16&lt;MIN(DKW_10Y!$A$2:$A$2918)),NA(),(INDEX(DKW_10Y!$C$2:$C$2918,MATCH($A84,DKW_10Y!$A$2:$A$2918,1))-INDEX(DKW_10Y!$C$2:$C$2918,MATCH(Settings!$B$16,DKW_10Y!$A$2:$A$2918,1)))*100))</f>
        <v/>
      </c>
      <c r="Z84" s="19">
        <f>IF(NOT(ISNUMBER($A84)),NA(),IF(OR($A84&lt;MIN(DKW_10Y!$A$2:$A$2918),$A84&gt;MAX(DKW_10Y!$A$2:$A$2918),Settings!$B$16&lt;MIN(DKW_10Y!$A$2:$A$2918)),NA(),(INDEX(DKW_10Y!$D$2:$D$2918,MATCH($A84,DKW_10Y!$A$2:$A$2918,1))-INDEX(DKW_10Y!$D$2:$D$2918,MATCH(Settings!$B$16,DKW_10Y!$A$2:$A$2918,1)))*100))</f>
        <v/>
      </c>
      <c r="AA84" s="19">
        <f>IF(NOT(ISNUMBER($A84)),NA(),IF(OR($A84&lt;MIN(DKW_10Y!$A$2:$A$2918),$A84&gt;MAX(DKW_10Y!$A$2:$A$2918),Settings!$B$16&lt;MIN(DKW_10Y!$A$2:$A$2918)),NA(),(INDEX(DKW_10Y!$E$2:$E$2918,MATCH($A84,DKW_10Y!$A$2:$A$2918,1))-INDEX(DKW_10Y!$E$2:$E$2918,MATCH(Settings!$B$16,DKW_10Y!$A$2:$A$2918,1)))*100))</f>
        <v/>
      </c>
      <c r="AB84" s="19">
        <f>IF(NOT(ISNUMBER($A84)),NA(),IF(OR($A84&lt;MIN(DKW_10Y!$A$2:$A$2918),$A84&gt;MAX(DKW_10Y!$A$2:$A$2918),Settings!$B$16&lt;MIN(DKW_10Y!$A$2:$A$2918)),NA(),(INDEX(DKW_10Y!$H$2:$H$2918,MATCH($A84,DKW_10Y!$A$2:$A$2918,1))-INDEX(DKW_10Y!$H$2:$H$2918,MATCH(Settings!$B$16,DKW_10Y!$A$2:$A$2918,1)))*100))</f>
        <v/>
      </c>
      <c r="AC84" s="18">
        <f>IF(NOT(ISNUMBER($A84)),NA(),IFERROR(1*INDEX(BBG_Data!$N$2:$N$4000,MATCH($A84,BBG_Data!$M$2:$M$4000,0)),NA()))</f>
        <v/>
      </c>
      <c r="AD84" s="18">
        <f>IF(NOT(ISNUMBER($A84)),NA(),IFERROR(1*INDEX(BBG_Data!$P$2:$P$4000,MATCH($A84,BBG_Data!$O$2:$O$4000,0)),NA()))</f>
        <v/>
      </c>
      <c r="AE84" s="18">
        <f>IF(NOT(ISNUMBER($A84)),NA(),IFERROR(1*INDEX(BBG_Data!$R$2:$R$4000,MATCH($A84,BBG_Data!$Q$2:$Q$4000,0)),NA()))</f>
        <v/>
      </c>
      <c r="AF84" s="20">
        <f>IF(AND(ISNUMBER(B84),ISNUMBER(AC84)),(B84-AC84)*100,NA())</f>
        <v/>
      </c>
      <c r="AG84" s="20">
        <f>IF(AND(ISNUMBER(AE84),ISNUMBER(AD84)),(AE84-AD84)*100,NA())</f>
        <v/>
      </c>
      <c r="AH84" s="19">
        <f>IF(NOT(ISNUMBER($A84)),NA(),IFERROR(INDEX(BBG_Data!$T$2:$T$4000,MATCH($A84,BBG_Data!$S$2:$S$4000,0))*Settings!$B$25,NA()))</f>
        <v/>
      </c>
      <c r="AI84" s="19">
        <f>IF(NOT(ISNUMBER($A84)),NA(),IFERROR(INDEX(BBG_Data!$V$2:$V$4000,MATCH($A84,BBG_Data!$U$2:$U$4000,0))*Settings!$B$25,NA()))</f>
        <v/>
      </c>
      <c r="AJ84" s="19">
        <f>IF(NOT(ISNUMBER($A84)),NA(),IFERROR(1*INDEX(BBG_Data!$X$2:$X$4000,MATCH($A84,BBG_Data!$W$2:$W$4000,0)),NA()))</f>
        <v/>
      </c>
      <c r="AK84" s="19">
        <f>IF(NOT(ISNUMBER($A84)),NA(),IFERROR(1*INDEX(BBG_Data!$Z$2:$Z$4000,MATCH($A84,BBG_Data!$Y$2:$Y$4000,0)),NA()))</f>
        <v/>
      </c>
    </row>
    <row r="85">
      <c r="A85" s="17">
        <f>IF(ISNUMBER(BBG_Data!A85),BBG_Data!A85,"")</f>
        <v/>
      </c>
      <c r="B85" s="18">
        <f>IF(AND(ISNUMBER($A85),ISNUMBER(BBG_Data!B85)),BBG_Data!B85,NA())</f>
        <v/>
      </c>
      <c r="C85" s="18">
        <f>IF(NOT(ISNUMBER($A85)),NA(),IFERROR(1*INDEX(BBG_Data!$D$2:$D$4000,MATCH($A85,BBG_Data!$C$2:$C$4000,0)),NA()))</f>
        <v/>
      </c>
      <c r="D85" s="19">
        <f>IF(NOT(ISNUMBER($A85)),NA(),IFERROR(1*INDEX(BBG_Data!$F$2:$F$4000,MATCH($A85,BBG_Data!$E$2:$E$4000,0)),NA()))</f>
        <v/>
      </c>
      <c r="E85" s="19">
        <f>IF(NOT(ISNUMBER($A85)),NA(),IFERROR(1*INDEX(BBG_Data!$H$2:$H$4000,MATCH($A85,BBG_Data!$G$2:$G$4000,0)),NA()))</f>
        <v/>
      </c>
      <c r="F85" s="20">
        <f>IF(AND(ISNUMBER(B85),ISNUMBER(B84)),IF(B85=B84,"",(B85-B84)*100),"")</f>
        <v/>
      </c>
      <c r="G85" s="20">
        <f>IF(AND(ISNUMBER(C85),ISNUMBER(C84)),IF(C85=C84,"",(C85-C84)*100),"")</f>
        <v/>
      </c>
      <c r="H85" s="20">
        <f>IF(OR(NOT(ISNUMBER($A85)),ROW()-2&lt;Settings!$B$11),NA(),IF(COUNT(OFFSET(F85,1-Settings!$B$11,0,Settings!$B$11,1))&lt;ROUNDUP(Settings!$B$11*Settings!$B$26,0),NA(),STDEV(OFFSET(F85,1-Settings!$B$11,0,Settings!$B$11,1))*SQRT(Settings!$B$13)))</f>
        <v/>
      </c>
      <c r="I85" s="20">
        <f>IF(OR(NOT(ISNUMBER($A85)),ROW()-2&lt;Settings!$B$12),NA(),IF(COUNT(OFFSET(F85,1-Settings!$B$12,0,Settings!$B$12,1))&lt;ROUNDUP(Settings!$B$12*Settings!$B$26,0),NA(),STDEV(OFFSET(F85,1-Settings!$B$12,0,Settings!$B$12,1))*SQRT(Settings!$B$13)))</f>
        <v/>
      </c>
      <c r="J85" s="20">
        <f>IF(OR(NOT(ISNUMBER($A85)),ROW()-2&lt;Settings!$B$11),NA(),IF(COUNT(OFFSET(G85,1-Settings!$B$11,0,Settings!$B$11,1))&lt;ROUNDUP(Settings!$B$11*Settings!$B$26,0),NA(),STDEV(OFFSET(G85,1-Settings!$B$11,0,Settings!$B$11,1))*SQRT(Settings!$B$13)))</f>
        <v/>
      </c>
      <c r="K85" s="20">
        <f>IF(OR(NOT(ISNUMBER($A85)),ROW()-2&lt;Settings!$B$12),NA(),IF(COUNT(OFFSET(G85,1-Settings!$B$12,0,Settings!$B$12,1))&lt;ROUNDUP(Settings!$B$12*Settings!$B$26,0),NA(),STDEV(OFFSET(G85,1-Settings!$B$12,0,Settings!$B$12,1))*SQRT(Settings!$B$13)))</f>
        <v/>
      </c>
      <c r="L85" s="20">
        <f>IF(AND(ISNUMBER(D85),ISNUMBER(H85)),D85-H85,NA())</f>
        <v/>
      </c>
      <c r="M85" s="20">
        <f>IF(AND(ISNUMBER(E85),ISNUMBER(K85)),E85-K85,NA())</f>
        <v/>
      </c>
      <c r="N85" s="20">
        <f>IF(NOT(ISNUMBER($A85)),NA(),IF(COUNT(OFFSET(G85,1,0,Settings!$B$12,1))&lt;ROUNDUP(Settings!$B$12*Settings!$B$26,0),NA(),STDEV(OFFSET(G85,1,0,Settings!$B$12,1))*SQRT(Settings!$B$13)))</f>
        <v/>
      </c>
      <c r="O85" s="20">
        <f>IF(AND(ISNUMBER(E85),ISNUMBER(N85)),E85-N85,NA())</f>
        <v/>
      </c>
      <c r="P85" s="19">
        <f>IF(NOT(ISNUMBER($A85)),NA(),IF(OR($A85&lt;MIN(KW_TP!$A$2:$A$2501),$A85&gt;MAX(KW_TP!$A$2:$A$2501)),NA(),INDEX(KW_TP!$C$2:$C$2501,MATCH($A85,KW_TP!$A$2:$A$2501,1))))</f>
        <v/>
      </c>
      <c r="Q85" s="18">
        <f>IF(NOT(ISNUMBER($A85)),NA(),IFERROR(1*INDEX(BBG_Data!$J$2:$J$4000,MATCH($A85,BBG_Data!$I$2:$I$4000,0)),NA()))</f>
        <v/>
      </c>
      <c r="R85" s="18">
        <f>IF(NOT(ISNUMBER($A85)),NA(),IFERROR(1*INDEX(BBG_Data!$L$2:$L$4000,MATCH($A85,BBG_Data!$K$2:$K$4000,0)),NA()))</f>
        <v/>
      </c>
      <c r="S85" s="20">
        <f>IF(AND(ISNUMBER(B85),ISNUMBER(Q85),ISNUMBER(R85)),(B85-Q85-R85)*100,NA())</f>
        <v/>
      </c>
      <c r="T85" s="20">
        <f>IF(AND(ISNUMBER(B85),Settings!$B$17&gt;0),IF(ISNUMBER(INDEX($B:$B,Settings!$B$17)),(B85-INDEX($B:$B,Settings!$B$17))*100,NA()),NA())</f>
        <v/>
      </c>
      <c r="U85" s="20">
        <f>IF(AND(ISNUMBER(Q85),Settings!$B$17&gt;0),IF(ISNUMBER(INDEX($Q:$Q,Settings!$B$17)),(Q85-INDEX($Q:$Q,Settings!$B$17))*100,NA()),NA())</f>
        <v/>
      </c>
      <c r="V85" s="20">
        <f>IF(AND(ISNUMBER(R85),Settings!$B$17&gt;0),IF(ISNUMBER(INDEX($R:$R,Settings!$B$17)),(R85-INDEX($R:$R,Settings!$B$17))*100,NA()),NA())</f>
        <v/>
      </c>
      <c r="W85" s="20">
        <f>IF(AND(ISNUMBER(P85),Settings!$B$17&gt;0),IF(ISNUMBER(INDEX($P:$P,Settings!$B$17)),P85-INDEX($P:$P,Settings!$B$17),NA()),NA())</f>
        <v/>
      </c>
      <c r="X85" s="19">
        <f>IF(NOT(ISNUMBER($A85)),NA(),IF(OR($A85&lt;MIN(DKW_10Y!$A$2:$A$2918),$A85&gt;MAX(DKW_10Y!$A$2:$A$2918),Settings!$B$16&lt;MIN(DKW_10Y!$A$2:$A$2918)),NA(),(INDEX(DKW_10Y!$B$2:$B$2918,MATCH($A85,DKW_10Y!$A$2:$A$2918,1))-INDEX(DKW_10Y!$B$2:$B$2918,MATCH(Settings!$B$16,DKW_10Y!$A$2:$A$2918,1)))*100))</f>
        <v/>
      </c>
      <c r="Y85" s="19">
        <f>IF(NOT(ISNUMBER($A85)),NA(),IF(OR($A85&lt;MIN(DKW_10Y!$A$2:$A$2918),$A85&gt;MAX(DKW_10Y!$A$2:$A$2918),Settings!$B$16&lt;MIN(DKW_10Y!$A$2:$A$2918)),NA(),(INDEX(DKW_10Y!$C$2:$C$2918,MATCH($A85,DKW_10Y!$A$2:$A$2918,1))-INDEX(DKW_10Y!$C$2:$C$2918,MATCH(Settings!$B$16,DKW_10Y!$A$2:$A$2918,1)))*100))</f>
        <v/>
      </c>
      <c r="Z85" s="19">
        <f>IF(NOT(ISNUMBER($A85)),NA(),IF(OR($A85&lt;MIN(DKW_10Y!$A$2:$A$2918),$A85&gt;MAX(DKW_10Y!$A$2:$A$2918),Settings!$B$16&lt;MIN(DKW_10Y!$A$2:$A$2918)),NA(),(INDEX(DKW_10Y!$D$2:$D$2918,MATCH($A85,DKW_10Y!$A$2:$A$2918,1))-INDEX(DKW_10Y!$D$2:$D$2918,MATCH(Settings!$B$16,DKW_10Y!$A$2:$A$2918,1)))*100))</f>
        <v/>
      </c>
      <c r="AA85" s="19">
        <f>IF(NOT(ISNUMBER($A85)),NA(),IF(OR($A85&lt;MIN(DKW_10Y!$A$2:$A$2918),$A85&gt;MAX(DKW_10Y!$A$2:$A$2918),Settings!$B$16&lt;MIN(DKW_10Y!$A$2:$A$2918)),NA(),(INDEX(DKW_10Y!$E$2:$E$2918,MATCH($A85,DKW_10Y!$A$2:$A$2918,1))-INDEX(DKW_10Y!$E$2:$E$2918,MATCH(Settings!$B$16,DKW_10Y!$A$2:$A$2918,1)))*100))</f>
        <v/>
      </c>
      <c r="AB85" s="19">
        <f>IF(NOT(ISNUMBER($A85)),NA(),IF(OR($A85&lt;MIN(DKW_10Y!$A$2:$A$2918),$A85&gt;MAX(DKW_10Y!$A$2:$A$2918),Settings!$B$16&lt;MIN(DKW_10Y!$A$2:$A$2918)),NA(),(INDEX(DKW_10Y!$H$2:$H$2918,MATCH($A85,DKW_10Y!$A$2:$A$2918,1))-INDEX(DKW_10Y!$H$2:$H$2918,MATCH(Settings!$B$16,DKW_10Y!$A$2:$A$2918,1)))*100))</f>
        <v/>
      </c>
      <c r="AC85" s="18">
        <f>IF(NOT(ISNUMBER($A85)),NA(),IFERROR(1*INDEX(BBG_Data!$N$2:$N$4000,MATCH($A85,BBG_Data!$M$2:$M$4000,0)),NA()))</f>
        <v/>
      </c>
      <c r="AD85" s="18">
        <f>IF(NOT(ISNUMBER($A85)),NA(),IFERROR(1*INDEX(BBG_Data!$P$2:$P$4000,MATCH($A85,BBG_Data!$O$2:$O$4000,0)),NA()))</f>
        <v/>
      </c>
      <c r="AE85" s="18">
        <f>IF(NOT(ISNUMBER($A85)),NA(),IFERROR(1*INDEX(BBG_Data!$R$2:$R$4000,MATCH($A85,BBG_Data!$Q$2:$Q$4000,0)),NA()))</f>
        <v/>
      </c>
      <c r="AF85" s="20">
        <f>IF(AND(ISNUMBER(B85),ISNUMBER(AC85)),(B85-AC85)*100,NA())</f>
        <v/>
      </c>
      <c r="AG85" s="20">
        <f>IF(AND(ISNUMBER(AE85),ISNUMBER(AD85)),(AE85-AD85)*100,NA())</f>
        <v/>
      </c>
      <c r="AH85" s="19">
        <f>IF(NOT(ISNUMBER($A85)),NA(),IFERROR(INDEX(BBG_Data!$T$2:$T$4000,MATCH($A85,BBG_Data!$S$2:$S$4000,0))*Settings!$B$25,NA()))</f>
        <v/>
      </c>
      <c r="AI85" s="19">
        <f>IF(NOT(ISNUMBER($A85)),NA(),IFERROR(INDEX(BBG_Data!$V$2:$V$4000,MATCH($A85,BBG_Data!$U$2:$U$4000,0))*Settings!$B$25,NA()))</f>
        <v/>
      </c>
      <c r="AJ85" s="19">
        <f>IF(NOT(ISNUMBER($A85)),NA(),IFERROR(1*INDEX(BBG_Data!$X$2:$X$4000,MATCH($A85,BBG_Data!$W$2:$W$4000,0)),NA()))</f>
        <v/>
      </c>
      <c r="AK85" s="19">
        <f>IF(NOT(ISNUMBER($A85)),NA(),IFERROR(1*INDEX(BBG_Data!$Z$2:$Z$4000,MATCH($A85,BBG_Data!$Y$2:$Y$4000,0)),NA()))</f>
        <v/>
      </c>
    </row>
    <row r="86">
      <c r="A86" s="17">
        <f>IF(ISNUMBER(BBG_Data!A86),BBG_Data!A86,"")</f>
        <v/>
      </c>
      <c r="B86" s="18">
        <f>IF(AND(ISNUMBER($A86),ISNUMBER(BBG_Data!B86)),BBG_Data!B86,NA())</f>
        <v/>
      </c>
      <c r="C86" s="18">
        <f>IF(NOT(ISNUMBER($A86)),NA(),IFERROR(1*INDEX(BBG_Data!$D$2:$D$4000,MATCH($A86,BBG_Data!$C$2:$C$4000,0)),NA()))</f>
        <v/>
      </c>
      <c r="D86" s="19">
        <f>IF(NOT(ISNUMBER($A86)),NA(),IFERROR(1*INDEX(BBG_Data!$F$2:$F$4000,MATCH($A86,BBG_Data!$E$2:$E$4000,0)),NA()))</f>
        <v/>
      </c>
      <c r="E86" s="19">
        <f>IF(NOT(ISNUMBER($A86)),NA(),IFERROR(1*INDEX(BBG_Data!$H$2:$H$4000,MATCH($A86,BBG_Data!$G$2:$G$4000,0)),NA()))</f>
        <v/>
      </c>
      <c r="F86" s="20">
        <f>IF(AND(ISNUMBER(B86),ISNUMBER(B85)),IF(B86=B85,"",(B86-B85)*100),"")</f>
        <v/>
      </c>
      <c r="G86" s="20">
        <f>IF(AND(ISNUMBER(C86),ISNUMBER(C85)),IF(C86=C85,"",(C86-C85)*100),"")</f>
        <v/>
      </c>
      <c r="H86" s="20">
        <f>IF(OR(NOT(ISNUMBER($A86)),ROW()-2&lt;Settings!$B$11),NA(),IF(COUNT(OFFSET(F86,1-Settings!$B$11,0,Settings!$B$11,1))&lt;ROUNDUP(Settings!$B$11*Settings!$B$26,0),NA(),STDEV(OFFSET(F86,1-Settings!$B$11,0,Settings!$B$11,1))*SQRT(Settings!$B$13)))</f>
        <v/>
      </c>
      <c r="I86" s="20">
        <f>IF(OR(NOT(ISNUMBER($A86)),ROW()-2&lt;Settings!$B$12),NA(),IF(COUNT(OFFSET(F86,1-Settings!$B$12,0,Settings!$B$12,1))&lt;ROUNDUP(Settings!$B$12*Settings!$B$26,0),NA(),STDEV(OFFSET(F86,1-Settings!$B$12,0,Settings!$B$12,1))*SQRT(Settings!$B$13)))</f>
        <v/>
      </c>
      <c r="J86" s="20">
        <f>IF(OR(NOT(ISNUMBER($A86)),ROW()-2&lt;Settings!$B$11),NA(),IF(COUNT(OFFSET(G86,1-Settings!$B$11,0,Settings!$B$11,1))&lt;ROUNDUP(Settings!$B$11*Settings!$B$26,0),NA(),STDEV(OFFSET(G86,1-Settings!$B$11,0,Settings!$B$11,1))*SQRT(Settings!$B$13)))</f>
        <v/>
      </c>
      <c r="K86" s="20">
        <f>IF(OR(NOT(ISNUMBER($A86)),ROW()-2&lt;Settings!$B$12),NA(),IF(COUNT(OFFSET(G86,1-Settings!$B$12,0,Settings!$B$12,1))&lt;ROUNDUP(Settings!$B$12*Settings!$B$26,0),NA(),STDEV(OFFSET(G86,1-Settings!$B$12,0,Settings!$B$12,1))*SQRT(Settings!$B$13)))</f>
        <v/>
      </c>
      <c r="L86" s="20">
        <f>IF(AND(ISNUMBER(D86),ISNUMBER(H86)),D86-H86,NA())</f>
        <v/>
      </c>
      <c r="M86" s="20">
        <f>IF(AND(ISNUMBER(E86),ISNUMBER(K86)),E86-K86,NA())</f>
        <v/>
      </c>
      <c r="N86" s="20">
        <f>IF(NOT(ISNUMBER($A86)),NA(),IF(COUNT(OFFSET(G86,1,0,Settings!$B$12,1))&lt;ROUNDUP(Settings!$B$12*Settings!$B$26,0),NA(),STDEV(OFFSET(G86,1,0,Settings!$B$12,1))*SQRT(Settings!$B$13)))</f>
        <v/>
      </c>
      <c r="O86" s="20">
        <f>IF(AND(ISNUMBER(E86),ISNUMBER(N86)),E86-N86,NA())</f>
        <v/>
      </c>
      <c r="P86" s="19">
        <f>IF(NOT(ISNUMBER($A86)),NA(),IF(OR($A86&lt;MIN(KW_TP!$A$2:$A$2501),$A86&gt;MAX(KW_TP!$A$2:$A$2501)),NA(),INDEX(KW_TP!$C$2:$C$2501,MATCH($A86,KW_TP!$A$2:$A$2501,1))))</f>
        <v/>
      </c>
      <c r="Q86" s="18">
        <f>IF(NOT(ISNUMBER($A86)),NA(),IFERROR(1*INDEX(BBG_Data!$J$2:$J$4000,MATCH($A86,BBG_Data!$I$2:$I$4000,0)),NA()))</f>
        <v/>
      </c>
      <c r="R86" s="18">
        <f>IF(NOT(ISNUMBER($A86)),NA(),IFERROR(1*INDEX(BBG_Data!$L$2:$L$4000,MATCH($A86,BBG_Data!$K$2:$K$4000,0)),NA()))</f>
        <v/>
      </c>
      <c r="S86" s="20">
        <f>IF(AND(ISNUMBER(B86),ISNUMBER(Q86),ISNUMBER(R86)),(B86-Q86-R86)*100,NA())</f>
        <v/>
      </c>
      <c r="T86" s="20">
        <f>IF(AND(ISNUMBER(B86),Settings!$B$17&gt;0),IF(ISNUMBER(INDEX($B:$B,Settings!$B$17)),(B86-INDEX($B:$B,Settings!$B$17))*100,NA()),NA())</f>
        <v/>
      </c>
      <c r="U86" s="20">
        <f>IF(AND(ISNUMBER(Q86),Settings!$B$17&gt;0),IF(ISNUMBER(INDEX($Q:$Q,Settings!$B$17)),(Q86-INDEX($Q:$Q,Settings!$B$17))*100,NA()),NA())</f>
        <v/>
      </c>
      <c r="V86" s="20">
        <f>IF(AND(ISNUMBER(R86),Settings!$B$17&gt;0),IF(ISNUMBER(INDEX($R:$R,Settings!$B$17)),(R86-INDEX($R:$R,Settings!$B$17))*100,NA()),NA())</f>
        <v/>
      </c>
      <c r="W86" s="20">
        <f>IF(AND(ISNUMBER(P86),Settings!$B$17&gt;0),IF(ISNUMBER(INDEX($P:$P,Settings!$B$17)),P86-INDEX($P:$P,Settings!$B$17),NA()),NA())</f>
        <v/>
      </c>
      <c r="X86" s="19">
        <f>IF(NOT(ISNUMBER($A86)),NA(),IF(OR($A86&lt;MIN(DKW_10Y!$A$2:$A$2918),$A86&gt;MAX(DKW_10Y!$A$2:$A$2918),Settings!$B$16&lt;MIN(DKW_10Y!$A$2:$A$2918)),NA(),(INDEX(DKW_10Y!$B$2:$B$2918,MATCH($A86,DKW_10Y!$A$2:$A$2918,1))-INDEX(DKW_10Y!$B$2:$B$2918,MATCH(Settings!$B$16,DKW_10Y!$A$2:$A$2918,1)))*100))</f>
        <v/>
      </c>
      <c r="Y86" s="19">
        <f>IF(NOT(ISNUMBER($A86)),NA(),IF(OR($A86&lt;MIN(DKW_10Y!$A$2:$A$2918),$A86&gt;MAX(DKW_10Y!$A$2:$A$2918),Settings!$B$16&lt;MIN(DKW_10Y!$A$2:$A$2918)),NA(),(INDEX(DKW_10Y!$C$2:$C$2918,MATCH($A86,DKW_10Y!$A$2:$A$2918,1))-INDEX(DKW_10Y!$C$2:$C$2918,MATCH(Settings!$B$16,DKW_10Y!$A$2:$A$2918,1)))*100))</f>
        <v/>
      </c>
      <c r="Z86" s="19">
        <f>IF(NOT(ISNUMBER($A86)),NA(),IF(OR($A86&lt;MIN(DKW_10Y!$A$2:$A$2918),$A86&gt;MAX(DKW_10Y!$A$2:$A$2918),Settings!$B$16&lt;MIN(DKW_10Y!$A$2:$A$2918)),NA(),(INDEX(DKW_10Y!$D$2:$D$2918,MATCH($A86,DKW_10Y!$A$2:$A$2918,1))-INDEX(DKW_10Y!$D$2:$D$2918,MATCH(Settings!$B$16,DKW_10Y!$A$2:$A$2918,1)))*100))</f>
        <v/>
      </c>
      <c r="AA86" s="19">
        <f>IF(NOT(ISNUMBER($A86)),NA(),IF(OR($A86&lt;MIN(DKW_10Y!$A$2:$A$2918),$A86&gt;MAX(DKW_10Y!$A$2:$A$2918),Settings!$B$16&lt;MIN(DKW_10Y!$A$2:$A$2918)),NA(),(INDEX(DKW_10Y!$E$2:$E$2918,MATCH($A86,DKW_10Y!$A$2:$A$2918,1))-INDEX(DKW_10Y!$E$2:$E$2918,MATCH(Settings!$B$16,DKW_10Y!$A$2:$A$2918,1)))*100))</f>
        <v/>
      </c>
      <c r="AB86" s="19">
        <f>IF(NOT(ISNUMBER($A86)),NA(),IF(OR($A86&lt;MIN(DKW_10Y!$A$2:$A$2918),$A86&gt;MAX(DKW_10Y!$A$2:$A$2918),Settings!$B$16&lt;MIN(DKW_10Y!$A$2:$A$2918)),NA(),(INDEX(DKW_10Y!$H$2:$H$2918,MATCH($A86,DKW_10Y!$A$2:$A$2918,1))-INDEX(DKW_10Y!$H$2:$H$2918,MATCH(Settings!$B$16,DKW_10Y!$A$2:$A$2918,1)))*100))</f>
        <v/>
      </c>
      <c r="AC86" s="18">
        <f>IF(NOT(ISNUMBER($A86)),NA(),IFERROR(1*INDEX(BBG_Data!$N$2:$N$4000,MATCH($A86,BBG_Data!$M$2:$M$4000,0)),NA()))</f>
        <v/>
      </c>
      <c r="AD86" s="18">
        <f>IF(NOT(ISNUMBER($A86)),NA(),IFERROR(1*INDEX(BBG_Data!$P$2:$P$4000,MATCH($A86,BBG_Data!$O$2:$O$4000,0)),NA()))</f>
        <v/>
      </c>
      <c r="AE86" s="18">
        <f>IF(NOT(ISNUMBER($A86)),NA(),IFERROR(1*INDEX(BBG_Data!$R$2:$R$4000,MATCH($A86,BBG_Data!$Q$2:$Q$4000,0)),NA()))</f>
        <v/>
      </c>
      <c r="AF86" s="20">
        <f>IF(AND(ISNUMBER(B86),ISNUMBER(AC86)),(B86-AC86)*100,NA())</f>
        <v/>
      </c>
      <c r="AG86" s="20">
        <f>IF(AND(ISNUMBER(AE86),ISNUMBER(AD86)),(AE86-AD86)*100,NA())</f>
        <v/>
      </c>
      <c r="AH86" s="19">
        <f>IF(NOT(ISNUMBER($A86)),NA(),IFERROR(INDEX(BBG_Data!$T$2:$T$4000,MATCH($A86,BBG_Data!$S$2:$S$4000,0))*Settings!$B$25,NA()))</f>
        <v/>
      </c>
      <c r="AI86" s="19">
        <f>IF(NOT(ISNUMBER($A86)),NA(),IFERROR(INDEX(BBG_Data!$V$2:$V$4000,MATCH($A86,BBG_Data!$U$2:$U$4000,0))*Settings!$B$25,NA()))</f>
        <v/>
      </c>
      <c r="AJ86" s="19">
        <f>IF(NOT(ISNUMBER($A86)),NA(),IFERROR(1*INDEX(BBG_Data!$X$2:$X$4000,MATCH($A86,BBG_Data!$W$2:$W$4000,0)),NA()))</f>
        <v/>
      </c>
      <c r="AK86" s="19">
        <f>IF(NOT(ISNUMBER($A86)),NA(),IFERROR(1*INDEX(BBG_Data!$Z$2:$Z$4000,MATCH($A86,BBG_Data!$Y$2:$Y$4000,0)),NA()))</f>
        <v/>
      </c>
    </row>
    <row r="87">
      <c r="A87" s="17">
        <f>IF(ISNUMBER(BBG_Data!A87),BBG_Data!A87,"")</f>
        <v/>
      </c>
      <c r="B87" s="18">
        <f>IF(AND(ISNUMBER($A87),ISNUMBER(BBG_Data!B87)),BBG_Data!B87,NA())</f>
        <v/>
      </c>
      <c r="C87" s="18">
        <f>IF(NOT(ISNUMBER($A87)),NA(),IFERROR(1*INDEX(BBG_Data!$D$2:$D$4000,MATCH($A87,BBG_Data!$C$2:$C$4000,0)),NA()))</f>
        <v/>
      </c>
      <c r="D87" s="19">
        <f>IF(NOT(ISNUMBER($A87)),NA(),IFERROR(1*INDEX(BBG_Data!$F$2:$F$4000,MATCH($A87,BBG_Data!$E$2:$E$4000,0)),NA()))</f>
        <v/>
      </c>
      <c r="E87" s="19">
        <f>IF(NOT(ISNUMBER($A87)),NA(),IFERROR(1*INDEX(BBG_Data!$H$2:$H$4000,MATCH($A87,BBG_Data!$G$2:$G$4000,0)),NA()))</f>
        <v/>
      </c>
      <c r="F87" s="20">
        <f>IF(AND(ISNUMBER(B87),ISNUMBER(B86)),IF(B87=B86,"",(B87-B86)*100),"")</f>
        <v/>
      </c>
      <c r="G87" s="20">
        <f>IF(AND(ISNUMBER(C87),ISNUMBER(C86)),IF(C87=C86,"",(C87-C86)*100),"")</f>
        <v/>
      </c>
      <c r="H87" s="20">
        <f>IF(OR(NOT(ISNUMBER($A87)),ROW()-2&lt;Settings!$B$11),NA(),IF(COUNT(OFFSET(F87,1-Settings!$B$11,0,Settings!$B$11,1))&lt;ROUNDUP(Settings!$B$11*Settings!$B$26,0),NA(),STDEV(OFFSET(F87,1-Settings!$B$11,0,Settings!$B$11,1))*SQRT(Settings!$B$13)))</f>
        <v/>
      </c>
      <c r="I87" s="20">
        <f>IF(OR(NOT(ISNUMBER($A87)),ROW()-2&lt;Settings!$B$12),NA(),IF(COUNT(OFFSET(F87,1-Settings!$B$12,0,Settings!$B$12,1))&lt;ROUNDUP(Settings!$B$12*Settings!$B$26,0),NA(),STDEV(OFFSET(F87,1-Settings!$B$12,0,Settings!$B$12,1))*SQRT(Settings!$B$13)))</f>
        <v/>
      </c>
      <c r="J87" s="20">
        <f>IF(OR(NOT(ISNUMBER($A87)),ROW()-2&lt;Settings!$B$11),NA(),IF(COUNT(OFFSET(G87,1-Settings!$B$11,0,Settings!$B$11,1))&lt;ROUNDUP(Settings!$B$11*Settings!$B$26,0),NA(),STDEV(OFFSET(G87,1-Settings!$B$11,0,Settings!$B$11,1))*SQRT(Settings!$B$13)))</f>
        <v/>
      </c>
      <c r="K87" s="20">
        <f>IF(OR(NOT(ISNUMBER($A87)),ROW()-2&lt;Settings!$B$12),NA(),IF(COUNT(OFFSET(G87,1-Settings!$B$12,0,Settings!$B$12,1))&lt;ROUNDUP(Settings!$B$12*Settings!$B$26,0),NA(),STDEV(OFFSET(G87,1-Settings!$B$12,0,Settings!$B$12,1))*SQRT(Settings!$B$13)))</f>
        <v/>
      </c>
      <c r="L87" s="20">
        <f>IF(AND(ISNUMBER(D87),ISNUMBER(H87)),D87-H87,NA())</f>
        <v/>
      </c>
      <c r="M87" s="20">
        <f>IF(AND(ISNUMBER(E87),ISNUMBER(K87)),E87-K87,NA())</f>
        <v/>
      </c>
      <c r="N87" s="20">
        <f>IF(NOT(ISNUMBER($A87)),NA(),IF(COUNT(OFFSET(G87,1,0,Settings!$B$12,1))&lt;ROUNDUP(Settings!$B$12*Settings!$B$26,0),NA(),STDEV(OFFSET(G87,1,0,Settings!$B$12,1))*SQRT(Settings!$B$13)))</f>
        <v/>
      </c>
      <c r="O87" s="20">
        <f>IF(AND(ISNUMBER(E87),ISNUMBER(N87)),E87-N87,NA())</f>
        <v/>
      </c>
      <c r="P87" s="19">
        <f>IF(NOT(ISNUMBER($A87)),NA(),IF(OR($A87&lt;MIN(KW_TP!$A$2:$A$2501),$A87&gt;MAX(KW_TP!$A$2:$A$2501)),NA(),INDEX(KW_TP!$C$2:$C$2501,MATCH($A87,KW_TP!$A$2:$A$2501,1))))</f>
        <v/>
      </c>
      <c r="Q87" s="18">
        <f>IF(NOT(ISNUMBER($A87)),NA(),IFERROR(1*INDEX(BBG_Data!$J$2:$J$4000,MATCH($A87,BBG_Data!$I$2:$I$4000,0)),NA()))</f>
        <v/>
      </c>
      <c r="R87" s="18">
        <f>IF(NOT(ISNUMBER($A87)),NA(),IFERROR(1*INDEX(BBG_Data!$L$2:$L$4000,MATCH($A87,BBG_Data!$K$2:$K$4000,0)),NA()))</f>
        <v/>
      </c>
      <c r="S87" s="20">
        <f>IF(AND(ISNUMBER(B87),ISNUMBER(Q87),ISNUMBER(R87)),(B87-Q87-R87)*100,NA())</f>
        <v/>
      </c>
      <c r="T87" s="20">
        <f>IF(AND(ISNUMBER(B87),Settings!$B$17&gt;0),IF(ISNUMBER(INDEX($B:$B,Settings!$B$17)),(B87-INDEX($B:$B,Settings!$B$17))*100,NA()),NA())</f>
        <v/>
      </c>
      <c r="U87" s="20">
        <f>IF(AND(ISNUMBER(Q87),Settings!$B$17&gt;0),IF(ISNUMBER(INDEX($Q:$Q,Settings!$B$17)),(Q87-INDEX($Q:$Q,Settings!$B$17))*100,NA()),NA())</f>
        <v/>
      </c>
      <c r="V87" s="20">
        <f>IF(AND(ISNUMBER(R87),Settings!$B$17&gt;0),IF(ISNUMBER(INDEX($R:$R,Settings!$B$17)),(R87-INDEX($R:$R,Settings!$B$17))*100,NA()),NA())</f>
        <v/>
      </c>
      <c r="W87" s="20">
        <f>IF(AND(ISNUMBER(P87),Settings!$B$17&gt;0),IF(ISNUMBER(INDEX($P:$P,Settings!$B$17)),P87-INDEX($P:$P,Settings!$B$17),NA()),NA())</f>
        <v/>
      </c>
      <c r="X87" s="19">
        <f>IF(NOT(ISNUMBER($A87)),NA(),IF(OR($A87&lt;MIN(DKW_10Y!$A$2:$A$2918),$A87&gt;MAX(DKW_10Y!$A$2:$A$2918),Settings!$B$16&lt;MIN(DKW_10Y!$A$2:$A$2918)),NA(),(INDEX(DKW_10Y!$B$2:$B$2918,MATCH($A87,DKW_10Y!$A$2:$A$2918,1))-INDEX(DKW_10Y!$B$2:$B$2918,MATCH(Settings!$B$16,DKW_10Y!$A$2:$A$2918,1)))*100))</f>
        <v/>
      </c>
      <c r="Y87" s="19">
        <f>IF(NOT(ISNUMBER($A87)),NA(),IF(OR($A87&lt;MIN(DKW_10Y!$A$2:$A$2918),$A87&gt;MAX(DKW_10Y!$A$2:$A$2918),Settings!$B$16&lt;MIN(DKW_10Y!$A$2:$A$2918)),NA(),(INDEX(DKW_10Y!$C$2:$C$2918,MATCH($A87,DKW_10Y!$A$2:$A$2918,1))-INDEX(DKW_10Y!$C$2:$C$2918,MATCH(Settings!$B$16,DKW_10Y!$A$2:$A$2918,1)))*100))</f>
        <v/>
      </c>
      <c r="Z87" s="19">
        <f>IF(NOT(ISNUMBER($A87)),NA(),IF(OR($A87&lt;MIN(DKW_10Y!$A$2:$A$2918),$A87&gt;MAX(DKW_10Y!$A$2:$A$2918),Settings!$B$16&lt;MIN(DKW_10Y!$A$2:$A$2918)),NA(),(INDEX(DKW_10Y!$D$2:$D$2918,MATCH($A87,DKW_10Y!$A$2:$A$2918,1))-INDEX(DKW_10Y!$D$2:$D$2918,MATCH(Settings!$B$16,DKW_10Y!$A$2:$A$2918,1)))*100))</f>
        <v/>
      </c>
      <c r="AA87" s="19">
        <f>IF(NOT(ISNUMBER($A87)),NA(),IF(OR($A87&lt;MIN(DKW_10Y!$A$2:$A$2918),$A87&gt;MAX(DKW_10Y!$A$2:$A$2918),Settings!$B$16&lt;MIN(DKW_10Y!$A$2:$A$2918)),NA(),(INDEX(DKW_10Y!$E$2:$E$2918,MATCH($A87,DKW_10Y!$A$2:$A$2918,1))-INDEX(DKW_10Y!$E$2:$E$2918,MATCH(Settings!$B$16,DKW_10Y!$A$2:$A$2918,1)))*100))</f>
        <v/>
      </c>
      <c r="AB87" s="19">
        <f>IF(NOT(ISNUMBER($A87)),NA(),IF(OR($A87&lt;MIN(DKW_10Y!$A$2:$A$2918),$A87&gt;MAX(DKW_10Y!$A$2:$A$2918),Settings!$B$16&lt;MIN(DKW_10Y!$A$2:$A$2918)),NA(),(INDEX(DKW_10Y!$H$2:$H$2918,MATCH($A87,DKW_10Y!$A$2:$A$2918,1))-INDEX(DKW_10Y!$H$2:$H$2918,MATCH(Settings!$B$16,DKW_10Y!$A$2:$A$2918,1)))*100))</f>
        <v/>
      </c>
      <c r="AC87" s="18">
        <f>IF(NOT(ISNUMBER($A87)),NA(),IFERROR(1*INDEX(BBG_Data!$N$2:$N$4000,MATCH($A87,BBG_Data!$M$2:$M$4000,0)),NA()))</f>
        <v/>
      </c>
      <c r="AD87" s="18">
        <f>IF(NOT(ISNUMBER($A87)),NA(),IFERROR(1*INDEX(BBG_Data!$P$2:$P$4000,MATCH($A87,BBG_Data!$O$2:$O$4000,0)),NA()))</f>
        <v/>
      </c>
      <c r="AE87" s="18">
        <f>IF(NOT(ISNUMBER($A87)),NA(),IFERROR(1*INDEX(BBG_Data!$R$2:$R$4000,MATCH($A87,BBG_Data!$Q$2:$Q$4000,0)),NA()))</f>
        <v/>
      </c>
      <c r="AF87" s="20">
        <f>IF(AND(ISNUMBER(B87),ISNUMBER(AC87)),(B87-AC87)*100,NA())</f>
        <v/>
      </c>
      <c r="AG87" s="20">
        <f>IF(AND(ISNUMBER(AE87),ISNUMBER(AD87)),(AE87-AD87)*100,NA())</f>
        <v/>
      </c>
      <c r="AH87" s="19">
        <f>IF(NOT(ISNUMBER($A87)),NA(),IFERROR(INDEX(BBG_Data!$T$2:$T$4000,MATCH($A87,BBG_Data!$S$2:$S$4000,0))*Settings!$B$25,NA()))</f>
        <v/>
      </c>
      <c r="AI87" s="19">
        <f>IF(NOT(ISNUMBER($A87)),NA(),IFERROR(INDEX(BBG_Data!$V$2:$V$4000,MATCH($A87,BBG_Data!$U$2:$U$4000,0))*Settings!$B$25,NA()))</f>
        <v/>
      </c>
      <c r="AJ87" s="19">
        <f>IF(NOT(ISNUMBER($A87)),NA(),IFERROR(1*INDEX(BBG_Data!$X$2:$X$4000,MATCH($A87,BBG_Data!$W$2:$W$4000,0)),NA()))</f>
        <v/>
      </c>
      <c r="AK87" s="19">
        <f>IF(NOT(ISNUMBER($A87)),NA(),IFERROR(1*INDEX(BBG_Data!$Z$2:$Z$4000,MATCH($A87,BBG_Data!$Y$2:$Y$4000,0)),NA()))</f>
        <v/>
      </c>
    </row>
    <row r="88">
      <c r="A88" s="17">
        <f>IF(ISNUMBER(BBG_Data!A88),BBG_Data!A88,"")</f>
        <v/>
      </c>
      <c r="B88" s="18">
        <f>IF(AND(ISNUMBER($A88),ISNUMBER(BBG_Data!B88)),BBG_Data!B88,NA())</f>
        <v/>
      </c>
      <c r="C88" s="18">
        <f>IF(NOT(ISNUMBER($A88)),NA(),IFERROR(1*INDEX(BBG_Data!$D$2:$D$4000,MATCH($A88,BBG_Data!$C$2:$C$4000,0)),NA()))</f>
        <v/>
      </c>
      <c r="D88" s="19">
        <f>IF(NOT(ISNUMBER($A88)),NA(),IFERROR(1*INDEX(BBG_Data!$F$2:$F$4000,MATCH($A88,BBG_Data!$E$2:$E$4000,0)),NA()))</f>
        <v/>
      </c>
      <c r="E88" s="19">
        <f>IF(NOT(ISNUMBER($A88)),NA(),IFERROR(1*INDEX(BBG_Data!$H$2:$H$4000,MATCH($A88,BBG_Data!$G$2:$G$4000,0)),NA()))</f>
        <v/>
      </c>
      <c r="F88" s="20">
        <f>IF(AND(ISNUMBER(B88),ISNUMBER(B87)),IF(B88=B87,"",(B88-B87)*100),"")</f>
        <v/>
      </c>
      <c r="G88" s="20">
        <f>IF(AND(ISNUMBER(C88),ISNUMBER(C87)),IF(C88=C87,"",(C88-C87)*100),"")</f>
        <v/>
      </c>
      <c r="H88" s="20">
        <f>IF(OR(NOT(ISNUMBER($A88)),ROW()-2&lt;Settings!$B$11),NA(),IF(COUNT(OFFSET(F88,1-Settings!$B$11,0,Settings!$B$11,1))&lt;ROUNDUP(Settings!$B$11*Settings!$B$26,0),NA(),STDEV(OFFSET(F88,1-Settings!$B$11,0,Settings!$B$11,1))*SQRT(Settings!$B$13)))</f>
        <v/>
      </c>
      <c r="I88" s="20">
        <f>IF(OR(NOT(ISNUMBER($A88)),ROW()-2&lt;Settings!$B$12),NA(),IF(COUNT(OFFSET(F88,1-Settings!$B$12,0,Settings!$B$12,1))&lt;ROUNDUP(Settings!$B$12*Settings!$B$26,0),NA(),STDEV(OFFSET(F88,1-Settings!$B$12,0,Settings!$B$12,1))*SQRT(Settings!$B$13)))</f>
        <v/>
      </c>
      <c r="J88" s="20">
        <f>IF(OR(NOT(ISNUMBER($A88)),ROW()-2&lt;Settings!$B$11),NA(),IF(COUNT(OFFSET(G88,1-Settings!$B$11,0,Settings!$B$11,1))&lt;ROUNDUP(Settings!$B$11*Settings!$B$26,0),NA(),STDEV(OFFSET(G88,1-Settings!$B$11,0,Settings!$B$11,1))*SQRT(Settings!$B$13)))</f>
        <v/>
      </c>
      <c r="K88" s="20">
        <f>IF(OR(NOT(ISNUMBER($A88)),ROW()-2&lt;Settings!$B$12),NA(),IF(COUNT(OFFSET(G88,1-Settings!$B$12,0,Settings!$B$12,1))&lt;ROUNDUP(Settings!$B$12*Settings!$B$26,0),NA(),STDEV(OFFSET(G88,1-Settings!$B$12,0,Settings!$B$12,1))*SQRT(Settings!$B$13)))</f>
        <v/>
      </c>
      <c r="L88" s="20">
        <f>IF(AND(ISNUMBER(D88),ISNUMBER(H88)),D88-H88,NA())</f>
        <v/>
      </c>
      <c r="M88" s="20">
        <f>IF(AND(ISNUMBER(E88),ISNUMBER(K88)),E88-K88,NA())</f>
        <v/>
      </c>
      <c r="N88" s="20">
        <f>IF(NOT(ISNUMBER($A88)),NA(),IF(COUNT(OFFSET(G88,1,0,Settings!$B$12,1))&lt;ROUNDUP(Settings!$B$12*Settings!$B$26,0),NA(),STDEV(OFFSET(G88,1,0,Settings!$B$12,1))*SQRT(Settings!$B$13)))</f>
        <v/>
      </c>
      <c r="O88" s="20">
        <f>IF(AND(ISNUMBER(E88),ISNUMBER(N88)),E88-N88,NA())</f>
        <v/>
      </c>
      <c r="P88" s="19">
        <f>IF(NOT(ISNUMBER($A88)),NA(),IF(OR($A88&lt;MIN(KW_TP!$A$2:$A$2501),$A88&gt;MAX(KW_TP!$A$2:$A$2501)),NA(),INDEX(KW_TP!$C$2:$C$2501,MATCH($A88,KW_TP!$A$2:$A$2501,1))))</f>
        <v/>
      </c>
      <c r="Q88" s="18">
        <f>IF(NOT(ISNUMBER($A88)),NA(),IFERROR(1*INDEX(BBG_Data!$J$2:$J$4000,MATCH($A88,BBG_Data!$I$2:$I$4000,0)),NA()))</f>
        <v/>
      </c>
      <c r="R88" s="18">
        <f>IF(NOT(ISNUMBER($A88)),NA(),IFERROR(1*INDEX(BBG_Data!$L$2:$L$4000,MATCH($A88,BBG_Data!$K$2:$K$4000,0)),NA()))</f>
        <v/>
      </c>
      <c r="S88" s="20">
        <f>IF(AND(ISNUMBER(B88),ISNUMBER(Q88),ISNUMBER(R88)),(B88-Q88-R88)*100,NA())</f>
        <v/>
      </c>
      <c r="T88" s="20">
        <f>IF(AND(ISNUMBER(B88),Settings!$B$17&gt;0),IF(ISNUMBER(INDEX($B:$B,Settings!$B$17)),(B88-INDEX($B:$B,Settings!$B$17))*100,NA()),NA())</f>
        <v/>
      </c>
      <c r="U88" s="20">
        <f>IF(AND(ISNUMBER(Q88),Settings!$B$17&gt;0),IF(ISNUMBER(INDEX($Q:$Q,Settings!$B$17)),(Q88-INDEX($Q:$Q,Settings!$B$17))*100,NA()),NA())</f>
        <v/>
      </c>
      <c r="V88" s="20">
        <f>IF(AND(ISNUMBER(R88),Settings!$B$17&gt;0),IF(ISNUMBER(INDEX($R:$R,Settings!$B$17)),(R88-INDEX($R:$R,Settings!$B$17))*100,NA()),NA())</f>
        <v/>
      </c>
      <c r="W88" s="20">
        <f>IF(AND(ISNUMBER(P88),Settings!$B$17&gt;0),IF(ISNUMBER(INDEX($P:$P,Settings!$B$17)),P88-INDEX($P:$P,Settings!$B$17),NA()),NA())</f>
        <v/>
      </c>
      <c r="X88" s="19">
        <f>IF(NOT(ISNUMBER($A88)),NA(),IF(OR($A88&lt;MIN(DKW_10Y!$A$2:$A$2918),$A88&gt;MAX(DKW_10Y!$A$2:$A$2918),Settings!$B$16&lt;MIN(DKW_10Y!$A$2:$A$2918)),NA(),(INDEX(DKW_10Y!$B$2:$B$2918,MATCH($A88,DKW_10Y!$A$2:$A$2918,1))-INDEX(DKW_10Y!$B$2:$B$2918,MATCH(Settings!$B$16,DKW_10Y!$A$2:$A$2918,1)))*100))</f>
        <v/>
      </c>
      <c r="Y88" s="19">
        <f>IF(NOT(ISNUMBER($A88)),NA(),IF(OR($A88&lt;MIN(DKW_10Y!$A$2:$A$2918),$A88&gt;MAX(DKW_10Y!$A$2:$A$2918),Settings!$B$16&lt;MIN(DKW_10Y!$A$2:$A$2918)),NA(),(INDEX(DKW_10Y!$C$2:$C$2918,MATCH($A88,DKW_10Y!$A$2:$A$2918,1))-INDEX(DKW_10Y!$C$2:$C$2918,MATCH(Settings!$B$16,DKW_10Y!$A$2:$A$2918,1)))*100))</f>
        <v/>
      </c>
      <c r="Z88" s="19">
        <f>IF(NOT(ISNUMBER($A88)),NA(),IF(OR($A88&lt;MIN(DKW_10Y!$A$2:$A$2918),$A88&gt;MAX(DKW_10Y!$A$2:$A$2918),Settings!$B$16&lt;MIN(DKW_10Y!$A$2:$A$2918)),NA(),(INDEX(DKW_10Y!$D$2:$D$2918,MATCH($A88,DKW_10Y!$A$2:$A$2918,1))-INDEX(DKW_10Y!$D$2:$D$2918,MATCH(Settings!$B$16,DKW_10Y!$A$2:$A$2918,1)))*100))</f>
        <v/>
      </c>
      <c r="AA88" s="19">
        <f>IF(NOT(ISNUMBER($A88)),NA(),IF(OR($A88&lt;MIN(DKW_10Y!$A$2:$A$2918),$A88&gt;MAX(DKW_10Y!$A$2:$A$2918),Settings!$B$16&lt;MIN(DKW_10Y!$A$2:$A$2918)),NA(),(INDEX(DKW_10Y!$E$2:$E$2918,MATCH($A88,DKW_10Y!$A$2:$A$2918,1))-INDEX(DKW_10Y!$E$2:$E$2918,MATCH(Settings!$B$16,DKW_10Y!$A$2:$A$2918,1)))*100))</f>
        <v/>
      </c>
      <c r="AB88" s="19">
        <f>IF(NOT(ISNUMBER($A88)),NA(),IF(OR($A88&lt;MIN(DKW_10Y!$A$2:$A$2918),$A88&gt;MAX(DKW_10Y!$A$2:$A$2918),Settings!$B$16&lt;MIN(DKW_10Y!$A$2:$A$2918)),NA(),(INDEX(DKW_10Y!$H$2:$H$2918,MATCH($A88,DKW_10Y!$A$2:$A$2918,1))-INDEX(DKW_10Y!$H$2:$H$2918,MATCH(Settings!$B$16,DKW_10Y!$A$2:$A$2918,1)))*100))</f>
        <v/>
      </c>
      <c r="AC88" s="18">
        <f>IF(NOT(ISNUMBER($A88)),NA(),IFERROR(1*INDEX(BBG_Data!$N$2:$N$4000,MATCH($A88,BBG_Data!$M$2:$M$4000,0)),NA()))</f>
        <v/>
      </c>
      <c r="AD88" s="18">
        <f>IF(NOT(ISNUMBER($A88)),NA(),IFERROR(1*INDEX(BBG_Data!$P$2:$P$4000,MATCH($A88,BBG_Data!$O$2:$O$4000,0)),NA()))</f>
        <v/>
      </c>
      <c r="AE88" s="18">
        <f>IF(NOT(ISNUMBER($A88)),NA(),IFERROR(1*INDEX(BBG_Data!$R$2:$R$4000,MATCH($A88,BBG_Data!$Q$2:$Q$4000,0)),NA()))</f>
        <v/>
      </c>
      <c r="AF88" s="20">
        <f>IF(AND(ISNUMBER(B88),ISNUMBER(AC88)),(B88-AC88)*100,NA())</f>
        <v/>
      </c>
      <c r="AG88" s="20">
        <f>IF(AND(ISNUMBER(AE88),ISNUMBER(AD88)),(AE88-AD88)*100,NA())</f>
        <v/>
      </c>
      <c r="AH88" s="19">
        <f>IF(NOT(ISNUMBER($A88)),NA(),IFERROR(INDEX(BBG_Data!$T$2:$T$4000,MATCH($A88,BBG_Data!$S$2:$S$4000,0))*Settings!$B$25,NA()))</f>
        <v/>
      </c>
      <c r="AI88" s="19">
        <f>IF(NOT(ISNUMBER($A88)),NA(),IFERROR(INDEX(BBG_Data!$V$2:$V$4000,MATCH($A88,BBG_Data!$U$2:$U$4000,0))*Settings!$B$25,NA()))</f>
        <v/>
      </c>
      <c r="AJ88" s="19">
        <f>IF(NOT(ISNUMBER($A88)),NA(),IFERROR(1*INDEX(BBG_Data!$X$2:$X$4000,MATCH($A88,BBG_Data!$W$2:$W$4000,0)),NA()))</f>
        <v/>
      </c>
      <c r="AK88" s="19">
        <f>IF(NOT(ISNUMBER($A88)),NA(),IFERROR(1*INDEX(BBG_Data!$Z$2:$Z$4000,MATCH($A88,BBG_Data!$Y$2:$Y$4000,0)),NA()))</f>
        <v/>
      </c>
    </row>
    <row r="89">
      <c r="A89" s="17">
        <f>IF(ISNUMBER(BBG_Data!A89),BBG_Data!A89,"")</f>
        <v/>
      </c>
      <c r="B89" s="18">
        <f>IF(AND(ISNUMBER($A89),ISNUMBER(BBG_Data!B89)),BBG_Data!B89,NA())</f>
        <v/>
      </c>
      <c r="C89" s="18">
        <f>IF(NOT(ISNUMBER($A89)),NA(),IFERROR(1*INDEX(BBG_Data!$D$2:$D$4000,MATCH($A89,BBG_Data!$C$2:$C$4000,0)),NA()))</f>
        <v/>
      </c>
      <c r="D89" s="19">
        <f>IF(NOT(ISNUMBER($A89)),NA(),IFERROR(1*INDEX(BBG_Data!$F$2:$F$4000,MATCH($A89,BBG_Data!$E$2:$E$4000,0)),NA()))</f>
        <v/>
      </c>
      <c r="E89" s="19">
        <f>IF(NOT(ISNUMBER($A89)),NA(),IFERROR(1*INDEX(BBG_Data!$H$2:$H$4000,MATCH($A89,BBG_Data!$G$2:$G$4000,0)),NA()))</f>
        <v/>
      </c>
      <c r="F89" s="20">
        <f>IF(AND(ISNUMBER(B89),ISNUMBER(B88)),IF(B89=B88,"",(B89-B88)*100),"")</f>
        <v/>
      </c>
      <c r="G89" s="20">
        <f>IF(AND(ISNUMBER(C89),ISNUMBER(C88)),IF(C89=C88,"",(C89-C88)*100),"")</f>
        <v/>
      </c>
      <c r="H89" s="20">
        <f>IF(OR(NOT(ISNUMBER($A89)),ROW()-2&lt;Settings!$B$11),NA(),IF(COUNT(OFFSET(F89,1-Settings!$B$11,0,Settings!$B$11,1))&lt;ROUNDUP(Settings!$B$11*Settings!$B$26,0),NA(),STDEV(OFFSET(F89,1-Settings!$B$11,0,Settings!$B$11,1))*SQRT(Settings!$B$13)))</f>
        <v/>
      </c>
      <c r="I89" s="20">
        <f>IF(OR(NOT(ISNUMBER($A89)),ROW()-2&lt;Settings!$B$12),NA(),IF(COUNT(OFFSET(F89,1-Settings!$B$12,0,Settings!$B$12,1))&lt;ROUNDUP(Settings!$B$12*Settings!$B$26,0),NA(),STDEV(OFFSET(F89,1-Settings!$B$12,0,Settings!$B$12,1))*SQRT(Settings!$B$13)))</f>
        <v/>
      </c>
      <c r="J89" s="20">
        <f>IF(OR(NOT(ISNUMBER($A89)),ROW()-2&lt;Settings!$B$11),NA(),IF(COUNT(OFFSET(G89,1-Settings!$B$11,0,Settings!$B$11,1))&lt;ROUNDUP(Settings!$B$11*Settings!$B$26,0),NA(),STDEV(OFFSET(G89,1-Settings!$B$11,0,Settings!$B$11,1))*SQRT(Settings!$B$13)))</f>
        <v/>
      </c>
      <c r="K89" s="20">
        <f>IF(OR(NOT(ISNUMBER($A89)),ROW()-2&lt;Settings!$B$12),NA(),IF(COUNT(OFFSET(G89,1-Settings!$B$12,0,Settings!$B$12,1))&lt;ROUNDUP(Settings!$B$12*Settings!$B$26,0),NA(),STDEV(OFFSET(G89,1-Settings!$B$12,0,Settings!$B$12,1))*SQRT(Settings!$B$13)))</f>
        <v/>
      </c>
      <c r="L89" s="20">
        <f>IF(AND(ISNUMBER(D89),ISNUMBER(H89)),D89-H89,NA())</f>
        <v/>
      </c>
      <c r="M89" s="20">
        <f>IF(AND(ISNUMBER(E89),ISNUMBER(K89)),E89-K89,NA())</f>
        <v/>
      </c>
      <c r="N89" s="20">
        <f>IF(NOT(ISNUMBER($A89)),NA(),IF(COUNT(OFFSET(G89,1,0,Settings!$B$12,1))&lt;ROUNDUP(Settings!$B$12*Settings!$B$26,0),NA(),STDEV(OFFSET(G89,1,0,Settings!$B$12,1))*SQRT(Settings!$B$13)))</f>
        <v/>
      </c>
      <c r="O89" s="20">
        <f>IF(AND(ISNUMBER(E89),ISNUMBER(N89)),E89-N89,NA())</f>
        <v/>
      </c>
      <c r="P89" s="19">
        <f>IF(NOT(ISNUMBER($A89)),NA(),IF(OR($A89&lt;MIN(KW_TP!$A$2:$A$2501),$A89&gt;MAX(KW_TP!$A$2:$A$2501)),NA(),INDEX(KW_TP!$C$2:$C$2501,MATCH($A89,KW_TP!$A$2:$A$2501,1))))</f>
        <v/>
      </c>
      <c r="Q89" s="18">
        <f>IF(NOT(ISNUMBER($A89)),NA(),IFERROR(1*INDEX(BBG_Data!$J$2:$J$4000,MATCH($A89,BBG_Data!$I$2:$I$4000,0)),NA()))</f>
        <v/>
      </c>
      <c r="R89" s="18">
        <f>IF(NOT(ISNUMBER($A89)),NA(),IFERROR(1*INDEX(BBG_Data!$L$2:$L$4000,MATCH($A89,BBG_Data!$K$2:$K$4000,0)),NA()))</f>
        <v/>
      </c>
      <c r="S89" s="20">
        <f>IF(AND(ISNUMBER(B89),ISNUMBER(Q89),ISNUMBER(R89)),(B89-Q89-R89)*100,NA())</f>
        <v/>
      </c>
      <c r="T89" s="20">
        <f>IF(AND(ISNUMBER(B89),Settings!$B$17&gt;0),IF(ISNUMBER(INDEX($B:$B,Settings!$B$17)),(B89-INDEX($B:$B,Settings!$B$17))*100,NA()),NA())</f>
        <v/>
      </c>
      <c r="U89" s="20">
        <f>IF(AND(ISNUMBER(Q89),Settings!$B$17&gt;0),IF(ISNUMBER(INDEX($Q:$Q,Settings!$B$17)),(Q89-INDEX($Q:$Q,Settings!$B$17))*100,NA()),NA())</f>
        <v/>
      </c>
      <c r="V89" s="20">
        <f>IF(AND(ISNUMBER(R89),Settings!$B$17&gt;0),IF(ISNUMBER(INDEX($R:$R,Settings!$B$17)),(R89-INDEX($R:$R,Settings!$B$17))*100,NA()),NA())</f>
        <v/>
      </c>
      <c r="W89" s="20">
        <f>IF(AND(ISNUMBER(P89),Settings!$B$17&gt;0),IF(ISNUMBER(INDEX($P:$P,Settings!$B$17)),P89-INDEX($P:$P,Settings!$B$17),NA()),NA())</f>
        <v/>
      </c>
      <c r="X89" s="19">
        <f>IF(NOT(ISNUMBER($A89)),NA(),IF(OR($A89&lt;MIN(DKW_10Y!$A$2:$A$2918),$A89&gt;MAX(DKW_10Y!$A$2:$A$2918),Settings!$B$16&lt;MIN(DKW_10Y!$A$2:$A$2918)),NA(),(INDEX(DKW_10Y!$B$2:$B$2918,MATCH($A89,DKW_10Y!$A$2:$A$2918,1))-INDEX(DKW_10Y!$B$2:$B$2918,MATCH(Settings!$B$16,DKW_10Y!$A$2:$A$2918,1)))*100))</f>
        <v/>
      </c>
      <c r="Y89" s="19">
        <f>IF(NOT(ISNUMBER($A89)),NA(),IF(OR($A89&lt;MIN(DKW_10Y!$A$2:$A$2918),$A89&gt;MAX(DKW_10Y!$A$2:$A$2918),Settings!$B$16&lt;MIN(DKW_10Y!$A$2:$A$2918)),NA(),(INDEX(DKW_10Y!$C$2:$C$2918,MATCH($A89,DKW_10Y!$A$2:$A$2918,1))-INDEX(DKW_10Y!$C$2:$C$2918,MATCH(Settings!$B$16,DKW_10Y!$A$2:$A$2918,1)))*100))</f>
        <v/>
      </c>
      <c r="Z89" s="19">
        <f>IF(NOT(ISNUMBER($A89)),NA(),IF(OR($A89&lt;MIN(DKW_10Y!$A$2:$A$2918),$A89&gt;MAX(DKW_10Y!$A$2:$A$2918),Settings!$B$16&lt;MIN(DKW_10Y!$A$2:$A$2918)),NA(),(INDEX(DKW_10Y!$D$2:$D$2918,MATCH($A89,DKW_10Y!$A$2:$A$2918,1))-INDEX(DKW_10Y!$D$2:$D$2918,MATCH(Settings!$B$16,DKW_10Y!$A$2:$A$2918,1)))*100))</f>
        <v/>
      </c>
      <c r="AA89" s="19">
        <f>IF(NOT(ISNUMBER($A89)),NA(),IF(OR($A89&lt;MIN(DKW_10Y!$A$2:$A$2918),$A89&gt;MAX(DKW_10Y!$A$2:$A$2918),Settings!$B$16&lt;MIN(DKW_10Y!$A$2:$A$2918)),NA(),(INDEX(DKW_10Y!$E$2:$E$2918,MATCH($A89,DKW_10Y!$A$2:$A$2918,1))-INDEX(DKW_10Y!$E$2:$E$2918,MATCH(Settings!$B$16,DKW_10Y!$A$2:$A$2918,1)))*100))</f>
        <v/>
      </c>
      <c r="AB89" s="19">
        <f>IF(NOT(ISNUMBER($A89)),NA(),IF(OR($A89&lt;MIN(DKW_10Y!$A$2:$A$2918),$A89&gt;MAX(DKW_10Y!$A$2:$A$2918),Settings!$B$16&lt;MIN(DKW_10Y!$A$2:$A$2918)),NA(),(INDEX(DKW_10Y!$H$2:$H$2918,MATCH($A89,DKW_10Y!$A$2:$A$2918,1))-INDEX(DKW_10Y!$H$2:$H$2918,MATCH(Settings!$B$16,DKW_10Y!$A$2:$A$2918,1)))*100))</f>
        <v/>
      </c>
      <c r="AC89" s="18">
        <f>IF(NOT(ISNUMBER($A89)),NA(),IFERROR(1*INDEX(BBG_Data!$N$2:$N$4000,MATCH($A89,BBG_Data!$M$2:$M$4000,0)),NA()))</f>
        <v/>
      </c>
      <c r="AD89" s="18">
        <f>IF(NOT(ISNUMBER($A89)),NA(),IFERROR(1*INDEX(BBG_Data!$P$2:$P$4000,MATCH($A89,BBG_Data!$O$2:$O$4000,0)),NA()))</f>
        <v/>
      </c>
      <c r="AE89" s="18">
        <f>IF(NOT(ISNUMBER($A89)),NA(),IFERROR(1*INDEX(BBG_Data!$R$2:$R$4000,MATCH($A89,BBG_Data!$Q$2:$Q$4000,0)),NA()))</f>
        <v/>
      </c>
      <c r="AF89" s="20">
        <f>IF(AND(ISNUMBER(B89),ISNUMBER(AC89)),(B89-AC89)*100,NA())</f>
        <v/>
      </c>
      <c r="AG89" s="20">
        <f>IF(AND(ISNUMBER(AE89),ISNUMBER(AD89)),(AE89-AD89)*100,NA())</f>
        <v/>
      </c>
      <c r="AH89" s="19">
        <f>IF(NOT(ISNUMBER($A89)),NA(),IFERROR(INDEX(BBG_Data!$T$2:$T$4000,MATCH($A89,BBG_Data!$S$2:$S$4000,0))*Settings!$B$25,NA()))</f>
        <v/>
      </c>
      <c r="AI89" s="19">
        <f>IF(NOT(ISNUMBER($A89)),NA(),IFERROR(INDEX(BBG_Data!$V$2:$V$4000,MATCH($A89,BBG_Data!$U$2:$U$4000,0))*Settings!$B$25,NA()))</f>
        <v/>
      </c>
      <c r="AJ89" s="19">
        <f>IF(NOT(ISNUMBER($A89)),NA(),IFERROR(1*INDEX(BBG_Data!$X$2:$X$4000,MATCH($A89,BBG_Data!$W$2:$W$4000,0)),NA()))</f>
        <v/>
      </c>
      <c r="AK89" s="19">
        <f>IF(NOT(ISNUMBER($A89)),NA(),IFERROR(1*INDEX(BBG_Data!$Z$2:$Z$4000,MATCH($A89,BBG_Data!$Y$2:$Y$4000,0)),NA()))</f>
        <v/>
      </c>
    </row>
    <row r="90">
      <c r="A90" s="17">
        <f>IF(ISNUMBER(BBG_Data!A90),BBG_Data!A90,"")</f>
        <v/>
      </c>
      <c r="B90" s="18">
        <f>IF(AND(ISNUMBER($A90),ISNUMBER(BBG_Data!B90)),BBG_Data!B90,NA())</f>
        <v/>
      </c>
      <c r="C90" s="18">
        <f>IF(NOT(ISNUMBER($A90)),NA(),IFERROR(1*INDEX(BBG_Data!$D$2:$D$4000,MATCH($A90,BBG_Data!$C$2:$C$4000,0)),NA()))</f>
        <v/>
      </c>
      <c r="D90" s="19">
        <f>IF(NOT(ISNUMBER($A90)),NA(),IFERROR(1*INDEX(BBG_Data!$F$2:$F$4000,MATCH($A90,BBG_Data!$E$2:$E$4000,0)),NA()))</f>
        <v/>
      </c>
      <c r="E90" s="19">
        <f>IF(NOT(ISNUMBER($A90)),NA(),IFERROR(1*INDEX(BBG_Data!$H$2:$H$4000,MATCH($A90,BBG_Data!$G$2:$G$4000,0)),NA()))</f>
        <v/>
      </c>
      <c r="F90" s="20">
        <f>IF(AND(ISNUMBER(B90),ISNUMBER(B89)),IF(B90=B89,"",(B90-B89)*100),"")</f>
        <v/>
      </c>
      <c r="G90" s="20">
        <f>IF(AND(ISNUMBER(C90),ISNUMBER(C89)),IF(C90=C89,"",(C90-C89)*100),"")</f>
        <v/>
      </c>
      <c r="H90" s="20">
        <f>IF(OR(NOT(ISNUMBER($A90)),ROW()-2&lt;Settings!$B$11),NA(),IF(COUNT(OFFSET(F90,1-Settings!$B$11,0,Settings!$B$11,1))&lt;ROUNDUP(Settings!$B$11*Settings!$B$26,0),NA(),STDEV(OFFSET(F90,1-Settings!$B$11,0,Settings!$B$11,1))*SQRT(Settings!$B$13)))</f>
        <v/>
      </c>
      <c r="I90" s="20">
        <f>IF(OR(NOT(ISNUMBER($A90)),ROW()-2&lt;Settings!$B$12),NA(),IF(COUNT(OFFSET(F90,1-Settings!$B$12,0,Settings!$B$12,1))&lt;ROUNDUP(Settings!$B$12*Settings!$B$26,0),NA(),STDEV(OFFSET(F90,1-Settings!$B$12,0,Settings!$B$12,1))*SQRT(Settings!$B$13)))</f>
        <v/>
      </c>
      <c r="J90" s="20">
        <f>IF(OR(NOT(ISNUMBER($A90)),ROW()-2&lt;Settings!$B$11),NA(),IF(COUNT(OFFSET(G90,1-Settings!$B$11,0,Settings!$B$11,1))&lt;ROUNDUP(Settings!$B$11*Settings!$B$26,0),NA(),STDEV(OFFSET(G90,1-Settings!$B$11,0,Settings!$B$11,1))*SQRT(Settings!$B$13)))</f>
        <v/>
      </c>
      <c r="K90" s="20">
        <f>IF(OR(NOT(ISNUMBER($A90)),ROW()-2&lt;Settings!$B$12),NA(),IF(COUNT(OFFSET(G90,1-Settings!$B$12,0,Settings!$B$12,1))&lt;ROUNDUP(Settings!$B$12*Settings!$B$26,0),NA(),STDEV(OFFSET(G90,1-Settings!$B$12,0,Settings!$B$12,1))*SQRT(Settings!$B$13)))</f>
        <v/>
      </c>
      <c r="L90" s="20">
        <f>IF(AND(ISNUMBER(D90),ISNUMBER(H90)),D90-H90,NA())</f>
        <v/>
      </c>
      <c r="M90" s="20">
        <f>IF(AND(ISNUMBER(E90),ISNUMBER(K90)),E90-K90,NA())</f>
        <v/>
      </c>
      <c r="N90" s="20">
        <f>IF(NOT(ISNUMBER($A90)),NA(),IF(COUNT(OFFSET(G90,1,0,Settings!$B$12,1))&lt;ROUNDUP(Settings!$B$12*Settings!$B$26,0),NA(),STDEV(OFFSET(G90,1,0,Settings!$B$12,1))*SQRT(Settings!$B$13)))</f>
        <v/>
      </c>
      <c r="O90" s="20">
        <f>IF(AND(ISNUMBER(E90),ISNUMBER(N90)),E90-N90,NA())</f>
        <v/>
      </c>
      <c r="P90" s="19">
        <f>IF(NOT(ISNUMBER($A90)),NA(),IF(OR($A90&lt;MIN(KW_TP!$A$2:$A$2501),$A90&gt;MAX(KW_TP!$A$2:$A$2501)),NA(),INDEX(KW_TP!$C$2:$C$2501,MATCH($A90,KW_TP!$A$2:$A$2501,1))))</f>
        <v/>
      </c>
      <c r="Q90" s="18">
        <f>IF(NOT(ISNUMBER($A90)),NA(),IFERROR(1*INDEX(BBG_Data!$J$2:$J$4000,MATCH($A90,BBG_Data!$I$2:$I$4000,0)),NA()))</f>
        <v/>
      </c>
      <c r="R90" s="18">
        <f>IF(NOT(ISNUMBER($A90)),NA(),IFERROR(1*INDEX(BBG_Data!$L$2:$L$4000,MATCH($A90,BBG_Data!$K$2:$K$4000,0)),NA()))</f>
        <v/>
      </c>
      <c r="S90" s="20">
        <f>IF(AND(ISNUMBER(B90),ISNUMBER(Q90),ISNUMBER(R90)),(B90-Q90-R90)*100,NA())</f>
        <v/>
      </c>
      <c r="T90" s="20">
        <f>IF(AND(ISNUMBER(B90),Settings!$B$17&gt;0),IF(ISNUMBER(INDEX($B:$B,Settings!$B$17)),(B90-INDEX($B:$B,Settings!$B$17))*100,NA()),NA())</f>
        <v/>
      </c>
      <c r="U90" s="20">
        <f>IF(AND(ISNUMBER(Q90),Settings!$B$17&gt;0),IF(ISNUMBER(INDEX($Q:$Q,Settings!$B$17)),(Q90-INDEX($Q:$Q,Settings!$B$17))*100,NA()),NA())</f>
        <v/>
      </c>
      <c r="V90" s="20">
        <f>IF(AND(ISNUMBER(R90),Settings!$B$17&gt;0),IF(ISNUMBER(INDEX($R:$R,Settings!$B$17)),(R90-INDEX($R:$R,Settings!$B$17))*100,NA()),NA())</f>
        <v/>
      </c>
      <c r="W90" s="20">
        <f>IF(AND(ISNUMBER(P90),Settings!$B$17&gt;0),IF(ISNUMBER(INDEX($P:$P,Settings!$B$17)),P90-INDEX($P:$P,Settings!$B$17),NA()),NA())</f>
        <v/>
      </c>
      <c r="X90" s="19">
        <f>IF(NOT(ISNUMBER($A90)),NA(),IF(OR($A90&lt;MIN(DKW_10Y!$A$2:$A$2918),$A90&gt;MAX(DKW_10Y!$A$2:$A$2918),Settings!$B$16&lt;MIN(DKW_10Y!$A$2:$A$2918)),NA(),(INDEX(DKW_10Y!$B$2:$B$2918,MATCH($A90,DKW_10Y!$A$2:$A$2918,1))-INDEX(DKW_10Y!$B$2:$B$2918,MATCH(Settings!$B$16,DKW_10Y!$A$2:$A$2918,1)))*100))</f>
        <v/>
      </c>
      <c r="Y90" s="19">
        <f>IF(NOT(ISNUMBER($A90)),NA(),IF(OR($A90&lt;MIN(DKW_10Y!$A$2:$A$2918),$A90&gt;MAX(DKW_10Y!$A$2:$A$2918),Settings!$B$16&lt;MIN(DKW_10Y!$A$2:$A$2918)),NA(),(INDEX(DKW_10Y!$C$2:$C$2918,MATCH($A90,DKW_10Y!$A$2:$A$2918,1))-INDEX(DKW_10Y!$C$2:$C$2918,MATCH(Settings!$B$16,DKW_10Y!$A$2:$A$2918,1)))*100))</f>
        <v/>
      </c>
      <c r="Z90" s="19">
        <f>IF(NOT(ISNUMBER($A90)),NA(),IF(OR($A90&lt;MIN(DKW_10Y!$A$2:$A$2918),$A90&gt;MAX(DKW_10Y!$A$2:$A$2918),Settings!$B$16&lt;MIN(DKW_10Y!$A$2:$A$2918)),NA(),(INDEX(DKW_10Y!$D$2:$D$2918,MATCH($A90,DKW_10Y!$A$2:$A$2918,1))-INDEX(DKW_10Y!$D$2:$D$2918,MATCH(Settings!$B$16,DKW_10Y!$A$2:$A$2918,1)))*100))</f>
        <v/>
      </c>
      <c r="AA90" s="19">
        <f>IF(NOT(ISNUMBER($A90)),NA(),IF(OR($A90&lt;MIN(DKW_10Y!$A$2:$A$2918),$A90&gt;MAX(DKW_10Y!$A$2:$A$2918),Settings!$B$16&lt;MIN(DKW_10Y!$A$2:$A$2918)),NA(),(INDEX(DKW_10Y!$E$2:$E$2918,MATCH($A90,DKW_10Y!$A$2:$A$2918,1))-INDEX(DKW_10Y!$E$2:$E$2918,MATCH(Settings!$B$16,DKW_10Y!$A$2:$A$2918,1)))*100))</f>
        <v/>
      </c>
      <c r="AB90" s="19">
        <f>IF(NOT(ISNUMBER($A90)),NA(),IF(OR($A90&lt;MIN(DKW_10Y!$A$2:$A$2918),$A90&gt;MAX(DKW_10Y!$A$2:$A$2918),Settings!$B$16&lt;MIN(DKW_10Y!$A$2:$A$2918)),NA(),(INDEX(DKW_10Y!$H$2:$H$2918,MATCH($A90,DKW_10Y!$A$2:$A$2918,1))-INDEX(DKW_10Y!$H$2:$H$2918,MATCH(Settings!$B$16,DKW_10Y!$A$2:$A$2918,1)))*100))</f>
        <v/>
      </c>
      <c r="AC90" s="18">
        <f>IF(NOT(ISNUMBER($A90)),NA(),IFERROR(1*INDEX(BBG_Data!$N$2:$N$4000,MATCH($A90,BBG_Data!$M$2:$M$4000,0)),NA()))</f>
        <v/>
      </c>
      <c r="AD90" s="18">
        <f>IF(NOT(ISNUMBER($A90)),NA(),IFERROR(1*INDEX(BBG_Data!$P$2:$P$4000,MATCH($A90,BBG_Data!$O$2:$O$4000,0)),NA()))</f>
        <v/>
      </c>
      <c r="AE90" s="18">
        <f>IF(NOT(ISNUMBER($A90)),NA(),IFERROR(1*INDEX(BBG_Data!$R$2:$R$4000,MATCH($A90,BBG_Data!$Q$2:$Q$4000,0)),NA()))</f>
        <v/>
      </c>
      <c r="AF90" s="20">
        <f>IF(AND(ISNUMBER(B90),ISNUMBER(AC90)),(B90-AC90)*100,NA())</f>
        <v/>
      </c>
      <c r="AG90" s="20">
        <f>IF(AND(ISNUMBER(AE90),ISNUMBER(AD90)),(AE90-AD90)*100,NA())</f>
        <v/>
      </c>
      <c r="AH90" s="19">
        <f>IF(NOT(ISNUMBER($A90)),NA(),IFERROR(INDEX(BBG_Data!$T$2:$T$4000,MATCH($A90,BBG_Data!$S$2:$S$4000,0))*Settings!$B$25,NA()))</f>
        <v/>
      </c>
      <c r="AI90" s="19">
        <f>IF(NOT(ISNUMBER($A90)),NA(),IFERROR(INDEX(BBG_Data!$V$2:$V$4000,MATCH($A90,BBG_Data!$U$2:$U$4000,0))*Settings!$B$25,NA()))</f>
        <v/>
      </c>
      <c r="AJ90" s="19">
        <f>IF(NOT(ISNUMBER($A90)),NA(),IFERROR(1*INDEX(BBG_Data!$X$2:$X$4000,MATCH($A90,BBG_Data!$W$2:$W$4000,0)),NA()))</f>
        <v/>
      </c>
      <c r="AK90" s="19">
        <f>IF(NOT(ISNUMBER($A90)),NA(),IFERROR(1*INDEX(BBG_Data!$Z$2:$Z$4000,MATCH($A90,BBG_Data!$Y$2:$Y$4000,0)),NA()))</f>
        <v/>
      </c>
    </row>
    <row r="91">
      <c r="A91" s="17">
        <f>IF(ISNUMBER(BBG_Data!A91),BBG_Data!A91,"")</f>
        <v/>
      </c>
      <c r="B91" s="18">
        <f>IF(AND(ISNUMBER($A91),ISNUMBER(BBG_Data!B91)),BBG_Data!B91,NA())</f>
        <v/>
      </c>
      <c r="C91" s="18">
        <f>IF(NOT(ISNUMBER($A91)),NA(),IFERROR(1*INDEX(BBG_Data!$D$2:$D$4000,MATCH($A91,BBG_Data!$C$2:$C$4000,0)),NA()))</f>
        <v/>
      </c>
      <c r="D91" s="19">
        <f>IF(NOT(ISNUMBER($A91)),NA(),IFERROR(1*INDEX(BBG_Data!$F$2:$F$4000,MATCH($A91,BBG_Data!$E$2:$E$4000,0)),NA()))</f>
        <v/>
      </c>
      <c r="E91" s="19">
        <f>IF(NOT(ISNUMBER($A91)),NA(),IFERROR(1*INDEX(BBG_Data!$H$2:$H$4000,MATCH($A91,BBG_Data!$G$2:$G$4000,0)),NA()))</f>
        <v/>
      </c>
      <c r="F91" s="20">
        <f>IF(AND(ISNUMBER(B91),ISNUMBER(B90)),IF(B91=B90,"",(B91-B90)*100),"")</f>
        <v/>
      </c>
      <c r="G91" s="20">
        <f>IF(AND(ISNUMBER(C91),ISNUMBER(C90)),IF(C91=C90,"",(C91-C90)*100),"")</f>
        <v/>
      </c>
      <c r="H91" s="20">
        <f>IF(OR(NOT(ISNUMBER($A91)),ROW()-2&lt;Settings!$B$11),NA(),IF(COUNT(OFFSET(F91,1-Settings!$B$11,0,Settings!$B$11,1))&lt;ROUNDUP(Settings!$B$11*Settings!$B$26,0),NA(),STDEV(OFFSET(F91,1-Settings!$B$11,0,Settings!$B$11,1))*SQRT(Settings!$B$13)))</f>
        <v/>
      </c>
      <c r="I91" s="20">
        <f>IF(OR(NOT(ISNUMBER($A91)),ROW()-2&lt;Settings!$B$12),NA(),IF(COUNT(OFFSET(F91,1-Settings!$B$12,0,Settings!$B$12,1))&lt;ROUNDUP(Settings!$B$12*Settings!$B$26,0),NA(),STDEV(OFFSET(F91,1-Settings!$B$12,0,Settings!$B$12,1))*SQRT(Settings!$B$13)))</f>
        <v/>
      </c>
      <c r="J91" s="20">
        <f>IF(OR(NOT(ISNUMBER($A91)),ROW()-2&lt;Settings!$B$11),NA(),IF(COUNT(OFFSET(G91,1-Settings!$B$11,0,Settings!$B$11,1))&lt;ROUNDUP(Settings!$B$11*Settings!$B$26,0),NA(),STDEV(OFFSET(G91,1-Settings!$B$11,0,Settings!$B$11,1))*SQRT(Settings!$B$13)))</f>
        <v/>
      </c>
      <c r="K91" s="20">
        <f>IF(OR(NOT(ISNUMBER($A91)),ROW()-2&lt;Settings!$B$12),NA(),IF(COUNT(OFFSET(G91,1-Settings!$B$12,0,Settings!$B$12,1))&lt;ROUNDUP(Settings!$B$12*Settings!$B$26,0),NA(),STDEV(OFFSET(G91,1-Settings!$B$12,0,Settings!$B$12,1))*SQRT(Settings!$B$13)))</f>
        <v/>
      </c>
      <c r="L91" s="20">
        <f>IF(AND(ISNUMBER(D91),ISNUMBER(H91)),D91-H91,NA())</f>
        <v/>
      </c>
      <c r="M91" s="20">
        <f>IF(AND(ISNUMBER(E91),ISNUMBER(K91)),E91-K91,NA())</f>
        <v/>
      </c>
      <c r="N91" s="20">
        <f>IF(NOT(ISNUMBER($A91)),NA(),IF(COUNT(OFFSET(G91,1,0,Settings!$B$12,1))&lt;ROUNDUP(Settings!$B$12*Settings!$B$26,0),NA(),STDEV(OFFSET(G91,1,0,Settings!$B$12,1))*SQRT(Settings!$B$13)))</f>
        <v/>
      </c>
      <c r="O91" s="20">
        <f>IF(AND(ISNUMBER(E91),ISNUMBER(N91)),E91-N91,NA())</f>
        <v/>
      </c>
      <c r="P91" s="19">
        <f>IF(NOT(ISNUMBER($A91)),NA(),IF(OR($A91&lt;MIN(KW_TP!$A$2:$A$2501),$A91&gt;MAX(KW_TP!$A$2:$A$2501)),NA(),INDEX(KW_TP!$C$2:$C$2501,MATCH($A91,KW_TP!$A$2:$A$2501,1))))</f>
        <v/>
      </c>
      <c r="Q91" s="18">
        <f>IF(NOT(ISNUMBER($A91)),NA(),IFERROR(1*INDEX(BBG_Data!$J$2:$J$4000,MATCH($A91,BBG_Data!$I$2:$I$4000,0)),NA()))</f>
        <v/>
      </c>
      <c r="R91" s="18">
        <f>IF(NOT(ISNUMBER($A91)),NA(),IFERROR(1*INDEX(BBG_Data!$L$2:$L$4000,MATCH($A91,BBG_Data!$K$2:$K$4000,0)),NA()))</f>
        <v/>
      </c>
      <c r="S91" s="20">
        <f>IF(AND(ISNUMBER(B91),ISNUMBER(Q91),ISNUMBER(R91)),(B91-Q91-R91)*100,NA())</f>
        <v/>
      </c>
      <c r="T91" s="20">
        <f>IF(AND(ISNUMBER(B91),Settings!$B$17&gt;0),IF(ISNUMBER(INDEX($B:$B,Settings!$B$17)),(B91-INDEX($B:$B,Settings!$B$17))*100,NA()),NA())</f>
        <v/>
      </c>
      <c r="U91" s="20">
        <f>IF(AND(ISNUMBER(Q91),Settings!$B$17&gt;0),IF(ISNUMBER(INDEX($Q:$Q,Settings!$B$17)),(Q91-INDEX($Q:$Q,Settings!$B$17))*100,NA()),NA())</f>
        <v/>
      </c>
      <c r="V91" s="20">
        <f>IF(AND(ISNUMBER(R91),Settings!$B$17&gt;0),IF(ISNUMBER(INDEX($R:$R,Settings!$B$17)),(R91-INDEX($R:$R,Settings!$B$17))*100,NA()),NA())</f>
        <v/>
      </c>
      <c r="W91" s="20">
        <f>IF(AND(ISNUMBER(P91),Settings!$B$17&gt;0),IF(ISNUMBER(INDEX($P:$P,Settings!$B$17)),P91-INDEX($P:$P,Settings!$B$17),NA()),NA())</f>
        <v/>
      </c>
      <c r="X91" s="19">
        <f>IF(NOT(ISNUMBER($A91)),NA(),IF(OR($A91&lt;MIN(DKW_10Y!$A$2:$A$2918),$A91&gt;MAX(DKW_10Y!$A$2:$A$2918),Settings!$B$16&lt;MIN(DKW_10Y!$A$2:$A$2918)),NA(),(INDEX(DKW_10Y!$B$2:$B$2918,MATCH($A91,DKW_10Y!$A$2:$A$2918,1))-INDEX(DKW_10Y!$B$2:$B$2918,MATCH(Settings!$B$16,DKW_10Y!$A$2:$A$2918,1)))*100))</f>
        <v/>
      </c>
      <c r="Y91" s="19">
        <f>IF(NOT(ISNUMBER($A91)),NA(),IF(OR($A91&lt;MIN(DKW_10Y!$A$2:$A$2918),$A91&gt;MAX(DKW_10Y!$A$2:$A$2918),Settings!$B$16&lt;MIN(DKW_10Y!$A$2:$A$2918)),NA(),(INDEX(DKW_10Y!$C$2:$C$2918,MATCH($A91,DKW_10Y!$A$2:$A$2918,1))-INDEX(DKW_10Y!$C$2:$C$2918,MATCH(Settings!$B$16,DKW_10Y!$A$2:$A$2918,1)))*100))</f>
        <v/>
      </c>
      <c r="Z91" s="19">
        <f>IF(NOT(ISNUMBER($A91)),NA(),IF(OR($A91&lt;MIN(DKW_10Y!$A$2:$A$2918),$A91&gt;MAX(DKW_10Y!$A$2:$A$2918),Settings!$B$16&lt;MIN(DKW_10Y!$A$2:$A$2918)),NA(),(INDEX(DKW_10Y!$D$2:$D$2918,MATCH($A91,DKW_10Y!$A$2:$A$2918,1))-INDEX(DKW_10Y!$D$2:$D$2918,MATCH(Settings!$B$16,DKW_10Y!$A$2:$A$2918,1)))*100))</f>
        <v/>
      </c>
      <c r="AA91" s="19">
        <f>IF(NOT(ISNUMBER($A91)),NA(),IF(OR($A91&lt;MIN(DKW_10Y!$A$2:$A$2918),$A91&gt;MAX(DKW_10Y!$A$2:$A$2918),Settings!$B$16&lt;MIN(DKW_10Y!$A$2:$A$2918)),NA(),(INDEX(DKW_10Y!$E$2:$E$2918,MATCH($A91,DKW_10Y!$A$2:$A$2918,1))-INDEX(DKW_10Y!$E$2:$E$2918,MATCH(Settings!$B$16,DKW_10Y!$A$2:$A$2918,1)))*100))</f>
        <v/>
      </c>
      <c r="AB91" s="19">
        <f>IF(NOT(ISNUMBER($A91)),NA(),IF(OR($A91&lt;MIN(DKW_10Y!$A$2:$A$2918),$A91&gt;MAX(DKW_10Y!$A$2:$A$2918),Settings!$B$16&lt;MIN(DKW_10Y!$A$2:$A$2918)),NA(),(INDEX(DKW_10Y!$H$2:$H$2918,MATCH($A91,DKW_10Y!$A$2:$A$2918,1))-INDEX(DKW_10Y!$H$2:$H$2918,MATCH(Settings!$B$16,DKW_10Y!$A$2:$A$2918,1)))*100))</f>
        <v/>
      </c>
      <c r="AC91" s="18">
        <f>IF(NOT(ISNUMBER($A91)),NA(),IFERROR(1*INDEX(BBG_Data!$N$2:$N$4000,MATCH($A91,BBG_Data!$M$2:$M$4000,0)),NA()))</f>
        <v/>
      </c>
      <c r="AD91" s="18">
        <f>IF(NOT(ISNUMBER($A91)),NA(),IFERROR(1*INDEX(BBG_Data!$P$2:$P$4000,MATCH($A91,BBG_Data!$O$2:$O$4000,0)),NA()))</f>
        <v/>
      </c>
      <c r="AE91" s="18">
        <f>IF(NOT(ISNUMBER($A91)),NA(),IFERROR(1*INDEX(BBG_Data!$R$2:$R$4000,MATCH($A91,BBG_Data!$Q$2:$Q$4000,0)),NA()))</f>
        <v/>
      </c>
      <c r="AF91" s="20">
        <f>IF(AND(ISNUMBER(B91),ISNUMBER(AC91)),(B91-AC91)*100,NA())</f>
        <v/>
      </c>
      <c r="AG91" s="20">
        <f>IF(AND(ISNUMBER(AE91),ISNUMBER(AD91)),(AE91-AD91)*100,NA())</f>
        <v/>
      </c>
      <c r="AH91" s="19">
        <f>IF(NOT(ISNUMBER($A91)),NA(),IFERROR(INDEX(BBG_Data!$T$2:$T$4000,MATCH($A91,BBG_Data!$S$2:$S$4000,0))*Settings!$B$25,NA()))</f>
        <v/>
      </c>
      <c r="AI91" s="19">
        <f>IF(NOT(ISNUMBER($A91)),NA(),IFERROR(INDEX(BBG_Data!$V$2:$V$4000,MATCH($A91,BBG_Data!$U$2:$U$4000,0))*Settings!$B$25,NA()))</f>
        <v/>
      </c>
      <c r="AJ91" s="19">
        <f>IF(NOT(ISNUMBER($A91)),NA(),IFERROR(1*INDEX(BBG_Data!$X$2:$X$4000,MATCH($A91,BBG_Data!$W$2:$W$4000,0)),NA()))</f>
        <v/>
      </c>
      <c r="AK91" s="19">
        <f>IF(NOT(ISNUMBER($A91)),NA(),IFERROR(1*INDEX(BBG_Data!$Z$2:$Z$4000,MATCH($A91,BBG_Data!$Y$2:$Y$4000,0)),NA()))</f>
        <v/>
      </c>
    </row>
    <row r="92">
      <c r="A92" s="17">
        <f>IF(ISNUMBER(BBG_Data!A92),BBG_Data!A92,"")</f>
        <v/>
      </c>
      <c r="B92" s="18">
        <f>IF(AND(ISNUMBER($A92),ISNUMBER(BBG_Data!B92)),BBG_Data!B92,NA())</f>
        <v/>
      </c>
      <c r="C92" s="18">
        <f>IF(NOT(ISNUMBER($A92)),NA(),IFERROR(1*INDEX(BBG_Data!$D$2:$D$4000,MATCH($A92,BBG_Data!$C$2:$C$4000,0)),NA()))</f>
        <v/>
      </c>
      <c r="D92" s="19">
        <f>IF(NOT(ISNUMBER($A92)),NA(),IFERROR(1*INDEX(BBG_Data!$F$2:$F$4000,MATCH($A92,BBG_Data!$E$2:$E$4000,0)),NA()))</f>
        <v/>
      </c>
      <c r="E92" s="19">
        <f>IF(NOT(ISNUMBER($A92)),NA(),IFERROR(1*INDEX(BBG_Data!$H$2:$H$4000,MATCH($A92,BBG_Data!$G$2:$G$4000,0)),NA()))</f>
        <v/>
      </c>
      <c r="F92" s="20">
        <f>IF(AND(ISNUMBER(B92),ISNUMBER(B91)),IF(B92=B91,"",(B92-B91)*100),"")</f>
        <v/>
      </c>
      <c r="G92" s="20">
        <f>IF(AND(ISNUMBER(C92),ISNUMBER(C91)),IF(C92=C91,"",(C92-C91)*100),"")</f>
        <v/>
      </c>
      <c r="H92" s="20">
        <f>IF(OR(NOT(ISNUMBER($A92)),ROW()-2&lt;Settings!$B$11),NA(),IF(COUNT(OFFSET(F92,1-Settings!$B$11,0,Settings!$B$11,1))&lt;ROUNDUP(Settings!$B$11*Settings!$B$26,0),NA(),STDEV(OFFSET(F92,1-Settings!$B$11,0,Settings!$B$11,1))*SQRT(Settings!$B$13)))</f>
        <v/>
      </c>
      <c r="I92" s="20">
        <f>IF(OR(NOT(ISNUMBER($A92)),ROW()-2&lt;Settings!$B$12),NA(),IF(COUNT(OFFSET(F92,1-Settings!$B$12,0,Settings!$B$12,1))&lt;ROUNDUP(Settings!$B$12*Settings!$B$26,0),NA(),STDEV(OFFSET(F92,1-Settings!$B$12,0,Settings!$B$12,1))*SQRT(Settings!$B$13)))</f>
        <v/>
      </c>
      <c r="J92" s="20">
        <f>IF(OR(NOT(ISNUMBER($A92)),ROW()-2&lt;Settings!$B$11),NA(),IF(COUNT(OFFSET(G92,1-Settings!$B$11,0,Settings!$B$11,1))&lt;ROUNDUP(Settings!$B$11*Settings!$B$26,0),NA(),STDEV(OFFSET(G92,1-Settings!$B$11,0,Settings!$B$11,1))*SQRT(Settings!$B$13)))</f>
        <v/>
      </c>
      <c r="K92" s="20">
        <f>IF(OR(NOT(ISNUMBER($A92)),ROW()-2&lt;Settings!$B$12),NA(),IF(COUNT(OFFSET(G92,1-Settings!$B$12,0,Settings!$B$12,1))&lt;ROUNDUP(Settings!$B$12*Settings!$B$26,0),NA(),STDEV(OFFSET(G92,1-Settings!$B$12,0,Settings!$B$12,1))*SQRT(Settings!$B$13)))</f>
        <v/>
      </c>
      <c r="L92" s="20">
        <f>IF(AND(ISNUMBER(D92),ISNUMBER(H92)),D92-H92,NA())</f>
        <v/>
      </c>
      <c r="M92" s="20">
        <f>IF(AND(ISNUMBER(E92),ISNUMBER(K92)),E92-K92,NA())</f>
        <v/>
      </c>
      <c r="N92" s="20">
        <f>IF(NOT(ISNUMBER($A92)),NA(),IF(COUNT(OFFSET(G92,1,0,Settings!$B$12,1))&lt;ROUNDUP(Settings!$B$12*Settings!$B$26,0),NA(),STDEV(OFFSET(G92,1,0,Settings!$B$12,1))*SQRT(Settings!$B$13)))</f>
        <v/>
      </c>
      <c r="O92" s="20">
        <f>IF(AND(ISNUMBER(E92),ISNUMBER(N92)),E92-N92,NA())</f>
        <v/>
      </c>
      <c r="P92" s="19">
        <f>IF(NOT(ISNUMBER($A92)),NA(),IF(OR($A92&lt;MIN(KW_TP!$A$2:$A$2501),$A92&gt;MAX(KW_TP!$A$2:$A$2501)),NA(),INDEX(KW_TP!$C$2:$C$2501,MATCH($A92,KW_TP!$A$2:$A$2501,1))))</f>
        <v/>
      </c>
      <c r="Q92" s="18">
        <f>IF(NOT(ISNUMBER($A92)),NA(),IFERROR(1*INDEX(BBG_Data!$J$2:$J$4000,MATCH($A92,BBG_Data!$I$2:$I$4000,0)),NA()))</f>
        <v/>
      </c>
      <c r="R92" s="18">
        <f>IF(NOT(ISNUMBER($A92)),NA(),IFERROR(1*INDEX(BBG_Data!$L$2:$L$4000,MATCH($A92,BBG_Data!$K$2:$K$4000,0)),NA()))</f>
        <v/>
      </c>
      <c r="S92" s="20">
        <f>IF(AND(ISNUMBER(B92),ISNUMBER(Q92),ISNUMBER(R92)),(B92-Q92-R92)*100,NA())</f>
        <v/>
      </c>
      <c r="T92" s="20">
        <f>IF(AND(ISNUMBER(B92),Settings!$B$17&gt;0),IF(ISNUMBER(INDEX($B:$B,Settings!$B$17)),(B92-INDEX($B:$B,Settings!$B$17))*100,NA()),NA())</f>
        <v/>
      </c>
      <c r="U92" s="20">
        <f>IF(AND(ISNUMBER(Q92),Settings!$B$17&gt;0),IF(ISNUMBER(INDEX($Q:$Q,Settings!$B$17)),(Q92-INDEX($Q:$Q,Settings!$B$17))*100,NA()),NA())</f>
        <v/>
      </c>
      <c r="V92" s="20">
        <f>IF(AND(ISNUMBER(R92),Settings!$B$17&gt;0),IF(ISNUMBER(INDEX($R:$R,Settings!$B$17)),(R92-INDEX($R:$R,Settings!$B$17))*100,NA()),NA())</f>
        <v/>
      </c>
      <c r="W92" s="20">
        <f>IF(AND(ISNUMBER(P92),Settings!$B$17&gt;0),IF(ISNUMBER(INDEX($P:$P,Settings!$B$17)),P92-INDEX($P:$P,Settings!$B$17),NA()),NA())</f>
        <v/>
      </c>
      <c r="X92" s="19">
        <f>IF(NOT(ISNUMBER($A92)),NA(),IF(OR($A92&lt;MIN(DKW_10Y!$A$2:$A$2918),$A92&gt;MAX(DKW_10Y!$A$2:$A$2918),Settings!$B$16&lt;MIN(DKW_10Y!$A$2:$A$2918)),NA(),(INDEX(DKW_10Y!$B$2:$B$2918,MATCH($A92,DKW_10Y!$A$2:$A$2918,1))-INDEX(DKW_10Y!$B$2:$B$2918,MATCH(Settings!$B$16,DKW_10Y!$A$2:$A$2918,1)))*100))</f>
        <v/>
      </c>
      <c r="Y92" s="19">
        <f>IF(NOT(ISNUMBER($A92)),NA(),IF(OR($A92&lt;MIN(DKW_10Y!$A$2:$A$2918),$A92&gt;MAX(DKW_10Y!$A$2:$A$2918),Settings!$B$16&lt;MIN(DKW_10Y!$A$2:$A$2918)),NA(),(INDEX(DKW_10Y!$C$2:$C$2918,MATCH($A92,DKW_10Y!$A$2:$A$2918,1))-INDEX(DKW_10Y!$C$2:$C$2918,MATCH(Settings!$B$16,DKW_10Y!$A$2:$A$2918,1)))*100))</f>
        <v/>
      </c>
      <c r="Z92" s="19">
        <f>IF(NOT(ISNUMBER($A92)),NA(),IF(OR($A92&lt;MIN(DKW_10Y!$A$2:$A$2918),$A92&gt;MAX(DKW_10Y!$A$2:$A$2918),Settings!$B$16&lt;MIN(DKW_10Y!$A$2:$A$2918)),NA(),(INDEX(DKW_10Y!$D$2:$D$2918,MATCH($A92,DKW_10Y!$A$2:$A$2918,1))-INDEX(DKW_10Y!$D$2:$D$2918,MATCH(Settings!$B$16,DKW_10Y!$A$2:$A$2918,1)))*100))</f>
        <v/>
      </c>
      <c r="AA92" s="19">
        <f>IF(NOT(ISNUMBER($A92)),NA(),IF(OR($A92&lt;MIN(DKW_10Y!$A$2:$A$2918),$A92&gt;MAX(DKW_10Y!$A$2:$A$2918),Settings!$B$16&lt;MIN(DKW_10Y!$A$2:$A$2918)),NA(),(INDEX(DKW_10Y!$E$2:$E$2918,MATCH($A92,DKW_10Y!$A$2:$A$2918,1))-INDEX(DKW_10Y!$E$2:$E$2918,MATCH(Settings!$B$16,DKW_10Y!$A$2:$A$2918,1)))*100))</f>
        <v/>
      </c>
      <c r="AB92" s="19">
        <f>IF(NOT(ISNUMBER($A92)),NA(),IF(OR($A92&lt;MIN(DKW_10Y!$A$2:$A$2918),$A92&gt;MAX(DKW_10Y!$A$2:$A$2918),Settings!$B$16&lt;MIN(DKW_10Y!$A$2:$A$2918)),NA(),(INDEX(DKW_10Y!$H$2:$H$2918,MATCH($A92,DKW_10Y!$A$2:$A$2918,1))-INDEX(DKW_10Y!$H$2:$H$2918,MATCH(Settings!$B$16,DKW_10Y!$A$2:$A$2918,1)))*100))</f>
        <v/>
      </c>
      <c r="AC92" s="18">
        <f>IF(NOT(ISNUMBER($A92)),NA(),IFERROR(1*INDEX(BBG_Data!$N$2:$N$4000,MATCH($A92,BBG_Data!$M$2:$M$4000,0)),NA()))</f>
        <v/>
      </c>
      <c r="AD92" s="18">
        <f>IF(NOT(ISNUMBER($A92)),NA(),IFERROR(1*INDEX(BBG_Data!$P$2:$P$4000,MATCH($A92,BBG_Data!$O$2:$O$4000,0)),NA()))</f>
        <v/>
      </c>
      <c r="AE92" s="18">
        <f>IF(NOT(ISNUMBER($A92)),NA(),IFERROR(1*INDEX(BBG_Data!$R$2:$R$4000,MATCH($A92,BBG_Data!$Q$2:$Q$4000,0)),NA()))</f>
        <v/>
      </c>
      <c r="AF92" s="20">
        <f>IF(AND(ISNUMBER(B92),ISNUMBER(AC92)),(B92-AC92)*100,NA())</f>
        <v/>
      </c>
      <c r="AG92" s="20">
        <f>IF(AND(ISNUMBER(AE92),ISNUMBER(AD92)),(AE92-AD92)*100,NA())</f>
        <v/>
      </c>
      <c r="AH92" s="19">
        <f>IF(NOT(ISNUMBER($A92)),NA(),IFERROR(INDEX(BBG_Data!$T$2:$T$4000,MATCH($A92,BBG_Data!$S$2:$S$4000,0))*Settings!$B$25,NA()))</f>
        <v/>
      </c>
      <c r="AI92" s="19">
        <f>IF(NOT(ISNUMBER($A92)),NA(),IFERROR(INDEX(BBG_Data!$V$2:$V$4000,MATCH($A92,BBG_Data!$U$2:$U$4000,0))*Settings!$B$25,NA()))</f>
        <v/>
      </c>
      <c r="AJ92" s="19">
        <f>IF(NOT(ISNUMBER($A92)),NA(),IFERROR(1*INDEX(BBG_Data!$X$2:$X$4000,MATCH($A92,BBG_Data!$W$2:$W$4000,0)),NA()))</f>
        <v/>
      </c>
      <c r="AK92" s="19">
        <f>IF(NOT(ISNUMBER($A92)),NA(),IFERROR(1*INDEX(BBG_Data!$Z$2:$Z$4000,MATCH($A92,BBG_Data!$Y$2:$Y$4000,0)),NA()))</f>
        <v/>
      </c>
    </row>
    <row r="93">
      <c r="A93" s="17">
        <f>IF(ISNUMBER(BBG_Data!A93),BBG_Data!A93,"")</f>
        <v/>
      </c>
      <c r="B93" s="18">
        <f>IF(AND(ISNUMBER($A93),ISNUMBER(BBG_Data!B93)),BBG_Data!B93,NA())</f>
        <v/>
      </c>
      <c r="C93" s="18">
        <f>IF(NOT(ISNUMBER($A93)),NA(),IFERROR(1*INDEX(BBG_Data!$D$2:$D$4000,MATCH($A93,BBG_Data!$C$2:$C$4000,0)),NA()))</f>
        <v/>
      </c>
      <c r="D93" s="19">
        <f>IF(NOT(ISNUMBER($A93)),NA(),IFERROR(1*INDEX(BBG_Data!$F$2:$F$4000,MATCH($A93,BBG_Data!$E$2:$E$4000,0)),NA()))</f>
        <v/>
      </c>
      <c r="E93" s="19">
        <f>IF(NOT(ISNUMBER($A93)),NA(),IFERROR(1*INDEX(BBG_Data!$H$2:$H$4000,MATCH($A93,BBG_Data!$G$2:$G$4000,0)),NA()))</f>
        <v/>
      </c>
      <c r="F93" s="20">
        <f>IF(AND(ISNUMBER(B93),ISNUMBER(B92)),IF(B93=B92,"",(B93-B92)*100),"")</f>
        <v/>
      </c>
      <c r="G93" s="20">
        <f>IF(AND(ISNUMBER(C93),ISNUMBER(C92)),IF(C93=C92,"",(C93-C92)*100),"")</f>
        <v/>
      </c>
      <c r="H93" s="20">
        <f>IF(OR(NOT(ISNUMBER($A93)),ROW()-2&lt;Settings!$B$11),NA(),IF(COUNT(OFFSET(F93,1-Settings!$B$11,0,Settings!$B$11,1))&lt;ROUNDUP(Settings!$B$11*Settings!$B$26,0),NA(),STDEV(OFFSET(F93,1-Settings!$B$11,0,Settings!$B$11,1))*SQRT(Settings!$B$13)))</f>
        <v/>
      </c>
      <c r="I93" s="20">
        <f>IF(OR(NOT(ISNUMBER($A93)),ROW()-2&lt;Settings!$B$12),NA(),IF(COUNT(OFFSET(F93,1-Settings!$B$12,0,Settings!$B$12,1))&lt;ROUNDUP(Settings!$B$12*Settings!$B$26,0),NA(),STDEV(OFFSET(F93,1-Settings!$B$12,0,Settings!$B$12,1))*SQRT(Settings!$B$13)))</f>
        <v/>
      </c>
      <c r="J93" s="20">
        <f>IF(OR(NOT(ISNUMBER($A93)),ROW()-2&lt;Settings!$B$11),NA(),IF(COUNT(OFFSET(G93,1-Settings!$B$11,0,Settings!$B$11,1))&lt;ROUNDUP(Settings!$B$11*Settings!$B$26,0),NA(),STDEV(OFFSET(G93,1-Settings!$B$11,0,Settings!$B$11,1))*SQRT(Settings!$B$13)))</f>
        <v/>
      </c>
      <c r="K93" s="20">
        <f>IF(OR(NOT(ISNUMBER($A93)),ROW()-2&lt;Settings!$B$12),NA(),IF(COUNT(OFFSET(G93,1-Settings!$B$12,0,Settings!$B$12,1))&lt;ROUNDUP(Settings!$B$12*Settings!$B$26,0),NA(),STDEV(OFFSET(G93,1-Settings!$B$12,0,Settings!$B$12,1))*SQRT(Settings!$B$13)))</f>
        <v/>
      </c>
      <c r="L93" s="20">
        <f>IF(AND(ISNUMBER(D93),ISNUMBER(H93)),D93-H93,NA())</f>
        <v/>
      </c>
      <c r="M93" s="20">
        <f>IF(AND(ISNUMBER(E93),ISNUMBER(K93)),E93-K93,NA())</f>
        <v/>
      </c>
      <c r="N93" s="20">
        <f>IF(NOT(ISNUMBER($A93)),NA(),IF(COUNT(OFFSET(G93,1,0,Settings!$B$12,1))&lt;ROUNDUP(Settings!$B$12*Settings!$B$26,0),NA(),STDEV(OFFSET(G93,1,0,Settings!$B$12,1))*SQRT(Settings!$B$13)))</f>
        <v/>
      </c>
      <c r="O93" s="20">
        <f>IF(AND(ISNUMBER(E93),ISNUMBER(N93)),E93-N93,NA())</f>
        <v/>
      </c>
      <c r="P93" s="19">
        <f>IF(NOT(ISNUMBER($A93)),NA(),IF(OR($A93&lt;MIN(KW_TP!$A$2:$A$2501),$A93&gt;MAX(KW_TP!$A$2:$A$2501)),NA(),INDEX(KW_TP!$C$2:$C$2501,MATCH($A93,KW_TP!$A$2:$A$2501,1))))</f>
        <v/>
      </c>
      <c r="Q93" s="18">
        <f>IF(NOT(ISNUMBER($A93)),NA(),IFERROR(1*INDEX(BBG_Data!$J$2:$J$4000,MATCH($A93,BBG_Data!$I$2:$I$4000,0)),NA()))</f>
        <v/>
      </c>
      <c r="R93" s="18">
        <f>IF(NOT(ISNUMBER($A93)),NA(),IFERROR(1*INDEX(BBG_Data!$L$2:$L$4000,MATCH($A93,BBG_Data!$K$2:$K$4000,0)),NA()))</f>
        <v/>
      </c>
      <c r="S93" s="20">
        <f>IF(AND(ISNUMBER(B93),ISNUMBER(Q93),ISNUMBER(R93)),(B93-Q93-R93)*100,NA())</f>
        <v/>
      </c>
      <c r="T93" s="20">
        <f>IF(AND(ISNUMBER(B93),Settings!$B$17&gt;0),IF(ISNUMBER(INDEX($B:$B,Settings!$B$17)),(B93-INDEX($B:$B,Settings!$B$17))*100,NA()),NA())</f>
        <v/>
      </c>
      <c r="U93" s="20">
        <f>IF(AND(ISNUMBER(Q93),Settings!$B$17&gt;0),IF(ISNUMBER(INDEX($Q:$Q,Settings!$B$17)),(Q93-INDEX($Q:$Q,Settings!$B$17))*100,NA()),NA())</f>
        <v/>
      </c>
      <c r="V93" s="20">
        <f>IF(AND(ISNUMBER(R93),Settings!$B$17&gt;0),IF(ISNUMBER(INDEX($R:$R,Settings!$B$17)),(R93-INDEX($R:$R,Settings!$B$17))*100,NA()),NA())</f>
        <v/>
      </c>
      <c r="W93" s="20">
        <f>IF(AND(ISNUMBER(P93),Settings!$B$17&gt;0),IF(ISNUMBER(INDEX($P:$P,Settings!$B$17)),P93-INDEX($P:$P,Settings!$B$17),NA()),NA())</f>
        <v/>
      </c>
      <c r="X93" s="19">
        <f>IF(NOT(ISNUMBER($A93)),NA(),IF(OR($A93&lt;MIN(DKW_10Y!$A$2:$A$2918),$A93&gt;MAX(DKW_10Y!$A$2:$A$2918),Settings!$B$16&lt;MIN(DKW_10Y!$A$2:$A$2918)),NA(),(INDEX(DKW_10Y!$B$2:$B$2918,MATCH($A93,DKW_10Y!$A$2:$A$2918,1))-INDEX(DKW_10Y!$B$2:$B$2918,MATCH(Settings!$B$16,DKW_10Y!$A$2:$A$2918,1)))*100))</f>
        <v/>
      </c>
      <c r="Y93" s="19">
        <f>IF(NOT(ISNUMBER($A93)),NA(),IF(OR($A93&lt;MIN(DKW_10Y!$A$2:$A$2918),$A93&gt;MAX(DKW_10Y!$A$2:$A$2918),Settings!$B$16&lt;MIN(DKW_10Y!$A$2:$A$2918)),NA(),(INDEX(DKW_10Y!$C$2:$C$2918,MATCH($A93,DKW_10Y!$A$2:$A$2918,1))-INDEX(DKW_10Y!$C$2:$C$2918,MATCH(Settings!$B$16,DKW_10Y!$A$2:$A$2918,1)))*100))</f>
        <v/>
      </c>
      <c r="Z93" s="19">
        <f>IF(NOT(ISNUMBER($A93)),NA(),IF(OR($A93&lt;MIN(DKW_10Y!$A$2:$A$2918),$A93&gt;MAX(DKW_10Y!$A$2:$A$2918),Settings!$B$16&lt;MIN(DKW_10Y!$A$2:$A$2918)),NA(),(INDEX(DKW_10Y!$D$2:$D$2918,MATCH($A93,DKW_10Y!$A$2:$A$2918,1))-INDEX(DKW_10Y!$D$2:$D$2918,MATCH(Settings!$B$16,DKW_10Y!$A$2:$A$2918,1)))*100))</f>
        <v/>
      </c>
      <c r="AA93" s="19">
        <f>IF(NOT(ISNUMBER($A93)),NA(),IF(OR($A93&lt;MIN(DKW_10Y!$A$2:$A$2918),$A93&gt;MAX(DKW_10Y!$A$2:$A$2918),Settings!$B$16&lt;MIN(DKW_10Y!$A$2:$A$2918)),NA(),(INDEX(DKW_10Y!$E$2:$E$2918,MATCH($A93,DKW_10Y!$A$2:$A$2918,1))-INDEX(DKW_10Y!$E$2:$E$2918,MATCH(Settings!$B$16,DKW_10Y!$A$2:$A$2918,1)))*100))</f>
        <v/>
      </c>
      <c r="AB93" s="19">
        <f>IF(NOT(ISNUMBER($A93)),NA(),IF(OR($A93&lt;MIN(DKW_10Y!$A$2:$A$2918),$A93&gt;MAX(DKW_10Y!$A$2:$A$2918),Settings!$B$16&lt;MIN(DKW_10Y!$A$2:$A$2918)),NA(),(INDEX(DKW_10Y!$H$2:$H$2918,MATCH($A93,DKW_10Y!$A$2:$A$2918,1))-INDEX(DKW_10Y!$H$2:$H$2918,MATCH(Settings!$B$16,DKW_10Y!$A$2:$A$2918,1)))*100))</f>
        <v/>
      </c>
      <c r="AC93" s="18">
        <f>IF(NOT(ISNUMBER($A93)),NA(),IFERROR(1*INDEX(BBG_Data!$N$2:$N$4000,MATCH($A93,BBG_Data!$M$2:$M$4000,0)),NA()))</f>
        <v/>
      </c>
      <c r="AD93" s="18">
        <f>IF(NOT(ISNUMBER($A93)),NA(),IFERROR(1*INDEX(BBG_Data!$P$2:$P$4000,MATCH($A93,BBG_Data!$O$2:$O$4000,0)),NA()))</f>
        <v/>
      </c>
      <c r="AE93" s="18">
        <f>IF(NOT(ISNUMBER($A93)),NA(),IFERROR(1*INDEX(BBG_Data!$R$2:$R$4000,MATCH($A93,BBG_Data!$Q$2:$Q$4000,0)),NA()))</f>
        <v/>
      </c>
      <c r="AF93" s="20">
        <f>IF(AND(ISNUMBER(B93),ISNUMBER(AC93)),(B93-AC93)*100,NA())</f>
        <v/>
      </c>
      <c r="AG93" s="20">
        <f>IF(AND(ISNUMBER(AE93),ISNUMBER(AD93)),(AE93-AD93)*100,NA())</f>
        <v/>
      </c>
      <c r="AH93" s="19">
        <f>IF(NOT(ISNUMBER($A93)),NA(),IFERROR(INDEX(BBG_Data!$T$2:$T$4000,MATCH($A93,BBG_Data!$S$2:$S$4000,0))*Settings!$B$25,NA()))</f>
        <v/>
      </c>
      <c r="AI93" s="19">
        <f>IF(NOT(ISNUMBER($A93)),NA(),IFERROR(INDEX(BBG_Data!$V$2:$V$4000,MATCH($A93,BBG_Data!$U$2:$U$4000,0))*Settings!$B$25,NA()))</f>
        <v/>
      </c>
      <c r="AJ93" s="19">
        <f>IF(NOT(ISNUMBER($A93)),NA(),IFERROR(1*INDEX(BBG_Data!$X$2:$X$4000,MATCH($A93,BBG_Data!$W$2:$W$4000,0)),NA()))</f>
        <v/>
      </c>
      <c r="AK93" s="19">
        <f>IF(NOT(ISNUMBER($A93)),NA(),IFERROR(1*INDEX(BBG_Data!$Z$2:$Z$4000,MATCH($A93,BBG_Data!$Y$2:$Y$4000,0)),NA()))</f>
        <v/>
      </c>
    </row>
    <row r="94">
      <c r="A94" s="17">
        <f>IF(ISNUMBER(BBG_Data!A94),BBG_Data!A94,"")</f>
        <v/>
      </c>
      <c r="B94" s="18">
        <f>IF(AND(ISNUMBER($A94),ISNUMBER(BBG_Data!B94)),BBG_Data!B94,NA())</f>
        <v/>
      </c>
      <c r="C94" s="18">
        <f>IF(NOT(ISNUMBER($A94)),NA(),IFERROR(1*INDEX(BBG_Data!$D$2:$D$4000,MATCH($A94,BBG_Data!$C$2:$C$4000,0)),NA()))</f>
        <v/>
      </c>
      <c r="D94" s="19">
        <f>IF(NOT(ISNUMBER($A94)),NA(),IFERROR(1*INDEX(BBG_Data!$F$2:$F$4000,MATCH($A94,BBG_Data!$E$2:$E$4000,0)),NA()))</f>
        <v/>
      </c>
      <c r="E94" s="19">
        <f>IF(NOT(ISNUMBER($A94)),NA(),IFERROR(1*INDEX(BBG_Data!$H$2:$H$4000,MATCH($A94,BBG_Data!$G$2:$G$4000,0)),NA()))</f>
        <v/>
      </c>
      <c r="F94" s="20">
        <f>IF(AND(ISNUMBER(B94),ISNUMBER(B93)),IF(B94=B93,"",(B94-B93)*100),"")</f>
        <v/>
      </c>
      <c r="G94" s="20">
        <f>IF(AND(ISNUMBER(C94),ISNUMBER(C93)),IF(C94=C93,"",(C94-C93)*100),"")</f>
        <v/>
      </c>
      <c r="H94" s="20">
        <f>IF(OR(NOT(ISNUMBER($A94)),ROW()-2&lt;Settings!$B$11),NA(),IF(COUNT(OFFSET(F94,1-Settings!$B$11,0,Settings!$B$11,1))&lt;ROUNDUP(Settings!$B$11*Settings!$B$26,0),NA(),STDEV(OFFSET(F94,1-Settings!$B$11,0,Settings!$B$11,1))*SQRT(Settings!$B$13)))</f>
        <v/>
      </c>
      <c r="I94" s="20">
        <f>IF(OR(NOT(ISNUMBER($A94)),ROW()-2&lt;Settings!$B$12),NA(),IF(COUNT(OFFSET(F94,1-Settings!$B$12,0,Settings!$B$12,1))&lt;ROUNDUP(Settings!$B$12*Settings!$B$26,0),NA(),STDEV(OFFSET(F94,1-Settings!$B$12,0,Settings!$B$12,1))*SQRT(Settings!$B$13)))</f>
        <v/>
      </c>
      <c r="J94" s="20">
        <f>IF(OR(NOT(ISNUMBER($A94)),ROW()-2&lt;Settings!$B$11),NA(),IF(COUNT(OFFSET(G94,1-Settings!$B$11,0,Settings!$B$11,1))&lt;ROUNDUP(Settings!$B$11*Settings!$B$26,0),NA(),STDEV(OFFSET(G94,1-Settings!$B$11,0,Settings!$B$11,1))*SQRT(Settings!$B$13)))</f>
        <v/>
      </c>
      <c r="K94" s="20">
        <f>IF(OR(NOT(ISNUMBER($A94)),ROW()-2&lt;Settings!$B$12),NA(),IF(COUNT(OFFSET(G94,1-Settings!$B$12,0,Settings!$B$12,1))&lt;ROUNDUP(Settings!$B$12*Settings!$B$26,0),NA(),STDEV(OFFSET(G94,1-Settings!$B$12,0,Settings!$B$12,1))*SQRT(Settings!$B$13)))</f>
        <v/>
      </c>
      <c r="L94" s="20">
        <f>IF(AND(ISNUMBER(D94),ISNUMBER(H94)),D94-H94,NA())</f>
        <v/>
      </c>
      <c r="M94" s="20">
        <f>IF(AND(ISNUMBER(E94),ISNUMBER(K94)),E94-K94,NA())</f>
        <v/>
      </c>
      <c r="N94" s="20">
        <f>IF(NOT(ISNUMBER($A94)),NA(),IF(COUNT(OFFSET(G94,1,0,Settings!$B$12,1))&lt;ROUNDUP(Settings!$B$12*Settings!$B$26,0),NA(),STDEV(OFFSET(G94,1,0,Settings!$B$12,1))*SQRT(Settings!$B$13)))</f>
        <v/>
      </c>
      <c r="O94" s="20">
        <f>IF(AND(ISNUMBER(E94),ISNUMBER(N94)),E94-N94,NA())</f>
        <v/>
      </c>
      <c r="P94" s="19">
        <f>IF(NOT(ISNUMBER($A94)),NA(),IF(OR($A94&lt;MIN(KW_TP!$A$2:$A$2501),$A94&gt;MAX(KW_TP!$A$2:$A$2501)),NA(),INDEX(KW_TP!$C$2:$C$2501,MATCH($A94,KW_TP!$A$2:$A$2501,1))))</f>
        <v/>
      </c>
      <c r="Q94" s="18">
        <f>IF(NOT(ISNUMBER($A94)),NA(),IFERROR(1*INDEX(BBG_Data!$J$2:$J$4000,MATCH($A94,BBG_Data!$I$2:$I$4000,0)),NA()))</f>
        <v/>
      </c>
      <c r="R94" s="18">
        <f>IF(NOT(ISNUMBER($A94)),NA(),IFERROR(1*INDEX(BBG_Data!$L$2:$L$4000,MATCH($A94,BBG_Data!$K$2:$K$4000,0)),NA()))</f>
        <v/>
      </c>
      <c r="S94" s="20">
        <f>IF(AND(ISNUMBER(B94),ISNUMBER(Q94),ISNUMBER(R94)),(B94-Q94-R94)*100,NA())</f>
        <v/>
      </c>
      <c r="T94" s="20">
        <f>IF(AND(ISNUMBER(B94),Settings!$B$17&gt;0),IF(ISNUMBER(INDEX($B:$B,Settings!$B$17)),(B94-INDEX($B:$B,Settings!$B$17))*100,NA()),NA())</f>
        <v/>
      </c>
      <c r="U94" s="20">
        <f>IF(AND(ISNUMBER(Q94),Settings!$B$17&gt;0),IF(ISNUMBER(INDEX($Q:$Q,Settings!$B$17)),(Q94-INDEX($Q:$Q,Settings!$B$17))*100,NA()),NA())</f>
        <v/>
      </c>
      <c r="V94" s="20">
        <f>IF(AND(ISNUMBER(R94),Settings!$B$17&gt;0),IF(ISNUMBER(INDEX($R:$R,Settings!$B$17)),(R94-INDEX($R:$R,Settings!$B$17))*100,NA()),NA())</f>
        <v/>
      </c>
      <c r="W94" s="20">
        <f>IF(AND(ISNUMBER(P94),Settings!$B$17&gt;0),IF(ISNUMBER(INDEX($P:$P,Settings!$B$17)),P94-INDEX($P:$P,Settings!$B$17),NA()),NA())</f>
        <v/>
      </c>
      <c r="X94" s="19">
        <f>IF(NOT(ISNUMBER($A94)),NA(),IF(OR($A94&lt;MIN(DKW_10Y!$A$2:$A$2918),$A94&gt;MAX(DKW_10Y!$A$2:$A$2918),Settings!$B$16&lt;MIN(DKW_10Y!$A$2:$A$2918)),NA(),(INDEX(DKW_10Y!$B$2:$B$2918,MATCH($A94,DKW_10Y!$A$2:$A$2918,1))-INDEX(DKW_10Y!$B$2:$B$2918,MATCH(Settings!$B$16,DKW_10Y!$A$2:$A$2918,1)))*100))</f>
        <v/>
      </c>
      <c r="Y94" s="19">
        <f>IF(NOT(ISNUMBER($A94)),NA(),IF(OR($A94&lt;MIN(DKW_10Y!$A$2:$A$2918),$A94&gt;MAX(DKW_10Y!$A$2:$A$2918),Settings!$B$16&lt;MIN(DKW_10Y!$A$2:$A$2918)),NA(),(INDEX(DKW_10Y!$C$2:$C$2918,MATCH($A94,DKW_10Y!$A$2:$A$2918,1))-INDEX(DKW_10Y!$C$2:$C$2918,MATCH(Settings!$B$16,DKW_10Y!$A$2:$A$2918,1)))*100))</f>
        <v/>
      </c>
      <c r="Z94" s="19">
        <f>IF(NOT(ISNUMBER($A94)),NA(),IF(OR($A94&lt;MIN(DKW_10Y!$A$2:$A$2918),$A94&gt;MAX(DKW_10Y!$A$2:$A$2918),Settings!$B$16&lt;MIN(DKW_10Y!$A$2:$A$2918)),NA(),(INDEX(DKW_10Y!$D$2:$D$2918,MATCH($A94,DKW_10Y!$A$2:$A$2918,1))-INDEX(DKW_10Y!$D$2:$D$2918,MATCH(Settings!$B$16,DKW_10Y!$A$2:$A$2918,1)))*100))</f>
        <v/>
      </c>
      <c r="AA94" s="19">
        <f>IF(NOT(ISNUMBER($A94)),NA(),IF(OR($A94&lt;MIN(DKW_10Y!$A$2:$A$2918),$A94&gt;MAX(DKW_10Y!$A$2:$A$2918),Settings!$B$16&lt;MIN(DKW_10Y!$A$2:$A$2918)),NA(),(INDEX(DKW_10Y!$E$2:$E$2918,MATCH($A94,DKW_10Y!$A$2:$A$2918,1))-INDEX(DKW_10Y!$E$2:$E$2918,MATCH(Settings!$B$16,DKW_10Y!$A$2:$A$2918,1)))*100))</f>
        <v/>
      </c>
      <c r="AB94" s="19">
        <f>IF(NOT(ISNUMBER($A94)),NA(),IF(OR($A94&lt;MIN(DKW_10Y!$A$2:$A$2918),$A94&gt;MAX(DKW_10Y!$A$2:$A$2918),Settings!$B$16&lt;MIN(DKW_10Y!$A$2:$A$2918)),NA(),(INDEX(DKW_10Y!$H$2:$H$2918,MATCH($A94,DKW_10Y!$A$2:$A$2918,1))-INDEX(DKW_10Y!$H$2:$H$2918,MATCH(Settings!$B$16,DKW_10Y!$A$2:$A$2918,1)))*100))</f>
        <v/>
      </c>
      <c r="AC94" s="18">
        <f>IF(NOT(ISNUMBER($A94)),NA(),IFERROR(1*INDEX(BBG_Data!$N$2:$N$4000,MATCH($A94,BBG_Data!$M$2:$M$4000,0)),NA()))</f>
        <v/>
      </c>
      <c r="AD94" s="18">
        <f>IF(NOT(ISNUMBER($A94)),NA(),IFERROR(1*INDEX(BBG_Data!$P$2:$P$4000,MATCH($A94,BBG_Data!$O$2:$O$4000,0)),NA()))</f>
        <v/>
      </c>
      <c r="AE94" s="18">
        <f>IF(NOT(ISNUMBER($A94)),NA(),IFERROR(1*INDEX(BBG_Data!$R$2:$R$4000,MATCH($A94,BBG_Data!$Q$2:$Q$4000,0)),NA()))</f>
        <v/>
      </c>
      <c r="AF94" s="20">
        <f>IF(AND(ISNUMBER(B94),ISNUMBER(AC94)),(B94-AC94)*100,NA())</f>
        <v/>
      </c>
      <c r="AG94" s="20">
        <f>IF(AND(ISNUMBER(AE94),ISNUMBER(AD94)),(AE94-AD94)*100,NA())</f>
        <v/>
      </c>
      <c r="AH94" s="19">
        <f>IF(NOT(ISNUMBER($A94)),NA(),IFERROR(INDEX(BBG_Data!$T$2:$T$4000,MATCH($A94,BBG_Data!$S$2:$S$4000,0))*Settings!$B$25,NA()))</f>
        <v/>
      </c>
      <c r="AI94" s="19">
        <f>IF(NOT(ISNUMBER($A94)),NA(),IFERROR(INDEX(BBG_Data!$V$2:$V$4000,MATCH($A94,BBG_Data!$U$2:$U$4000,0))*Settings!$B$25,NA()))</f>
        <v/>
      </c>
      <c r="AJ94" s="19">
        <f>IF(NOT(ISNUMBER($A94)),NA(),IFERROR(1*INDEX(BBG_Data!$X$2:$X$4000,MATCH($A94,BBG_Data!$W$2:$W$4000,0)),NA()))</f>
        <v/>
      </c>
      <c r="AK94" s="19">
        <f>IF(NOT(ISNUMBER($A94)),NA(),IFERROR(1*INDEX(BBG_Data!$Z$2:$Z$4000,MATCH($A94,BBG_Data!$Y$2:$Y$4000,0)),NA()))</f>
        <v/>
      </c>
    </row>
    <row r="95">
      <c r="A95" s="17">
        <f>IF(ISNUMBER(BBG_Data!A95),BBG_Data!A95,"")</f>
        <v/>
      </c>
      <c r="B95" s="18">
        <f>IF(AND(ISNUMBER($A95),ISNUMBER(BBG_Data!B95)),BBG_Data!B95,NA())</f>
        <v/>
      </c>
      <c r="C95" s="18">
        <f>IF(NOT(ISNUMBER($A95)),NA(),IFERROR(1*INDEX(BBG_Data!$D$2:$D$4000,MATCH($A95,BBG_Data!$C$2:$C$4000,0)),NA()))</f>
        <v/>
      </c>
      <c r="D95" s="19">
        <f>IF(NOT(ISNUMBER($A95)),NA(),IFERROR(1*INDEX(BBG_Data!$F$2:$F$4000,MATCH($A95,BBG_Data!$E$2:$E$4000,0)),NA()))</f>
        <v/>
      </c>
      <c r="E95" s="19">
        <f>IF(NOT(ISNUMBER($A95)),NA(),IFERROR(1*INDEX(BBG_Data!$H$2:$H$4000,MATCH($A95,BBG_Data!$G$2:$G$4000,0)),NA()))</f>
        <v/>
      </c>
      <c r="F95" s="20">
        <f>IF(AND(ISNUMBER(B95),ISNUMBER(B94)),IF(B95=B94,"",(B95-B94)*100),"")</f>
        <v/>
      </c>
      <c r="G95" s="20">
        <f>IF(AND(ISNUMBER(C95),ISNUMBER(C94)),IF(C95=C94,"",(C95-C94)*100),"")</f>
        <v/>
      </c>
      <c r="H95" s="20">
        <f>IF(OR(NOT(ISNUMBER($A95)),ROW()-2&lt;Settings!$B$11),NA(),IF(COUNT(OFFSET(F95,1-Settings!$B$11,0,Settings!$B$11,1))&lt;ROUNDUP(Settings!$B$11*Settings!$B$26,0),NA(),STDEV(OFFSET(F95,1-Settings!$B$11,0,Settings!$B$11,1))*SQRT(Settings!$B$13)))</f>
        <v/>
      </c>
      <c r="I95" s="20">
        <f>IF(OR(NOT(ISNUMBER($A95)),ROW()-2&lt;Settings!$B$12),NA(),IF(COUNT(OFFSET(F95,1-Settings!$B$12,0,Settings!$B$12,1))&lt;ROUNDUP(Settings!$B$12*Settings!$B$26,0),NA(),STDEV(OFFSET(F95,1-Settings!$B$12,0,Settings!$B$12,1))*SQRT(Settings!$B$13)))</f>
        <v/>
      </c>
      <c r="J95" s="20">
        <f>IF(OR(NOT(ISNUMBER($A95)),ROW()-2&lt;Settings!$B$11),NA(),IF(COUNT(OFFSET(G95,1-Settings!$B$11,0,Settings!$B$11,1))&lt;ROUNDUP(Settings!$B$11*Settings!$B$26,0),NA(),STDEV(OFFSET(G95,1-Settings!$B$11,0,Settings!$B$11,1))*SQRT(Settings!$B$13)))</f>
        <v/>
      </c>
      <c r="K95" s="20">
        <f>IF(OR(NOT(ISNUMBER($A95)),ROW()-2&lt;Settings!$B$12),NA(),IF(COUNT(OFFSET(G95,1-Settings!$B$12,0,Settings!$B$12,1))&lt;ROUNDUP(Settings!$B$12*Settings!$B$26,0),NA(),STDEV(OFFSET(G95,1-Settings!$B$12,0,Settings!$B$12,1))*SQRT(Settings!$B$13)))</f>
        <v/>
      </c>
      <c r="L95" s="20">
        <f>IF(AND(ISNUMBER(D95),ISNUMBER(H95)),D95-H95,NA())</f>
        <v/>
      </c>
      <c r="M95" s="20">
        <f>IF(AND(ISNUMBER(E95),ISNUMBER(K95)),E95-K95,NA())</f>
        <v/>
      </c>
      <c r="N95" s="20">
        <f>IF(NOT(ISNUMBER($A95)),NA(),IF(COUNT(OFFSET(G95,1,0,Settings!$B$12,1))&lt;ROUNDUP(Settings!$B$12*Settings!$B$26,0),NA(),STDEV(OFFSET(G95,1,0,Settings!$B$12,1))*SQRT(Settings!$B$13)))</f>
        <v/>
      </c>
      <c r="O95" s="20">
        <f>IF(AND(ISNUMBER(E95),ISNUMBER(N95)),E95-N95,NA())</f>
        <v/>
      </c>
      <c r="P95" s="19">
        <f>IF(NOT(ISNUMBER($A95)),NA(),IF(OR($A95&lt;MIN(KW_TP!$A$2:$A$2501),$A95&gt;MAX(KW_TP!$A$2:$A$2501)),NA(),INDEX(KW_TP!$C$2:$C$2501,MATCH($A95,KW_TP!$A$2:$A$2501,1))))</f>
        <v/>
      </c>
      <c r="Q95" s="18">
        <f>IF(NOT(ISNUMBER($A95)),NA(),IFERROR(1*INDEX(BBG_Data!$J$2:$J$4000,MATCH($A95,BBG_Data!$I$2:$I$4000,0)),NA()))</f>
        <v/>
      </c>
      <c r="R95" s="18">
        <f>IF(NOT(ISNUMBER($A95)),NA(),IFERROR(1*INDEX(BBG_Data!$L$2:$L$4000,MATCH($A95,BBG_Data!$K$2:$K$4000,0)),NA()))</f>
        <v/>
      </c>
      <c r="S95" s="20">
        <f>IF(AND(ISNUMBER(B95),ISNUMBER(Q95),ISNUMBER(R95)),(B95-Q95-R95)*100,NA())</f>
        <v/>
      </c>
      <c r="T95" s="20">
        <f>IF(AND(ISNUMBER(B95),Settings!$B$17&gt;0),IF(ISNUMBER(INDEX($B:$B,Settings!$B$17)),(B95-INDEX($B:$B,Settings!$B$17))*100,NA()),NA())</f>
        <v/>
      </c>
      <c r="U95" s="20">
        <f>IF(AND(ISNUMBER(Q95),Settings!$B$17&gt;0),IF(ISNUMBER(INDEX($Q:$Q,Settings!$B$17)),(Q95-INDEX($Q:$Q,Settings!$B$17))*100,NA()),NA())</f>
        <v/>
      </c>
      <c r="V95" s="20">
        <f>IF(AND(ISNUMBER(R95),Settings!$B$17&gt;0),IF(ISNUMBER(INDEX($R:$R,Settings!$B$17)),(R95-INDEX($R:$R,Settings!$B$17))*100,NA()),NA())</f>
        <v/>
      </c>
      <c r="W95" s="20">
        <f>IF(AND(ISNUMBER(P95),Settings!$B$17&gt;0),IF(ISNUMBER(INDEX($P:$P,Settings!$B$17)),P95-INDEX($P:$P,Settings!$B$17),NA()),NA())</f>
        <v/>
      </c>
      <c r="X95" s="19">
        <f>IF(NOT(ISNUMBER($A95)),NA(),IF(OR($A95&lt;MIN(DKW_10Y!$A$2:$A$2918),$A95&gt;MAX(DKW_10Y!$A$2:$A$2918),Settings!$B$16&lt;MIN(DKW_10Y!$A$2:$A$2918)),NA(),(INDEX(DKW_10Y!$B$2:$B$2918,MATCH($A95,DKW_10Y!$A$2:$A$2918,1))-INDEX(DKW_10Y!$B$2:$B$2918,MATCH(Settings!$B$16,DKW_10Y!$A$2:$A$2918,1)))*100))</f>
        <v/>
      </c>
      <c r="Y95" s="19">
        <f>IF(NOT(ISNUMBER($A95)),NA(),IF(OR($A95&lt;MIN(DKW_10Y!$A$2:$A$2918),$A95&gt;MAX(DKW_10Y!$A$2:$A$2918),Settings!$B$16&lt;MIN(DKW_10Y!$A$2:$A$2918)),NA(),(INDEX(DKW_10Y!$C$2:$C$2918,MATCH($A95,DKW_10Y!$A$2:$A$2918,1))-INDEX(DKW_10Y!$C$2:$C$2918,MATCH(Settings!$B$16,DKW_10Y!$A$2:$A$2918,1)))*100))</f>
        <v/>
      </c>
      <c r="Z95" s="19">
        <f>IF(NOT(ISNUMBER($A95)),NA(),IF(OR($A95&lt;MIN(DKW_10Y!$A$2:$A$2918),$A95&gt;MAX(DKW_10Y!$A$2:$A$2918),Settings!$B$16&lt;MIN(DKW_10Y!$A$2:$A$2918)),NA(),(INDEX(DKW_10Y!$D$2:$D$2918,MATCH($A95,DKW_10Y!$A$2:$A$2918,1))-INDEX(DKW_10Y!$D$2:$D$2918,MATCH(Settings!$B$16,DKW_10Y!$A$2:$A$2918,1)))*100))</f>
        <v/>
      </c>
      <c r="AA95" s="19">
        <f>IF(NOT(ISNUMBER($A95)),NA(),IF(OR($A95&lt;MIN(DKW_10Y!$A$2:$A$2918),$A95&gt;MAX(DKW_10Y!$A$2:$A$2918),Settings!$B$16&lt;MIN(DKW_10Y!$A$2:$A$2918)),NA(),(INDEX(DKW_10Y!$E$2:$E$2918,MATCH($A95,DKW_10Y!$A$2:$A$2918,1))-INDEX(DKW_10Y!$E$2:$E$2918,MATCH(Settings!$B$16,DKW_10Y!$A$2:$A$2918,1)))*100))</f>
        <v/>
      </c>
      <c r="AB95" s="19">
        <f>IF(NOT(ISNUMBER($A95)),NA(),IF(OR($A95&lt;MIN(DKW_10Y!$A$2:$A$2918),$A95&gt;MAX(DKW_10Y!$A$2:$A$2918),Settings!$B$16&lt;MIN(DKW_10Y!$A$2:$A$2918)),NA(),(INDEX(DKW_10Y!$H$2:$H$2918,MATCH($A95,DKW_10Y!$A$2:$A$2918,1))-INDEX(DKW_10Y!$H$2:$H$2918,MATCH(Settings!$B$16,DKW_10Y!$A$2:$A$2918,1)))*100))</f>
        <v/>
      </c>
      <c r="AC95" s="18">
        <f>IF(NOT(ISNUMBER($A95)),NA(),IFERROR(1*INDEX(BBG_Data!$N$2:$N$4000,MATCH($A95,BBG_Data!$M$2:$M$4000,0)),NA()))</f>
        <v/>
      </c>
      <c r="AD95" s="18">
        <f>IF(NOT(ISNUMBER($A95)),NA(),IFERROR(1*INDEX(BBG_Data!$P$2:$P$4000,MATCH($A95,BBG_Data!$O$2:$O$4000,0)),NA()))</f>
        <v/>
      </c>
      <c r="AE95" s="18">
        <f>IF(NOT(ISNUMBER($A95)),NA(),IFERROR(1*INDEX(BBG_Data!$R$2:$R$4000,MATCH($A95,BBG_Data!$Q$2:$Q$4000,0)),NA()))</f>
        <v/>
      </c>
      <c r="AF95" s="20">
        <f>IF(AND(ISNUMBER(B95),ISNUMBER(AC95)),(B95-AC95)*100,NA())</f>
        <v/>
      </c>
      <c r="AG95" s="20">
        <f>IF(AND(ISNUMBER(AE95),ISNUMBER(AD95)),(AE95-AD95)*100,NA())</f>
        <v/>
      </c>
      <c r="AH95" s="19">
        <f>IF(NOT(ISNUMBER($A95)),NA(),IFERROR(INDEX(BBG_Data!$T$2:$T$4000,MATCH($A95,BBG_Data!$S$2:$S$4000,0))*Settings!$B$25,NA()))</f>
        <v/>
      </c>
      <c r="AI95" s="19">
        <f>IF(NOT(ISNUMBER($A95)),NA(),IFERROR(INDEX(BBG_Data!$V$2:$V$4000,MATCH($A95,BBG_Data!$U$2:$U$4000,0))*Settings!$B$25,NA()))</f>
        <v/>
      </c>
      <c r="AJ95" s="19">
        <f>IF(NOT(ISNUMBER($A95)),NA(),IFERROR(1*INDEX(BBG_Data!$X$2:$X$4000,MATCH($A95,BBG_Data!$W$2:$W$4000,0)),NA()))</f>
        <v/>
      </c>
      <c r="AK95" s="19">
        <f>IF(NOT(ISNUMBER($A95)),NA(),IFERROR(1*INDEX(BBG_Data!$Z$2:$Z$4000,MATCH($A95,BBG_Data!$Y$2:$Y$4000,0)),NA()))</f>
        <v/>
      </c>
    </row>
    <row r="96">
      <c r="A96" s="17">
        <f>IF(ISNUMBER(BBG_Data!A96),BBG_Data!A96,"")</f>
        <v/>
      </c>
      <c r="B96" s="18">
        <f>IF(AND(ISNUMBER($A96),ISNUMBER(BBG_Data!B96)),BBG_Data!B96,NA())</f>
        <v/>
      </c>
      <c r="C96" s="18">
        <f>IF(NOT(ISNUMBER($A96)),NA(),IFERROR(1*INDEX(BBG_Data!$D$2:$D$4000,MATCH($A96,BBG_Data!$C$2:$C$4000,0)),NA()))</f>
        <v/>
      </c>
      <c r="D96" s="19">
        <f>IF(NOT(ISNUMBER($A96)),NA(),IFERROR(1*INDEX(BBG_Data!$F$2:$F$4000,MATCH($A96,BBG_Data!$E$2:$E$4000,0)),NA()))</f>
        <v/>
      </c>
      <c r="E96" s="19">
        <f>IF(NOT(ISNUMBER($A96)),NA(),IFERROR(1*INDEX(BBG_Data!$H$2:$H$4000,MATCH($A96,BBG_Data!$G$2:$G$4000,0)),NA()))</f>
        <v/>
      </c>
      <c r="F96" s="20">
        <f>IF(AND(ISNUMBER(B96),ISNUMBER(B95)),IF(B96=B95,"",(B96-B95)*100),"")</f>
        <v/>
      </c>
      <c r="G96" s="20">
        <f>IF(AND(ISNUMBER(C96),ISNUMBER(C95)),IF(C96=C95,"",(C96-C95)*100),"")</f>
        <v/>
      </c>
      <c r="H96" s="20">
        <f>IF(OR(NOT(ISNUMBER($A96)),ROW()-2&lt;Settings!$B$11),NA(),IF(COUNT(OFFSET(F96,1-Settings!$B$11,0,Settings!$B$11,1))&lt;ROUNDUP(Settings!$B$11*Settings!$B$26,0),NA(),STDEV(OFFSET(F96,1-Settings!$B$11,0,Settings!$B$11,1))*SQRT(Settings!$B$13)))</f>
        <v/>
      </c>
      <c r="I96" s="20">
        <f>IF(OR(NOT(ISNUMBER($A96)),ROW()-2&lt;Settings!$B$12),NA(),IF(COUNT(OFFSET(F96,1-Settings!$B$12,0,Settings!$B$12,1))&lt;ROUNDUP(Settings!$B$12*Settings!$B$26,0),NA(),STDEV(OFFSET(F96,1-Settings!$B$12,0,Settings!$B$12,1))*SQRT(Settings!$B$13)))</f>
        <v/>
      </c>
      <c r="J96" s="20">
        <f>IF(OR(NOT(ISNUMBER($A96)),ROW()-2&lt;Settings!$B$11),NA(),IF(COUNT(OFFSET(G96,1-Settings!$B$11,0,Settings!$B$11,1))&lt;ROUNDUP(Settings!$B$11*Settings!$B$26,0),NA(),STDEV(OFFSET(G96,1-Settings!$B$11,0,Settings!$B$11,1))*SQRT(Settings!$B$13)))</f>
        <v/>
      </c>
      <c r="K96" s="20">
        <f>IF(OR(NOT(ISNUMBER($A96)),ROW()-2&lt;Settings!$B$12),NA(),IF(COUNT(OFFSET(G96,1-Settings!$B$12,0,Settings!$B$12,1))&lt;ROUNDUP(Settings!$B$12*Settings!$B$26,0),NA(),STDEV(OFFSET(G96,1-Settings!$B$12,0,Settings!$B$12,1))*SQRT(Settings!$B$13)))</f>
        <v/>
      </c>
      <c r="L96" s="20">
        <f>IF(AND(ISNUMBER(D96),ISNUMBER(H96)),D96-H96,NA())</f>
        <v/>
      </c>
      <c r="M96" s="20">
        <f>IF(AND(ISNUMBER(E96),ISNUMBER(K96)),E96-K96,NA())</f>
        <v/>
      </c>
      <c r="N96" s="20">
        <f>IF(NOT(ISNUMBER($A96)),NA(),IF(COUNT(OFFSET(G96,1,0,Settings!$B$12,1))&lt;ROUNDUP(Settings!$B$12*Settings!$B$26,0),NA(),STDEV(OFFSET(G96,1,0,Settings!$B$12,1))*SQRT(Settings!$B$13)))</f>
        <v/>
      </c>
      <c r="O96" s="20">
        <f>IF(AND(ISNUMBER(E96),ISNUMBER(N96)),E96-N96,NA())</f>
        <v/>
      </c>
      <c r="P96" s="19">
        <f>IF(NOT(ISNUMBER($A96)),NA(),IF(OR($A96&lt;MIN(KW_TP!$A$2:$A$2501),$A96&gt;MAX(KW_TP!$A$2:$A$2501)),NA(),INDEX(KW_TP!$C$2:$C$2501,MATCH($A96,KW_TP!$A$2:$A$2501,1))))</f>
        <v/>
      </c>
      <c r="Q96" s="18">
        <f>IF(NOT(ISNUMBER($A96)),NA(),IFERROR(1*INDEX(BBG_Data!$J$2:$J$4000,MATCH($A96,BBG_Data!$I$2:$I$4000,0)),NA()))</f>
        <v/>
      </c>
      <c r="R96" s="18">
        <f>IF(NOT(ISNUMBER($A96)),NA(),IFERROR(1*INDEX(BBG_Data!$L$2:$L$4000,MATCH($A96,BBG_Data!$K$2:$K$4000,0)),NA()))</f>
        <v/>
      </c>
      <c r="S96" s="20">
        <f>IF(AND(ISNUMBER(B96),ISNUMBER(Q96),ISNUMBER(R96)),(B96-Q96-R96)*100,NA())</f>
        <v/>
      </c>
      <c r="T96" s="20">
        <f>IF(AND(ISNUMBER(B96),Settings!$B$17&gt;0),IF(ISNUMBER(INDEX($B:$B,Settings!$B$17)),(B96-INDEX($B:$B,Settings!$B$17))*100,NA()),NA())</f>
        <v/>
      </c>
      <c r="U96" s="20">
        <f>IF(AND(ISNUMBER(Q96),Settings!$B$17&gt;0),IF(ISNUMBER(INDEX($Q:$Q,Settings!$B$17)),(Q96-INDEX($Q:$Q,Settings!$B$17))*100,NA()),NA())</f>
        <v/>
      </c>
      <c r="V96" s="20">
        <f>IF(AND(ISNUMBER(R96),Settings!$B$17&gt;0),IF(ISNUMBER(INDEX($R:$R,Settings!$B$17)),(R96-INDEX($R:$R,Settings!$B$17))*100,NA()),NA())</f>
        <v/>
      </c>
      <c r="W96" s="20">
        <f>IF(AND(ISNUMBER(P96),Settings!$B$17&gt;0),IF(ISNUMBER(INDEX($P:$P,Settings!$B$17)),P96-INDEX($P:$P,Settings!$B$17),NA()),NA())</f>
        <v/>
      </c>
      <c r="X96" s="19">
        <f>IF(NOT(ISNUMBER($A96)),NA(),IF(OR($A96&lt;MIN(DKW_10Y!$A$2:$A$2918),$A96&gt;MAX(DKW_10Y!$A$2:$A$2918),Settings!$B$16&lt;MIN(DKW_10Y!$A$2:$A$2918)),NA(),(INDEX(DKW_10Y!$B$2:$B$2918,MATCH($A96,DKW_10Y!$A$2:$A$2918,1))-INDEX(DKW_10Y!$B$2:$B$2918,MATCH(Settings!$B$16,DKW_10Y!$A$2:$A$2918,1)))*100))</f>
        <v/>
      </c>
      <c r="Y96" s="19">
        <f>IF(NOT(ISNUMBER($A96)),NA(),IF(OR($A96&lt;MIN(DKW_10Y!$A$2:$A$2918),$A96&gt;MAX(DKW_10Y!$A$2:$A$2918),Settings!$B$16&lt;MIN(DKW_10Y!$A$2:$A$2918)),NA(),(INDEX(DKW_10Y!$C$2:$C$2918,MATCH($A96,DKW_10Y!$A$2:$A$2918,1))-INDEX(DKW_10Y!$C$2:$C$2918,MATCH(Settings!$B$16,DKW_10Y!$A$2:$A$2918,1)))*100))</f>
        <v/>
      </c>
      <c r="Z96" s="19">
        <f>IF(NOT(ISNUMBER($A96)),NA(),IF(OR($A96&lt;MIN(DKW_10Y!$A$2:$A$2918),$A96&gt;MAX(DKW_10Y!$A$2:$A$2918),Settings!$B$16&lt;MIN(DKW_10Y!$A$2:$A$2918)),NA(),(INDEX(DKW_10Y!$D$2:$D$2918,MATCH($A96,DKW_10Y!$A$2:$A$2918,1))-INDEX(DKW_10Y!$D$2:$D$2918,MATCH(Settings!$B$16,DKW_10Y!$A$2:$A$2918,1)))*100))</f>
        <v/>
      </c>
      <c r="AA96" s="19">
        <f>IF(NOT(ISNUMBER($A96)),NA(),IF(OR($A96&lt;MIN(DKW_10Y!$A$2:$A$2918),$A96&gt;MAX(DKW_10Y!$A$2:$A$2918),Settings!$B$16&lt;MIN(DKW_10Y!$A$2:$A$2918)),NA(),(INDEX(DKW_10Y!$E$2:$E$2918,MATCH($A96,DKW_10Y!$A$2:$A$2918,1))-INDEX(DKW_10Y!$E$2:$E$2918,MATCH(Settings!$B$16,DKW_10Y!$A$2:$A$2918,1)))*100))</f>
        <v/>
      </c>
      <c r="AB96" s="19">
        <f>IF(NOT(ISNUMBER($A96)),NA(),IF(OR($A96&lt;MIN(DKW_10Y!$A$2:$A$2918),$A96&gt;MAX(DKW_10Y!$A$2:$A$2918),Settings!$B$16&lt;MIN(DKW_10Y!$A$2:$A$2918)),NA(),(INDEX(DKW_10Y!$H$2:$H$2918,MATCH($A96,DKW_10Y!$A$2:$A$2918,1))-INDEX(DKW_10Y!$H$2:$H$2918,MATCH(Settings!$B$16,DKW_10Y!$A$2:$A$2918,1)))*100))</f>
        <v/>
      </c>
      <c r="AC96" s="18">
        <f>IF(NOT(ISNUMBER($A96)),NA(),IFERROR(1*INDEX(BBG_Data!$N$2:$N$4000,MATCH($A96,BBG_Data!$M$2:$M$4000,0)),NA()))</f>
        <v/>
      </c>
      <c r="AD96" s="18">
        <f>IF(NOT(ISNUMBER($A96)),NA(),IFERROR(1*INDEX(BBG_Data!$P$2:$P$4000,MATCH($A96,BBG_Data!$O$2:$O$4000,0)),NA()))</f>
        <v/>
      </c>
      <c r="AE96" s="18">
        <f>IF(NOT(ISNUMBER($A96)),NA(),IFERROR(1*INDEX(BBG_Data!$R$2:$R$4000,MATCH($A96,BBG_Data!$Q$2:$Q$4000,0)),NA()))</f>
        <v/>
      </c>
      <c r="AF96" s="20">
        <f>IF(AND(ISNUMBER(B96),ISNUMBER(AC96)),(B96-AC96)*100,NA())</f>
        <v/>
      </c>
      <c r="AG96" s="20">
        <f>IF(AND(ISNUMBER(AE96),ISNUMBER(AD96)),(AE96-AD96)*100,NA())</f>
        <v/>
      </c>
      <c r="AH96" s="19">
        <f>IF(NOT(ISNUMBER($A96)),NA(),IFERROR(INDEX(BBG_Data!$T$2:$T$4000,MATCH($A96,BBG_Data!$S$2:$S$4000,0))*Settings!$B$25,NA()))</f>
        <v/>
      </c>
      <c r="AI96" s="19">
        <f>IF(NOT(ISNUMBER($A96)),NA(),IFERROR(INDEX(BBG_Data!$V$2:$V$4000,MATCH($A96,BBG_Data!$U$2:$U$4000,0))*Settings!$B$25,NA()))</f>
        <v/>
      </c>
      <c r="AJ96" s="19">
        <f>IF(NOT(ISNUMBER($A96)),NA(),IFERROR(1*INDEX(BBG_Data!$X$2:$X$4000,MATCH($A96,BBG_Data!$W$2:$W$4000,0)),NA()))</f>
        <v/>
      </c>
      <c r="AK96" s="19">
        <f>IF(NOT(ISNUMBER($A96)),NA(),IFERROR(1*INDEX(BBG_Data!$Z$2:$Z$4000,MATCH($A96,BBG_Data!$Y$2:$Y$4000,0)),NA()))</f>
        <v/>
      </c>
    </row>
    <row r="97">
      <c r="A97" s="17">
        <f>IF(ISNUMBER(BBG_Data!A97),BBG_Data!A97,"")</f>
        <v/>
      </c>
      <c r="B97" s="18">
        <f>IF(AND(ISNUMBER($A97),ISNUMBER(BBG_Data!B97)),BBG_Data!B97,NA())</f>
        <v/>
      </c>
      <c r="C97" s="18">
        <f>IF(NOT(ISNUMBER($A97)),NA(),IFERROR(1*INDEX(BBG_Data!$D$2:$D$4000,MATCH($A97,BBG_Data!$C$2:$C$4000,0)),NA()))</f>
        <v/>
      </c>
      <c r="D97" s="19">
        <f>IF(NOT(ISNUMBER($A97)),NA(),IFERROR(1*INDEX(BBG_Data!$F$2:$F$4000,MATCH($A97,BBG_Data!$E$2:$E$4000,0)),NA()))</f>
        <v/>
      </c>
      <c r="E97" s="19">
        <f>IF(NOT(ISNUMBER($A97)),NA(),IFERROR(1*INDEX(BBG_Data!$H$2:$H$4000,MATCH($A97,BBG_Data!$G$2:$G$4000,0)),NA()))</f>
        <v/>
      </c>
      <c r="F97" s="20">
        <f>IF(AND(ISNUMBER(B97),ISNUMBER(B96)),IF(B97=B96,"",(B97-B96)*100),"")</f>
        <v/>
      </c>
      <c r="G97" s="20">
        <f>IF(AND(ISNUMBER(C97),ISNUMBER(C96)),IF(C97=C96,"",(C97-C96)*100),"")</f>
        <v/>
      </c>
      <c r="H97" s="20">
        <f>IF(OR(NOT(ISNUMBER($A97)),ROW()-2&lt;Settings!$B$11),NA(),IF(COUNT(OFFSET(F97,1-Settings!$B$11,0,Settings!$B$11,1))&lt;ROUNDUP(Settings!$B$11*Settings!$B$26,0),NA(),STDEV(OFFSET(F97,1-Settings!$B$11,0,Settings!$B$11,1))*SQRT(Settings!$B$13)))</f>
        <v/>
      </c>
      <c r="I97" s="20">
        <f>IF(OR(NOT(ISNUMBER($A97)),ROW()-2&lt;Settings!$B$12),NA(),IF(COUNT(OFFSET(F97,1-Settings!$B$12,0,Settings!$B$12,1))&lt;ROUNDUP(Settings!$B$12*Settings!$B$26,0),NA(),STDEV(OFFSET(F97,1-Settings!$B$12,0,Settings!$B$12,1))*SQRT(Settings!$B$13)))</f>
        <v/>
      </c>
      <c r="J97" s="20">
        <f>IF(OR(NOT(ISNUMBER($A97)),ROW()-2&lt;Settings!$B$11),NA(),IF(COUNT(OFFSET(G97,1-Settings!$B$11,0,Settings!$B$11,1))&lt;ROUNDUP(Settings!$B$11*Settings!$B$26,0),NA(),STDEV(OFFSET(G97,1-Settings!$B$11,0,Settings!$B$11,1))*SQRT(Settings!$B$13)))</f>
        <v/>
      </c>
      <c r="K97" s="20">
        <f>IF(OR(NOT(ISNUMBER($A97)),ROW()-2&lt;Settings!$B$12),NA(),IF(COUNT(OFFSET(G97,1-Settings!$B$12,0,Settings!$B$12,1))&lt;ROUNDUP(Settings!$B$12*Settings!$B$26,0),NA(),STDEV(OFFSET(G97,1-Settings!$B$12,0,Settings!$B$12,1))*SQRT(Settings!$B$13)))</f>
        <v/>
      </c>
      <c r="L97" s="20">
        <f>IF(AND(ISNUMBER(D97),ISNUMBER(H97)),D97-H97,NA())</f>
        <v/>
      </c>
      <c r="M97" s="20">
        <f>IF(AND(ISNUMBER(E97),ISNUMBER(K97)),E97-K97,NA())</f>
        <v/>
      </c>
      <c r="N97" s="20">
        <f>IF(NOT(ISNUMBER($A97)),NA(),IF(COUNT(OFFSET(G97,1,0,Settings!$B$12,1))&lt;ROUNDUP(Settings!$B$12*Settings!$B$26,0),NA(),STDEV(OFFSET(G97,1,0,Settings!$B$12,1))*SQRT(Settings!$B$13)))</f>
        <v/>
      </c>
      <c r="O97" s="20">
        <f>IF(AND(ISNUMBER(E97),ISNUMBER(N97)),E97-N97,NA())</f>
        <v/>
      </c>
      <c r="P97" s="19">
        <f>IF(NOT(ISNUMBER($A97)),NA(),IF(OR($A97&lt;MIN(KW_TP!$A$2:$A$2501),$A97&gt;MAX(KW_TP!$A$2:$A$2501)),NA(),INDEX(KW_TP!$C$2:$C$2501,MATCH($A97,KW_TP!$A$2:$A$2501,1))))</f>
        <v/>
      </c>
      <c r="Q97" s="18">
        <f>IF(NOT(ISNUMBER($A97)),NA(),IFERROR(1*INDEX(BBG_Data!$J$2:$J$4000,MATCH($A97,BBG_Data!$I$2:$I$4000,0)),NA()))</f>
        <v/>
      </c>
      <c r="R97" s="18">
        <f>IF(NOT(ISNUMBER($A97)),NA(),IFERROR(1*INDEX(BBG_Data!$L$2:$L$4000,MATCH($A97,BBG_Data!$K$2:$K$4000,0)),NA()))</f>
        <v/>
      </c>
      <c r="S97" s="20">
        <f>IF(AND(ISNUMBER(B97),ISNUMBER(Q97),ISNUMBER(R97)),(B97-Q97-R97)*100,NA())</f>
        <v/>
      </c>
      <c r="T97" s="20">
        <f>IF(AND(ISNUMBER(B97),Settings!$B$17&gt;0),IF(ISNUMBER(INDEX($B:$B,Settings!$B$17)),(B97-INDEX($B:$B,Settings!$B$17))*100,NA()),NA())</f>
        <v/>
      </c>
      <c r="U97" s="20">
        <f>IF(AND(ISNUMBER(Q97),Settings!$B$17&gt;0),IF(ISNUMBER(INDEX($Q:$Q,Settings!$B$17)),(Q97-INDEX($Q:$Q,Settings!$B$17))*100,NA()),NA())</f>
        <v/>
      </c>
      <c r="V97" s="20">
        <f>IF(AND(ISNUMBER(R97),Settings!$B$17&gt;0),IF(ISNUMBER(INDEX($R:$R,Settings!$B$17)),(R97-INDEX($R:$R,Settings!$B$17))*100,NA()),NA())</f>
        <v/>
      </c>
      <c r="W97" s="20">
        <f>IF(AND(ISNUMBER(P97),Settings!$B$17&gt;0),IF(ISNUMBER(INDEX($P:$P,Settings!$B$17)),P97-INDEX($P:$P,Settings!$B$17),NA()),NA())</f>
        <v/>
      </c>
      <c r="X97" s="19">
        <f>IF(NOT(ISNUMBER($A97)),NA(),IF(OR($A97&lt;MIN(DKW_10Y!$A$2:$A$2918),$A97&gt;MAX(DKW_10Y!$A$2:$A$2918),Settings!$B$16&lt;MIN(DKW_10Y!$A$2:$A$2918)),NA(),(INDEX(DKW_10Y!$B$2:$B$2918,MATCH($A97,DKW_10Y!$A$2:$A$2918,1))-INDEX(DKW_10Y!$B$2:$B$2918,MATCH(Settings!$B$16,DKW_10Y!$A$2:$A$2918,1)))*100))</f>
        <v/>
      </c>
      <c r="Y97" s="19">
        <f>IF(NOT(ISNUMBER($A97)),NA(),IF(OR($A97&lt;MIN(DKW_10Y!$A$2:$A$2918),$A97&gt;MAX(DKW_10Y!$A$2:$A$2918),Settings!$B$16&lt;MIN(DKW_10Y!$A$2:$A$2918)),NA(),(INDEX(DKW_10Y!$C$2:$C$2918,MATCH($A97,DKW_10Y!$A$2:$A$2918,1))-INDEX(DKW_10Y!$C$2:$C$2918,MATCH(Settings!$B$16,DKW_10Y!$A$2:$A$2918,1)))*100))</f>
        <v/>
      </c>
      <c r="Z97" s="19">
        <f>IF(NOT(ISNUMBER($A97)),NA(),IF(OR($A97&lt;MIN(DKW_10Y!$A$2:$A$2918),$A97&gt;MAX(DKW_10Y!$A$2:$A$2918),Settings!$B$16&lt;MIN(DKW_10Y!$A$2:$A$2918)),NA(),(INDEX(DKW_10Y!$D$2:$D$2918,MATCH($A97,DKW_10Y!$A$2:$A$2918,1))-INDEX(DKW_10Y!$D$2:$D$2918,MATCH(Settings!$B$16,DKW_10Y!$A$2:$A$2918,1)))*100))</f>
        <v/>
      </c>
      <c r="AA97" s="19">
        <f>IF(NOT(ISNUMBER($A97)),NA(),IF(OR($A97&lt;MIN(DKW_10Y!$A$2:$A$2918),$A97&gt;MAX(DKW_10Y!$A$2:$A$2918),Settings!$B$16&lt;MIN(DKW_10Y!$A$2:$A$2918)),NA(),(INDEX(DKW_10Y!$E$2:$E$2918,MATCH($A97,DKW_10Y!$A$2:$A$2918,1))-INDEX(DKW_10Y!$E$2:$E$2918,MATCH(Settings!$B$16,DKW_10Y!$A$2:$A$2918,1)))*100))</f>
        <v/>
      </c>
      <c r="AB97" s="19">
        <f>IF(NOT(ISNUMBER($A97)),NA(),IF(OR($A97&lt;MIN(DKW_10Y!$A$2:$A$2918),$A97&gt;MAX(DKW_10Y!$A$2:$A$2918),Settings!$B$16&lt;MIN(DKW_10Y!$A$2:$A$2918)),NA(),(INDEX(DKW_10Y!$H$2:$H$2918,MATCH($A97,DKW_10Y!$A$2:$A$2918,1))-INDEX(DKW_10Y!$H$2:$H$2918,MATCH(Settings!$B$16,DKW_10Y!$A$2:$A$2918,1)))*100))</f>
        <v/>
      </c>
      <c r="AC97" s="18">
        <f>IF(NOT(ISNUMBER($A97)),NA(),IFERROR(1*INDEX(BBG_Data!$N$2:$N$4000,MATCH($A97,BBG_Data!$M$2:$M$4000,0)),NA()))</f>
        <v/>
      </c>
      <c r="AD97" s="18">
        <f>IF(NOT(ISNUMBER($A97)),NA(),IFERROR(1*INDEX(BBG_Data!$P$2:$P$4000,MATCH($A97,BBG_Data!$O$2:$O$4000,0)),NA()))</f>
        <v/>
      </c>
      <c r="AE97" s="18">
        <f>IF(NOT(ISNUMBER($A97)),NA(),IFERROR(1*INDEX(BBG_Data!$R$2:$R$4000,MATCH($A97,BBG_Data!$Q$2:$Q$4000,0)),NA()))</f>
        <v/>
      </c>
      <c r="AF97" s="20">
        <f>IF(AND(ISNUMBER(B97),ISNUMBER(AC97)),(B97-AC97)*100,NA())</f>
        <v/>
      </c>
      <c r="AG97" s="20">
        <f>IF(AND(ISNUMBER(AE97),ISNUMBER(AD97)),(AE97-AD97)*100,NA())</f>
        <v/>
      </c>
      <c r="AH97" s="19">
        <f>IF(NOT(ISNUMBER($A97)),NA(),IFERROR(INDEX(BBG_Data!$T$2:$T$4000,MATCH($A97,BBG_Data!$S$2:$S$4000,0))*Settings!$B$25,NA()))</f>
        <v/>
      </c>
      <c r="AI97" s="19">
        <f>IF(NOT(ISNUMBER($A97)),NA(),IFERROR(INDEX(BBG_Data!$V$2:$V$4000,MATCH($A97,BBG_Data!$U$2:$U$4000,0))*Settings!$B$25,NA()))</f>
        <v/>
      </c>
      <c r="AJ97" s="19">
        <f>IF(NOT(ISNUMBER($A97)),NA(),IFERROR(1*INDEX(BBG_Data!$X$2:$X$4000,MATCH($A97,BBG_Data!$W$2:$W$4000,0)),NA()))</f>
        <v/>
      </c>
      <c r="AK97" s="19">
        <f>IF(NOT(ISNUMBER($A97)),NA(),IFERROR(1*INDEX(BBG_Data!$Z$2:$Z$4000,MATCH($A97,BBG_Data!$Y$2:$Y$4000,0)),NA()))</f>
        <v/>
      </c>
    </row>
    <row r="98">
      <c r="A98" s="17">
        <f>IF(ISNUMBER(BBG_Data!A98),BBG_Data!A98,"")</f>
        <v/>
      </c>
      <c r="B98" s="18">
        <f>IF(AND(ISNUMBER($A98),ISNUMBER(BBG_Data!B98)),BBG_Data!B98,NA())</f>
        <v/>
      </c>
      <c r="C98" s="18">
        <f>IF(NOT(ISNUMBER($A98)),NA(),IFERROR(1*INDEX(BBG_Data!$D$2:$D$4000,MATCH($A98,BBG_Data!$C$2:$C$4000,0)),NA()))</f>
        <v/>
      </c>
      <c r="D98" s="19">
        <f>IF(NOT(ISNUMBER($A98)),NA(),IFERROR(1*INDEX(BBG_Data!$F$2:$F$4000,MATCH($A98,BBG_Data!$E$2:$E$4000,0)),NA()))</f>
        <v/>
      </c>
      <c r="E98" s="19">
        <f>IF(NOT(ISNUMBER($A98)),NA(),IFERROR(1*INDEX(BBG_Data!$H$2:$H$4000,MATCH($A98,BBG_Data!$G$2:$G$4000,0)),NA()))</f>
        <v/>
      </c>
      <c r="F98" s="20">
        <f>IF(AND(ISNUMBER(B98),ISNUMBER(B97)),IF(B98=B97,"",(B98-B97)*100),"")</f>
        <v/>
      </c>
      <c r="G98" s="20">
        <f>IF(AND(ISNUMBER(C98),ISNUMBER(C97)),IF(C98=C97,"",(C98-C97)*100),"")</f>
        <v/>
      </c>
      <c r="H98" s="20">
        <f>IF(OR(NOT(ISNUMBER($A98)),ROW()-2&lt;Settings!$B$11),NA(),IF(COUNT(OFFSET(F98,1-Settings!$B$11,0,Settings!$B$11,1))&lt;ROUNDUP(Settings!$B$11*Settings!$B$26,0),NA(),STDEV(OFFSET(F98,1-Settings!$B$11,0,Settings!$B$11,1))*SQRT(Settings!$B$13)))</f>
        <v/>
      </c>
      <c r="I98" s="20">
        <f>IF(OR(NOT(ISNUMBER($A98)),ROW()-2&lt;Settings!$B$12),NA(),IF(COUNT(OFFSET(F98,1-Settings!$B$12,0,Settings!$B$12,1))&lt;ROUNDUP(Settings!$B$12*Settings!$B$26,0),NA(),STDEV(OFFSET(F98,1-Settings!$B$12,0,Settings!$B$12,1))*SQRT(Settings!$B$13)))</f>
        <v/>
      </c>
      <c r="J98" s="20">
        <f>IF(OR(NOT(ISNUMBER($A98)),ROW()-2&lt;Settings!$B$11),NA(),IF(COUNT(OFFSET(G98,1-Settings!$B$11,0,Settings!$B$11,1))&lt;ROUNDUP(Settings!$B$11*Settings!$B$26,0),NA(),STDEV(OFFSET(G98,1-Settings!$B$11,0,Settings!$B$11,1))*SQRT(Settings!$B$13)))</f>
        <v/>
      </c>
      <c r="K98" s="20">
        <f>IF(OR(NOT(ISNUMBER($A98)),ROW()-2&lt;Settings!$B$12),NA(),IF(COUNT(OFFSET(G98,1-Settings!$B$12,0,Settings!$B$12,1))&lt;ROUNDUP(Settings!$B$12*Settings!$B$26,0),NA(),STDEV(OFFSET(G98,1-Settings!$B$12,0,Settings!$B$12,1))*SQRT(Settings!$B$13)))</f>
        <v/>
      </c>
      <c r="L98" s="20">
        <f>IF(AND(ISNUMBER(D98),ISNUMBER(H98)),D98-H98,NA())</f>
        <v/>
      </c>
      <c r="M98" s="20">
        <f>IF(AND(ISNUMBER(E98),ISNUMBER(K98)),E98-K98,NA())</f>
        <v/>
      </c>
      <c r="N98" s="20">
        <f>IF(NOT(ISNUMBER($A98)),NA(),IF(COUNT(OFFSET(G98,1,0,Settings!$B$12,1))&lt;ROUNDUP(Settings!$B$12*Settings!$B$26,0),NA(),STDEV(OFFSET(G98,1,0,Settings!$B$12,1))*SQRT(Settings!$B$13)))</f>
        <v/>
      </c>
      <c r="O98" s="20">
        <f>IF(AND(ISNUMBER(E98),ISNUMBER(N98)),E98-N98,NA())</f>
        <v/>
      </c>
      <c r="P98" s="19">
        <f>IF(NOT(ISNUMBER($A98)),NA(),IF(OR($A98&lt;MIN(KW_TP!$A$2:$A$2501),$A98&gt;MAX(KW_TP!$A$2:$A$2501)),NA(),INDEX(KW_TP!$C$2:$C$2501,MATCH($A98,KW_TP!$A$2:$A$2501,1))))</f>
        <v/>
      </c>
      <c r="Q98" s="18">
        <f>IF(NOT(ISNUMBER($A98)),NA(),IFERROR(1*INDEX(BBG_Data!$J$2:$J$4000,MATCH($A98,BBG_Data!$I$2:$I$4000,0)),NA()))</f>
        <v/>
      </c>
      <c r="R98" s="18">
        <f>IF(NOT(ISNUMBER($A98)),NA(),IFERROR(1*INDEX(BBG_Data!$L$2:$L$4000,MATCH($A98,BBG_Data!$K$2:$K$4000,0)),NA()))</f>
        <v/>
      </c>
      <c r="S98" s="20">
        <f>IF(AND(ISNUMBER(B98),ISNUMBER(Q98),ISNUMBER(R98)),(B98-Q98-R98)*100,NA())</f>
        <v/>
      </c>
      <c r="T98" s="20">
        <f>IF(AND(ISNUMBER(B98),Settings!$B$17&gt;0),IF(ISNUMBER(INDEX($B:$B,Settings!$B$17)),(B98-INDEX($B:$B,Settings!$B$17))*100,NA()),NA())</f>
        <v/>
      </c>
      <c r="U98" s="20">
        <f>IF(AND(ISNUMBER(Q98),Settings!$B$17&gt;0),IF(ISNUMBER(INDEX($Q:$Q,Settings!$B$17)),(Q98-INDEX($Q:$Q,Settings!$B$17))*100,NA()),NA())</f>
        <v/>
      </c>
      <c r="V98" s="20">
        <f>IF(AND(ISNUMBER(R98),Settings!$B$17&gt;0),IF(ISNUMBER(INDEX($R:$R,Settings!$B$17)),(R98-INDEX($R:$R,Settings!$B$17))*100,NA()),NA())</f>
        <v/>
      </c>
      <c r="W98" s="20">
        <f>IF(AND(ISNUMBER(P98),Settings!$B$17&gt;0),IF(ISNUMBER(INDEX($P:$P,Settings!$B$17)),P98-INDEX($P:$P,Settings!$B$17),NA()),NA())</f>
        <v/>
      </c>
      <c r="X98" s="19">
        <f>IF(NOT(ISNUMBER($A98)),NA(),IF(OR($A98&lt;MIN(DKW_10Y!$A$2:$A$2918),$A98&gt;MAX(DKW_10Y!$A$2:$A$2918),Settings!$B$16&lt;MIN(DKW_10Y!$A$2:$A$2918)),NA(),(INDEX(DKW_10Y!$B$2:$B$2918,MATCH($A98,DKW_10Y!$A$2:$A$2918,1))-INDEX(DKW_10Y!$B$2:$B$2918,MATCH(Settings!$B$16,DKW_10Y!$A$2:$A$2918,1)))*100))</f>
        <v/>
      </c>
      <c r="Y98" s="19">
        <f>IF(NOT(ISNUMBER($A98)),NA(),IF(OR($A98&lt;MIN(DKW_10Y!$A$2:$A$2918),$A98&gt;MAX(DKW_10Y!$A$2:$A$2918),Settings!$B$16&lt;MIN(DKW_10Y!$A$2:$A$2918)),NA(),(INDEX(DKW_10Y!$C$2:$C$2918,MATCH($A98,DKW_10Y!$A$2:$A$2918,1))-INDEX(DKW_10Y!$C$2:$C$2918,MATCH(Settings!$B$16,DKW_10Y!$A$2:$A$2918,1)))*100))</f>
        <v/>
      </c>
      <c r="Z98" s="19">
        <f>IF(NOT(ISNUMBER($A98)),NA(),IF(OR($A98&lt;MIN(DKW_10Y!$A$2:$A$2918),$A98&gt;MAX(DKW_10Y!$A$2:$A$2918),Settings!$B$16&lt;MIN(DKW_10Y!$A$2:$A$2918)),NA(),(INDEX(DKW_10Y!$D$2:$D$2918,MATCH($A98,DKW_10Y!$A$2:$A$2918,1))-INDEX(DKW_10Y!$D$2:$D$2918,MATCH(Settings!$B$16,DKW_10Y!$A$2:$A$2918,1)))*100))</f>
        <v/>
      </c>
      <c r="AA98" s="19">
        <f>IF(NOT(ISNUMBER($A98)),NA(),IF(OR($A98&lt;MIN(DKW_10Y!$A$2:$A$2918),$A98&gt;MAX(DKW_10Y!$A$2:$A$2918),Settings!$B$16&lt;MIN(DKW_10Y!$A$2:$A$2918)),NA(),(INDEX(DKW_10Y!$E$2:$E$2918,MATCH($A98,DKW_10Y!$A$2:$A$2918,1))-INDEX(DKW_10Y!$E$2:$E$2918,MATCH(Settings!$B$16,DKW_10Y!$A$2:$A$2918,1)))*100))</f>
        <v/>
      </c>
      <c r="AB98" s="19">
        <f>IF(NOT(ISNUMBER($A98)),NA(),IF(OR($A98&lt;MIN(DKW_10Y!$A$2:$A$2918),$A98&gt;MAX(DKW_10Y!$A$2:$A$2918),Settings!$B$16&lt;MIN(DKW_10Y!$A$2:$A$2918)),NA(),(INDEX(DKW_10Y!$H$2:$H$2918,MATCH($A98,DKW_10Y!$A$2:$A$2918,1))-INDEX(DKW_10Y!$H$2:$H$2918,MATCH(Settings!$B$16,DKW_10Y!$A$2:$A$2918,1)))*100))</f>
        <v/>
      </c>
      <c r="AC98" s="18">
        <f>IF(NOT(ISNUMBER($A98)),NA(),IFERROR(1*INDEX(BBG_Data!$N$2:$N$4000,MATCH($A98,BBG_Data!$M$2:$M$4000,0)),NA()))</f>
        <v/>
      </c>
      <c r="AD98" s="18">
        <f>IF(NOT(ISNUMBER($A98)),NA(),IFERROR(1*INDEX(BBG_Data!$P$2:$P$4000,MATCH($A98,BBG_Data!$O$2:$O$4000,0)),NA()))</f>
        <v/>
      </c>
      <c r="AE98" s="18">
        <f>IF(NOT(ISNUMBER($A98)),NA(),IFERROR(1*INDEX(BBG_Data!$R$2:$R$4000,MATCH($A98,BBG_Data!$Q$2:$Q$4000,0)),NA()))</f>
        <v/>
      </c>
      <c r="AF98" s="20">
        <f>IF(AND(ISNUMBER(B98),ISNUMBER(AC98)),(B98-AC98)*100,NA())</f>
        <v/>
      </c>
      <c r="AG98" s="20">
        <f>IF(AND(ISNUMBER(AE98),ISNUMBER(AD98)),(AE98-AD98)*100,NA())</f>
        <v/>
      </c>
      <c r="AH98" s="19">
        <f>IF(NOT(ISNUMBER($A98)),NA(),IFERROR(INDEX(BBG_Data!$T$2:$T$4000,MATCH($A98,BBG_Data!$S$2:$S$4000,0))*Settings!$B$25,NA()))</f>
        <v/>
      </c>
      <c r="AI98" s="19">
        <f>IF(NOT(ISNUMBER($A98)),NA(),IFERROR(INDEX(BBG_Data!$V$2:$V$4000,MATCH($A98,BBG_Data!$U$2:$U$4000,0))*Settings!$B$25,NA()))</f>
        <v/>
      </c>
      <c r="AJ98" s="19">
        <f>IF(NOT(ISNUMBER($A98)),NA(),IFERROR(1*INDEX(BBG_Data!$X$2:$X$4000,MATCH($A98,BBG_Data!$W$2:$W$4000,0)),NA()))</f>
        <v/>
      </c>
      <c r="AK98" s="19">
        <f>IF(NOT(ISNUMBER($A98)),NA(),IFERROR(1*INDEX(BBG_Data!$Z$2:$Z$4000,MATCH($A98,BBG_Data!$Y$2:$Y$4000,0)),NA()))</f>
        <v/>
      </c>
    </row>
    <row r="99">
      <c r="A99" s="17">
        <f>IF(ISNUMBER(BBG_Data!A99),BBG_Data!A99,"")</f>
        <v/>
      </c>
      <c r="B99" s="18">
        <f>IF(AND(ISNUMBER($A99),ISNUMBER(BBG_Data!B99)),BBG_Data!B99,NA())</f>
        <v/>
      </c>
      <c r="C99" s="18">
        <f>IF(NOT(ISNUMBER($A99)),NA(),IFERROR(1*INDEX(BBG_Data!$D$2:$D$4000,MATCH($A99,BBG_Data!$C$2:$C$4000,0)),NA()))</f>
        <v/>
      </c>
      <c r="D99" s="19">
        <f>IF(NOT(ISNUMBER($A99)),NA(),IFERROR(1*INDEX(BBG_Data!$F$2:$F$4000,MATCH($A99,BBG_Data!$E$2:$E$4000,0)),NA()))</f>
        <v/>
      </c>
      <c r="E99" s="19">
        <f>IF(NOT(ISNUMBER($A99)),NA(),IFERROR(1*INDEX(BBG_Data!$H$2:$H$4000,MATCH($A99,BBG_Data!$G$2:$G$4000,0)),NA()))</f>
        <v/>
      </c>
      <c r="F99" s="20">
        <f>IF(AND(ISNUMBER(B99),ISNUMBER(B98)),IF(B99=B98,"",(B99-B98)*100),"")</f>
        <v/>
      </c>
      <c r="G99" s="20">
        <f>IF(AND(ISNUMBER(C99),ISNUMBER(C98)),IF(C99=C98,"",(C99-C98)*100),"")</f>
        <v/>
      </c>
      <c r="H99" s="20">
        <f>IF(OR(NOT(ISNUMBER($A99)),ROW()-2&lt;Settings!$B$11),NA(),IF(COUNT(OFFSET(F99,1-Settings!$B$11,0,Settings!$B$11,1))&lt;ROUNDUP(Settings!$B$11*Settings!$B$26,0),NA(),STDEV(OFFSET(F99,1-Settings!$B$11,0,Settings!$B$11,1))*SQRT(Settings!$B$13)))</f>
        <v/>
      </c>
      <c r="I99" s="20">
        <f>IF(OR(NOT(ISNUMBER($A99)),ROW()-2&lt;Settings!$B$12),NA(),IF(COUNT(OFFSET(F99,1-Settings!$B$12,0,Settings!$B$12,1))&lt;ROUNDUP(Settings!$B$12*Settings!$B$26,0),NA(),STDEV(OFFSET(F99,1-Settings!$B$12,0,Settings!$B$12,1))*SQRT(Settings!$B$13)))</f>
        <v/>
      </c>
      <c r="J99" s="20">
        <f>IF(OR(NOT(ISNUMBER($A99)),ROW()-2&lt;Settings!$B$11),NA(),IF(COUNT(OFFSET(G99,1-Settings!$B$11,0,Settings!$B$11,1))&lt;ROUNDUP(Settings!$B$11*Settings!$B$26,0),NA(),STDEV(OFFSET(G99,1-Settings!$B$11,0,Settings!$B$11,1))*SQRT(Settings!$B$13)))</f>
        <v/>
      </c>
      <c r="K99" s="20">
        <f>IF(OR(NOT(ISNUMBER($A99)),ROW()-2&lt;Settings!$B$12),NA(),IF(COUNT(OFFSET(G99,1-Settings!$B$12,0,Settings!$B$12,1))&lt;ROUNDUP(Settings!$B$12*Settings!$B$26,0),NA(),STDEV(OFFSET(G99,1-Settings!$B$12,0,Settings!$B$12,1))*SQRT(Settings!$B$13)))</f>
        <v/>
      </c>
      <c r="L99" s="20">
        <f>IF(AND(ISNUMBER(D99),ISNUMBER(H99)),D99-H99,NA())</f>
        <v/>
      </c>
      <c r="M99" s="20">
        <f>IF(AND(ISNUMBER(E99),ISNUMBER(K99)),E99-K99,NA())</f>
        <v/>
      </c>
      <c r="N99" s="20">
        <f>IF(NOT(ISNUMBER($A99)),NA(),IF(COUNT(OFFSET(G99,1,0,Settings!$B$12,1))&lt;ROUNDUP(Settings!$B$12*Settings!$B$26,0),NA(),STDEV(OFFSET(G99,1,0,Settings!$B$12,1))*SQRT(Settings!$B$13)))</f>
        <v/>
      </c>
      <c r="O99" s="20">
        <f>IF(AND(ISNUMBER(E99),ISNUMBER(N99)),E99-N99,NA())</f>
        <v/>
      </c>
      <c r="P99" s="19">
        <f>IF(NOT(ISNUMBER($A99)),NA(),IF(OR($A99&lt;MIN(KW_TP!$A$2:$A$2501),$A99&gt;MAX(KW_TP!$A$2:$A$2501)),NA(),INDEX(KW_TP!$C$2:$C$2501,MATCH($A99,KW_TP!$A$2:$A$2501,1))))</f>
        <v/>
      </c>
      <c r="Q99" s="18">
        <f>IF(NOT(ISNUMBER($A99)),NA(),IFERROR(1*INDEX(BBG_Data!$J$2:$J$4000,MATCH($A99,BBG_Data!$I$2:$I$4000,0)),NA()))</f>
        <v/>
      </c>
      <c r="R99" s="18">
        <f>IF(NOT(ISNUMBER($A99)),NA(),IFERROR(1*INDEX(BBG_Data!$L$2:$L$4000,MATCH($A99,BBG_Data!$K$2:$K$4000,0)),NA()))</f>
        <v/>
      </c>
      <c r="S99" s="20">
        <f>IF(AND(ISNUMBER(B99),ISNUMBER(Q99),ISNUMBER(R99)),(B99-Q99-R99)*100,NA())</f>
        <v/>
      </c>
      <c r="T99" s="20">
        <f>IF(AND(ISNUMBER(B99),Settings!$B$17&gt;0),IF(ISNUMBER(INDEX($B:$B,Settings!$B$17)),(B99-INDEX($B:$B,Settings!$B$17))*100,NA()),NA())</f>
        <v/>
      </c>
      <c r="U99" s="20">
        <f>IF(AND(ISNUMBER(Q99),Settings!$B$17&gt;0),IF(ISNUMBER(INDEX($Q:$Q,Settings!$B$17)),(Q99-INDEX($Q:$Q,Settings!$B$17))*100,NA()),NA())</f>
        <v/>
      </c>
      <c r="V99" s="20">
        <f>IF(AND(ISNUMBER(R99),Settings!$B$17&gt;0),IF(ISNUMBER(INDEX($R:$R,Settings!$B$17)),(R99-INDEX($R:$R,Settings!$B$17))*100,NA()),NA())</f>
        <v/>
      </c>
      <c r="W99" s="20">
        <f>IF(AND(ISNUMBER(P99),Settings!$B$17&gt;0),IF(ISNUMBER(INDEX($P:$P,Settings!$B$17)),P99-INDEX($P:$P,Settings!$B$17),NA()),NA())</f>
        <v/>
      </c>
      <c r="X99" s="19">
        <f>IF(NOT(ISNUMBER($A99)),NA(),IF(OR($A99&lt;MIN(DKW_10Y!$A$2:$A$2918),$A99&gt;MAX(DKW_10Y!$A$2:$A$2918),Settings!$B$16&lt;MIN(DKW_10Y!$A$2:$A$2918)),NA(),(INDEX(DKW_10Y!$B$2:$B$2918,MATCH($A99,DKW_10Y!$A$2:$A$2918,1))-INDEX(DKW_10Y!$B$2:$B$2918,MATCH(Settings!$B$16,DKW_10Y!$A$2:$A$2918,1)))*100))</f>
        <v/>
      </c>
      <c r="Y99" s="19">
        <f>IF(NOT(ISNUMBER($A99)),NA(),IF(OR($A99&lt;MIN(DKW_10Y!$A$2:$A$2918),$A99&gt;MAX(DKW_10Y!$A$2:$A$2918),Settings!$B$16&lt;MIN(DKW_10Y!$A$2:$A$2918)),NA(),(INDEX(DKW_10Y!$C$2:$C$2918,MATCH($A99,DKW_10Y!$A$2:$A$2918,1))-INDEX(DKW_10Y!$C$2:$C$2918,MATCH(Settings!$B$16,DKW_10Y!$A$2:$A$2918,1)))*100))</f>
        <v/>
      </c>
      <c r="Z99" s="19">
        <f>IF(NOT(ISNUMBER($A99)),NA(),IF(OR($A99&lt;MIN(DKW_10Y!$A$2:$A$2918),$A99&gt;MAX(DKW_10Y!$A$2:$A$2918),Settings!$B$16&lt;MIN(DKW_10Y!$A$2:$A$2918)),NA(),(INDEX(DKW_10Y!$D$2:$D$2918,MATCH($A99,DKW_10Y!$A$2:$A$2918,1))-INDEX(DKW_10Y!$D$2:$D$2918,MATCH(Settings!$B$16,DKW_10Y!$A$2:$A$2918,1)))*100))</f>
        <v/>
      </c>
      <c r="AA99" s="19">
        <f>IF(NOT(ISNUMBER($A99)),NA(),IF(OR($A99&lt;MIN(DKW_10Y!$A$2:$A$2918),$A99&gt;MAX(DKW_10Y!$A$2:$A$2918),Settings!$B$16&lt;MIN(DKW_10Y!$A$2:$A$2918)),NA(),(INDEX(DKW_10Y!$E$2:$E$2918,MATCH($A99,DKW_10Y!$A$2:$A$2918,1))-INDEX(DKW_10Y!$E$2:$E$2918,MATCH(Settings!$B$16,DKW_10Y!$A$2:$A$2918,1)))*100))</f>
        <v/>
      </c>
      <c r="AB99" s="19">
        <f>IF(NOT(ISNUMBER($A99)),NA(),IF(OR($A99&lt;MIN(DKW_10Y!$A$2:$A$2918),$A99&gt;MAX(DKW_10Y!$A$2:$A$2918),Settings!$B$16&lt;MIN(DKW_10Y!$A$2:$A$2918)),NA(),(INDEX(DKW_10Y!$H$2:$H$2918,MATCH($A99,DKW_10Y!$A$2:$A$2918,1))-INDEX(DKW_10Y!$H$2:$H$2918,MATCH(Settings!$B$16,DKW_10Y!$A$2:$A$2918,1)))*100))</f>
        <v/>
      </c>
      <c r="AC99" s="18">
        <f>IF(NOT(ISNUMBER($A99)),NA(),IFERROR(1*INDEX(BBG_Data!$N$2:$N$4000,MATCH($A99,BBG_Data!$M$2:$M$4000,0)),NA()))</f>
        <v/>
      </c>
      <c r="AD99" s="18">
        <f>IF(NOT(ISNUMBER($A99)),NA(),IFERROR(1*INDEX(BBG_Data!$P$2:$P$4000,MATCH($A99,BBG_Data!$O$2:$O$4000,0)),NA()))</f>
        <v/>
      </c>
      <c r="AE99" s="18">
        <f>IF(NOT(ISNUMBER($A99)),NA(),IFERROR(1*INDEX(BBG_Data!$R$2:$R$4000,MATCH($A99,BBG_Data!$Q$2:$Q$4000,0)),NA()))</f>
        <v/>
      </c>
      <c r="AF99" s="20">
        <f>IF(AND(ISNUMBER(B99),ISNUMBER(AC99)),(B99-AC99)*100,NA())</f>
        <v/>
      </c>
      <c r="AG99" s="20">
        <f>IF(AND(ISNUMBER(AE99),ISNUMBER(AD99)),(AE99-AD99)*100,NA())</f>
        <v/>
      </c>
      <c r="AH99" s="19">
        <f>IF(NOT(ISNUMBER($A99)),NA(),IFERROR(INDEX(BBG_Data!$T$2:$T$4000,MATCH($A99,BBG_Data!$S$2:$S$4000,0))*Settings!$B$25,NA()))</f>
        <v/>
      </c>
      <c r="AI99" s="19">
        <f>IF(NOT(ISNUMBER($A99)),NA(),IFERROR(INDEX(BBG_Data!$V$2:$V$4000,MATCH($A99,BBG_Data!$U$2:$U$4000,0))*Settings!$B$25,NA()))</f>
        <v/>
      </c>
      <c r="AJ99" s="19">
        <f>IF(NOT(ISNUMBER($A99)),NA(),IFERROR(1*INDEX(BBG_Data!$X$2:$X$4000,MATCH($A99,BBG_Data!$W$2:$W$4000,0)),NA()))</f>
        <v/>
      </c>
      <c r="AK99" s="19">
        <f>IF(NOT(ISNUMBER($A99)),NA(),IFERROR(1*INDEX(BBG_Data!$Z$2:$Z$4000,MATCH($A99,BBG_Data!$Y$2:$Y$4000,0)),NA()))</f>
        <v/>
      </c>
    </row>
    <row r="100">
      <c r="A100" s="17">
        <f>IF(ISNUMBER(BBG_Data!A100),BBG_Data!A100,"")</f>
        <v/>
      </c>
      <c r="B100" s="18">
        <f>IF(AND(ISNUMBER($A100),ISNUMBER(BBG_Data!B100)),BBG_Data!B100,NA())</f>
        <v/>
      </c>
      <c r="C100" s="18">
        <f>IF(NOT(ISNUMBER($A100)),NA(),IFERROR(1*INDEX(BBG_Data!$D$2:$D$4000,MATCH($A100,BBG_Data!$C$2:$C$4000,0)),NA()))</f>
        <v/>
      </c>
      <c r="D100" s="19">
        <f>IF(NOT(ISNUMBER($A100)),NA(),IFERROR(1*INDEX(BBG_Data!$F$2:$F$4000,MATCH($A100,BBG_Data!$E$2:$E$4000,0)),NA()))</f>
        <v/>
      </c>
      <c r="E100" s="19">
        <f>IF(NOT(ISNUMBER($A100)),NA(),IFERROR(1*INDEX(BBG_Data!$H$2:$H$4000,MATCH($A100,BBG_Data!$G$2:$G$4000,0)),NA()))</f>
        <v/>
      </c>
      <c r="F100" s="20">
        <f>IF(AND(ISNUMBER(B100),ISNUMBER(B99)),IF(B100=B99,"",(B100-B99)*100),"")</f>
        <v/>
      </c>
      <c r="G100" s="20">
        <f>IF(AND(ISNUMBER(C100),ISNUMBER(C99)),IF(C100=C99,"",(C100-C99)*100),"")</f>
        <v/>
      </c>
      <c r="H100" s="20">
        <f>IF(OR(NOT(ISNUMBER($A100)),ROW()-2&lt;Settings!$B$11),NA(),IF(COUNT(OFFSET(F100,1-Settings!$B$11,0,Settings!$B$11,1))&lt;ROUNDUP(Settings!$B$11*Settings!$B$26,0),NA(),STDEV(OFFSET(F100,1-Settings!$B$11,0,Settings!$B$11,1))*SQRT(Settings!$B$13)))</f>
        <v/>
      </c>
      <c r="I100" s="20">
        <f>IF(OR(NOT(ISNUMBER($A100)),ROW()-2&lt;Settings!$B$12),NA(),IF(COUNT(OFFSET(F100,1-Settings!$B$12,0,Settings!$B$12,1))&lt;ROUNDUP(Settings!$B$12*Settings!$B$26,0),NA(),STDEV(OFFSET(F100,1-Settings!$B$12,0,Settings!$B$12,1))*SQRT(Settings!$B$13)))</f>
        <v/>
      </c>
      <c r="J100" s="20">
        <f>IF(OR(NOT(ISNUMBER($A100)),ROW()-2&lt;Settings!$B$11),NA(),IF(COUNT(OFFSET(G100,1-Settings!$B$11,0,Settings!$B$11,1))&lt;ROUNDUP(Settings!$B$11*Settings!$B$26,0),NA(),STDEV(OFFSET(G100,1-Settings!$B$11,0,Settings!$B$11,1))*SQRT(Settings!$B$13)))</f>
        <v/>
      </c>
      <c r="K100" s="20">
        <f>IF(OR(NOT(ISNUMBER($A100)),ROW()-2&lt;Settings!$B$12),NA(),IF(COUNT(OFFSET(G100,1-Settings!$B$12,0,Settings!$B$12,1))&lt;ROUNDUP(Settings!$B$12*Settings!$B$26,0),NA(),STDEV(OFFSET(G100,1-Settings!$B$12,0,Settings!$B$12,1))*SQRT(Settings!$B$13)))</f>
        <v/>
      </c>
      <c r="L100" s="20">
        <f>IF(AND(ISNUMBER(D100),ISNUMBER(H100)),D100-H100,NA())</f>
        <v/>
      </c>
      <c r="M100" s="20">
        <f>IF(AND(ISNUMBER(E100),ISNUMBER(K100)),E100-K100,NA())</f>
        <v/>
      </c>
      <c r="N100" s="20">
        <f>IF(NOT(ISNUMBER($A100)),NA(),IF(COUNT(OFFSET(G100,1,0,Settings!$B$12,1))&lt;ROUNDUP(Settings!$B$12*Settings!$B$26,0),NA(),STDEV(OFFSET(G100,1,0,Settings!$B$12,1))*SQRT(Settings!$B$13)))</f>
        <v/>
      </c>
      <c r="O100" s="20">
        <f>IF(AND(ISNUMBER(E100),ISNUMBER(N100)),E100-N100,NA())</f>
        <v/>
      </c>
      <c r="P100" s="19">
        <f>IF(NOT(ISNUMBER($A100)),NA(),IF(OR($A100&lt;MIN(KW_TP!$A$2:$A$2501),$A100&gt;MAX(KW_TP!$A$2:$A$2501)),NA(),INDEX(KW_TP!$C$2:$C$2501,MATCH($A100,KW_TP!$A$2:$A$2501,1))))</f>
        <v/>
      </c>
      <c r="Q100" s="18">
        <f>IF(NOT(ISNUMBER($A100)),NA(),IFERROR(1*INDEX(BBG_Data!$J$2:$J$4000,MATCH($A100,BBG_Data!$I$2:$I$4000,0)),NA()))</f>
        <v/>
      </c>
      <c r="R100" s="18">
        <f>IF(NOT(ISNUMBER($A100)),NA(),IFERROR(1*INDEX(BBG_Data!$L$2:$L$4000,MATCH($A100,BBG_Data!$K$2:$K$4000,0)),NA()))</f>
        <v/>
      </c>
      <c r="S100" s="20">
        <f>IF(AND(ISNUMBER(B100),ISNUMBER(Q100),ISNUMBER(R100)),(B100-Q100-R100)*100,NA())</f>
        <v/>
      </c>
      <c r="T100" s="20">
        <f>IF(AND(ISNUMBER(B100),Settings!$B$17&gt;0),IF(ISNUMBER(INDEX($B:$B,Settings!$B$17)),(B100-INDEX($B:$B,Settings!$B$17))*100,NA()),NA())</f>
        <v/>
      </c>
      <c r="U100" s="20">
        <f>IF(AND(ISNUMBER(Q100),Settings!$B$17&gt;0),IF(ISNUMBER(INDEX($Q:$Q,Settings!$B$17)),(Q100-INDEX($Q:$Q,Settings!$B$17))*100,NA()),NA())</f>
        <v/>
      </c>
      <c r="V100" s="20">
        <f>IF(AND(ISNUMBER(R100),Settings!$B$17&gt;0),IF(ISNUMBER(INDEX($R:$R,Settings!$B$17)),(R100-INDEX($R:$R,Settings!$B$17))*100,NA()),NA())</f>
        <v/>
      </c>
      <c r="W100" s="20">
        <f>IF(AND(ISNUMBER(P100),Settings!$B$17&gt;0),IF(ISNUMBER(INDEX($P:$P,Settings!$B$17)),P100-INDEX($P:$P,Settings!$B$17),NA()),NA())</f>
        <v/>
      </c>
      <c r="X100" s="19">
        <f>IF(NOT(ISNUMBER($A100)),NA(),IF(OR($A100&lt;MIN(DKW_10Y!$A$2:$A$2918),$A100&gt;MAX(DKW_10Y!$A$2:$A$2918),Settings!$B$16&lt;MIN(DKW_10Y!$A$2:$A$2918)),NA(),(INDEX(DKW_10Y!$B$2:$B$2918,MATCH($A100,DKW_10Y!$A$2:$A$2918,1))-INDEX(DKW_10Y!$B$2:$B$2918,MATCH(Settings!$B$16,DKW_10Y!$A$2:$A$2918,1)))*100))</f>
        <v/>
      </c>
      <c r="Y100" s="19">
        <f>IF(NOT(ISNUMBER($A100)),NA(),IF(OR($A100&lt;MIN(DKW_10Y!$A$2:$A$2918),$A100&gt;MAX(DKW_10Y!$A$2:$A$2918),Settings!$B$16&lt;MIN(DKW_10Y!$A$2:$A$2918)),NA(),(INDEX(DKW_10Y!$C$2:$C$2918,MATCH($A100,DKW_10Y!$A$2:$A$2918,1))-INDEX(DKW_10Y!$C$2:$C$2918,MATCH(Settings!$B$16,DKW_10Y!$A$2:$A$2918,1)))*100))</f>
        <v/>
      </c>
      <c r="Z100" s="19">
        <f>IF(NOT(ISNUMBER($A100)),NA(),IF(OR($A100&lt;MIN(DKW_10Y!$A$2:$A$2918),$A100&gt;MAX(DKW_10Y!$A$2:$A$2918),Settings!$B$16&lt;MIN(DKW_10Y!$A$2:$A$2918)),NA(),(INDEX(DKW_10Y!$D$2:$D$2918,MATCH($A100,DKW_10Y!$A$2:$A$2918,1))-INDEX(DKW_10Y!$D$2:$D$2918,MATCH(Settings!$B$16,DKW_10Y!$A$2:$A$2918,1)))*100))</f>
        <v/>
      </c>
      <c r="AA100" s="19">
        <f>IF(NOT(ISNUMBER($A100)),NA(),IF(OR($A100&lt;MIN(DKW_10Y!$A$2:$A$2918),$A100&gt;MAX(DKW_10Y!$A$2:$A$2918),Settings!$B$16&lt;MIN(DKW_10Y!$A$2:$A$2918)),NA(),(INDEX(DKW_10Y!$E$2:$E$2918,MATCH($A100,DKW_10Y!$A$2:$A$2918,1))-INDEX(DKW_10Y!$E$2:$E$2918,MATCH(Settings!$B$16,DKW_10Y!$A$2:$A$2918,1)))*100))</f>
        <v/>
      </c>
      <c r="AB100" s="19">
        <f>IF(NOT(ISNUMBER($A100)),NA(),IF(OR($A100&lt;MIN(DKW_10Y!$A$2:$A$2918),$A100&gt;MAX(DKW_10Y!$A$2:$A$2918),Settings!$B$16&lt;MIN(DKW_10Y!$A$2:$A$2918)),NA(),(INDEX(DKW_10Y!$H$2:$H$2918,MATCH($A100,DKW_10Y!$A$2:$A$2918,1))-INDEX(DKW_10Y!$H$2:$H$2918,MATCH(Settings!$B$16,DKW_10Y!$A$2:$A$2918,1)))*100))</f>
        <v/>
      </c>
      <c r="AC100" s="18">
        <f>IF(NOT(ISNUMBER($A100)),NA(),IFERROR(1*INDEX(BBG_Data!$N$2:$N$4000,MATCH($A100,BBG_Data!$M$2:$M$4000,0)),NA()))</f>
        <v/>
      </c>
      <c r="AD100" s="18">
        <f>IF(NOT(ISNUMBER($A100)),NA(),IFERROR(1*INDEX(BBG_Data!$P$2:$P$4000,MATCH($A100,BBG_Data!$O$2:$O$4000,0)),NA()))</f>
        <v/>
      </c>
      <c r="AE100" s="18">
        <f>IF(NOT(ISNUMBER($A100)),NA(),IFERROR(1*INDEX(BBG_Data!$R$2:$R$4000,MATCH($A100,BBG_Data!$Q$2:$Q$4000,0)),NA()))</f>
        <v/>
      </c>
      <c r="AF100" s="20">
        <f>IF(AND(ISNUMBER(B100),ISNUMBER(AC100)),(B100-AC100)*100,NA())</f>
        <v/>
      </c>
      <c r="AG100" s="20">
        <f>IF(AND(ISNUMBER(AE100),ISNUMBER(AD100)),(AE100-AD100)*100,NA())</f>
        <v/>
      </c>
      <c r="AH100" s="19">
        <f>IF(NOT(ISNUMBER($A100)),NA(),IFERROR(INDEX(BBG_Data!$T$2:$T$4000,MATCH($A100,BBG_Data!$S$2:$S$4000,0))*Settings!$B$25,NA()))</f>
        <v/>
      </c>
      <c r="AI100" s="19">
        <f>IF(NOT(ISNUMBER($A100)),NA(),IFERROR(INDEX(BBG_Data!$V$2:$V$4000,MATCH($A100,BBG_Data!$U$2:$U$4000,0))*Settings!$B$25,NA()))</f>
        <v/>
      </c>
      <c r="AJ100" s="19">
        <f>IF(NOT(ISNUMBER($A100)),NA(),IFERROR(1*INDEX(BBG_Data!$X$2:$X$4000,MATCH($A100,BBG_Data!$W$2:$W$4000,0)),NA()))</f>
        <v/>
      </c>
      <c r="AK100" s="19">
        <f>IF(NOT(ISNUMBER($A100)),NA(),IFERROR(1*INDEX(BBG_Data!$Z$2:$Z$4000,MATCH($A100,BBG_Data!$Y$2:$Y$4000,0)),NA()))</f>
        <v/>
      </c>
    </row>
    <row r="101">
      <c r="A101" s="17">
        <f>IF(ISNUMBER(BBG_Data!A101),BBG_Data!A101,"")</f>
        <v/>
      </c>
      <c r="B101" s="18">
        <f>IF(AND(ISNUMBER($A101),ISNUMBER(BBG_Data!B101)),BBG_Data!B101,NA())</f>
        <v/>
      </c>
      <c r="C101" s="18">
        <f>IF(NOT(ISNUMBER($A101)),NA(),IFERROR(1*INDEX(BBG_Data!$D$2:$D$4000,MATCH($A101,BBG_Data!$C$2:$C$4000,0)),NA()))</f>
        <v/>
      </c>
      <c r="D101" s="19">
        <f>IF(NOT(ISNUMBER($A101)),NA(),IFERROR(1*INDEX(BBG_Data!$F$2:$F$4000,MATCH($A101,BBG_Data!$E$2:$E$4000,0)),NA()))</f>
        <v/>
      </c>
      <c r="E101" s="19">
        <f>IF(NOT(ISNUMBER($A101)),NA(),IFERROR(1*INDEX(BBG_Data!$H$2:$H$4000,MATCH($A101,BBG_Data!$G$2:$G$4000,0)),NA()))</f>
        <v/>
      </c>
      <c r="F101" s="20">
        <f>IF(AND(ISNUMBER(B101),ISNUMBER(B100)),IF(B101=B100,"",(B101-B100)*100),"")</f>
        <v/>
      </c>
      <c r="G101" s="20">
        <f>IF(AND(ISNUMBER(C101),ISNUMBER(C100)),IF(C101=C100,"",(C101-C100)*100),"")</f>
        <v/>
      </c>
      <c r="H101" s="20">
        <f>IF(OR(NOT(ISNUMBER($A101)),ROW()-2&lt;Settings!$B$11),NA(),IF(COUNT(OFFSET(F101,1-Settings!$B$11,0,Settings!$B$11,1))&lt;ROUNDUP(Settings!$B$11*Settings!$B$26,0),NA(),STDEV(OFFSET(F101,1-Settings!$B$11,0,Settings!$B$11,1))*SQRT(Settings!$B$13)))</f>
        <v/>
      </c>
      <c r="I101" s="20">
        <f>IF(OR(NOT(ISNUMBER($A101)),ROW()-2&lt;Settings!$B$12),NA(),IF(COUNT(OFFSET(F101,1-Settings!$B$12,0,Settings!$B$12,1))&lt;ROUNDUP(Settings!$B$12*Settings!$B$26,0),NA(),STDEV(OFFSET(F101,1-Settings!$B$12,0,Settings!$B$12,1))*SQRT(Settings!$B$13)))</f>
        <v/>
      </c>
      <c r="J101" s="20">
        <f>IF(OR(NOT(ISNUMBER($A101)),ROW()-2&lt;Settings!$B$11),NA(),IF(COUNT(OFFSET(G101,1-Settings!$B$11,0,Settings!$B$11,1))&lt;ROUNDUP(Settings!$B$11*Settings!$B$26,0),NA(),STDEV(OFFSET(G101,1-Settings!$B$11,0,Settings!$B$11,1))*SQRT(Settings!$B$13)))</f>
        <v/>
      </c>
      <c r="K101" s="20">
        <f>IF(OR(NOT(ISNUMBER($A101)),ROW()-2&lt;Settings!$B$12),NA(),IF(COUNT(OFFSET(G101,1-Settings!$B$12,0,Settings!$B$12,1))&lt;ROUNDUP(Settings!$B$12*Settings!$B$26,0),NA(),STDEV(OFFSET(G101,1-Settings!$B$12,0,Settings!$B$12,1))*SQRT(Settings!$B$13)))</f>
        <v/>
      </c>
      <c r="L101" s="20">
        <f>IF(AND(ISNUMBER(D101),ISNUMBER(H101)),D101-H101,NA())</f>
        <v/>
      </c>
      <c r="M101" s="20">
        <f>IF(AND(ISNUMBER(E101),ISNUMBER(K101)),E101-K101,NA())</f>
        <v/>
      </c>
      <c r="N101" s="20">
        <f>IF(NOT(ISNUMBER($A101)),NA(),IF(COUNT(OFFSET(G101,1,0,Settings!$B$12,1))&lt;ROUNDUP(Settings!$B$12*Settings!$B$26,0),NA(),STDEV(OFFSET(G101,1,0,Settings!$B$12,1))*SQRT(Settings!$B$13)))</f>
        <v/>
      </c>
      <c r="O101" s="20">
        <f>IF(AND(ISNUMBER(E101),ISNUMBER(N101)),E101-N101,NA())</f>
        <v/>
      </c>
      <c r="P101" s="19">
        <f>IF(NOT(ISNUMBER($A101)),NA(),IF(OR($A101&lt;MIN(KW_TP!$A$2:$A$2501),$A101&gt;MAX(KW_TP!$A$2:$A$2501)),NA(),INDEX(KW_TP!$C$2:$C$2501,MATCH($A101,KW_TP!$A$2:$A$2501,1))))</f>
        <v/>
      </c>
      <c r="Q101" s="18">
        <f>IF(NOT(ISNUMBER($A101)),NA(),IFERROR(1*INDEX(BBG_Data!$J$2:$J$4000,MATCH($A101,BBG_Data!$I$2:$I$4000,0)),NA()))</f>
        <v/>
      </c>
      <c r="R101" s="18">
        <f>IF(NOT(ISNUMBER($A101)),NA(),IFERROR(1*INDEX(BBG_Data!$L$2:$L$4000,MATCH($A101,BBG_Data!$K$2:$K$4000,0)),NA()))</f>
        <v/>
      </c>
      <c r="S101" s="20">
        <f>IF(AND(ISNUMBER(B101),ISNUMBER(Q101),ISNUMBER(R101)),(B101-Q101-R101)*100,NA())</f>
        <v/>
      </c>
      <c r="T101" s="20">
        <f>IF(AND(ISNUMBER(B101),Settings!$B$17&gt;0),IF(ISNUMBER(INDEX($B:$B,Settings!$B$17)),(B101-INDEX($B:$B,Settings!$B$17))*100,NA()),NA())</f>
        <v/>
      </c>
      <c r="U101" s="20">
        <f>IF(AND(ISNUMBER(Q101),Settings!$B$17&gt;0),IF(ISNUMBER(INDEX($Q:$Q,Settings!$B$17)),(Q101-INDEX($Q:$Q,Settings!$B$17))*100,NA()),NA())</f>
        <v/>
      </c>
      <c r="V101" s="20">
        <f>IF(AND(ISNUMBER(R101),Settings!$B$17&gt;0),IF(ISNUMBER(INDEX($R:$R,Settings!$B$17)),(R101-INDEX($R:$R,Settings!$B$17))*100,NA()),NA())</f>
        <v/>
      </c>
      <c r="W101" s="20">
        <f>IF(AND(ISNUMBER(P101),Settings!$B$17&gt;0),IF(ISNUMBER(INDEX($P:$P,Settings!$B$17)),P101-INDEX($P:$P,Settings!$B$17),NA()),NA())</f>
        <v/>
      </c>
      <c r="X101" s="19">
        <f>IF(NOT(ISNUMBER($A101)),NA(),IF(OR($A101&lt;MIN(DKW_10Y!$A$2:$A$2918),$A101&gt;MAX(DKW_10Y!$A$2:$A$2918),Settings!$B$16&lt;MIN(DKW_10Y!$A$2:$A$2918)),NA(),(INDEX(DKW_10Y!$B$2:$B$2918,MATCH($A101,DKW_10Y!$A$2:$A$2918,1))-INDEX(DKW_10Y!$B$2:$B$2918,MATCH(Settings!$B$16,DKW_10Y!$A$2:$A$2918,1)))*100))</f>
        <v/>
      </c>
      <c r="Y101" s="19">
        <f>IF(NOT(ISNUMBER($A101)),NA(),IF(OR($A101&lt;MIN(DKW_10Y!$A$2:$A$2918),$A101&gt;MAX(DKW_10Y!$A$2:$A$2918),Settings!$B$16&lt;MIN(DKW_10Y!$A$2:$A$2918)),NA(),(INDEX(DKW_10Y!$C$2:$C$2918,MATCH($A101,DKW_10Y!$A$2:$A$2918,1))-INDEX(DKW_10Y!$C$2:$C$2918,MATCH(Settings!$B$16,DKW_10Y!$A$2:$A$2918,1)))*100))</f>
        <v/>
      </c>
      <c r="Z101" s="19">
        <f>IF(NOT(ISNUMBER($A101)),NA(),IF(OR($A101&lt;MIN(DKW_10Y!$A$2:$A$2918),$A101&gt;MAX(DKW_10Y!$A$2:$A$2918),Settings!$B$16&lt;MIN(DKW_10Y!$A$2:$A$2918)),NA(),(INDEX(DKW_10Y!$D$2:$D$2918,MATCH($A101,DKW_10Y!$A$2:$A$2918,1))-INDEX(DKW_10Y!$D$2:$D$2918,MATCH(Settings!$B$16,DKW_10Y!$A$2:$A$2918,1)))*100))</f>
        <v/>
      </c>
      <c r="AA101" s="19">
        <f>IF(NOT(ISNUMBER($A101)),NA(),IF(OR($A101&lt;MIN(DKW_10Y!$A$2:$A$2918),$A101&gt;MAX(DKW_10Y!$A$2:$A$2918),Settings!$B$16&lt;MIN(DKW_10Y!$A$2:$A$2918)),NA(),(INDEX(DKW_10Y!$E$2:$E$2918,MATCH($A101,DKW_10Y!$A$2:$A$2918,1))-INDEX(DKW_10Y!$E$2:$E$2918,MATCH(Settings!$B$16,DKW_10Y!$A$2:$A$2918,1)))*100))</f>
        <v/>
      </c>
      <c r="AB101" s="19">
        <f>IF(NOT(ISNUMBER($A101)),NA(),IF(OR($A101&lt;MIN(DKW_10Y!$A$2:$A$2918),$A101&gt;MAX(DKW_10Y!$A$2:$A$2918),Settings!$B$16&lt;MIN(DKW_10Y!$A$2:$A$2918)),NA(),(INDEX(DKW_10Y!$H$2:$H$2918,MATCH($A101,DKW_10Y!$A$2:$A$2918,1))-INDEX(DKW_10Y!$H$2:$H$2918,MATCH(Settings!$B$16,DKW_10Y!$A$2:$A$2918,1)))*100))</f>
        <v/>
      </c>
      <c r="AC101" s="18">
        <f>IF(NOT(ISNUMBER($A101)),NA(),IFERROR(1*INDEX(BBG_Data!$N$2:$N$4000,MATCH($A101,BBG_Data!$M$2:$M$4000,0)),NA()))</f>
        <v/>
      </c>
      <c r="AD101" s="18">
        <f>IF(NOT(ISNUMBER($A101)),NA(),IFERROR(1*INDEX(BBG_Data!$P$2:$P$4000,MATCH($A101,BBG_Data!$O$2:$O$4000,0)),NA()))</f>
        <v/>
      </c>
      <c r="AE101" s="18">
        <f>IF(NOT(ISNUMBER($A101)),NA(),IFERROR(1*INDEX(BBG_Data!$R$2:$R$4000,MATCH($A101,BBG_Data!$Q$2:$Q$4000,0)),NA()))</f>
        <v/>
      </c>
      <c r="AF101" s="20">
        <f>IF(AND(ISNUMBER(B101),ISNUMBER(AC101)),(B101-AC101)*100,NA())</f>
        <v/>
      </c>
      <c r="AG101" s="20">
        <f>IF(AND(ISNUMBER(AE101),ISNUMBER(AD101)),(AE101-AD101)*100,NA())</f>
        <v/>
      </c>
      <c r="AH101" s="19">
        <f>IF(NOT(ISNUMBER($A101)),NA(),IFERROR(INDEX(BBG_Data!$T$2:$T$4000,MATCH($A101,BBG_Data!$S$2:$S$4000,0))*Settings!$B$25,NA()))</f>
        <v/>
      </c>
      <c r="AI101" s="19">
        <f>IF(NOT(ISNUMBER($A101)),NA(),IFERROR(INDEX(BBG_Data!$V$2:$V$4000,MATCH($A101,BBG_Data!$U$2:$U$4000,0))*Settings!$B$25,NA()))</f>
        <v/>
      </c>
      <c r="AJ101" s="19">
        <f>IF(NOT(ISNUMBER($A101)),NA(),IFERROR(1*INDEX(BBG_Data!$X$2:$X$4000,MATCH($A101,BBG_Data!$W$2:$W$4000,0)),NA()))</f>
        <v/>
      </c>
      <c r="AK101" s="19">
        <f>IF(NOT(ISNUMBER($A101)),NA(),IFERROR(1*INDEX(BBG_Data!$Z$2:$Z$4000,MATCH($A101,BBG_Data!$Y$2:$Y$4000,0)),NA()))</f>
        <v/>
      </c>
    </row>
    <row r="102">
      <c r="A102" s="17">
        <f>IF(ISNUMBER(BBG_Data!A102),BBG_Data!A102,"")</f>
        <v/>
      </c>
      <c r="B102" s="18">
        <f>IF(AND(ISNUMBER($A102),ISNUMBER(BBG_Data!B102)),BBG_Data!B102,NA())</f>
        <v/>
      </c>
      <c r="C102" s="18">
        <f>IF(NOT(ISNUMBER($A102)),NA(),IFERROR(1*INDEX(BBG_Data!$D$2:$D$4000,MATCH($A102,BBG_Data!$C$2:$C$4000,0)),NA()))</f>
        <v/>
      </c>
      <c r="D102" s="19">
        <f>IF(NOT(ISNUMBER($A102)),NA(),IFERROR(1*INDEX(BBG_Data!$F$2:$F$4000,MATCH($A102,BBG_Data!$E$2:$E$4000,0)),NA()))</f>
        <v/>
      </c>
      <c r="E102" s="19">
        <f>IF(NOT(ISNUMBER($A102)),NA(),IFERROR(1*INDEX(BBG_Data!$H$2:$H$4000,MATCH($A102,BBG_Data!$G$2:$G$4000,0)),NA()))</f>
        <v/>
      </c>
      <c r="F102" s="20">
        <f>IF(AND(ISNUMBER(B102),ISNUMBER(B101)),IF(B102=B101,"",(B102-B101)*100),"")</f>
        <v/>
      </c>
      <c r="G102" s="20">
        <f>IF(AND(ISNUMBER(C102),ISNUMBER(C101)),IF(C102=C101,"",(C102-C101)*100),"")</f>
        <v/>
      </c>
      <c r="H102" s="20">
        <f>IF(OR(NOT(ISNUMBER($A102)),ROW()-2&lt;Settings!$B$11),NA(),IF(COUNT(OFFSET(F102,1-Settings!$B$11,0,Settings!$B$11,1))&lt;ROUNDUP(Settings!$B$11*Settings!$B$26,0),NA(),STDEV(OFFSET(F102,1-Settings!$B$11,0,Settings!$B$11,1))*SQRT(Settings!$B$13)))</f>
        <v/>
      </c>
      <c r="I102" s="20">
        <f>IF(OR(NOT(ISNUMBER($A102)),ROW()-2&lt;Settings!$B$12),NA(),IF(COUNT(OFFSET(F102,1-Settings!$B$12,0,Settings!$B$12,1))&lt;ROUNDUP(Settings!$B$12*Settings!$B$26,0),NA(),STDEV(OFFSET(F102,1-Settings!$B$12,0,Settings!$B$12,1))*SQRT(Settings!$B$13)))</f>
        <v/>
      </c>
      <c r="J102" s="20">
        <f>IF(OR(NOT(ISNUMBER($A102)),ROW()-2&lt;Settings!$B$11),NA(),IF(COUNT(OFFSET(G102,1-Settings!$B$11,0,Settings!$B$11,1))&lt;ROUNDUP(Settings!$B$11*Settings!$B$26,0),NA(),STDEV(OFFSET(G102,1-Settings!$B$11,0,Settings!$B$11,1))*SQRT(Settings!$B$13)))</f>
        <v/>
      </c>
      <c r="K102" s="20">
        <f>IF(OR(NOT(ISNUMBER($A102)),ROW()-2&lt;Settings!$B$12),NA(),IF(COUNT(OFFSET(G102,1-Settings!$B$12,0,Settings!$B$12,1))&lt;ROUNDUP(Settings!$B$12*Settings!$B$26,0),NA(),STDEV(OFFSET(G102,1-Settings!$B$12,0,Settings!$B$12,1))*SQRT(Settings!$B$13)))</f>
        <v/>
      </c>
      <c r="L102" s="20">
        <f>IF(AND(ISNUMBER(D102),ISNUMBER(H102)),D102-H102,NA())</f>
        <v/>
      </c>
      <c r="M102" s="20">
        <f>IF(AND(ISNUMBER(E102),ISNUMBER(K102)),E102-K102,NA())</f>
        <v/>
      </c>
      <c r="N102" s="20">
        <f>IF(NOT(ISNUMBER($A102)),NA(),IF(COUNT(OFFSET(G102,1,0,Settings!$B$12,1))&lt;ROUNDUP(Settings!$B$12*Settings!$B$26,0),NA(),STDEV(OFFSET(G102,1,0,Settings!$B$12,1))*SQRT(Settings!$B$13)))</f>
        <v/>
      </c>
      <c r="O102" s="20">
        <f>IF(AND(ISNUMBER(E102),ISNUMBER(N102)),E102-N102,NA())</f>
        <v/>
      </c>
      <c r="P102" s="19">
        <f>IF(NOT(ISNUMBER($A102)),NA(),IF(OR($A102&lt;MIN(KW_TP!$A$2:$A$2501),$A102&gt;MAX(KW_TP!$A$2:$A$2501)),NA(),INDEX(KW_TP!$C$2:$C$2501,MATCH($A102,KW_TP!$A$2:$A$2501,1))))</f>
        <v/>
      </c>
      <c r="Q102" s="18">
        <f>IF(NOT(ISNUMBER($A102)),NA(),IFERROR(1*INDEX(BBG_Data!$J$2:$J$4000,MATCH($A102,BBG_Data!$I$2:$I$4000,0)),NA()))</f>
        <v/>
      </c>
      <c r="R102" s="18">
        <f>IF(NOT(ISNUMBER($A102)),NA(),IFERROR(1*INDEX(BBG_Data!$L$2:$L$4000,MATCH($A102,BBG_Data!$K$2:$K$4000,0)),NA()))</f>
        <v/>
      </c>
      <c r="S102" s="20">
        <f>IF(AND(ISNUMBER(B102),ISNUMBER(Q102),ISNUMBER(R102)),(B102-Q102-R102)*100,NA())</f>
        <v/>
      </c>
      <c r="T102" s="20">
        <f>IF(AND(ISNUMBER(B102),Settings!$B$17&gt;0),IF(ISNUMBER(INDEX($B:$B,Settings!$B$17)),(B102-INDEX($B:$B,Settings!$B$17))*100,NA()),NA())</f>
        <v/>
      </c>
      <c r="U102" s="20">
        <f>IF(AND(ISNUMBER(Q102),Settings!$B$17&gt;0),IF(ISNUMBER(INDEX($Q:$Q,Settings!$B$17)),(Q102-INDEX($Q:$Q,Settings!$B$17))*100,NA()),NA())</f>
        <v/>
      </c>
      <c r="V102" s="20">
        <f>IF(AND(ISNUMBER(R102),Settings!$B$17&gt;0),IF(ISNUMBER(INDEX($R:$R,Settings!$B$17)),(R102-INDEX($R:$R,Settings!$B$17))*100,NA()),NA())</f>
        <v/>
      </c>
      <c r="W102" s="20">
        <f>IF(AND(ISNUMBER(P102),Settings!$B$17&gt;0),IF(ISNUMBER(INDEX($P:$P,Settings!$B$17)),P102-INDEX($P:$P,Settings!$B$17),NA()),NA())</f>
        <v/>
      </c>
      <c r="X102" s="19">
        <f>IF(NOT(ISNUMBER($A102)),NA(),IF(OR($A102&lt;MIN(DKW_10Y!$A$2:$A$2918),$A102&gt;MAX(DKW_10Y!$A$2:$A$2918),Settings!$B$16&lt;MIN(DKW_10Y!$A$2:$A$2918)),NA(),(INDEX(DKW_10Y!$B$2:$B$2918,MATCH($A102,DKW_10Y!$A$2:$A$2918,1))-INDEX(DKW_10Y!$B$2:$B$2918,MATCH(Settings!$B$16,DKW_10Y!$A$2:$A$2918,1)))*100))</f>
        <v/>
      </c>
      <c r="Y102" s="19">
        <f>IF(NOT(ISNUMBER($A102)),NA(),IF(OR($A102&lt;MIN(DKW_10Y!$A$2:$A$2918),$A102&gt;MAX(DKW_10Y!$A$2:$A$2918),Settings!$B$16&lt;MIN(DKW_10Y!$A$2:$A$2918)),NA(),(INDEX(DKW_10Y!$C$2:$C$2918,MATCH($A102,DKW_10Y!$A$2:$A$2918,1))-INDEX(DKW_10Y!$C$2:$C$2918,MATCH(Settings!$B$16,DKW_10Y!$A$2:$A$2918,1)))*100))</f>
        <v/>
      </c>
      <c r="Z102" s="19">
        <f>IF(NOT(ISNUMBER($A102)),NA(),IF(OR($A102&lt;MIN(DKW_10Y!$A$2:$A$2918),$A102&gt;MAX(DKW_10Y!$A$2:$A$2918),Settings!$B$16&lt;MIN(DKW_10Y!$A$2:$A$2918)),NA(),(INDEX(DKW_10Y!$D$2:$D$2918,MATCH($A102,DKW_10Y!$A$2:$A$2918,1))-INDEX(DKW_10Y!$D$2:$D$2918,MATCH(Settings!$B$16,DKW_10Y!$A$2:$A$2918,1)))*100))</f>
        <v/>
      </c>
      <c r="AA102" s="19">
        <f>IF(NOT(ISNUMBER($A102)),NA(),IF(OR($A102&lt;MIN(DKW_10Y!$A$2:$A$2918),$A102&gt;MAX(DKW_10Y!$A$2:$A$2918),Settings!$B$16&lt;MIN(DKW_10Y!$A$2:$A$2918)),NA(),(INDEX(DKW_10Y!$E$2:$E$2918,MATCH($A102,DKW_10Y!$A$2:$A$2918,1))-INDEX(DKW_10Y!$E$2:$E$2918,MATCH(Settings!$B$16,DKW_10Y!$A$2:$A$2918,1)))*100))</f>
        <v/>
      </c>
      <c r="AB102" s="19">
        <f>IF(NOT(ISNUMBER($A102)),NA(),IF(OR($A102&lt;MIN(DKW_10Y!$A$2:$A$2918),$A102&gt;MAX(DKW_10Y!$A$2:$A$2918),Settings!$B$16&lt;MIN(DKW_10Y!$A$2:$A$2918)),NA(),(INDEX(DKW_10Y!$H$2:$H$2918,MATCH($A102,DKW_10Y!$A$2:$A$2918,1))-INDEX(DKW_10Y!$H$2:$H$2918,MATCH(Settings!$B$16,DKW_10Y!$A$2:$A$2918,1)))*100))</f>
        <v/>
      </c>
      <c r="AC102" s="18">
        <f>IF(NOT(ISNUMBER($A102)),NA(),IFERROR(1*INDEX(BBG_Data!$N$2:$N$4000,MATCH($A102,BBG_Data!$M$2:$M$4000,0)),NA()))</f>
        <v/>
      </c>
      <c r="AD102" s="18">
        <f>IF(NOT(ISNUMBER($A102)),NA(),IFERROR(1*INDEX(BBG_Data!$P$2:$P$4000,MATCH($A102,BBG_Data!$O$2:$O$4000,0)),NA()))</f>
        <v/>
      </c>
      <c r="AE102" s="18">
        <f>IF(NOT(ISNUMBER($A102)),NA(),IFERROR(1*INDEX(BBG_Data!$R$2:$R$4000,MATCH($A102,BBG_Data!$Q$2:$Q$4000,0)),NA()))</f>
        <v/>
      </c>
      <c r="AF102" s="20">
        <f>IF(AND(ISNUMBER(B102),ISNUMBER(AC102)),(B102-AC102)*100,NA())</f>
        <v/>
      </c>
      <c r="AG102" s="20">
        <f>IF(AND(ISNUMBER(AE102),ISNUMBER(AD102)),(AE102-AD102)*100,NA())</f>
        <v/>
      </c>
      <c r="AH102" s="19">
        <f>IF(NOT(ISNUMBER($A102)),NA(),IFERROR(INDEX(BBG_Data!$T$2:$T$4000,MATCH($A102,BBG_Data!$S$2:$S$4000,0))*Settings!$B$25,NA()))</f>
        <v/>
      </c>
      <c r="AI102" s="19">
        <f>IF(NOT(ISNUMBER($A102)),NA(),IFERROR(INDEX(BBG_Data!$V$2:$V$4000,MATCH($A102,BBG_Data!$U$2:$U$4000,0))*Settings!$B$25,NA()))</f>
        <v/>
      </c>
      <c r="AJ102" s="19">
        <f>IF(NOT(ISNUMBER($A102)),NA(),IFERROR(1*INDEX(BBG_Data!$X$2:$X$4000,MATCH($A102,BBG_Data!$W$2:$W$4000,0)),NA()))</f>
        <v/>
      </c>
      <c r="AK102" s="19">
        <f>IF(NOT(ISNUMBER($A102)),NA(),IFERROR(1*INDEX(BBG_Data!$Z$2:$Z$4000,MATCH($A102,BBG_Data!$Y$2:$Y$4000,0)),NA()))</f>
        <v/>
      </c>
    </row>
    <row r="103">
      <c r="A103" s="17">
        <f>IF(ISNUMBER(BBG_Data!A103),BBG_Data!A103,"")</f>
        <v/>
      </c>
      <c r="B103" s="18">
        <f>IF(AND(ISNUMBER($A103),ISNUMBER(BBG_Data!B103)),BBG_Data!B103,NA())</f>
        <v/>
      </c>
      <c r="C103" s="18">
        <f>IF(NOT(ISNUMBER($A103)),NA(),IFERROR(1*INDEX(BBG_Data!$D$2:$D$4000,MATCH($A103,BBG_Data!$C$2:$C$4000,0)),NA()))</f>
        <v/>
      </c>
      <c r="D103" s="19">
        <f>IF(NOT(ISNUMBER($A103)),NA(),IFERROR(1*INDEX(BBG_Data!$F$2:$F$4000,MATCH($A103,BBG_Data!$E$2:$E$4000,0)),NA()))</f>
        <v/>
      </c>
      <c r="E103" s="19">
        <f>IF(NOT(ISNUMBER($A103)),NA(),IFERROR(1*INDEX(BBG_Data!$H$2:$H$4000,MATCH($A103,BBG_Data!$G$2:$G$4000,0)),NA()))</f>
        <v/>
      </c>
      <c r="F103" s="20">
        <f>IF(AND(ISNUMBER(B103),ISNUMBER(B102)),IF(B103=B102,"",(B103-B102)*100),"")</f>
        <v/>
      </c>
      <c r="G103" s="20">
        <f>IF(AND(ISNUMBER(C103),ISNUMBER(C102)),IF(C103=C102,"",(C103-C102)*100),"")</f>
        <v/>
      </c>
      <c r="H103" s="20">
        <f>IF(OR(NOT(ISNUMBER($A103)),ROW()-2&lt;Settings!$B$11),NA(),IF(COUNT(OFFSET(F103,1-Settings!$B$11,0,Settings!$B$11,1))&lt;ROUNDUP(Settings!$B$11*Settings!$B$26,0),NA(),STDEV(OFFSET(F103,1-Settings!$B$11,0,Settings!$B$11,1))*SQRT(Settings!$B$13)))</f>
        <v/>
      </c>
      <c r="I103" s="20">
        <f>IF(OR(NOT(ISNUMBER($A103)),ROW()-2&lt;Settings!$B$12),NA(),IF(COUNT(OFFSET(F103,1-Settings!$B$12,0,Settings!$B$12,1))&lt;ROUNDUP(Settings!$B$12*Settings!$B$26,0),NA(),STDEV(OFFSET(F103,1-Settings!$B$12,0,Settings!$B$12,1))*SQRT(Settings!$B$13)))</f>
        <v/>
      </c>
      <c r="J103" s="20">
        <f>IF(OR(NOT(ISNUMBER($A103)),ROW()-2&lt;Settings!$B$11),NA(),IF(COUNT(OFFSET(G103,1-Settings!$B$11,0,Settings!$B$11,1))&lt;ROUNDUP(Settings!$B$11*Settings!$B$26,0),NA(),STDEV(OFFSET(G103,1-Settings!$B$11,0,Settings!$B$11,1))*SQRT(Settings!$B$13)))</f>
        <v/>
      </c>
      <c r="K103" s="20">
        <f>IF(OR(NOT(ISNUMBER($A103)),ROW()-2&lt;Settings!$B$12),NA(),IF(COUNT(OFFSET(G103,1-Settings!$B$12,0,Settings!$B$12,1))&lt;ROUNDUP(Settings!$B$12*Settings!$B$26,0),NA(),STDEV(OFFSET(G103,1-Settings!$B$12,0,Settings!$B$12,1))*SQRT(Settings!$B$13)))</f>
        <v/>
      </c>
      <c r="L103" s="20">
        <f>IF(AND(ISNUMBER(D103),ISNUMBER(H103)),D103-H103,NA())</f>
        <v/>
      </c>
      <c r="M103" s="20">
        <f>IF(AND(ISNUMBER(E103),ISNUMBER(K103)),E103-K103,NA())</f>
        <v/>
      </c>
      <c r="N103" s="20">
        <f>IF(NOT(ISNUMBER($A103)),NA(),IF(COUNT(OFFSET(G103,1,0,Settings!$B$12,1))&lt;ROUNDUP(Settings!$B$12*Settings!$B$26,0),NA(),STDEV(OFFSET(G103,1,0,Settings!$B$12,1))*SQRT(Settings!$B$13)))</f>
        <v/>
      </c>
      <c r="O103" s="20">
        <f>IF(AND(ISNUMBER(E103),ISNUMBER(N103)),E103-N103,NA())</f>
        <v/>
      </c>
      <c r="P103" s="19">
        <f>IF(NOT(ISNUMBER($A103)),NA(),IF(OR($A103&lt;MIN(KW_TP!$A$2:$A$2501),$A103&gt;MAX(KW_TP!$A$2:$A$2501)),NA(),INDEX(KW_TP!$C$2:$C$2501,MATCH($A103,KW_TP!$A$2:$A$2501,1))))</f>
        <v/>
      </c>
      <c r="Q103" s="18">
        <f>IF(NOT(ISNUMBER($A103)),NA(),IFERROR(1*INDEX(BBG_Data!$J$2:$J$4000,MATCH($A103,BBG_Data!$I$2:$I$4000,0)),NA()))</f>
        <v/>
      </c>
      <c r="R103" s="18">
        <f>IF(NOT(ISNUMBER($A103)),NA(),IFERROR(1*INDEX(BBG_Data!$L$2:$L$4000,MATCH($A103,BBG_Data!$K$2:$K$4000,0)),NA()))</f>
        <v/>
      </c>
      <c r="S103" s="20">
        <f>IF(AND(ISNUMBER(B103),ISNUMBER(Q103),ISNUMBER(R103)),(B103-Q103-R103)*100,NA())</f>
        <v/>
      </c>
      <c r="T103" s="20">
        <f>IF(AND(ISNUMBER(B103),Settings!$B$17&gt;0),IF(ISNUMBER(INDEX($B:$B,Settings!$B$17)),(B103-INDEX($B:$B,Settings!$B$17))*100,NA()),NA())</f>
        <v/>
      </c>
      <c r="U103" s="20">
        <f>IF(AND(ISNUMBER(Q103),Settings!$B$17&gt;0),IF(ISNUMBER(INDEX($Q:$Q,Settings!$B$17)),(Q103-INDEX($Q:$Q,Settings!$B$17))*100,NA()),NA())</f>
        <v/>
      </c>
      <c r="V103" s="20">
        <f>IF(AND(ISNUMBER(R103),Settings!$B$17&gt;0),IF(ISNUMBER(INDEX($R:$R,Settings!$B$17)),(R103-INDEX($R:$R,Settings!$B$17))*100,NA()),NA())</f>
        <v/>
      </c>
      <c r="W103" s="20">
        <f>IF(AND(ISNUMBER(P103),Settings!$B$17&gt;0),IF(ISNUMBER(INDEX($P:$P,Settings!$B$17)),P103-INDEX($P:$P,Settings!$B$17),NA()),NA())</f>
        <v/>
      </c>
      <c r="X103" s="19">
        <f>IF(NOT(ISNUMBER($A103)),NA(),IF(OR($A103&lt;MIN(DKW_10Y!$A$2:$A$2918),$A103&gt;MAX(DKW_10Y!$A$2:$A$2918),Settings!$B$16&lt;MIN(DKW_10Y!$A$2:$A$2918)),NA(),(INDEX(DKW_10Y!$B$2:$B$2918,MATCH($A103,DKW_10Y!$A$2:$A$2918,1))-INDEX(DKW_10Y!$B$2:$B$2918,MATCH(Settings!$B$16,DKW_10Y!$A$2:$A$2918,1)))*100))</f>
        <v/>
      </c>
      <c r="Y103" s="19">
        <f>IF(NOT(ISNUMBER($A103)),NA(),IF(OR($A103&lt;MIN(DKW_10Y!$A$2:$A$2918),$A103&gt;MAX(DKW_10Y!$A$2:$A$2918),Settings!$B$16&lt;MIN(DKW_10Y!$A$2:$A$2918)),NA(),(INDEX(DKW_10Y!$C$2:$C$2918,MATCH($A103,DKW_10Y!$A$2:$A$2918,1))-INDEX(DKW_10Y!$C$2:$C$2918,MATCH(Settings!$B$16,DKW_10Y!$A$2:$A$2918,1)))*100))</f>
        <v/>
      </c>
      <c r="Z103" s="19">
        <f>IF(NOT(ISNUMBER($A103)),NA(),IF(OR($A103&lt;MIN(DKW_10Y!$A$2:$A$2918),$A103&gt;MAX(DKW_10Y!$A$2:$A$2918),Settings!$B$16&lt;MIN(DKW_10Y!$A$2:$A$2918)),NA(),(INDEX(DKW_10Y!$D$2:$D$2918,MATCH($A103,DKW_10Y!$A$2:$A$2918,1))-INDEX(DKW_10Y!$D$2:$D$2918,MATCH(Settings!$B$16,DKW_10Y!$A$2:$A$2918,1)))*100))</f>
        <v/>
      </c>
      <c r="AA103" s="19">
        <f>IF(NOT(ISNUMBER($A103)),NA(),IF(OR($A103&lt;MIN(DKW_10Y!$A$2:$A$2918),$A103&gt;MAX(DKW_10Y!$A$2:$A$2918),Settings!$B$16&lt;MIN(DKW_10Y!$A$2:$A$2918)),NA(),(INDEX(DKW_10Y!$E$2:$E$2918,MATCH($A103,DKW_10Y!$A$2:$A$2918,1))-INDEX(DKW_10Y!$E$2:$E$2918,MATCH(Settings!$B$16,DKW_10Y!$A$2:$A$2918,1)))*100))</f>
        <v/>
      </c>
      <c r="AB103" s="19">
        <f>IF(NOT(ISNUMBER($A103)),NA(),IF(OR($A103&lt;MIN(DKW_10Y!$A$2:$A$2918),$A103&gt;MAX(DKW_10Y!$A$2:$A$2918),Settings!$B$16&lt;MIN(DKW_10Y!$A$2:$A$2918)),NA(),(INDEX(DKW_10Y!$H$2:$H$2918,MATCH($A103,DKW_10Y!$A$2:$A$2918,1))-INDEX(DKW_10Y!$H$2:$H$2918,MATCH(Settings!$B$16,DKW_10Y!$A$2:$A$2918,1)))*100))</f>
        <v/>
      </c>
      <c r="AC103" s="18">
        <f>IF(NOT(ISNUMBER($A103)),NA(),IFERROR(1*INDEX(BBG_Data!$N$2:$N$4000,MATCH($A103,BBG_Data!$M$2:$M$4000,0)),NA()))</f>
        <v/>
      </c>
      <c r="AD103" s="18">
        <f>IF(NOT(ISNUMBER($A103)),NA(),IFERROR(1*INDEX(BBG_Data!$P$2:$P$4000,MATCH($A103,BBG_Data!$O$2:$O$4000,0)),NA()))</f>
        <v/>
      </c>
      <c r="AE103" s="18">
        <f>IF(NOT(ISNUMBER($A103)),NA(),IFERROR(1*INDEX(BBG_Data!$R$2:$R$4000,MATCH($A103,BBG_Data!$Q$2:$Q$4000,0)),NA()))</f>
        <v/>
      </c>
      <c r="AF103" s="20">
        <f>IF(AND(ISNUMBER(B103),ISNUMBER(AC103)),(B103-AC103)*100,NA())</f>
        <v/>
      </c>
      <c r="AG103" s="20">
        <f>IF(AND(ISNUMBER(AE103),ISNUMBER(AD103)),(AE103-AD103)*100,NA())</f>
        <v/>
      </c>
      <c r="AH103" s="19">
        <f>IF(NOT(ISNUMBER($A103)),NA(),IFERROR(INDEX(BBG_Data!$T$2:$T$4000,MATCH($A103,BBG_Data!$S$2:$S$4000,0))*Settings!$B$25,NA()))</f>
        <v/>
      </c>
      <c r="AI103" s="19">
        <f>IF(NOT(ISNUMBER($A103)),NA(),IFERROR(INDEX(BBG_Data!$V$2:$V$4000,MATCH($A103,BBG_Data!$U$2:$U$4000,0))*Settings!$B$25,NA()))</f>
        <v/>
      </c>
      <c r="AJ103" s="19">
        <f>IF(NOT(ISNUMBER($A103)),NA(),IFERROR(1*INDEX(BBG_Data!$X$2:$X$4000,MATCH($A103,BBG_Data!$W$2:$W$4000,0)),NA()))</f>
        <v/>
      </c>
      <c r="AK103" s="19">
        <f>IF(NOT(ISNUMBER($A103)),NA(),IFERROR(1*INDEX(BBG_Data!$Z$2:$Z$4000,MATCH($A103,BBG_Data!$Y$2:$Y$4000,0)),NA()))</f>
        <v/>
      </c>
    </row>
    <row r="104">
      <c r="A104" s="17">
        <f>IF(ISNUMBER(BBG_Data!A104),BBG_Data!A104,"")</f>
        <v/>
      </c>
      <c r="B104" s="18">
        <f>IF(AND(ISNUMBER($A104),ISNUMBER(BBG_Data!B104)),BBG_Data!B104,NA())</f>
        <v/>
      </c>
      <c r="C104" s="18">
        <f>IF(NOT(ISNUMBER($A104)),NA(),IFERROR(1*INDEX(BBG_Data!$D$2:$D$4000,MATCH($A104,BBG_Data!$C$2:$C$4000,0)),NA()))</f>
        <v/>
      </c>
      <c r="D104" s="19">
        <f>IF(NOT(ISNUMBER($A104)),NA(),IFERROR(1*INDEX(BBG_Data!$F$2:$F$4000,MATCH($A104,BBG_Data!$E$2:$E$4000,0)),NA()))</f>
        <v/>
      </c>
      <c r="E104" s="19">
        <f>IF(NOT(ISNUMBER($A104)),NA(),IFERROR(1*INDEX(BBG_Data!$H$2:$H$4000,MATCH($A104,BBG_Data!$G$2:$G$4000,0)),NA()))</f>
        <v/>
      </c>
      <c r="F104" s="20">
        <f>IF(AND(ISNUMBER(B104),ISNUMBER(B103)),IF(B104=B103,"",(B104-B103)*100),"")</f>
        <v/>
      </c>
      <c r="G104" s="20">
        <f>IF(AND(ISNUMBER(C104),ISNUMBER(C103)),IF(C104=C103,"",(C104-C103)*100),"")</f>
        <v/>
      </c>
      <c r="H104" s="20">
        <f>IF(OR(NOT(ISNUMBER($A104)),ROW()-2&lt;Settings!$B$11),NA(),IF(COUNT(OFFSET(F104,1-Settings!$B$11,0,Settings!$B$11,1))&lt;ROUNDUP(Settings!$B$11*Settings!$B$26,0),NA(),STDEV(OFFSET(F104,1-Settings!$B$11,0,Settings!$B$11,1))*SQRT(Settings!$B$13)))</f>
        <v/>
      </c>
      <c r="I104" s="20">
        <f>IF(OR(NOT(ISNUMBER($A104)),ROW()-2&lt;Settings!$B$12),NA(),IF(COUNT(OFFSET(F104,1-Settings!$B$12,0,Settings!$B$12,1))&lt;ROUNDUP(Settings!$B$12*Settings!$B$26,0),NA(),STDEV(OFFSET(F104,1-Settings!$B$12,0,Settings!$B$12,1))*SQRT(Settings!$B$13)))</f>
        <v/>
      </c>
      <c r="J104" s="20">
        <f>IF(OR(NOT(ISNUMBER($A104)),ROW()-2&lt;Settings!$B$11),NA(),IF(COUNT(OFFSET(G104,1-Settings!$B$11,0,Settings!$B$11,1))&lt;ROUNDUP(Settings!$B$11*Settings!$B$26,0),NA(),STDEV(OFFSET(G104,1-Settings!$B$11,0,Settings!$B$11,1))*SQRT(Settings!$B$13)))</f>
        <v/>
      </c>
      <c r="K104" s="20">
        <f>IF(OR(NOT(ISNUMBER($A104)),ROW()-2&lt;Settings!$B$12),NA(),IF(COUNT(OFFSET(G104,1-Settings!$B$12,0,Settings!$B$12,1))&lt;ROUNDUP(Settings!$B$12*Settings!$B$26,0),NA(),STDEV(OFFSET(G104,1-Settings!$B$12,0,Settings!$B$12,1))*SQRT(Settings!$B$13)))</f>
        <v/>
      </c>
      <c r="L104" s="20">
        <f>IF(AND(ISNUMBER(D104),ISNUMBER(H104)),D104-H104,NA())</f>
        <v/>
      </c>
      <c r="M104" s="20">
        <f>IF(AND(ISNUMBER(E104),ISNUMBER(K104)),E104-K104,NA())</f>
        <v/>
      </c>
      <c r="N104" s="20">
        <f>IF(NOT(ISNUMBER($A104)),NA(),IF(COUNT(OFFSET(G104,1,0,Settings!$B$12,1))&lt;ROUNDUP(Settings!$B$12*Settings!$B$26,0),NA(),STDEV(OFFSET(G104,1,0,Settings!$B$12,1))*SQRT(Settings!$B$13)))</f>
        <v/>
      </c>
      <c r="O104" s="20">
        <f>IF(AND(ISNUMBER(E104),ISNUMBER(N104)),E104-N104,NA())</f>
        <v/>
      </c>
      <c r="P104" s="19">
        <f>IF(NOT(ISNUMBER($A104)),NA(),IF(OR($A104&lt;MIN(KW_TP!$A$2:$A$2501),$A104&gt;MAX(KW_TP!$A$2:$A$2501)),NA(),INDEX(KW_TP!$C$2:$C$2501,MATCH($A104,KW_TP!$A$2:$A$2501,1))))</f>
        <v/>
      </c>
      <c r="Q104" s="18">
        <f>IF(NOT(ISNUMBER($A104)),NA(),IFERROR(1*INDEX(BBG_Data!$J$2:$J$4000,MATCH($A104,BBG_Data!$I$2:$I$4000,0)),NA()))</f>
        <v/>
      </c>
      <c r="R104" s="18">
        <f>IF(NOT(ISNUMBER($A104)),NA(),IFERROR(1*INDEX(BBG_Data!$L$2:$L$4000,MATCH($A104,BBG_Data!$K$2:$K$4000,0)),NA()))</f>
        <v/>
      </c>
      <c r="S104" s="20">
        <f>IF(AND(ISNUMBER(B104),ISNUMBER(Q104),ISNUMBER(R104)),(B104-Q104-R104)*100,NA())</f>
        <v/>
      </c>
      <c r="T104" s="20">
        <f>IF(AND(ISNUMBER(B104),Settings!$B$17&gt;0),IF(ISNUMBER(INDEX($B:$B,Settings!$B$17)),(B104-INDEX($B:$B,Settings!$B$17))*100,NA()),NA())</f>
        <v/>
      </c>
      <c r="U104" s="20">
        <f>IF(AND(ISNUMBER(Q104),Settings!$B$17&gt;0),IF(ISNUMBER(INDEX($Q:$Q,Settings!$B$17)),(Q104-INDEX($Q:$Q,Settings!$B$17))*100,NA()),NA())</f>
        <v/>
      </c>
      <c r="V104" s="20">
        <f>IF(AND(ISNUMBER(R104),Settings!$B$17&gt;0),IF(ISNUMBER(INDEX($R:$R,Settings!$B$17)),(R104-INDEX($R:$R,Settings!$B$17))*100,NA()),NA())</f>
        <v/>
      </c>
      <c r="W104" s="20">
        <f>IF(AND(ISNUMBER(P104),Settings!$B$17&gt;0),IF(ISNUMBER(INDEX($P:$P,Settings!$B$17)),P104-INDEX($P:$P,Settings!$B$17),NA()),NA())</f>
        <v/>
      </c>
      <c r="X104" s="19">
        <f>IF(NOT(ISNUMBER($A104)),NA(),IF(OR($A104&lt;MIN(DKW_10Y!$A$2:$A$2918),$A104&gt;MAX(DKW_10Y!$A$2:$A$2918),Settings!$B$16&lt;MIN(DKW_10Y!$A$2:$A$2918)),NA(),(INDEX(DKW_10Y!$B$2:$B$2918,MATCH($A104,DKW_10Y!$A$2:$A$2918,1))-INDEX(DKW_10Y!$B$2:$B$2918,MATCH(Settings!$B$16,DKW_10Y!$A$2:$A$2918,1)))*100))</f>
        <v/>
      </c>
      <c r="Y104" s="19">
        <f>IF(NOT(ISNUMBER($A104)),NA(),IF(OR($A104&lt;MIN(DKW_10Y!$A$2:$A$2918),$A104&gt;MAX(DKW_10Y!$A$2:$A$2918),Settings!$B$16&lt;MIN(DKW_10Y!$A$2:$A$2918)),NA(),(INDEX(DKW_10Y!$C$2:$C$2918,MATCH($A104,DKW_10Y!$A$2:$A$2918,1))-INDEX(DKW_10Y!$C$2:$C$2918,MATCH(Settings!$B$16,DKW_10Y!$A$2:$A$2918,1)))*100))</f>
        <v/>
      </c>
      <c r="Z104" s="19">
        <f>IF(NOT(ISNUMBER($A104)),NA(),IF(OR($A104&lt;MIN(DKW_10Y!$A$2:$A$2918),$A104&gt;MAX(DKW_10Y!$A$2:$A$2918),Settings!$B$16&lt;MIN(DKW_10Y!$A$2:$A$2918)),NA(),(INDEX(DKW_10Y!$D$2:$D$2918,MATCH($A104,DKW_10Y!$A$2:$A$2918,1))-INDEX(DKW_10Y!$D$2:$D$2918,MATCH(Settings!$B$16,DKW_10Y!$A$2:$A$2918,1)))*100))</f>
        <v/>
      </c>
      <c r="AA104" s="19">
        <f>IF(NOT(ISNUMBER($A104)),NA(),IF(OR($A104&lt;MIN(DKW_10Y!$A$2:$A$2918),$A104&gt;MAX(DKW_10Y!$A$2:$A$2918),Settings!$B$16&lt;MIN(DKW_10Y!$A$2:$A$2918)),NA(),(INDEX(DKW_10Y!$E$2:$E$2918,MATCH($A104,DKW_10Y!$A$2:$A$2918,1))-INDEX(DKW_10Y!$E$2:$E$2918,MATCH(Settings!$B$16,DKW_10Y!$A$2:$A$2918,1)))*100))</f>
        <v/>
      </c>
      <c r="AB104" s="19">
        <f>IF(NOT(ISNUMBER($A104)),NA(),IF(OR($A104&lt;MIN(DKW_10Y!$A$2:$A$2918),$A104&gt;MAX(DKW_10Y!$A$2:$A$2918),Settings!$B$16&lt;MIN(DKW_10Y!$A$2:$A$2918)),NA(),(INDEX(DKW_10Y!$H$2:$H$2918,MATCH($A104,DKW_10Y!$A$2:$A$2918,1))-INDEX(DKW_10Y!$H$2:$H$2918,MATCH(Settings!$B$16,DKW_10Y!$A$2:$A$2918,1)))*100))</f>
        <v/>
      </c>
      <c r="AC104" s="18">
        <f>IF(NOT(ISNUMBER($A104)),NA(),IFERROR(1*INDEX(BBG_Data!$N$2:$N$4000,MATCH($A104,BBG_Data!$M$2:$M$4000,0)),NA()))</f>
        <v/>
      </c>
      <c r="AD104" s="18">
        <f>IF(NOT(ISNUMBER($A104)),NA(),IFERROR(1*INDEX(BBG_Data!$P$2:$P$4000,MATCH($A104,BBG_Data!$O$2:$O$4000,0)),NA()))</f>
        <v/>
      </c>
      <c r="AE104" s="18">
        <f>IF(NOT(ISNUMBER($A104)),NA(),IFERROR(1*INDEX(BBG_Data!$R$2:$R$4000,MATCH($A104,BBG_Data!$Q$2:$Q$4000,0)),NA()))</f>
        <v/>
      </c>
      <c r="AF104" s="20">
        <f>IF(AND(ISNUMBER(B104),ISNUMBER(AC104)),(B104-AC104)*100,NA())</f>
        <v/>
      </c>
      <c r="AG104" s="20">
        <f>IF(AND(ISNUMBER(AE104),ISNUMBER(AD104)),(AE104-AD104)*100,NA())</f>
        <v/>
      </c>
      <c r="AH104" s="19">
        <f>IF(NOT(ISNUMBER($A104)),NA(),IFERROR(INDEX(BBG_Data!$T$2:$T$4000,MATCH($A104,BBG_Data!$S$2:$S$4000,0))*Settings!$B$25,NA()))</f>
        <v/>
      </c>
      <c r="AI104" s="19">
        <f>IF(NOT(ISNUMBER($A104)),NA(),IFERROR(INDEX(BBG_Data!$V$2:$V$4000,MATCH($A104,BBG_Data!$U$2:$U$4000,0))*Settings!$B$25,NA()))</f>
        <v/>
      </c>
      <c r="AJ104" s="19">
        <f>IF(NOT(ISNUMBER($A104)),NA(),IFERROR(1*INDEX(BBG_Data!$X$2:$X$4000,MATCH($A104,BBG_Data!$W$2:$W$4000,0)),NA()))</f>
        <v/>
      </c>
      <c r="AK104" s="19">
        <f>IF(NOT(ISNUMBER($A104)),NA(),IFERROR(1*INDEX(BBG_Data!$Z$2:$Z$4000,MATCH($A104,BBG_Data!$Y$2:$Y$4000,0)),NA()))</f>
        <v/>
      </c>
    </row>
    <row r="105">
      <c r="A105" s="17">
        <f>IF(ISNUMBER(BBG_Data!A105),BBG_Data!A105,"")</f>
        <v/>
      </c>
      <c r="B105" s="18">
        <f>IF(AND(ISNUMBER($A105),ISNUMBER(BBG_Data!B105)),BBG_Data!B105,NA())</f>
        <v/>
      </c>
      <c r="C105" s="18">
        <f>IF(NOT(ISNUMBER($A105)),NA(),IFERROR(1*INDEX(BBG_Data!$D$2:$D$4000,MATCH($A105,BBG_Data!$C$2:$C$4000,0)),NA()))</f>
        <v/>
      </c>
      <c r="D105" s="19">
        <f>IF(NOT(ISNUMBER($A105)),NA(),IFERROR(1*INDEX(BBG_Data!$F$2:$F$4000,MATCH($A105,BBG_Data!$E$2:$E$4000,0)),NA()))</f>
        <v/>
      </c>
      <c r="E105" s="19">
        <f>IF(NOT(ISNUMBER($A105)),NA(),IFERROR(1*INDEX(BBG_Data!$H$2:$H$4000,MATCH($A105,BBG_Data!$G$2:$G$4000,0)),NA()))</f>
        <v/>
      </c>
      <c r="F105" s="20">
        <f>IF(AND(ISNUMBER(B105),ISNUMBER(B104)),IF(B105=B104,"",(B105-B104)*100),"")</f>
        <v/>
      </c>
      <c r="G105" s="20">
        <f>IF(AND(ISNUMBER(C105),ISNUMBER(C104)),IF(C105=C104,"",(C105-C104)*100),"")</f>
        <v/>
      </c>
      <c r="H105" s="20">
        <f>IF(OR(NOT(ISNUMBER($A105)),ROW()-2&lt;Settings!$B$11),NA(),IF(COUNT(OFFSET(F105,1-Settings!$B$11,0,Settings!$B$11,1))&lt;ROUNDUP(Settings!$B$11*Settings!$B$26,0),NA(),STDEV(OFFSET(F105,1-Settings!$B$11,0,Settings!$B$11,1))*SQRT(Settings!$B$13)))</f>
        <v/>
      </c>
      <c r="I105" s="20">
        <f>IF(OR(NOT(ISNUMBER($A105)),ROW()-2&lt;Settings!$B$12),NA(),IF(COUNT(OFFSET(F105,1-Settings!$B$12,0,Settings!$B$12,1))&lt;ROUNDUP(Settings!$B$12*Settings!$B$26,0),NA(),STDEV(OFFSET(F105,1-Settings!$B$12,0,Settings!$B$12,1))*SQRT(Settings!$B$13)))</f>
        <v/>
      </c>
      <c r="J105" s="20">
        <f>IF(OR(NOT(ISNUMBER($A105)),ROW()-2&lt;Settings!$B$11),NA(),IF(COUNT(OFFSET(G105,1-Settings!$B$11,0,Settings!$B$11,1))&lt;ROUNDUP(Settings!$B$11*Settings!$B$26,0),NA(),STDEV(OFFSET(G105,1-Settings!$B$11,0,Settings!$B$11,1))*SQRT(Settings!$B$13)))</f>
        <v/>
      </c>
      <c r="K105" s="20">
        <f>IF(OR(NOT(ISNUMBER($A105)),ROW()-2&lt;Settings!$B$12),NA(),IF(COUNT(OFFSET(G105,1-Settings!$B$12,0,Settings!$B$12,1))&lt;ROUNDUP(Settings!$B$12*Settings!$B$26,0),NA(),STDEV(OFFSET(G105,1-Settings!$B$12,0,Settings!$B$12,1))*SQRT(Settings!$B$13)))</f>
        <v/>
      </c>
      <c r="L105" s="20">
        <f>IF(AND(ISNUMBER(D105),ISNUMBER(H105)),D105-H105,NA())</f>
        <v/>
      </c>
      <c r="M105" s="20">
        <f>IF(AND(ISNUMBER(E105),ISNUMBER(K105)),E105-K105,NA())</f>
        <v/>
      </c>
      <c r="N105" s="20">
        <f>IF(NOT(ISNUMBER($A105)),NA(),IF(COUNT(OFFSET(G105,1,0,Settings!$B$12,1))&lt;ROUNDUP(Settings!$B$12*Settings!$B$26,0),NA(),STDEV(OFFSET(G105,1,0,Settings!$B$12,1))*SQRT(Settings!$B$13)))</f>
        <v/>
      </c>
      <c r="O105" s="20">
        <f>IF(AND(ISNUMBER(E105),ISNUMBER(N105)),E105-N105,NA())</f>
        <v/>
      </c>
      <c r="P105" s="19">
        <f>IF(NOT(ISNUMBER($A105)),NA(),IF(OR($A105&lt;MIN(KW_TP!$A$2:$A$2501),$A105&gt;MAX(KW_TP!$A$2:$A$2501)),NA(),INDEX(KW_TP!$C$2:$C$2501,MATCH($A105,KW_TP!$A$2:$A$2501,1))))</f>
        <v/>
      </c>
      <c r="Q105" s="18">
        <f>IF(NOT(ISNUMBER($A105)),NA(),IFERROR(1*INDEX(BBG_Data!$J$2:$J$4000,MATCH($A105,BBG_Data!$I$2:$I$4000,0)),NA()))</f>
        <v/>
      </c>
      <c r="R105" s="18">
        <f>IF(NOT(ISNUMBER($A105)),NA(),IFERROR(1*INDEX(BBG_Data!$L$2:$L$4000,MATCH($A105,BBG_Data!$K$2:$K$4000,0)),NA()))</f>
        <v/>
      </c>
      <c r="S105" s="20">
        <f>IF(AND(ISNUMBER(B105),ISNUMBER(Q105),ISNUMBER(R105)),(B105-Q105-R105)*100,NA())</f>
        <v/>
      </c>
      <c r="T105" s="20">
        <f>IF(AND(ISNUMBER(B105),Settings!$B$17&gt;0),IF(ISNUMBER(INDEX($B:$B,Settings!$B$17)),(B105-INDEX($B:$B,Settings!$B$17))*100,NA()),NA())</f>
        <v/>
      </c>
      <c r="U105" s="20">
        <f>IF(AND(ISNUMBER(Q105),Settings!$B$17&gt;0),IF(ISNUMBER(INDEX($Q:$Q,Settings!$B$17)),(Q105-INDEX($Q:$Q,Settings!$B$17))*100,NA()),NA())</f>
        <v/>
      </c>
      <c r="V105" s="20">
        <f>IF(AND(ISNUMBER(R105),Settings!$B$17&gt;0),IF(ISNUMBER(INDEX($R:$R,Settings!$B$17)),(R105-INDEX($R:$R,Settings!$B$17))*100,NA()),NA())</f>
        <v/>
      </c>
      <c r="W105" s="20">
        <f>IF(AND(ISNUMBER(P105),Settings!$B$17&gt;0),IF(ISNUMBER(INDEX($P:$P,Settings!$B$17)),P105-INDEX($P:$P,Settings!$B$17),NA()),NA())</f>
        <v/>
      </c>
      <c r="X105" s="19">
        <f>IF(NOT(ISNUMBER($A105)),NA(),IF(OR($A105&lt;MIN(DKW_10Y!$A$2:$A$2918),$A105&gt;MAX(DKW_10Y!$A$2:$A$2918),Settings!$B$16&lt;MIN(DKW_10Y!$A$2:$A$2918)),NA(),(INDEX(DKW_10Y!$B$2:$B$2918,MATCH($A105,DKW_10Y!$A$2:$A$2918,1))-INDEX(DKW_10Y!$B$2:$B$2918,MATCH(Settings!$B$16,DKW_10Y!$A$2:$A$2918,1)))*100))</f>
        <v/>
      </c>
      <c r="Y105" s="19">
        <f>IF(NOT(ISNUMBER($A105)),NA(),IF(OR($A105&lt;MIN(DKW_10Y!$A$2:$A$2918),$A105&gt;MAX(DKW_10Y!$A$2:$A$2918),Settings!$B$16&lt;MIN(DKW_10Y!$A$2:$A$2918)),NA(),(INDEX(DKW_10Y!$C$2:$C$2918,MATCH($A105,DKW_10Y!$A$2:$A$2918,1))-INDEX(DKW_10Y!$C$2:$C$2918,MATCH(Settings!$B$16,DKW_10Y!$A$2:$A$2918,1)))*100))</f>
        <v/>
      </c>
      <c r="Z105" s="19">
        <f>IF(NOT(ISNUMBER($A105)),NA(),IF(OR($A105&lt;MIN(DKW_10Y!$A$2:$A$2918),$A105&gt;MAX(DKW_10Y!$A$2:$A$2918),Settings!$B$16&lt;MIN(DKW_10Y!$A$2:$A$2918)),NA(),(INDEX(DKW_10Y!$D$2:$D$2918,MATCH($A105,DKW_10Y!$A$2:$A$2918,1))-INDEX(DKW_10Y!$D$2:$D$2918,MATCH(Settings!$B$16,DKW_10Y!$A$2:$A$2918,1)))*100))</f>
        <v/>
      </c>
      <c r="AA105" s="19">
        <f>IF(NOT(ISNUMBER($A105)),NA(),IF(OR($A105&lt;MIN(DKW_10Y!$A$2:$A$2918),$A105&gt;MAX(DKW_10Y!$A$2:$A$2918),Settings!$B$16&lt;MIN(DKW_10Y!$A$2:$A$2918)),NA(),(INDEX(DKW_10Y!$E$2:$E$2918,MATCH($A105,DKW_10Y!$A$2:$A$2918,1))-INDEX(DKW_10Y!$E$2:$E$2918,MATCH(Settings!$B$16,DKW_10Y!$A$2:$A$2918,1)))*100))</f>
        <v/>
      </c>
      <c r="AB105" s="19">
        <f>IF(NOT(ISNUMBER($A105)),NA(),IF(OR($A105&lt;MIN(DKW_10Y!$A$2:$A$2918),$A105&gt;MAX(DKW_10Y!$A$2:$A$2918),Settings!$B$16&lt;MIN(DKW_10Y!$A$2:$A$2918)),NA(),(INDEX(DKW_10Y!$H$2:$H$2918,MATCH($A105,DKW_10Y!$A$2:$A$2918,1))-INDEX(DKW_10Y!$H$2:$H$2918,MATCH(Settings!$B$16,DKW_10Y!$A$2:$A$2918,1)))*100))</f>
        <v/>
      </c>
      <c r="AC105" s="18">
        <f>IF(NOT(ISNUMBER($A105)),NA(),IFERROR(1*INDEX(BBG_Data!$N$2:$N$4000,MATCH($A105,BBG_Data!$M$2:$M$4000,0)),NA()))</f>
        <v/>
      </c>
      <c r="AD105" s="18">
        <f>IF(NOT(ISNUMBER($A105)),NA(),IFERROR(1*INDEX(BBG_Data!$P$2:$P$4000,MATCH($A105,BBG_Data!$O$2:$O$4000,0)),NA()))</f>
        <v/>
      </c>
      <c r="AE105" s="18">
        <f>IF(NOT(ISNUMBER($A105)),NA(),IFERROR(1*INDEX(BBG_Data!$R$2:$R$4000,MATCH($A105,BBG_Data!$Q$2:$Q$4000,0)),NA()))</f>
        <v/>
      </c>
      <c r="AF105" s="20">
        <f>IF(AND(ISNUMBER(B105),ISNUMBER(AC105)),(B105-AC105)*100,NA())</f>
        <v/>
      </c>
      <c r="AG105" s="20">
        <f>IF(AND(ISNUMBER(AE105),ISNUMBER(AD105)),(AE105-AD105)*100,NA())</f>
        <v/>
      </c>
      <c r="AH105" s="19">
        <f>IF(NOT(ISNUMBER($A105)),NA(),IFERROR(INDEX(BBG_Data!$T$2:$T$4000,MATCH($A105,BBG_Data!$S$2:$S$4000,0))*Settings!$B$25,NA()))</f>
        <v/>
      </c>
      <c r="AI105" s="19">
        <f>IF(NOT(ISNUMBER($A105)),NA(),IFERROR(INDEX(BBG_Data!$V$2:$V$4000,MATCH($A105,BBG_Data!$U$2:$U$4000,0))*Settings!$B$25,NA()))</f>
        <v/>
      </c>
      <c r="AJ105" s="19">
        <f>IF(NOT(ISNUMBER($A105)),NA(),IFERROR(1*INDEX(BBG_Data!$X$2:$X$4000,MATCH($A105,BBG_Data!$W$2:$W$4000,0)),NA()))</f>
        <v/>
      </c>
      <c r="AK105" s="19">
        <f>IF(NOT(ISNUMBER($A105)),NA(),IFERROR(1*INDEX(BBG_Data!$Z$2:$Z$4000,MATCH($A105,BBG_Data!$Y$2:$Y$4000,0)),NA()))</f>
        <v/>
      </c>
    </row>
    <row r="106">
      <c r="A106" s="17">
        <f>IF(ISNUMBER(BBG_Data!A106),BBG_Data!A106,"")</f>
        <v/>
      </c>
      <c r="B106" s="18">
        <f>IF(AND(ISNUMBER($A106),ISNUMBER(BBG_Data!B106)),BBG_Data!B106,NA())</f>
        <v/>
      </c>
      <c r="C106" s="18">
        <f>IF(NOT(ISNUMBER($A106)),NA(),IFERROR(1*INDEX(BBG_Data!$D$2:$D$4000,MATCH($A106,BBG_Data!$C$2:$C$4000,0)),NA()))</f>
        <v/>
      </c>
      <c r="D106" s="19">
        <f>IF(NOT(ISNUMBER($A106)),NA(),IFERROR(1*INDEX(BBG_Data!$F$2:$F$4000,MATCH($A106,BBG_Data!$E$2:$E$4000,0)),NA()))</f>
        <v/>
      </c>
      <c r="E106" s="19">
        <f>IF(NOT(ISNUMBER($A106)),NA(),IFERROR(1*INDEX(BBG_Data!$H$2:$H$4000,MATCH($A106,BBG_Data!$G$2:$G$4000,0)),NA()))</f>
        <v/>
      </c>
      <c r="F106" s="20">
        <f>IF(AND(ISNUMBER(B106),ISNUMBER(B105)),IF(B106=B105,"",(B106-B105)*100),"")</f>
        <v/>
      </c>
      <c r="G106" s="20">
        <f>IF(AND(ISNUMBER(C106),ISNUMBER(C105)),IF(C106=C105,"",(C106-C105)*100),"")</f>
        <v/>
      </c>
      <c r="H106" s="20">
        <f>IF(OR(NOT(ISNUMBER($A106)),ROW()-2&lt;Settings!$B$11),NA(),IF(COUNT(OFFSET(F106,1-Settings!$B$11,0,Settings!$B$11,1))&lt;ROUNDUP(Settings!$B$11*Settings!$B$26,0),NA(),STDEV(OFFSET(F106,1-Settings!$B$11,0,Settings!$B$11,1))*SQRT(Settings!$B$13)))</f>
        <v/>
      </c>
      <c r="I106" s="20">
        <f>IF(OR(NOT(ISNUMBER($A106)),ROW()-2&lt;Settings!$B$12),NA(),IF(COUNT(OFFSET(F106,1-Settings!$B$12,0,Settings!$B$12,1))&lt;ROUNDUP(Settings!$B$12*Settings!$B$26,0),NA(),STDEV(OFFSET(F106,1-Settings!$B$12,0,Settings!$B$12,1))*SQRT(Settings!$B$13)))</f>
        <v/>
      </c>
      <c r="J106" s="20">
        <f>IF(OR(NOT(ISNUMBER($A106)),ROW()-2&lt;Settings!$B$11),NA(),IF(COUNT(OFFSET(G106,1-Settings!$B$11,0,Settings!$B$11,1))&lt;ROUNDUP(Settings!$B$11*Settings!$B$26,0),NA(),STDEV(OFFSET(G106,1-Settings!$B$11,0,Settings!$B$11,1))*SQRT(Settings!$B$13)))</f>
        <v/>
      </c>
      <c r="K106" s="20">
        <f>IF(OR(NOT(ISNUMBER($A106)),ROW()-2&lt;Settings!$B$12),NA(),IF(COUNT(OFFSET(G106,1-Settings!$B$12,0,Settings!$B$12,1))&lt;ROUNDUP(Settings!$B$12*Settings!$B$26,0),NA(),STDEV(OFFSET(G106,1-Settings!$B$12,0,Settings!$B$12,1))*SQRT(Settings!$B$13)))</f>
        <v/>
      </c>
      <c r="L106" s="20">
        <f>IF(AND(ISNUMBER(D106),ISNUMBER(H106)),D106-H106,NA())</f>
        <v/>
      </c>
      <c r="M106" s="20">
        <f>IF(AND(ISNUMBER(E106),ISNUMBER(K106)),E106-K106,NA())</f>
        <v/>
      </c>
      <c r="N106" s="20">
        <f>IF(NOT(ISNUMBER($A106)),NA(),IF(COUNT(OFFSET(G106,1,0,Settings!$B$12,1))&lt;ROUNDUP(Settings!$B$12*Settings!$B$26,0),NA(),STDEV(OFFSET(G106,1,0,Settings!$B$12,1))*SQRT(Settings!$B$13)))</f>
        <v/>
      </c>
      <c r="O106" s="20">
        <f>IF(AND(ISNUMBER(E106),ISNUMBER(N106)),E106-N106,NA())</f>
        <v/>
      </c>
      <c r="P106" s="19">
        <f>IF(NOT(ISNUMBER($A106)),NA(),IF(OR($A106&lt;MIN(KW_TP!$A$2:$A$2501),$A106&gt;MAX(KW_TP!$A$2:$A$2501)),NA(),INDEX(KW_TP!$C$2:$C$2501,MATCH($A106,KW_TP!$A$2:$A$2501,1))))</f>
        <v/>
      </c>
      <c r="Q106" s="18">
        <f>IF(NOT(ISNUMBER($A106)),NA(),IFERROR(1*INDEX(BBG_Data!$J$2:$J$4000,MATCH($A106,BBG_Data!$I$2:$I$4000,0)),NA()))</f>
        <v/>
      </c>
      <c r="R106" s="18">
        <f>IF(NOT(ISNUMBER($A106)),NA(),IFERROR(1*INDEX(BBG_Data!$L$2:$L$4000,MATCH($A106,BBG_Data!$K$2:$K$4000,0)),NA()))</f>
        <v/>
      </c>
      <c r="S106" s="20">
        <f>IF(AND(ISNUMBER(B106),ISNUMBER(Q106),ISNUMBER(R106)),(B106-Q106-R106)*100,NA())</f>
        <v/>
      </c>
      <c r="T106" s="20">
        <f>IF(AND(ISNUMBER(B106),Settings!$B$17&gt;0),IF(ISNUMBER(INDEX($B:$B,Settings!$B$17)),(B106-INDEX($B:$B,Settings!$B$17))*100,NA()),NA())</f>
        <v/>
      </c>
      <c r="U106" s="20">
        <f>IF(AND(ISNUMBER(Q106),Settings!$B$17&gt;0),IF(ISNUMBER(INDEX($Q:$Q,Settings!$B$17)),(Q106-INDEX($Q:$Q,Settings!$B$17))*100,NA()),NA())</f>
        <v/>
      </c>
      <c r="V106" s="20">
        <f>IF(AND(ISNUMBER(R106),Settings!$B$17&gt;0),IF(ISNUMBER(INDEX($R:$R,Settings!$B$17)),(R106-INDEX($R:$R,Settings!$B$17))*100,NA()),NA())</f>
        <v/>
      </c>
      <c r="W106" s="20">
        <f>IF(AND(ISNUMBER(P106),Settings!$B$17&gt;0),IF(ISNUMBER(INDEX($P:$P,Settings!$B$17)),P106-INDEX($P:$P,Settings!$B$17),NA()),NA())</f>
        <v/>
      </c>
      <c r="X106" s="19">
        <f>IF(NOT(ISNUMBER($A106)),NA(),IF(OR($A106&lt;MIN(DKW_10Y!$A$2:$A$2918),$A106&gt;MAX(DKW_10Y!$A$2:$A$2918),Settings!$B$16&lt;MIN(DKW_10Y!$A$2:$A$2918)),NA(),(INDEX(DKW_10Y!$B$2:$B$2918,MATCH($A106,DKW_10Y!$A$2:$A$2918,1))-INDEX(DKW_10Y!$B$2:$B$2918,MATCH(Settings!$B$16,DKW_10Y!$A$2:$A$2918,1)))*100))</f>
        <v/>
      </c>
      <c r="Y106" s="19">
        <f>IF(NOT(ISNUMBER($A106)),NA(),IF(OR($A106&lt;MIN(DKW_10Y!$A$2:$A$2918),$A106&gt;MAX(DKW_10Y!$A$2:$A$2918),Settings!$B$16&lt;MIN(DKW_10Y!$A$2:$A$2918)),NA(),(INDEX(DKW_10Y!$C$2:$C$2918,MATCH($A106,DKW_10Y!$A$2:$A$2918,1))-INDEX(DKW_10Y!$C$2:$C$2918,MATCH(Settings!$B$16,DKW_10Y!$A$2:$A$2918,1)))*100))</f>
        <v/>
      </c>
      <c r="Z106" s="19">
        <f>IF(NOT(ISNUMBER($A106)),NA(),IF(OR($A106&lt;MIN(DKW_10Y!$A$2:$A$2918),$A106&gt;MAX(DKW_10Y!$A$2:$A$2918),Settings!$B$16&lt;MIN(DKW_10Y!$A$2:$A$2918)),NA(),(INDEX(DKW_10Y!$D$2:$D$2918,MATCH($A106,DKW_10Y!$A$2:$A$2918,1))-INDEX(DKW_10Y!$D$2:$D$2918,MATCH(Settings!$B$16,DKW_10Y!$A$2:$A$2918,1)))*100))</f>
        <v/>
      </c>
      <c r="AA106" s="19">
        <f>IF(NOT(ISNUMBER($A106)),NA(),IF(OR($A106&lt;MIN(DKW_10Y!$A$2:$A$2918),$A106&gt;MAX(DKW_10Y!$A$2:$A$2918),Settings!$B$16&lt;MIN(DKW_10Y!$A$2:$A$2918)),NA(),(INDEX(DKW_10Y!$E$2:$E$2918,MATCH($A106,DKW_10Y!$A$2:$A$2918,1))-INDEX(DKW_10Y!$E$2:$E$2918,MATCH(Settings!$B$16,DKW_10Y!$A$2:$A$2918,1)))*100))</f>
        <v/>
      </c>
      <c r="AB106" s="19">
        <f>IF(NOT(ISNUMBER($A106)),NA(),IF(OR($A106&lt;MIN(DKW_10Y!$A$2:$A$2918),$A106&gt;MAX(DKW_10Y!$A$2:$A$2918),Settings!$B$16&lt;MIN(DKW_10Y!$A$2:$A$2918)),NA(),(INDEX(DKW_10Y!$H$2:$H$2918,MATCH($A106,DKW_10Y!$A$2:$A$2918,1))-INDEX(DKW_10Y!$H$2:$H$2918,MATCH(Settings!$B$16,DKW_10Y!$A$2:$A$2918,1)))*100))</f>
        <v/>
      </c>
      <c r="AC106" s="18">
        <f>IF(NOT(ISNUMBER($A106)),NA(),IFERROR(1*INDEX(BBG_Data!$N$2:$N$4000,MATCH($A106,BBG_Data!$M$2:$M$4000,0)),NA()))</f>
        <v/>
      </c>
      <c r="AD106" s="18">
        <f>IF(NOT(ISNUMBER($A106)),NA(),IFERROR(1*INDEX(BBG_Data!$P$2:$P$4000,MATCH($A106,BBG_Data!$O$2:$O$4000,0)),NA()))</f>
        <v/>
      </c>
      <c r="AE106" s="18">
        <f>IF(NOT(ISNUMBER($A106)),NA(),IFERROR(1*INDEX(BBG_Data!$R$2:$R$4000,MATCH($A106,BBG_Data!$Q$2:$Q$4000,0)),NA()))</f>
        <v/>
      </c>
      <c r="AF106" s="20">
        <f>IF(AND(ISNUMBER(B106),ISNUMBER(AC106)),(B106-AC106)*100,NA())</f>
        <v/>
      </c>
      <c r="AG106" s="20">
        <f>IF(AND(ISNUMBER(AE106),ISNUMBER(AD106)),(AE106-AD106)*100,NA())</f>
        <v/>
      </c>
      <c r="AH106" s="19">
        <f>IF(NOT(ISNUMBER($A106)),NA(),IFERROR(INDEX(BBG_Data!$T$2:$T$4000,MATCH($A106,BBG_Data!$S$2:$S$4000,0))*Settings!$B$25,NA()))</f>
        <v/>
      </c>
      <c r="AI106" s="19">
        <f>IF(NOT(ISNUMBER($A106)),NA(),IFERROR(INDEX(BBG_Data!$V$2:$V$4000,MATCH($A106,BBG_Data!$U$2:$U$4000,0))*Settings!$B$25,NA()))</f>
        <v/>
      </c>
      <c r="AJ106" s="19">
        <f>IF(NOT(ISNUMBER($A106)),NA(),IFERROR(1*INDEX(BBG_Data!$X$2:$X$4000,MATCH($A106,BBG_Data!$W$2:$W$4000,0)),NA()))</f>
        <v/>
      </c>
      <c r="AK106" s="19">
        <f>IF(NOT(ISNUMBER($A106)),NA(),IFERROR(1*INDEX(BBG_Data!$Z$2:$Z$4000,MATCH($A106,BBG_Data!$Y$2:$Y$4000,0)),NA()))</f>
        <v/>
      </c>
    </row>
    <row r="107">
      <c r="A107" s="17">
        <f>IF(ISNUMBER(BBG_Data!A107),BBG_Data!A107,"")</f>
        <v/>
      </c>
      <c r="B107" s="18">
        <f>IF(AND(ISNUMBER($A107),ISNUMBER(BBG_Data!B107)),BBG_Data!B107,NA())</f>
        <v/>
      </c>
      <c r="C107" s="18">
        <f>IF(NOT(ISNUMBER($A107)),NA(),IFERROR(1*INDEX(BBG_Data!$D$2:$D$4000,MATCH($A107,BBG_Data!$C$2:$C$4000,0)),NA()))</f>
        <v/>
      </c>
      <c r="D107" s="19">
        <f>IF(NOT(ISNUMBER($A107)),NA(),IFERROR(1*INDEX(BBG_Data!$F$2:$F$4000,MATCH($A107,BBG_Data!$E$2:$E$4000,0)),NA()))</f>
        <v/>
      </c>
      <c r="E107" s="19">
        <f>IF(NOT(ISNUMBER($A107)),NA(),IFERROR(1*INDEX(BBG_Data!$H$2:$H$4000,MATCH($A107,BBG_Data!$G$2:$G$4000,0)),NA()))</f>
        <v/>
      </c>
      <c r="F107" s="20">
        <f>IF(AND(ISNUMBER(B107),ISNUMBER(B106)),IF(B107=B106,"",(B107-B106)*100),"")</f>
        <v/>
      </c>
      <c r="G107" s="20">
        <f>IF(AND(ISNUMBER(C107),ISNUMBER(C106)),IF(C107=C106,"",(C107-C106)*100),"")</f>
        <v/>
      </c>
      <c r="H107" s="20">
        <f>IF(OR(NOT(ISNUMBER($A107)),ROW()-2&lt;Settings!$B$11),NA(),IF(COUNT(OFFSET(F107,1-Settings!$B$11,0,Settings!$B$11,1))&lt;ROUNDUP(Settings!$B$11*Settings!$B$26,0),NA(),STDEV(OFFSET(F107,1-Settings!$B$11,0,Settings!$B$11,1))*SQRT(Settings!$B$13)))</f>
        <v/>
      </c>
      <c r="I107" s="20">
        <f>IF(OR(NOT(ISNUMBER($A107)),ROW()-2&lt;Settings!$B$12),NA(),IF(COUNT(OFFSET(F107,1-Settings!$B$12,0,Settings!$B$12,1))&lt;ROUNDUP(Settings!$B$12*Settings!$B$26,0),NA(),STDEV(OFFSET(F107,1-Settings!$B$12,0,Settings!$B$12,1))*SQRT(Settings!$B$13)))</f>
        <v/>
      </c>
      <c r="J107" s="20">
        <f>IF(OR(NOT(ISNUMBER($A107)),ROW()-2&lt;Settings!$B$11),NA(),IF(COUNT(OFFSET(G107,1-Settings!$B$11,0,Settings!$B$11,1))&lt;ROUNDUP(Settings!$B$11*Settings!$B$26,0),NA(),STDEV(OFFSET(G107,1-Settings!$B$11,0,Settings!$B$11,1))*SQRT(Settings!$B$13)))</f>
        <v/>
      </c>
      <c r="K107" s="20">
        <f>IF(OR(NOT(ISNUMBER($A107)),ROW()-2&lt;Settings!$B$12),NA(),IF(COUNT(OFFSET(G107,1-Settings!$B$12,0,Settings!$B$12,1))&lt;ROUNDUP(Settings!$B$12*Settings!$B$26,0),NA(),STDEV(OFFSET(G107,1-Settings!$B$12,0,Settings!$B$12,1))*SQRT(Settings!$B$13)))</f>
        <v/>
      </c>
      <c r="L107" s="20">
        <f>IF(AND(ISNUMBER(D107),ISNUMBER(H107)),D107-H107,NA())</f>
        <v/>
      </c>
      <c r="M107" s="20">
        <f>IF(AND(ISNUMBER(E107),ISNUMBER(K107)),E107-K107,NA())</f>
        <v/>
      </c>
      <c r="N107" s="20">
        <f>IF(NOT(ISNUMBER($A107)),NA(),IF(COUNT(OFFSET(G107,1,0,Settings!$B$12,1))&lt;ROUNDUP(Settings!$B$12*Settings!$B$26,0),NA(),STDEV(OFFSET(G107,1,0,Settings!$B$12,1))*SQRT(Settings!$B$13)))</f>
        <v/>
      </c>
      <c r="O107" s="20">
        <f>IF(AND(ISNUMBER(E107),ISNUMBER(N107)),E107-N107,NA())</f>
        <v/>
      </c>
      <c r="P107" s="19">
        <f>IF(NOT(ISNUMBER($A107)),NA(),IF(OR($A107&lt;MIN(KW_TP!$A$2:$A$2501),$A107&gt;MAX(KW_TP!$A$2:$A$2501)),NA(),INDEX(KW_TP!$C$2:$C$2501,MATCH($A107,KW_TP!$A$2:$A$2501,1))))</f>
        <v/>
      </c>
      <c r="Q107" s="18">
        <f>IF(NOT(ISNUMBER($A107)),NA(),IFERROR(1*INDEX(BBG_Data!$J$2:$J$4000,MATCH($A107,BBG_Data!$I$2:$I$4000,0)),NA()))</f>
        <v/>
      </c>
      <c r="R107" s="18">
        <f>IF(NOT(ISNUMBER($A107)),NA(),IFERROR(1*INDEX(BBG_Data!$L$2:$L$4000,MATCH($A107,BBG_Data!$K$2:$K$4000,0)),NA()))</f>
        <v/>
      </c>
      <c r="S107" s="20">
        <f>IF(AND(ISNUMBER(B107),ISNUMBER(Q107),ISNUMBER(R107)),(B107-Q107-R107)*100,NA())</f>
        <v/>
      </c>
      <c r="T107" s="20">
        <f>IF(AND(ISNUMBER(B107),Settings!$B$17&gt;0),IF(ISNUMBER(INDEX($B:$B,Settings!$B$17)),(B107-INDEX($B:$B,Settings!$B$17))*100,NA()),NA())</f>
        <v/>
      </c>
      <c r="U107" s="20">
        <f>IF(AND(ISNUMBER(Q107),Settings!$B$17&gt;0),IF(ISNUMBER(INDEX($Q:$Q,Settings!$B$17)),(Q107-INDEX($Q:$Q,Settings!$B$17))*100,NA()),NA())</f>
        <v/>
      </c>
      <c r="V107" s="20">
        <f>IF(AND(ISNUMBER(R107),Settings!$B$17&gt;0),IF(ISNUMBER(INDEX($R:$R,Settings!$B$17)),(R107-INDEX($R:$R,Settings!$B$17))*100,NA()),NA())</f>
        <v/>
      </c>
      <c r="W107" s="20">
        <f>IF(AND(ISNUMBER(P107),Settings!$B$17&gt;0),IF(ISNUMBER(INDEX($P:$P,Settings!$B$17)),P107-INDEX($P:$P,Settings!$B$17),NA()),NA())</f>
        <v/>
      </c>
      <c r="X107" s="19">
        <f>IF(NOT(ISNUMBER($A107)),NA(),IF(OR($A107&lt;MIN(DKW_10Y!$A$2:$A$2918),$A107&gt;MAX(DKW_10Y!$A$2:$A$2918),Settings!$B$16&lt;MIN(DKW_10Y!$A$2:$A$2918)),NA(),(INDEX(DKW_10Y!$B$2:$B$2918,MATCH($A107,DKW_10Y!$A$2:$A$2918,1))-INDEX(DKW_10Y!$B$2:$B$2918,MATCH(Settings!$B$16,DKW_10Y!$A$2:$A$2918,1)))*100))</f>
        <v/>
      </c>
      <c r="Y107" s="19">
        <f>IF(NOT(ISNUMBER($A107)),NA(),IF(OR($A107&lt;MIN(DKW_10Y!$A$2:$A$2918),$A107&gt;MAX(DKW_10Y!$A$2:$A$2918),Settings!$B$16&lt;MIN(DKW_10Y!$A$2:$A$2918)),NA(),(INDEX(DKW_10Y!$C$2:$C$2918,MATCH($A107,DKW_10Y!$A$2:$A$2918,1))-INDEX(DKW_10Y!$C$2:$C$2918,MATCH(Settings!$B$16,DKW_10Y!$A$2:$A$2918,1)))*100))</f>
        <v/>
      </c>
      <c r="Z107" s="19">
        <f>IF(NOT(ISNUMBER($A107)),NA(),IF(OR($A107&lt;MIN(DKW_10Y!$A$2:$A$2918),$A107&gt;MAX(DKW_10Y!$A$2:$A$2918),Settings!$B$16&lt;MIN(DKW_10Y!$A$2:$A$2918)),NA(),(INDEX(DKW_10Y!$D$2:$D$2918,MATCH($A107,DKW_10Y!$A$2:$A$2918,1))-INDEX(DKW_10Y!$D$2:$D$2918,MATCH(Settings!$B$16,DKW_10Y!$A$2:$A$2918,1)))*100))</f>
        <v/>
      </c>
      <c r="AA107" s="19">
        <f>IF(NOT(ISNUMBER($A107)),NA(),IF(OR($A107&lt;MIN(DKW_10Y!$A$2:$A$2918),$A107&gt;MAX(DKW_10Y!$A$2:$A$2918),Settings!$B$16&lt;MIN(DKW_10Y!$A$2:$A$2918)),NA(),(INDEX(DKW_10Y!$E$2:$E$2918,MATCH($A107,DKW_10Y!$A$2:$A$2918,1))-INDEX(DKW_10Y!$E$2:$E$2918,MATCH(Settings!$B$16,DKW_10Y!$A$2:$A$2918,1)))*100))</f>
        <v/>
      </c>
      <c r="AB107" s="19">
        <f>IF(NOT(ISNUMBER($A107)),NA(),IF(OR($A107&lt;MIN(DKW_10Y!$A$2:$A$2918),$A107&gt;MAX(DKW_10Y!$A$2:$A$2918),Settings!$B$16&lt;MIN(DKW_10Y!$A$2:$A$2918)),NA(),(INDEX(DKW_10Y!$H$2:$H$2918,MATCH($A107,DKW_10Y!$A$2:$A$2918,1))-INDEX(DKW_10Y!$H$2:$H$2918,MATCH(Settings!$B$16,DKW_10Y!$A$2:$A$2918,1)))*100))</f>
        <v/>
      </c>
      <c r="AC107" s="18">
        <f>IF(NOT(ISNUMBER($A107)),NA(),IFERROR(1*INDEX(BBG_Data!$N$2:$N$4000,MATCH($A107,BBG_Data!$M$2:$M$4000,0)),NA()))</f>
        <v/>
      </c>
      <c r="AD107" s="18">
        <f>IF(NOT(ISNUMBER($A107)),NA(),IFERROR(1*INDEX(BBG_Data!$P$2:$P$4000,MATCH($A107,BBG_Data!$O$2:$O$4000,0)),NA()))</f>
        <v/>
      </c>
      <c r="AE107" s="18">
        <f>IF(NOT(ISNUMBER($A107)),NA(),IFERROR(1*INDEX(BBG_Data!$R$2:$R$4000,MATCH($A107,BBG_Data!$Q$2:$Q$4000,0)),NA()))</f>
        <v/>
      </c>
      <c r="AF107" s="20">
        <f>IF(AND(ISNUMBER(B107),ISNUMBER(AC107)),(B107-AC107)*100,NA())</f>
        <v/>
      </c>
      <c r="AG107" s="20">
        <f>IF(AND(ISNUMBER(AE107),ISNUMBER(AD107)),(AE107-AD107)*100,NA())</f>
        <v/>
      </c>
      <c r="AH107" s="19">
        <f>IF(NOT(ISNUMBER($A107)),NA(),IFERROR(INDEX(BBG_Data!$T$2:$T$4000,MATCH($A107,BBG_Data!$S$2:$S$4000,0))*Settings!$B$25,NA()))</f>
        <v/>
      </c>
      <c r="AI107" s="19">
        <f>IF(NOT(ISNUMBER($A107)),NA(),IFERROR(INDEX(BBG_Data!$V$2:$V$4000,MATCH($A107,BBG_Data!$U$2:$U$4000,0))*Settings!$B$25,NA()))</f>
        <v/>
      </c>
      <c r="AJ107" s="19">
        <f>IF(NOT(ISNUMBER($A107)),NA(),IFERROR(1*INDEX(BBG_Data!$X$2:$X$4000,MATCH($A107,BBG_Data!$W$2:$W$4000,0)),NA()))</f>
        <v/>
      </c>
      <c r="AK107" s="19">
        <f>IF(NOT(ISNUMBER($A107)),NA(),IFERROR(1*INDEX(BBG_Data!$Z$2:$Z$4000,MATCH($A107,BBG_Data!$Y$2:$Y$4000,0)),NA()))</f>
        <v/>
      </c>
    </row>
    <row r="108">
      <c r="A108" s="17">
        <f>IF(ISNUMBER(BBG_Data!A108),BBG_Data!A108,"")</f>
        <v/>
      </c>
      <c r="B108" s="18">
        <f>IF(AND(ISNUMBER($A108),ISNUMBER(BBG_Data!B108)),BBG_Data!B108,NA())</f>
        <v/>
      </c>
      <c r="C108" s="18">
        <f>IF(NOT(ISNUMBER($A108)),NA(),IFERROR(1*INDEX(BBG_Data!$D$2:$D$4000,MATCH($A108,BBG_Data!$C$2:$C$4000,0)),NA()))</f>
        <v/>
      </c>
      <c r="D108" s="19">
        <f>IF(NOT(ISNUMBER($A108)),NA(),IFERROR(1*INDEX(BBG_Data!$F$2:$F$4000,MATCH($A108,BBG_Data!$E$2:$E$4000,0)),NA()))</f>
        <v/>
      </c>
      <c r="E108" s="19">
        <f>IF(NOT(ISNUMBER($A108)),NA(),IFERROR(1*INDEX(BBG_Data!$H$2:$H$4000,MATCH($A108,BBG_Data!$G$2:$G$4000,0)),NA()))</f>
        <v/>
      </c>
      <c r="F108" s="20">
        <f>IF(AND(ISNUMBER(B108),ISNUMBER(B107)),IF(B108=B107,"",(B108-B107)*100),"")</f>
        <v/>
      </c>
      <c r="G108" s="20">
        <f>IF(AND(ISNUMBER(C108),ISNUMBER(C107)),IF(C108=C107,"",(C108-C107)*100),"")</f>
        <v/>
      </c>
      <c r="H108" s="20">
        <f>IF(OR(NOT(ISNUMBER($A108)),ROW()-2&lt;Settings!$B$11),NA(),IF(COUNT(OFFSET(F108,1-Settings!$B$11,0,Settings!$B$11,1))&lt;ROUNDUP(Settings!$B$11*Settings!$B$26,0),NA(),STDEV(OFFSET(F108,1-Settings!$B$11,0,Settings!$B$11,1))*SQRT(Settings!$B$13)))</f>
        <v/>
      </c>
      <c r="I108" s="20">
        <f>IF(OR(NOT(ISNUMBER($A108)),ROW()-2&lt;Settings!$B$12),NA(),IF(COUNT(OFFSET(F108,1-Settings!$B$12,0,Settings!$B$12,1))&lt;ROUNDUP(Settings!$B$12*Settings!$B$26,0),NA(),STDEV(OFFSET(F108,1-Settings!$B$12,0,Settings!$B$12,1))*SQRT(Settings!$B$13)))</f>
        <v/>
      </c>
      <c r="J108" s="20">
        <f>IF(OR(NOT(ISNUMBER($A108)),ROW()-2&lt;Settings!$B$11),NA(),IF(COUNT(OFFSET(G108,1-Settings!$B$11,0,Settings!$B$11,1))&lt;ROUNDUP(Settings!$B$11*Settings!$B$26,0),NA(),STDEV(OFFSET(G108,1-Settings!$B$11,0,Settings!$B$11,1))*SQRT(Settings!$B$13)))</f>
        <v/>
      </c>
      <c r="K108" s="20">
        <f>IF(OR(NOT(ISNUMBER($A108)),ROW()-2&lt;Settings!$B$12),NA(),IF(COUNT(OFFSET(G108,1-Settings!$B$12,0,Settings!$B$12,1))&lt;ROUNDUP(Settings!$B$12*Settings!$B$26,0),NA(),STDEV(OFFSET(G108,1-Settings!$B$12,0,Settings!$B$12,1))*SQRT(Settings!$B$13)))</f>
        <v/>
      </c>
      <c r="L108" s="20">
        <f>IF(AND(ISNUMBER(D108),ISNUMBER(H108)),D108-H108,NA())</f>
        <v/>
      </c>
      <c r="M108" s="20">
        <f>IF(AND(ISNUMBER(E108),ISNUMBER(K108)),E108-K108,NA())</f>
        <v/>
      </c>
      <c r="N108" s="20">
        <f>IF(NOT(ISNUMBER($A108)),NA(),IF(COUNT(OFFSET(G108,1,0,Settings!$B$12,1))&lt;ROUNDUP(Settings!$B$12*Settings!$B$26,0),NA(),STDEV(OFFSET(G108,1,0,Settings!$B$12,1))*SQRT(Settings!$B$13)))</f>
        <v/>
      </c>
      <c r="O108" s="20">
        <f>IF(AND(ISNUMBER(E108),ISNUMBER(N108)),E108-N108,NA())</f>
        <v/>
      </c>
      <c r="P108" s="19">
        <f>IF(NOT(ISNUMBER($A108)),NA(),IF(OR($A108&lt;MIN(KW_TP!$A$2:$A$2501),$A108&gt;MAX(KW_TP!$A$2:$A$2501)),NA(),INDEX(KW_TP!$C$2:$C$2501,MATCH($A108,KW_TP!$A$2:$A$2501,1))))</f>
        <v/>
      </c>
      <c r="Q108" s="18">
        <f>IF(NOT(ISNUMBER($A108)),NA(),IFERROR(1*INDEX(BBG_Data!$J$2:$J$4000,MATCH($A108,BBG_Data!$I$2:$I$4000,0)),NA()))</f>
        <v/>
      </c>
      <c r="R108" s="18">
        <f>IF(NOT(ISNUMBER($A108)),NA(),IFERROR(1*INDEX(BBG_Data!$L$2:$L$4000,MATCH($A108,BBG_Data!$K$2:$K$4000,0)),NA()))</f>
        <v/>
      </c>
      <c r="S108" s="20">
        <f>IF(AND(ISNUMBER(B108),ISNUMBER(Q108),ISNUMBER(R108)),(B108-Q108-R108)*100,NA())</f>
        <v/>
      </c>
      <c r="T108" s="20">
        <f>IF(AND(ISNUMBER(B108),Settings!$B$17&gt;0),IF(ISNUMBER(INDEX($B:$B,Settings!$B$17)),(B108-INDEX($B:$B,Settings!$B$17))*100,NA()),NA())</f>
        <v/>
      </c>
      <c r="U108" s="20">
        <f>IF(AND(ISNUMBER(Q108),Settings!$B$17&gt;0),IF(ISNUMBER(INDEX($Q:$Q,Settings!$B$17)),(Q108-INDEX($Q:$Q,Settings!$B$17))*100,NA()),NA())</f>
        <v/>
      </c>
      <c r="V108" s="20">
        <f>IF(AND(ISNUMBER(R108),Settings!$B$17&gt;0),IF(ISNUMBER(INDEX($R:$R,Settings!$B$17)),(R108-INDEX($R:$R,Settings!$B$17))*100,NA()),NA())</f>
        <v/>
      </c>
      <c r="W108" s="20">
        <f>IF(AND(ISNUMBER(P108),Settings!$B$17&gt;0),IF(ISNUMBER(INDEX($P:$P,Settings!$B$17)),P108-INDEX($P:$P,Settings!$B$17),NA()),NA())</f>
        <v/>
      </c>
      <c r="X108" s="19">
        <f>IF(NOT(ISNUMBER($A108)),NA(),IF(OR($A108&lt;MIN(DKW_10Y!$A$2:$A$2918),$A108&gt;MAX(DKW_10Y!$A$2:$A$2918),Settings!$B$16&lt;MIN(DKW_10Y!$A$2:$A$2918)),NA(),(INDEX(DKW_10Y!$B$2:$B$2918,MATCH($A108,DKW_10Y!$A$2:$A$2918,1))-INDEX(DKW_10Y!$B$2:$B$2918,MATCH(Settings!$B$16,DKW_10Y!$A$2:$A$2918,1)))*100))</f>
        <v/>
      </c>
      <c r="Y108" s="19">
        <f>IF(NOT(ISNUMBER($A108)),NA(),IF(OR($A108&lt;MIN(DKW_10Y!$A$2:$A$2918),$A108&gt;MAX(DKW_10Y!$A$2:$A$2918),Settings!$B$16&lt;MIN(DKW_10Y!$A$2:$A$2918)),NA(),(INDEX(DKW_10Y!$C$2:$C$2918,MATCH($A108,DKW_10Y!$A$2:$A$2918,1))-INDEX(DKW_10Y!$C$2:$C$2918,MATCH(Settings!$B$16,DKW_10Y!$A$2:$A$2918,1)))*100))</f>
        <v/>
      </c>
      <c r="Z108" s="19">
        <f>IF(NOT(ISNUMBER($A108)),NA(),IF(OR($A108&lt;MIN(DKW_10Y!$A$2:$A$2918),$A108&gt;MAX(DKW_10Y!$A$2:$A$2918),Settings!$B$16&lt;MIN(DKW_10Y!$A$2:$A$2918)),NA(),(INDEX(DKW_10Y!$D$2:$D$2918,MATCH($A108,DKW_10Y!$A$2:$A$2918,1))-INDEX(DKW_10Y!$D$2:$D$2918,MATCH(Settings!$B$16,DKW_10Y!$A$2:$A$2918,1)))*100))</f>
        <v/>
      </c>
      <c r="AA108" s="19">
        <f>IF(NOT(ISNUMBER($A108)),NA(),IF(OR($A108&lt;MIN(DKW_10Y!$A$2:$A$2918),$A108&gt;MAX(DKW_10Y!$A$2:$A$2918),Settings!$B$16&lt;MIN(DKW_10Y!$A$2:$A$2918)),NA(),(INDEX(DKW_10Y!$E$2:$E$2918,MATCH($A108,DKW_10Y!$A$2:$A$2918,1))-INDEX(DKW_10Y!$E$2:$E$2918,MATCH(Settings!$B$16,DKW_10Y!$A$2:$A$2918,1)))*100))</f>
        <v/>
      </c>
      <c r="AB108" s="19">
        <f>IF(NOT(ISNUMBER($A108)),NA(),IF(OR($A108&lt;MIN(DKW_10Y!$A$2:$A$2918),$A108&gt;MAX(DKW_10Y!$A$2:$A$2918),Settings!$B$16&lt;MIN(DKW_10Y!$A$2:$A$2918)),NA(),(INDEX(DKW_10Y!$H$2:$H$2918,MATCH($A108,DKW_10Y!$A$2:$A$2918,1))-INDEX(DKW_10Y!$H$2:$H$2918,MATCH(Settings!$B$16,DKW_10Y!$A$2:$A$2918,1)))*100))</f>
        <v/>
      </c>
      <c r="AC108" s="18">
        <f>IF(NOT(ISNUMBER($A108)),NA(),IFERROR(1*INDEX(BBG_Data!$N$2:$N$4000,MATCH($A108,BBG_Data!$M$2:$M$4000,0)),NA()))</f>
        <v/>
      </c>
      <c r="AD108" s="18">
        <f>IF(NOT(ISNUMBER($A108)),NA(),IFERROR(1*INDEX(BBG_Data!$P$2:$P$4000,MATCH($A108,BBG_Data!$O$2:$O$4000,0)),NA()))</f>
        <v/>
      </c>
      <c r="AE108" s="18">
        <f>IF(NOT(ISNUMBER($A108)),NA(),IFERROR(1*INDEX(BBG_Data!$R$2:$R$4000,MATCH($A108,BBG_Data!$Q$2:$Q$4000,0)),NA()))</f>
        <v/>
      </c>
      <c r="AF108" s="20">
        <f>IF(AND(ISNUMBER(B108),ISNUMBER(AC108)),(B108-AC108)*100,NA())</f>
        <v/>
      </c>
      <c r="AG108" s="20">
        <f>IF(AND(ISNUMBER(AE108),ISNUMBER(AD108)),(AE108-AD108)*100,NA())</f>
        <v/>
      </c>
      <c r="AH108" s="19">
        <f>IF(NOT(ISNUMBER($A108)),NA(),IFERROR(INDEX(BBG_Data!$T$2:$T$4000,MATCH($A108,BBG_Data!$S$2:$S$4000,0))*Settings!$B$25,NA()))</f>
        <v/>
      </c>
      <c r="AI108" s="19">
        <f>IF(NOT(ISNUMBER($A108)),NA(),IFERROR(INDEX(BBG_Data!$V$2:$V$4000,MATCH($A108,BBG_Data!$U$2:$U$4000,0))*Settings!$B$25,NA()))</f>
        <v/>
      </c>
      <c r="AJ108" s="19">
        <f>IF(NOT(ISNUMBER($A108)),NA(),IFERROR(1*INDEX(BBG_Data!$X$2:$X$4000,MATCH($A108,BBG_Data!$W$2:$W$4000,0)),NA()))</f>
        <v/>
      </c>
      <c r="AK108" s="19">
        <f>IF(NOT(ISNUMBER($A108)),NA(),IFERROR(1*INDEX(BBG_Data!$Z$2:$Z$4000,MATCH($A108,BBG_Data!$Y$2:$Y$4000,0)),NA()))</f>
        <v/>
      </c>
    </row>
    <row r="109">
      <c r="A109" s="17">
        <f>IF(ISNUMBER(BBG_Data!A109),BBG_Data!A109,"")</f>
        <v/>
      </c>
      <c r="B109" s="18">
        <f>IF(AND(ISNUMBER($A109),ISNUMBER(BBG_Data!B109)),BBG_Data!B109,NA())</f>
        <v/>
      </c>
      <c r="C109" s="18">
        <f>IF(NOT(ISNUMBER($A109)),NA(),IFERROR(1*INDEX(BBG_Data!$D$2:$D$4000,MATCH($A109,BBG_Data!$C$2:$C$4000,0)),NA()))</f>
        <v/>
      </c>
      <c r="D109" s="19">
        <f>IF(NOT(ISNUMBER($A109)),NA(),IFERROR(1*INDEX(BBG_Data!$F$2:$F$4000,MATCH($A109,BBG_Data!$E$2:$E$4000,0)),NA()))</f>
        <v/>
      </c>
      <c r="E109" s="19">
        <f>IF(NOT(ISNUMBER($A109)),NA(),IFERROR(1*INDEX(BBG_Data!$H$2:$H$4000,MATCH($A109,BBG_Data!$G$2:$G$4000,0)),NA()))</f>
        <v/>
      </c>
      <c r="F109" s="20">
        <f>IF(AND(ISNUMBER(B109),ISNUMBER(B108)),IF(B109=B108,"",(B109-B108)*100),"")</f>
        <v/>
      </c>
      <c r="G109" s="20">
        <f>IF(AND(ISNUMBER(C109),ISNUMBER(C108)),IF(C109=C108,"",(C109-C108)*100),"")</f>
        <v/>
      </c>
      <c r="H109" s="20">
        <f>IF(OR(NOT(ISNUMBER($A109)),ROW()-2&lt;Settings!$B$11),NA(),IF(COUNT(OFFSET(F109,1-Settings!$B$11,0,Settings!$B$11,1))&lt;ROUNDUP(Settings!$B$11*Settings!$B$26,0),NA(),STDEV(OFFSET(F109,1-Settings!$B$11,0,Settings!$B$11,1))*SQRT(Settings!$B$13)))</f>
        <v/>
      </c>
      <c r="I109" s="20">
        <f>IF(OR(NOT(ISNUMBER($A109)),ROW()-2&lt;Settings!$B$12),NA(),IF(COUNT(OFFSET(F109,1-Settings!$B$12,0,Settings!$B$12,1))&lt;ROUNDUP(Settings!$B$12*Settings!$B$26,0),NA(),STDEV(OFFSET(F109,1-Settings!$B$12,0,Settings!$B$12,1))*SQRT(Settings!$B$13)))</f>
        <v/>
      </c>
      <c r="J109" s="20">
        <f>IF(OR(NOT(ISNUMBER($A109)),ROW()-2&lt;Settings!$B$11),NA(),IF(COUNT(OFFSET(G109,1-Settings!$B$11,0,Settings!$B$11,1))&lt;ROUNDUP(Settings!$B$11*Settings!$B$26,0),NA(),STDEV(OFFSET(G109,1-Settings!$B$11,0,Settings!$B$11,1))*SQRT(Settings!$B$13)))</f>
        <v/>
      </c>
      <c r="K109" s="20">
        <f>IF(OR(NOT(ISNUMBER($A109)),ROW()-2&lt;Settings!$B$12),NA(),IF(COUNT(OFFSET(G109,1-Settings!$B$12,0,Settings!$B$12,1))&lt;ROUNDUP(Settings!$B$12*Settings!$B$26,0),NA(),STDEV(OFFSET(G109,1-Settings!$B$12,0,Settings!$B$12,1))*SQRT(Settings!$B$13)))</f>
        <v/>
      </c>
      <c r="L109" s="20">
        <f>IF(AND(ISNUMBER(D109),ISNUMBER(H109)),D109-H109,NA())</f>
        <v/>
      </c>
      <c r="M109" s="20">
        <f>IF(AND(ISNUMBER(E109),ISNUMBER(K109)),E109-K109,NA())</f>
        <v/>
      </c>
      <c r="N109" s="20">
        <f>IF(NOT(ISNUMBER($A109)),NA(),IF(COUNT(OFFSET(G109,1,0,Settings!$B$12,1))&lt;ROUNDUP(Settings!$B$12*Settings!$B$26,0),NA(),STDEV(OFFSET(G109,1,0,Settings!$B$12,1))*SQRT(Settings!$B$13)))</f>
        <v/>
      </c>
      <c r="O109" s="20">
        <f>IF(AND(ISNUMBER(E109),ISNUMBER(N109)),E109-N109,NA())</f>
        <v/>
      </c>
      <c r="P109" s="19">
        <f>IF(NOT(ISNUMBER($A109)),NA(),IF(OR($A109&lt;MIN(KW_TP!$A$2:$A$2501),$A109&gt;MAX(KW_TP!$A$2:$A$2501)),NA(),INDEX(KW_TP!$C$2:$C$2501,MATCH($A109,KW_TP!$A$2:$A$2501,1))))</f>
        <v/>
      </c>
      <c r="Q109" s="18">
        <f>IF(NOT(ISNUMBER($A109)),NA(),IFERROR(1*INDEX(BBG_Data!$J$2:$J$4000,MATCH($A109,BBG_Data!$I$2:$I$4000,0)),NA()))</f>
        <v/>
      </c>
      <c r="R109" s="18">
        <f>IF(NOT(ISNUMBER($A109)),NA(),IFERROR(1*INDEX(BBG_Data!$L$2:$L$4000,MATCH($A109,BBG_Data!$K$2:$K$4000,0)),NA()))</f>
        <v/>
      </c>
      <c r="S109" s="20">
        <f>IF(AND(ISNUMBER(B109),ISNUMBER(Q109),ISNUMBER(R109)),(B109-Q109-R109)*100,NA())</f>
        <v/>
      </c>
      <c r="T109" s="20">
        <f>IF(AND(ISNUMBER(B109),Settings!$B$17&gt;0),IF(ISNUMBER(INDEX($B:$B,Settings!$B$17)),(B109-INDEX($B:$B,Settings!$B$17))*100,NA()),NA())</f>
        <v/>
      </c>
      <c r="U109" s="20">
        <f>IF(AND(ISNUMBER(Q109),Settings!$B$17&gt;0),IF(ISNUMBER(INDEX($Q:$Q,Settings!$B$17)),(Q109-INDEX($Q:$Q,Settings!$B$17))*100,NA()),NA())</f>
        <v/>
      </c>
      <c r="V109" s="20">
        <f>IF(AND(ISNUMBER(R109),Settings!$B$17&gt;0),IF(ISNUMBER(INDEX($R:$R,Settings!$B$17)),(R109-INDEX($R:$R,Settings!$B$17))*100,NA()),NA())</f>
        <v/>
      </c>
      <c r="W109" s="20">
        <f>IF(AND(ISNUMBER(P109),Settings!$B$17&gt;0),IF(ISNUMBER(INDEX($P:$P,Settings!$B$17)),P109-INDEX($P:$P,Settings!$B$17),NA()),NA())</f>
        <v/>
      </c>
      <c r="X109" s="19">
        <f>IF(NOT(ISNUMBER($A109)),NA(),IF(OR($A109&lt;MIN(DKW_10Y!$A$2:$A$2918),$A109&gt;MAX(DKW_10Y!$A$2:$A$2918),Settings!$B$16&lt;MIN(DKW_10Y!$A$2:$A$2918)),NA(),(INDEX(DKW_10Y!$B$2:$B$2918,MATCH($A109,DKW_10Y!$A$2:$A$2918,1))-INDEX(DKW_10Y!$B$2:$B$2918,MATCH(Settings!$B$16,DKW_10Y!$A$2:$A$2918,1)))*100))</f>
        <v/>
      </c>
      <c r="Y109" s="19">
        <f>IF(NOT(ISNUMBER($A109)),NA(),IF(OR($A109&lt;MIN(DKW_10Y!$A$2:$A$2918),$A109&gt;MAX(DKW_10Y!$A$2:$A$2918),Settings!$B$16&lt;MIN(DKW_10Y!$A$2:$A$2918)),NA(),(INDEX(DKW_10Y!$C$2:$C$2918,MATCH($A109,DKW_10Y!$A$2:$A$2918,1))-INDEX(DKW_10Y!$C$2:$C$2918,MATCH(Settings!$B$16,DKW_10Y!$A$2:$A$2918,1)))*100))</f>
        <v/>
      </c>
      <c r="Z109" s="19">
        <f>IF(NOT(ISNUMBER($A109)),NA(),IF(OR($A109&lt;MIN(DKW_10Y!$A$2:$A$2918),$A109&gt;MAX(DKW_10Y!$A$2:$A$2918),Settings!$B$16&lt;MIN(DKW_10Y!$A$2:$A$2918)),NA(),(INDEX(DKW_10Y!$D$2:$D$2918,MATCH($A109,DKW_10Y!$A$2:$A$2918,1))-INDEX(DKW_10Y!$D$2:$D$2918,MATCH(Settings!$B$16,DKW_10Y!$A$2:$A$2918,1)))*100))</f>
        <v/>
      </c>
      <c r="AA109" s="19">
        <f>IF(NOT(ISNUMBER($A109)),NA(),IF(OR($A109&lt;MIN(DKW_10Y!$A$2:$A$2918),$A109&gt;MAX(DKW_10Y!$A$2:$A$2918),Settings!$B$16&lt;MIN(DKW_10Y!$A$2:$A$2918)),NA(),(INDEX(DKW_10Y!$E$2:$E$2918,MATCH($A109,DKW_10Y!$A$2:$A$2918,1))-INDEX(DKW_10Y!$E$2:$E$2918,MATCH(Settings!$B$16,DKW_10Y!$A$2:$A$2918,1)))*100))</f>
        <v/>
      </c>
      <c r="AB109" s="19">
        <f>IF(NOT(ISNUMBER($A109)),NA(),IF(OR($A109&lt;MIN(DKW_10Y!$A$2:$A$2918),$A109&gt;MAX(DKW_10Y!$A$2:$A$2918),Settings!$B$16&lt;MIN(DKW_10Y!$A$2:$A$2918)),NA(),(INDEX(DKW_10Y!$H$2:$H$2918,MATCH($A109,DKW_10Y!$A$2:$A$2918,1))-INDEX(DKW_10Y!$H$2:$H$2918,MATCH(Settings!$B$16,DKW_10Y!$A$2:$A$2918,1)))*100))</f>
        <v/>
      </c>
      <c r="AC109" s="18">
        <f>IF(NOT(ISNUMBER($A109)),NA(),IFERROR(1*INDEX(BBG_Data!$N$2:$N$4000,MATCH($A109,BBG_Data!$M$2:$M$4000,0)),NA()))</f>
        <v/>
      </c>
      <c r="AD109" s="18">
        <f>IF(NOT(ISNUMBER($A109)),NA(),IFERROR(1*INDEX(BBG_Data!$P$2:$P$4000,MATCH($A109,BBG_Data!$O$2:$O$4000,0)),NA()))</f>
        <v/>
      </c>
      <c r="AE109" s="18">
        <f>IF(NOT(ISNUMBER($A109)),NA(),IFERROR(1*INDEX(BBG_Data!$R$2:$R$4000,MATCH($A109,BBG_Data!$Q$2:$Q$4000,0)),NA()))</f>
        <v/>
      </c>
      <c r="AF109" s="20">
        <f>IF(AND(ISNUMBER(B109),ISNUMBER(AC109)),(B109-AC109)*100,NA())</f>
        <v/>
      </c>
      <c r="AG109" s="20">
        <f>IF(AND(ISNUMBER(AE109),ISNUMBER(AD109)),(AE109-AD109)*100,NA())</f>
        <v/>
      </c>
      <c r="AH109" s="19">
        <f>IF(NOT(ISNUMBER($A109)),NA(),IFERROR(INDEX(BBG_Data!$T$2:$T$4000,MATCH($A109,BBG_Data!$S$2:$S$4000,0))*Settings!$B$25,NA()))</f>
        <v/>
      </c>
      <c r="AI109" s="19">
        <f>IF(NOT(ISNUMBER($A109)),NA(),IFERROR(INDEX(BBG_Data!$V$2:$V$4000,MATCH($A109,BBG_Data!$U$2:$U$4000,0))*Settings!$B$25,NA()))</f>
        <v/>
      </c>
      <c r="AJ109" s="19">
        <f>IF(NOT(ISNUMBER($A109)),NA(),IFERROR(1*INDEX(BBG_Data!$X$2:$X$4000,MATCH($A109,BBG_Data!$W$2:$W$4000,0)),NA()))</f>
        <v/>
      </c>
      <c r="AK109" s="19">
        <f>IF(NOT(ISNUMBER($A109)),NA(),IFERROR(1*INDEX(BBG_Data!$Z$2:$Z$4000,MATCH($A109,BBG_Data!$Y$2:$Y$4000,0)),NA()))</f>
        <v/>
      </c>
    </row>
    <row r="110">
      <c r="A110" s="17">
        <f>IF(ISNUMBER(BBG_Data!A110),BBG_Data!A110,"")</f>
        <v/>
      </c>
      <c r="B110" s="18">
        <f>IF(AND(ISNUMBER($A110),ISNUMBER(BBG_Data!B110)),BBG_Data!B110,NA())</f>
        <v/>
      </c>
      <c r="C110" s="18">
        <f>IF(NOT(ISNUMBER($A110)),NA(),IFERROR(1*INDEX(BBG_Data!$D$2:$D$4000,MATCH($A110,BBG_Data!$C$2:$C$4000,0)),NA()))</f>
        <v/>
      </c>
      <c r="D110" s="19">
        <f>IF(NOT(ISNUMBER($A110)),NA(),IFERROR(1*INDEX(BBG_Data!$F$2:$F$4000,MATCH($A110,BBG_Data!$E$2:$E$4000,0)),NA()))</f>
        <v/>
      </c>
      <c r="E110" s="19">
        <f>IF(NOT(ISNUMBER($A110)),NA(),IFERROR(1*INDEX(BBG_Data!$H$2:$H$4000,MATCH($A110,BBG_Data!$G$2:$G$4000,0)),NA()))</f>
        <v/>
      </c>
      <c r="F110" s="20">
        <f>IF(AND(ISNUMBER(B110),ISNUMBER(B109)),IF(B110=B109,"",(B110-B109)*100),"")</f>
        <v/>
      </c>
      <c r="G110" s="20">
        <f>IF(AND(ISNUMBER(C110),ISNUMBER(C109)),IF(C110=C109,"",(C110-C109)*100),"")</f>
        <v/>
      </c>
      <c r="H110" s="20">
        <f>IF(OR(NOT(ISNUMBER($A110)),ROW()-2&lt;Settings!$B$11),NA(),IF(COUNT(OFFSET(F110,1-Settings!$B$11,0,Settings!$B$11,1))&lt;ROUNDUP(Settings!$B$11*Settings!$B$26,0),NA(),STDEV(OFFSET(F110,1-Settings!$B$11,0,Settings!$B$11,1))*SQRT(Settings!$B$13)))</f>
        <v/>
      </c>
      <c r="I110" s="20">
        <f>IF(OR(NOT(ISNUMBER($A110)),ROW()-2&lt;Settings!$B$12),NA(),IF(COUNT(OFFSET(F110,1-Settings!$B$12,0,Settings!$B$12,1))&lt;ROUNDUP(Settings!$B$12*Settings!$B$26,0),NA(),STDEV(OFFSET(F110,1-Settings!$B$12,0,Settings!$B$12,1))*SQRT(Settings!$B$13)))</f>
        <v/>
      </c>
      <c r="J110" s="20">
        <f>IF(OR(NOT(ISNUMBER($A110)),ROW()-2&lt;Settings!$B$11),NA(),IF(COUNT(OFFSET(G110,1-Settings!$B$11,0,Settings!$B$11,1))&lt;ROUNDUP(Settings!$B$11*Settings!$B$26,0),NA(),STDEV(OFFSET(G110,1-Settings!$B$11,0,Settings!$B$11,1))*SQRT(Settings!$B$13)))</f>
        <v/>
      </c>
      <c r="K110" s="20">
        <f>IF(OR(NOT(ISNUMBER($A110)),ROW()-2&lt;Settings!$B$12),NA(),IF(COUNT(OFFSET(G110,1-Settings!$B$12,0,Settings!$B$12,1))&lt;ROUNDUP(Settings!$B$12*Settings!$B$26,0),NA(),STDEV(OFFSET(G110,1-Settings!$B$12,0,Settings!$B$12,1))*SQRT(Settings!$B$13)))</f>
        <v/>
      </c>
      <c r="L110" s="20">
        <f>IF(AND(ISNUMBER(D110),ISNUMBER(H110)),D110-H110,NA())</f>
        <v/>
      </c>
      <c r="M110" s="20">
        <f>IF(AND(ISNUMBER(E110),ISNUMBER(K110)),E110-K110,NA())</f>
        <v/>
      </c>
      <c r="N110" s="20">
        <f>IF(NOT(ISNUMBER($A110)),NA(),IF(COUNT(OFFSET(G110,1,0,Settings!$B$12,1))&lt;ROUNDUP(Settings!$B$12*Settings!$B$26,0),NA(),STDEV(OFFSET(G110,1,0,Settings!$B$12,1))*SQRT(Settings!$B$13)))</f>
        <v/>
      </c>
      <c r="O110" s="20">
        <f>IF(AND(ISNUMBER(E110),ISNUMBER(N110)),E110-N110,NA())</f>
        <v/>
      </c>
      <c r="P110" s="19">
        <f>IF(NOT(ISNUMBER($A110)),NA(),IF(OR($A110&lt;MIN(KW_TP!$A$2:$A$2501),$A110&gt;MAX(KW_TP!$A$2:$A$2501)),NA(),INDEX(KW_TP!$C$2:$C$2501,MATCH($A110,KW_TP!$A$2:$A$2501,1))))</f>
        <v/>
      </c>
      <c r="Q110" s="18">
        <f>IF(NOT(ISNUMBER($A110)),NA(),IFERROR(1*INDEX(BBG_Data!$J$2:$J$4000,MATCH($A110,BBG_Data!$I$2:$I$4000,0)),NA()))</f>
        <v/>
      </c>
      <c r="R110" s="18">
        <f>IF(NOT(ISNUMBER($A110)),NA(),IFERROR(1*INDEX(BBG_Data!$L$2:$L$4000,MATCH($A110,BBG_Data!$K$2:$K$4000,0)),NA()))</f>
        <v/>
      </c>
      <c r="S110" s="20">
        <f>IF(AND(ISNUMBER(B110),ISNUMBER(Q110),ISNUMBER(R110)),(B110-Q110-R110)*100,NA())</f>
        <v/>
      </c>
      <c r="T110" s="20">
        <f>IF(AND(ISNUMBER(B110),Settings!$B$17&gt;0),IF(ISNUMBER(INDEX($B:$B,Settings!$B$17)),(B110-INDEX($B:$B,Settings!$B$17))*100,NA()),NA())</f>
        <v/>
      </c>
      <c r="U110" s="20">
        <f>IF(AND(ISNUMBER(Q110),Settings!$B$17&gt;0),IF(ISNUMBER(INDEX($Q:$Q,Settings!$B$17)),(Q110-INDEX($Q:$Q,Settings!$B$17))*100,NA()),NA())</f>
        <v/>
      </c>
      <c r="V110" s="20">
        <f>IF(AND(ISNUMBER(R110),Settings!$B$17&gt;0),IF(ISNUMBER(INDEX($R:$R,Settings!$B$17)),(R110-INDEX($R:$R,Settings!$B$17))*100,NA()),NA())</f>
        <v/>
      </c>
      <c r="W110" s="20">
        <f>IF(AND(ISNUMBER(P110),Settings!$B$17&gt;0),IF(ISNUMBER(INDEX($P:$P,Settings!$B$17)),P110-INDEX($P:$P,Settings!$B$17),NA()),NA())</f>
        <v/>
      </c>
      <c r="X110" s="19">
        <f>IF(NOT(ISNUMBER($A110)),NA(),IF(OR($A110&lt;MIN(DKW_10Y!$A$2:$A$2918),$A110&gt;MAX(DKW_10Y!$A$2:$A$2918),Settings!$B$16&lt;MIN(DKW_10Y!$A$2:$A$2918)),NA(),(INDEX(DKW_10Y!$B$2:$B$2918,MATCH($A110,DKW_10Y!$A$2:$A$2918,1))-INDEX(DKW_10Y!$B$2:$B$2918,MATCH(Settings!$B$16,DKW_10Y!$A$2:$A$2918,1)))*100))</f>
        <v/>
      </c>
      <c r="Y110" s="19">
        <f>IF(NOT(ISNUMBER($A110)),NA(),IF(OR($A110&lt;MIN(DKW_10Y!$A$2:$A$2918),$A110&gt;MAX(DKW_10Y!$A$2:$A$2918),Settings!$B$16&lt;MIN(DKW_10Y!$A$2:$A$2918)),NA(),(INDEX(DKW_10Y!$C$2:$C$2918,MATCH($A110,DKW_10Y!$A$2:$A$2918,1))-INDEX(DKW_10Y!$C$2:$C$2918,MATCH(Settings!$B$16,DKW_10Y!$A$2:$A$2918,1)))*100))</f>
        <v/>
      </c>
      <c r="Z110" s="19">
        <f>IF(NOT(ISNUMBER($A110)),NA(),IF(OR($A110&lt;MIN(DKW_10Y!$A$2:$A$2918),$A110&gt;MAX(DKW_10Y!$A$2:$A$2918),Settings!$B$16&lt;MIN(DKW_10Y!$A$2:$A$2918)),NA(),(INDEX(DKW_10Y!$D$2:$D$2918,MATCH($A110,DKW_10Y!$A$2:$A$2918,1))-INDEX(DKW_10Y!$D$2:$D$2918,MATCH(Settings!$B$16,DKW_10Y!$A$2:$A$2918,1)))*100))</f>
        <v/>
      </c>
      <c r="AA110" s="19">
        <f>IF(NOT(ISNUMBER($A110)),NA(),IF(OR($A110&lt;MIN(DKW_10Y!$A$2:$A$2918),$A110&gt;MAX(DKW_10Y!$A$2:$A$2918),Settings!$B$16&lt;MIN(DKW_10Y!$A$2:$A$2918)),NA(),(INDEX(DKW_10Y!$E$2:$E$2918,MATCH($A110,DKW_10Y!$A$2:$A$2918,1))-INDEX(DKW_10Y!$E$2:$E$2918,MATCH(Settings!$B$16,DKW_10Y!$A$2:$A$2918,1)))*100))</f>
        <v/>
      </c>
      <c r="AB110" s="19">
        <f>IF(NOT(ISNUMBER($A110)),NA(),IF(OR($A110&lt;MIN(DKW_10Y!$A$2:$A$2918),$A110&gt;MAX(DKW_10Y!$A$2:$A$2918),Settings!$B$16&lt;MIN(DKW_10Y!$A$2:$A$2918)),NA(),(INDEX(DKW_10Y!$H$2:$H$2918,MATCH($A110,DKW_10Y!$A$2:$A$2918,1))-INDEX(DKW_10Y!$H$2:$H$2918,MATCH(Settings!$B$16,DKW_10Y!$A$2:$A$2918,1)))*100))</f>
        <v/>
      </c>
      <c r="AC110" s="18">
        <f>IF(NOT(ISNUMBER($A110)),NA(),IFERROR(1*INDEX(BBG_Data!$N$2:$N$4000,MATCH($A110,BBG_Data!$M$2:$M$4000,0)),NA()))</f>
        <v/>
      </c>
      <c r="AD110" s="18">
        <f>IF(NOT(ISNUMBER($A110)),NA(),IFERROR(1*INDEX(BBG_Data!$P$2:$P$4000,MATCH($A110,BBG_Data!$O$2:$O$4000,0)),NA()))</f>
        <v/>
      </c>
      <c r="AE110" s="18">
        <f>IF(NOT(ISNUMBER($A110)),NA(),IFERROR(1*INDEX(BBG_Data!$R$2:$R$4000,MATCH($A110,BBG_Data!$Q$2:$Q$4000,0)),NA()))</f>
        <v/>
      </c>
      <c r="AF110" s="20">
        <f>IF(AND(ISNUMBER(B110),ISNUMBER(AC110)),(B110-AC110)*100,NA())</f>
        <v/>
      </c>
      <c r="AG110" s="20">
        <f>IF(AND(ISNUMBER(AE110),ISNUMBER(AD110)),(AE110-AD110)*100,NA())</f>
        <v/>
      </c>
      <c r="AH110" s="19">
        <f>IF(NOT(ISNUMBER($A110)),NA(),IFERROR(INDEX(BBG_Data!$T$2:$T$4000,MATCH($A110,BBG_Data!$S$2:$S$4000,0))*Settings!$B$25,NA()))</f>
        <v/>
      </c>
      <c r="AI110" s="19">
        <f>IF(NOT(ISNUMBER($A110)),NA(),IFERROR(INDEX(BBG_Data!$V$2:$V$4000,MATCH($A110,BBG_Data!$U$2:$U$4000,0))*Settings!$B$25,NA()))</f>
        <v/>
      </c>
      <c r="AJ110" s="19">
        <f>IF(NOT(ISNUMBER($A110)),NA(),IFERROR(1*INDEX(BBG_Data!$X$2:$X$4000,MATCH($A110,BBG_Data!$W$2:$W$4000,0)),NA()))</f>
        <v/>
      </c>
      <c r="AK110" s="19">
        <f>IF(NOT(ISNUMBER($A110)),NA(),IFERROR(1*INDEX(BBG_Data!$Z$2:$Z$4000,MATCH($A110,BBG_Data!$Y$2:$Y$4000,0)),NA()))</f>
        <v/>
      </c>
    </row>
    <row r="111">
      <c r="A111" s="17">
        <f>IF(ISNUMBER(BBG_Data!A111),BBG_Data!A111,"")</f>
        <v/>
      </c>
      <c r="B111" s="18">
        <f>IF(AND(ISNUMBER($A111),ISNUMBER(BBG_Data!B111)),BBG_Data!B111,NA())</f>
        <v/>
      </c>
      <c r="C111" s="18">
        <f>IF(NOT(ISNUMBER($A111)),NA(),IFERROR(1*INDEX(BBG_Data!$D$2:$D$4000,MATCH($A111,BBG_Data!$C$2:$C$4000,0)),NA()))</f>
        <v/>
      </c>
      <c r="D111" s="19">
        <f>IF(NOT(ISNUMBER($A111)),NA(),IFERROR(1*INDEX(BBG_Data!$F$2:$F$4000,MATCH($A111,BBG_Data!$E$2:$E$4000,0)),NA()))</f>
        <v/>
      </c>
      <c r="E111" s="19">
        <f>IF(NOT(ISNUMBER($A111)),NA(),IFERROR(1*INDEX(BBG_Data!$H$2:$H$4000,MATCH($A111,BBG_Data!$G$2:$G$4000,0)),NA()))</f>
        <v/>
      </c>
      <c r="F111" s="20">
        <f>IF(AND(ISNUMBER(B111),ISNUMBER(B110)),IF(B111=B110,"",(B111-B110)*100),"")</f>
        <v/>
      </c>
      <c r="G111" s="20">
        <f>IF(AND(ISNUMBER(C111),ISNUMBER(C110)),IF(C111=C110,"",(C111-C110)*100),"")</f>
        <v/>
      </c>
      <c r="H111" s="20">
        <f>IF(OR(NOT(ISNUMBER($A111)),ROW()-2&lt;Settings!$B$11),NA(),IF(COUNT(OFFSET(F111,1-Settings!$B$11,0,Settings!$B$11,1))&lt;ROUNDUP(Settings!$B$11*Settings!$B$26,0),NA(),STDEV(OFFSET(F111,1-Settings!$B$11,0,Settings!$B$11,1))*SQRT(Settings!$B$13)))</f>
        <v/>
      </c>
      <c r="I111" s="20">
        <f>IF(OR(NOT(ISNUMBER($A111)),ROW()-2&lt;Settings!$B$12),NA(),IF(COUNT(OFFSET(F111,1-Settings!$B$12,0,Settings!$B$12,1))&lt;ROUNDUP(Settings!$B$12*Settings!$B$26,0),NA(),STDEV(OFFSET(F111,1-Settings!$B$12,0,Settings!$B$12,1))*SQRT(Settings!$B$13)))</f>
        <v/>
      </c>
      <c r="J111" s="20">
        <f>IF(OR(NOT(ISNUMBER($A111)),ROW()-2&lt;Settings!$B$11),NA(),IF(COUNT(OFFSET(G111,1-Settings!$B$11,0,Settings!$B$11,1))&lt;ROUNDUP(Settings!$B$11*Settings!$B$26,0),NA(),STDEV(OFFSET(G111,1-Settings!$B$11,0,Settings!$B$11,1))*SQRT(Settings!$B$13)))</f>
        <v/>
      </c>
      <c r="K111" s="20">
        <f>IF(OR(NOT(ISNUMBER($A111)),ROW()-2&lt;Settings!$B$12),NA(),IF(COUNT(OFFSET(G111,1-Settings!$B$12,0,Settings!$B$12,1))&lt;ROUNDUP(Settings!$B$12*Settings!$B$26,0),NA(),STDEV(OFFSET(G111,1-Settings!$B$12,0,Settings!$B$12,1))*SQRT(Settings!$B$13)))</f>
        <v/>
      </c>
      <c r="L111" s="20">
        <f>IF(AND(ISNUMBER(D111),ISNUMBER(H111)),D111-H111,NA())</f>
        <v/>
      </c>
      <c r="M111" s="20">
        <f>IF(AND(ISNUMBER(E111),ISNUMBER(K111)),E111-K111,NA())</f>
        <v/>
      </c>
      <c r="N111" s="20">
        <f>IF(NOT(ISNUMBER($A111)),NA(),IF(COUNT(OFFSET(G111,1,0,Settings!$B$12,1))&lt;ROUNDUP(Settings!$B$12*Settings!$B$26,0),NA(),STDEV(OFFSET(G111,1,0,Settings!$B$12,1))*SQRT(Settings!$B$13)))</f>
        <v/>
      </c>
      <c r="O111" s="20">
        <f>IF(AND(ISNUMBER(E111),ISNUMBER(N111)),E111-N111,NA())</f>
        <v/>
      </c>
      <c r="P111" s="19">
        <f>IF(NOT(ISNUMBER($A111)),NA(),IF(OR($A111&lt;MIN(KW_TP!$A$2:$A$2501),$A111&gt;MAX(KW_TP!$A$2:$A$2501)),NA(),INDEX(KW_TP!$C$2:$C$2501,MATCH($A111,KW_TP!$A$2:$A$2501,1))))</f>
        <v/>
      </c>
      <c r="Q111" s="18">
        <f>IF(NOT(ISNUMBER($A111)),NA(),IFERROR(1*INDEX(BBG_Data!$J$2:$J$4000,MATCH($A111,BBG_Data!$I$2:$I$4000,0)),NA()))</f>
        <v/>
      </c>
      <c r="R111" s="18">
        <f>IF(NOT(ISNUMBER($A111)),NA(),IFERROR(1*INDEX(BBG_Data!$L$2:$L$4000,MATCH($A111,BBG_Data!$K$2:$K$4000,0)),NA()))</f>
        <v/>
      </c>
      <c r="S111" s="20">
        <f>IF(AND(ISNUMBER(B111),ISNUMBER(Q111),ISNUMBER(R111)),(B111-Q111-R111)*100,NA())</f>
        <v/>
      </c>
      <c r="T111" s="20">
        <f>IF(AND(ISNUMBER(B111),Settings!$B$17&gt;0),IF(ISNUMBER(INDEX($B:$B,Settings!$B$17)),(B111-INDEX($B:$B,Settings!$B$17))*100,NA()),NA())</f>
        <v/>
      </c>
      <c r="U111" s="20">
        <f>IF(AND(ISNUMBER(Q111),Settings!$B$17&gt;0),IF(ISNUMBER(INDEX($Q:$Q,Settings!$B$17)),(Q111-INDEX($Q:$Q,Settings!$B$17))*100,NA()),NA())</f>
        <v/>
      </c>
      <c r="V111" s="20">
        <f>IF(AND(ISNUMBER(R111),Settings!$B$17&gt;0),IF(ISNUMBER(INDEX($R:$R,Settings!$B$17)),(R111-INDEX($R:$R,Settings!$B$17))*100,NA()),NA())</f>
        <v/>
      </c>
      <c r="W111" s="20">
        <f>IF(AND(ISNUMBER(P111),Settings!$B$17&gt;0),IF(ISNUMBER(INDEX($P:$P,Settings!$B$17)),P111-INDEX($P:$P,Settings!$B$17),NA()),NA())</f>
        <v/>
      </c>
      <c r="X111" s="19">
        <f>IF(NOT(ISNUMBER($A111)),NA(),IF(OR($A111&lt;MIN(DKW_10Y!$A$2:$A$2918),$A111&gt;MAX(DKW_10Y!$A$2:$A$2918),Settings!$B$16&lt;MIN(DKW_10Y!$A$2:$A$2918)),NA(),(INDEX(DKW_10Y!$B$2:$B$2918,MATCH($A111,DKW_10Y!$A$2:$A$2918,1))-INDEX(DKW_10Y!$B$2:$B$2918,MATCH(Settings!$B$16,DKW_10Y!$A$2:$A$2918,1)))*100))</f>
        <v/>
      </c>
      <c r="Y111" s="19">
        <f>IF(NOT(ISNUMBER($A111)),NA(),IF(OR($A111&lt;MIN(DKW_10Y!$A$2:$A$2918),$A111&gt;MAX(DKW_10Y!$A$2:$A$2918),Settings!$B$16&lt;MIN(DKW_10Y!$A$2:$A$2918)),NA(),(INDEX(DKW_10Y!$C$2:$C$2918,MATCH($A111,DKW_10Y!$A$2:$A$2918,1))-INDEX(DKW_10Y!$C$2:$C$2918,MATCH(Settings!$B$16,DKW_10Y!$A$2:$A$2918,1)))*100))</f>
        <v/>
      </c>
      <c r="Z111" s="19">
        <f>IF(NOT(ISNUMBER($A111)),NA(),IF(OR($A111&lt;MIN(DKW_10Y!$A$2:$A$2918),$A111&gt;MAX(DKW_10Y!$A$2:$A$2918),Settings!$B$16&lt;MIN(DKW_10Y!$A$2:$A$2918)),NA(),(INDEX(DKW_10Y!$D$2:$D$2918,MATCH($A111,DKW_10Y!$A$2:$A$2918,1))-INDEX(DKW_10Y!$D$2:$D$2918,MATCH(Settings!$B$16,DKW_10Y!$A$2:$A$2918,1)))*100))</f>
        <v/>
      </c>
      <c r="AA111" s="19">
        <f>IF(NOT(ISNUMBER($A111)),NA(),IF(OR($A111&lt;MIN(DKW_10Y!$A$2:$A$2918),$A111&gt;MAX(DKW_10Y!$A$2:$A$2918),Settings!$B$16&lt;MIN(DKW_10Y!$A$2:$A$2918)),NA(),(INDEX(DKW_10Y!$E$2:$E$2918,MATCH($A111,DKW_10Y!$A$2:$A$2918,1))-INDEX(DKW_10Y!$E$2:$E$2918,MATCH(Settings!$B$16,DKW_10Y!$A$2:$A$2918,1)))*100))</f>
        <v/>
      </c>
      <c r="AB111" s="19">
        <f>IF(NOT(ISNUMBER($A111)),NA(),IF(OR($A111&lt;MIN(DKW_10Y!$A$2:$A$2918),$A111&gt;MAX(DKW_10Y!$A$2:$A$2918),Settings!$B$16&lt;MIN(DKW_10Y!$A$2:$A$2918)),NA(),(INDEX(DKW_10Y!$H$2:$H$2918,MATCH($A111,DKW_10Y!$A$2:$A$2918,1))-INDEX(DKW_10Y!$H$2:$H$2918,MATCH(Settings!$B$16,DKW_10Y!$A$2:$A$2918,1)))*100))</f>
        <v/>
      </c>
      <c r="AC111" s="18">
        <f>IF(NOT(ISNUMBER($A111)),NA(),IFERROR(1*INDEX(BBG_Data!$N$2:$N$4000,MATCH($A111,BBG_Data!$M$2:$M$4000,0)),NA()))</f>
        <v/>
      </c>
      <c r="AD111" s="18">
        <f>IF(NOT(ISNUMBER($A111)),NA(),IFERROR(1*INDEX(BBG_Data!$P$2:$P$4000,MATCH($A111,BBG_Data!$O$2:$O$4000,0)),NA()))</f>
        <v/>
      </c>
      <c r="AE111" s="18">
        <f>IF(NOT(ISNUMBER($A111)),NA(),IFERROR(1*INDEX(BBG_Data!$R$2:$R$4000,MATCH($A111,BBG_Data!$Q$2:$Q$4000,0)),NA()))</f>
        <v/>
      </c>
      <c r="AF111" s="20">
        <f>IF(AND(ISNUMBER(B111),ISNUMBER(AC111)),(B111-AC111)*100,NA())</f>
        <v/>
      </c>
      <c r="AG111" s="20">
        <f>IF(AND(ISNUMBER(AE111),ISNUMBER(AD111)),(AE111-AD111)*100,NA())</f>
        <v/>
      </c>
      <c r="AH111" s="19">
        <f>IF(NOT(ISNUMBER($A111)),NA(),IFERROR(INDEX(BBG_Data!$T$2:$T$4000,MATCH($A111,BBG_Data!$S$2:$S$4000,0))*Settings!$B$25,NA()))</f>
        <v/>
      </c>
      <c r="AI111" s="19">
        <f>IF(NOT(ISNUMBER($A111)),NA(),IFERROR(INDEX(BBG_Data!$V$2:$V$4000,MATCH($A111,BBG_Data!$U$2:$U$4000,0))*Settings!$B$25,NA()))</f>
        <v/>
      </c>
      <c r="AJ111" s="19">
        <f>IF(NOT(ISNUMBER($A111)),NA(),IFERROR(1*INDEX(BBG_Data!$X$2:$X$4000,MATCH($A111,BBG_Data!$W$2:$W$4000,0)),NA()))</f>
        <v/>
      </c>
      <c r="AK111" s="19">
        <f>IF(NOT(ISNUMBER($A111)),NA(),IFERROR(1*INDEX(BBG_Data!$Z$2:$Z$4000,MATCH($A111,BBG_Data!$Y$2:$Y$4000,0)),NA()))</f>
        <v/>
      </c>
    </row>
    <row r="112">
      <c r="A112" s="17">
        <f>IF(ISNUMBER(BBG_Data!A112),BBG_Data!A112,"")</f>
        <v/>
      </c>
      <c r="B112" s="18">
        <f>IF(AND(ISNUMBER($A112),ISNUMBER(BBG_Data!B112)),BBG_Data!B112,NA())</f>
        <v/>
      </c>
      <c r="C112" s="18">
        <f>IF(NOT(ISNUMBER($A112)),NA(),IFERROR(1*INDEX(BBG_Data!$D$2:$D$4000,MATCH($A112,BBG_Data!$C$2:$C$4000,0)),NA()))</f>
        <v/>
      </c>
      <c r="D112" s="19">
        <f>IF(NOT(ISNUMBER($A112)),NA(),IFERROR(1*INDEX(BBG_Data!$F$2:$F$4000,MATCH($A112,BBG_Data!$E$2:$E$4000,0)),NA()))</f>
        <v/>
      </c>
      <c r="E112" s="19">
        <f>IF(NOT(ISNUMBER($A112)),NA(),IFERROR(1*INDEX(BBG_Data!$H$2:$H$4000,MATCH($A112,BBG_Data!$G$2:$G$4000,0)),NA()))</f>
        <v/>
      </c>
      <c r="F112" s="20">
        <f>IF(AND(ISNUMBER(B112),ISNUMBER(B111)),IF(B112=B111,"",(B112-B111)*100),"")</f>
        <v/>
      </c>
      <c r="G112" s="20">
        <f>IF(AND(ISNUMBER(C112),ISNUMBER(C111)),IF(C112=C111,"",(C112-C111)*100),"")</f>
        <v/>
      </c>
      <c r="H112" s="20">
        <f>IF(OR(NOT(ISNUMBER($A112)),ROW()-2&lt;Settings!$B$11),NA(),IF(COUNT(OFFSET(F112,1-Settings!$B$11,0,Settings!$B$11,1))&lt;ROUNDUP(Settings!$B$11*Settings!$B$26,0),NA(),STDEV(OFFSET(F112,1-Settings!$B$11,0,Settings!$B$11,1))*SQRT(Settings!$B$13)))</f>
        <v/>
      </c>
      <c r="I112" s="20">
        <f>IF(OR(NOT(ISNUMBER($A112)),ROW()-2&lt;Settings!$B$12),NA(),IF(COUNT(OFFSET(F112,1-Settings!$B$12,0,Settings!$B$12,1))&lt;ROUNDUP(Settings!$B$12*Settings!$B$26,0),NA(),STDEV(OFFSET(F112,1-Settings!$B$12,0,Settings!$B$12,1))*SQRT(Settings!$B$13)))</f>
        <v/>
      </c>
      <c r="J112" s="20">
        <f>IF(OR(NOT(ISNUMBER($A112)),ROW()-2&lt;Settings!$B$11),NA(),IF(COUNT(OFFSET(G112,1-Settings!$B$11,0,Settings!$B$11,1))&lt;ROUNDUP(Settings!$B$11*Settings!$B$26,0),NA(),STDEV(OFFSET(G112,1-Settings!$B$11,0,Settings!$B$11,1))*SQRT(Settings!$B$13)))</f>
        <v/>
      </c>
      <c r="K112" s="20">
        <f>IF(OR(NOT(ISNUMBER($A112)),ROW()-2&lt;Settings!$B$12),NA(),IF(COUNT(OFFSET(G112,1-Settings!$B$12,0,Settings!$B$12,1))&lt;ROUNDUP(Settings!$B$12*Settings!$B$26,0),NA(),STDEV(OFFSET(G112,1-Settings!$B$12,0,Settings!$B$12,1))*SQRT(Settings!$B$13)))</f>
        <v/>
      </c>
      <c r="L112" s="20">
        <f>IF(AND(ISNUMBER(D112),ISNUMBER(H112)),D112-H112,NA())</f>
        <v/>
      </c>
      <c r="M112" s="20">
        <f>IF(AND(ISNUMBER(E112),ISNUMBER(K112)),E112-K112,NA())</f>
        <v/>
      </c>
      <c r="N112" s="20">
        <f>IF(NOT(ISNUMBER($A112)),NA(),IF(COUNT(OFFSET(G112,1,0,Settings!$B$12,1))&lt;ROUNDUP(Settings!$B$12*Settings!$B$26,0),NA(),STDEV(OFFSET(G112,1,0,Settings!$B$12,1))*SQRT(Settings!$B$13)))</f>
        <v/>
      </c>
      <c r="O112" s="20">
        <f>IF(AND(ISNUMBER(E112),ISNUMBER(N112)),E112-N112,NA())</f>
        <v/>
      </c>
      <c r="P112" s="19">
        <f>IF(NOT(ISNUMBER($A112)),NA(),IF(OR($A112&lt;MIN(KW_TP!$A$2:$A$2501),$A112&gt;MAX(KW_TP!$A$2:$A$2501)),NA(),INDEX(KW_TP!$C$2:$C$2501,MATCH($A112,KW_TP!$A$2:$A$2501,1))))</f>
        <v/>
      </c>
      <c r="Q112" s="18">
        <f>IF(NOT(ISNUMBER($A112)),NA(),IFERROR(1*INDEX(BBG_Data!$J$2:$J$4000,MATCH($A112,BBG_Data!$I$2:$I$4000,0)),NA()))</f>
        <v/>
      </c>
      <c r="R112" s="18">
        <f>IF(NOT(ISNUMBER($A112)),NA(),IFERROR(1*INDEX(BBG_Data!$L$2:$L$4000,MATCH($A112,BBG_Data!$K$2:$K$4000,0)),NA()))</f>
        <v/>
      </c>
      <c r="S112" s="20">
        <f>IF(AND(ISNUMBER(B112),ISNUMBER(Q112),ISNUMBER(R112)),(B112-Q112-R112)*100,NA())</f>
        <v/>
      </c>
      <c r="T112" s="20">
        <f>IF(AND(ISNUMBER(B112),Settings!$B$17&gt;0),IF(ISNUMBER(INDEX($B:$B,Settings!$B$17)),(B112-INDEX($B:$B,Settings!$B$17))*100,NA()),NA())</f>
        <v/>
      </c>
      <c r="U112" s="20">
        <f>IF(AND(ISNUMBER(Q112),Settings!$B$17&gt;0),IF(ISNUMBER(INDEX($Q:$Q,Settings!$B$17)),(Q112-INDEX($Q:$Q,Settings!$B$17))*100,NA()),NA())</f>
        <v/>
      </c>
      <c r="V112" s="20">
        <f>IF(AND(ISNUMBER(R112),Settings!$B$17&gt;0),IF(ISNUMBER(INDEX($R:$R,Settings!$B$17)),(R112-INDEX($R:$R,Settings!$B$17))*100,NA()),NA())</f>
        <v/>
      </c>
      <c r="W112" s="20">
        <f>IF(AND(ISNUMBER(P112),Settings!$B$17&gt;0),IF(ISNUMBER(INDEX($P:$P,Settings!$B$17)),P112-INDEX($P:$P,Settings!$B$17),NA()),NA())</f>
        <v/>
      </c>
      <c r="X112" s="19">
        <f>IF(NOT(ISNUMBER($A112)),NA(),IF(OR($A112&lt;MIN(DKW_10Y!$A$2:$A$2918),$A112&gt;MAX(DKW_10Y!$A$2:$A$2918),Settings!$B$16&lt;MIN(DKW_10Y!$A$2:$A$2918)),NA(),(INDEX(DKW_10Y!$B$2:$B$2918,MATCH($A112,DKW_10Y!$A$2:$A$2918,1))-INDEX(DKW_10Y!$B$2:$B$2918,MATCH(Settings!$B$16,DKW_10Y!$A$2:$A$2918,1)))*100))</f>
        <v/>
      </c>
      <c r="Y112" s="19">
        <f>IF(NOT(ISNUMBER($A112)),NA(),IF(OR($A112&lt;MIN(DKW_10Y!$A$2:$A$2918),$A112&gt;MAX(DKW_10Y!$A$2:$A$2918),Settings!$B$16&lt;MIN(DKW_10Y!$A$2:$A$2918)),NA(),(INDEX(DKW_10Y!$C$2:$C$2918,MATCH($A112,DKW_10Y!$A$2:$A$2918,1))-INDEX(DKW_10Y!$C$2:$C$2918,MATCH(Settings!$B$16,DKW_10Y!$A$2:$A$2918,1)))*100))</f>
        <v/>
      </c>
      <c r="Z112" s="19">
        <f>IF(NOT(ISNUMBER($A112)),NA(),IF(OR($A112&lt;MIN(DKW_10Y!$A$2:$A$2918),$A112&gt;MAX(DKW_10Y!$A$2:$A$2918),Settings!$B$16&lt;MIN(DKW_10Y!$A$2:$A$2918)),NA(),(INDEX(DKW_10Y!$D$2:$D$2918,MATCH($A112,DKW_10Y!$A$2:$A$2918,1))-INDEX(DKW_10Y!$D$2:$D$2918,MATCH(Settings!$B$16,DKW_10Y!$A$2:$A$2918,1)))*100))</f>
        <v/>
      </c>
      <c r="AA112" s="19">
        <f>IF(NOT(ISNUMBER($A112)),NA(),IF(OR($A112&lt;MIN(DKW_10Y!$A$2:$A$2918),$A112&gt;MAX(DKW_10Y!$A$2:$A$2918),Settings!$B$16&lt;MIN(DKW_10Y!$A$2:$A$2918)),NA(),(INDEX(DKW_10Y!$E$2:$E$2918,MATCH($A112,DKW_10Y!$A$2:$A$2918,1))-INDEX(DKW_10Y!$E$2:$E$2918,MATCH(Settings!$B$16,DKW_10Y!$A$2:$A$2918,1)))*100))</f>
        <v/>
      </c>
      <c r="AB112" s="19">
        <f>IF(NOT(ISNUMBER($A112)),NA(),IF(OR($A112&lt;MIN(DKW_10Y!$A$2:$A$2918),$A112&gt;MAX(DKW_10Y!$A$2:$A$2918),Settings!$B$16&lt;MIN(DKW_10Y!$A$2:$A$2918)),NA(),(INDEX(DKW_10Y!$H$2:$H$2918,MATCH($A112,DKW_10Y!$A$2:$A$2918,1))-INDEX(DKW_10Y!$H$2:$H$2918,MATCH(Settings!$B$16,DKW_10Y!$A$2:$A$2918,1)))*100))</f>
        <v/>
      </c>
      <c r="AC112" s="18">
        <f>IF(NOT(ISNUMBER($A112)),NA(),IFERROR(1*INDEX(BBG_Data!$N$2:$N$4000,MATCH($A112,BBG_Data!$M$2:$M$4000,0)),NA()))</f>
        <v/>
      </c>
      <c r="AD112" s="18">
        <f>IF(NOT(ISNUMBER($A112)),NA(),IFERROR(1*INDEX(BBG_Data!$P$2:$P$4000,MATCH($A112,BBG_Data!$O$2:$O$4000,0)),NA()))</f>
        <v/>
      </c>
      <c r="AE112" s="18">
        <f>IF(NOT(ISNUMBER($A112)),NA(),IFERROR(1*INDEX(BBG_Data!$R$2:$R$4000,MATCH($A112,BBG_Data!$Q$2:$Q$4000,0)),NA()))</f>
        <v/>
      </c>
      <c r="AF112" s="20">
        <f>IF(AND(ISNUMBER(B112),ISNUMBER(AC112)),(B112-AC112)*100,NA())</f>
        <v/>
      </c>
      <c r="AG112" s="20">
        <f>IF(AND(ISNUMBER(AE112),ISNUMBER(AD112)),(AE112-AD112)*100,NA())</f>
        <v/>
      </c>
      <c r="AH112" s="19">
        <f>IF(NOT(ISNUMBER($A112)),NA(),IFERROR(INDEX(BBG_Data!$T$2:$T$4000,MATCH($A112,BBG_Data!$S$2:$S$4000,0))*Settings!$B$25,NA()))</f>
        <v/>
      </c>
      <c r="AI112" s="19">
        <f>IF(NOT(ISNUMBER($A112)),NA(),IFERROR(INDEX(BBG_Data!$V$2:$V$4000,MATCH($A112,BBG_Data!$U$2:$U$4000,0))*Settings!$B$25,NA()))</f>
        <v/>
      </c>
      <c r="AJ112" s="19">
        <f>IF(NOT(ISNUMBER($A112)),NA(),IFERROR(1*INDEX(BBG_Data!$X$2:$X$4000,MATCH($A112,BBG_Data!$W$2:$W$4000,0)),NA()))</f>
        <v/>
      </c>
      <c r="AK112" s="19">
        <f>IF(NOT(ISNUMBER($A112)),NA(),IFERROR(1*INDEX(BBG_Data!$Z$2:$Z$4000,MATCH($A112,BBG_Data!$Y$2:$Y$4000,0)),NA()))</f>
        <v/>
      </c>
    </row>
    <row r="113">
      <c r="A113" s="17">
        <f>IF(ISNUMBER(BBG_Data!A113),BBG_Data!A113,"")</f>
        <v/>
      </c>
      <c r="B113" s="18">
        <f>IF(AND(ISNUMBER($A113),ISNUMBER(BBG_Data!B113)),BBG_Data!B113,NA())</f>
        <v/>
      </c>
      <c r="C113" s="18">
        <f>IF(NOT(ISNUMBER($A113)),NA(),IFERROR(1*INDEX(BBG_Data!$D$2:$D$4000,MATCH($A113,BBG_Data!$C$2:$C$4000,0)),NA()))</f>
        <v/>
      </c>
      <c r="D113" s="19">
        <f>IF(NOT(ISNUMBER($A113)),NA(),IFERROR(1*INDEX(BBG_Data!$F$2:$F$4000,MATCH($A113,BBG_Data!$E$2:$E$4000,0)),NA()))</f>
        <v/>
      </c>
      <c r="E113" s="19">
        <f>IF(NOT(ISNUMBER($A113)),NA(),IFERROR(1*INDEX(BBG_Data!$H$2:$H$4000,MATCH($A113,BBG_Data!$G$2:$G$4000,0)),NA()))</f>
        <v/>
      </c>
      <c r="F113" s="20">
        <f>IF(AND(ISNUMBER(B113),ISNUMBER(B112)),IF(B113=B112,"",(B113-B112)*100),"")</f>
        <v/>
      </c>
      <c r="G113" s="20">
        <f>IF(AND(ISNUMBER(C113),ISNUMBER(C112)),IF(C113=C112,"",(C113-C112)*100),"")</f>
        <v/>
      </c>
      <c r="H113" s="20">
        <f>IF(OR(NOT(ISNUMBER($A113)),ROW()-2&lt;Settings!$B$11),NA(),IF(COUNT(OFFSET(F113,1-Settings!$B$11,0,Settings!$B$11,1))&lt;ROUNDUP(Settings!$B$11*Settings!$B$26,0),NA(),STDEV(OFFSET(F113,1-Settings!$B$11,0,Settings!$B$11,1))*SQRT(Settings!$B$13)))</f>
        <v/>
      </c>
      <c r="I113" s="20">
        <f>IF(OR(NOT(ISNUMBER($A113)),ROW()-2&lt;Settings!$B$12),NA(),IF(COUNT(OFFSET(F113,1-Settings!$B$12,0,Settings!$B$12,1))&lt;ROUNDUP(Settings!$B$12*Settings!$B$26,0),NA(),STDEV(OFFSET(F113,1-Settings!$B$12,0,Settings!$B$12,1))*SQRT(Settings!$B$13)))</f>
        <v/>
      </c>
      <c r="J113" s="20">
        <f>IF(OR(NOT(ISNUMBER($A113)),ROW()-2&lt;Settings!$B$11),NA(),IF(COUNT(OFFSET(G113,1-Settings!$B$11,0,Settings!$B$11,1))&lt;ROUNDUP(Settings!$B$11*Settings!$B$26,0),NA(),STDEV(OFFSET(G113,1-Settings!$B$11,0,Settings!$B$11,1))*SQRT(Settings!$B$13)))</f>
        <v/>
      </c>
      <c r="K113" s="20">
        <f>IF(OR(NOT(ISNUMBER($A113)),ROW()-2&lt;Settings!$B$12),NA(),IF(COUNT(OFFSET(G113,1-Settings!$B$12,0,Settings!$B$12,1))&lt;ROUNDUP(Settings!$B$12*Settings!$B$26,0),NA(),STDEV(OFFSET(G113,1-Settings!$B$12,0,Settings!$B$12,1))*SQRT(Settings!$B$13)))</f>
        <v/>
      </c>
      <c r="L113" s="20">
        <f>IF(AND(ISNUMBER(D113),ISNUMBER(H113)),D113-H113,NA())</f>
        <v/>
      </c>
      <c r="M113" s="20">
        <f>IF(AND(ISNUMBER(E113),ISNUMBER(K113)),E113-K113,NA())</f>
        <v/>
      </c>
      <c r="N113" s="20">
        <f>IF(NOT(ISNUMBER($A113)),NA(),IF(COUNT(OFFSET(G113,1,0,Settings!$B$12,1))&lt;ROUNDUP(Settings!$B$12*Settings!$B$26,0),NA(),STDEV(OFFSET(G113,1,0,Settings!$B$12,1))*SQRT(Settings!$B$13)))</f>
        <v/>
      </c>
      <c r="O113" s="20">
        <f>IF(AND(ISNUMBER(E113),ISNUMBER(N113)),E113-N113,NA())</f>
        <v/>
      </c>
      <c r="P113" s="19">
        <f>IF(NOT(ISNUMBER($A113)),NA(),IF(OR($A113&lt;MIN(KW_TP!$A$2:$A$2501),$A113&gt;MAX(KW_TP!$A$2:$A$2501)),NA(),INDEX(KW_TP!$C$2:$C$2501,MATCH($A113,KW_TP!$A$2:$A$2501,1))))</f>
        <v/>
      </c>
      <c r="Q113" s="18">
        <f>IF(NOT(ISNUMBER($A113)),NA(),IFERROR(1*INDEX(BBG_Data!$J$2:$J$4000,MATCH($A113,BBG_Data!$I$2:$I$4000,0)),NA()))</f>
        <v/>
      </c>
      <c r="R113" s="18">
        <f>IF(NOT(ISNUMBER($A113)),NA(),IFERROR(1*INDEX(BBG_Data!$L$2:$L$4000,MATCH($A113,BBG_Data!$K$2:$K$4000,0)),NA()))</f>
        <v/>
      </c>
      <c r="S113" s="20">
        <f>IF(AND(ISNUMBER(B113),ISNUMBER(Q113),ISNUMBER(R113)),(B113-Q113-R113)*100,NA())</f>
        <v/>
      </c>
      <c r="T113" s="20">
        <f>IF(AND(ISNUMBER(B113),Settings!$B$17&gt;0),IF(ISNUMBER(INDEX($B:$B,Settings!$B$17)),(B113-INDEX($B:$B,Settings!$B$17))*100,NA()),NA())</f>
        <v/>
      </c>
      <c r="U113" s="20">
        <f>IF(AND(ISNUMBER(Q113),Settings!$B$17&gt;0),IF(ISNUMBER(INDEX($Q:$Q,Settings!$B$17)),(Q113-INDEX($Q:$Q,Settings!$B$17))*100,NA()),NA())</f>
        <v/>
      </c>
      <c r="V113" s="20">
        <f>IF(AND(ISNUMBER(R113),Settings!$B$17&gt;0),IF(ISNUMBER(INDEX($R:$R,Settings!$B$17)),(R113-INDEX($R:$R,Settings!$B$17))*100,NA()),NA())</f>
        <v/>
      </c>
      <c r="W113" s="20">
        <f>IF(AND(ISNUMBER(P113),Settings!$B$17&gt;0),IF(ISNUMBER(INDEX($P:$P,Settings!$B$17)),P113-INDEX($P:$P,Settings!$B$17),NA()),NA())</f>
        <v/>
      </c>
      <c r="X113" s="19">
        <f>IF(NOT(ISNUMBER($A113)),NA(),IF(OR($A113&lt;MIN(DKW_10Y!$A$2:$A$2918),$A113&gt;MAX(DKW_10Y!$A$2:$A$2918),Settings!$B$16&lt;MIN(DKW_10Y!$A$2:$A$2918)),NA(),(INDEX(DKW_10Y!$B$2:$B$2918,MATCH($A113,DKW_10Y!$A$2:$A$2918,1))-INDEX(DKW_10Y!$B$2:$B$2918,MATCH(Settings!$B$16,DKW_10Y!$A$2:$A$2918,1)))*100))</f>
        <v/>
      </c>
      <c r="Y113" s="19">
        <f>IF(NOT(ISNUMBER($A113)),NA(),IF(OR($A113&lt;MIN(DKW_10Y!$A$2:$A$2918),$A113&gt;MAX(DKW_10Y!$A$2:$A$2918),Settings!$B$16&lt;MIN(DKW_10Y!$A$2:$A$2918)),NA(),(INDEX(DKW_10Y!$C$2:$C$2918,MATCH($A113,DKW_10Y!$A$2:$A$2918,1))-INDEX(DKW_10Y!$C$2:$C$2918,MATCH(Settings!$B$16,DKW_10Y!$A$2:$A$2918,1)))*100))</f>
        <v/>
      </c>
      <c r="Z113" s="19">
        <f>IF(NOT(ISNUMBER($A113)),NA(),IF(OR($A113&lt;MIN(DKW_10Y!$A$2:$A$2918),$A113&gt;MAX(DKW_10Y!$A$2:$A$2918),Settings!$B$16&lt;MIN(DKW_10Y!$A$2:$A$2918)),NA(),(INDEX(DKW_10Y!$D$2:$D$2918,MATCH($A113,DKW_10Y!$A$2:$A$2918,1))-INDEX(DKW_10Y!$D$2:$D$2918,MATCH(Settings!$B$16,DKW_10Y!$A$2:$A$2918,1)))*100))</f>
        <v/>
      </c>
      <c r="AA113" s="19">
        <f>IF(NOT(ISNUMBER($A113)),NA(),IF(OR($A113&lt;MIN(DKW_10Y!$A$2:$A$2918),$A113&gt;MAX(DKW_10Y!$A$2:$A$2918),Settings!$B$16&lt;MIN(DKW_10Y!$A$2:$A$2918)),NA(),(INDEX(DKW_10Y!$E$2:$E$2918,MATCH($A113,DKW_10Y!$A$2:$A$2918,1))-INDEX(DKW_10Y!$E$2:$E$2918,MATCH(Settings!$B$16,DKW_10Y!$A$2:$A$2918,1)))*100))</f>
        <v/>
      </c>
      <c r="AB113" s="19">
        <f>IF(NOT(ISNUMBER($A113)),NA(),IF(OR($A113&lt;MIN(DKW_10Y!$A$2:$A$2918),$A113&gt;MAX(DKW_10Y!$A$2:$A$2918),Settings!$B$16&lt;MIN(DKW_10Y!$A$2:$A$2918)),NA(),(INDEX(DKW_10Y!$H$2:$H$2918,MATCH($A113,DKW_10Y!$A$2:$A$2918,1))-INDEX(DKW_10Y!$H$2:$H$2918,MATCH(Settings!$B$16,DKW_10Y!$A$2:$A$2918,1)))*100))</f>
        <v/>
      </c>
      <c r="AC113" s="18">
        <f>IF(NOT(ISNUMBER($A113)),NA(),IFERROR(1*INDEX(BBG_Data!$N$2:$N$4000,MATCH($A113,BBG_Data!$M$2:$M$4000,0)),NA()))</f>
        <v/>
      </c>
      <c r="AD113" s="18">
        <f>IF(NOT(ISNUMBER($A113)),NA(),IFERROR(1*INDEX(BBG_Data!$P$2:$P$4000,MATCH($A113,BBG_Data!$O$2:$O$4000,0)),NA()))</f>
        <v/>
      </c>
      <c r="AE113" s="18">
        <f>IF(NOT(ISNUMBER($A113)),NA(),IFERROR(1*INDEX(BBG_Data!$R$2:$R$4000,MATCH($A113,BBG_Data!$Q$2:$Q$4000,0)),NA()))</f>
        <v/>
      </c>
      <c r="AF113" s="20">
        <f>IF(AND(ISNUMBER(B113),ISNUMBER(AC113)),(B113-AC113)*100,NA())</f>
        <v/>
      </c>
      <c r="AG113" s="20">
        <f>IF(AND(ISNUMBER(AE113),ISNUMBER(AD113)),(AE113-AD113)*100,NA())</f>
        <v/>
      </c>
      <c r="AH113" s="19">
        <f>IF(NOT(ISNUMBER($A113)),NA(),IFERROR(INDEX(BBG_Data!$T$2:$T$4000,MATCH($A113,BBG_Data!$S$2:$S$4000,0))*Settings!$B$25,NA()))</f>
        <v/>
      </c>
      <c r="AI113" s="19">
        <f>IF(NOT(ISNUMBER($A113)),NA(),IFERROR(INDEX(BBG_Data!$V$2:$V$4000,MATCH($A113,BBG_Data!$U$2:$U$4000,0))*Settings!$B$25,NA()))</f>
        <v/>
      </c>
      <c r="AJ113" s="19">
        <f>IF(NOT(ISNUMBER($A113)),NA(),IFERROR(1*INDEX(BBG_Data!$X$2:$X$4000,MATCH($A113,BBG_Data!$W$2:$W$4000,0)),NA()))</f>
        <v/>
      </c>
      <c r="AK113" s="19">
        <f>IF(NOT(ISNUMBER($A113)),NA(),IFERROR(1*INDEX(BBG_Data!$Z$2:$Z$4000,MATCH($A113,BBG_Data!$Y$2:$Y$4000,0)),NA()))</f>
        <v/>
      </c>
    </row>
    <row r="114">
      <c r="A114" s="17">
        <f>IF(ISNUMBER(BBG_Data!A114),BBG_Data!A114,"")</f>
        <v/>
      </c>
      <c r="B114" s="18">
        <f>IF(AND(ISNUMBER($A114),ISNUMBER(BBG_Data!B114)),BBG_Data!B114,NA())</f>
        <v/>
      </c>
      <c r="C114" s="18">
        <f>IF(NOT(ISNUMBER($A114)),NA(),IFERROR(1*INDEX(BBG_Data!$D$2:$D$4000,MATCH($A114,BBG_Data!$C$2:$C$4000,0)),NA()))</f>
        <v/>
      </c>
      <c r="D114" s="19">
        <f>IF(NOT(ISNUMBER($A114)),NA(),IFERROR(1*INDEX(BBG_Data!$F$2:$F$4000,MATCH($A114,BBG_Data!$E$2:$E$4000,0)),NA()))</f>
        <v/>
      </c>
      <c r="E114" s="19">
        <f>IF(NOT(ISNUMBER($A114)),NA(),IFERROR(1*INDEX(BBG_Data!$H$2:$H$4000,MATCH($A114,BBG_Data!$G$2:$G$4000,0)),NA()))</f>
        <v/>
      </c>
      <c r="F114" s="20">
        <f>IF(AND(ISNUMBER(B114),ISNUMBER(B113)),IF(B114=B113,"",(B114-B113)*100),"")</f>
        <v/>
      </c>
      <c r="G114" s="20">
        <f>IF(AND(ISNUMBER(C114),ISNUMBER(C113)),IF(C114=C113,"",(C114-C113)*100),"")</f>
        <v/>
      </c>
      <c r="H114" s="20">
        <f>IF(OR(NOT(ISNUMBER($A114)),ROW()-2&lt;Settings!$B$11),NA(),IF(COUNT(OFFSET(F114,1-Settings!$B$11,0,Settings!$B$11,1))&lt;ROUNDUP(Settings!$B$11*Settings!$B$26,0),NA(),STDEV(OFFSET(F114,1-Settings!$B$11,0,Settings!$B$11,1))*SQRT(Settings!$B$13)))</f>
        <v/>
      </c>
      <c r="I114" s="20">
        <f>IF(OR(NOT(ISNUMBER($A114)),ROW()-2&lt;Settings!$B$12),NA(),IF(COUNT(OFFSET(F114,1-Settings!$B$12,0,Settings!$B$12,1))&lt;ROUNDUP(Settings!$B$12*Settings!$B$26,0),NA(),STDEV(OFFSET(F114,1-Settings!$B$12,0,Settings!$B$12,1))*SQRT(Settings!$B$13)))</f>
        <v/>
      </c>
      <c r="J114" s="20">
        <f>IF(OR(NOT(ISNUMBER($A114)),ROW()-2&lt;Settings!$B$11),NA(),IF(COUNT(OFFSET(G114,1-Settings!$B$11,0,Settings!$B$11,1))&lt;ROUNDUP(Settings!$B$11*Settings!$B$26,0),NA(),STDEV(OFFSET(G114,1-Settings!$B$11,0,Settings!$B$11,1))*SQRT(Settings!$B$13)))</f>
        <v/>
      </c>
      <c r="K114" s="20">
        <f>IF(OR(NOT(ISNUMBER($A114)),ROW()-2&lt;Settings!$B$12),NA(),IF(COUNT(OFFSET(G114,1-Settings!$B$12,0,Settings!$B$12,1))&lt;ROUNDUP(Settings!$B$12*Settings!$B$26,0),NA(),STDEV(OFFSET(G114,1-Settings!$B$12,0,Settings!$B$12,1))*SQRT(Settings!$B$13)))</f>
        <v/>
      </c>
      <c r="L114" s="20">
        <f>IF(AND(ISNUMBER(D114),ISNUMBER(H114)),D114-H114,NA())</f>
        <v/>
      </c>
      <c r="M114" s="20">
        <f>IF(AND(ISNUMBER(E114),ISNUMBER(K114)),E114-K114,NA())</f>
        <v/>
      </c>
      <c r="N114" s="20">
        <f>IF(NOT(ISNUMBER($A114)),NA(),IF(COUNT(OFFSET(G114,1,0,Settings!$B$12,1))&lt;ROUNDUP(Settings!$B$12*Settings!$B$26,0),NA(),STDEV(OFFSET(G114,1,0,Settings!$B$12,1))*SQRT(Settings!$B$13)))</f>
        <v/>
      </c>
      <c r="O114" s="20">
        <f>IF(AND(ISNUMBER(E114),ISNUMBER(N114)),E114-N114,NA())</f>
        <v/>
      </c>
      <c r="P114" s="19">
        <f>IF(NOT(ISNUMBER($A114)),NA(),IF(OR($A114&lt;MIN(KW_TP!$A$2:$A$2501),$A114&gt;MAX(KW_TP!$A$2:$A$2501)),NA(),INDEX(KW_TP!$C$2:$C$2501,MATCH($A114,KW_TP!$A$2:$A$2501,1))))</f>
        <v/>
      </c>
      <c r="Q114" s="18">
        <f>IF(NOT(ISNUMBER($A114)),NA(),IFERROR(1*INDEX(BBG_Data!$J$2:$J$4000,MATCH($A114,BBG_Data!$I$2:$I$4000,0)),NA()))</f>
        <v/>
      </c>
      <c r="R114" s="18">
        <f>IF(NOT(ISNUMBER($A114)),NA(),IFERROR(1*INDEX(BBG_Data!$L$2:$L$4000,MATCH($A114,BBG_Data!$K$2:$K$4000,0)),NA()))</f>
        <v/>
      </c>
      <c r="S114" s="20">
        <f>IF(AND(ISNUMBER(B114),ISNUMBER(Q114),ISNUMBER(R114)),(B114-Q114-R114)*100,NA())</f>
        <v/>
      </c>
      <c r="T114" s="20">
        <f>IF(AND(ISNUMBER(B114),Settings!$B$17&gt;0),IF(ISNUMBER(INDEX($B:$B,Settings!$B$17)),(B114-INDEX($B:$B,Settings!$B$17))*100,NA()),NA())</f>
        <v/>
      </c>
      <c r="U114" s="20">
        <f>IF(AND(ISNUMBER(Q114),Settings!$B$17&gt;0),IF(ISNUMBER(INDEX($Q:$Q,Settings!$B$17)),(Q114-INDEX($Q:$Q,Settings!$B$17))*100,NA()),NA())</f>
        <v/>
      </c>
      <c r="V114" s="20">
        <f>IF(AND(ISNUMBER(R114),Settings!$B$17&gt;0),IF(ISNUMBER(INDEX($R:$R,Settings!$B$17)),(R114-INDEX($R:$R,Settings!$B$17))*100,NA()),NA())</f>
        <v/>
      </c>
      <c r="W114" s="20">
        <f>IF(AND(ISNUMBER(P114),Settings!$B$17&gt;0),IF(ISNUMBER(INDEX($P:$P,Settings!$B$17)),P114-INDEX($P:$P,Settings!$B$17),NA()),NA())</f>
        <v/>
      </c>
      <c r="X114" s="19">
        <f>IF(NOT(ISNUMBER($A114)),NA(),IF(OR($A114&lt;MIN(DKW_10Y!$A$2:$A$2918),$A114&gt;MAX(DKW_10Y!$A$2:$A$2918),Settings!$B$16&lt;MIN(DKW_10Y!$A$2:$A$2918)),NA(),(INDEX(DKW_10Y!$B$2:$B$2918,MATCH($A114,DKW_10Y!$A$2:$A$2918,1))-INDEX(DKW_10Y!$B$2:$B$2918,MATCH(Settings!$B$16,DKW_10Y!$A$2:$A$2918,1)))*100))</f>
        <v/>
      </c>
      <c r="Y114" s="19">
        <f>IF(NOT(ISNUMBER($A114)),NA(),IF(OR($A114&lt;MIN(DKW_10Y!$A$2:$A$2918),$A114&gt;MAX(DKW_10Y!$A$2:$A$2918),Settings!$B$16&lt;MIN(DKW_10Y!$A$2:$A$2918)),NA(),(INDEX(DKW_10Y!$C$2:$C$2918,MATCH($A114,DKW_10Y!$A$2:$A$2918,1))-INDEX(DKW_10Y!$C$2:$C$2918,MATCH(Settings!$B$16,DKW_10Y!$A$2:$A$2918,1)))*100))</f>
        <v/>
      </c>
      <c r="Z114" s="19">
        <f>IF(NOT(ISNUMBER($A114)),NA(),IF(OR($A114&lt;MIN(DKW_10Y!$A$2:$A$2918),$A114&gt;MAX(DKW_10Y!$A$2:$A$2918),Settings!$B$16&lt;MIN(DKW_10Y!$A$2:$A$2918)),NA(),(INDEX(DKW_10Y!$D$2:$D$2918,MATCH($A114,DKW_10Y!$A$2:$A$2918,1))-INDEX(DKW_10Y!$D$2:$D$2918,MATCH(Settings!$B$16,DKW_10Y!$A$2:$A$2918,1)))*100))</f>
        <v/>
      </c>
      <c r="AA114" s="19">
        <f>IF(NOT(ISNUMBER($A114)),NA(),IF(OR($A114&lt;MIN(DKW_10Y!$A$2:$A$2918),$A114&gt;MAX(DKW_10Y!$A$2:$A$2918),Settings!$B$16&lt;MIN(DKW_10Y!$A$2:$A$2918)),NA(),(INDEX(DKW_10Y!$E$2:$E$2918,MATCH($A114,DKW_10Y!$A$2:$A$2918,1))-INDEX(DKW_10Y!$E$2:$E$2918,MATCH(Settings!$B$16,DKW_10Y!$A$2:$A$2918,1)))*100))</f>
        <v/>
      </c>
      <c r="AB114" s="19">
        <f>IF(NOT(ISNUMBER($A114)),NA(),IF(OR($A114&lt;MIN(DKW_10Y!$A$2:$A$2918),$A114&gt;MAX(DKW_10Y!$A$2:$A$2918),Settings!$B$16&lt;MIN(DKW_10Y!$A$2:$A$2918)),NA(),(INDEX(DKW_10Y!$H$2:$H$2918,MATCH($A114,DKW_10Y!$A$2:$A$2918,1))-INDEX(DKW_10Y!$H$2:$H$2918,MATCH(Settings!$B$16,DKW_10Y!$A$2:$A$2918,1)))*100))</f>
        <v/>
      </c>
      <c r="AC114" s="18">
        <f>IF(NOT(ISNUMBER($A114)),NA(),IFERROR(1*INDEX(BBG_Data!$N$2:$N$4000,MATCH($A114,BBG_Data!$M$2:$M$4000,0)),NA()))</f>
        <v/>
      </c>
      <c r="AD114" s="18">
        <f>IF(NOT(ISNUMBER($A114)),NA(),IFERROR(1*INDEX(BBG_Data!$P$2:$P$4000,MATCH($A114,BBG_Data!$O$2:$O$4000,0)),NA()))</f>
        <v/>
      </c>
      <c r="AE114" s="18">
        <f>IF(NOT(ISNUMBER($A114)),NA(),IFERROR(1*INDEX(BBG_Data!$R$2:$R$4000,MATCH($A114,BBG_Data!$Q$2:$Q$4000,0)),NA()))</f>
        <v/>
      </c>
      <c r="AF114" s="20">
        <f>IF(AND(ISNUMBER(B114),ISNUMBER(AC114)),(B114-AC114)*100,NA())</f>
        <v/>
      </c>
      <c r="AG114" s="20">
        <f>IF(AND(ISNUMBER(AE114),ISNUMBER(AD114)),(AE114-AD114)*100,NA())</f>
        <v/>
      </c>
      <c r="AH114" s="19">
        <f>IF(NOT(ISNUMBER($A114)),NA(),IFERROR(INDEX(BBG_Data!$T$2:$T$4000,MATCH($A114,BBG_Data!$S$2:$S$4000,0))*Settings!$B$25,NA()))</f>
        <v/>
      </c>
      <c r="AI114" s="19">
        <f>IF(NOT(ISNUMBER($A114)),NA(),IFERROR(INDEX(BBG_Data!$V$2:$V$4000,MATCH($A114,BBG_Data!$U$2:$U$4000,0))*Settings!$B$25,NA()))</f>
        <v/>
      </c>
      <c r="AJ114" s="19">
        <f>IF(NOT(ISNUMBER($A114)),NA(),IFERROR(1*INDEX(BBG_Data!$X$2:$X$4000,MATCH($A114,BBG_Data!$W$2:$W$4000,0)),NA()))</f>
        <v/>
      </c>
      <c r="AK114" s="19">
        <f>IF(NOT(ISNUMBER($A114)),NA(),IFERROR(1*INDEX(BBG_Data!$Z$2:$Z$4000,MATCH($A114,BBG_Data!$Y$2:$Y$4000,0)),NA()))</f>
        <v/>
      </c>
    </row>
    <row r="115">
      <c r="A115" s="17">
        <f>IF(ISNUMBER(BBG_Data!A115),BBG_Data!A115,"")</f>
        <v/>
      </c>
      <c r="B115" s="18">
        <f>IF(AND(ISNUMBER($A115),ISNUMBER(BBG_Data!B115)),BBG_Data!B115,NA())</f>
        <v/>
      </c>
      <c r="C115" s="18">
        <f>IF(NOT(ISNUMBER($A115)),NA(),IFERROR(1*INDEX(BBG_Data!$D$2:$D$4000,MATCH($A115,BBG_Data!$C$2:$C$4000,0)),NA()))</f>
        <v/>
      </c>
      <c r="D115" s="19">
        <f>IF(NOT(ISNUMBER($A115)),NA(),IFERROR(1*INDEX(BBG_Data!$F$2:$F$4000,MATCH($A115,BBG_Data!$E$2:$E$4000,0)),NA()))</f>
        <v/>
      </c>
      <c r="E115" s="19">
        <f>IF(NOT(ISNUMBER($A115)),NA(),IFERROR(1*INDEX(BBG_Data!$H$2:$H$4000,MATCH($A115,BBG_Data!$G$2:$G$4000,0)),NA()))</f>
        <v/>
      </c>
      <c r="F115" s="20">
        <f>IF(AND(ISNUMBER(B115),ISNUMBER(B114)),IF(B115=B114,"",(B115-B114)*100),"")</f>
        <v/>
      </c>
      <c r="G115" s="20">
        <f>IF(AND(ISNUMBER(C115),ISNUMBER(C114)),IF(C115=C114,"",(C115-C114)*100),"")</f>
        <v/>
      </c>
      <c r="H115" s="20">
        <f>IF(OR(NOT(ISNUMBER($A115)),ROW()-2&lt;Settings!$B$11),NA(),IF(COUNT(OFFSET(F115,1-Settings!$B$11,0,Settings!$B$11,1))&lt;ROUNDUP(Settings!$B$11*Settings!$B$26,0),NA(),STDEV(OFFSET(F115,1-Settings!$B$11,0,Settings!$B$11,1))*SQRT(Settings!$B$13)))</f>
        <v/>
      </c>
      <c r="I115" s="20">
        <f>IF(OR(NOT(ISNUMBER($A115)),ROW()-2&lt;Settings!$B$12),NA(),IF(COUNT(OFFSET(F115,1-Settings!$B$12,0,Settings!$B$12,1))&lt;ROUNDUP(Settings!$B$12*Settings!$B$26,0),NA(),STDEV(OFFSET(F115,1-Settings!$B$12,0,Settings!$B$12,1))*SQRT(Settings!$B$13)))</f>
        <v/>
      </c>
      <c r="J115" s="20">
        <f>IF(OR(NOT(ISNUMBER($A115)),ROW()-2&lt;Settings!$B$11),NA(),IF(COUNT(OFFSET(G115,1-Settings!$B$11,0,Settings!$B$11,1))&lt;ROUNDUP(Settings!$B$11*Settings!$B$26,0),NA(),STDEV(OFFSET(G115,1-Settings!$B$11,0,Settings!$B$11,1))*SQRT(Settings!$B$13)))</f>
        <v/>
      </c>
      <c r="K115" s="20">
        <f>IF(OR(NOT(ISNUMBER($A115)),ROW()-2&lt;Settings!$B$12),NA(),IF(COUNT(OFFSET(G115,1-Settings!$B$12,0,Settings!$B$12,1))&lt;ROUNDUP(Settings!$B$12*Settings!$B$26,0),NA(),STDEV(OFFSET(G115,1-Settings!$B$12,0,Settings!$B$12,1))*SQRT(Settings!$B$13)))</f>
        <v/>
      </c>
      <c r="L115" s="20">
        <f>IF(AND(ISNUMBER(D115),ISNUMBER(H115)),D115-H115,NA())</f>
        <v/>
      </c>
      <c r="M115" s="20">
        <f>IF(AND(ISNUMBER(E115),ISNUMBER(K115)),E115-K115,NA())</f>
        <v/>
      </c>
      <c r="N115" s="20">
        <f>IF(NOT(ISNUMBER($A115)),NA(),IF(COUNT(OFFSET(G115,1,0,Settings!$B$12,1))&lt;ROUNDUP(Settings!$B$12*Settings!$B$26,0),NA(),STDEV(OFFSET(G115,1,0,Settings!$B$12,1))*SQRT(Settings!$B$13)))</f>
        <v/>
      </c>
      <c r="O115" s="20">
        <f>IF(AND(ISNUMBER(E115),ISNUMBER(N115)),E115-N115,NA())</f>
        <v/>
      </c>
      <c r="P115" s="19">
        <f>IF(NOT(ISNUMBER($A115)),NA(),IF(OR($A115&lt;MIN(KW_TP!$A$2:$A$2501),$A115&gt;MAX(KW_TP!$A$2:$A$2501)),NA(),INDEX(KW_TP!$C$2:$C$2501,MATCH($A115,KW_TP!$A$2:$A$2501,1))))</f>
        <v/>
      </c>
      <c r="Q115" s="18">
        <f>IF(NOT(ISNUMBER($A115)),NA(),IFERROR(1*INDEX(BBG_Data!$J$2:$J$4000,MATCH($A115,BBG_Data!$I$2:$I$4000,0)),NA()))</f>
        <v/>
      </c>
      <c r="R115" s="18">
        <f>IF(NOT(ISNUMBER($A115)),NA(),IFERROR(1*INDEX(BBG_Data!$L$2:$L$4000,MATCH($A115,BBG_Data!$K$2:$K$4000,0)),NA()))</f>
        <v/>
      </c>
      <c r="S115" s="20">
        <f>IF(AND(ISNUMBER(B115),ISNUMBER(Q115),ISNUMBER(R115)),(B115-Q115-R115)*100,NA())</f>
        <v/>
      </c>
      <c r="T115" s="20">
        <f>IF(AND(ISNUMBER(B115),Settings!$B$17&gt;0),IF(ISNUMBER(INDEX($B:$B,Settings!$B$17)),(B115-INDEX($B:$B,Settings!$B$17))*100,NA()),NA())</f>
        <v/>
      </c>
      <c r="U115" s="20">
        <f>IF(AND(ISNUMBER(Q115),Settings!$B$17&gt;0),IF(ISNUMBER(INDEX($Q:$Q,Settings!$B$17)),(Q115-INDEX($Q:$Q,Settings!$B$17))*100,NA()),NA())</f>
        <v/>
      </c>
      <c r="V115" s="20">
        <f>IF(AND(ISNUMBER(R115),Settings!$B$17&gt;0),IF(ISNUMBER(INDEX($R:$R,Settings!$B$17)),(R115-INDEX($R:$R,Settings!$B$17))*100,NA()),NA())</f>
        <v/>
      </c>
      <c r="W115" s="20">
        <f>IF(AND(ISNUMBER(P115),Settings!$B$17&gt;0),IF(ISNUMBER(INDEX($P:$P,Settings!$B$17)),P115-INDEX($P:$P,Settings!$B$17),NA()),NA())</f>
        <v/>
      </c>
      <c r="X115" s="19">
        <f>IF(NOT(ISNUMBER($A115)),NA(),IF(OR($A115&lt;MIN(DKW_10Y!$A$2:$A$2918),$A115&gt;MAX(DKW_10Y!$A$2:$A$2918),Settings!$B$16&lt;MIN(DKW_10Y!$A$2:$A$2918)),NA(),(INDEX(DKW_10Y!$B$2:$B$2918,MATCH($A115,DKW_10Y!$A$2:$A$2918,1))-INDEX(DKW_10Y!$B$2:$B$2918,MATCH(Settings!$B$16,DKW_10Y!$A$2:$A$2918,1)))*100))</f>
        <v/>
      </c>
      <c r="Y115" s="19">
        <f>IF(NOT(ISNUMBER($A115)),NA(),IF(OR($A115&lt;MIN(DKW_10Y!$A$2:$A$2918),$A115&gt;MAX(DKW_10Y!$A$2:$A$2918),Settings!$B$16&lt;MIN(DKW_10Y!$A$2:$A$2918)),NA(),(INDEX(DKW_10Y!$C$2:$C$2918,MATCH($A115,DKW_10Y!$A$2:$A$2918,1))-INDEX(DKW_10Y!$C$2:$C$2918,MATCH(Settings!$B$16,DKW_10Y!$A$2:$A$2918,1)))*100))</f>
        <v/>
      </c>
      <c r="Z115" s="19">
        <f>IF(NOT(ISNUMBER($A115)),NA(),IF(OR($A115&lt;MIN(DKW_10Y!$A$2:$A$2918),$A115&gt;MAX(DKW_10Y!$A$2:$A$2918),Settings!$B$16&lt;MIN(DKW_10Y!$A$2:$A$2918)),NA(),(INDEX(DKW_10Y!$D$2:$D$2918,MATCH($A115,DKW_10Y!$A$2:$A$2918,1))-INDEX(DKW_10Y!$D$2:$D$2918,MATCH(Settings!$B$16,DKW_10Y!$A$2:$A$2918,1)))*100))</f>
        <v/>
      </c>
      <c r="AA115" s="19">
        <f>IF(NOT(ISNUMBER($A115)),NA(),IF(OR($A115&lt;MIN(DKW_10Y!$A$2:$A$2918),$A115&gt;MAX(DKW_10Y!$A$2:$A$2918),Settings!$B$16&lt;MIN(DKW_10Y!$A$2:$A$2918)),NA(),(INDEX(DKW_10Y!$E$2:$E$2918,MATCH($A115,DKW_10Y!$A$2:$A$2918,1))-INDEX(DKW_10Y!$E$2:$E$2918,MATCH(Settings!$B$16,DKW_10Y!$A$2:$A$2918,1)))*100))</f>
        <v/>
      </c>
      <c r="AB115" s="19">
        <f>IF(NOT(ISNUMBER($A115)),NA(),IF(OR($A115&lt;MIN(DKW_10Y!$A$2:$A$2918),$A115&gt;MAX(DKW_10Y!$A$2:$A$2918),Settings!$B$16&lt;MIN(DKW_10Y!$A$2:$A$2918)),NA(),(INDEX(DKW_10Y!$H$2:$H$2918,MATCH($A115,DKW_10Y!$A$2:$A$2918,1))-INDEX(DKW_10Y!$H$2:$H$2918,MATCH(Settings!$B$16,DKW_10Y!$A$2:$A$2918,1)))*100))</f>
        <v/>
      </c>
      <c r="AC115" s="18">
        <f>IF(NOT(ISNUMBER($A115)),NA(),IFERROR(1*INDEX(BBG_Data!$N$2:$N$4000,MATCH($A115,BBG_Data!$M$2:$M$4000,0)),NA()))</f>
        <v/>
      </c>
      <c r="AD115" s="18">
        <f>IF(NOT(ISNUMBER($A115)),NA(),IFERROR(1*INDEX(BBG_Data!$P$2:$P$4000,MATCH($A115,BBG_Data!$O$2:$O$4000,0)),NA()))</f>
        <v/>
      </c>
      <c r="AE115" s="18">
        <f>IF(NOT(ISNUMBER($A115)),NA(),IFERROR(1*INDEX(BBG_Data!$R$2:$R$4000,MATCH($A115,BBG_Data!$Q$2:$Q$4000,0)),NA()))</f>
        <v/>
      </c>
      <c r="AF115" s="20">
        <f>IF(AND(ISNUMBER(B115),ISNUMBER(AC115)),(B115-AC115)*100,NA())</f>
        <v/>
      </c>
      <c r="AG115" s="20">
        <f>IF(AND(ISNUMBER(AE115),ISNUMBER(AD115)),(AE115-AD115)*100,NA())</f>
        <v/>
      </c>
      <c r="AH115" s="19">
        <f>IF(NOT(ISNUMBER($A115)),NA(),IFERROR(INDEX(BBG_Data!$T$2:$T$4000,MATCH($A115,BBG_Data!$S$2:$S$4000,0))*Settings!$B$25,NA()))</f>
        <v/>
      </c>
      <c r="AI115" s="19">
        <f>IF(NOT(ISNUMBER($A115)),NA(),IFERROR(INDEX(BBG_Data!$V$2:$V$4000,MATCH($A115,BBG_Data!$U$2:$U$4000,0))*Settings!$B$25,NA()))</f>
        <v/>
      </c>
      <c r="AJ115" s="19">
        <f>IF(NOT(ISNUMBER($A115)),NA(),IFERROR(1*INDEX(BBG_Data!$X$2:$X$4000,MATCH($A115,BBG_Data!$W$2:$W$4000,0)),NA()))</f>
        <v/>
      </c>
      <c r="AK115" s="19">
        <f>IF(NOT(ISNUMBER($A115)),NA(),IFERROR(1*INDEX(BBG_Data!$Z$2:$Z$4000,MATCH($A115,BBG_Data!$Y$2:$Y$4000,0)),NA()))</f>
        <v/>
      </c>
    </row>
    <row r="116">
      <c r="A116" s="17">
        <f>IF(ISNUMBER(BBG_Data!A116),BBG_Data!A116,"")</f>
        <v/>
      </c>
      <c r="B116" s="18">
        <f>IF(AND(ISNUMBER($A116),ISNUMBER(BBG_Data!B116)),BBG_Data!B116,NA())</f>
        <v/>
      </c>
      <c r="C116" s="18">
        <f>IF(NOT(ISNUMBER($A116)),NA(),IFERROR(1*INDEX(BBG_Data!$D$2:$D$4000,MATCH($A116,BBG_Data!$C$2:$C$4000,0)),NA()))</f>
        <v/>
      </c>
      <c r="D116" s="19">
        <f>IF(NOT(ISNUMBER($A116)),NA(),IFERROR(1*INDEX(BBG_Data!$F$2:$F$4000,MATCH($A116,BBG_Data!$E$2:$E$4000,0)),NA()))</f>
        <v/>
      </c>
      <c r="E116" s="19">
        <f>IF(NOT(ISNUMBER($A116)),NA(),IFERROR(1*INDEX(BBG_Data!$H$2:$H$4000,MATCH($A116,BBG_Data!$G$2:$G$4000,0)),NA()))</f>
        <v/>
      </c>
      <c r="F116" s="20">
        <f>IF(AND(ISNUMBER(B116),ISNUMBER(B115)),IF(B116=B115,"",(B116-B115)*100),"")</f>
        <v/>
      </c>
      <c r="G116" s="20">
        <f>IF(AND(ISNUMBER(C116),ISNUMBER(C115)),IF(C116=C115,"",(C116-C115)*100),"")</f>
        <v/>
      </c>
      <c r="H116" s="20">
        <f>IF(OR(NOT(ISNUMBER($A116)),ROW()-2&lt;Settings!$B$11),NA(),IF(COUNT(OFFSET(F116,1-Settings!$B$11,0,Settings!$B$11,1))&lt;ROUNDUP(Settings!$B$11*Settings!$B$26,0),NA(),STDEV(OFFSET(F116,1-Settings!$B$11,0,Settings!$B$11,1))*SQRT(Settings!$B$13)))</f>
        <v/>
      </c>
      <c r="I116" s="20">
        <f>IF(OR(NOT(ISNUMBER($A116)),ROW()-2&lt;Settings!$B$12),NA(),IF(COUNT(OFFSET(F116,1-Settings!$B$12,0,Settings!$B$12,1))&lt;ROUNDUP(Settings!$B$12*Settings!$B$26,0),NA(),STDEV(OFFSET(F116,1-Settings!$B$12,0,Settings!$B$12,1))*SQRT(Settings!$B$13)))</f>
        <v/>
      </c>
      <c r="J116" s="20">
        <f>IF(OR(NOT(ISNUMBER($A116)),ROW()-2&lt;Settings!$B$11),NA(),IF(COUNT(OFFSET(G116,1-Settings!$B$11,0,Settings!$B$11,1))&lt;ROUNDUP(Settings!$B$11*Settings!$B$26,0),NA(),STDEV(OFFSET(G116,1-Settings!$B$11,0,Settings!$B$11,1))*SQRT(Settings!$B$13)))</f>
        <v/>
      </c>
      <c r="K116" s="20">
        <f>IF(OR(NOT(ISNUMBER($A116)),ROW()-2&lt;Settings!$B$12),NA(),IF(COUNT(OFFSET(G116,1-Settings!$B$12,0,Settings!$B$12,1))&lt;ROUNDUP(Settings!$B$12*Settings!$B$26,0),NA(),STDEV(OFFSET(G116,1-Settings!$B$12,0,Settings!$B$12,1))*SQRT(Settings!$B$13)))</f>
        <v/>
      </c>
      <c r="L116" s="20">
        <f>IF(AND(ISNUMBER(D116),ISNUMBER(H116)),D116-H116,NA())</f>
        <v/>
      </c>
      <c r="M116" s="20">
        <f>IF(AND(ISNUMBER(E116),ISNUMBER(K116)),E116-K116,NA())</f>
        <v/>
      </c>
      <c r="N116" s="20">
        <f>IF(NOT(ISNUMBER($A116)),NA(),IF(COUNT(OFFSET(G116,1,0,Settings!$B$12,1))&lt;ROUNDUP(Settings!$B$12*Settings!$B$26,0),NA(),STDEV(OFFSET(G116,1,0,Settings!$B$12,1))*SQRT(Settings!$B$13)))</f>
        <v/>
      </c>
      <c r="O116" s="20">
        <f>IF(AND(ISNUMBER(E116),ISNUMBER(N116)),E116-N116,NA())</f>
        <v/>
      </c>
      <c r="P116" s="19">
        <f>IF(NOT(ISNUMBER($A116)),NA(),IF(OR($A116&lt;MIN(KW_TP!$A$2:$A$2501),$A116&gt;MAX(KW_TP!$A$2:$A$2501)),NA(),INDEX(KW_TP!$C$2:$C$2501,MATCH($A116,KW_TP!$A$2:$A$2501,1))))</f>
        <v/>
      </c>
      <c r="Q116" s="18">
        <f>IF(NOT(ISNUMBER($A116)),NA(),IFERROR(1*INDEX(BBG_Data!$J$2:$J$4000,MATCH($A116,BBG_Data!$I$2:$I$4000,0)),NA()))</f>
        <v/>
      </c>
      <c r="R116" s="18">
        <f>IF(NOT(ISNUMBER($A116)),NA(),IFERROR(1*INDEX(BBG_Data!$L$2:$L$4000,MATCH($A116,BBG_Data!$K$2:$K$4000,0)),NA()))</f>
        <v/>
      </c>
      <c r="S116" s="20">
        <f>IF(AND(ISNUMBER(B116),ISNUMBER(Q116),ISNUMBER(R116)),(B116-Q116-R116)*100,NA())</f>
        <v/>
      </c>
      <c r="T116" s="20">
        <f>IF(AND(ISNUMBER(B116),Settings!$B$17&gt;0),IF(ISNUMBER(INDEX($B:$B,Settings!$B$17)),(B116-INDEX($B:$B,Settings!$B$17))*100,NA()),NA())</f>
        <v/>
      </c>
      <c r="U116" s="20">
        <f>IF(AND(ISNUMBER(Q116),Settings!$B$17&gt;0),IF(ISNUMBER(INDEX($Q:$Q,Settings!$B$17)),(Q116-INDEX($Q:$Q,Settings!$B$17))*100,NA()),NA())</f>
        <v/>
      </c>
      <c r="V116" s="20">
        <f>IF(AND(ISNUMBER(R116),Settings!$B$17&gt;0),IF(ISNUMBER(INDEX($R:$R,Settings!$B$17)),(R116-INDEX($R:$R,Settings!$B$17))*100,NA()),NA())</f>
        <v/>
      </c>
      <c r="W116" s="20">
        <f>IF(AND(ISNUMBER(P116),Settings!$B$17&gt;0),IF(ISNUMBER(INDEX($P:$P,Settings!$B$17)),P116-INDEX($P:$P,Settings!$B$17),NA()),NA())</f>
        <v/>
      </c>
      <c r="X116" s="19">
        <f>IF(NOT(ISNUMBER($A116)),NA(),IF(OR($A116&lt;MIN(DKW_10Y!$A$2:$A$2918),$A116&gt;MAX(DKW_10Y!$A$2:$A$2918),Settings!$B$16&lt;MIN(DKW_10Y!$A$2:$A$2918)),NA(),(INDEX(DKW_10Y!$B$2:$B$2918,MATCH($A116,DKW_10Y!$A$2:$A$2918,1))-INDEX(DKW_10Y!$B$2:$B$2918,MATCH(Settings!$B$16,DKW_10Y!$A$2:$A$2918,1)))*100))</f>
        <v/>
      </c>
      <c r="Y116" s="19">
        <f>IF(NOT(ISNUMBER($A116)),NA(),IF(OR($A116&lt;MIN(DKW_10Y!$A$2:$A$2918),$A116&gt;MAX(DKW_10Y!$A$2:$A$2918),Settings!$B$16&lt;MIN(DKW_10Y!$A$2:$A$2918)),NA(),(INDEX(DKW_10Y!$C$2:$C$2918,MATCH($A116,DKW_10Y!$A$2:$A$2918,1))-INDEX(DKW_10Y!$C$2:$C$2918,MATCH(Settings!$B$16,DKW_10Y!$A$2:$A$2918,1)))*100))</f>
        <v/>
      </c>
      <c r="Z116" s="19">
        <f>IF(NOT(ISNUMBER($A116)),NA(),IF(OR($A116&lt;MIN(DKW_10Y!$A$2:$A$2918),$A116&gt;MAX(DKW_10Y!$A$2:$A$2918),Settings!$B$16&lt;MIN(DKW_10Y!$A$2:$A$2918)),NA(),(INDEX(DKW_10Y!$D$2:$D$2918,MATCH($A116,DKW_10Y!$A$2:$A$2918,1))-INDEX(DKW_10Y!$D$2:$D$2918,MATCH(Settings!$B$16,DKW_10Y!$A$2:$A$2918,1)))*100))</f>
        <v/>
      </c>
      <c r="AA116" s="19">
        <f>IF(NOT(ISNUMBER($A116)),NA(),IF(OR($A116&lt;MIN(DKW_10Y!$A$2:$A$2918),$A116&gt;MAX(DKW_10Y!$A$2:$A$2918),Settings!$B$16&lt;MIN(DKW_10Y!$A$2:$A$2918)),NA(),(INDEX(DKW_10Y!$E$2:$E$2918,MATCH($A116,DKW_10Y!$A$2:$A$2918,1))-INDEX(DKW_10Y!$E$2:$E$2918,MATCH(Settings!$B$16,DKW_10Y!$A$2:$A$2918,1)))*100))</f>
        <v/>
      </c>
      <c r="AB116" s="19">
        <f>IF(NOT(ISNUMBER($A116)),NA(),IF(OR($A116&lt;MIN(DKW_10Y!$A$2:$A$2918),$A116&gt;MAX(DKW_10Y!$A$2:$A$2918),Settings!$B$16&lt;MIN(DKW_10Y!$A$2:$A$2918)),NA(),(INDEX(DKW_10Y!$H$2:$H$2918,MATCH($A116,DKW_10Y!$A$2:$A$2918,1))-INDEX(DKW_10Y!$H$2:$H$2918,MATCH(Settings!$B$16,DKW_10Y!$A$2:$A$2918,1)))*100))</f>
        <v/>
      </c>
      <c r="AC116" s="18">
        <f>IF(NOT(ISNUMBER($A116)),NA(),IFERROR(1*INDEX(BBG_Data!$N$2:$N$4000,MATCH($A116,BBG_Data!$M$2:$M$4000,0)),NA()))</f>
        <v/>
      </c>
      <c r="AD116" s="18">
        <f>IF(NOT(ISNUMBER($A116)),NA(),IFERROR(1*INDEX(BBG_Data!$P$2:$P$4000,MATCH($A116,BBG_Data!$O$2:$O$4000,0)),NA()))</f>
        <v/>
      </c>
      <c r="AE116" s="18">
        <f>IF(NOT(ISNUMBER($A116)),NA(),IFERROR(1*INDEX(BBG_Data!$R$2:$R$4000,MATCH($A116,BBG_Data!$Q$2:$Q$4000,0)),NA()))</f>
        <v/>
      </c>
      <c r="AF116" s="20">
        <f>IF(AND(ISNUMBER(B116),ISNUMBER(AC116)),(B116-AC116)*100,NA())</f>
        <v/>
      </c>
      <c r="AG116" s="20">
        <f>IF(AND(ISNUMBER(AE116),ISNUMBER(AD116)),(AE116-AD116)*100,NA())</f>
        <v/>
      </c>
      <c r="AH116" s="19">
        <f>IF(NOT(ISNUMBER($A116)),NA(),IFERROR(INDEX(BBG_Data!$T$2:$T$4000,MATCH($A116,BBG_Data!$S$2:$S$4000,0))*Settings!$B$25,NA()))</f>
        <v/>
      </c>
      <c r="AI116" s="19">
        <f>IF(NOT(ISNUMBER($A116)),NA(),IFERROR(INDEX(BBG_Data!$V$2:$V$4000,MATCH($A116,BBG_Data!$U$2:$U$4000,0))*Settings!$B$25,NA()))</f>
        <v/>
      </c>
      <c r="AJ116" s="19">
        <f>IF(NOT(ISNUMBER($A116)),NA(),IFERROR(1*INDEX(BBG_Data!$X$2:$X$4000,MATCH($A116,BBG_Data!$W$2:$W$4000,0)),NA()))</f>
        <v/>
      </c>
      <c r="AK116" s="19">
        <f>IF(NOT(ISNUMBER($A116)),NA(),IFERROR(1*INDEX(BBG_Data!$Z$2:$Z$4000,MATCH($A116,BBG_Data!$Y$2:$Y$4000,0)),NA()))</f>
        <v/>
      </c>
    </row>
    <row r="117">
      <c r="A117" s="17">
        <f>IF(ISNUMBER(BBG_Data!A117),BBG_Data!A117,"")</f>
        <v/>
      </c>
      <c r="B117" s="18">
        <f>IF(AND(ISNUMBER($A117),ISNUMBER(BBG_Data!B117)),BBG_Data!B117,NA())</f>
        <v/>
      </c>
      <c r="C117" s="18">
        <f>IF(NOT(ISNUMBER($A117)),NA(),IFERROR(1*INDEX(BBG_Data!$D$2:$D$4000,MATCH($A117,BBG_Data!$C$2:$C$4000,0)),NA()))</f>
        <v/>
      </c>
      <c r="D117" s="19">
        <f>IF(NOT(ISNUMBER($A117)),NA(),IFERROR(1*INDEX(BBG_Data!$F$2:$F$4000,MATCH($A117,BBG_Data!$E$2:$E$4000,0)),NA()))</f>
        <v/>
      </c>
      <c r="E117" s="19">
        <f>IF(NOT(ISNUMBER($A117)),NA(),IFERROR(1*INDEX(BBG_Data!$H$2:$H$4000,MATCH($A117,BBG_Data!$G$2:$G$4000,0)),NA()))</f>
        <v/>
      </c>
      <c r="F117" s="20">
        <f>IF(AND(ISNUMBER(B117),ISNUMBER(B116)),IF(B117=B116,"",(B117-B116)*100),"")</f>
        <v/>
      </c>
      <c r="G117" s="20">
        <f>IF(AND(ISNUMBER(C117),ISNUMBER(C116)),IF(C117=C116,"",(C117-C116)*100),"")</f>
        <v/>
      </c>
      <c r="H117" s="20">
        <f>IF(OR(NOT(ISNUMBER($A117)),ROW()-2&lt;Settings!$B$11),NA(),IF(COUNT(OFFSET(F117,1-Settings!$B$11,0,Settings!$B$11,1))&lt;ROUNDUP(Settings!$B$11*Settings!$B$26,0),NA(),STDEV(OFFSET(F117,1-Settings!$B$11,0,Settings!$B$11,1))*SQRT(Settings!$B$13)))</f>
        <v/>
      </c>
      <c r="I117" s="20">
        <f>IF(OR(NOT(ISNUMBER($A117)),ROW()-2&lt;Settings!$B$12),NA(),IF(COUNT(OFFSET(F117,1-Settings!$B$12,0,Settings!$B$12,1))&lt;ROUNDUP(Settings!$B$12*Settings!$B$26,0),NA(),STDEV(OFFSET(F117,1-Settings!$B$12,0,Settings!$B$12,1))*SQRT(Settings!$B$13)))</f>
        <v/>
      </c>
      <c r="J117" s="20">
        <f>IF(OR(NOT(ISNUMBER($A117)),ROW()-2&lt;Settings!$B$11),NA(),IF(COUNT(OFFSET(G117,1-Settings!$B$11,0,Settings!$B$11,1))&lt;ROUNDUP(Settings!$B$11*Settings!$B$26,0),NA(),STDEV(OFFSET(G117,1-Settings!$B$11,0,Settings!$B$11,1))*SQRT(Settings!$B$13)))</f>
        <v/>
      </c>
      <c r="K117" s="20">
        <f>IF(OR(NOT(ISNUMBER($A117)),ROW()-2&lt;Settings!$B$12),NA(),IF(COUNT(OFFSET(G117,1-Settings!$B$12,0,Settings!$B$12,1))&lt;ROUNDUP(Settings!$B$12*Settings!$B$26,0),NA(),STDEV(OFFSET(G117,1-Settings!$B$12,0,Settings!$B$12,1))*SQRT(Settings!$B$13)))</f>
        <v/>
      </c>
      <c r="L117" s="20">
        <f>IF(AND(ISNUMBER(D117),ISNUMBER(H117)),D117-H117,NA())</f>
        <v/>
      </c>
      <c r="M117" s="20">
        <f>IF(AND(ISNUMBER(E117),ISNUMBER(K117)),E117-K117,NA())</f>
        <v/>
      </c>
      <c r="N117" s="20">
        <f>IF(NOT(ISNUMBER($A117)),NA(),IF(COUNT(OFFSET(G117,1,0,Settings!$B$12,1))&lt;ROUNDUP(Settings!$B$12*Settings!$B$26,0),NA(),STDEV(OFFSET(G117,1,0,Settings!$B$12,1))*SQRT(Settings!$B$13)))</f>
        <v/>
      </c>
      <c r="O117" s="20">
        <f>IF(AND(ISNUMBER(E117),ISNUMBER(N117)),E117-N117,NA())</f>
        <v/>
      </c>
      <c r="P117" s="19">
        <f>IF(NOT(ISNUMBER($A117)),NA(),IF(OR($A117&lt;MIN(KW_TP!$A$2:$A$2501),$A117&gt;MAX(KW_TP!$A$2:$A$2501)),NA(),INDEX(KW_TP!$C$2:$C$2501,MATCH($A117,KW_TP!$A$2:$A$2501,1))))</f>
        <v/>
      </c>
      <c r="Q117" s="18">
        <f>IF(NOT(ISNUMBER($A117)),NA(),IFERROR(1*INDEX(BBG_Data!$J$2:$J$4000,MATCH($A117,BBG_Data!$I$2:$I$4000,0)),NA()))</f>
        <v/>
      </c>
      <c r="R117" s="18">
        <f>IF(NOT(ISNUMBER($A117)),NA(),IFERROR(1*INDEX(BBG_Data!$L$2:$L$4000,MATCH($A117,BBG_Data!$K$2:$K$4000,0)),NA()))</f>
        <v/>
      </c>
      <c r="S117" s="20">
        <f>IF(AND(ISNUMBER(B117),ISNUMBER(Q117),ISNUMBER(R117)),(B117-Q117-R117)*100,NA())</f>
        <v/>
      </c>
      <c r="T117" s="20">
        <f>IF(AND(ISNUMBER(B117),Settings!$B$17&gt;0),IF(ISNUMBER(INDEX($B:$B,Settings!$B$17)),(B117-INDEX($B:$B,Settings!$B$17))*100,NA()),NA())</f>
        <v/>
      </c>
      <c r="U117" s="20">
        <f>IF(AND(ISNUMBER(Q117),Settings!$B$17&gt;0),IF(ISNUMBER(INDEX($Q:$Q,Settings!$B$17)),(Q117-INDEX($Q:$Q,Settings!$B$17))*100,NA()),NA())</f>
        <v/>
      </c>
      <c r="V117" s="20">
        <f>IF(AND(ISNUMBER(R117),Settings!$B$17&gt;0),IF(ISNUMBER(INDEX($R:$R,Settings!$B$17)),(R117-INDEX($R:$R,Settings!$B$17))*100,NA()),NA())</f>
        <v/>
      </c>
      <c r="W117" s="20">
        <f>IF(AND(ISNUMBER(P117),Settings!$B$17&gt;0),IF(ISNUMBER(INDEX($P:$P,Settings!$B$17)),P117-INDEX($P:$P,Settings!$B$17),NA()),NA())</f>
        <v/>
      </c>
      <c r="X117" s="19">
        <f>IF(NOT(ISNUMBER($A117)),NA(),IF(OR($A117&lt;MIN(DKW_10Y!$A$2:$A$2918),$A117&gt;MAX(DKW_10Y!$A$2:$A$2918),Settings!$B$16&lt;MIN(DKW_10Y!$A$2:$A$2918)),NA(),(INDEX(DKW_10Y!$B$2:$B$2918,MATCH($A117,DKW_10Y!$A$2:$A$2918,1))-INDEX(DKW_10Y!$B$2:$B$2918,MATCH(Settings!$B$16,DKW_10Y!$A$2:$A$2918,1)))*100))</f>
        <v/>
      </c>
      <c r="Y117" s="19">
        <f>IF(NOT(ISNUMBER($A117)),NA(),IF(OR($A117&lt;MIN(DKW_10Y!$A$2:$A$2918),$A117&gt;MAX(DKW_10Y!$A$2:$A$2918),Settings!$B$16&lt;MIN(DKW_10Y!$A$2:$A$2918)),NA(),(INDEX(DKW_10Y!$C$2:$C$2918,MATCH($A117,DKW_10Y!$A$2:$A$2918,1))-INDEX(DKW_10Y!$C$2:$C$2918,MATCH(Settings!$B$16,DKW_10Y!$A$2:$A$2918,1)))*100))</f>
        <v/>
      </c>
      <c r="Z117" s="19">
        <f>IF(NOT(ISNUMBER($A117)),NA(),IF(OR($A117&lt;MIN(DKW_10Y!$A$2:$A$2918),$A117&gt;MAX(DKW_10Y!$A$2:$A$2918),Settings!$B$16&lt;MIN(DKW_10Y!$A$2:$A$2918)),NA(),(INDEX(DKW_10Y!$D$2:$D$2918,MATCH($A117,DKW_10Y!$A$2:$A$2918,1))-INDEX(DKW_10Y!$D$2:$D$2918,MATCH(Settings!$B$16,DKW_10Y!$A$2:$A$2918,1)))*100))</f>
        <v/>
      </c>
      <c r="AA117" s="19">
        <f>IF(NOT(ISNUMBER($A117)),NA(),IF(OR($A117&lt;MIN(DKW_10Y!$A$2:$A$2918),$A117&gt;MAX(DKW_10Y!$A$2:$A$2918),Settings!$B$16&lt;MIN(DKW_10Y!$A$2:$A$2918)),NA(),(INDEX(DKW_10Y!$E$2:$E$2918,MATCH($A117,DKW_10Y!$A$2:$A$2918,1))-INDEX(DKW_10Y!$E$2:$E$2918,MATCH(Settings!$B$16,DKW_10Y!$A$2:$A$2918,1)))*100))</f>
        <v/>
      </c>
      <c r="AB117" s="19">
        <f>IF(NOT(ISNUMBER($A117)),NA(),IF(OR($A117&lt;MIN(DKW_10Y!$A$2:$A$2918),$A117&gt;MAX(DKW_10Y!$A$2:$A$2918),Settings!$B$16&lt;MIN(DKW_10Y!$A$2:$A$2918)),NA(),(INDEX(DKW_10Y!$H$2:$H$2918,MATCH($A117,DKW_10Y!$A$2:$A$2918,1))-INDEX(DKW_10Y!$H$2:$H$2918,MATCH(Settings!$B$16,DKW_10Y!$A$2:$A$2918,1)))*100))</f>
        <v/>
      </c>
      <c r="AC117" s="18">
        <f>IF(NOT(ISNUMBER($A117)),NA(),IFERROR(1*INDEX(BBG_Data!$N$2:$N$4000,MATCH($A117,BBG_Data!$M$2:$M$4000,0)),NA()))</f>
        <v/>
      </c>
      <c r="AD117" s="18">
        <f>IF(NOT(ISNUMBER($A117)),NA(),IFERROR(1*INDEX(BBG_Data!$P$2:$P$4000,MATCH($A117,BBG_Data!$O$2:$O$4000,0)),NA()))</f>
        <v/>
      </c>
      <c r="AE117" s="18">
        <f>IF(NOT(ISNUMBER($A117)),NA(),IFERROR(1*INDEX(BBG_Data!$R$2:$R$4000,MATCH($A117,BBG_Data!$Q$2:$Q$4000,0)),NA()))</f>
        <v/>
      </c>
      <c r="AF117" s="20">
        <f>IF(AND(ISNUMBER(B117),ISNUMBER(AC117)),(B117-AC117)*100,NA())</f>
        <v/>
      </c>
      <c r="AG117" s="20">
        <f>IF(AND(ISNUMBER(AE117),ISNUMBER(AD117)),(AE117-AD117)*100,NA())</f>
        <v/>
      </c>
      <c r="AH117" s="19">
        <f>IF(NOT(ISNUMBER($A117)),NA(),IFERROR(INDEX(BBG_Data!$T$2:$T$4000,MATCH($A117,BBG_Data!$S$2:$S$4000,0))*Settings!$B$25,NA()))</f>
        <v/>
      </c>
      <c r="AI117" s="19">
        <f>IF(NOT(ISNUMBER($A117)),NA(),IFERROR(INDEX(BBG_Data!$V$2:$V$4000,MATCH($A117,BBG_Data!$U$2:$U$4000,0))*Settings!$B$25,NA()))</f>
        <v/>
      </c>
      <c r="AJ117" s="19">
        <f>IF(NOT(ISNUMBER($A117)),NA(),IFERROR(1*INDEX(BBG_Data!$X$2:$X$4000,MATCH($A117,BBG_Data!$W$2:$W$4000,0)),NA()))</f>
        <v/>
      </c>
      <c r="AK117" s="19">
        <f>IF(NOT(ISNUMBER($A117)),NA(),IFERROR(1*INDEX(BBG_Data!$Z$2:$Z$4000,MATCH($A117,BBG_Data!$Y$2:$Y$4000,0)),NA()))</f>
        <v/>
      </c>
    </row>
    <row r="118">
      <c r="A118" s="17">
        <f>IF(ISNUMBER(BBG_Data!A118),BBG_Data!A118,"")</f>
        <v/>
      </c>
      <c r="B118" s="18">
        <f>IF(AND(ISNUMBER($A118),ISNUMBER(BBG_Data!B118)),BBG_Data!B118,NA())</f>
        <v/>
      </c>
      <c r="C118" s="18">
        <f>IF(NOT(ISNUMBER($A118)),NA(),IFERROR(1*INDEX(BBG_Data!$D$2:$D$4000,MATCH($A118,BBG_Data!$C$2:$C$4000,0)),NA()))</f>
        <v/>
      </c>
      <c r="D118" s="19">
        <f>IF(NOT(ISNUMBER($A118)),NA(),IFERROR(1*INDEX(BBG_Data!$F$2:$F$4000,MATCH($A118,BBG_Data!$E$2:$E$4000,0)),NA()))</f>
        <v/>
      </c>
      <c r="E118" s="19">
        <f>IF(NOT(ISNUMBER($A118)),NA(),IFERROR(1*INDEX(BBG_Data!$H$2:$H$4000,MATCH($A118,BBG_Data!$G$2:$G$4000,0)),NA()))</f>
        <v/>
      </c>
      <c r="F118" s="20">
        <f>IF(AND(ISNUMBER(B118),ISNUMBER(B117)),IF(B118=B117,"",(B118-B117)*100),"")</f>
        <v/>
      </c>
      <c r="G118" s="20">
        <f>IF(AND(ISNUMBER(C118),ISNUMBER(C117)),IF(C118=C117,"",(C118-C117)*100),"")</f>
        <v/>
      </c>
      <c r="H118" s="20">
        <f>IF(OR(NOT(ISNUMBER($A118)),ROW()-2&lt;Settings!$B$11),NA(),IF(COUNT(OFFSET(F118,1-Settings!$B$11,0,Settings!$B$11,1))&lt;ROUNDUP(Settings!$B$11*Settings!$B$26,0),NA(),STDEV(OFFSET(F118,1-Settings!$B$11,0,Settings!$B$11,1))*SQRT(Settings!$B$13)))</f>
        <v/>
      </c>
      <c r="I118" s="20">
        <f>IF(OR(NOT(ISNUMBER($A118)),ROW()-2&lt;Settings!$B$12),NA(),IF(COUNT(OFFSET(F118,1-Settings!$B$12,0,Settings!$B$12,1))&lt;ROUNDUP(Settings!$B$12*Settings!$B$26,0),NA(),STDEV(OFFSET(F118,1-Settings!$B$12,0,Settings!$B$12,1))*SQRT(Settings!$B$13)))</f>
        <v/>
      </c>
      <c r="J118" s="20">
        <f>IF(OR(NOT(ISNUMBER($A118)),ROW()-2&lt;Settings!$B$11),NA(),IF(COUNT(OFFSET(G118,1-Settings!$B$11,0,Settings!$B$11,1))&lt;ROUNDUP(Settings!$B$11*Settings!$B$26,0),NA(),STDEV(OFFSET(G118,1-Settings!$B$11,0,Settings!$B$11,1))*SQRT(Settings!$B$13)))</f>
        <v/>
      </c>
      <c r="K118" s="20">
        <f>IF(OR(NOT(ISNUMBER($A118)),ROW()-2&lt;Settings!$B$12),NA(),IF(COUNT(OFFSET(G118,1-Settings!$B$12,0,Settings!$B$12,1))&lt;ROUNDUP(Settings!$B$12*Settings!$B$26,0),NA(),STDEV(OFFSET(G118,1-Settings!$B$12,0,Settings!$B$12,1))*SQRT(Settings!$B$13)))</f>
        <v/>
      </c>
      <c r="L118" s="20">
        <f>IF(AND(ISNUMBER(D118),ISNUMBER(H118)),D118-H118,NA())</f>
        <v/>
      </c>
      <c r="M118" s="20">
        <f>IF(AND(ISNUMBER(E118),ISNUMBER(K118)),E118-K118,NA())</f>
        <v/>
      </c>
      <c r="N118" s="20">
        <f>IF(NOT(ISNUMBER($A118)),NA(),IF(COUNT(OFFSET(G118,1,0,Settings!$B$12,1))&lt;ROUNDUP(Settings!$B$12*Settings!$B$26,0),NA(),STDEV(OFFSET(G118,1,0,Settings!$B$12,1))*SQRT(Settings!$B$13)))</f>
        <v/>
      </c>
      <c r="O118" s="20">
        <f>IF(AND(ISNUMBER(E118),ISNUMBER(N118)),E118-N118,NA())</f>
        <v/>
      </c>
      <c r="P118" s="19">
        <f>IF(NOT(ISNUMBER($A118)),NA(),IF(OR($A118&lt;MIN(KW_TP!$A$2:$A$2501),$A118&gt;MAX(KW_TP!$A$2:$A$2501)),NA(),INDEX(KW_TP!$C$2:$C$2501,MATCH($A118,KW_TP!$A$2:$A$2501,1))))</f>
        <v/>
      </c>
      <c r="Q118" s="18">
        <f>IF(NOT(ISNUMBER($A118)),NA(),IFERROR(1*INDEX(BBG_Data!$J$2:$J$4000,MATCH($A118,BBG_Data!$I$2:$I$4000,0)),NA()))</f>
        <v/>
      </c>
      <c r="R118" s="18">
        <f>IF(NOT(ISNUMBER($A118)),NA(),IFERROR(1*INDEX(BBG_Data!$L$2:$L$4000,MATCH($A118,BBG_Data!$K$2:$K$4000,0)),NA()))</f>
        <v/>
      </c>
      <c r="S118" s="20">
        <f>IF(AND(ISNUMBER(B118),ISNUMBER(Q118),ISNUMBER(R118)),(B118-Q118-R118)*100,NA())</f>
        <v/>
      </c>
      <c r="T118" s="20">
        <f>IF(AND(ISNUMBER(B118),Settings!$B$17&gt;0),IF(ISNUMBER(INDEX($B:$B,Settings!$B$17)),(B118-INDEX($B:$B,Settings!$B$17))*100,NA()),NA())</f>
        <v/>
      </c>
      <c r="U118" s="20">
        <f>IF(AND(ISNUMBER(Q118),Settings!$B$17&gt;0),IF(ISNUMBER(INDEX($Q:$Q,Settings!$B$17)),(Q118-INDEX($Q:$Q,Settings!$B$17))*100,NA()),NA())</f>
        <v/>
      </c>
      <c r="V118" s="20">
        <f>IF(AND(ISNUMBER(R118),Settings!$B$17&gt;0),IF(ISNUMBER(INDEX($R:$R,Settings!$B$17)),(R118-INDEX($R:$R,Settings!$B$17))*100,NA()),NA())</f>
        <v/>
      </c>
      <c r="W118" s="20">
        <f>IF(AND(ISNUMBER(P118),Settings!$B$17&gt;0),IF(ISNUMBER(INDEX($P:$P,Settings!$B$17)),P118-INDEX($P:$P,Settings!$B$17),NA()),NA())</f>
        <v/>
      </c>
      <c r="X118" s="19">
        <f>IF(NOT(ISNUMBER($A118)),NA(),IF(OR($A118&lt;MIN(DKW_10Y!$A$2:$A$2918),$A118&gt;MAX(DKW_10Y!$A$2:$A$2918),Settings!$B$16&lt;MIN(DKW_10Y!$A$2:$A$2918)),NA(),(INDEX(DKW_10Y!$B$2:$B$2918,MATCH($A118,DKW_10Y!$A$2:$A$2918,1))-INDEX(DKW_10Y!$B$2:$B$2918,MATCH(Settings!$B$16,DKW_10Y!$A$2:$A$2918,1)))*100))</f>
        <v/>
      </c>
      <c r="Y118" s="19">
        <f>IF(NOT(ISNUMBER($A118)),NA(),IF(OR($A118&lt;MIN(DKW_10Y!$A$2:$A$2918),$A118&gt;MAX(DKW_10Y!$A$2:$A$2918),Settings!$B$16&lt;MIN(DKW_10Y!$A$2:$A$2918)),NA(),(INDEX(DKW_10Y!$C$2:$C$2918,MATCH($A118,DKW_10Y!$A$2:$A$2918,1))-INDEX(DKW_10Y!$C$2:$C$2918,MATCH(Settings!$B$16,DKW_10Y!$A$2:$A$2918,1)))*100))</f>
        <v/>
      </c>
      <c r="Z118" s="19">
        <f>IF(NOT(ISNUMBER($A118)),NA(),IF(OR($A118&lt;MIN(DKW_10Y!$A$2:$A$2918),$A118&gt;MAX(DKW_10Y!$A$2:$A$2918),Settings!$B$16&lt;MIN(DKW_10Y!$A$2:$A$2918)),NA(),(INDEX(DKW_10Y!$D$2:$D$2918,MATCH($A118,DKW_10Y!$A$2:$A$2918,1))-INDEX(DKW_10Y!$D$2:$D$2918,MATCH(Settings!$B$16,DKW_10Y!$A$2:$A$2918,1)))*100))</f>
        <v/>
      </c>
      <c r="AA118" s="19">
        <f>IF(NOT(ISNUMBER($A118)),NA(),IF(OR($A118&lt;MIN(DKW_10Y!$A$2:$A$2918),$A118&gt;MAX(DKW_10Y!$A$2:$A$2918),Settings!$B$16&lt;MIN(DKW_10Y!$A$2:$A$2918)),NA(),(INDEX(DKW_10Y!$E$2:$E$2918,MATCH($A118,DKW_10Y!$A$2:$A$2918,1))-INDEX(DKW_10Y!$E$2:$E$2918,MATCH(Settings!$B$16,DKW_10Y!$A$2:$A$2918,1)))*100))</f>
        <v/>
      </c>
      <c r="AB118" s="19">
        <f>IF(NOT(ISNUMBER($A118)),NA(),IF(OR($A118&lt;MIN(DKW_10Y!$A$2:$A$2918),$A118&gt;MAX(DKW_10Y!$A$2:$A$2918),Settings!$B$16&lt;MIN(DKW_10Y!$A$2:$A$2918)),NA(),(INDEX(DKW_10Y!$H$2:$H$2918,MATCH($A118,DKW_10Y!$A$2:$A$2918,1))-INDEX(DKW_10Y!$H$2:$H$2918,MATCH(Settings!$B$16,DKW_10Y!$A$2:$A$2918,1)))*100))</f>
        <v/>
      </c>
      <c r="AC118" s="18">
        <f>IF(NOT(ISNUMBER($A118)),NA(),IFERROR(1*INDEX(BBG_Data!$N$2:$N$4000,MATCH($A118,BBG_Data!$M$2:$M$4000,0)),NA()))</f>
        <v/>
      </c>
      <c r="AD118" s="18">
        <f>IF(NOT(ISNUMBER($A118)),NA(),IFERROR(1*INDEX(BBG_Data!$P$2:$P$4000,MATCH($A118,BBG_Data!$O$2:$O$4000,0)),NA()))</f>
        <v/>
      </c>
      <c r="AE118" s="18">
        <f>IF(NOT(ISNUMBER($A118)),NA(),IFERROR(1*INDEX(BBG_Data!$R$2:$R$4000,MATCH($A118,BBG_Data!$Q$2:$Q$4000,0)),NA()))</f>
        <v/>
      </c>
      <c r="AF118" s="20">
        <f>IF(AND(ISNUMBER(B118),ISNUMBER(AC118)),(B118-AC118)*100,NA())</f>
        <v/>
      </c>
      <c r="AG118" s="20">
        <f>IF(AND(ISNUMBER(AE118),ISNUMBER(AD118)),(AE118-AD118)*100,NA())</f>
        <v/>
      </c>
      <c r="AH118" s="19">
        <f>IF(NOT(ISNUMBER($A118)),NA(),IFERROR(INDEX(BBG_Data!$T$2:$T$4000,MATCH($A118,BBG_Data!$S$2:$S$4000,0))*Settings!$B$25,NA()))</f>
        <v/>
      </c>
      <c r="AI118" s="19">
        <f>IF(NOT(ISNUMBER($A118)),NA(),IFERROR(INDEX(BBG_Data!$V$2:$V$4000,MATCH($A118,BBG_Data!$U$2:$U$4000,0))*Settings!$B$25,NA()))</f>
        <v/>
      </c>
      <c r="AJ118" s="19">
        <f>IF(NOT(ISNUMBER($A118)),NA(),IFERROR(1*INDEX(BBG_Data!$X$2:$X$4000,MATCH($A118,BBG_Data!$W$2:$W$4000,0)),NA()))</f>
        <v/>
      </c>
      <c r="AK118" s="19">
        <f>IF(NOT(ISNUMBER($A118)),NA(),IFERROR(1*INDEX(BBG_Data!$Z$2:$Z$4000,MATCH($A118,BBG_Data!$Y$2:$Y$4000,0)),NA()))</f>
        <v/>
      </c>
    </row>
    <row r="119">
      <c r="A119" s="17">
        <f>IF(ISNUMBER(BBG_Data!A119),BBG_Data!A119,"")</f>
        <v/>
      </c>
      <c r="B119" s="18">
        <f>IF(AND(ISNUMBER($A119),ISNUMBER(BBG_Data!B119)),BBG_Data!B119,NA())</f>
        <v/>
      </c>
      <c r="C119" s="18">
        <f>IF(NOT(ISNUMBER($A119)),NA(),IFERROR(1*INDEX(BBG_Data!$D$2:$D$4000,MATCH($A119,BBG_Data!$C$2:$C$4000,0)),NA()))</f>
        <v/>
      </c>
      <c r="D119" s="19">
        <f>IF(NOT(ISNUMBER($A119)),NA(),IFERROR(1*INDEX(BBG_Data!$F$2:$F$4000,MATCH($A119,BBG_Data!$E$2:$E$4000,0)),NA()))</f>
        <v/>
      </c>
      <c r="E119" s="19">
        <f>IF(NOT(ISNUMBER($A119)),NA(),IFERROR(1*INDEX(BBG_Data!$H$2:$H$4000,MATCH($A119,BBG_Data!$G$2:$G$4000,0)),NA()))</f>
        <v/>
      </c>
      <c r="F119" s="20">
        <f>IF(AND(ISNUMBER(B119),ISNUMBER(B118)),IF(B119=B118,"",(B119-B118)*100),"")</f>
        <v/>
      </c>
      <c r="G119" s="20">
        <f>IF(AND(ISNUMBER(C119),ISNUMBER(C118)),IF(C119=C118,"",(C119-C118)*100),"")</f>
        <v/>
      </c>
      <c r="H119" s="20">
        <f>IF(OR(NOT(ISNUMBER($A119)),ROW()-2&lt;Settings!$B$11),NA(),IF(COUNT(OFFSET(F119,1-Settings!$B$11,0,Settings!$B$11,1))&lt;ROUNDUP(Settings!$B$11*Settings!$B$26,0),NA(),STDEV(OFFSET(F119,1-Settings!$B$11,0,Settings!$B$11,1))*SQRT(Settings!$B$13)))</f>
        <v/>
      </c>
      <c r="I119" s="20">
        <f>IF(OR(NOT(ISNUMBER($A119)),ROW()-2&lt;Settings!$B$12),NA(),IF(COUNT(OFFSET(F119,1-Settings!$B$12,0,Settings!$B$12,1))&lt;ROUNDUP(Settings!$B$12*Settings!$B$26,0),NA(),STDEV(OFFSET(F119,1-Settings!$B$12,0,Settings!$B$12,1))*SQRT(Settings!$B$13)))</f>
        <v/>
      </c>
      <c r="J119" s="20">
        <f>IF(OR(NOT(ISNUMBER($A119)),ROW()-2&lt;Settings!$B$11),NA(),IF(COUNT(OFFSET(G119,1-Settings!$B$11,0,Settings!$B$11,1))&lt;ROUNDUP(Settings!$B$11*Settings!$B$26,0),NA(),STDEV(OFFSET(G119,1-Settings!$B$11,0,Settings!$B$11,1))*SQRT(Settings!$B$13)))</f>
        <v/>
      </c>
      <c r="K119" s="20">
        <f>IF(OR(NOT(ISNUMBER($A119)),ROW()-2&lt;Settings!$B$12),NA(),IF(COUNT(OFFSET(G119,1-Settings!$B$12,0,Settings!$B$12,1))&lt;ROUNDUP(Settings!$B$12*Settings!$B$26,0),NA(),STDEV(OFFSET(G119,1-Settings!$B$12,0,Settings!$B$12,1))*SQRT(Settings!$B$13)))</f>
        <v/>
      </c>
      <c r="L119" s="20">
        <f>IF(AND(ISNUMBER(D119),ISNUMBER(H119)),D119-H119,NA())</f>
        <v/>
      </c>
      <c r="M119" s="20">
        <f>IF(AND(ISNUMBER(E119),ISNUMBER(K119)),E119-K119,NA())</f>
        <v/>
      </c>
      <c r="N119" s="20">
        <f>IF(NOT(ISNUMBER($A119)),NA(),IF(COUNT(OFFSET(G119,1,0,Settings!$B$12,1))&lt;ROUNDUP(Settings!$B$12*Settings!$B$26,0),NA(),STDEV(OFFSET(G119,1,0,Settings!$B$12,1))*SQRT(Settings!$B$13)))</f>
        <v/>
      </c>
      <c r="O119" s="20">
        <f>IF(AND(ISNUMBER(E119),ISNUMBER(N119)),E119-N119,NA())</f>
        <v/>
      </c>
      <c r="P119" s="19">
        <f>IF(NOT(ISNUMBER($A119)),NA(),IF(OR($A119&lt;MIN(KW_TP!$A$2:$A$2501),$A119&gt;MAX(KW_TP!$A$2:$A$2501)),NA(),INDEX(KW_TP!$C$2:$C$2501,MATCH($A119,KW_TP!$A$2:$A$2501,1))))</f>
        <v/>
      </c>
      <c r="Q119" s="18">
        <f>IF(NOT(ISNUMBER($A119)),NA(),IFERROR(1*INDEX(BBG_Data!$J$2:$J$4000,MATCH($A119,BBG_Data!$I$2:$I$4000,0)),NA()))</f>
        <v/>
      </c>
      <c r="R119" s="18">
        <f>IF(NOT(ISNUMBER($A119)),NA(),IFERROR(1*INDEX(BBG_Data!$L$2:$L$4000,MATCH($A119,BBG_Data!$K$2:$K$4000,0)),NA()))</f>
        <v/>
      </c>
      <c r="S119" s="20">
        <f>IF(AND(ISNUMBER(B119),ISNUMBER(Q119),ISNUMBER(R119)),(B119-Q119-R119)*100,NA())</f>
        <v/>
      </c>
      <c r="T119" s="20">
        <f>IF(AND(ISNUMBER(B119),Settings!$B$17&gt;0),IF(ISNUMBER(INDEX($B:$B,Settings!$B$17)),(B119-INDEX($B:$B,Settings!$B$17))*100,NA()),NA())</f>
        <v/>
      </c>
      <c r="U119" s="20">
        <f>IF(AND(ISNUMBER(Q119),Settings!$B$17&gt;0),IF(ISNUMBER(INDEX($Q:$Q,Settings!$B$17)),(Q119-INDEX($Q:$Q,Settings!$B$17))*100,NA()),NA())</f>
        <v/>
      </c>
      <c r="V119" s="20">
        <f>IF(AND(ISNUMBER(R119),Settings!$B$17&gt;0),IF(ISNUMBER(INDEX($R:$R,Settings!$B$17)),(R119-INDEX($R:$R,Settings!$B$17))*100,NA()),NA())</f>
        <v/>
      </c>
      <c r="W119" s="20">
        <f>IF(AND(ISNUMBER(P119),Settings!$B$17&gt;0),IF(ISNUMBER(INDEX($P:$P,Settings!$B$17)),P119-INDEX($P:$P,Settings!$B$17),NA()),NA())</f>
        <v/>
      </c>
      <c r="X119" s="19">
        <f>IF(NOT(ISNUMBER($A119)),NA(),IF(OR($A119&lt;MIN(DKW_10Y!$A$2:$A$2918),$A119&gt;MAX(DKW_10Y!$A$2:$A$2918),Settings!$B$16&lt;MIN(DKW_10Y!$A$2:$A$2918)),NA(),(INDEX(DKW_10Y!$B$2:$B$2918,MATCH($A119,DKW_10Y!$A$2:$A$2918,1))-INDEX(DKW_10Y!$B$2:$B$2918,MATCH(Settings!$B$16,DKW_10Y!$A$2:$A$2918,1)))*100))</f>
        <v/>
      </c>
      <c r="Y119" s="19">
        <f>IF(NOT(ISNUMBER($A119)),NA(),IF(OR($A119&lt;MIN(DKW_10Y!$A$2:$A$2918),$A119&gt;MAX(DKW_10Y!$A$2:$A$2918),Settings!$B$16&lt;MIN(DKW_10Y!$A$2:$A$2918)),NA(),(INDEX(DKW_10Y!$C$2:$C$2918,MATCH($A119,DKW_10Y!$A$2:$A$2918,1))-INDEX(DKW_10Y!$C$2:$C$2918,MATCH(Settings!$B$16,DKW_10Y!$A$2:$A$2918,1)))*100))</f>
        <v/>
      </c>
      <c r="Z119" s="19">
        <f>IF(NOT(ISNUMBER($A119)),NA(),IF(OR($A119&lt;MIN(DKW_10Y!$A$2:$A$2918),$A119&gt;MAX(DKW_10Y!$A$2:$A$2918),Settings!$B$16&lt;MIN(DKW_10Y!$A$2:$A$2918)),NA(),(INDEX(DKW_10Y!$D$2:$D$2918,MATCH($A119,DKW_10Y!$A$2:$A$2918,1))-INDEX(DKW_10Y!$D$2:$D$2918,MATCH(Settings!$B$16,DKW_10Y!$A$2:$A$2918,1)))*100))</f>
        <v/>
      </c>
      <c r="AA119" s="19">
        <f>IF(NOT(ISNUMBER($A119)),NA(),IF(OR($A119&lt;MIN(DKW_10Y!$A$2:$A$2918),$A119&gt;MAX(DKW_10Y!$A$2:$A$2918),Settings!$B$16&lt;MIN(DKW_10Y!$A$2:$A$2918)),NA(),(INDEX(DKW_10Y!$E$2:$E$2918,MATCH($A119,DKW_10Y!$A$2:$A$2918,1))-INDEX(DKW_10Y!$E$2:$E$2918,MATCH(Settings!$B$16,DKW_10Y!$A$2:$A$2918,1)))*100))</f>
        <v/>
      </c>
      <c r="AB119" s="19">
        <f>IF(NOT(ISNUMBER($A119)),NA(),IF(OR($A119&lt;MIN(DKW_10Y!$A$2:$A$2918),$A119&gt;MAX(DKW_10Y!$A$2:$A$2918),Settings!$B$16&lt;MIN(DKW_10Y!$A$2:$A$2918)),NA(),(INDEX(DKW_10Y!$H$2:$H$2918,MATCH($A119,DKW_10Y!$A$2:$A$2918,1))-INDEX(DKW_10Y!$H$2:$H$2918,MATCH(Settings!$B$16,DKW_10Y!$A$2:$A$2918,1)))*100))</f>
        <v/>
      </c>
      <c r="AC119" s="18">
        <f>IF(NOT(ISNUMBER($A119)),NA(),IFERROR(1*INDEX(BBG_Data!$N$2:$N$4000,MATCH($A119,BBG_Data!$M$2:$M$4000,0)),NA()))</f>
        <v/>
      </c>
      <c r="AD119" s="18">
        <f>IF(NOT(ISNUMBER($A119)),NA(),IFERROR(1*INDEX(BBG_Data!$P$2:$P$4000,MATCH($A119,BBG_Data!$O$2:$O$4000,0)),NA()))</f>
        <v/>
      </c>
      <c r="AE119" s="18">
        <f>IF(NOT(ISNUMBER($A119)),NA(),IFERROR(1*INDEX(BBG_Data!$R$2:$R$4000,MATCH($A119,BBG_Data!$Q$2:$Q$4000,0)),NA()))</f>
        <v/>
      </c>
      <c r="AF119" s="20">
        <f>IF(AND(ISNUMBER(B119),ISNUMBER(AC119)),(B119-AC119)*100,NA())</f>
        <v/>
      </c>
      <c r="AG119" s="20">
        <f>IF(AND(ISNUMBER(AE119),ISNUMBER(AD119)),(AE119-AD119)*100,NA())</f>
        <v/>
      </c>
      <c r="AH119" s="19">
        <f>IF(NOT(ISNUMBER($A119)),NA(),IFERROR(INDEX(BBG_Data!$T$2:$T$4000,MATCH($A119,BBG_Data!$S$2:$S$4000,0))*Settings!$B$25,NA()))</f>
        <v/>
      </c>
      <c r="AI119" s="19">
        <f>IF(NOT(ISNUMBER($A119)),NA(),IFERROR(INDEX(BBG_Data!$V$2:$V$4000,MATCH($A119,BBG_Data!$U$2:$U$4000,0))*Settings!$B$25,NA()))</f>
        <v/>
      </c>
      <c r="AJ119" s="19">
        <f>IF(NOT(ISNUMBER($A119)),NA(),IFERROR(1*INDEX(BBG_Data!$X$2:$X$4000,MATCH($A119,BBG_Data!$W$2:$W$4000,0)),NA()))</f>
        <v/>
      </c>
      <c r="AK119" s="19">
        <f>IF(NOT(ISNUMBER($A119)),NA(),IFERROR(1*INDEX(BBG_Data!$Z$2:$Z$4000,MATCH($A119,BBG_Data!$Y$2:$Y$4000,0)),NA()))</f>
        <v/>
      </c>
    </row>
    <row r="120">
      <c r="A120" s="17">
        <f>IF(ISNUMBER(BBG_Data!A120),BBG_Data!A120,"")</f>
        <v/>
      </c>
      <c r="B120" s="18">
        <f>IF(AND(ISNUMBER($A120),ISNUMBER(BBG_Data!B120)),BBG_Data!B120,NA())</f>
        <v/>
      </c>
      <c r="C120" s="18">
        <f>IF(NOT(ISNUMBER($A120)),NA(),IFERROR(1*INDEX(BBG_Data!$D$2:$D$4000,MATCH($A120,BBG_Data!$C$2:$C$4000,0)),NA()))</f>
        <v/>
      </c>
      <c r="D120" s="19">
        <f>IF(NOT(ISNUMBER($A120)),NA(),IFERROR(1*INDEX(BBG_Data!$F$2:$F$4000,MATCH($A120,BBG_Data!$E$2:$E$4000,0)),NA()))</f>
        <v/>
      </c>
      <c r="E120" s="19">
        <f>IF(NOT(ISNUMBER($A120)),NA(),IFERROR(1*INDEX(BBG_Data!$H$2:$H$4000,MATCH($A120,BBG_Data!$G$2:$G$4000,0)),NA()))</f>
        <v/>
      </c>
      <c r="F120" s="20">
        <f>IF(AND(ISNUMBER(B120),ISNUMBER(B119)),IF(B120=B119,"",(B120-B119)*100),"")</f>
        <v/>
      </c>
      <c r="G120" s="20">
        <f>IF(AND(ISNUMBER(C120),ISNUMBER(C119)),IF(C120=C119,"",(C120-C119)*100),"")</f>
        <v/>
      </c>
      <c r="H120" s="20">
        <f>IF(OR(NOT(ISNUMBER($A120)),ROW()-2&lt;Settings!$B$11),NA(),IF(COUNT(OFFSET(F120,1-Settings!$B$11,0,Settings!$B$11,1))&lt;ROUNDUP(Settings!$B$11*Settings!$B$26,0),NA(),STDEV(OFFSET(F120,1-Settings!$B$11,0,Settings!$B$11,1))*SQRT(Settings!$B$13)))</f>
        <v/>
      </c>
      <c r="I120" s="20">
        <f>IF(OR(NOT(ISNUMBER($A120)),ROW()-2&lt;Settings!$B$12),NA(),IF(COUNT(OFFSET(F120,1-Settings!$B$12,0,Settings!$B$12,1))&lt;ROUNDUP(Settings!$B$12*Settings!$B$26,0),NA(),STDEV(OFFSET(F120,1-Settings!$B$12,0,Settings!$B$12,1))*SQRT(Settings!$B$13)))</f>
        <v/>
      </c>
      <c r="J120" s="20">
        <f>IF(OR(NOT(ISNUMBER($A120)),ROW()-2&lt;Settings!$B$11),NA(),IF(COUNT(OFFSET(G120,1-Settings!$B$11,0,Settings!$B$11,1))&lt;ROUNDUP(Settings!$B$11*Settings!$B$26,0),NA(),STDEV(OFFSET(G120,1-Settings!$B$11,0,Settings!$B$11,1))*SQRT(Settings!$B$13)))</f>
        <v/>
      </c>
      <c r="K120" s="20">
        <f>IF(OR(NOT(ISNUMBER($A120)),ROW()-2&lt;Settings!$B$12),NA(),IF(COUNT(OFFSET(G120,1-Settings!$B$12,0,Settings!$B$12,1))&lt;ROUNDUP(Settings!$B$12*Settings!$B$26,0),NA(),STDEV(OFFSET(G120,1-Settings!$B$12,0,Settings!$B$12,1))*SQRT(Settings!$B$13)))</f>
        <v/>
      </c>
      <c r="L120" s="20">
        <f>IF(AND(ISNUMBER(D120),ISNUMBER(H120)),D120-H120,NA())</f>
        <v/>
      </c>
      <c r="M120" s="20">
        <f>IF(AND(ISNUMBER(E120),ISNUMBER(K120)),E120-K120,NA())</f>
        <v/>
      </c>
      <c r="N120" s="20">
        <f>IF(NOT(ISNUMBER($A120)),NA(),IF(COUNT(OFFSET(G120,1,0,Settings!$B$12,1))&lt;ROUNDUP(Settings!$B$12*Settings!$B$26,0),NA(),STDEV(OFFSET(G120,1,0,Settings!$B$12,1))*SQRT(Settings!$B$13)))</f>
        <v/>
      </c>
      <c r="O120" s="20">
        <f>IF(AND(ISNUMBER(E120),ISNUMBER(N120)),E120-N120,NA())</f>
        <v/>
      </c>
      <c r="P120" s="19">
        <f>IF(NOT(ISNUMBER($A120)),NA(),IF(OR($A120&lt;MIN(KW_TP!$A$2:$A$2501),$A120&gt;MAX(KW_TP!$A$2:$A$2501)),NA(),INDEX(KW_TP!$C$2:$C$2501,MATCH($A120,KW_TP!$A$2:$A$2501,1))))</f>
        <v/>
      </c>
      <c r="Q120" s="18">
        <f>IF(NOT(ISNUMBER($A120)),NA(),IFERROR(1*INDEX(BBG_Data!$J$2:$J$4000,MATCH($A120,BBG_Data!$I$2:$I$4000,0)),NA()))</f>
        <v/>
      </c>
      <c r="R120" s="18">
        <f>IF(NOT(ISNUMBER($A120)),NA(),IFERROR(1*INDEX(BBG_Data!$L$2:$L$4000,MATCH($A120,BBG_Data!$K$2:$K$4000,0)),NA()))</f>
        <v/>
      </c>
      <c r="S120" s="20">
        <f>IF(AND(ISNUMBER(B120),ISNUMBER(Q120),ISNUMBER(R120)),(B120-Q120-R120)*100,NA())</f>
        <v/>
      </c>
      <c r="T120" s="20">
        <f>IF(AND(ISNUMBER(B120),Settings!$B$17&gt;0),IF(ISNUMBER(INDEX($B:$B,Settings!$B$17)),(B120-INDEX($B:$B,Settings!$B$17))*100,NA()),NA())</f>
        <v/>
      </c>
      <c r="U120" s="20">
        <f>IF(AND(ISNUMBER(Q120),Settings!$B$17&gt;0),IF(ISNUMBER(INDEX($Q:$Q,Settings!$B$17)),(Q120-INDEX($Q:$Q,Settings!$B$17))*100,NA()),NA())</f>
        <v/>
      </c>
      <c r="V120" s="20">
        <f>IF(AND(ISNUMBER(R120),Settings!$B$17&gt;0),IF(ISNUMBER(INDEX($R:$R,Settings!$B$17)),(R120-INDEX($R:$R,Settings!$B$17))*100,NA()),NA())</f>
        <v/>
      </c>
      <c r="W120" s="20">
        <f>IF(AND(ISNUMBER(P120),Settings!$B$17&gt;0),IF(ISNUMBER(INDEX($P:$P,Settings!$B$17)),P120-INDEX($P:$P,Settings!$B$17),NA()),NA())</f>
        <v/>
      </c>
      <c r="X120" s="19">
        <f>IF(NOT(ISNUMBER($A120)),NA(),IF(OR($A120&lt;MIN(DKW_10Y!$A$2:$A$2918),$A120&gt;MAX(DKW_10Y!$A$2:$A$2918),Settings!$B$16&lt;MIN(DKW_10Y!$A$2:$A$2918)),NA(),(INDEX(DKW_10Y!$B$2:$B$2918,MATCH($A120,DKW_10Y!$A$2:$A$2918,1))-INDEX(DKW_10Y!$B$2:$B$2918,MATCH(Settings!$B$16,DKW_10Y!$A$2:$A$2918,1)))*100))</f>
        <v/>
      </c>
      <c r="Y120" s="19">
        <f>IF(NOT(ISNUMBER($A120)),NA(),IF(OR($A120&lt;MIN(DKW_10Y!$A$2:$A$2918),$A120&gt;MAX(DKW_10Y!$A$2:$A$2918),Settings!$B$16&lt;MIN(DKW_10Y!$A$2:$A$2918)),NA(),(INDEX(DKW_10Y!$C$2:$C$2918,MATCH($A120,DKW_10Y!$A$2:$A$2918,1))-INDEX(DKW_10Y!$C$2:$C$2918,MATCH(Settings!$B$16,DKW_10Y!$A$2:$A$2918,1)))*100))</f>
        <v/>
      </c>
      <c r="Z120" s="19">
        <f>IF(NOT(ISNUMBER($A120)),NA(),IF(OR($A120&lt;MIN(DKW_10Y!$A$2:$A$2918),$A120&gt;MAX(DKW_10Y!$A$2:$A$2918),Settings!$B$16&lt;MIN(DKW_10Y!$A$2:$A$2918)),NA(),(INDEX(DKW_10Y!$D$2:$D$2918,MATCH($A120,DKW_10Y!$A$2:$A$2918,1))-INDEX(DKW_10Y!$D$2:$D$2918,MATCH(Settings!$B$16,DKW_10Y!$A$2:$A$2918,1)))*100))</f>
        <v/>
      </c>
      <c r="AA120" s="19">
        <f>IF(NOT(ISNUMBER($A120)),NA(),IF(OR($A120&lt;MIN(DKW_10Y!$A$2:$A$2918),$A120&gt;MAX(DKW_10Y!$A$2:$A$2918),Settings!$B$16&lt;MIN(DKW_10Y!$A$2:$A$2918)),NA(),(INDEX(DKW_10Y!$E$2:$E$2918,MATCH($A120,DKW_10Y!$A$2:$A$2918,1))-INDEX(DKW_10Y!$E$2:$E$2918,MATCH(Settings!$B$16,DKW_10Y!$A$2:$A$2918,1)))*100))</f>
        <v/>
      </c>
      <c r="AB120" s="19">
        <f>IF(NOT(ISNUMBER($A120)),NA(),IF(OR($A120&lt;MIN(DKW_10Y!$A$2:$A$2918),$A120&gt;MAX(DKW_10Y!$A$2:$A$2918),Settings!$B$16&lt;MIN(DKW_10Y!$A$2:$A$2918)),NA(),(INDEX(DKW_10Y!$H$2:$H$2918,MATCH($A120,DKW_10Y!$A$2:$A$2918,1))-INDEX(DKW_10Y!$H$2:$H$2918,MATCH(Settings!$B$16,DKW_10Y!$A$2:$A$2918,1)))*100))</f>
        <v/>
      </c>
      <c r="AC120" s="18">
        <f>IF(NOT(ISNUMBER($A120)),NA(),IFERROR(1*INDEX(BBG_Data!$N$2:$N$4000,MATCH($A120,BBG_Data!$M$2:$M$4000,0)),NA()))</f>
        <v/>
      </c>
      <c r="AD120" s="18">
        <f>IF(NOT(ISNUMBER($A120)),NA(),IFERROR(1*INDEX(BBG_Data!$P$2:$P$4000,MATCH($A120,BBG_Data!$O$2:$O$4000,0)),NA()))</f>
        <v/>
      </c>
      <c r="AE120" s="18">
        <f>IF(NOT(ISNUMBER($A120)),NA(),IFERROR(1*INDEX(BBG_Data!$R$2:$R$4000,MATCH($A120,BBG_Data!$Q$2:$Q$4000,0)),NA()))</f>
        <v/>
      </c>
      <c r="AF120" s="20">
        <f>IF(AND(ISNUMBER(B120),ISNUMBER(AC120)),(B120-AC120)*100,NA())</f>
        <v/>
      </c>
      <c r="AG120" s="20">
        <f>IF(AND(ISNUMBER(AE120),ISNUMBER(AD120)),(AE120-AD120)*100,NA())</f>
        <v/>
      </c>
      <c r="AH120" s="19">
        <f>IF(NOT(ISNUMBER($A120)),NA(),IFERROR(INDEX(BBG_Data!$T$2:$T$4000,MATCH($A120,BBG_Data!$S$2:$S$4000,0))*Settings!$B$25,NA()))</f>
        <v/>
      </c>
      <c r="AI120" s="19">
        <f>IF(NOT(ISNUMBER($A120)),NA(),IFERROR(INDEX(BBG_Data!$V$2:$V$4000,MATCH($A120,BBG_Data!$U$2:$U$4000,0))*Settings!$B$25,NA()))</f>
        <v/>
      </c>
      <c r="AJ120" s="19">
        <f>IF(NOT(ISNUMBER($A120)),NA(),IFERROR(1*INDEX(BBG_Data!$X$2:$X$4000,MATCH($A120,BBG_Data!$W$2:$W$4000,0)),NA()))</f>
        <v/>
      </c>
      <c r="AK120" s="19">
        <f>IF(NOT(ISNUMBER($A120)),NA(),IFERROR(1*INDEX(BBG_Data!$Z$2:$Z$4000,MATCH($A120,BBG_Data!$Y$2:$Y$4000,0)),NA()))</f>
        <v/>
      </c>
    </row>
    <row r="121">
      <c r="A121" s="17">
        <f>IF(ISNUMBER(BBG_Data!A121),BBG_Data!A121,"")</f>
        <v/>
      </c>
      <c r="B121" s="18">
        <f>IF(AND(ISNUMBER($A121),ISNUMBER(BBG_Data!B121)),BBG_Data!B121,NA())</f>
        <v/>
      </c>
      <c r="C121" s="18">
        <f>IF(NOT(ISNUMBER($A121)),NA(),IFERROR(1*INDEX(BBG_Data!$D$2:$D$4000,MATCH($A121,BBG_Data!$C$2:$C$4000,0)),NA()))</f>
        <v/>
      </c>
      <c r="D121" s="19">
        <f>IF(NOT(ISNUMBER($A121)),NA(),IFERROR(1*INDEX(BBG_Data!$F$2:$F$4000,MATCH($A121,BBG_Data!$E$2:$E$4000,0)),NA()))</f>
        <v/>
      </c>
      <c r="E121" s="19">
        <f>IF(NOT(ISNUMBER($A121)),NA(),IFERROR(1*INDEX(BBG_Data!$H$2:$H$4000,MATCH($A121,BBG_Data!$G$2:$G$4000,0)),NA()))</f>
        <v/>
      </c>
      <c r="F121" s="20">
        <f>IF(AND(ISNUMBER(B121),ISNUMBER(B120)),IF(B121=B120,"",(B121-B120)*100),"")</f>
        <v/>
      </c>
      <c r="G121" s="20">
        <f>IF(AND(ISNUMBER(C121),ISNUMBER(C120)),IF(C121=C120,"",(C121-C120)*100),"")</f>
        <v/>
      </c>
      <c r="H121" s="20">
        <f>IF(OR(NOT(ISNUMBER($A121)),ROW()-2&lt;Settings!$B$11),NA(),IF(COUNT(OFFSET(F121,1-Settings!$B$11,0,Settings!$B$11,1))&lt;ROUNDUP(Settings!$B$11*Settings!$B$26,0),NA(),STDEV(OFFSET(F121,1-Settings!$B$11,0,Settings!$B$11,1))*SQRT(Settings!$B$13)))</f>
        <v/>
      </c>
      <c r="I121" s="20">
        <f>IF(OR(NOT(ISNUMBER($A121)),ROW()-2&lt;Settings!$B$12),NA(),IF(COUNT(OFFSET(F121,1-Settings!$B$12,0,Settings!$B$12,1))&lt;ROUNDUP(Settings!$B$12*Settings!$B$26,0),NA(),STDEV(OFFSET(F121,1-Settings!$B$12,0,Settings!$B$12,1))*SQRT(Settings!$B$13)))</f>
        <v/>
      </c>
      <c r="J121" s="20">
        <f>IF(OR(NOT(ISNUMBER($A121)),ROW()-2&lt;Settings!$B$11),NA(),IF(COUNT(OFFSET(G121,1-Settings!$B$11,0,Settings!$B$11,1))&lt;ROUNDUP(Settings!$B$11*Settings!$B$26,0),NA(),STDEV(OFFSET(G121,1-Settings!$B$11,0,Settings!$B$11,1))*SQRT(Settings!$B$13)))</f>
        <v/>
      </c>
      <c r="K121" s="20">
        <f>IF(OR(NOT(ISNUMBER($A121)),ROW()-2&lt;Settings!$B$12),NA(),IF(COUNT(OFFSET(G121,1-Settings!$B$12,0,Settings!$B$12,1))&lt;ROUNDUP(Settings!$B$12*Settings!$B$26,0),NA(),STDEV(OFFSET(G121,1-Settings!$B$12,0,Settings!$B$12,1))*SQRT(Settings!$B$13)))</f>
        <v/>
      </c>
      <c r="L121" s="20">
        <f>IF(AND(ISNUMBER(D121),ISNUMBER(H121)),D121-H121,NA())</f>
        <v/>
      </c>
      <c r="M121" s="20">
        <f>IF(AND(ISNUMBER(E121),ISNUMBER(K121)),E121-K121,NA())</f>
        <v/>
      </c>
      <c r="N121" s="20">
        <f>IF(NOT(ISNUMBER($A121)),NA(),IF(COUNT(OFFSET(G121,1,0,Settings!$B$12,1))&lt;ROUNDUP(Settings!$B$12*Settings!$B$26,0),NA(),STDEV(OFFSET(G121,1,0,Settings!$B$12,1))*SQRT(Settings!$B$13)))</f>
        <v/>
      </c>
      <c r="O121" s="20">
        <f>IF(AND(ISNUMBER(E121),ISNUMBER(N121)),E121-N121,NA())</f>
        <v/>
      </c>
      <c r="P121" s="19">
        <f>IF(NOT(ISNUMBER($A121)),NA(),IF(OR($A121&lt;MIN(KW_TP!$A$2:$A$2501),$A121&gt;MAX(KW_TP!$A$2:$A$2501)),NA(),INDEX(KW_TP!$C$2:$C$2501,MATCH($A121,KW_TP!$A$2:$A$2501,1))))</f>
        <v/>
      </c>
      <c r="Q121" s="18">
        <f>IF(NOT(ISNUMBER($A121)),NA(),IFERROR(1*INDEX(BBG_Data!$J$2:$J$4000,MATCH($A121,BBG_Data!$I$2:$I$4000,0)),NA()))</f>
        <v/>
      </c>
      <c r="R121" s="18">
        <f>IF(NOT(ISNUMBER($A121)),NA(),IFERROR(1*INDEX(BBG_Data!$L$2:$L$4000,MATCH($A121,BBG_Data!$K$2:$K$4000,0)),NA()))</f>
        <v/>
      </c>
      <c r="S121" s="20">
        <f>IF(AND(ISNUMBER(B121),ISNUMBER(Q121),ISNUMBER(R121)),(B121-Q121-R121)*100,NA())</f>
        <v/>
      </c>
      <c r="T121" s="20">
        <f>IF(AND(ISNUMBER(B121),Settings!$B$17&gt;0),IF(ISNUMBER(INDEX($B:$B,Settings!$B$17)),(B121-INDEX($B:$B,Settings!$B$17))*100,NA()),NA())</f>
        <v/>
      </c>
      <c r="U121" s="20">
        <f>IF(AND(ISNUMBER(Q121),Settings!$B$17&gt;0),IF(ISNUMBER(INDEX($Q:$Q,Settings!$B$17)),(Q121-INDEX($Q:$Q,Settings!$B$17))*100,NA()),NA())</f>
        <v/>
      </c>
      <c r="V121" s="20">
        <f>IF(AND(ISNUMBER(R121),Settings!$B$17&gt;0),IF(ISNUMBER(INDEX($R:$R,Settings!$B$17)),(R121-INDEX($R:$R,Settings!$B$17))*100,NA()),NA())</f>
        <v/>
      </c>
      <c r="W121" s="20">
        <f>IF(AND(ISNUMBER(P121),Settings!$B$17&gt;0),IF(ISNUMBER(INDEX($P:$P,Settings!$B$17)),P121-INDEX($P:$P,Settings!$B$17),NA()),NA())</f>
        <v/>
      </c>
      <c r="X121" s="19">
        <f>IF(NOT(ISNUMBER($A121)),NA(),IF(OR($A121&lt;MIN(DKW_10Y!$A$2:$A$2918),$A121&gt;MAX(DKW_10Y!$A$2:$A$2918),Settings!$B$16&lt;MIN(DKW_10Y!$A$2:$A$2918)),NA(),(INDEX(DKW_10Y!$B$2:$B$2918,MATCH($A121,DKW_10Y!$A$2:$A$2918,1))-INDEX(DKW_10Y!$B$2:$B$2918,MATCH(Settings!$B$16,DKW_10Y!$A$2:$A$2918,1)))*100))</f>
        <v/>
      </c>
      <c r="Y121" s="19">
        <f>IF(NOT(ISNUMBER($A121)),NA(),IF(OR($A121&lt;MIN(DKW_10Y!$A$2:$A$2918),$A121&gt;MAX(DKW_10Y!$A$2:$A$2918),Settings!$B$16&lt;MIN(DKW_10Y!$A$2:$A$2918)),NA(),(INDEX(DKW_10Y!$C$2:$C$2918,MATCH($A121,DKW_10Y!$A$2:$A$2918,1))-INDEX(DKW_10Y!$C$2:$C$2918,MATCH(Settings!$B$16,DKW_10Y!$A$2:$A$2918,1)))*100))</f>
        <v/>
      </c>
      <c r="Z121" s="19">
        <f>IF(NOT(ISNUMBER($A121)),NA(),IF(OR($A121&lt;MIN(DKW_10Y!$A$2:$A$2918),$A121&gt;MAX(DKW_10Y!$A$2:$A$2918),Settings!$B$16&lt;MIN(DKW_10Y!$A$2:$A$2918)),NA(),(INDEX(DKW_10Y!$D$2:$D$2918,MATCH($A121,DKW_10Y!$A$2:$A$2918,1))-INDEX(DKW_10Y!$D$2:$D$2918,MATCH(Settings!$B$16,DKW_10Y!$A$2:$A$2918,1)))*100))</f>
        <v/>
      </c>
      <c r="AA121" s="19">
        <f>IF(NOT(ISNUMBER($A121)),NA(),IF(OR($A121&lt;MIN(DKW_10Y!$A$2:$A$2918),$A121&gt;MAX(DKW_10Y!$A$2:$A$2918),Settings!$B$16&lt;MIN(DKW_10Y!$A$2:$A$2918)),NA(),(INDEX(DKW_10Y!$E$2:$E$2918,MATCH($A121,DKW_10Y!$A$2:$A$2918,1))-INDEX(DKW_10Y!$E$2:$E$2918,MATCH(Settings!$B$16,DKW_10Y!$A$2:$A$2918,1)))*100))</f>
        <v/>
      </c>
      <c r="AB121" s="19">
        <f>IF(NOT(ISNUMBER($A121)),NA(),IF(OR($A121&lt;MIN(DKW_10Y!$A$2:$A$2918),$A121&gt;MAX(DKW_10Y!$A$2:$A$2918),Settings!$B$16&lt;MIN(DKW_10Y!$A$2:$A$2918)),NA(),(INDEX(DKW_10Y!$H$2:$H$2918,MATCH($A121,DKW_10Y!$A$2:$A$2918,1))-INDEX(DKW_10Y!$H$2:$H$2918,MATCH(Settings!$B$16,DKW_10Y!$A$2:$A$2918,1)))*100))</f>
        <v/>
      </c>
      <c r="AC121" s="18">
        <f>IF(NOT(ISNUMBER($A121)),NA(),IFERROR(1*INDEX(BBG_Data!$N$2:$N$4000,MATCH($A121,BBG_Data!$M$2:$M$4000,0)),NA()))</f>
        <v/>
      </c>
      <c r="AD121" s="18">
        <f>IF(NOT(ISNUMBER($A121)),NA(),IFERROR(1*INDEX(BBG_Data!$P$2:$P$4000,MATCH($A121,BBG_Data!$O$2:$O$4000,0)),NA()))</f>
        <v/>
      </c>
      <c r="AE121" s="18">
        <f>IF(NOT(ISNUMBER($A121)),NA(),IFERROR(1*INDEX(BBG_Data!$R$2:$R$4000,MATCH($A121,BBG_Data!$Q$2:$Q$4000,0)),NA()))</f>
        <v/>
      </c>
      <c r="AF121" s="20">
        <f>IF(AND(ISNUMBER(B121),ISNUMBER(AC121)),(B121-AC121)*100,NA())</f>
        <v/>
      </c>
      <c r="AG121" s="20">
        <f>IF(AND(ISNUMBER(AE121),ISNUMBER(AD121)),(AE121-AD121)*100,NA())</f>
        <v/>
      </c>
      <c r="AH121" s="19">
        <f>IF(NOT(ISNUMBER($A121)),NA(),IFERROR(INDEX(BBG_Data!$T$2:$T$4000,MATCH($A121,BBG_Data!$S$2:$S$4000,0))*Settings!$B$25,NA()))</f>
        <v/>
      </c>
      <c r="AI121" s="19">
        <f>IF(NOT(ISNUMBER($A121)),NA(),IFERROR(INDEX(BBG_Data!$V$2:$V$4000,MATCH($A121,BBG_Data!$U$2:$U$4000,0))*Settings!$B$25,NA()))</f>
        <v/>
      </c>
      <c r="AJ121" s="19">
        <f>IF(NOT(ISNUMBER($A121)),NA(),IFERROR(1*INDEX(BBG_Data!$X$2:$X$4000,MATCH($A121,BBG_Data!$W$2:$W$4000,0)),NA()))</f>
        <v/>
      </c>
      <c r="AK121" s="19">
        <f>IF(NOT(ISNUMBER($A121)),NA(),IFERROR(1*INDEX(BBG_Data!$Z$2:$Z$4000,MATCH($A121,BBG_Data!$Y$2:$Y$4000,0)),NA()))</f>
        <v/>
      </c>
    </row>
    <row r="122">
      <c r="A122" s="17">
        <f>IF(ISNUMBER(BBG_Data!A122),BBG_Data!A122,"")</f>
        <v/>
      </c>
      <c r="B122" s="18">
        <f>IF(AND(ISNUMBER($A122),ISNUMBER(BBG_Data!B122)),BBG_Data!B122,NA())</f>
        <v/>
      </c>
      <c r="C122" s="18">
        <f>IF(NOT(ISNUMBER($A122)),NA(),IFERROR(1*INDEX(BBG_Data!$D$2:$D$4000,MATCH($A122,BBG_Data!$C$2:$C$4000,0)),NA()))</f>
        <v/>
      </c>
      <c r="D122" s="19">
        <f>IF(NOT(ISNUMBER($A122)),NA(),IFERROR(1*INDEX(BBG_Data!$F$2:$F$4000,MATCH($A122,BBG_Data!$E$2:$E$4000,0)),NA()))</f>
        <v/>
      </c>
      <c r="E122" s="19">
        <f>IF(NOT(ISNUMBER($A122)),NA(),IFERROR(1*INDEX(BBG_Data!$H$2:$H$4000,MATCH($A122,BBG_Data!$G$2:$G$4000,0)),NA()))</f>
        <v/>
      </c>
      <c r="F122" s="20">
        <f>IF(AND(ISNUMBER(B122),ISNUMBER(B121)),IF(B122=B121,"",(B122-B121)*100),"")</f>
        <v/>
      </c>
      <c r="G122" s="20">
        <f>IF(AND(ISNUMBER(C122),ISNUMBER(C121)),IF(C122=C121,"",(C122-C121)*100),"")</f>
        <v/>
      </c>
      <c r="H122" s="20">
        <f>IF(OR(NOT(ISNUMBER($A122)),ROW()-2&lt;Settings!$B$11),NA(),IF(COUNT(OFFSET(F122,1-Settings!$B$11,0,Settings!$B$11,1))&lt;ROUNDUP(Settings!$B$11*Settings!$B$26,0),NA(),STDEV(OFFSET(F122,1-Settings!$B$11,0,Settings!$B$11,1))*SQRT(Settings!$B$13)))</f>
        <v/>
      </c>
      <c r="I122" s="20">
        <f>IF(OR(NOT(ISNUMBER($A122)),ROW()-2&lt;Settings!$B$12),NA(),IF(COUNT(OFFSET(F122,1-Settings!$B$12,0,Settings!$B$12,1))&lt;ROUNDUP(Settings!$B$12*Settings!$B$26,0),NA(),STDEV(OFFSET(F122,1-Settings!$B$12,0,Settings!$B$12,1))*SQRT(Settings!$B$13)))</f>
        <v/>
      </c>
      <c r="J122" s="20">
        <f>IF(OR(NOT(ISNUMBER($A122)),ROW()-2&lt;Settings!$B$11),NA(),IF(COUNT(OFFSET(G122,1-Settings!$B$11,0,Settings!$B$11,1))&lt;ROUNDUP(Settings!$B$11*Settings!$B$26,0),NA(),STDEV(OFFSET(G122,1-Settings!$B$11,0,Settings!$B$11,1))*SQRT(Settings!$B$13)))</f>
        <v/>
      </c>
      <c r="K122" s="20">
        <f>IF(OR(NOT(ISNUMBER($A122)),ROW()-2&lt;Settings!$B$12),NA(),IF(COUNT(OFFSET(G122,1-Settings!$B$12,0,Settings!$B$12,1))&lt;ROUNDUP(Settings!$B$12*Settings!$B$26,0),NA(),STDEV(OFFSET(G122,1-Settings!$B$12,0,Settings!$B$12,1))*SQRT(Settings!$B$13)))</f>
        <v/>
      </c>
      <c r="L122" s="20">
        <f>IF(AND(ISNUMBER(D122),ISNUMBER(H122)),D122-H122,NA())</f>
        <v/>
      </c>
      <c r="M122" s="20">
        <f>IF(AND(ISNUMBER(E122),ISNUMBER(K122)),E122-K122,NA())</f>
        <v/>
      </c>
      <c r="N122" s="20">
        <f>IF(NOT(ISNUMBER($A122)),NA(),IF(COUNT(OFFSET(G122,1,0,Settings!$B$12,1))&lt;ROUNDUP(Settings!$B$12*Settings!$B$26,0),NA(),STDEV(OFFSET(G122,1,0,Settings!$B$12,1))*SQRT(Settings!$B$13)))</f>
        <v/>
      </c>
      <c r="O122" s="20">
        <f>IF(AND(ISNUMBER(E122),ISNUMBER(N122)),E122-N122,NA())</f>
        <v/>
      </c>
      <c r="P122" s="19">
        <f>IF(NOT(ISNUMBER($A122)),NA(),IF(OR($A122&lt;MIN(KW_TP!$A$2:$A$2501),$A122&gt;MAX(KW_TP!$A$2:$A$2501)),NA(),INDEX(KW_TP!$C$2:$C$2501,MATCH($A122,KW_TP!$A$2:$A$2501,1))))</f>
        <v/>
      </c>
      <c r="Q122" s="18">
        <f>IF(NOT(ISNUMBER($A122)),NA(),IFERROR(1*INDEX(BBG_Data!$J$2:$J$4000,MATCH($A122,BBG_Data!$I$2:$I$4000,0)),NA()))</f>
        <v/>
      </c>
      <c r="R122" s="18">
        <f>IF(NOT(ISNUMBER($A122)),NA(),IFERROR(1*INDEX(BBG_Data!$L$2:$L$4000,MATCH($A122,BBG_Data!$K$2:$K$4000,0)),NA()))</f>
        <v/>
      </c>
      <c r="S122" s="20">
        <f>IF(AND(ISNUMBER(B122),ISNUMBER(Q122),ISNUMBER(R122)),(B122-Q122-R122)*100,NA())</f>
        <v/>
      </c>
      <c r="T122" s="20">
        <f>IF(AND(ISNUMBER(B122),Settings!$B$17&gt;0),IF(ISNUMBER(INDEX($B:$B,Settings!$B$17)),(B122-INDEX($B:$B,Settings!$B$17))*100,NA()),NA())</f>
        <v/>
      </c>
      <c r="U122" s="20">
        <f>IF(AND(ISNUMBER(Q122),Settings!$B$17&gt;0),IF(ISNUMBER(INDEX($Q:$Q,Settings!$B$17)),(Q122-INDEX($Q:$Q,Settings!$B$17))*100,NA()),NA())</f>
        <v/>
      </c>
      <c r="V122" s="20">
        <f>IF(AND(ISNUMBER(R122),Settings!$B$17&gt;0),IF(ISNUMBER(INDEX($R:$R,Settings!$B$17)),(R122-INDEX($R:$R,Settings!$B$17))*100,NA()),NA())</f>
        <v/>
      </c>
      <c r="W122" s="20">
        <f>IF(AND(ISNUMBER(P122),Settings!$B$17&gt;0),IF(ISNUMBER(INDEX($P:$P,Settings!$B$17)),P122-INDEX($P:$P,Settings!$B$17),NA()),NA())</f>
        <v/>
      </c>
      <c r="X122" s="19">
        <f>IF(NOT(ISNUMBER($A122)),NA(),IF(OR($A122&lt;MIN(DKW_10Y!$A$2:$A$2918),$A122&gt;MAX(DKW_10Y!$A$2:$A$2918),Settings!$B$16&lt;MIN(DKW_10Y!$A$2:$A$2918)),NA(),(INDEX(DKW_10Y!$B$2:$B$2918,MATCH($A122,DKW_10Y!$A$2:$A$2918,1))-INDEX(DKW_10Y!$B$2:$B$2918,MATCH(Settings!$B$16,DKW_10Y!$A$2:$A$2918,1)))*100))</f>
        <v/>
      </c>
      <c r="Y122" s="19">
        <f>IF(NOT(ISNUMBER($A122)),NA(),IF(OR($A122&lt;MIN(DKW_10Y!$A$2:$A$2918),$A122&gt;MAX(DKW_10Y!$A$2:$A$2918),Settings!$B$16&lt;MIN(DKW_10Y!$A$2:$A$2918)),NA(),(INDEX(DKW_10Y!$C$2:$C$2918,MATCH($A122,DKW_10Y!$A$2:$A$2918,1))-INDEX(DKW_10Y!$C$2:$C$2918,MATCH(Settings!$B$16,DKW_10Y!$A$2:$A$2918,1)))*100))</f>
        <v/>
      </c>
      <c r="Z122" s="19">
        <f>IF(NOT(ISNUMBER($A122)),NA(),IF(OR($A122&lt;MIN(DKW_10Y!$A$2:$A$2918),$A122&gt;MAX(DKW_10Y!$A$2:$A$2918),Settings!$B$16&lt;MIN(DKW_10Y!$A$2:$A$2918)),NA(),(INDEX(DKW_10Y!$D$2:$D$2918,MATCH($A122,DKW_10Y!$A$2:$A$2918,1))-INDEX(DKW_10Y!$D$2:$D$2918,MATCH(Settings!$B$16,DKW_10Y!$A$2:$A$2918,1)))*100))</f>
        <v/>
      </c>
      <c r="AA122" s="19">
        <f>IF(NOT(ISNUMBER($A122)),NA(),IF(OR($A122&lt;MIN(DKW_10Y!$A$2:$A$2918),$A122&gt;MAX(DKW_10Y!$A$2:$A$2918),Settings!$B$16&lt;MIN(DKW_10Y!$A$2:$A$2918)),NA(),(INDEX(DKW_10Y!$E$2:$E$2918,MATCH($A122,DKW_10Y!$A$2:$A$2918,1))-INDEX(DKW_10Y!$E$2:$E$2918,MATCH(Settings!$B$16,DKW_10Y!$A$2:$A$2918,1)))*100))</f>
        <v/>
      </c>
      <c r="AB122" s="19">
        <f>IF(NOT(ISNUMBER($A122)),NA(),IF(OR($A122&lt;MIN(DKW_10Y!$A$2:$A$2918),$A122&gt;MAX(DKW_10Y!$A$2:$A$2918),Settings!$B$16&lt;MIN(DKW_10Y!$A$2:$A$2918)),NA(),(INDEX(DKW_10Y!$H$2:$H$2918,MATCH($A122,DKW_10Y!$A$2:$A$2918,1))-INDEX(DKW_10Y!$H$2:$H$2918,MATCH(Settings!$B$16,DKW_10Y!$A$2:$A$2918,1)))*100))</f>
        <v/>
      </c>
      <c r="AC122" s="18">
        <f>IF(NOT(ISNUMBER($A122)),NA(),IFERROR(1*INDEX(BBG_Data!$N$2:$N$4000,MATCH($A122,BBG_Data!$M$2:$M$4000,0)),NA()))</f>
        <v/>
      </c>
      <c r="AD122" s="18">
        <f>IF(NOT(ISNUMBER($A122)),NA(),IFERROR(1*INDEX(BBG_Data!$P$2:$P$4000,MATCH($A122,BBG_Data!$O$2:$O$4000,0)),NA()))</f>
        <v/>
      </c>
      <c r="AE122" s="18">
        <f>IF(NOT(ISNUMBER($A122)),NA(),IFERROR(1*INDEX(BBG_Data!$R$2:$R$4000,MATCH($A122,BBG_Data!$Q$2:$Q$4000,0)),NA()))</f>
        <v/>
      </c>
      <c r="AF122" s="20">
        <f>IF(AND(ISNUMBER(B122),ISNUMBER(AC122)),(B122-AC122)*100,NA())</f>
        <v/>
      </c>
      <c r="AG122" s="20">
        <f>IF(AND(ISNUMBER(AE122),ISNUMBER(AD122)),(AE122-AD122)*100,NA())</f>
        <v/>
      </c>
      <c r="AH122" s="19">
        <f>IF(NOT(ISNUMBER($A122)),NA(),IFERROR(INDEX(BBG_Data!$T$2:$T$4000,MATCH($A122,BBG_Data!$S$2:$S$4000,0))*Settings!$B$25,NA()))</f>
        <v/>
      </c>
      <c r="AI122" s="19">
        <f>IF(NOT(ISNUMBER($A122)),NA(),IFERROR(INDEX(BBG_Data!$V$2:$V$4000,MATCH($A122,BBG_Data!$U$2:$U$4000,0))*Settings!$B$25,NA()))</f>
        <v/>
      </c>
      <c r="AJ122" s="19">
        <f>IF(NOT(ISNUMBER($A122)),NA(),IFERROR(1*INDEX(BBG_Data!$X$2:$X$4000,MATCH($A122,BBG_Data!$W$2:$W$4000,0)),NA()))</f>
        <v/>
      </c>
      <c r="AK122" s="19">
        <f>IF(NOT(ISNUMBER($A122)),NA(),IFERROR(1*INDEX(BBG_Data!$Z$2:$Z$4000,MATCH($A122,BBG_Data!$Y$2:$Y$4000,0)),NA()))</f>
        <v/>
      </c>
    </row>
    <row r="123">
      <c r="A123" s="17">
        <f>IF(ISNUMBER(BBG_Data!A123),BBG_Data!A123,"")</f>
        <v/>
      </c>
      <c r="B123" s="18">
        <f>IF(AND(ISNUMBER($A123),ISNUMBER(BBG_Data!B123)),BBG_Data!B123,NA())</f>
        <v/>
      </c>
      <c r="C123" s="18">
        <f>IF(NOT(ISNUMBER($A123)),NA(),IFERROR(1*INDEX(BBG_Data!$D$2:$D$4000,MATCH($A123,BBG_Data!$C$2:$C$4000,0)),NA()))</f>
        <v/>
      </c>
      <c r="D123" s="19">
        <f>IF(NOT(ISNUMBER($A123)),NA(),IFERROR(1*INDEX(BBG_Data!$F$2:$F$4000,MATCH($A123,BBG_Data!$E$2:$E$4000,0)),NA()))</f>
        <v/>
      </c>
      <c r="E123" s="19">
        <f>IF(NOT(ISNUMBER($A123)),NA(),IFERROR(1*INDEX(BBG_Data!$H$2:$H$4000,MATCH($A123,BBG_Data!$G$2:$G$4000,0)),NA()))</f>
        <v/>
      </c>
      <c r="F123" s="20">
        <f>IF(AND(ISNUMBER(B123),ISNUMBER(B122)),IF(B123=B122,"",(B123-B122)*100),"")</f>
        <v/>
      </c>
      <c r="G123" s="20">
        <f>IF(AND(ISNUMBER(C123),ISNUMBER(C122)),IF(C123=C122,"",(C123-C122)*100),"")</f>
        <v/>
      </c>
      <c r="H123" s="20">
        <f>IF(OR(NOT(ISNUMBER($A123)),ROW()-2&lt;Settings!$B$11),NA(),IF(COUNT(OFFSET(F123,1-Settings!$B$11,0,Settings!$B$11,1))&lt;ROUNDUP(Settings!$B$11*Settings!$B$26,0),NA(),STDEV(OFFSET(F123,1-Settings!$B$11,0,Settings!$B$11,1))*SQRT(Settings!$B$13)))</f>
        <v/>
      </c>
      <c r="I123" s="20">
        <f>IF(OR(NOT(ISNUMBER($A123)),ROW()-2&lt;Settings!$B$12),NA(),IF(COUNT(OFFSET(F123,1-Settings!$B$12,0,Settings!$B$12,1))&lt;ROUNDUP(Settings!$B$12*Settings!$B$26,0),NA(),STDEV(OFFSET(F123,1-Settings!$B$12,0,Settings!$B$12,1))*SQRT(Settings!$B$13)))</f>
        <v/>
      </c>
      <c r="J123" s="20">
        <f>IF(OR(NOT(ISNUMBER($A123)),ROW()-2&lt;Settings!$B$11),NA(),IF(COUNT(OFFSET(G123,1-Settings!$B$11,0,Settings!$B$11,1))&lt;ROUNDUP(Settings!$B$11*Settings!$B$26,0),NA(),STDEV(OFFSET(G123,1-Settings!$B$11,0,Settings!$B$11,1))*SQRT(Settings!$B$13)))</f>
        <v/>
      </c>
      <c r="K123" s="20">
        <f>IF(OR(NOT(ISNUMBER($A123)),ROW()-2&lt;Settings!$B$12),NA(),IF(COUNT(OFFSET(G123,1-Settings!$B$12,0,Settings!$B$12,1))&lt;ROUNDUP(Settings!$B$12*Settings!$B$26,0),NA(),STDEV(OFFSET(G123,1-Settings!$B$12,0,Settings!$B$12,1))*SQRT(Settings!$B$13)))</f>
        <v/>
      </c>
      <c r="L123" s="20">
        <f>IF(AND(ISNUMBER(D123),ISNUMBER(H123)),D123-H123,NA())</f>
        <v/>
      </c>
      <c r="M123" s="20">
        <f>IF(AND(ISNUMBER(E123),ISNUMBER(K123)),E123-K123,NA())</f>
        <v/>
      </c>
      <c r="N123" s="20">
        <f>IF(NOT(ISNUMBER($A123)),NA(),IF(COUNT(OFFSET(G123,1,0,Settings!$B$12,1))&lt;ROUNDUP(Settings!$B$12*Settings!$B$26,0),NA(),STDEV(OFFSET(G123,1,0,Settings!$B$12,1))*SQRT(Settings!$B$13)))</f>
        <v/>
      </c>
      <c r="O123" s="20">
        <f>IF(AND(ISNUMBER(E123),ISNUMBER(N123)),E123-N123,NA())</f>
        <v/>
      </c>
      <c r="P123" s="19">
        <f>IF(NOT(ISNUMBER($A123)),NA(),IF(OR($A123&lt;MIN(KW_TP!$A$2:$A$2501),$A123&gt;MAX(KW_TP!$A$2:$A$2501)),NA(),INDEX(KW_TP!$C$2:$C$2501,MATCH($A123,KW_TP!$A$2:$A$2501,1))))</f>
        <v/>
      </c>
      <c r="Q123" s="18">
        <f>IF(NOT(ISNUMBER($A123)),NA(),IFERROR(1*INDEX(BBG_Data!$J$2:$J$4000,MATCH($A123,BBG_Data!$I$2:$I$4000,0)),NA()))</f>
        <v/>
      </c>
      <c r="R123" s="18">
        <f>IF(NOT(ISNUMBER($A123)),NA(),IFERROR(1*INDEX(BBG_Data!$L$2:$L$4000,MATCH($A123,BBG_Data!$K$2:$K$4000,0)),NA()))</f>
        <v/>
      </c>
      <c r="S123" s="20">
        <f>IF(AND(ISNUMBER(B123),ISNUMBER(Q123),ISNUMBER(R123)),(B123-Q123-R123)*100,NA())</f>
        <v/>
      </c>
      <c r="T123" s="20">
        <f>IF(AND(ISNUMBER(B123),Settings!$B$17&gt;0),IF(ISNUMBER(INDEX($B:$B,Settings!$B$17)),(B123-INDEX($B:$B,Settings!$B$17))*100,NA()),NA())</f>
        <v/>
      </c>
      <c r="U123" s="20">
        <f>IF(AND(ISNUMBER(Q123),Settings!$B$17&gt;0),IF(ISNUMBER(INDEX($Q:$Q,Settings!$B$17)),(Q123-INDEX($Q:$Q,Settings!$B$17))*100,NA()),NA())</f>
        <v/>
      </c>
      <c r="V123" s="20">
        <f>IF(AND(ISNUMBER(R123),Settings!$B$17&gt;0),IF(ISNUMBER(INDEX($R:$R,Settings!$B$17)),(R123-INDEX($R:$R,Settings!$B$17))*100,NA()),NA())</f>
        <v/>
      </c>
      <c r="W123" s="20">
        <f>IF(AND(ISNUMBER(P123),Settings!$B$17&gt;0),IF(ISNUMBER(INDEX($P:$P,Settings!$B$17)),P123-INDEX($P:$P,Settings!$B$17),NA()),NA())</f>
        <v/>
      </c>
      <c r="X123" s="19">
        <f>IF(NOT(ISNUMBER($A123)),NA(),IF(OR($A123&lt;MIN(DKW_10Y!$A$2:$A$2918),$A123&gt;MAX(DKW_10Y!$A$2:$A$2918),Settings!$B$16&lt;MIN(DKW_10Y!$A$2:$A$2918)),NA(),(INDEX(DKW_10Y!$B$2:$B$2918,MATCH($A123,DKW_10Y!$A$2:$A$2918,1))-INDEX(DKW_10Y!$B$2:$B$2918,MATCH(Settings!$B$16,DKW_10Y!$A$2:$A$2918,1)))*100))</f>
        <v/>
      </c>
      <c r="Y123" s="19">
        <f>IF(NOT(ISNUMBER($A123)),NA(),IF(OR($A123&lt;MIN(DKW_10Y!$A$2:$A$2918),$A123&gt;MAX(DKW_10Y!$A$2:$A$2918),Settings!$B$16&lt;MIN(DKW_10Y!$A$2:$A$2918)),NA(),(INDEX(DKW_10Y!$C$2:$C$2918,MATCH($A123,DKW_10Y!$A$2:$A$2918,1))-INDEX(DKW_10Y!$C$2:$C$2918,MATCH(Settings!$B$16,DKW_10Y!$A$2:$A$2918,1)))*100))</f>
        <v/>
      </c>
      <c r="Z123" s="19">
        <f>IF(NOT(ISNUMBER($A123)),NA(),IF(OR($A123&lt;MIN(DKW_10Y!$A$2:$A$2918),$A123&gt;MAX(DKW_10Y!$A$2:$A$2918),Settings!$B$16&lt;MIN(DKW_10Y!$A$2:$A$2918)),NA(),(INDEX(DKW_10Y!$D$2:$D$2918,MATCH($A123,DKW_10Y!$A$2:$A$2918,1))-INDEX(DKW_10Y!$D$2:$D$2918,MATCH(Settings!$B$16,DKW_10Y!$A$2:$A$2918,1)))*100))</f>
        <v/>
      </c>
      <c r="AA123" s="19">
        <f>IF(NOT(ISNUMBER($A123)),NA(),IF(OR($A123&lt;MIN(DKW_10Y!$A$2:$A$2918),$A123&gt;MAX(DKW_10Y!$A$2:$A$2918),Settings!$B$16&lt;MIN(DKW_10Y!$A$2:$A$2918)),NA(),(INDEX(DKW_10Y!$E$2:$E$2918,MATCH($A123,DKW_10Y!$A$2:$A$2918,1))-INDEX(DKW_10Y!$E$2:$E$2918,MATCH(Settings!$B$16,DKW_10Y!$A$2:$A$2918,1)))*100))</f>
        <v/>
      </c>
      <c r="AB123" s="19">
        <f>IF(NOT(ISNUMBER($A123)),NA(),IF(OR($A123&lt;MIN(DKW_10Y!$A$2:$A$2918),$A123&gt;MAX(DKW_10Y!$A$2:$A$2918),Settings!$B$16&lt;MIN(DKW_10Y!$A$2:$A$2918)),NA(),(INDEX(DKW_10Y!$H$2:$H$2918,MATCH($A123,DKW_10Y!$A$2:$A$2918,1))-INDEX(DKW_10Y!$H$2:$H$2918,MATCH(Settings!$B$16,DKW_10Y!$A$2:$A$2918,1)))*100))</f>
        <v/>
      </c>
      <c r="AC123" s="18">
        <f>IF(NOT(ISNUMBER($A123)),NA(),IFERROR(1*INDEX(BBG_Data!$N$2:$N$4000,MATCH($A123,BBG_Data!$M$2:$M$4000,0)),NA()))</f>
        <v/>
      </c>
      <c r="AD123" s="18">
        <f>IF(NOT(ISNUMBER($A123)),NA(),IFERROR(1*INDEX(BBG_Data!$P$2:$P$4000,MATCH($A123,BBG_Data!$O$2:$O$4000,0)),NA()))</f>
        <v/>
      </c>
      <c r="AE123" s="18">
        <f>IF(NOT(ISNUMBER($A123)),NA(),IFERROR(1*INDEX(BBG_Data!$R$2:$R$4000,MATCH($A123,BBG_Data!$Q$2:$Q$4000,0)),NA()))</f>
        <v/>
      </c>
      <c r="AF123" s="20">
        <f>IF(AND(ISNUMBER(B123),ISNUMBER(AC123)),(B123-AC123)*100,NA())</f>
        <v/>
      </c>
      <c r="AG123" s="20">
        <f>IF(AND(ISNUMBER(AE123),ISNUMBER(AD123)),(AE123-AD123)*100,NA())</f>
        <v/>
      </c>
      <c r="AH123" s="19">
        <f>IF(NOT(ISNUMBER($A123)),NA(),IFERROR(INDEX(BBG_Data!$T$2:$T$4000,MATCH($A123,BBG_Data!$S$2:$S$4000,0))*Settings!$B$25,NA()))</f>
        <v/>
      </c>
      <c r="AI123" s="19">
        <f>IF(NOT(ISNUMBER($A123)),NA(),IFERROR(INDEX(BBG_Data!$V$2:$V$4000,MATCH($A123,BBG_Data!$U$2:$U$4000,0))*Settings!$B$25,NA()))</f>
        <v/>
      </c>
      <c r="AJ123" s="19">
        <f>IF(NOT(ISNUMBER($A123)),NA(),IFERROR(1*INDEX(BBG_Data!$X$2:$X$4000,MATCH($A123,BBG_Data!$W$2:$W$4000,0)),NA()))</f>
        <v/>
      </c>
      <c r="AK123" s="19">
        <f>IF(NOT(ISNUMBER($A123)),NA(),IFERROR(1*INDEX(BBG_Data!$Z$2:$Z$4000,MATCH($A123,BBG_Data!$Y$2:$Y$4000,0)),NA()))</f>
        <v/>
      </c>
    </row>
    <row r="124">
      <c r="A124" s="17">
        <f>IF(ISNUMBER(BBG_Data!A124),BBG_Data!A124,"")</f>
        <v/>
      </c>
      <c r="B124" s="18">
        <f>IF(AND(ISNUMBER($A124),ISNUMBER(BBG_Data!B124)),BBG_Data!B124,NA())</f>
        <v/>
      </c>
      <c r="C124" s="18">
        <f>IF(NOT(ISNUMBER($A124)),NA(),IFERROR(1*INDEX(BBG_Data!$D$2:$D$4000,MATCH($A124,BBG_Data!$C$2:$C$4000,0)),NA()))</f>
        <v/>
      </c>
      <c r="D124" s="19">
        <f>IF(NOT(ISNUMBER($A124)),NA(),IFERROR(1*INDEX(BBG_Data!$F$2:$F$4000,MATCH($A124,BBG_Data!$E$2:$E$4000,0)),NA()))</f>
        <v/>
      </c>
      <c r="E124" s="19">
        <f>IF(NOT(ISNUMBER($A124)),NA(),IFERROR(1*INDEX(BBG_Data!$H$2:$H$4000,MATCH($A124,BBG_Data!$G$2:$G$4000,0)),NA()))</f>
        <v/>
      </c>
      <c r="F124" s="20">
        <f>IF(AND(ISNUMBER(B124),ISNUMBER(B123)),IF(B124=B123,"",(B124-B123)*100),"")</f>
        <v/>
      </c>
      <c r="G124" s="20">
        <f>IF(AND(ISNUMBER(C124),ISNUMBER(C123)),IF(C124=C123,"",(C124-C123)*100),"")</f>
        <v/>
      </c>
      <c r="H124" s="20">
        <f>IF(OR(NOT(ISNUMBER($A124)),ROW()-2&lt;Settings!$B$11),NA(),IF(COUNT(OFFSET(F124,1-Settings!$B$11,0,Settings!$B$11,1))&lt;ROUNDUP(Settings!$B$11*Settings!$B$26,0),NA(),STDEV(OFFSET(F124,1-Settings!$B$11,0,Settings!$B$11,1))*SQRT(Settings!$B$13)))</f>
        <v/>
      </c>
      <c r="I124" s="20">
        <f>IF(OR(NOT(ISNUMBER($A124)),ROW()-2&lt;Settings!$B$12),NA(),IF(COUNT(OFFSET(F124,1-Settings!$B$12,0,Settings!$B$12,1))&lt;ROUNDUP(Settings!$B$12*Settings!$B$26,0),NA(),STDEV(OFFSET(F124,1-Settings!$B$12,0,Settings!$B$12,1))*SQRT(Settings!$B$13)))</f>
        <v/>
      </c>
      <c r="J124" s="20">
        <f>IF(OR(NOT(ISNUMBER($A124)),ROW()-2&lt;Settings!$B$11),NA(),IF(COUNT(OFFSET(G124,1-Settings!$B$11,0,Settings!$B$11,1))&lt;ROUNDUP(Settings!$B$11*Settings!$B$26,0),NA(),STDEV(OFFSET(G124,1-Settings!$B$11,0,Settings!$B$11,1))*SQRT(Settings!$B$13)))</f>
        <v/>
      </c>
      <c r="K124" s="20">
        <f>IF(OR(NOT(ISNUMBER($A124)),ROW()-2&lt;Settings!$B$12),NA(),IF(COUNT(OFFSET(G124,1-Settings!$B$12,0,Settings!$B$12,1))&lt;ROUNDUP(Settings!$B$12*Settings!$B$26,0),NA(),STDEV(OFFSET(G124,1-Settings!$B$12,0,Settings!$B$12,1))*SQRT(Settings!$B$13)))</f>
        <v/>
      </c>
      <c r="L124" s="20">
        <f>IF(AND(ISNUMBER(D124),ISNUMBER(H124)),D124-H124,NA())</f>
        <v/>
      </c>
      <c r="M124" s="20">
        <f>IF(AND(ISNUMBER(E124),ISNUMBER(K124)),E124-K124,NA())</f>
        <v/>
      </c>
      <c r="N124" s="20">
        <f>IF(NOT(ISNUMBER($A124)),NA(),IF(COUNT(OFFSET(G124,1,0,Settings!$B$12,1))&lt;ROUNDUP(Settings!$B$12*Settings!$B$26,0),NA(),STDEV(OFFSET(G124,1,0,Settings!$B$12,1))*SQRT(Settings!$B$13)))</f>
        <v/>
      </c>
      <c r="O124" s="20">
        <f>IF(AND(ISNUMBER(E124),ISNUMBER(N124)),E124-N124,NA())</f>
        <v/>
      </c>
      <c r="P124" s="19">
        <f>IF(NOT(ISNUMBER($A124)),NA(),IF(OR($A124&lt;MIN(KW_TP!$A$2:$A$2501),$A124&gt;MAX(KW_TP!$A$2:$A$2501)),NA(),INDEX(KW_TP!$C$2:$C$2501,MATCH($A124,KW_TP!$A$2:$A$2501,1))))</f>
        <v/>
      </c>
      <c r="Q124" s="18">
        <f>IF(NOT(ISNUMBER($A124)),NA(),IFERROR(1*INDEX(BBG_Data!$J$2:$J$4000,MATCH($A124,BBG_Data!$I$2:$I$4000,0)),NA()))</f>
        <v/>
      </c>
      <c r="R124" s="18">
        <f>IF(NOT(ISNUMBER($A124)),NA(),IFERROR(1*INDEX(BBG_Data!$L$2:$L$4000,MATCH($A124,BBG_Data!$K$2:$K$4000,0)),NA()))</f>
        <v/>
      </c>
      <c r="S124" s="20">
        <f>IF(AND(ISNUMBER(B124),ISNUMBER(Q124),ISNUMBER(R124)),(B124-Q124-R124)*100,NA())</f>
        <v/>
      </c>
      <c r="T124" s="20">
        <f>IF(AND(ISNUMBER(B124),Settings!$B$17&gt;0),IF(ISNUMBER(INDEX($B:$B,Settings!$B$17)),(B124-INDEX($B:$B,Settings!$B$17))*100,NA()),NA())</f>
        <v/>
      </c>
      <c r="U124" s="20">
        <f>IF(AND(ISNUMBER(Q124),Settings!$B$17&gt;0),IF(ISNUMBER(INDEX($Q:$Q,Settings!$B$17)),(Q124-INDEX($Q:$Q,Settings!$B$17))*100,NA()),NA())</f>
        <v/>
      </c>
      <c r="V124" s="20">
        <f>IF(AND(ISNUMBER(R124),Settings!$B$17&gt;0),IF(ISNUMBER(INDEX($R:$R,Settings!$B$17)),(R124-INDEX($R:$R,Settings!$B$17))*100,NA()),NA())</f>
        <v/>
      </c>
      <c r="W124" s="20">
        <f>IF(AND(ISNUMBER(P124),Settings!$B$17&gt;0),IF(ISNUMBER(INDEX($P:$P,Settings!$B$17)),P124-INDEX($P:$P,Settings!$B$17),NA()),NA())</f>
        <v/>
      </c>
      <c r="X124" s="19">
        <f>IF(NOT(ISNUMBER($A124)),NA(),IF(OR($A124&lt;MIN(DKW_10Y!$A$2:$A$2918),$A124&gt;MAX(DKW_10Y!$A$2:$A$2918),Settings!$B$16&lt;MIN(DKW_10Y!$A$2:$A$2918)),NA(),(INDEX(DKW_10Y!$B$2:$B$2918,MATCH($A124,DKW_10Y!$A$2:$A$2918,1))-INDEX(DKW_10Y!$B$2:$B$2918,MATCH(Settings!$B$16,DKW_10Y!$A$2:$A$2918,1)))*100))</f>
        <v/>
      </c>
      <c r="Y124" s="19">
        <f>IF(NOT(ISNUMBER($A124)),NA(),IF(OR($A124&lt;MIN(DKW_10Y!$A$2:$A$2918),$A124&gt;MAX(DKW_10Y!$A$2:$A$2918),Settings!$B$16&lt;MIN(DKW_10Y!$A$2:$A$2918)),NA(),(INDEX(DKW_10Y!$C$2:$C$2918,MATCH($A124,DKW_10Y!$A$2:$A$2918,1))-INDEX(DKW_10Y!$C$2:$C$2918,MATCH(Settings!$B$16,DKW_10Y!$A$2:$A$2918,1)))*100))</f>
        <v/>
      </c>
      <c r="Z124" s="19">
        <f>IF(NOT(ISNUMBER($A124)),NA(),IF(OR($A124&lt;MIN(DKW_10Y!$A$2:$A$2918),$A124&gt;MAX(DKW_10Y!$A$2:$A$2918),Settings!$B$16&lt;MIN(DKW_10Y!$A$2:$A$2918)),NA(),(INDEX(DKW_10Y!$D$2:$D$2918,MATCH($A124,DKW_10Y!$A$2:$A$2918,1))-INDEX(DKW_10Y!$D$2:$D$2918,MATCH(Settings!$B$16,DKW_10Y!$A$2:$A$2918,1)))*100))</f>
        <v/>
      </c>
      <c r="AA124" s="19">
        <f>IF(NOT(ISNUMBER($A124)),NA(),IF(OR($A124&lt;MIN(DKW_10Y!$A$2:$A$2918),$A124&gt;MAX(DKW_10Y!$A$2:$A$2918),Settings!$B$16&lt;MIN(DKW_10Y!$A$2:$A$2918)),NA(),(INDEX(DKW_10Y!$E$2:$E$2918,MATCH($A124,DKW_10Y!$A$2:$A$2918,1))-INDEX(DKW_10Y!$E$2:$E$2918,MATCH(Settings!$B$16,DKW_10Y!$A$2:$A$2918,1)))*100))</f>
        <v/>
      </c>
      <c r="AB124" s="19">
        <f>IF(NOT(ISNUMBER($A124)),NA(),IF(OR($A124&lt;MIN(DKW_10Y!$A$2:$A$2918),$A124&gt;MAX(DKW_10Y!$A$2:$A$2918),Settings!$B$16&lt;MIN(DKW_10Y!$A$2:$A$2918)),NA(),(INDEX(DKW_10Y!$H$2:$H$2918,MATCH($A124,DKW_10Y!$A$2:$A$2918,1))-INDEX(DKW_10Y!$H$2:$H$2918,MATCH(Settings!$B$16,DKW_10Y!$A$2:$A$2918,1)))*100))</f>
        <v/>
      </c>
      <c r="AC124" s="18">
        <f>IF(NOT(ISNUMBER($A124)),NA(),IFERROR(1*INDEX(BBG_Data!$N$2:$N$4000,MATCH($A124,BBG_Data!$M$2:$M$4000,0)),NA()))</f>
        <v/>
      </c>
      <c r="AD124" s="18">
        <f>IF(NOT(ISNUMBER($A124)),NA(),IFERROR(1*INDEX(BBG_Data!$P$2:$P$4000,MATCH($A124,BBG_Data!$O$2:$O$4000,0)),NA()))</f>
        <v/>
      </c>
      <c r="AE124" s="18">
        <f>IF(NOT(ISNUMBER($A124)),NA(),IFERROR(1*INDEX(BBG_Data!$R$2:$R$4000,MATCH($A124,BBG_Data!$Q$2:$Q$4000,0)),NA()))</f>
        <v/>
      </c>
      <c r="AF124" s="20">
        <f>IF(AND(ISNUMBER(B124),ISNUMBER(AC124)),(B124-AC124)*100,NA())</f>
        <v/>
      </c>
      <c r="AG124" s="20">
        <f>IF(AND(ISNUMBER(AE124),ISNUMBER(AD124)),(AE124-AD124)*100,NA())</f>
        <v/>
      </c>
      <c r="AH124" s="19">
        <f>IF(NOT(ISNUMBER($A124)),NA(),IFERROR(INDEX(BBG_Data!$T$2:$T$4000,MATCH($A124,BBG_Data!$S$2:$S$4000,0))*Settings!$B$25,NA()))</f>
        <v/>
      </c>
      <c r="AI124" s="19">
        <f>IF(NOT(ISNUMBER($A124)),NA(),IFERROR(INDEX(BBG_Data!$V$2:$V$4000,MATCH($A124,BBG_Data!$U$2:$U$4000,0))*Settings!$B$25,NA()))</f>
        <v/>
      </c>
      <c r="AJ124" s="19">
        <f>IF(NOT(ISNUMBER($A124)),NA(),IFERROR(1*INDEX(BBG_Data!$X$2:$X$4000,MATCH($A124,BBG_Data!$W$2:$W$4000,0)),NA()))</f>
        <v/>
      </c>
      <c r="AK124" s="19">
        <f>IF(NOT(ISNUMBER($A124)),NA(),IFERROR(1*INDEX(BBG_Data!$Z$2:$Z$4000,MATCH($A124,BBG_Data!$Y$2:$Y$4000,0)),NA()))</f>
        <v/>
      </c>
    </row>
    <row r="125">
      <c r="A125" s="17">
        <f>IF(ISNUMBER(BBG_Data!A125),BBG_Data!A125,"")</f>
        <v/>
      </c>
      <c r="B125" s="18">
        <f>IF(AND(ISNUMBER($A125),ISNUMBER(BBG_Data!B125)),BBG_Data!B125,NA())</f>
        <v/>
      </c>
      <c r="C125" s="18">
        <f>IF(NOT(ISNUMBER($A125)),NA(),IFERROR(1*INDEX(BBG_Data!$D$2:$D$4000,MATCH($A125,BBG_Data!$C$2:$C$4000,0)),NA()))</f>
        <v/>
      </c>
      <c r="D125" s="19">
        <f>IF(NOT(ISNUMBER($A125)),NA(),IFERROR(1*INDEX(BBG_Data!$F$2:$F$4000,MATCH($A125,BBG_Data!$E$2:$E$4000,0)),NA()))</f>
        <v/>
      </c>
      <c r="E125" s="19">
        <f>IF(NOT(ISNUMBER($A125)),NA(),IFERROR(1*INDEX(BBG_Data!$H$2:$H$4000,MATCH($A125,BBG_Data!$G$2:$G$4000,0)),NA()))</f>
        <v/>
      </c>
      <c r="F125" s="20">
        <f>IF(AND(ISNUMBER(B125),ISNUMBER(B124)),IF(B125=B124,"",(B125-B124)*100),"")</f>
        <v/>
      </c>
      <c r="G125" s="20">
        <f>IF(AND(ISNUMBER(C125),ISNUMBER(C124)),IF(C125=C124,"",(C125-C124)*100),"")</f>
        <v/>
      </c>
      <c r="H125" s="20">
        <f>IF(OR(NOT(ISNUMBER($A125)),ROW()-2&lt;Settings!$B$11),NA(),IF(COUNT(OFFSET(F125,1-Settings!$B$11,0,Settings!$B$11,1))&lt;ROUNDUP(Settings!$B$11*Settings!$B$26,0),NA(),STDEV(OFFSET(F125,1-Settings!$B$11,0,Settings!$B$11,1))*SQRT(Settings!$B$13)))</f>
        <v/>
      </c>
      <c r="I125" s="20">
        <f>IF(OR(NOT(ISNUMBER($A125)),ROW()-2&lt;Settings!$B$12),NA(),IF(COUNT(OFFSET(F125,1-Settings!$B$12,0,Settings!$B$12,1))&lt;ROUNDUP(Settings!$B$12*Settings!$B$26,0),NA(),STDEV(OFFSET(F125,1-Settings!$B$12,0,Settings!$B$12,1))*SQRT(Settings!$B$13)))</f>
        <v/>
      </c>
      <c r="J125" s="20">
        <f>IF(OR(NOT(ISNUMBER($A125)),ROW()-2&lt;Settings!$B$11),NA(),IF(COUNT(OFFSET(G125,1-Settings!$B$11,0,Settings!$B$11,1))&lt;ROUNDUP(Settings!$B$11*Settings!$B$26,0),NA(),STDEV(OFFSET(G125,1-Settings!$B$11,0,Settings!$B$11,1))*SQRT(Settings!$B$13)))</f>
        <v/>
      </c>
      <c r="K125" s="20">
        <f>IF(OR(NOT(ISNUMBER($A125)),ROW()-2&lt;Settings!$B$12),NA(),IF(COUNT(OFFSET(G125,1-Settings!$B$12,0,Settings!$B$12,1))&lt;ROUNDUP(Settings!$B$12*Settings!$B$26,0),NA(),STDEV(OFFSET(G125,1-Settings!$B$12,0,Settings!$B$12,1))*SQRT(Settings!$B$13)))</f>
        <v/>
      </c>
      <c r="L125" s="20">
        <f>IF(AND(ISNUMBER(D125),ISNUMBER(H125)),D125-H125,NA())</f>
        <v/>
      </c>
      <c r="M125" s="20">
        <f>IF(AND(ISNUMBER(E125),ISNUMBER(K125)),E125-K125,NA())</f>
        <v/>
      </c>
      <c r="N125" s="20">
        <f>IF(NOT(ISNUMBER($A125)),NA(),IF(COUNT(OFFSET(G125,1,0,Settings!$B$12,1))&lt;ROUNDUP(Settings!$B$12*Settings!$B$26,0),NA(),STDEV(OFFSET(G125,1,0,Settings!$B$12,1))*SQRT(Settings!$B$13)))</f>
        <v/>
      </c>
      <c r="O125" s="20">
        <f>IF(AND(ISNUMBER(E125),ISNUMBER(N125)),E125-N125,NA())</f>
        <v/>
      </c>
      <c r="P125" s="19">
        <f>IF(NOT(ISNUMBER($A125)),NA(),IF(OR($A125&lt;MIN(KW_TP!$A$2:$A$2501),$A125&gt;MAX(KW_TP!$A$2:$A$2501)),NA(),INDEX(KW_TP!$C$2:$C$2501,MATCH($A125,KW_TP!$A$2:$A$2501,1))))</f>
        <v/>
      </c>
      <c r="Q125" s="18">
        <f>IF(NOT(ISNUMBER($A125)),NA(),IFERROR(1*INDEX(BBG_Data!$J$2:$J$4000,MATCH($A125,BBG_Data!$I$2:$I$4000,0)),NA()))</f>
        <v/>
      </c>
      <c r="R125" s="18">
        <f>IF(NOT(ISNUMBER($A125)),NA(),IFERROR(1*INDEX(BBG_Data!$L$2:$L$4000,MATCH($A125,BBG_Data!$K$2:$K$4000,0)),NA()))</f>
        <v/>
      </c>
      <c r="S125" s="20">
        <f>IF(AND(ISNUMBER(B125),ISNUMBER(Q125),ISNUMBER(R125)),(B125-Q125-R125)*100,NA())</f>
        <v/>
      </c>
      <c r="T125" s="20">
        <f>IF(AND(ISNUMBER(B125),Settings!$B$17&gt;0),IF(ISNUMBER(INDEX($B:$B,Settings!$B$17)),(B125-INDEX($B:$B,Settings!$B$17))*100,NA()),NA())</f>
        <v/>
      </c>
      <c r="U125" s="20">
        <f>IF(AND(ISNUMBER(Q125),Settings!$B$17&gt;0),IF(ISNUMBER(INDEX($Q:$Q,Settings!$B$17)),(Q125-INDEX($Q:$Q,Settings!$B$17))*100,NA()),NA())</f>
        <v/>
      </c>
      <c r="V125" s="20">
        <f>IF(AND(ISNUMBER(R125),Settings!$B$17&gt;0),IF(ISNUMBER(INDEX($R:$R,Settings!$B$17)),(R125-INDEX($R:$R,Settings!$B$17))*100,NA()),NA())</f>
        <v/>
      </c>
      <c r="W125" s="20">
        <f>IF(AND(ISNUMBER(P125),Settings!$B$17&gt;0),IF(ISNUMBER(INDEX($P:$P,Settings!$B$17)),P125-INDEX($P:$P,Settings!$B$17),NA()),NA())</f>
        <v/>
      </c>
      <c r="X125" s="19">
        <f>IF(NOT(ISNUMBER($A125)),NA(),IF(OR($A125&lt;MIN(DKW_10Y!$A$2:$A$2918),$A125&gt;MAX(DKW_10Y!$A$2:$A$2918),Settings!$B$16&lt;MIN(DKW_10Y!$A$2:$A$2918)),NA(),(INDEX(DKW_10Y!$B$2:$B$2918,MATCH($A125,DKW_10Y!$A$2:$A$2918,1))-INDEX(DKW_10Y!$B$2:$B$2918,MATCH(Settings!$B$16,DKW_10Y!$A$2:$A$2918,1)))*100))</f>
        <v/>
      </c>
      <c r="Y125" s="19">
        <f>IF(NOT(ISNUMBER($A125)),NA(),IF(OR($A125&lt;MIN(DKW_10Y!$A$2:$A$2918),$A125&gt;MAX(DKW_10Y!$A$2:$A$2918),Settings!$B$16&lt;MIN(DKW_10Y!$A$2:$A$2918)),NA(),(INDEX(DKW_10Y!$C$2:$C$2918,MATCH($A125,DKW_10Y!$A$2:$A$2918,1))-INDEX(DKW_10Y!$C$2:$C$2918,MATCH(Settings!$B$16,DKW_10Y!$A$2:$A$2918,1)))*100))</f>
        <v/>
      </c>
      <c r="Z125" s="19">
        <f>IF(NOT(ISNUMBER($A125)),NA(),IF(OR($A125&lt;MIN(DKW_10Y!$A$2:$A$2918),$A125&gt;MAX(DKW_10Y!$A$2:$A$2918),Settings!$B$16&lt;MIN(DKW_10Y!$A$2:$A$2918)),NA(),(INDEX(DKW_10Y!$D$2:$D$2918,MATCH($A125,DKW_10Y!$A$2:$A$2918,1))-INDEX(DKW_10Y!$D$2:$D$2918,MATCH(Settings!$B$16,DKW_10Y!$A$2:$A$2918,1)))*100))</f>
        <v/>
      </c>
      <c r="AA125" s="19">
        <f>IF(NOT(ISNUMBER($A125)),NA(),IF(OR($A125&lt;MIN(DKW_10Y!$A$2:$A$2918),$A125&gt;MAX(DKW_10Y!$A$2:$A$2918),Settings!$B$16&lt;MIN(DKW_10Y!$A$2:$A$2918)),NA(),(INDEX(DKW_10Y!$E$2:$E$2918,MATCH($A125,DKW_10Y!$A$2:$A$2918,1))-INDEX(DKW_10Y!$E$2:$E$2918,MATCH(Settings!$B$16,DKW_10Y!$A$2:$A$2918,1)))*100))</f>
        <v/>
      </c>
      <c r="AB125" s="19">
        <f>IF(NOT(ISNUMBER($A125)),NA(),IF(OR($A125&lt;MIN(DKW_10Y!$A$2:$A$2918),$A125&gt;MAX(DKW_10Y!$A$2:$A$2918),Settings!$B$16&lt;MIN(DKW_10Y!$A$2:$A$2918)),NA(),(INDEX(DKW_10Y!$H$2:$H$2918,MATCH($A125,DKW_10Y!$A$2:$A$2918,1))-INDEX(DKW_10Y!$H$2:$H$2918,MATCH(Settings!$B$16,DKW_10Y!$A$2:$A$2918,1)))*100))</f>
        <v/>
      </c>
      <c r="AC125" s="18">
        <f>IF(NOT(ISNUMBER($A125)),NA(),IFERROR(1*INDEX(BBG_Data!$N$2:$N$4000,MATCH($A125,BBG_Data!$M$2:$M$4000,0)),NA()))</f>
        <v/>
      </c>
      <c r="AD125" s="18">
        <f>IF(NOT(ISNUMBER($A125)),NA(),IFERROR(1*INDEX(BBG_Data!$P$2:$P$4000,MATCH($A125,BBG_Data!$O$2:$O$4000,0)),NA()))</f>
        <v/>
      </c>
      <c r="AE125" s="18">
        <f>IF(NOT(ISNUMBER($A125)),NA(),IFERROR(1*INDEX(BBG_Data!$R$2:$R$4000,MATCH($A125,BBG_Data!$Q$2:$Q$4000,0)),NA()))</f>
        <v/>
      </c>
      <c r="AF125" s="20">
        <f>IF(AND(ISNUMBER(B125),ISNUMBER(AC125)),(B125-AC125)*100,NA())</f>
        <v/>
      </c>
      <c r="AG125" s="20">
        <f>IF(AND(ISNUMBER(AE125),ISNUMBER(AD125)),(AE125-AD125)*100,NA())</f>
        <v/>
      </c>
      <c r="AH125" s="19">
        <f>IF(NOT(ISNUMBER($A125)),NA(),IFERROR(INDEX(BBG_Data!$T$2:$T$4000,MATCH($A125,BBG_Data!$S$2:$S$4000,0))*Settings!$B$25,NA()))</f>
        <v/>
      </c>
      <c r="AI125" s="19">
        <f>IF(NOT(ISNUMBER($A125)),NA(),IFERROR(INDEX(BBG_Data!$V$2:$V$4000,MATCH($A125,BBG_Data!$U$2:$U$4000,0))*Settings!$B$25,NA()))</f>
        <v/>
      </c>
      <c r="AJ125" s="19">
        <f>IF(NOT(ISNUMBER($A125)),NA(),IFERROR(1*INDEX(BBG_Data!$X$2:$X$4000,MATCH($A125,BBG_Data!$W$2:$W$4000,0)),NA()))</f>
        <v/>
      </c>
      <c r="AK125" s="19">
        <f>IF(NOT(ISNUMBER($A125)),NA(),IFERROR(1*INDEX(BBG_Data!$Z$2:$Z$4000,MATCH($A125,BBG_Data!$Y$2:$Y$4000,0)),NA()))</f>
        <v/>
      </c>
    </row>
    <row r="126">
      <c r="A126" s="17">
        <f>IF(ISNUMBER(BBG_Data!A126),BBG_Data!A126,"")</f>
        <v/>
      </c>
      <c r="B126" s="18">
        <f>IF(AND(ISNUMBER($A126),ISNUMBER(BBG_Data!B126)),BBG_Data!B126,NA())</f>
        <v/>
      </c>
      <c r="C126" s="18">
        <f>IF(NOT(ISNUMBER($A126)),NA(),IFERROR(1*INDEX(BBG_Data!$D$2:$D$4000,MATCH($A126,BBG_Data!$C$2:$C$4000,0)),NA()))</f>
        <v/>
      </c>
      <c r="D126" s="19">
        <f>IF(NOT(ISNUMBER($A126)),NA(),IFERROR(1*INDEX(BBG_Data!$F$2:$F$4000,MATCH($A126,BBG_Data!$E$2:$E$4000,0)),NA()))</f>
        <v/>
      </c>
      <c r="E126" s="19">
        <f>IF(NOT(ISNUMBER($A126)),NA(),IFERROR(1*INDEX(BBG_Data!$H$2:$H$4000,MATCH($A126,BBG_Data!$G$2:$G$4000,0)),NA()))</f>
        <v/>
      </c>
      <c r="F126" s="20">
        <f>IF(AND(ISNUMBER(B126),ISNUMBER(B125)),IF(B126=B125,"",(B126-B125)*100),"")</f>
        <v/>
      </c>
      <c r="G126" s="20">
        <f>IF(AND(ISNUMBER(C126),ISNUMBER(C125)),IF(C126=C125,"",(C126-C125)*100),"")</f>
        <v/>
      </c>
      <c r="H126" s="20">
        <f>IF(OR(NOT(ISNUMBER($A126)),ROW()-2&lt;Settings!$B$11),NA(),IF(COUNT(OFFSET(F126,1-Settings!$B$11,0,Settings!$B$11,1))&lt;ROUNDUP(Settings!$B$11*Settings!$B$26,0),NA(),STDEV(OFFSET(F126,1-Settings!$B$11,0,Settings!$B$11,1))*SQRT(Settings!$B$13)))</f>
        <v/>
      </c>
      <c r="I126" s="20">
        <f>IF(OR(NOT(ISNUMBER($A126)),ROW()-2&lt;Settings!$B$12),NA(),IF(COUNT(OFFSET(F126,1-Settings!$B$12,0,Settings!$B$12,1))&lt;ROUNDUP(Settings!$B$12*Settings!$B$26,0),NA(),STDEV(OFFSET(F126,1-Settings!$B$12,0,Settings!$B$12,1))*SQRT(Settings!$B$13)))</f>
        <v/>
      </c>
      <c r="J126" s="20">
        <f>IF(OR(NOT(ISNUMBER($A126)),ROW()-2&lt;Settings!$B$11),NA(),IF(COUNT(OFFSET(G126,1-Settings!$B$11,0,Settings!$B$11,1))&lt;ROUNDUP(Settings!$B$11*Settings!$B$26,0),NA(),STDEV(OFFSET(G126,1-Settings!$B$11,0,Settings!$B$11,1))*SQRT(Settings!$B$13)))</f>
        <v/>
      </c>
      <c r="K126" s="20">
        <f>IF(OR(NOT(ISNUMBER($A126)),ROW()-2&lt;Settings!$B$12),NA(),IF(COUNT(OFFSET(G126,1-Settings!$B$12,0,Settings!$B$12,1))&lt;ROUNDUP(Settings!$B$12*Settings!$B$26,0),NA(),STDEV(OFFSET(G126,1-Settings!$B$12,0,Settings!$B$12,1))*SQRT(Settings!$B$13)))</f>
        <v/>
      </c>
      <c r="L126" s="20">
        <f>IF(AND(ISNUMBER(D126),ISNUMBER(H126)),D126-H126,NA())</f>
        <v/>
      </c>
      <c r="M126" s="20">
        <f>IF(AND(ISNUMBER(E126),ISNUMBER(K126)),E126-K126,NA())</f>
        <v/>
      </c>
      <c r="N126" s="20">
        <f>IF(NOT(ISNUMBER($A126)),NA(),IF(COUNT(OFFSET(G126,1,0,Settings!$B$12,1))&lt;ROUNDUP(Settings!$B$12*Settings!$B$26,0),NA(),STDEV(OFFSET(G126,1,0,Settings!$B$12,1))*SQRT(Settings!$B$13)))</f>
        <v/>
      </c>
      <c r="O126" s="20">
        <f>IF(AND(ISNUMBER(E126),ISNUMBER(N126)),E126-N126,NA())</f>
        <v/>
      </c>
      <c r="P126" s="19">
        <f>IF(NOT(ISNUMBER($A126)),NA(),IF(OR($A126&lt;MIN(KW_TP!$A$2:$A$2501),$A126&gt;MAX(KW_TP!$A$2:$A$2501)),NA(),INDEX(KW_TP!$C$2:$C$2501,MATCH($A126,KW_TP!$A$2:$A$2501,1))))</f>
        <v/>
      </c>
      <c r="Q126" s="18">
        <f>IF(NOT(ISNUMBER($A126)),NA(),IFERROR(1*INDEX(BBG_Data!$J$2:$J$4000,MATCH($A126,BBG_Data!$I$2:$I$4000,0)),NA()))</f>
        <v/>
      </c>
      <c r="R126" s="18">
        <f>IF(NOT(ISNUMBER($A126)),NA(),IFERROR(1*INDEX(BBG_Data!$L$2:$L$4000,MATCH($A126,BBG_Data!$K$2:$K$4000,0)),NA()))</f>
        <v/>
      </c>
      <c r="S126" s="20">
        <f>IF(AND(ISNUMBER(B126),ISNUMBER(Q126),ISNUMBER(R126)),(B126-Q126-R126)*100,NA())</f>
        <v/>
      </c>
      <c r="T126" s="20">
        <f>IF(AND(ISNUMBER(B126),Settings!$B$17&gt;0),IF(ISNUMBER(INDEX($B:$B,Settings!$B$17)),(B126-INDEX($B:$B,Settings!$B$17))*100,NA()),NA())</f>
        <v/>
      </c>
      <c r="U126" s="20">
        <f>IF(AND(ISNUMBER(Q126),Settings!$B$17&gt;0),IF(ISNUMBER(INDEX($Q:$Q,Settings!$B$17)),(Q126-INDEX($Q:$Q,Settings!$B$17))*100,NA()),NA())</f>
        <v/>
      </c>
      <c r="V126" s="20">
        <f>IF(AND(ISNUMBER(R126),Settings!$B$17&gt;0),IF(ISNUMBER(INDEX($R:$R,Settings!$B$17)),(R126-INDEX($R:$R,Settings!$B$17))*100,NA()),NA())</f>
        <v/>
      </c>
      <c r="W126" s="20">
        <f>IF(AND(ISNUMBER(P126),Settings!$B$17&gt;0),IF(ISNUMBER(INDEX($P:$P,Settings!$B$17)),P126-INDEX($P:$P,Settings!$B$17),NA()),NA())</f>
        <v/>
      </c>
      <c r="X126" s="19">
        <f>IF(NOT(ISNUMBER($A126)),NA(),IF(OR($A126&lt;MIN(DKW_10Y!$A$2:$A$2918),$A126&gt;MAX(DKW_10Y!$A$2:$A$2918),Settings!$B$16&lt;MIN(DKW_10Y!$A$2:$A$2918)),NA(),(INDEX(DKW_10Y!$B$2:$B$2918,MATCH($A126,DKW_10Y!$A$2:$A$2918,1))-INDEX(DKW_10Y!$B$2:$B$2918,MATCH(Settings!$B$16,DKW_10Y!$A$2:$A$2918,1)))*100))</f>
        <v/>
      </c>
      <c r="Y126" s="19">
        <f>IF(NOT(ISNUMBER($A126)),NA(),IF(OR($A126&lt;MIN(DKW_10Y!$A$2:$A$2918),$A126&gt;MAX(DKW_10Y!$A$2:$A$2918),Settings!$B$16&lt;MIN(DKW_10Y!$A$2:$A$2918)),NA(),(INDEX(DKW_10Y!$C$2:$C$2918,MATCH($A126,DKW_10Y!$A$2:$A$2918,1))-INDEX(DKW_10Y!$C$2:$C$2918,MATCH(Settings!$B$16,DKW_10Y!$A$2:$A$2918,1)))*100))</f>
        <v/>
      </c>
      <c r="Z126" s="19">
        <f>IF(NOT(ISNUMBER($A126)),NA(),IF(OR($A126&lt;MIN(DKW_10Y!$A$2:$A$2918),$A126&gt;MAX(DKW_10Y!$A$2:$A$2918),Settings!$B$16&lt;MIN(DKW_10Y!$A$2:$A$2918)),NA(),(INDEX(DKW_10Y!$D$2:$D$2918,MATCH($A126,DKW_10Y!$A$2:$A$2918,1))-INDEX(DKW_10Y!$D$2:$D$2918,MATCH(Settings!$B$16,DKW_10Y!$A$2:$A$2918,1)))*100))</f>
        <v/>
      </c>
      <c r="AA126" s="19">
        <f>IF(NOT(ISNUMBER($A126)),NA(),IF(OR($A126&lt;MIN(DKW_10Y!$A$2:$A$2918),$A126&gt;MAX(DKW_10Y!$A$2:$A$2918),Settings!$B$16&lt;MIN(DKW_10Y!$A$2:$A$2918)),NA(),(INDEX(DKW_10Y!$E$2:$E$2918,MATCH($A126,DKW_10Y!$A$2:$A$2918,1))-INDEX(DKW_10Y!$E$2:$E$2918,MATCH(Settings!$B$16,DKW_10Y!$A$2:$A$2918,1)))*100))</f>
        <v/>
      </c>
      <c r="AB126" s="19">
        <f>IF(NOT(ISNUMBER($A126)),NA(),IF(OR($A126&lt;MIN(DKW_10Y!$A$2:$A$2918),$A126&gt;MAX(DKW_10Y!$A$2:$A$2918),Settings!$B$16&lt;MIN(DKW_10Y!$A$2:$A$2918)),NA(),(INDEX(DKW_10Y!$H$2:$H$2918,MATCH($A126,DKW_10Y!$A$2:$A$2918,1))-INDEX(DKW_10Y!$H$2:$H$2918,MATCH(Settings!$B$16,DKW_10Y!$A$2:$A$2918,1)))*100))</f>
        <v/>
      </c>
      <c r="AC126" s="18">
        <f>IF(NOT(ISNUMBER($A126)),NA(),IFERROR(1*INDEX(BBG_Data!$N$2:$N$4000,MATCH($A126,BBG_Data!$M$2:$M$4000,0)),NA()))</f>
        <v/>
      </c>
      <c r="AD126" s="18">
        <f>IF(NOT(ISNUMBER($A126)),NA(),IFERROR(1*INDEX(BBG_Data!$P$2:$P$4000,MATCH($A126,BBG_Data!$O$2:$O$4000,0)),NA()))</f>
        <v/>
      </c>
      <c r="AE126" s="18">
        <f>IF(NOT(ISNUMBER($A126)),NA(),IFERROR(1*INDEX(BBG_Data!$R$2:$R$4000,MATCH($A126,BBG_Data!$Q$2:$Q$4000,0)),NA()))</f>
        <v/>
      </c>
      <c r="AF126" s="20">
        <f>IF(AND(ISNUMBER(B126),ISNUMBER(AC126)),(B126-AC126)*100,NA())</f>
        <v/>
      </c>
      <c r="AG126" s="20">
        <f>IF(AND(ISNUMBER(AE126),ISNUMBER(AD126)),(AE126-AD126)*100,NA())</f>
        <v/>
      </c>
      <c r="AH126" s="19">
        <f>IF(NOT(ISNUMBER($A126)),NA(),IFERROR(INDEX(BBG_Data!$T$2:$T$4000,MATCH($A126,BBG_Data!$S$2:$S$4000,0))*Settings!$B$25,NA()))</f>
        <v/>
      </c>
      <c r="AI126" s="19">
        <f>IF(NOT(ISNUMBER($A126)),NA(),IFERROR(INDEX(BBG_Data!$V$2:$V$4000,MATCH($A126,BBG_Data!$U$2:$U$4000,0))*Settings!$B$25,NA()))</f>
        <v/>
      </c>
      <c r="AJ126" s="19">
        <f>IF(NOT(ISNUMBER($A126)),NA(),IFERROR(1*INDEX(BBG_Data!$X$2:$X$4000,MATCH($A126,BBG_Data!$W$2:$W$4000,0)),NA()))</f>
        <v/>
      </c>
      <c r="AK126" s="19">
        <f>IF(NOT(ISNUMBER($A126)),NA(),IFERROR(1*INDEX(BBG_Data!$Z$2:$Z$4000,MATCH($A126,BBG_Data!$Y$2:$Y$4000,0)),NA()))</f>
        <v/>
      </c>
    </row>
    <row r="127">
      <c r="A127" s="17">
        <f>IF(ISNUMBER(BBG_Data!A127),BBG_Data!A127,"")</f>
        <v/>
      </c>
      <c r="B127" s="18">
        <f>IF(AND(ISNUMBER($A127),ISNUMBER(BBG_Data!B127)),BBG_Data!B127,NA())</f>
        <v/>
      </c>
      <c r="C127" s="18">
        <f>IF(NOT(ISNUMBER($A127)),NA(),IFERROR(1*INDEX(BBG_Data!$D$2:$D$4000,MATCH($A127,BBG_Data!$C$2:$C$4000,0)),NA()))</f>
        <v/>
      </c>
      <c r="D127" s="19">
        <f>IF(NOT(ISNUMBER($A127)),NA(),IFERROR(1*INDEX(BBG_Data!$F$2:$F$4000,MATCH($A127,BBG_Data!$E$2:$E$4000,0)),NA()))</f>
        <v/>
      </c>
      <c r="E127" s="19">
        <f>IF(NOT(ISNUMBER($A127)),NA(),IFERROR(1*INDEX(BBG_Data!$H$2:$H$4000,MATCH($A127,BBG_Data!$G$2:$G$4000,0)),NA()))</f>
        <v/>
      </c>
      <c r="F127" s="20">
        <f>IF(AND(ISNUMBER(B127),ISNUMBER(B126)),IF(B127=B126,"",(B127-B126)*100),"")</f>
        <v/>
      </c>
      <c r="G127" s="20">
        <f>IF(AND(ISNUMBER(C127),ISNUMBER(C126)),IF(C127=C126,"",(C127-C126)*100),"")</f>
        <v/>
      </c>
      <c r="H127" s="20">
        <f>IF(OR(NOT(ISNUMBER($A127)),ROW()-2&lt;Settings!$B$11),NA(),IF(COUNT(OFFSET(F127,1-Settings!$B$11,0,Settings!$B$11,1))&lt;ROUNDUP(Settings!$B$11*Settings!$B$26,0),NA(),STDEV(OFFSET(F127,1-Settings!$B$11,0,Settings!$B$11,1))*SQRT(Settings!$B$13)))</f>
        <v/>
      </c>
      <c r="I127" s="20">
        <f>IF(OR(NOT(ISNUMBER($A127)),ROW()-2&lt;Settings!$B$12),NA(),IF(COUNT(OFFSET(F127,1-Settings!$B$12,0,Settings!$B$12,1))&lt;ROUNDUP(Settings!$B$12*Settings!$B$26,0),NA(),STDEV(OFFSET(F127,1-Settings!$B$12,0,Settings!$B$12,1))*SQRT(Settings!$B$13)))</f>
        <v/>
      </c>
      <c r="J127" s="20">
        <f>IF(OR(NOT(ISNUMBER($A127)),ROW()-2&lt;Settings!$B$11),NA(),IF(COUNT(OFFSET(G127,1-Settings!$B$11,0,Settings!$B$11,1))&lt;ROUNDUP(Settings!$B$11*Settings!$B$26,0),NA(),STDEV(OFFSET(G127,1-Settings!$B$11,0,Settings!$B$11,1))*SQRT(Settings!$B$13)))</f>
        <v/>
      </c>
      <c r="K127" s="20">
        <f>IF(OR(NOT(ISNUMBER($A127)),ROW()-2&lt;Settings!$B$12),NA(),IF(COUNT(OFFSET(G127,1-Settings!$B$12,0,Settings!$B$12,1))&lt;ROUNDUP(Settings!$B$12*Settings!$B$26,0),NA(),STDEV(OFFSET(G127,1-Settings!$B$12,0,Settings!$B$12,1))*SQRT(Settings!$B$13)))</f>
        <v/>
      </c>
      <c r="L127" s="20">
        <f>IF(AND(ISNUMBER(D127),ISNUMBER(H127)),D127-H127,NA())</f>
        <v/>
      </c>
      <c r="M127" s="20">
        <f>IF(AND(ISNUMBER(E127),ISNUMBER(K127)),E127-K127,NA())</f>
        <v/>
      </c>
      <c r="N127" s="20">
        <f>IF(NOT(ISNUMBER($A127)),NA(),IF(COUNT(OFFSET(G127,1,0,Settings!$B$12,1))&lt;ROUNDUP(Settings!$B$12*Settings!$B$26,0),NA(),STDEV(OFFSET(G127,1,0,Settings!$B$12,1))*SQRT(Settings!$B$13)))</f>
        <v/>
      </c>
      <c r="O127" s="20">
        <f>IF(AND(ISNUMBER(E127),ISNUMBER(N127)),E127-N127,NA())</f>
        <v/>
      </c>
      <c r="P127" s="19">
        <f>IF(NOT(ISNUMBER($A127)),NA(),IF(OR($A127&lt;MIN(KW_TP!$A$2:$A$2501),$A127&gt;MAX(KW_TP!$A$2:$A$2501)),NA(),INDEX(KW_TP!$C$2:$C$2501,MATCH($A127,KW_TP!$A$2:$A$2501,1))))</f>
        <v/>
      </c>
      <c r="Q127" s="18">
        <f>IF(NOT(ISNUMBER($A127)),NA(),IFERROR(1*INDEX(BBG_Data!$J$2:$J$4000,MATCH($A127,BBG_Data!$I$2:$I$4000,0)),NA()))</f>
        <v/>
      </c>
      <c r="R127" s="18">
        <f>IF(NOT(ISNUMBER($A127)),NA(),IFERROR(1*INDEX(BBG_Data!$L$2:$L$4000,MATCH($A127,BBG_Data!$K$2:$K$4000,0)),NA()))</f>
        <v/>
      </c>
      <c r="S127" s="20">
        <f>IF(AND(ISNUMBER(B127),ISNUMBER(Q127),ISNUMBER(R127)),(B127-Q127-R127)*100,NA())</f>
        <v/>
      </c>
      <c r="T127" s="20">
        <f>IF(AND(ISNUMBER(B127),Settings!$B$17&gt;0),IF(ISNUMBER(INDEX($B:$B,Settings!$B$17)),(B127-INDEX($B:$B,Settings!$B$17))*100,NA()),NA())</f>
        <v/>
      </c>
      <c r="U127" s="20">
        <f>IF(AND(ISNUMBER(Q127),Settings!$B$17&gt;0),IF(ISNUMBER(INDEX($Q:$Q,Settings!$B$17)),(Q127-INDEX($Q:$Q,Settings!$B$17))*100,NA()),NA())</f>
        <v/>
      </c>
      <c r="V127" s="20">
        <f>IF(AND(ISNUMBER(R127),Settings!$B$17&gt;0),IF(ISNUMBER(INDEX($R:$R,Settings!$B$17)),(R127-INDEX($R:$R,Settings!$B$17))*100,NA()),NA())</f>
        <v/>
      </c>
      <c r="W127" s="20">
        <f>IF(AND(ISNUMBER(P127),Settings!$B$17&gt;0),IF(ISNUMBER(INDEX($P:$P,Settings!$B$17)),P127-INDEX($P:$P,Settings!$B$17),NA()),NA())</f>
        <v/>
      </c>
      <c r="X127" s="19">
        <f>IF(NOT(ISNUMBER($A127)),NA(),IF(OR($A127&lt;MIN(DKW_10Y!$A$2:$A$2918),$A127&gt;MAX(DKW_10Y!$A$2:$A$2918),Settings!$B$16&lt;MIN(DKW_10Y!$A$2:$A$2918)),NA(),(INDEX(DKW_10Y!$B$2:$B$2918,MATCH($A127,DKW_10Y!$A$2:$A$2918,1))-INDEX(DKW_10Y!$B$2:$B$2918,MATCH(Settings!$B$16,DKW_10Y!$A$2:$A$2918,1)))*100))</f>
        <v/>
      </c>
      <c r="Y127" s="19">
        <f>IF(NOT(ISNUMBER($A127)),NA(),IF(OR($A127&lt;MIN(DKW_10Y!$A$2:$A$2918),$A127&gt;MAX(DKW_10Y!$A$2:$A$2918),Settings!$B$16&lt;MIN(DKW_10Y!$A$2:$A$2918)),NA(),(INDEX(DKW_10Y!$C$2:$C$2918,MATCH($A127,DKW_10Y!$A$2:$A$2918,1))-INDEX(DKW_10Y!$C$2:$C$2918,MATCH(Settings!$B$16,DKW_10Y!$A$2:$A$2918,1)))*100))</f>
        <v/>
      </c>
      <c r="Z127" s="19">
        <f>IF(NOT(ISNUMBER($A127)),NA(),IF(OR($A127&lt;MIN(DKW_10Y!$A$2:$A$2918),$A127&gt;MAX(DKW_10Y!$A$2:$A$2918),Settings!$B$16&lt;MIN(DKW_10Y!$A$2:$A$2918)),NA(),(INDEX(DKW_10Y!$D$2:$D$2918,MATCH($A127,DKW_10Y!$A$2:$A$2918,1))-INDEX(DKW_10Y!$D$2:$D$2918,MATCH(Settings!$B$16,DKW_10Y!$A$2:$A$2918,1)))*100))</f>
        <v/>
      </c>
      <c r="AA127" s="19">
        <f>IF(NOT(ISNUMBER($A127)),NA(),IF(OR($A127&lt;MIN(DKW_10Y!$A$2:$A$2918),$A127&gt;MAX(DKW_10Y!$A$2:$A$2918),Settings!$B$16&lt;MIN(DKW_10Y!$A$2:$A$2918)),NA(),(INDEX(DKW_10Y!$E$2:$E$2918,MATCH($A127,DKW_10Y!$A$2:$A$2918,1))-INDEX(DKW_10Y!$E$2:$E$2918,MATCH(Settings!$B$16,DKW_10Y!$A$2:$A$2918,1)))*100))</f>
        <v/>
      </c>
      <c r="AB127" s="19">
        <f>IF(NOT(ISNUMBER($A127)),NA(),IF(OR($A127&lt;MIN(DKW_10Y!$A$2:$A$2918),$A127&gt;MAX(DKW_10Y!$A$2:$A$2918),Settings!$B$16&lt;MIN(DKW_10Y!$A$2:$A$2918)),NA(),(INDEX(DKW_10Y!$H$2:$H$2918,MATCH($A127,DKW_10Y!$A$2:$A$2918,1))-INDEX(DKW_10Y!$H$2:$H$2918,MATCH(Settings!$B$16,DKW_10Y!$A$2:$A$2918,1)))*100))</f>
        <v/>
      </c>
      <c r="AC127" s="18">
        <f>IF(NOT(ISNUMBER($A127)),NA(),IFERROR(1*INDEX(BBG_Data!$N$2:$N$4000,MATCH($A127,BBG_Data!$M$2:$M$4000,0)),NA()))</f>
        <v/>
      </c>
      <c r="AD127" s="18">
        <f>IF(NOT(ISNUMBER($A127)),NA(),IFERROR(1*INDEX(BBG_Data!$P$2:$P$4000,MATCH($A127,BBG_Data!$O$2:$O$4000,0)),NA()))</f>
        <v/>
      </c>
      <c r="AE127" s="18">
        <f>IF(NOT(ISNUMBER($A127)),NA(),IFERROR(1*INDEX(BBG_Data!$R$2:$R$4000,MATCH($A127,BBG_Data!$Q$2:$Q$4000,0)),NA()))</f>
        <v/>
      </c>
      <c r="AF127" s="20">
        <f>IF(AND(ISNUMBER(B127),ISNUMBER(AC127)),(B127-AC127)*100,NA())</f>
        <v/>
      </c>
      <c r="AG127" s="20">
        <f>IF(AND(ISNUMBER(AE127),ISNUMBER(AD127)),(AE127-AD127)*100,NA())</f>
        <v/>
      </c>
      <c r="AH127" s="19">
        <f>IF(NOT(ISNUMBER($A127)),NA(),IFERROR(INDEX(BBG_Data!$T$2:$T$4000,MATCH($A127,BBG_Data!$S$2:$S$4000,0))*Settings!$B$25,NA()))</f>
        <v/>
      </c>
      <c r="AI127" s="19">
        <f>IF(NOT(ISNUMBER($A127)),NA(),IFERROR(INDEX(BBG_Data!$V$2:$V$4000,MATCH($A127,BBG_Data!$U$2:$U$4000,0))*Settings!$B$25,NA()))</f>
        <v/>
      </c>
      <c r="AJ127" s="19">
        <f>IF(NOT(ISNUMBER($A127)),NA(),IFERROR(1*INDEX(BBG_Data!$X$2:$X$4000,MATCH($A127,BBG_Data!$W$2:$W$4000,0)),NA()))</f>
        <v/>
      </c>
      <c r="AK127" s="19">
        <f>IF(NOT(ISNUMBER($A127)),NA(),IFERROR(1*INDEX(BBG_Data!$Z$2:$Z$4000,MATCH($A127,BBG_Data!$Y$2:$Y$4000,0)),NA()))</f>
        <v/>
      </c>
    </row>
    <row r="128">
      <c r="A128" s="17">
        <f>IF(ISNUMBER(BBG_Data!A128),BBG_Data!A128,"")</f>
        <v/>
      </c>
      <c r="B128" s="18">
        <f>IF(AND(ISNUMBER($A128),ISNUMBER(BBG_Data!B128)),BBG_Data!B128,NA())</f>
        <v/>
      </c>
      <c r="C128" s="18">
        <f>IF(NOT(ISNUMBER($A128)),NA(),IFERROR(1*INDEX(BBG_Data!$D$2:$D$4000,MATCH($A128,BBG_Data!$C$2:$C$4000,0)),NA()))</f>
        <v/>
      </c>
      <c r="D128" s="19">
        <f>IF(NOT(ISNUMBER($A128)),NA(),IFERROR(1*INDEX(BBG_Data!$F$2:$F$4000,MATCH($A128,BBG_Data!$E$2:$E$4000,0)),NA()))</f>
        <v/>
      </c>
      <c r="E128" s="19">
        <f>IF(NOT(ISNUMBER($A128)),NA(),IFERROR(1*INDEX(BBG_Data!$H$2:$H$4000,MATCH($A128,BBG_Data!$G$2:$G$4000,0)),NA()))</f>
        <v/>
      </c>
      <c r="F128" s="20">
        <f>IF(AND(ISNUMBER(B128),ISNUMBER(B127)),IF(B128=B127,"",(B128-B127)*100),"")</f>
        <v/>
      </c>
      <c r="G128" s="20">
        <f>IF(AND(ISNUMBER(C128),ISNUMBER(C127)),IF(C128=C127,"",(C128-C127)*100),"")</f>
        <v/>
      </c>
      <c r="H128" s="20">
        <f>IF(OR(NOT(ISNUMBER($A128)),ROW()-2&lt;Settings!$B$11),NA(),IF(COUNT(OFFSET(F128,1-Settings!$B$11,0,Settings!$B$11,1))&lt;ROUNDUP(Settings!$B$11*Settings!$B$26,0),NA(),STDEV(OFFSET(F128,1-Settings!$B$11,0,Settings!$B$11,1))*SQRT(Settings!$B$13)))</f>
        <v/>
      </c>
      <c r="I128" s="20">
        <f>IF(OR(NOT(ISNUMBER($A128)),ROW()-2&lt;Settings!$B$12),NA(),IF(COUNT(OFFSET(F128,1-Settings!$B$12,0,Settings!$B$12,1))&lt;ROUNDUP(Settings!$B$12*Settings!$B$26,0),NA(),STDEV(OFFSET(F128,1-Settings!$B$12,0,Settings!$B$12,1))*SQRT(Settings!$B$13)))</f>
        <v/>
      </c>
      <c r="J128" s="20">
        <f>IF(OR(NOT(ISNUMBER($A128)),ROW()-2&lt;Settings!$B$11),NA(),IF(COUNT(OFFSET(G128,1-Settings!$B$11,0,Settings!$B$11,1))&lt;ROUNDUP(Settings!$B$11*Settings!$B$26,0),NA(),STDEV(OFFSET(G128,1-Settings!$B$11,0,Settings!$B$11,1))*SQRT(Settings!$B$13)))</f>
        <v/>
      </c>
      <c r="K128" s="20">
        <f>IF(OR(NOT(ISNUMBER($A128)),ROW()-2&lt;Settings!$B$12),NA(),IF(COUNT(OFFSET(G128,1-Settings!$B$12,0,Settings!$B$12,1))&lt;ROUNDUP(Settings!$B$12*Settings!$B$26,0),NA(),STDEV(OFFSET(G128,1-Settings!$B$12,0,Settings!$B$12,1))*SQRT(Settings!$B$13)))</f>
        <v/>
      </c>
      <c r="L128" s="20">
        <f>IF(AND(ISNUMBER(D128),ISNUMBER(H128)),D128-H128,NA())</f>
        <v/>
      </c>
      <c r="M128" s="20">
        <f>IF(AND(ISNUMBER(E128),ISNUMBER(K128)),E128-K128,NA())</f>
        <v/>
      </c>
      <c r="N128" s="20">
        <f>IF(NOT(ISNUMBER($A128)),NA(),IF(COUNT(OFFSET(G128,1,0,Settings!$B$12,1))&lt;ROUNDUP(Settings!$B$12*Settings!$B$26,0),NA(),STDEV(OFFSET(G128,1,0,Settings!$B$12,1))*SQRT(Settings!$B$13)))</f>
        <v/>
      </c>
      <c r="O128" s="20">
        <f>IF(AND(ISNUMBER(E128),ISNUMBER(N128)),E128-N128,NA())</f>
        <v/>
      </c>
      <c r="P128" s="19">
        <f>IF(NOT(ISNUMBER($A128)),NA(),IF(OR($A128&lt;MIN(KW_TP!$A$2:$A$2501),$A128&gt;MAX(KW_TP!$A$2:$A$2501)),NA(),INDEX(KW_TP!$C$2:$C$2501,MATCH($A128,KW_TP!$A$2:$A$2501,1))))</f>
        <v/>
      </c>
      <c r="Q128" s="18">
        <f>IF(NOT(ISNUMBER($A128)),NA(),IFERROR(1*INDEX(BBG_Data!$J$2:$J$4000,MATCH($A128,BBG_Data!$I$2:$I$4000,0)),NA()))</f>
        <v/>
      </c>
      <c r="R128" s="18">
        <f>IF(NOT(ISNUMBER($A128)),NA(),IFERROR(1*INDEX(BBG_Data!$L$2:$L$4000,MATCH($A128,BBG_Data!$K$2:$K$4000,0)),NA()))</f>
        <v/>
      </c>
      <c r="S128" s="20">
        <f>IF(AND(ISNUMBER(B128),ISNUMBER(Q128),ISNUMBER(R128)),(B128-Q128-R128)*100,NA())</f>
        <v/>
      </c>
      <c r="T128" s="20">
        <f>IF(AND(ISNUMBER(B128),Settings!$B$17&gt;0),IF(ISNUMBER(INDEX($B:$B,Settings!$B$17)),(B128-INDEX($B:$B,Settings!$B$17))*100,NA()),NA())</f>
        <v/>
      </c>
      <c r="U128" s="20">
        <f>IF(AND(ISNUMBER(Q128),Settings!$B$17&gt;0),IF(ISNUMBER(INDEX($Q:$Q,Settings!$B$17)),(Q128-INDEX($Q:$Q,Settings!$B$17))*100,NA()),NA())</f>
        <v/>
      </c>
      <c r="V128" s="20">
        <f>IF(AND(ISNUMBER(R128),Settings!$B$17&gt;0),IF(ISNUMBER(INDEX($R:$R,Settings!$B$17)),(R128-INDEX($R:$R,Settings!$B$17))*100,NA()),NA())</f>
        <v/>
      </c>
      <c r="W128" s="20">
        <f>IF(AND(ISNUMBER(P128),Settings!$B$17&gt;0),IF(ISNUMBER(INDEX($P:$P,Settings!$B$17)),P128-INDEX($P:$P,Settings!$B$17),NA()),NA())</f>
        <v/>
      </c>
      <c r="X128" s="19">
        <f>IF(NOT(ISNUMBER($A128)),NA(),IF(OR($A128&lt;MIN(DKW_10Y!$A$2:$A$2918),$A128&gt;MAX(DKW_10Y!$A$2:$A$2918),Settings!$B$16&lt;MIN(DKW_10Y!$A$2:$A$2918)),NA(),(INDEX(DKW_10Y!$B$2:$B$2918,MATCH($A128,DKW_10Y!$A$2:$A$2918,1))-INDEX(DKW_10Y!$B$2:$B$2918,MATCH(Settings!$B$16,DKW_10Y!$A$2:$A$2918,1)))*100))</f>
        <v/>
      </c>
      <c r="Y128" s="19">
        <f>IF(NOT(ISNUMBER($A128)),NA(),IF(OR($A128&lt;MIN(DKW_10Y!$A$2:$A$2918),$A128&gt;MAX(DKW_10Y!$A$2:$A$2918),Settings!$B$16&lt;MIN(DKW_10Y!$A$2:$A$2918)),NA(),(INDEX(DKW_10Y!$C$2:$C$2918,MATCH($A128,DKW_10Y!$A$2:$A$2918,1))-INDEX(DKW_10Y!$C$2:$C$2918,MATCH(Settings!$B$16,DKW_10Y!$A$2:$A$2918,1)))*100))</f>
        <v/>
      </c>
      <c r="Z128" s="19">
        <f>IF(NOT(ISNUMBER($A128)),NA(),IF(OR($A128&lt;MIN(DKW_10Y!$A$2:$A$2918),$A128&gt;MAX(DKW_10Y!$A$2:$A$2918),Settings!$B$16&lt;MIN(DKW_10Y!$A$2:$A$2918)),NA(),(INDEX(DKW_10Y!$D$2:$D$2918,MATCH($A128,DKW_10Y!$A$2:$A$2918,1))-INDEX(DKW_10Y!$D$2:$D$2918,MATCH(Settings!$B$16,DKW_10Y!$A$2:$A$2918,1)))*100))</f>
        <v/>
      </c>
      <c r="AA128" s="19">
        <f>IF(NOT(ISNUMBER($A128)),NA(),IF(OR($A128&lt;MIN(DKW_10Y!$A$2:$A$2918),$A128&gt;MAX(DKW_10Y!$A$2:$A$2918),Settings!$B$16&lt;MIN(DKW_10Y!$A$2:$A$2918)),NA(),(INDEX(DKW_10Y!$E$2:$E$2918,MATCH($A128,DKW_10Y!$A$2:$A$2918,1))-INDEX(DKW_10Y!$E$2:$E$2918,MATCH(Settings!$B$16,DKW_10Y!$A$2:$A$2918,1)))*100))</f>
        <v/>
      </c>
      <c r="AB128" s="19">
        <f>IF(NOT(ISNUMBER($A128)),NA(),IF(OR($A128&lt;MIN(DKW_10Y!$A$2:$A$2918),$A128&gt;MAX(DKW_10Y!$A$2:$A$2918),Settings!$B$16&lt;MIN(DKW_10Y!$A$2:$A$2918)),NA(),(INDEX(DKW_10Y!$H$2:$H$2918,MATCH($A128,DKW_10Y!$A$2:$A$2918,1))-INDEX(DKW_10Y!$H$2:$H$2918,MATCH(Settings!$B$16,DKW_10Y!$A$2:$A$2918,1)))*100))</f>
        <v/>
      </c>
      <c r="AC128" s="18">
        <f>IF(NOT(ISNUMBER($A128)),NA(),IFERROR(1*INDEX(BBG_Data!$N$2:$N$4000,MATCH($A128,BBG_Data!$M$2:$M$4000,0)),NA()))</f>
        <v/>
      </c>
      <c r="AD128" s="18">
        <f>IF(NOT(ISNUMBER($A128)),NA(),IFERROR(1*INDEX(BBG_Data!$P$2:$P$4000,MATCH($A128,BBG_Data!$O$2:$O$4000,0)),NA()))</f>
        <v/>
      </c>
      <c r="AE128" s="18">
        <f>IF(NOT(ISNUMBER($A128)),NA(),IFERROR(1*INDEX(BBG_Data!$R$2:$R$4000,MATCH($A128,BBG_Data!$Q$2:$Q$4000,0)),NA()))</f>
        <v/>
      </c>
      <c r="AF128" s="20">
        <f>IF(AND(ISNUMBER(B128),ISNUMBER(AC128)),(B128-AC128)*100,NA())</f>
        <v/>
      </c>
      <c r="AG128" s="20">
        <f>IF(AND(ISNUMBER(AE128),ISNUMBER(AD128)),(AE128-AD128)*100,NA())</f>
        <v/>
      </c>
      <c r="AH128" s="19">
        <f>IF(NOT(ISNUMBER($A128)),NA(),IFERROR(INDEX(BBG_Data!$T$2:$T$4000,MATCH($A128,BBG_Data!$S$2:$S$4000,0))*Settings!$B$25,NA()))</f>
        <v/>
      </c>
      <c r="AI128" s="19">
        <f>IF(NOT(ISNUMBER($A128)),NA(),IFERROR(INDEX(BBG_Data!$V$2:$V$4000,MATCH($A128,BBG_Data!$U$2:$U$4000,0))*Settings!$B$25,NA()))</f>
        <v/>
      </c>
      <c r="AJ128" s="19">
        <f>IF(NOT(ISNUMBER($A128)),NA(),IFERROR(1*INDEX(BBG_Data!$X$2:$X$4000,MATCH($A128,BBG_Data!$W$2:$W$4000,0)),NA()))</f>
        <v/>
      </c>
      <c r="AK128" s="19">
        <f>IF(NOT(ISNUMBER($A128)),NA(),IFERROR(1*INDEX(BBG_Data!$Z$2:$Z$4000,MATCH($A128,BBG_Data!$Y$2:$Y$4000,0)),NA()))</f>
        <v/>
      </c>
    </row>
    <row r="129">
      <c r="A129" s="17">
        <f>IF(ISNUMBER(BBG_Data!A129),BBG_Data!A129,"")</f>
        <v/>
      </c>
      <c r="B129" s="18">
        <f>IF(AND(ISNUMBER($A129),ISNUMBER(BBG_Data!B129)),BBG_Data!B129,NA())</f>
        <v/>
      </c>
      <c r="C129" s="18">
        <f>IF(NOT(ISNUMBER($A129)),NA(),IFERROR(1*INDEX(BBG_Data!$D$2:$D$4000,MATCH($A129,BBG_Data!$C$2:$C$4000,0)),NA()))</f>
        <v/>
      </c>
      <c r="D129" s="19">
        <f>IF(NOT(ISNUMBER($A129)),NA(),IFERROR(1*INDEX(BBG_Data!$F$2:$F$4000,MATCH($A129,BBG_Data!$E$2:$E$4000,0)),NA()))</f>
        <v/>
      </c>
      <c r="E129" s="19">
        <f>IF(NOT(ISNUMBER($A129)),NA(),IFERROR(1*INDEX(BBG_Data!$H$2:$H$4000,MATCH($A129,BBG_Data!$G$2:$G$4000,0)),NA()))</f>
        <v/>
      </c>
      <c r="F129" s="20">
        <f>IF(AND(ISNUMBER(B129),ISNUMBER(B128)),IF(B129=B128,"",(B129-B128)*100),"")</f>
        <v/>
      </c>
      <c r="G129" s="20">
        <f>IF(AND(ISNUMBER(C129),ISNUMBER(C128)),IF(C129=C128,"",(C129-C128)*100),"")</f>
        <v/>
      </c>
      <c r="H129" s="20">
        <f>IF(OR(NOT(ISNUMBER($A129)),ROW()-2&lt;Settings!$B$11),NA(),IF(COUNT(OFFSET(F129,1-Settings!$B$11,0,Settings!$B$11,1))&lt;ROUNDUP(Settings!$B$11*Settings!$B$26,0),NA(),STDEV(OFFSET(F129,1-Settings!$B$11,0,Settings!$B$11,1))*SQRT(Settings!$B$13)))</f>
        <v/>
      </c>
      <c r="I129" s="20">
        <f>IF(OR(NOT(ISNUMBER($A129)),ROW()-2&lt;Settings!$B$12),NA(),IF(COUNT(OFFSET(F129,1-Settings!$B$12,0,Settings!$B$12,1))&lt;ROUNDUP(Settings!$B$12*Settings!$B$26,0),NA(),STDEV(OFFSET(F129,1-Settings!$B$12,0,Settings!$B$12,1))*SQRT(Settings!$B$13)))</f>
        <v/>
      </c>
      <c r="J129" s="20">
        <f>IF(OR(NOT(ISNUMBER($A129)),ROW()-2&lt;Settings!$B$11),NA(),IF(COUNT(OFFSET(G129,1-Settings!$B$11,0,Settings!$B$11,1))&lt;ROUNDUP(Settings!$B$11*Settings!$B$26,0),NA(),STDEV(OFFSET(G129,1-Settings!$B$11,0,Settings!$B$11,1))*SQRT(Settings!$B$13)))</f>
        <v/>
      </c>
      <c r="K129" s="20">
        <f>IF(OR(NOT(ISNUMBER($A129)),ROW()-2&lt;Settings!$B$12),NA(),IF(COUNT(OFFSET(G129,1-Settings!$B$12,0,Settings!$B$12,1))&lt;ROUNDUP(Settings!$B$12*Settings!$B$26,0),NA(),STDEV(OFFSET(G129,1-Settings!$B$12,0,Settings!$B$12,1))*SQRT(Settings!$B$13)))</f>
        <v/>
      </c>
      <c r="L129" s="20">
        <f>IF(AND(ISNUMBER(D129),ISNUMBER(H129)),D129-H129,NA())</f>
        <v/>
      </c>
      <c r="M129" s="20">
        <f>IF(AND(ISNUMBER(E129),ISNUMBER(K129)),E129-K129,NA())</f>
        <v/>
      </c>
      <c r="N129" s="20">
        <f>IF(NOT(ISNUMBER($A129)),NA(),IF(COUNT(OFFSET(G129,1,0,Settings!$B$12,1))&lt;ROUNDUP(Settings!$B$12*Settings!$B$26,0),NA(),STDEV(OFFSET(G129,1,0,Settings!$B$12,1))*SQRT(Settings!$B$13)))</f>
        <v/>
      </c>
      <c r="O129" s="20">
        <f>IF(AND(ISNUMBER(E129),ISNUMBER(N129)),E129-N129,NA())</f>
        <v/>
      </c>
      <c r="P129" s="19">
        <f>IF(NOT(ISNUMBER($A129)),NA(),IF(OR($A129&lt;MIN(KW_TP!$A$2:$A$2501),$A129&gt;MAX(KW_TP!$A$2:$A$2501)),NA(),INDEX(KW_TP!$C$2:$C$2501,MATCH($A129,KW_TP!$A$2:$A$2501,1))))</f>
        <v/>
      </c>
      <c r="Q129" s="18">
        <f>IF(NOT(ISNUMBER($A129)),NA(),IFERROR(1*INDEX(BBG_Data!$J$2:$J$4000,MATCH($A129,BBG_Data!$I$2:$I$4000,0)),NA()))</f>
        <v/>
      </c>
      <c r="R129" s="18">
        <f>IF(NOT(ISNUMBER($A129)),NA(),IFERROR(1*INDEX(BBG_Data!$L$2:$L$4000,MATCH($A129,BBG_Data!$K$2:$K$4000,0)),NA()))</f>
        <v/>
      </c>
      <c r="S129" s="20">
        <f>IF(AND(ISNUMBER(B129),ISNUMBER(Q129),ISNUMBER(R129)),(B129-Q129-R129)*100,NA())</f>
        <v/>
      </c>
      <c r="T129" s="20">
        <f>IF(AND(ISNUMBER(B129),Settings!$B$17&gt;0),IF(ISNUMBER(INDEX($B:$B,Settings!$B$17)),(B129-INDEX($B:$B,Settings!$B$17))*100,NA()),NA())</f>
        <v/>
      </c>
      <c r="U129" s="20">
        <f>IF(AND(ISNUMBER(Q129),Settings!$B$17&gt;0),IF(ISNUMBER(INDEX($Q:$Q,Settings!$B$17)),(Q129-INDEX($Q:$Q,Settings!$B$17))*100,NA()),NA())</f>
        <v/>
      </c>
      <c r="V129" s="20">
        <f>IF(AND(ISNUMBER(R129),Settings!$B$17&gt;0),IF(ISNUMBER(INDEX($R:$R,Settings!$B$17)),(R129-INDEX($R:$R,Settings!$B$17))*100,NA()),NA())</f>
        <v/>
      </c>
      <c r="W129" s="20">
        <f>IF(AND(ISNUMBER(P129),Settings!$B$17&gt;0),IF(ISNUMBER(INDEX($P:$P,Settings!$B$17)),P129-INDEX($P:$P,Settings!$B$17),NA()),NA())</f>
        <v/>
      </c>
      <c r="X129" s="19">
        <f>IF(NOT(ISNUMBER($A129)),NA(),IF(OR($A129&lt;MIN(DKW_10Y!$A$2:$A$2918),$A129&gt;MAX(DKW_10Y!$A$2:$A$2918),Settings!$B$16&lt;MIN(DKW_10Y!$A$2:$A$2918)),NA(),(INDEX(DKW_10Y!$B$2:$B$2918,MATCH($A129,DKW_10Y!$A$2:$A$2918,1))-INDEX(DKW_10Y!$B$2:$B$2918,MATCH(Settings!$B$16,DKW_10Y!$A$2:$A$2918,1)))*100))</f>
        <v/>
      </c>
      <c r="Y129" s="19">
        <f>IF(NOT(ISNUMBER($A129)),NA(),IF(OR($A129&lt;MIN(DKW_10Y!$A$2:$A$2918),$A129&gt;MAX(DKW_10Y!$A$2:$A$2918),Settings!$B$16&lt;MIN(DKW_10Y!$A$2:$A$2918)),NA(),(INDEX(DKW_10Y!$C$2:$C$2918,MATCH($A129,DKW_10Y!$A$2:$A$2918,1))-INDEX(DKW_10Y!$C$2:$C$2918,MATCH(Settings!$B$16,DKW_10Y!$A$2:$A$2918,1)))*100))</f>
        <v/>
      </c>
      <c r="Z129" s="19">
        <f>IF(NOT(ISNUMBER($A129)),NA(),IF(OR($A129&lt;MIN(DKW_10Y!$A$2:$A$2918),$A129&gt;MAX(DKW_10Y!$A$2:$A$2918),Settings!$B$16&lt;MIN(DKW_10Y!$A$2:$A$2918)),NA(),(INDEX(DKW_10Y!$D$2:$D$2918,MATCH($A129,DKW_10Y!$A$2:$A$2918,1))-INDEX(DKW_10Y!$D$2:$D$2918,MATCH(Settings!$B$16,DKW_10Y!$A$2:$A$2918,1)))*100))</f>
        <v/>
      </c>
      <c r="AA129" s="19">
        <f>IF(NOT(ISNUMBER($A129)),NA(),IF(OR($A129&lt;MIN(DKW_10Y!$A$2:$A$2918),$A129&gt;MAX(DKW_10Y!$A$2:$A$2918),Settings!$B$16&lt;MIN(DKW_10Y!$A$2:$A$2918)),NA(),(INDEX(DKW_10Y!$E$2:$E$2918,MATCH($A129,DKW_10Y!$A$2:$A$2918,1))-INDEX(DKW_10Y!$E$2:$E$2918,MATCH(Settings!$B$16,DKW_10Y!$A$2:$A$2918,1)))*100))</f>
        <v/>
      </c>
      <c r="AB129" s="19">
        <f>IF(NOT(ISNUMBER($A129)),NA(),IF(OR($A129&lt;MIN(DKW_10Y!$A$2:$A$2918),$A129&gt;MAX(DKW_10Y!$A$2:$A$2918),Settings!$B$16&lt;MIN(DKW_10Y!$A$2:$A$2918)),NA(),(INDEX(DKW_10Y!$H$2:$H$2918,MATCH($A129,DKW_10Y!$A$2:$A$2918,1))-INDEX(DKW_10Y!$H$2:$H$2918,MATCH(Settings!$B$16,DKW_10Y!$A$2:$A$2918,1)))*100))</f>
        <v/>
      </c>
      <c r="AC129" s="18">
        <f>IF(NOT(ISNUMBER($A129)),NA(),IFERROR(1*INDEX(BBG_Data!$N$2:$N$4000,MATCH($A129,BBG_Data!$M$2:$M$4000,0)),NA()))</f>
        <v/>
      </c>
      <c r="AD129" s="18">
        <f>IF(NOT(ISNUMBER($A129)),NA(),IFERROR(1*INDEX(BBG_Data!$P$2:$P$4000,MATCH($A129,BBG_Data!$O$2:$O$4000,0)),NA()))</f>
        <v/>
      </c>
      <c r="AE129" s="18">
        <f>IF(NOT(ISNUMBER($A129)),NA(),IFERROR(1*INDEX(BBG_Data!$R$2:$R$4000,MATCH($A129,BBG_Data!$Q$2:$Q$4000,0)),NA()))</f>
        <v/>
      </c>
      <c r="AF129" s="20">
        <f>IF(AND(ISNUMBER(B129),ISNUMBER(AC129)),(B129-AC129)*100,NA())</f>
        <v/>
      </c>
      <c r="AG129" s="20">
        <f>IF(AND(ISNUMBER(AE129),ISNUMBER(AD129)),(AE129-AD129)*100,NA())</f>
        <v/>
      </c>
      <c r="AH129" s="19">
        <f>IF(NOT(ISNUMBER($A129)),NA(),IFERROR(INDEX(BBG_Data!$T$2:$T$4000,MATCH($A129,BBG_Data!$S$2:$S$4000,0))*Settings!$B$25,NA()))</f>
        <v/>
      </c>
      <c r="AI129" s="19">
        <f>IF(NOT(ISNUMBER($A129)),NA(),IFERROR(INDEX(BBG_Data!$V$2:$V$4000,MATCH($A129,BBG_Data!$U$2:$U$4000,0))*Settings!$B$25,NA()))</f>
        <v/>
      </c>
      <c r="AJ129" s="19">
        <f>IF(NOT(ISNUMBER($A129)),NA(),IFERROR(1*INDEX(BBG_Data!$X$2:$X$4000,MATCH($A129,BBG_Data!$W$2:$W$4000,0)),NA()))</f>
        <v/>
      </c>
      <c r="AK129" s="19">
        <f>IF(NOT(ISNUMBER($A129)),NA(),IFERROR(1*INDEX(BBG_Data!$Z$2:$Z$4000,MATCH($A129,BBG_Data!$Y$2:$Y$4000,0)),NA()))</f>
        <v/>
      </c>
    </row>
    <row r="130">
      <c r="A130" s="17">
        <f>IF(ISNUMBER(BBG_Data!A130),BBG_Data!A130,"")</f>
        <v/>
      </c>
      <c r="B130" s="18">
        <f>IF(AND(ISNUMBER($A130),ISNUMBER(BBG_Data!B130)),BBG_Data!B130,NA())</f>
        <v/>
      </c>
      <c r="C130" s="18">
        <f>IF(NOT(ISNUMBER($A130)),NA(),IFERROR(1*INDEX(BBG_Data!$D$2:$D$4000,MATCH($A130,BBG_Data!$C$2:$C$4000,0)),NA()))</f>
        <v/>
      </c>
      <c r="D130" s="19">
        <f>IF(NOT(ISNUMBER($A130)),NA(),IFERROR(1*INDEX(BBG_Data!$F$2:$F$4000,MATCH($A130,BBG_Data!$E$2:$E$4000,0)),NA()))</f>
        <v/>
      </c>
      <c r="E130" s="19">
        <f>IF(NOT(ISNUMBER($A130)),NA(),IFERROR(1*INDEX(BBG_Data!$H$2:$H$4000,MATCH($A130,BBG_Data!$G$2:$G$4000,0)),NA()))</f>
        <v/>
      </c>
      <c r="F130" s="20">
        <f>IF(AND(ISNUMBER(B130),ISNUMBER(B129)),IF(B130=B129,"",(B130-B129)*100),"")</f>
        <v/>
      </c>
      <c r="G130" s="20">
        <f>IF(AND(ISNUMBER(C130),ISNUMBER(C129)),IF(C130=C129,"",(C130-C129)*100),"")</f>
        <v/>
      </c>
      <c r="H130" s="20">
        <f>IF(OR(NOT(ISNUMBER($A130)),ROW()-2&lt;Settings!$B$11),NA(),IF(COUNT(OFFSET(F130,1-Settings!$B$11,0,Settings!$B$11,1))&lt;ROUNDUP(Settings!$B$11*Settings!$B$26,0),NA(),STDEV(OFFSET(F130,1-Settings!$B$11,0,Settings!$B$11,1))*SQRT(Settings!$B$13)))</f>
        <v/>
      </c>
      <c r="I130" s="20">
        <f>IF(OR(NOT(ISNUMBER($A130)),ROW()-2&lt;Settings!$B$12),NA(),IF(COUNT(OFFSET(F130,1-Settings!$B$12,0,Settings!$B$12,1))&lt;ROUNDUP(Settings!$B$12*Settings!$B$26,0),NA(),STDEV(OFFSET(F130,1-Settings!$B$12,0,Settings!$B$12,1))*SQRT(Settings!$B$13)))</f>
        <v/>
      </c>
      <c r="J130" s="20">
        <f>IF(OR(NOT(ISNUMBER($A130)),ROW()-2&lt;Settings!$B$11),NA(),IF(COUNT(OFFSET(G130,1-Settings!$B$11,0,Settings!$B$11,1))&lt;ROUNDUP(Settings!$B$11*Settings!$B$26,0),NA(),STDEV(OFFSET(G130,1-Settings!$B$11,0,Settings!$B$11,1))*SQRT(Settings!$B$13)))</f>
        <v/>
      </c>
      <c r="K130" s="20">
        <f>IF(OR(NOT(ISNUMBER($A130)),ROW()-2&lt;Settings!$B$12),NA(),IF(COUNT(OFFSET(G130,1-Settings!$B$12,0,Settings!$B$12,1))&lt;ROUNDUP(Settings!$B$12*Settings!$B$26,0),NA(),STDEV(OFFSET(G130,1-Settings!$B$12,0,Settings!$B$12,1))*SQRT(Settings!$B$13)))</f>
        <v/>
      </c>
      <c r="L130" s="20">
        <f>IF(AND(ISNUMBER(D130),ISNUMBER(H130)),D130-H130,NA())</f>
        <v/>
      </c>
      <c r="M130" s="20">
        <f>IF(AND(ISNUMBER(E130),ISNUMBER(K130)),E130-K130,NA())</f>
        <v/>
      </c>
      <c r="N130" s="20">
        <f>IF(NOT(ISNUMBER($A130)),NA(),IF(COUNT(OFFSET(G130,1,0,Settings!$B$12,1))&lt;ROUNDUP(Settings!$B$12*Settings!$B$26,0),NA(),STDEV(OFFSET(G130,1,0,Settings!$B$12,1))*SQRT(Settings!$B$13)))</f>
        <v/>
      </c>
      <c r="O130" s="20">
        <f>IF(AND(ISNUMBER(E130),ISNUMBER(N130)),E130-N130,NA())</f>
        <v/>
      </c>
      <c r="P130" s="19">
        <f>IF(NOT(ISNUMBER($A130)),NA(),IF(OR($A130&lt;MIN(KW_TP!$A$2:$A$2501),$A130&gt;MAX(KW_TP!$A$2:$A$2501)),NA(),INDEX(KW_TP!$C$2:$C$2501,MATCH($A130,KW_TP!$A$2:$A$2501,1))))</f>
        <v/>
      </c>
      <c r="Q130" s="18">
        <f>IF(NOT(ISNUMBER($A130)),NA(),IFERROR(1*INDEX(BBG_Data!$J$2:$J$4000,MATCH($A130,BBG_Data!$I$2:$I$4000,0)),NA()))</f>
        <v/>
      </c>
      <c r="R130" s="18">
        <f>IF(NOT(ISNUMBER($A130)),NA(),IFERROR(1*INDEX(BBG_Data!$L$2:$L$4000,MATCH($A130,BBG_Data!$K$2:$K$4000,0)),NA()))</f>
        <v/>
      </c>
      <c r="S130" s="20">
        <f>IF(AND(ISNUMBER(B130),ISNUMBER(Q130),ISNUMBER(R130)),(B130-Q130-R130)*100,NA())</f>
        <v/>
      </c>
      <c r="T130" s="20">
        <f>IF(AND(ISNUMBER(B130),Settings!$B$17&gt;0),IF(ISNUMBER(INDEX($B:$B,Settings!$B$17)),(B130-INDEX($B:$B,Settings!$B$17))*100,NA()),NA())</f>
        <v/>
      </c>
      <c r="U130" s="20">
        <f>IF(AND(ISNUMBER(Q130),Settings!$B$17&gt;0),IF(ISNUMBER(INDEX($Q:$Q,Settings!$B$17)),(Q130-INDEX($Q:$Q,Settings!$B$17))*100,NA()),NA())</f>
        <v/>
      </c>
      <c r="V130" s="20">
        <f>IF(AND(ISNUMBER(R130),Settings!$B$17&gt;0),IF(ISNUMBER(INDEX($R:$R,Settings!$B$17)),(R130-INDEX($R:$R,Settings!$B$17))*100,NA()),NA())</f>
        <v/>
      </c>
      <c r="W130" s="20">
        <f>IF(AND(ISNUMBER(P130),Settings!$B$17&gt;0),IF(ISNUMBER(INDEX($P:$P,Settings!$B$17)),P130-INDEX($P:$P,Settings!$B$17),NA()),NA())</f>
        <v/>
      </c>
      <c r="X130" s="19">
        <f>IF(NOT(ISNUMBER($A130)),NA(),IF(OR($A130&lt;MIN(DKW_10Y!$A$2:$A$2918),$A130&gt;MAX(DKW_10Y!$A$2:$A$2918),Settings!$B$16&lt;MIN(DKW_10Y!$A$2:$A$2918)),NA(),(INDEX(DKW_10Y!$B$2:$B$2918,MATCH($A130,DKW_10Y!$A$2:$A$2918,1))-INDEX(DKW_10Y!$B$2:$B$2918,MATCH(Settings!$B$16,DKW_10Y!$A$2:$A$2918,1)))*100))</f>
        <v/>
      </c>
      <c r="Y130" s="19">
        <f>IF(NOT(ISNUMBER($A130)),NA(),IF(OR($A130&lt;MIN(DKW_10Y!$A$2:$A$2918),$A130&gt;MAX(DKW_10Y!$A$2:$A$2918),Settings!$B$16&lt;MIN(DKW_10Y!$A$2:$A$2918)),NA(),(INDEX(DKW_10Y!$C$2:$C$2918,MATCH($A130,DKW_10Y!$A$2:$A$2918,1))-INDEX(DKW_10Y!$C$2:$C$2918,MATCH(Settings!$B$16,DKW_10Y!$A$2:$A$2918,1)))*100))</f>
        <v/>
      </c>
      <c r="Z130" s="19">
        <f>IF(NOT(ISNUMBER($A130)),NA(),IF(OR($A130&lt;MIN(DKW_10Y!$A$2:$A$2918),$A130&gt;MAX(DKW_10Y!$A$2:$A$2918),Settings!$B$16&lt;MIN(DKW_10Y!$A$2:$A$2918)),NA(),(INDEX(DKW_10Y!$D$2:$D$2918,MATCH($A130,DKW_10Y!$A$2:$A$2918,1))-INDEX(DKW_10Y!$D$2:$D$2918,MATCH(Settings!$B$16,DKW_10Y!$A$2:$A$2918,1)))*100))</f>
        <v/>
      </c>
      <c r="AA130" s="19">
        <f>IF(NOT(ISNUMBER($A130)),NA(),IF(OR($A130&lt;MIN(DKW_10Y!$A$2:$A$2918),$A130&gt;MAX(DKW_10Y!$A$2:$A$2918),Settings!$B$16&lt;MIN(DKW_10Y!$A$2:$A$2918)),NA(),(INDEX(DKW_10Y!$E$2:$E$2918,MATCH($A130,DKW_10Y!$A$2:$A$2918,1))-INDEX(DKW_10Y!$E$2:$E$2918,MATCH(Settings!$B$16,DKW_10Y!$A$2:$A$2918,1)))*100))</f>
        <v/>
      </c>
      <c r="AB130" s="19">
        <f>IF(NOT(ISNUMBER($A130)),NA(),IF(OR($A130&lt;MIN(DKW_10Y!$A$2:$A$2918),$A130&gt;MAX(DKW_10Y!$A$2:$A$2918),Settings!$B$16&lt;MIN(DKW_10Y!$A$2:$A$2918)),NA(),(INDEX(DKW_10Y!$H$2:$H$2918,MATCH($A130,DKW_10Y!$A$2:$A$2918,1))-INDEX(DKW_10Y!$H$2:$H$2918,MATCH(Settings!$B$16,DKW_10Y!$A$2:$A$2918,1)))*100))</f>
        <v/>
      </c>
      <c r="AC130" s="18">
        <f>IF(NOT(ISNUMBER($A130)),NA(),IFERROR(1*INDEX(BBG_Data!$N$2:$N$4000,MATCH($A130,BBG_Data!$M$2:$M$4000,0)),NA()))</f>
        <v/>
      </c>
      <c r="AD130" s="18">
        <f>IF(NOT(ISNUMBER($A130)),NA(),IFERROR(1*INDEX(BBG_Data!$P$2:$P$4000,MATCH($A130,BBG_Data!$O$2:$O$4000,0)),NA()))</f>
        <v/>
      </c>
      <c r="AE130" s="18">
        <f>IF(NOT(ISNUMBER($A130)),NA(),IFERROR(1*INDEX(BBG_Data!$R$2:$R$4000,MATCH($A130,BBG_Data!$Q$2:$Q$4000,0)),NA()))</f>
        <v/>
      </c>
      <c r="AF130" s="20">
        <f>IF(AND(ISNUMBER(B130),ISNUMBER(AC130)),(B130-AC130)*100,NA())</f>
        <v/>
      </c>
      <c r="AG130" s="20">
        <f>IF(AND(ISNUMBER(AE130),ISNUMBER(AD130)),(AE130-AD130)*100,NA())</f>
        <v/>
      </c>
      <c r="AH130" s="19">
        <f>IF(NOT(ISNUMBER($A130)),NA(),IFERROR(INDEX(BBG_Data!$T$2:$T$4000,MATCH($A130,BBG_Data!$S$2:$S$4000,0))*Settings!$B$25,NA()))</f>
        <v/>
      </c>
      <c r="AI130" s="19">
        <f>IF(NOT(ISNUMBER($A130)),NA(),IFERROR(INDEX(BBG_Data!$V$2:$V$4000,MATCH($A130,BBG_Data!$U$2:$U$4000,0))*Settings!$B$25,NA()))</f>
        <v/>
      </c>
      <c r="AJ130" s="19">
        <f>IF(NOT(ISNUMBER($A130)),NA(),IFERROR(1*INDEX(BBG_Data!$X$2:$X$4000,MATCH($A130,BBG_Data!$W$2:$W$4000,0)),NA()))</f>
        <v/>
      </c>
      <c r="AK130" s="19">
        <f>IF(NOT(ISNUMBER($A130)),NA(),IFERROR(1*INDEX(BBG_Data!$Z$2:$Z$4000,MATCH($A130,BBG_Data!$Y$2:$Y$4000,0)),NA()))</f>
        <v/>
      </c>
    </row>
    <row r="131">
      <c r="A131" s="17">
        <f>IF(ISNUMBER(BBG_Data!A131),BBG_Data!A131,"")</f>
        <v/>
      </c>
      <c r="B131" s="18">
        <f>IF(AND(ISNUMBER($A131),ISNUMBER(BBG_Data!B131)),BBG_Data!B131,NA())</f>
        <v/>
      </c>
      <c r="C131" s="18">
        <f>IF(NOT(ISNUMBER($A131)),NA(),IFERROR(1*INDEX(BBG_Data!$D$2:$D$4000,MATCH($A131,BBG_Data!$C$2:$C$4000,0)),NA()))</f>
        <v/>
      </c>
      <c r="D131" s="19">
        <f>IF(NOT(ISNUMBER($A131)),NA(),IFERROR(1*INDEX(BBG_Data!$F$2:$F$4000,MATCH($A131,BBG_Data!$E$2:$E$4000,0)),NA()))</f>
        <v/>
      </c>
      <c r="E131" s="19">
        <f>IF(NOT(ISNUMBER($A131)),NA(),IFERROR(1*INDEX(BBG_Data!$H$2:$H$4000,MATCH($A131,BBG_Data!$G$2:$G$4000,0)),NA()))</f>
        <v/>
      </c>
      <c r="F131" s="20">
        <f>IF(AND(ISNUMBER(B131),ISNUMBER(B130)),IF(B131=B130,"",(B131-B130)*100),"")</f>
        <v/>
      </c>
      <c r="G131" s="20">
        <f>IF(AND(ISNUMBER(C131),ISNUMBER(C130)),IF(C131=C130,"",(C131-C130)*100),"")</f>
        <v/>
      </c>
      <c r="H131" s="20">
        <f>IF(OR(NOT(ISNUMBER($A131)),ROW()-2&lt;Settings!$B$11),NA(),IF(COUNT(OFFSET(F131,1-Settings!$B$11,0,Settings!$B$11,1))&lt;ROUNDUP(Settings!$B$11*Settings!$B$26,0),NA(),STDEV(OFFSET(F131,1-Settings!$B$11,0,Settings!$B$11,1))*SQRT(Settings!$B$13)))</f>
        <v/>
      </c>
      <c r="I131" s="20">
        <f>IF(OR(NOT(ISNUMBER($A131)),ROW()-2&lt;Settings!$B$12),NA(),IF(COUNT(OFFSET(F131,1-Settings!$B$12,0,Settings!$B$12,1))&lt;ROUNDUP(Settings!$B$12*Settings!$B$26,0),NA(),STDEV(OFFSET(F131,1-Settings!$B$12,0,Settings!$B$12,1))*SQRT(Settings!$B$13)))</f>
        <v/>
      </c>
      <c r="J131" s="20">
        <f>IF(OR(NOT(ISNUMBER($A131)),ROW()-2&lt;Settings!$B$11),NA(),IF(COUNT(OFFSET(G131,1-Settings!$B$11,0,Settings!$B$11,1))&lt;ROUNDUP(Settings!$B$11*Settings!$B$26,0),NA(),STDEV(OFFSET(G131,1-Settings!$B$11,0,Settings!$B$11,1))*SQRT(Settings!$B$13)))</f>
        <v/>
      </c>
      <c r="K131" s="20">
        <f>IF(OR(NOT(ISNUMBER($A131)),ROW()-2&lt;Settings!$B$12),NA(),IF(COUNT(OFFSET(G131,1-Settings!$B$12,0,Settings!$B$12,1))&lt;ROUNDUP(Settings!$B$12*Settings!$B$26,0),NA(),STDEV(OFFSET(G131,1-Settings!$B$12,0,Settings!$B$12,1))*SQRT(Settings!$B$13)))</f>
        <v/>
      </c>
      <c r="L131" s="20">
        <f>IF(AND(ISNUMBER(D131),ISNUMBER(H131)),D131-H131,NA())</f>
        <v/>
      </c>
      <c r="M131" s="20">
        <f>IF(AND(ISNUMBER(E131),ISNUMBER(K131)),E131-K131,NA())</f>
        <v/>
      </c>
      <c r="N131" s="20">
        <f>IF(NOT(ISNUMBER($A131)),NA(),IF(COUNT(OFFSET(G131,1,0,Settings!$B$12,1))&lt;ROUNDUP(Settings!$B$12*Settings!$B$26,0),NA(),STDEV(OFFSET(G131,1,0,Settings!$B$12,1))*SQRT(Settings!$B$13)))</f>
        <v/>
      </c>
      <c r="O131" s="20">
        <f>IF(AND(ISNUMBER(E131),ISNUMBER(N131)),E131-N131,NA())</f>
        <v/>
      </c>
      <c r="P131" s="19">
        <f>IF(NOT(ISNUMBER($A131)),NA(),IF(OR($A131&lt;MIN(KW_TP!$A$2:$A$2501),$A131&gt;MAX(KW_TP!$A$2:$A$2501)),NA(),INDEX(KW_TP!$C$2:$C$2501,MATCH($A131,KW_TP!$A$2:$A$2501,1))))</f>
        <v/>
      </c>
      <c r="Q131" s="18">
        <f>IF(NOT(ISNUMBER($A131)),NA(),IFERROR(1*INDEX(BBG_Data!$J$2:$J$4000,MATCH($A131,BBG_Data!$I$2:$I$4000,0)),NA()))</f>
        <v/>
      </c>
      <c r="R131" s="18">
        <f>IF(NOT(ISNUMBER($A131)),NA(),IFERROR(1*INDEX(BBG_Data!$L$2:$L$4000,MATCH($A131,BBG_Data!$K$2:$K$4000,0)),NA()))</f>
        <v/>
      </c>
      <c r="S131" s="20">
        <f>IF(AND(ISNUMBER(B131),ISNUMBER(Q131),ISNUMBER(R131)),(B131-Q131-R131)*100,NA())</f>
        <v/>
      </c>
      <c r="T131" s="20">
        <f>IF(AND(ISNUMBER(B131),Settings!$B$17&gt;0),IF(ISNUMBER(INDEX($B:$B,Settings!$B$17)),(B131-INDEX($B:$B,Settings!$B$17))*100,NA()),NA())</f>
        <v/>
      </c>
      <c r="U131" s="20">
        <f>IF(AND(ISNUMBER(Q131),Settings!$B$17&gt;0),IF(ISNUMBER(INDEX($Q:$Q,Settings!$B$17)),(Q131-INDEX($Q:$Q,Settings!$B$17))*100,NA()),NA())</f>
        <v/>
      </c>
      <c r="V131" s="20">
        <f>IF(AND(ISNUMBER(R131),Settings!$B$17&gt;0),IF(ISNUMBER(INDEX($R:$R,Settings!$B$17)),(R131-INDEX($R:$R,Settings!$B$17))*100,NA()),NA())</f>
        <v/>
      </c>
      <c r="W131" s="20">
        <f>IF(AND(ISNUMBER(P131),Settings!$B$17&gt;0),IF(ISNUMBER(INDEX($P:$P,Settings!$B$17)),P131-INDEX($P:$P,Settings!$B$17),NA()),NA())</f>
        <v/>
      </c>
      <c r="X131" s="19">
        <f>IF(NOT(ISNUMBER($A131)),NA(),IF(OR($A131&lt;MIN(DKW_10Y!$A$2:$A$2918),$A131&gt;MAX(DKW_10Y!$A$2:$A$2918),Settings!$B$16&lt;MIN(DKW_10Y!$A$2:$A$2918)),NA(),(INDEX(DKW_10Y!$B$2:$B$2918,MATCH($A131,DKW_10Y!$A$2:$A$2918,1))-INDEX(DKW_10Y!$B$2:$B$2918,MATCH(Settings!$B$16,DKW_10Y!$A$2:$A$2918,1)))*100))</f>
        <v/>
      </c>
      <c r="Y131" s="19">
        <f>IF(NOT(ISNUMBER($A131)),NA(),IF(OR($A131&lt;MIN(DKW_10Y!$A$2:$A$2918),$A131&gt;MAX(DKW_10Y!$A$2:$A$2918),Settings!$B$16&lt;MIN(DKW_10Y!$A$2:$A$2918)),NA(),(INDEX(DKW_10Y!$C$2:$C$2918,MATCH($A131,DKW_10Y!$A$2:$A$2918,1))-INDEX(DKW_10Y!$C$2:$C$2918,MATCH(Settings!$B$16,DKW_10Y!$A$2:$A$2918,1)))*100))</f>
        <v/>
      </c>
      <c r="Z131" s="19">
        <f>IF(NOT(ISNUMBER($A131)),NA(),IF(OR($A131&lt;MIN(DKW_10Y!$A$2:$A$2918),$A131&gt;MAX(DKW_10Y!$A$2:$A$2918),Settings!$B$16&lt;MIN(DKW_10Y!$A$2:$A$2918)),NA(),(INDEX(DKW_10Y!$D$2:$D$2918,MATCH($A131,DKW_10Y!$A$2:$A$2918,1))-INDEX(DKW_10Y!$D$2:$D$2918,MATCH(Settings!$B$16,DKW_10Y!$A$2:$A$2918,1)))*100))</f>
        <v/>
      </c>
      <c r="AA131" s="19">
        <f>IF(NOT(ISNUMBER($A131)),NA(),IF(OR($A131&lt;MIN(DKW_10Y!$A$2:$A$2918),$A131&gt;MAX(DKW_10Y!$A$2:$A$2918),Settings!$B$16&lt;MIN(DKW_10Y!$A$2:$A$2918)),NA(),(INDEX(DKW_10Y!$E$2:$E$2918,MATCH($A131,DKW_10Y!$A$2:$A$2918,1))-INDEX(DKW_10Y!$E$2:$E$2918,MATCH(Settings!$B$16,DKW_10Y!$A$2:$A$2918,1)))*100))</f>
        <v/>
      </c>
      <c r="AB131" s="19">
        <f>IF(NOT(ISNUMBER($A131)),NA(),IF(OR($A131&lt;MIN(DKW_10Y!$A$2:$A$2918),$A131&gt;MAX(DKW_10Y!$A$2:$A$2918),Settings!$B$16&lt;MIN(DKW_10Y!$A$2:$A$2918)),NA(),(INDEX(DKW_10Y!$H$2:$H$2918,MATCH($A131,DKW_10Y!$A$2:$A$2918,1))-INDEX(DKW_10Y!$H$2:$H$2918,MATCH(Settings!$B$16,DKW_10Y!$A$2:$A$2918,1)))*100))</f>
        <v/>
      </c>
      <c r="AC131" s="18">
        <f>IF(NOT(ISNUMBER($A131)),NA(),IFERROR(1*INDEX(BBG_Data!$N$2:$N$4000,MATCH($A131,BBG_Data!$M$2:$M$4000,0)),NA()))</f>
        <v/>
      </c>
      <c r="AD131" s="18">
        <f>IF(NOT(ISNUMBER($A131)),NA(),IFERROR(1*INDEX(BBG_Data!$P$2:$P$4000,MATCH($A131,BBG_Data!$O$2:$O$4000,0)),NA()))</f>
        <v/>
      </c>
      <c r="AE131" s="18">
        <f>IF(NOT(ISNUMBER($A131)),NA(),IFERROR(1*INDEX(BBG_Data!$R$2:$R$4000,MATCH($A131,BBG_Data!$Q$2:$Q$4000,0)),NA()))</f>
        <v/>
      </c>
      <c r="AF131" s="20">
        <f>IF(AND(ISNUMBER(B131),ISNUMBER(AC131)),(B131-AC131)*100,NA())</f>
        <v/>
      </c>
      <c r="AG131" s="20">
        <f>IF(AND(ISNUMBER(AE131),ISNUMBER(AD131)),(AE131-AD131)*100,NA())</f>
        <v/>
      </c>
      <c r="AH131" s="19">
        <f>IF(NOT(ISNUMBER($A131)),NA(),IFERROR(INDEX(BBG_Data!$T$2:$T$4000,MATCH($A131,BBG_Data!$S$2:$S$4000,0))*Settings!$B$25,NA()))</f>
        <v/>
      </c>
      <c r="AI131" s="19">
        <f>IF(NOT(ISNUMBER($A131)),NA(),IFERROR(INDEX(BBG_Data!$V$2:$V$4000,MATCH($A131,BBG_Data!$U$2:$U$4000,0))*Settings!$B$25,NA()))</f>
        <v/>
      </c>
      <c r="AJ131" s="19">
        <f>IF(NOT(ISNUMBER($A131)),NA(),IFERROR(1*INDEX(BBG_Data!$X$2:$X$4000,MATCH($A131,BBG_Data!$W$2:$W$4000,0)),NA()))</f>
        <v/>
      </c>
      <c r="AK131" s="19">
        <f>IF(NOT(ISNUMBER($A131)),NA(),IFERROR(1*INDEX(BBG_Data!$Z$2:$Z$4000,MATCH($A131,BBG_Data!$Y$2:$Y$4000,0)),NA()))</f>
        <v/>
      </c>
    </row>
    <row r="132">
      <c r="A132" s="17">
        <f>IF(ISNUMBER(BBG_Data!A132),BBG_Data!A132,"")</f>
        <v/>
      </c>
      <c r="B132" s="18">
        <f>IF(AND(ISNUMBER($A132),ISNUMBER(BBG_Data!B132)),BBG_Data!B132,NA())</f>
        <v/>
      </c>
      <c r="C132" s="18">
        <f>IF(NOT(ISNUMBER($A132)),NA(),IFERROR(1*INDEX(BBG_Data!$D$2:$D$4000,MATCH($A132,BBG_Data!$C$2:$C$4000,0)),NA()))</f>
        <v/>
      </c>
      <c r="D132" s="19">
        <f>IF(NOT(ISNUMBER($A132)),NA(),IFERROR(1*INDEX(BBG_Data!$F$2:$F$4000,MATCH($A132,BBG_Data!$E$2:$E$4000,0)),NA()))</f>
        <v/>
      </c>
      <c r="E132" s="19">
        <f>IF(NOT(ISNUMBER($A132)),NA(),IFERROR(1*INDEX(BBG_Data!$H$2:$H$4000,MATCH($A132,BBG_Data!$G$2:$G$4000,0)),NA()))</f>
        <v/>
      </c>
      <c r="F132" s="20">
        <f>IF(AND(ISNUMBER(B132),ISNUMBER(B131)),IF(B132=B131,"",(B132-B131)*100),"")</f>
        <v/>
      </c>
      <c r="G132" s="20">
        <f>IF(AND(ISNUMBER(C132),ISNUMBER(C131)),IF(C132=C131,"",(C132-C131)*100),"")</f>
        <v/>
      </c>
      <c r="H132" s="20">
        <f>IF(OR(NOT(ISNUMBER($A132)),ROW()-2&lt;Settings!$B$11),NA(),IF(COUNT(OFFSET(F132,1-Settings!$B$11,0,Settings!$B$11,1))&lt;ROUNDUP(Settings!$B$11*Settings!$B$26,0),NA(),STDEV(OFFSET(F132,1-Settings!$B$11,0,Settings!$B$11,1))*SQRT(Settings!$B$13)))</f>
        <v/>
      </c>
      <c r="I132" s="20">
        <f>IF(OR(NOT(ISNUMBER($A132)),ROW()-2&lt;Settings!$B$12),NA(),IF(COUNT(OFFSET(F132,1-Settings!$B$12,0,Settings!$B$12,1))&lt;ROUNDUP(Settings!$B$12*Settings!$B$26,0),NA(),STDEV(OFFSET(F132,1-Settings!$B$12,0,Settings!$B$12,1))*SQRT(Settings!$B$13)))</f>
        <v/>
      </c>
      <c r="J132" s="20">
        <f>IF(OR(NOT(ISNUMBER($A132)),ROW()-2&lt;Settings!$B$11),NA(),IF(COUNT(OFFSET(G132,1-Settings!$B$11,0,Settings!$B$11,1))&lt;ROUNDUP(Settings!$B$11*Settings!$B$26,0),NA(),STDEV(OFFSET(G132,1-Settings!$B$11,0,Settings!$B$11,1))*SQRT(Settings!$B$13)))</f>
        <v/>
      </c>
      <c r="K132" s="20">
        <f>IF(OR(NOT(ISNUMBER($A132)),ROW()-2&lt;Settings!$B$12),NA(),IF(COUNT(OFFSET(G132,1-Settings!$B$12,0,Settings!$B$12,1))&lt;ROUNDUP(Settings!$B$12*Settings!$B$26,0),NA(),STDEV(OFFSET(G132,1-Settings!$B$12,0,Settings!$B$12,1))*SQRT(Settings!$B$13)))</f>
        <v/>
      </c>
      <c r="L132" s="20">
        <f>IF(AND(ISNUMBER(D132),ISNUMBER(H132)),D132-H132,NA())</f>
        <v/>
      </c>
      <c r="M132" s="20">
        <f>IF(AND(ISNUMBER(E132),ISNUMBER(K132)),E132-K132,NA())</f>
        <v/>
      </c>
      <c r="N132" s="20">
        <f>IF(NOT(ISNUMBER($A132)),NA(),IF(COUNT(OFFSET(G132,1,0,Settings!$B$12,1))&lt;ROUNDUP(Settings!$B$12*Settings!$B$26,0),NA(),STDEV(OFFSET(G132,1,0,Settings!$B$12,1))*SQRT(Settings!$B$13)))</f>
        <v/>
      </c>
      <c r="O132" s="20">
        <f>IF(AND(ISNUMBER(E132),ISNUMBER(N132)),E132-N132,NA())</f>
        <v/>
      </c>
      <c r="P132" s="19">
        <f>IF(NOT(ISNUMBER($A132)),NA(),IF(OR($A132&lt;MIN(KW_TP!$A$2:$A$2501),$A132&gt;MAX(KW_TP!$A$2:$A$2501)),NA(),INDEX(KW_TP!$C$2:$C$2501,MATCH($A132,KW_TP!$A$2:$A$2501,1))))</f>
        <v/>
      </c>
      <c r="Q132" s="18">
        <f>IF(NOT(ISNUMBER($A132)),NA(),IFERROR(1*INDEX(BBG_Data!$J$2:$J$4000,MATCH($A132,BBG_Data!$I$2:$I$4000,0)),NA()))</f>
        <v/>
      </c>
      <c r="R132" s="18">
        <f>IF(NOT(ISNUMBER($A132)),NA(),IFERROR(1*INDEX(BBG_Data!$L$2:$L$4000,MATCH($A132,BBG_Data!$K$2:$K$4000,0)),NA()))</f>
        <v/>
      </c>
      <c r="S132" s="20">
        <f>IF(AND(ISNUMBER(B132),ISNUMBER(Q132),ISNUMBER(R132)),(B132-Q132-R132)*100,NA())</f>
        <v/>
      </c>
      <c r="T132" s="20">
        <f>IF(AND(ISNUMBER(B132),Settings!$B$17&gt;0),IF(ISNUMBER(INDEX($B:$B,Settings!$B$17)),(B132-INDEX($B:$B,Settings!$B$17))*100,NA()),NA())</f>
        <v/>
      </c>
      <c r="U132" s="20">
        <f>IF(AND(ISNUMBER(Q132),Settings!$B$17&gt;0),IF(ISNUMBER(INDEX($Q:$Q,Settings!$B$17)),(Q132-INDEX($Q:$Q,Settings!$B$17))*100,NA()),NA())</f>
        <v/>
      </c>
      <c r="V132" s="20">
        <f>IF(AND(ISNUMBER(R132),Settings!$B$17&gt;0),IF(ISNUMBER(INDEX($R:$R,Settings!$B$17)),(R132-INDEX($R:$R,Settings!$B$17))*100,NA()),NA())</f>
        <v/>
      </c>
      <c r="W132" s="20">
        <f>IF(AND(ISNUMBER(P132),Settings!$B$17&gt;0),IF(ISNUMBER(INDEX($P:$P,Settings!$B$17)),P132-INDEX($P:$P,Settings!$B$17),NA()),NA())</f>
        <v/>
      </c>
      <c r="X132" s="19">
        <f>IF(NOT(ISNUMBER($A132)),NA(),IF(OR($A132&lt;MIN(DKW_10Y!$A$2:$A$2918),$A132&gt;MAX(DKW_10Y!$A$2:$A$2918),Settings!$B$16&lt;MIN(DKW_10Y!$A$2:$A$2918)),NA(),(INDEX(DKW_10Y!$B$2:$B$2918,MATCH($A132,DKW_10Y!$A$2:$A$2918,1))-INDEX(DKW_10Y!$B$2:$B$2918,MATCH(Settings!$B$16,DKW_10Y!$A$2:$A$2918,1)))*100))</f>
        <v/>
      </c>
      <c r="Y132" s="19">
        <f>IF(NOT(ISNUMBER($A132)),NA(),IF(OR($A132&lt;MIN(DKW_10Y!$A$2:$A$2918),$A132&gt;MAX(DKW_10Y!$A$2:$A$2918),Settings!$B$16&lt;MIN(DKW_10Y!$A$2:$A$2918)),NA(),(INDEX(DKW_10Y!$C$2:$C$2918,MATCH($A132,DKW_10Y!$A$2:$A$2918,1))-INDEX(DKW_10Y!$C$2:$C$2918,MATCH(Settings!$B$16,DKW_10Y!$A$2:$A$2918,1)))*100))</f>
        <v/>
      </c>
      <c r="Z132" s="19">
        <f>IF(NOT(ISNUMBER($A132)),NA(),IF(OR($A132&lt;MIN(DKW_10Y!$A$2:$A$2918),$A132&gt;MAX(DKW_10Y!$A$2:$A$2918),Settings!$B$16&lt;MIN(DKW_10Y!$A$2:$A$2918)),NA(),(INDEX(DKW_10Y!$D$2:$D$2918,MATCH($A132,DKW_10Y!$A$2:$A$2918,1))-INDEX(DKW_10Y!$D$2:$D$2918,MATCH(Settings!$B$16,DKW_10Y!$A$2:$A$2918,1)))*100))</f>
        <v/>
      </c>
      <c r="AA132" s="19">
        <f>IF(NOT(ISNUMBER($A132)),NA(),IF(OR($A132&lt;MIN(DKW_10Y!$A$2:$A$2918),$A132&gt;MAX(DKW_10Y!$A$2:$A$2918),Settings!$B$16&lt;MIN(DKW_10Y!$A$2:$A$2918)),NA(),(INDEX(DKW_10Y!$E$2:$E$2918,MATCH($A132,DKW_10Y!$A$2:$A$2918,1))-INDEX(DKW_10Y!$E$2:$E$2918,MATCH(Settings!$B$16,DKW_10Y!$A$2:$A$2918,1)))*100))</f>
        <v/>
      </c>
      <c r="AB132" s="19">
        <f>IF(NOT(ISNUMBER($A132)),NA(),IF(OR($A132&lt;MIN(DKW_10Y!$A$2:$A$2918),$A132&gt;MAX(DKW_10Y!$A$2:$A$2918),Settings!$B$16&lt;MIN(DKW_10Y!$A$2:$A$2918)),NA(),(INDEX(DKW_10Y!$H$2:$H$2918,MATCH($A132,DKW_10Y!$A$2:$A$2918,1))-INDEX(DKW_10Y!$H$2:$H$2918,MATCH(Settings!$B$16,DKW_10Y!$A$2:$A$2918,1)))*100))</f>
        <v/>
      </c>
      <c r="AC132" s="18">
        <f>IF(NOT(ISNUMBER($A132)),NA(),IFERROR(1*INDEX(BBG_Data!$N$2:$N$4000,MATCH($A132,BBG_Data!$M$2:$M$4000,0)),NA()))</f>
        <v/>
      </c>
      <c r="AD132" s="18">
        <f>IF(NOT(ISNUMBER($A132)),NA(),IFERROR(1*INDEX(BBG_Data!$P$2:$P$4000,MATCH($A132,BBG_Data!$O$2:$O$4000,0)),NA()))</f>
        <v/>
      </c>
      <c r="AE132" s="18">
        <f>IF(NOT(ISNUMBER($A132)),NA(),IFERROR(1*INDEX(BBG_Data!$R$2:$R$4000,MATCH($A132,BBG_Data!$Q$2:$Q$4000,0)),NA()))</f>
        <v/>
      </c>
      <c r="AF132" s="20">
        <f>IF(AND(ISNUMBER(B132),ISNUMBER(AC132)),(B132-AC132)*100,NA())</f>
        <v/>
      </c>
      <c r="AG132" s="20">
        <f>IF(AND(ISNUMBER(AE132),ISNUMBER(AD132)),(AE132-AD132)*100,NA())</f>
        <v/>
      </c>
      <c r="AH132" s="19">
        <f>IF(NOT(ISNUMBER($A132)),NA(),IFERROR(INDEX(BBG_Data!$T$2:$T$4000,MATCH($A132,BBG_Data!$S$2:$S$4000,0))*Settings!$B$25,NA()))</f>
        <v/>
      </c>
      <c r="AI132" s="19">
        <f>IF(NOT(ISNUMBER($A132)),NA(),IFERROR(INDEX(BBG_Data!$V$2:$V$4000,MATCH($A132,BBG_Data!$U$2:$U$4000,0))*Settings!$B$25,NA()))</f>
        <v/>
      </c>
      <c r="AJ132" s="19">
        <f>IF(NOT(ISNUMBER($A132)),NA(),IFERROR(1*INDEX(BBG_Data!$X$2:$X$4000,MATCH($A132,BBG_Data!$W$2:$W$4000,0)),NA()))</f>
        <v/>
      </c>
      <c r="AK132" s="19">
        <f>IF(NOT(ISNUMBER($A132)),NA(),IFERROR(1*INDEX(BBG_Data!$Z$2:$Z$4000,MATCH($A132,BBG_Data!$Y$2:$Y$4000,0)),NA()))</f>
        <v/>
      </c>
    </row>
    <row r="133">
      <c r="A133" s="17">
        <f>IF(ISNUMBER(BBG_Data!A133),BBG_Data!A133,"")</f>
        <v/>
      </c>
      <c r="B133" s="18">
        <f>IF(AND(ISNUMBER($A133),ISNUMBER(BBG_Data!B133)),BBG_Data!B133,NA())</f>
        <v/>
      </c>
      <c r="C133" s="18">
        <f>IF(NOT(ISNUMBER($A133)),NA(),IFERROR(1*INDEX(BBG_Data!$D$2:$D$4000,MATCH($A133,BBG_Data!$C$2:$C$4000,0)),NA()))</f>
        <v/>
      </c>
      <c r="D133" s="19">
        <f>IF(NOT(ISNUMBER($A133)),NA(),IFERROR(1*INDEX(BBG_Data!$F$2:$F$4000,MATCH($A133,BBG_Data!$E$2:$E$4000,0)),NA()))</f>
        <v/>
      </c>
      <c r="E133" s="19">
        <f>IF(NOT(ISNUMBER($A133)),NA(),IFERROR(1*INDEX(BBG_Data!$H$2:$H$4000,MATCH($A133,BBG_Data!$G$2:$G$4000,0)),NA()))</f>
        <v/>
      </c>
      <c r="F133" s="20">
        <f>IF(AND(ISNUMBER(B133),ISNUMBER(B132)),IF(B133=B132,"",(B133-B132)*100),"")</f>
        <v/>
      </c>
      <c r="G133" s="20">
        <f>IF(AND(ISNUMBER(C133),ISNUMBER(C132)),IF(C133=C132,"",(C133-C132)*100),"")</f>
        <v/>
      </c>
      <c r="H133" s="20">
        <f>IF(OR(NOT(ISNUMBER($A133)),ROW()-2&lt;Settings!$B$11),NA(),IF(COUNT(OFFSET(F133,1-Settings!$B$11,0,Settings!$B$11,1))&lt;ROUNDUP(Settings!$B$11*Settings!$B$26,0),NA(),STDEV(OFFSET(F133,1-Settings!$B$11,0,Settings!$B$11,1))*SQRT(Settings!$B$13)))</f>
        <v/>
      </c>
      <c r="I133" s="20">
        <f>IF(OR(NOT(ISNUMBER($A133)),ROW()-2&lt;Settings!$B$12),NA(),IF(COUNT(OFFSET(F133,1-Settings!$B$12,0,Settings!$B$12,1))&lt;ROUNDUP(Settings!$B$12*Settings!$B$26,0),NA(),STDEV(OFFSET(F133,1-Settings!$B$12,0,Settings!$B$12,1))*SQRT(Settings!$B$13)))</f>
        <v/>
      </c>
      <c r="J133" s="20">
        <f>IF(OR(NOT(ISNUMBER($A133)),ROW()-2&lt;Settings!$B$11),NA(),IF(COUNT(OFFSET(G133,1-Settings!$B$11,0,Settings!$B$11,1))&lt;ROUNDUP(Settings!$B$11*Settings!$B$26,0),NA(),STDEV(OFFSET(G133,1-Settings!$B$11,0,Settings!$B$11,1))*SQRT(Settings!$B$13)))</f>
        <v/>
      </c>
      <c r="K133" s="20">
        <f>IF(OR(NOT(ISNUMBER($A133)),ROW()-2&lt;Settings!$B$12),NA(),IF(COUNT(OFFSET(G133,1-Settings!$B$12,0,Settings!$B$12,1))&lt;ROUNDUP(Settings!$B$12*Settings!$B$26,0),NA(),STDEV(OFFSET(G133,1-Settings!$B$12,0,Settings!$B$12,1))*SQRT(Settings!$B$13)))</f>
        <v/>
      </c>
      <c r="L133" s="20">
        <f>IF(AND(ISNUMBER(D133),ISNUMBER(H133)),D133-H133,NA())</f>
        <v/>
      </c>
      <c r="M133" s="20">
        <f>IF(AND(ISNUMBER(E133),ISNUMBER(K133)),E133-K133,NA())</f>
        <v/>
      </c>
      <c r="N133" s="20">
        <f>IF(NOT(ISNUMBER($A133)),NA(),IF(COUNT(OFFSET(G133,1,0,Settings!$B$12,1))&lt;ROUNDUP(Settings!$B$12*Settings!$B$26,0),NA(),STDEV(OFFSET(G133,1,0,Settings!$B$12,1))*SQRT(Settings!$B$13)))</f>
        <v/>
      </c>
      <c r="O133" s="20">
        <f>IF(AND(ISNUMBER(E133),ISNUMBER(N133)),E133-N133,NA())</f>
        <v/>
      </c>
      <c r="P133" s="19">
        <f>IF(NOT(ISNUMBER($A133)),NA(),IF(OR($A133&lt;MIN(KW_TP!$A$2:$A$2501),$A133&gt;MAX(KW_TP!$A$2:$A$2501)),NA(),INDEX(KW_TP!$C$2:$C$2501,MATCH($A133,KW_TP!$A$2:$A$2501,1))))</f>
        <v/>
      </c>
      <c r="Q133" s="18">
        <f>IF(NOT(ISNUMBER($A133)),NA(),IFERROR(1*INDEX(BBG_Data!$J$2:$J$4000,MATCH($A133,BBG_Data!$I$2:$I$4000,0)),NA()))</f>
        <v/>
      </c>
      <c r="R133" s="18">
        <f>IF(NOT(ISNUMBER($A133)),NA(),IFERROR(1*INDEX(BBG_Data!$L$2:$L$4000,MATCH($A133,BBG_Data!$K$2:$K$4000,0)),NA()))</f>
        <v/>
      </c>
      <c r="S133" s="20">
        <f>IF(AND(ISNUMBER(B133),ISNUMBER(Q133),ISNUMBER(R133)),(B133-Q133-R133)*100,NA())</f>
        <v/>
      </c>
      <c r="T133" s="20">
        <f>IF(AND(ISNUMBER(B133),Settings!$B$17&gt;0),IF(ISNUMBER(INDEX($B:$B,Settings!$B$17)),(B133-INDEX($B:$B,Settings!$B$17))*100,NA()),NA())</f>
        <v/>
      </c>
      <c r="U133" s="20">
        <f>IF(AND(ISNUMBER(Q133),Settings!$B$17&gt;0),IF(ISNUMBER(INDEX($Q:$Q,Settings!$B$17)),(Q133-INDEX($Q:$Q,Settings!$B$17))*100,NA()),NA())</f>
        <v/>
      </c>
      <c r="V133" s="20">
        <f>IF(AND(ISNUMBER(R133),Settings!$B$17&gt;0),IF(ISNUMBER(INDEX($R:$R,Settings!$B$17)),(R133-INDEX($R:$R,Settings!$B$17))*100,NA()),NA())</f>
        <v/>
      </c>
      <c r="W133" s="20">
        <f>IF(AND(ISNUMBER(P133),Settings!$B$17&gt;0),IF(ISNUMBER(INDEX($P:$P,Settings!$B$17)),P133-INDEX($P:$P,Settings!$B$17),NA()),NA())</f>
        <v/>
      </c>
      <c r="X133" s="19">
        <f>IF(NOT(ISNUMBER($A133)),NA(),IF(OR($A133&lt;MIN(DKW_10Y!$A$2:$A$2918),$A133&gt;MAX(DKW_10Y!$A$2:$A$2918),Settings!$B$16&lt;MIN(DKW_10Y!$A$2:$A$2918)),NA(),(INDEX(DKW_10Y!$B$2:$B$2918,MATCH($A133,DKW_10Y!$A$2:$A$2918,1))-INDEX(DKW_10Y!$B$2:$B$2918,MATCH(Settings!$B$16,DKW_10Y!$A$2:$A$2918,1)))*100))</f>
        <v/>
      </c>
      <c r="Y133" s="19">
        <f>IF(NOT(ISNUMBER($A133)),NA(),IF(OR($A133&lt;MIN(DKW_10Y!$A$2:$A$2918),$A133&gt;MAX(DKW_10Y!$A$2:$A$2918),Settings!$B$16&lt;MIN(DKW_10Y!$A$2:$A$2918)),NA(),(INDEX(DKW_10Y!$C$2:$C$2918,MATCH($A133,DKW_10Y!$A$2:$A$2918,1))-INDEX(DKW_10Y!$C$2:$C$2918,MATCH(Settings!$B$16,DKW_10Y!$A$2:$A$2918,1)))*100))</f>
        <v/>
      </c>
      <c r="Z133" s="19">
        <f>IF(NOT(ISNUMBER($A133)),NA(),IF(OR($A133&lt;MIN(DKW_10Y!$A$2:$A$2918),$A133&gt;MAX(DKW_10Y!$A$2:$A$2918),Settings!$B$16&lt;MIN(DKW_10Y!$A$2:$A$2918)),NA(),(INDEX(DKW_10Y!$D$2:$D$2918,MATCH($A133,DKW_10Y!$A$2:$A$2918,1))-INDEX(DKW_10Y!$D$2:$D$2918,MATCH(Settings!$B$16,DKW_10Y!$A$2:$A$2918,1)))*100))</f>
        <v/>
      </c>
      <c r="AA133" s="19">
        <f>IF(NOT(ISNUMBER($A133)),NA(),IF(OR($A133&lt;MIN(DKW_10Y!$A$2:$A$2918),$A133&gt;MAX(DKW_10Y!$A$2:$A$2918),Settings!$B$16&lt;MIN(DKW_10Y!$A$2:$A$2918)),NA(),(INDEX(DKW_10Y!$E$2:$E$2918,MATCH($A133,DKW_10Y!$A$2:$A$2918,1))-INDEX(DKW_10Y!$E$2:$E$2918,MATCH(Settings!$B$16,DKW_10Y!$A$2:$A$2918,1)))*100))</f>
        <v/>
      </c>
      <c r="AB133" s="19">
        <f>IF(NOT(ISNUMBER($A133)),NA(),IF(OR($A133&lt;MIN(DKW_10Y!$A$2:$A$2918),$A133&gt;MAX(DKW_10Y!$A$2:$A$2918),Settings!$B$16&lt;MIN(DKW_10Y!$A$2:$A$2918)),NA(),(INDEX(DKW_10Y!$H$2:$H$2918,MATCH($A133,DKW_10Y!$A$2:$A$2918,1))-INDEX(DKW_10Y!$H$2:$H$2918,MATCH(Settings!$B$16,DKW_10Y!$A$2:$A$2918,1)))*100))</f>
        <v/>
      </c>
      <c r="AC133" s="18">
        <f>IF(NOT(ISNUMBER($A133)),NA(),IFERROR(1*INDEX(BBG_Data!$N$2:$N$4000,MATCH($A133,BBG_Data!$M$2:$M$4000,0)),NA()))</f>
        <v/>
      </c>
      <c r="AD133" s="18">
        <f>IF(NOT(ISNUMBER($A133)),NA(),IFERROR(1*INDEX(BBG_Data!$P$2:$P$4000,MATCH($A133,BBG_Data!$O$2:$O$4000,0)),NA()))</f>
        <v/>
      </c>
      <c r="AE133" s="18">
        <f>IF(NOT(ISNUMBER($A133)),NA(),IFERROR(1*INDEX(BBG_Data!$R$2:$R$4000,MATCH($A133,BBG_Data!$Q$2:$Q$4000,0)),NA()))</f>
        <v/>
      </c>
      <c r="AF133" s="20">
        <f>IF(AND(ISNUMBER(B133),ISNUMBER(AC133)),(B133-AC133)*100,NA())</f>
        <v/>
      </c>
      <c r="AG133" s="20">
        <f>IF(AND(ISNUMBER(AE133),ISNUMBER(AD133)),(AE133-AD133)*100,NA())</f>
        <v/>
      </c>
      <c r="AH133" s="19">
        <f>IF(NOT(ISNUMBER($A133)),NA(),IFERROR(INDEX(BBG_Data!$T$2:$T$4000,MATCH($A133,BBG_Data!$S$2:$S$4000,0))*Settings!$B$25,NA()))</f>
        <v/>
      </c>
      <c r="AI133" s="19">
        <f>IF(NOT(ISNUMBER($A133)),NA(),IFERROR(INDEX(BBG_Data!$V$2:$V$4000,MATCH($A133,BBG_Data!$U$2:$U$4000,0))*Settings!$B$25,NA()))</f>
        <v/>
      </c>
      <c r="AJ133" s="19">
        <f>IF(NOT(ISNUMBER($A133)),NA(),IFERROR(1*INDEX(BBG_Data!$X$2:$X$4000,MATCH($A133,BBG_Data!$W$2:$W$4000,0)),NA()))</f>
        <v/>
      </c>
      <c r="AK133" s="19">
        <f>IF(NOT(ISNUMBER($A133)),NA(),IFERROR(1*INDEX(BBG_Data!$Z$2:$Z$4000,MATCH($A133,BBG_Data!$Y$2:$Y$4000,0)),NA()))</f>
        <v/>
      </c>
    </row>
    <row r="134">
      <c r="A134" s="17">
        <f>IF(ISNUMBER(BBG_Data!A134),BBG_Data!A134,"")</f>
        <v/>
      </c>
      <c r="B134" s="18">
        <f>IF(AND(ISNUMBER($A134),ISNUMBER(BBG_Data!B134)),BBG_Data!B134,NA())</f>
        <v/>
      </c>
      <c r="C134" s="18">
        <f>IF(NOT(ISNUMBER($A134)),NA(),IFERROR(1*INDEX(BBG_Data!$D$2:$D$4000,MATCH($A134,BBG_Data!$C$2:$C$4000,0)),NA()))</f>
        <v/>
      </c>
      <c r="D134" s="19">
        <f>IF(NOT(ISNUMBER($A134)),NA(),IFERROR(1*INDEX(BBG_Data!$F$2:$F$4000,MATCH($A134,BBG_Data!$E$2:$E$4000,0)),NA()))</f>
        <v/>
      </c>
      <c r="E134" s="19">
        <f>IF(NOT(ISNUMBER($A134)),NA(),IFERROR(1*INDEX(BBG_Data!$H$2:$H$4000,MATCH($A134,BBG_Data!$G$2:$G$4000,0)),NA()))</f>
        <v/>
      </c>
      <c r="F134" s="20">
        <f>IF(AND(ISNUMBER(B134),ISNUMBER(B133)),IF(B134=B133,"",(B134-B133)*100),"")</f>
        <v/>
      </c>
      <c r="G134" s="20">
        <f>IF(AND(ISNUMBER(C134),ISNUMBER(C133)),IF(C134=C133,"",(C134-C133)*100),"")</f>
        <v/>
      </c>
      <c r="H134" s="20">
        <f>IF(OR(NOT(ISNUMBER($A134)),ROW()-2&lt;Settings!$B$11),NA(),IF(COUNT(OFFSET(F134,1-Settings!$B$11,0,Settings!$B$11,1))&lt;ROUNDUP(Settings!$B$11*Settings!$B$26,0),NA(),STDEV(OFFSET(F134,1-Settings!$B$11,0,Settings!$B$11,1))*SQRT(Settings!$B$13)))</f>
        <v/>
      </c>
      <c r="I134" s="20">
        <f>IF(OR(NOT(ISNUMBER($A134)),ROW()-2&lt;Settings!$B$12),NA(),IF(COUNT(OFFSET(F134,1-Settings!$B$12,0,Settings!$B$12,1))&lt;ROUNDUP(Settings!$B$12*Settings!$B$26,0),NA(),STDEV(OFFSET(F134,1-Settings!$B$12,0,Settings!$B$12,1))*SQRT(Settings!$B$13)))</f>
        <v/>
      </c>
      <c r="J134" s="20">
        <f>IF(OR(NOT(ISNUMBER($A134)),ROW()-2&lt;Settings!$B$11),NA(),IF(COUNT(OFFSET(G134,1-Settings!$B$11,0,Settings!$B$11,1))&lt;ROUNDUP(Settings!$B$11*Settings!$B$26,0),NA(),STDEV(OFFSET(G134,1-Settings!$B$11,0,Settings!$B$11,1))*SQRT(Settings!$B$13)))</f>
        <v/>
      </c>
      <c r="K134" s="20">
        <f>IF(OR(NOT(ISNUMBER($A134)),ROW()-2&lt;Settings!$B$12),NA(),IF(COUNT(OFFSET(G134,1-Settings!$B$12,0,Settings!$B$12,1))&lt;ROUNDUP(Settings!$B$12*Settings!$B$26,0),NA(),STDEV(OFFSET(G134,1-Settings!$B$12,0,Settings!$B$12,1))*SQRT(Settings!$B$13)))</f>
        <v/>
      </c>
      <c r="L134" s="20">
        <f>IF(AND(ISNUMBER(D134),ISNUMBER(H134)),D134-H134,NA())</f>
        <v/>
      </c>
      <c r="M134" s="20">
        <f>IF(AND(ISNUMBER(E134),ISNUMBER(K134)),E134-K134,NA())</f>
        <v/>
      </c>
      <c r="N134" s="20">
        <f>IF(NOT(ISNUMBER($A134)),NA(),IF(COUNT(OFFSET(G134,1,0,Settings!$B$12,1))&lt;ROUNDUP(Settings!$B$12*Settings!$B$26,0),NA(),STDEV(OFFSET(G134,1,0,Settings!$B$12,1))*SQRT(Settings!$B$13)))</f>
        <v/>
      </c>
      <c r="O134" s="20">
        <f>IF(AND(ISNUMBER(E134),ISNUMBER(N134)),E134-N134,NA())</f>
        <v/>
      </c>
      <c r="P134" s="19">
        <f>IF(NOT(ISNUMBER($A134)),NA(),IF(OR($A134&lt;MIN(KW_TP!$A$2:$A$2501),$A134&gt;MAX(KW_TP!$A$2:$A$2501)),NA(),INDEX(KW_TP!$C$2:$C$2501,MATCH($A134,KW_TP!$A$2:$A$2501,1))))</f>
        <v/>
      </c>
      <c r="Q134" s="18">
        <f>IF(NOT(ISNUMBER($A134)),NA(),IFERROR(1*INDEX(BBG_Data!$J$2:$J$4000,MATCH($A134,BBG_Data!$I$2:$I$4000,0)),NA()))</f>
        <v/>
      </c>
      <c r="R134" s="18">
        <f>IF(NOT(ISNUMBER($A134)),NA(),IFERROR(1*INDEX(BBG_Data!$L$2:$L$4000,MATCH($A134,BBG_Data!$K$2:$K$4000,0)),NA()))</f>
        <v/>
      </c>
      <c r="S134" s="20">
        <f>IF(AND(ISNUMBER(B134),ISNUMBER(Q134),ISNUMBER(R134)),(B134-Q134-R134)*100,NA())</f>
        <v/>
      </c>
      <c r="T134" s="20">
        <f>IF(AND(ISNUMBER(B134),Settings!$B$17&gt;0),IF(ISNUMBER(INDEX($B:$B,Settings!$B$17)),(B134-INDEX($B:$B,Settings!$B$17))*100,NA()),NA())</f>
        <v/>
      </c>
      <c r="U134" s="20">
        <f>IF(AND(ISNUMBER(Q134),Settings!$B$17&gt;0),IF(ISNUMBER(INDEX($Q:$Q,Settings!$B$17)),(Q134-INDEX($Q:$Q,Settings!$B$17))*100,NA()),NA())</f>
        <v/>
      </c>
      <c r="V134" s="20">
        <f>IF(AND(ISNUMBER(R134),Settings!$B$17&gt;0),IF(ISNUMBER(INDEX($R:$R,Settings!$B$17)),(R134-INDEX($R:$R,Settings!$B$17))*100,NA()),NA())</f>
        <v/>
      </c>
      <c r="W134" s="20">
        <f>IF(AND(ISNUMBER(P134),Settings!$B$17&gt;0),IF(ISNUMBER(INDEX($P:$P,Settings!$B$17)),P134-INDEX($P:$P,Settings!$B$17),NA()),NA())</f>
        <v/>
      </c>
      <c r="X134" s="19">
        <f>IF(NOT(ISNUMBER($A134)),NA(),IF(OR($A134&lt;MIN(DKW_10Y!$A$2:$A$2918),$A134&gt;MAX(DKW_10Y!$A$2:$A$2918),Settings!$B$16&lt;MIN(DKW_10Y!$A$2:$A$2918)),NA(),(INDEX(DKW_10Y!$B$2:$B$2918,MATCH($A134,DKW_10Y!$A$2:$A$2918,1))-INDEX(DKW_10Y!$B$2:$B$2918,MATCH(Settings!$B$16,DKW_10Y!$A$2:$A$2918,1)))*100))</f>
        <v/>
      </c>
      <c r="Y134" s="19">
        <f>IF(NOT(ISNUMBER($A134)),NA(),IF(OR($A134&lt;MIN(DKW_10Y!$A$2:$A$2918),$A134&gt;MAX(DKW_10Y!$A$2:$A$2918),Settings!$B$16&lt;MIN(DKW_10Y!$A$2:$A$2918)),NA(),(INDEX(DKW_10Y!$C$2:$C$2918,MATCH($A134,DKW_10Y!$A$2:$A$2918,1))-INDEX(DKW_10Y!$C$2:$C$2918,MATCH(Settings!$B$16,DKW_10Y!$A$2:$A$2918,1)))*100))</f>
        <v/>
      </c>
      <c r="Z134" s="19">
        <f>IF(NOT(ISNUMBER($A134)),NA(),IF(OR($A134&lt;MIN(DKW_10Y!$A$2:$A$2918),$A134&gt;MAX(DKW_10Y!$A$2:$A$2918),Settings!$B$16&lt;MIN(DKW_10Y!$A$2:$A$2918)),NA(),(INDEX(DKW_10Y!$D$2:$D$2918,MATCH($A134,DKW_10Y!$A$2:$A$2918,1))-INDEX(DKW_10Y!$D$2:$D$2918,MATCH(Settings!$B$16,DKW_10Y!$A$2:$A$2918,1)))*100))</f>
        <v/>
      </c>
      <c r="AA134" s="19">
        <f>IF(NOT(ISNUMBER($A134)),NA(),IF(OR($A134&lt;MIN(DKW_10Y!$A$2:$A$2918),$A134&gt;MAX(DKW_10Y!$A$2:$A$2918),Settings!$B$16&lt;MIN(DKW_10Y!$A$2:$A$2918)),NA(),(INDEX(DKW_10Y!$E$2:$E$2918,MATCH($A134,DKW_10Y!$A$2:$A$2918,1))-INDEX(DKW_10Y!$E$2:$E$2918,MATCH(Settings!$B$16,DKW_10Y!$A$2:$A$2918,1)))*100))</f>
        <v/>
      </c>
      <c r="AB134" s="19">
        <f>IF(NOT(ISNUMBER($A134)),NA(),IF(OR($A134&lt;MIN(DKW_10Y!$A$2:$A$2918),$A134&gt;MAX(DKW_10Y!$A$2:$A$2918),Settings!$B$16&lt;MIN(DKW_10Y!$A$2:$A$2918)),NA(),(INDEX(DKW_10Y!$H$2:$H$2918,MATCH($A134,DKW_10Y!$A$2:$A$2918,1))-INDEX(DKW_10Y!$H$2:$H$2918,MATCH(Settings!$B$16,DKW_10Y!$A$2:$A$2918,1)))*100))</f>
        <v/>
      </c>
      <c r="AC134" s="18">
        <f>IF(NOT(ISNUMBER($A134)),NA(),IFERROR(1*INDEX(BBG_Data!$N$2:$N$4000,MATCH($A134,BBG_Data!$M$2:$M$4000,0)),NA()))</f>
        <v/>
      </c>
      <c r="AD134" s="18">
        <f>IF(NOT(ISNUMBER($A134)),NA(),IFERROR(1*INDEX(BBG_Data!$P$2:$P$4000,MATCH($A134,BBG_Data!$O$2:$O$4000,0)),NA()))</f>
        <v/>
      </c>
      <c r="AE134" s="18">
        <f>IF(NOT(ISNUMBER($A134)),NA(),IFERROR(1*INDEX(BBG_Data!$R$2:$R$4000,MATCH($A134,BBG_Data!$Q$2:$Q$4000,0)),NA()))</f>
        <v/>
      </c>
      <c r="AF134" s="20">
        <f>IF(AND(ISNUMBER(B134),ISNUMBER(AC134)),(B134-AC134)*100,NA())</f>
        <v/>
      </c>
      <c r="AG134" s="20">
        <f>IF(AND(ISNUMBER(AE134),ISNUMBER(AD134)),(AE134-AD134)*100,NA())</f>
        <v/>
      </c>
      <c r="AH134" s="19">
        <f>IF(NOT(ISNUMBER($A134)),NA(),IFERROR(INDEX(BBG_Data!$T$2:$T$4000,MATCH($A134,BBG_Data!$S$2:$S$4000,0))*Settings!$B$25,NA()))</f>
        <v/>
      </c>
      <c r="AI134" s="19">
        <f>IF(NOT(ISNUMBER($A134)),NA(),IFERROR(INDEX(BBG_Data!$V$2:$V$4000,MATCH($A134,BBG_Data!$U$2:$U$4000,0))*Settings!$B$25,NA()))</f>
        <v/>
      </c>
      <c r="AJ134" s="19">
        <f>IF(NOT(ISNUMBER($A134)),NA(),IFERROR(1*INDEX(BBG_Data!$X$2:$X$4000,MATCH($A134,BBG_Data!$W$2:$W$4000,0)),NA()))</f>
        <v/>
      </c>
      <c r="AK134" s="19">
        <f>IF(NOT(ISNUMBER($A134)),NA(),IFERROR(1*INDEX(BBG_Data!$Z$2:$Z$4000,MATCH($A134,BBG_Data!$Y$2:$Y$4000,0)),NA()))</f>
        <v/>
      </c>
    </row>
    <row r="135">
      <c r="A135" s="17">
        <f>IF(ISNUMBER(BBG_Data!A135),BBG_Data!A135,"")</f>
        <v/>
      </c>
      <c r="B135" s="18">
        <f>IF(AND(ISNUMBER($A135),ISNUMBER(BBG_Data!B135)),BBG_Data!B135,NA())</f>
        <v/>
      </c>
      <c r="C135" s="18">
        <f>IF(NOT(ISNUMBER($A135)),NA(),IFERROR(1*INDEX(BBG_Data!$D$2:$D$4000,MATCH($A135,BBG_Data!$C$2:$C$4000,0)),NA()))</f>
        <v/>
      </c>
      <c r="D135" s="19">
        <f>IF(NOT(ISNUMBER($A135)),NA(),IFERROR(1*INDEX(BBG_Data!$F$2:$F$4000,MATCH($A135,BBG_Data!$E$2:$E$4000,0)),NA()))</f>
        <v/>
      </c>
      <c r="E135" s="19">
        <f>IF(NOT(ISNUMBER($A135)),NA(),IFERROR(1*INDEX(BBG_Data!$H$2:$H$4000,MATCH($A135,BBG_Data!$G$2:$G$4000,0)),NA()))</f>
        <v/>
      </c>
      <c r="F135" s="20">
        <f>IF(AND(ISNUMBER(B135),ISNUMBER(B134)),IF(B135=B134,"",(B135-B134)*100),"")</f>
        <v/>
      </c>
      <c r="G135" s="20">
        <f>IF(AND(ISNUMBER(C135),ISNUMBER(C134)),IF(C135=C134,"",(C135-C134)*100),"")</f>
        <v/>
      </c>
      <c r="H135" s="20">
        <f>IF(OR(NOT(ISNUMBER($A135)),ROW()-2&lt;Settings!$B$11),NA(),IF(COUNT(OFFSET(F135,1-Settings!$B$11,0,Settings!$B$11,1))&lt;ROUNDUP(Settings!$B$11*Settings!$B$26,0),NA(),STDEV(OFFSET(F135,1-Settings!$B$11,0,Settings!$B$11,1))*SQRT(Settings!$B$13)))</f>
        <v/>
      </c>
      <c r="I135" s="20">
        <f>IF(OR(NOT(ISNUMBER($A135)),ROW()-2&lt;Settings!$B$12),NA(),IF(COUNT(OFFSET(F135,1-Settings!$B$12,0,Settings!$B$12,1))&lt;ROUNDUP(Settings!$B$12*Settings!$B$26,0),NA(),STDEV(OFFSET(F135,1-Settings!$B$12,0,Settings!$B$12,1))*SQRT(Settings!$B$13)))</f>
        <v/>
      </c>
      <c r="J135" s="20">
        <f>IF(OR(NOT(ISNUMBER($A135)),ROW()-2&lt;Settings!$B$11),NA(),IF(COUNT(OFFSET(G135,1-Settings!$B$11,0,Settings!$B$11,1))&lt;ROUNDUP(Settings!$B$11*Settings!$B$26,0),NA(),STDEV(OFFSET(G135,1-Settings!$B$11,0,Settings!$B$11,1))*SQRT(Settings!$B$13)))</f>
        <v/>
      </c>
      <c r="K135" s="20">
        <f>IF(OR(NOT(ISNUMBER($A135)),ROW()-2&lt;Settings!$B$12),NA(),IF(COUNT(OFFSET(G135,1-Settings!$B$12,0,Settings!$B$12,1))&lt;ROUNDUP(Settings!$B$12*Settings!$B$26,0),NA(),STDEV(OFFSET(G135,1-Settings!$B$12,0,Settings!$B$12,1))*SQRT(Settings!$B$13)))</f>
        <v/>
      </c>
      <c r="L135" s="20">
        <f>IF(AND(ISNUMBER(D135),ISNUMBER(H135)),D135-H135,NA())</f>
        <v/>
      </c>
      <c r="M135" s="20">
        <f>IF(AND(ISNUMBER(E135),ISNUMBER(K135)),E135-K135,NA())</f>
        <v/>
      </c>
      <c r="N135" s="20">
        <f>IF(NOT(ISNUMBER($A135)),NA(),IF(COUNT(OFFSET(G135,1,0,Settings!$B$12,1))&lt;ROUNDUP(Settings!$B$12*Settings!$B$26,0),NA(),STDEV(OFFSET(G135,1,0,Settings!$B$12,1))*SQRT(Settings!$B$13)))</f>
        <v/>
      </c>
      <c r="O135" s="20">
        <f>IF(AND(ISNUMBER(E135),ISNUMBER(N135)),E135-N135,NA())</f>
        <v/>
      </c>
      <c r="P135" s="19">
        <f>IF(NOT(ISNUMBER($A135)),NA(),IF(OR($A135&lt;MIN(KW_TP!$A$2:$A$2501),$A135&gt;MAX(KW_TP!$A$2:$A$2501)),NA(),INDEX(KW_TP!$C$2:$C$2501,MATCH($A135,KW_TP!$A$2:$A$2501,1))))</f>
        <v/>
      </c>
      <c r="Q135" s="18">
        <f>IF(NOT(ISNUMBER($A135)),NA(),IFERROR(1*INDEX(BBG_Data!$J$2:$J$4000,MATCH($A135,BBG_Data!$I$2:$I$4000,0)),NA()))</f>
        <v/>
      </c>
      <c r="R135" s="18">
        <f>IF(NOT(ISNUMBER($A135)),NA(),IFERROR(1*INDEX(BBG_Data!$L$2:$L$4000,MATCH($A135,BBG_Data!$K$2:$K$4000,0)),NA()))</f>
        <v/>
      </c>
      <c r="S135" s="20">
        <f>IF(AND(ISNUMBER(B135),ISNUMBER(Q135),ISNUMBER(R135)),(B135-Q135-R135)*100,NA())</f>
        <v/>
      </c>
      <c r="T135" s="20">
        <f>IF(AND(ISNUMBER(B135),Settings!$B$17&gt;0),IF(ISNUMBER(INDEX($B:$B,Settings!$B$17)),(B135-INDEX($B:$B,Settings!$B$17))*100,NA()),NA())</f>
        <v/>
      </c>
      <c r="U135" s="20">
        <f>IF(AND(ISNUMBER(Q135),Settings!$B$17&gt;0),IF(ISNUMBER(INDEX($Q:$Q,Settings!$B$17)),(Q135-INDEX($Q:$Q,Settings!$B$17))*100,NA()),NA())</f>
        <v/>
      </c>
      <c r="V135" s="20">
        <f>IF(AND(ISNUMBER(R135),Settings!$B$17&gt;0),IF(ISNUMBER(INDEX($R:$R,Settings!$B$17)),(R135-INDEX($R:$R,Settings!$B$17))*100,NA()),NA())</f>
        <v/>
      </c>
      <c r="W135" s="20">
        <f>IF(AND(ISNUMBER(P135),Settings!$B$17&gt;0),IF(ISNUMBER(INDEX($P:$P,Settings!$B$17)),P135-INDEX($P:$P,Settings!$B$17),NA()),NA())</f>
        <v/>
      </c>
      <c r="X135" s="19">
        <f>IF(NOT(ISNUMBER($A135)),NA(),IF(OR($A135&lt;MIN(DKW_10Y!$A$2:$A$2918),$A135&gt;MAX(DKW_10Y!$A$2:$A$2918),Settings!$B$16&lt;MIN(DKW_10Y!$A$2:$A$2918)),NA(),(INDEX(DKW_10Y!$B$2:$B$2918,MATCH($A135,DKW_10Y!$A$2:$A$2918,1))-INDEX(DKW_10Y!$B$2:$B$2918,MATCH(Settings!$B$16,DKW_10Y!$A$2:$A$2918,1)))*100))</f>
        <v/>
      </c>
      <c r="Y135" s="19">
        <f>IF(NOT(ISNUMBER($A135)),NA(),IF(OR($A135&lt;MIN(DKW_10Y!$A$2:$A$2918),$A135&gt;MAX(DKW_10Y!$A$2:$A$2918),Settings!$B$16&lt;MIN(DKW_10Y!$A$2:$A$2918)),NA(),(INDEX(DKW_10Y!$C$2:$C$2918,MATCH($A135,DKW_10Y!$A$2:$A$2918,1))-INDEX(DKW_10Y!$C$2:$C$2918,MATCH(Settings!$B$16,DKW_10Y!$A$2:$A$2918,1)))*100))</f>
        <v/>
      </c>
      <c r="Z135" s="19">
        <f>IF(NOT(ISNUMBER($A135)),NA(),IF(OR($A135&lt;MIN(DKW_10Y!$A$2:$A$2918),$A135&gt;MAX(DKW_10Y!$A$2:$A$2918),Settings!$B$16&lt;MIN(DKW_10Y!$A$2:$A$2918)),NA(),(INDEX(DKW_10Y!$D$2:$D$2918,MATCH($A135,DKW_10Y!$A$2:$A$2918,1))-INDEX(DKW_10Y!$D$2:$D$2918,MATCH(Settings!$B$16,DKW_10Y!$A$2:$A$2918,1)))*100))</f>
        <v/>
      </c>
      <c r="AA135" s="19">
        <f>IF(NOT(ISNUMBER($A135)),NA(),IF(OR($A135&lt;MIN(DKW_10Y!$A$2:$A$2918),$A135&gt;MAX(DKW_10Y!$A$2:$A$2918),Settings!$B$16&lt;MIN(DKW_10Y!$A$2:$A$2918)),NA(),(INDEX(DKW_10Y!$E$2:$E$2918,MATCH($A135,DKW_10Y!$A$2:$A$2918,1))-INDEX(DKW_10Y!$E$2:$E$2918,MATCH(Settings!$B$16,DKW_10Y!$A$2:$A$2918,1)))*100))</f>
        <v/>
      </c>
      <c r="AB135" s="19">
        <f>IF(NOT(ISNUMBER($A135)),NA(),IF(OR($A135&lt;MIN(DKW_10Y!$A$2:$A$2918),$A135&gt;MAX(DKW_10Y!$A$2:$A$2918),Settings!$B$16&lt;MIN(DKW_10Y!$A$2:$A$2918)),NA(),(INDEX(DKW_10Y!$H$2:$H$2918,MATCH($A135,DKW_10Y!$A$2:$A$2918,1))-INDEX(DKW_10Y!$H$2:$H$2918,MATCH(Settings!$B$16,DKW_10Y!$A$2:$A$2918,1)))*100))</f>
        <v/>
      </c>
      <c r="AC135" s="18">
        <f>IF(NOT(ISNUMBER($A135)),NA(),IFERROR(1*INDEX(BBG_Data!$N$2:$N$4000,MATCH($A135,BBG_Data!$M$2:$M$4000,0)),NA()))</f>
        <v/>
      </c>
      <c r="AD135" s="18">
        <f>IF(NOT(ISNUMBER($A135)),NA(),IFERROR(1*INDEX(BBG_Data!$P$2:$P$4000,MATCH($A135,BBG_Data!$O$2:$O$4000,0)),NA()))</f>
        <v/>
      </c>
      <c r="AE135" s="18">
        <f>IF(NOT(ISNUMBER($A135)),NA(),IFERROR(1*INDEX(BBG_Data!$R$2:$R$4000,MATCH($A135,BBG_Data!$Q$2:$Q$4000,0)),NA()))</f>
        <v/>
      </c>
      <c r="AF135" s="20">
        <f>IF(AND(ISNUMBER(B135),ISNUMBER(AC135)),(B135-AC135)*100,NA())</f>
        <v/>
      </c>
      <c r="AG135" s="20">
        <f>IF(AND(ISNUMBER(AE135),ISNUMBER(AD135)),(AE135-AD135)*100,NA())</f>
        <v/>
      </c>
      <c r="AH135" s="19">
        <f>IF(NOT(ISNUMBER($A135)),NA(),IFERROR(INDEX(BBG_Data!$T$2:$T$4000,MATCH($A135,BBG_Data!$S$2:$S$4000,0))*Settings!$B$25,NA()))</f>
        <v/>
      </c>
      <c r="AI135" s="19">
        <f>IF(NOT(ISNUMBER($A135)),NA(),IFERROR(INDEX(BBG_Data!$V$2:$V$4000,MATCH($A135,BBG_Data!$U$2:$U$4000,0))*Settings!$B$25,NA()))</f>
        <v/>
      </c>
      <c r="AJ135" s="19">
        <f>IF(NOT(ISNUMBER($A135)),NA(),IFERROR(1*INDEX(BBG_Data!$X$2:$X$4000,MATCH($A135,BBG_Data!$W$2:$W$4000,0)),NA()))</f>
        <v/>
      </c>
      <c r="AK135" s="19">
        <f>IF(NOT(ISNUMBER($A135)),NA(),IFERROR(1*INDEX(BBG_Data!$Z$2:$Z$4000,MATCH($A135,BBG_Data!$Y$2:$Y$4000,0)),NA()))</f>
        <v/>
      </c>
    </row>
    <row r="136">
      <c r="A136" s="17">
        <f>IF(ISNUMBER(BBG_Data!A136),BBG_Data!A136,"")</f>
        <v/>
      </c>
      <c r="B136" s="18">
        <f>IF(AND(ISNUMBER($A136),ISNUMBER(BBG_Data!B136)),BBG_Data!B136,NA())</f>
        <v/>
      </c>
      <c r="C136" s="18">
        <f>IF(NOT(ISNUMBER($A136)),NA(),IFERROR(1*INDEX(BBG_Data!$D$2:$D$4000,MATCH($A136,BBG_Data!$C$2:$C$4000,0)),NA()))</f>
        <v/>
      </c>
      <c r="D136" s="19">
        <f>IF(NOT(ISNUMBER($A136)),NA(),IFERROR(1*INDEX(BBG_Data!$F$2:$F$4000,MATCH($A136,BBG_Data!$E$2:$E$4000,0)),NA()))</f>
        <v/>
      </c>
      <c r="E136" s="19">
        <f>IF(NOT(ISNUMBER($A136)),NA(),IFERROR(1*INDEX(BBG_Data!$H$2:$H$4000,MATCH($A136,BBG_Data!$G$2:$G$4000,0)),NA()))</f>
        <v/>
      </c>
      <c r="F136" s="20">
        <f>IF(AND(ISNUMBER(B136),ISNUMBER(B135)),IF(B136=B135,"",(B136-B135)*100),"")</f>
        <v/>
      </c>
      <c r="G136" s="20">
        <f>IF(AND(ISNUMBER(C136),ISNUMBER(C135)),IF(C136=C135,"",(C136-C135)*100),"")</f>
        <v/>
      </c>
      <c r="H136" s="20">
        <f>IF(OR(NOT(ISNUMBER($A136)),ROW()-2&lt;Settings!$B$11),NA(),IF(COUNT(OFFSET(F136,1-Settings!$B$11,0,Settings!$B$11,1))&lt;ROUNDUP(Settings!$B$11*Settings!$B$26,0),NA(),STDEV(OFFSET(F136,1-Settings!$B$11,0,Settings!$B$11,1))*SQRT(Settings!$B$13)))</f>
        <v/>
      </c>
      <c r="I136" s="20">
        <f>IF(OR(NOT(ISNUMBER($A136)),ROW()-2&lt;Settings!$B$12),NA(),IF(COUNT(OFFSET(F136,1-Settings!$B$12,0,Settings!$B$12,1))&lt;ROUNDUP(Settings!$B$12*Settings!$B$26,0),NA(),STDEV(OFFSET(F136,1-Settings!$B$12,0,Settings!$B$12,1))*SQRT(Settings!$B$13)))</f>
        <v/>
      </c>
      <c r="J136" s="20">
        <f>IF(OR(NOT(ISNUMBER($A136)),ROW()-2&lt;Settings!$B$11),NA(),IF(COUNT(OFFSET(G136,1-Settings!$B$11,0,Settings!$B$11,1))&lt;ROUNDUP(Settings!$B$11*Settings!$B$26,0),NA(),STDEV(OFFSET(G136,1-Settings!$B$11,0,Settings!$B$11,1))*SQRT(Settings!$B$13)))</f>
        <v/>
      </c>
      <c r="K136" s="20">
        <f>IF(OR(NOT(ISNUMBER($A136)),ROW()-2&lt;Settings!$B$12),NA(),IF(COUNT(OFFSET(G136,1-Settings!$B$12,0,Settings!$B$12,1))&lt;ROUNDUP(Settings!$B$12*Settings!$B$26,0),NA(),STDEV(OFFSET(G136,1-Settings!$B$12,0,Settings!$B$12,1))*SQRT(Settings!$B$13)))</f>
        <v/>
      </c>
      <c r="L136" s="20">
        <f>IF(AND(ISNUMBER(D136),ISNUMBER(H136)),D136-H136,NA())</f>
        <v/>
      </c>
      <c r="M136" s="20">
        <f>IF(AND(ISNUMBER(E136),ISNUMBER(K136)),E136-K136,NA())</f>
        <v/>
      </c>
      <c r="N136" s="20">
        <f>IF(NOT(ISNUMBER($A136)),NA(),IF(COUNT(OFFSET(G136,1,0,Settings!$B$12,1))&lt;ROUNDUP(Settings!$B$12*Settings!$B$26,0),NA(),STDEV(OFFSET(G136,1,0,Settings!$B$12,1))*SQRT(Settings!$B$13)))</f>
        <v/>
      </c>
      <c r="O136" s="20">
        <f>IF(AND(ISNUMBER(E136),ISNUMBER(N136)),E136-N136,NA())</f>
        <v/>
      </c>
      <c r="P136" s="19">
        <f>IF(NOT(ISNUMBER($A136)),NA(),IF(OR($A136&lt;MIN(KW_TP!$A$2:$A$2501),$A136&gt;MAX(KW_TP!$A$2:$A$2501)),NA(),INDEX(KW_TP!$C$2:$C$2501,MATCH($A136,KW_TP!$A$2:$A$2501,1))))</f>
        <v/>
      </c>
      <c r="Q136" s="18">
        <f>IF(NOT(ISNUMBER($A136)),NA(),IFERROR(1*INDEX(BBG_Data!$J$2:$J$4000,MATCH($A136,BBG_Data!$I$2:$I$4000,0)),NA()))</f>
        <v/>
      </c>
      <c r="R136" s="18">
        <f>IF(NOT(ISNUMBER($A136)),NA(),IFERROR(1*INDEX(BBG_Data!$L$2:$L$4000,MATCH($A136,BBG_Data!$K$2:$K$4000,0)),NA()))</f>
        <v/>
      </c>
      <c r="S136" s="20">
        <f>IF(AND(ISNUMBER(B136),ISNUMBER(Q136),ISNUMBER(R136)),(B136-Q136-R136)*100,NA())</f>
        <v/>
      </c>
      <c r="T136" s="20">
        <f>IF(AND(ISNUMBER(B136),Settings!$B$17&gt;0),IF(ISNUMBER(INDEX($B:$B,Settings!$B$17)),(B136-INDEX($B:$B,Settings!$B$17))*100,NA()),NA())</f>
        <v/>
      </c>
      <c r="U136" s="20">
        <f>IF(AND(ISNUMBER(Q136),Settings!$B$17&gt;0),IF(ISNUMBER(INDEX($Q:$Q,Settings!$B$17)),(Q136-INDEX($Q:$Q,Settings!$B$17))*100,NA()),NA())</f>
        <v/>
      </c>
      <c r="V136" s="20">
        <f>IF(AND(ISNUMBER(R136),Settings!$B$17&gt;0),IF(ISNUMBER(INDEX($R:$R,Settings!$B$17)),(R136-INDEX($R:$R,Settings!$B$17))*100,NA()),NA())</f>
        <v/>
      </c>
      <c r="W136" s="20">
        <f>IF(AND(ISNUMBER(P136),Settings!$B$17&gt;0),IF(ISNUMBER(INDEX($P:$P,Settings!$B$17)),P136-INDEX($P:$P,Settings!$B$17),NA()),NA())</f>
        <v/>
      </c>
      <c r="X136" s="19">
        <f>IF(NOT(ISNUMBER($A136)),NA(),IF(OR($A136&lt;MIN(DKW_10Y!$A$2:$A$2918),$A136&gt;MAX(DKW_10Y!$A$2:$A$2918),Settings!$B$16&lt;MIN(DKW_10Y!$A$2:$A$2918)),NA(),(INDEX(DKW_10Y!$B$2:$B$2918,MATCH($A136,DKW_10Y!$A$2:$A$2918,1))-INDEX(DKW_10Y!$B$2:$B$2918,MATCH(Settings!$B$16,DKW_10Y!$A$2:$A$2918,1)))*100))</f>
        <v/>
      </c>
      <c r="Y136" s="19">
        <f>IF(NOT(ISNUMBER($A136)),NA(),IF(OR($A136&lt;MIN(DKW_10Y!$A$2:$A$2918),$A136&gt;MAX(DKW_10Y!$A$2:$A$2918),Settings!$B$16&lt;MIN(DKW_10Y!$A$2:$A$2918)),NA(),(INDEX(DKW_10Y!$C$2:$C$2918,MATCH($A136,DKW_10Y!$A$2:$A$2918,1))-INDEX(DKW_10Y!$C$2:$C$2918,MATCH(Settings!$B$16,DKW_10Y!$A$2:$A$2918,1)))*100))</f>
        <v/>
      </c>
      <c r="Z136" s="19">
        <f>IF(NOT(ISNUMBER($A136)),NA(),IF(OR($A136&lt;MIN(DKW_10Y!$A$2:$A$2918),$A136&gt;MAX(DKW_10Y!$A$2:$A$2918),Settings!$B$16&lt;MIN(DKW_10Y!$A$2:$A$2918)),NA(),(INDEX(DKW_10Y!$D$2:$D$2918,MATCH($A136,DKW_10Y!$A$2:$A$2918,1))-INDEX(DKW_10Y!$D$2:$D$2918,MATCH(Settings!$B$16,DKW_10Y!$A$2:$A$2918,1)))*100))</f>
        <v/>
      </c>
      <c r="AA136" s="19">
        <f>IF(NOT(ISNUMBER($A136)),NA(),IF(OR($A136&lt;MIN(DKW_10Y!$A$2:$A$2918),$A136&gt;MAX(DKW_10Y!$A$2:$A$2918),Settings!$B$16&lt;MIN(DKW_10Y!$A$2:$A$2918)),NA(),(INDEX(DKW_10Y!$E$2:$E$2918,MATCH($A136,DKW_10Y!$A$2:$A$2918,1))-INDEX(DKW_10Y!$E$2:$E$2918,MATCH(Settings!$B$16,DKW_10Y!$A$2:$A$2918,1)))*100))</f>
        <v/>
      </c>
      <c r="AB136" s="19">
        <f>IF(NOT(ISNUMBER($A136)),NA(),IF(OR($A136&lt;MIN(DKW_10Y!$A$2:$A$2918),$A136&gt;MAX(DKW_10Y!$A$2:$A$2918),Settings!$B$16&lt;MIN(DKW_10Y!$A$2:$A$2918)),NA(),(INDEX(DKW_10Y!$H$2:$H$2918,MATCH($A136,DKW_10Y!$A$2:$A$2918,1))-INDEX(DKW_10Y!$H$2:$H$2918,MATCH(Settings!$B$16,DKW_10Y!$A$2:$A$2918,1)))*100))</f>
        <v/>
      </c>
      <c r="AC136" s="18">
        <f>IF(NOT(ISNUMBER($A136)),NA(),IFERROR(1*INDEX(BBG_Data!$N$2:$N$4000,MATCH($A136,BBG_Data!$M$2:$M$4000,0)),NA()))</f>
        <v/>
      </c>
      <c r="AD136" s="18">
        <f>IF(NOT(ISNUMBER($A136)),NA(),IFERROR(1*INDEX(BBG_Data!$P$2:$P$4000,MATCH($A136,BBG_Data!$O$2:$O$4000,0)),NA()))</f>
        <v/>
      </c>
      <c r="AE136" s="18">
        <f>IF(NOT(ISNUMBER($A136)),NA(),IFERROR(1*INDEX(BBG_Data!$R$2:$R$4000,MATCH($A136,BBG_Data!$Q$2:$Q$4000,0)),NA()))</f>
        <v/>
      </c>
      <c r="AF136" s="20">
        <f>IF(AND(ISNUMBER(B136),ISNUMBER(AC136)),(B136-AC136)*100,NA())</f>
        <v/>
      </c>
      <c r="AG136" s="20">
        <f>IF(AND(ISNUMBER(AE136),ISNUMBER(AD136)),(AE136-AD136)*100,NA())</f>
        <v/>
      </c>
      <c r="AH136" s="19">
        <f>IF(NOT(ISNUMBER($A136)),NA(),IFERROR(INDEX(BBG_Data!$T$2:$T$4000,MATCH($A136,BBG_Data!$S$2:$S$4000,0))*Settings!$B$25,NA()))</f>
        <v/>
      </c>
      <c r="AI136" s="19">
        <f>IF(NOT(ISNUMBER($A136)),NA(),IFERROR(INDEX(BBG_Data!$V$2:$V$4000,MATCH($A136,BBG_Data!$U$2:$U$4000,0))*Settings!$B$25,NA()))</f>
        <v/>
      </c>
      <c r="AJ136" s="19">
        <f>IF(NOT(ISNUMBER($A136)),NA(),IFERROR(1*INDEX(BBG_Data!$X$2:$X$4000,MATCH($A136,BBG_Data!$W$2:$W$4000,0)),NA()))</f>
        <v/>
      </c>
      <c r="AK136" s="19">
        <f>IF(NOT(ISNUMBER($A136)),NA(),IFERROR(1*INDEX(BBG_Data!$Z$2:$Z$4000,MATCH($A136,BBG_Data!$Y$2:$Y$4000,0)),NA()))</f>
        <v/>
      </c>
    </row>
    <row r="137">
      <c r="A137" s="17">
        <f>IF(ISNUMBER(BBG_Data!A137),BBG_Data!A137,"")</f>
        <v/>
      </c>
      <c r="B137" s="18">
        <f>IF(AND(ISNUMBER($A137),ISNUMBER(BBG_Data!B137)),BBG_Data!B137,NA())</f>
        <v/>
      </c>
      <c r="C137" s="18">
        <f>IF(NOT(ISNUMBER($A137)),NA(),IFERROR(1*INDEX(BBG_Data!$D$2:$D$4000,MATCH($A137,BBG_Data!$C$2:$C$4000,0)),NA()))</f>
        <v/>
      </c>
      <c r="D137" s="19">
        <f>IF(NOT(ISNUMBER($A137)),NA(),IFERROR(1*INDEX(BBG_Data!$F$2:$F$4000,MATCH($A137,BBG_Data!$E$2:$E$4000,0)),NA()))</f>
        <v/>
      </c>
      <c r="E137" s="19">
        <f>IF(NOT(ISNUMBER($A137)),NA(),IFERROR(1*INDEX(BBG_Data!$H$2:$H$4000,MATCH($A137,BBG_Data!$G$2:$G$4000,0)),NA()))</f>
        <v/>
      </c>
      <c r="F137" s="20">
        <f>IF(AND(ISNUMBER(B137),ISNUMBER(B136)),IF(B137=B136,"",(B137-B136)*100),"")</f>
        <v/>
      </c>
      <c r="G137" s="20">
        <f>IF(AND(ISNUMBER(C137),ISNUMBER(C136)),IF(C137=C136,"",(C137-C136)*100),"")</f>
        <v/>
      </c>
      <c r="H137" s="20">
        <f>IF(OR(NOT(ISNUMBER($A137)),ROW()-2&lt;Settings!$B$11),NA(),IF(COUNT(OFFSET(F137,1-Settings!$B$11,0,Settings!$B$11,1))&lt;ROUNDUP(Settings!$B$11*Settings!$B$26,0),NA(),STDEV(OFFSET(F137,1-Settings!$B$11,0,Settings!$B$11,1))*SQRT(Settings!$B$13)))</f>
        <v/>
      </c>
      <c r="I137" s="20">
        <f>IF(OR(NOT(ISNUMBER($A137)),ROW()-2&lt;Settings!$B$12),NA(),IF(COUNT(OFFSET(F137,1-Settings!$B$12,0,Settings!$B$12,1))&lt;ROUNDUP(Settings!$B$12*Settings!$B$26,0),NA(),STDEV(OFFSET(F137,1-Settings!$B$12,0,Settings!$B$12,1))*SQRT(Settings!$B$13)))</f>
        <v/>
      </c>
      <c r="J137" s="20">
        <f>IF(OR(NOT(ISNUMBER($A137)),ROW()-2&lt;Settings!$B$11),NA(),IF(COUNT(OFFSET(G137,1-Settings!$B$11,0,Settings!$B$11,1))&lt;ROUNDUP(Settings!$B$11*Settings!$B$26,0),NA(),STDEV(OFFSET(G137,1-Settings!$B$11,0,Settings!$B$11,1))*SQRT(Settings!$B$13)))</f>
        <v/>
      </c>
      <c r="K137" s="20">
        <f>IF(OR(NOT(ISNUMBER($A137)),ROW()-2&lt;Settings!$B$12),NA(),IF(COUNT(OFFSET(G137,1-Settings!$B$12,0,Settings!$B$12,1))&lt;ROUNDUP(Settings!$B$12*Settings!$B$26,0),NA(),STDEV(OFFSET(G137,1-Settings!$B$12,0,Settings!$B$12,1))*SQRT(Settings!$B$13)))</f>
        <v/>
      </c>
      <c r="L137" s="20">
        <f>IF(AND(ISNUMBER(D137),ISNUMBER(H137)),D137-H137,NA())</f>
        <v/>
      </c>
      <c r="M137" s="20">
        <f>IF(AND(ISNUMBER(E137),ISNUMBER(K137)),E137-K137,NA())</f>
        <v/>
      </c>
      <c r="N137" s="20">
        <f>IF(NOT(ISNUMBER($A137)),NA(),IF(COUNT(OFFSET(G137,1,0,Settings!$B$12,1))&lt;ROUNDUP(Settings!$B$12*Settings!$B$26,0),NA(),STDEV(OFFSET(G137,1,0,Settings!$B$12,1))*SQRT(Settings!$B$13)))</f>
        <v/>
      </c>
      <c r="O137" s="20">
        <f>IF(AND(ISNUMBER(E137),ISNUMBER(N137)),E137-N137,NA())</f>
        <v/>
      </c>
      <c r="P137" s="19">
        <f>IF(NOT(ISNUMBER($A137)),NA(),IF(OR($A137&lt;MIN(KW_TP!$A$2:$A$2501),$A137&gt;MAX(KW_TP!$A$2:$A$2501)),NA(),INDEX(KW_TP!$C$2:$C$2501,MATCH($A137,KW_TP!$A$2:$A$2501,1))))</f>
        <v/>
      </c>
      <c r="Q137" s="18">
        <f>IF(NOT(ISNUMBER($A137)),NA(),IFERROR(1*INDEX(BBG_Data!$J$2:$J$4000,MATCH($A137,BBG_Data!$I$2:$I$4000,0)),NA()))</f>
        <v/>
      </c>
      <c r="R137" s="18">
        <f>IF(NOT(ISNUMBER($A137)),NA(),IFERROR(1*INDEX(BBG_Data!$L$2:$L$4000,MATCH($A137,BBG_Data!$K$2:$K$4000,0)),NA()))</f>
        <v/>
      </c>
      <c r="S137" s="20">
        <f>IF(AND(ISNUMBER(B137),ISNUMBER(Q137),ISNUMBER(R137)),(B137-Q137-R137)*100,NA())</f>
        <v/>
      </c>
      <c r="T137" s="20">
        <f>IF(AND(ISNUMBER(B137),Settings!$B$17&gt;0),IF(ISNUMBER(INDEX($B:$B,Settings!$B$17)),(B137-INDEX($B:$B,Settings!$B$17))*100,NA()),NA())</f>
        <v/>
      </c>
      <c r="U137" s="20">
        <f>IF(AND(ISNUMBER(Q137),Settings!$B$17&gt;0),IF(ISNUMBER(INDEX($Q:$Q,Settings!$B$17)),(Q137-INDEX($Q:$Q,Settings!$B$17))*100,NA()),NA())</f>
        <v/>
      </c>
      <c r="V137" s="20">
        <f>IF(AND(ISNUMBER(R137),Settings!$B$17&gt;0),IF(ISNUMBER(INDEX($R:$R,Settings!$B$17)),(R137-INDEX($R:$R,Settings!$B$17))*100,NA()),NA())</f>
        <v/>
      </c>
      <c r="W137" s="20">
        <f>IF(AND(ISNUMBER(P137),Settings!$B$17&gt;0),IF(ISNUMBER(INDEX($P:$P,Settings!$B$17)),P137-INDEX($P:$P,Settings!$B$17),NA()),NA())</f>
        <v/>
      </c>
      <c r="X137" s="19">
        <f>IF(NOT(ISNUMBER($A137)),NA(),IF(OR($A137&lt;MIN(DKW_10Y!$A$2:$A$2918),$A137&gt;MAX(DKW_10Y!$A$2:$A$2918),Settings!$B$16&lt;MIN(DKW_10Y!$A$2:$A$2918)),NA(),(INDEX(DKW_10Y!$B$2:$B$2918,MATCH($A137,DKW_10Y!$A$2:$A$2918,1))-INDEX(DKW_10Y!$B$2:$B$2918,MATCH(Settings!$B$16,DKW_10Y!$A$2:$A$2918,1)))*100))</f>
        <v/>
      </c>
      <c r="Y137" s="19">
        <f>IF(NOT(ISNUMBER($A137)),NA(),IF(OR($A137&lt;MIN(DKW_10Y!$A$2:$A$2918),$A137&gt;MAX(DKW_10Y!$A$2:$A$2918),Settings!$B$16&lt;MIN(DKW_10Y!$A$2:$A$2918)),NA(),(INDEX(DKW_10Y!$C$2:$C$2918,MATCH($A137,DKW_10Y!$A$2:$A$2918,1))-INDEX(DKW_10Y!$C$2:$C$2918,MATCH(Settings!$B$16,DKW_10Y!$A$2:$A$2918,1)))*100))</f>
        <v/>
      </c>
      <c r="Z137" s="19">
        <f>IF(NOT(ISNUMBER($A137)),NA(),IF(OR($A137&lt;MIN(DKW_10Y!$A$2:$A$2918),$A137&gt;MAX(DKW_10Y!$A$2:$A$2918),Settings!$B$16&lt;MIN(DKW_10Y!$A$2:$A$2918)),NA(),(INDEX(DKW_10Y!$D$2:$D$2918,MATCH($A137,DKW_10Y!$A$2:$A$2918,1))-INDEX(DKW_10Y!$D$2:$D$2918,MATCH(Settings!$B$16,DKW_10Y!$A$2:$A$2918,1)))*100))</f>
        <v/>
      </c>
      <c r="AA137" s="19">
        <f>IF(NOT(ISNUMBER($A137)),NA(),IF(OR($A137&lt;MIN(DKW_10Y!$A$2:$A$2918),$A137&gt;MAX(DKW_10Y!$A$2:$A$2918),Settings!$B$16&lt;MIN(DKW_10Y!$A$2:$A$2918)),NA(),(INDEX(DKW_10Y!$E$2:$E$2918,MATCH($A137,DKW_10Y!$A$2:$A$2918,1))-INDEX(DKW_10Y!$E$2:$E$2918,MATCH(Settings!$B$16,DKW_10Y!$A$2:$A$2918,1)))*100))</f>
        <v/>
      </c>
      <c r="AB137" s="19">
        <f>IF(NOT(ISNUMBER($A137)),NA(),IF(OR($A137&lt;MIN(DKW_10Y!$A$2:$A$2918),$A137&gt;MAX(DKW_10Y!$A$2:$A$2918),Settings!$B$16&lt;MIN(DKW_10Y!$A$2:$A$2918)),NA(),(INDEX(DKW_10Y!$H$2:$H$2918,MATCH($A137,DKW_10Y!$A$2:$A$2918,1))-INDEX(DKW_10Y!$H$2:$H$2918,MATCH(Settings!$B$16,DKW_10Y!$A$2:$A$2918,1)))*100))</f>
        <v/>
      </c>
      <c r="AC137" s="18">
        <f>IF(NOT(ISNUMBER($A137)),NA(),IFERROR(1*INDEX(BBG_Data!$N$2:$N$4000,MATCH($A137,BBG_Data!$M$2:$M$4000,0)),NA()))</f>
        <v/>
      </c>
      <c r="AD137" s="18">
        <f>IF(NOT(ISNUMBER($A137)),NA(),IFERROR(1*INDEX(BBG_Data!$P$2:$P$4000,MATCH($A137,BBG_Data!$O$2:$O$4000,0)),NA()))</f>
        <v/>
      </c>
      <c r="AE137" s="18">
        <f>IF(NOT(ISNUMBER($A137)),NA(),IFERROR(1*INDEX(BBG_Data!$R$2:$R$4000,MATCH($A137,BBG_Data!$Q$2:$Q$4000,0)),NA()))</f>
        <v/>
      </c>
      <c r="AF137" s="20">
        <f>IF(AND(ISNUMBER(B137),ISNUMBER(AC137)),(B137-AC137)*100,NA())</f>
        <v/>
      </c>
      <c r="AG137" s="20">
        <f>IF(AND(ISNUMBER(AE137),ISNUMBER(AD137)),(AE137-AD137)*100,NA())</f>
        <v/>
      </c>
      <c r="AH137" s="19">
        <f>IF(NOT(ISNUMBER($A137)),NA(),IFERROR(INDEX(BBG_Data!$T$2:$T$4000,MATCH($A137,BBG_Data!$S$2:$S$4000,0))*Settings!$B$25,NA()))</f>
        <v/>
      </c>
      <c r="AI137" s="19">
        <f>IF(NOT(ISNUMBER($A137)),NA(),IFERROR(INDEX(BBG_Data!$V$2:$V$4000,MATCH($A137,BBG_Data!$U$2:$U$4000,0))*Settings!$B$25,NA()))</f>
        <v/>
      </c>
      <c r="AJ137" s="19">
        <f>IF(NOT(ISNUMBER($A137)),NA(),IFERROR(1*INDEX(BBG_Data!$X$2:$X$4000,MATCH($A137,BBG_Data!$W$2:$W$4000,0)),NA()))</f>
        <v/>
      </c>
      <c r="AK137" s="19">
        <f>IF(NOT(ISNUMBER($A137)),NA(),IFERROR(1*INDEX(BBG_Data!$Z$2:$Z$4000,MATCH($A137,BBG_Data!$Y$2:$Y$4000,0)),NA()))</f>
        <v/>
      </c>
    </row>
    <row r="138">
      <c r="A138" s="17">
        <f>IF(ISNUMBER(BBG_Data!A138),BBG_Data!A138,"")</f>
        <v/>
      </c>
      <c r="B138" s="18">
        <f>IF(AND(ISNUMBER($A138),ISNUMBER(BBG_Data!B138)),BBG_Data!B138,NA())</f>
        <v/>
      </c>
      <c r="C138" s="18">
        <f>IF(NOT(ISNUMBER($A138)),NA(),IFERROR(1*INDEX(BBG_Data!$D$2:$D$4000,MATCH($A138,BBG_Data!$C$2:$C$4000,0)),NA()))</f>
        <v/>
      </c>
      <c r="D138" s="19">
        <f>IF(NOT(ISNUMBER($A138)),NA(),IFERROR(1*INDEX(BBG_Data!$F$2:$F$4000,MATCH($A138,BBG_Data!$E$2:$E$4000,0)),NA()))</f>
        <v/>
      </c>
      <c r="E138" s="19">
        <f>IF(NOT(ISNUMBER($A138)),NA(),IFERROR(1*INDEX(BBG_Data!$H$2:$H$4000,MATCH($A138,BBG_Data!$G$2:$G$4000,0)),NA()))</f>
        <v/>
      </c>
      <c r="F138" s="20">
        <f>IF(AND(ISNUMBER(B138),ISNUMBER(B137)),IF(B138=B137,"",(B138-B137)*100),"")</f>
        <v/>
      </c>
      <c r="G138" s="20">
        <f>IF(AND(ISNUMBER(C138),ISNUMBER(C137)),IF(C138=C137,"",(C138-C137)*100),"")</f>
        <v/>
      </c>
      <c r="H138" s="20">
        <f>IF(OR(NOT(ISNUMBER($A138)),ROW()-2&lt;Settings!$B$11),NA(),IF(COUNT(OFFSET(F138,1-Settings!$B$11,0,Settings!$B$11,1))&lt;ROUNDUP(Settings!$B$11*Settings!$B$26,0),NA(),STDEV(OFFSET(F138,1-Settings!$B$11,0,Settings!$B$11,1))*SQRT(Settings!$B$13)))</f>
        <v/>
      </c>
      <c r="I138" s="20">
        <f>IF(OR(NOT(ISNUMBER($A138)),ROW()-2&lt;Settings!$B$12),NA(),IF(COUNT(OFFSET(F138,1-Settings!$B$12,0,Settings!$B$12,1))&lt;ROUNDUP(Settings!$B$12*Settings!$B$26,0),NA(),STDEV(OFFSET(F138,1-Settings!$B$12,0,Settings!$B$12,1))*SQRT(Settings!$B$13)))</f>
        <v/>
      </c>
      <c r="J138" s="20">
        <f>IF(OR(NOT(ISNUMBER($A138)),ROW()-2&lt;Settings!$B$11),NA(),IF(COUNT(OFFSET(G138,1-Settings!$B$11,0,Settings!$B$11,1))&lt;ROUNDUP(Settings!$B$11*Settings!$B$26,0),NA(),STDEV(OFFSET(G138,1-Settings!$B$11,0,Settings!$B$11,1))*SQRT(Settings!$B$13)))</f>
        <v/>
      </c>
      <c r="K138" s="20">
        <f>IF(OR(NOT(ISNUMBER($A138)),ROW()-2&lt;Settings!$B$12),NA(),IF(COUNT(OFFSET(G138,1-Settings!$B$12,0,Settings!$B$12,1))&lt;ROUNDUP(Settings!$B$12*Settings!$B$26,0),NA(),STDEV(OFFSET(G138,1-Settings!$B$12,0,Settings!$B$12,1))*SQRT(Settings!$B$13)))</f>
        <v/>
      </c>
      <c r="L138" s="20">
        <f>IF(AND(ISNUMBER(D138),ISNUMBER(H138)),D138-H138,NA())</f>
        <v/>
      </c>
      <c r="M138" s="20">
        <f>IF(AND(ISNUMBER(E138),ISNUMBER(K138)),E138-K138,NA())</f>
        <v/>
      </c>
      <c r="N138" s="20">
        <f>IF(NOT(ISNUMBER($A138)),NA(),IF(COUNT(OFFSET(G138,1,0,Settings!$B$12,1))&lt;ROUNDUP(Settings!$B$12*Settings!$B$26,0),NA(),STDEV(OFFSET(G138,1,0,Settings!$B$12,1))*SQRT(Settings!$B$13)))</f>
        <v/>
      </c>
      <c r="O138" s="20">
        <f>IF(AND(ISNUMBER(E138),ISNUMBER(N138)),E138-N138,NA())</f>
        <v/>
      </c>
      <c r="P138" s="19">
        <f>IF(NOT(ISNUMBER($A138)),NA(),IF(OR($A138&lt;MIN(KW_TP!$A$2:$A$2501),$A138&gt;MAX(KW_TP!$A$2:$A$2501)),NA(),INDEX(KW_TP!$C$2:$C$2501,MATCH($A138,KW_TP!$A$2:$A$2501,1))))</f>
        <v/>
      </c>
      <c r="Q138" s="18">
        <f>IF(NOT(ISNUMBER($A138)),NA(),IFERROR(1*INDEX(BBG_Data!$J$2:$J$4000,MATCH($A138,BBG_Data!$I$2:$I$4000,0)),NA()))</f>
        <v/>
      </c>
      <c r="R138" s="18">
        <f>IF(NOT(ISNUMBER($A138)),NA(),IFERROR(1*INDEX(BBG_Data!$L$2:$L$4000,MATCH($A138,BBG_Data!$K$2:$K$4000,0)),NA()))</f>
        <v/>
      </c>
      <c r="S138" s="20">
        <f>IF(AND(ISNUMBER(B138),ISNUMBER(Q138),ISNUMBER(R138)),(B138-Q138-R138)*100,NA())</f>
        <v/>
      </c>
      <c r="T138" s="20">
        <f>IF(AND(ISNUMBER(B138),Settings!$B$17&gt;0),IF(ISNUMBER(INDEX($B:$B,Settings!$B$17)),(B138-INDEX($B:$B,Settings!$B$17))*100,NA()),NA())</f>
        <v/>
      </c>
      <c r="U138" s="20">
        <f>IF(AND(ISNUMBER(Q138),Settings!$B$17&gt;0),IF(ISNUMBER(INDEX($Q:$Q,Settings!$B$17)),(Q138-INDEX($Q:$Q,Settings!$B$17))*100,NA()),NA())</f>
        <v/>
      </c>
      <c r="V138" s="20">
        <f>IF(AND(ISNUMBER(R138),Settings!$B$17&gt;0),IF(ISNUMBER(INDEX($R:$R,Settings!$B$17)),(R138-INDEX($R:$R,Settings!$B$17))*100,NA()),NA())</f>
        <v/>
      </c>
      <c r="W138" s="20">
        <f>IF(AND(ISNUMBER(P138),Settings!$B$17&gt;0),IF(ISNUMBER(INDEX($P:$P,Settings!$B$17)),P138-INDEX($P:$P,Settings!$B$17),NA()),NA())</f>
        <v/>
      </c>
      <c r="X138" s="19">
        <f>IF(NOT(ISNUMBER($A138)),NA(),IF(OR($A138&lt;MIN(DKW_10Y!$A$2:$A$2918),$A138&gt;MAX(DKW_10Y!$A$2:$A$2918),Settings!$B$16&lt;MIN(DKW_10Y!$A$2:$A$2918)),NA(),(INDEX(DKW_10Y!$B$2:$B$2918,MATCH($A138,DKW_10Y!$A$2:$A$2918,1))-INDEX(DKW_10Y!$B$2:$B$2918,MATCH(Settings!$B$16,DKW_10Y!$A$2:$A$2918,1)))*100))</f>
        <v/>
      </c>
      <c r="Y138" s="19">
        <f>IF(NOT(ISNUMBER($A138)),NA(),IF(OR($A138&lt;MIN(DKW_10Y!$A$2:$A$2918),$A138&gt;MAX(DKW_10Y!$A$2:$A$2918),Settings!$B$16&lt;MIN(DKW_10Y!$A$2:$A$2918)),NA(),(INDEX(DKW_10Y!$C$2:$C$2918,MATCH($A138,DKW_10Y!$A$2:$A$2918,1))-INDEX(DKW_10Y!$C$2:$C$2918,MATCH(Settings!$B$16,DKW_10Y!$A$2:$A$2918,1)))*100))</f>
        <v/>
      </c>
      <c r="Z138" s="19">
        <f>IF(NOT(ISNUMBER($A138)),NA(),IF(OR($A138&lt;MIN(DKW_10Y!$A$2:$A$2918),$A138&gt;MAX(DKW_10Y!$A$2:$A$2918),Settings!$B$16&lt;MIN(DKW_10Y!$A$2:$A$2918)),NA(),(INDEX(DKW_10Y!$D$2:$D$2918,MATCH($A138,DKW_10Y!$A$2:$A$2918,1))-INDEX(DKW_10Y!$D$2:$D$2918,MATCH(Settings!$B$16,DKW_10Y!$A$2:$A$2918,1)))*100))</f>
        <v/>
      </c>
      <c r="AA138" s="19">
        <f>IF(NOT(ISNUMBER($A138)),NA(),IF(OR($A138&lt;MIN(DKW_10Y!$A$2:$A$2918),$A138&gt;MAX(DKW_10Y!$A$2:$A$2918),Settings!$B$16&lt;MIN(DKW_10Y!$A$2:$A$2918)),NA(),(INDEX(DKW_10Y!$E$2:$E$2918,MATCH($A138,DKW_10Y!$A$2:$A$2918,1))-INDEX(DKW_10Y!$E$2:$E$2918,MATCH(Settings!$B$16,DKW_10Y!$A$2:$A$2918,1)))*100))</f>
        <v/>
      </c>
      <c r="AB138" s="19">
        <f>IF(NOT(ISNUMBER($A138)),NA(),IF(OR($A138&lt;MIN(DKW_10Y!$A$2:$A$2918),$A138&gt;MAX(DKW_10Y!$A$2:$A$2918),Settings!$B$16&lt;MIN(DKW_10Y!$A$2:$A$2918)),NA(),(INDEX(DKW_10Y!$H$2:$H$2918,MATCH($A138,DKW_10Y!$A$2:$A$2918,1))-INDEX(DKW_10Y!$H$2:$H$2918,MATCH(Settings!$B$16,DKW_10Y!$A$2:$A$2918,1)))*100))</f>
        <v/>
      </c>
      <c r="AC138" s="18">
        <f>IF(NOT(ISNUMBER($A138)),NA(),IFERROR(1*INDEX(BBG_Data!$N$2:$N$4000,MATCH($A138,BBG_Data!$M$2:$M$4000,0)),NA()))</f>
        <v/>
      </c>
      <c r="AD138" s="18">
        <f>IF(NOT(ISNUMBER($A138)),NA(),IFERROR(1*INDEX(BBG_Data!$P$2:$P$4000,MATCH($A138,BBG_Data!$O$2:$O$4000,0)),NA()))</f>
        <v/>
      </c>
      <c r="AE138" s="18">
        <f>IF(NOT(ISNUMBER($A138)),NA(),IFERROR(1*INDEX(BBG_Data!$R$2:$R$4000,MATCH($A138,BBG_Data!$Q$2:$Q$4000,0)),NA()))</f>
        <v/>
      </c>
      <c r="AF138" s="20">
        <f>IF(AND(ISNUMBER(B138),ISNUMBER(AC138)),(B138-AC138)*100,NA())</f>
        <v/>
      </c>
      <c r="AG138" s="20">
        <f>IF(AND(ISNUMBER(AE138),ISNUMBER(AD138)),(AE138-AD138)*100,NA())</f>
        <v/>
      </c>
      <c r="AH138" s="19">
        <f>IF(NOT(ISNUMBER($A138)),NA(),IFERROR(INDEX(BBG_Data!$T$2:$T$4000,MATCH($A138,BBG_Data!$S$2:$S$4000,0))*Settings!$B$25,NA()))</f>
        <v/>
      </c>
      <c r="AI138" s="19">
        <f>IF(NOT(ISNUMBER($A138)),NA(),IFERROR(INDEX(BBG_Data!$V$2:$V$4000,MATCH($A138,BBG_Data!$U$2:$U$4000,0))*Settings!$B$25,NA()))</f>
        <v/>
      </c>
      <c r="AJ138" s="19">
        <f>IF(NOT(ISNUMBER($A138)),NA(),IFERROR(1*INDEX(BBG_Data!$X$2:$X$4000,MATCH($A138,BBG_Data!$W$2:$W$4000,0)),NA()))</f>
        <v/>
      </c>
      <c r="AK138" s="19">
        <f>IF(NOT(ISNUMBER($A138)),NA(),IFERROR(1*INDEX(BBG_Data!$Z$2:$Z$4000,MATCH($A138,BBG_Data!$Y$2:$Y$4000,0)),NA()))</f>
        <v/>
      </c>
    </row>
    <row r="139">
      <c r="A139" s="17">
        <f>IF(ISNUMBER(BBG_Data!A139),BBG_Data!A139,"")</f>
        <v/>
      </c>
      <c r="B139" s="18">
        <f>IF(AND(ISNUMBER($A139),ISNUMBER(BBG_Data!B139)),BBG_Data!B139,NA())</f>
        <v/>
      </c>
      <c r="C139" s="18">
        <f>IF(NOT(ISNUMBER($A139)),NA(),IFERROR(1*INDEX(BBG_Data!$D$2:$D$4000,MATCH($A139,BBG_Data!$C$2:$C$4000,0)),NA()))</f>
        <v/>
      </c>
      <c r="D139" s="19">
        <f>IF(NOT(ISNUMBER($A139)),NA(),IFERROR(1*INDEX(BBG_Data!$F$2:$F$4000,MATCH($A139,BBG_Data!$E$2:$E$4000,0)),NA()))</f>
        <v/>
      </c>
      <c r="E139" s="19">
        <f>IF(NOT(ISNUMBER($A139)),NA(),IFERROR(1*INDEX(BBG_Data!$H$2:$H$4000,MATCH($A139,BBG_Data!$G$2:$G$4000,0)),NA()))</f>
        <v/>
      </c>
      <c r="F139" s="20">
        <f>IF(AND(ISNUMBER(B139),ISNUMBER(B138)),IF(B139=B138,"",(B139-B138)*100),"")</f>
        <v/>
      </c>
      <c r="G139" s="20">
        <f>IF(AND(ISNUMBER(C139),ISNUMBER(C138)),IF(C139=C138,"",(C139-C138)*100),"")</f>
        <v/>
      </c>
      <c r="H139" s="20">
        <f>IF(OR(NOT(ISNUMBER($A139)),ROW()-2&lt;Settings!$B$11),NA(),IF(COUNT(OFFSET(F139,1-Settings!$B$11,0,Settings!$B$11,1))&lt;ROUNDUP(Settings!$B$11*Settings!$B$26,0),NA(),STDEV(OFFSET(F139,1-Settings!$B$11,0,Settings!$B$11,1))*SQRT(Settings!$B$13)))</f>
        <v/>
      </c>
      <c r="I139" s="20">
        <f>IF(OR(NOT(ISNUMBER($A139)),ROW()-2&lt;Settings!$B$12),NA(),IF(COUNT(OFFSET(F139,1-Settings!$B$12,0,Settings!$B$12,1))&lt;ROUNDUP(Settings!$B$12*Settings!$B$26,0),NA(),STDEV(OFFSET(F139,1-Settings!$B$12,0,Settings!$B$12,1))*SQRT(Settings!$B$13)))</f>
        <v/>
      </c>
      <c r="J139" s="20">
        <f>IF(OR(NOT(ISNUMBER($A139)),ROW()-2&lt;Settings!$B$11),NA(),IF(COUNT(OFFSET(G139,1-Settings!$B$11,0,Settings!$B$11,1))&lt;ROUNDUP(Settings!$B$11*Settings!$B$26,0),NA(),STDEV(OFFSET(G139,1-Settings!$B$11,0,Settings!$B$11,1))*SQRT(Settings!$B$13)))</f>
        <v/>
      </c>
      <c r="K139" s="20">
        <f>IF(OR(NOT(ISNUMBER($A139)),ROW()-2&lt;Settings!$B$12),NA(),IF(COUNT(OFFSET(G139,1-Settings!$B$12,0,Settings!$B$12,1))&lt;ROUNDUP(Settings!$B$12*Settings!$B$26,0),NA(),STDEV(OFFSET(G139,1-Settings!$B$12,0,Settings!$B$12,1))*SQRT(Settings!$B$13)))</f>
        <v/>
      </c>
      <c r="L139" s="20">
        <f>IF(AND(ISNUMBER(D139),ISNUMBER(H139)),D139-H139,NA())</f>
        <v/>
      </c>
      <c r="M139" s="20">
        <f>IF(AND(ISNUMBER(E139),ISNUMBER(K139)),E139-K139,NA())</f>
        <v/>
      </c>
      <c r="N139" s="20">
        <f>IF(NOT(ISNUMBER($A139)),NA(),IF(COUNT(OFFSET(G139,1,0,Settings!$B$12,1))&lt;ROUNDUP(Settings!$B$12*Settings!$B$26,0),NA(),STDEV(OFFSET(G139,1,0,Settings!$B$12,1))*SQRT(Settings!$B$13)))</f>
        <v/>
      </c>
      <c r="O139" s="20">
        <f>IF(AND(ISNUMBER(E139),ISNUMBER(N139)),E139-N139,NA())</f>
        <v/>
      </c>
      <c r="P139" s="19">
        <f>IF(NOT(ISNUMBER($A139)),NA(),IF(OR($A139&lt;MIN(KW_TP!$A$2:$A$2501),$A139&gt;MAX(KW_TP!$A$2:$A$2501)),NA(),INDEX(KW_TP!$C$2:$C$2501,MATCH($A139,KW_TP!$A$2:$A$2501,1))))</f>
        <v/>
      </c>
      <c r="Q139" s="18">
        <f>IF(NOT(ISNUMBER($A139)),NA(),IFERROR(1*INDEX(BBG_Data!$J$2:$J$4000,MATCH($A139,BBG_Data!$I$2:$I$4000,0)),NA()))</f>
        <v/>
      </c>
      <c r="R139" s="18">
        <f>IF(NOT(ISNUMBER($A139)),NA(),IFERROR(1*INDEX(BBG_Data!$L$2:$L$4000,MATCH($A139,BBG_Data!$K$2:$K$4000,0)),NA()))</f>
        <v/>
      </c>
      <c r="S139" s="20">
        <f>IF(AND(ISNUMBER(B139),ISNUMBER(Q139),ISNUMBER(R139)),(B139-Q139-R139)*100,NA())</f>
        <v/>
      </c>
      <c r="T139" s="20">
        <f>IF(AND(ISNUMBER(B139),Settings!$B$17&gt;0),IF(ISNUMBER(INDEX($B:$B,Settings!$B$17)),(B139-INDEX($B:$B,Settings!$B$17))*100,NA()),NA())</f>
        <v/>
      </c>
      <c r="U139" s="20">
        <f>IF(AND(ISNUMBER(Q139),Settings!$B$17&gt;0),IF(ISNUMBER(INDEX($Q:$Q,Settings!$B$17)),(Q139-INDEX($Q:$Q,Settings!$B$17))*100,NA()),NA())</f>
        <v/>
      </c>
      <c r="V139" s="20">
        <f>IF(AND(ISNUMBER(R139),Settings!$B$17&gt;0),IF(ISNUMBER(INDEX($R:$R,Settings!$B$17)),(R139-INDEX($R:$R,Settings!$B$17))*100,NA()),NA())</f>
        <v/>
      </c>
      <c r="W139" s="20">
        <f>IF(AND(ISNUMBER(P139),Settings!$B$17&gt;0),IF(ISNUMBER(INDEX($P:$P,Settings!$B$17)),P139-INDEX($P:$P,Settings!$B$17),NA()),NA())</f>
        <v/>
      </c>
      <c r="X139" s="19">
        <f>IF(NOT(ISNUMBER($A139)),NA(),IF(OR($A139&lt;MIN(DKW_10Y!$A$2:$A$2918),$A139&gt;MAX(DKW_10Y!$A$2:$A$2918),Settings!$B$16&lt;MIN(DKW_10Y!$A$2:$A$2918)),NA(),(INDEX(DKW_10Y!$B$2:$B$2918,MATCH($A139,DKW_10Y!$A$2:$A$2918,1))-INDEX(DKW_10Y!$B$2:$B$2918,MATCH(Settings!$B$16,DKW_10Y!$A$2:$A$2918,1)))*100))</f>
        <v/>
      </c>
      <c r="Y139" s="19">
        <f>IF(NOT(ISNUMBER($A139)),NA(),IF(OR($A139&lt;MIN(DKW_10Y!$A$2:$A$2918),$A139&gt;MAX(DKW_10Y!$A$2:$A$2918),Settings!$B$16&lt;MIN(DKW_10Y!$A$2:$A$2918)),NA(),(INDEX(DKW_10Y!$C$2:$C$2918,MATCH($A139,DKW_10Y!$A$2:$A$2918,1))-INDEX(DKW_10Y!$C$2:$C$2918,MATCH(Settings!$B$16,DKW_10Y!$A$2:$A$2918,1)))*100))</f>
        <v/>
      </c>
      <c r="Z139" s="19">
        <f>IF(NOT(ISNUMBER($A139)),NA(),IF(OR($A139&lt;MIN(DKW_10Y!$A$2:$A$2918),$A139&gt;MAX(DKW_10Y!$A$2:$A$2918),Settings!$B$16&lt;MIN(DKW_10Y!$A$2:$A$2918)),NA(),(INDEX(DKW_10Y!$D$2:$D$2918,MATCH($A139,DKW_10Y!$A$2:$A$2918,1))-INDEX(DKW_10Y!$D$2:$D$2918,MATCH(Settings!$B$16,DKW_10Y!$A$2:$A$2918,1)))*100))</f>
        <v/>
      </c>
      <c r="AA139" s="19">
        <f>IF(NOT(ISNUMBER($A139)),NA(),IF(OR($A139&lt;MIN(DKW_10Y!$A$2:$A$2918),$A139&gt;MAX(DKW_10Y!$A$2:$A$2918),Settings!$B$16&lt;MIN(DKW_10Y!$A$2:$A$2918)),NA(),(INDEX(DKW_10Y!$E$2:$E$2918,MATCH($A139,DKW_10Y!$A$2:$A$2918,1))-INDEX(DKW_10Y!$E$2:$E$2918,MATCH(Settings!$B$16,DKW_10Y!$A$2:$A$2918,1)))*100))</f>
        <v/>
      </c>
      <c r="AB139" s="19">
        <f>IF(NOT(ISNUMBER($A139)),NA(),IF(OR($A139&lt;MIN(DKW_10Y!$A$2:$A$2918),$A139&gt;MAX(DKW_10Y!$A$2:$A$2918),Settings!$B$16&lt;MIN(DKW_10Y!$A$2:$A$2918)),NA(),(INDEX(DKW_10Y!$H$2:$H$2918,MATCH($A139,DKW_10Y!$A$2:$A$2918,1))-INDEX(DKW_10Y!$H$2:$H$2918,MATCH(Settings!$B$16,DKW_10Y!$A$2:$A$2918,1)))*100))</f>
        <v/>
      </c>
      <c r="AC139" s="18">
        <f>IF(NOT(ISNUMBER($A139)),NA(),IFERROR(1*INDEX(BBG_Data!$N$2:$N$4000,MATCH($A139,BBG_Data!$M$2:$M$4000,0)),NA()))</f>
        <v/>
      </c>
      <c r="AD139" s="18">
        <f>IF(NOT(ISNUMBER($A139)),NA(),IFERROR(1*INDEX(BBG_Data!$P$2:$P$4000,MATCH($A139,BBG_Data!$O$2:$O$4000,0)),NA()))</f>
        <v/>
      </c>
      <c r="AE139" s="18">
        <f>IF(NOT(ISNUMBER($A139)),NA(),IFERROR(1*INDEX(BBG_Data!$R$2:$R$4000,MATCH($A139,BBG_Data!$Q$2:$Q$4000,0)),NA()))</f>
        <v/>
      </c>
      <c r="AF139" s="20">
        <f>IF(AND(ISNUMBER(B139),ISNUMBER(AC139)),(B139-AC139)*100,NA())</f>
        <v/>
      </c>
      <c r="AG139" s="20">
        <f>IF(AND(ISNUMBER(AE139),ISNUMBER(AD139)),(AE139-AD139)*100,NA())</f>
        <v/>
      </c>
      <c r="AH139" s="19">
        <f>IF(NOT(ISNUMBER($A139)),NA(),IFERROR(INDEX(BBG_Data!$T$2:$T$4000,MATCH($A139,BBG_Data!$S$2:$S$4000,0))*Settings!$B$25,NA()))</f>
        <v/>
      </c>
      <c r="AI139" s="19">
        <f>IF(NOT(ISNUMBER($A139)),NA(),IFERROR(INDEX(BBG_Data!$V$2:$V$4000,MATCH($A139,BBG_Data!$U$2:$U$4000,0))*Settings!$B$25,NA()))</f>
        <v/>
      </c>
      <c r="AJ139" s="19">
        <f>IF(NOT(ISNUMBER($A139)),NA(),IFERROR(1*INDEX(BBG_Data!$X$2:$X$4000,MATCH($A139,BBG_Data!$W$2:$W$4000,0)),NA()))</f>
        <v/>
      </c>
      <c r="AK139" s="19">
        <f>IF(NOT(ISNUMBER($A139)),NA(),IFERROR(1*INDEX(BBG_Data!$Z$2:$Z$4000,MATCH($A139,BBG_Data!$Y$2:$Y$4000,0)),NA()))</f>
        <v/>
      </c>
    </row>
    <row r="140">
      <c r="A140" s="17">
        <f>IF(ISNUMBER(BBG_Data!A140),BBG_Data!A140,"")</f>
        <v/>
      </c>
      <c r="B140" s="18">
        <f>IF(AND(ISNUMBER($A140),ISNUMBER(BBG_Data!B140)),BBG_Data!B140,NA())</f>
        <v/>
      </c>
      <c r="C140" s="18">
        <f>IF(NOT(ISNUMBER($A140)),NA(),IFERROR(1*INDEX(BBG_Data!$D$2:$D$4000,MATCH($A140,BBG_Data!$C$2:$C$4000,0)),NA()))</f>
        <v/>
      </c>
      <c r="D140" s="19">
        <f>IF(NOT(ISNUMBER($A140)),NA(),IFERROR(1*INDEX(BBG_Data!$F$2:$F$4000,MATCH($A140,BBG_Data!$E$2:$E$4000,0)),NA()))</f>
        <v/>
      </c>
      <c r="E140" s="19">
        <f>IF(NOT(ISNUMBER($A140)),NA(),IFERROR(1*INDEX(BBG_Data!$H$2:$H$4000,MATCH($A140,BBG_Data!$G$2:$G$4000,0)),NA()))</f>
        <v/>
      </c>
      <c r="F140" s="20">
        <f>IF(AND(ISNUMBER(B140),ISNUMBER(B139)),IF(B140=B139,"",(B140-B139)*100),"")</f>
        <v/>
      </c>
      <c r="G140" s="20">
        <f>IF(AND(ISNUMBER(C140),ISNUMBER(C139)),IF(C140=C139,"",(C140-C139)*100),"")</f>
        <v/>
      </c>
      <c r="H140" s="20">
        <f>IF(OR(NOT(ISNUMBER($A140)),ROW()-2&lt;Settings!$B$11),NA(),IF(COUNT(OFFSET(F140,1-Settings!$B$11,0,Settings!$B$11,1))&lt;ROUNDUP(Settings!$B$11*Settings!$B$26,0),NA(),STDEV(OFFSET(F140,1-Settings!$B$11,0,Settings!$B$11,1))*SQRT(Settings!$B$13)))</f>
        <v/>
      </c>
      <c r="I140" s="20">
        <f>IF(OR(NOT(ISNUMBER($A140)),ROW()-2&lt;Settings!$B$12),NA(),IF(COUNT(OFFSET(F140,1-Settings!$B$12,0,Settings!$B$12,1))&lt;ROUNDUP(Settings!$B$12*Settings!$B$26,0),NA(),STDEV(OFFSET(F140,1-Settings!$B$12,0,Settings!$B$12,1))*SQRT(Settings!$B$13)))</f>
        <v/>
      </c>
      <c r="J140" s="20">
        <f>IF(OR(NOT(ISNUMBER($A140)),ROW()-2&lt;Settings!$B$11),NA(),IF(COUNT(OFFSET(G140,1-Settings!$B$11,0,Settings!$B$11,1))&lt;ROUNDUP(Settings!$B$11*Settings!$B$26,0),NA(),STDEV(OFFSET(G140,1-Settings!$B$11,0,Settings!$B$11,1))*SQRT(Settings!$B$13)))</f>
        <v/>
      </c>
      <c r="K140" s="20">
        <f>IF(OR(NOT(ISNUMBER($A140)),ROW()-2&lt;Settings!$B$12),NA(),IF(COUNT(OFFSET(G140,1-Settings!$B$12,0,Settings!$B$12,1))&lt;ROUNDUP(Settings!$B$12*Settings!$B$26,0),NA(),STDEV(OFFSET(G140,1-Settings!$B$12,0,Settings!$B$12,1))*SQRT(Settings!$B$13)))</f>
        <v/>
      </c>
      <c r="L140" s="20">
        <f>IF(AND(ISNUMBER(D140),ISNUMBER(H140)),D140-H140,NA())</f>
        <v/>
      </c>
      <c r="M140" s="20">
        <f>IF(AND(ISNUMBER(E140),ISNUMBER(K140)),E140-K140,NA())</f>
        <v/>
      </c>
      <c r="N140" s="20">
        <f>IF(NOT(ISNUMBER($A140)),NA(),IF(COUNT(OFFSET(G140,1,0,Settings!$B$12,1))&lt;ROUNDUP(Settings!$B$12*Settings!$B$26,0),NA(),STDEV(OFFSET(G140,1,0,Settings!$B$12,1))*SQRT(Settings!$B$13)))</f>
        <v/>
      </c>
      <c r="O140" s="20">
        <f>IF(AND(ISNUMBER(E140),ISNUMBER(N140)),E140-N140,NA())</f>
        <v/>
      </c>
      <c r="P140" s="19">
        <f>IF(NOT(ISNUMBER($A140)),NA(),IF(OR($A140&lt;MIN(KW_TP!$A$2:$A$2501),$A140&gt;MAX(KW_TP!$A$2:$A$2501)),NA(),INDEX(KW_TP!$C$2:$C$2501,MATCH($A140,KW_TP!$A$2:$A$2501,1))))</f>
        <v/>
      </c>
      <c r="Q140" s="18">
        <f>IF(NOT(ISNUMBER($A140)),NA(),IFERROR(1*INDEX(BBG_Data!$J$2:$J$4000,MATCH($A140,BBG_Data!$I$2:$I$4000,0)),NA()))</f>
        <v/>
      </c>
      <c r="R140" s="18">
        <f>IF(NOT(ISNUMBER($A140)),NA(),IFERROR(1*INDEX(BBG_Data!$L$2:$L$4000,MATCH($A140,BBG_Data!$K$2:$K$4000,0)),NA()))</f>
        <v/>
      </c>
      <c r="S140" s="20">
        <f>IF(AND(ISNUMBER(B140),ISNUMBER(Q140),ISNUMBER(R140)),(B140-Q140-R140)*100,NA())</f>
        <v/>
      </c>
      <c r="T140" s="20">
        <f>IF(AND(ISNUMBER(B140),Settings!$B$17&gt;0),IF(ISNUMBER(INDEX($B:$B,Settings!$B$17)),(B140-INDEX($B:$B,Settings!$B$17))*100,NA()),NA())</f>
        <v/>
      </c>
      <c r="U140" s="20">
        <f>IF(AND(ISNUMBER(Q140),Settings!$B$17&gt;0),IF(ISNUMBER(INDEX($Q:$Q,Settings!$B$17)),(Q140-INDEX($Q:$Q,Settings!$B$17))*100,NA()),NA())</f>
        <v/>
      </c>
      <c r="V140" s="20">
        <f>IF(AND(ISNUMBER(R140),Settings!$B$17&gt;0),IF(ISNUMBER(INDEX($R:$R,Settings!$B$17)),(R140-INDEX($R:$R,Settings!$B$17))*100,NA()),NA())</f>
        <v/>
      </c>
      <c r="W140" s="20">
        <f>IF(AND(ISNUMBER(P140),Settings!$B$17&gt;0),IF(ISNUMBER(INDEX($P:$P,Settings!$B$17)),P140-INDEX($P:$P,Settings!$B$17),NA()),NA())</f>
        <v/>
      </c>
      <c r="X140" s="19">
        <f>IF(NOT(ISNUMBER($A140)),NA(),IF(OR($A140&lt;MIN(DKW_10Y!$A$2:$A$2918),$A140&gt;MAX(DKW_10Y!$A$2:$A$2918),Settings!$B$16&lt;MIN(DKW_10Y!$A$2:$A$2918)),NA(),(INDEX(DKW_10Y!$B$2:$B$2918,MATCH($A140,DKW_10Y!$A$2:$A$2918,1))-INDEX(DKW_10Y!$B$2:$B$2918,MATCH(Settings!$B$16,DKW_10Y!$A$2:$A$2918,1)))*100))</f>
        <v/>
      </c>
      <c r="Y140" s="19">
        <f>IF(NOT(ISNUMBER($A140)),NA(),IF(OR($A140&lt;MIN(DKW_10Y!$A$2:$A$2918),$A140&gt;MAX(DKW_10Y!$A$2:$A$2918),Settings!$B$16&lt;MIN(DKW_10Y!$A$2:$A$2918)),NA(),(INDEX(DKW_10Y!$C$2:$C$2918,MATCH($A140,DKW_10Y!$A$2:$A$2918,1))-INDEX(DKW_10Y!$C$2:$C$2918,MATCH(Settings!$B$16,DKW_10Y!$A$2:$A$2918,1)))*100))</f>
        <v/>
      </c>
      <c r="Z140" s="19">
        <f>IF(NOT(ISNUMBER($A140)),NA(),IF(OR($A140&lt;MIN(DKW_10Y!$A$2:$A$2918),$A140&gt;MAX(DKW_10Y!$A$2:$A$2918),Settings!$B$16&lt;MIN(DKW_10Y!$A$2:$A$2918)),NA(),(INDEX(DKW_10Y!$D$2:$D$2918,MATCH($A140,DKW_10Y!$A$2:$A$2918,1))-INDEX(DKW_10Y!$D$2:$D$2918,MATCH(Settings!$B$16,DKW_10Y!$A$2:$A$2918,1)))*100))</f>
        <v/>
      </c>
      <c r="AA140" s="19">
        <f>IF(NOT(ISNUMBER($A140)),NA(),IF(OR($A140&lt;MIN(DKW_10Y!$A$2:$A$2918),$A140&gt;MAX(DKW_10Y!$A$2:$A$2918),Settings!$B$16&lt;MIN(DKW_10Y!$A$2:$A$2918)),NA(),(INDEX(DKW_10Y!$E$2:$E$2918,MATCH($A140,DKW_10Y!$A$2:$A$2918,1))-INDEX(DKW_10Y!$E$2:$E$2918,MATCH(Settings!$B$16,DKW_10Y!$A$2:$A$2918,1)))*100))</f>
        <v/>
      </c>
      <c r="AB140" s="19">
        <f>IF(NOT(ISNUMBER($A140)),NA(),IF(OR($A140&lt;MIN(DKW_10Y!$A$2:$A$2918),$A140&gt;MAX(DKW_10Y!$A$2:$A$2918),Settings!$B$16&lt;MIN(DKW_10Y!$A$2:$A$2918)),NA(),(INDEX(DKW_10Y!$H$2:$H$2918,MATCH($A140,DKW_10Y!$A$2:$A$2918,1))-INDEX(DKW_10Y!$H$2:$H$2918,MATCH(Settings!$B$16,DKW_10Y!$A$2:$A$2918,1)))*100))</f>
        <v/>
      </c>
      <c r="AC140" s="18">
        <f>IF(NOT(ISNUMBER($A140)),NA(),IFERROR(1*INDEX(BBG_Data!$N$2:$N$4000,MATCH($A140,BBG_Data!$M$2:$M$4000,0)),NA()))</f>
        <v/>
      </c>
      <c r="AD140" s="18">
        <f>IF(NOT(ISNUMBER($A140)),NA(),IFERROR(1*INDEX(BBG_Data!$P$2:$P$4000,MATCH($A140,BBG_Data!$O$2:$O$4000,0)),NA()))</f>
        <v/>
      </c>
      <c r="AE140" s="18">
        <f>IF(NOT(ISNUMBER($A140)),NA(),IFERROR(1*INDEX(BBG_Data!$R$2:$R$4000,MATCH($A140,BBG_Data!$Q$2:$Q$4000,0)),NA()))</f>
        <v/>
      </c>
      <c r="AF140" s="20">
        <f>IF(AND(ISNUMBER(B140),ISNUMBER(AC140)),(B140-AC140)*100,NA())</f>
        <v/>
      </c>
      <c r="AG140" s="20">
        <f>IF(AND(ISNUMBER(AE140),ISNUMBER(AD140)),(AE140-AD140)*100,NA())</f>
        <v/>
      </c>
      <c r="AH140" s="19">
        <f>IF(NOT(ISNUMBER($A140)),NA(),IFERROR(INDEX(BBG_Data!$T$2:$T$4000,MATCH($A140,BBG_Data!$S$2:$S$4000,0))*Settings!$B$25,NA()))</f>
        <v/>
      </c>
      <c r="AI140" s="19">
        <f>IF(NOT(ISNUMBER($A140)),NA(),IFERROR(INDEX(BBG_Data!$V$2:$V$4000,MATCH($A140,BBG_Data!$U$2:$U$4000,0))*Settings!$B$25,NA()))</f>
        <v/>
      </c>
      <c r="AJ140" s="19">
        <f>IF(NOT(ISNUMBER($A140)),NA(),IFERROR(1*INDEX(BBG_Data!$X$2:$X$4000,MATCH($A140,BBG_Data!$W$2:$W$4000,0)),NA()))</f>
        <v/>
      </c>
      <c r="AK140" s="19">
        <f>IF(NOT(ISNUMBER($A140)),NA(),IFERROR(1*INDEX(BBG_Data!$Z$2:$Z$4000,MATCH($A140,BBG_Data!$Y$2:$Y$4000,0)),NA()))</f>
        <v/>
      </c>
    </row>
    <row r="141">
      <c r="A141" s="17">
        <f>IF(ISNUMBER(BBG_Data!A141),BBG_Data!A141,"")</f>
        <v/>
      </c>
      <c r="B141" s="18">
        <f>IF(AND(ISNUMBER($A141),ISNUMBER(BBG_Data!B141)),BBG_Data!B141,NA())</f>
        <v/>
      </c>
      <c r="C141" s="18">
        <f>IF(NOT(ISNUMBER($A141)),NA(),IFERROR(1*INDEX(BBG_Data!$D$2:$D$4000,MATCH($A141,BBG_Data!$C$2:$C$4000,0)),NA()))</f>
        <v/>
      </c>
      <c r="D141" s="19">
        <f>IF(NOT(ISNUMBER($A141)),NA(),IFERROR(1*INDEX(BBG_Data!$F$2:$F$4000,MATCH($A141,BBG_Data!$E$2:$E$4000,0)),NA()))</f>
        <v/>
      </c>
      <c r="E141" s="19">
        <f>IF(NOT(ISNUMBER($A141)),NA(),IFERROR(1*INDEX(BBG_Data!$H$2:$H$4000,MATCH($A141,BBG_Data!$G$2:$G$4000,0)),NA()))</f>
        <v/>
      </c>
      <c r="F141" s="20">
        <f>IF(AND(ISNUMBER(B141),ISNUMBER(B140)),IF(B141=B140,"",(B141-B140)*100),"")</f>
        <v/>
      </c>
      <c r="G141" s="20">
        <f>IF(AND(ISNUMBER(C141),ISNUMBER(C140)),IF(C141=C140,"",(C141-C140)*100),"")</f>
        <v/>
      </c>
      <c r="H141" s="20">
        <f>IF(OR(NOT(ISNUMBER($A141)),ROW()-2&lt;Settings!$B$11),NA(),IF(COUNT(OFFSET(F141,1-Settings!$B$11,0,Settings!$B$11,1))&lt;ROUNDUP(Settings!$B$11*Settings!$B$26,0),NA(),STDEV(OFFSET(F141,1-Settings!$B$11,0,Settings!$B$11,1))*SQRT(Settings!$B$13)))</f>
        <v/>
      </c>
      <c r="I141" s="20">
        <f>IF(OR(NOT(ISNUMBER($A141)),ROW()-2&lt;Settings!$B$12),NA(),IF(COUNT(OFFSET(F141,1-Settings!$B$12,0,Settings!$B$12,1))&lt;ROUNDUP(Settings!$B$12*Settings!$B$26,0),NA(),STDEV(OFFSET(F141,1-Settings!$B$12,0,Settings!$B$12,1))*SQRT(Settings!$B$13)))</f>
        <v/>
      </c>
      <c r="J141" s="20">
        <f>IF(OR(NOT(ISNUMBER($A141)),ROW()-2&lt;Settings!$B$11),NA(),IF(COUNT(OFFSET(G141,1-Settings!$B$11,0,Settings!$B$11,1))&lt;ROUNDUP(Settings!$B$11*Settings!$B$26,0),NA(),STDEV(OFFSET(G141,1-Settings!$B$11,0,Settings!$B$11,1))*SQRT(Settings!$B$13)))</f>
        <v/>
      </c>
      <c r="K141" s="20">
        <f>IF(OR(NOT(ISNUMBER($A141)),ROW()-2&lt;Settings!$B$12),NA(),IF(COUNT(OFFSET(G141,1-Settings!$B$12,0,Settings!$B$12,1))&lt;ROUNDUP(Settings!$B$12*Settings!$B$26,0),NA(),STDEV(OFFSET(G141,1-Settings!$B$12,0,Settings!$B$12,1))*SQRT(Settings!$B$13)))</f>
        <v/>
      </c>
      <c r="L141" s="20">
        <f>IF(AND(ISNUMBER(D141),ISNUMBER(H141)),D141-H141,NA())</f>
        <v/>
      </c>
      <c r="M141" s="20">
        <f>IF(AND(ISNUMBER(E141),ISNUMBER(K141)),E141-K141,NA())</f>
        <v/>
      </c>
      <c r="N141" s="20">
        <f>IF(NOT(ISNUMBER($A141)),NA(),IF(COUNT(OFFSET(G141,1,0,Settings!$B$12,1))&lt;ROUNDUP(Settings!$B$12*Settings!$B$26,0),NA(),STDEV(OFFSET(G141,1,0,Settings!$B$12,1))*SQRT(Settings!$B$13)))</f>
        <v/>
      </c>
      <c r="O141" s="20">
        <f>IF(AND(ISNUMBER(E141),ISNUMBER(N141)),E141-N141,NA())</f>
        <v/>
      </c>
      <c r="P141" s="19">
        <f>IF(NOT(ISNUMBER($A141)),NA(),IF(OR($A141&lt;MIN(KW_TP!$A$2:$A$2501),$A141&gt;MAX(KW_TP!$A$2:$A$2501)),NA(),INDEX(KW_TP!$C$2:$C$2501,MATCH($A141,KW_TP!$A$2:$A$2501,1))))</f>
        <v/>
      </c>
      <c r="Q141" s="18">
        <f>IF(NOT(ISNUMBER($A141)),NA(),IFERROR(1*INDEX(BBG_Data!$J$2:$J$4000,MATCH($A141,BBG_Data!$I$2:$I$4000,0)),NA()))</f>
        <v/>
      </c>
      <c r="R141" s="18">
        <f>IF(NOT(ISNUMBER($A141)),NA(),IFERROR(1*INDEX(BBG_Data!$L$2:$L$4000,MATCH($A141,BBG_Data!$K$2:$K$4000,0)),NA()))</f>
        <v/>
      </c>
      <c r="S141" s="20">
        <f>IF(AND(ISNUMBER(B141),ISNUMBER(Q141),ISNUMBER(R141)),(B141-Q141-R141)*100,NA())</f>
        <v/>
      </c>
      <c r="T141" s="20">
        <f>IF(AND(ISNUMBER(B141),Settings!$B$17&gt;0),IF(ISNUMBER(INDEX($B:$B,Settings!$B$17)),(B141-INDEX($B:$B,Settings!$B$17))*100,NA()),NA())</f>
        <v/>
      </c>
      <c r="U141" s="20">
        <f>IF(AND(ISNUMBER(Q141),Settings!$B$17&gt;0),IF(ISNUMBER(INDEX($Q:$Q,Settings!$B$17)),(Q141-INDEX($Q:$Q,Settings!$B$17))*100,NA()),NA())</f>
        <v/>
      </c>
      <c r="V141" s="20">
        <f>IF(AND(ISNUMBER(R141),Settings!$B$17&gt;0),IF(ISNUMBER(INDEX($R:$R,Settings!$B$17)),(R141-INDEX($R:$R,Settings!$B$17))*100,NA()),NA())</f>
        <v/>
      </c>
      <c r="W141" s="20">
        <f>IF(AND(ISNUMBER(P141),Settings!$B$17&gt;0),IF(ISNUMBER(INDEX($P:$P,Settings!$B$17)),P141-INDEX($P:$P,Settings!$B$17),NA()),NA())</f>
        <v/>
      </c>
      <c r="X141" s="19">
        <f>IF(NOT(ISNUMBER($A141)),NA(),IF(OR($A141&lt;MIN(DKW_10Y!$A$2:$A$2918),$A141&gt;MAX(DKW_10Y!$A$2:$A$2918),Settings!$B$16&lt;MIN(DKW_10Y!$A$2:$A$2918)),NA(),(INDEX(DKW_10Y!$B$2:$B$2918,MATCH($A141,DKW_10Y!$A$2:$A$2918,1))-INDEX(DKW_10Y!$B$2:$B$2918,MATCH(Settings!$B$16,DKW_10Y!$A$2:$A$2918,1)))*100))</f>
        <v/>
      </c>
      <c r="Y141" s="19">
        <f>IF(NOT(ISNUMBER($A141)),NA(),IF(OR($A141&lt;MIN(DKW_10Y!$A$2:$A$2918),$A141&gt;MAX(DKW_10Y!$A$2:$A$2918),Settings!$B$16&lt;MIN(DKW_10Y!$A$2:$A$2918)),NA(),(INDEX(DKW_10Y!$C$2:$C$2918,MATCH($A141,DKW_10Y!$A$2:$A$2918,1))-INDEX(DKW_10Y!$C$2:$C$2918,MATCH(Settings!$B$16,DKW_10Y!$A$2:$A$2918,1)))*100))</f>
        <v/>
      </c>
      <c r="Z141" s="19">
        <f>IF(NOT(ISNUMBER($A141)),NA(),IF(OR($A141&lt;MIN(DKW_10Y!$A$2:$A$2918),$A141&gt;MAX(DKW_10Y!$A$2:$A$2918),Settings!$B$16&lt;MIN(DKW_10Y!$A$2:$A$2918)),NA(),(INDEX(DKW_10Y!$D$2:$D$2918,MATCH($A141,DKW_10Y!$A$2:$A$2918,1))-INDEX(DKW_10Y!$D$2:$D$2918,MATCH(Settings!$B$16,DKW_10Y!$A$2:$A$2918,1)))*100))</f>
        <v/>
      </c>
      <c r="AA141" s="19">
        <f>IF(NOT(ISNUMBER($A141)),NA(),IF(OR($A141&lt;MIN(DKW_10Y!$A$2:$A$2918),$A141&gt;MAX(DKW_10Y!$A$2:$A$2918),Settings!$B$16&lt;MIN(DKW_10Y!$A$2:$A$2918)),NA(),(INDEX(DKW_10Y!$E$2:$E$2918,MATCH($A141,DKW_10Y!$A$2:$A$2918,1))-INDEX(DKW_10Y!$E$2:$E$2918,MATCH(Settings!$B$16,DKW_10Y!$A$2:$A$2918,1)))*100))</f>
        <v/>
      </c>
      <c r="AB141" s="19">
        <f>IF(NOT(ISNUMBER($A141)),NA(),IF(OR($A141&lt;MIN(DKW_10Y!$A$2:$A$2918),$A141&gt;MAX(DKW_10Y!$A$2:$A$2918),Settings!$B$16&lt;MIN(DKW_10Y!$A$2:$A$2918)),NA(),(INDEX(DKW_10Y!$H$2:$H$2918,MATCH($A141,DKW_10Y!$A$2:$A$2918,1))-INDEX(DKW_10Y!$H$2:$H$2918,MATCH(Settings!$B$16,DKW_10Y!$A$2:$A$2918,1)))*100))</f>
        <v/>
      </c>
      <c r="AC141" s="18">
        <f>IF(NOT(ISNUMBER($A141)),NA(),IFERROR(1*INDEX(BBG_Data!$N$2:$N$4000,MATCH($A141,BBG_Data!$M$2:$M$4000,0)),NA()))</f>
        <v/>
      </c>
      <c r="AD141" s="18">
        <f>IF(NOT(ISNUMBER($A141)),NA(),IFERROR(1*INDEX(BBG_Data!$P$2:$P$4000,MATCH($A141,BBG_Data!$O$2:$O$4000,0)),NA()))</f>
        <v/>
      </c>
      <c r="AE141" s="18">
        <f>IF(NOT(ISNUMBER($A141)),NA(),IFERROR(1*INDEX(BBG_Data!$R$2:$R$4000,MATCH($A141,BBG_Data!$Q$2:$Q$4000,0)),NA()))</f>
        <v/>
      </c>
      <c r="AF141" s="20">
        <f>IF(AND(ISNUMBER(B141),ISNUMBER(AC141)),(B141-AC141)*100,NA())</f>
        <v/>
      </c>
      <c r="AG141" s="20">
        <f>IF(AND(ISNUMBER(AE141),ISNUMBER(AD141)),(AE141-AD141)*100,NA())</f>
        <v/>
      </c>
      <c r="AH141" s="19">
        <f>IF(NOT(ISNUMBER($A141)),NA(),IFERROR(INDEX(BBG_Data!$T$2:$T$4000,MATCH($A141,BBG_Data!$S$2:$S$4000,0))*Settings!$B$25,NA()))</f>
        <v/>
      </c>
      <c r="AI141" s="19">
        <f>IF(NOT(ISNUMBER($A141)),NA(),IFERROR(INDEX(BBG_Data!$V$2:$V$4000,MATCH($A141,BBG_Data!$U$2:$U$4000,0))*Settings!$B$25,NA()))</f>
        <v/>
      </c>
      <c r="AJ141" s="19">
        <f>IF(NOT(ISNUMBER($A141)),NA(),IFERROR(1*INDEX(BBG_Data!$X$2:$X$4000,MATCH($A141,BBG_Data!$W$2:$W$4000,0)),NA()))</f>
        <v/>
      </c>
      <c r="AK141" s="19">
        <f>IF(NOT(ISNUMBER($A141)),NA(),IFERROR(1*INDEX(BBG_Data!$Z$2:$Z$4000,MATCH($A141,BBG_Data!$Y$2:$Y$4000,0)),NA()))</f>
        <v/>
      </c>
    </row>
    <row r="142">
      <c r="A142" s="17">
        <f>IF(ISNUMBER(BBG_Data!A142),BBG_Data!A142,"")</f>
        <v/>
      </c>
      <c r="B142" s="18">
        <f>IF(AND(ISNUMBER($A142),ISNUMBER(BBG_Data!B142)),BBG_Data!B142,NA())</f>
        <v/>
      </c>
      <c r="C142" s="18">
        <f>IF(NOT(ISNUMBER($A142)),NA(),IFERROR(1*INDEX(BBG_Data!$D$2:$D$4000,MATCH($A142,BBG_Data!$C$2:$C$4000,0)),NA()))</f>
        <v/>
      </c>
      <c r="D142" s="19">
        <f>IF(NOT(ISNUMBER($A142)),NA(),IFERROR(1*INDEX(BBG_Data!$F$2:$F$4000,MATCH($A142,BBG_Data!$E$2:$E$4000,0)),NA()))</f>
        <v/>
      </c>
      <c r="E142" s="19">
        <f>IF(NOT(ISNUMBER($A142)),NA(),IFERROR(1*INDEX(BBG_Data!$H$2:$H$4000,MATCH($A142,BBG_Data!$G$2:$G$4000,0)),NA()))</f>
        <v/>
      </c>
      <c r="F142" s="20">
        <f>IF(AND(ISNUMBER(B142),ISNUMBER(B141)),IF(B142=B141,"",(B142-B141)*100),"")</f>
        <v/>
      </c>
      <c r="G142" s="20">
        <f>IF(AND(ISNUMBER(C142),ISNUMBER(C141)),IF(C142=C141,"",(C142-C141)*100),"")</f>
        <v/>
      </c>
      <c r="H142" s="20">
        <f>IF(OR(NOT(ISNUMBER($A142)),ROW()-2&lt;Settings!$B$11),NA(),IF(COUNT(OFFSET(F142,1-Settings!$B$11,0,Settings!$B$11,1))&lt;ROUNDUP(Settings!$B$11*Settings!$B$26,0),NA(),STDEV(OFFSET(F142,1-Settings!$B$11,0,Settings!$B$11,1))*SQRT(Settings!$B$13)))</f>
        <v/>
      </c>
      <c r="I142" s="20">
        <f>IF(OR(NOT(ISNUMBER($A142)),ROW()-2&lt;Settings!$B$12),NA(),IF(COUNT(OFFSET(F142,1-Settings!$B$12,0,Settings!$B$12,1))&lt;ROUNDUP(Settings!$B$12*Settings!$B$26,0),NA(),STDEV(OFFSET(F142,1-Settings!$B$12,0,Settings!$B$12,1))*SQRT(Settings!$B$13)))</f>
        <v/>
      </c>
      <c r="J142" s="20">
        <f>IF(OR(NOT(ISNUMBER($A142)),ROW()-2&lt;Settings!$B$11),NA(),IF(COUNT(OFFSET(G142,1-Settings!$B$11,0,Settings!$B$11,1))&lt;ROUNDUP(Settings!$B$11*Settings!$B$26,0),NA(),STDEV(OFFSET(G142,1-Settings!$B$11,0,Settings!$B$11,1))*SQRT(Settings!$B$13)))</f>
        <v/>
      </c>
      <c r="K142" s="20">
        <f>IF(OR(NOT(ISNUMBER($A142)),ROW()-2&lt;Settings!$B$12),NA(),IF(COUNT(OFFSET(G142,1-Settings!$B$12,0,Settings!$B$12,1))&lt;ROUNDUP(Settings!$B$12*Settings!$B$26,0),NA(),STDEV(OFFSET(G142,1-Settings!$B$12,0,Settings!$B$12,1))*SQRT(Settings!$B$13)))</f>
        <v/>
      </c>
      <c r="L142" s="20">
        <f>IF(AND(ISNUMBER(D142),ISNUMBER(H142)),D142-H142,NA())</f>
        <v/>
      </c>
      <c r="M142" s="20">
        <f>IF(AND(ISNUMBER(E142),ISNUMBER(K142)),E142-K142,NA())</f>
        <v/>
      </c>
      <c r="N142" s="20">
        <f>IF(NOT(ISNUMBER($A142)),NA(),IF(COUNT(OFFSET(G142,1,0,Settings!$B$12,1))&lt;ROUNDUP(Settings!$B$12*Settings!$B$26,0),NA(),STDEV(OFFSET(G142,1,0,Settings!$B$12,1))*SQRT(Settings!$B$13)))</f>
        <v/>
      </c>
      <c r="O142" s="20">
        <f>IF(AND(ISNUMBER(E142),ISNUMBER(N142)),E142-N142,NA())</f>
        <v/>
      </c>
      <c r="P142" s="19">
        <f>IF(NOT(ISNUMBER($A142)),NA(),IF(OR($A142&lt;MIN(KW_TP!$A$2:$A$2501),$A142&gt;MAX(KW_TP!$A$2:$A$2501)),NA(),INDEX(KW_TP!$C$2:$C$2501,MATCH($A142,KW_TP!$A$2:$A$2501,1))))</f>
        <v/>
      </c>
      <c r="Q142" s="18">
        <f>IF(NOT(ISNUMBER($A142)),NA(),IFERROR(1*INDEX(BBG_Data!$J$2:$J$4000,MATCH($A142,BBG_Data!$I$2:$I$4000,0)),NA()))</f>
        <v/>
      </c>
      <c r="R142" s="18">
        <f>IF(NOT(ISNUMBER($A142)),NA(),IFERROR(1*INDEX(BBG_Data!$L$2:$L$4000,MATCH($A142,BBG_Data!$K$2:$K$4000,0)),NA()))</f>
        <v/>
      </c>
      <c r="S142" s="20">
        <f>IF(AND(ISNUMBER(B142),ISNUMBER(Q142),ISNUMBER(R142)),(B142-Q142-R142)*100,NA())</f>
        <v/>
      </c>
      <c r="T142" s="20">
        <f>IF(AND(ISNUMBER(B142),Settings!$B$17&gt;0),IF(ISNUMBER(INDEX($B:$B,Settings!$B$17)),(B142-INDEX($B:$B,Settings!$B$17))*100,NA()),NA())</f>
        <v/>
      </c>
      <c r="U142" s="20">
        <f>IF(AND(ISNUMBER(Q142),Settings!$B$17&gt;0),IF(ISNUMBER(INDEX($Q:$Q,Settings!$B$17)),(Q142-INDEX($Q:$Q,Settings!$B$17))*100,NA()),NA())</f>
        <v/>
      </c>
      <c r="V142" s="20">
        <f>IF(AND(ISNUMBER(R142),Settings!$B$17&gt;0),IF(ISNUMBER(INDEX($R:$R,Settings!$B$17)),(R142-INDEX($R:$R,Settings!$B$17))*100,NA()),NA())</f>
        <v/>
      </c>
      <c r="W142" s="20">
        <f>IF(AND(ISNUMBER(P142),Settings!$B$17&gt;0),IF(ISNUMBER(INDEX($P:$P,Settings!$B$17)),P142-INDEX($P:$P,Settings!$B$17),NA()),NA())</f>
        <v/>
      </c>
      <c r="X142" s="19">
        <f>IF(NOT(ISNUMBER($A142)),NA(),IF(OR($A142&lt;MIN(DKW_10Y!$A$2:$A$2918),$A142&gt;MAX(DKW_10Y!$A$2:$A$2918),Settings!$B$16&lt;MIN(DKW_10Y!$A$2:$A$2918)),NA(),(INDEX(DKW_10Y!$B$2:$B$2918,MATCH($A142,DKW_10Y!$A$2:$A$2918,1))-INDEX(DKW_10Y!$B$2:$B$2918,MATCH(Settings!$B$16,DKW_10Y!$A$2:$A$2918,1)))*100))</f>
        <v/>
      </c>
      <c r="Y142" s="19">
        <f>IF(NOT(ISNUMBER($A142)),NA(),IF(OR($A142&lt;MIN(DKW_10Y!$A$2:$A$2918),$A142&gt;MAX(DKW_10Y!$A$2:$A$2918),Settings!$B$16&lt;MIN(DKW_10Y!$A$2:$A$2918)),NA(),(INDEX(DKW_10Y!$C$2:$C$2918,MATCH($A142,DKW_10Y!$A$2:$A$2918,1))-INDEX(DKW_10Y!$C$2:$C$2918,MATCH(Settings!$B$16,DKW_10Y!$A$2:$A$2918,1)))*100))</f>
        <v/>
      </c>
      <c r="Z142" s="19">
        <f>IF(NOT(ISNUMBER($A142)),NA(),IF(OR($A142&lt;MIN(DKW_10Y!$A$2:$A$2918),$A142&gt;MAX(DKW_10Y!$A$2:$A$2918),Settings!$B$16&lt;MIN(DKW_10Y!$A$2:$A$2918)),NA(),(INDEX(DKW_10Y!$D$2:$D$2918,MATCH($A142,DKW_10Y!$A$2:$A$2918,1))-INDEX(DKW_10Y!$D$2:$D$2918,MATCH(Settings!$B$16,DKW_10Y!$A$2:$A$2918,1)))*100))</f>
        <v/>
      </c>
      <c r="AA142" s="19">
        <f>IF(NOT(ISNUMBER($A142)),NA(),IF(OR($A142&lt;MIN(DKW_10Y!$A$2:$A$2918),$A142&gt;MAX(DKW_10Y!$A$2:$A$2918),Settings!$B$16&lt;MIN(DKW_10Y!$A$2:$A$2918)),NA(),(INDEX(DKW_10Y!$E$2:$E$2918,MATCH($A142,DKW_10Y!$A$2:$A$2918,1))-INDEX(DKW_10Y!$E$2:$E$2918,MATCH(Settings!$B$16,DKW_10Y!$A$2:$A$2918,1)))*100))</f>
        <v/>
      </c>
      <c r="AB142" s="19">
        <f>IF(NOT(ISNUMBER($A142)),NA(),IF(OR($A142&lt;MIN(DKW_10Y!$A$2:$A$2918),$A142&gt;MAX(DKW_10Y!$A$2:$A$2918),Settings!$B$16&lt;MIN(DKW_10Y!$A$2:$A$2918)),NA(),(INDEX(DKW_10Y!$H$2:$H$2918,MATCH($A142,DKW_10Y!$A$2:$A$2918,1))-INDEX(DKW_10Y!$H$2:$H$2918,MATCH(Settings!$B$16,DKW_10Y!$A$2:$A$2918,1)))*100))</f>
        <v/>
      </c>
      <c r="AC142" s="18">
        <f>IF(NOT(ISNUMBER($A142)),NA(),IFERROR(1*INDEX(BBG_Data!$N$2:$N$4000,MATCH($A142,BBG_Data!$M$2:$M$4000,0)),NA()))</f>
        <v/>
      </c>
      <c r="AD142" s="18">
        <f>IF(NOT(ISNUMBER($A142)),NA(),IFERROR(1*INDEX(BBG_Data!$P$2:$P$4000,MATCH($A142,BBG_Data!$O$2:$O$4000,0)),NA()))</f>
        <v/>
      </c>
      <c r="AE142" s="18">
        <f>IF(NOT(ISNUMBER($A142)),NA(),IFERROR(1*INDEX(BBG_Data!$R$2:$R$4000,MATCH($A142,BBG_Data!$Q$2:$Q$4000,0)),NA()))</f>
        <v/>
      </c>
      <c r="AF142" s="20">
        <f>IF(AND(ISNUMBER(B142),ISNUMBER(AC142)),(B142-AC142)*100,NA())</f>
        <v/>
      </c>
      <c r="AG142" s="20">
        <f>IF(AND(ISNUMBER(AE142),ISNUMBER(AD142)),(AE142-AD142)*100,NA())</f>
        <v/>
      </c>
      <c r="AH142" s="19">
        <f>IF(NOT(ISNUMBER($A142)),NA(),IFERROR(INDEX(BBG_Data!$T$2:$T$4000,MATCH($A142,BBG_Data!$S$2:$S$4000,0))*Settings!$B$25,NA()))</f>
        <v/>
      </c>
      <c r="AI142" s="19">
        <f>IF(NOT(ISNUMBER($A142)),NA(),IFERROR(INDEX(BBG_Data!$V$2:$V$4000,MATCH($A142,BBG_Data!$U$2:$U$4000,0))*Settings!$B$25,NA()))</f>
        <v/>
      </c>
      <c r="AJ142" s="19">
        <f>IF(NOT(ISNUMBER($A142)),NA(),IFERROR(1*INDEX(BBG_Data!$X$2:$X$4000,MATCH($A142,BBG_Data!$W$2:$W$4000,0)),NA()))</f>
        <v/>
      </c>
      <c r="AK142" s="19">
        <f>IF(NOT(ISNUMBER($A142)),NA(),IFERROR(1*INDEX(BBG_Data!$Z$2:$Z$4000,MATCH($A142,BBG_Data!$Y$2:$Y$4000,0)),NA()))</f>
        <v/>
      </c>
    </row>
    <row r="143">
      <c r="A143" s="17">
        <f>IF(ISNUMBER(BBG_Data!A143),BBG_Data!A143,"")</f>
        <v/>
      </c>
      <c r="B143" s="18">
        <f>IF(AND(ISNUMBER($A143),ISNUMBER(BBG_Data!B143)),BBG_Data!B143,NA())</f>
        <v/>
      </c>
      <c r="C143" s="18">
        <f>IF(NOT(ISNUMBER($A143)),NA(),IFERROR(1*INDEX(BBG_Data!$D$2:$D$4000,MATCH($A143,BBG_Data!$C$2:$C$4000,0)),NA()))</f>
        <v/>
      </c>
      <c r="D143" s="19">
        <f>IF(NOT(ISNUMBER($A143)),NA(),IFERROR(1*INDEX(BBG_Data!$F$2:$F$4000,MATCH($A143,BBG_Data!$E$2:$E$4000,0)),NA()))</f>
        <v/>
      </c>
      <c r="E143" s="19">
        <f>IF(NOT(ISNUMBER($A143)),NA(),IFERROR(1*INDEX(BBG_Data!$H$2:$H$4000,MATCH($A143,BBG_Data!$G$2:$G$4000,0)),NA()))</f>
        <v/>
      </c>
      <c r="F143" s="20">
        <f>IF(AND(ISNUMBER(B143),ISNUMBER(B142)),IF(B143=B142,"",(B143-B142)*100),"")</f>
        <v/>
      </c>
      <c r="G143" s="20">
        <f>IF(AND(ISNUMBER(C143),ISNUMBER(C142)),IF(C143=C142,"",(C143-C142)*100),"")</f>
        <v/>
      </c>
      <c r="H143" s="20">
        <f>IF(OR(NOT(ISNUMBER($A143)),ROW()-2&lt;Settings!$B$11),NA(),IF(COUNT(OFFSET(F143,1-Settings!$B$11,0,Settings!$B$11,1))&lt;ROUNDUP(Settings!$B$11*Settings!$B$26,0),NA(),STDEV(OFFSET(F143,1-Settings!$B$11,0,Settings!$B$11,1))*SQRT(Settings!$B$13)))</f>
        <v/>
      </c>
      <c r="I143" s="20">
        <f>IF(OR(NOT(ISNUMBER($A143)),ROW()-2&lt;Settings!$B$12),NA(),IF(COUNT(OFFSET(F143,1-Settings!$B$12,0,Settings!$B$12,1))&lt;ROUNDUP(Settings!$B$12*Settings!$B$26,0),NA(),STDEV(OFFSET(F143,1-Settings!$B$12,0,Settings!$B$12,1))*SQRT(Settings!$B$13)))</f>
        <v/>
      </c>
      <c r="J143" s="20">
        <f>IF(OR(NOT(ISNUMBER($A143)),ROW()-2&lt;Settings!$B$11),NA(),IF(COUNT(OFFSET(G143,1-Settings!$B$11,0,Settings!$B$11,1))&lt;ROUNDUP(Settings!$B$11*Settings!$B$26,0),NA(),STDEV(OFFSET(G143,1-Settings!$B$11,0,Settings!$B$11,1))*SQRT(Settings!$B$13)))</f>
        <v/>
      </c>
      <c r="K143" s="20">
        <f>IF(OR(NOT(ISNUMBER($A143)),ROW()-2&lt;Settings!$B$12),NA(),IF(COUNT(OFFSET(G143,1-Settings!$B$12,0,Settings!$B$12,1))&lt;ROUNDUP(Settings!$B$12*Settings!$B$26,0),NA(),STDEV(OFFSET(G143,1-Settings!$B$12,0,Settings!$B$12,1))*SQRT(Settings!$B$13)))</f>
        <v/>
      </c>
      <c r="L143" s="20">
        <f>IF(AND(ISNUMBER(D143),ISNUMBER(H143)),D143-H143,NA())</f>
        <v/>
      </c>
      <c r="M143" s="20">
        <f>IF(AND(ISNUMBER(E143),ISNUMBER(K143)),E143-K143,NA())</f>
        <v/>
      </c>
      <c r="N143" s="20">
        <f>IF(NOT(ISNUMBER($A143)),NA(),IF(COUNT(OFFSET(G143,1,0,Settings!$B$12,1))&lt;ROUNDUP(Settings!$B$12*Settings!$B$26,0),NA(),STDEV(OFFSET(G143,1,0,Settings!$B$12,1))*SQRT(Settings!$B$13)))</f>
        <v/>
      </c>
      <c r="O143" s="20">
        <f>IF(AND(ISNUMBER(E143),ISNUMBER(N143)),E143-N143,NA())</f>
        <v/>
      </c>
      <c r="P143" s="19">
        <f>IF(NOT(ISNUMBER($A143)),NA(),IF(OR($A143&lt;MIN(KW_TP!$A$2:$A$2501),$A143&gt;MAX(KW_TP!$A$2:$A$2501)),NA(),INDEX(KW_TP!$C$2:$C$2501,MATCH($A143,KW_TP!$A$2:$A$2501,1))))</f>
        <v/>
      </c>
      <c r="Q143" s="18">
        <f>IF(NOT(ISNUMBER($A143)),NA(),IFERROR(1*INDEX(BBG_Data!$J$2:$J$4000,MATCH($A143,BBG_Data!$I$2:$I$4000,0)),NA()))</f>
        <v/>
      </c>
      <c r="R143" s="18">
        <f>IF(NOT(ISNUMBER($A143)),NA(),IFERROR(1*INDEX(BBG_Data!$L$2:$L$4000,MATCH($A143,BBG_Data!$K$2:$K$4000,0)),NA()))</f>
        <v/>
      </c>
      <c r="S143" s="20">
        <f>IF(AND(ISNUMBER(B143),ISNUMBER(Q143),ISNUMBER(R143)),(B143-Q143-R143)*100,NA())</f>
        <v/>
      </c>
      <c r="T143" s="20">
        <f>IF(AND(ISNUMBER(B143),Settings!$B$17&gt;0),IF(ISNUMBER(INDEX($B:$B,Settings!$B$17)),(B143-INDEX($B:$B,Settings!$B$17))*100,NA()),NA())</f>
        <v/>
      </c>
      <c r="U143" s="20">
        <f>IF(AND(ISNUMBER(Q143),Settings!$B$17&gt;0),IF(ISNUMBER(INDEX($Q:$Q,Settings!$B$17)),(Q143-INDEX($Q:$Q,Settings!$B$17))*100,NA()),NA())</f>
        <v/>
      </c>
      <c r="V143" s="20">
        <f>IF(AND(ISNUMBER(R143),Settings!$B$17&gt;0),IF(ISNUMBER(INDEX($R:$R,Settings!$B$17)),(R143-INDEX($R:$R,Settings!$B$17))*100,NA()),NA())</f>
        <v/>
      </c>
      <c r="W143" s="20">
        <f>IF(AND(ISNUMBER(P143),Settings!$B$17&gt;0),IF(ISNUMBER(INDEX($P:$P,Settings!$B$17)),P143-INDEX($P:$P,Settings!$B$17),NA()),NA())</f>
        <v/>
      </c>
      <c r="X143" s="19">
        <f>IF(NOT(ISNUMBER($A143)),NA(),IF(OR($A143&lt;MIN(DKW_10Y!$A$2:$A$2918),$A143&gt;MAX(DKW_10Y!$A$2:$A$2918),Settings!$B$16&lt;MIN(DKW_10Y!$A$2:$A$2918)),NA(),(INDEX(DKW_10Y!$B$2:$B$2918,MATCH($A143,DKW_10Y!$A$2:$A$2918,1))-INDEX(DKW_10Y!$B$2:$B$2918,MATCH(Settings!$B$16,DKW_10Y!$A$2:$A$2918,1)))*100))</f>
        <v/>
      </c>
      <c r="Y143" s="19">
        <f>IF(NOT(ISNUMBER($A143)),NA(),IF(OR($A143&lt;MIN(DKW_10Y!$A$2:$A$2918),$A143&gt;MAX(DKW_10Y!$A$2:$A$2918),Settings!$B$16&lt;MIN(DKW_10Y!$A$2:$A$2918)),NA(),(INDEX(DKW_10Y!$C$2:$C$2918,MATCH($A143,DKW_10Y!$A$2:$A$2918,1))-INDEX(DKW_10Y!$C$2:$C$2918,MATCH(Settings!$B$16,DKW_10Y!$A$2:$A$2918,1)))*100))</f>
        <v/>
      </c>
      <c r="Z143" s="19">
        <f>IF(NOT(ISNUMBER($A143)),NA(),IF(OR($A143&lt;MIN(DKW_10Y!$A$2:$A$2918),$A143&gt;MAX(DKW_10Y!$A$2:$A$2918),Settings!$B$16&lt;MIN(DKW_10Y!$A$2:$A$2918)),NA(),(INDEX(DKW_10Y!$D$2:$D$2918,MATCH($A143,DKW_10Y!$A$2:$A$2918,1))-INDEX(DKW_10Y!$D$2:$D$2918,MATCH(Settings!$B$16,DKW_10Y!$A$2:$A$2918,1)))*100))</f>
        <v/>
      </c>
      <c r="AA143" s="19">
        <f>IF(NOT(ISNUMBER($A143)),NA(),IF(OR($A143&lt;MIN(DKW_10Y!$A$2:$A$2918),$A143&gt;MAX(DKW_10Y!$A$2:$A$2918),Settings!$B$16&lt;MIN(DKW_10Y!$A$2:$A$2918)),NA(),(INDEX(DKW_10Y!$E$2:$E$2918,MATCH($A143,DKW_10Y!$A$2:$A$2918,1))-INDEX(DKW_10Y!$E$2:$E$2918,MATCH(Settings!$B$16,DKW_10Y!$A$2:$A$2918,1)))*100))</f>
        <v/>
      </c>
      <c r="AB143" s="19">
        <f>IF(NOT(ISNUMBER($A143)),NA(),IF(OR($A143&lt;MIN(DKW_10Y!$A$2:$A$2918),$A143&gt;MAX(DKW_10Y!$A$2:$A$2918),Settings!$B$16&lt;MIN(DKW_10Y!$A$2:$A$2918)),NA(),(INDEX(DKW_10Y!$H$2:$H$2918,MATCH($A143,DKW_10Y!$A$2:$A$2918,1))-INDEX(DKW_10Y!$H$2:$H$2918,MATCH(Settings!$B$16,DKW_10Y!$A$2:$A$2918,1)))*100))</f>
        <v/>
      </c>
      <c r="AC143" s="18">
        <f>IF(NOT(ISNUMBER($A143)),NA(),IFERROR(1*INDEX(BBG_Data!$N$2:$N$4000,MATCH($A143,BBG_Data!$M$2:$M$4000,0)),NA()))</f>
        <v/>
      </c>
      <c r="AD143" s="18">
        <f>IF(NOT(ISNUMBER($A143)),NA(),IFERROR(1*INDEX(BBG_Data!$P$2:$P$4000,MATCH($A143,BBG_Data!$O$2:$O$4000,0)),NA()))</f>
        <v/>
      </c>
      <c r="AE143" s="18">
        <f>IF(NOT(ISNUMBER($A143)),NA(),IFERROR(1*INDEX(BBG_Data!$R$2:$R$4000,MATCH($A143,BBG_Data!$Q$2:$Q$4000,0)),NA()))</f>
        <v/>
      </c>
      <c r="AF143" s="20">
        <f>IF(AND(ISNUMBER(B143),ISNUMBER(AC143)),(B143-AC143)*100,NA())</f>
        <v/>
      </c>
      <c r="AG143" s="20">
        <f>IF(AND(ISNUMBER(AE143),ISNUMBER(AD143)),(AE143-AD143)*100,NA())</f>
        <v/>
      </c>
      <c r="AH143" s="19">
        <f>IF(NOT(ISNUMBER($A143)),NA(),IFERROR(INDEX(BBG_Data!$T$2:$T$4000,MATCH($A143,BBG_Data!$S$2:$S$4000,0))*Settings!$B$25,NA()))</f>
        <v/>
      </c>
      <c r="AI143" s="19">
        <f>IF(NOT(ISNUMBER($A143)),NA(),IFERROR(INDEX(BBG_Data!$V$2:$V$4000,MATCH($A143,BBG_Data!$U$2:$U$4000,0))*Settings!$B$25,NA()))</f>
        <v/>
      </c>
      <c r="AJ143" s="19">
        <f>IF(NOT(ISNUMBER($A143)),NA(),IFERROR(1*INDEX(BBG_Data!$X$2:$X$4000,MATCH($A143,BBG_Data!$W$2:$W$4000,0)),NA()))</f>
        <v/>
      </c>
      <c r="AK143" s="19">
        <f>IF(NOT(ISNUMBER($A143)),NA(),IFERROR(1*INDEX(BBG_Data!$Z$2:$Z$4000,MATCH($A143,BBG_Data!$Y$2:$Y$4000,0)),NA()))</f>
        <v/>
      </c>
    </row>
    <row r="144">
      <c r="A144" s="17">
        <f>IF(ISNUMBER(BBG_Data!A144),BBG_Data!A144,"")</f>
        <v/>
      </c>
      <c r="B144" s="18">
        <f>IF(AND(ISNUMBER($A144),ISNUMBER(BBG_Data!B144)),BBG_Data!B144,NA())</f>
        <v/>
      </c>
      <c r="C144" s="18">
        <f>IF(NOT(ISNUMBER($A144)),NA(),IFERROR(1*INDEX(BBG_Data!$D$2:$D$4000,MATCH($A144,BBG_Data!$C$2:$C$4000,0)),NA()))</f>
        <v/>
      </c>
      <c r="D144" s="19">
        <f>IF(NOT(ISNUMBER($A144)),NA(),IFERROR(1*INDEX(BBG_Data!$F$2:$F$4000,MATCH($A144,BBG_Data!$E$2:$E$4000,0)),NA()))</f>
        <v/>
      </c>
      <c r="E144" s="19">
        <f>IF(NOT(ISNUMBER($A144)),NA(),IFERROR(1*INDEX(BBG_Data!$H$2:$H$4000,MATCH($A144,BBG_Data!$G$2:$G$4000,0)),NA()))</f>
        <v/>
      </c>
      <c r="F144" s="20">
        <f>IF(AND(ISNUMBER(B144),ISNUMBER(B143)),IF(B144=B143,"",(B144-B143)*100),"")</f>
        <v/>
      </c>
      <c r="G144" s="20">
        <f>IF(AND(ISNUMBER(C144),ISNUMBER(C143)),IF(C144=C143,"",(C144-C143)*100),"")</f>
        <v/>
      </c>
      <c r="H144" s="20">
        <f>IF(OR(NOT(ISNUMBER($A144)),ROW()-2&lt;Settings!$B$11),NA(),IF(COUNT(OFFSET(F144,1-Settings!$B$11,0,Settings!$B$11,1))&lt;ROUNDUP(Settings!$B$11*Settings!$B$26,0),NA(),STDEV(OFFSET(F144,1-Settings!$B$11,0,Settings!$B$11,1))*SQRT(Settings!$B$13)))</f>
        <v/>
      </c>
      <c r="I144" s="20">
        <f>IF(OR(NOT(ISNUMBER($A144)),ROW()-2&lt;Settings!$B$12),NA(),IF(COUNT(OFFSET(F144,1-Settings!$B$12,0,Settings!$B$12,1))&lt;ROUNDUP(Settings!$B$12*Settings!$B$26,0),NA(),STDEV(OFFSET(F144,1-Settings!$B$12,0,Settings!$B$12,1))*SQRT(Settings!$B$13)))</f>
        <v/>
      </c>
      <c r="J144" s="20">
        <f>IF(OR(NOT(ISNUMBER($A144)),ROW()-2&lt;Settings!$B$11),NA(),IF(COUNT(OFFSET(G144,1-Settings!$B$11,0,Settings!$B$11,1))&lt;ROUNDUP(Settings!$B$11*Settings!$B$26,0),NA(),STDEV(OFFSET(G144,1-Settings!$B$11,0,Settings!$B$11,1))*SQRT(Settings!$B$13)))</f>
        <v/>
      </c>
      <c r="K144" s="20">
        <f>IF(OR(NOT(ISNUMBER($A144)),ROW()-2&lt;Settings!$B$12),NA(),IF(COUNT(OFFSET(G144,1-Settings!$B$12,0,Settings!$B$12,1))&lt;ROUNDUP(Settings!$B$12*Settings!$B$26,0),NA(),STDEV(OFFSET(G144,1-Settings!$B$12,0,Settings!$B$12,1))*SQRT(Settings!$B$13)))</f>
        <v/>
      </c>
      <c r="L144" s="20">
        <f>IF(AND(ISNUMBER(D144),ISNUMBER(H144)),D144-H144,NA())</f>
        <v/>
      </c>
      <c r="M144" s="20">
        <f>IF(AND(ISNUMBER(E144),ISNUMBER(K144)),E144-K144,NA())</f>
        <v/>
      </c>
      <c r="N144" s="20">
        <f>IF(NOT(ISNUMBER($A144)),NA(),IF(COUNT(OFFSET(G144,1,0,Settings!$B$12,1))&lt;ROUNDUP(Settings!$B$12*Settings!$B$26,0),NA(),STDEV(OFFSET(G144,1,0,Settings!$B$12,1))*SQRT(Settings!$B$13)))</f>
        <v/>
      </c>
      <c r="O144" s="20">
        <f>IF(AND(ISNUMBER(E144),ISNUMBER(N144)),E144-N144,NA())</f>
        <v/>
      </c>
      <c r="P144" s="19">
        <f>IF(NOT(ISNUMBER($A144)),NA(),IF(OR($A144&lt;MIN(KW_TP!$A$2:$A$2501),$A144&gt;MAX(KW_TP!$A$2:$A$2501)),NA(),INDEX(KW_TP!$C$2:$C$2501,MATCH($A144,KW_TP!$A$2:$A$2501,1))))</f>
        <v/>
      </c>
      <c r="Q144" s="18">
        <f>IF(NOT(ISNUMBER($A144)),NA(),IFERROR(1*INDEX(BBG_Data!$J$2:$J$4000,MATCH($A144,BBG_Data!$I$2:$I$4000,0)),NA()))</f>
        <v/>
      </c>
      <c r="R144" s="18">
        <f>IF(NOT(ISNUMBER($A144)),NA(),IFERROR(1*INDEX(BBG_Data!$L$2:$L$4000,MATCH($A144,BBG_Data!$K$2:$K$4000,0)),NA()))</f>
        <v/>
      </c>
      <c r="S144" s="20">
        <f>IF(AND(ISNUMBER(B144),ISNUMBER(Q144),ISNUMBER(R144)),(B144-Q144-R144)*100,NA())</f>
        <v/>
      </c>
      <c r="T144" s="20">
        <f>IF(AND(ISNUMBER(B144),Settings!$B$17&gt;0),IF(ISNUMBER(INDEX($B:$B,Settings!$B$17)),(B144-INDEX($B:$B,Settings!$B$17))*100,NA()),NA())</f>
        <v/>
      </c>
      <c r="U144" s="20">
        <f>IF(AND(ISNUMBER(Q144),Settings!$B$17&gt;0),IF(ISNUMBER(INDEX($Q:$Q,Settings!$B$17)),(Q144-INDEX($Q:$Q,Settings!$B$17))*100,NA()),NA())</f>
        <v/>
      </c>
      <c r="V144" s="20">
        <f>IF(AND(ISNUMBER(R144),Settings!$B$17&gt;0),IF(ISNUMBER(INDEX($R:$R,Settings!$B$17)),(R144-INDEX($R:$R,Settings!$B$17))*100,NA()),NA())</f>
        <v/>
      </c>
      <c r="W144" s="20">
        <f>IF(AND(ISNUMBER(P144),Settings!$B$17&gt;0),IF(ISNUMBER(INDEX($P:$P,Settings!$B$17)),P144-INDEX($P:$P,Settings!$B$17),NA()),NA())</f>
        <v/>
      </c>
      <c r="X144" s="19">
        <f>IF(NOT(ISNUMBER($A144)),NA(),IF(OR($A144&lt;MIN(DKW_10Y!$A$2:$A$2918),$A144&gt;MAX(DKW_10Y!$A$2:$A$2918),Settings!$B$16&lt;MIN(DKW_10Y!$A$2:$A$2918)),NA(),(INDEX(DKW_10Y!$B$2:$B$2918,MATCH($A144,DKW_10Y!$A$2:$A$2918,1))-INDEX(DKW_10Y!$B$2:$B$2918,MATCH(Settings!$B$16,DKW_10Y!$A$2:$A$2918,1)))*100))</f>
        <v/>
      </c>
      <c r="Y144" s="19">
        <f>IF(NOT(ISNUMBER($A144)),NA(),IF(OR($A144&lt;MIN(DKW_10Y!$A$2:$A$2918),$A144&gt;MAX(DKW_10Y!$A$2:$A$2918),Settings!$B$16&lt;MIN(DKW_10Y!$A$2:$A$2918)),NA(),(INDEX(DKW_10Y!$C$2:$C$2918,MATCH($A144,DKW_10Y!$A$2:$A$2918,1))-INDEX(DKW_10Y!$C$2:$C$2918,MATCH(Settings!$B$16,DKW_10Y!$A$2:$A$2918,1)))*100))</f>
        <v/>
      </c>
      <c r="Z144" s="19">
        <f>IF(NOT(ISNUMBER($A144)),NA(),IF(OR($A144&lt;MIN(DKW_10Y!$A$2:$A$2918),$A144&gt;MAX(DKW_10Y!$A$2:$A$2918),Settings!$B$16&lt;MIN(DKW_10Y!$A$2:$A$2918)),NA(),(INDEX(DKW_10Y!$D$2:$D$2918,MATCH($A144,DKW_10Y!$A$2:$A$2918,1))-INDEX(DKW_10Y!$D$2:$D$2918,MATCH(Settings!$B$16,DKW_10Y!$A$2:$A$2918,1)))*100))</f>
        <v/>
      </c>
      <c r="AA144" s="19">
        <f>IF(NOT(ISNUMBER($A144)),NA(),IF(OR($A144&lt;MIN(DKW_10Y!$A$2:$A$2918),$A144&gt;MAX(DKW_10Y!$A$2:$A$2918),Settings!$B$16&lt;MIN(DKW_10Y!$A$2:$A$2918)),NA(),(INDEX(DKW_10Y!$E$2:$E$2918,MATCH($A144,DKW_10Y!$A$2:$A$2918,1))-INDEX(DKW_10Y!$E$2:$E$2918,MATCH(Settings!$B$16,DKW_10Y!$A$2:$A$2918,1)))*100))</f>
        <v/>
      </c>
      <c r="AB144" s="19">
        <f>IF(NOT(ISNUMBER($A144)),NA(),IF(OR($A144&lt;MIN(DKW_10Y!$A$2:$A$2918),$A144&gt;MAX(DKW_10Y!$A$2:$A$2918),Settings!$B$16&lt;MIN(DKW_10Y!$A$2:$A$2918)),NA(),(INDEX(DKW_10Y!$H$2:$H$2918,MATCH($A144,DKW_10Y!$A$2:$A$2918,1))-INDEX(DKW_10Y!$H$2:$H$2918,MATCH(Settings!$B$16,DKW_10Y!$A$2:$A$2918,1)))*100))</f>
        <v/>
      </c>
      <c r="AC144" s="18">
        <f>IF(NOT(ISNUMBER($A144)),NA(),IFERROR(1*INDEX(BBG_Data!$N$2:$N$4000,MATCH($A144,BBG_Data!$M$2:$M$4000,0)),NA()))</f>
        <v/>
      </c>
      <c r="AD144" s="18">
        <f>IF(NOT(ISNUMBER($A144)),NA(),IFERROR(1*INDEX(BBG_Data!$P$2:$P$4000,MATCH($A144,BBG_Data!$O$2:$O$4000,0)),NA()))</f>
        <v/>
      </c>
      <c r="AE144" s="18">
        <f>IF(NOT(ISNUMBER($A144)),NA(),IFERROR(1*INDEX(BBG_Data!$R$2:$R$4000,MATCH($A144,BBG_Data!$Q$2:$Q$4000,0)),NA()))</f>
        <v/>
      </c>
      <c r="AF144" s="20">
        <f>IF(AND(ISNUMBER(B144),ISNUMBER(AC144)),(B144-AC144)*100,NA())</f>
        <v/>
      </c>
      <c r="AG144" s="20">
        <f>IF(AND(ISNUMBER(AE144),ISNUMBER(AD144)),(AE144-AD144)*100,NA())</f>
        <v/>
      </c>
      <c r="AH144" s="19">
        <f>IF(NOT(ISNUMBER($A144)),NA(),IFERROR(INDEX(BBG_Data!$T$2:$T$4000,MATCH($A144,BBG_Data!$S$2:$S$4000,0))*Settings!$B$25,NA()))</f>
        <v/>
      </c>
      <c r="AI144" s="19">
        <f>IF(NOT(ISNUMBER($A144)),NA(),IFERROR(INDEX(BBG_Data!$V$2:$V$4000,MATCH($A144,BBG_Data!$U$2:$U$4000,0))*Settings!$B$25,NA()))</f>
        <v/>
      </c>
      <c r="AJ144" s="19">
        <f>IF(NOT(ISNUMBER($A144)),NA(),IFERROR(1*INDEX(BBG_Data!$X$2:$X$4000,MATCH($A144,BBG_Data!$W$2:$W$4000,0)),NA()))</f>
        <v/>
      </c>
      <c r="AK144" s="19">
        <f>IF(NOT(ISNUMBER($A144)),NA(),IFERROR(1*INDEX(BBG_Data!$Z$2:$Z$4000,MATCH($A144,BBG_Data!$Y$2:$Y$4000,0)),NA()))</f>
        <v/>
      </c>
    </row>
    <row r="145">
      <c r="A145" s="17">
        <f>IF(ISNUMBER(BBG_Data!A145),BBG_Data!A145,"")</f>
        <v/>
      </c>
      <c r="B145" s="18">
        <f>IF(AND(ISNUMBER($A145),ISNUMBER(BBG_Data!B145)),BBG_Data!B145,NA())</f>
        <v/>
      </c>
      <c r="C145" s="18">
        <f>IF(NOT(ISNUMBER($A145)),NA(),IFERROR(1*INDEX(BBG_Data!$D$2:$D$4000,MATCH($A145,BBG_Data!$C$2:$C$4000,0)),NA()))</f>
        <v/>
      </c>
      <c r="D145" s="19">
        <f>IF(NOT(ISNUMBER($A145)),NA(),IFERROR(1*INDEX(BBG_Data!$F$2:$F$4000,MATCH($A145,BBG_Data!$E$2:$E$4000,0)),NA()))</f>
        <v/>
      </c>
      <c r="E145" s="19">
        <f>IF(NOT(ISNUMBER($A145)),NA(),IFERROR(1*INDEX(BBG_Data!$H$2:$H$4000,MATCH($A145,BBG_Data!$G$2:$G$4000,0)),NA()))</f>
        <v/>
      </c>
      <c r="F145" s="20">
        <f>IF(AND(ISNUMBER(B145),ISNUMBER(B144)),IF(B145=B144,"",(B145-B144)*100),"")</f>
        <v/>
      </c>
      <c r="G145" s="20">
        <f>IF(AND(ISNUMBER(C145),ISNUMBER(C144)),IF(C145=C144,"",(C145-C144)*100),"")</f>
        <v/>
      </c>
      <c r="H145" s="20">
        <f>IF(OR(NOT(ISNUMBER($A145)),ROW()-2&lt;Settings!$B$11),NA(),IF(COUNT(OFFSET(F145,1-Settings!$B$11,0,Settings!$B$11,1))&lt;ROUNDUP(Settings!$B$11*Settings!$B$26,0),NA(),STDEV(OFFSET(F145,1-Settings!$B$11,0,Settings!$B$11,1))*SQRT(Settings!$B$13)))</f>
        <v/>
      </c>
      <c r="I145" s="20">
        <f>IF(OR(NOT(ISNUMBER($A145)),ROW()-2&lt;Settings!$B$12),NA(),IF(COUNT(OFFSET(F145,1-Settings!$B$12,0,Settings!$B$12,1))&lt;ROUNDUP(Settings!$B$12*Settings!$B$26,0),NA(),STDEV(OFFSET(F145,1-Settings!$B$12,0,Settings!$B$12,1))*SQRT(Settings!$B$13)))</f>
        <v/>
      </c>
      <c r="J145" s="20">
        <f>IF(OR(NOT(ISNUMBER($A145)),ROW()-2&lt;Settings!$B$11),NA(),IF(COUNT(OFFSET(G145,1-Settings!$B$11,0,Settings!$B$11,1))&lt;ROUNDUP(Settings!$B$11*Settings!$B$26,0),NA(),STDEV(OFFSET(G145,1-Settings!$B$11,0,Settings!$B$11,1))*SQRT(Settings!$B$13)))</f>
        <v/>
      </c>
      <c r="K145" s="20">
        <f>IF(OR(NOT(ISNUMBER($A145)),ROW()-2&lt;Settings!$B$12),NA(),IF(COUNT(OFFSET(G145,1-Settings!$B$12,0,Settings!$B$12,1))&lt;ROUNDUP(Settings!$B$12*Settings!$B$26,0),NA(),STDEV(OFFSET(G145,1-Settings!$B$12,0,Settings!$B$12,1))*SQRT(Settings!$B$13)))</f>
        <v/>
      </c>
      <c r="L145" s="20">
        <f>IF(AND(ISNUMBER(D145),ISNUMBER(H145)),D145-H145,NA())</f>
        <v/>
      </c>
      <c r="M145" s="20">
        <f>IF(AND(ISNUMBER(E145),ISNUMBER(K145)),E145-K145,NA())</f>
        <v/>
      </c>
      <c r="N145" s="20">
        <f>IF(NOT(ISNUMBER($A145)),NA(),IF(COUNT(OFFSET(G145,1,0,Settings!$B$12,1))&lt;ROUNDUP(Settings!$B$12*Settings!$B$26,0),NA(),STDEV(OFFSET(G145,1,0,Settings!$B$12,1))*SQRT(Settings!$B$13)))</f>
        <v/>
      </c>
      <c r="O145" s="20">
        <f>IF(AND(ISNUMBER(E145),ISNUMBER(N145)),E145-N145,NA())</f>
        <v/>
      </c>
      <c r="P145" s="19">
        <f>IF(NOT(ISNUMBER($A145)),NA(),IF(OR($A145&lt;MIN(KW_TP!$A$2:$A$2501),$A145&gt;MAX(KW_TP!$A$2:$A$2501)),NA(),INDEX(KW_TP!$C$2:$C$2501,MATCH($A145,KW_TP!$A$2:$A$2501,1))))</f>
        <v/>
      </c>
      <c r="Q145" s="18">
        <f>IF(NOT(ISNUMBER($A145)),NA(),IFERROR(1*INDEX(BBG_Data!$J$2:$J$4000,MATCH($A145,BBG_Data!$I$2:$I$4000,0)),NA()))</f>
        <v/>
      </c>
      <c r="R145" s="18">
        <f>IF(NOT(ISNUMBER($A145)),NA(),IFERROR(1*INDEX(BBG_Data!$L$2:$L$4000,MATCH($A145,BBG_Data!$K$2:$K$4000,0)),NA()))</f>
        <v/>
      </c>
      <c r="S145" s="20">
        <f>IF(AND(ISNUMBER(B145),ISNUMBER(Q145),ISNUMBER(R145)),(B145-Q145-R145)*100,NA())</f>
        <v/>
      </c>
      <c r="T145" s="20">
        <f>IF(AND(ISNUMBER(B145),Settings!$B$17&gt;0),IF(ISNUMBER(INDEX($B:$B,Settings!$B$17)),(B145-INDEX($B:$B,Settings!$B$17))*100,NA()),NA())</f>
        <v/>
      </c>
      <c r="U145" s="20">
        <f>IF(AND(ISNUMBER(Q145),Settings!$B$17&gt;0),IF(ISNUMBER(INDEX($Q:$Q,Settings!$B$17)),(Q145-INDEX($Q:$Q,Settings!$B$17))*100,NA()),NA())</f>
        <v/>
      </c>
      <c r="V145" s="20">
        <f>IF(AND(ISNUMBER(R145),Settings!$B$17&gt;0),IF(ISNUMBER(INDEX($R:$R,Settings!$B$17)),(R145-INDEX($R:$R,Settings!$B$17))*100,NA()),NA())</f>
        <v/>
      </c>
      <c r="W145" s="20">
        <f>IF(AND(ISNUMBER(P145),Settings!$B$17&gt;0),IF(ISNUMBER(INDEX($P:$P,Settings!$B$17)),P145-INDEX($P:$P,Settings!$B$17),NA()),NA())</f>
        <v/>
      </c>
      <c r="X145" s="19">
        <f>IF(NOT(ISNUMBER($A145)),NA(),IF(OR($A145&lt;MIN(DKW_10Y!$A$2:$A$2918),$A145&gt;MAX(DKW_10Y!$A$2:$A$2918),Settings!$B$16&lt;MIN(DKW_10Y!$A$2:$A$2918)),NA(),(INDEX(DKW_10Y!$B$2:$B$2918,MATCH($A145,DKW_10Y!$A$2:$A$2918,1))-INDEX(DKW_10Y!$B$2:$B$2918,MATCH(Settings!$B$16,DKW_10Y!$A$2:$A$2918,1)))*100))</f>
        <v/>
      </c>
      <c r="Y145" s="19">
        <f>IF(NOT(ISNUMBER($A145)),NA(),IF(OR($A145&lt;MIN(DKW_10Y!$A$2:$A$2918),$A145&gt;MAX(DKW_10Y!$A$2:$A$2918),Settings!$B$16&lt;MIN(DKW_10Y!$A$2:$A$2918)),NA(),(INDEX(DKW_10Y!$C$2:$C$2918,MATCH($A145,DKW_10Y!$A$2:$A$2918,1))-INDEX(DKW_10Y!$C$2:$C$2918,MATCH(Settings!$B$16,DKW_10Y!$A$2:$A$2918,1)))*100))</f>
        <v/>
      </c>
      <c r="Z145" s="19">
        <f>IF(NOT(ISNUMBER($A145)),NA(),IF(OR($A145&lt;MIN(DKW_10Y!$A$2:$A$2918),$A145&gt;MAX(DKW_10Y!$A$2:$A$2918),Settings!$B$16&lt;MIN(DKW_10Y!$A$2:$A$2918)),NA(),(INDEX(DKW_10Y!$D$2:$D$2918,MATCH($A145,DKW_10Y!$A$2:$A$2918,1))-INDEX(DKW_10Y!$D$2:$D$2918,MATCH(Settings!$B$16,DKW_10Y!$A$2:$A$2918,1)))*100))</f>
        <v/>
      </c>
      <c r="AA145" s="19">
        <f>IF(NOT(ISNUMBER($A145)),NA(),IF(OR($A145&lt;MIN(DKW_10Y!$A$2:$A$2918),$A145&gt;MAX(DKW_10Y!$A$2:$A$2918),Settings!$B$16&lt;MIN(DKW_10Y!$A$2:$A$2918)),NA(),(INDEX(DKW_10Y!$E$2:$E$2918,MATCH($A145,DKW_10Y!$A$2:$A$2918,1))-INDEX(DKW_10Y!$E$2:$E$2918,MATCH(Settings!$B$16,DKW_10Y!$A$2:$A$2918,1)))*100))</f>
        <v/>
      </c>
      <c r="AB145" s="19">
        <f>IF(NOT(ISNUMBER($A145)),NA(),IF(OR($A145&lt;MIN(DKW_10Y!$A$2:$A$2918),$A145&gt;MAX(DKW_10Y!$A$2:$A$2918),Settings!$B$16&lt;MIN(DKW_10Y!$A$2:$A$2918)),NA(),(INDEX(DKW_10Y!$H$2:$H$2918,MATCH($A145,DKW_10Y!$A$2:$A$2918,1))-INDEX(DKW_10Y!$H$2:$H$2918,MATCH(Settings!$B$16,DKW_10Y!$A$2:$A$2918,1)))*100))</f>
        <v/>
      </c>
      <c r="AC145" s="18">
        <f>IF(NOT(ISNUMBER($A145)),NA(),IFERROR(1*INDEX(BBG_Data!$N$2:$N$4000,MATCH($A145,BBG_Data!$M$2:$M$4000,0)),NA()))</f>
        <v/>
      </c>
      <c r="AD145" s="18">
        <f>IF(NOT(ISNUMBER($A145)),NA(),IFERROR(1*INDEX(BBG_Data!$P$2:$P$4000,MATCH($A145,BBG_Data!$O$2:$O$4000,0)),NA()))</f>
        <v/>
      </c>
      <c r="AE145" s="18">
        <f>IF(NOT(ISNUMBER($A145)),NA(),IFERROR(1*INDEX(BBG_Data!$R$2:$R$4000,MATCH($A145,BBG_Data!$Q$2:$Q$4000,0)),NA()))</f>
        <v/>
      </c>
      <c r="AF145" s="20">
        <f>IF(AND(ISNUMBER(B145),ISNUMBER(AC145)),(B145-AC145)*100,NA())</f>
        <v/>
      </c>
      <c r="AG145" s="20">
        <f>IF(AND(ISNUMBER(AE145),ISNUMBER(AD145)),(AE145-AD145)*100,NA())</f>
        <v/>
      </c>
      <c r="AH145" s="19">
        <f>IF(NOT(ISNUMBER($A145)),NA(),IFERROR(INDEX(BBG_Data!$T$2:$T$4000,MATCH($A145,BBG_Data!$S$2:$S$4000,0))*Settings!$B$25,NA()))</f>
        <v/>
      </c>
      <c r="AI145" s="19">
        <f>IF(NOT(ISNUMBER($A145)),NA(),IFERROR(INDEX(BBG_Data!$V$2:$V$4000,MATCH($A145,BBG_Data!$U$2:$U$4000,0))*Settings!$B$25,NA()))</f>
        <v/>
      </c>
      <c r="AJ145" s="19">
        <f>IF(NOT(ISNUMBER($A145)),NA(),IFERROR(1*INDEX(BBG_Data!$X$2:$X$4000,MATCH($A145,BBG_Data!$W$2:$W$4000,0)),NA()))</f>
        <v/>
      </c>
      <c r="AK145" s="19">
        <f>IF(NOT(ISNUMBER($A145)),NA(),IFERROR(1*INDEX(BBG_Data!$Z$2:$Z$4000,MATCH($A145,BBG_Data!$Y$2:$Y$4000,0)),NA()))</f>
        <v/>
      </c>
    </row>
    <row r="146">
      <c r="A146" s="17">
        <f>IF(ISNUMBER(BBG_Data!A146),BBG_Data!A146,"")</f>
        <v/>
      </c>
      <c r="B146" s="18">
        <f>IF(AND(ISNUMBER($A146),ISNUMBER(BBG_Data!B146)),BBG_Data!B146,NA())</f>
        <v/>
      </c>
      <c r="C146" s="18">
        <f>IF(NOT(ISNUMBER($A146)),NA(),IFERROR(1*INDEX(BBG_Data!$D$2:$D$4000,MATCH($A146,BBG_Data!$C$2:$C$4000,0)),NA()))</f>
        <v/>
      </c>
      <c r="D146" s="19">
        <f>IF(NOT(ISNUMBER($A146)),NA(),IFERROR(1*INDEX(BBG_Data!$F$2:$F$4000,MATCH($A146,BBG_Data!$E$2:$E$4000,0)),NA()))</f>
        <v/>
      </c>
      <c r="E146" s="19">
        <f>IF(NOT(ISNUMBER($A146)),NA(),IFERROR(1*INDEX(BBG_Data!$H$2:$H$4000,MATCH($A146,BBG_Data!$G$2:$G$4000,0)),NA()))</f>
        <v/>
      </c>
      <c r="F146" s="20">
        <f>IF(AND(ISNUMBER(B146),ISNUMBER(B145)),IF(B146=B145,"",(B146-B145)*100),"")</f>
        <v/>
      </c>
      <c r="G146" s="20">
        <f>IF(AND(ISNUMBER(C146),ISNUMBER(C145)),IF(C146=C145,"",(C146-C145)*100),"")</f>
        <v/>
      </c>
      <c r="H146" s="20">
        <f>IF(OR(NOT(ISNUMBER($A146)),ROW()-2&lt;Settings!$B$11),NA(),IF(COUNT(OFFSET(F146,1-Settings!$B$11,0,Settings!$B$11,1))&lt;ROUNDUP(Settings!$B$11*Settings!$B$26,0),NA(),STDEV(OFFSET(F146,1-Settings!$B$11,0,Settings!$B$11,1))*SQRT(Settings!$B$13)))</f>
        <v/>
      </c>
      <c r="I146" s="20">
        <f>IF(OR(NOT(ISNUMBER($A146)),ROW()-2&lt;Settings!$B$12),NA(),IF(COUNT(OFFSET(F146,1-Settings!$B$12,0,Settings!$B$12,1))&lt;ROUNDUP(Settings!$B$12*Settings!$B$26,0),NA(),STDEV(OFFSET(F146,1-Settings!$B$12,0,Settings!$B$12,1))*SQRT(Settings!$B$13)))</f>
        <v/>
      </c>
      <c r="J146" s="20">
        <f>IF(OR(NOT(ISNUMBER($A146)),ROW()-2&lt;Settings!$B$11),NA(),IF(COUNT(OFFSET(G146,1-Settings!$B$11,0,Settings!$B$11,1))&lt;ROUNDUP(Settings!$B$11*Settings!$B$26,0),NA(),STDEV(OFFSET(G146,1-Settings!$B$11,0,Settings!$B$11,1))*SQRT(Settings!$B$13)))</f>
        <v/>
      </c>
      <c r="K146" s="20">
        <f>IF(OR(NOT(ISNUMBER($A146)),ROW()-2&lt;Settings!$B$12),NA(),IF(COUNT(OFFSET(G146,1-Settings!$B$12,0,Settings!$B$12,1))&lt;ROUNDUP(Settings!$B$12*Settings!$B$26,0),NA(),STDEV(OFFSET(G146,1-Settings!$B$12,0,Settings!$B$12,1))*SQRT(Settings!$B$13)))</f>
        <v/>
      </c>
      <c r="L146" s="20">
        <f>IF(AND(ISNUMBER(D146),ISNUMBER(H146)),D146-H146,NA())</f>
        <v/>
      </c>
      <c r="M146" s="20">
        <f>IF(AND(ISNUMBER(E146),ISNUMBER(K146)),E146-K146,NA())</f>
        <v/>
      </c>
      <c r="N146" s="20">
        <f>IF(NOT(ISNUMBER($A146)),NA(),IF(COUNT(OFFSET(G146,1,0,Settings!$B$12,1))&lt;ROUNDUP(Settings!$B$12*Settings!$B$26,0),NA(),STDEV(OFFSET(G146,1,0,Settings!$B$12,1))*SQRT(Settings!$B$13)))</f>
        <v/>
      </c>
      <c r="O146" s="20">
        <f>IF(AND(ISNUMBER(E146),ISNUMBER(N146)),E146-N146,NA())</f>
        <v/>
      </c>
      <c r="P146" s="19">
        <f>IF(NOT(ISNUMBER($A146)),NA(),IF(OR($A146&lt;MIN(KW_TP!$A$2:$A$2501),$A146&gt;MAX(KW_TP!$A$2:$A$2501)),NA(),INDEX(KW_TP!$C$2:$C$2501,MATCH($A146,KW_TP!$A$2:$A$2501,1))))</f>
        <v/>
      </c>
      <c r="Q146" s="18">
        <f>IF(NOT(ISNUMBER($A146)),NA(),IFERROR(1*INDEX(BBG_Data!$J$2:$J$4000,MATCH($A146,BBG_Data!$I$2:$I$4000,0)),NA()))</f>
        <v/>
      </c>
      <c r="R146" s="18">
        <f>IF(NOT(ISNUMBER($A146)),NA(),IFERROR(1*INDEX(BBG_Data!$L$2:$L$4000,MATCH($A146,BBG_Data!$K$2:$K$4000,0)),NA()))</f>
        <v/>
      </c>
      <c r="S146" s="20">
        <f>IF(AND(ISNUMBER(B146),ISNUMBER(Q146),ISNUMBER(R146)),(B146-Q146-R146)*100,NA())</f>
        <v/>
      </c>
      <c r="T146" s="20">
        <f>IF(AND(ISNUMBER(B146),Settings!$B$17&gt;0),IF(ISNUMBER(INDEX($B:$B,Settings!$B$17)),(B146-INDEX($B:$B,Settings!$B$17))*100,NA()),NA())</f>
        <v/>
      </c>
      <c r="U146" s="20">
        <f>IF(AND(ISNUMBER(Q146),Settings!$B$17&gt;0),IF(ISNUMBER(INDEX($Q:$Q,Settings!$B$17)),(Q146-INDEX($Q:$Q,Settings!$B$17))*100,NA()),NA())</f>
        <v/>
      </c>
      <c r="V146" s="20">
        <f>IF(AND(ISNUMBER(R146),Settings!$B$17&gt;0),IF(ISNUMBER(INDEX($R:$R,Settings!$B$17)),(R146-INDEX($R:$R,Settings!$B$17))*100,NA()),NA())</f>
        <v/>
      </c>
      <c r="W146" s="20">
        <f>IF(AND(ISNUMBER(P146),Settings!$B$17&gt;0),IF(ISNUMBER(INDEX($P:$P,Settings!$B$17)),P146-INDEX($P:$P,Settings!$B$17),NA()),NA())</f>
        <v/>
      </c>
      <c r="X146" s="19">
        <f>IF(NOT(ISNUMBER($A146)),NA(),IF(OR($A146&lt;MIN(DKW_10Y!$A$2:$A$2918),$A146&gt;MAX(DKW_10Y!$A$2:$A$2918),Settings!$B$16&lt;MIN(DKW_10Y!$A$2:$A$2918)),NA(),(INDEX(DKW_10Y!$B$2:$B$2918,MATCH($A146,DKW_10Y!$A$2:$A$2918,1))-INDEX(DKW_10Y!$B$2:$B$2918,MATCH(Settings!$B$16,DKW_10Y!$A$2:$A$2918,1)))*100))</f>
        <v/>
      </c>
      <c r="Y146" s="19">
        <f>IF(NOT(ISNUMBER($A146)),NA(),IF(OR($A146&lt;MIN(DKW_10Y!$A$2:$A$2918),$A146&gt;MAX(DKW_10Y!$A$2:$A$2918),Settings!$B$16&lt;MIN(DKW_10Y!$A$2:$A$2918)),NA(),(INDEX(DKW_10Y!$C$2:$C$2918,MATCH($A146,DKW_10Y!$A$2:$A$2918,1))-INDEX(DKW_10Y!$C$2:$C$2918,MATCH(Settings!$B$16,DKW_10Y!$A$2:$A$2918,1)))*100))</f>
        <v/>
      </c>
      <c r="Z146" s="19">
        <f>IF(NOT(ISNUMBER($A146)),NA(),IF(OR($A146&lt;MIN(DKW_10Y!$A$2:$A$2918),$A146&gt;MAX(DKW_10Y!$A$2:$A$2918),Settings!$B$16&lt;MIN(DKW_10Y!$A$2:$A$2918)),NA(),(INDEX(DKW_10Y!$D$2:$D$2918,MATCH($A146,DKW_10Y!$A$2:$A$2918,1))-INDEX(DKW_10Y!$D$2:$D$2918,MATCH(Settings!$B$16,DKW_10Y!$A$2:$A$2918,1)))*100))</f>
        <v/>
      </c>
      <c r="AA146" s="19">
        <f>IF(NOT(ISNUMBER($A146)),NA(),IF(OR($A146&lt;MIN(DKW_10Y!$A$2:$A$2918),$A146&gt;MAX(DKW_10Y!$A$2:$A$2918),Settings!$B$16&lt;MIN(DKW_10Y!$A$2:$A$2918)),NA(),(INDEX(DKW_10Y!$E$2:$E$2918,MATCH($A146,DKW_10Y!$A$2:$A$2918,1))-INDEX(DKW_10Y!$E$2:$E$2918,MATCH(Settings!$B$16,DKW_10Y!$A$2:$A$2918,1)))*100))</f>
        <v/>
      </c>
      <c r="AB146" s="19">
        <f>IF(NOT(ISNUMBER($A146)),NA(),IF(OR($A146&lt;MIN(DKW_10Y!$A$2:$A$2918),$A146&gt;MAX(DKW_10Y!$A$2:$A$2918),Settings!$B$16&lt;MIN(DKW_10Y!$A$2:$A$2918)),NA(),(INDEX(DKW_10Y!$H$2:$H$2918,MATCH($A146,DKW_10Y!$A$2:$A$2918,1))-INDEX(DKW_10Y!$H$2:$H$2918,MATCH(Settings!$B$16,DKW_10Y!$A$2:$A$2918,1)))*100))</f>
        <v/>
      </c>
      <c r="AC146" s="18">
        <f>IF(NOT(ISNUMBER($A146)),NA(),IFERROR(1*INDEX(BBG_Data!$N$2:$N$4000,MATCH($A146,BBG_Data!$M$2:$M$4000,0)),NA()))</f>
        <v/>
      </c>
      <c r="AD146" s="18">
        <f>IF(NOT(ISNUMBER($A146)),NA(),IFERROR(1*INDEX(BBG_Data!$P$2:$P$4000,MATCH($A146,BBG_Data!$O$2:$O$4000,0)),NA()))</f>
        <v/>
      </c>
      <c r="AE146" s="18">
        <f>IF(NOT(ISNUMBER($A146)),NA(),IFERROR(1*INDEX(BBG_Data!$R$2:$R$4000,MATCH($A146,BBG_Data!$Q$2:$Q$4000,0)),NA()))</f>
        <v/>
      </c>
      <c r="AF146" s="20">
        <f>IF(AND(ISNUMBER(B146),ISNUMBER(AC146)),(B146-AC146)*100,NA())</f>
        <v/>
      </c>
      <c r="AG146" s="20">
        <f>IF(AND(ISNUMBER(AE146),ISNUMBER(AD146)),(AE146-AD146)*100,NA())</f>
        <v/>
      </c>
      <c r="AH146" s="19">
        <f>IF(NOT(ISNUMBER($A146)),NA(),IFERROR(INDEX(BBG_Data!$T$2:$T$4000,MATCH($A146,BBG_Data!$S$2:$S$4000,0))*Settings!$B$25,NA()))</f>
        <v/>
      </c>
      <c r="AI146" s="19">
        <f>IF(NOT(ISNUMBER($A146)),NA(),IFERROR(INDEX(BBG_Data!$V$2:$V$4000,MATCH($A146,BBG_Data!$U$2:$U$4000,0))*Settings!$B$25,NA()))</f>
        <v/>
      </c>
      <c r="AJ146" s="19">
        <f>IF(NOT(ISNUMBER($A146)),NA(),IFERROR(1*INDEX(BBG_Data!$X$2:$X$4000,MATCH($A146,BBG_Data!$W$2:$W$4000,0)),NA()))</f>
        <v/>
      </c>
      <c r="AK146" s="19">
        <f>IF(NOT(ISNUMBER($A146)),NA(),IFERROR(1*INDEX(BBG_Data!$Z$2:$Z$4000,MATCH($A146,BBG_Data!$Y$2:$Y$4000,0)),NA()))</f>
        <v/>
      </c>
    </row>
    <row r="147">
      <c r="A147" s="17">
        <f>IF(ISNUMBER(BBG_Data!A147),BBG_Data!A147,"")</f>
        <v/>
      </c>
      <c r="B147" s="18">
        <f>IF(AND(ISNUMBER($A147),ISNUMBER(BBG_Data!B147)),BBG_Data!B147,NA())</f>
        <v/>
      </c>
      <c r="C147" s="18">
        <f>IF(NOT(ISNUMBER($A147)),NA(),IFERROR(1*INDEX(BBG_Data!$D$2:$D$4000,MATCH($A147,BBG_Data!$C$2:$C$4000,0)),NA()))</f>
        <v/>
      </c>
      <c r="D147" s="19">
        <f>IF(NOT(ISNUMBER($A147)),NA(),IFERROR(1*INDEX(BBG_Data!$F$2:$F$4000,MATCH($A147,BBG_Data!$E$2:$E$4000,0)),NA()))</f>
        <v/>
      </c>
      <c r="E147" s="19">
        <f>IF(NOT(ISNUMBER($A147)),NA(),IFERROR(1*INDEX(BBG_Data!$H$2:$H$4000,MATCH($A147,BBG_Data!$G$2:$G$4000,0)),NA()))</f>
        <v/>
      </c>
      <c r="F147" s="20">
        <f>IF(AND(ISNUMBER(B147),ISNUMBER(B146)),IF(B147=B146,"",(B147-B146)*100),"")</f>
        <v/>
      </c>
      <c r="G147" s="20">
        <f>IF(AND(ISNUMBER(C147),ISNUMBER(C146)),IF(C147=C146,"",(C147-C146)*100),"")</f>
        <v/>
      </c>
      <c r="H147" s="20">
        <f>IF(OR(NOT(ISNUMBER($A147)),ROW()-2&lt;Settings!$B$11),NA(),IF(COUNT(OFFSET(F147,1-Settings!$B$11,0,Settings!$B$11,1))&lt;ROUNDUP(Settings!$B$11*Settings!$B$26,0),NA(),STDEV(OFFSET(F147,1-Settings!$B$11,0,Settings!$B$11,1))*SQRT(Settings!$B$13)))</f>
        <v/>
      </c>
      <c r="I147" s="20">
        <f>IF(OR(NOT(ISNUMBER($A147)),ROW()-2&lt;Settings!$B$12),NA(),IF(COUNT(OFFSET(F147,1-Settings!$B$12,0,Settings!$B$12,1))&lt;ROUNDUP(Settings!$B$12*Settings!$B$26,0),NA(),STDEV(OFFSET(F147,1-Settings!$B$12,0,Settings!$B$12,1))*SQRT(Settings!$B$13)))</f>
        <v/>
      </c>
      <c r="J147" s="20">
        <f>IF(OR(NOT(ISNUMBER($A147)),ROW()-2&lt;Settings!$B$11),NA(),IF(COUNT(OFFSET(G147,1-Settings!$B$11,0,Settings!$B$11,1))&lt;ROUNDUP(Settings!$B$11*Settings!$B$26,0),NA(),STDEV(OFFSET(G147,1-Settings!$B$11,0,Settings!$B$11,1))*SQRT(Settings!$B$13)))</f>
        <v/>
      </c>
      <c r="K147" s="20">
        <f>IF(OR(NOT(ISNUMBER($A147)),ROW()-2&lt;Settings!$B$12),NA(),IF(COUNT(OFFSET(G147,1-Settings!$B$12,0,Settings!$B$12,1))&lt;ROUNDUP(Settings!$B$12*Settings!$B$26,0),NA(),STDEV(OFFSET(G147,1-Settings!$B$12,0,Settings!$B$12,1))*SQRT(Settings!$B$13)))</f>
        <v/>
      </c>
      <c r="L147" s="20">
        <f>IF(AND(ISNUMBER(D147),ISNUMBER(H147)),D147-H147,NA())</f>
        <v/>
      </c>
      <c r="M147" s="20">
        <f>IF(AND(ISNUMBER(E147),ISNUMBER(K147)),E147-K147,NA())</f>
        <v/>
      </c>
      <c r="N147" s="20">
        <f>IF(NOT(ISNUMBER($A147)),NA(),IF(COUNT(OFFSET(G147,1,0,Settings!$B$12,1))&lt;ROUNDUP(Settings!$B$12*Settings!$B$26,0),NA(),STDEV(OFFSET(G147,1,0,Settings!$B$12,1))*SQRT(Settings!$B$13)))</f>
        <v/>
      </c>
      <c r="O147" s="20">
        <f>IF(AND(ISNUMBER(E147),ISNUMBER(N147)),E147-N147,NA())</f>
        <v/>
      </c>
      <c r="P147" s="19">
        <f>IF(NOT(ISNUMBER($A147)),NA(),IF(OR($A147&lt;MIN(KW_TP!$A$2:$A$2501),$A147&gt;MAX(KW_TP!$A$2:$A$2501)),NA(),INDEX(KW_TP!$C$2:$C$2501,MATCH($A147,KW_TP!$A$2:$A$2501,1))))</f>
        <v/>
      </c>
      <c r="Q147" s="18">
        <f>IF(NOT(ISNUMBER($A147)),NA(),IFERROR(1*INDEX(BBG_Data!$J$2:$J$4000,MATCH($A147,BBG_Data!$I$2:$I$4000,0)),NA()))</f>
        <v/>
      </c>
      <c r="R147" s="18">
        <f>IF(NOT(ISNUMBER($A147)),NA(),IFERROR(1*INDEX(BBG_Data!$L$2:$L$4000,MATCH($A147,BBG_Data!$K$2:$K$4000,0)),NA()))</f>
        <v/>
      </c>
      <c r="S147" s="20">
        <f>IF(AND(ISNUMBER(B147),ISNUMBER(Q147),ISNUMBER(R147)),(B147-Q147-R147)*100,NA())</f>
        <v/>
      </c>
      <c r="T147" s="20">
        <f>IF(AND(ISNUMBER(B147),Settings!$B$17&gt;0),IF(ISNUMBER(INDEX($B:$B,Settings!$B$17)),(B147-INDEX($B:$B,Settings!$B$17))*100,NA()),NA())</f>
        <v/>
      </c>
      <c r="U147" s="20">
        <f>IF(AND(ISNUMBER(Q147),Settings!$B$17&gt;0),IF(ISNUMBER(INDEX($Q:$Q,Settings!$B$17)),(Q147-INDEX($Q:$Q,Settings!$B$17))*100,NA()),NA())</f>
        <v/>
      </c>
      <c r="V147" s="20">
        <f>IF(AND(ISNUMBER(R147),Settings!$B$17&gt;0),IF(ISNUMBER(INDEX($R:$R,Settings!$B$17)),(R147-INDEX($R:$R,Settings!$B$17))*100,NA()),NA())</f>
        <v/>
      </c>
      <c r="W147" s="20">
        <f>IF(AND(ISNUMBER(P147),Settings!$B$17&gt;0),IF(ISNUMBER(INDEX($P:$P,Settings!$B$17)),P147-INDEX($P:$P,Settings!$B$17),NA()),NA())</f>
        <v/>
      </c>
      <c r="X147" s="19">
        <f>IF(NOT(ISNUMBER($A147)),NA(),IF(OR($A147&lt;MIN(DKW_10Y!$A$2:$A$2918),$A147&gt;MAX(DKW_10Y!$A$2:$A$2918),Settings!$B$16&lt;MIN(DKW_10Y!$A$2:$A$2918)),NA(),(INDEX(DKW_10Y!$B$2:$B$2918,MATCH($A147,DKW_10Y!$A$2:$A$2918,1))-INDEX(DKW_10Y!$B$2:$B$2918,MATCH(Settings!$B$16,DKW_10Y!$A$2:$A$2918,1)))*100))</f>
        <v/>
      </c>
      <c r="Y147" s="19">
        <f>IF(NOT(ISNUMBER($A147)),NA(),IF(OR($A147&lt;MIN(DKW_10Y!$A$2:$A$2918),$A147&gt;MAX(DKW_10Y!$A$2:$A$2918),Settings!$B$16&lt;MIN(DKW_10Y!$A$2:$A$2918)),NA(),(INDEX(DKW_10Y!$C$2:$C$2918,MATCH($A147,DKW_10Y!$A$2:$A$2918,1))-INDEX(DKW_10Y!$C$2:$C$2918,MATCH(Settings!$B$16,DKW_10Y!$A$2:$A$2918,1)))*100))</f>
        <v/>
      </c>
      <c r="Z147" s="19">
        <f>IF(NOT(ISNUMBER($A147)),NA(),IF(OR($A147&lt;MIN(DKW_10Y!$A$2:$A$2918),$A147&gt;MAX(DKW_10Y!$A$2:$A$2918),Settings!$B$16&lt;MIN(DKW_10Y!$A$2:$A$2918)),NA(),(INDEX(DKW_10Y!$D$2:$D$2918,MATCH($A147,DKW_10Y!$A$2:$A$2918,1))-INDEX(DKW_10Y!$D$2:$D$2918,MATCH(Settings!$B$16,DKW_10Y!$A$2:$A$2918,1)))*100))</f>
        <v/>
      </c>
      <c r="AA147" s="19">
        <f>IF(NOT(ISNUMBER($A147)),NA(),IF(OR($A147&lt;MIN(DKW_10Y!$A$2:$A$2918),$A147&gt;MAX(DKW_10Y!$A$2:$A$2918),Settings!$B$16&lt;MIN(DKW_10Y!$A$2:$A$2918)),NA(),(INDEX(DKW_10Y!$E$2:$E$2918,MATCH($A147,DKW_10Y!$A$2:$A$2918,1))-INDEX(DKW_10Y!$E$2:$E$2918,MATCH(Settings!$B$16,DKW_10Y!$A$2:$A$2918,1)))*100))</f>
        <v/>
      </c>
      <c r="AB147" s="19">
        <f>IF(NOT(ISNUMBER($A147)),NA(),IF(OR($A147&lt;MIN(DKW_10Y!$A$2:$A$2918),$A147&gt;MAX(DKW_10Y!$A$2:$A$2918),Settings!$B$16&lt;MIN(DKW_10Y!$A$2:$A$2918)),NA(),(INDEX(DKW_10Y!$H$2:$H$2918,MATCH($A147,DKW_10Y!$A$2:$A$2918,1))-INDEX(DKW_10Y!$H$2:$H$2918,MATCH(Settings!$B$16,DKW_10Y!$A$2:$A$2918,1)))*100))</f>
        <v/>
      </c>
      <c r="AC147" s="18">
        <f>IF(NOT(ISNUMBER($A147)),NA(),IFERROR(1*INDEX(BBG_Data!$N$2:$N$4000,MATCH($A147,BBG_Data!$M$2:$M$4000,0)),NA()))</f>
        <v/>
      </c>
      <c r="AD147" s="18">
        <f>IF(NOT(ISNUMBER($A147)),NA(),IFERROR(1*INDEX(BBG_Data!$P$2:$P$4000,MATCH($A147,BBG_Data!$O$2:$O$4000,0)),NA()))</f>
        <v/>
      </c>
      <c r="AE147" s="18">
        <f>IF(NOT(ISNUMBER($A147)),NA(),IFERROR(1*INDEX(BBG_Data!$R$2:$R$4000,MATCH($A147,BBG_Data!$Q$2:$Q$4000,0)),NA()))</f>
        <v/>
      </c>
      <c r="AF147" s="20">
        <f>IF(AND(ISNUMBER(B147),ISNUMBER(AC147)),(B147-AC147)*100,NA())</f>
        <v/>
      </c>
      <c r="AG147" s="20">
        <f>IF(AND(ISNUMBER(AE147),ISNUMBER(AD147)),(AE147-AD147)*100,NA())</f>
        <v/>
      </c>
      <c r="AH147" s="19">
        <f>IF(NOT(ISNUMBER($A147)),NA(),IFERROR(INDEX(BBG_Data!$T$2:$T$4000,MATCH($A147,BBG_Data!$S$2:$S$4000,0))*Settings!$B$25,NA()))</f>
        <v/>
      </c>
      <c r="AI147" s="19">
        <f>IF(NOT(ISNUMBER($A147)),NA(),IFERROR(INDEX(BBG_Data!$V$2:$V$4000,MATCH($A147,BBG_Data!$U$2:$U$4000,0))*Settings!$B$25,NA()))</f>
        <v/>
      </c>
      <c r="AJ147" s="19">
        <f>IF(NOT(ISNUMBER($A147)),NA(),IFERROR(1*INDEX(BBG_Data!$X$2:$X$4000,MATCH($A147,BBG_Data!$W$2:$W$4000,0)),NA()))</f>
        <v/>
      </c>
      <c r="AK147" s="19">
        <f>IF(NOT(ISNUMBER($A147)),NA(),IFERROR(1*INDEX(BBG_Data!$Z$2:$Z$4000,MATCH($A147,BBG_Data!$Y$2:$Y$4000,0)),NA()))</f>
        <v/>
      </c>
    </row>
    <row r="148">
      <c r="A148" s="17">
        <f>IF(ISNUMBER(BBG_Data!A148),BBG_Data!A148,"")</f>
        <v/>
      </c>
      <c r="B148" s="18">
        <f>IF(AND(ISNUMBER($A148),ISNUMBER(BBG_Data!B148)),BBG_Data!B148,NA())</f>
        <v/>
      </c>
      <c r="C148" s="18">
        <f>IF(NOT(ISNUMBER($A148)),NA(),IFERROR(1*INDEX(BBG_Data!$D$2:$D$4000,MATCH($A148,BBG_Data!$C$2:$C$4000,0)),NA()))</f>
        <v/>
      </c>
      <c r="D148" s="19">
        <f>IF(NOT(ISNUMBER($A148)),NA(),IFERROR(1*INDEX(BBG_Data!$F$2:$F$4000,MATCH($A148,BBG_Data!$E$2:$E$4000,0)),NA()))</f>
        <v/>
      </c>
      <c r="E148" s="19">
        <f>IF(NOT(ISNUMBER($A148)),NA(),IFERROR(1*INDEX(BBG_Data!$H$2:$H$4000,MATCH($A148,BBG_Data!$G$2:$G$4000,0)),NA()))</f>
        <v/>
      </c>
      <c r="F148" s="20">
        <f>IF(AND(ISNUMBER(B148),ISNUMBER(B147)),IF(B148=B147,"",(B148-B147)*100),"")</f>
        <v/>
      </c>
      <c r="G148" s="20">
        <f>IF(AND(ISNUMBER(C148),ISNUMBER(C147)),IF(C148=C147,"",(C148-C147)*100),"")</f>
        <v/>
      </c>
      <c r="H148" s="20">
        <f>IF(OR(NOT(ISNUMBER($A148)),ROW()-2&lt;Settings!$B$11),NA(),IF(COUNT(OFFSET(F148,1-Settings!$B$11,0,Settings!$B$11,1))&lt;ROUNDUP(Settings!$B$11*Settings!$B$26,0),NA(),STDEV(OFFSET(F148,1-Settings!$B$11,0,Settings!$B$11,1))*SQRT(Settings!$B$13)))</f>
        <v/>
      </c>
      <c r="I148" s="20">
        <f>IF(OR(NOT(ISNUMBER($A148)),ROW()-2&lt;Settings!$B$12),NA(),IF(COUNT(OFFSET(F148,1-Settings!$B$12,0,Settings!$B$12,1))&lt;ROUNDUP(Settings!$B$12*Settings!$B$26,0),NA(),STDEV(OFFSET(F148,1-Settings!$B$12,0,Settings!$B$12,1))*SQRT(Settings!$B$13)))</f>
        <v/>
      </c>
      <c r="J148" s="20">
        <f>IF(OR(NOT(ISNUMBER($A148)),ROW()-2&lt;Settings!$B$11),NA(),IF(COUNT(OFFSET(G148,1-Settings!$B$11,0,Settings!$B$11,1))&lt;ROUNDUP(Settings!$B$11*Settings!$B$26,0),NA(),STDEV(OFFSET(G148,1-Settings!$B$11,0,Settings!$B$11,1))*SQRT(Settings!$B$13)))</f>
        <v/>
      </c>
      <c r="K148" s="20">
        <f>IF(OR(NOT(ISNUMBER($A148)),ROW()-2&lt;Settings!$B$12),NA(),IF(COUNT(OFFSET(G148,1-Settings!$B$12,0,Settings!$B$12,1))&lt;ROUNDUP(Settings!$B$12*Settings!$B$26,0),NA(),STDEV(OFFSET(G148,1-Settings!$B$12,0,Settings!$B$12,1))*SQRT(Settings!$B$13)))</f>
        <v/>
      </c>
      <c r="L148" s="20">
        <f>IF(AND(ISNUMBER(D148),ISNUMBER(H148)),D148-H148,NA())</f>
        <v/>
      </c>
      <c r="M148" s="20">
        <f>IF(AND(ISNUMBER(E148),ISNUMBER(K148)),E148-K148,NA())</f>
        <v/>
      </c>
      <c r="N148" s="20">
        <f>IF(NOT(ISNUMBER($A148)),NA(),IF(COUNT(OFFSET(G148,1,0,Settings!$B$12,1))&lt;ROUNDUP(Settings!$B$12*Settings!$B$26,0),NA(),STDEV(OFFSET(G148,1,0,Settings!$B$12,1))*SQRT(Settings!$B$13)))</f>
        <v/>
      </c>
      <c r="O148" s="20">
        <f>IF(AND(ISNUMBER(E148),ISNUMBER(N148)),E148-N148,NA())</f>
        <v/>
      </c>
      <c r="P148" s="19">
        <f>IF(NOT(ISNUMBER($A148)),NA(),IF(OR($A148&lt;MIN(KW_TP!$A$2:$A$2501),$A148&gt;MAX(KW_TP!$A$2:$A$2501)),NA(),INDEX(KW_TP!$C$2:$C$2501,MATCH($A148,KW_TP!$A$2:$A$2501,1))))</f>
        <v/>
      </c>
      <c r="Q148" s="18">
        <f>IF(NOT(ISNUMBER($A148)),NA(),IFERROR(1*INDEX(BBG_Data!$J$2:$J$4000,MATCH($A148,BBG_Data!$I$2:$I$4000,0)),NA()))</f>
        <v/>
      </c>
      <c r="R148" s="18">
        <f>IF(NOT(ISNUMBER($A148)),NA(),IFERROR(1*INDEX(BBG_Data!$L$2:$L$4000,MATCH($A148,BBG_Data!$K$2:$K$4000,0)),NA()))</f>
        <v/>
      </c>
      <c r="S148" s="20">
        <f>IF(AND(ISNUMBER(B148),ISNUMBER(Q148),ISNUMBER(R148)),(B148-Q148-R148)*100,NA())</f>
        <v/>
      </c>
      <c r="T148" s="20">
        <f>IF(AND(ISNUMBER(B148),Settings!$B$17&gt;0),IF(ISNUMBER(INDEX($B:$B,Settings!$B$17)),(B148-INDEX($B:$B,Settings!$B$17))*100,NA()),NA())</f>
        <v/>
      </c>
      <c r="U148" s="20">
        <f>IF(AND(ISNUMBER(Q148),Settings!$B$17&gt;0),IF(ISNUMBER(INDEX($Q:$Q,Settings!$B$17)),(Q148-INDEX($Q:$Q,Settings!$B$17))*100,NA()),NA())</f>
        <v/>
      </c>
      <c r="V148" s="20">
        <f>IF(AND(ISNUMBER(R148),Settings!$B$17&gt;0),IF(ISNUMBER(INDEX($R:$R,Settings!$B$17)),(R148-INDEX($R:$R,Settings!$B$17))*100,NA()),NA())</f>
        <v/>
      </c>
      <c r="W148" s="20">
        <f>IF(AND(ISNUMBER(P148),Settings!$B$17&gt;0),IF(ISNUMBER(INDEX($P:$P,Settings!$B$17)),P148-INDEX($P:$P,Settings!$B$17),NA()),NA())</f>
        <v/>
      </c>
      <c r="X148" s="19">
        <f>IF(NOT(ISNUMBER($A148)),NA(),IF(OR($A148&lt;MIN(DKW_10Y!$A$2:$A$2918),$A148&gt;MAX(DKW_10Y!$A$2:$A$2918),Settings!$B$16&lt;MIN(DKW_10Y!$A$2:$A$2918)),NA(),(INDEX(DKW_10Y!$B$2:$B$2918,MATCH($A148,DKW_10Y!$A$2:$A$2918,1))-INDEX(DKW_10Y!$B$2:$B$2918,MATCH(Settings!$B$16,DKW_10Y!$A$2:$A$2918,1)))*100))</f>
        <v/>
      </c>
      <c r="Y148" s="19">
        <f>IF(NOT(ISNUMBER($A148)),NA(),IF(OR($A148&lt;MIN(DKW_10Y!$A$2:$A$2918),$A148&gt;MAX(DKW_10Y!$A$2:$A$2918),Settings!$B$16&lt;MIN(DKW_10Y!$A$2:$A$2918)),NA(),(INDEX(DKW_10Y!$C$2:$C$2918,MATCH($A148,DKW_10Y!$A$2:$A$2918,1))-INDEX(DKW_10Y!$C$2:$C$2918,MATCH(Settings!$B$16,DKW_10Y!$A$2:$A$2918,1)))*100))</f>
        <v/>
      </c>
      <c r="Z148" s="19">
        <f>IF(NOT(ISNUMBER($A148)),NA(),IF(OR($A148&lt;MIN(DKW_10Y!$A$2:$A$2918),$A148&gt;MAX(DKW_10Y!$A$2:$A$2918),Settings!$B$16&lt;MIN(DKW_10Y!$A$2:$A$2918)),NA(),(INDEX(DKW_10Y!$D$2:$D$2918,MATCH($A148,DKW_10Y!$A$2:$A$2918,1))-INDEX(DKW_10Y!$D$2:$D$2918,MATCH(Settings!$B$16,DKW_10Y!$A$2:$A$2918,1)))*100))</f>
        <v/>
      </c>
      <c r="AA148" s="19">
        <f>IF(NOT(ISNUMBER($A148)),NA(),IF(OR($A148&lt;MIN(DKW_10Y!$A$2:$A$2918),$A148&gt;MAX(DKW_10Y!$A$2:$A$2918),Settings!$B$16&lt;MIN(DKW_10Y!$A$2:$A$2918)),NA(),(INDEX(DKW_10Y!$E$2:$E$2918,MATCH($A148,DKW_10Y!$A$2:$A$2918,1))-INDEX(DKW_10Y!$E$2:$E$2918,MATCH(Settings!$B$16,DKW_10Y!$A$2:$A$2918,1)))*100))</f>
        <v/>
      </c>
      <c r="AB148" s="19">
        <f>IF(NOT(ISNUMBER($A148)),NA(),IF(OR($A148&lt;MIN(DKW_10Y!$A$2:$A$2918),$A148&gt;MAX(DKW_10Y!$A$2:$A$2918),Settings!$B$16&lt;MIN(DKW_10Y!$A$2:$A$2918)),NA(),(INDEX(DKW_10Y!$H$2:$H$2918,MATCH($A148,DKW_10Y!$A$2:$A$2918,1))-INDEX(DKW_10Y!$H$2:$H$2918,MATCH(Settings!$B$16,DKW_10Y!$A$2:$A$2918,1)))*100))</f>
        <v/>
      </c>
      <c r="AC148" s="18">
        <f>IF(NOT(ISNUMBER($A148)),NA(),IFERROR(1*INDEX(BBG_Data!$N$2:$N$4000,MATCH($A148,BBG_Data!$M$2:$M$4000,0)),NA()))</f>
        <v/>
      </c>
      <c r="AD148" s="18">
        <f>IF(NOT(ISNUMBER($A148)),NA(),IFERROR(1*INDEX(BBG_Data!$P$2:$P$4000,MATCH($A148,BBG_Data!$O$2:$O$4000,0)),NA()))</f>
        <v/>
      </c>
      <c r="AE148" s="18">
        <f>IF(NOT(ISNUMBER($A148)),NA(),IFERROR(1*INDEX(BBG_Data!$R$2:$R$4000,MATCH($A148,BBG_Data!$Q$2:$Q$4000,0)),NA()))</f>
        <v/>
      </c>
      <c r="AF148" s="20">
        <f>IF(AND(ISNUMBER(B148),ISNUMBER(AC148)),(B148-AC148)*100,NA())</f>
        <v/>
      </c>
      <c r="AG148" s="20">
        <f>IF(AND(ISNUMBER(AE148),ISNUMBER(AD148)),(AE148-AD148)*100,NA())</f>
        <v/>
      </c>
      <c r="AH148" s="19">
        <f>IF(NOT(ISNUMBER($A148)),NA(),IFERROR(INDEX(BBG_Data!$T$2:$T$4000,MATCH($A148,BBG_Data!$S$2:$S$4000,0))*Settings!$B$25,NA()))</f>
        <v/>
      </c>
      <c r="AI148" s="19">
        <f>IF(NOT(ISNUMBER($A148)),NA(),IFERROR(INDEX(BBG_Data!$V$2:$V$4000,MATCH($A148,BBG_Data!$U$2:$U$4000,0))*Settings!$B$25,NA()))</f>
        <v/>
      </c>
      <c r="AJ148" s="19">
        <f>IF(NOT(ISNUMBER($A148)),NA(),IFERROR(1*INDEX(BBG_Data!$X$2:$X$4000,MATCH($A148,BBG_Data!$W$2:$W$4000,0)),NA()))</f>
        <v/>
      </c>
      <c r="AK148" s="19">
        <f>IF(NOT(ISNUMBER($A148)),NA(),IFERROR(1*INDEX(BBG_Data!$Z$2:$Z$4000,MATCH($A148,BBG_Data!$Y$2:$Y$4000,0)),NA()))</f>
        <v/>
      </c>
    </row>
    <row r="149">
      <c r="A149" s="17">
        <f>IF(ISNUMBER(BBG_Data!A149),BBG_Data!A149,"")</f>
        <v/>
      </c>
      <c r="B149" s="18">
        <f>IF(AND(ISNUMBER($A149),ISNUMBER(BBG_Data!B149)),BBG_Data!B149,NA())</f>
        <v/>
      </c>
      <c r="C149" s="18">
        <f>IF(NOT(ISNUMBER($A149)),NA(),IFERROR(1*INDEX(BBG_Data!$D$2:$D$4000,MATCH($A149,BBG_Data!$C$2:$C$4000,0)),NA()))</f>
        <v/>
      </c>
      <c r="D149" s="19">
        <f>IF(NOT(ISNUMBER($A149)),NA(),IFERROR(1*INDEX(BBG_Data!$F$2:$F$4000,MATCH($A149,BBG_Data!$E$2:$E$4000,0)),NA()))</f>
        <v/>
      </c>
      <c r="E149" s="19">
        <f>IF(NOT(ISNUMBER($A149)),NA(),IFERROR(1*INDEX(BBG_Data!$H$2:$H$4000,MATCH($A149,BBG_Data!$G$2:$G$4000,0)),NA()))</f>
        <v/>
      </c>
      <c r="F149" s="20">
        <f>IF(AND(ISNUMBER(B149),ISNUMBER(B148)),IF(B149=B148,"",(B149-B148)*100),"")</f>
        <v/>
      </c>
      <c r="G149" s="20">
        <f>IF(AND(ISNUMBER(C149),ISNUMBER(C148)),IF(C149=C148,"",(C149-C148)*100),"")</f>
        <v/>
      </c>
      <c r="H149" s="20">
        <f>IF(OR(NOT(ISNUMBER($A149)),ROW()-2&lt;Settings!$B$11),NA(),IF(COUNT(OFFSET(F149,1-Settings!$B$11,0,Settings!$B$11,1))&lt;ROUNDUP(Settings!$B$11*Settings!$B$26,0),NA(),STDEV(OFFSET(F149,1-Settings!$B$11,0,Settings!$B$11,1))*SQRT(Settings!$B$13)))</f>
        <v/>
      </c>
      <c r="I149" s="20">
        <f>IF(OR(NOT(ISNUMBER($A149)),ROW()-2&lt;Settings!$B$12),NA(),IF(COUNT(OFFSET(F149,1-Settings!$B$12,0,Settings!$B$12,1))&lt;ROUNDUP(Settings!$B$12*Settings!$B$26,0),NA(),STDEV(OFFSET(F149,1-Settings!$B$12,0,Settings!$B$12,1))*SQRT(Settings!$B$13)))</f>
        <v/>
      </c>
      <c r="J149" s="20">
        <f>IF(OR(NOT(ISNUMBER($A149)),ROW()-2&lt;Settings!$B$11),NA(),IF(COUNT(OFFSET(G149,1-Settings!$B$11,0,Settings!$B$11,1))&lt;ROUNDUP(Settings!$B$11*Settings!$B$26,0),NA(),STDEV(OFFSET(G149,1-Settings!$B$11,0,Settings!$B$11,1))*SQRT(Settings!$B$13)))</f>
        <v/>
      </c>
      <c r="K149" s="20">
        <f>IF(OR(NOT(ISNUMBER($A149)),ROW()-2&lt;Settings!$B$12),NA(),IF(COUNT(OFFSET(G149,1-Settings!$B$12,0,Settings!$B$12,1))&lt;ROUNDUP(Settings!$B$12*Settings!$B$26,0),NA(),STDEV(OFFSET(G149,1-Settings!$B$12,0,Settings!$B$12,1))*SQRT(Settings!$B$13)))</f>
        <v/>
      </c>
      <c r="L149" s="20">
        <f>IF(AND(ISNUMBER(D149),ISNUMBER(H149)),D149-H149,NA())</f>
        <v/>
      </c>
      <c r="M149" s="20">
        <f>IF(AND(ISNUMBER(E149),ISNUMBER(K149)),E149-K149,NA())</f>
        <v/>
      </c>
      <c r="N149" s="20">
        <f>IF(NOT(ISNUMBER($A149)),NA(),IF(COUNT(OFFSET(G149,1,0,Settings!$B$12,1))&lt;ROUNDUP(Settings!$B$12*Settings!$B$26,0),NA(),STDEV(OFFSET(G149,1,0,Settings!$B$12,1))*SQRT(Settings!$B$13)))</f>
        <v/>
      </c>
      <c r="O149" s="20">
        <f>IF(AND(ISNUMBER(E149),ISNUMBER(N149)),E149-N149,NA())</f>
        <v/>
      </c>
      <c r="P149" s="19">
        <f>IF(NOT(ISNUMBER($A149)),NA(),IF(OR($A149&lt;MIN(KW_TP!$A$2:$A$2501),$A149&gt;MAX(KW_TP!$A$2:$A$2501)),NA(),INDEX(KW_TP!$C$2:$C$2501,MATCH($A149,KW_TP!$A$2:$A$2501,1))))</f>
        <v/>
      </c>
      <c r="Q149" s="18">
        <f>IF(NOT(ISNUMBER($A149)),NA(),IFERROR(1*INDEX(BBG_Data!$J$2:$J$4000,MATCH($A149,BBG_Data!$I$2:$I$4000,0)),NA()))</f>
        <v/>
      </c>
      <c r="R149" s="18">
        <f>IF(NOT(ISNUMBER($A149)),NA(),IFERROR(1*INDEX(BBG_Data!$L$2:$L$4000,MATCH($A149,BBG_Data!$K$2:$K$4000,0)),NA()))</f>
        <v/>
      </c>
      <c r="S149" s="20">
        <f>IF(AND(ISNUMBER(B149),ISNUMBER(Q149),ISNUMBER(R149)),(B149-Q149-R149)*100,NA())</f>
        <v/>
      </c>
      <c r="T149" s="20">
        <f>IF(AND(ISNUMBER(B149),Settings!$B$17&gt;0),IF(ISNUMBER(INDEX($B:$B,Settings!$B$17)),(B149-INDEX($B:$B,Settings!$B$17))*100,NA()),NA())</f>
        <v/>
      </c>
      <c r="U149" s="20">
        <f>IF(AND(ISNUMBER(Q149),Settings!$B$17&gt;0),IF(ISNUMBER(INDEX($Q:$Q,Settings!$B$17)),(Q149-INDEX($Q:$Q,Settings!$B$17))*100,NA()),NA())</f>
        <v/>
      </c>
      <c r="V149" s="20">
        <f>IF(AND(ISNUMBER(R149),Settings!$B$17&gt;0),IF(ISNUMBER(INDEX($R:$R,Settings!$B$17)),(R149-INDEX($R:$R,Settings!$B$17))*100,NA()),NA())</f>
        <v/>
      </c>
      <c r="W149" s="20">
        <f>IF(AND(ISNUMBER(P149),Settings!$B$17&gt;0),IF(ISNUMBER(INDEX($P:$P,Settings!$B$17)),P149-INDEX($P:$P,Settings!$B$17),NA()),NA())</f>
        <v/>
      </c>
      <c r="X149" s="19">
        <f>IF(NOT(ISNUMBER($A149)),NA(),IF(OR($A149&lt;MIN(DKW_10Y!$A$2:$A$2918),$A149&gt;MAX(DKW_10Y!$A$2:$A$2918),Settings!$B$16&lt;MIN(DKW_10Y!$A$2:$A$2918)),NA(),(INDEX(DKW_10Y!$B$2:$B$2918,MATCH($A149,DKW_10Y!$A$2:$A$2918,1))-INDEX(DKW_10Y!$B$2:$B$2918,MATCH(Settings!$B$16,DKW_10Y!$A$2:$A$2918,1)))*100))</f>
        <v/>
      </c>
      <c r="Y149" s="19">
        <f>IF(NOT(ISNUMBER($A149)),NA(),IF(OR($A149&lt;MIN(DKW_10Y!$A$2:$A$2918),$A149&gt;MAX(DKW_10Y!$A$2:$A$2918),Settings!$B$16&lt;MIN(DKW_10Y!$A$2:$A$2918)),NA(),(INDEX(DKW_10Y!$C$2:$C$2918,MATCH($A149,DKW_10Y!$A$2:$A$2918,1))-INDEX(DKW_10Y!$C$2:$C$2918,MATCH(Settings!$B$16,DKW_10Y!$A$2:$A$2918,1)))*100))</f>
        <v/>
      </c>
      <c r="Z149" s="19">
        <f>IF(NOT(ISNUMBER($A149)),NA(),IF(OR($A149&lt;MIN(DKW_10Y!$A$2:$A$2918),$A149&gt;MAX(DKW_10Y!$A$2:$A$2918),Settings!$B$16&lt;MIN(DKW_10Y!$A$2:$A$2918)),NA(),(INDEX(DKW_10Y!$D$2:$D$2918,MATCH($A149,DKW_10Y!$A$2:$A$2918,1))-INDEX(DKW_10Y!$D$2:$D$2918,MATCH(Settings!$B$16,DKW_10Y!$A$2:$A$2918,1)))*100))</f>
        <v/>
      </c>
      <c r="AA149" s="19">
        <f>IF(NOT(ISNUMBER($A149)),NA(),IF(OR($A149&lt;MIN(DKW_10Y!$A$2:$A$2918),$A149&gt;MAX(DKW_10Y!$A$2:$A$2918),Settings!$B$16&lt;MIN(DKW_10Y!$A$2:$A$2918)),NA(),(INDEX(DKW_10Y!$E$2:$E$2918,MATCH($A149,DKW_10Y!$A$2:$A$2918,1))-INDEX(DKW_10Y!$E$2:$E$2918,MATCH(Settings!$B$16,DKW_10Y!$A$2:$A$2918,1)))*100))</f>
        <v/>
      </c>
      <c r="AB149" s="19">
        <f>IF(NOT(ISNUMBER($A149)),NA(),IF(OR($A149&lt;MIN(DKW_10Y!$A$2:$A$2918),$A149&gt;MAX(DKW_10Y!$A$2:$A$2918),Settings!$B$16&lt;MIN(DKW_10Y!$A$2:$A$2918)),NA(),(INDEX(DKW_10Y!$H$2:$H$2918,MATCH($A149,DKW_10Y!$A$2:$A$2918,1))-INDEX(DKW_10Y!$H$2:$H$2918,MATCH(Settings!$B$16,DKW_10Y!$A$2:$A$2918,1)))*100))</f>
        <v/>
      </c>
      <c r="AC149" s="18">
        <f>IF(NOT(ISNUMBER($A149)),NA(),IFERROR(1*INDEX(BBG_Data!$N$2:$N$4000,MATCH($A149,BBG_Data!$M$2:$M$4000,0)),NA()))</f>
        <v/>
      </c>
      <c r="AD149" s="18">
        <f>IF(NOT(ISNUMBER($A149)),NA(),IFERROR(1*INDEX(BBG_Data!$P$2:$P$4000,MATCH($A149,BBG_Data!$O$2:$O$4000,0)),NA()))</f>
        <v/>
      </c>
      <c r="AE149" s="18">
        <f>IF(NOT(ISNUMBER($A149)),NA(),IFERROR(1*INDEX(BBG_Data!$R$2:$R$4000,MATCH($A149,BBG_Data!$Q$2:$Q$4000,0)),NA()))</f>
        <v/>
      </c>
      <c r="AF149" s="20">
        <f>IF(AND(ISNUMBER(B149),ISNUMBER(AC149)),(B149-AC149)*100,NA())</f>
        <v/>
      </c>
      <c r="AG149" s="20">
        <f>IF(AND(ISNUMBER(AE149),ISNUMBER(AD149)),(AE149-AD149)*100,NA())</f>
        <v/>
      </c>
      <c r="AH149" s="19">
        <f>IF(NOT(ISNUMBER($A149)),NA(),IFERROR(INDEX(BBG_Data!$T$2:$T$4000,MATCH($A149,BBG_Data!$S$2:$S$4000,0))*Settings!$B$25,NA()))</f>
        <v/>
      </c>
      <c r="AI149" s="19">
        <f>IF(NOT(ISNUMBER($A149)),NA(),IFERROR(INDEX(BBG_Data!$V$2:$V$4000,MATCH($A149,BBG_Data!$U$2:$U$4000,0))*Settings!$B$25,NA()))</f>
        <v/>
      </c>
      <c r="AJ149" s="19">
        <f>IF(NOT(ISNUMBER($A149)),NA(),IFERROR(1*INDEX(BBG_Data!$X$2:$X$4000,MATCH($A149,BBG_Data!$W$2:$W$4000,0)),NA()))</f>
        <v/>
      </c>
      <c r="AK149" s="19">
        <f>IF(NOT(ISNUMBER($A149)),NA(),IFERROR(1*INDEX(BBG_Data!$Z$2:$Z$4000,MATCH($A149,BBG_Data!$Y$2:$Y$4000,0)),NA()))</f>
        <v/>
      </c>
    </row>
    <row r="150">
      <c r="A150" s="17">
        <f>IF(ISNUMBER(BBG_Data!A150),BBG_Data!A150,"")</f>
        <v/>
      </c>
      <c r="B150" s="18">
        <f>IF(AND(ISNUMBER($A150),ISNUMBER(BBG_Data!B150)),BBG_Data!B150,NA())</f>
        <v/>
      </c>
      <c r="C150" s="18">
        <f>IF(NOT(ISNUMBER($A150)),NA(),IFERROR(1*INDEX(BBG_Data!$D$2:$D$4000,MATCH($A150,BBG_Data!$C$2:$C$4000,0)),NA()))</f>
        <v/>
      </c>
      <c r="D150" s="19">
        <f>IF(NOT(ISNUMBER($A150)),NA(),IFERROR(1*INDEX(BBG_Data!$F$2:$F$4000,MATCH($A150,BBG_Data!$E$2:$E$4000,0)),NA()))</f>
        <v/>
      </c>
      <c r="E150" s="19">
        <f>IF(NOT(ISNUMBER($A150)),NA(),IFERROR(1*INDEX(BBG_Data!$H$2:$H$4000,MATCH($A150,BBG_Data!$G$2:$G$4000,0)),NA()))</f>
        <v/>
      </c>
      <c r="F150" s="20">
        <f>IF(AND(ISNUMBER(B150),ISNUMBER(B149)),IF(B150=B149,"",(B150-B149)*100),"")</f>
        <v/>
      </c>
      <c r="G150" s="20">
        <f>IF(AND(ISNUMBER(C150),ISNUMBER(C149)),IF(C150=C149,"",(C150-C149)*100),"")</f>
        <v/>
      </c>
      <c r="H150" s="20">
        <f>IF(OR(NOT(ISNUMBER($A150)),ROW()-2&lt;Settings!$B$11),NA(),IF(COUNT(OFFSET(F150,1-Settings!$B$11,0,Settings!$B$11,1))&lt;ROUNDUP(Settings!$B$11*Settings!$B$26,0),NA(),STDEV(OFFSET(F150,1-Settings!$B$11,0,Settings!$B$11,1))*SQRT(Settings!$B$13)))</f>
        <v/>
      </c>
      <c r="I150" s="20">
        <f>IF(OR(NOT(ISNUMBER($A150)),ROW()-2&lt;Settings!$B$12),NA(),IF(COUNT(OFFSET(F150,1-Settings!$B$12,0,Settings!$B$12,1))&lt;ROUNDUP(Settings!$B$12*Settings!$B$26,0),NA(),STDEV(OFFSET(F150,1-Settings!$B$12,0,Settings!$B$12,1))*SQRT(Settings!$B$13)))</f>
        <v/>
      </c>
      <c r="J150" s="20">
        <f>IF(OR(NOT(ISNUMBER($A150)),ROW()-2&lt;Settings!$B$11),NA(),IF(COUNT(OFFSET(G150,1-Settings!$B$11,0,Settings!$B$11,1))&lt;ROUNDUP(Settings!$B$11*Settings!$B$26,0),NA(),STDEV(OFFSET(G150,1-Settings!$B$11,0,Settings!$B$11,1))*SQRT(Settings!$B$13)))</f>
        <v/>
      </c>
      <c r="K150" s="20">
        <f>IF(OR(NOT(ISNUMBER($A150)),ROW()-2&lt;Settings!$B$12),NA(),IF(COUNT(OFFSET(G150,1-Settings!$B$12,0,Settings!$B$12,1))&lt;ROUNDUP(Settings!$B$12*Settings!$B$26,0),NA(),STDEV(OFFSET(G150,1-Settings!$B$12,0,Settings!$B$12,1))*SQRT(Settings!$B$13)))</f>
        <v/>
      </c>
      <c r="L150" s="20">
        <f>IF(AND(ISNUMBER(D150),ISNUMBER(H150)),D150-H150,NA())</f>
        <v/>
      </c>
      <c r="M150" s="20">
        <f>IF(AND(ISNUMBER(E150),ISNUMBER(K150)),E150-K150,NA())</f>
        <v/>
      </c>
      <c r="N150" s="20">
        <f>IF(NOT(ISNUMBER($A150)),NA(),IF(COUNT(OFFSET(G150,1,0,Settings!$B$12,1))&lt;ROUNDUP(Settings!$B$12*Settings!$B$26,0),NA(),STDEV(OFFSET(G150,1,0,Settings!$B$12,1))*SQRT(Settings!$B$13)))</f>
        <v/>
      </c>
      <c r="O150" s="20">
        <f>IF(AND(ISNUMBER(E150),ISNUMBER(N150)),E150-N150,NA())</f>
        <v/>
      </c>
      <c r="P150" s="19">
        <f>IF(NOT(ISNUMBER($A150)),NA(),IF(OR($A150&lt;MIN(KW_TP!$A$2:$A$2501),$A150&gt;MAX(KW_TP!$A$2:$A$2501)),NA(),INDEX(KW_TP!$C$2:$C$2501,MATCH($A150,KW_TP!$A$2:$A$2501,1))))</f>
        <v/>
      </c>
      <c r="Q150" s="18">
        <f>IF(NOT(ISNUMBER($A150)),NA(),IFERROR(1*INDEX(BBG_Data!$J$2:$J$4000,MATCH($A150,BBG_Data!$I$2:$I$4000,0)),NA()))</f>
        <v/>
      </c>
      <c r="R150" s="18">
        <f>IF(NOT(ISNUMBER($A150)),NA(),IFERROR(1*INDEX(BBG_Data!$L$2:$L$4000,MATCH($A150,BBG_Data!$K$2:$K$4000,0)),NA()))</f>
        <v/>
      </c>
      <c r="S150" s="20">
        <f>IF(AND(ISNUMBER(B150),ISNUMBER(Q150),ISNUMBER(R150)),(B150-Q150-R150)*100,NA())</f>
        <v/>
      </c>
      <c r="T150" s="20">
        <f>IF(AND(ISNUMBER(B150),Settings!$B$17&gt;0),IF(ISNUMBER(INDEX($B:$B,Settings!$B$17)),(B150-INDEX($B:$B,Settings!$B$17))*100,NA()),NA())</f>
        <v/>
      </c>
      <c r="U150" s="20">
        <f>IF(AND(ISNUMBER(Q150),Settings!$B$17&gt;0),IF(ISNUMBER(INDEX($Q:$Q,Settings!$B$17)),(Q150-INDEX($Q:$Q,Settings!$B$17))*100,NA()),NA())</f>
        <v/>
      </c>
      <c r="V150" s="20">
        <f>IF(AND(ISNUMBER(R150),Settings!$B$17&gt;0),IF(ISNUMBER(INDEX($R:$R,Settings!$B$17)),(R150-INDEX($R:$R,Settings!$B$17))*100,NA()),NA())</f>
        <v/>
      </c>
      <c r="W150" s="20">
        <f>IF(AND(ISNUMBER(P150),Settings!$B$17&gt;0),IF(ISNUMBER(INDEX($P:$P,Settings!$B$17)),P150-INDEX($P:$P,Settings!$B$17),NA()),NA())</f>
        <v/>
      </c>
      <c r="X150" s="19">
        <f>IF(NOT(ISNUMBER($A150)),NA(),IF(OR($A150&lt;MIN(DKW_10Y!$A$2:$A$2918),$A150&gt;MAX(DKW_10Y!$A$2:$A$2918),Settings!$B$16&lt;MIN(DKW_10Y!$A$2:$A$2918)),NA(),(INDEX(DKW_10Y!$B$2:$B$2918,MATCH($A150,DKW_10Y!$A$2:$A$2918,1))-INDEX(DKW_10Y!$B$2:$B$2918,MATCH(Settings!$B$16,DKW_10Y!$A$2:$A$2918,1)))*100))</f>
        <v/>
      </c>
      <c r="Y150" s="19">
        <f>IF(NOT(ISNUMBER($A150)),NA(),IF(OR($A150&lt;MIN(DKW_10Y!$A$2:$A$2918),$A150&gt;MAX(DKW_10Y!$A$2:$A$2918),Settings!$B$16&lt;MIN(DKW_10Y!$A$2:$A$2918)),NA(),(INDEX(DKW_10Y!$C$2:$C$2918,MATCH($A150,DKW_10Y!$A$2:$A$2918,1))-INDEX(DKW_10Y!$C$2:$C$2918,MATCH(Settings!$B$16,DKW_10Y!$A$2:$A$2918,1)))*100))</f>
        <v/>
      </c>
      <c r="Z150" s="19">
        <f>IF(NOT(ISNUMBER($A150)),NA(),IF(OR($A150&lt;MIN(DKW_10Y!$A$2:$A$2918),$A150&gt;MAX(DKW_10Y!$A$2:$A$2918),Settings!$B$16&lt;MIN(DKW_10Y!$A$2:$A$2918)),NA(),(INDEX(DKW_10Y!$D$2:$D$2918,MATCH($A150,DKW_10Y!$A$2:$A$2918,1))-INDEX(DKW_10Y!$D$2:$D$2918,MATCH(Settings!$B$16,DKW_10Y!$A$2:$A$2918,1)))*100))</f>
        <v/>
      </c>
      <c r="AA150" s="19">
        <f>IF(NOT(ISNUMBER($A150)),NA(),IF(OR($A150&lt;MIN(DKW_10Y!$A$2:$A$2918),$A150&gt;MAX(DKW_10Y!$A$2:$A$2918),Settings!$B$16&lt;MIN(DKW_10Y!$A$2:$A$2918)),NA(),(INDEX(DKW_10Y!$E$2:$E$2918,MATCH($A150,DKW_10Y!$A$2:$A$2918,1))-INDEX(DKW_10Y!$E$2:$E$2918,MATCH(Settings!$B$16,DKW_10Y!$A$2:$A$2918,1)))*100))</f>
        <v/>
      </c>
      <c r="AB150" s="19">
        <f>IF(NOT(ISNUMBER($A150)),NA(),IF(OR($A150&lt;MIN(DKW_10Y!$A$2:$A$2918),$A150&gt;MAX(DKW_10Y!$A$2:$A$2918),Settings!$B$16&lt;MIN(DKW_10Y!$A$2:$A$2918)),NA(),(INDEX(DKW_10Y!$H$2:$H$2918,MATCH($A150,DKW_10Y!$A$2:$A$2918,1))-INDEX(DKW_10Y!$H$2:$H$2918,MATCH(Settings!$B$16,DKW_10Y!$A$2:$A$2918,1)))*100))</f>
        <v/>
      </c>
      <c r="AC150" s="18">
        <f>IF(NOT(ISNUMBER($A150)),NA(),IFERROR(1*INDEX(BBG_Data!$N$2:$N$4000,MATCH($A150,BBG_Data!$M$2:$M$4000,0)),NA()))</f>
        <v/>
      </c>
      <c r="AD150" s="18">
        <f>IF(NOT(ISNUMBER($A150)),NA(),IFERROR(1*INDEX(BBG_Data!$P$2:$P$4000,MATCH($A150,BBG_Data!$O$2:$O$4000,0)),NA()))</f>
        <v/>
      </c>
      <c r="AE150" s="18">
        <f>IF(NOT(ISNUMBER($A150)),NA(),IFERROR(1*INDEX(BBG_Data!$R$2:$R$4000,MATCH($A150,BBG_Data!$Q$2:$Q$4000,0)),NA()))</f>
        <v/>
      </c>
      <c r="AF150" s="20">
        <f>IF(AND(ISNUMBER(B150),ISNUMBER(AC150)),(B150-AC150)*100,NA())</f>
        <v/>
      </c>
      <c r="AG150" s="20">
        <f>IF(AND(ISNUMBER(AE150),ISNUMBER(AD150)),(AE150-AD150)*100,NA())</f>
        <v/>
      </c>
      <c r="AH150" s="19">
        <f>IF(NOT(ISNUMBER($A150)),NA(),IFERROR(INDEX(BBG_Data!$T$2:$T$4000,MATCH($A150,BBG_Data!$S$2:$S$4000,0))*Settings!$B$25,NA()))</f>
        <v/>
      </c>
      <c r="AI150" s="19">
        <f>IF(NOT(ISNUMBER($A150)),NA(),IFERROR(INDEX(BBG_Data!$V$2:$V$4000,MATCH($A150,BBG_Data!$U$2:$U$4000,0))*Settings!$B$25,NA()))</f>
        <v/>
      </c>
      <c r="AJ150" s="19">
        <f>IF(NOT(ISNUMBER($A150)),NA(),IFERROR(1*INDEX(BBG_Data!$X$2:$X$4000,MATCH($A150,BBG_Data!$W$2:$W$4000,0)),NA()))</f>
        <v/>
      </c>
      <c r="AK150" s="19">
        <f>IF(NOT(ISNUMBER($A150)),NA(),IFERROR(1*INDEX(BBG_Data!$Z$2:$Z$4000,MATCH($A150,BBG_Data!$Y$2:$Y$4000,0)),NA()))</f>
        <v/>
      </c>
    </row>
    <row r="151">
      <c r="A151" s="17">
        <f>IF(ISNUMBER(BBG_Data!A151),BBG_Data!A151,"")</f>
        <v/>
      </c>
      <c r="B151" s="18">
        <f>IF(AND(ISNUMBER($A151),ISNUMBER(BBG_Data!B151)),BBG_Data!B151,NA())</f>
        <v/>
      </c>
      <c r="C151" s="18">
        <f>IF(NOT(ISNUMBER($A151)),NA(),IFERROR(1*INDEX(BBG_Data!$D$2:$D$4000,MATCH($A151,BBG_Data!$C$2:$C$4000,0)),NA()))</f>
        <v/>
      </c>
      <c r="D151" s="19">
        <f>IF(NOT(ISNUMBER($A151)),NA(),IFERROR(1*INDEX(BBG_Data!$F$2:$F$4000,MATCH($A151,BBG_Data!$E$2:$E$4000,0)),NA()))</f>
        <v/>
      </c>
      <c r="E151" s="19">
        <f>IF(NOT(ISNUMBER($A151)),NA(),IFERROR(1*INDEX(BBG_Data!$H$2:$H$4000,MATCH($A151,BBG_Data!$G$2:$G$4000,0)),NA()))</f>
        <v/>
      </c>
      <c r="F151" s="20">
        <f>IF(AND(ISNUMBER(B151),ISNUMBER(B150)),IF(B151=B150,"",(B151-B150)*100),"")</f>
        <v/>
      </c>
      <c r="G151" s="20">
        <f>IF(AND(ISNUMBER(C151),ISNUMBER(C150)),IF(C151=C150,"",(C151-C150)*100),"")</f>
        <v/>
      </c>
      <c r="H151" s="20">
        <f>IF(OR(NOT(ISNUMBER($A151)),ROW()-2&lt;Settings!$B$11),NA(),IF(COUNT(OFFSET(F151,1-Settings!$B$11,0,Settings!$B$11,1))&lt;ROUNDUP(Settings!$B$11*Settings!$B$26,0),NA(),STDEV(OFFSET(F151,1-Settings!$B$11,0,Settings!$B$11,1))*SQRT(Settings!$B$13)))</f>
        <v/>
      </c>
      <c r="I151" s="20">
        <f>IF(OR(NOT(ISNUMBER($A151)),ROW()-2&lt;Settings!$B$12),NA(),IF(COUNT(OFFSET(F151,1-Settings!$B$12,0,Settings!$B$12,1))&lt;ROUNDUP(Settings!$B$12*Settings!$B$26,0),NA(),STDEV(OFFSET(F151,1-Settings!$B$12,0,Settings!$B$12,1))*SQRT(Settings!$B$13)))</f>
        <v/>
      </c>
      <c r="J151" s="20">
        <f>IF(OR(NOT(ISNUMBER($A151)),ROW()-2&lt;Settings!$B$11),NA(),IF(COUNT(OFFSET(G151,1-Settings!$B$11,0,Settings!$B$11,1))&lt;ROUNDUP(Settings!$B$11*Settings!$B$26,0),NA(),STDEV(OFFSET(G151,1-Settings!$B$11,0,Settings!$B$11,1))*SQRT(Settings!$B$13)))</f>
        <v/>
      </c>
      <c r="K151" s="20">
        <f>IF(OR(NOT(ISNUMBER($A151)),ROW()-2&lt;Settings!$B$12),NA(),IF(COUNT(OFFSET(G151,1-Settings!$B$12,0,Settings!$B$12,1))&lt;ROUNDUP(Settings!$B$12*Settings!$B$26,0),NA(),STDEV(OFFSET(G151,1-Settings!$B$12,0,Settings!$B$12,1))*SQRT(Settings!$B$13)))</f>
        <v/>
      </c>
      <c r="L151" s="20">
        <f>IF(AND(ISNUMBER(D151),ISNUMBER(H151)),D151-H151,NA())</f>
        <v/>
      </c>
      <c r="M151" s="20">
        <f>IF(AND(ISNUMBER(E151),ISNUMBER(K151)),E151-K151,NA())</f>
        <v/>
      </c>
      <c r="N151" s="20">
        <f>IF(NOT(ISNUMBER($A151)),NA(),IF(COUNT(OFFSET(G151,1,0,Settings!$B$12,1))&lt;ROUNDUP(Settings!$B$12*Settings!$B$26,0),NA(),STDEV(OFFSET(G151,1,0,Settings!$B$12,1))*SQRT(Settings!$B$13)))</f>
        <v/>
      </c>
      <c r="O151" s="20">
        <f>IF(AND(ISNUMBER(E151),ISNUMBER(N151)),E151-N151,NA())</f>
        <v/>
      </c>
      <c r="P151" s="19">
        <f>IF(NOT(ISNUMBER($A151)),NA(),IF(OR($A151&lt;MIN(KW_TP!$A$2:$A$2501),$A151&gt;MAX(KW_TP!$A$2:$A$2501)),NA(),INDEX(KW_TP!$C$2:$C$2501,MATCH($A151,KW_TP!$A$2:$A$2501,1))))</f>
        <v/>
      </c>
      <c r="Q151" s="18">
        <f>IF(NOT(ISNUMBER($A151)),NA(),IFERROR(1*INDEX(BBG_Data!$J$2:$J$4000,MATCH($A151,BBG_Data!$I$2:$I$4000,0)),NA()))</f>
        <v/>
      </c>
      <c r="R151" s="18">
        <f>IF(NOT(ISNUMBER($A151)),NA(),IFERROR(1*INDEX(BBG_Data!$L$2:$L$4000,MATCH($A151,BBG_Data!$K$2:$K$4000,0)),NA()))</f>
        <v/>
      </c>
      <c r="S151" s="20">
        <f>IF(AND(ISNUMBER(B151),ISNUMBER(Q151),ISNUMBER(R151)),(B151-Q151-R151)*100,NA())</f>
        <v/>
      </c>
      <c r="T151" s="20">
        <f>IF(AND(ISNUMBER(B151),Settings!$B$17&gt;0),IF(ISNUMBER(INDEX($B:$B,Settings!$B$17)),(B151-INDEX($B:$B,Settings!$B$17))*100,NA()),NA())</f>
        <v/>
      </c>
      <c r="U151" s="20">
        <f>IF(AND(ISNUMBER(Q151),Settings!$B$17&gt;0),IF(ISNUMBER(INDEX($Q:$Q,Settings!$B$17)),(Q151-INDEX($Q:$Q,Settings!$B$17))*100,NA()),NA())</f>
        <v/>
      </c>
      <c r="V151" s="20">
        <f>IF(AND(ISNUMBER(R151),Settings!$B$17&gt;0),IF(ISNUMBER(INDEX($R:$R,Settings!$B$17)),(R151-INDEX($R:$R,Settings!$B$17))*100,NA()),NA())</f>
        <v/>
      </c>
      <c r="W151" s="20">
        <f>IF(AND(ISNUMBER(P151),Settings!$B$17&gt;0),IF(ISNUMBER(INDEX($P:$P,Settings!$B$17)),P151-INDEX($P:$P,Settings!$B$17),NA()),NA())</f>
        <v/>
      </c>
      <c r="X151" s="19">
        <f>IF(NOT(ISNUMBER($A151)),NA(),IF(OR($A151&lt;MIN(DKW_10Y!$A$2:$A$2918),$A151&gt;MAX(DKW_10Y!$A$2:$A$2918),Settings!$B$16&lt;MIN(DKW_10Y!$A$2:$A$2918)),NA(),(INDEX(DKW_10Y!$B$2:$B$2918,MATCH($A151,DKW_10Y!$A$2:$A$2918,1))-INDEX(DKW_10Y!$B$2:$B$2918,MATCH(Settings!$B$16,DKW_10Y!$A$2:$A$2918,1)))*100))</f>
        <v/>
      </c>
      <c r="Y151" s="19">
        <f>IF(NOT(ISNUMBER($A151)),NA(),IF(OR($A151&lt;MIN(DKW_10Y!$A$2:$A$2918),$A151&gt;MAX(DKW_10Y!$A$2:$A$2918),Settings!$B$16&lt;MIN(DKW_10Y!$A$2:$A$2918)),NA(),(INDEX(DKW_10Y!$C$2:$C$2918,MATCH($A151,DKW_10Y!$A$2:$A$2918,1))-INDEX(DKW_10Y!$C$2:$C$2918,MATCH(Settings!$B$16,DKW_10Y!$A$2:$A$2918,1)))*100))</f>
        <v/>
      </c>
      <c r="Z151" s="19">
        <f>IF(NOT(ISNUMBER($A151)),NA(),IF(OR($A151&lt;MIN(DKW_10Y!$A$2:$A$2918),$A151&gt;MAX(DKW_10Y!$A$2:$A$2918),Settings!$B$16&lt;MIN(DKW_10Y!$A$2:$A$2918)),NA(),(INDEX(DKW_10Y!$D$2:$D$2918,MATCH($A151,DKW_10Y!$A$2:$A$2918,1))-INDEX(DKW_10Y!$D$2:$D$2918,MATCH(Settings!$B$16,DKW_10Y!$A$2:$A$2918,1)))*100))</f>
        <v/>
      </c>
      <c r="AA151" s="19">
        <f>IF(NOT(ISNUMBER($A151)),NA(),IF(OR($A151&lt;MIN(DKW_10Y!$A$2:$A$2918),$A151&gt;MAX(DKW_10Y!$A$2:$A$2918),Settings!$B$16&lt;MIN(DKW_10Y!$A$2:$A$2918)),NA(),(INDEX(DKW_10Y!$E$2:$E$2918,MATCH($A151,DKW_10Y!$A$2:$A$2918,1))-INDEX(DKW_10Y!$E$2:$E$2918,MATCH(Settings!$B$16,DKW_10Y!$A$2:$A$2918,1)))*100))</f>
        <v/>
      </c>
      <c r="AB151" s="19">
        <f>IF(NOT(ISNUMBER($A151)),NA(),IF(OR($A151&lt;MIN(DKW_10Y!$A$2:$A$2918),$A151&gt;MAX(DKW_10Y!$A$2:$A$2918),Settings!$B$16&lt;MIN(DKW_10Y!$A$2:$A$2918)),NA(),(INDEX(DKW_10Y!$H$2:$H$2918,MATCH($A151,DKW_10Y!$A$2:$A$2918,1))-INDEX(DKW_10Y!$H$2:$H$2918,MATCH(Settings!$B$16,DKW_10Y!$A$2:$A$2918,1)))*100))</f>
        <v/>
      </c>
      <c r="AC151" s="18">
        <f>IF(NOT(ISNUMBER($A151)),NA(),IFERROR(1*INDEX(BBG_Data!$N$2:$N$4000,MATCH($A151,BBG_Data!$M$2:$M$4000,0)),NA()))</f>
        <v/>
      </c>
      <c r="AD151" s="18">
        <f>IF(NOT(ISNUMBER($A151)),NA(),IFERROR(1*INDEX(BBG_Data!$P$2:$P$4000,MATCH($A151,BBG_Data!$O$2:$O$4000,0)),NA()))</f>
        <v/>
      </c>
      <c r="AE151" s="18">
        <f>IF(NOT(ISNUMBER($A151)),NA(),IFERROR(1*INDEX(BBG_Data!$R$2:$R$4000,MATCH($A151,BBG_Data!$Q$2:$Q$4000,0)),NA()))</f>
        <v/>
      </c>
      <c r="AF151" s="20">
        <f>IF(AND(ISNUMBER(B151),ISNUMBER(AC151)),(B151-AC151)*100,NA())</f>
        <v/>
      </c>
      <c r="AG151" s="20">
        <f>IF(AND(ISNUMBER(AE151),ISNUMBER(AD151)),(AE151-AD151)*100,NA())</f>
        <v/>
      </c>
      <c r="AH151" s="19">
        <f>IF(NOT(ISNUMBER($A151)),NA(),IFERROR(INDEX(BBG_Data!$T$2:$T$4000,MATCH($A151,BBG_Data!$S$2:$S$4000,0))*Settings!$B$25,NA()))</f>
        <v/>
      </c>
      <c r="AI151" s="19">
        <f>IF(NOT(ISNUMBER($A151)),NA(),IFERROR(INDEX(BBG_Data!$V$2:$V$4000,MATCH($A151,BBG_Data!$U$2:$U$4000,0))*Settings!$B$25,NA()))</f>
        <v/>
      </c>
      <c r="AJ151" s="19">
        <f>IF(NOT(ISNUMBER($A151)),NA(),IFERROR(1*INDEX(BBG_Data!$X$2:$X$4000,MATCH($A151,BBG_Data!$W$2:$W$4000,0)),NA()))</f>
        <v/>
      </c>
      <c r="AK151" s="19">
        <f>IF(NOT(ISNUMBER($A151)),NA(),IFERROR(1*INDEX(BBG_Data!$Z$2:$Z$4000,MATCH($A151,BBG_Data!$Y$2:$Y$4000,0)),NA()))</f>
        <v/>
      </c>
    </row>
    <row r="152">
      <c r="A152" s="17">
        <f>IF(ISNUMBER(BBG_Data!A152),BBG_Data!A152,"")</f>
        <v/>
      </c>
      <c r="B152" s="18">
        <f>IF(AND(ISNUMBER($A152),ISNUMBER(BBG_Data!B152)),BBG_Data!B152,NA())</f>
        <v/>
      </c>
      <c r="C152" s="18">
        <f>IF(NOT(ISNUMBER($A152)),NA(),IFERROR(1*INDEX(BBG_Data!$D$2:$D$4000,MATCH($A152,BBG_Data!$C$2:$C$4000,0)),NA()))</f>
        <v/>
      </c>
      <c r="D152" s="19">
        <f>IF(NOT(ISNUMBER($A152)),NA(),IFERROR(1*INDEX(BBG_Data!$F$2:$F$4000,MATCH($A152,BBG_Data!$E$2:$E$4000,0)),NA()))</f>
        <v/>
      </c>
      <c r="E152" s="19">
        <f>IF(NOT(ISNUMBER($A152)),NA(),IFERROR(1*INDEX(BBG_Data!$H$2:$H$4000,MATCH($A152,BBG_Data!$G$2:$G$4000,0)),NA()))</f>
        <v/>
      </c>
      <c r="F152" s="20">
        <f>IF(AND(ISNUMBER(B152),ISNUMBER(B151)),IF(B152=B151,"",(B152-B151)*100),"")</f>
        <v/>
      </c>
      <c r="G152" s="20">
        <f>IF(AND(ISNUMBER(C152),ISNUMBER(C151)),IF(C152=C151,"",(C152-C151)*100),"")</f>
        <v/>
      </c>
      <c r="H152" s="20">
        <f>IF(OR(NOT(ISNUMBER($A152)),ROW()-2&lt;Settings!$B$11),NA(),IF(COUNT(OFFSET(F152,1-Settings!$B$11,0,Settings!$B$11,1))&lt;ROUNDUP(Settings!$B$11*Settings!$B$26,0),NA(),STDEV(OFFSET(F152,1-Settings!$B$11,0,Settings!$B$11,1))*SQRT(Settings!$B$13)))</f>
        <v/>
      </c>
      <c r="I152" s="20">
        <f>IF(OR(NOT(ISNUMBER($A152)),ROW()-2&lt;Settings!$B$12),NA(),IF(COUNT(OFFSET(F152,1-Settings!$B$12,0,Settings!$B$12,1))&lt;ROUNDUP(Settings!$B$12*Settings!$B$26,0),NA(),STDEV(OFFSET(F152,1-Settings!$B$12,0,Settings!$B$12,1))*SQRT(Settings!$B$13)))</f>
        <v/>
      </c>
      <c r="J152" s="20">
        <f>IF(OR(NOT(ISNUMBER($A152)),ROW()-2&lt;Settings!$B$11),NA(),IF(COUNT(OFFSET(G152,1-Settings!$B$11,0,Settings!$B$11,1))&lt;ROUNDUP(Settings!$B$11*Settings!$B$26,0),NA(),STDEV(OFFSET(G152,1-Settings!$B$11,0,Settings!$B$11,1))*SQRT(Settings!$B$13)))</f>
        <v/>
      </c>
      <c r="K152" s="20">
        <f>IF(OR(NOT(ISNUMBER($A152)),ROW()-2&lt;Settings!$B$12),NA(),IF(COUNT(OFFSET(G152,1-Settings!$B$12,0,Settings!$B$12,1))&lt;ROUNDUP(Settings!$B$12*Settings!$B$26,0),NA(),STDEV(OFFSET(G152,1-Settings!$B$12,0,Settings!$B$12,1))*SQRT(Settings!$B$13)))</f>
        <v/>
      </c>
      <c r="L152" s="20">
        <f>IF(AND(ISNUMBER(D152),ISNUMBER(H152)),D152-H152,NA())</f>
        <v/>
      </c>
      <c r="M152" s="20">
        <f>IF(AND(ISNUMBER(E152),ISNUMBER(K152)),E152-K152,NA())</f>
        <v/>
      </c>
      <c r="N152" s="20">
        <f>IF(NOT(ISNUMBER($A152)),NA(),IF(COUNT(OFFSET(G152,1,0,Settings!$B$12,1))&lt;ROUNDUP(Settings!$B$12*Settings!$B$26,0),NA(),STDEV(OFFSET(G152,1,0,Settings!$B$12,1))*SQRT(Settings!$B$13)))</f>
        <v/>
      </c>
      <c r="O152" s="20">
        <f>IF(AND(ISNUMBER(E152),ISNUMBER(N152)),E152-N152,NA())</f>
        <v/>
      </c>
      <c r="P152" s="19">
        <f>IF(NOT(ISNUMBER($A152)),NA(),IF(OR($A152&lt;MIN(KW_TP!$A$2:$A$2501),$A152&gt;MAX(KW_TP!$A$2:$A$2501)),NA(),INDEX(KW_TP!$C$2:$C$2501,MATCH($A152,KW_TP!$A$2:$A$2501,1))))</f>
        <v/>
      </c>
      <c r="Q152" s="18">
        <f>IF(NOT(ISNUMBER($A152)),NA(),IFERROR(1*INDEX(BBG_Data!$J$2:$J$4000,MATCH($A152,BBG_Data!$I$2:$I$4000,0)),NA()))</f>
        <v/>
      </c>
      <c r="R152" s="18">
        <f>IF(NOT(ISNUMBER($A152)),NA(),IFERROR(1*INDEX(BBG_Data!$L$2:$L$4000,MATCH($A152,BBG_Data!$K$2:$K$4000,0)),NA()))</f>
        <v/>
      </c>
      <c r="S152" s="20">
        <f>IF(AND(ISNUMBER(B152),ISNUMBER(Q152),ISNUMBER(R152)),(B152-Q152-R152)*100,NA())</f>
        <v/>
      </c>
      <c r="T152" s="20">
        <f>IF(AND(ISNUMBER(B152),Settings!$B$17&gt;0),IF(ISNUMBER(INDEX($B:$B,Settings!$B$17)),(B152-INDEX($B:$B,Settings!$B$17))*100,NA()),NA())</f>
        <v/>
      </c>
      <c r="U152" s="20">
        <f>IF(AND(ISNUMBER(Q152),Settings!$B$17&gt;0),IF(ISNUMBER(INDEX($Q:$Q,Settings!$B$17)),(Q152-INDEX($Q:$Q,Settings!$B$17))*100,NA()),NA())</f>
        <v/>
      </c>
      <c r="V152" s="20">
        <f>IF(AND(ISNUMBER(R152),Settings!$B$17&gt;0),IF(ISNUMBER(INDEX($R:$R,Settings!$B$17)),(R152-INDEX($R:$R,Settings!$B$17))*100,NA()),NA())</f>
        <v/>
      </c>
      <c r="W152" s="20">
        <f>IF(AND(ISNUMBER(P152),Settings!$B$17&gt;0),IF(ISNUMBER(INDEX($P:$P,Settings!$B$17)),P152-INDEX($P:$P,Settings!$B$17),NA()),NA())</f>
        <v/>
      </c>
      <c r="X152" s="19">
        <f>IF(NOT(ISNUMBER($A152)),NA(),IF(OR($A152&lt;MIN(DKW_10Y!$A$2:$A$2918),$A152&gt;MAX(DKW_10Y!$A$2:$A$2918),Settings!$B$16&lt;MIN(DKW_10Y!$A$2:$A$2918)),NA(),(INDEX(DKW_10Y!$B$2:$B$2918,MATCH($A152,DKW_10Y!$A$2:$A$2918,1))-INDEX(DKW_10Y!$B$2:$B$2918,MATCH(Settings!$B$16,DKW_10Y!$A$2:$A$2918,1)))*100))</f>
        <v/>
      </c>
      <c r="Y152" s="19">
        <f>IF(NOT(ISNUMBER($A152)),NA(),IF(OR($A152&lt;MIN(DKW_10Y!$A$2:$A$2918),$A152&gt;MAX(DKW_10Y!$A$2:$A$2918),Settings!$B$16&lt;MIN(DKW_10Y!$A$2:$A$2918)),NA(),(INDEX(DKW_10Y!$C$2:$C$2918,MATCH($A152,DKW_10Y!$A$2:$A$2918,1))-INDEX(DKW_10Y!$C$2:$C$2918,MATCH(Settings!$B$16,DKW_10Y!$A$2:$A$2918,1)))*100))</f>
        <v/>
      </c>
      <c r="Z152" s="19">
        <f>IF(NOT(ISNUMBER($A152)),NA(),IF(OR($A152&lt;MIN(DKW_10Y!$A$2:$A$2918),$A152&gt;MAX(DKW_10Y!$A$2:$A$2918),Settings!$B$16&lt;MIN(DKW_10Y!$A$2:$A$2918)),NA(),(INDEX(DKW_10Y!$D$2:$D$2918,MATCH($A152,DKW_10Y!$A$2:$A$2918,1))-INDEX(DKW_10Y!$D$2:$D$2918,MATCH(Settings!$B$16,DKW_10Y!$A$2:$A$2918,1)))*100))</f>
        <v/>
      </c>
      <c r="AA152" s="19">
        <f>IF(NOT(ISNUMBER($A152)),NA(),IF(OR($A152&lt;MIN(DKW_10Y!$A$2:$A$2918),$A152&gt;MAX(DKW_10Y!$A$2:$A$2918),Settings!$B$16&lt;MIN(DKW_10Y!$A$2:$A$2918)),NA(),(INDEX(DKW_10Y!$E$2:$E$2918,MATCH($A152,DKW_10Y!$A$2:$A$2918,1))-INDEX(DKW_10Y!$E$2:$E$2918,MATCH(Settings!$B$16,DKW_10Y!$A$2:$A$2918,1)))*100))</f>
        <v/>
      </c>
      <c r="AB152" s="19">
        <f>IF(NOT(ISNUMBER($A152)),NA(),IF(OR($A152&lt;MIN(DKW_10Y!$A$2:$A$2918),$A152&gt;MAX(DKW_10Y!$A$2:$A$2918),Settings!$B$16&lt;MIN(DKW_10Y!$A$2:$A$2918)),NA(),(INDEX(DKW_10Y!$H$2:$H$2918,MATCH($A152,DKW_10Y!$A$2:$A$2918,1))-INDEX(DKW_10Y!$H$2:$H$2918,MATCH(Settings!$B$16,DKW_10Y!$A$2:$A$2918,1)))*100))</f>
        <v/>
      </c>
      <c r="AC152" s="18">
        <f>IF(NOT(ISNUMBER($A152)),NA(),IFERROR(1*INDEX(BBG_Data!$N$2:$N$4000,MATCH($A152,BBG_Data!$M$2:$M$4000,0)),NA()))</f>
        <v/>
      </c>
      <c r="AD152" s="18">
        <f>IF(NOT(ISNUMBER($A152)),NA(),IFERROR(1*INDEX(BBG_Data!$P$2:$P$4000,MATCH($A152,BBG_Data!$O$2:$O$4000,0)),NA()))</f>
        <v/>
      </c>
      <c r="AE152" s="18">
        <f>IF(NOT(ISNUMBER($A152)),NA(),IFERROR(1*INDEX(BBG_Data!$R$2:$R$4000,MATCH($A152,BBG_Data!$Q$2:$Q$4000,0)),NA()))</f>
        <v/>
      </c>
      <c r="AF152" s="20">
        <f>IF(AND(ISNUMBER(B152),ISNUMBER(AC152)),(B152-AC152)*100,NA())</f>
        <v/>
      </c>
      <c r="AG152" s="20">
        <f>IF(AND(ISNUMBER(AE152),ISNUMBER(AD152)),(AE152-AD152)*100,NA())</f>
        <v/>
      </c>
      <c r="AH152" s="19">
        <f>IF(NOT(ISNUMBER($A152)),NA(),IFERROR(INDEX(BBG_Data!$T$2:$T$4000,MATCH($A152,BBG_Data!$S$2:$S$4000,0))*Settings!$B$25,NA()))</f>
        <v/>
      </c>
      <c r="AI152" s="19">
        <f>IF(NOT(ISNUMBER($A152)),NA(),IFERROR(INDEX(BBG_Data!$V$2:$V$4000,MATCH($A152,BBG_Data!$U$2:$U$4000,0))*Settings!$B$25,NA()))</f>
        <v/>
      </c>
      <c r="AJ152" s="19">
        <f>IF(NOT(ISNUMBER($A152)),NA(),IFERROR(1*INDEX(BBG_Data!$X$2:$X$4000,MATCH($A152,BBG_Data!$W$2:$W$4000,0)),NA()))</f>
        <v/>
      </c>
      <c r="AK152" s="19">
        <f>IF(NOT(ISNUMBER($A152)),NA(),IFERROR(1*INDEX(BBG_Data!$Z$2:$Z$4000,MATCH($A152,BBG_Data!$Y$2:$Y$4000,0)),NA()))</f>
        <v/>
      </c>
    </row>
    <row r="153">
      <c r="A153" s="17">
        <f>IF(ISNUMBER(BBG_Data!A153),BBG_Data!A153,"")</f>
        <v/>
      </c>
      <c r="B153" s="18">
        <f>IF(AND(ISNUMBER($A153),ISNUMBER(BBG_Data!B153)),BBG_Data!B153,NA())</f>
        <v/>
      </c>
      <c r="C153" s="18">
        <f>IF(NOT(ISNUMBER($A153)),NA(),IFERROR(1*INDEX(BBG_Data!$D$2:$D$4000,MATCH($A153,BBG_Data!$C$2:$C$4000,0)),NA()))</f>
        <v/>
      </c>
      <c r="D153" s="19">
        <f>IF(NOT(ISNUMBER($A153)),NA(),IFERROR(1*INDEX(BBG_Data!$F$2:$F$4000,MATCH($A153,BBG_Data!$E$2:$E$4000,0)),NA()))</f>
        <v/>
      </c>
      <c r="E153" s="19">
        <f>IF(NOT(ISNUMBER($A153)),NA(),IFERROR(1*INDEX(BBG_Data!$H$2:$H$4000,MATCH($A153,BBG_Data!$G$2:$G$4000,0)),NA()))</f>
        <v/>
      </c>
      <c r="F153" s="20">
        <f>IF(AND(ISNUMBER(B153),ISNUMBER(B152)),IF(B153=B152,"",(B153-B152)*100),"")</f>
        <v/>
      </c>
      <c r="G153" s="20">
        <f>IF(AND(ISNUMBER(C153),ISNUMBER(C152)),IF(C153=C152,"",(C153-C152)*100),"")</f>
        <v/>
      </c>
      <c r="H153" s="20">
        <f>IF(OR(NOT(ISNUMBER($A153)),ROW()-2&lt;Settings!$B$11),NA(),IF(COUNT(OFFSET(F153,1-Settings!$B$11,0,Settings!$B$11,1))&lt;ROUNDUP(Settings!$B$11*Settings!$B$26,0),NA(),STDEV(OFFSET(F153,1-Settings!$B$11,0,Settings!$B$11,1))*SQRT(Settings!$B$13)))</f>
        <v/>
      </c>
      <c r="I153" s="20">
        <f>IF(OR(NOT(ISNUMBER($A153)),ROW()-2&lt;Settings!$B$12),NA(),IF(COUNT(OFFSET(F153,1-Settings!$B$12,0,Settings!$B$12,1))&lt;ROUNDUP(Settings!$B$12*Settings!$B$26,0),NA(),STDEV(OFFSET(F153,1-Settings!$B$12,0,Settings!$B$12,1))*SQRT(Settings!$B$13)))</f>
        <v/>
      </c>
      <c r="J153" s="20">
        <f>IF(OR(NOT(ISNUMBER($A153)),ROW()-2&lt;Settings!$B$11),NA(),IF(COUNT(OFFSET(G153,1-Settings!$B$11,0,Settings!$B$11,1))&lt;ROUNDUP(Settings!$B$11*Settings!$B$26,0),NA(),STDEV(OFFSET(G153,1-Settings!$B$11,0,Settings!$B$11,1))*SQRT(Settings!$B$13)))</f>
        <v/>
      </c>
      <c r="K153" s="20">
        <f>IF(OR(NOT(ISNUMBER($A153)),ROW()-2&lt;Settings!$B$12),NA(),IF(COUNT(OFFSET(G153,1-Settings!$B$12,0,Settings!$B$12,1))&lt;ROUNDUP(Settings!$B$12*Settings!$B$26,0),NA(),STDEV(OFFSET(G153,1-Settings!$B$12,0,Settings!$B$12,1))*SQRT(Settings!$B$13)))</f>
        <v/>
      </c>
      <c r="L153" s="20">
        <f>IF(AND(ISNUMBER(D153),ISNUMBER(H153)),D153-H153,NA())</f>
        <v/>
      </c>
      <c r="M153" s="20">
        <f>IF(AND(ISNUMBER(E153),ISNUMBER(K153)),E153-K153,NA())</f>
        <v/>
      </c>
      <c r="N153" s="20">
        <f>IF(NOT(ISNUMBER($A153)),NA(),IF(COUNT(OFFSET(G153,1,0,Settings!$B$12,1))&lt;ROUNDUP(Settings!$B$12*Settings!$B$26,0),NA(),STDEV(OFFSET(G153,1,0,Settings!$B$12,1))*SQRT(Settings!$B$13)))</f>
        <v/>
      </c>
      <c r="O153" s="20">
        <f>IF(AND(ISNUMBER(E153),ISNUMBER(N153)),E153-N153,NA())</f>
        <v/>
      </c>
      <c r="P153" s="19">
        <f>IF(NOT(ISNUMBER($A153)),NA(),IF(OR($A153&lt;MIN(KW_TP!$A$2:$A$2501),$A153&gt;MAX(KW_TP!$A$2:$A$2501)),NA(),INDEX(KW_TP!$C$2:$C$2501,MATCH($A153,KW_TP!$A$2:$A$2501,1))))</f>
        <v/>
      </c>
      <c r="Q153" s="18">
        <f>IF(NOT(ISNUMBER($A153)),NA(),IFERROR(1*INDEX(BBG_Data!$J$2:$J$4000,MATCH($A153,BBG_Data!$I$2:$I$4000,0)),NA()))</f>
        <v/>
      </c>
      <c r="R153" s="18">
        <f>IF(NOT(ISNUMBER($A153)),NA(),IFERROR(1*INDEX(BBG_Data!$L$2:$L$4000,MATCH($A153,BBG_Data!$K$2:$K$4000,0)),NA()))</f>
        <v/>
      </c>
      <c r="S153" s="20">
        <f>IF(AND(ISNUMBER(B153),ISNUMBER(Q153),ISNUMBER(R153)),(B153-Q153-R153)*100,NA())</f>
        <v/>
      </c>
      <c r="T153" s="20">
        <f>IF(AND(ISNUMBER(B153),Settings!$B$17&gt;0),IF(ISNUMBER(INDEX($B:$B,Settings!$B$17)),(B153-INDEX($B:$B,Settings!$B$17))*100,NA()),NA())</f>
        <v/>
      </c>
      <c r="U153" s="20">
        <f>IF(AND(ISNUMBER(Q153),Settings!$B$17&gt;0),IF(ISNUMBER(INDEX($Q:$Q,Settings!$B$17)),(Q153-INDEX($Q:$Q,Settings!$B$17))*100,NA()),NA())</f>
        <v/>
      </c>
      <c r="V153" s="20">
        <f>IF(AND(ISNUMBER(R153),Settings!$B$17&gt;0),IF(ISNUMBER(INDEX($R:$R,Settings!$B$17)),(R153-INDEX($R:$R,Settings!$B$17))*100,NA()),NA())</f>
        <v/>
      </c>
      <c r="W153" s="20">
        <f>IF(AND(ISNUMBER(P153),Settings!$B$17&gt;0),IF(ISNUMBER(INDEX($P:$P,Settings!$B$17)),P153-INDEX($P:$P,Settings!$B$17),NA()),NA())</f>
        <v/>
      </c>
      <c r="X153" s="19">
        <f>IF(NOT(ISNUMBER($A153)),NA(),IF(OR($A153&lt;MIN(DKW_10Y!$A$2:$A$2918),$A153&gt;MAX(DKW_10Y!$A$2:$A$2918),Settings!$B$16&lt;MIN(DKW_10Y!$A$2:$A$2918)),NA(),(INDEX(DKW_10Y!$B$2:$B$2918,MATCH($A153,DKW_10Y!$A$2:$A$2918,1))-INDEX(DKW_10Y!$B$2:$B$2918,MATCH(Settings!$B$16,DKW_10Y!$A$2:$A$2918,1)))*100))</f>
        <v/>
      </c>
      <c r="Y153" s="19">
        <f>IF(NOT(ISNUMBER($A153)),NA(),IF(OR($A153&lt;MIN(DKW_10Y!$A$2:$A$2918),$A153&gt;MAX(DKW_10Y!$A$2:$A$2918),Settings!$B$16&lt;MIN(DKW_10Y!$A$2:$A$2918)),NA(),(INDEX(DKW_10Y!$C$2:$C$2918,MATCH($A153,DKW_10Y!$A$2:$A$2918,1))-INDEX(DKW_10Y!$C$2:$C$2918,MATCH(Settings!$B$16,DKW_10Y!$A$2:$A$2918,1)))*100))</f>
        <v/>
      </c>
      <c r="Z153" s="19">
        <f>IF(NOT(ISNUMBER($A153)),NA(),IF(OR($A153&lt;MIN(DKW_10Y!$A$2:$A$2918),$A153&gt;MAX(DKW_10Y!$A$2:$A$2918),Settings!$B$16&lt;MIN(DKW_10Y!$A$2:$A$2918)),NA(),(INDEX(DKW_10Y!$D$2:$D$2918,MATCH($A153,DKW_10Y!$A$2:$A$2918,1))-INDEX(DKW_10Y!$D$2:$D$2918,MATCH(Settings!$B$16,DKW_10Y!$A$2:$A$2918,1)))*100))</f>
        <v/>
      </c>
      <c r="AA153" s="19">
        <f>IF(NOT(ISNUMBER($A153)),NA(),IF(OR($A153&lt;MIN(DKW_10Y!$A$2:$A$2918),$A153&gt;MAX(DKW_10Y!$A$2:$A$2918),Settings!$B$16&lt;MIN(DKW_10Y!$A$2:$A$2918)),NA(),(INDEX(DKW_10Y!$E$2:$E$2918,MATCH($A153,DKW_10Y!$A$2:$A$2918,1))-INDEX(DKW_10Y!$E$2:$E$2918,MATCH(Settings!$B$16,DKW_10Y!$A$2:$A$2918,1)))*100))</f>
        <v/>
      </c>
      <c r="AB153" s="19">
        <f>IF(NOT(ISNUMBER($A153)),NA(),IF(OR($A153&lt;MIN(DKW_10Y!$A$2:$A$2918),$A153&gt;MAX(DKW_10Y!$A$2:$A$2918),Settings!$B$16&lt;MIN(DKW_10Y!$A$2:$A$2918)),NA(),(INDEX(DKW_10Y!$H$2:$H$2918,MATCH($A153,DKW_10Y!$A$2:$A$2918,1))-INDEX(DKW_10Y!$H$2:$H$2918,MATCH(Settings!$B$16,DKW_10Y!$A$2:$A$2918,1)))*100))</f>
        <v/>
      </c>
      <c r="AC153" s="18">
        <f>IF(NOT(ISNUMBER($A153)),NA(),IFERROR(1*INDEX(BBG_Data!$N$2:$N$4000,MATCH($A153,BBG_Data!$M$2:$M$4000,0)),NA()))</f>
        <v/>
      </c>
      <c r="AD153" s="18">
        <f>IF(NOT(ISNUMBER($A153)),NA(),IFERROR(1*INDEX(BBG_Data!$P$2:$P$4000,MATCH($A153,BBG_Data!$O$2:$O$4000,0)),NA()))</f>
        <v/>
      </c>
      <c r="AE153" s="18">
        <f>IF(NOT(ISNUMBER($A153)),NA(),IFERROR(1*INDEX(BBG_Data!$R$2:$R$4000,MATCH($A153,BBG_Data!$Q$2:$Q$4000,0)),NA()))</f>
        <v/>
      </c>
      <c r="AF153" s="20">
        <f>IF(AND(ISNUMBER(B153),ISNUMBER(AC153)),(B153-AC153)*100,NA())</f>
        <v/>
      </c>
      <c r="AG153" s="20">
        <f>IF(AND(ISNUMBER(AE153),ISNUMBER(AD153)),(AE153-AD153)*100,NA())</f>
        <v/>
      </c>
      <c r="AH153" s="19">
        <f>IF(NOT(ISNUMBER($A153)),NA(),IFERROR(INDEX(BBG_Data!$T$2:$T$4000,MATCH($A153,BBG_Data!$S$2:$S$4000,0))*Settings!$B$25,NA()))</f>
        <v/>
      </c>
      <c r="AI153" s="19">
        <f>IF(NOT(ISNUMBER($A153)),NA(),IFERROR(INDEX(BBG_Data!$V$2:$V$4000,MATCH($A153,BBG_Data!$U$2:$U$4000,0))*Settings!$B$25,NA()))</f>
        <v/>
      </c>
      <c r="AJ153" s="19">
        <f>IF(NOT(ISNUMBER($A153)),NA(),IFERROR(1*INDEX(BBG_Data!$X$2:$X$4000,MATCH($A153,BBG_Data!$W$2:$W$4000,0)),NA()))</f>
        <v/>
      </c>
      <c r="AK153" s="19">
        <f>IF(NOT(ISNUMBER($A153)),NA(),IFERROR(1*INDEX(BBG_Data!$Z$2:$Z$4000,MATCH($A153,BBG_Data!$Y$2:$Y$4000,0)),NA()))</f>
        <v/>
      </c>
    </row>
    <row r="154">
      <c r="A154" s="17">
        <f>IF(ISNUMBER(BBG_Data!A154),BBG_Data!A154,"")</f>
        <v/>
      </c>
      <c r="B154" s="18">
        <f>IF(AND(ISNUMBER($A154),ISNUMBER(BBG_Data!B154)),BBG_Data!B154,NA())</f>
        <v/>
      </c>
      <c r="C154" s="18">
        <f>IF(NOT(ISNUMBER($A154)),NA(),IFERROR(1*INDEX(BBG_Data!$D$2:$D$4000,MATCH($A154,BBG_Data!$C$2:$C$4000,0)),NA()))</f>
        <v/>
      </c>
      <c r="D154" s="19">
        <f>IF(NOT(ISNUMBER($A154)),NA(),IFERROR(1*INDEX(BBG_Data!$F$2:$F$4000,MATCH($A154,BBG_Data!$E$2:$E$4000,0)),NA()))</f>
        <v/>
      </c>
      <c r="E154" s="19">
        <f>IF(NOT(ISNUMBER($A154)),NA(),IFERROR(1*INDEX(BBG_Data!$H$2:$H$4000,MATCH($A154,BBG_Data!$G$2:$G$4000,0)),NA()))</f>
        <v/>
      </c>
      <c r="F154" s="20">
        <f>IF(AND(ISNUMBER(B154),ISNUMBER(B153)),IF(B154=B153,"",(B154-B153)*100),"")</f>
        <v/>
      </c>
      <c r="G154" s="20">
        <f>IF(AND(ISNUMBER(C154),ISNUMBER(C153)),IF(C154=C153,"",(C154-C153)*100),"")</f>
        <v/>
      </c>
      <c r="H154" s="20">
        <f>IF(OR(NOT(ISNUMBER($A154)),ROW()-2&lt;Settings!$B$11),NA(),IF(COUNT(OFFSET(F154,1-Settings!$B$11,0,Settings!$B$11,1))&lt;ROUNDUP(Settings!$B$11*Settings!$B$26,0),NA(),STDEV(OFFSET(F154,1-Settings!$B$11,0,Settings!$B$11,1))*SQRT(Settings!$B$13)))</f>
        <v/>
      </c>
      <c r="I154" s="20">
        <f>IF(OR(NOT(ISNUMBER($A154)),ROW()-2&lt;Settings!$B$12),NA(),IF(COUNT(OFFSET(F154,1-Settings!$B$12,0,Settings!$B$12,1))&lt;ROUNDUP(Settings!$B$12*Settings!$B$26,0),NA(),STDEV(OFFSET(F154,1-Settings!$B$12,0,Settings!$B$12,1))*SQRT(Settings!$B$13)))</f>
        <v/>
      </c>
      <c r="J154" s="20">
        <f>IF(OR(NOT(ISNUMBER($A154)),ROW()-2&lt;Settings!$B$11),NA(),IF(COUNT(OFFSET(G154,1-Settings!$B$11,0,Settings!$B$11,1))&lt;ROUNDUP(Settings!$B$11*Settings!$B$26,0),NA(),STDEV(OFFSET(G154,1-Settings!$B$11,0,Settings!$B$11,1))*SQRT(Settings!$B$13)))</f>
        <v/>
      </c>
      <c r="K154" s="20">
        <f>IF(OR(NOT(ISNUMBER($A154)),ROW()-2&lt;Settings!$B$12),NA(),IF(COUNT(OFFSET(G154,1-Settings!$B$12,0,Settings!$B$12,1))&lt;ROUNDUP(Settings!$B$12*Settings!$B$26,0),NA(),STDEV(OFFSET(G154,1-Settings!$B$12,0,Settings!$B$12,1))*SQRT(Settings!$B$13)))</f>
        <v/>
      </c>
      <c r="L154" s="20">
        <f>IF(AND(ISNUMBER(D154),ISNUMBER(H154)),D154-H154,NA())</f>
        <v/>
      </c>
      <c r="M154" s="20">
        <f>IF(AND(ISNUMBER(E154),ISNUMBER(K154)),E154-K154,NA())</f>
        <v/>
      </c>
      <c r="N154" s="20">
        <f>IF(NOT(ISNUMBER($A154)),NA(),IF(COUNT(OFFSET(G154,1,0,Settings!$B$12,1))&lt;ROUNDUP(Settings!$B$12*Settings!$B$26,0),NA(),STDEV(OFFSET(G154,1,0,Settings!$B$12,1))*SQRT(Settings!$B$13)))</f>
        <v/>
      </c>
      <c r="O154" s="20">
        <f>IF(AND(ISNUMBER(E154),ISNUMBER(N154)),E154-N154,NA())</f>
        <v/>
      </c>
      <c r="P154" s="19">
        <f>IF(NOT(ISNUMBER($A154)),NA(),IF(OR($A154&lt;MIN(KW_TP!$A$2:$A$2501),$A154&gt;MAX(KW_TP!$A$2:$A$2501)),NA(),INDEX(KW_TP!$C$2:$C$2501,MATCH($A154,KW_TP!$A$2:$A$2501,1))))</f>
        <v/>
      </c>
      <c r="Q154" s="18">
        <f>IF(NOT(ISNUMBER($A154)),NA(),IFERROR(1*INDEX(BBG_Data!$J$2:$J$4000,MATCH($A154,BBG_Data!$I$2:$I$4000,0)),NA()))</f>
        <v/>
      </c>
      <c r="R154" s="18">
        <f>IF(NOT(ISNUMBER($A154)),NA(),IFERROR(1*INDEX(BBG_Data!$L$2:$L$4000,MATCH($A154,BBG_Data!$K$2:$K$4000,0)),NA()))</f>
        <v/>
      </c>
      <c r="S154" s="20">
        <f>IF(AND(ISNUMBER(B154),ISNUMBER(Q154),ISNUMBER(R154)),(B154-Q154-R154)*100,NA())</f>
        <v/>
      </c>
      <c r="T154" s="20">
        <f>IF(AND(ISNUMBER(B154),Settings!$B$17&gt;0),IF(ISNUMBER(INDEX($B:$B,Settings!$B$17)),(B154-INDEX($B:$B,Settings!$B$17))*100,NA()),NA())</f>
        <v/>
      </c>
      <c r="U154" s="20">
        <f>IF(AND(ISNUMBER(Q154),Settings!$B$17&gt;0),IF(ISNUMBER(INDEX($Q:$Q,Settings!$B$17)),(Q154-INDEX($Q:$Q,Settings!$B$17))*100,NA()),NA())</f>
        <v/>
      </c>
      <c r="V154" s="20">
        <f>IF(AND(ISNUMBER(R154),Settings!$B$17&gt;0),IF(ISNUMBER(INDEX($R:$R,Settings!$B$17)),(R154-INDEX($R:$R,Settings!$B$17))*100,NA()),NA())</f>
        <v/>
      </c>
      <c r="W154" s="20">
        <f>IF(AND(ISNUMBER(P154),Settings!$B$17&gt;0),IF(ISNUMBER(INDEX($P:$P,Settings!$B$17)),P154-INDEX($P:$P,Settings!$B$17),NA()),NA())</f>
        <v/>
      </c>
      <c r="X154" s="19">
        <f>IF(NOT(ISNUMBER($A154)),NA(),IF(OR($A154&lt;MIN(DKW_10Y!$A$2:$A$2918),$A154&gt;MAX(DKW_10Y!$A$2:$A$2918),Settings!$B$16&lt;MIN(DKW_10Y!$A$2:$A$2918)),NA(),(INDEX(DKW_10Y!$B$2:$B$2918,MATCH($A154,DKW_10Y!$A$2:$A$2918,1))-INDEX(DKW_10Y!$B$2:$B$2918,MATCH(Settings!$B$16,DKW_10Y!$A$2:$A$2918,1)))*100))</f>
        <v/>
      </c>
      <c r="Y154" s="19">
        <f>IF(NOT(ISNUMBER($A154)),NA(),IF(OR($A154&lt;MIN(DKW_10Y!$A$2:$A$2918),$A154&gt;MAX(DKW_10Y!$A$2:$A$2918),Settings!$B$16&lt;MIN(DKW_10Y!$A$2:$A$2918)),NA(),(INDEX(DKW_10Y!$C$2:$C$2918,MATCH($A154,DKW_10Y!$A$2:$A$2918,1))-INDEX(DKW_10Y!$C$2:$C$2918,MATCH(Settings!$B$16,DKW_10Y!$A$2:$A$2918,1)))*100))</f>
        <v/>
      </c>
      <c r="Z154" s="19">
        <f>IF(NOT(ISNUMBER($A154)),NA(),IF(OR($A154&lt;MIN(DKW_10Y!$A$2:$A$2918),$A154&gt;MAX(DKW_10Y!$A$2:$A$2918),Settings!$B$16&lt;MIN(DKW_10Y!$A$2:$A$2918)),NA(),(INDEX(DKW_10Y!$D$2:$D$2918,MATCH($A154,DKW_10Y!$A$2:$A$2918,1))-INDEX(DKW_10Y!$D$2:$D$2918,MATCH(Settings!$B$16,DKW_10Y!$A$2:$A$2918,1)))*100))</f>
        <v/>
      </c>
      <c r="AA154" s="19">
        <f>IF(NOT(ISNUMBER($A154)),NA(),IF(OR($A154&lt;MIN(DKW_10Y!$A$2:$A$2918),$A154&gt;MAX(DKW_10Y!$A$2:$A$2918),Settings!$B$16&lt;MIN(DKW_10Y!$A$2:$A$2918)),NA(),(INDEX(DKW_10Y!$E$2:$E$2918,MATCH($A154,DKW_10Y!$A$2:$A$2918,1))-INDEX(DKW_10Y!$E$2:$E$2918,MATCH(Settings!$B$16,DKW_10Y!$A$2:$A$2918,1)))*100))</f>
        <v/>
      </c>
      <c r="AB154" s="19">
        <f>IF(NOT(ISNUMBER($A154)),NA(),IF(OR($A154&lt;MIN(DKW_10Y!$A$2:$A$2918),$A154&gt;MAX(DKW_10Y!$A$2:$A$2918),Settings!$B$16&lt;MIN(DKW_10Y!$A$2:$A$2918)),NA(),(INDEX(DKW_10Y!$H$2:$H$2918,MATCH($A154,DKW_10Y!$A$2:$A$2918,1))-INDEX(DKW_10Y!$H$2:$H$2918,MATCH(Settings!$B$16,DKW_10Y!$A$2:$A$2918,1)))*100))</f>
        <v/>
      </c>
      <c r="AC154" s="18">
        <f>IF(NOT(ISNUMBER($A154)),NA(),IFERROR(1*INDEX(BBG_Data!$N$2:$N$4000,MATCH($A154,BBG_Data!$M$2:$M$4000,0)),NA()))</f>
        <v/>
      </c>
      <c r="AD154" s="18">
        <f>IF(NOT(ISNUMBER($A154)),NA(),IFERROR(1*INDEX(BBG_Data!$P$2:$P$4000,MATCH($A154,BBG_Data!$O$2:$O$4000,0)),NA()))</f>
        <v/>
      </c>
      <c r="AE154" s="18">
        <f>IF(NOT(ISNUMBER($A154)),NA(),IFERROR(1*INDEX(BBG_Data!$R$2:$R$4000,MATCH($A154,BBG_Data!$Q$2:$Q$4000,0)),NA()))</f>
        <v/>
      </c>
      <c r="AF154" s="20">
        <f>IF(AND(ISNUMBER(B154),ISNUMBER(AC154)),(B154-AC154)*100,NA())</f>
        <v/>
      </c>
      <c r="AG154" s="20">
        <f>IF(AND(ISNUMBER(AE154),ISNUMBER(AD154)),(AE154-AD154)*100,NA())</f>
        <v/>
      </c>
      <c r="AH154" s="19">
        <f>IF(NOT(ISNUMBER($A154)),NA(),IFERROR(INDEX(BBG_Data!$T$2:$T$4000,MATCH($A154,BBG_Data!$S$2:$S$4000,0))*Settings!$B$25,NA()))</f>
        <v/>
      </c>
      <c r="AI154" s="19">
        <f>IF(NOT(ISNUMBER($A154)),NA(),IFERROR(INDEX(BBG_Data!$V$2:$V$4000,MATCH($A154,BBG_Data!$U$2:$U$4000,0))*Settings!$B$25,NA()))</f>
        <v/>
      </c>
      <c r="AJ154" s="19">
        <f>IF(NOT(ISNUMBER($A154)),NA(),IFERROR(1*INDEX(BBG_Data!$X$2:$X$4000,MATCH($A154,BBG_Data!$W$2:$W$4000,0)),NA()))</f>
        <v/>
      </c>
      <c r="AK154" s="19">
        <f>IF(NOT(ISNUMBER($A154)),NA(),IFERROR(1*INDEX(BBG_Data!$Z$2:$Z$4000,MATCH($A154,BBG_Data!$Y$2:$Y$4000,0)),NA()))</f>
        <v/>
      </c>
    </row>
    <row r="155">
      <c r="A155" s="17">
        <f>IF(ISNUMBER(BBG_Data!A155),BBG_Data!A155,"")</f>
        <v/>
      </c>
      <c r="B155" s="18">
        <f>IF(AND(ISNUMBER($A155),ISNUMBER(BBG_Data!B155)),BBG_Data!B155,NA())</f>
        <v/>
      </c>
      <c r="C155" s="18">
        <f>IF(NOT(ISNUMBER($A155)),NA(),IFERROR(1*INDEX(BBG_Data!$D$2:$D$4000,MATCH($A155,BBG_Data!$C$2:$C$4000,0)),NA()))</f>
        <v/>
      </c>
      <c r="D155" s="19">
        <f>IF(NOT(ISNUMBER($A155)),NA(),IFERROR(1*INDEX(BBG_Data!$F$2:$F$4000,MATCH($A155,BBG_Data!$E$2:$E$4000,0)),NA()))</f>
        <v/>
      </c>
      <c r="E155" s="19">
        <f>IF(NOT(ISNUMBER($A155)),NA(),IFERROR(1*INDEX(BBG_Data!$H$2:$H$4000,MATCH($A155,BBG_Data!$G$2:$G$4000,0)),NA()))</f>
        <v/>
      </c>
      <c r="F155" s="20">
        <f>IF(AND(ISNUMBER(B155),ISNUMBER(B154)),IF(B155=B154,"",(B155-B154)*100),"")</f>
        <v/>
      </c>
      <c r="G155" s="20">
        <f>IF(AND(ISNUMBER(C155),ISNUMBER(C154)),IF(C155=C154,"",(C155-C154)*100),"")</f>
        <v/>
      </c>
      <c r="H155" s="20">
        <f>IF(OR(NOT(ISNUMBER($A155)),ROW()-2&lt;Settings!$B$11),NA(),IF(COUNT(OFFSET(F155,1-Settings!$B$11,0,Settings!$B$11,1))&lt;ROUNDUP(Settings!$B$11*Settings!$B$26,0),NA(),STDEV(OFFSET(F155,1-Settings!$B$11,0,Settings!$B$11,1))*SQRT(Settings!$B$13)))</f>
        <v/>
      </c>
      <c r="I155" s="20">
        <f>IF(OR(NOT(ISNUMBER($A155)),ROW()-2&lt;Settings!$B$12),NA(),IF(COUNT(OFFSET(F155,1-Settings!$B$12,0,Settings!$B$12,1))&lt;ROUNDUP(Settings!$B$12*Settings!$B$26,0),NA(),STDEV(OFFSET(F155,1-Settings!$B$12,0,Settings!$B$12,1))*SQRT(Settings!$B$13)))</f>
        <v/>
      </c>
      <c r="J155" s="20">
        <f>IF(OR(NOT(ISNUMBER($A155)),ROW()-2&lt;Settings!$B$11),NA(),IF(COUNT(OFFSET(G155,1-Settings!$B$11,0,Settings!$B$11,1))&lt;ROUNDUP(Settings!$B$11*Settings!$B$26,0),NA(),STDEV(OFFSET(G155,1-Settings!$B$11,0,Settings!$B$11,1))*SQRT(Settings!$B$13)))</f>
        <v/>
      </c>
      <c r="K155" s="20">
        <f>IF(OR(NOT(ISNUMBER($A155)),ROW()-2&lt;Settings!$B$12),NA(),IF(COUNT(OFFSET(G155,1-Settings!$B$12,0,Settings!$B$12,1))&lt;ROUNDUP(Settings!$B$12*Settings!$B$26,0),NA(),STDEV(OFFSET(G155,1-Settings!$B$12,0,Settings!$B$12,1))*SQRT(Settings!$B$13)))</f>
        <v/>
      </c>
      <c r="L155" s="20">
        <f>IF(AND(ISNUMBER(D155),ISNUMBER(H155)),D155-H155,NA())</f>
        <v/>
      </c>
      <c r="M155" s="20">
        <f>IF(AND(ISNUMBER(E155),ISNUMBER(K155)),E155-K155,NA())</f>
        <v/>
      </c>
      <c r="N155" s="20">
        <f>IF(NOT(ISNUMBER($A155)),NA(),IF(COUNT(OFFSET(G155,1,0,Settings!$B$12,1))&lt;ROUNDUP(Settings!$B$12*Settings!$B$26,0),NA(),STDEV(OFFSET(G155,1,0,Settings!$B$12,1))*SQRT(Settings!$B$13)))</f>
        <v/>
      </c>
      <c r="O155" s="20">
        <f>IF(AND(ISNUMBER(E155),ISNUMBER(N155)),E155-N155,NA())</f>
        <v/>
      </c>
      <c r="P155" s="19">
        <f>IF(NOT(ISNUMBER($A155)),NA(),IF(OR($A155&lt;MIN(KW_TP!$A$2:$A$2501),$A155&gt;MAX(KW_TP!$A$2:$A$2501)),NA(),INDEX(KW_TP!$C$2:$C$2501,MATCH($A155,KW_TP!$A$2:$A$2501,1))))</f>
        <v/>
      </c>
      <c r="Q155" s="18">
        <f>IF(NOT(ISNUMBER($A155)),NA(),IFERROR(1*INDEX(BBG_Data!$J$2:$J$4000,MATCH($A155,BBG_Data!$I$2:$I$4000,0)),NA()))</f>
        <v/>
      </c>
      <c r="R155" s="18">
        <f>IF(NOT(ISNUMBER($A155)),NA(),IFERROR(1*INDEX(BBG_Data!$L$2:$L$4000,MATCH($A155,BBG_Data!$K$2:$K$4000,0)),NA()))</f>
        <v/>
      </c>
      <c r="S155" s="20">
        <f>IF(AND(ISNUMBER(B155),ISNUMBER(Q155),ISNUMBER(R155)),(B155-Q155-R155)*100,NA())</f>
        <v/>
      </c>
      <c r="T155" s="20">
        <f>IF(AND(ISNUMBER(B155),Settings!$B$17&gt;0),IF(ISNUMBER(INDEX($B:$B,Settings!$B$17)),(B155-INDEX($B:$B,Settings!$B$17))*100,NA()),NA())</f>
        <v/>
      </c>
      <c r="U155" s="20">
        <f>IF(AND(ISNUMBER(Q155),Settings!$B$17&gt;0),IF(ISNUMBER(INDEX($Q:$Q,Settings!$B$17)),(Q155-INDEX($Q:$Q,Settings!$B$17))*100,NA()),NA())</f>
        <v/>
      </c>
      <c r="V155" s="20">
        <f>IF(AND(ISNUMBER(R155),Settings!$B$17&gt;0),IF(ISNUMBER(INDEX($R:$R,Settings!$B$17)),(R155-INDEX($R:$R,Settings!$B$17))*100,NA()),NA())</f>
        <v/>
      </c>
      <c r="W155" s="20">
        <f>IF(AND(ISNUMBER(P155),Settings!$B$17&gt;0),IF(ISNUMBER(INDEX($P:$P,Settings!$B$17)),P155-INDEX($P:$P,Settings!$B$17),NA()),NA())</f>
        <v/>
      </c>
      <c r="X155" s="19">
        <f>IF(NOT(ISNUMBER($A155)),NA(),IF(OR($A155&lt;MIN(DKW_10Y!$A$2:$A$2918),$A155&gt;MAX(DKW_10Y!$A$2:$A$2918),Settings!$B$16&lt;MIN(DKW_10Y!$A$2:$A$2918)),NA(),(INDEX(DKW_10Y!$B$2:$B$2918,MATCH($A155,DKW_10Y!$A$2:$A$2918,1))-INDEX(DKW_10Y!$B$2:$B$2918,MATCH(Settings!$B$16,DKW_10Y!$A$2:$A$2918,1)))*100))</f>
        <v/>
      </c>
      <c r="Y155" s="19">
        <f>IF(NOT(ISNUMBER($A155)),NA(),IF(OR($A155&lt;MIN(DKW_10Y!$A$2:$A$2918),$A155&gt;MAX(DKW_10Y!$A$2:$A$2918),Settings!$B$16&lt;MIN(DKW_10Y!$A$2:$A$2918)),NA(),(INDEX(DKW_10Y!$C$2:$C$2918,MATCH($A155,DKW_10Y!$A$2:$A$2918,1))-INDEX(DKW_10Y!$C$2:$C$2918,MATCH(Settings!$B$16,DKW_10Y!$A$2:$A$2918,1)))*100))</f>
        <v/>
      </c>
      <c r="Z155" s="19">
        <f>IF(NOT(ISNUMBER($A155)),NA(),IF(OR($A155&lt;MIN(DKW_10Y!$A$2:$A$2918),$A155&gt;MAX(DKW_10Y!$A$2:$A$2918),Settings!$B$16&lt;MIN(DKW_10Y!$A$2:$A$2918)),NA(),(INDEX(DKW_10Y!$D$2:$D$2918,MATCH($A155,DKW_10Y!$A$2:$A$2918,1))-INDEX(DKW_10Y!$D$2:$D$2918,MATCH(Settings!$B$16,DKW_10Y!$A$2:$A$2918,1)))*100))</f>
        <v/>
      </c>
      <c r="AA155" s="19">
        <f>IF(NOT(ISNUMBER($A155)),NA(),IF(OR($A155&lt;MIN(DKW_10Y!$A$2:$A$2918),$A155&gt;MAX(DKW_10Y!$A$2:$A$2918),Settings!$B$16&lt;MIN(DKW_10Y!$A$2:$A$2918)),NA(),(INDEX(DKW_10Y!$E$2:$E$2918,MATCH($A155,DKW_10Y!$A$2:$A$2918,1))-INDEX(DKW_10Y!$E$2:$E$2918,MATCH(Settings!$B$16,DKW_10Y!$A$2:$A$2918,1)))*100))</f>
        <v/>
      </c>
      <c r="AB155" s="19">
        <f>IF(NOT(ISNUMBER($A155)),NA(),IF(OR($A155&lt;MIN(DKW_10Y!$A$2:$A$2918),$A155&gt;MAX(DKW_10Y!$A$2:$A$2918),Settings!$B$16&lt;MIN(DKW_10Y!$A$2:$A$2918)),NA(),(INDEX(DKW_10Y!$H$2:$H$2918,MATCH($A155,DKW_10Y!$A$2:$A$2918,1))-INDEX(DKW_10Y!$H$2:$H$2918,MATCH(Settings!$B$16,DKW_10Y!$A$2:$A$2918,1)))*100))</f>
        <v/>
      </c>
      <c r="AC155" s="18">
        <f>IF(NOT(ISNUMBER($A155)),NA(),IFERROR(1*INDEX(BBG_Data!$N$2:$N$4000,MATCH($A155,BBG_Data!$M$2:$M$4000,0)),NA()))</f>
        <v/>
      </c>
      <c r="AD155" s="18">
        <f>IF(NOT(ISNUMBER($A155)),NA(),IFERROR(1*INDEX(BBG_Data!$P$2:$P$4000,MATCH($A155,BBG_Data!$O$2:$O$4000,0)),NA()))</f>
        <v/>
      </c>
      <c r="AE155" s="18">
        <f>IF(NOT(ISNUMBER($A155)),NA(),IFERROR(1*INDEX(BBG_Data!$R$2:$R$4000,MATCH($A155,BBG_Data!$Q$2:$Q$4000,0)),NA()))</f>
        <v/>
      </c>
      <c r="AF155" s="20">
        <f>IF(AND(ISNUMBER(B155),ISNUMBER(AC155)),(B155-AC155)*100,NA())</f>
        <v/>
      </c>
      <c r="AG155" s="20">
        <f>IF(AND(ISNUMBER(AE155),ISNUMBER(AD155)),(AE155-AD155)*100,NA())</f>
        <v/>
      </c>
      <c r="AH155" s="19">
        <f>IF(NOT(ISNUMBER($A155)),NA(),IFERROR(INDEX(BBG_Data!$T$2:$T$4000,MATCH($A155,BBG_Data!$S$2:$S$4000,0))*Settings!$B$25,NA()))</f>
        <v/>
      </c>
      <c r="AI155" s="19">
        <f>IF(NOT(ISNUMBER($A155)),NA(),IFERROR(INDEX(BBG_Data!$V$2:$V$4000,MATCH($A155,BBG_Data!$U$2:$U$4000,0))*Settings!$B$25,NA()))</f>
        <v/>
      </c>
      <c r="AJ155" s="19">
        <f>IF(NOT(ISNUMBER($A155)),NA(),IFERROR(1*INDEX(BBG_Data!$X$2:$X$4000,MATCH($A155,BBG_Data!$W$2:$W$4000,0)),NA()))</f>
        <v/>
      </c>
      <c r="AK155" s="19">
        <f>IF(NOT(ISNUMBER($A155)),NA(),IFERROR(1*INDEX(BBG_Data!$Z$2:$Z$4000,MATCH($A155,BBG_Data!$Y$2:$Y$4000,0)),NA()))</f>
        <v/>
      </c>
    </row>
    <row r="156">
      <c r="A156" s="17">
        <f>IF(ISNUMBER(BBG_Data!A156),BBG_Data!A156,"")</f>
        <v/>
      </c>
      <c r="B156" s="18">
        <f>IF(AND(ISNUMBER($A156),ISNUMBER(BBG_Data!B156)),BBG_Data!B156,NA())</f>
        <v/>
      </c>
      <c r="C156" s="18">
        <f>IF(NOT(ISNUMBER($A156)),NA(),IFERROR(1*INDEX(BBG_Data!$D$2:$D$4000,MATCH($A156,BBG_Data!$C$2:$C$4000,0)),NA()))</f>
        <v/>
      </c>
      <c r="D156" s="19">
        <f>IF(NOT(ISNUMBER($A156)),NA(),IFERROR(1*INDEX(BBG_Data!$F$2:$F$4000,MATCH($A156,BBG_Data!$E$2:$E$4000,0)),NA()))</f>
        <v/>
      </c>
      <c r="E156" s="19">
        <f>IF(NOT(ISNUMBER($A156)),NA(),IFERROR(1*INDEX(BBG_Data!$H$2:$H$4000,MATCH($A156,BBG_Data!$G$2:$G$4000,0)),NA()))</f>
        <v/>
      </c>
      <c r="F156" s="20">
        <f>IF(AND(ISNUMBER(B156),ISNUMBER(B155)),IF(B156=B155,"",(B156-B155)*100),"")</f>
        <v/>
      </c>
      <c r="G156" s="20">
        <f>IF(AND(ISNUMBER(C156),ISNUMBER(C155)),IF(C156=C155,"",(C156-C155)*100),"")</f>
        <v/>
      </c>
      <c r="H156" s="20">
        <f>IF(OR(NOT(ISNUMBER($A156)),ROW()-2&lt;Settings!$B$11),NA(),IF(COUNT(OFFSET(F156,1-Settings!$B$11,0,Settings!$B$11,1))&lt;ROUNDUP(Settings!$B$11*Settings!$B$26,0),NA(),STDEV(OFFSET(F156,1-Settings!$B$11,0,Settings!$B$11,1))*SQRT(Settings!$B$13)))</f>
        <v/>
      </c>
      <c r="I156" s="20">
        <f>IF(OR(NOT(ISNUMBER($A156)),ROW()-2&lt;Settings!$B$12),NA(),IF(COUNT(OFFSET(F156,1-Settings!$B$12,0,Settings!$B$12,1))&lt;ROUNDUP(Settings!$B$12*Settings!$B$26,0),NA(),STDEV(OFFSET(F156,1-Settings!$B$12,0,Settings!$B$12,1))*SQRT(Settings!$B$13)))</f>
        <v/>
      </c>
      <c r="J156" s="20">
        <f>IF(OR(NOT(ISNUMBER($A156)),ROW()-2&lt;Settings!$B$11),NA(),IF(COUNT(OFFSET(G156,1-Settings!$B$11,0,Settings!$B$11,1))&lt;ROUNDUP(Settings!$B$11*Settings!$B$26,0),NA(),STDEV(OFFSET(G156,1-Settings!$B$11,0,Settings!$B$11,1))*SQRT(Settings!$B$13)))</f>
        <v/>
      </c>
      <c r="K156" s="20">
        <f>IF(OR(NOT(ISNUMBER($A156)),ROW()-2&lt;Settings!$B$12),NA(),IF(COUNT(OFFSET(G156,1-Settings!$B$12,0,Settings!$B$12,1))&lt;ROUNDUP(Settings!$B$12*Settings!$B$26,0),NA(),STDEV(OFFSET(G156,1-Settings!$B$12,0,Settings!$B$12,1))*SQRT(Settings!$B$13)))</f>
        <v/>
      </c>
      <c r="L156" s="20">
        <f>IF(AND(ISNUMBER(D156),ISNUMBER(H156)),D156-H156,NA())</f>
        <v/>
      </c>
      <c r="M156" s="20">
        <f>IF(AND(ISNUMBER(E156),ISNUMBER(K156)),E156-K156,NA())</f>
        <v/>
      </c>
      <c r="N156" s="20">
        <f>IF(NOT(ISNUMBER($A156)),NA(),IF(COUNT(OFFSET(G156,1,0,Settings!$B$12,1))&lt;ROUNDUP(Settings!$B$12*Settings!$B$26,0),NA(),STDEV(OFFSET(G156,1,0,Settings!$B$12,1))*SQRT(Settings!$B$13)))</f>
        <v/>
      </c>
      <c r="O156" s="20">
        <f>IF(AND(ISNUMBER(E156),ISNUMBER(N156)),E156-N156,NA())</f>
        <v/>
      </c>
      <c r="P156" s="19">
        <f>IF(NOT(ISNUMBER($A156)),NA(),IF(OR($A156&lt;MIN(KW_TP!$A$2:$A$2501),$A156&gt;MAX(KW_TP!$A$2:$A$2501)),NA(),INDEX(KW_TP!$C$2:$C$2501,MATCH($A156,KW_TP!$A$2:$A$2501,1))))</f>
        <v/>
      </c>
      <c r="Q156" s="18">
        <f>IF(NOT(ISNUMBER($A156)),NA(),IFERROR(1*INDEX(BBG_Data!$J$2:$J$4000,MATCH($A156,BBG_Data!$I$2:$I$4000,0)),NA()))</f>
        <v/>
      </c>
      <c r="R156" s="18">
        <f>IF(NOT(ISNUMBER($A156)),NA(),IFERROR(1*INDEX(BBG_Data!$L$2:$L$4000,MATCH($A156,BBG_Data!$K$2:$K$4000,0)),NA()))</f>
        <v/>
      </c>
      <c r="S156" s="20">
        <f>IF(AND(ISNUMBER(B156),ISNUMBER(Q156),ISNUMBER(R156)),(B156-Q156-R156)*100,NA())</f>
        <v/>
      </c>
      <c r="T156" s="20">
        <f>IF(AND(ISNUMBER(B156),Settings!$B$17&gt;0),IF(ISNUMBER(INDEX($B:$B,Settings!$B$17)),(B156-INDEX($B:$B,Settings!$B$17))*100,NA()),NA())</f>
        <v/>
      </c>
      <c r="U156" s="20">
        <f>IF(AND(ISNUMBER(Q156),Settings!$B$17&gt;0),IF(ISNUMBER(INDEX($Q:$Q,Settings!$B$17)),(Q156-INDEX($Q:$Q,Settings!$B$17))*100,NA()),NA())</f>
        <v/>
      </c>
      <c r="V156" s="20">
        <f>IF(AND(ISNUMBER(R156),Settings!$B$17&gt;0),IF(ISNUMBER(INDEX($R:$R,Settings!$B$17)),(R156-INDEX($R:$R,Settings!$B$17))*100,NA()),NA())</f>
        <v/>
      </c>
      <c r="W156" s="20">
        <f>IF(AND(ISNUMBER(P156),Settings!$B$17&gt;0),IF(ISNUMBER(INDEX($P:$P,Settings!$B$17)),P156-INDEX($P:$P,Settings!$B$17),NA()),NA())</f>
        <v/>
      </c>
      <c r="X156" s="19">
        <f>IF(NOT(ISNUMBER($A156)),NA(),IF(OR($A156&lt;MIN(DKW_10Y!$A$2:$A$2918),$A156&gt;MAX(DKW_10Y!$A$2:$A$2918),Settings!$B$16&lt;MIN(DKW_10Y!$A$2:$A$2918)),NA(),(INDEX(DKW_10Y!$B$2:$B$2918,MATCH($A156,DKW_10Y!$A$2:$A$2918,1))-INDEX(DKW_10Y!$B$2:$B$2918,MATCH(Settings!$B$16,DKW_10Y!$A$2:$A$2918,1)))*100))</f>
        <v/>
      </c>
      <c r="Y156" s="19">
        <f>IF(NOT(ISNUMBER($A156)),NA(),IF(OR($A156&lt;MIN(DKW_10Y!$A$2:$A$2918),$A156&gt;MAX(DKW_10Y!$A$2:$A$2918),Settings!$B$16&lt;MIN(DKW_10Y!$A$2:$A$2918)),NA(),(INDEX(DKW_10Y!$C$2:$C$2918,MATCH($A156,DKW_10Y!$A$2:$A$2918,1))-INDEX(DKW_10Y!$C$2:$C$2918,MATCH(Settings!$B$16,DKW_10Y!$A$2:$A$2918,1)))*100))</f>
        <v/>
      </c>
      <c r="Z156" s="19">
        <f>IF(NOT(ISNUMBER($A156)),NA(),IF(OR($A156&lt;MIN(DKW_10Y!$A$2:$A$2918),$A156&gt;MAX(DKW_10Y!$A$2:$A$2918),Settings!$B$16&lt;MIN(DKW_10Y!$A$2:$A$2918)),NA(),(INDEX(DKW_10Y!$D$2:$D$2918,MATCH($A156,DKW_10Y!$A$2:$A$2918,1))-INDEX(DKW_10Y!$D$2:$D$2918,MATCH(Settings!$B$16,DKW_10Y!$A$2:$A$2918,1)))*100))</f>
        <v/>
      </c>
      <c r="AA156" s="19">
        <f>IF(NOT(ISNUMBER($A156)),NA(),IF(OR($A156&lt;MIN(DKW_10Y!$A$2:$A$2918),$A156&gt;MAX(DKW_10Y!$A$2:$A$2918),Settings!$B$16&lt;MIN(DKW_10Y!$A$2:$A$2918)),NA(),(INDEX(DKW_10Y!$E$2:$E$2918,MATCH($A156,DKW_10Y!$A$2:$A$2918,1))-INDEX(DKW_10Y!$E$2:$E$2918,MATCH(Settings!$B$16,DKW_10Y!$A$2:$A$2918,1)))*100))</f>
        <v/>
      </c>
      <c r="AB156" s="19">
        <f>IF(NOT(ISNUMBER($A156)),NA(),IF(OR($A156&lt;MIN(DKW_10Y!$A$2:$A$2918),$A156&gt;MAX(DKW_10Y!$A$2:$A$2918),Settings!$B$16&lt;MIN(DKW_10Y!$A$2:$A$2918)),NA(),(INDEX(DKW_10Y!$H$2:$H$2918,MATCH($A156,DKW_10Y!$A$2:$A$2918,1))-INDEX(DKW_10Y!$H$2:$H$2918,MATCH(Settings!$B$16,DKW_10Y!$A$2:$A$2918,1)))*100))</f>
        <v/>
      </c>
      <c r="AC156" s="18">
        <f>IF(NOT(ISNUMBER($A156)),NA(),IFERROR(1*INDEX(BBG_Data!$N$2:$N$4000,MATCH($A156,BBG_Data!$M$2:$M$4000,0)),NA()))</f>
        <v/>
      </c>
      <c r="AD156" s="18">
        <f>IF(NOT(ISNUMBER($A156)),NA(),IFERROR(1*INDEX(BBG_Data!$P$2:$P$4000,MATCH($A156,BBG_Data!$O$2:$O$4000,0)),NA()))</f>
        <v/>
      </c>
      <c r="AE156" s="18">
        <f>IF(NOT(ISNUMBER($A156)),NA(),IFERROR(1*INDEX(BBG_Data!$R$2:$R$4000,MATCH($A156,BBG_Data!$Q$2:$Q$4000,0)),NA()))</f>
        <v/>
      </c>
      <c r="AF156" s="20">
        <f>IF(AND(ISNUMBER(B156),ISNUMBER(AC156)),(B156-AC156)*100,NA())</f>
        <v/>
      </c>
      <c r="AG156" s="20">
        <f>IF(AND(ISNUMBER(AE156),ISNUMBER(AD156)),(AE156-AD156)*100,NA())</f>
        <v/>
      </c>
      <c r="AH156" s="19">
        <f>IF(NOT(ISNUMBER($A156)),NA(),IFERROR(INDEX(BBG_Data!$T$2:$T$4000,MATCH($A156,BBG_Data!$S$2:$S$4000,0))*Settings!$B$25,NA()))</f>
        <v/>
      </c>
      <c r="AI156" s="19">
        <f>IF(NOT(ISNUMBER($A156)),NA(),IFERROR(INDEX(BBG_Data!$V$2:$V$4000,MATCH($A156,BBG_Data!$U$2:$U$4000,0))*Settings!$B$25,NA()))</f>
        <v/>
      </c>
      <c r="AJ156" s="19">
        <f>IF(NOT(ISNUMBER($A156)),NA(),IFERROR(1*INDEX(BBG_Data!$X$2:$X$4000,MATCH($A156,BBG_Data!$W$2:$W$4000,0)),NA()))</f>
        <v/>
      </c>
      <c r="AK156" s="19">
        <f>IF(NOT(ISNUMBER($A156)),NA(),IFERROR(1*INDEX(BBG_Data!$Z$2:$Z$4000,MATCH($A156,BBG_Data!$Y$2:$Y$4000,0)),NA()))</f>
        <v/>
      </c>
    </row>
    <row r="157">
      <c r="A157" s="17">
        <f>IF(ISNUMBER(BBG_Data!A157),BBG_Data!A157,"")</f>
        <v/>
      </c>
      <c r="B157" s="18">
        <f>IF(AND(ISNUMBER($A157),ISNUMBER(BBG_Data!B157)),BBG_Data!B157,NA())</f>
        <v/>
      </c>
      <c r="C157" s="18">
        <f>IF(NOT(ISNUMBER($A157)),NA(),IFERROR(1*INDEX(BBG_Data!$D$2:$D$4000,MATCH($A157,BBG_Data!$C$2:$C$4000,0)),NA()))</f>
        <v/>
      </c>
      <c r="D157" s="19">
        <f>IF(NOT(ISNUMBER($A157)),NA(),IFERROR(1*INDEX(BBG_Data!$F$2:$F$4000,MATCH($A157,BBG_Data!$E$2:$E$4000,0)),NA()))</f>
        <v/>
      </c>
      <c r="E157" s="19">
        <f>IF(NOT(ISNUMBER($A157)),NA(),IFERROR(1*INDEX(BBG_Data!$H$2:$H$4000,MATCH($A157,BBG_Data!$G$2:$G$4000,0)),NA()))</f>
        <v/>
      </c>
      <c r="F157" s="20">
        <f>IF(AND(ISNUMBER(B157),ISNUMBER(B156)),IF(B157=B156,"",(B157-B156)*100),"")</f>
        <v/>
      </c>
      <c r="G157" s="20">
        <f>IF(AND(ISNUMBER(C157),ISNUMBER(C156)),IF(C157=C156,"",(C157-C156)*100),"")</f>
        <v/>
      </c>
      <c r="H157" s="20">
        <f>IF(OR(NOT(ISNUMBER($A157)),ROW()-2&lt;Settings!$B$11),NA(),IF(COUNT(OFFSET(F157,1-Settings!$B$11,0,Settings!$B$11,1))&lt;ROUNDUP(Settings!$B$11*Settings!$B$26,0),NA(),STDEV(OFFSET(F157,1-Settings!$B$11,0,Settings!$B$11,1))*SQRT(Settings!$B$13)))</f>
        <v/>
      </c>
      <c r="I157" s="20">
        <f>IF(OR(NOT(ISNUMBER($A157)),ROW()-2&lt;Settings!$B$12),NA(),IF(COUNT(OFFSET(F157,1-Settings!$B$12,0,Settings!$B$12,1))&lt;ROUNDUP(Settings!$B$12*Settings!$B$26,0),NA(),STDEV(OFFSET(F157,1-Settings!$B$12,0,Settings!$B$12,1))*SQRT(Settings!$B$13)))</f>
        <v/>
      </c>
      <c r="J157" s="20">
        <f>IF(OR(NOT(ISNUMBER($A157)),ROW()-2&lt;Settings!$B$11),NA(),IF(COUNT(OFFSET(G157,1-Settings!$B$11,0,Settings!$B$11,1))&lt;ROUNDUP(Settings!$B$11*Settings!$B$26,0),NA(),STDEV(OFFSET(G157,1-Settings!$B$11,0,Settings!$B$11,1))*SQRT(Settings!$B$13)))</f>
        <v/>
      </c>
      <c r="K157" s="20">
        <f>IF(OR(NOT(ISNUMBER($A157)),ROW()-2&lt;Settings!$B$12),NA(),IF(COUNT(OFFSET(G157,1-Settings!$B$12,0,Settings!$B$12,1))&lt;ROUNDUP(Settings!$B$12*Settings!$B$26,0),NA(),STDEV(OFFSET(G157,1-Settings!$B$12,0,Settings!$B$12,1))*SQRT(Settings!$B$13)))</f>
        <v/>
      </c>
      <c r="L157" s="20">
        <f>IF(AND(ISNUMBER(D157),ISNUMBER(H157)),D157-H157,NA())</f>
        <v/>
      </c>
      <c r="M157" s="20">
        <f>IF(AND(ISNUMBER(E157),ISNUMBER(K157)),E157-K157,NA())</f>
        <v/>
      </c>
      <c r="N157" s="20">
        <f>IF(NOT(ISNUMBER($A157)),NA(),IF(COUNT(OFFSET(G157,1,0,Settings!$B$12,1))&lt;ROUNDUP(Settings!$B$12*Settings!$B$26,0),NA(),STDEV(OFFSET(G157,1,0,Settings!$B$12,1))*SQRT(Settings!$B$13)))</f>
        <v/>
      </c>
      <c r="O157" s="20">
        <f>IF(AND(ISNUMBER(E157),ISNUMBER(N157)),E157-N157,NA())</f>
        <v/>
      </c>
      <c r="P157" s="19">
        <f>IF(NOT(ISNUMBER($A157)),NA(),IF(OR($A157&lt;MIN(KW_TP!$A$2:$A$2501),$A157&gt;MAX(KW_TP!$A$2:$A$2501)),NA(),INDEX(KW_TP!$C$2:$C$2501,MATCH($A157,KW_TP!$A$2:$A$2501,1))))</f>
        <v/>
      </c>
      <c r="Q157" s="18">
        <f>IF(NOT(ISNUMBER($A157)),NA(),IFERROR(1*INDEX(BBG_Data!$J$2:$J$4000,MATCH($A157,BBG_Data!$I$2:$I$4000,0)),NA()))</f>
        <v/>
      </c>
      <c r="R157" s="18">
        <f>IF(NOT(ISNUMBER($A157)),NA(),IFERROR(1*INDEX(BBG_Data!$L$2:$L$4000,MATCH($A157,BBG_Data!$K$2:$K$4000,0)),NA()))</f>
        <v/>
      </c>
      <c r="S157" s="20">
        <f>IF(AND(ISNUMBER(B157),ISNUMBER(Q157),ISNUMBER(R157)),(B157-Q157-R157)*100,NA())</f>
        <v/>
      </c>
      <c r="T157" s="20">
        <f>IF(AND(ISNUMBER(B157),Settings!$B$17&gt;0),IF(ISNUMBER(INDEX($B:$B,Settings!$B$17)),(B157-INDEX($B:$B,Settings!$B$17))*100,NA()),NA())</f>
        <v/>
      </c>
      <c r="U157" s="20">
        <f>IF(AND(ISNUMBER(Q157),Settings!$B$17&gt;0),IF(ISNUMBER(INDEX($Q:$Q,Settings!$B$17)),(Q157-INDEX($Q:$Q,Settings!$B$17))*100,NA()),NA())</f>
        <v/>
      </c>
      <c r="V157" s="20">
        <f>IF(AND(ISNUMBER(R157),Settings!$B$17&gt;0),IF(ISNUMBER(INDEX($R:$R,Settings!$B$17)),(R157-INDEX($R:$R,Settings!$B$17))*100,NA()),NA())</f>
        <v/>
      </c>
      <c r="W157" s="20">
        <f>IF(AND(ISNUMBER(P157),Settings!$B$17&gt;0),IF(ISNUMBER(INDEX($P:$P,Settings!$B$17)),P157-INDEX($P:$P,Settings!$B$17),NA()),NA())</f>
        <v/>
      </c>
      <c r="X157" s="19">
        <f>IF(NOT(ISNUMBER($A157)),NA(),IF(OR($A157&lt;MIN(DKW_10Y!$A$2:$A$2918),$A157&gt;MAX(DKW_10Y!$A$2:$A$2918),Settings!$B$16&lt;MIN(DKW_10Y!$A$2:$A$2918)),NA(),(INDEX(DKW_10Y!$B$2:$B$2918,MATCH($A157,DKW_10Y!$A$2:$A$2918,1))-INDEX(DKW_10Y!$B$2:$B$2918,MATCH(Settings!$B$16,DKW_10Y!$A$2:$A$2918,1)))*100))</f>
        <v/>
      </c>
      <c r="Y157" s="19">
        <f>IF(NOT(ISNUMBER($A157)),NA(),IF(OR($A157&lt;MIN(DKW_10Y!$A$2:$A$2918),$A157&gt;MAX(DKW_10Y!$A$2:$A$2918),Settings!$B$16&lt;MIN(DKW_10Y!$A$2:$A$2918)),NA(),(INDEX(DKW_10Y!$C$2:$C$2918,MATCH($A157,DKW_10Y!$A$2:$A$2918,1))-INDEX(DKW_10Y!$C$2:$C$2918,MATCH(Settings!$B$16,DKW_10Y!$A$2:$A$2918,1)))*100))</f>
        <v/>
      </c>
      <c r="Z157" s="19">
        <f>IF(NOT(ISNUMBER($A157)),NA(),IF(OR($A157&lt;MIN(DKW_10Y!$A$2:$A$2918),$A157&gt;MAX(DKW_10Y!$A$2:$A$2918),Settings!$B$16&lt;MIN(DKW_10Y!$A$2:$A$2918)),NA(),(INDEX(DKW_10Y!$D$2:$D$2918,MATCH($A157,DKW_10Y!$A$2:$A$2918,1))-INDEX(DKW_10Y!$D$2:$D$2918,MATCH(Settings!$B$16,DKW_10Y!$A$2:$A$2918,1)))*100))</f>
        <v/>
      </c>
      <c r="AA157" s="19">
        <f>IF(NOT(ISNUMBER($A157)),NA(),IF(OR($A157&lt;MIN(DKW_10Y!$A$2:$A$2918),$A157&gt;MAX(DKW_10Y!$A$2:$A$2918),Settings!$B$16&lt;MIN(DKW_10Y!$A$2:$A$2918)),NA(),(INDEX(DKW_10Y!$E$2:$E$2918,MATCH($A157,DKW_10Y!$A$2:$A$2918,1))-INDEX(DKW_10Y!$E$2:$E$2918,MATCH(Settings!$B$16,DKW_10Y!$A$2:$A$2918,1)))*100))</f>
        <v/>
      </c>
      <c r="AB157" s="19">
        <f>IF(NOT(ISNUMBER($A157)),NA(),IF(OR($A157&lt;MIN(DKW_10Y!$A$2:$A$2918),$A157&gt;MAX(DKW_10Y!$A$2:$A$2918),Settings!$B$16&lt;MIN(DKW_10Y!$A$2:$A$2918)),NA(),(INDEX(DKW_10Y!$H$2:$H$2918,MATCH($A157,DKW_10Y!$A$2:$A$2918,1))-INDEX(DKW_10Y!$H$2:$H$2918,MATCH(Settings!$B$16,DKW_10Y!$A$2:$A$2918,1)))*100))</f>
        <v/>
      </c>
      <c r="AC157" s="18">
        <f>IF(NOT(ISNUMBER($A157)),NA(),IFERROR(1*INDEX(BBG_Data!$N$2:$N$4000,MATCH($A157,BBG_Data!$M$2:$M$4000,0)),NA()))</f>
        <v/>
      </c>
      <c r="AD157" s="18">
        <f>IF(NOT(ISNUMBER($A157)),NA(),IFERROR(1*INDEX(BBG_Data!$P$2:$P$4000,MATCH($A157,BBG_Data!$O$2:$O$4000,0)),NA()))</f>
        <v/>
      </c>
      <c r="AE157" s="18">
        <f>IF(NOT(ISNUMBER($A157)),NA(),IFERROR(1*INDEX(BBG_Data!$R$2:$R$4000,MATCH($A157,BBG_Data!$Q$2:$Q$4000,0)),NA()))</f>
        <v/>
      </c>
      <c r="AF157" s="20">
        <f>IF(AND(ISNUMBER(B157),ISNUMBER(AC157)),(B157-AC157)*100,NA())</f>
        <v/>
      </c>
      <c r="AG157" s="20">
        <f>IF(AND(ISNUMBER(AE157),ISNUMBER(AD157)),(AE157-AD157)*100,NA())</f>
        <v/>
      </c>
      <c r="AH157" s="19">
        <f>IF(NOT(ISNUMBER($A157)),NA(),IFERROR(INDEX(BBG_Data!$T$2:$T$4000,MATCH($A157,BBG_Data!$S$2:$S$4000,0))*Settings!$B$25,NA()))</f>
        <v/>
      </c>
      <c r="AI157" s="19">
        <f>IF(NOT(ISNUMBER($A157)),NA(),IFERROR(INDEX(BBG_Data!$V$2:$V$4000,MATCH($A157,BBG_Data!$U$2:$U$4000,0))*Settings!$B$25,NA()))</f>
        <v/>
      </c>
      <c r="AJ157" s="19">
        <f>IF(NOT(ISNUMBER($A157)),NA(),IFERROR(1*INDEX(BBG_Data!$X$2:$X$4000,MATCH($A157,BBG_Data!$W$2:$W$4000,0)),NA()))</f>
        <v/>
      </c>
      <c r="AK157" s="19">
        <f>IF(NOT(ISNUMBER($A157)),NA(),IFERROR(1*INDEX(BBG_Data!$Z$2:$Z$4000,MATCH($A157,BBG_Data!$Y$2:$Y$4000,0)),NA()))</f>
        <v/>
      </c>
    </row>
    <row r="158">
      <c r="A158" s="17">
        <f>IF(ISNUMBER(BBG_Data!A158),BBG_Data!A158,"")</f>
        <v/>
      </c>
      <c r="B158" s="18">
        <f>IF(AND(ISNUMBER($A158),ISNUMBER(BBG_Data!B158)),BBG_Data!B158,NA())</f>
        <v/>
      </c>
      <c r="C158" s="18">
        <f>IF(NOT(ISNUMBER($A158)),NA(),IFERROR(1*INDEX(BBG_Data!$D$2:$D$4000,MATCH($A158,BBG_Data!$C$2:$C$4000,0)),NA()))</f>
        <v/>
      </c>
      <c r="D158" s="19">
        <f>IF(NOT(ISNUMBER($A158)),NA(),IFERROR(1*INDEX(BBG_Data!$F$2:$F$4000,MATCH($A158,BBG_Data!$E$2:$E$4000,0)),NA()))</f>
        <v/>
      </c>
      <c r="E158" s="19">
        <f>IF(NOT(ISNUMBER($A158)),NA(),IFERROR(1*INDEX(BBG_Data!$H$2:$H$4000,MATCH($A158,BBG_Data!$G$2:$G$4000,0)),NA()))</f>
        <v/>
      </c>
      <c r="F158" s="20">
        <f>IF(AND(ISNUMBER(B158),ISNUMBER(B157)),IF(B158=B157,"",(B158-B157)*100),"")</f>
        <v/>
      </c>
      <c r="G158" s="20">
        <f>IF(AND(ISNUMBER(C158),ISNUMBER(C157)),IF(C158=C157,"",(C158-C157)*100),"")</f>
        <v/>
      </c>
      <c r="H158" s="20">
        <f>IF(OR(NOT(ISNUMBER($A158)),ROW()-2&lt;Settings!$B$11),NA(),IF(COUNT(OFFSET(F158,1-Settings!$B$11,0,Settings!$B$11,1))&lt;ROUNDUP(Settings!$B$11*Settings!$B$26,0),NA(),STDEV(OFFSET(F158,1-Settings!$B$11,0,Settings!$B$11,1))*SQRT(Settings!$B$13)))</f>
        <v/>
      </c>
      <c r="I158" s="20">
        <f>IF(OR(NOT(ISNUMBER($A158)),ROW()-2&lt;Settings!$B$12),NA(),IF(COUNT(OFFSET(F158,1-Settings!$B$12,0,Settings!$B$12,1))&lt;ROUNDUP(Settings!$B$12*Settings!$B$26,0),NA(),STDEV(OFFSET(F158,1-Settings!$B$12,0,Settings!$B$12,1))*SQRT(Settings!$B$13)))</f>
        <v/>
      </c>
      <c r="J158" s="20">
        <f>IF(OR(NOT(ISNUMBER($A158)),ROW()-2&lt;Settings!$B$11),NA(),IF(COUNT(OFFSET(G158,1-Settings!$B$11,0,Settings!$B$11,1))&lt;ROUNDUP(Settings!$B$11*Settings!$B$26,0),NA(),STDEV(OFFSET(G158,1-Settings!$B$11,0,Settings!$B$11,1))*SQRT(Settings!$B$13)))</f>
        <v/>
      </c>
      <c r="K158" s="20">
        <f>IF(OR(NOT(ISNUMBER($A158)),ROW()-2&lt;Settings!$B$12),NA(),IF(COUNT(OFFSET(G158,1-Settings!$B$12,0,Settings!$B$12,1))&lt;ROUNDUP(Settings!$B$12*Settings!$B$26,0),NA(),STDEV(OFFSET(G158,1-Settings!$B$12,0,Settings!$B$12,1))*SQRT(Settings!$B$13)))</f>
        <v/>
      </c>
      <c r="L158" s="20">
        <f>IF(AND(ISNUMBER(D158),ISNUMBER(H158)),D158-H158,NA())</f>
        <v/>
      </c>
      <c r="M158" s="20">
        <f>IF(AND(ISNUMBER(E158),ISNUMBER(K158)),E158-K158,NA())</f>
        <v/>
      </c>
      <c r="N158" s="20">
        <f>IF(NOT(ISNUMBER($A158)),NA(),IF(COUNT(OFFSET(G158,1,0,Settings!$B$12,1))&lt;ROUNDUP(Settings!$B$12*Settings!$B$26,0),NA(),STDEV(OFFSET(G158,1,0,Settings!$B$12,1))*SQRT(Settings!$B$13)))</f>
        <v/>
      </c>
      <c r="O158" s="20">
        <f>IF(AND(ISNUMBER(E158),ISNUMBER(N158)),E158-N158,NA())</f>
        <v/>
      </c>
      <c r="P158" s="19">
        <f>IF(NOT(ISNUMBER($A158)),NA(),IF(OR($A158&lt;MIN(KW_TP!$A$2:$A$2501),$A158&gt;MAX(KW_TP!$A$2:$A$2501)),NA(),INDEX(KW_TP!$C$2:$C$2501,MATCH($A158,KW_TP!$A$2:$A$2501,1))))</f>
        <v/>
      </c>
      <c r="Q158" s="18">
        <f>IF(NOT(ISNUMBER($A158)),NA(),IFERROR(1*INDEX(BBG_Data!$J$2:$J$4000,MATCH($A158,BBG_Data!$I$2:$I$4000,0)),NA()))</f>
        <v/>
      </c>
      <c r="R158" s="18">
        <f>IF(NOT(ISNUMBER($A158)),NA(),IFERROR(1*INDEX(BBG_Data!$L$2:$L$4000,MATCH($A158,BBG_Data!$K$2:$K$4000,0)),NA()))</f>
        <v/>
      </c>
      <c r="S158" s="20">
        <f>IF(AND(ISNUMBER(B158),ISNUMBER(Q158),ISNUMBER(R158)),(B158-Q158-R158)*100,NA())</f>
        <v/>
      </c>
      <c r="T158" s="20">
        <f>IF(AND(ISNUMBER(B158),Settings!$B$17&gt;0),IF(ISNUMBER(INDEX($B:$B,Settings!$B$17)),(B158-INDEX($B:$B,Settings!$B$17))*100,NA()),NA())</f>
        <v/>
      </c>
      <c r="U158" s="20">
        <f>IF(AND(ISNUMBER(Q158),Settings!$B$17&gt;0),IF(ISNUMBER(INDEX($Q:$Q,Settings!$B$17)),(Q158-INDEX($Q:$Q,Settings!$B$17))*100,NA()),NA())</f>
        <v/>
      </c>
      <c r="V158" s="20">
        <f>IF(AND(ISNUMBER(R158),Settings!$B$17&gt;0),IF(ISNUMBER(INDEX($R:$R,Settings!$B$17)),(R158-INDEX($R:$R,Settings!$B$17))*100,NA()),NA())</f>
        <v/>
      </c>
      <c r="W158" s="20">
        <f>IF(AND(ISNUMBER(P158),Settings!$B$17&gt;0),IF(ISNUMBER(INDEX($P:$P,Settings!$B$17)),P158-INDEX($P:$P,Settings!$B$17),NA()),NA())</f>
        <v/>
      </c>
      <c r="X158" s="19">
        <f>IF(NOT(ISNUMBER($A158)),NA(),IF(OR($A158&lt;MIN(DKW_10Y!$A$2:$A$2918),$A158&gt;MAX(DKW_10Y!$A$2:$A$2918),Settings!$B$16&lt;MIN(DKW_10Y!$A$2:$A$2918)),NA(),(INDEX(DKW_10Y!$B$2:$B$2918,MATCH($A158,DKW_10Y!$A$2:$A$2918,1))-INDEX(DKW_10Y!$B$2:$B$2918,MATCH(Settings!$B$16,DKW_10Y!$A$2:$A$2918,1)))*100))</f>
        <v/>
      </c>
      <c r="Y158" s="19">
        <f>IF(NOT(ISNUMBER($A158)),NA(),IF(OR($A158&lt;MIN(DKW_10Y!$A$2:$A$2918),$A158&gt;MAX(DKW_10Y!$A$2:$A$2918),Settings!$B$16&lt;MIN(DKW_10Y!$A$2:$A$2918)),NA(),(INDEX(DKW_10Y!$C$2:$C$2918,MATCH($A158,DKW_10Y!$A$2:$A$2918,1))-INDEX(DKW_10Y!$C$2:$C$2918,MATCH(Settings!$B$16,DKW_10Y!$A$2:$A$2918,1)))*100))</f>
        <v/>
      </c>
      <c r="Z158" s="19">
        <f>IF(NOT(ISNUMBER($A158)),NA(),IF(OR($A158&lt;MIN(DKW_10Y!$A$2:$A$2918),$A158&gt;MAX(DKW_10Y!$A$2:$A$2918),Settings!$B$16&lt;MIN(DKW_10Y!$A$2:$A$2918)),NA(),(INDEX(DKW_10Y!$D$2:$D$2918,MATCH($A158,DKW_10Y!$A$2:$A$2918,1))-INDEX(DKW_10Y!$D$2:$D$2918,MATCH(Settings!$B$16,DKW_10Y!$A$2:$A$2918,1)))*100))</f>
        <v/>
      </c>
      <c r="AA158" s="19">
        <f>IF(NOT(ISNUMBER($A158)),NA(),IF(OR($A158&lt;MIN(DKW_10Y!$A$2:$A$2918),$A158&gt;MAX(DKW_10Y!$A$2:$A$2918),Settings!$B$16&lt;MIN(DKW_10Y!$A$2:$A$2918)),NA(),(INDEX(DKW_10Y!$E$2:$E$2918,MATCH($A158,DKW_10Y!$A$2:$A$2918,1))-INDEX(DKW_10Y!$E$2:$E$2918,MATCH(Settings!$B$16,DKW_10Y!$A$2:$A$2918,1)))*100))</f>
        <v/>
      </c>
      <c r="AB158" s="19">
        <f>IF(NOT(ISNUMBER($A158)),NA(),IF(OR($A158&lt;MIN(DKW_10Y!$A$2:$A$2918),$A158&gt;MAX(DKW_10Y!$A$2:$A$2918),Settings!$B$16&lt;MIN(DKW_10Y!$A$2:$A$2918)),NA(),(INDEX(DKW_10Y!$H$2:$H$2918,MATCH($A158,DKW_10Y!$A$2:$A$2918,1))-INDEX(DKW_10Y!$H$2:$H$2918,MATCH(Settings!$B$16,DKW_10Y!$A$2:$A$2918,1)))*100))</f>
        <v/>
      </c>
      <c r="AC158" s="18">
        <f>IF(NOT(ISNUMBER($A158)),NA(),IFERROR(1*INDEX(BBG_Data!$N$2:$N$4000,MATCH($A158,BBG_Data!$M$2:$M$4000,0)),NA()))</f>
        <v/>
      </c>
      <c r="AD158" s="18">
        <f>IF(NOT(ISNUMBER($A158)),NA(),IFERROR(1*INDEX(BBG_Data!$P$2:$P$4000,MATCH($A158,BBG_Data!$O$2:$O$4000,0)),NA()))</f>
        <v/>
      </c>
      <c r="AE158" s="18">
        <f>IF(NOT(ISNUMBER($A158)),NA(),IFERROR(1*INDEX(BBG_Data!$R$2:$R$4000,MATCH($A158,BBG_Data!$Q$2:$Q$4000,0)),NA()))</f>
        <v/>
      </c>
      <c r="AF158" s="20">
        <f>IF(AND(ISNUMBER(B158),ISNUMBER(AC158)),(B158-AC158)*100,NA())</f>
        <v/>
      </c>
      <c r="AG158" s="20">
        <f>IF(AND(ISNUMBER(AE158),ISNUMBER(AD158)),(AE158-AD158)*100,NA())</f>
        <v/>
      </c>
      <c r="AH158" s="19">
        <f>IF(NOT(ISNUMBER($A158)),NA(),IFERROR(INDEX(BBG_Data!$T$2:$T$4000,MATCH($A158,BBG_Data!$S$2:$S$4000,0))*Settings!$B$25,NA()))</f>
        <v/>
      </c>
      <c r="AI158" s="19">
        <f>IF(NOT(ISNUMBER($A158)),NA(),IFERROR(INDEX(BBG_Data!$V$2:$V$4000,MATCH($A158,BBG_Data!$U$2:$U$4000,0))*Settings!$B$25,NA()))</f>
        <v/>
      </c>
      <c r="AJ158" s="19">
        <f>IF(NOT(ISNUMBER($A158)),NA(),IFERROR(1*INDEX(BBG_Data!$X$2:$X$4000,MATCH($A158,BBG_Data!$W$2:$W$4000,0)),NA()))</f>
        <v/>
      </c>
      <c r="AK158" s="19">
        <f>IF(NOT(ISNUMBER($A158)),NA(),IFERROR(1*INDEX(BBG_Data!$Z$2:$Z$4000,MATCH($A158,BBG_Data!$Y$2:$Y$4000,0)),NA()))</f>
        <v/>
      </c>
    </row>
    <row r="159">
      <c r="A159" s="17">
        <f>IF(ISNUMBER(BBG_Data!A159),BBG_Data!A159,"")</f>
        <v/>
      </c>
      <c r="B159" s="18">
        <f>IF(AND(ISNUMBER($A159),ISNUMBER(BBG_Data!B159)),BBG_Data!B159,NA())</f>
        <v/>
      </c>
      <c r="C159" s="18">
        <f>IF(NOT(ISNUMBER($A159)),NA(),IFERROR(1*INDEX(BBG_Data!$D$2:$D$4000,MATCH($A159,BBG_Data!$C$2:$C$4000,0)),NA()))</f>
        <v/>
      </c>
      <c r="D159" s="19">
        <f>IF(NOT(ISNUMBER($A159)),NA(),IFERROR(1*INDEX(BBG_Data!$F$2:$F$4000,MATCH($A159,BBG_Data!$E$2:$E$4000,0)),NA()))</f>
        <v/>
      </c>
      <c r="E159" s="19">
        <f>IF(NOT(ISNUMBER($A159)),NA(),IFERROR(1*INDEX(BBG_Data!$H$2:$H$4000,MATCH($A159,BBG_Data!$G$2:$G$4000,0)),NA()))</f>
        <v/>
      </c>
      <c r="F159" s="20">
        <f>IF(AND(ISNUMBER(B159),ISNUMBER(B158)),IF(B159=B158,"",(B159-B158)*100),"")</f>
        <v/>
      </c>
      <c r="G159" s="20">
        <f>IF(AND(ISNUMBER(C159),ISNUMBER(C158)),IF(C159=C158,"",(C159-C158)*100),"")</f>
        <v/>
      </c>
      <c r="H159" s="20">
        <f>IF(OR(NOT(ISNUMBER($A159)),ROW()-2&lt;Settings!$B$11),NA(),IF(COUNT(OFFSET(F159,1-Settings!$B$11,0,Settings!$B$11,1))&lt;ROUNDUP(Settings!$B$11*Settings!$B$26,0),NA(),STDEV(OFFSET(F159,1-Settings!$B$11,0,Settings!$B$11,1))*SQRT(Settings!$B$13)))</f>
        <v/>
      </c>
      <c r="I159" s="20">
        <f>IF(OR(NOT(ISNUMBER($A159)),ROW()-2&lt;Settings!$B$12),NA(),IF(COUNT(OFFSET(F159,1-Settings!$B$12,0,Settings!$B$12,1))&lt;ROUNDUP(Settings!$B$12*Settings!$B$26,0),NA(),STDEV(OFFSET(F159,1-Settings!$B$12,0,Settings!$B$12,1))*SQRT(Settings!$B$13)))</f>
        <v/>
      </c>
      <c r="J159" s="20">
        <f>IF(OR(NOT(ISNUMBER($A159)),ROW()-2&lt;Settings!$B$11),NA(),IF(COUNT(OFFSET(G159,1-Settings!$B$11,0,Settings!$B$11,1))&lt;ROUNDUP(Settings!$B$11*Settings!$B$26,0),NA(),STDEV(OFFSET(G159,1-Settings!$B$11,0,Settings!$B$11,1))*SQRT(Settings!$B$13)))</f>
        <v/>
      </c>
      <c r="K159" s="20">
        <f>IF(OR(NOT(ISNUMBER($A159)),ROW()-2&lt;Settings!$B$12),NA(),IF(COUNT(OFFSET(G159,1-Settings!$B$12,0,Settings!$B$12,1))&lt;ROUNDUP(Settings!$B$12*Settings!$B$26,0),NA(),STDEV(OFFSET(G159,1-Settings!$B$12,0,Settings!$B$12,1))*SQRT(Settings!$B$13)))</f>
        <v/>
      </c>
      <c r="L159" s="20">
        <f>IF(AND(ISNUMBER(D159),ISNUMBER(H159)),D159-H159,NA())</f>
        <v/>
      </c>
      <c r="M159" s="20">
        <f>IF(AND(ISNUMBER(E159),ISNUMBER(K159)),E159-K159,NA())</f>
        <v/>
      </c>
      <c r="N159" s="20">
        <f>IF(NOT(ISNUMBER($A159)),NA(),IF(COUNT(OFFSET(G159,1,0,Settings!$B$12,1))&lt;ROUNDUP(Settings!$B$12*Settings!$B$26,0),NA(),STDEV(OFFSET(G159,1,0,Settings!$B$12,1))*SQRT(Settings!$B$13)))</f>
        <v/>
      </c>
      <c r="O159" s="20">
        <f>IF(AND(ISNUMBER(E159),ISNUMBER(N159)),E159-N159,NA())</f>
        <v/>
      </c>
      <c r="P159" s="19">
        <f>IF(NOT(ISNUMBER($A159)),NA(),IF(OR($A159&lt;MIN(KW_TP!$A$2:$A$2501),$A159&gt;MAX(KW_TP!$A$2:$A$2501)),NA(),INDEX(KW_TP!$C$2:$C$2501,MATCH($A159,KW_TP!$A$2:$A$2501,1))))</f>
        <v/>
      </c>
      <c r="Q159" s="18">
        <f>IF(NOT(ISNUMBER($A159)),NA(),IFERROR(1*INDEX(BBG_Data!$J$2:$J$4000,MATCH($A159,BBG_Data!$I$2:$I$4000,0)),NA()))</f>
        <v/>
      </c>
      <c r="R159" s="18">
        <f>IF(NOT(ISNUMBER($A159)),NA(),IFERROR(1*INDEX(BBG_Data!$L$2:$L$4000,MATCH($A159,BBG_Data!$K$2:$K$4000,0)),NA()))</f>
        <v/>
      </c>
      <c r="S159" s="20">
        <f>IF(AND(ISNUMBER(B159),ISNUMBER(Q159),ISNUMBER(R159)),(B159-Q159-R159)*100,NA())</f>
        <v/>
      </c>
      <c r="T159" s="20">
        <f>IF(AND(ISNUMBER(B159),Settings!$B$17&gt;0),IF(ISNUMBER(INDEX($B:$B,Settings!$B$17)),(B159-INDEX($B:$B,Settings!$B$17))*100,NA()),NA())</f>
        <v/>
      </c>
      <c r="U159" s="20">
        <f>IF(AND(ISNUMBER(Q159),Settings!$B$17&gt;0),IF(ISNUMBER(INDEX($Q:$Q,Settings!$B$17)),(Q159-INDEX($Q:$Q,Settings!$B$17))*100,NA()),NA())</f>
        <v/>
      </c>
      <c r="V159" s="20">
        <f>IF(AND(ISNUMBER(R159),Settings!$B$17&gt;0),IF(ISNUMBER(INDEX($R:$R,Settings!$B$17)),(R159-INDEX($R:$R,Settings!$B$17))*100,NA()),NA())</f>
        <v/>
      </c>
      <c r="W159" s="20">
        <f>IF(AND(ISNUMBER(P159),Settings!$B$17&gt;0),IF(ISNUMBER(INDEX($P:$P,Settings!$B$17)),P159-INDEX($P:$P,Settings!$B$17),NA()),NA())</f>
        <v/>
      </c>
      <c r="X159" s="19">
        <f>IF(NOT(ISNUMBER($A159)),NA(),IF(OR($A159&lt;MIN(DKW_10Y!$A$2:$A$2918),$A159&gt;MAX(DKW_10Y!$A$2:$A$2918),Settings!$B$16&lt;MIN(DKW_10Y!$A$2:$A$2918)),NA(),(INDEX(DKW_10Y!$B$2:$B$2918,MATCH($A159,DKW_10Y!$A$2:$A$2918,1))-INDEX(DKW_10Y!$B$2:$B$2918,MATCH(Settings!$B$16,DKW_10Y!$A$2:$A$2918,1)))*100))</f>
        <v/>
      </c>
      <c r="Y159" s="19">
        <f>IF(NOT(ISNUMBER($A159)),NA(),IF(OR($A159&lt;MIN(DKW_10Y!$A$2:$A$2918),$A159&gt;MAX(DKW_10Y!$A$2:$A$2918),Settings!$B$16&lt;MIN(DKW_10Y!$A$2:$A$2918)),NA(),(INDEX(DKW_10Y!$C$2:$C$2918,MATCH($A159,DKW_10Y!$A$2:$A$2918,1))-INDEX(DKW_10Y!$C$2:$C$2918,MATCH(Settings!$B$16,DKW_10Y!$A$2:$A$2918,1)))*100))</f>
        <v/>
      </c>
      <c r="Z159" s="19">
        <f>IF(NOT(ISNUMBER($A159)),NA(),IF(OR($A159&lt;MIN(DKW_10Y!$A$2:$A$2918),$A159&gt;MAX(DKW_10Y!$A$2:$A$2918),Settings!$B$16&lt;MIN(DKW_10Y!$A$2:$A$2918)),NA(),(INDEX(DKW_10Y!$D$2:$D$2918,MATCH($A159,DKW_10Y!$A$2:$A$2918,1))-INDEX(DKW_10Y!$D$2:$D$2918,MATCH(Settings!$B$16,DKW_10Y!$A$2:$A$2918,1)))*100))</f>
        <v/>
      </c>
      <c r="AA159" s="19">
        <f>IF(NOT(ISNUMBER($A159)),NA(),IF(OR($A159&lt;MIN(DKW_10Y!$A$2:$A$2918),$A159&gt;MAX(DKW_10Y!$A$2:$A$2918),Settings!$B$16&lt;MIN(DKW_10Y!$A$2:$A$2918)),NA(),(INDEX(DKW_10Y!$E$2:$E$2918,MATCH($A159,DKW_10Y!$A$2:$A$2918,1))-INDEX(DKW_10Y!$E$2:$E$2918,MATCH(Settings!$B$16,DKW_10Y!$A$2:$A$2918,1)))*100))</f>
        <v/>
      </c>
      <c r="AB159" s="19">
        <f>IF(NOT(ISNUMBER($A159)),NA(),IF(OR($A159&lt;MIN(DKW_10Y!$A$2:$A$2918),$A159&gt;MAX(DKW_10Y!$A$2:$A$2918),Settings!$B$16&lt;MIN(DKW_10Y!$A$2:$A$2918)),NA(),(INDEX(DKW_10Y!$H$2:$H$2918,MATCH($A159,DKW_10Y!$A$2:$A$2918,1))-INDEX(DKW_10Y!$H$2:$H$2918,MATCH(Settings!$B$16,DKW_10Y!$A$2:$A$2918,1)))*100))</f>
        <v/>
      </c>
      <c r="AC159" s="18">
        <f>IF(NOT(ISNUMBER($A159)),NA(),IFERROR(1*INDEX(BBG_Data!$N$2:$N$4000,MATCH($A159,BBG_Data!$M$2:$M$4000,0)),NA()))</f>
        <v/>
      </c>
      <c r="AD159" s="18">
        <f>IF(NOT(ISNUMBER($A159)),NA(),IFERROR(1*INDEX(BBG_Data!$P$2:$P$4000,MATCH($A159,BBG_Data!$O$2:$O$4000,0)),NA()))</f>
        <v/>
      </c>
      <c r="AE159" s="18">
        <f>IF(NOT(ISNUMBER($A159)),NA(),IFERROR(1*INDEX(BBG_Data!$R$2:$R$4000,MATCH($A159,BBG_Data!$Q$2:$Q$4000,0)),NA()))</f>
        <v/>
      </c>
      <c r="AF159" s="20">
        <f>IF(AND(ISNUMBER(B159),ISNUMBER(AC159)),(B159-AC159)*100,NA())</f>
        <v/>
      </c>
      <c r="AG159" s="20">
        <f>IF(AND(ISNUMBER(AE159),ISNUMBER(AD159)),(AE159-AD159)*100,NA())</f>
        <v/>
      </c>
      <c r="AH159" s="19">
        <f>IF(NOT(ISNUMBER($A159)),NA(),IFERROR(INDEX(BBG_Data!$T$2:$T$4000,MATCH($A159,BBG_Data!$S$2:$S$4000,0))*Settings!$B$25,NA()))</f>
        <v/>
      </c>
      <c r="AI159" s="19">
        <f>IF(NOT(ISNUMBER($A159)),NA(),IFERROR(INDEX(BBG_Data!$V$2:$V$4000,MATCH($A159,BBG_Data!$U$2:$U$4000,0))*Settings!$B$25,NA()))</f>
        <v/>
      </c>
      <c r="AJ159" s="19">
        <f>IF(NOT(ISNUMBER($A159)),NA(),IFERROR(1*INDEX(BBG_Data!$X$2:$X$4000,MATCH($A159,BBG_Data!$W$2:$W$4000,0)),NA()))</f>
        <v/>
      </c>
      <c r="AK159" s="19">
        <f>IF(NOT(ISNUMBER($A159)),NA(),IFERROR(1*INDEX(BBG_Data!$Z$2:$Z$4000,MATCH($A159,BBG_Data!$Y$2:$Y$4000,0)),NA()))</f>
        <v/>
      </c>
    </row>
    <row r="160">
      <c r="A160" s="17">
        <f>IF(ISNUMBER(BBG_Data!A160),BBG_Data!A160,"")</f>
        <v/>
      </c>
      <c r="B160" s="18">
        <f>IF(AND(ISNUMBER($A160),ISNUMBER(BBG_Data!B160)),BBG_Data!B160,NA())</f>
        <v/>
      </c>
      <c r="C160" s="18">
        <f>IF(NOT(ISNUMBER($A160)),NA(),IFERROR(1*INDEX(BBG_Data!$D$2:$D$4000,MATCH($A160,BBG_Data!$C$2:$C$4000,0)),NA()))</f>
        <v/>
      </c>
      <c r="D160" s="19">
        <f>IF(NOT(ISNUMBER($A160)),NA(),IFERROR(1*INDEX(BBG_Data!$F$2:$F$4000,MATCH($A160,BBG_Data!$E$2:$E$4000,0)),NA()))</f>
        <v/>
      </c>
      <c r="E160" s="19">
        <f>IF(NOT(ISNUMBER($A160)),NA(),IFERROR(1*INDEX(BBG_Data!$H$2:$H$4000,MATCH($A160,BBG_Data!$G$2:$G$4000,0)),NA()))</f>
        <v/>
      </c>
      <c r="F160" s="20">
        <f>IF(AND(ISNUMBER(B160),ISNUMBER(B159)),IF(B160=B159,"",(B160-B159)*100),"")</f>
        <v/>
      </c>
      <c r="G160" s="20">
        <f>IF(AND(ISNUMBER(C160),ISNUMBER(C159)),IF(C160=C159,"",(C160-C159)*100),"")</f>
        <v/>
      </c>
      <c r="H160" s="20">
        <f>IF(OR(NOT(ISNUMBER($A160)),ROW()-2&lt;Settings!$B$11),NA(),IF(COUNT(OFFSET(F160,1-Settings!$B$11,0,Settings!$B$11,1))&lt;ROUNDUP(Settings!$B$11*Settings!$B$26,0),NA(),STDEV(OFFSET(F160,1-Settings!$B$11,0,Settings!$B$11,1))*SQRT(Settings!$B$13)))</f>
        <v/>
      </c>
      <c r="I160" s="20">
        <f>IF(OR(NOT(ISNUMBER($A160)),ROW()-2&lt;Settings!$B$12),NA(),IF(COUNT(OFFSET(F160,1-Settings!$B$12,0,Settings!$B$12,1))&lt;ROUNDUP(Settings!$B$12*Settings!$B$26,0),NA(),STDEV(OFFSET(F160,1-Settings!$B$12,0,Settings!$B$12,1))*SQRT(Settings!$B$13)))</f>
        <v/>
      </c>
      <c r="J160" s="20">
        <f>IF(OR(NOT(ISNUMBER($A160)),ROW()-2&lt;Settings!$B$11),NA(),IF(COUNT(OFFSET(G160,1-Settings!$B$11,0,Settings!$B$11,1))&lt;ROUNDUP(Settings!$B$11*Settings!$B$26,0),NA(),STDEV(OFFSET(G160,1-Settings!$B$11,0,Settings!$B$11,1))*SQRT(Settings!$B$13)))</f>
        <v/>
      </c>
      <c r="K160" s="20">
        <f>IF(OR(NOT(ISNUMBER($A160)),ROW()-2&lt;Settings!$B$12),NA(),IF(COUNT(OFFSET(G160,1-Settings!$B$12,0,Settings!$B$12,1))&lt;ROUNDUP(Settings!$B$12*Settings!$B$26,0),NA(),STDEV(OFFSET(G160,1-Settings!$B$12,0,Settings!$B$12,1))*SQRT(Settings!$B$13)))</f>
        <v/>
      </c>
      <c r="L160" s="20">
        <f>IF(AND(ISNUMBER(D160),ISNUMBER(H160)),D160-H160,NA())</f>
        <v/>
      </c>
      <c r="M160" s="20">
        <f>IF(AND(ISNUMBER(E160),ISNUMBER(K160)),E160-K160,NA())</f>
        <v/>
      </c>
      <c r="N160" s="20">
        <f>IF(NOT(ISNUMBER($A160)),NA(),IF(COUNT(OFFSET(G160,1,0,Settings!$B$12,1))&lt;ROUNDUP(Settings!$B$12*Settings!$B$26,0),NA(),STDEV(OFFSET(G160,1,0,Settings!$B$12,1))*SQRT(Settings!$B$13)))</f>
        <v/>
      </c>
      <c r="O160" s="20">
        <f>IF(AND(ISNUMBER(E160),ISNUMBER(N160)),E160-N160,NA())</f>
        <v/>
      </c>
      <c r="P160" s="19">
        <f>IF(NOT(ISNUMBER($A160)),NA(),IF(OR($A160&lt;MIN(KW_TP!$A$2:$A$2501),$A160&gt;MAX(KW_TP!$A$2:$A$2501)),NA(),INDEX(KW_TP!$C$2:$C$2501,MATCH($A160,KW_TP!$A$2:$A$2501,1))))</f>
        <v/>
      </c>
      <c r="Q160" s="18">
        <f>IF(NOT(ISNUMBER($A160)),NA(),IFERROR(1*INDEX(BBG_Data!$J$2:$J$4000,MATCH($A160,BBG_Data!$I$2:$I$4000,0)),NA()))</f>
        <v/>
      </c>
      <c r="R160" s="18">
        <f>IF(NOT(ISNUMBER($A160)),NA(),IFERROR(1*INDEX(BBG_Data!$L$2:$L$4000,MATCH($A160,BBG_Data!$K$2:$K$4000,0)),NA()))</f>
        <v/>
      </c>
      <c r="S160" s="20">
        <f>IF(AND(ISNUMBER(B160),ISNUMBER(Q160),ISNUMBER(R160)),(B160-Q160-R160)*100,NA())</f>
        <v/>
      </c>
      <c r="T160" s="20">
        <f>IF(AND(ISNUMBER(B160),Settings!$B$17&gt;0),IF(ISNUMBER(INDEX($B:$B,Settings!$B$17)),(B160-INDEX($B:$B,Settings!$B$17))*100,NA()),NA())</f>
        <v/>
      </c>
      <c r="U160" s="20">
        <f>IF(AND(ISNUMBER(Q160),Settings!$B$17&gt;0),IF(ISNUMBER(INDEX($Q:$Q,Settings!$B$17)),(Q160-INDEX($Q:$Q,Settings!$B$17))*100,NA()),NA())</f>
        <v/>
      </c>
      <c r="V160" s="20">
        <f>IF(AND(ISNUMBER(R160),Settings!$B$17&gt;0),IF(ISNUMBER(INDEX($R:$R,Settings!$B$17)),(R160-INDEX($R:$R,Settings!$B$17))*100,NA()),NA())</f>
        <v/>
      </c>
      <c r="W160" s="20">
        <f>IF(AND(ISNUMBER(P160),Settings!$B$17&gt;0),IF(ISNUMBER(INDEX($P:$P,Settings!$B$17)),P160-INDEX($P:$P,Settings!$B$17),NA()),NA())</f>
        <v/>
      </c>
      <c r="X160" s="19">
        <f>IF(NOT(ISNUMBER($A160)),NA(),IF(OR($A160&lt;MIN(DKW_10Y!$A$2:$A$2918),$A160&gt;MAX(DKW_10Y!$A$2:$A$2918),Settings!$B$16&lt;MIN(DKW_10Y!$A$2:$A$2918)),NA(),(INDEX(DKW_10Y!$B$2:$B$2918,MATCH($A160,DKW_10Y!$A$2:$A$2918,1))-INDEX(DKW_10Y!$B$2:$B$2918,MATCH(Settings!$B$16,DKW_10Y!$A$2:$A$2918,1)))*100))</f>
        <v/>
      </c>
      <c r="Y160" s="19">
        <f>IF(NOT(ISNUMBER($A160)),NA(),IF(OR($A160&lt;MIN(DKW_10Y!$A$2:$A$2918),$A160&gt;MAX(DKW_10Y!$A$2:$A$2918),Settings!$B$16&lt;MIN(DKW_10Y!$A$2:$A$2918)),NA(),(INDEX(DKW_10Y!$C$2:$C$2918,MATCH($A160,DKW_10Y!$A$2:$A$2918,1))-INDEX(DKW_10Y!$C$2:$C$2918,MATCH(Settings!$B$16,DKW_10Y!$A$2:$A$2918,1)))*100))</f>
        <v/>
      </c>
      <c r="Z160" s="19">
        <f>IF(NOT(ISNUMBER($A160)),NA(),IF(OR($A160&lt;MIN(DKW_10Y!$A$2:$A$2918),$A160&gt;MAX(DKW_10Y!$A$2:$A$2918),Settings!$B$16&lt;MIN(DKW_10Y!$A$2:$A$2918)),NA(),(INDEX(DKW_10Y!$D$2:$D$2918,MATCH($A160,DKW_10Y!$A$2:$A$2918,1))-INDEX(DKW_10Y!$D$2:$D$2918,MATCH(Settings!$B$16,DKW_10Y!$A$2:$A$2918,1)))*100))</f>
        <v/>
      </c>
      <c r="AA160" s="19">
        <f>IF(NOT(ISNUMBER($A160)),NA(),IF(OR($A160&lt;MIN(DKW_10Y!$A$2:$A$2918),$A160&gt;MAX(DKW_10Y!$A$2:$A$2918),Settings!$B$16&lt;MIN(DKW_10Y!$A$2:$A$2918)),NA(),(INDEX(DKW_10Y!$E$2:$E$2918,MATCH($A160,DKW_10Y!$A$2:$A$2918,1))-INDEX(DKW_10Y!$E$2:$E$2918,MATCH(Settings!$B$16,DKW_10Y!$A$2:$A$2918,1)))*100))</f>
        <v/>
      </c>
      <c r="AB160" s="19">
        <f>IF(NOT(ISNUMBER($A160)),NA(),IF(OR($A160&lt;MIN(DKW_10Y!$A$2:$A$2918),$A160&gt;MAX(DKW_10Y!$A$2:$A$2918),Settings!$B$16&lt;MIN(DKW_10Y!$A$2:$A$2918)),NA(),(INDEX(DKW_10Y!$H$2:$H$2918,MATCH($A160,DKW_10Y!$A$2:$A$2918,1))-INDEX(DKW_10Y!$H$2:$H$2918,MATCH(Settings!$B$16,DKW_10Y!$A$2:$A$2918,1)))*100))</f>
        <v/>
      </c>
      <c r="AC160" s="18">
        <f>IF(NOT(ISNUMBER($A160)),NA(),IFERROR(1*INDEX(BBG_Data!$N$2:$N$4000,MATCH($A160,BBG_Data!$M$2:$M$4000,0)),NA()))</f>
        <v/>
      </c>
      <c r="AD160" s="18">
        <f>IF(NOT(ISNUMBER($A160)),NA(),IFERROR(1*INDEX(BBG_Data!$P$2:$P$4000,MATCH($A160,BBG_Data!$O$2:$O$4000,0)),NA()))</f>
        <v/>
      </c>
      <c r="AE160" s="18">
        <f>IF(NOT(ISNUMBER($A160)),NA(),IFERROR(1*INDEX(BBG_Data!$R$2:$R$4000,MATCH($A160,BBG_Data!$Q$2:$Q$4000,0)),NA()))</f>
        <v/>
      </c>
      <c r="AF160" s="20">
        <f>IF(AND(ISNUMBER(B160),ISNUMBER(AC160)),(B160-AC160)*100,NA())</f>
        <v/>
      </c>
      <c r="AG160" s="20">
        <f>IF(AND(ISNUMBER(AE160),ISNUMBER(AD160)),(AE160-AD160)*100,NA())</f>
        <v/>
      </c>
      <c r="AH160" s="19">
        <f>IF(NOT(ISNUMBER($A160)),NA(),IFERROR(INDEX(BBG_Data!$T$2:$T$4000,MATCH($A160,BBG_Data!$S$2:$S$4000,0))*Settings!$B$25,NA()))</f>
        <v/>
      </c>
      <c r="AI160" s="19">
        <f>IF(NOT(ISNUMBER($A160)),NA(),IFERROR(INDEX(BBG_Data!$V$2:$V$4000,MATCH($A160,BBG_Data!$U$2:$U$4000,0))*Settings!$B$25,NA()))</f>
        <v/>
      </c>
      <c r="AJ160" s="19">
        <f>IF(NOT(ISNUMBER($A160)),NA(),IFERROR(1*INDEX(BBG_Data!$X$2:$X$4000,MATCH($A160,BBG_Data!$W$2:$W$4000,0)),NA()))</f>
        <v/>
      </c>
      <c r="AK160" s="19">
        <f>IF(NOT(ISNUMBER($A160)),NA(),IFERROR(1*INDEX(BBG_Data!$Z$2:$Z$4000,MATCH($A160,BBG_Data!$Y$2:$Y$4000,0)),NA()))</f>
        <v/>
      </c>
    </row>
    <row r="161">
      <c r="A161" s="17">
        <f>IF(ISNUMBER(BBG_Data!A161),BBG_Data!A161,"")</f>
        <v/>
      </c>
      <c r="B161" s="18">
        <f>IF(AND(ISNUMBER($A161),ISNUMBER(BBG_Data!B161)),BBG_Data!B161,NA())</f>
        <v/>
      </c>
      <c r="C161" s="18">
        <f>IF(NOT(ISNUMBER($A161)),NA(),IFERROR(1*INDEX(BBG_Data!$D$2:$D$4000,MATCH($A161,BBG_Data!$C$2:$C$4000,0)),NA()))</f>
        <v/>
      </c>
      <c r="D161" s="19">
        <f>IF(NOT(ISNUMBER($A161)),NA(),IFERROR(1*INDEX(BBG_Data!$F$2:$F$4000,MATCH($A161,BBG_Data!$E$2:$E$4000,0)),NA()))</f>
        <v/>
      </c>
      <c r="E161" s="19">
        <f>IF(NOT(ISNUMBER($A161)),NA(),IFERROR(1*INDEX(BBG_Data!$H$2:$H$4000,MATCH($A161,BBG_Data!$G$2:$G$4000,0)),NA()))</f>
        <v/>
      </c>
      <c r="F161" s="20">
        <f>IF(AND(ISNUMBER(B161),ISNUMBER(B160)),IF(B161=B160,"",(B161-B160)*100),"")</f>
        <v/>
      </c>
      <c r="G161" s="20">
        <f>IF(AND(ISNUMBER(C161),ISNUMBER(C160)),IF(C161=C160,"",(C161-C160)*100),"")</f>
        <v/>
      </c>
      <c r="H161" s="20">
        <f>IF(OR(NOT(ISNUMBER($A161)),ROW()-2&lt;Settings!$B$11),NA(),IF(COUNT(OFFSET(F161,1-Settings!$B$11,0,Settings!$B$11,1))&lt;ROUNDUP(Settings!$B$11*Settings!$B$26,0),NA(),STDEV(OFFSET(F161,1-Settings!$B$11,0,Settings!$B$11,1))*SQRT(Settings!$B$13)))</f>
        <v/>
      </c>
      <c r="I161" s="20">
        <f>IF(OR(NOT(ISNUMBER($A161)),ROW()-2&lt;Settings!$B$12),NA(),IF(COUNT(OFFSET(F161,1-Settings!$B$12,0,Settings!$B$12,1))&lt;ROUNDUP(Settings!$B$12*Settings!$B$26,0),NA(),STDEV(OFFSET(F161,1-Settings!$B$12,0,Settings!$B$12,1))*SQRT(Settings!$B$13)))</f>
        <v/>
      </c>
      <c r="J161" s="20">
        <f>IF(OR(NOT(ISNUMBER($A161)),ROW()-2&lt;Settings!$B$11),NA(),IF(COUNT(OFFSET(G161,1-Settings!$B$11,0,Settings!$B$11,1))&lt;ROUNDUP(Settings!$B$11*Settings!$B$26,0),NA(),STDEV(OFFSET(G161,1-Settings!$B$11,0,Settings!$B$11,1))*SQRT(Settings!$B$13)))</f>
        <v/>
      </c>
      <c r="K161" s="20">
        <f>IF(OR(NOT(ISNUMBER($A161)),ROW()-2&lt;Settings!$B$12),NA(),IF(COUNT(OFFSET(G161,1-Settings!$B$12,0,Settings!$B$12,1))&lt;ROUNDUP(Settings!$B$12*Settings!$B$26,0),NA(),STDEV(OFFSET(G161,1-Settings!$B$12,0,Settings!$B$12,1))*SQRT(Settings!$B$13)))</f>
        <v/>
      </c>
      <c r="L161" s="20">
        <f>IF(AND(ISNUMBER(D161),ISNUMBER(H161)),D161-H161,NA())</f>
        <v/>
      </c>
      <c r="M161" s="20">
        <f>IF(AND(ISNUMBER(E161),ISNUMBER(K161)),E161-K161,NA())</f>
        <v/>
      </c>
      <c r="N161" s="20">
        <f>IF(NOT(ISNUMBER($A161)),NA(),IF(COUNT(OFFSET(G161,1,0,Settings!$B$12,1))&lt;ROUNDUP(Settings!$B$12*Settings!$B$26,0),NA(),STDEV(OFFSET(G161,1,0,Settings!$B$12,1))*SQRT(Settings!$B$13)))</f>
        <v/>
      </c>
      <c r="O161" s="20">
        <f>IF(AND(ISNUMBER(E161),ISNUMBER(N161)),E161-N161,NA())</f>
        <v/>
      </c>
      <c r="P161" s="19">
        <f>IF(NOT(ISNUMBER($A161)),NA(),IF(OR($A161&lt;MIN(KW_TP!$A$2:$A$2501),$A161&gt;MAX(KW_TP!$A$2:$A$2501)),NA(),INDEX(KW_TP!$C$2:$C$2501,MATCH($A161,KW_TP!$A$2:$A$2501,1))))</f>
        <v/>
      </c>
      <c r="Q161" s="18">
        <f>IF(NOT(ISNUMBER($A161)),NA(),IFERROR(1*INDEX(BBG_Data!$J$2:$J$4000,MATCH($A161,BBG_Data!$I$2:$I$4000,0)),NA()))</f>
        <v/>
      </c>
      <c r="R161" s="18">
        <f>IF(NOT(ISNUMBER($A161)),NA(),IFERROR(1*INDEX(BBG_Data!$L$2:$L$4000,MATCH($A161,BBG_Data!$K$2:$K$4000,0)),NA()))</f>
        <v/>
      </c>
      <c r="S161" s="20">
        <f>IF(AND(ISNUMBER(B161),ISNUMBER(Q161),ISNUMBER(R161)),(B161-Q161-R161)*100,NA())</f>
        <v/>
      </c>
      <c r="T161" s="20">
        <f>IF(AND(ISNUMBER(B161),Settings!$B$17&gt;0),IF(ISNUMBER(INDEX($B:$B,Settings!$B$17)),(B161-INDEX($B:$B,Settings!$B$17))*100,NA()),NA())</f>
        <v/>
      </c>
      <c r="U161" s="20">
        <f>IF(AND(ISNUMBER(Q161),Settings!$B$17&gt;0),IF(ISNUMBER(INDEX($Q:$Q,Settings!$B$17)),(Q161-INDEX($Q:$Q,Settings!$B$17))*100,NA()),NA())</f>
        <v/>
      </c>
      <c r="V161" s="20">
        <f>IF(AND(ISNUMBER(R161),Settings!$B$17&gt;0),IF(ISNUMBER(INDEX($R:$R,Settings!$B$17)),(R161-INDEX($R:$R,Settings!$B$17))*100,NA()),NA())</f>
        <v/>
      </c>
      <c r="W161" s="20">
        <f>IF(AND(ISNUMBER(P161),Settings!$B$17&gt;0),IF(ISNUMBER(INDEX($P:$P,Settings!$B$17)),P161-INDEX($P:$P,Settings!$B$17),NA()),NA())</f>
        <v/>
      </c>
      <c r="X161" s="19">
        <f>IF(NOT(ISNUMBER($A161)),NA(),IF(OR($A161&lt;MIN(DKW_10Y!$A$2:$A$2918),$A161&gt;MAX(DKW_10Y!$A$2:$A$2918),Settings!$B$16&lt;MIN(DKW_10Y!$A$2:$A$2918)),NA(),(INDEX(DKW_10Y!$B$2:$B$2918,MATCH($A161,DKW_10Y!$A$2:$A$2918,1))-INDEX(DKW_10Y!$B$2:$B$2918,MATCH(Settings!$B$16,DKW_10Y!$A$2:$A$2918,1)))*100))</f>
        <v/>
      </c>
      <c r="Y161" s="19">
        <f>IF(NOT(ISNUMBER($A161)),NA(),IF(OR($A161&lt;MIN(DKW_10Y!$A$2:$A$2918),$A161&gt;MAX(DKW_10Y!$A$2:$A$2918),Settings!$B$16&lt;MIN(DKW_10Y!$A$2:$A$2918)),NA(),(INDEX(DKW_10Y!$C$2:$C$2918,MATCH($A161,DKW_10Y!$A$2:$A$2918,1))-INDEX(DKW_10Y!$C$2:$C$2918,MATCH(Settings!$B$16,DKW_10Y!$A$2:$A$2918,1)))*100))</f>
        <v/>
      </c>
      <c r="Z161" s="19">
        <f>IF(NOT(ISNUMBER($A161)),NA(),IF(OR($A161&lt;MIN(DKW_10Y!$A$2:$A$2918),$A161&gt;MAX(DKW_10Y!$A$2:$A$2918),Settings!$B$16&lt;MIN(DKW_10Y!$A$2:$A$2918)),NA(),(INDEX(DKW_10Y!$D$2:$D$2918,MATCH($A161,DKW_10Y!$A$2:$A$2918,1))-INDEX(DKW_10Y!$D$2:$D$2918,MATCH(Settings!$B$16,DKW_10Y!$A$2:$A$2918,1)))*100))</f>
        <v/>
      </c>
      <c r="AA161" s="19">
        <f>IF(NOT(ISNUMBER($A161)),NA(),IF(OR($A161&lt;MIN(DKW_10Y!$A$2:$A$2918),$A161&gt;MAX(DKW_10Y!$A$2:$A$2918),Settings!$B$16&lt;MIN(DKW_10Y!$A$2:$A$2918)),NA(),(INDEX(DKW_10Y!$E$2:$E$2918,MATCH($A161,DKW_10Y!$A$2:$A$2918,1))-INDEX(DKW_10Y!$E$2:$E$2918,MATCH(Settings!$B$16,DKW_10Y!$A$2:$A$2918,1)))*100))</f>
        <v/>
      </c>
      <c r="AB161" s="19">
        <f>IF(NOT(ISNUMBER($A161)),NA(),IF(OR($A161&lt;MIN(DKW_10Y!$A$2:$A$2918),$A161&gt;MAX(DKW_10Y!$A$2:$A$2918),Settings!$B$16&lt;MIN(DKW_10Y!$A$2:$A$2918)),NA(),(INDEX(DKW_10Y!$H$2:$H$2918,MATCH($A161,DKW_10Y!$A$2:$A$2918,1))-INDEX(DKW_10Y!$H$2:$H$2918,MATCH(Settings!$B$16,DKW_10Y!$A$2:$A$2918,1)))*100))</f>
        <v/>
      </c>
      <c r="AC161" s="18">
        <f>IF(NOT(ISNUMBER($A161)),NA(),IFERROR(1*INDEX(BBG_Data!$N$2:$N$4000,MATCH($A161,BBG_Data!$M$2:$M$4000,0)),NA()))</f>
        <v/>
      </c>
      <c r="AD161" s="18">
        <f>IF(NOT(ISNUMBER($A161)),NA(),IFERROR(1*INDEX(BBG_Data!$P$2:$P$4000,MATCH($A161,BBG_Data!$O$2:$O$4000,0)),NA()))</f>
        <v/>
      </c>
      <c r="AE161" s="18">
        <f>IF(NOT(ISNUMBER($A161)),NA(),IFERROR(1*INDEX(BBG_Data!$R$2:$R$4000,MATCH($A161,BBG_Data!$Q$2:$Q$4000,0)),NA()))</f>
        <v/>
      </c>
      <c r="AF161" s="20">
        <f>IF(AND(ISNUMBER(B161),ISNUMBER(AC161)),(B161-AC161)*100,NA())</f>
        <v/>
      </c>
      <c r="AG161" s="20">
        <f>IF(AND(ISNUMBER(AE161),ISNUMBER(AD161)),(AE161-AD161)*100,NA())</f>
        <v/>
      </c>
      <c r="AH161" s="19">
        <f>IF(NOT(ISNUMBER($A161)),NA(),IFERROR(INDEX(BBG_Data!$T$2:$T$4000,MATCH($A161,BBG_Data!$S$2:$S$4000,0))*Settings!$B$25,NA()))</f>
        <v/>
      </c>
      <c r="AI161" s="19">
        <f>IF(NOT(ISNUMBER($A161)),NA(),IFERROR(INDEX(BBG_Data!$V$2:$V$4000,MATCH($A161,BBG_Data!$U$2:$U$4000,0))*Settings!$B$25,NA()))</f>
        <v/>
      </c>
      <c r="AJ161" s="19">
        <f>IF(NOT(ISNUMBER($A161)),NA(),IFERROR(1*INDEX(BBG_Data!$X$2:$X$4000,MATCH($A161,BBG_Data!$W$2:$W$4000,0)),NA()))</f>
        <v/>
      </c>
      <c r="AK161" s="19">
        <f>IF(NOT(ISNUMBER($A161)),NA(),IFERROR(1*INDEX(BBG_Data!$Z$2:$Z$4000,MATCH($A161,BBG_Data!$Y$2:$Y$4000,0)),NA()))</f>
        <v/>
      </c>
    </row>
    <row r="162">
      <c r="A162" s="17">
        <f>IF(ISNUMBER(BBG_Data!A162),BBG_Data!A162,"")</f>
        <v/>
      </c>
      <c r="B162" s="18">
        <f>IF(AND(ISNUMBER($A162),ISNUMBER(BBG_Data!B162)),BBG_Data!B162,NA())</f>
        <v/>
      </c>
      <c r="C162" s="18">
        <f>IF(NOT(ISNUMBER($A162)),NA(),IFERROR(1*INDEX(BBG_Data!$D$2:$D$4000,MATCH($A162,BBG_Data!$C$2:$C$4000,0)),NA()))</f>
        <v/>
      </c>
      <c r="D162" s="19">
        <f>IF(NOT(ISNUMBER($A162)),NA(),IFERROR(1*INDEX(BBG_Data!$F$2:$F$4000,MATCH($A162,BBG_Data!$E$2:$E$4000,0)),NA()))</f>
        <v/>
      </c>
      <c r="E162" s="19">
        <f>IF(NOT(ISNUMBER($A162)),NA(),IFERROR(1*INDEX(BBG_Data!$H$2:$H$4000,MATCH($A162,BBG_Data!$G$2:$G$4000,0)),NA()))</f>
        <v/>
      </c>
      <c r="F162" s="20">
        <f>IF(AND(ISNUMBER(B162),ISNUMBER(B161)),IF(B162=B161,"",(B162-B161)*100),"")</f>
        <v/>
      </c>
      <c r="G162" s="20">
        <f>IF(AND(ISNUMBER(C162),ISNUMBER(C161)),IF(C162=C161,"",(C162-C161)*100),"")</f>
        <v/>
      </c>
      <c r="H162" s="20">
        <f>IF(OR(NOT(ISNUMBER($A162)),ROW()-2&lt;Settings!$B$11),NA(),IF(COUNT(OFFSET(F162,1-Settings!$B$11,0,Settings!$B$11,1))&lt;ROUNDUP(Settings!$B$11*Settings!$B$26,0),NA(),STDEV(OFFSET(F162,1-Settings!$B$11,0,Settings!$B$11,1))*SQRT(Settings!$B$13)))</f>
        <v/>
      </c>
      <c r="I162" s="20">
        <f>IF(OR(NOT(ISNUMBER($A162)),ROW()-2&lt;Settings!$B$12),NA(),IF(COUNT(OFFSET(F162,1-Settings!$B$12,0,Settings!$B$12,1))&lt;ROUNDUP(Settings!$B$12*Settings!$B$26,0),NA(),STDEV(OFFSET(F162,1-Settings!$B$12,0,Settings!$B$12,1))*SQRT(Settings!$B$13)))</f>
        <v/>
      </c>
      <c r="J162" s="20">
        <f>IF(OR(NOT(ISNUMBER($A162)),ROW()-2&lt;Settings!$B$11),NA(),IF(COUNT(OFFSET(G162,1-Settings!$B$11,0,Settings!$B$11,1))&lt;ROUNDUP(Settings!$B$11*Settings!$B$26,0),NA(),STDEV(OFFSET(G162,1-Settings!$B$11,0,Settings!$B$11,1))*SQRT(Settings!$B$13)))</f>
        <v/>
      </c>
      <c r="K162" s="20">
        <f>IF(OR(NOT(ISNUMBER($A162)),ROW()-2&lt;Settings!$B$12),NA(),IF(COUNT(OFFSET(G162,1-Settings!$B$12,0,Settings!$B$12,1))&lt;ROUNDUP(Settings!$B$12*Settings!$B$26,0),NA(),STDEV(OFFSET(G162,1-Settings!$B$12,0,Settings!$B$12,1))*SQRT(Settings!$B$13)))</f>
        <v/>
      </c>
      <c r="L162" s="20">
        <f>IF(AND(ISNUMBER(D162),ISNUMBER(H162)),D162-H162,NA())</f>
        <v/>
      </c>
      <c r="M162" s="20">
        <f>IF(AND(ISNUMBER(E162),ISNUMBER(K162)),E162-K162,NA())</f>
        <v/>
      </c>
      <c r="N162" s="20">
        <f>IF(NOT(ISNUMBER($A162)),NA(),IF(COUNT(OFFSET(G162,1,0,Settings!$B$12,1))&lt;ROUNDUP(Settings!$B$12*Settings!$B$26,0),NA(),STDEV(OFFSET(G162,1,0,Settings!$B$12,1))*SQRT(Settings!$B$13)))</f>
        <v/>
      </c>
      <c r="O162" s="20">
        <f>IF(AND(ISNUMBER(E162),ISNUMBER(N162)),E162-N162,NA())</f>
        <v/>
      </c>
      <c r="P162" s="19">
        <f>IF(NOT(ISNUMBER($A162)),NA(),IF(OR($A162&lt;MIN(KW_TP!$A$2:$A$2501),$A162&gt;MAX(KW_TP!$A$2:$A$2501)),NA(),INDEX(KW_TP!$C$2:$C$2501,MATCH($A162,KW_TP!$A$2:$A$2501,1))))</f>
        <v/>
      </c>
      <c r="Q162" s="18">
        <f>IF(NOT(ISNUMBER($A162)),NA(),IFERROR(1*INDEX(BBG_Data!$J$2:$J$4000,MATCH($A162,BBG_Data!$I$2:$I$4000,0)),NA()))</f>
        <v/>
      </c>
      <c r="R162" s="18">
        <f>IF(NOT(ISNUMBER($A162)),NA(),IFERROR(1*INDEX(BBG_Data!$L$2:$L$4000,MATCH($A162,BBG_Data!$K$2:$K$4000,0)),NA()))</f>
        <v/>
      </c>
      <c r="S162" s="20">
        <f>IF(AND(ISNUMBER(B162),ISNUMBER(Q162),ISNUMBER(R162)),(B162-Q162-R162)*100,NA())</f>
        <v/>
      </c>
      <c r="T162" s="20">
        <f>IF(AND(ISNUMBER(B162),Settings!$B$17&gt;0),IF(ISNUMBER(INDEX($B:$B,Settings!$B$17)),(B162-INDEX($B:$B,Settings!$B$17))*100,NA()),NA())</f>
        <v/>
      </c>
      <c r="U162" s="20">
        <f>IF(AND(ISNUMBER(Q162),Settings!$B$17&gt;0),IF(ISNUMBER(INDEX($Q:$Q,Settings!$B$17)),(Q162-INDEX($Q:$Q,Settings!$B$17))*100,NA()),NA())</f>
        <v/>
      </c>
      <c r="V162" s="20">
        <f>IF(AND(ISNUMBER(R162),Settings!$B$17&gt;0),IF(ISNUMBER(INDEX($R:$R,Settings!$B$17)),(R162-INDEX($R:$R,Settings!$B$17))*100,NA()),NA())</f>
        <v/>
      </c>
      <c r="W162" s="20">
        <f>IF(AND(ISNUMBER(P162),Settings!$B$17&gt;0),IF(ISNUMBER(INDEX($P:$P,Settings!$B$17)),P162-INDEX($P:$P,Settings!$B$17),NA()),NA())</f>
        <v/>
      </c>
      <c r="X162" s="19">
        <f>IF(NOT(ISNUMBER($A162)),NA(),IF(OR($A162&lt;MIN(DKW_10Y!$A$2:$A$2918),$A162&gt;MAX(DKW_10Y!$A$2:$A$2918),Settings!$B$16&lt;MIN(DKW_10Y!$A$2:$A$2918)),NA(),(INDEX(DKW_10Y!$B$2:$B$2918,MATCH($A162,DKW_10Y!$A$2:$A$2918,1))-INDEX(DKW_10Y!$B$2:$B$2918,MATCH(Settings!$B$16,DKW_10Y!$A$2:$A$2918,1)))*100))</f>
        <v/>
      </c>
      <c r="Y162" s="19">
        <f>IF(NOT(ISNUMBER($A162)),NA(),IF(OR($A162&lt;MIN(DKW_10Y!$A$2:$A$2918),$A162&gt;MAX(DKW_10Y!$A$2:$A$2918),Settings!$B$16&lt;MIN(DKW_10Y!$A$2:$A$2918)),NA(),(INDEX(DKW_10Y!$C$2:$C$2918,MATCH($A162,DKW_10Y!$A$2:$A$2918,1))-INDEX(DKW_10Y!$C$2:$C$2918,MATCH(Settings!$B$16,DKW_10Y!$A$2:$A$2918,1)))*100))</f>
        <v/>
      </c>
      <c r="Z162" s="19">
        <f>IF(NOT(ISNUMBER($A162)),NA(),IF(OR($A162&lt;MIN(DKW_10Y!$A$2:$A$2918),$A162&gt;MAX(DKW_10Y!$A$2:$A$2918),Settings!$B$16&lt;MIN(DKW_10Y!$A$2:$A$2918)),NA(),(INDEX(DKW_10Y!$D$2:$D$2918,MATCH($A162,DKW_10Y!$A$2:$A$2918,1))-INDEX(DKW_10Y!$D$2:$D$2918,MATCH(Settings!$B$16,DKW_10Y!$A$2:$A$2918,1)))*100))</f>
        <v/>
      </c>
      <c r="AA162" s="19">
        <f>IF(NOT(ISNUMBER($A162)),NA(),IF(OR($A162&lt;MIN(DKW_10Y!$A$2:$A$2918),$A162&gt;MAX(DKW_10Y!$A$2:$A$2918),Settings!$B$16&lt;MIN(DKW_10Y!$A$2:$A$2918)),NA(),(INDEX(DKW_10Y!$E$2:$E$2918,MATCH($A162,DKW_10Y!$A$2:$A$2918,1))-INDEX(DKW_10Y!$E$2:$E$2918,MATCH(Settings!$B$16,DKW_10Y!$A$2:$A$2918,1)))*100))</f>
        <v/>
      </c>
      <c r="AB162" s="19">
        <f>IF(NOT(ISNUMBER($A162)),NA(),IF(OR($A162&lt;MIN(DKW_10Y!$A$2:$A$2918),$A162&gt;MAX(DKW_10Y!$A$2:$A$2918),Settings!$B$16&lt;MIN(DKW_10Y!$A$2:$A$2918)),NA(),(INDEX(DKW_10Y!$H$2:$H$2918,MATCH($A162,DKW_10Y!$A$2:$A$2918,1))-INDEX(DKW_10Y!$H$2:$H$2918,MATCH(Settings!$B$16,DKW_10Y!$A$2:$A$2918,1)))*100))</f>
        <v/>
      </c>
      <c r="AC162" s="18">
        <f>IF(NOT(ISNUMBER($A162)),NA(),IFERROR(1*INDEX(BBG_Data!$N$2:$N$4000,MATCH($A162,BBG_Data!$M$2:$M$4000,0)),NA()))</f>
        <v/>
      </c>
      <c r="AD162" s="18">
        <f>IF(NOT(ISNUMBER($A162)),NA(),IFERROR(1*INDEX(BBG_Data!$P$2:$P$4000,MATCH($A162,BBG_Data!$O$2:$O$4000,0)),NA()))</f>
        <v/>
      </c>
      <c r="AE162" s="18">
        <f>IF(NOT(ISNUMBER($A162)),NA(),IFERROR(1*INDEX(BBG_Data!$R$2:$R$4000,MATCH($A162,BBG_Data!$Q$2:$Q$4000,0)),NA()))</f>
        <v/>
      </c>
      <c r="AF162" s="20">
        <f>IF(AND(ISNUMBER(B162),ISNUMBER(AC162)),(B162-AC162)*100,NA())</f>
        <v/>
      </c>
      <c r="AG162" s="20">
        <f>IF(AND(ISNUMBER(AE162),ISNUMBER(AD162)),(AE162-AD162)*100,NA())</f>
        <v/>
      </c>
      <c r="AH162" s="19">
        <f>IF(NOT(ISNUMBER($A162)),NA(),IFERROR(INDEX(BBG_Data!$T$2:$T$4000,MATCH($A162,BBG_Data!$S$2:$S$4000,0))*Settings!$B$25,NA()))</f>
        <v/>
      </c>
      <c r="AI162" s="19">
        <f>IF(NOT(ISNUMBER($A162)),NA(),IFERROR(INDEX(BBG_Data!$V$2:$V$4000,MATCH($A162,BBG_Data!$U$2:$U$4000,0))*Settings!$B$25,NA()))</f>
        <v/>
      </c>
      <c r="AJ162" s="19">
        <f>IF(NOT(ISNUMBER($A162)),NA(),IFERROR(1*INDEX(BBG_Data!$X$2:$X$4000,MATCH($A162,BBG_Data!$W$2:$W$4000,0)),NA()))</f>
        <v/>
      </c>
      <c r="AK162" s="19">
        <f>IF(NOT(ISNUMBER($A162)),NA(),IFERROR(1*INDEX(BBG_Data!$Z$2:$Z$4000,MATCH($A162,BBG_Data!$Y$2:$Y$4000,0)),NA()))</f>
        <v/>
      </c>
    </row>
    <row r="163">
      <c r="A163" s="17">
        <f>IF(ISNUMBER(BBG_Data!A163),BBG_Data!A163,"")</f>
        <v/>
      </c>
      <c r="B163" s="18">
        <f>IF(AND(ISNUMBER($A163),ISNUMBER(BBG_Data!B163)),BBG_Data!B163,NA())</f>
        <v/>
      </c>
      <c r="C163" s="18">
        <f>IF(NOT(ISNUMBER($A163)),NA(),IFERROR(1*INDEX(BBG_Data!$D$2:$D$4000,MATCH($A163,BBG_Data!$C$2:$C$4000,0)),NA()))</f>
        <v/>
      </c>
      <c r="D163" s="19">
        <f>IF(NOT(ISNUMBER($A163)),NA(),IFERROR(1*INDEX(BBG_Data!$F$2:$F$4000,MATCH($A163,BBG_Data!$E$2:$E$4000,0)),NA()))</f>
        <v/>
      </c>
      <c r="E163" s="19">
        <f>IF(NOT(ISNUMBER($A163)),NA(),IFERROR(1*INDEX(BBG_Data!$H$2:$H$4000,MATCH($A163,BBG_Data!$G$2:$G$4000,0)),NA()))</f>
        <v/>
      </c>
      <c r="F163" s="20">
        <f>IF(AND(ISNUMBER(B163),ISNUMBER(B162)),IF(B163=B162,"",(B163-B162)*100),"")</f>
        <v/>
      </c>
      <c r="G163" s="20">
        <f>IF(AND(ISNUMBER(C163),ISNUMBER(C162)),IF(C163=C162,"",(C163-C162)*100),"")</f>
        <v/>
      </c>
      <c r="H163" s="20">
        <f>IF(OR(NOT(ISNUMBER($A163)),ROW()-2&lt;Settings!$B$11),NA(),IF(COUNT(OFFSET(F163,1-Settings!$B$11,0,Settings!$B$11,1))&lt;ROUNDUP(Settings!$B$11*Settings!$B$26,0),NA(),STDEV(OFFSET(F163,1-Settings!$B$11,0,Settings!$B$11,1))*SQRT(Settings!$B$13)))</f>
        <v/>
      </c>
      <c r="I163" s="20">
        <f>IF(OR(NOT(ISNUMBER($A163)),ROW()-2&lt;Settings!$B$12),NA(),IF(COUNT(OFFSET(F163,1-Settings!$B$12,0,Settings!$B$12,1))&lt;ROUNDUP(Settings!$B$12*Settings!$B$26,0),NA(),STDEV(OFFSET(F163,1-Settings!$B$12,0,Settings!$B$12,1))*SQRT(Settings!$B$13)))</f>
        <v/>
      </c>
      <c r="J163" s="20">
        <f>IF(OR(NOT(ISNUMBER($A163)),ROW()-2&lt;Settings!$B$11),NA(),IF(COUNT(OFFSET(G163,1-Settings!$B$11,0,Settings!$B$11,1))&lt;ROUNDUP(Settings!$B$11*Settings!$B$26,0),NA(),STDEV(OFFSET(G163,1-Settings!$B$11,0,Settings!$B$11,1))*SQRT(Settings!$B$13)))</f>
        <v/>
      </c>
      <c r="K163" s="20">
        <f>IF(OR(NOT(ISNUMBER($A163)),ROW()-2&lt;Settings!$B$12),NA(),IF(COUNT(OFFSET(G163,1-Settings!$B$12,0,Settings!$B$12,1))&lt;ROUNDUP(Settings!$B$12*Settings!$B$26,0),NA(),STDEV(OFFSET(G163,1-Settings!$B$12,0,Settings!$B$12,1))*SQRT(Settings!$B$13)))</f>
        <v/>
      </c>
      <c r="L163" s="20">
        <f>IF(AND(ISNUMBER(D163),ISNUMBER(H163)),D163-H163,NA())</f>
        <v/>
      </c>
      <c r="M163" s="20">
        <f>IF(AND(ISNUMBER(E163),ISNUMBER(K163)),E163-K163,NA())</f>
        <v/>
      </c>
      <c r="N163" s="20">
        <f>IF(NOT(ISNUMBER($A163)),NA(),IF(COUNT(OFFSET(G163,1,0,Settings!$B$12,1))&lt;ROUNDUP(Settings!$B$12*Settings!$B$26,0),NA(),STDEV(OFFSET(G163,1,0,Settings!$B$12,1))*SQRT(Settings!$B$13)))</f>
        <v/>
      </c>
      <c r="O163" s="20">
        <f>IF(AND(ISNUMBER(E163),ISNUMBER(N163)),E163-N163,NA())</f>
        <v/>
      </c>
      <c r="P163" s="19">
        <f>IF(NOT(ISNUMBER($A163)),NA(),IF(OR($A163&lt;MIN(KW_TP!$A$2:$A$2501),$A163&gt;MAX(KW_TP!$A$2:$A$2501)),NA(),INDEX(KW_TP!$C$2:$C$2501,MATCH($A163,KW_TP!$A$2:$A$2501,1))))</f>
        <v/>
      </c>
      <c r="Q163" s="18">
        <f>IF(NOT(ISNUMBER($A163)),NA(),IFERROR(1*INDEX(BBG_Data!$J$2:$J$4000,MATCH($A163,BBG_Data!$I$2:$I$4000,0)),NA()))</f>
        <v/>
      </c>
      <c r="R163" s="18">
        <f>IF(NOT(ISNUMBER($A163)),NA(),IFERROR(1*INDEX(BBG_Data!$L$2:$L$4000,MATCH($A163,BBG_Data!$K$2:$K$4000,0)),NA()))</f>
        <v/>
      </c>
      <c r="S163" s="20">
        <f>IF(AND(ISNUMBER(B163),ISNUMBER(Q163),ISNUMBER(R163)),(B163-Q163-R163)*100,NA())</f>
        <v/>
      </c>
      <c r="T163" s="20">
        <f>IF(AND(ISNUMBER(B163),Settings!$B$17&gt;0),IF(ISNUMBER(INDEX($B:$B,Settings!$B$17)),(B163-INDEX($B:$B,Settings!$B$17))*100,NA()),NA())</f>
        <v/>
      </c>
      <c r="U163" s="20">
        <f>IF(AND(ISNUMBER(Q163),Settings!$B$17&gt;0),IF(ISNUMBER(INDEX($Q:$Q,Settings!$B$17)),(Q163-INDEX($Q:$Q,Settings!$B$17))*100,NA()),NA())</f>
        <v/>
      </c>
      <c r="V163" s="20">
        <f>IF(AND(ISNUMBER(R163),Settings!$B$17&gt;0),IF(ISNUMBER(INDEX($R:$R,Settings!$B$17)),(R163-INDEX($R:$R,Settings!$B$17))*100,NA()),NA())</f>
        <v/>
      </c>
      <c r="W163" s="20">
        <f>IF(AND(ISNUMBER(P163),Settings!$B$17&gt;0),IF(ISNUMBER(INDEX($P:$P,Settings!$B$17)),P163-INDEX($P:$P,Settings!$B$17),NA()),NA())</f>
        <v/>
      </c>
      <c r="X163" s="19">
        <f>IF(NOT(ISNUMBER($A163)),NA(),IF(OR($A163&lt;MIN(DKW_10Y!$A$2:$A$2918),$A163&gt;MAX(DKW_10Y!$A$2:$A$2918),Settings!$B$16&lt;MIN(DKW_10Y!$A$2:$A$2918)),NA(),(INDEX(DKW_10Y!$B$2:$B$2918,MATCH($A163,DKW_10Y!$A$2:$A$2918,1))-INDEX(DKW_10Y!$B$2:$B$2918,MATCH(Settings!$B$16,DKW_10Y!$A$2:$A$2918,1)))*100))</f>
        <v/>
      </c>
      <c r="Y163" s="19">
        <f>IF(NOT(ISNUMBER($A163)),NA(),IF(OR($A163&lt;MIN(DKW_10Y!$A$2:$A$2918),$A163&gt;MAX(DKW_10Y!$A$2:$A$2918),Settings!$B$16&lt;MIN(DKW_10Y!$A$2:$A$2918)),NA(),(INDEX(DKW_10Y!$C$2:$C$2918,MATCH($A163,DKW_10Y!$A$2:$A$2918,1))-INDEX(DKW_10Y!$C$2:$C$2918,MATCH(Settings!$B$16,DKW_10Y!$A$2:$A$2918,1)))*100))</f>
        <v/>
      </c>
      <c r="Z163" s="19">
        <f>IF(NOT(ISNUMBER($A163)),NA(),IF(OR($A163&lt;MIN(DKW_10Y!$A$2:$A$2918),$A163&gt;MAX(DKW_10Y!$A$2:$A$2918),Settings!$B$16&lt;MIN(DKW_10Y!$A$2:$A$2918)),NA(),(INDEX(DKW_10Y!$D$2:$D$2918,MATCH($A163,DKW_10Y!$A$2:$A$2918,1))-INDEX(DKW_10Y!$D$2:$D$2918,MATCH(Settings!$B$16,DKW_10Y!$A$2:$A$2918,1)))*100))</f>
        <v/>
      </c>
      <c r="AA163" s="19">
        <f>IF(NOT(ISNUMBER($A163)),NA(),IF(OR($A163&lt;MIN(DKW_10Y!$A$2:$A$2918),$A163&gt;MAX(DKW_10Y!$A$2:$A$2918),Settings!$B$16&lt;MIN(DKW_10Y!$A$2:$A$2918)),NA(),(INDEX(DKW_10Y!$E$2:$E$2918,MATCH($A163,DKW_10Y!$A$2:$A$2918,1))-INDEX(DKW_10Y!$E$2:$E$2918,MATCH(Settings!$B$16,DKW_10Y!$A$2:$A$2918,1)))*100))</f>
        <v/>
      </c>
      <c r="AB163" s="19">
        <f>IF(NOT(ISNUMBER($A163)),NA(),IF(OR($A163&lt;MIN(DKW_10Y!$A$2:$A$2918),$A163&gt;MAX(DKW_10Y!$A$2:$A$2918),Settings!$B$16&lt;MIN(DKW_10Y!$A$2:$A$2918)),NA(),(INDEX(DKW_10Y!$H$2:$H$2918,MATCH($A163,DKW_10Y!$A$2:$A$2918,1))-INDEX(DKW_10Y!$H$2:$H$2918,MATCH(Settings!$B$16,DKW_10Y!$A$2:$A$2918,1)))*100))</f>
        <v/>
      </c>
      <c r="AC163" s="18">
        <f>IF(NOT(ISNUMBER($A163)),NA(),IFERROR(1*INDEX(BBG_Data!$N$2:$N$4000,MATCH($A163,BBG_Data!$M$2:$M$4000,0)),NA()))</f>
        <v/>
      </c>
      <c r="AD163" s="18">
        <f>IF(NOT(ISNUMBER($A163)),NA(),IFERROR(1*INDEX(BBG_Data!$P$2:$P$4000,MATCH($A163,BBG_Data!$O$2:$O$4000,0)),NA()))</f>
        <v/>
      </c>
      <c r="AE163" s="18">
        <f>IF(NOT(ISNUMBER($A163)),NA(),IFERROR(1*INDEX(BBG_Data!$R$2:$R$4000,MATCH($A163,BBG_Data!$Q$2:$Q$4000,0)),NA()))</f>
        <v/>
      </c>
      <c r="AF163" s="20">
        <f>IF(AND(ISNUMBER(B163),ISNUMBER(AC163)),(B163-AC163)*100,NA())</f>
        <v/>
      </c>
      <c r="AG163" s="20">
        <f>IF(AND(ISNUMBER(AE163),ISNUMBER(AD163)),(AE163-AD163)*100,NA())</f>
        <v/>
      </c>
      <c r="AH163" s="19">
        <f>IF(NOT(ISNUMBER($A163)),NA(),IFERROR(INDEX(BBG_Data!$T$2:$T$4000,MATCH($A163,BBG_Data!$S$2:$S$4000,0))*Settings!$B$25,NA()))</f>
        <v/>
      </c>
      <c r="AI163" s="19">
        <f>IF(NOT(ISNUMBER($A163)),NA(),IFERROR(INDEX(BBG_Data!$V$2:$V$4000,MATCH($A163,BBG_Data!$U$2:$U$4000,0))*Settings!$B$25,NA()))</f>
        <v/>
      </c>
      <c r="AJ163" s="19">
        <f>IF(NOT(ISNUMBER($A163)),NA(),IFERROR(1*INDEX(BBG_Data!$X$2:$X$4000,MATCH($A163,BBG_Data!$W$2:$W$4000,0)),NA()))</f>
        <v/>
      </c>
      <c r="AK163" s="19">
        <f>IF(NOT(ISNUMBER($A163)),NA(),IFERROR(1*INDEX(BBG_Data!$Z$2:$Z$4000,MATCH($A163,BBG_Data!$Y$2:$Y$4000,0)),NA()))</f>
        <v/>
      </c>
    </row>
    <row r="164">
      <c r="A164" s="17">
        <f>IF(ISNUMBER(BBG_Data!A164),BBG_Data!A164,"")</f>
        <v/>
      </c>
      <c r="B164" s="18">
        <f>IF(AND(ISNUMBER($A164),ISNUMBER(BBG_Data!B164)),BBG_Data!B164,NA())</f>
        <v/>
      </c>
      <c r="C164" s="18">
        <f>IF(NOT(ISNUMBER($A164)),NA(),IFERROR(1*INDEX(BBG_Data!$D$2:$D$4000,MATCH($A164,BBG_Data!$C$2:$C$4000,0)),NA()))</f>
        <v/>
      </c>
      <c r="D164" s="19">
        <f>IF(NOT(ISNUMBER($A164)),NA(),IFERROR(1*INDEX(BBG_Data!$F$2:$F$4000,MATCH($A164,BBG_Data!$E$2:$E$4000,0)),NA()))</f>
        <v/>
      </c>
      <c r="E164" s="19">
        <f>IF(NOT(ISNUMBER($A164)),NA(),IFERROR(1*INDEX(BBG_Data!$H$2:$H$4000,MATCH($A164,BBG_Data!$G$2:$G$4000,0)),NA()))</f>
        <v/>
      </c>
      <c r="F164" s="20">
        <f>IF(AND(ISNUMBER(B164),ISNUMBER(B163)),IF(B164=B163,"",(B164-B163)*100),"")</f>
        <v/>
      </c>
      <c r="G164" s="20">
        <f>IF(AND(ISNUMBER(C164),ISNUMBER(C163)),IF(C164=C163,"",(C164-C163)*100),"")</f>
        <v/>
      </c>
      <c r="H164" s="20">
        <f>IF(OR(NOT(ISNUMBER($A164)),ROW()-2&lt;Settings!$B$11),NA(),IF(COUNT(OFFSET(F164,1-Settings!$B$11,0,Settings!$B$11,1))&lt;ROUNDUP(Settings!$B$11*Settings!$B$26,0),NA(),STDEV(OFFSET(F164,1-Settings!$B$11,0,Settings!$B$11,1))*SQRT(Settings!$B$13)))</f>
        <v/>
      </c>
      <c r="I164" s="20">
        <f>IF(OR(NOT(ISNUMBER($A164)),ROW()-2&lt;Settings!$B$12),NA(),IF(COUNT(OFFSET(F164,1-Settings!$B$12,0,Settings!$B$12,1))&lt;ROUNDUP(Settings!$B$12*Settings!$B$26,0),NA(),STDEV(OFFSET(F164,1-Settings!$B$12,0,Settings!$B$12,1))*SQRT(Settings!$B$13)))</f>
        <v/>
      </c>
      <c r="J164" s="20">
        <f>IF(OR(NOT(ISNUMBER($A164)),ROW()-2&lt;Settings!$B$11),NA(),IF(COUNT(OFFSET(G164,1-Settings!$B$11,0,Settings!$B$11,1))&lt;ROUNDUP(Settings!$B$11*Settings!$B$26,0),NA(),STDEV(OFFSET(G164,1-Settings!$B$11,0,Settings!$B$11,1))*SQRT(Settings!$B$13)))</f>
        <v/>
      </c>
      <c r="K164" s="20">
        <f>IF(OR(NOT(ISNUMBER($A164)),ROW()-2&lt;Settings!$B$12),NA(),IF(COUNT(OFFSET(G164,1-Settings!$B$12,0,Settings!$B$12,1))&lt;ROUNDUP(Settings!$B$12*Settings!$B$26,0),NA(),STDEV(OFFSET(G164,1-Settings!$B$12,0,Settings!$B$12,1))*SQRT(Settings!$B$13)))</f>
        <v/>
      </c>
      <c r="L164" s="20">
        <f>IF(AND(ISNUMBER(D164),ISNUMBER(H164)),D164-H164,NA())</f>
        <v/>
      </c>
      <c r="M164" s="20">
        <f>IF(AND(ISNUMBER(E164),ISNUMBER(K164)),E164-K164,NA())</f>
        <v/>
      </c>
      <c r="N164" s="20">
        <f>IF(NOT(ISNUMBER($A164)),NA(),IF(COUNT(OFFSET(G164,1,0,Settings!$B$12,1))&lt;ROUNDUP(Settings!$B$12*Settings!$B$26,0),NA(),STDEV(OFFSET(G164,1,0,Settings!$B$12,1))*SQRT(Settings!$B$13)))</f>
        <v/>
      </c>
      <c r="O164" s="20">
        <f>IF(AND(ISNUMBER(E164),ISNUMBER(N164)),E164-N164,NA())</f>
        <v/>
      </c>
      <c r="P164" s="19">
        <f>IF(NOT(ISNUMBER($A164)),NA(),IF(OR($A164&lt;MIN(KW_TP!$A$2:$A$2501),$A164&gt;MAX(KW_TP!$A$2:$A$2501)),NA(),INDEX(KW_TP!$C$2:$C$2501,MATCH($A164,KW_TP!$A$2:$A$2501,1))))</f>
        <v/>
      </c>
      <c r="Q164" s="18">
        <f>IF(NOT(ISNUMBER($A164)),NA(),IFERROR(1*INDEX(BBG_Data!$J$2:$J$4000,MATCH($A164,BBG_Data!$I$2:$I$4000,0)),NA()))</f>
        <v/>
      </c>
      <c r="R164" s="18">
        <f>IF(NOT(ISNUMBER($A164)),NA(),IFERROR(1*INDEX(BBG_Data!$L$2:$L$4000,MATCH($A164,BBG_Data!$K$2:$K$4000,0)),NA()))</f>
        <v/>
      </c>
      <c r="S164" s="20">
        <f>IF(AND(ISNUMBER(B164),ISNUMBER(Q164),ISNUMBER(R164)),(B164-Q164-R164)*100,NA())</f>
        <v/>
      </c>
      <c r="T164" s="20">
        <f>IF(AND(ISNUMBER(B164),Settings!$B$17&gt;0),IF(ISNUMBER(INDEX($B:$B,Settings!$B$17)),(B164-INDEX($B:$B,Settings!$B$17))*100,NA()),NA())</f>
        <v/>
      </c>
      <c r="U164" s="20">
        <f>IF(AND(ISNUMBER(Q164),Settings!$B$17&gt;0),IF(ISNUMBER(INDEX($Q:$Q,Settings!$B$17)),(Q164-INDEX($Q:$Q,Settings!$B$17))*100,NA()),NA())</f>
        <v/>
      </c>
      <c r="V164" s="20">
        <f>IF(AND(ISNUMBER(R164),Settings!$B$17&gt;0),IF(ISNUMBER(INDEX($R:$R,Settings!$B$17)),(R164-INDEX($R:$R,Settings!$B$17))*100,NA()),NA())</f>
        <v/>
      </c>
      <c r="W164" s="20">
        <f>IF(AND(ISNUMBER(P164),Settings!$B$17&gt;0),IF(ISNUMBER(INDEX($P:$P,Settings!$B$17)),P164-INDEX($P:$P,Settings!$B$17),NA()),NA())</f>
        <v/>
      </c>
      <c r="X164" s="19">
        <f>IF(NOT(ISNUMBER($A164)),NA(),IF(OR($A164&lt;MIN(DKW_10Y!$A$2:$A$2918),$A164&gt;MAX(DKW_10Y!$A$2:$A$2918),Settings!$B$16&lt;MIN(DKW_10Y!$A$2:$A$2918)),NA(),(INDEX(DKW_10Y!$B$2:$B$2918,MATCH($A164,DKW_10Y!$A$2:$A$2918,1))-INDEX(DKW_10Y!$B$2:$B$2918,MATCH(Settings!$B$16,DKW_10Y!$A$2:$A$2918,1)))*100))</f>
        <v/>
      </c>
      <c r="Y164" s="19">
        <f>IF(NOT(ISNUMBER($A164)),NA(),IF(OR($A164&lt;MIN(DKW_10Y!$A$2:$A$2918),$A164&gt;MAX(DKW_10Y!$A$2:$A$2918),Settings!$B$16&lt;MIN(DKW_10Y!$A$2:$A$2918)),NA(),(INDEX(DKW_10Y!$C$2:$C$2918,MATCH($A164,DKW_10Y!$A$2:$A$2918,1))-INDEX(DKW_10Y!$C$2:$C$2918,MATCH(Settings!$B$16,DKW_10Y!$A$2:$A$2918,1)))*100))</f>
        <v/>
      </c>
      <c r="Z164" s="19">
        <f>IF(NOT(ISNUMBER($A164)),NA(),IF(OR($A164&lt;MIN(DKW_10Y!$A$2:$A$2918),$A164&gt;MAX(DKW_10Y!$A$2:$A$2918),Settings!$B$16&lt;MIN(DKW_10Y!$A$2:$A$2918)),NA(),(INDEX(DKW_10Y!$D$2:$D$2918,MATCH($A164,DKW_10Y!$A$2:$A$2918,1))-INDEX(DKW_10Y!$D$2:$D$2918,MATCH(Settings!$B$16,DKW_10Y!$A$2:$A$2918,1)))*100))</f>
        <v/>
      </c>
      <c r="AA164" s="19">
        <f>IF(NOT(ISNUMBER($A164)),NA(),IF(OR($A164&lt;MIN(DKW_10Y!$A$2:$A$2918),$A164&gt;MAX(DKW_10Y!$A$2:$A$2918),Settings!$B$16&lt;MIN(DKW_10Y!$A$2:$A$2918)),NA(),(INDEX(DKW_10Y!$E$2:$E$2918,MATCH($A164,DKW_10Y!$A$2:$A$2918,1))-INDEX(DKW_10Y!$E$2:$E$2918,MATCH(Settings!$B$16,DKW_10Y!$A$2:$A$2918,1)))*100))</f>
        <v/>
      </c>
      <c r="AB164" s="19">
        <f>IF(NOT(ISNUMBER($A164)),NA(),IF(OR($A164&lt;MIN(DKW_10Y!$A$2:$A$2918),$A164&gt;MAX(DKW_10Y!$A$2:$A$2918),Settings!$B$16&lt;MIN(DKW_10Y!$A$2:$A$2918)),NA(),(INDEX(DKW_10Y!$H$2:$H$2918,MATCH($A164,DKW_10Y!$A$2:$A$2918,1))-INDEX(DKW_10Y!$H$2:$H$2918,MATCH(Settings!$B$16,DKW_10Y!$A$2:$A$2918,1)))*100))</f>
        <v/>
      </c>
      <c r="AC164" s="18">
        <f>IF(NOT(ISNUMBER($A164)),NA(),IFERROR(1*INDEX(BBG_Data!$N$2:$N$4000,MATCH($A164,BBG_Data!$M$2:$M$4000,0)),NA()))</f>
        <v/>
      </c>
      <c r="AD164" s="18">
        <f>IF(NOT(ISNUMBER($A164)),NA(),IFERROR(1*INDEX(BBG_Data!$P$2:$P$4000,MATCH($A164,BBG_Data!$O$2:$O$4000,0)),NA()))</f>
        <v/>
      </c>
      <c r="AE164" s="18">
        <f>IF(NOT(ISNUMBER($A164)),NA(),IFERROR(1*INDEX(BBG_Data!$R$2:$R$4000,MATCH($A164,BBG_Data!$Q$2:$Q$4000,0)),NA()))</f>
        <v/>
      </c>
      <c r="AF164" s="20">
        <f>IF(AND(ISNUMBER(B164),ISNUMBER(AC164)),(B164-AC164)*100,NA())</f>
        <v/>
      </c>
      <c r="AG164" s="20">
        <f>IF(AND(ISNUMBER(AE164),ISNUMBER(AD164)),(AE164-AD164)*100,NA())</f>
        <v/>
      </c>
      <c r="AH164" s="19">
        <f>IF(NOT(ISNUMBER($A164)),NA(),IFERROR(INDEX(BBG_Data!$T$2:$T$4000,MATCH($A164,BBG_Data!$S$2:$S$4000,0))*Settings!$B$25,NA()))</f>
        <v/>
      </c>
      <c r="AI164" s="19">
        <f>IF(NOT(ISNUMBER($A164)),NA(),IFERROR(INDEX(BBG_Data!$V$2:$V$4000,MATCH($A164,BBG_Data!$U$2:$U$4000,0))*Settings!$B$25,NA()))</f>
        <v/>
      </c>
      <c r="AJ164" s="19">
        <f>IF(NOT(ISNUMBER($A164)),NA(),IFERROR(1*INDEX(BBG_Data!$X$2:$X$4000,MATCH($A164,BBG_Data!$W$2:$W$4000,0)),NA()))</f>
        <v/>
      </c>
      <c r="AK164" s="19">
        <f>IF(NOT(ISNUMBER($A164)),NA(),IFERROR(1*INDEX(BBG_Data!$Z$2:$Z$4000,MATCH($A164,BBG_Data!$Y$2:$Y$4000,0)),NA()))</f>
        <v/>
      </c>
    </row>
    <row r="165">
      <c r="A165" s="17">
        <f>IF(ISNUMBER(BBG_Data!A165),BBG_Data!A165,"")</f>
        <v/>
      </c>
      <c r="B165" s="18">
        <f>IF(AND(ISNUMBER($A165),ISNUMBER(BBG_Data!B165)),BBG_Data!B165,NA())</f>
        <v/>
      </c>
      <c r="C165" s="18">
        <f>IF(NOT(ISNUMBER($A165)),NA(),IFERROR(1*INDEX(BBG_Data!$D$2:$D$4000,MATCH($A165,BBG_Data!$C$2:$C$4000,0)),NA()))</f>
        <v/>
      </c>
      <c r="D165" s="19">
        <f>IF(NOT(ISNUMBER($A165)),NA(),IFERROR(1*INDEX(BBG_Data!$F$2:$F$4000,MATCH($A165,BBG_Data!$E$2:$E$4000,0)),NA()))</f>
        <v/>
      </c>
      <c r="E165" s="19">
        <f>IF(NOT(ISNUMBER($A165)),NA(),IFERROR(1*INDEX(BBG_Data!$H$2:$H$4000,MATCH($A165,BBG_Data!$G$2:$G$4000,0)),NA()))</f>
        <v/>
      </c>
      <c r="F165" s="20">
        <f>IF(AND(ISNUMBER(B165),ISNUMBER(B164)),IF(B165=B164,"",(B165-B164)*100),"")</f>
        <v/>
      </c>
      <c r="G165" s="20">
        <f>IF(AND(ISNUMBER(C165),ISNUMBER(C164)),IF(C165=C164,"",(C165-C164)*100),"")</f>
        <v/>
      </c>
      <c r="H165" s="20">
        <f>IF(OR(NOT(ISNUMBER($A165)),ROW()-2&lt;Settings!$B$11),NA(),IF(COUNT(OFFSET(F165,1-Settings!$B$11,0,Settings!$B$11,1))&lt;ROUNDUP(Settings!$B$11*Settings!$B$26,0),NA(),STDEV(OFFSET(F165,1-Settings!$B$11,0,Settings!$B$11,1))*SQRT(Settings!$B$13)))</f>
        <v/>
      </c>
      <c r="I165" s="20">
        <f>IF(OR(NOT(ISNUMBER($A165)),ROW()-2&lt;Settings!$B$12),NA(),IF(COUNT(OFFSET(F165,1-Settings!$B$12,0,Settings!$B$12,1))&lt;ROUNDUP(Settings!$B$12*Settings!$B$26,0),NA(),STDEV(OFFSET(F165,1-Settings!$B$12,0,Settings!$B$12,1))*SQRT(Settings!$B$13)))</f>
        <v/>
      </c>
      <c r="J165" s="20">
        <f>IF(OR(NOT(ISNUMBER($A165)),ROW()-2&lt;Settings!$B$11),NA(),IF(COUNT(OFFSET(G165,1-Settings!$B$11,0,Settings!$B$11,1))&lt;ROUNDUP(Settings!$B$11*Settings!$B$26,0),NA(),STDEV(OFFSET(G165,1-Settings!$B$11,0,Settings!$B$11,1))*SQRT(Settings!$B$13)))</f>
        <v/>
      </c>
      <c r="K165" s="20">
        <f>IF(OR(NOT(ISNUMBER($A165)),ROW()-2&lt;Settings!$B$12),NA(),IF(COUNT(OFFSET(G165,1-Settings!$B$12,0,Settings!$B$12,1))&lt;ROUNDUP(Settings!$B$12*Settings!$B$26,0),NA(),STDEV(OFFSET(G165,1-Settings!$B$12,0,Settings!$B$12,1))*SQRT(Settings!$B$13)))</f>
        <v/>
      </c>
      <c r="L165" s="20">
        <f>IF(AND(ISNUMBER(D165),ISNUMBER(H165)),D165-H165,NA())</f>
        <v/>
      </c>
      <c r="M165" s="20">
        <f>IF(AND(ISNUMBER(E165),ISNUMBER(K165)),E165-K165,NA())</f>
        <v/>
      </c>
      <c r="N165" s="20">
        <f>IF(NOT(ISNUMBER($A165)),NA(),IF(COUNT(OFFSET(G165,1,0,Settings!$B$12,1))&lt;ROUNDUP(Settings!$B$12*Settings!$B$26,0),NA(),STDEV(OFFSET(G165,1,0,Settings!$B$12,1))*SQRT(Settings!$B$13)))</f>
        <v/>
      </c>
      <c r="O165" s="20">
        <f>IF(AND(ISNUMBER(E165),ISNUMBER(N165)),E165-N165,NA())</f>
        <v/>
      </c>
      <c r="P165" s="19">
        <f>IF(NOT(ISNUMBER($A165)),NA(),IF(OR($A165&lt;MIN(KW_TP!$A$2:$A$2501),$A165&gt;MAX(KW_TP!$A$2:$A$2501)),NA(),INDEX(KW_TP!$C$2:$C$2501,MATCH($A165,KW_TP!$A$2:$A$2501,1))))</f>
        <v/>
      </c>
      <c r="Q165" s="18">
        <f>IF(NOT(ISNUMBER($A165)),NA(),IFERROR(1*INDEX(BBG_Data!$J$2:$J$4000,MATCH($A165,BBG_Data!$I$2:$I$4000,0)),NA()))</f>
        <v/>
      </c>
      <c r="R165" s="18">
        <f>IF(NOT(ISNUMBER($A165)),NA(),IFERROR(1*INDEX(BBG_Data!$L$2:$L$4000,MATCH($A165,BBG_Data!$K$2:$K$4000,0)),NA()))</f>
        <v/>
      </c>
      <c r="S165" s="20">
        <f>IF(AND(ISNUMBER(B165),ISNUMBER(Q165),ISNUMBER(R165)),(B165-Q165-R165)*100,NA())</f>
        <v/>
      </c>
      <c r="T165" s="20">
        <f>IF(AND(ISNUMBER(B165),Settings!$B$17&gt;0),IF(ISNUMBER(INDEX($B:$B,Settings!$B$17)),(B165-INDEX($B:$B,Settings!$B$17))*100,NA()),NA())</f>
        <v/>
      </c>
      <c r="U165" s="20">
        <f>IF(AND(ISNUMBER(Q165),Settings!$B$17&gt;0),IF(ISNUMBER(INDEX($Q:$Q,Settings!$B$17)),(Q165-INDEX($Q:$Q,Settings!$B$17))*100,NA()),NA())</f>
        <v/>
      </c>
      <c r="V165" s="20">
        <f>IF(AND(ISNUMBER(R165),Settings!$B$17&gt;0),IF(ISNUMBER(INDEX($R:$R,Settings!$B$17)),(R165-INDEX($R:$R,Settings!$B$17))*100,NA()),NA())</f>
        <v/>
      </c>
      <c r="W165" s="20">
        <f>IF(AND(ISNUMBER(P165),Settings!$B$17&gt;0),IF(ISNUMBER(INDEX($P:$P,Settings!$B$17)),P165-INDEX($P:$P,Settings!$B$17),NA()),NA())</f>
        <v/>
      </c>
      <c r="X165" s="19">
        <f>IF(NOT(ISNUMBER($A165)),NA(),IF(OR($A165&lt;MIN(DKW_10Y!$A$2:$A$2918),$A165&gt;MAX(DKW_10Y!$A$2:$A$2918),Settings!$B$16&lt;MIN(DKW_10Y!$A$2:$A$2918)),NA(),(INDEX(DKW_10Y!$B$2:$B$2918,MATCH($A165,DKW_10Y!$A$2:$A$2918,1))-INDEX(DKW_10Y!$B$2:$B$2918,MATCH(Settings!$B$16,DKW_10Y!$A$2:$A$2918,1)))*100))</f>
        <v/>
      </c>
      <c r="Y165" s="19">
        <f>IF(NOT(ISNUMBER($A165)),NA(),IF(OR($A165&lt;MIN(DKW_10Y!$A$2:$A$2918),$A165&gt;MAX(DKW_10Y!$A$2:$A$2918),Settings!$B$16&lt;MIN(DKW_10Y!$A$2:$A$2918)),NA(),(INDEX(DKW_10Y!$C$2:$C$2918,MATCH($A165,DKW_10Y!$A$2:$A$2918,1))-INDEX(DKW_10Y!$C$2:$C$2918,MATCH(Settings!$B$16,DKW_10Y!$A$2:$A$2918,1)))*100))</f>
        <v/>
      </c>
      <c r="Z165" s="19">
        <f>IF(NOT(ISNUMBER($A165)),NA(),IF(OR($A165&lt;MIN(DKW_10Y!$A$2:$A$2918),$A165&gt;MAX(DKW_10Y!$A$2:$A$2918),Settings!$B$16&lt;MIN(DKW_10Y!$A$2:$A$2918)),NA(),(INDEX(DKW_10Y!$D$2:$D$2918,MATCH($A165,DKW_10Y!$A$2:$A$2918,1))-INDEX(DKW_10Y!$D$2:$D$2918,MATCH(Settings!$B$16,DKW_10Y!$A$2:$A$2918,1)))*100))</f>
        <v/>
      </c>
      <c r="AA165" s="19">
        <f>IF(NOT(ISNUMBER($A165)),NA(),IF(OR($A165&lt;MIN(DKW_10Y!$A$2:$A$2918),$A165&gt;MAX(DKW_10Y!$A$2:$A$2918),Settings!$B$16&lt;MIN(DKW_10Y!$A$2:$A$2918)),NA(),(INDEX(DKW_10Y!$E$2:$E$2918,MATCH($A165,DKW_10Y!$A$2:$A$2918,1))-INDEX(DKW_10Y!$E$2:$E$2918,MATCH(Settings!$B$16,DKW_10Y!$A$2:$A$2918,1)))*100))</f>
        <v/>
      </c>
      <c r="AB165" s="19">
        <f>IF(NOT(ISNUMBER($A165)),NA(),IF(OR($A165&lt;MIN(DKW_10Y!$A$2:$A$2918),$A165&gt;MAX(DKW_10Y!$A$2:$A$2918),Settings!$B$16&lt;MIN(DKW_10Y!$A$2:$A$2918)),NA(),(INDEX(DKW_10Y!$H$2:$H$2918,MATCH($A165,DKW_10Y!$A$2:$A$2918,1))-INDEX(DKW_10Y!$H$2:$H$2918,MATCH(Settings!$B$16,DKW_10Y!$A$2:$A$2918,1)))*100))</f>
        <v/>
      </c>
      <c r="AC165" s="18">
        <f>IF(NOT(ISNUMBER($A165)),NA(),IFERROR(1*INDEX(BBG_Data!$N$2:$N$4000,MATCH($A165,BBG_Data!$M$2:$M$4000,0)),NA()))</f>
        <v/>
      </c>
      <c r="AD165" s="18">
        <f>IF(NOT(ISNUMBER($A165)),NA(),IFERROR(1*INDEX(BBG_Data!$P$2:$P$4000,MATCH($A165,BBG_Data!$O$2:$O$4000,0)),NA()))</f>
        <v/>
      </c>
      <c r="AE165" s="18">
        <f>IF(NOT(ISNUMBER($A165)),NA(),IFERROR(1*INDEX(BBG_Data!$R$2:$R$4000,MATCH($A165,BBG_Data!$Q$2:$Q$4000,0)),NA()))</f>
        <v/>
      </c>
      <c r="AF165" s="20">
        <f>IF(AND(ISNUMBER(B165),ISNUMBER(AC165)),(B165-AC165)*100,NA())</f>
        <v/>
      </c>
      <c r="AG165" s="20">
        <f>IF(AND(ISNUMBER(AE165),ISNUMBER(AD165)),(AE165-AD165)*100,NA())</f>
        <v/>
      </c>
      <c r="AH165" s="19">
        <f>IF(NOT(ISNUMBER($A165)),NA(),IFERROR(INDEX(BBG_Data!$T$2:$T$4000,MATCH($A165,BBG_Data!$S$2:$S$4000,0))*Settings!$B$25,NA()))</f>
        <v/>
      </c>
      <c r="AI165" s="19">
        <f>IF(NOT(ISNUMBER($A165)),NA(),IFERROR(INDEX(BBG_Data!$V$2:$V$4000,MATCH($A165,BBG_Data!$U$2:$U$4000,0))*Settings!$B$25,NA()))</f>
        <v/>
      </c>
      <c r="AJ165" s="19">
        <f>IF(NOT(ISNUMBER($A165)),NA(),IFERROR(1*INDEX(BBG_Data!$X$2:$X$4000,MATCH($A165,BBG_Data!$W$2:$W$4000,0)),NA()))</f>
        <v/>
      </c>
      <c r="AK165" s="19">
        <f>IF(NOT(ISNUMBER($A165)),NA(),IFERROR(1*INDEX(BBG_Data!$Z$2:$Z$4000,MATCH($A165,BBG_Data!$Y$2:$Y$4000,0)),NA()))</f>
        <v/>
      </c>
    </row>
    <row r="166">
      <c r="A166" s="17">
        <f>IF(ISNUMBER(BBG_Data!A166),BBG_Data!A166,"")</f>
        <v/>
      </c>
      <c r="B166" s="18">
        <f>IF(AND(ISNUMBER($A166),ISNUMBER(BBG_Data!B166)),BBG_Data!B166,NA())</f>
        <v/>
      </c>
      <c r="C166" s="18">
        <f>IF(NOT(ISNUMBER($A166)),NA(),IFERROR(1*INDEX(BBG_Data!$D$2:$D$4000,MATCH($A166,BBG_Data!$C$2:$C$4000,0)),NA()))</f>
        <v/>
      </c>
      <c r="D166" s="19">
        <f>IF(NOT(ISNUMBER($A166)),NA(),IFERROR(1*INDEX(BBG_Data!$F$2:$F$4000,MATCH($A166,BBG_Data!$E$2:$E$4000,0)),NA()))</f>
        <v/>
      </c>
      <c r="E166" s="19">
        <f>IF(NOT(ISNUMBER($A166)),NA(),IFERROR(1*INDEX(BBG_Data!$H$2:$H$4000,MATCH($A166,BBG_Data!$G$2:$G$4000,0)),NA()))</f>
        <v/>
      </c>
      <c r="F166" s="20">
        <f>IF(AND(ISNUMBER(B166),ISNUMBER(B165)),IF(B166=B165,"",(B166-B165)*100),"")</f>
        <v/>
      </c>
      <c r="G166" s="20">
        <f>IF(AND(ISNUMBER(C166),ISNUMBER(C165)),IF(C166=C165,"",(C166-C165)*100),"")</f>
        <v/>
      </c>
      <c r="H166" s="20">
        <f>IF(OR(NOT(ISNUMBER($A166)),ROW()-2&lt;Settings!$B$11),NA(),IF(COUNT(OFFSET(F166,1-Settings!$B$11,0,Settings!$B$11,1))&lt;ROUNDUP(Settings!$B$11*Settings!$B$26,0),NA(),STDEV(OFFSET(F166,1-Settings!$B$11,0,Settings!$B$11,1))*SQRT(Settings!$B$13)))</f>
        <v/>
      </c>
      <c r="I166" s="20">
        <f>IF(OR(NOT(ISNUMBER($A166)),ROW()-2&lt;Settings!$B$12),NA(),IF(COUNT(OFFSET(F166,1-Settings!$B$12,0,Settings!$B$12,1))&lt;ROUNDUP(Settings!$B$12*Settings!$B$26,0),NA(),STDEV(OFFSET(F166,1-Settings!$B$12,0,Settings!$B$12,1))*SQRT(Settings!$B$13)))</f>
        <v/>
      </c>
      <c r="J166" s="20">
        <f>IF(OR(NOT(ISNUMBER($A166)),ROW()-2&lt;Settings!$B$11),NA(),IF(COUNT(OFFSET(G166,1-Settings!$B$11,0,Settings!$B$11,1))&lt;ROUNDUP(Settings!$B$11*Settings!$B$26,0),NA(),STDEV(OFFSET(G166,1-Settings!$B$11,0,Settings!$B$11,1))*SQRT(Settings!$B$13)))</f>
        <v/>
      </c>
      <c r="K166" s="20">
        <f>IF(OR(NOT(ISNUMBER($A166)),ROW()-2&lt;Settings!$B$12),NA(),IF(COUNT(OFFSET(G166,1-Settings!$B$12,0,Settings!$B$12,1))&lt;ROUNDUP(Settings!$B$12*Settings!$B$26,0),NA(),STDEV(OFFSET(G166,1-Settings!$B$12,0,Settings!$B$12,1))*SQRT(Settings!$B$13)))</f>
        <v/>
      </c>
      <c r="L166" s="20">
        <f>IF(AND(ISNUMBER(D166),ISNUMBER(H166)),D166-H166,NA())</f>
        <v/>
      </c>
      <c r="M166" s="20">
        <f>IF(AND(ISNUMBER(E166),ISNUMBER(K166)),E166-K166,NA())</f>
        <v/>
      </c>
      <c r="N166" s="20">
        <f>IF(NOT(ISNUMBER($A166)),NA(),IF(COUNT(OFFSET(G166,1,0,Settings!$B$12,1))&lt;ROUNDUP(Settings!$B$12*Settings!$B$26,0),NA(),STDEV(OFFSET(G166,1,0,Settings!$B$12,1))*SQRT(Settings!$B$13)))</f>
        <v/>
      </c>
      <c r="O166" s="20">
        <f>IF(AND(ISNUMBER(E166),ISNUMBER(N166)),E166-N166,NA())</f>
        <v/>
      </c>
      <c r="P166" s="19">
        <f>IF(NOT(ISNUMBER($A166)),NA(),IF(OR($A166&lt;MIN(KW_TP!$A$2:$A$2501),$A166&gt;MAX(KW_TP!$A$2:$A$2501)),NA(),INDEX(KW_TP!$C$2:$C$2501,MATCH($A166,KW_TP!$A$2:$A$2501,1))))</f>
        <v/>
      </c>
      <c r="Q166" s="18">
        <f>IF(NOT(ISNUMBER($A166)),NA(),IFERROR(1*INDEX(BBG_Data!$J$2:$J$4000,MATCH($A166,BBG_Data!$I$2:$I$4000,0)),NA()))</f>
        <v/>
      </c>
      <c r="R166" s="18">
        <f>IF(NOT(ISNUMBER($A166)),NA(),IFERROR(1*INDEX(BBG_Data!$L$2:$L$4000,MATCH($A166,BBG_Data!$K$2:$K$4000,0)),NA()))</f>
        <v/>
      </c>
      <c r="S166" s="20">
        <f>IF(AND(ISNUMBER(B166),ISNUMBER(Q166),ISNUMBER(R166)),(B166-Q166-R166)*100,NA())</f>
        <v/>
      </c>
      <c r="T166" s="20">
        <f>IF(AND(ISNUMBER(B166),Settings!$B$17&gt;0),IF(ISNUMBER(INDEX($B:$B,Settings!$B$17)),(B166-INDEX($B:$B,Settings!$B$17))*100,NA()),NA())</f>
        <v/>
      </c>
      <c r="U166" s="20">
        <f>IF(AND(ISNUMBER(Q166),Settings!$B$17&gt;0),IF(ISNUMBER(INDEX($Q:$Q,Settings!$B$17)),(Q166-INDEX($Q:$Q,Settings!$B$17))*100,NA()),NA())</f>
        <v/>
      </c>
      <c r="V166" s="20">
        <f>IF(AND(ISNUMBER(R166),Settings!$B$17&gt;0),IF(ISNUMBER(INDEX($R:$R,Settings!$B$17)),(R166-INDEX($R:$R,Settings!$B$17))*100,NA()),NA())</f>
        <v/>
      </c>
      <c r="W166" s="20">
        <f>IF(AND(ISNUMBER(P166),Settings!$B$17&gt;0),IF(ISNUMBER(INDEX($P:$P,Settings!$B$17)),P166-INDEX($P:$P,Settings!$B$17),NA()),NA())</f>
        <v/>
      </c>
      <c r="X166" s="19">
        <f>IF(NOT(ISNUMBER($A166)),NA(),IF(OR($A166&lt;MIN(DKW_10Y!$A$2:$A$2918),$A166&gt;MAX(DKW_10Y!$A$2:$A$2918),Settings!$B$16&lt;MIN(DKW_10Y!$A$2:$A$2918)),NA(),(INDEX(DKW_10Y!$B$2:$B$2918,MATCH($A166,DKW_10Y!$A$2:$A$2918,1))-INDEX(DKW_10Y!$B$2:$B$2918,MATCH(Settings!$B$16,DKW_10Y!$A$2:$A$2918,1)))*100))</f>
        <v/>
      </c>
      <c r="Y166" s="19">
        <f>IF(NOT(ISNUMBER($A166)),NA(),IF(OR($A166&lt;MIN(DKW_10Y!$A$2:$A$2918),$A166&gt;MAX(DKW_10Y!$A$2:$A$2918),Settings!$B$16&lt;MIN(DKW_10Y!$A$2:$A$2918)),NA(),(INDEX(DKW_10Y!$C$2:$C$2918,MATCH($A166,DKW_10Y!$A$2:$A$2918,1))-INDEX(DKW_10Y!$C$2:$C$2918,MATCH(Settings!$B$16,DKW_10Y!$A$2:$A$2918,1)))*100))</f>
        <v/>
      </c>
      <c r="Z166" s="19">
        <f>IF(NOT(ISNUMBER($A166)),NA(),IF(OR($A166&lt;MIN(DKW_10Y!$A$2:$A$2918),$A166&gt;MAX(DKW_10Y!$A$2:$A$2918),Settings!$B$16&lt;MIN(DKW_10Y!$A$2:$A$2918)),NA(),(INDEX(DKW_10Y!$D$2:$D$2918,MATCH($A166,DKW_10Y!$A$2:$A$2918,1))-INDEX(DKW_10Y!$D$2:$D$2918,MATCH(Settings!$B$16,DKW_10Y!$A$2:$A$2918,1)))*100))</f>
        <v/>
      </c>
      <c r="AA166" s="19">
        <f>IF(NOT(ISNUMBER($A166)),NA(),IF(OR($A166&lt;MIN(DKW_10Y!$A$2:$A$2918),$A166&gt;MAX(DKW_10Y!$A$2:$A$2918),Settings!$B$16&lt;MIN(DKW_10Y!$A$2:$A$2918)),NA(),(INDEX(DKW_10Y!$E$2:$E$2918,MATCH($A166,DKW_10Y!$A$2:$A$2918,1))-INDEX(DKW_10Y!$E$2:$E$2918,MATCH(Settings!$B$16,DKW_10Y!$A$2:$A$2918,1)))*100))</f>
        <v/>
      </c>
      <c r="AB166" s="19">
        <f>IF(NOT(ISNUMBER($A166)),NA(),IF(OR($A166&lt;MIN(DKW_10Y!$A$2:$A$2918),$A166&gt;MAX(DKW_10Y!$A$2:$A$2918),Settings!$B$16&lt;MIN(DKW_10Y!$A$2:$A$2918)),NA(),(INDEX(DKW_10Y!$H$2:$H$2918,MATCH($A166,DKW_10Y!$A$2:$A$2918,1))-INDEX(DKW_10Y!$H$2:$H$2918,MATCH(Settings!$B$16,DKW_10Y!$A$2:$A$2918,1)))*100))</f>
        <v/>
      </c>
      <c r="AC166" s="18">
        <f>IF(NOT(ISNUMBER($A166)),NA(),IFERROR(1*INDEX(BBG_Data!$N$2:$N$4000,MATCH($A166,BBG_Data!$M$2:$M$4000,0)),NA()))</f>
        <v/>
      </c>
      <c r="AD166" s="18">
        <f>IF(NOT(ISNUMBER($A166)),NA(),IFERROR(1*INDEX(BBG_Data!$P$2:$P$4000,MATCH($A166,BBG_Data!$O$2:$O$4000,0)),NA()))</f>
        <v/>
      </c>
      <c r="AE166" s="18">
        <f>IF(NOT(ISNUMBER($A166)),NA(),IFERROR(1*INDEX(BBG_Data!$R$2:$R$4000,MATCH($A166,BBG_Data!$Q$2:$Q$4000,0)),NA()))</f>
        <v/>
      </c>
      <c r="AF166" s="20">
        <f>IF(AND(ISNUMBER(B166),ISNUMBER(AC166)),(B166-AC166)*100,NA())</f>
        <v/>
      </c>
      <c r="AG166" s="20">
        <f>IF(AND(ISNUMBER(AE166),ISNUMBER(AD166)),(AE166-AD166)*100,NA())</f>
        <v/>
      </c>
      <c r="AH166" s="19">
        <f>IF(NOT(ISNUMBER($A166)),NA(),IFERROR(INDEX(BBG_Data!$T$2:$T$4000,MATCH($A166,BBG_Data!$S$2:$S$4000,0))*Settings!$B$25,NA()))</f>
        <v/>
      </c>
      <c r="AI166" s="19">
        <f>IF(NOT(ISNUMBER($A166)),NA(),IFERROR(INDEX(BBG_Data!$V$2:$V$4000,MATCH($A166,BBG_Data!$U$2:$U$4000,0))*Settings!$B$25,NA()))</f>
        <v/>
      </c>
      <c r="AJ166" s="19">
        <f>IF(NOT(ISNUMBER($A166)),NA(),IFERROR(1*INDEX(BBG_Data!$X$2:$X$4000,MATCH($A166,BBG_Data!$W$2:$W$4000,0)),NA()))</f>
        <v/>
      </c>
      <c r="AK166" s="19">
        <f>IF(NOT(ISNUMBER($A166)),NA(),IFERROR(1*INDEX(BBG_Data!$Z$2:$Z$4000,MATCH($A166,BBG_Data!$Y$2:$Y$4000,0)),NA()))</f>
        <v/>
      </c>
    </row>
    <row r="167">
      <c r="A167" s="17">
        <f>IF(ISNUMBER(BBG_Data!A167),BBG_Data!A167,"")</f>
        <v/>
      </c>
      <c r="B167" s="18">
        <f>IF(AND(ISNUMBER($A167),ISNUMBER(BBG_Data!B167)),BBG_Data!B167,NA())</f>
        <v/>
      </c>
      <c r="C167" s="18">
        <f>IF(NOT(ISNUMBER($A167)),NA(),IFERROR(1*INDEX(BBG_Data!$D$2:$D$4000,MATCH($A167,BBG_Data!$C$2:$C$4000,0)),NA()))</f>
        <v/>
      </c>
      <c r="D167" s="19">
        <f>IF(NOT(ISNUMBER($A167)),NA(),IFERROR(1*INDEX(BBG_Data!$F$2:$F$4000,MATCH($A167,BBG_Data!$E$2:$E$4000,0)),NA()))</f>
        <v/>
      </c>
      <c r="E167" s="19">
        <f>IF(NOT(ISNUMBER($A167)),NA(),IFERROR(1*INDEX(BBG_Data!$H$2:$H$4000,MATCH($A167,BBG_Data!$G$2:$G$4000,0)),NA()))</f>
        <v/>
      </c>
      <c r="F167" s="20">
        <f>IF(AND(ISNUMBER(B167),ISNUMBER(B166)),IF(B167=B166,"",(B167-B166)*100),"")</f>
        <v/>
      </c>
      <c r="G167" s="20">
        <f>IF(AND(ISNUMBER(C167),ISNUMBER(C166)),IF(C167=C166,"",(C167-C166)*100),"")</f>
        <v/>
      </c>
      <c r="H167" s="20">
        <f>IF(OR(NOT(ISNUMBER($A167)),ROW()-2&lt;Settings!$B$11),NA(),IF(COUNT(OFFSET(F167,1-Settings!$B$11,0,Settings!$B$11,1))&lt;ROUNDUP(Settings!$B$11*Settings!$B$26,0),NA(),STDEV(OFFSET(F167,1-Settings!$B$11,0,Settings!$B$11,1))*SQRT(Settings!$B$13)))</f>
        <v/>
      </c>
      <c r="I167" s="20">
        <f>IF(OR(NOT(ISNUMBER($A167)),ROW()-2&lt;Settings!$B$12),NA(),IF(COUNT(OFFSET(F167,1-Settings!$B$12,0,Settings!$B$12,1))&lt;ROUNDUP(Settings!$B$12*Settings!$B$26,0),NA(),STDEV(OFFSET(F167,1-Settings!$B$12,0,Settings!$B$12,1))*SQRT(Settings!$B$13)))</f>
        <v/>
      </c>
      <c r="J167" s="20">
        <f>IF(OR(NOT(ISNUMBER($A167)),ROW()-2&lt;Settings!$B$11),NA(),IF(COUNT(OFFSET(G167,1-Settings!$B$11,0,Settings!$B$11,1))&lt;ROUNDUP(Settings!$B$11*Settings!$B$26,0),NA(),STDEV(OFFSET(G167,1-Settings!$B$11,0,Settings!$B$11,1))*SQRT(Settings!$B$13)))</f>
        <v/>
      </c>
      <c r="K167" s="20">
        <f>IF(OR(NOT(ISNUMBER($A167)),ROW()-2&lt;Settings!$B$12),NA(),IF(COUNT(OFFSET(G167,1-Settings!$B$12,0,Settings!$B$12,1))&lt;ROUNDUP(Settings!$B$12*Settings!$B$26,0),NA(),STDEV(OFFSET(G167,1-Settings!$B$12,0,Settings!$B$12,1))*SQRT(Settings!$B$13)))</f>
        <v/>
      </c>
      <c r="L167" s="20">
        <f>IF(AND(ISNUMBER(D167),ISNUMBER(H167)),D167-H167,NA())</f>
        <v/>
      </c>
      <c r="M167" s="20">
        <f>IF(AND(ISNUMBER(E167),ISNUMBER(K167)),E167-K167,NA())</f>
        <v/>
      </c>
      <c r="N167" s="20">
        <f>IF(NOT(ISNUMBER($A167)),NA(),IF(COUNT(OFFSET(G167,1,0,Settings!$B$12,1))&lt;ROUNDUP(Settings!$B$12*Settings!$B$26,0),NA(),STDEV(OFFSET(G167,1,0,Settings!$B$12,1))*SQRT(Settings!$B$13)))</f>
        <v/>
      </c>
      <c r="O167" s="20">
        <f>IF(AND(ISNUMBER(E167),ISNUMBER(N167)),E167-N167,NA())</f>
        <v/>
      </c>
      <c r="P167" s="19">
        <f>IF(NOT(ISNUMBER($A167)),NA(),IF(OR($A167&lt;MIN(KW_TP!$A$2:$A$2501),$A167&gt;MAX(KW_TP!$A$2:$A$2501)),NA(),INDEX(KW_TP!$C$2:$C$2501,MATCH($A167,KW_TP!$A$2:$A$2501,1))))</f>
        <v/>
      </c>
      <c r="Q167" s="18">
        <f>IF(NOT(ISNUMBER($A167)),NA(),IFERROR(1*INDEX(BBG_Data!$J$2:$J$4000,MATCH($A167,BBG_Data!$I$2:$I$4000,0)),NA()))</f>
        <v/>
      </c>
      <c r="R167" s="18">
        <f>IF(NOT(ISNUMBER($A167)),NA(),IFERROR(1*INDEX(BBG_Data!$L$2:$L$4000,MATCH($A167,BBG_Data!$K$2:$K$4000,0)),NA()))</f>
        <v/>
      </c>
      <c r="S167" s="20">
        <f>IF(AND(ISNUMBER(B167),ISNUMBER(Q167),ISNUMBER(R167)),(B167-Q167-R167)*100,NA())</f>
        <v/>
      </c>
      <c r="T167" s="20">
        <f>IF(AND(ISNUMBER(B167),Settings!$B$17&gt;0),IF(ISNUMBER(INDEX($B:$B,Settings!$B$17)),(B167-INDEX($B:$B,Settings!$B$17))*100,NA()),NA())</f>
        <v/>
      </c>
      <c r="U167" s="20">
        <f>IF(AND(ISNUMBER(Q167),Settings!$B$17&gt;0),IF(ISNUMBER(INDEX($Q:$Q,Settings!$B$17)),(Q167-INDEX($Q:$Q,Settings!$B$17))*100,NA()),NA())</f>
        <v/>
      </c>
      <c r="V167" s="20">
        <f>IF(AND(ISNUMBER(R167),Settings!$B$17&gt;0),IF(ISNUMBER(INDEX($R:$R,Settings!$B$17)),(R167-INDEX($R:$R,Settings!$B$17))*100,NA()),NA())</f>
        <v/>
      </c>
      <c r="W167" s="20">
        <f>IF(AND(ISNUMBER(P167),Settings!$B$17&gt;0),IF(ISNUMBER(INDEX($P:$P,Settings!$B$17)),P167-INDEX($P:$P,Settings!$B$17),NA()),NA())</f>
        <v/>
      </c>
      <c r="X167" s="19">
        <f>IF(NOT(ISNUMBER($A167)),NA(),IF(OR($A167&lt;MIN(DKW_10Y!$A$2:$A$2918),$A167&gt;MAX(DKW_10Y!$A$2:$A$2918),Settings!$B$16&lt;MIN(DKW_10Y!$A$2:$A$2918)),NA(),(INDEX(DKW_10Y!$B$2:$B$2918,MATCH($A167,DKW_10Y!$A$2:$A$2918,1))-INDEX(DKW_10Y!$B$2:$B$2918,MATCH(Settings!$B$16,DKW_10Y!$A$2:$A$2918,1)))*100))</f>
        <v/>
      </c>
      <c r="Y167" s="19">
        <f>IF(NOT(ISNUMBER($A167)),NA(),IF(OR($A167&lt;MIN(DKW_10Y!$A$2:$A$2918),$A167&gt;MAX(DKW_10Y!$A$2:$A$2918),Settings!$B$16&lt;MIN(DKW_10Y!$A$2:$A$2918)),NA(),(INDEX(DKW_10Y!$C$2:$C$2918,MATCH($A167,DKW_10Y!$A$2:$A$2918,1))-INDEX(DKW_10Y!$C$2:$C$2918,MATCH(Settings!$B$16,DKW_10Y!$A$2:$A$2918,1)))*100))</f>
        <v/>
      </c>
      <c r="Z167" s="19">
        <f>IF(NOT(ISNUMBER($A167)),NA(),IF(OR($A167&lt;MIN(DKW_10Y!$A$2:$A$2918),$A167&gt;MAX(DKW_10Y!$A$2:$A$2918),Settings!$B$16&lt;MIN(DKW_10Y!$A$2:$A$2918)),NA(),(INDEX(DKW_10Y!$D$2:$D$2918,MATCH($A167,DKW_10Y!$A$2:$A$2918,1))-INDEX(DKW_10Y!$D$2:$D$2918,MATCH(Settings!$B$16,DKW_10Y!$A$2:$A$2918,1)))*100))</f>
        <v/>
      </c>
      <c r="AA167" s="19">
        <f>IF(NOT(ISNUMBER($A167)),NA(),IF(OR($A167&lt;MIN(DKW_10Y!$A$2:$A$2918),$A167&gt;MAX(DKW_10Y!$A$2:$A$2918),Settings!$B$16&lt;MIN(DKW_10Y!$A$2:$A$2918)),NA(),(INDEX(DKW_10Y!$E$2:$E$2918,MATCH($A167,DKW_10Y!$A$2:$A$2918,1))-INDEX(DKW_10Y!$E$2:$E$2918,MATCH(Settings!$B$16,DKW_10Y!$A$2:$A$2918,1)))*100))</f>
        <v/>
      </c>
      <c r="AB167" s="19">
        <f>IF(NOT(ISNUMBER($A167)),NA(),IF(OR($A167&lt;MIN(DKW_10Y!$A$2:$A$2918),$A167&gt;MAX(DKW_10Y!$A$2:$A$2918),Settings!$B$16&lt;MIN(DKW_10Y!$A$2:$A$2918)),NA(),(INDEX(DKW_10Y!$H$2:$H$2918,MATCH($A167,DKW_10Y!$A$2:$A$2918,1))-INDEX(DKW_10Y!$H$2:$H$2918,MATCH(Settings!$B$16,DKW_10Y!$A$2:$A$2918,1)))*100))</f>
        <v/>
      </c>
      <c r="AC167" s="18">
        <f>IF(NOT(ISNUMBER($A167)),NA(),IFERROR(1*INDEX(BBG_Data!$N$2:$N$4000,MATCH($A167,BBG_Data!$M$2:$M$4000,0)),NA()))</f>
        <v/>
      </c>
      <c r="AD167" s="18">
        <f>IF(NOT(ISNUMBER($A167)),NA(),IFERROR(1*INDEX(BBG_Data!$P$2:$P$4000,MATCH($A167,BBG_Data!$O$2:$O$4000,0)),NA()))</f>
        <v/>
      </c>
      <c r="AE167" s="18">
        <f>IF(NOT(ISNUMBER($A167)),NA(),IFERROR(1*INDEX(BBG_Data!$R$2:$R$4000,MATCH($A167,BBG_Data!$Q$2:$Q$4000,0)),NA()))</f>
        <v/>
      </c>
      <c r="AF167" s="20">
        <f>IF(AND(ISNUMBER(B167),ISNUMBER(AC167)),(B167-AC167)*100,NA())</f>
        <v/>
      </c>
      <c r="AG167" s="20">
        <f>IF(AND(ISNUMBER(AE167),ISNUMBER(AD167)),(AE167-AD167)*100,NA())</f>
        <v/>
      </c>
      <c r="AH167" s="19">
        <f>IF(NOT(ISNUMBER($A167)),NA(),IFERROR(INDEX(BBG_Data!$T$2:$T$4000,MATCH($A167,BBG_Data!$S$2:$S$4000,0))*Settings!$B$25,NA()))</f>
        <v/>
      </c>
      <c r="AI167" s="19">
        <f>IF(NOT(ISNUMBER($A167)),NA(),IFERROR(INDEX(BBG_Data!$V$2:$V$4000,MATCH($A167,BBG_Data!$U$2:$U$4000,0))*Settings!$B$25,NA()))</f>
        <v/>
      </c>
      <c r="AJ167" s="19">
        <f>IF(NOT(ISNUMBER($A167)),NA(),IFERROR(1*INDEX(BBG_Data!$X$2:$X$4000,MATCH($A167,BBG_Data!$W$2:$W$4000,0)),NA()))</f>
        <v/>
      </c>
      <c r="AK167" s="19">
        <f>IF(NOT(ISNUMBER($A167)),NA(),IFERROR(1*INDEX(BBG_Data!$Z$2:$Z$4000,MATCH($A167,BBG_Data!$Y$2:$Y$4000,0)),NA()))</f>
        <v/>
      </c>
    </row>
    <row r="168">
      <c r="A168" s="17">
        <f>IF(ISNUMBER(BBG_Data!A168),BBG_Data!A168,"")</f>
        <v/>
      </c>
      <c r="B168" s="18">
        <f>IF(AND(ISNUMBER($A168),ISNUMBER(BBG_Data!B168)),BBG_Data!B168,NA())</f>
        <v/>
      </c>
      <c r="C168" s="18">
        <f>IF(NOT(ISNUMBER($A168)),NA(),IFERROR(1*INDEX(BBG_Data!$D$2:$D$4000,MATCH($A168,BBG_Data!$C$2:$C$4000,0)),NA()))</f>
        <v/>
      </c>
      <c r="D168" s="19">
        <f>IF(NOT(ISNUMBER($A168)),NA(),IFERROR(1*INDEX(BBG_Data!$F$2:$F$4000,MATCH($A168,BBG_Data!$E$2:$E$4000,0)),NA()))</f>
        <v/>
      </c>
      <c r="E168" s="19">
        <f>IF(NOT(ISNUMBER($A168)),NA(),IFERROR(1*INDEX(BBG_Data!$H$2:$H$4000,MATCH($A168,BBG_Data!$G$2:$G$4000,0)),NA()))</f>
        <v/>
      </c>
      <c r="F168" s="20">
        <f>IF(AND(ISNUMBER(B168),ISNUMBER(B167)),IF(B168=B167,"",(B168-B167)*100),"")</f>
        <v/>
      </c>
      <c r="G168" s="20">
        <f>IF(AND(ISNUMBER(C168),ISNUMBER(C167)),IF(C168=C167,"",(C168-C167)*100),"")</f>
        <v/>
      </c>
      <c r="H168" s="20">
        <f>IF(OR(NOT(ISNUMBER($A168)),ROW()-2&lt;Settings!$B$11),NA(),IF(COUNT(OFFSET(F168,1-Settings!$B$11,0,Settings!$B$11,1))&lt;ROUNDUP(Settings!$B$11*Settings!$B$26,0),NA(),STDEV(OFFSET(F168,1-Settings!$B$11,0,Settings!$B$11,1))*SQRT(Settings!$B$13)))</f>
        <v/>
      </c>
      <c r="I168" s="20">
        <f>IF(OR(NOT(ISNUMBER($A168)),ROW()-2&lt;Settings!$B$12),NA(),IF(COUNT(OFFSET(F168,1-Settings!$B$12,0,Settings!$B$12,1))&lt;ROUNDUP(Settings!$B$12*Settings!$B$26,0),NA(),STDEV(OFFSET(F168,1-Settings!$B$12,0,Settings!$B$12,1))*SQRT(Settings!$B$13)))</f>
        <v/>
      </c>
      <c r="J168" s="20">
        <f>IF(OR(NOT(ISNUMBER($A168)),ROW()-2&lt;Settings!$B$11),NA(),IF(COUNT(OFFSET(G168,1-Settings!$B$11,0,Settings!$B$11,1))&lt;ROUNDUP(Settings!$B$11*Settings!$B$26,0),NA(),STDEV(OFFSET(G168,1-Settings!$B$11,0,Settings!$B$11,1))*SQRT(Settings!$B$13)))</f>
        <v/>
      </c>
      <c r="K168" s="20">
        <f>IF(OR(NOT(ISNUMBER($A168)),ROW()-2&lt;Settings!$B$12),NA(),IF(COUNT(OFFSET(G168,1-Settings!$B$12,0,Settings!$B$12,1))&lt;ROUNDUP(Settings!$B$12*Settings!$B$26,0),NA(),STDEV(OFFSET(G168,1-Settings!$B$12,0,Settings!$B$12,1))*SQRT(Settings!$B$13)))</f>
        <v/>
      </c>
      <c r="L168" s="20">
        <f>IF(AND(ISNUMBER(D168),ISNUMBER(H168)),D168-H168,NA())</f>
        <v/>
      </c>
      <c r="M168" s="20">
        <f>IF(AND(ISNUMBER(E168),ISNUMBER(K168)),E168-K168,NA())</f>
        <v/>
      </c>
      <c r="N168" s="20">
        <f>IF(NOT(ISNUMBER($A168)),NA(),IF(COUNT(OFFSET(G168,1,0,Settings!$B$12,1))&lt;ROUNDUP(Settings!$B$12*Settings!$B$26,0),NA(),STDEV(OFFSET(G168,1,0,Settings!$B$12,1))*SQRT(Settings!$B$13)))</f>
        <v/>
      </c>
      <c r="O168" s="20">
        <f>IF(AND(ISNUMBER(E168),ISNUMBER(N168)),E168-N168,NA())</f>
        <v/>
      </c>
      <c r="P168" s="19">
        <f>IF(NOT(ISNUMBER($A168)),NA(),IF(OR($A168&lt;MIN(KW_TP!$A$2:$A$2501),$A168&gt;MAX(KW_TP!$A$2:$A$2501)),NA(),INDEX(KW_TP!$C$2:$C$2501,MATCH($A168,KW_TP!$A$2:$A$2501,1))))</f>
        <v/>
      </c>
      <c r="Q168" s="18">
        <f>IF(NOT(ISNUMBER($A168)),NA(),IFERROR(1*INDEX(BBG_Data!$J$2:$J$4000,MATCH($A168,BBG_Data!$I$2:$I$4000,0)),NA()))</f>
        <v/>
      </c>
      <c r="R168" s="18">
        <f>IF(NOT(ISNUMBER($A168)),NA(),IFERROR(1*INDEX(BBG_Data!$L$2:$L$4000,MATCH($A168,BBG_Data!$K$2:$K$4000,0)),NA()))</f>
        <v/>
      </c>
      <c r="S168" s="20">
        <f>IF(AND(ISNUMBER(B168),ISNUMBER(Q168),ISNUMBER(R168)),(B168-Q168-R168)*100,NA())</f>
        <v/>
      </c>
      <c r="T168" s="20">
        <f>IF(AND(ISNUMBER(B168),Settings!$B$17&gt;0),IF(ISNUMBER(INDEX($B:$B,Settings!$B$17)),(B168-INDEX($B:$B,Settings!$B$17))*100,NA()),NA())</f>
        <v/>
      </c>
      <c r="U168" s="20">
        <f>IF(AND(ISNUMBER(Q168),Settings!$B$17&gt;0),IF(ISNUMBER(INDEX($Q:$Q,Settings!$B$17)),(Q168-INDEX($Q:$Q,Settings!$B$17))*100,NA()),NA())</f>
        <v/>
      </c>
      <c r="V168" s="20">
        <f>IF(AND(ISNUMBER(R168),Settings!$B$17&gt;0),IF(ISNUMBER(INDEX($R:$R,Settings!$B$17)),(R168-INDEX($R:$R,Settings!$B$17))*100,NA()),NA())</f>
        <v/>
      </c>
      <c r="W168" s="20">
        <f>IF(AND(ISNUMBER(P168),Settings!$B$17&gt;0),IF(ISNUMBER(INDEX($P:$P,Settings!$B$17)),P168-INDEX($P:$P,Settings!$B$17),NA()),NA())</f>
        <v/>
      </c>
      <c r="X168" s="19">
        <f>IF(NOT(ISNUMBER($A168)),NA(),IF(OR($A168&lt;MIN(DKW_10Y!$A$2:$A$2918),$A168&gt;MAX(DKW_10Y!$A$2:$A$2918),Settings!$B$16&lt;MIN(DKW_10Y!$A$2:$A$2918)),NA(),(INDEX(DKW_10Y!$B$2:$B$2918,MATCH($A168,DKW_10Y!$A$2:$A$2918,1))-INDEX(DKW_10Y!$B$2:$B$2918,MATCH(Settings!$B$16,DKW_10Y!$A$2:$A$2918,1)))*100))</f>
        <v/>
      </c>
      <c r="Y168" s="19">
        <f>IF(NOT(ISNUMBER($A168)),NA(),IF(OR($A168&lt;MIN(DKW_10Y!$A$2:$A$2918),$A168&gt;MAX(DKW_10Y!$A$2:$A$2918),Settings!$B$16&lt;MIN(DKW_10Y!$A$2:$A$2918)),NA(),(INDEX(DKW_10Y!$C$2:$C$2918,MATCH($A168,DKW_10Y!$A$2:$A$2918,1))-INDEX(DKW_10Y!$C$2:$C$2918,MATCH(Settings!$B$16,DKW_10Y!$A$2:$A$2918,1)))*100))</f>
        <v/>
      </c>
      <c r="Z168" s="19">
        <f>IF(NOT(ISNUMBER($A168)),NA(),IF(OR($A168&lt;MIN(DKW_10Y!$A$2:$A$2918),$A168&gt;MAX(DKW_10Y!$A$2:$A$2918),Settings!$B$16&lt;MIN(DKW_10Y!$A$2:$A$2918)),NA(),(INDEX(DKW_10Y!$D$2:$D$2918,MATCH($A168,DKW_10Y!$A$2:$A$2918,1))-INDEX(DKW_10Y!$D$2:$D$2918,MATCH(Settings!$B$16,DKW_10Y!$A$2:$A$2918,1)))*100))</f>
        <v/>
      </c>
      <c r="AA168" s="19">
        <f>IF(NOT(ISNUMBER($A168)),NA(),IF(OR($A168&lt;MIN(DKW_10Y!$A$2:$A$2918),$A168&gt;MAX(DKW_10Y!$A$2:$A$2918),Settings!$B$16&lt;MIN(DKW_10Y!$A$2:$A$2918)),NA(),(INDEX(DKW_10Y!$E$2:$E$2918,MATCH($A168,DKW_10Y!$A$2:$A$2918,1))-INDEX(DKW_10Y!$E$2:$E$2918,MATCH(Settings!$B$16,DKW_10Y!$A$2:$A$2918,1)))*100))</f>
        <v/>
      </c>
      <c r="AB168" s="19">
        <f>IF(NOT(ISNUMBER($A168)),NA(),IF(OR($A168&lt;MIN(DKW_10Y!$A$2:$A$2918),$A168&gt;MAX(DKW_10Y!$A$2:$A$2918),Settings!$B$16&lt;MIN(DKW_10Y!$A$2:$A$2918)),NA(),(INDEX(DKW_10Y!$H$2:$H$2918,MATCH($A168,DKW_10Y!$A$2:$A$2918,1))-INDEX(DKW_10Y!$H$2:$H$2918,MATCH(Settings!$B$16,DKW_10Y!$A$2:$A$2918,1)))*100))</f>
        <v/>
      </c>
      <c r="AC168" s="18">
        <f>IF(NOT(ISNUMBER($A168)),NA(),IFERROR(1*INDEX(BBG_Data!$N$2:$N$4000,MATCH($A168,BBG_Data!$M$2:$M$4000,0)),NA()))</f>
        <v/>
      </c>
      <c r="AD168" s="18">
        <f>IF(NOT(ISNUMBER($A168)),NA(),IFERROR(1*INDEX(BBG_Data!$P$2:$P$4000,MATCH($A168,BBG_Data!$O$2:$O$4000,0)),NA()))</f>
        <v/>
      </c>
      <c r="AE168" s="18">
        <f>IF(NOT(ISNUMBER($A168)),NA(),IFERROR(1*INDEX(BBG_Data!$R$2:$R$4000,MATCH($A168,BBG_Data!$Q$2:$Q$4000,0)),NA()))</f>
        <v/>
      </c>
      <c r="AF168" s="20">
        <f>IF(AND(ISNUMBER(B168),ISNUMBER(AC168)),(B168-AC168)*100,NA())</f>
        <v/>
      </c>
      <c r="AG168" s="20">
        <f>IF(AND(ISNUMBER(AE168),ISNUMBER(AD168)),(AE168-AD168)*100,NA())</f>
        <v/>
      </c>
      <c r="AH168" s="19">
        <f>IF(NOT(ISNUMBER($A168)),NA(),IFERROR(INDEX(BBG_Data!$T$2:$T$4000,MATCH($A168,BBG_Data!$S$2:$S$4000,0))*Settings!$B$25,NA()))</f>
        <v/>
      </c>
      <c r="AI168" s="19">
        <f>IF(NOT(ISNUMBER($A168)),NA(),IFERROR(INDEX(BBG_Data!$V$2:$V$4000,MATCH($A168,BBG_Data!$U$2:$U$4000,0))*Settings!$B$25,NA()))</f>
        <v/>
      </c>
      <c r="AJ168" s="19">
        <f>IF(NOT(ISNUMBER($A168)),NA(),IFERROR(1*INDEX(BBG_Data!$X$2:$X$4000,MATCH($A168,BBG_Data!$W$2:$W$4000,0)),NA()))</f>
        <v/>
      </c>
      <c r="AK168" s="19">
        <f>IF(NOT(ISNUMBER($A168)),NA(),IFERROR(1*INDEX(BBG_Data!$Z$2:$Z$4000,MATCH($A168,BBG_Data!$Y$2:$Y$4000,0)),NA()))</f>
        <v/>
      </c>
    </row>
    <row r="169">
      <c r="A169" s="17">
        <f>IF(ISNUMBER(BBG_Data!A169),BBG_Data!A169,"")</f>
        <v/>
      </c>
      <c r="B169" s="18">
        <f>IF(AND(ISNUMBER($A169),ISNUMBER(BBG_Data!B169)),BBG_Data!B169,NA())</f>
        <v/>
      </c>
      <c r="C169" s="18">
        <f>IF(NOT(ISNUMBER($A169)),NA(),IFERROR(1*INDEX(BBG_Data!$D$2:$D$4000,MATCH($A169,BBG_Data!$C$2:$C$4000,0)),NA()))</f>
        <v/>
      </c>
      <c r="D169" s="19">
        <f>IF(NOT(ISNUMBER($A169)),NA(),IFERROR(1*INDEX(BBG_Data!$F$2:$F$4000,MATCH($A169,BBG_Data!$E$2:$E$4000,0)),NA()))</f>
        <v/>
      </c>
      <c r="E169" s="19">
        <f>IF(NOT(ISNUMBER($A169)),NA(),IFERROR(1*INDEX(BBG_Data!$H$2:$H$4000,MATCH($A169,BBG_Data!$G$2:$G$4000,0)),NA()))</f>
        <v/>
      </c>
      <c r="F169" s="20">
        <f>IF(AND(ISNUMBER(B169),ISNUMBER(B168)),IF(B169=B168,"",(B169-B168)*100),"")</f>
        <v/>
      </c>
      <c r="G169" s="20">
        <f>IF(AND(ISNUMBER(C169),ISNUMBER(C168)),IF(C169=C168,"",(C169-C168)*100),"")</f>
        <v/>
      </c>
      <c r="H169" s="20">
        <f>IF(OR(NOT(ISNUMBER($A169)),ROW()-2&lt;Settings!$B$11),NA(),IF(COUNT(OFFSET(F169,1-Settings!$B$11,0,Settings!$B$11,1))&lt;ROUNDUP(Settings!$B$11*Settings!$B$26,0),NA(),STDEV(OFFSET(F169,1-Settings!$B$11,0,Settings!$B$11,1))*SQRT(Settings!$B$13)))</f>
        <v/>
      </c>
      <c r="I169" s="20">
        <f>IF(OR(NOT(ISNUMBER($A169)),ROW()-2&lt;Settings!$B$12),NA(),IF(COUNT(OFFSET(F169,1-Settings!$B$12,0,Settings!$B$12,1))&lt;ROUNDUP(Settings!$B$12*Settings!$B$26,0),NA(),STDEV(OFFSET(F169,1-Settings!$B$12,0,Settings!$B$12,1))*SQRT(Settings!$B$13)))</f>
        <v/>
      </c>
      <c r="J169" s="20">
        <f>IF(OR(NOT(ISNUMBER($A169)),ROW()-2&lt;Settings!$B$11),NA(),IF(COUNT(OFFSET(G169,1-Settings!$B$11,0,Settings!$B$11,1))&lt;ROUNDUP(Settings!$B$11*Settings!$B$26,0),NA(),STDEV(OFFSET(G169,1-Settings!$B$11,0,Settings!$B$11,1))*SQRT(Settings!$B$13)))</f>
        <v/>
      </c>
      <c r="K169" s="20">
        <f>IF(OR(NOT(ISNUMBER($A169)),ROW()-2&lt;Settings!$B$12),NA(),IF(COUNT(OFFSET(G169,1-Settings!$B$12,0,Settings!$B$12,1))&lt;ROUNDUP(Settings!$B$12*Settings!$B$26,0),NA(),STDEV(OFFSET(G169,1-Settings!$B$12,0,Settings!$B$12,1))*SQRT(Settings!$B$13)))</f>
        <v/>
      </c>
      <c r="L169" s="20">
        <f>IF(AND(ISNUMBER(D169),ISNUMBER(H169)),D169-H169,NA())</f>
        <v/>
      </c>
      <c r="M169" s="20">
        <f>IF(AND(ISNUMBER(E169),ISNUMBER(K169)),E169-K169,NA())</f>
        <v/>
      </c>
      <c r="N169" s="20">
        <f>IF(NOT(ISNUMBER($A169)),NA(),IF(COUNT(OFFSET(G169,1,0,Settings!$B$12,1))&lt;ROUNDUP(Settings!$B$12*Settings!$B$26,0),NA(),STDEV(OFFSET(G169,1,0,Settings!$B$12,1))*SQRT(Settings!$B$13)))</f>
        <v/>
      </c>
      <c r="O169" s="20">
        <f>IF(AND(ISNUMBER(E169),ISNUMBER(N169)),E169-N169,NA())</f>
        <v/>
      </c>
      <c r="P169" s="19">
        <f>IF(NOT(ISNUMBER($A169)),NA(),IF(OR($A169&lt;MIN(KW_TP!$A$2:$A$2501),$A169&gt;MAX(KW_TP!$A$2:$A$2501)),NA(),INDEX(KW_TP!$C$2:$C$2501,MATCH($A169,KW_TP!$A$2:$A$2501,1))))</f>
        <v/>
      </c>
      <c r="Q169" s="18">
        <f>IF(NOT(ISNUMBER($A169)),NA(),IFERROR(1*INDEX(BBG_Data!$J$2:$J$4000,MATCH($A169,BBG_Data!$I$2:$I$4000,0)),NA()))</f>
        <v/>
      </c>
      <c r="R169" s="18">
        <f>IF(NOT(ISNUMBER($A169)),NA(),IFERROR(1*INDEX(BBG_Data!$L$2:$L$4000,MATCH($A169,BBG_Data!$K$2:$K$4000,0)),NA()))</f>
        <v/>
      </c>
      <c r="S169" s="20">
        <f>IF(AND(ISNUMBER(B169),ISNUMBER(Q169),ISNUMBER(R169)),(B169-Q169-R169)*100,NA())</f>
        <v/>
      </c>
      <c r="T169" s="20">
        <f>IF(AND(ISNUMBER(B169),Settings!$B$17&gt;0),IF(ISNUMBER(INDEX($B:$B,Settings!$B$17)),(B169-INDEX($B:$B,Settings!$B$17))*100,NA()),NA())</f>
        <v/>
      </c>
      <c r="U169" s="20">
        <f>IF(AND(ISNUMBER(Q169),Settings!$B$17&gt;0),IF(ISNUMBER(INDEX($Q:$Q,Settings!$B$17)),(Q169-INDEX($Q:$Q,Settings!$B$17))*100,NA()),NA())</f>
        <v/>
      </c>
      <c r="V169" s="20">
        <f>IF(AND(ISNUMBER(R169),Settings!$B$17&gt;0),IF(ISNUMBER(INDEX($R:$R,Settings!$B$17)),(R169-INDEX($R:$R,Settings!$B$17))*100,NA()),NA())</f>
        <v/>
      </c>
      <c r="W169" s="20">
        <f>IF(AND(ISNUMBER(P169),Settings!$B$17&gt;0),IF(ISNUMBER(INDEX($P:$P,Settings!$B$17)),P169-INDEX($P:$P,Settings!$B$17),NA()),NA())</f>
        <v/>
      </c>
      <c r="X169" s="19">
        <f>IF(NOT(ISNUMBER($A169)),NA(),IF(OR($A169&lt;MIN(DKW_10Y!$A$2:$A$2918),$A169&gt;MAX(DKW_10Y!$A$2:$A$2918),Settings!$B$16&lt;MIN(DKW_10Y!$A$2:$A$2918)),NA(),(INDEX(DKW_10Y!$B$2:$B$2918,MATCH($A169,DKW_10Y!$A$2:$A$2918,1))-INDEX(DKW_10Y!$B$2:$B$2918,MATCH(Settings!$B$16,DKW_10Y!$A$2:$A$2918,1)))*100))</f>
        <v/>
      </c>
      <c r="Y169" s="19">
        <f>IF(NOT(ISNUMBER($A169)),NA(),IF(OR($A169&lt;MIN(DKW_10Y!$A$2:$A$2918),$A169&gt;MAX(DKW_10Y!$A$2:$A$2918),Settings!$B$16&lt;MIN(DKW_10Y!$A$2:$A$2918)),NA(),(INDEX(DKW_10Y!$C$2:$C$2918,MATCH($A169,DKW_10Y!$A$2:$A$2918,1))-INDEX(DKW_10Y!$C$2:$C$2918,MATCH(Settings!$B$16,DKW_10Y!$A$2:$A$2918,1)))*100))</f>
        <v/>
      </c>
      <c r="Z169" s="19">
        <f>IF(NOT(ISNUMBER($A169)),NA(),IF(OR($A169&lt;MIN(DKW_10Y!$A$2:$A$2918),$A169&gt;MAX(DKW_10Y!$A$2:$A$2918),Settings!$B$16&lt;MIN(DKW_10Y!$A$2:$A$2918)),NA(),(INDEX(DKW_10Y!$D$2:$D$2918,MATCH($A169,DKW_10Y!$A$2:$A$2918,1))-INDEX(DKW_10Y!$D$2:$D$2918,MATCH(Settings!$B$16,DKW_10Y!$A$2:$A$2918,1)))*100))</f>
        <v/>
      </c>
      <c r="AA169" s="19">
        <f>IF(NOT(ISNUMBER($A169)),NA(),IF(OR($A169&lt;MIN(DKW_10Y!$A$2:$A$2918),$A169&gt;MAX(DKW_10Y!$A$2:$A$2918),Settings!$B$16&lt;MIN(DKW_10Y!$A$2:$A$2918)),NA(),(INDEX(DKW_10Y!$E$2:$E$2918,MATCH($A169,DKW_10Y!$A$2:$A$2918,1))-INDEX(DKW_10Y!$E$2:$E$2918,MATCH(Settings!$B$16,DKW_10Y!$A$2:$A$2918,1)))*100))</f>
        <v/>
      </c>
      <c r="AB169" s="19">
        <f>IF(NOT(ISNUMBER($A169)),NA(),IF(OR($A169&lt;MIN(DKW_10Y!$A$2:$A$2918),$A169&gt;MAX(DKW_10Y!$A$2:$A$2918),Settings!$B$16&lt;MIN(DKW_10Y!$A$2:$A$2918)),NA(),(INDEX(DKW_10Y!$H$2:$H$2918,MATCH($A169,DKW_10Y!$A$2:$A$2918,1))-INDEX(DKW_10Y!$H$2:$H$2918,MATCH(Settings!$B$16,DKW_10Y!$A$2:$A$2918,1)))*100))</f>
        <v/>
      </c>
      <c r="AC169" s="18">
        <f>IF(NOT(ISNUMBER($A169)),NA(),IFERROR(1*INDEX(BBG_Data!$N$2:$N$4000,MATCH($A169,BBG_Data!$M$2:$M$4000,0)),NA()))</f>
        <v/>
      </c>
      <c r="AD169" s="18">
        <f>IF(NOT(ISNUMBER($A169)),NA(),IFERROR(1*INDEX(BBG_Data!$P$2:$P$4000,MATCH($A169,BBG_Data!$O$2:$O$4000,0)),NA()))</f>
        <v/>
      </c>
      <c r="AE169" s="18">
        <f>IF(NOT(ISNUMBER($A169)),NA(),IFERROR(1*INDEX(BBG_Data!$R$2:$R$4000,MATCH($A169,BBG_Data!$Q$2:$Q$4000,0)),NA()))</f>
        <v/>
      </c>
      <c r="AF169" s="20">
        <f>IF(AND(ISNUMBER(B169),ISNUMBER(AC169)),(B169-AC169)*100,NA())</f>
        <v/>
      </c>
      <c r="AG169" s="20">
        <f>IF(AND(ISNUMBER(AE169),ISNUMBER(AD169)),(AE169-AD169)*100,NA())</f>
        <v/>
      </c>
      <c r="AH169" s="19">
        <f>IF(NOT(ISNUMBER($A169)),NA(),IFERROR(INDEX(BBG_Data!$T$2:$T$4000,MATCH($A169,BBG_Data!$S$2:$S$4000,0))*Settings!$B$25,NA()))</f>
        <v/>
      </c>
      <c r="AI169" s="19">
        <f>IF(NOT(ISNUMBER($A169)),NA(),IFERROR(INDEX(BBG_Data!$V$2:$V$4000,MATCH($A169,BBG_Data!$U$2:$U$4000,0))*Settings!$B$25,NA()))</f>
        <v/>
      </c>
      <c r="AJ169" s="19">
        <f>IF(NOT(ISNUMBER($A169)),NA(),IFERROR(1*INDEX(BBG_Data!$X$2:$X$4000,MATCH($A169,BBG_Data!$W$2:$W$4000,0)),NA()))</f>
        <v/>
      </c>
      <c r="AK169" s="19">
        <f>IF(NOT(ISNUMBER($A169)),NA(),IFERROR(1*INDEX(BBG_Data!$Z$2:$Z$4000,MATCH($A169,BBG_Data!$Y$2:$Y$4000,0)),NA()))</f>
        <v/>
      </c>
    </row>
    <row r="170">
      <c r="A170" s="17">
        <f>IF(ISNUMBER(BBG_Data!A170),BBG_Data!A170,"")</f>
        <v/>
      </c>
      <c r="B170" s="18">
        <f>IF(AND(ISNUMBER($A170),ISNUMBER(BBG_Data!B170)),BBG_Data!B170,NA())</f>
        <v/>
      </c>
      <c r="C170" s="18">
        <f>IF(NOT(ISNUMBER($A170)),NA(),IFERROR(1*INDEX(BBG_Data!$D$2:$D$4000,MATCH($A170,BBG_Data!$C$2:$C$4000,0)),NA()))</f>
        <v/>
      </c>
      <c r="D170" s="19">
        <f>IF(NOT(ISNUMBER($A170)),NA(),IFERROR(1*INDEX(BBG_Data!$F$2:$F$4000,MATCH($A170,BBG_Data!$E$2:$E$4000,0)),NA()))</f>
        <v/>
      </c>
      <c r="E170" s="19">
        <f>IF(NOT(ISNUMBER($A170)),NA(),IFERROR(1*INDEX(BBG_Data!$H$2:$H$4000,MATCH($A170,BBG_Data!$G$2:$G$4000,0)),NA()))</f>
        <v/>
      </c>
      <c r="F170" s="20">
        <f>IF(AND(ISNUMBER(B170),ISNUMBER(B169)),IF(B170=B169,"",(B170-B169)*100),"")</f>
        <v/>
      </c>
      <c r="G170" s="20">
        <f>IF(AND(ISNUMBER(C170),ISNUMBER(C169)),IF(C170=C169,"",(C170-C169)*100),"")</f>
        <v/>
      </c>
      <c r="H170" s="20">
        <f>IF(OR(NOT(ISNUMBER($A170)),ROW()-2&lt;Settings!$B$11),NA(),IF(COUNT(OFFSET(F170,1-Settings!$B$11,0,Settings!$B$11,1))&lt;ROUNDUP(Settings!$B$11*Settings!$B$26,0),NA(),STDEV(OFFSET(F170,1-Settings!$B$11,0,Settings!$B$11,1))*SQRT(Settings!$B$13)))</f>
        <v/>
      </c>
      <c r="I170" s="20">
        <f>IF(OR(NOT(ISNUMBER($A170)),ROW()-2&lt;Settings!$B$12),NA(),IF(COUNT(OFFSET(F170,1-Settings!$B$12,0,Settings!$B$12,1))&lt;ROUNDUP(Settings!$B$12*Settings!$B$26,0),NA(),STDEV(OFFSET(F170,1-Settings!$B$12,0,Settings!$B$12,1))*SQRT(Settings!$B$13)))</f>
        <v/>
      </c>
      <c r="J170" s="20">
        <f>IF(OR(NOT(ISNUMBER($A170)),ROW()-2&lt;Settings!$B$11),NA(),IF(COUNT(OFFSET(G170,1-Settings!$B$11,0,Settings!$B$11,1))&lt;ROUNDUP(Settings!$B$11*Settings!$B$26,0),NA(),STDEV(OFFSET(G170,1-Settings!$B$11,0,Settings!$B$11,1))*SQRT(Settings!$B$13)))</f>
        <v/>
      </c>
      <c r="K170" s="20">
        <f>IF(OR(NOT(ISNUMBER($A170)),ROW()-2&lt;Settings!$B$12),NA(),IF(COUNT(OFFSET(G170,1-Settings!$B$12,0,Settings!$B$12,1))&lt;ROUNDUP(Settings!$B$12*Settings!$B$26,0),NA(),STDEV(OFFSET(G170,1-Settings!$B$12,0,Settings!$B$12,1))*SQRT(Settings!$B$13)))</f>
        <v/>
      </c>
      <c r="L170" s="20">
        <f>IF(AND(ISNUMBER(D170),ISNUMBER(H170)),D170-H170,NA())</f>
        <v/>
      </c>
      <c r="M170" s="20">
        <f>IF(AND(ISNUMBER(E170),ISNUMBER(K170)),E170-K170,NA())</f>
        <v/>
      </c>
      <c r="N170" s="20">
        <f>IF(NOT(ISNUMBER($A170)),NA(),IF(COUNT(OFFSET(G170,1,0,Settings!$B$12,1))&lt;ROUNDUP(Settings!$B$12*Settings!$B$26,0),NA(),STDEV(OFFSET(G170,1,0,Settings!$B$12,1))*SQRT(Settings!$B$13)))</f>
        <v/>
      </c>
      <c r="O170" s="20">
        <f>IF(AND(ISNUMBER(E170),ISNUMBER(N170)),E170-N170,NA())</f>
        <v/>
      </c>
      <c r="P170" s="19">
        <f>IF(NOT(ISNUMBER($A170)),NA(),IF(OR($A170&lt;MIN(KW_TP!$A$2:$A$2501),$A170&gt;MAX(KW_TP!$A$2:$A$2501)),NA(),INDEX(KW_TP!$C$2:$C$2501,MATCH($A170,KW_TP!$A$2:$A$2501,1))))</f>
        <v/>
      </c>
      <c r="Q170" s="18">
        <f>IF(NOT(ISNUMBER($A170)),NA(),IFERROR(1*INDEX(BBG_Data!$J$2:$J$4000,MATCH($A170,BBG_Data!$I$2:$I$4000,0)),NA()))</f>
        <v/>
      </c>
      <c r="R170" s="18">
        <f>IF(NOT(ISNUMBER($A170)),NA(),IFERROR(1*INDEX(BBG_Data!$L$2:$L$4000,MATCH($A170,BBG_Data!$K$2:$K$4000,0)),NA()))</f>
        <v/>
      </c>
      <c r="S170" s="20">
        <f>IF(AND(ISNUMBER(B170),ISNUMBER(Q170),ISNUMBER(R170)),(B170-Q170-R170)*100,NA())</f>
        <v/>
      </c>
      <c r="T170" s="20">
        <f>IF(AND(ISNUMBER(B170),Settings!$B$17&gt;0),IF(ISNUMBER(INDEX($B:$B,Settings!$B$17)),(B170-INDEX($B:$B,Settings!$B$17))*100,NA()),NA())</f>
        <v/>
      </c>
      <c r="U170" s="20">
        <f>IF(AND(ISNUMBER(Q170),Settings!$B$17&gt;0),IF(ISNUMBER(INDEX($Q:$Q,Settings!$B$17)),(Q170-INDEX($Q:$Q,Settings!$B$17))*100,NA()),NA())</f>
        <v/>
      </c>
      <c r="V170" s="20">
        <f>IF(AND(ISNUMBER(R170),Settings!$B$17&gt;0),IF(ISNUMBER(INDEX($R:$R,Settings!$B$17)),(R170-INDEX($R:$R,Settings!$B$17))*100,NA()),NA())</f>
        <v/>
      </c>
      <c r="W170" s="20">
        <f>IF(AND(ISNUMBER(P170),Settings!$B$17&gt;0),IF(ISNUMBER(INDEX($P:$P,Settings!$B$17)),P170-INDEX($P:$P,Settings!$B$17),NA()),NA())</f>
        <v/>
      </c>
      <c r="X170" s="19">
        <f>IF(NOT(ISNUMBER($A170)),NA(),IF(OR($A170&lt;MIN(DKW_10Y!$A$2:$A$2918),$A170&gt;MAX(DKW_10Y!$A$2:$A$2918),Settings!$B$16&lt;MIN(DKW_10Y!$A$2:$A$2918)),NA(),(INDEX(DKW_10Y!$B$2:$B$2918,MATCH($A170,DKW_10Y!$A$2:$A$2918,1))-INDEX(DKW_10Y!$B$2:$B$2918,MATCH(Settings!$B$16,DKW_10Y!$A$2:$A$2918,1)))*100))</f>
        <v/>
      </c>
      <c r="Y170" s="19">
        <f>IF(NOT(ISNUMBER($A170)),NA(),IF(OR($A170&lt;MIN(DKW_10Y!$A$2:$A$2918),$A170&gt;MAX(DKW_10Y!$A$2:$A$2918),Settings!$B$16&lt;MIN(DKW_10Y!$A$2:$A$2918)),NA(),(INDEX(DKW_10Y!$C$2:$C$2918,MATCH($A170,DKW_10Y!$A$2:$A$2918,1))-INDEX(DKW_10Y!$C$2:$C$2918,MATCH(Settings!$B$16,DKW_10Y!$A$2:$A$2918,1)))*100))</f>
        <v/>
      </c>
      <c r="Z170" s="19">
        <f>IF(NOT(ISNUMBER($A170)),NA(),IF(OR($A170&lt;MIN(DKW_10Y!$A$2:$A$2918),$A170&gt;MAX(DKW_10Y!$A$2:$A$2918),Settings!$B$16&lt;MIN(DKW_10Y!$A$2:$A$2918)),NA(),(INDEX(DKW_10Y!$D$2:$D$2918,MATCH($A170,DKW_10Y!$A$2:$A$2918,1))-INDEX(DKW_10Y!$D$2:$D$2918,MATCH(Settings!$B$16,DKW_10Y!$A$2:$A$2918,1)))*100))</f>
        <v/>
      </c>
      <c r="AA170" s="19">
        <f>IF(NOT(ISNUMBER($A170)),NA(),IF(OR($A170&lt;MIN(DKW_10Y!$A$2:$A$2918),$A170&gt;MAX(DKW_10Y!$A$2:$A$2918),Settings!$B$16&lt;MIN(DKW_10Y!$A$2:$A$2918)),NA(),(INDEX(DKW_10Y!$E$2:$E$2918,MATCH($A170,DKW_10Y!$A$2:$A$2918,1))-INDEX(DKW_10Y!$E$2:$E$2918,MATCH(Settings!$B$16,DKW_10Y!$A$2:$A$2918,1)))*100))</f>
        <v/>
      </c>
      <c r="AB170" s="19">
        <f>IF(NOT(ISNUMBER($A170)),NA(),IF(OR($A170&lt;MIN(DKW_10Y!$A$2:$A$2918),$A170&gt;MAX(DKW_10Y!$A$2:$A$2918),Settings!$B$16&lt;MIN(DKW_10Y!$A$2:$A$2918)),NA(),(INDEX(DKW_10Y!$H$2:$H$2918,MATCH($A170,DKW_10Y!$A$2:$A$2918,1))-INDEX(DKW_10Y!$H$2:$H$2918,MATCH(Settings!$B$16,DKW_10Y!$A$2:$A$2918,1)))*100))</f>
        <v/>
      </c>
      <c r="AC170" s="18">
        <f>IF(NOT(ISNUMBER($A170)),NA(),IFERROR(1*INDEX(BBG_Data!$N$2:$N$4000,MATCH($A170,BBG_Data!$M$2:$M$4000,0)),NA()))</f>
        <v/>
      </c>
      <c r="AD170" s="18">
        <f>IF(NOT(ISNUMBER($A170)),NA(),IFERROR(1*INDEX(BBG_Data!$P$2:$P$4000,MATCH($A170,BBG_Data!$O$2:$O$4000,0)),NA()))</f>
        <v/>
      </c>
      <c r="AE170" s="18">
        <f>IF(NOT(ISNUMBER($A170)),NA(),IFERROR(1*INDEX(BBG_Data!$R$2:$R$4000,MATCH($A170,BBG_Data!$Q$2:$Q$4000,0)),NA()))</f>
        <v/>
      </c>
      <c r="AF170" s="20">
        <f>IF(AND(ISNUMBER(B170),ISNUMBER(AC170)),(B170-AC170)*100,NA())</f>
        <v/>
      </c>
      <c r="AG170" s="20">
        <f>IF(AND(ISNUMBER(AE170),ISNUMBER(AD170)),(AE170-AD170)*100,NA())</f>
        <v/>
      </c>
      <c r="AH170" s="19">
        <f>IF(NOT(ISNUMBER($A170)),NA(),IFERROR(INDEX(BBG_Data!$T$2:$T$4000,MATCH($A170,BBG_Data!$S$2:$S$4000,0))*Settings!$B$25,NA()))</f>
        <v/>
      </c>
      <c r="AI170" s="19">
        <f>IF(NOT(ISNUMBER($A170)),NA(),IFERROR(INDEX(BBG_Data!$V$2:$V$4000,MATCH($A170,BBG_Data!$U$2:$U$4000,0))*Settings!$B$25,NA()))</f>
        <v/>
      </c>
      <c r="AJ170" s="19">
        <f>IF(NOT(ISNUMBER($A170)),NA(),IFERROR(1*INDEX(BBG_Data!$X$2:$X$4000,MATCH($A170,BBG_Data!$W$2:$W$4000,0)),NA()))</f>
        <v/>
      </c>
      <c r="AK170" s="19">
        <f>IF(NOT(ISNUMBER($A170)),NA(),IFERROR(1*INDEX(BBG_Data!$Z$2:$Z$4000,MATCH($A170,BBG_Data!$Y$2:$Y$4000,0)),NA()))</f>
        <v/>
      </c>
    </row>
    <row r="171">
      <c r="A171" s="17">
        <f>IF(ISNUMBER(BBG_Data!A171),BBG_Data!A171,"")</f>
        <v/>
      </c>
      <c r="B171" s="18">
        <f>IF(AND(ISNUMBER($A171),ISNUMBER(BBG_Data!B171)),BBG_Data!B171,NA())</f>
        <v/>
      </c>
      <c r="C171" s="18">
        <f>IF(NOT(ISNUMBER($A171)),NA(),IFERROR(1*INDEX(BBG_Data!$D$2:$D$4000,MATCH($A171,BBG_Data!$C$2:$C$4000,0)),NA()))</f>
        <v/>
      </c>
      <c r="D171" s="19">
        <f>IF(NOT(ISNUMBER($A171)),NA(),IFERROR(1*INDEX(BBG_Data!$F$2:$F$4000,MATCH($A171,BBG_Data!$E$2:$E$4000,0)),NA()))</f>
        <v/>
      </c>
      <c r="E171" s="19">
        <f>IF(NOT(ISNUMBER($A171)),NA(),IFERROR(1*INDEX(BBG_Data!$H$2:$H$4000,MATCH($A171,BBG_Data!$G$2:$G$4000,0)),NA()))</f>
        <v/>
      </c>
      <c r="F171" s="20">
        <f>IF(AND(ISNUMBER(B171),ISNUMBER(B170)),IF(B171=B170,"",(B171-B170)*100),"")</f>
        <v/>
      </c>
      <c r="G171" s="20">
        <f>IF(AND(ISNUMBER(C171),ISNUMBER(C170)),IF(C171=C170,"",(C171-C170)*100),"")</f>
        <v/>
      </c>
      <c r="H171" s="20">
        <f>IF(OR(NOT(ISNUMBER($A171)),ROW()-2&lt;Settings!$B$11),NA(),IF(COUNT(OFFSET(F171,1-Settings!$B$11,0,Settings!$B$11,1))&lt;ROUNDUP(Settings!$B$11*Settings!$B$26,0),NA(),STDEV(OFFSET(F171,1-Settings!$B$11,0,Settings!$B$11,1))*SQRT(Settings!$B$13)))</f>
        <v/>
      </c>
      <c r="I171" s="20">
        <f>IF(OR(NOT(ISNUMBER($A171)),ROW()-2&lt;Settings!$B$12),NA(),IF(COUNT(OFFSET(F171,1-Settings!$B$12,0,Settings!$B$12,1))&lt;ROUNDUP(Settings!$B$12*Settings!$B$26,0),NA(),STDEV(OFFSET(F171,1-Settings!$B$12,0,Settings!$B$12,1))*SQRT(Settings!$B$13)))</f>
        <v/>
      </c>
      <c r="J171" s="20">
        <f>IF(OR(NOT(ISNUMBER($A171)),ROW()-2&lt;Settings!$B$11),NA(),IF(COUNT(OFFSET(G171,1-Settings!$B$11,0,Settings!$B$11,1))&lt;ROUNDUP(Settings!$B$11*Settings!$B$26,0),NA(),STDEV(OFFSET(G171,1-Settings!$B$11,0,Settings!$B$11,1))*SQRT(Settings!$B$13)))</f>
        <v/>
      </c>
      <c r="K171" s="20">
        <f>IF(OR(NOT(ISNUMBER($A171)),ROW()-2&lt;Settings!$B$12),NA(),IF(COUNT(OFFSET(G171,1-Settings!$B$12,0,Settings!$B$12,1))&lt;ROUNDUP(Settings!$B$12*Settings!$B$26,0),NA(),STDEV(OFFSET(G171,1-Settings!$B$12,0,Settings!$B$12,1))*SQRT(Settings!$B$13)))</f>
        <v/>
      </c>
      <c r="L171" s="20">
        <f>IF(AND(ISNUMBER(D171),ISNUMBER(H171)),D171-H171,NA())</f>
        <v/>
      </c>
      <c r="M171" s="20">
        <f>IF(AND(ISNUMBER(E171),ISNUMBER(K171)),E171-K171,NA())</f>
        <v/>
      </c>
      <c r="N171" s="20">
        <f>IF(NOT(ISNUMBER($A171)),NA(),IF(COUNT(OFFSET(G171,1,0,Settings!$B$12,1))&lt;ROUNDUP(Settings!$B$12*Settings!$B$26,0),NA(),STDEV(OFFSET(G171,1,0,Settings!$B$12,1))*SQRT(Settings!$B$13)))</f>
        <v/>
      </c>
      <c r="O171" s="20">
        <f>IF(AND(ISNUMBER(E171),ISNUMBER(N171)),E171-N171,NA())</f>
        <v/>
      </c>
      <c r="P171" s="19">
        <f>IF(NOT(ISNUMBER($A171)),NA(),IF(OR($A171&lt;MIN(KW_TP!$A$2:$A$2501),$A171&gt;MAX(KW_TP!$A$2:$A$2501)),NA(),INDEX(KW_TP!$C$2:$C$2501,MATCH($A171,KW_TP!$A$2:$A$2501,1))))</f>
        <v/>
      </c>
      <c r="Q171" s="18">
        <f>IF(NOT(ISNUMBER($A171)),NA(),IFERROR(1*INDEX(BBG_Data!$J$2:$J$4000,MATCH($A171,BBG_Data!$I$2:$I$4000,0)),NA()))</f>
        <v/>
      </c>
      <c r="R171" s="18">
        <f>IF(NOT(ISNUMBER($A171)),NA(),IFERROR(1*INDEX(BBG_Data!$L$2:$L$4000,MATCH($A171,BBG_Data!$K$2:$K$4000,0)),NA()))</f>
        <v/>
      </c>
      <c r="S171" s="20">
        <f>IF(AND(ISNUMBER(B171),ISNUMBER(Q171),ISNUMBER(R171)),(B171-Q171-R171)*100,NA())</f>
        <v/>
      </c>
      <c r="T171" s="20">
        <f>IF(AND(ISNUMBER(B171),Settings!$B$17&gt;0),IF(ISNUMBER(INDEX($B:$B,Settings!$B$17)),(B171-INDEX($B:$B,Settings!$B$17))*100,NA()),NA())</f>
        <v/>
      </c>
      <c r="U171" s="20">
        <f>IF(AND(ISNUMBER(Q171),Settings!$B$17&gt;0),IF(ISNUMBER(INDEX($Q:$Q,Settings!$B$17)),(Q171-INDEX($Q:$Q,Settings!$B$17))*100,NA()),NA())</f>
        <v/>
      </c>
      <c r="V171" s="20">
        <f>IF(AND(ISNUMBER(R171),Settings!$B$17&gt;0),IF(ISNUMBER(INDEX($R:$R,Settings!$B$17)),(R171-INDEX($R:$R,Settings!$B$17))*100,NA()),NA())</f>
        <v/>
      </c>
      <c r="W171" s="20">
        <f>IF(AND(ISNUMBER(P171),Settings!$B$17&gt;0),IF(ISNUMBER(INDEX($P:$P,Settings!$B$17)),P171-INDEX($P:$P,Settings!$B$17),NA()),NA())</f>
        <v/>
      </c>
      <c r="X171" s="19">
        <f>IF(NOT(ISNUMBER($A171)),NA(),IF(OR($A171&lt;MIN(DKW_10Y!$A$2:$A$2918),$A171&gt;MAX(DKW_10Y!$A$2:$A$2918),Settings!$B$16&lt;MIN(DKW_10Y!$A$2:$A$2918)),NA(),(INDEX(DKW_10Y!$B$2:$B$2918,MATCH($A171,DKW_10Y!$A$2:$A$2918,1))-INDEX(DKW_10Y!$B$2:$B$2918,MATCH(Settings!$B$16,DKW_10Y!$A$2:$A$2918,1)))*100))</f>
        <v/>
      </c>
      <c r="Y171" s="19">
        <f>IF(NOT(ISNUMBER($A171)),NA(),IF(OR($A171&lt;MIN(DKW_10Y!$A$2:$A$2918),$A171&gt;MAX(DKW_10Y!$A$2:$A$2918),Settings!$B$16&lt;MIN(DKW_10Y!$A$2:$A$2918)),NA(),(INDEX(DKW_10Y!$C$2:$C$2918,MATCH($A171,DKW_10Y!$A$2:$A$2918,1))-INDEX(DKW_10Y!$C$2:$C$2918,MATCH(Settings!$B$16,DKW_10Y!$A$2:$A$2918,1)))*100))</f>
        <v/>
      </c>
      <c r="Z171" s="19">
        <f>IF(NOT(ISNUMBER($A171)),NA(),IF(OR($A171&lt;MIN(DKW_10Y!$A$2:$A$2918),$A171&gt;MAX(DKW_10Y!$A$2:$A$2918),Settings!$B$16&lt;MIN(DKW_10Y!$A$2:$A$2918)),NA(),(INDEX(DKW_10Y!$D$2:$D$2918,MATCH($A171,DKW_10Y!$A$2:$A$2918,1))-INDEX(DKW_10Y!$D$2:$D$2918,MATCH(Settings!$B$16,DKW_10Y!$A$2:$A$2918,1)))*100))</f>
        <v/>
      </c>
      <c r="AA171" s="19">
        <f>IF(NOT(ISNUMBER($A171)),NA(),IF(OR($A171&lt;MIN(DKW_10Y!$A$2:$A$2918),$A171&gt;MAX(DKW_10Y!$A$2:$A$2918),Settings!$B$16&lt;MIN(DKW_10Y!$A$2:$A$2918)),NA(),(INDEX(DKW_10Y!$E$2:$E$2918,MATCH($A171,DKW_10Y!$A$2:$A$2918,1))-INDEX(DKW_10Y!$E$2:$E$2918,MATCH(Settings!$B$16,DKW_10Y!$A$2:$A$2918,1)))*100))</f>
        <v/>
      </c>
      <c r="AB171" s="19">
        <f>IF(NOT(ISNUMBER($A171)),NA(),IF(OR($A171&lt;MIN(DKW_10Y!$A$2:$A$2918),$A171&gt;MAX(DKW_10Y!$A$2:$A$2918),Settings!$B$16&lt;MIN(DKW_10Y!$A$2:$A$2918)),NA(),(INDEX(DKW_10Y!$H$2:$H$2918,MATCH($A171,DKW_10Y!$A$2:$A$2918,1))-INDEX(DKW_10Y!$H$2:$H$2918,MATCH(Settings!$B$16,DKW_10Y!$A$2:$A$2918,1)))*100))</f>
        <v/>
      </c>
      <c r="AC171" s="18">
        <f>IF(NOT(ISNUMBER($A171)),NA(),IFERROR(1*INDEX(BBG_Data!$N$2:$N$4000,MATCH($A171,BBG_Data!$M$2:$M$4000,0)),NA()))</f>
        <v/>
      </c>
      <c r="AD171" s="18">
        <f>IF(NOT(ISNUMBER($A171)),NA(),IFERROR(1*INDEX(BBG_Data!$P$2:$P$4000,MATCH($A171,BBG_Data!$O$2:$O$4000,0)),NA()))</f>
        <v/>
      </c>
      <c r="AE171" s="18">
        <f>IF(NOT(ISNUMBER($A171)),NA(),IFERROR(1*INDEX(BBG_Data!$R$2:$R$4000,MATCH($A171,BBG_Data!$Q$2:$Q$4000,0)),NA()))</f>
        <v/>
      </c>
      <c r="AF171" s="20">
        <f>IF(AND(ISNUMBER(B171),ISNUMBER(AC171)),(B171-AC171)*100,NA())</f>
        <v/>
      </c>
      <c r="AG171" s="20">
        <f>IF(AND(ISNUMBER(AE171),ISNUMBER(AD171)),(AE171-AD171)*100,NA())</f>
        <v/>
      </c>
      <c r="AH171" s="19">
        <f>IF(NOT(ISNUMBER($A171)),NA(),IFERROR(INDEX(BBG_Data!$T$2:$T$4000,MATCH($A171,BBG_Data!$S$2:$S$4000,0))*Settings!$B$25,NA()))</f>
        <v/>
      </c>
      <c r="AI171" s="19">
        <f>IF(NOT(ISNUMBER($A171)),NA(),IFERROR(INDEX(BBG_Data!$V$2:$V$4000,MATCH($A171,BBG_Data!$U$2:$U$4000,0))*Settings!$B$25,NA()))</f>
        <v/>
      </c>
      <c r="AJ171" s="19">
        <f>IF(NOT(ISNUMBER($A171)),NA(),IFERROR(1*INDEX(BBG_Data!$X$2:$X$4000,MATCH($A171,BBG_Data!$W$2:$W$4000,0)),NA()))</f>
        <v/>
      </c>
      <c r="AK171" s="19">
        <f>IF(NOT(ISNUMBER($A171)),NA(),IFERROR(1*INDEX(BBG_Data!$Z$2:$Z$4000,MATCH($A171,BBG_Data!$Y$2:$Y$4000,0)),NA()))</f>
        <v/>
      </c>
    </row>
    <row r="172">
      <c r="A172" s="17">
        <f>IF(ISNUMBER(BBG_Data!A172),BBG_Data!A172,"")</f>
        <v/>
      </c>
      <c r="B172" s="18">
        <f>IF(AND(ISNUMBER($A172),ISNUMBER(BBG_Data!B172)),BBG_Data!B172,NA())</f>
        <v/>
      </c>
      <c r="C172" s="18">
        <f>IF(NOT(ISNUMBER($A172)),NA(),IFERROR(1*INDEX(BBG_Data!$D$2:$D$4000,MATCH($A172,BBG_Data!$C$2:$C$4000,0)),NA()))</f>
        <v/>
      </c>
      <c r="D172" s="19">
        <f>IF(NOT(ISNUMBER($A172)),NA(),IFERROR(1*INDEX(BBG_Data!$F$2:$F$4000,MATCH($A172,BBG_Data!$E$2:$E$4000,0)),NA()))</f>
        <v/>
      </c>
      <c r="E172" s="19">
        <f>IF(NOT(ISNUMBER($A172)),NA(),IFERROR(1*INDEX(BBG_Data!$H$2:$H$4000,MATCH($A172,BBG_Data!$G$2:$G$4000,0)),NA()))</f>
        <v/>
      </c>
      <c r="F172" s="20">
        <f>IF(AND(ISNUMBER(B172),ISNUMBER(B171)),IF(B172=B171,"",(B172-B171)*100),"")</f>
        <v/>
      </c>
      <c r="G172" s="20">
        <f>IF(AND(ISNUMBER(C172),ISNUMBER(C171)),IF(C172=C171,"",(C172-C171)*100),"")</f>
        <v/>
      </c>
      <c r="H172" s="20">
        <f>IF(OR(NOT(ISNUMBER($A172)),ROW()-2&lt;Settings!$B$11),NA(),IF(COUNT(OFFSET(F172,1-Settings!$B$11,0,Settings!$B$11,1))&lt;ROUNDUP(Settings!$B$11*Settings!$B$26,0),NA(),STDEV(OFFSET(F172,1-Settings!$B$11,0,Settings!$B$11,1))*SQRT(Settings!$B$13)))</f>
        <v/>
      </c>
      <c r="I172" s="20">
        <f>IF(OR(NOT(ISNUMBER($A172)),ROW()-2&lt;Settings!$B$12),NA(),IF(COUNT(OFFSET(F172,1-Settings!$B$12,0,Settings!$B$12,1))&lt;ROUNDUP(Settings!$B$12*Settings!$B$26,0),NA(),STDEV(OFFSET(F172,1-Settings!$B$12,0,Settings!$B$12,1))*SQRT(Settings!$B$13)))</f>
        <v/>
      </c>
      <c r="J172" s="20">
        <f>IF(OR(NOT(ISNUMBER($A172)),ROW()-2&lt;Settings!$B$11),NA(),IF(COUNT(OFFSET(G172,1-Settings!$B$11,0,Settings!$B$11,1))&lt;ROUNDUP(Settings!$B$11*Settings!$B$26,0),NA(),STDEV(OFFSET(G172,1-Settings!$B$11,0,Settings!$B$11,1))*SQRT(Settings!$B$13)))</f>
        <v/>
      </c>
      <c r="K172" s="20">
        <f>IF(OR(NOT(ISNUMBER($A172)),ROW()-2&lt;Settings!$B$12),NA(),IF(COUNT(OFFSET(G172,1-Settings!$B$12,0,Settings!$B$12,1))&lt;ROUNDUP(Settings!$B$12*Settings!$B$26,0),NA(),STDEV(OFFSET(G172,1-Settings!$B$12,0,Settings!$B$12,1))*SQRT(Settings!$B$13)))</f>
        <v/>
      </c>
      <c r="L172" s="20">
        <f>IF(AND(ISNUMBER(D172),ISNUMBER(H172)),D172-H172,NA())</f>
        <v/>
      </c>
      <c r="M172" s="20">
        <f>IF(AND(ISNUMBER(E172),ISNUMBER(K172)),E172-K172,NA())</f>
        <v/>
      </c>
      <c r="N172" s="20">
        <f>IF(NOT(ISNUMBER($A172)),NA(),IF(COUNT(OFFSET(G172,1,0,Settings!$B$12,1))&lt;ROUNDUP(Settings!$B$12*Settings!$B$26,0),NA(),STDEV(OFFSET(G172,1,0,Settings!$B$12,1))*SQRT(Settings!$B$13)))</f>
        <v/>
      </c>
      <c r="O172" s="20">
        <f>IF(AND(ISNUMBER(E172),ISNUMBER(N172)),E172-N172,NA())</f>
        <v/>
      </c>
      <c r="P172" s="19">
        <f>IF(NOT(ISNUMBER($A172)),NA(),IF(OR($A172&lt;MIN(KW_TP!$A$2:$A$2501),$A172&gt;MAX(KW_TP!$A$2:$A$2501)),NA(),INDEX(KW_TP!$C$2:$C$2501,MATCH($A172,KW_TP!$A$2:$A$2501,1))))</f>
        <v/>
      </c>
      <c r="Q172" s="18">
        <f>IF(NOT(ISNUMBER($A172)),NA(),IFERROR(1*INDEX(BBG_Data!$J$2:$J$4000,MATCH($A172,BBG_Data!$I$2:$I$4000,0)),NA()))</f>
        <v/>
      </c>
      <c r="R172" s="18">
        <f>IF(NOT(ISNUMBER($A172)),NA(),IFERROR(1*INDEX(BBG_Data!$L$2:$L$4000,MATCH($A172,BBG_Data!$K$2:$K$4000,0)),NA()))</f>
        <v/>
      </c>
      <c r="S172" s="20">
        <f>IF(AND(ISNUMBER(B172),ISNUMBER(Q172),ISNUMBER(R172)),(B172-Q172-R172)*100,NA())</f>
        <v/>
      </c>
      <c r="T172" s="20">
        <f>IF(AND(ISNUMBER(B172),Settings!$B$17&gt;0),IF(ISNUMBER(INDEX($B:$B,Settings!$B$17)),(B172-INDEX($B:$B,Settings!$B$17))*100,NA()),NA())</f>
        <v/>
      </c>
      <c r="U172" s="20">
        <f>IF(AND(ISNUMBER(Q172),Settings!$B$17&gt;0),IF(ISNUMBER(INDEX($Q:$Q,Settings!$B$17)),(Q172-INDEX($Q:$Q,Settings!$B$17))*100,NA()),NA())</f>
        <v/>
      </c>
      <c r="V172" s="20">
        <f>IF(AND(ISNUMBER(R172),Settings!$B$17&gt;0),IF(ISNUMBER(INDEX($R:$R,Settings!$B$17)),(R172-INDEX($R:$R,Settings!$B$17))*100,NA()),NA())</f>
        <v/>
      </c>
      <c r="W172" s="20">
        <f>IF(AND(ISNUMBER(P172),Settings!$B$17&gt;0),IF(ISNUMBER(INDEX($P:$P,Settings!$B$17)),P172-INDEX($P:$P,Settings!$B$17),NA()),NA())</f>
        <v/>
      </c>
      <c r="X172" s="19">
        <f>IF(NOT(ISNUMBER($A172)),NA(),IF(OR($A172&lt;MIN(DKW_10Y!$A$2:$A$2918),$A172&gt;MAX(DKW_10Y!$A$2:$A$2918),Settings!$B$16&lt;MIN(DKW_10Y!$A$2:$A$2918)),NA(),(INDEX(DKW_10Y!$B$2:$B$2918,MATCH($A172,DKW_10Y!$A$2:$A$2918,1))-INDEX(DKW_10Y!$B$2:$B$2918,MATCH(Settings!$B$16,DKW_10Y!$A$2:$A$2918,1)))*100))</f>
        <v/>
      </c>
      <c r="Y172" s="19">
        <f>IF(NOT(ISNUMBER($A172)),NA(),IF(OR($A172&lt;MIN(DKW_10Y!$A$2:$A$2918),$A172&gt;MAX(DKW_10Y!$A$2:$A$2918),Settings!$B$16&lt;MIN(DKW_10Y!$A$2:$A$2918)),NA(),(INDEX(DKW_10Y!$C$2:$C$2918,MATCH($A172,DKW_10Y!$A$2:$A$2918,1))-INDEX(DKW_10Y!$C$2:$C$2918,MATCH(Settings!$B$16,DKW_10Y!$A$2:$A$2918,1)))*100))</f>
        <v/>
      </c>
      <c r="Z172" s="19">
        <f>IF(NOT(ISNUMBER($A172)),NA(),IF(OR($A172&lt;MIN(DKW_10Y!$A$2:$A$2918),$A172&gt;MAX(DKW_10Y!$A$2:$A$2918),Settings!$B$16&lt;MIN(DKW_10Y!$A$2:$A$2918)),NA(),(INDEX(DKW_10Y!$D$2:$D$2918,MATCH($A172,DKW_10Y!$A$2:$A$2918,1))-INDEX(DKW_10Y!$D$2:$D$2918,MATCH(Settings!$B$16,DKW_10Y!$A$2:$A$2918,1)))*100))</f>
        <v/>
      </c>
      <c r="AA172" s="19">
        <f>IF(NOT(ISNUMBER($A172)),NA(),IF(OR($A172&lt;MIN(DKW_10Y!$A$2:$A$2918),$A172&gt;MAX(DKW_10Y!$A$2:$A$2918),Settings!$B$16&lt;MIN(DKW_10Y!$A$2:$A$2918)),NA(),(INDEX(DKW_10Y!$E$2:$E$2918,MATCH($A172,DKW_10Y!$A$2:$A$2918,1))-INDEX(DKW_10Y!$E$2:$E$2918,MATCH(Settings!$B$16,DKW_10Y!$A$2:$A$2918,1)))*100))</f>
        <v/>
      </c>
      <c r="AB172" s="19">
        <f>IF(NOT(ISNUMBER($A172)),NA(),IF(OR($A172&lt;MIN(DKW_10Y!$A$2:$A$2918),$A172&gt;MAX(DKW_10Y!$A$2:$A$2918),Settings!$B$16&lt;MIN(DKW_10Y!$A$2:$A$2918)),NA(),(INDEX(DKW_10Y!$H$2:$H$2918,MATCH($A172,DKW_10Y!$A$2:$A$2918,1))-INDEX(DKW_10Y!$H$2:$H$2918,MATCH(Settings!$B$16,DKW_10Y!$A$2:$A$2918,1)))*100))</f>
        <v/>
      </c>
      <c r="AC172" s="18">
        <f>IF(NOT(ISNUMBER($A172)),NA(),IFERROR(1*INDEX(BBG_Data!$N$2:$N$4000,MATCH($A172,BBG_Data!$M$2:$M$4000,0)),NA()))</f>
        <v/>
      </c>
      <c r="AD172" s="18">
        <f>IF(NOT(ISNUMBER($A172)),NA(),IFERROR(1*INDEX(BBG_Data!$P$2:$P$4000,MATCH($A172,BBG_Data!$O$2:$O$4000,0)),NA()))</f>
        <v/>
      </c>
      <c r="AE172" s="18">
        <f>IF(NOT(ISNUMBER($A172)),NA(),IFERROR(1*INDEX(BBG_Data!$R$2:$R$4000,MATCH($A172,BBG_Data!$Q$2:$Q$4000,0)),NA()))</f>
        <v/>
      </c>
      <c r="AF172" s="20">
        <f>IF(AND(ISNUMBER(B172),ISNUMBER(AC172)),(B172-AC172)*100,NA())</f>
        <v/>
      </c>
      <c r="AG172" s="20">
        <f>IF(AND(ISNUMBER(AE172),ISNUMBER(AD172)),(AE172-AD172)*100,NA())</f>
        <v/>
      </c>
      <c r="AH172" s="19">
        <f>IF(NOT(ISNUMBER($A172)),NA(),IFERROR(INDEX(BBG_Data!$T$2:$T$4000,MATCH($A172,BBG_Data!$S$2:$S$4000,0))*Settings!$B$25,NA()))</f>
        <v/>
      </c>
      <c r="AI172" s="19">
        <f>IF(NOT(ISNUMBER($A172)),NA(),IFERROR(INDEX(BBG_Data!$V$2:$V$4000,MATCH($A172,BBG_Data!$U$2:$U$4000,0))*Settings!$B$25,NA()))</f>
        <v/>
      </c>
      <c r="AJ172" s="19">
        <f>IF(NOT(ISNUMBER($A172)),NA(),IFERROR(1*INDEX(BBG_Data!$X$2:$X$4000,MATCH($A172,BBG_Data!$W$2:$W$4000,0)),NA()))</f>
        <v/>
      </c>
      <c r="AK172" s="19">
        <f>IF(NOT(ISNUMBER($A172)),NA(),IFERROR(1*INDEX(BBG_Data!$Z$2:$Z$4000,MATCH($A172,BBG_Data!$Y$2:$Y$4000,0)),NA()))</f>
        <v/>
      </c>
    </row>
    <row r="173">
      <c r="A173" s="17">
        <f>IF(ISNUMBER(BBG_Data!A173),BBG_Data!A173,"")</f>
        <v/>
      </c>
      <c r="B173" s="18">
        <f>IF(AND(ISNUMBER($A173),ISNUMBER(BBG_Data!B173)),BBG_Data!B173,NA())</f>
        <v/>
      </c>
      <c r="C173" s="18">
        <f>IF(NOT(ISNUMBER($A173)),NA(),IFERROR(1*INDEX(BBG_Data!$D$2:$D$4000,MATCH($A173,BBG_Data!$C$2:$C$4000,0)),NA()))</f>
        <v/>
      </c>
      <c r="D173" s="19">
        <f>IF(NOT(ISNUMBER($A173)),NA(),IFERROR(1*INDEX(BBG_Data!$F$2:$F$4000,MATCH($A173,BBG_Data!$E$2:$E$4000,0)),NA()))</f>
        <v/>
      </c>
      <c r="E173" s="19">
        <f>IF(NOT(ISNUMBER($A173)),NA(),IFERROR(1*INDEX(BBG_Data!$H$2:$H$4000,MATCH($A173,BBG_Data!$G$2:$G$4000,0)),NA()))</f>
        <v/>
      </c>
      <c r="F173" s="20">
        <f>IF(AND(ISNUMBER(B173),ISNUMBER(B172)),IF(B173=B172,"",(B173-B172)*100),"")</f>
        <v/>
      </c>
      <c r="G173" s="20">
        <f>IF(AND(ISNUMBER(C173),ISNUMBER(C172)),IF(C173=C172,"",(C173-C172)*100),"")</f>
        <v/>
      </c>
      <c r="H173" s="20">
        <f>IF(OR(NOT(ISNUMBER($A173)),ROW()-2&lt;Settings!$B$11),NA(),IF(COUNT(OFFSET(F173,1-Settings!$B$11,0,Settings!$B$11,1))&lt;ROUNDUP(Settings!$B$11*Settings!$B$26,0),NA(),STDEV(OFFSET(F173,1-Settings!$B$11,0,Settings!$B$11,1))*SQRT(Settings!$B$13)))</f>
        <v/>
      </c>
      <c r="I173" s="20">
        <f>IF(OR(NOT(ISNUMBER($A173)),ROW()-2&lt;Settings!$B$12),NA(),IF(COUNT(OFFSET(F173,1-Settings!$B$12,0,Settings!$B$12,1))&lt;ROUNDUP(Settings!$B$12*Settings!$B$26,0),NA(),STDEV(OFFSET(F173,1-Settings!$B$12,0,Settings!$B$12,1))*SQRT(Settings!$B$13)))</f>
        <v/>
      </c>
      <c r="J173" s="20">
        <f>IF(OR(NOT(ISNUMBER($A173)),ROW()-2&lt;Settings!$B$11),NA(),IF(COUNT(OFFSET(G173,1-Settings!$B$11,0,Settings!$B$11,1))&lt;ROUNDUP(Settings!$B$11*Settings!$B$26,0),NA(),STDEV(OFFSET(G173,1-Settings!$B$11,0,Settings!$B$11,1))*SQRT(Settings!$B$13)))</f>
        <v/>
      </c>
      <c r="K173" s="20">
        <f>IF(OR(NOT(ISNUMBER($A173)),ROW()-2&lt;Settings!$B$12),NA(),IF(COUNT(OFFSET(G173,1-Settings!$B$12,0,Settings!$B$12,1))&lt;ROUNDUP(Settings!$B$12*Settings!$B$26,0),NA(),STDEV(OFFSET(G173,1-Settings!$B$12,0,Settings!$B$12,1))*SQRT(Settings!$B$13)))</f>
        <v/>
      </c>
      <c r="L173" s="20">
        <f>IF(AND(ISNUMBER(D173),ISNUMBER(H173)),D173-H173,NA())</f>
        <v/>
      </c>
      <c r="M173" s="20">
        <f>IF(AND(ISNUMBER(E173),ISNUMBER(K173)),E173-K173,NA())</f>
        <v/>
      </c>
      <c r="N173" s="20">
        <f>IF(NOT(ISNUMBER($A173)),NA(),IF(COUNT(OFFSET(G173,1,0,Settings!$B$12,1))&lt;ROUNDUP(Settings!$B$12*Settings!$B$26,0),NA(),STDEV(OFFSET(G173,1,0,Settings!$B$12,1))*SQRT(Settings!$B$13)))</f>
        <v/>
      </c>
      <c r="O173" s="20">
        <f>IF(AND(ISNUMBER(E173),ISNUMBER(N173)),E173-N173,NA())</f>
        <v/>
      </c>
      <c r="P173" s="19">
        <f>IF(NOT(ISNUMBER($A173)),NA(),IF(OR($A173&lt;MIN(KW_TP!$A$2:$A$2501),$A173&gt;MAX(KW_TP!$A$2:$A$2501)),NA(),INDEX(KW_TP!$C$2:$C$2501,MATCH($A173,KW_TP!$A$2:$A$2501,1))))</f>
        <v/>
      </c>
      <c r="Q173" s="18">
        <f>IF(NOT(ISNUMBER($A173)),NA(),IFERROR(1*INDEX(BBG_Data!$J$2:$J$4000,MATCH($A173,BBG_Data!$I$2:$I$4000,0)),NA()))</f>
        <v/>
      </c>
      <c r="R173" s="18">
        <f>IF(NOT(ISNUMBER($A173)),NA(),IFERROR(1*INDEX(BBG_Data!$L$2:$L$4000,MATCH($A173,BBG_Data!$K$2:$K$4000,0)),NA()))</f>
        <v/>
      </c>
      <c r="S173" s="20">
        <f>IF(AND(ISNUMBER(B173),ISNUMBER(Q173),ISNUMBER(R173)),(B173-Q173-R173)*100,NA())</f>
        <v/>
      </c>
      <c r="T173" s="20">
        <f>IF(AND(ISNUMBER(B173),Settings!$B$17&gt;0),IF(ISNUMBER(INDEX($B:$B,Settings!$B$17)),(B173-INDEX($B:$B,Settings!$B$17))*100,NA()),NA())</f>
        <v/>
      </c>
      <c r="U173" s="20">
        <f>IF(AND(ISNUMBER(Q173),Settings!$B$17&gt;0),IF(ISNUMBER(INDEX($Q:$Q,Settings!$B$17)),(Q173-INDEX($Q:$Q,Settings!$B$17))*100,NA()),NA())</f>
        <v/>
      </c>
      <c r="V173" s="20">
        <f>IF(AND(ISNUMBER(R173),Settings!$B$17&gt;0),IF(ISNUMBER(INDEX($R:$R,Settings!$B$17)),(R173-INDEX($R:$R,Settings!$B$17))*100,NA()),NA())</f>
        <v/>
      </c>
      <c r="W173" s="20">
        <f>IF(AND(ISNUMBER(P173),Settings!$B$17&gt;0),IF(ISNUMBER(INDEX($P:$P,Settings!$B$17)),P173-INDEX($P:$P,Settings!$B$17),NA()),NA())</f>
        <v/>
      </c>
      <c r="X173" s="19">
        <f>IF(NOT(ISNUMBER($A173)),NA(),IF(OR($A173&lt;MIN(DKW_10Y!$A$2:$A$2918),$A173&gt;MAX(DKW_10Y!$A$2:$A$2918),Settings!$B$16&lt;MIN(DKW_10Y!$A$2:$A$2918)),NA(),(INDEX(DKW_10Y!$B$2:$B$2918,MATCH($A173,DKW_10Y!$A$2:$A$2918,1))-INDEX(DKW_10Y!$B$2:$B$2918,MATCH(Settings!$B$16,DKW_10Y!$A$2:$A$2918,1)))*100))</f>
        <v/>
      </c>
      <c r="Y173" s="19">
        <f>IF(NOT(ISNUMBER($A173)),NA(),IF(OR($A173&lt;MIN(DKW_10Y!$A$2:$A$2918),$A173&gt;MAX(DKW_10Y!$A$2:$A$2918),Settings!$B$16&lt;MIN(DKW_10Y!$A$2:$A$2918)),NA(),(INDEX(DKW_10Y!$C$2:$C$2918,MATCH($A173,DKW_10Y!$A$2:$A$2918,1))-INDEX(DKW_10Y!$C$2:$C$2918,MATCH(Settings!$B$16,DKW_10Y!$A$2:$A$2918,1)))*100))</f>
        <v/>
      </c>
      <c r="Z173" s="19">
        <f>IF(NOT(ISNUMBER($A173)),NA(),IF(OR($A173&lt;MIN(DKW_10Y!$A$2:$A$2918),$A173&gt;MAX(DKW_10Y!$A$2:$A$2918),Settings!$B$16&lt;MIN(DKW_10Y!$A$2:$A$2918)),NA(),(INDEX(DKW_10Y!$D$2:$D$2918,MATCH($A173,DKW_10Y!$A$2:$A$2918,1))-INDEX(DKW_10Y!$D$2:$D$2918,MATCH(Settings!$B$16,DKW_10Y!$A$2:$A$2918,1)))*100))</f>
        <v/>
      </c>
      <c r="AA173" s="19">
        <f>IF(NOT(ISNUMBER($A173)),NA(),IF(OR($A173&lt;MIN(DKW_10Y!$A$2:$A$2918),$A173&gt;MAX(DKW_10Y!$A$2:$A$2918),Settings!$B$16&lt;MIN(DKW_10Y!$A$2:$A$2918)),NA(),(INDEX(DKW_10Y!$E$2:$E$2918,MATCH($A173,DKW_10Y!$A$2:$A$2918,1))-INDEX(DKW_10Y!$E$2:$E$2918,MATCH(Settings!$B$16,DKW_10Y!$A$2:$A$2918,1)))*100))</f>
        <v/>
      </c>
      <c r="AB173" s="19">
        <f>IF(NOT(ISNUMBER($A173)),NA(),IF(OR($A173&lt;MIN(DKW_10Y!$A$2:$A$2918),$A173&gt;MAX(DKW_10Y!$A$2:$A$2918),Settings!$B$16&lt;MIN(DKW_10Y!$A$2:$A$2918)),NA(),(INDEX(DKW_10Y!$H$2:$H$2918,MATCH($A173,DKW_10Y!$A$2:$A$2918,1))-INDEX(DKW_10Y!$H$2:$H$2918,MATCH(Settings!$B$16,DKW_10Y!$A$2:$A$2918,1)))*100))</f>
        <v/>
      </c>
      <c r="AC173" s="18">
        <f>IF(NOT(ISNUMBER($A173)),NA(),IFERROR(1*INDEX(BBG_Data!$N$2:$N$4000,MATCH($A173,BBG_Data!$M$2:$M$4000,0)),NA()))</f>
        <v/>
      </c>
      <c r="AD173" s="18">
        <f>IF(NOT(ISNUMBER($A173)),NA(),IFERROR(1*INDEX(BBG_Data!$P$2:$P$4000,MATCH($A173,BBG_Data!$O$2:$O$4000,0)),NA()))</f>
        <v/>
      </c>
      <c r="AE173" s="18">
        <f>IF(NOT(ISNUMBER($A173)),NA(),IFERROR(1*INDEX(BBG_Data!$R$2:$R$4000,MATCH($A173,BBG_Data!$Q$2:$Q$4000,0)),NA()))</f>
        <v/>
      </c>
      <c r="AF173" s="20">
        <f>IF(AND(ISNUMBER(B173),ISNUMBER(AC173)),(B173-AC173)*100,NA())</f>
        <v/>
      </c>
      <c r="AG173" s="20">
        <f>IF(AND(ISNUMBER(AE173),ISNUMBER(AD173)),(AE173-AD173)*100,NA())</f>
        <v/>
      </c>
      <c r="AH173" s="19">
        <f>IF(NOT(ISNUMBER($A173)),NA(),IFERROR(INDEX(BBG_Data!$T$2:$T$4000,MATCH($A173,BBG_Data!$S$2:$S$4000,0))*Settings!$B$25,NA()))</f>
        <v/>
      </c>
      <c r="AI173" s="19">
        <f>IF(NOT(ISNUMBER($A173)),NA(),IFERROR(INDEX(BBG_Data!$V$2:$V$4000,MATCH($A173,BBG_Data!$U$2:$U$4000,0))*Settings!$B$25,NA()))</f>
        <v/>
      </c>
      <c r="AJ173" s="19">
        <f>IF(NOT(ISNUMBER($A173)),NA(),IFERROR(1*INDEX(BBG_Data!$X$2:$X$4000,MATCH($A173,BBG_Data!$W$2:$W$4000,0)),NA()))</f>
        <v/>
      </c>
      <c r="AK173" s="19">
        <f>IF(NOT(ISNUMBER($A173)),NA(),IFERROR(1*INDEX(BBG_Data!$Z$2:$Z$4000,MATCH($A173,BBG_Data!$Y$2:$Y$4000,0)),NA()))</f>
        <v/>
      </c>
    </row>
    <row r="174">
      <c r="A174" s="17">
        <f>IF(ISNUMBER(BBG_Data!A174),BBG_Data!A174,"")</f>
        <v/>
      </c>
      <c r="B174" s="18">
        <f>IF(AND(ISNUMBER($A174),ISNUMBER(BBG_Data!B174)),BBG_Data!B174,NA())</f>
        <v/>
      </c>
      <c r="C174" s="18">
        <f>IF(NOT(ISNUMBER($A174)),NA(),IFERROR(1*INDEX(BBG_Data!$D$2:$D$4000,MATCH($A174,BBG_Data!$C$2:$C$4000,0)),NA()))</f>
        <v/>
      </c>
      <c r="D174" s="19">
        <f>IF(NOT(ISNUMBER($A174)),NA(),IFERROR(1*INDEX(BBG_Data!$F$2:$F$4000,MATCH($A174,BBG_Data!$E$2:$E$4000,0)),NA()))</f>
        <v/>
      </c>
      <c r="E174" s="19">
        <f>IF(NOT(ISNUMBER($A174)),NA(),IFERROR(1*INDEX(BBG_Data!$H$2:$H$4000,MATCH($A174,BBG_Data!$G$2:$G$4000,0)),NA()))</f>
        <v/>
      </c>
      <c r="F174" s="20">
        <f>IF(AND(ISNUMBER(B174),ISNUMBER(B173)),IF(B174=B173,"",(B174-B173)*100),"")</f>
        <v/>
      </c>
      <c r="G174" s="20">
        <f>IF(AND(ISNUMBER(C174),ISNUMBER(C173)),IF(C174=C173,"",(C174-C173)*100),"")</f>
        <v/>
      </c>
      <c r="H174" s="20">
        <f>IF(OR(NOT(ISNUMBER($A174)),ROW()-2&lt;Settings!$B$11),NA(),IF(COUNT(OFFSET(F174,1-Settings!$B$11,0,Settings!$B$11,1))&lt;ROUNDUP(Settings!$B$11*Settings!$B$26,0),NA(),STDEV(OFFSET(F174,1-Settings!$B$11,0,Settings!$B$11,1))*SQRT(Settings!$B$13)))</f>
        <v/>
      </c>
      <c r="I174" s="20">
        <f>IF(OR(NOT(ISNUMBER($A174)),ROW()-2&lt;Settings!$B$12),NA(),IF(COUNT(OFFSET(F174,1-Settings!$B$12,0,Settings!$B$12,1))&lt;ROUNDUP(Settings!$B$12*Settings!$B$26,0),NA(),STDEV(OFFSET(F174,1-Settings!$B$12,0,Settings!$B$12,1))*SQRT(Settings!$B$13)))</f>
        <v/>
      </c>
      <c r="J174" s="20">
        <f>IF(OR(NOT(ISNUMBER($A174)),ROW()-2&lt;Settings!$B$11),NA(),IF(COUNT(OFFSET(G174,1-Settings!$B$11,0,Settings!$B$11,1))&lt;ROUNDUP(Settings!$B$11*Settings!$B$26,0),NA(),STDEV(OFFSET(G174,1-Settings!$B$11,0,Settings!$B$11,1))*SQRT(Settings!$B$13)))</f>
        <v/>
      </c>
      <c r="K174" s="20">
        <f>IF(OR(NOT(ISNUMBER($A174)),ROW()-2&lt;Settings!$B$12),NA(),IF(COUNT(OFFSET(G174,1-Settings!$B$12,0,Settings!$B$12,1))&lt;ROUNDUP(Settings!$B$12*Settings!$B$26,0),NA(),STDEV(OFFSET(G174,1-Settings!$B$12,0,Settings!$B$12,1))*SQRT(Settings!$B$13)))</f>
        <v/>
      </c>
      <c r="L174" s="20">
        <f>IF(AND(ISNUMBER(D174),ISNUMBER(H174)),D174-H174,NA())</f>
        <v/>
      </c>
      <c r="M174" s="20">
        <f>IF(AND(ISNUMBER(E174),ISNUMBER(K174)),E174-K174,NA())</f>
        <v/>
      </c>
      <c r="N174" s="20">
        <f>IF(NOT(ISNUMBER($A174)),NA(),IF(COUNT(OFFSET(G174,1,0,Settings!$B$12,1))&lt;ROUNDUP(Settings!$B$12*Settings!$B$26,0),NA(),STDEV(OFFSET(G174,1,0,Settings!$B$12,1))*SQRT(Settings!$B$13)))</f>
        <v/>
      </c>
      <c r="O174" s="20">
        <f>IF(AND(ISNUMBER(E174),ISNUMBER(N174)),E174-N174,NA())</f>
        <v/>
      </c>
      <c r="P174" s="19">
        <f>IF(NOT(ISNUMBER($A174)),NA(),IF(OR($A174&lt;MIN(KW_TP!$A$2:$A$2501),$A174&gt;MAX(KW_TP!$A$2:$A$2501)),NA(),INDEX(KW_TP!$C$2:$C$2501,MATCH($A174,KW_TP!$A$2:$A$2501,1))))</f>
        <v/>
      </c>
      <c r="Q174" s="18">
        <f>IF(NOT(ISNUMBER($A174)),NA(),IFERROR(1*INDEX(BBG_Data!$J$2:$J$4000,MATCH($A174,BBG_Data!$I$2:$I$4000,0)),NA()))</f>
        <v/>
      </c>
      <c r="R174" s="18">
        <f>IF(NOT(ISNUMBER($A174)),NA(),IFERROR(1*INDEX(BBG_Data!$L$2:$L$4000,MATCH($A174,BBG_Data!$K$2:$K$4000,0)),NA()))</f>
        <v/>
      </c>
      <c r="S174" s="20">
        <f>IF(AND(ISNUMBER(B174),ISNUMBER(Q174),ISNUMBER(R174)),(B174-Q174-R174)*100,NA())</f>
        <v/>
      </c>
      <c r="T174" s="20">
        <f>IF(AND(ISNUMBER(B174),Settings!$B$17&gt;0),IF(ISNUMBER(INDEX($B:$B,Settings!$B$17)),(B174-INDEX($B:$B,Settings!$B$17))*100,NA()),NA())</f>
        <v/>
      </c>
      <c r="U174" s="20">
        <f>IF(AND(ISNUMBER(Q174),Settings!$B$17&gt;0),IF(ISNUMBER(INDEX($Q:$Q,Settings!$B$17)),(Q174-INDEX($Q:$Q,Settings!$B$17))*100,NA()),NA())</f>
        <v/>
      </c>
      <c r="V174" s="20">
        <f>IF(AND(ISNUMBER(R174),Settings!$B$17&gt;0),IF(ISNUMBER(INDEX($R:$R,Settings!$B$17)),(R174-INDEX($R:$R,Settings!$B$17))*100,NA()),NA())</f>
        <v/>
      </c>
      <c r="W174" s="20">
        <f>IF(AND(ISNUMBER(P174),Settings!$B$17&gt;0),IF(ISNUMBER(INDEX($P:$P,Settings!$B$17)),P174-INDEX($P:$P,Settings!$B$17),NA()),NA())</f>
        <v/>
      </c>
      <c r="X174" s="19">
        <f>IF(NOT(ISNUMBER($A174)),NA(),IF(OR($A174&lt;MIN(DKW_10Y!$A$2:$A$2918),$A174&gt;MAX(DKW_10Y!$A$2:$A$2918),Settings!$B$16&lt;MIN(DKW_10Y!$A$2:$A$2918)),NA(),(INDEX(DKW_10Y!$B$2:$B$2918,MATCH($A174,DKW_10Y!$A$2:$A$2918,1))-INDEX(DKW_10Y!$B$2:$B$2918,MATCH(Settings!$B$16,DKW_10Y!$A$2:$A$2918,1)))*100))</f>
        <v/>
      </c>
      <c r="Y174" s="19">
        <f>IF(NOT(ISNUMBER($A174)),NA(),IF(OR($A174&lt;MIN(DKW_10Y!$A$2:$A$2918),$A174&gt;MAX(DKW_10Y!$A$2:$A$2918),Settings!$B$16&lt;MIN(DKW_10Y!$A$2:$A$2918)),NA(),(INDEX(DKW_10Y!$C$2:$C$2918,MATCH($A174,DKW_10Y!$A$2:$A$2918,1))-INDEX(DKW_10Y!$C$2:$C$2918,MATCH(Settings!$B$16,DKW_10Y!$A$2:$A$2918,1)))*100))</f>
        <v/>
      </c>
      <c r="Z174" s="19">
        <f>IF(NOT(ISNUMBER($A174)),NA(),IF(OR($A174&lt;MIN(DKW_10Y!$A$2:$A$2918),$A174&gt;MAX(DKW_10Y!$A$2:$A$2918),Settings!$B$16&lt;MIN(DKW_10Y!$A$2:$A$2918)),NA(),(INDEX(DKW_10Y!$D$2:$D$2918,MATCH($A174,DKW_10Y!$A$2:$A$2918,1))-INDEX(DKW_10Y!$D$2:$D$2918,MATCH(Settings!$B$16,DKW_10Y!$A$2:$A$2918,1)))*100))</f>
        <v/>
      </c>
      <c r="AA174" s="19">
        <f>IF(NOT(ISNUMBER($A174)),NA(),IF(OR($A174&lt;MIN(DKW_10Y!$A$2:$A$2918),$A174&gt;MAX(DKW_10Y!$A$2:$A$2918),Settings!$B$16&lt;MIN(DKW_10Y!$A$2:$A$2918)),NA(),(INDEX(DKW_10Y!$E$2:$E$2918,MATCH($A174,DKW_10Y!$A$2:$A$2918,1))-INDEX(DKW_10Y!$E$2:$E$2918,MATCH(Settings!$B$16,DKW_10Y!$A$2:$A$2918,1)))*100))</f>
        <v/>
      </c>
      <c r="AB174" s="19">
        <f>IF(NOT(ISNUMBER($A174)),NA(),IF(OR($A174&lt;MIN(DKW_10Y!$A$2:$A$2918),$A174&gt;MAX(DKW_10Y!$A$2:$A$2918),Settings!$B$16&lt;MIN(DKW_10Y!$A$2:$A$2918)),NA(),(INDEX(DKW_10Y!$H$2:$H$2918,MATCH($A174,DKW_10Y!$A$2:$A$2918,1))-INDEX(DKW_10Y!$H$2:$H$2918,MATCH(Settings!$B$16,DKW_10Y!$A$2:$A$2918,1)))*100))</f>
        <v/>
      </c>
      <c r="AC174" s="18">
        <f>IF(NOT(ISNUMBER($A174)),NA(),IFERROR(1*INDEX(BBG_Data!$N$2:$N$4000,MATCH($A174,BBG_Data!$M$2:$M$4000,0)),NA()))</f>
        <v/>
      </c>
      <c r="AD174" s="18">
        <f>IF(NOT(ISNUMBER($A174)),NA(),IFERROR(1*INDEX(BBG_Data!$P$2:$P$4000,MATCH($A174,BBG_Data!$O$2:$O$4000,0)),NA()))</f>
        <v/>
      </c>
      <c r="AE174" s="18">
        <f>IF(NOT(ISNUMBER($A174)),NA(),IFERROR(1*INDEX(BBG_Data!$R$2:$R$4000,MATCH($A174,BBG_Data!$Q$2:$Q$4000,0)),NA()))</f>
        <v/>
      </c>
      <c r="AF174" s="20">
        <f>IF(AND(ISNUMBER(B174),ISNUMBER(AC174)),(B174-AC174)*100,NA())</f>
        <v/>
      </c>
      <c r="AG174" s="20">
        <f>IF(AND(ISNUMBER(AE174),ISNUMBER(AD174)),(AE174-AD174)*100,NA())</f>
        <v/>
      </c>
      <c r="AH174" s="19">
        <f>IF(NOT(ISNUMBER($A174)),NA(),IFERROR(INDEX(BBG_Data!$T$2:$T$4000,MATCH($A174,BBG_Data!$S$2:$S$4000,0))*Settings!$B$25,NA()))</f>
        <v/>
      </c>
      <c r="AI174" s="19">
        <f>IF(NOT(ISNUMBER($A174)),NA(),IFERROR(INDEX(BBG_Data!$V$2:$V$4000,MATCH($A174,BBG_Data!$U$2:$U$4000,0))*Settings!$B$25,NA()))</f>
        <v/>
      </c>
      <c r="AJ174" s="19">
        <f>IF(NOT(ISNUMBER($A174)),NA(),IFERROR(1*INDEX(BBG_Data!$X$2:$X$4000,MATCH($A174,BBG_Data!$W$2:$W$4000,0)),NA()))</f>
        <v/>
      </c>
      <c r="AK174" s="19">
        <f>IF(NOT(ISNUMBER($A174)),NA(),IFERROR(1*INDEX(BBG_Data!$Z$2:$Z$4000,MATCH($A174,BBG_Data!$Y$2:$Y$4000,0)),NA()))</f>
        <v/>
      </c>
    </row>
    <row r="175">
      <c r="A175" s="17">
        <f>IF(ISNUMBER(BBG_Data!A175),BBG_Data!A175,"")</f>
        <v/>
      </c>
      <c r="B175" s="18">
        <f>IF(AND(ISNUMBER($A175),ISNUMBER(BBG_Data!B175)),BBG_Data!B175,NA())</f>
        <v/>
      </c>
      <c r="C175" s="18">
        <f>IF(NOT(ISNUMBER($A175)),NA(),IFERROR(1*INDEX(BBG_Data!$D$2:$D$4000,MATCH($A175,BBG_Data!$C$2:$C$4000,0)),NA()))</f>
        <v/>
      </c>
      <c r="D175" s="19">
        <f>IF(NOT(ISNUMBER($A175)),NA(),IFERROR(1*INDEX(BBG_Data!$F$2:$F$4000,MATCH($A175,BBG_Data!$E$2:$E$4000,0)),NA()))</f>
        <v/>
      </c>
      <c r="E175" s="19">
        <f>IF(NOT(ISNUMBER($A175)),NA(),IFERROR(1*INDEX(BBG_Data!$H$2:$H$4000,MATCH($A175,BBG_Data!$G$2:$G$4000,0)),NA()))</f>
        <v/>
      </c>
      <c r="F175" s="20">
        <f>IF(AND(ISNUMBER(B175),ISNUMBER(B174)),IF(B175=B174,"",(B175-B174)*100),"")</f>
        <v/>
      </c>
      <c r="G175" s="20">
        <f>IF(AND(ISNUMBER(C175),ISNUMBER(C174)),IF(C175=C174,"",(C175-C174)*100),"")</f>
        <v/>
      </c>
      <c r="H175" s="20">
        <f>IF(OR(NOT(ISNUMBER($A175)),ROW()-2&lt;Settings!$B$11),NA(),IF(COUNT(OFFSET(F175,1-Settings!$B$11,0,Settings!$B$11,1))&lt;ROUNDUP(Settings!$B$11*Settings!$B$26,0),NA(),STDEV(OFFSET(F175,1-Settings!$B$11,0,Settings!$B$11,1))*SQRT(Settings!$B$13)))</f>
        <v/>
      </c>
      <c r="I175" s="20">
        <f>IF(OR(NOT(ISNUMBER($A175)),ROW()-2&lt;Settings!$B$12),NA(),IF(COUNT(OFFSET(F175,1-Settings!$B$12,0,Settings!$B$12,1))&lt;ROUNDUP(Settings!$B$12*Settings!$B$26,0),NA(),STDEV(OFFSET(F175,1-Settings!$B$12,0,Settings!$B$12,1))*SQRT(Settings!$B$13)))</f>
        <v/>
      </c>
      <c r="J175" s="20">
        <f>IF(OR(NOT(ISNUMBER($A175)),ROW()-2&lt;Settings!$B$11),NA(),IF(COUNT(OFFSET(G175,1-Settings!$B$11,0,Settings!$B$11,1))&lt;ROUNDUP(Settings!$B$11*Settings!$B$26,0),NA(),STDEV(OFFSET(G175,1-Settings!$B$11,0,Settings!$B$11,1))*SQRT(Settings!$B$13)))</f>
        <v/>
      </c>
      <c r="K175" s="20">
        <f>IF(OR(NOT(ISNUMBER($A175)),ROW()-2&lt;Settings!$B$12),NA(),IF(COUNT(OFFSET(G175,1-Settings!$B$12,0,Settings!$B$12,1))&lt;ROUNDUP(Settings!$B$12*Settings!$B$26,0),NA(),STDEV(OFFSET(G175,1-Settings!$B$12,0,Settings!$B$12,1))*SQRT(Settings!$B$13)))</f>
        <v/>
      </c>
      <c r="L175" s="20">
        <f>IF(AND(ISNUMBER(D175),ISNUMBER(H175)),D175-H175,NA())</f>
        <v/>
      </c>
      <c r="M175" s="20">
        <f>IF(AND(ISNUMBER(E175),ISNUMBER(K175)),E175-K175,NA())</f>
        <v/>
      </c>
      <c r="N175" s="20">
        <f>IF(NOT(ISNUMBER($A175)),NA(),IF(COUNT(OFFSET(G175,1,0,Settings!$B$12,1))&lt;ROUNDUP(Settings!$B$12*Settings!$B$26,0),NA(),STDEV(OFFSET(G175,1,0,Settings!$B$12,1))*SQRT(Settings!$B$13)))</f>
        <v/>
      </c>
      <c r="O175" s="20">
        <f>IF(AND(ISNUMBER(E175),ISNUMBER(N175)),E175-N175,NA())</f>
        <v/>
      </c>
      <c r="P175" s="19">
        <f>IF(NOT(ISNUMBER($A175)),NA(),IF(OR($A175&lt;MIN(KW_TP!$A$2:$A$2501),$A175&gt;MAX(KW_TP!$A$2:$A$2501)),NA(),INDEX(KW_TP!$C$2:$C$2501,MATCH($A175,KW_TP!$A$2:$A$2501,1))))</f>
        <v/>
      </c>
      <c r="Q175" s="18">
        <f>IF(NOT(ISNUMBER($A175)),NA(),IFERROR(1*INDEX(BBG_Data!$J$2:$J$4000,MATCH($A175,BBG_Data!$I$2:$I$4000,0)),NA()))</f>
        <v/>
      </c>
      <c r="R175" s="18">
        <f>IF(NOT(ISNUMBER($A175)),NA(),IFERROR(1*INDEX(BBG_Data!$L$2:$L$4000,MATCH($A175,BBG_Data!$K$2:$K$4000,0)),NA()))</f>
        <v/>
      </c>
      <c r="S175" s="20">
        <f>IF(AND(ISNUMBER(B175),ISNUMBER(Q175),ISNUMBER(R175)),(B175-Q175-R175)*100,NA())</f>
        <v/>
      </c>
      <c r="T175" s="20">
        <f>IF(AND(ISNUMBER(B175),Settings!$B$17&gt;0),IF(ISNUMBER(INDEX($B:$B,Settings!$B$17)),(B175-INDEX($B:$B,Settings!$B$17))*100,NA()),NA())</f>
        <v/>
      </c>
      <c r="U175" s="20">
        <f>IF(AND(ISNUMBER(Q175),Settings!$B$17&gt;0),IF(ISNUMBER(INDEX($Q:$Q,Settings!$B$17)),(Q175-INDEX($Q:$Q,Settings!$B$17))*100,NA()),NA())</f>
        <v/>
      </c>
      <c r="V175" s="20">
        <f>IF(AND(ISNUMBER(R175),Settings!$B$17&gt;0),IF(ISNUMBER(INDEX($R:$R,Settings!$B$17)),(R175-INDEX($R:$R,Settings!$B$17))*100,NA()),NA())</f>
        <v/>
      </c>
      <c r="W175" s="20">
        <f>IF(AND(ISNUMBER(P175),Settings!$B$17&gt;0),IF(ISNUMBER(INDEX($P:$P,Settings!$B$17)),P175-INDEX($P:$P,Settings!$B$17),NA()),NA())</f>
        <v/>
      </c>
      <c r="X175" s="19">
        <f>IF(NOT(ISNUMBER($A175)),NA(),IF(OR($A175&lt;MIN(DKW_10Y!$A$2:$A$2918),$A175&gt;MAX(DKW_10Y!$A$2:$A$2918),Settings!$B$16&lt;MIN(DKW_10Y!$A$2:$A$2918)),NA(),(INDEX(DKW_10Y!$B$2:$B$2918,MATCH($A175,DKW_10Y!$A$2:$A$2918,1))-INDEX(DKW_10Y!$B$2:$B$2918,MATCH(Settings!$B$16,DKW_10Y!$A$2:$A$2918,1)))*100))</f>
        <v/>
      </c>
      <c r="Y175" s="19">
        <f>IF(NOT(ISNUMBER($A175)),NA(),IF(OR($A175&lt;MIN(DKW_10Y!$A$2:$A$2918),$A175&gt;MAX(DKW_10Y!$A$2:$A$2918),Settings!$B$16&lt;MIN(DKW_10Y!$A$2:$A$2918)),NA(),(INDEX(DKW_10Y!$C$2:$C$2918,MATCH($A175,DKW_10Y!$A$2:$A$2918,1))-INDEX(DKW_10Y!$C$2:$C$2918,MATCH(Settings!$B$16,DKW_10Y!$A$2:$A$2918,1)))*100))</f>
        <v/>
      </c>
      <c r="Z175" s="19">
        <f>IF(NOT(ISNUMBER($A175)),NA(),IF(OR($A175&lt;MIN(DKW_10Y!$A$2:$A$2918),$A175&gt;MAX(DKW_10Y!$A$2:$A$2918),Settings!$B$16&lt;MIN(DKW_10Y!$A$2:$A$2918)),NA(),(INDEX(DKW_10Y!$D$2:$D$2918,MATCH($A175,DKW_10Y!$A$2:$A$2918,1))-INDEX(DKW_10Y!$D$2:$D$2918,MATCH(Settings!$B$16,DKW_10Y!$A$2:$A$2918,1)))*100))</f>
        <v/>
      </c>
      <c r="AA175" s="19">
        <f>IF(NOT(ISNUMBER($A175)),NA(),IF(OR($A175&lt;MIN(DKW_10Y!$A$2:$A$2918),$A175&gt;MAX(DKW_10Y!$A$2:$A$2918),Settings!$B$16&lt;MIN(DKW_10Y!$A$2:$A$2918)),NA(),(INDEX(DKW_10Y!$E$2:$E$2918,MATCH($A175,DKW_10Y!$A$2:$A$2918,1))-INDEX(DKW_10Y!$E$2:$E$2918,MATCH(Settings!$B$16,DKW_10Y!$A$2:$A$2918,1)))*100))</f>
        <v/>
      </c>
      <c r="AB175" s="19">
        <f>IF(NOT(ISNUMBER($A175)),NA(),IF(OR($A175&lt;MIN(DKW_10Y!$A$2:$A$2918),$A175&gt;MAX(DKW_10Y!$A$2:$A$2918),Settings!$B$16&lt;MIN(DKW_10Y!$A$2:$A$2918)),NA(),(INDEX(DKW_10Y!$H$2:$H$2918,MATCH($A175,DKW_10Y!$A$2:$A$2918,1))-INDEX(DKW_10Y!$H$2:$H$2918,MATCH(Settings!$B$16,DKW_10Y!$A$2:$A$2918,1)))*100))</f>
        <v/>
      </c>
      <c r="AC175" s="18">
        <f>IF(NOT(ISNUMBER($A175)),NA(),IFERROR(1*INDEX(BBG_Data!$N$2:$N$4000,MATCH($A175,BBG_Data!$M$2:$M$4000,0)),NA()))</f>
        <v/>
      </c>
      <c r="AD175" s="18">
        <f>IF(NOT(ISNUMBER($A175)),NA(),IFERROR(1*INDEX(BBG_Data!$P$2:$P$4000,MATCH($A175,BBG_Data!$O$2:$O$4000,0)),NA()))</f>
        <v/>
      </c>
      <c r="AE175" s="18">
        <f>IF(NOT(ISNUMBER($A175)),NA(),IFERROR(1*INDEX(BBG_Data!$R$2:$R$4000,MATCH($A175,BBG_Data!$Q$2:$Q$4000,0)),NA()))</f>
        <v/>
      </c>
      <c r="AF175" s="20">
        <f>IF(AND(ISNUMBER(B175),ISNUMBER(AC175)),(B175-AC175)*100,NA())</f>
        <v/>
      </c>
      <c r="AG175" s="20">
        <f>IF(AND(ISNUMBER(AE175),ISNUMBER(AD175)),(AE175-AD175)*100,NA())</f>
        <v/>
      </c>
      <c r="AH175" s="19">
        <f>IF(NOT(ISNUMBER($A175)),NA(),IFERROR(INDEX(BBG_Data!$T$2:$T$4000,MATCH($A175,BBG_Data!$S$2:$S$4000,0))*Settings!$B$25,NA()))</f>
        <v/>
      </c>
      <c r="AI175" s="19">
        <f>IF(NOT(ISNUMBER($A175)),NA(),IFERROR(INDEX(BBG_Data!$V$2:$V$4000,MATCH($A175,BBG_Data!$U$2:$U$4000,0))*Settings!$B$25,NA()))</f>
        <v/>
      </c>
      <c r="AJ175" s="19">
        <f>IF(NOT(ISNUMBER($A175)),NA(),IFERROR(1*INDEX(BBG_Data!$X$2:$X$4000,MATCH($A175,BBG_Data!$W$2:$W$4000,0)),NA()))</f>
        <v/>
      </c>
      <c r="AK175" s="19">
        <f>IF(NOT(ISNUMBER($A175)),NA(),IFERROR(1*INDEX(BBG_Data!$Z$2:$Z$4000,MATCH($A175,BBG_Data!$Y$2:$Y$4000,0)),NA()))</f>
        <v/>
      </c>
    </row>
    <row r="176">
      <c r="A176" s="17">
        <f>IF(ISNUMBER(BBG_Data!A176),BBG_Data!A176,"")</f>
        <v/>
      </c>
      <c r="B176" s="18">
        <f>IF(AND(ISNUMBER($A176),ISNUMBER(BBG_Data!B176)),BBG_Data!B176,NA())</f>
        <v/>
      </c>
      <c r="C176" s="18">
        <f>IF(NOT(ISNUMBER($A176)),NA(),IFERROR(1*INDEX(BBG_Data!$D$2:$D$4000,MATCH($A176,BBG_Data!$C$2:$C$4000,0)),NA()))</f>
        <v/>
      </c>
      <c r="D176" s="19">
        <f>IF(NOT(ISNUMBER($A176)),NA(),IFERROR(1*INDEX(BBG_Data!$F$2:$F$4000,MATCH($A176,BBG_Data!$E$2:$E$4000,0)),NA()))</f>
        <v/>
      </c>
      <c r="E176" s="19">
        <f>IF(NOT(ISNUMBER($A176)),NA(),IFERROR(1*INDEX(BBG_Data!$H$2:$H$4000,MATCH($A176,BBG_Data!$G$2:$G$4000,0)),NA()))</f>
        <v/>
      </c>
      <c r="F176" s="20">
        <f>IF(AND(ISNUMBER(B176),ISNUMBER(B175)),IF(B176=B175,"",(B176-B175)*100),"")</f>
        <v/>
      </c>
      <c r="G176" s="20">
        <f>IF(AND(ISNUMBER(C176),ISNUMBER(C175)),IF(C176=C175,"",(C176-C175)*100),"")</f>
        <v/>
      </c>
      <c r="H176" s="20">
        <f>IF(OR(NOT(ISNUMBER($A176)),ROW()-2&lt;Settings!$B$11),NA(),IF(COUNT(OFFSET(F176,1-Settings!$B$11,0,Settings!$B$11,1))&lt;ROUNDUP(Settings!$B$11*Settings!$B$26,0),NA(),STDEV(OFFSET(F176,1-Settings!$B$11,0,Settings!$B$11,1))*SQRT(Settings!$B$13)))</f>
        <v/>
      </c>
      <c r="I176" s="20">
        <f>IF(OR(NOT(ISNUMBER($A176)),ROW()-2&lt;Settings!$B$12),NA(),IF(COUNT(OFFSET(F176,1-Settings!$B$12,0,Settings!$B$12,1))&lt;ROUNDUP(Settings!$B$12*Settings!$B$26,0),NA(),STDEV(OFFSET(F176,1-Settings!$B$12,0,Settings!$B$12,1))*SQRT(Settings!$B$13)))</f>
        <v/>
      </c>
      <c r="J176" s="20">
        <f>IF(OR(NOT(ISNUMBER($A176)),ROW()-2&lt;Settings!$B$11),NA(),IF(COUNT(OFFSET(G176,1-Settings!$B$11,0,Settings!$B$11,1))&lt;ROUNDUP(Settings!$B$11*Settings!$B$26,0),NA(),STDEV(OFFSET(G176,1-Settings!$B$11,0,Settings!$B$11,1))*SQRT(Settings!$B$13)))</f>
        <v/>
      </c>
      <c r="K176" s="20">
        <f>IF(OR(NOT(ISNUMBER($A176)),ROW()-2&lt;Settings!$B$12),NA(),IF(COUNT(OFFSET(G176,1-Settings!$B$12,0,Settings!$B$12,1))&lt;ROUNDUP(Settings!$B$12*Settings!$B$26,0),NA(),STDEV(OFFSET(G176,1-Settings!$B$12,0,Settings!$B$12,1))*SQRT(Settings!$B$13)))</f>
        <v/>
      </c>
      <c r="L176" s="20">
        <f>IF(AND(ISNUMBER(D176),ISNUMBER(H176)),D176-H176,NA())</f>
        <v/>
      </c>
      <c r="M176" s="20">
        <f>IF(AND(ISNUMBER(E176),ISNUMBER(K176)),E176-K176,NA())</f>
        <v/>
      </c>
      <c r="N176" s="20">
        <f>IF(NOT(ISNUMBER($A176)),NA(),IF(COUNT(OFFSET(G176,1,0,Settings!$B$12,1))&lt;ROUNDUP(Settings!$B$12*Settings!$B$26,0),NA(),STDEV(OFFSET(G176,1,0,Settings!$B$12,1))*SQRT(Settings!$B$13)))</f>
        <v/>
      </c>
      <c r="O176" s="20">
        <f>IF(AND(ISNUMBER(E176),ISNUMBER(N176)),E176-N176,NA())</f>
        <v/>
      </c>
      <c r="P176" s="19">
        <f>IF(NOT(ISNUMBER($A176)),NA(),IF(OR($A176&lt;MIN(KW_TP!$A$2:$A$2501),$A176&gt;MAX(KW_TP!$A$2:$A$2501)),NA(),INDEX(KW_TP!$C$2:$C$2501,MATCH($A176,KW_TP!$A$2:$A$2501,1))))</f>
        <v/>
      </c>
      <c r="Q176" s="18">
        <f>IF(NOT(ISNUMBER($A176)),NA(),IFERROR(1*INDEX(BBG_Data!$J$2:$J$4000,MATCH($A176,BBG_Data!$I$2:$I$4000,0)),NA()))</f>
        <v/>
      </c>
      <c r="R176" s="18">
        <f>IF(NOT(ISNUMBER($A176)),NA(),IFERROR(1*INDEX(BBG_Data!$L$2:$L$4000,MATCH($A176,BBG_Data!$K$2:$K$4000,0)),NA()))</f>
        <v/>
      </c>
      <c r="S176" s="20">
        <f>IF(AND(ISNUMBER(B176),ISNUMBER(Q176),ISNUMBER(R176)),(B176-Q176-R176)*100,NA())</f>
        <v/>
      </c>
      <c r="T176" s="20">
        <f>IF(AND(ISNUMBER(B176),Settings!$B$17&gt;0),IF(ISNUMBER(INDEX($B:$B,Settings!$B$17)),(B176-INDEX($B:$B,Settings!$B$17))*100,NA()),NA())</f>
        <v/>
      </c>
      <c r="U176" s="20">
        <f>IF(AND(ISNUMBER(Q176),Settings!$B$17&gt;0),IF(ISNUMBER(INDEX($Q:$Q,Settings!$B$17)),(Q176-INDEX($Q:$Q,Settings!$B$17))*100,NA()),NA())</f>
        <v/>
      </c>
      <c r="V176" s="20">
        <f>IF(AND(ISNUMBER(R176),Settings!$B$17&gt;0),IF(ISNUMBER(INDEX($R:$R,Settings!$B$17)),(R176-INDEX($R:$R,Settings!$B$17))*100,NA()),NA())</f>
        <v/>
      </c>
      <c r="W176" s="20">
        <f>IF(AND(ISNUMBER(P176),Settings!$B$17&gt;0),IF(ISNUMBER(INDEX($P:$P,Settings!$B$17)),P176-INDEX($P:$P,Settings!$B$17),NA()),NA())</f>
        <v/>
      </c>
      <c r="X176" s="19">
        <f>IF(NOT(ISNUMBER($A176)),NA(),IF(OR($A176&lt;MIN(DKW_10Y!$A$2:$A$2918),$A176&gt;MAX(DKW_10Y!$A$2:$A$2918),Settings!$B$16&lt;MIN(DKW_10Y!$A$2:$A$2918)),NA(),(INDEX(DKW_10Y!$B$2:$B$2918,MATCH($A176,DKW_10Y!$A$2:$A$2918,1))-INDEX(DKW_10Y!$B$2:$B$2918,MATCH(Settings!$B$16,DKW_10Y!$A$2:$A$2918,1)))*100))</f>
        <v/>
      </c>
      <c r="Y176" s="19">
        <f>IF(NOT(ISNUMBER($A176)),NA(),IF(OR($A176&lt;MIN(DKW_10Y!$A$2:$A$2918),$A176&gt;MAX(DKW_10Y!$A$2:$A$2918),Settings!$B$16&lt;MIN(DKW_10Y!$A$2:$A$2918)),NA(),(INDEX(DKW_10Y!$C$2:$C$2918,MATCH($A176,DKW_10Y!$A$2:$A$2918,1))-INDEX(DKW_10Y!$C$2:$C$2918,MATCH(Settings!$B$16,DKW_10Y!$A$2:$A$2918,1)))*100))</f>
        <v/>
      </c>
      <c r="Z176" s="19">
        <f>IF(NOT(ISNUMBER($A176)),NA(),IF(OR($A176&lt;MIN(DKW_10Y!$A$2:$A$2918),$A176&gt;MAX(DKW_10Y!$A$2:$A$2918),Settings!$B$16&lt;MIN(DKW_10Y!$A$2:$A$2918)),NA(),(INDEX(DKW_10Y!$D$2:$D$2918,MATCH($A176,DKW_10Y!$A$2:$A$2918,1))-INDEX(DKW_10Y!$D$2:$D$2918,MATCH(Settings!$B$16,DKW_10Y!$A$2:$A$2918,1)))*100))</f>
        <v/>
      </c>
      <c r="AA176" s="19">
        <f>IF(NOT(ISNUMBER($A176)),NA(),IF(OR($A176&lt;MIN(DKW_10Y!$A$2:$A$2918),$A176&gt;MAX(DKW_10Y!$A$2:$A$2918),Settings!$B$16&lt;MIN(DKW_10Y!$A$2:$A$2918)),NA(),(INDEX(DKW_10Y!$E$2:$E$2918,MATCH($A176,DKW_10Y!$A$2:$A$2918,1))-INDEX(DKW_10Y!$E$2:$E$2918,MATCH(Settings!$B$16,DKW_10Y!$A$2:$A$2918,1)))*100))</f>
        <v/>
      </c>
      <c r="AB176" s="19">
        <f>IF(NOT(ISNUMBER($A176)),NA(),IF(OR($A176&lt;MIN(DKW_10Y!$A$2:$A$2918),$A176&gt;MAX(DKW_10Y!$A$2:$A$2918),Settings!$B$16&lt;MIN(DKW_10Y!$A$2:$A$2918)),NA(),(INDEX(DKW_10Y!$H$2:$H$2918,MATCH($A176,DKW_10Y!$A$2:$A$2918,1))-INDEX(DKW_10Y!$H$2:$H$2918,MATCH(Settings!$B$16,DKW_10Y!$A$2:$A$2918,1)))*100))</f>
        <v/>
      </c>
      <c r="AC176" s="18">
        <f>IF(NOT(ISNUMBER($A176)),NA(),IFERROR(1*INDEX(BBG_Data!$N$2:$N$4000,MATCH($A176,BBG_Data!$M$2:$M$4000,0)),NA()))</f>
        <v/>
      </c>
      <c r="AD176" s="18">
        <f>IF(NOT(ISNUMBER($A176)),NA(),IFERROR(1*INDEX(BBG_Data!$P$2:$P$4000,MATCH($A176,BBG_Data!$O$2:$O$4000,0)),NA()))</f>
        <v/>
      </c>
      <c r="AE176" s="18">
        <f>IF(NOT(ISNUMBER($A176)),NA(),IFERROR(1*INDEX(BBG_Data!$R$2:$R$4000,MATCH($A176,BBG_Data!$Q$2:$Q$4000,0)),NA()))</f>
        <v/>
      </c>
      <c r="AF176" s="20">
        <f>IF(AND(ISNUMBER(B176),ISNUMBER(AC176)),(B176-AC176)*100,NA())</f>
        <v/>
      </c>
      <c r="AG176" s="20">
        <f>IF(AND(ISNUMBER(AE176),ISNUMBER(AD176)),(AE176-AD176)*100,NA())</f>
        <v/>
      </c>
      <c r="AH176" s="19">
        <f>IF(NOT(ISNUMBER($A176)),NA(),IFERROR(INDEX(BBG_Data!$T$2:$T$4000,MATCH($A176,BBG_Data!$S$2:$S$4000,0))*Settings!$B$25,NA()))</f>
        <v/>
      </c>
      <c r="AI176" s="19">
        <f>IF(NOT(ISNUMBER($A176)),NA(),IFERROR(INDEX(BBG_Data!$V$2:$V$4000,MATCH($A176,BBG_Data!$U$2:$U$4000,0))*Settings!$B$25,NA()))</f>
        <v/>
      </c>
      <c r="AJ176" s="19">
        <f>IF(NOT(ISNUMBER($A176)),NA(),IFERROR(1*INDEX(BBG_Data!$X$2:$X$4000,MATCH($A176,BBG_Data!$W$2:$W$4000,0)),NA()))</f>
        <v/>
      </c>
      <c r="AK176" s="19">
        <f>IF(NOT(ISNUMBER($A176)),NA(),IFERROR(1*INDEX(BBG_Data!$Z$2:$Z$4000,MATCH($A176,BBG_Data!$Y$2:$Y$4000,0)),NA()))</f>
        <v/>
      </c>
    </row>
    <row r="177">
      <c r="A177" s="17">
        <f>IF(ISNUMBER(BBG_Data!A177),BBG_Data!A177,"")</f>
        <v/>
      </c>
      <c r="B177" s="18">
        <f>IF(AND(ISNUMBER($A177),ISNUMBER(BBG_Data!B177)),BBG_Data!B177,NA())</f>
        <v/>
      </c>
      <c r="C177" s="18">
        <f>IF(NOT(ISNUMBER($A177)),NA(),IFERROR(1*INDEX(BBG_Data!$D$2:$D$4000,MATCH($A177,BBG_Data!$C$2:$C$4000,0)),NA()))</f>
        <v/>
      </c>
      <c r="D177" s="19">
        <f>IF(NOT(ISNUMBER($A177)),NA(),IFERROR(1*INDEX(BBG_Data!$F$2:$F$4000,MATCH($A177,BBG_Data!$E$2:$E$4000,0)),NA()))</f>
        <v/>
      </c>
      <c r="E177" s="19">
        <f>IF(NOT(ISNUMBER($A177)),NA(),IFERROR(1*INDEX(BBG_Data!$H$2:$H$4000,MATCH($A177,BBG_Data!$G$2:$G$4000,0)),NA()))</f>
        <v/>
      </c>
      <c r="F177" s="20">
        <f>IF(AND(ISNUMBER(B177),ISNUMBER(B176)),IF(B177=B176,"",(B177-B176)*100),"")</f>
        <v/>
      </c>
      <c r="G177" s="20">
        <f>IF(AND(ISNUMBER(C177),ISNUMBER(C176)),IF(C177=C176,"",(C177-C176)*100),"")</f>
        <v/>
      </c>
      <c r="H177" s="20">
        <f>IF(OR(NOT(ISNUMBER($A177)),ROW()-2&lt;Settings!$B$11),NA(),IF(COUNT(OFFSET(F177,1-Settings!$B$11,0,Settings!$B$11,1))&lt;ROUNDUP(Settings!$B$11*Settings!$B$26,0),NA(),STDEV(OFFSET(F177,1-Settings!$B$11,0,Settings!$B$11,1))*SQRT(Settings!$B$13)))</f>
        <v/>
      </c>
      <c r="I177" s="20">
        <f>IF(OR(NOT(ISNUMBER($A177)),ROW()-2&lt;Settings!$B$12),NA(),IF(COUNT(OFFSET(F177,1-Settings!$B$12,0,Settings!$B$12,1))&lt;ROUNDUP(Settings!$B$12*Settings!$B$26,0),NA(),STDEV(OFFSET(F177,1-Settings!$B$12,0,Settings!$B$12,1))*SQRT(Settings!$B$13)))</f>
        <v/>
      </c>
      <c r="J177" s="20">
        <f>IF(OR(NOT(ISNUMBER($A177)),ROW()-2&lt;Settings!$B$11),NA(),IF(COUNT(OFFSET(G177,1-Settings!$B$11,0,Settings!$B$11,1))&lt;ROUNDUP(Settings!$B$11*Settings!$B$26,0),NA(),STDEV(OFFSET(G177,1-Settings!$B$11,0,Settings!$B$11,1))*SQRT(Settings!$B$13)))</f>
        <v/>
      </c>
      <c r="K177" s="20">
        <f>IF(OR(NOT(ISNUMBER($A177)),ROW()-2&lt;Settings!$B$12),NA(),IF(COUNT(OFFSET(G177,1-Settings!$B$12,0,Settings!$B$12,1))&lt;ROUNDUP(Settings!$B$12*Settings!$B$26,0),NA(),STDEV(OFFSET(G177,1-Settings!$B$12,0,Settings!$B$12,1))*SQRT(Settings!$B$13)))</f>
        <v/>
      </c>
      <c r="L177" s="20">
        <f>IF(AND(ISNUMBER(D177),ISNUMBER(H177)),D177-H177,NA())</f>
        <v/>
      </c>
      <c r="M177" s="20">
        <f>IF(AND(ISNUMBER(E177),ISNUMBER(K177)),E177-K177,NA())</f>
        <v/>
      </c>
      <c r="N177" s="20">
        <f>IF(NOT(ISNUMBER($A177)),NA(),IF(COUNT(OFFSET(G177,1,0,Settings!$B$12,1))&lt;ROUNDUP(Settings!$B$12*Settings!$B$26,0),NA(),STDEV(OFFSET(G177,1,0,Settings!$B$12,1))*SQRT(Settings!$B$13)))</f>
        <v/>
      </c>
      <c r="O177" s="20">
        <f>IF(AND(ISNUMBER(E177),ISNUMBER(N177)),E177-N177,NA())</f>
        <v/>
      </c>
      <c r="P177" s="19">
        <f>IF(NOT(ISNUMBER($A177)),NA(),IF(OR($A177&lt;MIN(KW_TP!$A$2:$A$2501),$A177&gt;MAX(KW_TP!$A$2:$A$2501)),NA(),INDEX(KW_TP!$C$2:$C$2501,MATCH($A177,KW_TP!$A$2:$A$2501,1))))</f>
        <v/>
      </c>
      <c r="Q177" s="18">
        <f>IF(NOT(ISNUMBER($A177)),NA(),IFERROR(1*INDEX(BBG_Data!$J$2:$J$4000,MATCH($A177,BBG_Data!$I$2:$I$4000,0)),NA()))</f>
        <v/>
      </c>
      <c r="R177" s="18">
        <f>IF(NOT(ISNUMBER($A177)),NA(),IFERROR(1*INDEX(BBG_Data!$L$2:$L$4000,MATCH($A177,BBG_Data!$K$2:$K$4000,0)),NA()))</f>
        <v/>
      </c>
      <c r="S177" s="20">
        <f>IF(AND(ISNUMBER(B177),ISNUMBER(Q177),ISNUMBER(R177)),(B177-Q177-R177)*100,NA())</f>
        <v/>
      </c>
      <c r="T177" s="20">
        <f>IF(AND(ISNUMBER(B177),Settings!$B$17&gt;0),IF(ISNUMBER(INDEX($B:$B,Settings!$B$17)),(B177-INDEX($B:$B,Settings!$B$17))*100,NA()),NA())</f>
        <v/>
      </c>
      <c r="U177" s="20">
        <f>IF(AND(ISNUMBER(Q177),Settings!$B$17&gt;0),IF(ISNUMBER(INDEX($Q:$Q,Settings!$B$17)),(Q177-INDEX($Q:$Q,Settings!$B$17))*100,NA()),NA())</f>
        <v/>
      </c>
      <c r="V177" s="20">
        <f>IF(AND(ISNUMBER(R177),Settings!$B$17&gt;0),IF(ISNUMBER(INDEX($R:$R,Settings!$B$17)),(R177-INDEX($R:$R,Settings!$B$17))*100,NA()),NA())</f>
        <v/>
      </c>
      <c r="W177" s="20">
        <f>IF(AND(ISNUMBER(P177),Settings!$B$17&gt;0),IF(ISNUMBER(INDEX($P:$P,Settings!$B$17)),P177-INDEX($P:$P,Settings!$B$17),NA()),NA())</f>
        <v/>
      </c>
      <c r="X177" s="19">
        <f>IF(NOT(ISNUMBER($A177)),NA(),IF(OR($A177&lt;MIN(DKW_10Y!$A$2:$A$2918),$A177&gt;MAX(DKW_10Y!$A$2:$A$2918),Settings!$B$16&lt;MIN(DKW_10Y!$A$2:$A$2918)),NA(),(INDEX(DKW_10Y!$B$2:$B$2918,MATCH($A177,DKW_10Y!$A$2:$A$2918,1))-INDEX(DKW_10Y!$B$2:$B$2918,MATCH(Settings!$B$16,DKW_10Y!$A$2:$A$2918,1)))*100))</f>
        <v/>
      </c>
      <c r="Y177" s="19">
        <f>IF(NOT(ISNUMBER($A177)),NA(),IF(OR($A177&lt;MIN(DKW_10Y!$A$2:$A$2918),$A177&gt;MAX(DKW_10Y!$A$2:$A$2918),Settings!$B$16&lt;MIN(DKW_10Y!$A$2:$A$2918)),NA(),(INDEX(DKW_10Y!$C$2:$C$2918,MATCH($A177,DKW_10Y!$A$2:$A$2918,1))-INDEX(DKW_10Y!$C$2:$C$2918,MATCH(Settings!$B$16,DKW_10Y!$A$2:$A$2918,1)))*100))</f>
        <v/>
      </c>
      <c r="Z177" s="19">
        <f>IF(NOT(ISNUMBER($A177)),NA(),IF(OR($A177&lt;MIN(DKW_10Y!$A$2:$A$2918),$A177&gt;MAX(DKW_10Y!$A$2:$A$2918),Settings!$B$16&lt;MIN(DKW_10Y!$A$2:$A$2918)),NA(),(INDEX(DKW_10Y!$D$2:$D$2918,MATCH($A177,DKW_10Y!$A$2:$A$2918,1))-INDEX(DKW_10Y!$D$2:$D$2918,MATCH(Settings!$B$16,DKW_10Y!$A$2:$A$2918,1)))*100))</f>
        <v/>
      </c>
      <c r="AA177" s="19">
        <f>IF(NOT(ISNUMBER($A177)),NA(),IF(OR($A177&lt;MIN(DKW_10Y!$A$2:$A$2918),$A177&gt;MAX(DKW_10Y!$A$2:$A$2918),Settings!$B$16&lt;MIN(DKW_10Y!$A$2:$A$2918)),NA(),(INDEX(DKW_10Y!$E$2:$E$2918,MATCH($A177,DKW_10Y!$A$2:$A$2918,1))-INDEX(DKW_10Y!$E$2:$E$2918,MATCH(Settings!$B$16,DKW_10Y!$A$2:$A$2918,1)))*100))</f>
        <v/>
      </c>
      <c r="AB177" s="19">
        <f>IF(NOT(ISNUMBER($A177)),NA(),IF(OR($A177&lt;MIN(DKW_10Y!$A$2:$A$2918),$A177&gt;MAX(DKW_10Y!$A$2:$A$2918),Settings!$B$16&lt;MIN(DKW_10Y!$A$2:$A$2918)),NA(),(INDEX(DKW_10Y!$H$2:$H$2918,MATCH($A177,DKW_10Y!$A$2:$A$2918,1))-INDEX(DKW_10Y!$H$2:$H$2918,MATCH(Settings!$B$16,DKW_10Y!$A$2:$A$2918,1)))*100))</f>
        <v/>
      </c>
      <c r="AC177" s="18">
        <f>IF(NOT(ISNUMBER($A177)),NA(),IFERROR(1*INDEX(BBG_Data!$N$2:$N$4000,MATCH($A177,BBG_Data!$M$2:$M$4000,0)),NA()))</f>
        <v/>
      </c>
      <c r="AD177" s="18">
        <f>IF(NOT(ISNUMBER($A177)),NA(),IFERROR(1*INDEX(BBG_Data!$P$2:$P$4000,MATCH($A177,BBG_Data!$O$2:$O$4000,0)),NA()))</f>
        <v/>
      </c>
      <c r="AE177" s="18">
        <f>IF(NOT(ISNUMBER($A177)),NA(),IFERROR(1*INDEX(BBG_Data!$R$2:$R$4000,MATCH($A177,BBG_Data!$Q$2:$Q$4000,0)),NA()))</f>
        <v/>
      </c>
      <c r="AF177" s="20">
        <f>IF(AND(ISNUMBER(B177),ISNUMBER(AC177)),(B177-AC177)*100,NA())</f>
        <v/>
      </c>
      <c r="AG177" s="20">
        <f>IF(AND(ISNUMBER(AE177),ISNUMBER(AD177)),(AE177-AD177)*100,NA())</f>
        <v/>
      </c>
      <c r="AH177" s="19">
        <f>IF(NOT(ISNUMBER($A177)),NA(),IFERROR(INDEX(BBG_Data!$T$2:$T$4000,MATCH($A177,BBG_Data!$S$2:$S$4000,0))*Settings!$B$25,NA()))</f>
        <v/>
      </c>
      <c r="AI177" s="19">
        <f>IF(NOT(ISNUMBER($A177)),NA(),IFERROR(INDEX(BBG_Data!$V$2:$V$4000,MATCH($A177,BBG_Data!$U$2:$U$4000,0))*Settings!$B$25,NA()))</f>
        <v/>
      </c>
      <c r="AJ177" s="19">
        <f>IF(NOT(ISNUMBER($A177)),NA(),IFERROR(1*INDEX(BBG_Data!$X$2:$X$4000,MATCH($A177,BBG_Data!$W$2:$W$4000,0)),NA()))</f>
        <v/>
      </c>
      <c r="AK177" s="19">
        <f>IF(NOT(ISNUMBER($A177)),NA(),IFERROR(1*INDEX(BBG_Data!$Z$2:$Z$4000,MATCH($A177,BBG_Data!$Y$2:$Y$4000,0)),NA()))</f>
        <v/>
      </c>
    </row>
    <row r="178">
      <c r="A178" s="17">
        <f>IF(ISNUMBER(BBG_Data!A178),BBG_Data!A178,"")</f>
        <v/>
      </c>
      <c r="B178" s="18">
        <f>IF(AND(ISNUMBER($A178),ISNUMBER(BBG_Data!B178)),BBG_Data!B178,NA())</f>
        <v/>
      </c>
      <c r="C178" s="18">
        <f>IF(NOT(ISNUMBER($A178)),NA(),IFERROR(1*INDEX(BBG_Data!$D$2:$D$4000,MATCH($A178,BBG_Data!$C$2:$C$4000,0)),NA()))</f>
        <v/>
      </c>
      <c r="D178" s="19">
        <f>IF(NOT(ISNUMBER($A178)),NA(),IFERROR(1*INDEX(BBG_Data!$F$2:$F$4000,MATCH($A178,BBG_Data!$E$2:$E$4000,0)),NA()))</f>
        <v/>
      </c>
      <c r="E178" s="19">
        <f>IF(NOT(ISNUMBER($A178)),NA(),IFERROR(1*INDEX(BBG_Data!$H$2:$H$4000,MATCH($A178,BBG_Data!$G$2:$G$4000,0)),NA()))</f>
        <v/>
      </c>
      <c r="F178" s="20">
        <f>IF(AND(ISNUMBER(B178),ISNUMBER(B177)),IF(B178=B177,"",(B178-B177)*100),"")</f>
        <v/>
      </c>
      <c r="G178" s="20">
        <f>IF(AND(ISNUMBER(C178),ISNUMBER(C177)),IF(C178=C177,"",(C178-C177)*100),"")</f>
        <v/>
      </c>
      <c r="H178" s="20">
        <f>IF(OR(NOT(ISNUMBER($A178)),ROW()-2&lt;Settings!$B$11),NA(),IF(COUNT(OFFSET(F178,1-Settings!$B$11,0,Settings!$B$11,1))&lt;ROUNDUP(Settings!$B$11*Settings!$B$26,0),NA(),STDEV(OFFSET(F178,1-Settings!$B$11,0,Settings!$B$11,1))*SQRT(Settings!$B$13)))</f>
        <v/>
      </c>
      <c r="I178" s="20">
        <f>IF(OR(NOT(ISNUMBER($A178)),ROW()-2&lt;Settings!$B$12),NA(),IF(COUNT(OFFSET(F178,1-Settings!$B$12,0,Settings!$B$12,1))&lt;ROUNDUP(Settings!$B$12*Settings!$B$26,0),NA(),STDEV(OFFSET(F178,1-Settings!$B$12,0,Settings!$B$12,1))*SQRT(Settings!$B$13)))</f>
        <v/>
      </c>
      <c r="J178" s="20">
        <f>IF(OR(NOT(ISNUMBER($A178)),ROW()-2&lt;Settings!$B$11),NA(),IF(COUNT(OFFSET(G178,1-Settings!$B$11,0,Settings!$B$11,1))&lt;ROUNDUP(Settings!$B$11*Settings!$B$26,0),NA(),STDEV(OFFSET(G178,1-Settings!$B$11,0,Settings!$B$11,1))*SQRT(Settings!$B$13)))</f>
        <v/>
      </c>
      <c r="K178" s="20">
        <f>IF(OR(NOT(ISNUMBER($A178)),ROW()-2&lt;Settings!$B$12),NA(),IF(COUNT(OFFSET(G178,1-Settings!$B$12,0,Settings!$B$12,1))&lt;ROUNDUP(Settings!$B$12*Settings!$B$26,0),NA(),STDEV(OFFSET(G178,1-Settings!$B$12,0,Settings!$B$12,1))*SQRT(Settings!$B$13)))</f>
        <v/>
      </c>
      <c r="L178" s="20">
        <f>IF(AND(ISNUMBER(D178),ISNUMBER(H178)),D178-H178,NA())</f>
        <v/>
      </c>
      <c r="M178" s="20">
        <f>IF(AND(ISNUMBER(E178),ISNUMBER(K178)),E178-K178,NA())</f>
        <v/>
      </c>
      <c r="N178" s="20">
        <f>IF(NOT(ISNUMBER($A178)),NA(),IF(COUNT(OFFSET(G178,1,0,Settings!$B$12,1))&lt;ROUNDUP(Settings!$B$12*Settings!$B$26,0),NA(),STDEV(OFFSET(G178,1,0,Settings!$B$12,1))*SQRT(Settings!$B$13)))</f>
        <v/>
      </c>
      <c r="O178" s="20">
        <f>IF(AND(ISNUMBER(E178),ISNUMBER(N178)),E178-N178,NA())</f>
        <v/>
      </c>
      <c r="P178" s="19">
        <f>IF(NOT(ISNUMBER($A178)),NA(),IF(OR($A178&lt;MIN(KW_TP!$A$2:$A$2501),$A178&gt;MAX(KW_TP!$A$2:$A$2501)),NA(),INDEX(KW_TP!$C$2:$C$2501,MATCH($A178,KW_TP!$A$2:$A$2501,1))))</f>
        <v/>
      </c>
      <c r="Q178" s="18">
        <f>IF(NOT(ISNUMBER($A178)),NA(),IFERROR(1*INDEX(BBG_Data!$J$2:$J$4000,MATCH($A178,BBG_Data!$I$2:$I$4000,0)),NA()))</f>
        <v/>
      </c>
      <c r="R178" s="18">
        <f>IF(NOT(ISNUMBER($A178)),NA(),IFERROR(1*INDEX(BBG_Data!$L$2:$L$4000,MATCH($A178,BBG_Data!$K$2:$K$4000,0)),NA()))</f>
        <v/>
      </c>
      <c r="S178" s="20">
        <f>IF(AND(ISNUMBER(B178),ISNUMBER(Q178),ISNUMBER(R178)),(B178-Q178-R178)*100,NA())</f>
        <v/>
      </c>
      <c r="T178" s="20">
        <f>IF(AND(ISNUMBER(B178),Settings!$B$17&gt;0),IF(ISNUMBER(INDEX($B:$B,Settings!$B$17)),(B178-INDEX($B:$B,Settings!$B$17))*100,NA()),NA())</f>
        <v/>
      </c>
      <c r="U178" s="20">
        <f>IF(AND(ISNUMBER(Q178),Settings!$B$17&gt;0),IF(ISNUMBER(INDEX($Q:$Q,Settings!$B$17)),(Q178-INDEX($Q:$Q,Settings!$B$17))*100,NA()),NA())</f>
        <v/>
      </c>
      <c r="V178" s="20">
        <f>IF(AND(ISNUMBER(R178),Settings!$B$17&gt;0),IF(ISNUMBER(INDEX($R:$R,Settings!$B$17)),(R178-INDEX($R:$R,Settings!$B$17))*100,NA()),NA())</f>
        <v/>
      </c>
      <c r="W178" s="20">
        <f>IF(AND(ISNUMBER(P178),Settings!$B$17&gt;0),IF(ISNUMBER(INDEX($P:$P,Settings!$B$17)),P178-INDEX($P:$P,Settings!$B$17),NA()),NA())</f>
        <v/>
      </c>
      <c r="X178" s="19">
        <f>IF(NOT(ISNUMBER($A178)),NA(),IF(OR($A178&lt;MIN(DKW_10Y!$A$2:$A$2918),$A178&gt;MAX(DKW_10Y!$A$2:$A$2918),Settings!$B$16&lt;MIN(DKW_10Y!$A$2:$A$2918)),NA(),(INDEX(DKW_10Y!$B$2:$B$2918,MATCH($A178,DKW_10Y!$A$2:$A$2918,1))-INDEX(DKW_10Y!$B$2:$B$2918,MATCH(Settings!$B$16,DKW_10Y!$A$2:$A$2918,1)))*100))</f>
        <v/>
      </c>
      <c r="Y178" s="19">
        <f>IF(NOT(ISNUMBER($A178)),NA(),IF(OR($A178&lt;MIN(DKW_10Y!$A$2:$A$2918),$A178&gt;MAX(DKW_10Y!$A$2:$A$2918),Settings!$B$16&lt;MIN(DKW_10Y!$A$2:$A$2918)),NA(),(INDEX(DKW_10Y!$C$2:$C$2918,MATCH($A178,DKW_10Y!$A$2:$A$2918,1))-INDEX(DKW_10Y!$C$2:$C$2918,MATCH(Settings!$B$16,DKW_10Y!$A$2:$A$2918,1)))*100))</f>
        <v/>
      </c>
      <c r="Z178" s="19">
        <f>IF(NOT(ISNUMBER($A178)),NA(),IF(OR($A178&lt;MIN(DKW_10Y!$A$2:$A$2918),$A178&gt;MAX(DKW_10Y!$A$2:$A$2918),Settings!$B$16&lt;MIN(DKW_10Y!$A$2:$A$2918)),NA(),(INDEX(DKW_10Y!$D$2:$D$2918,MATCH($A178,DKW_10Y!$A$2:$A$2918,1))-INDEX(DKW_10Y!$D$2:$D$2918,MATCH(Settings!$B$16,DKW_10Y!$A$2:$A$2918,1)))*100))</f>
        <v/>
      </c>
      <c r="AA178" s="19">
        <f>IF(NOT(ISNUMBER($A178)),NA(),IF(OR($A178&lt;MIN(DKW_10Y!$A$2:$A$2918),$A178&gt;MAX(DKW_10Y!$A$2:$A$2918),Settings!$B$16&lt;MIN(DKW_10Y!$A$2:$A$2918)),NA(),(INDEX(DKW_10Y!$E$2:$E$2918,MATCH($A178,DKW_10Y!$A$2:$A$2918,1))-INDEX(DKW_10Y!$E$2:$E$2918,MATCH(Settings!$B$16,DKW_10Y!$A$2:$A$2918,1)))*100))</f>
        <v/>
      </c>
      <c r="AB178" s="19">
        <f>IF(NOT(ISNUMBER($A178)),NA(),IF(OR($A178&lt;MIN(DKW_10Y!$A$2:$A$2918),$A178&gt;MAX(DKW_10Y!$A$2:$A$2918),Settings!$B$16&lt;MIN(DKW_10Y!$A$2:$A$2918)),NA(),(INDEX(DKW_10Y!$H$2:$H$2918,MATCH($A178,DKW_10Y!$A$2:$A$2918,1))-INDEX(DKW_10Y!$H$2:$H$2918,MATCH(Settings!$B$16,DKW_10Y!$A$2:$A$2918,1)))*100))</f>
        <v/>
      </c>
      <c r="AC178" s="18">
        <f>IF(NOT(ISNUMBER($A178)),NA(),IFERROR(1*INDEX(BBG_Data!$N$2:$N$4000,MATCH($A178,BBG_Data!$M$2:$M$4000,0)),NA()))</f>
        <v/>
      </c>
      <c r="AD178" s="18">
        <f>IF(NOT(ISNUMBER($A178)),NA(),IFERROR(1*INDEX(BBG_Data!$P$2:$P$4000,MATCH($A178,BBG_Data!$O$2:$O$4000,0)),NA()))</f>
        <v/>
      </c>
      <c r="AE178" s="18">
        <f>IF(NOT(ISNUMBER($A178)),NA(),IFERROR(1*INDEX(BBG_Data!$R$2:$R$4000,MATCH($A178,BBG_Data!$Q$2:$Q$4000,0)),NA()))</f>
        <v/>
      </c>
      <c r="AF178" s="20">
        <f>IF(AND(ISNUMBER(B178),ISNUMBER(AC178)),(B178-AC178)*100,NA())</f>
        <v/>
      </c>
      <c r="AG178" s="20">
        <f>IF(AND(ISNUMBER(AE178),ISNUMBER(AD178)),(AE178-AD178)*100,NA())</f>
        <v/>
      </c>
      <c r="AH178" s="19">
        <f>IF(NOT(ISNUMBER($A178)),NA(),IFERROR(INDEX(BBG_Data!$T$2:$T$4000,MATCH($A178,BBG_Data!$S$2:$S$4000,0))*Settings!$B$25,NA()))</f>
        <v/>
      </c>
      <c r="AI178" s="19">
        <f>IF(NOT(ISNUMBER($A178)),NA(),IFERROR(INDEX(BBG_Data!$V$2:$V$4000,MATCH($A178,BBG_Data!$U$2:$U$4000,0))*Settings!$B$25,NA()))</f>
        <v/>
      </c>
      <c r="AJ178" s="19">
        <f>IF(NOT(ISNUMBER($A178)),NA(),IFERROR(1*INDEX(BBG_Data!$X$2:$X$4000,MATCH($A178,BBG_Data!$W$2:$W$4000,0)),NA()))</f>
        <v/>
      </c>
      <c r="AK178" s="19">
        <f>IF(NOT(ISNUMBER($A178)),NA(),IFERROR(1*INDEX(BBG_Data!$Z$2:$Z$4000,MATCH($A178,BBG_Data!$Y$2:$Y$4000,0)),NA()))</f>
        <v/>
      </c>
    </row>
    <row r="179">
      <c r="A179" s="17">
        <f>IF(ISNUMBER(BBG_Data!A179),BBG_Data!A179,"")</f>
        <v/>
      </c>
      <c r="B179" s="18">
        <f>IF(AND(ISNUMBER($A179),ISNUMBER(BBG_Data!B179)),BBG_Data!B179,NA())</f>
        <v/>
      </c>
      <c r="C179" s="18">
        <f>IF(NOT(ISNUMBER($A179)),NA(),IFERROR(1*INDEX(BBG_Data!$D$2:$D$4000,MATCH($A179,BBG_Data!$C$2:$C$4000,0)),NA()))</f>
        <v/>
      </c>
      <c r="D179" s="19">
        <f>IF(NOT(ISNUMBER($A179)),NA(),IFERROR(1*INDEX(BBG_Data!$F$2:$F$4000,MATCH($A179,BBG_Data!$E$2:$E$4000,0)),NA()))</f>
        <v/>
      </c>
      <c r="E179" s="19">
        <f>IF(NOT(ISNUMBER($A179)),NA(),IFERROR(1*INDEX(BBG_Data!$H$2:$H$4000,MATCH($A179,BBG_Data!$G$2:$G$4000,0)),NA()))</f>
        <v/>
      </c>
      <c r="F179" s="20">
        <f>IF(AND(ISNUMBER(B179),ISNUMBER(B178)),IF(B179=B178,"",(B179-B178)*100),"")</f>
        <v/>
      </c>
      <c r="G179" s="20">
        <f>IF(AND(ISNUMBER(C179),ISNUMBER(C178)),IF(C179=C178,"",(C179-C178)*100),"")</f>
        <v/>
      </c>
      <c r="H179" s="20">
        <f>IF(OR(NOT(ISNUMBER($A179)),ROW()-2&lt;Settings!$B$11),NA(),IF(COUNT(OFFSET(F179,1-Settings!$B$11,0,Settings!$B$11,1))&lt;ROUNDUP(Settings!$B$11*Settings!$B$26,0),NA(),STDEV(OFFSET(F179,1-Settings!$B$11,0,Settings!$B$11,1))*SQRT(Settings!$B$13)))</f>
        <v/>
      </c>
      <c r="I179" s="20">
        <f>IF(OR(NOT(ISNUMBER($A179)),ROW()-2&lt;Settings!$B$12),NA(),IF(COUNT(OFFSET(F179,1-Settings!$B$12,0,Settings!$B$12,1))&lt;ROUNDUP(Settings!$B$12*Settings!$B$26,0),NA(),STDEV(OFFSET(F179,1-Settings!$B$12,0,Settings!$B$12,1))*SQRT(Settings!$B$13)))</f>
        <v/>
      </c>
      <c r="J179" s="20">
        <f>IF(OR(NOT(ISNUMBER($A179)),ROW()-2&lt;Settings!$B$11),NA(),IF(COUNT(OFFSET(G179,1-Settings!$B$11,0,Settings!$B$11,1))&lt;ROUNDUP(Settings!$B$11*Settings!$B$26,0),NA(),STDEV(OFFSET(G179,1-Settings!$B$11,0,Settings!$B$11,1))*SQRT(Settings!$B$13)))</f>
        <v/>
      </c>
      <c r="K179" s="20">
        <f>IF(OR(NOT(ISNUMBER($A179)),ROW()-2&lt;Settings!$B$12),NA(),IF(COUNT(OFFSET(G179,1-Settings!$B$12,0,Settings!$B$12,1))&lt;ROUNDUP(Settings!$B$12*Settings!$B$26,0),NA(),STDEV(OFFSET(G179,1-Settings!$B$12,0,Settings!$B$12,1))*SQRT(Settings!$B$13)))</f>
        <v/>
      </c>
      <c r="L179" s="20">
        <f>IF(AND(ISNUMBER(D179),ISNUMBER(H179)),D179-H179,NA())</f>
        <v/>
      </c>
      <c r="M179" s="20">
        <f>IF(AND(ISNUMBER(E179),ISNUMBER(K179)),E179-K179,NA())</f>
        <v/>
      </c>
      <c r="N179" s="20">
        <f>IF(NOT(ISNUMBER($A179)),NA(),IF(COUNT(OFFSET(G179,1,0,Settings!$B$12,1))&lt;ROUNDUP(Settings!$B$12*Settings!$B$26,0),NA(),STDEV(OFFSET(G179,1,0,Settings!$B$12,1))*SQRT(Settings!$B$13)))</f>
        <v/>
      </c>
      <c r="O179" s="20">
        <f>IF(AND(ISNUMBER(E179),ISNUMBER(N179)),E179-N179,NA())</f>
        <v/>
      </c>
      <c r="P179" s="19">
        <f>IF(NOT(ISNUMBER($A179)),NA(),IF(OR($A179&lt;MIN(KW_TP!$A$2:$A$2501),$A179&gt;MAX(KW_TP!$A$2:$A$2501)),NA(),INDEX(KW_TP!$C$2:$C$2501,MATCH($A179,KW_TP!$A$2:$A$2501,1))))</f>
        <v/>
      </c>
      <c r="Q179" s="18">
        <f>IF(NOT(ISNUMBER($A179)),NA(),IFERROR(1*INDEX(BBG_Data!$J$2:$J$4000,MATCH($A179,BBG_Data!$I$2:$I$4000,0)),NA()))</f>
        <v/>
      </c>
      <c r="R179" s="18">
        <f>IF(NOT(ISNUMBER($A179)),NA(),IFERROR(1*INDEX(BBG_Data!$L$2:$L$4000,MATCH($A179,BBG_Data!$K$2:$K$4000,0)),NA()))</f>
        <v/>
      </c>
      <c r="S179" s="20">
        <f>IF(AND(ISNUMBER(B179),ISNUMBER(Q179),ISNUMBER(R179)),(B179-Q179-R179)*100,NA())</f>
        <v/>
      </c>
      <c r="T179" s="20">
        <f>IF(AND(ISNUMBER(B179),Settings!$B$17&gt;0),IF(ISNUMBER(INDEX($B:$B,Settings!$B$17)),(B179-INDEX($B:$B,Settings!$B$17))*100,NA()),NA())</f>
        <v/>
      </c>
      <c r="U179" s="20">
        <f>IF(AND(ISNUMBER(Q179),Settings!$B$17&gt;0),IF(ISNUMBER(INDEX($Q:$Q,Settings!$B$17)),(Q179-INDEX($Q:$Q,Settings!$B$17))*100,NA()),NA())</f>
        <v/>
      </c>
      <c r="V179" s="20">
        <f>IF(AND(ISNUMBER(R179),Settings!$B$17&gt;0),IF(ISNUMBER(INDEX($R:$R,Settings!$B$17)),(R179-INDEX($R:$R,Settings!$B$17))*100,NA()),NA())</f>
        <v/>
      </c>
      <c r="W179" s="20">
        <f>IF(AND(ISNUMBER(P179),Settings!$B$17&gt;0),IF(ISNUMBER(INDEX($P:$P,Settings!$B$17)),P179-INDEX($P:$P,Settings!$B$17),NA()),NA())</f>
        <v/>
      </c>
      <c r="X179" s="19">
        <f>IF(NOT(ISNUMBER($A179)),NA(),IF(OR($A179&lt;MIN(DKW_10Y!$A$2:$A$2918),$A179&gt;MAX(DKW_10Y!$A$2:$A$2918),Settings!$B$16&lt;MIN(DKW_10Y!$A$2:$A$2918)),NA(),(INDEX(DKW_10Y!$B$2:$B$2918,MATCH($A179,DKW_10Y!$A$2:$A$2918,1))-INDEX(DKW_10Y!$B$2:$B$2918,MATCH(Settings!$B$16,DKW_10Y!$A$2:$A$2918,1)))*100))</f>
        <v/>
      </c>
      <c r="Y179" s="19">
        <f>IF(NOT(ISNUMBER($A179)),NA(),IF(OR($A179&lt;MIN(DKW_10Y!$A$2:$A$2918),$A179&gt;MAX(DKW_10Y!$A$2:$A$2918),Settings!$B$16&lt;MIN(DKW_10Y!$A$2:$A$2918)),NA(),(INDEX(DKW_10Y!$C$2:$C$2918,MATCH($A179,DKW_10Y!$A$2:$A$2918,1))-INDEX(DKW_10Y!$C$2:$C$2918,MATCH(Settings!$B$16,DKW_10Y!$A$2:$A$2918,1)))*100))</f>
        <v/>
      </c>
      <c r="Z179" s="19">
        <f>IF(NOT(ISNUMBER($A179)),NA(),IF(OR($A179&lt;MIN(DKW_10Y!$A$2:$A$2918),$A179&gt;MAX(DKW_10Y!$A$2:$A$2918),Settings!$B$16&lt;MIN(DKW_10Y!$A$2:$A$2918)),NA(),(INDEX(DKW_10Y!$D$2:$D$2918,MATCH($A179,DKW_10Y!$A$2:$A$2918,1))-INDEX(DKW_10Y!$D$2:$D$2918,MATCH(Settings!$B$16,DKW_10Y!$A$2:$A$2918,1)))*100))</f>
        <v/>
      </c>
      <c r="AA179" s="19">
        <f>IF(NOT(ISNUMBER($A179)),NA(),IF(OR($A179&lt;MIN(DKW_10Y!$A$2:$A$2918),$A179&gt;MAX(DKW_10Y!$A$2:$A$2918),Settings!$B$16&lt;MIN(DKW_10Y!$A$2:$A$2918)),NA(),(INDEX(DKW_10Y!$E$2:$E$2918,MATCH($A179,DKW_10Y!$A$2:$A$2918,1))-INDEX(DKW_10Y!$E$2:$E$2918,MATCH(Settings!$B$16,DKW_10Y!$A$2:$A$2918,1)))*100))</f>
        <v/>
      </c>
      <c r="AB179" s="19">
        <f>IF(NOT(ISNUMBER($A179)),NA(),IF(OR($A179&lt;MIN(DKW_10Y!$A$2:$A$2918),$A179&gt;MAX(DKW_10Y!$A$2:$A$2918),Settings!$B$16&lt;MIN(DKW_10Y!$A$2:$A$2918)),NA(),(INDEX(DKW_10Y!$H$2:$H$2918,MATCH($A179,DKW_10Y!$A$2:$A$2918,1))-INDEX(DKW_10Y!$H$2:$H$2918,MATCH(Settings!$B$16,DKW_10Y!$A$2:$A$2918,1)))*100))</f>
        <v/>
      </c>
      <c r="AC179" s="18">
        <f>IF(NOT(ISNUMBER($A179)),NA(),IFERROR(1*INDEX(BBG_Data!$N$2:$N$4000,MATCH($A179,BBG_Data!$M$2:$M$4000,0)),NA()))</f>
        <v/>
      </c>
      <c r="AD179" s="18">
        <f>IF(NOT(ISNUMBER($A179)),NA(),IFERROR(1*INDEX(BBG_Data!$P$2:$P$4000,MATCH($A179,BBG_Data!$O$2:$O$4000,0)),NA()))</f>
        <v/>
      </c>
      <c r="AE179" s="18">
        <f>IF(NOT(ISNUMBER($A179)),NA(),IFERROR(1*INDEX(BBG_Data!$R$2:$R$4000,MATCH($A179,BBG_Data!$Q$2:$Q$4000,0)),NA()))</f>
        <v/>
      </c>
      <c r="AF179" s="20">
        <f>IF(AND(ISNUMBER(B179),ISNUMBER(AC179)),(B179-AC179)*100,NA())</f>
        <v/>
      </c>
      <c r="AG179" s="20">
        <f>IF(AND(ISNUMBER(AE179),ISNUMBER(AD179)),(AE179-AD179)*100,NA())</f>
        <v/>
      </c>
      <c r="AH179" s="19">
        <f>IF(NOT(ISNUMBER($A179)),NA(),IFERROR(INDEX(BBG_Data!$T$2:$T$4000,MATCH($A179,BBG_Data!$S$2:$S$4000,0))*Settings!$B$25,NA()))</f>
        <v/>
      </c>
      <c r="AI179" s="19">
        <f>IF(NOT(ISNUMBER($A179)),NA(),IFERROR(INDEX(BBG_Data!$V$2:$V$4000,MATCH($A179,BBG_Data!$U$2:$U$4000,0))*Settings!$B$25,NA()))</f>
        <v/>
      </c>
      <c r="AJ179" s="19">
        <f>IF(NOT(ISNUMBER($A179)),NA(),IFERROR(1*INDEX(BBG_Data!$X$2:$X$4000,MATCH($A179,BBG_Data!$W$2:$W$4000,0)),NA()))</f>
        <v/>
      </c>
      <c r="AK179" s="19">
        <f>IF(NOT(ISNUMBER($A179)),NA(),IFERROR(1*INDEX(BBG_Data!$Z$2:$Z$4000,MATCH($A179,BBG_Data!$Y$2:$Y$4000,0)),NA()))</f>
        <v/>
      </c>
    </row>
    <row r="180">
      <c r="A180" s="17">
        <f>IF(ISNUMBER(BBG_Data!A180),BBG_Data!A180,"")</f>
        <v/>
      </c>
      <c r="B180" s="18">
        <f>IF(AND(ISNUMBER($A180),ISNUMBER(BBG_Data!B180)),BBG_Data!B180,NA())</f>
        <v/>
      </c>
      <c r="C180" s="18">
        <f>IF(NOT(ISNUMBER($A180)),NA(),IFERROR(1*INDEX(BBG_Data!$D$2:$D$4000,MATCH($A180,BBG_Data!$C$2:$C$4000,0)),NA()))</f>
        <v/>
      </c>
      <c r="D180" s="19">
        <f>IF(NOT(ISNUMBER($A180)),NA(),IFERROR(1*INDEX(BBG_Data!$F$2:$F$4000,MATCH($A180,BBG_Data!$E$2:$E$4000,0)),NA()))</f>
        <v/>
      </c>
      <c r="E180" s="19">
        <f>IF(NOT(ISNUMBER($A180)),NA(),IFERROR(1*INDEX(BBG_Data!$H$2:$H$4000,MATCH($A180,BBG_Data!$G$2:$G$4000,0)),NA()))</f>
        <v/>
      </c>
      <c r="F180" s="20">
        <f>IF(AND(ISNUMBER(B180),ISNUMBER(B179)),IF(B180=B179,"",(B180-B179)*100),"")</f>
        <v/>
      </c>
      <c r="G180" s="20">
        <f>IF(AND(ISNUMBER(C180),ISNUMBER(C179)),IF(C180=C179,"",(C180-C179)*100),"")</f>
        <v/>
      </c>
      <c r="H180" s="20">
        <f>IF(OR(NOT(ISNUMBER($A180)),ROW()-2&lt;Settings!$B$11),NA(),IF(COUNT(OFFSET(F180,1-Settings!$B$11,0,Settings!$B$11,1))&lt;ROUNDUP(Settings!$B$11*Settings!$B$26,0),NA(),STDEV(OFFSET(F180,1-Settings!$B$11,0,Settings!$B$11,1))*SQRT(Settings!$B$13)))</f>
        <v/>
      </c>
      <c r="I180" s="20">
        <f>IF(OR(NOT(ISNUMBER($A180)),ROW()-2&lt;Settings!$B$12),NA(),IF(COUNT(OFFSET(F180,1-Settings!$B$12,0,Settings!$B$12,1))&lt;ROUNDUP(Settings!$B$12*Settings!$B$26,0),NA(),STDEV(OFFSET(F180,1-Settings!$B$12,0,Settings!$B$12,1))*SQRT(Settings!$B$13)))</f>
        <v/>
      </c>
      <c r="J180" s="20">
        <f>IF(OR(NOT(ISNUMBER($A180)),ROW()-2&lt;Settings!$B$11),NA(),IF(COUNT(OFFSET(G180,1-Settings!$B$11,0,Settings!$B$11,1))&lt;ROUNDUP(Settings!$B$11*Settings!$B$26,0),NA(),STDEV(OFFSET(G180,1-Settings!$B$11,0,Settings!$B$11,1))*SQRT(Settings!$B$13)))</f>
        <v/>
      </c>
      <c r="K180" s="20">
        <f>IF(OR(NOT(ISNUMBER($A180)),ROW()-2&lt;Settings!$B$12),NA(),IF(COUNT(OFFSET(G180,1-Settings!$B$12,0,Settings!$B$12,1))&lt;ROUNDUP(Settings!$B$12*Settings!$B$26,0),NA(),STDEV(OFFSET(G180,1-Settings!$B$12,0,Settings!$B$12,1))*SQRT(Settings!$B$13)))</f>
        <v/>
      </c>
      <c r="L180" s="20">
        <f>IF(AND(ISNUMBER(D180),ISNUMBER(H180)),D180-H180,NA())</f>
        <v/>
      </c>
      <c r="M180" s="20">
        <f>IF(AND(ISNUMBER(E180),ISNUMBER(K180)),E180-K180,NA())</f>
        <v/>
      </c>
      <c r="N180" s="20">
        <f>IF(NOT(ISNUMBER($A180)),NA(),IF(COUNT(OFFSET(G180,1,0,Settings!$B$12,1))&lt;ROUNDUP(Settings!$B$12*Settings!$B$26,0),NA(),STDEV(OFFSET(G180,1,0,Settings!$B$12,1))*SQRT(Settings!$B$13)))</f>
        <v/>
      </c>
      <c r="O180" s="20">
        <f>IF(AND(ISNUMBER(E180),ISNUMBER(N180)),E180-N180,NA())</f>
        <v/>
      </c>
      <c r="P180" s="19">
        <f>IF(NOT(ISNUMBER($A180)),NA(),IF(OR($A180&lt;MIN(KW_TP!$A$2:$A$2501),$A180&gt;MAX(KW_TP!$A$2:$A$2501)),NA(),INDEX(KW_TP!$C$2:$C$2501,MATCH($A180,KW_TP!$A$2:$A$2501,1))))</f>
        <v/>
      </c>
      <c r="Q180" s="18">
        <f>IF(NOT(ISNUMBER($A180)),NA(),IFERROR(1*INDEX(BBG_Data!$J$2:$J$4000,MATCH($A180,BBG_Data!$I$2:$I$4000,0)),NA()))</f>
        <v/>
      </c>
      <c r="R180" s="18">
        <f>IF(NOT(ISNUMBER($A180)),NA(),IFERROR(1*INDEX(BBG_Data!$L$2:$L$4000,MATCH($A180,BBG_Data!$K$2:$K$4000,0)),NA()))</f>
        <v/>
      </c>
      <c r="S180" s="20">
        <f>IF(AND(ISNUMBER(B180),ISNUMBER(Q180),ISNUMBER(R180)),(B180-Q180-R180)*100,NA())</f>
        <v/>
      </c>
      <c r="T180" s="20">
        <f>IF(AND(ISNUMBER(B180),Settings!$B$17&gt;0),IF(ISNUMBER(INDEX($B:$B,Settings!$B$17)),(B180-INDEX($B:$B,Settings!$B$17))*100,NA()),NA())</f>
        <v/>
      </c>
      <c r="U180" s="20">
        <f>IF(AND(ISNUMBER(Q180),Settings!$B$17&gt;0),IF(ISNUMBER(INDEX($Q:$Q,Settings!$B$17)),(Q180-INDEX($Q:$Q,Settings!$B$17))*100,NA()),NA())</f>
        <v/>
      </c>
      <c r="V180" s="20">
        <f>IF(AND(ISNUMBER(R180),Settings!$B$17&gt;0),IF(ISNUMBER(INDEX($R:$R,Settings!$B$17)),(R180-INDEX($R:$R,Settings!$B$17))*100,NA()),NA())</f>
        <v/>
      </c>
      <c r="W180" s="20">
        <f>IF(AND(ISNUMBER(P180),Settings!$B$17&gt;0),IF(ISNUMBER(INDEX($P:$P,Settings!$B$17)),P180-INDEX($P:$P,Settings!$B$17),NA()),NA())</f>
        <v/>
      </c>
      <c r="X180" s="19">
        <f>IF(NOT(ISNUMBER($A180)),NA(),IF(OR($A180&lt;MIN(DKW_10Y!$A$2:$A$2918),$A180&gt;MAX(DKW_10Y!$A$2:$A$2918),Settings!$B$16&lt;MIN(DKW_10Y!$A$2:$A$2918)),NA(),(INDEX(DKW_10Y!$B$2:$B$2918,MATCH($A180,DKW_10Y!$A$2:$A$2918,1))-INDEX(DKW_10Y!$B$2:$B$2918,MATCH(Settings!$B$16,DKW_10Y!$A$2:$A$2918,1)))*100))</f>
        <v/>
      </c>
      <c r="Y180" s="19">
        <f>IF(NOT(ISNUMBER($A180)),NA(),IF(OR($A180&lt;MIN(DKW_10Y!$A$2:$A$2918),$A180&gt;MAX(DKW_10Y!$A$2:$A$2918),Settings!$B$16&lt;MIN(DKW_10Y!$A$2:$A$2918)),NA(),(INDEX(DKW_10Y!$C$2:$C$2918,MATCH($A180,DKW_10Y!$A$2:$A$2918,1))-INDEX(DKW_10Y!$C$2:$C$2918,MATCH(Settings!$B$16,DKW_10Y!$A$2:$A$2918,1)))*100))</f>
        <v/>
      </c>
      <c r="Z180" s="19">
        <f>IF(NOT(ISNUMBER($A180)),NA(),IF(OR($A180&lt;MIN(DKW_10Y!$A$2:$A$2918),$A180&gt;MAX(DKW_10Y!$A$2:$A$2918),Settings!$B$16&lt;MIN(DKW_10Y!$A$2:$A$2918)),NA(),(INDEX(DKW_10Y!$D$2:$D$2918,MATCH($A180,DKW_10Y!$A$2:$A$2918,1))-INDEX(DKW_10Y!$D$2:$D$2918,MATCH(Settings!$B$16,DKW_10Y!$A$2:$A$2918,1)))*100))</f>
        <v/>
      </c>
      <c r="AA180" s="19">
        <f>IF(NOT(ISNUMBER($A180)),NA(),IF(OR($A180&lt;MIN(DKW_10Y!$A$2:$A$2918),$A180&gt;MAX(DKW_10Y!$A$2:$A$2918),Settings!$B$16&lt;MIN(DKW_10Y!$A$2:$A$2918)),NA(),(INDEX(DKW_10Y!$E$2:$E$2918,MATCH($A180,DKW_10Y!$A$2:$A$2918,1))-INDEX(DKW_10Y!$E$2:$E$2918,MATCH(Settings!$B$16,DKW_10Y!$A$2:$A$2918,1)))*100))</f>
        <v/>
      </c>
      <c r="AB180" s="19">
        <f>IF(NOT(ISNUMBER($A180)),NA(),IF(OR($A180&lt;MIN(DKW_10Y!$A$2:$A$2918),$A180&gt;MAX(DKW_10Y!$A$2:$A$2918),Settings!$B$16&lt;MIN(DKW_10Y!$A$2:$A$2918)),NA(),(INDEX(DKW_10Y!$H$2:$H$2918,MATCH($A180,DKW_10Y!$A$2:$A$2918,1))-INDEX(DKW_10Y!$H$2:$H$2918,MATCH(Settings!$B$16,DKW_10Y!$A$2:$A$2918,1)))*100))</f>
        <v/>
      </c>
      <c r="AC180" s="18">
        <f>IF(NOT(ISNUMBER($A180)),NA(),IFERROR(1*INDEX(BBG_Data!$N$2:$N$4000,MATCH($A180,BBG_Data!$M$2:$M$4000,0)),NA()))</f>
        <v/>
      </c>
      <c r="AD180" s="18">
        <f>IF(NOT(ISNUMBER($A180)),NA(),IFERROR(1*INDEX(BBG_Data!$P$2:$P$4000,MATCH($A180,BBG_Data!$O$2:$O$4000,0)),NA()))</f>
        <v/>
      </c>
      <c r="AE180" s="18">
        <f>IF(NOT(ISNUMBER($A180)),NA(),IFERROR(1*INDEX(BBG_Data!$R$2:$R$4000,MATCH($A180,BBG_Data!$Q$2:$Q$4000,0)),NA()))</f>
        <v/>
      </c>
      <c r="AF180" s="20">
        <f>IF(AND(ISNUMBER(B180),ISNUMBER(AC180)),(B180-AC180)*100,NA())</f>
        <v/>
      </c>
      <c r="AG180" s="20">
        <f>IF(AND(ISNUMBER(AE180),ISNUMBER(AD180)),(AE180-AD180)*100,NA())</f>
        <v/>
      </c>
      <c r="AH180" s="19">
        <f>IF(NOT(ISNUMBER($A180)),NA(),IFERROR(INDEX(BBG_Data!$T$2:$T$4000,MATCH($A180,BBG_Data!$S$2:$S$4000,0))*Settings!$B$25,NA()))</f>
        <v/>
      </c>
      <c r="AI180" s="19">
        <f>IF(NOT(ISNUMBER($A180)),NA(),IFERROR(INDEX(BBG_Data!$V$2:$V$4000,MATCH($A180,BBG_Data!$U$2:$U$4000,0))*Settings!$B$25,NA()))</f>
        <v/>
      </c>
      <c r="AJ180" s="19">
        <f>IF(NOT(ISNUMBER($A180)),NA(),IFERROR(1*INDEX(BBG_Data!$X$2:$X$4000,MATCH($A180,BBG_Data!$W$2:$W$4000,0)),NA()))</f>
        <v/>
      </c>
      <c r="AK180" s="19">
        <f>IF(NOT(ISNUMBER($A180)),NA(),IFERROR(1*INDEX(BBG_Data!$Z$2:$Z$4000,MATCH($A180,BBG_Data!$Y$2:$Y$4000,0)),NA()))</f>
        <v/>
      </c>
    </row>
    <row r="181">
      <c r="A181" s="17">
        <f>IF(ISNUMBER(BBG_Data!A181),BBG_Data!A181,"")</f>
        <v/>
      </c>
      <c r="B181" s="18">
        <f>IF(AND(ISNUMBER($A181),ISNUMBER(BBG_Data!B181)),BBG_Data!B181,NA())</f>
        <v/>
      </c>
      <c r="C181" s="18">
        <f>IF(NOT(ISNUMBER($A181)),NA(),IFERROR(1*INDEX(BBG_Data!$D$2:$D$4000,MATCH($A181,BBG_Data!$C$2:$C$4000,0)),NA()))</f>
        <v/>
      </c>
      <c r="D181" s="19">
        <f>IF(NOT(ISNUMBER($A181)),NA(),IFERROR(1*INDEX(BBG_Data!$F$2:$F$4000,MATCH($A181,BBG_Data!$E$2:$E$4000,0)),NA()))</f>
        <v/>
      </c>
      <c r="E181" s="19">
        <f>IF(NOT(ISNUMBER($A181)),NA(),IFERROR(1*INDEX(BBG_Data!$H$2:$H$4000,MATCH($A181,BBG_Data!$G$2:$G$4000,0)),NA()))</f>
        <v/>
      </c>
      <c r="F181" s="20">
        <f>IF(AND(ISNUMBER(B181),ISNUMBER(B180)),IF(B181=B180,"",(B181-B180)*100),"")</f>
        <v/>
      </c>
      <c r="G181" s="20">
        <f>IF(AND(ISNUMBER(C181),ISNUMBER(C180)),IF(C181=C180,"",(C181-C180)*100),"")</f>
        <v/>
      </c>
      <c r="H181" s="20">
        <f>IF(OR(NOT(ISNUMBER($A181)),ROW()-2&lt;Settings!$B$11),NA(),IF(COUNT(OFFSET(F181,1-Settings!$B$11,0,Settings!$B$11,1))&lt;ROUNDUP(Settings!$B$11*Settings!$B$26,0),NA(),STDEV(OFFSET(F181,1-Settings!$B$11,0,Settings!$B$11,1))*SQRT(Settings!$B$13)))</f>
        <v/>
      </c>
      <c r="I181" s="20">
        <f>IF(OR(NOT(ISNUMBER($A181)),ROW()-2&lt;Settings!$B$12),NA(),IF(COUNT(OFFSET(F181,1-Settings!$B$12,0,Settings!$B$12,1))&lt;ROUNDUP(Settings!$B$12*Settings!$B$26,0),NA(),STDEV(OFFSET(F181,1-Settings!$B$12,0,Settings!$B$12,1))*SQRT(Settings!$B$13)))</f>
        <v/>
      </c>
      <c r="J181" s="20">
        <f>IF(OR(NOT(ISNUMBER($A181)),ROW()-2&lt;Settings!$B$11),NA(),IF(COUNT(OFFSET(G181,1-Settings!$B$11,0,Settings!$B$11,1))&lt;ROUNDUP(Settings!$B$11*Settings!$B$26,0),NA(),STDEV(OFFSET(G181,1-Settings!$B$11,0,Settings!$B$11,1))*SQRT(Settings!$B$13)))</f>
        <v/>
      </c>
      <c r="K181" s="20">
        <f>IF(OR(NOT(ISNUMBER($A181)),ROW()-2&lt;Settings!$B$12),NA(),IF(COUNT(OFFSET(G181,1-Settings!$B$12,0,Settings!$B$12,1))&lt;ROUNDUP(Settings!$B$12*Settings!$B$26,0),NA(),STDEV(OFFSET(G181,1-Settings!$B$12,0,Settings!$B$12,1))*SQRT(Settings!$B$13)))</f>
        <v/>
      </c>
      <c r="L181" s="20">
        <f>IF(AND(ISNUMBER(D181),ISNUMBER(H181)),D181-H181,NA())</f>
        <v/>
      </c>
      <c r="M181" s="20">
        <f>IF(AND(ISNUMBER(E181),ISNUMBER(K181)),E181-K181,NA())</f>
        <v/>
      </c>
      <c r="N181" s="20">
        <f>IF(NOT(ISNUMBER($A181)),NA(),IF(COUNT(OFFSET(G181,1,0,Settings!$B$12,1))&lt;ROUNDUP(Settings!$B$12*Settings!$B$26,0),NA(),STDEV(OFFSET(G181,1,0,Settings!$B$12,1))*SQRT(Settings!$B$13)))</f>
        <v/>
      </c>
      <c r="O181" s="20">
        <f>IF(AND(ISNUMBER(E181),ISNUMBER(N181)),E181-N181,NA())</f>
        <v/>
      </c>
      <c r="P181" s="19">
        <f>IF(NOT(ISNUMBER($A181)),NA(),IF(OR($A181&lt;MIN(KW_TP!$A$2:$A$2501),$A181&gt;MAX(KW_TP!$A$2:$A$2501)),NA(),INDEX(KW_TP!$C$2:$C$2501,MATCH($A181,KW_TP!$A$2:$A$2501,1))))</f>
        <v/>
      </c>
      <c r="Q181" s="18">
        <f>IF(NOT(ISNUMBER($A181)),NA(),IFERROR(1*INDEX(BBG_Data!$J$2:$J$4000,MATCH($A181,BBG_Data!$I$2:$I$4000,0)),NA()))</f>
        <v/>
      </c>
      <c r="R181" s="18">
        <f>IF(NOT(ISNUMBER($A181)),NA(),IFERROR(1*INDEX(BBG_Data!$L$2:$L$4000,MATCH($A181,BBG_Data!$K$2:$K$4000,0)),NA()))</f>
        <v/>
      </c>
      <c r="S181" s="20">
        <f>IF(AND(ISNUMBER(B181),ISNUMBER(Q181),ISNUMBER(R181)),(B181-Q181-R181)*100,NA())</f>
        <v/>
      </c>
      <c r="T181" s="20">
        <f>IF(AND(ISNUMBER(B181),Settings!$B$17&gt;0),IF(ISNUMBER(INDEX($B:$B,Settings!$B$17)),(B181-INDEX($B:$B,Settings!$B$17))*100,NA()),NA())</f>
        <v/>
      </c>
      <c r="U181" s="20">
        <f>IF(AND(ISNUMBER(Q181),Settings!$B$17&gt;0),IF(ISNUMBER(INDEX($Q:$Q,Settings!$B$17)),(Q181-INDEX($Q:$Q,Settings!$B$17))*100,NA()),NA())</f>
        <v/>
      </c>
      <c r="V181" s="20">
        <f>IF(AND(ISNUMBER(R181),Settings!$B$17&gt;0),IF(ISNUMBER(INDEX($R:$R,Settings!$B$17)),(R181-INDEX($R:$R,Settings!$B$17))*100,NA()),NA())</f>
        <v/>
      </c>
      <c r="W181" s="20">
        <f>IF(AND(ISNUMBER(P181),Settings!$B$17&gt;0),IF(ISNUMBER(INDEX($P:$P,Settings!$B$17)),P181-INDEX($P:$P,Settings!$B$17),NA()),NA())</f>
        <v/>
      </c>
      <c r="X181" s="19">
        <f>IF(NOT(ISNUMBER($A181)),NA(),IF(OR($A181&lt;MIN(DKW_10Y!$A$2:$A$2918),$A181&gt;MAX(DKW_10Y!$A$2:$A$2918),Settings!$B$16&lt;MIN(DKW_10Y!$A$2:$A$2918)),NA(),(INDEX(DKW_10Y!$B$2:$B$2918,MATCH($A181,DKW_10Y!$A$2:$A$2918,1))-INDEX(DKW_10Y!$B$2:$B$2918,MATCH(Settings!$B$16,DKW_10Y!$A$2:$A$2918,1)))*100))</f>
        <v/>
      </c>
      <c r="Y181" s="19">
        <f>IF(NOT(ISNUMBER($A181)),NA(),IF(OR($A181&lt;MIN(DKW_10Y!$A$2:$A$2918),$A181&gt;MAX(DKW_10Y!$A$2:$A$2918),Settings!$B$16&lt;MIN(DKW_10Y!$A$2:$A$2918)),NA(),(INDEX(DKW_10Y!$C$2:$C$2918,MATCH($A181,DKW_10Y!$A$2:$A$2918,1))-INDEX(DKW_10Y!$C$2:$C$2918,MATCH(Settings!$B$16,DKW_10Y!$A$2:$A$2918,1)))*100))</f>
        <v/>
      </c>
      <c r="Z181" s="19">
        <f>IF(NOT(ISNUMBER($A181)),NA(),IF(OR($A181&lt;MIN(DKW_10Y!$A$2:$A$2918),$A181&gt;MAX(DKW_10Y!$A$2:$A$2918),Settings!$B$16&lt;MIN(DKW_10Y!$A$2:$A$2918)),NA(),(INDEX(DKW_10Y!$D$2:$D$2918,MATCH($A181,DKW_10Y!$A$2:$A$2918,1))-INDEX(DKW_10Y!$D$2:$D$2918,MATCH(Settings!$B$16,DKW_10Y!$A$2:$A$2918,1)))*100))</f>
        <v/>
      </c>
      <c r="AA181" s="19">
        <f>IF(NOT(ISNUMBER($A181)),NA(),IF(OR($A181&lt;MIN(DKW_10Y!$A$2:$A$2918),$A181&gt;MAX(DKW_10Y!$A$2:$A$2918),Settings!$B$16&lt;MIN(DKW_10Y!$A$2:$A$2918)),NA(),(INDEX(DKW_10Y!$E$2:$E$2918,MATCH($A181,DKW_10Y!$A$2:$A$2918,1))-INDEX(DKW_10Y!$E$2:$E$2918,MATCH(Settings!$B$16,DKW_10Y!$A$2:$A$2918,1)))*100))</f>
        <v/>
      </c>
      <c r="AB181" s="19">
        <f>IF(NOT(ISNUMBER($A181)),NA(),IF(OR($A181&lt;MIN(DKW_10Y!$A$2:$A$2918),$A181&gt;MAX(DKW_10Y!$A$2:$A$2918),Settings!$B$16&lt;MIN(DKW_10Y!$A$2:$A$2918)),NA(),(INDEX(DKW_10Y!$H$2:$H$2918,MATCH($A181,DKW_10Y!$A$2:$A$2918,1))-INDEX(DKW_10Y!$H$2:$H$2918,MATCH(Settings!$B$16,DKW_10Y!$A$2:$A$2918,1)))*100))</f>
        <v/>
      </c>
      <c r="AC181" s="18">
        <f>IF(NOT(ISNUMBER($A181)),NA(),IFERROR(1*INDEX(BBG_Data!$N$2:$N$4000,MATCH($A181,BBG_Data!$M$2:$M$4000,0)),NA()))</f>
        <v/>
      </c>
      <c r="AD181" s="18">
        <f>IF(NOT(ISNUMBER($A181)),NA(),IFERROR(1*INDEX(BBG_Data!$P$2:$P$4000,MATCH($A181,BBG_Data!$O$2:$O$4000,0)),NA()))</f>
        <v/>
      </c>
      <c r="AE181" s="18">
        <f>IF(NOT(ISNUMBER($A181)),NA(),IFERROR(1*INDEX(BBG_Data!$R$2:$R$4000,MATCH($A181,BBG_Data!$Q$2:$Q$4000,0)),NA()))</f>
        <v/>
      </c>
      <c r="AF181" s="20">
        <f>IF(AND(ISNUMBER(B181),ISNUMBER(AC181)),(B181-AC181)*100,NA())</f>
        <v/>
      </c>
      <c r="AG181" s="20">
        <f>IF(AND(ISNUMBER(AE181),ISNUMBER(AD181)),(AE181-AD181)*100,NA())</f>
        <v/>
      </c>
      <c r="AH181" s="19">
        <f>IF(NOT(ISNUMBER($A181)),NA(),IFERROR(INDEX(BBG_Data!$T$2:$T$4000,MATCH($A181,BBG_Data!$S$2:$S$4000,0))*Settings!$B$25,NA()))</f>
        <v/>
      </c>
      <c r="AI181" s="19">
        <f>IF(NOT(ISNUMBER($A181)),NA(),IFERROR(INDEX(BBG_Data!$V$2:$V$4000,MATCH($A181,BBG_Data!$U$2:$U$4000,0))*Settings!$B$25,NA()))</f>
        <v/>
      </c>
      <c r="AJ181" s="19">
        <f>IF(NOT(ISNUMBER($A181)),NA(),IFERROR(1*INDEX(BBG_Data!$X$2:$X$4000,MATCH($A181,BBG_Data!$W$2:$W$4000,0)),NA()))</f>
        <v/>
      </c>
      <c r="AK181" s="19">
        <f>IF(NOT(ISNUMBER($A181)),NA(),IFERROR(1*INDEX(BBG_Data!$Z$2:$Z$4000,MATCH($A181,BBG_Data!$Y$2:$Y$4000,0)),NA()))</f>
        <v/>
      </c>
    </row>
    <row r="182">
      <c r="A182" s="17">
        <f>IF(ISNUMBER(BBG_Data!A182),BBG_Data!A182,"")</f>
        <v/>
      </c>
      <c r="B182" s="18">
        <f>IF(AND(ISNUMBER($A182),ISNUMBER(BBG_Data!B182)),BBG_Data!B182,NA())</f>
        <v/>
      </c>
      <c r="C182" s="18">
        <f>IF(NOT(ISNUMBER($A182)),NA(),IFERROR(1*INDEX(BBG_Data!$D$2:$D$4000,MATCH($A182,BBG_Data!$C$2:$C$4000,0)),NA()))</f>
        <v/>
      </c>
      <c r="D182" s="19">
        <f>IF(NOT(ISNUMBER($A182)),NA(),IFERROR(1*INDEX(BBG_Data!$F$2:$F$4000,MATCH($A182,BBG_Data!$E$2:$E$4000,0)),NA()))</f>
        <v/>
      </c>
      <c r="E182" s="19">
        <f>IF(NOT(ISNUMBER($A182)),NA(),IFERROR(1*INDEX(BBG_Data!$H$2:$H$4000,MATCH($A182,BBG_Data!$G$2:$G$4000,0)),NA()))</f>
        <v/>
      </c>
      <c r="F182" s="20">
        <f>IF(AND(ISNUMBER(B182),ISNUMBER(B181)),IF(B182=B181,"",(B182-B181)*100),"")</f>
        <v/>
      </c>
      <c r="G182" s="20">
        <f>IF(AND(ISNUMBER(C182),ISNUMBER(C181)),IF(C182=C181,"",(C182-C181)*100),"")</f>
        <v/>
      </c>
      <c r="H182" s="20">
        <f>IF(OR(NOT(ISNUMBER($A182)),ROW()-2&lt;Settings!$B$11),NA(),IF(COUNT(OFFSET(F182,1-Settings!$B$11,0,Settings!$B$11,1))&lt;ROUNDUP(Settings!$B$11*Settings!$B$26,0),NA(),STDEV(OFFSET(F182,1-Settings!$B$11,0,Settings!$B$11,1))*SQRT(Settings!$B$13)))</f>
        <v/>
      </c>
      <c r="I182" s="20">
        <f>IF(OR(NOT(ISNUMBER($A182)),ROW()-2&lt;Settings!$B$12),NA(),IF(COUNT(OFFSET(F182,1-Settings!$B$12,0,Settings!$B$12,1))&lt;ROUNDUP(Settings!$B$12*Settings!$B$26,0),NA(),STDEV(OFFSET(F182,1-Settings!$B$12,0,Settings!$B$12,1))*SQRT(Settings!$B$13)))</f>
        <v/>
      </c>
      <c r="J182" s="20">
        <f>IF(OR(NOT(ISNUMBER($A182)),ROW()-2&lt;Settings!$B$11),NA(),IF(COUNT(OFFSET(G182,1-Settings!$B$11,0,Settings!$B$11,1))&lt;ROUNDUP(Settings!$B$11*Settings!$B$26,0),NA(),STDEV(OFFSET(G182,1-Settings!$B$11,0,Settings!$B$11,1))*SQRT(Settings!$B$13)))</f>
        <v/>
      </c>
      <c r="K182" s="20">
        <f>IF(OR(NOT(ISNUMBER($A182)),ROW()-2&lt;Settings!$B$12),NA(),IF(COUNT(OFFSET(G182,1-Settings!$B$12,0,Settings!$B$12,1))&lt;ROUNDUP(Settings!$B$12*Settings!$B$26,0),NA(),STDEV(OFFSET(G182,1-Settings!$B$12,0,Settings!$B$12,1))*SQRT(Settings!$B$13)))</f>
        <v/>
      </c>
      <c r="L182" s="20">
        <f>IF(AND(ISNUMBER(D182),ISNUMBER(H182)),D182-H182,NA())</f>
        <v/>
      </c>
      <c r="M182" s="20">
        <f>IF(AND(ISNUMBER(E182),ISNUMBER(K182)),E182-K182,NA())</f>
        <v/>
      </c>
      <c r="N182" s="20">
        <f>IF(NOT(ISNUMBER($A182)),NA(),IF(COUNT(OFFSET(G182,1,0,Settings!$B$12,1))&lt;ROUNDUP(Settings!$B$12*Settings!$B$26,0),NA(),STDEV(OFFSET(G182,1,0,Settings!$B$12,1))*SQRT(Settings!$B$13)))</f>
        <v/>
      </c>
      <c r="O182" s="20">
        <f>IF(AND(ISNUMBER(E182),ISNUMBER(N182)),E182-N182,NA())</f>
        <v/>
      </c>
      <c r="P182" s="19">
        <f>IF(NOT(ISNUMBER($A182)),NA(),IF(OR($A182&lt;MIN(KW_TP!$A$2:$A$2501),$A182&gt;MAX(KW_TP!$A$2:$A$2501)),NA(),INDEX(KW_TP!$C$2:$C$2501,MATCH($A182,KW_TP!$A$2:$A$2501,1))))</f>
        <v/>
      </c>
      <c r="Q182" s="18">
        <f>IF(NOT(ISNUMBER($A182)),NA(),IFERROR(1*INDEX(BBG_Data!$J$2:$J$4000,MATCH($A182,BBG_Data!$I$2:$I$4000,0)),NA()))</f>
        <v/>
      </c>
      <c r="R182" s="18">
        <f>IF(NOT(ISNUMBER($A182)),NA(),IFERROR(1*INDEX(BBG_Data!$L$2:$L$4000,MATCH($A182,BBG_Data!$K$2:$K$4000,0)),NA()))</f>
        <v/>
      </c>
      <c r="S182" s="20">
        <f>IF(AND(ISNUMBER(B182),ISNUMBER(Q182),ISNUMBER(R182)),(B182-Q182-R182)*100,NA())</f>
        <v/>
      </c>
      <c r="T182" s="20">
        <f>IF(AND(ISNUMBER(B182),Settings!$B$17&gt;0),IF(ISNUMBER(INDEX($B:$B,Settings!$B$17)),(B182-INDEX($B:$B,Settings!$B$17))*100,NA()),NA())</f>
        <v/>
      </c>
      <c r="U182" s="20">
        <f>IF(AND(ISNUMBER(Q182),Settings!$B$17&gt;0),IF(ISNUMBER(INDEX($Q:$Q,Settings!$B$17)),(Q182-INDEX($Q:$Q,Settings!$B$17))*100,NA()),NA())</f>
        <v/>
      </c>
      <c r="V182" s="20">
        <f>IF(AND(ISNUMBER(R182),Settings!$B$17&gt;0),IF(ISNUMBER(INDEX($R:$R,Settings!$B$17)),(R182-INDEX($R:$R,Settings!$B$17))*100,NA()),NA())</f>
        <v/>
      </c>
      <c r="W182" s="20">
        <f>IF(AND(ISNUMBER(P182),Settings!$B$17&gt;0),IF(ISNUMBER(INDEX($P:$P,Settings!$B$17)),P182-INDEX($P:$P,Settings!$B$17),NA()),NA())</f>
        <v/>
      </c>
      <c r="X182" s="19">
        <f>IF(NOT(ISNUMBER($A182)),NA(),IF(OR($A182&lt;MIN(DKW_10Y!$A$2:$A$2918),$A182&gt;MAX(DKW_10Y!$A$2:$A$2918),Settings!$B$16&lt;MIN(DKW_10Y!$A$2:$A$2918)),NA(),(INDEX(DKW_10Y!$B$2:$B$2918,MATCH($A182,DKW_10Y!$A$2:$A$2918,1))-INDEX(DKW_10Y!$B$2:$B$2918,MATCH(Settings!$B$16,DKW_10Y!$A$2:$A$2918,1)))*100))</f>
        <v/>
      </c>
      <c r="Y182" s="19">
        <f>IF(NOT(ISNUMBER($A182)),NA(),IF(OR($A182&lt;MIN(DKW_10Y!$A$2:$A$2918),$A182&gt;MAX(DKW_10Y!$A$2:$A$2918),Settings!$B$16&lt;MIN(DKW_10Y!$A$2:$A$2918)),NA(),(INDEX(DKW_10Y!$C$2:$C$2918,MATCH($A182,DKW_10Y!$A$2:$A$2918,1))-INDEX(DKW_10Y!$C$2:$C$2918,MATCH(Settings!$B$16,DKW_10Y!$A$2:$A$2918,1)))*100))</f>
        <v/>
      </c>
      <c r="Z182" s="19">
        <f>IF(NOT(ISNUMBER($A182)),NA(),IF(OR($A182&lt;MIN(DKW_10Y!$A$2:$A$2918),$A182&gt;MAX(DKW_10Y!$A$2:$A$2918),Settings!$B$16&lt;MIN(DKW_10Y!$A$2:$A$2918)),NA(),(INDEX(DKW_10Y!$D$2:$D$2918,MATCH($A182,DKW_10Y!$A$2:$A$2918,1))-INDEX(DKW_10Y!$D$2:$D$2918,MATCH(Settings!$B$16,DKW_10Y!$A$2:$A$2918,1)))*100))</f>
        <v/>
      </c>
      <c r="AA182" s="19">
        <f>IF(NOT(ISNUMBER($A182)),NA(),IF(OR($A182&lt;MIN(DKW_10Y!$A$2:$A$2918),$A182&gt;MAX(DKW_10Y!$A$2:$A$2918),Settings!$B$16&lt;MIN(DKW_10Y!$A$2:$A$2918)),NA(),(INDEX(DKW_10Y!$E$2:$E$2918,MATCH($A182,DKW_10Y!$A$2:$A$2918,1))-INDEX(DKW_10Y!$E$2:$E$2918,MATCH(Settings!$B$16,DKW_10Y!$A$2:$A$2918,1)))*100))</f>
        <v/>
      </c>
      <c r="AB182" s="19">
        <f>IF(NOT(ISNUMBER($A182)),NA(),IF(OR($A182&lt;MIN(DKW_10Y!$A$2:$A$2918),$A182&gt;MAX(DKW_10Y!$A$2:$A$2918),Settings!$B$16&lt;MIN(DKW_10Y!$A$2:$A$2918)),NA(),(INDEX(DKW_10Y!$H$2:$H$2918,MATCH($A182,DKW_10Y!$A$2:$A$2918,1))-INDEX(DKW_10Y!$H$2:$H$2918,MATCH(Settings!$B$16,DKW_10Y!$A$2:$A$2918,1)))*100))</f>
        <v/>
      </c>
      <c r="AC182" s="18">
        <f>IF(NOT(ISNUMBER($A182)),NA(),IFERROR(1*INDEX(BBG_Data!$N$2:$N$4000,MATCH($A182,BBG_Data!$M$2:$M$4000,0)),NA()))</f>
        <v/>
      </c>
      <c r="AD182" s="18">
        <f>IF(NOT(ISNUMBER($A182)),NA(),IFERROR(1*INDEX(BBG_Data!$P$2:$P$4000,MATCH($A182,BBG_Data!$O$2:$O$4000,0)),NA()))</f>
        <v/>
      </c>
      <c r="AE182" s="18">
        <f>IF(NOT(ISNUMBER($A182)),NA(),IFERROR(1*INDEX(BBG_Data!$R$2:$R$4000,MATCH($A182,BBG_Data!$Q$2:$Q$4000,0)),NA()))</f>
        <v/>
      </c>
      <c r="AF182" s="20">
        <f>IF(AND(ISNUMBER(B182),ISNUMBER(AC182)),(B182-AC182)*100,NA())</f>
        <v/>
      </c>
      <c r="AG182" s="20">
        <f>IF(AND(ISNUMBER(AE182),ISNUMBER(AD182)),(AE182-AD182)*100,NA())</f>
        <v/>
      </c>
      <c r="AH182" s="19">
        <f>IF(NOT(ISNUMBER($A182)),NA(),IFERROR(INDEX(BBG_Data!$T$2:$T$4000,MATCH($A182,BBG_Data!$S$2:$S$4000,0))*Settings!$B$25,NA()))</f>
        <v/>
      </c>
      <c r="AI182" s="19">
        <f>IF(NOT(ISNUMBER($A182)),NA(),IFERROR(INDEX(BBG_Data!$V$2:$V$4000,MATCH($A182,BBG_Data!$U$2:$U$4000,0))*Settings!$B$25,NA()))</f>
        <v/>
      </c>
      <c r="AJ182" s="19">
        <f>IF(NOT(ISNUMBER($A182)),NA(),IFERROR(1*INDEX(BBG_Data!$X$2:$X$4000,MATCH($A182,BBG_Data!$W$2:$W$4000,0)),NA()))</f>
        <v/>
      </c>
      <c r="AK182" s="19">
        <f>IF(NOT(ISNUMBER($A182)),NA(),IFERROR(1*INDEX(BBG_Data!$Z$2:$Z$4000,MATCH($A182,BBG_Data!$Y$2:$Y$4000,0)),NA()))</f>
        <v/>
      </c>
    </row>
    <row r="183">
      <c r="A183" s="17">
        <f>IF(ISNUMBER(BBG_Data!A183),BBG_Data!A183,"")</f>
        <v/>
      </c>
      <c r="B183" s="18">
        <f>IF(AND(ISNUMBER($A183),ISNUMBER(BBG_Data!B183)),BBG_Data!B183,NA())</f>
        <v/>
      </c>
      <c r="C183" s="18">
        <f>IF(NOT(ISNUMBER($A183)),NA(),IFERROR(1*INDEX(BBG_Data!$D$2:$D$4000,MATCH($A183,BBG_Data!$C$2:$C$4000,0)),NA()))</f>
        <v/>
      </c>
      <c r="D183" s="19">
        <f>IF(NOT(ISNUMBER($A183)),NA(),IFERROR(1*INDEX(BBG_Data!$F$2:$F$4000,MATCH($A183,BBG_Data!$E$2:$E$4000,0)),NA()))</f>
        <v/>
      </c>
      <c r="E183" s="19">
        <f>IF(NOT(ISNUMBER($A183)),NA(),IFERROR(1*INDEX(BBG_Data!$H$2:$H$4000,MATCH($A183,BBG_Data!$G$2:$G$4000,0)),NA()))</f>
        <v/>
      </c>
      <c r="F183" s="20">
        <f>IF(AND(ISNUMBER(B183),ISNUMBER(B182)),IF(B183=B182,"",(B183-B182)*100),"")</f>
        <v/>
      </c>
      <c r="G183" s="20">
        <f>IF(AND(ISNUMBER(C183),ISNUMBER(C182)),IF(C183=C182,"",(C183-C182)*100),"")</f>
        <v/>
      </c>
      <c r="H183" s="20">
        <f>IF(OR(NOT(ISNUMBER($A183)),ROW()-2&lt;Settings!$B$11),NA(),IF(COUNT(OFFSET(F183,1-Settings!$B$11,0,Settings!$B$11,1))&lt;ROUNDUP(Settings!$B$11*Settings!$B$26,0),NA(),STDEV(OFFSET(F183,1-Settings!$B$11,0,Settings!$B$11,1))*SQRT(Settings!$B$13)))</f>
        <v/>
      </c>
      <c r="I183" s="20">
        <f>IF(OR(NOT(ISNUMBER($A183)),ROW()-2&lt;Settings!$B$12),NA(),IF(COUNT(OFFSET(F183,1-Settings!$B$12,0,Settings!$B$12,1))&lt;ROUNDUP(Settings!$B$12*Settings!$B$26,0),NA(),STDEV(OFFSET(F183,1-Settings!$B$12,0,Settings!$B$12,1))*SQRT(Settings!$B$13)))</f>
        <v/>
      </c>
      <c r="J183" s="20">
        <f>IF(OR(NOT(ISNUMBER($A183)),ROW()-2&lt;Settings!$B$11),NA(),IF(COUNT(OFFSET(G183,1-Settings!$B$11,0,Settings!$B$11,1))&lt;ROUNDUP(Settings!$B$11*Settings!$B$26,0),NA(),STDEV(OFFSET(G183,1-Settings!$B$11,0,Settings!$B$11,1))*SQRT(Settings!$B$13)))</f>
        <v/>
      </c>
      <c r="K183" s="20">
        <f>IF(OR(NOT(ISNUMBER($A183)),ROW()-2&lt;Settings!$B$12),NA(),IF(COUNT(OFFSET(G183,1-Settings!$B$12,0,Settings!$B$12,1))&lt;ROUNDUP(Settings!$B$12*Settings!$B$26,0),NA(),STDEV(OFFSET(G183,1-Settings!$B$12,0,Settings!$B$12,1))*SQRT(Settings!$B$13)))</f>
        <v/>
      </c>
      <c r="L183" s="20">
        <f>IF(AND(ISNUMBER(D183),ISNUMBER(H183)),D183-H183,NA())</f>
        <v/>
      </c>
      <c r="M183" s="20">
        <f>IF(AND(ISNUMBER(E183),ISNUMBER(K183)),E183-K183,NA())</f>
        <v/>
      </c>
      <c r="N183" s="20">
        <f>IF(NOT(ISNUMBER($A183)),NA(),IF(COUNT(OFFSET(G183,1,0,Settings!$B$12,1))&lt;ROUNDUP(Settings!$B$12*Settings!$B$26,0),NA(),STDEV(OFFSET(G183,1,0,Settings!$B$12,1))*SQRT(Settings!$B$13)))</f>
        <v/>
      </c>
      <c r="O183" s="20">
        <f>IF(AND(ISNUMBER(E183),ISNUMBER(N183)),E183-N183,NA())</f>
        <v/>
      </c>
      <c r="P183" s="19">
        <f>IF(NOT(ISNUMBER($A183)),NA(),IF(OR($A183&lt;MIN(KW_TP!$A$2:$A$2501),$A183&gt;MAX(KW_TP!$A$2:$A$2501)),NA(),INDEX(KW_TP!$C$2:$C$2501,MATCH($A183,KW_TP!$A$2:$A$2501,1))))</f>
        <v/>
      </c>
      <c r="Q183" s="18">
        <f>IF(NOT(ISNUMBER($A183)),NA(),IFERROR(1*INDEX(BBG_Data!$J$2:$J$4000,MATCH($A183,BBG_Data!$I$2:$I$4000,0)),NA()))</f>
        <v/>
      </c>
      <c r="R183" s="18">
        <f>IF(NOT(ISNUMBER($A183)),NA(),IFERROR(1*INDEX(BBG_Data!$L$2:$L$4000,MATCH($A183,BBG_Data!$K$2:$K$4000,0)),NA()))</f>
        <v/>
      </c>
      <c r="S183" s="20">
        <f>IF(AND(ISNUMBER(B183),ISNUMBER(Q183),ISNUMBER(R183)),(B183-Q183-R183)*100,NA())</f>
        <v/>
      </c>
      <c r="T183" s="20">
        <f>IF(AND(ISNUMBER(B183),Settings!$B$17&gt;0),IF(ISNUMBER(INDEX($B:$B,Settings!$B$17)),(B183-INDEX($B:$B,Settings!$B$17))*100,NA()),NA())</f>
        <v/>
      </c>
      <c r="U183" s="20">
        <f>IF(AND(ISNUMBER(Q183),Settings!$B$17&gt;0),IF(ISNUMBER(INDEX($Q:$Q,Settings!$B$17)),(Q183-INDEX($Q:$Q,Settings!$B$17))*100,NA()),NA())</f>
        <v/>
      </c>
      <c r="V183" s="20">
        <f>IF(AND(ISNUMBER(R183),Settings!$B$17&gt;0),IF(ISNUMBER(INDEX($R:$R,Settings!$B$17)),(R183-INDEX($R:$R,Settings!$B$17))*100,NA()),NA())</f>
        <v/>
      </c>
      <c r="W183" s="20">
        <f>IF(AND(ISNUMBER(P183),Settings!$B$17&gt;0),IF(ISNUMBER(INDEX($P:$P,Settings!$B$17)),P183-INDEX($P:$P,Settings!$B$17),NA()),NA())</f>
        <v/>
      </c>
      <c r="X183" s="19">
        <f>IF(NOT(ISNUMBER($A183)),NA(),IF(OR($A183&lt;MIN(DKW_10Y!$A$2:$A$2918),$A183&gt;MAX(DKW_10Y!$A$2:$A$2918),Settings!$B$16&lt;MIN(DKW_10Y!$A$2:$A$2918)),NA(),(INDEX(DKW_10Y!$B$2:$B$2918,MATCH($A183,DKW_10Y!$A$2:$A$2918,1))-INDEX(DKW_10Y!$B$2:$B$2918,MATCH(Settings!$B$16,DKW_10Y!$A$2:$A$2918,1)))*100))</f>
        <v/>
      </c>
      <c r="Y183" s="19">
        <f>IF(NOT(ISNUMBER($A183)),NA(),IF(OR($A183&lt;MIN(DKW_10Y!$A$2:$A$2918),$A183&gt;MAX(DKW_10Y!$A$2:$A$2918),Settings!$B$16&lt;MIN(DKW_10Y!$A$2:$A$2918)),NA(),(INDEX(DKW_10Y!$C$2:$C$2918,MATCH($A183,DKW_10Y!$A$2:$A$2918,1))-INDEX(DKW_10Y!$C$2:$C$2918,MATCH(Settings!$B$16,DKW_10Y!$A$2:$A$2918,1)))*100))</f>
        <v/>
      </c>
      <c r="Z183" s="19">
        <f>IF(NOT(ISNUMBER($A183)),NA(),IF(OR($A183&lt;MIN(DKW_10Y!$A$2:$A$2918),$A183&gt;MAX(DKW_10Y!$A$2:$A$2918),Settings!$B$16&lt;MIN(DKW_10Y!$A$2:$A$2918)),NA(),(INDEX(DKW_10Y!$D$2:$D$2918,MATCH($A183,DKW_10Y!$A$2:$A$2918,1))-INDEX(DKW_10Y!$D$2:$D$2918,MATCH(Settings!$B$16,DKW_10Y!$A$2:$A$2918,1)))*100))</f>
        <v/>
      </c>
      <c r="AA183" s="19">
        <f>IF(NOT(ISNUMBER($A183)),NA(),IF(OR($A183&lt;MIN(DKW_10Y!$A$2:$A$2918),$A183&gt;MAX(DKW_10Y!$A$2:$A$2918),Settings!$B$16&lt;MIN(DKW_10Y!$A$2:$A$2918)),NA(),(INDEX(DKW_10Y!$E$2:$E$2918,MATCH($A183,DKW_10Y!$A$2:$A$2918,1))-INDEX(DKW_10Y!$E$2:$E$2918,MATCH(Settings!$B$16,DKW_10Y!$A$2:$A$2918,1)))*100))</f>
        <v/>
      </c>
      <c r="AB183" s="19">
        <f>IF(NOT(ISNUMBER($A183)),NA(),IF(OR($A183&lt;MIN(DKW_10Y!$A$2:$A$2918),$A183&gt;MAX(DKW_10Y!$A$2:$A$2918),Settings!$B$16&lt;MIN(DKW_10Y!$A$2:$A$2918)),NA(),(INDEX(DKW_10Y!$H$2:$H$2918,MATCH($A183,DKW_10Y!$A$2:$A$2918,1))-INDEX(DKW_10Y!$H$2:$H$2918,MATCH(Settings!$B$16,DKW_10Y!$A$2:$A$2918,1)))*100))</f>
        <v/>
      </c>
      <c r="AC183" s="18">
        <f>IF(NOT(ISNUMBER($A183)),NA(),IFERROR(1*INDEX(BBG_Data!$N$2:$N$4000,MATCH($A183,BBG_Data!$M$2:$M$4000,0)),NA()))</f>
        <v/>
      </c>
      <c r="AD183" s="18">
        <f>IF(NOT(ISNUMBER($A183)),NA(),IFERROR(1*INDEX(BBG_Data!$P$2:$P$4000,MATCH($A183,BBG_Data!$O$2:$O$4000,0)),NA()))</f>
        <v/>
      </c>
      <c r="AE183" s="18">
        <f>IF(NOT(ISNUMBER($A183)),NA(),IFERROR(1*INDEX(BBG_Data!$R$2:$R$4000,MATCH($A183,BBG_Data!$Q$2:$Q$4000,0)),NA()))</f>
        <v/>
      </c>
      <c r="AF183" s="20">
        <f>IF(AND(ISNUMBER(B183),ISNUMBER(AC183)),(B183-AC183)*100,NA())</f>
        <v/>
      </c>
      <c r="AG183" s="20">
        <f>IF(AND(ISNUMBER(AE183),ISNUMBER(AD183)),(AE183-AD183)*100,NA())</f>
        <v/>
      </c>
      <c r="AH183" s="19">
        <f>IF(NOT(ISNUMBER($A183)),NA(),IFERROR(INDEX(BBG_Data!$T$2:$T$4000,MATCH($A183,BBG_Data!$S$2:$S$4000,0))*Settings!$B$25,NA()))</f>
        <v/>
      </c>
      <c r="AI183" s="19">
        <f>IF(NOT(ISNUMBER($A183)),NA(),IFERROR(INDEX(BBG_Data!$V$2:$V$4000,MATCH($A183,BBG_Data!$U$2:$U$4000,0))*Settings!$B$25,NA()))</f>
        <v/>
      </c>
      <c r="AJ183" s="19">
        <f>IF(NOT(ISNUMBER($A183)),NA(),IFERROR(1*INDEX(BBG_Data!$X$2:$X$4000,MATCH($A183,BBG_Data!$W$2:$W$4000,0)),NA()))</f>
        <v/>
      </c>
      <c r="AK183" s="19">
        <f>IF(NOT(ISNUMBER($A183)),NA(),IFERROR(1*INDEX(BBG_Data!$Z$2:$Z$4000,MATCH($A183,BBG_Data!$Y$2:$Y$4000,0)),NA()))</f>
        <v/>
      </c>
    </row>
    <row r="184">
      <c r="A184" s="17">
        <f>IF(ISNUMBER(BBG_Data!A184),BBG_Data!A184,"")</f>
        <v/>
      </c>
      <c r="B184" s="18">
        <f>IF(AND(ISNUMBER($A184),ISNUMBER(BBG_Data!B184)),BBG_Data!B184,NA())</f>
        <v/>
      </c>
      <c r="C184" s="18">
        <f>IF(NOT(ISNUMBER($A184)),NA(),IFERROR(1*INDEX(BBG_Data!$D$2:$D$4000,MATCH($A184,BBG_Data!$C$2:$C$4000,0)),NA()))</f>
        <v/>
      </c>
      <c r="D184" s="19">
        <f>IF(NOT(ISNUMBER($A184)),NA(),IFERROR(1*INDEX(BBG_Data!$F$2:$F$4000,MATCH($A184,BBG_Data!$E$2:$E$4000,0)),NA()))</f>
        <v/>
      </c>
      <c r="E184" s="19">
        <f>IF(NOT(ISNUMBER($A184)),NA(),IFERROR(1*INDEX(BBG_Data!$H$2:$H$4000,MATCH($A184,BBG_Data!$G$2:$G$4000,0)),NA()))</f>
        <v/>
      </c>
      <c r="F184" s="20">
        <f>IF(AND(ISNUMBER(B184),ISNUMBER(B183)),IF(B184=B183,"",(B184-B183)*100),"")</f>
        <v/>
      </c>
      <c r="G184" s="20">
        <f>IF(AND(ISNUMBER(C184),ISNUMBER(C183)),IF(C184=C183,"",(C184-C183)*100),"")</f>
        <v/>
      </c>
      <c r="H184" s="20">
        <f>IF(OR(NOT(ISNUMBER($A184)),ROW()-2&lt;Settings!$B$11),NA(),IF(COUNT(OFFSET(F184,1-Settings!$B$11,0,Settings!$B$11,1))&lt;ROUNDUP(Settings!$B$11*Settings!$B$26,0),NA(),STDEV(OFFSET(F184,1-Settings!$B$11,0,Settings!$B$11,1))*SQRT(Settings!$B$13)))</f>
        <v/>
      </c>
      <c r="I184" s="20">
        <f>IF(OR(NOT(ISNUMBER($A184)),ROW()-2&lt;Settings!$B$12),NA(),IF(COUNT(OFFSET(F184,1-Settings!$B$12,0,Settings!$B$12,1))&lt;ROUNDUP(Settings!$B$12*Settings!$B$26,0),NA(),STDEV(OFFSET(F184,1-Settings!$B$12,0,Settings!$B$12,1))*SQRT(Settings!$B$13)))</f>
        <v/>
      </c>
      <c r="J184" s="20">
        <f>IF(OR(NOT(ISNUMBER($A184)),ROW()-2&lt;Settings!$B$11),NA(),IF(COUNT(OFFSET(G184,1-Settings!$B$11,0,Settings!$B$11,1))&lt;ROUNDUP(Settings!$B$11*Settings!$B$26,0),NA(),STDEV(OFFSET(G184,1-Settings!$B$11,0,Settings!$B$11,1))*SQRT(Settings!$B$13)))</f>
        <v/>
      </c>
      <c r="K184" s="20">
        <f>IF(OR(NOT(ISNUMBER($A184)),ROW()-2&lt;Settings!$B$12),NA(),IF(COUNT(OFFSET(G184,1-Settings!$B$12,0,Settings!$B$12,1))&lt;ROUNDUP(Settings!$B$12*Settings!$B$26,0),NA(),STDEV(OFFSET(G184,1-Settings!$B$12,0,Settings!$B$12,1))*SQRT(Settings!$B$13)))</f>
        <v/>
      </c>
      <c r="L184" s="20">
        <f>IF(AND(ISNUMBER(D184),ISNUMBER(H184)),D184-H184,NA())</f>
        <v/>
      </c>
      <c r="M184" s="20">
        <f>IF(AND(ISNUMBER(E184),ISNUMBER(K184)),E184-K184,NA())</f>
        <v/>
      </c>
      <c r="N184" s="20">
        <f>IF(NOT(ISNUMBER($A184)),NA(),IF(COUNT(OFFSET(G184,1,0,Settings!$B$12,1))&lt;ROUNDUP(Settings!$B$12*Settings!$B$26,0),NA(),STDEV(OFFSET(G184,1,0,Settings!$B$12,1))*SQRT(Settings!$B$13)))</f>
        <v/>
      </c>
      <c r="O184" s="20">
        <f>IF(AND(ISNUMBER(E184),ISNUMBER(N184)),E184-N184,NA())</f>
        <v/>
      </c>
      <c r="P184" s="19">
        <f>IF(NOT(ISNUMBER($A184)),NA(),IF(OR($A184&lt;MIN(KW_TP!$A$2:$A$2501),$A184&gt;MAX(KW_TP!$A$2:$A$2501)),NA(),INDEX(KW_TP!$C$2:$C$2501,MATCH($A184,KW_TP!$A$2:$A$2501,1))))</f>
        <v/>
      </c>
      <c r="Q184" s="18">
        <f>IF(NOT(ISNUMBER($A184)),NA(),IFERROR(1*INDEX(BBG_Data!$J$2:$J$4000,MATCH($A184,BBG_Data!$I$2:$I$4000,0)),NA()))</f>
        <v/>
      </c>
      <c r="R184" s="18">
        <f>IF(NOT(ISNUMBER($A184)),NA(),IFERROR(1*INDEX(BBG_Data!$L$2:$L$4000,MATCH($A184,BBG_Data!$K$2:$K$4000,0)),NA()))</f>
        <v/>
      </c>
      <c r="S184" s="20">
        <f>IF(AND(ISNUMBER(B184),ISNUMBER(Q184),ISNUMBER(R184)),(B184-Q184-R184)*100,NA())</f>
        <v/>
      </c>
      <c r="T184" s="20">
        <f>IF(AND(ISNUMBER(B184),Settings!$B$17&gt;0),IF(ISNUMBER(INDEX($B:$B,Settings!$B$17)),(B184-INDEX($B:$B,Settings!$B$17))*100,NA()),NA())</f>
        <v/>
      </c>
      <c r="U184" s="20">
        <f>IF(AND(ISNUMBER(Q184),Settings!$B$17&gt;0),IF(ISNUMBER(INDEX($Q:$Q,Settings!$B$17)),(Q184-INDEX($Q:$Q,Settings!$B$17))*100,NA()),NA())</f>
        <v/>
      </c>
      <c r="V184" s="20">
        <f>IF(AND(ISNUMBER(R184),Settings!$B$17&gt;0),IF(ISNUMBER(INDEX($R:$R,Settings!$B$17)),(R184-INDEX($R:$R,Settings!$B$17))*100,NA()),NA())</f>
        <v/>
      </c>
      <c r="W184" s="20">
        <f>IF(AND(ISNUMBER(P184),Settings!$B$17&gt;0),IF(ISNUMBER(INDEX($P:$P,Settings!$B$17)),P184-INDEX($P:$P,Settings!$B$17),NA()),NA())</f>
        <v/>
      </c>
      <c r="X184" s="19">
        <f>IF(NOT(ISNUMBER($A184)),NA(),IF(OR($A184&lt;MIN(DKW_10Y!$A$2:$A$2918),$A184&gt;MAX(DKW_10Y!$A$2:$A$2918),Settings!$B$16&lt;MIN(DKW_10Y!$A$2:$A$2918)),NA(),(INDEX(DKW_10Y!$B$2:$B$2918,MATCH($A184,DKW_10Y!$A$2:$A$2918,1))-INDEX(DKW_10Y!$B$2:$B$2918,MATCH(Settings!$B$16,DKW_10Y!$A$2:$A$2918,1)))*100))</f>
        <v/>
      </c>
      <c r="Y184" s="19">
        <f>IF(NOT(ISNUMBER($A184)),NA(),IF(OR($A184&lt;MIN(DKW_10Y!$A$2:$A$2918),$A184&gt;MAX(DKW_10Y!$A$2:$A$2918),Settings!$B$16&lt;MIN(DKW_10Y!$A$2:$A$2918)),NA(),(INDEX(DKW_10Y!$C$2:$C$2918,MATCH($A184,DKW_10Y!$A$2:$A$2918,1))-INDEX(DKW_10Y!$C$2:$C$2918,MATCH(Settings!$B$16,DKW_10Y!$A$2:$A$2918,1)))*100))</f>
        <v/>
      </c>
      <c r="Z184" s="19">
        <f>IF(NOT(ISNUMBER($A184)),NA(),IF(OR($A184&lt;MIN(DKW_10Y!$A$2:$A$2918),$A184&gt;MAX(DKW_10Y!$A$2:$A$2918),Settings!$B$16&lt;MIN(DKW_10Y!$A$2:$A$2918)),NA(),(INDEX(DKW_10Y!$D$2:$D$2918,MATCH($A184,DKW_10Y!$A$2:$A$2918,1))-INDEX(DKW_10Y!$D$2:$D$2918,MATCH(Settings!$B$16,DKW_10Y!$A$2:$A$2918,1)))*100))</f>
        <v/>
      </c>
      <c r="AA184" s="19">
        <f>IF(NOT(ISNUMBER($A184)),NA(),IF(OR($A184&lt;MIN(DKW_10Y!$A$2:$A$2918),$A184&gt;MAX(DKW_10Y!$A$2:$A$2918),Settings!$B$16&lt;MIN(DKW_10Y!$A$2:$A$2918)),NA(),(INDEX(DKW_10Y!$E$2:$E$2918,MATCH($A184,DKW_10Y!$A$2:$A$2918,1))-INDEX(DKW_10Y!$E$2:$E$2918,MATCH(Settings!$B$16,DKW_10Y!$A$2:$A$2918,1)))*100))</f>
        <v/>
      </c>
      <c r="AB184" s="19">
        <f>IF(NOT(ISNUMBER($A184)),NA(),IF(OR($A184&lt;MIN(DKW_10Y!$A$2:$A$2918),$A184&gt;MAX(DKW_10Y!$A$2:$A$2918),Settings!$B$16&lt;MIN(DKW_10Y!$A$2:$A$2918)),NA(),(INDEX(DKW_10Y!$H$2:$H$2918,MATCH($A184,DKW_10Y!$A$2:$A$2918,1))-INDEX(DKW_10Y!$H$2:$H$2918,MATCH(Settings!$B$16,DKW_10Y!$A$2:$A$2918,1)))*100))</f>
        <v/>
      </c>
      <c r="AC184" s="18">
        <f>IF(NOT(ISNUMBER($A184)),NA(),IFERROR(1*INDEX(BBG_Data!$N$2:$N$4000,MATCH($A184,BBG_Data!$M$2:$M$4000,0)),NA()))</f>
        <v/>
      </c>
      <c r="AD184" s="18">
        <f>IF(NOT(ISNUMBER($A184)),NA(),IFERROR(1*INDEX(BBG_Data!$P$2:$P$4000,MATCH($A184,BBG_Data!$O$2:$O$4000,0)),NA()))</f>
        <v/>
      </c>
      <c r="AE184" s="18">
        <f>IF(NOT(ISNUMBER($A184)),NA(),IFERROR(1*INDEX(BBG_Data!$R$2:$R$4000,MATCH($A184,BBG_Data!$Q$2:$Q$4000,0)),NA()))</f>
        <v/>
      </c>
      <c r="AF184" s="20">
        <f>IF(AND(ISNUMBER(B184),ISNUMBER(AC184)),(B184-AC184)*100,NA())</f>
        <v/>
      </c>
      <c r="AG184" s="20">
        <f>IF(AND(ISNUMBER(AE184),ISNUMBER(AD184)),(AE184-AD184)*100,NA())</f>
        <v/>
      </c>
      <c r="AH184" s="19">
        <f>IF(NOT(ISNUMBER($A184)),NA(),IFERROR(INDEX(BBG_Data!$T$2:$T$4000,MATCH($A184,BBG_Data!$S$2:$S$4000,0))*Settings!$B$25,NA()))</f>
        <v/>
      </c>
      <c r="AI184" s="19">
        <f>IF(NOT(ISNUMBER($A184)),NA(),IFERROR(INDEX(BBG_Data!$V$2:$V$4000,MATCH($A184,BBG_Data!$U$2:$U$4000,0))*Settings!$B$25,NA()))</f>
        <v/>
      </c>
      <c r="AJ184" s="19">
        <f>IF(NOT(ISNUMBER($A184)),NA(),IFERROR(1*INDEX(BBG_Data!$X$2:$X$4000,MATCH($A184,BBG_Data!$W$2:$W$4000,0)),NA()))</f>
        <v/>
      </c>
      <c r="AK184" s="19">
        <f>IF(NOT(ISNUMBER($A184)),NA(),IFERROR(1*INDEX(BBG_Data!$Z$2:$Z$4000,MATCH($A184,BBG_Data!$Y$2:$Y$4000,0)),NA()))</f>
        <v/>
      </c>
    </row>
    <row r="185">
      <c r="A185" s="17">
        <f>IF(ISNUMBER(BBG_Data!A185),BBG_Data!A185,"")</f>
        <v/>
      </c>
      <c r="B185" s="18">
        <f>IF(AND(ISNUMBER($A185),ISNUMBER(BBG_Data!B185)),BBG_Data!B185,NA())</f>
        <v/>
      </c>
      <c r="C185" s="18">
        <f>IF(NOT(ISNUMBER($A185)),NA(),IFERROR(1*INDEX(BBG_Data!$D$2:$D$4000,MATCH($A185,BBG_Data!$C$2:$C$4000,0)),NA()))</f>
        <v/>
      </c>
      <c r="D185" s="19">
        <f>IF(NOT(ISNUMBER($A185)),NA(),IFERROR(1*INDEX(BBG_Data!$F$2:$F$4000,MATCH($A185,BBG_Data!$E$2:$E$4000,0)),NA()))</f>
        <v/>
      </c>
      <c r="E185" s="19">
        <f>IF(NOT(ISNUMBER($A185)),NA(),IFERROR(1*INDEX(BBG_Data!$H$2:$H$4000,MATCH($A185,BBG_Data!$G$2:$G$4000,0)),NA()))</f>
        <v/>
      </c>
      <c r="F185" s="20">
        <f>IF(AND(ISNUMBER(B185),ISNUMBER(B184)),IF(B185=B184,"",(B185-B184)*100),"")</f>
        <v/>
      </c>
      <c r="G185" s="20">
        <f>IF(AND(ISNUMBER(C185),ISNUMBER(C184)),IF(C185=C184,"",(C185-C184)*100),"")</f>
        <v/>
      </c>
      <c r="H185" s="20">
        <f>IF(OR(NOT(ISNUMBER($A185)),ROW()-2&lt;Settings!$B$11),NA(),IF(COUNT(OFFSET(F185,1-Settings!$B$11,0,Settings!$B$11,1))&lt;ROUNDUP(Settings!$B$11*Settings!$B$26,0),NA(),STDEV(OFFSET(F185,1-Settings!$B$11,0,Settings!$B$11,1))*SQRT(Settings!$B$13)))</f>
        <v/>
      </c>
      <c r="I185" s="20">
        <f>IF(OR(NOT(ISNUMBER($A185)),ROW()-2&lt;Settings!$B$12),NA(),IF(COUNT(OFFSET(F185,1-Settings!$B$12,0,Settings!$B$12,1))&lt;ROUNDUP(Settings!$B$12*Settings!$B$26,0),NA(),STDEV(OFFSET(F185,1-Settings!$B$12,0,Settings!$B$12,1))*SQRT(Settings!$B$13)))</f>
        <v/>
      </c>
      <c r="J185" s="20">
        <f>IF(OR(NOT(ISNUMBER($A185)),ROW()-2&lt;Settings!$B$11),NA(),IF(COUNT(OFFSET(G185,1-Settings!$B$11,0,Settings!$B$11,1))&lt;ROUNDUP(Settings!$B$11*Settings!$B$26,0),NA(),STDEV(OFFSET(G185,1-Settings!$B$11,0,Settings!$B$11,1))*SQRT(Settings!$B$13)))</f>
        <v/>
      </c>
      <c r="K185" s="20">
        <f>IF(OR(NOT(ISNUMBER($A185)),ROW()-2&lt;Settings!$B$12),NA(),IF(COUNT(OFFSET(G185,1-Settings!$B$12,0,Settings!$B$12,1))&lt;ROUNDUP(Settings!$B$12*Settings!$B$26,0),NA(),STDEV(OFFSET(G185,1-Settings!$B$12,0,Settings!$B$12,1))*SQRT(Settings!$B$13)))</f>
        <v/>
      </c>
      <c r="L185" s="20">
        <f>IF(AND(ISNUMBER(D185),ISNUMBER(H185)),D185-H185,NA())</f>
        <v/>
      </c>
      <c r="M185" s="20">
        <f>IF(AND(ISNUMBER(E185),ISNUMBER(K185)),E185-K185,NA())</f>
        <v/>
      </c>
      <c r="N185" s="20">
        <f>IF(NOT(ISNUMBER($A185)),NA(),IF(COUNT(OFFSET(G185,1,0,Settings!$B$12,1))&lt;ROUNDUP(Settings!$B$12*Settings!$B$26,0),NA(),STDEV(OFFSET(G185,1,0,Settings!$B$12,1))*SQRT(Settings!$B$13)))</f>
        <v/>
      </c>
      <c r="O185" s="20">
        <f>IF(AND(ISNUMBER(E185),ISNUMBER(N185)),E185-N185,NA())</f>
        <v/>
      </c>
      <c r="P185" s="19">
        <f>IF(NOT(ISNUMBER($A185)),NA(),IF(OR($A185&lt;MIN(KW_TP!$A$2:$A$2501),$A185&gt;MAX(KW_TP!$A$2:$A$2501)),NA(),INDEX(KW_TP!$C$2:$C$2501,MATCH($A185,KW_TP!$A$2:$A$2501,1))))</f>
        <v/>
      </c>
      <c r="Q185" s="18">
        <f>IF(NOT(ISNUMBER($A185)),NA(),IFERROR(1*INDEX(BBG_Data!$J$2:$J$4000,MATCH($A185,BBG_Data!$I$2:$I$4000,0)),NA()))</f>
        <v/>
      </c>
      <c r="R185" s="18">
        <f>IF(NOT(ISNUMBER($A185)),NA(),IFERROR(1*INDEX(BBG_Data!$L$2:$L$4000,MATCH($A185,BBG_Data!$K$2:$K$4000,0)),NA()))</f>
        <v/>
      </c>
      <c r="S185" s="20">
        <f>IF(AND(ISNUMBER(B185),ISNUMBER(Q185),ISNUMBER(R185)),(B185-Q185-R185)*100,NA())</f>
        <v/>
      </c>
      <c r="T185" s="20">
        <f>IF(AND(ISNUMBER(B185),Settings!$B$17&gt;0),IF(ISNUMBER(INDEX($B:$B,Settings!$B$17)),(B185-INDEX($B:$B,Settings!$B$17))*100,NA()),NA())</f>
        <v/>
      </c>
      <c r="U185" s="20">
        <f>IF(AND(ISNUMBER(Q185),Settings!$B$17&gt;0),IF(ISNUMBER(INDEX($Q:$Q,Settings!$B$17)),(Q185-INDEX($Q:$Q,Settings!$B$17))*100,NA()),NA())</f>
        <v/>
      </c>
      <c r="V185" s="20">
        <f>IF(AND(ISNUMBER(R185),Settings!$B$17&gt;0),IF(ISNUMBER(INDEX($R:$R,Settings!$B$17)),(R185-INDEX($R:$R,Settings!$B$17))*100,NA()),NA())</f>
        <v/>
      </c>
      <c r="W185" s="20">
        <f>IF(AND(ISNUMBER(P185),Settings!$B$17&gt;0),IF(ISNUMBER(INDEX($P:$P,Settings!$B$17)),P185-INDEX($P:$P,Settings!$B$17),NA()),NA())</f>
        <v/>
      </c>
      <c r="X185" s="19">
        <f>IF(NOT(ISNUMBER($A185)),NA(),IF(OR($A185&lt;MIN(DKW_10Y!$A$2:$A$2918),$A185&gt;MAX(DKW_10Y!$A$2:$A$2918),Settings!$B$16&lt;MIN(DKW_10Y!$A$2:$A$2918)),NA(),(INDEX(DKW_10Y!$B$2:$B$2918,MATCH($A185,DKW_10Y!$A$2:$A$2918,1))-INDEX(DKW_10Y!$B$2:$B$2918,MATCH(Settings!$B$16,DKW_10Y!$A$2:$A$2918,1)))*100))</f>
        <v/>
      </c>
      <c r="Y185" s="19">
        <f>IF(NOT(ISNUMBER($A185)),NA(),IF(OR($A185&lt;MIN(DKW_10Y!$A$2:$A$2918),$A185&gt;MAX(DKW_10Y!$A$2:$A$2918),Settings!$B$16&lt;MIN(DKW_10Y!$A$2:$A$2918)),NA(),(INDEX(DKW_10Y!$C$2:$C$2918,MATCH($A185,DKW_10Y!$A$2:$A$2918,1))-INDEX(DKW_10Y!$C$2:$C$2918,MATCH(Settings!$B$16,DKW_10Y!$A$2:$A$2918,1)))*100))</f>
        <v/>
      </c>
      <c r="Z185" s="19">
        <f>IF(NOT(ISNUMBER($A185)),NA(),IF(OR($A185&lt;MIN(DKW_10Y!$A$2:$A$2918),$A185&gt;MAX(DKW_10Y!$A$2:$A$2918),Settings!$B$16&lt;MIN(DKW_10Y!$A$2:$A$2918)),NA(),(INDEX(DKW_10Y!$D$2:$D$2918,MATCH($A185,DKW_10Y!$A$2:$A$2918,1))-INDEX(DKW_10Y!$D$2:$D$2918,MATCH(Settings!$B$16,DKW_10Y!$A$2:$A$2918,1)))*100))</f>
        <v/>
      </c>
      <c r="AA185" s="19">
        <f>IF(NOT(ISNUMBER($A185)),NA(),IF(OR($A185&lt;MIN(DKW_10Y!$A$2:$A$2918),$A185&gt;MAX(DKW_10Y!$A$2:$A$2918),Settings!$B$16&lt;MIN(DKW_10Y!$A$2:$A$2918)),NA(),(INDEX(DKW_10Y!$E$2:$E$2918,MATCH($A185,DKW_10Y!$A$2:$A$2918,1))-INDEX(DKW_10Y!$E$2:$E$2918,MATCH(Settings!$B$16,DKW_10Y!$A$2:$A$2918,1)))*100))</f>
        <v/>
      </c>
      <c r="AB185" s="19">
        <f>IF(NOT(ISNUMBER($A185)),NA(),IF(OR($A185&lt;MIN(DKW_10Y!$A$2:$A$2918),$A185&gt;MAX(DKW_10Y!$A$2:$A$2918),Settings!$B$16&lt;MIN(DKW_10Y!$A$2:$A$2918)),NA(),(INDEX(DKW_10Y!$H$2:$H$2918,MATCH($A185,DKW_10Y!$A$2:$A$2918,1))-INDEX(DKW_10Y!$H$2:$H$2918,MATCH(Settings!$B$16,DKW_10Y!$A$2:$A$2918,1)))*100))</f>
        <v/>
      </c>
      <c r="AC185" s="18">
        <f>IF(NOT(ISNUMBER($A185)),NA(),IFERROR(1*INDEX(BBG_Data!$N$2:$N$4000,MATCH($A185,BBG_Data!$M$2:$M$4000,0)),NA()))</f>
        <v/>
      </c>
      <c r="AD185" s="18">
        <f>IF(NOT(ISNUMBER($A185)),NA(),IFERROR(1*INDEX(BBG_Data!$P$2:$P$4000,MATCH($A185,BBG_Data!$O$2:$O$4000,0)),NA()))</f>
        <v/>
      </c>
      <c r="AE185" s="18">
        <f>IF(NOT(ISNUMBER($A185)),NA(),IFERROR(1*INDEX(BBG_Data!$R$2:$R$4000,MATCH($A185,BBG_Data!$Q$2:$Q$4000,0)),NA()))</f>
        <v/>
      </c>
      <c r="AF185" s="20">
        <f>IF(AND(ISNUMBER(B185),ISNUMBER(AC185)),(B185-AC185)*100,NA())</f>
        <v/>
      </c>
      <c r="AG185" s="20">
        <f>IF(AND(ISNUMBER(AE185),ISNUMBER(AD185)),(AE185-AD185)*100,NA())</f>
        <v/>
      </c>
      <c r="AH185" s="19">
        <f>IF(NOT(ISNUMBER($A185)),NA(),IFERROR(INDEX(BBG_Data!$T$2:$T$4000,MATCH($A185,BBG_Data!$S$2:$S$4000,0))*Settings!$B$25,NA()))</f>
        <v/>
      </c>
      <c r="AI185" s="19">
        <f>IF(NOT(ISNUMBER($A185)),NA(),IFERROR(INDEX(BBG_Data!$V$2:$V$4000,MATCH($A185,BBG_Data!$U$2:$U$4000,0))*Settings!$B$25,NA()))</f>
        <v/>
      </c>
      <c r="AJ185" s="19">
        <f>IF(NOT(ISNUMBER($A185)),NA(),IFERROR(1*INDEX(BBG_Data!$X$2:$X$4000,MATCH($A185,BBG_Data!$W$2:$W$4000,0)),NA()))</f>
        <v/>
      </c>
      <c r="AK185" s="19">
        <f>IF(NOT(ISNUMBER($A185)),NA(),IFERROR(1*INDEX(BBG_Data!$Z$2:$Z$4000,MATCH($A185,BBG_Data!$Y$2:$Y$4000,0)),NA()))</f>
        <v/>
      </c>
    </row>
    <row r="186">
      <c r="A186" s="17">
        <f>IF(ISNUMBER(BBG_Data!A186),BBG_Data!A186,"")</f>
        <v/>
      </c>
      <c r="B186" s="18">
        <f>IF(AND(ISNUMBER($A186),ISNUMBER(BBG_Data!B186)),BBG_Data!B186,NA())</f>
        <v/>
      </c>
      <c r="C186" s="18">
        <f>IF(NOT(ISNUMBER($A186)),NA(),IFERROR(1*INDEX(BBG_Data!$D$2:$D$4000,MATCH($A186,BBG_Data!$C$2:$C$4000,0)),NA()))</f>
        <v/>
      </c>
      <c r="D186" s="19">
        <f>IF(NOT(ISNUMBER($A186)),NA(),IFERROR(1*INDEX(BBG_Data!$F$2:$F$4000,MATCH($A186,BBG_Data!$E$2:$E$4000,0)),NA()))</f>
        <v/>
      </c>
      <c r="E186" s="19">
        <f>IF(NOT(ISNUMBER($A186)),NA(),IFERROR(1*INDEX(BBG_Data!$H$2:$H$4000,MATCH($A186,BBG_Data!$G$2:$G$4000,0)),NA()))</f>
        <v/>
      </c>
      <c r="F186" s="20">
        <f>IF(AND(ISNUMBER(B186),ISNUMBER(B185)),IF(B186=B185,"",(B186-B185)*100),"")</f>
        <v/>
      </c>
      <c r="G186" s="20">
        <f>IF(AND(ISNUMBER(C186),ISNUMBER(C185)),IF(C186=C185,"",(C186-C185)*100),"")</f>
        <v/>
      </c>
      <c r="H186" s="20">
        <f>IF(OR(NOT(ISNUMBER($A186)),ROW()-2&lt;Settings!$B$11),NA(),IF(COUNT(OFFSET(F186,1-Settings!$B$11,0,Settings!$B$11,1))&lt;ROUNDUP(Settings!$B$11*Settings!$B$26,0),NA(),STDEV(OFFSET(F186,1-Settings!$B$11,0,Settings!$B$11,1))*SQRT(Settings!$B$13)))</f>
        <v/>
      </c>
      <c r="I186" s="20">
        <f>IF(OR(NOT(ISNUMBER($A186)),ROW()-2&lt;Settings!$B$12),NA(),IF(COUNT(OFFSET(F186,1-Settings!$B$12,0,Settings!$B$12,1))&lt;ROUNDUP(Settings!$B$12*Settings!$B$26,0),NA(),STDEV(OFFSET(F186,1-Settings!$B$12,0,Settings!$B$12,1))*SQRT(Settings!$B$13)))</f>
        <v/>
      </c>
      <c r="J186" s="20">
        <f>IF(OR(NOT(ISNUMBER($A186)),ROW()-2&lt;Settings!$B$11),NA(),IF(COUNT(OFFSET(G186,1-Settings!$B$11,0,Settings!$B$11,1))&lt;ROUNDUP(Settings!$B$11*Settings!$B$26,0),NA(),STDEV(OFFSET(G186,1-Settings!$B$11,0,Settings!$B$11,1))*SQRT(Settings!$B$13)))</f>
        <v/>
      </c>
      <c r="K186" s="20">
        <f>IF(OR(NOT(ISNUMBER($A186)),ROW()-2&lt;Settings!$B$12),NA(),IF(COUNT(OFFSET(G186,1-Settings!$B$12,0,Settings!$B$12,1))&lt;ROUNDUP(Settings!$B$12*Settings!$B$26,0),NA(),STDEV(OFFSET(G186,1-Settings!$B$12,0,Settings!$B$12,1))*SQRT(Settings!$B$13)))</f>
        <v/>
      </c>
      <c r="L186" s="20">
        <f>IF(AND(ISNUMBER(D186),ISNUMBER(H186)),D186-H186,NA())</f>
        <v/>
      </c>
      <c r="M186" s="20">
        <f>IF(AND(ISNUMBER(E186),ISNUMBER(K186)),E186-K186,NA())</f>
        <v/>
      </c>
      <c r="N186" s="20">
        <f>IF(NOT(ISNUMBER($A186)),NA(),IF(COUNT(OFFSET(G186,1,0,Settings!$B$12,1))&lt;ROUNDUP(Settings!$B$12*Settings!$B$26,0),NA(),STDEV(OFFSET(G186,1,0,Settings!$B$12,1))*SQRT(Settings!$B$13)))</f>
        <v/>
      </c>
      <c r="O186" s="20">
        <f>IF(AND(ISNUMBER(E186),ISNUMBER(N186)),E186-N186,NA())</f>
        <v/>
      </c>
      <c r="P186" s="19">
        <f>IF(NOT(ISNUMBER($A186)),NA(),IF(OR($A186&lt;MIN(KW_TP!$A$2:$A$2501),$A186&gt;MAX(KW_TP!$A$2:$A$2501)),NA(),INDEX(KW_TP!$C$2:$C$2501,MATCH($A186,KW_TP!$A$2:$A$2501,1))))</f>
        <v/>
      </c>
      <c r="Q186" s="18">
        <f>IF(NOT(ISNUMBER($A186)),NA(),IFERROR(1*INDEX(BBG_Data!$J$2:$J$4000,MATCH($A186,BBG_Data!$I$2:$I$4000,0)),NA()))</f>
        <v/>
      </c>
      <c r="R186" s="18">
        <f>IF(NOT(ISNUMBER($A186)),NA(),IFERROR(1*INDEX(BBG_Data!$L$2:$L$4000,MATCH($A186,BBG_Data!$K$2:$K$4000,0)),NA()))</f>
        <v/>
      </c>
      <c r="S186" s="20">
        <f>IF(AND(ISNUMBER(B186),ISNUMBER(Q186),ISNUMBER(R186)),(B186-Q186-R186)*100,NA())</f>
        <v/>
      </c>
      <c r="T186" s="20">
        <f>IF(AND(ISNUMBER(B186),Settings!$B$17&gt;0),IF(ISNUMBER(INDEX($B:$B,Settings!$B$17)),(B186-INDEX($B:$B,Settings!$B$17))*100,NA()),NA())</f>
        <v/>
      </c>
      <c r="U186" s="20">
        <f>IF(AND(ISNUMBER(Q186),Settings!$B$17&gt;0),IF(ISNUMBER(INDEX($Q:$Q,Settings!$B$17)),(Q186-INDEX($Q:$Q,Settings!$B$17))*100,NA()),NA())</f>
        <v/>
      </c>
      <c r="V186" s="20">
        <f>IF(AND(ISNUMBER(R186),Settings!$B$17&gt;0),IF(ISNUMBER(INDEX($R:$R,Settings!$B$17)),(R186-INDEX($R:$R,Settings!$B$17))*100,NA()),NA())</f>
        <v/>
      </c>
      <c r="W186" s="20">
        <f>IF(AND(ISNUMBER(P186),Settings!$B$17&gt;0),IF(ISNUMBER(INDEX($P:$P,Settings!$B$17)),P186-INDEX($P:$P,Settings!$B$17),NA()),NA())</f>
        <v/>
      </c>
      <c r="X186" s="19">
        <f>IF(NOT(ISNUMBER($A186)),NA(),IF(OR($A186&lt;MIN(DKW_10Y!$A$2:$A$2918),$A186&gt;MAX(DKW_10Y!$A$2:$A$2918),Settings!$B$16&lt;MIN(DKW_10Y!$A$2:$A$2918)),NA(),(INDEX(DKW_10Y!$B$2:$B$2918,MATCH($A186,DKW_10Y!$A$2:$A$2918,1))-INDEX(DKW_10Y!$B$2:$B$2918,MATCH(Settings!$B$16,DKW_10Y!$A$2:$A$2918,1)))*100))</f>
        <v/>
      </c>
      <c r="Y186" s="19">
        <f>IF(NOT(ISNUMBER($A186)),NA(),IF(OR($A186&lt;MIN(DKW_10Y!$A$2:$A$2918),$A186&gt;MAX(DKW_10Y!$A$2:$A$2918),Settings!$B$16&lt;MIN(DKW_10Y!$A$2:$A$2918)),NA(),(INDEX(DKW_10Y!$C$2:$C$2918,MATCH($A186,DKW_10Y!$A$2:$A$2918,1))-INDEX(DKW_10Y!$C$2:$C$2918,MATCH(Settings!$B$16,DKW_10Y!$A$2:$A$2918,1)))*100))</f>
        <v/>
      </c>
      <c r="Z186" s="19">
        <f>IF(NOT(ISNUMBER($A186)),NA(),IF(OR($A186&lt;MIN(DKW_10Y!$A$2:$A$2918),$A186&gt;MAX(DKW_10Y!$A$2:$A$2918),Settings!$B$16&lt;MIN(DKW_10Y!$A$2:$A$2918)),NA(),(INDEX(DKW_10Y!$D$2:$D$2918,MATCH($A186,DKW_10Y!$A$2:$A$2918,1))-INDEX(DKW_10Y!$D$2:$D$2918,MATCH(Settings!$B$16,DKW_10Y!$A$2:$A$2918,1)))*100))</f>
        <v/>
      </c>
      <c r="AA186" s="19">
        <f>IF(NOT(ISNUMBER($A186)),NA(),IF(OR($A186&lt;MIN(DKW_10Y!$A$2:$A$2918),$A186&gt;MAX(DKW_10Y!$A$2:$A$2918),Settings!$B$16&lt;MIN(DKW_10Y!$A$2:$A$2918)),NA(),(INDEX(DKW_10Y!$E$2:$E$2918,MATCH($A186,DKW_10Y!$A$2:$A$2918,1))-INDEX(DKW_10Y!$E$2:$E$2918,MATCH(Settings!$B$16,DKW_10Y!$A$2:$A$2918,1)))*100))</f>
        <v/>
      </c>
      <c r="AB186" s="19">
        <f>IF(NOT(ISNUMBER($A186)),NA(),IF(OR($A186&lt;MIN(DKW_10Y!$A$2:$A$2918),$A186&gt;MAX(DKW_10Y!$A$2:$A$2918),Settings!$B$16&lt;MIN(DKW_10Y!$A$2:$A$2918)),NA(),(INDEX(DKW_10Y!$H$2:$H$2918,MATCH($A186,DKW_10Y!$A$2:$A$2918,1))-INDEX(DKW_10Y!$H$2:$H$2918,MATCH(Settings!$B$16,DKW_10Y!$A$2:$A$2918,1)))*100))</f>
        <v/>
      </c>
      <c r="AC186" s="18">
        <f>IF(NOT(ISNUMBER($A186)),NA(),IFERROR(1*INDEX(BBG_Data!$N$2:$N$4000,MATCH($A186,BBG_Data!$M$2:$M$4000,0)),NA()))</f>
        <v/>
      </c>
      <c r="AD186" s="18">
        <f>IF(NOT(ISNUMBER($A186)),NA(),IFERROR(1*INDEX(BBG_Data!$P$2:$P$4000,MATCH($A186,BBG_Data!$O$2:$O$4000,0)),NA()))</f>
        <v/>
      </c>
      <c r="AE186" s="18">
        <f>IF(NOT(ISNUMBER($A186)),NA(),IFERROR(1*INDEX(BBG_Data!$R$2:$R$4000,MATCH($A186,BBG_Data!$Q$2:$Q$4000,0)),NA()))</f>
        <v/>
      </c>
      <c r="AF186" s="20">
        <f>IF(AND(ISNUMBER(B186),ISNUMBER(AC186)),(B186-AC186)*100,NA())</f>
        <v/>
      </c>
      <c r="AG186" s="20">
        <f>IF(AND(ISNUMBER(AE186),ISNUMBER(AD186)),(AE186-AD186)*100,NA())</f>
        <v/>
      </c>
      <c r="AH186" s="19">
        <f>IF(NOT(ISNUMBER($A186)),NA(),IFERROR(INDEX(BBG_Data!$T$2:$T$4000,MATCH($A186,BBG_Data!$S$2:$S$4000,0))*Settings!$B$25,NA()))</f>
        <v/>
      </c>
      <c r="AI186" s="19">
        <f>IF(NOT(ISNUMBER($A186)),NA(),IFERROR(INDEX(BBG_Data!$V$2:$V$4000,MATCH($A186,BBG_Data!$U$2:$U$4000,0))*Settings!$B$25,NA()))</f>
        <v/>
      </c>
      <c r="AJ186" s="19">
        <f>IF(NOT(ISNUMBER($A186)),NA(),IFERROR(1*INDEX(BBG_Data!$X$2:$X$4000,MATCH($A186,BBG_Data!$W$2:$W$4000,0)),NA()))</f>
        <v/>
      </c>
      <c r="AK186" s="19">
        <f>IF(NOT(ISNUMBER($A186)),NA(),IFERROR(1*INDEX(BBG_Data!$Z$2:$Z$4000,MATCH($A186,BBG_Data!$Y$2:$Y$4000,0)),NA()))</f>
        <v/>
      </c>
    </row>
    <row r="187">
      <c r="A187" s="17">
        <f>IF(ISNUMBER(BBG_Data!A187),BBG_Data!A187,"")</f>
        <v/>
      </c>
      <c r="B187" s="18">
        <f>IF(AND(ISNUMBER($A187),ISNUMBER(BBG_Data!B187)),BBG_Data!B187,NA())</f>
        <v/>
      </c>
      <c r="C187" s="18">
        <f>IF(NOT(ISNUMBER($A187)),NA(),IFERROR(1*INDEX(BBG_Data!$D$2:$D$4000,MATCH($A187,BBG_Data!$C$2:$C$4000,0)),NA()))</f>
        <v/>
      </c>
      <c r="D187" s="19">
        <f>IF(NOT(ISNUMBER($A187)),NA(),IFERROR(1*INDEX(BBG_Data!$F$2:$F$4000,MATCH($A187,BBG_Data!$E$2:$E$4000,0)),NA()))</f>
        <v/>
      </c>
      <c r="E187" s="19">
        <f>IF(NOT(ISNUMBER($A187)),NA(),IFERROR(1*INDEX(BBG_Data!$H$2:$H$4000,MATCH($A187,BBG_Data!$G$2:$G$4000,0)),NA()))</f>
        <v/>
      </c>
      <c r="F187" s="20">
        <f>IF(AND(ISNUMBER(B187),ISNUMBER(B186)),IF(B187=B186,"",(B187-B186)*100),"")</f>
        <v/>
      </c>
      <c r="G187" s="20">
        <f>IF(AND(ISNUMBER(C187),ISNUMBER(C186)),IF(C187=C186,"",(C187-C186)*100),"")</f>
        <v/>
      </c>
      <c r="H187" s="20">
        <f>IF(OR(NOT(ISNUMBER($A187)),ROW()-2&lt;Settings!$B$11),NA(),IF(COUNT(OFFSET(F187,1-Settings!$B$11,0,Settings!$B$11,1))&lt;ROUNDUP(Settings!$B$11*Settings!$B$26,0),NA(),STDEV(OFFSET(F187,1-Settings!$B$11,0,Settings!$B$11,1))*SQRT(Settings!$B$13)))</f>
        <v/>
      </c>
      <c r="I187" s="20">
        <f>IF(OR(NOT(ISNUMBER($A187)),ROW()-2&lt;Settings!$B$12),NA(),IF(COUNT(OFFSET(F187,1-Settings!$B$12,0,Settings!$B$12,1))&lt;ROUNDUP(Settings!$B$12*Settings!$B$26,0),NA(),STDEV(OFFSET(F187,1-Settings!$B$12,0,Settings!$B$12,1))*SQRT(Settings!$B$13)))</f>
        <v/>
      </c>
      <c r="J187" s="20">
        <f>IF(OR(NOT(ISNUMBER($A187)),ROW()-2&lt;Settings!$B$11),NA(),IF(COUNT(OFFSET(G187,1-Settings!$B$11,0,Settings!$B$11,1))&lt;ROUNDUP(Settings!$B$11*Settings!$B$26,0),NA(),STDEV(OFFSET(G187,1-Settings!$B$11,0,Settings!$B$11,1))*SQRT(Settings!$B$13)))</f>
        <v/>
      </c>
      <c r="K187" s="20">
        <f>IF(OR(NOT(ISNUMBER($A187)),ROW()-2&lt;Settings!$B$12),NA(),IF(COUNT(OFFSET(G187,1-Settings!$B$12,0,Settings!$B$12,1))&lt;ROUNDUP(Settings!$B$12*Settings!$B$26,0),NA(),STDEV(OFFSET(G187,1-Settings!$B$12,0,Settings!$B$12,1))*SQRT(Settings!$B$13)))</f>
        <v/>
      </c>
      <c r="L187" s="20">
        <f>IF(AND(ISNUMBER(D187),ISNUMBER(H187)),D187-H187,NA())</f>
        <v/>
      </c>
      <c r="M187" s="20">
        <f>IF(AND(ISNUMBER(E187),ISNUMBER(K187)),E187-K187,NA())</f>
        <v/>
      </c>
      <c r="N187" s="20">
        <f>IF(NOT(ISNUMBER($A187)),NA(),IF(COUNT(OFFSET(G187,1,0,Settings!$B$12,1))&lt;ROUNDUP(Settings!$B$12*Settings!$B$26,0),NA(),STDEV(OFFSET(G187,1,0,Settings!$B$12,1))*SQRT(Settings!$B$13)))</f>
        <v/>
      </c>
      <c r="O187" s="20">
        <f>IF(AND(ISNUMBER(E187),ISNUMBER(N187)),E187-N187,NA())</f>
        <v/>
      </c>
      <c r="P187" s="19">
        <f>IF(NOT(ISNUMBER($A187)),NA(),IF(OR($A187&lt;MIN(KW_TP!$A$2:$A$2501),$A187&gt;MAX(KW_TP!$A$2:$A$2501)),NA(),INDEX(KW_TP!$C$2:$C$2501,MATCH($A187,KW_TP!$A$2:$A$2501,1))))</f>
        <v/>
      </c>
      <c r="Q187" s="18">
        <f>IF(NOT(ISNUMBER($A187)),NA(),IFERROR(1*INDEX(BBG_Data!$J$2:$J$4000,MATCH($A187,BBG_Data!$I$2:$I$4000,0)),NA()))</f>
        <v/>
      </c>
      <c r="R187" s="18">
        <f>IF(NOT(ISNUMBER($A187)),NA(),IFERROR(1*INDEX(BBG_Data!$L$2:$L$4000,MATCH($A187,BBG_Data!$K$2:$K$4000,0)),NA()))</f>
        <v/>
      </c>
      <c r="S187" s="20">
        <f>IF(AND(ISNUMBER(B187),ISNUMBER(Q187),ISNUMBER(R187)),(B187-Q187-R187)*100,NA())</f>
        <v/>
      </c>
      <c r="T187" s="20">
        <f>IF(AND(ISNUMBER(B187),Settings!$B$17&gt;0),IF(ISNUMBER(INDEX($B:$B,Settings!$B$17)),(B187-INDEX($B:$B,Settings!$B$17))*100,NA()),NA())</f>
        <v/>
      </c>
      <c r="U187" s="20">
        <f>IF(AND(ISNUMBER(Q187),Settings!$B$17&gt;0),IF(ISNUMBER(INDEX($Q:$Q,Settings!$B$17)),(Q187-INDEX($Q:$Q,Settings!$B$17))*100,NA()),NA())</f>
        <v/>
      </c>
      <c r="V187" s="20">
        <f>IF(AND(ISNUMBER(R187),Settings!$B$17&gt;0),IF(ISNUMBER(INDEX($R:$R,Settings!$B$17)),(R187-INDEX($R:$R,Settings!$B$17))*100,NA()),NA())</f>
        <v/>
      </c>
      <c r="W187" s="20">
        <f>IF(AND(ISNUMBER(P187),Settings!$B$17&gt;0),IF(ISNUMBER(INDEX($P:$P,Settings!$B$17)),P187-INDEX($P:$P,Settings!$B$17),NA()),NA())</f>
        <v/>
      </c>
      <c r="X187" s="19">
        <f>IF(NOT(ISNUMBER($A187)),NA(),IF(OR($A187&lt;MIN(DKW_10Y!$A$2:$A$2918),$A187&gt;MAX(DKW_10Y!$A$2:$A$2918),Settings!$B$16&lt;MIN(DKW_10Y!$A$2:$A$2918)),NA(),(INDEX(DKW_10Y!$B$2:$B$2918,MATCH($A187,DKW_10Y!$A$2:$A$2918,1))-INDEX(DKW_10Y!$B$2:$B$2918,MATCH(Settings!$B$16,DKW_10Y!$A$2:$A$2918,1)))*100))</f>
        <v/>
      </c>
      <c r="Y187" s="19">
        <f>IF(NOT(ISNUMBER($A187)),NA(),IF(OR($A187&lt;MIN(DKW_10Y!$A$2:$A$2918),$A187&gt;MAX(DKW_10Y!$A$2:$A$2918),Settings!$B$16&lt;MIN(DKW_10Y!$A$2:$A$2918)),NA(),(INDEX(DKW_10Y!$C$2:$C$2918,MATCH($A187,DKW_10Y!$A$2:$A$2918,1))-INDEX(DKW_10Y!$C$2:$C$2918,MATCH(Settings!$B$16,DKW_10Y!$A$2:$A$2918,1)))*100))</f>
        <v/>
      </c>
      <c r="Z187" s="19">
        <f>IF(NOT(ISNUMBER($A187)),NA(),IF(OR($A187&lt;MIN(DKW_10Y!$A$2:$A$2918),$A187&gt;MAX(DKW_10Y!$A$2:$A$2918),Settings!$B$16&lt;MIN(DKW_10Y!$A$2:$A$2918)),NA(),(INDEX(DKW_10Y!$D$2:$D$2918,MATCH($A187,DKW_10Y!$A$2:$A$2918,1))-INDEX(DKW_10Y!$D$2:$D$2918,MATCH(Settings!$B$16,DKW_10Y!$A$2:$A$2918,1)))*100))</f>
        <v/>
      </c>
      <c r="AA187" s="19">
        <f>IF(NOT(ISNUMBER($A187)),NA(),IF(OR($A187&lt;MIN(DKW_10Y!$A$2:$A$2918),$A187&gt;MAX(DKW_10Y!$A$2:$A$2918),Settings!$B$16&lt;MIN(DKW_10Y!$A$2:$A$2918)),NA(),(INDEX(DKW_10Y!$E$2:$E$2918,MATCH($A187,DKW_10Y!$A$2:$A$2918,1))-INDEX(DKW_10Y!$E$2:$E$2918,MATCH(Settings!$B$16,DKW_10Y!$A$2:$A$2918,1)))*100))</f>
        <v/>
      </c>
      <c r="AB187" s="19">
        <f>IF(NOT(ISNUMBER($A187)),NA(),IF(OR($A187&lt;MIN(DKW_10Y!$A$2:$A$2918),$A187&gt;MAX(DKW_10Y!$A$2:$A$2918),Settings!$B$16&lt;MIN(DKW_10Y!$A$2:$A$2918)),NA(),(INDEX(DKW_10Y!$H$2:$H$2918,MATCH($A187,DKW_10Y!$A$2:$A$2918,1))-INDEX(DKW_10Y!$H$2:$H$2918,MATCH(Settings!$B$16,DKW_10Y!$A$2:$A$2918,1)))*100))</f>
        <v/>
      </c>
      <c r="AC187" s="18">
        <f>IF(NOT(ISNUMBER($A187)),NA(),IFERROR(1*INDEX(BBG_Data!$N$2:$N$4000,MATCH($A187,BBG_Data!$M$2:$M$4000,0)),NA()))</f>
        <v/>
      </c>
      <c r="AD187" s="18">
        <f>IF(NOT(ISNUMBER($A187)),NA(),IFERROR(1*INDEX(BBG_Data!$P$2:$P$4000,MATCH($A187,BBG_Data!$O$2:$O$4000,0)),NA()))</f>
        <v/>
      </c>
      <c r="AE187" s="18">
        <f>IF(NOT(ISNUMBER($A187)),NA(),IFERROR(1*INDEX(BBG_Data!$R$2:$R$4000,MATCH($A187,BBG_Data!$Q$2:$Q$4000,0)),NA()))</f>
        <v/>
      </c>
      <c r="AF187" s="20">
        <f>IF(AND(ISNUMBER(B187),ISNUMBER(AC187)),(B187-AC187)*100,NA())</f>
        <v/>
      </c>
      <c r="AG187" s="20">
        <f>IF(AND(ISNUMBER(AE187),ISNUMBER(AD187)),(AE187-AD187)*100,NA())</f>
        <v/>
      </c>
      <c r="AH187" s="19">
        <f>IF(NOT(ISNUMBER($A187)),NA(),IFERROR(INDEX(BBG_Data!$T$2:$T$4000,MATCH($A187,BBG_Data!$S$2:$S$4000,0))*Settings!$B$25,NA()))</f>
        <v/>
      </c>
      <c r="AI187" s="19">
        <f>IF(NOT(ISNUMBER($A187)),NA(),IFERROR(INDEX(BBG_Data!$V$2:$V$4000,MATCH($A187,BBG_Data!$U$2:$U$4000,0))*Settings!$B$25,NA()))</f>
        <v/>
      </c>
      <c r="AJ187" s="19">
        <f>IF(NOT(ISNUMBER($A187)),NA(),IFERROR(1*INDEX(BBG_Data!$X$2:$X$4000,MATCH($A187,BBG_Data!$W$2:$W$4000,0)),NA()))</f>
        <v/>
      </c>
      <c r="AK187" s="19">
        <f>IF(NOT(ISNUMBER($A187)),NA(),IFERROR(1*INDEX(BBG_Data!$Z$2:$Z$4000,MATCH($A187,BBG_Data!$Y$2:$Y$4000,0)),NA()))</f>
        <v/>
      </c>
    </row>
    <row r="188">
      <c r="A188" s="17">
        <f>IF(ISNUMBER(BBG_Data!A188),BBG_Data!A188,"")</f>
        <v/>
      </c>
      <c r="B188" s="18">
        <f>IF(AND(ISNUMBER($A188),ISNUMBER(BBG_Data!B188)),BBG_Data!B188,NA())</f>
        <v/>
      </c>
      <c r="C188" s="18">
        <f>IF(NOT(ISNUMBER($A188)),NA(),IFERROR(1*INDEX(BBG_Data!$D$2:$D$4000,MATCH($A188,BBG_Data!$C$2:$C$4000,0)),NA()))</f>
        <v/>
      </c>
      <c r="D188" s="19">
        <f>IF(NOT(ISNUMBER($A188)),NA(),IFERROR(1*INDEX(BBG_Data!$F$2:$F$4000,MATCH($A188,BBG_Data!$E$2:$E$4000,0)),NA()))</f>
        <v/>
      </c>
      <c r="E188" s="19">
        <f>IF(NOT(ISNUMBER($A188)),NA(),IFERROR(1*INDEX(BBG_Data!$H$2:$H$4000,MATCH($A188,BBG_Data!$G$2:$G$4000,0)),NA()))</f>
        <v/>
      </c>
      <c r="F188" s="20">
        <f>IF(AND(ISNUMBER(B188),ISNUMBER(B187)),IF(B188=B187,"",(B188-B187)*100),"")</f>
        <v/>
      </c>
      <c r="G188" s="20">
        <f>IF(AND(ISNUMBER(C188),ISNUMBER(C187)),IF(C188=C187,"",(C188-C187)*100),"")</f>
        <v/>
      </c>
      <c r="H188" s="20">
        <f>IF(OR(NOT(ISNUMBER($A188)),ROW()-2&lt;Settings!$B$11),NA(),IF(COUNT(OFFSET(F188,1-Settings!$B$11,0,Settings!$B$11,1))&lt;ROUNDUP(Settings!$B$11*Settings!$B$26,0),NA(),STDEV(OFFSET(F188,1-Settings!$B$11,0,Settings!$B$11,1))*SQRT(Settings!$B$13)))</f>
        <v/>
      </c>
      <c r="I188" s="20">
        <f>IF(OR(NOT(ISNUMBER($A188)),ROW()-2&lt;Settings!$B$12),NA(),IF(COUNT(OFFSET(F188,1-Settings!$B$12,0,Settings!$B$12,1))&lt;ROUNDUP(Settings!$B$12*Settings!$B$26,0),NA(),STDEV(OFFSET(F188,1-Settings!$B$12,0,Settings!$B$12,1))*SQRT(Settings!$B$13)))</f>
        <v/>
      </c>
      <c r="J188" s="20">
        <f>IF(OR(NOT(ISNUMBER($A188)),ROW()-2&lt;Settings!$B$11),NA(),IF(COUNT(OFFSET(G188,1-Settings!$B$11,0,Settings!$B$11,1))&lt;ROUNDUP(Settings!$B$11*Settings!$B$26,0),NA(),STDEV(OFFSET(G188,1-Settings!$B$11,0,Settings!$B$11,1))*SQRT(Settings!$B$13)))</f>
        <v/>
      </c>
      <c r="K188" s="20">
        <f>IF(OR(NOT(ISNUMBER($A188)),ROW()-2&lt;Settings!$B$12),NA(),IF(COUNT(OFFSET(G188,1-Settings!$B$12,0,Settings!$B$12,1))&lt;ROUNDUP(Settings!$B$12*Settings!$B$26,0),NA(),STDEV(OFFSET(G188,1-Settings!$B$12,0,Settings!$B$12,1))*SQRT(Settings!$B$13)))</f>
        <v/>
      </c>
      <c r="L188" s="20">
        <f>IF(AND(ISNUMBER(D188),ISNUMBER(H188)),D188-H188,NA())</f>
        <v/>
      </c>
      <c r="M188" s="20">
        <f>IF(AND(ISNUMBER(E188),ISNUMBER(K188)),E188-K188,NA())</f>
        <v/>
      </c>
      <c r="N188" s="20">
        <f>IF(NOT(ISNUMBER($A188)),NA(),IF(COUNT(OFFSET(G188,1,0,Settings!$B$12,1))&lt;ROUNDUP(Settings!$B$12*Settings!$B$26,0),NA(),STDEV(OFFSET(G188,1,0,Settings!$B$12,1))*SQRT(Settings!$B$13)))</f>
        <v/>
      </c>
      <c r="O188" s="20">
        <f>IF(AND(ISNUMBER(E188),ISNUMBER(N188)),E188-N188,NA())</f>
        <v/>
      </c>
      <c r="P188" s="19">
        <f>IF(NOT(ISNUMBER($A188)),NA(),IF(OR($A188&lt;MIN(KW_TP!$A$2:$A$2501),$A188&gt;MAX(KW_TP!$A$2:$A$2501)),NA(),INDEX(KW_TP!$C$2:$C$2501,MATCH($A188,KW_TP!$A$2:$A$2501,1))))</f>
        <v/>
      </c>
      <c r="Q188" s="18">
        <f>IF(NOT(ISNUMBER($A188)),NA(),IFERROR(1*INDEX(BBG_Data!$J$2:$J$4000,MATCH($A188,BBG_Data!$I$2:$I$4000,0)),NA()))</f>
        <v/>
      </c>
      <c r="R188" s="18">
        <f>IF(NOT(ISNUMBER($A188)),NA(),IFERROR(1*INDEX(BBG_Data!$L$2:$L$4000,MATCH($A188,BBG_Data!$K$2:$K$4000,0)),NA()))</f>
        <v/>
      </c>
      <c r="S188" s="20">
        <f>IF(AND(ISNUMBER(B188),ISNUMBER(Q188),ISNUMBER(R188)),(B188-Q188-R188)*100,NA())</f>
        <v/>
      </c>
      <c r="T188" s="20">
        <f>IF(AND(ISNUMBER(B188),Settings!$B$17&gt;0),IF(ISNUMBER(INDEX($B:$B,Settings!$B$17)),(B188-INDEX($B:$B,Settings!$B$17))*100,NA()),NA())</f>
        <v/>
      </c>
      <c r="U188" s="20">
        <f>IF(AND(ISNUMBER(Q188),Settings!$B$17&gt;0),IF(ISNUMBER(INDEX($Q:$Q,Settings!$B$17)),(Q188-INDEX($Q:$Q,Settings!$B$17))*100,NA()),NA())</f>
        <v/>
      </c>
      <c r="V188" s="20">
        <f>IF(AND(ISNUMBER(R188),Settings!$B$17&gt;0),IF(ISNUMBER(INDEX($R:$R,Settings!$B$17)),(R188-INDEX($R:$R,Settings!$B$17))*100,NA()),NA())</f>
        <v/>
      </c>
      <c r="W188" s="20">
        <f>IF(AND(ISNUMBER(P188),Settings!$B$17&gt;0),IF(ISNUMBER(INDEX($P:$P,Settings!$B$17)),P188-INDEX($P:$P,Settings!$B$17),NA()),NA())</f>
        <v/>
      </c>
      <c r="X188" s="19">
        <f>IF(NOT(ISNUMBER($A188)),NA(),IF(OR($A188&lt;MIN(DKW_10Y!$A$2:$A$2918),$A188&gt;MAX(DKW_10Y!$A$2:$A$2918),Settings!$B$16&lt;MIN(DKW_10Y!$A$2:$A$2918)),NA(),(INDEX(DKW_10Y!$B$2:$B$2918,MATCH($A188,DKW_10Y!$A$2:$A$2918,1))-INDEX(DKW_10Y!$B$2:$B$2918,MATCH(Settings!$B$16,DKW_10Y!$A$2:$A$2918,1)))*100))</f>
        <v/>
      </c>
      <c r="Y188" s="19">
        <f>IF(NOT(ISNUMBER($A188)),NA(),IF(OR($A188&lt;MIN(DKW_10Y!$A$2:$A$2918),$A188&gt;MAX(DKW_10Y!$A$2:$A$2918),Settings!$B$16&lt;MIN(DKW_10Y!$A$2:$A$2918)),NA(),(INDEX(DKW_10Y!$C$2:$C$2918,MATCH($A188,DKW_10Y!$A$2:$A$2918,1))-INDEX(DKW_10Y!$C$2:$C$2918,MATCH(Settings!$B$16,DKW_10Y!$A$2:$A$2918,1)))*100))</f>
        <v/>
      </c>
      <c r="Z188" s="19">
        <f>IF(NOT(ISNUMBER($A188)),NA(),IF(OR($A188&lt;MIN(DKW_10Y!$A$2:$A$2918),$A188&gt;MAX(DKW_10Y!$A$2:$A$2918),Settings!$B$16&lt;MIN(DKW_10Y!$A$2:$A$2918)),NA(),(INDEX(DKW_10Y!$D$2:$D$2918,MATCH($A188,DKW_10Y!$A$2:$A$2918,1))-INDEX(DKW_10Y!$D$2:$D$2918,MATCH(Settings!$B$16,DKW_10Y!$A$2:$A$2918,1)))*100))</f>
        <v/>
      </c>
      <c r="AA188" s="19">
        <f>IF(NOT(ISNUMBER($A188)),NA(),IF(OR($A188&lt;MIN(DKW_10Y!$A$2:$A$2918),$A188&gt;MAX(DKW_10Y!$A$2:$A$2918),Settings!$B$16&lt;MIN(DKW_10Y!$A$2:$A$2918)),NA(),(INDEX(DKW_10Y!$E$2:$E$2918,MATCH($A188,DKW_10Y!$A$2:$A$2918,1))-INDEX(DKW_10Y!$E$2:$E$2918,MATCH(Settings!$B$16,DKW_10Y!$A$2:$A$2918,1)))*100))</f>
        <v/>
      </c>
      <c r="AB188" s="19">
        <f>IF(NOT(ISNUMBER($A188)),NA(),IF(OR($A188&lt;MIN(DKW_10Y!$A$2:$A$2918),$A188&gt;MAX(DKW_10Y!$A$2:$A$2918),Settings!$B$16&lt;MIN(DKW_10Y!$A$2:$A$2918)),NA(),(INDEX(DKW_10Y!$H$2:$H$2918,MATCH($A188,DKW_10Y!$A$2:$A$2918,1))-INDEX(DKW_10Y!$H$2:$H$2918,MATCH(Settings!$B$16,DKW_10Y!$A$2:$A$2918,1)))*100))</f>
        <v/>
      </c>
      <c r="AC188" s="18">
        <f>IF(NOT(ISNUMBER($A188)),NA(),IFERROR(1*INDEX(BBG_Data!$N$2:$N$4000,MATCH($A188,BBG_Data!$M$2:$M$4000,0)),NA()))</f>
        <v/>
      </c>
      <c r="AD188" s="18">
        <f>IF(NOT(ISNUMBER($A188)),NA(),IFERROR(1*INDEX(BBG_Data!$P$2:$P$4000,MATCH($A188,BBG_Data!$O$2:$O$4000,0)),NA()))</f>
        <v/>
      </c>
      <c r="AE188" s="18">
        <f>IF(NOT(ISNUMBER($A188)),NA(),IFERROR(1*INDEX(BBG_Data!$R$2:$R$4000,MATCH($A188,BBG_Data!$Q$2:$Q$4000,0)),NA()))</f>
        <v/>
      </c>
      <c r="AF188" s="20">
        <f>IF(AND(ISNUMBER(B188),ISNUMBER(AC188)),(B188-AC188)*100,NA())</f>
        <v/>
      </c>
      <c r="AG188" s="20">
        <f>IF(AND(ISNUMBER(AE188),ISNUMBER(AD188)),(AE188-AD188)*100,NA())</f>
        <v/>
      </c>
      <c r="AH188" s="19">
        <f>IF(NOT(ISNUMBER($A188)),NA(),IFERROR(INDEX(BBG_Data!$T$2:$T$4000,MATCH($A188,BBG_Data!$S$2:$S$4000,0))*Settings!$B$25,NA()))</f>
        <v/>
      </c>
      <c r="AI188" s="19">
        <f>IF(NOT(ISNUMBER($A188)),NA(),IFERROR(INDEX(BBG_Data!$V$2:$V$4000,MATCH($A188,BBG_Data!$U$2:$U$4000,0))*Settings!$B$25,NA()))</f>
        <v/>
      </c>
      <c r="AJ188" s="19">
        <f>IF(NOT(ISNUMBER($A188)),NA(),IFERROR(1*INDEX(BBG_Data!$X$2:$X$4000,MATCH($A188,BBG_Data!$W$2:$W$4000,0)),NA()))</f>
        <v/>
      </c>
      <c r="AK188" s="19">
        <f>IF(NOT(ISNUMBER($A188)),NA(),IFERROR(1*INDEX(BBG_Data!$Z$2:$Z$4000,MATCH($A188,BBG_Data!$Y$2:$Y$4000,0)),NA()))</f>
        <v/>
      </c>
    </row>
    <row r="189">
      <c r="A189" s="17">
        <f>IF(ISNUMBER(BBG_Data!A189),BBG_Data!A189,"")</f>
        <v/>
      </c>
      <c r="B189" s="18">
        <f>IF(AND(ISNUMBER($A189),ISNUMBER(BBG_Data!B189)),BBG_Data!B189,NA())</f>
        <v/>
      </c>
      <c r="C189" s="18">
        <f>IF(NOT(ISNUMBER($A189)),NA(),IFERROR(1*INDEX(BBG_Data!$D$2:$D$4000,MATCH($A189,BBG_Data!$C$2:$C$4000,0)),NA()))</f>
        <v/>
      </c>
      <c r="D189" s="19">
        <f>IF(NOT(ISNUMBER($A189)),NA(),IFERROR(1*INDEX(BBG_Data!$F$2:$F$4000,MATCH($A189,BBG_Data!$E$2:$E$4000,0)),NA()))</f>
        <v/>
      </c>
      <c r="E189" s="19">
        <f>IF(NOT(ISNUMBER($A189)),NA(),IFERROR(1*INDEX(BBG_Data!$H$2:$H$4000,MATCH($A189,BBG_Data!$G$2:$G$4000,0)),NA()))</f>
        <v/>
      </c>
      <c r="F189" s="20">
        <f>IF(AND(ISNUMBER(B189),ISNUMBER(B188)),IF(B189=B188,"",(B189-B188)*100),"")</f>
        <v/>
      </c>
      <c r="G189" s="20">
        <f>IF(AND(ISNUMBER(C189),ISNUMBER(C188)),IF(C189=C188,"",(C189-C188)*100),"")</f>
        <v/>
      </c>
      <c r="H189" s="20">
        <f>IF(OR(NOT(ISNUMBER($A189)),ROW()-2&lt;Settings!$B$11),NA(),IF(COUNT(OFFSET(F189,1-Settings!$B$11,0,Settings!$B$11,1))&lt;ROUNDUP(Settings!$B$11*Settings!$B$26,0),NA(),STDEV(OFFSET(F189,1-Settings!$B$11,0,Settings!$B$11,1))*SQRT(Settings!$B$13)))</f>
        <v/>
      </c>
      <c r="I189" s="20">
        <f>IF(OR(NOT(ISNUMBER($A189)),ROW()-2&lt;Settings!$B$12),NA(),IF(COUNT(OFFSET(F189,1-Settings!$B$12,0,Settings!$B$12,1))&lt;ROUNDUP(Settings!$B$12*Settings!$B$26,0),NA(),STDEV(OFFSET(F189,1-Settings!$B$12,0,Settings!$B$12,1))*SQRT(Settings!$B$13)))</f>
        <v/>
      </c>
      <c r="J189" s="20">
        <f>IF(OR(NOT(ISNUMBER($A189)),ROW()-2&lt;Settings!$B$11),NA(),IF(COUNT(OFFSET(G189,1-Settings!$B$11,0,Settings!$B$11,1))&lt;ROUNDUP(Settings!$B$11*Settings!$B$26,0),NA(),STDEV(OFFSET(G189,1-Settings!$B$11,0,Settings!$B$11,1))*SQRT(Settings!$B$13)))</f>
        <v/>
      </c>
      <c r="K189" s="20">
        <f>IF(OR(NOT(ISNUMBER($A189)),ROW()-2&lt;Settings!$B$12),NA(),IF(COUNT(OFFSET(G189,1-Settings!$B$12,0,Settings!$B$12,1))&lt;ROUNDUP(Settings!$B$12*Settings!$B$26,0),NA(),STDEV(OFFSET(G189,1-Settings!$B$12,0,Settings!$B$12,1))*SQRT(Settings!$B$13)))</f>
        <v/>
      </c>
      <c r="L189" s="20">
        <f>IF(AND(ISNUMBER(D189),ISNUMBER(H189)),D189-H189,NA())</f>
        <v/>
      </c>
      <c r="M189" s="20">
        <f>IF(AND(ISNUMBER(E189),ISNUMBER(K189)),E189-K189,NA())</f>
        <v/>
      </c>
      <c r="N189" s="20">
        <f>IF(NOT(ISNUMBER($A189)),NA(),IF(COUNT(OFFSET(G189,1,0,Settings!$B$12,1))&lt;ROUNDUP(Settings!$B$12*Settings!$B$26,0),NA(),STDEV(OFFSET(G189,1,0,Settings!$B$12,1))*SQRT(Settings!$B$13)))</f>
        <v/>
      </c>
      <c r="O189" s="20">
        <f>IF(AND(ISNUMBER(E189),ISNUMBER(N189)),E189-N189,NA())</f>
        <v/>
      </c>
      <c r="P189" s="19">
        <f>IF(NOT(ISNUMBER($A189)),NA(),IF(OR($A189&lt;MIN(KW_TP!$A$2:$A$2501),$A189&gt;MAX(KW_TP!$A$2:$A$2501)),NA(),INDEX(KW_TP!$C$2:$C$2501,MATCH($A189,KW_TP!$A$2:$A$2501,1))))</f>
        <v/>
      </c>
      <c r="Q189" s="18">
        <f>IF(NOT(ISNUMBER($A189)),NA(),IFERROR(1*INDEX(BBG_Data!$J$2:$J$4000,MATCH($A189,BBG_Data!$I$2:$I$4000,0)),NA()))</f>
        <v/>
      </c>
      <c r="R189" s="18">
        <f>IF(NOT(ISNUMBER($A189)),NA(),IFERROR(1*INDEX(BBG_Data!$L$2:$L$4000,MATCH($A189,BBG_Data!$K$2:$K$4000,0)),NA()))</f>
        <v/>
      </c>
      <c r="S189" s="20">
        <f>IF(AND(ISNUMBER(B189),ISNUMBER(Q189),ISNUMBER(R189)),(B189-Q189-R189)*100,NA())</f>
        <v/>
      </c>
      <c r="T189" s="20">
        <f>IF(AND(ISNUMBER(B189),Settings!$B$17&gt;0),IF(ISNUMBER(INDEX($B:$B,Settings!$B$17)),(B189-INDEX($B:$B,Settings!$B$17))*100,NA()),NA())</f>
        <v/>
      </c>
      <c r="U189" s="20">
        <f>IF(AND(ISNUMBER(Q189),Settings!$B$17&gt;0),IF(ISNUMBER(INDEX($Q:$Q,Settings!$B$17)),(Q189-INDEX($Q:$Q,Settings!$B$17))*100,NA()),NA())</f>
        <v/>
      </c>
      <c r="V189" s="20">
        <f>IF(AND(ISNUMBER(R189),Settings!$B$17&gt;0),IF(ISNUMBER(INDEX($R:$R,Settings!$B$17)),(R189-INDEX($R:$R,Settings!$B$17))*100,NA()),NA())</f>
        <v/>
      </c>
      <c r="W189" s="20">
        <f>IF(AND(ISNUMBER(P189),Settings!$B$17&gt;0),IF(ISNUMBER(INDEX($P:$P,Settings!$B$17)),P189-INDEX($P:$P,Settings!$B$17),NA()),NA())</f>
        <v/>
      </c>
      <c r="X189" s="19">
        <f>IF(NOT(ISNUMBER($A189)),NA(),IF(OR($A189&lt;MIN(DKW_10Y!$A$2:$A$2918),$A189&gt;MAX(DKW_10Y!$A$2:$A$2918),Settings!$B$16&lt;MIN(DKW_10Y!$A$2:$A$2918)),NA(),(INDEX(DKW_10Y!$B$2:$B$2918,MATCH($A189,DKW_10Y!$A$2:$A$2918,1))-INDEX(DKW_10Y!$B$2:$B$2918,MATCH(Settings!$B$16,DKW_10Y!$A$2:$A$2918,1)))*100))</f>
        <v/>
      </c>
      <c r="Y189" s="19">
        <f>IF(NOT(ISNUMBER($A189)),NA(),IF(OR($A189&lt;MIN(DKW_10Y!$A$2:$A$2918),$A189&gt;MAX(DKW_10Y!$A$2:$A$2918),Settings!$B$16&lt;MIN(DKW_10Y!$A$2:$A$2918)),NA(),(INDEX(DKW_10Y!$C$2:$C$2918,MATCH($A189,DKW_10Y!$A$2:$A$2918,1))-INDEX(DKW_10Y!$C$2:$C$2918,MATCH(Settings!$B$16,DKW_10Y!$A$2:$A$2918,1)))*100))</f>
        <v/>
      </c>
      <c r="Z189" s="19">
        <f>IF(NOT(ISNUMBER($A189)),NA(),IF(OR($A189&lt;MIN(DKW_10Y!$A$2:$A$2918),$A189&gt;MAX(DKW_10Y!$A$2:$A$2918),Settings!$B$16&lt;MIN(DKW_10Y!$A$2:$A$2918)),NA(),(INDEX(DKW_10Y!$D$2:$D$2918,MATCH($A189,DKW_10Y!$A$2:$A$2918,1))-INDEX(DKW_10Y!$D$2:$D$2918,MATCH(Settings!$B$16,DKW_10Y!$A$2:$A$2918,1)))*100))</f>
        <v/>
      </c>
      <c r="AA189" s="19">
        <f>IF(NOT(ISNUMBER($A189)),NA(),IF(OR($A189&lt;MIN(DKW_10Y!$A$2:$A$2918),$A189&gt;MAX(DKW_10Y!$A$2:$A$2918),Settings!$B$16&lt;MIN(DKW_10Y!$A$2:$A$2918)),NA(),(INDEX(DKW_10Y!$E$2:$E$2918,MATCH($A189,DKW_10Y!$A$2:$A$2918,1))-INDEX(DKW_10Y!$E$2:$E$2918,MATCH(Settings!$B$16,DKW_10Y!$A$2:$A$2918,1)))*100))</f>
        <v/>
      </c>
      <c r="AB189" s="19">
        <f>IF(NOT(ISNUMBER($A189)),NA(),IF(OR($A189&lt;MIN(DKW_10Y!$A$2:$A$2918),$A189&gt;MAX(DKW_10Y!$A$2:$A$2918),Settings!$B$16&lt;MIN(DKW_10Y!$A$2:$A$2918)),NA(),(INDEX(DKW_10Y!$H$2:$H$2918,MATCH($A189,DKW_10Y!$A$2:$A$2918,1))-INDEX(DKW_10Y!$H$2:$H$2918,MATCH(Settings!$B$16,DKW_10Y!$A$2:$A$2918,1)))*100))</f>
        <v/>
      </c>
      <c r="AC189" s="18">
        <f>IF(NOT(ISNUMBER($A189)),NA(),IFERROR(1*INDEX(BBG_Data!$N$2:$N$4000,MATCH($A189,BBG_Data!$M$2:$M$4000,0)),NA()))</f>
        <v/>
      </c>
      <c r="AD189" s="18">
        <f>IF(NOT(ISNUMBER($A189)),NA(),IFERROR(1*INDEX(BBG_Data!$P$2:$P$4000,MATCH($A189,BBG_Data!$O$2:$O$4000,0)),NA()))</f>
        <v/>
      </c>
      <c r="AE189" s="18">
        <f>IF(NOT(ISNUMBER($A189)),NA(),IFERROR(1*INDEX(BBG_Data!$R$2:$R$4000,MATCH($A189,BBG_Data!$Q$2:$Q$4000,0)),NA()))</f>
        <v/>
      </c>
      <c r="AF189" s="20">
        <f>IF(AND(ISNUMBER(B189),ISNUMBER(AC189)),(B189-AC189)*100,NA())</f>
        <v/>
      </c>
      <c r="AG189" s="20">
        <f>IF(AND(ISNUMBER(AE189),ISNUMBER(AD189)),(AE189-AD189)*100,NA())</f>
        <v/>
      </c>
      <c r="AH189" s="19">
        <f>IF(NOT(ISNUMBER($A189)),NA(),IFERROR(INDEX(BBG_Data!$T$2:$T$4000,MATCH($A189,BBG_Data!$S$2:$S$4000,0))*Settings!$B$25,NA()))</f>
        <v/>
      </c>
      <c r="AI189" s="19">
        <f>IF(NOT(ISNUMBER($A189)),NA(),IFERROR(INDEX(BBG_Data!$V$2:$V$4000,MATCH($A189,BBG_Data!$U$2:$U$4000,0))*Settings!$B$25,NA()))</f>
        <v/>
      </c>
      <c r="AJ189" s="19">
        <f>IF(NOT(ISNUMBER($A189)),NA(),IFERROR(1*INDEX(BBG_Data!$X$2:$X$4000,MATCH($A189,BBG_Data!$W$2:$W$4000,0)),NA()))</f>
        <v/>
      </c>
      <c r="AK189" s="19">
        <f>IF(NOT(ISNUMBER($A189)),NA(),IFERROR(1*INDEX(BBG_Data!$Z$2:$Z$4000,MATCH($A189,BBG_Data!$Y$2:$Y$4000,0)),NA()))</f>
        <v/>
      </c>
    </row>
    <row r="190">
      <c r="A190" s="17">
        <f>IF(ISNUMBER(BBG_Data!A190),BBG_Data!A190,"")</f>
        <v/>
      </c>
      <c r="B190" s="18">
        <f>IF(AND(ISNUMBER($A190),ISNUMBER(BBG_Data!B190)),BBG_Data!B190,NA())</f>
        <v/>
      </c>
      <c r="C190" s="18">
        <f>IF(NOT(ISNUMBER($A190)),NA(),IFERROR(1*INDEX(BBG_Data!$D$2:$D$4000,MATCH($A190,BBG_Data!$C$2:$C$4000,0)),NA()))</f>
        <v/>
      </c>
      <c r="D190" s="19">
        <f>IF(NOT(ISNUMBER($A190)),NA(),IFERROR(1*INDEX(BBG_Data!$F$2:$F$4000,MATCH($A190,BBG_Data!$E$2:$E$4000,0)),NA()))</f>
        <v/>
      </c>
      <c r="E190" s="19">
        <f>IF(NOT(ISNUMBER($A190)),NA(),IFERROR(1*INDEX(BBG_Data!$H$2:$H$4000,MATCH($A190,BBG_Data!$G$2:$G$4000,0)),NA()))</f>
        <v/>
      </c>
      <c r="F190" s="20">
        <f>IF(AND(ISNUMBER(B190),ISNUMBER(B189)),IF(B190=B189,"",(B190-B189)*100),"")</f>
        <v/>
      </c>
      <c r="G190" s="20">
        <f>IF(AND(ISNUMBER(C190),ISNUMBER(C189)),IF(C190=C189,"",(C190-C189)*100),"")</f>
        <v/>
      </c>
      <c r="H190" s="20">
        <f>IF(OR(NOT(ISNUMBER($A190)),ROW()-2&lt;Settings!$B$11),NA(),IF(COUNT(OFFSET(F190,1-Settings!$B$11,0,Settings!$B$11,1))&lt;ROUNDUP(Settings!$B$11*Settings!$B$26,0),NA(),STDEV(OFFSET(F190,1-Settings!$B$11,0,Settings!$B$11,1))*SQRT(Settings!$B$13)))</f>
        <v/>
      </c>
      <c r="I190" s="20">
        <f>IF(OR(NOT(ISNUMBER($A190)),ROW()-2&lt;Settings!$B$12),NA(),IF(COUNT(OFFSET(F190,1-Settings!$B$12,0,Settings!$B$12,1))&lt;ROUNDUP(Settings!$B$12*Settings!$B$26,0),NA(),STDEV(OFFSET(F190,1-Settings!$B$12,0,Settings!$B$12,1))*SQRT(Settings!$B$13)))</f>
        <v/>
      </c>
      <c r="J190" s="20">
        <f>IF(OR(NOT(ISNUMBER($A190)),ROW()-2&lt;Settings!$B$11),NA(),IF(COUNT(OFFSET(G190,1-Settings!$B$11,0,Settings!$B$11,1))&lt;ROUNDUP(Settings!$B$11*Settings!$B$26,0),NA(),STDEV(OFFSET(G190,1-Settings!$B$11,0,Settings!$B$11,1))*SQRT(Settings!$B$13)))</f>
        <v/>
      </c>
      <c r="K190" s="20">
        <f>IF(OR(NOT(ISNUMBER($A190)),ROW()-2&lt;Settings!$B$12),NA(),IF(COUNT(OFFSET(G190,1-Settings!$B$12,0,Settings!$B$12,1))&lt;ROUNDUP(Settings!$B$12*Settings!$B$26,0),NA(),STDEV(OFFSET(G190,1-Settings!$B$12,0,Settings!$B$12,1))*SQRT(Settings!$B$13)))</f>
        <v/>
      </c>
      <c r="L190" s="20">
        <f>IF(AND(ISNUMBER(D190),ISNUMBER(H190)),D190-H190,NA())</f>
        <v/>
      </c>
      <c r="M190" s="20">
        <f>IF(AND(ISNUMBER(E190),ISNUMBER(K190)),E190-K190,NA())</f>
        <v/>
      </c>
      <c r="N190" s="20">
        <f>IF(NOT(ISNUMBER($A190)),NA(),IF(COUNT(OFFSET(G190,1,0,Settings!$B$12,1))&lt;ROUNDUP(Settings!$B$12*Settings!$B$26,0),NA(),STDEV(OFFSET(G190,1,0,Settings!$B$12,1))*SQRT(Settings!$B$13)))</f>
        <v/>
      </c>
      <c r="O190" s="20">
        <f>IF(AND(ISNUMBER(E190),ISNUMBER(N190)),E190-N190,NA())</f>
        <v/>
      </c>
      <c r="P190" s="19">
        <f>IF(NOT(ISNUMBER($A190)),NA(),IF(OR($A190&lt;MIN(KW_TP!$A$2:$A$2501),$A190&gt;MAX(KW_TP!$A$2:$A$2501)),NA(),INDEX(KW_TP!$C$2:$C$2501,MATCH($A190,KW_TP!$A$2:$A$2501,1))))</f>
        <v/>
      </c>
      <c r="Q190" s="18">
        <f>IF(NOT(ISNUMBER($A190)),NA(),IFERROR(1*INDEX(BBG_Data!$J$2:$J$4000,MATCH($A190,BBG_Data!$I$2:$I$4000,0)),NA()))</f>
        <v/>
      </c>
      <c r="R190" s="18">
        <f>IF(NOT(ISNUMBER($A190)),NA(),IFERROR(1*INDEX(BBG_Data!$L$2:$L$4000,MATCH($A190,BBG_Data!$K$2:$K$4000,0)),NA()))</f>
        <v/>
      </c>
      <c r="S190" s="20">
        <f>IF(AND(ISNUMBER(B190),ISNUMBER(Q190),ISNUMBER(R190)),(B190-Q190-R190)*100,NA())</f>
        <v/>
      </c>
      <c r="T190" s="20">
        <f>IF(AND(ISNUMBER(B190),Settings!$B$17&gt;0),IF(ISNUMBER(INDEX($B:$B,Settings!$B$17)),(B190-INDEX($B:$B,Settings!$B$17))*100,NA()),NA())</f>
        <v/>
      </c>
      <c r="U190" s="20">
        <f>IF(AND(ISNUMBER(Q190),Settings!$B$17&gt;0),IF(ISNUMBER(INDEX($Q:$Q,Settings!$B$17)),(Q190-INDEX($Q:$Q,Settings!$B$17))*100,NA()),NA())</f>
        <v/>
      </c>
      <c r="V190" s="20">
        <f>IF(AND(ISNUMBER(R190),Settings!$B$17&gt;0),IF(ISNUMBER(INDEX($R:$R,Settings!$B$17)),(R190-INDEX($R:$R,Settings!$B$17))*100,NA()),NA())</f>
        <v/>
      </c>
      <c r="W190" s="20">
        <f>IF(AND(ISNUMBER(P190),Settings!$B$17&gt;0),IF(ISNUMBER(INDEX($P:$P,Settings!$B$17)),P190-INDEX($P:$P,Settings!$B$17),NA()),NA())</f>
        <v/>
      </c>
      <c r="X190" s="19">
        <f>IF(NOT(ISNUMBER($A190)),NA(),IF(OR($A190&lt;MIN(DKW_10Y!$A$2:$A$2918),$A190&gt;MAX(DKW_10Y!$A$2:$A$2918),Settings!$B$16&lt;MIN(DKW_10Y!$A$2:$A$2918)),NA(),(INDEX(DKW_10Y!$B$2:$B$2918,MATCH($A190,DKW_10Y!$A$2:$A$2918,1))-INDEX(DKW_10Y!$B$2:$B$2918,MATCH(Settings!$B$16,DKW_10Y!$A$2:$A$2918,1)))*100))</f>
        <v/>
      </c>
      <c r="Y190" s="19">
        <f>IF(NOT(ISNUMBER($A190)),NA(),IF(OR($A190&lt;MIN(DKW_10Y!$A$2:$A$2918),$A190&gt;MAX(DKW_10Y!$A$2:$A$2918),Settings!$B$16&lt;MIN(DKW_10Y!$A$2:$A$2918)),NA(),(INDEX(DKW_10Y!$C$2:$C$2918,MATCH($A190,DKW_10Y!$A$2:$A$2918,1))-INDEX(DKW_10Y!$C$2:$C$2918,MATCH(Settings!$B$16,DKW_10Y!$A$2:$A$2918,1)))*100))</f>
        <v/>
      </c>
      <c r="Z190" s="19">
        <f>IF(NOT(ISNUMBER($A190)),NA(),IF(OR($A190&lt;MIN(DKW_10Y!$A$2:$A$2918),$A190&gt;MAX(DKW_10Y!$A$2:$A$2918),Settings!$B$16&lt;MIN(DKW_10Y!$A$2:$A$2918)),NA(),(INDEX(DKW_10Y!$D$2:$D$2918,MATCH($A190,DKW_10Y!$A$2:$A$2918,1))-INDEX(DKW_10Y!$D$2:$D$2918,MATCH(Settings!$B$16,DKW_10Y!$A$2:$A$2918,1)))*100))</f>
        <v/>
      </c>
      <c r="AA190" s="19">
        <f>IF(NOT(ISNUMBER($A190)),NA(),IF(OR($A190&lt;MIN(DKW_10Y!$A$2:$A$2918),$A190&gt;MAX(DKW_10Y!$A$2:$A$2918),Settings!$B$16&lt;MIN(DKW_10Y!$A$2:$A$2918)),NA(),(INDEX(DKW_10Y!$E$2:$E$2918,MATCH($A190,DKW_10Y!$A$2:$A$2918,1))-INDEX(DKW_10Y!$E$2:$E$2918,MATCH(Settings!$B$16,DKW_10Y!$A$2:$A$2918,1)))*100))</f>
        <v/>
      </c>
      <c r="AB190" s="19">
        <f>IF(NOT(ISNUMBER($A190)),NA(),IF(OR($A190&lt;MIN(DKW_10Y!$A$2:$A$2918),$A190&gt;MAX(DKW_10Y!$A$2:$A$2918),Settings!$B$16&lt;MIN(DKW_10Y!$A$2:$A$2918)),NA(),(INDEX(DKW_10Y!$H$2:$H$2918,MATCH($A190,DKW_10Y!$A$2:$A$2918,1))-INDEX(DKW_10Y!$H$2:$H$2918,MATCH(Settings!$B$16,DKW_10Y!$A$2:$A$2918,1)))*100))</f>
        <v/>
      </c>
      <c r="AC190" s="18">
        <f>IF(NOT(ISNUMBER($A190)),NA(),IFERROR(1*INDEX(BBG_Data!$N$2:$N$4000,MATCH($A190,BBG_Data!$M$2:$M$4000,0)),NA()))</f>
        <v/>
      </c>
      <c r="AD190" s="18">
        <f>IF(NOT(ISNUMBER($A190)),NA(),IFERROR(1*INDEX(BBG_Data!$P$2:$P$4000,MATCH($A190,BBG_Data!$O$2:$O$4000,0)),NA()))</f>
        <v/>
      </c>
      <c r="AE190" s="18">
        <f>IF(NOT(ISNUMBER($A190)),NA(),IFERROR(1*INDEX(BBG_Data!$R$2:$R$4000,MATCH($A190,BBG_Data!$Q$2:$Q$4000,0)),NA()))</f>
        <v/>
      </c>
      <c r="AF190" s="20">
        <f>IF(AND(ISNUMBER(B190),ISNUMBER(AC190)),(B190-AC190)*100,NA())</f>
        <v/>
      </c>
      <c r="AG190" s="20">
        <f>IF(AND(ISNUMBER(AE190),ISNUMBER(AD190)),(AE190-AD190)*100,NA())</f>
        <v/>
      </c>
      <c r="AH190" s="19">
        <f>IF(NOT(ISNUMBER($A190)),NA(),IFERROR(INDEX(BBG_Data!$T$2:$T$4000,MATCH($A190,BBG_Data!$S$2:$S$4000,0))*Settings!$B$25,NA()))</f>
        <v/>
      </c>
      <c r="AI190" s="19">
        <f>IF(NOT(ISNUMBER($A190)),NA(),IFERROR(INDEX(BBG_Data!$V$2:$V$4000,MATCH($A190,BBG_Data!$U$2:$U$4000,0))*Settings!$B$25,NA()))</f>
        <v/>
      </c>
      <c r="AJ190" s="19">
        <f>IF(NOT(ISNUMBER($A190)),NA(),IFERROR(1*INDEX(BBG_Data!$X$2:$X$4000,MATCH($A190,BBG_Data!$W$2:$W$4000,0)),NA()))</f>
        <v/>
      </c>
      <c r="AK190" s="19">
        <f>IF(NOT(ISNUMBER($A190)),NA(),IFERROR(1*INDEX(BBG_Data!$Z$2:$Z$4000,MATCH($A190,BBG_Data!$Y$2:$Y$4000,0)),NA()))</f>
        <v/>
      </c>
    </row>
    <row r="191">
      <c r="A191" s="17">
        <f>IF(ISNUMBER(BBG_Data!A191),BBG_Data!A191,"")</f>
        <v/>
      </c>
      <c r="B191" s="18">
        <f>IF(AND(ISNUMBER($A191),ISNUMBER(BBG_Data!B191)),BBG_Data!B191,NA())</f>
        <v/>
      </c>
      <c r="C191" s="18">
        <f>IF(NOT(ISNUMBER($A191)),NA(),IFERROR(1*INDEX(BBG_Data!$D$2:$D$4000,MATCH($A191,BBG_Data!$C$2:$C$4000,0)),NA()))</f>
        <v/>
      </c>
      <c r="D191" s="19">
        <f>IF(NOT(ISNUMBER($A191)),NA(),IFERROR(1*INDEX(BBG_Data!$F$2:$F$4000,MATCH($A191,BBG_Data!$E$2:$E$4000,0)),NA()))</f>
        <v/>
      </c>
      <c r="E191" s="19">
        <f>IF(NOT(ISNUMBER($A191)),NA(),IFERROR(1*INDEX(BBG_Data!$H$2:$H$4000,MATCH($A191,BBG_Data!$G$2:$G$4000,0)),NA()))</f>
        <v/>
      </c>
      <c r="F191" s="20">
        <f>IF(AND(ISNUMBER(B191),ISNUMBER(B190)),IF(B191=B190,"",(B191-B190)*100),"")</f>
        <v/>
      </c>
      <c r="G191" s="20">
        <f>IF(AND(ISNUMBER(C191),ISNUMBER(C190)),IF(C191=C190,"",(C191-C190)*100),"")</f>
        <v/>
      </c>
      <c r="H191" s="20">
        <f>IF(OR(NOT(ISNUMBER($A191)),ROW()-2&lt;Settings!$B$11),NA(),IF(COUNT(OFFSET(F191,1-Settings!$B$11,0,Settings!$B$11,1))&lt;ROUNDUP(Settings!$B$11*Settings!$B$26,0),NA(),STDEV(OFFSET(F191,1-Settings!$B$11,0,Settings!$B$11,1))*SQRT(Settings!$B$13)))</f>
        <v/>
      </c>
      <c r="I191" s="20">
        <f>IF(OR(NOT(ISNUMBER($A191)),ROW()-2&lt;Settings!$B$12),NA(),IF(COUNT(OFFSET(F191,1-Settings!$B$12,0,Settings!$B$12,1))&lt;ROUNDUP(Settings!$B$12*Settings!$B$26,0),NA(),STDEV(OFFSET(F191,1-Settings!$B$12,0,Settings!$B$12,1))*SQRT(Settings!$B$13)))</f>
        <v/>
      </c>
      <c r="J191" s="20">
        <f>IF(OR(NOT(ISNUMBER($A191)),ROW()-2&lt;Settings!$B$11),NA(),IF(COUNT(OFFSET(G191,1-Settings!$B$11,0,Settings!$B$11,1))&lt;ROUNDUP(Settings!$B$11*Settings!$B$26,0),NA(),STDEV(OFFSET(G191,1-Settings!$B$11,0,Settings!$B$11,1))*SQRT(Settings!$B$13)))</f>
        <v/>
      </c>
      <c r="K191" s="20">
        <f>IF(OR(NOT(ISNUMBER($A191)),ROW()-2&lt;Settings!$B$12),NA(),IF(COUNT(OFFSET(G191,1-Settings!$B$12,0,Settings!$B$12,1))&lt;ROUNDUP(Settings!$B$12*Settings!$B$26,0),NA(),STDEV(OFFSET(G191,1-Settings!$B$12,0,Settings!$B$12,1))*SQRT(Settings!$B$13)))</f>
        <v/>
      </c>
      <c r="L191" s="20">
        <f>IF(AND(ISNUMBER(D191),ISNUMBER(H191)),D191-H191,NA())</f>
        <v/>
      </c>
      <c r="M191" s="20">
        <f>IF(AND(ISNUMBER(E191),ISNUMBER(K191)),E191-K191,NA())</f>
        <v/>
      </c>
      <c r="N191" s="20">
        <f>IF(NOT(ISNUMBER($A191)),NA(),IF(COUNT(OFFSET(G191,1,0,Settings!$B$12,1))&lt;ROUNDUP(Settings!$B$12*Settings!$B$26,0),NA(),STDEV(OFFSET(G191,1,0,Settings!$B$12,1))*SQRT(Settings!$B$13)))</f>
        <v/>
      </c>
      <c r="O191" s="20">
        <f>IF(AND(ISNUMBER(E191),ISNUMBER(N191)),E191-N191,NA())</f>
        <v/>
      </c>
      <c r="P191" s="19">
        <f>IF(NOT(ISNUMBER($A191)),NA(),IF(OR($A191&lt;MIN(KW_TP!$A$2:$A$2501),$A191&gt;MAX(KW_TP!$A$2:$A$2501)),NA(),INDEX(KW_TP!$C$2:$C$2501,MATCH($A191,KW_TP!$A$2:$A$2501,1))))</f>
        <v/>
      </c>
      <c r="Q191" s="18">
        <f>IF(NOT(ISNUMBER($A191)),NA(),IFERROR(1*INDEX(BBG_Data!$J$2:$J$4000,MATCH($A191,BBG_Data!$I$2:$I$4000,0)),NA()))</f>
        <v/>
      </c>
      <c r="R191" s="18">
        <f>IF(NOT(ISNUMBER($A191)),NA(),IFERROR(1*INDEX(BBG_Data!$L$2:$L$4000,MATCH($A191,BBG_Data!$K$2:$K$4000,0)),NA()))</f>
        <v/>
      </c>
      <c r="S191" s="20">
        <f>IF(AND(ISNUMBER(B191),ISNUMBER(Q191),ISNUMBER(R191)),(B191-Q191-R191)*100,NA())</f>
        <v/>
      </c>
      <c r="T191" s="20">
        <f>IF(AND(ISNUMBER(B191),Settings!$B$17&gt;0),IF(ISNUMBER(INDEX($B:$B,Settings!$B$17)),(B191-INDEX($B:$B,Settings!$B$17))*100,NA()),NA())</f>
        <v/>
      </c>
      <c r="U191" s="20">
        <f>IF(AND(ISNUMBER(Q191),Settings!$B$17&gt;0),IF(ISNUMBER(INDEX($Q:$Q,Settings!$B$17)),(Q191-INDEX($Q:$Q,Settings!$B$17))*100,NA()),NA())</f>
        <v/>
      </c>
      <c r="V191" s="20">
        <f>IF(AND(ISNUMBER(R191),Settings!$B$17&gt;0),IF(ISNUMBER(INDEX($R:$R,Settings!$B$17)),(R191-INDEX($R:$R,Settings!$B$17))*100,NA()),NA())</f>
        <v/>
      </c>
      <c r="W191" s="20">
        <f>IF(AND(ISNUMBER(P191),Settings!$B$17&gt;0),IF(ISNUMBER(INDEX($P:$P,Settings!$B$17)),P191-INDEX($P:$P,Settings!$B$17),NA()),NA())</f>
        <v/>
      </c>
      <c r="X191" s="19">
        <f>IF(NOT(ISNUMBER($A191)),NA(),IF(OR($A191&lt;MIN(DKW_10Y!$A$2:$A$2918),$A191&gt;MAX(DKW_10Y!$A$2:$A$2918),Settings!$B$16&lt;MIN(DKW_10Y!$A$2:$A$2918)),NA(),(INDEX(DKW_10Y!$B$2:$B$2918,MATCH($A191,DKW_10Y!$A$2:$A$2918,1))-INDEX(DKW_10Y!$B$2:$B$2918,MATCH(Settings!$B$16,DKW_10Y!$A$2:$A$2918,1)))*100))</f>
        <v/>
      </c>
      <c r="Y191" s="19">
        <f>IF(NOT(ISNUMBER($A191)),NA(),IF(OR($A191&lt;MIN(DKW_10Y!$A$2:$A$2918),$A191&gt;MAX(DKW_10Y!$A$2:$A$2918),Settings!$B$16&lt;MIN(DKW_10Y!$A$2:$A$2918)),NA(),(INDEX(DKW_10Y!$C$2:$C$2918,MATCH($A191,DKW_10Y!$A$2:$A$2918,1))-INDEX(DKW_10Y!$C$2:$C$2918,MATCH(Settings!$B$16,DKW_10Y!$A$2:$A$2918,1)))*100))</f>
        <v/>
      </c>
      <c r="Z191" s="19">
        <f>IF(NOT(ISNUMBER($A191)),NA(),IF(OR($A191&lt;MIN(DKW_10Y!$A$2:$A$2918),$A191&gt;MAX(DKW_10Y!$A$2:$A$2918),Settings!$B$16&lt;MIN(DKW_10Y!$A$2:$A$2918)),NA(),(INDEX(DKW_10Y!$D$2:$D$2918,MATCH($A191,DKW_10Y!$A$2:$A$2918,1))-INDEX(DKW_10Y!$D$2:$D$2918,MATCH(Settings!$B$16,DKW_10Y!$A$2:$A$2918,1)))*100))</f>
        <v/>
      </c>
      <c r="AA191" s="19">
        <f>IF(NOT(ISNUMBER($A191)),NA(),IF(OR($A191&lt;MIN(DKW_10Y!$A$2:$A$2918),$A191&gt;MAX(DKW_10Y!$A$2:$A$2918),Settings!$B$16&lt;MIN(DKW_10Y!$A$2:$A$2918)),NA(),(INDEX(DKW_10Y!$E$2:$E$2918,MATCH($A191,DKW_10Y!$A$2:$A$2918,1))-INDEX(DKW_10Y!$E$2:$E$2918,MATCH(Settings!$B$16,DKW_10Y!$A$2:$A$2918,1)))*100))</f>
        <v/>
      </c>
      <c r="AB191" s="19">
        <f>IF(NOT(ISNUMBER($A191)),NA(),IF(OR($A191&lt;MIN(DKW_10Y!$A$2:$A$2918),$A191&gt;MAX(DKW_10Y!$A$2:$A$2918),Settings!$B$16&lt;MIN(DKW_10Y!$A$2:$A$2918)),NA(),(INDEX(DKW_10Y!$H$2:$H$2918,MATCH($A191,DKW_10Y!$A$2:$A$2918,1))-INDEX(DKW_10Y!$H$2:$H$2918,MATCH(Settings!$B$16,DKW_10Y!$A$2:$A$2918,1)))*100))</f>
        <v/>
      </c>
      <c r="AC191" s="18">
        <f>IF(NOT(ISNUMBER($A191)),NA(),IFERROR(1*INDEX(BBG_Data!$N$2:$N$4000,MATCH($A191,BBG_Data!$M$2:$M$4000,0)),NA()))</f>
        <v/>
      </c>
      <c r="AD191" s="18">
        <f>IF(NOT(ISNUMBER($A191)),NA(),IFERROR(1*INDEX(BBG_Data!$P$2:$P$4000,MATCH($A191,BBG_Data!$O$2:$O$4000,0)),NA()))</f>
        <v/>
      </c>
      <c r="AE191" s="18">
        <f>IF(NOT(ISNUMBER($A191)),NA(),IFERROR(1*INDEX(BBG_Data!$R$2:$R$4000,MATCH($A191,BBG_Data!$Q$2:$Q$4000,0)),NA()))</f>
        <v/>
      </c>
      <c r="AF191" s="20">
        <f>IF(AND(ISNUMBER(B191),ISNUMBER(AC191)),(B191-AC191)*100,NA())</f>
        <v/>
      </c>
      <c r="AG191" s="20">
        <f>IF(AND(ISNUMBER(AE191),ISNUMBER(AD191)),(AE191-AD191)*100,NA())</f>
        <v/>
      </c>
      <c r="AH191" s="19">
        <f>IF(NOT(ISNUMBER($A191)),NA(),IFERROR(INDEX(BBG_Data!$T$2:$T$4000,MATCH($A191,BBG_Data!$S$2:$S$4000,0))*Settings!$B$25,NA()))</f>
        <v/>
      </c>
      <c r="AI191" s="19">
        <f>IF(NOT(ISNUMBER($A191)),NA(),IFERROR(INDEX(BBG_Data!$V$2:$V$4000,MATCH($A191,BBG_Data!$U$2:$U$4000,0))*Settings!$B$25,NA()))</f>
        <v/>
      </c>
      <c r="AJ191" s="19">
        <f>IF(NOT(ISNUMBER($A191)),NA(),IFERROR(1*INDEX(BBG_Data!$X$2:$X$4000,MATCH($A191,BBG_Data!$W$2:$W$4000,0)),NA()))</f>
        <v/>
      </c>
      <c r="AK191" s="19">
        <f>IF(NOT(ISNUMBER($A191)),NA(),IFERROR(1*INDEX(BBG_Data!$Z$2:$Z$4000,MATCH($A191,BBG_Data!$Y$2:$Y$4000,0)),NA()))</f>
        <v/>
      </c>
    </row>
    <row r="192">
      <c r="A192" s="17">
        <f>IF(ISNUMBER(BBG_Data!A192),BBG_Data!A192,"")</f>
        <v/>
      </c>
      <c r="B192" s="18">
        <f>IF(AND(ISNUMBER($A192),ISNUMBER(BBG_Data!B192)),BBG_Data!B192,NA())</f>
        <v/>
      </c>
      <c r="C192" s="18">
        <f>IF(NOT(ISNUMBER($A192)),NA(),IFERROR(1*INDEX(BBG_Data!$D$2:$D$4000,MATCH($A192,BBG_Data!$C$2:$C$4000,0)),NA()))</f>
        <v/>
      </c>
      <c r="D192" s="19">
        <f>IF(NOT(ISNUMBER($A192)),NA(),IFERROR(1*INDEX(BBG_Data!$F$2:$F$4000,MATCH($A192,BBG_Data!$E$2:$E$4000,0)),NA()))</f>
        <v/>
      </c>
      <c r="E192" s="19">
        <f>IF(NOT(ISNUMBER($A192)),NA(),IFERROR(1*INDEX(BBG_Data!$H$2:$H$4000,MATCH($A192,BBG_Data!$G$2:$G$4000,0)),NA()))</f>
        <v/>
      </c>
      <c r="F192" s="20">
        <f>IF(AND(ISNUMBER(B192),ISNUMBER(B191)),IF(B192=B191,"",(B192-B191)*100),"")</f>
        <v/>
      </c>
      <c r="G192" s="20">
        <f>IF(AND(ISNUMBER(C192),ISNUMBER(C191)),IF(C192=C191,"",(C192-C191)*100),"")</f>
        <v/>
      </c>
      <c r="H192" s="20">
        <f>IF(OR(NOT(ISNUMBER($A192)),ROW()-2&lt;Settings!$B$11),NA(),IF(COUNT(OFFSET(F192,1-Settings!$B$11,0,Settings!$B$11,1))&lt;ROUNDUP(Settings!$B$11*Settings!$B$26,0),NA(),STDEV(OFFSET(F192,1-Settings!$B$11,0,Settings!$B$11,1))*SQRT(Settings!$B$13)))</f>
        <v/>
      </c>
      <c r="I192" s="20">
        <f>IF(OR(NOT(ISNUMBER($A192)),ROW()-2&lt;Settings!$B$12),NA(),IF(COUNT(OFFSET(F192,1-Settings!$B$12,0,Settings!$B$12,1))&lt;ROUNDUP(Settings!$B$12*Settings!$B$26,0),NA(),STDEV(OFFSET(F192,1-Settings!$B$12,0,Settings!$B$12,1))*SQRT(Settings!$B$13)))</f>
        <v/>
      </c>
      <c r="J192" s="20">
        <f>IF(OR(NOT(ISNUMBER($A192)),ROW()-2&lt;Settings!$B$11),NA(),IF(COUNT(OFFSET(G192,1-Settings!$B$11,0,Settings!$B$11,1))&lt;ROUNDUP(Settings!$B$11*Settings!$B$26,0),NA(),STDEV(OFFSET(G192,1-Settings!$B$11,0,Settings!$B$11,1))*SQRT(Settings!$B$13)))</f>
        <v/>
      </c>
      <c r="K192" s="20">
        <f>IF(OR(NOT(ISNUMBER($A192)),ROW()-2&lt;Settings!$B$12),NA(),IF(COUNT(OFFSET(G192,1-Settings!$B$12,0,Settings!$B$12,1))&lt;ROUNDUP(Settings!$B$12*Settings!$B$26,0),NA(),STDEV(OFFSET(G192,1-Settings!$B$12,0,Settings!$B$12,1))*SQRT(Settings!$B$13)))</f>
        <v/>
      </c>
      <c r="L192" s="20">
        <f>IF(AND(ISNUMBER(D192),ISNUMBER(H192)),D192-H192,NA())</f>
        <v/>
      </c>
      <c r="M192" s="20">
        <f>IF(AND(ISNUMBER(E192),ISNUMBER(K192)),E192-K192,NA())</f>
        <v/>
      </c>
      <c r="N192" s="20">
        <f>IF(NOT(ISNUMBER($A192)),NA(),IF(COUNT(OFFSET(G192,1,0,Settings!$B$12,1))&lt;ROUNDUP(Settings!$B$12*Settings!$B$26,0),NA(),STDEV(OFFSET(G192,1,0,Settings!$B$12,1))*SQRT(Settings!$B$13)))</f>
        <v/>
      </c>
      <c r="O192" s="20">
        <f>IF(AND(ISNUMBER(E192),ISNUMBER(N192)),E192-N192,NA())</f>
        <v/>
      </c>
      <c r="P192" s="19">
        <f>IF(NOT(ISNUMBER($A192)),NA(),IF(OR($A192&lt;MIN(KW_TP!$A$2:$A$2501),$A192&gt;MAX(KW_TP!$A$2:$A$2501)),NA(),INDEX(KW_TP!$C$2:$C$2501,MATCH($A192,KW_TP!$A$2:$A$2501,1))))</f>
        <v/>
      </c>
      <c r="Q192" s="18">
        <f>IF(NOT(ISNUMBER($A192)),NA(),IFERROR(1*INDEX(BBG_Data!$J$2:$J$4000,MATCH($A192,BBG_Data!$I$2:$I$4000,0)),NA()))</f>
        <v/>
      </c>
      <c r="R192" s="18">
        <f>IF(NOT(ISNUMBER($A192)),NA(),IFERROR(1*INDEX(BBG_Data!$L$2:$L$4000,MATCH($A192,BBG_Data!$K$2:$K$4000,0)),NA()))</f>
        <v/>
      </c>
      <c r="S192" s="20">
        <f>IF(AND(ISNUMBER(B192),ISNUMBER(Q192),ISNUMBER(R192)),(B192-Q192-R192)*100,NA())</f>
        <v/>
      </c>
      <c r="T192" s="20">
        <f>IF(AND(ISNUMBER(B192),Settings!$B$17&gt;0),IF(ISNUMBER(INDEX($B:$B,Settings!$B$17)),(B192-INDEX($B:$B,Settings!$B$17))*100,NA()),NA())</f>
        <v/>
      </c>
      <c r="U192" s="20">
        <f>IF(AND(ISNUMBER(Q192),Settings!$B$17&gt;0),IF(ISNUMBER(INDEX($Q:$Q,Settings!$B$17)),(Q192-INDEX($Q:$Q,Settings!$B$17))*100,NA()),NA())</f>
        <v/>
      </c>
      <c r="V192" s="20">
        <f>IF(AND(ISNUMBER(R192),Settings!$B$17&gt;0),IF(ISNUMBER(INDEX($R:$R,Settings!$B$17)),(R192-INDEX($R:$R,Settings!$B$17))*100,NA()),NA())</f>
        <v/>
      </c>
      <c r="W192" s="20">
        <f>IF(AND(ISNUMBER(P192),Settings!$B$17&gt;0),IF(ISNUMBER(INDEX($P:$P,Settings!$B$17)),P192-INDEX($P:$P,Settings!$B$17),NA()),NA())</f>
        <v/>
      </c>
      <c r="X192" s="19">
        <f>IF(NOT(ISNUMBER($A192)),NA(),IF(OR($A192&lt;MIN(DKW_10Y!$A$2:$A$2918),$A192&gt;MAX(DKW_10Y!$A$2:$A$2918),Settings!$B$16&lt;MIN(DKW_10Y!$A$2:$A$2918)),NA(),(INDEX(DKW_10Y!$B$2:$B$2918,MATCH($A192,DKW_10Y!$A$2:$A$2918,1))-INDEX(DKW_10Y!$B$2:$B$2918,MATCH(Settings!$B$16,DKW_10Y!$A$2:$A$2918,1)))*100))</f>
        <v/>
      </c>
      <c r="Y192" s="19">
        <f>IF(NOT(ISNUMBER($A192)),NA(),IF(OR($A192&lt;MIN(DKW_10Y!$A$2:$A$2918),$A192&gt;MAX(DKW_10Y!$A$2:$A$2918),Settings!$B$16&lt;MIN(DKW_10Y!$A$2:$A$2918)),NA(),(INDEX(DKW_10Y!$C$2:$C$2918,MATCH($A192,DKW_10Y!$A$2:$A$2918,1))-INDEX(DKW_10Y!$C$2:$C$2918,MATCH(Settings!$B$16,DKW_10Y!$A$2:$A$2918,1)))*100))</f>
        <v/>
      </c>
      <c r="Z192" s="19">
        <f>IF(NOT(ISNUMBER($A192)),NA(),IF(OR($A192&lt;MIN(DKW_10Y!$A$2:$A$2918),$A192&gt;MAX(DKW_10Y!$A$2:$A$2918),Settings!$B$16&lt;MIN(DKW_10Y!$A$2:$A$2918)),NA(),(INDEX(DKW_10Y!$D$2:$D$2918,MATCH($A192,DKW_10Y!$A$2:$A$2918,1))-INDEX(DKW_10Y!$D$2:$D$2918,MATCH(Settings!$B$16,DKW_10Y!$A$2:$A$2918,1)))*100))</f>
        <v/>
      </c>
      <c r="AA192" s="19">
        <f>IF(NOT(ISNUMBER($A192)),NA(),IF(OR($A192&lt;MIN(DKW_10Y!$A$2:$A$2918),$A192&gt;MAX(DKW_10Y!$A$2:$A$2918),Settings!$B$16&lt;MIN(DKW_10Y!$A$2:$A$2918)),NA(),(INDEX(DKW_10Y!$E$2:$E$2918,MATCH($A192,DKW_10Y!$A$2:$A$2918,1))-INDEX(DKW_10Y!$E$2:$E$2918,MATCH(Settings!$B$16,DKW_10Y!$A$2:$A$2918,1)))*100))</f>
        <v/>
      </c>
      <c r="AB192" s="19">
        <f>IF(NOT(ISNUMBER($A192)),NA(),IF(OR($A192&lt;MIN(DKW_10Y!$A$2:$A$2918),$A192&gt;MAX(DKW_10Y!$A$2:$A$2918),Settings!$B$16&lt;MIN(DKW_10Y!$A$2:$A$2918)),NA(),(INDEX(DKW_10Y!$H$2:$H$2918,MATCH($A192,DKW_10Y!$A$2:$A$2918,1))-INDEX(DKW_10Y!$H$2:$H$2918,MATCH(Settings!$B$16,DKW_10Y!$A$2:$A$2918,1)))*100))</f>
        <v/>
      </c>
      <c r="AC192" s="18">
        <f>IF(NOT(ISNUMBER($A192)),NA(),IFERROR(1*INDEX(BBG_Data!$N$2:$N$4000,MATCH($A192,BBG_Data!$M$2:$M$4000,0)),NA()))</f>
        <v/>
      </c>
      <c r="AD192" s="18">
        <f>IF(NOT(ISNUMBER($A192)),NA(),IFERROR(1*INDEX(BBG_Data!$P$2:$P$4000,MATCH($A192,BBG_Data!$O$2:$O$4000,0)),NA()))</f>
        <v/>
      </c>
      <c r="AE192" s="18">
        <f>IF(NOT(ISNUMBER($A192)),NA(),IFERROR(1*INDEX(BBG_Data!$R$2:$R$4000,MATCH($A192,BBG_Data!$Q$2:$Q$4000,0)),NA()))</f>
        <v/>
      </c>
      <c r="AF192" s="20">
        <f>IF(AND(ISNUMBER(B192),ISNUMBER(AC192)),(B192-AC192)*100,NA())</f>
        <v/>
      </c>
      <c r="AG192" s="20">
        <f>IF(AND(ISNUMBER(AE192),ISNUMBER(AD192)),(AE192-AD192)*100,NA())</f>
        <v/>
      </c>
      <c r="AH192" s="19">
        <f>IF(NOT(ISNUMBER($A192)),NA(),IFERROR(INDEX(BBG_Data!$T$2:$T$4000,MATCH($A192,BBG_Data!$S$2:$S$4000,0))*Settings!$B$25,NA()))</f>
        <v/>
      </c>
      <c r="AI192" s="19">
        <f>IF(NOT(ISNUMBER($A192)),NA(),IFERROR(INDEX(BBG_Data!$V$2:$V$4000,MATCH($A192,BBG_Data!$U$2:$U$4000,0))*Settings!$B$25,NA()))</f>
        <v/>
      </c>
      <c r="AJ192" s="19">
        <f>IF(NOT(ISNUMBER($A192)),NA(),IFERROR(1*INDEX(BBG_Data!$X$2:$X$4000,MATCH($A192,BBG_Data!$W$2:$W$4000,0)),NA()))</f>
        <v/>
      </c>
      <c r="AK192" s="19">
        <f>IF(NOT(ISNUMBER($A192)),NA(),IFERROR(1*INDEX(BBG_Data!$Z$2:$Z$4000,MATCH($A192,BBG_Data!$Y$2:$Y$4000,0)),NA()))</f>
        <v/>
      </c>
    </row>
    <row r="193">
      <c r="A193" s="17">
        <f>IF(ISNUMBER(BBG_Data!A193),BBG_Data!A193,"")</f>
        <v/>
      </c>
      <c r="B193" s="18">
        <f>IF(AND(ISNUMBER($A193),ISNUMBER(BBG_Data!B193)),BBG_Data!B193,NA())</f>
        <v/>
      </c>
      <c r="C193" s="18">
        <f>IF(NOT(ISNUMBER($A193)),NA(),IFERROR(1*INDEX(BBG_Data!$D$2:$D$4000,MATCH($A193,BBG_Data!$C$2:$C$4000,0)),NA()))</f>
        <v/>
      </c>
      <c r="D193" s="19">
        <f>IF(NOT(ISNUMBER($A193)),NA(),IFERROR(1*INDEX(BBG_Data!$F$2:$F$4000,MATCH($A193,BBG_Data!$E$2:$E$4000,0)),NA()))</f>
        <v/>
      </c>
      <c r="E193" s="19">
        <f>IF(NOT(ISNUMBER($A193)),NA(),IFERROR(1*INDEX(BBG_Data!$H$2:$H$4000,MATCH($A193,BBG_Data!$G$2:$G$4000,0)),NA()))</f>
        <v/>
      </c>
      <c r="F193" s="20">
        <f>IF(AND(ISNUMBER(B193),ISNUMBER(B192)),IF(B193=B192,"",(B193-B192)*100),"")</f>
        <v/>
      </c>
      <c r="G193" s="20">
        <f>IF(AND(ISNUMBER(C193),ISNUMBER(C192)),IF(C193=C192,"",(C193-C192)*100),"")</f>
        <v/>
      </c>
      <c r="H193" s="20">
        <f>IF(OR(NOT(ISNUMBER($A193)),ROW()-2&lt;Settings!$B$11),NA(),IF(COUNT(OFFSET(F193,1-Settings!$B$11,0,Settings!$B$11,1))&lt;ROUNDUP(Settings!$B$11*Settings!$B$26,0),NA(),STDEV(OFFSET(F193,1-Settings!$B$11,0,Settings!$B$11,1))*SQRT(Settings!$B$13)))</f>
        <v/>
      </c>
      <c r="I193" s="20">
        <f>IF(OR(NOT(ISNUMBER($A193)),ROW()-2&lt;Settings!$B$12),NA(),IF(COUNT(OFFSET(F193,1-Settings!$B$12,0,Settings!$B$12,1))&lt;ROUNDUP(Settings!$B$12*Settings!$B$26,0),NA(),STDEV(OFFSET(F193,1-Settings!$B$12,0,Settings!$B$12,1))*SQRT(Settings!$B$13)))</f>
        <v/>
      </c>
      <c r="J193" s="20">
        <f>IF(OR(NOT(ISNUMBER($A193)),ROW()-2&lt;Settings!$B$11),NA(),IF(COUNT(OFFSET(G193,1-Settings!$B$11,0,Settings!$B$11,1))&lt;ROUNDUP(Settings!$B$11*Settings!$B$26,0),NA(),STDEV(OFFSET(G193,1-Settings!$B$11,0,Settings!$B$11,1))*SQRT(Settings!$B$13)))</f>
        <v/>
      </c>
      <c r="K193" s="20">
        <f>IF(OR(NOT(ISNUMBER($A193)),ROW()-2&lt;Settings!$B$12),NA(),IF(COUNT(OFFSET(G193,1-Settings!$B$12,0,Settings!$B$12,1))&lt;ROUNDUP(Settings!$B$12*Settings!$B$26,0),NA(),STDEV(OFFSET(G193,1-Settings!$B$12,0,Settings!$B$12,1))*SQRT(Settings!$B$13)))</f>
        <v/>
      </c>
      <c r="L193" s="20">
        <f>IF(AND(ISNUMBER(D193),ISNUMBER(H193)),D193-H193,NA())</f>
        <v/>
      </c>
      <c r="M193" s="20">
        <f>IF(AND(ISNUMBER(E193),ISNUMBER(K193)),E193-K193,NA())</f>
        <v/>
      </c>
      <c r="N193" s="20">
        <f>IF(NOT(ISNUMBER($A193)),NA(),IF(COUNT(OFFSET(G193,1,0,Settings!$B$12,1))&lt;ROUNDUP(Settings!$B$12*Settings!$B$26,0),NA(),STDEV(OFFSET(G193,1,0,Settings!$B$12,1))*SQRT(Settings!$B$13)))</f>
        <v/>
      </c>
      <c r="O193" s="20">
        <f>IF(AND(ISNUMBER(E193),ISNUMBER(N193)),E193-N193,NA())</f>
        <v/>
      </c>
      <c r="P193" s="19">
        <f>IF(NOT(ISNUMBER($A193)),NA(),IF(OR($A193&lt;MIN(KW_TP!$A$2:$A$2501),$A193&gt;MAX(KW_TP!$A$2:$A$2501)),NA(),INDEX(KW_TP!$C$2:$C$2501,MATCH($A193,KW_TP!$A$2:$A$2501,1))))</f>
        <v/>
      </c>
      <c r="Q193" s="18">
        <f>IF(NOT(ISNUMBER($A193)),NA(),IFERROR(1*INDEX(BBG_Data!$J$2:$J$4000,MATCH($A193,BBG_Data!$I$2:$I$4000,0)),NA()))</f>
        <v/>
      </c>
      <c r="R193" s="18">
        <f>IF(NOT(ISNUMBER($A193)),NA(),IFERROR(1*INDEX(BBG_Data!$L$2:$L$4000,MATCH($A193,BBG_Data!$K$2:$K$4000,0)),NA()))</f>
        <v/>
      </c>
      <c r="S193" s="20">
        <f>IF(AND(ISNUMBER(B193),ISNUMBER(Q193),ISNUMBER(R193)),(B193-Q193-R193)*100,NA())</f>
        <v/>
      </c>
      <c r="T193" s="20">
        <f>IF(AND(ISNUMBER(B193),Settings!$B$17&gt;0),IF(ISNUMBER(INDEX($B:$B,Settings!$B$17)),(B193-INDEX($B:$B,Settings!$B$17))*100,NA()),NA())</f>
        <v/>
      </c>
      <c r="U193" s="20">
        <f>IF(AND(ISNUMBER(Q193),Settings!$B$17&gt;0),IF(ISNUMBER(INDEX($Q:$Q,Settings!$B$17)),(Q193-INDEX($Q:$Q,Settings!$B$17))*100,NA()),NA())</f>
        <v/>
      </c>
      <c r="V193" s="20">
        <f>IF(AND(ISNUMBER(R193),Settings!$B$17&gt;0),IF(ISNUMBER(INDEX($R:$R,Settings!$B$17)),(R193-INDEX($R:$R,Settings!$B$17))*100,NA()),NA())</f>
        <v/>
      </c>
      <c r="W193" s="20">
        <f>IF(AND(ISNUMBER(P193),Settings!$B$17&gt;0),IF(ISNUMBER(INDEX($P:$P,Settings!$B$17)),P193-INDEX($P:$P,Settings!$B$17),NA()),NA())</f>
        <v/>
      </c>
      <c r="X193" s="19">
        <f>IF(NOT(ISNUMBER($A193)),NA(),IF(OR($A193&lt;MIN(DKW_10Y!$A$2:$A$2918),$A193&gt;MAX(DKW_10Y!$A$2:$A$2918),Settings!$B$16&lt;MIN(DKW_10Y!$A$2:$A$2918)),NA(),(INDEX(DKW_10Y!$B$2:$B$2918,MATCH($A193,DKW_10Y!$A$2:$A$2918,1))-INDEX(DKW_10Y!$B$2:$B$2918,MATCH(Settings!$B$16,DKW_10Y!$A$2:$A$2918,1)))*100))</f>
        <v/>
      </c>
      <c r="Y193" s="19">
        <f>IF(NOT(ISNUMBER($A193)),NA(),IF(OR($A193&lt;MIN(DKW_10Y!$A$2:$A$2918),$A193&gt;MAX(DKW_10Y!$A$2:$A$2918),Settings!$B$16&lt;MIN(DKW_10Y!$A$2:$A$2918)),NA(),(INDEX(DKW_10Y!$C$2:$C$2918,MATCH($A193,DKW_10Y!$A$2:$A$2918,1))-INDEX(DKW_10Y!$C$2:$C$2918,MATCH(Settings!$B$16,DKW_10Y!$A$2:$A$2918,1)))*100))</f>
        <v/>
      </c>
      <c r="Z193" s="19">
        <f>IF(NOT(ISNUMBER($A193)),NA(),IF(OR($A193&lt;MIN(DKW_10Y!$A$2:$A$2918),$A193&gt;MAX(DKW_10Y!$A$2:$A$2918),Settings!$B$16&lt;MIN(DKW_10Y!$A$2:$A$2918)),NA(),(INDEX(DKW_10Y!$D$2:$D$2918,MATCH($A193,DKW_10Y!$A$2:$A$2918,1))-INDEX(DKW_10Y!$D$2:$D$2918,MATCH(Settings!$B$16,DKW_10Y!$A$2:$A$2918,1)))*100))</f>
        <v/>
      </c>
      <c r="AA193" s="19">
        <f>IF(NOT(ISNUMBER($A193)),NA(),IF(OR($A193&lt;MIN(DKW_10Y!$A$2:$A$2918),$A193&gt;MAX(DKW_10Y!$A$2:$A$2918),Settings!$B$16&lt;MIN(DKW_10Y!$A$2:$A$2918)),NA(),(INDEX(DKW_10Y!$E$2:$E$2918,MATCH($A193,DKW_10Y!$A$2:$A$2918,1))-INDEX(DKW_10Y!$E$2:$E$2918,MATCH(Settings!$B$16,DKW_10Y!$A$2:$A$2918,1)))*100))</f>
        <v/>
      </c>
      <c r="AB193" s="19">
        <f>IF(NOT(ISNUMBER($A193)),NA(),IF(OR($A193&lt;MIN(DKW_10Y!$A$2:$A$2918),$A193&gt;MAX(DKW_10Y!$A$2:$A$2918),Settings!$B$16&lt;MIN(DKW_10Y!$A$2:$A$2918)),NA(),(INDEX(DKW_10Y!$H$2:$H$2918,MATCH($A193,DKW_10Y!$A$2:$A$2918,1))-INDEX(DKW_10Y!$H$2:$H$2918,MATCH(Settings!$B$16,DKW_10Y!$A$2:$A$2918,1)))*100))</f>
        <v/>
      </c>
      <c r="AC193" s="18">
        <f>IF(NOT(ISNUMBER($A193)),NA(),IFERROR(1*INDEX(BBG_Data!$N$2:$N$4000,MATCH($A193,BBG_Data!$M$2:$M$4000,0)),NA()))</f>
        <v/>
      </c>
      <c r="AD193" s="18">
        <f>IF(NOT(ISNUMBER($A193)),NA(),IFERROR(1*INDEX(BBG_Data!$P$2:$P$4000,MATCH($A193,BBG_Data!$O$2:$O$4000,0)),NA()))</f>
        <v/>
      </c>
      <c r="AE193" s="18">
        <f>IF(NOT(ISNUMBER($A193)),NA(),IFERROR(1*INDEX(BBG_Data!$R$2:$R$4000,MATCH($A193,BBG_Data!$Q$2:$Q$4000,0)),NA()))</f>
        <v/>
      </c>
      <c r="AF193" s="20">
        <f>IF(AND(ISNUMBER(B193),ISNUMBER(AC193)),(B193-AC193)*100,NA())</f>
        <v/>
      </c>
      <c r="AG193" s="20">
        <f>IF(AND(ISNUMBER(AE193),ISNUMBER(AD193)),(AE193-AD193)*100,NA())</f>
        <v/>
      </c>
      <c r="AH193" s="19">
        <f>IF(NOT(ISNUMBER($A193)),NA(),IFERROR(INDEX(BBG_Data!$T$2:$T$4000,MATCH($A193,BBG_Data!$S$2:$S$4000,0))*Settings!$B$25,NA()))</f>
        <v/>
      </c>
      <c r="AI193" s="19">
        <f>IF(NOT(ISNUMBER($A193)),NA(),IFERROR(INDEX(BBG_Data!$V$2:$V$4000,MATCH($A193,BBG_Data!$U$2:$U$4000,0))*Settings!$B$25,NA()))</f>
        <v/>
      </c>
      <c r="AJ193" s="19">
        <f>IF(NOT(ISNUMBER($A193)),NA(),IFERROR(1*INDEX(BBG_Data!$X$2:$X$4000,MATCH($A193,BBG_Data!$W$2:$W$4000,0)),NA()))</f>
        <v/>
      </c>
      <c r="AK193" s="19">
        <f>IF(NOT(ISNUMBER($A193)),NA(),IFERROR(1*INDEX(BBG_Data!$Z$2:$Z$4000,MATCH($A193,BBG_Data!$Y$2:$Y$4000,0)),NA()))</f>
        <v/>
      </c>
    </row>
    <row r="194">
      <c r="A194" s="17">
        <f>IF(ISNUMBER(BBG_Data!A194),BBG_Data!A194,"")</f>
        <v/>
      </c>
      <c r="B194" s="18">
        <f>IF(AND(ISNUMBER($A194),ISNUMBER(BBG_Data!B194)),BBG_Data!B194,NA())</f>
        <v/>
      </c>
      <c r="C194" s="18">
        <f>IF(NOT(ISNUMBER($A194)),NA(),IFERROR(1*INDEX(BBG_Data!$D$2:$D$4000,MATCH($A194,BBG_Data!$C$2:$C$4000,0)),NA()))</f>
        <v/>
      </c>
      <c r="D194" s="19">
        <f>IF(NOT(ISNUMBER($A194)),NA(),IFERROR(1*INDEX(BBG_Data!$F$2:$F$4000,MATCH($A194,BBG_Data!$E$2:$E$4000,0)),NA()))</f>
        <v/>
      </c>
      <c r="E194" s="19">
        <f>IF(NOT(ISNUMBER($A194)),NA(),IFERROR(1*INDEX(BBG_Data!$H$2:$H$4000,MATCH($A194,BBG_Data!$G$2:$G$4000,0)),NA()))</f>
        <v/>
      </c>
      <c r="F194" s="20">
        <f>IF(AND(ISNUMBER(B194),ISNUMBER(B193)),IF(B194=B193,"",(B194-B193)*100),"")</f>
        <v/>
      </c>
      <c r="G194" s="20">
        <f>IF(AND(ISNUMBER(C194),ISNUMBER(C193)),IF(C194=C193,"",(C194-C193)*100),"")</f>
        <v/>
      </c>
      <c r="H194" s="20">
        <f>IF(OR(NOT(ISNUMBER($A194)),ROW()-2&lt;Settings!$B$11),NA(),IF(COUNT(OFFSET(F194,1-Settings!$B$11,0,Settings!$B$11,1))&lt;ROUNDUP(Settings!$B$11*Settings!$B$26,0),NA(),STDEV(OFFSET(F194,1-Settings!$B$11,0,Settings!$B$11,1))*SQRT(Settings!$B$13)))</f>
        <v/>
      </c>
      <c r="I194" s="20">
        <f>IF(OR(NOT(ISNUMBER($A194)),ROW()-2&lt;Settings!$B$12),NA(),IF(COUNT(OFFSET(F194,1-Settings!$B$12,0,Settings!$B$12,1))&lt;ROUNDUP(Settings!$B$12*Settings!$B$26,0),NA(),STDEV(OFFSET(F194,1-Settings!$B$12,0,Settings!$B$12,1))*SQRT(Settings!$B$13)))</f>
        <v/>
      </c>
      <c r="J194" s="20">
        <f>IF(OR(NOT(ISNUMBER($A194)),ROW()-2&lt;Settings!$B$11),NA(),IF(COUNT(OFFSET(G194,1-Settings!$B$11,0,Settings!$B$11,1))&lt;ROUNDUP(Settings!$B$11*Settings!$B$26,0),NA(),STDEV(OFFSET(G194,1-Settings!$B$11,0,Settings!$B$11,1))*SQRT(Settings!$B$13)))</f>
        <v/>
      </c>
      <c r="K194" s="20">
        <f>IF(OR(NOT(ISNUMBER($A194)),ROW()-2&lt;Settings!$B$12),NA(),IF(COUNT(OFFSET(G194,1-Settings!$B$12,0,Settings!$B$12,1))&lt;ROUNDUP(Settings!$B$12*Settings!$B$26,0),NA(),STDEV(OFFSET(G194,1-Settings!$B$12,0,Settings!$B$12,1))*SQRT(Settings!$B$13)))</f>
        <v/>
      </c>
      <c r="L194" s="20">
        <f>IF(AND(ISNUMBER(D194),ISNUMBER(H194)),D194-H194,NA())</f>
        <v/>
      </c>
      <c r="M194" s="20">
        <f>IF(AND(ISNUMBER(E194),ISNUMBER(K194)),E194-K194,NA())</f>
        <v/>
      </c>
      <c r="N194" s="20">
        <f>IF(NOT(ISNUMBER($A194)),NA(),IF(COUNT(OFFSET(G194,1,0,Settings!$B$12,1))&lt;ROUNDUP(Settings!$B$12*Settings!$B$26,0),NA(),STDEV(OFFSET(G194,1,0,Settings!$B$12,1))*SQRT(Settings!$B$13)))</f>
        <v/>
      </c>
      <c r="O194" s="20">
        <f>IF(AND(ISNUMBER(E194),ISNUMBER(N194)),E194-N194,NA())</f>
        <v/>
      </c>
      <c r="P194" s="19">
        <f>IF(NOT(ISNUMBER($A194)),NA(),IF(OR($A194&lt;MIN(KW_TP!$A$2:$A$2501),$A194&gt;MAX(KW_TP!$A$2:$A$2501)),NA(),INDEX(KW_TP!$C$2:$C$2501,MATCH($A194,KW_TP!$A$2:$A$2501,1))))</f>
        <v/>
      </c>
      <c r="Q194" s="18">
        <f>IF(NOT(ISNUMBER($A194)),NA(),IFERROR(1*INDEX(BBG_Data!$J$2:$J$4000,MATCH($A194,BBG_Data!$I$2:$I$4000,0)),NA()))</f>
        <v/>
      </c>
      <c r="R194" s="18">
        <f>IF(NOT(ISNUMBER($A194)),NA(),IFERROR(1*INDEX(BBG_Data!$L$2:$L$4000,MATCH($A194,BBG_Data!$K$2:$K$4000,0)),NA()))</f>
        <v/>
      </c>
      <c r="S194" s="20">
        <f>IF(AND(ISNUMBER(B194),ISNUMBER(Q194),ISNUMBER(R194)),(B194-Q194-R194)*100,NA())</f>
        <v/>
      </c>
      <c r="T194" s="20">
        <f>IF(AND(ISNUMBER(B194),Settings!$B$17&gt;0),IF(ISNUMBER(INDEX($B:$B,Settings!$B$17)),(B194-INDEX($B:$B,Settings!$B$17))*100,NA()),NA())</f>
        <v/>
      </c>
      <c r="U194" s="20">
        <f>IF(AND(ISNUMBER(Q194),Settings!$B$17&gt;0),IF(ISNUMBER(INDEX($Q:$Q,Settings!$B$17)),(Q194-INDEX($Q:$Q,Settings!$B$17))*100,NA()),NA())</f>
        <v/>
      </c>
      <c r="V194" s="20">
        <f>IF(AND(ISNUMBER(R194),Settings!$B$17&gt;0),IF(ISNUMBER(INDEX($R:$R,Settings!$B$17)),(R194-INDEX($R:$R,Settings!$B$17))*100,NA()),NA())</f>
        <v/>
      </c>
      <c r="W194" s="20">
        <f>IF(AND(ISNUMBER(P194),Settings!$B$17&gt;0),IF(ISNUMBER(INDEX($P:$P,Settings!$B$17)),P194-INDEX($P:$P,Settings!$B$17),NA()),NA())</f>
        <v/>
      </c>
      <c r="X194" s="19">
        <f>IF(NOT(ISNUMBER($A194)),NA(),IF(OR($A194&lt;MIN(DKW_10Y!$A$2:$A$2918),$A194&gt;MAX(DKW_10Y!$A$2:$A$2918),Settings!$B$16&lt;MIN(DKW_10Y!$A$2:$A$2918)),NA(),(INDEX(DKW_10Y!$B$2:$B$2918,MATCH($A194,DKW_10Y!$A$2:$A$2918,1))-INDEX(DKW_10Y!$B$2:$B$2918,MATCH(Settings!$B$16,DKW_10Y!$A$2:$A$2918,1)))*100))</f>
        <v/>
      </c>
      <c r="Y194" s="19">
        <f>IF(NOT(ISNUMBER($A194)),NA(),IF(OR($A194&lt;MIN(DKW_10Y!$A$2:$A$2918),$A194&gt;MAX(DKW_10Y!$A$2:$A$2918),Settings!$B$16&lt;MIN(DKW_10Y!$A$2:$A$2918)),NA(),(INDEX(DKW_10Y!$C$2:$C$2918,MATCH($A194,DKW_10Y!$A$2:$A$2918,1))-INDEX(DKW_10Y!$C$2:$C$2918,MATCH(Settings!$B$16,DKW_10Y!$A$2:$A$2918,1)))*100))</f>
        <v/>
      </c>
      <c r="Z194" s="19">
        <f>IF(NOT(ISNUMBER($A194)),NA(),IF(OR($A194&lt;MIN(DKW_10Y!$A$2:$A$2918),$A194&gt;MAX(DKW_10Y!$A$2:$A$2918),Settings!$B$16&lt;MIN(DKW_10Y!$A$2:$A$2918)),NA(),(INDEX(DKW_10Y!$D$2:$D$2918,MATCH($A194,DKW_10Y!$A$2:$A$2918,1))-INDEX(DKW_10Y!$D$2:$D$2918,MATCH(Settings!$B$16,DKW_10Y!$A$2:$A$2918,1)))*100))</f>
        <v/>
      </c>
      <c r="AA194" s="19">
        <f>IF(NOT(ISNUMBER($A194)),NA(),IF(OR($A194&lt;MIN(DKW_10Y!$A$2:$A$2918),$A194&gt;MAX(DKW_10Y!$A$2:$A$2918),Settings!$B$16&lt;MIN(DKW_10Y!$A$2:$A$2918)),NA(),(INDEX(DKW_10Y!$E$2:$E$2918,MATCH($A194,DKW_10Y!$A$2:$A$2918,1))-INDEX(DKW_10Y!$E$2:$E$2918,MATCH(Settings!$B$16,DKW_10Y!$A$2:$A$2918,1)))*100))</f>
        <v/>
      </c>
      <c r="AB194" s="19">
        <f>IF(NOT(ISNUMBER($A194)),NA(),IF(OR($A194&lt;MIN(DKW_10Y!$A$2:$A$2918),$A194&gt;MAX(DKW_10Y!$A$2:$A$2918),Settings!$B$16&lt;MIN(DKW_10Y!$A$2:$A$2918)),NA(),(INDEX(DKW_10Y!$H$2:$H$2918,MATCH($A194,DKW_10Y!$A$2:$A$2918,1))-INDEX(DKW_10Y!$H$2:$H$2918,MATCH(Settings!$B$16,DKW_10Y!$A$2:$A$2918,1)))*100))</f>
        <v/>
      </c>
      <c r="AC194" s="18">
        <f>IF(NOT(ISNUMBER($A194)),NA(),IFERROR(1*INDEX(BBG_Data!$N$2:$N$4000,MATCH($A194,BBG_Data!$M$2:$M$4000,0)),NA()))</f>
        <v/>
      </c>
      <c r="AD194" s="18">
        <f>IF(NOT(ISNUMBER($A194)),NA(),IFERROR(1*INDEX(BBG_Data!$P$2:$P$4000,MATCH($A194,BBG_Data!$O$2:$O$4000,0)),NA()))</f>
        <v/>
      </c>
      <c r="AE194" s="18">
        <f>IF(NOT(ISNUMBER($A194)),NA(),IFERROR(1*INDEX(BBG_Data!$R$2:$R$4000,MATCH($A194,BBG_Data!$Q$2:$Q$4000,0)),NA()))</f>
        <v/>
      </c>
      <c r="AF194" s="20">
        <f>IF(AND(ISNUMBER(B194),ISNUMBER(AC194)),(B194-AC194)*100,NA())</f>
        <v/>
      </c>
      <c r="AG194" s="20">
        <f>IF(AND(ISNUMBER(AE194),ISNUMBER(AD194)),(AE194-AD194)*100,NA())</f>
        <v/>
      </c>
      <c r="AH194" s="19">
        <f>IF(NOT(ISNUMBER($A194)),NA(),IFERROR(INDEX(BBG_Data!$T$2:$T$4000,MATCH($A194,BBG_Data!$S$2:$S$4000,0))*Settings!$B$25,NA()))</f>
        <v/>
      </c>
      <c r="AI194" s="19">
        <f>IF(NOT(ISNUMBER($A194)),NA(),IFERROR(INDEX(BBG_Data!$V$2:$V$4000,MATCH($A194,BBG_Data!$U$2:$U$4000,0))*Settings!$B$25,NA()))</f>
        <v/>
      </c>
      <c r="AJ194" s="19">
        <f>IF(NOT(ISNUMBER($A194)),NA(),IFERROR(1*INDEX(BBG_Data!$X$2:$X$4000,MATCH($A194,BBG_Data!$W$2:$W$4000,0)),NA()))</f>
        <v/>
      </c>
      <c r="AK194" s="19">
        <f>IF(NOT(ISNUMBER($A194)),NA(),IFERROR(1*INDEX(BBG_Data!$Z$2:$Z$4000,MATCH($A194,BBG_Data!$Y$2:$Y$4000,0)),NA()))</f>
        <v/>
      </c>
    </row>
    <row r="195">
      <c r="A195" s="17">
        <f>IF(ISNUMBER(BBG_Data!A195),BBG_Data!A195,"")</f>
        <v/>
      </c>
      <c r="B195" s="18">
        <f>IF(AND(ISNUMBER($A195),ISNUMBER(BBG_Data!B195)),BBG_Data!B195,NA())</f>
        <v/>
      </c>
      <c r="C195" s="18">
        <f>IF(NOT(ISNUMBER($A195)),NA(),IFERROR(1*INDEX(BBG_Data!$D$2:$D$4000,MATCH($A195,BBG_Data!$C$2:$C$4000,0)),NA()))</f>
        <v/>
      </c>
      <c r="D195" s="19">
        <f>IF(NOT(ISNUMBER($A195)),NA(),IFERROR(1*INDEX(BBG_Data!$F$2:$F$4000,MATCH($A195,BBG_Data!$E$2:$E$4000,0)),NA()))</f>
        <v/>
      </c>
      <c r="E195" s="19">
        <f>IF(NOT(ISNUMBER($A195)),NA(),IFERROR(1*INDEX(BBG_Data!$H$2:$H$4000,MATCH($A195,BBG_Data!$G$2:$G$4000,0)),NA()))</f>
        <v/>
      </c>
      <c r="F195" s="20">
        <f>IF(AND(ISNUMBER(B195),ISNUMBER(B194)),IF(B195=B194,"",(B195-B194)*100),"")</f>
        <v/>
      </c>
      <c r="G195" s="20">
        <f>IF(AND(ISNUMBER(C195),ISNUMBER(C194)),IF(C195=C194,"",(C195-C194)*100),"")</f>
        <v/>
      </c>
      <c r="H195" s="20">
        <f>IF(OR(NOT(ISNUMBER($A195)),ROW()-2&lt;Settings!$B$11),NA(),IF(COUNT(OFFSET(F195,1-Settings!$B$11,0,Settings!$B$11,1))&lt;ROUNDUP(Settings!$B$11*Settings!$B$26,0),NA(),STDEV(OFFSET(F195,1-Settings!$B$11,0,Settings!$B$11,1))*SQRT(Settings!$B$13)))</f>
        <v/>
      </c>
      <c r="I195" s="20">
        <f>IF(OR(NOT(ISNUMBER($A195)),ROW()-2&lt;Settings!$B$12),NA(),IF(COUNT(OFFSET(F195,1-Settings!$B$12,0,Settings!$B$12,1))&lt;ROUNDUP(Settings!$B$12*Settings!$B$26,0),NA(),STDEV(OFFSET(F195,1-Settings!$B$12,0,Settings!$B$12,1))*SQRT(Settings!$B$13)))</f>
        <v/>
      </c>
      <c r="J195" s="20">
        <f>IF(OR(NOT(ISNUMBER($A195)),ROW()-2&lt;Settings!$B$11),NA(),IF(COUNT(OFFSET(G195,1-Settings!$B$11,0,Settings!$B$11,1))&lt;ROUNDUP(Settings!$B$11*Settings!$B$26,0),NA(),STDEV(OFFSET(G195,1-Settings!$B$11,0,Settings!$B$11,1))*SQRT(Settings!$B$13)))</f>
        <v/>
      </c>
      <c r="K195" s="20">
        <f>IF(OR(NOT(ISNUMBER($A195)),ROW()-2&lt;Settings!$B$12),NA(),IF(COUNT(OFFSET(G195,1-Settings!$B$12,0,Settings!$B$12,1))&lt;ROUNDUP(Settings!$B$12*Settings!$B$26,0),NA(),STDEV(OFFSET(G195,1-Settings!$B$12,0,Settings!$B$12,1))*SQRT(Settings!$B$13)))</f>
        <v/>
      </c>
      <c r="L195" s="20">
        <f>IF(AND(ISNUMBER(D195),ISNUMBER(H195)),D195-H195,NA())</f>
        <v/>
      </c>
      <c r="M195" s="20">
        <f>IF(AND(ISNUMBER(E195),ISNUMBER(K195)),E195-K195,NA())</f>
        <v/>
      </c>
      <c r="N195" s="20">
        <f>IF(NOT(ISNUMBER($A195)),NA(),IF(COUNT(OFFSET(G195,1,0,Settings!$B$12,1))&lt;ROUNDUP(Settings!$B$12*Settings!$B$26,0),NA(),STDEV(OFFSET(G195,1,0,Settings!$B$12,1))*SQRT(Settings!$B$13)))</f>
        <v/>
      </c>
      <c r="O195" s="20">
        <f>IF(AND(ISNUMBER(E195),ISNUMBER(N195)),E195-N195,NA())</f>
        <v/>
      </c>
      <c r="P195" s="19">
        <f>IF(NOT(ISNUMBER($A195)),NA(),IF(OR($A195&lt;MIN(KW_TP!$A$2:$A$2501),$A195&gt;MAX(KW_TP!$A$2:$A$2501)),NA(),INDEX(KW_TP!$C$2:$C$2501,MATCH($A195,KW_TP!$A$2:$A$2501,1))))</f>
        <v/>
      </c>
      <c r="Q195" s="18">
        <f>IF(NOT(ISNUMBER($A195)),NA(),IFERROR(1*INDEX(BBG_Data!$J$2:$J$4000,MATCH($A195,BBG_Data!$I$2:$I$4000,0)),NA()))</f>
        <v/>
      </c>
      <c r="R195" s="18">
        <f>IF(NOT(ISNUMBER($A195)),NA(),IFERROR(1*INDEX(BBG_Data!$L$2:$L$4000,MATCH($A195,BBG_Data!$K$2:$K$4000,0)),NA()))</f>
        <v/>
      </c>
      <c r="S195" s="20">
        <f>IF(AND(ISNUMBER(B195),ISNUMBER(Q195),ISNUMBER(R195)),(B195-Q195-R195)*100,NA())</f>
        <v/>
      </c>
      <c r="T195" s="20">
        <f>IF(AND(ISNUMBER(B195),Settings!$B$17&gt;0),IF(ISNUMBER(INDEX($B:$B,Settings!$B$17)),(B195-INDEX($B:$B,Settings!$B$17))*100,NA()),NA())</f>
        <v/>
      </c>
      <c r="U195" s="20">
        <f>IF(AND(ISNUMBER(Q195),Settings!$B$17&gt;0),IF(ISNUMBER(INDEX($Q:$Q,Settings!$B$17)),(Q195-INDEX($Q:$Q,Settings!$B$17))*100,NA()),NA())</f>
        <v/>
      </c>
      <c r="V195" s="20">
        <f>IF(AND(ISNUMBER(R195),Settings!$B$17&gt;0),IF(ISNUMBER(INDEX($R:$R,Settings!$B$17)),(R195-INDEX($R:$R,Settings!$B$17))*100,NA()),NA())</f>
        <v/>
      </c>
      <c r="W195" s="20">
        <f>IF(AND(ISNUMBER(P195),Settings!$B$17&gt;0),IF(ISNUMBER(INDEX($P:$P,Settings!$B$17)),P195-INDEX($P:$P,Settings!$B$17),NA()),NA())</f>
        <v/>
      </c>
      <c r="X195" s="19">
        <f>IF(NOT(ISNUMBER($A195)),NA(),IF(OR($A195&lt;MIN(DKW_10Y!$A$2:$A$2918),$A195&gt;MAX(DKW_10Y!$A$2:$A$2918),Settings!$B$16&lt;MIN(DKW_10Y!$A$2:$A$2918)),NA(),(INDEX(DKW_10Y!$B$2:$B$2918,MATCH($A195,DKW_10Y!$A$2:$A$2918,1))-INDEX(DKW_10Y!$B$2:$B$2918,MATCH(Settings!$B$16,DKW_10Y!$A$2:$A$2918,1)))*100))</f>
        <v/>
      </c>
      <c r="Y195" s="19">
        <f>IF(NOT(ISNUMBER($A195)),NA(),IF(OR($A195&lt;MIN(DKW_10Y!$A$2:$A$2918),$A195&gt;MAX(DKW_10Y!$A$2:$A$2918),Settings!$B$16&lt;MIN(DKW_10Y!$A$2:$A$2918)),NA(),(INDEX(DKW_10Y!$C$2:$C$2918,MATCH($A195,DKW_10Y!$A$2:$A$2918,1))-INDEX(DKW_10Y!$C$2:$C$2918,MATCH(Settings!$B$16,DKW_10Y!$A$2:$A$2918,1)))*100))</f>
        <v/>
      </c>
      <c r="Z195" s="19">
        <f>IF(NOT(ISNUMBER($A195)),NA(),IF(OR($A195&lt;MIN(DKW_10Y!$A$2:$A$2918),$A195&gt;MAX(DKW_10Y!$A$2:$A$2918),Settings!$B$16&lt;MIN(DKW_10Y!$A$2:$A$2918)),NA(),(INDEX(DKW_10Y!$D$2:$D$2918,MATCH($A195,DKW_10Y!$A$2:$A$2918,1))-INDEX(DKW_10Y!$D$2:$D$2918,MATCH(Settings!$B$16,DKW_10Y!$A$2:$A$2918,1)))*100))</f>
        <v/>
      </c>
      <c r="AA195" s="19">
        <f>IF(NOT(ISNUMBER($A195)),NA(),IF(OR($A195&lt;MIN(DKW_10Y!$A$2:$A$2918),$A195&gt;MAX(DKW_10Y!$A$2:$A$2918),Settings!$B$16&lt;MIN(DKW_10Y!$A$2:$A$2918)),NA(),(INDEX(DKW_10Y!$E$2:$E$2918,MATCH($A195,DKW_10Y!$A$2:$A$2918,1))-INDEX(DKW_10Y!$E$2:$E$2918,MATCH(Settings!$B$16,DKW_10Y!$A$2:$A$2918,1)))*100))</f>
        <v/>
      </c>
      <c r="AB195" s="19">
        <f>IF(NOT(ISNUMBER($A195)),NA(),IF(OR($A195&lt;MIN(DKW_10Y!$A$2:$A$2918),$A195&gt;MAX(DKW_10Y!$A$2:$A$2918),Settings!$B$16&lt;MIN(DKW_10Y!$A$2:$A$2918)),NA(),(INDEX(DKW_10Y!$H$2:$H$2918,MATCH($A195,DKW_10Y!$A$2:$A$2918,1))-INDEX(DKW_10Y!$H$2:$H$2918,MATCH(Settings!$B$16,DKW_10Y!$A$2:$A$2918,1)))*100))</f>
        <v/>
      </c>
      <c r="AC195" s="18">
        <f>IF(NOT(ISNUMBER($A195)),NA(),IFERROR(1*INDEX(BBG_Data!$N$2:$N$4000,MATCH($A195,BBG_Data!$M$2:$M$4000,0)),NA()))</f>
        <v/>
      </c>
      <c r="AD195" s="18">
        <f>IF(NOT(ISNUMBER($A195)),NA(),IFERROR(1*INDEX(BBG_Data!$P$2:$P$4000,MATCH($A195,BBG_Data!$O$2:$O$4000,0)),NA()))</f>
        <v/>
      </c>
      <c r="AE195" s="18">
        <f>IF(NOT(ISNUMBER($A195)),NA(),IFERROR(1*INDEX(BBG_Data!$R$2:$R$4000,MATCH($A195,BBG_Data!$Q$2:$Q$4000,0)),NA()))</f>
        <v/>
      </c>
      <c r="AF195" s="20">
        <f>IF(AND(ISNUMBER(B195),ISNUMBER(AC195)),(B195-AC195)*100,NA())</f>
        <v/>
      </c>
      <c r="AG195" s="20">
        <f>IF(AND(ISNUMBER(AE195),ISNUMBER(AD195)),(AE195-AD195)*100,NA())</f>
        <v/>
      </c>
      <c r="AH195" s="19">
        <f>IF(NOT(ISNUMBER($A195)),NA(),IFERROR(INDEX(BBG_Data!$T$2:$T$4000,MATCH($A195,BBG_Data!$S$2:$S$4000,0))*Settings!$B$25,NA()))</f>
        <v/>
      </c>
      <c r="AI195" s="19">
        <f>IF(NOT(ISNUMBER($A195)),NA(),IFERROR(INDEX(BBG_Data!$V$2:$V$4000,MATCH($A195,BBG_Data!$U$2:$U$4000,0))*Settings!$B$25,NA()))</f>
        <v/>
      </c>
      <c r="AJ195" s="19">
        <f>IF(NOT(ISNUMBER($A195)),NA(),IFERROR(1*INDEX(BBG_Data!$X$2:$X$4000,MATCH($A195,BBG_Data!$W$2:$W$4000,0)),NA()))</f>
        <v/>
      </c>
      <c r="AK195" s="19">
        <f>IF(NOT(ISNUMBER($A195)),NA(),IFERROR(1*INDEX(BBG_Data!$Z$2:$Z$4000,MATCH($A195,BBG_Data!$Y$2:$Y$4000,0)),NA()))</f>
        <v/>
      </c>
    </row>
    <row r="196">
      <c r="A196" s="17">
        <f>IF(ISNUMBER(BBG_Data!A196),BBG_Data!A196,"")</f>
        <v/>
      </c>
      <c r="B196" s="18">
        <f>IF(AND(ISNUMBER($A196),ISNUMBER(BBG_Data!B196)),BBG_Data!B196,NA())</f>
        <v/>
      </c>
      <c r="C196" s="18">
        <f>IF(NOT(ISNUMBER($A196)),NA(),IFERROR(1*INDEX(BBG_Data!$D$2:$D$4000,MATCH($A196,BBG_Data!$C$2:$C$4000,0)),NA()))</f>
        <v/>
      </c>
      <c r="D196" s="19">
        <f>IF(NOT(ISNUMBER($A196)),NA(),IFERROR(1*INDEX(BBG_Data!$F$2:$F$4000,MATCH($A196,BBG_Data!$E$2:$E$4000,0)),NA()))</f>
        <v/>
      </c>
      <c r="E196" s="19">
        <f>IF(NOT(ISNUMBER($A196)),NA(),IFERROR(1*INDEX(BBG_Data!$H$2:$H$4000,MATCH($A196,BBG_Data!$G$2:$G$4000,0)),NA()))</f>
        <v/>
      </c>
      <c r="F196" s="20">
        <f>IF(AND(ISNUMBER(B196),ISNUMBER(B195)),IF(B196=B195,"",(B196-B195)*100),"")</f>
        <v/>
      </c>
      <c r="G196" s="20">
        <f>IF(AND(ISNUMBER(C196),ISNUMBER(C195)),IF(C196=C195,"",(C196-C195)*100),"")</f>
        <v/>
      </c>
      <c r="H196" s="20">
        <f>IF(OR(NOT(ISNUMBER($A196)),ROW()-2&lt;Settings!$B$11),NA(),IF(COUNT(OFFSET(F196,1-Settings!$B$11,0,Settings!$B$11,1))&lt;ROUNDUP(Settings!$B$11*Settings!$B$26,0),NA(),STDEV(OFFSET(F196,1-Settings!$B$11,0,Settings!$B$11,1))*SQRT(Settings!$B$13)))</f>
        <v/>
      </c>
      <c r="I196" s="20">
        <f>IF(OR(NOT(ISNUMBER($A196)),ROW()-2&lt;Settings!$B$12),NA(),IF(COUNT(OFFSET(F196,1-Settings!$B$12,0,Settings!$B$12,1))&lt;ROUNDUP(Settings!$B$12*Settings!$B$26,0),NA(),STDEV(OFFSET(F196,1-Settings!$B$12,0,Settings!$B$12,1))*SQRT(Settings!$B$13)))</f>
        <v/>
      </c>
      <c r="J196" s="20">
        <f>IF(OR(NOT(ISNUMBER($A196)),ROW()-2&lt;Settings!$B$11),NA(),IF(COUNT(OFFSET(G196,1-Settings!$B$11,0,Settings!$B$11,1))&lt;ROUNDUP(Settings!$B$11*Settings!$B$26,0),NA(),STDEV(OFFSET(G196,1-Settings!$B$11,0,Settings!$B$11,1))*SQRT(Settings!$B$13)))</f>
        <v/>
      </c>
      <c r="K196" s="20">
        <f>IF(OR(NOT(ISNUMBER($A196)),ROW()-2&lt;Settings!$B$12),NA(),IF(COUNT(OFFSET(G196,1-Settings!$B$12,0,Settings!$B$12,1))&lt;ROUNDUP(Settings!$B$12*Settings!$B$26,0),NA(),STDEV(OFFSET(G196,1-Settings!$B$12,0,Settings!$B$12,1))*SQRT(Settings!$B$13)))</f>
        <v/>
      </c>
      <c r="L196" s="20">
        <f>IF(AND(ISNUMBER(D196),ISNUMBER(H196)),D196-H196,NA())</f>
        <v/>
      </c>
      <c r="M196" s="20">
        <f>IF(AND(ISNUMBER(E196),ISNUMBER(K196)),E196-K196,NA())</f>
        <v/>
      </c>
      <c r="N196" s="20">
        <f>IF(NOT(ISNUMBER($A196)),NA(),IF(COUNT(OFFSET(G196,1,0,Settings!$B$12,1))&lt;ROUNDUP(Settings!$B$12*Settings!$B$26,0),NA(),STDEV(OFFSET(G196,1,0,Settings!$B$12,1))*SQRT(Settings!$B$13)))</f>
        <v/>
      </c>
      <c r="O196" s="20">
        <f>IF(AND(ISNUMBER(E196),ISNUMBER(N196)),E196-N196,NA())</f>
        <v/>
      </c>
      <c r="P196" s="19">
        <f>IF(NOT(ISNUMBER($A196)),NA(),IF(OR($A196&lt;MIN(KW_TP!$A$2:$A$2501),$A196&gt;MAX(KW_TP!$A$2:$A$2501)),NA(),INDEX(KW_TP!$C$2:$C$2501,MATCH($A196,KW_TP!$A$2:$A$2501,1))))</f>
        <v/>
      </c>
      <c r="Q196" s="18">
        <f>IF(NOT(ISNUMBER($A196)),NA(),IFERROR(1*INDEX(BBG_Data!$J$2:$J$4000,MATCH($A196,BBG_Data!$I$2:$I$4000,0)),NA()))</f>
        <v/>
      </c>
      <c r="R196" s="18">
        <f>IF(NOT(ISNUMBER($A196)),NA(),IFERROR(1*INDEX(BBG_Data!$L$2:$L$4000,MATCH($A196,BBG_Data!$K$2:$K$4000,0)),NA()))</f>
        <v/>
      </c>
      <c r="S196" s="20">
        <f>IF(AND(ISNUMBER(B196),ISNUMBER(Q196),ISNUMBER(R196)),(B196-Q196-R196)*100,NA())</f>
        <v/>
      </c>
      <c r="T196" s="20">
        <f>IF(AND(ISNUMBER(B196),Settings!$B$17&gt;0),IF(ISNUMBER(INDEX($B:$B,Settings!$B$17)),(B196-INDEX($B:$B,Settings!$B$17))*100,NA()),NA())</f>
        <v/>
      </c>
      <c r="U196" s="20">
        <f>IF(AND(ISNUMBER(Q196),Settings!$B$17&gt;0),IF(ISNUMBER(INDEX($Q:$Q,Settings!$B$17)),(Q196-INDEX($Q:$Q,Settings!$B$17))*100,NA()),NA())</f>
        <v/>
      </c>
      <c r="V196" s="20">
        <f>IF(AND(ISNUMBER(R196),Settings!$B$17&gt;0),IF(ISNUMBER(INDEX($R:$R,Settings!$B$17)),(R196-INDEX($R:$R,Settings!$B$17))*100,NA()),NA())</f>
        <v/>
      </c>
      <c r="W196" s="20">
        <f>IF(AND(ISNUMBER(P196),Settings!$B$17&gt;0),IF(ISNUMBER(INDEX($P:$P,Settings!$B$17)),P196-INDEX($P:$P,Settings!$B$17),NA()),NA())</f>
        <v/>
      </c>
      <c r="X196" s="19">
        <f>IF(NOT(ISNUMBER($A196)),NA(),IF(OR($A196&lt;MIN(DKW_10Y!$A$2:$A$2918),$A196&gt;MAX(DKW_10Y!$A$2:$A$2918),Settings!$B$16&lt;MIN(DKW_10Y!$A$2:$A$2918)),NA(),(INDEX(DKW_10Y!$B$2:$B$2918,MATCH($A196,DKW_10Y!$A$2:$A$2918,1))-INDEX(DKW_10Y!$B$2:$B$2918,MATCH(Settings!$B$16,DKW_10Y!$A$2:$A$2918,1)))*100))</f>
        <v/>
      </c>
      <c r="Y196" s="19">
        <f>IF(NOT(ISNUMBER($A196)),NA(),IF(OR($A196&lt;MIN(DKW_10Y!$A$2:$A$2918),$A196&gt;MAX(DKW_10Y!$A$2:$A$2918),Settings!$B$16&lt;MIN(DKW_10Y!$A$2:$A$2918)),NA(),(INDEX(DKW_10Y!$C$2:$C$2918,MATCH($A196,DKW_10Y!$A$2:$A$2918,1))-INDEX(DKW_10Y!$C$2:$C$2918,MATCH(Settings!$B$16,DKW_10Y!$A$2:$A$2918,1)))*100))</f>
        <v/>
      </c>
      <c r="Z196" s="19">
        <f>IF(NOT(ISNUMBER($A196)),NA(),IF(OR($A196&lt;MIN(DKW_10Y!$A$2:$A$2918),$A196&gt;MAX(DKW_10Y!$A$2:$A$2918),Settings!$B$16&lt;MIN(DKW_10Y!$A$2:$A$2918)),NA(),(INDEX(DKW_10Y!$D$2:$D$2918,MATCH($A196,DKW_10Y!$A$2:$A$2918,1))-INDEX(DKW_10Y!$D$2:$D$2918,MATCH(Settings!$B$16,DKW_10Y!$A$2:$A$2918,1)))*100))</f>
        <v/>
      </c>
      <c r="AA196" s="19">
        <f>IF(NOT(ISNUMBER($A196)),NA(),IF(OR($A196&lt;MIN(DKW_10Y!$A$2:$A$2918),$A196&gt;MAX(DKW_10Y!$A$2:$A$2918),Settings!$B$16&lt;MIN(DKW_10Y!$A$2:$A$2918)),NA(),(INDEX(DKW_10Y!$E$2:$E$2918,MATCH($A196,DKW_10Y!$A$2:$A$2918,1))-INDEX(DKW_10Y!$E$2:$E$2918,MATCH(Settings!$B$16,DKW_10Y!$A$2:$A$2918,1)))*100))</f>
        <v/>
      </c>
      <c r="AB196" s="19">
        <f>IF(NOT(ISNUMBER($A196)),NA(),IF(OR($A196&lt;MIN(DKW_10Y!$A$2:$A$2918),$A196&gt;MAX(DKW_10Y!$A$2:$A$2918),Settings!$B$16&lt;MIN(DKW_10Y!$A$2:$A$2918)),NA(),(INDEX(DKW_10Y!$H$2:$H$2918,MATCH($A196,DKW_10Y!$A$2:$A$2918,1))-INDEX(DKW_10Y!$H$2:$H$2918,MATCH(Settings!$B$16,DKW_10Y!$A$2:$A$2918,1)))*100))</f>
        <v/>
      </c>
      <c r="AC196" s="18">
        <f>IF(NOT(ISNUMBER($A196)),NA(),IFERROR(1*INDEX(BBG_Data!$N$2:$N$4000,MATCH($A196,BBG_Data!$M$2:$M$4000,0)),NA()))</f>
        <v/>
      </c>
      <c r="AD196" s="18">
        <f>IF(NOT(ISNUMBER($A196)),NA(),IFERROR(1*INDEX(BBG_Data!$P$2:$P$4000,MATCH($A196,BBG_Data!$O$2:$O$4000,0)),NA()))</f>
        <v/>
      </c>
      <c r="AE196" s="18">
        <f>IF(NOT(ISNUMBER($A196)),NA(),IFERROR(1*INDEX(BBG_Data!$R$2:$R$4000,MATCH($A196,BBG_Data!$Q$2:$Q$4000,0)),NA()))</f>
        <v/>
      </c>
      <c r="AF196" s="20">
        <f>IF(AND(ISNUMBER(B196),ISNUMBER(AC196)),(B196-AC196)*100,NA())</f>
        <v/>
      </c>
      <c r="AG196" s="20">
        <f>IF(AND(ISNUMBER(AE196),ISNUMBER(AD196)),(AE196-AD196)*100,NA())</f>
        <v/>
      </c>
      <c r="AH196" s="19">
        <f>IF(NOT(ISNUMBER($A196)),NA(),IFERROR(INDEX(BBG_Data!$T$2:$T$4000,MATCH($A196,BBG_Data!$S$2:$S$4000,0))*Settings!$B$25,NA()))</f>
        <v/>
      </c>
      <c r="AI196" s="19">
        <f>IF(NOT(ISNUMBER($A196)),NA(),IFERROR(INDEX(BBG_Data!$V$2:$V$4000,MATCH($A196,BBG_Data!$U$2:$U$4000,0))*Settings!$B$25,NA()))</f>
        <v/>
      </c>
      <c r="AJ196" s="19">
        <f>IF(NOT(ISNUMBER($A196)),NA(),IFERROR(1*INDEX(BBG_Data!$X$2:$X$4000,MATCH($A196,BBG_Data!$W$2:$W$4000,0)),NA()))</f>
        <v/>
      </c>
      <c r="AK196" s="19">
        <f>IF(NOT(ISNUMBER($A196)),NA(),IFERROR(1*INDEX(BBG_Data!$Z$2:$Z$4000,MATCH($A196,BBG_Data!$Y$2:$Y$4000,0)),NA()))</f>
        <v/>
      </c>
    </row>
    <row r="197">
      <c r="A197" s="17">
        <f>IF(ISNUMBER(BBG_Data!A197),BBG_Data!A197,"")</f>
        <v/>
      </c>
      <c r="B197" s="18">
        <f>IF(AND(ISNUMBER($A197),ISNUMBER(BBG_Data!B197)),BBG_Data!B197,NA())</f>
        <v/>
      </c>
      <c r="C197" s="18">
        <f>IF(NOT(ISNUMBER($A197)),NA(),IFERROR(1*INDEX(BBG_Data!$D$2:$D$4000,MATCH($A197,BBG_Data!$C$2:$C$4000,0)),NA()))</f>
        <v/>
      </c>
      <c r="D197" s="19">
        <f>IF(NOT(ISNUMBER($A197)),NA(),IFERROR(1*INDEX(BBG_Data!$F$2:$F$4000,MATCH($A197,BBG_Data!$E$2:$E$4000,0)),NA()))</f>
        <v/>
      </c>
      <c r="E197" s="19">
        <f>IF(NOT(ISNUMBER($A197)),NA(),IFERROR(1*INDEX(BBG_Data!$H$2:$H$4000,MATCH($A197,BBG_Data!$G$2:$G$4000,0)),NA()))</f>
        <v/>
      </c>
      <c r="F197" s="20">
        <f>IF(AND(ISNUMBER(B197),ISNUMBER(B196)),IF(B197=B196,"",(B197-B196)*100),"")</f>
        <v/>
      </c>
      <c r="G197" s="20">
        <f>IF(AND(ISNUMBER(C197),ISNUMBER(C196)),IF(C197=C196,"",(C197-C196)*100),"")</f>
        <v/>
      </c>
      <c r="H197" s="20">
        <f>IF(OR(NOT(ISNUMBER($A197)),ROW()-2&lt;Settings!$B$11),NA(),IF(COUNT(OFFSET(F197,1-Settings!$B$11,0,Settings!$B$11,1))&lt;ROUNDUP(Settings!$B$11*Settings!$B$26,0),NA(),STDEV(OFFSET(F197,1-Settings!$B$11,0,Settings!$B$11,1))*SQRT(Settings!$B$13)))</f>
        <v/>
      </c>
      <c r="I197" s="20">
        <f>IF(OR(NOT(ISNUMBER($A197)),ROW()-2&lt;Settings!$B$12),NA(),IF(COUNT(OFFSET(F197,1-Settings!$B$12,0,Settings!$B$12,1))&lt;ROUNDUP(Settings!$B$12*Settings!$B$26,0),NA(),STDEV(OFFSET(F197,1-Settings!$B$12,0,Settings!$B$12,1))*SQRT(Settings!$B$13)))</f>
        <v/>
      </c>
      <c r="J197" s="20">
        <f>IF(OR(NOT(ISNUMBER($A197)),ROW()-2&lt;Settings!$B$11),NA(),IF(COUNT(OFFSET(G197,1-Settings!$B$11,0,Settings!$B$11,1))&lt;ROUNDUP(Settings!$B$11*Settings!$B$26,0),NA(),STDEV(OFFSET(G197,1-Settings!$B$11,0,Settings!$B$11,1))*SQRT(Settings!$B$13)))</f>
        <v/>
      </c>
      <c r="K197" s="20">
        <f>IF(OR(NOT(ISNUMBER($A197)),ROW()-2&lt;Settings!$B$12),NA(),IF(COUNT(OFFSET(G197,1-Settings!$B$12,0,Settings!$B$12,1))&lt;ROUNDUP(Settings!$B$12*Settings!$B$26,0),NA(),STDEV(OFFSET(G197,1-Settings!$B$12,0,Settings!$B$12,1))*SQRT(Settings!$B$13)))</f>
        <v/>
      </c>
      <c r="L197" s="20">
        <f>IF(AND(ISNUMBER(D197),ISNUMBER(H197)),D197-H197,NA())</f>
        <v/>
      </c>
      <c r="M197" s="20">
        <f>IF(AND(ISNUMBER(E197),ISNUMBER(K197)),E197-K197,NA())</f>
        <v/>
      </c>
      <c r="N197" s="20">
        <f>IF(NOT(ISNUMBER($A197)),NA(),IF(COUNT(OFFSET(G197,1,0,Settings!$B$12,1))&lt;ROUNDUP(Settings!$B$12*Settings!$B$26,0),NA(),STDEV(OFFSET(G197,1,0,Settings!$B$12,1))*SQRT(Settings!$B$13)))</f>
        <v/>
      </c>
      <c r="O197" s="20">
        <f>IF(AND(ISNUMBER(E197),ISNUMBER(N197)),E197-N197,NA())</f>
        <v/>
      </c>
      <c r="P197" s="19">
        <f>IF(NOT(ISNUMBER($A197)),NA(),IF(OR($A197&lt;MIN(KW_TP!$A$2:$A$2501),$A197&gt;MAX(KW_TP!$A$2:$A$2501)),NA(),INDEX(KW_TP!$C$2:$C$2501,MATCH($A197,KW_TP!$A$2:$A$2501,1))))</f>
        <v/>
      </c>
      <c r="Q197" s="18">
        <f>IF(NOT(ISNUMBER($A197)),NA(),IFERROR(1*INDEX(BBG_Data!$J$2:$J$4000,MATCH($A197,BBG_Data!$I$2:$I$4000,0)),NA()))</f>
        <v/>
      </c>
      <c r="R197" s="18">
        <f>IF(NOT(ISNUMBER($A197)),NA(),IFERROR(1*INDEX(BBG_Data!$L$2:$L$4000,MATCH($A197,BBG_Data!$K$2:$K$4000,0)),NA()))</f>
        <v/>
      </c>
      <c r="S197" s="20">
        <f>IF(AND(ISNUMBER(B197),ISNUMBER(Q197),ISNUMBER(R197)),(B197-Q197-R197)*100,NA())</f>
        <v/>
      </c>
      <c r="T197" s="20">
        <f>IF(AND(ISNUMBER(B197),Settings!$B$17&gt;0),IF(ISNUMBER(INDEX($B:$B,Settings!$B$17)),(B197-INDEX($B:$B,Settings!$B$17))*100,NA()),NA())</f>
        <v/>
      </c>
      <c r="U197" s="20">
        <f>IF(AND(ISNUMBER(Q197),Settings!$B$17&gt;0),IF(ISNUMBER(INDEX($Q:$Q,Settings!$B$17)),(Q197-INDEX($Q:$Q,Settings!$B$17))*100,NA()),NA())</f>
        <v/>
      </c>
      <c r="V197" s="20">
        <f>IF(AND(ISNUMBER(R197),Settings!$B$17&gt;0),IF(ISNUMBER(INDEX($R:$R,Settings!$B$17)),(R197-INDEX($R:$R,Settings!$B$17))*100,NA()),NA())</f>
        <v/>
      </c>
      <c r="W197" s="20">
        <f>IF(AND(ISNUMBER(P197),Settings!$B$17&gt;0),IF(ISNUMBER(INDEX($P:$P,Settings!$B$17)),P197-INDEX($P:$P,Settings!$B$17),NA()),NA())</f>
        <v/>
      </c>
      <c r="X197" s="19">
        <f>IF(NOT(ISNUMBER($A197)),NA(),IF(OR($A197&lt;MIN(DKW_10Y!$A$2:$A$2918),$A197&gt;MAX(DKW_10Y!$A$2:$A$2918),Settings!$B$16&lt;MIN(DKW_10Y!$A$2:$A$2918)),NA(),(INDEX(DKW_10Y!$B$2:$B$2918,MATCH($A197,DKW_10Y!$A$2:$A$2918,1))-INDEX(DKW_10Y!$B$2:$B$2918,MATCH(Settings!$B$16,DKW_10Y!$A$2:$A$2918,1)))*100))</f>
        <v/>
      </c>
      <c r="Y197" s="19">
        <f>IF(NOT(ISNUMBER($A197)),NA(),IF(OR($A197&lt;MIN(DKW_10Y!$A$2:$A$2918),$A197&gt;MAX(DKW_10Y!$A$2:$A$2918),Settings!$B$16&lt;MIN(DKW_10Y!$A$2:$A$2918)),NA(),(INDEX(DKW_10Y!$C$2:$C$2918,MATCH($A197,DKW_10Y!$A$2:$A$2918,1))-INDEX(DKW_10Y!$C$2:$C$2918,MATCH(Settings!$B$16,DKW_10Y!$A$2:$A$2918,1)))*100))</f>
        <v/>
      </c>
      <c r="Z197" s="19">
        <f>IF(NOT(ISNUMBER($A197)),NA(),IF(OR($A197&lt;MIN(DKW_10Y!$A$2:$A$2918),$A197&gt;MAX(DKW_10Y!$A$2:$A$2918),Settings!$B$16&lt;MIN(DKW_10Y!$A$2:$A$2918)),NA(),(INDEX(DKW_10Y!$D$2:$D$2918,MATCH($A197,DKW_10Y!$A$2:$A$2918,1))-INDEX(DKW_10Y!$D$2:$D$2918,MATCH(Settings!$B$16,DKW_10Y!$A$2:$A$2918,1)))*100))</f>
        <v/>
      </c>
      <c r="AA197" s="19">
        <f>IF(NOT(ISNUMBER($A197)),NA(),IF(OR($A197&lt;MIN(DKW_10Y!$A$2:$A$2918),$A197&gt;MAX(DKW_10Y!$A$2:$A$2918),Settings!$B$16&lt;MIN(DKW_10Y!$A$2:$A$2918)),NA(),(INDEX(DKW_10Y!$E$2:$E$2918,MATCH($A197,DKW_10Y!$A$2:$A$2918,1))-INDEX(DKW_10Y!$E$2:$E$2918,MATCH(Settings!$B$16,DKW_10Y!$A$2:$A$2918,1)))*100))</f>
        <v/>
      </c>
      <c r="AB197" s="19">
        <f>IF(NOT(ISNUMBER($A197)),NA(),IF(OR($A197&lt;MIN(DKW_10Y!$A$2:$A$2918),$A197&gt;MAX(DKW_10Y!$A$2:$A$2918),Settings!$B$16&lt;MIN(DKW_10Y!$A$2:$A$2918)),NA(),(INDEX(DKW_10Y!$H$2:$H$2918,MATCH($A197,DKW_10Y!$A$2:$A$2918,1))-INDEX(DKW_10Y!$H$2:$H$2918,MATCH(Settings!$B$16,DKW_10Y!$A$2:$A$2918,1)))*100))</f>
        <v/>
      </c>
      <c r="AC197" s="18">
        <f>IF(NOT(ISNUMBER($A197)),NA(),IFERROR(1*INDEX(BBG_Data!$N$2:$N$4000,MATCH($A197,BBG_Data!$M$2:$M$4000,0)),NA()))</f>
        <v/>
      </c>
      <c r="AD197" s="18">
        <f>IF(NOT(ISNUMBER($A197)),NA(),IFERROR(1*INDEX(BBG_Data!$P$2:$P$4000,MATCH($A197,BBG_Data!$O$2:$O$4000,0)),NA()))</f>
        <v/>
      </c>
      <c r="AE197" s="18">
        <f>IF(NOT(ISNUMBER($A197)),NA(),IFERROR(1*INDEX(BBG_Data!$R$2:$R$4000,MATCH($A197,BBG_Data!$Q$2:$Q$4000,0)),NA()))</f>
        <v/>
      </c>
      <c r="AF197" s="20">
        <f>IF(AND(ISNUMBER(B197),ISNUMBER(AC197)),(B197-AC197)*100,NA())</f>
        <v/>
      </c>
      <c r="AG197" s="20">
        <f>IF(AND(ISNUMBER(AE197),ISNUMBER(AD197)),(AE197-AD197)*100,NA())</f>
        <v/>
      </c>
      <c r="AH197" s="19">
        <f>IF(NOT(ISNUMBER($A197)),NA(),IFERROR(INDEX(BBG_Data!$T$2:$T$4000,MATCH($A197,BBG_Data!$S$2:$S$4000,0))*Settings!$B$25,NA()))</f>
        <v/>
      </c>
      <c r="AI197" s="19">
        <f>IF(NOT(ISNUMBER($A197)),NA(),IFERROR(INDEX(BBG_Data!$V$2:$V$4000,MATCH($A197,BBG_Data!$U$2:$U$4000,0))*Settings!$B$25,NA()))</f>
        <v/>
      </c>
      <c r="AJ197" s="19">
        <f>IF(NOT(ISNUMBER($A197)),NA(),IFERROR(1*INDEX(BBG_Data!$X$2:$X$4000,MATCH($A197,BBG_Data!$W$2:$W$4000,0)),NA()))</f>
        <v/>
      </c>
      <c r="AK197" s="19">
        <f>IF(NOT(ISNUMBER($A197)),NA(),IFERROR(1*INDEX(BBG_Data!$Z$2:$Z$4000,MATCH($A197,BBG_Data!$Y$2:$Y$4000,0)),NA()))</f>
        <v/>
      </c>
    </row>
    <row r="198">
      <c r="A198" s="17">
        <f>IF(ISNUMBER(BBG_Data!A198),BBG_Data!A198,"")</f>
        <v/>
      </c>
      <c r="B198" s="18">
        <f>IF(AND(ISNUMBER($A198),ISNUMBER(BBG_Data!B198)),BBG_Data!B198,NA())</f>
        <v/>
      </c>
      <c r="C198" s="18">
        <f>IF(NOT(ISNUMBER($A198)),NA(),IFERROR(1*INDEX(BBG_Data!$D$2:$D$4000,MATCH($A198,BBG_Data!$C$2:$C$4000,0)),NA()))</f>
        <v/>
      </c>
      <c r="D198" s="19">
        <f>IF(NOT(ISNUMBER($A198)),NA(),IFERROR(1*INDEX(BBG_Data!$F$2:$F$4000,MATCH($A198,BBG_Data!$E$2:$E$4000,0)),NA()))</f>
        <v/>
      </c>
      <c r="E198" s="19">
        <f>IF(NOT(ISNUMBER($A198)),NA(),IFERROR(1*INDEX(BBG_Data!$H$2:$H$4000,MATCH($A198,BBG_Data!$G$2:$G$4000,0)),NA()))</f>
        <v/>
      </c>
      <c r="F198" s="20">
        <f>IF(AND(ISNUMBER(B198),ISNUMBER(B197)),IF(B198=B197,"",(B198-B197)*100),"")</f>
        <v/>
      </c>
      <c r="G198" s="20">
        <f>IF(AND(ISNUMBER(C198),ISNUMBER(C197)),IF(C198=C197,"",(C198-C197)*100),"")</f>
        <v/>
      </c>
      <c r="H198" s="20">
        <f>IF(OR(NOT(ISNUMBER($A198)),ROW()-2&lt;Settings!$B$11),NA(),IF(COUNT(OFFSET(F198,1-Settings!$B$11,0,Settings!$B$11,1))&lt;ROUNDUP(Settings!$B$11*Settings!$B$26,0),NA(),STDEV(OFFSET(F198,1-Settings!$B$11,0,Settings!$B$11,1))*SQRT(Settings!$B$13)))</f>
        <v/>
      </c>
      <c r="I198" s="20">
        <f>IF(OR(NOT(ISNUMBER($A198)),ROW()-2&lt;Settings!$B$12),NA(),IF(COUNT(OFFSET(F198,1-Settings!$B$12,0,Settings!$B$12,1))&lt;ROUNDUP(Settings!$B$12*Settings!$B$26,0),NA(),STDEV(OFFSET(F198,1-Settings!$B$12,0,Settings!$B$12,1))*SQRT(Settings!$B$13)))</f>
        <v/>
      </c>
      <c r="J198" s="20">
        <f>IF(OR(NOT(ISNUMBER($A198)),ROW()-2&lt;Settings!$B$11),NA(),IF(COUNT(OFFSET(G198,1-Settings!$B$11,0,Settings!$B$11,1))&lt;ROUNDUP(Settings!$B$11*Settings!$B$26,0),NA(),STDEV(OFFSET(G198,1-Settings!$B$11,0,Settings!$B$11,1))*SQRT(Settings!$B$13)))</f>
        <v/>
      </c>
      <c r="K198" s="20">
        <f>IF(OR(NOT(ISNUMBER($A198)),ROW()-2&lt;Settings!$B$12),NA(),IF(COUNT(OFFSET(G198,1-Settings!$B$12,0,Settings!$B$12,1))&lt;ROUNDUP(Settings!$B$12*Settings!$B$26,0),NA(),STDEV(OFFSET(G198,1-Settings!$B$12,0,Settings!$B$12,1))*SQRT(Settings!$B$13)))</f>
        <v/>
      </c>
      <c r="L198" s="20">
        <f>IF(AND(ISNUMBER(D198),ISNUMBER(H198)),D198-H198,NA())</f>
        <v/>
      </c>
      <c r="M198" s="20">
        <f>IF(AND(ISNUMBER(E198),ISNUMBER(K198)),E198-K198,NA())</f>
        <v/>
      </c>
      <c r="N198" s="20">
        <f>IF(NOT(ISNUMBER($A198)),NA(),IF(COUNT(OFFSET(G198,1,0,Settings!$B$12,1))&lt;ROUNDUP(Settings!$B$12*Settings!$B$26,0),NA(),STDEV(OFFSET(G198,1,0,Settings!$B$12,1))*SQRT(Settings!$B$13)))</f>
        <v/>
      </c>
      <c r="O198" s="20">
        <f>IF(AND(ISNUMBER(E198),ISNUMBER(N198)),E198-N198,NA())</f>
        <v/>
      </c>
      <c r="P198" s="19">
        <f>IF(NOT(ISNUMBER($A198)),NA(),IF(OR($A198&lt;MIN(KW_TP!$A$2:$A$2501),$A198&gt;MAX(KW_TP!$A$2:$A$2501)),NA(),INDEX(KW_TP!$C$2:$C$2501,MATCH($A198,KW_TP!$A$2:$A$2501,1))))</f>
        <v/>
      </c>
      <c r="Q198" s="18">
        <f>IF(NOT(ISNUMBER($A198)),NA(),IFERROR(1*INDEX(BBG_Data!$J$2:$J$4000,MATCH($A198,BBG_Data!$I$2:$I$4000,0)),NA()))</f>
        <v/>
      </c>
      <c r="R198" s="18">
        <f>IF(NOT(ISNUMBER($A198)),NA(),IFERROR(1*INDEX(BBG_Data!$L$2:$L$4000,MATCH($A198,BBG_Data!$K$2:$K$4000,0)),NA()))</f>
        <v/>
      </c>
      <c r="S198" s="20">
        <f>IF(AND(ISNUMBER(B198),ISNUMBER(Q198),ISNUMBER(R198)),(B198-Q198-R198)*100,NA())</f>
        <v/>
      </c>
      <c r="T198" s="20">
        <f>IF(AND(ISNUMBER(B198),Settings!$B$17&gt;0),IF(ISNUMBER(INDEX($B:$B,Settings!$B$17)),(B198-INDEX($B:$B,Settings!$B$17))*100,NA()),NA())</f>
        <v/>
      </c>
      <c r="U198" s="20">
        <f>IF(AND(ISNUMBER(Q198),Settings!$B$17&gt;0),IF(ISNUMBER(INDEX($Q:$Q,Settings!$B$17)),(Q198-INDEX($Q:$Q,Settings!$B$17))*100,NA()),NA())</f>
        <v/>
      </c>
      <c r="V198" s="20">
        <f>IF(AND(ISNUMBER(R198),Settings!$B$17&gt;0),IF(ISNUMBER(INDEX($R:$R,Settings!$B$17)),(R198-INDEX($R:$R,Settings!$B$17))*100,NA()),NA())</f>
        <v/>
      </c>
      <c r="W198" s="20">
        <f>IF(AND(ISNUMBER(P198),Settings!$B$17&gt;0),IF(ISNUMBER(INDEX($P:$P,Settings!$B$17)),P198-INDEX($P:$P,Settings!$B$17),NA()),NA())</f>
        <v/>
      </c>
      <c r="X198" s="19">
        <f>IF(NOT(ISNUMBER($A198)),NA(),IF(OR($A198&lt;MIN(DKW_10Y!$A$2:$A$2918),$A198&gt;MAX(DKW_10Y!$A$2:$A$2918),Settings!$B$16&lt;MIN(DKW_10Y!$A$2:$A$2918)),NA(),(INDEX(DKW_10Y!$B$2:$B$2918,MATCH($A198,DKW_10Y!$A$2:$A$2918,1))-INDEX(DKW_10Y!$B$2:$B$2918,MATCH(Settings!$B$16,DKW_10Y!$A$2:$A$2918,1)))*100))</f>
        <v/>
      </c>
      <c r="Y198" s="19">
        <f>IF(NOT(ISNUMBER($A198)),NA(),IF(OR($A198&lt;MIN(DKW_10Y!$A$2:$A$2918),$A198&gt;MAX(DKW_10Y!$A$2:$A$2918),Settings!$B$16&lt;MIN(DKW_10Y!$A$2:$A$2918)),NA(),(INDEX(DKW_10Y!$C$2:$C$2918,MATCH($A198,DKW_10Y!$A$2:$A$2918,1))-INDEX(DKW_10Y!$C$2:$C$2918,MATCH(Settings!$B$16,DKW_10Y!$A$2:$A$2918,1)))*100))</f>
        <v/>
      </c>
      <c r="Z198" s="19">
        <f>IF(NOT(ISNUMBER($A198)),NA(),IF(OR($A198&lt;MIN(DKW_10Y!$A$2:$A$2918),$A198&gt;MAX(DKW_10Y!$A$2:$A$2918),Settings!$B$16&lt;MIN(DKW_10Y!$A$2:$A$2918)),NA(),(INDEX(DKW_10Y!$D$2:$D$2918,MATCH($A198,DKW_10Y!$A$2:$A$2918,1))-INDEX(DKW_10Y!$D$2:$D$2918,MATCH(Settings!$B$16,DKW_10Y!$A$2:$A$2918,1)))*100))</f>
        <v/>
      </c>
      <c r="AA198" s="19">
        <f>IF(NOT(ISNUMBER($A198)),NA(),IF(OR($A198&lt;MIN(DKW_10Y!$A$2:$A$2918),$A198&gt;MAX(DKW_10Y!$A$2:$A$2918),Settings!$B$16&lt;MIN(DKW_10Y!$A$2:$A$2918)),NA(),(INDEX(DKW_10Y!$E$2:$E$2918,MATCH($A198,DKW_10Y!$A$2:$A$2918,1))-INDEX(DKW_10Y!$E$2:$E$2918,MATCH(Settings!$B$16,DKW_10Y!$A$2:$A$2918,1)))*100))</f>
        <v/>
      </c>
      <c r="AB198" s="19">
        <f>IF(NOT(ISNUMBER($A198)),NA(),IF(OR($A198&lt;MIN(DKW_10Y!$A$2:$A$2918),$A198&gt;MAX(DKW_10Y!$A$2:$A$2918),Settings!$B$16&lt;MIN(DKW_10Y!$A$2:$A$2918)),NA(),(INDEX(DKW_10Y!$H$2:$H$2918,MATCH($A198,DKW_10Y!$A$2:$A$2918,1))-INDEX(DKW_10Y!$H$2:$H$2918,MATCH(Settings!$B$16,DKW_10Y!$A$2:$A$2918,1)))*100))</f>
        <v/>
      </c>
      <c r="AC198" s="18">
        <f>IF(NOT(ISNUMBER($A198)),NA(),IFERROR(1*INDEX(BBG_Data!$N$2:$N$4000,MATCH($A198,BBG_Data!$M$2:$M$4000,0)),NA()))</f>
        <v/>
      </c>
      <c r="AD198" s="18">
        <f>IF(NOT(ISNUMBER($A198)),NA(),IFERROR(1*INDEX(BBG_Data!$P$2:$P$4000,MATCH($A198,BBG_Data!$O$2:$O$4000,0)),NA()))</f>
        <v/>
      </c>
      <c r="AE198" s="18">
        <f>IF(NOT(ISNUMBER($A198)),NA(),IFERROR(1*INDEX(BBG_Data!$R$2:$R$4000,MATCH($A198,BBG_Data!$Q$2:$Q$4000,0)),NA()))</f>
        <v/>
      </c>
      <c r="AF198" s="20">
        <f>IF(AND(ISNUMBER(B198),ISNUMBER(AC198)),(B198-AC198)*100,NA())</f>
        <v/>
      </c>
      <c r="AG198" s="20">
        <f>IF(AND(ISNUMBER(AE198),ISNUMBER(AD198)),(AE198-AD198)*100,NA())</f>
        <v/>
      </c>
      <c r="AH198" s="19">
        <f>IF(NOT(ISNUMBER($A198)),NA(),IFERROR(INDEX(BBG_Data!$T$2:$T$4000,MATCH($A198,BBG_Data!$S$2:$S$4000,0))*Settings!$B$25,NA()))</f>
        <v/>
      </c>
      <c r="AI198" s="19">
        <f>IF(NOT(ISNUMBER($A198)),NA(),IFERROR(INDEX(BBG_Data!$V$2:$V$4000,MATCH($A198,BBG_Data!$U$2:$U$4000,0))*Settings!$B$25,NA()))</f>
        <v/>
      </c>
      <c r="AJ198" s="19">
        <f>IF(NOT(ISNUMBER($A198)),NA(),IFERROR(1*INDEX(BBG_Data!$X$2:$X$4000,MATCH($A198,BBG_Data!$W$2:$W$4000,0)),NA()))</f>
        <v/>
      </c>
      <c r="AK198" s="19">
        <f>IF(NOT(ISNUMBER($A198)),NA(),IFERROR(1*INDEX(BBG_Data!$Z$2:$Z$4000,MATCH($A198,BBG_Data!$Y$2:$Y$4000,0)),NA()))</f>
        <v/>
      </c>
    </row>
    <row r="199">
      <c r="A199" s="17">
        <f>IF(ISNUMBER(BBG_Data!A199),BBG_Data!A199,"")</f>
        <v/>
      </c>
      <c r="B199" s="18">
        <f>IF(AND(ISNUMBER($A199),ISNUMBER(BBG_Data!B199)),BBG_Data!B199,NA())</f>
        <v/>
      </c>
      <c r="C199" s="18">
        <f>IF(NOT(ISNUMBER($A199)),NA(),IFERROR(1*INDEX(BBG_Data!$D$2:$D$4000,MATCH($A199,BBG_Data!$C$2:$C$4000,0)),NA()))</f>
        <v/>
      </c>
      <c r="D199" s="19">
        <f>IF(NOT(ISNUMBER($A199)),NA(),IFERROR(1*INDEX(BBG_Data!$F$2:$F$4000,MATCH($A199,BBG_Data!$E$2:$E$4000,0)),NA()))</f>
        <v/>
      </c>
      <c r="E199" s="19">
        <f>IF(NOT(ISNUMBER($A199)),NA(),IFERROR(1*INDEX(BBG_Data!$H$2:$H$4000,MATCH($A199,BBG_Data!$G$2:$G$4000,0)),NA()))</f>
        <v/>
      </c>
      <c r="F199" s="20">
        <f>IF(AND(ISNUMBER(B199),ISNUMBER(B198)),IF(B199=B198,"",(B199-B198)*100),"")</f>
        <v/>
      </c>
      <c r="G199" s="20">
        <f>IF(AND(ISNUMBER(C199),ISNUMBER(C198)),IF(C199=C198,"",(C199-C198)*100),"")</f>
        <v/>
      </c>
      <c r="H199" s="20">
        <f>IF(OR(NOT(ISNUMBER($A199)),ROW()-2&lt;Settings!$B$11),NA(),IF(COUNT(OFFSET(F199,1-Settings!$B$11,0,Settings!$B$11,1))&lt;ROUNDUP(Settings!$B$11*Settings!$B$26,0),NA(),STDEV(OFFSET(F199,1-Settings!$B$11,0,Settings!$B$11,1))*SQRT(Settings!$B$13)))</f>
        <v/>
      </c>
      <c r="I199" s="20">
        <f>IF(OR(NOT(ISNUMBER($A199)),ROW()-2&lt;Settings!$B$12),NA(),IF(COUNT(OFFSET(F199,1-Settings!$B$12,0,Settings!$B$12,1))&lt;ROUNDUP(Settings!$B$12*Settings!$B$26,0),NA(),STDEV(OFFSET(F199,1-Settings!$B$12,0,Settings!$B$12,1))*SQRT(Settings!$B$13)))</f>
        <v/>
      </c>
      <c r="J199" s="20">
        <f>IF(OR(NOT(ISNUMBER($A199)),ROW()-2&lt;Settings!$B$11),NA(),IF(COUNT(OFFSET(G199,1-Settings!$B$11,0,Settings!$B$11,1))&lt;ROUNDUP(Settings!$B$11*Settings!$B$26,0),NA(),STDEV(OFFSET(G199,1-Settings!$B$11,0,Settings!$B$11,1))*SQRT(Settings!$B$13)))</f>
        <v/>
      </c>
      <c r="K199" s="20">
        <f>IF(OR(NOT(ISNUMBER($A199)),ROW()-2&lt;Settings!$B$12),NA(),IF(COUNT(OFFSET(G199,1-Settings!$B$12,0,Settings!$B$12,1))&lt;ROUNDUP(Settings!$B$12*Settings!$B$26,0),NA(),STDEV(OFFSET(G199,1-Settings!$B$12,0,Settings!$B$12,1))*SQRT(Settings!$B$13)))</f>
        <v/>
      </c>
      <c r="L199" s="20">
        <f>IF(AND(ISNUMBER(D199),ISNUMBER(H199)),D199-H199,NA())</f>
        <v/>
      </c>
      <c r="M199" s="20">
        <f>IF(AND(ISNUMBER(E199),ISNUMBER(K199)),E199-K199,NA())</f>
        <v/>
      </c>
      <c r="N199" s="20">
        <f>IF(NOT(ISNUMBER($A199)),NA(),IF(COUNT(OFFSET(G199,1,0,Settings!$B$12,1))&lt;ROUNDUP(Settings!$B$12*Settings!$B$26,0),NA(),STDEV(OFFSET(G199,1,0,Settings!$B$12,1))*SQRT(Settings!$B$13)))</f>
        <v/>
      </c>
      <c r="O199" s="20">
        <f>IF(AND(ISNUMBER(E199),ISNUMBER(N199)),E199-N199,NA())</f>
        <v/>
      </c>
      <c r="P199" s="19">
        <f>IF(NOT(ISNUMBER($A199)),NA(),IF(OR($A199&lt;MIN(KW_TP!$A$2:$A$2501),$A199&gt;MAX(KW_TP!$A$2:$A$2501)),NA(),INDEX(KW_TP!$C$2:$C$2501,MATCH($A199,KW_TP!$A$2:$A$2501,1))))</f>
        <v/>
      </c>
      <c r="Q199" s="18">
        <f>IF(NOT(ISNUMBER($A199)),NA(),IFERROR(1*INDEX(BBG_Data!$J$2:$J$4000,MATCH($A199,BBG_Data!$I$2:$I$4000,0)),NA()))</f>
        <v/>
      </c>
      <c r="R199" s="18">
        <f>IF(NOT(ISNUMBER($A199)),NA(),IFERROR(1*INDEX(BBG_Data!$L$2:$L$4000,MATCH($A199,BBG_Data!$K$2:$K$4000,0)),NA()))</f>
        <v/>
      </c>
      <c r="S199" s="20">
        <f>IF(AND(ISNUMBER(B199),ISNUMBER(Q199),ISNUMBER(R199)),(B199-Q199-R199)*100,NA())</f>
        <v/>
      </c>
      <c r="T199" s="20">
        <f>IF(AND(ISNUMBER(B199),Settings!$B$17&gt;0),IF(ISNUMBER(INDEX($B:$B,Settings!$B$17)),(B199-INDEX($B:$B,Settings!$B$17))*100,NA()),NA())</f>
        <v/>
      </c>
      <c r="U199" s="20">
        <f>IF(AND(ISNUMBER(Q199),Settings!$B$17&gt;0),IF(ISNUMBER(INDEX($Q:$Q,Settings!$B$17)),(Q199-INDEX($Q:$Q,Settings!$B$17))*100,NA()),NA())</f>
        <v/>
      </c>
      <c r="V199" s="20">
        <f>IF(AND(ISNUMBER(R199),Settings!$B$17&gt;0),IF(ISNUMBER(INDEX($R:$R,Settings!$B$17)),(R199-INDEX($R:$R,Settings!$B$17))*100,NA()),NA())</f>
        <v/>
      </c>
      <c r="W199" s="20">
        <f>IF(AND(ISNUMBER(P199),Settings!$B$17&gt;0),IF(ISNUMBER(INDEX($P:$P,Settings!$B$17)),P199-INDEX($P:$P,Settings!$B$17),NA()),NA())</f>
        <v/>
      </c>
      <c r="X199" s="19">
        <f>IF(NOT(ISNUMBER($A199)),NA(),IF(OR($A199&lt;MIN(DKW_10Y!$A$2:$A$2918),$A199&gt;MAX(DKW_10Y!$A$2:$A$2918),Settings!$B$16&lt;MIN(DKW_10Y!$A$2:$A$2918)),NA(),(INDEX(DKW_10Y!$B$2:$B$2918,MATCH($A199,DKW_10Y!$A$2:$A$2918,1))-INDEX(DKW_10Y!$B$2:$B$2918,MATCH(Settings!$B$16,DKW_10Y!$A$2:$A$2918,1)))*100))</f>
        <v/>
      </c>
      <c r="Y199" s="19">
        <f>IF(NOT(ISNUMBER($A199)),NA(),IF(OR($A199&lt;MIN(DKW_10Y!$A$2:$A$2918),$A199&gt;MAX(DKW_10Y!$A$2:$A$2918),Settings!$B$16&lt;MIN(DKW_10Y!$A$2:$A$2918)),NA(),(INDEX(DKW_10Y!$C$2:$C$2918,MATCH($A199,DKW_10Y!$A$2:$A$2918,1))-INDEX(DKW_10Y!$C$2:$C$2918,MATCH(Settings!$B$16,DKW_10Y!$A$2:$A$2918,1)))*100))</f>
        <v/>
      </c>
      <c r="Z199" s="19">
        <f>IF(NOT(ISNUMBER($A199)),NA(),IF(OR($A199&lt;MIN(DKW_10Y!$A$2:$A$2918),$A199&gt;MAX(DKW_10Y!$A$2:$A$2918),Settings!$B$16&lt;MIN(DKW_10Y!$A$2:$A$2918)),NA(),(INDEX(DKW_10Y!$D$2:$D$2918,MATCH($A199,DKW_10Y!$A$2:$A$2918,1))-INDEX(DKW_10Y!$D$2:$D$2918,MATCH(Settings!$B$16,DKW_10Y!$A$2:$A$2918,1)))*100))</f>
        <v/>
      </c>
      <c r="AA199" s="19">
        <f>IF(NOT(ISNUMBER($A199)),NA(),IF(OR($A199&lt;MIN(DKW_10Y!$A$2:$A$2918),$A199&gt;MAX(DKW_10Y!$A$2:$A$2918),Settings!$B$16&lt;MIN(DKW_10Y!$A$2:$A$2918)),NA(),(INDEX(DKW_10Y!$E$2:$E$2918,MATCH($A199,DKW_10Y!$A$2:$A$2918,1))-INDEX(DKW_10Y!$E$2:$E$2918,MATCH(Settings!$B$16,DKW_10Y!$A$2:$A$2918,1)))*100))</f>
        <v/>
      </c>
      <c r="AB199" s="19">
        <f>IF(NOT(ISNUMBER($A199)),NA(),IF(OR($A199&lt;MIN(DKW_10Y!$A$2:$A$2918),$A199&gt;MAX(DKW_10Y!$A$2:$A$2918),Settings!$B$16&lt;MIN(DKW_10Y!$A$2:$A$2918)),NA(),(INDEX(DKW_10Y!$H$2:$H$2918,MATCH($A199,DKW_10Y!$A$2:$A$2918,1))-INDEX(DKW_10Y!$H$2:$H$2918,MATCH(Settings!$B$16,DKW_10Y!$A$2:$A$2918,1)))*100))</f>
        <v/>
      </c>
      <c r="AC199" s="18">
        <f>IF(NOT(ISNUMBER($A199)),NA(),IFERROR(1*INDEX(BBG_Data!$N$2:$N$4000,MATCH($A199,BBG_Data!$M$2:$M$4000,0)),NA()))</f>
        <v/>
      </c>
      <c r="AD199" s="18">
        <f>IF(NOT(ISNUMBER($A199)),NA(),IFERROR(1*INDEX(BBG_Data!$P$2:$P$4000,MATCH($A199,BBG_Data!$O$2:$O$4000,0)),NA()))</f>
        <v/>
      </c>
      <c r="AE199" s="18">
        <f>IF(NOT(ISNUMBER($A199)),NA(),IFERROR(1*INDEX(BBG_Data!$R$2:$R$4000,MATCH($A199,BBG_Data!$Q$2:$Q$4000,0)),NA()))</f>
        <v/>
      </c>
      <c r="AF199" s="20">
        <f>IF(AND(ISNUMBER(B199),ISNUMBER(AC199)),(B199-AC199)*100,NA())</f>
        <v/>
      </c>
      <c r="AG199" s="20">
        <f>IF(AND(ISNUMBER(AE199),ISNUMBER(AD199)),(AE199-AD199)*100,NA())</f>
        <v/>
      </c>
      <c r="AH199" s="19">
        <f>IF(NOT(ISNUMBER($A199)),NA(),IFERROR(INDEX(BBG_Data!$T$2:$T$4000,MATCH($A199,BBG_Data!$S$2:$S$4000,0))*Settings!$B$25,NA()))</f>
        <v/>
      </c>
      <c r="AI199" s="19">
        <f>IF(NOT(ISNUMBER($A199)),NA(),IFERROR(INDEX(BBG_Data!$V$2:$V$4000,MATCH($A199,BBG_Data!$U$2:$U$4000,0))*Settings!$B$25,NA()))</f>
        <v/>
      </c>
      <c r="AJ199" s="19">
        <f>IF(NOT(ISNUMBER($A199)),NA(),IFERROR(1*INDEX(BBG_Data!$X$2:$X$4000,MATCH($A199,BBG_Data!$W$2:$W$4000,0)),NA()))</f>
        <v/>
      </c>
      <c r="AK199" s="19">
        <f>IF(NOT(ISNUMBER($A199)),NA(),IFERROR(1*INDEX(BBG_Data!$Z$2:$Z$4000,MATCH($A199,BBG_Data!$Y$2:$Y$4000,0)),NA()))</f>
        <v/>
      </c>
    </row>
    <row r="200">
      <c r="A200" s="17">
        <f>IF(ISNUMBER(BBG_Data!A200),BBG_Data!A200,"")</f>
        <v/>
      </c>
      <c r="B200" s="18">
        <f>IF(AND(ISNUMBER($A200),ISNUMBER(BBG_Data!B200)),BBG_Data!B200,NA())</f>
        <v/>
      </c>
      <c r="C200" s="18">
        <f>IF(NOT(ISNUMBER($A200)),NA(),IFERROR(1*INDEX(BBG_Data!$D$2:$D$4000,MATCH($A200,BBG_Data!$C$2:$C$4000,0)),NA()))</f>
        <v/>
      </c>
      <c r="D200" s="19">
        <f>IF(NOT(ISNUMBER($A200)),NA(),IFERROR(1*INDEX(BBG_Data!$F$2:$F$4000,MATCH($A200,BBG_Data!$E$2:$E$4000,0)),NA()))</f>
        <v/>
      </c>
      <c r="E200" s="19">
        <f>IF(NOT(ISNUMBER($A200)),NA(),IFERROR(1*INDEX(BBG_Data!$H$2:$H$4000,MATCH($A200,BBG_Data!$G$2:$G$4000,0)),NA()))</f>
        <v/>
      </c>
      <c r="F200" s="20">
        <f>IF(AND(ISNUMBER(B200),ISNUMBER(B199)),IF(B200=B199,"",(B200-B199)*100),"")</f>
        <v/>
      </c>
      <c r="G200" s="20">
        <f>IF(AND(ISNUMBER(C200),ISNUMBER(C199)),IF(C200=C199,"",(C200-C199)*100),"")</f>
        <v/>
      </c>
      <c r="H200" s="20">
        <f>IF(OR(NOT(ISNUMBER($A200)),ROW()-2&lt;Settings!$B$11),NA(),IF(COUNT(OFFSET(F200,1-Settings!$B$11,0,Settings!$B$11,1))&lt;ROUNDUP(Settings!$B$11*Settings!$B$26,0),NA(),STDEV(OFFSET(F200,1-Settings!$B$11,0,Settings!$B$11,1))*SQRT(Settings!$B$13)))</f>
        <v/>
      </c>
      <c r="I200" s="20">
        <f>IF(OR(NOT(ISNUMBER($A200)),ROW()-2&lt;Settings!$B$12),NA(),IF(COUNT(OFFSET(F200,1-Settings!$B$12,0,Settings!$B$12,1))&lt;ROUNDUP(Settings!$B$12*Settings!$B$26,0),NA(),STDEV(OFFSET(F200,1-Settings!$B$12,0,Settings!$B$12,1))*SQRT(Settings!$B$13)))</f>
        <v/>
      </c>
      <c r="J200" s="20">
        <f>IF(OR(NOT(ISNUMBER($A200)),ROW()-2&lt;Settings!$B$11),NA(),IF(COUNT(OFFSET(G200,1-Settings!$B$11,0,Settings!$B$11,1))&lt;ROUNDUP(Settings!$B$11*Settings!$B$26,0),NA(),STDEV(OFFSET(G200,1-Settings!$B$11,0,Settings!$B$11,1))*SQRT(Settings!$B$13)))</f>
        <v/>
      </c>
      <c r="K200" s="20">
        <f>IF(OR(NOT(ISNUMBER($A200)),ROW()-2&lt;Settings!$B$12),NA(),IF(COUNT(OFFSET(G200,1-Settings!$B$12,0,Settings!$B$12,1))&lt;ROUNDUP(Settings!$B$12*Settings!$B$26,0),NA(),STDEV(OFFSET(G200,1-Settings!$B$12,0,Settings!$B$12,1))*SQRT(Settings!$B$13)))</f>
        <v/>
      </c>
      <c r="L200" s="20">
        <f>IF(AND(ISNUMBER(D200),ISNUMBER(H200)),D200-H200,NA())</f>
        <v/>
      </c>
      <c r="M200" s="20">
        <f>IF(AND(ISNUMBER(E200),ISNUMBER(K200)),E200-K200,NA())</f>
        <v/>
      </c>
      <c r="N200" s="20">
        <f>IF(NOT(ISNUMBER($A200)),NA(),IF(COUNT(OFFSET(G200,1,0,Settings!$B$12,1))&lt;ROUNDUP(Settings!$B$12*Settings!$B$26,0),NA(),STDEV(OFFSET(G200,1,0,Settings!$B$12,1))*SQRT(Settings!$B$13)))</f>
        <v/>
      </c>
      <c r="O200" s="20">
        <f>IF(AND(ISNUMBER(E200),ISNUMBER(N200)),E200-N200,NA())</f>
        <v/>
      </c>
      <c r="P200" s="19">
        <f>IF(NOT(ISNUMBER($A200)),NA(),IF(OR($A200&lt;MIN(KW_TP!$A$2:$A$2501),$A200&gt;MAX(KW_TP!$A$2:$A$2501)),NA(),INDEX(KW_TP!$C$2:$C$2501,MATCH($A200,KW_TP!$A$2:$A$2501,1))))</f>
        <v/>
      </c>
      <c r="Q200" s="18">
        <f>IF(NOT(ISNUMBER($A200)),NA(),IFERROR(1*INDEX(BBG_Data!$J$2:$J$4000,MATCH($A200,BBG_Data!$I$2:$I$4000,0)),NA()))</f>
        <v/>
      </c>
      <c r="R200" s="18">
        <f>IF(NOT(ISNUMBER($A200)),NA(),IFERROR(1*INDEX(BBG_Data!$L$2:$L$4000,MATCH($A200,BBG_Data!$K$2:$K$4000,0)),NA()))</f>
        <v/>
      </c>
      <c r="S200" s="20">
        <f>IF(AND(ISNUMBER(B200),ISNUMBER(Q200),ISNUMBER(R200)),(B200-Q200-R200)*100,NA())</f>
        <v/>
      </c>
      <c r="T200" s="20">
        <f>IF(AND(ISNUMBER(B200),Settings!$B$17&gt;0),IF(ISNUMBER(INDEX($B:$B,Settings!$B$17)),(B200-INDEX($B:$B,Settings!$B$17))*100,NA()),NA())</f>
        <v/>
      </c>
      <c r="U200" s="20">
        <f>IF(AND(ISNUMBER(Q200),Settings!$B$17&gt;0),IF(ISNUMBER(INDEX($Q:$Q,Settings!$B$17)),(Q200-INDEX($Q:$Q,Settings!$B$17))*100,NA()),NA())</f>
        <v/>
      </c>
      <c r="V200" s="20">
        <f>IF(AND(ISNUMBER(R200),Settings!$B$17&gt;0),IF(ISNUMBER(INDEX($R:$R,Settings!$B$17)),(R200-INDEX($R:$R,Settings!$B$17))*100,NA()),NA())</f>
        <v/>
      </c>
      <c r="W200" s="20">
        <f>IF(AND(ISNUMBER(P200),Settings!$B$17&gt;0),IF(ISNUMBER(INDEX($P:$P,Settings!$B$17)),P200-INDEX($P:$P,Settings!$B$17),NA()),NA())</f>
        <v/>
      </c>
      <c r="X200" s="19">
        <f>IF(NOT(ISNUMBER($A200)),NA(),IF(OR($A200&lt;MIN(DKW_10Y!$A$2:$A$2918),$A200&gt;MAX(DKW_10Y!$A$2:$A$2918),Settings!$B$16&lt;MIN(DKW_10Y!$A$2:$A$2918)),NA(),(INDEX(DKW_10Y!$B$2:$B$2918,MATCH($A200,DKW_10Y!$A$2:$A$2918,1))-INDEX(DKW_10Y!$B$2:$B$2918,MATCH(Settings!$B$16,DKW_10Y!$A$2:$A$2918,1)))*100))</f>
        <v/>
      </c>
      <c r="Y200" s="19">
        <f>IF(NOT(ISNUMBER($A200)),NA(),IF(OR($A200&lt;MIN(DKW_10Y!$A$2:$A$2918),$A200&gt;MAX(DKW_10Y!$A$2:$A$2918),Settings!$B$16&lt;MIN(DKW_10Y!$A$2:$A$2918)),NA(),(INDEX(DKW_10Y!$C$2:$C$2918,MATCH($A200,DKW_10Y!$A$2:$A$2918,1))-INDEX(DKW_10Y!$C$2:$C$2918,MATCH(Settings!$B$16,DKW_10Y!$A$2:$A$2918,1)))*100))</f>
        <v/>
      </c>
      <c r="Z200" s="19">
        <f>IF(NOT(ISNUMBER($A200)),NA(),IF(OR($A200&lt;MIN(DKW_10Y!$A$2:$A$2918),$A200&gt;MAX(DKW_10Y!$A$2:$A$2918),Settings!$B$16&lt;MIN(DKW_10Y!$A$2:$A$2918)),NA(),(INDEX(DKW_10Y!$D$2:$D$2918,MATCH($A200,DKW_10Y!$A$2:$A$2918,1))-INDEX(DKW_10Y!$D$2:$D$2918,MATCH(Settings!$B$16,DKW_10Y!$A$2:$A$2918,1)))*100))</f>
        <v/>
      </c>
      <c r="AA200" s="19">
        <f>IF(NOT(ISNUMBER($A200)),NA(),IF(OR($A200&lt;MIN(DKW_10Y!$A$2:$A$2918),$A200&gt;MAX(DKW_10Y!$A$2:$A$2918),Settings!$B$16&lt;MIN(DKW_10Y!$A$2:$A$2918)),NA(),(INDEX(DKW_10Y!$E$2:$E$2918,MATCH($A200,DKW_10Y!$A$2:$A$2918,1))-INDEX(DKW_10Y!$E$2:$E$2918,MATCH(Settings!$B$16,DKW_10Y!$A$2:$A$2918,1)))*100))</f>
        <v/>
      </c>
      <c r="AB200" s="19">
        <f>IF(NOT(ISNUMBER($A200)),NA(),IF(OR($A200&lt;MIN(DKW_10Y!$A$2:$A$2918),$A200&gt;MAX(DKW_10Y!$A$2:$A$2918),Settings!$B$16&lt;MIN(DKW_10Y!$A$2:$A$2918)),NA(),(INDEX(DKW_10Y!$H$2:$H$2918,MATCH($A200,DKW_10Y!$A$2:$A$2918,1))-INDEX(DKW_10Y!$H$2:$H$2918,MATCH(Settings!$B$16,DKW_10Y!$A$2:$A$2918,1)))*100))</f>
        <v/>
      </c>
      <c r="AC200" s="18">
        <f>IF(NOT(ISNUMBER($A200)),NA(),IFERROR(1*INDEX(BBG_Data!$N$2:$N$4000,MATCH($A200,BBG_Data!$M$2:$M$4000,0)),NA()))</f>
        <v/>
      </c>
      <c r="AD200" s="18">
        <f>IF(NOT(ISNUMBER($A200)),NA(),IFERROR(1*INDEX(BBG_Data!$P$2:$P$4000,MATCH($A200,BBG_Data!$O$2:$O$4000,0)),NA()))</f>
        <v/>
      </c>
      <c r="AE200" s="18">
        <f>IF(NOT(ISNUMBER($A200)),NA(),IFERROR(1*INDEX(BBG_Data!$R$2:$R$4000,MATCH($A200,BBG_Data!$Q$2:$Q$4000,0)),NA()))</f>
        <v/>
      </c>
      <c r="AF200" s="20">
        <f>IF(AND(ISNUMBER(B200),ISNUMBER(AC200)),(B200-AC200)*100,NA())</f>
        <v/>
      </c>
      <c r="AG200" s="20">
        <f>IF(AND(ISNUMBER(AE200),ISNUMBER(AD200)),(AE200-AD200)*100,NA())</f>
        <v/>
      </c>
      <c r="AH200" s="19">
        <f>IF(NOT(ISNUMBER($A200)),NA(),IFERROR(INDEX(BBG_Data!$T$2:$T$4000,MATCH($A200,BBG_Data!$S$2:$S$4000,0))*Settings!$B$25,NA()))</f>
        <v/>
      </c>
      <c r="AI200" s="19">
        <f>IF(NOT(ISNUMBER($A200)),NA(),IFERROR(INDEX(BBG_Data!$V$2:$V$4000,MATCH($A200,BBG_Data!$U$2:$U$4000,0))*Settings!$B$25,NA()))</f>
        <v/>
      </c>
      <c r="AJ200" s="19">
        <f>IF(NOT(ISNUMBER($A200)),NA(),IFERROR(1*INDEX(BBG_Data!$X$2:$X$4000,MATCH($A200,BBG_Data!$W$2:$W$4000,0)),NA()))</f>
        <v/>
      </c>
      <c r="AK200" s="19">
        <f>IF(NOT(ISNUMBER($A200)),NA(),IFERROR(1*INDEX(BBG_Data!$Z$2:$Z$4000,MATCH($A200,BBG_Data!$Y$2:$Y$4000,0)),NA()))</f>
        <v/>
      </c>
    </row>
    <row r="201">
      <c r="A201" s="17">
        <f>IF(ISNUMBER(BBG_Data!A201),BBG_Data!A201,"")</f>
        <v/>
      </c>
      <c r="B201" s="18">
        <f>IF(AND(ISNUMBER($A201),ISNUMBER(BBG_Data!B201)),BBG_Data!B201,NA())</f>
        <v/>
      </c>
      <c r="C201" s="18">
        <f>IF(NOT(ISNUMBER($A201)),NA(),IFERROR(1*INDEX(BBG_Data!$D$2:$D$4000,MATCH($A201,BBG_Data!$C$2:$C$4000,0)),NA()))</f>
        <v/>
      </c>
      <c r="D201" s="19">
        <f>IF(NOT(ISNUMBER($A201)),NA(),IFERROR(1*INDEX(BBG_Data!$F$2:$F$4000,MATCH($A201,BBG_Data!$E$2:$E$4000,0)),NA()))</f>
        <v/>
      </c>
      <c r="E201" s="19">
        <f>IF(NOT(ISNUMBER($A201)),NA(),IFERROR(1*INDEX(BBG_Data!$H$2:$H$4000,MATCH($A201,BBG_Data!$G$2:$G$4000,0)),NA()))</f>
        <v/>
      </c>
      <c r="F201" s="20">
        <f>IF(AND(ISNUMBER(B201),ISNUMBER(B200)),IF(B201=B200,"",(B201-B200)*100),"")</f>
        <v/>
      </c>
      <c r="G201" s="20">
        <f>IF(AND(ISNUMBER(C201),ISNUMBER(C200)),IF(C201=C200,"",(C201-C200)*100),"")</f>
        <v/>
      </c>
      <c r="H201" s="20">
        <f>IF(OR(NOT(ISNUMBER($A201)),ROW()-2&lt;Settings!$B$11),NA(),IF(COUNT(OFFSET(F201,1-Settings!$B$11,0,Settings!$B$11,1))&lt;ROUNDUP(Settings!$B$11*Settings!$B$26,0),NA(),STDEV(OFFSET(F201,1-Settings!$B$11,0,Settings!$B$11,1))*SQRT(Settings!$B$13)))</f>
        <v/>
      </c>
      <c r="I201" s="20">
        <f>IF(OR(NOT(ISNUMBER($A201)),ROW()-2&lt;Settings!$B$12),NA(),IF(COUNT(OFFSET(F201,1-Settings!$B$12,0,Settings!$B$12,1))&lt;ROUNDUP(Settings!$B$12*Settings!$B$26,0),NA(),STDEV(OFFSET(F201,1-Settings!$B$12,0,Settings!$B$12,1))*SQRT(Settings!$B$13)))</f>
        <v/>
      </c>
      <c r="J201" s="20">
        <f>IF(OR(NOT(ISNUMBER($A201)),ROW()-2&lt;Settings!$B$11),NA(),IF(COUNT(OFFSET(G201,1-Settings!$B$11,0,Settings!$B$11,1))&lt;ROUNDUP(Settings!$B$11*Settings!$B$26,0),NA(),STDEV(OFFSET(G201,1-Settings!$B$11,0,Settings!$B$11,1))*SQRT(Settings!$B$13)))</f>
        <v/>
      </c>
      <c r="K201" s="20">
        <f>IF(OR(NOT(ISNUMBER($A201)),ROW()-2&lt;Settings!$B$12),NA(),IF(COUNT(OFFSET(G201,1-Settings!$B$12,0,Settings!$B$12,1))&lt;ROUNDUP(Settings!$B$12*Settings!$B$26,0),NA(),STDEV(OFFSET(G201,1-Settings!$B$12,0,Settings!$B$12,1))*SQRT(Settings!$B$13)))</f>
        <v/>
      </c>
      <c r="L201" s="20">
        <f>IF(AND(ISNUMBER(D201),ISNUMBER(H201)),D201-H201,NA())</f>
        <v/>
      </c>
      <c r="M201" s="20">
        <f>IF(AND(ISNUMBER(E201),ISNUMBER(K201)),E201-K201,NA())</f>
        <v/>
      </c>
      <c r="N201" s="20">
        <f>IF(NOT(ISNUMBER($A201)),NA(),IF(COUNT(OFFSET(G201,1,0,Settings!$B$12,1))&lt;ROUNDUP(Settings!$B$12*Settings!$B$26,0),NA(),STDEV(OFFSET(G201,1,0,Settings!$B$12,1))*SQRT(Settings!$B$13)))</f>
        <v/>
      </c>
      <c r="O201" s="20">
        <f>IF(AND(ISNUMBER(E201),ISNUMBER(N201)),E201-N201,NA())</f>
        <v/>
      </c>
      <c r="P201" s="19">
        <f>IF(NOT(ISNUMBER($A201)),NA(),IF(OR($A201&lt;MIN(KW_TP!$A$2:$A$2501),$A201&gt;MAX(KW_TP!$A$2:$A$2501)),NA(),INDEX(KW_TP!$C$2:$C$2501,MATCH($A201,KW_TP!$A$2:$A$2501,1))))</f>
        <v/>
      </c>
      <c r="Q201" s="18">
        <f>IF(NOT(ISNUMBER($A201)),NA(),IFERROR(1*INDEX(BBG_Data!$J$2:$J$4000,MATCH($A201,BBG_Data!$I$2:$I$4000,0)),NA()))</f>
        <v/>
      </c>
      <c r="R201" s="18">
        <f>IF(NOT(ISNUMBER($A201)),NA(),IFERROR(1*INDEX(BBG_Data!$L$2:$L$4000,MATCH($A201,BBG_Data!$K$2:$K$4000,0)),NA()))</f>
        <v/>
      </c>
      <c r="S201" s="20">
        <f>IF(AND(ISNUMBER(B201),ISNUMBER(Q201),ISNUMBER(R201)),(B201-Q201-R201)*100,NA())</f>
        <v/>
      </c>
      <c r="T201" s="20">
        <f>IF(AND(ISNUMBER(B201),Settings!$B$17&gt;0),IF(ISNUMBER(INDEX($B:$B,Settings!$B$17)),(B201-INDEX($B:$B,Settings!$B$17))*100,NA()),NA())</f>
        <v/>
      </c>
      <c r="U201" s="20">
        <f>IF(AND(ISNUMBER(Q201),Settings!$B$17&gt;0),IF(ISNUMBER(INDEX($Q:$Q,Settings!$B$17)),(Q201-INDEX($Q:$Q,Settings!$B$17))*100,NA()),NA())</f>
        <v/>
      </c>
      <c r="V201" s="20">
        <f>IF(AND(ISNUMBER(R201),Settings!$B$17&gt;0),IF(ISNUMBER(INDEX($R:$R,Settings!$B$17)),(R201-INDEX($R:$R,Settings!$B$17))*100,NA()),NA())</f>
        <v/>
      </c>
      <c r="W201" s="20">
        <f>IF(AND(ISNUMBER(P201),Settings!$B$17&gt;0),IF(ISNUMBER(INDEX($P:$P,Settings!$B$17)),P201-INDEX($P:$P,Settings!$B$17),NA()),NA())</f>
        <v/>
      </c>
      <c r="X201" s="19">
        <f>IF(NOT(ISNUMBER($A201)),NA(),IF(OR($A201&lt;MIN(DKW_10Y!$A$2:$A$2918),$A201&gt;MAX(DKW_10Y!$A$2:$A$2918),Settings!$B$16&lt;MIN(DKW_10Y!$A$2:$A$2918)),NA(),(INDEX(DKW_10Y!$B$2:$B$2918,MATCH($A201,DKW_10Y!$A$2:$A$2918,1))-INDEX(DKW_10Y!$B$2:$B$2918,MATCH(Settings!$B$16,DKW_10Y!$A$2:$A$2918,1)))*100))</f>
        <v/>
      </c>
      <c r="Y201" s="19">
        <f>IF(NOT(ISNUMBER($A201)),NA(),IF(OR($A201&lt;MIN(DKW_10Y!$A$2:$A$2918),$A201&gt;MAX(DKW_10Y!$A$2:$A$2918),Settings!$B$16&lt;MIN(DKW_10Y!$A$2:$A$2918)),NA(),(INDEX(DKW_10Y!$C$2:$C$2918,MATCH($A201,DKW_10Y!$A$2:$A$2918,1))-INDEX(DKW_10Y!$C$2:$C$2918,MATCH(Settings!$B$16,DKW_10Y!$A$2:$A$2918,1)))*100))</f>
        <v/>
      </c>
      <c r="Z201" s="19">
        <f>IF(NOT(ISNUMBER($A201)),NA(),IF(OR($A201&lt;MIN(DKW_10Y!$A$2:$A$2918),$A201&gt;MAX(DKW_10Y!$A$2:$A$2918),Settings!$B$16&lt;MIN(DKW_10Y!$A$2:$A$2918)),NA(),(INDEX(DKW_10Y!$D$2:$D$2918,MATCH($A201,DKW_10Y!$A$2:$A$2918,1))-INDEX(DKW_10Y!$D$2:$D$2918,MATCH(Settings!$B$16,DKW_10Y!$A$2:$A$2918,1)))*100))</f>
        <v/>
      </c>
      <c r="AA201" s="19">
        <f>IF(NOT(ISNUMBER($A201)),NA(),IF(OR($A201&lt;MIN(DKW_10Y!$A$2:$A$2918),$A201&gt;MAX(DKW_10Y!$A$2:$A$2918),Settings!$B$16&lt;MIN(DKW_10Y!$A$2:$A$2918)),NA(),(INDEX(DKW_10Y!$E$2:$E$2918,MATCH($A201,DKW_10Y!$A$2:$A$2918,1))-INDEX(DKW_10Y!$E$2:$E$2918,MATCH(Settings!$B$16,DKW_10Y!$A$2:$A$2918,1)))*100))</f>
        <v/>
      </c>
      <c r="AB201" s="19">
        <f>IF(NOT(ISNUMBER($A201)),NA(),IF(OR($A201&lt;MIN(DKW_10Y!$A$2:$A$2918),$A201&gt;MAX(DKW_10Y!$A$2:$A$2918),Settings!$B$16&lt;MIN(DKW_10Y!$A$2:$A$2918)),NA(),(INDEX(DKW_10Y!$H$2:$H$2918,MATCH($A201,DKW_10Y!$A$2:$A$2918,1))-INDEX(DKW_10Y!$H$2:$H$2918,MATCH(Settings!$B$16,DKW_10Y!$A$2:$A$2918,1)))*100))</f>
        <v/>
      </c>
      <c r="AC201" s="18">
        <f>IF(NOT(ISNUMBER($A201)),NA(),IFERROR(1*INDEX(BBG_Data!$N$2:$N$4000,MATCH($A201,BBG_Data!$M$2:$M$4000,0)),NA()))</f>
        <v/>
      </c>
      <c r="AD201" s="18">
        <f>IF(NOT(ISNUMBER($A201)),NA(),IFERROR(1*INDEX(BBG_Data!$P$2:$P$4000,MATCH($A201,BBG_Data!$O$2:$O$4000,0)),NA()))</f>
        <v/>
      </c>
      <c r="AE201" s="18">
        <f>IF(NOT(ISNUMBER($A201)),NA(),IFERROR(1*INDEX(BBG_Data!$R$2:$R$4000,MATCH($A201,BBG_Data!$Q$2:$Q$4000,0)),NA()))</f>
        <v/>
      </c>
      <c r="AF201" s="20">
        <f>IF(AND(ISNUMBER(B201),ISNUMBER(AC201)),(B201-AC201)*100,NA())</f>
        <v/>
      </c>
      <c r="AG201" s="20">
        <f>IF(AND(ISNUMBER(AE201),ISNUMBER(AD201)),(AE201-AD201)*100,NA())</f>
        <v/>
      </c>
      <c r="AH201" s="19">
        <f>IF(NOT(ISNUMBER($A201)),NA(),IFERROR(INDEX(BBG_Data!$T$2:$T$4000,MATCH($A201,BBG_Data!$S$2:$S$4000,0))*Settings!$B$25,NA()))</f>
        <v/>
      </c>
      <c r="AI201" s="19">
        <f>IF(NOT(ISNUMBER($A201)),NA(),IFERROR(INDEX(BBG_Data!$V$2:$V$4000,MATCH($A201,BBG_Data!$U$2:$U$4000,0))*Settings!$B$25,NA()))</f>
        <v/>
      </c>
      <c r="AJ201" s="19">
        <f>IF(NOT(ISNUMBER($A201)),NA(),IFERROR(1*INDEX(BBG_Data!$X$2:$X$4000,MATCH($A201,BBG_Data!$W$2:$W$4000,0)),NA()))</f>
        <v/>
      </c>
      <c r="AK201" s="19">
        <f>IF(NOT(ISNUMBER($A201)),NA(),IFERROR(1*INDEX(BBG_Data!$Z$2:$Z$4000,MATCH($A201,BBG_Data!$Y$2:$Y$4000,0)),NA()))</f>
        <v/>
      </c>
    </row>
    <row r="202">
      <c r="A202" s="17">
        <f>IF(ISNUMBER(BBG_Data!A202),BBG_Data!A202,"")</f>
        <v/>
      </c>
      <c r="B202" s="18">
        <f>IF(AND(ISNUMBER($A202),ISNUMBER(BBG_Data!B202)),BBG_Data!B202,NA())</f>
        <v/>
      </c>
      <c r="C202" s="18">
        <f>IF(NOT(ISNUMBER($A202)),NA(),IFERROR(1*INDEX(BBG_Data!$D$2:$D$4000,MATCH($A202,BBG_Data!$C$2:$C$4000,0)),NA()))</f>
        <v/>
      </c>
      <c r="D202" s="19">
        <f>IF(NOT(ISNUMBER($A202)),NA(),IFERROR(1*INDEX(BBG_Data!$F$2:$F$4000,MATCH($A202,BBG_Data!$E$2:$E$4000,0)),NA()))</f>
        <v/>
      </c>
      <c r="E202" s="19">
        <f>IF(NOT(ISNUMBER($A202)),NA(),IFERROR(1*INDEX(BBG_Data!$H$2:$H$4000,MATCH($A202,BBG_Data!$G$2:$G$4000,0)),NA()))</f>
        <v/>
      </c>
      <c r="F202" s="20">
        <f>IF(AND(ISNUMBER(B202),ISNUMBER(B201)),IF(B202=B201,"",(B202-B201)*100),"")</f>
        <v/>
      </c>
      <c r="G202" s="20">
        <f>IF(AND(ISNUMBER(C202),ISNUMBER(C201)),IF(C202=C201,"",(C202-C201)*100),"")</f>
        <v/>
      </c>
      <c r="H202" s="20">
        <f>IF(OR(NOT(ISNUMBER($A202)),ROW()-2&lt;Settings!$B$11),NA(),IF(COUNT(OFFSET(F202,1-Settings!$B$11,0,Settings!$B$11,1))&lt;ROUNDUP(Settings!$B$11*Settings!$B$26,0),NA(),STDEV(OFFSET(F202,1-Settings!$B$11,0,Settings!$B$11,1))*SQRT(Settings!$B$13)))</f>
        <v/>
      </c>
      <c r="I202" s="20">
        <f>IF(OR(NOT(ISNUMBER($A202)),ROW()-2&lt;Settings!$B$12),NA(),IF(COUNT(OFFSET(F202,1-Settings!$B$12,0,Settings!$B$12,1))&lt;ROUNDUP(Settings!$B$12*Settings!$B$26,0),NA(),STDEV(OFFSET(F202,1-Settings!$B$12,0,Settings!$B$12,1))*SQRT(Settings!$B$13)))</f>
        <v/>
      </c>
      <c r="J202" s="20">
        <f>IF(OR(NOT(ISNUMBER($A202)),ROW()-2&lt;Settings!$B$11),NA(),IF(COUNT(OFFSET(G202,1-Settings!$B$11,0,Settings!$B$11,1))&lt;ROUNDUP(Settings!$B$11*Settings!$B$26,0),NA(),STDEV(OFFSET(G202,1-Settings!$B$11,0,Settings!$B$11,1))*SQRT(Settings!$B$13)))</f>
        <v/>
      </c>
      <c r="K202" s="20">
        <f>IF(OR(NOT(ISNUMBER($A202)),ROW()-2&lt;Settings!$B$12),NA(),IF(COUNT(OFFSET(G202,1-Settings!$B$12,0,Settings!$B$12,1))&lt;ROUNDUP(Settings!$B$12*Settings!$B$26,0),NA(),STDEV(OFFSET(G202,1-Settings!$B$12,0,Settings!$B$12,1))*SQRT(Settings!$B$13)))</f>
        <v/>
      </c>
      <c r="L202" s="20">
        <f>IF(AND(ISNUMBER(D202),ISNUMBER(H202)),D202-H202,NA())</f>
        <v/>
      </c>
      <c r="M202" s="20">
        <f>IF(AND(ISNUMBER(E202),ISNUMBER(K202)),E202-K202,NA())</f>
        <v/>
      </c>
      <c r="N202" s="20">
        <f>IF(NOT(ISNUMBER($A202)),NA(),IF(COUNT(OFFSET(G202,1,0,Settings!$B$12,1))&lt;ROUNDUP(Settings!$B$12*Settings!$B$26,0),NA(),STDEV(OFFSET(G202,1,0,Settings!$B$12,1))*SQRT(Settings!$B$13)))</f>
        <v/>
      </c>
      <c r="O202" s="20">
        <f>IF(AND(ISNUMBER(E202),ISNUMBER(N202)),E202-N202,NA())</f>
        <v/>
      </c>
      <c r="P202" s="19">
        <f>IF(NOT(ISNUMBER($A202)),NA(),IF(OR($A202&lt;MIN(KW_TP!$A$2:$A$2501),$A202&gt;MAX(KW_TP!$A$2:$A$2501)),NA(),INDEX(KW_TP!$C$2:$C$2501,MATCH($A202,KW_TP!$A$2:$A$2501,1))))</f>
        <v/>
      </c>
      <c r="Q202" s="18">
        <f>IF(NOT(ISNUMBER($A202)),NA(),IFERROR(1*INDEX(BBG_Data!$J$2:$J$4000,MATCH($A202,BBG_Data!$I$2:$I$4000,0)),NA()))</f>
        <v/>
      </c>
      <c r="R202" s="18">
        <f>IF(NOT(ISNUMBER($A202)),NA(),IFERROR(1*INDEX(BBG_Data!$L$2:$L$4000,MATCH($A202,BBG_Data!$K$2:$K$4000,0)),NA()))</f>
        <v/>
      </c>
      <c r="S202" s="20">
        <f>IF(AND(ISNUMBER(B202),ISNUMBER(Q202),ISNUMBER(R202)),(B202-Q202-R202)*100,NA())</f>
        <v/>
      </c>
      <c r="T202" s="20">
        <f>IF(AND(ISNUMBER(B202),Settings!$B$17&gt;0),IF(ISNUMBER(INDEX($B:$B,Settings!$B$17)),(B202-INDEX($B:$B,Settings!$B$17))*100,NA()),NA())</f>
        <v/>
      </c>
      <c r="U202" s="20">
        <f>IF(AND(ISNUMBER(Q202),Settings!$B$17&gt;0),IF(ISNUMBER(INDEX($Q:$Q,Settings!$B$17)),(Q202-INDEX($Q:$Q,Settings!$B$17))*100,NA()),NA())</f>
        <v/>
      </c>
      <c r="V202" s="20">
        <f>IF(AND(ISNUMBER(R202),Settings!$B$17&gt;0),IF(ISNUMBER(INDEX($R:$R,Settings!$B$17)),(R202-INDEX($R:$R,Settings!$B$17))*100,NA()),NA())</f>
        <v/>
      </c>
      <c r="W202" s="20">
        <f>IF(AND(ISNUMBER(P202),Settings!$B$17&gt;0),IF(ISNUMBER(INDEX($P:$P,Settings!$B$17)),P202-INDEX($P:$P,Settings!$B$17),NA()),NA())</f>
        <v/>
      </c>
      <c r="X202" s="19">
        <f>IF(NOT(ISNUMBER($A202)),NA(),IF(OR($A202&lt;MIN(DKW_10Y!$A$2:$A$2918),$A202&gt;MAX(DKW_10Y!$A$2:$A$2918),Settings!$B$16&lt;MIN(DKW_10Y!$A$2:$A$2918)),NA(),(INDEX(DKW_10Y!$B$2:$B$2918,MATCH($A202,DKW_10Y!$A$2:$A$2918,1))-INDEX(DKW_10Y!$B$2:$B$2918,MATCH(Settings!$B$16,DKW_10Y!$A$2:$A$2918,1)))*100))</f>
        <v/>
      </c>
      <c r="Y202" s="19">
        <f>IF(NOT(ISNUMBER($A202)),NA(),IF(OR($A202&lt;MIN(DKW_10Y!$A$2:$A$2918),$A202&gt;MAX(DKW_10Y!$A$2:$A$2918),Settings!$B$16&lt;MIN(DKW_10Y!$A$2:$A$2918)),NA(),(INDEX(DKW_10Y!$C$2:$C$2918,MATCH($A202,DKW_10Y!$A$2:$A$2918,1))-INDEX(DKW_10Y!$C$2:$C$2918,MATCH(Settings!$B$16,DKW_10Y!$A$2:$A$2918,1)))*100))</f>
        <v/>
      </c>
      <c r="Z202" s="19">
        <f>IF(NOT(ISNUMBER($A202)),NA(),IF(OR($A202&lt;MIN(DKW_10Y!$A$2:$A$2918),$A202&gt;MAX(DKW_10Y!$A$2:$A$2918),Settings!$B$16&lt;MIN(DKW_10Y!$A$2:$A$2918)),NA(),(INDEX(DKW_10Y!$D$2:$D$2918,MATCH($A202,DKW_10Y!$A$2:$A$2918,1))-INDEX(DKW_10Y!$D$2:$D$2918,MATCH(Settings!$B$16,DKW_10Y!$A$2:$A$2918,1)))*100))</f>
        <v/>
      </c>
      <c r="AA202" s="19">
        <f>IF(NOT(ISNUMBER($A202)),NA(),IF(OR($A202&lt;MIN(DKW_10Y!$A$2:$A$2918),$A202&gt;MAX(DKW_10Y!$A$2:$A$2918),Settings!$B$16&lt;MIN(DKW_10Y!$A$2:$A$2918)),NA(),(INDEX(DKW_10Y!$E$2:$E$2918,MATCH($A202,DKW_10Y!$A$2:$A$2918,1))-INDEX(DKW_10Y!$E$2:$E$2918,MATCH(Settings!$B$16,DKW_10Y!$A$2:$A$2918,1)))*100))</f>
        <v/>
      </c>
      <c r="AB202" s="19">
        <f>IF(NOT(ISNUMBER($A202)),NA(),IF(OR($A202&lt;MIN(DKW_10Y!$A$2:$A$2918),$A202&gt;MAX(DKW_10Y!$A$2:$A$2918),Settings!$B$16&lt;MIN(DKW_10Y!$A$2:$A$2918)),NA(),(INDEX(DKW_10Y!$H$2:$H$2918,MATCH($A202,DKW_10Y!$A$2:$A$2918,1))-INDEX(DKW_10Y!$H$2:$H$2918,MATCH(Settings!$B$16,DKW_10Y!$A$2:$A$2918,1)))*100))</f>
        <v/>
      </c>
      <c r="AC202" s="18">
        <f>IF(NOT(ISNUMBER($A202)),NA(),IFERROR(1*INDEX(BBG_Data!$N$2:$N$4000,MATCH($A202,BBG_Data!$M$2:$M$4000,0)),NA()))</f>
        <v/>
      </c>
      <c r="AD202" s="18">
        <f>IF(NOT(ISNUMBER($A202)),NA(),IFERROR(1*INDEX(BBG_Data!$P$2:$P$4000,MATCH($A202,BBG_Data!$O$2:$O$4000,0)),NA()))</f>
        <v/>
      </c>
      <c r="AE202" s="18">
        <f>IF(NOT(ISNUMBER($A202)),NA(),IFERROR(1*INDEX(BBG_Data!$R$2:$R$4000,MATCH($A202,BBG_Data!$Q$2:$Q$4000,0)),NA()))</f>
        <v/>
      </c>
      <c r="AF202" s="20">
        <f>IF(AND(ISNUMBER(B202),ISNUMBER(AC202)),(B202-AC202)*100,NA())</f>
        <v/>
      </c>
      <c r="AG202" s="20">
        <f>IF(AND(ISNUMBER(AE202),ISNUMBER(AD202)),(AE202-AD202)*100,NA())</f>
        <v/>
      </c>
      <c r="AH202" s="19">
        <f>IF(NOT(ISNUMBER($A202)),NA(),IFERROR(INDEX(BBG_Data!$T$2:$T$4000,MATCH($A202,BBG_Data!$S$2:$S$4000,0))*Settings!$B$25,NA()))</f>
        <v/>
      </c>
      <c r="AI202" s="19">
        <f>IF(NOT(ISNUMBER($A202)),NA(),IFERROR(INDEX(BBG_Data!$V$2:$V$4000,MATCH($A202,BBG_Data!$U$2:$U$4000,0))*Settings!$B$25,NA()))</f>
        <v/>
      </c>
      <c r="AJ202" s="19">
        <f>IF(NOT(ISNUMBER($A202)),NA(),IFERROR(1*INDEX(BBG_Data!$X$2:$X$4000,MATCH($A202,BBG_Data!$W$2:$W$4000,0)),NA()))</f>
        <v/>
      </c>
      <c r="AK202" s="19">
        <f>IF(NOT(ISNUMBER($A202)),NA(),IFERROR(1*INDEX(BBG_Data!$Z$2:$Z$4000,MATCH($A202,BBG_Data!$Y$2:$Y$4000,0)),NA()))</f>
        <v/>
      </c>
    </row>
    <row r="203">
      <c r="A203" s="17">
        <f>IF(ISNUMBER(BBG_Data!A203),BBG_Data!A203,"")</f>
        <v/>
      </c>
      <c r="B203" s="18">
        <f>IF(AND(ISNUMBER($A203),ISNUMBER(BBG_Data!B203)),BBG_Data!B203,NA())</f>
        <v/>
      </c>
      <c r="C203" s="18">
        <f>IF(NOT(ISNUMBER($A203)),NA(),IFERROR(1*INDEX(BBG_Data!$D$2:$D$4000,MATCH($A203,BBG_Data!$C$2:$C$4000,0)),NA()))</f>
        <v/>
      </c>
      <c r="D203" s="19">
        <f>IF(NOT(ISNUMBER($A203)),NA(),IFERROR(1*INDEX(BBG_Data!$F$2:$F$4000,MATCH($A203,BBG_Data!$E$2:$E$4000,0)),NA()))</f>
        <v/>
      </c>
      <c r="E203" s="19">
        <f>IF(NOT(ISNUMBER($A203)),NA(),IFERROR(1*INDEX(BBG_Data!$H$2:$H$4000,MATCH($A203,BBG_Data!$G$2:$G$4000,0)),NA()))</f>
        <v/>
      </c>
      <c r="F203" s="20">
        <f>IF(AND(ISNUMBER(B203),ISNUMBER(B202)),IF(B203=B202,"",(B203-B202)*100),"")</f>
        <v/>
      </c>
      <c r="G203" s="20">
        <f>IF(AND(ISNUMBER(C203),ISNUMBER(C202)),IF(C203=C202,"",(C203-C202)*100),"")</f>
        <v/>
      </c>
      <c r="H203" s="20">
        <f>IF(OR(NOT(ISNUMBER($A203)),ROW()-2&lt;Settings!$B$11),NA(),IF(COUNT(OFFSET(F203,1-Settings!$B$11,0,Settings!$B$11,1))&lt;ROUNDUP(Settings!$B$11*Settings!$B$26,0),NA(),STDEV(OFFSET(F203,1-Settings!$B$11,0,Settings!$B$11,1))*SQRT(Settings!$B$13)))</f>
        <v/>
      </c>
      <c r="I203" s="20">
        <f>IF(OR(NOT(ISNUMBER($A203)),ROW()-2&lt;Settings!$B$12),NA(),IF(COUNT(OFFSET(F203,1-Settings!$B$12,0,Settings!$B$12,1))&lt;ROUNDUP(Settings!$B$12*Settings!$B$26,0),NA(),STDEV(OFFSET(F203,1-Settings!$B$12,0,Settings!$B$12,1))*SQRT(Settings!$B$13)))</f>
        <v/>
      </c>
      <c r="J203" s="20">
        <f>IF(OR(NOT(ISNUMBER($A203)),ROW()-2&lt;Settings!$B$11),NA(),IF(COUNT(OFFSET(G203,1-Settings!$B$11,0,Settings!$B$11,1))&lt;ROUNDUP(Settings!$B$11*Settings!$B$26,0),NA(),STDEV(OFFSET(G203,1-Settings!$B$11,0,Settings!$B$11,1))*SQRT(Settings!$B$13)))</f>
        <v/>
      </c>
      <c r="K203" s="20">
        <f>IF(OR(NOT(ISNUMBER($A203)),ROW()-2&lt;Settings!$B$12),NA(),IF(COUNT(OFFSET(G203,1-Settings!$B$12,0,Settings!$B$12,1))&lt;ROUNDUP(Settings!$B$12*Settings!$B$26,0),NA(),STDEV(OFFSET(G203,1-Settings!$B$12,0,Settings!$B$12,1))*SQRT(Settings!$B$13)))</f>
        <v/>
      </c>
      <c r="L203" s="20">
        <f>IF(AND(ISNUMBER(D203),ISNUMBER(H203)),D203-H203,NA())</f>
        <v/>
      </c>
      <c r="M203" s="20">
        <f>IF(AND(ISNUMBER(E203),ISNUMBER(K203)),E203-K203,NA())</f>
        <v/>
      </c>
      <c r="N203" s="20">
        <f>IF(NOT(ISNUMBER($A203)),NA(),IF(COUNT(OFFSET(G203,1,0,Settings!$B$12,1))&lt;ROUNDUP(Settings!$B$12*Settings!$B$26,0),NA(),STDEV(OFFSET(G203,1,0,Settings!$B$12,1))*SQRT(Settings!$B$13)))</f>
        <v/>
      </c>
      <c r="O203" s="20">
        <f>IF(AND(ISNUMBER(E203),ISNUMBER(N203)),E203-N203,NA())</f>
        <v/>
      </c>
      <c r="P203" s="19">
        <f>IF(NOT(ISNUMBER($A203)),NA(),IF(OR($A203&lt;MIN(KW_TP!$A$2:$A$2501),$A203&gt;MAX(KW_TP!$A$2:$A$2501)),NA(),INDEX(KW_TP!$C$2:$C$2501,MATCH($A203,KW_TP!$A$2:$A$2501,1))))</f>
        <v/>
      </c>
      <c r="Q203" s="18">
        <f>IF(NOT(ISNUMBER($A203)),NA(),IFERROR(1*INDEX(BBG_Data!$J$2:$J$4000,MATCH($A203,BBG_Data!$I$2:$I$4000,0)),NA()))</f>
        <v/>
      </c>
      <c r="R203" s="18">
        <f>IF(NOT(ISNUMBER($A203)),NA(),IFERROR(1*INDEX(BBG_Data!$L$2:$L$4000,MATCH($A203,BBG_Data!$K$2:$K$4000,0)),NA()))</f>
        <v/>
      </c>
      <c r="S203" s="20">
        <f>IF(AND(ISNUMBER(B203),ISNUMBER(Q203),ISNUMBER(R203)),(B203-Q203-R203)*100,NA())</f>
        <v/>
      </c>
      <c r="T203" s="20">
        <f>IF(AND(ISNUMBER(B203),Settings!$B$17&gt;0),IF(ISNUMBER(INDEX($B:$B,Settings!$B$17)),(B203-INDEX($B:$B,Settings!$B$17))*100,NA()),NA())</f>
        <v/>
      </c>
      <c r="U203" s="20">
        <f>IF(AND(ISNUMBER(Q203),Settings!$B$17&gt;0),IF(ISNUMBER(INDEX($Q:$Q,Settings!$B$17)),(Q203-INDEX($Q:$Q,Settings!$B$17))*100,NA()),NA())</f>
        <v/>
      </c>
      <c r="V203" s="20">
        <f>IF(AND(ISNUMBER(R203),Settings!$B$17&gt;0),IF(ISNUMBER(INDEX($R:$R,Settings!$B$17)),(R203-INDEX($R:$R,Settings!$B$17))*100,NA()),NA())</f>
        <v/>
      </c>
      <c r="W203" s="20">
        <f>IF(AND(ISNUMBER(P203),Settings!$B$17&gt;0),IF(ISNUMBER(INDEX($P:$P,Settings!$B$17)),P203-INDEX($P:$P,Settings!$B$17),NA()),NA())</f>
        <v/>
      </c>
      <c r="X203" s="19">
        <f>IF(NOT(ISNUMBER($A203)),NA(),IF(OR($A203&lt;MIN(DKW_10Y!$A$2:$A$2918),$A203&gt;MAX(DKW_10Y!$A$2:$A$2918),Settings!$B$16&lt;MIN(DKW_10Y!$A$2:$A$2918)),NA(),(INDEX(DKW_10Y!$B$2:$B$2918,MATCH($A203,DKW_10Y!$A$2:$A$2918,1))-INDEX(DKW_10Y!$B$2:$B$2918,MATCH(Settings!$B$16,DKW_10Y!$A$2:$A$2918,1)))*100))</f>
        <v/>
      </c>
      <c r="Y203" s="19">
        <f>IF(NOT(ISNUMBER($A203)),NA(),IF(OR($A203&lt;MIN(DKW_10Y!$A$2:$A$2918),$A203&gt;MAX(DKW_10Y!$A$2:$A$2918),Settings!$B$16&lt;MIN(DKW_10Y!$A$2:$A$2918)),NA(),(INDEX(DKW_10Y!$C$2:$C$2918,MATCH($A203,DKW_10Y!$A$2:$A$2918,1))-INDEX(DKW_10Y!$C$2:$C$2918,MATCH(Settings!$B$16,DKW_10Y!$A$2:$A$2918,1)))*100))</f>
        <v/>
      </c>
      <c r="Z203" s="19">
        <f>IF(NOT(ISNUMBER($A203)),NA(),IF(OR($A203&lt;MIN(DKW_10Y!$A$2:$A$2918),$A203&gt;MAX(DKW_10Y!$A$2:$A$2918),Settings!$B$16&lt;MIN(DKW_10Y!$A$2:$A$2918)),NA(),(INDEX(DKW_10Y!$D$2:$D$2918,MATCH($A203,DKW_10Y!$A$2:$A$2918,1))-INDEX(DKW_10Y!$D$2:$D$2918,MATCH(Settings!$B$16,DKW_10Y!$A$2:$A$2918,1)))*100))</f>
        <v/>
      </c>
      <c r="AA203" s="19">
        <f>IF(NOT(ISNUMBER($A203)),NA(),IF(OR($A203&lt;MIN(DKW_10Y!$A$2:$A$2918),$A203&gt;MAX(DKW_10Y!$A$2:$A$2918),Settings!$B$16&lt;MIN(DKW_10Y!$A$2:$A$2918)),NA(),(INDEX(DKW_10Y!$E$2:$E$2918,MATCH($A203,DKW_10Y!$A$2:$A$2918,1))-INDEX(DKW_10Y!$E$2:$E$2918,MATCH(Settings!$B$16,DKW_10Y!$A$2:$A$2918,1)))*100))</f>
        <v/>
      </c>
      <c r="AB203" s="19">
        <f>IF(NOT(ISNUMBER($A203)),NA(),IF(OR($A203&lt;MIN(DKW_10Y!$A$2:$A$2918),$A203&gt;MAX(DKW_10Y!$A$2:$A$2918),Settings!$B$16&lt;MIN(DKW_10Y!$A$2:$A$2918)),NA(),(INDEX(DKW_10Y!$H$2:$H$2918,MATCH($A203,DKW_10Y!$A$2:$A$2918,1))-INDEX(DKW_10Y!$H$2:$H$2918,MATCH(Settings!$B$16,DKW_10Y!$A$2:$A$2918,1)))*100))</f>
        <v/>
      </c>
      <c r="AC203" s="18">
        <f>IF(NOT(ISNUMBER($A203)),NA(),IFERROR(1*INDEX(BBG_Data!$N$2:$N$4000,MATCH($A203,BBG_Data!$M$2:$M$4000,0)),NA()))</f>
        <v/>
      </c>
      <c r="AD203" s="18">
        <f>IF(NOT(ISNUMBER($A203)),NA(),IFERROR(1*INDEX(BBG_Data!$P$2:$P$4000,MATCH($A203,BBG_Data!$O$2:$O$4000,0)),NA()))</f>
        <v/>
      </c>
      <c r="AE203" s="18">
        <f>IF(NOT(ISNUMBER($A203)),NA(),IFERROR(1*INDEX(BBG_Data!$R$2:$R$4000,MATCH($A203,BBG_Data!$Q$2:$Q$4000,0)),NA()))</f>
        <v/>
      </c>
      <c r="AF203" s="20">
        <f>IF(AND(ISNUMBER(B203),ISNUMBER(AC203)),(B203-AC203)*100,NA())</f>
        <v/>
      </c>
      <c r="AG203" s="20">
        <f>IF(AND(ISNUMBER(AE203),ISNUMBER(AD203)),(AE203-AD203)*100,NA())</f>
        <v/>
      </c>
      <c r="AH203" s="19">
        <f>IF(NOT(ISNUMBER($A203)),NA(),IFERROR(INDEX(BBG_Data!$T$2:$T$4000,MATCH($A203,BBG_Data!$S$2:$S$4000,0))*Settings!$B$25,NA()))</f>
        <v/>
      </c>
      <c r="AI203" s="19">
        <f>IF(NOT(ISNUMBER($A203)),NA(),IFERROR(INDEX(BBG_Data!$V$2:$V$4000,MATCH($A203,BBG_Data!$U$2:$U$4000,0))*Settings!$B$25,NA()))</f>
        <v/>
      </c>
      <c r="AJ203" s="19">
        <f>IF(NOT(ISNUMBER($A203)),NA(),IFERROR(1*INDEX(BBG_Data!$X$2:$X$4000,MATCH($A203,BBG_Data!$W$2:$W$4000,0)),NA()))</f>
        <v/>
      </c>
      <c r="AK203" s="19">
        <f>IF(NOT(ISNUMBER($A203)),NA(),IFERROR(1*INDEX(BBG_Data!$Z$2:$Z$4000,MATCH($A203,BBG_Data!$Y$2:$Y$4000,0)),NA()))</f>
        <v/>
      </c>
    </row>
    <row r="204">
      <c r="A204" s="17">
        <f>IF(ISNUMBER(BBG_Data!A204),BBG_Data!A204,"")</f>
        <v/>
      </c>
      <c r="B204" s="18">
        <f>IF(AND(ISNUMBER($A204),ISNUMBER(BBG_Data!B204)),BBG_Data!B204,NA())</f>
        <v/>
      </c>
      <c r="C204" s="18">
        <f>IF(NOT(ISNUMBER($A204)),NA(),IFERROR(1*INDEX(BBG_Data!$D$2:$D$4000,MATCH($A204,BBG_Data!$C$2:$C$4000,0)),NA()))</f>
        <v/>
      </c>
      <c r="D204" s="19">
        <f>IF(NOT(ISNUMBER($A204)),NA(),IFERROR(1*INDEX(BBG_Data!$F$2:$F$4000,MATCH($A204,BBG_Data!$E$2:$E$4000,0)),NA()))</f>
        <v/>
      </c>
      <c r="E204" s="19">
        <f>IF(NOT(ISNUMBER($A204)),NA(),IFERROR(1*INDEX(BBG_Data!$H$2:$H$4000,MATCH($A204,BBG_Data!$G$2:$G$4000,0)),NA()))</f>
        <v/>
      </c>
      <c r="F204" s="20">
        <f>IF(AND(ISNUMBER(B204),ISNUMBER(B203)),IF(B204=B203,"",(B204-B203)*100),"")</f>
        <v/>
      </c>
      <c r="G204" s="20">
        <f>IF(AND(ISNUMBER(C204),ISNUMBER(C203)),IF(C204=C203,"",(C204-C203)*100),"")</f>
        <v/>
      </c>
      <c r="H204" s="20">
        <f>IF(OR(NOT(ISNUMBER($A204)),ROW()-2&lt;Settings!$B$11),NA(),IF(COUNT(OFFSET(F204,1-Settings!$B$11,0,Settings!$B$11,1))&lt;ROUNDUP(Settings!$B$11*Settings!$B$26,0),NA(),STDEV(OFFSET(F204,1-Settings!$B$11,0,Settings!$B$11,1))*SQRT(Settings!$B$13)))</f>
        <v/>
      </c>
      <c r="I204" s="20">
        <f>IF(OR(NOT(ISNUMBER($A204)),ROW()-2&lt;Settings!$B$12),NA(),IF(COUNT(OFFSET(F204,1-Settings!$B$12,0,Settings!$B$12,1))&lt;ROUNDUP(Settings!$B$12*Settings!$B$26,0),NA(),STDEV(OFFSET(F204,1-Settings!$B$12,0,Settings!$B$12,1))*SQRT(Settings!$B$13)))</f>
        <v/>
      </c>
      <c r="J204" s="20">
        <f>IF(OR(NOT(ISNUMBER($A204)),ROW()-2&lt;Settings!$B$11),NA(),IF(COUNT(OFFSET(G204,1-Settings!$B$11,0,Settings!$B$11,1))&lt;ROUNDUP(Settings!$B$11*Settings!$B$26,0),NA(),STDEV(OFFSET(G204,1-Settings!$B$11,0,Settings!$B$11,1))*SQRT(Settings!$B$13)))</f>
        <v/>
      </c>
      <c r="K204" s="20">
        <f>IF(OR(NOT(ISNUMBER($A204)),ROW()-2&lt;Settings!$B$12),NA(),IF(COUNT(OFFSET(G204,1-Settings!$B$12,0,Settings!$B$12,1))&lt;ROUNDUP(Settings!$B$12*Settings!$B$26,0),NA(),STDEV(OFFSET(G204,1-Settings!$B$12,0,Settings!$B$12,1))*SQRT(Settings!$B$13)))</f>
        <v/>
      </c>
      <c r="L204" s="20">
        <f>IF(AND(ISNUMBER(D204),ISNUMBER(H204)),D204-H204,NA())</f>
        <v/>
      </c>
      <c r="M204" s="20">
        <f>IF(AND(ISNUMBER(E204),ISNUMBER(K204)),E204-K204,NA())</f>
        <v/>
      </c>
      <c r="N204" s="20">
        <f>IF(NOT(ISNUMBER($A204)),NA(),IF(COUNT(OFFSET(G204,1,0,Settings!$B$12,1))&lt;ROUNDUP(Settings!$B$12*Settings!$B$26,0),NA(),STDEV(OFFSET(G204,1,0,Settings!$B$12,1))*SQRT(Settings!$B$13)))</f>
        <v/>
      </c>
      <c r="O204" s="20">
        <f>IF(AND(ISNUMBER(E204),ISNUMBER(N204)),E204-N204,NA())</f>
        <v/>
      </c>
      <c r="P204" s="19">
        <f>IF(NOT(ISNUMBER($A204)),NA(),IF(OR($A204&lt;MIN(KW_TP!$A$2:$A$2501),$A204&gt;MAX(KW_TP!$A$2:$A$2501)),NA(),INDEX(KW_TP!$C$2:$C$2501,MATCH($A204,KW_TP!$A$2:$A$2501,1))))</f>
        <v/>
      </c>
      <c r="Q204" s="18">
        <f>IF(NOT(ISNUMBER($A204)),NA(),IFERROR(1*INDEX(BBG_Data!$J$2:$J$4000,MATCH($A204,BBG_Data!$I$2:$I$4000,0)),NA()))</f>
        <v/>
      </c>
      <c r="R204" s="18">
        <f>IF(NOT(ISNUMBER($A204)),NA(),IFERROR(1*INDEX(BBG_Data!$L$2:$L$4000,MATCH($A204,BBG_Data!$K$2:$K$4000,0)),NA()))</f>
        <v/>
      </c>
      <c r="S204" s="20">
        <f>IF(AND(ISNUMBER(B204),ISNUMBER(Q204),ISNUMBER(R204)),(B204-Q204-R204)*100,NA())</f>
        <v/>
      </c>
      <c r="T204" s="20">
        <f>IF(AND(ISNUMBER(B204),Settings!$B$17&gt;0),IF(ISNUMBER(INDEX($B:$B,Settings!$B$17)),(B204-INDEX($B:$B,Settings!$B$17))*100,NA()),NA())</f>
        <v/>
      </c>
      <c r="U204" s="20">
        <f>IF(AND(ISNUMBER(Q204),Settings!$B$17&gt;0),IF(ISNUMBER(INDEX($Q:$Q,Settings!$B$17)),(Q204-INDEX($Q:$Q,Settings!$B$17))*100,NA()),NA())</f>
        <v/>
      </c>
      <c r="V204" s="20">
        <f>IF(AND(ISNUMBER(R204),Settings!$B$17&gt;0),IF(ISNUMBER(INDEX($R:$R,Settings!$B$17)),(R204-INDEX($R:$R,Settings!$B$17))*100,NA()),NA())</f>
        <v/>
      </c>
      <c r="W204" s="20">
        <f>IF(AND(ISNUMBER(P204),Settings!$B$17&gt;0),IF(ISNUMBER(INDEX($P:$P,Settings!$B$17)),P204-INDEX($P:$P,Settings!$B$17),NA()),NA())</f>
        <v/>
      </c>
      <c r="X204" s="19">
        <f>IF(NOT(ISNUMBER($A204)),NA(),IF(OR($A204&lt;MIN(DKW_10Y!$A$2:$A$2918),$A204&gt;MAX(DKW_10Y!$A$2:$A$2918),Settings!$B$16&lt;MIN(DKW_10Y!$A$2:$A$2918)),NA(),(INDEX(DKW_10Y!$B$2:$B$2918,MATCH($A204,DKW_10Y!$A$2:$A$2918,1))-INDEX(DKW_10Y!$B$2:$B$2918,MATCH(Settings!$B$16,DKW_10Y!$A$2:$A$2918,1)))*100))</f>
        <v/>
      </c>
      <c r="Y204" s="19">
        <f>IF(NOT(ISNUMBER($A204)),NA(),IF(OR($A204&lt;MIN(DKW_10Y!$A$2:$A$2918),$A204&gt;MAX(DKW_10Y!$A$2:$A$2918),Settings!$B$16&lt;MIN(DKW_10Y!$A$2:$A$2918)),NA(),(INDEX(DKW_10Y!$C$2:$C$2918,MATCH($A204,DKW_10Y!$A$2:$A$2918,1))-INDEX(DKW_10Y!$C$2:$C$2918,MATCH(Settings!$B$16,DKW_10Y!$A$2:$A$2918,1)))*100))</f>
        <v/>
      </c>
      <c r="Z204" s="19">
        <f>IF(NOT(ISNUMBER($A204)),NA(),IF(OR($A204&lt;MIN(DKW_10Y!$A$2:$A$2918),$A204&gt;MAX(DKW_10Y!$A$2:$A$2918),Settings!$B$16&lt;MIN(DKW_10Y!$A$2:$A$2918)),NA(),(INDEX(DKW_10Y!$D$2:$D$2918,MATCH($A204,DKW_10Y!$A$2:$A$2918,1))-INDEX(DKW_10Y!$D$2:$D$2918,MATCH(Settings!$B$16,DKW_10Y!$A$2:$A$2918,1)))*100))</f>
        <v/>
      </c>
      <c r="AA204" s="19">
        <f>IF(NOT(ISNUMBER($A204)),NA(),IF(OR($A204&lt;MIN(DKW_10Y!$A$2:$A$2918),$A204&gt;MAX(DKW_10Y!$A$2:$A$2918),Settings!$B$16&lt;MIN(DKW_10Y!$A$2:$A$2918)),NA(),(INDEX(DKW_10Y!$E$2:$E$2918,MATCH($A204,DKW_10Y!$A$2:$A$2918,1))-INDEX(DKW_10Y!$E$2:$E$2918,MATCH(Settings!$B$16,DKW_10Y!$A$2:$A$2918,1)))*100))</f>
        <v/>
      </c>
      <c r="AB204" s="19">
        <f>IF(NOT(ISNUMBER($A204)),NA(),IF(OR($A204&lt;MIN(DKW_10Y!$A$2:$A$2918),$A204&gt;MAX(DKW_10Y!$A$2:$A$2918),Settings!$B$16&lt;MIN(DKW_10Y!$A$2:$A$2918)),NA(),(INDEX(DKW_10Y!$H$2:$H$2918,MATCH($A204,DKW_10Y!$A$2:$A$2918,1))-INDEX(DKW_10Y!$H$2:$H$2918,MATCH(Settings!$B$16,DKW_10Y!$A$2:$A$2918,1)))*100))</f>
        <v/>
      </c>
      <c r="AC204" s="18">
        <f>IF(NOT(ISNUMBER($A204)),NA(),IFERROR(1*INDEX(BBG_Data!$N$2:$N$4000,MATCH($A204,BBG_Data!$M$2:$M$4000,0)),NA()))</f>
        <v/>
      </c>
      <c r="AD204" s="18">
        <f>IF(NOT(ISNUMBER($A204)),NA(),IFERROR(1*INDEX(BBG_Data!$P$2:$P$4000,MATCH($A204,BBG_Data!$O$2:$O$4000,0)),NA()))</f>
        <v/>
      </c>
      <c r="AE204" s="18">
        <f>IF(NOT(ISNUMBER($A204)),NA(),IFERROR(1*INDEX(BBG_Data!$R$2:$R$4000,MATCH($A204,BBG_Data!$Q$2:$Q$4000,0)),NA()))</f>
        <v/>
      </c>
      <c r="AF204" s="20">
        <f>IF(AND(ISNUMBER(B204),ISNUMBER(AC204)),(B204-AC204)*100,NA())</f>
        <v/>
      </c>
      <c r="AG204" s="20">
        <f>IF(AND(ISNUMBER(AE204),ISNUMBER(AD204)),(AE204-AD204)*100,NA())</f>
        <v/>
      </c>
      <c r="AH204" s="19">
        <f>IF(NOT(ISNUMBER($A204)),NA(),IFERROR(INDEX(BBG_Data!$T$2:$T$4000,MATCH($A204,BBG_Data!$S$2:$S$4000,0))*Settings!$B$25,NA()))</f>
        <v/>
      </c>
      <c r="AI204" s="19">
        <f>IF(NOT(ISNUMBER($A204)),NA(),IFERROR(INDEX(BBG_Data!$V$2:$V$4000,MATCH($A204,BBG_Data!$U$2:$U$4000,0))*Settings!$B$25,NA()))</f>
        <v/>
      </c>
      <c r="AJ204" s="19">
        <f>IF(NOT(ISNUMBER($A204)),NA(),IFERROR(1*INDEX(BBG_Data!$X$2:$X$4000,MATCH($A204,BBG_Data!$W$2:$W$4000,0)),NA()))</f>
        <v/>
      </c>
      <c r="AK204" s="19">
        <f>IF(NOT(ISNUMBER($A204)),NA(),IFERROR(1*INDEX(BBG_Data!$Z$2:$Z$4000,MATCH($A204,BBG_Data!$Y$2:$Y$4000,0)),NA()))</f>
        <v/>
      </c>
    </row>
    <row r="205">
      <c r="A205" s="17">
        <f>IF(ISNUMBER(BBG_Data!A205),BBG_Data!A205,"")</f>
        <v/>
      </c>
      <c r="B205" s="18">
        <f>IF(AND(ISNUMBER($A205),ISNUMBER(BBG_Data!B205)),BBG_Data!B205,NA())</f>
        <v/>
      </c>
      <c r="C205" s="18">
        <f>IF(NOT(ISNUMBER($A205)),NA(),IFERROR(1*INDEX(BBG_Data!$D$2:$D$4000,MATCH($A205,BBG_Data!$C$2:$C$4000,0)),NA()))</f>
        <v/>
      </c>
      <c r="D205" s="19">
        <f>IF(NOT(ISNUMBER($A205)),NA(),IFERROR(1*INDEX(BBG_Data!$F$2:$F$4000,MATCH($A205,BBG_Data!$E$2:$E$4000,0)),NA()))</f>
        <v/>
      </c>
      <c r="E205" s="19">
        <f>IF(NOT(ISNUMBER($A205)),NA(),IFERROR(1*INDEX(BBG_Data!$H$2:$H$4000,MATCH($A205,BBG_Data!$G$2:$G$4000,0)),NA()))</f>
        <v/>
      </c>
      <c r="F205" s="20">
        <f>IF(AND(ISNUMBER(B205),ISNUMBER(B204)),IF(B205=B204,"",(B205-B204)*100),"")</f>
        <v/>
      </c>
      <c r="G205" s="20">
        <f>IF(AND(ISNUMBER(C205),ISNUMBER(C204)),IF(C205=C204,"",(C205-C204)*100),"")</f>
        <v/>
      </c>
      <c r="H205" s="20">
        <f>IF(OR(NOT(ISNUMBER($A205)),ROW()-2&lt;Settings!$B$11),NA(),IF(COUNT(OFFSET(F205,1-Settings!$B$11,0,Settings!$B$11,1))&lt;ROUNDUP(Settings!$B$11*Settings!$B$26,0),NA(),STDEV(OFFSET(F205,1-Settings!$B$11,0,Settings!$B$11,1))*SQRT(Settings!$B$13)))</f>
        <v/>
      </c>
      <c r="I205" s="20">
        <f>IF(OR(NOT(ISNUMBER($A205)),ROW()-2&lt;Settings!$B$12),NA(),IF(COUNT(OFFSET(F205,1-Settings!$B$12,0,Settings!$B$12,1))&lt;ROUNDUP(Settings!$B$12*Settings!$B$26,0),NA(),STDEV(OFFSET(F205,1-Settings!$B$12,0,Settings!$B$12,1))*SQRT(Settings!$B$13)))</f>
        <v/>
      </c>
      <c r="J205" s="20">
        <f>IF(OR(NOT(ISNUMBER($A205)),ROW()-2&lt;Settings!$B$11),NA(),IF(COUNT(OFFSET(G205,1-Settings!$B$11,0,Settings!$B$11,1))&lt;ROUNDUP(Settings!$B$11*Settings!$B$26,0),NA(),STDEV(OFFSET(G205,1-Settings!$B$11,0,Settings!$B$11,1))*SQRT(Settings!$B$13)))</f>
        <v/>
      </c>
      <c r="K205" s="20">
        <f>IF(OR(NOT(ISNUMBER($A205)),ROW()-2&lt;Settings!$B$12),NA(),IF(COUNT(OFFSET(G205,1-Settings!$B$12,0,Settings!$B$12,1))&lt;ROUNDUP(Settings!$B$12*Settings!$B$26,0),NA(),STDEV(OFFSET(G205,1-Settings!$B$12,0,Settings!$B$12,1))*SQRT(Settings!$B$13)))</f>
        <v/>
      </c>
      <c r="L205" s="20">
        <f>IF(AND(ISNUMBER(D205),ISNUMBER(H205)),D205-H205,NA())</f>
        <v/>
      </c>
      <c r="M205" s="20">
        <f>IF(AND(ISNUMBER(E205),ISNUMBER(K205)),E205-K205,NA())</f>
        <v/>
      </c>
      <c r="N205" s="20">
        <f>IF(NOT(ISNUMBER($A205)),NA(),IF(COUNT(OFFSET(G205,1,0,Settings!$B$12,1))&lt;ROUNDUP(Settings!$B$12*Settings!$B$26,0),NA(),STDEV(OFFSET(G205,1,0,Settings!$B$12,1))*SQRT(Settings!$B$13)))</f>
        <v/>
      </c>
      <c r="O205" s="20">
        <f>IF(AND(ISNUMBER(E205),ISNUMBER(N205)),E205-N205,NA())</f>
        <v/>
      </c>
      <c r="P205" s="19">
        <f>IF(NOT(ISNUMBER($A205)),NA(),IF(OR($A205&lt;MIN(KW_TP!$A$2:$A$2501),$A205&gt;MAX(KW_TP!$A$2:$A$2501)),NA(),INDEX(KW_TP!$C$2:$C$2501,MATCH($A205,KW_TP!$A$2:$A$2501,1))))</f>
        <v/>
      </c>
      <c r="Q205" s="18">
        <f>IF(NOT(ISNUMBER($A205)),NA(),IFERROR(1*INDEX(BBG_Data!$J$2:$J$4000,MATCH($A205,BBG_Data!$I$2:$I$4000,0)),NA()))</f>
        <v/>
      </c>
      <c r="R205" s="18">
        <f>IF(NOT(ISNUMBER($A205)),NA(),IFERROR(1*INDEX(BBG_Data!$L$2:$L$4000,MATCH($A205,BBG_Data!$K$2:$K$4000,0)),NA()))</f>
        <v/>
      </c>
      <c r="S205" s="20">
        <f>IF(AND(ISNUMBER(B205),ISNUMBER(Q205),ISNUMBER(R205)),(B205-Q205-R205)*100,NA())</f>
        <v/>
      </c>
      <c r="T205" s="20">
        <f>IF(AND(ISNUMBER(B205),Settings!$B$17&gt;0),IF(ISNUMBER(INDEX($B:$B,Settings!$B$17)),(B205-INDEX($B:$B,Settings!$B$17))*100,NA()),NA())</f>
        <v/>
      </c>
      <c r="U205" s="20">
        <f>IF(AND(ISNUMBER(Q205),Settings!$B$17&gt;0),IF(ISNUMBER(INDEX($Q:$Q,Settings!$B$17)),(Q205-INDEX($Q:$Q,Settings!$B$17))*100,NA()),NA())</f>
        <v/>
      </c>
      <c r="V205" s="20">
        <f>IF(AND(ISNUMBER(R205),Settings!$B$17&gt;0),IF(ISNUMBER(INDEX($R:$R,Settings!$B$17)),(R205-INDEX($R:$R,Settings!$B$17))*100,NA()),NA())</f>
        <v/>
      </c>
      <c r="W205" s="20">
        <f>IF(AND(ISNUMBER(P205),Settings!$B$17&gt;0),IF(ISNUMBER(INDEX($P:$P,Settings!$B$17)),P205-INDEX($P:$P,Settings!$B$17),NA()),NA())</f>
        <v/>
      </c>
      <c r="X205" s="19">
        <f>IF(NOT(ISNUMBER($A205)),NA(),IF(OR($A205&lt;MIN(DKW_10Y!$A$2:$A$2918),$A205&gt;MAX(DKW_10Y!$A$2:$A$2918),Settings!$B$16&lt;MIN(DKW_10Y!$A$2:$A$2918)),NA(),(INDEX(DKW_10Y!$B$2:$B$2918,MATCH($A205,DKW_10Y!$A$2:$A$2918,1))-INDEX(DKW_10Y!$B$2:$B$2918,MATCH(Settings!$B$16,DKW_10Y!$A$2:$A$2918,1)))*100))</f>
        <v/>
      </c>
      <c r="Y205" s="19">
        <f>IF(NOT(ISNUMBER($A205)),NA(),IF(OR($A205&lt;MIN(DKW_10Y!$A$2:$A$2918),$A205&gt;MAX(DKW_10Y!$A$2:$A$2918),Settings!$B$16&lt;MIN(DKW_10Y!$A$2:$A$2918)),NA(),(INDEX(DKW_10Y!$C$2:$C$2918,MATCH($A205,DKW_10Y!$A$2:$A$2918,1))-INDEX(DKW_10Y!$C$2:$C$2918,MATCH(Settings!$B$16,DKW_10Y!$A$2:$A$2918,1)))*100))</f>
        <v/>
      </c>
      <c r="Z205" s="19">
        <f>IF(NOT(ISNUMBER($A205)),NA(),IF(OR($A205&lt;MIN(DKW_10Y!$A$2:$A$2918),$A205&gt;MAX(DKW_10Y!$A$2:$A$2918),Settings!$B$16&lt;MIN(DKW_10Y!$A$2:$A$2918)),NA(),(INDEX(DKW_10Y!$D$2:$D$2918,MATCH($A205,DKW_10Y!$A$2:$A$2918,1))-INDEX(DKW_10Y!$D$2:$D$2918,MATCH(Settings!$B$16,DKW_10Y!$A$2:$A$2918,1)))*100))</f>
        <v/>
      </c>
      <c r="AA205" s="19">
        <f>IF(NOT(ISNUMBER($A205)),NA(),IF(OR($A205&lt;MIN(DKW_10Y!$A$2:$A$2918),$A205&gt;MAX(DKW_10Y!$A$2:$A$2918),Settings!$B$16&lt;MIN(DKW_10Y!$A$2:$A$2918)),NA(),(INDEX(DKW_10Y!$E$2:$E$2918,MATCH($A205,DKW_10Y!$A$2:$A$2918,1))-INDEX(DKW_10Y!$E$2:$E$2918,MATCH(Settings!$B$16,DKW_10Y!$A$2:$A$2918,1)))*100))</f>
        <v/>
      </c>
      <c r="AB205" s="19">
        <f>IF(NOT(ISNUMBER($A205)),NA(),IF(OR($A205&lt;MIN(DKW_10Y!$A$2:$A$2918),$A205&gt;MAX(DKW_10Y!$A$2:$A$2918),Settings!$B$16&lt;MIN(DKW_10Y!$A$2:$A$2918)),NA(),(INDEX(DKW_10Y!$H$2:$H$2918,MATCH($A205,DKW_10Y!$A$2:$A$2918,1))-INDEX(DKW_10Y!$H$2:$H$2918,MATCH(Settings!$B$16,DKW_10Y!$A$2:$A$2918,1)))*100))</f>
        <v/>
      </c>
      <c r="AC205" s="18">
        <f>IF(NOT(ISNUMBER($A205)),NA(),IFERROR(1*INDEX(BBG_Data!$N$2:$N$4000,MATCH($A205,BBG_Data!$M$2:$M$4000,0)),NA()))</f>
        <v/>
      </c>
      <c r="AD205" s="18">
        <f>IF(NOT(ISNUMBER($A205)),NA(),IFERROR(1*INDEX(BBG_Data!$P$2:$P$4000,MATCH($A205,BBG_Data!$O$2:$O$4000,0)),NA()))</f>
        <v/>
      </c>
      <c r="AE205" s="18">
        <f>IF(NOT(ISNUMBER($A205)),NA(),IFERROR(1*INDEX(BBG_Data!$R$2:$R$4000,MATCH($A205,BBG_Data!$Q$2:$Q$4000,0)),NA()))</f>
        <v/>
      </c>
      <c r="AF205" s="20">
        <f>IF(AND(ISNUMBER(B205),ISNUMBER(AC205)),(B205-AC205)*100,NA())</f>
        <v/>
      </c>
      <c r="AG205" s="20">
        <f>IF(AND(ISNUMBER(AE205),ISNUMBER(AD205)),(AE205-AD205)*100,NA())</f>
        <v/>
      </c>
      <c r="AH205" s="19">
        <f>IF(NOT(ISNUMBER($A205)),NA(),IFERROR(INDEX(BBG_Data!$T$2:$T$4000,MATCH($A205,BBG_Data!$S$2:$S$4000,0))*Settings!$B$25,NA()))</f>
        <v/>
      </c>
      <c r="AI205" s="19">
        <f>IF(NOT(ISNUMBER($A205)),NA(),IFERROR(INDEX(BBG_Data!$V$2:$V$4000,MATCH($A205,BBG_Data!$U$2:$U$4000,0))*Settings!$B$25,NA()))</f>
        <v/>
      </c>
      <c r="AJ205" s="19">
        <f>IF(NOT(ISNUMBER($A205)),NA(),IFERROR(1*INDEX(BBG_Data!$X$2:$X$4000,MATCH($A205,BBG_Data!$W$2:$W$4000,0)),NA()))</f>
        <v/>
      </c>
      <c r="AK205" s="19">
        <f>IF(NOT(ISNUMBER($A205)),NA(),IFERROR(1*INDEX(BBG_Data!$Z$2:$Z$4000,MATCH($A205,BBG_Data!$Y$2:$Y$4000,0)),NA()))</f>
        <v/>
      </c>
    </row>
    <row r="206">
      <c r="A206" s="17">
        <f>IF(ISNUMBER(BBG_Data!A206),BBG_Data!A206,"")</f>
        <v/>
      </c>
      <c r="B206" s="18">
        <f>IF(AND(ISNUMBER($A206),ISNUMBER(BBG_Data!B206)),BBG_Data!B206,NA())</f>
        <v/>
      </c>
      <c r="C206" s="18">
        <f>IF(NOT(ISNUMBER($A206)),NA(),IFERROR(1*INDEX(BBG_Data!$D$2:$D$4000,MATCH($A206,BBG_Data!$C$2:$C$4000,0)),NA()))</f>
        <v/>
      </c>
      <c r="D206" s="19">
        <f>IF(NOT(ISNUMBER($A206)),NA(),IFERROR(1*INDEX(BBG_Data!$F$2:$F$4000,MATCH($A206,BBG_Data!$E$2:$E$4000,0)),NA()))</f>
        <v/>
      </c>
      <c r="E206" s="19">
        <f>IF(NOT(ISNUMBER($A206)),NA(),IFERROR(1*INDEX(BBG_Data!$H$2:$H$4000,MATCH($A206,BBG_Data!$G$2:$G$4000,0)),NA()))</f>
        <v/>
      </c>
      <c r="F206" s="20">
        <f>IF(AND(ISNUMBER(B206),ISNUMBER(B205)),IF(B206=B205,"",(B206-B205)*100),"")</f>
        <v/>
      </c>
      <c r="G206" s="20">
        <f>IF(AND(ISNUMBER(C206),ISNUMBER(C205)),IF(C206=C205,"",(C206-C205)*100),"")</f>
        <v/>
      </c>
      <c r="H206" s="20">
        <f>IF(OR(NOT(ISNUMBER($A206)),ROW()-2&lt;Settings!$B$11),NA(),IF(COUNT(OFFSET(F206,1-Settings!$B$11,0,Settings!$B$11,1))&lt;ROUNDUP(Settings!$B$11*Settings!$B$26,0),NA(),STDEV(OFFSET(F206,1-Settings!$B$11,0,Settings!$B$11,1))*SQRT(Settings!$B$13)))</f>
        <v/>
      </c>
      <c r="I206" s="20">
        <f>IF(OR(NOT(ISNUMBER($A206)),ROW()-2&lt;Settings!$B$12),NA(),IF(COUNT(OFFSET(F206,1-Settings!$B$12,0,Settings!$B$12,1))&lt;ROUNDUP(Settings!$B$12*Settings!$B$26,0),NA(),STDEV(OFFSET(F206,1-Settings!$B$12,0,Settings!$B$12,1))*SQRT(Settings!$B$13)))</f>
        <v/>
      </c>
      <c r="J206" s="20">
        <f>IF(OR(NOT(ISNUMBER($A206)),ROW()-2&lt;Settings!$B$11),NA(),IF(COUNT(OFFSET(G206,1-Settings!$B$11,0,Settings!$B$11,1))&lt;ROUNDUP(Settings!$B$11*Settings!$B$26,0),NA(),STDEV(OFFSET(G206,1-Settings!$B$11,0,Settings!$B$11,1))*SQRT(Settings!$B$13)))</f>
        <v/>
      </c>
      <c r="K206" s="20">
        <f>IF(OR(NOT(ISNUMBER($A206)),ROW()-2&lt;Settings!$B$12),NA(),IF(COUNT(OFFSET(G206,1-Settings!$B$12,0,Settings!$B$12,1))&lt;ROUNDUP(Settings!$B$12*Settings!$B$26,0),NA(),STDEV(OFFSET(G206,1-Settings!$B$12,0,Settings!$B$12,1))*SQRT(Settings!$B$13)))</f>
        <v/>
      </c>
      <c r="L206" s="20">
        <f>IF(AND(ISNUMBER(D206),ISNUMBER(H206)),D206-H206,NA())</f>
        <v/>
      </c>
      <c r="M206" s="20">
        <f>IF(AND(ISNUMBER(E206),ISNUMBER(K206)),E206-K206,NA())</f>
        <v/>
      </c>
      <c r="N206" s="20">
        <f>IF(NOT(ISNUMBER($A206)),NA(),IF(COUNT(OFFSET(G206,1,0,Settings!$B$12,1))&lt;ROUNDUP(Settings!$B$12*Settings!$B$26,0),NA(),STDEV(OFFSET(G206,1,0,Settings!$B$12,1))*SQRT(Settings!$B$13)))</f>
        <v/>
      </c>
      <c r="O206" s="20">
        <f>IF(AND(ISNUMBER(E206),ISNUMBER(N206)),E206-N206,NA())</f>
        <v/>
      </c>
      <c r="P206" s="19">
        <f>IF(NOT(ISNUMBER($A206)),NA(),IF(OR($A206&lt;MIN(KW_TP!$A$2:$A$2501),$A206&gt;MAX(KW_TP!$A$2:$A$2501)),NA(),INDEX(KW_TP!$C$2:$C$2501,MATCH($A206,KW_TP!$A$2:$A$2501,1))))</f>
        <v/>
      </c>
      <c r="Q206" s="18">
        <f>IF(NOT(ISNUMBER($A206)),NA(),IFERROR(1*INDEX(BBG_Data!$J$2:$J$4000,MATCH($A206,BBG_Data!$I$2:$I$4000,0)),NA()))</f>
        <v/>
      </c>
      <c r="R206" s="18">
        <f>IF(NOT(ISNUMBER($A206)),NA(),IFERROR(1*INDEX(BBG_Data!$L$2:$L$4000,MATCH($A206,BBG_Data!$K$2:$K$4000,0)),NA()))</f>
        <v/>
      </c>
      <c r="S206" s="20">
        <f>IF(AND(ISNUMBER(B206),ISNUMBER(Q206),ISNUMBER(R206)),(B206-Q206-R206)*100,NA())</f>
        <v/>
      </c>
      <c r="T206" s="20">
        <f>IF(AND(ISNUMBER(B206),Settings!$B$17&gt;0),IF(ISNUMBER(INDEX($B:$B,Settings!$B$17)),(B206-INDEX($B:$B,Settings!$B$17))*100,NA()),NA())</f>
        <v/>
      </c>
      <c r="U206" s="20">
        <f>IF(AND(ISNUMBER(Q206),Settings!$B$17&gt;0),IF(ISNUMBER(INDEX($Q:$Q,Settings!$B$17)),(Q206-INDEX($Q:$Q,Settings!$B$17))*100,NA()),NA())</f>
        <v/>
      </c>
      <c r="V206" s="20">
        <f>IF(AND(ISNUMBER(R206),Settings!$B$17&gt;0),IF(ISNUMBER(INDEX($R:$R,Settings!$B$17)),(R206-INDEX($R:$R,Settings!$B$17))*100,NA()),NA())</f>
        <v/>
      </c>
      <c r="W206" s="20">
        <f>IF(AND(ISNUMBER(P206),Settings!$B$17&gt;0),IF(ISNUMBER(INDEX($P:$P,Settings!$B$17)),P206-INDEX($P:$P,Settings!$B$17),NA()),NA())</f>
        <v/>
      </c>
      <c r="X206" s="19">
        <f>IF(NOT(ISNUMBER($A206)),NA(),IF(OR($A206&lt;MIN(DKW_10Y!$A$2:$A$2918),$A206&gt;MAX(DKW_10Y!$A$2:$A$2918),Settings!$B$16&lt;MIN(DKW_10Y!$A$2:$A$2918)),NA(),(INDEX(DKW_10Y!$B$2:$B$2918,MATCH($A206,DKW_10Y!$A$2:$A$2918,1))-INDEX(DKW_10Y!$B$2:$B$2918,MATCH(Settings!$B$16,DKW_10Y!$A$2:$A$2918,1)))*100))</f>
        <v/>
      </c>
      <c r="Y206" s="19">
        <f>IF(NOT(ISNUMBER($A206)),NA(),IF(OR($A206&lt;MIN(DKW_10Y!$A$2:$A$2918),$A206&gt;MAX(DKW_10Y!$A$2:$A$2918),Settings!$B$16&lt;MIN(DKW_10Y!$A$2:$A$2918)),NA(),(INDEX(DKW_10Y!$C$2:$C$2918,MATCH($A206,DKW_10Y!$A$2:$A$2918,1))-INDEX(DKW_10Y!$C$2:$C$2918,MATCH(Settings!$B$16,DKW_10Y!$A$2:$A$2918,1)))*100))</f>
        <v/>
      </c>
      <c r="Z206" s="19">
        <f>IF(NOT(ISNUMBER($A206)),NA(),IF(OR($A206&lt;MIN(DKW_10Y!$A$2:$A$2918),$A206&gt;MAX(DKW_10Y!$A$2:$A$2918),Settings!$B$16&lt;MIN(DKW_10Y!$A$2:$A$2918)),NA(),(INDEX(DKW_10Y!$D$2:$D$2918,MATCH($A206,DKW_10Y!$A$2:$A$2918,1))-INDEX(DKW_10Y!$D$2:$D$2918,MATCH(Settings!$B$16,DKW_10Y!$A$2:$A$2918,1)))*100))</f>
        <v/>
      </c>
      <c r="AA206" s="19">
        <f>IF(NOT(ISNUMBER($A206)),NA(),IF(OR($A206&lt;MIN(DKW_10Y!$A$2:$A$2918),$A206&gt;MAX(DKW_10Y!$A$2:$A$2918),Settings!$B$16&lt;MIN(DKW_10Y!$A$2:$A$2918)),NA(),(INDEX(DKW_10Y!$E$2:$E$2918,MATCH($A206,DKW_10Y!$A$2:$A$2918,1))-INDEX(DKW_10Y!$E$2:$E$2918,MATCH(Settings!$B$16,DKW_10Y!$A$2:$A$2918,1)))*100))</f>
        <v/>
      </c>
      <c r="AB206" s="19">
        <f>IF(NOT(ISNUMBER($A206)),NA(),IF(OR($A206&lt;MIN(DKW_10Y!$A$2:$A$2918),$A206&gt;MAX(DKW_10Y!$A$2:$A$2918),Settings!$B$16&lt;MIN(DKW_10Y!$A$2:$A$2918)),NA(),(INDEX(DKW_10Y!$H$2:$H$2918,MATCH($A206,DKW_10Y!$A$2:$A$2918,1))-INDEX(DKW_10Y!$H$2:$H$2918,MATCH(Settings!$B$16,DKW_10Y!$A$2:$A$2918,1)))*100))</f>
        <v/>
      </c>
      <c r="AC206" s="18">
        <f>IF(NOT(ISNUMBER($A206)),NA(),IFERROR(1*INDEX(BBG_Data!$N$2:$N$4000,MATCH($A206,BBG_Data!$M$2:$M$4000,0)),NA()))</f>
        <v/>
      </c>
      <c r="AD206" s="18">
        <f>IF(NOT(ISNUMBER($A206)),NA(),IFERROR(1*INDEX(BBG_Data!$P$2:$P$4000,MATCH($A206,BBG_Data!$O$2:$O$4000,0)),NA()))</f>
        <v/>
      </c>
      <c r="AE206" s="18">
        <f>IF(NOT(ISNUMBER($A206)),NA(),IFERROR(1*INDEX(BBG_Data!$R$2:$R$4000,MATCH($A206,BBG_Data!$Q$2:$Q$4000,0)),NA()))</f>
        <v/>
      </c>
      <c r="AF206" s="20">
        <f>IF(AND(ISNUMBER(B206),ISNUMBER(AC206)),(B206-AC206)*100,NA())</f>
        <v/>
      </c>
      <c r="AG206" s="20">
        <f>IF(AND(ISNUMBER(AE206),ISNUMBER(AD206)),(AE206-AD206)*100,NA())</f>
        <v/>
      </c>
      <c r="AH206" s="19">
        <f>IF(NOT(ISNUMBER($A206)),NA(),IFERROR(INDEX(BBG_Data!$T$2:$T$4000,MATCH($A206,BBG_Data!$S$2:$S$4000,0))*Settings!$B$25,NA()))</f>
        <v/>
      </c>
      <c r="AI206" s="19">
        <f>IF(NOT(ISNUMBER($A206)),NA(),IFERROR(INDEX(BBG_Data!$V$2:$V$4000,MATCH($A206,BBG_Data!$U$2:$U$4000,0))*Settings!$B$25,NA()))</f>
        <v/>
      </c>
      <c r="AJ206" s="19">
        <f>IF(NOT(ISNUMBER($A206)),NA(),IFERROR(1*INDEX(BBG_Data!$X$2:$X$4000,MATCH($A206,BBG_Data!$W$2:$W$4000,0)),NA()))</f>
        <v/>
      </c>
      <c r="AK206" s="19">
        <f>IF(NOT(ISNUMBER($A206)),NA(),IFERROR(1*INDEX(BBG_Data!$Z$2:$Z$4000,MATCH($A206,BBG_Data!$Y$2:$Y$4000,0)),NA()))</f>
        <v/>
      </c>
    </row>
    <row r="207">
      <c r="A207" s="17">
        <f>IF(ISNUMBER(BBG_Data!A207),BBG_Data!A207,"")</f>
        <v/>
      </c>
      <c r="B207" s="18">
        <f>IF(AND(ISNUMBER($A207),ISNUMBER(BBG_Data!B207)),BBG_Data!B207,NA())</f>
        <v/>
      </c>
      <c r="C207" s="18">
        <f>IF(NOT(ISNUMBER($A207)),NA(),IFERROR(1*INDEX(BBG_Data!$D$2:$D$4000,MATCH($A207,BBG_Data!$C$2:$C$4000,0)),NA()))</f>
        <v/>
      </c>
      <c r="D207" s="19">
        <f>IF(NOT(ISNUMBER($A207)),NA(),IFERROR(1*INDEX(BBG_Data!$F$2:$F$4000,MATCH($A207,BBG_Data!$E$2:$E$4000,0)),NA()))</f>
        <v/>
      </c>
      <c r="E207" s="19">
        <f>IF(NOT(ISNUMBER($A207)),NA(),IFERROR(1*INDEX(BBG_Data!$H$2:$H$4000,MATCH($A207,BBG_Data!$G$2:$G$4000,0)),NA()))</f>
        <v/>
      </c>
      <c r="F207" s="20">
        <f>IF(AND(ISNUMBER(B207),ISNUMBER(B206)),IF(B207=B206,"",(B207-B206)*100),"")</f>
        <v/>
      </c>
      <c r="G207" s="20">
        <f>IF(AND(ISNUMBER(C207),ISNUMBER(C206)),IF(C207=C206,"",(C207-C206)*100),"")</f>
        <v/>
      </c>
      <c r="H207" s="20">
        <f>IF(OR(NOT(ISNUMBER($A207)),ROW()-2&lt;Settings!$B$11),NA(),IF(COUNT(OFFSET(F207,1-Settings!$B$11,0,Settings!$B$11,1))&lt;ROUNDUP(Settings!$B$11*Settings!$B$26,0),NA(),STDEV(OFFSET(F207,1-Settings!$B$11,0,Settings!$B$11,1))*SQRT(Settings!$B$13)))</f>
        <v/>
      </c>
      <c r="I207" s="20">
        <f>IF(OR(NOT(ISNUMBER($A207)),ROW()-2&lt;Settings!$B$12),NA(),IF(COUNT(OFFSET(F207,1-Settings!$B$12,0,Settings!$B$12,1))&lt;ROUNDUP(Settings!$B$12*Settings!$B$26,0),NA(),STDEV(OFFSET(F207,1-Settings!$B$12,0,Settings!$B$12,1))*SQRT(Settings!$B$13)))</f>
        <v/>
      </c>
      <c r="J207" s="20">
        <f>IF(OR(NOT(ISNUMBER($A207)),ROW()-2&lt;Settings!$B$11),NA(),IF(COUNT(OFFSET(G207,1-Settings!$B$11,0,Settings!$B$11,1))&lt;ROUNDUP(Settings!$B$11*Settings!$B$26,0),NA(),STDEV(OFFSET(G207,1-Settings!$B$11,0,Settings!$B$11,1))*SQRT(Settings!$B$13)))</f>
        <v/>
      </c>
      <c r="K207" s="20">
        <f>IF(OR(NOT(ISNUMBER($A207)),ROW()-2&lt;Settings!$B$12),NA(),IF(COUNT(OFFSET(G207,1-Settings!$B$12,0,Settings!$B$12,1))&lt;ROUNDUP(Settings!$B$12*Settings!$B$26,0),NA(),STDEV(OFFSET(G207,1-Settings!$B$12,0,Settings!$B$12,1))*SQRT(Settings!$B$13)))</f>
        <v/>
      </c>
      <c r="L207" s="20">
        <f>IF(AND(ISNUMBER(D207),ISNUMBER(H207)),D207-H207,NA())</f>
        <v/>
      </c>
      <c r="M207" s="20">
        <f>IF(AND(ISNUMBER(E207),ISNUMBER(K207)),E207-K207,NA())</f>
        <v/>
      </c>
      <c r="N207" s="20">
        <f>IF(NOT(ISNUMBER($A207)),NA(),IF(COUNT(OFFSET(G207,1,0,Settings!$B$12,1))&lt;ROUNDUP(Settings!$B$12*Settings!$B$26,0),NA(),STDEV(OFFSET(G207,1,0,Settings!$B$12,1))*SQRT(Settings!$B$13)))</f>
        <v/>
      </c>
      <c r="O207" s="20">
        <f>IF(AND(ISNUMBER(E207),ISNUMBER(N207)),E207-N207,NA())</f>
        <v/>
      </c>
      <c r="P207" s="19">
        <f>IF(NOT(ISNUMBER($A207)),NA(),IF(OR($A207&lt;MIN(KW_TP!$A$2:$A$2501),$A207&gt;MAX(KW_TP!$A$2:$A$2501)),NA(),INDEX(KW_TP!$C$2:$C$2501,MATCH($A207,KW_TP!$A$2:$A$2501,1))))</f>
        <v/>
      </c>
      <c r="Q207" s="18">
        <f>IF(NOT(ISNUMBER($A207)),NA(),IFERROR(1*INDEX(BBG_Data!$J$2:$J$4000,MATCH($A207,BBG_Data!$I$2:$I$4000,0)),NA()))</f>
        <v/>
      </c>
      <c r="R207" s="18">
        <f>IF(NOT(ISNUMBER($A207)),NA(),IFERROR(1*INDEX(BBG_Data!$L$2:$L$4000,MATCH($A207,BBG_Data!$K$2:$K$4000,0)),NA()))</f>
        <v/>
      </c>
      <c r="S207" s="20">
        <f>IF(AND(ISNUMBER(B207),ISNUMBER(Q207),ISNUMBER(R207)),(B207-Q207-R207)*100,NA())</f>
        <v/>
      </c>
      <c r="T207" s="20">
        <f>IF(AND(ISNUMBER(B207),Settings!$B$17&gt;0),IF(ISNUMBER(INDEX($B:$B,Settings!$B$17)),(B207-INDEX($B:$B,Settings!$B$17))*100,NA()),NA())</f>
        <v/>
      </c>
      <c r="U207" s="20">
        <f>IF(AND(ISNUMBER(Q207),Settings!$B$17&gt;0),IF(ISNUMBER(INDEX($Q:$Q,Settings!$B$17)),(Q207-INDEX($Q:$Q,Settings!$B$17))*100,NA()),NA())</f>
        <v/>
      </c>
      <c r="V207" s="20">
        <f>IF(AND(ISNUMBER(R207),Settings!$B$17&gt;0),IF(ISNUMBER(INDEX($R:$R,Settings!$B$17)),(R207-INDEX($R:$R,Settings!$B$17))*100,NA()),NA())</f>
        <v/>
      </c>
      <c r="W207" s="20">
        <f>IF(AND(ISNUMBER(P207),Settings!$B$17&gt;0),IF(ISNUMBER(INDEX($P:$P,Settings!$B$17)),P207-INDEX($P:$P,Settings!$B$17),NA()),NA())</f>
        <v/>
      </c>
      <c r="X207" s="19">
        <f>IF(NOT(ISNUMBER($A207)),NA(),IF(OR($A207&lt;MIN(DKW_10Y!$A$2:$A$2918),$A207&gt;MAX(DKW_10Y!$A$2:$A$2918),Settings!$B$16&lt;MIN(DKW_10Y!$A$2:$A$2918)),NA(),(INDEX(DKW_10Y!$B$2:$B$2918,MATCH($A207,DKW_10Y!$A$2:$A$2918,1))-INDEX(DKW_10Y!$B$2:$B$2918,MATCH(Settings!$B$16,DKW_10Y!$A$2:$A$2918,1)))*100))</f>
        <v/>
      </c>
      <c r="Y207" s="19">
        <f>IF(NOT(ISNUMBER($A207)),NA(),IF(OR($A207&lt;MIN(DKW_10Y!$A$2:$A$2918),$A207&gt;MAX(DKW_10Y!$A$2:$A$2918),Settings!$B$16&lt;MIN(DKW_10Y!$A$2:$A$2918)),NA(),(INDEX(DKW_10Y!$C$2:$C$2918,MATCH($A207,DKW_10Y!$A$2:$A$2918,1))-INDEX(DKW_10Y!$C$2:$C$2918,MATCH(Settings!$B$16,DKW_10Y!$A$2:$A$2918,1)))*100))</f>
        <v/>
      </c>
      <c r="Z207" s="19">
        <f>IF(NOT(ISNUMBER($A207)),NA(),IF(OR($A207&lt;MIN(DKW_10Y!$A$2:$A$2918),$A207&gt;MAX(DKW_10Y!$A$2:$A$2918),Settings!$B$16&lt;MIN(DKW_10Y!$A$2:$A$2918)),NA(),(INDEX(DKW_10Y!$D$2:$D$2918,MATCH($A207,DKW_10Y!$A$2:$A$2918,1))-INDEX(DKW_10Y!$D$2:$D$2918,MATCH(Settings!$B$16,DKW_10Y!$A$2:$A$2918,1)))*100))</f>
        <v/>
      </c>
      <c r="AA207" s="19">
        <f>IF(NOT(ISNUMBER($A207)),NA(),IF(OR($A207&lt;MIN(DKW_10Y!$A$2:$A$2918),$A207&gt;MAX(DKW_10Y!$A$2:$A$2918),Settings!$B$16&lt;MIN(DKW_10Y!$A$2:$A$2918)),NA(),(INDEX(DKW_10Y!$E$2:$E$2918,MATCH($A207,DKW_10Y!$A$2:$A$2918,1))-INDEX(DKW_10Y!$E$2:$E$2918,MATCH(Settings!$B$16,DKW_10Y!$A$2:$A$2918,1)))*100))</f>
        <v/>
      </c>
      <c r="AB207" s="19">
        <f>IF(NOT(ISNUMBER($A207)),NA(),IF(OR($A207&lt;MIN(DKW_10Y!$A$2:$A$2918),$A207&gt;MAX(DKW_10Y!$A$2:$A$2918),Settings!$B$16&lt;MIN(DKW_10Y!$A$2:$A$2918)),NA(),(INDEX(DKW_10Y!$H$2:$H$2918,MATCH($A207,DKW_10Y!$A$2:$A$2918,1))-INDEX(DKW_10Y!$H$2:$H$2918,MATCH(Settings!$B$16,DKW_10Y!$A$2:$A$2918,1)))*100))</f>
        <v/>
      </c>
      <c r="AC207" s="18">
        <f>IF(NOT(ISNUMBER($A207)),NA(),IFERROR(1*INDEX(BBG_Data!$N$2:$N$4000,MATCH($A207,BBG_Data!$M$2:$M$4000,0)),NA()))</f>
        <v/>
      </c>
      <c r="AD207" s="18">
        <f>IF(NOT(ISNUMBER($A207)),NA(),IFERROR(1*INDEX(BBG_Data!$P$2:$P$4000,MATCH($A207,BBG_Data!$O$2:$O$4000,0)),NA()))</f>
        <v/>
      </c>
      <c r="AE207" s="18">
        <f>IF(NOT(ISNUMBER($A207)),NA(),IFERROR(1*INDEX(BBG_Data!$R$2:$R$4000,MATCH($A207,BBG_Data!$Q$2:$Q$4000,0)),NA()))</f>
        <v/>
      </c>
      <c r="AF207" s="20">
        <f>IF(AND(ISNUMBER(B207),ISNUMBER(AC207)),(B207-AC207)*100,NA())</f>
        <v/>
      </c>
      <c r="AG207" s="20">
        <f>IF(AND(ISNUMBER(AE207),ISNUMBER(AD207)),(AE207-AD207)*100,NA())</f>
        <v/>
      </c>
      <c r="AH207" s="19">
        <f>IF(NOT(ISNUMBER($A207)),NA(),IFERROR(INDEX(BBG_Data!$T$2:$T$4000,MATCH($A207,BBG_Data!$S$2:$S$4000,0))*Settings!$B$25,NA()))</f>
        <v/>
      </c>
      <c r="AI207" s="19">
        <f>IF(NOT(ISNUMBER($A207)),NA(),IFERROR(INDEX(BBG_Data!$V$2:$V$4000,MATCH($A207,BBG_Data!$U$2:$U$4000,0))*Settings!$B$25,NA()))</f>
        <v/>
      </c>
      <c r="AJ207" s="19">
        <f>IF(NOT(ISNUMBER($A207)),NA(),IFERROR(1*INDEX(BBG_Data!$X$2:$X$4000,MATCH($A207,BBG_Data!$W$2:$W$4000,0)),NA()))</f>
        <v/>
      </c>
      <c r="AK207" s="19">
        <f>IF(NOT(ISNUMBER($A207)),NA(),IFERROR(1*INDEX(BBG_Data!$Z$2:$Z$4000,MATCH($A207,BBG_Data!$Y$2:$Y$4000,0)),NA()))</f>
        <v/>
      </c>
    </row>
    <row r="208">
      <c r="A208" s="17">
        <f>IF(ISNUMBER(BBG_Data!A208),BBG_Data!A208,"")</f>
        <v/>
      </c>
      <c r="B208" s="18">
        <f>IF(AND(ISNUMBER($A208),ISNUMBER(BBG_Data!B208)),BBG_Data!B208,NA())</f>
        <v/>
      </c>
      <c r="C208" s="18">
        <f>IF(NOT(ISNUMBER($A208)),NA(),IFERROR(1*INDEX(BBG_Data!$D$2:$D$4000,MATCH($A208,BBG_Data!$C$2:$C$4000,0)),NA()))</f>
        <v/>
      </c>
      <c r="D208" s="19">
        <f>IF(NOT(ISNUMBER($A208)),NA(),IFERROR(1*INDEX(BBG_Data!$F$2:$F$4000,MATCH($A208,BBG_Data!$E$2:$E$4000,0)),NA()))</f>
        <v/>
      </c>
      <c r="E208" s="19">
        <f>IF(NOT(ISNUMBER($A208)),NA(),IFERROR(1*INDEX(BBG_Data!$H$2:$H$4000,MATCH($A208,BBG_Data!$G$2:$G$4000,0)),NA()))</f>
        <v/>
      </c>
      <c r="F208" s="20">
        <f>IF(AND(ISNUMBER(B208),ISNUMBER(B207)),IF(B208=B207,"",(B208-B207)*100),"")</f>
        <v/>
      </c>
      <c r="G208" s="20">
        <f>IF(AND(ISNUMBER(C208),ISNUMBER(C207)),IF(C208=C207,"",(C208-C207)*100),"")</f>
        <v/>
      </c>
      <c r="H208" s="20">
        <f>IF(OR(NOT(ISNUMBER($A208)),ROW()-2&lt;Settings!$B$11),NA(),IF(COUNT(OFFSET(F208,1-Settings!$B$11,0,Settings!$B$11,1))&lt;ROUNDUP(Settings!$B$11*Settings!$B$26,0),NA(),STDEV(OFFSET(F208,1-Settings!$B$11,0,Settings!$B$11,1))*SQRT(Settings!$B$13)))</f>
        <v/>
      </c>
      <c r="I208" s="20">
        <f>IF(OR(NOT(ISNUMBER($A208)),ROW()-2&lt;Settings!$B$12),NA(),IF(COUNT(OFFSET(F208,1-Settings!$B$12,0,Settings!$B$12,1))&lt;ROUNDUP(Settings!$B$12*Settings!$B$26,0),NA(),STDEV(OFFSET(F208,1-Settings!$B$12,0,Settings!$B$12,1))*SQRT(Settings!$B$13)))</f>
        <v/>
      </c>
      <c r="J208" s="20">
        <f>IF(OR(NOT(ISNUMBER($A208)),ROW()-2&lt;Settings!$B$11),NA(),IF(COUNT(OFFSET(G208,1-Settings!$B$11,0,Settings!$B$11,1))&lt;ROUNDUP(Settings!$B$11*Settings!$B$26,0),NA(),STDEV(OFFSET(G208,1-Settings!$B$11,0,Settings!$B$11,1))*SQRT(Settings!$B$13)))</f>
        <v/>
      </c>
      <c r="K208" s="20">
        <f>IF(OR(NOT(ISNUMBER($A208)),ROW()-2&lt;Settings!$B$12),NA(),IF(COUNT(OFFSET(G208,1-Settings!$B$12,0,Settings!$B$12,1))&lt;ROUNDUP(Settings!$B$12*Settings!$B$26,0),NA(),STDEV(OFFSET(G208,1-Settings!$B$12,0,Settings!$B$12,1))*SQRT(Settings!$B$13)))</f>
        <v/>
      </c>
      <c r="L208" s="20">
        <f>IF(AND(ISNUMBER(D208),ISNUMBER(H208)),D208-H208,NA())</f>
        <v/>
      </c>
      <c r="M208" s="20">
        <f>IF(AND(ISNUMBER(E208),ISNUMBER(K208)),E208-K208,NA())</f>
        <v/>
      </c>
      <c r="N208" s="20">
        <f>IF(NOT(ISNUMBER($A208)),NA(),IF(COUNT(OFFSET(G208,1,0,Settings!$B$12,1))&lt;ROUNDUP(Settings!$B$12*Settings!$B$26,0),NA(),STDEV(OFFSET(G208,1,0,Settings!$B$12,1))*SQRT(Settings!$B$13)))</f>
        <v/>
      </c>
      <c r="O208" s="20">
        <f>IF(AND(ISNUMBER(E208),ISNUMBER(N208)),E208-N208,NA())</f>
        <v/>
      </c>
      <c r="P208" s="19">
        <f>IF(NOT(ISNUMBER($A208)),NA(),IF(OR($A208&lt;MIN(KW_TP!$A$2:$A$2501),$A208&gt;MAX(KW_TP!$A$2:$A$2501)),NA(),INDEX(KW_TP!$C$2:$C$2501,MATCH($A208,KW_TP!$A$2:$A$2501,1))))</f>
        <v/>
      </c>
      <c r="Q208" s="18">
        <f>IF(NOT(ISNUMBER($A208)),NA(),IFERROR(1*INDEX(BBG_Data!$J$2:$J$4000,MATCH($A208,BBG_Data!$I$2:$I$4000,0)),NA()))</f>
        <v/>
      </c>
      <c r="R208" s="18">
        <f>IF(NOT(ISNUMBER($A208)),NA(),IFERROR(1*INDEX(BBG_Data!$L$2:$L$4000,MATCH($A208,BBG_Data!$K$2:$K$4000,0)),NA()))</f>
        <v/>
      </c>
      <c r="S208" s="20">
        <f>IF(AND(ISNUMBER(B208),ISNUMBER(Q208),ISNUMBER(R208)),(B208-Q208-R208)*100,NA())</f>
        <v/>
      </c>
      <c r="T208" s="20">
        <f>IF(AND(ISNUMBER(B208),Settings!$B$17&gt;0),IF(ISNUMBER(INDEX($B:$B,Settings!$B$17)),(B208-INDEX($B:$B,Settings!$B$17))*100,NA()),NA())</f>
        <v/>
      </c>
      <c r="U208" s="20">
        <f>IF(AND(ISNUMBER(Q208),Settings!$B$17&gt;0),IF(ISNUMBER(INDEX($Q:$Q,Settings!$B$17)),(Q208-INDEX($Q:$Q,Settings!$B$17))*100,NA()),NA())</f>
        <v/>
      </c>
      <c r="V208" s="20">
        <f>IF(AND(ISNUMBER(R208),Settings!$B$17&gt;0),IF(ISNUMBER(INDEX($R:$R,Settings!$B$17)),(R208-INDEX($R:$R,Settings!$B$17))*100,NA()),NA())</f>
        <v/>
      </c>
      <c r="W208" s="20">
        <f>IF(AND(ISNUMBER(P208),Settings!$B$17&gt;0),IF(ISNUMBER(INDEX($P:$P,Settings!$B$17)),P208-INDEX($P:$P,Settings!$B$17),NA()),NA())</f>
        <v/>
      </c>
      <c r="X208" s="19">
        <f>IF(NOT(ISNUMBER($A208)),NA(),IF(OR($A208&lt;MIN(DKW_10Y!$A$2:$A$2918),$A208&gt;MAX(DKW_10Y!$A$2:$A$2918),Settings!$B$16&lt;MIN(DKW_10Y!$A$2:$A$2918)),NA(),(INDEX(DKW_10Y!$B$2:$B$2918,MATCH($A208,DKW_10Y!$A$2:$A$2918,1))-INDEX(DKW_10Y!$B$2:$B$2918,MATCH(Settings!$B$16,DKW_10Y!$A$2:$A$2918,1)))*100))</f>
        <v/>
      </c>
      <c r="Y208" s="19">
        <f>IF(NOT(ISNUMBER($A208)),NA(),IF(OR($A208&lt;MIN(DKW_10Y!$A$2:$A$2918),$A208&gt;MAX(DKW_10Y!$A$2:$A$2918),Settings!$B$16&lt;MIN(DKW_10Y!$A$2:$A$2918)),NA(),(INDEX(DKW_10Y!$C$2:$C$2918,MATCH($A208,DKW_10Y!$A$2:$A$2918,1))-INDEX(DKW_10Y!$C$2:$C$2918,MATCH(Settings!$B$16,DKW_10Y!$A$2:$A$2918,1)))*100))</f>
        <v/>
      </c>
      <c r="Z208" s="19">
        <f>IF(NOT(ISNUMBER($A208)),NA(),IF(OR($A208&lt;MIN(DKW_10Y!$A$2:$A$2918),$A208&gt;MAX(DKW_10Y!$A$2:$A$2918),Settings!$B$16&lt;MIN(DKW_10Y!$A$2:$A$2918)),NA(),(INDEX(DKW_10Y!$D$2:$D$2918,MATCH($A208,DKW_10Y!$A$2:$A$2918,1))-INDEX(DKW_10Y!$D$2:$D$2918,MATCH(Settings!$B$16,DKW_10Y!$A$2:$A$2918,1)))*100))</f>
        <v/>
      </c>
      <c r="AA208" s="19">
        <f>IF(NOT(ISNUMBER($A208)),NA(),IF(OR($A208&lt;MIN(DKW_10Y!$A$2:$A$2918),$A208&gt;MAX(DKW_10Y!$A$2:$A$2918),Settings!$B$16&lt;MIN(DKW_10Y!$A$2:$A$2918)),NA(),(INDEX(DKW_10Y!$E$2:$E$2918,MATCH($A208,DKW_10Y!$A$2:$A$2918,1))-INDEX(DKW_10Y!$E$2:$E$2918,MATCH(Settings!$B$16,DKW_10Y!$A$2:$A$2918,1)))*100))</f>
        <v/>
      </c>
      <c r="AB208" s="19">
        <f>IF(NOT(ISNUMBER($A208)),NA(),IF(OR($A208&lt;MIN(DKW_10Y!$A$2:$A$2918),$A208&gt;MAX(DKW_10Y!$A$2:$A$2918),Settings!$B$16&lt;MIN(DKW_10Y!$A$2:$A$2918)),NA(),(INDEX(DKW_10Y!$H$2:$H$2918,MATCH($A208,DKW_10Y!$A$2:$A$2918,1))-INDEX(DKW_10Y!$H$2:$H$2918,MATCH(Settings!$B$16,DKW_10Y!$A$2:$A$2918,1)))*100))</f>
        <v/>
      </c>
      <c r="AC208" s="18">
        <f>IF(NOT(ISNUMBER($A208)),NA(),IFERROR(1*INDEX(BBG_Data!$N$2:$N$4000,MATCH($A208,BBG_Data!$M$2:$M$4000,0)),NA()))</f>
        <v/>
      </c>
      <c r="AD208" s="18">
        <f>IF(NOT(ISNUMBER($A208)),NA(),IFERROR(1*INDEX(BBG_Data!$P$2:$P$4000,MATCH($A208,BBG_Data!$O$2:$O$4000,0)),NA()))</f>
        <v/>
      </c>
      <c r="AE208" s="18">
        <f>IF(NOT(ISNUMBER($A208)),NA(),IFERROR(1*INDEX(BBG_Data!$R$2:$R$4000,MATCH($A208,BBG_Data!$Q$2:$Q$4000,0)),NA()))</f>
        <v/>
      </c>
      <c r="AF208" s="20">
        <f>IF(AND(ISNUMBER(B208),ISNUMBER(AC208)),(B208-AC208)*100,NA())</f>
        <v/>
      </c>
      <c r="AG208" s="20">
        <f>IF(AND(ISNUMBER(AE208),ISNUMBER(AD208)),(AE208-AD208)*100,NA())</f>
        <v/>
      </c>
      <c r="AH208" s="19">
        <f>IF(NOT(ISNUMBER($A208)),NA(),IFERROR(INDEX(BBG_Data!$T$2:$T$4000,MATCH($A208,BBG_Data!$S$2:$S$4000,0))*Settings!$B$25,NA()))</f>
        <v/>
      </c>
      <c r="AI208" s="19">
        <f>IF(NOT(ISNUMBER($A208)),NA(),IFERROR(INDEX(BBG_Data!$V$2:$V$4000,MATCH($A208,BBG_Data!$U$2:$U$4000,0))*Settings!$B$25,NA()))</f>
        <v/>
      </c>
      <c r="AJ208" s="19">
        <f>IF(NOT(ISNUMBER($A208)),NA(),IFERROR(1*INDEX(BBG_Data!$X$2:$X$4000,MATCH($A208,BBG_Data!$W$2:$W$4000,0)),NA()))</f>
        <v/>
      </c>
      <c r="AK208" s="19">
        <f>IF(NOT(ISNUMBER($A208)),NA(),IFERROR(1*INDEX(BBG_Data!$Z$2:$Z$4000,MATCH($A208,BBG_Data!$Y$2:$Y$4000,0)),NA()))</f>
        <v/>
      </c>
    </row>
    <row r="209">
      <c r="A209" s="17">
        <f>IF(ISNUMBER(BBG_Data!A209),BBG_Data!A209,"")</f>
        <v/>
      </c>
      <c r="B209" s="18">
        <f>IF(AND(ISNUMBER($A209),ISNUMBER(BBG_Data!B209)),BBG_Data!B209,NA())</f>
        <v/>
      </c>
      <c r="C209" s="18">
        <f>IF(NOT(ISNUMBER($A209)),NA(),IFERROR(1*INDEX(BBG_Data!$D$2:$D$4000,MATCH($A209,BBG_Data!$C$2:$C$4000,0)),NA()))</f>
        <v/>
      </c>
      <c r="D209" s="19">
        <f>IF(NOT(ISNUMBER($A209)),NA(),IFERROR(1*INDEX(BBG_Data!$F$2:$F$4000,MATCH($A209,BBG_Data!$E$2:$E$4000,0)),NA()))</f>
        <v/>
      </c>
      <c r="E209" s="19">
        <f>IF(NOT(ISNUMBER($A209)),NA(),IFERROR(1*INDEX(BBG_Data!$H$2:$H$4000,MATCH($A209,BBG_Data!$G$2:$G$4000,0)),NA()))</f>
        <v/>
      </c>
      <c r="F209" s="20">
        <f>IF(AND(ISNUMBER(B209),ISNUMBER(B208)),IF(B209=B208,"",(B209-B208)*100),"")</f>
        <v/>
      </c>
      <c r="G209" s="20">
        <f>IF(AND(ISNUMBER(C209),ISNUMBER(C208)),IF(C209=C208,"",(C209-C208)*100),"")</f>
        <v/>
      </c>
      <c r="H209" s="20">
        <f>IF(OR(NOT(ISNUMBER($A209)),ROW()-2&lt;Settings!$B$11),NA(),IF(COUNT(OFFSET(F209,1-Settings!$B$11,0,Settings!$B$11,1))&lt;ROUNDUP(Settings!$B$11*Settings!$B$26,0),NA(),STDEV(OFFSET(F209,1-Settings!$B$11,0,Settings!$B$11,1))*SQRT(Settings!$B$13)))</f>
        <v/>
      </c>
      <c r="I209" s="20">
        <f>IF(OR(NOT(ISNUMBER($A209)),ROW()-2&lt;Settings!$B$12),NA(),IF(COUNT(OFFSET(F209,1-Settings!$B$12,0,Settings!$B$12,1))&lt;ROUNDUP(Settings!$B$12*Settings!$B$26,0),NA(),STDEV(OFFSET(F209,1-Settings!$B$12,0,Settings!$B$12,1))*SQRT(Settings!$B$13)))</f>
        <v/>
      </c>
      <c r="J209" s="20">
        <f>IF(OR(NOT(ISNUMBER($A209)),ROW()-2&lt;Settings!$B$11),NA(),IF(COUNT(OFFSET(G209,1-Settings!$B$11,0,Settings!$B$11,1))&lt;ROUNDUP(Settings!$B$11*Settings!$B$26,0),NA(),STDEV(OFFSET(G209,1-Settings!$B$11,0,Settings!$B$11,1))*SQRT(Settings!$B$13)))</f>
        <v/>
      </c>
      <c r="K209" s="20">
        <f>IF(OR(NOT(ISNUMBER($A209)),ROW()-2&lt;Settings!$B$12),NA(),IF(COUNT(OFFSET(G209,1-Settings!$B$12,0,Settings!$B$12,1))&lt;ROUNDUP(Settings!$B$12*Settings!$B$26,0),NA(),STDEV(OFFSET(G209,1-Settings!$B$12,0,Settings!$B$12,1))*SQRT(Settings!$B$13)))</f>
        <v/>
      </c>
      <c r="L209" s="20">
        <f>IF(AND(ISNUMBER(D209),ISNUMBER(H209)),D209-H209,NA())</f>
        <v/>
      </c>
      <c r="M209" s="20">
        <f>IF(AND(ISNUMBER(E209),ISNUMBER(K209)),E209-K209,NA())</f>
        <v/>
      </c>
      <c r="N209" s="20">
        <f>IF(NOT(ISNUMBER($A209)),NA(),IF(COUNT(OFFSET(G209,1,0,Settings!$B$12,1))&lt;ROUNDUP(Settings!$B$12*Settings!$B$26,0),NA(),STDEV(OFFSET(G209,1,0,Settings!$B$12,1))*SQRT(Settings!$B$13)))</f>
        <v/>
      </c>
      <c r="O209" s="20">
        <f>IF(AND(ISNUMBER(E209),ISNUMBER(N209)),E209-N209,NA())</f>
        <v/>
      </c>
      <c r="P209" s="19">
        <f>IF(NOT(ISNUMBER($A209)),NA(),IF(OR($A209&lt;MIN(KW_TP!$A$2:$A$2501),$A209&gt;MAX(KW_TP!$A$2:$A$2501)),NA(),INDEX(KW_TP!$C$2:$C$2501,MATCH($A209,KW_TP!$A$2:$A$2501,1))))</f>
        <v/>
      </c>
      <c r="Q209" s="18">
        <f>IF(NOT(ISNUMBER($A209)),NA(),IFERROR(1*INDEX(BBG_Data!$J$2:$J$4000,MATCH($A209,BBG_Data!$I$2:$I$4000,0)),NA()))</f>
        <v/>
      </c>
      <c r="R209" s="18">
        <f>IF(NOT(ISNUMBER($A209)),NA(),IFERROR(1*INDEX(BBG_Data!$L$2:$L$4000,MATCH($A209,BBG_Data!$K$2:$K$4000,0)),NA()))</f>
        <v/>
      </c>
      <c r="S209" s="20">
        <f>IF(AND(ISNUMBER(B209),ISNUMBER(Q209),ISNUMBER(R209)),(B209-Q209-R209)*100,NA())</f>
        <v/>
      </c>
      <c r="T209" s="20">
        <f>IF(AND(ISNUMBER(B209),Settings!$B$17&gt;0),IF(ISNUMBER(INDEX($B:$B,Settings!$B$17)),(B209-INDEX($B:$B,Settings!$B$17))*100,NA()),NA())</f>
        <v/>
      </c>
      <c r="U209" s="20">
        <f>IF(AND(ISNUMBER(Q209),Settings!$B$17&gt;0),IF(ISNUMBER(INDEX($Q:$Q,Settings!$B$17)),(Q209-INDEX($Q:$Q,Settings!$B$17))*100,NA()),NA())</f>
        <v/>
      </c>
      <c r="V209" s="20">
        <f>IF(AND(ISNUMBER(R209),Settings!$B$17&gt;0),IF(ISNUMBER(INDEX($R:$R,Settings!$B$17)),(R209-INDEX($R:$R,Settings!$B$17))*100,NA()),NA())</f>
        <v/>
      </c>
      <c r="W209" s="20">
        <f>IF(AND(ISNUMBER(P209),Settings!$B$17&gt;0),IF(ISNUMBER(INDEX($P:$P,Settings!$B$17)),P209-INDEX($P:$P,Settings!$B$17),NA()),NA())</f>
        <v/>
      </c>
      <c r="X209" s="19">
        <f>IF(NOT(ISNUMBER($A209)),NA(),IF(OR($A209&lt;MIN(DKW_10Y!$A$2:$A$2918),$A209&gt;MAX(DKW_10Y!$A$2:$A$2918),Settings!$B$16&lt;MIN(DKW_10Y!$A$2:$A$2918)),NA(),(INDEX(DKW_10Y!$B$2:$B$2918,MATCH($A209,DKW_10Y!$A$2:$A$2918,1))-INDEX(DKW_10Y!$B$2:$B$2918,MATCH(Settings!$B$16,DKW_10Y!$A$2:$A$2918,1)))*100))</f>
        <v/>
      </c>
      <c r="Y209" s="19">
        <f>IF(NOT(ISNUMBER($A209)),NA(),IF(OR($A209&lt;MIN(DKW_10Y!$A$2:$A$2918),$A209&gt;MAX(DKW_10Y!$A$2:$A$2918),Settings!$B$16&lt;MIN(DKW_10Y!$A$2:$A$2918)),NA(),(INDEX(DKW_10Y!$C$2:$C$2918,MATCH($A209,DKW_10Y!$A$2:$A$2918,1))-INDEX(DKW_10Y!$C$2:$C$2918,MATCH(Settings!$B$16,DKW_10Y!$A$2:$A$2918,1)))*100))</f>
        <v/>
      </c>
      <c r="Z209" s="19">
        <f>IF(NOT(ISNUMBER($A209)),NA(),IF(OR($A209&lt;MIN(DKW_10Y!$A$2:$A$2918),$A209&gt;MAX(DKW_10Y!$A$2:$A$2918),Settings!$B$16&lt;MIN(DKW_10Y!$A$2:$A$2918)),NA(),(INDEX(DKW_10Y!$D$2:$D$2918,MATCH($A209,DKW_10Y!$A$2:$A$2918,1))-INDEX(DKW_10Y!$D$2:$D$2918,MATCH(Settings!$B$16,DKW_10Y!$A$2:$A$2918,1)))*100))</f>
        <v/>
      </c>
      <c r="AA209" s="19">
        <f>IF(NOT(ISNUMBER($A209)),NA(),IF(OR($A209&lt;MIN(DKW_10Y!$A$2:$A$2918),$A209&gt;MAX(DKW_10Y!$A$2:$A$2918),Settings!$B$16&lt;MIN(DKW_10Y!$A$2:$A$2918)),NA(),(INDEX(DKW_10Y!$E$2:$E$2918,MATCH($A209,DKW_10Y!$A$2:$A$2918,1))-INDEX(DKW_10Y!$E$2:$E$2918,MATCH(Settings!$B$16,DKW_10Y!$A$2:$A$2918,1)))*100))</f>
        <v/>
      </c>
      <c r="AB209" s="19">
        <f>IF(NOT(ISNUMBER($A209)),NA(),IF(OR($A209&lt;MIN(DKW_10Y!$A$2:$A$2918),$A209&gt;MAX(DKW_10Y!$A$2:$A$2918),Settings!$B$16&lt;MIN(DKW_10Y!$A$2:$A$2918)),NA(),(INDEX(DKW_10Y!$H$2:$H$2918,MATCH($A209,DKW_10Y!$A$2:$A$2918,1))-INDEX(DKW_10Y!$H$2:$H$2918,MATCH(Settings!$B$16,DKW_10Y!$A$2:$A$2918,1)))*100))</f>
        <v/>
      </c>
      <c r="AC209" s="18">
        <f>IF(NOT(ISNUMBER($A209)),NA(),IFERROR(1*INDEX(BBG_Data!$N$2:$N$4000,MATCH($A209,BBG_Data!$M$2:$M$4000,0)),NA()))</f>
        <v/>
      </c>
      <c r="AD209" s="18">
        <f>IF(NOT(ISNUMBER($A209)),NA(),IFERROR(1*INDEX(BBG_Data!$P$2:$P$4000,MATCH($A209,BBG_Data!$O$2:$O$4000,0)),NA()))</f>
        <v/>
      </c>
      <c r="AE209" s="18">
        <f>IF(NOT(ISNUMBER($A209)),NA(),IFERROR(1*INDEX(BBG_Data!$R$2:$R$4000,MATCH($A209,BBG_Data!$Q$2:$Q$4000,0)),NA()))</f>
        <v/>
      </c>
      <c r="AF209" s="20">
        <f>IF(AND(ISNUMBER(B209),ISNUMBER(AC209)),(B209-AC209)*100,NA())</f>
        <v/>
      </c>
      <c r="AG209" s="20">
        <f>IF(AND(ISNUMBER(AE209),ISNUMBER(AD209)),(AE209-AD209)*100,NA())</f>
        <v/>
      </c>
      <c r="AH209" s="19">
        <f>IF(NOT(ISNUMBER($A209)),NA(),IFERROR(INDEX(BBG_Data!$T$2:$T$4000,MATCH($A209,BBG_Data!$S$2:$S$4000,0))*Settings!$B$25,NA()))</f>
        <v/>
      </c>
      <c r="AI209" s="19">
        <f>IF(NOT(ISNUMBER($A209)),NA(),IFERROR(INDEX(BBG_Data!$V$2:$V$4000,MATCH($A209,BBG_Data!$U$2:$U$4000,0))*Settings!$B$25,NA()))</f>
        <v/>
      </c>
      <c r="AJ209" s="19">
        <f>IF(NOT(ISNUMBER($A209)),NA(),IFERROR(1*INDEX(BBG_Data!$X$2:$X$4000,MATCH($A209,BBG_Data!$W$2:$W$4000,0)),NA()))</f>
        <v/>
      </c>
      <c r="AK209" s="19">
        <f>IF(NOT(ISNUMBER($A209)),NA(),IFERROR(1*INDEX(BBG_Data!$Z$2:$Z$4000,MATCH($A209,BBG_Data!$Y$2:$Y$4000,0)),NA()))</f>
        <v/>
      </c>
    </row>
    <row r="210">
      <c r="A210" s="17">
        <f>IF(ISNUMBER(BBG_Data!A210),BBG_Data!A210,"")</f>
        <v/>
      </c>
      <c r="B210" s="18">
        <f>IF(AND(ISNUMBER($A210),ISNUMBER(BBG_Data!B210)),BBG_Data!B210,NA())</f>
        <v/>
      </c>
      <c r="C210" s="18">
        <f>IF(NOT(ISNUMBER($A210)),NA(),IFERROR(1*INDEX(BBG_Data!$D$2:$D$4000,MATCH($A210,BBG_Data!$C$2:$C$4000,0)),NA()))</f>
        <v/>
      </c>
      <c r="D210" s="19">
        <f>IF(NOT(ISNUMBER($A210)),NA(),IFERROR(1*INDEX(BBG_Data!$F$2:$F$4000,MATCH($A210,BBG_Data!$E$2:$E$4000,0)),NA()))</f>
        <v/>
      </c>
      <c r="E210" s="19">
        <f>IF(NOT(ISNUMBER($A210)),NA(),IFERROR(1*INDEX(BBG_Data!$H$2:$H$4000,MATCH($A210,BBG_Data!$G$2:$G$4000,0)),NA()))</f>
        <v/>
      </c>
      <c r="F210" s="20">
        <f>IF(AND(ISNUMBER(B210),ISNUMBER(B209)),IF(B210=B209,"",(B210-B209)*100),"")</f>
        <v/>
      </c>
      <c r="G210" s="20">
        <f>IF(AND(ISNUMBER(C210),ISNUMBER(C209)),IF(C210=C209,"",(C210-C209)*100),"")</f>
        <v/>
      </c>
      <c r="H210" s="20">
        <f>IF(OR(NOT(ISNUMBER($A210)),ROW()-2&lt;Settings!$B$11),NA(),IF(COUNT(OFFSET(F210,1-Settings!$B$11,0,Settings!$B$11,1))&lt;ROUNDUP(Settings!$B$11*Settings!$B$26,0),NA(),STDEV(OFFSET(F210,1-Settings!$B$11,0,Settings!$B$11,1))*SQRT(Settings!$B$13)))</f>
        <v/>
      </c>
      <c r="I210" s="20">
        <f>IF(OR(NOT(ISNUMBER($A210)),ROW()-2&lt;Settings!$B$12),NA(),IF(COUNT(OFFSET(F210,1-Settings!$B$12,0,Settings!$B$12,1))&lt;ROUNDUP(Settings!$B$12*Settings!$B$26,0),NA(),STDEV(OFFSET(F210,1-Settings!$B$12,0,Settings!$B$12,1))*SQRT(Settings!$B$13)))</f>
        <v/>
      </c>
      <c r="J210" s="20">
        <f>IF(OR(NOT(ISNUMBER($A210)),ROW()-2&lt;Settings!$B$11),NA(),IF(COUNT(OFFSET(G210,1-Settings!$B$11,0,Settings!$B$11,1))&lt;ROUNDUP(Settings!$B$11*Settings!$B$26,0),NA(),STDEV(OFFSET(G210,1-Settings!$B$11,0,Settings!$B$11,1))*SQRT(Settings!$B$13)))</f>
        <v/>
      </c>
      <c r="K210" s="20">
        <f>IF(OR(NOT(ISNUMBER($A210)),ROW()-2&lt;Settings!$B$12),NA(),IF(COUNT(OFFSET(G210,1-Settings!$B$12,0,Settings!$B$12,1))&lt;ROUNDUP(Settings!$B$12*Settings!$B$26,0),NA(),STDEV(OFFSET(G210,1-Settings!$B$12,0,Settings!$B$12,1))*SQRT(Settings!$B$13)))</f>
        <v/>
      </c>
      <c r="L210" s="20">
        <f>IF(AND(ISNUMBER(D210),ISNUMBER(H210)),D210-H210,NA())</f>
        <v/>
      </c>
      <c r="M210" s="20">
        <f>IF(AND(ISNUMBER(E210),ISNUMBER(K210)),E210-K210,NA())</f>
        <v/>
      </c>
      <c r="N210" s="20">
        <f>IF(NOT(ISNUMBER($A210)),NA(),IF(COUNT(OFFSET(G210,1,0,Settings!$B$12,1))&lt;ROUNDUP(Settings!$B$12*Settings!$B$26,0),NA(),STDEV(OFFSET(G210,1,0,Settings!$B$12,1))*SQRT(Settings!$B$13)))</f>
        <v/>
      </c>
      <c r="O210" s="20">
        <f>IF(AND(ISNUMBER(E210),ISNUMBER(N210)),E210-N210,NA())</f>
        <v/>
      </c>
      <c r="P210" s="19">
        <f>IF(NOT(ISNUMBER($A210)),NA(),IF(OR($A210&lt;MIN(KW_TP!$A$2:$A$2501),$A210&gt;MAX(KW_TP!$A$2:$A$2501)),NA(),INDEX(KW_TP!$C$2:$C$2501,MATCH($A210,KW_TP!$A$2:$A$2501,1))))</f>
        <v/>
      </c>
      <c r="Q210" s="18">
        <f>IF(NOT(ISNUMBER($A210)),NA(),IFERROR(1*INDEX(BBG_Data!$J$2:$J$4000,MATCH($A210,BBG_Data!$I$2:$I$4000,0)),NA()))</f>
        <v/>
      </c>
      <c r="R210" s="18">
        <f>IF(NOT(ISNUMBER($A210)),NA(),IFERROR(1*INDEX(BBG_Data!$L$2:$L$4000,MATCH($A210,BBG_Data!$K$2:$K$4000,0)),NA()))</f>
        <v/>
      </c>
      <c r="S210" s="20">
        <f>IF(AND(ISNUMBER(B210),ISNUMBER(Q210),ISNUMBER(R210)),(B210-Q210-R210)*100,NA())</f>
        <v/>
      </c>
      <c r="T210" s="20">
        <f>IF(AND(ISNUMBER(B210),Settings!$B$17&gt;0),IF(ISNUMBER(INDEX($B:$B,Settings!$B$17)),(B210-INDEX($B:$B,Settings!$B$17))*100,NA()),NA())</f>
        <v/>
      </c>
      <c r="U210" s="20">
        <f>IF(AND(ISNUMBER(Q210),Settings!$B$17&gt;0),IF(ISNUMBER(INDEX($Q:$Q,Settings!$B$17)),(Q210-INDEX($Q:$Q,Settings!$B$17))*100,NA()),NA())</f>
        <v/>
      </c>
      <c r="V210" s="20">
        <f>IF(AND(ISNUMBER(R210),Settings!$B$17&gt;0),IF(ISNUMBER(INDEX($R:$R,Settings!$B$17)),(R210-INDEX($R:$R,Settings!$B$17))*100,NA()),NA())</f>
        <v/>
      </c>
      <c r="W210" s="20">
        <f>IF(AND(ISNUMBER(P210),Settings!$B$17&gt;0),IF(ISNUMBER(INDEX($P:$P,Settings!$B$17)),P210-INDEX($P:$P,Settings!$B$17),NA()),NA())</f>
        <v/>
      </c>
      <c r="X210" s="19">
        <f>IF(NOT(ISNUMBER($A210)),NA(),IF(OR($A210&lt;MIN(DKW_10Y!$A$2:$A$2918),$A210&gt;MAX(DKW_10Y!$A$2:$A$2918),Settings!$B$16&lt;MIN(DKW_10Y!$A$2:$A$2918)),NA(),(INDEX(DKW_10Y!$B$2:$B$2918,MATCH($A210,DKW_10Y!$A$2:$A$2918,1))-INDEX(DKW_10Y!$B$2:$B$2918,MATCH(Settings!$B$16,DKW_10Y!$A$2:$A$2918,1)))*100))</f>
        <v/>
      </c>
      <c r="Y210" s="19">
        <f>IF(NOT(ISNUMBER($A210)),NA(),IF(OR($A210&lt;MIN(DKW_10Y!$A$2:$A$2918),$A210&gt;MAX(DKW_10Y!$A$2:$A$2918),Settings!$B$16&lt;MIN(DKW_10Y!$A$2:$A$2918)),NA(),(INDEX(DKW_10Y!$C$2:$C$2918,MATCH($A210,DKW_10Y!$A$2:$A$2918,1))-INDEX(DKW_10Y!$C$2:$C$2918,MATCH(Settings!$B$16,DKW_10Y!$A$2:$A$2918,1)))*100))</f>
        <v/>
      </c>
      <c r="Z210" s="19">
        <f>IF(NOT(ISNUMBER($A210)),NA(),IF(OR($A210&lt;MIN(DKW_10Y!$A$2:$A$2918),$A210&gt;MAX(DKW_10Y!$A$2:$A$2918),Settings!$B$16&lt;MIN(DKW_10Y!$A$2:$A$2918)),NA(),(INDEX(DKW_10Y!$D$2:$D$2918,MATCH($A210,DKW_10Y!$A$2:$A$2918,1))-INDEX(DKW_10Y!$D$2:$D$2918,MATCH(Settings!$B$16,DKW_10Y!$A$2:$A$2918,1)))*100))</f>
        <v/>
      </c>
      <c r="AA210" s="19">
        <f>IF(NOT(ISNUMBER($A210)),NA(),IF(OR($A210&lt;MIN(DKW_10Y!$A$2:$A$2918),$A210&gt;MAX(DKW_10Y!$A$2:$A$2918),Settings!$B$16&lt;MIN(DKW_10Y!$A$2:$A$2918)),NA(),(INDEX(DKW_10Y!$E$2:$E$2918,MATCH($A210,DKW_10Y!$A$2:$A$2918,1))-INDEX(DKW_10Y!$E$2:$E$2918,MATCH(Settings!$B$16,DKW_10Y!$A$2:$A$2918,1)))*100))</f>
        <v/>
      </c>
      <c r="AB210" s="19">
        <f>IF(NOT(ISNUMBER($A210)),NA(),IF(OR($A210&lt;MIN(DKW_10Y!$A$2:$A$2918),$A210&gt;MAX(DKW_10Y!$A$2:$A$2918),Settings!$B$16&lt;MIN(DKW_10Y!$A$2:$A$2918)),NA(),(INDEX(DKW_10Y!$H$2:$H$2918,MATCH($A210,DKW_10Y!$A$2:$A$2918,1))-INDEX(DKW_10Y!$H$2:$H$2918,MATCH(Settings!$B$16,DKW_10Y!$A$2:$A$2918,1)))*100))</f>
        <v/>
      </c>
      <c r="AC210" s="18">
        <f>IF(NOT(ISNUMBER($A210)),NA(),IFERROR(1*INDEX(BBG_Data!$N$2:$N$4000,MATCH($A210,BBG_Data!$M$2:$M$4000,0)),NA()))</f>
        <v/>
      </c>
      <c r="AD210" s="18">
        <f>IF(NOT(ISNUMBER($A210)),NA(),IFERROR(1*INDEX(BBG_Data!$P$2:$P$4000,MATCH($A210,BBG_Data!$O$2:$O$4000,0)),NA()))</f>
        <v/>
      </c>
      <c r="AE210" s="18">
        <f>IF(NOT(ISNUMBER($A210)),NA(),IFERROR(1*INDEX(BBG_Data!$R$2:$R$4000,MATCH($A210,BBG_Data!$Q$2:$Q$4000,0)),NA()))</f>
        <v/>
      </c>
      <c r="AF210" s="20">
        <f>IF(AND(ISNUMBER(B210),ISNUMBER(AC210)),(B210-AC210)*100,NA())</f>
        <v/>
      </c>
      <c r="AG210" s="20">
        <f>IF(AND(ISNUMBER(AE210),ISNUMBER(AD210)),(AE210-AD210)*100,NA())</f>
        <v/>
      </c>
      <c r="AH210" s="19">
        <f>IF(NOT(ISNUMBER($A210)),NA(),IFERROR(INDEX(BBG_Data!$T$2:$T$4000,MATCH($A210,BBG_Data!$S$2:$S$4000,0))*Settings!$B$25,NA()))</f>
        <v/>
      </c>
      <c r="AI210" s="19">
        <f>IF(NOT(ISNUMBER($A210)),NA(),IFERROR(INDEX(BBG_Data!$V$2:$V$4000,MATCH($A210,BBG_Data!$U$2:$U$4000,0))*Settings!$B$25,NA()))</f>
        <v/>
      </c>
      <c r="AJ210" s="19">
        <f>IF(NOT(ISNUMBER($A210)),NA(),IFERROR(1*INDEX(BBG_Data!$X$2:$X$4000,MATCH($A210,BBG_Data!$W$2:$W$4000,0)),NA()))</f>
        <v/>
      </c>
      <c r="AK210" s="19">
        <f>IF(NOT(ISNUMBER($A210)),NA(),IFERROR(1*INDEX(BBG_Data!$Z$2:$Z$4000,MATCH($A210,BBG_Data!$Y$2:$Y$4000,0)),NA()))</f>
        <v/>
      </c>
    </row>
    <row r="211">
      <c r="A211" s="17">
        <f>IF(ISNUMBER(BBG_Data!A211),BBG_Data!A211,"")</f>
        <v/>
      </c>
      <c r="B211" s="18">
        <f>IF(AND(ISNUMBER($A211),ISNUMBER(BBG_Data!B211)),BBG_Data!B211,NA())</f>
        <v/>
      </c>
      <c r="C211" s="18">
        <f>IF(NOT(ISNUMBER($A211)),NA(),IFERROR(1*INDEX(BBG_Data!$D$2:$D$4000,MATCH($A211,BBG_Data!$C$2:$C$4000,0)),NA()))</f>
        <v/>
      </c>
      <c r="D211" s="19">
        <f>IF(NOT(ISNUMBER($A211)),NA(),IFERROR(1*INDEX(BBG_Data!$F$2:$F$4000,MATCH($A211,BBG_Data!$E$2:$E$4000,0)),NA()))</f>
        <v/>
      </c>
      <c r="E211" s="19">
        <f>IF(NOT(ISNUMBER($A211)),NA(),IFERROR(1*INDEX(BBG_Data!$H$2:$H$4000,MATCH($A211,BBG_Data!$G$2:$G$4000,0)),NA()))</f>
        <v/>
      </c>
      <c r="F211" s="20">
        <f>IF(AND(ISNUMBER(B211),ISNUMBER(B210)),IF(B211=B210,"",(B211-B210)*100),"")</f>
        <v/>
      </c>
      <c r="G211" s="20">
        <f>IF(AND(ISNUMBER(C211),ISNUMBER(C210)),IF(C211=C210,"",(C211-C210)*100),"")</f>
        <v/>
      </c>
      <c r="H211" s="20">
        <f>IF(OR(NOT(ISNUMBER($A211)),ROW()-2&lt;Settings!$B$11),NA(),IF(COUNT(OFFSET(F211,1-Settings!$B$11,0,Settings!$B$11,1))&lt;ROUNDUP(Settings!$B$11*Settings!$B$26,0),NA(),STDEV(OFFSET(F211,1-Settings!$B$11,0,Settings!$B$11,1))*SQRT(Settings!$B$13)))</f>
        <v/>
      </c>
      <c r="I211" s="20">
        <f>IF(OR(NOT(ISNUMBER($A211)),ROW()-2&lt;Settings!$B$12),NA(),IF(COUNT(OFFSET(F211,1-Settings!$B$12,0,Settings!$B$12,1))&lt;ROUNDUP(Settings!$B$12*Settings!$B$26,0),NA(),STDEV(OFFSET(F211,1-Settings!$B$12,0,Settings!$B$12,1))*SQRT(Settings!$B$13)))</f>
        <v/>
      </c>
      <c r="J211" s="20">
        <f>IF(OR(NOT(ISNUMBER($A211)),ROW()-2&lt;Settings!$B$11),NA(),IF(COUNT(OFFSET(G211,1-Settings!$B$11,0,Settings!$B$11,1))&lt;ROUNDUP(Settings!$B$11*Settings!$B$26,0),NA(),STDEV(OFFSET(G211,1-Settings!$B$11,0,Settings!$B$11,1))*SQRT(Settings!$B$13)))</f>
        <v/>
      </c>
      <c r="K211" s="20">
        <f>IF(OR(NOT(ISNUMBER($A211)),ROW()-2&lt;Settings!$B$12),NA(),IF(COUNT(OFFSET(G211,1-Settings!$B$12,0,Settings!$B$12,1))&lt;ROUNDUP(Settings!$B$12*Settings!$B$26,0),NA(),STDEV(OFFSET(G211,1-Settings!$B$12,0,Settings!$B$12,1))*SQRT(Settings!$B$13)))</f>
        <v/>
      </c>
      <c r="L211" s="20">
        <f>IF(AND(ISNUMBER(D211),ISNUMBER(H211)),D211-H211,NA())</f>
        <v/>
      </c>
      <c r="M211" s="20">
        <f>IF(AND(ISNUMBER(E211),ISNUMBER(K211)),E211-K211,NA())</f>
        <v/>
      </c>
      <c r="N211" s="20">
        <f>IF(NOT(ISNUMBER($A211)),NA(),IF(COUNT(OFFSET(G211,1,0,Settings!$B$12,1))&lt;ROUNDUP(Settings!$B$12*Settings!$B$26,0),NA(),STDEV(OFFSET(G211,1,0,Settings!$B$12,1))*SQRT(Settings!$B$13)))</f>
        <v/>
      </c>
      <c r="O211" s="20">
        <f>IF(AND(ISNUMBER(E211),ISNUMBER(N211)),E211-N211,NA())</f>
        <v/>
      </c>
      <c r="P211" s="19">
        <f>IF(NOT(ISNUMBER($A211)),NA(),IF(OR($A211&lt;MIN(KW_TP!$A$2:$A$2501),$A211&gt;MAX(KW_TP!$A$2:$A$2501)),NA(),INDEX(KW_TP!$C$2:$C$2501,MATCH($A211,KW_TP!$A$2:$A$2501,1))))</f>
        <v/>
      </c>
      <c r="Q211" s="18">
        <f>IF(NOT(ISNUMBER($A211)),NA(),IFERROR(1*INDEX(BBG_Data!$J$2:$J$4000,MATCH($A211,BBG_Data!$I$2:$I$4000,0)),NA()))</f>
        <v/>
      </c>
      <c r="R211" s="18">
        <f>IF(NOT(ISNUMBER($A211)),NA(),IFERROR(1*INDEX(BBG_Data!$L$2:$L$4000,MATCH($A211,BBG_Data!$K$2:$K$4000,0)),NA()))</f>
        <v/>
      </c>
      <c r="S211" s="20">
        <f>IF(AND(ISNUMBER(B211),ISNUMBER(Q211),ISNUMBER(R211)),(B211-Q211-R211)*100,NA())</f>
        <v/>
      </c>
      <c r="T211" s="20">
        <f>IF(AND(ISNUMBER(B211),Settings!$B$17&gt;0),IF(ISNUMBER(INDEX($B:$B,Settings!$B$17)),(B211-INDEX($B:$B,Settings!$B$17))*100,NA()),NA())</f>
        <v/>
      </c>
      <c r="U211" s="20">
        <f>IF(AND(ISNUMBER(Q211),Settings!$B$17&gt;0),IF(ISNUMBER(INDEX($Q:$Q,Settings!$B$17)),(Q211-INDEX($Q:$Q,Settings!$B$17))*100,NA()),NA())</f>
        <v/>
      </c>
      <c r="V211" s="20">
        <f>IF(AND(ISNUMBER(R211),Settings!$B$17&gt;0),IF(ISNUMBER(INDEX($R:$R,Settings!$B$17)),(R211-INDEX($R:$R,Settings!$B$17))*100,NA()),NA())</f>
        <v/>
      </c>
      <c r="W211" s="20">
        <f>IF(AND(ISNUMBER(P211),Settings!$B$17&gt;0),IF(ISNUMBER(INDEX($P:$P,Settings!$B$17)),P211-INDEX($P:$P,Settings!$B$17),NA()),NA())</f>
        <v/>
      </c>
      <c r="X211" s="19">
        <f>IF(NOT(ISNUMBER($A211)),NA(),IF(OR($A211&lt;MIN(DKW_10Y!$A$2:$A$2918),$A211&gt;MAX(DKW_10Y!$A$2:$A$2918),Settings!$B$16&lt;MIN(DKW_10Y!$A$2:$A$2918)),NA(),(INDEX(DKW_10Y!$B$2:$B$2918,MATCH($A211,DKW_10Y!$A$2:$A$2918,1))-INDEX(DKW_10Y!$B$2:$B$2918,MATCH(Settings!$B$16,DKW_10Y!$A$2:$A$2918,1)))*100))</f>
        <v/>
      </c>
      <c r="Y211" s="19">
        <f>IF(NOT(ISNUMBER($A211)),NA(),IF(OR($A211&lt;MIN(DKW_10Y!$A$2:$A$2918),$A211&gt;MAX(DKW_10Y!$A$2:$A$2918),Settings!$B$16&lt;MIN(DKW_10Y!$A$2:$A$2918)),NA(),(INDEX(DKW_10Y!$C$2:$C$2918,MATCH($A211,DKW_10Y!$A$2:$A$2918,1))-INDEX(DKW_10Y!$C$2:$C$2918,MATCH(Settings!$B$16,DKW_10Y!$A$2:$A$2918,1)))*100))</f>
        <v/>
      </c>
      <c r="Z211" s="19">
        <f>IF(NOT(ISNUMBER($A211)),NA(),IF(OR($A211&lt;MIN(DKW_10Y!$A$2:$A$2918),$A211&gt;MAX(DKW_10Y!$A$2:$A$2918),Settings!$B$16&lt;MIN(DKW_10Y!$A$2:$A$2918)),NA(),(INDEX(DKW_10Y!$D$2:$D$2918,MATCH($A211,DKW_10Y!$A$2:$A$2918,1))-INDEX(DKW_10Y!$D$2:$D$2918,MATCH(Settings!$B$16,DKW_10Y!$A$2:$A$2918,1)))*100))</f>
        <v/>
      </c>
      <c r="AA211" s="19">
        <f>IF(NOT(ISNUMBER($A211)),NA(),IF(OR($A211&lt;MIN(DKW_10Y!$A$2:$A$2918),$A211&gt;MAX(DKW_10Y!$A$2:$A$2918),Settings!$B$16&lt;MIN(DKW_10Y!$A$2:$A$2918)),NA(),(INDEX(DKW_10Y!$E$2:$E$2918,MATCH($A211,DKW_10Y!$A$2:$A$2918,1))-INDEX(DKW_10Y!$E$2:$E$2918,MATCH(Settings!$B$16,DKW_10Y!$A$2:$A$2918,1)))*100))</f>
        <v/>
      </c>
      <c r="AB211" s="19">
        <f>IF(NOT(ISNUMBER($A211)),NA(),IF(OR($A211&lt;MIN(DKW_10Y!$A$2:$A$2918),$A211&gt;MAX(DKW_10Y!$A$2:$A$2918),Settings!$B$16&lt;MIN(DKW_10Y!$A$2:$A$2918)),NA(),(INDEX(DKW_10Y!$H$2:$H$2918,MATCH($A211,DKW_10Y!$A$2:$A$2918,1))-INDEX(DKW_10Y!$H$2:$H$2918,MATCH(Settings!$B$16,DKW_10Y!$A$2:$A$2918,1)))*100))</f>
        <v/>
      </c>
      <c r="AC211" s="18">
        <f>IF(NOT(ISNUMBER($A211)),NA(),IFERROR(1*INDEX(BBG_Data!$N$2:$N$4000,MATCH($A211,BBG_Data!$M$2:$M$4000,0)),NA()))</f>
        <v/>
      </c>
      <c r="AD211" s="18">
        <f>IF(NOT(ISNUMBER($A211)),NA(),IFERROR(1*INDEX(BBG_Data!$P$2:$P$4000,MATCH($A211,BBG_Data!$O$2:$O$4000,0)),NA()))</f>
        <v/>
      </c>
      <c r="AE211" s="18">
        <f>IF(NOT(ISNUMBER($A211)),NA(),IFERROR(1*INDEX(BBG_Data!$R$2:$R$4000,MATCH($A211,BBG_Data!$Q$2:$Q$4000,0)),NA()))</f>
        <v/>
      </c>
      <c r="AF211" s="20">
        <f>IF(AND(ISNUMBER(B211),ISNUMBER(AC211)),(B211-AC211)*100,NA())</f>
        <v/>
      </c>
      <c r="AG211" s="20">
        <f>IF(AND(ISNUMBER(AE211),ISNUMBER(AD211)),(AE211-AD211)*100,NA())</f>
        <v/>
      </c>
      <c r="AH211" s="19">
        <f>IF(NOT(ISNUMBER($A211)),NA(),IFERROR(INDEX(BBG_Data!$T$2:$T$4000,MATCH($A211,BBG_Data!$S$2:$S$4000,0))*Settings!$B$25,NA()))</f>
        <v/>
      </c>
      <c r="AI211" s="19">
        <f>IF(NOT(ISNUMBER($A211)),NA(),IFERROR(INDEX(BBG_Data!$V$2:$V$4000,MATCH($A211,BBG_Data!$U$2:$U$4000,0))*Settings!$B$25,NA()))</f>
        <v/>
      </c>
      <c r="AJ211" s="19">
        <f>IF(NOT(ISNUMBER($A211)),NA(),IFERROR(1*INDEX(BBG_Data!$X$2:$X$4000,MATCH($A211,BBG_Data!$W$2:$W$4000,0)),NA()))</f>
        <v/>
      </c>
      <c r="AK211" s="19">
        <f>IF(NOT(ISNUMBER($A211)),NA(),IFERROR(1*INDEX(BBG_Data!$Z$2:$Z$4000,MATCH($A211,BBG_Data!$Y$2:$Y$4000,0)),NA()))</f>
        <v/>
      </c>
    </row>
    <row r="212">
      <c r="A212" s="17">
        <f>IF(ISNUMBER(BBG_Data!A212),BBG_Data!A212,"")</f>
        <v/>
      </c>
      <c r="B212" s="18">
        <f>IF(AND(ISNUMBER($A212),ISNUMBER(BBG_Data!B212)),BBG_Data!B212,NA())</f>
        <v/>
      </c>
      <c r="C212" s="18">
        <f>IF(NOT(ISNUMBER($A212)),NA(),IFERROR(1*INDEX(BBG_Data!$D$2:$D$4000,MATCH($A212,BBG_Data!$C$2:$C$4000,0)),NA()))</f>
        <v/>
      </c>
      <c r="D212" s="19">
        <f>IF(NOT(ISNUMBER($A212)),NA(),IFERROR(1*INDEX(BBG_Data!$F$2:$F$4000,MATCH($A212,BBG_Data!$E$2:$E$4000,0)),NA()))</f>
        <v/>
      </c>
      <c r="E212" s="19">
        <f>IF(NOT(ISNUMBER($A212)),NA(),IFERROR(1*INDEX(BBG_Data!$H$2:$H$4000,MATCH($A212,BBG_Data!$G$2:$G$4000,0)),NA()))</f>
        <v/>
      </c>
      <c r="F212" s="20">
        <f>IF(AND(ISNUMBER(B212),ISNUMBER(B211)),IF(B212=B211,"",(B212-B211)*100),"")</f>
        <v/>
      </c>
      <c r="G212" s="20">
        <f>IF(AND(ISNUMBER(C212),ISNUMBER(C211)),IF(C212=C211,"",(C212-C211)*100),"")</f>
        <v/>
      </c>
      <c r="H212" s="20">
        <f>IF(OR(NOT(ISNUMBER($A212)),ROW()-2&lt;Settings!$B$11),NA(),IF(COUNT(OFFSET(F212,1-Settings!$B$11,0,Settings!$B$11,1))&lt;ROUNDUP(Settings!$B$11*Settings!$B$26,0),NA(),STDEV(OFFSET(F212,1-Settings!$B$11,0,Settings!$B$11,1))*SQRT(Settings!$B$13)))</f>
        <v/>
      </c>
      <c r="I212" s="20">
        <f>IF(OR(NOT(ISNUMBER($A212)),ROW()-2&lt;Settings!$B$12),NA(),IF(COUNT(OFFSET(F212,1-Settings!$B$12,0,Settings!$B$12,1))&lt;ROUNDUP(Settings!$B$12*Settings!$B$26,0),NA(),STDEV(OFFSET(F212,1-Settings!$B$12,0,Settings!$B$12,1))*SQRT(Settings!$B$13)))</f>
        <v/>
      </c>
      <c r="J212" s="20">
        <f>IF(OR(NOT(ISNUMBER($A212)),ROW()-2&lt;Settings!$B$11),NA(),IF(COUNT(OFFSET(G212,1-Settings!$B$11,0,Settings!$B$11,1))&lt;ROUNDUP(Settings!$B$11*Settings!$B$26,0),NA(),STDEV(OFFSET(G212,1-Settings!$B$11,0,Settings!$B$11,1))*SQRT(Settings!$B$13)))</f>
        <v/>
      </c>
      <c r="K212" s="20">
        <f>IF(OR(NOT(ISNUMBER($A212)),ROW()-2&lt;Settings!$B$12),NA(),IF(COUNT(OFFSET(G212,1-Settings!$B$12,0,Settings!$B$12,1))&lt;ROUNDUP(Settings!$B$12*Settings!$B$26,0),NA(),STDEV(OFFSET(G212,1-Settings!$B$12,0,Settings!$B$12,1))*SQRT(Settings!$B$13)))</f>
        <v/>
      </c>
      <c r="L212" s="20">
        <f>IF(AND(ISNUMBER(D212),ISNUMBER(H212)),D212-H212,NA())</f>
        <v/>
      </c>
      <c r="M212" s="20">
        <f>IF(AND(ISNUMBER(E212),ISNUMBER(K212)),E212-K212,NA())</f>
        <v/>
      </c>
      <c r="N212" s="20">
        <f>IF(NOT(ISNUMBER($A212)),NA(),IF(COUNT(OFFSET(G212,1,0,Settings!$B$12,1))&lt;ROUNDUP(Settings!$B$12*Settings!$B$26,0),NA(),STDEV(OFFSET(G212,1,0,Settings!$B$12,1))*SQRT(Settings!$B$13)))</f>
        <v/>
      </c>
      <c r="O212" s="20">
        <f>IF(AND(ISNUMBER(E212),ISNUMBER(N212)),E212-N212,NA())</f>
        <v/>
      </c>
      <c r="P212" s="19">
        <f>IF(NOT(ISNUMBER($A212)),NA(),IF(OR($A212&lt;MIN(KW_TP!$A$2:$A$2501),$A212&gt;MAX(KW_TP!$A$2:$A$2501)),NA(),INDEX(KW_TP!$C$2:$C$2501,MATCH($A212,KW_TP!$A$2:$A$2501,1))))</f>
        <v/>
      </c>
      <c r="Q212" s="18">
        <f>IF(NOT(ISNUMBER($A212)),NA(),IFERROR(1*INDEX(BBG_Data!$J$2:$J$4000,MATCH($A212,BBG_Data!$I$2:$I$4000,0)),NA()))</f>
        <v/>
      </c>
      <c r="R212" s="18">
        <f>IF(NOT(ISNUMBER($A212)),NA(),IFERROR(1*INDEX(BBG_Data!$L$2:$L$4000,MATCH($A212,BBG_Data!$K$2:$K$4000,0)),NA()))</f>
        <v/>
      </c>
      <c r="S212" s="20">
        <f>IF(AND(ISNUMBER(B212),ISNUMBER(Q212),ISNUMBER(R212)),(B212-Q212-R212)*100,NA())</f>
        <v/>
      </c>
      <c r="T212" s="20">
        <f>IF(AND(ISNUMBER(B212),Settings!$B$17&gt;0),IF(ISNUMBER(INDEX($B:$B,Settings!$B$17)),(B212-INDEX($B:$B,Settings!$B$17))*100,NA()),NA())</f>
        <v/>
      </c>
      <c r="U212" s="20">
        <f>IF(AND(ISNUMBER(Q212),Settings!$B$17&gt;0),IF(ISNUMBER(INDEX($Q:$Q,Settings!$B$17)),(Q212-INDEX($Q:$Q,Settings!$B$17))*100,NA()),NA())</f>
        <v/>
      </c>
      <c r="V212" s="20">
        <f>IF(AND(ISNUMBER(R212),Settings!$B$17&gt;0),IF(ISNUMBER(INDEX($R:$R,Settings!$B$17)),(R212-INDEX($R:$R,Settings!$B$17))*100,NA()),NA())</f>
        <v/>
      </c>
      <c r="W212" s="20">
        <f>IF(AND(ISNUMBER(P212),Settings!$B$17&gt;0),IF(ISNUMBER(INDEX($P:$P,Settings!$B$17)),P212-INDEX($P:$P,Settings!$B$17),NA()),NA())</f>
        <v/>
      </c>
      <c r="X212" s="19">
        <f>IF(NOT(ISNUMBER($A212)),NA(),IF(OR($A212&lt;MIN(DKW_10Y!$A$2:$A$2918),$A212&gt;MAX(DKW_10Y!$A$2:$A$2918),Settings!$B$16&lt;MIN(DKW_10Y!$A$2:$A$2918)),NA(),(INDEX(DKW_10Y!$B$2:$B$2918,MATCH($A212,DKW_10Y!$A$2:$A$2918,1))-INDEX(DKW_10Y!$B$2:$B$2918,MATCH(Settings!$B$16,DKW_10Y!$A$2:$A$2918,1)))*100))</f>
        <v/>
      </c>
      <c r="Y212" s="19">
        <f>IF(NOT(ISNUMBER($A212)),NA(),IF(OR($A212&lt;MIN(DKW_10Y!$A$2:$A$2918),$A212&gt;MAX(DKW_10Y!$A$2:$A$2918),Settings!$B$16&lt;MIN(DKW_10Y!$A$2:$A$2918)),NA(),(INDEX(DKW_10Y!$C$2:$C$2918,MATCH($A212,DKW_10Y!$A$2:$A$2918,1))-INDEX(DKW_10Y!$C$2:$C$2918,MATCH(Settings!$B$16,DKW_10Y!$A$2:$A$2918,1)))*100))</f>
        <v/>
      </c>
      <c r="Z212" s="19">
        <f>IF(NOT(ISNUMBER($A212)),NA(),IF(OR($A212&lt;MIN(DKW_10Y!$A$2:$A$2918),$A212&gt;MAX(DKW_10Y!$A$2:$A$2918),Settings!$B$16&lt;MIN(DKW_10Y!$A$2:$A$2918)),NA(),(INDEX(DKW_10Y!$D$2:$D$2918,MATCH($A212,DKW_10Y!$A$2:$A$2918,1))-INDEX(DKW_10Y!$D$2:$D$2918,MATCH(Settings!$B$16,DKW_10Y!$A$2:$A$2918,1)))*100))</f>
        <v/>
      </c>
      <c r="AA212" s="19">
        <f>IF(NOT(ISNUMBER($A212)),NA(),IF(OR($A212&lt;MIN(DKW_10Y!$A$2:$A$2918),$A212&gt;MAX(DKW_10Y!$A$2:$A$2918),Settings!$B$16&lt;MIN(DKW_10Y!$A$2:$A$2918)),NA(),(INDEX(DKW_10Y!$E$2:$E$2918,MATCH($A212,DKW_10Y!$A$2:$A$2918,1))-INDEX(DKW_10Y!$E$2:$E$2918,MATCH(Settings!$B$16,DKW_10Y!$A$2:$A$2918,1)))*100))</f>
        <v/>
      </c>
      <c r="AB212" s="19">
        <f>IF(NOT(ISNUMBER($A212)),NA(),IF(OR($A212&lt;MIN(DKW_10Y!$A$2:$A$2918),$A212&gt;MAX(DKW_10Y!$A$2:$A$2918),Settings!$B$16&lt;MIN(DKW_10Y!$A$2:$A$2918)),NA(),(INDEX(DKW_10Y!$H$2:$H$2918,MATCH($A212,DKW_10Y!$A$2:$A$2918,1))-INDEX(DKW_10Y!$H$2:$H$2918,MATCH(Settings!$B$16,DKW_10Y!$A$2:$A$2918,1)))*100))</f>
        <v/>
      </c>
      <c r="AC212" s="18">
        <f>IF(NOT(ISNUMBER($A212)),NA(),IFERROR(1*INDEX(BBG_Data!$N$2:$N$4000,MATCH($A212,BBG_Data!$M$2:$M$4000,0)),NA()))</f>
        <v/>
      </c>
      <c r="AD212" s="18">
        <f>IF(NOT(ISNUMBER($A212)),NA(),IFERROR(1*INDEX(BBG_Data!$P$2:$P$4000,MATCH($A212,BBG_Data!$O$2:$O$4000,0)),NA()))</f>
        <v/>
      </c>
      <c r="AE212" s="18">
        <f>IF(NOT(ISNUMBER($A212)),NA(),IFERROR(1*INDEX(BBG_Data!$R$2:$R$4000,MATCH($A212,BBG_Data!$Q$2:$Q$4000,0)),NA()))</f>
        <v/>
      </c>
      <c r="AF212" s="20">
        <f>IF(AND(ISNUMBER(B212),ISNUMBER(AC212)),(B212-AC212)*100,NA())</f>
        <v/>
      </c>
      <c r="AG212" s="20">
        <f>IF(AND(ISNUMBER(AE212),ISNUMBER(AD212)),(AE212-AD212)*100,NA())</f>
        <v/>
      </c>
      <c r="AH212" s="19">
        <f>IF(NOT(ISNUMBER($A212)),NA(),IFERROR(INDEX(BBG_Data!$T$2:$T$4000,MATCH($A212,BBG_Data!$S$2:$S$4000,0))*Settings!$B$25,NA()))</f>
        <v/>
      </c>
      <c r="AI212" s="19">
        <f>IF(NOT(ISNUMBER($A212)),NA(),IFERROR(INDEX(BBG_Data!$V$2:$V$4000,MATCH($A212,BBG_Data!$U$2:$U$4000,0))*Settings!$B$25,NA()))</f>
        <v/>
      </c>
      <c r="AJ212" s="19">
        <f>IF(NOT(ISNUMBER($A212)),NA(),IFERROR(1*INDEX(BBG_Data!$X$2:$X$4000,MATCH($A212,BBG_Data!$W$2:$W$4000,0)),NA()))</f>
        <v/>
      </c>
      <c r="AK212" s="19">
        <f>IF(NOT(ISNUMBER($A212)),NA(),IFERROR(1*INDEX(BBG_Data!$Z$2:$Z$4000,MATCH($A212,BBG_Data!$Y$2:$Y$4000,0)),NA()))</f>
        <v/>
      </c>
    </row>
    <row r="213">
      <c r="A213" s="17">
        <f>IF(ISNUMBER(BBG_Data!A213),BBG_Data!A213,"")</f>
        <v/>
      </c>
      <c r="B213" s="18">
        <f>IF(AND(ISNUMBER($A213),ISNUMBER(BBG_Data!B213)),BBG_Data!B213,NA())</f>
        <v/>
      </c>
      <c r="C213" s="18">
        <f>IF(NOT(ISNUMBER($A213)),NA(),IFERROR(1*INDEX(BBG_Data!$D$2:$D$4000,MATCH($A213,BBG_Data!$C$2:$C$4000,0)),NA()))</f>
        <v/>
      </c>
      <c r="D213" s="19">
        <f>IF(NOT(ISNUMBER($A213)),NA(),IFERROR(1*INDEX(BBG_Data!$F$2:$F$4000,MATCH($A213,BBG_Data!$E$2:$E$4000,0)),NA()))</f>
        <v/>
      </c>
      <c r="E213" s="19">
        <f>IF(NOT(ISNUMBER($A213)),NA(),IFERROR(1*INDEX(BBG_Data!$H$2:$H$4000,MATCH($A213,BBG_Data!$G$2:$G$4000,0)),NA()))</f>
        <v/>
      </c>
      <c r="F213" s="20">
        <f>IF(AND(ISNUMBER(B213),ISNUMBER(B212)),IF(B213=B212,"",(B213-B212)*100),"")</f>
        <v/>
      </c>
      <c r="G213" s="20">
        <f>IF(AND(ISNUMBER(C213),ISNUMBER(C212)),IF(C213=C212,"",(C213-C212)*100),"")</f>
        <v/>
      </c>
      <c r="H213" s="20">
        <f>IF(OR(NOT(ISNUMBER($A213)),ROW()-2&lt;Settings!$B$11),NA(),IF(COUNT(OFFSET(F213,1-Settings!$B$11,0,Settings!$B$11,1))&lt;ROUNDUP(Settings!$B$11*Settings!$B$26,0),NA(),STDEV(OFFSET(F213,1-Settings!$B$11,0,Settings!$B$11,1))*SQRT(Settings!$B$13)))</f>
        <v/>
      </c>
      <c r="I213" s="20">
        <f>IF(OR(NOT(ISNUMBER($A213)),ROW()-2&lt;Settings!$B$12),NA(),IF(COUNT(OFFSET(F213,1-Settings!$B$12,0,Settings!$B$12,1))&lt;ROUNDUP(Settings!$B$12*Settings!$B$26,0),NA(),STDEV(OFFSET(F213,1-Settings!$B$12,0,Settings!$B$12,1))*SQRT(Settings!$B$13)))</f>
        <v/>
      </c>
      <c r="J213" s="20">
        <f>IF(OR(NOT(ISNUMBER($A213)),ROW()-2&lt;Settings!$B$11),NA(),IF(COUNT(OFFSET(G213,1-Settings!$B$11,0,Settings!$B$11,1))&lt;ROUNDUP(Settings!$B$11*Settings!$B$26,0),NA(),STDEV(OFFSET(G213,1-Settings!$B$11,0,Settings!$B$11,1))*SQRT(Settings!$B$13)))</f>
        <v/>
      </c>
      <c r="K213" s="20">
        <f>IF(OR(NOT(ISNUMBER($A213)),ROW()-2&lt;Settings!$B$12),NA(),IF(COUNT(OFFSET(G213,1-Settings!$B$12,0,Settings!$B$12,1))&lt;ROUNDUP(Settings!$B$12*Settings!$B$26,0),NA(),STDEV(OFFSET(G213,1-Settings!$B$12,0,Settings!$B$12,1))*SQRT(Settings!$B$13)))</f>
        <v/>
      </c>
      <c r="L213" s="20">
        <f>IF(AND(ISNUMBER(D213),ISNUMBER(H213)),D213-H213,NA())</f>
        <v/>
      </c>
      <c r="M213" s="20">
        <f>IF(AND(ISNUMBER(E213),ISNUMBER(K213)),E213-K213,NA())</f>
        <v/>
      </c>
      <c r="N213" s="20">
        <f>IF(NOT(ISNUMBER($A213)),NA(),IF(COUNT(OFFSET(G213,1,0,Settings!$B$12,1))&lt;ROUNDUP(Settings!$B$12*Settings!$B$26,0),NA(),STDEV(OFFSET(G213,1,0,Settings!$B$12,1))*SQRT(Settings!$B$13)))</f>
        <v/>
      </c>
      <c r="O213" s="20">
        <f>IF(AND(ISNUMBER(E213),ISNUMBER(N213)),E213-N213,NA())</f>
        <v/>
      </c>
      <c r="P213" s="19">
        <f>IF(NOT(ISNUMBER($A213)),NA(),IF(OR($A213&lt;MIN(KW_TP!$A$2:$A$2501),$A213&gt;MAX(KW_TP!$A$2:$A$2501)),NA(),INDEX(KW_TP!$C$2:$C$2501,MATCH($A213,KW_TP!$A$2:$A$2501,1))))</f>
        <v/>
      </c>
      <c r="Q213" s="18">
        <f>IF(NOT(ISNUMBER($A213)),NA(),IFERROR(1*INDEX(BBG_Data!$J$2:$J$4000,MATCH($A213,BBG_Data!$I$2:$I$4000,0)),NA()))</f>
        <v/>
      </c>
      <c r="R213" s="18">
        <f>IF(NOT(ISNUMBER($A213)),NA(),IFERROR(1*INDEX(BBG_Data!$L$2:$L$4000,MATCH($A213,BBG_Data!$K$2:$K$4000,0)),NA()))</f>
        <v/>
      </c>
      <c r="S213" s="20">
        <f>IF(AND(ISNUMBER(B213),ISNUMBER(Q213),ISNUMBER(R213)),(B213-Q213-R213)*100,NA())</f>
        <v/>
      </c>
      <c r="T213" s="20">
        <f>IF(AND(ISNUMBER(B213),Settings!$B$17&gt;0),IF(ISNUMBER(INDEX($B:$B,Settings!$B$17)),(B213-INDEX($B:$B,Settings!$B$17))*100,NA()),NA())</f>
        <v/>
      </c>
      <c r="U213" s="20">
        <f>IF(AND(ISNUMBER(Q213),Settings!$B$17&gt;0),IF(ISNUMBER(INDEX($Q:$Q,Settings!$B$17)),(Q213-INDEX($Q:$Q,Settings!$B$17))*100,NA()),NA())</f>
        <v/>
      </c>
      <c r="V213" s="20">
        <f>IF(AND(ISNUMBER(R213),Settings!$B$17&gt;0),IF(ISNUMBER(INDEX($R:$R,Settings!$B$17)),(R213-INDEX($R:$R,Settings!$B$17))*100,NA()),NA())</f>
        <v/>
      </c>
      <c r="W213" s="20">
        <f>IF(AND(ISNUMBER(P213),Settings!$B$17&gt;0),IF(ISNUMBER(INDEX($P:$P,Settings!$B$17)),P213-INDEX($P:$P,Settings!$B$17),NA()),NA())</f>
        <v/>
      </c>
      <c r="X213" s="19">
        <f>IF(NOT(ISNUMBER($A213)),NA(),IF(OR($A213&lt;MIN(DKW_10Y!$A$2:$A$2918),$A213&gt;MAX(DKW_10Y!$A$2:$A$2918),Settings!$B$16&lt;MIN(DKW_10Y!$A$2:$A$2918)),NA(),(INDEX(DKW_10Y!$B$2:$B$2918,MATCH($A213,DKW_10Y!$A$2:$A$2918,1))-INDEX(DKW_10Y!$B$2:$B$2918,MATCH(Settings!$B$16,DKW_10Y!$A$2:$A$2918,1)))*100))</f>
        <v/>
      </c>
      <c r="Y213" s="19">
        <f>IF(NOT(ISNUMBER($A213)),NA(),IF(OR($A213&lt;MIN(DKW_10Y!$A$2:$A$2918),$A213&gt;MAX(DKW_10Y!$A$2:$A$2918),Settings!$B$16&lt;MIN(DKW_10Y!$A$2:$A$2918)),NA(),(INDEX(DKW_10Y!$C$2:$C$2918,MATCH($A213,DKW_10Y!$A$2:$A$2918,1))-INDEX(DKW_10Y!$C$2:$C$2918,MATCH(Settings!$B$16,DKW_10Y!$A$2:$A$2918,1)))*100))</f>
        <v/>
      </c>
      <c r="Z213" s="19">
        <f>IF(NOT(ISNUMBER($A213)),NA(),IF(OR($A213&lt;MIN(DKW_10Y!$A$2:$A$2918),$A213&gt;MAX(DKW_10Y!$A$2:$A$2918),Settings!$B$16&lt;MIN(DKW_10Y!$A$2:$A$2918)),NA(),(INDEX(DKW_10Y!$D$2:$D$2918,MATCH($A213,DKW_10Y!$A$2:$A$2918,1))-INDEX(DKW_10Y!$D$2:$D$2918,MATCH(Settings!$B$16,DKW_10Y!$A$2:$A$2918,1)))*100))</f>
        <v/>
      </c>
      <c r="AA213" s="19">
        <f>IF(NOT(ISNUMBER($A213)),NA(),IF(OR($A213&lt;MIN(DKW_10Y!$A$2:$A$2918),$A213&gt;MAX(DKW_10Y!$A$2:$A$2918),Settings!$B$16&lt;MIN(DKW_10Y!$A$2:$A$2918)),NA(),(INDEX(DKW_10Y!$E$2:$E$2918,MATCH($A213,DKW_10Y!$A$2:$A$2918,1))-INDEX(DKW_10Y!$E$2:$E$2918,MATCH(Settings!$B$16,DKW_10Y!$A$2:$A$2918,1)))*100))</f>
        <v/>
      </c>
      <c r="AB213" s="19">
        <f>IF(NOT(ISNUMBER($A213)),NA(),IF(OR($A213&lt;MIN(DKW_10Y!$A$2:$A$2918),$A213&gt;MAX(DKW_10Y!$A$2:$A$2918),Settings!$B$16&lt;MIN(DKW_10Y!$A$2:$A$2918)),NA(),(INDEX(DKW_10Y!$H$2:$H$2918,MATCH($A213,DKW_10Y!$A$2:$A$2918,1))-INDEX(DKW_10Y!$H$2:$H$2918,MATCH(Settings!$B$16,DKW_10Y!$A$2:$A$2918,1)))*100))</f>
        <v/>
      </c>
      <c r="AC213" s="18">
        <f>IF(NOT(ISNUMBER($A213)),NA(),IFERROR(1*INDEX(BBG_Data!$N$2:$N$4000,MATCH($A213,BBG_Data!$M$2:$M$4000,0)),NA()))</f>
        <v/>
      </c>
      <c r="AD213" s="18">
        <f>IF(NOT(ISNUMBER($A213)),NA(),IFERROR(1*INDEX(BBG_Data!$P$2:$P$4000,MATCH($A213,BBG_Data!$O$2:$O$4000,0)),NA()))</f>
        <v/>
      </c>
      <c r="AE213" s="18">
        <f>IF(NOT(ISNUMBER($A213)),NA(),IFERROR(1*INDEX(BBG_Data!$R$2:$R$4000,MATCH($A213,BBG_Data!$Q$2:$Q$4000,0)),NA()))</f>
        <v/>
      </c>
      <c r="AF213" s="20">
        <f>IF(AND(ISNUMBER(B213),ISNUMBER(AC213)),(B213-AC213)*100,NA())</f>
        <v/>
      </c>
      <c r="AG213" s="20">
        <f>IF(AND(ISNUMBER(AE213),ISNUMBER(AD213)),(AE213-AD213)*100,NA())</f>
        <v/>
      </c>
      <c r="AH213" s="19">
        <f>IF(NOT(ISNUMBER($A213)),NA(),IFERROR(INDEX(BBG_Data!$T$2:$T$4000,MATCH($A213,BBG_Data!$S$2:$S$4000,0))*Settings!$B$25,NA()))</f>
        <v/>
      </c>
      <c r="AI213" s="19">
        <f>IF(NOT(ISNUMBER($A213)),NA(),IFERROR(INDEX(BBG_Data!$V$2:$V$4000,MATCH($A213,BBG_Data!$U$2:$U$4000,0))*Settings!$B$25,NA()))</f>
        <v/>
      </c>
      <c r="AJ213" s="19">
        <f>IF(NOT(ISNUMBER($A213)),NA(),IFERROR(1*INDEX(BBG_Data!$X$2:$X$4000,MATCH($A213,BBG_Data!$W$2:$W$4000,0)),NA()))</f>
        <v/>
      </c>
      <c r="AK213" s="19">
        <f>IF(NOT(ISNUMBER($A213)),NA(),IFERROR(1*INDEX(BBG_Data!$Z$2:$Z$4000,MATCH($A213,BBG_Data!$Y$2:$Y$4000,0)),NA()))</f>
        <v/>
      </c>
    </row>
    <row r="214">
      <c r="A214" s="17">
        <f>IF(ISNUMBER(BBG_Data!A214),BBG_Data!A214,"")</f>
        <v/>
      </c>
      <c r="B214" s="18">
        <f>IF(AND(ISNUMBER($A214),ISNUMBER(BBG_Data!B214)),BBG_Data!B214,NA())</f>
        <v/>
      </c>
      <c r="C214" s="18">
        <f>IF(NOT(ISNUMBER($A214)),NA(),IFERROR(1*INDEX(BBG_Data!$D$2:$D$4000,MATCH($A214,BBG_Data!$C$2:$C$4000,0)),NA()))</f>
        <v/>
      </c>
      <c r="D214" s="19">
        <f>IF(NOT(ISNUMBER($A214)),NA(),IFERROR(1*INDEX(BBG_Data!$F$2:$F$4000,MATCH($A214,BBG_Data!$E$2:$E$4000,0)),NA()))</f>
        <v/>
      </c>
      <c r="E214" s="19">
        <f>IF(NOT(ISNUMBER($A214)),NA(),IFERROR(1*INDEX(BBG_Data!$H$2:$H$4000,MATCH($A214,BBG_Data!$G$2:$G$4000,0)),NA()))</f>
        <v/>
      </c>
      <c r="F214" s="20">
        <f>IF(AND(ISNUMBER(B214),ISNUMBER(B213)),IF(B214=B213,"",(B214-B213)*100),"")</f>
        <v/>
      </c>
      <c r="G214" s="20">
        <f>IF(AND(ISNUMBER(C214),ISNUMBER(C213)),IF(C214=C213,"",(C214-C213)*100),"")</f>
        <v/>
      </c>
      <c r="H214" s="20">
        <f>IF(OR(NOT(ISNUMBER($A214)),ROW()-2&lt;Settings!$B$11),NA(),IF(COUNT(OFFSET(F214,1-Settings!$B$11,0,Settings!$B$11,1))&lt;ROUNDUP(Settings!$B$11*Settings!$B$26,0),NA(),STDEV(OFFSET(F214,1-Settings!$B$11,0,Settings!$B$11,1))*SQRT(Settings!$B$13)))</f>
        <v/>
      </c>
      <c r="I214" s="20">
        <f>IF(OR(NOT(ISNUMBER($A214)),ROW()-2&lt;Settings!$B$12),NA(),IF(COUNT(OFFSET(F214,1-Settings!$B$12,0,Settings!$B$12,1))&lt;ROUNDUP(Settings!$B$12*Settings!$B$26,0),NA(),STDEV(OFFSET(F214,1-Settings!$B$12,0,Settings!$B$12,1))*SQRT(Settings!$B$13)))</f>
        <v/>
      </c>
      <c r="J214" s="20">
        <f>IF(OR(NOT(ISNUMBER($A214)),ROW()-2&lt;Settings!$B$11),NA(),IF(COUNT(OFFSET(G214,1-Settings!$B$11,0,Settings!$B$11,1))&lt;ROUNDUP(Settings!$B$11*Settings!$B$26,0),NA(),STDEV(OFFSET(G214,1-Settings!$B$11,0,Settings!$B$11,1))*SQRT(Settings!$B$13)))</f>
        <v/>
      </c>
      <c r="K214" s="20">
        <f>IF(OR(NOT(ISNUMBER($A214)),ROW()-2&lt;Settings!$B$12),NA(),IF(COUNT(OFFSET(G214,1-Settings!$B$12,0,Settings!$B$12,1))&lt;ROUNDUP(Settings!$B$12*Settings!$B$26,0),NA(),STDEV(OFFSET(G214,1-Settings!$B$12,0,Settings!$B$12,1))*SQRT(Settings!$B$13)))</f>
        <v/>
      </c>
      <c r="L214" s="20">
        <f>IF(AND(ISNUMBER(D214),ISNUMBER(H214)),D214-H214,NA())</f>
        <v/>
      </c>
      <c r="M214" s="20">
        <f>IF(AND(ISNUMBER(E214),ISNUMBER(K214)),E214-K214,NA())</f>
        <v/>
      </c>
      <c r="N214" s="20">
        <f>IF(NOT(ISNUMBER($A214)),NA(),IF(COUNT(OFFSET(G214,1,0,Settings!$B$12,1))&lt;ROUNDUP(Settings!$B$12*Settings!$B$26,0),NA(),STDEV(OFFSET(G214,1,0,Settings!$B$12,1))*SQRT(Settings!$B$13)))</f>
        <v/>
      </c>
      <c r="O214" s="20">
        <f>IF(AND(ISNUMBER(E214),ISNUMBER(N214)),E214-N214,NA())</f>
        <v/>
      </c>
      <c r="P214" s="19">
        <f>IF(NOT(ISNUMBER($A214)),NA(),IF(OR($A214&lt;MIN(KW_TP!$A$2:$A$2501),$A214&gt;MAX(KW_TP!$A$2:$A$2501)),NA(),INDEX(KW_TP!$C$2:$C$2501,MATCH($A214,KW_TP!$A$2:$A$2501,1))))</f>
        <v/>
      </c>
      <c r="Q214" s="18">
        <f>IF(NOT(ISNUMBER($A214)),NA(),IFERROR(1*INDEX(BBG_Data!$J$2:$J$4000,MATCH($A214,BBG_Data!$I$2:$I$4000,0)),NA()))</f>
        <v/>
      </c>
      <c r="R214" s="18">
        <f>IF(NOT(ISNUMBER($A214)),NA(),IFERROR(1*INDEX(BBG_Data!$L$2:$L$4000,MATCH($A214,BBG_Data!$K$2:$K$4000,0)),NA()))</f>
        <v/>
      </c>
      <c r="S214" s="20">
        <f>IF(AND(ISNUMBER(B214),ISNUMBER(Q214),ISNUMBER(R214)),(B214-Q214-R214)*100,NA())</f>
        <v/>
      </c>
      <c r="T214" s="20">
        <f>IF(AND(ISNUMBER(B214),Settings!$B$17&gt;0),IF(ISNUMBER(INDEX($B:$B,Settings!$B$17)),(B214-INDEX($B:$B,Settings!$B$17))*100,NA()),NA())</f>
        <v/>
      </c>
      <c r="U214" s="20">
        <f>IF(AND(ISNUMBER(Q214),Settings!$B$17&gt;0),IF(ISNUMBER(INDEX($Q:$Q,Settings!$B$17)),(Q214-INDEX($Q:$Q,Settings!$B$17))*100,NA()),NA())</f>
        <v/>
      </c>
      <c r="V214" s="20">
        <f>IF(AND(ISNUMBER(R214),Settings!$B$17&gt;0),IF(ISNUMBER(INDEX($R:$R,Settings!$B$17)),(R214-INDEX($R:$R,Settings!$B$17))*100,NA()),NA())</f>
        <v/>
      </c>
      <c r="W214" s="20">
        <f>IF(AND(ISNUMBER(P214),Settings!$B$17&gt;0),IF(ISNUMBER(INDEX($P:$P,Settings!$B$17)),P214-INDEX($P:$P,Settings!$B$17),NA()),NA())</f>
        <v/>
      </c>
      <c r="X214" s="19">
        <f>IF(NOT(ISNUMBER($A214)),NA(),IF(OR($A214&lt;MIN(DKW_10Y!$A$2:$A$2918),$A214&gt;MAX(DKW_10Y!$A$2:$A$2918),Settings!$B$16&lt;MIN(DKW_10Y!$A$2:$A$2918)),NA(),(INDEX(DKW_10Y!$B$2:$B$2918,MATCH($A214,DKW_10Y!$A$2:$A$2918,1))-INDEX(DKW_10Y!$B$2:$B$2918,MATCH(Settings!$B$16,DKW_10Y!$A$2:$A$2918,1)))*100))</f>
        <v/>
      </c>
      <c r="Y214" s="19">
        <f>IF(NOT(ISNUMBER($A214)),NA(),IF(OR($A214&lt;MIN(DKW_10Y!$A$2:$A$2918),$A214&gt;MAX(DKW_10Y!$A$2:$A$2918),Settings!$B$16&lt;MIN(DKW_10Y!$A$2:$A$2918)),NA(),(INDEX(DKW_10Y!$C$2:$C$2918,MATCH($A214,DKW_10Y!$A$2:$A$2918,1))-INDEX(DKW_10Y!$C$2:$C$2918,MATCH(Settings!$B$16,DKW_10Y!$A$2:$A$2918,1)))*100))</f>
        <v/>
      </c>
      <c r="Z214" s="19">
        <f>IF(NOT(ISNUMBER($A214)),NA(),IF(OR($A214&lt;MIN(DKW_10Y!$A$2:$A$2918),$A214&gt;MAX(DKW_10Y!$A$2:$A$2918),Settings!$B$16&lt;MIN(DKW_10Y!$A$2:$A$2918)),NA(),(INDEX(DKW_10Y!$D$2:$D$2918,MATCH($A214,DKW_10Y!$A$2:$A$2918,1))-INDEX(DKW_10Y!$D$2:$D$2918,MATCH(Settings!$B$16,DKW_10Y!$A$2:$A$2918,1)))*100))</f>
        <v/>
      </c>
      <c r="AA214" s="19">
        <f>IF(NOT(ISNUMBER($A214)),NA(),IF(OR($A214&lt;MIN(DKW_10Y!$A$2:$A$2918),$A214&gt;MAX(DKW_10Y!$A$2:$A$2918),Settings!$B$16&lt;MIN(DKW_10Y!$A$2:$A$2918)),NA(),(INDEX(DKW_10Y!$E$2:$E$2918,MATCH($A214,DKW_10Y!$A$2:$A$2918,1))-INDEX(DKW_10Y!$E$2:$E$2918,MATCH(Settings!$B$16,DKW_10Y!$A$2:$A$2918,1)))*100))</f>
        <v/>
      </c>
      <c r="AB214" s="19">
        <f>IF(NOT(ISNUMBER($A214)),NA(),IF(OR($A214&lt;MIN(DKW_10Y!$A$2:$A$2918),$A214&gt;MAX(DKW_10Y!$A$2:$A$2918),Settings!$B$16&lt;MIN(DKW_10Y!$A$2:$A$2918)),NA(),(INDEX(DKW_10Y!$H$2:$H$2918,MATCH($A214,DKW_10Y!$A$2:$A$2918,1))-INDEX(DKW_10Y!$H$2:$H$2918,MATCH(Settings!$B$16,DKW_10Y!$A$2:$A$2918,1)))*100))</f>
        <v/>
      </c>
      <c r="AC214" s="18">
        <f>IF(NOT(ISNUMBER($A214)),NA(),IFERROR(1*INDEX(BBG_Data!$N$2:$N$4000,MATCH($A214,BBG_Data!$M$2:$M$4000,0)),NA()))</f>
        <v/>
      </c>
      <c r="AD214" s="18">
        <f>IF(NOT(ISNUMBER($A214)),NA(),IFERROR(1*INDEX(BBG_Data!$P$2:$P$4000,MATCH($A214,BBG_Data!$O$2:$O$4000,0)),NA()))</f>
        <v/>
      </c>
      <c r="AE214" s="18">
        <f>IF(NOT(ISNUMBER($A214)),NA(),IFERROR(1*INDEX(BBG_Data!$R$2:$R$4000,MATCH($A214,BBG_Data!$Q$2:$Q$4000,0)),NA()))</f>
        <v/>
      </c>
      <c r="AF214" s="20">
        <f>IF(AND(ISNUMBER(B214),ISNUMBER(AC214)),(B214-AC214)*100,NA())</f>
        <v/>
      </c>
      <c r="AG214" s="20">
        <f>IF(AND(ISNUMBER(AE214),ISNUMBER(AD214)),(AE214-AD214)*100,NA())</f>
        <v/>
      </c>
      <c r="AH214" s="19">
        <f>IF(NOT(ISNUMBER($A214)),NA(),IFERROR(INDEX(BBG_Data!$T$2:$T$4000,MATCH($A214,BBG_Data!$S$2:$S$4000,0))*Settings!$B$25,NA()))</f>
        <v/>
      </c>
      <c r="AI214" s="19">
        <f>IF(NOT(ISNUMBER($A214)),NA(),IFERROR(INDEX(BBG_Data!$V$2:$V$4000,MATCH($A214,BBG_Data!$U$2:$U$4000,0))*Settings!$B$25,NA()))</f>
        <v/>
      </c>
      <c r="AJ214" s="19">
        <f>IF(NOT(ISNUMBER($A214)),NA(),IFERROR(1*INDEX(BBG_Data!$X$2:$X$4000,MATCH($A214,BBG_Data!$W$2:$W$4000,0)),NA()))</f>
        <v/>
      </c>
      <c r="AK214" s="19">
        <f>IF(NOT(ISNUMBER($A214)),NA(),IFERROR(1*INDEX(BBG_Data!$Z$2:$Z$4000,MATCH($A214,BBG_Data!$Y$2:$Y$4000,0)),NA()))</f>
        <v/>
      </c>
    </row>
    <row r="215">
      <c r="A215" s="17">
        <f>IF(ISNUMBER(BBG_Data!A215),BBG_Data!A215,"")</f>
        <v/>
      </c>
      <c r="B215" s="18">
        <f>IF(AND(ISNUMBER($A215),ISNUMBER(BBG_Data!B215)),BBG_Data!B215,NA())</f>
        <v/>
      </c>
      <c r="C215" s="18">
        <f>IF(NOT(ISNUMBER($A215)),NA(),IFERROR(1*INDEX(BBG_Data!$D$2:$D$4000,MATCH($A215,BBG_Data!$C$2:$C$4000,0)),NA()))</f>
        <v/>
      </c>
      <c r="D215" s="19">
        <f>IF(NOT(ISNUMBER($A215)),NA(),IFERROR(1*INDEX(BBG_Data!$F$2:$F$4000,MATCH($A215,BBG_Data!$E$2:$E$4000,0)),NA()))</f>
        <v/>
      </c>
      <c r="E215" s="19">
        <f>IF(NOT(ISNUMBER($A215)),NA(),IFERROR(1*INDEX(BBG_Data!$H$2:$H$4000,MATCH($A215,BBG_Data!$G$2:$G$4000,0)),NA()))</f>
        <v/>
      </c>
      <c r="F215" s="20">
        <f>IF(AND(ISNUMBER(B215),ISNUMBER(B214)),IF(B215=B214,"",(B215-B214)*100),"")</f>
        <v/>
      </c>
      <c r="G215" s="20">
        <f>IF(AND(ISNUMBER(C215),ISNUMBER(C214)),IF(C215=C214,"",(C215-C214)*100),"")</f>
        <v/>
      </c>
      <c r="H215" s="20">
        <f>IF(OR(NOT(ISNUMBER($A215)),ROW()-2&lt;Settings!$B$11),NA(),IF(COUNT(OFFSET(F215,1-Settings!$B$11,0,Settings!$B$11,1))&lt;ROUNDUP(Settings!$B$11*Settings!$B$26,0),NA(),STDEV(OFFSET(F215,1-Settings!$B$11,0,Settings!$B$11,1))*SQRT(Settings!$B$13)))</f>
        <v/>
      </c>
      <c r="I215" s="20">
        <f>IF(OR(NOT(ISNUMBER($A215)),ROW()-2&lt;Settings!$B$12),NA(),IF(COUNT(OFFSET(F215,1-Settings!$B$12,0,Settings!$B$12,1))&lt;ROUNDUP(Settings!$B$12*Settings!$B$26,0),NA(),STDEV(OFFSET(F215,1-Settings!$B$12,0,Settings!$B$12,1))*SQRT(Settings!$B$13)))</f>
        <v/>
      </c>
      <c r="J215" s="20">
        <f>IF(OR(NOT(ISNUMBER($A215)),ROW()-2&lt;Settings!$B$11),NA(),IF(COUNT(OFFSET(G215,1-Settings!$B$11,0,Settings!$B$11,1))&lt;ROUNDUP(Settings!$B$11*Settings!$B$26,0),NA(),STDEV(OFFSET(G215,1-Settings!$B$11,0,Settings!$B$11,1))*SQRT(Settings!$B$13)))</f>
        <v/>
      </c>
      <c r="K215" s="20">
        <f>IF(OR(NOT(ISNUMBER($A215)),ROW()-2&lt;Settings!$B$12),NA(),IF(COUNT(OFFSET(G215,1-Settings!$B$12,0,Settings!$B$12,1))&lt;ROUNDUP(Settings!$B$12*Settings!$B$26,0),NA(),STDEV(OFFSET(G215,1-Settings!$B$12,0,Settings!$B$12,1))*SQRT(Settings!$B$13)))</f>
        <v/>
      </c>
      <c r="L215" s="20">
        <f>IF(AND(ISNUMBER(D215),ISNUMBER(H215)),D215-H215,NA())</f>
        <v/>
      </c>
      <c r="M215" s="20">
        <f>IF(AND(ISNUMBER(E215),ISNUMBER(K215)),E215-K215,NA())</f>
        <v/>
      </c>
      <c r="N215" s="20">
        <f>IF(NOT(ISNUMBER($A215)),NA(),IF(COUNT(OFFSET(G215,1,0,Settings!$B$12,1))&lt;ROUNDUP(Settings!$B$12*Settings!$B$26,0),NA(),STDEV(OFFSET(G215,1,0,Settings!$B$12,1))*SQRT(Settings!$B$13)))</f>
        <v/>
      </c>
      <c r="O215" s="20">
        <f>IF(AND(ISNUMBER(E215),ISNUMBER(N215)),E215-N215,NA())</f>
        <v/>
      </c>
      <c r="P215" s="19">
        <f>IF(NOT(ISNUMBER($A215)),NA(),IF(OR($A215&lt;MIN(KW_TP!$A$2:$A$2501),$A215&gt;MAX(KW_TP!$A$2:$A$2501)),NA(),INDEX(KW_TP!$C$2:$C$2501,MATCH($A215,KW_TP!$A$2:$A$2501,1))))</f>
        <v/>
      </c>
      <c r="Q215" s="18">
        <f>IF(NOT(ISNUMBER($A215)),NA(),IFERROR(1*INDEX(BBG_Data!$J$2:$J$4000,MATCH($A215,BBG_Data!$I$2:$I$4000,0)),NA()))</f>
        <v/>
      </c>
      <c r="R215" s="18">
        <f>IF(NOT(ISNUMBER($A215)),NA(),IFERROR(1*INDEX(BBG_Data!$L$2:$L$4000,MATCH($A215,BBG_Data!$K$2:$K$4000,0)),NA()))</f>
        <v/>
      </c>
      <c r="S215" s="20">
        <f>IF(AND(ISNUMBER(B215),ISNUMBER(Q215),ISNUMBER(R215)),(B215-Q215-R215)*100,NA())</f>
        <v/>
      </c>
      <c r="T215" s="20">
        <f>IF(AND(ISNUMBER(B215),Settings!$B$17&gt;0),IF(ISNUMBER(INDEX($B:$B,Settings!$B$17)),(B215-INDEX($B:$B,Settings!$B$17))*100,NA()),NA())</f>
        <v/>
      </c>
      <c r="U215" s="20">
        <f>IF(AND(ISNUMBER(Q215),Settings!$B$17&gt;0),IF(ISNUMBER(INDEX($Q:$Q,Settings!$B$17)),(Q215-INDEX($Q:$Q,Settings!$B$17))*100,NA()),NA())</f>
        <v/>
      </c>
      <c r="V215" s="20">
        <f>IF(AND(ISNUMBER(R215),Settings!$B$17&gt;0),IF(ISNUMBER(INDEX($R:$R,Settings!$B$17)),(R215-INDEX($R:$R,Settings!$B$17))*100,NA()),NA())</f>
        <v/>
      </c>
      <c r="W215" s="20">
        <f>IF(AND(ISNUMBER(P215),Settings!$B$17&gt;0),IF(ISNUMBER(INDEX($P:$P,Settings!$B$17)),P215-INDEX($P:$P,Settings!$B$17),NA()),NA())</f>
        <v/>
      </c>
      <c r="X215" s="19">
        <f>IF(NOT(ISNUMBER($A215)),NA(),IF(OR($A215&lt;MIN(DKW_10Y!$A$2:$A$2918),$A215&gt;MAX(DKW_10Y!$A$2:$A$2918),Settings!$B$16&lt;MIN(DKW_10Y!$A$2:$A$2918)),NA(),(INDEX(DKW_10Y!$B$2:$B$2918,MATCH($A215,DKW_10Y!$A$2:$A$2918,1))-INDEX(DKW_10Y!$B$2:$B$2918,MATCH(Settings!$B$16,DKW_10Y!$A$2:$A$2918,1)))*100))</f>
        <v/>
      </c>
      <c r="Y215" s="19">
        <f>IF(NOT(ISNUMBER($A215)),NA(),IF(OR($A215&lt;MIN(DKW_10Y!$A$2:$A$2918),$A215&gt;MAX(DKW_10Y!$A$2:$A$2918),Settings!$B$16&lt;MIN(DKW_10Y!$A$2:$A$2918)),NA(),(INDEX(DKW_10Y!$C$2:$C$2918,MATCH($A215,DKW_10Y!$A$2:$A$2918,1))-INDEX(DKW_10Y!$C$2:$C$2918,MATCH(Settings!$B$16,DKW_10Y!$A$2:$A$2918,1)))*100))</f>
        <v/>
      </c>
      <c r="Z215" s="19">
        <f>IF(NOT(ISNUMBER($A215)),NA(),IF(OR($A215&lt;MIN(DKW_10Y!$A$2:$A$2918),$A215&gt;MAX(DKW_10Y!$A$2:$A$2918),Settings!$B$16&lt;MIN(DKW_10Y!$A$2:$A$2918)),NA(),(INDEX(DKW_10Y!$D$2:$D$2918,MATCH($A215,DKW_10Y!$A$2:$A$2918,1))-INDEX(DKW_10Y!$D$2:$D$2918,MATCH(Settings!$B$16,DKW_10Y!$A$2:$A$2918,1)))*100))</f>
        <v/>
      </c>
      <c r="AA215" s="19">
        <f>IF(NOT(ISNUMBER($A215)),NA(),IF(OR($A215&lt;MIN(DKW_10Y!$A$2:$A$2918),$A215&gt;MAX(DKW_10Y!$A$2:$A$2918),Settings!$B$16&lt;MIN(DKW_10Y!$A$2:$A$2918)),NA(),(INDEX(DKW_10Y!$E$2:$E$2918,MATCH($A215,DKW_10Y!$A$2:$A$2918,1))-INDEX(DKW_10Y!$E$2:$E$2918,MATCH(Settings!$B$16,DKW_10Y!$A$2:$A$2918,1)))*100))</f>
        <v/>
      </c>
      <c r="AB215" s="19">
        <f>IF(NOT(ISNUMBER($A215)),NA(),IF(OR($A215&lt;MIN(DKW_10Y!$A$2:$A$2918),$A215&gt;MAX(DKW_10Y!$A$2:$A$2918),Settings!$B$16&lt;MIN(DKW_10Y!$A$2:$A$2918)),NA(),(INDEX(DKW_10Y!$H$2:$H$2918,MATCH($A215,DKW_10Y!$A$2:$A$2918,1))-INDEX(DKW_10Y!$H$2:$H$2918,MATCH(Settings!$B$16,DKW_10Y!$A$2:$A$2918,1)))*100))</f>
        <v/>
      </c>
      <c r="AC215" s="18">
        <f>IF(NOT(ISNUMBER($A215)),NA(),IFERROR(1*INDEX(BBG_Data!$N$2:$N$4000,MATCH($A215,BBG_Data!$M$2:$M$4000,0)),NA()))</f>
        <v/>
      </c>
      <c r="AD215" s="18">
        <f>IF(NOT(ISNUMBER($A215)),NA(),IFERROR(1*INDEX(BBG_Data!$P$2:$P$4000,MATCH($A215,BBG_Data!$O$2:$O$4000,0)),NA()))</f>
        <v/>
      </c>
      <c r="AE215" s="18">
        <f>IF(NOT(ISNUMBER($A215)),NA(),IFERROR(1*INDEX(BBG_Data!$R$2:$R$4000,MATCH($A215,BBG_Data!$Q$2:$Q$4000,0)),NA()))</f>
        <v/>
      </c>
      <c r="AF215" s="20">
        <f>IF(AND(ISNUMBER(B215),ISNUMBER(AC215)),(B215-AC215)*100,NA())</f>
        <v/>
      </c>
      <c r="AG215" s="20">
        <f>IF(AND(ISNUMBER(AE215),ISNUMBER(AD215)),(AE215-AD215)*100,NA())</f>
        <v/>
      </c>
      <c r="AH215" s="19">
        <f>IF(NOT(ISNUMBER($A215)),NA(),IFERROR(INDEX(BBG_Data!$T$2:$T$4000,MATCH($A215,BBG_Data!$S$2:$S$4000,0))*Settings!$B$25,NA()))</f>
        <v/>
      </c>
      <c r="AI215" s="19">
        <f>IF(NOT(ISNUMBER($A215)),NA(),IFERROR(INDEX(BBG_Data!$V$2:$V$4000,MATCH($A215,BBG_Data!$U$2:$U$4000,0))*Settings!$B$25,NA()))</f>
        <v/>
      </c>
      <c r="AJ215" s="19">
        <f>IF(NOT(ISNUMBER($A215)),NA(),IFERROR(1*INDEX(BBG_Data!$X$2:$X$4000,MATCH($A215,BBG_Data!$W$2:$W$4000,0)),NA()))</f>
        <v/>
      </c>
      <c r="AK215" s="19">
        <f>IF(NOT(ISNUMBER($A215)),NA(),IFERROR(1*INDEX(BBG_Data!$Z$2:$Z$4000,MATCH($A215,BBG_Data!$Y$2:$Y$4000,0)),NA()))</f>
        <v/>
      </c>
    </row>
    <row r="216">
      <c r="A216" s="17">
        <f>IF(ISNUMBER(BBG_Data!A216),BBG_Data!A216,"")</f>
        <v/>
      </c>
      <c r="B216" s="18">
        <f>IF(AND(ISNUMBER($A216),ISNUMBER(BBG_Data!B216)),BBG_Data!B216,NA())</f>
        <v/>
      </c>
      <c r="C216" s="18">
        <f>IF(NOT(ISNUMBER($A216)),NA(),IFERROR(1*INDEX(BBG_Data!$D$2:$D$4000,MATCH($A216,BBG_Data!$C$2:$C$4000,0)),NA()))</f>
        <v/>
      </c>
      <c r="D216" s="19">
        <f>IF(NOT(ISNUMBER($A216)),NA(),IFERROR(1*INDEX(BBG_Data!$F$2:$F$4000,MATCH($A216,BBG_Data!$E$2:$E$4000,0)),NA()))</f>
        <v/>
      </c>
      <c r="E216" s="19">
        <f>IF(NOT(ISNUMBER($A216)),NA(),IFERROR(1*INDEX(BBG_Data!$H$2:$H$4000,MATCH($A216,BBG_Data!$G$2:$G$4000,0)),NA()))</f>
        <v/>
      </c>
      <c r="F216" s="20">
        <f>IF(AND(ISNUMBER(B216),ISNUMBER(B215)),IF(B216=B215,"",(B216-B215)*100),"")</f>
        <v/>
      </c>
      <c r="G216" s="20">
        <f>IF(AND(ISNUMBER(C216),ISNUMBER(C215)),IF(C216=C215,"",(C216-C215)*100),"")</f>
        <v/>
      </c>
      <c r="H216" s="20">
        <f>IF(OR(NOT(ISNUMBER($A216)),ROW()-2&lt;Settings!$B$11),NA(),IF(COUNT(OFFSET(F216,1-Settings!$B$11,0,Settings!$B$11,1))&lt;ROUNDUP(Settings!$B$11*Settings!$B$26,0),NA(),STDEV(OFFSET(F216,1-Settings!$B$11,0,Settings!$B$11,1))*SQRT(Settings!$B$13)))</f>
        <v/>
      </c>
      <c r="I216" s="20">
        <f>IF(OR(NOT(ISNUMBER($A216)),ROW()-2&lt;Settings!$B$12),NA(),IF(COUNT(OFFSET(F216,1-Settings!$B$12,0,Settings!$B$12,1))&lt;ROUNDUP(Settings!$B$12*Settings!$B$26,0),NA(),STDEV(OFFSET(F216,1-Settings!$B$12,0,Settings!$B$12,1))*SQRT(Settings!$B$13)))</f>
        <v/>
      </c>
      <c r="J216" s="20">
        <f>IF(OR(NOT(ISNUMBER($A216)),ROW()-2&lt;Settings!$B$11),NA(),IF(COUNT(OFFSET(G216,1-Settings!$B$11,0,Settings!$B$11,1))&lt;ROUNDUP(Settings!$B$11*Settings!$B$26,0),NA(),STDEV(OFFSET(G216,1-Settings!$B$11,0,Settings!$B$11,1))*SQRT(Settings!$B$13)))</f>
        <v/>
      </c>
      <c r="K216" s="20">
        <f>IF(OR(NOT(ISNUMBER($A216)),ROW()-2&lt;Settings!$B$12),NA(),IF(COUNT(OFFSET(G216,1-Settings!$B$12,0,Settings!$B$12,1))&lt;ROUNDUP(Settings!$B$12*Settings!$B$26,0),NA(),STDEV(OFFSET(G216,1-Settings!$B$12,0,Settings!$B$12,1))*SQRT(Settings!$B$13)))</f>
        <v/>
      </c>
      <c r="L216" s="20">
        <f>IF(AND(ISNUMBER(D216),ISNUMBER(H216)),D216-H216,NA())</f>
        <v/>
      </c>
      <c r="M216" s="20">
        <f>IF(AND(ISNUMBER(E216),ISNUMBER(K216)),E216-K216,NA())</f>
        <v/>
      </c>
      <c r="N216" s="20">
        <f>IF(NOT(ISNUMBER($A216)),NA(),IF(COUNT(OFFSET(G216,1,0,Settings!$B$12,1))&lt;ROUNDUP(Settings!$B$12*Settings!$B$26,0),NA(),STDEV(OFFSET(G216,1,0,Settings!$B$12,1))*SQRT(Settings!$B$13)))</f>
        <v/>
      </c>
      <c r="O216" s="20">
        <f>IF(AND(ISNUMBER(E216),ISNUMBER(N216)),E216-N216,NA())</f>
        <v/>
      </c>
      <c r="P216" s="19">
        <f>IF(NOT(ISNUMBER($A216)),NA(),IF(OR($A216&lt;MIN(KW_TP!$A$2:$A$2501),$A216&gt;MAX(KW_TP!$A$2:$A$2501)),NA(),INDEX(KW_TP!$C$2:$C$2501,MATCH($A216,KW_TP!$A$2:$A$2501,1))))</f>
        <v/>
      </c>
      <c r="Q216" s="18">
        <f>IF(NOT(ISNUMBER($A216)),NA(),IFERROR(1*INDEX(BBG_Data!$J$2:$J$4000,MATCH($A216,BBG_Data!$I$2:$I$4000,0)),NA()))</f>
        <v/>
      </c>
      <c r="R216" s="18">
        <f>IF(NOT(ISNUMBER($A216)),NA(),IFERROR(1*INDEX(BBG_Data!$L$2:$L$4000,MATCH($A216,BBG_Data!$K$2:$K$4000,0)),NA()))</f>
        <v/>
      </c>
      <c r="S216" s="20">
        <f>IF(AND(ISNUMBER(B216),ISNUMBER(Q216),ISNUMBER(R216)),(B216-Q216-R216)*100,NA())</f>
        <v/>
      </c>
      <c r="T216" s="20">
        <f>IF(AND(ISNUMBER(B216),Settings!$B$17&gt;0),IF(ISNUMBER(INDEX($B:$B,Settings!$B$17)),(B216-INDEX($B:$B,Settings!$B$17))*100,NA()),NA())</f>
        <v/>
      </c>
      <c r="U216" s="20">
        <f>IF(AND(ISNUMBER(Q216),Settings!$B$17&gt;0),IF(ISNUMBER(INDEX($Q:$Q,Settings!$B$17)),(Q216-INDEX($Q:$Q,Settings!$B$17))*100,NA()),NA())</f>
        <v/>
      </c>
      <c r="V216" s="20">
        <f>IF(AND(ISNUMBER(R216),Settings!$B$17&gt;0),IF(ISNUMBER(INDEX($R:$R,Settings!$B$17)),(R216-INDEX($R:$R,Settings!$B$17))*100,NA()),NA())</f>
        <v/>
      </c>
      <c r="W216" s="20">
        <f>IF(AND(ISNUMBER(P216),Settings!$B$17&gt;0),IF(ISNUMBER(INDEX($P:$P,Settings!$B$17)),P216-INDEX($P:$P,Settings!$B$17),NA()),NA())</f>
        <v/>
      </c>
      <c r="X216" s="19">
        <f>IF(NOT(ISNUMBER($A216)),NA(),IF(OR($A216&lt;MIN(DKW_10Y!$A$2:$A$2918),$A216&gt;MAX(DKW_10Y!$A$2:$A$2918),Settings!$B$16&lt;MIN(DKW_10Y!$A$2:$A$2918)),NA(),(INDEX(DKW_10Y!$B$2:$B$2918,MATCH($A216,DKW_10Y!$A$2:$A$2918,1))-INDEX(DKW_10Y!$B$2:$B$2918,MATCH(Settings!$B$16,DKW_10Y!$A$2:$A$2918,1)))*100))</f>
        <v/>
      </c>
      <c r="Y216" s="19">
        <f>IF(NOT(ISNUMBER($A216)),NA(),IF(OR($A216&lt;MIN(DKW_10Y!$A$2:$A$2918),$A216&gt;MAX(DKW_10Y!$A$2:$A$2918),Settings!$B$16&lt;MIN(DKW_10Y!$A$2:$A$2918)),NA(),(INDEX(DKW_10Y!$C$2:$C$2918,MATCH($A216,DKW_10Y!$A$2:$A$2918,1))-INDEX(DKW_10Y!$C$2:$C$2918,MATCH(Settings!$B$16,DKW_10Y!$A$2:$A$2918,1)))*100))</f>
        <v/>
      </c>
      <c r="Z216" s="19">
        <f>IF(NOT(ISNUMBER($A216)),NA(),IF(OR($A216&lt;MIN(DKW_10Y!$A$2:$A$2918),$A216&gt;MAX(DKW_10Y!$A$2:$A$2918),Settings!$B$16&lt;MIN(DKW_10Y!$A$2:$A$2918)),NA(),(INDEX(DKW_10Y!$D$2:$D$2918,MATCH($A216,DKW_10Y!$A$2:$A$2918,1))-INDEX(DKW_10Y!$D$2:$D$2918,MATCH(Settings!$B$16,DKW_10Y!$A$2:$A$2918,1)))*100))</f>
        <v/>
      </c>
      <c r="AA216" s="19">
        <f>IF(NOT(ISNUMBER($A216)),NA(),IF(OR($A216&lt;MIN(DKW_10Y!$A$2:$A$2918),$A216&gt;MAX(DKW_10Y!$A$2:$A$2918),Settings!$B$16&lt;MIN(DKW_10Y!$A$2:$A$2918)),NA(),(INDEX(DKW_10Y!$E$2:$E$2918,MATCH($A216,DKW_10Y!$A$2:$A$2918,1))-INDEX(DKW_10Y!$E$2:$E$2918,MATCH(Settings!$B$16,DKW_10Y!$A$2:$A$2918,1)))*100))</f>
        <v/>
      </c>
      <c r="AB216" s="19">
        <f>IF(NOT(ISNUMBER($A216)),NA(),IF(OR($A216&lt;MIN(DKW_10Y!$A$2:$A$2918),$A216&gt;MAX(DKW_10Y!$A$2:$A$2918),Settings!$B$16&lt;MIN(DKW_10Y!$A$2:$A$2918)),NA(),(INDEX(DKW_10Y!$H$2:$H$2918,MATCH($A216,DKW_10Y!$A$2:$A$2918,1))-INDEX(DKW_10Y!$H$2:$H$2918,MATCH(Settings!$B$16,DKW_10Y!$A$2:$A$2918,1)))*100))</f>
        <v/>
      </c>
      <c r="AC216" s="18">
        <f>IF(NOT(ISNUMBER($A216)),NA(),IFERROR(1*INDEX(BBG_Data!$N$2:$N$4000,MATCH($A216,BBG_Data!$M$2:$M$4000,0)),NA()))</f>
        <v/>
      </c>
      <c r="AD216" s="18">
        <f>IF(NOT(ISNUMBER($A216)),NA(),IFERROR(1*INDEX(BBG_Data!$P$2:$P$4000,MATCH($A216,BBG_Data!$O$2:$O$4000,0)),NA()))</f>
        <v/>
      </c>
      <c r="AE216" s="18">
        <f>IF(NOT(ISNUMBER($A216)),NA(),IFERROR(1*INDEX(BBG_Data!$R$2:$R$4000,MATCH($A216,BBG_Data!$Q$2:$Q$4000,0)),NA()))</f>
        <v/>
      </c>
      <c r="AF216" s="20">
        <f>IF(AND(ISNUMBER(B216),ISNUMBER(AC216)),(B216-AC216)*100,NA())</f>
        <v/>
      </c>
      <c r="AG216" s="20">
        <f>IF(AND(ISNUMBER(AE216),ISNUMBER(AD216)),(AE216-AD216)*100,NA())</f>
        <v/>
      </c>
      <c r="AH216" s="19">
        <f>IF(NOT(ISNUMBER($A216)),NA(),IFERROR(INDEX(BBG_Data!$T$2:$T$4000,MATCH($A216,BBG_Data!$S$2:$S$4000,0))*Settings!$B$25,NA()))</f>
        <v/>
      </c>
      <c r="AI216" s="19">
        <f>IF(NOT(ISNUMBER($A216)),NA(),IFERROR(INDEX(BBG_Data!$V$2:$V$4000,MATCH($A216,BBG_Data!$U$2:$U$4000,0))*Settings!$B$25,NA()))</f>
        <v/>
      </c>
      <c r="AJ216" s="19">
        <f>IF(NOT(ISNUMBER($A216)),NA(),IFERROR(1*INDEX(BBG_Data!$X$2:$X$4000,MATCH($A216,BBG_Data!$W$2:$W$4000,0)),NA()))</f>
        <v/>
      </c>
      <c r="AK216" s="19">
        <f>IF(NOT(ISNUMBER($A216)),NA(),IFERROR(1*INDEX(BBG_Data!$Z$2:$Z$4000,MATCH($A216,BBG_Data!$Y$2:$Y$4000,0)),NA()))</f>
        <v/>
      </c>
    </row>
    <row r="217">
      <c r="A217" s="17">
        <f>IF(ISNUMBER(BBG_Data!A217),BBG_Data!A217,"")</f>
        <v/>
      </c>
      <c r="B217" s="18">
        <f>IF(AND(ISNUMBER($A217),ISNUMBER(BBG_Data!B217)),BBG_Data!B217,NA())</f>
        <v/>
      </c>
      <c r="C217" s="18">
        <f>IF(NOT(ISNUMBER($A217)),NA(),IFERROR(1*INDEX(BBG_Data!$D$2:$D$4000,MATCH($A217,BBG_Data!$C$2:$C$4000,0)),NA()))</f>
        <v/>
      </c>
      <c r="D217" s="19">
        <f>IF(NOT(ISNUMBER($A217)),NA(),IFERROR(1*INDEX(BBG_Data!$F$2:$F$4000,MATCH($A217,BBG_Data!$E$2:$E$4000,0)),NA()))</f>
        <v/>
      </c>
      <c r="E217" s="19">
        <f>IF(NOT(ISNUMBER($A217)),NA(),IFERROR(1*INDEX(BBG_Data!$H$2:$H$4000,MATCH($A217,BBG_Data!$G$2:$G$4000,0)),NA()))</f>
        <v/>
      </c>
      <c r="F217" s="20">
        <f>IF(AND(ISNUMBER(B217),ISNUMBER(B216)),IF(B217=B216,"",(B217-B216)*100),"")</f>
        <v/>
      </c>
      <c r="G217" s="20">
        <f>IF(AND(ISNUMBER(C217),ISNUMBER(C216)),IF(C217=C216,"",(C217-C216)*100),"")</f>
        <v/>
      </c>
      <c r="H217" s="20">
        <f>IF(OR(NOT(ISNUMBER($A217)),ROW()-2&lt;Settings!$B$11),NA(),IF(COUNT(OFFSET(F217,1-Settings!$B$11,0,Settings!$B$11,1))&lt;ROUNDUP(Settings!$B$11*Settings!$B$26,0),NA(),STDEV(OFFSET(F217,1-Settings!$B$11,0,Settings!$B$11,1))*SQRT(Settings!$B$13)))</f>
        <v/>
      </c>
      <c r="I217" s="20">
        <f>IF(OR(NOT(ISNUMBER($A217)),ROW()-2&lt;Settings!$B$12),NA(),IF(COUNT(OFFSET(F217,1-Settings!$B$12,0,Settings!$B$12,1))&lt;ROUNDUP(Settings!$B$12*Settings!$B$26,0),NA(),STDEV(OFFSET(F217,1-Settings!$B$12,0,Settings!$B$12,1))*SQRT(Settings!$B$13)))</f>
        <v/>
      </c>
      <c r="J217" s="20">
        <f>IF(OR(NOT(ISNUMBER($A217)),ROW()-2&lt;Settings!$B$11),NA(),IF(COUNT(OFFSET(G217,1-Settings!$B$11,0,Settings!$B$11,1))&lt;ROUNDUP(Settings!$B$11*Settings!$B$26,0),NA(),STDEV(OFFSET(G217,1-Settings!$B$11,0,Settings!$B$11,1))*SQRT(Settings!$B$13)))</f>
        <v/>
      </c>
      <c r="K217" s="20">
        <f>IF(OR(NOT(ISNUMBER($A217)),ROW()-2&lt;Settings!$B$12),NA(),IF(COUNT(OFFSET(G217,1-Settings!$B$12,0,Settings!$B$12,1))&lt;ROUNDUP(Settings!$B$12*Settings!$B$26,0),NA(),STDEV(OFFSET(G217,1-Settings!$B$12,0,Settings!$B$12,1))*SQRT(Settings!$B$13)))</f>
        <v/>
      </c>
      <c r="L217" s="20">
        <f>IF(AND(ISNUMBER(D217),ISNUMBER(H217)),D217-H217,NA())</f>
        <v/>
      </c>
      <c r="M217" s="20">
        <f>IF(AND(ISNUMBER(E217),ISNUMBER(K217)),E217-K217,NA())</f>
        <v/>
      </c>
      <c r="N217" s="20">
        <f>IF(NOT(ISNUMBER($A217)),NA(),IF(COUNT(OFFSET(G217,1,0,Settings!$B$12,1))&lt;ROUNDUP(Settings!$B$12*Settings!$B$26,0),NA(),STDEV(OFFSET(G217,1,0,Settings!$B$12,1))*SQRT(Settings!$B$13)))</f>
        <v/>
      </c>
      <c r="O217" s="20">
        <f>IF(AND(ISNUMBER(E217),ISNUMBER(N217)),E217-N217,NA())</f>
        <v/>
      </c>
      <c r="P217" s="19">
        <f>IF(NOT(ISNUMBER($A217)),NA(),IF(OR($A217&lt;MIN(KW_TP!$A$2:$A$2501),$A217&gt;MAX(KW_TP!$A$2:$A$2501)),NA(),INDEX(KW_TP!$C$2:$C$2501,MATCH($A217,KW_TP!$A$2:$A$2501,1))))</f>
        <v/>
      </c>
      <c r="Q217" s="18">
        <f>IF(NOT(ISNUMBER($A217)),NA(),IFERROR(1*INDEX(BBG_Data!$J$2:$J$4000,MATCH($A217,BBG_Data!$I$2:$I$4000,0)),NA()))</f>
        <v/>
      </c>
      <c r="R217" s="18">
        <f>IF(NOT(ISNUMBER($A217)),NA(),IFERROR(1*INDEX(BBG_Data!$L$2:$L$4000,MATCH($A217,BBG_Data!$K$2:$K$4000,0)),NA()))</f>
        <v/>
      </c>
      <c r="S217" s="20">
        <f>IF(AND(ISNUMBER(B217),ISNUMBER(Q217),ISNUMBER(R217)),(B217-Q217-R217)*100,NA())</f>
        <v/>
      </c>
      <c r="T217" s="20">
        <f>IF(AND(ISNUMBER(B217),Settings!$B$17&gt;0),IF(ISNUMBER(INDEX($B:$B,Settings!$B$17)),(B217-INDEX($B:$B,Settings!$B$17))*100,NA()),NA())</f>
        <v/>
      </c>
      <c r="U217" s="20">
        <f>IF(AND(ISNUMBER(Q217),Settings!$B$17&gt;0),IF(ISNUMBER(INDEX($Q:$Q,Settings!$B$17)),(Q217-INDEX($Q:$Q,Settings!$B$17))*100,NA()),NA())</f>
        <v/>
      </c>
      <c r="V217" s="20">
        <f>IF(AND(ISNUMBER(R217),Settings!$B$17&gt;0),IF(ISNUMBER(INDEX($R:$R,Settings!$B$17)),(R217-INDEX($R:$R,Settings!$B$17))*100,NA()),NA())</f>
        <v/>
      </c>
      <c r="W217" s="20">
        <f>IF(AND(ISNUMBER(P217),Settings!$B$17&gt;0),IF(ISNUMBER(INDEX($P:$P,Settings!$B$17)),P217-INDEX($P:$P,Settings!$B$17),NA()),NA())</f>
        <v/>
      </c>
      <c r="X217" s="19">
        <f>IF(NOT(ISNUMBER($A217)),NA(),IF(OR($A217&lt;MIN(DKW_10Y!$A$2:$A$2918),$A217&gt;MAX(DKW_10Y!$A$2:$A$2918),Settings!$B$16&lt;MIN(DKW_10Y!$A$2:$A$2918)),NA(),(INDEX(DKW_10Y!$B$2:$B$2918,MATCH($A217,DKW_10Y!$A$2:$A$2918,1))-INDEX(DKW_10Y!$B$2:$B$2918,MATCH(Settings!$B$16,DKW_10Y!$A$2:$A$2918,1)))*100))</f>
        <v/>
      </c>
      <c r="Y217" s="19">
        <f>IF(NOT(ISNUMBER($A217)),NA(),IF(OR($A217&lt;MIN(DKW_10Y!$A$2:$A$2918),$A217&gt;MAX(DKW_10Y!$A$2:$A$2918),Settings!$B$16&lt;MIN(DKW_10Y!$A$2:$A$2918)),NA(),(INDEX(DKW_10Y!$C$2:$C$2918,MATCH($A217,DKW_10Y!$A$2:$A$2918,1))-INDEX(DKW_10Y!$C$2:$C$2918,MATCH(Settings!$B$16,DKW_10Y!$A$2:$A$2918,1)))*100))</f>
        <v/>
      </c>
      <c r="Z217" s="19">
        <f>IF(NOT(ISNUMBER($A217)),NA(),IF(OR($A217&lt;MIN(DKW_10Y!$A$2:$A$2918),$A217&gt;MAX(DKW_10Y!$A$2:$A$2918),Settings!$B$16&lt;MIN(DKW_10Y!$A$2:$A$2918)),NA(),(INDEX(DKW_10Y!$D$2:$D$2918,MATCH($A217,DKW_10Y!$A$2:$A$2918,1))-INDEX(DKW_10Y!$D$2:$D$2918,MATCH(Settings!$B$16,DKW_10Y!$A$2:$A$2918,1)))*100))</f>
        <v/>
      </c>
      <c r="AA217" s="19">
        <f>IF(NOT(ISNUMBER($A217)),NA(),IF(OR($A217&lt;MIN(DKW_10Y!$A$2:$A$2918),$A217&gt;MAX(DKW_10Y!$A$2:$A$2918),Settings!$B$16&lt;MIN(DKW_10Y!$A$2:$A$2918)),NA(),(INDEX(DKW_10Y!$E$2:$E$2918,MATCH($A217,DKW_10Y!$A$2:$A$2918,1))-INDEX(DKW_10Y!$E$2:$E$2918,MATCH(Settings!$B$16,DKW_10Y!$A$2:$A$2918,1)))*100))</f>
        <v/>
      </c>
      <c r="AB217" s="19">
        <f>IF(NOT(ISNUMBER($A217)),NA(),IF(OR($A217&lt;MIN(DKW_10Y!$A$2:$A$2918),$A217&gt;MAX(DKW_10Y!$A$2:$A$2918),Settings!$B$16&lt;MIN(DKW_10Y!$A$2:$A$2918)),NA(),(INDEX(DKW_10Y!$H$2:$H$2918,MATCH($A217,DKW_10Y!$A$2:$A$2918,1))-INDEX(DKW_10Y!$H$2:$H$2918,MATCH(Settings!$B$16,DKW_10Y!$A$2:$A$2918,1)))*100))</f>
        <v/>
      </c>
      <c r="AC217" s="18">
        <f>IF(NOT(ISNUMBER($A217)),NA(),IFERROR(1*INDEX(BBG_Data!$N$2:$N$4000,MATCH($A217,BBG_Data!$M$2:$M$4000,0)),NA()))</f>
        <v/>
      </c>
      <c r="AD217" s="18">
        <f>IF(NOT(ISNUMBER($A217)),NA(),IFERROR(1*INDEX(BBG_Data!$P$2:$P$4000,MATCH($A217,BBG_Data!$O$2:$O$4000,0)),NA()))</f>
        <v/>
      </c>
      <c r="AE217" s="18">
        <f>IF(NOT(ISNUMBER($A217)),NA(),IFERROR(1*INDEX(BBG_Data!$R$2:$R$4000,MATCH($A217,BBG_Data!$Q$2:$Q$4000,0)),NA()))</f>
        <v/>
      </c>
      <c r="AF217" s="20">
        <f>IF(AND(ISNUMBER(B217),ISNUMBER(AC217)),(B217-AC217)*100,NA())</f>
        <v/>
      </c>
      <c r="AG217" s="20">
        <f>IF(AND(ISNUMBER(AE217),ISNUMBER(AD217)),(AE217-AD217)*100,NA())</f>
        <v/>
      </c>
      <c r="AH217" s="19">
        <f>IF(NOT(ISNUMBER($A217)),NA(),IFERROR(INDEX(BBG_Data!$T$2:$T$4000,MATCH($A217,BBG_Data!$S$2:$S$4000,0))*Settings!$B$25,NA()))</f>
        <v/>
      </c>
      <c r="AI217" s="19">
        <f>IF(NOT(ISNUMBER($A217)),NA(),IFERROR(INDEX(BBG_Data!$V$2:$V$4000,MATCH($A217,BBG_Data!$U$2:$U$4000,0))*Settings!$B$25,NA()))</f>
        <v/>
      </c>
      <c r="AJ217" s="19">
        <f>IF(NOT(ISNUMBER($A217)),NA(),IFERROR(1*INDEX(BBG_Data!$X$2:$X$4000,MATCH($A217,BBG_Data!$W$2:$W$4000,0)),NA()))</f>
        <v/>
      </c>
      <c r="AK217" s="19">
        <f>IF(NOT(ISNUMBER($A217)),NA(),IFERROR(1*INDEX(BBG_Data!$Z$2:$Z$4000,MATCH($A217,BBG_Data!$Y$2:$Y$4000,0)),NA()))</f>
        <v/>
      </c>
    </row>
    <row r="218">
      <c r="A218" s="17">
        <f>IF(ISNUMBER(BBG_Data!A218),BBG_Data!A218,"")</f>
        <v/>
      </c>
      <c r="B218" s="18">
        <f>IF(AND(ISNUMBER($A218),ISNUMBER(BBG_Data!B218)),BBG_Data!B218,NA())</f>
        <v/>
      </c>
      <c r="C218" s="18">
        <f>IF(NOT(ISNUMBER($A218)),NA(),IFERROR(1*INDEX(BBG_Data!$D$2:$D$4000,MATCH($A218,BBG_Data!$C$2:$C$4000,0)),NA()))</f>
        <v/>
      </c>
      <c r="D218" s="19">
        <f>IF(NOT(ISNUMBER($A218)),NA(),IFERROR(1*INDEX(BBG_Data!$F$2:$F$4000,MATCH($A218,BBG_Data!$E$2:$E$4000,0)),NA()))</f>
        <v/>
      </c>
      <c r="E218" s="19">
        <f>IF(NOT(ISNUMBER($A218)),NA(),IFERROR(1*INDEX(BBG_Data!$H$2:$H$4000,MATCH($A218,BBG_Data!$G$2:$G$4000,0)),NA()))</f>
        <v/>
      </c>
      <c r="F218" s="20">
        <f>IF(AND(ISNUMBER(B218),ISNUMBER(B217)),IF(B218=B217,"",(B218-B217)*100),"")</f>
        <v/>
      </c>
      <c r="G218" s="20">
        <f>IF(AND(ISNUMBER(C218),ISNUMBER(C217)),IF(C218=C217,"",(C218-C217)*100),"")</f>
        <v/>
      </c>
      <c r="H218" s="20">
        <f>IF(OR(NOT(ISNUMBER($A218)),ROW()-2&lt;Settings!$B$11),NA(),IF(COUNT(OFFSET(F218,1-Settings!$B$11,0,Settings!$B$11,1))&lt;ROUNDUP(Settings!$B$11*Settings!$B$26,0),NA(),STDEV(OFFSET(F218,1-Settings!$B$11,0,Settings!$B$11,1))*SQRT(Settings!$B$13)))</f>
        <v/>
      </c>
      <c r="I218" s="20">
        <f>IF(OR(NOT(ISNUMBER($A218)),ROW()-2&lt;Settings!$B$12),NA(),IF(COUNT(OFFSET(F218,1-Settings!$B$12,0,Settings!$B$12,1))&lt;ROUNDUP(Settings!$B$12*Settings!$B$26,0),NA(),STDEV(OFFSET(F218,1-Settings!$B$12,0,Settings!$B$12,1))*SQRT(Settings!$B$13)))</f>
        <v/>
      </c>
      <c r="J218" s="20">
        <f>IF(OR(NOT(ISNUMBER($A218)),ROW()-2&lt;Settings!$B$11),NA(),IF(COUNT(OFFSET(G218,1-Settings!$B$11,0,Settings!$B$11,1))&lt;ROUNDUP(Settings!$B$11*Settings!$B$26,0),NA(),STDEV(OFFSET(G218,1-Settings!$B$11,0,Settings!$B$11,1))*SQRT(Settings!$B$13)))</f>
        <v/>
      </c>
      <c r="K218" s="20">
        <f>IF(OR(NOT(ISNUMBER($A218)),ROW()-2&lt;Settings!$B$12),NA(),IF(COUNT(OFFSET(G218,1-Settings!$B$12,0,Settings!$B$12,1))&lt;ROUNDUP(Settings!$B$12*Settings!$B$26,0),NA(),STDEV(OFFSET(G218,1-Settings!$B$12,0,Settings!$B$12,1))*SQRT(Settings!$B$13)))</f>
        <v/>
      </c>
      <c r="L218" s="20">
        <f>IF(AND(ISNUMBER(D218),ISNUMBER(H218)),D218-H218,NA())</f>
        <v/>
      </c>
      <c r="M218" s="20">
        <f>IF(AND(ISNUMBER(E218),ISNUMBER(K218)),E218-K218,NA())</f>
        <v/>
      </c>
      <c r="N218" s="20">
        <f>IF(NOT(ISNUMBER($A218)),NA(),IF(COUNT(OFFSET(G218,1,0,Settings!$B$12,1))&lt;ROUNDUP(Settings!$B$12*Settings!$B$26,0),NA(),STDEV(OFFSET(G218,1,0,Settings!$B$12,1))*SQRT(Settings!$B$13)))</f>
        <v/>
      </c>
      <c r="O218" s="20">
        <f>IF(AND(ISNUMBER(E218),ISNUMBER(N218)),E218-N218,NA())</f>
        <v/>
      </c>
      <c r="P218" s="19">
        <f>IF(NOT(ISNUMBER($A218)),NA(),IF(OR($A218&lt;MIN(KW_TP!$A$2:$A$2501),$A218&gt;MAX(KW_TP!$A$2:$A$2501)),NA(),INDEX(KW_TP!$C$2:$C$2501,MATCH($A218,KW_TP!$A$2:$A$2501,1))))</f>
        <v/>
      </c>
      <c r="Q218" s="18">
        <f>IF(NOT(ISNUMBER($A218)),NA(),IFERROR(1*INDEX(BBG_Data!$J$2:$J$4000,MATCH($A218,BBG_Data!$I$2:$I$4000,0)),NA()))</f>
        <v/>
      </c>
      <c r="R218" s="18">
        <f>IF(NOT(ISNUMBER($A218)),NA(),IFERROR(1*INDEX(BBG_Data!$L$2:$L$4000,MATCH($A218,BBG_Data!$K$2:$K$4000,0)),NA()))</f>
        <v/>
      </c>
      <c r="S218" s="20">
        <f>IF(AND(ISNUMBER(B218),ISNUMBER(Q218),ISNUMBER(R218)),(B218-Q218-R218)*100,NA())</f>
        <v/>
      </c>
      <c r="T218" s="20">
        <f>IF(AND(ISNUMBER(B218),Settings!$B$17&gt;0),IF(ISNUMBER(INDEX($B:$B,Settings!$B$17)),(B218-INDEX($B:$B,Settings!$B$17))*100,NA()),NA())</f>
        <v/>
      </c>
      <c r="U218" s="20">
        <f>IF(AND(ISNUMBER(Q218),Settings!$B$17&gt;0),IF(ISNUMBER(INDEX($Q:$Q,Settings!$B$17)),(Q218-INDEX($Q:$Q,Settings!$B$17))*100,NA()),NA())</f>
        <v/>
      </c>
      <c r="V218" s="20">
        <f>IF(AND(ISNUMBER(R218),Settings!$B$17&gt;0),IF(ISNUMBER(INDEX($R:$R,Settings!$B$17)),(R218-INDEX($R:$R,Settings!$B$17))*100,NA()),NA())</f>
        <v/>
      </c>
      <c r="W218" s="20">
        <f>IF(AND(ISNUMBER(P218),Settings!$B$17&gt;0),IF(ISNUMBER(INDEX($P:$P,Settings!$B$17)),P218-INDEX($P:$P,Settings!$B$17),NA()),NA())</f>
        <v/>
      </c>
      <c r="X218" s="19">
        <f>IF(NOT(ISNUMBER($A218)),NA(),IF(OR($A218&lt;MIN(DKW_10Y!$A$2:$A$2918),$A218&gt;MAX(DKW_10Y!$A$2:$A$2918),Settings!$B$16&lt;MIN(DKW_10Y!$A$2:$A$2918)),NA(),(INDEX(DKW_10Y!$B$2:$B$2918,MATCH($A218,DKW_10Y!$A$2:$A$2918,1))-INDEX(DKW_10Y!$B$2:$B$2918,MATCH(Settings!$B$16,DKW_10Y!$A$2:$A$2918,1)))*100))</f>
        <v/>
      </c>
      <c r="Y218" s="19">
        <f>IF(NOT(ISNUMBER($A218)),NA(),IF(OR($A218&lt;MIN(DKW_10Y!$A$2:$A$2918),$A218&gt;MAX(DKW_10Y!$A$2:$A$2918),Settings!$B$16&lt;MIN(DKW_10Y!$A$2:$A$2918)),NA(),(INDEX(DKW_10Y!$C$2:$C$2918,MATCH($A218,DKW_10Y!$A$2:$A$2918,1))-INDEX(DKW_10Y!$C$2:$C$2918,MATCH(Settings!$B$16,DKW_10Y!$A$2:$A$2918,1)))*100))</f>
        <v/>
      </c>
      <c r="Z218" s="19">
        <f>IF(NOT(ISNUMBER($A218)),NA(),IF(OR($A218&lt;MIN(DKW_10Y!$A$2:$A$2918),$A218&gt;MAX(DKW_10Y!$A$2:$A$2918),Settings!$B$16&lt;MIN(DKW_10Y!$A$2:$A$2918)),NA(),(INDEX(DKW_10Y!$D$2:$D$2918,MATCH($A218,DKW_10Y!$A$2:$A$2918,1))-INDEX(DKW_10Y!$D$2:$D$2918,MATCH(Settings!$B$16,DKW_10Y!$A$2:$A$2918,1)))*100))</f>
        <v/>
      </c>
      <c r="AA218" s="19">
        <f>IF(NOT(ISNUMBER($A218)),NA(),IF(OR($A218&lt;MIN(DKW_10Y!$A$2:$A$2918),$A218&gt;MAX(DKW_10Y!$A$2:$A$2918),Settings!$B$16&lt;MIN(DKW_10Y!$A$2:$A$2918)),NA(),(INDEX(DKW_10Y!$E$2:$E$2918,MATCH($A218,DKW_10Y!$A$2:$A$2918,1))-INDEX(DKW_10Y!$E$2:$E$2918,MATCH(Settings!$B$16,DKW_10Y!$A$2:$A$2918,1)))*100))</f>
        <v/>
      </c>
      <c r="AB218" s="19">
        <f>IF(NOT(ISNUMBER($A218)),NA(),IF(OR($A218&lt;MIN(DKW_10Y!$A$2:$A$2918),$A218&gt;MAX(DKW_10Y!$A$2:$A$2918),Settings!$B$16&lt;MIN(DKW_10Y!$A$2:$A$2918)),NA(),(INDEX(DKW_10Y!$H$2:$H$2918,MATCH($A218,DKW_10Y!$A$2:$A$2918,1))-INDEX(DKW_10Y!$H$2:$H$2918,MATCH(Settings!$B$16,DKW_10Y!$A$2:$A$2918,1)))*100))</f>
        <v/>
      </c>
      <c r="AC218" s="18">
        <f>IF(NOT(ISNUMBER($A218)),NA(),IFERROR(1*INDEX(BBG_Data!$N$2:$N$4000,MATCH($A218,BBG_Data!$M$2:$M$4000,0)),NA()))</f>
        <v/>
      </c>
      <c r="AD218" s="18">
        <f>IF(NOT(ISNUMBER($A218)),NA(),IFERROR(1*INDEX(BBG_Data!$P$2:$P$4000,MATCH($A218,BBG_Data!$O$2:$O$4000,0)),NA()))</f>
        <v/>
      </c>
      <c r="AE218" s="18">
        <f>IF(NOT(ISNUMBER($A218)),NA(),IFERROR(1*INDEX(BBG_Data!$R$2:$R$4000,MATCH($A218,BBG_Data!$Q$2:$Q$4000,0)),NA()))</f>
        <v/>
      </c>
      <c r="AF218" s="20">
        <f>IF(AND(ISNUMBER(B218),ISNUMBER(AC218)),(B218-AC218)*100,NA())</f>
        <v/>
      </c>
      <c r="AG218" s="20">
        <f>IF(AND(ISNUMBER(AE218),ISNUMBER(AD218)),(AE218-AD218)*100,NA())</f>
        <v/>
      </c>
      <c r="AH218" s="19">
        <f>IF(NOT(ISNUMBER($A218)),NA(),IFERROR(INDEX(BBG_Data!$T$2:$T$4000,MATCH($A218,BBG_Data!$S$2:$S$4000,0))*Settings!$B$25,NA()))</f>
        <v/>
      </c>
      <c r="AI218" s="19">
        <f>IF(NOT(ISNUMBER($A218)),NA(),IFERROR(INDEX(BBG_Data!$V$2:$V$4000,MATCH($A218,BBG_Data!$U$2:$U$4000,0))*Settings!$B$25,NA()))</f>
        <v/>
      </c>
      <c r="AJ218" s="19">
        <f>IF(NOT(ISNUMBER($A218)),NA(),IFERROR(1*INDEX(BBG_Data!$X$2:$X$4000,MATCH($A218,BBG_Data!$W$2:$W$4000,0)),NA()))</f>
        <v/>
      </c>
      <c r="AK218" s="19">
        <f>IF(NOT(ISNUMBER($A218)),NA(),IFERROR(1*INDEX(BBG_Data!$Z$2:$Z$4000,MATCH($A218,BBG_Data!$Y$2:$Y$4000,0)),NA()))</f>
        <v/>
      </c>
    </row>
    <row r="219">
      <c r="A219" s="17">
        <f>IF(ISNUMBER(BBG_Data!A219),BBG_Data!A219,"")</f>
        <v/>
      </c>
      <c r="B219" s="18">
        <f>IF(AND(ISNUMBER($A219),ISNUMBER(BBG_Data!B219)),BBG_Data!B219,NA())</f>
        <v/>
      </c>
      <c r="C219" s="18">
        <f>IF(NOT(ISNUMBER($A219)),NA(),IFERROR(1*INDEX(BBG_Data!$D$2:$D$4000,MATCH($A219,BBG_Data!$C$2:$C$4000,0)),NA()))</f>
        <v/>
      </c>
      <c r="D219" s="19">
        <f>IF(NOT(ISNUMBER($A219)),NA(),IFERROR(1*INDEX(BBG_Data!$F$2:$F$4000,MATCH($A219,BBG_Data!$E$2:$E$4000,0)),NA()))</f>
        <v/>
      </c>
      <c r="E219" s="19">
        <f>IF(NOT(ISNUMBER($A219)),NA(),IFERROR(1*INDEX(BBG_Data!$H$2:$H$4000,MATCH($A219,BBG_Data!$G$2:$G$4000,0)),NA()))</f>
        <v/>
      </c>
      <c r="F219" s="20">
        <f>IF(AND(ISNUMBER(B219),ISNUMBER(B218)),IF(B219=B218,"",(B219-B218)*100),"")</f>
        <v/>
      </c>
      <c r="G219" s="20">
        <f>IF(AND(ISNUMBER(C219),ISNUMBER(C218)),IF(C219=C218,"",(C219-C218)*100),"")</f>
        <v/>
      </c>
      <c r="H219" s="20">
        <f>IF(OR(NOT(ISNUMBER($A219)),ROW()-2&lt;Settings!$B$11),NA(),IF(COUNT(OFFSET(F219,1-Settings!$B$11,0,Settings!$B$11,1))&lt;ROUNDUP(Settings!$B$11*Settings!$B$26,0),NA(),STDEV(OFFSET(F219,1-Settings!$B$11,0,Settings!$B$11,1))*SQRT(Settings!$B$13)))</f>
        <v/>
      </c>
      <c r="I219" s="20">
        <f>IF(OR(NOT(ISNUMBER($A219)),ROW()-2&lt;Settings!$B$12),NA(),IF(COUNT(OFFSET(F219,1-Settings!$B$12,0,Settings!$B$12,1))&lt;ROUNDUP(Settings!$B$12*Settings!$B$26,0),NA(),STDEV(OFFSET(F219,1-Settings!$B$12,0,Settings!$B$12,1))*SQRT(Settings!$B$13)))</f>
        <v/>
      </c>
      <c r="J219" s="20">
        <f>IF(OR(NOT(ISNUMBER($A219)),ROW()-2&lt;Settings!$B$11),NA(),IF(COUNT(OFFSET(G219,1-Settings!$B$11,0,Settings!$B$11,1))&lt;ROUNDUP(Settings!$B$11*Settings!$B$26,0),NA(),STDEV(OFFSET(G219,1-Settings!$B$11,0,Settings!$B$11,1))*SQRT(Settings!$B$13)))</f>
        <v/>
      </c>
      <c r="K219" s="20">
        <f>IF(OR(NOT(ISNUMBER($A219)),ROW()-2&lt;Settings!$B$12),NA(),IF(COUNT(OFFSET(G219,1-Settings!$B$12,0,Settings!$B$12,1))&lt;ROUNDUP(Settings!$B$12*Settings!$B$26,0),NA(),STDEV(OFFSET(G219,1-Settings!$B$12,0,Settings!$B$12,1))*SQRT(Settings!$B$13)))</f>
        <v/>
      </c>
      <c r="L219" s="20">
        <f>IF(AND(ISNUMBER(D219),ISNUMBER(H219)),D219-H219,NA())</f>
        <v/>
      </c>
      <c r="M219" s="20">
        <f>IF(AND(ISNUMBER(E219),ISNUMBER(K219)),E219-K219,NA())</f>
        <v/>
      </c>
      <c r="N219" s="20">
        <f>IF(NOT(ISNUMBER($A219)),NA(),IF(COUNT(OFFSET(G219,1,0,Settings!$B$12,1))&lt;ROUNDUP(Settings!$B$12*Settings!$B$26,0),NA(),STDEV(OFFSET(G219,1,0,Settings!$B$12,1))*SQRT(Settings!$B$13)))</f>
        <v/>
      </c>
      <c r="O219" s="20">
        <f>IF(AND(ISNUMBER(E219),ISNUMBER(N219)),E219-N219,NA())</f>
        <v/>
      </c>
      <c r="P219" s="19">
        <f>IF(NOT(ISNUMBER($A219)),NA(),IF(OR($A219&lt;MIN(KW_TP!$A$2:$A$2501),$A219&gt;MAX(KW_TP!$A$2:$A$2501)),NA(),INDEX(KW_TP!$C$2:$C$2501,MATCH($A219,KW_TP!$A$2:$A$2501,1))))</f>
        <v/>
      </c>
      <c r="Q219" s="18">
        <f>IF(NOT(ISNUMBER($A219)),NA(),IFERROR(1*INDEX(BBG_Data!$J$2:$J$4000,MATCH($A219,BBG_Data!$I$2:$I$4000,0)),NA()))</f>
        <v/>
      </c>
      <c r="R219" s="18">
        <f>IF(NOT(ISNUMBER($A219)),NA(),IFERROR(1*INDEX(BBG_Data!$L$2:$L$4000,MATCH($A219,BBG_Data!$K$2:$K$4000,0)),NA()))</f>
        <v/>
      </c>
      <c r="S219" s="20">
        <f>IF(AND(ISNUMBER(B219),ISNUMBER(Q219),ISNUMBER(R219)),(B219-Q219-R219)*100,NA())</f>
        <v/>
      </c>
      <c r="T219" s="20">
        <f>IF(AND(ISNUMBER(B219),Settings!$B$17&gt;0),IF(ISNUMBER(INDEX($B:$B,Settings!$B$17)),(B219-INDEX($B:$B,Settings!$B$17))*100,NA()),NA())</f>
        <v/>
      </c>
      <c r="U219" s="20">
        <f>IF(AND(ISNUMBER(Q219),Settings!$B$17&gt;0),IF(ISNUMBER(INDEX($Q:$Q,Settings!$B$17)),(Q219-INDEX($Q:$Q,Settings!$B$17))*100,NA()),NA())</f>
        <v/>
      </c>
      <c r="V219" s="20">
        <f>IF(AND(ISNUMBER(R219),Settings!$B$17&gt;0),IF(ISNUMBER(INDEX($R:$R,Settings!$B$17)),(R219-INDEX($R:$R,Settings!$B$17))*100,NA()),NA())</f>
        <v/>
      </c>
      <c r="W219" s="20">
        <f>IF(AND(ISNUMBER(P219),Settings!$B$17&gt;0),IF(ISNUMBER(INDEX($P:$P,Settings!$B$17)),P219-INDEX($P:$P,Settings!$B$17),NA()),NA())</f>
        <v/>
      </c>
      <c r="X219" s="19">
        <f>IF(NOT(ISNUMBER($A219)),NA(),IF(OR($A219&lt;MIN(DKW_10Y!$A$2:$A$2918),$A219&gt;MAX(DKW_10Y!$A$2:$A$2918),Settings!$B$16&lt;MIN(DKW_10Y!$A$2:$A$2918)),NA(),(INDEX(DKW_10Y!$B$2:$B$2918,MATCH($A219,DKW_10Y!$A$2:$A$2918,1))-INDEX(DKW_10Y!$B$2:$B$2918,MATCH(Settings!$B$16,DKW_10Y!$A$2:$A$2918,1)))*100))</f>
        <v/>
      </c>
      <c r="Y219" s="19">
        <f>IF(NOT(ISNUMBER($A219)),NA(),IF(OR($A219&lt;MIN(DKW_10Y!$A$2:$A$2918),$A219&gt;MAX(DKW_10Y!$A$2:$A$2918),Settings!$B$16&lt;MIN(DKW_10Y!$A$2:$A$2918)),NA(),(INDEX(DKW_10Y!$C$2:$C$2918,MATCH($A219,DKW_10Y!$A$2:$A$2918,1))-INDEX(DKW_10Y!$C$2:$C$2918,MATCH(Settings!$B$16,DKW_10Y!$A$2:$A$2918,1)))*100))</f>
        <v/>
      </c>
      <c r="Z219" s="19">
        <f>IF(NOT(ISNUMBER($A219)),NA(),IF(OR($A219&lt;MIN(DKW_10Y!$A$2:$A$2918),$A219&gt;MAX(DKW_10Y!$A$2:$A$2918),Settings!$B$16&lt;MIN(DKW_10Y!$A$2:$A$2918)),NA(),(INDEX(DKW_10Y!$D$2:$D$2918,MATCH($A219,DKW_10Y!$A$2:$A$2918,1))-INDEX(DKW_10Y!$D$2:$D$2918,MATCH(Settings!$B$16,DKW_10Y!$A$2:$A$2918,1)))*100))</f>
        <v/>
      </c>
      <c r="AA219" s="19">
        <f>IF(NOT(ISNUMBER($A219)),NA(),IF(OR($A219&lt;MIN(DKW_10Y!$A$2:$A$2918),$A219&gt;MAX(DKW_10Y!$A$2:$A$2918),Settings!$B$16&lt;MIN(DKW_10Y!$A$2:$A$2918)),NA(),(INDEX(DKW_10Y!$E$2:$E$2918,MATCH($A219,DKW_10Y!$A$2:$A$2918,1))-INDEX(DKW_10Y!$E$2:$E$2918,MATCH(Settings!$B$16,DKW_10Y!$A$2:$A$2918,1)))*100))</f>
        <v/>
      </c>
      <c r="AB219" s="19">
        <f>IF(NOT(ISNUMBER($A219)),NA(),IF(OR($A219&lt;MIN(DKW_10Y!$A$2:$A$2918),$A219&gt;MAX(DKW_10Y!$A$2:$A$2918),Settings!$B$16&lt;MIN(DKW_10Y!$A$2:$A$2918)),NA(),(INDEX(DKW_10Y!$H$2:$H$2918,MATCH($A219,DKW_10Y!$A$2:$A$2918,1))-INDEX(DKW_10Y!$H$2:$H$2918,MATCH(Settings!$B$16,DKW_10Y!$A$2:$A$2918,1)))*100))</f>
        <v/>
      </c>
      <c r="AC219" s="18">
        <f>IF(NOT(ISNUMBER($A219)),NA(),IFERROR(1*INDEX(BBG_Data!$N$2:$N$4000,MATCH($A219,BBG_Data!$M$2:$M$4000,0)),NA()))</f>
        <v/>
      </c>
      <c r="AD219" s="18">
        <f>IF(NOT(ISNUMBER($A219)),NA(),IFERROR(1*INDEX(BBG_Data!$P$2:$P$4000,MATCH($A219,BBG_Data!$O$2:$O$4000,0)),NA()))</f>
        <v/>
      </c>
      <c r="AE219" s="18">
        <f>IF(NOT(ISNUMBER($A219)),NA(),IFERROR(1*INDEX(BBG_Data!$R$2:$R$4000,MATCH($A219,BBG_Data!$Q$2:$Q$4000,0)),NA()))</f>
        <v/>
      </c>
      <c r="AF219" s="20">
        <f>IF(AND(ISNUMBER(B219),ISNUMBER(AC219)),(B219-AC219)*100,NA())</f>
        <v/>
      </c>
      <c r="AG219" s="20">
        <f>IF(AND(ISNUMBER(AE219),ISNUMBER(AD219)),(AE219-AD219)*100,NA())</f>
        <v/>
      </c>
      <c r="AH219" s="19">
        <f>IF(NOT(ISNUMBER($A219)),NA(),IFERROR(INDEX(BBG_Data!$T$2:$T$4000,MATCH($A219,BBG_Data!$S$2:$S$4000,0))*Settings!$B$25,NA()))</f>
        <v/>
      </c>
      <c r="AI219" s="19">
        <f>IF(NOT(ISNUMBER($A219)),NA(),IFERROR(INDEX(BBG_Data!$V$2:$V$4000,MATCH($A219,BBG_Data!$U$2:$U$4000,0))*Settings!$B$25,NA()))</f>
        <v/>
      </c>
      <c r="AJ219" s="19">
        <f>IF(NOT(ISNUMBER($A219)),NA(),IFERROR(1*INDEX(BBG_Data!$X$2:$X$4000,MATCH($A219,BBG_Data!$W$2:$W$4000,0)),NA()))</f>
        <v/>
      </c>
      <c r="AK219" s="19">
        <f>IF(NOT(ISNUMBER($A219)),NA(),IFERROR(1*INDEX(BBG_Data!$Z$2:$Z$4000,MATCH($A219,BBG_Data!$Y$2:$Y$4000,0)),NA()))</f>
        <v/>
      </c>
    </row>
    <row r="220">
      <c r="A220" s="17">
        <f>IF(ISNUMBER(BBG_Data!A220),BBG_Data!A220,"")</f>
        <v/>
      </c>
      <c r="B220" s="18">
        <f>IF(AND(ISNUMBER($A220),ISNUMBER(BBG_Data!B220)),BBG_Data!B220,NA())</f>
        <v/>
      </c>
      <c r="C220" s="18">
        <f>IF(NOT(ISNUMBER($A220)),NA(),IFERROR(1*INDEX(BBG_Data!$D$2:$D$4000,MATCH($A220,BBG_Data!$C$2:$C$4000,0)),NA()))</f>
        <v/>
      </c>
      <c r="D220" s="19">
        <f>IF(NOT(ISNUMBER($A220)),NA(),IFERROR(1*INDEX(BBG_Data!$F$2:$F$4000,MATCH($A220,BBG_Data!$E$2:$E$4000,0)),NA()))</f>
        <v/>
      </c>
      <c r="E220" s="19">
        <f>IF(NOT(ISNUMBER($A220)),NA(),IFERROR(1*INDEX(BBG_Data!$H$2:$H$4000,MATCH($A220,BBG_Data!$G$2:$G$4000,0)),NA()))</f>
        <v/>
      </c>
      <c r="F220" s="20">
        <f>IF(AND(ISNUMBER(B220),ISNUMBER(B219)),IF(B220=B219,"",(B220-B219)*100),"")</f>
        <v/>
      </c>
      <c r="G220" s="20">
        <f>IF(AND(ISNUMBER(C220),ISNUMBER(C219)),IF(C220=C219,"",(C220-C219)*100),"")</f>
        <v/>
      </c>
      <c r="H220" s="20">
        <f>IF(OR(NOT(ISNUMBER($A220)),ROW()-2&lt;Settings!$B$11),NA(),IF(COUNT(OFFSET(F220,1-Settings!$B$11,0,Settings!$B$11,1))&lt;ROUNDUP(Settings!$B$11*Settings!$B$26,0),NA(),STDEV(OFFSET(F220,1-Settings!$B$11,0,Settings!$B$11,1))*SQRT(Settings!$B$13)))</f>
        <v/>
      </c>
      <c r="I220" s="20">
        <f>IF(OR(NOT(ISNUMBER($A220)),ROW()-2&lt;Settings!$B$12),NA(),IF(COUNT(OFFSET(F220,1-Settings!$B$12,0,Settings!$B$12,1))&lt;ROUNDUP(Settings!$B$12*Settings!$B$26,0),NA(),STDEV(OFFSET(F220,1-Settings!$B$12,0,Settings!$B$12,1))*SQRT(Settings!$B$13)))</f>
        <v/>
      </c>
      <c r="J220" s="20">
        <f>IF(OR(NOT(ISNUMBER($A220)),ROW()-2&lt;Settings!$B$11),NA(),IF(COUNT(OFFSET(G220,1-Settings!$B$11,0,Settings!$B$11,1))&lt;ROUNDUP(Settings!$B$11*Settings!$B$26,0),NA(),STDEV(OFFSET(G220,1-Settings!$B$11,0,Settings!$B$11,1))*SQRT(Settings!$B$13)))</f>
        <v/>
      </c>
      <c r="K220" s="20">
        <f>IF(OR(NOT(ISNUMBER($A220)),ROW()-2&lt;Settings!$B$12),NA(),IF(COUNT(OFFSET(G220,1-Settings!$B$12,0,Settings!$B$12,1))&lt;ROUNDUP(Settings!$B$12*Settings!$B$26,0),NA(),STDEV(OFFSET(G220,1-Settings!$B$12,0,Settings!$B$12,1))*SQRT(Settings!$B$13)))</f>
        <v/>
      </c>
      <c r="L220" s="20">
        <f>IF(AND(ISNUMBER(D220),ISNUMBER(H220)),D220-H220,NA())</f>
        <v/>
      </c>
      <c r="M220" s="20">
        <f>IF(AND(ISNUMBER(E220),ISNUMBER(K220)),E220-K220,NA())</f>
        <v/>
      </c>
      <c r="N220" s="20">
        <f>IF(NOT(ISNUMBER($A220)),NA(),IF(COUNT(OFFSET(G220,1,0,Settings!$B$12,1))&lt;ROUNDUP(Settings!$B$12*Settings!$B$26,0),NA(),STDEV(OFFSET(G220,1,0,Settings!$B$12,1))*SQRT(Settings!$B$13)))</f>
        <v/>
      </c>
      <c r="O220" s="20">
        <f>IF(AND(ISNUMBER(E220),ISNUMBER(N220)),E220-N220,NA())</f>
        <v/>
      </c>
      <c r="P220" s="19">
        <f>IF(NOT(ISNUMBER($A220)),NA(),IF(OR($A220&lt;MIN(KW_TP!$A$2:$A$2501),$A220&gt;MAX(KW_TP!$A$2:$A$2501)),NA(),INDEX(KW_TP!$C$2:$C$2501,MATCH($A220,KW_TP!$A$2:$A$2501,1))))</f>
        <v/>
      </c>
      <c r="Q220" s="18">
        <f>IF(NOT(ISNUMBER($A220)),NA(),IFERROR(1*INDEX(BBG_Data!$J$2:$J$4000,MATCH($A220,BBG_Data!$I$2:$I$4000,0)),NA()))</f>
        <v/>
      </c>
      <c r="R220" s="18">
        <f>IF(NOT(ISNUMBER($A220)),NA(),IFERROR(1*INDEX(BBG_Data!$L$2:$L$4000,MATCH($A220,BBG_Data!$K$2:$K$4000,0)),NA()))</f>
        <v/>
      </c>
      <c r="S220" s="20">
        <f>IF(AND(ISNUMBER(B220),ISNUMBER(Q220),ISNUMBER(R220)),(B220-Q220-R220)*100,NA())</f>
        <v/>
      </c>
      <c r="T220" s="20">
        <f>IF(AND(ISNUMBER(B220),Settings!$B$17&gt;0),IF(ISNUMBER(INDEX($B:$B,Settings!$B$17)),(B220-INDEX($B:$B,Settings!$B$17))*100,NA()),NA())</f>
        <v/>
      </c>
      <c r="U220" s="20">
        <f>IF(AND(ISNUMBER(Q220),Settings!$B$17&gt;0),IF(ISNUMBER(INDEX($Q:$Q,Settings!$B$17)),(Q220-INDEX($Q:$Q,Settings!$B$17))*100,NA()),NA())</f>
        <v/>
      </c>
      <c r="V220" s="20">
        <f>IF(AND(ISNUMBER(R220),Settings!$B$17&gt;0),IF(ISNUMBER(INDEX($R:$R,Settings!$B$17)),(R220-INDEX($R:$R,Settings!$B$17))*100,NA()),NA())</f>
        <v/>
      </c>
      <c r="W220" s="20">
        <f>IF(AND(ISNUMBER(P220),Settings!$B$17&gt;0),IF(ISNUMBER(INDEX($P:$P,Settings!$B$17)),P220-INDEX($P:$P,Settings!$B$17),NA()),NA())</f>
        <v/>
      </c>
      <c r="X220" s="19">
        <f>IF(NOT(ISNUMBER($A220)),NA(),IF(OR($A220&lt;MIN(DKW_10Y!$A$2:$A$2918),$A220&gt;MAX(DKW_10Y!$A$2:$A$2918),Settings!$B$16&lt;MIN(DKW_10Y!$A$2:$A$2918)),NA(),(INDEX(DKW_10Y!$B$2:$B$2918,MATCH($A220,DKW_10Y!$A$2:$A$2918,1))-INDEX(DKW_10Y!$B$2:$B$2918,MATCH(Settings!$B$16,DKW_10Y!$A$2:$A$2918,1)))*100))</f>
        <v/>
      </c>
      <c r="Y220" s="19">
        <f>IF(NOT(ISNUMBER($A220)),NA(),IF(OR($A220&lt;MIN(DKW_10Y!$A$2:$A$2918),$A220&gt;MAX(DKW_10Y!$A$2:$A$2918),Settings!$B$16&lt;MIN(DKW_10Y!$A$2:$A$2918)),NA(),(INDEX(DKW_10Y!$C$2:$C$2918,MATCH($A220,DKW_10Y!$A$2:$A$2918,1))-INDEX(DKW_10Y!$C$2:$C$2918,MATCH(Settings!$B$16,DKW_10Y!$A$2:$A$2918,1)))*100))</f>
        <v/>
      </c>
      <c r="Z220" s="19">
        <f>IF(NOT(ISNUMBER($A220)),NA(),IF(OR($A220&lt;MIN(DKW_10Y!$A$2:$A$2918),$A220&gt;MAX(DKW_10Y!$A$2:$A$2918),Settings!$B$16&lt;MIN(DKW_10Y!$A$2:$A$2918)),NA(),(INDEX(DKW_10Y!$D$2:$D$2918,MATCH($A220,DKW_10Y!$A$2:$A$2918,1))-INDEX(DKW_10Y!$D$2:$D$2918,MATCH(Settings!$B$16,DKW_10Y!$A$2:$A$2918,1)))*100))</f>
        <v/>
      </c>
      <c r="AA220" s="19">
        <f>IF(NOT(ISNUMBER($A220)),NA(),IF(OR($A220&lt;MIN(DKW_10Y!$A$2:$A$2918),$A220&gt;MAX(DKW_10Y!$A$2:$A$2918),Settings!$B$16&lt;MIN(DKW_10Y!$A$2:$A$2918)),NA(),(INDEX(DKW_10Y!$E$2:$E$2918,MATCH($A220,DKW_10Y!$A$2:$A$2918,1))-INDEX(DKW_10Y!$E$2:$E$2918,MATCH(Settings!$B$16,DKW_10Y!$A$2:$A$2918,1)))*100))</f>
        <v/>
      </c>
      <c r="AB220" s="19">
        <f>IF(NOT(ISNUMBER($A220)),NA(),IF(OR($A220&lt;MIN(DKW_10Y!$A$2:$A$2918),$A220&gt;MAX(DKW_10Y!$A$2:$A$2918),Settings!$B$16&lt;MIN(DKW_10Y!$A$2:$A$2918)),NA(),(INDEX(DKW_10Y!$H$2:$H$2918,MATCH($A220,DKW_10Y!$A$2:$A$2918,1))-INDEX(DKW_10Y!$H$2:$H$2918,MATCH(Settings!$B$16,DKW_10Y!$A$2:$A$2918,1)))*100))</f>
        <v/>
      </c>
      <c r="AC220" s="18">
        <f>IF(NOT(ISNUMBER($A220)),NA(),IFERROR(1*INDEX(BBG_Data!$N$2:$N$4000,MATCH($A220,BBG_Data!$M$2:$M$4000,0)),NA()))</f>
        <v/>
      </c>
      <c r="AD220" s="18">
        <f>IF(NOT(ISNUMBER($A220)),NA(),IFERROR(1*INDEX(BBG_Data!$P$2:$P$4000,MATCH($A220,BBG_Data!$O$2:$O$4000,0)),NA()))</f>
        <v/>
      </c>
      <c r="AE220" s="18">
        <f>IF(NOT(ISNUMBER($A220)),NA(),IFERROR(1*INDEX(BBG_Data!$R$2:$R$4000,MATCH($A220,BBG_Data!$Q$2:$Q$4000,0)),NA()))</f>
        <v/>
      </c>
      <c r="AF220" s="20">
        <f>IF(AND(ISNUMBER(B220),ISNUMBER(AC220)),(B220-AC220)*100,NA())</f>
        <v/>
      </c>
      <c r="AG220" s="20">
        <f>IF(AND(ISNUMBER(AE220),ISNUMBER(AD220)),(AE220-AD220)*100,NA())</f>
        <v/>
      </c>
      <c r="AH220" s="19">
        <f>IF(NOT(ISNUMBER($A220)),NA(),IFERROR(INDEX(BBG_Data!$T$2:$T$4000,MATCH($A220,BBG_Data!$S$2:$S$4000,0))*Settings!$B$25,NA()))</f>
        <v/>
      </c>
      <c r="AI220" s="19">
        <f>IF(NOT(ISNUMBER($A220)),NA(),IFERROR(INDEX(BBG_Data!$V$2:$V$4000,MATCH($A220,BBG_Data!$U$2:$U$4000,0))*Settings!$B$25,NA()))</f>
        <v/>
      </c>
      <c r="AJ220" s="19">
        <f>IF(NOT(ISNUMBER($A220)),NA(),IFERROR(1*INDEX(BBG_Data!$X$2:$X$4000,MATCH($A220,BBG_Data!$W$2:$W$4000,0)),NA()))</f>
        <v/>
      </c>
      <c r="AK220" s="19">
        <f>IF(NOT(ISNUMBER($A220)),NA(),IFERROR(1*INDEX(BBG_Data!$Z$2:$Z$4000,MATCH($A220,BBG_Data!$Y$2:$Y$4000,0)),NA()))</f>
        <v/>
      </c>
    </row>
    <row r="221">
      <c r="A221" s="17">
        <f>IF(ISNUMBER(BBG_Data!A221),BBG_Data!A221,"")</f>
        <v/>
      </c>
      <c r="B221" s="18">
        <f>IF(AND(ISNUMBER($A221),ISNUMBER(BBG_Data!B221)),BBG_Data!B221,NA())</f>
        <v/>
      </c>
      <c r="C221" s="18">
        <f>IF(NOT(ISNUMBER($A221)),NA(),IFERROR(1*INDEX(BBG_Data!$D$2:$D$4000,MATCH($A221,BBG_Data!$C$2:$C$4000,0)),NA()))</f>
        <v/>
      </c>
      <c r="D221" s="19">
        <f>IF(NOT(ISNUMBER($A221)),NA(),IFERROR(1*INDEX(BBG_Data!$F$2:$F$4000,MATCH($A221,BBG_Data!$E$2:$E$4000,0)),NA()))</f>
        <v/>
      </c>
      <c r="E221" s="19">
        <f>IF(NOT(ISNUMBER($A221)),NA(),IFERROR(1*INDEX(BBG_Data!$H$2:$H$4000,MATCH($A221,BBG_Data!$G$2:$G$4000,0)),NA()))</f>
        <v/>
      </c>
      <c r="F221" s="20">
        <f>IF(AND(ISNUMBER(B221),ISNUMBER(B220)),IF(B221=B220,"",(B221-B220)*100),"")</f>
        <v/>
      </c>
      <c r="G221" s="20">
        <f>IF(AND(ISNUMBER(C221),ISNUMBER(C220)),IF(C221=C220,"",(C221-C220)*100),"")</f>
        <v/>
      </c>
      <c r="H221" s="20">
        <f>IF(OR(NOT(ISNUMBER($A221)),ROW()-2&lt;Settings!$B$11),NA(),IF(COUNT(OFFSET(F221,1-Settings!$B$11,0,Settings!$B$11,1))&lt;ROUNDUP(Settings!$B$11*Settings!$B$26,0),NA(),STDEV(OFFSET(F221,1-Settings!$B$11,0,Settings!$B$11,1))*SQRT(Settings!$B$13)))</f>
        <v/>
      </c>
      <c r="I221" s="20">
        <f>IF(OR(NOT(ISNUMBER($A221)),ROW()-2&lt;Settings!$B$12),NA(),IF(COUNT(OFFSET(F221,1-Settings!$B$12,0,Settings!$B$12,1))&lt;ROUNDUP(Settings!$B$12*Settings!$B$26,0),NA(),STDEV(OFFSET(F221,1-Settings!$B$12,0,Settings!$B$12,1))*SQRT(Settings!$B$13)))</f>
        <v/>
      </c>
      <c r="J221" s="20">
        <f>IF(OR(NOT(ISNUMBER($A221)),ROW()-2&lt;Settings!$B$11),NA(),IF(COUNT(OFFSET(G221,1-Settings!$B$11,0,Settings!$B$11,1))&lt;ROUNDUP(Settings!$B$11*Settings!$B$26,0),NA(),STDEV(OFFSET(G221,1-Settings!$B$11,0,Settings!$B$11,1))*SQRT(Settings!$B$13)))</f>
        <v/>
      </c>
      <c r="K221" s="20">
        <f>IF(OR(NOT(ISNUMBER($A221)),ROW()-2&lt;Settings!$B$12),NA(),IF(COUNT(OFFSET(G221,1-Settings!$B$12,0,Settings!$B$12,1))&lt;ROUNDUP(Settings!$B$12*Settings!$B$26,0),NA(),STDEV(OFFSET(G221,1-Settings!$B$12,0,Settings!$B$12,1))*SQRT(Settings!$B$13)))</f>
        <v/>
      </c>
      <c r="L221" s="20">
        <f>IF(AND(ISNUMBER(D221),ISNUMBER(H221)),D221-H221,NA())</f>
        <v/>
      </c>
      <c r="M221" s="20">
        <f>IF(AND(ISNUMBER(E221),ISNUMBER(K221)),E221-K221,NA())</f>
        <v/>
      </c>
      <c r="N221" s="20">
        <f>IF(NOT(ISNUMBER($A221)),NA(),IF(COUNT(OFFSET(G221,1,0,Settings!$B$12,1))&lt;ROUNDUP(Settings!$B$12*Settings!$B$26,0),NA(),STDEV(OFFSET(G221,1,0,Settings!$B$12,1))*SQRT(Settings!$B$13)))</f>
        <v/>
      </c>
      <c r="O221" s="20">
        <f>IF(AND(ISNUMBER(E221),ISNUMBER(N221)),E221-N221,NA())</f>
        <v/>
      </c>
      <c r="P221" s="19">
        <f>IF(NOT(ISNUMBER($A221)),NA(),IF(OR($A221&lt;MIN(KW_TP!$A$2:$A$2501),$A221&gt;MAX(KW_TP!$A$2:$A$2501)),NA(),INDEX(KW_TP!$C$2:$C$2501,MATCH($A221,KW_TP!$A$2:$A$2501,1))))</f>
        <v/>
      </c>
      <c r="Q221" s="18">
        <f>IF(NOT(ISNUMBER($A221)),NA(),IFERROR(1*INDEX(BBG_Data!$J$2:$J$4000,MATCH($A221,BBG_Data!$I$2:$I$4000,0)),NA()))</f>
        <v/>
      </c>
      <c r="R221" s="18">
        <f>IF(NOT(ISNUMBER($A221)),NA(),IFERROR(1*INDEX(BBG_Data!$L$2:$L$4000,MATCH($A221,BBG_Data!$K$2:$K$4000,0)),NA()))</f>
        <v/>
      </c>
      <c r="S221" s="20">
        <f>IF(AND(ISNUMBER(B221),ISNUMBER(Q221),ISNUMBER(R221)),(B221-Q221-R221)*100,NA())</f>
        <v/>
      </c>
      <c r="T221" s="20">
        <f>IF(AND(ISNUMBER(B221),Settings!$B$17&gt;0),IF(ISNUMBER(INDEX($B:$B,Settings!$B$17)),(B221-INDEX($B:$B,Settings!$B$17))*100,NA()),NA())</f>
        <v/>
      </c>
      <c r="U221" s="20">
        <f>IF(AND(ISNUMBER(Q221),Settings!$B$17&gt;0),IF(ISNUMBER(INDEX($Q:$Q,Settings!$B$17)),(Q221-INDEX($Q:$Q,Settings!$B$17))*100,NA()),NA())</f>
        <v/>
      </c>
      <c r="V221" s="20">
        <f>IF(AND(ISNUMBER(R221),Settings!$B$17&gt;0),IF(ISNUMBER(INDEX($R:$R,Settings!$B$17)),(R221-INDEX($R:$R,Settings!$B$17))*100,NA()),NA())</f>
        <v/>
      </c>
      <c r="W221" s="20">
        <f>IF(AND(ISNUMBER(P221),Settings!$B$17&gt;0),IF(ISNUMBER(INDEX($P:$P,Settings!$B$17)),P221-INDEX($P:$P,Settings!$B$17),NA()),NA())</f>
        <v/>
      </c>
      <c r="X221" s="19">
        <f>IF(NOT(ISNUMBER($A221)),NA(),IF(OR($A221&lt;MIN(DKW_10Y!$A$2:$A$2918),$A221&gt;MAX(DKW_10Y!$A$2:$A$2918),Settings!$B$16&lt;MIN(DKW_10Y!$A$2:$A$2918)),NA(),(INDEX(DKW_10Y!$B$2:$B$2918,MATCH($A221,DKW_10Y!$A$2:$A$2918,1))-INDEX(DKW_10Y!$B$2:$B$2918,MATCH(Settings!$B$16,DKW_10Y!$A$2:$A$2918,1)))*100))</f>
        <v/>
      </c>
      <c r="Y221" s="19">
        <f>IF(NOT(ISNUMBER($A221)),NA(),IF(OR($A221&lt;MIN(DKW_10Y!$A$2:$A$2918),$A221&gt;MAX(DKW_10Y!$A$2:$A$2918),Settings!$B$16&lt;MIN(DKW_10Y!$A$2:$A$2918)),NA(),(INDEX(DKW_10Y!$C$2:$C$2918,MATCH($A221,DKW_10Y!$A$2:$A$2918,1))-INDEX(DKW_10Y!$C$2:$C$2918,MATCH(Settings!$B$16,DKW_10Y!$A$2:$A$2918,1)))*100))</f>
        <v/>
      </c>
      <c r="Z221" s="19">
        <f>IF(NOT(ISNUMBER($A221)),NA(),IF(OR($A221&lt;MIN(DKW_10Y!$A$2:$A$2918),$A221&gt;MAX(DKW_10Y!$A$2:$A$2918),Settings!$B$16&lt;MIN(DKW_10Y!$A$2:$A$2918)),NA(),(INDEX(DKW_10Y!$D$2:$D$2918,MATCH($A221,DKW_10Y!$A$2:$A$2918,1))-INDEX(DKW_10Y!$D$2:$D$2918,MATCH(Settings!$B$16,DKW_10Y!$A$2:$A$2918,1)))*100))</f>
        <v/>
      </c>
      <c r="AA221" s="19">
        <f>IF(NOT(ISNUMBER($A221)),NA(),IF(OR($A221&lt;MIN(DKW_10Y!$A$2:$A$2918),$A221&gt;MAX(DKW_10Y!$A$2:$A$2918),Settings!$B$16&lt;MIN(DKW_10Y!$A$2:$A$2918)),NA(),(INDEX(DKW_10Y!$E$2:$E$2918,MATCH($A221,DKW_10Y!$A$2:$A$2918,1))-INDEX(DKW_10Y!$E$2:$E$2918,MATCH(Settings!$B$16,DKW_10Y!$A$2:$A$2918,1)))*100))</f>
        <v/>
      </c>
      <c r="AB221" s="19">
        <f>IF(NOT(ISNUMBER($A221)),NA(),IF(OR($A221&lt;MIN(DKW_10Y!$A$2:$A$2918),$A221&gt;MAX(DKW_10Y!$A$2:$A$2918),Settings!$B$16&lt;MIN(DKW_10Y!$A$2:$A$2918)),NA(),(INDEX(DKW_10Y!$H$2:$H$2918,MATCH($A221,DKW_10Y!$A$2:$A$2918,1))-INDEX(DKW_10Y!$H$2:$H$2918,MATCH(Settings!$B$16,DKW_10Y!$A$2:$A$2918,1)))*100))</f>
        <v/>
      </c>
      <c r="AC221" s="18">
        <f>IF(NOT(ISNUMBER($A221)),NA(),IFERROR(1*INDEX(BBG_Data!$N$2:$N$4000,MATCH($A221,BBG_Data!$M$2:$M$4000,0)),NA()))</f>
        <v/>
      </c>
      <c r="AD221" s="18">
        <f>IF(NOT(ISNUMBER($A221)),NA(),IFERROR(1*INDEX(BBG_Data!$P$2:$P$4000,MATCH($A221,BBG_Data!$O$2:$O$4000,0)),NA()))</f>
        <v/>
      </c>
      <c r="AE221" s="18">
        <f>IF(NOT(ISNUMBER($A221)),NA(),IFERROR(1*INDEX(BBG_Data!$R$2:$R$4000,MATCH($A221,BBG_Data!$Q$2:$Q$4000,0)),NA()))</f>
        <v/>
      </c>
      <c r="AF221" s="20">
        <f>IF(AND(ISNUMBER(B221),ISNUMBER(AC221)),(B221-AC221)*100,NA())</f>
        <v/>
      </c>
      <c r="AG221" s="20">
        <f>IF(AND(ISNUMBER(AE221),ISNUMBER(AD221)),(AE221-AD221)*100,NA())</f>
        <v/>
      </c>
      <c r="AH221" s="19">
        <f>IF(NOT(ISNUMBER($A221)),NA(),IFERROR(INDEX(BBG_Data!$T$2:$T$4000,MATCH($A221,BBG_Data!$S$2:$S$4000,0))*Settings!$B$25,NA()))</f>
        <v/>
      </c>
      <c r="AI221" s="19">
        <f>IF(NOT(ISNUMBER($A221)),NA(),IFERROR(INDEX(BBG_Data!$V$2:$V$4000,MATCH($A221,BBG_Data!$U$2:$U$4000,0))*Settings!$B$25,NA()))</f>
        <v/>
      </c>
      <c r="AJ221" s="19">
        <f>IF(NOT(ISNUMBER($A221)),NA(),IFERROR(1*INDEX(BBG_Data!$X$2:$X$4000,MATCH($A221,BBG_Data!$W$2:$W$4000,0)),NA()))</f>
        <v/>
      </c>
      <c r="AK221" s="19">
        <f>IF(NOT(ISNUMBER($A221)),NA(),IFERROR(1*INDEX(BBG_Data!$Z$2:$Z$4000,MATCH($A221,BBG_Data!$Y$2:$Y$4000,0)),NA()))</f>
        <v/>
      </c>
    </row>
    <row r="222">
      <c r="A222" s="17">
        <f>IF(ISNUMBER(BBG_Data!A222),BBG_Data!A222,"")</f>
        <v/>
      </c>
      <c r="B222" s="18">
        <f>IF(AND(ISNUMBER($A222),ISNUMBER(BBG_Data!B222)),BBG_Data!B222,NA())</f>
        <v/>
      </c>
      <c r="C222" s="18">
        <f>IF(NOT(ISNUMBER($A222)),NA(),IFERROR(1*INDEX(BBG_Data!$D$2:$D$4000,MATCH($A222,BBG_Data!$C$2:$C$4000,0)),NA()))</f>
        <v/>
      </c>
      <c r="D222" s="19">
        <f>IF(NOT(ISNUMBER($A222)),NA(),IFERROR(1*INDEX(BBG_Data!$F$2:$F$4000,MATCH($A222,BBG_Data!$E$2:$E$4000,0)),NA()))</f>
        <v/>
      </c>
      <c r="E222" s="19">
        <f>IF(NOT(ISNUMBER($A222)),NA(),IFERROR(1*INDEX(BBG_Data!$H$2:$H$4000,MATCH($A222,BBG_Data!$G$2:$G$4000,0)),NA()))</f>
        <v/>
      </c>
      <c r="F222" s="20">
        <f>IF(AND(ISNUMBER(B222),ISNUMBER(B221)),IF(B222=B221,"",(B222-B221)*100),"")</f>
        <v/>
      </c>
      <c r="G222" s="20">
        <f>IF(AND(ISNUMBER(C222),ISNUMBER(C221)),IF(C222=C221,"",(C222-C221)*100),"")</f>
        <v/>
      </c>
      <c r="H222" s="20">
        <f>IF(OR(NOT(ISNUMBER($A222)),ROW()-2&lt;Settings!$B$11),NA(),IF(COUNT(OFFSET(F222,1-Settings!$B$11,0,Settings!$B$11,1))&lt;ROUNDUP(Settings!$B$11*Settings!$B$26,0),NA(),STDEV(OFFSET(F222,1-Settings!$B$11,0,Settings!$B$11,1))*SQRT(Settings!$B$13)))</f>
        <v/>
      </c>
      <c r="I222" s="20">
        <f>IF(OR(NOT(ISNUMBER($A222)),ROW()-2&lt;Settings!$B$12),NA(),IF(COUNT(OFFSET(F222,1-Settings!$B$12,0,Settings!$B$12,1))&lt;ROUNDUP(Settings!$B$12*Settings!$B$26,0),NA(),STDEV(OFFSET(F222,1-Settings!$B$12,0,Settings!$B$12,1))*SQRT(Settings!$B$13)))</f>
        <v/>
      </c>
      <c r="J222" s="20">
        <f>IF(OR(NOT(ISNUMBER($A222)),ROW()-2&lt;Settings!$B$11),NA(),IF(COUNT(OFFSET(G222,1-Settings!$B$11,0,Settings!$B$11,1))&lt;ROUNDUP(Settings!$B$11*Settings!$B$26,0),NA(),STDEV(OFFSET(G222,1-Settings!$B$11,0,Settings!$B$11,1))*SQRT(Settings!$B$13)))</f>
        <v/>
      </c>
      <c r="K222" s="20">
        <f>IF(OR(NOT(ISNUMBER($A222)),ROW()-2&lt;Settings!$B$12),NA(),IF(COUNT(OFFSET(G222,1-Settings!$B$12,0,Settings!$B$12,1))&lt;ROUNDUP(Settings!$B$12*Settings!$B$26,0),NA(),STDEV(OFFSET(G222,1-Settings!$B$12,0,Settings!$B$12,1))*SQRT(Settings!$B$13)))</f>
        <v/>
      </c>
      <c r="L222" s="20">
        <f>IF(AND(ISNUMBER(D222),ISNUMBER(H222)),D222-H222,NA())</f>
        <v/>
      </c>
      <c r="M222" s="20">
        <f>IF(AND(ISNUMBER(E222),ISNUMBER(K222)),E222-K222,NA())</f>
        <v/>
      </c>
      <c r="N222" s="20">
        <f>IF(NOT(ISNUMBER($A222)),NA(),IF(COUNT(OFFSET(G222,1,0,Settings!$B$12,1))&lt;ROUNDUP(Settings!$B$12*Settings!$B$26,0),NA(),STDEV(OFFSET(G222,1,0,Settings!$B$12,1))*SQRT(Settings!$B$13)))</f>
        <v/>
      </c>
      <c r="O222" s="20">
        <f>IF(AND(ISNUMBER(E222),ISNUMBER(N222)),E222-N222,NA())</f>
        <v/>
      </c>
      <c r="P222" s="19">
        <f>IF(NOT(ISNUMBER($A222)),NA(),IF(OR($A222&lt;MIN(KW_TP!$A$2:$A$2501),$A222&gt;MAX(KW_TP!$A$2:$A$2501)),NA(),INDEX(KW_TP!$C$2:$C$2501,MATCH($A222,KW_TP!$A$2:$A$2501,1))))</f>
        <v/>
      </c>
      <c r="Q222" s="18">
        <f>IF(NOT(ISNUMBER($A222)),NA(),IFERROR(1*INDEX(BBG_Data!$J$2:$J$4000,MATCH($A222,BBG_Data!$I$2:$I$4000,0)),NA()))</f>
        <v/>
      </c>
      <c r="R222" s="18">
        <f>IF(NOT(ISNUMBER($A222)),NA(),IFERROR(1*INDEX(BBG_Data!$L$2:$L$4000,MATCH($A222,BBG_Data!$K$2:$K$4000,0)),NA()))</f>
        <v/>
      </c>
      <c r="S222" s="20">
        <f>IF(AND(ISNUMBER(B222),ISNUMBER(Q222),ISNUMBER(R222)),(B222-Q222-R222)*100,NA())</f>
        <v/>
      </c>
      <c r="T222" s="20">
        <f>IF(AND(ISNUMBER(B222),Settings!$B$17&gt;0),IF(ISNUMBER(INDEX($B:$B,Settings!$B$17)),(B222-INDEX($B:$B,Settings!$B$17))*100,NA()),NA())</f>
        <v/>
      </c>
      <c r="U222" s="20">
        <f>IF(AND(ISNUMBER(Q222),Settings!$B$17&gt;0),IF(ISNUMBER(INDEX($Q:$Q,Settings!$B$17)),(Q222-INDEX($Q:$Q,Settings!$B$17))*100,NA()),NA())</f>
        <v/>
      </c>
      <c r="V222" s="20">
        <f>IF(AND(ISNUMBER(R222),Settings!$B$17&gt;0),IF(ISNUMBER(INDEX($R:$R,Settings!$B$17)),(R222-INDEX($R:$R,Settings!$B$17))*100,NA()),NA())</f>
        <v/>
      </c>
      <c r="W222" s="20">
        <f>IF(AND(ISNUMBER(P222),Settings!$B$17&gt;0),IF(ISNUMBER(INDEX($P:$P,Settings!$B$17)),P222-INDEX($P:$P,Settings!$B$17),NA()),NA())</f>
        <v/>
      </c>
      <c r="X222" s="19">
        <f>IF(NOT(ISNUMBER($A222)),NA(),IF(OR($A222&lt;MIN(DKW_10Y!$A$2:$A$2918),$A222&gt;MAX(DKW_10Y!$A$2:$A$2918),Settings!$B$16&lt;MIN(DKW_10Y!$A$2:$A$2918)),NA(),(INDEX(DKW_10Y!$B$2:$B$2918,MATCH($A222,DKW_10Y!$A$2:$A$2918,1))-INDEX(DKW_10Y!$B$2:$B$2918,MATCH(Settings!$B$16,DKW_10Y!$A$2:$A$2918,1)))*100))</f>
        <v/>
      </c>
      <c r="Y222" s="19">
        <f>IF(NOT(ISNUMBER($A222)),NA(),IF(OR($A222&lt;MIN(DKW_10Y!$A$2:$A$2918),$A222&gt;MAX(DKW_10Y!$A$2:$A$2918),Settings!$B$16&lt;MIN(DKW_10Y!$A$2:$A$2918)),NA(),(INDEX(DKW_10Y!$C$2:$C$2918,MATCH($A222,DKW_10Y!$A$2:$A$2918,1))-INDEX(DKW_10Y!$C$2:$C$2918,MATCH(Settings!$B$16,DKW_10Y!$A$2:$A$2918,1)))*100))</f>
        <v/>
      </c>
      <c r="Z222" s="19">
        <f>IF(NOT(ISNUMBER($A222)),NA(),IF(OR($A222&lt;MIN(DKW_10Y!$A$2:$A$2918),$A222&gt;MAX(DKW_10Y!$A$2:$A$2918),Settings!$B$16&lt;MIN(DKW_10Y!$A$2:$A$2918)),NA(),(INDEX(DKW_10Y!$D$2:$D$2918,MATCH($A222,DKW_10Y!$A$2:$A$2918,1))-INDEX(DKW_10Y!$D$2:$D$2918,MATCH(Settings!$B$16,DKW_10Y!$A$2:$A$2918,1)))*100))</f>
        <v/>
      </c>
      <c r="AA222" s="19">
        <f>IF(NOT(ISNUMBER($A222)),NA(),IF(OR($A222&lt;MIN(DKW_10Y!$A$2:$A$2918),$A222&gt;MAX(DKW_10Y!$A$2:$A$2918),Settings!$B$16&lt;MIN(DKW_10Y!$A$2:$A$2918)),NA(),(INDEX(DKW_10Y!$E$2:$E$2918,MATCH($A222,DKW_10Y!$A$2:$A$2918,1))-INDEX(DKW_10Y!$E$2:$E$2918,MATCH(Settings!$B$16,DKW_10Y!$A$2:$A$2918,1)))*100))</f>
        <v/>
      </c>
      <c r="AB222" s="19">
        <f>IF(NOT(ISNUMBER($A222)),NA(),IF(OR($A222&lt;MIN(DKW_10Y!$A$2:$A$2918),$A222&gt;MAX(DKW_10Y!$A$2:$A$2918),Settings!$B$16&lt;MIN(DKW_10Y!$A$2:$A$2918)),NA(),(INDEX(DKW_10Y!$H$2:$H$2918,MATCH($A222,DKW_10Y!$A$2:$A$2918,1))-INDEX(DKW_10Y!$H$2:$H$2918,MATCH(Settings!$B$16,DKW_10Y!$A$2:$A$2918,1)))*100))</f>
        <v/>
      </c>
      <c r="AC222" s="18">
        <f>IF(NOT(ISNUMBER($A222)),NA(),IFERROR(1*INDEX(BBG_Data!$N$2:$N$4000,MATCH($A222,BBG_Data!$M$2:$M$4000,0)),NA()))</f>
        <v/>
      </c>
      <c r="AD222" s="18">
        <f>IF(NOT(ISNUMBER($A222)),NA(),IFERROR(1*INDEX(BBG_Data!$P$2:$P$4000,MATCH($A222,BBG_Data!$O$2:$O$4000,0)),NA()))</f>
        <v/>
      </c>
      <c r="AE222" s="18">
        <f>IF(NOT(ISNUMBER($A222)),NA(),IFERROR(1*INDEX(BBG_Data!$R$2:$R$4000,MATCH($A222,BBG_Data!$Q$2:$Q$4000,0)),NA()))</f>
        <v/>
      </c>
      <c r="AF222" s="20">
        <f>IF(AND(ISNUMBER(B222),ISNUMBER(AC222)),(B222-AC222)*100,NA())</f>
        <v/>
      </c>
      <c r="AG222" s="20">
        <f>IF(AND(ISNUMBER(AE222),ISNUMBER(AD222)),(AE222-AD222)*100,NA())</f>
        <v/>
      </c>
      <c r="AH222" s="19">
        <f>IF(NOT(ISNUMBER($A222)),NA(),IFERROR(INDEX(BBG_Data!$T$2:$T$4000,MATCH($A222,BBG_Data!$S$2:$S$4000,0))*Settings!$B$25,NA()))</f>
        <v/>
      </c>
      <c r="AI222" s="19">
        <f>IF(NOT(ISNUMBER($A222)),NA(),IFERROR(INDEX(BBG_Data!$V$2:$V$4000,MATCH($A222,BBG_Data!$U$2:$U$4000,0))*Settings!$B$25,NA()))</f>
        <v/>
      </c>
      <c r="AJ222" s="19">
        <f>IF(NOT(ISNUMBER($A222)),NA(),IFERROR(1*INDEX(BBG_Data!$X$2:$X$4000,MATCH($A222,BBG_Data!$W$2:$W$4000,0)),NA()))</f>
        <v/>
      </c>
      <c r="AK222" s="19">
        <f>IF(NOT(ISNUMBER($A222)),NA(),IFERROR(1*INDEX(BBG_Data!$Z$2:$Z$4000,MATCH($A222,BBG_Data!$Y$2:$Y$4000,0)),NA()))</f>
        <v/>
      </c>
    </row>
    <row r="223">
      <c r="A223" s="17">
        <f>IF(ISNUMBER(BBG_Data!A223),BBG_Data!A223,"")</f>
        <v/>
      </c>
      <c r="B223" s="18">
        <f>IF(AND(ISNUMBER($A223),ISNUMBER(BBG_Data!B223)),BBG_Data!B223,NA())</f>
        <v/>
      </c>
      <c r="C223" s="18">
        <f>IF(NOT(ISNUMBER($A223)),NA(),IFERROR(1*INDEX(BBG_Data!$D$2:$D$4000,MATCH($A223,BBG_Data!$C$2:$C$4000,0)),NA()))</f>
        <v/>
      </c>
      <c r="D223" s="19">
        <f>IF(NOT(ISNUMBER($A223)),NA(),IFERROR(1*INDEX(BBG_Data!$F$2:$F$4000,MATCH($A223,BBG_Data!$E$2:$E$4000,0)),NA()))</f>
        <v/>
      </c>
      <c r="E223" s="19">
        <f>IF(NOT(ISNUMBER($A223)),NA(),IFERROR(1*INDEX(BBG_Data!$H$2:$H$4000,MATCH($A223,BBG_Data!$G$2:$G$4000,0)),NA()))</f>
        <v/>
      </c>
      <c r="F223" s="20">
        <f>IF(AND(ISNUMBER(B223),ISNUMBER(B222)),IF(B223=B222,"",(B223-B222)*100),"")</f>
        <v/>
      </c>
      <c r="G223" s="20">
        <f>IF(AND(ISNUMBER(C223),ISNUMBER(C222)),IF(C223=C222,"",(C223-C222)*100),"")</f>
        <v/>
      </c>
      <c r="H223" s="20">
        <f>IF(OR(NOT(ISNUMBER($A223)),ROW()-2&lt;Settings!$B$11),NA(),IF(COUNT(OFFSET(F223,1-Settings!$B$11,0,Settings!$B$11,1))&lt;ROUNDUP(Settings!$B$11*Settings!$B$26,0),NA(),STDEV(OFFSET(F223,1-Settings!$B$11,0,Settings!$B$11,1))*SQRT(Settings!$B$13)))</f>
        <v/>
      </c>
      <c r="I223" s="20">
        <f>IF(OR(NOT(ISNUMBER($A223)),ROW()-2&lt;Settings!$B$12),NA(),IF(COUNT(OFFSET(F223,1-Settings!$B$12,0,Settings!$B$12,1))&lt;ROUNDUP(Settings!$B$12*Settings!$B$26,0),NA(),STDEV(OFFSET(F223,1-Settings!$B$12,0,Settings!$B$12,1))*SQRT(Settings!$B$13)))</f>
        <v/>
      </c>
      <c r="J223" s="20">
        <f>IF(OR(NOT(ISNUMBER($A223)),ROW()-2&lt;Settings!$B$11),NA(),IF(COUNT(OFFSET(G223,1-Settings!$B$11,0,Settings!$B$11,1))&lt;ROUNDUP(Settings!$B$11*Settings!$B$26,0),NA(),STDEV(OFFSET(G223,1-Settings!$B$11,0,Settings!$B$11,1))*SQRT(Settings!$B$13)))</f>
        <v/>
      </c>
      <c r="K223" s="20">
        <f>IF(OR(NOT(ISNUMBER($A223)),ROW()-2&lt;Settings!$B$12),NA(),IF(COUNT(OFFSET(G223,1-Settings!$B$12,0,Settings!$B$12,1))&lt;ROUNDUP(Settings!$B$12*Settings!$B$26,0),NA(),STDEV(OFFSET(G223,1-Settings!$B$12,0,Settings!$B$12,1))*SQRT(Settings!$B$13)))</f>
        <v/>
      </c>
      <c r="L223" s="20">
        <f>IF(AND(ISNUMBER(D223),ISNUMBER(H223)),D223-H223,NA())</f>
        <v/>
      </c>
      <c r="M223" s="20">
        <f>IF(AND(ISNUMBER(E223),ISNUMBER(K223)),E223-K223,NA())</f>
        <v/>
      </c>
      <c r="N223" s="20">
        <f>IF(NOT(ISNUMBER($A223)),NA(),IF(COUNT(OFFSET(G223,1,0,Settings!$B$12,1))&lt;ROUNDUP(Settings!$B$12*Settings!$B$26,0),NA(),STDEV(OFFSET(G223,1,0,Settings!$B$12,1))*SQRT(Settings!$B$13)))</f>
        <v/>
      </c>
      <c r="O223" s="20">
        <f>IF(AND(ISNUMBER(E223),ISNUMBER(N223)),E223-N223,NA())</f>
        <v/>
      </c>
      <c r="P223" s="19">
        <f>IF(NOT(ISNUMBER($A223)),NA(),IF(OR($A223&lt;MIN(KW_TP!$A$2:$A$2501),$A223&gt;MAX(KW_TP!$A$2:$A$2501)),NA(),INDEX(KW_TP!$C$2:$C$2501,MATCH($A223,KW_TP!$A$2:$A$2501,1))))</f>
        <v/>
      </c>
      <c r="Q223" s="18">
        <f>IF(NOT(ISNUMBER($A223)),NA(),IFERROR(1*INDEX(BBG_Data!$J$2:$J$4000,MATCH($A223,BBG_Data!$I$2:$I$4000,0)),NA()))</f>
        <v/>
      </c>
      <c r="R223" s="18">
        <f>IF(NOT(ISNUMBER($A223)),NA(),IFERROR(1*INDEX(BBG_Data!$L$2:$L$4000,MATCH($A223,BBG_Data!$K$2:$K$4000,0)),NA()))</f>
        <v/>
      </c>
      <c r="S223" s="20">
        <f>IF(AND(ISNUMBER(B223),ISNUMBER(Q223),ISNUMBER(R223)),(B223-Q223-R223)*100,NA())</f>
        <v/>
      </c>
      <c r="T223" s="20">
        <f>IF(AND(ISNUMBER(B223),Settings!$B$17&gt;0),IF(ISNUMBER(INDEX($B:$B,Settings!$B$17)),(B223-INDEX($B:$B,Settings!$B$17))*100,NA()),NA())</f>
        <v/>
      </c>
      <c r="U223" s="20">
        <f>IF(AND(ISNUMBER(Q223),Settings!$B$17&gt;0),IF(ISNUMBER(INDEX($Q:$Q,Settings!$B$17)),(Q223-INDEX($Q:$Q,Settings!$B$17))*100,NA()),NA())</f>
        <v/>
      </c>
      <c r="V223" s="20">
        <f>IF(AND(ISNUMBER(R223),Settings!$B$17&gt;0),IF(ISNUMBER(INDEX($R:$R,Settings!$B$17)),(R223-INDEX($R:$R,Settings!$B$17))*100,NA()),NA())</f>
        <v/>
      </c>
      <c r="W223" s="20">
        <f>IF(AND(ISNUMBER(P223),Settings!$B$17&gt;0),IF(ISNUMBER(INDEX($P:$P,Settings!$B$17)),P223-INDEX($P:$P,Settings!$B$17),NA()),NA())</f>
        <v/>
      </c>
      <c r="X223" s="19">
        <f>IF(NOT(ISNUMBER($A223)),NA(),IF(OR($A223&lt;MIN(DKW_10Y!$A$2:$A$2918),$A223&gt;MAX(DKW_10Y!$A$2:$A$2918),Settings!$B$16&lt;MIN(DKW_10Y!$A$2:$A$2918)),NA(),(INDEX(DKW_10Y!$B$2:$B$2918,MATCH($A223,DKW_10Y!$A$2:$A$2918,1))-INDEX(DKW_10Y!$B$2:$B$2918,MATCH(Settings!$B$16,DKW_10Y!$A$2:$A$2918,1)))*100))</f>
        <v/>
      </c>
      <c r="Y223" s="19">
        <f>IF(NOT(ISNUMBER($A223)),NA(),IF(OR($A223&lt;MIN(DKW_10Y!$A$2:$A$2918),$A223&gt;MAX(DKW_10Y!$A$2:$A$2918),Settings!$B$16&lt;MIN(DKW_10Y!$A$2:$A$2918)),NA(),(INDEX(DKW_10Y!$C$2:$C$2918,MATCH($A223,DKW_10Y!$A$2:$A$2918,1))-INDEX(DKW_10Y!$C$2:$C$2918,MATCH(Settings!$B$16,DKW_10Y!$A$2:$A$2918,1)))*100))</f>
        <v/>
      </c>
      <c r="Z223" s="19">
        <f>IF(NOT(ISNUMBER($A223)),NA(),IF(OR($A223&lt;MIN(DKW_10Y!$A$2:$A$2918),$A223&gt;MAX(DKW_10Y!$A$2:$A$2918),Settings!$B$16&lt;MIN(DKW_10Y!$A$2:$A$2918)),NA(),(INDEX(DKW_10Y!$D$2:$D$2918,MATCH($A223,DKW_10Y!$A$2:$A$2918,1))-INDEX(DKW_10Y!$D$2:$D$2918,MATCH(Settings!$B$16,DKW_10Y!$A$2:$A$2918,1)))*100))</f>
        <v/>
      </c>
      <c r="AA223" s="19">
        <f>IF(NOT(ISNUMBER($A223)),NA(),IF(OR($A223&lt;MIN(DKW_10Y!$A$2:$A$2918),$A223&gt;MAX(DKW_10Y!$A$2:$A$2918),Settings!$B$16&lt;MIN(DKW_10Y!$A$2:$A$2918)),NA(),(INDEX(DKW_10Y!$E$2:$E$2918,MATCH($A223,DKW_10Y!$A$2:$A$2918,1))-INDEX(DKW_10Y!$E$2:$E$2918,MATCH(Settings!$B$16,DKW_10Y!$A$2:$A$2918,1)))*100))</f>
        <v/>
      </c>
      <c r="AB223" s="19">
        <f>IF(NOT(ISNUMBER($A223)),NA(),IF(OR($A223&lt;MIN(DKW_10Y!$A$2:$A$2918),$A223&gt;MAX(DKW_10Y!$A$2:$A$2918),Settings!$B$16&lt;MIN(DKW_10Y!$A$2:$A$2918)),NA(),(INDEX(DKW_10Y!$H$2:$H$2918,MATCH($A223,DKW_10Y!$A$2:$A$2918,1))-INDEX(DKW_10Y!$H$2:$H$2918,MATCH(Settings!$B$16,DKW_10Y!$A$2:$A$2918,1)))*100))</f>
        <v/>
      </c>
      <c r="AC223" s="18">
        <f>IF(NOT(ISNUMBER($A223)),NA(),IFERROR(1*INDEX(BBG_Data!$N$2:$N$4000,MATCH($A223,BBG_Data!$M$2:$M$4000,0)),NA()))</f>
        <v/>
      </c>
      <c r="AD223" s="18">
        <f>IF(NOT(ISNUMBER($A223)),NA(),IFERROR(1*INDEX(BBG_Data!$P$2:$P$4000,MATCH($A223,BBG_Data!$O$2:$O$4000,0)),NA()))</f>
        <v/>
      </c>
      <c r="AE223" s="18">
        <f>IF(NOT(ISNUMBER($A223)),NA(),IFERROR(1*INDEX(BBG_Data!$R$2:$R$4000,MATCH($A223,BBG_Data!$Q$2:$Q$4000,0)),NA()))</f>
        <v/>
      </c>
      <c r="AF223" s="20">
        <f>IF(AND(ISNUMBER(B223),ISNUMBER(AC223)),(B223-AC223)*100,NA())</f>
        <v/>
      </c>
      <c r="AG223" s="20">
        <f>IF(AND(ISNUMBER(AE223),ISNUMBER(AD223)),(AE223-AD223)*100,NA())</f>
        <v/>
      </c>
      <c r="AH223" s="19">
        <f>IF(NOT(ISNUMBER($A223)),NA(),IFERROR(INDEX(BBG_Data!$T$2:$T$4000,MATCH($A223,BBG_Data!$S$2:$S$4000,0))*Settings!$B$25,NA()))</f>
        <v/>
      </c>
      <c r="AI223" s="19">
        <f>IF(NOT(ISNUMBER($A223)),NA(),IFERROR(INDEX(BBG_Data!$V$2:$V$4000,MATCH($A223,BBG_Data!$U$2:$U$4000,0))*Settings!$B$25,NA()))</f>
        <v/>
      </c>
      <c r="AJ223" s="19">
        <f>IF(NOT(ISNUMBER($A223)),NA(),IFERROR(1*INDEX(BBG_Data!$X$2:$X$4000,MATCH($A223,BBG_Data!$W$2:$W$4000,0)),NA()))</f>
        <v/>
      </c>
      <c r="AK223" s="19">
        <f>IF(NOT(ISNUMBER($A223)),NA(),IFERROR(1*INDEX(BBG_Data!$Z$2:$Z$4000,MATCH($A223,BBG_Data!$Y$2:$Y$4000,0)),NA()))</f>
        <v/>
      </c>
    </row>
    <row r="224">
      <c r="A224" s="17">
        <f>IF(ISNUMBER(BBG_Data!A224),BBG_Data!A224,"")</f>
        <v/>
      </c>
      <c r="B224" s="18">
        <f>IF(AND(ISNUMBER($A224),ISNUMBER(BBG_Data!B224)),BBG_Data!B224,NA())</f>
        <v/>
      </c>
      <c r="C224" s="18">
        <f>IF(NOT(ISNUMBER($A224)),NA(),IFERROR(1*INDEX(BBG_Data!$D$2:$D$4000,MATCH($A224,BBG_Data!$C$2:$C$4000,0)),NA()))</f>
        <v/>
      </c>
      <c r="D224" s="19">
        <f>IF(NOT(ISNUMBER($A224)),NA(),IFERROR(1*INDEX(BBG_Data!$F$2:$F$4000,MATCH($A224,BBG_Data!$E$2:$E$4000,0)),NA()))</f>
        <v/>
      </c>
      <c r="E224" s="19">
        <f>IF(NOT(ISNUMBER($A224)),NA(),IFERROR(1*INDEX(BBG_Data!$H$2:$H$4000,MATCH($A224,BBG_Data!$G$2:$G$4000,0)),NA()))</f>
        <v/>
      </c>
      <c r="F224" s="20">
        <f>IF(AND(ISNUMBER(B224),ISNUMBER(B223)),IF(B224=B223,"",(B224-B223)*100),"")</f>
        <v/>
      </c>
      <c r="G224" s="20">
        <f>IF(AND(ISNUMBER(C224),ISNUMBER(C223)),IF(C224=C223,"",(C224-C223)*100),"")</f>
        <v/>
      </c>
      <c r="H224" s="20">
        <f>IF(OR(NOT(ISNUMBER($A224)),ROW()-2&lt;Settings!$B$11),NA(),IF(COUNT(OFFSET(F224,1-Settings!$B$11,0,Settings!$B$11,1))&lt;ROUNDUP(Settings!$B$11*Settings!$B$26,0),NA(),STDEV(OFFSET(F224,1-Settings!$B$11,0,Settings!$B$11,1))*SQRT(Settings!$B$13)))</f>
        <v/>
      </c>
      <c r="I224" s="20">
        <f>IF(OR(NOT(ISNUMBER($A224)),ROW()-2&lt;Settings!$B$12),NA(),IF(COUNT(OFFSET(F224,1-Settings!$B$12,0,Settings!$B$12,1))&lt;ROUNDUP(Settings!$B$12*Settings!$B$26,0),NA(),STDEV(OFFSET(F224,1-Settings!$B$12,0,Settings!$B$12,1))*SQRT(Settings!$B$13)))</f>
        <v/>
      </c>
      <c r="J224" s="20">
        <f>IF(OR(NOT(ISNUMBER($A224)),ROW()-2&lt;Settings!$B$11),NA(),IF(COUNT(OFFSET(G224,1-Settings!$B$11,0,Settings!$B$11,1))&lt;ROUNDUP(Settings!$B$11*Settings!$B$26,0),NA(),STDEV(OFFSET(G224,1-Settings!$B$11,0,Settings!$B$11,1))*SQRT(Settings!$B$13)))</f>
        <v/>
      </c>
      <c r="K224" s="20">
        <f>IF(OR(NOT(ISNUMBER($A224)),ROW()-2&lt;Settings!$B$12),NA(),IF(COUNT(OFFSET(G224,1-Settings!$B$12,0,Settings!$B$12,1))&lt;ROUNDUP(Settings!$B$12*Settings!$B$26,0),NA(),STDEV(OFFSET(G224,1-Settings!$B$12,0,Settings!$B$12,1))*SQRT(Settings!$B$13)))</f>
        <v/>
      </c>
      <c r="L224" s="20">
        <f>IF(AND(ISNUMBER(D224),ISNUMBER(H224)),D224-H224,NA())</f>
        <v/>
      </c>
      <c r="M224" s="20">
        <f>IF(AND(ISNUMBER(E224),ISNUMBER(K224)),E224-K224,NA())</f>
        <v/>
      </c>
      <c r="N224" s="20">
        <f>IF(NOT(ISNUMBER($A224)),NA(),IF(COUNT(OFFSET(G224,1,0,Settings!$B$12,1))&lt;ROUNDUP(Settings!$B$12*Settings!$B$26,0),NA(),STDEV(OFFSET(G224,1,0,Settings!$B$12,1))*SQRT(Settings!$B$13)))</f>
        <v/>
      </c>
      <c r="O224" s="20">
        <f>IF(AND(ISNUMBER(E224),ISNUMBER(N224)),E224-N224,NA())</f>
        <v/>
      </c>
      <c r="P224" s="19">
        <f>IF(NOT(ISNUMBER($A224)),NA(),IF(OR($A224&lt;MIN(KW_TP!$A$2:$A$2501),$A224&gt;MAX(KW_TP!$A$2:$A$2501)),NA(),INDEX(KW_TP!$C$2:$C$2501,MATCH($A224,KW_TP!$A$2:$A$2501,1))))</f>
        <v/>
      </c>
      <c r="Q224" s="18">
        <f>IF(NOT(ISNUMBER($A224)),NA(),IFERROR(1*INDEX(BBG_Data!$J$2:$J$4000,MATCH($A224,BBG_Data!$I$2:$I$4000,0)),NA()))</f>
        <v/>
      </c>
      <c r="R224" s="18">
        <f>IF(NOT(ISNUMBER($A224)),NA(),IFERROR(1*INDEX(BBG_Data!$L$2:$L$4000,MATCH($A224,BBG_Data!$K$2:$K$4000,0)),NA()))</f>
        <v/>
      </c>
      <c r="S224" s="20">
        <f>IF(AND(ISNUMBER(B224),ISNUMBER(Q224),ISNUMBER(R224)),(B224-Q224-R224)*100,NA())</f>
        <v/>
      </c>
      <c r="T224" s="20">
        <f>IF(AND(ISNUMBER(B224),Settings!$B$17&gt;0),IF(ISNUMBER(INDEX($B:$B,Settings!$B$17)),(B224-INDEX($B:$B,Settings!$B$17))*100,NA()),NA())</f>
        <v/>
      </c>
      <c r="U224" s="20">
        <f>IF(AND(ISNUMBER(Q224),Settings!$B$17&gt;0),IF(ISNUMBER(INDEX($Q:$Q,Settings!$B$17)),(Q224-INDEX($Q:$Q,Settings!$B$17))*100,NA()),NA())</f>
        <v/>
      </c>
      <c r="V224" s="20">
        <f>IF(AND(ISNUMBER(R224),Settings!$B$17&gt;0),IF(ISNUMBER(INDEX($R:$R,Settings!$B$17)),(R224-INDEX($R:$R,Settings!$B$17))*100,NA()),NA())</f>
        <v/>
      </c>
      <c r="W224" s="20">
        <f>IF(AND(ISNUMBER(P224),Settings!$B$17&gt;0),IF(ISNUMBER(INDEX($P:$P,Settings!$B$17)),P224-INDEX($P:$P,Settings!$B$17),NA()),NA())</f>
        <v/>
      </c>
      <c r="X224" s="19">
        <f>IF(NOT(ISNUMBER($A224)),NA(),IF(OR($A224&lt;MIN(DKW_10Y!$A$2:$A$2918),$A224&gt;MAX(DKW_10Y!$A$2:$A$2918),Settings!$B$16&lt;MIN(DKW_10Y!$A$2:$A$2918)),NA(),(INDEX(DKW_10Y!$B$2:$B$2918,MATCH($A224,DKW_10Y!$A$2:$A$2918,1))-INDEX(DKW_10Y!$B$2:$B$2918,MATCH(Settings!$B$16,DKW_10Y!$A$2:$A$2918,1)))*100))</f>
        <v/>
      </c>
      <c r="Y224" s="19">
        <f>IF(NOT(ISNUMBER($A224)),NA(),IF(OR($A224&lt;MIN(DKW_10Y!$A$2:$A$2918),$A224&gt;MAX(DKW_10Y!$A$2:$A$2918),Settings!$B$16&lt;MIN(DKW_10Y!$A$2:$A$2918)),NA(),(INDEX(DKW_10Y!$C$2:$C$2918,MATCH($A224,DKW_10Y!$A$2:$A$2918,1))-INDEX(DKW_10Y!$C$2:$C$2918,MATCH(Settings!$B$16,DKW_10Y!$A$2:$A$2918,1)))*100))</f>
        <v/>
      </c>
      <c r="Z224" s="19">
        <f>IF(NOT(ISNUMBER($A224)),NA(),IF(OR($A224&lt;MIN(DKW_10Y!$A$2:$A$2918),$A224&gt;MAX(DKW_10Y!$A$2:$A$2918),Settings!$B$16&lt;MIN(DKW_10Y!$A$2:$A$2918)),NA(),(INDEX(DKW_10Y!$D$2:$D$2918,MATCH($A224,DKW_10Y!$A$2:$A$2918,1))-INDEX(DKW_10Y!$D$2:$D$2918,MATCH(Settings!$B$16,DKW_10Y!$A$2:$A$2918,1)))*100))</f>
        <v/>
      </c>
      <c r="AA224" s="19">
        <f>IF(NOT(ISNUMBER($A224)),NA(),IF(OR($A224&lt;MIN(DKW_10Y!$A$2:$A$2918),$A224&gt;MAX(DKW_10Y!$A$2:$A$2918),Settings!$B$16&lt;MIN(DKW_10Y!$A$2:$A$2918)),NA(),(INDEX(DKW_10Y!$E$2:$E$2918,MATCH($A224,DKW_10Y!$A$2:$A$2918,1))-INDEX(DKW_10Y!$E$2:$E$2918,MATCH(Settings!$B$16,DKW_10Y!$A$2:$A$2918,1)))*100))</f>
        <v/>
      </c>
      <c r="AB224" s="19">
        <f>IF(NOT(ISNUMBER($A224)),NA(),IF(OR($A224&lt;MIN(DKW_10Y!$A$2:$A$2918),$A224&gt;MAX(DKW_10Y!$A$2:$A$2918),Settings!$B$16&lt;MIN(DKW_10Y!$A$2:$A$2918)),NA(),(INDEX(DKW_10Y!$H$2:$H$2918,MATCH($A224,DKW_10Y!$A$2:$A$2918,1))-INDEX(DKW_10Y!$H$2:$H$2918,MATCH(Settings!$B$16,DKW_10Y!$A$2:$A$2918,1)))*100))</f>
        <v/>
      </c>
      <c r="AC224" s="18">
        <f>IF(NOT(ISNUMBER($A224)),NA(),IFERROR(1*INDEX(BBG_Data!$N$2:$N$4000,MATCH($A224,BBG_Data!$M$2:$M$4000,0)),NA()))</f>
        <v/>
      </c>
      <c r="AD224" s="18">
        <f>IF(NOT(ISNUMBER($A224)),NA(),IFERROR(1*INDEX(BBG_Data!$P$2:$P$4000,MATCH($A224,BBG_Data!$O$2:$O$4000,0)),NA()))</f>
        <v/>
      </c>
      <c r="AE224" s="18">
        <f>IF(NOT(ISNUMBER($A224)),NA(),IFERROR(1*INDEX(BBG_Data!$R$2:$R$4000,MATCH($A224,BBG_Data!$Q$2:$Q$4000,0)),NA()))</f>
        <v/>
      </c>
      <c r="AF224" s="20">
        <f>IF(AND(ISNUMBER(B224),ISNUMBER(AC224)),(B224-AC224)*100,NA())</f>
        <v/>
      </c>
      <c r="AG224" s="20">
        <f>IF(AND(ISNUMBER(AE224),ISNUMBER(AD224)),(AE224-AD224)*100,NA())</f>
        <v/>
      </c>
      <c r="AH224" s="19">
        <f>IF(NOT(ISNUMBER($A224)),NA(),IFERROR(INDEX(BBG_Data!$T$2:$T$4000,MATCH($A224,BBG_Data!$S$2:$S$4000,0))*Settings!$B$25,NA()))</f>
        <v/>
      </c>
      <c r="AI224" s="19">
        <f>IF(NOT(ISNUMBER($A224)),NA(),IFERROR(INDEX(BBG_Data!$V$2:$V$4000,MATCH($A224,BBG_Data!$U$2:$U$4000,0))*Settings!$B$25,NA()))</f>
        <v/>
      </c>
      <c r="AJ224" s="19">
        <f>IF(NOT(ISNUMBER($A224)),NA(),IFERROR(1*INDEX(BBG_Data!$X$2:$X$4000,MATCH($A224,BBG_Data!$W$2:$W$4000,0)),NA()))</f>
        <v/>
      </c>
      <c r="AK224" s="19">
        <f>IF(NOT(ISNUMBER($A224)),NA(),IFERROR(1*INDEX(BBG_Data!$Z$2:$Z$4000,MATCH($A224,BBG_Data!$Y$2:$Y$4000,0)),NA()))</f>
        <v/>
      </c>
    </row>
    <row r="225">
      <c r="A225" s="17">
        <f>IF(ISNUMBER(BBG_Data!A225),BBG_Data!A225,"")</f>
        <v/>
      </c>
      <c r="B225" s="18">
        <f>IF(AND(ISNUMBER($A225),ISNUMBER(BBG_Data!B225)),BBG_Data!B225,NA())</f>
        <v/>
      </c>
      <c r="C225" s="18">
        <f>IF(NOT(ISNUMBER($A225)),NA(),IFERROR(1*INDEX(BBG_Data!$D$2:$D$4000,MATCH($A225,BBG_Data!$C$2:$C$4000,0)),NA()))</f>
        <v/>
      </c>
      <c r="D225" s="19">
        <f>IF(NOT(ISNUMBER($A225)),NA(),IFERROR(1*INDEX(BBG_Data!$F$2:$F$4000,MATCH($A225,BBG_Data!$E$2:$E$4000,0)),NA()))</f>
        <v/>
      </c>
      <c r="E225" s="19">
        <f>IF(NOT(ISNUMBER($A225)),NA(),IFERROR(1*INDEX(BBG_Data!$H$2:$H$4000,MATCH($A225,BBG_Data!$G$2:$G$4000,0)),NA()))</f>
        <v/>
      </c>
      <c r="F225" s="20">
        <f>IF(AND(ISNUMBER(B225),ISNUMBER(B224)),IF(B225=B224,"",(B225-B224)*100),"")</f>
        <v/>
      </c>
      <c r="G225" s="20">
        <f>IF(AND(ISNUMBER(C225),ISNUMBER(C224)),IF(C225=C224,"",(C225-C224)*100),"")</f>
        <v/>
      </c>
      <c r="H225" s="20">
        <f>IF(OR(NOT(ISNUMBER($A225)),ROW()-2&lt;Settings!$B$11),NA(),IF(COUNT(OFFSET(F225,1-Settings!$B$11,0,Settings!$B$11,1))&lt;ROUNDUP(Settings!$B$11*Settings!$B$26,0),NA(),STDEV(OFFSET(F225,1-Settings!$B$11,0,Settings!$B$11,1))*SQRT(Settings!$B$13)))</f>
        <v/>
      </c>
      <c r="I225" s="20">
        <f>IF(OR(NOT(ISNUMBER($A225)),ROW()-2&lt;Settings!$B$12),NA(),IF(COUNT(OFFSET(F225,1-Settings!$B$12,0,Settings!$B$12,1))&lt;ROUNDUP(Settings!$B$12*Settings!$B$26,0),NA(),STDEV(OFFSET(F225,1-Settings!$B$12,0,Settings!$B$12,1))*SQRT(Settings!$B$13)))</f>
        <v/>
      </c>
      <c r="J225" s="20">
        <f>IF(OR(NOT(ISNUMBER($A225)),ROW()-2&lt;Settings!$B$11),NA(),IF(COUNT(OFFSET(G225,1-Settings!$B$11,0,Settings!$B$11,1))&lt;ROUNDUP(Settings!$B$11*Settings!$B$26,0),NA(),STDEV(OFFSET(G225,1-Settings!$B$11,0,Settings!$B$11,1))*SQRT(Settings!$B$13)))</f>
        <v/>
      </c>
      <c r="K225" s="20">
        <f>IF(OR(NOT(ISNUMBER($A225)),ROW()-2&lt;Settings!$B$12),NA(),IF(COUNT(OFFSET(G225,1-Settings!$B$12,0,Settings!$B$12,1))&lt;ROUNDUP(Settings!$B$12*Settings!$B$26,0),NA(),STDEV(OFFSET(G225,1-Settings!$B$12,0,Settings!$B$12,1))*SQRT(Settings!$B$13)))</f>
        <v/>
      </c>
      <c r="L225" s="20">
        <f>IF(AND(ISNUMBER(D225),ISNUMBER(H225)),D225-H225,NA())</f>
        <v/>
      </c>
      <c r="M225" s="20">
        <f>IF(AND(ISNUMBER(E225),ISNUMBER(K225)),E225-K225,NA())</f>
        <v/>
      </c>
      <c r="N225" s="20">
        <f>IF(NOT(ISNUMBER($A225)),NA(),IF(COUNT(OFFSET(G225,1,0,Settings!$B$12,1))&lt;ROUNDUP(Settings!$B$12*Settings!$B$26,0),NA(),STDEV(OFFSET(G225,1,0,Settings!$B$12,1))*SQRT(Settings!$B$13)))</f>
        <v/>
      </c>
      <c r="O225" s="20">
        <f>IF(AND(ISNUMBER(E225),ISNUMBER(N225)),E225-N225,NA())</f>
        <v/>
      </c>
      <c r="P225" s="19">
        <f>IF(NOT(ISNUMBER($A225)),NA(),IF(OR($A225&lt;MIN(KW_TP!$A$2:$A$2501),$A225&gt;MAX(KW_TP!$A$2:$A$2501)),NA(),INDEX(KW_TP!$C$2:$C$2501,MATCH($A225,KW_TP!$A$2:$A$2501,1))))</f>
        <v/>
      </c>
      <c r="Q225" s="18">
        <f>IF(NOT(ISNUMBER($A225)),NA(),IFERROR(1*INDEX(BBG_Data!$J$2:$J$4000,MATCH($A225,BBG_Data!$I$2:$I$4000,0)),NA()))</f>
        <v/>
      </c>
      <c r="R225" s="18">
        <f>IF(NOT(ISNUMBER($A225)),NA(),IFERROR(1*INDEX(BBG_Data!$L$2:$L$4000,MATCH($A225,BBG_Data!$K$2:$K$4000,0)),NA()))</f>
        <v/>
      </c>
      <c r="S225" s="20">
        <f>IF(AND(ISNUMBER(B225),ISNUMBER(Q225),ISNUMBER(R225)),(B225-Q225-R225)*100,NA())</f>
        <v/>
      </c>
      <c r="T225" s="20">
        <f>IF(AND(ISNUMBER(B225),Settings!$B$17&gt;0),IF(ISNUMBER(INDEX($B:$B,Settings!$B$17)),(B225-INDEX($B:$B,Settings!$B$17))*100,NA()),NA())</f>
        <v/>
      </c>
      <c r="U225" s="20">
        <f>IF(AND(ISNUMBER(Q225),Settings!$B$17&gt;0),IF(ISNUMBER(INDEX($Q:$Q,Settings!$B$17)),(Q225-INDEX($Q:$Q,Settings!$B$17))*100,NA()),NA())</f>
        <v/>
      </c>
      <c r="V225" s="20">
        <f>IF(AND(ISNUMBER(R225),Settings!$B$17&gt;0),IF(ISNUMBER(INDEX($R:$R,Settings!$B$17)),(R225-INDEX($R:$R,Settings!$B$17))*100,NA()),NA())</f>
        <v/>
      </c>
      <c r="W225" s="20">
        <f>IF(AND(ISNUMBER(P225),Settings!$B$17&gt;0),IF(ISNUMBER(INDEX($P:$P,Settings!$B$17)),P225-INDEX($P:$P,Settings!$B$17),NA()),NA())</f>
        <v/>
      </c>
      <c r="X225" s="19">
        <f>IF(NOT(ISNUMBER($A225)),NA(),IF(OR($A225&lt;MIN(DKW_10Y!$A$2:$A$2918),$A225&gt;MAX(DKW_10Y!$A$2:$A$2918),Settings!$B$16&lt;MIN(DKW_10Y!$A$2:$A$2918)),NA(),(INDEX(DKW_10Y!$B$2:$B$2918,MATCH($A225,DKW_10Y!$A$2:$A$2918,1))-INDEX(DKW_10Y!$B$2:$B$2918,MATCH(Settings!$B$16,DKW_10Y!$A$2:$A$2918,1)))*100))</f>
        <v/>
      </c>
      <c r="Y225" s="19">
        <f>IF(NOT(ISNUMBER($A225)),NA(),IF(OR($A225&lt;MIN(DKW_10Y!$A$2:$A$2918),$A225&gt;MAX(DKW_10Y!$A$2:$A$2918),Settings!$B$16&lt;MIN(DKW_10Y!$A$2:$A$2918)),NA(),(INDEX(DKW_10Y!$C$2:$C$2918,MATCH($A225,DKW_10Y!$A$2:$A$2918,1))-INDEX(DKW_10Y!$C$2:$C$2918,MATCH(Settings!$B$16,DKW_10Y!$A$2:$A$2918,1)))*100))</f>
        <v/>
      </c>
      <c r="Z225" s="19">
        <f>IF(NOT(ISNUMBER($A225)),NA(),IF(OR($A225&lt;MIN(DKW_10Y!$A$2:$A$2918),$A225&gt;MAX(DKW_10Y!$A$2:$A$2918),Settings!$B$16&lt;MIN(DKW_10Y!$A$2:$A$2918)),NA(),(INDEX(DKW_10Y!$D$2:$D$2918,MATCH($A225,DKW_10Y!$A$2:$A$2918,1))-INDEX(DKW_10Y!$D$2:$D$2918,MATCH(Settings!$B$16,DKW_10Y!$A$2:$A$2918,1)))*100))</f>
        <v/>
      </c>
      <c r="AA225" s="19">
        <f>IF(NOT(ISNUMBER($A225)),NA(),IF(OR($A225&lt;MIN(DKW_10Y!$A$2:$A$2918),$A225&gt;MAX(DKW_10Y!$A$2:$A$2918),Settings!$B$16&lt;MIN(DKW_10Y!$A$2:$A$2918)),NA(),(INDEX(DKW_10Y!$E$2:$E$2918,MATCH($A225,DKW_10Y!$A$2:$A$2918,1))-INDEX(DKW_10Y!$E$2:$E$2918,MATCH(Settings!$B$16,DKW_10Y!$A$2:$A$2918,1)))*100))</f>
        <v/>
      </c>
      <c r="AB225" s="19">
        <f>IF(NOT(ISNUMBER($A225)),NA(),IF(OR($A225&lt;MIN(DKW_10Y!$A$2:$A$2918),$A225&gt;MAX(DKW_10Y!$A$2:$A$2918),Settings!$B$16&lt;MIN(DKW_10Y!$A$2:$A$2918)),NA(),(INDEX(DKW_10Y!$H$2:$H$2918,MATCH($A225,DKW_10Y!$A$2:$A$2918,1))-INDEX(DKW_10Y!$H$2:$H$2918,MATCH(Settings!$B$16,DKW_10Y!$A$2:$A$2918,1)))*100))</f>
        <v/>
      </c>
      <c r="AC225" s="18">
        <f>IF(NOT(ISNUMBER($A225)),NA(),IFERROR(1*INDEX(BBG_Data!$N$2:$N$4000,MATCH($A225,BBG_Data!$M$2:$M$4000,0)),NA()))</f>
        <v/>
      </c>
      <c r="AD225" s="18">
        <f>IF(NOT(ISNUMBER($A225)),NA(),IFERROR(1*INDEX(BBG_Data!$P$2:$P$4000,MATCH($A225,BBG_Data!$O$2:$O$4000,0)),NA()))</f>
        <v/>
      </c>
      <c r="AE225" s="18">
        <f>IF(NOT(ISNUMBER($A225)),NA(),IFERROR(1*INDEX(BBG_Data!$R$2:$R$4000,MATCH($A225,BBG_Data!$Q$2:$Q$4000,0)),NA()))</f>
        <v/>
      </c>
      <c r="AF225" s="20">
        <f>IF(AND(ISNUMBER(B225),ISNUMBER(AC225)),(B225-AC225)*100,NA())</f>
        <v/>
      </c>
      <c r="AG225" s="20">
        <f>IF(AND(ISNUMBER(AE225),ISNUMBER(AD225)),(AE225-AD225)*100,NA())</f>
        <v/>
      </c>
      <c r="AH225" s="19">
        <f>IF(NOT(ISNUMBER($A225)),NA(),IFERROR(INDEX(BBG_Data!$T$2:$T$4000,MATCH($A225,BBG_Data!$S$2:$S$4000,0))*Settings!$B$25,NA()))</f>
        <v/>
      </c>
      <c r="AI225" s="19">
        <f>IF(NOT(ISNUMBER($A225)),NA(),IFERROR(INDEX(BBG_Data!$V$2:$V$4000,MATCH($A225,BBG_Data!$U$2:$U$4000,0))*Settings!$B$25,NA()))</f>
        <v/>
      </c>
      <c r="AJ225" s="19">
        <f>IF(NOT(ISNUMBER($A225)),NA(),IFERROR(1*INDEX(BBG_Data!$X$2:$X$4000,MATCH($A225,BBG_Data!$W$2:$W$4000,0)),NA()))</f>
        <v/>
      </c>
      <c r="AK225" s="19">
        <f>IF(NOT(ISNUMBER($A225)),NA(),IFERROR(1*INDEX(BBG_Data!$Z$2:$Z$4000,MATCH($A225,BBG_Data!$Y$2:$Y$4000,0)),NA()))</f>
        <v/>
      </c>
    </row>
    <row r="226">
      <c r="A226" s="17">
        <f>IF(ISNUMBER(BBG_Data!A226),BBG_Data!A226,"")</f>
        <v/>
      </c>
      <c r="B226" s="18">
        <f>IF(AND(ISNUMBER($A226),ISNUMBER(BBG_Data!B226)),BBG_Data!B226,NA())</f>
        <v/>
      </c>
      <c r="C226" s="18">
        <f>IF(NOT(ISNUMBER($A226)),NA(),IFERROR(1*INDEX(BBG_Data!$D$2:$D$4000,MATCH($A226,BBG_Data!$C$2:$C$4000,0)),NA()))</f>
        <v/>
      </c>
      <c r="D226" s="19">
        <f>IF(NOT(ISNUMBER($A226)),NA(),IFERROR(1*INDEX(BBG_Data!$F$2:$F$4000,MATCH($A226,BBG_Data!$E$2:$E$4000,0)),NA()))</f>
        <v/>
      </c>
      <c r="E226" s="19">
        <f>IF(NOT(ISNUMBER($A226)),NA(),IFERROR(1*INDEX(BBG_Data!$H$2:$H$4000,MATCH($A226,BBG_Data!$G$2:$G$4000,0)),NA()))</f>
        <v/>
      </c>
      <c r="F226" s="20">
        <f>IF(AND(ISNUMBER(B226),ISNUMBER(B225)),IF(B226=B225,"",(B226-B225)*100),"")</f>
        <v/>
      </c>
      <c r="G226" s="20">
        <f>IF(AND(ISNUMBER(C226),ISNUMBER(C225)),IF(C226=C225,"",(C226-C225)*100),"")</f>
        <v/>
      </c>
      <c r="H226" s="20">
        <f>IF(OR(NOT(ISNUMBER($A226)),ROW()-2&lt;Settings!$B$11),NA(),IF(COUNT(OFFSET(F226,1-Settings!$B$11,0,Settings!$B$11,1))&lt;ROUNDUP(Settings!$B$11*Settings!$B$26,0),NA(),STDEV(OFFSET(F226,1-Settings!$B$11,0,Settings!$B$11,1))*SQRT(Settings!$B$13)))</f>
        <v/>
      </c>
      <c r="I226" s="20">
        <f>IF(OR(NOT(ISNUMBER($A226)),ROW()-2&lt;Settings!$B$12),NA(),IF(COUNT(OFFSET(F226,1-Settings!$B$12,0,Settings!$B$12,1))&lt;ROUNDUP(Settings!$B$12*Settings!$B$26,0),NA(),STDEV(OFFSET(F226,1-Settings!$B$12,0,Settings!$B$12,1))*SQRT(Settings!$B$13)))</f>
        <v/>
      </c>
      <c r="J226" s="20">
        <f>IF(OR(NOT(ISNUMBER($A226)),ROW()-2&lt;Settings!$B$11),NA(),IF(COUNT(OFFSET(G226,1-Settings!$B$11,0,Settings!$B$11,1))&lt;ROUNDUP(Settings!$B$11*Settings!$B$26,0),NA(),STDEV(OFFSET(G226,1-Settings!$B$11,0,Settings!$B$11,1))*SQRT(Settings!$B$13)))</f>
        <v/>
      </c>
      <c r="K226" s="20">
        <f>IF(OR(NOT(ISNUMBER($A226)),ROW()-2&lt;Settings!$B$12),NA(),IF(COUNT(OFFSET(G226,1-Settings!$B$12,0,Settings!$B$12,1))&lt;ROUNDUP(Settings!$B$12*Settings!$B$26,0),NA(),STDEV(OFFSET(G226,1-Settings!$B$12,0,Settings!$B$12,1))*SQRT(Settings!$B$13)))</f>
        <v/>
      </c>
      <c r="L226" s="20">
        <f>IF(AND(ISNUMBER(D226),ISNUMBER(H226)),D226-H226,NA())</f>
        <v/>
      </c>
      <c r="M226" s="20">
        <f>IF(AND(ISNUMBER(E226),ISNUMBER(K226)),E226-K226,NA())</f>
        <v/>
      </c>
      <c r="N226" s="20">
        <f>IF(NOT(ISNUMBER($A226)),NA(),IF(COUNT(OFFSET(G226,1,0,Settings!$B$12,1))&lt;ROUNDUP(Settings!$B$12*Settings!$B$26,0),NA(),STDEV(OFFSET(G226,1,0,Settings!$B$12,1))*SQRT(Settings!$B$13)))</f>
        <v/>
      </c>
      <c r="O226" s="20">
        <f>IF(AND(ISNUMBER(E226),ISNUMBER(N226)),E226-N226,NA())</f>
        <v/>
      </c>
      <c r="P226" s="19">
        <f>IF(NOT(ISNUMBER($A226)),NA(),IF(OR($A226&lt;MIN(KW_TP!$A$2:$A$2501),$A226&gt;MAX(KW_TP!$A$2:$A$2501)),NA(),INDEX(KW_TP!$C$2:$C$2501,MATCH($A226,KW_TP!$A$2:$A$2501,1))))</f>
        <v/>
      </c>
      <c r="Q226" s="18">
        <f>IF(NOT(ISNUMBER($A226)),NA(),IFERROR(1*INDEX(BBG_Data!$J$2:$J$4000,MATCH($A226,BBG_Data!$I$2:$I$4000,0)),NA()))</f>
        <v/>
      </c>
      <c r="R226" s="18">
        <f>IF(NOT(ISNUMBER($A226)),NA(),IFERROR(1*INDEX(BBG_Data!$L$2:$L$4000,MATCH($A226,BBG_Data!$K$2:$K$4000,0)),NA()))</f>
        <v/>
      </c>
      <c r="S226" s="20">
        <f>IF(AND(ISNUMBER(B226),ISNUMBER(Q226),ISNUMBER(R226)),(B226-Q226-R226)*100,NA())</f>
        <v/>
      </c>
      <c r="T226" s="20">
        <f>IF(AND(ISNUMBER(B226),Settings!$B$17&gt;0),IF(ISNUMBER(INDEX($B:$B,Settings!$B$17)),(B226-INDEX($B:$B,Settings!$B$17))*100,NA()),NA())</f>
        <v/>
      </c>
      <c r="U226" s="20">
        <f>IF(AND(ISNUMBER(Q226),Settings!$B$17&gt;0),IF(ISNUMBER(INDEX($Q:$Q,Settings!$B$17)),(Q226-INDEX($Q:$Q,Settings!$B$17))*100,NA()),NA())</f>
        <v/>
      </c>
      <c r="V226" s="20">
        <f>IF(AND(ISNUMBER(R226),Settings!$B$17&gt;0),IF(ISNUMBER(INDEX($R:$R,Settings!$B$17)),(R226-INDEX($R:$R,Settings!$B$17))*100,NA()),NA())</f>
        <v/>
      </c>
      <c r="W226" s="20">
        <f>IF(AND(ISNUMBER(P226),Settings!$B$17&gt;0),IF(ISNUMBER(INDEX($P:$P,Settings!$B$17)),P226-INDEX($P:$P,Settings!$B$17),NA()),NA())</f>
        <v/>
      </c>
      <c r="X226" s="19">
        <f>IF(NOT(ISNUMBER($A226)),NA(),IF(OR($A226&lt;MIN(DKW_10Y!$A$2:$A$2918),$A226&gt;MAX(DKW_10Y!$A$2:$A$2918),Settings!$B$16&lt;MIN(DKW_10Y!$A$2:$A$2918)),NA(),(INDEX(DKW_10Y!$B$2:$B$2918,MATCH($A226,DKW_10Y!$A$2:$A$2918,1))-INDEX(DKW_10Y!$B$2:$B$2918,MATCH(Settings!$B$16,DKW_10Y!$A$2:$A$2918,1)))*100))</f>
        <v/>
      </c>
      <c r="Y226" s="19">
        <f>IF(NOT(ISNUMBER($A226)),NA(),IF(OR($A226&lt;MIN(DKW_10Y!$A$2:$A$2918),$A226&gt;MAX(DKW_10Y!$A$2:$A$2918),Settings!$B$16&lt;MIN(DKW_10Y!$A$2:$A$2918)),NA(),(INDEX(DKW_10Y!$C$2:$C$2918,MATCH($A226,DKW_10Y!$A$2:$A$2918,1))-INDEX(DKW_10Y!$C$2:$C$2918,MATCH(Settings!$B$16,DKW_10Y!$A$2:$A$2918,1)))*100))</f>
        <v/>
      </c>
      <c r="Z226" s="19">
        <f>IF(NOT(ISNUMBER($A226)),NA(),IF(OR($A226&lt;MIN(DKW_10Y!$A$2:$A$2918),$A226&gt;MAX(DKW_10Y!$A$2:$A$2918),Settings!$B$16&lt;MIN(DKW_10Y!$A$2:$A$2918)),NA(),(INDEX(DKW_10Y!$D$2:$D$2918,MATCH($A226,DKW_10Y!$A$2:$A$2918,1))-INDEX(DKW_10Y!$D$2:$D$2918,MATCH(Settings!$B$16,DKW_10Y!$A$2:$A$2918,1)))*100))</f>
        <v/>
      </c>
      <c r="AA226" s="19">
        <f>IF(NOT(ISNUMBER($A226)),NA(),IF(OR($A226&lt;MIN(DKW_10Y!$A$2:$A$2918),$A226&gt;MAX(DKW_10Y!$A$2:$A$2918),Settings!$B$16&lt;MIN(DKW_10Y!$A$2:$A$2918)),NA(),(INDEX(DKW_10Y!$E$2:$E$2918,MATCH($A226,DKW_10Y!$A$2:$A$2918,1))-INDEX(DKW_10Y!$E$2:$E$2918,MATCH(Settings!$B$16,DKW_10Y!$A$2:$A$2918,1)))*100))</f>
        <v/>
      </c>
      <c r="AB226" s="19">
        <f>IF(NOT(ISNUMBER($A226)),NA(),IF(OR($A226&lt;MIN(DKW_10Y!$A$2:$A$2918),$A226&gt;MAX(DKW_10Y!$A$2:$A$2918),Settings!$B$16&lt;MIN(DKW_10Y!$A$2:$A$2918)),NA(),(INDEX(DKW_10Y!$H$2:$H$2918,MATCH($A226,DKW_10Y!$A$2:$A$2918,1))-INDEX(DKW_10Y!$H$2:$H$2918,MATCH(Settings!$B$16,DKW_10Y!$A$2:$A$2918,1)))*100))</f>
        <v/>
      </c>
      <c r="AC226" s="18">
        <f>IF(NOT(ISNUMBER($A226)),NA(),IFERROR(1*INDEX(BBG_Data!$N$2:$N$4000,MATCH($A226,BBG_Data!$M$2:$M$4000,0)),NA()))</f>
        <v/>
      </c>
      <c r="AD226" s="18">
        <f>IF(NOT(ISNUMBER($A226)),NA(),IFERROR(1*INDEX(BBG_Data!$P$2:$P$4000,MATCH($A226,BBG_Data!$O$2:$O$4000,0)),NA()))</f>
        <v/>
      </c>
      <c r="AE226" s="18">
        <f>IF(NOT(ISNUMBER($A226)),NA(),IFERROR(1*INDEX(BBG_Data!$R$2:$R$4000,MATCH($A226,BBG_Data!$Q$2:$Q$4000,0)),NA()))</f>
        <v/>
      </c>
      <c r="AF226" s="20">
        <f>IF(AND(ISNUMBER(B226),ISNUMBER(AC226)),(B226-AC226)*100,NA())</f>
        <v/>
      </c>
      <c r="AG226" s="20">
        <f>IF(AND(ISNUMBER(AE226),ISNUMBER(AD226)),(AE226-AD226)*100,NA())</f>
        <v/>
      </c>
      <c r="AH226" s="19">
        <f>IF(NOT(ISNUMBER($A226)),NA(),IFERROR(INDEX(BBG_Data!$T$2:$T$4000,MATCH($A226,BBG_Data!$S$2:$S$4000,0))*Settings!$B$25,NA()))</f>
        <v/>
      </c>
      <c r="AI226" s="19">
        <f>IF(NOT(ISNUMBER($A226)),NA(),IFERROR(INDEX(BBG_Data!$V$2:$V$4000,MATCH($A226,BBG_Data!$U$2:$U$4000,0))*Settings!$B$25,NA()))</f>
        <v/>
      </c>
      <c r="AJ226" s="19">
        <f>IF(NOT(ISNUMBER($A226)),NA(),IFERROR(1*INDEX(BBG_Data!$X$2:$X$4000,MATCH($A226,BBG_Data!$W$2:$W$4000,0)),NA()))</f>
        <v/>
      </c>
      <c r="AK226" s="19">
        <f>IF(NOT(ISNUMBER($A226)),NA(),IFERROR(1*INDEX(BBG_Data!$Z$2:$Z$4000,MATCH($A226,BBG_Data!$Y$2:$Y$4000,0)),NA()))</f>
        <v/>
      </c>
    </row>
    <row r="227">
      <c r="A227" s="17">
        <f>IF(ISNUMBER(BBG_Data!A227),BBG_Data!A227,"")</f>
        <v/>
      </c>
      <c r="B227" s="18">
        <f>IF(AND(ISNUMBER($A227),ISNUMBER(BBG_Data!B227)),BBG_Data!B227,NA())</f>
        <v/>
      </c>
      <c r="C227" s="18">
        <f>IF(NOT(ISNUMBER($A227)),NA(),IFERROR(1*INDEX(BBG_Data!$D$2:$D$4000,MATCH($A227,BBG_Data!$C$2:$C$4000,0)),NA()))</f>
        <v/>
      </c>
      <c r="D227" s="19">
        <f>IF(NOT(ISNUMBER($A227)),NA(),IFERROR(1*INDEX(BBG_Data!$F$2:$F$4000,MATCH($A227,BBG_Data!$E$2:$E$4000,0)),NA()))</f>
        <v/>
      </c>
      <c r="E227" s="19">
        <f>IF(NOT(ISNUMBER($A227)),NA(),IFERROR(1*INDEX(BBG_Data!$H$2:$H$4000,MATCH($A227,BBG_Data!$G$2:$G$4000,0)),NA()))</f>
        <v/>
      </c>
      <c r="F227" s="20">
        <f>IF(AND(ISNUMBER(B227),ISNUMBER(B226)),IF(B227=B226,"",(B227-B226)*100),"")</f>
        <v/>
      </c>
      <c r="G227" s="20">
        <f>IF(AND(ISNUMBER(C227),ISNUMBER(C226)),IF(C227=C226,"",(C227-C226)*100),"")</f>
        <v/>
      </c>
      <c r="H227" s="20">
        <f>IF(OR(NOT(ISNUMBER($A227)),ROW()-2&lt;Settings!$B$11),NA(),IF(COUNT(OFFSET(F227,1-Settings!$B$11,0,Settings!$B$11,1))&lt;ROUNDUP(Settings!$B$11*Settings!$B$26,0),NA(),STDEV(OFFSET(F227,1-Settings!$B$11,0,Settings!$B$11,1))*SQRT(Settings!$B$13)))</f>
        <v/>
      </c>
      <c r="I227" s="20">
        <f>IF(OR(NOT(ISNUMBER($A227)),ROW()-2&lt;Settings!$B$12),NA(),IF(COUNT(OFFSET(F227,1-Settings!$B$12,0,Settings!$B$12,1))&lt;ROUNDUP(Settings!$B$12*Settings!$B$26,0),NA(),STDEV(OFFSET(F227,1-Settings!$B$12,0,Settings!$B$12,1))*SQRT(Settings!$B$13)))</f>
        <v/>
      </c>
      <c r="J227" s="20">
        <f>IF(OR(NOT(ISNUMBER($A227)),ROW()-2&lt;Settings!$B$11),NA(),IF(COUNT(OFFSET(G227,1-Settings!$B$11,0,Settings!$B$11,1))&lt;ROUNDUP(Settings!$B$11*Settings!$B$26,0),NA(),STDEV(OFFSET(G227,1-Settings!$B$11,0,Settings!$B$11,1))*SQRT(Settings!$B$13)))</f>
        <v/>
      </c>
      <c r="K227" s="20">
        <f>IF(OR(NOT(ISNUMBER($A227)),ROW()-2&lt;Settings!$B$12),NA(),IF(COUNT(OFFSET(G227,1-Settings!$B$12,0,Settings!$B$12,1))&lt;ROUNDUP(Settings!$B$12*Settings!$B$26,0),NA(),STDEV(OFFSET(G227,1-Settings!$B$12,0,Settings!$B$12,1))*SQRT(Settings!$B$13)))</f>
        <v/>
      </c>
      <c r="L227" s="20">
        <f>IF(AND(ISNUMBER(D227),ISNUMBER(H227)),D227-H227,NA())</f>
        <v/>
      </c>
      <c r="M227" s="20">
        <f>IF(AND(ISNUMBER(E227),ISNUMBER(K227)),E227-K227,NA())</f>
        <v/>
      </c>
      <c r="N227" s="20">
        <f>IF(NOT(ISNUMBER($A227)),NA(),IF(COUNT(OFFSET(G227,1,0,Settings!$B$12,1))&lt;ROUNDUP(Settings!$B$12*Settings!$B$26,0),NA(),STDEV(OFFSET(G227,1,0,Settings!$B$12,1))*SQRT(Settings!$B$13)))</f>
        <v/>
      </c>
      <c r="O227" s="20">
        <f>IF(AND(ISNUMBER(E227),ISNUMBER(N227)),E227-N227,NA())</f>
        <v/>
      </c>
      <c r="P227" s="19">
        <f>IF(NOT(ISNUMBER($A227)),NA(),IF(OR($A227&lt;MIN(KW_TP!$A$2:$A$2501),$A227&gt;MAX(KW_TP!$A$2:$A$2501)),NA(),INDEX(KW_TP!$C$2:$C$2501,MATCH($A227,KW_TP!$A$2:$A$2501,1))))</f>
        <v/>
      </c>
      <c r="Q227" s="18">
        <f>IF(NOT(ISNUMBER($A227)),NA(),IFERROR(1*INDEX(BBG_Data!$J$2:$J$4000,MATCH($A227,BBG_Data!$I$2:$I$4000,0)),NA()))</f>
        <v/>
      </c>
      <c r="R227" s="18">
        <f>IF(NOT(ISNUMBER($A227)),NA(),IFERROR(1*INDEX(BBG_Data!$L$2:$L$4000,MATCH($A227,BBG_Data!$K$2:$K$4000,0)),NA()))</f>
        <v/>
      </c>
      <c r="S227" s="20">
        <f>IF(AND(ISNUMBER(B227),ISNUMBER(Q227),ISNUMBER(R227)),(B227-Q227-R227)*100,NA())</f>
        <v/>
      </c>
      <c r="T227" s="20">
        <f>IF(AND(ISNUMBER(B227),Settings!$B$17&gt;0),IF(ISNUMBER(INDEX($B:$B,Settings!$B$17)),(B227-INDEX($B:$B,Settings!$B$17))*100,NA()),NA())</f>
        <v/>
      </c>
      <c r="U227" s="20">
        <f>IF(AND(ISNUMBER(Q227),Settings!$B$17&gt;0),IF(ISNUMBER(INDEX($Q:$Q,Settings!$B$17)),(Q227-INDEX($Q:$Q,Settings!$B$17))*100,NA()),NA())</f>
        <v/>
      </c>
      <c r="V227" s="20">
        <f>IF(AND(ISNUMBER(R227),Settings!$B$17&gt;0),IF(ISNUMBER(INDEX($R:$R,Settings!$B$17)),(R227-INDEX($R:$R,Settings!$B$17))*100,NA()),NA())</f>
        <v/>
      </c>
      <c r="W227" s="20">
        <f>IF(AND(ISNUMBER(P227),Settings!$B$17&gt;0),IF(ISNUMBER(INDEX($P:$P,Settings!$B$17)),P227-INDEX($P:$P,Settings!$B$17),NA()),NA())</f>
        <v/>
      </c>
      <c r="X227" s="19">
        <f>IF(NOT(ISNUMBER($A227)),NA(),IF(OR($A227&lt;MIN(DKW_10Y!$A$2:$A$2918),$A227&gt;MAX(DKW_10Y!$A$2:$A$2918),Settings!$B$16&lt;MIN(DKW_10Y!$A$2:$A$2918)),NA(),(INDEX(DKW_10Y!$B$2:$B$2918,MATCH($A227,DKW_10Y!$A$2:$A$2918,1))-INDEX(DKW_10Y!$B$2:$B$2918,MATCH(Settings!$B$16,DKW_10Y!$A$2:$A$2918,1)))*100))</f>
        <v/>
      </c>
      <c r="Y227" s="19">
        <f>IF(NOT(ISNUMBER($A227)),NA(),IF(OR($A227&lt;MIN(DKW_10Y!$A$2:$A$2918),$A227&gt;MAX(DKW_10Y!$A$2:$A$2918),Settings!$B$16&lt;MIN(DKW_10Y!$A$2:$A$2918)),NA(),(INDEX(DKW_10Y!$C$2:$C$2918,MATCH($A227,DKW_10Y!$A$2:$A$2918,1))-INDEX(DKW_10Y!$C$2:$C$2918,MATCH(Settings!$B$16,DKW_10Y!$A$2:$A$2918,1)))*100))</f>
        <v/>
      </c>
      <c r="Z227" s="19">
        <f>IF(NOT(ISNUMBER($A227)),NA(),IF(OR($A227&lt;MIN(DKW_10Y!$A$2:$A$2918),$A227&gt;MAX(DKW_10Y!$A$2:$A$2918),Settings!$B$16&lt;MIN(DKW_10Y!$A$2:$A$2918)),NA(),(INDEX(DKW_10Y!$D$2:$D$2918,MATCH($A227,DKW_10Y!$A$2:$A$2918,1))-INDEX(DKW_10Y!$D$2:$D$2918,MATCH(Settings!$B$16,DKW_10Y!$A$2:$A$2918,1)))*100))</f>
        <v/>
      </c>
      <c r="AA227" s="19">
        <f>IF(NOT(ISNUMBER($A227)),NA(),IF(OR($A227&lt;MIN(DKW_10Y!$A$2:$A$2918),$A227&gt;MAX(DKW_10Y!$A$2:$A$2918),Settings!$B$16&lt;MIN(DKW_10Y!$A$2:$A$2918)),NA(),(INDEX(DKW_10Y!$E$2:$E$2918,MATCH($A227,DKW_10Y!$A$2:$A$2918,1))-INDEX(DKW_10Y!$E$2:$E$2918,MATCH(Settings!$B$16,DKW_10Y!$A$2:$A$2918,1)))*100))</f>
        <v/>
      </c>
      <c r="AB227" s="19">
        <f>IF(NOT(ISNUMBER($A227)),NA(),IF(OR($A227&lt;MIN(DKW_10Y!$A$2:$A$2918),$A227&gt;MAX(DKW_10Y!$A$2:$A$2918),Settings!$B$16&lt;MIN(DKW_10Y!$A$2:$A$2918)),NA(),(INDEX(DKW_10Y!$H$2:$H$2918,MATCH($A227,DKW_10Y!$A$2:$A$2918,1))-INDEX(DKW_10Y!$H$2:$H$2918,MATCH(Settings!$B$16,DKW_10Y!$A$2:$A$2918,1)))*100))</f>
        <v/>
      </c>
      <c r="AC227" s="18">
        <f>IF(NOT(ISNUMBER($A227)),NA(),IFERROR(1*INDEX(BBG_Data!$N$2:$N$4000,MATCH($A227,BBG_Data!$M$2:$M$4000,0)),NA()))</f>
        <v/>
      </c>
      <c r="AD227" s="18">
        <f>IF(NOT(ISNUMBER($A227)),NA(),IFERROR(1*INDEX(BBG_Data!$P$2:$P$4000,MATCH($A227,BBG_Data!$O$2:$O$4000,0)),NA()))</f>
        <v/>
      </c>
      <c r="AE227" s="18">
        <f>IF(NOT(ISNUMBER($A227)),NA(),IFERROR(1*INDEX(BBG_Data!$R$2:$R$4000,MATCH($A227,BBG_Data!$Q$2:$Q$4000,0)),NA()))</f>
        <v/>
      </c>
      <c r="AF227" s="20">
        <f>IF(AND(ISNUMBER(B227),ISNUMBER(AC227)),(B227-AC227)*100,NA())</f>
        <v/>
      </c>
      <c r="AG227" s="20">
        <f>IF(AND(ISNUMBER(AE227),ISNUMBER(AD227)),(AE227-AD227)*100,NA())</f>
        <v/>
      </c>
      <c r="AH227" s="19">
        <f>IF(NOT(ISNUMBER($A227)),NA(),IFERROR(INDEX(BBG_Data!$T$2:$T$4000,MATCH($A227,BBG_Data!$S$2:$S$4000,0))*Settings!$B$25,NA()))</f>
        <v/>
      </c>
      <c r="AI227" s="19">
        <f>IF(NOT(ISNUMBER($A227)),NA(),IFERROR(INDEX(BBG_Data!$V$2:$V$4000,MATCH($A227,BBG_Data!$U$2:$U$4000,0))*Settings!$B$25,NA()))</f>
        <v/>
      </c>
      <c r="AJ227" s="19">
        <f>IF(NOT(ISNUMBER($A227)),NA(),IFERROR(1*INDEX(BBG_Data!$X$2:$X$4000,MATCH($A227,BBG_Data!$W$2:$W$4000,0)),NA()))</f>
        <v/>
      </c>
      <c r="AK227" s="19">
        <f>IF(NOT(ISNUMBER($A227)),NA(),IFERROR(1*INDEX(BBG_Data!$Z$2:$Z$4000,MATCH($A227,BBG_Data!$Y$2:$Y$4000,0)),NA()))</f>
        <v/>
      </c>
    </row>
    <row r="228">
      <c r="A228" s="17">
        <f>IF(ISNUMBER(BBG_Data!A228),BBG_Data!A228,"")</f>
        <v/>
      </c>
      <c r="B228" s="18">
        <f>IF(AND(ISNUMBER($A228),ISNUMBER(BBG_Data!B228)),BBG_Data!B228,NA())</f>
        <v/>
      </c>
      <c r="C228" s="18">
        <f>IF(NOT(ISNUMBER($A228)),NA(),IFERROR(1*INDEX(BBG_Data!$D$2:$D$4000,MATCH($A228,BBG_Data!$C$2:$C$4000,0)),NA()))</f>
        <v/>
      </c>
      <c r="D228" s="19">
        <f>IF(NOT(ISNUMBER($A228)),NA(),IFERROR(1*INDEX(BBG_Data!$F$2:$F$4000,MATCH($A228,BBG_Data!$E$2:$E$4000,0)),NA()))</f>
        <v/>
      </c>
      <c r="E228" s="19">
        <f>IF(NOT(ISNUMBER($A228)),NA(),IFERROR(1*INDEX(BBG_Data!$H$2:$H$4000,MATCH($A228,BBG_Data!$G$2:$G$4000,0)),NA()))</f>
        <v/>
      </c>
      <c r="F228" s="20">
        <f>IF(AND(ISNUMBER(B228),ISNUMBER(B227)),IF(B228=B227,"",(B228-B227)*100),"")</f>
        <v/>
      </c>
      <c r="G228" s="20">
        <f>IF(AND(ISNUMBER(C228),ISNUMBER(C227)),IF(C228=C227,"",(C228-C227)*100),"")</f>
        <v/>
      </c>
      <c r="H228" s="20">
        <f>IF(OR(NOT(ISNUMBER($A228)),ROW()-2&lt;Settings!$B$11),NA(),IF(COUNT(OFFSET(F228,1-Settings!$B$11,0,Settings!$B$11,1))&lt;ROUNDUP(Settings!$B$11*Settings!$B$26,0),NA(),STDEV(OFFSET(F228,1-Settings!$B$11,0,Settings!$B$11,1))*SQRT(Settings!$B$13)))</f>
        <v/>
      </c>
      <c r="I228" s="20">
        <f>IF(OR(NOT(ISNUMBER($A228)),ROW()-2&lt;Settings!$B$12),NA(),IF(COUNT(OFFSET(F228,1-Settings!$B$12,0,Settings!$B$12,1))&lt;ROUNDUP(Settings!$B$12*Settings!$B$26,0),NA(),STDEV(OFFSET(F228,1-Settings!$B$12,0,Settings!$B$12,1))*SQRT(Settings!$B$13)))</f>
        <v/>
      </c>
      <c r="J228" s="20">
        <f>IF(OR(NOT(ISNUMBER($A228)),ROW()-2&lt;Settings!$B$11),NA(),IF(COUNT(OFFSET(G228,1-Settings!$B$11,0,Settings!$B$11,1))&lt;ROUNDUP(Settings!$B$11*Settings!$B$26,0),NA(),STDEV(OFFSET(G228,1-Settings!$B$11,0,Settings!$B$11,1))*SQRT(Settings!$B$13)))</f>
        <v/>
      </c>
      <c r="K228" s="20">
        <f>IF(OR(NOT(ISNUMBER($A228)),ROW()-2&lt;Settings!$B$12),NA(),IF(COUNT(OFFSET(G228,1-Settings!$B$12,0,Settings!$B$12,1))&lt;ROUNDUP(Settings!$B$12*Settings!$B$26,0),NA(),STDEV(OFFSET(G228,1-Settings!$B$12,0,Settings!$B$12,1))*SQRT(Settings!$B$13)))</f>
        <v/>
      </c>
      <c r="L228" s="20">
        <f>IF(AND(ISNUMBER(D228),ISNUMBER(H228)),D228-H228,NA())</f>
        <v/>
      </c>
      <c r="M228" s="20">
        <f>IF(AND(ISNUMBER(E228),ISNUMBER(K228)),E228-K228,NA())</f>
        <v/>
      </c>
      <c r="N228" s="20">
        <f>IF(NOT(ISNUMBER($A228)),NA(),IF(COUNT(OFFSET(G228,1,0,Settings!$B$12,1))&lt;ROUNDUP(Settings!$B$12*Settings!$B$26,0),NA(),STDEV(OFFSET(G228,1,0,Settings!$B$12,1))*SQRT(Settings!$B$13)))</f>
        <v/>
      </c>
      <c r="O228" s="20">
        <f>IF(AND(ISNUMBER(E228),ISNUMBER(N228)),E228-N228,NA())</f>
        <v/>
      </c>
      <c r="P228" s="19">
        <f>IF(NOT(ISNUMBER($A228)),NA(),IF(OR($A228&lt;MIN(KW_TP!$A$2:$A$2501),$A228&gt;MAX(KW_TP!$A$2:$A$2501)),NA(),INDEX(KW_TP!$C$2:$C$2501,MATCH($A228,KW_TP!$A$2:$A$2501,1))))</f>
        <v/>
      </c>
      <c r="Q228" s="18">
        <f>IF(NOT(ISNUMBER($A228)),NA(),IFERROR(1*INDEX(BBG_Data!$J$2:$J$4000,MATCH($A228,BBG_Data!$I$2:$I$4000,0)),NA()))</f>
        <v/>
      </c>
      <c r="R228" s="18">
        <f>IF(NOT(ISNUMBER($A228)),NA(),IFERROR(1*INDEX(BBG_Data!$L$2:$L$4000,MATCH($A228,BBG_Data!$K$2:$K$4000,0)),NA()))</f>
        <v/>
      </c>
      <c r="S228" s="20">
        <f>IF(AND(ISNUMBER(B228),ISNUMBER(Q228),ISNUMBER(R228)),(B228-Q228-R228)*100,NA())</f>
        <v/>
      </c>
      <c r="T228" s="20">
        <f>IF(AND(ISNUMBER(B228),Settings!$B$17&gt;0),IF(ISNUMBER(INDEX($B:$B,Settings!$B$17)),(B228-INDEX($B:$B,Settings!$B$17))*100,NA()),NA())</f>
        <v/>
      </c>
      <c r="U228" s="20">
        <f>IF(AND(ISNUMBER(Q228),Settings!$B$17&gt;0),IF(ISNUMBER(INDEX($Q:$Q,Settings!$B$17)),(Q228-INDEX($Q:$Q,Settings!$B$17))*100,NA()),NA())</f>
        <v/>
      </c>
      <c r="V228" s="20">
        <f>IF(AND(ISNUMBER(R228),Settings!$B$17&gt;0),IF(ISNUMBER(INDEX($R:$R,Settings!$B$17)),(R228-INDEX($R:$R,Settings!$B$17))*100,NA()),NA())</f>
        <v/>
      </c>
      <c r="W228" s="20">
        <f>IF(AND(ISNUMBER(P228),Settings!$B$17&gt;0),IF(ISNUMBER(INDEX($P:$P,Settings!$B$17)),P228-INDEX($P:$P,Settings!$B$17),NA()),NA())</f>
        <v/>
      </c>
      <c r="X228" s="19">
        <f>IF(NOT(ISNUMBER($A228)),NA(),IF(OR($A228&lt;MIN(DKW_10Y!$A$2:$A$2918),$A228&gt;MAX(DKW_10Y!$A$2:$A$2918),Settings!$B$16&lt;MIN(DKW_10Y!$A$2:$A$2918)),NA(),(INDEX(DKW_10Y!$B$2:$B$2918,MATCH($A228,DKW_10Y!$A$2:$A$2918,1))-INDEX(DKW_10Y!$B$2:$B$2918,MATCH(Settings!$B$16,DKW_10Y!$A$2:$A$2918,1)))*100))</f>
        <v/>
      </c>
      <c r="Y228" s="19">
        <f>IF(NOT(ISNUMBER($A228)),NA(),IF(OR($A228&lt;MIN(DKW_10Y!$A$2:$A$2918),$A228&gt;MAX(DKW_10Y!$A$2:$A$2918),Settings!$B$16&lt;MIN(DKW_10Y!$A$2:$A$2918)),NA(),(INDEX(DKW_10Y!$C$2:$C$2918,MATCH($A228,DKW_10Y!$A$2:$A$2918,1))-INDEX(DKW_10Y!$C$2:$C$2918,MATCH(Settings!$B$16,DKW_10Y!$A$2:$A$2918,1)))*100))</f>
        <v/>
      </c>
      <c r="Z228" s="19">
        <f>IF(NOT(ISNUMBER($A228)),NA(),IF(OR($A228&lt;MIN(DKW_10Y!$A$2:$A$2918),$A228&gt;MAX(DKW_10Y!$A$2:$A$2918),Settings!$B$16&lt;MIN(DKW_10Y!$A$2:$A$2918)),NA(),(INDEX(DKW_10Y!$D$2:$D$2918,MATCH($A228,DKW_10Y!$A$2:$A$2918,1))-INDEX(DKW_10Y!$D$2:$D$2918,MATCH(Settings!$B$16,DKW_10Y!$A$2:$A$2918,1)))*100))</f>
        <v/>
      </c>
      <c r="AA228" s="19">
        <f>IF(NOT(ISNUMBER($A228)),NA(),IF(OR($A228&lt;MIN(DKW_10Y!$A$2:$A$2918),$A228&gt;MAX(DKW_10Y!$A$2:$A$2918),Settings!$B$16&lt;MIN(DKW_10Y!$A$2:$A$2918)),NA(),(INDEX(DKW_10Y!$E$2:$E$2918,MATCH($A228,DKW_10Y!$A$2:$A$2918,1))-INDEX(DKW_10Y!$E$2:$E$2918,MATCH(Settings!$B$16,DKW_10Y!$A$2:$A$2918,1)))*100))</f>
        <v/>
      </c>
      <c r="AB228" s="19">
        <f>IF(NOT(ISNUMBER($A228)),NA(),IF(OR($A228&lt;MIN(DKW_10Y!$A$2:$A$2918),$A228&gt;MAX(DKW_10Y!$A$2:$A$2918),Settings!$B$16&lt;MIN(DKW_10Y!$A$2:$A$2918)),NA(),(INDEX(DKW_10Y!$H$2:$H$2918,MATCH($A228,DKW_10Y!$A$2:$A$2918,1))-INDEX(DKW_10Y!$H$2:$H$2918,MATCH(Settings!$B$16,DKW_10Y!$A$2:$A$2918,1)))*100))</f>
        <v/>
      </c>
      <c r="AC228" s="18">
        <f>IF(NOT(ISNUMBER($A228)),NA(),IFERROR(1*INDEX(BBG_Data!$N$2:$N$4000,MATCH($A228,BBG_Data!$M$2:$M$4000,0)),NA()))</f>
        <v/>
      </c>
      <c r="AD228" s="18">
        <f>IF(NOT(ISNUMBER($A228)),NA(),IFERROR(1*INDEX(BBG_Data!$P$2:$P$4000,MATCH($A228,BBG_Data!$O$2:$O$4000,0)),NA()))</f>
        <v/>
      </c>
      <c r="AE228" s="18">
        <f>IF(NOT(ISNUMBER($A228)),NA(),IFERROR(1*INDEX(BBG_Data!$R$2:$R$4000,MATCH($A228,BBG_Data!$Q$2:$Q$4000,0)),NA()))</f>
        <v/>
      </c>
      <c r="AF228" s="20">
        <f>IF(AND(ISNUMBER(B228),ISNUMBER(AC228)),(B228-AC228)*100,NA())</f>
        <v/>
      </c>
      <c r="AG228" s="20">
        <f>IF(AND(ISNUMBER(AE228),ISNUMBER(AD228)),(AE228-AD228)*100,NA())</f>
        <v/>
      </c>
      <c r="AH228" s="19">
        <f>IF(NOT(ISNUMBER($A228)),NA(),IFERROR(INDEX(BBG_Data!$T$2:$T$4000,MATCH($A228,BBG_Data!$S$2:$S$4000,0))*Settings!$B$25,NA()))</f>
        <v/>
      </c>
      <c r="AI228" s="19">
        <f>IF(NOT(ISNUMBER($A228)),NA(),IFERROR(INDEX(BBG_Data!$V$2:$V$4000,MATCH($A228,BBG_Data!$U$2:$U$4000,0))*Settings!$B$25,NA()))</f>
        <v/>
      </c>
      <c r="AJ228" s="19">
        <f>IF(NOT(ISNUMBER($A228)),NA(),IFERROR(1*INDEX(BBG_Data!$X$2:$X$4000,MATCH($A228,BBG_Data!$W$2:$W$4000,0)),NA()))</f>
        <v/>
      </c>
      <c r="AK228" s="19">
        <f>IF(NOT(ISNUMBER($A228)),NA(),IFERROR(1*INDEX(BBG_Data!$Z$2:$Z$4000,MATCH($A228,BBG_Data!$Y$2:$Y$4000,0)),NA()))</f>
        <v/>
      </c>
    </row>
    <row r="229">
      <c r="A229" s="17">
        <f>IF(ISNUMBER(BBG_Data!A229),BBG_Data!A229,"")</f>
        <v/>
      </c>
      <c r="B229" s="18">
        <f>IF(AND(ISNUMBER($A229),ISNUMBER(BBG_Data!B229)),BBG_Data!B229,NA())</f>
        <v/>
      </c>
      <c r="C229" s="18">
        <f>IF(NOT(ISNUMBER($A229)),NA(),IFERROR(1*INDEX(BBG_Data!$D$2:$D$4000,MATCH($A229,BBG_Data!$C$2:$C$4000,0)),NA()))</f>
        <v/>
      </c>
      <c r="D229" s="19">
        <f>IF(NOT(ISNUMBER($A229)),NA(),IFERROR(1*INDEX(BBG_Data!$F$2:$F$4000,MATCH($A229,BBG_Data!$E$2:$E$4000,0)),NA()))</f>
        <v/>
      </c>
      <c r="E229" s="19">
        <f>IF(NOT(ISNUMBER($A229)),NA(),IFERROR(1*INDEX(BBG_Data!$H$2:$H$4000,MATCH($A229,BBG_Data!$G$2:$G$4000,0)),NA()))</f>
        <v/>
      </c>
      <c r="F229" s="20">
        <f>IF(AND(ISNUMBER(B229),ISNUMBER(B228)),IF(B229=B228,"",(B229-B228)*100),"")</f>
        <v/>
      </c>
      <c r="G229" s="20">
        <f>IF(AND(ISNUMBER(C229),ISNUMBER(C228)),IF(C229=C228,"",(C229-C228)*100),"")</f>
        <v/>
      </c>
      <c r="H229" s="20">
        <f>IF(OR(NOT(ISNUMBER($A229)),ROW()-2&lt;Settings!$B$11),NA(),IF(COUNT(OFFSET(F229,1-Settings!$B$11,0,Settings!$B$11,1))&lt;ROUNDUP(Settings!$B$11*Settings!$B$26,0),NA(),STDEV(OFFSET(F229,1-Settings!$B$11,0,Settings!$B$11,1))*SQRT(Settings!$B$13)))</f>
        <v/>
      </c>
      <c r="I229" s="20">
        <f>IF(OR(NOT(ISNUMBER($A229)),ROW()-2&lt;Settings!$B$12),NA(),IF(COUNT(OFFSET(F229,1-Settings!$B$12,0,Settings!$B$12,1))&lt;ROUNDUP(Settings!$B$12*Settings!$B$26,0),NA(),STDEV(OFFSET(F229,1-Settings!$B$12,0,Settings!$B$12,1))*SQRT(Settings!$B$13)))</f>
        <v/>
      </c>
      <c r="J229" s="20">
        <f>IF(OR(NOT(ISNUMBER($A229)),ROW()-2&lt;Settings!$B$11),NA(),IF(COUNT(OFFSET(G229,1-Settings!$B$11,0,Settings!$B$11,1))&lt;ROUNDUP(Settings!$B$11*Settings!$B$26,0),NA(),STDEV(OFFSET(G229,1-Settings!$B$11,0,Settings!$B$11,1))*SQRT(Settings!$B$13)))</f>
        <v/>
      </c>
      <c r="K229" s="20">
        <f>IF(OR(NOT(ISNUMBER($A229)),ROW()-2&lt;Settings!$B$12),NA(),IF(COUNT(OFFSET(G229,1-Settings!$B$12,0,Settings!$B$12,1))&lt;ROUNDUP(Settings!$B$12*Settings!$B$26,0),NA(),STDEV(OFFSET(G229,1-Settings!$B$12,0,Settings!$B$12,1))*SQRT(Settings!$B$13)))</f>
        <v/>
      </c>
      <c r="L229" s="20">
        <f>IF(AND(ISNUMBER(D229),ISNUMBER(H229)),D229-H229,NA())</f>
        <v/>
      </c>
      <c r="M229" s="20">
        <f>IF(AND(ISNUMBER(E229),ISNUMBER(K229)),E229-K229,NA())</f>
        <v/>
      </c>
      <c r="N229" s="20">
        <f>IF(NOT(ISNUMBER($A229)),NA(),IF(COUNT(OFFSET(G229,1,0,Settings!$B$12,1))&lt;ROUNDUP(Settings!$B$12*Settings!$B$26,0),NA(),STDEV(OFFSET(G229,1,0,Settings!$B$12,1))*SQRT(Settings!$B$13)))</f>
        <v/>
      </c>
      <c r="O229" s="20">
        <f>IF(AND(ISNUMBER(E229),ISNUMBER(N229)),E229-N229,NA())</f>
        <v/>
      </c>
      <c r="P229" s="19">
        <f>IF(NOT(ISNUMBER($A229)),NA(),IF(OR($A229&lt;MIN(KW_TP!$A$2:$A$2501),$A229&gt;MAX(KW_TP!$A$2:$A$2501)),NA(),INDEX(KW_TP!$C$2:$C$2501,MATCH($A229,KW_TP!$A$2:$A$2501,1))))</f>
        <v/>
      </c>
      <c r="Q229" s="18">
        <f>IF(NOT(ISNUMBER($A229)),NA(),IFERROR(1*INDEX(BBG_Data!$J$2:$J$4000,MATCH($A229,BBG_Data!$I$2:$I$4000,0)),NA()))</f>
        <v/>
      </c>
      <c r="R229" s="18">
        <f>IF(NOT(ISNUMBER($A229)),NA(),IFERROR(1*INDEX(BBG_Data!$L$2:$L$4000,MATCH($A229,BBG_Data!$K$2:$K$4000,0)),NA()))</f>
        <v/>
      </c>
      <c r="S229" s="20">
        <f>IF(AND(ISNUMBER(B229),ISNUMBER(Q229),ISNUMBER(R229)),(B229-Q229-R229)*100,NA())</f>
        <v/>
      </c>
      <c r="T229" s="20">
        <f>IF(AND(ISNUMBER(B229),Settings!$B$17&gt;0),IF(ISNUMBER(INDEX($B:$B,Settings!$B$17)),(B229-INDEX($B:$B,Settings!$B$17))*100,NA()),NA())</f>
        <v/>
      </c>
      <c r="U229" s="20">
        <f>IF(AND(ISNUMBER(Q229),Settings!$B$17&gt;0),IF(ISNUMBER(INDEX($Q:$Q,Settings!$B$17)),(Q229-INDEX($Q:$Q,Settings!$B$17))*100,NA()),NA())</f>
        <v/>
      </c>
      <c r="V229" s="20">
        <f>IF(AND(ISNUMBER(R229),Settings!$B$17&gt;0),IF(ISNUMBER(INDEX($R:$R,Settings!$B$17)),(R229-INDEX($R:$R,Settings!$B$17))*100,NA()),NA())</f>
        <v/>
      </c>
      <c r="W229" s="20">
        <f>IF(AND(ISNUMBER(P229),Settings!$B$17&gt;0),IF(ISNUMBER(INDEX($P:$P,Settings!$B$17)),P229-INDEX($P:$P,Settings!$B$17),NA()),NA())</f>
        <v/>
      </c>
      <c r="X229" s="19">
        <f>IF(NOT(ISNUMBER($A229)),NA(),IF(OR($A229&lt;MIN(DKW_10Y!$A$2:$A$2918),$A229&gt;MAX(DKW_10Y!$A$2:$A$2918),Settings!$B$16&lt;MIN(DKW_10Y!$A$2:$A$2918)),NA(),(INDEX(DKW_10Y!$B$2:$B$2918,MATCH($A229,DKW_10Y!$A$2:$A$2918,1))-INDEX(DKW_10Y!$B$2:$B$2918,MATCH(Settings!$B$16,DKW_10Y!$A$2:$A$2918,1)))*100))</f>
        <v/>
      </c>
      <c r="Y229" s="19">
        <f>IF(NOT(ISNUMBER($A229)),NA(),IF(OR($A229&lt;MIN(DKW_10Y!$A$2:$A$2918),$A229&gt;MAX(DKW_10Y!$A$2:$A$2918),Settings!$B$16&lt;MIN(DKW_10Y!$A$2:$A$2918)),NA(),(INDEX(DKW_10Y!$C$2:$C$2918,MATCH($A229,DKW_10Y!$A$2:$A$2918,1))-INDEX(DKW_10Y!$C$2:$C$2918,MATCH(Settings!$B$16,DKW_10Y!$A$2:$A$2918,1)))*100))</f>
        <v/>
      </c>
      <c r="Z229" s="19">
        <f>IF(NOT(ISNUMBER($A229)),NA(),IF(OR($A229&lt;MIN(DKW_10Y!$A$2:$A$2918),$A229&gt;MAX(DKW_10Y!$A$2:$A$2918),Settings!$B$16&lt;MIN(DKW_10Y!$A$2:$A$2918)),NA(),(INDEX(DKW_10Y!$D$2:$D$2918,MATCH($A229,DKW_10Y!$A$2:$A$2918,1))-INDEX(DKW_10Y!$D$2:$D$2918,MATCH(Settings!$B$16,DKW_10Y!$A$2:$A$2918,1)))*100))</f>
        <v/>
      </c>
      <c r="AA229" s="19">
        <f>IF(NOT(ISNUMBER($A229)),NA(),IF(OR($A229&lt;MIN(DKW_10Y!$A$2:$A$2918),$A229&gt;MAX(DKW_10Y!$A$2:$A$2918),Settings!$B$16&lt;MIN(DKW_10Y!$A$2:$A$2918)),NA(),(INDEX(DKW_10Y!$E$2:$E$2918,MATCH($A229,DKW_10Y!$A$2:$A$2918,1))-INDEX(DKW_10Y!$E$2:$E$2918,MATCH(Settings!$B$16,DKW_10Y!$A$2:$A$2918,1)))*100))</f>
        <v/>
      </c>
      <c r="AB229" s="19">
        <f>IF(NOT(ISNUMBER($A229)),NA(),IF(OR($A229&lt;MIN(DKW_10Y!$A$2:$A$2918),$A229&gt;MAX(DKW_10Y!$A$2:$A$2918),Settings!$B$16&lt;MIN(DKW_10Y!$A$2:$A$2918)),NA(),(INDEX(DKW_10Y!$H$2:$H$2918,MATCH($A229,DKW_10Y!$A$2:$A$2918,1))-INDEX(DKW_10Y!$H$2:$H$2918,MATCH(Settings!$B$16,DKW_10Y!$A$2:$A$2918,1)))*100))</f>
        <v/>
      </c>
      <c r="AC229" s="18">
        <f>IF(NOT(ISNUMBER($A229)),NA(),IFERROR(1*INDEX(BBG_Data!$N$2:$N$4000,MATCH($A229,BBG_Data!$M$2:$M$4000,0)),NA()))</f>
        <v/>
      </c>
      <c r="AD229" s="18">
        <f>IF(NOT(ISNUMBER($A229)),NA(),IFERROR(1*INDEX(BBG_Data!$P$2:$P$4000,MATCH($A229,BBG_Data!$O$2:$O$4000,0)),NA()))</f>
        <v/>
      </c>
      <c r="AE229" s="18">
        <f>IF(NOT(ISNUMBER($A229)),NA(),IFERROR(1*INDEX(BBG_Data!$R$2:$R$4000,MATCH($A229,BBG_Data!$Q$2:$Q$4000,0)),NA()))</f>
        <v/>
      </c>
      <c r="AF229" s="20">
        <f>IF(AND(ISNUMBER(B229),ISNUMBER(AC229)),(B229-AC229)*100,NA())</f>
        <v/>
      </c>
      <c r="AG229" s="20">
        <f>IF(AND(ISNUMBER(AE229),ISNUMBER(AD229)),(AE229-AD229)*100,NA())</f>
        <v/>
      </c>
      <c r="AH229" s="19">
        <f>IF(NOT(ISNUMBER($A229)),NA(),IFERROR(INDEX(BBG_Data!$T$2:$T$4000,MATCH($A229,BBG_Data!$S$2:$S$4000,0))*Settings!$B$25,NA()))</f>
        <v/>
      </c>
      <c r="AI229" s="19">
        <f>IF(NOT(ISNUMBER($A229)),NA(),IFERROR(INDEX(BBG_Data!$V$2:$V$4000,MATCH($A229,BBG_Data!$U$2:$U$4000,0))*Settings!$B$25,NA()))</f>
        <v/>
      </c>
      <c r="AJ229" s="19">
        <f>IF(NOT(ISNUMBER($A229)),NA(),IFERROR(1*INDEX(BBG_Data!$X$2:$X$4000,MATCH($A229,BBG_Data!$W$2:$W$4000,0)),NA()))</f>
        <v/>
      </c>
      <c r="AK229" s="19">
        <f>IF(NOT(ISNUMBER($A229)),NA(),IFERROR(1*INDEX(BBG_Data!$Z$2:$Z$4000,MATCH($A229,BBG_Data!$Y$2:$Y$4000,0)),NA()))</f>
        <v/>
      </c>
    </row>
    <row r="230">
      <c r="A230" s="17">
        <f>IF(ISNUMBER(BBG_Data!A230),BBG_Data!A230,"")</f>
        <v/>
      </c>
      <c r="B230" s="18">
        <f>IF(AND(ISNUMBER($A230),ISNUMBER(BBG_Data!B230)),BBG_Data!B230,NA())</f>
        <v/>
      </c>
      <c r="C230" s="18">
        <f>IF(NOT(ISNUMBER($A230)),NA(),IFERROR(1*INDEX(BBG_Data!$D$2:$D$4000,MATCH($A230,BBG_Data!$C$2:$C$4000,0)),NA()))</f>
        <v/>
      </c>
      <c r="D230" s="19">
        <f>IF(NOT(ISNUMBER($A230)),NA(),IFERROR(1*INDEX(BBG_Data!$F$2:$F$4000,MATCH($A230,BBG_Data!$E$2:$E$4000,0)),NA()))</f>
        <v/>
      </c>
      <c r="E230" s="19">
        <f>IF(NOT(ISNUMBER($A230)),NA(),IFERROR(1*INDEX(BBG_Data!$H$2:$H$4000,MATCH($A230,BBG_Data!$G$2:$G$4000,0)),NA()))</f>
        <v/>
      </c>
      <c r="F230" s="20">
        <f>IF(AND(ISNUMBER(B230),ISNUMBER(B229)),IF(B230=B229,"",(B230-B229)*100),"")</f>
        <v/>
      </c>
      <c r="G230" s="20">
        <f>IF(AND(ISNUMBER(C230),ISNUMBER(C229)),IF(C230=C229,"",(C230-C229)*100),"")</f>
        <v/>
      </c>
      <c r="H230" s="20">
        <f>IF(OR(NOT(ISNUMBER($A230)),ROW()-2&lt;Settings!$B$11),NA(),IF(COUNT(OFFSET(F230,1-Settings!$B$11,0,Settings!$B$11,1))&lt;ROUNDUP(Settings!$B$11*Settings!$B$26,0),NA(),STDEV(OFFSET(F230,1-Settings!$B$11,0,Settings!$B$11,1))*SQRT(Settings!$B$13)))</f>
        <v/>
      </c>
      <c r="I230" s="20">
        <f>IF(OR(NOT(ISNUMBER($A230)),ROW()-2&lt;Settings!$B$12),NA(),IF(COUNT(OFFSET(F230,1-Settings!$B$12,0,Settings!$B$12,1))&lt;ROUNDUP(Settings!$B$12*Settings!$B$26,0),NA(),STDEV(OFFSET(F230,1-Settings!$B$12,0,Settings!$B$12,1))*SQRT(Settings!$B$13)))</f>
        <v/>
      </c>
      <c r="J230" s="20">
        <f>IF(OR(NOT(ISNUMBER($A230)),ROW()-2&lt;Settings!$B$11),NA(),IF(COUNT(OFFSET(G230,1-Settings!$B$11,0,Settings!$B$11,1))&lt;ROUNDUP(Settings!$B$11*Settings!$B$26,0),NA(),STDEV(OFFSET(G230,1-Settings!$B$11,0,Settings!$B$11,1))*SQRT(Settings!$B$13)))</f>
        <v/>
      </c>
      <c r="K230" s="20">
        <f>IF(OR(NOT(ISNUMBER($A230)),ROW()-2&lt;Settings!$B$12),NA(),IF(COUNT(OFFSET(G230,1-Settings!$B$12,0,Settings!$B$12,1))&lt;ROUNDUP(Settings!$B$12*Settings!$B$26,0),NA(),STDEV(OFFSET(G230,1-Settings!$B$12,0,Settings!$B$12,1))*SQRT(Settings!$B$13)))</f>
        <v/>
      </c>
      <c r="L230" s="20">
        <f>IF(AND(ISNUMBER(D230),ISNUMBER(H230)),D230-H230,NA())</f>
        <v/>
      </c>
      <c r="M230" s="20">
        <f>IF(AND(ISNUMBER(E230),ISNUMBER(K230)),E230-K230,NA())</f>
        <v/>
      </c>
      <c r="N230" s="20">
        <f>IF(NOT(ISNUMBER($A230)),NA(),IF(COUNT(OFFSET(G230,1,0,Settings!$B$12,1))&lt;ROUNDUP(Settings!$B$12*Settings!$B$26,0),NA(),STDEV(OFFSET(G230,1,0,Settings!$B$12,1))*SQRT(Settings!$B$13)))</f>
        <v/>
      </c>
      <c r="O230" s="20">
        <f>IF(AND(ISNUMBER(E230),ISNUMBER(N230)),E230-N230,NA())</f>
        <v/>
      </c>
      <c r="P230" s="19">
        <f>IF(NOT(ISNUMBER($A230)),NA(),IF(OR($A230&lt;MIN(KW_TP!$A$2:$A$2501),$A230&gt;MAX(KW_TP!$A$2:$A$2501)),NA(),INDEX(KW_TP!$C$2:$C$2501,MATCH($A230,KW_TP!$A$2:$A$2501,1))))</f>
        <v/>
      </c>
      <c r="Q230" s="18">
        <f>IF(NOT(ISNUMBER($A230)),NA(),IFERROR(1*INDEX(BBG_Data!$J$2:$J$4000,MATCH($A230,BBG_Data!$I$2:$I$4000,0)),NA()))</f>
        <v/>
      </c>
      <c r="R230" s="18">
        <f>IF(NOT(ISNUMBER($A230)),NA(),IFERROR(1*INDEX(BBG_Data!$L$2:$L$4000,MATCH($A230,BBG_Data!$K$2:$K$4000,0)),NA()))</f>
        <v/>
      </c>
      <c r="S230" s="20">
        <f>IF(AND(ISNUMBER(B230),ISNUMBER(Q230),ISNUMBER(R230)),(B230-Q230-R230)*100,NA())</f>
        <v/>
      </c>
      <c r="T230" s="20">
        <f>IF(AND(ISNUMBER(B230),Settings!$B$17&gt;0),IF(ISNUMBER(INDEX($B:$B,Settings!$B$17)),(B230-INDEX($B:$B,Settings!$B$17))*100,NA()),NA())</f>
        <v/>
      </c>
      <c r="U230" s="20">
        <f>IF(AND(ISNUMBER(Q230),Settings!$B$17&gt;0),IF(ISNUMBER(INDEX($Q:$Q,Settings!$B$17)),(Q230-INDEX($Q:$Q,Settings!$B$17))*100,NA()),NA())</f>
        <v/>
      </c>
      <c r="V230" s="20">
        <f>IF(AND(ISNUMBER(R230),Settings!$B$17&gt;0),IF(ISNUMBER(INDEX($R:$R,Settings!$B$17)),(R230-INDEX($R:$R,Settings!$B$17))*100,NA()),NA())</f>
        <v/>
      </c>
      <c r="W230" s="20">
        <f>IF(AND(ISNUMBER(P230),Settings!$B$17&gt;0),IF(ISNUMBER(INDEX($P:$P,Settings!$B$17)),P230-INDEX($P:$P,Settings!$B$17),NA()),NA())</f>
        <v/>
      </c>
      <c r="X230" s="19">
        <f>IF(NOT(ISNUMBER($A230)),NA(),IF(OR($A230&lt;MIN(DKW_10Y!$A$2:$A$2918),$A230&gt;MAX(DKW_10Y!$A$2:$A$2918),Settings!$B$16&lt;MIN(DKW_10Y!$A$2:$A$2918)),NA(),(INDEX(DKW_10Y!$B$2:$B$2918,MATCH($A230,DKW_10Y!$A$2:$A$2918,1))-INDEX(DKW_10Y!$B$2:$B$2918,MATCH(Settings!$B$16,DKW_10Y!$A$2:$A$2918,1)))*100))</f>
        <v/>
      </c>
      <c r="Y230" s="19">
        <f>IF(NOT(ISNUMBER($A230)),NA(),IF(OR($A230&lt;MIN(DKW_10Y!$A$2:$A$2918),$A230&gt;MAX(DKW_10Y!$A$2:$A$2918),Settings!$B$16&lt;MIN(DKW_10Y!$A$2:$A$2918)),NA(),(INDEX(DKW_10Y!$C$2:$C$2918,MATCH($A230,DKW_10Y!$A$2:$A$2918,1))-INDEX(DKW_10Y!$C$2:$C$2918,MATCH(Settings!$B$16,DKW_10Y!$A$2:$A$2918,1)))*100))</f>
        <v/>
      </c>
      <c r="Z230" s="19">
        <f>IF(NOT(ISNUMBER($A230)),NA(),IF(OR($A230&lt;MIN(DKW_10Y!$A$2:$A$2918),$A230&gt;MAX(DKW_10Y!$A$2:$A$2918),Settings!$B$16&lt;MIN(DKW_10Y!$A$2:$A$2918)),NA(),(INDEX(DKW_10Y!$D$2:$D$2918,MATCH($A230,DKW_10Y!$A$2:$A$2918,1))-INDEX(DKW_10Y!$D$2:$D$2918,MATCH(Settings!$B$16,DKW_10Y!$A$2:$A$2918,1)))*100))</f>
        <v/>
      </c>
      <c r="AA230" s="19">
        <f>IF(NOT(ISNUMBER($A230)),NA(),IF(OR($A230&lt;MIN(DKW_10Y!$A$2:$A$2918),$A230&gt;MAX(DKW_10Y!$A$2:$A$2918),Settings!$B$16&lt;MIN(DKW_10Y!$A$2:$A$2918)),NA(),(INDEX(DKW_10Y!$E$2:$E$2918,MATCH($A230,DKW_10Y!$A$2:$A$2918,1))-INDEX(DKW_10Y!$E$2:$E$2918,MATCH(Settings!$B$16,DKW_10Y!$A$2:$A$2918,1)))*100))</f>
        <v/>
      </c>
      <c r="AB230" s="19">
        <f>IF(NOT(ISNUMBER($A230)),NA(),IF(OR($A230&lt;MIN(DKW_10Y!$A$2:$A$2918),$A230&gt;MAX(DKW_10Y!$A$2:$A$2918),Settings!$B$16&lt;MIN(DKW_10Y!$A$2:$A$2918)),NA(),(INDEX(DKW_10Y!$H$2:$H$2918,MATCH($A230,DKW_10Y!$A$2:$A$2918,1))-INDEX(DKW_10Y!$H$2:$H$2918,MATCH(Settings!$B$16,DKW_10Y!$A$2:$A$2918,1)))*100))</f>
        <v/>
      </c>
      <c r="AC230" s="18">
        <f>IF(NOT(ISNUMBER($A230)),NA(),IFERROR(1*INDEX(BBG_Data!$N$2:$N$4000,MATCH($A230,BBG_Data!$M$2:$M$4000,0)),NA()))</f>
        <v/>
      </c>
      <c r="AD230" s="18">
        <f>IF(NOT(ISNUMBER($A230)),NA(),IFERROR(1*INDEX(BBG_Data!$P$2:$P$4000,MATCH($A230,BBG_Data!$O$2:$O$4000,0)),NA()))</f>
        <v/>
      </c>
      <c r="AE230" s="18">
        <f>IF(NOT(ISNUMBER($A230)),NA(),IFERROR(1*INDEX(BBG_Data!$R$2:$R$4000,MATCH($A230,BBG_Data!$Q$2:$Q$4000,0)),NA()))</f>
        <v/>
      </c>
      <c r="AF230" s="20">
        <f>IF(AND(ISNUMBER(B230),ISNUMBER(AC230)),(B230-AC230)*100,NA())</f>
        <v/>
      </c>
      <c r="AG230" s="20">
        <f>IF(AND(ISNUMBER(AE230),ISNUMBER(AD230)),(AE230-AD230)*100,NA())</f>
        <v/>
      </c>
      <c r="AH230" s="19">
        <f>IF(NOT(ISNUMBER($A230)),NA(),IFERROR(INDEX(BBG_Data!$T$2:$T$4000,MATCH($A230,BBG_Data!$S$2:$S$4000,0))*Settings!$B$25,NA()))</f>
        <v/>
      </c>
      <c r="AI230" s="19">
        <f>IF(NOT(ISNUMBER($A230)),NA(),IFERROR(INDEX(BBG_Data!$V$2:$V$4000,MATCH($A230,BBG_Data!$U$2:$U$4000,0))*Settings!$B$25,NA()))</f>
        <v/>
      </c>
      <c r="AJ230" s="19">
        <f>IF(NOT(ISNUMBER($A230)),NA(),IFERROR(1*INDEX(BBG_Data!$X$2:$X$4000,MATCH($A230,BBG_Data!$W$2:$W$4000,0)),NA()))</f>
        <v/>
      </c>
      <c r="AK230" s="19">
        <f>IF(NOT(ISNUMBER($A230)),NA(),IFERROR(1*INDEX(BBG_Data!$Z$2:$Z$4000,MATCH($A230,BBG_Data!$Y$2:$Y$4000,0)),NA()))</f>
        <v/>
      </c>
    </row>
    <row r="231">
      <c r="A231" s="17">
        <f>IF(ISNUMBER(BBG_Data!A231),BBG_Data!A231,"")</f>
        <v/>
      </c>
      <c r="B231" s="18">
        <f>IF(AND(ISNUMBER($A231),ISNUMBER(BBG_Data!B231)),BBG_Data!B231,NA())</f>
        <v/>
      </c>
      <c r="C231" s="18">
        <f>IF(NOT(ISNUMBER($A231)),NA(),IFERROR(1*INDEX(BBG_Data!$D$2:$D$4000,MATCH($A231,BBG_Data!$C$2:$C$4000,0)),NA()))</f>
        <v/>
      </c>
      <c r="D231" s="19">
        <f>IF(NOT(ISNUMBER($A231)),NA(),IFERROR(1*INDEX(BBG_Data!$F$2:$F$4000,MATCH($A231,BBG_Data!$E$2:$E$4000,0)),NA()))</f>
        <v/>
      </c>
      <c r="E231" s="19">
        <f>IF(NOT(ISNUMBER($A231)),NA(),IFERROR(1*INDEX(BBG_Data!$H$2:$H$4000,MATCH($A231,BBG_Data!$G$2:$G$4000,0)),NA()))</f>
        <v/>
      </c>
      <c r="F231" s="20">
        <f>IF(AND(ISNUMBER(B231),ISNUMBER(B230)),IF(B231=B230,"",(B231-B230)*100),"")</f>
        <v/>
      </c>
      <c r="G231" s="20">
        <f>IF(AND(ISNUMBER(C231),ISNUMBER(C230)),IF(C231=C230,"",(C231-C230)*100),"")</f>
        <v/>
      </c>
      <c r="H231" s="20">
        <f>IF(OR(NOT(ISNUMBER($A231)),ROW()-2&lt;Settings!$B$11),NA(),IF(COUNT(OFFSET(F231,1-Settings!$B$11,0,Settings!$B$11,1))&lt;ROUNDUP(Settings!$B$11*Settings!$B$26,0),NA(),STDEV(OFFSET(F231,1-Settings!$B$11,0,Settings!$B$11,1))*SQRT(Settings!$B$13)))</f>
        <v/>
      </c>
      <c r="I231" s="20">
        <f>IF(OR(NOT(ISNUMBER($A231)),ROW()-2&lt;Settings!$B$12),NA(),IF(COUNT(OFFSET(F231,1-Settings!$B$12,0,Settings!$B$12,1))&lt;ROUNDUP(Settings!$B$12*Settings!$B$26,0),NA(),STDEV(OFFSET(F231,1-Settings!$B$12,0,Settings!$B$12,1))*SQRT(Settings!$B$13)))</f>
        <v/>
      </c>
      <c r="J231" s="20">
        <f>IF(OR(NOT(ISNUMBER($A231)),ROW()-2&lt;Settings!$B$11),NA(),IF(COUNT(OFFSET(G231,1-Settings!$B$11,0,Settings!$B$11,1))&lt;ROUNDUP(Settings!$B$11*Settings!$B$26,0),NA(),STDEV(OFFSET(G231,1-Settings!$B$11,0,Settings!$B$11,1))*SQRT(Settings!$B$13)))</f>
        <v/>
      </c>
      <c r="K231" s="20">
        <f>IF(OR(NOT(ISNUMBER($A231)),ROW()-2&lt;Settings!$B$12),NA(),IF(COUNT(OFFSET(G231,1-Settings!$B$12,0,Settings!$B$12,1))&lt;ROUNDUP(Settings!$B$12*Settings!$B$26,0),NA(),STDEV(OFFSET(G231,1-Settings!$B$12,0,Settings!$B$12,1))*SQRT(Settings!$B$13)))</f>
        <v/>
      </c>
      <c r="L231" s="20">
        <f>IF(AND(ISNUMBER(D231),ISNUMBER(H231)),D231-H231,NA())</f>
        <v/>
      </c>
      <c r="M231" s="20">
        <f>IF(AND(ISNUMBER(E231),ISNUMBER(K231)),E231-K231,NA())</f>
        <v/>
      </c>
      <c r="N231" s="20">
        <f>IF(NOT(ISNUMBER($A231)),NA(),IF(COUNT(OFFSET(G231,1,0,Settings!$B$12,1))&lt;ROUNDUP(Settings!$B$12*Settings!$B$26,0),NA(),STDEV(OFFSET(G231,1,0,Settings!$B$12,1))*SQRT(Settings!$B$13)))</f>
        <v/>
      </c>
      <c r="O231" s="20">
        <f>IF(AND(ISNUMBER(E231),ISNUMBER(N231)),E231-N231,NA())</f>
        <v/>
      </c>
      <c r="P231" s="19">
        <f>IF(NOT(ISNUMBER($A231)),NA(),IF(OR($A231&lt;MIN(KW_TP!$A$2:$A$2501),$A231&gt;MAX(KW_TP!$A$2:$A$2501)),NA(),INDEX(KW_TP!$C$2:$C$2501,MATCH($A231,KW_TP!$A$2:$A$2501,1))))</f>
        <v/>
      </c>
      <c r="Q231" s="18">
        <f>IF(NOT(ISNUMBER($A231)),NA(),IFERROR(1*INDEX(BBG_Data!$J$2:$J$4000,MATCH($A231,BBG_Data!$I$2:$I$4000,0)),NA()))</f>
        <v/>
      </c>
      <c r="R231" s="18">
        <f>IF(NOT(ISNUMBER($A231)),NA(),IFERROR(1*INDEX(BBG_Data!$L$2:$L$4000,MATCH($A231,BBG_Data!$K$2:$K$4000,0)),NA()))</f>
        <v/>
      </c>
      <c r="S231" s="20">
        <f>IF(AND(ISNUMBER(B231),ISNUMBER(Q231),ISNUMBER(R231)),(B231-Q231-R231)*100,NA())</f>
        <v/>
      </c>
      <c r="T231" s="20">
        <f>IF(AND(ISNUMBER(B231),Settings!$B$17&gt;0),IF(ISNUMBER(INDEX($B:$B,Settings!$B$17)),(B231-INDEX($B:$B,Settings!$B$17))*100,NA()),NA())</f>
        <v/>
      </c>
      <c r="U231" s="20">
        <f>IF(AND(ISNUMBER(Q231),Settings!$B$17&gt;0),IF(ISNUMBER(INDEX($Q:$Q,Settings!$B$17)),(Q231-INDEX($Q:$Q,Settings!$B$17))*100,NA()),NA())</f>
        <v/>
      </c>
      <c r="V231" s="20">
        <f>IF(AND(ISNUMBER(R231),Settings!$B$17&gt;0),IF(ISNUMBER(INDEX($R:$R,Settings!$B$17)),(R231-INDEX($R:$R,Settings!$B$17))*100,NA()),NA())</f>
        <v/>
      </c>
      <c r="W231" s="20">
        <f>IF(AND(ISNUMBER(P231),Settings!$B$17&gt;0),IF(ISNUMBER(INDEX($P:$P,Settings!$B$17)),P231-INDEX($P:$P,Settings!$B$17),NA()),NA())</f>
        <v/>
      </c>
      <c r="X231" s="19">
        <f>IF(NOT(ISNUMBER($A231)),NA(),IF(OR($A231&lt;MIN(DKW_10Y!$A$2:$A$2918),$A231&gt;MAX(DKW_10Y!$A$2:$A$2918),Settings!$B$16&lt;MIN(DKW_10Y!$A$2:$A$2918)),NA(),(INDEX(DKW_10Y!$B$2:$B$2918,MATCH($A231,DKW_10Y!$A$2:$A$2918,1))-INDEX(DKW_10Y!$B$2:$B$2918,MATCH(Settings!$B$16,DKW_10Y!$A$2:$A$2918,1)))*100))</f>
        <v/>
      </c>
      <c r="Y231" s="19">
        <f>IF(NOT(ISNUMBER($A231)),NA(),IF(OR($A231&lt;MIN(DKW_10Y!$A$2:$A$2918),$A231&gt;MAX(DKW_10Y!$A$2:$A$2918),Settings!$B$16&lt;MIN(DKW_10Y!$A$2:$A$2918)),NA(),(INDEX(DKW_10Y!$C$2:$C$2918,MATCH($A231,DKW_10Y!$A$2:$A$2918,1))-INDEX(DKW_10Y!$C$2:$C$2918,MATCH(Settings!$B$16,DKW_10Y!$A$2:$A$2918,1)))*100))</f>
        <v/>
      </c>
      <c r="Z231" s="19">
        <f>IF(NOT(ISNUMBER($A231)),NA(),IF(OR($A231&lt;MIN(DKW_10Y!$A$2:$A$2918),$A231&gt;MAX(DKW_10Y!$A$2:$A$2918),Settings!$B$16&lt;MIN(DKW_10Y!$A$2:$A$2918)),NA(),(INDEX(DKW_10Y!$D$2:$D$2918,MATCH($A231,DKW_10Y!$A$2:$A$2918,1))-INDEX(DKW_10Y!$D$2:$D$2918,MATCH(Settings!$B$16,DKW_10Y!$A$2:$A$2918,1)))*100))</f>
        <v/>
      </c>
      <c r="AA231" s="19">
        <f>IF(NOT(ISNUMBER($A231)),NA(),IF(OR($A231&lt;MIN(DKW_10Y!$A$2:$A$2918),$A231&gt;MAX(DKW_10Y!$A$2:$A$2918),Settings!$B$16&lt;MIN(DKW_10Y!$A$2:$A$2918)),NA(),(INDEX(DKW_10Y!$E$2:$E$2918,MATCH($A231,DKW_10Y!$A$2:$A$2918,1))-INDEX(DKW_10Y!$E$2:$E$2918,MATCH(Settings!$B$16,DKW_10Y!$A$2:$A$2918,1)))*100))</f>
        <v/>
      </c>
      <c r="AB231" s="19">
        <f>IF(NOT(ISNUMBER($A231)),NA(),IF(OR($A231&lt;MIN(DKW_10Y!$A$2:$A$2918),$A231&gt;MAX(DKW_10Y!$A$2:$A$2918),Settings!$B$16&lt;MIN(DKW_10Y!$A$2:$A$2918)),NA(),(INDEX(DKW_10Y!$H$2:$H$2918,MATCH($A231,DKW_10Y!$A$2:$A$2918,1))-INDEX(DKW_10Y!$H$2:$H$2918,MATCH(Settings!$B$16,DKW_10Y!$A$2:$A$2918,1)))*100))</f>
        <v/>
      </c>
      <c r="AC231" s="18">
        <f>IF(NOT(ISNUMBER($A231)),NA(),IFERROR(1*INDEX(BBG_Data!$N$2:$N$4000,MATCH($A231,BBG_Data!$M$2:$M$4000,0)),NA()))</f>
        <v/>
      </c>
      <c r="AD231" s="18">
        <f>IF(NOT(ISNUMBER($A231)),NA(),IFERROR(1*INDEX(BBG_Data!$P$2:$P$4000,MATCH($A231,BBG_Data!$O$2:$O$4000,0)),NA()))</f>
        <v/>
      </c>
      <c r="AE231" s="18">
        <f>IF(NOT(ISNUMBER($A231)),NA(),IFERROR(1*INDEX(BBG_Data!$R$2:$R$4000,MATCH($A231,BBG_Data!$Q$2:$Q$4000,0)),NA()))</f>
        <v/>
      </c>
      <c r="AF231" s="20">
        <f>IF(AND(ISNUMBER(B231),ISNUMBER(AC231)),(B231-AC231)*100,NA())</f>
        <v/>
      </c>
      <c r="AG231" s="20">
        <f>IF(AND(ISNUMBER(AE231),ISNUMBER(AD231)),(AE231-AD231)*100,NA())</f>
        <v/>
      </c>
      <c r="AH231" s="19">
        <f>IF(NOT(ISNUMBER($A231)),NA(),IFERROR(INDEX(BBG_Data!$T$2:$T$4000,MATCH($A231,BBG_Data!$S$2:$S$4000,0))*Settings!$B$25,NA()))</f>
        <v/>
      </c>
      <c r="AI231" s="19">
        <f>IF(NOT(ISNUMBER($A231)),NA(),IFERROR(INDEX(BBG_Data!$V$2:$V$4000,MATCH($A231,BBG_Data!$U$2:$U$4000,0))*Settings!$B$25,NA()))</f>
        <v/>
      </c>
      <c r="AJ231" s="19">
        <f>IF(NOT(ISNUMBER($A231)),NA(),IFERROR(1*INDEX(BBG_Data!$X$2:$X$4000,MATCH($A231,BBG_Data!$W$2:$W$4000,0)),NA()))</f>
        <v/>
      </c>
      <c r="AK231" s="19">
        <f>IF(NOT(ISNUMBER($A231)),NA(),IFERROR(1*INDEX(BBG_Data!$Z$2:$Z$4000,MATCH($A231,BBG_Data!$Y$2:$Y$4000,0)),NA()))</f>
        <v/>
      </c>
    </row>
    <row r="232">
      <c r="A232" s="17">
        <f>IF(ISNUMBER(BBG_Data!A232),BBG_Data!A232,"")</f>
        <v/>
      </c>
      <c r="B232" s="18">
        <f>IF(AND(ISNUMBER($A232),ISNUMBER(BBG_Data!B232)),BBG_Data!B232,NA())</f>
        <v/>
      </c>
      <c r="C232" s="18">
        <f>IF(NOT(ISNUMBER($A232)),NA(),IFERROR(1*INDEX(BBG_Data!$D$2:$D$4000,MATCH($A232,BBG_Data!$C$2:$C$4000,0)),NA()))</f>
        <v/>
      </c>
      <c r="D232" s="19">
        <f>IF(NOT(ISNUMBER($A232)),NA(),IFERROR(1*INDEX(BBG_Data!$F$2:$F$4000,MATCH($A232,BBG_Data!$E$2:$E$4000,0)),NA()))</f>
        <v/>
      </c>
      <c r="E232" s="19">
        <f>IF(NOT(ISNUMBER($A232)),NA(),IFERROR(1*INDEX(BBG_Data!$H$2:$H$4000,MATCH($A232,BBG_Data!$G$2:$G$4000,0)),NA()))</f>
        <v/>
      </c>
      <c r="F232" s="20">
        <f>IF(AND(ISNUMBER(B232),ISNUMBER(B231)),IF(B232=B231,"",(B232-B231)*100),"")</f>
        <v/>
      </c>
      <c r="G232" s="20">
        <f>IF(AND(ISNUMBER(C232),ISNUMBER(C231)),IF(C232=C231,"",(C232-C231)*100),"")</f>
        <v/>
      </c>
      <c r="H232" s="20">
        <f>IF(OR(NOT(ISNUMBER($A232)),ROW()-2&lt;Settings!$B$11),NA(),IF(COUNT(OFFSET(F232,1-Settings!$B$11,0,Settings!$B$11,1))&lt;ROUNDUP(Settings!$B$11*Settings!$B$26,0),NA(),STDEV(OFFSET(F232,1-Settings!$B$11,0,Settings!$B$11,1))*SQRT(Settings!$B$13)))</f>
        <v/>
      </c>
      <c r="I232" s="20">
        <f>IF(OR(NOT(ISNUMBER($A232)),ROW()-2&lt;Settings!$B$12),NA(),IF(COUNT(OFFSET(F232,1-Settings!$B$12,0,Settings!$B$12,1))&lt;ROUNDUP(Settings!$B$12*Settings!$B$26,0),NA(),STDEV(OFFSET(F232,1-Settings!$B$12,0,Settings!$B$12,1))*SQRT(Settings!$B$13)))</f>
        <v/>
      </c>
      <c r="J232" s="20">
        <f>IF(OR(NOT(ISNUMBER($A232)),ROW()-2&lt;Settings!$B$11),NA(),IF(COUNT(OFFSET(G232,1-Settings!$B$11,0,Settings!$B$11,1))&lt;ROUNDUP(Settings!$B$11*Settings!$B$26,0),NA(),STDEV(OFFSET(G232,1-Settings!$B$11,0,Settings!$B$11,1))*SQRT(Settings!$B$13)))</f>
        <v/>
      </c>
      <c r="K232" s="20">
        <f>IF(OR(NOT(ISNUMBER($A232)),ROW()-2&lt;Settings!$B$12),NA(),IF(COUNT(OFFSET(G232,1-Settings!$B$12,0,Settings!$B$12,1))&lt;ROUNDUP(Settings!$B$12*Settings!$B$26,0),NA(),STDEV(OFFSET(G232,1-Settings!$B$12,0,Settings!$B$12,1))*SQRT(Settings!$B$13)))</f>
        <v/>
      </c>
      <c r="L232" s="20">
        <f>IF(AND(ISNUMBER(D232),ISNUMBER(H232)),D232-H232,NA())</f>
        <v/>
      </c>
      <c r="M232" s="20">
        <f>IF(AND(ISNUMBER(E232),ISNUMBER(K232)),E232-K232,NA())</f>
        <v/>
      </c>
      <c r="N232" s="20">
        <f>IF(NOT(ISNUMBER($A232)),NA(),IF(COUNT(OFFSET(G232,1,0,Settings!$B$12,1))&lt;ROUNDUP(Settings!$B$12*Settings!$B$26,0),NA(),STDEV(OFFSET(G232,1,0,Settings!$B$12,1))*SQRT(Settings!$B$13)))</f>
        <v/>
      </c>
      <c r="O232" s="20">
        <f>IF(AND(ISNUMBER(E232),ISNUMBER(N232)),E232-N232,NA())</f>
        <v/>
      </c>
      <c r="P232" s="19">
        <f>IF(NOT(ISNUMBER($A232)),NA(),IF(OR($A232&lt;MIN(KW_TP!$A$2:$A$2501),$A232&gt;MAX(KW_TP!$A$2:$A$2501)),NA(),INDEX(KW_TP!$C$2:$C$2501,MATCH($A232,KW_TP!$A$2:$A$2501,1))))</f>
        <v/>
      </c>
      <c r="Q232" s="18">
        <f>IF(NOT(ISNUMBER($A232)),NA(),IFERROR(1*INDEX(BBG_Data!$J$2:$J$4000,MATCH($A232,BBG_Data!$I$2:$I$4000,0)),NA()))</f>
        <v/>
      </c>
      <c r="R232" s="18">
        <f>IF(NOT(ISNUMBER($A232)),NA(),IFERROR(1*INDEX(BBG_Data!$L$2:$L$4000,MATCH($A232,BBG_Data!$K$2:$K$4000,0)),NA()))</f>
        <v/>
      </c>
      <c r="S232" s="20">
        <f>IF(AND(ISNUMBER(B232),ISNUMBER(Q232),ISNUMBER(R232)),(B232-Q232-R232)*100,NA())</f>
        <v/>
      </c>
      <c r="T232" s="20">
        <f>IF(AND(ISNUMBER(B232),Settings!$B$17&gt;0),IF(ISNUMBER(INDEX($B:$B,Settings!$B$17)),(B232-INDEX($B:$B,Settings!$B$17))*100,NA()),NA())</f>
        <v/>
      </c>
      <c r="U232" s="20">
        <f>IF(AND(ISNUMBER(Q232),Settings!$B$17&gt;0),IF(ISNUMBER(INDEX($Q:$Q,Settings!$B$17)),(Q232-INDEX($Q:$Q,Settings!$B$17))*100,NA()),NA())</f>
        <v/>
      </c>
      <c r="V232" s="20">
        <f>IF(AND(ISNUMBER(R232),Settings!$B$17&gt;0),IF(ISNUMBER(INDEX($R:$R,Settings!$B$17)),(R232-INDEX($R:$R,Settings!$B$17))*100,NA()),NA())</f>
        <v/>
      </c>
      <c r="W232" s="20">
        <f>IF(AND(ISNUMBER(P232),Settings!$B$17&gt;0),IF(ISNUMBER(INDEX($P:$P,Settings!$B$17)),P232-INDEX($P:$P,Settings!$B$17),NA()),NA())</f>
        <v/>
      </c>
      <c r="X232" s="19">
        <f>IF(NOT(ISNUMBER($A232)),NA(),IF(OR($A232&lt;MIN(DKW_10Y!$A$2:$A$2918),$A232&gt;MAX(DKW_10Y!$A$2:$A$2918),Settings!$B$16&lt;MIN(DKW_10Y!$A$2:$A$2918)),NA(),(INDEX(DKW_10Y!$B$2:$B$2918,MATCH($A232,DKW_10Y!$A$2:$A$2918,1))-INDEX(DKW_10Y!$B$2:$B$2918,MATCH(Settings!$B$16,DKW_10Y!$A$2:$A$2918,1)))*100))</f>
        <v/>
      </c>
      <c r="Y232" s="19">
        <f>IF(NOT(ISNUMBER($A232)),NA(),IF(OR($A232&lt;MIN(DKW_10Y!$A$2:$A$2918),$A232&gt;MAX(DKW_10Y!$A$2:$A$2918),Settings!$B$16&lt;MIN(DKW_10Y!$A$2:$A$2918)),NA(),(INDEX(DKW_10Y!$C$2:$C$2918,MATCH($A232,DKW_10Y!$A$2:$A$2918,1))-INDEX(DKW_10Y!$C$2:$C$2918,MATCH(Settings!$B$16,DKW_10Y!$A$2:$A$2918,1)))*100))</f>
        <v/>
      </c>
      <c r="Z232" s="19">
        <f>IF(NOT(ISNUMBER($A232)),NA(),IF(OR($A232&lt;MIN(DKW_10Y!$A$2:$A$2918),$A232&gt;MAX(DKW_10Y!$A$2:$A$2918),Settings!$B$16&lt;MIN(DKW_10Y!$A$2:$A$2918)),NA(),(INDEX(DKW_10Y!$D$2:$D$2918,MATCH($A232,DKW_10Y!$A$2:$A$2918,1))-INDEX(DKW_10Y!$D$2:$D$2918,MATCH(Settings!$B$16,DKW_10Y!$A$2:$A$2918,1)))*100))</f>
        <v/>
      </c>
      <c r="AA232" s="19">
        <f>IF(NOT(ISNUMBER($A232)),NA(),IF(OR($A232&lt;MIN(DKW_10Y!$A$2:$A$2918),$A232&gt;MAX(DKW_10Y!$A$2:$A$2918),Settings!$B$16&lt;MIN(DKW_10Y!$A$2:$A$2918)),NA(),(INDEX(DKW_10Y!$E$2:$E$2918,MATCH($A232,DKW_10Y!$A$2:$A$2918,1))-INDEX(DKW_10Y!$E$2:$E$2918,MATCH(Settings!$B$16,DKW_10Y!$A$2:$A$2918,1)))*100))</f>
        <v/>
      </c>
      <c r="AB232" s="19">
        <f>IF(NOT(ISNUMBER($A232)),NA(),IF(OR($A232&lt;MIN(DKW_10Y!$A$2:$A$2918),$A232&gt;MAX(DKW_10Y!$A$2:$A$2918),Settings!$B$16&lt;MIN(DKW_10Y!$A$2:$A$2918)),NA(),(INDEX(DKW_10Y!$H$2:$H$2918,MATCH($A232,DKW_10Y!$A$2:$A$2918,1))-INDEX(DKW_10Y!$H$2:$H$2918,MATCH(Settings!$B$16,DKW_10Y!$A$2:$A$2918,1)))*100))</f>
        <v/>
      </c>
      <c r="AC232" s="18">
        <f>IF(NOT(ISNUMBER($A232)),NA(),IFERROR(1*INDEX(BBG_Data!$N$2:$N$4000,MATCH($A232,BBG_Data!$M$2:$M$4000,0)),NA()))</f>
        <v/>
      </c>
      <c r="AD232" s="18">
        <f>IF(NOT(ISNUMBER($A232)),NA(),IFERROR(1*INDEX(BBG_Data!$P$2:$P$4000,MATCH($A232,BBG_Data!$O$2:$O$4000,0)),NA()))</f>
        <v/>
      </c>
      <c r="AE232" s="18">
        <f>IF(NOT(ISNUMBER($A232)),NA(),IFERROR(1*INDEX(BBG_Data!$R$2:$R$4000,MATCH($A232,BBG_Data!$Q$2:$Q$4000,0)),NA()))</f>
        <v/>
      </c>
      <c r="AF232" s="20">
        <f>IF(AND(ISNUMBER(B232),ISNUMBER(AC232)),(B232-AC232)*100,NA())</f>
        <v/>
      </c>
      <c r="AG232" s="20">
        <f>IF(AND(ISNUMBER(AE232),ISNUMBER(AD232)),(AE232-AD232)*100,NA())</f>
        <v/>
      </c>
      <c r="AH232" s="19">
        <f>IF(NOT(ISNUMBER($A232)),NA(),IFERROR(INDEX(BBG_Data!$T$2:$T$4000,MATCH($A232,BBG_Data!$S$2:$S$4000,0))*Settings!$B$25,NA()))</f>
        <v/>
      </c>
      <c r="AI232" s="19">
        <f>IF(NOT(ISNUMBER($A232)),NA(),IFERROR(INDEX(BBG_Data!$V$2:$V$4000,MATCH($A232,BBG_Data!$U$2:$U$4000,0))*Settings!$B$25,NA()))</f>
        <v/>
      </c>
      <c r="AJ232" s="19">
        <f>IF(NOT(ISNUMBER($A232)),NA(),IFERROR(1*INDEX(BBG_Data!$X$2:$X$4000,MATCH($A232,BBG_Data!$W$2:$W$4000,0)),NA()))</f>
        <v/>
      </c>
      <c r="AK232" s="19">
        <f>IF(NOT(ISNUMBER($A232)),NA(),IFERROR(1*INDEX(BBG_Data!$Z$2:$Z$4000,MATCH($A232,BBG_Data!$Y$2:$Y$4000,0)),NA()))</f>
        <v/>
      </c>
    </row>
    <row r="233">
      <c r="A233" s="17">
        <f>IF(ISNUMBER(BBG_Data!A233),BBG_Data!A233,"")</f>
        <v/>
      </c>
      <c r="B233" s="18">
        <f>IF(AND(ISNUMBER($A233),ISNUMBER(BBG_Data!B233)),BBG_Data!B233,NA())</f>
        <v/>
      </c>
      <c r="C233" s="18">
        <f>IF(NOT(ISNUMBER($A233)),NA(),IFERROR(1*INDEX(BBG_Data!$D$2:$D$4000,MATCH($A233,BBG_Data!$C$2:$C$4000,0)),NA()))</f>
        <v/>
      </c>
      <c r="D233" s="19">
        <f>IF(NOT(ISNUMBER($A233)),NA(),IFERROR(1*INDEX(BBG_Data!$F$2:$F$4000,MATCH($A233,BBG_Data!$E$2:$E$4000,0)),NA()))</f>
        <v/>
      </c>
      <c r="E233" s="19">
        <f>IF(NOT(ISNUMBER($A233)),NA(),IFERROR(1*INDEX(BBG_Data!$H$2:$H$4000,MATCH($A233,BBG_Data!$G$2:$G$4000,0)),NA()))</f>
        <v/>
      </c>
      <c r="F233" s="20">
        <f>IF(AND(ISNUMBER(B233),ISNUMBER(B232)),IF(B233=B232,"",(B233-B232)*100),"")</f>
        <v/>
      </c>
      <c r="G233" s="20">
        <f>IF(AND(ISNUMBER(C233),ISNUMBER(C232)),IF(C233=C232,"",(C233-C232)*100),"")</f>
        <v/>
      </c>
      <c r="H233" s="20">
        <f>IF(OR(NOT(ISNUMBER($A233)),ROW()-2&lt;Settings!$B$11),NA(),IF(COUNT(OFFSET(F233,1-Settings!$B$11,0,Settings!$B$11,1))&lt;ROUNDUP(Settings!$B$11*Settings!$B$26,0),NA(),STDEV(OFFSET(F233,1-Settings!$B$11,0,Settings!$B$11,1))*SQRT(Settings!$B$13)))</f>
        <v/>
      </c>
      <c r="I233" s="20">
        <f>IF(OR(NOT(ISNUMBER($A233)),ROW()-2&lt;Settings!$B$12),NA(),IF(COUNT(OFFSET(F233,1-Settings!$B$12,0,Settings!$B$12,1))&lt;ROUNDUP(Settings!$B$12*Settings!$B$26,0),NA(),STDEV(OFFSET(F233,1-Settings!$B$12,0,Settings!$B$12,1))*SQRT(Settings!$B$13)))</f>
        <v/>
      </c>
      <c r="J233" s="20">
        <f>IF(OR(NOT(ISNUMBER($A233)),ROW()-2&lt;Settings!$B$11),NA(),IF(COUNT(OFFSET(G233,1-Settings!$B$11,0,Settings!$B$11,1))&lt;ROUNDUP(Settings!$B$11*Settings!$B$26,0),NA(),STDEV(OFFSET(G233,1-Settings!$B$11,0,Settings!$B$11,1))*SQRT(Settings!$B$13)))</f>
        <v/>
      </c>
      <c r="K233" s="20">
        <f>IF(OR(NOT(ISNUMBER($A233)),ROW()-2&lt;Settings!$B$12),NA(),IF(COUNT(OFFSET(G233,1-Settings!$B$12,0,Settings!$B$12,1))&lt;ROUNDUP(Settings!$B$12*Settings!$B$26,0),NA(),STDEV(OFFSET(G233,1-Settings!$B$12,0,Settings!$B$12,1))*SQRT(Settings!$B$13)))</f>
        <v/>
      </c>
      <c r="L233" s="20">
        <f>IF(AND(ISNUMBER(D233),ISNUMBER(H233)),D233-H233,NA())</f>
        <v/>
      </c>
      <c r="M233" s="20">
        <f>IF(AND(ISNUMBER(E233),ISNUMBER(K233)),E233-K233,NA())</f>
        <v/>
      </c>
      <c r="N233" s="20">
        <f>IF(NOT(ISNUMBER($A233)),NA(),IF(COUNT(OFFSET(G233,1,0,Settings!$B$12,1))&lt;ROUNDUP(Settings!$B$12*Settings!$B$26,0),NA(),STDEV(OFFSET(G233,1,0,Settings!$B$12,1))*SQRT(Settings!$B$13)))</f>
        <v/>
      </c>
      <c r="O233" s="20">
        <f>IF(AND(ISNUMBER(E233),ISNUMBER(N233)),E233-N233,NA())</f>
        <v/>
      </c>
      <c r="P233" s="19">
        <f>IF(NOT(ISNUMBER($A233)),NA(),IF(OR($A233&lt;MIN(KW_TP!$A$2:$A$2501),$A233&gt;MAX(KW_TP!$A$2:$A$2501)),NA(),INDEX(KW_TP!$C$2:$C$2501,MATCH($A233,KW_TP!$A$2:$A$2501,1))))</f>
        <v/>
      </c>
      <c r="Q233" s="18">
        <f>IF(NOT(ISNUMBER($A233)),NA(),IFERROR(1*INDEX(BBG_Data!$J$2:$J$4000,MATCH($A233,BBG_Data!$I$2:$I$4000,0)),NA()))</f>
        <v/>
      </c>
      <c r="R233" s="18">
        <f>IF(NOT(ISNUMBER($A233)),NA(),IFERROR(1*INDEX(BBG_Data!$L$2:$L$4000,MATCH($A233,BBG_Data!$K$2:$K$4000,0)),NA()))</f>
        <v/>
      </c>
      <c r="S233" s="20">
        <f>IF(AND(ISNUMBER(B233),ISNUMBER(Q233),ISNUMBER(R233)),(B233-Q233-R233)*100,NA())</f>
        <v/>
      </c>
      <c r="T233" s="20">
        <f>IF(AND(ISNUMBER(B233),Settings!$B$17&gt;0),IF(ISNUMBER(INDEX($B:$B,Settings!$B$17)),(B233-INDEX($B:$B,Settings!$B$17))*100,NA()),NA())</f>
        <v/>
      </c>
      <c r="U233" s="20">
        <f>IF(AND(ISNUMBER(Q233),Settings!$B$17&gt;0),IF(ISNUMBER(INDEX($Q:$Q,Settings!$B$17)),(Q233-INDEX($Q:$Q,Settings!$B$17))*100,NA()),NA())</f>
        <v/>
      </c>
      <c r="V233" s="20">
        <f>IF(AND(ISNUMBER(R233),Settings!$B$17&gt;0),IF(ISNUMBER(INDEX($R:$R,Settings!$B$17)),(R233-INDEX($R:$R,Settings!$B$17))*100,NA()),NA())</f>
        <v/>
      </c>
      <c r="W233" s="20">
        <f>IF(AND(ISNUMBER(P233),Settings!$B$17&gt;0),IF(ISNUMBER(INDEX($P:$P,Settings!$B$17)),P233-INDEX($P:$P,Settings!$B$17),NA()),NA())</f>
        <v/>
      </c>
      <c r="X233" s="19">
        <f>IF(NOT(ISNUMBER($A233)),NA(),IF(OR($A233&lt;MIN(DKW_10Y!$A$2:$A$2918),$A233&gt;MAX(DKW_10Y!$A$2:$A$2918),Settings!$B$16&lt;MIN(DKW_10Y!$A$2:$A$2918)),NA(),(INDEX(DKW_10Y!$B$2:$B$2918,MATCH($A233,DKW_10Y!$A$2:$A$2918,1))-INDEX(DKW_10Y!$B$2:$B$2918,MATCH(Settings!$B$16,DKW_10Y!$A$2:$A$2918,1)))*100))</f>
        <v/>
      </c>
      <c r="Y233" s="19">
        <f>IF(NOT(ISNUMBER($A233)),NA(),IF(OR($A233&lt;MIN(DKW_10Y!$A$2:$A$2918),$A233&gt;MAX(DKW_10Y!$A$2:$A$2918),Settings!$B$16&lt;MIN(DKW_10Y!$A$2:$A$2918)),NA(),(INDEX(DKW_10Y!$C$2:$C$2918,MATCH($A233,DKW_10Y!$A$2:$A$2918,1))-INDEX(DKW_10Y!$C$2:$C$2918,MATCH(Settings!$B$16,DKW_10Y!$A$2:$A$2918,1)))*100))</f>
        <v/>
      </c>
      <c r="Z233" s="19">
        <f>IF(NOT(ISNUMBER($A233)),NA(),IF(OR($A233&lt;MIN(DKW_10Y!$A$2:$A$2918),$A233&gt;MAX(DKW_10Y!$A$2:$A$2918),Settings!$B$16&lt;MIN(DKW_10Y!$A$2:$A$2918)),NA(),(INDEX(DKW_10Y!$D$2:$D$2918,MATCH($A233,DKW_10Y!$A$2:$A$2918,1))-INDEX(DKW_10Y!$D$2:$D$2918,MATCH(Settings!$B$16,DKW_10Y!$A$2:$A$2918,1)))*100))</f>
        <v/>
      </c>
      <c r="AA233" s="19">
        <f>IF(NOT(ISNUMBER($A233)),NA(),IF(OR($A233&lt;MIN(DKW_10Y!$A$2:$A$2918),$A233&gt;MAX(DKW_10Y!$A$2:$A$2918),Settings!$B$16&lt;MIN(DKW_10Y!$A$2:$A$2918)),NA(),(INDEX(DKW_10Y!$E$2:$E$2918,MATCH($A233,DKW_10Y!$A$2:$A$2918,1))-INDEX(DKW_10Y!$E$2:$E$2918,MATCH(Settings!$B$16,DKW_10Y!$A$2:$A$2918,1)))*100))</f>
        <v/>
      </c>
      <c r="AB233" s="19">
        <f>IF(NOT(ISNUMBER($A233)),NA(),IF(OR($A233&lt;MIN(DKW_10Y!$A$2:$A$2918),$A233&gt;MAX(DKW_10Y!$A$2:$A$2918),Settings!$B$16&lt;MIN(DKW_10Y!$A$2:$A$2918)),NA(),(INDEX(DKW_10Y!$H$2:$H$2918,MATCH($A233,DKW_10Y!$A$2:$A$2918,1))-INDEX(DKW_10Y!$H$2:$H$2918,MATCH(Settings!$B$16,DKW_10Y!$A$2:$A$2918,1)))*100))</f>
        <v/>
      </c>
      <c r="AC233" s="18">
        <f>IF(NOT(ISNUMBER($A233)),NA(),IFERROR(1*INDEX(BBG_Data!$N$2:$N$4000,MATCH($A233,BBG_Data!$M$2:$M$4000,0)),NA()))</f>
        <v/>
      </c>
      <c r="AD233" s="18">
        <f>IF(NOT(ISNUMBER($A233)),NA(),IFERROR(1*INDEX(BBG_Data!$P$2:$P$4000,MATCH($A233,BBG_Data!$O$2:$O$4000,0)),NA()))</f>
        <v/>
      </c>
      <c r="AE233" s="18">
        <f>IF(NOT(ISNUMBER($A233)),NA(),IFERROR(1*INDEX(BBG_Data!$R$2:$R$4000,MATCH($A233,BBG_Data!$Q$2:$Q$4000,0)),NA()))</f>
        <v/>
      </c>
      <c r="AF233" s="20">
        <f>IF(AND(ISNUMBER(B233),ISNUMBER(AC233)),(B233-AC233)*100,NA())</f>
        <v/>
      </c>
      <c r="AG233" s="20">
        <f>IF(AND(ISNUMBER(AE233),ISNUMBER(AD233)),(AE233-AD233)*100,NA())</f>
        <v/>
      </c>
      <c r="AH233" s="19">
        <f>IF(NOT(ISNUMBER($A233)),NA(),IFERROR(INDEX(BBG_Data!$T$2:$T$4000,MATCH($A233,BBG_Data!$S$2:$S$4000,0))*Settings!$B$25,NA()))</f>
        <v/>
      </c>
      <c r="AI233" s="19">
        <f>IF(NOT(ISNUMBER($A233)),NA(),IFERROR(INDEX(BBG_Data!$V$2:$V$4000,MATCH($A233,BBG_Data!$U$2:$U$4000,0))*Settings!$B$25,NA()))</f>
        <v/>
      </c>
      <c r="AJ233" s="19">
        <f>IF(NOT(ISNUMBER($A233)),NA(),IFERROR(1*INDEX(BBG_Data!$X$2:$X$4000,MATCH($A233,BBG_Data!$W$2:$W$4000,0)),NA()))</f>
        <v/>
      </c>
      <c r="AK233" s="19">
        <f>IF(NOT(ISNUMBER($A233)),NA(),IFERROR(1*INDEX(BBG_Data!$Z$2:$Z$4000,MATCH($A233,BBG_Data!$Y$2:$Y$4000,0)),NA()))</f>
        <v/>
      </c>
    </row>
    <row r="234">
      <c r="A234" s="17">
        <f>IF(ISNUMBER(BBG_Data!A234),BBG_Data!A234,"")</f>
        <v/>
      </c>
      <c r="B234" s="18">
        <f>IF(AND(ISNUMBER($A234),ISNUMBER(BBG_Data!B234)),BBG_Data!B234,NA())</f>
        <v/>
      </c>
      <c r="C234" s="18">
        <f>IF(NOT(ISNUMBER($A234)),NA(),IFERROR(1*INDEX(BBG_Data!$D$2:$D$4000,MATCH($A234,BBG_Data!$C$2:$C$4000,0)),NA()))</f>
        <v/>
      </c>
      <c r="D234" s="19">
        <f>IF(NOT(ISNUMBER($A234)),NA(),IFERROR(1*INDEX(BBG_Data!$F$2:$F$4000,MATCH($A234,BBG_Data!$E$2:$E$4000,0)),NA()))</f>
        <v/>
      </c>
      <c r="E234" s="19">
        <f>IF(NOT(ISNUMBER($A234)),NA(),IFERROR(1*INDEX(BBG_Data!$H$2:$H$4000,MATCH($A234,BBG_Data!$G$2:$G$4000,0)),NA()))</f>
        <v/>
      </c>
      <c r="F234" s="20">
        <f>IF(AND(ISNUMBER(B234),ISNUMBER(B233)),IF(B234=B233,"",(B234-B233)*100),"")</f>
        <v/>
      </c>
      <c r="G234" s="20">
        <f>IF(AND(ISNUMBER(C234),ISNUMBER(C233)),IF(C234=C233,"",(C234-C233)*100),"")</f>
        <v/>
      </c>
      <c r="H234" s="20">
        <f>IF(OR(NOT(ISNUMBER($A234)),ROW()-2&lt;Settings!$B$11),NA(),IF(COUNT(OFFSET(F234,1-Settings!$B$11,0,Settings!$B$11,1))&lt;ROUNDUP(Settings!$B$11*Settings!$B$26,0),NA(),STDEV(OFFSET(F234,1-Settings!$B$11,0,Settings!$B$11,1))*SQRT(Settings!$B$13)))</f>
        <v/>
      </c>
      <c r="I234" s="20">
        <f>IF(OR(NOT(ISNUMBER($A234)),ROW()-2&lt;Settings!$B$12),NA(),IF(COUNT(OFFSET(F234,1-Settings!$B$12,0,Settings!$B$12,1))&lt;ROUNDUP(Settings!$B$12*Settings!$B$26,0),NA(),STDEV(OFFSET(F234,1-Settings!$B$12,0,Settings!$B$12,1))*SQRT(Settings!$B$13)))</f>
        <v/>
      </c>
      <c r="J234" s="20">
        <f>IF(OR(NOT(ISNUMBER($A234)),ROW()-2&lt;Settings!$B$11),NA(),IF(COUNT(OFFSET(G234,1-Settings!$B$11,0,Settings!$B$11,1))&lt;ROUNDUP(Settings!$B$11*Settings!$B$26,0),NA(),STDEV(OFFSET(G234,1-Settings!$B$11,0,Settings!$B$11,1))*SQRT(Settings!$B$13)))</f>
        <v/>
      </c>
      <c r="K234" s="20">
        <f>IF(OR(NOT(ISNUMBER($A234)),ROW()-2&lt;Settings!$B$12),NA(),IF(COUNT(OFFSET(G234,1-Settings!$B$12,0,Settings!$B$12,1))&lt;ROUNDUP(Settings!$B$12*Settings!$B$26,0),NA(),STDEV(OFFSET(G234,1-Settings!$B$12,0,Settings!$B$12,1))*SQRT(Settings!$B$13)))</f>
        <v/>
      </c>
      <c r="L234" s="20">
        <f>IF(AND(ISNUMBER(D234),ISNUMBER(H234)),D234-H234,NA())</f>
        <v/>
      </c>
      <c r="M234" s="20">
        <f>IF(AND(ISNUMBER(E234),ISNUMBER(K234)),E234-K234,NA())</f>
        <v/>
      </c>
      <c r="N234" s="20">
        <f>IF(NOT(ISNUMBER($A234)),NA(),IF(COUNT(OFFSET(G234,1,0,Settings!$B$12,1))&lt;ROUNDUP(Settings!$B$12*Settings!$B$26,0),NA(),STDEV(OFFSET(G234,1,0,Settings!$B$12,1))*SQRT(Settings!$B$13)))</f>
        <v/>
      </c>
      <c r="O234" s="20">
        <f>IF(AND(ISNUMBER(E234),ISNUMBER(N234)),E234-N234,NA())</f>
        <v/>
      </c>
      <c r="P234" s="19">
        <f>IF(NOT(ISNUMBER($A234)),NA(),IF(OR($A234&lt;MIN(KW_TP!$A$2:$A$2501),$A234&gt;MAX(KW_TP!$A$2:$A$2501)),NA(),INDEX(KW_TP!$C$2:$C$2501,MATCH($A234,KW_TP!$A$2:$A$2501,1))))</f>
        <v/>
      </c>
      <c r="Q234" s="18">
        <f>IF(NOT(ISNUMBER($A234)),NA(),IFERROR(1*INDEX(BBG_Data!$J$2:$J$4000,MATCH($A234,BBG_Data!$I$2:$I$4000,0)),NA()))</f>
        <v/>
      </c>
      <c r="R234" s="18">
        <f>IF(NOT(ISNUMBER($A234)),NA(),IFERROR(1*INDEX(BBG_Data!$L$2:$L$4000,MATCH($A234,BBG_Data!$K$2:$K$4000,0)),NA()))</f>
        <v/>
      </c>
      <c r="S234" s="20">
        <f>IF(AND(ISNUMBER(B234),ISNUMBER(Q234),ISNUMBER(R234)),(B234-Q234-R234)*100,NA())</f>
        <v/>
      </c>
      <c r="T234" s="20">
        <f>IF(AND(ISNUMBER(B234),Settings!$B$17&gt;0),IF(ISNUMBER(INDEX($B:$B,Settings!$B$17)),(B234-INDEX($B:$B,Settings!$B$17))*100,NA()),NA())</f>
        <v/>
      </c>
      <c r="U234" s="20">
        <f>IF(AND(ISNUMBER(Q234),Settings!$B$17&gt;0),IF(ISNUMBER(INDEX($Q:$Q,Settings!$B$17)),(Q234-INDEX($Q:$Q,Settings!$B$17))*100,NA()),NA())</f>
        <v/>
      </c>
      <c r="V234" s="20">
        <f>IF(AND(ISNUMBER(R234),Settings!$B$17&gt;0),IF(ISNUMBER(INDEX($R:$R,Settings!$B$17)),(R234-INDEX($R:$R,Settings!$B$17))*100,NA()),NA())</f>
        <v/>
      </c>
      <c r="W234" s="20">
        <f>IF(AND(ISNUMBER(P234),Settings!$B$17&gt;0),IF(ISNUMBER(INDEX($P:$P,Settings!$B$17)),P234-INDEX($P:$P,Settings!$B$17),NA()),NA())</f>
        <v/>
      </c>
      <c r="X234" s="19">
        <f>IF(NOT(ISNUMBER($A234)),NA(),IF(OR($A234&lt;MIN(DKW_10Y!$A$2:$A$2918),$A234&gt;MAX(DKW_10Y!$A$2:$A$2918),Settings!$B$16&lt;MIN(DKW_10Y!$A$2:$A$2918)),NA(),(INDEX(DKW_10Y!$B$2:$B$2918,MATCH($A234,DKW_10Y!$A$2:$A$2918,1))-INDEX(DKW_10Y!$B$2:$B$2918,MATCH(Settings!$B$16,DKW_10Y!$A$2:$A$2918,1)))*100))</f>
        <v/>
      </c>
      <c r="Y234" s="19">
        <f>IF(NOT(ISNUMBER($A234)),NA(),IF(OR($A234&lt;MIN(DKW_10Y!$A$2:$A$2918),$A234&gt;MAX(DKW_10Y!$A$2:$A$2918),Settings!$B$16&lt;MIN(DKW_10Y!$A$2:$A$2918)),NA(),(INDEX(DKW_10Y!$C$2:$C$2918,MATCH($A234,DKW_10Y!$A$2:$A$2918,1))-INDEX(DKW_10Y!$C$2:$C$2918,MATCH(Settings!$B$16,DKW_10Y!$A$2:$A$2918,1)))*100))</f>
        <v/>
      </c>
      <c r="Z234" s="19">
        <f>IF(NOT(ISNUMBER($A234)),NA(),IF(OR($A234&lt;MIN(DKW_10Y!$A$2:$A$2918),$A234&gt;MAX(DKW_10Y!$A$2:$A$2918),Settings!$B$16&lt;MIN(DKW_10Y!$A$2:$A$2918)),NA(),(INDEX(DKW_10Y!$D$2:$D$2918,MATCH($A234,DKW_10Y!$A$2:$A$2918,1))-INDEX(DKW_10Y!$D$2:$D$2918,MATCH(Settings!$B$16,DKW_10Y!$A$2:$A$2918,1)))*100))</f>
        <v/>
      </c>
      <c r="AA234" s="19">
        <f>IF(NOT(ISNUMBER($A234)),NA(),IF(OR($A234&lt;MIN(DKW_10Y!$A$2:$A$2918),$A234&gt;MAX(DKW_10Y!$A$2:$A$2918),Settings!$B$16&lt;MIN(DKW_10Y!$A$2:$A$2918)),NA(),(INDEX(DKW_10Y!$E$2:$E$2918,MATCH($A234,DKW_10Y!$A$2:$A$2918,1))-INDEX(DKW_10Y!$E$2:$E$2918,MATCH(Settings!$B$16,DKW_10Y!$A$2:$A$2918,1)))*100))</f>
        <v/>
      </c>
      <c r="AB234" s="19">
        <f>IF(NOT(ISNUMBER($A234)),NA(),IF(OR($A234&lt;MIN(DKW_10Y!$A$2:$A$2918),$A234&gt;MAX(DKW_10Y!$A$2:$A$2918),Settings!$B$16&lt;MIN(DKW_10Y!$A$2:$A$2918)),NA(),(INDEX(DKW_10Y!$H$2:$H$2918,MATCH($A234,DKW_10Y!$A$2:$A$2918,1))-INDEX(DKW_10Y!$H$2:$H$2918,MATCH(Settings!$B$16,DKW_10Y!$A$2:$A$2918,1)))*100))</f>
        <v/>
      </c>
      <c r="AC234" s="18">
        <f>IF(NOT(ISNUMBER($A234)),NA(),IFERROR(1*INDEX(BBG_Data!$N$2:$N$4000,MATCH($A234,BBG_Data!$M$2:$M$4000,0)),NA()))</f>
        <v/>
      </c>
      <c r="AD234" s="18">
        <f>IF(NOT(ISNUMBER($A234)),NA(),IFERROR(1*INDEX(BBG_Data!$P$2:$P$4000,MATCH($A234,BBG_Data!$O$2:$O$4000,0)),NA()))</f>
        <v/>
      </c>
      <c r="AE234" s="18">
        <f>IF(NOT(ISNUMBER($A234)),NA(),IFERROR(1*INDEX(BBG_Data!$R$2:$R$4000,MATCH($A234,BBG_Data!$Q$2:$Q$4000,0)),NA()))</f>
        <v/>
      </c>
      <c r="AF234" s="20">
        <f>IF(AND(ISNUMBER(B234),ISNUMBER(AC234)),(B234-AC234)*100,NA())</f>
        <v/>
      </c>
      <c r="AG234" s="20">
        <f>IF(AND(ISNUMBER(AE234),ISNUMBER(AD234)),(AE234-AD234)*100,NA())</f>
        <v/>
      </c>
      <c r="AH234" s="19">
        <f>IF(NOT(ISNUMBER($A234)),NA(),IFERROR(INDEX(BBG_Data!$T$2:$T$4000,MATCH($A234,BBG_Data!$S$2:$S$4000,0))*Settings!$B$25,NA()))</f>
        <v/>
      </c>
      <c r="AI234" s="19">
        <f>IF(NOT(ISNUMBER($A234)),NA(),IFERROR(INDEX(BBG_Data!$V$2:$V$4000,MATCH($A234,BBG_Data!$U$2:$U$4000,0))*Settings!$B$25,NA()))</f>
        <v/>
      </c>
      <c r="AJ234" s="19">
        <f>IF(NOT(ISNUMBER($A234)),NA(),IFERROR(1*INDEX(BBG_Data!$X$2:$X$4000,MATCH($A234,BBG_Data!$W$2:$W$4000,0)),NA()))</f>
        <v/>
      </c>
      <c r="AK234" s="19">
        <f>IF(NOT(ISNUMBER($A234)),NA(),IFERROR(1*INDEX(BBG_Data!$Z$2:$Z$4000,MATCH($A234,BBG_Data!$Y$2:$Y$4000,0)),NA()))</f>
        <v/>
      </c>
    </row>
    <row r="235">
      <c r="A235" s="17">
        <f>IF(ISNUMBER(BBG_Data!A235),BBG_Data!A235,"")</f>
        <v/>
      </c>
      <c r="B235" s="18">
        <f>IF(AND(ISNUMBER($A235),ISNUMBER(BBG_Data!B235)),BBG_Data!B235,NA())</f>
        <v/>
      </c>
      <c r="C235" s="18">
        <f>IF(NOT(ISNUMBER($A235)),NA(),IFERROR(1*INDEX(BBG_Data!$D$2:$D$4000,MATCH($A235,BBG_Data!$C$2:$C$4000,0)),NA()))</f>
        <v/>
      </c>
      <c r="D235" s="19">
        <f>IF(NOT(ISNUMBER($A235)),NA(),IFERROR(1*INDEX(BBG_Data!$F$2:$F$4000,MATCH($A235,BBG_Data!$E$2:$E$4000,0)),NA()))</f>
        <v/>
      </c>
      <c r="E235" s="19">
        <f>IF(NOT(ISNUMBER($A235)),NA(),IFERROR(1*INDEX(BBG_Data!$H$2:$H$4000,MATCH($A235,BBG_Data!$G$2:$G$4000,0)),NA()))</f>
        <v/>
      </c>
      <c r="F235" s="20">
        <f>IF(AND(ISNUMBER(B235),ISNUMBER(B234)),IF(B235=B234,"",(B235-B234)*100),"")</f>
        <v/>
      </c>
      <c r="G235" s="20">
        <f>IF(AND(ISNUMBER(C235),ISNUMBER(C234)),IF(C235=C234,"",(C235-C234)*100),"")</f>
        <v/>
      </c>
      <c r="H235" s="20">
        <f>IF(OR(NOT(ISNUMBER($A235)),ROW()-2&lt;Settings!$B$11),NA(),IF(COUNT(OFFSET(F235,1-Settings!$B$11,0,Settings!$B$11,1))&lt;ROUNDUP(Settings!$B$11*Settings!$B$26,0),NA(),STDEV(OFFSET(F235,1-Settings!$B$11,0,Settings!$B$11,1))*SQRT(Settings!$B$13)))</f>
        <v/>
      </c>
      <c r="I235" s="20">
        <f>IF(OR(NOT(ISNUMBER($A235)),ROW()-2&lt;Settings!$B$12),NA(),IF(COUNT(OFFSET(F235,1-Settings!$B$12,0,Settings!$B$12,1))&lt;ROUNDUP(Settings!$B$12*Settings!$B$26,0),NA(),STDEV(OFFSET(F235,1-Settings!$B$12,0,Settings!$B$12,1))*SQRT(Settings!$B$13)))</f>
        <v/>
      </c>
      <c r="J235" s="20">
        <f>IF(OR(NOT(ISNUMBER($A235)),ROW()-2&lt;Settings!$B$11),NA(),IF(COUNT(OFFSET(G235,1-Settings!$B$11,0,Settings!$B$11,1))&lt;ROUNDUP(Settings!$B$11*Settings!$B$26,0),NA(),STDEV(OFFSET(G235,1-Settings!$B$11,0,Settings!$B$11,1))*SQRT(Settings!$B$13)))</f>
        <v/>
      </c>
      <c r="K235" s="20">
        <f>IF(OR(NOT(ISNUMBER($A235)),ROW()-2&lt;Settings!$B$12),NA(),IF(COUNT(OFFSET(G235,1-Settings!$B$12,0,Settings!$B$12,1))&lt;ROUNDUP(Settings!$B$12*Settings!$B$26,0),NA(),STDEV(OFFSET(G235,1-Settings!$B$12,0,Settings!$B$12,1))*SQRT(Settings!$B$13)))</f>
        <v/>
      </c>
      <c r="L235" s="20">
        <f>IF(AND(ISNUMBER(D235),ISNUMBER(H235)),D235-H235,NA())</f>
        <v/>
      </c>
      <c r="M235" s="20">
        <f>IF(AND(ISNUMBER(E235),ISNUMBER(K235)),E235-K235,NA())</f>
        <v/>
      </c>
      <c r="N235" s="20">
        <f>IF(NOT(ISNUMBER($A235)),NA(),IF(COUNT(OFFSET(G235,1,0,Settings!$B$12,1))&lt;ROUNDUP(Settings!$B$12*Settings!$B$26,0),NA(),STDEV(OFFSET(G235,1,0,Settings!$B$12,1))*SQRT(Settings!$B$13)))</f>
        <v/>
      </c>
      <c r="O235" s="20">
        <f>IF(AND(ISNUMBER(E235),ISNUMBER(N235)),E235-N235,NA())</f>
        <v/>
      </c>
      <c r="P235" s="19">
        <f>IF(NOT(ISNUMBER($A235)),NA(),IF(OR($A235&lt;MIN(KW_TP!$A$2:$A$2501),$A235&gt;MAX(KW_TP!$A$2:$A$2501)),NA(),INDEX(KW_TP!$C$2:$C$2501,MATCH($A235,KW_TP!$A$2:$A$2501,1))))</f>
        <v/>
      </c>
      <c r="Q235" s="18">
        <f>IF(NOT(ISNUMBER($A235)),NA(),IFERROR(1*INDEX(BBG_Data!$J$2:$J$4000,MATCH($A235,BBG_Data!$I$2:$I$4000,0)),NA()))</f>
        <v/>
      </c>
      <c r="R235" s="18">
        <f>IF(NOT(ISNUMBER($A235)),NA(),IFERROR(1*INDEX(BBG_Data!$L$2:$L$4000,MATCH($A235,BBG_Data!$K$2:$K$4000,0)),NA()))</f>
        <v/>
      </c>
      <c r="S235" s="20">
        <f>IF(AND(ISNUMBER(B235),ISNUMBER(Q235),ISNUMBER(R235)),(B235-Q235-R235)*100,NA())</f>
        <v/>
      </c>
      <c r="T235" s="20">
        <f>IF(AND(ISNUMBER(B235),Settings!$B$17&gt;0),IF(ISNUMBER(INDEX($B:$B,Settings!$B$17)),(B235-INDEX($B:$B,Settings!$B$17))*100,NA()),NA())</f>
        <v/>
      </c>
      <c r="U235" s="20">
        <f>IF(AND(ISNUMBER(Q235),Settings!$B$17&gt;0),IF(ISNUMBER(INDEX($Q:$Q,Settings!$B$17)),(Q235-INDEX($Q:$Q,Settings!$B$17))*100,NA()),NA())</f>
        <v/>
      </c>
      <c r="V235" s="20">
        <f>IF(AND(ISNUMBER(R235),Settings!$B$17&gt;0),IF(ISNUMBER(INDEX($R:$R,Settings!$B$17)),(R235-INDEX($R:$R,Settings!$B$17))*100,NA()),NA())</f>
        <v/>
      </c>
      <c r="W235" s="20">
        <f>IF(AND(ISNUMBER(P235),Settings!$B$17&gt;0),IF(ISNUMBER(INDEX($P:$P,Settings!$B$17)),P235-INDEX($P:$P,Settings!$B$17),NA()),NA())</f>
        <v/>
      </c>
      <c r="X235" s="19">
        <f>IF(NOT(ISNUMBER($A235)),NA(),IF(OR($A235&lt;MIN(DKW_10Y!$A$2:$A$2918),$A235&gt;MAX(DKW_10Y!$A$2:$A$2918),Settings!$B$16&lt;MIN(DKW_10Y!$A$2:$A$2918)),NA(),(INDEX(DKW_10Y!$B$2:$B$2918,MATCH($A235,DKW_10Y!$A$2:$A$2918,1))-INDEX(DKW_10Y!$B$2:$B$2918,MATCH(Settings!$B$16,DKW_10Y!$A$2:$A$2918,1)))*100))</f>
        <v/>
      </c>
      <c r="Y235" s="19">
        <f>IF(NOT(ISNUMBER($A235)),NA(),IF(OR($A235&lt;MIN(DKW_10Y!$A$2:$A$2918),$A235&gt;MAX(DKW_10Y!$A$2:$A$2918),Settings!$B$16&lt;MIN(DKW_10Y!$A$2:$A$2918)),NA(),(INDEX(DKW_10Y!$C$2:$C$2918,MATCH($A235,DKW_10Y!$A$2:$A$2918,1))-INDEX(DKW_10Y!$C$2:$C$2918,MATCH(Settings!$B$16,DKW_10Y!$A$2:$A$2918,1)))*100))</f>
        <v/>
      </c>
      <c r="Z235" s="19">
        <f>IF(NOT(ISNUMBER($A235)),NA(),IF(OR($A235&lt;MIN(DKW_10Y!$A$2:$A$2918),$A235&gt;MAX(DKW_10Y!$A$2:$A$2918),Settings!$B$16&lt;MIN(DKW_10Y!$A$2:$A$2918)),NA(),(INDEX(DKW_10Y!$D$2:$D$2918,MATCH($A235,DKW_10Y!$A$2:$A$2918,1))-INDEX(DKW_10Y!$D$2:$D$2918,MATCH(Settings!$B$16,DKW_10Y!$A$2:$A$2918,1)))*100))</f>
        <v/>
      </c>
      <c r="AA235" s="19">
        <f>IF(NOT(ISNUMBER($A235)),NA(),IF(OR($A235&lt;MIN(DKW_10Y!$A$2:$A$2918),$A235&gt;MAX(DKW_10Y!$A$2:$A$2918),Settings!$B$16&lt;MIN(DKW_10Y!$A$2:$A$2918)),NA(),(INDEX(DKW_10Y!$E$2:$E$2918,MATCH($A235,DKW_10Y!$A$2:$A$2918,1))-INDEX(DKW_10Y!$E$2:$E$2918,MATCH(Settings!$B$16,DKW_10Y!$A$2:$A$2918,1)))*100))</f>
        <v/>
      </c>
      <c r="AB235" s="19">
        <f>IF(NOT(ISNUMBER($A235)),NA(),IF(OR($A235&lt;MIN(DKW_10Y!$A$2:$A$2918),$A235&gt;MAX(DKW_10Y!$A$2:$A$2918),Settings!$B$16&lt;MIN(DKW_10Y!$A$2:$A$2918)),NA(),(INDEX(DKW_10Y!$H$2:$H$2918,MATCH($A235,DKW_10Y!$A$2:$A$2918,1))-INDEX(DKW_10Y!$H$2:$H$2918,MATCH(Settings!$B$16,DKW_10Y!$A$2:$A$2918,1)))*100))</f>
        <v/>
      </c>
      <c r="AC235" s="18">
        <f>IF(NOT(ISNUMBER($A235)),NA(),IFERROR(1*INDEX(BBG_Data!$N$2:$N$4000,MATCH($A235,BBG_Data!$M$2:$M$4000,0)),NA()))</f>
        <v/>
      </c>
      <c r="AD235" s="18">
        <f>IF(NOT(ISNUMBER($A235)),NA(),IFERROR(1*INDEX(BBG_Data!$P$2:$P$4000,MATCH($A235,BBG_Data!$O$2:$O$4000,0)),NA()))</f>
        <v/>
      </c>
      <c r="AE235" s="18">
        <f>IF(NOT(ISNUMBER($A235)),NA(),IFERROR(1*INDEX(BBG_Data!$R$2:$R$4000,MATCH($A235,BBG_Data!$Q$2:$Q$4000,0)),NA()))</f>
        <v/>
      </c>
      <c r="AF235" s="20">
        <f>IF(AND(ISNUMBER(B235),ISNUMBER(AC235)),(B235-AC235)*100,NA())</f>
        <v/>
      </c>
      <c r="AG235" s="20">
        <f>IF(AND(ISNUMBER(AE235),ISNUMBER(AD235)),(AE235-AD235)*100,NA())</f>
        <v/>
      </c>
      <c r="AH235" s="19">
        <f>IF(NOT(ISNUMBER($A235)),NA(),IFERROR(INDEX(BBG_Data!$T$2:$T$4000,MATCH($A235,BBG_Data!$S$2:$S$4000,0))*Settings!$B$25,NA()))</f>
        <v/>
      </c>
      <c r="AI235" s="19">
        <f>IF(NOT(ISNUMBER($A235)),NA(),IFERROR(INDEX(BBG_Data!$V$2:$V$4000,MATCH($A235,BBG_Data!$U$2:$U$4000,0))*Settings!$B$25,NA()))</f>
        <v/>
      </c>
      <c r="AJ235" s="19">
        <f>IF(NOT(ISNUMBER($A235)),NA(),IFERROR(1*INDEX(BBG_Data!$X$2:$X$4000,MATCH($A235,BBG_Data!$W$2:$W$4000,0)),NA()))</f>
        <v/>
      </c>
      <c r="AK235" s="19">
        <f>IF(NOT(ISNUMBER($A235)),NA(),IFERROR(1*INDEX(BBG_Data!$Z$2:$Z$4000,MATCH($A235,BBG_Data!$Y$2:$Y$4000,0)),NA()))</f>
        <v/>
      </c>
    </row>
    <row r="236">
      <c r="A236" s="17">
        <f>IF(ISNUMBER(BBG_Data!A236),BBG_Data!A236,"")</f>
        <v/>
      </c>
      <c r="B236" s="18">
        <f>IF(AND(ISNUMBER($A236),ISNUMBER(BBG_Data!B236)),BBG_Data!B236,NA())</f>
        <v/>
      </c>
      <c r="C236" s="18">
        <f>IF(NOT(ISNUMBER($A236)),NA(),IFERROR(1*INDEX(BBG_Data!$D$2:$D$4000,MATCH($A236,BBG_Data!$C$2:$C$4000,0)),NA()))</f>
        <v/>
      </c>
      <c r="D236" s="19">
        <f>IF(NOT(ISNUMBER($A236)),NA(),IFERROR(1*INDEX(BBG_Data!$F$2:$F$4000,MATCH($A236,BBG_Data!$E$2:$E$4000,0)),NA()))</f>
        <v/>
      </c>
      <c r="E236" s="19">
        <f>IF(NOT(ISNUMBER($A236)),NA(),IFERROR(1*INDEX(BBG_Data!$H$2:$H$4000,MATCH($A236,BBG_Data!$G$2:$G$4000,0)),NA()))</f>
        <v/>
      </c>
      <c r="F236" s="20">
        <f>IF(AND(ISNUMBER(B236),ISNUMBER(B235)),IF(B236=B235,"",(B236-B235)*100),"")</f>
        <v/>
      </c>
      <c r="G236" s="20">
        <f>IF(AND(ISNUMBER(C236),ISNUMBER(C235)),IF(C236=C235,"",(C236-C235)*100),"")</f>
        <v/>
      </c>
      <c r="H236" s="20">
        <f>IF(OR(NOT(ISNUMBER($A236)),ROW()-2&lt;Settings!$B$11),NA(),IF(COUNT(OFFSET(F236,1-Settings!$B$11,0,Settings!$B$11,1))&lt;ROUNDUP(Settings!$B$11*Settings!$B$26,0),NA(),STDEV(OFFSET(F236,1-Settings!$B$11,0,Settings!$B$11,1))*SQRT(Settings!$B$13)))</f>
        <v/>
      </c>
      <c r="I236" s="20">
        <f>IF(OR(NOT(ISNUMBER($A236)),ROW()-2&lt;Settings!$B$12),NA(),IF(COUNT(OFFSET(F236,1-Settings!$B$12,0,Settings!$B$12,1))&lt;ROUNDUP(Settings!$B$12*Settings!$B$26,0),NA(),STDEV(OFFSET(F236,1-Settings!$B$12,0,Settings!$B$12,1))*SQRT(Settings!$B$13)))</f>
        <v/>
      </c>
      <c r="J236" s="20">
        <f>IF(OR(NOT(ISNUMBER($A236)),ROW()-2&lt;Settings!$B$11),NA(),IF(COUNT(OFFSET(G236,1-Settings!$B$11,0,Settings!$B$11,1))&lt;ROUNDUP(Settings!$B$11*Settings!$B$26,0),NA(),STDEV(OFFSET(G236,1-Settings!$B$11,0,Settings!$B$11,1))*SQRT(Settings!$B$13)))</f>
        <v/>
      </c>
      <c r="K236" s="20">
        <f>IF(OR(NOT(ISNUMBER($A236)),ROW()-2&lt;Settings!$B$12),NA(),IF(COUNT(OFFSET(G236,1-Settings!$B$12,0,Settings!$B$12,1))&lt;ROUNDUP(Settings!$B$12*Settings!$B$26,0),NA(),STDEV(OFFSET(G236,1-Settings!$B$12,0,Settings!$B$12,1))*SQRT(Settings!$B$13)))</f>
        <v/>
      </c>
      <c r="L236" s="20">
        <f>IF(AND(ISNUMBER(D236),ISNUMBER(H236)),D236-H236,NA())</f>
        <v/>
      </c>
      <c r="M236" s="20">
        <f>IF(AND(ISNUMBER(E236),ISNUMBER(K236)),E236-K236,NA())</f>
        <v/>
      </c>
      <c r="N236" s="20">
        <f>IF(NOT(ISNUMBER($A236)),NA(),IF(COUNT(OFFSET(G236,1,0,Settings!$B$12,1))&lt;ROUNDUP(Settings!$B$12*Settings!$B$26,0),NA(),STDEV(OFFSET(G236,1,0,Settings!$B$12,1))*SQRT(Settings!$B$13)))</f>
        <v/>
      </c>
      <c r="O236" s="20">
        <f>IF(AND(ISNUMBER(E236),ISNUMBER(N236)),E236-N236,NA())</f>
        <v/>
      </c>
      <c r="P236" s="19">
        <f>IF(NOT(ISNUMBER($A236)),NA(),IF(OR($A236&lt;MIN(KW_TP!$A$2:$A$2501),$A236&gt;MAX(KW_TP!$A$2:$A$2501)),NA(),INDEX(KW_TP!$C$2:$C$2501,MATCH($A236,KW_TP!$A$2:$A$2501,1))))</f>
        <v/>
      </c>
      <c r="Q236" s="18">
        <f>IF(NOT(ISNUMBER($A236)),NA(),IFERROR(1*INDEX(BBG_Data!$J$2:$J$4000,MATCH($A236,BBG_Data!$I$2:$I$4000,0)),NA()))</f>
        <v/>
      </c>
      <c r="R236" s="18">
        <f>IF(NOT(ISNUMBER($A236)),NA(),IFERROR(1*INDEX(BBG_Data!$L$2:$L$4000,MATCH($A236,BBG_Data!$K$2:$K$4000,0)),NA()))</f>
        <v/>
      </c>
      <c r="S236" s="20">
        <f>IF(AND(ISNUMBER(B236),ISNUMBER(Q236),ISNUMBER(R236)),(B236-Q236-R236)*100,NA())</f>
        <v/>
      </c>
      <c r="T236" s="20">
        <f>IF(AND(ISNUMBER(B236),Settings!$B$17&gt;0),IF(ISNUMBER(INDEX($B:$B,Settings!$B$17)),(B236-INDEX($B:$B,Settings!$B$17))*100,NA()),NA())</f>
        <v/>
      </c>
      <c r="U236" s="20">
        <f>IF(AND(ISNUMBER(Q236),Settings!$B$17&gt;0),IF(ISNUMBER(INDEX($Q:$Q,Settings!$B$17)),(Q236-INDEX($Q:$Q,Settings!$B$17))*100,NA()),NA())</f>
        <v/>
      </c>
      <c r="V236" s="20">
        <f>IF(AND(ISNUMBER(R236),Settings!$B$17&gt;0),IF(ISNUMBER(INDEX($R:$R,Settings!$B$17)),(R236-INDEX($R:$R,Settings!$B$17))*100,NA()),NA())</f>
        <v/>
      </c>
      <c r="W236" s="20">
        <f>IF(AND(ISNUMBER(P236),Settings!$B$17&gt;0),IF(ISNUMBER(INDEX($P:$P,Settings!$B$17)),P236-INDEX($P:$P,Settings!$B$17),NA()),NA())</f>
        <v/>
      </c>
      <c r="X236" s="19">
        <f>IF(NOT(ISNUMBER($A236)),NA(),IF(OR($A236&lt;MIN(DKW_10Y!$A$2:$A$2918),$A236&gt;MAX(DKW_10Y!$A$2:$A$2918),Settings!$B$16&lt;MIN(DKW_10Y!$A$2:$A$2918)),NA(),(INDEX(DKW_10Y!$B$2:$B$2918,MATCH($A236,DKW_10Y!$A$2:$A$2918,1))-INDEX(DKW_10Y!$B$2:$B$2918,MATCH(Settings!$B$16,DKW_10Y!$A$2:$A$2918,1)))*100))</f>
        <v/>
      </c>
      <c r="Y236" s="19">
        <f>IF(NOT(ISNUMBER($A236)),NA(),IF(OR($A236&lt;MIN(DKW_10Y!$A$2:$A$2918),$A236&gt;MAX(DKW_10Y!$A$2:$A$2918),Settings!$B$16&lt;MIN(DKW_10Y!$A$2:$A$2918)),NA(),(INDEX(DKW_10Y!$C$2:$C$2918,MATCH($A236,DKW_10Y!$A$2:$A$2918,1))-INDEX(DKW_10Y!$C$2:$C$2918,MATCH(Settings!$B$16,DKW_10Y!$A$2:$A$2918,1)))*100))</f>
        <v/>
      </c>
      <c r="Z236" s="19">
        <f>IF(NOT(ISNUMBER($A236)),NA(),IF(OR($A236&lt;MIN(DKW_10Y!$A$2:$A$2918),$A236&gt;MAX(DKW_10Y!$A$2:$A$2918),Settings!$B$16&lt;MIN(DKW_10Y!$A$2:$A$2918)),NA(),(INDEX(DKW_10Y!$D$2:$D$2918,MATCH($A236,DKW_10Y!$A$2:$A$2918,1))-INDEX(DKW_10Y!$D$2:$D$2918,MATCH(Settings!$B$16,DKW_10Y!$A$2:$A$2918,1)))*100))</f>
        <v/>
      </c>
      <c r="AA236" s="19">
        <f>IF(NOT(ISNUMBER($A236)),NA(),IF(OR($A236&lt;MIN(DKW_10Y!$A$2:$A$2918),$A236&gt;MAX(DKW_10Y!$A$2:$A$2918),Settings!$B$16&lt;MIN(DKW_10Y!$A$2:$A$2918)),NA(),(INDEX(DKW_10Y!$E$2:$E$2918,MATCH($A236,DKW_10Y!$A$2:$A$2918,1))-INDEX(DKW_10Y!$E$2:$E$2918,MATCH(Settings!$B$16,DKW_10Y!$A$2:$A$2918,1)))*100))</f>
        <v/>
      </c>
      <c r="AB236" s="19">
        <f>IF(NOT(ISNUMBER($A236)),NA(),IF(OR($A236&lt;MIN(DKW_10Y!$A$2:$A$2918),$A236&gt;MAX(DKW_10Y!$A$2:$A$2918),Settings!$B$16&lt;MIN(DKW_10Y!$A$2:$A$2918)),NA(),(INDEX(DKW_10Y!$H$2:$H$2918,MATCH($A236,DKW_10Y!$A$2:$A$2918,1))-INDEX(DKW_10Y!$H$2:$H$2918,MATCH(Settings!$B$16,DKW_10Y!$A$2:$A$2918,1)))*100))</f>
        <v/>
      </c>
      <c r="AC236" s="18">
        <f>IF(NOT(ISNUMBER($A236)),NA(),IFERROR(1*INDEX(BBG_Data!$N$2:$N$4000,MATCH($A236,BBG_Data!$M$2:$M$4000,0)),NA()))</f>
        <v/>
      </c>
      <c r="AD236" s="18">
        <f>IF(NOT(ISNUMBER($A236)),NA(),IFERROR(1*INDEX(BBG_Data!$P$2:$P$4000,MATCH($A236,BBG_Data!$O$2:$O$4000,0)),NA()))</f>
        <v/>
      </c>
      <c r="AE236" s="18">
        <f>IF(NOT(ISNUMBER($A236)),NA(),IFERROR(1*INDEX(BBG_Data!$R$2:$R$4000,MATCH($A236,BBG_Data!$Q$2:$Q$4000,0)),NA()))</f>
        <v/>
      </c>
      <c r="AF236" s="20">
        <f>IF(AND(ISNUMBER(B236),ISNUMBER(AC236)),(B236-AC236)*100,NA())</f>
        <v/>
      </c>
      <c r="AG236" s="20">
        <f>IF(AND(ISNUMBER(AE236),ISNUMBER(AD236)),(AE236-AD236)*100,NA())</f>
        <v/>
      </c>
      <c r="AH236" s="19">
        <f>IF(NOT(ISNUMBER($A236)),NA(),IFERROR(INDEX(BBG_Data!$T$2:$T$4000,MATCH($A236,BBG_Data!$S$2:$S$4000,0))*Settings!$B$25,NA()))</f>
        <v/>
      </c>
      <c r="AI236" s="19">
        <f>IF(NOT(ISNUMBER($A236)),NA(),IFERROR(INDEX(BBG_Data!$V$2:$V$4000,MATCH($A236,BBG_Data!$U$2:$U$4000,0))*Settings!$B$25,NA()))</f>
        <v/>
      </c>
      <c r="AJ236" s="19">
        <f>IF(NOT(ISNUMBER($A236)),NA(),IFERROR(1*INDEX(BBG_Data!$X$2:$X$4000,MATCH($A236,BBG_Data!$W$2:$W$4000,0)),NA()))</f>
        <v/>
      </c>
      <c r="AK236" s="19">
        <f>IF(NOT(ISNUMBER($A236)),NA(),IFERROR(1*INDEX(BBG_Data!$Z$2:$Z$4000,MATCH($A236,BBG_Data!$Y$2:$Y$4000,0)),NA()))</f>
        <v/>
      </c>
    </row>
    <row r="237">
      <c r="A237" s="17">
        <f>IF(ISNUMBER(BBG_Data!A237),BBG_Data!A237,"")</f>
        <v/>
      </c>
      <c r="B237" s="18">
        <f>IF(AND(ISNUMBER($A237),ISNUMBER(BBG_Data!B237)),BBG_Data!B237,NA())</f>
        <v/>
      </c>
      <c r="C237" s="18">
        <f>IF(NOT(ISNUMBER($A237)),NA(),IFERROR(1*INDEX(BBG_Data!$D$2:$D$4000,MATCH($A237,BBG_Data!$C$2:$C$4000,0)),NA()))</f>
        <v/>
      </c>
      <c r="D237" s="19">
        <f>IF(NOT(ISNUMBER($A237)),NA(),IFERROR(1*INDEX(BBG_Data!$F$2:$F$4000,MATCH($A237,BBG_Data!$E$2:$E$4000,0)),NA()))</f>
        <v/>
      </c>
      <c r="E237" s="19">
        <f>IF(NOT(ISNUMBER($A237)),NA(),IFERROR(1*INDEX(BBG_Data!$H$2:$H$4000,MATCH($A237,BBG_Data!$G$2:$G$4000,0)),NA()))</f>
        <v/>
      </c>
      <c r="F237" s="20">
        <f>IF(AND(ISNUMBER(B237),ISNUMBER(B236)),IF(B237=B236,"",(B237-B236)*100),"")</f>
        <v/>
      </c>
      <c r="G237" s="20">
        <f>IF(AND(ISNUMBER(C237),ISNUMBER(C236)),IF(C237=C236,"",(C237-C236)*100),"")</f>
        <v/>
      </c>
      <c r="H237" s="20">
        <f>IF(OR(NOT(ISNUMBER($A237)),ROW()-2&lt;Settings!$B$11),NA(),IF(COUNT(OFFSET(F237,1-Settings!$B$11,0,Settings!$B$11,1))&lt;ROUNDUP(Settings!$B$11*Settings!$B$26,0),NA(),STDEV(OFFSET(F237,1-Settings!$B$11,0,Settings!$B$11,1))*SQRT(Settings!$B$13)))</f>
        <v/>
      </c>
      <c r="I237" s="20">
        <f>IF(OR(NOT(ISNUMBER($A237)),ROW()-2&lt;Settings!$B$12),NA(),IF(COUNT(OFFSET(F237,1-Settings!$B$12,0,Settings!$B$12,1))&lt;ROUNDUP(Settings!$B$12*Settings!$B$26,0),NA(),STDEV(OFFSET(F237,1-Settings!$B$12,0,Settings!$B$12,1))*SQRT(Settings!$B$13)))</f>
        <v/>
      </c>
      <c r="J237" s="20">
        <f>IF(OR(NOT(ISNUMBER($A237)),ROW()-2&lt;Settings!$B$11),NA(),IF(COUNT(OFFSET(G237,1-Settings!$B$11,0,Settings!$B$11,1))&lt;ROUNDUP(Settings!$B$11*Settings!$B$26,0),NA(),STDEV(OFFSET(G237,1-Settings!$B$11,0,Settings!$B$11,1))*SQRT(Settings!$B$13)))</f>
        <v/>
      </c>
      <c r="K237" s="20">
        <f>IF(OR(NOT(ISNUMBER($A237)),ROW()-2&lt;Settings!$B$12),NA(),IF(COUNT(OFFSET(G237,1-Settings!$B$12,0,Settings!$B$12,1))&lt;ROUNDUP(Settings!$B$12*Settings!$B$26,0),NA(),STDEV(OFFSET(G237,1-Settings!$B$12,0,Settings!$B$12,1))*SQRT(Settings!$B$13)))</f>
        <v/>
      </c>
      <c r="L237" s="20">
        <f>IF(AND(ISNUMBER(D237),ISNUMBER(H237)),D237-H237,NA())</f>
        <v/>
      </c>
      <c r="M237" s="20">
        <f>IF(AND(ISNUMBER(E237),ISNUMBER(K237)),E237-K237,NA())</f>
        <v/>
      </c>
      <c r="N237" s="20">
        <f>IF(NOT(ISNUMBER($A237)),NA(),IF(COUNT(OFFSET(G237,1,0,Settings!$B$12,1))&lt;ROUNDUP(Settings!$B$12*Settings!$B$26,0),NA(),STDEV(OFFSET(G237,1,0,Settings!$B$12,1))*SQRT(Settings!$B$13)))</f>
        <v/>
      </c>
      <c r="O237" s="20">
        <f>IF(AND(ISNUMBER(E237),ISNUMBER(N237)),E237-N237,NA())</f>
        <v/>
      </c>
      <c r="P237" s="19">
        <f>IF(NOT(ISNUMBER($A237)),NA(),IF(OR($A237&lt;MIN(KW_TP!$A$2:$A$2501),$A237&gt;MAX(KW_TP!$A$2:$A$2501)),NA(),INDEX(KW_TP!$C$2:$C$2501,MATCH($A237,KW_TP!$A$2:$A$2501,1))))</f>
        <v/>
      </c>
      <c r="Q237" s="18">
        <f>IF(NOT(ISNUMBER($A237)),NA(),IFERROR(1*INDEX(BBG_Data!$J$2:$J$4000,MATCH($A237,BBG_Data!$I$2:$I$4000,0)),NA()))</f>
        <v/>
      </c>
      <c r="R237" s="18">
        <f>IF(NOT(ISNUMBER($A237)),NA(),IFERROR(1*INDEX(BBG_Data!$L$2:$L$4000,MATCH($A237,BBG_Data!$K$2:$K$4000,0)),NA()))</f>
        <v/>
      </c>
      <c r="S237" s="20">
        <f>IF(AND(ISNUMBER(B237),ISNUMBER(Q237),ISNUMBER(R237)),(B237-Q237-R237)*100,NA())</f>
        <v/>
      </c>
      <c r="T237" s="20">
        <f>IF(AND(ISNUMBER(B237),Settings!$B$17&gt;0),IF(ISNUMBER(INDEX($B:$B,Settings!$B$17)),(B237-INDEX($B:$B,Settings!$B$17))*100,NA()),NA())</f>
        <v/>
      </c>
      <c r="U237" s="20">
        <f>IF(AND(ISNUMBER(Q237),Settings!$B$17&gt;0),IF(ISNUMBER(INDEX($Q:$Q,Settings!$B$17)),(Q237-INDEX($Q:$Q,Settings!$B$17))*100,NA()),NA())</f>
        <v/>
      </c>
      <c r="V237" s="20">
        <f>IF(AND(ISNUMBER(R237),Settings!$B$17&gt;0),IF(ISNUMBER(INDEX($R:$R,Settings!$B$17)),(R237-INDEX($R:$R,Settings!$B$17))*100,NA()),NA())</f>
        <v/>
      </c>
      <c r="W237" s="20">
        <f>IF(AND(ISNUMBER(P237),Settings!$B$17&gt;0),IF(ISNUMBER(INDEX($P:$P,Settings!$B$17)),P237-INDEX($P:$P,Settings!$B$17),NA()),NA())</f>
        <v/>
      </c>
      <c r="X237" s="19">
        <f>IF(NOT(ISNUMBER($A237)),NA(),IF(OR($A237&lt;MIN(DKW_10Y!$A$2:$A$2918),$A237&gt;MAX(DKW_10Y!$A$2:$A$2918),Settings!$B$16&lt;MIN(DKW_10Y!$A$2:$A$2918)),NA(),(INDEX(DKW_10Y!$B$2:$B$2918,MATCH($A237,DKW_10Y!$A$2:$A$2918,1))-INDEX(DKW_10Y!$B$2:$B$2918,MATCH(Settings!$B$16,DKW_10Y!$A$2:$A$2918,1)))*100))</f>
        <v/>
      </c>
      <c r="Y237" s="19">
        <f>IF(NOT(ISNUMBER($A237)),NA(),IF(OR($A237&lt;MIN(DKW_10Y!$A$2:$A$2918),$A237&gt;MAX(DKW_10Y!$A$2:$A$2918),Settings!$B$16&lt;MIN(DKW_10Y!$A$2:$A$2918)),NA(),(INDEX(DKW_10Y!$C$2:$C$2918,MATCH($A237,DKW_10Y!$A$2:$A$2918,1))-INDEX(DKW_10Y!$C$2:$C$2918,MATCH(Settings!$B$16,DKW_10Y!$A$2:$A$2918,1)))*100))</f>
        <v/>
      </c>
      <c r="Z237" s="19">
        <f>IF(NOT(ISNUMBER($A237)),NA(),IF(OR($A237&lt;MIN(DKW_10Y!$A$2:$A$2918),$A237&gt;MAX(DKW_10Y!$A$2:$A$2918),Settings!$B$16&lt;MIN(DKW_10Y!$A$2:$A$2918)),NA(),(INDEX(DKW_10Y!$D$2:$D$2918,MATCH($A237,DKW_10Y!$A$2:$A$2918,1))-INDEX(DKW_10Y!$D$2:$D$2918,MATCH(Settings!$B$16,DKW_10Y!$A$2:$A$2918,1)))*100))</f>
        <v/>
      </c>
      <c r="AA237" s="19">
        <f>IF(NOT(ISNUMBER($A237)),NA(),IF(OR($A237&lt;MIN(DKW_10Y!$A$2:$A$2918),$A237&gt;MAX(DKW_10Y!$A$2:$A$2918),Settings!$B$16&lt;MIN(DKW_10Y!$A$2:$A$2918)),NA(),(INDEX(DKW_10Y!$E$2:$E$2918,MATCH($A237,DKW_10Y!$A$2:$A$2918,1))-INDEX(DKW_10Y!$E$2:$E$2918,MATCH(Settings!$B$16,DKW_10Y!$A$2:$A$2918,1)))*100))</f>
        <v/>
      </c>
      <c r="AB237" s="19">
        <f>IF(NOT(ISNUMBER($A237)),NA(),IF(OR($A237&lt;MIN(DKW_10Y!$A$2:$A$2918),$A237&gt;MAX(DKW_10Y!$A$2:$A$2918),Settings!$B$16&lt;MIN(DKW_10Y!$A$2:$A$2918)),NA(),(INDEX(DKW_10Y!$H$2:$H$2918,MATCH($A237,DKW_10Y!$A$2:$A$2918,1))-INDEX(DKW_10Y!$H$2:$H$2918,MATCH(Settings!$B$16,DKW_10Y!$A$2:$A$2918,1)))*100))</f>
        <v/>
      </c>
      <c r="AC237" s="18">
        <f>IF(NOT(ISNUMBER($A237)),NA(),IFERROR(1*INDEX(BBG_Data!$N$2:$N$4000,MATCH($A237,BBG_Data!$M$2:$M$4000,0)),NA()))</f>
        <v/>
      </c>
      <c r="AD237" s="18">
        <f>IF(NOT(ISNUMBER($A237)),NA(),IFERROR(1*INDEX(BBG_Data!$P$2:$P$4000,MATCH($A237,BBG_Data!$O$2:$O$4000,0)),NA()))</f>
        <v/>
      </c>
      <c r="AE237" s="18">
        <f>IF(NOT(ISNUMBER($A237)),NA(),IFERROR(1*INDEX(BBG_Data!$R$2:$R$4000,MATCH($A237,BBG_Data!$Q$2:$Q$4000,0)),NA()))</f>
        <v/>
      </c>
      <c r="AF237" s="20">
        <f>IF(AND(ISNUMBER(B237),ISNUMBER(AC237)),(B237-AC237)*100,NA())</f>
        <v/>
      </c>
      <c r="AG237" s="20">
        <f>IF(AND(ISNUMBER(AE237),ISNUMBER(AD237)),(AE237-AD237)*100,NA())</f>
        <v/>
      </c>
      <c r="AH237" s="19">
        <f>IF(NOT(ISNUMBER($A237)),NA(),IFERROR(INDEX(BBG_Data!$T$2:$T$4000,MATCH($A237,BBG_Data!$S$2:$S$4000,0))*Settings!$B$25,NA()))</f>
        <v/>
      </c>
      <c r="AI237" s="19">
        <f>IF(NOT(ISNUMBER($A237)),NA(),IFERROR(INDEX(BBG_Data!$V$2:$V$4000,MATCH($A237,BBG_Data!$U$2:$U$4000,0))*Settings!$B$25,NA()))</f>
        <v/>
      </c>
      <c r="AJ237" s="19">
        <f>IF(NOT(ISNUMBER($A237)),NA(),IFERROR(1*INDEX(BBG_Data!$X$2:$X$4000,MATCH($A237,BBG_Data!$W$2:$W$4000,0)),NA()))</f>
        <v/>
      </c>
      <c r="AK237" s="19">
        <f>IF(NOT(ISNUMBER($A237)),NA(),IFERROR(1*INDEX(BBG_Data!$Z$2:$Z$4000,MATCH($A237,BBG_Data!$Y$2:$Y$4000,0)),NA()))</f>
        <v/>
      </c>
    </row>
    <row r="238">
      <c r="A238" s="17">
        <f>IF(ISNUMBER(BBG_Data!A238),BBG_Data!A238,"")</f>
        <v/>
      </c>
      <c r="B238" s="18">
        <f>IF(AND(ISNUMBER($A238),ISNUMBER(BBG_Data!B238)),BBG_Data!B238,NA())</f>
        <v/>
      </c>
      <c r="C238" s="18">
        <f>IF(NOT(ISNUMBER($A238)),NA(),IFERROR(1*INDEX(BBG_Data!$D$2:$D$4000,MATCH($A238,BBG_Data!$C$2:$C$4000,0)),NA()))</f>
        <v/>
      </c>
      <c r="D238" s="19">
        <f>IF(NOT(ISNUMBER($A238)),NA(),IFERROR(1*INDEX(BBG_Data!$F$2:$F$4000,MATCH($A238,BBG_Data!$E$2:$E$4000,0)),NA()))</f>
        <v/>
      </c>
      <c r="E238" s="19">
        <f>IF(NOT(ISNUMBER($A238)),NA(),IFERROR(1*INDEX(BBG_Data!$H$2:$H$4000,MATCH($A238,BBG_Data!$G$2:$G$4000,0)),NA()))</f>
        <v/>
      </c>
      <c r="F238" s="20">
        <f>IF(AND(ISNUMBER(B238),ISNUMBER(B237)),IF(B238=B237,"",(B238-B237)*100),"")</f>
        <v/>
      </c>
      <c r="G238" s="20">
        <f>IF(AND(ISNUMBER(C238),ISNUMBER(C237)),IF(C238=C237,"",(C238-C237)*100),"")</f>
        <v/>
      </c>
      <c r="H238" s="20">
        <f>IF(OR(NOT(ISNUMBER($A238)),ROW()-2&lt;Settings!$B$11),NA(),IF(COUNT(OFFSET(F238,1-Settings!$B$11,0,Settings!$B$11,1))&lt;ROUNDUP(Settings!$B$11*Settings!$B$26,0),NA(),STDEV(OFFSET(F238,1-Settings!$B$11,0,Settings!$B$11,1))*SQRT(Settings!$B$13)))</f>
        <v/>
      </c>
      <c r="I238" s="20">
        <f>IF(OR(NOT(ISNUMBER($A238)),ROW()-2&lt;Settings!$B$12),NA(),IF(COUNT(OFFSET(F238,1-Settings!$B$12,0,Settings!$B$12,1))&lt;ROUNDUP(Settings!$B$12*Settings!$B$26,0),NA(),STDEV(OFFSET(F238,1-Settings!$B$12,0,Settings!$B$12,1))*SQRT(Settings!$B$13)))</f>
        <v/>
      </c>
      <c r="J238" s="20">
        <f>IF(OR(NOT(ISNUMBER($A238)),ROW()-2&lt;Settings!$B$11),NA(),IF(COUNT(OFFSET(G238,1-Settings!$B$11,0,Settings!$B$11,1))&lt;ROUNDUP(Settings!$B$11*Settings!$B$26,0),NA(),STDEV(OFFSET(G238,1-Settings!$B$11,0,Settings!$B$11,1))*SQRT(Settings!$B$13)))</f>
        <v/>
      </c>
      <c r="K238" s="20">
        <f>IF(OR(NOT(ISNUMBER($A238)),ROW()-2&lt;Settings!$B$12),NA(),IF(COUNT(OFFSET(G238,1-Settings!$B$12,0,Settings!$B$12,1))&lt;ROUNDUP(Settings!$B$12*Settings!$B$26,0),NA(),STDEV(OFFSET(G238,1-Settings!$B$12,0,Settings!$B$12,1))*SQRT(Settings!$B$13)))</f>
        <v/>
      </c>
      <c r="L238" s="20">
        <f>IF(AND(ISNUMBER(D238),ISNUMBER(H238)),D238-H238,NA())</f>
        <v/>
      </c>
      <c r="M238" s="20">
        <f>IF(AND(ISNUMBER(E238),ISNUMBER(K238)),E238-K238,NA())</f>
        <v/>
      </c>
      <c r="N238" s="20">
        <f>IF(NOT(ISNUMBER($A238)),NA(),IF(COUNT(OFFSET(G238,1,0,Settings!$B$12,1))&lt;ROUNDUP(Settings!$B$12*Settings!$B$26,0),NA(),STDEV(OFFSET(G238,1,0,Settings!$B$12,1))*SQRT(Settings!$B$13)))</f>
        <v/>
      </c>
      <c r="O238" s="20">
        <f>IF(AND(ISNUMBER(E238),ISNUMBER(N238)),E238-N238,NA())</f>
        <v/>
      </c>
      <c r="P238" s="19">
        <f>IF(NOT(ISNUMBER($A238)),NA(),IF(OR($A238&lt;MIN(KW_TP!$A$2:$A$2501),$A238&gt;MAX(KW_TP!$A$2:$A$2501)),NA(),INDEX(KW_TP!$C$2:$C$2501,MATCH($A238,KW_TP!$A$2:$A$2501,1))))</f>
        <v/>
      </c>
      <c r="Q238" s="18">
        <f>IF(NOT(ISNUMBER($A238)),NA(),IFERROR(1*INDEX(BBG_Data!$J$2:$J$4000,MATCH($A238,BBG_Data!$I$2:$I$4000,0)),NA()))</f>
        <v/>
      </c>
      <c r="R238" s="18">
        <f>IF(NOT(ISNUMBER($A238)),NA(),IFERROR(1*INDEX(BBG_Data!$L$2:$L$4000,MATCH($A238,BBG_Data!$K$2:$K$4000,0)),NA()))</f>
        <v/>
      </c>
      <c r="S238" s="20">
        <f>IF(AND(ISNUMBER(B238),ISNUMBER(Q238),ISNUMBER(R238)),(B238-Q238-R238)*100,NA())</f>
        <v/>
      </c>
      <c r="T238" s="20">
        <f>IF(AND(ISNUMBER(B238),Settings!$B$17&gt;0),IF(ISNUMBER(INDEX($B:$B,Settings!$B$17)),(B238-INDEX($B:$B,Settings!$B$17))*100,NA()),NA())</f>
        <v/>
      </c>
      <c r="U238" s="20">
        <f>IF(AND(ISNUMBER(Q238),Settings!$B$17&gt;0),IF(ISNUMBER(INDEX($Q:$Q,Settings!$B$17)),(Q238-INDEX($Q:$Q,Settings!$B$17))*100,NA()),NA())</f>
        <v/>
      </c>
      <c r="V238" s="20">
        <f>IF(AND(ISNUMBER(R238),Settings!$B$17&gt;0),IF(ISNUMBER(INDEX($R:$R,Settings!$B$17)),(R238-INDEX($R:$R,Settings!$B$17))*100,NA()),NA())</f>
        <v/>
      </c>
      <c r="W238" s="20">
        <f>IF(AND(ISNUMBER(P238),Settings!$B$17&gt;0),IF(ISNUMBER(INDEX($P:$P,Settings!$B$17)),P238-INDEX($P:$P,Settings!$B$17),NA()),NA())</f>
        <v/>
      </c>
      <c r="X238" s="19">
        <f>IF(NOT(ISNUMBER($A238)),NA(),IF(OR($A238&lt;MIN(DKW_10Y!$A$2:$A$2918),$A238&gt;MAX(DKW_10Y!$A$2:$A$2918),Settings!$B$16&lt;MIN(DKW_10Y!$A$2:$A$2918)),NA(),(INDEX(DKW_10Y!$B$2:$B$2918,MATCH($A238,DKW_10Y!$A$2:$A$2918,1))-INDEX(DKW_10Y!$B$2:$B$2918,MATCH(Settings!$B$16,DKW_10Y!$A$2:$A$2918,1)))*100))</f>
        <v/>
      </c>
      <c r="Y238" s="19">
        <f>IF(NOT(ISNUMBER($A238)),NA(),IF(OR($A238&lt;MIN(DKW_10Y!$A$2:$A$2918),$A238&gt;MAX(DKW_10Y!$A$2:$A$2918),Settings!$B$16&lt;MIN(DKW_10Y!$A$2:$A$2918)),NA(),(INDEX(DKW_10Y!$C$2:$C$2918,MATCH($A238,DKW_10Y!$A$2:$A$2918,1))-INDEX(DKW_10Y!$C$2:$C$2918,MATCH(Settings!$B$16,DKW_10Y!$A$2:$A$2918,1)))*100))</f>
        <v/>
      </c>
      <c r="Z238" s="19">
        <f>IF(NOT(ISNUMBER($A238)),NA(),IF(OR($A238&lt;MIN(DKW_10Y!$A$2:$A$2918),$A238&gt;MAX(DKW_10Y!$A$2:$A$2918),Settings!$B$16&lt;MIN(DKW_10Y!$A$2:$A$2918)),NA(),(INDEX(DKW_10Y!$D$2:$D$2918,MATCH($A238,DKW_10Y!$A$2:$A$2918,1))-INDEX(DKW_10Y!$D$2:$D$2918,MATCH(Settings!$B$16,DKW_10Y!$A$2:$A$2918,1)))*100))</f>
        <v/>
      </c>
      <c r="AA238" s="19">
        <f>IF(NOT(ISNUMBER($A238)),NA(),IF(OR($A238&lt;MIN(DKW_10Y!$A$2:$A$2918),$A238&gt;MAX(DKW_10Y!$A$2:$A$2918),Settings!$B$16&lt;MIN(DKW_10Y!$A$2:$A$2918)),NA(),(INDEX(DKW_10Y!$E$2:$E$2918,MATCH($A238,DKW_10Y!$A$2:$A$2918,1))-INDEX(DKW_10Y!$E$2:$E$2918,MATCH(Settings!$B$16,DKW_10Y!$A$2:$A$2918,1)))*100))</f>
        <v/>
      </c>
      <c r="AB238" s="19">
        <f>IF(NOT(ISNUMBER($A238)),NA(),IF(OR($A238&lt;MIN(DKW_10Y!$A$2:$A$2918),$A238&gt;MAX(DKW_10Y!$A$2:$A$2918),Settings!$B$16&lt;MIN(DKW_10Y!$A$2:$A$2918)),NA(),(INDEX(DKW_10Y!$H$2:$H$2918,MATCH($A238,DKW_10Y!$A$2:$A$2918,1))-INDEX(DKW_10Y!$H$2:$H$2918,MATCH(Settings!$B$16,DKW_10Y!$A$2:$A$2918,1)))*100))</f>
        <v/>
      </c>
      <c r="AC238" s="18">
        <f>IF(NOT(ISNUMBER($A238)),NA(),IFERROR(1*INDEX(BBG_Data!$N$2:$N$4000,MATCH($A238,BBG_Data!$M$2:$M$4000,0)),NA()))</f>
        <v/>
      </c>
      <c r="AD238" s="18">
        <f>IF(NOT(ISNUMBER($A238)),NA(),IFERROR(1*INDEX(BBG_Data!$P$2:$P$4000,MATCH($A238,BBG_Data!$O$2:$O$4000,0)),NA()))</f>
        <v/>
      </c>
      <c r="AE238" s="18">
        <f>IF(NOT(ISNUMBER($A238)),NA(),IFERROR(1*INDEX(BBG_Data!$R$2:$R$4000,MATCH($A238,BBG_Data!$Q$2:$Q$4000,0)),NA()))</f>
        <v/>
      </c>
      <c r="AF238" s="20">
        <f>IF(AND(ISNUMBER(B238),ISNUMBER(AC238)),(B238-AC238)*100,NA())</f>
        <v/>
      </c>
      <c r="AG238" s="20">
        <f>IF(AND(ISNUMBER(AE238),ISNUMBER(AD238)),(AE238-AD238)*100,NA())</f>
        <v/>
      </c>
      <c r="AH238" s="19">
        <f>IF(NOT(ISNUMBER($A238)),NA(),IFERROR(INDEX(BBG_Data!$T$2:$T$4000,MATCH($A238,BBG_Data!$S$2:$S$4000,0))*Settings!$B$25,NA()))</f>
        <v/>
      </c>
      <c r="AI238" s="19">
        <f>IF(NOT(ISNUMBER($A238)),NA(),IFERROR(INDEX(BBG_Data!$V$2:$V$4000,MATCH($A238,BBG_Data!$U$2:$U$4000,0))*Settings!$B$25,NA()))</f>
        <v/>
      </c>
      <c r="AJ238" s="19">
        <f>IF(NOT(ISNUMBER($A238)),NA(),IFERROR(1*INDEX(BBG_Data!$X$2:$X$4000,MATCH($A238,BBG_Data!$W$2:$W$4000,0)),NA()))</f>
        <v/>
      </c>
      <c r="AK238" s="19">
        <f>IF(NOT(ISNUMBER($A238)),NA(),IFERROR(1*INDEX(BBG_Data!$Z$2:$Z$4000,MATCH($A238,BBG_Data!$Y$2:$Y$4000,0)),NA()))</f>
        <v/>
      </c>
    </row>
    <row r="239">
      <c r="A239" s="17">
        <f>IF(ISNUMBER(BBG_Data!A239),BBG_Data!A239,"")</f>
        <v/>
      </c>
      <c r="B239" s="18">
        <f>IF(AND(ISNUMBER($A239),ISNUMBER(BBG_Data!B239)),BBG_Data!B239,NA())</f>
        <v/>
      </c>
      <c r="C239" s="18">
        <f>IF(NOT(ISNUMBER($A239)),NA(),IFERROR(1*INDEX(BBG_Data!$D$2:$D$4000,MATCH($A239,BBG_Data!$C$2:$C$4000,0)),NA()))</f>
        <v/>
      </c>
      <c r="D239" s="19">
        <f>IF(NOT(ISNUMBER($A239)),NA(),IFERROR(1*INDEX(BBG_Data!$F$2:$F$4000,MATCH($A239,BBG_Data!$E$2:$E$4000,0)),NA()))</f>
        <v/>
      </c>
      <c r="E239" s="19">
        <f>IF(NOT(ISNUMBER($A239)),NA(),IFERROR(1*INDEX(BBG_Data!$H$2:$H$4000,MATCH($A239,BBG_Data!$G$2:$G$4000,0)),NA()))</f>
        <v/>
      </c>
      <c r="F239" s="20">
        <f>IF(AND(ISNUMBER(B239),ISNUMBER(B238)),IF(B239=B238,"",(B239-B238)*100),"")</f>
        <v/>
      </c>
      <c r="G239" s="20">
        <f>IF(AND(ISNUMBER(C239),ISNUMBER(C238)),IF(C239=C238,"",(C239-C238)*100),"")</f>
        <v/>
      </c>
      <c r="H239" s="20">
        <f>IF(OR(NOT(ISNUMBER($A239)),ROW()-2&lt;Settings!$B$11),NA(),IF(COUNT(OFFSET(F239,1-Settings!$B$11,0,Settings!$B$11,1))&lt;ROUNDUP(Settings!$B$11*Settings!$B$26,0),NA(),STDEV(OFFSET(F239,1-Settings!$B$11,0,Settings!$B$11,1))*SQRT(Settings!$B$13)))</f>
        <v/>
      </c>
      <c r="I239" s="20">
        <f>IF(OR(NOT(ISNUMBER($A239)),ROW()-2&lt;Settings!$B$12),NA(),IF(COUNT(OFFSET(F239,1-Settings!$B$12,0,Settings!$B$12,1))&lt;ROUNDUP(Settings!$B$12*Settings!$B$26,0),NA(),STDEV(OFFSET(F239,1-Settings!$B$12,0,Settings!$B$12,1))*SQRT(Settings!$B$13)))</f>
        <v/>
      </c>
      <c r="J239" s="20">
        <f>IF(OR(NOT(ISNUMBER($A239)),ROW()-2&lt;Settings!$B$11),NA(),IF(COUNT(OFFSET(G239,1-Settings!$B$11,0,Settings!$B$11,1))&lt;ROUNDUP(Settings!$B$11*Settings!$B$26,0),NA(),STDEV(OFFSET(G239,1-Settings!$B$11,0,Settings!$B$11,1))*SQRT(Settings!$B$13)))</f>
        <v/>
      </c>
      <c r="K239" s="20">
        <f>IF(OR(NOT(ISNUMBER($A239)),ROW()-2&lt;Settings!$B$12),NA(),IF(COUNT(OFFSET(G239,1-Settings!$B$12,0,Settings!$B$12,1))&lt;ROUNDUP(Settings!$B$12*Settings!$B$26,0),NA(),STDEV(OFFSET(G239,1-Settings!$B$12,0,Settings!$B$12,1))*SQRT(Settings!$B$13)))</f>
        <v/>
      </c>
      <c r="L239" s="20">
        <f>IF(AND(ISNUMBER(D239),ISNUMBER(H239)),D239-H239,NA())</f>
        <v/>
      </c>
      <c r="M239" s="20">
        <f>IF(AND(ISNUMBER(E239),ISNUMBER(K239)),E239-K239,NA())</f>
        <v/>
      </c>
      <c r="N239" s="20">
        <f>IF(NOT(ISNUMBER($A239)),NA(),IF(COUNT(OFFSET(G239,1,0,Settings!$B$12,1))&lt;ROUNDUP(Settings!$B$12*Settings!$B$26,0),NA(),STDEV(OFFSET(G239,1,0,Settings!$B$12,1))*SQRT(Settings!$B$13)))</f>
        <v/>
      </c>
      <c r="O239" s="20">
        <f>IF(AND(ISNUMBER(E239),ISNUMBER(N239)),E239-N239,NA())</f>
        <v/>
      </c>
      <c r="P239" s="19">
        <f>IF(NOT(ISNUMBER($A239)),NA(),IF(OR($A239&lt;MIN(KW_TP!$A$2:$A$2501),$A239&gt;MAX(KW_TP!$A$2:$A$2501)),NA(),INDEX(KW_TP!$C$2:$C$2501,MATCH($A239,KW_TP!$A$2:$A$2501,1))))</f>
        <v/>
      </c>
      <c r="Q239" s="18">
        <f>IF(NOT(ISNUMBER($A239)),NA(),IFERROR(1*INDEX(BBG_Data!$J$2:$J$4000,MATCH($A239,BBG_Data!$I$2:$I$4000,0)),NA()))</f>
        <v/>
      </c>
      <c r="R239" s="18">
        <f>IF(NOT(ISNUMBER($A239)),NA(),IFERROR(1*INDEX(BBG_Data!$L$2:$L$4000,MATCH($A239,BBG_Data!$K$2:$K$4000,0)),NA()))</f>
        <v/>
      </c>
      <c r="S239" s="20">
        <f>IF(AND(ISNUMBER(B239),ISNUMBER(Q239),ISNUMBER(R239)),(B239-Q239-R239)*100,NA())</f>
        <v/>
      </c>
      <c r="T239" s="20">
        <f>IF(AND(ISNUMBER(B239),Settings!$B$17&gt;0),IF(ISNUMBER(INDEX($B:$B,Settings!$B$17)),(B239-INDEX($B:$B,Settings!$B$17))*100,NA()),NA())</f>
        <v/>
      </c>
      <c r="U239" s="20">
        <f>IF(AND(ISNUMBER(Q239),Settings!$B$17&gt;0),IF(ISNUMBER(INDEX($Q:$Q,Settings!$B$17)),(Q239-INDEX($Q:$Q,Settings!$B$17))*100,NA()),NA())</f>
        <v/>
      </c>
      <c r="V239" s="20">
        <f>IF(AND(ISNUMBER(R239),Settings!$B$17&gt;0),IF(ISNUMBER(INDEX($R:$R,Settings!$B$17)),(R239-INDEX($R:$R,Settings!$B$17))*100,NA()),NA())</f>
        <v/>
      </c>
      <c r="W239" s="20">
        <f>IF(AND(ISNUMBER(P239),Settings!$B$17&gt;0),IF(ISNUMBER(INDEX($P:$P,Settings!$B$17)),P239-INDEX($P:$P,Settings!$B$17),NA()),NA())</f>
        <v/>
      </c>
      <c r="X239" s="19">
        <f>IF(NOT(ISNUMBER($A239)),NA(),IF(OR($A239&lt;MIN(DKW_10Y!$A$2:$A$2918),$A239&gt;MAX(DKW_10Y!$A$2:$A$2918),Settings!$B$16&lt;MIN(DKW_10Y!$A$2:$A$2918)),NA(),(INDEX(DKW_10Y!$B$2:$B$2918,MATCH($A239,DKW_10Y!$A$2:$A$2918,1))-INDEX(DKW_10Y!$B$2:$B$2918,MATCH(Settings!$B$16,DKW_10Y!$A$2:$A$2918,1)))*100))</f>
        <v/>
      </c>
      <c r="Y239" s="19">
        <f>IF(NOT(ISNUMBER($A239)),NA(),IF(OR($A239&lt;MIN(DKW_10Y!$A$2:$A$2918),$A239&gt;MAX(DKW_10Y!$A$2:$A$2918),Settings!$B$16&lt;MIN(DKW_10Y!$A$2:$A$2918)),NA(),(INDEX(DKW_10Y!$C$2:$C$2918,MATCH($A239,DKW_10Y!$A$2:$A$2918,1))-INDEX(DKW_10Y!$C$2:$C$2918,MATCH(Settings!$B$16,DKW_10Y!$A$2:$A$2918,1)))*100))</f>
        <v/>
      </c>
      <c r="Z239" s="19">
        <f>IF(NOT(ISNUMBER($A239)),NA(),IF(OR($A239&lt;MIN(DKW_10Y!$A$2:$A$2918),$A239&gt;MAX(DKW_10Y!$A$2:$A$2918),Settings!$B$16&lt;MIN(DKW_10Y!$A$2:$A$2918)),NA(),(INDEX(DKW_10Y!$D$2:$D$2918,MATCH($A239,DKW_10Y!$A$2:$A$2918,1))-INDEX(DKW_10Y!$D$2:$D$2918,MATCH(Settings!$B$16,DKW_10Y!$A$2:$A$2918,1)))*100))</f>
        <v/>
      </c>
      <c r="AA239" s="19">
        <f>IF(NOT(ISNUMBER($A239)),NA(),IF(OR($A239&lt;MIN(DKW_10Y!$A$2:$A$2918),$A239&gt;MAX(DKW_10Y!$A$2:$A$2918),Settings!$B$16&lt;MIN(DKW_10Y!$A$2:$A$2918)),NA(),(INDEX(DKW_10Y!$E$2:$E$2918,MATCH($A239,DKW_10Y!$A$2:$A$2918,1))-INDEX(DKW_10Y!$E$2:$E$2918,MATCH(Settings!$B$16,DKW_10Y!$A$2:$A$2918,1)))*100))</f>
        <v/>
      </c>
      <c r="AB239" s="19">
        <f>IF(NOT(ISNUMBER($A239)),NA(),IF(OR($A239&lt;MIN(DKW_10Y!$A$2:$A$2918),$A239&gt;MAX(DKW_10Y!$A$2:$A$2918),Settings!$B$16&lt;MIN(DKW_10Y!$A$2:$A$2918)),NA(),(INDEX(DKW_10Y!$H$2:$H$2918,MATCH($A239,DKW_10Y!$A$2:$A$2918,1))-INDEX(DKW_10Y!$H$2:$H$2918,MATCH(Settings!$B$16,DKW_10Y!$A$2:$A$2918,1)))*100))</f>
        <v/>
      </c>
      <c r="AC239" s="18">
        <f>IF(NOT(ISNUMBER($A239)),NA(),IFERROR(1*INDEX(BBG_Data!$N$2:$N$4000,MATCH($A239,BBG_Data!$M$2:$M$4000,0)),NA()))</f>
        <v/>
      </c>
      <c r="AD239" s="18">
        <f>IF(NOT(ISNUMBER($A239)),NA(),IFERROR(1*INDEX(BBG_Data!$P$2:$P$4000,MATCH($A239,BBG_Data!$O$2:$O$4000,0)),NA()))</f>
        <v/>
      </c>
      <c r="AE239" s="18">
        <f>IF(NOT(ISNUMBER($A239)),NA(),IFERROR(1*INDEX(BBG_Data!$R$2:$R$4000,MATCH($A239,BBG_Data!$Q$2:$Q$4000,0)),NA()))</f>
        <v/>
      </c>
      <c r="AF239" s="20">
        <f>IF(AND(ISNUMBER(B239),ISNUMBER(AC239)),(B239-AC239)*100,NA())</f>
        <v/>
      </c>
      <c r="AG239" s="20">
        <f>IF(AND(ISNUMBER(AE239),ISNUMBER(AD239)),(AE239-AD239)*100,NA())</f>
        <v/>
      </c>
      <c r="AH239" s="19">
        <f>IF(NOT(ISNUMBER($A239)),NA(),IFERROR(INDEX(BBG_Data!$T$2:$T$4000,MATCH($A239,BBG_Data!$S$2:$S$4000,0))*Settings!$B$25,NA()))</f>
        <v/>
      </c>
      <c r="AI239" s="19">
        <f>IF(NOT(ISNUMBER($A239)),NA(),IFERROR(INDEX(BBG_Data!$V$2:$V$4000,MATCH($A239,BBG_Data!$U$2:$U$4000,0))*Settings!$B$25,NA()))</f>
        <v/>
      </c>
      <c r="AJ239" s="19">
        <f>IF(NOT(ISNUMBER($A239)),NA(),IFERROR(1*INDEX(BBG_Data!$X$2:$X$4000,MATCH($A239,BBG_Data!$W$2:$W$4000,0)),NA()))</f>
        <v/>
      </c>
      <c r="AK239" s="19">
        <f>IF(NOT(ISNUMBER($A239)),NA(),IFERROR(1*INDEX(BBG_Data!$Z$2:$Z$4000,MATCH($A239,BBG_Data!$Y$2:$Y$4000,0)),NA()))</f>
        <v/>
      </c>
    </row>
    <row r="240">
      <c r="A240" s="17">
        <f>IF(ISNUMBER(BBG_Data!A240),BBG_Data!A240,"")</f>
        <v/>
      </c>
      <c r="B240" s="18">
        <f>IF(AND(ISNUMBER($A240),ISNUMBER(BBG_Data!B240)),BBG_Data!B240,NA())</f>
        <v/>
      </c>
      <c r="C240" s="18">
        <f>IF(NOT(ISNUMBER($A240)),NA(),IFERROR(1*INDEX(BBG_Data!$D$2:$D$4000,MATCH($A240,BBG_Data!$C$2:$C$4000,0)),NA()))</f>
        <v/>
      </c>
      <c r="D240" s="19">
        <f>IF(NOT(ISNUMBER($A240)),NA(),IFERROR(1*INDEX(BBG_Data!$F$2:$F$4000,MATCH($A240,BBG_Data!$E$2:$E$4000,0)),NA()))</f>
        <v/>
      </c>
      <c r="E240" s="19">
        <f>IF(NOT(ISNUMBER($A240)),NA(),IFERROR(1*INDEX(BBG_Data!$H$2:$H$4000,MATCH($A240,BBG_Data!$G$2:$G$4000,0)),NA()))</f>
        <v/>
      </c>
      <c r="F240" s="20">
        <f>IF(AND(ISNUMBER(B240),ISNUMBER(B239)),IF(B240=B239,"",(B240-B239)*100),"")</f>
        <v/>
      </c>
      <c r="G240" s="20">
        <f>IF(AND(ISNUMBER(C240),ISNUMBER(C239)),IF(C240=C239,"",(C240-C239)*100),"")</f>
        <v/>
      </c>
      <c r="H240" s="20">
        <f>IF(OR(NOT(ISNUMBER($A240)),ROW()-2&lt;Settings!$B$11),NA(),IF(COUNT(OFFSET(F240,1-Settings!$B$11,0,Settings!$B$11,1))&lt;ROUNDUP(Settings!$B$11*Settings!$B$26,0),NA(),STDEV(OFFSET(F240,1-Settings!$B$11,0,Settings!$B$11,1))*SQRT(Settings!$B$13)))</f>
        <v/>
      </c>
      <c r="I240" s="20">
        <f>IF(OR(NOT(ISNUMBER($A240)),ROW()-2&lt;Settings!$B$12),NA(),IF(COUNT(OFFSET(F240,1-Settings!$B$12,0,Settings!$B$12,1))&lt;ROUNDUP(Settings!$B$12*Settings!$B$26,0),NA(),STDEV(OFFSET(F240,1-Settings!$B$12,0,Settings!$B$12,1))*SQRT(Settings!$B$13)))</f>
        <v/>
      </c>
      <c r="J240" s="20">
        <f>IF(OR(NOT(ISNUMBER($A240)),ROW()-2&lt;Settings!$B$11),NA(),IF(COUNT(OFFSET(G240,1-Settings!$B$11,0,Settings!$B$11,1))&lt;ROUNDUP(Settings!$B$11*Settings!$B$26,0),NA(),STDEV(OFFSET(G240,1-Settings!$B$11,0,Settings!$B$11,1))*SQRT(Settings!$B$13)))</f>
        <v/>
      </c>
      <c r="K240" s="20">
        <f>IF(OR(NOT(ISNUMBER($A240)),ROW()-2&lt;Settings!$B$12),NA(),IF(COUNT(OFFSET(G240,1-Settings!$B$12,0,Settings!$B$12,1))&lt;ROUNDUP(Settings!$B$12*Settings!$B$26,0),NA(),STDEV(OFFSET(G240,1-Settings!$B$12,0,Settings!$B$12,1))*SQRT(Settings!$B$13)))</f>
        <v/>
      </c>
      <c r="L240" s="20">
        <f>IF(AND(ISNUMBER(D240),ISNUMBER(H240)),D240-H240,NA())</f>
        <v/>
      </c>
      <c r="M240" s="20">
        <f>IF(AND(ISNUMBER(E240),ISNUMBER(K240)),E240-K240,NA())</f>
        <v/>
      </c>
      <c r="N240" s="20">
        <f>IF(NOT(ISNUMBER($A240)),NA(),IF(COUNT(OFFSET(G240,1,0,Settings!$B$12,1))&lt;ROUNDUP(Settings!$B$12*Settings!$B$26,0),NA(),STDEV(OFFSET(G240,1,0,Settings!$B$12,1))*SQRT(Settings!$B$13)))</f>
        <v/>
      </c>
      <c r="O240" s="20">
        <f>IF(AND(ISNUMBER(E240),ISNUMBER(N240)),E240-N240,NA())</f>
        <v/>
      </c>
      <c r="P240" s="19">
        <f>IF(NOT(ISNUMBER($A240)),NA(),IF(OR($A240&lt;MIN(KW_TP!$A$2:$A$2501),$A240&gt;MAX(KW_TP!$A$2:$A$2501)),NA(),INDEX(KW_TP!$C$2:$C$2501,MATCH($A240,KW_TP!$A$2:$A$2501,1))))</f>
        <v/>
      </c>
      <c r="Q240" s="18">
        <f>IF(NOT(ISNUMBER($A240)),NA(),IFERROR(1*INDEX(BBG_Data!$J$2:$J$4000,MATCH($A240,BBG_Data!$I$2:$I$4000,0)),NA()))</f>
        <v/>
      </c>
      <c r="R240" s="18">
        <f>IF(NOT(ISNUMBER($A240)),NA(),IFERROR(1*INDEX(BBG_Data!$L$2:$L$4000,MATCH($A240,BBG_Data!$K$2:$K$4000,0)),NA()))</f>
        <v/>
      </c>
      <c r="S240" s="20">
        <f>IF(AND(ISNUMBER(B240),ISNUMBER(Q240),ISNUMBER(R240)),(B240-Q240-R240)*100,NA())</f>
        <v/>
      </c>
      <c r="T240" s="20">
        <f>IF(AND(ISNUMBER(B240),Settings!$B$17&gt;0),IF(ISNUMBER(INDEX($B:$B,Settings!$B$17)),(B240-INDEX($B:$B,Settings!$B$17))*100,NA()),NA())</f>
        <v/>
      </c>
      <c r="U240" s="20">
        <f>IF(AND(ISNUMBER(Q240),Settings!$B$17&gt;0),IF(ISNUMBER(INDEX($Q:$Q,Settings!$B$17)),(Q240-INDEX($Q:$Q,Settings!$B$17))*100,NA()),NA())</f>
        <v/>
      </c>
      <c r="V240" s="20">
        <f>IF(AND(ISNUMBER(R240),Settings!$B$17&gt;0),IF(ISNUMBER(INDEX($R:$R,Settings!$B$17)),(R240-INDEX($R:$R,Settings!$B$17))*100,NA()),NA())</f>
        <v/>
      </c>
      <c r="W240" s="20">
        <f>IF(AND(ISNUMBER(P240),Settings!$B$17&gt;0),IF(ISNUMBER(INDEX($P:$P,Settings!$B$17)),P240-INDEX($P:$P,Settings!$B$17),NA()),NA())</f>
        <v/>
      </c>
      <c r="X240" s="19">
        <f>IF(NOT(ISNUMBER($A240)),NA(),IF(OR($A240&lt;MIN(DKW_10Y!$A$2:$A$2918),$A240&gt;MAX(DKW_10Y!$A$2:$A$2918),Settings!$B$16&lt;MIN(DKW_10Y!$A$2:$A$2918)),NA(),(INDEX(DKW_10Y!$B$2:$B$2918,MATCH($A240,DKW_10Y!$A$2:$A$2918,1))-INDEX(DKW_10Y!$B$2:$B$2918,MATCH(Settings!$B$16,DKW_10Y!$A$2:$A$2918,1)))*100))</f>
        <v/>
      </c>
      <c r="Y240" s="19">
        <f>IF(NOT(ISNUMBER($A240)),NA(),IF(OR($A240&lt;MIN(DKW_10Y!$A$2:$A$2918),$A240&gt;MAX(DKW_10Y!$A$2:$A$2918),Settings!$B$16&lt;MIN(DKW_10Y!$A$2:$A$2918)),NA(),(INDEX(DKW_10Y!$C$2:$C$2918,MATCH($A240,DKW_10Y!$A$2:$A$2918,1))-INDEX(DKW_10Y!$C$2:$C$2918,MATCH(Settings!$B$16,DKW_10Y!$A$2:$A$2918,1)))*100))</f>
        <v/>
      </c>
      <c r="Z240" s="19">
        <f>IF(NOT(ISNUMBER($A240)),NA(),IF(OR($A240&lt;MIN(DKW_10Y!$A$2:$A$2918),$A240&gt;MAX(DKW_10Y!$A$2:$A$2918),Settings!$B$16&lt;MIN(DKW_10Y!$A$2:$A$2918)),NA(),(INDEX(DKW_10Y!$D$2:$D$2918,MATCH($A240,DKW_10Y!$A$2:$A$2918,1))-INDEX(DKW_10Y!$D$2:$D$2918,MATCH(Settings!$B$16,DKW_10Y!$A$2:$A$2918,1)))*100))</f>
        <v/>
      </c>
      <c r="AA240" s="19">
        <f>IF(NOT(ISNUMBER($A240)),NA(),IF(OR($A240&lt;MIN(DKW_10Y!$A$2:$A$2918),$A240&gt;MAX(DKW_10Y!$A$2:$A$2918),Settings!$B$16&lt;MIN(DKW_10Y!$A$2:$A$2918)),NA(),(INDEX(DKW_10Y!$E$2:$E$2918,MATCH($A240,DKW_10Y!$A$2:$A$2918,1))-INDEX(DKW_10Y!$E$2:$E$2918,MATCH(Settings!$B$16,DKW_10Y!$A$2:$A$2918,1)))*100))</f>
        <v/>
      </c>
      <c r="AB240" s="19">
        <f>IF(NOT(ISNUMBER($A240)),NA(),IF(OR($A240&lt;MIN(DKW_10Y!$A$2:$A$2918),$A240&gt;MAX(DKW_10Y!$A$2:$A$2918),Settings!$B$16&lt;MIN(DKW_10Y!$A$2:$A$2918)),NA(),(INDEX(DKW_10Y!$H$2:$H$2918,MATCH($A240,DKW_10Y!$A$2:$A$2918,1))-INDEX(DKW_10Y!$H$2:$H$2918,MATCH(Settings!$B$16,DKW_10Y!$A$2:$A$2918,1)))*100))</f>
        <v/>
      </c>
      <c r="AC240" s="18">
        <f>IF(NOT(ISNUMBER($A240)),NA(),IFERROR(1*INDEX(BBG_Data!$N$2:$N$4000,MATCH($A240,BBG_Data!$M$2:$M$4000,0)),NA()))</f>
        <v/>
      </c>
      <c r="AD240" s="18">
        <f>IF(NOT(ISNUMBER($A240)),NA(),IFERROR(1*INDEX(BBG_Data!$P$2:$P$4000,MATCH($A240,BBG_Data!$O$2:$O$4000,0)),NA()))</f>
        <v/>
      </c>
      <c r="AE240" s="18">
        <f>IF(NOT(ISNUMBER($A240)),NA(),IFERROR(1*INDEX(BBG_Data!$R$2:$R$4000,MATCH($A240,BBG_Data!$Q$2:$Q$4000,0)),NA()))</f>
        <v/>
      </c>
      <c r="AF240" s="20">
        <f>IF(AND(ISNUMBER(B240),ISNUMBER(AC240)),(B240-AC240)*100,NA())</f>
        <v/>
      </c>
      <c r="AG240" s="20">
        <f>IF(AND(ISNUMBER(AE240),ISNUMBER(AD240)),(AE240-AD240)*100,NA())</f>
        <v/>
      </c>
      <c r="AH240" s="19">
        <f>IF(NOT(ISNUMBER($A240)),NA(),IFERROR(INDEX(BBG_Data!$T$2:$T$4000,MATCH($A240,BBG_Data!$S$2:$S$4000,0))*Settings!$B$25,NA()))</f>
        <v/>
      </c>
      <c r="AI240" s="19">
        <f>IF(NOT(ISNUMBER($A240)),NA(),IFERROR(INDEX(BBG_Data!$V$2:$V$4000,MATCH($A240,BBG_Data!$U$2:$U$4000,0))*Settings!$B$25,NA()))</f>
        <v/>
      </c>
      <c r="AJ240" s="19">
        <f>IF(NOT(ISNUMBER($A240)),NA(),IFERROR(1*INDEX(BBG_Data!$X$2:$X$4000,MATCH($A240,BBG_Data!$W$2:$W$4000,0)),NA()))</f>
        <v/>
      </c>
      <c r="AK240" s="19">
        <f>IF(NOT(ISNUMBER($A240)),NA(),IFERROR(1*INDEX(BBG_Data!$Z$2:$Z$4000,MATCH($A240,BBG_Data!$Y$2:$Y$4000,0)),NA()))</f>
        <v/>
      </c>
    </row>
    <row r="241">
      <c r="A241" s="17">
        <f>IF(ISNUMBER(BBG_Data!A241),BBG_Data!A241,"")</f>
        <v/>
      </c>
      <c r="B241" s="18">
        <f>IF(AND(ISNUMBER($A241),ISNUMBER(BBG_Data!B241)),BBG_Data!B241,NA())</f>
        <v/>
      </c>
      <c r="C241" s="18">
        <f>IF(NOT(ISNUMBER($A241)),NA(),IFERROR(1*INDEX(BBG_Data!$D$2:$D$4000,MATCH($A241,BBG_Data!$C$2:$C$4000,0)),NA()))</f>
        <v/>
      </c>
      <c r="D241" s="19">
        <f>IF(NOT(ISNUMBER($A241)),NA(),IFERROR(1*INDEX(BBG_Data!$F$2:$F$4000,MATCH($A241,BBG_Data!$E$2:$E$4000,0)),NA()))</f>
        <v/>
      </c>
      <c r="E241" s="19">
        <f>IF(NOT(ISNUMBER($A241)),NA(),IFERROR(1*INDEX(BBG_Data!$H$2:$H$4000,MATCH($A241,BBG_Data!$G$2:$G$4000,0)),NA()))</f>
        <v/>
      </c>
      <c r="F241" s="20">
        <f>IF(AND(ISNUMBER(B241),ISNUMBER(B240)),IF(B241=B240,"",(B241-B240)*100),"")</f>
        <v/>
      </c>
      <c r="G241" s="20">
        <f>IF(AND(ISNUMBER(C241),ISNUMBER(C240)),IF(C241=C240,"",(C241-C240)*100),"")</f>
        <v/>
      </c>
      <c r="H241" s="20">
        <f>IF(OR(NOT(ISNUMBER($A241)),ROW()-2&lt;Settings!$B$11),NA(),IF(COUNT(OFFSET(F241,1-Settings!$B$11,0,Settings!$B$11,1))&lt;ROUNDUP(Settings!$B$11*Settings!$B$26,0),NA(),STDEV(OFFSET(F241,1-Settings!$B$11,0,Settings!$B$11,1))*SQRT(Settings!$B$13)))</f>
        <v/>
      </c>
      <c r="I241" s="20">
        <f>IF(OR(NOT(ISNUMBER($A241)),ROW()-2&lt;Settings!$B$12),NA(),IF(COUNT(OFFSET(F241,1-Settings!$B$12,0,Settings!$B$12,1))&lt;ROUNDUP(Settings!$B$12*Settings!$B$26,0),NA(),STDEV(OFFSET(F241,1-Settings!$B$12,0,Settings!$B$12,1))*SQRT(Settings!$B$13)))</f>
        <v/>
      </c>
      <c r="J241" s="20">
        <f>IF(OR(NOT(ISNUMBER($A241)),ROW()-2&lt;Settings!$B$11),NA(),IF(COUNT(OFFSET(G241,1-Settings!$B$11,0,Settings!$B$11,1))&lt;ROUNDUP(Settings!$B$11*Settings!$B$26,0),NA(),STDEV(OFFSET(G241,1-Settings!$B$11,0,Settings!$B$11,1))*SQRT(Settings!$B$13)))</f>
        <v/>
      </c>
      <c r="K241" s="20">
        <f>IF(OR(NOT(ISNUMBER($A241)),ROW()-2&lt;Settings!$B$12),NA(),IF(COUNT(OFFSET(G241,1-Settings!$B$12,0,Settings!$B$12,1))&lt;ROUNDUP(Settings!$B$12*Settings!$B$26,0),NA(),STDEV(OFFSET(G241,1-Settings!$B$12,0,Settings!$B$12,1))*SQRT(Settings!$B$13)))</f>
        <v/>
      </c>
      <c r="L241" s="20">
        <f>IF(AND(ISNUMBER(D241),ISNUMBER(H241)),D241-H241,NA())</f>
        <v/>
      </c>
      <c r="M241" s="20">
        <f>IF(AND(ISNUMBER(E241),ISNUMBER(K241)),E241-K241,NA())</f>
        <v/>
      </c>
      <c r="N241" s="20">
        <f>IF(NOT(ISNUMBER($A241)),NA(),IF(COUNT(OFFSET(G241,1,0,Settings!$B$12,1))&lt;ROUNDUP(Settings!$B$12*Settings!$B$26,0),NA(),STDEV(OFFSET(G241,1,0,Settings!$B$12,1))*SQRT(Settings!$B$13)))</f>
        <v/>
      </c>
      <c r="O241" s="20">
        <f>IF(AND(ISNUMBER(E241),ISNUMBER(N241)),E241-N241,NA())</f>
        <v/>
      </c>
      <c r="P241" s="19">
        <f>IF(NOT(ISNUMBER($A241)),NA(),IF(OR($A241&lt;MIN(KW_TP!$A$2:$A$2501),$A241&gt;MAX(KW_TP!$A$2:$A$2501)),NA(),INDEX(KW_TP!$C$2:$C$2501,MATCH($A241,KW_TP!$A$2:$A$2501,1))))</f>
        <v/>
      </c>
      <c r="Q241" s="18">
        <f>IF(NOT(ISNUMBER($A241)),NA(),IFERROR(1*INDEX(BBG_Data!$J$2:$J$4000,MATCH($A241,BBG_Data!$I$2:$I$4000,0)),NA()))</f>
        <v/>
      </c>
      <c r="R241" s="18">
        <f>IF(NOT(ISNUMBER($A241)),NA(),IFERROR(1*INDEX(BBG_Data!$L$2:$L$4000,MATCH($A241,BBG_Data!$K$2:$K$4000,0)),NA()))</f>
        <v/>
      </c>
      <c r="S241" s="20">
        <f>IF(AND(ISNUMBER(B241),ISNUMBER(Q241),ISNUMBER(R241)),(B241-Q241-R241)*100,NA())</f>
        <v/>
      </c>
      <c r="T241" s="20">
        <f>IF(AND(ISNUMBER(B241),Settings!$B$17&gt;0),IF(ISNUMBER(INDEX($B:$B,Settings!$B$17)),(B241-INDEX($B:$B,Settings!$B$17))*100,NA()),NA())</f>
        <v/>
      </c>
      <c r="U241" s="20">
        <f>IF(AND(ISNUMBER(Q241),Settings!$B$17&gt;0),IF(ISNUMBER(INDEX($Q:$Q,Settings!$B$17)),(Q241-INDEX($Q:$Q,Settings!$B$17))*100,NA()),NA())</f>
        <v/>
      </c>
      <c r="V241" s="20">
        <f>IF(AND(ISNUMBER(R241),Settings!$B$17&gt;0),IF(ISNUMBER(INDEX($R:$R,Settings!$B$17)),(R241-INDEX($R:$R,Settings!$B$17))*100,NA()),NA())</f>
        <v/>
      </c>
      <c r="W241" s="20">
        <f>IF(AND(ISNUMBER(P241),Settings!$B$17&gt;0),IF(ISNUMBER(INDEX($P:$P,Settings!$B$17)),P241-INDEX($P:$P,Settings!$B$17),NA()),NA())</f>
        <v/>
      </c>
      <c r="X241" s="19">
        <f>IF(NOT(ISNUMBER($A241)),NA(),IF(OR($A241&lt;MIN(DKW_10Y!$A$2:$A$2918),$A241&gt;MAX(DKW_10Y!$A$2:$A$2918),Settings!$B$16&lt;MIN(DKW_10Y!$A$2:$A$2918)),NA(),(INDEX(DKW_10Y!$B$2:$B$2918,MATCH($A241,DKW_10Y!$A$2:$A$2918,1))-INDEX(DKW_10Y!$B$2:$B$2918,MATCH(Settings!$B$16,DKW_10Y!$A$2:$A$2918,1)))*100))</f>
        <v/>
      </c>
      <c r="Y241" s="19">
        <f>IF(NOT(ISNUMBER($A241)),NA(),IF(OR($A241&lt;MIN(DKW_10Y!$A$2:$A$2918),$A241&gt;MAX(DKW_10Y!$A$2:$A$2918),Settings!$B$16&lt;MIN(DKW_10Y!$A$2:$A$2918)),NA(),(INDEX(DKW_10Y!$C$2:$C$2918,MATCH($A241,DKW_10Y!$A$2:$A$2918,1))-INDEX(DKW_10Y!$C$2:$C$2918,MATCH(Settings!$B$16,DKW_10Y!$A$2:$A$2918,1)))*100))</f>
        <v/>
      </c>
      <c r="Z241" s="19">
        <f>IF(NOT(ISNUMBER($A241)),NA(),IF(OR($A241&lt;MIN(DKW_10Y!$A$2:$A$2918),$A241&gt;MAX(DKW_10Y!$A$2:$A$2918),Settings!$B$16&lt;MIN(DKW_10Y!$A$2:$A$2918)),NA(),(INDEX(DKW_10Y!$D$2:$D$2918,MATCH($A241,DKW_10Y!$A$2:$A$2918,1))-INDEX(DKW_10Y!$D$2:$D$2918,MATCH(Settings!$B$16,DKW_10Y!$A$2:$A$2918,1)))*100))</f>
        <v/>
      </c>
      <c r="AA241" s="19">
        <f>IF(NOT(ISNUMBER($A241)),NA(),IF(OR($A241&lt;MIN(DKW_10Y!$A$2:$A$2918),$A241&gt;MAX(DKW_10Y!$A$2:$A$2918),Settings!$B$16&lt;MIN(DKW_10Y!$A$2:$A$2918)),NA(),(INDEX(DKW_10Y!$E$2:$E$2918,MATCH($A241,DKW_10Y!$A$2:$A$2918,1))-INDEX(DKW_10Y!$E$2:$E$2918,MATCH(Settings!$B$16,DKW_10Y!$A$2:$A$2918,1)))*100))</f>
        <v/>
      </c>
      <c r="AB241" s="19">
        <f>IF(NOT(ISNUMBER($A241)),NA(),IF(OR($A241&lt;MIN(DKW_10Y!$A$2:$A$2918),$A241&gt;MAX(DKW_10Y!$A$2:$A$2918),Settings!$B$16&lt;MIN(DKW_10Y!$A$2:$A$2918)),NA(),(INDEX(DKW_10Y!$H$2:$H$2918,MATCH($A241,DKW_10Y!$A$2:$A$2918,1))-INDEX(DKW_10Y!$H$2:$H$2918,MATCH(Settings!$B$16,DKW_10Y!$A$2:$A$2918,1)))*100))</f>
        <v/>
      </c>
      <c r="AC241" s="18">
        <f>IF(NOT(ISNUMBER($A241)),NA(),IFERROR(1*INDEX(BBG_Data!$N$2:$N$4000,MATCH($A241,BBG_Data!$M$2:$M$4000,0)),NA()))</f>
        <v/>
      </c>
      <c r="AD241" s="18">
        <f>IF(NOT(ISNUMBER($A241)),NA(),IFERROR(1*INDEX(BBG_Data!$P$2:$P$4000,MATCH($A241,BBG_Data!$O$2:$O$4000,0)),NA()))</f>
        <v/>
      </c>
      <c r="AE241" s="18">
        <f>IF(NOT(ISNUMBER($A241)),NA(),IFERROR(1*INDEX(BBG_Data!$R$2:$R$4000,MATCH($A241,BBG_Data!$Q$2:$Q$4000,0)),NA()))</f>
        <v/>
      </c>
      <c r="AF241" s="20">
        <f>IF(AND(ISNUMBER(B241),ISNUMBER(AC241)),(B241-AC241)*100,NA())</f>
        <v/>
      </c>
      <c r="AG241" s="20">
        <f>IF(AND(ISNUMBER(AE241),ISNUMBER(AD241)),(AE241-AD241)*100,NA())</f>
        <v/>
      </c>
      <c r="AH241" s="19">
        <f>IF(NOT(ISNUMBER($A241)),NA(),IFERROR(INDEX(BBG_Data!$T$2:$T$4000,MATCH($A241,BBG_Data!$S$2:$S$4000,0))*Settings!$B$25,NA()))</f>
        <v/>
      </c>
      <c r="AI241" s="19">
        <f>IF(NOT(ISNUMBER($A241)),NA(),IFERROR(INDEX(BBG_Data!$V$2:$V$4000,MATCH($A241,BBG_Data!$U$2:$U$4000,0))*Settings!$B$25,NA()))</f>
        <v/>
      </c>
      <c r="AJ241" s="19">
        <f>IF(NOT(ISNUMBER($A241)),NA(),IFERROR(1*INDEX(BBG_Data!$X$2:$X$4000,MATCH($A241,BBG_Data!$W$2:$W$4000,0)),NA()))</f>
        <v/>
      </c>
      <c r="AK241" s="19">
        <f>IF(NOT(ISNUMBER($A241)),NA(),IFERROR(1*INDEX(BBG_Data!$Z$2:$Z$4000,MATCH($A241,BBG_Data!$Y$2:$Y$4000,0)),NA()))</f>
        <v/>
      </c>
    </row>
    <row r="242">
      <c r="A242" s="17">
        <f>IF(ISNUMBER(BBG_Data!A242),BBG_Data!A242,"")</f>
        <v/>
      </c>
      <c r="B242" s="18">
        <f>IF(AND(ISNUMBER($A242),ISNUMBER(BBG_Data!B242)),BBG_Data!B242,NA())</f>
        <v/>
      </c>
      <c r="C242" s="18">
        <f>IF(NOT(ISNUMBER($A242)),NA(),IFERROR(1*INDEX(BBG_Data!$D$2:$D$4000,MATCH($A242,BBG_Data!$C$2:$C$4000,0)),NA()))</f>
        <v/>
      </c>
      <c r="D242" s="19">
        <f>IF(NOT(ISNUMBER($A242)),NA(),IFERROR(1*INDEX(BBG_Data!$F$2:$F$4000,MATCH($A242,BBG_Data!$E$2:$E$4000,0)),NA()))</f>
        <v/>
      </c>
      <c r="E242" s="19">
        <f>IF(NOT(ISNUMBER($A242)),NA(),IFERROR(1*INDEX(BBG_Data!$H$2:$H$4000,MATCH($A242,BBG_Data!$G$2:$G$4000,0)),NA()))</f>
        <v/>
      </c>
      <c r="F242" s="20">
        <f>IF(AND(ISNUMBER(B242),ISNUMBER(B241)),IF(B242=B241,"",(B242-B241)*100),"")</f>
        <v/>
      </c>
      <c r="G242" s="20">
        <f>IF(AND(ISNUMBER(C242),ISNUMBER(C241)),IF(C242=C241,"",(C242-C241)*100),"")</f>
        <v/>
      </c>
      <c r="H242" s="20">
        <f>IF(OR(NOT(ISNUMBER($A242)),ROW()-2&lt;Settings!$B$11),NA(),IF(COUNT(OFFSET(F242,1-Settings!$B$11,0,Settings!$B$11,1))&lt;ROUNDUP(Settings!$B$11*Settings!$B$26,0),NA(),STDEV(OFFSET(F242,1-Settings!$B$11,0,Settings!$B$11,1))*SQRT(Settings!$B$13)))</f>
        <v/>
      </c>
      <c r="I242" s="20">
        <f>IF(OR(NOT(ISNUMBER($A242)),ROW()-2&lt;Settings!$B$12),NA(),IF(COUNT(OFFSET(F242,1-Settings!$B$12,0,Settings!$B$12,1))&lt;ROUNDUP(Settings!$B$12*Settings!$B$26,0),NA(),STDEV(OFFSET(F242,1-Settings!$B$12,0,Settings!$B$12,1))*SQRT(Settings!$B$13)))</f>
        <v/>
      </c>
      <c r="J242" s="20">
        <f>IF(OR(NOT(ISNUMBER($A242)),ROW()-2&lt;Settings!$B$11),NA(),IF(COUNT(OFFSET(G242,1-Settings!$B$11,0,Settings!$B$11,1))&lt;ROUNDUP(Settings!$B$11*Settings!$B$26,0),NA(),STDEV(OFFSET(G242,1-Settings!$B$11,0,Settings!$B$11,1))*SQRT(Settings!$B$13)))</f>
        <v/>
      </c>
      <c r="K242" s="20">
        <f>IF(OR(NOT(ISNUMBER($A242)),ROW()-2&lt;Settings!$B$12),NA(),IF(COUNT(OFFSET(G242,1-Settings!$B$12,0,Settings!$B$12,1))&lt;ROUNDUP(Settings!$B$12*Settings!$B$26,0),NA(),STDEV(OFFSET(G242,1-Settings!$B$12,0,Settings!$B$12,1))*SQRT(Settings!$B$13)))</f>
        <v/>
      </c>
      <c r="L242" s="20">
        <f>IF(AND(ISNUMBER(D242),ISNUMBER(H242)),D242-H242,NA())</f>
        <v/>
      </c>
      <c r="M242" s="20">
        <f>IF(AND(ISNUMBER(E242),ISNUMBER(K242)),E242-K242,NA())</f>
        <v/>
      </c>
      <c r="N242" s="20">
        <f>IF(NOT(ISNUMBER($A242)),NA(),IF(COUNT(OFFSET(G242,1,0,Settings!$B$12,1))&lt;ROUNDUP(Settings!$B$12*Settings!$B$26,0),NA(),STDEV(OFFSET(G242,1,0,Settings!$B$12,1))*SQRT(Settings!$B$13)))</f>
        <v/>
      </c>
      <c r="O242" s="20">
        <f>IF(AND(ISNUMBER(E242),ISNUMBER(N242)),E242-N242,NA())</f>
        <v/>
      </c>
      <c r="P242" s="19">
        <f>IF(NOT(ISNUMBER($A242)),NA(),IF(OR($A242&lt;MIN(KW_TP!$A$2:$A$2501),$A242&gt;MAX(KW_TP!$A$2:$A$2501)),NA(),INDEX(KW_TP!$C$2:$C$2501,MATCH($A242,KW_TP!$A$2:$A$2501,1))))</f>
        <v/>
      </c>
      <c r="Q242" s="18">
        <f>IF(NOT(ISNUMBER($A242)),NA(),IFERROR(1*INDEX(BBG_Data!$J$2:$J$4000,MATCH($A242,BBG_Data!$I$2:$I$4000,0)),NA()))</f>
        <v/>
      </c>
      <c r="R242" s="18">
        <f>IF(NOT(ISNUMBER($A242)),NA(),IFERROR(1*INDEX(BBG_Data!$L$2:$L$4000,MATCH($A242,BBG_Data!$K$2:$K$4000,0)),NA()))</f>
        <v/>
      </c>
      <c r="S242" s="20">
        <f>IF(AND(ISNUMBER(B242),ISNUMBER(Q242),ISNUMBER(R242)),(B242-Q242-R242)*100,NA())</f>
        <v/>
      </c>
      <c r="T242" s="20">
        <f>IF(AND(ISNUMBER(B242),Settings!$B$17&gt;0),IF(ISNUMBER(INDEX($B:$B,Settings!$B$17)),(B242-INDEX($B:$B,Settings!$B$17))*100,NA()),NA())</f>
        <v/>
      </c>
      <c r="U242" s="20">
        <f>IF(AND(ISNUMBER(Q242),Settings!$B$17&gt;0),IF(ISNUMBER(INDEX($Q:$Q,Settings!$B$17)),(Q242-INDEX($Q:$Q,Settings!$B$17))*100,NA()),NA())</f>
        <v/>
      </c>
      <c r="V242" s="20">
        <f>IF(AND(ISNUMBER(R242),Settings!$B$17&gt;0),IF(ISNUMBER(INDEX($R:$R,Settings!$B$17)),(R242-INDEX($R:$R,Settings!$B$17))*100,NA()),NA())</f>
        <v/>
      </c>
      <c r="W242" s="20">
        <f>IF(AND(ISNUMBER(P242),Settings!$B$17&gt;0),IF(ISNUMBER(INDEX($P:$P,Settings!$B$17)),P242-INDEX($P:$P,Settings!$B$17),NA()),NA())</f>
        <v/>
      </c>
      <c r="X242" s="19">
        <f>IF(NOT(ISNUMBER($A242)),NA(),IF(OR($A242&lt;MIN(DKW_10Y!$A$2:$A$2918),$A242&gt;MAX(DKW_10Y!$A$2:$A$2918),Settings!$B$16&lt;MIN(DKW_10Y!$A$2:$A$2918)),NA(),(INDEX(DKW_10Y!$B$2:$B$2918,MATCH($A242,DKW_10Y!$A$2:$A$2918,1))-INDEX(DKW_10Y!$B$2:$B$2918,MATCH(Settings!$B$16,DKW_10Y!$A$2:$A$2918,1)))*100))</f>
        <v/>
      </c>
      <c r="Y242" s="19">
        <f>IF(NOT(ISNUMBER($A242)),NA(),IF(OR($A242&lt;MIN(DKW_10Y!$A$2:$A$2918),$A242&gt;MAX(DKW_10Y!$A$2:$A$2918),Settings!$B$16&lt;MIN(DKW_10Y!$A$2:$A$2918)),NA(),(INDEX(DKW_10Y!$C$2:$C$2918,MATCH($A242,DKW_10Y!$A$2:$A$2918,1))-INDEX(DKW_10Y!$C$2:$C$2918,MATCH(Settings!$B$16,DKW_10Y!$A$2:$A$2918,1)))*100))</f>
        <v/>
      </c>
      <c r="Z242" s="19">
        <f>IF(NOT(ISNUMBER($A242)),NA(),IF(OR($A242&lt;MIN(DKW_10Y!$A$2:$A$2918),$A242&gt;MAX(DKW_10Y!$A$2:$A$2918),Settings!$B$16&lt;MIN(DKW_10Y!$A$2:$A$2918)),NA(),(INDEX(DKW_10Y!$D$2:$D$2918,MATCH($A242,DKW_10Y!$A$2:$A$2918,1))-INDEX(DKW_10Y!$D$2:$D$2918,MATCH(Settings!$B$16,DKW_10Y!$A$2:$A$2918,1)))*100))</f>
        <v/>
      </c>
      <c r="AA242" s="19">
        <f>IF(NOT(ISNUMBER($A242)),NA(),IF(OR($A242&lt;MIN(DKW_10Y!$A$2:$A$2918),$A242&gt;MAX(DKW_10Y!$A$2:$A$2918),Settings!$B$16&lt;MIN(DKW_10Y!$A$2:$A$2918)),NA(),(INDEX(DKW_10Y!$E$2:$E$2918,MATCH($A242,DKW_10Y!$A$2:$A$2918,1))-INDEX(DKW_10Y!$E$2:$E$2918,MATCH(Settings!$B$16,DKW_10Y!$A$2:$A$2918,1)))*100))</f>
        <v/>
      </c>
      <c r="AB242" s="19">
        <f>IF(NOT(ISNUMBER($A242)),NA(),IF(OR($A242&lt;MIN(DKW_10Y!$A$2:$A$2918),$A242&gt;MAX(DKW_10Y!$A$2:$A$2918),Settings!$B$16&lt;MIN(DKW_10Y!$A$2:$A$2918)),NA(),(INDEX(DKW_10Y!$H$2:$H$2918,MATCH($A242,DKW_10Y!$A$2:$A$2918,1))-INDEX(DKW_10Y!$H$2:$H$2918,MATCH(Settings!$B$16,DKW_10Y!$A$2:$A$2918,1)))*100))</f>
        <v/>
      </c>
      <c r="AC242" s="18">
        <f>IF(NOT(ISNUMBER($A242)),NA(),IFERROR(1*INDEX(BBG_Data!$N$2:$N$4000,MATCH($A242,BBG_Data!$M$2:$M$4000,0)),NA()))</f>
        <v/>
      </c>
      <c r="AD242" s="18">
        <f>IF(NOT(ISNUMBER($A242)),NA(),IFERROR(1*INDEX(BBG_Data!$P$2:$P$4000,MATCH($A242,BBG_Data!$O$2:$O$4000,0)),NA()))</f>
        <v/>
      </c>
      <c r="AE242" s="18">
        <f>IF(NOT(ISNUMBER($A242)),NA(),IFERROR(1*INDEX(BBG_Data!$R$2:$R$4000,MATCH($A242,BBG_Data!$Q$2:$Q$4000,0)),NA()))</f>
        <v/>
      </c>
      <c r="AF242" s="20">
        <f>IF(AND(ISNUMBER(B242),ISNUMBER(AC242)),(B242-AC242)*100,NA())</f>
        <v/>
      </c>
      <c r="AG242" s="20">
        <f>IF(AND(ISNUMBER(AE242),ISNUMBER(AD242)),(AE242-AD242)*100,NA())</f>
        <v/>
      </c>
      <c r="AH242" s="19">
        <f>IF(NOT(ISNUMBER($A242)),NA(),IFERROR(INDEX(BBG_Data!$T$2:$T$4000,MATCH($A242,BBG_Data!$S$2:$S$4000,0))*Settings!$B$25,NA()))</f>
        <v/>
      </c>
      <c r="AI242" s="19">
        <f>IF(NOT(ISNUMBER($A242)),NA(),IFERROR(INDEX(BBG_Data!$V$2:$V$4000,MATCH($A242,BBG_Data!$U$2:$U$4000,0))*Settings!$B$25,NA()))</f>
        <v/>
      </c>
      <c r="AJ242" s="19">
        <f>IF(NOT(ISNUMBER($A242)),NA(),IFERROR(1*INDEX(BBG_Data!$X$2:$X$4000,MATCH($A242,BBG_Data!$W$2:$W$4000,0)),NA()))</f>
        <v/>
      </c>
      <c r="AK242" s="19">
        <f>IF(NOT(ISNUMBER($A242)),NA(),IFERROR(1*INDEX(BBG_Data!$Z$2:$Z$4000,MATCH($A242,BBG_Data!$Y$2:$Y$4000,0)),NA()))</f>
        <v/>
      </c>
    </row>
    <row r="243">
      <c r="A243" s="17">
        <f>IF(ISNUMBER(BBG_Data!A243),BBG_Data!A243,"")</f>
        <v/>
      </c>
      <c r="B243" s="18">
        <f>IF(AND(ISNUMBER($A243),ISNUMBER(BBG_Data!B243)),BBG_Data!B243,NA())</f>
        <v/>
      </c>
      <c r="C243" s="18">
        <f>IF(NOT(ISNUMBER($A243)),NA(),IFERROR(1*INDEX(BBG_Data!$D$2:$D$4000,MATCH($A243,BBG_Data!$C$2:$C$4000,0)),NA()))</f>
        <v/>
      </c>
      <c r="D243" s="19">
        <f>IF(NOT(ISNUMBER($A243)),NA(),IFERROR(1*INDEX(BBG_Data!$F$2:$F$4000,MATCH($A243,BBG_Data!$E$2:$E$4000,0)),NA()))</f>
        <v/>
      </c>
      <c r="E243" s="19">
        <f>IF(NOT(ISNUMBER($A243)),NA(),IFERROR(1*INDEX(BBG_Data!$H$2:$H$4000,MATCH($A243,BBG_Data!$G$2:$G$4000,0)),NA()))</f>
        <v/>
      </c>
      <c r="F243" s="20">
        <f>IF(AND(ISNUMBER(B243),ISNUMBER(B242)),IF(B243=B242,"",(B243-B242)*100),"")</f>
        <v/>
      </c>
      <c r="G243" s="20">
        <f>IF(AND(ISNUMBER(C243),ISNUMBER(C242)),IF(C243=C242,"",(C243-C242)*100),"")</f>
        <v/>
      </c>
      <c r="H243" s="20">
        <f>IF(OR(NOT(ISNUMBER($A243)),ROW()-2&lt;Settings!$B$11),NA(),IF(COUNT(OFFSET(F243,1-Settings!$B$11,0,Settings!$B$11,1))&lt;ROUNDUP(Settings!$B$11*Settings!$B$26,0),NA(),STDEV(OFFSET(F243,1-Settings!$B$11,0,Settings!$B$11,1))*SQRT(Settings!$B$13)))</f>
        <v/>
      </c>
      <c r="I243" s="20">
        <f>IF(OR(NOT(ISNUMBER($A243)),ROW()-2&lt;Settings!$B$12),NA(),IF(COUNT(OFFSET(F243,1-Settings!$B$12,0,Settings!$B$12,1))&lt;ROUNDUP(Settings!$B$12*Settings!$B$26,0),NA(),STDEV(OFFSET(F243,1-Settings!$B$12,0,Settings!$B$12,1))*SQRT(Settings!$B$13)))</f>
        <v/>
      </c>
      <c r="J243" s="20">
        <f>IF(OR(NOT(ISNUMBER($A243)),ROW()-2&lt;Settings!$B$11),NA(),IF(COUNT(OFFSET(G243,1-Settings!$B$11,0,Settings!$B$11,1))&lt;ROUNDUP(Settings!$B$11*Settings!$B$26,0),NA(),STDEV(OFFSET(G243,1-Settings!$B$11,0,Settings!$B$11,1))*SQRT(Settings!$B$13)))</f>
        <v/>
      </c>
      <c r="K243" s="20">
        <f>IF(OR(NOT(ISNUMBER($A243)),ROW()-2&lt;Settings!$B$12),NA(),IF(COUNT(OFFSET(G243,1-Settings!$B$12,0,Settings!$B$12,1))&lt;ROUNDUP(Settings!$B$12*Settings!$B$26,0),NA(),STDEV(OFFSET(G243,1-Settings!$B$12,0,Settings!$B$12,1))*SQRT(Settings!$B$13)))</f>
        <v/>
      </c>
      <c r="L243" s="20">
        <f>IF(AND(ISNUMBER(D243),ISNUMBER(H243)),D243-H243,NA())</f>
        <v/>
      </c>
      <c r="M243" s="20">
        <f>IF(AND(ISNUMBER(E243),ISNUMBER(K243)),E243-K243,NA())</f>
        <v/>
      </c>
      <c r="N243" s="20">
        <f>IF(NOT(ISNUMBER($A243)),NA(),IF(COUNT(OFFSET(G243,1,0,Settings!$B$12,1))&lt;ROUNDUP(Settings!$B$12*Settings!$B$26,0),NA(),STDEV(OFFSET(G243,1,0,Settings!$B$12,1))*SQRT(Settings!$B$13)))</f>
        <v/>
      </c>
      <c r="O243" s="20">
        <f>IF(AND(ISNUMBER(E243),ISNUMBER(N243)),E243-N243,NA())</f>
        <v/>
      </c>
      <c r="P243" s="19">
        <f>IF(NOT(ISNUMBER($A243)),NA(),IF(OR($A243&lt;MIN(KW_TP!$A$2:$A$2501),$A243&gt;MAX(KW_TP!$A$2:$A$2501)),NA(),INDEX(KW_TP!$C$2:$C$2501,MATCH($A243,KW_TP!$A$2:$A$2501,1))))</f>
        <v/>
      </c>
      <c r="Q243" s="18">
        <f>IF(NOT(ISNUMBER($A243)),NA(),IFERROR(1*INDEX(BBG_Data!$J$2:$J$4000,MATCH($A243,BBG_Data!$I$2:$I$4000,0)),NA()))</f>
        <v/>
      </c>
      <c r="R243" s="18">
        <f>IF(NOT(ISNUMBER($A243)),NA(),IFERROR(1*INDEX(BBG_Data!$L$2:$L$4000,MATCH($A243,BBG_Data!$K$2:$K$4000,0)),NA()))</f>
        <v/>
      </c>
      <c r="S243" s="20">
        <f>IF(AND(ISNUMBER(B243),ISNUMBER(Q243),ISNUMBER(R243)),(B243-Q243-R243)*100,NA())</f>
        <v/>
      </c>
      <c r="T243" s="20">
        <f>IF(AND(ISNUMBER(B243),Settings!$B$17&gt;0),IF(ISNUMBER(INDEX($B:$B,Settings!$B$17)),(B243-INDEX($B:$B,Settings!$B$17))*100,NA()),NA())</f>
        <v/>
      </c>
      <c r="U243" s="20">
        <f>IF(AND(ISNUMBER(Q243),Settings!$B$17&gt;0),IF(ISNUMBER(INDEX($Q:$Q,Settings!$B$17)),(Q243-INDEX($Q:$Q,Settings!$B$17))*100,NA()),NA())</f>
        <v/>
      </c>
      <c r="V243" s="20">
        <f>IF(AND(ISNUMBER(R243),Settings!$B$17&gt;0),IF(ISNUMBER(INDEX($R:$R,Settings!$B$17)),(R243-INDEX($R:$R,Settings!$B$17))*100,NA()),NA())</f>
        <v/>
      </c>
      <c r="W243" s="20">
        <f>IF(AND(ISNUMBER(P243),Settings!$B$17&gt;0),IF(ISNUMBER(INDEX($P:$P,Settings!$B$17)),P243-INDEX($P:$P,Settings!$B$17),NA()),NA())</f>
        <v/>
      </c>
      <c r="X243" s="19">
        <f>IF(NOT(ISNUMBER($A243)),NA(),IF(OR($A243&lt;MIN(DKW_10Y!$A$2:$A$2918),$A243&gt;MAX(DKW_10Y!$A$2:$A$2918),Settings!$B$16&lt;MIN(DKW_10Y!$A$2:$A$2918)),NA(),(INDEX(DKW_10Y!$B$2:$B$2918,MATCH($A243,DKW_10Y!$A$2:$A$2918,1))-INDEX(DKW_10Y!$B$2:$B$2918,MATCH(Settings!$B$16,DKW_10Y!$A$2:$A$2918,1)))*100))</f>
        <v/>
      </c>
      <c r="Y243" s="19">
        <f>IF(NOT(ISNUMBER($A243)),NA(),IF(OR($A243&lt;MIN(DKW_10Y!$A$2:$A$2918),$A243&gt;MAX(DKW_10Y!$A$2:$A$2918),Settings!$B$16&lt;MIN(DKW_10Y!$A$2:$A$2918)),NA(),(INDEX(DKW_10Y!$C$2:$C$2918,MATCH($A243,DKW_10Y!$A$2:$A$2918,1))-INDEX(DKW_10Y!$C$2:$C$2918,MATCH(Settings!$B$16,DKW_10Y!$A$2:$A$2918,1)))*100))</f>
        <v/>
      </c>
      <c r="Z243" s="19">
        <f>IF(NOT(ISNUMBER($A243)),NA(),IF(OR($A243&lt;MIN(DKW_10Y!$A$2:$A$2918),$A243&gt;MAX(DKW_10Y!$A$2:$A$2918),Settings!$B$16&lt;MIN(DKW_10Y!$A$2:$A$2918)),NA(),(INDEX(DKW_10Y!$D$2:$D$2918,MATCH($A243,DKW_10Y!$A$2:$A$2918,1))-INDEX(DKW_10Y!$D$2:$D$2918,MATCH(Settings!$B$16,DKW_10Y!$A$2:$A$2918,1)))*100))</f>
        <v/>
      </c>
      <c r="AA243" s="19">
        <f>IF(NOT(ISNUMBER($A243)),NA(),IF(OR($A243&lt;MIN(DKW_10Y!$A$2:$A$2918),$A243&gt;MAX(DKW_10Y!$A$2:$A$2918),Settings!$B$16&lt;MIN(DKW_10Y!$A$2:$A$2918)),NA(),(INDEX(DKW_10Y!$E$2:$E$2918,MATCH($A243,DKW_10Y!$A$2:$A$2918,1))-INDEX(DKW_10Y!$E$2:$E$2918,MATCH(Settings!$B$16,DKW_10Y!$A$2:$A$2918,1)))*100))</f>
        <v/>
      </c>
      <c r="AB243" s="19">
        <f>IF(NOT(ISNUMBER($A243)),NA(),IF(OR($A243&lt;MIN(DKW_10Y!$A$2:$A$2918),$A243&gt;MAX(DKW_10Y!$A$2:$A$2918),Settings!$B$16&lt;MIN(DKW_10Y!$A$2:$A$2918)),NA(),(INDEX(DKW_10Y!$H$2:$H$2918,MATCH($A243,DKW_10Y!$A$2:$A$2918,1))-INDEX(DKW_10Y!$H$2:$H$2918,MATCH(Settings!$B$16,DKW_10Y!$A$2:$A$2918,1)))*100))</f>
        <v/>
      </c>
      <c r="AC243" s="18">
        <f>IF(NOT(ISNUMBER($A243)),NA(),IFERROR(1*INDEX(BBG_Data!$N$2:$N$4000,MATCH($A243,BBG_Data!$M$2:$M$4000,0)),NA()))</f>
        <v/>
      </c>
      <c r="AD243" s="18">
        <f>IF(NOT(ISNUMBER($A243)),NA(),IFERROR(1*INDEX(BBG_Data!$P$2:$P$4000,MATCH($A243,BBG_Data!$O$2:$O$4000,0)),NA()))</f>
        <v/>
      </c>
      <c r="AE243" s="18">
        <f>IF(NOT(ISNUMBER($A243)),NA(),IFERROR(1*INDEX(BBG_Data!$R$2:$R$4000,MATCH($A243,BBG_Data!$Q$2:$Q$4000,0)),NA()))</f>
        <v/>
      </c>
      <c r="AF243" s="20">
        <f>IF(AND(ISNUMBER(B243),ISNUMBER(AC243)),(B243-AC243)*100,NA())</f>
        <v/>
      </c>
      <c r="AG243" s="20">
        <f>IF(AND(ISNUMBER(AE243),ISNUMBER(AD243)),(AE243-AD243)*100,NA())</f>
        <v/>
      </c>
      <c r="AH243" s="19">
        <f>IF(NOT(ISNUMBER($A243)),NA(),IFERROR(INDEX(BBG_Data!$T$2:$T$4000,MATCH($A243,BBG_Data!$S$2:$S$4000,0))*Settings!$B$25,NA()))</f>
        <v/>
      </c>
      <c r="AI243" s="19">
        <f>IF(NOT(ISNUMBER($A243)),NA(),IFERROR(INDEX(BBG_Data!$V$2:$V$4000,MATCH($A243,BBG_Data!$U$2:$U$4000,0))*Settings!$B$25,NA()))</f>
        <v/>
      </c>
      <c r="AJ243" s="19">
        <f>IF(NOT(ISNUMBER($A243)),NA(),IFERROR(1*INDEX(BBG_Data!$X$2:$X$4000,MATCH($A243,BBG_Data!$W$2:$W$4000,0)),NA()))</f>
        <v/>
      </c>
      <c r="AK243" s="19">
        <f>IF(NOT(ISNUMBER($A243)),NA(),IFERROR(1*INDEX(BBG_Data!$Z$2:$Z$4000,MATCH($A243,BBG_Data!$Y$2:$Y$4000,0)),NA()))</f>
        <v/>
      </c>
    </row>
    <row r="244">
      <c r="A244" s="17">
        <f>IF(ISNUMBER(BBG_Data!A244),BBG_Data!A244,"")</f>
        <v/>
      </c>
      <c r="B244" s="18">
        <f>IF(AND(ISNUMBER($A244),ISNUMBER(BBG_Data!B244)),BBG_Data!B244,NA())</f>
        <v/>
      </c>
      <c r="C244" s="18">
        <f>IF(NOT(ISNUMBER($A244)),NA(),IFERROR(1*INDEX(BBG_Data!$D$2:$D$4000,MATCH($A244,BBG_Data!$C$2:$C$4000,0)),NA()))</f>
        <v/>
      </c>
      <c r="D244" s="19">
        <f>IF(NOT(ISNUMBER($A244)),NA(),IFERROR(1*INDEX(BBG_Data!$F$2:$F$4000,MATCH($A244,BBG_Data!$E$2:$E$4000,0)),NA()))</f>
        <v/>
      </c>
      <c r="E244" s="19">
        <f>IF(NOT(ISNUMBER($A244)),NA(),IFERROR(1*INDEX(BBG_Data!$H$2:$H$4000,MATCH($A244,BBG_Data!$G$2:$G$4000,0)),NA()))</f>
        <v/>
      </c>
      <c r="F244" s="20">
        <f>IF(AND(ISNUMBER(B244),ISNUMBER(B243)),IF(B244=B243,"",(B244-B243)*100),"")</f>
        <v/>
      </c>
      <c r="G244" s="20">
        <f>IF(AND(ISNUMBER(C244),ISNUMBER(C243)),IF(C244=C243,"",(C244-C243)*100),"")</f>
        <v/>
      </c>
      <c r="H244" s="20">
        <f>IF(OR(NOT(ISNUMBER($A244)),ROW()-2&lt;Settings!$B$11),NA(),IF(COUNT(OFFSET(F244,1-Settings!$B$11,0,Settings!$B$11,1))&lt;ROUNDUP(Settings!$B$11*Settings!$B$26,0),NA(),STDEV(OFFSET(F244,1-Settings!$B$11,0,Settings!$B$11,1))*SQRT(Settings!$B$13)))</f>
        <v/>
      </c>
      <c r="I244" s="20">
        <f>IF(OR(NOT(ISNUMBER($A244)),ROW()-2&lt;Settings!$B$12),NA(),IF(COUNT(OFFSET(F244,1-Settings!$B$12,0,Settings!$B$12,1))&lt;ROUNDUP(Settings!$B$12*Settings!$B$26,0),NA(),STDEV(OFFSET(F244,1-Settings!$B$12,0,Settings!$B$12,1))*SQRT(Settings!$B$13)))</f>
        <v/>
      </c>
      <c r="J244" s="20">
        <f>IF(OR(NOT(ISNUMBER($A244)),ROW()-2&lt;Settings!$B$11),NA(),IF(COUNT(OFFSET(G244,1-Settings!$B$11,0,Settings!$B$11,1))&lt;ROUNDUP(Settings!$B$11*Settings!$B$26,0),NA(),STDEV(OFFSET(G244,1-Settings!$B$11,0,Settings!$B$11,1))*SQRT(Settings!$B$13)))</f>
        <v/>
      </c>
      <c r="K244" s="20">
        <f>IF(OR(NOT(ISNUMBER($A244)),ROW()-2&lt;Settings!$B$12),NA(),IF(COUNT(OFFSET(G244,1-Settings!$B$12,0,Settings!$B$12,1))&lt;ROUNDUP(Settings!$B$12*Settings!$B$26,0),NA(),STDEV(OFFSET(G244,1-Settings!$B$12,0,Settings!$B$12,1))*SQRT(Settings!$B$13)))</f>
        <v/>
      </c>
      <c r="L244" s="20">
        <f>IF(AND(ISNUMBER(D244),ISNUMBER(H244)),D244-H244,NA())</f>
        <v/>
      </c>
      <c r="M244" s="20">
        <f>IF(AND(ISNUMBER(E244),ISNUMBER(K244)),E244-K244,NA())</f>
        <v/>
      </c>
      <c r="N244" s="20">
        <f>IF(NOT(ISNUMBER($A244)),NA(),IF(COUNT(OFFSET(G244,1,0,Settings!$B$12,1))&lt;ROUNDUP(Settings!$B$12*Settings!$B$26,0),NA(),STDEV(OFFSET(G244,1,0,Settings!$B$12,1))*SQRT(Settings!$B$13)))</f>
        <v/>
      </c>
      <c r="O244" s="20">
        <f>IF(AND(ISNUMBER(E244),ISNUMBER(N244)),E244-N244,NA())</f>
        <v/>
      </c>
      <c r="P244" s="19">
        <f>IF(NOT(ISNUMBER($A244)),NA(),IF(OR($A244&lt;MIN(KW_TP!$A$2:$A$2501),$A244&gt;MAX(KW_TP!$A$2:$A$2501)),NA(),INDEX(KW_TP!$C$2:$C$2501,MATCH($A244,KW_TP!$A$2:$A$2501,1))))</f>
        <v/>
      </c>
      <c r="Q244" s="18">
        <f>IF(NOT(ISNUMBER($A244)),NA(),IFERROR(1*INDEX(BBG_Data!$J$2:$J$4000,MATCH($A244,BBG_Data!$I$2:$I$4000,0)),NA()))</f>
        <v/>
      </c>
      <c r="R244" s="18">
        <f>IF(NOT(ISNUMBER($A244)),NA(),IFERROR(1*INDEX(BBG_Data!$L$2:$L$4000,MATCH($A244,BBG_Data!$K$2:$K$4000,0)),NA()))</f>
        <v/>
      </c>
      <c r="S244" s="20">
        <f>IF(AND(ISNUMBER(B244),ISNUMBER(Q244),ISNUMBER(R244)),(B244-Q244-R244)*100,NA())</f>
        <v/>
      </c>
      <c r="T244" s="20">
        <f>IF(AND(ISNUMBER(B244),Settings!$B$17&gt;0),IF(ISNUMBER(INDEX($B:$B,Settings!$B$17)),(B244-INDEX($B:$B,Settings!$B$17))*100,NA()),NA())</f>
        <v/>
      </c>
      <c r="U244" s="20">
        <f>IF(AND(ISNUMBER(Q244),Settings!$B$17&gt;0),IF(ISNUMBER(INDEX($Q:$Q,Settings!$B$17)),(Q244-INDEX($Q:$Q,Settings!$B$17))*100,NA()),NA())</f>
        <v/>
      </c>
      <c r="V244" s="20">
        <f>IF(AND(ISNUMBER(R244),Settings!$B$17&gt;0),IF(ISNUMBER(INDEX($R:$R,Settings!$B$17)),(R244-INDEX($R:$R,Settings!$B$17))*100,NA()),NA())</f>
        <v/>
      </c>
      <c r="W244" s="20">
        <f>IF(AND(ISNUMBER(P244),Settings!$B$17&gt;0),IF(ISNUMBER(INDEX($P:$P,Settings!$B$17)),P244-INDEX($P:$P,Settings!$B$17),NA()),NA())</f>
        <v/>
      </c>
      <c r="X244" s="19">
        <f>IF(NOT(ISNUMBER($A244)),NA(),IF(OR($A244&lt;MIN(DKW_10Y!$A$2:$A$2918),$A244&gt;MAX(DKW_10Y!$A$2:$A$2918),Settings!$B$16&lt;MIN(DKW_10Y!$A$2:$A$2918)),NA(),(INDEX(DKW_10Y!$B$2:$B$2918,MATCH($A244,DKW_10Y!$A$2:$A$2918,1))-INDEX(DKW_10Y!$B$2:$B$2918,MATCH(Settings!$B$16,DKW_10Y!$A$2:$A$2918,1)))*100))</f>
        <v/>
      </c>
      <c r="Y244" s="19">
        <f>IF(NOT(ISNUMBER($A244)),NA(),IF(OR($A244&lt;MIN(DKW_10Y!$A$2:$A$2918),$A244&gt;MAX(DKW_10Y!$A$2:$A$2918),Settings!$B$16&lt;MIN(DKW_10Y!$A$2:$A$2918)),NA(),(INDEX(DKW_10Y!$C$2:$C$2918,MATCH($A244,DKW_10Y!$A$2:$A$2918,1))-INDEX(DKW_10Y!$C$2:$C$2918,MATCH(Settings!$B$16,DKW_10Y!$A$2:$A$2918,1)))*100))</f>
        <v/>
      </c>
      <c r="Z244" s="19">
        <f>IF(NOT(ISNUMBER($A244)),NA(),IF(OR($A244&lt;MIN(DKW_10Y!$A$2:$A$2918),$A244&gt;MAX(DKW_10Y!$A$2:$A$2918),Settings!$B$16&lt;MIN(DKW_10Y!$A$2:$A$2918)),NA(),(INDEX(DKW_10Y!$D$2:$D$2918,MATCH($A244,DKW_10Y!$A$2:$A$2918,1))-INDEX(DKW_10Y!$D$2:$D$2918,MATCH(Settings!$B$16,DKW_10Y!$A$2:$A$2918,1)))*100))</f>
        <v/>
      </c>
      <c r="AA244" s="19">
        <f>IF(NOT(ISNUMBER($A244)),NA(),IF(OR($A244&lt;MIN(DKW_10Y!$A$2:$A$2918),$A244&gt;MAX(DKW_10Y!$A$2:$A$2918),Settings!$B$16&lt;MIN(DKW_10Y!$A$2:$A$2918)),NA(),(INDEX(DKW_10Y!$E$2:$E$2918,MATCH($A244,DKW_10Y!$A$2:$A$2918,1))-INDEX(DKW_10Y!$E$2:$E$2918,MATCH(Settings!$B$16,DKW_10Y!$A$2:$A$2918,1)))*100))</f>
        <v/>
      </c>
      <c r="AB244" s="19">
        <f>IF(NOT(ISNUMBER($A244)),NA(),IF(OR($A244&lt;MIN(DKW_10Y!$A$2:$A$2918),$A244&gt;MAX(DKW_10Y!$A$2:$A$2918),Settings!$B$16&lt;MIN(DKW_10Y!$A$2:$A$2918)),NA(),(INDEX(DKW_10Y!$H$2:$H$2918,MATCH($A244,DKW_10Y!$A$2:$A$2918,1))-INDEX(DKW_10Y!$H$2:$H$2918,MATCH(Settings!$B$16,DKW_10Y!$A$2:$A$2918,1)))*100))</f>
        <v/>
      </c>
      <c r="AC244" s="18">
        <f>IF(NOT(ISNUMBER($A244)),NA(),IFERROR(1*INDEX(BBG_Data!$N$2:$N$4000,MATCH($A244,BBG_Data!$M$2:$M$4000,0)),NA()))</f>
        <v/>
      </c>
      <c r="AD244" s="18">
        <f>IF(NOT(ISNUMBER($A244)),NA(),IFERROR(1*INDEX(BBG_Data!$P$2:$P$4000,MATCH($A244,BBG_Data!$O$2:$O$4000,0)),NA()))</f>
        <v/>
      </c>
      <c r="AE244" s="18">
        <f>IF(NOT(ISNUMBER($A244)),NA(),IFERROR(1*INDEX(BBG_Data!$R$2:$R$4000,MATCH($A244,BBG_Data!$Q$2:$Q$4000,0)),NA()))</f>
        <v/>
      </c>
      <c r="AF244" s="20">
        <f>IF(AND(ISNUMBER(B244),ISNUMBER(AC244)),(B244-AC244)*100,NA())</f>
        <v/>
      </c>
      <c r="AG244" s="20">
        <f>IF(AND(ISNUMBER(AE244),ISNUMBER(AD244)),(AE244-AD244)*100,NA())</f>
        <v/>
      </c>
      <c r="AH244" s="19">
        <f>IF(NOT(ISNUMBER($A244)),NA(),IFERROR(INDEX(BBG_Data!$T$2:$T$4000,MATCH($A244,BBG_Data!$S$2:$S$4000,0))*Settings!$B$25,NA()))</f>
        <v/>
      </c>
      <c r="AI244" s="19">
        <f>IF(NOT(ISNUMBER($A244)),NA(),IFERROR(INDEX(BBG_Data!$V$2:$V$4000,MATCH($A244,BBG_Data!$U$2:$U$4000,0))*Settings!$B$25,NA()))</f>
        <v/>
      </c>
      <c r="AJ244" s="19">
        <f>IF(NOT(ISNUMBER($A244)),NA(),IFERROR(1*INDEX(BBG_Data!$X$2:$X$4000,MATCH($A244,BBG_Data!$W$2:$W$4000,0)),NA()))</f>
        <v/>
      </c>
      <c r="AK244" s="19">
        <f>IF(NOT(ISNUMBER($A244)),NA(),IFERROR(1*INDEX(BBG_Data!$Z$2:$Z$4000,MATCH($A244,BBG_Data!$Y$2:$Y$4000,0)),NA()))</f>
        <v/>
      </c>
    </row>
    <row r="245">
      <c r="A245" s="17">
        <f>IF(ISNUMBER(BBG_Data!A245),BBG_Data!A245,"")</f>
        <v/>
      </c>
      <c r="B245" s="18">
        <f>IF(AND(ISNUMBER($A245),ISNUMBER(BBG_Data!B245)),BBG_Data!B245,NA())</f>
        <v/>
      </c>
      <c r="C245" s="18">
        <f>IF(NOT(ISNUMBER($A245)),NA(),IFERROR(1*INDEX(BBG_Data!$D$2:$D$4000,MATCH($A245,BBG_Data!$C$2:$C$4000,0)),NA()))</f>
        <v/>
      </c>
      <c r="D245" s="19">
        <f>IF(NOT(ISNUMBER($A245)),NA(),IFERROR(1*INDEX(BBG_Data!$F$2:$F$4000,MATCH($A245,BBG_Data!$E$2:$E$4000,0)),NA()))</f>
        <v/>
      </c>
      <c r="E245" s="19">
        <f>IF(NOT(ISNUMBER($A245)),NA(),IFERROR(1*INDEX(BBG_Data!$H$2:$H$4000,MATCH($A245,BBG_Data!$G$2:$G$4000,0)),NA()))</f>
        <v/>
      </c>
      <c r="F245" s="20">
        <f>IF(AND(ISNUMBER(B245),ISNUMBER(B244)),IF(B245=B244,"",(B245-B244)*100),"")</f>
        <v/>
      </c>
      <c r="G245" s="20">
        <f>IF(AND(ISNUMBER(C245),ISNUMBER(C244)),IF(C245=C244,"",(C245-C244)*100),"")</f>
        <v/>
      </c>
      <c r="H245" s="20">
        <f>IF(OR(NOT(ISNUMBER($A245)),ROW()-2&lt;Settings!$B$11),NA(),IF(COUNT(OFFSET(F245,1-Settings!$B$11,0,Settings!$B$11,1))&lt;ROUNDUP(Settings!$B$11*Settings!$B$26,0),NA(),STDEV(OFFSET(F245,1-Settings!$B$11,0,Settings!$B$11,1))*SQRT(Settings!$B$13)))</f>
        <v/>
      </c>
      <c r="I245" s="20">
        <f>IF(OR(NOT(ISNUMBER($A245)),ROW()-2&lt;Settings!$B$12),NA(),IF(COUNT(OFFSET(F245,1-Settings!$B$12,0,Settings!$B$12,1))&lt;ROUNDUP(Settings!$B$12*Settings!$B$26,0),NA(),STDEV(OFFSET(F245,1-Settings!$B$12,0,Settings!$B$12,1))*SQRT(Settings!$B$13)))</f>
        <v/>
      </c>
      <c r="J245" s="20">
        <f>IF(OR(NOT(ISNUMBER($A245)),ROW()-2&lt;Settings!$B$11),NA(),IF(COUNT(OFFSET(G245,1-Settings!$B$11,0,Settings!$B$11,1))&lt;ROUNDUP(Settings!$B$11*Settings!$B$26,0),NA(),STDEV(OFFSET(G245,1-Settings!$B$11,0,Settings!$B$11,1))*SQRT(Settings!$B$13)))</f>
        <v/>
      </c>
      <c r="K245" s="20">
        <f>IF(OR(NOT(ISNUMBER($A245)),ROW()-2&lt;Settings!$B$12),NA(),IF(COUNT(OFFSET(G245,1-Settings!$B$12,0,Settings!$B$12,1))&lt;ROUNDUP(Settings!$B$12*Settings!$B$26,0),NA(),STDEV(OFFSET(G245,1-Settings!$B$12,0,Settings!$B$12,1))*SQRT(Settings!$B$13)))</f>
        <v/>
      </c>
      <c r="L245" s="20">
        <f>IF(AND(ISNUMBER(D245),ISNUMBER(H245)),D245-H245,NA())</f>
        <v/>
      </c>
      <c r="M245" s="20">
        <f>IF(AND(ISNUMBER(E245),ISNUMBER(K245)),E245-K245,NA())</f>
        <v/>
      </c>
      <c r="N245" s="20">
        <f>IF(NOT(ISNUMBER($A245)),NA(),IF(COUNT(OFFSET(G245,1,0,Settings!$B$12,1))&lt;ROUNDUP(Settings!$B$12*Settings!$B$26,0),NA(),STDEV(OFFSET(G245,1,0,Settings!$B$12,1))*SQRT(Settings!$B$13)))</f>
        <v/>
      </c>
      <c r="O245" s="20">
        <f>IF(AND(ISNUMBER(E245),ISNUMBER(N245)),E245-N245,NA())</f>
        <v/>
      </c>
      <c r="P245" s="19">
        <f>IF(NOT(ISNUMBER($A245)),NA(),IF(OR($A245&lt;MIN(KW_TP!$A$2:$A$2501),$A245&gt;MAX(KW_TP!$A$2:$A$2501)),NA(),INDEX(KW_TP!$C$2:$C$2501,MATCH($A245,KW_TP!$A$2:$A$2501,1))))</f>
        <v/>
      </c>
      <c r="Q245" s="18">
        <f>IF(NOT(ISNUMBER($A245)),NA(),IFERROR(1*INDEX(BBG_Data!$J$2:$J$4000,MATCH($A245,BBG_Data!$I$2:$I$4000,0)),NA()))</f>
        <v/>
      </c>
      <c r="R245" s="18">
        <f>IF(NOT(ISNUMBER($A245)),NA(),IFERROR(1*INDEX(BBG_Data!$L$2:$L$4000,MATCH($A245,BBG_Data!$K$2:$K$4000,0)),NA()))</f>
        <v/>
      </c>
      <c r="S245" s="20">
        <f>IF(AND(ISNUMBER(B245),ISNUMBER(Q245),ISNUMBER(R245)),(B245-Q245-R245)*100,NA())</f>
        <v/>
      </c>
      <c r="T245" s="20">
        <f>IF(AND(ISNUMBER(B245),Settings!$B$17&gt;0),IF(ISNUMBER(INDEX($B:$B,Settings!$B$17)),(B245-INDEX($B:$B,Settings!$B$17))*100,NA()),NA())</f>
        <v/>
      </c>
      <c r="U245" s="20">
        <f>IF(AND(ISNUMBER(Q245),Settings!$B$17&gt;0),IF(ISNUMBER(INDEX($Q:$Q,Settings!$B$17)),(Q245-INDEX($Q:$Q,Settings!$B$17))*100,NA()),NA())</f>
        <v/>
      </c>
      <c r="V245" s="20">
        <f>IF(AND(ISNUMBER(R245),Settings!$B$17&gt;0),IF(ISNUMBER(INDEX($R:$R,Settings!$B$17)),(R245-INDEX($R:$R,Settings!$B$17))*100,NA()),NA())</f>
        <v/>
      </c>
      <c r="W245" s="20">
        <f>IF(AND(ISNUMBER(P245),Settings!$B$17&gt;0),IF(ISNUMBER(INDEX($P:$P,Settings!$B$17)),P245-INDEX($P:$P,Settings!$B$17),NA()),NA())</f>
        <v/>
      </c>
      <c r="X245" s="19">
        <f>IF(NOT(ISNUMBER($A245)),NA(),IF(OR($A245&lt;MIN(DKW_10Y!$A$2:$A$2918),$A245&gt;MAX(DKW_10Y!$A$2:$A$2918),Settings!$B$16&lt;MIN(DKW_10Y!$A$2:$A$2918)),NA(),(INDEX(DKW_10Y!$B$2:$B$2918,MATCH($A245,DKW_10Y!$A$2:$A$2918,1))-INDEX(DKW_10Y!$B$2:$B$2918,MATCH(Settings!$B$16,DKW_10Y!$A$2:$A$2918,1)))*100))</f>
        <v/>
      </c>
      <c r="Y245" s="19">
        <f>IF(NOT(ISNUMBER($A245)),NA(),IF(OR($A245&lt;MIN(DKW_10Y!$A$2:$A$2918),$A245&gt;MAX(DKW_10Y!$A$2:$A$2918),Settings!$B$16&lt;MIN(DKW_10Y!$A$2:$A$2918)),NA(),(INDEX(DKW_10Y!$C$2:$C$2918,MATCH($A245,DKW_10Y!$A$2:$A$2918,1))-INDEX(DKW_10Y!$C$2:$C$2918,MATCH(Settings!$B$16,DKW_10Y!$A$2:$A$2918,1)))*100))</f>
        <v/>
      </c>
      <c r="Z245" s="19">
        <f>IF(NOT(ISNUMBER($A245)),NA(),IF(OR($A245&lt;MIN(DKW_10Y!$A$2:$A$2918),$A245&gt;MAX(DKW_10Y!$A$2:$A$2918),Settings!$B$16&lt;MIN(DKW_10Y!$A$2:$A$2918)),NA(),(INDEX(DKW_10Y!$D$2:$D$2918,MATCH($A245,DKW_10Y!$A$2:$A$2918,1))-INDEX(DKW_10Y!$D$2:$D$2918,MATCH(Settings!$B$16,DKW_10Y!$A$2:$A$2918,1)))*100))</f>
        <v/>
      </c>
      <c r="AA245" s="19">
        <f>IF(NOT(ISNUMBER($A245)),NA(),IF(OR($A245&lt;MIN(DKW_10Y!$A$2:$A$2918),$A245&gt;MAX(DKW_10Y!$A$2:$A$2918),Settings!$B$16&lt;MIN(DKW_10Y!$A$2:$A$2918)),NA(),(INDEX(DKW_10Y!$E$2:$E$2918,MATCH($A245,DKW_10Y!$A$2:$A$2918,1))-INDEX(DKW_10Y!$E$2:$E$2918,MATCH(Settings!$B$16,DKW_10Y!$A$2:$A$2918,1)))*100))</f>
        <v/>
      </c>
      <c r="AB245" s="19">
        <f>IF(NOT(ISNUMBER($A245)),NA(),IF(OR($A245&lt;MIN(DKW_10Y!$A$2:$A$2918),$A245&gt;MAX(DKW_10Y!$A$2:$A$2918),Settings!$B$16&lt;MIN(DKW_10Y!$A$2:$A$2918)),NA(),(INDEX(DKW_10Y!$H$2:$H$2918,MATCH($A245,DKW_10Y!$A$2:$A$2918,1))-INDEX(DKW_10Y!$H$2:$H$2918,MATCH(Settings!$B$16,DKW_10Y!$A$2:$A$2918,1)))*100))</f>
        <v/>
      </c>
      <c r="AC245" s="18">
        <f>IF(NOT(ISNUMBER($A245)),NA(),IFERROR(1*INDEX(BBG_Data!$N$2:$N$4000,MATCH($A245,BBG_Data!$M$2:$M$4000,0)),NA()))</f>
        <v/>
      </c>
      <c r="AD245" s="18">
        <f>IF(NOT(ISNUMBER($A245)),NA(),IFERROR(1*INDEX(BBG_Data!$P$2:$P$4000,MATCH($A245,BBG_Data!$O$2:$O$4000,0)),NA()))</f>
        <v/>
      </c>
      <c r="AE245" s="18">
        <f>IF(NOT(ISNUMBER($A245)),NA(),IFERROR(1*INDEX(BBG_Data!$R$2:$R$4000,MATCH($A245,BBG_Data!$Q$2:$Q$4000,0)),NA()))</f>
        <v/>
      </c>
      <c r="AF245" s="20">
        <f>IF(AND(ISNUMBER(B245),ISNUMBER(AC245)),(B245-AC245)*100,NA())</f>
        <v/>
      </c>
      <c r="AG245" s="20">
        <f>IF(AND(ISNUMBER(AE245),ISNUMBER(AD245)),(AE245-AD245)*100,NA())</f>
        <v/>
      </c>
      <c r="AH245" s="19">
        <f>IF(NOT(ISNUMBER($A245)),NA(),IFERROR(INDEX(BBG_Data!$T$2:$T$4000,MATCH($A245,BBG_Data!$S$2:$S$4000,0))*Settings!$B$25,NA()))</f>
        <v/>
      </c>
      <c r="AI245" s="19">
        <f>IF(NOT(ISNUMBER($A245)),NA(),IFERROR(INDEX(BBG_Data!$V$2:$V$4000,MATCH($A245,BBG_Data!$U$2:$U$4000,0))*Settings!$B$25,NA()))</f>
        <v/>
      </c>
      <c r="AJ245" s="19">
        <f>IF(NOT(ISNUMBER($A245)),NA(),IFERROR(1*INDEX(BBG_Data!$X$2:$X$4000,MATCH($A245,BBG_Data!$W$2:$W$4000,0)),NA()))</f>
        <v/>
      </c>
      <c r="AK245" s="19">
        <f>IF(NOT(ISNUMBER($A245)),NA(),IFERROR(1*INDEX(BBG_Data!$Z$2:$Z$4000,MATCH($A245,BBG_Data!$Y$2:$Y$4000,0)),NA()))</f>
        <v/>
      </c>
    </row>
    <row r="246">
      <c r="A246" s="17">
        <f>IF(ISNUMBER(BBG_Data!A246),BBG_Data!A246,"")</f>
        <v/>
      </c>
      <c r="B246" s="18">
        <f>IF(AND(ISNUMBER($A246),ISNUMBER(BBG_Data!B246)),BBG_Data!B246,NA())</f>
        <v/>
      </c>
      <c r="C246" s="18">
        <f>IF(NOT(ISNUMBER($A246)),NA(),IFERROR(1*INDEX(BBG_Data!$D$2:$D$4000,MATCH($A246,BBG_Data!$C$2:$C$4000,0)),NA()))</f>
        <v/>
      </c>
      <c r="D246" s="19">
        <f>IF(NOT(ISNUMBER($A246)),NA(),IFERROR(1*INDEX(BBG_Data!$F$2:$F$4000,MATCH($A246,BBG_Data!$E$2:$E$4000,0)),NA()))</f>
        <v/>
      </c>
      <c r="E246" s="19">
        <f>IF(NOT(ISNUMBER($A246)),NA(),IFERROR(1*INDEX(BBG_Data!$H$2:$H$4000,MATCH($A246,BBG_Data!$G$2:$G$4000,0)),NA()))</f>
        <v/>
      </c>
      <c r="F246" s="20">
        <f>IF(AND(ISNUMBER(B246),ISNUMBER(B245)),IF(B246=B245,"",(B246-B245)*100),"")</f>
        <v/>
      </c>
      <c r="G246" s="20">
        <f>IF(AND(ISNUMBER(C246),ISNUMBER(C245)),IF(C246=C245,"",(C246-C245)*100),"")</f>
        <v/>
      </c>
      <c r="H246" s="20">
        <f>IF(OR(NOT(ISNUMBER($A246)),ROW()-2&lt;Settings!$B$11),NA(),IF(COUNT(OFFSET(F246,1-Settings!$B$11,0,Settings!$B$11,1))&lt;ROUNDUP(Settings!$B$11*Settings!$B$26,0),NA(),STDEV(OFFSET(F246,1-Settings!$B$11,0,Settings!$B$11,1))*SQRT(Settings!$B$13)))</f>
        <v/>
      </c>
      <c r="I246" s="20">
        <f>IF(OR(NOT(ISNUMBER($A246)),ROW()-2&lt;Settings!$B$12),NA(),IF(COUNT(OFFSET(F246,1-Settings!$B$12,0,Settings!$B$12,1))&lt;ROUNDUP(Settings!$B$12*Settings!$B$26,0),NA(),STDEV(OFFSET(F246,1-Settings!$B$12,0,Settings!$B$12,1))*SQRT(Settings!$B$13)))</f>
        <v/>
      </c>
      <c r="J246" s="20">
        <f>IF(OR(NOT(ISNUMBER($A246)),ROW()-2&lt;Settings!$B$11),NA(),IF(COUNT(OFFSET(G246,1-Settings!$B$11,0,Settings!$B$11,1))&lt;ROUNDUP(Settings!$B$11*Settings!$B$26,0),NA(),STDEV(OFFSET(G246,1-Settings!$B$11,0,Settings!$B$11,1))*SQRT(Settings!$B$13)))</f>
        <v/>
      </c>
      <c r="K246" s="20">
        <f>IF(OR(NOT(ISNUMBER($A246)),ROW()-2&lt;Settings!$B$12),NA(),IF(COUNT(OFFSET(G246,1-Settings!$B$12,0,Settings!$B$12,1))&lt;ROUNDUP(Settings!$B$12*Settings!$B$26,0),NA(),STDEV(OFFSET(G246,1-Settings!$B$12,0,Settings!$B$12,1))*SQRT(Settings!$B$13)))</f>
        <v/>
      </c>
      <c r="L246" s="20">
        <f>IF(AND(ISNUMBER(D246),ISNUMBER(H246)),D246-H246,NA())</f>
        <v/>
      </c>
      <c r="M246" s="20">
        <f>IF(AND(ISNUMBER(E246),ISNUMBER(K246)),E246-K246,NA())</f>
        <v/>
      </c>
      <c r="N246" s="20">
        <f>IF(NOT(ISNUMBER($A246)),NA(),IF(COUNT(OFFSET(G246,1,0,Settings!$B$12,1))&lt;ROUNDUP(Settings!$B$12*Settings!$B$26,0),NA(),STDEV(OFFSET(G246,1,0,Settings!$B$12,1))*SQRT(Settings!$B$13)))</f>
        <v/>
      </c>
      <c r="O246" s="20">
        <f>IF(AND(ISNUMBER(E246),ISNUMBER(N246)),E246-N246,NA())</f>
        <v/>
      </c>
      <c r="P246" s="19">
        <f>IF(NOT(ISNUMBER($A246)),NA(),IF(OR($A246&lt;MIN(KW_TP!$A$2:$A$2501),$A246&gt;MAX(KW_TP!$A$2:$A$2501)),NA(),INDEX(KW_TP!$C$2:$C$2501,MATCH($A246,KW_TP!$A$2:$A$2501,1))))</f>
        <v/>
      </c>
      <c r="Q246" s="18">
        <f>IF(NOT(ISNUMBER($A246)),NA(),IFERROR(1*INDEX(BBG_Data!$J$2:$J$4000,MATCH($A246,BBG_Data!$I$2:$I$4000,0)),NA()))</f>
        <v/>
      </c>
      <c r="R246" s="18">
        <f>IF(NOT(ISNUMBER($A246)),NA(),IFERROR(1*INDEX(BBG_Data!$L$2:$L$4000,MATCH($A246,BBG_Data!$K$2:$K$4000,0)),NA()))</f>
        <v/>
      </c>
      <c r="S246" s="20">
        <f>IF(AND(ISNUMBER(B246),ISNUMBER(Q246),ISNUMBER(R246)),(B246-Q246-R246)*100,NA())</f>
        <v/>
      </c>
      <c r="T246" s="20">
        <f>IF(AND(ISNUMBER(B246),Settings!$B$17&gt;0),IF(ISNUMBER(INDEX($B:$B,Settings!$B$17)),(B246-INDEX($B:$B,Settings!$B$17))*100,NA()),NA())</f>
        <v/>
      </c>
      <c r="U246" s="20">
        <f>IF(AND(ISNUMBER(Q246),Settings!$B$17&gt;0),IF(ISNUMBER(INDEX($Q:$Q,Settings!$B$17)),(Q246-INDEX($Q:$Q,Settings!$B$17))*100,NA()),NA())</f>
        <v/>
      </c>
      <c r="V246" s="20">
        <f>IF(AND(ISNUMBER(R246),Settings!$B$17&gt;0),IF(ISNUMBER(INDEX($R:$R,Settings!$B$17)),(R246-INDEX($R:$R,Settings!$B$17))*100,NA()),NA())</f>
        <v/>
      </c>
      <c r="W246" s="20">
        <f>IF(AND(ISNUMBER(P246),Settings!$B$17&gt;0),IF(ISNUMBER(INDEX($P:$P,Settings!$B$17)),P246-INDEX($P:$P,Settings!$B$17),NA()),NA())</f>
        <v/>
      </c>
      <c r="X246" s="19">
        <f>IF(NOT(ISNUMBER($A246)),NA(),IF(OR($A246&lt;MIN(DKW_10Y!$A$2:$A$2918),$A246&gt;MAX(DKW_10Y!$A$2:$A$2918),Settings!$B$16&lt;MIN(DKW_10Y!$A$2:$A$2918)),NA(),(INDEX(DKW_10Y!$B$2:$B$2918,MATCH($A246,DKW_10Y!$A$2:$A$2918,1))-INDEX(DKW_10Y!$B$2:$B$2918,MATCH(Settings!$B$16,DKW_10Y!$A$2:$A$2918,1)))*100))</f>
        <v/>
      </c>
      <c r="Y246" s="19">
        <f>IF(NOT(ISNUMBER($A246)),NA(),IF(OR($A246&lt;MIN(DKW_10Y!$A$2:$A$2918),$A246&gt;MAX(DKW_10Y!$A$2:$A$2918),Settings!$B$16&lt;MIN(DKW_10Y!$A$2:$A$2918)),NA(),(INDEX(DKW_10Y!$C$2:$C$2918,MATCH($A246,DKW_10Y!$A$2:$A$2918,1))-INDEX(DKW_10Y!$C$2:$C$2918,MATCH(Settings!$B$16,DKW_10Y!$A$2:$A$2918,1)))*100))</f>
        <v/>
      </c>
      <c r="Z246" s="19">
        <f>IF(NOT(ISNUMBER($A246)),NA(),IF(OR($A246&lt;MIN(DKW_10Y!$A$2:$A$2918),$A246&gt;MAX(DKW_10Y!$A$2:$A$2918),Settings!$B$16&lt;MIN(DKW_10Y!$A$2:$A$2918)),NA(),(INDEX(DKW_10Y!$D$2:$D$2918,MATCH($A246,DKW_10Y!$A$2:$A$2918,1))-INDEX(DKW_10Y!$D$2:$D$2918,MATCH(Settings!$B$16,DKW_10Y!$A$2:$A$2918,1)))*100))</f>
        <v/>
      </c>
      <c r="AA246" s="19">
        <f>IF(NOT(ISNUMBER($A246)),NA(),IF(OR($A246&lt;MIN(DKW_10Y!$A$2:$A$2918),$A246&gt;MAX(DKW_10Y!$A$2:$A$2918),Settings!$B$16&lt;MIN(DKW_10Y!$A$2:$A$2918)),NA(),(INDEX(DKW_10Y!$E$2:$E$2918,MATCH($A246,DKW_10Y!$A$2:$A$2918,1))-INDEX(DKW_10Y!$E$2:$E$2918,MATCH(Settings!$B$16,DKW_10Y!$A$2:$A$2918,1)))*100))</f>
        <v/>
      </c>
      <c r="AB246" s="19">
        <f>IF(NOT(ISNUMBER($A246)),NA(),IF(OR($A246&lt;MIN(DKW_10Y!$A$2:$A$2918),$A246&gt;MAX(DKW_10Y!$A$2:$A$2918),Settings!$B$16&lt;MIN(DKW_10Y!$A$2:$A$2918)),NA(),(INDEX(DKW_10Y!$H$2:$H$2918,MATCH($A246,DKW_10Y!$A$2:$A$2918,1))-INDEX(DKW_10Y!$H$2:$H$2918,MATCH(Settings!$B$16,DKW_10Y!$A$2:$A$2918,1)))*100))</f>
        <v/>
      </c>
      <c r="AC246" s="18">
        <f>IF(NOT(ISNUMBER($A246)),NA(),IFERROR(1*INDEX(BBG_Data!$N$2:$N$4000,MATCH($A246,BBG_Data!$M$2:$M$4000,0)),NA()))</f>
        <v/>
      </c>
      <c r="AD246" s="18">
        <f>IF(NOT(ISNUMBER($A246)),NA(),IFERROR(1*INDEX(BBG_Data!$P$2:$P$4000,MATCH($A246,BBG_Data!$O$2:$O$4000,0)),NA()))</f>
        <v/>
      </c>
      <c r="AE246" s="18">
        <f>IF(NOT(ISNUMBER($A246)),NA(),IFERROR(1*INDEX(BBG_Data!$R$2:$R$4000,MATCH($A246,BBG_Data!$Q$2:$Q$4000,0)),NA()))</f>
        <v/>
      </c>
      <c r="AF246" s="20">
        <f>IF(AND(ISNUMBER(B246),ISNUMBER(AC246)),(B246-AC246)*100,NA())</f>
        <v/>
      </c>
      <c r="AG246" s="20">
        <f>IF(AND(ISNUMBER(AE246),ISNUMBER(AD246)),(AE246-AD246)*100,NA())</f>
        <v/>
      </c>
      <c r="AH246" s="19">
        <f>IF(NOT(ISNUMBER($A246)),NA(),IFERROR(INDEX(BBG_Data!$T$2:$T$4000,MATCH($A246,BBG_Data!$S$2:$S$4000,0))*Settings!$B$25,NA()))</f>
        <v/>
      </c>
      <c r="AI246" s="19">
        <f>IF(NOT(ISNUMBER($A246)),NA(),IFERROR(INDEX(BBG_Data!$V$2:$V$4000,MATCH($A246,BBG_Data!$U$2:$U$4000,0))*Settings!$B$25,NA()))</f>
        <v/>
      </c>
      <c r="AJ246" s="19">
        <f>IF(NOT(ISNUMBER($A246)),NA(),IFERROR(1*INDEX(BBG_Data!$X$2:$X$4000,MATCH($A246,BBG_Data!$W$2:$W$4000,0)),NA()))</f>
        <v/>
      </c>
      <c r="AK246" s="19">
        <f>IF(NOT(ISNUMBER($A246)),NA(),IFERROR(1*INDEX(BBG_Data!$Z$2:$Z$4000,MATCH($A246,BBG_Data!$Y$2:$Y$4000,0)),NA()))</f>
        <v/>
      </c>
    </row>
    <row r="247">
      <c r="A247" s="17">
        <f>IF(ISNUMBER(BBG_Data!A247),BBG_Data!A247,"")</f>
        <v/>
      </c>
      <c r="B247" s="18">
        <f>IF(AND(ISNUMBER($A247),ISNUMBER(BBG_Data!B247)),BBG_Data!B247,NA())</f>
        <v/>
      </c>
      <c r="C247" s="18">
        <f>IF(NOT(ISNUMBER($A247)),NA(),IFERROR(1*INDEX(BBG_Data!$D$2:$D$4000,MATCH($A247,BBG_Data!$C$2:$C$4000,0)),NA()))</f>
        <v/>
      </c>
      <c r="D247" s="19">
        <f>IF(NOT(ISNUMBER($A247)),NA(),IFERROR(1*INDEX(BBG_Data!$F$2:$F$4000,MATCH($A247,BBG_Data!$E$2:$E$4000,0)),NA()))</f>
        <v/>
      </c>
      <c r="E247" s="19">
        <f>IF(NOT(ISNUMBER($A247)),NA(),IFERROR(1*INDEX(BBG_Data!$H$2:$H$4000,MATCH($A247,BBG_Data!$G$2:$G$4000,0)),NA()))</f>
        <v/>
      </c>
      <c r="F247" s="20">
        <f>IF(AND(ISNUMBER(B247),ISNUMBER(B246)),IF(B247=B246,"",(B247-B246)*100),"")</f>
        <v/>
      </c>
      <c r="G247" s="20">
        <f>IF(AND(ISNUMBER(C247),ISNUMBER(C246)),IF(C247=C246,"",(C247-C246)*100),"")</f>
        <v/>
      </c>
      <c r="H247" s="20">
        <f>IF(OR(NOT(ISNUMBER($A247)),ROW()-2&lt;Settings!$B$11),NA(),IF(COUNT(OFFSET(F247,1-Settings!$B$11,0,Settings!$B$11,1))&lt;ROUNDUP(Settings!$B$11*Settings!$B$26,0),NA(),STDEV(OFFSET(F247,1-Settings!$B$11,0,Settings!$B$11,1))*SQRT(Settings!$B$13)))</f>
        <v/>
      </c>
      <c r="I247" s="20">
        <f>IF(OR(NOT(ISNUMBER($A247)),ROW()-2&lt;Settings!$B$12),NA(),IF(COUNT(OFFSET(F247,1-Settings!$B$12,0,Settings!$B$12,1))&lt;ROUNDUP(Settings!$B$12*Settings!$B$26,0),NA(),STDEV(OFFSET(F247,1-Settings!$B$12,0,Settings!$B$12,1))*SQRT(Settings!$B$13)))</f>
        <v/>
      </c>
      <c r="J247" s="20">
        <f>IF(OR(NOT(ISNUMBER($A247)),ROW()-2&lt;Settings!$B$11),NA(),IF(COUNT(OFFSET(G247,1-Settings!$B$11,0,Settings!$B$11,1))&lt;ROUNDUP(Settings!$B$11*Settings!$B$26,0),NA(),STDEV(OFFSET(G247,1-Settings!$B$11,0,Settings!$B$11,1))*SQRT(Settings!$B$13)))</f>
        <v/>
      </c>
      <c r="K247" s="20">
        <f>IF(OR(NOT(ISNUMBER($A247)),ROW()-2&lt;Settings!$B$12),NA(),IF(COUNT(OFFSET(G247,1-Settings!$B$12,0,Settings!$B$12,1))&lt;ROUNDUP(Settings!$B$12*Settings!$B$26,0),NA(),STDEV(OFFSET(G247,1-Settings!$B$12,0,Settings!$B$12,1))*SQRT(Settings!$B$13)))</f>
        <v/>
      </c>
      <c r="L247" s="20">
        <f>IF(AND(ISNUMBER(D247),ISNUMBER(H247)),D247-H247,NA())</f>
        <v/>
      </c>
      <c r="M247" s="20">
        <f>IF(AND(ISNUMBER(E247),ISNUMBER(K247)),E247-K247,NA())</f>
        <v/>
      </c>
      <c r="N247" s="20">
        <f>IF(NOT(ISNUMBER($A247)),NA(),IF(COUNT(OFFSET(G247,1,0,Settings!$B$12,1))&lt;ROUNDUP(Settings!$B$12*Settings!$B$26,0),NA(),STDEV(OFFSET(G247,1,0,Settings!$B$12,1))*SQRT(Settings!$B$13)))</f>
        <v/>
      </c>
      <c r="O247" s="20">
        <f>IF(AND(ISNUMBER(E247),ISNUMBER(N247)),E247-N247,NA())</f>
        <v/>
      </c>
      <c r="P247" s="19">
        <f>IF(NOT(ISNUMBER($A247)),NA(),IF(OR($A247&lt;MIN(KW_TP!$A$2:$A$2501),$A247&gt;MAX(KW_TP!$A$2:$A$2501)),NA(),INDEX(KW_TP!$C$2:$C$2501,MATCH($A247,KW_TP!$A$2:$A$2501,1))))</f>
        <v/>
      </c>
      <c r="Q247" s="18">
        <f>IF(NOT(ISNUMBER($A247)),NA(),IFERROR(1*INDEX(BBG_Data!$J$2:$J$4000,MATCH($A247,BBG_Data!$I$2:$I$4000,0)),NA()))</f>
        <v/>
      </c>
      <c r="R247" s="18">
        <f>IF(NOT(ISNUMBER($A247)),NA(),IFERROR(1*INDEX(BBG_Data!$L$2:$L$4000,MATCH($A247,BBG_Data!$K$2:$K$4000,0)),NA()))</f>
        <v/>
      </c>
      <c r="S247" s="20">
        <f>IF(AND(ISNUMBER(B247),ISNUMBER(Q247),ISNUMBER(R247)),(B247-Q247-R247)*100,NA())</f>
        <v/>
      </c>
      <c r="T247" s="20">
        <f>IF(AND(ISNUMBER(B247),Settings!$B$17&gt;0),IF(ISNUMBER(INDEX($B:$B,Settings!$B$17)),(B247-INDEX($B:$B,Settings!$B$17))*100,NA()),NA())</f>
        <v/>
      </c>
      <c r="U247" s="20">
        <f>IF(AND(ISNUMBER(Q247),Settings!$B$17&gt;0),IF(ISNUMBER(INDEX($Q:$Q,Settings!$B$17)),(Q247-INDEX($Q:$Q,Settings!$B$17))*100,NA()),NA())</f>
        <v/>
      </c>
      <c r="V247" s="20">
        <f>IF(AND(ISNUMBER(R247),Settings!$B$17&gt;0),IF(ISNUMBER(INDEX($R:$R,Settings!$B$17)),(R247-INDEX($R:$R,Settings!$B$17))*100,NA()),NA())</f>
        <v/>
      </c>
      <c r="W247" s="20">
        <f>IF(AND(ISNUMBER(P247),Settings!$B$17&gt;0),IF(ISNUMBER(INDEX($P:$P,Settings!$B$17)),P247-INDEX($P:$P,Settings!$B$17),NA()),NA())</f>
        <v/>
      </c>
      <c r="X247" s="19">
        <f>IF(NOT(ISNUMBER($A247)),NA(),IF(OR($A247&lt;MIN(DKW_10Y!$A$2:$A$2918),$A247&gt;MAX(DKW_10Y!$A$2:$A$2918),Settings!$B$16&lt;MIN(DKW_10Y!$A$2:$A$2918)),NA(),(INDEX(DKW_10Y!$B$2:$B$2918,MATCH($A247,DKW_10Y!$A$2:$A$2918,1))-INDEX(DKW_10Y!$B$2:$B$2918,MATCH(Settings!$B$16,DKW_10Y!$A$2:$A$2918,1)))*100))</f>
        <v/>
      </c>
      <c r="Y247" s="19">
        <f>IF(NOT(ISNUMBER($A247)),NA(),IF(OR($A247&lt;MIN(DKW_10Y!$A$2:$A$2918),$A247&gt;MAX(DKW_10Y!$A$2:$A$2918),Settings!$B$16&lt;MIN(DKW_10Y!$A$2:$A$2918)),NA(),(INDEX(DKW_10Y!$C$2:$C$2918,MATCH($A247,DKW_10Y!$A$2:$A$2918,1))-INDEX(DKW_10Y!$C$2:$C$2918,MATCH(Settings!$B$16,DKW_10Y!$A$2:$A$2918,1)))*100))</f>
        <v/>
      </c>
      <c r="Z247" s="19">
        <f>IF(NOT(ISNUMBER($A247)),NA(),IF(OR($A247&lt;MIN(DKW_10Y!$A$2:$A$2918),$A247&gt;MAX(DKW_10Y!$A$2:$A$2918),Settings!$B$16&lt;MIN(DKW_10Y!$A$2:$A$2918)),NA(),(INDEX(DKW_10Y!$D$2:$D$2918,MATCH($A247,DKW_10Y!$A$2:$A$2918,1))-INDEX(DKW_10Y!$D$2:$D$2918,MATCH(Settings!$B$16,DKW_10Y!$A$2:$A$2918,1)))*100))</f>
        <v/>
      </c>
      <c r="AA247" s="19">
        <f>IF(NOT(ISNUMBER($A247)),NA(),IF(OR($A247&lt;MIN(DKW_10Y!$A$2:$A$2918),$A247&gt;MAX(DKW_10Y!$A$2:$A$2918),Settings!$B$16&lt;MIN(DKW_10Y!$A$2:$A$2918)),NA(),(INDEX(DKW_10Y!$E$2:$E$2918,MATCH($A247,DKW_10Y!$A$2:$A$2918,1))-INDEX(DKW_10Y!$E$2:$E$2918,MATCH(Settings!$B$16,DKW_10Y!$A$2:$A$2918,1)))*100))</f>
        <v/>
      </c>
      <c r="AB247" s="19">
        <f>IF(NOT(ISNUMBER($A247)),NA(),IF(OR($A247&lt;MIN(DKW_10Y!$A$2:$A$2918),$A247&gt;MAX(DKW_10Y!$A$2:$A$2918),Settings!$B$16&lt;MIN(DKW_10Y!$A$2:$A$2918)),NA(),(INDEX(DKW_10Y!$H$2:$H$2918,MATCH($A247,DKW_10Y!$A$2:$A$2918,1))-INDEX(DKW_10Y!$H$2:$H$2918,MATCH(Settings!$B$16,DKW_10Y!$A$2:$A$2918,1)))*100))</f>
        <v/>
      </c>
      <c r="AC247" s="18">
        <f>IF(NOT(ISNUMBER($A247)),NA(),IFERROR(1*INDEX(BBG_Data!$N$2:$N$4000,MATCH($A247,BBG_Data!$M$2:$M$4000,0)),NA()))</f>
        <v/>
      </c>
      <c r="AD247" s="18">
        <f>IF(NOT(ISNUMBER($A247)),NA(),IFERROR(1*INDEX(BBG_Data!$P$2:$P$4000,MATCH($A247,BBG_Data!$O$2:$O$4000,0)),NA()))</f>
        <v/>
      </c>
      <c r="AE247" s="18">
        <f>IF(NOT(ISNUMBER($A247)),NA(),IFERROR(1*INDEX(BBG_Data!$R$2:$R$4000,MATCH($A247,BBG_Data!$Q$2:$Q$4000,0)),NA()))</f>
        <v/>
      </c>
      <c r="AF247" s="20">
        <f>IF(AND(ISNUMBER(B247),ISNUMBER(AC247)),(B247-AC247)*100,NA())</f>
        <v/>
      </c>
      <c r="AG247" s="20">
        <f>IF(AND(ISNUMBER(AE247),ISNUMBER(AD247)),(AE247-AD247)*100,NA())</f>
        <v/>
      </c>
      <c r="AH247" s="19">
        <f>IF(NOT(ISNUMBER($A247)),NA(),IFERROR(INDEX(BBG_Data!$T$2:$T$4000,MATCH($A247,BBG_Data!$S$2:$S$4000,0))*Settings!$B$25,NA()))</f>
        <v/>
      </c>
      <c r="AI247" s="19">
        <f>IF(NOT(ISNUMBER($A247)),NA(),IFERROR(INDEX(BBG_Data!$V$2:$V$4000,MATCH($A247,BBG_Data!$U$2:$U$4000,0))*Settings!$B$25,NA()))</f>
        <v/>
      </c>
      <c r="AJ247" s="19">
        <f>IF(NOT(ISNUMBER($A247)),NA(),IFERROR(1*INDEX(BBG_Data!$X$2:$X$4000,MATCH($A247,BBG_Data!$W$2:$W$4000,0)),NA()))</f>
        <v/>
      </c>
      <c r="AK247" s="19">
        <f>IF(NOT(ISNUMBER($A247)),NA(),IFERROR(1*INDEX(BBG_Data!$Z$2:$Z$4000,MATCH($A247,BBG_Data!$Y$2:$Y$4000,0)),NA()))</f>
        <v/>
      </c>
    </row>
    <row r="248">
      <c r="A248" s="17">
        <f>IF(ISNUMBER(BBG_Data!A248),BBG_Data!A248,"")</f>
        <v/>
      </c>
      <c r="B248" s="18">
        <f>IF(AND(ISNUMBER($A248),ISNUMBER(BBG_Data!B248)),BBG_Data!B248,NA())</f>
        <v/>
      </c>
      <c r="C248" s="18">
        <f>IF(NOT(ISNUMBER($A248)),NA(),IFERROR(1*INDEX(BBG_Data!$D$2:$D$4000,MATCH($A248,BBG_Data!$C$2:$C$4000,0)),NA()))</f>
        <v/>
      </c>
      <c r="D248" s="19">
        <f>IF(NOT(ISNUMBER($A248)),NA(),IFERROR(1*INDEX(BBG_Data!$F$2:$F$4000,MATCH($A248,BBG_Data!$E$2:$E$4000,0)),NA()))</f>
        <v/>
      </c>
      <c r="E248" s="19">
        <f>IF(NOT(ISNUMBER($A248)),NA(),IFERROR(1*INDEX(BBG_Data!$H$2:$H$4000,MATCH($A248,BBG_Data!$G$2:$G$4000,0)),NA()))</f>
        <v/>
      </c>
      <c r="F248" s="20">
        <f>IF(AND(ISNUMBER(B248),ISNUMBER(B247)),IF(B248=B247,"",(B248-B247)*100),"")</f>
        <v/>
      </c>
      <c r="G248" s="20">
        <f>IF(AND(ISNUMBER(C248),ISNUMBER(C247)),IF(C248=C247,"",(C248-C247)*100),"")</f>
        <v/>
      </c>
      <c r="H248" s="20">
        <f>IF(OR(NOT(ISNUMBER($A248)),ROW()-2&lt;Settings!$B$11),NA(),IF(COUNT(OFFSET(F248,1-Settings!$B$11,0,Settings!$B$11,1))&lt;ROUNDUP(Settings!$B$11*Settings!$B$26,0),NA(),STDEV(OFFSET(F248,1-Settings!$B$11,0,Settings!$B$11,1))*SQRT(Settings!$B$13)))</f>
        <v/>
      </c>
      <c r="I248" s="20">
        <f>IF(OR(NOT(ISNUMBER($A248)),ROW()-2&lt;Settings!$B$12),NA(),IF(COUNT(OFFSET(F248,1-Settings!$B$12,0,Settings!$B$12,1))&lt;ROUNDUP(Settings!$B$12*Settings!$B$26,0),NA(),STDEV(OFFSET(F248,1-Settings!$B$12,0,Settings!$B$12,1))*SQRT(Settings!$B$13)))</f>
        <v/>
      </c>
      <c r="J248" s="20">
        <f>IF(OR(NOT(ISNUMBER($A248)),ROW()-2&lt;Settings!$B$11),NA(),IF(COUNT(OFFSET(G248,1-Settings!$B$11,0,Settings!$B$11,1))&lt;ROUNDUP(Settings!$B$11*Settings!$B$26,0),NA(),STDEV(OFFSET(G248,1-Settings!$B$11,0,Settings!$B$11,1))*SQRT(Settings!$B$13)))</f>
        <v/>
      </c>
      <c r="K248" s="20">
        <f>IF(OR(NOT(ISNUMBER($A248)),ROW()-2&lt;Settings!$B$12),NA(),IF(COUNT(OFFSET(G248,1-Settings!$B$12,0,Settings!$B$12,1))&lt;ROUNDUP(Settings!$B$12*Settings!$B$26,0),NA(),STDEV(OFFSET(G248,1-Settings!$B$12,0,Settings!$B$12,1))*SQRT(Settings!$B$13)))</f>
        <v/>
      </c>
      <c r="L248" s="20">
        <f>IF(AND(ISNUMBER(D248),ISNUMBER(H248)),D248-H248,NA())</f>
        <v/>
      </c>
      <c r="M248" s="20">
        <f>IF(AND(ISNUMBER(E248),ISNUMBER(K248)),E248-K248,NA())</f>
        <v/>
      </c>
      <c r="N248" s="20">
        <f>IF(NOT(ISNUMBER($A248)),NA(),IF(COUNT(OFFSET(G248,1,0,Settings!$B$12,1))&lt;ROUNDUP(Settings!$B$12*Settings!$B$26,0),NA(),STDEV(OFFSET(G248,1,0,Settings!$B$12,1))*SQRT(Settings!$B$13)))</f>
        <v/>
      </c>
      <c r="O248" s="20">
        <f>IF(AND(ISNUMBER(E248),ISNUMBER(N248)),E248-N248,NA())</f>
        <v/>
      </c>
      <c r="P248" s="19">
        <f>IF(NOT(ISNUMBER($A248)),NA(),IF(OR($A248&lt;MIN(KW_TP!$A$2:$A$2501),$A248&gt;MAX(KW_TP!$A$2:$A$2501)),NA(),INDEX(KW_TP!$C$2:$C$2501,MATCH($A248,KW_TP!$A$2:$A$2501,1))))</f>
        <v/>
      </c>
      <c r="Q248" s="18">
        <f>IF(NOT(ISNUMBER($A248)),NA(),IFERROR(1*INDEX(BBG_Data!$J$2:$J$4000,MATCH($A248,BBG_Data!$I$2:$I$4000,0)),NA()))</f>
        <v/>
      </c>
      <c r="R248" s="18">
        <f>IF(NOT(ISNUMBER($A248)),NA(),IFERROR(1*INDEX(BBG_Data!$L$2:$L$4000,MATCH($A248,BBG_Data!$K$2:$K$4000,0)),NA()))</f>
        <v/>
      </c>
      <c r="S248" s="20">
        <f>IF(AND(ISNUMBER(B248),ISNUMBER(Q248),ISNUMBER(R248)),(B248-Q248-R248)*100,NA())</f>
        <v/>
      </c>
      <c r="T248" s="20">
        <f>IF(AND(ISNUMBER(B248),Settings!$B$17&gt;0),IF(ISNUMBER(INDEX($B:$B,Settings!$B$17)),(B248-INDEX($B:$B,Settings!$B$17))*100,NA()),NA())</f>
        <v/>
      </c>
      <c r="U248" s="20">
        <f>IF(AND(ISNUMBER(Q248),Settings!$B$17&gt;0),IF(ISNUMBER(INDEX($Q:$Q,Settings!$B$17)),(Q248-INDEX($Q:$Q,Settings!$B$17))*100,NA()),NA())</f>
        <v/>
      </c>
      <c r="V248" s="20">
        <f>IF(AND(ISNUMBER(R248),Settings!$B$17&gt;0),IF(ISNUMBER(INDEX($R:$R,Settings!$B$17)),(R248-INDEX($R:$R,Settings!$B$17))*100,NA()),NA())</f>
        <v/>
      </c>
      <c r="W248" s="20">
        <f>IF(AND(ISNUMBER(P248),Settings!$B$17&gt;0),IF(ISNUMBER(INDEX($P:$P,Settings!$B$17)),P248-INDEX($P:$P,Settings!$B$17),NA()),NA())</f>
        <v/>
      </c>
      <c r="X248" s="19">
        <f>IF(NOT(ISNUMBER($A248)),NA(),IF(OR($A248&lt;MIN(DKW_10Y!$A$2:$A$2918),$A248&gt;MAX(DKW_10Y!$A$2:$A$2918),Settings!$B$16&lt;MIN(DKW_10Y!$A$2:$A$2918)),NA(),(INDEX(DKW_10Y!$B$2:$B$2918,MATCH($A248,DKW_10Y!$A$2:$A$2918,1))-INDEX(DKW_10Y!$B$2:$B$2918,MATCH(Settings!$B$16,DKW_10Y!$A$2:$A$2918,1)))*100))</f>
        <v/>
      </c>
      <c r="Y248" s="19">
        <f>IF(NOT(ISNUMBER($A248)),NA(),IF(OR($A248&lt;MIN(DKW_10Y!$A$2:$A$2918),$A248&gt;MAX(DKW_10Y!$A$2:$A$2918),Settings!$B$16&lt;MIN(DKW_10Y!$A$2:$A$2918)),NA(),(INDEX(DKW_10Y!$C$2:$C$2918,MATCH($A248,DKW_10Y!$A$2:$A$2918,1))-INDEX(DKW_10Y!$C$2:$C$2918,MATCH(Settings!$B$16,DKW_10Y!$A$2:$A$2918,1)))*100))</f>
        <v/>
      </c>
      <c r="Z248" s="19">
        <f>IF(NOT(ISNUMBER($A248)),NA(),IF(OR($A248&lt;MIN(DKW_10Y!$A$2:$A$2918),$A248&gt;MAX(DKW_10Y!$A$2:$A$2918),Settings!$B$16&lt;MIN(DKW_10Y!$A$2:$A$2918)),NA(),(INDEX(DKW_10Y!$D$2:$D$2918,MATCH($A248,DKW_10Y!$A$2:$A$2918,1))-INDEX(DKW_10Y!$D$2:$D$2918,MATCH(Settings!$B$16,DKW_10Y!$A$2:$A$2918,1)))*100))</f>
        <v/>
      </c>
      <c r="AA248" s="19">
        <f>IF(NOT(ISNUMBER($A248)),NA(),IF(OR($A248&lt;MIN(DKW_10Y!$A$2:$A$2918),$A248&gt;MAX(DKW_10Y!$A$2:$A$2918),Settings!$B$16&lt;MIN(DKW_10Y!$A$2:$A$2918)),NA(),(INDEX(DKW_10Y!$E$2:$E$2918,MATCH($A248,DKW_10Y!$A$2:$A$2918,1))-INDEX(DKW_10Y!$E$2:$E$2918,MATCH(Settings!$B$16,DKW_10Y!$A$2:$A$2918,1)))*100))</f>
        <v/>
      </c>
      <c r="AB248" s="19">
        <f>IF(NOT(ISNUMBER($A248)),NA(),IF(OR($A248&lt;MIN(DKW_10Y!$A$2:$A$2918),$A248&gt;MAX(DKW_10Y!$A$2:$A$2918),Settings!$B$16&lt;MIN(DKW_10Y!$A$2:$A$2918)),NA(),(INDEX(DKW_10Y!$H$2:$H$2918,MATCH($A248,DKW_10Y!$A$2:$A$2918,1))-INDEX(DKW_10Y!$H$2:$H$2918,MATCH(Settings!$B$16,DKW_10Y!$A$2:$A$2918,1)))*100))</f>
        <v/>
      </c>
      <c r="AC248" s="18">
        <f>IF(NOT(ISNUMBER($A248)),NA(),IFERROR(1*INDEX(BBG_Data!$N$2:$N$4000,MATCH($A248,BBG_Data!$M$2:$M$4000,0)),NA()))</f>
        <v/>
      </c>
      <c r="AD248" s="18">
        <f>IF(NOT(ISNUMBER($A248)),NA(),IFERROR(1*INDEX(BBG_Data!$P$2:$P$4000,MATCH($A248,BBG_Data!$O$2:$O$4000,0)),NA()))</f>
        <v/>
      </c>
      <c r="AE248" s="18">
        <f>IF(NOT(ISNUMBER($A248)),NA(),IFERROR(1*INDEX(BBG_Data!$R$2:$R$4000,MATCH($A248,BBG_Data!$Q$2:$Q$4000,0)),NA()))</f>
        <v/>
      </c>
      <c r="AF248" s="20">
        <f>IF(AND(ISNUMBER(B248),ISNUMBER(AC248)),(B248-AC248)*100,NA())</f>
        <v/>
      </c>
      <c r="AG248" s="20">
        <f>IF(AND(ISNUMBER(AE248),ISNUMBER(AD248)),(AE248-AD248)*100,NA())</f>
        <v/>
      </c>
      <c r="AH248" s="19">
        <f>IF(NOT(ISNUMBER($A248)),NA(),IFERROR(INDEX(BBG_Data!$T$2:$T$4000,MATCH($A248,BBG_Data!$S$2:$S$4000,0))*Settings!$B$25,NA()))</f>
        <v/>
      </c>
      <c r="AI248" s="19">
        <f>IF(NOT(ISNUMBER($A248)),NA(),IFERROR(INDEX(BBG_Data!$V$2:$V$4000,MATCH($A248,BBG_Data!$U$2:$U$4000,0))*Settings!$B$25,NA()))</f>
        <v/>
      </c>
      <c r="AJ248" s="19">
        <f>IF(NOT(ISNUMBER($A248)),NA(),IFERROR(1*INDEX(BBG_Data!$X$2:$X$4000,MATCH($A248,BBG_Data!$W$2:$W$4000,0)),NA()))</f>
        <v/>
      </c>
      <c r="AK248" s="19">
        <f>IF(NOT(ISNUMBER($A248)),NA(),IFERROR(1*INDEX(BBG_Data!$Z$2:$Z$4000,MATCH($A248,BBG_Data!$Y$2:$Y$4000,0)),NA()))</f>
        <v/>
      </c>
    </row>
    <row r="249">
      <c r="A249" s="17">
        <f>IF(ISNUMBER(BBG_Data!A249),BBG_Data!A249,"")</f>
        <v/>
      </c>
      <c r="B249" s="18">
        <f>IF(AND(ISNUMBER($A249),ISNUMBER(BBG_Data!B249)),BBG_Data!B249,NA())</f>
        <v/>
      </c>
      <c r="C249" s="18">
        <f>IF(NOT(ISNUMBER($A249)),NA(),IFERROR(1*INDEX(BBG_Data!$D$2:$D$4000,MATCH($A249,BBG_Data!$C$2:$C$4000,0)),NA()))</f>
        <v/>
      </c>
      <c r="D249" s="19">
        <f>IF(NOT(ISNUMBER($A249)),NA(),IFERROR(1*INDEX(BBG_Data!$F$2:$F$4000,MATCH($A249,BBG_Data!$E$2:$E$4000,0)),NA()))</f>
        <v/>
      </c>
      <c r="E249" s="19">
        <f>IF(NOT(ISNUMBER($A249)),NA(),IFERROR(1*INDEX(BBG_Data!$H$2:$H$4000,MATCH($A249,BBG_Data!$G$2:$G$4000,0)),NA()))</f>
        <v/>
      </c>
      <c r="F249" s="20">
        <f>IF(AND(ISNUMBER(B249),ISNUMBER(B248)),IF(B249=B248,"",(B249-B248)*100),"")</f>
        <v/>
      </c>
      <c r="G249" s="20">
        <f>IF(AND(ISNUMBER(C249),ISNUMBER(C248)),IF(C249=C248,"",(C249-C248)*100),"")</f>
        <v/>
      </c>
      <c r="H249" s="20">
        <f>IF(OR(NOT(ISNUMBER($A249)),ROW()-2&lt;Settings!$B$11),NA(),IF(COUNT(OFFSET(F249,1-Settings!$B$11,0,Settings!$B$11,1))&lt;ROUNDUP(Settings!$B$11*Settings!$B$26,0),NA(),STDEV(OFFSET(F249,1-Settings!$B$11,0,Settings!$B$11,1))*SQRT(Settings!$B$13)))</f>
        <v/>
      </c>
      <c r="I249" s="20">
        <f>IF(OR(NOT(ISNUMBER($A249)),ROW()-2&lt;Settings!$B$12),NA(),IF(COUNT(OFFSET(F249,1-Settings!$B$12,0,Settings!$B$12,1))&lt;ROUNDUP(Settings!$B$12*Settings!$B$26,0),NA(),STDEV(OFFSET(F249,1-Settings!$B$12,0,Settings!$B$12,1))*SQRT(Settings!$B$13)))</f>
        <v/>
      </c>
      <c r="J249" s="20">
        <f>IF(OR(NOT(ISNUMBER($A249)),ROW()-2&lt;Settings!$B$11),NA(),IF(COUNT(OFFSET(G249,1-Settings!$B$11,0,Settings!$B$11,1))&lt;ROUNDUP(Settings!$B$11*Settings!$B$26,0),NA(),STDEV(OFFSET(G249,1-Settings!$B$11,0,Settings!$B$11,1))*SQRT(Settings!$B$13)))</f>
        <v/>
      </c>
      <c r="K249" s="20">
        <f>IF(OR(NOT(ISNUMBER($A249)),ROW()-2&lt;Settings!$B$12),NA(),IF(COUNT(OFFSET(G249,1-Settings!$B$12,0,Settings!$B$12,1))&lt;ROUNDUP(Settings!$B$12*Settings!$B$26,0),NA(),STDEV(OFFSET(G249,1-Settings!$B$12,0,Settings!$B$12,1))*SQRT(Settings!$B$13)))</f>
        <v/>
      </c>
      <c r="L249" s="20">
        <f>IF(AND(ISNUMBER(D249),ISNUMBER(H249)),D249-H249,NA())</f>
        <v/>
      </c>
      <c r="M249" s="20">
        <f>IF(AND(ISNUMBER(E249),ISNUMBER(K249)),E249-K249,NA())</f>
        <v/>
      </c>
      <c r="N249" s="20">
        <f>IF(NOT(ISNUMBER($A249)),NA(),IF(COUNT(OFFSET(G249,1,0,Settings!$B$12,1))&lt;ROUNDUP(Settings!$B$12*Settings!$B$26,0),NA(),STDEV(OFFSET(G249,1,0,Settings!$B$12,1))*SQRT(Settings!$B$13)))</f>
        <v/>
      </c>
      <c r="O249" s="20">
        <f>IF(AND(ISNUMBER(E249),ISNUMBER(N249)),E249-N249,NA())</f>
        <v/>
      </c>
      <c r="P249" s="19">
        <f>IF(NOT(ISNUMBER($A249)),NA(),IF(OR($A249&lt;MIN(KW_TP!$A$2:$A$2501),$A249&gt;MAX(KW_TP!$A$2:$A$2501)),NA(),INDEX(KW_TP!$C$2:$C$2501,MATCH($A249,KW_TP!$A$2:$A$2501,1))))</f>
        <v/>
      </c>
      <c r="Q249" s="18">
        <f>IF(NOT(ISNUMBER($A249)),NA(),IFERROR(1*INDEX(BBG_Data!$J$2:$J$4000,MATCH($A249,BBG_Data!$I$2:$I$4000,0)),NA()))</f>
        <v/>
      </c>
      <c r="R249" s="18">
        <f>IF(NOT(ISNUMBER($A249)),NA(),IFERROR(1*INDEX(BBG_Data!$L$2:$L$4000,MATCH($A249,BBG_Data!$K$2:$K$4000,0)),NA()))</f>
        <v/>
      </c>
      <c r="S249" s="20">
        <f>IF(AND(ISNUMBER(B249),ISNUMBER(Q249),ISNUMBER(R249)),(B249-Q249-R249)*100,NA())</f>
        <v/>
      </c>
      <c r="T249" s="20">
        <f>IF(AND(ISNUMBER(B249),Settings!$B$17&gt;0),IF(ISNUMBER(INDEX($B:$B,Settings!$B$17)),(B249-INDEX($B:$B,Settings!$B$17))*100,NA()),NA())</f>
        <v/>
      </c>
      <c r="U249" s="20">
        <f>IF(AND(ISNUMBER(Q249),Settings!$B$17&gt;0),IF(ISNUMBER(INDEX($Q:$Q,Settings!$B$17)),(Q249-INDEX($Q:$Q,Settings!$B$17))*100,NA()),NA())</f>
        <v/>
      </c>
      <c r="V249" s="20">
        <f>IF(AND(ISNUMBER(R249),Settings!$B$17&gt;0),IF(ISNUMBER(INDEX($R:$R,Settings!$B$17)),(R249-INDEX($R:$R,Settings!$B$17))*100,NA()),NA())</f>
        <v/>
      </c>
      <c r="W249" s="20">
        <f>IF(AND(ISNUMBER(P249),Settings!$B$17&gt;0),IF(ISNUMBER(INDEX($P:$P,Settings!$B$17)),P249-INDEX($P:$P,Settings!$B$17),NA()),NA())</f>
        <v/>
      </c>
      <c r="X249" s="19">
        <f>IF(NOT(ISNUMBER($A249)),NA(),IF(OR($A249&lt;MIN(DKW_10Y!$A$2:$A$2918),$A249&gt;MAX(DKW_10Y!$A$2:$A$2918),Settings!$B$16&lt;MIN(DKW_10Y!$A$2:$A$2918)),NA(),(INDEX(DKW_10Y!$B$2:$B$2918,MATCH($A249,DKW_10Y!$A$2:$A$2918,1))-INDEX(DKW_10Y!$B$2:$B$2918,MATCH(Settings!$B$16,DKW_10Y!$A$2:$A$2918,1)))*100))</f>
        <v/>
      </c>
      <c r="Y249" s="19">
        <f>IF(NOT(ISNUMBER($A249)),NA(),IF(OR($A249&lt;MIN(DKW_10Y!$A$2:$A$2918),$A249&gt;MAX(DKW_10Y!$A$2:$A$2918),Settings!$B$16&lt;MIN(DKW_10Y!$A$2:$A$2918)),NA(),(INDEX(DKW_10Y!$C$2:$C$2918,MATCH($A249,DKW_10Y!$A$2:$A$2918,1))-INDEX(DKW_10Y!$C$2:$C$2918,MATCH(Settings!$B$16,DKW_10Y!$A$2:$A$2918,1)))*100))</f>
        <v/>
      </c>
      <c r="Z249" s="19">
        <f>IF(NOT(ISNUMBER($A249)),NA(),IF(OR($A249&lt;MIN(DKW_10Y!$A$2:$A$2918),$A249&gt;MAX(DKW_10Y!$A$2:$A$2918),Settings!$B$16&lt;MIN(DKW_10Y!$A$2:$A$2918)),NA(),(INDEX(DKW_10Y!$D$2:$D$2918,MATCH($A249,DKW_10Y!$A$2:$A$2918,1))-INDEX(DKW_10Y!$D$2:$D$2918,MATCH(Settings!$B$16,DKW_10Y!$A$2:$A$2918,1)))*100))</f>
        <v/>
      </c>
      <c r="AA249" s="19">
        <f>IF(NOT(ISNUMBER($A249)),NA(),IF(OR($A249&lt;MIN(DKW_10Y!$A$2:$A$2918),$A249&gt;MAX(DKW_10Y!$A$2:$A$2918),Settings!$B$16&lt;MIN(DKW_10Y!$A$2:$A$2918)),NA(),(INDEX(DKW_10Y!$E$2:$E$2918,MATCH($A249,DKW_10Y!$A$2:$A$2918,1))-INDEX(DKW_10Y!$E$2:$E$2918,MATCH(Settings!$B$16,DKW_10Y!$A$2:$A$2918,1)))*100))</f>
        <v/>
      </c>
      <c r="AB249" s="19">
        <f>IF(NOT(ISNUMBER($A249)),NA(),IF(OR($A249&lt;MIN(DKW_10Y!$A$2:$A$2918),$A249&gt;MAX(DKW_10Y!$A$2:$A$2918),Settings!$B$16&lt;MIN(DKW_10Y!$A$2:$A$2918)),NA(),(INDEX(DKW_10Y!$H$2:$H$2918,MATCH($A249,DKW_10Y!$A$2:$A$2918,1))-INDEX(DKW_10Y!$H$2:$H$2918,MATCH(Settings!$B$16,DKW_10Y!$A$2:$A$2918,1)))*100))</f>
        <v/>
      </c>
      <c r="AC249" s="18">
        <f>IF(NOT(ISNUMBER($A249)),NA(),IFERROR(1*INDEX(BBG_Data!$N$2:$N$4000,MATCH($A249,BBG_Data!$M$2:$M$4000,0)),NA()))</f>
        <v/>
      </c>
      <c r="AD249" s="18">
        <f>IF(NOT(ISNUMBER($A249)),NA(),IFERROR(1*INDEX(BBG_Data!$P$2:$P$4000,MATCH($A249,BBG_Data!$O$2:$O$4000,0)),NA()))</f>
        <v/>
      </c>
      <c r="AE249" s="18">
        <f>IF(NOT(ISNUMBER($A249)),NA(),IFERROR(1*INDEX(BBG_Data!$R$2:$R$4000,MATCH($A249,BBG_Data!$Q$2:$Q$4000,0)),NA()))</f>
        <v/>
      </c>
      <c r="AF249" s="20">
        <f>IF(AND(ISNUMBER(B249),ISNUMBER(AC249)),(B249-AC249)*100,NA())</f>
        <v/>
      </c>
      <c r="AG249" s="20">
        <f>IF(AND(ISNUMBER(AE249),ISNUMBER(AD249)),(AE249-AD249)*100,NA())</f>
        <v/>
      </c>
      <c r="AH249" s="19">
        <f>IF(NOT(ISNUMBER($A249)),NA(),IFERROR(INDEX(BBG_Data!$T$2:$T$4000,MATCH($A249,BBG_Data!$S$2:$S$4000,0))*Settings!$B$25,NA()))</f>
        <v/>
      </c>
      <c r="AI249" s="19">
        <f>IF(NOT(ISNUMBER($A249)),NA(),IFERROR(INDEX(BBG_Data!$V$2:$V$4000,MATCH($A249,BBG_Data!$U$2:$U$4000,0))*Settings!$B$25,NA()))</f>
        <v/>
      </c>
      <c r="AJ249" s="19">
        <f>IF(NOT(ISNUMBER($A249)),NA(),IFERROR(1*INDEX(BBG_Data!$X$2:$X$4000,MATCH($A249,BBG_Data!$W$2:$W$4000,0)),NA()))</f>
        <v/>
      </c>
      <c r="AK249" s="19">
        <f>IF(NOT(ISNUMBER($A249)),NA(),IFERROR(1*INDEX(BBG_Data!$Z$2:$Z$4000,MATCH($A249,BBG_Data!$Y$2:$Y$4000,0)),NA()))</f>
        <v/>
      </c>
    </row>
    <row r="250">
      <c r="A250" s="17">
        <f>IF(ISNUMBER(BBG_Data!A250),BBG_Data!A250,"")</f>
        <v/>
      </c>
      <c r="B250" s="18">
        <f>IF(AND(ISNUMBER($A250),ISNUMBER(BBG_Data!B250)),BBG_Data!B250,NA())</f>
        <v/>
      </c>
      <c r="C250" s="18">
        <f>IF(NOT(ISNUMBER($A250)),NA(),IFERROR(1*INDEX(BBG_Data!$D$2:$D$4000,MATCH($A250,BBG_Data!$C$2:$C$4000,0)),NA()))</f>
        <v/>
      </c>
      <c r="D250" s="19">
        <f>IF(NOT(ISNUMBER($A250)),NA(),IFERROR(1*INDEX(BBG_Data!$F$2:$F$4000,MATCH($A250,BBG_Data!$E$2:$E$4000,0)),NA()))</f>
        <v/>
      </c>
      <c r="E250" s="19">
        <f>IF(NOT(ISNUMBER($A250)),NA(),IFERROR(1*INDEX(BBG_Data!$H$2:$H$4000,MATCH($A250,BBG_Data!$G$2:$G$4000,0)),NA()))</f>
        <v/>
      </c>
      <c r="F250" s="20">
        <f>IF(AND(ISNUMBER(B250),ISNUMBER(B249)),IF(B250=B249,"",(B250-B249)*100),"")</f>
        <v/>
      </c>
      <c r="G250" s="20">
        <f>IF(AND(ISNUMBER(C250),ISNUMBER(C249)),IF(C250=C249,"",(C250-C249)*100),"")</f>
        <v/>
      </c>
      <c r="H250" s="20">
        <f>IF(OR(NOT(ISNUMBER($A250)),ROW()-2&lt;Settings!$B$11),NA(),IF(COUNT(OFFSET(F250,1-Settings!$B$11,0,Settings!$B$11,1))&lt;ROUNDUP(Settings!$B$11*Settings!$B$26,0),NA(),STDEV(OFFSET(F250,1-Settings!$B$11,0,Settings!$B$11,1))*SQRT(Settings!$B$13)))</f>
        <v/>
      </c>
      <c r="I250" s="20">
        <f>IF(OR(NOT(ISNUMBER($A250)),ROW()-2&lt;Settings!$B$12),NA(),IF(COUNT(OFFSET(F250,1-Settings!$B$12,0,Settings!$B$12,1))&lt;ROUNDUP(Settings!$B$12*Settings!$B$26,0),NA(),STDEV(OFFSET(F250,1-Settings!$B$12,0,Settings!$B$12,1))*SQRT(Settings!$B$13)))</f>
        <v/>
      </c>
      <c r="J250" s="20">
        <f>IF(OR(NOT(ISNUMBER($A250)),ROW()-2&lt;Settings!$B$11),NA(),IF(COUNT(OFFSET(G250,1-Settings!$B$11,0,Settings!$B$11,1))&lt;ROUNDUP(Settings!$B$11*Settings!$B$26,0),NA(),STDEV(OFFSET(G250,1-Settings!$B$11,0,Settings!$B$11,1))*SQRT(Settings!$B$13)))</f>
        <v/>
      </c>
      <c r="K250" s="20">
        <f>IF(OR(NOT(ISNUMBER($A250)),ROW()-2&lt;Settings!$B$12),NA(),IF(COUNT(OFFSET(G250,1-Settings!$B$12,0,Settings!$B$12,1))&lt;ROUNDUP(Settings!$B$12*Settings!$B$26,0),NA(),STDEV(OFFSET(G250,1-Settings!$B$12,0,Settings!$B$12,1))*SQRT(Settings!$B$13)))</f>
        <v/>
      </c>
      <c r="L250" s="20">
        <f>IF(AND(ISNUMBER(D250),ISNUMBER(H250)),D250-H250,NA())</f>
        <v/>
      </c>
      <c r="M250" s="20">
        <f>IF(AND(ISNUMBER(E250),ISNUMBER(K250)),E250-K250,NA())</f>
        <v/>
      </c>
      <c r="N250" s="20">
        <f>IF(NOT(ISNUMBER($A250)),NA(),IF(COUNT(OFFSET(G250,1,0,Settings!$B$12,1))&lt;ROUNDUP(Settings!$B$12*Settings!$B$26,0),NA(),STDEV(OFFSET(G250,1,0,Settings!$B$12,1))*SQRT(Settings!$B$13)))</f>
        <v/>
      </c>
      <c r="O250" s="20">
        <f>IF(AND(ISNUMBER(E250),ISNUMBER(N250)),E250-N250,NA())</f>
        <v/>
      </c>
      <c r="P250" s="19">
        <f>IF(NOT(ISNUMBER($A250)),NA(),IF(OR($A250&lt;MIN(KW_TP!$A$2:$A$2501),$A250&gt;MAX(KW_TP!$A$2:$A$2501)),NA(),INDEX(KW_TP!$C$2:$C$2501,MATCH($A250,KW_TP!$A$2:$A$2501,1))))</f>
        <v/>
      </c>
      <c r="Q250" s="18">
        <f>IF(NOT(ISNUMBER($A250)),NA(),IFERROR(1*INDEX(BBG_Data!$J$2:$J$4000,MATCH($A250,BBG_Data!$I$2:$I$4000,0)),NA()))</f>
        <v/>
      </c>
      <c r="R250" s="18">
        <f>IF(NOT(ISNUMBER($A250)),NA(),IFERROR(1*INDEX(BBG_Data!$L$2:$L$4000,MATCH($A250,BBG_Data!$K$2:$K$4000,0)),NA()))</f>
        <v/>
      </c>
      <c r="S250" s="20">
        <f>IF(AND(ISNUMBER(B250),ISNUMBER(Q250),ISNUMBER(R250)),(B250-Q250-R250)*100,NA())</f>
        <v/>
      </c>
      <c r="T250" s="20">
        <f>IF(AND(ISNUMBER(B250),Settings!$B$17&gt;0),IF(ISNUMBER(INDEX($B:$B,Settings!$B$17)),(B250-INDEX($B:$B,Settings!$B$17))*100,NA()),NA())</f>
        <v/>
      </c>
      <c r="U250" s="20">
        <f>IF(AND(ISNUMBER(Q250),Settings!$B$17&gt;0),IF(ISNUMBER(INDEX($Q:$Q,Settings!$B$17)),(Q250-INDEX($Q:$Q,Settings!$B$17))*100,NA()),NA())</f>
        <v/>
      </c>
      <c r="V250" s="20">
        <f>IF(AND(ISNUMBER(R250),Settings!$B$17&gt;0),IF(ISNUMBER(INDEX($R:$R,Settings!$B$17)),(R250-INDEX($R:$R,Settings!$B$17))*100,NA()),NA())</f>
        <v/>
      </c>
      <c r="W250" s="20">
        <f>IF(AND(ISNUMBER(P250),Settings!$B$17&gt;0),IF(ISNUMBER(INDEX($P:$P,Settings!$B$17)),P250-INDEX($P:$P,Settings!$B$17),NA()),NA())</f>
        <v/>
      </c>
      <c r="X250" s="19">
        <f>IF(NOT(ISNUMBER($A250)),NA(),IF(OR($A250&lt;MIN(DKW_10Y!$A$2:$A$2918),$A250&gt;MAX(DKW_10Y!$A$2:$A$2918),Settings!$B$16&lt;MIN(DKW_10Y!$A$2:$A$2918)),NA(),(INDEX(DKW_10Y!$B$2:$B$2918,MATCH($A250,DKW_10Y!$A$2:$A$2918,1))-INDEX(DKW_10Y!$B$2:$B$2918,MATCH(Settings!$B$16,DKW_10Y!$A$2:$A$2918,1)))*100))</f>
        <v/>
      </c>
      <c r="Y250" s="19">
        <f>IF(NOT(ISNUMBER($A250)),NA(),IF(OR($A250&lt;MIN(DKW_10Y!$A$2:$A$2918),$A250&gt;MAX(DKW_10Y!$A$2:$A$2918),Settings!$B$16&lt;MIN(DKW_10Y!$A$2:$A$2918)),NA(),(INDEX(DKW_10Y!$C$2:$C$2918,MATCH($A250,DKW_10Y!$A$2:$A$2918,1))-INDEX(DKW_10Y!$C$2:$C$2918,MATCH(Settings!$B$16,DKW_10Y!$A$2:$A$2918,1)))*100))</f>
        <v/>
      </c>
      <c r="Z250" s="19">
        <f>IF(NOT(ISNUMBER($A250)),NA(),IF(OR($A250&lt;MIN(DKW_10Y!$A$2:$A$2918),$A250&gt;MAX(DKW_10Y!$A$2:$A$2918),Settings!$B$16&lt;MIN(DKW_10Y!$A$2:$A$2918)),NA(),(INDEX(DKW_10Y!$D$2:$D$2918,MATCH($A250,DKW_10Y!$A$2:$A$2918,1))-INDEX(DKW_10Y!$D$2:$D$2918,MATCH(Settings!$B$16,DKW_10Y!$A$2:$A$2918,1)))*100))</f>
        <v/>
      </c>
      <c r="AA250" s="19">
        <f>IF(NOT(ISNUMBER($A250)),NA(),IF(OR($A250&lt;MIN(DKW_10Y!$A$2:$A$2918),$A250&gt;MAX(DKW_10Y!$A$2:$A$2918),Settings!$B$16&lt;MIN(DKW_10Y!$A$2:$A$2918)),NA(),(INDEX(DKW_10Y!$E$2:$E$2918,MATCH($A250,DKW_10Y!$A$2:$A$2918,1))-INDEX(DKW_10Y!$E$2:$E$2918,MATCH(Settings!$B$16,DKW_10Y!$A$2:$A$2918,1)))*100))</f>
        <v/>
      </c>
      <c r="AB250" s="19">
        <f>IF(NOT(ISNUMBER($A250)),NA(),IF(OR($A250&lt;MIN(DKW_10Y!$A$2:$A$2918),$A250&gt;MAX(DKW_10Y!$A$2:$A$2918),Settings!$B$16&lt;MIN(DKW_10Y!$A$2:$A$2918)),NA(),(INDEX(DKW_10Y!$H$2:$H$2918,MATCH($A250,DKW_10Y!$A$2:$A$2918,1))-INDEX(DKW_10Y!$H$2:$H$2918,MATCH(Settings!$B$16,DKW_10Y!$A$2:$A$2918,1)))*100))</f>
        <v/>
      </c>
      <c r="AC250" s="18">
        <f>IF(NOT(ISNUMBER($A250)),NA(),IFERROR(1*INDEX(BBG_Data!$N$2:$N$4000,MATCH($A250,BBG_Data!$M$2:$M$4000,0)),NA()))</f>
        <v/>
      </c>
      <c r="AD250" s="18">
        <f>IF(NOT(ISNUMBER($A250)),NA(),IFERROR(1*INDEX(BBG_Data!$P$2:$P$4000,MATCH($A250,BBG_Data!$O$2:$O$4000,0)),NA()))</f>
        <v/>
      </c>
      <c r="AE250" s="18">
        <f>IF(NOT(ISNUMBER($A250)),NA(),IFERROR(1*INDEX(BBG_Data!$R$2:$R$4000,MATCH($A250,BBG_Data!$Q$2:$Q$4000,0)),NA()))</f>
        <v/>
      </c>
      <c r="AF250" s="20">
        <f>IF(AND(ISNUMBER(B250),ISNUMBER(AC250)),(B250-AC250)*100,NA())</f>
        <v/>
      </c>
      <c r="AG250" s="20">
        <f>IF(AND(ISNUMBER(AE250),ISNUMBER(AD250)),(AE250-AD250)*100,NA())</f>
        <v/>
      </c>
      <c r="AH250" s="19">
        <f>IF(NOT(ISNUMBER($A250)),NA(),IFERROR(INDEX(BBG_Data!$T$2:$T$4000,MATCH($A250,BBG_Data!$S$2:$S$4000,0))*Settings!$B$25,NA()))</f>
        <v/>
      </c>
      <c r="AI250" s="19">
        <f>IF(NOT(ISNUMBER($A250)),NA(),IFERROR(INDEX(BBG_Data!$V$2:$V$4000,MATCH($A250,BBG_Data!$U$2:$U$4000,0))*Settings!$B$25,NA()))</f>
        <v/>
      </c>
      <c r="AJ250" s="19">
        <f>IF(NOT(ISNUMBER($A250)),NA(),IFERROR(1*INDEX(BBG_Data!$X$2:$X$4000,MATCH($A250,BBG_Data!$W$2:$W$4000,0)),NA()))</f>
        <v/>
      </c>
      <c r="AK250" s="19">
        <f>IF(NOT(ISNUMBER($A250)),NA(),IFERROR(1*INDEX(BBG_Data!$Z$2:$Z$4000,MATCH($A250,BBG_Data!$Y$2:$Y$4000,0)),NA()))</f>
        <v/>
      </c>
    </row>
    <row r="251">
      <c r="A251" s="17">
        <f>IF(ISNUMBER(BBG_Data!A251),BBG_Data!A251,"")</f>
        <v/>
      </c>
      <c r="B251" s="18">
        <f>IF(AND(ISNUMBER($A251),ISNUMBER(BBG_Data!B251)),BBG_Data!B251,NA())</f>
        <v/>
      </c>
      <c r="C251" s="18">
        <f>IF(NOT(ISNUMBER($A251)),NA(),IFERROR(1*INDEX(BBG_Data!$D$2:$D$4000,MATCH($A251,BBG_Data!$C$2:$C$4000,0)),NA()))</f>
        <v/>
      </c>
      <c r="D251" s="19">
        <f>IF(NOT(ISNUMBER($A251)),NA(),IFERROR(1*INDEX(BBG_Data!$F$2:$F$4000,MATCH($A251,BBG_Data!$E$2:$E$4000,0)),NA()))</f>
        <v/>
      </c>
      <c r="E251" s="19">
        <f>IF(NOT(ISNUMBER($A251)),NA(),IFERROR(1*INDEX(BBG_Data!$H$2:$H$4000,MATCH($A251,BBG_Data!$G$2:$G$4000,0)),NA()))</f>
        <v/>
      </c>
      <c r="F251" s="20">
        <f>IF(AND(ISNUMBER(B251),ISNUMBER(B250)),IF(B251=B250,"",(B251-B250)*100),"")</f>
        <v/>
      </c>
      <c r="G251" s="20">
        <f>IF(AND(ISNUMBER(C251),ISNUMBER(C250)),IF(C251=C250,"",(C251-C250)*100),"")</f>
        <v/>
      </c>
      <c r="H251" s="20">
        <f>IF(OR(NOT(ISNUMBER($A251)),ROW()-2&lt;Settings!$B$11),NA(),IF(COUNT(OFFSET(F251,1-Settings!$B$11,0,Settings!$B$11,1))&lt;ROUNDUP(Settings!$B$11*Settings!$B$26,0),NA(),STDEV(OFFSET(F251,1-Settings!$B$11,0,Settings!$B$11,1))*SQRT(Settings!$B$13)))</f>
        <v/>
      </c>
      <c r="I251" s="20">
        <f>IF(OR(NOT(ISNUMBER($A251)),ROW()-2&lt;Settings!$B$12),NA(),IF(COUNT(OFFSET(F251,1-Settings!$B$12,0,Settings!$B$12,1))&lt;ROUNDUP(Settings!$B$12*Settings!$B$26,0),NA(),STDEV(OFFSET(F251,1-Settings!$B$12,0,Settings!$B$12,1))*SQRT(Settings!$B$13)))</f>
        <v/>
      </c>
      <c r="J251" s="20">
        <f>IF(OR(NOT(ISNUMBER($A251)),ROW()-2&lt;Settings!$B$11),NA(),IF(COUNT(OFFSET(G251,1-Settings!$B$11,0,Settings!$B$11,1))&lt;ROUNDUP(Settings!$B$11*Settings!$B$26,0),NA(),STDEV(OFFSET(G251,1-Settings!$B$11,0,Settings!$B$11,1))*SQRT(Settings!$B$13)))</f>
        <v/>
      </c>
      <c r="K251" s="20">
        <f>IF(OR(NOT(ISNUMBER($A251)),ROW()-2&lt;Settings!$B$12),NA(),IF(COUNT(OFFSET(G251,1-Settings!$B$12,0,Settings!$B$12,1))&lt;ROUNDUP(Settings!$B$12*Settings!$B$26,0),NA(),STDEV(OFFSET(G251,1-Settings!$B$12,0,Settings!$B$12,1))*SQRT(Settings!$B$13)))</f>
        <v/>
      </c>
      <c r="L251" s="20">
        <f>IF(AND(ISNUMBER(D251),ISNUMBER(H251)),D251-H251,NA())</f>
        <v/>
      </c>
      <c r="M251" s="20">
        <f>IF(AND(ISNUMBER(E251),ISNUMBER(K251)),E251-K251,NA())</f>
        <v/>
      </c>
      <c r="N251" s="20">
        <f>IF(NOT(ISNUMBER($A251)),NA(),IF(COUNT(OFFSET(G251,1,0,Settings!$B$12,1))&lt;ROUNDUP(Settings!$B$12*Settings!$B$26,0),NA(),STDEV(OFFSET(G251,1,0,Settings!$B$12,1))*SQRT(Settings!$B$13)))</f>
        <v/>
      </c>
      <c r="O251" s="20">
        <f>IF(AND(ISNUMBER(E251),ISNUMBER(N251)),E251-N251,NA())</f>
        <v/>
      </c>
      <c r="P251" s="19">
        <f>IF(NOT(ISNUMBER($A251)),NA(),IF(OR($A251&lt;MIN(KW_TP!$A$2:$A$2501),$A251&gt;MAX(KW_TP!$A$2:$A$2501)),NA(),INDEX(KW_TP!$C$2:$C$2501,MATCH($A251,KW_TP!$A$2:$A$2501,1))))</f>
        <v/>
      </c>
      <c r="Q251" s="18">
        <f>IF(NOT(ISNUMBER($A251)),NA(),IFERROR(1*INDEX(BBG_Data!$J$2:$J$4000,MATCH($A251,BBG_Data!$I$2:$I$4000,0)),NA()))</f>
        <v/>
      </c>
      <c r="R251" s="18">
        <f>IF(NOT(ISNUMBER($A251)),NA(),IFERROR(1*INDEX(BBG_Data!$L$2:$L$4000,MATCH($A251,BBG_Data!$K$2:$K$4000,0)),NA()))</f>
        <v/>
      </c>
      <c r="S251" s="20">
        <f>IF(AND(ISNUMBER(B251),ISNUMBER(Q251),ISNUMBER(R251)),(B251-Q251-R251)*100,NA())</f>
        <v/>
      </c>
      <c r="T251" s="20">
        <f>IF(AND(ISNUMBER(B251),Settings!$B$17&gt;0),IF(ISNUMBER(INDEX($B:$B,Settings!$B$17)),(B251-INDEX($B:$B,Settings!$B$17))*100,NA()),NA())</f>
        <v/>
      </c>
      <c r="U251" s="20">
        <f>IF(AND(ISNUMBER(Q251),Settings!$B$17&gt;0),IF(ISNUMBER(INDEX($Q:$Q,Settings!$B$17)),(Q251-INDEX($Q:$Q,Settings!$B$17))*100,NA()),NA())</f>
        <v/>
      </c>
      <c r="V251" s="20">
        <f>IF(AND(ISNUMBER(R251),Settings!$B$17&gt;0),IF(ISNUMBER(INDEX($R:$R,Settings!$B$17)),(R251-INDEX($R:$R,Settings!$B$17))*100,NA()),NA())</f>
        <v/>
      </c>
      <c r="W251" s="20">
        <f>IF(AND(ISNUMBER(P251),Settings!$B$17&gt;0),IF(ISNUMBER(INDEX($P:$P,Settings!$B$17)),P251-INDEX($P:$P,Settings!$B$17),NA()),NA())</f>
        <v/>
      </c>
      <c r="X251" s="19">
        <f>IF(NOT(ISNUMBER($A251)),NA(),IF(OR($A251&lt;MIN(DKW_10Y!$A$2:$A$2918),$A251&gt;MAX(DKW_10Y!$A$2:$A$2918),Settings!$B$16&lt;MIN(DKW_10Y!$A$2:$A$2918)),NA(),(INDEX(DKW_10Y!$B$2:$B$2918,MATCH($A251,DKW_10Y!$A$2:$A$2918,1))-INDEX(DKW_10Y!$B$2:$B$2918,MATCH(Settings!$B$16,DKW_10Y!$A$2:$A$2918,1)))*100))</f>
        <v/>
      </c>
      <c r="Y251" s="19">
        <f>IF(NOT(ISNUMBER($A251)),NA(),IF(OR($A251&lt;MIN(DKW_10Y!$A$2:$A$2918),$A251&gt;MAX(DKW_10Y!$A$2:$A$2918),Settings!$B$16&lt;MIN(DKW_10Y!$A$2:$A$2918)),NA(),(INDEX(DKW_10Y!$C$2:$C$2918,MATCH($A251,DKW_10Y!$A$2:$A$2918,1))-INDEX(DKW_10Y!$C$2:$C$2918,MATCH(Settings!$B$16,DKW_10Y!$A$2:$A$2918,1)))*100))</f>
        <v/>
      </c>
      <c r="Z251" s="19">
        <f>IF(NOT(ISNUMBER($A251)),NA(),IF(OR($A251&lt;MIN(DKW_10Y!$A$2:$A$2918),$A251&gt;MAX(DKW_10Y!$A$2:$A$2918),Settings!$B$16&lt;MIN(DKW_10Y!$A$2:$A$2918)),NA(),(INDEX(DKW_10Y!$D$2:$D$2918,MATCH($A251,DKW_10Y!$A$2:$A$2918,1))-INDEX(DKW_10Y!$D$2:$D$2918,MATCH(Settings!$B$16,DKW_10Y!$A$2:$A$2918,1)))*100))</f>
        <v/>
      </c>
      <c r="AA251" s="19">
        <f>IF(NOT(ISNUMBER($A251)),NA(),IF(OR($A251&lt;MIN(DKW_10Y!$A$2:$A$2918),$A251&gt;MAX(DKW_10Y!$A$2:$A$2918),Settings!$B$16&lt;MIN(DKW_10Y!$A$2:$A$2918)),NA(),(INDEX(DKW_10Y!$E$2:$E$2918,MATCH($A251,DKW_10Y!$A$2:$A$2918,1))-INDEX(DKW_10Y!$E$2:$E$2918,MATCH(Settings!$B$16,DKW_10Y!$A$2:$A$2918,1)))*100))</f>
        <v/>
      </c>
      <c r="AB251" s="19">
        <f>IF(NOT(ISNUMBER($A251)),NA(),IF(OR($A251&lt;MIN(DKW_10Y!$A$2:$A$2918),$A251&gt;MAX(DKW_10Y!$A$2:$A$2918),Settings!$B$16&lt;MIN(DKW_10Y!$A$2:$A$2918)),NA(),(INDEX(DKW_10Y!$H$2:$H$2918,MATCH($A251,DKW_10Y!$A$2:$A$2918,1))-INDEX(DKW_10Y!$H$2:$H$2918,MATCH(Settings!$B$16,DKW_10Y!$A$2:$A$2918,1)))*100))</f>
        <v/>
      </c>
      <c r="AC251" s="18">
        <f>IF(NOT(ISNUMBER($A251)),NA(),IFERROR(1*INDEX(BBG_Data!$N$2:$N$4000,MATCH($A251,BBG_Data!$M$2:$M$4000,0)),NA()))</f>
        <v/>
      </c>
      <c r="AD251" s="18">
        <f>IF(NOT(ISNUMBER($A251)),NA(),IFERROR(1*INDEX(BBG_Data!$P$2:$P$4000,MATCH($A251,BBG_Data!$O$2:$O$4000,0)),NA()))</f>
        <v/>
      </c>
      <c r="AE251" s="18">
        <f>IF(NOT(ISNUMBER($A251)),NA(),IFERROR(1*INDEX(BBG_Data!$R$2:$R$4000,MATCH($A251,BBG_Data!$Q$2:$Q$4000,0)),NA()))</f>
        <v/>
      </c>
      <c r="AF251" s="20">
        <f>IF(AND(ISNUMBER(B251),ISNUMBER(AC251)),(B251-AC251)*100,NA())</f>
        <v/>
      </c>
      <c r="AG251" s="20">
        <f>IF(AND(ISNUMBER(AE251),ISNUMBER(AD251)),(AE251-AD251)*100,NA())</f>
        <v/>
      </c>
      <c r="AH251" s="19">
        <f>IF(NOT(ISNUMBER($A251)),NA(),IFERROR(INDEX(BBG_Data!$T$2:$T$4000,MATCH($A251,BBG_Data!$S$2:$S$4000,0))*Settings!$B$25,NA()))</f>
        <v/>
      </c>
      <c r="AI251" s="19">
        <f>IF(NOT(ISNUMBER($A251)),NA(),IFERROR(INDEX(BBG_Data!$V$2:$V$4000,MATCH($A251,BBG_Data!$U$2:$U$4000,0))*Settings!$B$25,NA()))</f>
        <v/>
      </c>
      <c r="AJ251" s="19">
        <f>IF(NOT(ISNUMBER($A251)),NA(),IFERROR(1*INDEX(BBG_Data!$X$2:$X$4000,MATCH($A251,BBG_Data!$W$2:$W$4000,0)),NA()))</f>
        <v/>
      </c>
      <c r="AK251" s="19">
        <f>IF(NOT(ISNUMBER($A251)),NA(),IFERROR(1*INDEX(BBG_Data!$Z$2:$Z$4000,MATCH($A251,BBG_Data!$Y$2:$Y$4000,0)),NA()))</f>
        <v/>
      </c>
    </row>
    <row r="252">
      <c r="A252" s="17">
        <f>IF(ISNUMBER(BBG_Data!A252),BBG_Data!A252,"")</f>
        <v/>
      </c>
      <c r="B252" s="18">
        <f>IF(AND(ISNUMBER($A252),ISNUMBER(BBG_Data!B252)),BBG_Data!B252,NA())</f>
        <v/>
      </c>
      <c r="C252" s="18">
        <f>IF(NOT(ISNUMBER($A252)),NA(),IFERROR(1*INDEX(BBG_Data!$D$2:$D$4000,MATCH($A252,BBG_Data!$C$2:$C$4000,0)),NA()))</f>
        <v/>
      </c>
      <c r="D252" s="19">
        <f>IF(NOT(ISNUMBER($A252)),NA(),IFERROR(1*INDEX(BBG_Data!$F$2:$F$4000,MATCH($A252,BBG_Data!$E$2:$E$4000,0)),NA()))</f>
        <v/>
      </c>
      <c r="E252" s="19">
        <f>IF(NOT(ISNUMBER($A252)),NA(),IFERROR(1*INDEX(BBG_Data!$H$2:$H$4000,MATCH($A252,BBG_Data!$G$2:$G$4000,0)),NA()))</f>
        <v/>
      </c>
      <c r="F252" s="20">
        <f>IF(AND(ISNUMBER(B252),ISNUMBER(B251)),IF(B252=B251,"",(B252-B251)*100),"")</f>
        <v/>
      </c>
      <c r="G252" s="20">
        <f>IF(AND(ISNUMBER(C252),ISNUMBER(C251)),IF(C252=C251,"",(C252-C251)*100),"")</f>
        <v/>
      </c>
      <c r="H252" s="20">
        <f>IF(OR(NOT(ISNUMBER($A252)),ROW()-2&lt;Settings!$B$11),NA(),IF(COUNT(OFFSET(F252,1-Settings!$B$11,0,Settings!$B$11,1))&lt;ROUNDUP(Settings!$B$11*Settings!$B$26,0),NA(),STDEV(OFFSET(F252,1-Settings!$B$11,0,Settings!$B$11,1))*SQRT(Settings!$B$13)))</f>
        <v/>
      </c>
      <c r="I252" s="20">
        <f>IF(OR(NOT(ISNUMBER($A252)),ROW()-2&lt;Settings!$B$12),NA(),IF(COUNT(OFFSET(F252,1-Settings!$B$12,0,Settings!$B$12,1))&lt;ROUNDUP(Settings!$B$12*Settings!$B$26,0),NA(),STDEV(OFFSET(F252,1-Settings!$B$12,0,Settings!$B$12,1))*SQRT(Settings!$B$13)))</f>
        <v/>
      </c>
      <c r="J252" s="20">
        <f>IF(OR(NOT(ISNUMBER($A252)),ROW()-2&lt;Settings!$B$11),NA(),IF(COUNT(OFFSET(G252,1-Settings!$B$11,0,Settings!$B$11,1))&lt;ROUNDUP(Settings!$B$11*Settings!$B$26,0),NA(),STDEV(OFFSET(G252,1-Settings!$B$11,0,Settings!$B$11,1))*SQRT(Settings!$B$13)))</f>
        <v/>
      </c>
      <c r="K252" s="20">
        <f>IF(OR(NOT(ISNUMBER($A252)),ROW()-2&lt;Settings!$B$12),NA(),IF(COUNT(OFFSET(G252,1-Settings!$B$12,0,Settings!$B$12,1))&lt;ROUNDUP(Settings!$B$12*Settings!$B$26,0),NA(),STDEV(OFFSET(G252,1-Settings!$B$12,0,Settings!$B$12,1))*SQRT(Settings!$B$13)))</f>
        <v/>
      </c>
      <c r="L252" s="20">
        <f>IF(AND(ISNUMBER(D252),ISNUMBER(H252)),D252-H252,NA())</f>
        <v/>
      </c>
      <c r="M252" s="20">
        <f>IF(AND(ISNUMBER(E252),ISNUMBER(K252)),E252-K252,NA())</f>
        <v/>
      </c>
      <c r="N252" s="20">
        <f>IF(NOT(ISNUMBER($A252)),NA(),IF(COUNT(OFFSET(G252,1,0,Settings!$B$12,1))&lt;ROUNDUP(Settings!$B$12*Settings!$B$26,0),NA(),STDEV(OFFSET(G252,1,0,Settings!$B$12,1))*SQRT(Settings!$B$13)))</f>
        <v/>
      </c>
      <c r="O252" s="20">
        <f>IF(AND(ISNUMBER(E252),ISNUMBER(N252)),E252-N252,NA())</f>
        <v/>
      </c>
      <c r="P252" s="19">
        <f>IF(NOT(ISNUMBER($A252)),NA(),IF(OR($A252&lt;MIN(KW_TP!$A$2:$A$2501),$A252&gt;MAX(KW_TP!$A$2:$A$2501)),NA(),INDEX(KW_TP!$C$2:$C$2501,MATCH($A252,KW_TP!$A$2:$A$2501,1))))</f>
        <v/>
      </c>
      <c r="Q252" s="18">
        <f>IF(NOT(ISNUMBER($A252)),NA(),IFERROR(1*INDEX(BBG_Data!$J$2:$J$4000,MATCH($A252,BBG_Data!$I$2:$I$4000,0)),NA()))</f>
        <v/>
      </c>
      <c r="R252" s="18">
        <f>IF(NOT(ISNUMBER($A252)),NA(),IFERROR(1*INDEX(BBG_Data!$L$2:$L$4000,MATCH($A252,BBG_Data!$K$2:$K$4000,0)),NA()))</f>
        <v/>
      </c>
      <c r="S252" s="20">
        <f>IF(AND(ISNUMBER(B252),ISNUMBER(Q252),ISNUMBER(R252)),(B252-Q252-R252)*100,NA())</f>
        <v/>
      </c>
      <c r="T252" s="20">
        <f>IF(AND(ISNUMBER(B252),Settings!$B$17&gt;0),IF(ISNUMBER(INDEX($B:$B,Settings!$B$17)),(B252-INDEX($B:$B,Settings!$B$17))*100,NA()),NA())</f>
        <v/>
      </c>
      <c r="U252" s="20">
        <f>IF(AND(ISNUMBER(Q252),Settings!$B$17&gt;0),IF(ISNUMBER(INDEX($Q:$Q,Settings!$B$17)),(Q252-INDEX($Q:$Q,Settings!$B$17))*100,NA()),NA())</f>
        <v/>
      </c>
      <c r="V252" s="20">
        <f>IF(AND(ISNUMBER(R252),Settings!$B$17&gt;0),IF(ISNUMBER(INDEX($R:$R,Settings!$B$17)),(R252-INDEX($R:$R,Settings!$B$17))*100,NA()),NA())</f>
        <v/>
      </c>
      <c r="W252" s="20">
        <f>IF(AND(ISNUMBER(P252),Settings!$B$17&gt;0),IF(ISNUMBER(INDEX($P:$P,Settings!$B$17)),P252-INDEX($P:$P,Settings!$B$17),NA()),NA())</f>
        <v/>
      </c>
      <c r="X252" s="19">
        <f>IF(NOT(ISNUMBER($A252)),NA(),IF(OR($A252&lt;MIN(DKW_10Y!$A$2:$A$2918),$A252&gt;MAX(DKW_10Y!$A$2:$A$2918),Settings!$B$16&lt;MIN(DKW_10Y!$A$2:$A$2918)),NA(),(INDEX(DKW_10Y!$B$2:$B$2918,MATCH($A252,DKW_10Y!$A$2:$A$2918,1))-INDEX(DKW_10Y!$B$2:$B$2918,MATCH(Settings!$B$16,DKW_10Y!$A$2:$A$2918,1)))*100))</f>
        <v/>
      </c>
      <c r="Y252" s="19">
        <f>IF(NOT(ISNUMBER($A252)),NA(),IF(OR($A252&lt;MIN(DKW_10Y!$A$2:$A$2918),$A252&gt;MAX(DKW_10Y!$A$2:$A$2918),Settings!$B$16&lt;MIN(DKW_10Y!$A$2:$A$2918)),NA(),(INDEX(DKW_10Y!$C$2:$C$2918,MATCH($A252,DKW_10Y!$A$2:$A$2918,1))-INDEX(DKW_10Y!$C$2:$C$2918,MATCH(Settings!$B$16,DKW_10Y!$A$2:$A$2918,1)))*100))</f>
        <v/>
      </c>
      <c r="Z252" s="19">
        <f>IF(NOT(ISNUMBER($A252)),NA(),IF(OR($A252&lt;MIN(DKW_10Y!$A$2:$A$2918),$A252&gt;MAX(DKW_10Y!$A$2:$A$2918),Settings!$B$16&lt;MIN(DKW_10Y!$A$2:$A$2918)),NA(),(INDEX(DKW_10Y!$D$2:$D$2918,MATCH($A252,DKW_10Y!$A$2:$A$2918,1))-INDEX(DKW_10Y!$D$2:$D$2918,MATCH(Settings!$B$16,DKW_10Y!$A$2:$A$2918,1)))*100))</f>
        <v/>
      </c>
      <c r="AA252" s="19">
        <f>IF(NOT(ISNUMBER($A252)),NA(),IF(OR($A252&lt;MIN(DKW_10Y!$A$2:$A$2918),$A252&gt;MAX(DKW_10Y!$A$2:$A$2918),Settings!$B$16&lt;MIN(DKW_10Y!$A$2:$A$2918)),NA(),(INDEX(DKW_10Y!$E$2:$E$2918,MATCH($A252,DKW_10Y!$A$2:$A$2918,1))-INDEX(DKW_10Y!$E$2:$E$2918,MATCH(Settings!$B$16,DKW_10Y!$A$2:$A$2918,1)))*100))</f>
        <v/>
      </c>
      <c r="AB252" s="19">
        <f>IF(NOT(ISNUMBER($A252)),NA(),IF(OR($A252&lt;MIN(DKW_10Y!$A$2:$A$2918),$A252&gt;MAX(DKW_10Y!$A$2:$A$2918),Settings!$B$16&lt;MIN(DKW_10Y!$A$2:$A$2918)),NA(),(INDEX(DKW_10Y!$H$2:$H$2918,MATCH($A252,DKW_10Y!$A$2:$A$2918,1))-INDEX(DKW_10Y!$H$2:$H$2918,MATCH(Settings!$B$16,DKW_10Y!$A$2:$A$2918,1)))*100))</f>
        <v/>
      </c>
      <c r="AC252" s="18">
        <f>IF(NOT(ISNUMBER($A252)),NA(),IFERROR(1*INDEX(BBG_Data!$N$2:$N$4000,MATCH($A252,BBG_Data!$M$2:$M$4000,0)),NA()))</f>
        <v/>
      </c>
      <c r="AD252" s="18">
        <f>IF(NOT(ISNUMBER($A252)),NA(),IFERROR(1*INDEX(BBG_Data!$P$2:$P$4000,MATCH($A252,BBG_Data!$O$2:$O$4000,0)),NA()))</f>
        <v/>
      </c>
      <c r="AE252" s="18">
        <f>IF(NOT(ISNUMBER($A252)),NA(),IFERROR(1*INDEX(BBG_Data!$R$2:$R$4000,MATCH($A252,BBG_Data!$Q$2:$Q$4000,0)),NA()))</f>
        <v/>
      </c>
      <c r="AF252" s="20">
        <f>IF(AND(ISNUMBER(B252),ISNUMBER(AC252)),(B252-AC252)*100,NA())</f>
        <v/>
      </c>
      <c r="AG252" s="20">
        <f>IF(AND(ISNUMBER(AE252),ISNUMBER(AD252)),(AE252-AD252)*100,NA())</f>
        <v/>
      </c>
      <c r="AH252" s="19">
        <f>IF(NOT(ISNUMBER($A252)),NA(),IFERROR(INDEX(BBG_Data!$T$2:$T$4000,MATCH($A252,BBG_Data!$S$2:$S$4000,0))*Settings!$B$25,NA()))</f>
        <v/>
      </c>
      <c r="AI252" s="19">
        <f>IF(NOT(ISNUMBER($A252)),NA(),IFERROR(INDEX(BBG_Data!$V$2:$V$4000,MATCH($A252,BBG_Data!$U$2:$U$4000,0))*Settings!$B$25,NA()))</f>
        <v/>
      </c>
      <c r="AJ252" s="19">
        <f>IF(NOT(ISNUMBER($A252)),NA(),IFERROR(1*INDEX(BBG_Data!$X$2:$X$4000,MATCH($A252,BBG_Data!$W$2:$W$4000,0)),NA()))</f>
        <v/>
      </c>
      <c r="AK252" s="19">
        <f>IF(NOT(ISNUMBER($A252)),NA(),IFERROR(1*INDEX(BBG_Data!$Z$2:$Z$4000,MATCH($A252,BBG_Data!$Y$2:$Y$4000,0)),NA()))</f>
        <v/>
      </c>
    </row>
    <row r="253">
      <c r="A253" s="17">
        <f>IF(ISNUMBER(BBG_Data!A253),BBG_Data!A253,"")</f>
        <v/>
      </c>
      <c r="B253" s="18">
        <f>IF(AND(ISNUMBER($A253),ISNUMBER(BBG_Data!B253)),BBG_Data!B253,NA())</f>
        <v/>
      </c>
      <c r="C253" s="18">
        <f>IF(NOT(ISNUMBER($A253)),NA(),IFERROR(1*INDEX(BBG_Data!$D$2:$D$4000,MATCH($A253,BBG_Data!$C$2:$C$4000,0)),NA()))</f>
        <v/>
      </c>
      <c r="D253" s="19">
        <f>IF(NOT(ISNUMBER($A253)),NA(),IFERROR(1*INDEX(BBG_Data!$F$2:$F$4000,MATCH($A253,BBG_Data!$E$2:$E$4000,0)),NA()))</f>
        <v/>
      </c>
      <c r="E253" s="19">
        <f>IF(NOT(ISNUMBER($A253)),NA(),IFERROR(1*INDEX(BBG_Data!$H$2:$H$4000,MATCH($A253,BBG_Data!$G$2:$G$4000,0)),NA()))</f>
        <v/>
      </c>
      <c r="F253" s="20">
        <f>IF(AND(ISNUMBER(B253),ISNUMBER(B252)),IF(B253=B252,"",(B253-B252)*100),"")</f>
        <v/>
      </c>
      <c r="G253" s="20">
        <f>IF(AND(ISNUMBER(C253),ISNUMBER(C252)),IF(C253=C252,"",(C253-C252)*100),"")</f>
        <v/>
      </c>
      <c r="H253" s="20">
        <f>IF(OR(NOT(ISNUMBER($A253)),ROW()-2&lt;Settings!$B$11),NA(),IF(COUNT(OFFSET(F253,1-Settings!$B$11,0,Settings!$B$11,1))&lt;ROUNDUP(Settings!$B$11*Settings!$B$26,0),NA(),STDEV(OFFSET(F253,1-Settings!$B$11,0,Settings!$B$11,1))*SQRT(Settings!$B$13)))</f>
        <v/>
      </c>
      <c r="I253" s="20">
        <f>IF(OR(NOT(ISNUMBER($A253)),ROW()-2&lt;Settings!$B$12),NA(),IF(COUNT(OFFSET(F253,1-Settings!$B$12,0,Settings!$B$12,1))&lt;ROUNDUP(Settings!$B$12*Settings!$B$26,0),NA(),STDEV(OFFSET(F253,1-Settings!$B$12,0,Settings!$B$12,1))*SQRT(Settings!$B$13)))</f>
        <v/>
      </c>
      <c r="J253" s="20">
        <f>IF(OR(NOT(ISNUMBER($A253)),ROW()-2&lt;Settings!$B$11),NA(),IF(COUNT(OFFSET(G253,1-Settings!$B$11,0,Settings!$B$11,1))&lt;ROUNDUP(Settings!$B$11*Settings!$B$26,0),NA(),STDEV(OFFSET(G253,1-Settings!$B$11,0,Settings!$B$11,1))*SQRT(Settings!$B$13)))</f>
        <v/>
      </c>
      <c r="K253" s="20">
        <f>IF(OR(NOT(ISNUMBER($A253)),ROW()-2&lt;Settings!$B$12),NA(),IF(COUNT(OFFSET(G253,1-Settings!$B$12,0,Settings!$B$12,1))&lt;ROUNDUP(Settings!$B$12*Settings!$B$26,0),NA(),STDEV(OFFSET(G253,1-Settings!$B$12,0,Settings!$B$12,1))*SQRT(Settings!$B$13)))</f>
        <v/>
      </c>
      <c r="L253" s="20">
        <f>IF(AND(ISNUMBER(D253),ISNUMBER(H253)),D253-H253,NA())</f>
        <v/>
      </c>
      <c r="M253" s="20">
        <f>IF(AND(ISNUMBER(E253),ISNUMBER(K253)),E253-K253,NA())</f>
        <v/>
      </c>
      <c r="N253" s="20">
        <f>IF(NOT(ISNUMBER($A253)),NA(),IF(COUNT(OFFSET(G253,1,0,Settings!$B$12,1))&lt;ROUNDUP(Settings!$B$12*Settings!$B$26,0),NA(),STDEV(OFFSET(G253,1,0,Settings!$B$12,1))*SQRT(Settings!$B$13)))</f>
        <v/>
      </c>
      <c r="O253" s="20">
        <f>IF(AND(ISNUMBER(E253),ISNUMBER(N253)),E253-N253,NA())</f>
        <v/>
      </c>
      <c r="P253" s="19">
        <f>IF(NOT(ISNUMBER($A253)),NA(),IF(OR($A253&lt;MIN(KW_TP!$A$2:$A$2501),$A253&gt;MAX(KW_TP!$A$2:$A$2501)),NA(),INDEX(KW_TP!$C$2:$C$2501,MATCH($A253,KW_TP!$A$2:$A$2501,1))))</f>
        <v/>
      </c>
      <c r="Q253" s="18">
        <f>IF(NOT(ISNUMBER($A253)),NA(),IFERROR(1*INDEX(BBG_Data!$J$2:$J$4000,MATCH($A253,BBG_Data!$I$2:$I$4000,0)),NA()))</f>
        <v/>
      </c>
      <c r="R253" s="18">
        <f>IF(NOT(ISNUMBER($A253)),NA(),IFERROR(1*INDEX(BBG_Data!$L$2:$L$4000,MATCH($A253,BBG_Data!$K$2:$K$4000,0)),NA()))</f>
        <v/>
      </c>
      <c r="S253" s="20">
        <f>IF(AND(ISNUMBER(B253),ISNUMBER(Q253),ISNUMBER(R253)),(B253-Q253-R253)*100,NA())</f>
        <v/>
      </c>
      <c r="T253" s="20">
        <f>IF(AND(ISNUMBER(B253),Settings!$B$17&gt;0),IF(ISNUMBER(INDEX($B:$B,Settings!$B$17)),(B253-INDEX($B:$B,Settings!$B$17))*100,NA()),NA())</f>
        <v/>
      </c>
      <c r="U253" s="20">
        <f>IF(AND(ISNUMBER(Q253),Settings!$B$17&gt;0),IF(ISNUMBER(INDEX($Q:$Q,Settings!$B$17)),(Q253-INDEX($Q:$Q,Settings!$B$17))*100,NA()),NA())</f>
        <v/>
      </c>
      <c r="V253" s="20">
        <f>IF(AND(ISNUMBER(R253),Settings!$B$17&gt;0),IF(ISNUMBER(INDEX($R:$R,Settings!$B$17)),(R253-INDEX($R:$R,Settings!$B$17))*100,NA()),NA())</f>
        <v/>
      </c>
      <c r="W253" s="20">
        <f>IF(AND(ISNUMBER(P253),Settings!$B$17&gt;0),IF(ISNUMBER(INDEX($P:$P,Settings!$B$17)),P253-INDEX($P:$P,Settings!$B$17),NA()),NA())</f>
        <v/>
      </c>
      <c r="X253" s="19">
        <f>IF(NOT(ISNUMBER($A253)),NA(),IF(OR($A253&lt;MIN(DKW_10Y!$A$2:$A$2918),$A253&gt;MAX(DKW_10Y!$A$2:$A$2918),Settings!$B$16&lt;MIN(DKW_10Y!$A$2:$A$2918)),NA(),(INDEX(DKW_10Y!$B$2:$B$2918,MATCH($A253,DKW_10Y!$A$2:$A$2918,1))-INDEX(DKW_10Y!$B$2:$B$2918,MATCH(Settings!$B$16,DKW_10Y!$A$2:$A$2918,1)))*100))</f>
        <v/>
      </c>
      <c r="Y253" s="19">
        <f>IF(NOT(ISNUMBER($A253)),NA(),IF(OR($A253&lt;MIN(DKW_10Y!$A$2:$A$2918),$A253&gt;MAX(DKW_10Y!$A$2:$A$2918),Settings!$B$16&lt;MIN(DKW_10Y!$A$2:$A$2918)),NA(),(INDEX(DKW_10Y!$C$2:$C$2918,MATCH($A253,DKW_10Y!$A$2:$A$2918,1))-INDEX(DKW_10Y!$C$2:$C$2918,MATCH(Settings!$B$16,DKW_10Y!$A$2:$A$2918,1)))*100))</f>
        <v/>
      </c>
      <c r="Z253" s="19">
        <f>IF(NOT(ISNUMBER($A253)),NA(),IF(OR($A253&lt;MIN(DKW_10Y!$A$2:$A$2918),$A253&gt;MAX(DKW_10Y!$A$2:$A$2918),Settings!$B$16&lt;MIN(DKW_10Y!$A$2:$A$2918)),NA(),(INDEX(DKW_10Y!$D$2:$D$2918,MATCH($A253,DKW_10Y!$A$2:$A$2918,1))-INDEX(DKW_10Y!$D$2:$D$2918,MATCH(Settings!$B$16,DKW_10Y!$A$2:$A$2918,1)))*100))</f>
        <v/>
      </c>
      <c r="AA253" s="19">
        <f>IF(NOT(ISNUMBER($A253)),NA(),IF(OR($A253&lt;MIN(DKW_10Y!$A$2:$A$2918),$A253&gt;MAX(DKW_10Y!$A$2:$A$2918),Settings!$B$16&lt;MIN(DKW_10Y!$A$2:$A$2918)),NA(),(INDEX(DKW_10Y!$E$2:$E$2918,MATCH($A253,DKW_10Y!$A$2:$A$2918,1))-INDEX(DKW_10Y!$E$2:$E$2918,MATCH(Settings!$B$16,DKW_10Y!$A$2:$A$2918,1)))*100))</f>
        <v/>
      </c>
      <c r="AB253" s="19">
        <f>IF(NOT(ISNUMBER($A253)),NA(),IF(OR($A253&lt;MIN(DKW_10Y!$A$2:$A$2918),$A253&gt;MAX(DKW_10Y!$A$2:$A$2918),Settings!$B$16&lt;MIN(DKW_10Y!$A$2:$A$2918)),NA(),(INDEX(DKW_10Y!$H$2:$H$2918,MATCH($A253,DKW_10Y!$A$2:$A$2918,1))-INDEX(DKW_10Y!$H$2:$H$2918,MATCH(Settings!$B$16,DKW_10Y!$A$2:$A$2918,1)))*100))</f>
        <v/>
      </c>
      <c r="AC253" s="18">
        <f>IF(NOT(ISNUMBER($A253)),NA(),IFERROR(1*INDEX(BBG_Data!$N$2:$N$4000,MATCH($A253,BBG_Data!$M$2:$M$4000,0)),NA()))</f>
        <v/>
      </c>
      <c r="AD253" s="18">
        <f>IF(NOT(ISNUMBER($A253)),NA(),IFERROR(1*INDEX(BBG_Data!$P$2:$P$4000,MATCH($A253,BBG_Data!$O$2:$O$4000,0)),NA()))</f>
        <v/>
      </c>
      <c r="AE253" s="18">
        <f>IF(NOT(ISNUMBER($A253)),NA(),IFERROR(1*INDEX(BBG_Data!$R$2:$R$4000,MATCH($A253,BBG_Data!$Q$2:$Q$4000,0)),NA()))</f>
        <v/>
      </c>
      <c r="AF253" s="20">
        <f>IF(AND(ISNUMBER(B253),ISNUMBER(AC253)),(B253-AC253)*100,NA())</f>
        <v/>
      </c>
      <c r="AG253" s="20">
        <f>IF(AND(ISNUMBER(AE253),ISNUMBER(AD253)),(AE253-AD253)*100,NA())</f>
        <v/>
      </c>
      <c r="AH253" s="19">
        <f>IF(NOT(ISNUMBER($A253)),NA(),IFERROR(INDEX(BBG_Data!$T$2:$T$4000,MATCH($A253,BBG_Data!$S$2:$S$4000,0))*Settings!$B$25,NA()))</f>
        <v/>
      </c>
      <c r="AI253" s="19">
        <f>IF(NOT(ISNUMBER($A253)),NA(),IFERROR(INDEX(BBG_Data!$V$2:$V$4000,MATCH($A253,BBG_Data!$U$2:$U$4000,0))*Settings!$B$25,NA()))</f>
        <v/>
      </c>
      <c r="AJ253" s="19">
        <f>IF(NOT(ISNUMBER($A253)),NA(),IFERROR(1*INDEX(BBG_Data!$X$2:$X$4000,MATCH($A253,BBG_Data!$W$2:$W$4000,0)),NA()))</f>
        <v/>
      </c>
      <c r="AK253" s="19">
        <f>IF(NOT(ISNUMBER($A253)),NA(),IFERROR(1*INDEX(BBG_Data!$Z$2:$Z$4000,MATCH($A253,BBG_Data!$Y$2:$Y$4000,0)),NA()))</f>
        <v/>
      </c>
    </row>
    <row r="254">
      <c r="A254" s="17">
        <f>IF(ISNUMBER(BBG_Data!A254),BBG_Data!A254,"")</f>
        <v/>
      </c>
      <c r="B254" s="18">
        <f>IF(AND(ISNUMBER($A254),ISNUMBER(BBG_Data!B254)),BBG_Data!B254,NA())</f>
        <v/>
      </c>
      <c r="C254" s="18">
        <f>IF(NOT(ISNUMBER($A254)),NA(),IFERROR(1*INDEX(BBG_Data!$D$2:$D$4000,MATCH($A254,BBG_Data!$C$2:$C$4000,0)),NA()))</f>
        <v/>
      </c>
      <c r="D254" s="19">
        <f>IF(NOT(ISNUMBER($A254)),NA(),IFERROR(1*INDEX(BBG_Data!$F$2:$F$4000,MATCH($A254,BBG_Data!$E$2:$E$4000,0)),NA()))</f>
        <v/>
      </c>
      <c r="E254" s="19">
        <f>IF(NOT(ISNUMBER($A254)),NA(),IFERROR(1*INDEX(BBG_Data!$H$2:$H$4000,MATCH($A254,BBG_Data!$G$2:$G$4000,0)),NA()))</f>
        <v/>
      </c>
      <c r="F254" s="20">
        <f>IF(AND(ISNUMBER(B254),ISNUMBER(B253)),IF(B254=B253,"",(B254-B253)*100),"")</f>
        <v/>
      </c>
      <c r="G254" s="20">
        <f>IF(AND(ISNUMBER(C254),ISNUMBER(C253)),IF(C254=C253,"",(C254-C253)*100),"")</f>
        <v/>
      </c>
      <c r="H254" s="20">
        <f>IF(OR(NOT(ISNUMBER($A254)),ROW()-2&lt;Settings!$B$11),NA(),IF(COUNT(OFFSET(F254,1-Settings!$B$11,0,Settings!$B$11,1))&lt;ROUNDUP(Settings!$B$11*Settings!$B$26,0),NA(),STDEV(OFFSET(F254,1-Settings!$B$11,0,Settings!$B$11,1))*SQRT(Settings!$B$13)))</f>
        <v/>
      </c>
      <c r="I254" s="20">
        <f>IF(OR(NOT(ISNUMBER($A254)),ROW()-2&lt;Settings!$B$12),NA(),IF(COUNT(OFFSET(F254,1-Settings!$B$12,0,Settings!$B$12,1))&lt;ROUNDUP(Settings!$B$12*Settings!$B$26,0),NA(),STDEV(OFFSET(F254,1-Settings!$B$12,0,Settings!$B$12,1))*SQRT(Settings!$B$13)))</f>
        <v/>
      </c>
      <c r="J254" s="20">
        <f>IF(OR(NOT(ISNUMBER($A254)),ROW()-2&lt;Settings!$B$11),NA(),IF(COUNT(OFFSET(G254,1-Settings!$B$11,0,Settings!$B$11,1))&lt;ROUNDUP(Settings!$B$11*Settings!$B$26,0),NA(),STDEV(OFFSET(G254,1-Settings!$B$11,0,Settings!$B$11,1))*SQRT(Settings!$B$13)))</f>
        <v/>
      </c>
      <c r="K254" s="20">
        <f>IF(OR(NOT(ISNUMBER($A254)),ROW()-2&lt;Settings!$B$12),NA(),IF(COUNT(OFFSET(G254,1-Settings!$B$12,0,Settings!$B$12,1))&lt;ROUNDUP(Settings!$B$12*Settings!$B$26,0),NA(),STDEV(OFFSET(G254,1-Settings!$B$12,0,Settings!$B$12,1))*SQRT(Settings!$B$13)))</f>
        <v/>
      </c>
      <c r="L254" s="20">
        <f>IF(AND(ISNUMBER(D254),ISNUMBER(H254)),D254-H254,NA())</f>
        <v/>
      </c>
      <c r="M254" s="20">
        <f>IF(AND(ISNUMBER(E254),ISNUMBER(K254)),E254-K254,NA())</f>
        <v/>
      </c>
      <c r="N254" s="20">
        <f>IF(NOT(ISNUMBER($A254)),NA(),IF(COUNT(OFFSET(G254,1,0,Settings!$B$12,1))&lt;ROUNDUP(Settings!$B$12*Settings!$B$26,0),NA(),STDEV(OFFSET(G254,1,0,Settings!$B$12,1))*SQRT(Settings!$B$13)))</f>
        <v/>
      </c>
      <c r="O254" s="20">
        <f>IF(AND(ISNUMBER(E254),ISNUMBER(N254)),E254-N254,NA())</f>
        <v/>
      </c>
      <c r="P254" s="19">
        <f>IF(NOT(ISNUMBER($A254)),NA(),IF(OR($A254&lt;MIN(KW_TP!$A$2:$A$2501),$A254&gt;MAX(KW_TP!$A$2:$A$2501)),NA(),INDEX(KW_TP!$C$2:$C$2501,MATCH($A254,KW_TP!$A$2:$A$2501,1))))</f>
        <v/>
      </c>
      <c r="Q254" s="18">
        <f>IF(NOT(ISNUMBER($A254)),NA(),IFERROR(1*INDEX(BBG_Data!$J$2:$J$4000,MATCH($A254,BBG_Data!$I$2:$I$4000,0)),NA()))</f>
        <v/>
      </c>
      <c r="R254" s="18">
        <f>IF(NOT(ISNUMBER($A254)),NA(),IFERROR(1*INDEX(BBG_Data!$L$2:$L$4000,MATCH($A254,BBG_Data!$K$2:$K$4000,0)),NA()))</f>
        <v/>
      </c>
      <c r="S254" s="20">
        <f>IF(AND(ISNUMBER(B254),ISNUMBER(Q254),ISNUMBER(R254)),(B254-Q254-R254)*100,NA())</f>
        <v/>
      </c>
      <c r="T254" s="20">
        <f>IF(AND(ISNUMBER(B254),Settings!$B$17&gt;0),IF(ISNUMBER(INDEX($B:$B,Settings!$B$17)),(B254-INDEX($B:$B,Settings!$B$17))*100,NA()),NA())</f>
        <v/>
      </c>
      <c r="U254" s="20">
        <f>IF(AND(ISNUMBER(Q254),Settings!$B$17&gt;0),IF(ISNUMBER(INDEX($Q:$Q,Settings!$B$17)),(Q254-INDEX($Q:$Q,Settings!$B$17))*100,NA()),NA())</f>
        <v/>
      </c>
      <c r="V254" s="20">
        <f>IF(AND(ISNUMBER(R254),Settings!$B$17&gt;0),IF(ISNUMBER(INDEX($R:$R,Settings!$B$17)),(R254-INDEX($R:$R,Settings!$B$17))*100,NA()),NA())</f>
        <v/>
      </c>
      <c r="W254" s="20">
        <f>IF(AND(ISNUMBER(P254),Settings!$B$17&gt;0),IF(ISNUMBER(INDEX($P:$P,Settings!$B$17)),P254-INDEX($P:$P,Settings!$B$17),NA()),NA())</f>
        <v/>
      </c>
      <c r="X254" s="19">
        <f>IF(NOT(ISNUMBER($A254)),NA(),IF(OR($A254&lt;MIN(DKW_10Y!$A$2:$A$2918),$A254&gt;MAX(DKW_10Y!$A$2:$A$2918),Settings!$B$16&lt;MIN(DKW_10Y!$A$2:$A$2918)),NA(),(INDEX(DKW_10Y!$B$2:$B$2918,MATCH($A254,DKW_10Y!$A$2:$A$2918,1))-INDEX(DKW_10Y!$B$2:$B$2918,MATCH(Settings!$B$16,DKW_10Y!$A$2:$A$2918,1)))*100))</f>
        <v/>
      </c>
      <c r="Y254" s="19">
        <f>IF(NOT(ISNUMBER($A254)),NA(),IF(OR($A254&lt;MIN(DKW_10Y!$A$2:$A$2918),$A254&gt;MAX(DKW_10Y!$A$2:$A$2918),Settings!$B$16&lt;MIN(DKW_10Y!$A$2:$A$2918)),NA(),(INDEX(DKW_10Y!$C$2:$C$2918,MATCH($A254,DKW_10Y!$A$2:$A$2918,1))-INDEX(DKW_10Y!$C$2:$C$2918,MATCH(Settings!$B$16,DKW_10Y!$A$2:$A$2918,1)))*100))</f>
        <v/>
      </c>
      <c r="Z254" s="19">
        <f>IF(NOT(ISNUMBER($A254)),NA(),IF(OR($A254&lt;MIN(DKW_10Y!$A$2:$A$2918),$A254&gt;MAX(DKW_10Y!$A$2:$A$2918),Settings!$B$16&lt;MIN(DKW_10Y!$A$2:$A$2918)),NA(),(INDEX(DKW_10Y!$D$2:$D$2918,MATCH($A254,DKW_10Y!$A$2:$A$2918,1))-INDEX(DKW_10Y!$D$2:$D$2918,MATCH(Settings!$B$16,DKW_10Y!$A$2:$A$2918,1)))*100))</f>
        <v/>
      </c>
      <c r="AA254" s="19">
        <f>IF(NOT(ISNUMBER($A254)),NA(),IF(OR($A254&lt;MIN(DKW_10Y!$A$2:$A$2918),$A254&gt;MAX(DKW_10Y!$A$2:$A$2918),Settings!$B$16&lt;MIN(DKW_10Y!$A$2:$A$2918)),NA(),(INDEX(DKW_10Y!$E$2:$E$2918,MATCH($A254,DKW_10Y!$A$2:$A$2918,1))-INDEX(DKW_10Y!$E$2:$E$2918,MATCH(Settings!$B$16,DKW_10Y!$A$2:$A$2918,1)))*100))</f>
        <v/>
      </c>
      <c r="AB254" s="19">
        <f>IF(NOT(ISNUMBER($A254)),NA(),IF(OR($A254&lt;MIN(DKW_10Y!$A$2:$A$2918),$A254&gt;MAX(DKW_10Y!$A$2:$A$2918),Settings!$B$16&lt;MIN(DKW_10Y!$A$2:$A$2918)),NA(),(INDEX(DKW_10Y!$H$2:$H$2918,MATCH($A254,DKW_10Y!$A$2:$A$2918,1))-INDEX(DKW_10Y!$H$2:$H$2918,MATCH(Settings!$B$16,DKW_10Y!$A$2:$A$2918,1)))*100))</f>
        <v/>
      </c>
      <c r="AC254" s="18">
        <f>IF(NOT(ISNUMBER($A254)),NA(),IFERROR(1*INDEX(BBG_Data!$N$2:$N$4000,MATCH($A254,BBG_Data!$M$2:$M$4000,0)),NA()))</f>
        <v/>
      </c>
      <c r="AD254" s="18">
        <f>IF(NOT(ISNUMBER($A254)),NA(),IFERROR(1*INDEX(BBG_Data!$P$2:$P$4000,MATCH($A254,BBG_Data!$O$2:$O$4000,0)),NA()))</f>
        <v/>
      </c>
      <c r="AE254" s="18">
        <f>IF(NOT(ISNUMBER($A254)),NA(),IFERROR(1*INDEX(BBG_Data!$R$2:$R$4000,MATCH($A254,BBG_Data!$Q$2:$Q$4000,0)),NA()))</f>
        <v/>
      </c>
      <c r="AF254" s="20">
        <f>IF(AND(ISNUMBER(B254),ISNUMBER(AC254)),(B254-AC254)*100,NA())</f>
        <v/>
      </c>
      <c r="AG254" s="20">
        <f>IF(AND(ISNUMBER(AE254),ISNUMBER(AD254)),(AE254-AD254)*100,NA())</f>
        <v/>
      </c>
      <c r="AH254" s="19">
        <f>IF(NOT(ISNUMBER($A254)),NA(),IFERROR(INDEX(BBG_Data!$T$2:$T$4000,MATCH($A254,BBG_Data!$S$2:$S$4000,0))*Settings!$B$25,NA()))</f>
        <v/>
      </c>
      <c r="AI254" s="19">
        <f>IF(NOT(ISNUMBER($A254)),NA(),IFERROR(INDEX(BBG_Data!$V$2:$V$4000,MATCH($A254,BBG_Data!$U$2:$U$4000,0))*Settings!$B$25,NA()))</f>
        <v/>
      </c>
      <c r="AJ254" s="19">
        <f>IF(NOT(ISNUMBER($A254)),NA(),IFERROR(1*INDEX(BBG_Data!$X$2:$X$4000,MATCH($A254,BBG_Data!$W$2:$W$4000,0)),NA()))</f>
        <v/>
      </c>
      <c r="AK254" s="19">
        <f>IF(NOT(ISNUMBER($A254)),NA(),IFERROR(1*INDEX(BBG_Data!$Z$2:$Z$4000,MATCH($A254,BBG_Data!$Y$2:$Y$4000,0)),NA()))</f>
        <v/>
      </c>
    </row>
    <row r="255">
      <c r="A255" s="17">
        <f>IF(ISNUMBER(BBG_Data!A255),BBG_Data!A255,"")</f>
        <v/>
      </c>
      <c r="B255" s="18">
        <f>IF(AND(ISNUMBER($A255),ISNUMBER(BBG_Data!B255)),BBG_Data!B255,NA())</f>
        <v/>
      </c>
      <c r="C255" s="18">
        <f>IF(NOT(ISNUMBER($A255)),NA(),IFERROR(1*INDEX(BBG_Data!$D$2:$D$4000,MATCH($A255,BBG_Data!$C$2:$C$4000,0)),NA()))</f>
        <v/>
      </c>
      <c r="D255" s="19">
        <f>IF(NOT(ISNUMBER($A255)),NA(),IFERROR(1*INDEX(BBG_Data!$F$2:$F$4000,MATCH($A255,BBG_Data!$E$2:$E$4000,0)),NA()))</f>
        <v/>
      </c>
      <c r="E255" s="19">
        <f>IF(NOT(ISNUMBER($A255)),NA(),IFERROR(1*INDEX(BBG_Data!$H$2:$H$4000,MATCH($A255,BBG_Data!$G$2:$G$4000,0)),NA()))</f>
        <v/>
      </c>
      <c r="F255" s="20">
        <f>IF(AND(ISNUMBER(B255),ISNUMBER(B254)),IF(B255=B254,"",(B255-B254)*100),"")</f>
        <v/>
      </c>
      <c r="G255" s="20">
        <f>IF(AND(ISNUMBER(C255),ISNUMBER(C254)),IF(C255=C254,"",(C255-C254)*100),"")</f>
        <v/>
      </c>
      <c r="H255" s="20">
        <f>IF(OR(NOT(ISNUMBER($A255)),ROW()-2&lt;Settings!$B$11),NA(),IF(COUNT(OFFSET(F255,1-Settings!$B$11,0,Settings!$B$11,1))&lt;ROUNDUP(Settings!$B$11*Settings!$B$26,0),NA(),STDEV(OFFSET(F255,1-Settings!$B$11,0,Settings!$B$11,1))*SQRT(Settings!$B$13)))</f>
        <v/>
      </c>
      <c r="I255" s="20">
        <f>IF(OR(NOT(ISNUMBER($A255)),ROW()-2&lt;Settings!$B$12),NA(),IF(COUNT(OFFSET(F255,1-Settings!$B$12,0,Settings!$B$12,1))&lt;ROUNDUP(Settings!$B$12*Settings!$B$26,0),NA(),STDEV(OFFSET(F255,1-Settings!$B$12,0,Settings!$B$12,1))*SQRT(Settings!$B$13)))</f>
        <v/>
      </c>
      <c r="J255" s="20">
        <f>IF(OR(NOT(ISNUMBER($A255)),ROW()-2&lt;Settings!$B$11),NA(),IF(COUNT(OFFSET(G255,1-Settings!$B$11,0,Settings!$B$11,1))&lt;ROUNDUP(Settings!$B$11*Settings!$B$26,0),NA(),STDEV(OFFSET(G255,1-Settings!$B$11,0,Settings!$B$11,1))*SQRT(Settings!$B$13)))</f>
        <v/>
      </c>
      <c r="K255" s="20">
        <f>IF(OR(NOT(ISNUMBER($A255)),ROW()-2&lt;Settings!$B$12),NA(),IF(COUNT(OFFSET(G255,1-Settings!$B$12,0,Settings!$B$12,1))&lt;ROUNDUP(Settings!$B$12*Settings!$B$26,0),NA(),STDEV(OFFSET(G255,1-Settings!$B$12,0,Settings!$B$12,1))*SQRT(Settings!$B$13)))</f>
        <v/>
      </c>
      <c r="L255" s="20">
        <f>IF(AND(ISNUMBER(D255),ISNUMBER(H255)),D255-H255,NA())</f>
        <v/>
      </c>
      <c r="M255" s="20">
        <f>IF(AND(ISNUMBER(E255),ISNUMBER(K255)),E255-K255,NA())</f>
        <v/>
      </c>
      <c r="N255" s="20">
        <f>IF(NOT(ISNUMBER($A255)),NA(),IF(COUNT(OFFSET(G255,1,0,Settings!$B$12,1))&lt;ROUNDUP(Settings!$B$12*Settings!$B$26,0),NA(),STDEV(OFFSET(G255,1,0,Settings!$B$12,1))*SQRT(Settings!$B$13)))</f>
        <v/>
      </c>
      <c r="O255" s="20">
        <f>IF(AND(ISNUMBER(E255),ISNUMBER(N255)),E255-N255,NA())</f>
        <v/>
      </c>
      <c r="P255" s="19">
        <f>IF(NOT(ISNUMBER($A255)),NA(),IF(OR($A255&lt;MIN(KW_TP!$A$2:$A$2501),$A255&gt;MAX(KW_TP!$A$2:$A$2501)),NA(),INDEX(KW_TP!$C$2:$C$2501,MATCH($A255,KW_TP!$A$2:$A$2501,1))))</f>
        <v/>
      </c>
      <c r="Q255" s="18">
        <f>IF(NOT(ISNUMBER($A255)),NA(),IFERROR(1*INDEX(BBG_Data!$J$2:$J$4000,MATCH($A255,BBG_Data!$I$2:$I$4000,0)),NA()))</f>
        <v/>
      </c>
      <c r="R255" s="18">
        <f>IF(NOT(ISNUMBER($A255)),NA(),IFERROR(1*INDEX(BBG_Data!$L$2:$L$4000,MATCH($A255,BBG_Data!$K$2:$K$4000,0)),NA()))</f>
        <v/>
      </c>
      <c r="S255" s="20">
        <f>IF(AND(ISNUMBER(B255),ISNUMBER(Q255),ISNUMBER(R255)),(B255-Q255-R255)*100,NA())</f>
        <v/>
      </c>
      <c r="T255" s="20">
        <f>IF(AND(ISNUMBER(B255),Settings!$B$17&gt;0),IF(ISNUMBER(INDEX($B:$B,Settings!$B$17)),(B255-INDEX($B:$B,Settings!$B$17))*100,NA()),NA())</f>
        <v/>
      </c>
      <c r="U255" s="20">
        <f>IF(AND(ISNUMBER(Q255),Settings!$B$17&gt;0),IF(ISNUMBER(INDEX($Q:$Q,Settings!$B$17)),(Q255-INDEX($Q:$Q,Settings!$B$17))*100,NA()),NA())</f>
        <v/>
      </c>
      <c r="V255" s="20">
        <f>IF(AND(ISNUMBER(R255),Settings!$B$17&gt;0),IF(ISNUMBER(INDEX($R:$R,Settings!$B$17)),(R255-INDEX($R:$R,Settings!$B$17))*100,NA()),NA())</f>
        <v/>
      </c>
      <c r="W255" s="20">
        <f>IF(AND(ISNUMBER(P255),Settings!$B$17&gt;0),IF(ISNUMBER(INDEX($P:$P,Settings!$B$17)),P255-INDEX($P:$P,Settings!$B$17),NA()),NA())</f>
        <v/>
      </c>
      <c r="X255" s="19">
        <f>IF(NOT(ISNUMBER($A255)),NA(),IF(OR($A255&lt;MIN(DKW_10Y!$A$2:$A$2918),$A255&gt;MAX(DKW_10Y!$A$2:$A$2918),Settings!$B$16&lt;MIN(DKW_10Y!$A$2:$A$2918)),NA(),(INDEX(DKW_10Y!$B$2:$B$2918,MATCH($A255,DKW_10Y!$A$2:$A$2918,1))-INDEX(DKW_10Y!$B$2:$B$2918,MATCH(Settings!$B$16,DKW_10Y!$A$2:$A$2918,1)))*100))</f>
        <v/>
      </c>
      <c r="Y255" s="19">
        <f>IF(NOT(ISNUMBER($A255)),NA(),IF(OR($A255&lt;MIN(DKW_10Y!$A$2:$A$2918),$A255&gt;MAX(DKW_10Y!$A$2:$A$2918),Settings!$B$16&lt;MIN(DKW_10Y!$A$2:$A$2918)),NA(),(INDEX(DKW_10Y!$C$2:$C$2918,MATCH($A255,DKW_10Y!$A$2:$A$2918,1))-INDEX(DKW_10Y!$C$2:$C$2918,MATCH(Settings!$B$16,DKW_10Y!$A$2:$A$2918,1)))*100))</f>
        <v/>
      </c>
      <c r="Z255" s="19">
        <f>IF(NOT(ISNUMBER($A255)),NA(),IF(OR($A255&lt;MIN(DKW_10Y!$A$2:$A$2918),$A255&gt;MAX(DKW_10Y!$A$2:$A$2918),Settings!$B$16&lt;MIN(DKW_10Y!$A$2:$A$2918)),NA(),(INDEX(DKW_10Y!$D$2:$D$2918,MATCH($A255,DKW_10Y!$A$2:$A$2918,1))-INDEX(DKW_10Y!$D$2:$D$2918,MATCH(Settings!$B$16,DKW_10Y!$A$2:$A$2918,1)))*100))</f>
        <v/>
      </c>
      <c r="AA255" s="19">
        <f>IF(NOT(ISNUMBER($A255)),NA(),IF(OR($A255&lt;MIN(DKW_10Y!$A$2:$A$2918),$A255&gt;MAX(DKW_10Y!$A$2:$A$2918),Settings!$B$16&lt;MIN(DKW_10Y!$A$2:$A$2918)),NA(),(INDEX(DKW_10Y!$E$2:$E$2918,MATCH($A255,DKW_10Y!$A$2:$A$2918,1))-INDEX(DKW_10Y!$E$2:$E$2918,MATCH(Settings!$B$16,DKW_10Y!$A$2:$A$2918,1)))*100))</f>
        <v/>
      </c>
      <c r="AB255" s="19">
        <f>IF(NOT(ISNUMBER($A255)),NA(),IF(OR($A255&lt;MIN(DKW_10Y!$A$2:$A$2918),$A255&gt;MAX(DKW_10Y!$A$2:$A$2918),Settings!$B$16&lt;MIN(DKW_10Y!$A$2:$A$2918)),NA(),(INDEX(DKW_10Y!$H$2:$H$2918,MATCH($A255,DKW_10Y!$A$2:$A$2918,1))-INDEX(DKW_10Y!$H$2:$H$2918,MATCH(Settings!$B$16,DKW_10Y!$A$2:$A$2918,1)))*100))</f>
        <v/>
      </c>
      <c r="AC255" s="18">
        <f>IF(NOT(ISNUMBER($A255)),NA(),IFERROR(1*INDEX(BBG_Data!$N$2:$N$4000,MATCH($A255,BBG_Data!$M$2:$M$4000,0)),NA()))</f>
        <v/>
      </c>
      <c r="AD255" s="18">
        <f>IF(NOT(ISNUMBER($A255)),NA(),IFERROR(1*INDEX(BBG_Data!$P$2:$P$4000,MATCH($A255,BBG_Data!$O$2:$O$4000,0)),NA()))</f>
        <v/>
      </c>
      <c r="AE255" s="18">
        <f>IF(NOT(ISNUMBER($A255)),NA(),IFERROR(1*INDEX(BBG_Data!$R$2:$R$4000,MATCH($A255,BBG_Data!$Q$2:$Q$4000,0)),NA()))</f>
        <v/>
      </c>
      <c r="AF255" s="20">
        <f>IF(AND(ISNUMBER(B255),ISNUMBER(AC255)),(B255-AC255)*100,NA())</f>
        <v/>
      </c>
      <c r="AG255" s="20">
        <f>IF(AND(ISNUMBER(AE255),ISNUMBER(AD255)),(AE255-AD255)*100,NA())</f>
        <v/>
      </c>
      <c r="AH255" s="19">
        <f>IF(NOT(ISNUMBER($A255)),NA(),IFERROR(INDEX(BBG_Data!$T$2:$T$4000,MATCH($A255,BBG_Data!$S$2:$S$4000,0))*Settings!$B$25,NA()))</f>
        <v/>
      </c>
      <c r="AI255" s="19">
        <f>IF(NOT(ISNUMBER($A255)),NA(),IFERROR(INDEX(BBG_Data!$V$2:$V$4000,MATCH($A255,BBG_Data!$U$2:$U$4000,0))*Settings!$B$25,NA()))</f>
        <v/>
      </c>
      <c r="AJ255" s="19">
        <f>IF(NOT(ISNUMBER($A255)),NA(),IFERROR(1*INDEX(BBG_Data!$X$2:$X$4000,MATCH($A255,BBG_Data!$W$2:$W$4000,0)),NA()))</f>
        <v/>
      </c>
      <c r="AK255" s="19">
        <f>IF(NOT(ISNUMBER($A255)),NA(),IFERROR(1*INDEX(BBG_Data!$Z$2:$Z$4000,MATCH($A255,BBG_Data!$Y$2:$Y$4000,0)),NA()))</f>
        <v/>
      </c>
    </row>
    <row r="256">
      <c r="A256" s="17">
        <f>IF(ISNUMBER(BBG_Data!A256),BBG_Data!A256,"")</f>
        <v/>
      </c>
      <c r="B256" s="18">
        <f>IF(AND(ISNUMBER($A256),ISNUMBER(BBG_Data!B256)),BBG_Data!B256,NA())</f>
        <v/>
      </c>
      <c r="C256" s="18">
        <f>IF(NOT(ISNUMBER($A256)),NA(),IFERROR(1*INDEX(BBG_Data!$D$2:$D$4000,MATCH($A256,BBG_Data!$C$2:$C$4000,0)),NA()))</f>
        <v/>
      </c>
      <c r="D256" s="19">
        <f>IF(NOT(ISNUMBER($A256)),NA(),IFERROR(1*INDEX(BBG_Data!$F$2:$F$4000,MATCH($A256,BBG_Data!$E$2:$E$4000,0)),NA()))</f>
        <v/>
      </c>
      <c r="E256" s="19">
        <f>IF(NOT(ISNUMBER($A256)),NA(),IFERROR(1*INDEX(BBG_Data!$H$2:$H$4000,MATCH($A256,BBG_Data!$G$2:$G$4000,0)),NA()))</f>
        <v/>
      </c>
      <c r="F256" s="20">
        <f>IF(AND(ISNUMBER(B256),ISNUMBER(B255)),IF(B256=B255,"",(B256-B255)*100),"")</f>
        <v/>
      </c>
      <c r="G256" s="20">
        <f>IF(AND(ISNUMBER(C256),ISNUMBER(C255)),IF(C256=C255,"",(C256-C255)*100),"")</f>
        <v/>
      </c>
      <c r="H256" s="20">
        <f>IF(OR(NOT(ISNUMBER($A256)),ROW()-2&lt;Settings!$B$11),NA(),IF(COUNT(OFFSET(F256,1-Settings!$B$11,0,Settings!$B$11,1))&lt;ROUNDUP(Settings!$B$11*Settings!$B$26,0),NA(),STDEV(OFFSET(F256,1-Settings!$B$11,0,Settings!$B$11,1))*SQRT(Settings!$B$13)))</f>
        <v/>
      </c>
      <c r="I256" s="20">
        <f>IF(OR(NOT(ISNUMBER($A256)),ROW()-2&lt;Settings!$B$12),NA(),IF(COUNT(OFFSET(F256,1-Settings!$B$12,0,Settings!$B$12,1))&lt;ROUNDUP(Settings!$B$12*Settings!$B$26,0),NA(),STDEV(OFFSET(F256,1-Settings!$B$12,0,Settings!$B$12,1))*SQRT(Settings!$B$13)))</f>
        <v/>
      </c>
      <c r="J256" s="20">
        <f>IF(OR(NOT(ISNUMBER($A256)),ROW()-2&lt;Settings!$B$11),NA(),IF(COUNT(OFFSET(G256,1-Settings!$B$11,0,Settings!$B$11,1))&lt;ROUNDUP(Settings!$B$11*Settings!$B$26,0),NA(),STDEV(OFFSET(G256,1-Settings!$B$11,0,Settings!$B$11,1))*SQRT(Settings!$B$13)))</f>
        <v/>
      </c>
      <c r="K256" s="20">
        <f>IF(OR(NOT(ISNUMBER($A256)),ROW()-2&lt;Settings!$B$12),NA(),IF(COUNT(OFFSET(G256,1-Settings!$B$12,0,Settings!$B$12,1))&lt;ROUNDUP(Settings!$B$12*Settings!$B$26,0),NA(),STDEV(OFFSET(G256,1-Settings!$B$12,0,Settings!$B$12,1))*SQRT(Settings!$B$13)))</f>
        <v/>
      </c>
      <c r="L256" s="20">
        <f>IF(AND(ISNUMBER(D256),ISNUMBER(H256)),D256-H256,NA())</f>
        <v/>
      </c>
      <c r="M256" s="20">
        <f>IF(AND(ISNUMBER(E256),ISNUMBER(K256)),E256-K256,NA())</f>
        <v/>
      </c>
      <c r="N256" s="20">
        <f>IF(NOT(ISNUMBER($A256)),NA(),IF(COUNT(OFFSET(G256,1,0,Settings!$B$12,1))&lt;ROUNDUP(Settings!$B$12*Settings!$B$26,0),NA(),STDEV(OFFSET(G256,1,0,Settings!$B$12,1))*SQRT(Settings!$B$13)))</f>
        <v/>
      </c>
      <c r="O256" s="20">
        <f>IF(AND(ISNUMBER(E256),ISNUMBER(N256)),E256-N256,NA())</f>
        <v/>
      </c>
      <c r="P256" s="19">
        <f>IF(NOT(ISNUMBER($A256)),NA(),IF(OR($A256&lt;MIN(KW_TP!$A$2:$A$2501),$A256&gt;MAX(KW_TP!$A$2:$A$2501)),NA(),INDEX(KW_TP!$C$2:$C$2501,MATCH($A256,KW_TP!$A$2:$A$2501,1))))</f>
        <v/>
      </c>
      <c r="Q256" s="18">
        <f>IF(NOT(ISNUMBER($A256)),NA(),IFERROR(1*INDEX(BBG_Data!$J$2:$J$4000,MATCH($A256,BBG_Data!$I$2:$I$4000,0)),NA()))</f>
        <v/>
      </c>
      <c r="R256" s="18">
        <f>IF(NOT(ISNUMBER($A256)),NA(),IFERROR(1*INDEX(BBG_Data!$L$2:$L$4000,MATCH($A256,BBG_Data!$K$2:$K$4000,0)),NA()))</f>
        <v/>
      </c>
      <c r="S256" s="20">
        <f>IF(AND(ISNUMBER(B256),ISNUMBER(Q256),ISNUMBER(R256)),(B256-Q256-R256)*100,NA())</f>
        <v/>
      </c>
      <c r="T256" s="20">
        <f>IF(AND(ISNUMBER(B256),Settings!$B$17&gt;0),IF(ISNUMBER(INDEX($B:$B,Settings!$B$17)),(B256-INDEX($B:$B,Settings!$B$17))*100,NA()),NA())</f>
        <v/>
      </c>
      <c r="U256" s="20">
        <f>IF(AND(ISNUMBER(Q256),Settings!$B$17&gt;0),IF(ISNUMBER(INDEX($Q:$Q,Settings!$B$17)),(Q256-INDEX($Q:$Q,Settings!$B$17))*100,NA()),NA())</f>
        <v/>
      </c>
      <c r="V256" s="20">
        <f>IF(AND(ISNUMBER(R256),Settings!$B$17&gt;0),IF(ISNUMBER(INDEX($R:$R,Settings!$B$17)),(R256-INDEX($R:$R,Settings!$B$17))*100,NA()),NA())</f>
        <v/>
      </c>
      <c r="W256" s="20">
        <f>IF(AND(ISNUMBER(P256),Settings!$B$17&gt;0),IF(ISNUMBER(INDEX($P:$P,Settings!$B$17)),P256-INDEX($P:$P,Settings!$B$17),NA()),NA())</f>
        <v/>
      </c>
      <c r="X256" s="19">
        <f>IF(NOT(ISNUMBER($A256)),NA(),IF(OR($A256&lt;MIN(DKW_10Y!$A$2:$A$2918),$A256&gt;MAX(DKW_10Y!$A$2:$A$2918),Settings!$B$16&lt;MIN(DKW_10Y!$A$2:$A$2918)),NA(),(INDEX(DKW_10Y!$B$2:$B$2918,MATCH($A256,DKW_10Y!$A$2:$A$2918,1))-INDEX(DKW_10Y!$B$2:$B$2918,MATCH(Settings!$B$16,DKW_10Y!$A$2:$A$2918,1)))*100))</f>
        <v/>
      </c>
      <c r="Y256" s="19">
        <f>IF(NOT(ISNUMBER($A256)),NA(),IF(OR($A256&lt;MIN(DKW_10Y!$A$2:$A$2918),$A256&gt;MAX(DKW_10Y!$A$2:$A$2918),Settings!$B$16&lt;MIN(DKW_10Y!$A$2:$A$2918)),NA(),(INDEX(DKW_10Y!$C$2:$C$2918,MATCH($A256,DKW_10Y!$A$2:$A$2918,1))-INDEX(DKW_10Y!$C$2:$C$2918,MATCH(Settings!$B$16,DKW_10Y!$A$2:$A$2918,1)))*100))</f>
        <v/>
      </c>
      <c r="Z256" s="19">
        <f>IF(NOT(ISNUMBER($A256)),NA(),IF(OR($A256&lt;MIN(DKW_10Y!$A$2:$A$2918),$A256&gt;MAX(DKW_10Y!$A$2:$A$2918),Settings!$B$16&lt;MIN(DKW_10Y!$A$2:$A$2918)),NA(),(INDEX(DKW_10Y!$D$2:$D$2918,MATCH($A256,DKW_10Y!$A$2:$A$2918,1))-INDEX(DKW_10Y!$D$2:$D$2918,MATCH(Settings!$B$16,DKW_10Y!$A$2:$A$2918,1)))*100))</f>
        <v/>
      </c>
      <c r="AA256" s="19">
        <f>IF(NOT(ISNUMBER($A256)),NA(),IF(OR($A256&lt;MIN(DKW_10Y!$A$2:$A$2918),$A256&gt;MAX(DKW_10Y!$A$2:$A$2918),Settings!$B$16&lt;MIN(DKW_10Y!$A$2:$A$2918)),NA(),(INDEX(DKW_10Y!$E$2:$E$2918,MATCH($A256,DKW_10Y!$A$2:$A$2918,1))-INDEX(DKW_10Y!$E$2:$E$2918,MATCH(Settings!$B$16,DKW_10Y!$A$2:$A$2918,1)))*100))</f>
        <v/>
      </c>
      <c r="AB256" s="19">
        <f>IF(NOT(ISNUMBER($A256)),NA(),IF(OR($A256&lt;MIN(DKW_10Y!$A$2:$A$2918),$A256&gt;MAX(DKW_10Y!$A$2:$A$2918),Settings!$B$16&lt;MIN(DKW_10Y!$A$2:$A$2918)),NA(),(INDEX(DKW_10Y!$H$2:$H$2918,MATCH($A256,DKW_10Y!$A$2:$A$2918,1))-INDEX(DKW_10Y!$H$2:$H$2918,MATCH(Settings!$B$16,DKW_10Y!$A$2:$A$2918,1)))*100))</f>
        <v/>
      </c>
      <c r="AC256" s="18">
        <f>IF(NOT(ISNUMBER($A256)),NA(),IFERROR(1*INDEX(BBG_Data!$N$2:$N$4000,MATCH($A256,BBG_Data!$M$2:$M$4000,0)),NA()))</f>
        <v/>
      </c>
      <c r="AD256" s="18">
        <f>IF(NOT(ISNUMBER($A256)),NA(),IFERROR(1*INDEX(BBG_Data!$P$2:$P$4000,MATCH($A256,BBG_Data!$O$2:$O$4000,0)),NA()))</f>
        <v/>
      </c>
      <c r="AE256" s="18">
        <f>IF(NOT(ISNUMBER($A256)),NA(),IFERROR(1*INDEX(BBG_Data!$R$2:$R$4000,MATCH($A256,BBG_Data!$Q$2:$Q$4000,0)),NA()))</f>
        <v/>
      </c>
      <c r="AF256" s="20">
        <f>IF(AND(ISNUMBER(B256),ISNUMBER(AC256)),(B256-AC256)*100,NA())</f>
        <v/>
      </c>
      <c r="AG256" s="20">
        <f>IF(AND(ISNUMBER(AE256),ISNUMBER(AD256)),(AE256-AD256)*100,NA())</f>
        <v/>
      </c>
      <c r="AH256" s="19">
        <f>IF(NOT(ISNUMBER($A256)),NA(),IFERROR(INDEX(BBG_Data!$T$2:$T$4000,MATCH($A256,BBG_Data!$S$2:$S$4000,0))*Settings!$B$25,NA()))</f>
        <v/>
      </c>
      <c r="AI256" s="19">
        <f>IF(NOT(ISNUMBER($A256)),NA(),IFERROR(INDEX(BBG_Data!$V$2:$V$4000,MATCH($A256,BBG_Data!$U$2:$U$4000,0))*Settings!$B$25,NA()))</f>
        <v/>
      </c>
      <c r="AJ256" s="19">
        <f>IF(NOT(ISNUMBER($A256)),NA(),IFERROR(1*INDEX(BBG_Data!$X$2:$X$4000,MATCH($A256,BBG_Data!$W$2:$W$4000,0)),NA()))</f>
        <v/>
      </c>
      <c r="AK256" s="19">
        <f>IF(NOT(ISNUMBER($A256)),NA(),IFERROR(1*INDEX(BBG_Data!$Z$2:$Z$4000,MATCH($A256,BBG_Data!$Y$2:$Y$4000,0)),NA()))</f>
        <v/>
      </c>
    </row>
    <row r="257">
      <c r="A257" s="17">
        <f>IF(ISNUMBER(BBG_Data!A257),BBG_Data!A257,"")</f>
        <v/>
      </c>
      <c r="B257" s="18">
        <f>IF(AND(ISNUMBER($A257),ISNUMBER(BBG_Data!B257)),BBG_Data!B257,NA())</f>
        <v/>
      </c>
      <c r="C257" s="18">
        <f>IF(NOT(ISNUMBER($A257)),NA(),IFERROR(1*INDEX(BBG_Data!$D$2:$D$4000,MATCH($A257,BBG_Data!$C$2:$C$4000,0)),NA()))</f>
        <v/>
      </c>
      <c r="D257" s="19">
        <f>IF(NOT(ISNUMBER($A257)),NA(),IFERROR(1*INDEX(BBG_Data!$F$2:$F$4000,MATCH($A257,BBG_Data!$E$2:$E$4000,0)),NA()))</f>
        <v/>
      </c>
      <c r="E257" s="19">
        <f>IF(NOT(ISNUMBER($A257)),NA(),IFERROR(1*INDEX(BBG_Data!$H$2:$H$4000,MATCH($A257,BBG_Data!$G$2:$G$4000,0)),NA()))</f>
        <v/>
      </c>
      <c r="F257" s="20">
        <f>IF(AND(ISNUMBER(B257),ISNUMBER(B256)),IF(B257=B256,"",(B257-B256)*100),"")</f>
        <v/>
      </c>
      <c r="G257" s="20">
        <f>IF(AND(ISNUMBER(C257),ISNUMBER(C256)),IF(C257=C256,"",(C257-C256)*100),"")</f>
        <v/>
      </c>
      <c r="H257" s="20">
        <f>IF(OR(NOT(ISNUMBER($A257)),ROW()-2&lt;Settings!$B$11),NA(),IF(COUNT(OFFSET(F257,1-Settings!$B$11,0,Settings!$B$11,1))&lt;ROUNDUP(Settings!$B$11*Settings!$B$26,0),NA(),STDEV(OFFSET(F257,1-Settings!$B$11,0,Settings!$B$11,1))*SQRT(Settings!$B$13)))</f>
        <v/>
      </c>
      <c r="I257" s="20">
        <f>IF(OR(NOT(ISNUMBER($A257)),ROW()-2&lt;Settings!$B$12),NA(),IF(COUNT(OFFSET(F257,1-Settings!$B$12,0,Settings!$B$12,1))&lt;ROUNDUP(Settings!$B$12*Settings!$B$26,0),NA(),STDEV(OFFSET(F257,1-Settings!$B$12,0,Settings!$B$12,1))*SQRT(Settings!$B$13)))</f>
        <v/>
      </c>
      <c r="J257" s="20">
        <f>IF(OR(NOT(ISNUMBER($A257)),ROW()-2&lt;Settings!$B$11),NA(),IF(COUNT(OFFSET(G257,1-Settings!$B$11,0,Settings!$B$11,1))&lt;ROUNDUP(Settings!$B$11*Settings!$B$26,0),NA(),STDEV(OFFSET(G257,1-Settings!$B$11,0,Settings!$B$11,1))*SQRT(Settings!$B$13)))</f>
        <v/>
      </c>
      <c r="K257" s="20">
        <f>IF(OR(NOT(ISNUMBER($A257)),ROW()-2&lt;Settings!$B$12),NA(),IF(COUNT(OFFSET(G257,1-Settings!$B$12,0,Settings!$B$12,1))&lt;ROUNDUP(Settings!$B$12*Settings!$B$26,0),NA(),STDEV(OFFSET(G257,1-Settings!$B$12,0,Settings!$B$12,1))*SQRT(Settings!$B$13)))</f>
        <v/>
      </c>
      <c r="L257" s="20">
        <f>IF(AND(ISNUMBER(D257),ISNUMBER(H257)),D257-H257,NA())</f>
        <v/>
      </c>
      <c r="M257" s="20">
        <f>IF(AND(ISNUMBER(E257),ISNUMBER(K257)),E257-K257,NA())</f>
        <v/>
      </c>
      <c r="N257" s="20">
        <f>IF(NOT(ISNUMBER($A257)),NA(),IF(COUNT(OFFSET(G257,1,0,Settings!$B$12,1))&lt;ROUNDUP(Settings!$B$12*Settings!$B$26,0),NA(),STDEV(OFFSET(G257,1,0,Settings!$B$12,1))*SQRT(Settings!$B$13)))</f>
        <v/>
      </c>
      <c r="O257" s="20">
        <f>IF(AND(ISNUMBER(E257),ISNUMBER(N257)),E257-N257,NA())</f>
        <v/>
      </c>
      <c r="P257" s="19">
        <f>IF(NOT(ISNUMBER($A257)),NA(),IF(OR($A257&lt;MIN(KW_TP!$A$2:$A$2501),$A257&gt;MAX(KW_TP!$A$2:$A$2501)),NA(),INDEX(KW_TP!$C$2:$C$2501,MATCH($A257,KW_TP!$A$2:$A$2501,1))))</f>
        <v/>
      </c>
      <c r="Q257" s="18">
        <f>IF(NOT(ISNUMBER($A257)),NA(),IFERROR(1*INDEX(BBG_Data!$J$2:$J$4000,MATCH($A257,BBG_Data!$I$2:$I$4000,0)),NA()))</f>
        <v/>
      </c>
      <c r="R257" s="18">
        <f>IF(NOT(ISNUMBER($A257)),NA(),IFERROR(1*INDEX(BBG_Data!$L$2:$L$4000,MATCH($A257,BBG_Data!$K$2:$K$4000,0)),NA()))</f>
        <v/>
      </c>
      <c r="S257" s="20">
        <f>IF(AND(ISNUMBER(B257),ISNUMBER(Q257),ISNUMBER(R257)),(B257-Q257-R257)*100,NA())</f>
        <v/>
      </c>
      <c r="T257" s="20">
        <f>IF(AND(ISNUMBER(B257),Settings!$B$17&gt;0),IF(ISNUMBER(INDEX($B:$B,Settings!$B$17)),(B257-INDEX($B:$B,Settings!$B$17))*100,NA()),NA())</f>
        <v/>
      </c>
      <c r="U257" s="20">
        <f>IF(AND(ISNUMBER(Q257),Settings!$B$17&gt;0),IF(ISNUMBER(INDEX($Q:$Q,Settings!$B$17)),(Q257-INDEX($Q:$Q,Settings!$B$17))*100,NA()),NA())</f>
        <v/>
      </c>
      <c r="V257" s="20">
        <f>IF(AND(ISNUMBER(R257),Settings!$B$17&gt;0),IF(ISNUMBER(INDEX($R:$R,Settings!$B$17)),(R257-INDEX($R:$R,Settings!$B$17))*100,NA()),NA())</f>
        <v/>
      </c>
      <c r="W257" s="20">
        <f>IF(AND(ISNUMBER(P257),Settings!$B$17&gt;0),IF(ISNUMBER(INDEX($P:$P,Settings!$B$17)),P257-INDEX($P:$P,Settings!$B$17),NA()),NA())</f>
        <v/>
      </c>
      <c r="X257" s="19">
        <f>IF(NOT(ISNUMBER($A257)),NA(),IF(OR($A257&lt;MIN(DKW_10Y!$A$2:$A$2918),$A257&gt;MAX(DKW_10Y!$A$2:$A$2918),Settings!$B$16&lt;MIN(DKW_10Y!$A$2:$A$2918)),NA(),(INDEX(DKW_10Y!$B$2:$B$2918,MATCH($A257,DKW_10Y!$A$2:$A$2918,1))-INDEX(DKW_10Y!$B$2:$B$2918,MATCH(Settings!$B$16,DKW_10Y!$A$2:$A$2918,1)))*100))</f>
        <v/>
      </c>
      <c r="Y257" s="19">
        <f>IF(NOT(ISNUMBER($A257)),NA(),IF(OR($A257&lt;MIN(DKW_10Y!$A$2:$A$2918),$A257&gt;MAX(DKW_10Y!$A$2:$A$2918),Settings!$B$16&lt;MIN(DKW_10Y!$A$2:$A$2918)),NA(),(INDEX(DKW_10Y!$C$2:$C$2918,MATCH($A257,DKW_10Y!$A$2:$A$2918,1))-INDEX(DKW_10Y!$C$2:$C$2918,MATCH(Settings!$B$16,DKW_10Y!$A$2:$A$2918,1)))*100))</f>
        <v/>
      </c>
      <c r="Z257" s="19">
        <f>IF(NOT(ISNUMBER($A257)),NA(),IF(OR($A257&lt;MIN(DKW_10Y!$A$2:$A$2918),$A257&gt;MAX(DKW_10Y!$A$2:$A$2918),Settings!$B$16&lt;MIN(DKW_10Y!$A$2:$A$2918)),NA(),(INDEX(DKW_10Y!$D$2:$D$2918,MATCH($A257,DKW_10Y!$A$2:$A$2918,1))-INDEX(DKW_10Y!$D$2:$D$2918,MATCH(Settings!$B$16,DKW_10Y!$A$2:$A$2918,1)))*100))</f>
        <v/>
      </c>
      <c r="AA257" s="19">
        <f>IF(NOT(ISNUMBER($A257)),NA(),IF(OR($A257&lt;MIN(DKW_10Y!$A$2:$A$2918),$A257&gt;MAX(DKW_10Y!$A$2:$A$2918),Settings!$B$16&lt;MIN(DKW_10Y!$A$2:$A$2918)),NA(),(INDEX(DKW_10Y!$E$2:$E$2918,MATCH($A257,DKW_10Y!$A$2:$A$2918,1))-INDEX(DKW_10Y!$E$2:$E$2918,MATCH(Settings!$B$16,DKW_10Y!$A$2:$A$2918,1)))*100))</f>
        <v/>
      </c>
      <c r="AB257" s="19">
        <f>IF(NOT(ISNUMBER($A257)),NA(),IF(OR($A257&lt;MIN(DKW_10Y!$A$2:$A$2918),$A257&gt;MAX(DKW_10Y!$A$2:$A$2918),Settings!$B$16&lt;MIN(DKW_10Y!$A$2:$A$2918)),NA(),(INDEX(DKW_10Y!$H$2:$H$2918,MATCH($A257,DKW_10Y!$A$2:$A$2918,1))-INDEX(DKW_10Y!$H$2:$H$2918,MATCH(Settings!$B$16,DKW_10Y!$A$2:$A$2918,1)))*100))</f>
        <v/>
      </c>
      <c r="AC257" s="18">
        <f>IF(NOT(ISNUMBER($A257)),NA(),IFERROR(1*INDEX(BBG_Data!$N$2:$N$4000,MATCH($A257,BBG_Data!$M$2:$M$4000,0)),NA()))</f>
        <v/>
      </c>
      <c r="AD257" s="18">
        <f>IF(NOT(ISNUMBER($A257)),NA(),IFERROR(1*INDEX(BBG_Data!$P$2:$P$4000,MATCH($A257,BBG_Data!$O$2:$O$4000,0)),NA()))</f>
        <v/>
      </c>
      <c r="AE257" s="18">
        <f>IF(NOT(ISNUMBER($A257)),NA(),IFERROR(1*INDEX(BBG_Data!$R$2:$R$4000,MATCH($A257,BBG_Data!$Q$2:$Q$4000,0)),NA()))</f>
        <v/>
      </c>
      <c r="AF257" s="20">
        <f>IF(AND(ISNUMBER(B257),ISNUMBER(AC257)),(B257-AC257)*100,NA())</f>
        <v/>
      </c>
      <c r="AG257" s="20">
        <f>IF(AND(ISNUMBER(AE257),ISNUMBER(AD257)),(AE257-AD257)*100,NA())</f>
        <v/>
      </c>
      <c r="AH257" s="19">
        <f>IF(NOT(ISNUMBER($A257)),NA(),IFERROR(INDEX(BBG_Data!$T$2:$T$4000,MATCH($A257,BBG_Data!$S$2:$S$4000,0))*Settings!$B$25,NA()))</f>
        <v/>
      </c>
      <c r="AI257" s="19">
        <f>IF(NOT(ISNUMBER($A257)),NA(),IFERROR(INDEX(BBG_Data!$V$2:$V$4000,MATCH($A257,BBG_Data!$U$2:$U$4000,0))*Settings!$B$25,NA()))</f>
        <v/>
      </c>
      <c r="AJ257" s="19">
        <f>IF(NOT(ISNUMBER($A257)),NA(),IFERROR(1*INDEX(BBG_Data!$X$2:$X$4000,MATCH($A257,BBG_Data!$W$2:$W$4000,0)),NA()))</f>
        <v/>
      </c>
      <c r="AK257" s="19">
        <f>IF(NOT(ISNUMBER($A257)),NA(),IFERROR(1*INDEX(BBG_Data!$Z$2:$Z$4000,MATCH($A257,BBG_Data!$Y$2:$Y$4000,0)),NA()))</f>
        <v/>
      </c>
    </row>
    <row r="258">
      <c r="A258" s="17">
        <f>IF(ISNUMBER(BBG_Data!A258),BBG_Data!A258,"")</f>
        <v/>
      </c>
      <c r="B258" s="18">
        <f>IF(AND(ISNUMBER($A258),ISNUMBER(BBG_Data!B258)),BBG_Data!B258,NA())</f>
        <v/>
      </c>
      <c r="C258" s="18">
        <f>IF(NOT(ISNUMBER($A258)),NA(),IFERROR(1*INDEX(BBG_Data!$D$2:$D$4000,MATCH($A258,BBG_Data!$C$2:$C$4000,0)),NA()))</f>
        <v/>
      </c>
      <c r="D258" s="19">
        <f>IF(NOT(ISNUMBER($A258)),NA(),IFERROR(1*INDEX(BBG_Data!$F$2:$F$4000,MATCH($A258,BBG_Data!$E$2:$E$4000,0)),NA()))</f>
        <v/>
      </c>
      <c r="E258" s="19">
        <f>IF(NOT(ISNUMBER($A258)),NA(),IFERROR(1*INDEX(BBG_Data!$H$2:$H$4000,MATCH($A258,BBG_Data!$G$2:$G$4000,0)),NA()))</f>
        <v/>
      </c>
      <c r="F258" s="20">
        <f>IF(AND(ISNUMBER(B258),ISNUMBER(B257)),IF(B258=B257,"",(B258-B257)*100),"")</f>
        <v/>
      </c>
      <c r="G258" s="20">
        <f>IF(AND(ISNUMBER(C258),ISNUMBER(C257)),IF(C258=C257,"",(C258-C257)*100),"")</f>
        <v/>
      </c>
      <c r="H258" s="20">
        <f>IF(OR(NOT(ISNUMBER($A258)),ROW()-2&lt;Settings!$B$11),NA(),IF(COUNT(OFFSET(F258,1-Settings!$B$11,0,Settings!$B$11,1))&lt;ROUNDUP(Settings!$B$11*Settings!$B$26,0),NA(),STDEV(OFFSET(F258,1-Settings!$B$11,0,Settings!$B$11,1))*SQRT(Settings!$B$13)))</f>
        <v/>
      </c>
      <c r="I258" s="20">
        <f>IF(OR(NOT(ISNUMBER($A258)),ROW()-2&lt;Settings!$B$12),NA(),IF(COUNT(OFFSET(F258,1-Settings!$B$12,0,Settings!$B$12,1))&lt;ROUNDUP(Settings!$B$12*Settings!$B$26,0),NA(),STDEV(OFFSET(F258,1-Settings!$B$12,0,Settings!$B$12,1))*SQRT(Settings!$B$13)))</f>
        <v/>
      </c>
      <c r="J258" s="20">
        <f>IF(OR(NOT(ISNUMBER($A258)),ROW()-2&lt;Settings!$B$11),NA(),IF(COUNT(OFFSET(G258,1-Settings!$B$11,0,Settings!$B$11,1))&lt;ROUNDUP(Settings!$B$11*Settings!$B$26,0),NA(),STDEV(OFFSET(G258,1-Settings!$B$11,0,Settings!$B$11,1))*SQRT(Settings!$B$13)))</f>
        <v/>
      </c>
      <c r="K258" s="20">
        <f>IF(OR(NOT(ISNUMBER($A258)),ROW()-2&lt;Settings!$B$12),NA(),IF(COUNT(OFFSET(G258,1-Settings!$B$12,0,Settings!$B$12,1))&lt;ROUNDUP(Settings!$B$12*Settings!$B$26,0),NA(),STDEV(OFFSET(G258,1-Settings!$B$12,0,Settings!$B$12,1))*SQRT(Settings!$B$13)))</f>
        <v/>
      </c>
      <c r="L258" s="20">
        <f>IF(AND(ISNUMBER(D258),ISNUMBER(H258)),D258-H258,NA())</f>
        <v/>
      </c>
      <c r="M258" s="20">
        <f>IF(AND(ISNUMBER(E258),ISNUMBER(K258)),E258-K258,NA())</f>
        <v/>
      </c>
      <c r="N258" s="20">
        <f>IF(NOT(ISNUMBER($A258)),NA(),IF(COUNT(OFFSET(G258,1,0,Settings!$B$12,1))&lt;ROUNDUP(Settings!$B$12*Settings!$B$26,0),NA(),STDEV(OFFSET(G258,1,0,Settings!$B$12,1))*SQRT(Settings!$B$13)))</f>
        <v/>
      </c>
      <c r="O258" s="20">
        <f>IF(AND(ISNUMBER(E258),ISNUMBER(N258)),E258-N258,NA())</f>
        <v/>
      </c>
      <c r="P258" s="19">
        <f>IF(NOT(ISNUMBER($A258)),NA(),IF(OR($A258&lt;MIN(KW_TP!$A$2:$A$2501),$A258&gt;MAX(KW_TP!$A$2:$A$2501)),NA(),INDEX(KW_TP!$C$2:$C$2501,MATCH($A258,KW_TP!$A$2:$A$2501,1))))</f>
        <v/>
      </c>
      <c r="Q258" s="18">
        <f>IF(NOT(ISNUMBER($A258)),NA(),IFERROR(1*INDEX(BBG_Data!$J$2:$J$4000,MATCH($A258,BBG_Data!$I$2:$I$4000,0)),NA()))</f>
        <v/>
      </c>
      <c r="R258" s="18">
        <f>IF(NOT(ISNUMBER($A258)),NA(),IFERROR(1*INDEX(BBG_Data!$L$2:$L$4000,MATCH($A258,BBG_Data!$K$2:$K$4000,0)),NA()))</f>
        <v/>
      </c>
      <c r="S258" s="20">
        <f>IF(AND(ISNUMBER(B258),ISNUMBER(Q258),ISNUMBER(R258)),(B258-Q258-R258)*100,NA())</f>
        <v/>
      </c>
      <c r="T258" s="20">
        <f>IF(AND(ISNUMBER(B258),Settings!$B$17&gt;0),IF(ISNUMBER(INDEX($B:$B,Settings!$B$17)),(B258-INDEX($B:$B,Settings!$B$17))*100,NA()),NA())</f>
        <v/>
      </c>
      <c r="U258" s="20">
        <f>IF(AND(ISNUMBER(Q258),Settings!$B$17&gt;0),IF(ISNUMBER(INDEX($Q:$Q,Settings!$B$17)),(Q258-INDEX($Q:$Q,Settings!$B$17))*100,NA()),NA())</f>
        <v/>
      </c>
      <c r="V258" s="20">
        <f>IF(AND(ISNUMBER(R258),Settings!$B$17&gt;0),IF(ISNUMBER(INDEX($R:$R,Settings!$B$17)),(R258-INDEX($R:$R,Settings!$B$17))*100,NA()),NA())</f>
        <v/>
      </c>
      <c r="W258" s="20">
        <f>IF(AND(ISNUMBER(P258),Settings!$B$17&gt;0),IF(ISNUMBER(INDEX($P:$P,Settings!$B$17)),P258-INDEX($P:$P,Settings!$B$17),NA()),NA())</f>
        <v/>
      </c>
      <c r="X258" s="19">
        <f>IF(NOT(ISNUMBER($A258)),NA(),IF(OR($A258&lt;MIN(DKW_10Y!$A$2:$A$2918),$A258&gt;MAX(DKW_10Y!$A$2:$A$2918),Settings!$B$16&lt;MIN(DKW_10Y!$A$2:$A$2918)),NA(),(INDEX(DKW_10Y!$B$2:$B$2918,MATCH($A258,DKW_10Y!$A$2:$A$2918,1))-INDEX(DKW_10Y!$B$2:$B$2918,MATCH(Settings!$B$16,DKW_10Y!$A$2:$A$2918,1)))*100))</f>
        <v/>
      </c>
      <c r="Y258" s="19">
        <f>IF(NOT(ISNUMBER($A258)),NA(),IF(OR($A258&lt;MIN(DKW_10Y!$A$2:$A$2918),$A258&gt;MAX(DKW_10Y!$A$2:$A$2918),Settings!$B$16&lt;MIN(DKW_10Y!$A$2:$A$2918)),NA(),(INDEX(DKW_10Y!$C$2:$C$2918,MATCH($A258,DKW_10Y!$A$2:$A$2918,1))-INDEX(DKW_10Y!$C$2:$C$2918,MATCH(Settings!$B$16,DKW_10Y!$A$2:$A$2918,1)))*100))</f>
        <v/>
      </c>
      <c r="Z258" s="19">
        <f>IF(NOT(ISNUMBER($A258)),NA(),IF(OR($A258&lt;MIN(DKW_10Y!$A$2:$A$2918),$A258&gt;MAX(DKW_10Y!$A$2:$A$2918),Settings!$B$16&lt;MIN(DKW_10Y!$A$2:$A$2918)),NA(),(INDEX(DKW_10Y!$D$2:$D$2918,MATCH($A258,DKW_10Y!$A$2:$A$2918,1))-INDEX(DKW_10Y!$D$2:$D$2918,MATCH(Settings!$B$16,DKW_10Y!$A$2:$A$2918,1)))*100))</f>
        <v/>
      </c>
      <c r="AA258" s="19">
        <f>IF(NOT(ISNUMBER($A258)),NA(),IF(OR($A258&lt;MIN(DKW_10Y!$A$2:$A$2918),$A258&gt;MAX(DKW_10Y!$A$2:$A$2918),Settings!$B$16&lt;MIN(DKW_10Y!$A$2:$A$2918)),NA(),(INDEX(DKW_10Y!$E$2:$E$2918,MATCH($A258,DKW_10Y!$A$2:$A$2918,1))-INDEX(DKW_10Y!$E$2:$E$2918,MATCH(Settings!$B$16,DKW_10Y!$A$2:$A$2918,1)))*100))</f>
        <v/>
      </c>
      <c r="AB258" s="19">
        <f>IF(NOT(ISNUMBER($A258)),NA(),IF(OR($A258&lt;MIN(DKW_10Y!$A$2:$A$2918),$A258&gt;MAX(DKW_10Y!$A$2:$A$2918),Settings!$B$16&lt;MIN(DKW_10Y!$A$2:$A$2918)),NA(),(INDEX(DKW_10Y!$H$2:$H$2918,MATCH($A258,DKW_10Y!$A$2:$A$2918,1))-INDEX(DKW_10Y!$H$2:$H$2918,MATCH(Settings!$B$16,DKW_10Y!$A$2:$A$2918,1)))*100))</f>
        <v/>
      </c>
      <c r="AC258" s="18">
        <f>IF(NOT(ISNUMBER($A258)),NA(),IFERROR(1*INDEX(BBG_Data!$N$2:$N$4000,MATCH($A258,BBG_Data!$M$2:$M$4000,0)),NA()))</f>
        <v/>
      </c>
      <c r="AD258" s="18">
        <f>IF(NOT(ISNUMBER($A258)),NA(),IFERROR(1*INDEX(BBG_Data!$P$2:$P$4000,MATCH($A258,BBG_Data!$O$2:$O$4000,0)),NA()))</f>
        <v/>
      </c>
      <c r="AE258" s="18">
        <f>IF(NOT(ISNUMBER($A258)),NA(),IFERROR(1*INDEX(BBG_Data!$R$2:$R$4000,MATCH($A258,BBG_Data!$Q$2:$Q$4000,0)),NA()))</f>
        <v/>
      </c>
      <c r="AF258" s="20">
        <f>IF(AND(ISNUMBER(B258),ISNUMBER(AC258)),(B258-AC258)*100,NA())</f>
        <v/>
      </c>
      <c r="AG258" s="20">
        <f>IF(AND(ISNUMBER(AE258),ISNUMBER(AD258)),(AE258-AD258)*100,NA())</f>
        <v/>
      </c>
      <c r="AH258" s="19">
        <f>IF(NOT(ISNUMBER($A258)),NA(),IFERROR(INDEX(BBG_Data!$T$2:$T$4000,MATCH($A258,BBG_Data!$S$2:$S$4000,0))*Settings!$B$25,NA()))</f>
        <v/>
      </c>
      <c r="AI258" s="19">
        <f>IF(NOT(ISNUMBER($A258)),NA(),IFERROR(INDEX(BBG_Data!$V$2:$V$4000,MATCH($A258,BBG_Data!$U$2:$U$4000,0))*Settings!$B$25,NA()))</f>
        <v/>
      </c>
      <c r="AJ258" s="19">
        <f>IF(NOT(ISNUMBER($A258)),NA(),IFERROR(1*INDEX(BBG_Data!$X$2:$X$4000,MATCH($A258,BBG_Data!$W$2:$W$4000,0)),NA()))</f>
        <v/>
      </c>
      <c r="AK258" s="19">
        <f>IF(NOT(ISNUMBER($A258)),NA(),IFERROR(1*INDEX(BBG_Data!$Z$2:$Z$4000,MATCH($A258,BBG_Data!$Y$2:$Y$4000,0)),NA()))</f>
        <v/>
      </c>
    </row>
    <row r="259">
      <c r="A259" s="17">
        <f>IF(ISNUMBER(BBG_Data!A259),BBG_Data!A259,"")</f>
        <v/>
      </c>
      <c r="B259" s="18">
        <f>IF(AND(ISNUMBER($A259),ISNUMBER(BBG_Data!B259)),BBG_Data!B259,NA())</f>
        <v/>
      </c>
      <c r="C259" s="18">
        <f>IF(NOT(ISNUMBER($A259)),NA(),IFERROR(1*INDEX(BBG_Data!$D$2:$D$4000,MATCH($A259,BBG_Data!$C$2:$C$4000,0)),NA()))</f>
        <v/>
      </c>
      <c r="D259" s="19">
        <f>IF(NOT(ISNUMBER($A259)),NA(),IFERROR(1*INDEX(BBG_Data!$F$2:$F$4000,MATCH($A259,BBG_Data!$E$2:$E$4000,0)),NA()))</f>
        <v/>
      </c>
      <c r="E259" s="19">
        <f>IF(NOT(ISNUMBER($A259)),NA(),IFERROR(1*INDEX(BBG_Data!$H$2:$H$4000,MATCH($A259,BBG_Data!$G$2:$G$4000,0)),NA()))</f>
        <v/>
      </c>
      <c r="F259" s="20">
        <f>IF(AND(ISNUMBER(B259),ISNUMBER(B258)),IF(B259=B258,"",(B259-B258)*100),"")</f>
        <v/>
      </c>
      <c r="G259" s="20">
        <f>IF(AND(ISNUMBER(C259),ISNUMBER(C258)),IF(C259=C258,"",(C259-C258)*100),"")</f>
        <v/>
      </c>
      <c r="H259" s="20">
        <f>IF(OR(NOT(ISNUMBER($A259)),ROW()-2&lt;Settings!$B$11),NA(),IF(COUNT(OFFSET(F259,1-Settings!$B$11,0,Settings!$B$11,1))&lt;ROUNDUP(Settings!$B$11*Settings!$B$26,0),NA(),STDEV(OFFSET(F259,1-Settings!$B$11,0,Settings!$B$11,1))*SQRT(Settings!$B$13)))</f>
        <v/>
      </c>
      <c r="I259" s="20">
        <f>IF(OR(NOT(ISNUMBER($A259)),ROW()-2&lt;Settings!$B$12),NA(),IF(COUNT(OFFSET(F259,1-Settings!$B$12,0,Settings!$B$12,1))&lt;ROUNDUP(Settings!$B$12*Settings!$B$26,0),NA(),STDEV(OFFSET(F259,1-Settings!$B$12,0,Settings!$B$12,1))*SQRT(Settings!$B$13)))</f>
        <v/>
      </c>
      <c r="J259" s="20">
        <f>IF(OR(NOT(ISNUMBER($A259)),ROW()-2&lt;Settings!$B$11),NA(),IF(COUNT(OFFSET(G259,1-Settings!$B$11,0,Settings!$B$11,1))&lt;ROUNDUP(Settings!$B$11*Settings!$B$26,0),NA(),STDEV(OFFSET(G259,1-Settings!$B$11,0,Settings!$B$11,1))*SQRT(Settings!$B$13)))</f>
        <v/>
      </c>
      <c r="K259" s="20">
        <f>IF(OR(NOT(ISNUMBER($A259)),ROW()-2&lt;Settings!$B$12),NA(),IF(COUNT(OFFSET(G259,1-Settings!$B$12,0,Settings!$B$12,1))&lt;ROUNDUP(Settings!$B$12*Settings!$B$26,0),NA(),STDEV(OFFSET(G259,1-Settings!$B$12,0,Settings!$B$12,1))*SQRT(Settings!$B$13)))</f>
        <v/>
      </c>
      <c r="L259" s="20">
        <f>IF(AND(ISNUMBER(D259),ISNUMBER(H259)),D259-H259,NA())</f>
        <v/>
      </c>
      <c r="M259" s="20">
        <f>IF(AND(ISNUMBER(E259),ISNUMBER(K259)),E259-K259,NA())</f>
        <v/>
      </c>
      <c r="N259" s="20">
        <f>IF(NOT(ISNUMBER($A259)),NA(),IF(COUNT(OFFSET(G259,1,0,Settings!$B$12,1))&lt;ROUNDUP(Settings!$B$12*Settings!$B$26,0),NA(),STDEV(OFFSET(G259,1,0,Settings!$B$12,1))*SQRT(Settings!$B$13)))</f>
        <v/>
      </c>
      <c r="O259" s="20">
        <f>IF(AND(ISNUMBER(E259),ISNUMBER(N259)),E259-N259,NA())</f>
        <v/>
      </c>
      <c r="P259" s="19">
        <f>IF(NOT(ISNUMBER($A259)),NA(),IF(OR($A259&lt;MIN(KW_TP!$A$2:$A$2501),$A259&gt;MAX(KW_TP!$A$2:$A$2501)),NA(),INDEX(KW_TP!$C$2:$C$2501,MATCH($A259,KW_TP!$A$2:$A$2501,1))))</f>
        <v/>
      </c>
      <c r="Q259" s="18">
        <f>IF(NOT(ISNUMBER($A259)),NA(),IFERROR(1*INDEX(BBG_Data!$J$2:$J$4000,MATCH($A259,BBG_Data!$I$2:$I$4000,0)),NA()))</f>
        <v/>
      </c>
      <c r="R259" s="18">
        <f>IF(NOT(ISNUMBER($A259)),NA(),IFERROR(1*INDEX(BBG_Data!$L$2:$L$4000,MATCH($A259,BBG_Data!$K$2:$K$4000,0)),NA()))</f>
        <v/>
      </c>
      <c r="S259" s="20">
        <f>IF(AND(ISNUMBER(B259),ISNUMBER(Q259),ISNUMBER(R259)),(B259-Q259-R259)*100,NA())</f>
        <v/>
      </c>
      <c r="T259" s="20">
        <f>IF(AND(ISNUMBER(B259),Settings!$B$17&gt;0),IF(ISNUMBER(INDEX($B:$B,Settings!$B$17)),(B259-INDEX($B:$B,Settings!$B$17))*100,NA()),NA())</f>
        <v/>
      </c>
      <c r="U259" s="20">
        <f>IF(AND(ISNUMBER(Q259),Settings!$B$17&gt;0),IF(ISNUMBER(INDEX($Q:$Q,Settings!$B$17)),(Q259-INDEX($Q:$Q,Settings!$B$17))*100,NA()),NA())</f>
        <v/>
      </c>
      <c r="V259" s="20">
        <f>IF(AND(ISNUMBER(R259),Settings!$B$17&gt;0),IF(ISNUMBER(INDEX($R:$R,Settings!$B$17)),(R259-INDEX($R:$R,Settings!$B$17))*100,NA()),NA())</f>
        <v/>
      </c>
      <c r="W259" s="20">
        <f>IF(AND(ISNUMBER(P259),Settings!$B$17&gt;0),IF(ISNUMBER(INDEX($P:$P,Settings!$B$17)),P259-INDEX($P:$P,Settings!$B$17),NA()),NA())</f>
        <v/>
      </c>
      <c r="X259" s="19">
        <f>IF(NOT(ISNUMBER($A259)),NA(),IF(OR($A259&lt;MIN(DKW_10Y!$A$2:$A$2918),$A259&gt;MAX(DKW_10Y!$A$2:$A$2918),Settings!$B$16&lt;MIN(DKW_10Y!$A$2:$A$2918)),NA(),(INDEX(DKW_10Y!$B$2:$B$2918,MATCH($A259,DKW_10Y!$A$2:$A$2918,1))-INDEX(DKW_10Y!$B$2:$B$2918,MATCH(Settings!$B$16,DKW_10Y!$A$2:$A$2918,1)))*100))</f>
        <v/>
      </c>
      <c r="Y259" s="19">
        <f>IF(NOT(ISNUMBER($A259)),NA(),IF(OR($A259&lt;MIN(DKW_10Y!$A$2:$A$2918),$A259&gt;MAX(DKW_10Y!$A$2:$A$2918),Settings!$B$16&lt;MIN(DKW_10Y!$A$2:$A$2918)),NA(),(INDEX(DKW_10Y!$C$2:$C$2918,MATCH($A259,DKW_10Y!$A$2:$A$2918,1))-INDEX(DKW_10Y!$C$2:$C$2918,MATCH(Settings!$B$16,DKW_10Y!$A$2:$A$2918,1)))*100))</f>
        <v/>
      </c>
      <c r="Z259" s="19">
        <f>IF(NOT(ISNUMBER($A259)),NA(),IF(OR($A259&lt;MIN(DKW_10Y!$A$2:$A$2918),$A259&gt;MAX(DKW_10Y!$A$2:$A$2918),Settings!$B$16&lt;MIN(DKW_10Y!$A$2:$A$2918)),NA(),(INDEX(DKW_10Y!$D$2:$D$2918,MATCH($A259,DKW_10Y!$A$2:$A$2918,1))-INDEX(DKW_10Y!$D$2:$D$2918,MATCH(Settings!$B$16,DKW_10Y!$A$2:$A$2918,1)))*100))</f>
        <v/>
      </c>
      <c r="AA259" s="19">
        <f>IF(NOT(ISNUMBER($A259)),NA(),IF(OR($A259&lt;MIN(DKW_10Y!$A$2:$A$2918),$A259&gt;MAX(DKW_10Y!$A$2:$A$2918),Settings!$B$16&lt;MIN(DKW_10Y!$A$2:$A$2918)),NA(),(INDEX(DKW_10Y!$E$2:$E$2918,MATCH($A259,DKW_10Y!$A$2:$A$2918,1))-INDEX(DKW_10Y!$E$2:$E$2918,MATCH(Settings!$B$16,DKW_10Y!$A$2:$A$2918,1)))*100))</f>
        <v/>
      </c>
      <c r="AB259" s="19">
        <f>IF(NOT(ISNUMBER($A259)),NA(),IF(OR($A259&lt;MIN(DKW_10Y!$A$2:$A$2918),$A259&gt;MAX(DKW_10Y!$A$2:$A$2918),Settings!$B$16&lt;MIN(DKW_10Y!$A$2:$A$2918)),NA(),(INDEX(DKW_10Y!$H$2:$H$2918,MATCH($A259,DKW_10Y!$A$2:$A$2918,1))-INDEX(DKW_10Y!$H$2:$H$2918,MATCH(Settings!$B$16,DKW_10Y!$A$2:$A$2918,1)))*100))</f>
        <v/>
      </c>
      <c r="AC259" s="18">
        <f>IF(NOT(ISNUMBER($A259)),NA(),IFERROR(1*INDEX(BBG_Data!$N$2:$N$4000,MATCH($A259,BBG_Data!$M$2:$M$4000,0)),NA()))</f>
        <v/>
      </c>
      <c r="AD259" s="18">
        <f>IF(NOT(ISNUMBER($A259)),NA(),IFERROR(1*INDEX(BBG_Data!$P$2:$P$4000,MATCH($A259,BBG_Data!$O$2:$O$4000,0)),NA()))</f>
        <v/>
      </c>
      <c r="AE259" s="18">
        <f>IF(NOT(ISNUMBER($A259)),NA(),IFERROR(1*INDEX(BBG_Data!$R$2:$R$4000,MATCH($A259,BBG_Data!$Q$2:$Q$4000,0)),NA()))</f>
        <v/>
      </c>
      <c r="AF259" s="20">
        <f>IF(AND(ISNUMBER(B259),ISNUMBER(AC259)),(B259-AC259)*100,NA())</f>
        <v/>
      </c>
      <c r="AG259" s="20">
        <f>IF(AND(ISNUMBER(AE259),ISNUMBER(AD259)),(AE259-AD259)*100,NA())</f>
        <v/>
      </c>
      <c r="AH259" s="19">
        <f>IF(NOT(ISNUMBER($A259)),NA(),IFERROR(INDEX(BBG_Data!$T$2:$T$4000,MATCH($A259,BBG_Data!$S$2:$S$4000,0))*Settings!$B$25,NA()))</f>
        <v/>
      </c>
      <c r="AI259" s="19">
        <f>IF(NOT(ISNUMBER($A259)),NA(),IFERROR(INDEX(BBG_Data!$V$2:$V$4000,MATCH($A259,BBG_Data!$U$2:$U$4000,0))*Settings!$B$25,NA()))</f>
        <v/>
      </c>
      <c r="AJ259" s="19">
        <f>IF(NOT(ISNUMBER($A259)),NA(),IFERROR(1*INDEX(BBG_Data!$X$2:$X$4000,MATCH($A259,BBG_Data!$W$2:$W$4000,0)),NA()))</f>
        <v/>
      </c>
      <c r="AK259" s="19">
        <f>IF(NOT(ISNUMBER($A259)),NA(),IFERROR(1*INDEX(BBG_Data!$Z$2:$Z$4000,MATCH($A259,BBG_Data!$Y$2:$Y$4000,0)),NA()))</f>
        <v/>
      </c>
    </row>
    <row r="260">
      <c r="A260" s="17">
        <f>IF(ISNUMBER(BBG_Data!A260),BBG_Data!A260,"")</f>
        <v/>
      </c>
      <c r="B260" s="18">
        <f>IF(AND(ISNUMBER($A260),ISNUMBER(BBG_Data!B260)),BBG_Data!B260,NA())</f>
        <v/>
      </c>
      <c r="C260" s="18">
        <f>IF(NOT(ISNUMBER($A260)),NA(),IFERROR(1*INDEX(BBG_Data!$D$2:$D$4000,MATCH($A260,BBG_Data!$C$2:$C$4000,0)),NA()))</f>
        <v/>
      </c>
      <c r="D260" s="19">
        <f>IF(NOT(ISNUMBER($A260)),NA(),IFERROR(1*INDEX(BBG_Data!$F$2:$F$4000,MATCH($A260,BBG_Data!$E$2:$E$4000,0)),NA()))</f>
        <v/>
      </c>
      <c r="E260" s="19">
        <f>IF(NOT(ISNUMBER($A260)),NA(),IFERROR(1*INDEX(BBG_Data!$H$2:$H$4000,MATCH($A260,BBG_Data!$G$2:$G$4000,0)),NA()))</f>
        <v/>
      </c>
      <c r="F260" s="20">
        <f>IF(AND(ISNUMBER(B260),ISNUMBER(B259)),IF(B260=B259,"",(B260-B259)*100),"")</f>
        <v/>
      </c>
      <c r="G260" s="20">
        <f>IF(AND(ISNUMBER(C260),ISNUMBER(C259)),IF(C260=C259,"",(C260-C259)*100),"")</f>
        <v/>
      </c>
      <c r="H260" s="20">
        <f>IF(OR(NOT(ISNUMBER($A260)),ROW()-2&lt;Settings!$B$11),NA(),IF(COUNT(OFFSET(F260,1-Settings!$B$11,0,Settings!$B$11,1))&lt;ROUNDUP(Settings!$B$11*Settings!$B$26,0),NA(),STDEV(OFFSET(F260,1-Settings!$B$11,0,Settings!$B$11,1))*SQRT(Settings!$B$13)))</f>
        <v/>
      </c>
      <c r="I260" s="20">
        <f>IF(OR(NOT(ISNUMBER($A260)),ROW()-2&lt;Settings!$B$12),NA(),IF(COUNT(OFFSET(F260,1-Settings!$B$12,0,Settings!$B$12,1))&lt;ROUNDUP(Settings!$B$12*Settings!$B$26,0),NA(),STDEV(OFFSET(F260,1-Settings!$B$12,0,Settings!$B$12,1))*SQRT(Settings!$B$13)))</f>
        <v/>
      </c>
      <c r="J260" s="20">
        <f>IF(OR(NOT(ISNUMBER($A260)),ROW()-2&lt;Settings!$B$11),NA(),IF(COUNT(OFFSET(G260,1-Settings!$B$11,0,Settings!$B$11,1))&lt;ROUNDUP(Settings!$B$11*Settings!$B$26,0),NA(),STDEV(OFFSET(G260,1-Settings!$B$11,0,Settings!$B$11,1))*SQRT(Settings!$B$13)))</f>
        <v/>
      </c>
      <c r="K260" s="20">
        <f>IF(OR(NOT(ISNUMBER($A260)),ROW()-2&lt;Settings!$B$12),NA(),IF(COUNT(OFFSET(G260,1-Settings!$B$12,0,Settings!$B$12,1))&lt;ROUNDUP(Settings!$B$12*Settings!$B$26,0),NA(),STDEV(OFFSET(G260,1-Settings!$B$12,0,Settings!$B$12,1))*SQRT(Settings!$B$13)))</f>
        <v/>
      </c>
      <c r="L260" s="20">
        <f>IF(AND(ISNUMBER(D260),ISNUMBER(H260)),D260-H260,NA())</f>
        <v/>
      </c>
      <c r="M260" s="20">
        <f>IF(AND(ISNUMBER(E260),ISNUMBER(K260)),E260-K260,NA())</f>
        <v/>
      </c>
      <c r="N260" s="20">
        <f>IF(NOT(ISNUMBER($A260)),NA(),IF(COUNT(OFFSET(G260,1,0,Settings!$B$12,1))&lt;ROUNDUP(Settings!$B$12*Settings!$B$26,0),NA(),STDEV(OFFSET(G260,1,0,Settings!$B$12,1))*SQRT(Settings!$B$13)))</f>
        <v/>
      </c>
      <c r="O260" s="20">
        <f>IF(AND(ISNUMBER(E260),ISNUMBER(N260)),E260-N260,NA())</f>
        <v/>
      </c>
      <c r="P260" s="19">
        <f>IF(NOT(ISNUMBER($A260)),NA(),IF(OR($A260&lt;MIN(KW_TP!$A$2:$A$2501),$A260&gt;MAX(KW_TP!$A$2:$A$2501)),NA(),INDEX(KW_TP!$C$2:$C$2501,MATCH($A260,KW_TP!$A$2:$A$2501,1))))</f>
        <v/>
      </c>
      <c r="Q260" s="18">
        <f>IF(NOT(ISNUMBER($A260)),NA(),IFERROR(1*INDEX(BBG_Data!$J$2:$J$4000,MATCH($A260,BBG_Data!$I$2:$I$4000,0)),NA()))</f>
        <v/>
      </c>
      <c r="R260" s="18">
        <f>IF(NOT(ISNUMBER($A260)),NA(),IFERROR(1*INDEX(BBG_Data!$L$2:$L$4000,MATCH($A260,BBG_Data!$K$2:$K$4000,0)),NA()))</f>
        <v/>
      </c>
      <c r="S260" s="20">
        <f>IF(AND(ISNUMBER(B260),ISNUMBER(Q260),ISNUMBER(R260)),(B260-Q260-R260)*100,NA())</f>
        <v/>
      </c>
      <c r="T260" s="20">
        <f>IF(AND(ISNUMBER(B260),Settings!$B$17&gt;0),IF(ISNUMBER(INDEX($B:$B,Settings!$B$17)),(B260-INDEX($B:$B,Settings!$B$17))*100,NA()),NA())</f>
        <v/>
      </c>
      <c r="U260" s="20">
        <f>IF(AND(ISNUMBER(Q260),Settings!$B$17&gt;0),IF(ISNUMBER(INDEX($Q:$Q,Settings!$B$17)),(Q260-INDEX($Q:$Q,Settings!$B$17))*100,NA()),NA())</f>
        <v/>
      </c>
      <c r="V260" s="20">
        <f>IF(AND(ISNUMBER(R260),Settings!$B$17&gt;0),IF(ISNUMBER(INDEX($R:$R,Settings!$B$17)),(R260-INDEX($R:$R,Settings!$B$17))*100,NA()),NA())</f>
        <v/>
      </c>
      <c r="W260" s="20">
        <f>IF(AND(ISNUMBER(P260),Settings!$B$17&gt;0),IF(ISNUMBER(INDEX($P:$P,Settings!$B$17)),P260-INDEX($P:$P,Settings!$B$17),NA()),NA())</f>
        <v/>
      </c>
      <c r="X260" s="19">
        <f>IF(NOT(ISNUMBER($A260)),NA(),IF(OR($A260&lt;MIN(DKW_10Y!$A$2:$A$2918),$A260&gt;MAX(DKW_10Y!$A$2:$A$2918),Settings!$B$16&lt;MIN(DKW_10Y!$A$2:$A$2918)),NA(),(INDEX(DKW_10Y!$B$2:$B$2918,MATCH($A260,DKW_10Y!$A$2:$A$2918,1))-INDEX(DKW_10Y!$B$2:$B$2918,MATCH(Settings!$B$16,DKW_10Y!$A$2:$A$2918,1)))*100))</f>
        <v/>
      </c>
      <c r="Y260" s="19">
        <f>IF(NOT(ISNUMBER($A260)),NA(),IF(OR($A260&lt;MIN(DKW_10Y!$A$2:$A$2918),$A260&gt;MAX(DKW_10Y!$A$2:$A$2918),Settings!$B$16&lt;MIN(DKW_10Y!$A$2:$A$2918)),NA(),(INDEX(DKW_10Y!$C$2:$C$2918,MATCH($A260,DKW_10Y!$A$2:$A$2918,1))-INDEX(DKW_10Y!$C$2:$C$2918,MATCH(Settings!$B$16,DKW_10Y!$A$2:$A$2918,1)))*100))</f>
        <v/>
      </c>
      <c r="Z260" s="19">
        <f>IF(NOT(ISNUMBER($A260)),NA(),IF(OR($A260&lt;MIN(DKW_10Y!$A$2:$A$2918),$A260&gt;MAX(DKW_10Y!$A$2:$A$2918),Settings!$B$16&lt;MIN(DKW_10Y!$A$2:$A$2918)),NA(),(INDEX(DKW_10Y!$D$2:$D$2918,MATCH($A260,DKW_10Y!$A$2:$A$2918,1))-INDEX(DKW_10Y!$D$2:$D$2918,MATCH(Settings!$B$16,DKW_10Y!$A$2:$A$2918,1)))*100))</f>
        <v/>
      </c>
      <c r="AA260" s="19">
        <f>IF(NOT(ISNUMBER($A260)),NA(),IF(OR($A260&lt;MIN(DKW_10Y!$A$2:$A$2918),$A260&gt;MAX(DKW_10Y!$A$2:$A$2918),Settings!$B$16&lt;MIN(DKW_10Y!$A$2:$A$2918)),NA(),(INDEX(DKW_10Y!$E$2:$E$2918,MATCH($A260,DKW_10Y!$A$2:$A$2918,1))-INDEX(DKW_10Y!$E$2:$E$2918,MATCH(Settings!$B$16,DKW_10Y!$A$2:$A$2918,1)))*100))</f>
        <v/>
      </c>
      <c r="AB260" s="19">
        <f>IF(NOT(ISNUMBER($A260)),NA(),IF(OR($A260&lt;MIN(DKW_10Y!$A$2:$A$2918),$A260&gt;MAX(DKW_10Y!$A$2:$A$2918),Settings!$B$16&lt;MIN(DKW_10Y!$A$2:$A$2918)),NA(),(INDEX(DKW_10Y!$H$2:$H$2918,MATCH($A260,DKW_10Y!$A$2:$A$2918,1))-INDEX(DKW_10Y!$H$2:$H$2918,MATCH(Settings!$B$16,DKW_10Y!$A$2:$A$2918,1)))*100))</f>
        <v/>
      </c>
      <c r="AC260" s="18">
        <f>IF(NOT(ISNUMBER($A260)),NA(),IFERROR(1*INDEX(BBG_Data!$N$2:$N$4000,MATCH($A260,BBG_Data!$M$2:$M$4000,0)),NA()))</f>
        <v/>
      </c>
      <c r="AD260" s="18">
        <f>IF(NOT(ISNUMBER($A260)),NA(),IFERROR(1*INDEX(BBG_Data!$P$2:$P$4000,MATCH($A260,BBG_Data!$O$2:$O$4000,0)),NA()))</f>
        <v/>
      </c>
      <c r="AE260" s="18">
        <f>IF(NOT(ISNUMBER($A260)),NA(),IFERROR(1*INDEX(BBG_Data!$R$2:$R$4000,MATCH($A260,BBG_Data!$Q$2:$Q$4000,0)),NA()))</f>
        <v/>
      </c>
      <c r="AF260" s="20">
        <f>IF(AND(ISNUMBER(B260),ISNUMBER(AC260)),(B260-AC260)*100,NA())</f>
        <v/>
      </c>
      <c r="AG260" s="20">
        <f>IF(AND(ISNUMBER(AE260),ISNUMBER(AD260)),(AE260-AD260)*100,NA())</f>
        <v/>
      </c>
      <c r="AH260" s="19">
        <f>IF(NOT(ISNUMBER($A260)),NA(),IFERROR(INDEX(BBG_Data!$T$2:$T$4000,MATCH($A260,BBG_Data!$S$2:$S$4000,0))*Settings!$B$25,NA()))</f>
        <v/>
      </c>
      <c r="AI260" s="19">
        <f>IF(NOT(ISNUMBER($A260)),NA(),IFERROR(INDEX(BBG_Data!$V$2:$V$4000,MATCH($A260,BBG_Data!$U$2:$U$4000,0))*Settings!$B$25,NA()))</f>
        <v/>
      </c>
      <c r="AJ260" s="19">
        <f>IF(NOT(ISNUMBER($A260)),NA(),IFERROR(1*INDEX(BBG_Data!$X$2:$X$4000,MATCH($A260,BBG_Data!$W$2:$W$4000,0)),NA()))</f>
        <v/>
      </c>
      <c r="AK260" s="19">
        <f>IF(NOT(ISNUMBER($A260)),NA(),IFERROR(1*INDEX(BBG_Data!$Z$2:$Z$4000,MATCH($A260,BBG_Data!$Y$2:$Y$4000,0)),NA()))</f>
        <v/>
      </c>
    </row>
    <row r="261">
      <c r="A261" s="17">
        <f>IF(ISNUMBER(BBG_Data!A261),BBG_Data!A261,"")</f>
        <v/>
      </c>
      <c r="B261" s="18">
        <f>IF(AND(ISNUMBER($A261),ISNUMBER(BBG_Data!B261)),BBG_Data!B261,NA())</f>
        <v/>
      </c>
      <c r="C261" s="18">
        <f>IF(NOT(ISNUMBER($A261)),NA(),IFERROR(1*INDEX(BBG_Data!$D$2:$D$4000,MATCH($A261,BBG_Data!$C$2:$C$4000,0)),NA()))</f>
        <v/>
      </c>
      <c r="D261" s="19">
        <f>IF(NOT(ISNUMBER($A261)),NA(),IFERROR(1*INDEX(BBG_Data!$F$2:$F$4000,MATCH($A261,BBG_Data!$E$2:$E$4000,0)),NA()))</f>
        <v/>
      </c>
      <c r="E261" s="19">
        <f>IF(NOT(ISNUMBER($A261)),NA(),IFERROR(1*INDEX(BBG_Data!$H$2:$H$4000,MATCH($A261,BBG_Data!$G$2:$G$4000,0)),NA()))</f>
        <v/>
      </c>
      <c r="F261" s="20">
        <f>IF(AND(ISNUMBER(B261),ISNUMBER(B260)),IF(B261=B260,"",(B261-B260)*100),"")</f>
        <v/>
      </c>
      <c r="G261" s="20">
        <f>IF(AND(ISNUMBER(C261),ISNUMBER(C260)),IF(C261=C260,"",(C261-C260)*100),"")</f>
        <v/>
      </c>
      <c r="H261" s="20">
        <f>IF(OR(NOT(ISNUMBER($A261)),ROW()-2&lt;Settings!$B$11),NA(),IF(COUNT(OFFSET(F261,1-Settings!$B$11,0,Settings!$B$11,1))&lt;ROUNDUP(Settings!$B$11*Settings!$B$26,0),NA(),STDEV(OFFSET(F261,1-Settings!$B$11,0,Settings!$B$11,1))*SQRT(Settings!$B$13)))</f>
        <v/>
      </c>
      <c r="I261" s="20">
        <f>IF(OR(NOT(ISNUMBER($A261)),ROW()-2&lt;Settings!$B$12),NA(),IF(COUNT(OFFSET(F261,1-Settings!$B$12,0,Settings!$B$12,1))&lt;ROUNDUP(Settings!$B$12*Settings!$B$26,0),NA(),STDEV(OFFSET(F261,1-Settings!$B$12,0,Settings!$B$12,1))*SQRT(Settings!$B$13)))</f>
        <v/>
      </c>
      <c r="J261" s="20">
        <f>IF(OR(NOT(ISNUMBER($A261)),ROW()-2&lt;Settings!$B$11),NA(),IF(COUNT(OFFSET(G261,1-Settings!$B$11,0,Settings!$B$11,1))&lt;ROUNDUP(Settings!$B$11*Settings!$B$26,0),NA(),STDEV(OFFSET(G261,1-Settings!$B$11,0,Settings!$B$11,1))*SQRT(Settings!$B$13)))</f>
        <v/>
      </c>
      <c r="K261" s="20">
        <f>IF(OR(NOT(ISNUMBER($A261)),ROW()-2&lt;Settings!$B$12),NA(),IF(COUNT(OFFSET(G261,1-Settings!$B$12,0,Settings!$B$12,1))&lt;ROUNDUP(Settings!$B$12*Settings!$B$26,0),NA(),STDEV(OFFSET(G261,1-Settings!$B$12,0,Settings!$B$12,1))*SQRT(Settings!$B$13)))</f>
        <v/>
      </c>
      <c r="L261" s="20">
        <f>IF(AND(ISNUMBER(D261),ISNUMBER(H261)),D261-H261,NA())</f>
        <v/>
      </c>
      <c r="M261" s="20">
        <f>IF(AND(ISNUMBER(E261),ISNUMBER(K261)),E261-K261,NA())</f>
        <v/>
      </c>
      <c r="N261" s="20">
        <f>IF(NOT(ISNUMBER($A261)),NA(),IF(COUNT(OFFSET(G261,1,0,Settings!$B$12,1))&lt;ROUNDUP(Settings!$B$12*Settings!$B$26,0),NA(),STDEV(OFFSET(G261,1,0,Settings!$B$12,1))*SQRT(Settings!$B$13)))</f>
        <v/>
      </c>
      <c r="O261" s="20">
        <f>IF(AND(ISNUMBER(E261),ISNUMBER(N261)),E261-N261,NA())</f>
        <v/>
      </c>
      <c r="P261" s="19">
        <f>IF(NOT(ISNUMBER($A261)),NA(),IF(OR($A261&lt;MIN(KW_TP!$A$2:$A$2501),$A261&gt;MAX(KW_TP!$A$2:$A$2501)),NA(),INDEX(KW_TP!$C$2:$C$2501,MATCH($A261,KW_TP!$A$2:$A$2501,1))))</f>
        <v/>
      </c>
      <c r="Q261" s="18">
        <f>IF(NOT(ISNUMBER($A261)),NA(),IFERROR(1*INDEX(BBG_Data!$J$2:$J$4000,MATCH($A261,BBG_Data!$I$2:$I$4000,0)),NA()))</f>
        <v/>
      </c>
      <c r="R261" s="18">
        <f>IF(NOT(ISNUMBER($A261)),NA(),IFERROR(1*INDEX(BBG_Data!$L$2:$L$4000,MATCH($A261,BBG_Data!$K$2:$K$4000,0)),NA()))</f>
        <v/>
      </c>
      <c r="S261" s="20">
        <f>IF(AND(ISNUMBER(B261),ISNUMBER(Q261),ISNUMBER(R261)),(B261-Q261-R261)*100,NA())</f>
        <v/>
      </c>
      <c r="T261" s="20">
        <f>IF(AND(ISNUMBER(B261),Settings!$B$17&gt;0),IF(ISNUMBER(INDEX($B:$B,Settings!$B$17)),(B261-INDEX($B:$B,Settings!$B$17))*100,NA()),NA())</f>
        <v/>
      </c>
      <c r="U261" s="20">
        <f>IF(AND(ISNUMBER(Q261),Settings!$B$17&gt;0),IF(ISNUMBER(INDEX($Q:$Q,Settings!$B$17)),(Q261-INDEX($Q:$Q,Settings!$B$17))*100,NA()),NA())</f>
        <v/>
      </c>
      <c r="V261" s="20">
        <f>IF(AND(ISNUMBER(R261),Settings!$B$17&gt;0),IF(ISNUMBER(INDEX($R:$R,Settings!$B$17)),(R261-INDEX($R:$R,Settings!$B$17))*100,NA()),NA())</f>
        <v/>
      </c>
      <c r="W261" s="20">
        <f>IF(AND(ISNUMBER(P261),Settings!$B$17&gt;0),IF(ISNUMBER(INDEX($P:$P,Settings!$B$17)),P261-INDEX($P:$P,Settings!$B$17),NA()),NA())</f>
        <v/>
      </c>
      <c r="X261" s="19">
        <f>IF(NOT(ISNUMBER($A261)),NA(),IF(OR($A261&lt;MIN(DKW_10Y!$A$2:$A$2918),$A261&gt;MAX(DKW_10Y!$A$2:$A$2918),Settings!$B$16&lt;MIN(DKW_10Y!$A$2:$A$2918)),NA(),(INDEX(DKW_10Y!$B$2:$B$2918,MATCH($A261,DKW_10Y!$A$2:$A$2918,1))-INDEX(DKW_10Y!$B$2:$B$2918,MATCH(Settings!$B$16,DKW_10Y!$A$2:$A$2918,1)))*100))</f>
        <v/>
      </c>
      <c r="Y261" s="19">
        <f>IF(NOT(ISNUMBER($A261)),NA(),IF(OR($A261&lt;MIN(DKW_10Y!$A$2:$A$2918),$A261&gt;MAX(DKW_10Y!$A$2:$A$2918),Settings!$B$16&lt;MIN(DKW_10Y!$A$2:$A$2918)),NA(),(INDEX(DKW_10Y!$C$2:$C$2918,MATCH($A261,DKW_10Y!$A$2:$A$2918,1))-INDEX(DKW_10Y!$C$2:$C$2918,MATCH(Settings!$B$16,DKW_10Y!$A$2:$A$2918,1)))*100))</f>
        <v/>
      </c>
      <c r="Z261" s="19">
        <f>IF(NOT(ISNUMBER($A261)),NA(),IF(OR($A261&lt;MIN(DKW_10Y!$A$2:$A$2918),$A261&gt;MAX(DKW_10Y!$A$2:$A$2918),Settings!$B$16&lt;MIN(DKW_10Y!$A$2:$A$2918)),NA(),(INDEX(DKW_10Y!$D$2:$D$2918,MATCH($A261,DKW_10Y!$A$2:$A$2918,1))-INDEX(DKW_10Y!$D$2:$D$2918,MATCH(Settings!$B$16,DKW_10Y!$A$2:$A$2918,1)))*100))</f>
        <v/>
      </c>
      <c r="AA261" s="19">
        <f>IF(NOT(ISNUMBER($A261)),NA(),IF(OR($A261&lt;MIN(DKW_10Y!$A$2:$A$2918),$A261&gt;MAX(DKW_10Y!$A$2:$A$2918),Settings!$B$16&lt;MIN(DKW_10Y!$A$2:$A$2918)),NA(),(INDEX(DKW_10Y!$E$2:$E$2918,MATCH($A261,DKW_10Y!$A$2:$A$2918,1))-INDEX(DKW_10Y!$E$2:$E$2918,MATCH(Settings!$B$16,DKW_10Y!$A$2:$A$2918,1)))*100))</f>
        <v/>
      </c>
      <c r="AB261" s="19">
        <f>IF(NOT(ISNUMBER($A261)),NA(),IF(OR($A261&lt;MIN(DKW_10Y!$A$2:$A$2918),$A261&gt;MAX(DKW_10Y!$A$2:$A$2918),Settings!$B$16&lt;MIN(DKW_10Y!$A$2:$A$2918)),NA(),(INDEX(DKW_10Y!$H$2:$H$2918,MATCH($A261,DKW_10Y!$A$2:$A$2918,1))-INDEX(DKW_10Y!$H$2:$H$2918,MATCH(Settings!$B$16,DKW_10Y!$A$2:$A$2918,1)))*100))</f>
        <v/>
      </c>
      <c r="AC261" s="18">
        <f>IF(NOT(ISNUMBER($A261)),NA(),IFERROR(1*INDEX(BBG_Data!$N$2:$N$4000,MATCH($A261,BBG_Data!$M$2:$M$4000,0)),NA()))</f>
        <v/>
      </c>
      <c r="AD261" s="18">
        <f>IF(NOT(ISNUMBER($A261)),NA(),IFERROR(1*INDEX(BBG_Data!$P$2:$P$4000,MATCH($A261,BBG_Data!$O$2:$O$4000,0)),NA()))</f>
        <v/>
      </c>
      <c r="AE261" s="18">
        <f>IF(NOT(ISNUMBER($A261)),NA(),IFERROR(1*INDEX(BBG_Data!$R$2:$R$4000,MATCH($A261,BBG_Data!$Q$2:$Q$4000,0)),NA()))</f>
        <v/>
      </c>
      <c r="AF261" s="20">
        <f>IF(AND(ISNUMBER(B261),ISNUMBER(AC261)),(B261-AC261)*100,NA())</f>
        <v/>
      </c>
      <c r="AG261" s="20">
        <f>IF(AND(ISNUMBER(AE261),ISNUMBER(AD261)),(AE261-AD261)*100,NA())</f>
        <v/>
      </c>
      <c r="AH261" s="19">
        <f>IF(NOT(ISNUMBER($A261)),NA(),IFERROR(INDEX(BBG_Data!$T$2:$T$4000,MATCH($A261,BBG_Data!$S$2:$S$4000,0))*Settings!$B$25,NA()))</f>
        <v/>
      </c>
      <c r="AI261" s="19">
        <f>IF(NOT(ISNUMBER($A261)),NA(),IFERROR(INDEX(BBG_Data!$V$2:$V$4000,MATCH($A261,BBG_Data!$U$2:$U$4000,0))*Settings!$B$25,NA()))</f>
        <v/>
      </c>
      <c r="AJ261" s="19">
        <f>IF(NOT(ISNUMBER($A261)),NA(),IFERROR(1*INDEX(BBG_Data!$X$2:$X$4000,MATCH($A261,BBG_Data!$W$2:$W$4000,0)),NA()))</f>
        <v/>
      </c>
      <c r="AK261" s="19">
        <f>IF(NOT(ISNUMBER($A261)),NA(),IFERROR(1*INDEX(BBG_Data!$Z$2:$Z$4000,MATCH($A261,BBG_Data!$Y$2:$Y$4000,0)),NA()))</f>
        <v/>
      </c>
    </row>
    <row r="262">
      <c r="A262" s="17">
        <f>IF(ISNUMBER(BBG_Data!A262),BBG_Data!A262,"")</f>
        <v/>
      </c>
      <c r="B262" s="18">
        <f>IF(AND(ISNUMBER($A262),ISNUMBER(BBG_Data!B262)),BBG_Data!B262,NA())</f>
        <v/>
      </c>
      <c r="C262" s="18">
        <f>IF(NOT(ISNUMBER($A262)),NA(),IFERROR(1*INDEX(BBG_Data!$D$2:$D$4000,MATCH($A262,BBG_Data!$C$2:$C$4000,0)),NA()))</f>
        <v/>
      </c>
      <c r="D262" s="19">
        <f>IF(NOT(ISNUMBER($A262)),NA(),IFERROR(1*INDEX(BBG_Data!$F$2:$F$4000,MATCH($A262,BBG_Data!$E$2:$E$4000,0)),NA()))</f>
        <v/>
      </c>
      <c r="E262" s="19">
        <f>IF(NOT(ISNUMBER($A262)),NA(),IFERROR(1*INDEX(BBG_Data!$H$2:$H$4000,MATCH($A262,BBG_Data!$G$2:$G$4000,0)),NA()))</f>
        <v/>
      </c>
      <c r="F262" s="20">
        <f>IF(AND(ISNUMBER(B262),ISNUMBER(B261)),IF(B262=B261,"",(B262-B261)*100),"")</f>
        <v/>
      </c>
      <c r="G262" s="20">
        <f>IF(AND(ISNUMBER(C262),ISNUMBER(C261)),IF(C262=C261,"",(C262-C261)*100),"")</f>
        <v/>
      </c>
      <c r="H262" s="20">
        <f>IF(OR(NOT(ISNUMBER($A262)),ROW()-2&lt;Settings!$B$11),NA(),IF(COUNT(OFFSET(F262,1-Settings!$B$11,0,Settings!$B$11,1))&lt;ROUNDUP(Settings!$B$11*Settings!$B$26,0),NA(),STDEV(OFFSET(F262,1-Settings!$B$11,0,Settings!$B$11,1))*SQRT(Settings!$B$13)))</f>
        <v/>
      </c>
      <c r="I262" s="20">
        <f>IF(OR(NOT(ISNUMBER($A262)),ROW()-2&lt;Settings!$B$12),NA(),IF(COUNT(OFFSET(F262,1-Settings!$B$12,0,Settings!$B$12,1))&lt;ROUNDUP(Settings!$B$12*Settings!$B$26,0),NA(),STDEV(OFFSET(F262,1-Settings!$B$12,0,Settings!$B$12,1))*SQRT(Settings!$B$13)))</f>
        <v/>
      </c>
      <c r="J262" s="20">
        <f>IF(OR(NOT(ISNUMBER($A262)),ROW()-2&lt;Settings!$B$11),NA(),IF(COUNT(OFFSET(G262,1-Settings!$B$11,0,Settings!$B$11,1))&lt;ROUNDUP(Settings!$B$11*Settings!$B$26,0),NA(),STDEV(OFFSET(G262,1-Settings!$B$11,0,Settings!$B$11,1))*SQRT(Settings!$B$13)))</f>
        <v/>
      </c>
      <c r="K262" s="20">
        <f>IF(OR(NOT(ISNUMBER($A262)),ROW()-2&lt;Settings!$B$12),NA(),IF(COUNT(OFFSET(G262,1-Settings!$B$12,0,Settings!$B$12,1))&lt;ROUNDUP(Settings!$B$12*Settings!$B$26,0),NA(),STDEV(OFFSET(G262,1-Settings!$B$12,0,Settings!$B$12,1))*SQRT(Settings!$B$13)))</f>
        <v/>
      </c>
      <c r="L262" s="20">
        <f>IF(AND(ISNUMBER(D262),ISNUMBER(H262)),D262-H262,NA())</f>
        <v/>
      </c>
      <c r="M262" s="20">
        <f>IF(AND(ISNUMBER(E262),ISNUMBER(K262)),E262-K262,NA())</f>
        <v/>
      </c>
      <c r="N262" s="20">
        <f>IF(NOT(ISNUMBER($A262)),NA(),IF(COUNT(OFFSET(G262,1,0,Settings!$B$12,1))&lt;ROUNDUP(Settings!$B$12*Settings!$B$26,0),NA(),STDEV(OFFSET(G262,1,0,Settings!$B$12,1))*SQRT(Settings!$B$13)))</f>
        <v/>
      </c>
      <c r="O262" s="20">
        <f>IF(AND(ISNUMBER(E262),ISNUMBER(N262)),E262-N262,NA())</f>
        <v/>
      </c>
      <c r="P262" s="19">
        <f>IF(NOT(ISNUMBER($A262)),NA(),IF(OR($A262&lt;MIN(KW_TP!$A$2:$A$2501),$A262&gt;MAX(KW_TP!$A$2:$A$2501)),NA(),INDEX(KW_TP!$C$2:$C$2501,MATCH($A262,KW_TP!$A$2:$A$2501,1))))</f>
        <v/>
      </c>
      <c r="Q262" s="18">
        <f>IF(NOT(ISNUMBER($A262)),NA(),IFERROR(1*INDEX(BBG_Data!$J$2:$J$4000,MATCH($A262,BBG_Data!$I$2:$I$4000,0)),NA()))</f>
        <v/>
      </c>
      <c r="R262" s="18">
        <f>IF(NOT(ISNUMBER($A262)),NA(),IFERROR(1*INDEX(BBG_Data!$L$2:$L$4000,MATCH($A262,BBG_Data!$K$2:$K$4000,0)),NA()))</f>
        <v/>
      </c>
      <c r="S262" s="20">
        <f>IF(AND(ISNUMBER(B262),ISNUMBER(Q262),ISNUMBER(R262)),(B262-Q262-R262)*100,NA())</f>
        <v/>
      </c>
      <c r="T262" s="20">
        <f>IF(AND(ISNUMBER(B262),Settings!$B$17&gt;0),IF(ISNUMBER(INDEX($B:$B,Settings!$B$17)),(B262-INDEX($B:$B,Settings!$B$17))*100,NA()),NA())</f>
        <v/>
      </c>
      <c r="U262" s="20">
        <f>IF(AND(ISNUMBER(Q262),Settings!$B$17&gt;0),IF(ISNUMBER(INDEX($Q:$Q,Settings!$B$17)),(Q262-INDEX($Q:$Q,Settings!$B$17))*100,NA()),NA())</f>
        <v/>
      </c>
      <c r="V262" s="20">
        <f>IF(AND(ISNUMBER(R262),Settings!$B$17&gt;0),IF(ISNUMBER(INDEX($R:$R,Settings!$B$17)),(R262-INDEX($R:$R,Settings!$B$17))*100,NA()),NA())</f>
        <v/>
      </c>
      <c r="W262" s="20">
        <f>IF(AND(ISNUMBER(P262),Settings!$B$17&gt;0),IF(ISNUMBER(INDEX($P:$P,Settings!$B$17)),P262-INDEX($P:$P,Settings!$B$17),NA()),NA())</f>
        <v/>
      </c>
      <c r="X262" s="19">
        <f>IF(NOT(ISNUMBER($A262)),NA(),IF(OR($A262&lt;MIN(DKW_10Y!$A$2:$A$2918),$A262&gt;MAX(DKW_10Y!$A$2:$A$2918),Settings!$B$16&lt;MIN(DKW_10Y!$A$2:$A$2918)),NA(),(INDEX(DKW_10Y!$B$2:$B$2918,MATCH($A262,DKW_10Y!$A$2:$A$2918,1))-INDEX(DKW_10Y!$B$2:$B$2918,MATCH(Settings!$B$16,DKW_10Y!$A$2:$A$2918,1)))*100))</f>
        <v/>
      </c>
      <c r="Y262" s="19">
        <f>IF(NOT(ISNUMBER($A262)),NA(),IF(OR($A262&lt;MIN(DKW_10Y!$A$2:$A$2918),$A262&gt;MAX(DKW_10Y!$A$2:$A$2918),Settings!$B$16&lt;MIN(DKW_10Y!$A$2:$A$2918)),NA(),(INDEX(DKW_10Y!$C$2:$C$2918,MATCH($A262,DKW_10Y!$A$2:$A$2918,1))-INDEX(DKW_10Y!$C$2:$C$2918,MATCH(Settings!$B$16,DKW_10Y!$A$2:$A$2918,1)))*100))</f>
        <v/>
      </c>
      <c r="Z262" s="19">
        <f>IF(NOT(ISNUMBER($A262)),NA(),IF(OR($A262&lt;MIN(DKW_10Y!$A$2:$A$2918),$A262&gt;MAX(DKW_10Y!$A$2:$A$2918),Settings!$B$16&lt;MIN(DKW_10Y!$A$2:$A$2918)),NA(),(INDEX(DKW_10Y!$D$2:$D$2918,MATCH($A262,DKW_10Y!$A$2:$A$2918,1))-INDEX(DKW_10Y!$D$2:$D$2918,MATCH(Settings!$B$16,DKW_10Y!$A$2:$A$2918,1)))*100))</f>
        <v/>
      </c>
      <c r="AA262" s="19">
        <f>IF(NOT(ISNUMBER($A262)),NA(),IF(OR($A262&lt;MIN(DKW_10Y!$A$2:$A$2918),$A262&gt;MAX(DKW_10Y!$A$2:$A$2918),Settings!$B$16&lt;MIN(DKW_10Y!$A$2:$A$2918)),NA(),(INDEX(DKW_10Y!$E$2:$E$2918,MATCH($A262,DKW_10Y!$A$2:$A$2918,1))-INDEX(DKW_10Y!$E$2:$E$2918,MATCH(Settings!$B$16,DKW_10Y!$A$2:$A$2918,1)))*100))</f>
        <v/>
      </c>
      <c r="AB262" s="19">
        <f>IF(NOT(ISNUMBER($A262)),NA(),IF(OR($A262&lt;MIN(DKW_10Y!$A$2:$A$2918),$A262&gt;MAX(DKW_10Y!$A$2:$A$2918),Settings!$B$16&lt;MIN(DKW_10Y!$A$2:$A$2918)),NA(),(INDEX(DKW_10Y!$H$2:$H$2918,MATCH($A262,DKW_10Y!$A$2:$A$2918,1))-INDEX(DKW_10Y!$H$2:$H$2918,MATCH(Settings!$B$16,DKW_10Y!$A$2:$A$2918,1)))*100))</f>
        <v/>
      </c>
      <c r="AC262" s="18">
        <f>IF(NOT(ISNUMBER($A262)),NA(),IFERROR(1*INDEX(BBG_Data!$N$2:$N$4000,MATCH($A262,BBG_Data!$M$2:$M$4000,0)),NA()))</f>
        <v/>
      </c>
      <c r="AD262" s="18">
        <f>IF(NOT(ISNUMBER($A262)),NA(),IFERROR(1*INDEX(BBG_Data!$P$2:$P$4000,MATCH($A262,BBG_Data!$O$2:$O$4000,0)),NA()))</f>
        <v/>
      </c>
      <c r="AE262" s="18">
        <f>IF(NOT(ISNUMBER($A262)),NA(),IFERROR(1*INDEX(BBG_Data!$R$2:$R$4000,MATCH($A262,BBG_Data!$Q$2:$Q$4000,0)),NA()))</f>
        <v/>
      </c>
      <c r="AF262" s="20">
        <f>IF(AND(ISNUMBER(B262),ISNUMBER(AC262)),(B262-AC262)*100,NA())</f>
        <v/>
      </c>
      <c r="AG262" s="20">
        <f>IF(AND(ISNUMBER(AE262),ISNUMBER(AD262)),(AE262-AD262)*100,NA())</f>
        <v/>
      </c>
      <c r="AH262" s="19">
        <f>IF(NOT(ISNUMBER($A262)),NA(),IFERROR(INDEX(BBG_Data!$T$2:$T$4000,MATCH($A262,BBG_Data!$S$2:$S$4000,0))*Settings!$B$25,NA()))</f>
        <v/>
      </c>
      <c r="AI262" s="19">
        <f>IF(NOT(ISNUMBER($A262)),NA(),IFERROR(INDEX(BBG_Data!$V$2:$V$4000,MATCH($A262,BBG_Data!$U$2:$U$4000,0))*Settings!$B$25,NA()))</f>
        <v/>
      </c>
      <c r="AJ262" s="19">
        <f>IF(NOT(ISNUMBER($A262)),NA(),IFERROR(1*INDEX(BBG_Data!$X$2:$X$4000,MATCH($A262,BBG_Data!$W$2:$W$4000,0)),NA()))</f>
        <v/>
      </c>
      <c r="AK262" s="19">
        <f>IF(NOT(ISNUMBER($A262)),NA(),IFERROR(1*INDEX(BBG_Data!$Z$2:$Z$4000,MATCH($A262,BBG_Data!$Y$2:$Y$4000,0)),NA()))</f>
        <v/>
      </c>
    </row>
    <row r="263">
      <c r="A263" s="17">
        <f>IF(ISNUMBER(BBG_Data!A263),BBG_Data!A263,"")</f>
        <v/>
      </c>
      <c r="B263" s="18">
        <f>IF(AND(ISNUMBER($A263),ISNUMBER(BBG_Data!B263)),BBG_Data!B263,NA())</f>
        <v/>
      </c>
      <c r="C263" s="18">
        <f>IF(NOT(ISNUMBER($A263)),NA(),IFERROR(1*INDEX(BBG_Data!$D$2:$D$4000,MATCH($A263,BBG_Data!$C$2:$C$4000,0)),NA()))</f>
        <v/>
      </c>
      <c r="D263" s="19">
        <f>IF(NOT(ISNUMBER($A263)),NA(),IFERROR(1*INDEX(BBG_Data!$F$2:$F$4000,MATCH($A263,BBG_Data!$E$2:$E$4000,0)),NA()))</f>
        <v/>
      </c>
      <c r="E263" s="19">
        <f>IF(NOT(ISNUMBER($A263)),NA(),IFERROR(1*INDEX(BBG_Data!$H$2:$H$4000,MATCH($A263,BBG_Data!$G$2:$G$4000,0)),NA()))</f>
        <v/>
      </c>
      <c r="F263" s="20">
        <f>IF(AND(ISNUMBER(B263),ISNUMBER(B262)),IF(B263=B262,"",(B263-B262)*100),"")</f>
        <v/>
      </c>
      <c r="G263" s="20">
        <f>IF(AND(ISNUMBER(C263),ISNUMBER(C262)),IF(C263=C262,"",(C263-C262)*100),"")</f>
        <v/>
      </c>
      <c r="H263" s="20">
        <f>IF(OR(NOT(ISNUMBER($A263)),ROW()-2&lt;Settings!$B$11),NA(),IF(COUNT(OFFSET(F263,1-Settings!$B$11,0,Settings!$B$11,1))&lt;ROUNDUP(Settings!$B$11*Settings!$B$26,0),NA(),STDEV(OFFSET(F263,1-Settings!$B$11,0,Settings!$B$11,1))*SQRT(Settings!$B$13)))</f>
        <v/>
      </c>
      <c r="I263" s="20">
        <f>IF(OR(NOT(ISNUMBER($A263)),ROW()-2&lt;Settings!$B$12),NA(),IF(COUNT(OFFSET(F263,1-Settings!$B$12,0,Settings!$B$12,1))&lt;ROUNDUP(Settings!$B$12*Settings!$B$26,0),NA(),STDEV(OFFSET(F263,1-Settings!$B$12,0,Settings!$B$12,1))*SQRT(Settings!$B$13)))</f>
        <v/>
      </c>
      <c r="J263" s="20">
        <f>IF(OR(NOT(ISNUMBER($A263)),ROW()-2&lt;Settings!$B$11),NA(),IF(COUNT(OFFSET(G263,1-Settings!$B$11,0,Settings!$B$11,1))&lt;ROUNDUP(Settings!$B$11*Settings!$B$26,0),NA(),STDEV(OFFSET(G263,1-Settings!$B$11,0,Settings!$B$11,1))*SQRT(Settings!$B$13)))</f>
        <v/>
      </c>
      <c r="K263" s="20">
        <f>IF(OR(NOT(ISNUMBER($A263)),ROW()-2&lt;Settings!$B$12),NA(),IF(COUNT(OFFSET(G263,1-Settings!$B$12,0,Settings!$B$12,1))&lt;ROUNDUP(Settings!$B$12*Settings!$B$26,0),NA(),STDEV(OFFSET(G263,1-Settings!$B$12,0,Settings!$B$12,1))*SQRT(Settings!$B$13)))</f>
        <v/>
      </c>
      <c r="L263" s="20">
        <f>IF(AND(ISNUMBER(D263),ISNUMBER(H263)),D263-H263,NA())</f>
        <v/>
      </c>
      <c r="M263" s="20">
        <f>IF(AND(ISNUMBER(E263),ISNUMBER(K263)),E263-K263,NA())</f>
        <v/>
      </c>
      <c r="N263" s="20">
        <f>IF(NOT(ISNUMBER($A263)),NA(),IF(COUNT(OFFSET(G263,1,0,Settings!$B$12,1))&lt;ROUNDUP(Settings!$B$12*Settings!$B$26,0),NA(),STDEV(OFFSET(G263,1,0,Settings!$B$12,1))*SQRT(Settings!$B$13)))</f>
        <v/>
      </c>
      <c r="O263" s="20">
        <f>IF(AND(ISNUMBER(E263),ISNUMBER(N263)),E263-N263,NA())</f>
        <v/>
      </c>
      <c r="P263" s="19">
        <f>IF(NOT(ISNUMBER($A263)),NA(),IF(OR($A263&lt;MIN(KW_TP!$A$2:$A$2501),$A263&gt;MAX(KW_TP!$A$2:$A$2501)),NA(),INDEX(KW_TP!$C$2:$C$2501,MATCH($A263,KW_TP!$A$2:$A$2501,1))))</f>
        <v/>
      </c>
      <c r="Q263" s="18">
        <f>IF(NOT(ISNUMBER($A263)),NA(),IFERROR(1*INDEX(BBG_Data!$J$2:$J$4000,MATCH($A263,BBG_Data!$I$2:$I$4000,0)),NA()))</f>
        <v/>
      </c>
      <c r="R263" s="18">
        <f>IF(NOT(ISNUMBER($A263)),NA(),IFERROR(1*INDEX(BBG_Data!$L$2:$L$4000,MATCH($A263,BBG_Data!$K$2:$K$4000,0)),NA()))</f>
        <v/>
      </c>
      <c r="S263" s="20">
        <f>IF(AND(ISNUMBER(B263),ISNUMBER(Q263),ISNUMBER(R263)),(B263-Q263-R263)*100,NA())</f>
        <v/>
      </c>
      <c r="T263" s="20">
        <f>IF(AND(ISNUMBER(B263),Settings!$B$17&gt;0),IF(ISNUMBER(INDEX($B:$B,Settings!$B$17)),(B263-INDEX($B:$B,Settings!$B$17))*100,NA()),NA())</f>
        <v/>
      </c>
      <c r="U263" s="20">
        <f>IF(AND(ISNUMBER(Q263),Settings!$B$17&gt;0),IF(ISNUMBER(INDEX($Q:$Q,Settings!$B$17)),(Q263-INDEX($Q:$Q,Settings!$B$17))*100,NA()),NA())</f>
        <v/>
      </c>
      <c r="V263" s="20">
        <f>IF(AND(ISNUMBER(R263),Settings!$B$17&gt;0),IF(ISNUMBER(INDEX($R:$R,Settings!$B$17)),(R263-INDEX($R:$R,Settings!$B$17))*100,NA()),NA())</f>
        <v/>
      </c>
      <c r="W263" s="20">
        <f>IF(AND(ISNUMBER(P263),Settings!$B$17&gt;0),IF(ISNUMBER(INDEX($P:$P,Settings!$B$17)),P263-INDEX($P:$P,Settings!$B$17),NA()),NA())</f>
        <v/>
      </c>
      <c r="X263" s="19">
        <f>IF(NOT(ISNUMBER($A263)),NA(),IF(OR($A263&lt;MIN(DKW_10Y!$A$2:$A$2918),$A263&gt;MAX(DKW_10Y!$A$2:$A$2918),Settings!$B$16&lt;MIN(DKW_10Y!$A$2:$A$2918)),NA(),(INDEX(DKW_10Y!$B$2:$B$2918,MATCH($A263,DKW_10Y!$A$2:$A$2918,1))-INDEX(DKW_10Y!$B$2:$B$2918,MATCH(Settings!$B$16,DKW_10Y!$A$2:$A$2918,1)))*100))</f>
        <v/>
      </c>
      <c r="Y263" s="19">
        <f>IF(NOT(ISNUMBER($A263)),NA(),IF(OR($A263&lt;MIN(DKW_10Y!$A$2:$A$2918),$A263&gt;MAX(DKW_10Y!$A$2:$A$2918),Settings!$B$16&lt;MIN(DKW_10Y!$A$2:$A$2918)),NA(),(INDEX(DKW_10Y!$C$2:$C$2918,MATCH($A263,DKW_10Y!$A$2:$A$2918,1))-INDEX(DKW_10Y!$C$2:$C$2918,MATCH(Settings!$B$16,DKW_10Y!$A$2:$A$2918,1)))*100))</f>
        <v/>
      </c>
      <c r="Z263" s="19">
        <f>IF(NOT(ISNUMBER($A263)),NA(),IF(OR($A263&lt;MIN(DKW_10Y!$A$2:$A$2918),$A263&gt;MAX(DKW_10Y!$A$2:$A$2918),Settings!$B$16&lt;MIN(DKW_10Y!$A$2:$A$2918)),NA(),(INDEX(DKW_10Y!$D$2:$D$2918,MATCH($A263,DKW_10Y!$A$2:$A$2918,1))-INDEX(DKW_10Y!$D$2:$D$2918,MATCH(Settings!$B$16,DKW_10Y!$A$2:$A$2918,1)))*100))</f>
        <v/>
      </c>
      <c r="AA263" s="19">
        <f>IF(NOT(ISNUMBER($A263)),NA(),IF(OR($A263&lt;MIN(DKW_10Y!$A$2:$A$2918),$A263&gt;MAX(DKW_10Y!$A$2:$A$2918),Settings!$B$16&lt;MIN(DKW_10Y!$A$2:$A$2918)),NA(),(INDEX(DKW_10Y!$E$2:$E$2918,MATCH($A263,DKW_10Y!$A$2:$A$2918,1))-INDEX(DKW_10Y!$E$2:$E$2918,MATCH(Settings!$B$16,DKW_10Y!$A$2:$A$2918,1)))*100))</f>
        <v/>
      </c>
      <c r="AB263" s="19">
        <f>IF(NOT(ISNUMBER($A263)),NA(),IF(OR($A263&lt;MIN(DKW_10Y!$A$2:$A$2918),$A263&gt;MAX(DKW_10Y!$A$2:$A$2918),Settings!$B$16&lt;MIN(DKW_10Y!$A$2:$A$2918)),NA(),(INDEX(DKW_10Y!$H$2:$H$2918,MATCH($A263,DKW_10Y!$A$2:$A$2918,1))-INDEX(DKW_10Y!$H$2:$H$2918,MATCH(Settings!$B$16,DKW_10Y!$A$2:$A$2918,1)))*100))</f>
        <v/>
      </c>
      <c r="AC263" s="18">
        <f>IF(NOT(ISNUMBER($A263)),NA(),IFERROR(1*INDEX(BBG_Data!$N$2:$N$4000,MATCH($A263,BBG_Data!$M$2:$M$4000,0)),NA()))</f>
        <v/>
      </c>
      <c r="AD263" s="18">
        <f>IF(NOT(ISNUMBER($A263)),NA(),IFERROR(1*INDEX(BBG_Data!$P$2:$P$4000,MATCH($A263,BBG_Data!$O$2:$O$4000,0)),NA()))</f>
        <v/>
      </c>
      <c r="AE263" s="18">
        <f>IF(NOT(ISNUMBER($A263)),NA(),IFERROR(1*INDEX(BBG_Data!$R$2:$R$4000,MATCH($A263,BBG_Data!$Q$2:$Q$4000,0)),NA()))</f>
        <v/>
      </c>
      <c r="AF263" s="20">
        <f>IF(AND(ISNUMBER(B263),ISNUMBER(AC263)),(B263-AC263)*100,NA())</f>
        <v/>
      </c>
      <c r="AG263" s="20">
        <f>IF(AND(ISNUMBER(AE263),ISNUMBER(AD263)),(AE263-AD263)*100,NA())</f>
        <v/>
      </c>
      <c r="AH263" s="19">
        <f>IF(NOT(ISNUMBER($A263)),NA(),IFERROR(INDEX(BBG_Data!$T$2:$T$4000,MATCH($A263,BBG_Data!$S$2:$S$4000,0))*Settings!$B$25,NA()))</f>
        <v/>
      </c>
      <c r="AI263" s="19">
        <f>IF(NOT(ISNUMBER($A263)),NA(),IFERROR(INDEX(BBG_Data!$V$2:$V$4000,MATCH($A263,BBG_Data!$U$2:$U$4000,0))*Settings!$B$25,NA()))</f>
        <v/>
      </c>
      <c r="AJ263" s="19">
        <f>IF(NOT(ISNUMBER($A263)),NA(),IFERROR(1*INDEX(BBG_Data!$X$2:$X$4000,MATCH($A263,BBG_Data!$W$2:$W$4000,0)),NA()))</f>
        <v/>
      </c>
      <c r="AK263" s="19">
        <f>IF(NOT(ISNUMBER($A263)),NA(),IFERROR(1*INDEX(BBG_Data!$Z$2:$Z$4000,MATCH($A263,BBG_Data!$Y$2:$Y$4000,0)),NA()))</f>
        <v/>
      </c>
    </row>
    <row r="264">
      <c r="A264" s="17">
        <f>IF(ISNUMBER(BBG_Data!A264),BBG_Data!A264,"")</f>
        <v/>
      </c>
      <c r="B264" s="18">
        <f>IF(AND(ISNUMBER($A264),ISNUMBER(BBG_Data!B264)),BBG_Data!B264,NA())</f>
        <v/>
      </c>
      <c r="C264" s="18">
        <f>IF(NOT(ISNUMBER($A264)),NA(),IFERROR(1*INDEX(BBG_Data!$D$2:$D$4000,MATCH($A264,BBG_Data!$C$2:$C$4000,0)),NA()))</f>
        <v/>
      </c>
      <c r="D264" s="19">
        <f>IF(NOT(ISNUMBER($A264)),NA(),IFERROR(1*INDEX(BBG_Data!$F$2:$F$4000,MATCH($A264,BBG_Data!$E$2:$E$4000,0)),NA()))</f>
        <v/>
      </c>
      <c r="E264" s="19">
        <f>IF(NOT(ISNUMBER($A264)),NA(),IFERROR(1*INDEX(BBG_Data!$H$2:$H$4000,MATCH($A264,BBG_Data!$G$2:$G$4000,0)),NA()))</f>
        <v/>
      </c>
      <c r="F264" s="20">
        <f>IF(AND(ISNUMBER(B264),ISNUMBER(B263)),IF(B264=B263,"",(B264-B263)*100),"")</f>
        <v/>
      </c>
      <c r="G264" s="20">
        <f>IF(AND(ISNUMBER(C264),ISNUMBER(C263)),IF(C264=C263,"",(C264-C263)*100),"")</f>
        <v/>
      </c>
      <c r="H264" s="20">
        <f>IF(OR(NOT(ISNUMBER($A264)),ROW()-2&lt;Settings!$B$11),NA(),IF(COUNT(OFFSET(F264,1-Settings!$B$11,0,Settings!$B$11,1))&lt;ROUNDUP(Settings!$B$11*Settings!$B$26,0),NA(),STDEV(OFFSET(F264,1-Settings!$B$11,0,Settings!$B$11,1))*SQRT(Settings!$B$13)))</f>
        <v/>
      </c>
      <c r="I264" s="20">
        <f>IF(OR(NOT(ISNUMBER($A264)),ROW()-2&lt;Settings!$B$12),NA(),IF(COUNT(OFFSET(F264,1-Settings!$B$12,0,Settings!$B$12,1))&lt;ROUNDUP(Settings!$B$12*Settings!$B$26,0),NA(),STDEV(OFFSET(F264,1-Settings!$B$12,0,Settings!$B$12,1))*SQRT(Settings!$B$13)))</f>
        <v/>
      </c>
      <c r="J264" s="20">
        <f>IF(OR(NOT(ISNUMBER($A264)),ROW()-2&lt;Settings!$B$11),NA(),IF(COUNT(OFFSET(G264,1-Settings!$B$11,0,Settings!$B$11,1))&lt;ROUNDUP(Settings!$B$11*Settings!$B$26,0),NA(),STDEV(OFFSET(G264,1-Settings!$B$11,0,Settings!$B$11,1))*SQRT(Settings!$B$13)))</f>
        <v/>
      </c>
      <c r="K264" s="20">
        <f>IF(OR(NOT(ISNUMBER($A264)),ROW()-2&lt;Settings!$B$12),NA(),IF(COUNT(OFFSET(G264,1-Settings!$B$12,0,Settings!$B$12,1))&lt;ROUNDUP(Settings!$B$12*Settings!$B$26,0),NA(),STDEV(OFFSET(G264,1-Settings!$B$12,0,Settings!$B$12,1))*SQRT(Settings!$B$13)))</f>
        <v/>
      </c>
      <c r="L264" s="20">
        <f>IF(AND(ISNUMBER(D264),ISNUMBER(H264)),D264-H264,NA())</f>
        <v/>
      </c>
      <c r="M264" s="20">
        <f>IF(AND(ISNUMBER(E264),ISNUMBER(K264)),E264-K264,NA())</f>
        <v/>
      </c>
      <c r="N264" s="20">
        <f>IF(NOT(ISNUMBER($A264)),NA(),IF(COUNT(OFFSET(G264,1,0,Settings!$B$12,1))&lt;ROUNDUP(Settings!$B$12*Settings!$B$26,0),NA(),STDEV(OFFSET(G264,1,0,Settings!$B$12,1))*SQRT(Settings!$B$13)))</f>
        <v/>
      </c>
      <c r="O264" s="20">
        <f>IF(AND(ISNUMBER(E264),ISNUMBER(N264)),E264-N264,NA())</f>
        <v/>
      </c>
      <c r="P264" s="19">
        <f>IF(NOT(ISNUMBER($A264)),NA(),IF(OR($A264&lt;MIN(KW_TP!$A$2:$A$2501),$A264&gt;MAX(KW_TP!$A$2:$A$2501)),NA(),INDEX(KW_TP!$C$2:$C$2501,MATCH($A264,KW_TP!$A$2:$A$2501,1))))</f>
        <v/>
      </c>
      <c r="Q264" s="18">
        <f>IF(NOT(ISNUMBER($A264)),NA(),IFERROR(1*INDEX(BBG_Data!$J$2:$J$4000,MATCH($A264,BBG_Data!$I$2:$I$4000,0)),NA()))</f>
        <v/>
      </c>
      <c r="R264" s="18">
        <f>IF(NOT(ISNUMBER($A264)),NA(),IFERROR(1*INDEX(BBG_Data!$L$2:$L$4000,MATCH($A264,BBG_Data!$K$2:$K$4000,0)),NA()))</f>
        <v/>
      </c>
      <c r="S264" s="20">
        <f>IF(AND(ISNUMBER(B264),ISNUMBER(Q264),ISNUMBER(R264)),(B264-Q264-R264)*100,NA())</f>
        <v/>
      </c>
      <c r="T264" s="20">
        <f>IF(AND(ISNUMBER(B264),Settings!$B$17&gt;0),IF(ISNUMBER(INDEX($B:$B,Settings!$B$17)),(B264-INDEX($B:$B,Settings!$B$17))*100,NA()),NA())</f>
        <v/>
      </c>
      <c r="U264" s="20">
        <f>IF(AND(ISNUMBER(Q264),Settings!$B$17&gt;0),IF(ISNUMBER(INDEX($Q:$Q,Settings!$B$17)),(Q264-INDEX($Q:$Q,Settings!$B$17))*100,NA()),NA())</f>
        <v/>
      </c>
      <c r="V264" s="20">
        <f>IF(AND(ISNUMBER(R264),Settings!$B$17&gt;0),IF(ISNUMBER(INDEX($R:$R,Settings!$B$17)),(R264-INDEX($R:$R,Settings!$B$17))*100,NA()),NA())</f>
        <v/>
      </c>
      <c r="W264" s="20">
        <f>IF(AND(ISNUMBER(P264),Settings!$B$17&gt;0),IF(ISNUMBER(INDEX($P:$P,Settings!$B$17)),P264-INDEX($P:$P,Settings!$B$17),NA()),NA())</f>
        <v/>
      </c>
      <c r="X264" s="19">
        <f>IF(NOT(ISNUMBER($A264)),NA(),IF(OR($A264&lt;MIN(DKW_10Y!$A$2:$A$2918),$A264&gt;MAX(DKW_10Y!$A$2:$A$2918),Settings!$B$16&lt;MIN(DKW_10Y!$A$2:$A$2918)),NA(),(INDEX(DKW_10Y!$B$2:$B$2918,MATCH($A264,DKW_10Y!$A$2:$A$2918,1))-INDEX(DKW_10Y!$B$2:$B$2918,MATCH(Settings!$B$16,DKW_10Y!$A$2:$A$2918,1)))*100))</f>
        <v/>
      </c>
      <c r="Y264" s="19">
        <f>IF(NOT(ISNUMBER($A264)),NA(),IF(OR($A264&lt;MIN(DKW_10Y!$A$2:$A$2918),$A264&gt;MAX(DKW_10Y!$A$2:$A$2918),Settings!$B$16&lt;MIN(DKW_10Y!$A$2:$A$2918)),NA(),(INDEX(DKW_10Y!$C$2:$C$2918,MATCH($A264,DKW_10Y!$A$2:$A$2918,1))-INDEX(DKW_10Y!$C$2:$C$2918,MATCH(Settings!$B$16,DKW_10Y!$A$2:$A$2918,1)))*100))</f>
        <v/>
      </c>
      <c r="Z264" s="19">
        <f>IF(NOT(ISNUMBER($A264)),NA(),IF(OR($A264&lt;MIN(DKW_10Y!$A$2:$A$2918),$A264&gt;MAX(DKW_10Y!$A$2:$A$2918),Settings!$B$16&lt;MIN(DKW_10Y!$A$2:$A$2918)),NA(),(INDEX(DKW_10Y!$D$2:$D$2918,MATCH($A264,DKW_10Y!$A$2:$A$2918,1))-INDEX(DKW_10Y!$D$2:$D$2918,MATCH(Settings!$B$16,DKW_10Y!$A$2:$A$2918,1)))*100))</f>
        <v/>
      </c>
      <c r="AA264" s="19">
        <f>IF(NOT(ISNUMBER($A264)),NA(),IF(OR($A264&lt;MIN(DKW_10Y!$A$2:$A$2918),$A264&gt;MAX(DKW_10Y!$A$2:$A$2918),Settings!$B$16&lt;MIN(DKW_10Y!$A$2:$A$2918)),NA(),(INDEX(DKW_10Y!$E$2:$E$2918,MATCH($A264,DKW_10Y!$A$2:$A$2918,1))-INDEX(DKW_10Y!$E$2:$E$2918,MATCH(Settings!$B$16,DKW_10Y!$A$2:$A$2918,1)))*100))</f>
        <v/>
      </c>
      <c r="AB264" s="19">
        <f>IF(NOT(ISNUMBER($A264)),NA(),IF(OR($A264&lt;MIN(DKW_10Y!$A$2:$A$2918),$A264&gt;MAX(DKW_10Y!$A$2:$A$2918),Settings!$B$16&lt;MIN(DKW_10Y!$A$2:$A$2918)),NA(),(INDEX(DKW_10Y!$H$2:$H$2918,MATCH($A264,DKW_10Y!$A$2:$A$2918,1))-INDEX(DKW_10Y!$H$2:$H$2918,MATCH(Settings!$B$16,DKW_10Y!$A$2:$A$2918,1)))*100))</f>
        <v/>
      </c>
      <c r="AC264" s="18">
        <f>IF(NOT(ISNUMBER($A264)),NA(),IFERROR(1*INDEX(BBG_Data!$N$2:$N$4000,MATCH($A264,BBG_Data!$M$2:$M$4000,0)),NA()))</f>
        <v/>
      </c>
      <c r="AD264" s="18">
        <f>IF(NOT(ISNUMBER($A264)),NA(),IFERROR(1*INDEX(BBG_Data!$P$2:$P$4000,MATCH($A264,BBG_Data!$O$2:$O$4000,0)),NA()))</f>
        <v/>
      </c>
      <c r="AE264" s="18">
        <f>IF(NOT(ISNUMBER($A264)),NA(),IFERROR(1*INDEX(BBG_Data!$R$2:$R$4000,MATCH($A264,BBG_Data!$Q$2:$Q$4000,0)),NA()))</f>
        <v/>
      </c>
      <c r="AF264" s="20">
        <f>IF(AND(ISNUMBER(B264),ISNUMBER(AC264)),(B264-AC264)*100,NA())</f>
        <v/>
      </c>
      <c r="AG264" s="20">
        <f>IF(AND(ISNUMBER(AE264),ISNUMBER(AD264)),(AE264-AD264)*100,NA())</f>
        <v/>
      </c>
      <c r="AH264" s="19">
        <f>IF(NOT(ISNUMBER($A264)),NA(),IFERROR(INDEX(BBG_Data!$T$2:$T$4000,MATCH($A264,BBG_Data!$S$2:$S$4000,0))*Settings!$B$25,NA()))</f>
        <v/>
      </c>
      <c r="AI264" s="19">
        <f>IF(NOT(ISNUMBER($A264)),NA(),IFERROR(INDEX(BBG_Data!$V$2:$V$4000,MATCH($A264,BBG_Data!$U$2:$U$4000,0))*Settings!$B$25,NA()))</f>
        <v/>
      </c>
      <c r="AJ264" s="19">
        <f>IF(NOT(ISNUMBER($A264)),NA(),IFERROR(1*INDEX(BBG_Data!$X$2:$X$4000,MATCH($A264,BBG_Data!$W$2:$W$4000,0)),NA()))</f>
        <v/>
      </c>
      <c r="AK264" s="19">
        <f>IF(NOT(ISNUMBER($A264)),NA(),IFERROR(1*INDEX(BBG_Data!$Z$2:$Z$4000,MATCH($A264,BBG_Data!$Y$2:$Y$4000,0)),NA()))</f>
        <v/>
      </c>
    </row>
    <row r="265">
      <c r="A265" s="17">
        <f>IF(ISNUMBER(BBG_Data!A265),BBG_Data!A265,"")</f>
        <v/>
      </c>
      <c r="B265" s="18">
        <f>IF(AND(ISNUMBER($A265),ISNUMBER(BBG_Data!B265)),BBG_Data!B265,NA())</f>
        <v/>
      </c>
      <c r="C265" s="18">
        <f>IF(NOT(ISNUMBER($A265)),NA(),IFERROR(1*INDEX(BBG_Data!$D$2:$D$4000,MATCH($A265,BBG_Data!$C$2:$C$4000,0)),NA()))</f>
        <v/>
      </c>
      <c r="D265" s="19">
        <f>IF(NOT(ISNUMBER($A265)),NA(),IFERROR(1*INDEX(BBG_Data!$F$2:$F$4000,MATCH($A265,BBG_Data!$E$2:$E$4000,0)),NA()))</f>
        <v/>
      </c>
      <c r="E265" s="19">
        <f>IF(NOT(ISNUMBER($A265)),NA(),IFERROR(1*INDEX(BBG_Data!$H$2:$H$4000,MATCH($A265,BBG_Data!$G$2:$G$4000,0)),NA()))</f>
        <v/>
      </c>
      <c r="F265" s="20">
        <f>IF(AND(ISNUMBER(B265),ISNUMBER(B264)),IF(B265=B264,"",(B265-B264)*100),"")</f>
        <v/>
      </c>
      <c r="G265" s="20">
        <f>IF(AND(ISNUMBER(C265),ISNUMBER(C264)),IF(C265=C264,"",(C265-C264)*100),"")</f>
        <v/>
      </c>
      <c r="H265" s="20">
        <f>IF(OR(NOT(ISNUMBER($A265)),ROW()-2&lt;Settings!$B$11),NA(),IF(COUNT(OFFSET(F265,1-Settings!$B$11,0,Settings!$B$11,1))&lt;ROUNDUP(Settings!$B$11*Settings!$B$26,0),NA(),STDEV(OFFSET(F265,1-Settings!$B$11,0,Settings!$B$11,1))*SQRT(Settings!$B$13)))</f>
        <v/>
      </c>
      <c r="I265" s="20">
        <f>IF(OR(NOT(ISNUMBER($A265)),ROW()-2&lt;Settings!$B$12),NA(),IF(COUNT(OFFSET(F265,1-Settings!$B$12,0,Settings!$B$12,1))&lt;ROUNDUP(Settings!$B$12*Settings!$B$26,0),NA(),STDEV(OFFSET(F265,1-Settings!$B$12,0,Settings!$B$12,1))*SQRT(Settings!$B$13)))</f>
        <v/>
      </c>
      <c r="J265" s="20">
        <f>IF(OR(NOT(ISNUMBER($A265)),ROW()-2&lt;Settings!$B$11),NA(),IF(COUNT(OFFSET(G265,1-Settings!$B$11,0,Settings!$B$11,1))&lt;ROUNDUP(Settings!$B$11*Settings!$B$26,0),NA(),STDEV(OFFSET(G265,1-Settings!$B$11,0,Settings!$B$11,1))*SQRT(Settings!$B$13)))</f>
        <v/>
      </c>
      <c r="K265" s="20">
        <f>IF(OR(NOT(ISNUMBER($A265)),ROW()-2&lt;Settings!$B$12),NA(),IF(COUNT(OFFSET(G265,1-Settings!$B$12,0,Settings!$B$12,1))&lt;ROUNDUP(Settings!$B$12*Settings!$B$26,0),NA(),STDEV(OFFSET(G265,1-Settings!$B$12,0,Settings!$B$12,1))*SQRT(Settings!$B$13)))</f>
        <v/>
      </c>
      <c r="L265" s="20">
        <f>IF(AND(ISNUMBER(D265),ISNUMBER(H265)),D265-H265,NA())</f>
        <v/>
      </c>
      <c r="M265" s="20">
        <f>IF(AND(ISNUMBER(E265),ISNUMBER(K265)),E265-K265,NA())</f>
        <v/>
      </c>
      <c r="N265" s="20">
        <f>IF(NOT(ISNUMBER($A265)),NA(),IF(COUNT(OFFSET(G265,1,0,Settings!$B$12,1))&lt;ROUNDUP(Settings!$B$12*Settings!$B$26,0),NA(),STDEV(OFFSET(G265,1,0,Settings!$B$12,1))*SQRT(Settings!$B$13)))</f>
        <v/>
      </c>
      <c r="O265" s="20">
        <f>IF(AND(ISNUMBER(E265),ISNUMBER(N265)),E265-N265,NA())</f>
        <v/>
      </c>
      <c r="P265" s="19">
        <f>IF(NOT(ISNUMBER($A265)),NA(),IF(OR($A265&lt;MIN(KW_TP!$A$2:$A$2501),$A265&gt;MAX(KW_TP!$A$2:$A$2501)),NA(),INDEX(KW_TP!$C$2:$C$2501,MATCH($A265,KW_TP!$A$2:$A$2501,1))))</f>
        <v/>
      </c>
      <c r="Q265" s="18">
        <f>IF(NOT(ISNUMBER($A265)),NA(),IFERROR(1*INDEX(BBG_Data!$J$2:$J$4000,MATCH($A265,BBG_Data!$I$2:$I$4000,0)),NA()))</f>
        <v/>
      </c>
      <c r="R265" s="18">
        <f>IF(NOT(ISNUMBER($A265)),NA(),IFERROR(1*INDEX(BBG_Data!$L$2:$L$4000,MATCH($A265,BBG_Data!$K$2:$K$4000,0)),NA()))</f>
        <v/>
      </c>
      <c r="S265" s="20">
        <f>IF(AND(ISNUMBER(B265),ISNUMBER(Q265),ISNUMBER(R265)),(B265-Q265-R265)*100,NA())</f>
        <v/>
      </c>
      <c r="T265" s="20">
        <f>IF(AND(ISNUMBER(B265),Settings!$B$17&gt;0),IF(ISNUMBER(INDEX($B:$B,Settings!$B$17)),(B265-INDEX($B:$B,Settings!$B$17))*100,NA()),NA())</f>
        <v/>
      </c>
      <c r="U265" s="20">
        <f>IF(AND(ISNUMBER(Q265),Settings!$B$17&gt;0),IF(ISNUMBER(INDEX($Q:$Q,Settings!$B$17)),(Q265-INDEX($Q:$Q,Settings!$B$17))*100,NA()),NA())</f>
        <v/>
      </c>
      <c r="V265" s="20">
        <f>IF(AND(ISNUMBER(R265),Settings!$B$17&gt;0),IF(ISNUMBER(INDEX($R:$R,Settings!$B$17)),(R265-INDEX($R:$R,Settings!$B$17))*100,NA()),NA())</f>
        <v/>
      </c>
      <c r="W265" s="20">
        <f>IF(AND(ISNUMBER(P265),Settings!$B$17&gt;0),IF(ISNUMBER(INDEX($P:$P,Settings!$B$17)),P265-INDEX($P:$P,Settings!$B$17),NA()),NA())</f>
        <v/>
      </c>
      <c r="X265" s="19">
        <f>IF(NOT(ISNUMBER($A265)),NA(),IF(OR($A265&lt;MIN(DKW_10Y!$A$2:$A$2918),$A265&gt;MAX(DKW_10Y!$A$2:$A$2918),Settings!$B$16&lt;MIN(DKW_10Y!$A$2:$A$2918)),NA(),(INDEX(DKW_10Y!$B$2:$B$2918,MATCH($A265,DKW_10Y!$A$2:$A$2918,1))-INDEX(DKW_10Y!$B$2:$B$2918,MATCH(Settings!$B$16,DKW_10Y!$A$2:$A$2918,1)))*100))</f>
        <v/>
      </c>
      <c r="Y265" s="19">
        <f>IF(NOT(ISNUMBER($A265)),NA(),IF(OR($A265&lt;MIN(DKW_10Y!$A$2:$A$2918),$A265&gt;MAX(DKW_10Y!$A$2:$A$2918),Settings!$B$16&lt;MIN(DKW_10Y!$A$2:$A$2918)),NA(),(INDEX(DKW_10Y!$C$2:$C$2918,MATCH($A265,DKW_10Y!$A$2:$A$2918,1))-INDEX(DKW_10Y!$C$2:$C$2918,MATCH(Settings!$B$16,DKW_10Y!$A$2:$A$2918,1)))*100))</f>
        <v/>
      </c>
      <c r="Z265" s="19">
        <f>IF(NOT(ISNUMBER($A265)),NA(),IF(OR($A265&lt;MIN(DKW_10Y!$A$2:$A$2918),$A265&gt;MAX(DKW_10Y!$A$2:$A$2918),Settings!$B$16&lt;MIN(DKW_10Y!$A$2:$A$2918)),NA(),(INDEX(DKW_10Y!$D$2:$D$2918,MATCH($A265,DKW_10Y!$A$2:$A$2918,1))-INDEX(DKW_10Y!$D$2:$D$2918,MATCH(Settings!$B$16,DKW_10Y!$A$2:$A$2918,1)))*100))</f>
        <v/>
      </c>
      <c r="AA265" s="19">
        <f>IF(NOT(ISNUMBER($A265)),NA(),IF(OR($A265&lt;MIN(DKW_10Y!$A$2:$A$2918),$A265&gt;MAX(DKW_10Y!$A$2:$A$2918),Settings!$B$16&lt;MIN(DKW_10Y!$A$2:$A$2918)),NA(),(INDEX(DKW_10Y!$E$2:$E$2918,MATCH($A265,DKW_10Y!$A$2:$A$2918,1))-INDEX(DKW_10Y!$E$2:$E$2918,MATCH(Settings!$B$16,DKW_10Y!$A$2:$A$2918,1)))*100))</f>
        <v/>
      </c>
      <c r="AB265" s="19">
        <f>IF(NOT(ISNUMBER($A265)),NA(),IF(OR($A265&lt;MIN(DKW_10Y!$A$2:$A$2918),$A265&gt;MAX(DKW_10Y!$A$2:$A$2918),Settings!$B$16&lt;MIN(DKW_10Y!$A$2:$A$2918)),NA(),(INDEX(DKW_10Y!$H$2:$H$2918,MATCH($A265,DKW_10Y!$A$2:$A$2918,1))-INDEX(DKW_10Y!$H$2:$H$2918,MATCH(Settings!$B$16,DKW_10Y!$A$2:$A$2918,1)))*100))</f>
        <v/>
      </c>
      <c r="AC265" s="18">
        <f>IF(NOT(ISNUMBER($A265)),NA(),IFERROR(1*INDEX(BBG_Data!$N$2:$N$4000,MATCH($A265,BBG_Data!$M$2:$M$4000,0)),NA()))</f>
        <v/>
      </c>
      <c r="AD265" s="18">
        <f>IF(NOT(ISNUMBER($A265)),NA(),IFERROR(1*INDEX(BBG_Data!$P$2:$P$4000,MATCH($A265,BBG_Data!$O$2:$O$4000,0)),NA()))</f>
        <v/>
      </c>
      <c r="AE265" s="18">
        <f>IF(NOT(ISNUMBER($A265)),NA(),IFERROR(1*INDEX(BBG_Data!$R$2:$R$4000,MATCH($A265,BBG_Data!$Q$2:$Q$4000,0)),NA()))</f>
        <v/>
      </c>
      <c r="AF265" s="20">
        <f>IF(AND(ISNUMBER(B265),ISNUMBER(AC265)),(B265-AC265)*100,NA())</f>
        <v/>
      </c>
      <c r="AG265" s="20">
        <f>IF(AND(ISNUMBER(AE265),ISNUMBER(AD265)),(AE265-AD265)*100,NA())</f>
        <v/>
      </c>
      <c r="AH265" s="19">
        <f>IF(NOT(ISNUMBER($A265)),NA(),IFERROR(INDEX(BBG_Data!$T$2:$T$4000,MATCH($A265,BBG_Data!$S$2:$S$4000,0))*Settings!$B$25,NA()))</f>
        <v/>
      </c>
      <c r="AI265" s="19">
        <f>IF(NOT(ISNUMBER($A265)),NA(),IFERROR(INDEX(BBG_Data!$V$2:$V$4000,MATCH($A265,BBG_Data!$U$2:$U$4000,0))*Settings!$B$25,NA()))</f>
        <v/>
      </c>
      <c r="AJ265" s="19">
        <f>IF(NOT(ISNUMBER($A265)),NA(),IFERROR(1*INDEX(BBG_Data!$X$2:$X$4000,MATCH($A265,BBG_Data!$W$2:$W$4000,0)),NA()))</f>
        <v/>
      </c>
      <c r="AK265" s="19">
        <f>IF(NOT(ISNUMBER($A265)),NA(),IFERROR(1*INDEX(BBG_Data!$Z$2:$Z$4000,MATCH($A265,BBG_Data!$Y$2:$Y$4000,0)),NA()))</f>
        <v/>
      </c>
    </row>
    <row r="266">
      <c r="A266" s="17">
        <f>IF(ISNUMBER(BBG_Data!A266),BBG_Data!A266,"")</f>
        <v/>
      </c>
      <c r="B266" s="18">
        <f>IF(AND(ISNUMBER($A266),ISNUMBER(BBG_Data!B266)),BBG_Data!B266,NA())</f>
        <v/>
      </c>
      <c r="C266" s="18">
        <f>IF(NOT(ISNUMBER($A266)),NA(),IFERROR(1*INDEX(BBG_Data!$D$2:$D$4000,MATCH($A266,BBG_Data!$C$2:$C$4000,0)),NA()))</f>
        <v/>
      </c>
      <c r="D266" s="19">
        <f>IF(NOT(ISNUMBER($A266)),NA(),IFERROR(1*INDEX(BBG_Data!$F$2:$F$4000,MATCH($A266,BBG_Data!$E$2:$E$4000,0)),NA()))</f>
        <v/>
      </c>
      <c r="E266" s="19">
        <f>IF(NOT(ISNUMBER($A266)),NA(),IFERROR(1*INDEX(BBG_Data!$H$2:$H$4000,MATCH($A266,BBG_Data!$G$2:$G$4000,0)),NA()))</f>
        <v/>
      </c>
      <c r="F266" s="20">
        <f>IF(AND(ISNUMBER(B266),ISNUMBER(B265)),IF(B266=B265,"",(B266-B265)*100),"")</f>
        <v/>
      </c>
      <c r="G266" s="20">
        <f>IF(AND(ISNUMBER(C266),ISNUMBER(C265)),IF(C266=C265,"",(C266-C265)*100),"")</f>
        <v/>
      </c>
      <c r="H266" s="20">
        <f>IF(OR(NOT(ISNUMBER($A266)),ROW()-2&lt;Settings!$B$11),NA(),IF(COUNT(OFFSET(F266,1-Settings!$B$11,0,Settings!$B$11,1))&lt;ROUNDUP(Settings!$B$11*Settings!$B$26,0),NA(),STDEV(OFFSET(F266,1-Settings!$B$11,0,Settings!$B$11,1))*SQRT(Settings!$B$13)))</f>
        <v/>
      </c>
      <c r="I266" s="20">
        <f>IF(OR(NOT(ISNUMBER($A266)),ROW()-2&lt;Settings!$B$12),NA(),IF(COUNT(OFFSET(F266,1-Settings!$B$12,0,Settings!$B$12,1))&lt;ROUNDUP(Settings!$B$12*Settings!$B$26,0),NA(),STDEV(OFFSET(F266,1-Settings!$B$12,0,Settings!$B$12,1))*SQRT(Settings!$B$13)))</f>
        <v/>
      </c>
      <c r="J266" s="20">
        <f>IF(OR(NOT(ISNUMBER($A266)),ROW()-2&lt;Settings!$B$11),NA(),IF(COUNT(OFFSET(G266,1-Settings!$B$11,0,Settings!$B$11,1))&lt;ROUNDUP(Settings!$B$11*Settings!$B$26,0),NA(),STDEV(OFFSET(G266,1-Settings!$B$11,0,Settings!$B$11,1))*SQRT(Settings!$B$13)))</f>
        <v/>
      </c>
      <c r="K266" s="20">
        <f>IF(OR(NOT(ISNUMBER($A266)),ROW()-2&lt;Settings!$B$12),NA(),IF(COUNT(OFFSET(G266,1-Settings!$B$12,0,Settings!$B$12,1))&lt;ROUNDUP(Settings!$B$12*Settings!$B$26,0),NA(),STDEV(OFFSET(G266,1-Settings!$B$12,0,Settings!$B$12,1))*SQRT(Settings!$B$13)))</f>
        <v/>
      </c>
      <c r="L266" s="20">
        <f>IF(AND(ISNUMBER(D266),ISNUMBER(H266)),D266-H266,NA())</f>
        <v/>
      </c>
      <c r="M266" s="20">
        <f>IF(AND(ISNUMBER(E266),ISNUMBER(K266)),E266-K266,NA())</f>
        <v/>
      </c>
      <c r="N266" s="20">
        <f>IF(NOT(ISNUMBER($A266)),NA(),IF(COUNT(OFFSET(G266,1,0,Settings!$B$12,1))&lt;ROUNDUP(Settings!$B$12*Settings!$B$26,0),NA(),STDEV(OFFSET(G266,1,0,Settings!$B$12,1))*SQRT(Settings!$B$13)))</f>
        <v/>
      </c>
      <c r="O266" s="20">
        <f>IF(AND(ISNUMBER(E266),ISNUMBER(N266)),E266-N266,NA())</f>
        <v/>
      </c>
      <c r="P266" s="19">
        <f>IF(NOT(ISNUMBER($A266)),NA(),IF(OR($A266&lt;MIN(KW_TP!$A$2:$A$2501),$A266&gt;MAX(KW_TP!$A$2:$A$2501)),NA(),INDEX(KW_TP!$C$2:$C$2501,MATCH($A266,KW_TP!$A$2:$A$2501,1))))</f>
        <v/>
      </c>
      <c r="Q266" s="18">
        <f>IF(NOT(ISNUMBER($A266)),NA(),IFERROR(1*INDEX(BBG_Data!$J$2:$J$4000,MATCH($A266,BBG_Data!$I$2:$I$4000,0)),NA()))</f>
        <v/>
      </c>
      <c r="R266" s="18">
        <f>IF(NOT(ISNUMBER($A266)),NA(),IFERROR(1*INDEX(BBG_Data!$L$2:$L$4000,MATCH($A266,BBG_Data!$K$2:$K$4000,0)),NA()))</f>
        <v/>
      </c>
      <c r="S266" s="20">
        <f>IF(AND(ISNUMBER(B266),ISNUMBER(Q266),ISNUMBER(R266)),(B266-Q266-R266)*100,NA())</f>
        <v/>
      </c>
      <c r="T266" s="20">
        <f>IF(AND(ISNUMBER(B266),Settings!$B$17&gt;0),IF(ISNUMBER(INDEX($B:$B,Settings!$B$17)),(B266-INDEX($B:$B,Settings!$B$17))*100,NA()),NA())</f>
        <v/>
      </c>
      <c r="U266" s="20">
        <f>IF(AND(ISNUMBER(Q266),Settings!$B$17&gt;0),IF(ISNUMBER(INDEX($Q:$Q,Settings!$B$17)),(Q266-INDEX($Q:$Q,Settings!$B$17))*100,NA()),NA())</f>
        <v/>
      </c>
      <c r="V266" s="20">
        <f>IF(AND(ISNUMBER(R266),Settings!$B$17&gt;0),IF(ISNUMBER(INDEX($R:$R,Settings!$B$17)),(R266-INDEX($R:$R,Settings!$B$17))*100,NA()),NA())</f>
        <v/>
      </c>
      <c r="W266" s="20">
        <f>IF(AND(ISNUMBER(P266),Settings!$B$17&gt;0),IF(ISNUMBER(INDEX($P:$P,Settings!$B$17)),P266-INDEX($P:$P,Settings!$B$17),NA()),NA())</f>
        <v/>
      </c>
      <c r="X266" s="19">
        <f>IF(NOT(ISNUMBER($A266)),NA(),IF(OR($A266&lt;MIN(DKW_10Y!$A$2:$A$2918),$A266&gt;MAX(DKW_10Y!$A$2:$A$2918),Settings!$B$16&lt;MIN(DKW_10Y!$A$2:$A$2918)),NA(),(INDEX(DKW_10Y!$B$2:$B$2918,MATCH($A266,DKW_10Y!$A$2:$A$2918,1))-INDEX(DKW_10Y!$B$2:$B$2918,MATCH(Settings!$B$16,DKW_10Y!$A$2:$A$2918,1)))*100))</f>
        <v/>
      </c>
      <c r="Y266" s="19">
        <f>IF(NOT(ISNUMBER($A266)),NA(),IF(OR($A266&lt;MIN(DKW_10Y!$A$2:$A$2918),$A266&gt;MAX(DKW_10Y!$A$2:$A$2918),Settings!$B$16&lt;MIN(DKW_10Y!$A$2:$A$2918)),NA(),(INDEX(DKW_10Y!$C$2:$C$2918,MATCH($A266,DKW_10Y!$A$2:$A$2918,1))-INDEX(DKW_10Y!$C$2:$C$2918,MATCH(Settings!$B$16,DKW_10Y!$A$2:$A$2918,1)))*100))</f>
        <v/>
      </c>
      <c r="Z266" s="19">
        <f>IF(NOT(ISNUMBER($A266)),NA(),IF(OR($A266&lt;MIN(DKW_10Y!$A$2:$A$2918),$A266&gt;MAX(DKW_10Y!$A$2:$A$2918),Settings!$B$16&lt;MIN(DKW_10Y!$A$2:$A$2918)),NA(),(INDEX(DKW_10Y!$D$2:$D$2918,MATCH($A266,DKW_10Y!$A$2:$A$2918,1))-INDEX(DKW_10Y!$D$2:$D$2918,MATCH(Settings!$B$16,DKW_10Y!$A$2:$A$2918,1)))*100))</f>
        <v/>
      </c>
      <c r="AA266" s="19">
        <f>IF(NOT(ISNUMBER($A266)),NA(),IF(OR($A266&lt;MIN(DKW_10Y!$A$2:$A$2918),$A266&gt;MAX(DKW_10Y!$A$2:$A$2918),Settings!$B$16&lt;MIN(DKW_10Y!$A$2:$A$2918)),NA(),(INDEX(DKW_10Y!$E$2:$E$2918,MATCH($A266,DKW_10Y!$A$2:$A$2918,1))-INDEX(DKW_10Y!$E$2:$E$2918,MATCH(Settings!$B$16,DKW_10Y!$A$2:$A$2918,1)))*100))</f>
        <v/>
      </c>
      <c r="AB266" s="19">
        <f>IF(NOT(ISNUMBER($A266)),NA(),IF(OR($A266&lt;MIN(DKW_10Y!$A$2:$A$2918),$A266&gt;MAX(DKW_10Y!$A$2:$A$2918),Settings!$B$16&lt;MIN(DKW_10Y!$A$2:$A$2918)),NA(),(INDEX(DKW_10Y!$H$2:$H$2918,MATCH($A266,DKW_10Y!$A$2:$A$2918,1))-INDEX(DKW_10Y!$H$2:$H$2918,MATCH(Settings!$B$16,DKW_10Y!$A$2:$A$2918,1)))*100))</f>
        <v/>
      </c>
      <c r="AC266" s="18">
        <f>IF(NOT(ISNUMBER($A266)),NA(),IFERROR(1*INDEX(BBG_Data!$N$2:$N$4000,MATCH($A266,BBG_Data!$M$2:$M$4000,0)),NA()))</f>
        <v/>
      </c>
      <c r="AD266" s="18">
        <f>IF(NOT(ISNUMBER($A266)),NA(),IFERROR(1*INDEX(BBG_Data!$P$2:$P$4000,MATCH($A266,BBG_Data!$O$2:$O$4000,0)),NA()))</f>
        <v/>
      </c>
      <c r="AE266" s="18">
        <f>IF(NOT(ISNUMBER($A266)),NA(),IFERROR(1*INDEX(BBG_Data!$R$2:$R$4000,MATCH($A266,BBG_Data!$Q$2:$Q$4000,0)),NA()))</f>
        <v/>
      </c>
      <c r="AF266" s="20">
        <f>IF(AND(ISNUMBER(B266),ISNUMBER(AC266)),(B266-AC266)*100,NA())</f>
        <v/>
      </c>
      <c r="AG266" s="20">
        <f>IF(AND(ISNUMBER(AE266),ISNUMBER(AD266)),(AE266-AD266)*100,NA())</f>
        <v/>
      </c>
      <c r="AH266" s="19">
        <f>IF(NOT(ISNUMBER($A266)),NA(),IFERROR(INDEX(BBG_Data!$T$2:$T$4000,MATCH($A266,BBG_Data!$S$2:$S$4000,0))*Settings!$B$25,NA()))</f>
        <v/>
      </c>
      <c r="AI266" s="19">
        <f>IF(NOT(ISNUMBER($A266)),NA(),IFERROR(INDEX(BBG_Data!$V$2:$V$4000,MATCH($A266,BBG_Data!$U$2:$U$4000,0))*Settings!$B$25,NA()))</f>
        <v/>
      </c>
      <c r="AJ266" s="19">
        <f>IF(NOT(ISNUMBER($A266)),NA(),IFERROR(1*INDEX(BBG_Data!$X$2:$X$4000,MATCH($A266,BBG_Data!$W$2:$W$4000,0)),NA()))</f>
        <v/>
      </c>
      <c r="AK266" s="19">
        <f>IF(NOT(ISNUMBER($A266)),NA(),IFERROR(1*INDEX(BBG_Data!$Z$2:$Z$4000,MATCH($A266,BBG_Data!$Y$2:$Y$4000,0)),NA()))</f>
        <v/>
      </c>
    </row>
    <row r="267">
      <c r="A267" s="17">
        <f>IF(ISNUMBER(BBG_Data!A267),BBG_Data!A267,"")</f>
        <v/>
      </c>
      <c r="B267" s="18">
        <f>IF(AND(ISNUMBER($A267),ISNUMBER(BBG_Data!B267)),BBG_Data!B267,NA())</f>
        <v/>
      </c>
      <c r="C267" s="18">
        <f>IF(NOT(ISNUMBER($A267)),NA(),IFERROR(1*INDEX(BBG_Data!$D$2:$D$4000,MATCH($A267,BBG_Data!$C$2:$C$4000,0)),NA()))</f>
        <v/>
      </c>
      <c r="D267" s="19">
        <f>IF(NOT(ISNUMBER($A267)),NA(),IFERROR(1*INDEX(BBG_Data!$F$2:$F$4000,MATCH($A267,BBG_Data!$E$2:$E$4000,0)),NA()))</f>
        <v/>
      </c>
      <c r="E267" s="19">
        <f>IF(NOT(ISNUMBER($A267)),NA(),IFERROR(1*INDEX(BBG_Data!$H$2:$H$4000,MATCH($A267,BBG_Data!$G$2:$G$4000,0)),NA()))</f>
        <v/>
      </c>
      <c r="F267" s="20">
        <f>IF(AND(ISNUMBER(B267),ISNUMBER(B266)),IF(B267=B266,"",(B267-B266)*100),"")</f>
        <v/>
      </c>
      <c r="G267" s="20">
        <f>IF(AND(ISNUMBER(C267),ISNUMBER(C266)),IF(C267=C266,"",(C267-C266)*100),"")</f>
        <v/>
      </c>
      <c r="H267" s="20">
        <f>IF(OR(NOT(ISNUMBER($A267)),ROW()-2&lt;Settings!$B$11),NA(),IF(COUNT(OFFSET(F267,1-Settings!$B$11,0,Settings!$B$11,1))&lt;ROUNDUP(Settings!$B$11*Settings!$B$26,0),NA(),STDEV(OFFSET(F267,1-Settings!$B$11,0,Settings!$B$11,1))*SQRT(Settings!$B$13)))</f>
        <v/>
      </c>
      <c r="I267" s="20">
        <f>IF(OR(NOT(ISNUMBER($A267)),ROW()-2&lt;Settings!$B$12),NA(),IF(COUNT(OFFSET(F267,1-Settings!$B$12,0,Settings!$B$12,1))&lt;ROUNDUP(Settings!$B$12*Settings!$B$26,0),NA(),STDEV(OFFSET(F267,1-Settings!$B$12,0,Settings!$B$12,1))*SQRT(Settings!$B$13)))</f>
        <v/>
      </c>
      <c r="J267" s="20">
        <f>IF(OR(NOT(ISNUMBER($A267)),ROW()-2&lt;Settings!$B$11),NA(),IF(COUNT(OFFSET(G267,1-Settings!$B$11,0,Settings!$B$11,1))&lt;ROUNDUP(Settings!$B$11*Settings!$B$26,0),NA(),STDEV(OFFSET(G267,1-Settings!$B$11,0,Settings!$B$11,1))*SQRT(Settings!$B$13)))</f>
        <v/>
      </c>
      <c r="K267" s="20">
        <f>IF(OR(NOT(ISNUMBER($A267)),ROW()-2&lt;Settings!$B$12),NA(),IF(COUNT(OFFSET(G267,1-Settings!$B$12,0,Settings!$B$12,1))&lt;ROUNDUP(Settings!$B$12*Settings!$B$26,0),NA(),STDEV(OFFSET(G267,1-Settings!$B$12,0,Settings!$B$12,1))*SQRT(Settings!$B$13)))</f>
        <v/>
      </c>
      <c r="L267" s="20">
        <f>IF(AND(ISNUMBER(D267),ISNUMBER(H267)),D267-H267,NA())</f>
        <v/>
      </c>
      <c r="M267" s="20">
        <f>IF(AND(ISNUMBER(E267),ISNUMBER(K267)),E267-K267,NA())</f>
        <v/>
      </c>
      <c r="N267" s="20">
        <f>IF(NOT(ISNUMBER($A267)),NA(),IF(COUNT(OFFSET(G267,1,0,Settings!$B$12,1))&lt;ROUNDUP(Settings!$B$12*Settings!$B$26,0),NA(),STDEV(OFFSET(G267,1,0,Settings!$B$12,1))*SQRT(Settings!$B$13)))</f>
        <v/>
      </c>
      <c r="O267" s="20">
        <f>IF(AND(ISNUMBER(E267),ISNUMBER(N267)),E267-N267,NA())</f>
        <v/>
      </c>
      <c r="P267" s="19">
        <f>IF(NOT(ISNUMBER($A267)),NA(),IF(OR($A267&lt;MIN(KW_TP!$A$2:$A$2501),$A267&gt;MAX(KW_TP!$A$2:$A$2501)),NA(),INDEX(KW_TP!$C$2:$C$2501,MATCH($A267,KW_TP!$A$2:$A$2501,1))))</f>
        <v/>
      </c>
      <c r="Q267" s="18">
        <f>IF(NOT(ISNUMBER($A267)),NA(),IFERROR(1*INDEX(BBG_Data!$J$2:$J$4000,MATCH($A267,BBG_Data!$I$2:$I$4000,0)),NA()))</f>
        <v/>
      </c>
      <c r="R267" s="18">
        <f>IF(NOT(ISNUMBER($A267)),NA(),IFERROR(1*INDEX(BBG_Data!$L$2:$L$4000,MATCH($A267,BBG_Data!$K$2:$K$4000,0)),NA()))</f>
        <v/>
      </c>
      <c r="S267" s="20">
        <f>IF(AND(ISNUMBER(B267),ISNUMBER(Q267),ISNUMBER(R267)),(B267-Q267-R267)*100,NA())</f>
        <v/>
      </c>
      <c r="T267" s="20">
        <f>IF(AND(ISNUMBER(B267),Settings!$B$17&gt;0),IF(ISNUMBER(INDEX($B:$B,Settings!$B$17)),(B267-INDEX($B:$B,Settings!$B$17))*100,NA()),NA())</f>
        <v/>
      </c>
      <c r="U267" s="20">
        <f>IF(AND(ISNUMBER(Q267),Settings!$B$17&gt;0),IF(ISNUMBER(INDEX($Q:$Q,Settings!$B$17)),(Q267-INDEX($Q:$Q,Settings!$B$17))*100,NA()),NA())</f>
        <v/>
      </c>
      <c r="V267" s="20">
        <f>IF(AND(ISNUMBER(R267),Settings!$B$17&gt;0),IF(ISNUMBER(INDEX($R:$R,Settings!$B$17)),(R267-INDEX($R:$R,Settings!$B$17))*100,NA()),NA())</f>
        <v/>
      </c>
      <c r="W267" s="20">
        <f>IF(AND(ISNUMBER(P267),Settings!$B$17&gt;0),IF(ISNUMBER(INDEX($P:$P,Settings!$B$17)),P267-INDEX($P:$P,Settings!$B$17),NA()),NA())</f>
        <v/>
      </c>
      <c r="X267" s="19">
        <f>IF(NOT(ISNUMBER($A267)),NA(),IF(OR($A267&lt;MIN(DKW_10Y!$A$2:$A$2918),$A267&gt;MAX(DKW_10Y!$A$2:$A$2918),Settings!$B$16&lt;MIN(DKW_10Y!$A$2:$A$2918)),NA(),(INDEX(DKW_10Y!$B$2:$B$2918,MATCH($A267,DKW_10Y!$A$2:$A$2918,1))-INDEX(DKW_10Y!$B$2:$B$2918,MATCH(Settings!$B$16,DKW_10Y!$A$2:$A$2918,1)))*100))</f>
        <v/>
      </c>
      <c r="Y267" s="19">
        <f>IF(NOT(ISNUMBER($A267)),NA(),IF(OR($A267&lt;MIN(DKW_10Y!$A$2:$A$2918),$A267&gt;MAX(DKW_10Y!$A$2:$A$2918),Settings!$B$16&lt;MIN(DKW_10Y!$A$2:$A$2918)),NA(),(INDEX(DKW_10Y!$C$2:$C$2918,MATCH($A267,DKW_10Y!$A$2:$A$2918,1))-INDEX(DKW_10Y!$C$2:$C$2918,MATCH(Settings!$B$16,DKW_10Y!$A$2:$A$2918,1)))*100))</f>
        <v/>
      </c>
      <c r="Z267" s="19">
        <f>IF(NOT(ISNUMBER($A267)),NA(),IF(OR($A267&lt;MIN(DKW_10Y!$A$2:$A$2918),$A267&gt;MAX(DKW_10Y!$A$2:$A$2918),Settings!$B$16&lt;MIN(DKW_10Y!$A$2:$A$2918)),NA(),(INDEX(DKW_10Y!$D$2:$D$2918,MATCH($A267,DKW_10Y!$A$2:$A$2918,1))-INDEX(DKW_10Y!$D$2:$D$2918,MATCH(Settings!$B$16,DKW_10Y!$A$2:$A$2918,1)))*100))</f>
        <v/>
      </c>
      <c r="AA267" s="19">
        <f>IF(NOT(ISNUMBER($A267)),NA(),IF(OR($A267&lt;MIN(DKW_10Y!$A$2:$A$2918),$A267&gt;MAX(DKW_10Y!$A$2:$A$2918),Settings!$B$16&lt;MIN(DKW_10Y!$A$2:$A$2918)),NA(),(INDEX(DKW_10Y!$E$2:$E$2918,MATCH($A267,DKW_10Y!$A$2:$A$2918,1))-INDEX(DKW_10Y!$E$2:$E$2918,MATCH(Settings!$B$16,DKW_10Y!$A$2:$A$2918,1)))*100))</f>
        <v/>
      </c>
      <c r="AB267" s="19">
        <f>IF(NOT(ISNUMBER($A267)),NA(),IF(OR($A267&lt;MIN(DKW_10Y!$A$2:$A$2918),$A267&gt;MAX(DKW_10Y!$A$2:$A$2918),Settings!$B$16&lt;MIN(DKW_10Y!$A$2:$A$2918)),NA(),(INDEX(DKW_10Y!$H$2:$H$2918,MATCH($A267,DKW_10Y!$A$2:$A$2918,1))-INDEX(DKW_10Y!$H$2:$H$2918,MATCH(Settings!$B$16,DKW_10Y!$A$2:$A$2918,1)))*100))</f>
        <v/>
      </c>
      <c r="AC267" s="18">
        <f>IF(NOT(ISNUMBER($A267)),NA(),IFERROR(1*INDEX(BBG_Data!$N$2:$N$4000,MATCH($A267,BBG_Data!$M$2:$M$4000,0)),NA()))</f>
        <v/>
      </c>
      <c r="AD267" s="18">
        <f>IF(NOT(ISNUMBER($A267)),NA(),IFERROR(1*INDEX(BBG_Data!$P$2:$P$4000,MATCH($A267,BBG_Data!$O$2:$O$4000,0)),NA()))</f>
        <v/>
      </c>
      <c r="AE267" s="18">
        <f>IF(NOT(ISNUMBER($A267)),NA(),IFERROR(1*INDEX(BBG_Data!$R$2:$R$4000,MATCH($A267,BBG_Data!$Q$2:$Q$4000,0)),NA()))</f>
        <v/>
      </c>
      <c r="AF267" s="20">
        <f>IF(AND(ISNUMBER(B267),ISNUMBER(AC267)),(B267-AC267)*100,NA())</f>
        <v/>
      </c>
      <c r="AG267" s="20">
        <f>IF(AND(ISNUMBER(AE267),ISNUMBER(AD267)),(AE267-AD267)*100,NA())</f>
        <v/>
      </c>
      <c r="AH267" s="19">
        <f>IF(NOT(ISNUMBER($A267)),NA(),IFERROR(INDEX(BBG_Data!$T$2:$T$4000,MATCH($A267,BBG_Data!$S$2:$S$4000,0))*Settings!$B$25,NA()))</f>
        <v/>
      </c>
      <c r="AI267" s="19">
        <f>IF(NOT(ISNUMBER($A267)),NA(),IFERROR(INDEX(BBG_Data!$V$2:$V$4000,MATCH($A267,BBG_Data!$U$2:$U$4000,0))*Settings!$B$25,NA()))</f>
        <v/>
      </c>
      <c r="AJ267" s="19">
        <f>IF(NOT(ISNUMBER($A267)),NA(),IFERROR(1*INDEX(BBG_Data!$X$2:$X$4000,MATCH($A267,BBG_Data!$W$2:$W$4000,0)),NA()))</f>
        <v/>
      </c>
      <c r="AK267" s="19">
        <f>IF(NOT(ISNUMBER($A267)),NA(),IFERROR(1*INDEX(BBG_Data!$Z$2:$Z$4000,MATCH($A267,BBG_Data!$Y$2:$Y$4000,0)),NA()))</f>
        <v/>
      </c>
    </row>
    <row r="268">
      <c r="A268" s="17">
        <f>IF(ISNUMBER(BBG_Data!A268),BBG_Data!A268,"")</f>
        <v/>
      </c>
      <c r="B268" s="18">
        <f>IF(AND(ISNUMBER($A268),ISNUMBER(BBG_Data!B268)),BBG_Data!B268,NA())</f>
        <v/>
      </c>
      <c r="C268" s="18">
        <f>IF(NOT(ISNUMBER($A268)),NA(),IFERROR(1*INDEX(BBG_Data!$D$2:$D$4000,MATCH($A268,BBG_Data!$C$2:$C$4000,0)),NA()))</f>
        <v/>
      </c>
      <c r="D268" s="19">
        <f>IF(NOT(ISNUMBER($A268)),NA(),IFERROR(1*INDEX(BBG_Data!$F$2:$F$4000,MATCH($A268,BBG_Data!$E$2:$E$4000,0)),NA()))</f>
        <v/>
      </c>
      <c r="E268" s="19">
        <f>IF(NOT(ISNUMBER($A268)),NA(),IFERROR(1*INDEX(BBG_Data!$H$2:$H$4000,MATCH($A268,BBG_Data!$G$2:$G$4000,0)),NA()))</f>
        <v/>
      </c>
      <c r="F268" s="20">
        <f>IF(AND(ISNUMBER(B268),ISNUMBER(B267)),IF(B268=B267,"",(B268-B267)*100),"")</f>
        <v/>
      </c>
      <c r="G268" s="20">
        <f>IF(AND(ISNUMBER(C268),ISNUMBER(C267)),IF(C268=C267,"",(C268-C267)*100),"")</f>
        <v/>
      </c>
      <c r="H268" s="20">
        <f>IF(OR(NOT(ISNUMBER($A268)),ROW()-2&lt;Settings!$B$11),NA(),IF(COUNT(OFFSET(F268,1-Settings!$B$11,0,Settings!$B$11,1))&lt;ROUNDUP(Settings!$B$11*Settings!$B$26,0),NA(),STDEV(OFFSET(F268,1-Settings!$B$11,0,Settings!$B$11,1))*SQRT(Settings!$B$13)))</f>
        <v/>
      </c>
      <c r="I268" s="20">
        <f>IF(OR(NOT(ISNUMBER($A268)),ROW()-2&lt;Settings!$B$12),NA(),IF(COUNT(OFFSET(F268,1-Settings!$B$12,0,Settings!$B$12,1))&lt;ROUNDUP(Settings!$B$12*Settings!$B$26,0),NA(),STDEV(OFFSET(F268,1-Settings!$B$12,0,Settings!$B$12,1))*SQRT(Settings!$B$13)))</f>
        <v/>
      </c>
      <c r="J268" s="20">
        <f>IF(OR(NOT(ISNUMBER($A268)),ROW()-2&lt;Settings!$B$11),NA(),IF(COUNT(OFFSET(G268,1-Settings!$B$11,0,Settings!$B$11,1))&lt;ROUNDUP(Settings!$B$11*Settings!$B$26,0),NA(),STDEV(OFFSET(G268,1-Settings!$B$11,0,Settings!$B$11,1))*SQRT(Settings!$B$13)))</f>
        <v/>
      </c>
      <c r="K268" s="20">
        <f>IF(OR(NOT(ISNUMBER($A268)),ROW()-2&lt;Settings!$B$12),NA(),IF(COUNT(OFFSET(G268,1-Settings!$B$12,0,Settings!$B$12,1))&lt;ROUNDUP(Settings!$B$12*Settings!$B$26,0),NA(),STDEV(OFFSET(G268,1-Settings!$B$12,0,Settings!$B$12,1))*SQRT(Settings!$B$13)))</f>
        <v/>
      </c>
      <c r="L268" s="20">
        <f>IF(AND(ISNUMBER(D268),ISNUMBER(H268)),D268-H268,NA())</f>
        <v/>
      </c>
      <c r="M268" s="20">
        <f>IF(AND(ISNUMBER(E268),ISNUMBER(K268)),E268-K268,NA())</f>
        <v/>
      </c>
      <c r="N268" s="20">
        <f>IF(NOT(ISNUMBER($A268)),NA(),IF(COUNT(OFFSET(G268,1,0,Settings!$B$12,1))&lt;ROUNDUP(Settings!$B$12*Settings!$B$26,0),NA(),STDEV(OFFSET(G268,1,0,Settings!$B$12,1))*SQRT(Settings!$B$13)))</f>
        <v/>
      </c>
      <c r="O268" s="20">
        <f>IF(AND(ISNUMBER(E268),ISNUMBER(N268)),E268-N268,NA())</f>
        <v/>
      </c>
      <c r="P268" s="19">
        <f>IF(NOT(ISNUMBER($A268)),NA(),IF(OR($A268&lt;MIN(KW_TP!$A$2:$A$2501),$A268&gt;MAX(KW_TP!$A$2:$A$2501)),NA(),INDEX(KW_TP!$C$2:$C$2501,MATCH($A268,KW_TP!$A$2:$A$2501,1))))</f>
        <v/>
      </c>
      <c r="Q268" s="18">
        <f>IF(NOT(ISNUMBER($A268)),NA(),IFERROR(1*INDEX(BBG_Data!$J$2:$J$4000,MATCH($A268,BBG_Data!$I$2:$I$4000,0)),NA()))</f>
        <v/>
      </c>
      <c r="R268" s="18">
        <f>IF(NOT(ISNUMBER($A268)),NA(),IFERROR(1*INDEX(BBG_Data!$L$2:$L$4000,MATCH($A268,BBG_Data!$K$2:$K$4000,0)),NA()))</f>
        <v/>
      </c>
      <c r="S268" s="20">
        <f>IF(AND(ISNUMBER(B268),ISNUMBER(Q268),ISNUMBER(R268)),(B268-Q268-R268)*100,NA())</f>
        <v/>
      </c>
      <c r="T268" s="20">
        <f>IF(AND(ISNUMBER(B268),Settings!$B$17&gt;0),IF(ISNUMBER(INDEX($B:$B,Settings!$B$17)),(B268-INDEX($B:$B,Settings!$B$17))*100,NA()),NA())</f>
        <v/>
      </c>
      <c r="U268" s="20">
        <f>IF(AND(ISNUMBER(Q268),Settings!$B$17&gt;0),IF(ISNUMBER(INDEX($Q:$Q,Settings!$B$17)),(Q268-INDEX($Q:$Q,Settings!$B$17))*100,NA()),NA())</f>
        <v/>
      </c>
      <c r="V268" s="20">
        <f>IF(AND(ISNUMBER(R268),Settings!$B$17&gt;0),IF(ISNUMBER(INDEX($R:$R,Settings!$B$17)),(R268-INDEX($R:$R,Settings!$B$17))*100,NA()),NA())</f>
        <v/>
      </c>
      <c r="W268" s="20">
        <f>IF(AND(ISNUMBER(P268),Settings!$B$17&gt;0),IF(ISNUMBER(INDEX($P:$P,Settings!$B$17)),P268-INDEX($P:$P,Settings!$B$17),NA()),NA())</f>
        <v/>
      </c>
      <c r="X268" s="19">
        <f>IF(NOT(ISNUMBER($A268)),NA(),IF(OR($A268&lt;MIN(DKW_10Y!$A$2:$A$2918),$A268&gt;MAX(DKW_10Y!$A$2:$A$2918),Settings!$B$16&lt;MIN(DKW_10Y!$A$2:$A$2918)),NA(),(INDEX(DKW_10Y!$B$2:$B$2918,MATCH($A268,DKW_10Y!$A$2:$A$2918,1))-INDEX(DKW_10Y!$B$2:$B$2918,MATCH(Settings!$B$16,DKW_10Y!$A$2:$A$2918,1)))*100))</f>
        <v/>
      </c>
      <c r="Y268" s="19">
        <f>IF(NOT(ISNUMBER($A268)),NA(),IF(OR($A268&lt;MIN(DKW_10Y!$A$2:$A$2918),$A268&gt;MAX(DKW_10Y!$A$2:$A$2918),Settings!$B$16&lt;MIN(DKW_10Y!$A$2:$A$2918)),NA(),(INDEX(DKW_10Y!$C$2:$C$2918,MATCH($A268,DKW_10Y!$A$2:$A$2918,1))-INDEX(DKW_10Y!$C$2:$C$2918,MATCH(Settings!$B$16,DKW_10Y!$A$2:$A$2918,1)))*100))</f>
        <v/>
      </c>
      <c r="Z268" s="19">
        <f>IF(NOT(ISNUMBER($A268)),NA(),IF(OR($A268&lt;MIN(DKW_10Y!$A$2:$A$2918),$A268&gt;MAX(DKW_10Y!$A$2:$A$2918),Settings!$B$16&lt;MIN(DKW_10Y!$A$2:$A$2918)),NA(),(INDEX(DKW_10Y!$D$2:$D$2918,MATCH($A268,DKW_10Y!$A$2:$A$2918,1))-INDEX(DKW_10Y!$D$2:$D$2918,MATCH(Settings!$B$16,DKW_10Y!$A$2:$A$2918,1)))*100))</f>
        <v/>
      </c>
      <c r="AA268" s="19">
        <f>IF(NOT(ISNUMBER($A268)),NA(),IF(OR($A268&lt;MIN(DKW_10Y!$A$2:$A$2918),$A268&gt;MAX(DKW_10Y!$A$2:$A$2918),Settings!$B$16&lt;MIN(DKW_10Y!$A$2:$A$2918)),NA(),(INDEX(DKW_10Y!$E$2:$E$2918,MATCH($A268,DKW_10Y!$A$2:$A$2918,1))-INDEX(DKW_10Y!$E$2:$E$2918,MATCH(Settings!$B$16,DKW_10Y!$A$2:$A$2918,1)))*100))</f>
        <v/>
      </c>
      <c r="AB268" s="19">
        <f>IF(NOT(ISNUMBER($A268)),NA(),IF(OR($A268&lt;MIN(DKW_10Y!$A$2:$A$2918),$A268&gt;MAX(DKW_10Y!$A$2:$A$2918),Settings!$B$16&lt;MIN(DKW_10Y!$A$2:$A$2918)),NA(),(INDEX(DKW_10Y!$H$2:$H$2918,MATCH($A268,DKW_10Y!$A$2:$A$2918,1))-INDEX(DKW_10Y!$H$2:$H$2918,MATCH(Settings!$B$16,DKW_10Y!$A$2:$A$2918,1)))*100))</f>
        <v/>
      </c>
      <c r="AC268" s="18">
        <f>IF(NOT(ISNUMBER($A268)),NA(),IFERROR(1*INDEX(BBG_Data!$N$2:$N$4000,MATCH($A268,BBG_Data!$M$2:$M$4000,0)),NA()))</f>
        <v/>
      </c>
      <c r="AD268" s="18">
        <f>IF(NOT(ISNUMBER($A268)),NA(),IFERROR(1*INDEX(BBG_Data!$P$2:$P$4000,MATCH($A268,BBG_Data!$O$2:$O$4000,0)),NA()))</f>
        <v/>
      </c>
      <c r="AE268" s="18">
        <f>IF(NOT(ISNUMBER($A268)),NA(),IFERROR(1*INDEX(BBG_Data!$R$2:$R$4000,MATCH($A268,BBG_Data!$Q$2:$Q$4000,0)),NA()))</f>
        <v/>
      </c>
      <c r="AF268" s="20">
        <f>IF(AND(ISNUMBER(B268),ISNUMBER(AC268)),(B268-AC268)*100,NA())</f>
        <v/>
      </c>
      <c r="AG268" s="20">
        <f>IF(AND(ISNUMBER(AE268),ISNUMBER(AD268)),(AE268-AD268)*100,NA())</f>
        <v/>
      </c>
      <c r="AH268" s="19">
        <f>IF(NOT(ISNUMBER($A268)),NA(),IFERROR(INDEX(BBG_Data!$T$2:$T$4000,MATCH($A268,BBG_Data!$S$2:$S$4000,0))*Settings!$B$25,NA()))</f>
        <v/>
      </c>
      <c r="AI268" s="19">
        <f>IF(NOT(ISNUMBER($A268)),NA(),IFERROR(INDEX(BBG_Data!$V$2:$V$4000,MATCH($A268,BBG_Data!$U$2:$U$4000,0))*Settings!$B$25,NA()))</f>
        <v/>
      </c>
      <c r="AJ268" s="19">
        <f>IF(NOT(ISNUMBER($A268)),NA(),IFERROR(1*INDEX(BBG_Data!$X$2:$X$4000,MATCH($A268,BBG_Data!$W$2:$W$4000,0)),NA()))</f>
        <v/>
      </c>
      <c r="AK268" s="19">
        <f>IF(NOT(ISNUMBER($A268)),NA(),IFERROR(1*INDEX(BBG_Data!$Z$2:$Z$4000,MATCH($A268,BBG_Data!$Y$2:$Y$4000,0)),NA()))</f>
        <v/>
      </c>
    </row>
    <row r="269">
      <c r="A269" s="17">
        <f>IF(ISNUMBER(BBG_Data!A269),BBG_Data!A269,"")</f>
        <v/>
      </c>
      <c r="B269" s="18">
        <f>IF(AND(ISNUMBER($A269),ISNUMBER(BBG_Data!B269)),BBG_Data!B269,NA())</f>
        <v/>
      </c>
      <c r="C269" s="18">
        <f>IF(NOT(ISNUMBER($A269)),NA(),IFERROR(1*INDEX(BBG_Data!$D$2:$D$4000,MATCH($A269,BBG_Data!$C$2:$C$4000,0)),NA()))</f>
        <v/>
      </c>
      <c r="D269" s="19">
        <f>IF(NOT(ISNUMBER($A269)),NA(),IFERROR(1*INDEX(BBG_Data!$F$2:$F$4000,MATCH($A269,BBG_Data!$E$2:$E$4000,0)),NA()))</f>
        <v/>
      </c>
      <c r="E269" s="19">
        <f>IF(NOT(ISNUMBER($A269)),NA(),IFERROR(1*INDEX(BBG_Data!$H$2:$H$4000,MATCH($A269,BBG_Data!$G$2:$G$4000,0)),NA()))</f>
        <v/>
      </c>
      <c r="F269" s="20">
        <f>IF(AND(ISNUMBER(B269),ISNUMBER(B268)),IF(B269=B268,"",(B269-B268)*100),"")</f>
        <v/>
      </c>
      <c r="G269" s="20">
        <f>IF(AND(ISNUMBER(C269),ISNUMBER(C268)),IF(C269=C268,"",(C269-C268)*100),"")</f>
        <v/>
      </c>
      <c r="H269" s="20">
        <f>IF(OR(NOT(ISNUMBER($A269)),ROW()-2&lt;Settings!$B$11),NA(),IF(COUNT(OFFSET(F269,1-Settings!$B$11,0,Settings!$B$11,1))&lt;ROUNDUP(Settings!$B$11*Settings!$B$26,0),NA(),STDEV(OFFSET(F269,1-Settings!$B$11,0,Settings!$B$11,1))*SQRT(Settings!$B$13)))</f>
        <v/>
      </c>
      <c r="I269" s="20">
        <f>IF(OR(NOT(ISNUMBER($A269)),ROW()-2&lt;Settings!$B$12),NA(),IF(COUNT(OFFSET(F269,1-Settings!$B$12,0,Settings!$B$12,1))&lt;ROUNDUP(Settings!$B$12*Settings!$B$26,0),NA(),STDEV(OFFSET(F269,1-Settings!$B$12,0,Settings!$B$12,1))*SQRT(Settings!$B$13)))</f>
        <v/>
      </c>
      <c r="J269" s="20">
        <f>IF(OR(NOT(ISNUMBER($A269)),ROW()-2&lt;Settings!$B$11),NA(),IF(COUNT(OFFSET(G269,1-Settings!$B$11,0,Settings!$B$11,1))&lt;ROUNDUP(Settings!$B$11*Settings!$B$26,0),NA(),STDEV(OFFSET(G269,1-Settings!$B$11,0,Settings!$B$11,1))*SQRT(Settings!$B$13)))</f>
        <v/>
      </c>
      <c r="K269" s="20">
        <f>IF(OR(NOT(ISNUMBER($A269)),ROW()-2&lt;Settings!$B$12),NA(),IF(COUNT(OFFSET(G269,1-Settings!$B$12,0,Settings!$B$12,1))&lt;ROUNDUP(Settings!$B$12*Settings!$B$26,0),NA(),STDEV(OFFSET(G269,1-Settings!$B$12,0,Settings!$B$12,1))*SQRT(Settings!$B$13)))</f>
        <v/>
      </c>
      <c r="L269" s="20">
        <f>IF(AND(ISNUMBER(D269),ISNUMBER(H269)),D269-H269,NA())</f>
        <v/>
      </c>
      <c r="M269" s="20">
        <f>IF(AND(ISNUMBER(E269),ISNUMBER(K269)),E269-K269,NA())</f>
        <v/>
      </c>
      <c r="N269" s="20">
        <f>IF(NOT(ISNUMBER($A269)),NA(),IF(COUNT(OFFSET(G269,1,0,Settings!$B$12,1))&lt;ROUNDUP(Settings!$B$12*Settings!$B$26,0),NA(),STDEV(OFFSET(G269,1,0,Settings!$B$12,1))*SQRT(Settings!$B$13)))</f>
        <v/>
      </c>
      <c r="O269" s="20">
        <f>IF(AND(ISNUMBER(E269),ISNUMBER(N269)),E269-N269,NA())</f>
        <v/>
      </c>
      <c r="P269" s="19">
        <f>IF(NOT(ISNUMBER($A269)),NA(),IF(OR($A269&lt;MIN(KW_TP!$A$2:$A$2501),$A269&gt;MAX(KW_TP!$A$2:$A$2501)),NA(),INDEX(KW_TP!$C$2:$C$2501,MATCH($A269,KW_TP!$A$2:$A$2501,1))))</f>
        <v/>
      </c>
      <c r="Q269" s="18">
        <f>IF(NOT(ISNUMBER($A269)),NA(),IFERROR(1*INDEX(BBG_Data!$J$2:$J$4000,MATCH($A269,BBG_Data!$I$2:$I$4000,0)),NA()))</f>
        <v/>
      </c>
      <c r="R269" s="18">
        <f>IF(NOT(ISNUMBER($A269)),NA(),IFERROR(1*INDEX(BBG_Data!$L$2:$L$4000,MATCH($A269,BBG_Data!$K$2:$K$4000,0)),NA()))</f>
        <v/>
      </c>
      <c r="S269" s="20">
        <f>IF(AND(ISNUMBER(B269),ISNUMBER(Q269),ISNUMBER(R269)),(B269-Q269-R269)*100,NA())</f>
        <v/>
      </c>
      <c r="T269" s="20">
        <f>IF(AND(ISNUMBER(B269),Settings!$B$17&gt;0),IF(ISNUMBER(INDEX($B:$B,Settings!$B$17)),(B269-INDEX($B:$B,Settings!$B$17))*100,NA()),NA())</f>
        <v/>
      </c>
      <c r="U269" s="20">
        <f>IF(AND(ISNUMBER(Q269),Settings!$B$17&gt;0),IF(ISNUMBER(INDEX($Q:$Q,Settings!$B$17)),(Q269-INDEX($Q:$Q,Settings!$B$17))*100,NA()),NA())</f>
        <v/>
      </c>
      <c r="V269" s="20">
        <f>IF(AND(ISNUMBER(R269),Settings!$B$17&gt;0),IF(ISNUMBER(INDEX($R:$R,Settings!$B$17)),(R269-INDEX($R:$R,Settings!$B$17))*100,NA()),NA())</f>
        <v/>
      </c>
      <c r="W269" s="20">
        <f>IF(AND(ISNUMBER(P269),Settings!$B$17&gt;0),IF(ISNUMBER(INDEX($P:$P,Settings!$B$17)),P269-INDEX($P:$P,Settings!$B$17),NA()),NA())</f>
        <v/>
      </c>
      <c r="X269" s="19">
        <f>IF(NOT(ISNUMBER($A269)),NA(),IF(OR($A269&lt;MIN(DKW_10Y!$A$2:$A$2918),$A269&gt;MAX(DKW_10Y!$A$2:$A$2918),Settings!$B$16&lt;MIN(DKW_10Y!$A$2:$A$2918)),NA(),(INDEX(DKW_10Y!$B$2:$B$2918,MATCH($A269,DKW_10Y!$A$2:$A$2918,1))-INDEX(DKW_10Y!$B$2:$B$2918,MATCH(Settings!$B$16,DKW_10Y!$A$2:$A$2918,1)))*100))</f>
        <v/>
      </c>
      <c r="Y269" s="19">
        <f>IF(NOT(ISNUMBER($A269)),NA(),IF(OR($A269&lt;MIN(DKW_10Y!$A$2:$A$2918),$A269&gt;MAX(DKW_10Y!$A$2:$A$2918),Settings!$B$16&lt;MIN(DKW_10Y!$A$2:$A$2918)),NA(),(INDEX(DKW_10Y!$C$2:$C$2918,MATCH($A269,DKW_10Y!$A$2:$A$2918,1))-INDEX(DKW_10Y!$C$2:$C$2918,MATCH(Settings!$B$16,DKW_10Y!$A$2:$A$2918,1)))*100))</f>
        <v/>
      </c>
      <c r="Z269" s="19">
        <f>IF(NOT(ISNUMBER($A269)),NA(),IF(OR($A269&lt;MIN(DKW_10Y!$A$2:$A$2918),$A269&gt;MAX(DKW_10Y!$A$2:$A$2918),Settings!$B$16&lt;MIN(DKW_10Y!$A$2:$A$2918)),NA(),(INDEX(DKW_10Y!$D$2:$D$2918,MATCH($A269,DKW_10Y!$A$2:$A$2918,1))-INDEX(DKW_10Y!$D$2:$D$2918,MATCH(Settings!$B$16,DKW_10Y!$A$2:$A$2918,1)))*100))</f>
        <v/>
      </c>
      <c r="AA269" s="19">
        <f>IF(NOT(ISNUMBER($A269)),NA(),IF(OR($A269&lt;MIN(DKW_10Y!$A$2:$A$2918),$A269&gt;MAX(DKW_10Y!$A$2:$A$2918),Settings!$B$16&lt;MIN(DKW_10Y!$A$2:$A$2918)),NA(),(INDEX(DKW_10Y!$E$2:$E$2918,MATCH($A269,DKW_10Y!$A$2:$A$2918,1))-INDEX(DKW_10Y!$E$2:$E$2918,MATCH(Settings!$B$16,DKW_10Y!$A$2:$A$2918,1)))*100))</f>
        <v/>
      </c>
      <c r="AB269" s="19">
        <f>IF(NOT(ISNUMBER($A269)),NA(),IF(OR($A269&lt;MIN(DKW_10Y!$A$2:$A$2918),$A269&gt;MAX(DKW_10Y!$A$2:$A$2918),Settings!$B$16&lt;MIN(DKW_10Y!$A$2:$A$2918)),NA(),(INDEX(DKW_10Y!$H$2:$H$2918,MATCH($A269,DKW_10Y!$A$2:$A$2918,1))-INDEX(DKW_10Y!$H$2:$H$2918,MATCH(Settings!$B$16,DKW_10Y!$A$2:$A$2918,1)))*100))</f>
        <v/>
      </c>
      <c r="AC269" s="18">
        <f>IF(NOT(ISNUMBER($A269)),NA(),IFERROR(1*INDEX(BBG_Data!$N$2:$N$4000,MATCH($A269,BBG_Data!$M$2:$M$4000,0)),NA()))</f>
        <v/>
      </c>
      <c r="AD269" s="18">
        <f>IF(NOT(ISNUMBER($A269)),NA(),IFERROR(1*INDEX(BBG_Data!$P$2:$P$4000,MATCH($A269,BBG_Data!$O$2:$O$4000,0)),NA()))</f>
        <v/>
      </c>
      <c r="AE269" s="18">
        <f>IF(NOT(ISNUMBER($A269)),NA(),IFERROR(1*INDEX(BBG_Data!$R$2:$R$4000,MATCH($A269,BBG_Data!$Q$2:$Q$4000,0)),NA()))</f>
        <v/>
      </c>
      <c r="AF269" s="20">
        <f>IF(AND(ISNUMBER(B269),ISNUMBER(AC269)),(B269-AC269)*100,NA())</f>
        <v/>
      </c>
      <c r="AG269" s="20">
        <f>IF(AND(ISNUMBER(AE269),ISNUMBER(AD269)),(AE269-AD269)*100,NA())</f>
        <v/>
      </c>
      <c r="AH269" s="19">
        <f>IF(NOT(ISNUMBER($A269)),NA(),IFERROR(INDEX(BBG_Data!$T$2:$T$4000,MATCH($A269,BBG_Data!$S$2:$S$4000,0))*Settings!$B$25,NA()))</f>
        <v/>
      </c>
      <c r="AI269" s="19">
        <f>IF(NOT(ISNUMBER($A269)),NA(),IFERROR(INDEX(BBG_Data!$V$2:$V$4000,MATCH($A269,BBG_Data!$U$2:$U$4000,0))*Settings!$B$25,NA()))</f>
        <v/>
      </c>
      <c r="AJ269" s="19">
        <f>IF(NOT(ISNUMBER($A269)),NA(),IFERROR(1*INDEX(BBG_Data!$X$2:$X$4000,MATCH($A269,BBG_Data!$W$2:$W$4000,0)),NA()))</f>
        <v/>
      </c>
      <c r="AK269" s="19">
        <f>IF(NOT(ISNUMBER($A269)),NA(),IFERROR(1*INDEX(BBG_Data!$Z$2:$Z$4000,MATCH($A269,BBG_Data!$Y$2:$Y$4000,0)),NA()))</f>
        <v/>
      </c>
    </row>
    <row r="270">
      <c r="A270" s="17">
        <f>IF(ISNUMBER(BBG_Data!A270),BBG_Data!A270,"")</f>
        <v/>
      </c>
      <c r="B270" s="18">
        <f>IF(AND(ISNUMBER($A270),ISNUMBER(BBG_Data!B270)),BBG_Data!B270,NA())</f>
        <v/>
      </c>
      <c r="C270" s="18">
        <f>IF(NOT(ISNUMBER($A270)),NA(),IFERROR(1*INDEX(BBG_Data!$D$2:$D$4000,MATCH($A270,BBG_Data!$C$2:$C$4000,0)),NA()))</f>
        <v/>
      </c>
      <c r="D270" s="19">
        <f>IF(NOT(ISNUMBER($A270)),NA(),IFERROR(1*INDEX(BBG_Data!$F$2:$F$4000,MATCH($A270,BBG_Data!$E$2:$E$4000,0)),NA()))</f>
        <v/>
      </c>
      <c r="E270" s="19">
        <f>IF(NOT(ISNUMBER($A270)),NA(),IFERROR(1*INDEX(BBG_Data!$H$2:$H$4000,MATCH($A270,BBG_Data!$G$2:$G$4000,0)),NA()))</f>
        <v/>
      </c>
      <c r="F270" s="20">
        <f>IF(AND(ISNUMBER(B270),ISNUMBER(B269)),IF(B270=B269,"",(B270-B269)*100),"")</f>
        <v/>
      </c>
      <c r="G270" s="20">
        <f>IF(AND(ISNUMBER(C270),ISNUMBER(C269)),IF(C270=C269,"",(C270-C269)*100),"")</f>
        <v/>
      </c>
      <c r="H270" s="20">
        <f>IF(OR(NOT(ISNUMBER($A270)),ROW()-2&lt;Settings!$B$11),NA(),IF(COUNT(OFFSET(F270,1-Settings!$B$11,0,Settings!$B$11,1))&lt;ROUNDUP(Settings!$B$11*Settings!$B$26,0),NA(),STDEV(OFFSET(F270,1-Settings!$B$11,0,Settings!$B$11,1))*SQRT(Settings!$B$13)))</f>
        <v/>
      </c>
      <c r="I270" s="20">
        <f>IF(OR(NOT(ISNUMBER($A270)),ROW()-2&lt;Settings!$B$12),NA(),IF(COUNT(OFFSET(F270,1-Settings!$B$12,0,Settings!$B$12,1))&lt;ROUNDUP(Settings!$B$12*Settings!$B$26,0),NA(),STDEV(OFFSET(F270,1-Settings!$B$12,0,Settings!$B$12,1))*SQRT(Settings!$B$13)))</f>
        <v/>
      </c>
      <c r="J270" s="20">
        <f>IF(OR(NOT(ISNUMBER($A270)),ROW()-2&lt;Settings!$B$11),NA(),IF(COUNT(OFFSET(G270,1-Settings!$B$11,0,Settings!$B$11,1))&lt;ROUNDUP(Settings!$B$11*Settings!$B$26,0),NA(),STDEV(OFFSET(G270,1-Settings!$B$11,0,Settings!$B$11,1))*SQRT(Settings!$B$13)))</f>
        <v/>
      </c>
      <c r="K270" s="20">
        <f>IF(OR(NOT(ISNUMBER($A270)),ROW()-2&lt;Settings!$B$12),NA(),IF(COUNT(OFFSET(G270,1-Settings!$B$12,0,Settings!$B$12,1))&lt;ROUNDUP(Settings!$B$12*Settings!$B$26,0),NA(),STDEV(OFFSET(G270,1-Settings!$B$12,0,Settings!$B$12,1))*SQRT(Settings!$B$13)))</f>
        <v/>
      </c>
      <c r="L270" s="20">
        <f>IF(AND(ISNUMBER(D270),ISNUMBER(H270)),D270-H270,NA())</f>
        <v/>
      </c>
      <c r="M270" s="20">
        <f>IF(AND(ISNUMBER(E270),ISNUMBER(K270)),E270-K270,NA())</f>
        <v/>
      </c>
      <c r="N270" s="20">
        <f>IF(NOT(ISNUMBER($A270)),NA(),IF(COUNT(OFFSET(G270,1,0,Settings!$B$12,1))&lt;ROUNDUP(Settings!$B$12*Settings!$B$26,0),NA(),STDEV(OFFSET(G270,1,0,Settings!$B$12,1))*SQRT(Settings!$B$13)))</f>
        <v/>
      </c>
      <c r="O270" s="20">
        <f>IF(AND(ISNUMBER(E270),ISNUMBER(N270)),E270-N270,NA())</f>
        <v/>
      </c>
      <c r="P270" s="19">
        <f>IF(NOT(ISNUMBER($A270)),NA(),IF(OR($A270&lt;MIN(KW_TP!$A$2:$A$2501),$A270&gt;MAX(KW_TP!$A$2:$A$2501)),NA(),INDEX(KW_TP!$C$2:$C$2501,MATCH($A270,KW_TP!$A$2:$A$2501,1))))</f>
        <v/>
      </c>
      <c r="Q270" s="18">
        <f>IF(NOT(ISNUMBER($A270)),NA(),IFERROR(1*INDEX(BBG_Data!$J$2:$J$4000,MATCH($A270,BBG_Data!$I$2:$I$4000,0)),NA()))</f>
        <v/>
      </c>
      <c r="R270" s="18">
        <f>IF(NOT(ISNUMBER($A270)),NA(),IFERROR(1*INDEX(BBG_Data!$L$2:$L$4000,MATCH($A270,BBG_Data!$K$2:$K$4000,0)),NA()))</f>
        <v/>
      </c>
      <c r="S270" s="20">
        <f>IF(AND(ISNUMBER(B270),ISNUMBER(Q270),ISNUMBER(R270)),(B270-Q270-R270)*100,NA())</f>
        <v/>
      </c>
      <c r="T270" s="20">
        <f>IF(AND(ISNUMBER(B270),Settings!$B$17&gt;0),IF(ISNUMBER(INDEX($B:$B,Settings!$B$17)),(B270-INDEX($B:$B,Settings!$B$17))*100,NA()),NA())</f>
        <v/>
      </c>
      <c r="U270" s="20">
        <f>IF(AND(ISNUMBER(Q270),Settings!$B$17&gt;0),IF(ISNUMBER(INDEX($Q:$Q,Settings!$B$17)),(Q270-INDEX($Q:$Q,Settings!$B$17))*100,NA()),NA())</f>
        <v/>
      </c>
      <c r="V270" s="20">
        <f>IF(AND(ISNUMBER(R270),Settings!$B$17&gt;0),IF(ISNUMBER(INDEX($R:$R,Settings!$B$17)),(R270-INDEX($R:$R,Settings!$B$17))*100,NA()),NA())</f>
        <v/>
      </c>
      <c r="W270" s="20">
        <f>IF(AND(ISNUMBER(P270),Settings!$B$17&gt;0),IF(ISNUMBER(INDEX($P:$P,Settings!$B$17)),P270-INDEX($P:$P,Settings!$B$17),NA()),NA())</f>
        <v/>
      </c>
      <c r="X270" s="19">
        <f>IF(NOT(ISNUMBER($A270)),NA(),IF(OR($A270&lt;MIN(DKW_10Y!$A$2:$A$2918),$A270&gt;MAX(DKW_10Y!$A$2:$A$2918),Settings!$B$16&lt;MIN(DKW_10Y!$A$2:$A$2918)),NA(),(INDEX(DKW_10Y!$B$2:$B$2918,MATCH($A270,DKW_10Y!$A$2:$A$2918,1))-INDEX(DKW_10Y!$B$2:$B$2918,MATCH(Settings!$B$16,DKW_10Y!$A$2:$A$2918,1)))*100))</f>
        <v/>
      </c>
      <c r="Y270" s="19">
        <f>IF(NOT(ISNUMBER($A270)),NA(),IF(OR($A270&lt;MIN(DKW_10Y!$A$2:$A$2918),$A270&gt;MAX(DKW_10Y!$A$2:$A$2918),Settings!$B$16&lt;MIN(DKW_10Y!$A$2:$A$2918)),NA(),(INDEX(DKW_10Y!$C$2:$C$2918,MATCH($A270,DKW_10Y!$A$2:$A$2918,1))-INDEX(DKW_10Y!$C$2:$C$2918,MATCH(Settings!$B$16,DKW_10Y!$A$2:$A$2918,1)))*100))</f>
        <v/>
      </c>
      <c r="Z270" s="19">
        <f>IF(NOT(ISNUMBER($A270)),NA(),IF(OR($A270&lt;MIN(DKW_10Y!$A$2:$A$2918),$A270&gt;MAX(DKW_10Y!$A$2:$A$2918),Settings!$B$16&lt;MIN(DKW_10Y!$A$2:$A$2918)),NA(),(INDEX(DKW_10Y!$D$2:$D$2918,MATCH($A270,DKW_10Y!$A$2:$A$2918,1))-INDEX(DKW_10Y!$D$2:$D$2918,MATCH(Settings!$B$16,DKW_10Y!$A$2:$A$2918,1)))*100))</f>
        <v/>
      </c>
      <c r="AA270" s="19">
        <f>IF(NOT(ISNUMBER($A270)),NA(),IF(OR($A270&lt;MIN(DKW_10Y!$A$2:$A$2918),$A270&gt;MAX(DKW_10Y!$A$2:$A$2918),Settings!$B$16&lt;MIN(DKW_10Y!$A$2:$A$2918)),NA(),(INDEX(DKW_10Y!$E$2:$E$2918,MATCH($A270,DKW_10Y!$A$2:$A$2918,1))-INDEX(DKW_10Y!$E$2:$E$2918,MATCH(Settings!$B$16,DKW_10Y!$A$2:$A$2918,1)))*100))</f>
        <v/>
      </c>
      <c r="AB270" s="19">
        <f>IF(NOT(ISNUMBER($A270)),NA(),IF(OR($A270&lt;MIN(DKW_10Y!$A$2:$A$2918),$A270&gt;MAX(DKW_10Y!$A$2:$A$2918),Settings!$B$16&lt;MIN(DKW_10Y!$A$2:$A$2918)),NA(),(INDEX(DKW_10Y!$H$2:$H$2918,MATCH($A270,DKW_10Y!$A$2:$A$2918,1))-INDEX(DKW_10Y!$H$2:$H$2918,MATCH(Settings!$B$16,DKW_10Y!$A$2:$A$2918,1)))*100))</f>
        <v/>
      </c>
      <c r="AC270" s="18">
        <f>IF(NOT(ISNUMBER($A270)),NA(),IFERROR(1*INDEX(BBG_Data!$N$2:$N$4000,MATCH($A270,BBG_Data!$M$2:$M$4000,0)),NA()))</f>
        <v/>
      </c>
      <c r="AD270" s="18">
        <f>IF(NOT(ISNUMBER($A270)),NA(),IFERROR(1*INDEX(BBG_Data!$P$2:$P$4000,MATCH($A270,BBG_Data!$O$2:$O$4000,0)),NA()))</f>
        <v/>
      </c>
      <c r="AE270" s="18">
        <f>IF(NOT(ISNUMBER($A270)),NA(),IFERROR(1*INDEX(BBG_Data!$R$2:$R$4000,MATCH($A270,BBG_Data!$Q$2:$Q$4000,0)),NA()))</f>
        <v/>
      </c>
      <c r="AF270" s="20">
        <f>IF(AND(ISNUMBER(B270),ISNUMBER(AC270)),(B270-AC270)*100,NA())</f>
        <v/>
      </c>
      <c r="AG270" s="20">
        <f>IF(AND(ISNUMBER(AE270),ISNUMBER(AD270)),(AE270-AD270)*100,NA())</f>
        <v/>
      </c>
      <c r="AH270" s="19">
        <f>IF(NOT(ISNUMBER($A270)),NA(),IFERROR(INDEX(BBG_Data!$T$2:$T$4000,MATCH($A270,BBG_Data!$S$2:$S$4000,0))*Settings!$B$25,NA()))</f>
        <v/>
      </c>
      <c r="AI270" s="19">
        <f>IF(NOT(ISNUMBER($A270)),NA(),IFERROR(INDEX(BBG_Data!$V$2:$V$4000,MATCH($A270,BBG_Data!$U$2:$U$4000,0))*Settings!$B$25,NA()))</f>
        <v/>
      </c>
      <c r="AJ270" s="19">
        <f>IF(NOT(ISNUMBER($A270)),NA(),IFERROR(1*INDEX(BBG_Data!$X$2:$X$4000,MATCH($A270,BBG_Data!$W$2:$W$4000,0)),NA()))</f>
        <v/>
      </c>
      <c r="AK270" s="19">
        <f>IF(NOT(ISNUMBER($A270)),NA(),IFERROR(1*INDEX(BBG_Data!$Z$2:$Z$4000,MATCH($A270,BBG_Data!$Y$2:$Y$4000,0)),NA()))</f>
        <v/>
      </c>
    </row>
    <row r="271">
      <c r="A271" s="17">
        <f>IF(ISNUMBER(BBG_Data!A271),BBG_Data!A271,"")</f>
        <v/>
      </c>
      <c r="B271" s="18">
        <f>IF(AND(ISNUMBER($A271),ISNUMBER(BBG_Data!B271)),BBG_Data!B271,NA())</f>
        <v/>
      </c>
      <c r="C271" s="18">
        <f>IF(NOT(ISNUMBER($A271)),NA(),IFERROR(1*INDEX(BBG_Data!$D$2:$D$4000,MATCH($A271,BBG_Data!$C$2:$C$4000,0)),NA()))</f>
        <v/>
      </c>
      <c r="D271" s="19">
        <f>IF(NOT(ISNUMBER($A271)),NA(),IFERROR(1*INDEX(BBG_Data!$F$2:$F$4000,MATCH($A271,BBG_Data!$E$2:$E$4000,0)),NA()))</f>
        <v/>
      </c>
      <c r="E271" s="19">
        <f>IF(NOT(ISNUMBER($A271)),NA(),IFERROR(1*INDEX(BBG_Data!$H$2:$H$4000,MATCH($A271,BBG_Data!$G$2:$G$4000,0)),NA()))</f>
        <v/>
      </c>
      <c r="F271" s="20">
        <f>IF(AND(ISNUMBER(B271),ISNUMBER(B270)),IF(B271=B270,"",(B271-B270)*100),"")</f>
        <v/>
      </c>
      <c r="G271" s="20">
        <f>IF(AND(ISNUMBER(C271),ISNUMBER(C270)),IF(C271=C270,"",(C271-C270)*100),"")</f>
        <v/>
      </c>
      <c r="H271" s="20">
        <f>IF(OR(NOT(ISNUMBER($A271)),ROW()-2&lt;Settings!$B$11),NA(),IF(COUNT(OFFSET(F271,1-Settings!$B$11,0,Settings!$B$11,1))&lt;ROUNDUP(Settings!$B$11*Settings!$B$26,0),NA(),STDEV(OFFSET(F271,1-Settings!$B$11,0,Settings!$B$11,1))*SQRT(Settings!$B$13)))</f>
        <v/>
      </c>
      <c r="I271" s="20">
        <f>IF(OR(NOT(ISNUMBER($A271)),ROW()-2&lt;Settings!$B$12),NA(),IF(COUNT(OFFSET(F271,1-Settings!$B$12,0,Settings!$B$12,1))&lt;ROUNDUP(Settings!$B$12*Settings!$B$26,0),NA(),STDEV(OFFSET(F271,1-Settings!$B$12,0,Settings!$B$12,1))*SQRT(Settings!$B$13)))</f>
        <v/>
      </c>
      <c r="J271" s="20">
        <f>IF(OR(NOT(ISNUMBER($A271)),ROW()-2&lt;Settings!$B$11),NA(),IF(COUNT(OFFSET(G271,1-Settings!$B$11,0,Settings!$B$11,1))&lt;ROUNDUP(Settings!$B$11*Settings!$B$26,0),NA(),STDEV(OFFSET(G271,1-Settings!$B$11,0,Settings!$B$11,1))*SQRT(Settings!$B$13)))</f>
        <v/>
      </c>
      <c r="K271" s="20">
        <f>IF(OR(NOT(ISNUMBER($A271)),ROW()-2&lt;Settings!$B$12),NA(),IF(COUNT(OFFSET(G271,1-Settings!$B$12,0,Settings!$B$12,1))&lt;ROUNDUP(Settings!$B$12*Settings!$B$26,0),NA(),STDEV(OFFSET(G271,1-Settings!$B$12,0,Settings!$B$12,1))*SQRT(Settings!$B$13)))</f>
        <v/>
      </c>
      <c r="L271" s="20">
        <f>IF(AND(ISNUMBER(D271),ISNUMBER(H271)),D271-H271,NA())</f>
        <v/>
      </c>
      <c r="M271" s="20">
        <f>IF(AND(ISNUMBER(E271),ISNUMBER(K271)),E271-K271,NA())</f>
        <v/>
      </c>
      <c r="N271" s="20">
        <f>IF(NOT(ISNUMBER($A271)),NA(),IF(COUNT(OFFSET(G271,1,0,Settings!$B$12,1))&lt;ROUNDUP(Settings!$B$12*Settings!$B$26,0),NA(),STDEV(OFFSET(G271,1,0,Settings!$B$12,1))*SQRT(Settings!$B$13)))</f>
        <v/>
      </c>
      <c r="O271" s="20">
        <f>IF(AND(ISNUMBER(E271),ISNUMBER(N271)),E271-N271,NA())</f>
        <v/>
      </c>
      <c r="P271" s="19">
        <f>IF(NOT(ISNUMBER($A271)),NA(),IF(OR($A271&lt;MIN(KW_TP!$A$2:$A$2501),$A271&gt;MAX(KW_TP!$A$2:$A$2501)),NA(),INDEX(KW_TP!$C$2:$C$2501,MATCH($A271,KW_TP!$A$2:$A$2501,1))))</f>
        <v/>
      </c>
      <c r="Q271" s="18">
        <f>IF(NOT(ISNUMBER($A271)),NA(),IFERROR(1*INDEX(BBG_Data!$J$2:$J$4000,MATCH($A271,BBG_Data!$I$2:$I$4000,0)),NA()))</f>
        <v/>
      </c>
      <c r="R271" s="18">
        <f>IF(NOT(ISNUMBER($A271)),NA(),IFERROR(1*INDEX(BBG_Data!$L$2:$L$4000,MATCH($A271,BBG_Data!$K$2:$K$4000,0)),NA()))</f>
        <v/>
      </c>
      <c r="S271" s="20">
        <f>IF(AND(ISNUMBER(B271),ISNUMBER(Q271),ISNUMBER(R271)),(B271-Q271-R271)*100,NA())</f>
        <v/>
      </c>
      <c r="T271" s="20">
        <f>IF(AND(ISNUMBER(B271),Settings!$B$17&gt;0),IF(ISNUMBER(INDEX($B:$B,Settings!$B$17)),(B271-INDEX($B:$B,Settings!$B$17))*100,NA()),NA())</f>
        <v/>
      </c>
      <c r="U271" s="20">
        <f>IF(AND(ISNUMBER(Q271),Settings!$B$17&gt;0),IF(ISNUMBER(INDEX($Q:$Q,Settings!$B$17)),(Q271-INDEX($Q:$Q,Settings!$B$17))*100,NA()),NA())</f>
        <v/>
      </c>
      <c r="V271" s="20">
        <f>IF(AND(ISNUMBER(R271),Settings!$B$17&gt;0),IF(ISNUMBER(INDEX($R:$R,Settings!$B$17)),(R271-INDEX($R:$R,Settings!$B$17))*100,NA()),NA())</f>
        <v/>
      </c>
      <c r="W271" s="20">
        <f>IF(AND(ISNUMBER(P271),Settings!$B$17&gt;0),IF(ISNUMBER(INDEX($P:$P,Settings!$B$17)),P271-INDEX($P:$P,Settings!$B$17),NA()),NA())</f>
        <v/>
      </c>
      <c r="X271" s="19">
        <f>IF(NOT(ISNUMBER($A271)),NA(),IF(OR($A271&lt;MIN(DKW_10Y!$A$2:$A$2918),$A271&gt;MAX(DKW_10Y!$A$2:$A$2918),Settings!$B$16&lt;MIN(DKW_10Y!$A$2:$A$2918)),NA(),(INDEX(DKW_10Y!$B$2:$B$2918,MATCH($A271,DKW_10Y!$A$2:$A$2918,1))-INDEX(DKW_10Y!$B$2:$B$2918,MATCH(Settings!$B$16,DKW_10Y!$A$2:$A$2918,1)))*100))</f>
        <v/>
      </c>
      <c r="Y271" s="19">
        <f>IF(NOT(ISNUMBER($A271)),NA(),IF(OR($A271&lt;MIN(DKW_10Y!$A$2:$A$2918),$A271&gt;MAX(DKW_10Y!$A$2:$A$2918),Settings!$B$16&lt;MIN(DKW_10Y!$A$2:$A$2918)),NA(),(INDEX(DKW_10Y!$C$2:$C$2918,MATCH($A271,DKW_10Y!$A$2:$A$2918,1))-INDEX(DKW_10Y!$C$2:$C$2918,MATCH(Settings!$B$16,DKW_10Y!$A$2:$A$2918,1)))*100))</f>
        <v/>
      </c>
      <c r="Z271" s="19">
        <f>IF(NOT(ISNUMBER($A271)),NA(),IF(OR($A271&lt;MIN(DKW_10Y!$A$2:$A$2918),$A271&gt;MAX(DKW_10Y!$A$2:$A$2918),Settings!$B$16&lt;MIN(DKW_10Y!$A$2:$A$2918)),NA(),(INDEX(DKW_10Y!$D$2:$D$2918,MATCH($A271,DKW_10Y!$A$2:$A$2918,1))-INDEX(DKW_10Y!$D$2:$D$2918,MATCH(Settings!$B$16,DKW_10Y!$A$2:$A$2918,1)))*100))</f>
        <v/>
      </c>
      <c r="AA271" s="19">
        <f>IF(NOT(ISNUMBER($A271)),NA(),IF(OR($A271&lt;MIN(DKW_10Y!$A$2:$A$2918),$A271&gt;MAX(DKW_10Y!$A$2:$A$2918),Settings!$B$16&lt;MIN(DKW_10Y!$A$2:$A$2918)),NA(),(INDEX(DKW_10Y!$E$2:$E$2918,MATCH($A271,DKW_10Y!$A$2:$A$2918,1))-INDEX(DKW_10Y!$E$2:$E$2918,MATCH(Settings!$B$16,DKW_10Y!$A$2:$A$2918,1)))*100))</f>
        <v/>
      </c>
      <c r="AB271" s="19">
        <f>IF(NOT(ISNUMBER($A271)),NA(),IF(OR($A271&lt;MIN(DKW_10Y!$A$2:$A$2918),$A271&gt;MAX(DKW_10Y!$A$2:$A$2918),Settings!$B$16&lt;MIN(DKW_10Y!$A$2:$A$2918)),NA(),(INDEX(DKW_10Y!$H$2:$H$2918,MATCH($A271,DKW_10Y!$A$2:$A$2918,1))-INDEX(DKW_10Y!$H$2:$H$2918,MATCH(Settings!$B$16,DKW_10Y!$A$2:$A$2918,1)))*100))</f>
        <v/>
      </c>
      <c r="AC271" s="18">
        <f>IF(NOT(ISNUMBER($A271)),NA(),IFERROR(1*INDEX(BBG_Data!$N$2:$N$4000,MATCH($A271,BBG_Data!$M$2:$M$4000,0)),NA()))</f>
        <v/>
      </c>
      <c r="AD271" s="18">
        <f>IF(NOT(ISNUMBER($A271)),NA(),IFERROR(1*INDEX(BBG_Data!$P$2:$P$4000,MATCH($A271,BBG_Data!$O$2:$O$4000,0)),NA()))</f>
        <v/>
      </c>
      <c r="AE271" s="18">
        <f>IF(NOT(ISNUMBER($A271)),NA(),IFERROR(1*INDEX(BBG_Data!$R$2:$R$4000,MATCH($A271,BBG_Data!$Q$2:$Q$4000,0)),NA()))</f>
        <v/>
      </c>
      <c r="AF271" s="20">
        <f>IF(AND(ISNUMBER(B271),ISNUMBER(AC271)),(B271-AC271)*100,NA())</f>
        <v/>
      </c>
      <c r="AG271" s="20">
        <f>IF(AND(ISNUMBER(AE271),ISNUMBER(AD271)),(AE271-AD271)*100,NA())</f>
        <v/>
      </c>
      <c r="AH271" s="19">
        <f>IF(NOT(ISNUMBER($A271)),NA(),IFERROR(INDEX(BBG_Data!$T$2:$T$4000,MATCH($A271,BBG_Data!$S$2:$S$4000,0))*Settings!$B$25,NA()))</f>
        <v/>
      </c>
      <c r="AI271" s="19">
        <f>IF(NOT(ISNUMBER($A271)),NA(),IFERROR(INDEX(BBG_Data!$V$2:$V$4000,MATCH($A271,BBG_Data!$U$2:$U$4000,0))*Settings!$B$25,NA()))</f>
        <v/>
      </c>
      <c r="AJ271" s="19">
        <f>IF(NOT(ISNUMBER($A271)),NA(),IFERROR(1*INDEX(BBG_Data!$X$2:$X$4000,MATCH($A271,BBG_Data!$W$2:$W$4000,0)),NA()))</f>
        <v/>
      </c>
      <c r="AK271" s="19">
        <f>IF(NOT(ISNUMBER($A271)),NA(),IFERROR(1*INDEX(BBG_Data!$Z$2:$Z$4000,MATCH($A271,BBG_Data!$Y$2:$Y$4000,0)),NA()))</f>
        <v/>
      </c>
    </row>
    <row r="272">
      <c r="A272" s="17">
        <f>IF(ISNUMBER(BBG_Data!A272),BBG_Data!A272,"")</f>
        <v/>
      </c>
      <c r="B272" s="18">
        <f>IF(AND(ISNUMBER($A272),ISNUMBER(BBG_Data!B272)),BBG_Data!B272,NA())</f>
        <v/>
      </c>
      <c r="C272" s="18">
        <f>IF(NOT(ISNUMBER($A272)),NA(),IFERROR(1*INDEX(BBG_Data!$D$2:$D$4000,MATCH($A272,BBG_Data!$C$2:$C$4000,0)),NA()))</f>
        <v/>
      </c>
      <c r="D272" s="19">
        <f>IF(NOT(ISNUMBER($A272)),NA(),IFERROR(1*INDEX(BBG_Data!$F$2:$F$4000,MATCH($A272,BBG_Data!$E$2:$E$4000,0)),NA()))</f>
        <v/>
      </c>
      <c r="E272" s="19">
        <f>IF(NOT(ISNUMBER($A272)),NA(),IFERROR(1*INDEX(BBG_Data!$H$2:$H$4000,MATCH($A272,BBG_Data!$G$2:$G$4000,0)),NA()))</f>
        <v/>
      </c>
      <c r="F272" s="20">
        <f>IF(AND(ISNUMBER(B272),ISNUMBER(B271)),IF(B272=B271,"",(B272-B271)*100),"")</f>
        <v/>
      </c>
      <c r="G272" s="20">
        <f>IF(AND(ISNUMBER(C272),ISNUMBER(C271)),IF(C272=C271,"",(C272-C271)*100),"")</f>
        <v/>
      </c>
      <c r="H272" s="20">
        <f>IF(OR(NOT(ISNUMBER($A272)),ROW()-2&lt;Settings!$B$11),NA(),IF(COUNT(OFFSET(F272,1-Settings!$B$11,0,Settings!$B$11,1))&lt;ROUNDUP(Settings!$B$11*Settings!$B$26,0),NA(),STDEV(OFFSET(F272,1-Settings!$B$11,0,Settings!$B$11,1))*SQRT(Settings!$B$13)))</f>
        <v/>
      </c>
      <c r="I272" s="20">
        <f>IF(OR(NOT(ISNUMBER($A272)),ROW()-2&lt;Settings!$B$12),NA(),IF(COUNT(OFFSET(F272,1-Settings!$B$12,0,Settings!$B$12,1))&lt;ROUNDUP(Settings!$B$12*Settings!$B$26,0),NA(),STDEV(OFFSET(F272,1-Settings!$B$12,0,Settings!$B$12,1))*SQRT(Settings!$B$13)))</f>
        <v/>
      </c>
      <c r="J272" s="20">
        <f>IF(OR(NOT(ISNUMBER($A272)),ROW()-2&lt;Settings!$B$11),NA(),IF(COUNT(OFFSET(G272,1-Settings!$B$11,0,Settings!$B$11,1))&lt;ROUNDUP(Settings!$B$11*Settings!$B$26,0),NA(),STDEV(OFFSET(G272,1-Settings!$B$11,0,Settings!$B$11,1))*SQRT(Settings!$B$13)))</f>
        <v/>
      </c>
      <c r="K272" s="20">
        <f>IF(OR(NOT(ISNUMBER($A272)),ROW()-2&lt;Settings!$B$12),NA(),IF(COUNT(OFFSET(G272,1-Settings!$B$12,0,Settings!$B$12,1))&lt;ROUNDUP(Settings!$B$12*Settings!$B$26,0),NA(),STDEV(OFFSET(G272,1-Settings!$B$12,0,Settings!$B$12,1))*SQRT(Settings!$B$13)))</f>
        <v/>
      </c>
      <c r="L272" s="20">
        <f>IF(AND(ISNUMBER(D272),ISNUMBER(H272)),D272-H272,NA())</f>
        <v/>
      </c>
      <c r="M272" s="20">
        <f>IF(AND(ISNUMBER(E272),ISNUMBER(K272)),E272-K272,NA())</f>
        <v/>
      </c>
      <c r="N272" s="20">
        <f>IF(NOT(ISNUMBER($A272)),NA(),IF(COUNT(OFFSET(G272,1,0,Settings!$B$12,1))&lt;ROUNDUP(Settings!$B$12*Settings!$B$26,0),NA(),STDEV(OFFSET(G272,1,0,Settings!$B$12,1))*SQRT(Settings!$B$13)))</f>
        <v/>
      </c>
      <c r="O272" s="20">
        <f>IF(AND(ISNUMBER(E272),ISNUMBER(N272)),E272-N272,NA())</f>
        <v/>
      </c>
      <c r="P272" s="19">
        <f>IF(NOT(ISNUMBER($A272)),NA(),IF(OR($A272&lt;MIN(KW_TP!$A$2:$A$2501),$A272&gt;MAX(KW_TP!$A$2:$A$2501)),NA(),INDEX(KW_TP!$C$2:$C$2501,MATCH($A272,KW_TP!$A$2:$A$2501,1))))</f>
        <v/>
      </c>
      <c r="Q272" s="18">
        <f>IF(NOT(ISNUMBER($A272)),NA(),IFERROR(1*INDEX(BBG_Data!$J$2:$J$4000,MATCH($A272,BBG_Data!$I$2:$I$4000,0)),NA()))</f>
        <v/>
      </c>
      <c r="R272" s="18">
        <f>IF(NOT(ISNUMBER($A272)),NA(),IFERROR(1*INDEX(BBG_Data!$L$2:$L$4000,MATCH($A272,BBG_Data!$K$2:$K$4000,0)),NA()))</f>
        <v/>
      </c>
      <c r="S272" s="20">
        <f>IF(AND(ISNUMBER(B272),ISNUMBER(Q272),ISNUMBER(R272)),(B272-Q272-R272)*100,NA())</f>
        <v/>
      </c>
      <c r="T272" s="20">
        <f>IF(AND(ISNUMBER(B272),Settings!$B$17&gt;0),IF(ISNUMBER(INDEX($B:$B,Settings!$B$17)),(B272-INDEX($B:$B,Settings!$B$17))*100,NA()),NA())</f>
        <v/>
      </c>
      <c r="U272" s="20">
        <f>IF(AND(ISNUMBER(Q272),Settings!$B$17&gt;0),IF(ISNUMBER(INDEX($Q:$Q,Settings!$B$17)),(Q272-INDEX($Q:$Q,Settings!$B$17))*100,NA()),NA())</f>
        <v/>
      </c>
      <c r="V272" s="20">
        <f>IF(AND(ISNUMBER(R272),Settings!$B$17&gt;0),IF(ISNUMBER(INDEX($R:$R,Settings!$B$17)),(R272-INDEX($R:$R,Settings!$B$17))*100,NA()),NA())</f>
        <v/>
      </c>
      <c r="W272" s="20">
        <f>IF(AND(ISNUMBER(P272),Settings!$B$17&gt;0),IF(ISNUMBER(INDEX($P:$P,Settings!$B$17)),P272-INDEX($P:$P,Settings!$B$17),NA()),NA())</f>
        <v/>
      </c>
      <c r="X272" s="19">
        <f>IF(NOT(ISNUMBER($A272)),NA(),IF(OR($A272&lt;MIN(DKW_10Y!$A$2:$A$2918),$A272&gt;MAX(DKW_10Y!$A$2:$A$2918),Settings!$B$16&lt;MIN(DKW_10Y!$A$2:$A$2918)),NA(),(INDEX(DKW_10Y!$B$2:$B$2918,MATCH($A272,DKW_10Y!$A$2:$A$2918,1))-INDEX(DKW_10Y!$B$2:$B$2918,MATCH(Settings!$B$16,DKW_10Y!$A$2:$A$2918,1)))*100))</f>
        <v/>
      </c>
      <c r="Y272" s="19">
        <f>IF(NOT(ISNUMBER($A272)),NA(),IF(OR($A272&lt;MIN(DKW_10Y!$A$2:$A$2918),$A272&gt;MAX(DKW_10Y!$A$2:$A$2918),Settings!$B$16&lt;MIN(DKW_10Y!$A$2:$A$2918)),NA(),(INDEX(DKW_10Y!$C$2:$C$2918,MATCH($A272,DKW_10Y!$A$2:$A$2918,1))-INDEX(DKW_10Y!$C$2:$C$2918,MATCH(Settings!$B$16,DKW_10Y!$A$2:$A$2918,1)))*100))</f>
        <v/>
      </c>
      <c r="Z272" s="19">
        <f>IF(NOT(ISNUMBER($A272)),NA(),IF(OR($A272&lt;MIN(DKW_10Y!$A$2:$A$2918),$A272&gt;MAX(DKW_10Y!$A$2:$A$2918),Settings!$B$16&lt;MIN(DKW_10Y!$A$2:$A$2918)),NA(),(INDEX(DKW_10Y!$D$2:$D$2918,MATCH($A272,DKW_10Y!$A$2:$A$2918,1))-INDEX(DKW_10Y!$D$2:$D$2918,MATCH(Settings!$B$16,DKW_10Y!$A$2:$A$2918,1)))*100))</f>
        <v/>
      </c>
      <c r="AA272" s="19">
        <f>IF(NOT(ISNUMBER($A272)),NA(),IF(OR($A272&lt;MIN(DKW_10Y!$A$2:$A$2918),$A272&gt;MAX(DKW_10Y!$A$2:$A$2918),Settings!$B$16&lt;MIN(DKW_10Y!$A$2:$A$2918)),NA(),(INDEX(DKW_10Y!$E$2:$E$2918,MATCH($A272,DKW_10Y!$A$2:$A$2918,1))-INDEX(DKW_10Y!$E$2:$E$2918,MATCH(Settings!$B$16,DKW_10Y!$A$2:$A$2918,1)))*100))</f>
        <v/>
      </c>
      <c r="AB272" s="19">
        <f>IF(NOT(ISNUMBER($A272)),NA(),IF(OR($A272&lt;MIN(DKW_10Y!$A$2:$A$2918),$A272&gt;MAX(DKW_10Y!$A$2:$A$2918),Settings!$B$16&lt;MIN(DKW_10Y!$A$2:$A$2918)),NA(),(INDEX(DKW_10Y!$H$2:$H$2918,MATCH($A272,DKW_10Y!$A$2:$A$2918,1))-INDEX(DKW_10Y!$H$2:$H$2918,MATCH(Settings!$B$16,DKW_10Y!$A$2:$A$2918,1)))*100))</f>
        <v/>
      </c>
      <c r="AC272" s="18">
        <f>IF(NOT(ISNUMBER($A272)),NA(),IFERROR(1*INDEX(BBG_Data!$N$2:$N$4000,MATCH($A272,BBG_Data!$M$2:$M$4000,0)),NA()))</f>
        <v/>
      </c>
      <c r="AD272" s="18">
        <f>IF(NOT(ISNUMBER($A272)),NA(),IFERROR(1*INDEX(BBG_Data!$P$2:$P$4000,MATCH($A272,BBG_Data!$O$2:$O$4000,0)),NA()))</f>
        <v/>
      </c>
      <c r="AE272" s="18">
        <f>IF(NOT(ISNUMBER($A272)),NA(),IFERROR(1*INDEX(BBG_Data!$R$2:$R$4000,MATCH($A272,BBG_Data!$Q$2:$Q$4000,0)),NA()))</f>
        <v/>
      </c>
      <c r="AF272" s="20">
        <f>IF(AND(ISNUMBER(B272),ISNUMBER(AC272)),(B272-AC272)*100,NA())</f>
        <v/>
      </c>
      <c r="AG272" s="20">
        <f>IF(AND(ISNUMBER(AE272),ISNUMBER(AD272)),(AE272-AD272)*100,NA())</f>
        <v/>
      </c>
      <c r="AH272" s="19">
        <f>IF(NOT(ISNUMBER($A272)),NA(),IFERROR(INDEX(BBG_Data!$T$2:$T$4000,MATCH($A272,BBG_Data!$S$2:$S$4000,0))*Settings!$B$25,NA()))</f>
        <v/>
      </c>
      <c r="AI272" s="19">
        <f>IF(NOT(ISNUMBER($A272)),NA(),IFERROR(INDEX(BBG_Data!$V$2:$V$4000,MATCH($A272,BBG_Data!$U$2:$U$4000,0))*Settings!$B$25,NA()))</f>
        <v/>
      </c>
      <c r="AJ272" s="19">
        <f>IF(NOT(ISNUMBER($A272)),NA(),IFERROR(1*INDEX(BBG_Data!$X$2:$X$4000,MATCH($A272,BBG_Data!$W$2:$W$4000,0)),NA()))</f>
        <v/>
      </c>
      <c r="AK272" s="19">
        <f>IF(NOT(ISNUMBER($A272)),NA(),IFERROR(1*INDEX(BBG_Data!$Z$2:$Z$4000,MATCH($A272,BBG_Data!$Y$2:$Y$4000,0)),NA()))</f>
        <v/>
      </c>
    </row>
    <row r="273">
      <c r="A273" s="17">
        <f>IF(ISNUMBER(BBG_Data!A273),BBG_Data!A273,"")</f>
        <v/>
      </c>
      <c r="B273" s="18">
        <f>IF(AND(ISNUMBER($A273),ISNUMBER(BBG_Data!B273)),BBG_Data!B273,NA())</f>
        <v/>
      </c>
      <c r="C273" s="18">
        <f>IF(NOT(ISNUMBER($A273)),NA(),IFERROR(1*INDEX(BBG_Data!$D$2:$D$4000,MATCH($A273,BBG_Data!$C$2:$C$4000,0)),NA()))</f>
        <v/>
      </c>
      <c r="D273" s="19">
        <f>IF(NOT(ISNUMBER($A273)),NA(),IFERROR(1*INDEX(BBG_Data!$F$2:$F$4000,MATCH($A273,BBG_Data!$E$2:$E$4000,0)),NA()))</f>
        <v/>
      </c>
      <c r="E273" s="19">
        <f>IF(NOT(ISNUMBER($A273)),NA(),IFERROR(1*INDEX(BBG_Data!$H$2:$H$4000,MATCH($A273,BBG_Data!$G$2:$G$4000,0)),NA()))</f>
        <v/>
      </c>
      <c r="F273" s="20">
        <f>IF(AND(ISNUMBER(B273),ISNUMBER(B272)),IF(B273=B272,"",(B273-B272)*100),"")</f>
        <v/>
      </c>
      <c r="G273" s="20">
        <f>IF(AND(ISNUMBER(C273),ISNUMBER(C272)),IF(C273=C272,"",(C273-C272)*100),"")</f>
        <v/>
      </c>
      <c r="H273" s="20">
        <f>IF(OR(NOT(ISNUMBER($A273)),ROW()-2&lt;Settings!$B$11),NA(),IF(COUNT(OFFSET(F273,1-Settings!$B$11,0,Settings!$B$11,1))&lt;ROUNDUP(Settings!$B$11*Settings!$B$26,0),NA(),STDEV(OFFSET(F273,1-Settings!$B$11,0,Settings!$B$11,1))*SQRT(Settings!$B$13)))</f>
        <v/>
      </c>
      <c r="I273" s="20">
        <f>IF(OR(NOT(ISNUMBER($A273)),ROW()-2&lt;Settings!$B$12),NA(),IF(COUNT(OFFSET(F273,1-Settings!$B$12,0,Settings!$B$12,1))&lt;ROUNDUP(Settings!$B$12*Settings!$B$26,0),NA(),STDEV(OFFSET(F273,1-Settings!$B$12,0,Settings!$B$12,1))*SQRT(Settings!$B$13)))</f>
        <v/>
      </c>
      <c r="J273" s="20">
        <f>IF(OR(NOT(ISNUMBER($A273)),ROW()-2&lt;Settings!$B$11),NA(),IF(COUNT(OFFSET(G273,1-Settings!$B$11,0,Settings!$B$11,1))&lt;ROUNDUP(Settings!$B$11*Settings!$B$26,0),NA(),STDEV(OFFSET(G273,1-Settings!$B$11,0,Settings!$B$11,1))*SQRT(Settings!$B$13)))</f>
        <v/>
      </c>
      <c r="K273" s="20">
        <f>IF(OR(NOT(ISNUMBER($A273)),ROW()-2&lt;Settings!$B$12),NA(),IF(COUNT(OFFSET(G273,1-Settings!$B$12,0,Settings!$B$12,1))&lt;ROUNDUP(Settings!$B$12*Settings!$B$26,0),NA(),STDEV(OFFSET(G273,1-Settings!$B$12,0,Settings!$B$12,1))*SQRT(Settings!$B$13)))</f>
        <v/>
      </c>
      <c r="L273" s="20">
        <f>IF(AND(ISNUMBER(D273),ISNUMBER(H273)),D273-H273,NA())</f>
        <v/>
      </c>
      <c r="M273" s="20">
        <f>IF(AND(ISNUMBER(E273),ISNUMBER(K273)),E273-K273,NA())</f>
        <v/>
      </c>
      <c r="N273" s="20">
        <f>IF(NOT(ISNUMBER($A273)),NA(),IF(COUNT(OFFSET(G273,1,0,Settings!$B$12,1))&lt;ROUNDUP(Settings!$B$12*Settings!$B$26,0),NA(),STDEV(OFFSET(G273,1,0,Settings!$B$12,1))*SQRT(Settings!$B$13)))</f>
        <v/>
      </c>
      <c r="O273" s="20">
        <f>IF(AND(ISNUMBER(E273),ISNUMBER(N273)),E273-N273,NA())</f>
        <v/>
      </c>
      <c r="P273" s="19">
        <f>IF(NOT(ISNUMBER($A273)),NA(),IF(OR($A273&lt;MIN(KW_TP!$A$2:$A$2501),$A273&gt;MAX(KW_TP!$A$2:$A$2501)),NA(),INDEX(KW_TP!$C$2:$C$2501,MATCH($A273,KW_TP!$A$2:$A$2501,1))))</f>
        <v/>
      </c>
      <c r="Q273" s="18">
        <f>IF(NOT(ISNUMBER($A273)),NA(),IFERROR(1*INDEX(BBG_Data!$J$2:$J$4000,MATCH($A273,BBG_Data!$I$2:$I$4000,0)),NA()))</f>
        <v/>
      </c>
      <c r="R273" s="18">
        <f>IF(NOT(ISNUMBER($A273)),NA(),IFERROR(1*INDEX(BBG_Data!$L$2:$L$4000,MATCH($A273,BBG_Data!$K$2:$K$4000,0)),NA()))</f>
        <v/>
      </c>
      <c r="S273" s="20">
        <f>IF(AND(ISNUMBER(B273),ISNUMBER(Q273),ISNUMBER(R273)),(B273-Q273-R273)*100,NA())</f>
        <v/>
      </c>
      <c r="T273" s="20">
        <f>IF(AND(ISNUMBER(B273),Settings!$B$17&gt;0),IF(ISNUMBER(INDEX($B:$B,Settings!$B$17)),(B273-INDEX($B:$B,Settings!$B$17))*100,NA()),NA())</f>
        <v/>
      </c>
      <c r="U273" s="20">
        <f>IF(AND(ISNUMBER(Q273),Settings!$B$17&gt;0),IF(ISNUMBER(INDEX($Q:$Q,Settings!$B$17)),(Q273-INDEX($Q:$Q,Settings!$B$17))*100,NA()),NA())</f>
        <v/>
      </c>
      <c r="V273" s="20">
        <f>IF(AND(ISNUMBER(R273),Settings!$B$17&gt;0),IF(ISNUMBER(INDEX($R:$R,Settings!$B$17)),(R273-INDEX($R:$R,Settings!$B$17))*100,NA()),NA())</f>
        <v/>
      </c>
      <c r="W273" s="20">
        <f>IF(AND(ISNUMBER(P273),Settings!$B$17&gt;0),IF(ISNUMBER(INDEX($P:$P,Settings!$B$17)),P273-INDEX($P:$P,Settings!$B$17),NA()),NA())</f>
        <v/>
      </c>
      <c r="X273" s="19">
        <f>IF(NOT(ISNUMBER($A273)),NA(),IF(OR($A273&lt;MIN(DKW_10Y!$A$2:$A$2918),$A273&gt;MAX(DKW_10Y!$A$2:$A$2918),Settings!$B$16&lt;MIN(DKW_10Y!$A$2:$A$2918)),NA(),(INDEX(DKW_10Y!$B$2:$B$2918,MATCH($A273,DKW_10Y!$A$2:$A$2918,1))-INDEX(DKW_10Y!$B$2:$B$2918,MATCH(Settings!$B$16,DKW_10Y!$A$2:$A$2918,1)))*100))</f>
        <v/>
      </c>
      <c r="Y273" s="19">
        <f>IF(NOT(ISNUMBER($A273)),NA(),IF(OR($A273&lt;MIN(DKW_10Y!$A$2:$A$2918),$A273&gt;MAX(DKW_10Y!$A$2:$A$2918),Settings!$B$16&lt;MIN(DKW_10Y!$A$2:$A$2918)),NA(),(INDEX(DKW_10Y!$C$2:$C$2918,MATCH($A273,DKW_10Y!$A$2:$A$2918,1))-INDEX(DKW_10Y!$C$2:$C$2918,MATCH(Settings!$B$16,DKW_10Y!$A$2:$A$2918,1)))*100))</f>
        <v/>
      </c>
      <c r="Z273" s="19">
        <f>IF(NOT(ISNUMBER($A273)),NA(),IF(OR($A273&lt;MIN(DKW_10Y!$A$2:$A$2918),$A273&gt;MAX(DKW_10Y!$A$2:$A$2918),Settings!$B$16&lt;MIN(DKW_10Y!$A$2:$A$2918)),NA(),(INDEX(DKW_10Y!$D$2:$D$2918,MATCH($A273,DKW_10Y!$A$2:$A$2918,1))-INDEX(DKW_10Y!$D$2:$D$2918,MATCH(Settings!$B$16,DKW_10Y!$A$2:$A$2918,1)))*100))</f>
        <v/>
      </c>
      <c r="AA273" s="19">
        <f>IF(NOT(ISNUMBER($A273)),NA(),IF(OR($A273&lt;MIN(DKW_10Y!$A$2:$A$2918),$A273&gt;MAX(DKW_10Y!$A$2:$A$2918),Settings!$B$16&lt;MIN(DKW_10Y!$A$2:$A$2918)),NA(),(INDEX(DKW_10Y!$E$2:$E$2918,MATCH($A273,DKW_10Y!$A$2:$A$2918,1))-INDEX(DKW_10Y!$E$2:$E$2918,MATCH(Settings!$B$16,DKW_10Y!$A$2:$A$2918,1)))*100))</f>
        <v/>
      </c>
      <c r="AB273" s="19">
        <f>IF(NOT(ISNUMBER($A273)),NA(),IF(OR($A273&lt;MIN(DKW_10Y!$A$2:$A$2918),$A273&gt;MAX(DKW_10Y!$A$2:$A$2918),Settings!$B$16&lt;MIN(DKW_10Y!$A$2:$A$2918)),NA(),(INDEX(DKW_10Y!$H$2:$H$2918,MATCH($A273,DKW_10Y!$A$2:$A$2918,1))-INDEX(DKW_10Y!$H$2:$H$2918,MATCH(Settings!$B$16,DKW_10Y!$A$2:$A$2918,1)))*100))</f>
        <v/>
      </c>
      <c r="AC273" s="18">
        <f>IF(NOT(ISNUMBER($A273)),NA(),IFERROR(1*INDEX(BBG_Data!$N$2:$N$4000,MATCH($A273,BBG_Data!$M$2:$M$4000,0)),NA()))</f>
        <v/>
      </c>
      <c r="AD273" s="18">
        <f>IF(NOT(ISNUMBER($A273)),NA(),IFERROR(1*INDEX(BBG_Data!$P$2:$P$4000,MATCH($A273,BBG_Data!$O$2:$O$4000,0)),NA()))</f>
        <v/>
      </c>
      <c r="AE273" s="18">
        <f>IF(NOT(ISNUMBER($A273)),NA(),IFERROR(1*INDEX(BBG_Data!$R$2:$R$4000,MATCH($A273,BBG_Data!$Q$2:$Q$4000,0)),NA()))</f>
        <v/>
      </c>
      <c r="AF273" s="20">
        <f>IF(AND(ISNUMBER(B273),ISNUMBER(AC273)),(B273-AC273)*100,NA())</f>
        <v/>
      </c>
      <c r="AG273" s="20">
        <f>IF(AND(ISNUMBER(AE273),ISNUMBER(AD273)),(AE273-AD273)*100,NA())</f>
        <v/>
      </c>
      <c r="AH273" s="19">
        <f>IF(NOT(ISNUMBER($A273)),NA(),IFERROR(INDEX(BBG_Data!$T$2:$T$4000,MATCH($A273,BBG_Data!$S$2:$S$4000,0))*Settings!$B$25,NA()))</f>
        <v/>
      </c>
      <c r="AI273" s="19">
        <f>IF(NOT(ISNUMBER($A273)),NA(),IFERROR(INDEX(BBG_Data!$V$2:$V$4000,MATCH($A273,BBG_Data!$U$2:$U$4000,0))*Settings!$B$25,NA()))</f>
        <v/>
      </c>
      <c r="AJ273" s="19">
        <f>IF(NOT(ISNUMBER($A273)),NA(),IFERROR(1*INDEX(BBG_Data!$X$2:$X$4000,MATCH($A273,BBG_Data!$W$2:$W$4000,0)),NA()))</f>
        <v/>
      </c>
      <c r="AK273" s="19">
        <f>IF(NOT(ISNUMBER($A273)),NA(),IFERROR(1*INDEX(BBG_Data!$Z$2:$Z$4000,MATCH($A273,BBG_Data!$Y$2:$Y$4000,0)),NA()))</f>
        <v/>
      </c>
    </row>
    <row r="274">
      <c r="A274" s="17">
        <f>IF(ISNUMBER(BBG_Data!A274),BBG_Data!A274,"")</f>
        <v/>
      </c>
      <c r="B274" s="18">
        <f>IF(AND(ISNUMBER($A274),ISNUMBER(BBG_Data!B274)),BBG_Data!B274,NA())</f>
        <v/>
      </c>
      <c r="C274" s="18">
        <f>IF(NOT(ISNUMBER($A274)),NA(),IFERROR(1*INDEX(BBG_Data!$D$2:$D$4000,MATCH($A274,BBG_Data!$C$2:$C$4000,0)),NA()))</f>
        <v/>
      </c>
      <c r="D274" s="19">
        <f>IF(NOT(ISNUMBER($A274)),NA(),IFERROR(1*INDEX(BBG_Data!$F$2:$F$4000,MATCH($A274,BBG_Data!$E$2:$E$4000,0)),NA()))</f>
        <v/>
      </c>
      <c r="E274" s="19">
        <f>IF(NOT(ISNUMBER($A274)),NA(),IFERROR(1*INDEX(BBG_Data!$H$2:$H$4000,MATCH($A274,BBG_Data!$G$2:$G$4000,0)),NA()))</f>
        <v/>
      </c>
      <c r="F274" s="20">
        <f>IF(AND(ISNUMBER(B274),ISNUMBER(B273)),IF(B274=B273,"",(B274-B273)*100),"")</f>
        <v/>
      </c>
      <c r="G274" s="20">
        <f>IF(AND(ISNUMBER(C274),ISNUMBER(C273)),IF(C274=C273,"",(C274-C273)*100),"")</f>
        <v/>
      </c>
      <c r="H274" s="20">
        <f>IF(OR(NOT(ISNUMBER($A274)),ROW()-2&lt;Settings!$B$11),NA(),IF(COUNT(OFFSET(F274,1-Settings!$B$11,0,Settings!$B$11,1))&lt;ROUNDUP(Settings!$B$11*Settings!$B$26,0),NA(),STDEV(OFFSET(F274,1-Settings!$B$11,0,Settings!$B$11,1))*SQRT(Settings!$B$13)))</f>
        <v/>
      </c>
      <c r="I274" s="20">
        <f>IF(OR(NOT(ISNUMBER($A274)),ROW()-2&lt;Settings!$B$12),NA(),IF(COUNT(OFFSET(F274,1-Settings!$B$12,0,Settings!$B$12,1))&lt;ROUNDUP(Settings!$B$12*Settings!$B$26,0),NA(),STDEV(OFFSET(F274,1-Settings!$B$12,0,Settings!$B$12,1))*SQRT(Settings!$B$13)))</f>
        <v/>
      </c>
      <c r="J274" s="20">
        <f>IF(OR(NOT(ISNUMBER($A274)),ROW()-2&lt;Settings!$B$11),NA(),IF(COUNT(OFFSET(G274,1-Settings!$B$11,0,Settings!$B$11,1))&lt;ROUNDUP(Settings!$B$11*Settings!$B$26,0),NA(),STDEV(OFFSET(G274,1-Settings!$B$11,0,Settings!$B$11,1))*SQRT(Settings!$B$13)))</f>
        <v/>
      </c>
      <c r="K274" s="20">
        <f>IF(OR(NOT(ISNUMBER($A274)),ROW()-2&lt;Settings!$B$12),NA(),IF(COUNT(OFFSET(G274,1-Settings!$B$12,0,Settings!$B$12,1))&lt;ROUNDUP(Settings!$B$12*Settings!$B$26,0),NA(),STDEV(OFFSET(G274,1-Settings!$B$12,0,Settings!$B$12,1))*SQRT(Settings!$B$13)))</f>
        <v/>
      </c>
      <c r="L274" s="20">
        <f>IF(AND(ISNUMBER(D274),ISNUMBER(H274)),D274-H274,NA())</f>
        <v/>
      </c>
      <c r="M274" s="20">
        <f>IF(AND(ISNUMBER(E274),ISNUMBER(K274)),E274-K274,NA())</f>
        <v/>
      </c>
      <c r="N274" s="20">
        <f>IF(NOT(ISNUMBER($A274)),NA(),IF(COUNT(OFFSET(G274,1,0,Settings!$B$12,1))&lt;ROUNDUP(Settings!$B$12*Settings!$B$26,0),NA(),STDEV(OFFSET(G274,1,0,Settings!$B$12,1))*SQRT(Settings!$B$13)))</f>
        <v/>
      </c>
      <c r="O274" s="20">
        <f>IF(AND(ISNUMBER(E274),ISNUMBER(N274)),E274-N274,NA())</f>
        <v/>
      </c>
      <c r="P274" s="19">
        <f>IF(NOT(ISNUMBER($A274)),NA(),IF(OR($A274&lt;MIN(KW_TP!$A$2:$A$2501),$A274&gt;MAX(KW_TP!$A$2:$A$2501)),NA(),INDEX(KW_TP!$C$2:$C$2501,MATCH($A274,KW_TP!$A$2:$A$2501,1))))</f>
        <v/>
      </c>
      <c r="Q274" s="18">
        <f>IF(NOT(ISNUMBER($A274)),NA(),IFERROR(1*INDEX(BBG_Data!$J$2:$J$4000,MATCH($A274,BBG_Data!$I$2:$I$4000,0)),NA()))</f>
        <v/>
      </c>
      <c r="R274" s="18">
        <f>IF(NOT(ISNUMBER($A274)),NA(),IFERROR(1*INDEX(BBG_Data!$L$2:$L$4000,MATCH($A274,BBG_Data!$K$2:$K$4000,0)),NA()))</f>
        <v/>
      </c>
      <c r="S274" s="20">
        <f>IF(AND(ISNUMBER(B274),ISNUMBER(Q274),ISNUMBER(R274)),(B274-Q274-R274)*100,NA())</f>
        <v/>
      </c>
      <c r="T274" s="20">
        <f>IF(AND(ISNUMBER(B274),Settings!$B$17&gt;0),IF(ISNUMBER(INDEX($B:$B,Settings!$B$17)),(B274-INDEX($B:$B,Settings!$B$17))*100,NA()),NA())</f>
        <v/>
      </c>
      <c r="U274" s="20">
        <f>IF(AND(ISNUMBER(Q274),Settings!$B$17&gt;0),IF(ISNUMBER(INDEX($Q:$Q,Settings!$B$17)),(Q274-INDEX($Q:$Q,Settings!$B$17))*100,NA()),NA())</f>
        <v/>
      </c>
      <c r="V274" s="20">
        <f>IF(AND(ISNUMBER(R274),Settings!$B$17&gt;0),IF(ISNUMBER(INDEX($R:$R,Settings!$B$17)),(R274-INDEX($R:$R,Settings!$B$17))*100,NA()),NA())</f>
        <v/>
      </c>
      <c r="W274" s="20">
        <f>IF(AND(ISNUMBER(P274),Settings!$B$17&gt;0),IF(ISNUMBER(INDEX($P:$P,Settings!$B$17)),P274-INDEX($P:$P,Settings!$B$17),NA()),NA())</f>
        <v/>
      </c>
      <c r="X274" s="19">
        <f>IF(NOT(ISNUMBER($A274)),NA(),IF(OR($A274&lt;MIN(DKW_10Y!$A$2:$A$2918),$A274&gt;MAX(DKW_10Y!$A$2:$A$2918),Settings!$B$16&lt;MIN(DKW_10Y!$A$2:$A$2918)),NA(),(INDEX(DKW_10Y!$B$2:$B$2918,MATCH($A274,DKW_10Y!$A$2:$A$2918,1))-INDEX(DKW_10Y!$B$2:$B$2918,MATCH(Settings!$B$16,DKW_10Y!$A$2:$A$2918,1)))*100))</f>
        <v/>
      </c>
      <c r="Y274" s="19">
        <f>IF(NOT(ISNUMBER($A274)),NA(),IF(OR($A274&lt;MIN(DKW_10Y!$A$2:$A$2918),$A274&gt;MAX(DKW_10Y!$A$2:$A$2918),Settings!$B$16&lt;MIN(DKW_10Y!$A$2:$A$2918)),NA(),(INDEX(DKW_10Y!$C$2:$C$2918,MATCH($A274,DKW_10Y!$A$2:$A$2918,1))-INDEX(DKW_10Y!$C$2:$C$2918,MATCH(Settings!$B$16,DKW_10Y!$A$2:$A$2918,1)))*100))</f>
        <v/>
      </c>
      <c r="Z274" s="19">
        <f>IF(NOT(ISNUMBER($A274)),NA(),IF(OR($A274&lt;MIN(DKW_10Y!$A$2:$A$2918),$A274&gt;MAX(DKW_10Y!$A$2:$A$2918),Settings!$B$16&lt;MIN(DKW_10Y!$A$2:$A$2918)),NA(),(INDEX(DKW_10Y!$D$2:$D$2918,MATCH($A274,DKW_10Y!$A$2:$A$2918,1))-INDEX(DKW_10Y!$D$2:$D$2918,MATCH(Settings!$B$16,DKW_10Y!$A$2:$A$2918,1)))*100))</f>
        <v/>
      </c>
      <c r="AA274" s="19">
        <f>IF(NOT(ISNUMBER($A274)),NA(),IF(OR($A274&lt;MIN(DKW_10Y!$A$2:$A$2918),$A274&gt;MAX(DKW_10Y!$A$2:$A$2918),Settings!$B$16&lt;MIN(DKW_10Y!$A$2:$A$2918)),NA(),(INDEX(DKW_10Y!$E$2:$E$2918,MATCH($A274,DKW_10Y!$A$2:$A$2918,1))-INDEX(DKW_10Y!$E$2:$E$2918,MATCH(Settings!$B$16,DKW_10Y!$A$2:$A$2918,1)))*100))</f>
        <v/>
      </c>
      <c r="AB274" s="19">
        <f>IF(NOT(ISNUMBER($A274)),NA(),IF(OR($A274&lt;MIN(DKW_10Y!$A$2:$A$2918),$A274&gt;MAX(DKW_10Y!$A$2:$A$2918),Settings!$B$16&lt;MIN(DKW_10Y!$A$2:$A$2918)),NA(),(INDEX(DKW_10Y!$H$2:$H$2918,MATCH($A274,DKW_10Y!$A$2:$A$2918,1))-INDEX(DKW_10Y!$H$2:$H$2918,MATCH(Settings!$B$16,DKW_10Y!$A$2:$A$2918,1)))*100))</f>
        <v/>
      </c>
      <c r="AC274" s="18">
        <f>IF(NOT(ISNUMBER($A274)),NA(),IFERROR(1*INDEX(BBG_Data!$N$2:$N$4000,MATCH($A274,BBG_Data!$M$2:$M$4000,0)),NA()))</f>
        <v/>
      </c>
      <c r="AD274" s="18">
        <f>IF(NOT(ISNUMBER($A274)),NA(),IFERROR(1*INDEX(BBG_Data!$P$2:$P$4000,MATCH($A274,BBG_Data!$O$2:$O$4000,0)),NA()))</f>
        <v/>
      </c>
      <c r="AE274" s="18">
        <f>IF(NOT(ISNUMBER($A274)),NA(),IFERROR(1*INDEX(BBG_Data!$R$2:$R$4000,MATCH($A274,BBG_Data!$Q$2:$Q$4000,0)),NA()))</f>
        <v/>
      </c>
      <c r="AF274" s="20">
        <f>IF(AND(ISNUMBER(B274),ISNUMBER(AC274)),(B274-AC274)*100,NA())</f>
        <v/>
      </c>
      <c r="AG274" s="20">
        <f>IF(AND(ISNUMBER(AE274),ISNUMBER(AD274)),(AE274-AD274)*100,NA())</f>
        <v/>
      </c>
      <c r="AH274" s="19">
        <f>IF(NOT(ISNUMBER($A274)),NA(),IFERROR(INDEX(BBG_Data!$T$2:$T$4000,MATCH($A274,BBG_Data!$S$2:$S$4000,0))*Settings!$B$25,NA()))</f>
        <v/>
      </c>
      <c r="AI274" s="19">
        <f>IF(NOT(ISNUMBER($A274)),NA(),IFERROR(INDEX(BBG_Data!$V$2:$V$4000,MATCH($A274,BBG_Data!$U$2:$U$4000,0))*Settings!$B$25,NA()))</f>
        <v/>
      </c>
      <c r="AJ274" s="19">
        <f>IF(NOT(ISNUMBER($A274)),NA(),IFERROR(1*INDEX(BBG_Data!$X$2:$X$4000,MATCH($A274,BBG_Data!$W$2:$W$4000,0)),NA()))</f>
        <v/>
      </c>
      <c r="AK274" s="19">
        <f>IF(NOT(ISNUMBER($A274)),NA(),IFERROR(1*INDEX(BBG_Data!$Z$2:$Z$4000,MATCH($A274,BBG_Data!$Y$2:$Y$4000,0)),NA()))</f>
        <v/>
      </c>
    </row>
    <row r="275">
      <c r="A275" s="17">
        <f>IF(ISNUMBER(BBG_Data!A275),BBG_Data!A275,"")</f>
        <v/>
      </c>
      <c r="B275" s="18">
        <f>IF(AND(ISNUMBER($A275),ISNUMBER(BBG_Data!B275)),BBG_Data!B275,NA())</f>
        <v/>
      </c>
      <c r="C275" s="18">
        <f>IF(NOT(ISNUMBER($A275)),NA(),IFERROR(1*INDEX(BBG_Data!$D$2:$D$4000,MATCH($A275,BBG_Data!$C$2:$C$4000,0)),NA()))</f>
        <v/>
      </c>
      <c r="D275" s="19">
        <f>IF(NOT(ISNUMBER($A275)),NA(),IFERROR(1*INDEX(BBG_Data!$F$2:$F$4000,MATCH($A275,BBG_Data!$E$2:$E$4000,0)),NA()))</f>
        <v/>
      </c>
      <c r="E275" s="19">
        <f>IF(NOT(ISNUMBER($A275)),NA(),IFERROR(1*INDEX(BBG_Data!$H$2:$H$4000,MATCH($A275,BBG_Data!$G$2:$G$4000,0)),NA()))</f>
        <v/>
      </c>
      <c r="F275" s="20">
        <f>IF(AND(ISNUMBER(B275),ISNUMBER(B274)),IF(B275=B274,"",(B275-B274)*100),"")</f>
        <v/>
      </c>
      <c r="G275" s="20">
        <f>IF(AND(ISNUMBER(C275),ISNUMBER(C274)),IF(C275=C274,"",(C275-C274)*100),"")</f>
        <v/>
      </c>
      <c r="H275" s="20">
        <f>IF(OR(NOT(ISNUMBER($A275)),ROW()-2&lt;Settings!$B$11),NA(),IF(COUNT(OFFSET(F275,1-Settings!$B$11,0,Settings!$B$11,1))&lt;ROUNDUP(Settings!$B$11*Settings!$B$26,0),NA(),STDEV(OFFSET(F275,1-Settings!$B$11,0,Settings!$B$11,1))*SQRT(Settings!$B$13)))</f>
        <v/>
      </c>
      <c r="I275" s="20">
        <f>IF(OR(NOT(ISNUMBER($A275)),ROW()-2&lt;Settings!$B$12),NA(),IF(COUNT(OFFSET(F275,1-Settings!$B$12,0,Settings!$B$12,1))&lt;ROUNDUP(Settings!$B$12*Settings!$B$26,0),NA(),STDEV(OFFSET(F275,1-Settings!$B$12,0,Settings!$B$12,1))*SQRT(Settings!$B$13)))</f>
        <v/>
      </c>
      <c r="J275" s="20">
        <f>IF(OR(NOT(ISNUMBER($A275)),ROW()-2&lt;Settings!$B$11),NA(),IF(COUNT(OFFSET(G275,1-Settings!$B$11,0,Settings!$B$11,1))&lt;ROUNDUP(Settings!$B$11*Settings!$B$26,0),NA(),STDEV(OFFSET(G275,1-Settings!$B$11,0,Settings!$B$11,1))*SQRT(Settings!$B$13)))</f>
        <v/>
      </c>
      <c r="K275" s="20">
        <f>IF(OR(NOT(ISNUMBER($A275)),ROW()-2&lt;Settings!$B$12),NA(),IF(COUNT(OFFSET(G275,1-Settings!$B$12,0,Settings!$B$12,1))&lt;ROUNDUP(Settings!$B$12*Settings!$B$26,0),NA(),STDEV(OFFSET(G275,1-Settings!$B$12,0,Settings!$B$12,1))*SQRT(Settings!$B$13)))</f>
        <v/>
      </c>
      <c r="L275" s="20">
        <f>IF(AND(ISNUMBER(D275),ISNUMBER(H275)),D275-H275,NA())</f>
        <v/>
      </c>
      <c r="M275" s="20">
        <f>IF(AND(ISNUMBER(E275),ISNUMBER(K275)),E275-K275,NA())</f>
        <v/>
      </c>
      <c r="N275" s="20">
        <f>IF(NOT(ISNUMBER($A275)),NA(),IF(COUNT(OFFSET(G275,1,0,Settings!$B$12,1))&lt;ROUNDUP(Settings!$B$12*Settings!$B$26,0),NA(),STDEV(OFFSET(G275,1,0,Settings!$B$12,1))*SQRT(Settings!$B$13)))</f>
        <v/>
      </c>
      <c r="O275" s="20">
        <f>IF(AND(ISNUMBER(E275),ISNUMBER(N275)),E275-N275,NA())</f>
        <v/>
      </c>
      <c r="P275" s="19">
        <f>IF(NOT(ISNUMBER($A275)),NA(),IF(OR($A275&lt;MIN(KW_TP!$A$2:$A$2501),$A275&gt;MAX(KW_TP!$A$2:$A$2501)),NA(),INDEX(KW_TP!$C$2:$C$2501,MATCH($A275,KW_TP!$A$2:$A$2501,1))))</f>
        <v/>
      </c>
      <c r="Q275" s="18">
        <f>IF(NOT(ISNUMBER($A275)),NA(),IFERROR(1*INDEX(BBG_Data!$J$2:$J$4000,MATCH($A275,BBG_Data!$I$2:$I$4000,0)),NA()))</f>
        <v/>
      </c>
      <c r="R275" s="18">
        <f>IF(NOT(ISNUMBER($A275)),NA(),IFERROR(1*INDEX(BBG_Data!$L$2:$L$4000,MATCH($A275,BBG_Data!$K$2:$K$4000,0)),NA()))</f>
        <v/>
      </c>
      <c r="S275" s="20">
        <f>IF(AND(ISNUMBER(B275),ISNUMBER(Q275),ISNUMBER(R275)),(B275-Q275-R275)*100,NA())</f>
        <v/>
      </c>
      <c r="T275" s="20">
        <f>IF(AND(ISNUMBER(B275),Settings!$B$17&gt;0),IF(ISNUMBER(INDEX($B:$B,Settings!$B$17)),(B275-INDEX($B:$B,Settings!$B$17))*100,NA()),NA())</f>
        <v/>
      </c>
      <c r="U275" s="20">
        <f>IF(AND(ISNUMBER(Q275),Settings!$B$17&gt;0),IF(ISNUMBER(INDEX($Q:$Q,Settings!$B$17)),(Q275-INDEX($Q:$Q,Settings!$B$17))*100,NA()),NA())</f>
        <v/>
      </c>
      <c r="V275" s="20">
        <f>IF(AND(ISNUMBER(R275),Settings!$B$17&gt;0),IF(ISNUMBER(INDEX($R:$R,Settings!$B$17)),(R275-INDEX($R:$R,Settings!$B$17))*100,NA()),NA())</f>
        <v/>
      </c>
      <c r="W275" s="20">
        <f>IF(AND(ISNUMBER(P275),Settings!$B$17&gt;0),IF(ISNUMBER(INDEX($P:$P,Settings!$B$17)),P275-INDEX($P:$P,Settings!$B$17),NA()),NA())</f>
        <v/>
      </c>
      <c r="X275" s="19">
        <f>IF(NOT(ISNUMBER($A275)),NA(),IF(OR($A275&lt;MIN(DKW_10Y!$A$2:$A$2918),$A275&gt;MAX(DKW_10Y!$A$2:$A$2918),Settings!$B$16&lt;MIN(DKW_10Y!$A$2:$A$2918)),NA(),(INDEX(DKW_10Y!$B$2:$B$2918,MATCH($A275,DKW_10Y!$A$2:$A$2918,1))-INDEX(DKW_10Y!$B$2:$B$2918,MATCH(Settings!$B$16,DKW_10Y!$A$2:$A$2918,1)))*100))</f>
        <v/>
      </c>
      <c r="Y275" s="19">
        <f>IF(NOT(ISNUMBER($A275)),NA(),IF(OR($A275&lt;MIN(DKW_10Y!$A$2:$A$2918),$A275&gt;MAX(DKW_10Y!$A$2:$A$2918),Settings!$B$16&lt;MIN(DKW_10Y!$A$2:$A$2918)),NA(),(INDEX(DKW_10Y!$C$2:$C$2918,MATCH($A275,DKW_10Y!$A$2:$A$2918,1))-INDEX(DKW_10Y!$C$2:$C$2918,MATCH(Settings!$B$16,DKW_10Y!$A$2:$A$2918,1)))*100))</f>
        <v/>
      </c>
      <c r="Z275" s="19">
        <f>IF(NOT(ISNUMBER($A275)),NA(),IF(OR($A275&lt;MIN(DKW_10Y!$A$2:$A$2918),$A275&gt;MAX(DKW_10Y!$A$2:$A$2918),Settings!$B$16&lt;MIN(DKW_10Y!$A$2:$A$2918)),NA(),(INDEX(DKW_10Y!$D$2:$D$2918,MATCH($A275,DKW_10Y!$A$2:$A$2918,1))-INDEX(DKW_10Y!$D$2:$D$2918,MATCH(Settings!$B$16,DKW_10Y!$A$2:$A$2918,1)))*100))</f>
        <v/>
      </c>
      <c r="AA275" s="19">
        <f>IF(NOT(ISNUMBER($A275)),NA(),IF(OR($A275&lt;MIN(DKW_10Y!$A$2:$A$2918),$A275&gt;MAX(DKW_10Y!$A$2:$A$2918),Settings!$B$16&lt;MIN(DKW_10Y!$A$2:$A$2918)),NA(),(INDEX(DKW_10Y!$E$2:$E$2918,MATCH($A275,DKW_10Y!$A$2:$A$2918,1))-INDEX(DKW_10Y!$E$2:$E$2918,MATCH(Settings!$B$16,DKW_10Y!$A$2:$A$2918,1)))*100))</f>
        <v/>
      </c>
      <c r="AB275" s="19">
        <f>IF(NOT(ISNUMBER($A275)),NA(),IF(OR($A275&lt;MIN(DKW_10Y!$A$2:$A$2918),$A275&gt;MAX(DKW_10Y!$A$2:$A$2918),Settings!$B$16&lt;MIN(DKW_10Y!$A$2:$A$2918)),NA(),(INDEX(DKW_10Y!$H$2:$H$2918,MATCH($A275,DKW_10Y!$A$2:$A$2918,1))-INDEX(DKW_10Y!$H$2:$H$2918,MATCH(Settings!$B$16,DKW_10Y!$A$2:$A$2918,1)))*100))</f>
        <v/>
      </c>
      <c r="AC275" s="18">
        <f>IF(NOT(ISNUMBER($A275)),NA(),IFERROR(1*INDEX(BBG_Data!$N$2:$N$4000,MATCH($A275,BBG_Data!$M$2:$M$4000,0)),NA()))</f>
        <v/>
      </c>
      <c r="AD275" s="18">
        <f>IF(NOT(ISNUMBER($A275)),NA(),IFERROR(1*INDEX(BBG_Data!$P$2:$P$4000,MATCH($A275,BBG_Data!$O$2:$O$4000,0)),NA()))</f>
        <v/>
      </c>
      <c r="AE275" s="18">
        <f>IF(NOT(ISNUMBER($A275)),NA(),IFERROR(1*INDEX(BBG_Data!$R$2:$R$4000,MATCH($A275,BBG_Data!$Q$2:$Q$4000,0)),NA()))</f>
        <v/>
      </c>
      <c r="AF275" s="20">
        <f>IF(AND(ISNUMBER(B275),ISNUMBER(AC275)),(B275-AC275)*100,NA())</f>
        <v/>
      </c>
      <c r="AG275" s="20">
        <f>IF(AND(ISNUMBER(AE275),ISNUMBER(AD275)),(AE275-AD275)*100,NA())</f>
        <v/>
      </c>
      <c r="AH275" s="19">
        <f>IF(NOT(ISNUMBER($A275)),NA(),IFERROR(INDEX(BBG_Data!$T$2:$T$4000,MATCH($A275,BBG_Data!$S$2:$S$4000,0))*Settings!$B$25,NA()))</f>
        <v/>
      </c>
      <c r="AI275" s="19">
        <f>IF(NOT(ISNUMBER($A275)),NA(),IFERROR(INDEX(BBG_Data!$V$2:$V$4000,MATCH($A275,BBG_Data!$U$2:$U$4000,0))*Settings!$B$25,NA()))</f>
        <v/>
      </c>
      <c r="AJ275" s="19">
        <f>IF(NOT(ISNUMBER($A275)),NA(),IFERROR(1*INDEX(BBG_Data!$X$2:$X$4000,MATCH($A275,BBG_Data!$W$2:$W$4000,0)),NA()))</f>
        <v/>
      </c>
      <c r="AK275" s="19">
        <f>IF(NOT(ISNUMBER($A275)),NA(),IFERROR(1*INDEX(BBG_Data!$Z$2:$Z$4000,MATCH($A275,BBG_Data!$Y$2:$Y$4000,0)),NA()))</f>
        <v/>
      </c>
    </row>
    <row r="276">
      <c r="A276" s="17">
        <f>IF(ISNUMBER(BBG_Data!A276),BBG_Data!A276,"")</f>
        <v/>
      </c>
      <c r="B276" s="18">
        <f>IF(AND(ISNUMBER($A276),ISNUMBER(BBG_Data!B276)),BBG_Data!B276,NA())</f>
        <v/>
      </c>
      <c r="C276" s="18">
        <f>IF(NOT(ISNUMBER($A276)),NA(),IFERROR(1*INDEX(BBG_Data!$D$2:$D$4000,MATCH($A276,BBG_Data!$C$2:$C$4000,0)),NA()))</f>
        <v/>
      </c>
      <c r="D276" s="19">
        <f>IF(NOT(ISNUMBER($A276)),NA(),IFERROR(1*INDEX(BBG_Data!$F$2:$F$4000,MATCH($A276,BBG_Data!$E$2:$E$4000,0)),NA()))</f>
        <v/>
      </c>
      <c r="E276" s="19">
        <f>IF(NOT(ISNUMBER($A276)),NA(),IFERROR(1*INDEX(BBG_Data!$H$2:$H$4000,MATCH($A276,BBG_Data!$G$2:$G$4000,0)),NA()))</f>
        <v/>
      </c>
      <c r="F276" s="20">
        <f>IF(AND(ISNUMBER(B276),ISNUMBER(B275)),IF(B276=B275,"",(B276-B275)*100),"")</f>
        <v/>
      </c>
      <c r="G276" s="20">
        <f>IF(AND(ISNUMBER(C276),ISNUMBER(C275)),IF(C276=C275,"",(C276-C275)*100),"")</f>
        <v/>
      </c>
      <c r="H276" s="20">
        <f>IF(OR(NOT(ISNUMBER($A276)),ROW()-2&lt;Settings!$B$11),NA(),IF(COUNT(OFFSET(F276,1-Settings!$B$11,0,Settings!$B$11,1))&lt;ROUNDUP(Settings!$B$11*Settings!$B$26,0),NA(),STDEV(OFFSET(F276,1-Settings!$B$11,0,Settings!$B$11,1))*SQRT(Settings!$B$13)))</f>
        <v/>
      </c>
      <c r="I276" s="20">
        <f>IF(OR(NOT(ISNUMBER($A276)),ROW()-2&lt;Settings!$B$12),NA(),IF(COUNT(OFFSET(F276,1-Settings!$B$12,0,Settings!$B$12,1))&lt;ROUNDUP(Settings!$B$12*Settings!$B$26,0),NA(),STDEV(OFFSET(F276,1-Settings!$B$12,0,Settings!$B$12,1))*SQRT(Settings!$B$13)))</f>
        <v/>
      </c>
      <c r="J276" s="20">
        <f>IF(OR(NOT(ISNUMBER($A276)),ROW()-2&lt;Settings!$B$11),NA(),IF(COUNT(OFFSET(G276,1-Settings!$B$11,0,Settings!$B$11,1))&lt;ROUNDUP(Settings!$B$11*Settings!$B$26,0),NA(),STDEV(OFFSET(G276,1-Settings!$B$11,0,Settings!$B$11,1))*SQRT(Settings!$B$13)))</f>
        <v/>
      </c>
      <c r="K276" s="20">
        <f>IF(OR(NOT(ISNUMBER($A276)),ROW()-2&lt;Settings!$B$12),NA(),IF(COUNT(OFFSET(G276,1-Settings!$B$12,0,Settings!$B$12,1))&lt;ROUNDUP(Settings!$B$12*Settings!$B$26,0),NA(),STDEV(OFFSET(G276,1-Settings!$B$12,0,Settings!$B$12,1))*SQRT(Settings!$B$13)))</f>
        <v/>
      </c>
      <c r="L276" s="20">
        <f>IF(AND(ISNUMBER(D276),ISNUMBER(H276)),D276-H276,NA())</f>
        <v/>
      </c>
      <c r="M276" s="20">
        <f>IF(AND(ISNUMBER(E276),ISNUMBER(K276)),E276-K276,NA())</f>
        <v/>
      </c>
      <c r="N276" s="20">
        <f>IF(NOT(ISNUMBER($A276)),NA(),IF(COUNT(OFFSET(G276,1,0,Settings!$B$12,1))&lt;ROUNDUP(Settings!$B$12*Settings!$B$26,0),NA(),STDEV(OFFSET(G276,1,0,Settings!$B$12,1))*SQRT(Settings!$B$13)))</f>
        <v/>
      </c>
      <c r="O276" s="20">
        <f>IF(AND(ISNUMBER(E276),ISNUMBER(N276)),E276-N276,NA())</f>
        <v/>
      </c>
      <c r="P276" s="19">
        <f>IF(NOT(ISNUMBER($A276)),NA(),IF(OR($A276&lt;MIN(KW_TP!$A$2:$A$2501),$A276&gt;MAX(KW_TP!$A$2:$A$2501)),NA(),INDEX(KW_TP!$C$2:$C$2501,MATCH($A276,KW_TP!$A$2:$A$2501,1))))</f>
        <v/>
      </c>
      <c r="Q276" s="18">
        <f>IF(NOT(ISNUMBER($A276)),NA(),IFERROR(1*INDEX(BBG_Data!$J$2:$J$4000,MATCH($A276,BBG_Data!$I$2:$I$4000,0)),NA()))</f>
        <v/>
      </c>
      <c r="R276" s="18">
        <f>IF(NOT(ISNUMBER($A276)),NA(),IFERROR(1*INDEX(BBG_Data!$L$2:$L$4000,MATCH($A276,BBG_Data!$K$2:$K$4000,0)),NA()))</f>
        <v/>
      </c>
      <c r="S276" s="20">
        <f>IF(AND(ISNUMBER(B276),ISNUMBER(Q276),ISNUMBER(R276)),(B276-Q276-R276)*100,NA())</f>
        <v/>
      </c>
      <c r="T276" s="20">
        <f>IF(AND(ISNUMBER(B276),Settings!$B$17&gt;0),IF(ISNUMBER(INDEX($B:$B,Settings!$B$17)),(B276-INDEX($B:$B,Settings!$B$17))*100,NA()),NA())</f>
        <v/>
      </c>
      <c r="U276" s="20">
        <f>IF(AND(ISNUMBER(Q276),Settings!$B$17&gt;0),IF(ISNUMBER(INDEX($Q:$Q,Settings!$B$17)),(Q276-INDEX($Q:$Q,Settings!$B$17))*100,NA()),NA())</f>
        <v/>
      </c>
      <c r="V276" s="20">
        <f>IF(AND(ISNUMBER(R276),Settings!$B$17&gt;0),IF(ISNUMBER(INDEX($R:$R,Settings!$B$17)),(R276-INDEX($R:$R,Settings!$B$17))*100,NA()),NA())</f>
        <v/>
      </c>
      <c r="W276" s="20">
        <f>IF(AND(ISNUMBER(P276),Settings!$B$17&gt;0),IF(ISNUMBER(INDEX($P:$P,Settings!$B$17)),P276-INDEX($P:$P,Settings!$B$17),NA()),NA())</f>
        <v/>
      </c>
      <c r="X276" s="19">
        <f>IF(NOT(ISNUMBER($A276)),NA(),IF(OR($A276&lt;MIN(DKW_10Y!$A$2:$A$2918),$A276&gt;MAX(DKW_10Y!$A$2:$A$2918),Settings!$B$16&lt;MIN(DKW_10Y!$A$2:$A$2918)),NA(),(INDEX(DKW_10Y!$B$2:$B$2918,MATCH($A276,DKW_10Y!$A$2:$A$2918,1))-INDEX(DKW_10Y!$B$2:$B$2918,MATCH(Settings!$B$16,DKW_10Y!$A$2:$A$2918,1)))*100))</f>
        <v/>
      </c>
      <c r="Y276" s="19">
        <f>IF(NOT(ISNUMBER($A276)),NA(),IF(OR($A276&lt;MIN(DKW_10Y!$A$2:$A$2918),$A276&gt;MAX(DKW_10Y!$A$2:$A$2918),Settings!$B$16&lt;MIN(DKW_10Y!$A$2:$A$2918)),NA(),(INDEX(DKW_10Y!$C$2:$C$2918,MATCH($A276,DKW_10Y!$A$2:$A$2918,1))-INDEX(DKW_10Y!$C$2:$C$2918,MATCH(Settings!$B$16,DKW_10Y!$A$2:$A$2918,1)))*100))</f>
        <v/>
      </c>
      <c r="Z276" s="19">
        <f>IF(NOT(ISNUMBER($A276)),NA(),IF(OR($A276&lt;MIN(DKW_10Y!$A$2:$A$2918),$A276&gt;MAX(DKW_10Y!$A$2:$A$2918),Settings!$B$16&lt;MIN(DKW_10Y!$A$2:$A$2918)),NA(),(INDEX(DKW_10Y!$D$2:$D$2918,MATCH($A276,DKW_10Y!$A$2:$A$2918,1))-INDEX(DKW_10Y!$D$2:$D$2918,MATCH(Settings!$B$16,DKW_10Y!$A$2:$A$2918,1)))*100))</f>
        <v/>
      </c>
      <c r="AA276" s="19">
        <f>IF(NOT(ISNUMBER($A276)),NA(),IF(OR($A276&lt;MIN(DKW_10Y!$A$2:$A$2918),$A276&gt;MAX(DKW_10Y!$A$2:$A$2918),Settings!$B$16&lt;MIN(DKW_10Y!$A$2:$A$2918)),NA(),(INDEX(DKW_10Y!$E$2:$E$2918,MATCH($A276,DKW_10Y!$A$2:$A$2918,1))-INDEX(DKW_10Y!$E$2:$E$2918,MATCH(Settings!$B$16,DKW_10Y!$A$2:$A$2918,1)))*100))</f>
        <v/>
      </c>
      <c r="AB276" s="19">
        <f>IF(NOT(ISNUMBER($A276)),NA(),IF(OR($A276&lt;MIN(DKW_10Y!$A$2:$A$2918),$A276&gt;MAX(DKW_10Y!$A$2:$A$2918),Settings!$B$16&lt;MIN(DKW_10Y!$A$2:$A$2918)),NA(),(INDEX(DKW_10Y!$H$2:$H$2918,MATCH($A276,DKW_10Y!$A$2:$A$2918,1))-INDEX(DKW_10Y!$H$2:$H$2918,MATCH(Settings!$B$16,DKW_10Y!$A$2:$A$2918,1)))*100))</f>
        <v/>
      </c>
      <c r="AC276" s="18">
        <f>IF(NOT(ISNUMBER($A276)),NA(),IFERROR(1*INDEX(BBG_Data!$N$2:$N$4000,MATCH($A276,BBG_Data!$M$2:$M$4000,0)),NA()))</f>
        <v/>
      </c>
      <c r="AD276" s="18">
        <f>IF(NOT(ISNUMBER($A276)),NA(),IFERROR(1*INDEX(BBG_Data!$P$2:$P$4000,MATCH($A276,BBG_Data!$O$2:$O$4000,0)),NA()))</f>
        <v/>
      </c>
      <c r="AE276" s="18">
        <f>IF(NOT(ISNUMBER($A276)),NA(),IFERROR(1*INDEX(BBG_Data!$R$2:$R$4000,MATCH($A276,BBG_Data!$Q$2:$Q$4000,0)),NA()))</f>
        <v/>
      </c>
      <c r="AF276" s="20">
        <f>IF(AND(ISNUMBER(B276),ISNUMBER(AC276)),(B276-AC276)*100,NA())</f>
        <v/>
      </c>
      <c r="AG276" s="20">
        <f>IF(AND(ISNUMBER(AE276),ISNUMBER(AD276)),(AE276-AD276)*100,NA())</f>
        <v/>
      </c>
      <c r="AH276" s="19">
        <f>IF(NOT(ISNUMBER($A276)),NA(),IFERROR(INDEX(BBG_Data!$T$2:$T$4000,MATCH($A276,BBG_Data!$S$2:$S$4000,0))*Settings!$B$25,NA()))</f>
        <v/>
      </c>
      <c r="AI276" s="19">
        <f>IF(NOT(ISNUMBER($A276)),NA(),IFERROR(INDEX(BBG_Data!$V$2:$V$4000,MATCH($A276,BBG_Data!$U$2:$U$4000,0))*Settings!$B$25,NA()))</f>
        <v/>
      </c>
      <c r="AJ276" s="19">
        <f>IF(NOT(ISNUMBER($A276)),NA(),IFERROR(1*INDEX(BBG_Data!$X$2:$X$4000,MATCH($A276,BBG_Data!$W$2:$W$4000,0)),NA()))</f>
        <v/>
      </c>
      <c r="AK276" s="19">
        <f>IF(NOT(ISNUMBER($A276)),NA(),IFERROR(1*INDEX(BBG_Data!$Z$2:$Z$4000,MATCH($A276,BBG_Data!$Y$2:$Y$4000,0)),NA()))</f>
        <v/>
      </c>
    </row>
    <row r="277">
      <c r="A277" s="17">
        <f>IF(ISNUMBER(BBG_Data!A277),BBG_Data!A277,"")</f>
        <v/>
      </c>
      <c r="B277" s="18">
        <f>IF(AND(ISNUMBER($A277),ISNUMBER(BBG_Data!B277)),BBG_Data!B277,NA())</f>
        <v/>
      </c>
      <c r="C277" s="18">
        <f>IF(NOT(ISNUMBER($A277)),NA(),IFERROR(1*INDEX(BBG_Data!$D$2:$D$4000,MATCH($A277,BBG_Data!$C$2:$C$4000,0)),NA()))</f>
        <v/>
      </c>
      <c r="D277" s="19">
        <f>IF(NOT(ISNUMBER($A277)),NA(),IFERROR(1*INDEX(BBG_Data!$F$2:$F$4000,MATCH($A277,BBG_Data!$E$2:$E$4000,0)),NA()))</f>
        <v/>
      </c>
      <c r="E277" s="19">
        <f>IF(NOT(ISNUMBER($A277)),NA(),IFERROR(1*INDEX(BBG_Data!$H$2:$H$4000,MATCH($A277,BBG_Data!$G$2:$G$4000,0)),NA()))</f>
        <v/>
      </c>
      <c r="F277" s="20">
        <f>IF(AND(ISNUMBER(B277),ISNUMBER(B276)),IF(B277=B276,"",(B277-B276)*100),"")</f>
        <v/>
      </c>
      <c r="G277" s="20">
        <f>IF(AND(ISNUMBER(C277),ISNUMBER(C276)),IF(C277=C276,"",(C277-C276)*100),"")</f>
        <v/>
      </c>
      <c r="H277" s="20">
        <f>IF(OR(NOT(ISNUMBER($A277)),ROW()-2&lt;Settings!$B$11),NA(),IF(COUNT(OFFSET(F277,1-Settings!$B$11,0,Settings!$B$11,1))&lt;ROUNDUP(Settings!$B$11*Settings!$B$26,0),NA(),STDEV(OFFSET(F277,1-Settings!$B$11,0,Settings!$B$11,1))*SQRT(Settings!$B$13)))</f>
        <v/>
      </c>
      <c r="I277" s="20">
        <f>IF(OR(NOT(ISNUMBER($A277)),ROW()-2&lt;Settings!$B$12),NA(),IF(COUNT(OFFSET(F277,1-Settings!$B$12,0,Settings!$B$12,1))&lt;ROUNDUP(Settings!$B$12*Settings!$B$26,0),NA(),STDEV(OFFSET(F277,1-Settings!$B$12,0,Settings!$B$12,1))*SQRT(Settings!$B$13)))</f>
        <v/>
      </c>
      <c r="J277" s="20">
        <f>IF(OR(NOT(ISNUMBER($A277)),ROW()-2&lt;Settings!$B$11),NA(),IF(COUNT(OFFSET(G277,1-Settings!$B$11,0,Settings!$B$11,1))&lt;ROUNDUP(Settings!$B$11*Settings!$B$26,0),NA(),STDEV(OFFSET(G277,1-Settings!$B$11,0,Settings!$B$11,1))*SQRT(Settings!$B$13)))</f>
        <v/>
      </c>
      <c r="K277" s="20">
        <f>IF(OR(NOT(ISNUMBER($A277)),ROW()-2&lt;Settings!$B$12),NA(),IF(COUNT(OFFSET(G277,1-Settings!$B$12,0,Settings!$B$12,1))&lt;ROUNDUP(Settings!$B$12*Settings!$B$26,0),NA(),STDEV(OFFSET(G277,1-Settings!$B$12,0,Settings!$B$12,1))*SQRT(Settings!$B$13)))</f>
        <v/>
      </c>
      <c r="L277" s="20">
        <f>IF(AND(ISNUMBER(D277),ISNUMBER(H277)),D277-H277,NA())</f>
        <v/>
      </c>
      <c r="M277" s="20">
        <f>IF(AND(ISNUMBER(E277),ISNUMBER(K277)),E277-K277,NA())</f>
        <v/>
      </c>
      <c r="N277" s="20">
        <f>IF(NOT(ISNUMBER($A277)),NA(),IF(COUNT(OFFSET(G277,1,0,Settings!$B$12,1))&lt;ROUNDUP(Settings!$B$12*Settings!$B$26,0),NA(),STDEV(OFFSET(G277,1,0,Settings!$B$12,1))*SQRT(Settings!$B$13)))</f>
        <v/>
      </c>
      <c r="O277" s="20">
        <f>IF(AND(ISNUMBER(E277),ISNUMBER(N277)),E277-N277,NA())</f>
        <v/>
      </c>
      <c r="P277" s="19">
        <f>IF(NOT(ISNUMBER($A277)),NA(),IF(OR($A277&lt;MIN(KW_TP!$A$2:$A$2501),$A277&gt;MAX(KW_TP!$A$2:$A$2501)),NA(),INDEX(KW_TP!$C$2:$C$2501,MATCH($A277,KW_TP!$A$2:$A$2501,1))))</f>
        <v/>
      </c>
      <c r="Q277" s="18">
        <f>IF(NOT(ISNUMBER($A277)),NA(),IFERROR(1*INDEX(BBG_Data!$J$2:$J$4000,MATCH($A277,BBG_Data!$I$2:$I$4000,0)),NA()))</f>
        <v/>
      </c>
      <c r="R277" s="18">
        <f>IF(NOT(ISNUMBER($A277)),NA(),IFERROR(1*INDEX(BBG_Data!$L$2:$L$4000,MATCH($A277,BBG_Data!$K$2:$K$4000,0)),NA()))</f>
        <v/>
      </c>
      <c r="S277" s="20">
        <f>IF(AND(ISNUMBER(B277),ISNUMBER(Q277),ISNUMBER(R277)),(B277-Q277-R277)*100,NA())</f>
        <v/>
      </c>
      <c r="T277" s="20">
        <f>IF(AND(ISNUMBER(B277),Settings!$B$17&gt;0),IF(ISNUMBER(INDEX($B:$B,Settings!$B$17)),(B277-INDEX($B:$B,Settings!$B$17))*100,NA()),NA())</f>
        <v/>
      </c>
      <c r="U277" s="20">
        <f>IF(AND(ISNUMBER(Q277),Settings!$B$17&gt;0),IF(ISNUMBER(INDEX($Q:$Q,Settings!$B$17)),(Q277-INDEX($Q:$Q,Settings!$B$17))*100,NA()),NA())</f>
        <v/>
      </c>
      <c r="V277" s="20">
        <f>IF(AND(ISNUMBER(R277),Settings!$B$17&gt;0),IF(ISNUMBER(INDEX($R:$R,Settings!$B$17)),(R277-INDEX($R:$R,Settings!$B$17))*100,NA()),NA())</f>
        <v/>
      </c>
      <c r="W277" s="20">
        <f>IF(AND(ISNUMBER(P277),Settings!$B$17&gt;0),IF(ISNUMBER(INDEX($P:$P,Settings!$B$17)),P277-INDEX($P:$P,Settings!$B$17),NA()),NA())</f>
        <v/>
      </c>
      <c r="X277" s="19">
        <f>IF(NOT(ISNUMBER($A277)),NA(),IF(OR($A277&lt;MIN(DKW_10Y!$A$2:$A$2918),$A277&gt;MAX(DKW_10Y!$A$2:$A$2918),Settings!$B$16&lt;MIN(DKW_10Y!$A$2:$A$2918)),NA(),(INDEX(DKW_10Y!$B$2:$B$2918,MATCH($A277,DKW_10Y!$A$2:$A$2918,1))-INDEX(DKW_10Y!$B$2:$B$2918,MATCH(Settings!$B$16,DKW_10Y!$A$2:$A$2918,1)))*100))</f>
        <v/>
      </c>
      <c r="Y277" s="19">
        <f>IF(NOT(ISNUMBER($A277)),NA(),IF(OR($A277&lt;MIN(DKW_10Y!$A$2:$A$2918),$A277&gt;MAX(DKW_10Y!$A$2:$A$2918),Settings!$B$16&lt;MIN(DKW_10Y!$A$2:$A$2918)),NA(),(INDEX(DKW_10Y!$C$2:$C$2918,MATCH($A277,DKW_10Y!$A$2:$A$2918,1))-INDEX(DKW_10Y!$C$2:$C$2918,MATCH(Settings!$B$16,DKW_10Y!$A$2:$A$2918,1)))*100))</f>
        <v/>
      </c>
      <c r="Z277" s="19">
        <f>IF(NOT(ISNUMBER($A277)),NA(),IF(OR($A277&lt;MIN(DKW_10Y!$A$2:$A$2918),$A277&gt;MAX(DKW_10Y!$A$2:$A$2918),Settings!$B$16&lt;MIN(DKW_10Y!$A$2:$A$2918)),NA(),(INDEX(DKW_10Y!$D$2:$D$2918,MATCH($A277,DKW_10Y!$A$2:$A$2918,1))-INDEX(DKW_10Y!$D$2:$D$2918,MATCH(Settings!$B$16,DKW_10Y!$A$2:$A$2918,1)))*100))</f>
        <v/>
      </c>
      <c r="AA277" s="19">
        <f>IF(NOT(ISNUMBER($A277)),NA(),IF(OR($A277&lt;MIN(DKW_10Y!$A$2:$A$2918),$A277&gt;MAX(DKW_10Y!$A$2:$A$2918),Settings!$B$16&lt;MIN(DKW_10Y!$A$2:$A$2918)),NA(),(INDEX(DKW_10Y!$E$2:$E$2918,MATCH($A277,DKW_10Y!$A$2:$A$2918,1))-INDEX(DKW_10Y!$E$2:$E$2918,MATCH(Settings!$B$16,DKW_10Y!$A$2:$A$2918,1)))*100))</f>
        <v/>
      </c>
      <c r="AB277" s="19">
        <f>IF(NOT(ISNUMBER($A277)),NA(),IF(OR($A277&lt;MIN(DKW_10Y!$A$2:$A$2918),$A277&gt;MAX(DKW_10Y!$A$2:$A$2918),Settings!$B$16&lt;MIN(DKW_10Y!$A$2:$A$2918)),NA(),(INDEX(DKW_10Y!$H$2:$H$2918,MATCH($A277,DKW_10Y!$A$2:$A$2918,1))-INDEX(DKW_10Y!$H$2:$H$2918,MATCH(Settings!$B$16,DKW_10Y!$A$2:$A$2918,1)))*100))</f>
        <v/>
      </c>
      <c r="AC277" s="18">
        <f>IF(NOT(ISNUMBER($A277)),NA(),IFERROR(1*INDEX(BBG_Data!$N$2:$N$4000,MATCH($A277,BBG_Data!$M$2:$M$4000,0)),NA()))</f>
        <v/>
      </c>
      <c r="AD277" s="18">
        <f>IF(NOT(ISNUMBER($A277)),NA(),IFERROR(1*INDEX(BBG_Data!$P$2:$P$4000,MATCH($A277,BBG_Data!$O$2:$O$4000,0)),NA()))</f>
        <v/>
      </c>
      <c r="AE277" s="18">
        <f>IF(NOT(ISNUMBER($A277)),NA(),IFERROR(1*INDEX(BBG_Data!$R$2:$R$4000,MATCH($A277,BBG_Data!$Q$2:$Q$4000,0)),NA()))</f>
        <v/>
      </c>
      <c r="AF277" s="20">
        <f>IF(AND(ISNUMBER(B277),ISNUMBER(AC277)),(B277-AC277)*100,NA())</f>
        <v/>
      </c>
      <c r="AG277" s="20">
        <f>IF(AND(ISNUMBER(AE277),ISNUMBER(AD277)),(AE277-AD277)*100,NA())</f>
        <v/>
      </c>
      <c r="AH277" s="19">
        <f>IF(NOT(ISNUMBER($A277)),NA(),IFERROR(INDEX(BBG_Data!$T$2:$T$4000,MATCH($A277,BBG_Data!$S$2:$S$4000,0))*Settings!$B$25,NA()))</f>
        <v/>
      </c>
      <c r="AI277" s="19">
        <f>IF(NOT(ISNUMBER($A277)),NA(),IFERROR(INDEX(BBG_Data!$V$2:$V$4000,MATCH($A277,BBG_Data!$U$2:$U$4000,0))*Settings!$B$25,NA()))</f>
        <v/>
      </c>
      <c r="AJ277" s="19">
        <f>IF(NOT(ISNUMBER($A277)),NA(),IFERROR(1*INDEX(BBG_Data!$X$2:$X$4000,MATCH($A277,BBG_Data!$W$2:$W$4000,0)),NA()))</f>
        <v/>
      </c>
      <c r="AK277" s="19">
        <f>IF(NOT(ISNUMBER($A277)),NA(),IFERROR(1*INDEX(BBG_Data!$Z$2:$Z$4000,MATCH($A277,BBG_Data!$Y$2:$Y$4000,0)),NA()))</f>
        <v/>
      </c>
    </row>
    <row r="278">
      <c r="A278" s="17">
        <f>IF(ISNUMBER(BBG_Data!A278),BBG_Data!A278,"")</f>
        <v/>
      </c>
      <c r="B278" s="18">
        <f>IF(AND(ISNUMBER($A278),ISNUMBER(BBG_Data!B278)),BBG_Data!B278,NA())</f>
        <v/>
      </c>
      <c r="C278" s="18">
        <f>IF(NOT(ISNUMBER($A278)),NA(),IFERROR(1*INDEX(BBG_Data!$D$2:$D$4000,MATCH($A278,BBG_Data!$C$2:$C$4000,0)),NA()))</f>
        <v/>
      </c>
      <c r="D278" s="19">
        <f>IF(NOT(ISNUMBER($A278)),NA(),IFERROR(1*INDEX(BBG_Data!$F$2:$F$4000,MATCH($A278,BBG_Data!$E$2:$E$4000,0)),NA()))</f>
        <v/>
      </c>
      <c r="E278" s="19">
        <f>IF(NOT(ISNUMBER($A278)),NA(),IFERROR(1*INDEX(BBG_Data!$H$2:$H$4000,MATCH($A278,BBG_Data!$G$2:$G$4000,0)),NA()))</f>
        <v/>
      </c>
      <c r="F278" s="20">
        <f>IF(AND(ISNUMBER(B278),ISNUMBER(B277)),IF(B278=B277,"",(B278-B277)*100),"")</f>
        <v/>
      </c>
      <c r="G278" s="20">
        <f>IF(AND(ISNUMBER(C278),ISNUMBER(C277)),IF(C278=C277,"",(C278-C277)*100),"")</f>
        <v/>
      </c>
      <c r="H278" s="20">
        <f>IF(OR(NOT(ISNUMBER($A278)),ROW()-2&lt;Settings!$B$11),NA(),IF(COUNT(OFFSET(F278,1-Settings!$B$11,0,Settings!$B$11,1))&lt;ROUNDUP(Settings!$B$11*Settings!$B$26,0),NA(),STDEV(OFFSET(F278,1-Settings!$B$11,0,Settings!$B$11,1))*SQRT(Settings!$B$13)))</f>
        <v/>
      </c>
      <c r="I278" s="20">
        <f>IF(OR(NOT(ISNUMBER($A278)),ROW()-2&lt;Settings!$B$12),NA(),IF(COUNT(OFFSET(F278,1-Settings!$B$12,0,Settings!$B$12,1))&lt;ROUNDUP(Settings!$B$12*Settings!$B$26,0),NA(),STDEV(OFFSET(F278,1-Settings!$B$12,0,Settings!$B$12,1))*SQRT(Settings!$B$13)))</f>
        <v/>
      </c>
      <c r="J278" s="20">
        <f>IF(OR(NOT(ISNUMBER($A278)),ROW()-2&lt;Settings!$B$11),NA(),IF(COUNT(OFFSET(G278,1-Settings!$B$11,0,Settings!$B$11,1))&lt;ROUNDUP(Settings!$B$11*Settings!$B$26,0),NA(),STDEV(OFFSET(G278,1-Settings!$B$11,0,Settings!$B$11,1))*SQRT(Settings!$B$13)))</f>
        <v/>
      </c>
      <c r="K278" s="20">
        <f>IF(OR(NOT(ISNUMBER($A278)),ROW()-2&lt;Settings!$B$12),NA(),IF(COUNT(OFFSET(G278,1-Settings!$B$12,0,Settings!$B$12,1))&lt;ROUNDUP(Settings!$B$12*Settings!$B$26,0),NA(),STDEV(OFFSET(G278,1-Settings!$B$12,0,Settings!$B$12,1))*SQRT(Settings!$B$13)))</f>
        <v/>
      </c>
      <c r="L278" s="20">
        <f>IF(AND(ISNUMBER(D278),ISNUMBER(H278)),D278-H278,NA())</f>
        <v/>
      </c>
      <c r="M278" s="20">
        <f>IF(AND(ISNUMBER(E278),ISNUMBER(K278)),E278-K278,NA())</f>
        <v/>
      </c>
      <c r="N278" s="20">
        <f>IF(NOT(ISNUMBER($A278)),NA(),IF(COUNT(OFFSET(G278,1,0,Settings!$B$12,1))&lt;ROUNDUP(Settings!$B$12*Settings!$B$26,0),NA(),STDEV(OFFSET(G278,1,0,Settings!$B$12,1))*SQRT(Settings!$B$13)))</f>
        <v/>
      </c>
      <c r="O278" s="20">
        <f>IF(AND(ISNUMBER(E278),ISNUMBER(N278)),E278-N278,NA())</f>
        <v/>
      </c>
      <c r="P278" s="19">
        <f>IF(NOT(ISNUMBER($A278)),NA(),IF(OR($A278&lt;MIN(KW_TP!$A$2:$A$2501),$A278&gt;MAX(KW_TP!$A$2:$A$2501)),NA(),INDEX(KW_TP!$C$2:$C$2501,MATCH($A278,KW_TP!$A$2:$A$2501,1))))</f>
        <v/>
      </c>
      <c r="Q278" s="18">
        <f>IF(NOT(ISNUMBER($A278)),NA(),IFERROR(1*INDEX(BBG_Data!$J$2:$J$4000,MATCH($A278,BBG_Data!$I$2:$I$4000,0)),NA()))</f>
        <v/>
      </c>
      <c r="R278" s="18">
        <f>IF(NOT(ISNUMBER($A278)),NA(),IFERROR(1*INDEX(BBG_Data!$L$2:$L$4000,MATCH($A278,BBG_Data!$K$2:$K$4000,0)),NA()))</f>
        <v/>
      </c>
      <c r="S278" s="20">
        <f>IF(AND(ISNUMBER(B278),ISNUMBER(Q278),ISNUMBER(R278)),(B278-Q278-R278)*100,NA())</f>
        <v/>
      </c>
      <c r="T278" s="20">
        <f>IF(AND(ISNUMBER(B278),Settings!$B$17&gt;0),IF(ISNUMBER(INDEX($B:$B,Settings!$B$17)),(B278-INDEX($B:$B,Settings!$B$17))*100,NA()),NA())</f>
        <v/>
      </c>
      <c r="U278" s="20">
        <f>IF(AND(ISNUMBER(Q278),Settings!$B$17&gt;0),IF(ISNUMBER(INDEX($Q:$Q,Settings!$B$17)),(Q278-INDEX($Q:$Q,Settings!$B$17))*100,NA()),NA())</f>
        <v/>
      </c>
      <c r="V278" s="20">
        <f>IF(AND(ISNUMBER(R278),Settings!$B$17&gt;0),IF(ISNUMBER(INDEX($R:$R,Settings!$B$17)),(R278-INDEX($R:$R,Settings!$B$17))*100,NA()),NA())</f>
        <v/>
      </c>
      <c r="W278" s="20">
        <f>IF(AND(ISNUMBER(P278),Settings!$B$17&gt;0),IF(ISNUMBER(INDEX($P:$P,Settings!$B$17)),P278-INDEX($P:$P,Settings!$B$17),NA()),NA())</f>
        <v/>
      </c>
      <c r="X278" s="19">
        <f>IF(NOT(ISNUMBER($A278)),NA(),IF(OR($A278&lt;MIN(DKW_10Y!$A$2:$A$2918),$A278&gt;MAX(DKW_10Y!$A$2:$A$2918),Settings!$B$16&lt;MIN(DKW_10Y!$A$2:$A$2918)),NA(),(INDEX(DKW_10Y!$B$2:$B$2918,MATCH($A278,DKW_10Y!$A$2:$A$2918,1))-INDEX(DKW_10Y!$B$2:$B$2918,MATCH(Settings!$B$16,DKW_10Y!$A$2:$A$2918,1)))*100))</f>
        <v/>
      </c>
      <c r="Y278" s="19">
        <f>IF(NOT(ISNUMBER($A278)),NA(),IF(OR($A278&lt;MIN(DKW_10Y!$A$2:$A$2918),$A278&gt;MAX(DKW_10Y!$A$2:$A$2918),Settings!$B$16&lt;MIN(DKW_10Y!$A$2:$A$2918)),NA(),(INDEX(DKW_10Y!$C$2:$C$2918,MATCH($A278,DKW_10Y!$A$2:$A$2918,1))-INDEX(DKW_10Y!$C$2:$C$2918,MATCH(Settings!$B$16,DKW_10Y!$A$2:$A$2918,1)))*100))</f>
        <v/>
      </c>
      <c r="Z278" s="19">
        <f>IF(NOT(ISNUMBER($A278)),NA(),IF(OR($A278&lt;MIN(DKW_10Y!$A$2:$A$2918),$A278&gt;MAX(DKW_10Y!$A$2:$A$2918),Settings!$B$16&lt;MIN(DKW_10Y!$A$2:$A$2918)),NA(),(INDEX(DKW_10Y!$D$2:$D$2918,MATCH($A278,DKW_10Y!$A$2:$A$2918,1))-INDEX(DKW_10Y!$D$2:$D$2918,MATCH(Settings!$B$16,DKW_10Y!$A$2:$A$2918,1)))*100))</f>
        <v/>
      </c>
      <c r="AA278" s="19">
        <f>IF(NOT(ISNUMBER($A278)),NA(),IF(OR($A278&lt;MIN(DKW_10Y!$A$2:$A$2918),$A278&gt;MAX(DKW_10Y!$A$2:$A$2918),Settings!$B$16&lt;MIN(DKW_10Y!$A$2:$A$2918)),NA(),(INDEX(DKW_10Y!$E$2:$E$2918,MATCH($A278,DKW_10Y!$A$2:$A$2918,1))-INDEX(DKW_10Y!$E$2:$E$2918,MATCH(Settings!$B$16,DKW_10Y!$A$2:$A$2918,1)))*100))</f>
        <v/>
      </c>
      <c r="AB278" s="19">
        <f>IF(NOT(ISNUMBER($A278)),NA(),IF(OR($A278&lt;MIN(DKW_10Y!$A$2:$A$2918),$A278&gt;MAX(DKW_10Y!$A$2:$A$2918),Settings!$B$16&lt;MIN(DKW_10Y!$A$2:$A$2918)),NA(),(INDEX(DKW_10Y!$H$2:$H$2918,MATCH($A278,DKW_10Y!$A$2:$A$2918,1))-INDEX(DKW_10Y!$H$2:$H$2918,MATCH(Settings!$B$16,DKW_10Y!$A$2:$A$2918,1)))*100))</f>
        <v/>
      </c>
      <c r="AC278" s="18">
        <f>IF(NOT(ISNUMBER($A278)),NA(),IFERROR(1*INDEX(BBG_Data!$N$2:$N$4000,MATCH($A278,BBG_Data!$M$2:$M$4000,0)),NA()))</f>
        <v/>
      </c>
      <c r="AD278" s="18">
        <f>IF(NOT(ISNUMBER($A278)),NA(),IFERROR(1*INDEX(BBG_Data!$P$2:$P$4000,MATCH($A278,BBG_Data!$O$2:$O$4000,0)),NA()))</f>
        <v/>
      </c>
      <c r="AE278" s="18">
        <f>IF(NOT(ISNUMBER($A278)),NA(),IFERROR(1*INDEX(BBG_Data!$R$2:$R$4000,MATCH($A278,BBG_Data!$Q$2:$Q$4000,0)),NA()))</f>
        <v/>
      </c>
      <c r="AF278" s="20">
        <f>IF(AND(ISNUMBER(B278),ISNUMBER(AC278)),(B278-AC278)*100,NA())</f>
        <v/>
      </c>
      <c r="AG278" s="20">
        <f>IF(AND(ISNUMBER(AE278),ISNUMBER(AD278)),(AE278-AD278)*100,NA())</f>
        <v/>
      </c>
      <c r="AH278" s="19">
        <f>IF(NOT(ISNUMBER($A278)),NA(),IFERROR(INDEX(BBG_Data!$T$2:$T$4000,MATCH($A278,BBG_Data!$S$2:$S$4000,0))*Settings!$B$25,NA()))</f>
        <v/>
      </c>
      <c r="AI278" s="19">
        <f>IF(NOT(ISNUMBER($A278)),NA(),IFERROR(INDEX(BBG_Data!$V$2:$V$4000,MATCH($A278,BBG_Data!$U$2:$U$4000,0))*Settings!$B$25,NA()))</f>
        <v/>
      </c>
      <c r="AJ278" s="19">
        <f>IF(NOT(ISNUMBER($A278)),NA(),IFERROR(1*INDEX(BBG_Data!$X$2:$X$4000,MATCH($A278,BBG_Data!$W$2:$W$4000,0)),NA()))</f>
        <v/>
      </c>
      <c r="AK278" s="19">
        <f>IF(NOT(ISNUMBER($A278)),NA(),IFERROR(1*INDEX(BBG_Data!$Z$2:$Z$4000,MATCH($A278,BBG_Data!$Y$2:$Y$4000,0)),NA()))</f>
        <v/>
      </c>
    </row>
    <row r="279">
      <c r="A279" s="17">
        <f>IF(ISNUMBER(BBG_Data!A279),BBG_Data!A279,"")</f>
        <v/>
      </c>
      <c r="B279" s="18">
        <f>IF(AND(ISNUMBER($A279),ISNUMBER(BBG_Data!B279)),BBG_Data!B279,NA())</f>
        <v/>
      </c>
      <c r="C279" s="18">
        <f>IF(NOT(ISNUMBER($A279)),NA(),IFERROR(1*INDEX(BBG_Data!$D$2:$D$4000,MATCH($A279,BBG_Data!$C$2:$C$4000,0)),NA()))</f>
        <v/>
      </c>
      <c r="D279" s="19">
        <f>IF(NOT(ISNUMBER($A279)),NA(),IFERROR(1*INDEX(BBG_Data!$F$2:$F$4000,MATCH($A279,BBG_Data!$E$2:$E$4000,0)),NA()))</f>
        <v/>
      </c>
      <c r="E279" s="19">
        <f>IF(NOT(ISNUMBER($A279)),NA(),IFERROR(1*INDEX(BBG_Data!$H$2:$H$4000,MATCH($A279,BBG_Data!$G$2:$G$4000,0)),NA()))</f>
        <v/>
      </c>
      <c r="F279" s="20">
        <f>IF(AND(ISNUMBER(B279),ISNUMBER(B278)),IF(B279=B278,"",(B279-B278)*100),"")</f>
        <v/>
      </c>
      <c r="G279" s="20">
        <f>IF(AND(ISNUMBER(C279),ISNUMBER(C278)),IF(C279=C278,"",(C279-C278)*100),"")</f>
        <v/>
      </c>
      <c r="H279" s="20">
        <f>IF(OR(NOT(ISNUMBER($A279)),ROW()-2&lt;Settings!$B$11),NA(),IF(COUNT(OFFSET(F279,1-Settings!$B$11,0,Settings!$B$11,1))&lt;ROUNDUP(Settings!$B$11*Settings!$B$26,0),NA(),STDEV(OFFSET(F279,1-Settings!$B$11,0,Settings!$B$11,1))*SQRT(Settings!$B$13)))</f>
        <v/>
      </c>
      <c r="I279" s="20">
        <f>IF(OR(NOT(ISNUMBER($A279)),ROW()-2&lt;Settings!$B$12),NA(),IF(COUNT(OFFSET(F279,1-Settings!$B$12,0,Settings!$B$12,1))&lt;ROUNDUP(Settings!$B$12*Settings!$B$26,0),NA(),STDEV(OFFSET(F279,1-Settings!$B$12,0,Settings!$B$12,1))*SQRT(Settings!$B$13)))</f>
        <v/>
      </c>
      <c r="J279" s="20">
        <f>IF(OR(NOT(ISNUMBER($A279)),ROW()-2&lt;Settings!$B$11),NA(),IF(COUNT(OFFSET(G279,1-Settings!$B$11,0,Settings!$B$11,1))&lt;ROUNDUP(Settings!$B$11*Settings!$B$26,0),NA(),STDEV(OFFSET(G279,1-Settings!$B$11,0,Settings!$B$11,1))*SQRT(Settings!$B$13)))</f>
        <v/>
      </c>
      <c r="K279" s="20">
        <f>IF(OR(NOT(ISNUMBER($A279)),ROW()-2&lt;Settings!$B$12),NA(),IF(COUNT(OFFSET(G279,1-Settings!$B$12,0,Settings!$B$12,1))&lt;ROUNDUP(Settings!$B$12*Settings!$B$26,0),NA(),STDEV(OFFSET(G279,1-Settings!$B$12,0,Settings!$B$12,1))*SQRT(Settings!$B$13)))</f>
        <v/>
      </c>
      <c r="L279" s="20">
        <f>IF(AND(ISNUMBER(D279),ISNUMBER(H279)),D279-H279,NA())</f>
        <v/>
      </c>
      <c r="M279" s="20">
        <f>IF(AND(ISNUMBER(E279),ISNUMBER(K279)),E279-K279,NA())</f>
        <v/>
      </c>
      <c r="N279" s="20">
        <f>IF(NOT(ISNUMBER($A279)),NA(),IF(COUNT(OFFSET(G279,1,0,Settings!$B$12,1))&lt;ROUNDUP(Settings!$B$12*Settings!$B$26,0),NA(),STDEV(OFFSET(G279,1,0,Settings!$B$12,1))*SQRT(Settings!$B$13)))</f>
        <v/>
      </c>
      <c r="O279" s="20">
        <f>IF(AND(ISNUMBER(E279),ISNUMBER(N279)),E279-N279,NA())</f>
        <v/>
      </c>
      <c r="P279" s="19">
        <f>IF(NOT(ISNUMBER($A279)),NA(),IF(OR($A279&lt;MIN(KW_TP!$A$2:$A$2501),$A279&gt;MAX(KW_TP!$A$2:$A$2501)),NA(),INDEX(KW_TP!$C$2:$C$2501,MATCH($A279,KW_TP!$A$2:$A$2501,1))))</f>
        <v/>
      </c>
      <c r="Q279" s="18">
        <f>IF(NOT(ISNUMBER($A279)),NA(),IFERROR(1*INDEX(BBG_Data!$J$2:$J$4000,MATCH($A279,BBG_Data!$I$2:$I$4000,0)),NA()))</f>
        <v/>
      </c>
      <c r="R279" s="18">
        <f>IF(NOT(ISNUMBER($A279)),NA(),IFERROR(1*INDEX(BBG_Data!$L$2:$L$4000,MATCH($A279,BBG_Data!$K$2:$K$4000,0)),NA()))</f>
        <v/>
      </c>
      <c r="S279" s="20">
        <f>IF(AND(ISNUMBER(B279),ISNUMBER(Q279),ISNUMBER(R279)),(B279-Q279-R279)*100,NA())</f>
        <v/>
      </c>
      <c r="T279" s="20">
        <f>IF(AND(ISNUMBER(B279),Settings!$B$17&gt;0),IF(ISNUMBER(INDEX($B:$B,Settings!$B$17)),(B279-INDEX($B:$B,Settings!$B$17))*100,NA()),NA())</f>
        <v/>
      </c>
      <c r="U279" s="20">
        <f>IF(AND(ISNUMBER(Q279),Settings!$B$17&gt;0),IF(ISNUMBER(INDEX($Q:$Q,Settings!$B$17)),(Q279-INDEX($Q:$Q,Settings!$B$17))*100,NA()),NA())</f>
        <v/>
      </c>
      <c r="V279" s="20">
        <f>IF(AND(ISNUMBER(R279),Settings!$B$17&gt;0),IF(ISNUMBER(INDEX($R:$R,Settings!$B$17)),(R279-INDEX($R:$R,Settings!$B$17))*100,NA()),NA())</f>
        <v/>
      </c>
      <c r="W279" s="20">
        <f>IF(AND(ISNUMBER(P279),Settings!$B$17&gt;0),IF(ISNUMBER(INDEX($P:$P,Settings!$B$17)),P279-INDEX($P:$P,Settings!$B$17),NA()),NA())</f>
        <v/>
      </c>
      <c r="X279" s="19">
        <f>IF(NOT(ISNUMBER($A279)),NA(),IF(OR($A279&lt;MIN(DKW_10Y!$A$2:$A$2918),$A279&gt;MAX(DKW_10Y!$A$2:$A$2918),Settings!$B$16&lt;MIN(DKW_10Y!$A$2:$A$2918)),NA(),(INDEX(DKW_10Y!$B$2:$B$2918,MATCH($A279,DKW_10Y!$A$2:$A$2918,1))-INDEX(DKW_10Y!$B$2:$B$2918,MATCH(Settings!$B$16,DKW_10Y!$A$2:$A$2918,1)))*100))</f>
        <v/>
      </c>
      <c r="Y279" s="19">
        <f>IF(NOT(ISNUMBER($A279)),NA(),IF(OR($A279&lt;MIN(DKW_10Y!$A$2:$A$2918),$A279&gt;MAX(DKW_10Y!$A$2:$A$2918),Settings!$B$16&lt;MIN(DKW_10Y!$A$2:$A$2918)),NA(),(INDEX(DKW_10Y!$C$2:$C$2918,MATCH($A279,DKW_10Y!$A$2:$A$2918,1))-INDEX(DKW_10Y!$C$2:$C$2918,MATCH(Settings!$B$16,DKW_10Y!$A$2:$A$2918,1)))*100))</f>
        <v/>
      </c>
      <c r="Z279" s="19">
        <f>IF(NOT(ISNUMBER($A279)),NA(),IF(OR($A279&lt;MIN(DKW_10Y!$A$2:$A$2918),$A279&gt;MAX(DKW_10Y!$A$2:$A$2918),Settings!$B$16&lt;MIN(DKW_10Y!$A$2:$A$2918)),NA(),(INDEX(DKW_10Y!$D$2:$D$2918,MATCH($A279,DKW_10Y!$A$2:$A$2918,1))-INDEX(DKW_10Y!$D$2:$D$2918,MATCH(Settings!$B$16,DKW_10Y!$A$2:$A$2918,1)))*100))</f>
        <v/>
      </c>
      <c r="AA279" s="19">
        <f>IF(NOT(ISNUMBER($A279)),NA(),IF(OR($A279&lt;MIN(DKW_10Y!$A$2:$A$2918),$A279&gt;MAX(DKW_10Y!$A$2:$A$2918),Settings!$B$16&lt;MIN(DKW_10Y!$A$2:$A$2918)),NA(),(INDEX(DKW_10Y!$E$2:$E$2918,MATCH($A279,DKW_10Y!$A$2:$A$2918,1))-INDEX(DKW_10Y!$E$2:$E$2918,MATCH(Settings!$B$16,DKW_10Y!$A$2:$A$2918,1)))*100))</f>
        <v/>
      </c>
      <c r="AB279" s="19">
        <f>IF(NOT(ISNUMBER($A279)),NA(),IF(OR($A279&lt;MIN(DKW_10Y!$A$2:$A$2918),$A279&gt;MAX(DKW_10Y!$A$2:$A$2918),Settings!$B$16&lt;MIN(DKW_10Y!$A$2:$A$2918)),NA(),(INDEX(DKW_10Y!$H$2:$H$2918,MATCH($A279,DKW_10Y!$A$2:$A$2918,1))-INDEX(DKW_10Y!$H$2:$H$2918,MATCH(Settings!$B$16,DKW_10Y!$A$2:$A$2918,1)))*100))</f>
        <v/>
      </c>
      <c r="AC279" s="18">
        <f>IF(NOT(ISNUMBER($A279)),NA(),IFERROR(1*INDEX(BBG_Data!$N$2:$N$4000,MATCH($A279,BBG_Data!$M$2:$M$4000,0)),NA()))</f>
        <v/>
      </c>
      <c r="AD279" s="18">
        <f>IF(NOT(ISNUMBER($A279)),NA(),IFERROR(1*INDEX(BBG_Data!$P$2:$P$4000,MATCH($A279,BBG_Data!$O$2:$O$4000,0)),NA()))</f>
        <v/>
      </c>
      <c r="AE279" s="18">
        <f>IF(NOT(ISNUMBER($A279)),NA(),IFERROR(1*INDEX(BBG_Data!$R$2:$R$4000,MATCH($A279,BBG_Data!$Q$2:$Q$4000,0)),NA()))</f>
        <v/>
      </c>
      <c r="AF279" s="20">
        <f>IF(AND(ISNUMBER(B279),ISNUMBER(AC279)),(B279-AC279)*100,NA())</f>
        <v/>
      </c>
      <c r="AG279" s="20">
        <f>IF(AND(ISNUMBER(AE279),ISNUMBER(AD279)),(AE279-AD279)*100,NA())</f>
        <v/>
      </c>
      <c r="AH279" s="19">
        <f>IF(NOT(ISNUMBER($A279)),NA(),IFERROR(INDEX(BBG_Data!$T$2:$T$4000,MATCH($A279,BBG_Data!$S$2:$S$4000,0))*Settings!$B$25,NA()))</f>
        <v/>
      </c>
      <c r="AI279" s="19">
        <f>IF(NOT(ISNUMBER($A279)),NA(),IFERROR(INDEX(BBG_Data!$V$2:$V$4000,MATCH($A279,BBG_Data!$U$2:$U$4000,0))*Settings!$B$25,NA()))</f>
        <v/>
      </c>
      <c r="AJ279" s="19">
        <f>IF(NOT(ISNUMBER($A279)),NA(),IFERROR(1*INDEX(BBG_Data!$X$2:$X$4000,MATCH($A279,BBG_Data!$W$2:$W$4000,0)),NA()))</f>
        <v/>
      </c>
      <c r="AK279" s="19">
        <f>IF(NOT(ISNUMBER($A279)),NA(),IFERROR(1*INDEX(BBG_Data!$Z$2:$Z$4000,MATCH($A279,BBG_Data!$Y$2:$Y$4000,0)),NA()))</f>
        <v/>
      </c>
    </row>
    <row r="280">
      <c r="A280" s="17">
        <f>IF(ISNUMBER(BBG_Data!A280),BBG_Data!A280,"")</f>
        <v/>
      </c>
      <c r="B280" s="18">
        <f>IF(AND(ISNUMBER($A280),ISNUMBER(BBG_Data!B280)),BBG_Data!B280,NA())</f>
        <v/>
      </c>
      <c r="C280" s="18">
        <f>IF(NOT(ISNUMBER($A280)),NA(),IFERROR(1*INDEX(BBG_Data!$D$2:$D$4000,MATCH($A280,BBG_Data!$C$2:$C$4000,0)),NA()))</f>
        <v/>
      </c>
      <c r="D280" s="19">
        <f>IF(NOT(ISNUMBER($A280)),NA(),IFERROR(1*INDEX(BBG_Data!$F$2:$F$4000,MATCH($A280,BBG_Data!$E$2:$E$4000,0)),NA()))</f>
        <v/>
      </c>
      <c r="E280" s="19">
        <f>IF(NOT(ISNUMBER($A280)),NA(),IFERROR(1*INDEX(BBG_Data!$H$2:$H$4000,MATCH($A280,BBG_Data!$G$2:$G$4000,0)),NA()))</f>
        <v/>
      </c>
      <c r="F280" s="20">
        <f>IF(AND(ISNUMBER(B280),ISNUMBER(B279)),IF(B280=B279,"",(B280-B279)*100),"")</f>
        <v/>
      </c>
      <c r="G280" s="20">
        <f>IF(AND(ISNUMBER(C280),ISNUMBER(C279)),IF(C280=C279,"",(C280-C279)*100),"")</f>
        <v/>
      </c>
      <c r="H280" s="20">
        <f>IF(OR(NOT(ISNUMBER($A280)),ROW()-2&lt;Settings!$B$11),NA(),IF(COUNT(OFFSET(F280,1-Settings!$B$11,0,Settings!$B$11,1))&lt;ROUNDUP(Settings!$B$11*Settings!$B$26,0),NA(),STDEV(OFFSET(F280,1-Settings!$B$11,0,Settings!$B$11,1))*SQRT(Settings!$B$13)))</f>
        <v/>
      </c>
      <c r="I280" s="20">
        <f>IF(OR(NOT(ISNUMBER($A280)),ROW()-2&lt;Settings!$B$12),NA(),IF(COUNT(OFFSET(F280,1-Settings!$B$12,0,Settings!$B$12,1))&lt;ROUNDUP(Settings!$B$12*Settings!$B$26,0),NA(),STDEV(OFFSET(F280,1-Settings!$B$12,0,Settings!$B$12,1))*SQRT(Settings!$B$13)))</f>
        <v/>
      </c>
      <c r="J280" s="20">
        <f>IF(OR(NOT(ISNUMBER($A280)),ROW()-2&lt;Settings!$B$11),NA(),IF(COUNT(OFFSET(G280,1-Settings!$B$11,0,Settings!$B$11,1))&lt;ROUNDUP(Settings!$B$11*Settings!$B$26,0),NA(),STDEV(OFFSET(G280,1-Settings!$B$11,0,Settings!$B$11,1))*SQRT(Settings!$B$13)))</f>
        <v/>
      </c>
      <c r="K280" s="20">
        <f>IF(OR(NOT(ISNUMBER($A280)),ROW()-2&lt;Settings!$B$12),NA(),IF(COUNT(OFFSET(G280,1-Settings!$B$12,0,Settings!$B$12,1))&lt;ROUNDUP(Settings!$B$12*Settings!$B$26,0),NA(),STDEV(OFFSET(G280,1-Settings!$B$12,0,Settings!$B$12,1))*SQRT(Settings!$B$13)))</f>
        <v/>
      </c>
      <c r="L280" s="20">
        <f>IF(AND(ISNUMBER(D280),ISNUMBER(H280)),D280-H280,NA())</f>
        <v/>
      </c>
      <c r="M280" s="20">
        <f>IF(AND(ISNUMBER(E280),ISNUMBER(K280)),E280-K280,NA())</f>
        <v/>
      </c>
      <c r="N280" s="20">
        <f>IF(NOT(ISNUMBER($A280)),NA(),IF(COUNT(OFFSET(G280,1,0,Settings!$B$12,1))&lt;ROUNDUP(Settings!$B$12*Settings!$B$26,0),NA(),STDEV(OFFSET(G280,1,0,Settings!$B$12,1))*SQRT(Settings!$B$13)))</f>
        <v/>
      </c>
      <c r="O280" s="20">
        <f>IF(AND(ISNUMBER(E280),ISNUMBER(N280)),E280-N280,NA())</f>
        <v/>
      </c>
      <c r="P280" s="19">
        <f>IF(NOT(ISNUMBER($A280)),NA(),IF(OR($A280&lt;MIN(KW_TP!$A$2:$A$2501),$A280&gt;MAX(KW_TP!$A$2:$A$2501)),NA(),INDEX(KW_TP!$C$2:$C$2501,MATCH($A280,KW_TP!$A$2:$A$2501,1))))</f>
        <v/>
      </c>
      <c r="Q280" s="18">
        <f>IF(NOT(ISNUMBER($A280)),NA(),IFERROR(1*INDEX(BBG_Data!$J$2:$J$4000,MATCH($A280,BBG_Data!$I$2:$I$4000,0)),NA()))</f>
        <v/>
      </c>
      <c r="R280" s="18">
        <f>IF(NOT(ISNUMBER($A280)),NA(),IFERROR(1*INDEX(BBG_Data!$L$2:$L$4000,MATCH($A280,BBG_Data!$K$2:$K$4000,0)),NA()))</f>
        <v/>
      </c>
      <c r="S280" s="20">
        <f>IF(AND(ISNUMBER(B280),ISNUMBER(Q280),ISNUMBER(R280)),(B280-Q280-R280)*100,NA())</f>
        <v/>
      </c>
      <c r="T280" s="20">
        <f>IF(AND(ISNUMBER(B280),Settings!$B$17&gt;0),IF(ISNUMBER(INDEX($B:$B,Settings!$B$17)),(B280-INDEX($B:$B,Settings!$B$17))*100,NA()),NA())</f>
        <v/>
      </c>
      <c r="U280" s="20">
        <f>IF(AND(ISNUMBER(Q280),Settings!$B$17&gt;0),IF(ISNUMBER(INDEX($Q:$Q,Settings!$B$17)),(Q280-INDEX($Q:$Q,Settings!$B$17))*100,NA()),NA())</f>
        <v/>
      </c>
      <c r="V280" s="20">
        <f>IF(AND(ISNUMBER(R280),Settings!$B$17&gt;0),IF(ISNUMBER(INDEX($R:$R,Settings!$B$17)),(R280-INDEX($R:$R,Settings!$B$17))*100,NA()),NA())</f>
        <v/>
      </c>
      <c r="W280" s="20">
        <f>IF(AND(ISNUMBER(P280),Settings!$B$17&gt;0),IF(ISNUMBER(INDEX($P:$P,Settings!$B$17)),P280-INDEX($P:$P,Settings!$B$17),NA()),NA())</f>
        <v/>
      </c>
      <c r="X280" s="19">
        <f>IF(NOT(ISNUMBER($A280)),NA(),IF(OR($A280&lt;MIN(DKW_10Y!$A$2:$A$2918),$A280&gt;MAX(DKW_10Y!$A$2:$A$2918),Settings!$B$16&lt;MIN(DKW_10Y!$A$2:$A$2918)),NA(),(INDEX(DKW_10Y!$B$2:$B$2918,MATCH($A280,DKW_10Y!$A$2:$A$2918,1))-INDEX(DKW_10Y!$B$2:$B$2918,MATCH(Settings!$B$16,DKW_10Y!$A$2:$A$2918,1)))*100))</f>
        <v/>
      </c>
      <c r="Y280" s="19">
        <f>IF(NOT(ISNUMBER($A280)),NA(),IF(OR($A280&lt;MIN(DKW_10Y!$A$2:$A$2918),$A280&gt;MAX(DKW_10Y!$A$2:$A$2918),Settings!$B$16&lt;MIN(DKW_10Y!$A$2:$A$2918)),NA(),(INDEX(DKW_10Y!$C$2:$C$2918,MATCH($A280,DKW_10Y!$A$2:$A$2918,1))-INDEX(DKW_10Y!$C$2:$C$2918,MATCH(Settings!$B$16,DKW_10Y!$A$2:$A$2918,1)))*100))</f>
        <v/>
      </c>
      <c r="Z280" s="19">
        <f>IF(NOT(ISNUMBER($A280)),NA(),IF(OR($A280&lt;MIN(DKW_10Y!$A$2:$A$2918),$A280&gt;MAX(DKW_10Y!$A$2:$A$2918),Settings!$B$16&lt;MIN(DKW_10Y!$A$2:$A$2918)),NA(),(INDEX(DKW_10Y!$D$2:$D$2918,MATCH($A280,DKW_10Y!$A$2:$A$2918,1))-INDEX(DKW_10Y!$D$2:$D$2918,MATCH(Settings!$B$16,DKW_10Y!$A$2:$A$2918,1)))*100))</f>
        <v/>
      </c>
      <c r="AA280" s="19">
        <f>IF(NOT(ISNUMBER($A280)),NA(),IF(OR($A280&lt;MIN(DKW_10Y!$A$2:$A$2918),$A280&gt;MAX(DKW_10Y!$A$2:$A$2918),Settings!$B$16&lt;MIN(DKW_10Y!$A$2:$A$2918)),NA(),(INDEX(DKW_10Y!$E$2:$E$2918,MATCH($A280,DKW_10Y!$A$2:$A$2918,1))-INDEX(DKW_10Y!$E$2:$E$2918,MATCH(Settings!$B$16,DKW_10Y!$A$2:$A$2918,1)))*100))</f>
        <v/>
      </c>
      <c r="AB280" s="19">
        <f>IF(NOT(ISNUMBER($A280)),NA(),IF(OR($A280&lt;MIN(DKW_10Y!$A$2:$A$2918),$A280&gt;MAX(DKW_10Y!$A$2:$A$2918),Settings!$B$16&lt;MIN(DKW_10Y!$A$2:$A$2918)),NA(),(INDEX(DKW_10Y!$H$2:$H$2918,MATCH($A280,DKW_10Y!$A$2:$A$2918,1))-INDEX(DKW_10Y!$H$2:$H$2918,MATCH(Settings!$B$16,DKW_10Y!$A$2:$A$2918,1)))*100))</f>
        <v/>
      </c>
      <c r="AC280" s="18">
        <f>IF(NOT(ISNUMBER($A280)),NA(),IFERROR(1*INDEX(BBG_Data!$N$2:$N$4000,MATCH($A280,BBG_Data!$M$2:$M$4000,0)),NA()))</f>
        <v/>
      </c>
      <c r="AD280" s="18">
        <f>IF(NOT(ISNUMBER($A280)),NA(),IFERROR(1*INDEX(BBG_Data!$P$2:$P$4000,MATCH($A280,BBG_Data!$O$2:$O$4000,0)),NA()))</f>
        <v/>
      </c>
      <c r="AE280" s="18">
        <f>IF(NOT(ISNUMBER($A280)),NA(),IFERROR(1*INDEX(BBG_Data!$R$2:$R$4000,MATCH($A280,BBG_Data!$Q$2:$Q$4000,0)),NA()))</f>
        <v/>
      </c>
      <c r="AF280" s="20">
        <f>IF(AND(ISNUMBER(B280),ISNUMBER(AC280)),(B280-AC280)*100,NA())</f>
        <v/>
      </c>
      <c r="AG280" s="20">
        <f>IF(AND(ISNUMBER(AE280),ISNUMBER(AD280)),(AE280-AD280)*100,NA())</f>
        <v/>
      </c>
      <c r="AH280" s="19">
        <f>IF(NOT(ISNUMBER($A280)),NA(),IFERROR(INDEX(BBG_Data!$T$2:$T$4000,MATCH($A280,BBG_Data!$S$2:$S$4000,0))*Settings!$B$25,NA()))</f>
        <v/>
      </c>
      <c r="AI280" s="19">
        <f>IF(NOT(ISNUMBER($A280)),NA(),IFERROR(INDEX(BBG_Data!$V$2:$V$4000,MATCH($A280,BBG_Data!$U$2:$U$4000,0))*Settings!$B$25,NA()))</f>
        <v/>
      </c>
      <c r="AJ280" s="19">
        <f>IF(NOT(ISNUMBER($A280)),NA(),IFERROR(1*INDEX(BBG_Data!$X$2:$X$4000,MATCH($A280,BBG_Data!$W$2:$W$4000,0)),NA()))</f>
        <v/>
      </c>
      <c r="AK280" s="19">
        <f>IF(NOT(ISNUMBER($A280)),NA(),IFERROR(1*INDEX(BBG_Data!$Z$2:$Z$4000,MATCH($A280,BBG_Data!$Y$2:$Y$4000,0)),NA()))</f>
        <v/>
      </c>
    </row>
    <row r="281">
      <c r="A281" s="17">
        <f>IF(ISNUMBER(BBG_Data!A281),BBG_Data!A281,"")</f>
        <v/>
      </c>
      <c r="B281" s="18">
        <f>IF(AND(ISNUMBER($A281),ISNUMBER(BBG_Data!B281)),BBG_Data!B281,NA())</f>
        <v/>
      </c>
      <c r="C281" s="18">
        <f>IF(NOT(ISNUMBER($A281)),NA(),IFERROR(1*INDEX(BBG_Data!$D$2:$D$4000,MATCH($A281,BBG_Data!$C$2:$C$4000,0)),NA()))</f>
        <v/>
      </c>
      <c r="D281" s="19">
        <f>IF(NOT(ISNUMBER($A281)),NA(),IFERROR(1*INDEX(BBG_Data!$F$2:$F$4000,MATCH($A281,BBG_Data!$E$2:$E$4000,0)),NA()))</f>
        <v/>
      </c>
      <c r="E281" s="19">
        <f>IF(NOT(ISNUMBER($A281)),NA(),IFERROR(1*INDEX(BBG_Data!$H$2:$H$4000,MATCH($A281,BBG_Data!$G$2:$G$4000,0)),NA()))</f>
        <v/>
      </c>
      <c r="F281" s="20">
        <f>IF(AND(ISNUMBER(B281),ISNUMBER(B280)),IF(B281=B280,"",(B281-B280)*100),"")</f>
        <v/>
      </c>
      <c r="G281" s="20">
        <f>IF(AND(ISNUMBER(C281),ISNUMBER(C280)),IF(C281=C280,"",(C281-C280)*100),"")</f>
        <v/>
      </c>
      <c r="H281" s="20">
        <f>IF(OR(NOT(ISNUMBER($A281)),ROW()-2&lt;Settings!$B$11),NA(),IF(COUNT(OFFSET(F281,1-Settings!$B$11,0,Settings!$B$11,1))&lt;ROUNDUP(Settings!$B$11*Settings!$B$26,0),NA(),STDEV(OFFSET(F281,1-Settings!$B$11,0,Settings!$B$11,1))*SQRT(Settings!$B$13)))</f>
        <v/>
      </c>
      <c r="I281" s="20">
        <f>IF(OR(NOT(ISNUMBER($A281)),ROW()-2&lt;Settings!$B$12),NA(),IF(COUNT(OFFSET(F281,1-Settings!$B$12,0,Settings!$B$12,1))&lt;ROUNDUP(Settings!$B$12*Settings!$B$26,0),NA(),STDEV(OFFSET(F281,1-Settings!$B$12,0,Settings!$B$12,1))*SQRT(Settings!$B$13)))</f>
        <v/>
      </c>
      <c r="J281" s="20">
        <f>IF(OR(NOT(ISNUMBER($A281)),ROW()-2&lt;Settings!$B$11),NA(),IF(COUNT(OFFSET(G281,1-Settings!$B$11,0,Settings!$B$11,1))&lt;ROUNDUP(Settings!$B$11*Settings!$B$26,0),NA(),STDEV(OFFSET(G281,1-Settings!$B$11,0,Settings!$B$11,1))*SQRT(Settings!$B$13)))</f>
        <v/>
      </c>
      <c r="K281" s="20">
        <f>IF(OR(NOT(ISNUMBER($A281)),ROW()-2&lt;Settings!$B$12),NA(),IF(COUNT(OFFSET(G281,1-Settings!$B$12,0,Settings!$B$12,1))&lt;ROUNDUP(Settings!$B$12*Settings!$B$26,0),NA(),STDEV(OFFSET(G281,1-Settings!$B$12,0,Settings!$B$12,1))*SQRT(Settings!$B$13)))</f>
        <v/>
      </c>
      <c r="L281" s="20">
        <f>IF(AND(ISNUMBER(D281),ISNUMBER(H281)),D281-H281,NA())</f>
        <v/>
      </c>
      <c r="M281" s="20">
        <f>IF(AND(ISNUMBER(E281),ISNUMBER(K281)),E281-K281,NA())</f>
        <v/>
      </c>
      <c r="N281" s="20">
        <f>IF(NOT(ISNUMBER($A281)),NA(),IF(COUNT(OFFSET(G281,1,0,Settings!$B$12,1))&lt;ROUNDUP(Settings!$B$12*Settings!$B$26,0),NA(),STDEV(OFFSET(G281,1,0,Settings!$B$12,1))*SQRT(Settings!$B$13)))</f>
        <v/>
      </c>
      <c r="O281" s="20">
        <f>IF(AND(ISNUMBER(E281),ISNUMBER(N281)),E281-N281,NA())</f>
        <v/>
      </c>
      <c r="P281" s="19">
        <f>IF(NOT(ISNUMBER($A281)),NA(),IF(OR($A281&lt;MIN(KW_TP!$A$2:$A$2501),$A281&gt;MAX(KW_TP!$A$2:$A$2501)),NA(),INDEX(KW_TP!$C$2:$C$2501,MATCH($A281,KW_TP!$A$2:$A$2501,1))))</f>
        <v/>
      </c>
      <c r="Q281" s="18">
        <f>IF(NOT(ISNUMBER($A281)),NA(),IFERROR(1*INDEX(BBG_Data!$J$2:$J$4000,MATCH($A281,BBG_Data!$I$2:$I$4000,0)),NA()))</f>
        <v/>
      </c>
      <c r="R281" s="18">
        <f>IF(NOT(ISNUMBER($A281)),NA(),IFERROR(1*INDEX(BBG_Data!$L$2:$L$4000,MATCH($A281,BBG_Data!$K$2:$K$4000,0)),NA()))</f>
        <v/>
      </c>
      <c r="S281" s="20">
        <f>IF(AND(ISNUMBER(B281),ISNUMBER(Q281),ISNUMBER(R281)),(B281-Q281-R281)*100,NA())</f>
        <v/>
      </c>
      <c r="T281" s="20">
        <f>IF(AND(ISNUMBER(B281),Settings!$B$17&gt;0),IF(ISNUMBER(INDEX($B:$B,Settings!$B$17)),(B281-INDEX($B:$B,Settings!$B$17))*100,NA()),NA())</f>
        <v/>
      </c>
      <c r="U281" s="20">
        <f>IF(AND(ISNUMBER(Q281),Settings!$B$17&gt;0),IF(ISNUMBER(INDEX($Q:$Q,Settings!$B$17)),(Q281-INDEX($Q:$Q,Settings!$B$17))*100,NA()),NA())</f>
        <v/>
      </c>
      <c r="V281" s="20">
        <f>IF(AND(ISNUMBER(R281),Settings!$B$17&gt;0),IF(ISNUMBER(INDEX($R:$R,Settings!$B$17)),(R281-INDEX($R:$R,Settings!$B$17))*100,NA()),NA())</f>
        <v/>
      </c>
      <c r="W281" s="20">
        <f>IF(AND(ISNUMBER(P281),Settings!$B$17&gt;0),IF(ISNUMBER(INDEX($P:$P,Settings!$B$17)),P281-INDEX($P:$P,Settings!$B$17),NA()),NA())</f>
        <v/>
      </c>
      <c r="X281" s="19">
        <f>IF(NOT(ISNUMBER($A281)),NA(),IF(OR($A281&lt;MIN(DKW_10Y!$A$2:$A$2918),$A281&gt;MAX(DKW_10Y!$A$2:$A$2918),Settings!$B$16&lt;MIN(DKW_10Y!$A$2:$A$2918)),NA(),(INDEX(DKW_10Y!$B$2:$B$2918,MATCH($A281,DKW_10Y!$A$2:$A$2918,1))-INDEX(DKW_10Y!$B$2:$B$2918,MATCH(Settings!$B$16,DKW_10Y!$A$2:$A$2918,1)))*100))</f>
        <v/>
      </c>
      <c r="Y281" s="19">
        <f>IF(NOT(ISNUMBER($A281)),NA(),IF(OR($A281&lt;MIN(DKW_10Y!$A$2:$A$2918),$A281&gt;MAX(DKW_10Y!$A$2:$A$2918),Settings!$B$16&lt;MIN(DKW_10Y!$A$2:$A$2918)),NA(),(INDEX(DKW_10Y!$C$2:$C$2918,MATCH($A281,DKW_10Y!$A$2:$A$2918,1))-INDEX(DKW_10Y!$C$2:$C$2918,MATCH(Settings!$B$16,DKW_10Y!$A$2:$A$2918,1)))*100))</f>
        <v/>
      </c>
      <c r="Z281" s="19">
        <f>IF(NOT(ISNUMBER($A281)),NA(),IF(OR($A281&lt;MIN(DKW_10Y!$A$2:$A$2918),$A281&gt;MAX(DKW_10Y!$A$2:$A$2918),Settings!$B$16&lt;MIN(DKW_10Y!$A$2:$A$2918)),NA(),(INDEX(DKW_10Y!$D$2:$D$2918,MATCH($A281,DKW_10Y!$A$2:$A$2918,1))-INDEX(DKW_10Y!$D$2:$D$2918,MATCH(Settings!$B$16,DKW_10Y!$A$2:$A$2918,1)))*100))</f>
        <v/>
      </c>
      <c r="AA281" s="19">
        <f>IF(NOT(ISNUMBER($A281)),NA(),IF(OR($A281&lt;MIN(DKW_10Y!$A$2:$A$2918),$A281&gt;MAX(DKW_10Y!$A$2:$A$2918),Settings!$B$16&lt;MIN(DKW_10Y!$A$2:$A$2918)),NA(),(INDEX(DKW_10Y!$E$2:$E$2918,MATCH($A281,DKW_10Y!$A$2:$A$2918,1))-INDEX(DKW_10Y!$E$2:$E$2918,MATCH(Settings!$B$16,DKW_10Y!$A$2:$A$2918,1)))*100))</f>
        <v/>
      </c>
      <c r="AB281" s="19">
        <f>IF(NOT(ISNUMBER($A281)),NA(),IF(OR($A281&lt;MIN(DKW_10Y!$A$2:$A$2918),$A281&gt;MAX(DKW_10Y!$A$2:$A$2918),Settings!$B$16&lt;MIN(DKW_10Y!$A$2:$A$2918)),NA(),(INDEX(DKW_10Y!$H$2:$H$2918,MATCH($A281,DKW_10Y!$A$2:$A$2918,1))-INDEX(DKW_10Y!$H$2:$H$2918,MATCH(Settings!$B$16,DKW_10Y!$A$2:$A$2918,1)))*100))</f>
        <v/>
      </c>
      <c r="AC281" s="18">
        <f>IF(NOT(ISNUMBER($A281)),NA(),IFERROR(1*INDEX(BBG_Data!$N$2:$N$4000,MATCH($A281,BBG_Data!$M$2:$M$4000,0)),NA()))</f>
        <v/>
      </c>
      <c r="AD281" s="18">
        <f>IF(NOT(ISNUMBER($A281)),NA(),IFERROR(1*INDEX(BBG_Data!$P$2:$P$4000,MATCH($A281,BBG_Data!$O$2:$O$4000,0)),NA()))</f>
        <v/>
      </c>
      <c r="AE281" s="18">
        <f>IF(NOT(ISNUMBER($A281)),NA(),IFERROR(1*INDEX(BBG_Data!$R$2:$R$4000,MATCH($A281,BBG_Data!$Q$2:$Q$4000,0)),NA()))</f>
        <v/>
      </c>
      <c r="AF281" s="20">
        <f>IF(AND(ISNUMBER(B281),ISNUMBER(AC281)),(B281-AC281)*100,NA())</f>
        <v/>
      </c>
      <c r="AG281" s="20">
        <f>IF(AND(ISNUMBER(AE281),ISNUMBER(AD281)),(AE281-AD281)*100,NA())</f>
        <v/>
      </c>
      <c r="AH281" s="19">
        <f>IF(NOT(ISNUMBER($A281)),NA(),IFERROR(INDEX(BBG_Data!$T$2:$T$4000,MATCH($A281,BBG_Data!$S$2:$S$4000,0))*Settings!$B$25,NA()))</f>
        <v/>
      </c>
      <c r="AI281" s="19">
        <f>IF(NOT(ISNUMBER($A281)),NA(),IFERROR(INDEX(BBG_Data!$V$2:$V$4000,MATCH($A281,BBG_Data!$U$2:$U$4000,0))*Settings!$B$25,NA()))</f>
        <v/>
      </c>
      <c r="AJ281" s="19">
        <f>IF(NOT(ISNUMBER($A281)),NA(),IFERROR(1*INDEX(BBG_Data!$X$2:$X$4000,MATCH($A281,BBG_Data!$W$2:$W$4000,0)),NA()))</f>
        <v/>
      </c>
      <c r="AK281" s="19">
        <f>IF(NOT(ISNUMBER($A281)),NA(),IFERROR(1*INDEX(BBG_Data!$Z$2:$Z$4000,MATCH($A281,BBG_Data!$Y$2:$Y$4000,0)),NA()))</f>
        <v/>
      </c>
    </row>
    <row r="282">
      <c r="A282" s="17">
        <f>IF(ISNUMBER(BBG_Data!A282),BBG_Data!A282,"")</f>
        <v/>
      </c>
      <c r="B282" s="18">
        <f>IF(AND(ISNUMBER($A282),ISNUMBER(BBG_Data!B282)),BBG_Data!B282,NA())</f>
        <v/>
      </c>
      <c r="C282" s="18">
        <f>IF(NOT(ISNUMBER($A282)),NA(),IFERROR(1*INDEX(BBG_Data!$D$2:$D$4000,MATCH($A282,BBG_Data!$C$2:$C$4000,0)),NA()))</f>
        <v/>
      </c>
      <c r="D282" s="19">
        <f>IF(NOT(ISNUMBER($A282)),NA(),IFERROR(1*INDEX(BBG_Data!$F$2:$F$4000,MATCH($A282,BBG_Data!$E$2:$E$4000,0)),NA()))</f>
        <v/>
      </c>
      <c r="E282" s="19">
        <f>IF(NOT(ISNUMBER($A282)),NA(),IFERROR(1*INDEX(BBG_Data!$H$2:$H$4000,MATCH($A282,BBG_Data!$G$2:$G$4000,0)),NA()))</f>
        <v/>
      </c>
      <c r="F282" s="20">
        <f>IF(AND(ISNUMBER(B282),ISNUMBER(B281)),IF(B282=B281,"",(B282-B281)*100),"")</f>
        <v/>
      </c>
      <c r="G282" s="20">
        <f>IF(AND(ISNUMBER(C282),ISNUMBER(C281)),IF(C282=C281,"",(C282-C281)*100),"")</f>
        <v/>
      </c>
      <c r="H282" s="20">
        <f>IF(OR(NOT(ISNUMBER($A282)),ROW()-2&lt;Settings!$B$11),NA(),IF(COUNT(OFFSET(F282,1-Settings!$B$11,0,Settings!$B$11,1))&lt;ROUNDUP(Settings!$B$11*Settings!$B$26,0),NA(),STDEV(OFFSET(F282,1-Settings!$B$11,0,Settings!$B$11,1))*SQRT(Settings!$B$13)))</f>
        <v/>
      </c>
      <c r="I282" s="20">
        <f>IF(OR(NOT(ISNUMBER($A282)),ROW()-2&lt;Settings!$B$12),NA(),IF(COUNT(OFFSET(F282,1-Settings!$B$12,0,Settings!$B$12,1))&lt;ROUNDUP(Settings!$B$12*Settings!$B$26,0),NA(),STDEV(OFFSET(F282,1-Settings!$B$12,0,Settings!$B$12,1))*SQRT(Settings!$B$13)))</f>
        <v/>
      </c>
      <c r="J282" s="20">
        <f>IF(OR(NOT(ISNUMBER($A282)),ROW()-2&lt;Settings!$B$11),NA(),IF(COUNT(OFFSET(G282,1-Settings!$B$11,0,Settings!$B$11,1))&lt;ROUNDUP(Settings!$B$11*Settings!$B$26,0),NA(),STDEV(OFFSET(G282,1-Settings!$B$11,0,Settings!$B$11,1))*SQRT(Settings!$B$13)))</f>
        <v/>
      </c>
      <c r="K282" s="20">
        <f>IF(OR(NOT(ISNUMBER($A282)),ROW()-2&lt;Settings!$B$12),NA(),IF(COUNT(OFFSET(G282,1-Settings!$B$12,0,Settings!$B$12,1))&lt;ROUNDUP(Settings!$B$12*Settings!$B$26,0),NA(),STDEV(OFFSET(G282,1-Settings!$B$12,0,Settings!$B$12,1))*SQRT(Settings!$B$13)))</f>
        <v/>
      </c>
      <c r="L282" s="20">
        <f>IF(AND(ISNUMBER(D282),ISNUMBER(H282)),D282-H282,NA())</f>
        <v/>
      </c>
      <c r="M282" s="20">
        <f>IF(AND(ISNUMBER(E282),ISNUMBER(K282)),E282-K282,NA())</f>
        <v/>
      </c>
      <c r="N282" s="20">
        <f>IF(NOT(ISNUMBER($A282)),NA(),IF(COUNT(OFFSET(G282,1,0,Settings!$B$12,1))&lt;ROUNDUP(Settings!$B$12*Settings!$B$26,0),NA(),STDEV(OFFSET(G282,1,0,Settings!$B$12,1))*SQRT(Settings!$B$13)))</f>
        <v/>
      </c>
      <c r="O282" s="20">
        <f>IF(AND(ISNUMBER(E282),ISNUMBER(N282)),E282-N282,NA())</f>
        <v/>
      </c>
      <c r="P282" s="19">
        <f>IF(NOT(ISNUMBER($A282)),NA(),IF(OR($A282&lt;MIN(KW_TP!$A$2:$A$2501),$A282&gt;MAX(KW_TP!$A$2:$A$2501)),NA(),INDEX(KW_TP!$C$2:$C$2501,MATCH($A282,KW_TP!$A$2:$A$2501,1))))</f>
        <v/>
      </c>
      <c r="Q282" s="18">
        <f>IF(NOT(ISNUMBER($A282)),NA(),IFERROR(1*INDEX(BBG_Data!$J$2:$J$4000,MATCH($A282,BBG_Data!$I$2:$I$4000,0)),NA()))</f>
        <v/>
      </c>
      <c r="R282" s="18">
        <f>IF(NOT(ISNUMBER($A282)),NA(),IFERROR(1*INDEX(BBG_Data!$L$2:$L$4000,MATCH($A282,BBG_Data!$K$2:$K$4000,0)),NA()))</f>
        <v/>
      </c>
      <c r="S282" s="20">
        <f>IF(AND(ISNUMBER(B282),ISNUMBER(Q282),ISNUMBER(R282)),(B282-Q282-R282)*100,NA())</f>
        <v/>
      </c>
      <c r="T282" s="20">
        <f>IF(AND(ISNUMBER(B282),Settings!$B$17&gt;0),IF(ISNUMBER(INDEX($B:$B,Settings!$B$17)),(B282-INDEX($B:$B,Settings!$B$17))*100,NA()),NA())</f>
        <v/>
      </c>
      <c r="U282" s="20">
        <f>IF(AND(ISNUMBER(Q282),Settings!$B$17&gt;0),IF(ISNUMBER(INDEX($Q:$Q,Settings!$B$17)),(Q282-INDEX($Q:$Q,Settings!$B$17))*100,NA()),NA())</f>
        <v/>
      </c>
      <c r="V282" s="20">
        <f>IF(AND(ISNUMBER(R282),Settings!$B$17&gt;0),IF(ISNUMBER(INDEX($R:$R,Settings!$B$17)),(R282-INDEX($R:$R,Settings!$B$17))*100,NA()),NA())</f>
        <v/>
      </c>
      <c r="W282" s="20">
        <f>IF(AND(ISNUMBER(P282),Settings!$B$17&gt;0),IF(ISNUMBER(INDEX($P:$P,Settings!$B$17)),P282-INDEX($P:$P,Settings!$B$17),NA()),NA())</f>
        <v/>
      </c>
      <c r="X282" s="19">
        <f>IF(NOT(ISNUMBER($A282)),NA(),IF(OR($A282&lt;MIN(DKW_10Y!$A$2:$A$2918),$A282&gt;MAX(DKW_10Y!$A$2:$A$2918),Settings!$B$16&lt;MIN(DKW_10Y!$A$2:$A$2918)),NA(),(INDEX(DKW_10Y!$B$2:$B$2918,MATCH($A282,DKW_10Y!$A$2:$A$2918,1))-INDEX(DKW_10Y!$B$2:$B$2918,MATCH(Settings!$B$16,DKW_10Y!$A$2:$A$2918,1)))*100))</f>
        <v/>
      </c>
      <c r="Y282" s="19">
        <f>IF(NOT(ISNUMBER($A282)),NA(),IF(OR($A282&lt;MIN(DKW_10Y!$A$2:$A$2918),$A282&gt;MAX(DKW_10Y!$A$2:$A$2918),Settings!$B$16&lt;MIN(DKW_10Y!$A$2:$A$2918)),NA(),(INDEX(DKW_10Y!$C$2:$C$2918,MATCH($A282,DKW_10Y!$A$2:$A$2918,1))-INDEX(DKW_10Y!$C$2:$C$2918,MATCH(Settings!$B$16,DKW_10Y!$A$2:$A$2918,1)))*100))</f>
        <v/>
      </c>
      <c r="Z282" s="19">
        <f>IF(NOT(ISNUMBER($A282)),NA(),IF(OR($A282&lt;MIN(DKW_10Y!$A$2:$A$2918),$A282&gt;MAX(DKW_10Y!$A$2:$A$2918),Settings!$B$16&lt;MIN(DKW_10Y!$A$2:$A$2918)),NA(),(INDEX(DKW_10Y!$D$2:$D$2918,MATCH($A282,DKW_10Y!$A$2:$A$2918,1))-INDEX(DKW_10Y!$D$2:$D$2918,MATCH(Settings!$B$16,DKW_10Y!$A$2:$A$2918,1)))*100))</f>
        <v/>
      </c>
      <c r="AA282" s="19">
        <f>IF(NOT(ISNUMBER($A282)),NA(),IF(OR($A282&lt;MIN(DKW_10Y!$A$2:$A$2918),$A282&gt;MAX(DKW_10Y!$A$2:$A$2918),Settings!$B$16&lt;MIN(DKW_10Y!$A$2:$A$2918)),NA(),(INDEX(DKW_10Y!$E$2:$E$2918,MATCH($A282,DKW_10Y!$A$2:$A$2918,1))-INDEX(DKW_10Y!$E$2:$E$2918,MATCH(Settings!$B$16,DKW_10Y!$A$2:$A$2918,1)))*100))</f>
        <v/>
      </c>
      <c r="AB282" s="19">
        <f>IF(NOT(ISNUMBER($A282)),NA(),IF(OR($A282&lt;MIN(DKW_10Y!$A$2:$A$2918),$A282&gt;MAX(DKW_10Y!$A$2:$A$2918),Settings!$B$16&lt;MIN(DKW_10Y!$A$2:$A$2918)),NA(),(INDEX(DKW_10Y!$H$2:$H$2918,MATCH($A282,DKW_10Y!$A$2:$A$2918,1))-INDEX(DKW_10Y!$H$2:$H$2918,MATCH(Settings!$B$16,DKW_10Y!$A$2:$A$2918,1)))*100))</f>
        <v/>
      </c>
      <c r="AC282" s="18">
        <f>IF(NOT(ISNUMBER($A282)),NA(),IFERROR(1*INDEX(BBG_Data!$N$2:$N$4000,MATCH($A282,BBG_Data!$M$2:$M$4000,0)),NA()))</f>
        <v/>
      </c>
      <c r="AD282" s="18">
        <f>IF(NOT(ISNUMBER($A282)),NA(),IFERROR(1*INDEX(BBG_Data!$P$2:$P$4000,MATCH($A282,BBG_Data!$O$2:$O$4000,0)),NA()))</f>
        <v/>
      </c>
      <c r="AE282" s="18">
        <f>IF(NOT(ISNUMBER($A282)),NA(),IFERROR(1*INDEX(BBG_Data!$R$2:$R$4000,MATCH($A282,BBG_Data!$Q$2:$Q$4000,0)),NA()))</f>
        <v/>
      </c>
      <c r="AF282" s="20">
        <f>IF(AND(ISNUMBER(B282),ISNUMBER(AC282)),(B282-AC282)*100,NA())</f>
        <v/>
      </c>
      <c r="AG282" s="20">
        <f>IF(AND(ISNUMBER(AE282),ISNUMBER(AD282)),(AE282-AD282)*100,NA())</f>
        <v/>
      </c>
      <c r="AH282" s="19">
        <f>IF(NOT(ISNUMBER($A282)),NA(),IFERROR(INDEX(BBG_Data!$T$2:$T$4000,MATCH($A282,BBG_Data!$S$2:$S$4000,0))*Settings!$B$25,NA()))</f>
        <v/>
      </c>
      <c r="AI282" s="19">
        <f>IF(NOT(ISNUMBER($A282)),NA(),IFERROR(INDEX(BBG_Data!$V$2:$V$4000,MATCH($A282,BBG_Data!$U$2:$U$4000,0))*Settings!$B$25,NA()))</f>
        <v/>
      </c>
      <c r="AJ282" s="19">
        <f>IF(NOT(ISNUMBER($A282)),NA(),IFERROR(1*INDEX(BBG_Data!$X$2:$X$4000,MATCH($A282,BBG_Data!$W$2:$W$4000,0)),NA()))</f>
        <v/>
      </c>
      <c r="AK282" s="19">
        <f>IF(NOT(ISNUMBER($A282)),NA(),IFERROR(1*INDEX(BBG_Data!$Z$2:$Z$4000,MATCH($A282,BBG_Data!$Y$2:$Y$4000,0)),NA()))</f>
        <v/>
      </c>
    </row>
    <row r="283">
      <c r="A283" s="17">
        <f>IF(ISNUMBER(BBG_Data!A283),BBG_Data!A283,"")</f>
        <v/>
      </c>
      <c r="B283" s="18">
        <f>IF(AND(ISNUMBER($A283),ISNUMBER(BBG_Data!B283)),BBG_Data!B283,NA())</f>
        <v/>
      </c>
      <c r="C283" s="18">
        <f>IF(NOT(ISNUMBER($A283)),NA(),IFERROR(1*INDEX(BBG_Data!$D$2:$D$4000,MATCH($A283,BBG_Data!$C$2:$C$4000,0)),NA()))</f>
        <v/>
      </c>
      <c r="D283" s="19">
        <f>IF(NOT(ISNUMBER($A283)),NA(),IFERROR(1*INDEX(BBG_Data!$F$2:$F$4000,MATCH($A283,BBG_Data!$E$2:$E$4000,0)),NA()))</f>
        <v/>
      </c>
      <c r="E283" s="19">
        <f>IF(NOT(ISNUMBER($A283)),NA(),IFERROR(1*INDEX(BBG_Data!$H$2:$H$4000,MATCH($A283,BBG_Data!$G$2:$G$4000,0)),NA()))</f>
        <v/>
      </c>
      <c r="F283" s="20">
        <f>IF(AND(ISNUMBER(B283),ISNUMBER(B282)),IF(B283=B282,"",(B283-B282)*100),"")</f>
        <v/>
      </c>
      <c r="G283" s="20">
        <f>IF(AND(ISNUMBER(C283),ISNUMBER(C282)),IF(C283=C282,"",(C283-C282)*100),"")</f>
        <v/>
      </c>
      <c r="H283" s="20">
        <f>IF(OR(NOT(ISNUMBER($A283)),ROW()-2&lt;Settings!$B$11),NA(),IF(COUNT(OFFSET(F283,1-Settings!$B$11,0,Settings!$B$11,1))&lt;ROUNDUP(Settings!$B$11*Settings!$B$26,0),NA(),STDEV(OFFSET(F283,1-Settings!$B$11,0,Settings!$B$11,1))*SQRT(Settings!$B$13)))</f>
        <v/>
      </c>
      <c r="I283" s="20">
        <f>IF(OR(NOT(ISNUMBER($A283)),ROW()-2&lt;Settings!$B$12),NA(),IF(COUNT(OFFSET(F283,1-Settings!$B$12,0,Settings!$B$12,1))&lt;ROUNDUP(Settings!$B$12*Settings!$B$26,0),NA(),STDEV(OFFSET(F283,1-Settings!$B$12,0,Settings!$B$12,1))*SQRT(Settings!$B$13)))</f>
        <v/>
      </c>
      <c r="J283" s="20">
        <f>IF(OR(NOT(ISNUMBER($A283)),ROW()-2&lt;Settings!$B$11),NA(),IF(COUNT(OFFSET(G283,1-Settings!$B$11,0,Settings!$B$11,1))&lt;ROUNDUP(Settings!$B$11*Settings!$B$26,0),NA(),STDEV(OFFSET(G283,1-Settings!$B$11,0,Settings!$B$11,1))*SQRT(Settings!$B$13)))</f>
        <v/>
      </c>
      <c r="K283" s="20">
        <f>IF(OR(NOT(ISNUMBER($A283)),ROW()-2&lt;Settings!$B$12),NA(),IF(COUNT(OFFSET(G283,1-Settings!$B$12,0,Settings!$B$12,1))&lt;ROUNDUP(Settings!$B$12*Settings!$B$26,0),NA(),STDEV(OFFSET(G283,1-Settings!$B$12,0,Settings!$B$12,1))*SQRT(Settings!$B$13)))</f>
        <v/>
      </c>
      <c r="L283" s="20">
        <f>IF(AND(ISNUMBER(D283),ISNUMBER(H283)),D283-H283,NA())</f>
        <v/>
      </c>
      <c r="M283" s="20">
        <f>IF(AND(ISNUMBER(E283),ISNUMBER(K283)),E283-K283,NA())</f>
        <v/>
      </c>
      <c r="N283" s="20">
        <f>IF(NOT(ISNUMBER($A283)),NA(),IF(COUNT(OFFSET(G283,1,0,Settings!$B$12,1))&lt;ROUNDUP(Settings!$B$12*Settings!$B$26,0),NA(),STDEV(OFFSET(G283,1,0,Settings!$B$12,1))*SQRT(Settings!$B$13)))</f>
        <v/>
      </c>
      <c r="O283" s="20">
        <f>IF(AND(ISNUMBER(E283),ISNUMBER(N283)),E283-N283,NA())</f>
        <v/>
      </c>
      <c r="P283" s="19">
        <f>IF(NOT(ISNUMBER($A283)),NA(),IF(OR($A283&lt;MIN(KW_TP!$A$2:$A$2501),$A283&gt;MAX(KW_TP!$A$2:$A$2501)),NA(),INDEX(KW_TP!$C$2:$C$2501,MATCH($A283,KW_TP!$A$2:$A$2501,1))))</f>
        <v/>
      </c>
      <c r="Q283" s="18">
        <f>IF(NOT(ISNUMBER($A283)),NA(),IFERROR(1*INDEX(BBG_Data!$J$2:$J$4000,MATCH($A283,BBG_Data!$I$2:$I$4000,0)),NA()))</f>
        <v/>
      </c>
      <c r="R283" s="18">
        <f>IF(NOT(ISNUMBER($A283)),NA(),IFERROR(1*INDEX(BBG_Data!$L$2:$L$4000,MATCH($A283,BBG_Data!$K$2:$K$4000,0)),NA()))</f>
        <v/>
      </c>
      <c r="S283" s="20">
        <f>IF(AND(ISNUMBER(B283),ISNUMBER(Q283),ISNUMBER(R283)),(B283-Q283-R283)*100,NA())</f>
        <v/>
      </c>
      <c r="T283" s="20">
        <f>IF(AND(ISNUMBER(B283),Settings!$B$17&gt;0),IF(ISNUMBER(INDEX($B:$B,Settings!$B$17)),(B283-INDEX($B:$B,Settings!$B$17))*100,NA()),NA())</f>
        <v/>
      </c>
      <c r="U283" s="20">
        <f>IF(AND(ISNUMBER(Q283),Settings!$B$17&gt;0),IF(ISNUMBER(INDEX($Q:$Q,Settings!$B$17)),(Q283-INDEX($Q:$Q,Settings!$B$17))*100,NA()),NA())</f>
        <v/>
      </c>
      <c r="V283" s="20">
        <f>IF(AND(ISNUMBER(R283),Settings!$B$17&gt;0),IF(ISNUMBER(INDEX($R:$R,Settings!$B$17)),(R283-INDEX($R:$R,Settings!$B$17))*100,NA()),NA())</f>
        <v/>
      </c>
      <c r="W283" s="20">
        <f>IF(AND(ISNUMBER(P283),Settings!$B$17&gt;0),IF(ISNUMBER(INDEX($P:$P,Settings!$B$17)),P283-INDEX($P:$P,Settings!$B$17),NA()),NA())</f>
        <v/>
      </c>
      <c r="X283" s="19">
        <f>IF(NOT(ISNUMBER($A283)),NA(),IF(OR($A283&lt;MIN(DKW_10Y!$A$2:$A$2918),$A283&gt;MAX(DKW_10Y!$A$2:$A$2918),Settings!$B$16&lt;MIN(DKW_10Y!$A$2:$A$2918)),NA(),(INDEX(DKW_10Y!$B$2:$B$2918,MATCH($A283,DKW_10Y!$A$2:$A$2918,1))-INDEX(DKW_10Y!$B$2:$B$2918,MATCH(Settings!$B$16,DKW_10Y!$A$2:$A$2918,1)))*100))</f>
        <v/>
      </c>
      <c r="Y283" s="19">
        <f>IF(NOT(ISNUMBER($A283)),NA(),IF(OR($A283&lt;MIN(DKW_10Y!$A$2:$A$2918),$A283&gt;MAX(DKW_10Y!$A$2:$A$2918),Settings!$B$16&lt;MIN(DKW_10Y!$A$2:$A$2918)),NA(),(INDEX(DKW_10Y!$C$2:$C$2918,MATCH($A283,DKW_10Y!$A$2:$A$2918,1))-INDEX(DKW_10Y!$C$2:$C$2918,MATCH(Settings!$B$16,DKW_10Y!$A$2:$A$2918,1)))*100))</f>
        <v/>
      </c>
      <c r="Z283" s="19">
        <f>IF(NOT(ISNUMBER($A283)),NA(),IF(OR($A283&lt;MIN(DKW_10Y!$A$2:$A$2918),$A283&gt;MAX(DKW_10Y!$A$2:$A$2918),Settings!$B$16&lt;MIN(DKW_10Y!$A$2:$A$2918)),NA(),(INDEX(DKW_10Y!$D$2:$D$2918,MATCH($A283,DKW_10Y!$A$2:$A$2918,1))-INDEX(DKW_10Y!$D$2:$D$2918,MATCH(Settings!$B$16,DKW_10Y!$A$2:$A$2918,1)))*100))</f>
        <v/>
      </c>
      <c r="AA283" s="19">
        <f>IF(NOT(ISNUMBER($A283)),NA(),IF(OR($A283&lt;MIN(DKW_10Y!$A$2:$A$2918),$A283&gt;MAX(DKW_10Y!$A$2:$A$2918),Settings!$B$16&lt;MIN(DKW_10Y!$A$2:$A$2918)),NA(),(INDEX(DKW_10Y!$E$2:$E$2918,MATCH($A283,DKW_10Y!$A$2:$A$2918,1))-INDEX(DKW_10Y!$E$2:$E$2918,MATCH(Settings!$B$16,DKW_10Y!$A$2:$A$2918,1)))*100))</f>
        <v/>
      </c>
      <c r="AB283" s="19">
        <f>IF(NOT(ISNUMBER($A283)),NA(),IF(OR($A283&lt;MIN(DKW_10Y!$A$2:$A$2918),$A283&gt;MAX(DKW_10Y!$A$2:$A$2918),Settings!$B$16&lt;MIN(DKW_10Y!$A$2:$A$2918)),NA(),(INDEX(DKW_10Y!$H$2:$H$2918,MATCH($A283,DKW_10Y!$A$2:$A$2918,1))-INDEX(DKW_10Y!$H$2:$H$2918,MATCH(Settings!$B$16,DKW_10Y!$A$2:$A$2918,1)))*100))</f>
        <v/>
      </c>
      <c r="AC283" s="18">
        <f>IF(NOT(ISNUMBER($A283)),NA(),IFERROR(1*INDEX(BBG_Data!$N$2:$N$4000,MATCH($A283,BBG_Data!$M$2:$M$4000,0)),NA()))</f>
        <v/>
      </c>
      <c r="AD283" s="18">
        <f>IF(NOT(ISNUMBER($A283)),NA(),IFERROR(1*INDEX(BBG_Data!$P$2:$P$4000,MATCH($A283,BBG_Data!$O$2:$O$4000,0)),NA()))</f>
        <v/>
      </c>
      <c r="AE283" s="18">
        <f>IF(NOT(ISNUMBER($A283)),NA(),IFERROR(1*INDEX(BBG_Data!$R$2:$R$4000,MATCH($A283,BBG_Data!$Q$2:$Q$4000,0)),NA()))</f>
        <v/>
      </c>
      <c r="AF283" s="20">
        <f>IF(AND(ISNUMBER(B283),ISNUMBER(AC283)),(B283-AC283)*100,NA())</f>
        <v/>
      </c>
      <c r="AG283" s="20">
        <f>IF(AND(ISNUMBER(AE283),ISNUMBER(AD283)),(AE283-AD283)*100,NA())</f>
        <v/>
      </c>
      <c r="AH283" s="19">
        <f>IF(NOT(ISNUMBER($A283)),NA(),IFERROR(INDEX(BBG_Data!$T$2:$T$4000,MATCH($A283,BBG_Data!$S$2:$S$4000,0))*Settings!$B$25,NA()))</f>
        <v/>
      </c>
      <c r="AI283" s="19">
        <f>IF(NOT(ISNUMBER($A283)),NA(),IFERROR(INDEX(BBG_Data!$V$2:$V$4000,MATCH($A283,BBG_Data!$U$2:$U$4000,0))*Settings!$B$25,NA()))</f>
        <v/>
      </c>
      <c r="AJ283" s="19">
        <f>IF(NOT(ISNUMBER($A283)),NA(),IFERROR(1*INDEX(BBG_Data!$X$2:$X$4000,MATCH($A283,BBG_Data!$W$2:$W$4000,0)),NA()))</f>
        <v/>
      </c>
      <c r="AK283" s="19">
        <f>IF(NOT(ISNUMBER($A283)),NA(),IFERROR(1*INDEX(BBG_Data!$Z$2:$Z$4000,MATCH($A283,BBG_Data!$Y$2:$Y$4000,0)),NA()))</f>
        <v/>
      </c>
    </row>
    <row r="284">
      <c r="A284" s="17">
        <f>IF(ISNUMBER(BBG_Data!A284),BBG_Data!A284,"")</f>
        <v/>
      </c>
      <c r="B284" s="18">
        <f>IF(AND(ISNUMBER($A284),ISNUMBER(BBG_Data!B284)),BBG_Data!B284,NA())</f>
        <v/>
      </c>
      <c r="C284" s="18">
        <f>IF(NOT(ISNUMBER($A284)),NA(),IFERROR(1*INDEX(BBG_Data!$D$2:$D$4000,MATCH($A284,BBG_Data!$C$2:$C$4000,0)),NA()))</f>
        <v/>
      </c>
      <c r="D284" s="19">
        <f>IF(NOT(ISNUMBER($A284)),NA(),IFERROR(1*INDEX(BBG_Data!$F$2:$F$4000,MATCH($A284,BBG_Data!$E$2:$E$4000,0)),NA()))</f>
        <v/>
      </c>
      <c r="E284" s="19">
        <f>IF(NOT(ISNUMBER($A284)),NA(),IFERROR(1*INDEX(BBG_Data!$H$2:$H$4000,MATCH($A284,BBG_Data!$G$2:$G$4000,0)),NA()))</f>
        <v/>
      </c>
      <c r="F284" s="20">
        <f>IF(AND(ISNUMBER(B284),ISNUMBER(B283)),IF(B284=B283,"",(B284-B283)*100),"")</f>
        <v/>
      </c>
      <c r="G284" s="20">
        <f>IF(AND(ISNUMBER(C284),ISNUMBER(C283)),IF(C284=C283,"",(C284-C283)*100),"")</f>
        <v/>
      </c>
      <c r="H284" s="20">
        <f>IF(OR(NOT(ISNUMBER($A284)),ROW()-2&lt;Settings!$B$11),NA(),IF(COUNT(OFFSET(F284,1-Settings!$B$11,0,Settings!$B$11,1))&lt;ROUNDUP(Settings!$B$11*Settings!$B$26,0),NA(),STDEV(OFFSET(F284,1-Settings!$B$11,0,Settings!$B$11,1))*SQRT(Settings!$B$13)))</f>
        <v/>
      </c>
      <c r="I284" s="20">
        <f>IF(OR(NOT(ISNUMBER($A284)),ROW()-2&lt;Settings!$B$12),NA(),IF(COUNT(OFFSET(F284,1-Settings!$B$12,0,Settings!$B$12,1))&lt;ROUNDUP(Settings!$B$12*Settings!$B$26,0),NA(),STDEV(OFFSET(F284,1-Settings!$B$12,0,Settings!$B$12,1))*SQRT(Settings!$B$13)))</f>
        <v/>
      </c>
      <c r="J284" s="20">
        <f>IF(OR(NOT(ISNUMBER($A284)),ROW()-2&lt;Settings!$B$11),NA(),IF(COUNT(OFFSET(G284,1-Settings!$B$11,0,Settings!$B$11,1))&lt;ROUNDUP(Settings!$B$11*Settings!$B$26,0),NA(),STDEV(OFFSET(G284,1-Settings!$B$11,0,Settings!$B$11,1))*SQRT(Settings!$B$13)))</f>
        <v/>
      </c>
      <c r="K284" s="20">
        <f>IF(OR(NOT(ISNUMBER($A284)),ROW()-2&lt;Settings!$B$12),NA(),IF(COUNT(OFFSET(G284,1-Settings!$B$12,0,Settings!$B$12,1))&lt;ROUNDUP(Settings!$B$12*Settings!$B$26,0),NA(),STDEV(OFFSET(G284,1-Settings!$B$12,0,Settings!$B$12,1))*SQRT(Settings!$B$13)))</f>
        <v/>
      </c>
      <c r="L284" s="20">
        <f>IF(AND(ISNUMBER(D284),ISNUMBER(H284)),D284-H284,NA())</f>
        <v/>
      </c>
      <c r="M284" s="20">
        <f>IF(AND(ISNUMBER(E284),ISNUMBER(K284)),E284-K284,NA())</f>
        <v/>
      </c>
      <c r="N284" s="20">
        <f>IF(NOT(ISNUMBER($A284)),NA(),IF(COUNT(OFFSET(G284,1,0,Settings!$B$12,1))&lt;ROUNDUP(Settings!$B$12*Settings!$B$26,0),NA(),STDEV(OFFSET(G284,1,0,Settings!$B$12,1))*SQRT(Settings!$B$13)))</f>
        <v/>
      </c>
      <c r="O284" s="20">
        <f>IF(AND(ISNUMBER(E284),ISNUMBER(N284)),E284-N284,NA())</f>
        <v/>
      </c>
      <c r="P284" s="19">
        <f>IF(NOT(ISNUMBER($A284)),NA(),IF(OR($A284&lt;MIN(KW_TP!$A$2:$A$2501),$A284&gt;MAX(KW_TP!$A$2:$A$2501)),NA(),INDEX(KW_TP!$C$2:$C$2501,MATCH($A284,KW_TP!$A$2:$A$2501,1))))</f>
        <v/>
      </c>
      <c r="Q284" s="18">
        <f>IF(NOT(ISNUMBER($A284)),NA(),IFERROR(1*INDEX(BBG_Data!$J$2:$J$4000,MATCH($A284,BBG_Data!$I$2:$I$4000,0)),NA()))</f>
        <v/>
      </c>
      <c r="R284" s="18">
        <f>IF(NOT(ISNUMBER($A284)),NA(),IFERROR(1*INDEX(BBG_Data!$L$2:$L$4000,MATCH($A284,BBG_Data!$K$2:$K$4000,0)),NA()))</f>
        <v/>
      </c>
      <c r="S284" s="20">
        <f>IF(AND(ISNUMBER(B284),ISNUMBER(Q284),ISNUMBER(R284)),(B284-Q284-R284)*100,NA())</f>
        <v/>
      </c>
      <c r="T284" s="20">
        <f>IF(AND(ISNUMBER(B284),Settings!$B$17&gt;0),IF(ISNUMBER(INDEX($B:$B,Settings!$B$17)),(B284-INDEX($B:$B,Settings!$B$17))*100,NA()),NA())</f>
        <v/>
      </c>
      <c r="U284" s="20">
        <f>IF(AND(ISNUMBER(Q284),Settings!$B$17&gt;0),IF(ISNUMBER(INDEX($Q:$Q,Settings!$B$17)),(Q284-INDEX($Q:$Q,Settings!$B$17))*100,NA()),NA())</f>
        <v/>
      </c>
      <c r="V284" s="20">
        <f>IF(AND(ISNUMBER(R284),Settings!$B$17&gt;0),IF(ISNUMBER(INDEX($R:$R,Settings!$B$17)),(R284-INDEX($R:$R,Settings!$B$17))*100,NA()),NA())</f>
        <v/>
      </c>
      <c r="W284" s="20">
        <f>IF(AND(ISNUMBER(P284),Settings!$B$17&gt;0),IF(ISNUMBER(INDEX($P:$P,Settings!$B$17)),P284-INDEX($P:$P,Settings!$B$17),NA()),NA())</f>
        <v/>
      </c>
      <c r="X284" s="19">
        <f>IF(NOT(ISNUMBER($A284)),NA(),IF(OR($A284&lt;MIN(DKW_10Y!$A$2:$A$2918),$A284&gt;MAX(DKW_10Y!$A$2:$A$2918),Settings!$B$16&lt;MIN(DKW_10Y!$A$2:$A$2918)),NA(),(INDEX(DKW_10Y!$B$2:$B$2918,MATCH($A284,DKW_10Y!$A$2:$A$2918,1))-INDEX(DKW_10Y!$B$2:$B$2918,MATCH(Settings!$B$16,DKW_10Y!$A$2:$A$2918,1)))*100))</f>
        <v/>
      </c>
      <c r="Y284" s="19">
        <f>IF(NOT(ISNUMBER($A284)),NA(),IF(OR($A284&lt;MIN(DKW_10Y!$A$2:$A$2918),$A284&gt;MAX(DKW_10Y!$A$2:$A$2918),Settings!$B$16&lt;MIN(DKW_10Y!$A$2:$A$2918)),NA(),(INDEX(DKW_10Y!$C$2:$C$2918,MATCH($A284,DKW_10Y!$A$2:$A$2918,1))-INDEX(DKW_10Y!$C$2:$C$2918,MATCH(Settings!$B$16,DKW_10Y!$A$2:$A$2918,1)))*100))</f>
        <v/>
      </c>
      <c r="Z284" s="19">
        <f>IF(NOT(ISNUMBER($A284)),NA(),IF(OR($A284&lt;MIN(DKW_10Y!$A$2:$A$2918),$A284&gt;MAX(DKW_10Y!$A$2:$A$2918),Settings!$B$16&lt;MIN(DKW_10Y!$A$2:$A$2918)),NA(),(INDEX(DKW_10Y!$D$2:$D$2918,MATCH($A284,DKW_10Y!$A$2:$A$2918,1))-INDEX(DKW_10Y!$D$2:$D$2918,MATCH(Settings!$B$16,DKW_10Y!$A$2:$A$2918,1)))*100))</f>
        <v/>
      </c>
      <c r="AA284" s="19">
        <f>IF(NOT(ISNUMBER($A284)),NA(),IF(OR($A284&lt;MIN(DKW_10Y!$A$2:$A$2918),$A284&gt;MAX(DKW_10Y!$A$2:$A$2918),Settings!$B$16&lt;MIN(DKW_10Y!$A$2:$A$2918)),NA(),(INDEX(DKW_10Y!$E$2:$E$2918,MATCH($A284,DKW_10Y!$A$2:$A$2918,1))-INDEX(DKW_10Y!$E$2:$E$2918,MATCH(Settings!$B$16,DKW_10Y!$A$2:$A$2918,1)))*100))</f>
        <v/>
      </c>
      <c r="AB284" s="19">
        <f>IF(NOT(ISNUMBER($A284)),NA(),IF(OR($A284&lt;MIN(DKW_10Y!$A$2:$A$2918),$A284&gt;MAX(DKW_10Y!$A$2:$A$2918),Settings!$B$16&lt;MIN(DKW_10Y!$A$2:$A$2918)),NA(),(INDEX(DKW_10Y!$H$2:$H$2918,MATCH($A284,DKW_10Y!$A$2:$A$2918,1))-INDEX(DKW_10Y!$H$2:$H$2918,MATCH(Settings!$B$16,DKW_10Y!$A$2:$A$2918,1)))*100))</f>
        <v/>
      </c>
      <c r="AC284" s="18">
        <f>IF(NOT(ISNUMBER($A284)),NA(),IFERROR(1*INDEX(BBG_Data!$N$2:$N$4000,MATCH($A284,BBG_Data!$M$2:$M$4000,0)),NA()))</f>
        <v/>
      </c>
      <c r="AD284" s="18">
        <f>IF(NOT(ISNUMBER($A284)),NA(),IFERROR(1*INDEX(BBG_Data!$P$2:$P$4000,MATCH($A284,BBG_Data!$O$2:$O$4000,0)),NA()))</f>
        <v/>
      </c>
      <c r="AE284" s="18">
        <f>IF(NOT(ISNUMBER($A284)),NA(),IFERROR(1*INDEX(BBG_Data!$R$2:$R$4000,MATCH($A284,BBG_Data!$Q$2:$Q$4000,0)),NA()))</f>
        <v/>
      </c>
      <c r="AF284" s="20">
        <f>IF(AND(ISNUMBER(B284),ISNUMBER(AC284)),(B284-AC284)*100,NA())</f>
        <v/>
      </c>
      <c r="AG284" s="20">
        <f>IF(AND(ISNUMBER(AE284),ISNUMBER(AD284)),(AE284-AD284)*100,NA())</f>
        <v/>
      </c>
      <c r="AH284" s="19">
        <f>IF(NOT(ISNUMBER($A284)),NA(),IFERROR(INDEX(BBG_Data!$T$2:$T$4000,MATCH($A284,BBG_Data!$S$2:$S$4000,0))*Settings!$B$25,NA()))</f>
        <v/>
      </c>
      <c r="AI284" s="19">
        <f>IF(NOT(ISNUMBER($A284)),NA(),IFERROR(INDEX(BBG_Data!$V$2:$V$4000,MATCH($A284,BBG_Data!$U$2:$U$4000,0))*Settings!$B$25,NA()))</f>
        <v/>
      </c>
      <c r="AJ284" s="19">
        <f>IF(NOT(ISNUMBER($A284)),NA(),IFERROR(1*INDEX(BBG_Data!$X$2:$X$4000,MATCH($A284,BBG_Data!$W$2:$W$4000,0)),NA()))</f>
        <v/>
      </c>
      <c r="AK284" s="19">
        <f>IF(NOT(ISNUMBER($A284)),NA(),IFERROR(1*INDEX(BBG_Data!$Z$2:$Z$4000,MATCH($A284,BBG_Data!$Y$2:$Y$4000,0)),NA()))</f>
        <v/>
      </c>
    </row>
    <row r="285">
      <c r="A285" s="17">
        <f>IF(ISNUMBER(BBG_Data!A285),BBG_Data!A285,"")</f>
        <v/>
      </c>
      <c r="B285" s="18">
        <f>IF(AND(ISNUMBER($A285),ISNUMBER(BBG_Data!B285)),BBG_Data!B285,NA())</f>
        <v/>
      </c>
      <c r="C285" s="18">
        <f>IF(NOT(ISNUMBER($A285)),NA(),IFERROR(1*INDEX(BBG_Data!$D$2:$D$4000,MATCH($A285,BBG_Data!$C$2:$C$4000,0)),NA()))</f>
        <v/>
      </c>
      <c r="D285" s="19">
        <f>IF(NOT(ISNUMBER($A285)),NA(),IFERROR(1*INDEX(BBG_Data!$F$2:$F$4000,MATCH($A285,BBG_Data!$E$2:$E$4000,0)),NA()))</f>
        <v/>
      </c>
      <c r="E285" s="19">
        <f>IF(NOT(ISNUMBER($A285)),NA(),IFERROR(1*INDEX(BBG_Data!$H$2:$H$4000,MATCH($A285,BBG_Data!$G$2:$G$4000,0)),NA()))</f>
        <v/>
      </c>
      <c r="F285" s="20">
        <f>IF(AND(ISNUMBER(B285),ISNUMBER(B284)),IF(B285=B284,"",(B285-B284)*100),"")</f>
        <v/>
      </c>
      <c r="G285" s="20">
        <f>IF(AND(ISNUMBER(C285),ISNUMBER(C284)),IF(C285=C284,"",(C285-C284)*100),"")</f>
        <v/>
      </c>
      <c r="H285" s="20">
        <f>IF(OR(NOT(ISNUMBER($A285)),ROW()-2&lt;Settings!$B$11),NA(),IF(COUNT(OFFSET(F285,1-Settings!$B$11,0,Settings!$B$11,1))&lt;ROUNDUP(Settings!$B$11*Settings!$B$26,0),NA(),STDEV(OFFSET(F285,1-Settings!$B$11,0,Settings!$B$11,1))*SQRT(Settings!$B$13)))</f>
        <v/>
      </c>
      <c r="I285" s="20">
        <f>IF(OR(NOT(ISNUMBER($A285)),ROW()-2&lt;Settings!$B$12),NA(),IF(COUNT(OFFSET(F285,1-Settings!$B$12,0,Settings!$B$12,1))&lt;ROUNDUP(Settings!$B$12*Settings!$B$26,0),NA(),STDEV(OFFSET(F285,1-Settings!$B$12,0,Settings!$B$12,1))*SQRT(Settings!$B$13)))</f>
        <v/>
      </c>
      <c r="J285" s="20">
        <f>IF(OR(NOT(ISNUMBER($A285)),ROW()-2&lt;Settings!$B$11),NA(),IF(COUNT(OFFSET(G285,1-Settings!$B$11,0,Settings!$B$11,1))&lt;ROUNDUP(Settings!$B$11*Settings!$B$26,0),NA(),STDEV(OFFSET(G285,1-Settings!$B$11,0,Settings!$B$11,1))*SQRT(Settings!$B$13)))</f>
        <v/>
      </c>
      <c r="K285" s="20">
        <f>IF(OR(NOT(ISNUMBER($A285)),ROW()-2&lt;Settings!$B$12),NA(),IF(COUNT(OFFSET(G285,1-Settings!$B$12,0,Settings!$B$12,1))&lt;ROUNDUP(Settings!$B$12*Settings!$B$26,0),NA(),STDEV(OFFSET(G285,1-Settings!$B$12,0,Settings!$B$12,1))*SQRT(Settings!$B$13)))</f>
        <v/>
      </c>
      <c r="L285" s="20">
        <f>IF(AND(ISNUMBER(D285),ISNUMBER(H285)),D285-H285,NA())</f>
        <v/>
      </c>
      <c r="M285" s="20">
        <f>IF(AND(ISNUMBER(E285),ISNUMBER(K285)),E285-K285,NA())</f>
        <v/>
      </c>
      <c r="N285" s="20">
        <f>IF(NOT(ISNUMBER($A285)),NA(),IF(COUNT(OFFSET(G285,1,0,Settings!$B$12,1))&lt;ROUNDUP(Settings!$B$12*Settings!$B$26,0),NA(),STDEV(OFFSET(G285,1,0,Settings!$B$12,1))*SQRT(Settings!$B$13)))</f>
        <v/>
      </c>
      <c r="O285" s="20">
        <f>IF(AND(ISNUMBER(E285),ISNUMBER(N285)),E285-N285,NA())</f>
        <v/>
      </c>
      <c r="P285" s="19">
        <f>IF(NOT(ISNUMBER($A285)),NA(),IF(OR($A285&lt;MIN(KW_TP!$A$2:$A$2501),$A285&gt;MAX(KW_TP!$A$2:$A$2501)),NA(),INDEX(KW_TP!$C$2:$C$2501,MATCH($A285,KW_TP!$A$2:$A$2501,1))))</f>
        <v/>
      </c>
      <c r="Q285" s="18">
        <f>IF(NOT(ISNUMBER($A285)),NA(),IFERROR(1*INDEX(BBG_Data!$J$2:$J$4000,MATCH($A285,BBG_Data!$I$2:$I$4000,0)),NA()))</f>
        <v/>
      </c>
      <c r="R285" s="18">
        <f>IF(NOT(ISNUMBER($A285)),NA(),IFERROR(1*INDEX(BBG_Data!$L$2:$L$4000,MATCH($A285,BBG_Data!$K$2:$K$4000,0)),NA()))</f>
        <v/>
      </c>
      <c r="S285" s="20">
        <f>IF(AND(ISNUMBER(B285),ISNUMBER(Q285),ISNUMBER(R285)),(B285-Q285-R285)*100,NA())</f>
        <v/>
      </c>
      <c r="T285" s="20">
        <f>IF(AND(ISNUMBER(B285),Settings!$B$17&gt;0),IF(ISNUMBER(INDEX($B:$B,Settings!$B$17)),(B285-INDEX($B:$B,Settings!$B$17))*100,NA()),NA())</f>
        <v/>
      </c>
      <c r="U285" s="20">
        <f>IF(AND(ISNUMBER(Q285),Settings!$B$17&gt;0),IF(ISNUMBER(INDEX($Q:$Q,Settings!$B$17)),(Q285-INDEX($Q:$Q,Settings!$B$17))*100,NA()),NA())</f>
        <v/>
      </c>
      <c r="V285" s="20">
        <f>IF(AND(ISNUMBER(R285),Settings!$B$17&gt;0),IF(ISNUMBER(INDEX($R:$R,Settings!$B$17)),(R285-INDEX($R:$R,Settings!$B$17))*100,NA()),NA())</f>
        <v/>
      </c>
      <c r="W285" s="20">
        <f>IF(AND(ISNUMBER(P285),Settings!$B$17&gt;0),IF(ISNUMBER(INDEX($P:$P,Settings!$B$17)),P285-INDEX($P:$P,Settings!$B$17),NA()),NA())</f>
        <v/>
      </c>
      <c r="X285" s="19">
        <f>IF(NOT(ISNUMBER($A285)),NA(),IF(OR($A285&lt;MIN(DKW_10Y!$A$2:$A$2918),$A285&gt;MAX(DKW_10Y!$A$2:$A$2918),Settings!$B$16&lt;MIN(DKW_10Y!$A$2:$A$2918)),NA(),(INDEX(DKW_10Y!$B$2:$B$2918,MATCH($A285,DKW_10Y!$A$2:$A$2918,1))-INDEX(DKW_10Y!$B$2:$B$2918,MATCH(Settings!$B$16,DKW_10Y!$A$2:$A$2918,1)))*100))</f>
        <v/>
      </c>
      <c r="Y285" s="19">
        <f>IF(NOT(ISNUMBER($A285)),NA(),IF(OR($A285&lt;MIN(DKW_10Y!$A$2:$A$2918),$A285&gt;MAX(DKW_10Y!$A$2:$A$2918),Settings!$B$16&lt;MIN(DKW_10Y!$A$2:$A$2918)),NA(),(INDEX(DKW_10Y!$C$2:$C$2918,MATCH($A285,DKW_10Y!$A$2:$A$2918,1))-INDEX(DKW_10Y!$C$2:$C$2918,MATCH(Settings!$B$16,DKW_10Y!$A$2:$A$2918,1)))*100))</f>
        <v/>
      </c>
      <c r="Z285" s="19">
        <f>IF(NOT(ISNUMBER($A285)),NA(),IF(OR($A285&lt;MIN(DKW_10Y!$A$2:$A$2918),$A285&gt;MAX(DKW_10Y!$A$2:$A$2918),Settings!$B$16&lt;MIN(DKW_10Y!$A$2:$A$2918)),NA(),(INDEX(DKW_10Y!$D$2:$D$2918,MATCH($A285,DKW_10Y!$A$2:$A$2918,1))-INDEX(DKW_10Y!$D$2:$D$2918,MATCH(Settings!$B$16,DKW_10Y!$A$2:$A$2918,1)))*100))</f>
        <v/>
      </c>
      <c r="AA285" s="19">
        <f>IF(NOT(ISNUMBER($A285)),NA(),IF(OR($A285&lt;MIN(DKW_10Y!$A$2:$A$2918),$A285&gt;MAX(DKW_10Y!$A$2:$A$2918),Settings!$B$16&lt;MIN(DKW_10Y!$A$2:$A$2918)),NA(),(INDEX(DKW_10Y!$E$2:$E$2918,MATCH($A285,DKW_10Y!$A$2:$A$2918,1))-INDEX(DKW_10Y!$E$2:$E$2918,MATCH(Settings!$B$16,DKW_10Y!$A$2:$A$2918,1)))*100))</f>
        <v/>
      </c>
      <c r="AB285" s="19">
        <f>IF(NOT(ISNUMBER($A285)),NA(),IF(OR($A285&lt;MIN(DKW_10Y!$A$2:$A$2918),$A285&gt;MAX(DKW_10Y!$A$2:$A$2918),Settings!$B$16&lt;MIN(DKW_10Y!$A$2:$A$2918)),NA(),(INDEX(DKW_10Y!$H$2:$H$2918,MATCH($A285,DKW_10Y!$A$2:$A$2918,1))-INDEX(DKW_10Y!$H$2:$H$2918,MATCH(Settings!$B$16,DKW_10Y!$A$2:$A$2918,1)))*100))</f>
        <v/>
      </c>
      <c r="AC285" s="18">
        <f>IF(NOT(ISNUMBER($A285)),NA(),IFERROR(1*INDEX(BBG_Data!$N$2:$N$4000,MATCH($A285,BBG_Data!$M$2:$M$4000,0)),NA()))</f>
        <v/>
      </c>
      <c r="AD285" s="18">
        <f>IF(NOT(ISNUMBER($A285)),NA(),IFERROR(1*INDEX(BBG_Data!$P$2:$P$4000,MATCH($A285,BBG_Data!$O$2:$O$4000,0)),NA()))</f>
        <v/>
      </c>
      <c r="AE285" s="18">
        <f>IF(NOT(ISNUMBER($A285)),NA(),IFERROR(1*INDEX(BBG_Data!$R$2:$R$4000,MATCH($A285,BBG_Data!$Q$2:$Q$4000,0)),NA()))</f>
        <v/>
      </c>
      <c r="AF285" s="20">
        <f>IF(AND(ISNUMBER(B285),ISNUMBER(AC285)),(B285-AC285)*100,NA())</f>
        <v/>
      </c>
      <c r="AG285" s="20">
        <f>IF(AND(ISNUMBER(AE285),ISNUMBER(AD285)),(AE285-AD285)*100,NA())</f>
        <v/>
      </c>
      <c r="AH285" s="19">
        <f>IF(NOT(ISNUMBER($A285)),NA(),IFERROR(INDEX(BBG_Data!$T$2:$T$4000,MATCH($A285,BBG_Data!$S$2:$S$4000,0))*Settings!$B$25,NA()))</f>
        <v/>
      </c>
      <c r="AI285" s="19">
        <f>IF(NOT(ISNUMBER($A285)),NA(),IFERROR(INDEX(BBG_Data!$V$2:$V$4000,MATCH($A285,BBG_Data!$U$2:$U$4000,0))*Settings!$B$25,NA()))</f>
        <v/>
      </c>
      <c r="AJ285" s="19">
        <f>IF(NOT(ISNUMBER($A285)),NA(),IFERROR(1*INDEX(BBG_Data!$X$2:$X$4000,MATCH($A285,BBG_Data!$W$2:$W$4000,0)),NA()))</f>
        <v/>
      </c>
      <c r="AK285" s="19">
        <f>IF(NOT(ISNUMBER($A285)),NA(),IFERROR(1*INDEX(BBG_Data!$Z$2:$Z$4000,MATCH($A285,BBG_Data!$Y$2:$Y$4000,0)),NA()))</f>
        <v/>
      </c>
    </row>
    <row r="286">
      <c r="A286" s="17">
        <f>IF(ISNUMBER(BBG_Data!A286),BBG_Data!A286,"")</f>
        <v/>
      </c>
      <c r="B286" s="18">
        <f>IF(AND(ISNUMBER($A286),ISNUMBER(BBG_Data!B286)),BBG_Data!B286,NA())</f>
        <v/>
      </c>
      <c r="C286" s="18">
        <f>IF(NOT(ISNUMBER($A286)),NA(),IFERROR(1*INDEX(BBG_Data!$D$2:$D$4000,MATCH($A286,BBG_Data!$C$2:$C$4000,0)),NA()))</f>
        <v/>
      </c>
      <c r="D286" s="19">
        <f>IF(NOT(ISNUMBER($A286)),NA(),IFERROR(1*INDEX(BBG_Data!$F$2:$F$4000,MATCH($A286,BBG_Data!$E$2:$E$4000,0)),NA()))</f>
        <v/>
      </c>
      <c r="E286" s="19">
        <f>IF(NOT(ISNUMBER($A286)),NA(),IFERROR(1*INDEX(BBG_Data!$H$2:$H$4000,MATCH($A286,BBG_Data!$G$2:$G$4000,0)),NA()))</f>
        <v/>
      </c>
      <c r="F286" s="20">
        <f>IF(AND(ISNUMBER(B286),ISNUMBER(B285)),IF(B286=B285,"",(B286-B285)*100),"")</f>
        <v/>
      </c>
      <c r="G286" s="20">
        <f>IF(AND(ISNUMBER(C286),ISNUMBER(C285)),IF(C286=C285,"",(C286-C285)*100),"")</f>
        <v/>
      </c>
      <c r="H286" s="20">
        <f>IF(OR(NOT(ISNUMBER($A286)),ROW()-2&lt;Settings!$B$11),NA(),IF(COUNT(OFFSET(F286,1-Settings!$B$11,0,Settings!$B$11,1))&lt;ROUNDUP(Settings!$B$11*Settings!$B$26,0),NA(),STDEV(OFFSET(F286,1-Settings!$B$11,0,Settings!$B$11,1))*SQRT(Settings!$B$13)))</f>
        <v/>
      </c>
      <c r="I286" s="20">
        <f>IF(OR(NOT(ISNUMBER($A286)),ROW()-2&lt;Settings!$B$12),NA(),IF(COUNT(OFFSET(F286,1-Settings!$B$12,0,Settings!$B$12,1))&lt;ROUNDUP(Settings!$B$12*Settings!$B$26,0),NA(),STDEV(OFFSET(F286,1-Settings!$B$12,0,Settings!$B$12,1))*SQRT(Settings!$B$13)))</f>
        <v/>
      </c>
      <c r="J286" s="20">
        <f>IF(OR(NOT(ISNUMBER($A286)),ROW()-2&lt;Settings!$B$11),NA(),IF(COUNT(OFFSET(G286,1-Settings!$B$11,0,Settings!$B$11,1))&lt;ROUNDUP(Settings!$B$11*Settings!$B$26,0),NA(),STDEV(OFFSET(G286,1-Settings!$B$11,0,Settings!$B$11,1))*SQRT(Settings!$B$13)))</f>
        <v/>
      </c>
      <c r="K286" s="20">
        <f>IF(OR(NOT(ISNUMBER($A286)),ROW()-2&lt;Settings!$B$12),NA(),IF(COUNT(OFFSET(G286,1-Settings!$B$12,0,Settings!$B$12,1))&lt;ROUNDUP(Settings!$B$12*Settings!$B$26,0),NA(),STDEV(OFFSET(G286,1-Settings!$B$12,0,Settings!$B$12,1))*SQRT(Settings!$B$13)))</f>
        <v/>
      </c>
      <c r="L286" s="20">
        <f>IF(AND(ISNUMBER(D286),ISNUMBER(H286)),D286-H286,NA())</f>
        <v/>
      </c>
      <c r="M286" s="20">
        <f>IF(AND(ISNUMBER(E286),ISNUMBER(K286)),E286-K286,NA())</f>
        <v/>
      </c>
      <c r="N286" s="20">
        <f>IF(NOT(ISNUMBER($A286)),NA(),IF(COUNT(OFFSET(G286,1,0,Settings!$B$12,1))&lt;ROUNDUP(Settings!$B$12*Settings!$B$26,0),NA(),STDEV(OFFSET(G286,1,0,Settings!$B$12,1))*SQRT(Settings!$B$13)))</f>
        <v/>
      </c>
      <c r="O286" s="20">
        <f>IF(AND(ISNUMBER(E286),ISNUMBER(N286)),E286-N286,NA())</f>
        <v/>
      </c>
      <c r="P286" s="19">
        <f>IF(NOT(ISNUMBER($A286)),NA(),IF(OR($A286&lt;MIN(KW_TP!$A$2:$A$2501),$A286&gt;MAX(KW_TP!$A$2:$A$2501)),NA(),INDEX(KW_TP!$C$2:$C$2501,MATCH($A286,KW_TP!$A$2:$A$2501,1))))</f>
        <v/>
      </c>
      <c r="Q286" s="18">
        <f>IF(NOT(ISNUMBER($A286)),NA(),IFERROR(1*INDEX(BBG_Data!$J$2:$J$4000,MATCH($A286,BBG_Data!$I$2:$I$4000,0)),NA()))</f>
        <v/>
      </c>
      <c r="R286" s="18">
        <f>IF(NOT(ISNUMBER($A286)),NA(),IFERROR(1*INDEX(BBG_Data!$L$2:$L$4000,MATCH($A286,BBG_Data!$K$2:$K$4000,0)),NA()))</f>
        <v/>
      </c>
      <c r="S286" s="20">
        <f>IF(AND(ISNUMBER(B286),ISNUMBER(Q286),ISNUMBER(R286)),(B286-Q286-R286)*100,NA())</f>
        <v/>
      </c>
      <c r="T286" s="20">
        <f>IF(AND(ISNUMBER(B286),Settings!$B$17&gt;0),IF(ISNUMBER(INDEX($B:$B,Settings!$B$17)),(B286-INDEX($B:$B,Settings!$B$17))*100,NA()),NA())</f>
        <v/>
      </c>
      <c r="U286" s="20">
        <f>IF(AND(ISNUMBER(Q286),Settings!$B$17&gt;0),IF(ISNUMBER(INDEX($Q:$Q,Settings!$B$17)),(Q286-INDEX($Q:$Q,Settings!$B$17))*100,NA()),NA())</f>
        <v/>
      </c>
      <c r="V286" s="20">
        <f>IF(AND(ISNUMBER(R286),Settings!$B$17&gt;0),IF(ISNUMBER(INDEX($R:$R,Settings!$B$17)),(R286-INDEX($R:$R,Settings!$B$17))*100,NA()),NA())</f>
        <v/>
      </c>
      <c r="W286" s="20">
        <f>IF(AND(ISNUMBER(P286),Settings!$B$17&gt;0),IF(ISNUMBER(INDEX($P:$P,Settings!$B$17)),P286-INDEX($P:$P,Settings!$B$17),NA()),NA())</f>
        <v/>
      </c>
      <c r="X286" s="19">
        <f>IF(NOT(ISNUMBER($A286)),NA(),IF(OR($A286&lt;MIN(DKW_10Y!$A$2:$A$2918),$A286&gt;MAX(DKW_10Y!$A$2:$A$2918),Settings!$B$16&lt;MIN(DKW_10Y!$A$2:$A$2918)),NA(),(INDEX(DKW_10Y!$B$2:$B$2918,MATCH($A286,DKW_10Y!$A$2:$A$2918,1))-INDEX(DKW_10Y!$B$2:$B$2918,MATCH(Settings!$B$16,DKW_10Y!$A$2:$A$2918,1)))*100))</f>
        <v/>
      </c>
      <c r="Y286" s="19">
        <f>IF(NOT(ISNUMBER($A286)),NA(),IF(OR($A286&lt;MIN(DKW_10Y!$A$2:$A$2918),$A286&gt;MAX(DKW_10Y!$A$2:$A$2918),Settings!$B$16&lt;MIN(DKW_10Y!$A$2:$A$2918)),NA(),(INDEX(DKW_10Y!$C$2:$C$2918,MATCH($A286,DKW_10Y!$A$2:$A$2918,1))-INDEX(DKW_10Y!$C$2:$C$2918,MATCH(Settings!$B$16,DKW_10Y!$A$2:$A$2918,1)))*100))</f>
        <v/>
      </c>
      <c r="Z286" s="19">
        <f>IF(NOT(ISNUMBER($A286)),NA(),IF(OR($A286&lt;MIN(DKW_10Y!$A$2:$A$2918),$A286&gt;MAX(DKW_10Y!$A$2:$A$2918),Settings!$B$16&lt;MIN(DKW_10Y!$A$2:$A$2918)),NA(),(INDEX(DKW_10Y!$D$2:$D$2918,MATCH($A286,DKW_10Y!$A$2:$A$2918,1))-INDEX(DKW_10Y!$D$2:$D$2918,MATCH(Settings!$B$16,DKW_10Y!$A$2:$A$2918,1)))*100))</f>
        <v/>
      </c>
      <c r="AA286" s="19">
        <f>IF(NOT(ISNUMBER($A286)),NA(),IF(OR($A286&lt;MIN(DKW_10Y!$A$2:$A$2918),$A286&gt;MAX(DKW_10Y!$A$2:$A$2918),Settings!$B$16&lt;MIN(DKW_10Y!$A$2:$A$2918)),NA(),(INDEX(DKW_10Y!$E$2:$E$2918,MATCH($A286,DKW_10Y!$A$2:$A$2918,1))-INDEX(DKW_10Y!$E$2:$E$2918,MATCH(Settings!$B$16,DKW_10Y!$A$2:$A$2918,1)))*100))</f>
        <v/>
      </c>
      <c r="AB286" s="19">
        <f>IF(NOT(ISNUMBER($A286)),NA(),IF(OR($A286&lt;MIN(DKW_10Y!$A$2:$A$2918),$A286&gt;MAX(DKW_10Y!$A$2:$A$2918),Settings!$B$16&lt;MIN(DKW_10Y!$A$2:$A$2918)),NA(),(INDEX(DKW_10Y!$H$2:$H$2918,MATCH($A286,DKW_10Y!$A$2:$A$2918,1))-INDEX(DKW_10Y!$H$2:$H$2918,MATCH(Settings!$B$16,DKW_10Y!$A$2:$A$2918,1)))*100))</f>
        <v/>
      </c>
      <c r="AC286" s="18">
        <f>IF(NOT(ISNUMBER($A286)),NA(),IFERROR(1*INDEX(BBG_Data!$N$2:$N$4000,MATCH($A286,BBG_Data!$M$2:$M$4000,0)),NA()))</f>
        <v/>
      </c>
      <c r="AD286" s="18">
        <f>IF(NOT(ISNUMBER($A286)),NA(),IFERROR(1*INDEX(BBG_Data!$P$2:$P$4000,MATCH($A286,BBG_Data!$O$2:$O$4000,0)),NA()))</f>
        <v/>
      </c>
      <c r="AE286" s="18">
        <f>IF(NOT(ISNUMBER($A286)),NA(),IFERROR(1*INDEX(BBG_Data!$R$2:$R$4000,MATCH($A286,BBG_Data!$Q$2:$Q$4000,0)),NA()))</f>
        <v/>
      </c>
      <c r="AF286" s="20">
        <f>IF(AND(ISNUMBER(B286),ISNUMBER(AC286)),(B286-AC286)*100,NA())</f>
        <v/>
      </c>
      <c r="AG286" s="20">
        <f>IF(AND(ISNUMBER(AE286),ISNUMBER(AD286)),(AE286-AD286)*100,NA())</f>
        <v/>
      </c>
      <c r="AH286" s="19">
        <f>IF(NOT(ISNUMBER($A286)),NA(),IFERROR(INDEX(BBG_Data!$T$2:$T$4000,MATCH($A286,BBG_Data!$S$2:$S$4000,0))*Settings!$B$25,NA()))</f>
        <v/>
      </c>
      <c r="AI286" s="19">
        <f>IF(NOT(ISNUMBER($A286)),NA(),IFERROR(INDEX(BBG_Data!$V$2:$V$4000,MATCH($A286,BBG_Data!$U$2:$U$4000,0))*Settings!$B$25,NA()))</f>
        <v/>
      </c>
      <c r="AJ286" s="19">
        <f>IF(NOT(ISNUMBER($A286)),NA(),IFERROR(1*INDEX(BBG_Data!$X$2:$X$4000,MATCH($A286,BBG_Data!$W$2:$W$4000,0)),NA()))</f>
        <v/>
      </c>
      <c r="AK286" s="19">
        <f>IF(NOT(ISNUMBER($A286)),NA(),IFERROR(1*INDEX(BBG_Data!$Z$2:$Z$4000,MATCH($A286,BBG_Data!$Y$2:$Y$4000,0)),NA()))</f>
        <v/>
      </c>
    </row>
    <row r="287">
      <c r="A287" s="17">
        <f>IF(ISNUMBER(BBG_Data!A287),BBG_Data!A287,"")</f>
        <v/>
      </c>
      <c r="B287" s="18">
        <f>IF(AND(ISNUMBER($A287),ISNUMBER(BBG_Data!B287)),BBG_Data!B287,NA())</f>
        <v/>
      </c>
      <c r="C287" s="18">
        <f>IF(NOT(ISNUMBER($A287)),NA(),IFERROR(1*INDEX(BBG_Data!$D$2:$D$4000,MATCH($A287,BBG_Data!$C$2:$C$4000,0)),NA()))</f>
        <v/>
      </c>
      <c r="D287" s="19">
        <f>IF(NOT(ISNUMBER($A287)),NA(),IFERROR(1*INDEX(BBG_Data!$F$2:$F$4000,MATCH($A287,BBG_Data!$E$2:$E$4000,0)),NA()))</f>
        <v/>
      </c>
      <c r="E287" s="19">
        <f>IF(NOT(ISNUMBER($A287)),NA(),IFERROR(1*INDEX(BBG_Data!$H$2:$H$4000,MATCH($A287,BBG_Data!$G$2:$G$4000,0)),NA()))</f>
        <v/>
      </c>
      <c r="F287" s="20">
        <f>IF(AND(ISNUMBER(B287),ISNUMBER(B286)),IF(B287=B286,"",(B287-B286)*100),"")</f>
        <v/>
      </c>
      <c r="G287" s="20">
        <f>IF(AND(ISNUMBER(C287),ISNUMBER(C286)),IF(C287=C286,"",(C287-C286)*100),"")</f>
        <v/>
      </c>
      <c r="H287" s="20">
        <f>IF(OR(NOT(ISNUMBER($A287)),ROW()-2&lt;Settings!$B$11),NA(),IF(COUNT(OFFSET(F287,1-Settings!$B$11,0,Settings!$B$11,1))&lt;ROUNDUP(Settings!$B$11*Settings!$B$26,0),NA(),STDEV(OFFSET(F287,1-Settings!$B$11,0,Settings!$B$11,1))*SQRT(Settings!$B$13)))</f>
        <v/>
      </c>
      <c r="I287" s="20">
        <f>IF(OR(NOT(ISNUMBER($A287)),ROW()-2&lt;Settings!$B$12),NA(),IF(COUNT(OFFSET(F287,1-Settings!$B$12,0,Settings!$B$12,1))&lt;ROUNDUP(Settings!$B$12*Settings!$B$26,0),NA(),STDEV(OFFSET(F287,1-Settings!$B$12,0,Settings!$B$12,1))*SQRT(Settings!$B$13)))</f>
        <v/>
      </c>
      <c r="J287" s="20">
        <f>IF(OR(NOT(ISNUMBER($A287)),ROW()-2&lt;Settings!$B$11),NA(),IF(COUNT(OFFSET(G287,1-Settings!$B$11,0,Settings!$B$11,1))&lt;ROUNDUP(Settings!$B$11*Settings!$B$26,0),NA(),STDEV(OFFSET(G287,1-Settings!$B$11,0,Settings!$B$11,1))*SQRT(Settings!$B$13)))</f>
        <v/>
      </c>
      <c r="K287" s="20">
        <f>IF(OR(NOT(ISNUMBER($A287)),ROW()-2&lt;Settings!$B$12),NA(),IF(COUNT(OFFSET(G287,1-Settings!$B$12,0,Settings!$B$12,1))&lt;ROUNDUP(Settings!$B$12*Settings!$B$26,0),NA(),STDEV(OFFSET(G287,1-Settings!$B$12,0,Settings!$B$12,1))*SQRT(Settings!$B$13)))</f>
        <v/>
      </c>
      <c r="L287" s="20">
        <f>IF(AND(ISNUMBER(D287),ISNUMBER(H287)),D287-H287,NA())</f>
        <v/>
      </c>
      <c r="M287" s="20">
        <f>IF(AND(ISNUMBER(E287),ISNUMBER(K287)),E287-K287,NA())</f>
        <v/>
      </c>
      <c r="N287" s="20">
        <f>IF(NOT(ISNUMBER($A287)),NA(),IF(COUNT(OFFSET(G287,1,0,Settings!$B$12,1))&lt;ROUNDUP(Settings!$B$12*Settings!$B$26,0),NA(),STDEV(OFFSET(G287,1,0,Settings!$B$12,1))*SQRT(Settings!$B$13)))</f>
        <v/>
      </c>
      <c r="O287" s="20">
        <f>IF(AND(ISNUMBER(E287),ISNUMBER(N287)),E287-N287,NA())</f>
        <v/>
      </c>
      <c r="P287" s="19">
        <f>IF(NOT(ISNUMBER($A287)),NA(),IF(OR($A287&lt;MIN(KW_TP!$A$2:$A$2501),$A287&gt;MAX(KW_TP!$A$2:$A$2501)),NA(),INDEX(KW_TP!$C$2:$C$2501,MATCH($A287,KW_TP!$A$2:$A$2501,1))))</f>
        <v/>
      </c>
      <c r="Q287" s="18">
        <f>IF(NOT(ISNUMBER($A287)),NA(),IFERROR(1*INDEX(BBG_Data!$J$2:$J$4000,MATCH($A287,BBG_Data!$I$2:$I$4000,0)),NA()))</f>
        <v/>
      </c>
      <c r="R287" s="18">
        <f>IF(NOT(ISNUMBER($A287)),NA(),IFERROR(1*INDEX(BBG_Data!$L$2:$L$4000,MATCH($A287,BBG_Data!$K$2:$K$4000,0)),NA()))</f>
        <v/>
      </c>
      <c r="S287" s="20">
        <f>IF(AND(ISNUMBER(B287),ISNUMBER(Q287),ISNUMBER(R287)),(B287-Q287-R287)*100,NA())</f>
        <v/>
      </c>
      <c r="T287" s="20">
        <f>IF(AND(ISNUMBER(B287),Settings!$B$17&gt;0),IF(ISNUMBER(INDEX($B:$B,Settings!$B$17)),(B287-INDEX($B:$B,Settings!$B$17))*100,NA()),NA())</f>
        <v/>
      </c>
      <c r="U287" s="20">
        <f>IF(AND(ISNUMBER(Q287),Settings!$B$17&gt;0),IF(ISNUMBER(INDEX($Q:$Q,Settings!$B$17)),(Q287-INDEX($Q:$Q,Settings!$B$17))*100,NA()),NA())</f>
        <v/>
      </c>
      <c r="V287" s="20">
        <f>IF(AND(ISNUMBER(R287),Settings!$B$17&gt;0),IF(ISNUMBER(INDEX($R:$R,Settings!$B$17)),(R287-INDEX($R:$R,Settings!$B$17))*100,NA()),NA())</f>
        <v/>
      </c>
      <c r="W287" s="20">
        <f>IF(AND(ISNUMBER(P287),Settings!$B$17&gt;0),IF(ISNUMBER(INDEX($P:$P,Settings!$B$17)),P287-INDEX($P:$P,Settings!$B$17),NA()),NA())</f>
        <v/>
      </c>
      <c r="X287" s="19">
        <f>IF(NOT(ISNUMBER($A287)),NA(),IF(OR($A287&lt;MIN(DKW_10Y!$A$2:$A$2918),$A287&gt;MAX(DKW_10Y!$A$2:$A$2918),Settings!$B$16&lt;MIN(DKW_10Y!$A$2:$A$2918)),NA(),(INDEX(DKW_10Y!$B$2:$B$2918,MATCH($A287,DKW_10Y!$A$2:$A$2918,1))-INDEX(DKW_10Y!$B$2:$B$2918,MATCH(Settings!$B$16,DKW_10Y!$A$2:$A$2918,1)))*100))</f>
        <v/>
      </c>
      <c r="Y287" s="19">
        <f>IF(NOT(ISNUMBER($A287)),NA(),IF(OR($A287&lt;MIN(DKW_10Y!$A$2:$A$2918),$A287&gt;MAX(DKW_10Y!$A$2:$A$2918),Settings!$B$16&lt;MIN(DKW_10Y!$A$2:$A$2918)),NA(),(INDEX(DKW_10Y!$C$2:$C$2918,MATCH($A287,DKW_10Y!$A$2:$A$2918,1))-INDEX(DKW_10Y!$C$2:$C$2918,MATCH(Settings!$B$16,DKW_10Y!$A$2:$A$2918,1)))*100))</f>
        <v/>
      </c>
      <c r="Z287" s="19">
        <f>IF(NOT(ISNUMBER($A287)),NA(),IF(OR($A287&lt;MIN(DKW_10Y!$A$2:$A$2918),$A287&gt;MAX(DKW_10Y!$A$2:$A$2918),Settings!$B$16&lt;MIN(DKW_10Y!$A$2:$A$2918)),NA(),(INDEX(DKW_10Y!$D$2:$D$2918,MATCH($A287,DKW_10Y!$A$2:$A$2918,1))-INDEX(DKW_10Y!$D$2:$D$2918,MATCH(Settings!$B$16,DKW_10Y!$A$2:$A$2918,1)))*100))</f>
        <v/>
      </c>
      <c r="AA287" s="19">
        <f>IF(NOT(ISNUMBER($A287)),NA(),IF(OR($A287&lt;MIN(DKW_10Y!$A$2:$A$2918),$A287&gt;MAX(DKW_10Y!$A$2:$A$2918),Settings!$B$16&lt;MIN(DKW_10Y!$A$2:$A$2918)),NA(),(INDEX(DKW_10Y!$E$2:$E$2918,MATCH($A287,DKW_10Y!$A$2:$A$2918,1))-INDEX(DKW_10Y!$E$2:$E$2918,MATCH(Settings!$B$16,DKW_10Y!$A$2:$A$2918,1)))*100))</f>
        <v/>
      </c>
      <c r="AB287" s="19">
        <f>IF(NOT(ISNUMBER($A287)),NA(),IF(OR($A287&lt;MIN(DKW_10Y!$A$2:$A$2918),$A287&gt;MAX(DKW_10Y!$A$2:$A$2918),Settings!$B$16&lt;MIN(DKW_10Y!$A$2:$A$2918)),NA(),(INDEX(DKW_10Y!$H$2:$H$2918,MATCH($A287,DKW_10Y!$A$2:$A$2918,1))-INDEX(DKW_10Y!$H$2:$H$2918,MATCH(Settings!$B$16,DKW_10Y!$A$2:$A$2918,1)))*100))</f>
        <v/>
      </c>
      <c r="AC287" s="18">
        <f>IF(NOT(ISNUMBER($A287)),NA(),IFERROR(1*INDEX(BBG_Data!$N$2:$N$4000,MATCH($A287,BBG_Data!$M$2:$M$4000,0)),NA()))</f>
        <v/>
      </c>
      <c r="AD287" s="18">
        <f>IF(NOT(ISNUMBER($A287)),NA(),IFERROR(1*INDEX(BBG_Data!$P$2:$P$4000,MATCH($A287,BBG_Data!$O$2:$O$4000,0)),NA()))</f>
        <v/>
      </c>
      <c r="AE287" s="18">
        <f>IF(NOT(ISNUMBER($A287)),NA(),IFERROR(1*INDEX(BBG_Data!$R$2:$R$4000,MATCH($A287,BBG_Data!$Q$2:$Q$4000,0)),NA()))</f>
        <v/>
      </c>
      <c r="AF287" s="20">
        <f>IF(AND(ISNUMBER(B287),ISNUMBER(AC287)),(B287-AC287)*100,NA())</f>
        <v/>
      </c>
      <c r="AG287" s="20">
        <f>IF(AND(ISNUMBER(AE287),ISNUMBER(AD287)),(AE287-AD287)*100,NA())</f>
        <v/>
      </c>
      <c r="AH287" s="19">
        <f>IF(NOT(ISNUMBER($A287)),NA(),IFERROR(INDEX(BBG_Data!$T$2:$T$4000,MATCH($A287,BBG_Data!$S$2:$S$4000,0))*Settings!$B$25,NA()))</f>
        <v/>
      </c>
      <c r="AI287" s="19">
        <f>IF(NOT(ISNUMBER($A287)),NA(),IFERROR(INDEX(BBG_Data!$V$2:$V$4000,MATCH($A287,BBG_Data!$U$2:$U$4000,0))*Settings!$B$25,NA()))</f>
        <v/>
      </c>
      <c r="AJ287" s="19">
        <f>IF(NOT(ISNUMBER($A287)),NA(),IFERROR(1*INDEX(BBG_Data!$X$2:$X$4000,MATCH($A287,BBG_Data!$W$2:$W$4000,0)),NA()))</f>
        <v/>
      </c>
      <c r="AK287" s="19">
        <f>IF(NOT(ISNUMBER($A287)),NA(),IFERROR(1*INDEX(BBG_Data!$Z$2:$Z$4000,MATCH($A287,BBG_Data!$Y$2:$Y$4000,0)),NA()))</f>
        <v/>
      </c>
    </row>
    <row r="288">
      <c r="A288" s="17">
        <f>IF(ISNUMBER(BBG_Data!A288),BBG_Data!A288,"")</f>
        <v/>
      </c>
      <c r="B288" s="18">
        <f>IF(AND(ISNUMBER($A288),ISNUMBER(BBG_Data!B288)),BBG_Data!B288,NA())</f>
        <v/>
      </c>
      <c r="C288" s="18">
        <f>IF(NOT(ISNUMBER($A288)),NA(),IFERROR(1*INDEX(BBG_Data!$D$2:$D$4000,MATCH($A288,BBG_Data!$C$2:$C$4000,0)),NA()))</f>
        <v/>
      </c>
      <c r="D288" s="19">
        <f>IF(NOT(ISNUMBER($A288)),NA(),IFERROR(1*INDEX(BBG_Data!$F$2:$F$4000,MATCH($A288,BBG_Data!$E$2:$E$4000,0)),NA()))</f>
        <v/>
      </c>
      <c r="E288" s="19">
        <f>IF(NOT(ISNUMBER($A288)),NA(),IFERROR(1*INDEX(BBG_Data!$H$2:$H$4000,MATCH($A288,BBG_Data!$G$2:$G$4000,0)),NA()))</f>
        <v/>
      </c>
      <c r="F288" s="20">
        <f>IF(AND(ISNUMBER(B288),ISNUMBER(B287)),IF(B288=B287,"",(B288-B287)*100),"")</f>
        <v/>
      </c>
      <c r="G288" s="20">
        <f>IF(AND(ISNUMBER(C288),ISNUMBER(C287)),IF(C288=C287,"",(C288-C287)*100),"")</f>
        <v/>
      </c>
      <c r="H288" s="20">
        <f>IF(OR(NOT(ISNUMBER($A288)),ROW()-2&lt;Settings!$B$11),NA(),IF(COUNT(OFFSET(F288,1-Settings!$B$11,0,Settings!$B$11,1))&lt;ROUNDUP(Settings!$B$11*Settings!$B$26,0),NA(),STDEV(OFFSET(F288,1-Settings!$B$11,0,Settings!$B$11,1))*SQRT(Settings!$B$13)))</f>
        <v/>
      </c>
      <c r="I288" s="20">
        <f>IF(OR(NOT(ISNUMBER($A288)),ROW()-2&lt;Settings!$B$12),NA(),IF(COUNT(OFFSET(F288,1-Settings!$B$12,0,Settings!$B$12,1))&lt;ROUNDUP(Settings!$B$12*Settings!$B$26,0),NA(),STDEV(OFFSET(F288,1-Settings!$B$12,0,Settings!$B$12,1))*SQRT(Settings!$B$13)))</f>
        <v/>
      </c>
      <c r="J288" s="20">
        <f>IF(OR(NOT(ISNUMBER($A288)),ROW()-2&lt;Settings!$B$11),NA(),IF(COUNT(OFFSET(G288,1-Settings!$B$11,0,Settings!$B$11,1))&lt;ROUNDUP(Settings!$B$11*Settings!$B$26,0),NA(),STDEV(OFFSET(G288,1-Settings!$B$11,0,Settings!$B$11,1))*SQRT(Settings!$B$13)))</f>
        <v/>
      </c>
      <c r="K288" s="20">
        <f>IF(OR(NOT(ISNUMBER($A288)),ROW()-2&lt;Settings!$B$12),NA(),IF(COUNT(OFFSET(G288,1-Settings!$B$12,0,Settings!$B$12,1))&lt;ROUNDUP(Settings!$B$12*Settings!$B$26,0),NA(),STDEV(OFFSET(G288,1-Settings!$B$12,0,Settings!$B$12,1))*SQRT(Settings!$B$13)))</f>
        <v/>
      </c>
      <c r="L288" s="20">
        <f>IF(AND(ISNUMBER(D288),ISNUMBER(H288)),D288-H288,NA())</f>
        <v/>
      </c>
      <c r="M288" s="20">
        <f>IF(AND(ISNUMBER(E288),ISNUMBER(K288)),E288-K288,NA())</f>
        <v/>
      </c>
      <c r="N288" s="20">
        <f>IF(NOT(ISNUMBER($A288)),NA(),IF(COUNT(OFFSET(G288,1,0,Settings!$B$12,1))&lt;ROUNDUP(Settings!$B$12*Settings!$B$26,0),NA(),STDEV(OFFSET(G288,1,0,Settings!$B$12,1))*SQRT(Settings!$B$13)))</f>
        <v/>
      </c>
      <c r="O288" s="20">
        <f>IF(AND(ISNUMBER(E288),ISNUMBER(N288)),E288-N288,NA())</f>
        <v/>
      </c>
      <c r="P288" s="19">
        <f>IF(NOT(ISNUMBER($A288)),NA(),IF(OR($A288&lt;MIN(KW_TP!$A$2:$A$2501),$A288&gt;MAX(KW_TP!$A$2:$A$2501)),NA(),INDEX(KW_TP!$C$2:$C$2501,MATCH($A288,KW_TP!$A$2:$A$2501,1))))</f>
        <v/>
      </c>
      <c r="Q288" s="18">
        <f>IF(NOT(ISNUMBER($A288)),NA(),IFERROR(1*INDEX(BBG_Data!$J$2:$J$4000,MATCH($A288,BBG_Data!$I$2:$I$4000,0)),NA()))</f>
        <v/>
      </c>
      <c r="R288" s="18">
        <f>IF(NOT(ISNUMBER($A288)),NA(),IFERROR(1*INDEX(BBG_Data!$L$2:$L$4000,MATCH($A288,BBG_Data!$K$2:$K$4000,0)),NA()))</f>
        <v/>
      </c>
      <c r="S288" s="20">
        <f>IF(AND(ISNUMBER(B288),ISNUMBER(Q288),ISNUMBER(R288)),(B288-Q288-R288)*100,NA())</f>
        <v/>
      </c>
      <c r="T288" s="20">
        <f>IF(AND(ISNUMBER(B288),Settings!$B$17&gt;0),IF(ISNUMBER(INDEX($B:$B,Settings!$B$17)),(B288-INDEX($B:$B,Settings!$B$17))*100,NA()),NA())</f>
        <v/>
      </c>
      <c r="U288" s="20">
        <f>IF(AND(ISNUMBER(Q288),Settings!$B$17&gt;0),IF(ISNUMBER(INDEX($Q:$Q,Settings!$B$17)),(Q288-INDEX($Q:$Q,Settings!$B$17))*100,NA()),NA())</f>
        <v/>
      </c>
      <c r="V288" s="20">
        <f>IF(AND(ISNUMBER(R288),Settings!$B$17&gt;0),IF(ISNUMBER(INDEX($R:$R,Settings!$B$17)),(R288-INDEX($R:$R,Settings!$B$17))*100,NA()),NA())</f>
        <v/>
      </c>
      <c r="W288" s="20">
        <f>IF(AND(ISNUMBER(P288),Settings!$B$17&gt;0),IF(ISNUMBER(INDEX($P:$P,Settings!$B$17)),P288-INDEX($P:$P,Settings!$B$17),NA()),NA())</f>
        <v/>
      </c>
      <c r="X288" s="19">
        <f>IF(NOT(ISNUMBER($A288)),NA(),IF(OR($A288&lt;MIN(DKW_10Y!$A$2:$A$2918),$A288&gt;MAX(DKW_10Y!$A$2:$A$2918),Settings!$B$16&lt;MIN(DKW_10Y!$A$2:$A$2918)),NA(),(INDEX(DKW_10Y!$B$2:$B$2918,MATCH($A288,DKW_10Y!$A$2:$A$2918,1))-INDEX(DKW_10Y!$B$2:$B$2918,MATCH(Settings!$B$16,DKW_10Y!$A$2:$A$2918,1)))*100))</f>
        <v/>
      </c>
      <c r="Y288" s="19">
        <f>IF(NOT(ISNUMBER($A288)),NA(),IF(OR($A288&lt;MIN(DKW_10Y!$A$2:$A$2918),$A288&gt;MAX(DKW_10Y!$A$2:$A$2918),Settings!$B$16&lt;MIN(DKW_10Y!$A$2:$A$2918)),NA(),(INDEX(DKW_10Y!$C$2:$C$2918,MATCH($A288,DKW_10Y!$A$2:$A$2918,1))-INDEX(DKW_10Y!$C$2:$C$2918,MATCH(Settings!$B$16,DKW_10Y!$A$2:$A$2918,1)))*100))</f>
        <v/>
      </c>
      <c r="Z288" s="19">
        <f>IF(NOT(ISNUMBER($A288)),NA(),IF(OR($A288&lt;MIN(DKW_10Y!$A$2:$A$2918),$A288&gt;MAX(DKW_10Y!$A$2:$A$2918),Settings!$B$16&lt;MIN(DKW_10Y!$A$2:$A$2918)),NA(),(INDEX(DKW_10Y!$D$2:$D$2918,MATCH($A288,DKW_10Y!$A$2:$A$2918,1))-INDEX(DKW_10Y!$D$2:$D$2918,MATCH(Settings!$B$16,DKW_10Y!$A$2:$A$2918,1)))*100))</f>
        <v/>
      </c>
      <c r="AA288" s="19">
        <f>IF(NOT(ISNUMBER($A288)),NA(),IF(OR($A288&lt;MIN(DKW_10Y!$A$2:$A$2918),$A288&gt;MAX(DKW_10Y!$A$2:$A$2918),Settings!$B$16&lt;MIN(DKW_10Y!$A$2:$A$2918)),NA(),(INDEX(DKW_10Y!$E$2:$E$2918,MATCH($A288,DKW_10Y!$A$2:$A$2918,1))-INDEX(DKW_10Y!$E$2:$E$2918,MATCH(Settings!$B$16,DKW_10Y!$A$2:$A$2918,1)))*100))</f>
        <v/>
      </c>
      <c r="AB288" s="19">
        <f>IF(NOT(ISNUMBER($A288)),NA(),IF(OR($A288&lt;MIN(DKW_10Y!$A$2:$A$2918),$A288&gt;MAX(DKW_10Y!$A$2:$A$2918),Settings!$B$16&lt;MIN(DKW_10Y!$A$2:$A$2918)),NA(),(INDEX(DKW_10Y!$H$2:$H$2918,MATCH($A288,DKW_10Y!$A$2:$A$2918,1))-INDEX(DKW_10Y!$H$2:$H$2918,MATCH(Settings!$B$16,DKW_10Y!$A$2:$A$2918,1)))*100))</f>
        <v/>
      </c>
      <c r="AC288" s="18">
        <f>IF(NOT(ISNUMBER($A288)),NA(),IFERROR(1*INDEX(BBG_Data!$N$2:$N$4000,MATCH($A288,BBG_Data!$M$2:$M$4000,0)),NA()))</f>
        <v/>
      </c>
      <c r="AD288" s="18">
        <f>IF(NOT(ISNUMBER($A288)),NA(),IFERROR(1*INDEX(BBG_Data!$P$2:$P$4000,MATCH($A288,BBG_Data!$O$2:$O$4000,0)),NA()))</f>
        <v/>
      </c>
      <c r="AE288" s="18">
        <f>IF(NOT(ISNUMBER($A288)),NA(),IFERROR(1*INDEX(BBG_Data!$R$2:$R$4000,MATCH($A288,BBG_Data!$Q$2:$Q$4000,0)),NA()))</f>
        <v/>
      </c>
      <c r="AF288" s="20">
        <f>IF(AND(ISNUMBER(B288),ISNUMBER(AC288)),(B288-AC288)*100,NA())</f>
        <v/>
      </c>
      <c r="AG288" s="20">
        <f>IF(AND(ISNUMBER(AE288),ISNUMBER(AD288)),(AE288-AD288)*100,NA())</f>
        <v/>
      </c>
      <c r="AH288" s="19">
        <f>IF(NOT(ISNUMBER($A288)),NA(),IFERROR(INDEX(BBG_Data!$T$2:$T$4000,MATCH($A288,BBG_Data!$S$2:$S$4000,0))*Settings!$B$25,NA()))</f>
        <v/>
      </c>
      <c r="AI288" s="19">
        <f>IF(NOT(ISNUMBER($A288)),NA(),IFERROR(INDEX(BBG_Data!$V$2:$V$4000,MATCH($A288,BBG_Data!$U$2:$U$4000,0))*Settings!$B$25,NA()))</f>
        <v/>
      </c>
      <c r="AJ288" s="19">
        <f>IF(NOT(ISNUMBER($A288)),NA(),IFERROR(1*INDEX(BBG_Data!$X$2:$X$4000,MATCH($A288,BBG_Data!$W$2:$W$4000,0)),NA()))</f>
        <v/>
      </c>
      <c r="AK288" s="19">
        <f>IF(NOT(ISNUMBER($A288)),NA(),IFERROR(1*INDEX(BBG_Data!$Z$2:$Z$4000,MATCH($A288,BBG_Data!$Y$2:$Y$4000,0)),NA()))</f>
        <v/>
      </c>
    </row>
    <row r="289">
      <c r="A289" s="17">
        <f>IF(ISNUMBER(BBG_Data!A289),BBG_Data!A289,"")</f>
        <v/>
      </c>
      <c r="B289" s="18">
        <f>IF(AND(ISNUMBER($A289),ISNUMBER(BBG_Data!B289)),BBG_Data!B289,NA())</f>
        <v/>
      </c>
      <c r="C289" s="18">
        <f>IF(NOT(ISNUMBER($A289)),NA(),IFERROR(1*INDEX(BBG_Data!$D$2:$D$4000,MATCH($A289,BBG_Data!$C$2:$C$4000,0)),NA()))</f>
        <v/>
      </c>
      <c r="D289" s="19">
        <f>IF(NOT(ISNUMBER($A289)),NA(),IFERROR(1*INDEX(BBG_Data!$F$2:$F$4000,MATCH($A289,BBG_Data!$E$2:$E$4000,0)),NA()))</f>
        <v/>
      </c>
      <c r="E289" s="19">
        <f>IF(NOT(ISNUMBER($A289)),NA(),IFERROR(1*INDEX(BBG_Data!$H$2:$H$4000,MATCH($A289,BBG_Data!$G$2:$G$4000,0)),NA()))</f>
        <v/>
      </c>
      <c r="F289" s="20">
        <f>IF(AND(ISNUMBER(B289),ISNUMBER(B288)),IF(B289=B288,"",(B289-B288)*100),"")</f>
        <v/>
      </c>
      <c r="G289" s="20">
        <f>IF(AND(ISNUMBER(C289),ISNUMBER(C288)),IF(C289=C288,"",(C289-C288)*100),"")</f>
        <v/>
      </c>
      <c r="H289" s="20">
        <f>IF(OR(NOT(ISNUMBER($A289)),ROW()-2&lt;Settings!$B$11),NA(),IF(COUNT(OFFSET(F289,1-Settings!$B$11,0,Settings!$B$11,1))&lt;ROUNDUP(Settings!$B$11*Settings!$B$26,0),NA(),STDEV(OFFSET(F289,1-Settings!$B$11,0,Settings!$B$11,1))*SQRT(Settings!$B$13)))</f>
        <v/>
      </c>
      <c r="I289" s="20">
        <f>IF(OR(NOT(ISNUMBER($A289)),ROW()-2&lt;Settings!$B$12),NA(),IF(COUNT(OFFSET(F289,1-Settings!$B$12,0,Settings!$B$12,1))&lt;ROUNDUP(Settings!$B$12*Settings!$B$26,0),NA(),STDEV(OFFSET(F289,1-Settings!$B$12,0,Settings!$B$12,1))*SQRT(Settings!$B$13)))</f>
        <v/>
      </c>
      <c r="J289" s="20">
        <f>IF(OR(NOT(ISNUMBER($A289)),ROW()-2&lt;Settings!$B$11),NA(),IF(COUNT(OFFSET(G289,1-Settings!$B$11,0,Settings!$B$11,1))&lt;ROUNDUP(Settings!$B$11*Settings!$B$26,0),NA(),STDEV(OFFSET(G289,1-Settings!$B$11,0,Settings!$B$11,1))*SQRT(Settings!$B$13)))</f>
        <v/>
      </c>
      <c r="K289" s="20">
        <f>IF(OR(NOT(ISNUMBER($A289)),ROW()-2&lt;Settings!$B$12),NA(),IF(COUNT(OFFSET(G289,1-Settings!$B$12,0,Settings!$B$12,1))&lt;ROUNDUP(Settings!$B$12*Settings!$B$26,0),NA(),STDEV(OFFSET(G289,1-Settings!$B$12,0,Settings!$B$12,1))*SQRT(Settings!$B$13)))</f>
        <v/>
      </c>
      <c r="L289" s="20">
        <f>IF(AND(ISNUMBER(D289),ISNUMBER(H289)),D289-H289,NA())</f>
        <v/>
      </c>
      <c r="M289" s="20">
        <f>IF(AND(ISNUMBER(E289),ISNUMBER(K289)),E289-K289,NA())</f>
        <v/>
      </c>
      <c r="N289" s="20">
        <f>IF(NOT(ISNUMBER($A289)),NA(),IF(COUNT(OFFSET(G289,1,0,Settings!$B$12,1))&lt;ROUNDUP(Settings!$B$12*Settings!$B$26,0),NA(),STDEV(OFFSET(G289,1,0,Settings!$B$12,1))*SQRT(Settings!$B$13)))</f>
        <v/>
      </c>
      <c r="O289" s="20">
        <f>IF(AND(ISNUMBER(E289),ISNUMBER(N289)),E289-N289,NA())</f>
        <v/>
      </c>
      <c r="P289" s="19">
        <f>IF(NOT(ISNUMBER($A289)),NA(),IF(OR($A289&lt;MIN(KW_TP!$A$2:$A$2501),$A289&gt;MAX(KW_TP!$A$2:$A$2501)),NA(),INDEX(KW_TP!$C$2:$C$2501,MATCH($A289,KW_TP!$A$2:$A$2501,1))))</f>
        <v/>
      </c>
      <c r="Q289" s="18">
        <f>IF(NOT(ISNUMBER($A289)),NA(),IFERROR(1*INDEX(BBG_Data!$J$2:$J$4000,MATCH($A289,BBG_Data!$I$2:$I$4000,0)),NA()))</f>
        <v/>
      </c>
      <c r="R289" s="18">
        <f>IF(NOT(ISNUMBER($A289)),NA(),IFERROR(1*INDEX(BBG_Data!$L$2:$L$4000,MATCH($A289,BBG_Data!$K$2:$K$4000,0)),NA()))</f>
        <v/>
      </c>
      <c r="S289" s="20">
        <f>IF(AND(ISNUMBER(B289),ISNUMBER(Q289),ISNUMBER(R289)),(B289-Q289-R289)*100,NA())</f>
        <v/>
      </c>
      <c r="T289" s="20">
        <f>IF(AND(ISNUMBER(B289),Settings!$B$17&gt;0),IF(ISNUMBER(INDEX($B:$B,Settings!$B$17)),(B289-INDEX($B:$B,Settings!$B$17))*100,NA()),NA())</f>
        <v/>
      </c>
      <c r="U289" s="20">
        <f>IF(AND(ISNUMBER(Q289),Settings!$B$17&gt;0),IF(ISNUMBER(INDEX($Q:$Q,Settings!$B$17)),(Q289-INDEX($Q:$Q,Settings!$B$17))*100,NA()),NA())</f>
        <v/>
      </c>
      <c r="V289" s="20">
        <f>IF(AND(ISNUMBER(R289),Settings!$B$17&gt;0),IF(ISNUMBER(INDEX($R:$R,Settings!$B$17)),(R289-INDEX($R:$R,Settings!$B$17))*100,NA()),NA())</f>
        <v/>
      </c>
      <c r="W289" s="20">
        <f>IF(AND(ISNUMBER(P289),Settings!$B$17&gt;0),IF(ISNUMBER(INDEX($P:$P,Settings!$B$17)),P289-INDEX($P:$P,Settings!$B$17),NA()),NA())</f>
        <v/>
      </c>
      <c r="X289" s="19">
        <f>IF(NOT(ISNUMBER($A289)),NA(),IF(OR($A289&lt;MIN(DKW_10Y!$A$2:$A$2918),$A289&gt;MAX(DKW_10Y!$A$2:$A$2918),Settings!$B$16&lt;MIN(DKW_10Y!$A$2:$A$2918)),NA(),(INDEX(DKW_10Y!$B$2:$B$2918,MATCH($A289,DKW_10Y!$A$2:$A$2918,1))-INDEX(DKW_10Y!$B$2:$B$2918,MATCH(Settings!$B$16,DKW_10Y!$A$2:$A$2918,1)))*100))</f>
        <v/>
      </c>
      <c r="Y289" s="19">
        <f>IF(NOT(ISNUMBER($A289)),NA(),IF(OR($A289&lt;MIN(DKW_10Y!$A$2:$A$2918),$A289&gt;MAX(DKW_10Y!$A$2:$A$2918),Settings!$B$16&lt;MIN(DKW_10Y!$A$2:$A$2918)),NA(),(INDEX(DKW_10Y!$C$2:$C$2918,MATCH($A289,DKW_10Y!$A$2:$A$2918,1))-INDEX(DKW_10Y!$C$2:$C$2918,MATCH(Settings!$B$16,DKW_10Y!$A$2:$A$2918,1)))*100))</f>
        <v/>
      </c>
      <c r="Z289" s="19">
        <f>IF(NOT(ISNUMBER($A289)),NA(),IF(OR($A289&lt;MIN(DKW_10Y!$A$2:$A$2918),$A289&gt;MAX(DKW_10Y!$A$2:$A$2918),Settings!$B$16&lt;MIN(DKW_10Y!$A$2:$A$2918)),NA(),(INDEX(DKW_10Y!$D$2:$D$2918,MATCH($A289,DKW_10Y!$A$2:$A$2918,1))-INDEX(DKW_10Y!$D$2:$D$2918,MATCH(Settings!$B$16,DKW_10Y!$A$2:$A$2918,1)))*100))</f>
        <v/>
      </c>
      <c r="AA289" s="19">
        <f>IF(NOT(ISNUMBER($A289)),NA(),IF(OR($A289&lt;MIN(DKW_10Y!$A$2:$A$2918),$A289&gt;MAX(DKW_10Y!$A$2:$A$2918),Settings!$B$16&lt;MIN(DKW_10Y!$A$2:$A$2918)),NA(),(INDEX(DKW_10Y!$E$2:$E$2918,MATCH($A289,DKW_10Y!$A$2:$A$2918,1))-INDEX(DKW_10Y!$E$2:$E$2918,MATCH(Settings!$B$16,DKW_10Y!$A$2:$A$2918,1)))*100))</f>
        <v/>
      </c>
      <c r="AB289" s="19">
        <f>IF(NOT(ISNUMBER($A289)),NA(),IF(OR($A289&lt;MIN(DKW_10Y!$A$2:$A$2918),$A289&gt;MAX(DKW_10Y!$A$2:$A$2918),Settings!$B$16&lt;MIN(DKW_10Y!$A$2:$A$2918)),NA(),(INDEX(DKW_10Y!$H$2:$H$2918,MATCH($A289,DKW_10Y!$A$2:$A$2918,1))-INDEX(DKW_10Y!$H$2:$H$2918,MATCH(Settings!$B$16,DKW_10Y!$A$2:$A$2918,1)))*100))</f>
        <v/>
      </c>
      <c r="AC289" s="18">
        <f>IF(NOT(ISNUMBER($A289)),NA(),IFERROR(1*INDEX(BBG_Data!$N$2:$N$4000,MATCH($A289,BBG_Data!$M$2:$M$4000,0)),NA()))</f>
        <v/>
      </c>
      <c r="AD289" s="18">
        <f>IF(NOT(ISNUMBER($A289)),NA(),IFERROR(1*INDEX(BBG_Data!$P$2:$P$4000,MATCH($A289,BBG_Data!$O$2:$O$4000,0)),NA()))</f>
        <v/>
      </c>
      <c r="AE289" s="18">
        <f>IF(NOT(ISNUMBER($A289)),NA(),IFERROR(1*INDEX(BBG_Data!$R$2:$R$4000,MATCH($A289,BBG_Data!$Q$2:$Q$4000,0)),NA()))</f>
        <v/>
      </c>
      <c r="AF289" s="20">
        <f>IF(AND(ISNUMBER(B289),ISNUMBER(AC289)),(B289-AC289)*100,NA())</f>
        <v/>
      </c>
      <c r="AG289" s="20">
        <f>IF(AND(ISNUMBER(AE289),ISNUMBER(AD289)),(AE289-AD289)*100,NA())</f>
        <v/>
      </c>
      <c r="AH289" s="19">
        <f>IF(NOT(ISNUMBER($A289)),NA(),IFERROR(INDEX(BBG_Data!$T$2:$T$4000,MATCH($A289,BBG_Data!$S$2:$S$4000,0))*Settings!$B$25,NA()))</f>
        <v/>
      </c>
      <c r="AI289" s="19">
        <f>IF(NOT(ISNUMBER($A289)),NA(),IFERROR(INDEX(BBG_Data!$V$2:$V$4000,MATCH($A289,BBG_Data!$U$2:$U$4000,0))*Settings!$B$25,NA()))</f>
        <v/>
      </c>
      <c r="AJ289" s="19">
        <f>IF(NOT(ISNUMBER($A289)),NA(),IFERROR(1*INDEX(BBG_Data!$X$2:$X$4000,MATCH($A289,BBG_Data!$W$2:$W$4000,0)),NA()))</f>
        <v/>
      </c>
      <c r="AK289" s="19">
        <f>IF(NOT(ISNUMBER($A289)),NA(),IFERROR(1*INDEX(BBG_Data!$Z$2:$Z$4000,MATCH($A289,BBG_Data!$Y$2:$Y$4000,0)),NA()))</f>
        <v/>
      </c>
    </row>
    <row r="290">
      <c r="A290" s="17">
        <f>IF(ISNUMBER(BBG_Data!A290),BBG_Data!A290,"")</f>
        <v/>
      </c>
      <c r="B290" s="18">
        <f>IF(AND(ISNUMBER($A290),ISNUMBER(BBG_Data!B290)),BBG_Data!B290,NA())</f>
        <v/>
      </c>
      <c r="C290" s="18">
        <f>IF(NOT(ISNUMBER($A290)),NA(),IFERROR(1*INDEX(BBG_Data!$D$2:$D$4000,MATCH($A290,BBG_Data!$C$2:$C$4000,0)),NA()))</f>
        <v/>
      </c>
      <c r="D290" s="19">
        <f>IF(NOT(ISNUMBER($A290)),NA(),IFERROR(1*INDEX(BBG_Data!$F$2:$F$4000,MATCH($A290,BBG_Data!$E$2:$E$4000,0)),NA()))</f>
        <v/>
      </c>
      <c r="E290" s="19">
        <f>IF(NOT(ISNUMBER($A290)),NA(),IFERROR(1*INDEX(BBG_Data!$H$2:$H$4000,MATCH($A290,BBG_Data!$G$2:$G$4000,0)),NA()))</f>
        <v/>
      </c>
      <c r="F290" s="20">
        <f>IF(AND(ISNUMBER(B290),ISNUMBER(B289)),IF(B290=B289,"",(B290-B289)*100),"")</f>
        <v/>
      </c>
      <c r="G290" s="20">
        <f>IF(AND(ISNUMBER(C290),ISNUMBER(C289)),IF(C290=C289,"",(C290-C289)*100),"")</f>
        <v/>
      </c>
      <c r="H290" s="20">
        <f>IF(OR(NOT(ISNUMBER($A290)),ROW()-2&lt;Settings!$B$11),NA(),IF(COUNT(OFFSET(F290,1-Settings!$B$11,0,Settings!$B$11,1))&lt;ROUNDUP(Settings!$B$11*Settings!$B$26,0),NA(),STDEV(OFFSET(F290,1-Settings!$B$11,0,Settings!$B$11,1))*SQRT(Settings!$B$13)))</f>
        <v/>
      </c>
      <c r="I290" s="20">
        <f>IF(OR(NOT(ISNUMBER($A290)),ROW()-2&lt;Settings!$B$12),NA(),IF(COUNT(OFFSET(F290,1-Settings!$B$12,0,Settings!$B$12,1))&lt;ROUNDUP(Settings!$B$12*Settings!$B$26,0),NA(),STDEV(OFFSET(F290,1-Settings!$B$12,0,Settings!$B$12,1))*SQRT(Settings!$B$13)))</f>
        <v/>
      </c>
      <c r="J290" s="20">
        <f>IF(OR(NOT(ISNUMBER($A290)),ROW()-2&lt;Settings!$B$11),NA(),IF(COUNT(OFFSET(G290,1-Settings!$B$11,0,Settings!$B$11,1))&lt;ROUNDUP(Settings!$B$11*Settings!$B$26,0),NA(),STDEV(OFFSET(G290,1-Settings!$B$11,0,Settings!$B$11,1))*SQRT(Settings!$B$13)))</f>
        <v/>
      </c>
      <c r="K290" s="20">
        <f>IF(OR(NOT(ISNUMBER($A290)),ROW()-2&lt;Settings!$B$12),NA(),IF(COUNT(OFFSET(G290,1-Settings!$B$12,0,Settings!$B$12,1))&lt;ROUNDUP(Settings!$B$12*Settings!$B$26,0),NA(),STDEV(OFFSET(G290,1-Settings!$B$12,0,Settings!$B$12,1))*SQRT(Settings!$B$13)))</f>
        <v/>
      </c>
      <c r="L290" s="20">
        <f>IF(AND(ISNUMBER(D290),ISNUMBER(H290)),D290-H290,NA())</f>
        <v/>
      </c>
      <c r="M290" s="20">
        <f>IF(AND(ISNUMBER(E290),ISNUMBER(K290)),E290-K290,NA())</f>
        <v/>
      </c>
      <c r="N290" s="20">
        <f>IF(NOT(ISNUMBER($A290)),NA(),IF(COUNT(OFFSET(G290,1,0,Settings!$B$12,1))&lt;ROUNDUP(Settings!$B$12*Settings!$B$26,0),NA(),STDEV(OFFSET(G290,1,0,Settings!$B$12,1))*SQRT(Settings!$B$13)))</f>
        <v/>
      </c>
      <c r="O290" s="20">
        <f>IF(AND(ISNUMBER(E290),ISNUMBER(N290)),E290-N290,NA())</f>
        <v/>
      </c>
      <c r="P290" s="19">
        <f>IF(NOT(ISNUMBER($A290)),NA(),IF(OR($A290&lt;MIN(KW_TP!$A$2:$A$2501),$A290&gt;MAX(KW_TP!$A$2:$A$2501)),NA(),INDEX(KW_TP!$C$2:$C$2501,MATCH($A290,KW_TP!$A$2:$A$2501,1))))</f>
        <v/>
      </c>
      <c r="Q290" s="18">
        <f>IF(NOT(ISNUMBER($A290)),NA(),IFERROR(1*INDEX(BBG_Data!$J$2:$J$4000,MATCH($A290,BBG_Data!$I$2:$I$4000,0)),NA()))</f>
        <v/>
      </c>
      <c r="R290" s="18">
        <f>IF(NOT(ISNUMBER($A290)),NA(),IFERROR(1*INDEX(BBG_Data!$L$2:$L$4000,MATCH($A290,BBG_Data!$K$2:$K$4000,0)),NA()))</f>
        <v/>
      </c>
      <c r="S290" s="20">
        <f>IF(AND(ISNUMBER(B290),ISNUMBER(Q290),ISNUMBER(R290)),(B290-Q290-R290)*100,NA())</f>
        <v/>
      </c>
      <c r="T290" s="20">
        <f>IF(AND(ISNUMBER(B290),Settings!$B$17&gt;0),IF(ISNUMBER(INDEX($B:$B,Settings!$B$17)),(B290-INDEX($B:$B,Settings!$B$17))*100,NA()),NA())</f>
        <v/>
      </c>
      <c r="U290" s="20">
        <f>IF(AND(ISNUMBER(Q290),Settings!$B$17&gt;0),IF(ISNUMBER(INDEX($Q:$Q,Settings!$B$17)),(Q290-INDEX($Q:$Q,Settings!$B$17))*100,NA()),NA())</f>
        <v/>
      </c>
      <c r="V290" s="20">
        <f>IF(AND(ISNUMBER(R290),Settings!$B$17&gt;0),IF(ISNUMBER(INDEX($R:$R,Settings!$B$17)),(R290-INDEX($R:$R,Settings!$B$17))*100,NA()),NA())</f>
        <v/>
      </c>
      <c r="W290" s="20">
        <f>IF(AND(ISNUMBER(P290),Settings!$B$17&gt;0),IF(ISNUMBER(INDEX($P:$P,Settings!$B$17)),P290-INDEX($P:$P,Settings!$B$17),NA()),NA())</f>
        <v/>
      </c>
      <c r="X290" s="19">
        <f>IF(NOT(ISNUMBER($A290)),NA(),IF(OR($A290&lt;MIN(DKW_10Y!$A$2:$A$2918),$A290&gt;MAX(DKW_10Y!$A$2:$A$2918),Settings!$B$16&lt;MIN(DKW_10Y!$A$2:$A$2918)),NA(),(INDEX(DKW_10Y!$B$2:$B$2918,MATCH($A290,DKW_10Y!$A$2:$A$2918,1))-INDEX(DKW_10Y!$B$2:$B$2918,MATCH(Settings!$B$16,DKW_10Y!$A$2:$A$2918,1)))*100))</f>
        <v/>
      </c>
      <c r="Y290" s="19">
        <f>IF(NOT(ISNUMBER($A290)),NA(),IF(OR($A290&lt;MIN(DKW_10Y!$A$2:$A$2918),$A290&gt;MAX(DKW_10Y!$A$2:$A$2918),Settings!$B$16&lt;MIN(DKW_10Y!$A$2:$A$2918)),NA(),(INDEX(DKW_10Y!$C$2:$C$2918,MATCH($A290,DKW_10Y!$A$2:$A$2918,1))-INDEX(DKW_10Y!$C$2:$C$2918,MATCH(Settings!$B$16,DKW_10Y!$A$2:$A$2918,1)))*100))</f>
        <v/>
      </c>
      <c r="Z290" s="19">
        <f>IF(NOT(ISNUMBER($A290)),NA(),IF(OR($A290&lt;MIN(DKW_10Y!$A$2:$A$2918),$A290&gt;MAX(DKW_10Y!$A$2:$A$2918),Settings!$B$16&lt;MIN(DKW_10Y!$A$2:$A$2918)),NA(),(INDEX(DKW_10Y!$D$2:$D$2918,MATCH($A290,DKW_10Y!$A$2:$A$2918,1))-INDEX(DKW_10Y!$D$2:$D$2918,MATCH(Settings!$B$16,DKW_10Y!$A$2:$A$2918,1)))*100))</f>
        <v/>
      </c>
      <c r="AA290" s="19">
        <f>IF(NOT(ISNUMBER($A290)),NA(),IF(OR($A290&lt;MIN(DKW_10Y!$A$2:$A$2918),$A290&gt;MAX(DKW_10Y!$A$2:$A$2918),Settings!$B$16&lt;MIN(DKW_10Y!$A$2:$A$2918)),NA(),(INDEX(DKW_10Y!$E$2:$E$2918,MATCH($A290,DKW_10Y!$A$2:$A$2918,1))-INDEX(DKW_10Y!$E$2:$E$2918,MATCH(Settings!$B$16,DKW_10Y!$A$2:$A$2918,1)))*100))</f>
        <v/>
      </c>
      <c r="AB290" s="19">
        <f>IF(NOT(ISNUMBER($A290)),NA(),IF(OR($A290&lt;MIN(DKW_10Y!$A$2:$A$2918),$A290&gt;MAX(DKW_10Y!$A$2:$A$2918),Settings!$B$16&lt;MIN(DKW_10Y!$A$2:$A$2918)),NA(),(INDEX(DKW_10Y!$H$2:$H$2918,MATCH($A290,DKW_10Y!$A$2:$A$2918,1))-INDEX(DKW_10Y!$H$2:$H$2918,MATCH(Settings!$B$16,DKW_10Y!$A$2:$A$2918,1)))*100))</f>
        <v/>
      </c>
      <c r="AC290" s="18">
        <f>IF(NOT(ISNUMBER($A290)),NA(),IFERROR(1*INDEX(BBG_Data!$N$2:$N$4000,MATCH($A290,BBG_Data!$M$2:$M$4000,0)),NA()))</f>
        <v/>
      </c>
      <c r="AD290" s="18">
        <f>IF(NOT(ISNUMBER($A290)),NA(),IFERROR(1*INDEX(BBG_Data!$P$2:$P$4000,MATCH($A290,BBG_Data!$O$2:$O$4000,0)),NA()))</f>
        <v/>
      </c>
      <c r="AE290" s="18">
        <f>IF(NOT(ISNUMBER($A290)),NA(),IFERROR(1*INDEX(BBG_Data!$R$2:$R$4000,MATCH($A290,BBG_Data!$Q$2:$Q$4000,0)),NA()))</f>
        <v/>
      </c>
      <c r="AF290" s="20">
        <f>IF(AND(ISNUMBER(B290),ISNUMBER(AC290)),(B290-AC290)*100,NA())</f>
        <v/>
      </c>
      <c r="AG290" s="20">
        <f>IF(AND(ISNUMBER(AE290),ISNUMBER(AD290)),(AE290-AD290)*100,NA())</f>
        <v/>
      </c>
      <c r="AH290" s="19">
        <f>IF(NOT(ISNUMBER($A290)),NA(),IFERROR(INDEX(BBG_Data!$T$2:$T$4000,MATCH($A290,BBG_Data!$S$2:$S$4000,0))*Settings!$B$25,NA()))</f>
        <v/>
      </c>
      <c r="AI290" s="19">
        <f>IF(NOT(ISNUMBER($A290)),NA(),IFERROR(INDEX(BBG_Data!$V$2:$V$4000,MATCH($A290,BBG_Data!$U$2:$U$4000,0))*Settings!$B$25,NA()))</f>
        <v/>
      </c>
      <c r="AJ290" s="19">
        <f>IF(NOT(ISNUMBER($A290)),NA(),IFERROR(1*INDEX(BBG_Data!$X$2:$X$4000,MATCH($A290,BBG_Data!$W$2:$W$4000,0)),NA()))</f>
        <v/>
      </c>
      <c r="AK290" s="19">
        <f>IF(NOT(ISNUMBER($A290)),NA(),IFERROR(1*INDEX(BBG_Data!$Z$2:$Z$4000,MATCH($A290,BBG_Data!$Y$2:$Y$4000,0)),NA()))</f>
        <v/>
      </c>
    </row>
    <row r="291">
      <c r="A291" s="17">
        <f>IF(ISNUMBER(BBG_Data!A291),BBG_Data!A291,"")</f>
        <v/>
      </c>
      <c r="B291" s="18">
        <f>IF(AND(ISNUMBER($A291),ISNUMBER(BBG_Data!B291)),BBG_Data!B291,NA())</f>
        <v/>
      </c>
      <c r="C291" s="18">
        <f>IF(NOT(ISNUMBER($A291)),NA(),IFERROR(1*INDEX(BBG_Data!$D$2:$D$4000,MATCH($A291,BBG_Data!$C$2:$C$4000,0)),NA()))</f>
        <v/>
      </c>
      <c r="D291" s="19">
        <f>IF(NOT(ISNUMBER($A291)),NA(),IFERROR(1*INDEX(BBG_Data!$F$2:$F$4000,MATCH($A291,BBG_Data!$E$2:$E$4000,0)),NA()))</f>
        <v/>
      </c>
      <c r="E291" s="19">
        <f>IF(NOT(ISNUMBER($A291)),NA(),IFERROR(1*INDEX(BBG_Data!$H$2:$H$4000,MATCH($A291,BBG_Data!$G$2:$G$4000,0)),NA()))</f>
        <v/>
      </c>
      <c r="F291" s="20">
        <f>IF(AND(ISNUMBER(B291),ISNUMBER(B290)),IF(B291=B290,"",(B291-B290)*100),"")</f>
        <v/>
      </c>
      <c r="G291" s="20">
        <f>IF(AND(ISNUMBER(C291),ISNUMBER(C290)),IF(C291=C290,"",(C291-C290)*100),"")</f>
        <v/>
      </c>
      <c r="H291" s="20">
        <f>IF(OR(NOT(ISNUMBER($A291)),ROW()-2&lt;Settings!$B$11),NA(),IF(COUNT(OFFSET(F291,1-Settings!$B$11,0,Settings!$B$11,1))&lt;ROUNDUP(Settings!$B$11*Settings!$B$26,0),NA(),STDEV(OFFSET(F291,1-Settings!$B$11,0,Settings!$B$11,1))*SQRT(Settings!$B$13)))</f>
        <v/>
      </c>
      <c r="I291" s="20">
        <f>IF(OR(NOT(ISNUMBER($A291)),ROW()-2&lt;Settings!$B$12),NA(),IF(COUNT(OFFSET(F291,1-Settings!$B$12,0,Settings!$B$12,1))&lt;ROUNDUP(Settings!$B$12*Settings!$B$26,0),NA(),STDEV(OFFSET(F291,1-Settings!$B$12,0,Settings!$B$12,1))*SQRT(Settings!$B$13)))</f>
        <v/>
      </c>
      <c r="J291" s="20">
        <f>IF(OR(NOT(ISNUMBER($A291)),ROW()-2&lt;Settings!$B$11),NA(),IF(COUNT(OFFSET(G291,1-Settings!$B$11,0,Settings!$B$11,1))&lt;ROUNDUP(Settings!$B$11*Settings!$B$26,0),NA(),STDEV(OFFSET(G291,1-Settings!$B$11,0,Settings!$B$11,1))*SQRT(Settings!$B$13)))</f>
        <v/>
      </c>
      <c r="K291" s="20">
        <f>IF(OR(NOT(ISNUMBER($A291)),ROW()-2&lt;Settings!$B$12),NA(),IF(COUNT(OFFSET(G291,1-Settings!$B$12,0,Settings!$B$12,1))&lt;ROUNDUP(Settings!$B$12*Settings!$B$26,0),NA(),STDEV(OFFSET(G291,1-Settings!$B$12,0,Settings!$B$12,1))*SQRT(Settings!$B$13)))</f>
        <v/>
      </c>
      <c r="L291" s="20">
        <f>IF(AND(ISNUMBER(D291),ISNUMBER(H291)),D291-H291,NA())</f>
        <v/>
      </c>
      <c r="M291" s="20">
        <f>IF(AND(ISNUMBER(E291),ISNUMBER(K291)),E291-K291,NA())</f>
        <v/>
      </c>
      <c r="N291" s="20">
        <f>IF(NOT(ISNUMBER($A291)),NA(),IF(COUNT(OFFSET(G291,1,0,Settings!$B$12,1))&lt;ROUNDUP(Settings!$B$12*Settings!$B$26,0),NA(),STDEV(OFFSET(G291,1,0,Settings!$B$12,1))*SQRT(Settings!$B$13)))</f>
        <v/>
      </c>
      <c r="O291" s="20">
        <f>IF(AND(ISNUMBER(E291),ISNUMBER(N291)),E291-N291,NA())</f>
        <v/>
      </c>
      <c r="P291" s="19">
        <f>IF(NOT(ISNUMBER($A291)),NA(),IF(OR($A291&lt;MIN(KW_TP!$A$2:$A$2501),$A291&gt;MAX(KW_TP!$A$2:$A$2501)),NA(),INDEX(KW_TP!$C$2:$C$2501,MATCH($A291,KW_TP!$A$2:$A$2501,1))))</f>
        <v/>
      </c>
      <c r="Q291" s="18">
        <f>IF(NOT(ISNUMBER($A291)),NA(),IFERROR(1*INDEX(BBG_Data!$J$2:$J$4000,MATCH($A291,BBG_Data!$I$2:$I$4000,0)),NA()))</f>
        <v/>
      </c>
      <c r="R291" s="18">
        <f>IF(NOT(ISNUMBER($A291)),NA(),IFERROR(1*INDEX(BBG_Data!$L$2:$L$4000,MATCH($A291,BBG_Data!$K$2:$K$4000,0)),NA()))</f>
        <v/>
      </c>
      <c r="S291" s="20">
        <f>IF(AND(ISNUMBER(B291),ISNUMBER(Q291),ISNUMBER(R291)),(B291-Q291-R291)*100,NA())</f>
        <v/>
      </c>
      <c r="T291" s="20">
        <f>IF(AND(ISNUMBER(B291),Settings!$B$17&gt;0),IF(ISNUMBER(INDEX($B:$B,Settings!$B$17)),(B291-INDEX($B:$B,Settings!$B$17))*100,NA()),NA())</f>
        <v/>
      </c>
      <c r="U291" s="20">
        <f>IF(AND(ISNUMBER(Q291),Settings!$B$17&gt;0),IF(ISNUMBER(INDEX($Q:$Q,Settings!$B$17)),(Q291-INDEX($Q:$Q,Settings!$B$17))*100,NA()),NA())</f>
        <v/>
      </c>
      <c r="V291" s="20">
        <f>IF(AND(ISNUMBER(R291),Settings!$B$17&gt;0),IF(ISNUMBER(INDEX($R:$R,Settings!$B$17)),(R291-INDEX($R:$R,Settings!$B$17))*100,NA()),NA())</f>
        <v/>
      </c>
      <c r="W291" s="20">
        <f>IF(AND(ISNUMBER(P291),Settings!$B$17&gt;0),IF(ISNUMBER(INDEX($P:$P,Settings!$B$17)),P291-INDEX($P:$P,Settings!$B$17),NA()),NA())</f>
        <v/>
      </c>
      <c r="X291" s="19">
        <f>IF(NOT(ISNUMBER($A291)),NA(),IF(OR($A291&lt;MIN(DKW_10Y!$A$2:$A$2918),$A291&gt;MAX(DKW_10Y!$A$2:$A$2918),Settings!$B$16&lt;MIN(DKW_10Y!$A$2:$A$2918)),NA(),(INDEX(DKW_10Y!$B$2:$B$2918,MATCH($A291,DKW_10Y!$A$2:$A$2918,1))-INDEX(DKW_10Y!$B$2:$B$2918,MATCH(Settings!$B$16,DKW_10Y!$A$2:$A$2918,1)))*100))</f>
        <v/>
      </c>
      <c r="Y291" s="19">
        <f>IF(NOT(ISNUMBER($A291)),NA(),IF(OR($A291&lt;MIN(DKW_10Y!$A$2:$A$2918),$A291&gt;MAX(DKW_10Y!$A$2:$A$2918),Settings!$B$16&lt;MIN(DKW_10Y!$A$2:$A$2918)),NA(),(INDEX(DKW_10Y!$C$2:$C$2918,MATCH($A291,DKW_10Y!$A$2:$A$2918,1))-INDEX(DKW_10Y!$C$2:$C$2918,MATCH(Settings!$B$16,DKW_10Y!$A$2:$A$2918,1)))*100))</f>
        <v/>
      </c>
      <c r="Z291" s="19">
        <f>IF(NOT(ISNUMBER($A291)),NA(),IF(OR($A291&lt;MIN(DKW_10Y!$A$2:$A$2918),$A291&gt;MAX(DKW_10Y!$A$2:$A$2918),Settings!$B$16&lt;MIN(DKW_10Y!$A$2:$A$2918)),NA(),(INDEX(DKW_10Y!$D$2:$D$2918,MATCH($A291,DKW_10Y!$A$2:$A$2918,1))-INDEX(DKW_10Y!$D$2:$D$2918,MATCH(Settings!$B$16,DKW_10Y!$A$2:$A$2918,1)))*100))</f>
        <v/>
      </c>
      <c r="AA291" s="19">
        <f>IF(NOT(ISNUMBER($A291)),NA(),IF(OR($A291&lt;MIN(DKW_10Y!$A$2:$A$2918),$A291&gt;MAX(DKW_10Y!$A$2:$A$2918),Settings!$B$16&lt;MIN(DKW_10Y!$A$2:$A$2918)),NA(),(INDEX(DKW_10Y!$E$2:$E$2918,MATCH($A291,DKW_10Y!$A$2:$A$2918,1))-INDEX(DKW_10Y!$E$2:$E$2918,MATCH(Settings!$B$16,DKW_10Y!$A$2:$A$2918,1)))*100))</f>
        <v/>
      </c>
      <c r="AB291" s="19">
        <f>IF(NOT(ISNUMBER($A291)),NA(),IF(OR($A291&lt;MIN(DKW_10Y!$A$2:$A$2918),$A291&gt;MAX(DKW_10Y!$A$2:$A$2918),Settings!$B$16&lt;MIN(DKW_10Y!$A$2:$A$2918)),NA(),(INDEX(DKW_10Y!$H$2:$H$2918,MATCH($A291,DKW_10Y!$A$2:$A$2918,1))-INDEX(DKW_10Y!$H$2:$H$2918,MATCH(Settings!$B$16,DKW_10Y!$A$2:$A$2918,1)))*100))</f>
        <v/>
      </c>
      <c r="AC291" s="18">
        <f>IF(NOT(ISNUMBER($A291)),NA(),IFERROR(1*INDEX(BBG_Data!$N$2:$N$4000,MATCH($A291,BBG_Data!$M$2:$M$4000,0)),NA()))</f>
        <v/>
      </c>
      <c r="AD291" s="18">
        <f>IF(NOT(ISNUMBER($A291)),NA(),IFERROR(1*INDEX(BBG_Data!$P$2:$P$4000,MATCH($A291,BBG_Data!$O$2:$O$4000,0)),NA()))</f>
        <v/>
      </c>
      <c r="AE291" s="18">
        <f>IF(NOT(ISNUMBER($A291)),NA(),IFERROR(1*INDEX(BBG_Data!$R$2:$R$4000,MATCH($A291,BBG_Data!$Q$2:$Q$4000,0)),NA()))</f>
        <v/>
      </c>
      <c r="AF291" s="20">
        <f>IF(AND(ISNUMBER(B291),ISNUMBER(AC291)),(B291-AC291)*100,NA())</f>
        <v/>
      </c>
      <c r="AG291" s="20">
        <f>IF(AND(ISNUMBER(AE291),ISNUMBER(AD291)),(AE291-AD291)*100,NA())</f>
        <v/>
      </c>
      <c r="AH291" s="19">
        <f>IF(NOT(ISNUMBER($A291)),NA(),IFERROR(INDEX(BBG_Data!$T$2:$T$4000,MATCH($A291,BBG_Data!$S$2:$S$4000,0))*Settings!$B$25,NA()))</f>
        <v/>
      </c>
      <c r="AI291" s="19">
        <f>IF(NOT(ISNUMBER($A291)),NA(),IFERROR(INDEX(BBG_Data!$V$2:$V$4000,MATCH($A291,BBG_Data!$U$2:$U$4000,0))*Settings!$B$25,NA()))</f>
        <v/>
      </c>
      <c r="AJ291" s="19">
        <f>IF(NOT(ISNUMBER($A291)),NA(),IFERROR(1*INDEX(BBG_Data!$X$2:$X$4000,MATCH($A291,BBG_Data!$W$2:$W$4000,0)),NA()))</f>
        <v/>
      </c>
      <c r="AK291" s="19">
        <f>IF(NOT(ISNUMBER($A291)),NA(),IFERROR(1*INDEX(BBG_Data!$Z$2:$Z$4000,MATCH($A291,BBG_Data!$Y$2:$Y$4000,0)),NA()))</f>
        <v/>
      </c>
    </row>
    <row r="292">
      <c r="A292" s="17">
        <f>IF(ISNUMBER(BBG_Data!A292),BBG_Data!A292,"")</f>
        <v/>
      </c>
      <c r="B292" s="18">
        <f>IF(AND(ISNUMBER($A292),ISNUMBER(BBG_Data!B292)),BBG_Data!B292,NA())</f>
        <v/>
      </c>
      <c r="C292" s="18">
        <f>IF(NOT(ISNUMBER($A292)),NA(),IFERROR(1*INDEX(BBG_Data!$D$2:$D$4000,MATCH($A292,BBG_Data!$C$2:$C$4000,0)),NA()))</f>
        <v/>
      </c>
      <c r="D292" s="19">
        <f>IF(NOT(ISNUMBER($A292)),NA(),IFERROR(1*INDEX(BBG_Data!$F$2:$F$4000,MATCH($A292,BBG_Data!$E$2:$E$4000,0)),NA()))</f>
        <v/>
      </c>
      <c r="E292" s="19">
        <f>IF(NOT(ISNUMBER($A292)),NA(),IFERROR(1*INDEX(BBG_Data!$H$2:$H$4000,MATCH($A292,BBG_Data!$G$2:$G$4000,0)),NA()))</f>
        <v/>
      </c>
      <c r="F292" s="20">
        <f>IF(AND(ISNUMBER(B292),ISNUMBER(B291)),IF(B292=B291,"",(B292-B291)*100),"")</f>
        <v/>
      </c>
      <c r="G292" s="20">
        <f>IF(AND(ISNUMBER(C292),ISNUMBER(C291)),IF(C292=C291,"",(C292-C291)*100),"")</f>
        <v/>
      </c>
      <c r="H292" s="20">
        <f>IF(OR(NOT(ISNUMBER($A292)),ROW()-2&lt;Settings!$B$11),NA(),IF(COUNT(OFFSET(F292,1-Settings!$B$11,0,Settings!$B$11,1))&lt;ROUNDUP(Settings!$B$11*Settings!$B$26,0),NA(),STDEV(OFFSET(F292,1-Settings!$B$11,0,Settings!$B$11,1))*SQRT(Settings!$B$13)))</f>
        <v/>
      </c>
      <c r="I292" s="20">
        <f>IF(OR(NOT(ISNUMBER($A292)),ROW()-2&lt;Settings!$B$12),NA(),IF(COUNT(OFFSET(F292,1-Settings!$B$12,0,Settings!$B$12,1))&lt;ROUNDUP(Settings!$B$12*Settings!$B$26,0),NA(),STDEV(OFFSET(F292,1-Settings!$B$12,0,Settings!$B$12,1))*SQRT(Settings!$B$13)))</f>
        <v/>
      </c>
      <c r="J292" s="20">
        <f>IF(OR(NOT(ISNUMBER($A292)),ROW()-2&lt;Settings!$B$11),NA(),IF(COUNT(OFFSET(G292,1-Settings!$B$11,0,Settings!$B$11,1))&lt;ROUNDUP(Settings!$B$11*Settings!$B$26,0),NA(),STDEV(OFFSET(G292,1-Settings!$B$11,0,Settings!$B$11,1))*SQRT(Settings!$B$13)))</f>
        <v/>
      </c>
      <c r="K292" s="20">
        <f>IF(OR(NOT(ISNUMBER($A292)),ROW()-2&lt;Settings!$B$12),NA(),IF(COUNT(OFFSET(G292,1-Settings!$B$12,0,Settings!$B$12,1))&lt;ROUNDUP(Settings!$B$12*Settings!$B$26,0),NA(),STDEV(OFFSET(G292,1-Settings!$B$12,0,Settings!$B$12,1))*SQRT(Settings!$B$13)))</f>
        <v/>
      </c>
      <c r="L292" s="20">
        <f>IF(AND(ISNUMBER(D292),ISNUMBER(H292)),D292-H292,NA())</f>
        <v/>
      </c>
      <c r="M292" s="20">
        <f>IF(AND(ISNUMBER(E292),ISNUMBER(K292)),E292-K292,NA())</f>
        <v/>
      </c>
      <c r="N292" s="20">
        <f>IF(NOT(ISNUMBER($A292)),NA(),IF(COUNT(OFFSET(G292,1,0,Settings!$B$12,1))&lt;ROUNDUP(Settings!$B$12*Settings!$B$26,0),NA(),STDEV(OFFSET(G292,1,0,Settings!$B$12,1))*SQRT(Settings!$B$13)))</f>
        <v/>
      </c>
      <c r="O292" s="20">
        <f>IF(AND(ISNUMBER(E292),ISNUMBER(N292)),E292-N292,NA())</f>
        <v/>
      </c>
      <c r="P292" s="19">
        <f>IF(NOT(ISNUMBER($A292)),NA(),IF(OR($A292&lt;MIN(KW_TP!$A$2:$A$2501),$A292&gt;MAX(KW_TP!$A$2:$A$2501)),NA(),INDEX(KW_TP!$C$2:$C$2501,MATCH($A292,KW_TP!$A$2:$A$2501,1))))</f>
        <v/>
      </c>
      <c r="Q292" s="18">
        <f>IF(NOT(ISNUMBER($A292)),NA(),IFERROR(1*INDEX(BBG_Data!$J$2:$J$4000,MATCH($A292,BBG_Data!$I$2:$I$4000,0)),NA()))</f>
        <v/>
      </c>
      <c r="R292" s="18">
        <f>IF(NOT(ISNUMBER($A292)),NA(),IFERROR(1*INDEX(BBG_Data!$L$2:$L$4000,MATCH($A292,BBG_Data!$K$2:$K$4000,0)),NA()))</f>
        <v/>
      </c>
      <c r="S292" s="20">
        <f>IF(AND(ISNUMBER(B292),ISNUMBER(Q292),ISNUMBER(R292)),(B292-Q292-R292)*100,NA())</f>
        <v/>
      </c>
      <c r="T292" s="20">
        <f>IF(AND(ISNUMBER(B292),Settings!$B$17&gt;0),IF(ISNUMBER(INDEX($B:$B,Settings!$B$17)),(B292-INDEX($B:$B,Settings!$B$17))*100,NA()),NA())</f>
        <v/>
      </c>
      <c r="U292" s="20">
        <f>IF(AND(ISNUMBER(Q292),Settings!$B$17&gt;0),IF(ISNUMBER(INDEX($Q:$Q,Settings!$B$17)),(Q292-INDEX($Q:$Q,Settings!$B$17))*100,NA()),NA())</f>
        <v/>
      </c>
      <c r="V292" s="20">
        <f>IF(AND(ISNUMBER(R292),Settings!$B$17&gt;0),IF(ISNUMBER(INDEX($R:$R,Settings!$B$17)),(R292-INDEX($R:$R,Settings!$B$17))*100,NA()),NA())</f>
        <v/>
      </c>
      <c r="W292" s="20">
        <f>IF(AND(ISNUMBER(P292),Settings!$B$17&gt;0),IF(ISNUMBER(INDEX($P:$P,Settings!$B$17)),P292-INDEX($P:$P,Settings!$B$17),NA()),NA())</f>
        <v/>
      </c>
      <c r="X292" s="19">
        <f>IF(NOT(ISNUMBER($A292)),NA(),IF(OR($A292&lt;MIN(DKW_10Y!$A$2:$A$2918),$A292&gt;MAX(DKW_10Y!$A$2:$A$2918),Settings!$B$16&lt;MIN(DKW_10Y!$A$2:$A$2918)),NA(),(INDEX(DKW_10Y!$B$2:$B$2918,MATCH($A292,DKW_10Y!$A$2:$A$2918,1))-INDEX(DKW_10Y!$B$2:$B$2918,MATCH(Settings!$B$16,DKW_10Y!$A$2:$A$2918,1)))*100))</f>
        <v/>
      </c>
      <c r="Y292" s="19">
        <f>IF(NOT(ISNUMBER($A292)),NA(),IF(OR($A292&lt;MIN(DKW_10Y!$A$2:$A$2918),$A292&gt;MAX(DKW_10Y!$A$2:$A$2918),Settings!$B$16&lt;MIN(DKW_10Y!$A$2:$A$2918)),NA(),(INDEX(DKW_10Y!$C$2:$C$2918,MATCH($A292,DKW_10Y!$A$2:$A$2918,1))-INDEX(DKW_10Y!$C$2:$C$2918,MATCH(Settings!$B$16,DKW_10Y!$A$2:$A$2918,1)))*100))</f>
        <v/>
      </c>
      <c r="Z292" s="19">
        <f>IF(NOT(ISNUMBER($A292)),NA(),IF(OR($A292&lt;MIN(DKW_10Y!$A$2:$A$2918),$A292&gt;MAX(DKW_10Y!$A$2:$A$2918),Settings!$B$16&lt;MIN(DKW_10Y!$A$2:$A$2918)),NA(),(INDEX(DKW_10Y!$D$2:$D$2918,MATCH($A292,DKW_10Y!$A$2:$A$2918,1))-INDEX(DKW_10Y!$D$2:$D$2918,MATCH(Settings!$B$16,DKW_10Y!$A$2:$A$2918,1)))*100))</f>
        <v/>
      </c>
      <c r="AA292" s="19">
        <f>IF(NOT(ISNUMBER($A292)),NA(),IF(OR($A292&lt;MIN(DKW_10Y!$A$2:$A$2918),$A292&gt;MAX(DKW_10Y!$A$2:$A$2918),Settings!$B$16&lt;MIN(DKW_10Y!$A$2:$A$2918)),NA(),(INDEX(DKW_10Y!$E$2:$E$2918,MATCH($A292,DKW_10Y!$A$2:$A$2918,1))-INDEX(DKW_10Y!$E$2:$E$2918,MATCH(Settings!$B$16,DKW_10Y!$A$2:$A$2918,1)))*100))</f>
        <v/>
      </c>
      <c r="AB292" s="19">
        <f>IF(NOT(ISNUMBER($A292)),NA(),IF(OR($A292&lt;MIN(DKW_10Y!$A$2:$A$2918),$A292&gt;MAX(DKW_10Y!$A$2:$A$2918),Settings!$B$16&lt;MIN(DKW_10Y!$A$2:$A$2918)),NA(),(INDEX(DKW_10Y!$H$2:$H$2918,MATCH($A292,DKW_10Y!$A$2:$A$2918,1))-INDEX(DKW_10Y!$H$2:$H$2918,MATCH(Settings!$B$16,DKW_10Y!$A$2:$A$2918,1)))*100))</f>
        <v/>
      </c>
      <c r="AC292" s="18">
        <f>IF(NOT(ISNUMBER($A292)),NA(),IFERROR(1*INDEX(BBG_Data!$N$2:$N$4000,MATCH($A292,BBG_Data!$M$2:$M$4000,0)),NA()))</f>
        <v/>
      </c>
      <c r="AD292" s="18">
        <f>IF(NOT(ISNUMBER($A292)),NA(),IFERROR(1*INDEX(BBG_Data!$P$2:$P$4000,MATCH($A292,BBG_Data!$O$2:$O$4000,0)),NA()))</f>
        <v/>
      </c>
      <c r="AE292" s="18">
        <f>IF(NOT(ISNUMBER($A292)),NA(),IFERROR(1*INDEX(BBG_Data!$R$2:$R$4000,MATCH($A292,BBG_Data!$Q$2:$Q$4000,0)),NA()))</f>
        <v/>
      </c>
      <c r="AF292" s="20">
        <f>IF(AND(ISNUMBER(B292),ISNUMBER(AC292)),(B292-AC292)*100,NA())</f>
        <v/>
      </c>
      <c r="AG292" s="20">
        <f>IF(AND(ISNUMBER(AE292),ISNUMBER(AD292)),(AE292-AD292)*100,NA())</f>
        <v/>
      </c>
      <c r="AH292" s="19">
        <f>IF(NOT(ISNUMBER($A292)),NA(),IFERROR(INDEX(BBG_Data!$T$2:$T$4000,MATCH($A292,BBG_Data!$S$2:$S$4000,0))*Settings!$B$25,NA()))</f>
        <v/>
      </c>
      <c r="AI292" s="19">
        <f>IF(NOT(ISNUMBER($A292)),NA(),IFERROR(INDEX(BBG_Data!$V$2:$V$4000,MATCH($A292,BBG_Data!$U$2:$U$4000,0))*Settings!$B$25,NA()))</f>
        <v/>
      </c>
      <c r="AJ292" s="19">
        <f>IF(NOT(ISNUMBER($A292)),NA(),IFERROR(1*INDEX(BBG_Data!$X$2:$X$4000,MATCH($A292,BBG_Data!$W$2:$W$4000,0)),NA()))</f>
        <v/>
      </c>
      <c r="AK292" s="19">
        <f>IF(NOT(ISNUMBER($A292)),NA(),IFERROR(1*INDEX(BBG_Data!$Z$2:$Z$4000,MATCH($A292,BBG_Data!$Y$2:$Y$4000,0)),NA()))</f>
        <v/>
      </c>
    </row>
    <row r="293">
      <c r="A293" s="17">
        <f>IF(ISNUMBER(BBG_Data!A293),BBG_Data!A293,"")</f>
        <v/>
      </c>
      <c r="B293" s="18">
        <f>IF(AND(ISNUMBER($A293),ISNUMBER(BBG_Data!B293)),BBG_Data!B293,NA())</f>
        <v/>
      </c>
      <c r="C293" s="18">
        <f>IF(NOT(ISNUMBER($A293)),NA(),IFERROR(1*INDEX(BBG_Data!$D$2:$D$4000,MATCH($A293,BBG_Data!$C$2:$C$4000,0)),NA()))</f>
        <v/>
      </c>
      <c r="D293" s="19">
        <f>IF(NOT(ISNUMBER($A293)),NA(),IFERROR(1*INDEX(BBG_Data!$F$2:$F$4000,MATCH($A293,BBG_Data!$E$2:$E$4000,0)),NA()))</f>
        <v/>
      </c>
      <c r="E293" s="19">
        <f>IF(NOT(ISNUMBER($A293)),NA(),IFERROR(1*INDEX(BBG_Data!$H$2:$H$4000,MATCH($A293,BBG_Data!$G$2:$G$4000,0)),NA()))</f>
        <v/>
      </c>
      <c r="F293" s="20">
        <f>IF(AND(ISNUMBER(B293),ISNUMBER(B292)),IF(B293=B292,"",(B293-B292)*100),"")</f>
        <v/>
      </c>
      <c r="G293" s="20">
        <f>IF(AND(ISNUMBER(C293),ISNUMBER(C292)),IF(C293=C292,"",(C293-C292)*100),"")</f>
        <v/>
      </c>
      <c r="H293" s="20">
        <f>IF(OR(NOT(ISNUMBER($A293)),ROW()-2&lt;Settings!$B$11),NA(),IF(COUNT(OFFSET(F293,1-Settings!$B$11,0,Settings!$B$11,1))&lt;ROUNDUP(Settings!$B$11*Settings!$B$26,0),NA(),STDEV(OFFSET(F293,1-Settings!$B$11,0,Settings!$B$11,1))*SQRT(Settings!$B$13)))</f>
        <v/>
      </c>
      <c r="I293" s="20">
        <f>IF(OR(NOT(ISNUMBER($A293)),ROW()-2&lt;Settings!$B$12),NA(),IF(COUNT(OFFSET(F293,1-Settings!$B$12,0,Settings!$B$12,1))&lt;ROUNDUP(Settings!$B$12*Settings!$B$26,0),NA(),STDEV(OFFSET(F293,1-Settings!$B$12,0,Settings!$B$12,1))*SQRT(Settings!$B$13)))</f>
        <v/>
      </c>
      <c r="J293" s="20">
        <f>IF(OR(NOT(ISNUMBER($A293)),ROW()-2&lt;Settings!$B$11),NA(),IF(COUNT(OFFSET(G293,1-Settings!$B$11,0,Settings!$B$11,1))&lt;ROUNDUP(Settings!$B$11*Settings!$B$26,0),NA(),STDEV(OFFSET(G293,1-Settings!$B$11,0,Settings!$B$11,1))*SQRT(Settings!$B$13)))</f>
        <v/>
      </c>
      <c r="K293" s="20">
        <f>IF(OR(NOT(ISNUMBER($A293)),ROW()-2&lt;Settings!$B$12),NA(),IF(COUNT(OFFSET(G293,1-Settings!$B$12,0,Settings!$B$12,1))&lt;ROUNDUP(Settings!$B$12*Settings!$B$26,0),NA(),STDEV(OFFSET(G293,1-Settings!$B$12,0,Settings!$B$12,1))*SQRT(Settings!$B$13)))</f>
        <v/>
      </c>
      <c r="L293" s="20">
        <f>IF(AND(ISNUMBER(D293),ISNUMBER(H293)),D293-H293,NA())</f>
        <v/>
      </c>
      <c r="M293" s="20">
        <f>IF(AND(ISNUMBER(E293),ISNUMBER(K293)),E293-K293,NA())</f>
        <v/>
      </c>
      <c r="N293" s="20">
        <f>IF(NOT(ISNUMBER($A293)),NA(),IF(COUNT(OFFSET(G293,1,0,Settings!$B$12,1))&lt;ROUNDUP(Settings!$B$12*Settings!$B$26,0),NA(),STDEV(OFFSET(G293,1,0,Settings!$B$12,1))*SQRT(Settings!$B$13)))</f>
        <v/>
      </c>
      <c r="O293" s="20">
        <f>IF(AND(ISNUMBER(E293),ISNUMBER(N293)),E293-N293,NA())</f>
        <v/>
      </c>
      <c r="P293" s="19">
        <f>IF(NOT(ISNUMBER($A293)),NA(),IF(OR($A293&lt;MIN(KW_TP!$A$2:$A$2501),$A293&gt;MAX(KW_TP!$A$2:$A$2501)),NA(),INDEX(KW_TP!$C$2:$C$2501,MATCH($A293,KW_TP!$A$2:$A$2501,1))))</f>
        <v/>
      </c>
      <c r="Q293" s="18">
        <f>IF(NOT(ISNUMBER($A293)),NA(),IFERROR(1*INDEX(BBG_Data!$J$2:$J$4000,MATCH($A293,BBG_Data!$I$2:$I$4000,0)),NA()))</f>
        <v/>
      </c>
      <c r="R293" s="18">
        <f>IF(NOT(ISNUMBER($A293)),NA(),IFERROR(1*INDEX(BBG_Data!$L$2:$L$4000,MATCH($A293,BBG_Data!$K$2:$K$4000,0)),NA()))</f>
        <v/>
      </c>
      <c r="S293" s="20">
        <f>IF(AND(ISNUMBER(B293),ISNUMBER(Q293),ISNUMBER(R293)),(B293-Q293-R293)*100,NA())</f>
        <v/>
      </c>
      <c r="T293" s="20">
        <f>IF(AND(ISNUMBER(B293),Settings!$B$17&gt;0),IF(ISNUMBER(INDEX($B:$B,Settings!$B$17)),(B293-INDEX($B:$B,Settings!$B$17))*100,NA()),NA())</f>
        <v/>
      </c>
      <c r="U293" s="20">
        <f>IF(AND(ISNUMBER(Q293),Settings!$B$17&gt;0),IF(ISNUMBER(INDEX($Q:$Q,Settings!$B$17)),(Q293-INDEX($Q:$Q,Settings!$B$17))*100,NA()),NA())</f>
        <v/>
      </c>
      <c r="V293" s="20">
        <f>IF(AND(ISNUMBER(R293),Settings!$B$17&gt;0),IF(ISNUMBER(INDEX($R:$R,Settings!$B$17)),(R293-INDEX($R:$R,Settings!$B$17))*100,NA()),NA())</f>
        <v/>
      </c>
      <c r="W293" s="20">
        <f>IF(AND(ISNUMBER(P293),Settings!$B$17&gt;0),IF(ISNUMBER(INDEX($P:$P,Settings!$B$17)),P293-INDEX($P:$P,Settings!$B$17),NA()),NA())</f>
        <v/>
      </c>
      <c r="X293" s="19">
        <f>IF(NOT(ISNUMBER($A293)),NA(),IF(OR($A293&lt;MIN(DKW_10Y!$A$2:$A$2918),$A293&gt;MAX(DKW_10Y!$A$2:$A$2918),Settings!$B$16&lt;MIN(DKW_10Y!$A$2:$A$2918)),NA(),(INDEX(DKW_10Y!$B$2:$B$2918,MATCH($A293,DKW_10Y!$A$2:$A$2918,1))-INDEX(DKW_10Y!$B$2:$B$2918,MATCH(Settings!$B$16,DKW_10Y!$A$2:$A$2918,1)))*100))</f>
        <v/>
      </c>
      <c r="Y293" s="19">
        <f>IF(NOT(ISNUMBER($A293)),NA(),IF(OR($A293&lt;MIN(DKW_10Y!$A$2:$A$2918),$A293&gt;MAX(DKW_10Y!$A$2:$A$2918),Settings!$B$16&lt;MIN(DKW_10Y!$A$2:$A$2918)),NA(),(INDEX(DKW_10Y!$C$2:$C$2918,MATCH($A293,DKW_10Y!$A$2:$A$2918,1))-INDEX(DKW_10Y!$C$2:$C$2918,MATCH(Settings!$B$16,DKW_10Y!$A$2:$A$2918,1)))*100))</f>
        <v/>
      </c>
      <c r="Z293" s="19">
        <f>IF(NOT(ISNUMBER($A293)),NA(),IF(OR($A293&lt;MIN(DKW_10Y!$A$2:$A$2918),$A293&gt;MAX(DKW_10Y!$A$2:$A$2918),Settings!$B$16&lt;MIN(DKW_10Y!$A$2:$A$2918)),NA(),(INDEX(DKW_10Y!$D$2:$D$2918,MATCH($A293,DKW_10Y!$A$2:$A$2918,1))-INDEX(DKW_10Y!$D$2:$D$2918,MATCH(Settings!$B$16,DKW_10Y!$A$2:$A$2918,1)))*100))</f>
        <v/>
      </c>
      <c r="AA293" s="19">
        <f>IF(NOT(ISNUMBER($A293)),NA(),IF(OR($A293&lt;MIN(DKW_10Y!$A$2:$A$2918),$A293&gt;MAX(DKW_10Y!$A$2:$A$2918),Settings!$B$16&lt;MIN(DKW_10Y!$A$2:$A$2918)),NA(),(INDEX(DKW_10Y!$E$2:$E$2918,MATCH($A293,DKW_10Y!$A$2:$A$2918,1))-INDEX(DKW_10Y!$E$2:$E$2918,MATCH(Settings!$B$16,DKW_10Y!$A$2:$A$2918,1)))*100))</f>
        <v/>
      </c>
      <c r="AB293" s="19">
        <f>IF(NOT(ISNUMBER($A293)),NA(),IF(OR($A293&lt;MIN(DKW_10Y!$A$2:$A$2918),$A293&gt;MAX(DKW_10Y!$A$2:$A$2918),Settings!$B$16&lt;MIN(DKW_10Y!$A$2:$A$2918)),NA(),(INDEX(DKW_10Y!$H$2:$H$2918,MATCH($A293,DKW_10Y!$A$2:$A$2918,1))-INDEX(DKW_10Y!$H$2:$H$2918,MATCH(Settings!$B$16,DKW_10Y!$A$2:$A$2918,1)))*100))</f>
        <v/>
      </c>
      <c r="AC293" s="18">
        <f>IF(NOT(ISNUMBER($A293)),NA(),IFERROR(1*INDEX(BBG_Data!$N$2:$N$4000,MATCH($A293,BBG_Data!$M$2:$M$4000,0)),NA()))</f>
        <v/>
      </c>
      <c r="AD293" s="18">
        <f>IF(NOT(ISNUMBER($A293)),NA(),IFERROR(1*INDEX(BBG_Data!$P$2:$P$4000,MATCH($A293,BBG_Data!$O$2:$O$4000,0)),NA()))</f>
        <v/>
      </c>
      <c r="AE293" s="18">
        <f>IF(NOT(ISNUMBER($A293)),NA(),IFERROR(1*INDEX(BBG_Data!$R$2:$R$4000,MATCH($A293,BBG_Data!$Q$2:$Q$4000,0)),NA()))</f>
        <v/>
      </c>
      <c r="AF293" s="20">
        <f>IF(AND(ISNUMBER(B293),ISNUMBER(AC293)),(B293-AC293)*100,NA())</f>
        <v/>
      </c>
      <c r="AG293" s="20">
        <f>IF(AND(ISNUMBER(AE293),ISNUMBER(AD293)),(AE293-AD293)*100,NA())</f>
        <v/>
      </c>
      <c r="AH293" s="19">
        <f>IF(NOT(ISNUMBER($A293)),NA(),IFERROR(INDEX(BBG_Data!$T$2:$T$4000,MATCH($A293,BBG_Data!$S$2:$S$4000,0))*Settings!$B$25,NA()))</f>
        <v/>
      </c>
      <c r="AI293" s="19">
        <f>IF(NOT(ISNUMBER($A293)),NA(),IFERROR(INDEX(BBG_Data!$V$2:$V$4000,MATCH($A293,BBG_Data!$U$2:$U$4000,0))*Settings!$B$25,NA()))</f>
        <v/>
      </c>
      <c r="AJ293" s="19">
        <f>IF(NOT(ISNUMBER($A293)),NA(),IFERROR(1*INDEX(BBG_Data!$X$2:$X$4000,MATCH($A293,BBG_Data!$W$2:$W$4000,0)),NA()))</f>
        <v/>
      </c>
      <c r="AK293" s="19">
        <f>IF(NOT(ISNUMBER($A293)),NA(),IFERROR(1*INDEX(BBG_Data!$Z$2:$Z$4000,MATCH($A293,BBG_Data!$Y$2:$Y$4000,0)),NA()))</f>
        <v/>
      </c>
    </row>
    <row r="294">
      <c r="A294" s="17">
        <f>IF(ISNUMBER(BBG_Data!A294),BBG_Data!A294,"")</f>
        <v/>
      </c>
      <c r="B294" s="18">
        <f>IF(AND(ISNUMBER($A294),ISNUMBER(BBG_Data!B294)),BBG_Data!B294,NA())</f>
        <v/>
      </c>
      <c r="C294" s="18">
        <f>IF(NOT(ISNUMBER($A294)),NA(),IFERROR(1*INDEX(BBG_Data!$D$2:$D$4000,MATCH($A294,BBG_Data!$C$2:$C$4000,0)),NA()))</f>
        <v/>
      </c>
      <c r="D294" s="19">
        <f>IF(NOT(ISNUMBER($A294)),NA(),IFERROR(1*INDEX(BBG_Data!$F$2:$F$4000,MATCH($A294,BBG_Data!$E$2:$E$4000,0)),NA()))</f>
        <v/>
      </c>
      <c r="E294" s="19">
        <f>IF(NOT(ISNUMBER($A294)),NA(),IFERROR(1*INDEX(BBG_Data!$H$2:$H$4000,MATCH($A294,BBG_Data!$G$2:$G$4000,0)),NA()))</f>
        <v/>
      </c>
      <c r="F294" s="20">
        <f>IF(AND(ISNUMBER(B294),ISNUMBER(B293)),IF(B294=B293,"",(B294-B293)*100),"")</f>
        <v/>
      </c>
      <c r="G294" s="20">
        <f>IF(AND(ISNUMBER(C294),ISNUMBER(C293)),IF(C294=C293,"",(C294-C293)*100),"")</f>
        <v/>
      </c>
      <c r="H294" s="20">
        <f>IF(OR(NOT(ISNUMBER($A294)),ROW()-2&lt;Settings!$B$11),NA(),IF(COUNT(OFFSET(F294,1-Settings!$B$11,0,Settings!$B$11,1))&lt;ROUNDUP(Settings!$B$11*Settings!$B$26,0),NA(),STDEV(OFFSET(F294,1-Settings!$B$11,0,Settings!$B$11,1))*SQRT(Settings!$B$13)))</f>
        <v/>
      </c>
      <c r="I294" s="20">
        <f>IF(OR(NOT(ISNUMBER($A294)),ROW()-2&lt;Settings!$B$12),NA(),IF(COUNT(OFFSET(F294,1-Settings!$B$12,0,Settings!$B$12,1))&lt;ROUNDUP(Settings!$B$12*Settings!$B$26,0),NA(),STDEV(OFFSET(F294,1-Settings!$B$12,0,Settings!$B$12,1))*SQRT(Settings!$B$13)))</f>
        <v/>
      </c>
      <c r="J294" s="20">
        <f>IF(OR(NOT(ISNUMBER($A294)),ROW()-2&lt;Settings!$B$11),NA(),IF(COUNT(OFFSET(G294,1-Settings!$B$11,0,Settings!$B$11,1))&lt;ROUNDUP(Settings!$B$11*Settings!$B$26,0),NA(),STDEV(OFFSET(G294,1-Settings!$B$11,0,Settings!$B$11,1))*SQRT(Settings!$B$13)))</f>
        <v/>
      </c>
      <c r="K294" s="20">
        <f>IF(OR(NOT(ISNUMBER($A294)),ROW()-2&lt;Settings!$B$12),NA(),IF(COUNT(OFFSET(G294,1-Settings!$B$12,0,Settings!$B$12,1))&lt;ROUNDUP(Settings!$B$12*Settings!$B$26,0),NA(),STDEV(OFFSET(G294,1-Settings!$B$12,0,Settings!$B$12,1))*SQRT(Settings!$B$13)))</f>
        <v/>
      </c>
      <c r="L294" s="20">
        <f>IF(AND(ISNUMBER(D294),ISNUMBER(H294)),D294-H294,NA())</f>
        <v/>
      </c>
      <c r="M294" s="20">
        <f>IF(AND(ISNUMBER(E294),ISNUMBER(K294)),E294-K294,NA())</f>
        <v/>
      </c>
      <c r="N294" s="20">
        <f>IF(NOT(ISNUMBER($A294)),NA(),IF(COUNT(OFFSET(G294,1,0,Settings!$B$12,1))&lt;ROUNDUP(Settings!$B$12*Settings!$B$26,0),NA(),STDEV(OFFSET(G294,1,0,Settings!$B$12,1))*SQRT(Settings!$B$13)))</f>
        <v/>
      </c>
      <c r="O294" s="20">
        <f>IF(AND(ISNUMBER(E294),ISNUMBER(N294)),E294-N294,NA())</f>
        <v/>
      </c>
      <c r="P294" s="19">
        <f>IF(NOT(ISNUMBER($A294)),NA(),IF(OR($A294&lt;MIN(KW_TP!$A$2:$A$2501),$A294&gt;MAX(KW_TP!$A$2:$A$2501)),NA(),INDEX(KW_TP!$C$2:$C$2501,MATCH($A294,KW_TP!$A$2:$A$2501,1))))</f>
        <v/>
      </c>
      <c r="Q294" s="18">
        <f>IF(NOT(ISNUMBER($A294)),NA(),IFERROR(1*INDEX(BBG_Data!$J$2:$J$4000,MATCH($A294,BBG_Data!$I$2:$I$4000,0)),NA()))</f>
        <v/>
      </c>
      <c r="R294" s="18">
        <f>IF(NOT(ISNUMBER($A294)),NA(),IFERROR(1*INDEX(BBG_Data!$L$2:$L$4000,MATCH($A294,BBG_Data!$K$2:$K$4000,0)),NA()))</f>
        <v/>
      </c>
      <c r="S294" s="20">
        <f>IF(AND(ISNUMBER(B294),ISNUMBER(Q294),ISNUMBER(R294)),(B294-Q294-R294)*100,NA())</f>
        <v/>
      </c>
      <c r="T294" s="20">
        <f>IF(AND(ISNUMBER(B294),Settings!$B$17&gt;0),IF(ISNUMBER(INDEX($B:$B,Settings!$B$17)),(B294-INDEX($B:$B,Settings!$B$17))*100,NA()),NA())</f>
        <v/>
      </c>
      <c r="U294" s="20">
        <f>IF(AND(ISNUMBER(Q294),Settings!$B$17&gt;0),IF(ISNUMBER(INDEX($Q:$Q,Settings!$B$17)),(Q294-INDEX($Q:$Q,Settings!$B$17))*100,NA()),NA())</f>
        <v/>
      </c>
      <c r="V294" s="20">
        <f>IF(AND(ISNUMBER(R294),Settings!$B$17&gt;0),IF(ISNUMBER(INDEX($R:$R,Settings!$B$17)),(R294-INDEX($R:$R,Settings!$B$17))*100,NA()),NA())</f>
        <v/>
      </c>
      <c r="W294" s="20">
        <f>IF(AND(ISNUMBER(P294),Settings!$B$17&gt;0),IF(ISNUMBER(INDEX($P:$P,Settings!$B$17)),P294-INDEX($P:$P,Settings!$B$17),NA()),NA())</f>
        <v/>
      </c>
      <c r="X294" s="19">
        <f>IF(NOT(ISNUMBER($A294)),NA(),IF(OR($A294&lt;MIN(DKW_10Y!$A$2:$A$2918),$A294&gt;MAX(DKW_10Y!$A$2:$A$2918),Settings!$B$16&lt;MIN(DKW_10Y!$A$2:$A$2918)),NA(),(INDEX(DKW_10Y!$B$2:$B$2918,MATCH($A294,DKW_10Y!$A$2:$A$2918,1))-INDEX(DKW_10Y!$B$2:$B$2918,MATCH(Settings!$B$16,DKW_10Y!$A$2:$A$2918,1)))*100))</f>
        <v/>
      </c>
      <c r="Y294" s="19">
        <f>IF(NOT(ISNUMBER($A294)),NA(),IF(OR($A294&lt;MIN(DKW_10Y!$A$2:$A$2918),$A294&gt;MAX(DKW_10Y!$A$2:$A$2918),Settings!$B$16&lt;MIN(DKW_10Y!$A$2:$A$2918)),NA(),(INDEX(DKW_10Y!$C$2:$C$2918,MATCH($A294,DKW_10Y!$A$2:$A$2918,1))-INDEX(DKW_10Y!$C$2:$C$2918,MATCH(Settings!$B$16,DKW_10Y!$A$2:$A$2918,1)))*100))</f>
        <v/>
      </c>
      <c r="Z294" s="19">
        <f>IF(NOT(ISNUMBER($A294)),NA(),IF(OR($A294&lt;MIN(DKW_10Y!$A$2:$A$2918),$A294&gt;MAX(DKW_10Y!$A$2:$A$2918),Settings!$B$16&lt;MIN(DKW_10Y!$A$2:$A$2918)),NA(),(INDEX(DKW_10Y!$D$2:$D$2918,MATCH($A294,DKW_10Y!$A$2:$A$2918,1))-INDEX(DKW_10Y!$D$2:$D$2918,MATCH(Settings!$B$16,DKW_10Y!$A$2:$A$2918,1)))*100))</f>
        <v/>
      </c>
      <c r="AA294" s="19">
        <f>IF(NOT(ISNUMBER($A294)),NA(),IF(OR($A294&lt;MIN(DKW_10Y!$A$2:$A$2918),$A294&gt;MAX(DKW_10Y!$A$2:$A$2918),Settings!$B$16&lt;MIN(DKW_10Y!$A$2:$A$2918)),NA(),(INDEX(DKW_10Y!$E$2:$E$2918,MATCH($A294,DKW_10Y!$A$2:$A$2918,1))-INDEX(DKW_10Y!$E$2:$E$2918,MATCH(Settings!$B$16,DKW_10Y!$A$2:$A$2918,1)))*100))</f>
        <v/>
      </c>
      <c r="AB294" s="19">
        <f>IF(NOT(ISNUMBER($A294)),NA(),IF(OR($A294&lt;MIN(DKW_10Y!$A$2:$A$2918),$A294&gt;MAX(DKW_10Y!$A$2:$A$2918),Settings!$B$16&lt;MIN(DKW_10Y!$A$2:$A$2918)),NA(),(INDEX(DKW_10Y!$H$2:$H$2918,MATCH($A294,DKW_10Y!$A$2:$A$2918,1))-INDEX(DKW_10Y!$H$2:$H$2918,MATCH(Settings!$B$16,DKW_10Y!$A$2:$A$2918,1)))*100))</f>
        <v/>
      </c>
      <c r="AC294" s="18">
        <f>IF(NOT(ISNUMBER($A294)),NA(),IFERROR(1*INDEX(BBG_Data!$N$2:$N$4000,MATCH($A294,BBG_Data!$M$2:$M$4000,0)),NA()))</f>
        <v/>
      </c>
      <c r="AD294" s="18">
        <f>IF(NOT(ISNUMBER($A294)),NA(),IFERROR(1*INDEX(BBG_Data!$P$2:$P$4000,MATCH($A294,BBG_Data!$O$2:$O$4000,0)),NA()))</f>
        <v/>
      </c>
      <c r="AE294" s="18">
        <f>IF(NOT(ISNUMBER($A294)),NA(),IFERROR(1*INDEX(BBG_Data!$R$2:$R$4000,MATCH($A294,BBG_Data!$Q$2:$Q$4000,0)),NA()))</f>
        <v/>
      </c>
      <c r="AF294" s="20">
        <f>IF(AND(ISNUMBER(B294),ISNUMBER(AC294)),(B294-AC294)*100,NA())</f>
        <v/>
      </c>
      <c r="AG294" s="20">
        <f>IF(AND(ISNUMBER(AE294),ISNUMBER(AD294)),(AE294-AD294)*100,NA())</f>
        <v/>
      </c>
      <c r="AH294" s="19">
        <f>IF(NOT(ISNUMBER($A294)),NA(),IFERROR(INDEX(BBG_Data!$T$2:$T$4000,MATCH($A294,BBG_Data!$S$2:$S$4000,0))*Settings!$B$25,NA()))</f>
        <v/>
      </c>
      <c r="AI294" s="19">
        <f>IF(NOT(ISNUMBER($A294)),NA(),IFERROR(INDEX(BBG_Data!$V$2:$V$4000,MATCH($A294,BBG_Data!$U$2:$U$4000,0))*Settings!$B$25,NA()))</f>
        <v/>
      </c>
      <c r="AJ294" s="19">
        <f>IF(NOT(ISNUMBER($A294)),NA(),IFERROR(1*INDEX(BBG_Data!$X$2:$X$4000,MATCH($A294,BBG_Data!$W$2:$W$4000,0)),NA()))</f>
        <v/>
      </c>
      <c r="AK294" s="19">
        <f>IF(NOT(ISNUMBER($A294)),NA(),IFERROR(1*INDEX(BBG_Data!$Z$2:$Z$4000,MATCH($A294,BBG_Data!$Y$2:$Y$4000,0)),NA()))</f>
        <v/>
      </c>
    </row>
    <row r="295">
      <c r="A295" s="17">
        <f>IF(ISNUMBER(BBG_Data!A295),BBG_Data!A295,"")</f>
        <v/>
      </c>
      <c r="B295" s="18">
        <f>IF(AND(ISNUMBER($A295),ISNUMBER(BBG_Data!B295)),BBG_Data!B295,NA())</f>
        <v/>
      </c>
      <c r="C295" s="18">
        <f>IF(NOT(ISNUMBER($A295)),NA(),IFERROR(1*INDEX(BBG_Data!$D$2:$D$4000,MATCH($A295,BBG_Data!$C$2:$C$4000,0)),NA()))</f>
        <v/>
      </c>
      <c r="D295" s="19">
        <f>IF(NOT(ISNUMBER($A295)),NA(),IFERROR(1*INDEX(BBG_Data!$F$2:$F$4000,MATCH($A295,BBG_Data!$E$2:$E$4000,0)),NA()))</f>
        <v/>
      </c>
      <c r="E295" s="19">
        <f>IF(NOT(ISNUMBER($A295)),NA(),IFERROR(1*INDEX(BBG_Data!$H$2:$H$4000,MATCH($A295,BBG_Data!$G$2:$G$4000,0)),NA()))</f>
        <v/>
      </c>
      <c r="F295" s="20">
        <f>IF(AND(ISNUMBER(B295),ISNUMBER(B294)),IF(B295=B294,"",(B295-B294)*100),"")</f>
        <v/>
      </c>
      <c r="G295" s="20">
        <f>IF(AND(ISNUMBER(C295),ISNUMBER(C294)),IF(C295=C294,"",(C295-C294)*100),"")</f>
        <v/>
      </c>
      <c r="H295" s="20">
        <f>IF(OR(NOT(ISNUMBER($A295)),ROW()-2&lt;Settings!$B$11),NA(),IF(COUNT(OFFSET(F295,1-Settings!$B$11,0,Settings!$B$11,1))&lt;ROUNDUP(Settings!$B$11*Settings!$B$26,0),NA(),STDEV(OFFSET(F295,1-Settings!$B$11,0,Settings!$B$11,1))*SQRT(Settings!$B$13)))</f>
        <v/>
      </c>
      <c r="I295" s="20">
        <f>IF(OR(NOT(ISNUMBER($A295)),ROW()-2&lt;Settings!$B$12),NA(),IF(COUNT(OFFSET(F295,1-Settings!$B$12,0,Settings!$B$12,1))&lt;ROUNDUP(Settings!$B$12*Settings!$B$26,0),NA(),STDEV(OFFSET(F295,1-Settings!$B$12,0,Settings!$B$12,1))*SQRT(Settings!$B$13)))</f>
        <v/>
      </c>
      <c r="J295" s="20">
        <f>IF(OR(NOT(ISNUMBER($A295)),ROW()-2&lt;Settings!$B$11),NA(),IF(COUNT(OFFSET(G295,1-Settings!$B$11,0,Settings!$B$11,1))&lt;ROUNDUP(Settings!$B$11*Settings!$B$26,0),NA(),STDEV(OFFSET(G295,1-Settings!$B$11,0,Settings!$B$11,1))*SQRT(Settings!$B$13)))</f>
        <v/>
      </c>
      <c r="K295" s="20">
        <f>IF(OR(NOT(ISNUMBER($A295)),ROW()-2&lt;Settings!$B$12),NA(),IF(COUNT(OFFSET(G295,1-Settings!$B$12,0,Settings!$B$12,1))&lt;ROUNDUP(Settings!$B$12*Settings!$B$26,0),NA(),STDEV(OFFSET(G295,1-Settings!$B$12,0,Settings!$B$12,1))*SQRT(Settings!$B$13)))</f>
        <v/>
      </c>
      <c r="L295" s="20">
        <f>IF(AND(ISNUMBER(D295),ISNUMBER(H295)),D295-H295,NA())</f>
        <v/>
      </c>
      <c r="M295" s="20">
        <f>IF(AND(ISNUMBER(E295),ISNUMBER(K295)),E295-K295,NA())</f>
        <v/>
      </c>
      <c r="N295" s="20">
        <f>IF(NOT(ISNUMBER($A295)),NA(),IF(COUNT(OFFSET(G295,1,0,Settings!$B$12,1))&lt;ROUNDUP(Settings!$B$12*Settings!$B$26,0),NA(),STDEV(OFFSET(G295,1,0,Settings!$B$12,1))*SQRT(Settings!$B$13)))</f>
        <v/>
      </c>
      <c r="O295" s="20">
        <f>IF(AND(ISNUMBER(E295),ISNUMBER(N295)),E295-N295,NA())</f>
        <v/>
      </c>
      <c r="P295" s="19">
        <f>IF(NOT(ISNUMBER($A295)),NA(),IF(OR($A295&lt;MIN(KW_TP!$A$2:$A$2501),$A295&gt;MAX(KW_TP!$A$2:$A$2501)),NA(),INDEX(KW_TP!$C$2:$C$2501,MATCH($A295,KW_TP!$A$2:$A$2501,1))))</f>
        <v/>
      </c>
      <c r="Q295" s="18">
        <f>IF(NOT(ISNUMBER($A295)),NA(),IFERROR(1*INDEX(BBG_Data!$J$2:$J$4000,MATCH($A295,BBG_Data!$I$2:$I$4000,0)),NA()))</f>
        <v/>
      </c>
      <c r="R295" s="18">
        <f>IF(NOT(ISNUMBER($A295)),NA(),IFERROR(1*INDEX(BBG_Data!$L$2:$L$4000,MATCH($A295,BBG_Data!$K$2:$K$4000,0)),NA()))</f>
        <v/>
      </c>
      <c r="S295" s="20">
        <f>IF(AND(ISNUMBER(B295),ISNUMBER(Q295),ISNUMBER(R295)),(B295-Q295-R295)*100,NA())</f>
        <v/>
      </c>
      <c r="T295" s="20">
        <f>IF(AND(ISNUMBER(B295),Settings!$B$17&gt;0),IF(ISNUMBER(INDEX($B:$B,Settings!$B$17)),(B295-INDEX($B:$B,Settings!$B$17))*100,NA()),NA())</f>
        <v/>
      </c>
      <c r="U295" s="20">
        <f>IF(AND(ISNUMBER(Q295),Settings!$B$17&gt;0),IF(ISNUMBER(INDEX($Q:$Q,Settings!$B$17)),(Q295-INDEX($Q:$Q,Settings!$B$17))*100,NA()),NA())</f>
        <v/>
      </c>
      <c r="V295" s="20">
        <f>IF(AND(ISNUMBER(R295),Settings!$B$17&gt;0),IF(ISNUMBER(INDEX($R:$R,Settings!$B$17)),(R295-INDEX($R:$R,Settings!$B$17))*100,NA()),NA())</f>
        <v/>
      </c>
      <c r="W295" s="20">
        <f>IF(AND(ISNUMBER(P295),Settings!$B$17&gt;0),IF(ISNUMBER(INDEX($P:$P,Settings!$B$17)),P295-INDEX($P:$P,Settings!$B$17),NA()),NA())</f>
        <v/>
      </c>
      <c r="X295" s="19">
        <f>IF(NOT(ISNUMBER($A295)),NA(),IF(OR($A295&lt;MIN(DKW_10Y!$A$2:$A$2918),$A295&gt;MAX(DKW_10Y!$A$2:$A$2918),Settings!$B$16&lt;MIN(DKW_10Y!$A$2:$A$2918)),NA(),(INDEX(DKW_10Y!$B$2:$B$2918,MATCH($A295,DKW_10Y!$A$2:$A$2918,1))-INDEX(DKW_10Y!$B$2:$B$2918,MATCH(Settings!$B$16,DKW_10Y!$A$2:$A$2918,1)))*100))</f>
        <v/>
      </c>
      <c r="Y295" s="19">
        <f>IF(NOT(ISNUMBER($A295)),NA(),IF(OR($A295&lt;MIN(DKW_10Y!$A$2:$A$2918),$A295&gt;MAX(DKW_10Y!$A$2:$A$2918),Settings!$B$16&lt;MIN(DKW_10Y!$A$2:$A$2918)),NA(),(INDEX(DKW_10Y!$C$2:$C$2918,MATCH($A295,DKW_10Y!$A$2:$A$2918,1))-INDEX(DKW_10Y!$C$2:$C$2918,MATCH(Settings!$B$16,DKW_10Y!$A$2:$A$2918,1)))*100))</f>
        <v/>
      </c>
      <c r="Z295" s="19">
        <f>IF(NOT(ISNUMBER($A295)),NA(),IF(OR($A295&lt;MIN(DKW_10Y!$A$2:$A$2918),$A295&gt;MAX(DKW_10Y!$A$2:$A$2918),Settings!$B$16&lt;MIN(DKW_10Y!$A$2:$A$2918)),NA(),(INDEX(DKW_10Y!$D$2:$D$2918,MATCH($A295,DKW_10Y!$A$2:$A$2918,1))-INDEX(DKW_10Y!$D$2:$D$2918,MATCH(Settings!$B$16,DKW_10Y!$A$2:$A$2918,1)))*100))</f>
        <v/>
      </c>
      <c r="AA295" s="19">
        <f>IF(NOT(ISNUMBER($A295)),NA(),IF(OR($A295&lt;MIN(DKW_10Y!$A$2:$A$2918),$A295&gt;MAX(DKW_10Y!$A$2:$A$2918),Settings!$B$16&lt;MIN(DKW_10Y!$A$2:$A$2918)),NA(),(INDEX(DKW_10Y!$E$2:$E$2918,MATCH($A295,DKW_10Y!$A$2:$A$2918,1))-INDEX(DKW_10Y!$E$2:$E$2918,MATCH(Settings!$B$16,DKW_10Y!$A$2:$A$2918,1)))*100))</f>
        <v/>
      </c>
      <c r="AB295" s="19">
        <f>IF(NOT(ISNUMBER($A295)),NA(),IF(OR($A295&lt;MIN(DKW_10Y!$A$2:$A$2918),$A295&gt;MAX(DKW_10Y!$A$2:$A$2918),Settings!$B$16&lt;MIN(DKW_10Y!$A$2:$A$2918)),NA(),(INDEX(DKW_10Y!$H$2:$H$2918,MATCH($A295,DKW_10Y!$A$2:$A$2918,1))-INDEX(DKW_10Y!$H$2:$H$2918,MATCH(Settings!$B$16,DKW_10Y!$A$2:$A$2918,1)))*100))</f>
        <v/>
      </c>
      <c r="AC295" s="18">
        <f>IF(NOT(ISNUMBER($A295)),NA(),IFERROR(1*INDEX(BBG_Data!$N$2:$N$4000,MATCH($A295,BBG_Data!$M$2:$M$4000,0)),NA()))</f>
        <v/>
      </c>
      <c r="AD295" s="18">
        <f>IF(NOT(ISNUMBER($A295)),NA(),IFERROR(1*INDEX(BBG_Data!$P$2:$P$4000,MATCH($A295,BBG_Data!$O$2:$O$4000,0)),NA()))</f>
        <v/>
      </c>
      <c r="AE295" s="18">
        <f>IF(NOT(ISNUMBER($A295)),NA(),IFERROR(1*INDEX(BBG_Data!$R$2:$R$4000,MATCH($A295,BBG_Data!$Q$2:$Q$4000,0)),NA()))</f>
        <v/>
      </c>
      <c r="AF295" s="20">
        <f>IF(AND(ISNUMBER(B295),ISNUMBER(AC295)),(B295-AC295)*100,NA())</f>
        <v/>
      </c>
      <c r="AG295" s="20">
        <f>IF(AND(ISNUMBER(AE295),ISNUMBER(AD295)),(AE295-AD295)*100,NA())</f>
        <v/>
      </c>
      <c r="AH295" s="19">
        <f>IF(NOT(ISNUMBER($A295)),NA(),IFERROR(INDEX(BBG_Data!$T$2:$T$4000,MATCH($A295,BBG_Data!$S$2:$S$4000,0))*Settings!$B$25,NA()))</f>
        <v/>
      </c>
      <c r="AI295" s="19">
        <f>IF(NOT(ISNUMBER($A295)),NA(),IFERROR(INDEX(BBG_Data!$V$2:$V$4000,MATCH($A295,BBG_Data!$U$2:$U$4000,0))*Settings!$B$25,NA()))</f>
        <v/>
      </c>
      <c r="AJ295" s="19">
        <f>IF(NOT(ISNUMBER($A295)),NA(),IFERROR(1*INDEX(BBG_Data!$X$2:$X$4000,MATCH($A295,BBG_Data!$W$2:$W$4000,0)),NA()))</f>
        <v/>
      </c>
      <c r="AK295" s="19">
        <f>IF(NOT(ISNUMBER($A295)),NA(),IFERROR(1*INDEX(BBG_Data!$Z$2:$Z$4000,MATCH($A295,BBG_Data!$Y$2:$Y$4000,0)),NA()))</f>
        <v/>
      </c>
    </row>
    <row r="296">
      <c r="A296" s="17">
        <f>IF(ISNUMBER(BBG_Data!A296),BBG_Data!A296,"")</f>
        <v/>
      </c>
      <c r="B296" s="18">
        <f>IF(AND(ISNUMBER($A296),ISNUMBER(BBG_Data!B296)),BBG_Data!B296,NA())</f>
        <v/>
      </c>
      <c r="C296" s="18">
        <f>IF(NOT(ISNUMBER($A296)),NA(),IFERROR(1*INDEX(BBG_Data!$D$2:$D$4000,MATCH($A296,BBG_Data!$C$2:$C$4000,0)),NA()))</f>
        <v/>
      </c>
      <c r="D296" s="19">
        <f>IF(NOT(ISNUMBER($A296)),NA(),IFERROR(1*INDEX(BBG_Data!$F$2:$F$4000,MATCH($A296,BBG_Data!$E$2:$E$4000,0)),NA()))</f>
        <v/>
      </c>
      <c r="E296" s="19">
        <f>IF(NOT(ISNUMBER($A296)),NA(),IFERROR(1*INDEX(BBG_Data!$H$2:$H$4000,MATCH($A296,BBG_Data!$G$2:$G$4000,0)),NA()))</f>
        <v/>
      </c>
      <c r="F296" s="20">
        <f>IF(AND(ISNUMBER(B296),ISNUMBER(B295)),IF(B296=B295,"",(B296-B295)*100),"")</f>
        <v/>
      </c>
      <c r="G296" s="20">
        <f>IF(AND(ISNUMBER(C296),ISNUMBER(C295)),IF(C296=C295,"",(C296-C295)*100),"")</f>
        <v/>
      </c>
      <c r="H296" s="20">
        <f>IF(OR(NOT(ISNUMBER($A296)),ROW()-2&lt;Settings!$B$11),NA(),IF(COUNT(OFFSET(F296,1-Settings!$B$11,0,Settings!$B$11,1))&lt;ROUNDUP(Settings!$B$11*Settings!$B$26,0),NA(),STDEV(OFFSET(F296,1-Settings!$B$11,0,Settings!$B$11,1))*SQRT(Settings!$B$13)))</f>
        <v/>
      </c>
      <c r="I296" s="20">
        <f>IF(OR(NOT(ISNUMBER($A296)),ROW()-2&lt;Settings!$B$12),NA(),IF(COUNT(OFFSET(F296,1-Settings!$B$12,0,Settings!$B$12,1))&lt;ROUNDUP(Settings!$B$12*Settings!$B$26,0),NA(),STDEV(OFFSET(F296,1-Settings!$B$12,0,Settings!$B$12,1))*SQRT(Settings!$B$13)))</f>
        <v/>
      </c>
      <c r="J296" s="20">
        <f>IF(OR(NOT(ISNUMBER($A296)),ROW()-2&lt;Settings!$B$11),NA(),IF(COUNT(OFFSET(G296,1-Settings!$B$11,0,Settings!$B$11,1))&lt;ROUNDUP(Settings!$B$11*Settings!$B$26,0),NA(),STDEV(OFFSET(G296,1-Settings!$B$11,0,Settings!$B$11,1))*SQRT(Settings!$B$13)))</f>
        <v/>
      </c>
      <c r="K296" s="20">
        <f>IF(OR(NOT(ISNUMBER($A296)),ROW()-2&lt;Settings!$B$12),NA(),IF(COUNT(OFFSET(G296,1-Settings!$B$12,0,Settings!$B$12,1))&lt;ROUNDUP(Settings!$B$12*Settings!$B$26,0),NA(),STDEV(OFFSET(G296,1-Settings!$B$12,0,Settings!$B$12,1))*SQRT(Settings!$B$13)))</f>
        <v/>
      </c>
      <c r="L296" s="20">
        <f>IF(AND(ISNUMBER(D296),ISNUMBER(H296)),D296-H296,NA())</f>
        <v/>
      </c>
      <c r="M296" s="20">
        <f>IF(AND(ISNUMBER(E296),ISNUMBER(K296)),E296-K296,NA())</f>
        <v/>
      </c>
      <c r="N296" s="20">
        <f>IF(NOT(ISNUMBER($A296)),NA(),IF(COUNT(OFFSET(G296,1,0,Settings!$B$12,1))&lt;ROUNDUP(Settings!$B$12*Settings!$B$26,0),NA(),STDEV(OFFSET(G296,1,0,Settings!$B$12,1))*SQRT(Settings!$B$13)))</f>
        <v/>
      </c>
      <c r="O296" s="20">
        <f>IF(AND(ISNUMBER(E296),ISNUMBER(N296)),E296-N296,NA())</f>
        <v/>
      </c>
      <c r="P296" s="19">
        <f>IF(NOT(ISNUMBER($A296)),NA(),IF(OR($A296&lt;MIN(KW_TP!$A$2:$A$2501),$A296&gt;MAX(KW_TP!$A$2:$A$2501)),NA(),INDEX(KW_TP!$C$2:$C$2501,MATCH($A296,KW_TP!$A$2:$A$2501,1))))</f>
        <v/>
      </c>
      <c r="Q296" s="18">
        <f>IF(NOT(ISNUMBER($A296)),NA(),IFERROR(1*INDEX(BBG_Data!$J$2:$J$4000,MATCH($A296,BBG_Data!$I$2:$I$4000,0)),NA()))</f>
        <v/>
      </c>
      <c r="R296" s="18">
        <f>IF(NOT(ISNUMBER($A296)),NA(),IFERROR(1*INDEX(BBG_Data!$L$2:$L$4000,MATCH($A296,BBG_Data!$K$2:$K$4000,0)),NA()))</f>
        <v/>
      </c>
      <c r="S296" s="20">
        <f>IF(AND(ISNUMBER(B296),ISNUMBER(Q296),ISNUMBER(R296)),(B296-Q296-R296)*100,NA())</f>
        <v/>
      </c>
      <c r="T296" s="20">
        <f>IF(AND(ISNUMBER(B296),Settings!$B$17&gt;0),IF(ISNUMBER(INDEX($B:$B,Settings!$B$17)),(B296-INDEX($B:$B,Settings!$B$17))*100,NA()),NA())</f>
        <v/>
      </c>
      <c r="U296" s="20">
        <f>IF(AND(ISNUMBER(Q296),Settings!$B$17&gt;0),IF(ISNUMBER(INDEX($Q:$Q,Settings!$B$17)),(Q296-INDEX($Q:$Q,Settings!$B$17))*100,NA()),NA())</f>
        <v/>
      </c>
      <c r="V296" s="20">
        <f>IF(AND(ISNUMBER(R296),Settings!$B$17&gt;0),IF(ISNUMBER(INDEX($R:$R,Settings!$B$17)),(R296-INDEX($R:$R,Settings!$B$17))*100,NA()),NA())</f>
        <v/>
      </c>
      <c r="W296" s="20">
        <f>IF(AND(ISNUMBER(P296),Settings!$B$17&gt;0),IF(ISNUMBER(INDEX($P:$P,Settings!$B$17)),P296-INDEX($P:$P,Settings!$B$17),NA()),NA())</f>
        <v/>
      </c>
      <c r="X296" s="19">
        <f>IF(NOT(ISNUMBER($A296)),NA(),IF(OR($A296&lt;MIN(DKW_10Y!$A$2:$A$2918),$A296&gt;MAX(DKW_10Y!$A$2:$A$2918),Settings!$B$16&lt;MIN(DKW_10Y!$A$2:$A$2918)),NA(),(INDEX(DKW_10Y!$B$2:$B$2918,MATCH($A296,DKW_10Y!$A$2:$A$2918,1))-INDEX(DKW_10Y!$B$2:$B$2918,MATCH(Settings!$B$16,DKW_10Y!$A$2:$A$2918,1)))*100))</f>
        <v/>
      </c>
      <c r="Y296" s="19">
        <f>IF(NOT(ISNUMBER($A296)),NA(),IF(OR($A296&lt;MIN(DKW_10Y!$A$2:$A$2918),$A296&gt;MAX(DKW_10Y!$A$2:$A$2918),Settings!$B$16&lt;MIN(DKW_10Y!$A$2:$A$2918)),NA(),(INDEX(DKW_10Y!$C$2:$C$2918,MATCH($A296,DKW_10Y!$A$2:$A$2918,1))-INDEX(DKW_10Y!$C$2:$C$2918,MATCH(Settings!$B$16,DKW_10Y!$A$2:$A$2918,1)))*100))</f>
        <v/>
      </c>
      <c r="Z296" s="19">
        <f>IF(NOT(ISNUMBER($A296)),NA(),IF(OR($A296&lt;MIN(DKW_10Y!$A$2:$A$2918),$A296&gt;MAX(DKW_10Y!$A$2:$A$2918),Settings!$B$16&lt;MIN(DKW_10Y!$A$2:$A$2918)),NA(),(INDEX(DKW_10Y!$D$2:$D$2918,MATCH($A296,DKW_10Y!$A$2:$A$2918,1))-INDEX(DKW_10Y!$D$2:$D$2918,MATCH(Settings!$B$16,DKW_10Y!$A$2:$A$2918,1)))*100))</f>
        <v/>
      </c>
      <c r="AA296" s="19">
        <f>IF(NOT(ISNUMBER($A296)),NA(),IF(OR($A296&lt;MIN(DKW_10Y!$A$2:$A$2918),$A296&gt;MAX(DKW_10Y!$A$2:$A$2918),Settings!$B$16&lt;MIN(DKW_10Y!$A$2:$A$2918)),NA(),(INDEX(DKW_10Y!$E$2:$E$2918,MATCH($A296,DKW_10Y!$A$2:$A$2918,1))-INDEX(DKW_10Y!$E$2:$E$2918,MATCH(Settings!$B$16,DKW_10Y!$A$2:$A$2918,1)))*100))</f>
        <v/>
      </c>
      <c r="AB296" s="19">
        <f>IF(NOT(ISNUMBER($A296)),NA(),IF(OR($A296&lt;MIN(DKW_10Y!$A$2:$A$2918),$A296&gt;MAX(DKW_10Y!$A$2:$A$2918),Settings!$B$16&lt;MIN(DKW_10Y!$A$2:$A$2918)),NA(),(INDEX(DKW_10Y!$H$2:$H$2918,MATCH($A296,DKW_10Y!$A$2:$A$2918,1))-INDEX(DKW_10Y!$H$2:$H$2918,MATCH(Settings!$B$16,DKW_10Y!$A$2:$A$2918,1)))*100))</f>
        <v/>
      </c>
      <c r="AC296" s="18">
        <f>IF(NOT(ISNUMBER($A296)),NA(),IFERROR(1*INDEX(BBG_Data!$N$2:$N$4000,MATCH($A296,BBG_Data!$M$2:$M$4000,0)),NA()))</f>
        <v/>
      </c>
      <c r="AD296" s="18">
        <f>IF(NOT(ISNUMBER($A296)),NA(),IFERROR(1*INDEX(BBG_Data!$P$2:$P$4000,MATCH($A296,BBG_Data!$O$2:$O$4000,0)),NA()))</f>
        <v/>
      </c>
      <c r="AE296" s="18">
        <f>IF(NOT(ISNUMBER($A296)),NA(),IFERROR(1*INDEX(BBG_Data!$R$2:$R$4000,MATCH($A296,BBG_Data!$Q$2:$Q$4000,0)),NA()))</f>
        <v/>
      </c>
      <c r="AF296" s="20">
        <f>IF(AND(ISNUMBER(B296),ISNUMBER(AC296)),(B296-AC296)*100,NA())</f>
        <v/>
      </c>
      <c r="AG296" s="20">
        <f>IF(AND(ISNUMBER(AE296),ISNUMBER(AD296)),(AE296-AD296)*100,NA())</f>
        <v/>
      </c>
      <c r="AH296" s="19">
        <f>IF(NOT(ISNUMBER($A296)),NA(),IFERROR(INDEX(BBG_Data!$T$2:$T$4000,MATCH($A296,BBG_Data!$S$2:$S$4000,0))*Settings!$B$25,NA()))</f>
        <v/>
      </c>
      <c r="AI296" s="19">
        <f>IF(NOT(ISNUMBER($A296)),NA(),IFERROR(INDEX(BBG_Data!$V$2:$V$4000,MATCH($A296,BBG_Data!$U$2:$U$4000,0))*Settings!$B$25,NA()))</f>
        <v/>
      </c>
      <c r="AJ296" s="19">
        <f>IF(NOT(ISNUMBER($A296)),NA(),IFERROR(1*INDEX(BBG_Data!$X$2:$X$4000,MATCH($A296,BBG_Data!$W$2:$W$4000,0)),NA()))</f>
        <v/>
      </c>
      <c r="AK296" s="19">
        <f>IF(NOT(ISNUMBER($A296)),NA(),IFERROR(1*INDEX(BBG_Data!$Z$2:$Z$4000,MATCH($A296,BBG_Data!$Y$2:$Y$4000,0)),NA()))</f>
        <v/>
      </c>
    </row>
    <row r="297">
      <c r="A297" s="17">
        <f>IF(ISNUMBER(BBG_Data!A297),BBG_Data!A297,"")</f>
        <v/>
      </c>
      <c r="B297" s="18">
        <f>IF(AND(ISNUMBER($A297),ISNUMBER(BBG_Data!B297)),BBG_Data!B297,NA())</f>
        <v/>
      </c>
      <c r="C297" s="18">
        <f>IF(NOT(ISNUMBER($A297)),NA(),IFERROR(1*INDEX(BBG_Data!$D$2:$D$4000,MATCH($A297,BBG_Data!$C$2:$C$4000,0)),NA()))</f>
        <v/>
      </c>
      <c r="D297" s="19">
        <f>IF(NOT(ISNUMBER($A297)),NA(),IFERROR(1*INDEX(BBG_Data!$F$2:$F$4000,MATCH($A297,BBG_Data!$E$2:$E$4000,0)),NA()))</f>
        <v/>
      </c>
      <c r="E297" s="19">
        <f>IF(NOT(ISNUMBER($A297)),NA(),IFERROR(1*INDEX(BBG_Data!$H$2:$H$4000,MATCH($A297,BBG_Data!$G$2:$G$4000,0)),NA()))</f>
        <v/>
      </c>
      <c r="F297" s="20">
        <f>IF(AND(ISNUMBER(B297),ISNUMBER(B296)),IF(B297=B296,"",(B297-B296)*100),"")</f>
        <v/>
      </c>
      <c r="G297" s="20">
        <f>IF(AND(ISNUMBER(C297),ISNUMBER(C296)),IF(C297=C296,"",(C297-C296)*100),"")</f>
        <v/>
      </c>
      <c r="H297" s="20">
        <f>IF(OR(NOT(ISNUMBER($A297)),ROW()-2&lt;Settings!$B$11),NA(),IF(COUNT(OFFSET(F297,1-Settings!$B$11,0,Settings!$B$11,1))&lt;ROUNDUP(Settings!$B$11*Settings!$B$26,0),NA(),STDEV(OFFSET(F297,1-Settings!$B$11,0,Settings!$B$11,1))*SQRT(Settings!$B$13)))</f>
        <v/>
      </c>
      <c r="I297" s="20">
        <f>IF(OR(NOT(ISNUMBER($A297)),ROW()-2&lt;Settings!$B$12),NA(),IF(COUNT(OFFSET(F297,1-Settings!$B$12,0,Settings!$B$12,1))&lt;ROUNDUP(Settings!$B$12*Settings!$B$26,0),NA(),STDEV(OFFSET(F297,1-Settings!$B$12,0,Settings!$B$12,1))*SQRT(Settings!$B$13)))</f>
        <v/>
      </c>
      <c r="J297" s="20">
        <f>IF(OR(NOT(ISNUMBER($A297)),ROW()-2&lt;Settings!$B$11),NA(),IF(COUNT(OFFSET(G297,1-Settings!$B$11,0,Settings!$B$11,1))&lt;ROUNDUP(Settings!$B$11*Settings!$B$26,0),NA(),STDEV(OFFSET(G297,1-Settings!$B$11,0,Settings!$B$11,1))*SQRT(Settings!$B$13)))</f>
        <v/>
      </c>
      <c r="K297" s="20">
        <f>IF(OR(NOT(ISNUMBER($A297)),ROW()-2&lt;Settings!$B$12),NA(),IF(COUNT(OFFSET(G297,1-Settings!$B$12,0,Settings!$B$12,1))&lt;ROUNDUP(Settings!$B$12*Settings!$B$26,0),NA(),STDEV(OFFSET(G297,1-Settings!$B$12,0,Settings!$B$12,1))*SQRT(Settings!$B$13)))</f>
        <v/>
      </c>
      <c r="L297" s="20">
        <f>IF(AND(ISNUMBER(D297),ISNUMBER(H297)),D297-H297,NA())</f>
        <v/>
      </c>
      <c r="M297" s="20">
        <f>IF(AND(ISNUMBER(E297),ISNUMBER(K297)),E297-K297,NA())</f>
        <v/>
      </c>
      <c r="N297" s="20">
        <f>IF(NOT(ISNUMBER($A297)),NA(),IF(COUNT(OFFSET(G297,1,0,Settings!$B$12,1))&lt;ROUNDUP(Settings!$B$12*Settings!$B$26,0),NA(),STDEV(OFFSET(G297,1,0,Settings!$B$12,1))*SQRT(Settings!$B$13)))</f>
        <v/>
      </c>
      <c r="O297" s="20">
        <f>IF(AND(ISNUMBER(E297),ISNUMBER(N297)),E297-N297,NA())</f>
        <v/>
      </c>
      <c r="P297" s="19">
        <f>IF(NOT(ISNUMBER($A297)),NA(),IF(OR($A297&lt;MIN(KW_TP!$A$2:$A$2501),$A297&gt;MAX(KW_TP!$A$2:$A$2501)),NA(),INDEX(KW_TP!$C$2:$C$2501,MATCH($A297,KW_TP!$A$2:$A$2501,1))))</f>
        <v/>
      </c>
      <c r="Q297" s="18">
        <f>IF(NOT(ISNUMBER($A297)),NA(),IFERROR(1*INDEX(BBG_Data!$J$2:$J$4000,MATCH($A297,BBG_Data!$I$2:$I$4000,0)),NA()))</f>
        <v/>
      </c>
      <c r="R297" s="18">
        <f>IF(NOT(ISNUMBER($A297)),NA(),IFERROR(1*INDEX(BBG_Data!$L$2:$L$4000,MATCH($A297,BBG_Data!$K$2:$K$4000,0)),NA()))</f>
        <v/>
      </c>
      <c r="S297" s="20">
        <f>IF(AND(ISNUMBER(B297),ISNUMBER(Q297),ISNUMBER(R297)),(B297-Q297-R297)*100,NA())</f>
        <v/>
      </c>
      <c r="T297" s="20">
        <f>IF(AND(ISNUMBER(B297),Settings!$B$17&gt;0),IF(ISNUMBER(INDEX($B:$B,Settings!$B$17)),(B297-INDEX($B:$B,Settings!$B$17))*100,NA()),NA())</f>
        <v/>
      </c>
      <c r="U297" s="20">
        <f>IF(AND(ISNUMBER(Q297),Settings!$B$17&gt;0),IF(ISNUMBER(INDEX($Q:$Q,Settings!$B$17)),(Q297-INDEX($Q:$Q,Settings!$B$17))*100,NA()),NA())</f>
        <v/>
      </c>
      <c r="V297" s="20">
        <f>IF(AND(ISNUMBER(R297),Settings!$B$17&gt;0),IF(ISNUMBER(INDEX($R:$R,Settings!$B$17)),(R297-INDEX($R:$R,Settings!$B$17))*100,NA()),NA())</f>
        <v/>
      </c>
      <c r="W297" s="20">
        <f>IF(AND(ISNUMBER(P297),Settings!$B$17&gt;0),IF(ISNUMBER(INDEX($P:$P,Settings!$B$17)),P297-INDEX($P:$P,Settings!$B$17),NA()),NA())</f>
        <v/>
      </c>
      <c r="X297" s="19">
        <f>IF(NOT(ISNUMBER($A297)),NA(),IF(OR($A297&lt;MIN(DKW_10Y!$A$2:$A$2918),$A297&gt;MAX(DKW_10Y!$A$2:$A$2918),Settings!$B$16&lt;MIN(DKW_10Y!$A$2:$A$2918)),NA(),(INDEX(DKW_10Y!$B$2:$B$2918,MATCH($A297,DKW_10Y!$A$2:$A$2918,1))-INDEX(DKW_10Y!$B$2:$B$2918,MATCH(Settings!$B$16,DKW_10Y!$A$2:$A$2918,1)))*100))</f>
        <v/>
      </c>
      <c r="Y297" s="19">
        <f>IF(NOT(ISNUMBER($A297)),NA(),IF(OR($A297&lt;MIN(DKW_10Y!$A$2:$A$2918),$A297&gt;MAX(DKW_10Y!$A$2:$A$2918),Settings!$B$16&lt;MIN(DKW_10Y!$A$2:$A$2918)),NA(),(INDEX(DKW_10Y!$C$2:$C$2918,MATCH($A297,DKW_10Y!$A$2:$A$2918,1))-INDEX(DKW_10Y!$C$2:$C$2918,MATCH(Settings!$B$16,DKW_10Y!$A$2:$A$2918,1)))*100))</f>
        <v/>
      </c>
      <c r="Z297" s="19">
        <f>IF(NOT(ISNUMBER($A297)),NA(),IF(OR($A297&lt;MIN(DKW_10Y!$A$2:$A$2918),$A297&gt;MAX(DKW_10Y!$A$2:$A$2918),Settings!$B$16&lt;MIN(DKW_10Y!$A$2:$A$2918)),NA(),(INDEX(DKW_10Y!$D$2:$D$2918,MATCH($A297,DKW_10Y!$A$2:$A$2918,1))-INDEX(DKW_10Y!$D$2:$D$2918,MATCH(Settings!$B$16,DKW_10Y!$A$2:$A$2918,1)))*100))</f>
        <v/>
      </c>
      <c r="AA297" s="19">
        <f>IF(NOT(ISNUMBER($A297)),NA(),IF(OR($A297&lt;MIN(DKW_10Y!$A$2:$A$2918),$A297&gt;MAX(DKW_10Y!$A$2:$A$2918),Settings!$B$16&lt;MIN(DKW_10Y!$A$2:$A$2918)),NA(),(INDEX(DKW_10Y!$E$2:$E$2918,MATCH($A297,DKW_10Y!$A$2:$A$2918,1))-INDEX(DKW_10Y!$E$2:$E$2918,MATCH(Settings!$B$16,DKW_10Y!$A$2:$A$2918,1)))*100))</f>
        <v/>
      </c>
      <c r="AB297" s="19">
        <f>IF(NOT(ISNUMBER($A297)),NA(),IF(OR($A297&lt;MIN(DKW_10Y!$A$2:$A$2918),$A297&gt;MAX(DKW_10Y!$A$2:$A$2918),Settings!$B$16&lt;MIN(DKW_10Y!$A$2:$A$2918)),NA(),(INDEX(DKW_10Y!$H$2:$H$2918,MATCH($A297,DKW_10Y!$A$2:$A$2918,1))-INDEX(DKW_10Y!$H$2:$H$2918,MATCH(Settings!$B$16,DKW_10Y!$A$2:$A$2918,1)))*100))</f>
        <v/>
      </c>
      <c r="AC297" s="18">
        <f>IF(NOT(ISNUMBER($A297)),NA(),IFERROR(1*INDEX(BBG_Data!$N$2:$N$4000,MATCH($A297,BBG_Data!$M$2:$M$4000,0)),NA()))</f>
        <v/>
      </c>
      <c r="AD297" s="18">
        <f>IF(NOT(ISNUMBER($A297)),NA(),IFERROR(1*INDEX(BBG_Data!$P$2:$P$4000,MATCH($A297,BBG_Data!$O$2:$O$4000,0)),NA()))</f>
        <v/>
      </c>
      <c r="AE297" s="18">
        <f>IF(NOT(ISNUMBER($A297)),NA(),IFERROR(1*INDEX(BBG_Data!$R$2:$R$4000,MATCH($A297,BBG_Data!$Q$2:$Q$4000,0)),NA()))</f>
        <v/>
      </c>
      <c r="AF297" s="20">
        <f>IF(AND(ISNUMBER(B297),ISNUMBER(AC297)),(B297-AC297)*100,NA())</f>
        <v/>
      </c>
      <c r="AG297" s="20">
        <f>IF(AND(ISNUMBER(AE297),ISNUMBER(AD297)),(AE297-AD297)*100,NA())</f>
        <v/>
      </c>
      <c r="AH297" s="19">
        <f>IF(NOT(ISNUMBER($A297)),NA(),IFERROR(INDEX(BBG_Data!$T$2:$T$4000,MATCH($A297,BBG_Data!$S$2:$S$4000,0))*Settings!$B$25,NA()))</f>
        <v/>
      </c>
      <c r="AI297" s="19">
        <f>IF(NOT(ISNUMBER($A297)),NA(),IFERROR(INDEX(BBG_Data!$V$2:$V$4000,MATCH($A297,BBG_Data!$U$2:$U$4000,0))*Settings!$B$25,NA()))</f>
        <v/>
      </c>
      <c r="AJ297" s="19">
        <f>IF(NOT(ISNUMBER($A297)),NA(),IFERROR(1*INDEX(BBG_Data!$X$2:$X$4000,MATCH($A297,BBG_Data!$W$2:$W$4000,0)),NA()))</f>
        <v/>
      </c>
      <c r="AK297" s="19">
        <f>IF(NOT(ISNUMBER($A297)),NA(),IFERROR(1*INDEX(BBG_Data!$Z$2:$Z$4000,MATCH($A297,BBG_Data!$Y$2:$Y$4000,0)),NA()))</f>
        <v/>
      </c>
    </row>
    <row r="298">
      <c r="A298" s="17">
        <f>IF(ISNUMBER(BBG_Data!A298),BBG_Data!A298,"")</f>
        <v/>
      </c>
      <c r="B298" s="18">
        <f>IF(AND(ISNUMBER($A298),ISNUMBER(BBG_Data!B298)),BBG_Data!B298,NA())</f>
        <v/>
      </c>
      <c r="C298" s="18">
        <f>IF(NOT(ISNUMBER($A298)),NA(),IFERROR(1*INDEX(BBG_Data!$D$2:$D$4000,MATCH($A298,BBG_Data!$C$2:$C$4000,0)),NA()))</f>
        <v/>
      </c>
      <c r="D298" s="19">
        <f>IF(NOT(ISNUMBER($A298)),NA(),IFERROR(1*INDEX(BBG_Data!$F$2:$F$4000,MATCH($A298,BBG_Data!$E$2:$E$4000,0)),NA()))</f>
        <v/>
      </c>
      <c r="E298" s="19">
        <f>IF(NOT(ISNUMBER($A298)),NA(),IFERROR(1*INDEX(BBG_Data!$H$2:$H$4000,MATCH($A298,BBG_Data!$G$2:$G$4000,0)),NA()))</f>
        <v/>
      </c>
      <c r="F298" s="20">
        <f>IF(AND(ISNUMBER(B298),ISNUMBER(B297)),IF(B298=B297,"",(B298-B297)*100),"")</f>
        <v/>
      </c>
      <c r="G298" s="20">
        <f>IF(AND(ISNUMBER(C298),ISNUMBER(C297)),IF(C298=C297,"",(C298-C297)*100),"")</f>
        <v/>
      </c>
      <c r="H298" s="20">
        <f>IF(OR(NOT(ISNUMBER($A298)),ROW()-2&lt;Settings!$B$11),NA(),IF(COUNT(OFFSET(F298,1-Settings!$B$11,0,Settings!$B$11,1))&lt;ROUNDUP(Settings!$B$11*Settings!$B$26,0),NA(),STDEV(OFFSET(F298,1-Settings!$B$11,0,Settings!$B$11,1))*SQRT(Settings!$B$13)))</f>
        <v/>
      </c>
      <c r="I298" s="20">
        <f>IF(OR(NOT(ISNUMBER($A298)),ROW()-2&lt;Settings!$B$12),NA(),IF(COUNT(OFFSET(F298,1-Settings!$B$12,0,Settings!$B$12,1))&lt;ROUNDUP(Settings!$B$12*Settings!$B$26,0),NA(),STDEV(OFFSET(F298,1-Settings!$B$12,0,Settings!$B$12,1))*SQRT(Settings!$B$13)))</f>
        <v/>
      </c>
      <c r="J298" s="20">
        <f>IF(OR(NOT(ISNUMBER($A298)),ROW()-2&lt;Settings!$B$11),NA(),IF(COUNT(OFFSET(G298,1-Settings!$B$11,0,Settings!$B$11,1))&lt;ROUNDUP(Settings!$B$11*Settings!$B$26,0),NA(),STDEV(OFFSET(G298,1-Settings!$B$11,0,Settings!$B$11,1))*SQRT(Settings!$B$13)))</f>
        <v/>
      </c>
      <c r="K298" s="20">
        <f>IF(OR(NOT(ISNUMBER($A298)),ROW()-2&lt;Settings!$B$12),NA(),IF(COUNT(OFFSET(G298,1-Settings!$B$12,0,Settings!$B$12,1))&lt;ROUNDUP(Settings!$B$12*Settings!$B$26,0),NA(),STDEV(OFFSET(G298,1-Settings!$B$12,0,Settings!$B$12,1))*SQRT(Settings!$B$13)))</f>
        <v/>
      </c>
      <c r="L298" s="20">
        <f>IF(AND(ISNUMBER(D298),ISNUMBER(H298)),D298-H298,NA())</f>
        <v/>
      </c>
      <c r="M298" s="20">
        <f>IF(AND(ISNUMBER(E298),ISNUMBER(K298)),E298-K298,NA())</f>
        <v/>
      </c>
      <c r="N298" s="20">
        <f>IF(NOT(ISNUMBER($A298)),NA(),IF(COUNT(OFFSET(G298,1,0,Settings!$B$12,1))&lt;ROUNDUP(Settings!$B$12*Settings!$B$26,0),NA(),STDEV(OFFSET(G298,1,0,Settings!$B$12,1))*SQRT(Settings!$B$13)))</f>
        <v/>
      </c>
      <c r="O298" s="20">
        <f>IF(AND(ISNUMBER(E298),ISNUMBER(N298)),E298-N298,NA())</f>
        <v/>
      </c>
      <c r="P298" s="19">
        <f>IF(NOT(ISNUMBER($A298)),NA(),IF(OR($A298&lt;MIN(KW_TP!$A$2:$A$2501),$A298&gt;MAX(KW_TP!$A$2:$A$2501)),NA(),INDEX(KW_TP!$C$2:$C$2501,MATCH($A298,KW_TP!$A$2:$A$2501,1))))</f>
        <v/>
      </c>
      <c r="Q298" s="18">
        <f>IF(NOT(ISNUMBER($A298)),NA(),IFERROR(1*INDEX(BBG_Data!$J$2:$J$4000,MATCH($A298,BBG_Data!$I$2:$I$4000,0)),NA()))</f>
        <v/>
      </c>
      <c r="R298" s="18">
        <f>IF(NOT(ISNUMBER($A298)),NA(),IFERROR(1*INDEX(BBG_Data!$L$2:$L$4000,MATCH($A298,BBG_Data!$K$2:$K$4000,0)),NA()))</f>
        <v/>
      </c>
      <c r="S298" s="20">
        <f>IF(AND(ISNUMBER(B298),ISNUMBER(Q298),ISNUMBER(R298)),(B298-Q298-R298)*100,NA())</f>
        <v/>
      </c>
      <c r="T298" s="20">
        <f>IF(AND(ISNUMBER(B298),Settings!$B$17&gt;0),IF(ISNUMBER(INDEX($B:$B,Settings!$B$17)),(B298-INDEX($B:$B,Settings!$B$17))*100,NA()),NA())</f>
        <v/>
      </c>
      <c r="U298" s="20">
        <f>IF(AND(ISNUMBER(Q298),Settings!$B$17&gt;0),IF(ISNUMBER(INDEX($Q:$Q,Settings!$B$17)),(Q298-INDEX($Q:$Q,Settings!$B$17))*100,NA()),NA())</f>
        <v/>
      </c>
      <c r="V298" s="20">
        <f>IF(AND(ISNUMBER(R298),Settings!$B$17&gt;0),IF(ISNUMBER(INDEX($R:$R,Settings!$B$17)),(R298-INDEX($R:$R,Settings!$B$17))*100,NA()),NA())</f>
        <v/>
      </c>
      <c r="W298" s="20">
        <f>IF(AND(ISNUMBER(P298),Settings!$B$17&gt;0),IF(ISNUMBER(INDEX($P:$P,Settings!$B$17)),P298-INDEX($P:$P,Settings!$B$17),NA()),NA())</f>
        <v/>
      </c>
      <c r="X298" s="19">
        <f>IF(NOT(ISNUMBER($A298)),NA(),IF(OR($A298&lt;MIN(DKW_10Y!$A$2:$A$2918),$A298&gt;MAX(DKW_10Y!$A$2:$A$2918),Settings!$B$16&lt;MIN(DKW_10Y!$A$2:$A$2918)),NA(),(INDEX(DKW_10Y!$B$2:$B$2918,MATCH($A298,DKW_10Y!$A$2:$A$2918,1))-INDEX(DKW_10Y!$B$2:$B$2918,MATCH(Settings!$B$16,DKW_10Y!$A$2:$A$2918,1)))*100))</f>
        <v/>
      </c>
      <c r="Y298" s="19">
        <f>IF(NOT(ISNUMBER($A298)),NA(),IF(OR($A298&lt;MIN(DKW_10Y!$A$2:$A$2918),$A298&gt;MAX(DKW_10Y!$A$2:$A$2918),Settings!$B$16&lt;MIN(DKW_10Y!$A$2:$A$2918)),NA(),(INDEX(DKW_10Y!$C$2:$C$2918,MATCH($A298,DKW_10Y!$A$2:$A$2918,1))-INDEX(DKW_10Y!$C$2:$C$2918,MATCH(Settings!$B$16,DKW_10Y!$A$2:$A$2918,1)))*100))</f>
        <v/>
      </c>
      <c r="Z298" s="19">
        <f>IF(NOT(ISNUMBER($A298)),NA(),IF(OR($A298&lt;MIN(DKW_10Y!$A$2:$A$2918),$A298&gt;MAX(DKW_10Y!$A$2:$A$2918),Settings!$B$16&lt;MIN(DKW_10Y!$A$2:$A$2918)),NA(),(INDEX(DKW_10Y!$D$2:$D$2918,MATCH($A298,DKW_10Y!$A$2:$A$2918,1))-INDEX(DKW_10Y!$D$2:$D$2918,MATCH(Settings!$B$16,DKW_10Y!$A$2:$A$2918,1)))*100))</f>
        <v/>
      </c>
      <c r="AA298" s="19">
        <f>IF(NOT(ISNUMBER($A298)),NA(),IF(OR($A298&lt;MIN(DKW_10Y!$A$2:$A$2918),$A298&gt;MAX(DKW_10Y!$A$2:$A$2918),Settings!$B$16&lt;MIN(DKW_10Y!$A$2:$A$2918)),NA(),(INDEX(DKW_10Y!$E$2:$E$2918,MATCH($A298,DKW_10Y!$A$2:$A$2918,1))-INDEX(DKW_10Y!$E$2:$E$2918,MATCH(Settings!$B$16,DKW_10Y!$A$2:$A$2918,1)))*100))</f>
        <v/>
      </c>
      <c r="AB298" s="19">
        <f>IF(NOT(ISNUMBER($A298)),NA(),IF(OR($A298&lt;MIN(DKW_10Y!$A$2:$A$2918),$A298&gt;MAX(DKW_10Y!$A$2:$A$2918),Settings!$B$16&lt;MIN(DKW_10Y!$A$2:$A$2918)),NA(),(INDEX(DKW_10Y!$H$2:$H$2918,MATCH($A298,DKW_10Y!$A$2:$A$2918,1))-INDEX(DKW_10Y!$H$2:$H$2918,MATCH(Settings!$B$16,DKW_10Y!$A$2:$A$2918,1)))*100))</f>
        <v/>
      </c>
      <c r="AC298" s="18">
        <f>IF(NOT(ISNUMBER($A298)),NA(),IFERROR(1*INDEX(BBG_Data!$N$2:$N$4000,MATCH($A298,BBG_Data!$M$2:$M$4000,0)),NA()))</f>
        <v/>
      </c>
      <c r="AD298" s="18">
        <f>IF(NOT(ISNUMBER($A298)),NA(),IFERROR(1*INDEX(BBG_Data!$P$2:$P$4000,MATCH($A298,BBG_Data!$O$2:$O$4000,0)),NA()))</f>
        <v/>
      </c>
      <c r="AE298" s="18">
        <f>IF(NOT(ISNUMBER($A298)),NA(),IFERROR(1*INDEX(BBG_Data!$R$2:$R$4000,MATCH($A298,BBG_Data!$Q$2:$Q$4000,0)),NA()))</f>
        <v/>
      </c>
      <c r="AF298" s="20">
        <f>IF(AND(ISNUMBER(B298),ISNUMBER(AC298)),(B298-AC298)*100,NA())</f>
        <v/>
      </c>
      <c r="AG298" s="20">
        <f>IF(AND(ISNUMBER(AE298),ISNUMBER(AD298)),(AE298-AD298)*100,NA())</f>
        <v/>
      </c>
      <c r="AH298" s="19">
        <f>IF(NOT(ISNUMBER($A298)),NA(),IFERROR(INDEX(BBG_Data!$T$2:$T$4000,MATCH($A298,BBG_Data!$S$2:$S$4000,0))*Settings!$B$25,NA()))</f>
        <v/>
      </c>
      <c r="AI298" s="19">
        <f>IF(NOT(ISNUMBER($A298)),NA(),IFERROR(INDEX(BBG_Data!$V$2:$V$4000,MATCH($A298,BBG_Data!$U$2:$U$4000,0))*Settings!$B$25,NA()))</f>
        <v/>
      </c>
      <c r="AJ298" s="19">
        <f>IF(NOT(ISNUMBER($A298)),NA(),IFERROR(1*INDEX(BBG_Data!$X$2:$X$4000,MATCH($A298,BBG_Data!$W$2:$W$4000,0)),NA()))</f>
        <v/>
      </c>
      <c r="AK298" s="19">
        <f>IF(NOT(ISNUMBER($A298)),NA(),IFERROR(1*INDEX(BBG_Data!$Z$2:$Z$4000,MATCH($A298,BBG_Data!$Y$2:$Y$4000,0)),NA()))</f>
        <v/>
      </c>
    </row>
    <row r="299">
      <c r="A299" s="17">
        <f>IF(ISNUMBER(BBG_Data!A299),BBG_Data!A299,"")</f>
        <v/>
      </c>
      <c r="B299" s="18">
        <f>IF(AND(ISNUMBER($A299),ISNUMBER(BBG_Data!B299)),BBG_Data!B299,NA())</f>
        <v/>
      </c>
      <c r="C299" s="18">
        <f>IF(NOT(ISNUMBER($A299)),NA(),IFERROR(1*INDEX(BBG_Data!$D$2:$D$4000,MATCH($A299,BBG_Data!$C$2:$C$4000,0)),NA()))</f>
        <v/>
      </c>
      <c r="D299" s="19">
        <f>IF(NOT(ISNUMBER($A299)),NA(),IFERROR(1*INDEX(BBG_Data!$F$2:$F$4000,MATCH($A299,BBG_Data!$E$2:$E$4000,0)),NA()))</f>
        <v/>
      </c>
      <c r="E299" s="19">
        <f>IF(NOT(ISNUMBER($A299)),NA(),IFERROR(1*INDEX(BBG_Data!$H$2:$H$4000,MATCH($A299,BBG_Data!$G$2:$G$4000,0)),NA()))</f>
        <v/>
      </c>
      <c r="F299" s="20">
        <f>IF(AND(ISNUMBER(B299),ISNUMBER(B298)),IF(B299=B298,"",(B299-B298)*100),"")</f>
        <v/>
      </c>
      <c r="G299" s="20">
        <f>IF(AND(ISNUMBER(C299),ISNUMBER(C298)),IF(C299=C298,"",(C299-C298)*100),"")</f>
        <v/>
      </c>
      <c r="H299" s="20">
        <f>IF(OR(NOT(ISNUMBER($A299)),ROW()-2&lt;Settings!$B$11),NA(),IF(COUNT(OFFSET(F299,1-Settings!$B$11,0,Settings!$B$11,1))&lt;ROUNDUP(Settings!$B$11*Settings!$B$26,0),NA(),STDEV(OFFSET(F299,1-Settings!$B$11,0,Settings!$B$11,1))*SQRT(Settings!$B$13)))</f>
        <v/>
      </c>
      <c r="I299" s="20">
        <f>IF(OR(NOT(ISNUMBER($A299)),ROW()-2&lt;Settings!$B$12),NA(),IF(COUNT(OFFSET(F299,1-Settings!$B$12,0,Settings!$B$12,1))&lt;ROUNDUP(Settings!$B$12*Settings!$B$26,0),NA(),STDEV(OFFSET(F299,1-Settings!$B$12,0,Settings!$B$12,1))*SQRT(Settings!$B$13)))</f>
        <v/>
      </c>
      <c r="J299" s="20">
        <f>IF(OR(NOT(ISNUMBER($A299)),ROW()-2&lt;Settings!$B$11),NA(),IF(COUNT(OFFSET(G299,1-Settings!$B$11,0,Settings!$B$11,1))&lt;ROUNDUP(Settings!$B$11*Settings!$B$26,0),NA(),STDEV(OFFSET(G299,1-Settings!$B$11,0,Settings!$B$11,1))*SQRT(Settings!$B$13)))</f>
        <v/>
      </c>
      <c r="K299" s="20">
        <f>IF(OR(NOT(ISNUMBER($A299)),ROW()-2&lt;Settings!$B$12),NA(),IF(COUNT(OFFSET(G299,1-Settings!$B$12,0,Settings!$B$12,1))&lt;ROUNDUP(Settings!$B$12*Settings!$B$26,0),NA(),STDEV(OFFSET(G299,1-Settings!$B$12,0,Settings!$B$12,1))*SQRT(Settings!$B$13)))</f>
        <v/>
      </c>
      <c r="L299" s="20">
        <f>IF(AND(ISNUMBER(D299),ISNUMBER(H299)),D299-H299,NA())</f>
        <v/>
      </c>
      <c r="M299" s="20">
        <f>IF(AND(ISNUMBER(E299),ISNUMBER(K299)),E299-K299,NA())</f>
        <v/>
      </c>
      <c r="N299" s="20">
        <f>IF(NOT(ISNUMBER($A299)),NA(),IF(COUNT(OFFSET(G299,1,0,Settings!$B$12,1))&lt;ROUNDUP(Settings!$B$12*Settings!$B$26,0),NA(),STDEV(OFFSET(G299,1,0,Settings!$B$12,1))*SQRT(Settings!$B$13)))</f>
        <v/>
      </c>
      <c r="O299" s="20">
        <f>IF(AND(ISNUMBER(E299),ISNUMBER(N299)),E299-N299,NA())</f>
        <v/>
      </c>
      <c r="P299" s="19">
        <f>IF(NOT(ISNUMBER($A299)),NA(),IF(OR($A299&lt;MIN(KW_TP!$A$2:$A$2501),$A299&gt;MAX(KW_TP!$A$2:$A$2501)),NA(),INDEX(KW_TP!$C$2:$C$2501,MATCH($A299,KW_TP!$A$2:$A$2501,1))))</f>
        <v/>
      </c>
      <c r="Q299" s="18">
        <f>IF(NOT(ISNUMBER($A299)),NA(),IFERROR(1*INDEX(BBG_Data!$J$2:$J$4000,MATCH($A299,BBG_Data!$I$2:$I$4000,0)),NA()))</f>
        <v/>
      </c>
      <c r="R299" s="18">
        <f>IF(NOT(ISNUMBER($A299)),NA(),IFERROR(1*INDEX(BBG_Data!$L$2:$L$4000,MATCH($A299,BBG_Data!$K$2:$K$4000,0)),NA()))</f>
        <v/>
      </c>
      <c r="S299" s="20">
        <f>IF(AND(ISNUMBER(B299),ISNUMBER(Q299),ISNUMBER(R299)),(B299-Q299-R299)*100,NA())</f>
        <v/>
      </c>
      <c r="T299" s="20">
        <f>IF(AND(ISNUMBER(B299),Settings!$B$17&gt;0),IF(ISNUMBER(INDEX($B:$B,Settings!$B$17)),(B299-INDEX($B:$B,Settings!$B$17))*100,NA()),NA())</f>
        <v/>
      </c>
      <c r="U299" s="20">
        <f>IF(AND(ISNUMBER(Q299),Settings!$B$17&gt;0),IF(ISNUMBER(INDEX($Q:$Q,Settings!$B$17)),(Q299-INDEX($Q:$Q,Settings!$B$17))*100,NA()),NA())</f>
        <v/>
      </c>
      <c r="V299" s="20">
        <f>IF(AND(ISNUMBER(R299),Settings!$B$17&gt;0),IF(ISNUMBER(INDEX($R:$R,Settings!$B$17)),(R299-INDEX($R:$R,Settings!$B$17))*100,NA()),NA())</f>
        <v/>
      </c>
      <c r="W299" s="20">
        <f>IF(AND(ISNUMBER(P299),Settings!$B$17&gt;0),IF(ISNUMBER(INDEX($P:$P,Settings!$B$17)),P299-INDEX($P:$P,Settings!$B$17),NA()),NA())</f>
        <v/>
      </c>
      <c r="X299" s="19">
        <f>IF(NOT(ISNUMBER($A299)),NA(),IF(OR($A299&lt;MIN(DKW_10Y!$A$2:$A$2918),$A299&gt;MAX(DKW_10Y!$A$2:$A$2918),Settings!$B$16&lt;MIN(DKW_10Y!$A$2:$A$2918)),NA(),(INDEX(DKW_10Y!$B$2:$B$2918,MATCH($A299,DKW_10Y!$A$2:$A$2918,1))-INDEX(DKW_10Y!$B$2:$B$2918,MATCH(Settings!$B$16,DKW_10Y!$A$2:$A$2918,1)))*100))</f>
        <v/>
      </c>
      <c r="Y299" s="19">
        <f>IF(NOT(ISNUMBER($A299)),NA(),IF(OR($A299&lt;MIN(DKW_10Y!$A$2:$A$2918),$A299&gt;MAX(DKW_10Y!$A$2:$A$2918),Settings!$B$16&lt;MIN(DKW_10Y!$A$2:$A$2918)),NA(),(INDEX(DKW_10Y!$C$2:$C$2918,MATCH($A299,DKW_10Y!$A$2:$A$2918,1))-INDEX(DKW_10Y!$C$2:$C$2918,MATCH(Settings!$B$16,DKW_10Y!$A$2:$A$2918,1)))*100))</f>
        <v/>
      </c>
      <c r="Z299" s="19">
        <f>IF(NOT(ISNUMBER($A299)),NA(),IF(OR($A299&lt;MIN(DKW_10Y!$A$2:$A$2918),$A299&gt;MAX(DKW_10Y!$A$2:$A$2918),Settings!$B$16&lt;MIN(DKW_10Y!$A$2:$A$2918)),NA(),(INDEX(DKW_10Y!$D$2:$D$2918,MATCH($A299,DKW_10Y!$A$2:$A$2918,1))-INDEX(DKW_10Y!$D$2:$D$2918,MATCH(Settings!$B$16,DKW_10Y!$A$2:$A$2918,1)))*100))</f>
        <v/>
      </c>
      <c r="AA299" s="19">
        <f>IF(NOT(ISNUMBER($A299)),NA(),IF(OR($A299&lt;MIN(DKW_10Y!$A$2:$A$2918),$A299&gt;MAX(DKW_10Y!$A$2:$A$2918),Settings!$B$16&lt;MIN(DKW_10Y!$A$2:$A$2918)),NA(),(INDEX(DKW_10Y!$E$2:$E$2918,MATCH($A299,DKW_10Y!$A$2:$A$2918,1))-INDEX(DKW_10Y!$E$2:$E$2918,MATCH(Settings!$B$16,DKW_10Y!$A$2:$A$2918,1)))*100))</f>
        <v/>
      </c>
      <c r="AB299" s="19">
        <f>IF(NOT(ISNUMBER($A299)),NA(),IF(OR($A299&lt;MIN(DKW_10Y!$A$2:$A$2918),$A299&gt;MAX(DKW_10Y!$A$2:$A$2918),Settings!$B$16&lt;MIN(DKW_10Y!$A$2:$A$2918)),NA(),(INDEX(DKW_10Y!$H$2:$H$2918,MATCH($A299,DKW_10Y!$A$2:$A$2918,1))-INDEX(DKW_10Y!$H$2:$H$2918,MATCH(Settings!$B$16,DKW_10Y!$A$2:$A$2918,1)))*100))</f>
        <v/>
      </c>
      <c r="AC299" s="18">
        <f>IF(NOT(ISNUMBER($A299)),NA(),IFERROR(1*INDEX(BBG_Data!$N$2:$N$4000,MATCH($A299,BBG_Data!$M$2:$M$4000,0)),NA()))</f>
        <v/>
      </c>
      <c r="AD299" s="18">
        <f>IF(NOT(ISNUMBER($A299)),NA(),IFERROR(1*INDEX(BBG_Data!$P$2:$P$4000,MATCH($A299,BBG_Data!$O$2:$O$4000,0)),NA()))</f>
        <v/>
      </c>
      <c r="AE299" s="18">
        <f>IF(NOT(ISNUMBER($A299)),NA(),IFERROR(1*INDEX(BBG_Data!$R$2:$R$4000,MATCH($A299,BBG_Data!$Q$2:$Q$4000,0)),NA()))</f>
        <v/>
      </c>
      <c r="AF299" s="20">
        <f>IF(AND(ISNUMBER(B299),ISNUMBER(AC299)),(B299-AC299)*100,NA())</f>
        <v/>
      </c>
      <c r="AG299" s="20">
        <f>IF(AND(ISNUMBER(AE299),ISNUMBER(AD299)),(AE299-AD299)*100,NA())</f>
        <v/>
      </c>
      <c r="AH299" s="19">
        <f>IF(NOT(ISNUMBER($A299)),NA(),IFERROR(INDEX(BBG_Data!$T$2:$T$4000,MATCH($A299,BBG_Data!$S$2:$S$4000,0))*Settings!$B$25,NA()))</f>
        <v/>
      </c>
      <c r="AI299" s="19">
        <f>IF(NOT(ISNUMBER($A299)),NA(),IFERROR(INDEX(BBG_Data!$V$2:$V$4000,MATCH($A299,BBG_Data!$U$2:$U$4000,0))*Settings!$B$25,NA()))</f>
        <v/>
      </c>
      <c r="AJ299" s="19">
        <f>IF(NOT(ISNUMBER($A299)),NA(),IFERROR(1*INDEX(BBG_Data!$X$2:$X$4000,MATCH($A299,BBG_Data!$W$2:$W$4000,0)),NA()))</f>
        <v/>
      </c>
      <c r="AK299" s="19">
        <f>IF(NOT(ISNUMBER($A299)),NA(),IFERROR(1*INDEX(BBG_Data!$Z$2:$Z$4000,MATCH($A299,BBG_Data!$Y$2:$Y$4000,0)),NA()))</f>
        <v/>
      </c>
    </row>
    <row r="300">
      <c r="A300" s="17">
        <f>IF(ISNUMBER(BBG_Data!A300),BBG_Data!A300,"")</f>
        <v/>
      </c>
      <c r="B300" s="18">
        <f>IF(AND(ISNUMBER($A300),ISNUMBER(BBG_Data!B300)),BBG_Data!B300,NA())</f>
        <v/>
      </c>
      <c r="C300" s="18">
        <f>IF(NOT(ISNUMBER($A300)),NA(),IFERROR(1*INDEX(BBG_Data!$D$2:$D$4000,MATCH($A300,BBG_Data!$C$2:$C$4000,0)),NA()))</f>
        <v/>
      </c>
      <c r="D300" s="19">
        <f>IF(NOT(ISNUMBER($A300)),NA(),IFERROR(1*INDEX(BBG_Data!$F$2:$F$4000,MATCH($A300,BBG_Data!$E$2:$E$4000,0)),NA()))</f>
        <v/>
      </c>
      <c r="E300" s="19">
        <f>IF(NOT(ISNUMBER($A300)),NA(),IFERROR(1*INDEX(BBG_Data!$H$2:$H$4000,MATCH($A300,BBG_Data!$G$2:$G$4000,0)),NA()))</f>
        <v/>
      </c>
      <c r="F300" s="20">
        <f>IF(AND(ISNUMBER(B300),ISNUMBER(B299)),IF(B300=B299,"",(B300-B299)*100),"")</f>
        <v/>
      </c>
      <c r="G300" s="20">
        <f>IF(AND(ISNUMBER(C300),ISNUMBER(C299)),IF(C300=C299,"",(C300-C299)*100),"")</f>
        <v/>
      </c>
      <c r="H300" s="20">
        <f>IF(OR(NOT(ISNUMBER($A300)),ROW()-2&lt;Settings!$B$11),NA(),IF(COUNT(OFFSET(F300,1-Settings!$B$11,0,Settings!$B$11,1))&lt;ROUNDUP(Settings!$B$11*Settings!$B$26,0),NA(),STDEV(OFFSET(F300,1-Settings!$B$11,0,Settings!$B$11,1))*SQRT(Settings!$B$13)))</f>
        <v/>
      </c>
      <c r="I300" s="20">
        <f>IF(OR(NOT(ISNUMBER($A300)),ROW()-2&lt;Settings!$B$12),NA(),IF(COUNT(OFFSET(F300,1-Settings!$B$12,0,Settings!$B$12,1))&lt;ROUNDUP(Settings!$B$12*Settings!$B$26,0),NA(),STDEV(OFFSET(F300,1-Settings!$B$12,0,Settings!$B$12,1))*SQRT(Settings!$B$13)))</f>
        <v/>
      </c>
      <c r="J300" s="20">
        <f>IF(OR(NOT(ISNUMBER($A300)),ROW()-2&lt;Settings!$B$11),NA(),IF(COUNT(OFFSET(G300,1-Settings!$B$11,0,Settings!$B$11,1))&lt;ROUNDUP(Settings!$B$11*Settings!$B$26,0),NA(),STDEV(OFFSET(G300,1-Settings!$B$11,0,Settings!$B$11,1))*SQRT(Settings!$B$13)))</f>
        <v/>
      </c>
      <c r="K300" s="20">
        <f>IF(OR(NOT(ISNUMBER($A300)),ROW()-2&lt;Settings!$B$12),NA(),IF(COUNT(OFFSET(G300,1-Settings!$B$12,0,Settings!$B$12,1))&lt;ROUNDUP(Settings!$B$12*Settings!$B$26,0),NA(),STDEV(OFFSET(G300,1-Settings!$B$12,0,Settings!$B$12,1))*SQRT(Settings!$B$13)))</f>
        <v/>
      </c>
      <c r="L300" s="20">
        <f>IF(AND(ISNUMBER(D300),ISNUMBER(H300)),D300-H300,NA())</f>
        <v/>
      </c>
      <c r="M300" s="20">
        <f>IF(AND(ISNUMBER(E300),ISNUMBER(K300)),E300-K300,NA())</f>
        <v/>
      </c>
      <c r="N300" s="20">
        <f>IF(NOT(ISNUMBER($A300)),NA(),IF(COUNT(OFFSET(G300,1,0,Settings!$B$12,1))&lt;ROUNDUP(Settings!$B$12*Settings!$B$26,0),NA(),STDEV(OFFSET(G300,1,0,Settings!$B$12,1))*SQRT(Settings!$B$13)))</f>
        <v/>
      </c>
      <c r="O300" s="20">
        <f>IF(AND(ISNUMBER(E300),ISNUMBER(N300)),E300-N300,NA())</f>
        <v/>
      </c>
      <c r="P300" s="19">
        <f>IF(NOT(ISNUMBER($A300)),NA(),IF(OR($A300&lt;MIN(KW_TP!$A$2:$A$2501),$A300&gt;MAX(KW_TP!$A$2:$A$2501)),NA(),INDEX(KW_TP!$C$2:$C$2501,MATCH($A300,KW_TP!$A$2:$A$2501,1))))</f>
        <v/>
      </c>
      <c r="Q300" s="18">
        <f>IF(NOT(ISNUMBER($A300)),NA(),IFERROR(1*INDEX(BBG_Data!$J$2:$J$4000,MATCH($A300,BBG_Data!$I$2:$I$4000,0)),NA()))</f>
        <v/>
      </c>
      <c r="R300" s="18">
        <f>IF(NOT(ISNUMBER($A300)),NA(),IFERROR(1*INDEX(BBG_Data!$L$2:$L$4000,MATCH($A300,BBG_Data!$K$2:$K$4000,0)),NA()))</f>
        <v/>
      </c>
      <c r="S300" s="20">
        <f>IF(AND(ISNUMBER(B300),ISNUMBER(Q300),ISNUMBER(R300)),(B300-Q300-R300)*100,NA())</f>
        <v/>
      </c>
      <c r="T300" s="20">
        <f>IF(AND(ISNUMBER(B300),Settings!$B$17&gt;0),IF(ISNUMBER(INDEX($B:$B,Settings!$B$17)),(B300-INDEX($B:$B,Settings!$B$17))*100,NA()),NA())</f>
        <v/>
      </c>
      <c r="U300" s="20">
        <f>IF(AND(ISNUMBER(Q300),Settings!$B$17&gt;0),IF(ISNUMBER(INDEX($Q:$Q,Settings!$B$17)),(Q300-INDEX($Q:$Q,Settings!$B$17))*100,NA()),NA())</f>
        <v/>
      </c>
      <c r="V300" s="20">
        <f>IF(AND(ISNUMBER(R300),Settings!$B$17&gt;0),IF(ISNUMBER(INDEX($R:$R,Settings!$B$17)),(R300-INDEX($R:$R,Settings!$B$17))*100,NA()),NA())</f>
        <v/>
      </c>
      <c r="W300" s="20">
        <f>IF(AND(ISNUMBER(P300),Settings!$B$17&gt;0),IF(ISNUMBER(INDEX($P:$P,Settings!$B$17)),P300-INDEX($P:$P,Settings!$B$17),NA()),NA())</f>
        <v/>
      </c>
      <c r="X300" s="19">
        <f>IF(NOT(ISNUMBER($A300)),NA(),IF(OR($A300&lt;MIN(DKW_10Y!$A$2:$A$2918),$A300&gt;MAX(DKW_10Y!$A$2:$A$2918),Settings!$B$16&lt;MIN(DKW_10Y!$A$2:$A$2918)),NA(),(INDEX(DKW_10Y!$B$2:$B$2918,MATCH($A300,DKW_10Y!$A$2:$A$2918,1))-INDEX(DKW_10Y!$B$2:$B$2918,MATCH(Settings!$B$16,DKW_10Y!$A$2:$A$2918,1)))*100))</f>
        <v/>
      </c>
      <c r="Y300" s="19">
        <f>IF(NOT(ISNUMBER($A300)),NA(),IF(OR($A300&lt;MIN(DKW_10Y!$A$2:$A$2918),$A300&gt;MAX(DKW_10Y!$A$2:$A$2918),Settings!$B$16&lt;MIN(DKW_10Y!$A$2:$A$2918)),NA(),(INDEX(DKW_10Y!$C$2:$C$2918,MATCH($A300,DKW_10Y!$A$2:$A$2918,1))-INDEX(DKW_10Y!$C$2:$C$2918,MATCH(Settings!$B$16,DKW_10Y!$A$2:$A$2918,1)))*100))</f>
        <v/>
      </c>
      <c r="Z300" s="19">
        <f>IF(NOT(ISNUMBER($A300)),NA(),IF(OR($A300&lt;MIN(DKW_10Y!$A$2:$A$2918),$A300&gt;MAX(DKW_10Y!$A$2:$A$2918),Settings!$B$16&lt;MIN(DKW_10Y!$A$2:$A$2918)),NA(),(INDEX(DKW_10Y!$D$2:$D$2918,MATCH($A300,DKW_10Y!$A$2:$A$2918,1))-INDEX(DKW_10Y!$D$2:$D$2918,MATCH(Settings!$B$16,DKW_10Y!$A$2:$A$2918,1)))*100))</f>
        <v/>
      </c>
      <c r="AA300" s="19">
        <f>IF(NOT(ISNUMBER($A300)),NA(),IF(OR($A300&lt;MIN(DKW_10Y!$A$2:$A$2918),$A300&gt;MAX(DKW_10Y!$A$2:$A$2918),Settings!$B$16&lt;MIN(DKW_10Y!$A$2:$A$2918)),NA(),(INDEX(DKW_10Y!$E$2:$E$2918,MATCH($A300,DKW_10Y!$A$2:$A$2918,1))-INDEX(DKW_10Y!$E$2:$E$2918,MATCH(Settings!$B$16,DKW_10Y!$A$2:$A$2918,1)))*100))</f>
        <v/>
      </c>
      <c r="AB300" s="19">
        <f>IF(NOT(ISNUMBER($A300)),NA(),IF(OR($A300&lt;MIN(DKW_10Y!$A$2:$A$2918),$A300&gt;MAX(DKW_10Y!$A$2:$A$2918),Settings!$B$16&lt;MIN(DKW_10Y!$A$2:$A$2918)),NA(),(INDEX(DKW_10Y!$H$2:$H$2918,MATCH($A300,DKW_10Y!$A$2:$A$2918,1))-INDEX(DKW_10Y!$H$2:$H$2918,MATCH(Settings!$B$16,DKW_10Y!$A$2:$A$2918,1)))*100))</f>
        <v/>
      </c>
      <c r="AC300" s="18">
        <f>IF(NOT(ISNUMBER($A300)),NA(),IFERROR(1*INDEX(BBG_Data!$N$2:$N$4000,MATCH($A300,BBG_Data!$M$2:$M$4000,0)),NA()))</f>
        <v/>
      </c>
      <c r="AD300" s="18">
        <f>IF(NOT(ISNUMBER($A300)),NA(),IFERROR(1*INDEX(BBG_Data!$P$2:$P$4000,MATCH($A300,BBG_Data!$O$2:$O$4000,0)),NA()))</f>
        <v/>
      </c>
      <c r="AE300" s="18">
        <f>IF(NOT(ISNUMBER($A300)),NA(),IFERROR(1*INDEX(BBG_Data!$R$2:$R$4000,MATCH($A300,BBG_Data!$Q$2:$Q$4000,0)),NA()))</f>
        <v/>
      </c>
      <c r="AF300" s="20">
        <f>IF(AND(ISNUMBER(B300),ISNUMBER(AC300)),(B300-AC300)*100,NA())</f>
        <v/>
      </c>
      <c r="AG300" s="20">
        <f>IF(AND(ISNUMBER(AE300),ISNUMBER(AD300)),(AE300-AD300)*100,NA())</f>
        <v/>
      </c>
      <c r="AH300" s="19">
        <f>IF(NOT(ISNUMBER($A300)),NA(),IFERROR(INDEX(BBG_Data!$T$2:$T$4000,MATCH($A300,BBG_Data!$S$2:$S$4000,0))*Settings!$B$25,NA()))</f>
        <v/>
      </c>
      <c r="AI300" s="19">
        <f>IF(NOT(ISNUMBER($A300)),NA(),IFERROR(INDEX(BBG_Data!$V$2:$V$4000,MATCH($A300,BBG_Data!$U$2:$U$4000,0))*Settings!$B$25,NA()))</f>
        <v/>
      </c>
      <c r="AJ300" s="19">
        <f>IF(NOT(ISNUMBER($A300)),NA(),IFERROR(1*INDEX(BBG_Data!$X$2:$X$4000,MATCH($A300,BBG_Data!$W$2:$W$4000,0)),NA()))</f>
        <v/>
      </c>
      <c r="AK300" s="19">
        <f>IF(NOT(ISNUMBER($A300)),NA(),IFERROR(1*INDEX(BBG_Data!$Z$2:$Z$4000,MATCH($A300,BBG_Data!$Y$2:$Y$4000,0)),NA()))</f>
        <v/>
      </c>
    </row>
    <row r="301">
      <c r="A301" s="17">
        <f>IF(ISNUMBER(BBG_Data!A301),BBG_Data!A301,"")</f>
        <v/>
      </c>
      <c r="B301" s="18">
        <f>IF(AND(ISNUMBER($A301),ISNUMBER(BBG_Data!B301)),BBG_Data!B301,NA())</f>
        <v/>
      </c>
      <c r="C301" s="18">
        <f>IF(NOT(ISNUMBER($A301)),NA(),IFERROR(1*INDEX(BBG_Data!$D$2:$D$4000,MATCH($A301,BBG_Data!$C$2:$C$4000,0)),NA()))</f>
        <v/>
      </c>
      <c r="D301" s="19">
        <f>IF(NOT(ISNUMBER($A301)),NA(),IFERROR(1*INDEX(BBG_Data!$F$2:$F$4000,MATCH($A301,BBG_Data!$E$2:$E$4000,0)),NA()))</f>
        <v/>
      </c>
      <c r="E301" s="19">
        <f>IF(NOT(ISNUMBER($A301)),NA(),IFERROR(1*INDEX(BBG_Data!$H$2:$H$4000,MATCH($A301,BBG_Data!$G$2:$G$4000,0)),NA()))</f>
        <v/>
      </c>
      <c r="F301" s="20">
        <f>IF(AND(ISNUMBER(B301),ISNUMBER(B300)),IF(B301=B300,"",(B301-B300)*100),"")</f>
        <v/>
      </c>
      <c r="G301" s="20">
        <f>IF(AND(ISNUMBER(C301),ISNUMBER(C300)),IF(C301=C300,"",(C301-C300)*100),"")</f>
        <v/>
      </c>
      <c r="H301" s="20">
        <f>IF(OR(NOT(ISNUMBER($A301)),ROW()-2&lt;Settings!$B$11),NA(),IF(COUNT(OFFSET(F301,1-Settings!$B$11,0,Settings!$B$11,1))&lt;ROUNDUP(Settings!$B$11*Settings!$B$26,0),NA(),STDEV(OFFSET(F301,1-Settings!$B$11,0,Settings!$B$11,1))*SQRT(Settings!$B$13)))</f>
        <v/>
      </c>
      <c r="I301" s="20">
        <f>IF(OR(NOT(ISNUMBER($A301)),ROW()-2&lt;Settings!$B$12),NA(),IF(COUNT(OFFSET(F301,1-Settings!$B$12,0,Settings!$B$12,1))&lt;ROUNDUP(Settings!$B$12*Settings!$B$26,0),NA(),STDEV(OFFSET(F301,1-Settings!$B$12,0,Settings!$B$12,1))*SQRT(Settings!$B$13)))</f>
        <v/>
      </c>
      <c r="J301" s="20">
        <f>IF(OR(NOT(ISNUMBER($A301)),ROW()-2&lt;Settings!$B$11),NA(),IF(COUNT(OFFSET(G301,1-Settings!$B$11,0,Settings!$B$11,1))&lt;ROUNDUP(Settings!$B$11*Settings!$B$26,0),NA(),STDEV(OFFSET(G301,1-Settings!$B$11,0,Settings!$B$11,1))*SQRT(Settings!$B$13)))</f>
        <v/>
      </c>
      <c r="K301" s="20">
        <f>IF(OR(NOT(ISNUMBER($A301)),ROW()-2&lt;Settings!$B$12),NA(),IF(COUNT(OFFSET(G301,1-Settings!$B$12,0,Settings!$B$12,1))&lt;ROUNDUP(Settings!$B$12*Settings!$B$26,0),NA(),STDEV(OFFSET(G301,1-Settings!$B$12,0,Settings!$B$12,1))*SQRT(Settings!$B$13)))</f>
        <v/>
      </c>
      <c r="L301" s="20">
        <f>IF(AND(ISNUMBER(D301),ISNUMBER(H301)),D301-H301,NA())</f>
        <v/>
      </c>
      <c r="M301" s="20">
        <f>IF(AND(ISNUMBER(E301),ISNUMBER(K301)),E301-K301,NA())</f>
        <v/>
      </c>
      <c r="N301" s="20">
        <f>IF(NOT(ISNUMBER($A301)),NA(),IF(COUNT(OFFSET(G301,1,0,Settings!$B$12,1))&lt;ROUNDUP(Settings!$B$12*Settings!$B$26,0),NA(),STDEV(OFFSET(G301,1,0,Settings!$B$12,1))*SQRT(Settings!$B$13)))</f>
        <v/>
      </c>
      <c r="O301" s="20">
        <f>IF(AND(ISNUMBER(E301),ISNUMBER(N301)),E301-N301,NA())</f>
        <v/>
      </c>
      <c r="P301" s="19">
        <f>IF(NOT(ISNUMBER($A301)),NA(),IF(OR($A301&lt;MIN(KW_TP!$A$2:$A$2501),$A301&gt;MAX(KW_TP!$A$2:$A$2501)),NA(),INDEX(KW_TP!$C$2:$C$2501,MATCH($A301,KW_TP!$A$2:$A$2501,1))))</f>
        <v/>
      </c>
      <c r="Q301" s="18">
        <f>IF(NOT(ISNUMBER($A301)),NA(),IFERROR(1*INDEX(BBG_Data!$J$2:$J$4000,MATCH($A301,BBG_Data!$I$2:$I$4000,0)),NA()))</f>
        <v/>
      </c>
      <c r="R301" s="18">
        <f>IF(NOT(ISNUMBER($A301)),NA(),IFERROR(1*INDEX(BBG_Data!$L$2:$L$4000,MATCH($A301,BBG_Data!$K$2:$K$4000,0)),NA()))</f>
        <v/>
      </c>
      <c r="S301" s="20">
        <f>IF(AND(ISNUMBER(B301),ISNUMBER(Q301),ISNUMBER(R301)),(B301-Q301-R301)*100,NA())</f>
        <v/>
      </c>
      <c r="T301" s="20">
        <f>IF(AND(ISNUMBER(B301),Settings!$B$17&gt;0),IF(ISNUMBER(INDEX($B:$B,Settings!$B$17)),(B301-INDEX($B:$B,Settings!$B$17))*100,NA()),NA())</f>
        <v/>
      </c>
      <c r="U301" s="20">
        <f>IF(AND(ISNUMBER(Q301),Settings!$B$17&gt;0),IF(ISNUMBER(INDEX($Q:$Q,Settings!$B$17)),(Q301-INDEX($Q:$Q,Settings!$B$17))*100,NA()),NA())</f>
        <v/>
      </c>
      <c r="V301" s="20">
        <f>IF(AND(ISNUMBER(R301),Settings!$B$17&gt;0),IF(ISNUMBER(INDEX($R:$R,Settings!$B$17)),(R301-INDEX($R:$R,Settings!$B$17))*100,NA()),NA())</f>
        <v/>
      </c>
      <c r="W301" s="20">
        <f>IF(AND(ISNUMBER(P301),Settings!$B$17&gt;0),IF(ISNUMBER(INDEX($P:$P,Settings!$B$17)),P301-INDEX($P:$P,Settings!$B$17),NA()),NA())</f>
        <v/>
      </c>
      <c r="X301" s="19">
        <f>IF(NOT(ISNUMBER($A301)),NA(),IF(OR($A301&lt;MIN(DKW_10Y!$A$2:$A$2918),$A301&gt;MAX(DKW_10Y!$A$2:$A$2918),Settings!$B$16&lt;MIN(DKW_10Y!$A$2:$A$2918)),NA(),(INDEX(DKW_10Y!$B$2:$B$2918,MATCH($A301,DKW_10Y!$A$2:$A$2918,1))-INDEX(DKW_10Y!$B$2:$B$2918,MATCH(Settings!$B$16,DKW_10Y!$A$2:$A$2918,1)))*100))</f>
        <v/>
      </c>
      <c r="Y301" s="19">
        <f>IF(NOT(ISNUMBER($A301)),NA(),IF(OR($A301&lt;MIN(DKW_10Y!$A$2:$A$2918),$A301&gt;MAX(DKW_10Y!$A$2:$A$2918),Settings!$B$16&lt;MIN(DKW_10Y!$A$2:$A$2918)),NA(),(INDEX(DKW_10Y!$C$2:$C$2918,MATCH($A301,DKW_10Y!$A$2:$A$2918,1))-INDEX(DKW_10Y!$C$2:$C$2918,MATCH(Settings!$B$16,DKW_10Y!$A$2:$A$2918,1)))*100))</f>
        <v/>
      </c>
      <c r="Z301" s="19">
        <f>IF(NOT(ISNUMBER($A301)),NA(),IF(OR($A301&lt;MIN(DKW_10Y!$A$2:$A$2918),$A301&gt;MAX(DKW_10Y!$A$2:$A$2918),Settings!$B$16&lt;MIN(DKW_10Y!$A$2:$A$2918)),NA(),(INDEX(DKW_10Y!$D$2:$D$2918,MATCH($A301,DKW_10Y!$A$2:$A$2918,1))-INDEX(DKW_10Y!$D$2:$D$2918,MATCH(Settings!$B$16,DKW_10Y!$A$2:$A$2918,1)))*100))</f>
        <v/>
      </c>
      <c r="AA301" s="19">
        <f>IF(NOT(ISNUMBER($A301)),NA(),IF(OR($A301&lt;MIN(DKW_10Y!$A$2:$A$2918),$A301&gt;MAX(DKW_10Y!$A$2:$A$2918),Settings!$B$16&lt;MIN(DKW_10Y!$A$2:$A$2918)),NA(),(INDEX(DKW_10Y!$E$2:$E$2918,MATCH($A301,DKW_10Y!$A$2:$A$2918,1))-INDEX(DKW_10Y!$E$2:$E$2918,MATCH(Settings!$B$16,DKW_10Y!$A$2:$A$2918,1)))*100))</f>
        <v/>
      </c>
      <c r="AB301" s="19">
        <f>IF(NOT(ISNUMBER($A301)),NA(),IF(OR($A301&lt;MIN(DKW_10Y!$A$2:$A$2918),$A301&gt;MAX(DKW_10Y!$A$2:$A$2918),Settings!$B$16&lt;MIN(DKW_10Y!$A$2:$A$2918)),NA(),(INDEX(DKW_10Y!$H$2:$H$2918,MATCH($A301,DKW_10Y!$A$2:$A$2918,1))-INDEX(DKW_10Y!$H$2:$H$2918,MATCH(Settings!$B$16,DKW_10Y!$A$2:$A$2918,1)))*100))</f>
        <v/>
      </c>
      <c r="AC301" s="18">
        <f>IF(NOT(ISNUMBER($A301)),NA(),IFERROR(1*INDEX(BBG_Data!$N$2:$N$4000,MATCH($A301,BBG_Data!$M$2:$M$4000,0)),NA()))</f>
        <v/>
      </c>
      <c r="AD301" s="18">
        <f>IF(NOT(ISNUMBER($A301)),NA(),IFERROR(1*INDEX(BBG_Data!$P$2:$P$4000,MATCH($A301,BBG_Data!$O$2:$O$4000,0)),NA()))</f>
        <v/>
      </c>
      <c r="AE301" s="18">
        <f>IF(NOT(ISNUMBER($A301)),NA(),IFERROR(1*INDEX(BBG_Data!$R$2:$R$4000,MATCH($A301,BBG_Data!$Q$2:$Q$4000,0)),NA()))</f>
        <v/>
      </c>
      <c r="AF301" s="20">
        <f>IF(AND(ISNUMBER(B301),ISNUMBER(AC301)),(B301-AC301)*100,NA())</f>
        <v/>
      </c>
      <c r="AG301" s="20">
        <f>IF(AND(ISNUMBER(AE301),ISNUMBER(AD301)),(AE301-AD301)*100,NA())</f>
        <v/>
      </c>
      <c r="AH301" s="19">
        <f>IF(NOT(ISNUMBER($A301)),NA(),IFERROR(INDEX(BBG_Data!$T$2:$T$4000,MATCH($A301,BBG_Data!$S$2:$S$4000,0))*Settings!$B$25,NA()))</f>
        <v/>
      </c>
      <c r="AI301" s="19">
        <f>IF(NOT(ISNUMBER($A301)),NA(),IFERROR(INDEX(BBG_Data!$V$2:$V$4000,MATCH($A301,BBG_Data!$U$2:$U$4000,0))*Settings!$B$25,NA()))</f>
        <v/>
      </c>
      <c r="AJ301" s="19">
        <f>IF(NOT(ISNUMBER($A301)),NA(),IFERROR(1*INDEX(BBG_Data!$X$2:$X$4000,MATCH($A301,BBG_Data!$W$2:$W$4000,0)),NA()))</f>
        <v/>
      </c>
      <c r="AK301" s="19">
        <f>IF(NOT(ISNUMBER($A301)),NA(),IFERROR(1*INDEX(BBG_Data!$Z$2:$Z$4000,MATCH($A301,BBG_Data!$Y$2:$Y$4000,0)),NA()))</f>
        <v/>
      </c>
    </row>
    <row r="302">
      <c r="A302" s="17">
        <f>IF(ISNUMBER(BBG_Data!A302),BBG_Data!A302,"")</f>
        <v/>
      </c>
      <c r="B302" s="18">
        <f>IF(AND(ISNUMBER($A302),ISNUMBER(BBG_Data!B302)),BBG_Data!B302,NA())</f>
        <v/>
      </c>
      <c r="C302" s="18">
        <f>IF(NOT(ISNUMBER($A302)),NA(),IFERROR(1*INDEX(BBG_Data!$D$2:$D$4000,MATCH($A302,BBG_Data!$C$2:$C$4000,0)),NA()))</f>
        <v/>
      </c>
      <c r="D302" s="19">
        <f>IF(NOT(ISNUMBER($A302)),NA(),IFERROR(1*INDEX(BBG_Data!$F$2:$F$4000,MATCH($A302,BBG_Data!$E$2:$E$4000,0)),NA()))</f>
        <v/>
      </c>
      <c r="E302" s="19">
        <f>IF(NOT(ISNUMBER($A302)),NA(),IFERROR(1*INDEX(BBG_Data!$H$2:$H$4000,MATCH($A302,BBG_Data!$G$2:$G$4000,0)),NA()))</f>
        <v/>
      </c>
      <c r="F302" s="20">
        <f>IF(AND(ISNUMBER(B302),ISNUMBER(B301)),IF(B302=B301,"",(B302-B301)*100),"")</f>
        <v/>
      </c>
      <c r="G302" s="20">
        <f>IF(AND(ISNUMBER(C302),ISNUMBER(C301)),IF(C302=C301,"",(C302-C301)*100),"")</f>
        <v/>
      </c>
      <c r="H302" s="20">
        <f>IF(OR(NOT(ISNUMBER($A302)),ROW()-2&lt;Settings!$B$11),NA(),IF(COUNT(OFFSET(F302,1-Settings!$B$11,0,Settings!$B$11,1))&lt;ROUNDUP(Settings!$B$11*Settings!$B$26,0),NA(),STDEV(OFFSET(F302,1-Settings!$B$11,0,Settings!$B$11,1))*SQRT(Settings!$B$13)))</f>
        <v/>
      </c>
      <c r="I302" s="20">
        <f>IF(OR(NOT(ISNUMBER($A302)),ROW()-2&lt;Settings!$B$12),NA(),IF(COUNT(OFFSET(F302,1-Settings!$B$12,0,Settings!$B$12,1))&lt;ROUNDUP(Settings!$B$12*Settings!$B$26,0),NA(),STDEV(OFFSET(F302,1-Settings!$B$12,0,Settings!$B$12,1))*SQRT(Settings!$B$13)))</f>
        <v/>
      </c>
      <c r="J302" s="20">
        <f>IF(OR(NOT(ISNUMBER($A302)),ROW()-2&lt;Settings!$B$11),NA(),IF(COUNT(OFFSET(G302,1-Settings!$B$11,0,Settings!$B$11,1))&lt;ROUNDUP(Settings!$B$11*Settings!$B$26,0),NA(),STDEV(OFFSET(G302,1-Settings!$B$11,0,Settings!$B$11,1))*SQRT(Settings!$B$13)))</f>
        <v/>
      </c>
      <c r="K302" s="20">
        <f>IF(OR(NOT(ISNUMBER($A302)),ROW()-2&lt;Settings!$B$12),NA(),IF(COUNT(OFFSET(G302,1-Settings!$B$12,0,Settings!$B$12,1))&lt;ROUNDUP(Settings!$B$12*Settings!$B$26,0),NA(),STDEV(OFFSET(G302,1-Settings!$B$12,0,Settings!$B$12,1))*SQRT(Settings!$B$13)))</f>
        <v/>
      </c>
      <c r="L302" s="20">
        <f>IF(AND(ISNUMBER(D302),ISNUMBER(H302)),D302-H302,NA())</f>
        <v/>
      </c>
      <c r="M302" s="20">
        <f>IF(AND(ISNUMBER(E302),ISNUMBER(K302)),E302-K302,NA())</f>
        <v/>
      </c>
      <c r="N302" s="20">
        <f>IF(NOT(ISNUMBER($A302)),NA(),IF(COUNT(OFFSET(G302,1,0,Settings!$B$12,1))&lt;ROUNDUP(Settings!$B$12*Settings!$B$26,0),NA(),STDEV(OFFSET(G302,1,0,Settings!$B$12,1))*SQRT(Settings!$B$13)))</f>
        <v/>
      </c>
      <c r="O302" s="20">
        <f>IF(AND(ISNUMBER(E302),ISNUMBER(N302)),E302-N302,NA())</f>
        <v/>
      </c>
      <c r="P302" s="19">
        <f>IF(NOT(ISNUMBER($A302)),NA(),IF(OR($A302&lt;MIN(KW_TP!$A$2:$A$2501),$A302&gt;MAX(KW_TP!$A$2:$A$2501)),NA(),INDEX(KW_TP!$C$2:$C$2501,MATCH($A302,KW_TP!$A$2:$A$2501,1))))</f>
        <v/>
      </c>
      <c r="Q302" s="18">
        <f>IF(NOT(ISNUMBER($A302)),NA(),IFERROR(1*INDEX(BBG_Data!$J$2:$J$4000,MATCH($A302,BBG_Data!$I$2:$I$4000,0)),NA()))</f>
        <v/>
      </c>
      <c r="R302" s="18">
        <f>IF(NOT(ISNUMBER($A302)),NA(),IFERROR(1*INDEX(BBG_Data!$L$2:$L$4000,MATCH($A302,BBG_Data!$K$2:$K$4000,0)),NA()))</f>
        <v/>
      </c>
      <c r="S302" s="20">
        <f>IF(AND(ISNUMBER(B302),ISNUMBER(Q302),ISNUMBER(R302)),(B302-Q302-R302)*100,NA())</f>
        <v/>
      </c>
      <c r="T302" s="20">
        <f>IF(AND(ISNUMBER(B302),Settings!$B$17&gt;0),IF(ISNUMBER(INDEX($B:$B,Settings!$B$17)),(B302-INDEX($B:$B,Settings!$B$17))*100,NA()),NA())</f>
        <v/>
      </c>
      <c r="U302" s="20">
        <f>IF(AND(ISNUMBER(Q302),Settings!$B$17&gt;0),IF(ISNUMBER(INDEX($Q:$Q,Settings!$B$17)),(Q302-INDEX($Q:$Q,Settings!$B$17))*100,NA()),NA())</f>
        <v/>
      </c>
      <c r="V302" s="20">
        <f>IF(AND(ISNUMBER(R302),Settings!$B$17&gt;0),IF(ISNUMBER(INDEX($R:$R,Settings!$B$17)),(R302-INDEX($R:$R,Settings!$B$17))*100,NA()),NA())</f>
        <v/>
      </c>
      <c r="W302" s="20">
        <f>IF(AND(ISNUMBER(P302),Settings!$B$17&gt;0),IF(ISNUMBER(INDEX($P:$P,Settings!$B$17)),P302-INDEX($P:$P,Settings!$B$17),NA()),NA())</f>
        <v/>
      </c>
      <c r="X302" s="19">
        <f>IF(NOT(ISNUMBER($A302)),NA(),IF(OR($A302&lt;MIN(DKW_10Y!$A$2:$A$2918),$A302&gt;MAX(DKW_10Y!$A$2:$A$2918),Settings!$B$16&lt;MIN(DKW_10Y!$A$2:$A$2918)),NA(),(INDEX(DKW_10Y!$B$2:$B$2918,MATCH($A302,DKW_10Y!$A$2:$A$2918,1))-INDEX(DKW_10Y!$B$2:$B$2918,MATCH(Settings!$B$16,DKW_10Y!$A$2:$A$2918,1)))*100))</f>
        <v/>
      </c>
      <c r="Y302" s="19">
        <f>IF(NOT(ISNUMBER($A302)),NA(),IF(OR($A302&lt;MIN(DKW_10Y!$A$2:$A$2918),$A302&gt;MAX(DKW_10Y!$A$2:$A$2918),Settings!$B$16&lt;MIN(DKW_10Y!$A$2:$A$2918)),NA(),(INDEX(DKW_10Y!$C$2:$C$2918,MATCH($A302,DKW_10Y!$A$2:$A$2918,1))-INDEX(DKW_10Y!$C$2:$C$2918,MATCH(Settings!$B$16,DKW_10Y!$A$2:$A$2918,1)))*100))</f>
        <v/>
      </c>
      <c r="Z302" s="19">
        <f>IF(NOT(ISNUMBER($A302)),NA(),IF(OR($A302&lt;MIN(DKW_10Y!$A$2:$A$2918),$A302&gt;MAX(DKW_10Y!$A$2:$A$2918),Settings!$B$16&lt;MIN(DKW_10Y!$A$2:$A$2918)),NA(),(INDEX(DKW_10Y!$D$2:$D$2918,MATCH($A302,DKW_10Y!$A$2:$A$2918,1))-INDEX(DKW_10Y!$D$2:$D$2918,MATCH(Settings!$B$16,DKW_10Y!$A$2:$A$2918,1)))*100))</f>
        <v/>
      </c>
      <c r="AA302" s="19">
        <f>IF(NOT(ISNUMBER($A302)),NA(),IF(OR($A302&lt;MIN(DKW_10Y!$A$2:$A$2918),$A302&gt;MAX(DKW_10Y!$A$2:$A$2918),Settings!$B$16&lt;MIN(DKW_10Y!$A$2:$A$2918)),NA(),(INDEX(DKW_10Y!$E$2:$E$2918,MATCH($A302,DKW_10Y!$A$2:$A$2918,1))-INDEX(DKW_10Y!$E$2:$E$2918,MATCH(Settings!$B$16,DKW_10Y!$A$2:$A$2918,1)))*100))</f>
        <v/>
      </c>
      <c r="AB302" s="19">
        <f>IF(NOT(ISNUMBER($A302)),NA(),IF(OR($A302&lt;MIN(DKW_10Y!$A$2:$A$2918),$A302&gt;MAX(DKW_10Y!$A$2:$A$2918),Settings!$B$16&lt;MIN(DKW_10Y!$A$2:$A$2918)),NA(),(INDEX(DKW_10Y!$H$2:$H$2918,MATCH($A302,DKW_10Y!$A$2:$A$2918,1))-INDEX(DKW_10Y!$H$2:$H$2918,MATCH(Settings!$B$16,DKW_10Y!$A$2:$A$2918,1)))*100))</f>
        <v/>
      </c>
      <c r="AC302" s="18">
        <f>IF(NOT(ISNUMBER($A302)),NA(),IFERROR(1*INDEX(BBG_Data!$N$2:$N$4000,MATCH($A302,BBG_Data!$M$2:$M$4000,0)),NA()))</f>
        <v/>
      </c>
      <c r="AD302" s="18">
        <f>IF(NOT(ISNUMBER($A302)),NA(),IFERROR(1*INDEX(BBG_Data!$P$2:$P$4000,MATCH($A302,BBG_Data!$O$2:$O$4000,0)),NA()))</f>
        <v/>
      </c>
      <c r="AE302" s="18">
        <f>IF(NOT(ISNUMBER($A302)),NA(),IFERROR(1*INDEX(BBG_Data!$R$2:$R$4000,MATCH($A302,BBG_Data!$Q$2:$Q$4000,0)),NA()))</f>
        <v/>
      </c>
      <c r="AF302" s="20">
        <f>IF(AND(ISNUMBER(B302),ISNUMBER(AC302)),(B302-AC302)*100,NA())</f>
        <v/>
      </c>
      <c r="AG302" s="20">
        <f>IF(AND(ISNUMBER(AE302),ISNUMBER(AD302)),(AE302-AD302)*100,NA())</f>
        <v/>
      </c>
      <c r="AH302" s="19">
        <f>IF(NOT(ISNUMBER($A302)),NA(),IFERROR(INDEX(BBG_Data!$T$2:$T$4000,MATCH($A302,BBG_Data!$S$2:$S$4000,0))*Settings!$B$25,NA()))</f>
        <v/>
      </c>
      <c r="AI302" s="19">
        <f>IF(NOT(ISNUMBER($A302)),NA(),IFERROR(INDEX(BBG_Data!$V$2:$V$4000,MATCH($A302,BBG_Data!$U$2:$U$4000,0))*Settings!$B$25,NA()))</f>
        <v/>
      </c>
      <c r="AJ302" s="19">
        <f>IF(NOT(ISNUMBER($A302)),NA(),IFERROR(1*INDEX(BBG_Data!$X$2:$X$4000,MATCH($A302,BBG_Data!$W$2:$W$4000,0)),NA()))</f>
        <v/>
      </c>
      <c r="AK302" s="19">
        <f>IF(NOT(ISNUMBER($A302)),NA(),IFERROR(1*INDEX(BBG_Data!$Z$2:$Z$4000,MATCH($A302,BBG_Data!$Y$2:$Y$4000,0)),NA()))</f>
        <v/>
      </c>
    </row>
    <row r="303">
      <c r="A303" s="17">
        <f>IF(ISNUMBER(BBG_Data!A303),BBG_Data!A303,"")</f>
        <v/>
      </c>
      <c r="B303" s="18">
        <f>IF(AND(ISNUMBER($A303),ISNUMBER(BBG_Data!B303)),BBG_Data!B303,NA())</f>
        <v/>
      </c>
      <c r="C303" s="18">
        <f>IF(NOT(ISNUMBER($A303)),NA(),IFERROR(1*INDEX(BBG_Data!$D$2:$D$4000,MATCH($A303,BBG_Data!$C$2:$C$4000,0)),NA()))</f>
        <v/>
      </c>
      <c r="D303" s="19">
        <f>IF(NOT(ISNUMBER($A303)),NA(),IFERROR(1*INDEX(BBG_Data!$F$2:$F$4000,MATCH($A303,BBG_Data!$E$2:$E$4000,0)),NA()))</f>
        <v/>
      </c>
      <c r="E303" s="19">
        <f>IF(NOT(ISNUMBER($A303)),NA(),IFERROR(1*INDEX(BBG_Data!$H$2:$H$4000,MATCH($A303,BBG_Data!$G$2:$G$4000,0)),NA()))</f>
        <v/>
      </c>
      <c r="F303" s="20">
        <f>IF(AND(ISNUMBER(B303),ISNUMBER(B302)),IF(B303=B302,"",(B303-B302)*100),"")</f>
        <v/>
      </c>
      <c r="G303" s="20">
        <f>IF(AND(ISNUMBER(C303),ISNUMBER(C302)),IF(C303=C302,"",(C303-C302)*100),"")</f>
        <v/>
      </c>
      <c r="H303" s="20">
        <f>IF(OR(NOT(ISNUMBER($A303)),ROW()-2&lt;Settings!$B$11),NA(),IF(COUNT(OFFSET(F303,1-Settings!$B$11,0,Settings!$B$11,1))&lt;ROUNDUP(Settings!$B$11*Settings!$B$26,0),NA(),STDEV(OFFSET(F303,1-Settings!$B$11,0,Settings!$B$11,1))*SQRT(Settings!$B$13)))</f>
        <v/>
      </c>
      <c r="I303" s="20">
        <f>IF(OR(NOT(ISNUMBER($A303)),ROW()-2&lt;Settings!$B$12),NA(),IF(COUNT(OFFSET(F303,1-Settings!$B$12,0,Settings!$B$12,1))&lt;ROUNDUP(Settings!$B$12*Settings!$B$26,0),NA(),STDEV(OFFSET(F303,1-Settings!$B$12,0,Settings!$B$12,1))*SQRT(Settings!$B$13)))</f>
        <v/>
      </c>
      <c r="J303" s="20">
        <f>IF(OR(NOT(ISNUMBER($A303)),ROW()-2&lt;Settings!$B$11),NA(),IF(COUNT(OFFSET(G303,1-Settings!$B$11,0,Settings!$B$11,1))&lt;ROUNDUP(Settings!$B$11*Settings!$B$26,0),NA(),STDEV(OFFSET(G303,1-Settings!$B$11,0,Settings!$B$11,1))*SQRT(Settings!$B$13)))</f>
        <v/>
      </c>
      <c r="K303" s="20">
        <f>IF(OR(NOT(ISNUMBER($A303)),ROW()-2&lt;Settings!$B$12),NA(),IF(COUNT(OFFSET(G303,1-Settings!$B$12,0,Settings!$B$12,1))&lt;ROUNDUP(Settings!$B$12*Settings!$B$26,0),NA(),STDEV(OFFSET(G303,1-Settings!$B$12,0,Settings!$B$12,1))*SQRT(Settings!$B$13)))</f>
        <v/>
      </c>
      <c r="L303" s="20">
        <f>IF(AND(ISNUMBER(D303),ISNUMBER(H303)),D303-H303,NA())</f>
        <v/>
      </c>
      <c r="M303" s="20">
        <f>IF(AND(ISNUMBER(E303),ISNUMBER(K303)),E303-K303,NA())</f>
        <v/>
      </c>
      <c r="N303" s="20">
        <f>IF(NOT(ISNUMBER($A303)),NA(),IF(COUNT(OFFSET(G303,1,0,Settings!$B$12,1))&lt;ROUNDUP(Settings!$B$12*Settings!$B$26,0),NA(),STDEV(OFFSET(G303,1,0,Settings!$B$12,1))*SQRT(Settings!$B$13)))</f>
        <v/>
      </c>
      <c r="O303" s="20">
        <f>IF(AND(ISNUMBER(E303),ISNUMBER(N303)),E303-N303,NA())</f>
        <v/>
      </c>
      <c r="P303" s="19">
        <f>IF(NOT(ISNUMBER($A303)),NA(),IF(OR($A303&lt;MIN(KW_TP!$A$2:$A$2501),$A303&gt;MAX(KW_TP!$A$2:$A$2501)),NA(),INDEX(KW_TP!$C$2:$C$2501,MATCH($A303,KW_TP!$A$2:$A$2501,1))))</f>
        <v/>
      </c>
      <c r="Q303" s="18">
        <f>IF(NOT(ISNUMBER($A303)),NA(),IFERROR(1*INDEX(BBG_Data!$J$2:$J$4000,MATCH($A303,BBG_Data!$I$2:$I$4000,0)),NA()))</f>
        <v/>
      </c>
      <c r="R303" s="18">
        <f>IF(NOT(ISNUMBER($A303)),NA(),IFERROR(1*INDEX(BBG_Data!$L$2:$L$4000,MATCH($A303,BBG_Data!$K$2:$K$4000,0)),NA()))</f>
        <v/>
      </c>
      <c r="S303" s="20">
        <f>IF(AND(ISNUMBER(B303),ISNUMBER(Q303),ISNUMBER(R303)),(B303-Q303-R303)*100,NA())</f>
        <v/>
      </c>
      <c r="T303" s="20">
        <f>IF(AND(ISNUMBER(B303),Settings!$B$17&gt;0),IF(ISNUMBER(INDEX($B:$B,Settings!$B$17)),(B303-INDEX($B:$B,Settings!$B$17))*100,NA()),NA())</f>
        <v/>
      </c>
      <c r="U303" s="20">
        <f>IF(AND(ISNUMBER(Q303),Settings!$B$17&gt;0),IF(ISNUMBER(INDEX($Q:$Q,Settings!$B$17)),(Q303-INDEX($Q:$Q,Settings!$B$17))*100,NA()),NA())</f>
        <v/>
      </c>
      <c r="V303" s="20">
        <f>IF(AND(ISNUMBER(R303),Settings!$B$17&gt;0),IF(ISNUMBER(INDEX($R:$R,Settings!$B$17)),(R303-INDEX($R:$R,Settings!$B$17))*100,NA()),NA())</f>
        <v/>
      </c>
      <c r="W303" s="20">
        <f>IF(AND(ISNUMBER(P303),Settings!$B$17&gt;0),IF(ISNUMBER(INDEX($P:$P,Settings!$B$17)),P303-INDEX($P:$P,Settings!$B$17),NA()),NA())</f>
        <v/>
      </c>
      <c r="X303" s="19">
        <f>IF(NOT(ISNUMBER($A303)),NA(),IF(OR($A303&lt;MIN(DKW_10Y!$A$2:$A$2918),$A303&gt;MAX(DKW_10Y!$A$2:$A$2918),Settings!$B$16&lt;MIN(DKW_10Y!$A$2:$A$2918)),NA(),(INDEX(DKW_10Y!$B$2:$B$2918,MATCH($A303,DKW_10Y!$A$2:$A$2918,1))-INDEX(DKW_10Y!$B$2:$B$2918,MATCH(Settings!$B$16,DKW_10Y!$A$2:$A$2918,1)))*100))</f>
        <v/>
      </c>
      <c r="Y303" s="19">
        <f>IF(NOT(ISNUMBER($A303)),NA(),IF(OR($A303&lt;MIN(DKW_10Y!$A$2:$A$2918),$A303&gt;MAX(DKW_10Y!$A$2:$A$2918),Settings!$B$16&lt;MIN(DKW_10Y!$A$2:$A$2918)),NA(),(INDEX(DKW_10Y!$C$2:$C$2918,MATCH($A303,DKW_10Y!$A$2:$A$2918,1))-INDEX(DKW_10Y!$C$2:$C$2918,MATCH(Settings!$B$16,DKW_10Y!$A$2:$A$2918,1)))*100))</f>
        <v/>
      </c>
      <c r="Z303" s="19">
        <f>IF(NOT(ISNUMBER($A303)),NA(),IF(OR($A303&lt;MIN(DKW_10Y!$A$2:$A$2918),$A303&gt;MAX(DKW_10Y!$A$2:$A$2918),Settings!$B$16&lt;MIN(DKW_10Y!$A$2:$A$2918)),NA(),(INDEX(DKW_10Y!$D$2:$D$2918,MATCH($A303,DKW_10Y!$A$2:$A$2918,1))-INDEX(DKW_10Y!$D$2:$D$2918,MATCH(Settings!$B$16,DKW_10Y!$A$2:$A$2918,1)))*100))</f>
        <v/>
      </c>
      <c r="AA303" s="19">
        <f>IF(NOT(ISNUMBER($A303)),NA(),IF(OR($A303&lt;MIN(DKW_10Y!$A$2:$A$2918),$A303&gt;MAX(DKW_10Y!$A$2:$A$2918),Settings!$B$16&lt;MIN(DKW_10Y!$A$2:$A$2918)),NA(),(INDEX(DKW_10Y!$E$2:$E$2918,MATCH($A303,DKW_10Y!$A$2:$A$2918,1))-INDEX(DKW_10Y!$E$2:$E$2918,MATCH(Settings!$B$16,DKW_10Y!$A$2:$A$2918,1)))*100))</f>
        <v/>
      </c>
      <c r="AB303" s="19">
        <f>IF(NOT(ISNUMBER($A303)),NA(),IF(OR($A303&lt;MIN(DKW_10Y!$A$2:$A$2918),$A303&gt;MAX(DKW_10Y!$A$2:$A$2918),Settings!$B$16&lt;MIN(DKW_10Y!$A$2:$A$2918)),NA(),(INDEX(DKW_10Y!$H$2:$H$2918,MATCH($A303,DKW_10Y!$A$2:$A$2918,1))-INDEX(DKW_10Y!$H$2:$H$2918,MATCH(Settings!$B$16,DKW_10Y!$A$2:$A$2918,1)))*100))</f>
        <v/>
      </c>
      <c r="AC303" s="18">
        <f>IF(NOT(ISNUMBER($A303)),NA(),IFERROR(1*INDEX(BBG_Data!$N$2:$N$4000,MATCH($A303,BBG_Data!$M$2:$M$4000,0)),NA()))</f>
        <v/>
      </c>
      <c r="AD303" s="18">
        <f>IF(NOT(ISNUMBER($A303)),NA(),IFERROR(1*INDEX(BBG_Data!$P$2:$P$4000,MATCH($A303,BBG_Data!$O$2:$O$4000,0)),NA()))</f>
        <v/>
      </c>
      <c r="AE303" s="18">
        <f>IF(NOT(ISNUMBER($A303)),NA(),IFERROR(1*INDEX(BBG_Data!$R$2:$R$4000,MATCH($A303,BBG_Data!$Q$2:$Q$4000,0)),NA()))</f>
        <v/>
      </c>
      <c r="AF303" s="20">
        <f>IF(AND(ISNUMBER(B303),ISNUMBER(AC303)),(B303-AC303)*100,NA())</f>
        <v/>
      </c>
      <c r="AG303" s="20">
        <f>IF(AND(ISNUMBER(AE303),ISNUMBER(AD303)),(AE303-AD303)*100,NA())</f>
        <v/>
      </c>
      <c r="AH303" s="19">
        <f>IF(NOT(ISNUMBER($A303)),NA(),IFERROR(INDEX(BBG_Data!$T$2:$T$4000,MATCH($A303,BBG_Data!$S$2:$S$4000,0))*Settings!$B$25,NA()))</f>
        <v/>
      </c>
      <c r="AI303" s="19">
        <f>IF(NOT(ISNUMBER($A303)),NA(),IFERROR(INDEX(BBG_Data!$V$2:$V$4000,MATCH($A303,BBG_Data!$U$2:$U$4000,0))*Settings!$B$25,NA()))</f>
        <v/>
      </c>
      <c r="AJ303" s="19">
        <f>IF(NOT(ISNUMBER($A303)),NA(),IFERROR(1*INDEX(BBG_Data!$X$2:$X$4000,MATCH($A303,BBG_Data!$W$2:$W$4000,0)),NA()))</f>
        <v/>
      </c>
      <c r="AK303" s="19">
        <f>IF(NOT(ISNUMBER($A303)),NA(),IFERROR(1*INDEX(BBG_Data!$Z$2:$Z$4000,MATCH($A303,BBG_Data!$Y$2:$Y$4000,0)),NA()))</f>
        <v/>
      </c>
    </row>
    <row r="304">
      <c r="A304" s="17">
        <f>IF(ISNUMBER(BBG_Data!A304),BBG_Data!A304,"")</f>
        <v/>
      </c>
      <c r="B304" s="18">
        <f>IF(AND(ISNUMBER($A304),ISNUMBER(BBG_Data!B304)),BBG_Data!B304,NA())</f>
        <v/>
      </c>
      <c r="C304" s="18">
        <f>IF(NOT(ISNUMBER($A304)),NA(),IFERROR(1*INDEX(BBG_Data!$D$2:$D$4000,MATCH($A304,BBG_Data!$C$2:$C$4000,0)),NA()))</f>
        <v/>
      </c>
      <c r="D304" s="19">
        <f>IF(NOT(ISNUMBER($A304)),NA(),IFERROR(1*INDEX(BBG_Data!$F$2:$F$4000,MATCH($A304,BBG_Data!$E$2:$E$4000,0)),NA()))</f>
        <v/>
      </c>
      <c r="E304" s="19">
        <f>IF(NOT(ISNUMBER($A304)),NA(),IFERROR(1*INDEX(BBG_Data!$H$2:$H$4000,MATCH($A304,BBG_Data!$G$2:$G$4000,0)),NA()))</f>
        <v/>
      </c>
      <c r="F304" s="20">
        <f>IF(AND(ISNUMBER(B304),ISNUMBER(B303)),IF(B304=B303,"",(B304-B303)*100),"")</f>
        <v/>
      </c>
      <c r="G304" s="20">
        <f>IF(AND(ISNUMBER(C304),ISNUMBER(C303)),IF(C304=C303,"",(C304-C303)*100),"")</f>
        <v/>
      </c>
      <c r="H304" s="20">
        <f>IF(OR(NOT(ISNUMBER($A304)),ROW()-2&lt;Settings!$B$11),NA(),IF(COUNT(OFFSET(F304,1-Settings!$B$11,0,Settings!$B$11,1))&lt;ROUNDUP(Settings!$B$11*Settings!$B$26,0),NA(),STDEV(OFFSET(F304,1-Settings!$B$11,0,Settings!$B$11,1))*SQRT(Settings!$B$13)))</f>
        <v/>
      </c>
      <c r="I304" s="20">
        <f>IF(OR(NOT(ISNUMBER($A304)),ROW()-2&lt;Settings!$B$12),NA(),IF(COUNT(OFFSET(F304,1-Settings!$B$12,0,Settings!$B$12,1))&lt;ROUNDUP(Settings!$B$12*Settings!$B$26,0),NA(),STDEV(OFFSET(F304,1-Settings!$B$12,0,Settings!$B$12,1))*SQRT(Settings!$B$13)))</f>
        <v/>
      </c>
      <c r="J304" s="20">
        <f>IF(OR(NOT(ISNUMBER($A304)),ROW()-2&lt;Settings!$B$11),NA(),IF(COUNT(OFFSET(G304,1-Settings!$B$11,0,Settings!$B$11,1))&lt;ROUNDUP(Settings!$B$11*Settings!$B$26,0),NA(),STDEV(OFFSET(G304,1-Settings!$B$11,0,Settings!$B$11,1))*SQRT(Settings!$B$13)))</f>
        <v/>
      </c>
      <c r="K304" s="20">
        <f>IF(OR(NOT(ISNUMBER($A304)),ROW()-2&lt;Settings!$B$12),NA(),IF(COUNT(OFFSET(G304,1-Settings!$B$12,0,Settings!$B$12,1))&lt;ROUNDUP(Settings!$B$12*Settings!$B$26,0),NA(),STDEV(OFFSET(G304,1-Settings!$B$12,0,Settings!$B$12,1))*SQRT(Settings!$B$13)))</f>
        <v/>
      </c>
      <c r="L304" s="20">
        <f>IF(AND(ISNUMBER(D304),ISNUMBER(H304)),D304-H304,NA())</f>
        <v/>
      </c>
      <c r="M304" s="20">
        <f>IF(AND(ISNUMBER(E304),ISNUMBER(K304)),E304-K304,NA())</f>
        <v/>
      </c>
      <c r="N304" s="20">
        <f>IF(NOT(ISNUMBER($A304)),NA(),IF(COUNT(OFFSET(G304,1,0,Settings!$B$12,1))&lt;ROUNDUP(Settings!$B$12*Settings!$B$26,0),NA(),STDEV(OFFSET(G304,1,0,Settings!$B$12,1))*SQRT(Settings!$B$13)))</f>
        <v/>
      </c>
      <c r="O304" s="20">
        <f>IF(AND(ISNUMBER(E304),ISNUMBER(N304)),E304-N304,NA())</f>
        <v/>
      </c>
      <c r="P304" s="19">
        <f>IF(NOT(ISNUMBER($A304)),NA(),IF(OR($A304&lt;MIN(KW_TP!$A$2:$A$2501),$A304&gt;MAX(KW_TP!$A$2:$A$2501)),NA(),INDEX(KW_TP!$C$2:$C$2501,MATCH($A304,KW_TP!$A$2:$A$2501,1))))</f>
        <v/>
      </c>
      <c r="Q304" s="18">
        <f>IF(NOT(ISNUMBER($A304)),NA(),IFERROR(1*INDEX(BBG_Data!$J$2:$J$4000,MATCH($A304,BBG_Data!$I$2:$I$4000,0)),NA()))</f>
        <v/>
      </c>
      <c r="R304" s="18">
        <f>IF(NOT(ISNUMBER($A304)),NA(),IFERROR(1*INDEX(BBG_Data!$L$2:$L$4000,MATCH($A304,BBG_Data!$K$2:$K$4000,0)),NA()))</f>
        <v/>
      </c>
      <c r="S304" s="20">
        <f>IF(AND(ISNUMBER(B304),ISNUMBER(Q304),ISNUMBER(R304)),(B304-Q304-R304)*100,NA())</f>
        <v/>
      </c>
      <c r="T304" s="20">
        <f>IF(AND(ISNUMBER(B304),Settings!$B$17&gt;0),IF(ISNUMBER(INDEX($B:$B,Settings!$B$17)),(B304-INDEX($B:$B,Settings!$B$17))*100,NA()),NA())</f>
        <v/>
      </c>
      <c r="U304" s="20">
        <f>IF(AND(ISNUMBER(Q304),Settings!$B$17&gt;0),IF(ISNUMBER(INDEX($Q:$Q,Settings!$B$17)),(Q304-INDEX($Q:$Q,Settings!$B$17))*100,NA()),NA())</f>
        <v/>
      </c>
      <c r="V304" s="20">
        <f>IF(AND(ISNUMBER(R304),Settings!$B$17&gt;0),IF(ISNUMBER(INDEX($R:$R,Settings!$B$17)),(R304-INDEX($R:$R,Settings!$B$17))*100,NA()),NA())</f>
        <v/>
      </c>
      <c r="W304" s="20">
        <f>IF(AND(ISNUMBER(P304),Settings!$B$17&gt;0),IF(ISNUMBER(INDEX($P:$P,Settings!$B$17)),P304-INDEX($P:$P,Settings!$B$17),NA()),NA())</f>
        <v/>
      </c>
      <c r="X304" s="19">
        <f>IF(NOT(ISNUMBER($A304)),NA(),IF(OR($A304&lt;MIN(DKW_10Y!$A$2:$A$2918),$A304&gt;MAX(DKW_10Y!$A$2:$A$2918),Settings!$B$16&lt;MIN(DKW_10Y!$A$2:$A$2918)),NA(),(INDEX(DKW_10Y!$B$2:$B$2918,MATCH($A304,DKW_10Y!$A$2:$A$2918,1))-INDEX(DKW_10Y!$B$2:$B$2918,MATCH(Settings!$B$16,DKW_10Y!$A$2:$A$2918,1)))*100))</f>
        <v/>
      </c>
      <c r="Y304" s="19">
        <f>IF(NOT(ISNUMBER($A304)),NA(),IF(OR($A304&lt;MIN(DKW_10Y!$A$2:$A$2918),$A304&gt;MAX(DKW_10Y!$A$2:$A$2918),Settings!$B$16&lt;MIN(DKW_10Y!$A$2:$A$2918)),NA(),(INDEX(DKW_10Y!$C$2:$C$2918,MATCH($A304,DKW_10Y!$A$2:$A$2918,1))-INDEX(DKW_10Y!$C$2:$C$2918,MATCH(Settings!$B$16,DKW_10Y!$A$2:$A$2918,1)))*100))</f>
        <v/>
      </c>
      <c r="Z304" s="19">
        <f>IF(NOT(ISNUMBER($A304)),NA(),IF(OR($A304&lt;MIN(DKW_10Y!$A$2:$A$2918),$A304&gt;MAX(DKW_10Y!$A$2:$A$2918),Settings!$B$16&lt;MIN(DKW_10Y!$A$2:$A$2918)),NA(),(INDEX(DKW_10Y!$D$2:$D$2918,MATCH($A304,DKW_10Y!$A$2:$A$2918,1))-INDEX(DKW_10Y!$D$2:$D$2918,MATCH(Settings!$B$16,DKW_10Y!$A$2:$A$2918,1)))*100))</f>
        <v/>
      </c>
      <c r="AA304" s="19">
        <f>IF(NOT(ISNUMBER($A304)),NA(),IF(OR($A304&lt;MIN(DKW_10Y!$A$2:$A$2918),$A304&gt;MAX(DKW_10Y!$A$2:$A$2918),Settings!$B$16&lt;MIN(DKW_10Y!$A$2:$A$2918)),NA(),(INDEX(DKW_10Y!$E$2:$E$2918,MATCH($A304,DKW_10Y!$A$2:$A$2918,1))-INDEX(DKW_10Y!$E$2:$E$2918,MATCH(Settings!$B$16,DKW_10Y!$A$2:$A$2918,1)))*100))</f>
        <v/>
      </c>
      <c r="AB304" s="19">
        <f>IF(NOT(ISNUMBER($A304)),NA(),IF(OR($A304&lt;MIN(DKW_10Y!$A$2:$A$2918),$A304&gt;MAX(DKW_10Y!$A$2:$A$2918),Settings!$B$16&lt;MIN(DKW_10Y!$A$2:$A$2918)),NA(),(INDEX(DKW_10Y!$H$2:$H$2918,MATCH($A304,DKW_10Y!$A$2:$A$2918,1))-INDEX(DKW_10Y!$H$2:$H$2918,MATCH(Settings!$B$16,DKW_10Y!$A$2:$A$2918,1)))*100))</f>
        <v/>
      </c>
      <c r="AC304" s="18">
        <f>IF(NOT(ISNUMBER($A304)),NA(),IFERROR(1*INDEX(BBG_Data!$N$2:$N$4000,MATCH($A304,BBG_Data!$M$2:$M$4000,0)),NA()))</f>
        <v/>
      </c>
      <c r="AD304" s="18">
        <f>IF(NOT(ISNUMBER($A304)),NA(),IFERROR(1*INDEX(BBG_Data!$P$2:$P$4000,MATCH($A304,BBG_Data!$O$2:$O$4000,0)),NA()))</f>
        <v/>
      </c>
      <c r="AE304" s="18">
        <f>IF(NOT(ISNUMBER($A304)),NA(),IFERROR(1*INDEX(BBG_Data!$R$2:$R$4000,MATCH($A304,BBG_Data!$Q$2:$Q$4000,0)),NA()))</f>
        <v/>
      </c>
      <c r="AF304" s="20">
        <f>IF(AND(ISNUMBER(B304),ISNUMBER(AC304)),(B304-AC304)*100,NA())</f>
        <v/>
      </c>
      <c r="AG304" s="20">
        <f>IF(AND(ISNUMBER(AE304),ISNUMBER(AD304)),(AE304-AD304)*100,NA())</f>
        <v/>
      </c>
      <c r="AH304" s="19">
        <f>IF(NOT(ISNUMBER($A304)),NA(),IFERROR(INDEX(BBG_Data!$T$2:$T$4000,MATCH($A304,BBG_Data!$S$2:$S$4000,0))*Settings!$B$25,NA()))</f>
        <v/>
      </c>
      <c r="AI304" s="19">
        <f>IF(NOT(ISNUMBER($A304)),NA(),IFERROR(INDEX(BBG_Data!$V$2:$V$4000,MATCH($A304,BBG_Data!$U$2:$U$4000,0))*Settings!$B$25,NA()))</f>
        <v/>
      </c>
      <c r="AJ304" s="19">
        <f>IF(NOT(ISNUMBER($A304)),NA(),IFERROR(1*INDEX(BBG_Data!$X$2:$X$4000,MATCH($A304,BBG_Data!$W$2:$W$4000,0)),NA()))</f>
        <v/>
      </c>
      <c r="AK304" s="19">
        <f>IF(NOT(ISNUMBER($A304)),NA(),IFERROR(1*INDEX(BBG_Data!$Z$2:$Z$4000,MATCH($A304,BBG_Data!$Y$2:$Y$4000,0)),NA()))</f>
        <v/>
      </c>
    </row>
    <row r="305">
      <c r="A305" s="17">
        <f>IF(ISNUMBER(BBG_Data!A305),BBG_Data!A305,"")</f>
        <v/>
      </c>
      <c r="B305" s="18">
        <f>IF(AND(ISNUMBER($A305),ISNUMBER(BBG_Data!B305)),BBG_Data!B305,NA())</f>
        <v/>
      </c>
      <c r="C305" s="18">
        <f>IF(NOT(ISNUMBER($A305)),NA(),IFERROR(1*INDEX(BBG_Data!$D$2:$D$4000,MATCH($A305,BBG_Data!$C$2:$C$4000,0)),NA()))</f>
        <v/>
      </c>
      <c r="D305" s="19">
        <f>IF(NOT(ISNUMBER($A305)),NA(),IFERROR(1*INDEX(BBG_Data!$F$2:$F$4000,MATCH($A305,BBG_Data!$E$2:$E$4000,0)),NA()))</f>
        <v/>
      </c>
      <c r="E305" s="19">
        <f>IF(NOT(ISNUMBER($A305)),NA(),IFERROR(1*INDEX(BBG_Data!$H$2:$H$4000,MATCH($A305,BBG_Data!$G$2:$G$4000,0)),NA()))</f>
        <v/>
      </c>
      <c r="F305" s="20">
        <f>IF(AND(ISNUMBER(B305),ISNUMBER(B304)),IF(B305=B304,"",(B305-B304)*100),"")</f>
        <v/>
      </c>
      <c r="G305" s="20">
        <f>IF(AND(ISNUMBER(C305),ISNUMBER(C304)),IF(C305=C304,"",(C305-C304)*100),"")</f>
        <v/>
      </c>
      <c r="H305" s="20">
        <f>IF(OR(NOT(ISNUMBER($A305)),ROW()-2&lt;Settings!$B$11),NA(),IF(COUNT(OFFSET(F305,1-Settings!$B$11,0,Settings!$B$11,1))&lt;ROUNDUP(Settings!$B$11*Settings!$B$26,0),NA(),STDEV(OFFSET(F305,1-Settings!$B$11,0,Settings!$B$11,1))*SQRT(Settings!$B$13)))</f>
        <v/>
      </c>
      <c r="I305" s="20">
        <f>IF(OR(NOT(ISNUMBER($A305)),ROW()-2&lt;Settings!$B$12),NA(),IF(COUNT(OFFSET(F305,1-Settings!$B$12,0,Settings!$B$12,1))&lt;ROUNDUP(Settings!$B$12*Settings!$B$26,0),NA(),STDEV(OFFSET(F305,1-Settings!$B$12,0,Settings!$B$12,1))*SQRT(Settings!$B$13)))</f>
        <v/>
      </c>
      <c r="J305" s="20">
        <f>IF(OR(NOT(ISNUMBER($A305)),ROW()-2&lt;Settings!$B$11),NA(),IF(COUNT(OFFSET(G305,1-Settings!$B$11,0,Settings!$B$11,1))&lt;ROUNDUP(Settings!$B$11*Settings!$B$26,0),NA(),STDEV(OFFSET(G305,1-Settings!$B$11,0,Settings!$B$11,1))*SQRT(Settings!$B$13)))</f>
        <v/>
      </c>
      <c r="K305" s="20">
        <f>IF(OR(NOT(ISNUMBER($A305)),ROW()-2&lt;Settings!$B$12),NA(),IF(COUNT(OFFSET(G305,1-Settings!$B$12,0,Settings!$B$12,1))&lt;ROUNDUP(Settings!$B$12*Settings!$B$26,0),NA(),STDEV(OFFSET(G305,1-Settings!$B$12,0,Settings!$B$12,1))*SQRT(Settings!$B$13)))</f>
        <v/>
      </c>
      <c r="L305" s="20">
        <f>IF(AND(ISNUMBER(D305),ISNUMBER(H305)),D305-H305,NA())</f>
        <v/>
      </c>
      <c r="M305" s="20">
        <f>IF(AND(ISNUMBER(E305),ISNUMBER(K305)),E305-K305,NA())</f>
        <v/>
      </c>
      <c r="N305" s="20">
        <f>IF(NOT(ISNUMBER($A305)),NA(),IF(COUNT(OFFSET(G305,1,0,Settings!$B$12,1))&lt;ROUNDUP(Settings!$B$12*Settings!$B$26,0),NA(),STDEV(OFFSET(G305,1,0,Settings!$B$12,1))*SQRT(Settings!$B$13)))</f>
        <v/>
      </c>
      <c r="O305" s="20">
        <f>IF(AND(ISNUMBER(E305),ISNUMBER(N305)),E305-N305,NA())</f>
        <v/>
      </c>
      <c r="P305" s="19">
        <f>IF(NOT(ISNUMBER($A305)),NA(),IF(OR($A305&lt;MIN(KW_TP!$A$2:$A$2501),$A305&gt;MAX(KW_TP!$A$2:$A$2501)),NA(),INDEX(KW_TP!$C$2:$C$2501,MATCH($A305,KW_TP!$A$2:$A$2501,1))))</f>
        <v/>
      </c>
      <c r="Q305" s="18">
        <f>IF(NOT(ISNUMBER($A305)),NA(),IFERROR(1*INDEX(BBG_Data!$J$2:$J$4000,MATCH($A305,BBG_Data!$I$2:$I$4000,0)),NA()))</f>
        <v/>
      </c>
      <c r="R305" s="18">
        <f>IF(NOT(ISNUMBER($A305)),NA(),IFERROR(1*INDEX(BBG_Data!$L$2:$L$4000,MATCH($A305,BBG_Data!$K$2:$K$4000,0)),NA()))</f>
        <v/>
      </c>
      <c r="S305" s="20">
        <f>IF(AND(ISNUMBER(B305),ISNUMBER(Q305),ISNUMBER(R305)),(B305-Q305-R305)*100,NA())</f>
        <v/>
      </c>
      <c r="T305" s="20">
        <f>IF(AND(ISNUMBER(B305),Settings!$B$17&gt;0),IF(ISNUMBER(INDEX($B:$B,Settings!$B$17)),(B305-INDEX($B:$B,Settings!$B$17))*100,NA()),NA())</f>
        <v/>
      </c>
      <c r="U305" s="20">
        <f>IF(AND(ISNUMBER(Q305),Settings!$B$17&gt;0),IF(ISNUMBER(INDEX($Q:$Q,Settings!$B$17)),(Q305-INDEX($Q:$Q,Settings!$B$17))*100,NA()),NA())</f>
        <v/>
      </c>
      <c r="V305" s="20">
        <f>IF(AND(ISNUMBER(R305),Settings!$B$17&gt;0),IF(ISNUMBER(INDEX($R:$R,Settings!$B$17)),(R305-INDEX($R:$R,Settings!$B$17))*100,NA()),NA())</f>
        <v/>
      </c>
      <c r="W305" s="20">
        <f>IF(AND(ISNUMBER(P305),Settings!$B$17&gt;0),IF(ISNUMBER(INDEX($P:$P,Settings!$B$17)),P305-INDEX($P:$P,Settings!$B$17),NA()),NA())</f>
        <v/>
      </c>
      <c r="X305" s="19">
        <f>IF(NOT(ISNUMBER($A305)),NA(),IF(OR($A305&lt;MIN(DKW_10Y!$A$2:$A$2918),$A305&gt;MAX(DKW_10Y!$A$2:$A$2918),Settings!$B$16&lt;MIN(DKW_10Y!$A$2:$A$2918)),NA(),(INDEX(DKW_10Y!$B$2:$B$2918,MATCH($A305,DKW_10Y!$A$2:$A$2918,1))-INDEX(DKW_10Y!$B$2:$B$2918,MATCH(Settings!$B$16,DKW_10Y!$A$2:$A$2918,1)))*100))</f>
        <v/>
      </c>
      <c r="Y305" s="19">
        <f>IF(NOT(ISNUMBER($A305)),NA(),IF(OR($A305&lt;MIN(DKW_10Y!$A$2:$A$2918),$A305&gt;MAX(DKW_10Y!$A$2:$A$2918),Settings!$B$16&lt;MIN(DKW_10Y!$A$2:$A$2918)),NA(),(INDEX(DKW_10Y!$C$2:$C$2918,MATCH($A305,DKW_10Y!$A$2:$A$2918,1))-INDEX(DKW_10Y!$C$2:$C$2918,MATCH(Settings!$B$16,DKW_10Y!$A$2:$A$2918,1)))*100))</f>
        <v/>
      </c>
      <c r="Z305" s="19">
        <f>IF(NOT(ISNUMBER($A305)),NA(),IF(OR($A305&lt;MIN(DKW_10Y!$A$2:$A$2918),$A305&gt;MAX(DKW_10Y!$A$2:$A$2918),Settings!$B$16&lt;MIN(DKW_10Y!$A$2:$A$2918)),NA(),(INDEX(DKW_10Y!$D$2:$D$2918,MATCH($A305,DKW_10Y!$A$2:$A$2918,1))-INDEX(DKW_10Y!$D$2:$D$2918,MATCH(Settings!$B$16,DKW_10Y!$A$2:$A$2918,1)))*100))</f>
        <v/>
      </c>
      <c r="AA305" s="19">
        <f>IF(NOT(ISNUMBER($A305)),NA(),IF(OR($A305&lt;MIN(DKW_10Y!$A$2:$A$2918),$A305&gt;MAX(DKW_10Y!$A$2:$A$2918),Settings!$B$16&lt;MIN(DKW_10Y!$A$2:$A$2918)),NA(),(INDEX(DKW_10Y!$E$2:$E$2918,MATCH($A305,DKW_10Y!$A$2:$A$2918,1))-INDEX(DKW_10Y!$E$2:$E$2918,MATCH(Settings!$B$16,DKW_10Y!$A$2:$A$2918,1)))*100))</f>
        <v/>
      </c>
      <c r="AB305" s="19">
        <f>IF(NOT(ISNUMBER($A305)),NA(),IF(OR($A305&lt;MIN(DKW_10Y!$A$2:$A$2918),$A305&gt;MAX(DKW_10Y!$A$2:$A$2918),Settings!$B$16&lt;MIN(DKW_10Y!$A$2:$A$2918)),NA(),(INDEX(DKW_10Y!$H$2:$H$2918,MATCH($A305,DKW_10Y!$A$2:$A$2918,1))-INDEX(DKW_10Y!$H$2:$H$2918,MATCH(Settings!$B$16,DKW_10Y!$A$2:$A$2918,1)))*100))</f>
        <v/>
      </c>
      <c r="AC305" s="18">
        <f>IF(NOT(ISNUMBER($A305)),NA(),IFERROR(1*INDEX(BBG_Data!$N$2:$N$4000,MATCH($A305,BBG_Data!$M$2:$M$4000,0)),NA()))</f>
        <v/>
      </c>
      <c r="AD305" s="18">
        <f>IF(NOT(ISNUMBER($A305)),NA(),IFERROR(1*INDEX(BBG_Data!$P$2:$P$4000,MATCH($A305,BBG_Data!$O$2:$O$4000,0)),NA()))</f>
        <v/>
      </c>
      <c r="AE305" s="18">
        <f>IF(NOT(ISNUMBER($A305)),NA(),IFERROR(1*INDEX(BBG_Data!$R$2:$R$4000,MATCH($A305,BBG_Data!$Q$2:$Q$4000,0)),NA()))</f>
        <v/>
      </c>
      <c r="AF305" s="20">
        <f>IF(AND(ISNUMBER(B305),ISNUMBER(AC305)),(B305-AC305)*100,NA())</f>
        <v/>
      </c>
      <c r="AG305" s="20">
        <f>IF(AND(ISNUMBER(AE305),ISNUMBER(AD305)),(AE305-AD305)*100,NA())</f>
        <v/>
      </c>
      <c r="AH305" s="19">
        <f>IF(NOT(ISNUMBER($A305)),NA(),IFERROR(INDEX(BBG_Data!$T$2:$T$4000,MATCH($A305,BBG_Data!$S$2:$S$4000,0))*Settings!$B$25,NA()))</f>
        <v/>
      </c>
      <c r="AI305" s="19">
        <f>IF(NOT(ISNUMBER($A305)),NA(),IFERROR(INDEX(BBG_Data!$V$2:$V$4000,MATCH($A305,BBG_Data!$U$2:$U$4000,0))*Settings!$B$25,NA()))</f>
        <v/>
      </c>
      <c r="AJ305" s="19">
        <f>IF(NOT(ISNUMBER($A305)),NA(),IFERROR(1*INDEX(BBG_Data!$X$2:$X$4000,MATCH($A305,BBG_Data!$W$2:$W$4000,0)),NA()))</f>
        <v/>
      </c>
      <c r="AK305" s="19">
        <f>IF(NOT(ISNUMBER($A305)),NA(),IFERROR(1*INDEX(BBG_Data!$Z$2:$Z$4000,MATCH($A305,BBG_Data!$Y$2:$Y$4000,0)),NA()))</f>
        <v/>
      </c>
    </row>
    <row r="306">
      <c r="A306" s="17">
        <f>IF(ISNUMBER(BBG_Data!A306),BBG_Data!A306,"")</f>
        <v/>
      </c>
      <c r="B306" s="18">
        <f>IF(AND(ISNUMBER($A306),ISNUMBER(BBG_Data!B306)),BBG_Data!B306,NA())</f>
        <v/>
      </c>
      <c r="C306" s="18">
        <f>IF(NOT(ISNUMBER($A306)),NA(),IFERROR(1*INDEX(BBG_Data!$D$2:$D$4000,MATCH($A306,BBG_Data!$C$2:$C$4000,0)),NA()))</f>
        <v/>
      </c>
      <c r="D306" s="19">
        <f>IF(NOT(ISNUMBER($A306)),NA(),IFERROR(1*INDEX(BBG_Data!$F$2:$F$4000,MATCH($A306,BBG_Data!$E$2:$E$4000,0)),NA()))</f>
        <v/>
      </c>
      <c r="E306" s="19">
        <f>IF(NOT(ISNUMBER($A306)),NA(),IFERROR(1*INDEX(BBG_Data!$H$2:$H$4000,MATCH($A306,BBG_Data!$G$2:$G$4000,0)),NA()))</f>
        <v/>
      </c>
      <c r="F306" s="20">
        <f>IF(AND(ISNUMBER(B306),ISNUMBER(B305)),IF(B306=B305,"",(B306-B305)*100),"")</f>
        <v/>
      </c>
      <c r="G306" s="20">
        <f>IF(AND(ISNUMBER(C306),ISNUMBER(C305)),IF(C306=C305,"",(C306-C305)*100),"")</f>
        <v/>
      </c>
      <c r="H306" s="20">
        <f>IF(OR(NOT(ISNUMBER($A306)),ROW()-2&lt;Settings!$B$11),NA(),IF(COUNT(OFFSET(F306,1-Settings!$B$11,0,Settings!$B$11,1))&lt;ROUNDUP(Settings!$B$11*Settings!$B$26,0),NA(),STDEV(OFFSET(F306,1-Settings!$B$11,0,Settings!$B$11,1))*SQRT(Settings!$B$13)))</f>
        <v/>
      </c>
      <c r="I306" s="20">
        <f>IF(OR(NOT(ISNUMBER($A306)),ROW()-2&lt;Settings!$B$12),NA(),IF(COUNT(OFFSET(F306,1-Settings!$B$12,0,Settings!$B$12,1))&lt;ROUNDUP(Settings!$B$12*Settings!$B$26,0),NA(),STDEV(OFFSET(F306,1-Settings!$B$12,0,Settings!$B$12,1))*SQRT(Settings!$B$13)))</f>
        <v/>
      </c>
      <c r="J306" s="20">
        <f>IF(OR(NOT(ISNUMBER($A306)),ROW()-2&lt;Settings!$B$11),NA(),IF(COUNT(OFFSET(G306,1-Settings!$B$11,0,Settings!$B$11,1))&lt;ROUNDUP(Settings!$B$11*Settings!$B$26,0),NA(),STDEV(OFFSET(G306,1-Settings!$B$11,0,Settings!$B$11,1))*SQRT(Settings!$B$13)))</f>
        <v/>
      </c>
      <c r="K306" s="20">
        <f>IF(OR(NOT(ISNUMBER($A306)),ROW()-2&lt;Settings!$B$12),NA(),IF(COUNT(OFFSET(G306,1-Settings!$B$12,0,Settings!$B$12,1))&lt;ROUNDUP(Settings!$B$12*Settings!$B$26,0),NA(),STDEV(OFFSET(G306,1-Settings!$B$12,0,Settings!$B$12,1))*SQRT(Settings!$B$13)))</f>
        <v/>
      </c>
      <c r="L306" s="20">
        <f>IF(AND(ISNUMBER(D306),ISNUMBER(H306)),D306-H306,NA())</f>
        <v/>
      </c>
      <c r="M306" s="20">
        <f>IF(AND(ISNUMBER(E306),ISNUMBER(K306)),E306-K306,NA())</f>
        <v/>
      </c>
      <c r="N306" s="20">
        <f>IF(NOT(ISNUMBER($A306)),NA(),IF(COUNT(OFFSET(G306,1,0,Settings!$B$12,1))&lt;ROUNDUP(Settings!$B$12*Settings!$B$26,0),NA(),STDEV(OFFSET(G306,1,0,Settings!$B$12,1))*SQRT(Settings!$B$13)))</f>
        <v/>
      </c>
      <c r="O306" s="20">
        <f>IF(AND(ISNUMBER(E306),ISNUMBER(N306)),E306-N306,NA())</f>
        <v/>
      </c>
      <c r="P306" s="19">
        <f>IF(NOT(ISNUMBER($A306)),NA(),IF(OR($A306&lt;MIN(KW_TP!$A$2:$A$2501),$A306&gt;MAX(KW_TP!$A$2:$A$2501)),NA(),INDEX(KW_TP!$C$2:$C$2501,MATCH($A306,KW_TP!$A$2:$A$2501,1))))</f>
        <v/>
      </c>
      <c r="Q306" s="18">
        <f>IF(NOT(ISNUMBER($A306)),NA(),IFERROR(1*INDEX(BBG_Data!$J$2:$J$4000,MATCH($A306,BBG_Data!$I$2:$I$4000,0)),NA()))</f>
        <v/>
      </c>
      <c r="R306" s="18">
        <f>IF(NOT(ISNUMBER($A306)),NA(),IFERROR(1*INDEX(BBG_Data!$L$2:$L$4000,MATCH($A306,BBG_Data!$K$2:$K$4000,0)),NA()))</f>
        <v/>
      </c>
      <c r="S306" s="20">
        <f>IF(AND(ISNUMBER(B306),ISNUMBER(Q306),ISNUMBER(R306)),(B306-Q306-R306)*100,NA())</f>
        <v/>
      </c>
      <c r="T306" s="20">
        <f>IF(AND(ISNUMBER(B306),Settings!$B$17&gt;0),IF(ISNUMBER(INDEX($B:$B,Settings!$B$17)),(B306-INDEX($B:$B,Settings!$B$17))*100,NA()),NA())</f>
        <v/>
      </c>
      <c r="U306" s="20">
        <f>IF(AND(ISNUMBER(Q306),Settings!$B$17&gt;0),IF(ISNUMBER(INDEX($Q:$Q,Settings!$B$17)),(Q306-INDEX($Q:$Q,Settings!$B$17))*100,NA()),NA())</f>
        <v/>
      </c>
      <c r="V306" s="20">
        <f>IF(AND(ISNUMBER(R306),Settings!$B$17&gt;0),IF(ISNUMBER(INDEX($R:$R,Settings!$B$17)),(R306-INDEX($R:$R,Settings!$B$17))*100,NA()),NA())</f>
        <v/>
      </c>
      <c r="W306" s="20">
        <f>IF(AND(ISNUMBER(P306),Settings!$B$17&gt;0),IF(ISNUMBER(INDEX($P:$P,Settings!$B$17)),P306-INDEX($P:$P,Settings!$B$17),NA()),NA())</f>
        <v/>
      </c>
      <c r="X306" s="19">
        <f>IF(NOT(ISNUMBER($A306)),NA(),IF(OR($A306&lt;MIN(DKW_10Y!$A$2:$A$2918),$A306&gt;MAX(DKW_10Y!$A$2:$A$2918),Settings!$B$16&lt;MIN(DKW_10Y!$A$2:$A$2918)),NA(),(INDEX(DKW_10Y!$B$2:$B$2918,MATCH($A306,DKW_10Y!$A$2:$A$2918,1))-INDEX(DKW_10Y!$B$2:$B$2918,MATCH(Settings!$B$16,DKW_10Y!$A$2:$A$2918,1)))*100))</f>
        <v/>
      </c>
      <c r="Y306" s="19">
        <f>IF(NOT(ISNUMBER($A306)),NA(),IF(OR($A306&lt;MIN(DKW_10Y!$A$2:$A$2918),$A306&gt;MAX(DKW_10Y!$A$2:$A$2918),Settings!$B$16&lt;MIN(DKW_10Y!$A$2:$A$2918)),NA(),(INDEX(DKW_10Y!$C$2:$C$2918,MATCH($A306,DKW_10Y!$A$2:$A$2918,1))-INDEX(DKW_10Y!$C$2:$C$2918,MATCH(Settings!$B$16,DKW_10Y!$A$2:$A$2918,1)))*100))</f>
        <v/>
      </c>
      <c r="Z306" s="19">
        <f>IF(NOT(ISNUMBER($A306)),NA(),IF(OR($A306&lt;MIN(DKW_10Y!$A$2:$A$2918),$A306&gt;MAX(DKW_10Y!$A$2:$A$2918),Settings!$B$16&lt;MIN(DKW_10Y!$A$2:$A$2918)),NA(),(INDEX(DKW_10Y!$D$2:$D$2918,MATCH($A306,DKW_10Y!$A$2:$A$2918,1))-INDEX(DKW_10Y!$D$2:$D$2918,MATCH(Settings!$B$16,DKW_10Y!$A$2:$A$2918,1)))*100))</f>
        <v/>
      </c>
      <c r="AA306" s="19">
        <f>IF(NOT(ISNUMBER($A306)),NA(),IF(OR($A306&lt;MIN(DKW_10Y!$A$2:$A$2918),$A306&gt;MAX(DKW_10Y!$A$2:$A$2918),Settings!$B$16&lt;MIN(DKW_10Y!$A$2:$A$2918)),NA(),(INDEX(DKW_10Y!$E$2:$E$2918,MATCH($A306,DKW_10Y!$A$2:$A$2918,1))-INDEX(DKW_10Y!$E$2:$E$2918,MATCH(Settings!$B$16,DKW_10Y!$A$2:$A$2918,1)))*100))</f>
        <v/>
      </c>
      <c r="AB306" s="19">
        <f>IF(NOT(ISNUMBER($A306)),NA(),IF(OR($A306&lt;MIN(DKW_10Y!$A$2:$A$2918),$A306&gt;MAX(DKW_10Y!$A$2:$A$2918),Settings!$B$16&lt;MIN(DKW_10Y!$A$2:$A$2918)),NA(),(INDEX(DKW_10Y!$H$2:$H$2918,MATCH($A306,DKW_10Y!$A$2:$A$2918,1))-INDEX(DKW_10Y!$H$2:$H$2918,MATCH(Settings!$B$16,DKW_10Y!$A$2:$A$2918,1)))*100))</f>
        <v/>
      </c>
      <c r="AC306" s="18">
        <f>IF(NOT(ISNUMBER($A306)),NA(),IFERROR(1*INDEX(BBG_Data!$N$2:$N$4000,MATCH($A306,BBG_Data!$M$2:$M$4000,0)),NA()))</f>
        <v/>
      </c>
      <c r="AD306" s="18">
        <f>IF(NOT(ISNUMBER($A306)),NA(),IFERROR(1*INDEX(BBG_Data!$P$2:$P$4000,MATCH($A306,BBG_Data!$O$2:$O$4000,0)),NA()))</f>
        <v/>
      </c>
      <c r="AE306" s="18">
        <f>IF(NOT(ISNUMBER($A306)),NA(),IFERROR(1*INDEX(BBG_Data!$R$2:$R$4000,MATCH($A306,BBG_Data!$Q$2:$Q$4000,0)),NA()))</f>
        <v/>
      </c>
      <c r="AF306" s="20">
        <f>IF(AND(ISNUMBER(B306),ISNUMBER(AC306)),(B306-AC306)*100,NA())</f>
        <v/>
      </c>
      <c r="AG306" s="20">
        <f>IF(AND(ISNUMBER(AE306),ISNUMBER(AD306)),(AE306-AD306)*100,NA())</f>
        <v/>
      </c>
      <c r="AH306" s="19">
        <f>IF(NOT(ISNUMBER($A306)),NA(),IFERROR(INDEX(BBG_Data!$T$2:$T$4000,MATCH($A306,BBG_Data!$S$2:$S$4000,0))*Settings!$B$25,NA()))</f>
        <v/>
      </c>
      <c r="AI306" s="19">
        <f>IF(NOT(ISNUMBER($A306)),NA(),IFERROR(INDEX(BBG_Data!$V$2:$V$4000,MATCH($A306,BBG_Data!$U$2:$U$4000,0))*Settings!$B$25,NA()))</f>
        <v/>
      </c>
      <c r="AJ306" s="19">
        <f>IF(NOT(ISNUMBER($A306)),NA(),IFERROR(1*INDEX(BBG_Data!$X$2:$X$4000,MATCH($A306,BBG_Data!$W$2:$W$4000,0)),NA()))</f>
        <v/>
      </c>
      <c r="AK306" s="19">
        <f>IF(NOT(ISNUMBER($A306)),NA(),IFERROR(1*INDEX(BBG_Data!$Z$2:$Z$4000,MATCH($A306,BBG_Data!$Y$2:$Y$4000,0)),NA()))</f>
        <v/>
      </c>
    </row>
    <row r="307">
      <c r="A307" s="17">
        <f>IF(ISNUMBER(BBG_Data!A307),BBG_Data!A307,"")</f>
        <v/>
      </c>
      <c r="B307" s="18">
        <f>IF(AND(ISNUMBER($A307),ISNUMBER(BBG_Data!B307)),BBG_Data!B307,NA())</f>
        <v/>
      </c>
      <c r="C307" s="18">
        <f>IF(NOT(ISNUMBER($A307)),NA(),IFERROR(1*INDEX(BBG_Data!$D$2:$D$4000,MATCH($A307,BBG_Data!$C$2:$C$4000,0)),NA()))</f>
        <v/>
      </c>
      <c r="D307" s="19">
        <f>IF(NOT(ISNUMBER($A307)),NA(),IFERROR(1*INDEX(BBG_Data!$F$2:$F$4000,MATCH($A307,BBG_Data!$E$2:$E$4000,0)),NA()))</f>
        <v/>
      </c>
      <c r="E307" s="19">
        <f>IF(NOT(ISNUMBER($A307)),NA(),IFERROR(1*INDEX(BBG_Data!$H$2:$H$4000,MATCH($A307,BBG_Data!$G$2:$G$4000,0)),NA()))</f>
        <v/>
      </c>
      <c r="F307" s="20">
        <f>IF(AND(ISNUMBER(B307),ISNUMBER(B306)),IF(B307=B306,"",(B307-B306)*100),"")</f>
        <v/>
      </c>
      <c r="G307" s="20">
        <f>IF(AND(ISNUMBER(C307),ISNUMBER(C306)),IF(C307=C306,"",(C307-C306)*100),"")</f>
        <v/>
      </c>
      <c r="H307" s="20">
        <f>IF(OR(NOT(ISNUMBER($A307)),ROW()-2&lt;Settings!$B$11),NA(),IF(COUNT(OFFSET(F307,1-Settings!$B$11,0,Settings!$B$11,1))&lt;ROUNDUP(Settings!$B$11*Settings!$B$26,0),NA(),STDEV(OFFSET(F307,1-Settings!$B$11,0,Settings!$B$11,1))*SQRT(Settings!$B$13)))</f>
        <v/>
      </c>
      <c r="I307" s="20">
        <f>IF(OR(NOT(ISNUMBER($A307)),ROW()-2&lt;Settings!$B$12),NA(),IF(COUNT(OFFSET(F307,1-Settings!$B$12,0,Settings!$B$12,1))&lt;ROUNDUP(Settings!$B$12*Settings!$B$26,0),NA(),STDEV(OFFSET(F307,1-Settings!$B$12,0,Settings!$B$12,1))*SQRT(Settings!$B$13)))</f>
        <v/>
      </c>
      <c r="J307" s="20">
        <f>IF(OR(NOT(ISNUMBER($A307)),ROW()-2&lt;Settings!$B$11),NA(),IF(COUNT(OFFSET(G307,1-Settings!$B$11,0,Settings!$B$11,1))&lt;ROUNDUP(Settings!$B$11*Settings!$B$26,0),NA(),STDEV(OFFSET(G307,1-Settings!$B$11,0,Settings!$B$11,1))*SQRT(Settings!$B$13)))</f>
        <v/>
      </c>
      <c r="K307" s="20">
        <f>IF(OR(NOT(ISNUMBER($A307)),ROW()-2&lt;Settings!$B$12),NA(),IF(COUNT(OFFSET(G307,1-Settings!$B$12,0,Settings!$B$12,1))&lt;ROUNDUP(Settings!$B$12*Settings!$B$26,0),NA(),STDEV(OFFSET(G307,1-Settings!$B$12,0,Settings!$B$12,1))*SQRT(Settings!$B$13)))</f>
        <v/>
      </c>
      <c r="L307" s="20">
        <f>IF(AND(ISNUMBER(D307),ISNUMBER(H307)),D307-H307,NA())</f>
        <v/>
      </c>
      <c r="M307" s="20">
        <f>IF(AND(ISNUMBER(E307),ISNUMBER(K307)),E307-K307,NA())</f>
        <v/>
      </c>
      <c r="N307" s="20">
        <f>IF(NOT(ISNUMBER($A307)),NA(),IF(COUNT(OFFSET(G307,1,0,Settings!$B$12,1))&lt;ROUNDUP(Settings!$B$12*Settings!$B$26,0),NA(),STDEV(OFFSET(G307,1,0,Settings!$B$12,1))*SQRT(Settings!$B$13)))</f>
        <v/>
      </c>
      <c r="O307" s="20">
        <f>IF(AND(ISNUMBER(E307),ISNUMBER(N307)),E307-N307,NA())</f>
        <v/>
      </c>
      <c r="P307" s="19">
        <f>IF(NOT(ISNUMBER($A307)),NA(),IF(OR($A307&lt;MIN(KW_TP!$A$2:$A$2501),$A307&gt;MAX(KW_TP!$A$2:$A$2501)),NA(),INDEX(KW_TP!$C$2:$C$2501,MATCH($A307,KW_TP!$A$2:$A$2501,1))))</f>
        <v/>
      </c>
      <c r="Q307" s="18">
        <f>IF(NOT(ISNUMBER($A307)),NA(),IFERROR(1*INDEX(BBG_Data!$J$2:$J$4000,MATCH($A307,BBG_Data!$I$2:$I$4000,0)),NA()))</f>
        <v/>
      </c>
      <c r="R307" s="18">
        <f>IF(NOT(ISNUMBER($A307)),NA(),IFERROR(1*INDEX(BBG_Data!$L$2:$L$4000,MATCH($A307,BBG_Data!$K$2:$K$4000,0)),NA()))</f>
        <v/>
      </c>
      <c r="S307" s="20">
        <f>IF(AND(ISNUMBER(B307),ISNUMBER(Q307),ISNUMBER(R307)),(B307-Q307-R307)*100,NA())</f>
        <v/>
      </c>
      <c r="T307" s="20">
        <f>IF(AND(ISNUMBER(B307),Settings!$B$17&gt;0),IF(ISNUMBER(INDEX($B:$B,Settings!$B$17)),(B307-INDEX($B:$B,Settings!$B$17))*100,NA()),NA())</f>
        <v/>
      </c>
      <c r="U307" s="20">
        <f>IF(AND(ISNUMBER(Q307),Settings!$B$17&gt;0),IF(ISNUMBER(INDEX($Q:$Q,Settings!$B$17)),(Q307-INDEX($Q:$Q,Settings!$B$17))*100,NA()),NA())</f>
        <v/>
      </c>
      <c r="V307" s="20">
        <f>IF(AND(ISNUMBER(R307),Settings!$B$17&gt;0),IF(ISNUMBER(INDEX($R:$R,Settings!$B$17)),(R307-INDEX($R:$R,Settings!$B$17))*100,NA()),NA())</f>
        <v/>
      </c>
      <c r="W307" s="20">
        <f>IF(AND(ISNUMBER(P307),Settings!$B$17&gt;0),IF(ISNUMBER(INDEX($P:$P,Settings!$B$17)),P307-INDEX($P:$P,Settings!$B$17),NA()),NA())</f>
        <v/>
      </c>
      <c r="X307" s="19">
        <f>IF(NOT(ISNUMBER($A307)),NA(),IF(OR($A307&lt;MIN(DKW_10Y!$A$2:$A$2918),$A307&gt;MAX(DKW_10Y!$A$2:$A$2918),Settings!$B$16&lt;MIN(DKW_10Y!$A$2:$A$2918)),NA(),(INDEX(DKW_10Y!$B$2:$B$2918,MATCH($A307,DKW_10Y!$A$2:$A$2918,1))-INDEX(DKW_10Y!$B$2:$B$2918,MATCH(Settings!$B$16,DKW_10Y!$A$2:$A$2918,1)))*100))</f>
        <v/>
      </c>
      <c r="Y307" s="19">
        <f>IF(NOT(ISNUMBER($A307)),NA(),IF(OR($A307&lt;MIN(DKW_10Y!$A$2:$A$2918),$A307&gt;MAX(DKW_10Y!$A$2:$A$2918),Settings!$B$16&lt;MIN(DKW_10Y!$A$2:$A$2918)),NA(),(INDEX(DKW_10Y!$C$2:$C$2918,MATCH($A307,DKW_10Y!$A$2:$A$2918,1))-INDEX(DKW_10Y!$C$2:$C$2918,MATCH(Settings!$B$16,DKW_10Y!$A$2:$A$2918,1)))*100))</f>
        <v/>
      </c>
      <c r="Z307" s="19">
        <f>IF(NOT(ISNUMBER($A307)),NA(),IF(OR($A307&lt;MIN(DKW_10Y!$A$2:$A$2918),$A307&gt;MAX(DKW_10Y!$A$2:$A$2918),Settings!$B$16&lt;MIN(DKW_10Y!$A$2:$A$2918)),NA(),(INDEX(DKW_10Y!$D$2:$D$2918,MATCH($A307,DKW_10Y!$A$2:$A$2918,1))-INDEX(DKW_10Y!$D$2:$D$2918,MATCH(Settings!$B$16,DKW_10Y!$A$2:$A$2918,1)))*100))</f>
        <v/>
      </c>
      <c r="AA307" s="19">
        <f>IF(NOT(ISNUMBER($A307)),NA(),IF(OR($A307&lt;MIN(DKW_10Y!$A$2:$A$2918),$A307&gt;MAX(DKW_10Y!$A$2:$A$2918),Settings!$B$16&lt;MIN(DKW_10Y!$A$2:$A$2918)),NA(),(INDEX(DKW_10Y!$E$2:$E$2918,MATCH($A307,DKW_10Y!$A$2:$A$2918,1))-INDEX(DKW_10Y!$E$2:$E$2918,MATCH(Settings!$B$16,DKW_10Y!$A$2:$A$2918,1)))*100))</f>
        <v/>
      </c>
      <c r="AB307" s="19">
        <f>IF(NOT(ISNUMBER($A307)),NA(),IF(OR($A307&lt;MIN(DKW_10Y!$A$2:$A$2918),$A307&gt;MAX(DKW_10Y!$A$2:$A$2918),Settings!$B$16&lt;MIN(DKW_10Y!$A$2:$A$2918)),NA(),(INDEX(DKW_10Y!$H$2:$H$2918,MATCH($A307,DKW_10Y!$A$2:$A$2918,1))-INDEX(DKW_10Y!$H$2:$H$2918,MATCH(Settings!$B$16,DKW_10Y!$A$2:$A$2918,1)))*100))</f>
        <v/>
      </c>
      <c r="AC307" s="18">
        <f>IF(NOT(ISNUMBER($A307)),NA(),IFERROR(1*INDEX(BBG_Data!$N$2:$N$4000,MATCH($A307,BBG_Data!$M$2:$M$4000,0)),NA()))</f>
        <v/>
      </c>
      <c r="AD307" s="18">
        <f>IF(NOT(ISNUMBER($A307)),NA(),IFERROR(1*INDEX(BBG_Data!$P$2:$P$4000,MATCH($A307,BBG_Data!$O$2:$O$4000,0)),NA()))</f>
        <v/>
      </c>
      <c r="AE307" s="18">
        <f>IF(NOT(ISNUMBER($A307)),NA(),IFERROR(1*INDEX(BBG_Data!$R$2:$R$4000,MATCH($A307,BBG_Data!$Q$2:$Q$4000,0)),NA()))</f>
        <v/>
      </c>
      <c r="AF307" s="20">
        <f>IF(AND(ISNUMBER(B307),ISNUMBER(AC307)),(B307-AC307)*100,NA())</f>
        <v/>
      </c>
      <c r="AG307" s="20">
        <f>IF(AND(ISNUMBER(AE307),ISNUMBER(AD307)),(AE307-AD307)*100,NA())</f>
        <v/>
      </c>
      <c r="AH307" s="19">
        <f>IF(NOT(ISNUMBER($A307)),NA(),IFERROR(INDEX(BBG_Data!$T$2:$T$4000,MATCH($A307,BBG_Data!$S$2:$S$4000,0))*Settings!$B$25,NA()))</f>
        <v/>
      </c>
      <c r="AI307" s="19">
        <f>IF(NOT(ISNUMBER($A307)),NA(),IFERROR(INDEX(BBG_Data!$V$2:$V$4000,MATCH($A307,BBG_Data!$U$2:$U$4000,0))*Settings!$B$25,NA()))</f>
        <v/>
      </c>
      <c r="AJ307" s="19">
        <f>IF(NOT(ISNUMBER($A307)),NA(),IFERROR(1*INDEX(BBG_Data!$X$2:$X$4000,MATCH($A307,BBG_Data!$W$2:$W$4000,0)),NA()))</f>
        <v/>
      </c>
      <c r="AK307" s="19">
        <f>IF(NOT(ISNUMBER($A307)),NA(),IFERROR(1*INDEX(BBG_Data!$Z$2:$Z$4000,MATCH($A307,BBG_Data!$Y$2:$Y$4000,0)),NA()))</f>
        <v/>
      </c>
    </row>
    <row r="308">
      <c r="A308" s="17">
        <f>IF(ISNUMBER(BBG_Data!A308),BBG_Data!A308,"")</f>
        <v/>
      </c>
      <c r="B308" s="18">
        <f>IF(AND(ISNUMBER($A308),ISNUMBER(BBG_Data!B308)),BBG_Data!B308,NA())</f>
        <v/>
      </c>
      <c r="C308" s="18">
        <f>IF(NOT(ISNUMBER($A308)),NA(),IFERROR(1*INDEX(BBG_Data!$D$2:$D$4000,MATCH($A308,BBG_Data!$C$2:$C$4000,0)),NA()))</f>
        <v/>
      </c>
      <c r="D308" s="19">
        <f>IF(NOT(ISNUMBER($A308)),NA(),IFERROR(1*INDEX(BBG_Data!$F$2:$F$4000,MATCH($A308,BBG_Data!$E$2:$E$4000,0)),NA()))</f>
        <v/>
      </c>
      <c r="E308" s="19">
        <f>IF(NOT(ISNUMBER($A308)),NA(),IFERROR(1*INDEX(BBG_Data!$H$2:$H$4000,MATCH($A308,BBG_Data!$G$2:$G$4000,0)),NA()))</f>
        <v/>
      </c>
      <c r="F308" s="20">
        <f>IF(AND(ISNUMBER(B308),ISNUMBER(B307)),IF(B308=B307,"",(B308-B307)*100),"")</f>
        <v/>
      </c>
      <c r="G308" s="20">
        <f>IF(AND(ISNUMBER(C308),ISNUMBER(C307)),IF(C308=C307,"",(C308-C307)*100),"")</f>
        <v/>
      </c>
      <c r="H308" s="20">
        <f>IF(OR(NOT(ISNUMBER($A308)),ROW()-2&lt;Settings!$B$11),NA(),IF(COUNT(OFFSET(F308,1-Settings!$B$11,0,Settings!$B$11,1))&lt;ROUNDUP(Settings!$B$11*Settings!$B$26,0),NA(),STDEV(OFFSET(F308,1-Settings!$B$11,0,Settings!$B$11,1))*SQRT(Settings!$B$13)))</f>
        <v/>
      </c>
      <c r="I308" s="20">
        <f>IF(OR(NOT(ISNUMBER($A308)),ROW()-2&lt;Settings!$B$12),NA(),IF(COUNT(OFFSET(F308,1-Settings!$B$12,0,Settings!$B$12,1))&lt;ROUNDUP(Settings!$B$12*Settings!$B$26,0),NA(),STDEV(OFFSET(F308,1-Settings!$B$12,0,Settings!$B$12,1))*SQRT(Settings!$B$13)))</f>
        <v/>
      </c>
      <c r="J308" s="20">
        <f>IF(OR(NOT(ISNUMBER($A308)),ROW()-2&lt;Settings!$B$11),NA(),IF(COUNT(OFFSET(G308,1-Settings!$B$11,0,Settings!$B$11,1))&lt;ROUNDUP(Settings!$B$11*Settings!$B$26,0),NA(),STDEV(OFFSET(G308,1-Settings!$B$11,0,Settings!$B$11,1))*SQRT(Settings!$B$13)))</f>
        <v/>
      </c>
      <c r="K308" s="20">
        <f>IF(OR(NOT(ISNUMBER($A308)),ROW()-2&lt;Settings!$B$12),NA(),IF(COUNT(OFFSET(G308,1-Settings!$B$12,0,Settings!$B$12,1))&lt;ROUNDUP(Settings!$B$12*Settings!$B$26,0),NA(),STDEV(OFFSET(G308,1-Settings!$B$12,0,Settings!$B$12,1))*SQRT(Settings!$B$13)))</f>
        <v/>
      </c>
      <c r="L308" s="20">
        <f>IF(AND(ISNUMBER(D308),ISNUMBER(H308)),D308-H308,NA())</f>
        <v/>
      </c>
      <c r="M308" s="20">
        <f>IF(AND(ISNUMBER(E308),ISNUMBER(K308)),E308-K308,NA())</f>
        <v/>
      </c>
      <c r="N308" s="20">
        <f>IF(NOT(ISNUMBER($A308)),NA(),IF(COUNT(OFFSET(G308,1,0,Settings!$B$12,1))&lt;ROUNDUP(Settings!$B$12*Settings!$B$26,0),NA(),STDEV(OFFSET(G308,1,0,Settings!$B$12,1))*SQRT(Settings!$B$13)))</f>
        <v/>
      </c>
      <c r="O308" s="20">
        <f>IF(AND(ISNUMBER(E308),ISNUMBER(N308)),E308-N308,NA())</f>
        <v/>
      </c>
      <c r="P308" s="19">
        <f>IF(NOT(ISNUMBER($A308)),NA(),IF(OR($A308&lt;MIN(KW_TP!$A$2:$A$2501),$A308&gt;MAX(KW_TP!$A$2:$A$2501)),NA(),INDEX(KW_TP!$C$2:$C$2501,MATCH($A308,KW_TP!$A$2:$A$2501,1))))</f>
        <v/>
      </c>
      <c r="Q308" s="18">
        <f>IF(NOT(ISNUMBER($A308)),NA(),IFERROR(1*INDEX(BBG_Data!$J$2:$J$4000,MATCH($A308,BBG_Data!$I$2:$I$4000,0)),NA()))</f>
        <v/>
      </c>
      <c r="R308" s="18">
        <f>IF(NOT(ISNUMBER($A308)),NA(),IFERROR(1*INDEX(BBG_Data!$L$2:$L$4000,MATCH($A308,BBG_Data!$K$2:$K$4000,0)),NA()))</f>
        <v/>
      </c>
      <c r="S308" s="20">
        <f>IF(AND(ISNUMBER(B308),ISNUMBER(Q308),ISNUMBER(R308)),(B308-Q308-R308)*100,NA())</f>
        <v/>
      </c>
      <c r="T308" s="20">
        <f>IF(AND(ISNUMBER(B308),Settings!$B$17&gt;0),IF(ISNUMBER(INDEX($B:$B,Settings!$B$17)),(B308-INDEX($B:$B,Settings!$B$17))*100,NA()),NA())</f>
        <v/>
      </c>
      <c r="U308" s="20">
        <f>IF(AND(ISNUMBER(Q308),Settings!$B$17&gt;0),IF(ISNUMBER(INDEX($Q:$Q,Settings!$B$17)),(Q308-INDEX($Q:$Q,Settings!$B$17))*100,NA()),NA())</f>
        <v/>
      </c>
      <c r="V308" s="20">
        <f>IF(AND(ISNUMBER(R308),Settings!$B$17&gt;0),IF(ISNUMBER(INDEX($R:$R,Settings!$B$17)),(R308-INDEX($R:$R,Settings!$B$17))*100,NA()),NA())</f>
        <v/>
      </c>
      <c r="W308" s="20">
        <f>IF(AND(ISNUMBER(P308),Settings!$B$17&gt;0),IF(ISNUMBER(INDEX($P:$P,Settings!$B$17)),P308-INDEX($P:$P,Settings!$B$17),NA()),NA())</f>
        <v/>
      </c>
      <c r="X308" s="19">
        <f>IF(NOT(ISNUMBER($A308)),NA(),IF(OR($A308&lt;MIN(DKW_10Y!$A$2:$A$2918),$A308&gt;MAX(DKW_10Y!$A$2:$A$2918),Settings!$B$16&lt;MIN(DKW_10Y!$A$2:$A$2918)),NA(),(INDEX(DKW_10Y!$B$2:$B$2918,MATCH($A308,DKW_10Y!$A$2:$A$2918,1))-INDEX(DKW_10Y!$B$2:$B$2918,MATCH(Settings!$B$16,DKW_10Y!$A$2:$A$2918,1)))*100))</f>
        <v/>
      </c>
      <c r="Y308" s="19">
        <f>IF(NOT(ISNUMBER($A308)),NA(),IF(OR($A308&lt;MIN(DKW_10Y!$A$2:$A$2918),$A308&gt;MAX(DKW_10Y!$A$2:$A$2918),Settings!$B$16&lt;MIN(DKW_10Y!$A$2:$A$2918)),NA(),(INDEX(DKW_10Y!$C$2:$C$2918,MATCH($A308,DKW_10Y!$A$2:$A$2918,1))-INDEX(DKW_10Y!$C$2:$C$2918,MATCH(Settings!$B$16,DKW_10Y!$A$2:$A$2918,1)))*100))</f>
        <v/>
      </c>
      <c r="Z308" s="19">
        <f>IF(NOT(ISNUMBER($A308)),NA(),IF(OR($A308&lt;MIN(DKW_10Y!$A$2:$A$2918),$A308&gt;MAX(DKW_10Y!$A$2:$A$2918),Settings!$B$16&lt;MIN(DKW_10Y!$A$2:$A$2918)),NA(),(INDEX(DKW_10Y!$D$2:$D$2918,MATCH($A308,DKW_10Y!$A$2:$A$2918,1))-INDEX(DKW_10Y!$D$2:$D$2918,MATCH(Settings!$B$16,DKW_10Y!$A$2:$A$2918,1)))*100))</f>
        <v/>
      </c>
      <c r="AA308" s="19">
        <f>IF(NOT(ISNUMBER($A308)),NA(),IF(OR($A308&lt;MIN(DKW_10Y!$A$2:$A$2918),$A308&gt;MAX(DKW_10Y!$A$2:$A$2918),Settings!$B$16&lt;MIN(DKW_10Y!$A$2:$A$2918)),NA(),(INDEX(DKW_10Y!$E$2:$E$2918,MATCH($A308,DKW_10Y!$A$2:$A$2918,1))-INDEX(DKW_10Y!$E$2:$E$2918,MATCH(Settings!$B$16,DKW_10Y!$A$2:$A$2918,1)))*100))</f>
        <v/>
      </c>
      <c r="AB308" s="19">
        <f>IF(NOT(ISNUMBER($A308)),NA(),IF(OR($A308&lt;MIN(DKW_10Y!$A$2:$A$2918),$A308&gt;MAX(DKW_10Y!$A$2:$A$2918),Settings!$B$16&lt;MIN(DKW_10Y!$A$2:$A$2918)),NA(),(INDEX(DKW_10Y!$H$2:$H$2918,MATCH($A308,DKW_10Y!$A$2:$A$2918,1))-INDEX(DKW_10Y!$H$2:$H$2918,MATCH(Settings!$B$16,DKW_10Y!$A$2:$A$2918,1)))*100))</f>
        <v/>
      </c>
      <c r="AC308" s="18">
        <f>IF(NOT(ISNUMBER($A308)),NA(),IFERROR(1*INDEX(BBG_Data!$N$2:$N$4000,MATCH($A308,BBG_Data!$M$2:$M$4000,0)),NA()))</f>
        <v/>
      </c>
      <c r="AD308" s="18">
        <f>IF(NOT(ISNUMBER($A308)),NA(),IFERROR(1*INDEX(BBG_Data!$P$2:$P$4000,MATCH($A308,BBG_Data!$O$2:$O$4000,0)),NA()))</f>
        <v/>
      </c>
      <c r="AE308" s="18">
        <f>IF(NOT(ISNUMBER($A308)),NA(),IFERROR(1*INDEX(BBG_Data!$R$2:$R$4000,MATCH($A308,BBG_Data!$Q$2:$Q$4000,0)),NA()))</f>
        <v/>
      </c>
      <c r="AF308" s="20">
        <f>IF(AND(ISNUMBER(B308),ISNUMBER(AC308)),(B308-AC308)*100,NA())</f>
        <v/>
      </c>
      <c r="AG308" s="20">
        <f>IF(AND(ISNUMBER(AE308),ISNUMBER(AD308)),(AE308-AD308)*100,NA())</f>
        <v/>
      </c>
      <c r="AH308" s="19">
        <f>IF(NOT(ISNUMBER($A308)),NA(),IFERROR(INDEX(BBG_Data!$T$2:$T$4000,MATCH($A308,BBG_Data!$S$2:$S$4000,0))*Settings!$B$25,NA()))</f>
        <v/>
      </c>
      <c r="AI308" s="19">
        <f>IF(NOT(ISNUMBER($A308)),NA(),IFERROR(INDEX(BBG_Data!$V$2:$V$4000,MATCH($A308,BBG_Data!$U$2:$U$4000,0))*Settings!$B$25,NA()))</f>
        <v/>
      </c>
      <c r="AJ308" s="19">
        <f>IF(NOT(ISNUMBER($A308)),NA(),IFERROR(1*INDEX(BBG_Data!$X$2:$X$4000,MATCH($A308,BBG_Data!$W$2:$W$4000,0)),NA()))</f>
        <v/>
      </c>
      <c r="AK308" s="19">
        <f>IF(NOT(ISNUMBER($A308)),NA(),IFERROR(1*INDEX(BBG_Data!$Z$2:$Z$4000,MATCH($A308,BBG_Data!$Y$2:$Y$4000,0)),NA()))</f>
        <v/>
      </c>
    </row>
    <row r="309">
      <c r="A309" s="17">
        <f>IF(ISNUMBER(BBG_Data!A309),BBG_Data!A309,"")</f>
        <v/>
      </c>
      <c r="B309" s="18">
        <f>IF(AND(ISNUMBER($A309),ISNUMBER(BBG_Data!B309)),BBG_Data!B309,NA())</f>
        <v/>
      </c>
      <c r="C309" s="18">
        <f>IF(NOT(ISNUMBER($A309)),NA(),IFERROR(1*INDEX(BBG_Data!$D$2:$D$4000,MATCH($A309,BBG_Data!$C$2:$C$4000,0)),NA()))</f>
        <v/>
      </c>
      <c r="D309" s="19">
        <f>IF(NOT(ISNUMBER($A309)),NA(),IFERROR(1*INDEX(BBG_Data!$F$2:$F$4000,MATCH($A309,BBG_Data!$E$2:$E$4000,0)),NA()))</f>
        <v/>
      </c>
      <c r="E309" s="19">
        <f>IF(NOT(ISNUMBER($A309)),NA(),IFERROR(1*INDEX(BBG_Data!$H$2:$H$4000,MATCH($A309,BBG_Data!$G$2:$G$4000,0)),NA()))</f>
        <v/>
      </c>
      <c r="F309" s="20">
        <f>IF(AND(ISNUMBER(B309),ISNUMBER(B308)),IF(B309=B308,"",(B309-B308)*100),"")</f>
        <v/>
      </c>
      <c r="G309" s="20">
        <f>IF(AND(ISNUMBER(C309),ISNUMBER(C308)),IF(C309=C308,"",(C309-C308)*100),"")</f>
        <v/>
      </c>
      <c r="H309" s="20">
        <f>IF(OR(NOT(ISNUMBER($A309)),ROW()-2&lt;Settings!$B$11),NA(),IF(COUNT(OFFSET(F309,1-Settings!$B$11,0,Settings!$B$11,1))&lt;ROUNDUP(Settings!$B$11*Settings!$B$26,0),NA(),STDEV(OFFSET(F309,1-Settings!$B$11,0,Settings!$B$11,1))*SQRT(Settings!$B$13)))</f>
        <v/>
      </c>
      <c r="I309" s="20">
        <f>IF(OR(NOT(ISNUMBER($A309)),ROW()-2&lt;Settings!$B$12),NA(),IF(COUNT(OFFSET(F309,1-Settings!$B$12,0,Settings!$B$12,1))&lt;ROUNDUP(Settings!$B$12*Settings!$B$26,0),NA(),STDEV(OFFSET(F309,1-Settings!$B$12,0,Settings!$B$12,1))*SQRT(Settings!$B$13)))</f>
        <v/>
      </c>
      <c r="J309" s="20">
        <f>IF(OR(NOT(ISNUMBER($A309)),ROW()-2&lt;Settings!$B$11),NA(),IF(COUNT(OFFSET(G309,1-Settings!$B$11,0,Settings!$B$11,1))&lt;ROUNDUP(Settings!$B$11*Settings!$B$26,0),NA(),STDEV(OFFSET(G309,1-Settings!$B$11,0,Settings!$B$11,1))*SQRT(Settings!$B$13)))</f>
        <v/>
      </c>
      <c r="K309" s="20">
        <f>IF(OR(NOT(ISNUMBER($A309)),ROW()-2&lt;Settings!$B$12),NA(),IF(COUNT(OFFSET(G309,1-Settings!$B$12,0,Settings!$B$12,1))&lt;ROUNDUP(Settings!$B$12*Settings!$B$26,0),NA(),STDEV(OFFSET(G309,1-Settings!$B$12,0,Settings!$B$12,1))*SQRT(Settings!$B$13)))</f>
        <v/>
      </c>
      <c r="L309" s="20">
        <f>IF(AND(ISNUMBER(D309),ISNUMBER(H309)),D309-H309,NA())</f>
        <v/>
      </c>
      <c r="M309" s="20">
        <f>IF(AND(ISNUMBER(E309),ISNUMBER(K309)),E309-K309,NA())</f>
        <v/>
      </c>
      <c r="N309" s="20">
        <f>IF(NOT(ISNUMBER($A309)),NA(),IF(COUNT(OFFSET(G309,1,0,Settings!$B$12,1))&lt;ROUNDUP(Settings!$B$12*Settings!$B$26,0),NA(),STDEV(OFFSET(G309,1,0,Settings!$B$12,1))*SQRT(Settings!$B$13)))</f>
        <v/>
      </c>
      <c r="O309" s="20">
        <f>IF(AND(ISNUMBER(E309),ISNUMBER(N309)),E309-N309,NA())</f>
        <v/>
      </c>
      <c r="P309" s="19">
        <f>IF(NOT(ISNUMBER($A309)),NA(),IF(OR($A309&lt;MIN(KW_TP!$A$2:$A$2501),$A309&gt;MAX(KW_TP!$A$2:$A$2501)),NA(),INDEX(KW_TP!$C$2:$C$2501,MATCH($A309,KW_TP!$A$2:$A$2501,1))))</f>
        <v/>
      </c>
      <c r="Q309" s="18">
        <f>IF(NOT(ISNUMBER($A309)),NA(),IFERROR(1*INDEX(BBG_Data!$J$2:$J$4000,MATCH($A309,BBG_Data!$I$2:$I$4000,0)),NA()))</f>
        <v/>
      </c>
      <c r="R309" s="18">
        <f>IF(NOT(ISNUMBER($A309)),NA(),IFERROR(1*INDEX(BBG_Data!$L$2:$L$4000,MATCH($A309,BBG_Data!$K$2:$K$4000,0)),NA()))</f>
        <v/>
      </c>
      <c r="S309" s="20">
        <f>IF(AND(ISNUMBER(B309),ISNUMBER(Q309),ISNUMBER(R309)),(B309-Q309-R309)*100,NA())</f>
        <v/>
      </c>
      <c r="T309" s="20">
        <f>IF(AND(ISNUMBER(B309),Settings!$B$17&gt;0),IF(ISNUMBER(INDEX($B:$B,Settings!$B$17)),(B309-INDEX($B:$B,Settings!$B$17))*100,NA()),NA())</f>
        <v/>
      </c>
      <c r="U309" s="20">
        <f>IF(AND(ISNUMBER(Q309),Settings!$B$17&gt;0),IF(ISNUMBER(INDEX($Q:$Q,Settings!$B$17)),(Q309-INDEX($Q:$Q,Settings!$B$17))*100,NA()),NA())</f>
        <v/>
      </c>
      <c r="V309" s="20">
        <f>IF(AND(ISNUMBER(R309),Settings!$B$17&gt;0),IF(ISNUMBER(INDEX($R:$R,Settings!$B$17)),(R309-INDEX($R:$R,Settings!$B$17))*100,NA()),NA())</f>
        <v/>
      </c>
      <c r="W309" s="20">
        <f>IF(AND(ISNUMBER(P309),Settings!$B$17&gt;0),IF(ISNUMBER(INDEX($P:$P,Settings!$B$17)),P309-INDEX($P:$P,Settings!$B$17),NA()),NA())</f>
        <v/>
      </c>
      <c r="X309" s="19">
        <f>IF(NOT(ISNUMBER($A309)),NA(),IF(OR($A309&lt;MIN(DKW_10Y!$A$2:$A$2918),$A309&gt;MAX(DKW_10Y!$A$2:$A$2918),Settings!$B$16&lt;MIN(DKW_10Y!$A$2:$A$2918)),NA(),(INDEX(DKW_10Y!$B$2:$B$2918,MATCH($A309,DKW_10Y!$A$2:$A$2918,1))-INDEX(DKW_10Y!$B$2:$B$2918,MATCH(Settings!$B$16,DKW_10Y!$A$2:$A$2918,1)))*100))</f>
        <v/>
      </c>
      <c r="Y309" s="19">
        <f>IF(NOT(ISNUMBER($A309)),NA(),IF(OR($A309&lt;MIN(DKW_10Y!$A$2:$A$2918),$A309&gt;MAX(DKW_10Y!$A$2:$A$2918),Settings!$B$16&lt;MIN(DKW_10Y!$A$2:$A$2918)),NA(),(INDEX(DKW_10Y!$C$2:$C$2918,MATCH($A309,DKW_10Y!$A$2:$A$2918,1))-INDEX(DKW_10Y!$C$2:$C$2918,MATCH(Settings!$B$16,DKW_10Y!$A$2:$A$2918,1)))*100))</f>
        <v/>
      </c>
      <c r="Z309" s="19">
        <f>IF(NOT(ISNUMBER($A309)),NA(),IF(OR($A309&lt;MIN(DKW_10Y!$A$2:$A$2918),$A309&gt;MAX(DKW_10Y!$A$2:$A$2918),Settings!$B$16&lt;MIN(DKW_10Y!$A$2:$A$2918)),NA(),(INDEX(DKW_10Y!$D$2:$D$2918,MATCH($A309,DKW_10Y!$A$2:$A$2918,1))-INDEX(DKW_10Y!$D$2:$D$2918,MATCH(Settings!$B$16,DKW_10Y!$A$2:$A$2918,1)))*100))</f>
        <v/>
      </c>
      <c r="AA309" s="19">
        <f>IF(NOT(ISNUMBER($A309)),NA(),IF(OR($A309&lt;MIN(DKW_10Y!$A$2:$A$2918),$A309&gt;MAX(DKW_10Y!$A$2:$A$2918),Settings!$B$16&lt;MIN(DKW_10Y!$A$2:$A$2918)),NA(),(INDEX(DKW_10Y!$E$2:$E$2918,MATCH($A309,DKW_10Y!$A$2:$A$2918,1))-INDEX(DKW_10Y!$E$2:$E$2918,MATCH(Settings!$B$16,DKW_10Y!$A$2:$A$2918,1)))*100))</f>
        <v/>
      </c>
      <c r="AB309" s="19">
        <f>IF(NOT(ISNUMBER($A309)),NA(),IF(OR($A309&lt;MIN(DKW_10Y!$A$2:$A$2918),$A309&gt;MAX(DKW_10Y!$A$2:$A$2918),Settings!$B$16&lt;MIN(DKW_10Y!$A$2:$A$2918)),NA(),(INDEX(DKW_10Y!$H$2:$H$2918,MATCH($A309,DKW_10Y!$A$2:$A$2918,1))-INDEX(DKW_10Y!$H$2:$H$2918,MATCH(Settings!$B$16,DKW_10Y!$A$2:$A$2918,1)))*100))</f>
        <v/>
      </c>
      <c r="AC309" s="18">
        <f>IF(NOT(ISNUMBER($A309)),NA(),IFERROR(1*INDEX(BBG_Data!$N$2:$N$4000,MATCH($A309,BBG_Data!$M$2:$M$4000,0)),NA()))</f>
        <v/>
      </c>
      <c r="AD309" s="18">
        <f>IF(NOT(ISNUMBER($A309)),NA(),IFERROR(1*INDEX(BBG_Data!$P$2:$P$4000,MATCH($A309,BBG_Data!$O$2:$O$4000,0)),NA()))</f>
        <v/>
      </c>
      <c r="AE309" s="18">
        <f>IF(NOT(ISNUMBER($A309)),NA(),IFERROR(1*INDEX(BBG_Data!$R$2:$R$4000,MATCH($A309,BBG_Data!$Q$2:$Q$4000,0)),NA()))</f>
        <v/>
      </c>
      <c r="AF309" s="20">
        <f>IF(AND(ISNUMBER(B309),ISNUMBER(AC309)),(B309-AC309)*100,NA())</f>
        <v/>
      </c>
      <c r="AG309" s="20">
        <f>IF(AND(ISNUMBER(AE309),ISNUMBER(AD309)),(AE309-AD309)*100,NA())</f>
        <v/>
      </c>
      <c r="AH309" s="19">
        <f>IF(NOT(ISNUMBER($A309)),NA(),IFERROR(INDEX(BBG_Data!$T$2:$T$4000,MATCH($A309,BBG_Data!$S$2:$S$4000,0))*Settings!$B$25,NA()))</f>
        <v/>
      </c>
      <c r="AI309" s="19">
        <f>IF(NOT(ISNUMBER($A309)),NA(),IFERROR(INDEX(BBG_Data!$V$2:$V$4000,MATCH($A309,BBG_Data!$U$2:$U$4000,0))*Settings!$B$25,NA()))</f>
        <v/>
      </c>
      <c r="AJ309" s="19">
        <f>IF(NOT(ISNUMBER($A309)),NA(),IFERROR(1*INDEX(BBG_Data!$X$2:$X$4000,MATCH($A309,BBG_Data!$W$2:$W$4000,0)),NA()))</f>
        <v/>
      </c>
      <c r="AK309" s="19">
        <f>IF(NOT(ISNUMBER($A309)),NA(),IFERROR(1*INDEX(BBG_Data!$Z$2:$Z$4000,MATCH($A309,BBG_Data!$Y$2:$Y$4000,0)),NA()))</f>
        <v/>
      </c>
    </row>
    <row r="310">
      <c r="A310" s="17">
        <f>IF(ISNUMBER(BBG_Data!A310),BBG_Data!A310,"")</f>
        <v/>
      </c>
      <c r="B310" s="18">
        <f>IF(AND(ISNUMBER($A310),ISNUMBER(BBG_Data!B310)),BBG_Data!B310,NA())</f>
        <v/>
      </c>
      <c r="C310" s="18">
        <f>IF(NOT(ISNUMBER($A310)),NA(),IFERROR(1*INDEX(BBG_Data!$D$2:$D$4000,MATCH($A310,BBG_Data!$C$2:$C$4000,0)),NA()))</f>
        <v/>
      </c>
      <c r="D310" s="19">
        <f>IF(NOT(ISNUMBER($A310)),NA(),IFERROR(1*INDEX(BBG_Data!$F$2:$F$4000,MATCH($A310,BBG_Data!$E$2:$E$4000,0)),NA()))</f>
        <v/>
      </c>
      <c r="E310" s="19">
        <f>IF(NOT(ISNUMBER($A310)),NA(),IFERROR(1*INDEX(BBG_Data!$H$2:$H$4000,MATCH($A310,BBG_Data!$G$2:$G$4000,0)),NA()))</f>
        <v/>
      </c>
      <c r="F310" s="20">
        <f>IF(AND(ISNUMBER(B310),ISNUMBER(B309)),IF(B310=B309,"",(B310-B309)*100),"")</f>
        <v/>
      </c>
      <c r="G310" s="20">
        <f>IF(AND(ISNUMBER(C310),ISNUMBER(C309)),IF(C310=C309,"",(C310-C309)*100),"")</f>
        <v/>
      </c>
      <c r="H310" s="20">
        <f>IF(OR(NOT(ISNUMBER($A310)),ROW()-2&lt;Settings!$B$11),NA(),IF(COUNT(OFFSET(F310,1-Settings!$B$11,0,Settings!$B$11,1))&lt;ROUNDUP(Settings!$B$11*Settings!$B$26,0),NA(),STDEV(OFFSET(F310,1-Settings!$B$11,0,Settings!$B$11,1))*SQRT(Settings!$B$13)))</f>
        <v/>
      </c>
      <c r="I310" s="20">
        <f>IF(OR(NOT(ISNUMBER($A310)),ROW()-2&lt;Settings!$B$12),NA(),IF(COUNT(OFFSET(F310,1-Settings!$B$12,0,Settings!$B$12,1))&lt;ROUNDUP(Settings!$B$12*Settings!$B$26,0),NA(),STDEV(OFFSET(F310,1-Settings!$B$12,0,Settings!$B$12,1))*SQRT(Settings!$B$13)))</f>
        <v/>
      </c>
      <c r="J310" s="20">
        <f>IF(OR(NOT(ISNUMBER($A310)),ROW()-2&lt;Settings!$B$11),NA(),IF(COUNT(OFFSET(G310,1-Settings!$B$11,0,Settings!$B$11,1))&lt;ROUNDUP(Settings!$B$11*Settings!$B$26,0),NA(),STDEV(OFFSET(G310,1-Settings!$B$11,0,Settings!$B$11,1))*SQRT(Settings!$B$13)))</f>
        <v/>
      </c>
      <c r="K310" s="20">
        <f>IF(OR(NOT(ISNUMBER($A310)),ROW()-2&lt;Settings!$B$12),NA(),IF(COUNT(OFFSET(G310,1-Settings!$B$12,0,Settings!$B$12,1))&lt;ROUNDUP(Settings!$B$12*Settings!$B$26,0),NA(),STDEV(OFFSET(G310,1-Settings!$B$12,0,Settings!$B$12,1))*SQRT(Settings!$B$13)))</f>
        <v/>
      </c>
      <c r="L310" s="20">
        <f>IF(AND(ISNUMBER(D310),ISNUMBER(H310)),D310-H310,NA())</f>
        <v/>
      </c>
      <c r="M310" s="20">
        <f>IF(AND(ISNUMBER(E310),ISNUMBER(K310)),E310-K310,NA())</f>
        <v/>
      </c>
      <c r="N310" s="20">
        <f>IF(NOT(ISNUMBER($A310)),NA(),IF(COUNT(OFFSET(G310,1,0,Settings!$B$12,1))&lt;ROUNDUP(Settings!$B$12*Settings!$B$26,0),NA(),STDEV(OFFSET(G310,1,0,Settings!$B$12,1))*SQRT(Settings!$B$13)))</f>
        <v/>
      </c>
      <c r="O310" s="20">
        <f>IF(AND(ISNUMBER(E310),ISNUMBER(N310)),E310-N310,NA())</f>
        <v/>
      </c>
      <c r="P310" s="19">
        <f>IF(NOT(ISNUMBER($A310)),NA(),IF(OR($A310&lt;MIN(KW_TP!$A$2:$A$2501),$A310&gt;MAX(KW_TP!$A$2:$A$2501)),NA(),INDEX(KW_TP!$C$2:$C$2501,MATCH($A310,KW_TP!$A$2:$A$2501,1))))</f>
        <v/>
      </c>
      <c r="Q310" s="18">
        <f>IF(NOT(ISNUMBER($A310)),NA(),IFERROR(1*INDEX(BBG_Data!$J$2:$J$4000,MATCH($A310,BBG_Data!$I$2:$I$4000,0)),NA()))</f>
        <v/>
      </c>
      <c r="R310" s="18">
        <f>IF(NOT(ISNUMBER($A310)),NA(),IFERROR(1*INDEX(BBG_Data!$L$2:$L$4000,MATCH($A310,BBG_Data!$K$2:$K$4000,0)),NA()))</f>
        <v/>
      </c>
      <c r="S310" s="20">
        <f>IF(AND(ISNUMBER(B310),ISNUMBER(Q310),ISNUMBER(R310)),(B310-Q310-R310)*100,NA())</f>
        <v/>
      </c>
      <c r="T310" s="20">
        <f>IF(AND(ISNUMBER(B310),Settings!$B$17&gt;0),IF(ISNUMBER(INDEX($B:$B,Settings!$B$17)),(B310-INDEX($B:$B,Settings!$B$17))*100,NA()),NA())</f>
        <v/>
      </c>
      <c r="U310" s="20">
        <f>IF(AND(ISNUMBER(Q310),Settings!$B$17&gt;0),IF(ISNUMBER(INDEX($Q:$Q,Settings!$B$17)),(Q310-INDEX($Q:$Q,Settings!$B$17))*100,NA()),NA())</f>
        <v/>
      </c>
      <c r="V310" s="20">
        <f>IF(AND(ISNUMBER(R310),Settings!$B$17&gt;0),IF(ISNUMBER(INDEX($R:$R,Settings!$B$17)),(R310-INDEX($R:$R,Settings!$B$17))*100,NA()),NA())</f>
        <v/>
      </c>
      <c r="W310" s="20">
        <f>IF(AND(ISNUMBER(P310),Settings!$B$17&gt;0),IF(ISNUMBER(INDEX($P:$P,Settings!$B$17)),P310-INDEX($P:$P,Settings!$B$17),NA()),NA())</f>
        <v/>
      </c>
      <c r="X310" s="19">
        <f>IF(NOT(ISNUMBER($A310)),NA(),IF(OR($A310&lt;MIN(DKW_10Y!$A$2:$A$2918),$A310&gt;MAX(DKW_10Y!$A$2:$A$2918),Settings!$B$16&lt;MIN(DKW_10Y!$A$2:$A$2918)),NA(),(INDEX(DKW_10Y!$B$2:$B$2918,MATCH($A310,DKW_10Y!$A$2:$A$2918,1))-INDEX(DKW_10Y!$B$2:$B$2918,MATCH(Settings!$B$16,DKW_10Y!$A$2:$A$2918,1)))*100))</f>
        <v/>
      </c>
      <c r="Y310" s="19">
        <f>IF(NOT(ISNUMBER($A310)),NA(),IF(OR($A310&lt;MIN(DKW_10Y!$A$2:$A$2918),$A310&gt;MAX(DKW_10Y!$A$2:$A$2918),Settings!$B$16&lt;MIN(DKW_10Y!$A$2:$A$2918)),NA(),(INDEX(DKW_10Y!$C$2:$C$2918,MATCH($A310,DKW_10Y!$A$2:$A$2918,1))-INDEX(DKW_10Y!$C$2:$C$2918,MATCH(Settings!$B$16,DKW_10Y!$A$2:$A$2918,1)))*100))</f>
        <v/>
      </c>
      <c r="Z310" s="19">
        <f>IF(NOT(ISNUMBER($A310)),NA(),IF(OR($A310&lt;MIN(DKW_10Y!$A$2:$A$2918),$A310&gt;MAX(DKW_10Y!$A$2:$A$2918),Settings!$B$16&lt;MIN(DKW_10Y!$A$2:$A$2918)),NA(),(INDEX(DKW_10Y!$D$2:$D$2918,MATCH($A310,DKW_10Y!$A$2:$A$2918,1))-INDEX(DKW_10Y!$D$2:$D$2918,MATCH(Settings!$B$16,DKW_10Y!$A$2:$A$2918,1)))*100))</f>
        <v/>
      </c>
      <c r="AA310" s="19">
        <f>IF(NOT(ISNUMBER($A310)),NA(),IF(OR($A310&lt;MIN(DKW_10Y!$A$2:$A$2918),$A310&gt;MAX(DKW_10Y!$A$2:$A$2918),Settings!$B$16&lt;MIN(DKW_10Y!$A$2:$A$2918)),NA(),(INDEX(DKW_10Y!$E$2:$E$2918,MATCH($A310,DKW_10Y!$A$2:$A$2918,1))-INDEX(DKW_10Y!$E$2:$E$2918,MATCH(Settings!$B$16,DKW_10Y!$A$2:$A$2918,1)))*100))</f>
        <v/>
      </c>
      <c r="AB310" s="19">
        <f>IF(NOT(ISNUMBER($A310)),NA(),IF(OR($A310&lt;MIN(DKW_10Y!$A$2:$A$2918),$A310&gt;MAX(DKW_10Y!$A$2:$A$2918),Settings!$B$16&lt;MIN(DKW_10Y!$A$2:$A$2918)),NA(),(INDEX(DKW_10Y!$H$2:$H$2918,MATCH($A310,DKW_10Y!$A$2:$A$2918,1))-INDEX(DKW_10Y!$H$2:$H$2918,MATCH(Settings!$B$16,DKW_10Y!$A$2:$A$2918,1)))*100))</f>
        <v/>
      </c>
      <c r="AC310" s="18">
        <f>IF(NOT(ISNUMBER($A310)),NA(),IFERROR(1*INDEX(BBG_Data!$N$2:$N$4000,MATCH($A310,BBG_Data!$M$2:$M$4000,0)),NA()))</f>
        <v/>
      </c>
      <c r="AD310" s="18">
        <f>IF(NOT(ISNUMBER($A310)),NA(),IFERROR(1*INDEX(BBG_Data!$P$2:$P$4000,MATCH($A310,BBG_Data!$O$2:$O$4000,0)),NA()))</f>
        <v/>
      </c>
      <c r="AE310" s="18">
        <f>IF(NOT(ISNUMBER($A310)),NA(),IFERROR(1*INDEX(BBG_Data!$R$2:$R$4000,MATCH($A310,BBG_Data!$Q$2:$Q$4000,0)),NA()))</f>
        <v/>
      </c>
      <c r="AF310" s="20">
        <f>IF(AND(ISNUMBER(B310),ISNUMBER(AC310)),(B310-AC310)*100,NA())</f>
        <v/>
      </c>
      <c r="AG310" s="20">
        <f>IF(AND(ISNUMBER(AE310),ISNUMBER(AD310)),(AE310-AD310)*100,NA())</f>
        <v/>
      </c>
      <c r="AH310" s="19">
        <f>IF(NOT(ISNUMBER($A310)),NA(),IFERROR(INDEX(BBG_Data!$T$2:$T$4000,MATCH($A310,BBG_Data!$S$2:$S$4000,0))*Settings!$B$25,NA()))</f>
        <v/>
      </c>
      <c r="AI310" s="19">
        <f>IF(NOT(ISNUMBER($A310)),NA(),IFERROR(INDEX(BBG_Data!$V$2:$V$4000,MATCH($A310,BBG_Data!$U$2:$U$4000,0))*Settings!$B$25,NA()))</f>
        <v/>
      </c>
      <c r="AJ310" s="19">
        <f>IF(NOT(ISNUMBER($A310)),NA(),IFERROR(1*INDEX(BBG_Data!$X$2:$X$4000,MATCH($A310,BBG_Data!$W$2:$W$4000,0)),NA()))</f>
        <v/>
      </c>
      <c r="AK310" s="19">
        <f>IF(NOT(ISNUMBER($A310)),NA(),IFERROR(1*INDEX(BBG_Data!$Z$2:$Z$4000,MATCH($A310,BBG_Data!$Y$2:$Y$4000,0)),NA()))</f>
        <v/>
      </c>
    </row>
    <row r="311">
      <c r="A311" s="17">
        <f>IF(ISNUMBER(BBG_Data!A311),BBG_Data!A311,"")</f>
        <v/>
      </c>
      <c r="B311" s="18">
        <f>IF(AND(ISNUMBER($A311),ISNUMBER(BBG_Data!B311)),BBG_Data!B311,NA())</f>
        <v/>
      </c>
      <c r="C311" s="18">
        <f>IF(NOT(ISNUMBER($A311)),NA(),IFERROR(1*INDEX(BBG_Data!$D$2:$D$4000,MATCH($A311,BBG_Data!$C$2:$C$4000,0)),NA()))</f>
        <v/>
      </c>
      <c r="D311" s="19">
        <f>IF(NOT(ISNUMBER($A311)),NA(),IFERROR(1*INDEX(BBG_Data!$F$2:$F$4000,MATCH($A311,BBG_Data!$E$2:$E$4000,0)),NA()))</f>
        <v/>
      </c>
      <c r="E311" s="19">
        <f>IF(NOT(ISNUMBER($A311)),NA(),IFERROR(1*INDEX(BBG_Data!$H$2:$H$4000,MATCH($A311,BBG_Data!$G$2:$G$4000,0)),NA()))</f>
        <v/>
      </c>
      <c r="F311" s="20">
        <f>IF(AND(ISNUMBER(B311),ISNUMBER(B310)),IF(B311=B310,"",(B311-B310)*100),"")</f>
        <v/>
      </c>
      <c r="G311" s="20">
        <f>IF(AND(ISNUMBER(C311),ISNUMBER(C310)),IF(C311=C310,"",(C311-C310)*100),"")</f>
        <v/>
      </c>
      <c r="H311" s="20">
        <f>IF(OR(NOT(ISNUMBER($A311)),ROW()-2&lt;Settings!$B$11),NA(),IF(COUNT(OFFSET(F311,1-Settings!$B$11,0,Settings!$B$11,1))&lt;ROUNDUP(Settings!$B$11*Settings!$B$26,0),NA(),STDEV(OFFSET(F311,1-Settings!$B$11,0,Settings!$B$11,1))*SQRT(Settings!$B$13)))</f>
        <v/>
      </c>
      <c r="I311" s="20">
        <f>IF(OR(NOT(ISNUMBER($A311)),ROW()-2&lt;Settings!$B$12),NA(),IF(COUNT(OFFSET(F311,1-Settings!$B$12,0,Settings!$B$12,1))&lt;ROUNDUP(Settings!$B$12*Settings!$B$26,0),NA(),STDEV(OFFSET(F311,1-Settings!$B$12,0,Settings!$B$12,1))*SQRT(Settings!$B$13)))</f>
        <v/>
      </c>
      <c r="J311" s="20">
        <f>IF(OR(NOT(ISNUMBER($A311)),ROW()-2&lt;Settings!$B$11),NA(),IF(COUNT(OFFSET(G311,1-Settings!$B$11,0,Settings!$B$11,1))&lt;ROUNDUP(Settings!$B$11*Settings!$B$26,0),NA(),STDEV(OFFSET(G311,1-Settings!$B$11,0,Settings!$B$11,1))*SQRT(Settings!$B$13)))</f>
        <v/>
      </c>
      <c r="K311" s="20">
        <f>IF(OR(NOT(ISNUMBER($A311)),ROW()-2&lt;Settings!$B$12),NA(),IF(COUNT(OFFSET(G311,1-Settings!$B$12,0,Settings!$B$12,1))&lt;ROUNDUP(Settings!$B$12*Settings!$B$26,0),NA(),STDEV(OFFSET(G311,1-Settings!$B$12,0,Settings!$B$12,1))*SQRT(Settings!$B$13)))</f>
        <v/>
      </c>
      <c r="L311" s="20">
        <f>IF(AND(ISNUMBER(D311),ISNUMBER(H311)),D311-H311,NA())</f>
        <v/>
      </c>
      <c r="M311" s="20">
        <f>IF(AND(ISNUMBER(E311),ISNUMBER(K311)),E311-K311,NA())</f>
        <v/>
      </c>
      <c r="N311" s="20">
        <f>IF(NOT(ISNUMBER($A311)),NA(),IF(COUNT(OFFSET(G311,1,0,Settings!$B$12,1))&lt;ROUNDUP(Settings!$B$12*Settings!$B$26,0),NA(),STDEV(OFFSET(G311,1,0,Settings!$B$12,1))*SQRT(Settings!$B$13)))</f>
        <v/>
      </c>
      <c r="O311" s="20">
        <f>IF(AND(ISNUMBER(E311),ISNUMBER(N311)),E311-N311,NA())</f>
        <v/>
      </c>
      <c r="P311" s="19">
        <f>IF(NOT(ISNUMBER($A311)),NA(),IF(OR($A311&lt;MIN(KW_TP!$A$2:$A$2501),$A311&gt;MAX(KW_TP!$A$2:$A$2501)),NA(),INDEX(KW_TP!$C$2:$C$2501,MATCH($A311,KW_TP!$A$2:$A$2501,1))))</f>
        <v/>
      </c>
      <c r="Q311" s="18">
        <f>IF(NOT(ISNUMBER($A311)),NA(),IFERROR(1*INDEX(BBG_Data!$J$2:$J$4000,MATCH($A311,BBG_Data!$I$2:$I$4000,0)),NA()))</f>
        <v/>
      </c>
      <c r="R311" s="18">
        <f>IF(NOT(ISNUMBER($A311)),NA(),IFERROR(1*INDEX(BBG_Data!$L$2:$L$4000,MATCH($A311,BBG_Data!$K$2:$K$4000,0)),NA()))</f>
        <v/>
      </c>
      <c r="S311" s="20">
        <f>IF(AND(ISNUMBER(B311),ISNUMBER(Q311),ISNUMBER(R311)),(B311-Q311-R311)*100,NA())</f>
        <v/>
      </c>
      <c r="T311" s="20">
        <f>IF(AND(ISNUMBER(B311),Settings!$B$17&gt;0),IF(ISNUMBER(INDEX($B:$B,Settings!$B$17)),(B311-INDEX($B:$B,Settings!$B$17))*100,NA()),NA())</f>
        <v/>
      </c>
      <c r="U311" s="20">
        <f>IF(AND(ISNUMBER(Q311),Settings!$B$17&gt;0),IF(ISNUMBER(INDEX($Q:$Q,Settings!$B$17)),(Q311-INDEX($Q:$Q,Settings!$B$17))*100,NA()),NA())</f>
        <v/>
      </c>
      <c r="V311" s="20">
        <f>IF(AND(ISNUMBER(R311),Settings!$B$17&gt;0),IF(ISNUMBER(INDEX($R:$R,Settings!$B$17)),(R311-INDEX($R:$R,Settings!$B$17))*100,NA()),NA())</f>
        <v/>
      </c>
      <c r="W311" s="20">
        <f>IF(AND(ISNUMBER(P311),Settings!$B$17&gt;0),IF(ISNUMBER(INDEX($P:$P,Settings!$B$17)),P311-INDEX($P:$P,Settings!$B$17),NA()),NA())</f>
        <v/>
      </c>
      <c r="X311" s="19">
        <f>IF(NOT(ISNUMBER($A311)),NA(),IF(OR($A311&lt;MIN(DKW_10Y!$A$2:$A$2918),$A311&gt;MAX(DKW_10Y!$A$2:$A$2918),Settings!$B$16&lt;MIN(DKW_10Y!$A$2:$A$2918)),NA(),(INDEX(DKW_10Y!$B$2:$B$2918,MATCH($A311,DKW_10Y!$A$2:$A$2918,1))-INDEX(DKW_10Y!$B$2:$B$2918,MATCH(Settings!$B$16,DKW_10Y!$A$2:$A$2918,1)))*100))</f>
        <v/>
      </c>
      <c r="Y311" s="19">
        <f>IF(NOT(ISNUMBER($A311)),NA(),IF(OR($A311&lt;MIN(DKW_10Y!$A$2:$A$2918),$A311&gt;MAX(DKW_10Y!$A$2:$A$2918),Settings!$B$16&lt;MIN(DKW_10Y!$A$2:$A$2918)),NA(),(INDEX(DKW_10Y!$C$2:$C$2918,MATCH($A311,DKW_10Y!$A$2:$A$2918,1))-INDEX(DKW_10Y!$C$2:$C$2918,MATCH(Settings!$B$16,DKW_10Y!$A$2:$A$2918,1)))*100))</f>
        <v/>
      </c>
      <c r="Z311" s="19">
        <f>IF(NOT(ISNUMBER($A311)),NA(),IF(OR($A311&lt;MIN(DKW_10Y!$A$2:$A$2918),$A311&gt;MAX(DKW_10Y!$A$2:$A$2918),Settings!$B$16&lt;MIN(DKW_10Y!$A$2:$A$2918)),NA(),(INDEX(DKW_10Y!$D$2:$D$2918,MATCH($A311,DKW_10Y!$A$2:$A$2918,1))-INDEX(DKW_10Y!$D$2:$D$2918,MATCH(Settings!$B$16,DKW_10Y!$A$2:$A$2918,1)))*100))</f>
        <v/>
      </c>
      <c r="AA311" s="19">
        <f>IF(NOT(ISNUMBER($A311)),NA(),IF(OR($A311&lt;MIN(DKW_10Y!$A$2:$A$2918),$A311&gt;MAX(DKW_10Y!$A$2:$A$2918),Settings!$B$16&lt;MIN(DKW_10Y!$A$2:$A$2918)),NA(),(INDEX(DKW_10Y!$E$2:$E$2918,MATCH($A311,DKW_10Y!$A$2:$A$2918,1))-INDEX(DKW_10Y!$E$2:$E$2918,MATCH(Settings!$B$16,DKW_10Y!$A$2:$A$2918,1)))*100))</f>
        <v/>
      </c>
      <c r="AB311" s="19">
        <f>IF(NOT(ISNUMBER($A311)),NA(),IF(OR($A311&lt;MIN(DKW_10Y!$A$2:$A$2918),$A311&gt;MAX(DKW_10Y!$A$2:$A$2918),Settings!$B$16&lt;MIN(DKW_10Y!$A$2:$A$2918)),NA(),(INDEX(DKW_10Y!$H$2:$H$2918,MATCH($A311,DKW_10Y!$A$2:$A$2918,1))-INDEX(DKW_10Y!$H$2:$H$2918,MATCH(Settings!$B$16,DKW_10Y!$A$2:$A$2918,1)))*100))</f>
        <v/>
      </c>
      <c r="AC311" s="18">
        <f>IF(NOT(ISNUMBER($A311)),NA(),IFERROR(1*INDEX(BBG_Data!$N$2:$N$4000,MATCH($A311,BBG_Data!$M$2:$M$4000,0)),NA()))</f>
        <v/>
      </c>
      <c r="AD311" s="18">
        <f>IF(NOT(ISNUMBER($A311)),NA(),IFERROR(1*INDEX(BBG_Data!$P$2:$P$4000,MATCH($A311,BBG_Data!$O$2:$O$4000,0)),NA()))</f>
        <v/>
      </c>
      <c r="AE311" s="18">
        <f>IF(NOT(ISNUMBER($A311)),NA(),IFERROR(1*INDEX(BBG_Data!$R$2:$R$4000,MATCH($A311,BBG_Data!$Q$2:$Q$4000,0)),NA()))</f>
        <v/>
      </c>
      <c r="AF311" s="20">
        <f>IF(AND(ISNUMBER(B311),ISNUMBER(AC311)),(B311-AC311)*100,NA())</f>
        <v/>
      </c>
      <c r="AG311" s="20">
        <f>IF(AND(ISNUMBER(AE311),ISNUMBER(AD311)),(AE311-AD311)*100,NA())</f>
        <v/>
      </c>
      <c r="AH311" s="19">
        <f>IF(NOT(ISNUMBER($A311)),NA(),IFERROR(INDEX(BBG_Data!$T$2:$T$4000,MATCH($A311,BBG_Data!$S$2:$S$4000,0))*Settings!$B$25,NA()))</f>
        <v/>
      </c>
      <c r="AI311" s="19">
        <f>IF(NOT(ISNUMBER($A311)),NA(),IFERROR(INDEX(BBG_Data!$V$2:$V$4000,MATCH($A311,BBG_Data!$U$2:$U$4000,0))*Settings!$B$25,NA()))</f>
        <v/>
      </c>
      <c r="AJ311" s="19">
        <f>IF(NOT(ISNUMBER($A311)),NA(),IFERROR(1*INDEX(BBG_Data!$X$2:$X$4000,MATCH($A311,BBG_Data!$W$2:$W$4000,0)),NA()))</f>
        <v/>
      </c>
      <c r="AK311" s="19">
        <f>IF(NOT(ISNUMBER($A311)),NA(),IFERROR(1*INDEX(BBG_Data!$Z$2:$Z$4000,MATCH($A311,BBG_Data!$Y$2:$Y$4000,0)),NA()))</f>
        <v/>
      </c>
    </row>
    <row r="312">
      <c r="A312" s="17">
        <f>IF(ISNUMBER(BBG_Data!A312),BBG_Data!A312,"")</f>
        <v/>
      </c>
      <c r="B312" s="18">
        <f>IF(AND(ISNUMBER($A312),ISNUMBER(BBG_Data!B312)),BBG_Data!B312,NA())</f>
        <v/>
      </c>
      <c r="C312" s="18">
        <f>IF(NOT(ISNUMBER($A312)),NA(),IFERROR(1*INDEX(BBG_Data!$D$2:$D$4000,MATCH($A312,BBG_Data!$C$2:$C$4000,0)),NA()))</f>
        <v/>
      </c>
      <c r="D312" s="19">
        <f>IF(NOT(ISNUMBER($A312)),NA(),IFERROR(1*INDEX(BBG_Data!$F$2:$F$4000,MATCH($A312,BBG_Data!$E$2:$E$4000,0)),NA()))</f>
        <v/>
      </c>
      <c r="E312" s="19">
        <f>IF(NOT(ISNUMBER($A312)),NA(),IFERROR(1*INDEX(BBG_Data!$H$2:$H$4000,MATCH($A312,BBG_Data!$G$2:$G$4000,0)),NA()))</f>
        <v/>
      </c>
      <c r="F312" s="20">
        <f>IF(AND(ISNUMBER(B312),ISNUMBER(B311)),IF(B312=B311,"",(B312-B311)*100),"")</f>
        <v/>
      </c>
      <c r="G312" s="20">
        <f>IF(AND(ISNUMBER(C312),ISNUMBER(C311)),IF(C312=C311,"",(C312-C311)*100),"")</f>
        <v/>
      </c>
      <c r="H312" s="20">
        <f>IF(OR(NOT(ISNUMBER($A312)),ROW()-2&lt;Settings!$B$11),NA(),IF(COUNT(OFFSET(F312,1-Settings!$B$11,0,Settings!$B$11,1))&lt;ROUNDUP(Settings!$B$11*Settings!$B$26,0),NA(),STDEV(OFFSET(F312,1-Settings!$B$11,0,Settings!$B$11,1))*SQRT(Settings!$B$13)))</f>
        <v/>
      </c>
      <c r="I312" s="20">
        <f>IF(OR(NOT(ISNUMBER($A312)),ROW()-2&lt;Settings!$B$12),NA(),IF(COUNT(OFFSET(F312,1-Settings!$B$12,0,Settings!$B$12,1))&lt;ROUNDUP(Settings!$B$12*Settings!$B$26,0),NA(),STDEV(OFFSET(F312,1-Settings!$B$12,0,Settings!$B$12,1))*SQRT(Settings!$B$13)))</f>
        <v/>
      </c>
      <c r="J312" s="20">
        <f>IF(OR(NOT(ISNUMBER($A312)),ROW()-2&lt;Settings!$B$11),NA(),IF(COUNT(OFFSET(G312,1-Settings!$B$11,0,Settings!$B$11,1))&lt;ROUNDUP(Settings!$B$11*Settings!$B$26,0),NA(),STDEV(OFFSET(G312,1-Settings!$B$11,0,Settings!$B$11,1))*SQRT(Settings!$B$13)))</f>
        <v/>
      </c>
      <c r="K312" s="20">
        <f>IF(OR(NOT(ISNUMBER($A312)),ROW()-2&lt;Settings!$B$12),NA(),IF(COUNT(OFFSET(G312,1-Settings!$B$12,0,Settings!$B$12,1))&lt;ROUNDUP(Settings!$B$12*Settings!$B$26,0),NA(),STDEV(OFFSET(G312,1-Settings!$B$12,0,Settings!$B$12,1))*SQRT(Settings!$B$13)))</f>
        <v/>
      </c>
      <c r="L312" s="20">
        <f>IF(AND(ISNUMBER(D312),ISNUMBER(H312)),D312-H312,NA())</f>
        <v/>
      </c>
      <c r="M312" s="20">
        <f>IF(AND(ISNUMBER(E312),ISNUMBER(K312)),E312-K312,NA())</f>
        <v/>
      </c>
      <c r="N312" s="20">
        <f>IF(NOT(ISNUMBER($A312)),NA(),IF(COUNT(OFFSET(G312,1,0,Settings!$B$12,1))&lt;ROUNDUP(Settings!$B$12*Settings!$B$26,0),NA(),STDEV(OFFSET(G312,1,0,Settings!$B$12,1))*SQRT(Settings!$B$13)))</f>
        <v/>
      </c>
      <c r="O312" s="20">
        <f>IF(AND(ISNUMBER(E312),ISNUMBER(N312)),E312-N312,NA())</f>
        <v/>
      </c>
      <c r="P312" s="19">
        <f>IF(NOT(ISNUMBER($A312)),NA(),IF(OR($A312&lt;MIN(KW_TP!$A$2:$A$2501),$A312&gt;MAX(KW_TP!$A$2:$A$2501)),NA(),INDEX(KW_TP!$C$2:$C$2501,MATCH($A312,KW_TP!$A$2:$A$2501,1))))</f>
        <v/>
      </c>
      <c r="Q312" s="18">
        <f>IF(NOT(ISNUMBER($A312)),NA(),IFERROR(1*INDEX(BBG_Data!$J$2:$J$4000,MATCH($A312,BBG_Data!$I$2:$I$4000,0)),NA()))</f>
        <v/>
      </c>
      <c r="R312" s="18">
        <f>IF(NOT(ISNUMBER($A312)),NA(),IFERROR(1*INDEX(BBG_Data!$L$2:$L$4000,MATCH($A312,BBG_Data!$K$2:$K$4000,0)),NA()))</f>
        <v/>
      </c>
      <c r="S312" s="20">
        <f>IF(AND(ISNUMBER(B312),ISNUMBER(Q312),ISNUMBER(R312)),(B312-Q312-R312)*100,NA())</f>
        <v/>
      </c>
      <c r="T312" s="20">
        <f>IF(AND(ISNUMBER(B312),Settings!$B$17&gt;0),IF(ISNUMBER(INDEX($B:$B,Settings!$B$17)),(B312-INDEX($B:$B,Settings!$B$17))*100,NA()),NA())</f>
        <v/>
      </c>
      <c r="U312" s="20">
        <f>IF(AND(ISNUMBER(Q312),Settings!$B$17&gt;0),IF(ISNUMBER(INDEX($Q:$Q,Settings!$B$17)),(Q312-INDEX($Q:$Q,Settings!$B$17))*100,NA()),NA())</f>
        <v/>
      </c>
      <c r="V312" s="20">
        <f>IF(AND(ISNUMBER(R312),Settings!$B$17&gt;0),IF(ISNUMBER(INDEX($R:$R,Settings!$B$17)),(R312-INDEX($R:$R,Settings!$B$17))*100,NA()),NA())</f>
        <v/>
      </c>
      <c r="W312" s="20">
        <f>IF(AND(ISNUMBER(P312),Settings!$B$17&gt;0),IF(ISNUMBER(INDEX($P:$P,Settings!$B$17)),P312-INDEX($P:$P,Settings!$B$17),NA()),NA())</f>
        <v/>
      </c>
      <c r="X312" s="19">
        <f>IF(NOT(ISNUMBER($A312)),NA(),IF(OR($A312&lt;MIN(DKW_10Y!$A$2:$A$2918),$A312&gt;MAX(DKW_10Y!$A$2:$A$2918),Settings!$B$16&lt;MIN(DKW_10Y!$A$2:$A$2918)),NA(),(INDEX(DKW_10Y!$B$2:$B$2918,MATCH($A312,DKW_10Y!$A$2:$A$2918,1))-INDEX(DKW_10Y!$B$2:$B$2918,MATCH(Settings!$B$16,DKW_10Y!$A$2:$A$2918,1)))*100))</f>
        <v/>
      </c>
      <c r="Y312" s="19">
        <f>IF(NOT(ISNUMBER($A312)),NA(),IF(OR($A312&lt;MIN(DKW_10Y!$A$2:$A$2918),$A312&gt;MAX(DKW_10Y!$A$2:$A$2918),Settings!$B$16&lt;MIN(DKW_10Y!$A$2:$A$2918)),NA(),(INDEX(DKW_10Y!$C$2:$C$2918,MATCH($A312,DKW_10Y!$A$2:$A$2918,1))-INDEX(DKW_10Y!$C$2:$C$2918,MATCH(Settings!$B$16,DKW_10Y!$A$2:$A$2918,1)))*100))</f>
        <v/>
      </c>
      <c r="Z312" s="19">
        <f>IF(NOT(ISNUMBER($A312)),NA(),IF(OR($A312&lt;MIN(DKW_10Y!$A$2:$A$2918),$A312&gt;MAX(DKW_10Y!$A$2:$A$2918),Settings!$B$16&lt;MIN(DKW_10Y!$A$2:$A$2918)),NA(),(INDEX(DKW_10Y!$D$2:$D$2918,MATCH($A312,DKW_10Y!$A$2:$A$2918,1))-INDEX(DKW_10Y!$D$2:$D$2918,MATCH(Settings!$B$16,DKW_10Y!$A$2:$A$2918,1)))*100))</f>
        <v/>
      </c>
      <c r="AA312" s="19">
        <f>IF(NOT(ISNUMBER($A312)),NA(),IF(OR($A312&lt;MIN(DKW_10Y!$A$2:$A$2918),$A312&gt;MAX(DKW_10Y!$A$2:$A$2918),Settings!$B$16&lt;MIN(DKW_10Y!$A$2:$A$2918)),NA(),(INDEX(DKW_10Y!$E$2:$E$2918,MATCH($A312,DKW_10Y!$A$2:$A$2918,1))-INDEX(DKW_10Y!$E$2:$E$2918,MATCH(Settings!$B$16,DKW_10Y!$A$2:$A$2918,1)))*100))</f>
        <v/>
      </c>
      <c r="AB312" s="19">
        <f>IF(NOT(ISNUMBER($A312)),NA(),IF(OR($A312&lt;MIN(DKW_10Y!$A$2:$A$2918),$A312&gt;MAX(DKW_10Y!$A$2:$A$2918),Settings!$B$16&lt;MIN(DKW_10Y!$A$2:$A$2918)),NA(),(INDEX(DKW_10Y!$H$2:$H$2918,MATCH($A312,DKW_10Y!$A$2:$A$2918,1))-INDEX(DKW_10Y!$H$2:$H$2918,MATCH(Settings!$B$16,DKW_10Y!$A$2:$A$2918,1)))*100))</f>
        <v/>
      </c>
      <c r="AC312" s="18">
        <f>IF(NOT(ISNUMBER($A312)),NA(),IFERROR(1*INDEX(BBG_Data!$N$2:$N$4000,MATCH($A312,BBG_Data!$M$2:$M$4000,0)),NA()))</f>
        <v/>
      </c>
      <c r="AD312" s="18">
        <f>IF(NOT(ISNUMBER($A312)),NA(),IFERROR(1*INDEX(BBG_Data!$P$2:$P$4000,MATCH($A312,BBG_Data!$O$2:$O$4000,0)),NA()))</f>
        <v/>
      </c>
      <c r="AE312" s="18">
        <f>IF(NOT(ISNUMBER($A312)),NA(),IFERROR(1*INDEX(BBG_Data!$R$2:$R$4000,MATCH($A312,BBG_Data!$Q$2:$Q$4000,0)),NA()))</f>
        <v/>
      </c>
      <c r="AF312" s="20">
        <f>IF(AND(ISNUMBER(B312),ISNUMBER(AC312)),(B312-AC312)*100,NA())</f>
        <v/>
      </c>
      <c r="AG312" s="20">
        <f>IF(AND(ISNUMBER(AE312),ISNUMBER(AD312)),(AE312-AD312)*100,NA())</f>
        <v/>
      </c>
      <c r="AH312" s="19">
        <f>IF(NOT(ISNUMBER($A312)),NA(),IFERROR(INDEX(BBG_Data!$T$2:$T$4000,MATCH($A312,BBG_Data!$S$2:$S$4000,0))*Settings!$B$25,NA()))</f>
        <v/>
      </c>
      <c r="AI312" s="19">
        <f>IF(NOT(ISNUMBER($A312)),NA(),IFERROR(INDEX(BBG_Data!$V$2:$V$4000,MATCH($A312,BBG_Data!$U$2:$U$4000,0))*Settings!$B$25,NA()))</f>
        <v/>
      </c>
      <c r="AJ312" s="19">
        <f>IF(NOT(ISNUMBER($A312)),NA(),IFERROR(1*INDEX(BBG_Data!$X$2:$X$4000,MATCH($A312,BBG_Data!$W$2:$W$4000,0)),NA()))</f>
        <v/>
      </c>
      <c r="AK312" s="19">
        <f>IF(NOT(ISNUMBER($A312)),NA(),IFERROR(1*INDEX(BBG_Data!$Z$2:$Z$4000,MATCH($A312,BBG_Data!$Y$2:$Y$4000,0)),NA()))</f>
        <v/>
      </c>
    </row>
    <row r="313">
      <c r="A313" s="17">
        <f>IF(ISNUMBER(BBG_Data!A313),BBG_Data!A313,"")</f>
        <v/>
      </c>
      <c r="B313" s="18">
        <f>IF(AND(ISNUMBER($A313),ISNUMBER(BBG_Data!B313)),BBG_Data!B313,NA())</f>
        <v/>
      </c>
      <c r="C313" s="18">
        <f>IF(NOT(ISNUMBER($A313)),NA(),IFERROR(1*INDEX(BBG_Data!$D$2:$D$4000,MATCH($A313,BBG_Data!$C$2:$C$4000,0)),NA()))</f>
        <v/>
      </c>
      <c r="D313" s="19">
        <f>IF(NOT(ISNUMBER($A313)),NA(),IFERROR(1*INDEX(BBG_Data!$F$2:$F$4000,MATCH($A313,BBG_Data!$E$2:$E$4000,0)),NA()))</f>
        <v/>
      </c>
      <c r="E313" s="19">
        <f>IF(NOT(ISNUMBER($A313)),NA(),IFERROR(1*INDEX(BBG_Data!$H$2:$H$4000,MATCH($A313,BBG_Data!$G$2:$G$4000,0)),NA()))</f>
        <v/>
      </c>
      <c r="F313" s="20">
        <f>IF(AND(ISNUMBER(B313),ISNUMBER(B312)),IF(B313=B312,"",(B313-B312)*100),"")</f>
        <v/>
      </c>
      <c r="G313" s="20">
        <f>IF(AND(ISNUMBER(C313),ISNUMBER(C312)),IF(C313=C312,"",(C313-C312)*100),"")</f>
        <v/>
      </c>
      <c r="H313" s="20">
        <f>IF(OR(NOT(ISNUMBER($A313)),ROW()-2&lt;Settings!$B$11),NA(),IF(COUNT(OFFSET(F313,1-Settings!$B$11,0,Settings!$B$11,1))&lt;ROUNDUP(Settings!$B$11*Settings!$B$26,0),NA(),STDEV(OFFSET(F313,1-Settings!$B$11,0,Settings!$B$11,1))*SQRT(Settings!$B$13)))</f>
        <v/>
      </c>
      <c r="I313" s="20">
        <f>IF(OR(NOT(ISNUMBER($A313)),ROW()-2&lt;Settings!$B$12),NA(),IF(COUNT(OFFSET(F313,1-Settings!$B$12,0,Settings!$B$12,1))&lt;ROUNDUP(Settings!$B$12*Settings!$B$26,0),NA(),STDEV(OFFSET(F313,1-Settings!$B$12,0,Settings!$B$12,1))*SQRT(Settings!$B$13)))</f>
        <v/>
      </c>
      <c r="J313" s="20">
        <f>IF(OR(NOT(ISNUMBER($A313)),ROW()-2&lt;Settings!$B$11),NA(),IF(COUNT(OFFSET(G313,1-Settings!$B$11,0,Settings!$B$11,1))&lt;ROUNDUP(Settings!$B$11*Settings!$B$26,0),NA(),STDEV(OFFSET(G313,1-Settings!$B$11,0,Settings!$B$11,1))*SQRT(Settings!$B$13)))</f>
        <v/>
      </c>
      <c r="K313" s="20">
        <f>IF(OR(NOT(ISNUMBER($A313)),ROW()-2&lt;Settings!$B$12),NA(),IF(COUNT(OFFSET(G313,1-Settings!$B$12,0,Settings!$B$12,1))&lt;ROUNDUP(Settings!$B$12*Settings!$B$26,0),NA(),STDEV(OFFSET(G313,1-Settings!$B$12,0,Settings!$B$12,1))*SQRT(Settings!$B$13)))</f>
        <v/>
      </c>
      <c r="L313" s="20">
        <f>IF(AND(ISNUMBER(D313),ISNUMBER(H313)),D313-H313,NA())</f>
        <v/>
      </c>
      <c r="M313" s="20">
        <f>IF(AND(ISNUMBER(E313),ISNUMBER(K313)),E313-K313,NA())</f>
        <v/>
      </c>
      <c r="N313" s="20">
        <f>IF(NOT(ISNUMBER($A313)),NA(),IF(COUNT(OFFSET(G313,1,0,Settings!$B$12,1))&lt;ROUNDUP(Settings!$B$12*Settings!$B$26,0),NA(),STDEV(OFFSET(G313,1,0,Settings!$B$12,1))*SQRT(Settings!$B$13)))</f>
        <v/>
      </c>
      <c r="O313" s="20">
        <f>IF(AND(ISNUMBER(E313),ISNUMBER(N313)),E313-N313,NA())</f>
        <v/>
      </c>
      <c r="P313" s="19">
        <f>IF(NOT(ISNUMBER($A313)),NA(),IF(OR($A313&lt;MIN(KW_TP!$A$2:$A$2501),$A313&gt;MAX(KW_TP!$A$2:$A$2501)),NA(),INDEX(KW_TP!$C$2:$C$2501,MATCH($A313,KW_TP!$A$2:$A$2501,1))))</f>
        <v/>
      </c>
      <c r="Q313" s="18">
        <f>IF(NOT(ISNUMBER($A313)),NA(),IFERROR(1*INDEX(BBG_Data!$J$2:$J$4000,MATCH($A313,BBG_Data!$I$2:$I$4000,0)),NA()))</f>
        <v/>
      </c>
      <c r="R313" s="18">
        <f>IF(NOT(ISNUMBER($A313)),NA(),IFERROR(1*INDEX(BBG_Data!$L$2:$L$4000,MATCH($A313,BBG_Data!$K$2:$K$4000,0)),NA()))</f>
        <v/>
      </c>
      <c r="S313" s="20">
        <f>IF(AND(ISNUMBER(B313),ISNUMBER(Q313),ISNUMBER(R313)),(B313-Q313-R313)*100,NA())</f>
        <v/>
      </c>
      <c r="T313" s="20">
        <f>IF(AND(ISNUMBER(B313),Settings!$B$17&gt;0),IF(ISNUMBER(INDEX($B:$B,Settings!$B$17)),(B313-INDEX($B:$B,Settings!$B$17))*100,NA()),NA())</f>
        <v/>
      </c>
      <c r="U313" s="20">
        <f>IF(AND(ISNUMBER(Q313),Settings!$B$17&gt;0),IF(ISNUMBER(INDEX($Q:$Q,Settings!$B$17)),(Q313-INDEX($Q:$Q,Settings!$B$17))*100,NA()),NA())</f>
        <v/>
      </c>
      <c r="V313" s="20">
        <f>IF(AND(ISNUMBER(R313),Settings!$B$17&gt;0),IF(ISNUMBER(INDEX($R:$R,Settings!$B$17)),(R313-INDEX($R:$R,Settings!$B$17))*100,NA()),NA())</f>
        <v/>
      </c>
      <c r="W313" s="20">
        <f>IF(AND(ISNUMBER(P313),Settings!$B$17&gt;0),IF(ISNUMBER(INDEX($P:$P,Settings!$B$17)),P313-INDEX($P:$P,Settings!$B$17),NA()),NA())</f>
        <v/>
      </c>
      <c r="X313" s="19">
        <f>IF(NOT(ISNUMBER($A313)),NA(),IF(OR($A313&lt;MIN(DKW_10Y!$A$2:$A$2918),$A313&gt;MAX(DKW_10Y!$A$2:$A$2918),Settings!$B$16&lt;MIN(DKW_10Y!$A$2:$A$2918)),NA(),(INDEX(DKW_10Y!$B$2:$B$2918,MATCH($A313,DKW_10Y!$A$2:$A$2918,1))-INDEX(DKW_10Y!$B$2:$B$2918,MATCH(Settings!$B$16,DKW_10Y!$A$2:$A$2918,1)))*100))</f>
        <v/>
      </c>
      <c r="Y313" s="19">
        <f>IF(NOT(ISNUMBER($A313)),NA(),IF(OR($A313&lt;MIN(DKW_10Y!$A$2:$A$2918),$A313&gt;MAX(DKW_10Y!$A$2:$A$2918),Settings!$B$16&lt;MIN(DKW_10Y!$A$2:$A$2918)),NA(),(INDEX(DKW_10Y!$C$2:$C$2918,MATCH($A313,DKW_10Y!$A$2:$A$2918,1))-INDEX(DKW_10Y!$C$2:$C$2918,MATCH(Settings!$B$16,DKW_10Y!$A$2:$A$2918,1)))*100))</f>
        <v/>
      </c>
      <c r="Z313" s="19">
        <f>IF(NOT(ISNUMBER($A313)),NA(),IF(OR($A313&lt;MIN(DKW_10Y!$A$2:$A$2918),$A313&gt;MAX(DKW_10Y!$A$2:$A$2918),Settings!$B$16&lt;MIN(DKW_10Y!$A$2:$A$2918)),NA(),(INDEX(DKW_10Y!$D$2:$D$2918,MATCH($A313,DKW_10Y!$A$2:$A$2918,1))-INDEX(DKW_10Y!$D$2:$D$2918,MATCH(Settings!$B$16,DKW_10Y!$A$2:$A$2918,1)))*100))</f>
        <v/>
      </c>
      <c r="AA313" s="19">
        <f>IF(NOT(ISNUMBER($A313)),NA(),IF(OR($A313&lt;MIN(DKW_10Y!$A$2:$A$2918),$A313&gt;MAX(DKW_10Y!$A$2:$A$2918),Settings!$B$16&lt;MIN(DKW_10Y!$A$2:$A$2918)),NA(),(INDEX(DKW_10Y!$E$2:$E$2918,MATCH($A313,DKW_10Y!$A$2:$A$2918,1))-INDEX(DKW_10Y!$E$2:$E$2918,MATCH(Settings!$B$16,DKW_10Y!$A$2:$A$2918,1)))*100))</f>
        <v/>
      </c>
      <c r="AB313" s="19">
        <f>IF(NOT(ISNUMBER($A313)),NA(),IF(OR($A313&lt;MIN(DKW_10Y!$A$2:$A$2918),$A313&gt;MAX(DKW_10Y!$A$2:$A$2918),Settings!$B$16&lt;MIN(DKW_10Y!$A$2:$A$2918)),NA(),(INDEX(DKW_10Y!$H$2:$H$2918,MATCH($A313,DKW_10Y!$A$2:$A$2918,1))-INDEX(DKW_10Y!$H$2:$H$2918,MATCH(Settings!$B$16,DKW_10Y!$A$2:$A$2918,1)))*100))</f>
        <v/>
      </c>
      <c r="AC313" s="18">
        <f>IF(NOT(ISNUMBER($A313)),NA(),IFERROR(1*INDEX(BBG_Data!$N$2:$N$4000,MATCH($A313,BBG_Data!$M$2:$M$4000,0)),NA()))</f>
        <v/>
      </c>
      <c r="AD313" s="18">
        <f>IF(NOT(ISNUMBER($A313)),NA(),IFERROR(1*INDEX(BBG_Data!$P$2:$P$4000,MATCH($A313,BBG_Data!$O$2:$O$4000,0)),NA()))</f>
        <v/>
      </c>
      <c r="AE313" s="18">
        <f>IF(NOT(ISNUMBER($A313)),NA(),IFERROR(1*INDEX(BBG_Data!$R$2:$R$4000,MATCH($A313,BBG_Data!$Q$2:$Q$4000,0)),NA()))</f>
        <v/>
      </c>
      <c r="AF313" s="20">
        <f>IF(AND(ISNUMBER(B313),ISNUMBER(AC313)),(B313-AC313)*100,NA())</f>
        <v/>
      </c>
      <c r="AG313" s="20">
        <f>IF(AND(ISNUMBER(AE313),ISNUMBER(AD313)),(AE313-AD313)*100,NA())</f>
        <v/>
      </c>
      <c r="AH313" s="19">
        <f>IF(NOT(ISNUMBER($A313)),NA(),IFERROR(INDEX(BBG_Data!$T$2:$T$4000,MATCH($A313,BBG_Data!$S$2:$S$4000,0))*Settings!$B$25,NA()))</f>
        <v/>
      </c>
      <c r="AI313" s="19">
        <f>IF(NOT(ISNUMBER($A313)),NA(),IFERROR(INDEX(BBG_Data!$V$2:$V$4000,MATCH($A313,BBG_Data!$U$2:$U$4000,0))*Settings!$B$25,NA()))</f>
        <v/>
      </c>
      <c r="AJ313" s="19">
        <f>IF(NOT(ISNUMBER($A313)),NA(),IFERROR(1*INDEX(BBG_Data!$X$2:$X$4000,MATCH($A313,BBG_Data!$W$2:$W$4000,0)),NA()))</f>
        <v/>
      </c>
      <c r="AK313" s="19">
        <f>IF(NOT(ISNUMBER($A313)),NA(),IFERROR(1*INDEX(BBG_Data!$Z$2:$Z$4000,MATCH($A313,BBG_Data!$Y$2:$Y$4000,0)),NA()))</f>
        <v/>
      </c>
    </row>
    <row r="314">
      <c r="A314" s="17">
        <f>IF(ISNUMBER(BBG_Data!A314),BBG_Data!A314,"")</f>
        <v/>
      </c>
      <c r="B314" s="18">
        <f>IF(AND(ISNUMBER($A314),ISNUMBER(BBG_Data!B314)),BBG_Data!B314,NA())</f>
        <v/>
      </c>
      <c r="C314" s="18">
        <f>IF(NOT(ISNUMBER($A314)),NA(),IFERROR(1*INDEX(BBG_Data!$D$2:$D$4000,MATCH($A314,BBG_Data!$C$2:$C$4000,0)),NA()))</f>
        <v/>
      </c>
      <c r="D314" s="19">
        <f>IF(NOT(ISNUMBER($A314)),NA(),IFERROR(1*INDEX(BBG_Data!$F$2:$F$4000,MATCH($A314,BBG_Data!$E$2:$E$4000,0)),NA()))</f>
        <v/>
      </c>
      <c r="E314" s="19">
        <f>IF(NOT(ISNUMBER($A314)),NA(),IFERROR(1*INDEX(BBG_Data!$H$2:$H$4000,MATCH($A314,BBG_Data!$G$2:$G$4000,0)),NA()))</f>
        <v/>
      </c>
      <c r="F314" s="20">
        <f>IF(AND(ISNUMBER(B314),ISNUMBER(B313)),IF(B314=B313,"",(B314-B313)*100),"")</f>
        <v/>
      </c>
      <c r="G314" s="20">
        <f>IF(AND(ISNUMBER(C314),ISNUMBER(C313)),IF(C314=C313,"",(C314-C313)*100),"")</f>
        <v/>
      </c>
      <c r="H314" s="20">
        <f>IF(OR(NOT(ISNUMBER($A314)),ROW()-2&lt;Settings!$B$11),NA(),IF(COUNT(OFFSET(F314,1-Settings!$B$11,0,Settings!$B$11,1))&lt;ROUNDUP(Settings!$B$11*Settings!$B$26,0),NA(),STDEV(OFFSET(F314,1-Settings!$B$11,0,Settings!$B$11,1))*SQRT(Settings!$B$13)))</f>
        <v/>
      </c>
      <c r="I314" s="20">
        <f>IF(OR(NOT(ISNUMBER($A314)),ROW()-2&lt;Settings!$B$12),NA(),IF(COUNT(OFFSET(F314,1-Settings!$B$12,0,Settings!$B$12,1))&lt;ROUNDUP(Settings!$B$12*Settings!$B$26,0),NA(),STDEV(OFFSET(F314,1-Settings!$B$12,0,Settings!$B$12,1))*SQRT(Settings!$B$13)))</f>
        <v/>
      </c>
      <c r="J314" s="20">
        <f>IF(OR(NOT(ISNUMBER($A314)),ROW()-2&lt;Settings!$B$11),NA(),IF(COUNT(OFFSET(G314,1-Settings!$B$11,0,Settings!$B$11,1))&lt;ROUNDUP(Settings!$B$11*Settings!$B$26,0),NA(),STDEV(OFFSET(G314,1-Settings!$B$11,0,Settings!$B$11,1))*SQRT(Settings!$B$13)))</f>
        <v/>
      </c>
      <c r="K314" s="20">
        <f>IF(OR(NOT(ISNUMBER($A314)),ROW()-2&lt;Settings!$B$12),NA(),IF(COUNT(OFFSET(G314,1-Settings!$B$12,0,Settings!$B$12,1))&lt;ROUNDUP(Settings!$B$12*Settings!$B$26,0),NA(),STDEV(OFFSET(G314,1-Settings!$B$12,0,Settings!$B$12,1))*SQRT(Settings!$B$13)))</f>
        <v/>
      </c>
      <c r="L314" s="20">
        <f>IF(AND(ISNUMBER(D314),ISNUMBER(H314)),D314-H314,NA())</f>
        <v/>
      </c>
      <c r="M314" s="20">
        <f>IF(AND(ISNUMBER(E314),ISNUMBER(K314)),E314-K314,NA())</f>
        <v/>
      </c>
      <c r="N314" s="20">
        <f>IF(NOT(ISNUMBER($A314)),NA(),IF(COUNT(OFFSET(G314,1,0,Settings!$B$12,1))&lt;ROUNDUP(Settings!$B$12*Settings!$B$26,0),NA(),STDEV(OFFSET(G314,1,0,Settings!$B$12,1))*SQRT(Settings!$B$13)))</f>
        <v/>
      </c>
      <c r="O314" s="20">
        <f>IF(AND(ISNUMBER(E314),ISNUMBER(N314)),E314-N314,NA())</f>
        <v/>
      </c>
      <c r="P314" s="19">
        <f>IF(NOT(ISNUMBER($A314)),NA(),IF(OR($A314&lt;MIN(KW_TP!$A$2:$A$2501),$A314&gt;MAX(KW_TP!$A$2:$A$2501)),NA(),INDEX(KW_TP!$C$2:$C$2501,MATCH($A314,KW_TP!$A$2:$A$2501,1))))</f>
        <v/>
      </c>
      <c r="Q314" s="18">
        <f>IF(NOT(ISNUMBER($A314)),NA(),IFERROR(1*INDEX(BBG_Data!$J$2:$J$4000,MATCH($A314,BBG_Data!$I$2:$I$4000,0)),NA()))</f>
        <v/>
      </c>
      <c r="R314" s="18">
        <f>IF(NOT(ISNUMBER($A314)),NA(),IFERROR(1*INDEX(BBG_Data!$L$2:$L$4000,MATCH($A314,BBG_Data!$K$2:$K$4000,0)),NA()))</f>
        <v/>
      </c>
      <c r="S314" s="20">
        <f>IF(AND(ISNUMBER(B314),ISNUMBER(Q314),ISNUMBER(R314)),(B314-Q314-R314)*100,NA())</f>
        <v/>
      </c>
      <c r="T314" s="20">
        <f>IF(AND(ISNUMBER(B314),Settings!$B$17&gt;0),IF(ISNUMBER(INDEX($B:$B,Settings!$B$17)),(B314-INDEX($B:$B,Settings!$B$17))*100,NA()),NA())</f>
        <v/>
      </c>
      <c r="U314" s="20">
        <f>IF(AND(ISNUMBER(Q314),Settings!$B$17&gt;0),IF(ISNUMBER(INDEX($Q:$Q,Settings!$B$17)),(Q314-INDEX($Q:$Q,Settings!$B$17))*100,NA()),NA())</f>
        <v/>
      </c>
      <c r="V314" s="20">
        <f>IF(AND(ISNUMBER(R314),Settings!$B$17&gt;0),IF(ISNUMBER(INDEX($R:$R,Settings!$B$17)),(R314-INDEX($R:$R,Settings!$B$17))*100,NA()),NA())</f>
        <v/>
      </c>
      <c r="W314" s="20">
        <f>IF(AND(ISNUMBER(P314),Settings!$B$17&gt;0),IF(ISNUMBER(INDEX($P:$P,Settings!$B$17)),P314-INDEX($P:$P,Settings!$B$17),NA()),NA())</f>
        <v/>
      </c>
      <c r="X314" s="19">
        <f>IF(NOT(ISNUMBER($A314)),NA(),IF(OR($A314&lt;MIN(DKW_10Y!$A$2:$A$2918),$A314&gt;MAX(DKW_10Y!$A$2:$A$2918),Settings!$B$16&lt;MIN(DKW_10Y!$A$2:$A$2918)),NA(),(INDEX(DKW_10Y!$B$2:$B$2918,MATCH($A314,DKW_10Y!$A$2:$A$2918,1))-INDEX(DKW_10Y!$B$2:$B$2918,MATCH(Settings!$B$16,DKW_10Y!$A$2:$A$2918,1)))*100))</f>
        <v/>
      </c>
      <c r="Y314" s="19">
        <f>IF(NOT(ISNUMBER($A314)),NA(),IF(OR($A314&lt;MIN(DKW_10Y!$A$2:$A$2918),$A314&gt;MAX(DKW_10Y!$A$2:$A$2918),Settings!$B$16&lt;MIN(DKW_10Y!$A$2:$A$2918)),NA(),(INDEX(DKW_10Y!$C$2:$C$2918,MATCH($A314,DKW_10Y!$A$2:$A$2918,1))-INDEX(DKW_10Y!$C$2:$C$2918,MATCH(Settings!$B$16,DKW_10Y!$A$2:$A$2918,1)))*100))</f>
        <v/>
      </c>
      <c r="Z314" s="19">
        <f>IF(NOT(ISNUMBER($A314)),NA(),IF(OR($A314&lt;MIN(DKW_10Y!$A$2:$A$2918),$A314&gt;MAX(DKW_10Y!$A$2:$A$2918),Settings!$B$16&lt;MIN(DKW_10Y!$A$2:$A$2918)),NA(),(INDEX(DKW_10Y!$D$2:$D$2918,MATCH($A314,DKW_10Y!$A$2:$A$2918,1))-INDEX(DKW_10Y!$D$2:$D$2918,MATCH(Settings!$B$16,DKW_10Y!$A$2:$A$2918,1)))*100))</f>
        <v/>
      </c>
      <c r="AA314" s="19">
        <f>IF(NOT(ISNUMBER($A314)),NA(),IF(OR($A314&lt;MIN(DKW_10Y!$A$2:$A$2918),$A314&gt;MAX(DKW_10Y!$A$2:$A$2918),Settings!$B$16&lt;MIN(DKW_10Y!$A$2:$A$2918)),NA(),(INDEX(DKW_10Y!$E$2:$E$2918,MATCH($A314,DKW_10Y!$A$2:$A$2918,1))-INDEX(DKW_10Y!$E$2:$E$2918,MATCH(Settings!$B$16,DKW_10Y!$A$2:$A$2918,1)))*100))</f>
        <v/>
      </c>
      <c r="AB314" s="19">
        <f>IF(NOT(ISNUMBER($A314)),NA(),IF(OR($A314&lt;MIN(DKW_10Y!$A$2:$A$2918),$A314&gt;MAX(DKW_10Y!$A$2:$A$2918),Settings!$B$16&lt;MIN(DKW_10Y!$A$2:$A$2918)),NA(),(INDEX(DKW_10Y!$H$2:$H$2918,MATCH($A314,DKW_10Y!$A$2:$A$2918,1))-INDEX(DKW_10Y!$H$2:$H$2918,MATCH(Settings!$B$16,DKW_10Y!$A$2:$A$2918,1)))*100))</f>
        <v/>
      </c>
      <c r="AC314" s="18">
        <f>IF(NOT(ISNUMBER($A314)),NA(),IFERROR(1*INDEX(BBG_Data!$N$2:$N$4000,MATCH($A314,BBG_Data!$M$2:$M$4000,0)),NA()))</f>
        <v/>
      </c>
      <c r="AD314" s="18">
        <f>IF(NOT(ISNUMBER($A314)),NA(),IFERROR(1*INDEX(BBG_Data!$P$2:$P$4000,MATCH($A314,BBG_Data!$O$2:$O$4000,0)),NA()))</f>
        <v/>
      </c>
      <c r="AE314" s="18">
        <f>IF(NOT(ISNUMBER($A314)),NA(),IFERROR(1*INDEX(BBG_Data!$R$2:$R$4000,MATCH($A314,BBG_Data!$Q$2:$Q$4000,0)),NA()))</f>
        <v/>
      </c>
      <c r="AF314" s="20">
        <f>IF(AND(ISNUMBER(B314),ISNUMBER(AC314)),(B314-AC314)*100,NA())</f>
        <v/>
      </c>
      <c r="AG314" s="20">
        <f>IF(AND(ISNUMBER(AE314),ISNUMBER(AD314)),(AE314-AD314)*100,NA())</f>
        <v/>
      </c>
      <c r="AH314" s="19">
        <f>IF(NOT(ISNUMBER($A314)),NA(),IFERROR(INDEX(BBG_Data!$T$2:$T$4000,MATCH($A314,BBG_Data!$S$2:$S$4000,0))*Settings!$B$25,NA()))</f>
        <v/>
      </c>
      <c r="AI314" s="19">
        <f>IF(NOT(ISNUMBER($A314)),NA(),IFERROR(INDEX(BBG_Data!$V$2:$V$4000,MATCH($A314,BBG_Data!$U$2:$U$4000,0))*Settings!$B$25,NA()))</f>
        <v/>
      </c>
      <c r="AJ314" s="19">
        <f>IF(NOT(ISNUMBER($A314)),NA(),IFERROR(1*INDEX(BBG_Data!$X$2:$X$4000,MATCH($A314,BBG_Data!$W$2:$W$4000,0)),NA()))</f>
        <v/>
      </c>
      <c r="AK314" s="19">
        <f>IF(NOT(ISNUMBER($A314)),NA(),IFERROR(1*INDEX(BBG_Data!$Z$2:$Z$4000,MATCH($A314,BBG_Data!$Y$2:$Y$4000,0)),NA()))</f>
        <v/>
      </c>
    </row>
    <row r="315">
      <c r="A315" s="17">
        <f>IF(ISNUMBER(BBG_Data!A315),BBG_Data!A315,"")</f>
        <v/>
      </c>
      <c r="B315" s="18">
        <f>IF(AND(ISNUMBER($A315),ISNUMBER(BBG_Data!B315)),BBG_Data!B315,NA())</f>
        <v/>
      </c>
      <c r="C315" s="18">
        <f>IF(NOT(ISNUMBER($A315)),NA(),IFERROR(1*INDEX(BBG_Data!$D$2:$D$4000,MATCH($A315,BBG_Data!$C$2:$C$4000,0)),NA()))</f>
        <v/>
      </c>
      <c r="D315" s="19">
        <f>IF(NOT(ISNUMBER($A315)),NA(),IFERROR(1*INDEX(BBG_Data!$F$2:$F$4000,MATCH($A315,BBG_Data!$E$2:$E$4000,0)),NA()))</f>
        <v/>
      </c>
      <c r="E315" s="19">
        <f>IF(NOT(ISNUMBER($A315)),NA(),IFERROR(1*INDEX(BBG_Data!$H$2:$H$4000,MATCH($A315,BBG_Data!$G$2:$G$4000,0)),NA()))</f>
        <v/>
      </c>
      <c r="F315" s="20">
        <f>IF(AND(ISNUMBER(B315),ISNUMBER(B314)),IF(B315=B314,"",(B315-B314)*100),"")</f>
        <v/>
      </c>
      <c r="G315" s="20">
        <f>IF(AND(ISNUMBER(C315),ISNUMBER(C314)),IF(C315=C314,"",(C315-C314)*100),"")</f>
        <v/>
      </c>
      <c r="H315" s="20">
        <f>IF(OR(NOT(ISNUMBER($A315)),ROW()-2&lt;Settings!$B$11),NA(),IF(COUNT(OFFSET(F315,1-Settings!$B$11,0,Settings!$B$11,1))&lt;ROUNDUP(Settings!$B$11*Settings!$B$26,0),NA(),STDEV(OFFSET(F315,1-Settings!$B$11,0,Settings!$B$11,1))*SQRT(Settings!$B$13)))</f>
        <v/>
      </c>
      <c r="I315" s="20">
        <f>IF(OR(NOT(ISNUMBER($A315)),ROW()-2&lt;Settings!$B$12),NA(),IF(COUNT(OFFSET(F315,1-Settings!$B$12,0,Settings!$B$12,1))&lt;ROUNDUP(Settings!$B$12*Settings!$B$26,0),NA(),STDEV(OFFSET(F315,1-Settings!$B$12,0,Settings!$B$12,1))*SQRT(Settings!$B$13)))</f>
        <v/>
      </c>
      <c r="J315" s="20">
        <f>IF(OR(NOT(ISNUMBER($A315)),ROW()-2&lt;Settings!$B$11),NA(),IF(COUNT(OFFSET(G315,1-Settings!$B$11,0,Settings!$B$11,1))&lt;ROUNDUP(Settings!$B$11*Settings!$B$26,0),NA(),STDEV(OFFSET(G315,1-Settings!$B$11,0,Settings!$B$11,1))*SQRT(Settings!$B$13)))</f>
        <v/>
      </c>
      <c r="K315" s="20">
        <f>IF(OR(NOT(ISNUMBER($A315)),ROW()-2&lt;Settings!$B$12),NA(),IF(COUNT(OFFSET(G315,1-Settings!$B$12,0,Settings!$B$12,1))&lt;ROUNDUP(Settings!$B$12*Settings!$B$26,0),NA(),STDEV(OFFSET(G315,1-Settings!$B$12,0,Settings!$B$12,1))*SQRT(Settings!$B$13)))</f>
        <v/>
      </c>
      <c r="L315" s="20">
        <f>IF(AND(ISNUMBER(D315),ISNUMBER(H315)),D315-H315,NA())</f>
        <v/>
      </c>
      <c r="M315" s="20">
        <f>IF(AND(ISNUMBER(E315),ISNUMBER(K315)),E315-K315,NA())</f>
        <v/>
      </c>
      <c r="N315" s="20">
        <f>IF(NOT(ISNUMBER($A315)),NA(),IF(COUNT(OFFSET(G315,1,0,Settings!$B$12,1))&lt;ROUNDUP(Settings!$B$12*Settings!$B$26,0),NA(),STDEV(OFFSET(G315,1,0,Settings!$B$12,1))*SQRT(Settings!$B$13)))</f>
        <v/>
      </c>
      <c r="O315" s="20">
        <f>IF(AND(ISNUMBER(E315),ISNUMBER(N315)),E315-N315,NA())</f>
        <v/>
      </c>
      <c r="P315" s="19">
        <f>IF(NOT(ISNUMBER($A315)),NA(),IF(OR($A315&lt;MIN(KW_TP!$A$2:$A$2501),$A315&gt;MAX(KW_TP!$A$2:$A$2501)),NA(),INDEX(KW_TP!$C$2:$C$2501,MATCH($A315,KW_TP!$A$2:$A$2501,1))))</f>
        <v/>
      </c>
      <c r="Q315" s="18">
        <f>IF(NOT(ISNUMBER($A315)),NA(),IFERROR(1*INDEX(BBG_Data!$J$2:$J$4000,MATCH($A315,BBG_Data!$I$2:$I$4000,0)),NA()))</f>
        <v/>
      </c>
      <c r="R315" s="18">
        <f>IF(NOT(ISNUMBER($A315)),NA(),IFERROR(1*INDEX(BBG_Data!$L$2:$L$4000,MATCH($A315,BBG_Data!$K$2:$K$4000,0)),NA()))</f>
        <v/>
      </c>
      <c r="S315" s="20">
        <f>IF(AND(ISNUMBER(B315),ISNUMBER(Q315),ISNUMBER(R315)),(B315-Q315-R315)*100,NA())</f>
        <v/>
      </c>
      <c r="T315" s="20">
        <f>IF(AND(ISNUMBER(B315),Settings!$B$17&gt;0),IF(ISNUMBER(INDEX($B:$B,Settings!$B$17)),(B315-INDEX($B:$B,Settings!$B$17))*100,NA()),NA())</f>
        <v/>
      </c>
      <c r="U315" s="20">
        <f>IF(AND(ISNUMBER(Q315),Settings!$B$17&gt;0),IF(ISNUMBER(INDEX($Q:$Q,Settings!$B$17)),(Q315-INDEX($Q:$Q,Settings!$B$17))*100,NA()),NA())</f>
        <v/>
      </c>
      <c r="V315" s="20">
        <f>IF(AND(ISNUMBER(R315),Settings!$B$17&gt;0),IF(ISNUMBER(INDEX($R:$R,Settings!$B$17)),(R315-INDEX($R:$R,Settings!$B$17))*100,NA()),NA())</f>
        <v/>
      </c>
      <c r="W315" s="20">
        <f>IF(AND(ISNUMBER(P315),Settings!$B$17&gt;0),IF(ISNUMBER(INDEX($P:$P,Settings!$B$17)),P315-INDEX($P:$P,Settings!$B$17),NA()),NA())</f>
        <v/>
      </c>
      <c r="X315" s="19">
        <f>IF(NOT(ISNUMBER($A315)),NA(),IF(OR($A315&lt;MIN(DKW_10Y!$A$2:$A$2918),$A315&gt;MAX(DKW_10Y!$A$2:$A$2918),Settings!$B$16&lt;MIN(DKW_10Y!$A$2:$A$2918)),NA(),(INDEX(DKW_10Y!$B$2:$B$2918,MATCH($A315,DKW_10Y!$A$2:$A$2918,1))-INDEX(DKW_10Y!$B$2:$B$2918,MATCH(Settings!$B$16,DKW_10Y!$A$2:$A$2918,1)))*100))</f>
        <v/>
      </c>
      <c r="Y315" s="19">
        <f>IF(NOT(ISNUMBER($A315)),NA(),IF(OR($A315&lt;MIN(DKW_10Y!$A$2:$A$2918),$A315&gt;MAX(DKW_10Y!$A$2:$A$2918),Settings!$B$16&lt;MIN(DKW_10Y!$A$2:$A$2918)),NA(),(INDEX(DKW_10Y!$C$2:$C$2918,MATCH($A315,DKW_10Y!$A$2:$A$2918,1))-INDEX(DKW_10Y!$C$2:$C$2918,MATCH(Settings!$B$16,DKW_10Y!$A$2:$A$2918,1)))*100))</f>
        <v/>
      </c>
      <c r="Z315" s="19">
        <f>IF(NOT(ISNUMBER($A315)),NA(),IF(OR($A315&lt;MIN(DKW_10Y!$A$2:$A$2918),$A315&gt;MAX(DKW_10Y!$A$2:$A$2918),Settings!$B$16&lt;MIN(DKW_10Y!$A$2:$A$2918)),NA(),(INDEX(DKW_10Y!$D$2:$D$2918,MATCH($A315,DKW_10Y!$A$2:$A$2918,1))-INDEX(DKW_10Y!$D$2:$D$2918,MATCH(Settings!$B$16,DKW_10Y!$A$2:$A$2918,1)))*100))</f>
        <v/>
      </c>
      <c r="AA315" s="19">
        <f>IF(NOT(ISNUMBER($A315)),NA(),IF(OR($A315&lt;MIN(DKW_10Y!$A$2:$A$2918),$A315&gt;MAX(DKW_10Y!$A$2:$A$2918),Settings!$B$16&lt;MIN(DKW_10Y!$A$2:$A$2918)),NA(),(INDEX(DKW_10Y!$E$2:$E$2918,MATCH($A315,DKW_10Y!$A$2:$A$2918,1))-INDEX(DKW_10Y!$E$2:$E$2918,MATCH(Settings!$B$16,DKW_10Y!$A$2:$A$2918,1)))*100))</f>
        <v/>
      </c>
      <c r="AB315" s="19">
        <f>IF(NOT(ISNUMBER($A315)),NA(),IF(OR($A315&lt;MIN(DKW_10Y!$A$2:$A$2918),$A315&gt;MAX(DKW_10Y!$A$2:$A$2918),Settings!$B$16&lt;MIN(DKW_10Y!$A$2:$A$2918)),NA(),(INDEX(DKW_10Y!$H$2:$H$2918,MATCH($A315,DKW_10Y!$A$2:$A$2918,1))-INDEX(DKW_10Y!$H$2:$H$2918,MATCH(Settings!$B$16,DKW_10Y!$A$2:$A$2918,1)))*100))</f>
        <v/>
      </c>
      <c r="AC315" s="18">
        <f>IF(NOT(ISNUMBER($A315)),NA(),IFERROR(1*INDEX(BBG_Data!$N$2:$N$4000,MATCH($A315,BBG_Data!$M$2:$M$4000,0)),NA()))</f>
        <v/>
      </c>
      <c r="AD315" s="18">
        <f>IF(NOT(ISNUMBER($A315)),NA(),IFERROR(1*INDEX(BBG_Data!$P$2:$P$4000,MATCH($A315,BBG_Data!$O$2:$O$4000,0)),NA()))</f>
        <v/>
      </c>
      <c r="AE315" s="18">
        <f>IF(NOT(ISNUMBER($A315)),NA(),IFERROR(1*INDEX(BBG_Data!$R$2:$R$4000,MATCH($A315,BBG_Data!$Q$2:$Q$4000,0)),NA()))</f>
        <v/>
      </c>
      <c r="AF315" s="20">
        <f>IF(AND(ISNUMBER(B315),ISNUMBER(AC315)),(B315-AC315)*100,NA())</f>
        <v/>
      </c>
      <c r="AG315" s="20">
        <f>IF(AND(ISNUMBER(AE315),ISNUMBER(AD315)),(AE315-AD315)*100,NA())</f>
        <v/>
      </c>
      <c r="AH315" s="19">
        <f>IF(NOT(ISNUMBER($A315)),NA(),IFERROR(INDEX(BBG_Data!$T$2:$T$4000,MATCH($A315,BBG_Data!$S$2:$S$4000,0))*Settings!$B$25,NA()))</f>
        <v/>
      </c>
      <c r="AI315" s="19">
        <f>IF(NOT(ISNUMBER($A315)),NA(),IFERROR(INDEX(BBG_Data!$V$2:$V$4000,MATCH($A315,BBG_Data!$U$2:$U$4000,0))*Settings!$B$25,NA()))</f>
        <v/>
      </c>
      <c r="AJ315" s="19">
        <f>IF(NOT(ISNUMBER($A315)),NA(),IFERROR(1*INDEX(BBG_Data!$X$2:$X$4000,MATCH($A315,BBG_Data!$W$2:$W$4000,0)),NA()))</f>
        <v/>
      </c>
      <c r="AK315" s="19">
        <f>IF(NOT(ISNUMBER($A315)),NA(),IFERROR(1*INDEX(BBG_Data!$Z$2:$Z$4000,MATCH($A315,BBG_Data!$Y$2:$Y$4000,0)),NA()))</f>
        <v/>
      </c>
    </row>
    <row r="316">
      <c r="A316" s="17">
        <f>IF(ISNUMBER(BBG_Data!A316),BBG_Data!A316,"")</f>
        <v/>
      </c>
      <c r="B316" s="18">
        <f>IF(AND(ISNUMBER($A316),ISNUMBER(BBG_Data!B316)),BBG_Data!B316,NA())</f>
        <v/>
      </c>
      <c r="C316" s="18">
        <f>IF(NOT(ISNUMBER($A316)),NA(),IFERROR(1*INDEX(BBG_Data!$D$2:$D$4000,MATCH($A316,BBG_Data!$C$2:$C$4000,0)),NA()))</f>
        <v/>
      </c>
      <c r="D316" s="19">
        <f>IF(NOT(ISNUMBER($A316)),NA(),IFERROR(1*INDEX(BBG_Data!$F$2:$F$4000,MATCH($A316,BBG_Data!$E$2:$E$4000,0)),NA()))</f>
        <v/>
      </c>
      <c r="E316" s="19">
        <f>IF(NOT(ISNUMBER($A316)),NA(),IFERROR(1*INDEX(BBG_Data!$H$2:$H$4000,MATCH($A316,BBG_Data!$G$2:$G$4000,0)),NA()))</f>
        <v/>
      </c>
      <c r="F316" s="20">
        <f>IF(AND(ISNUMBER(B316),ISNUMBER(B315)),IF(B316=B315,"",(B316-B315)*100),"")</f>
        <v/>
      </c>
      <c r="G316" s="20">
        <f>IF(AND(ISNUMBER(C316),ISNUMBER(C315)),IF(C316=C315,"",(C316-C315)*100),"")</f>
        <v/>
      </c>
      <c r="H316" s="20">
        <f>IF(OR(NOT(ISNUMBER($A316)),ROW()-2&lt;Settings!$B$11),NA(),IF(COUNT(OFFSET(F316,1-Settings!$B$11,0,Settings!$B$11,1))&lt;ROUNDUP(Settings!$B$11*Settings!$B$26,0),NA(),STDEV(OFFSET(F316,1-Settings!$B$11,0,Settings!$B$11,1))*SQRT(Settings!$B$13)))</f>
        <v/>
      </c>
      <c r="I316" s="20">
        <f>IF(OR(NOT(ISNUMBER($A316)),ROW()-2&lt;Settings!$B$12),NA(),IF(COUNT(OFFSET(F316,1-Settings!$B$12,0,Settings!$B$12,1))&lt;ROUNDUP(Settings!$B$12*Settings!$B$26,0),NA(),STDEV(OFFSET(F316,1-Settings!$B$12,0,Settings!$B$12,1))*SQRT(Settings!$B$13)))</f>
        <v/>
      </c>
      <c r="J316" s="20">
        <f>IF(OR(NOT(ISNUMBER($A316)),ROW()-2&lt;Settings!$B$11),NA(),IF(COUNT(OFFSET(G316,1-Settings!$B$11,0,Settings!$B$11,1))&lt;ROUNDUP(Settings!$B$11*Settings!$B$26,0),NA(),STDEV(OFFSET(G316,1-Settings!$B$11,0,Settings!$B$11,1))*SQRT(Settings!$B$13)))</f>
        <v/>
      </c>
      <c r="K316" s="20">
        <f>IF(OR(NOT(ISNUMBER($A316)),ROW()-2&lt;Settings!$B$12),NA(),IF(COUNT(OFFSET(G316,1-Settings!$B$12,0,Settings!$B$12,1))&lt;ROUNDUP(Settings!$B$12*Settings!$B$26,0),NA(),STDEV(OFFSET(G316,1-Settings!$B$12,0,Settings!$B$12,1))*SQRT(Settings!$B$13)))</f>
        <v/>
      </c>
      <c r="L316" s="20">
        <f>IF(AND(ISNUMBER(D316),ISNUMBER(H316)),D316-H316,NA())</f>
        <v/>
      </c>
      <c r="M316" s="20">
        <f>IF(AND(ISNUMBER(E316),ISNUMBER(K316)),E316-K316,NA())</f>
        <v/>
      </c>
      <c r="N316" s="20">
        <f>IF(NOT(ISNUMBER($A316)),NA(),IF(COUNT(OFFSET(G316,1,0,Settings!$B$12,1))&lt;ROUNDUP(Settings!$B$12*Settings!$B$26,0),NA(),STDEV(OFFSET(G316,1,0,Settings!$B$12,1))*SQRT(Settings!$B$13)))</f>
        <v/>
      </c>
      <c r="O316" s="20">
        <f>IF(AND(ISNUMBER(E316),ISNUMBER(N316)),E316-N316,NA())</f>
        <v/>
      </c>
      <c r="P316" s="19">
        <f>IF(NOT(ISNUMBER($A316)),NA(),IF(OR($A316&lt;MIN(KW_TP!$A$2:$A$2501),$A316&gt;MAX(KW_TP!$A$2:$A$2501)),NA(),INDEX(KW_TP!$C$2:$C$2501,MATCH($A316,KW_TP!$A$2:$A$2501,1))))</f>
        <v/>
      </c>
      <c r="Q316" s="18">
        <f>IF(NOT(ISNUMBER($A316)),NA(),IFERROR(1*INDEX(BBG_Data!$J$2:$J$4000,MATCH($A316,BBG_Data!$I$2:$I$4000,0)),NA()))</f>
        <v/>
      </c>
      <c r="R316" s="18">
        <f>IF(NOT(ISNUMBER($A316)),NA(),IFERROR(1*INDEX(BBG_Data!$L$2:$L$4000,MATCH($A316,BBG_Data!$K$2:$K$4000,0)),NA()))</f>
        <v/>
      </c>
      <c r="S316" s="20">
        <f>IF(AND(ISNUMBER(B316),ISNUMBER(Q316),ISNUMBER(R316)),(B316-Q316-R316)*100,NA())</f>
        <v/>
      </c>
      <c r="T316" s="20">
        <f>IF(AND(ISNUMBER(B316),Settings!$B$17&gt;0),IF(ISNUMBER(INDEX($B:$B,Settings!$B$17)),(B316-INDEX($B:$B,Settings!$B$17))*100,NA()),NA())</f>
        <v/>
      </c>
      <c r="U316" s="20">
        <f>IF(AND(ISNUMBER(Q316),Settings!$B$17&gt;0),IF(ISNUMBER(INDEX($Q:$Q,Settings!$B$17)),(Q316-INDEX($Q:$Q,Settings!$B$17))*100,NA()),NA())</f>
        <v/>
      </c>
      <c r="V316" s="20">
        <f>IF(AND(ISNUMBER(R316),Settings!$B$17&gt;0),IF(ISNUMBER(INDEX($R:$R,Settings!$B$17)),(R316-INDEX($R:$R,Settings!$B$17))*100,NA()),NA())</f>
        <v/>
      </c>
      <c r="W316" s="20">
        <f>IF(AND(ISNUMBER(P316),Settings!$B$17&gt;0),IF(ISNUMBER(INDEX($P:$P,Settings!$B$17)),P316-INDEX($P:$P,Settings!$B$17),NA()),NA())</f>
        <v/>
      </c>
      <c r="X316" s="19">
        <f>IF(NOT(ISNUMBER($A316)),NA(),IF(OR($A316&lt;MIN(DKW_10Y!$A$2:$A$2918),$A316&gt;MAX(DKW_10Y!$A$2:$A$2918),Settings!$B$16&lt;MIN(DKW_10Y!$A$2:$A$2918)),NA(),(INDEX(DKW_10Y!$B$2:$B$2918,MATCH($A316,DKW_10Y!$A$2:$A$2918,1))-INDEX(DKW_10Y!$B$2:$B$2918,MATCH(Settings!$B$16,DKW_10Y!$A$2:$A$2918,1)))*100))</f>
        <v/>
      </c>
      <c r="Y316" s="19">
        <f>IF(NOT(ISNUMBER($A316)),NA(),IF(OR($A316&lt;MIN(DKW_10Y!$A$2:$A$2918),$A316&gt;MAX(DKW_10Y!$A$2:$A$2918),Settings!$B$16&lt;MIN(DKW_10Y!$A$2:$A$2918)),NA(),(INDEX(DKW_10Y!$C$2:$C$2918,MATCH($A316,DKW_10Y!$A$2:$A$2918,1))-INDEX(DKW_10Y!$C$2:$C$2918,MATCH(Settings!$B$16,DKW_10Y!$A$2:$A$2918,1)))*100))</f>
        <v/>
      </c>
      <c r="Z316" s="19">
        <f>IF(NOT(ISNUMBER($A316)),NA(),IF(OR($A316&lt;MIN(DKW_10Y!$A$2:$A$2918),$A316&gt;MAX(DKW_10Y!$A$2:$A$2918),Settings!$B$16&lt;MIN(DKW_10Y!$A$2:$A$2918)),NA(),(INDEX(DKW_10Y!$D$2:$D$2918,MATCH($A316,DKW_10Y!$A$2:$A$2918,1))-INDEX(DKW_10Y!$D$2:$D$2918,MATCH(Settings!$B$16,DKW_10Y!$A$2:$A$2918,1)))*100))</f>
        <v/>
      </c>
      <c r="AA316" s="19">
        <f>IF(NOT(ISNUMBER($A316)),NA(),IF(OR($A316&lt;MIN(DKW_10Y!$A$2:$A$2918),$A316&gt;MAX(DKW_10Y!$A$2:$A$2918),Settings!$B$16&lt;MIN(DKW_10Y!$A$2:$A$2918)),NA(),(INDEX(DKW_10Y!$E$2:$E$2918,MATCH($A316,DKW_10Y!$A$2:$A$2918,1))-INDEX(DKW_10Y!$E$2:$E$2918,MATCH(Settings!$B$16,DKW_10Y!$A$2:$A$2918,1)))*100))</f>
        <v/>
      </c>
      <c r="AB316" s="19">
        <f>IF(NOT(ISNUMBER($A316)),NA(),IF(OR($A316&lt;MIN(DKW_10Y!$A$2:$A$2918),$A316&gt;MAX(DKW_10Y!$A$2:$A$2918),Settings!$B$16&lt;MIN(DKW_10Y!$A$2:$A$2918)),NA(),(INDEX(DKW_10Y!$H$2:$H$2918,MATCH($A316,DKW_10Y!$A$2:$A$2918,1))-INDEX(DKW_10Y!$H$2:$H$2918,MATCH(Settings!$B$16,DKW_10Y!$A$2:$A$2918,1)))*100))</f>
        <v/>
      </c>
      <c r="AC316" s="18">
        <f>IF(NOT(ISNUMBER($A316)),NA(),IFERROR(1*INDEX(BBG_Data!$N$2:$N$4000,MATCH($A316,BBG_Data!$M$2:$M$4000,0)),NA()))</f>
        <v/>
      </c>
      <c r="AD316" s="18">
        <f>IF(NOT(ISNUMBER($A316)),NA(),IFERROR(1*INDEX(BBG_Data!$P$2:$P$4000,MATCH($A316,BBG_Data!$O$2:$O$4000,0)),NA()))</f>
        <v/>
      </c>
      <c r="AE316" s="18">
        <f>IF(NOT(ISNUMBER($A316)),NA(),IFERROR(1*INDEX(BBG_Data!$R$2:$R$4000,MATCH($A316,BBG_Data!$Q$2:$Q$4000,0)),NA()))</f>
        <v/>
      </c>
      <c r="AF316" s="20">
        <f>IF(AND(ISNUMBER(B316),ISNUMBER(AC316)),(B316-AC316)*100,NA())</f>
        <v/>
      </c>
      <c r="AG316" s="20">
        <f>IF(AND(ISNUMBER(AE316),ISNUMBER(AD316)),(AE316-AD316)*100,NA())</f>
        <v/>
      </c>
      <c r="AH316" s="19">
        <f>IF(NOT(ISNUMBER($A316)),NA(),IFERROR(INDEX(BBG_Data!$T$2:$T$4000,MATCH($A316,BBG_Data!$S$2:$S$4000,0))*Settings!$B$25,NA()))</f>
        <v/>
      </c>
      <c r="AI316" s="19">
        <f>IF(NOT(ISNUMBER($A316)),NA(),IFERROR(INDEX(BBG_Data!$V$2:$V$4000,MATCH($A316,BBG_Data!$U$2:$U$4000,0))*Settings!$B$25,NA()))</f>
        <v/>
      </c>
      <c r="AJ316" s="19">
        <f>IF(NOT(ISNUMBER($A316)),NA(),IFERROR(1*INDEX(BBG_Data!$X$2:$X$4000,MATCH($A316,BBG_Data!$W$2:$W$4000,0)),NA()))</f>
        <v/>
      </c>
      <c r="AK316" s="19">
        <f>IF(NOT(ISNUMBER($A316)),NA(),IFERROR(1*INDEX(BBG_Data!$Z$2:$Z$4000,MATCH($A316,BBG_Data!$Y$2:$Y$4000,0)),NA()))</f>
        <v/>
      </c>
    </row>
    <row r="317">
      <c r="A317" s="17">
        <f>IF(ISNUMBER(BBG_Data!A317),BBG_Data!A317,"")</f>
        <v/>
      </c>
      <c r="B317" s="18">
        <f>IF(AND(ISNUMBER($A317),ISNUMBER(BBG_Data!B317)),BBG_Data!B317,NA())</f>
        <v/>
      </c>
      <c r="C317" s="18">
        <f>IF(NOT(ISNUMBER($A317)),NA(),IFERROR(1*INDEX(BBG_Data!$D$2:$D$4000,MATCH($A317,BBG_Data!$C$2:$C$4000,0)),NA()))</f>
        <v/>
      </c>
      <c r="D317" s="19">
        <f>IF(NOT(ISNUMBER($A317)),NA(),IFERROR(1*INDEX(BBG_Data!$F$2:$F$4000,MATCH($A317,BBG_Data!$E$2:$E$4000,0)),NA()))</f>
        <v/>
      </c>
      <c r="E317" s="19">
        <f>IF(NOT(ISNUMBER($A317)),NA(),IFERROR(1*INDEX(BBG_Data!$H$2:$H$4000,MATCH($A317,BBG_Data!$G$2:$G$4000,0)),NA()))</f>
        <v/>
      </c>
      <c r="F317" s="20">
        <f>IF(AND(ISNUMBER(B317),ISNUMBER(B316)),IF(B317=B316,"",(B317-B316)*100),"")</f>
        <v/>
      </c>
      <c r="G317" s="20">
        <f>IF(AND(ISNUMBER(C317),ISNUMBER(C316)),IF(C317=C316,"",(C317-C316)*100),"")</f>
        <v/>
      </c>
      <c r="H317" s="20">
        <f>IF(OR(NOT(ISNUMBER($A317)),ROW()-2&lt;Settings!$B$11),NA(),IF(COUNT(OFFSET(F317,1-Settings!$B$11,0,Settings!$B$11,1))&lt;ROUNDUP(Settings!$B$11*Settings!$B$26,0),NA(),STDEV(OFFSET(F317,1-Settings!$B$11,0,Settings!$B$11,1))*SQRT(Settings!$B$13)))</f>
        <v/>
      </c>
      <c r="I317" s="20">
        <f>IF(OR(NOT(ISNUMBER($A317)),ROW()-2&lt;Settings!$B$12),NA(),IF(COUNT(OFFSET(F317,1-Settings!$B$12,0,Settings!$B$12,1))&lt;ROUNDUP(Settings!$B$12*Settings!$B$26,0),NA(),STDEV(OFFSET(F317,1-Settings!$B$12,0,Settings!$B$12,1))*SQRT(Settings!$B$13)))</f>
        <v/>
      </c>
      <c r="J317" s="20">
        <f>IF(OR(NOT(ISNUMBER($A317)),ROW()-2&lt;Settings!$B$11),NA(),IF(COUNT(OFFSET(G317,1-Settings!$B$11,0,Settings!$B$11,1))&lt;ROUNDUP(Settings!$B$11*Settings!$B$26,0),NA(),STDEV(OFFSET(G317,1-Settings!$B$11,0,Settings!$B$11,1))*SQRT(Settings!$B$13)))</f>
        <v/>
      </c>
      <c r="K317" s="20">
        <f>IF(OR(NOT(ISNUMBER($A317)),ROW()-2&lt;Settings!$B$12),NA(),IF(COUNT(OFFSET(G317,1-Settings!$B$12,0,Settings!$B$12,1))&lt;ROUNDUP(Settings!$B$12*Settings!$B$26,0),NA(),STDEV(OFFSET(G317,1-Settings!$B$12,0,Settings!$B$12,1))*SQRT(Settings!$B$13)))</f>
        <v/>
      </c>
      <c r="L317" s="20">
        <f>IF(AND(ISNUMBER(D317),ISNUMBER(H317)),D317-H317,NA())</f>
        <v/>
      </c>
      <c r="M317" s="20">
        <f>IF(AND(ISNUMBER(E317),ISNUMBER(K317)),E317-K317,NA())</f>
        <v/>
      </c>
      <c r="N317" s="20">
        <f>IF(NOT(ISNUMBER($A317)),NA(),IF(COUNT(OFFSET(G317,1,0,Settings!$B$12,1))&lt;ROUNDUP(Settings!$B$12*Settings!$B$26,0),NA(),STDEV(OFFSET(G317,1,0,Settings!$B$12,1))*SQRT(Settings!$B$13)))</f>
        <v/>
      </c>
      <c r="O317" s="20">
        <f>IF(AND(ISNUMBER(E317),ISNUMBER(N317)),E317-N317,NA())</f>
        <v/>
      </c>
      <c r="P317" s="19">
        <f>IF(NOT(ISNUMBER($A317)),NA(),IF(OR($A317&lt;MIN(KW_TP!$A$2:$A$2501),$A317&gt;MAX(KW_TP!$A$2:$A$2501)),NA(),INDEX(KW_TP!$C$2:$C$2501,MATCH($A317,KW_TP!$A$2:$A$2501,1))))</f>
        <v/>
      </c>
      <c r="Q317" s="18">
        <f>IF(NOT(ISNUMBER($A317)),NA(),IFERROR(1*INDEX(BBG_Data!$J$2:$J$4000,MATCH($A317,BBG_Data!$I$2:$I$4000,0)),NA()))</f>
        <v/>
      </c>
      <c r="R317" s="18">
        <f>IF(NOT(ISNUMBER($A317)),NA(),IFERROR(1*INDEX(BBG_Data!$L$2:$L$4000,MATCH($A317,BBG_Data!$K$2:$K$4000,0)),NA()))</f>
        <v/>
      </c>
      <c r="S317" s="20">
        <f>IF(AND(ISNUMBER(B317),ISNUMBER(Q317),ISNUMBER(R317)),(B317-Q317-R317)*100,NA())</f>
        <v/>
      </c>
      <c r="T317" s="20">
        <f>IF(AND(ISNUMBER(B317),Settings!$B$17&gt;0),IF(ISNUMBER(INDEX($B:$B,Settings!$B$17)),(B317-INDEX($B:$B,Settings!$B$17))*100,NA()),NA())</f>
        <v/>
      </c>
      <c r="U317" s="20">
        <f>IF(AND(ISNUMBER(Q317),Settings!$B$17&gt;0),IF(ISNUMBER(INDEX($Q:$Q,Settings!$B$17)),(Q317-INDEX($Q:$Q,Settings!$B$17))*100,NA()),NA())</f>
        <v/>
      </c>
      <c r="V317" s="20">
        <f>IF(AND(ISNUMBER(R317),Settings!$B$17&gt;0),IF(ISNUMBER(INDEX($R:$R,Settings!$B$17)),(R317-INDEX($R:$R,Settings!$B$17))*100,NA()),NA())</f>
        <v/>
      </c>
      <c r="W317" s="20">
        <f>IF(AND(ISNUMBER(P317),Settings!$B$17&gt;0),IF(ISNUMBER(INDEX($P:$P,Settings!$B$17)),P317-INDEX($P:$P,Settings!$B$17),NA()),NA())</f>
        <v/>
      </c>
      <c r="X317" s="19">
        <f>IF(NOT(ISNUMBER($A317)),NA(),IF(OR($A317&lt;MIN(DKW_10Y!$A$2:$A$2918),$A317&gt;MAX(DKW_10Y!$A$2:$A$2918),Settings!$B$16&lt;MIN(DKW_10Y!$A$2:$A$2918)),NA(),(INDEX(DKW_10Y!$B$2:$B$2918,MATCH($A317,DKW_10Y!$A$2:$A$2918,1))-INDEX(DKW_10Y!$B$2:$B$2918,MATCH(Settings!$B$16,DKW_10Y!$A$2:$A$2918,1)))*100))</f>
        <v/>
      </c>
      <c r="Y317" s="19">
        <f>IF(NOT(ISNUMBER($A317)),NA(),IF(OR($A317&lt;MIN(DKW_10Y!$A$2:$A$2918),$A317&gt;MAX(DKW_10Y!$A$2:$A$2918),Settings!$B$16&lt;MIN(DKW_10Y!$A$2:$A$2918)),NA(),(INDEX(DKW_10Y!$C$2:$C$2918,MATCH($A317,DKW_10Y!$A$2:$A$2918,1))-INDEX(DKW_10Y!$C$2:$C$2918,MATCH(Settings!$B$16,DKW_10Y!$A$2:$A$2918,1)))*100))</f>
        <v/>
      </c>
      <c r="Z317" s="19">
        <f>IF(NOT(ISNUMBER($A317)),NA(),IF(OR($A317&lt;MIN(DKW_10Y!$A$2:$A$2918),$A317&gt;MAX(DKW_10Y!$A$2:$A$2918),Settings!$B$16&lt;MIN(DKW_10Y!$A$2:$A$2918)),NA(),(INDEX(DKW_10Y!$D$2:$D$2918,MATCH($A317,DKW_10Y!$A$2:$A$2918,1))-INDEX(DKW_10Y!$D$2:$D$2918,MATCH(Settings!$B$16,DKW_10Y!$A$2:$A$2918,1)))*100))</f>
        <v/>
      </c>
      <c r="AA317" s="19">
        <f>IF(NOT(ISNUMBER($A317)),NA(),IF(OR($A317&lt;MIN(DKW_10Y!$A$2:$A$2918),$A317&gt;MAX(DKW_10Y!$A$2:$A$2918),Settings!$B$16&lt;MIN(DKW_10Y!$A$2:$A$2918)),NA(),(INDEX(DKW_10Y!$E$2:$E$2918,MATCH($A317,DKW_10Y!$A$2:$A$2918,1))-INDEX(DKW_10Y!$E$2:$E$2918,MATCH(Settings!$B$16,DKW_10Y!$A$2:$A$2918,1)))*100))</f>
        <v/>
      </c>
      <c r="AB317" s="19">
        <f>IF(NOT(ISNUMBER($A317)),NA(),IF(OR($A317&lt;MIN(DKW_10Y!$A$2:$A$2918),$A317&gt;MAX(DKW_10Y!$A$2:$A$2918),Settings!$B$16&lt;MIN(DKW_10Y!$A$2:$A$2918)),NA(),(INDEX(DKW_10Y!$H$2:$H$2918,MATCH($A317,DKW_10Y!$A$2:$A$2918,1))-INDEX(DKW_10Y!$H$2:$H$2918,MATCH(Settings!$B$16,DKW_10Y!$A$2:$A$2918,1)))*100))</f>
        <v/>
      </c>
      <c r="AC317" s="18">
        <f>IF(NOT(ISNUMBER($A317)),NA(),IFERROR(1*INDEX(BBG_Data!$N$2:$N$4000,MATCH($A317,BBG_Data!$M$2:$M$4000,0)),NA()))</f>
        <v/>
      </c>
      <c r="AD317" s="18">
        <f>IF(NOT(ISNUMBER($A317)),NA(),IFERROR(1*INDEX(BBG_Data!$P$2:$P$4000,MATCH($A317,BBG_Data!$O$2:$O$4000,0)),NA()))</f>
        <v/>
      </c>
      <c r="AE317" s="18">
        <f>IF(NOT(ISNUMBER($A317)),NA(),IFERROR(1*INDEX(BBG_Data!$R$2:$R$4000,MATCH($A317,BBG_Data!$Q$2:$Q$4000,0)),NA()))</f>
        <v/>
      </c>
      <c r="AF317" s="20">
        <f>IF(AND(ISNUMBER(B317),ISNUMBER(AC317)),(B317-AC317)*100,NA())</f>
        <v/>
      </c>
      <c r="AG317" s="20">
        <f>IF(AND(ISNUMBER(AE317),ISNUMBER(AD317)),(AE317-AD317)*100,NA())</f>
        <v/>
      </c>
      <c r="AH317" s="19">
        <f>IF(NOT(ISNUMBER($A317)),NA(),IFERROR(INDEX(BBG_Data!$T$2:$T$4000,MATCH($A317,BBG_Data!$S$2:$S$4000,0))*Settings!$B$25,NA()))</f>
        <v/>
      </c>
      <c r="AI317" s="19">
        <f>IF(NOT(ISNUMBER($A317)),NA(),IFERROR(INDEX(BBG_Data!$V$2:$V$4000,MATCH($A317,BBG_Data!$U$2:$U$4000,0))*Settings!$B$25,NA()))</f>
        <v/>
      </c>
      <c r="AJ317" s="19">
        <f>IF(NOT(ISNUMBER($A317)),NA(),IFERROR(1*INDEX(BBG_Data!$X$2:$X$4000,MATCH($A317,BBG_Data!$W$2:$W$4000,0)),NA()))</f>
        <v/>
      </c>
      <c r="AK317" s="19">
        <f>IF(NOT(ISNUMBER($A317)),NA(),IFERROR(1*INDEX(BBG_Data!$Z$2:$Z$4000,MATCH($A317,BBG_Data!$Y$2:$Y$4000,0)),NA()))</f>
        <v/>
      </c>
    </row>
    <row r="318">
      <c r="A318" s="17">
        <f>IF(ISNUMBER(BBG_Data!A318),BBG_Data!A318,"")</f>
        <v/>
      </c>
      <c r="B318" s="18">
        <f>IF(AND(ISNUMBER($A318),ISNUMBER(BBG_Data!B318)),BBG_Data!B318,NA())</f>
        <v/>
      </c>
      <c r="C318" s="18">
        <f>IF(NOT(ISNUMBER($A318)),NA(),IFERROR(1*INDEX(BBG_Data!$D$2:$D$4000,MATCH($A318,BBG_Data!$C$2:$C$4000,0)),NA()))</f>
        <v/>
      </c>
      <c r="D318" s="19">
        <f>IF(NOT(ISNUMBER($A318)),NA(),IFERROR(1*INDEX(BBG_Data!$F$2:$F$4000,MATCH($A318,BBG_Data!$E$2:$E$4000,0)),NA()))</f>
        <v/>
      </c>
      <c r="E318" s="19">
        <f>IF(NOT(ISNUMBER($A318)),NA(),IFERROR(1*INDEX(BBG_Data!$H$2:$H$4000,MATCH($A318,BBG_Data!$G$2:$G$4000,0)),NA()))</f>
        <v/>
      </c>
      <c r="F318" s="20">
        <f>IF(AND(ISNUMBER(B318),ISNUMBER(B317)),IF(B318=B317,"",(B318-B317)*100),"")</f>
        <v/>
      </c>
      <c r="G318" s="20">
        <f>IF(AND(ISNUMBER(C318),ISNUMBER(C317)),IF(C318=C317,"",(C318-C317)*100),"")</f>
        <v/>
      </c>
      <c r="H318" s="20">
        <f>IF(OR(NOT(ISNUMBER($A318)),ROW()-2&lt;Settings!$B$11),NA(),IF(COUNT(OFFSET(F318,1-Settings!$B$11,0,Settings!$B$11,1))&lt;ROUNDUP(Settings!$B$11*Settings!$B$26,0),NA(),STDEV(OFFSET(F318,1-Settings!$B$11,0,Settings!$B$11,1))*SQRT(Settings!$B$13)))</f>
        <v/>
      </c>
      <c r="I318" s="20">
        <f>IF(OR(NOT(ISNUMBER($A318)),ROW()-2&lt;Settings!$B$12),NA(),IF(COUNT(OFFSET(F318,1-Settings!$B$12,0,Settings!$B$12,1))&lt;ROUNDUP(Settings!$B$12*Settings!$B$26,0),NA(),STDEV(OFFSET(F318,1-Settings!$B$12,0,Settings!$B$12,1))*SQRT(Settings!$B$13)))</f>
        <v/>
      </c>
      <c r="J318" s="20">
        <f>IF(OR(NOT(ISNUMBER($A318)),ROW()-2&lt;Settings!$B$11),NA(),IF(COUNT(OFFSET(G318,1-Settings!$B$11,0,Settings!$B$11,1))&lt;ROUNDUP(Settings!$B$11*Settings!$B$26,0),NA(),STDEV(OFFSET(G318,1-Settings!$B$11,0,Settings!$B$11,1))*SQRT(Settings!$B$13)))</f>
        <v/>
      </c>
      <c r="K318" s="20">
        <f>IF(OR(NOT(ISNUMBER($A318)),ROW()-2&lt;Settings!$B$12),NA(),IF(COUNT(OFFSET(G318,1-Settings!$B$12,0,Settings!$B$12,1))&lt;ROUNDUP(Settings!$B$12*Settings!$B$26,0),NA(),STDEV(OFFSET(G318,1-Settings!$B$12,0,Settings!$B$12,1))*SQRT(Settings!$B$13)))</f>
        <v/>
      </c>
      <c r="L318" s="20">
        <f>IF(AND(ISNUMBER(D318),ISNUMBER(H318)),D318-H318,NA())</f>
        <v/>
      </c>
      <c r="M318" s="20">
        <f>IF(AND(ISNUMBER(E318),ISNUMBER(K318)),E318-K318,NA())</f>
        <v/>
      </c>
      <c r="N318" s="20">
        <f>IF(NOT(ISNUMBER($A318)),NA(),IF(COUNT(OFFSET(G318,1,0,Settings!$B$12,1))&lt;ROUNDUP(Settings!$B$12*Settings!$B$26,0),NA(),STDEV(OFFSET(G318,1,0,Settings!$B$12,1))*SQRT(Settings!$B$13)))</f>
        <v/>
      </c>
      <c r="O318" s="20">
        <f>IF(AND(ISNUMBER(E318),ISNUMBER(N318)),E318-N318,NA())</f>
        <v/>
      </c>
      <c r="P318" s="19">
        <f>IF(NOT(ISNUMBER($A318)),NA(),IF(OR($A318&lt;MIN(KW_TP!$A$2:$A$2501),$A318&gt;MAX(KW_TP!$A$2:$A$2501)),NA(),INDEX(KW_TP!$C$2:$C$2501,MATCH($A318,KW_TP!$A$2:$A$2501,1))))</f>
        <v/>
      </c>
      <c r="Q318" s="18">
        <f>IF(NOT(ISNUMBER($A318)),NA(),IFERROR(1*INDEX(BBG_Data!$J$2:$J$4000,MATCH($A318,BBG_Data!$I$2:$I$4000,0)),NA()))</f>
        <v/>
      </c>
      <c r="R318" s="18">
        <f>IF(NOT(ISNUMBER($A318)),NA(),IFERROR(1*INDEX(BBG_Data!$L$2:$L$4000,MATCH($A318,BBG_Data!$K$2:$K$4000,0)),NA()))</f>
        <v/>
      </c>
      <c r="S318" s="20">
        <f>IF(AND(ISNUMBER(B318),ISNUMBER(Q318),ISNUMBER(R318)),(B318-Q318-R318)*100,NA())</f>
        <v/>
      </c>
      <c r="T318" s="20">
        <f>IF(AND(ISNUMBER(B318),Settings!$B$17&gt;0),IF(ISNUMBER(INDEX($B:$B,Settings!$B$17)),(B318-INDEX($B:$B,Settings!$B$17))*100,NA()),NA())</f>
        <v/>
      </c>
      <c r="U318" s="20">
        <f>IF(AND(ISNUMBER(Q318),Settings!$B$17&gt;0),IF(ISNUMBER(INDEX($Q:$Q,Settings!$B$17)),(Q318-INDEX($Q:$Q,Settings!$B$17))*100,NA()),NA())</f>
        <v/>
      </c>
      <c r="V318" s="20">
        <f>IF(AND(ISNUMBER(R318),Settings!$B$17&gt;0),IF(ISNUMBER(INDEX($R:$R,Settings!$B$17)),(R318-INDEX($R:$R,Settings!$B$17))*100,NA()),NA())</f>
        <v/>
      </c>
      <c r="W318" s="20">
        <f>IF(AND(ISNUMBER(P318),Settings!$B$17&gt;0),IF(ISNUMBER(INDEX($P:$P,Settings!$B$17)),P318-INDEX($P:$P,Settings!$B$17),NA()),NA())</f>
        <v/>
      </c>
      <c r="X318" s="19">
        <f>IF(NOT(ISNUMBER($A318)),NA(),IF(OR($A318&lt;MIN(DKW_10Y!$A$2:$A$2918),$A318&gt;MAX(DKW_10Y!$A$2:$A$2918),Settings!$B$16&lt;MIN(DKW_10Y!$A$2:$A$2918)),NA(),(INDEX(DKW_10Y!$B$2:$B$2918,MATCH($A318,DKW_10Y!$A$2:$A$2918,1))-INDEX(DKW_10Y!$B$2:$B$2918,MATCH(Settings!$B$16,DKW_10Y!$A$2:$A$2918,1)))*100))</f>
        <v/>
      </c>
      <c r="Y318" s="19">
        <f>IF(NOT(ISNUMBER($A318)),NA(),IF(OR($A318&lt;MIN(DKW_10Y!$A$2:$A$2918),$A318&gt;MAX(DKW_10Y!$A$2:$A$2918),Settings!$B$16&lt;MIN(DKW_10Y!$A$2:$A$2918)),NA(),(INDEX(DKW_10Y!$C$2:$C$2918,MATCH($A318,DKW_10Y!$A$2:$A$2918,1))-INDEX(DKW_10Y!$C$2:$C$2918,MATCH(Settings!$B$16,DKW_10Y!$A$2:$A$2918,1)))*100))</f>
        <v/>
      </c>
      <c r="Z318" s="19">
        <f>IF(NOT(ISNUMBER($A318)),NA(),IF(OR($A318&lt;MIN(DKW_10Y!$A$2:$A$2918),$A318&gt;MAX(DKW_10Y!$A$2:$A$2918),Settings!$B$16&lt;MIN(DKW_10Y!$A$2:$A$2918)),NA(),(INDEX(DKW_10Y!$D$2:$D$2918,MATCH($A318,DKW_10Y!$A$2:$A$2918,1))-INDEX(DKW_10Y!$D$2:$D$2918,MATCH(Settings!$B$16,DKW_10Y!$A$2:$A$2918,1)))*100))</f>
        <v/>
      </c>
      <c r="AA318" s="19">
        <f>IF(NOT(ISNUMBER($A318)),NA(),IF(OR($A318&lt;MIN(DKW_10Y!$A$2:$A$2918),$A318&gt;MAX(DKW_10Y!$A$2:$A$2918),Settings!$B$16&lt;MIN(DKW_10Y!$A$2:$A$2918)),NA(),(INDEX(DKW_10Y!$E$2:$E$2918,MATCH($A318,DKW_10Y!$A$2:$A$2918,1))-INDEX(DKW_10Y!$E$2:$E$2918,MATCH(Settings!$B$16,DKW_10Y!$A$2:$A$2918,1)))*100))</f>
        <v/>
      </c>
      <c r="AB318" s="19">
        <f>IF(NOT(ISNUMBER($A318)),NA(),IF(OR($A318&lt;MIN(DKW_10Y!$A$2:$A$2918),$A318&gt;MAX(DKW_10Y!$A$2:$A$2918),Settings!$B$16&lt;MIN(DKW_10Y!$A$2:$A$2918)),NA(),(INDEX(DKW_10Y!$H$2:$H$2918,MATCH($A318,DKW_10Y!$A$2:$A$2918,1))-INDEX(DKW_10Y!$H$2:$H$2918,MATCH(Settings!$B$16,DKW_10Y!$A$2:$A$2918,1)))*100))</f>
        <v/>
      </c>
      <c r="AC318" s="18">
        <f>IF(NOT(ISNUMBER($A318)),NA(),IFERROR(1*INDEX(BBG_Data!$N$2:$N$4000,MATCH($A318,BBG_Data!$M$2:$M$4000,0)),NA()))</f>
        <v/>
      </c>
      <c r="AD318" s="18">
        <f>IF(NOT(ISNUMBER($A318)),NA(),IFERROR(1*INDEX(BBG_Data!$P$2:$P$4000,MATCH($A318,BBG_Data!$O$2:$O$4000,0)),NA()))</f>
        <v/>
      </c>
      <c r="AE318" s="18">
        <f>IF(NOT(ISNUMBER($A318)),NA(),IFERROR(1*INDEX(BBG_Data!$R$2:$R$4000,MATCH($A318,BBG_Data!$Q$2:$Q$4000,0)),NA()))</f>
        <v/>
      </c>
      <c r="AF318" s="20">
        <f>IF(AND(ISNUMBER(B318),ISNUMBER(AC318)),(B318-AC318)*100,NA())</f>
        <v/>
      </c>
      <c r="AG318" s="20">
        <f>IF(AND(ISNUMBER(AE318),ISNUMBER(AD318)),(AE318-AD318)*100,NA())</f>
        <v/>
      </c>
      <c r="AH318" s="19">
        <f>IF(NOT(ISNUMBER($A318)),NA(),IFERROR(INDEX(BBG_Data!$T$2:$T$4000,MATCH($A318,BBG_Data!$S$2:$S$4000,0))*Settings!$B$25,NA()))</f>
        <v/>
      </c>
      <c r="AI318" s="19">
        <f>IF(NOT(ISNUMBER($A318)),NA(),IFERROR(INDEX(BBG_Data!$V$2:$V$4000,MATCH($A318,BBG_Data!$U$2:$U$4000,0))*Settings!$B$25,NA()))</f>
        <v/>
      </c>
      <c r="AJ318" s="19">
        <f>IF(NOT(ISNUMBER($A318)),NA(),IFERROR(1*INDEX(BBG_Data!$X$2:$X$4000,MATCH($A318,BBG_Data!$W$2:$W$4000,0)),NA()))</f>
        <v/>
      </c>
      <c r="AK318" s="19">
        <f>IF(NOT(ISNUMBER($A318)),NA(),IFERROR(1*INDEX(BBG_Data!$Z$2:$Z$4000,MATCH($A318,BBG_Data!$Y$2:$Y$4000,0)),NA()))</f>
        <v/>
      </c>
    </row>
    <row r="319">
      <c r="A319" s="17">
        <f>IF(ISNUMBER(BBG_Data!A319),BBG_Data!A319,"")</f>
        <v/>
      </c>
      <c r="B319" s="18">
        <f>IF(AND(ISNUMBER($A319),ISNUMBER(BBG_Data!B319)),BBG_Data!B319,NA())</f>
        <v/>
      </c>
      <c r="C319" s="18">
        <f>IF(NOT(ISNUMBER($A319)),NA(),IFERROR(1*INDEX(BBG_Data!$D$2:$D$4000,MATCH($A319,BBG_Data!$C$2:$C$4000,0)),NA()))</f>
        <v/>
      </c>
      <c r="D319" s="19">
        <f>IF(NOT(ISNUMBER($A319)),NA(),IFERROR(1*INDEX(BBG_Data!$F$2:$F$4000,MATCH($A319,BBG_Data!$E$2:$E$4000,0)),NA()))</f>
        <v/>
      </c>
      <c r="E319" s="19">
        <f>IF(NOT(ISNUMBER($A319)),NA(),IFERROR(1*INDEX(BBG_Data!$H$2:$H$4000,MATCH($A319,BBG_Data!$G$2:$G$4000,0)),NA()))</f>
        <v/>
      </c>
      <c r="F319" s="20">
        <f>IF(AND(ISNUMBER(B319),ISNUMBER(B318)),IF(B319=B318,"",(B319-B318)*100),"")</f>
        <v/>
      </c>
      <c r="G319" s="20">
        <f>IF(AND(ISNUMBER(C319),ISNUMBER(C318)),IF(C319=C318,"",(C319-C318)*100),"")</f>
        <v/>
      </c>
      <c r="H319" s="20">
        <f>IF(OR(NOT(ISNUMBER($A319)),ROW()-2&lt;Settings!$B$11),NA(),IF(COUNT(OFFSET(F319,1-Settings!$B$11,0,Settings!$B$11,1))&lt;ROUNDUP(Settings!$B$11*Settings!$B$26,0),NA(),STDEV(OFFSET(F319,1-Settings!$B$11,0,Settings!$B$11,1))*SQRT(Settings!$B$13)))</f>
        <v/>
      </c>
      <c r="I319" s="20">
        <f>IF(OR(NOT(ISNUMBER($A319)),ROW()-2&lt;Settings!$B$12),NA(),IF(COUNT(OFFSET(F319,1-Settings!$B$12,0,Settings!$B$12,1))&lt;ROUNDUP(Settings!$B$12*Settings!$B$26,0),NA(),STDEV(OFFSET(F319,1-Settings!$B$12,0,Settings!$B$12,1))*SQRT(Settings!$B$13)))</f>
        <v/>
      </c>
      <c r="J319" s="20">
        <f>IF(OR(NOT(ISNUMBER($A319)),ROW()-2&lt;Settings!$B$11),NA(),IF(COUNT(OFFSET(G319,1-Settings!$B$11,0,Settings!$B$11,1))&lt;ROUNDUP(Settings!$B$11*Settings!$B$26,0),NA(),STDEV(OFFSET(G319,1-Settings!$B$11,0,Settings!$B$11,1))*SQRT(Settings!$B$13)))</f>
        <v/>
      </c>
      <c r="K319" s="20">
        <f>IF(OR(NOT(ISNUMBER($A319)),ROW()-2&lt;Settings!$B$12),NA(),IF(COUNT(OFFSET(G319,1-Settings!$B$12,0,Settings!$B$12,1))&lt;ROUNDUP(Settings!$B$12*Settings!$B$26,0),NA(),STDEV(OFFSET(G319,1-Settings!$B$12,0,Settings!$B$12,1))*SQRT(Settings!$B$13)))</f>
        <v/>
      </c>
      <c r="L319" s="20">
        <f>IF(AND(ISNUMBER(D319),ISNUMBER(H319)),D319-H319,NA())</f>
        <v/>
      </c>
      <c r="M319" s="20">
        <f>IF(AND(ISNUMBER(E319),ISNUMBER(K319)),E319-K319,NA())</f>
        <v/>
      </c>
      <c r="N319" s="20">
        <f>IF(NOT(ISNUMBER($A319)),NA(),IF(COUNT(OFFSET(G319,1,0,Settings!$B$12,1))&lt;ROUNDUP(Settings!$B$12*Settings!$B$26,0),NA(),STDEV(OFFSET(G319,1,0,Settings!$B$12,1))*SQRT(Settings!$B$13)))</f>
        <v/>
      </c>
      <c r="O319" s="20">
        <f>IF(AND(ISNUMBER(E319),ISNUMBER(N319)),E319-N319,NA())</f>
        <v/>
      </c>
      <c r="P319" s="19">
        <f>IF(NOT(ISNUMBER($A319)),NA(),IF(OR($A319&lt;MIN(KW_TP!$A$2:$A$2501),$A319&gt;MAX(KW_TP!$A$2:$A$2501)),NA(),INDEX(KW_TP!$C$2:$C$2501,MATCH($A319,KW_TP!$A$2:$A$2501,1))))</f>
        <v/>
      </c>
      <c r="Q319" s="18">
        <f>IF(NOT(ISNUMBER($A319)),NA(),IFERROR(1*INDEX(BBG_Data!$J$2:$J$4000,MATCH($A319,BBG_Data!$I$2:$I$4000,0)),NA()))</f>
        <v/>
      </c>
      <c r="R319" s="18">
        <f>IF(NOT(ISNUMBER($A319)),NA(),IFERROR(1*INDEX(BBG_Data!$L$2:$L$4000,MATCH($A319,BBG_Data!$K$2:$K$4000,0)),NA()))</f>
        <v/>
      </c>
      <c r="S319" s="20">
        <f>IF(AND(ISNUMBER(B319),ISNUMBER(Q319),ISNUMBER(R319)),(B319-Q319-R319)*100,NA())</f>
        <v/>
      </c>
      <c r="T319" s="20">
        <f>IF(AND(ISNUMBER(B319),Settings!$B$17&gt;0),IF(ISNUMBER(INDEX($B:$B,Settings!$B$17)),(B319-INDEX($B:$B,Settings!$B$17))*100,NA()),NA())</f>
        <v/>
      </c>
      <c r="U319" s="20">
        <f>IF(AND(ISNUMBER(Q319),Settings!$B$17&gt;0),IF(ISNUMBER(INDEX($Q:$Q,Settings!$B$17)),(Q319-INDEX($Q:$Q,Settings!$B$17))*100,NA()),NA())</f>
        <v/>
      </c>
      <c r="V319" s="20">
        <f>IF(AND(ISNUMBER(R319),Settings!$B$17&gt;0),IF(ISNUMBER(INDEX($R:$R,Settings!$B$17)),(R319-INDEX($R:$R,Settings!$B$17))*100,NA()),NA())</f>
        <v/>
      </c>
      <c r="W319" s="20">
        <f>IF(AND(ISNUMBER(P319),Settings!$B$17&gt;0),IF(ISNUMBER(INDEX($P:$P,Settings!$B$17)),P319-INDEX($P:$P,Settings!$B$17),NA()),NA())</f>
        <v/>
      </c>
      <c r="X319" s="19">
        <f>IF(NOT(ISNUMBER($A319)),NA(),IF(OR($A319&lt;MIN(DKW_10Y!$A$2:$A$2918),$A319&gt;MAX(DKW_10Y!$A$2:$A$2918),Settings!$B$16&lt;MIN(DKW_10Y!$A$2:$A$2918)),NA(),(INDEX(DKW_10Y!$B$2:$B$2918,MATCH($A319,DKW_10Y!$A$2:$A$2918,1))-INDEX(DKW_10Y!$B$2:$B$2918,MATCH(Settings!$B$16,DKW_10Y!$A$2:$A$2918,1)))*100))</f>
        <v/>
      </c>
      <c r="Y319" s="19">
        <f>IF(NOT(ISNUMBER($A319)),NA(),IF(OR($A319&lt;MIN(DKW_10Y!$A$2:$A$2918),$A319&gt;MAX(DKW_10Y!$A$2:$A$2918),Settings!$B$16&lt;MIN(DKW_10Y!$A$2:$A$2918)),NA(),(INDEX(DKW_10Y!$C$2:$C$2918,MATCH($A319,DKW_10Y!$A$2:$A$2918,1))-INDEX(DKW_10Y!$C$2:$C$2918,MATCH(Settings!$B$16,DKW_10Y!$A$2:$A$2918,1)))*100))</f>
        <v/>
      </c>
      <c r="Z319" s="19">
        <f>IF(NOT(ISNUMBER($A319)),NA(),IF(OR($A319&lt;MIN(DKW_10Y!$A$2:$A$2918),$A319&gt;MAX(DKW_10Y!$A$2:$A$2918),Settings!$B$16&lt;MIN(DKW_10Y!$A$2:$A$2918)),NA(),(INDEX(DKW_10Y!$D$2:$D$2918,MATCH($A319,DKW_10Y!$A$2:$A$2918,1))-INDEX(DKW_10Y!$D$2:$D$2918,MATCH(Settings!$B$16,DKW_10Y!$A$2:$A$2918,1)))*100))</f>
        <v/>
      </c>
      <c r="AA319" s="19">
        <f>IF(NOT(ISNUMBER($A319)),NA(),IF(OR($A319&lt;MIN(DKW_10Y!$A$2:$A$2918),$A319&gt;MAX(DKW_10Y!$A$2:$A$2918),Settings!$B$16&lt;MIN(DKW_10Y!$A$2:$A$2918)),NA(),(INDEX(DKW_10Y!$E$2:$E$2918,MATCH($A319,DKW_10Y!$A$2:$A$2918,1))-INDEX(DKW_10Y!$E$2:$E$2918,MATCH(Settings!$B$16,DKW_10Y!$A$2:$A$2918,1)))*100))</f>
        <v/>
      </c>
      <c r="AB319" s="19">
        <f>IF(NOT(ISNUMBER($A319)),NA(),IF(OR($A319&lt;MIN(DKW_10Y!$A$2:$A$2918),$A319&gt;MAX(DKW_10Y!$A$2:$A$2918),Settings!$B$16&lt;MIN(DKW_10Y!$A$2:$A$2918)),NA(),(INDEX(DKW_10Y!$H$2:$H$2918,MATCH($A319,DKW_10Y!$A$2:$A$2918,1))-INDEX(DKW_10Y!$H$2:$H$2918,MATCH(Settings!$B$16,DKW_10Y!$A$2:$A$2918,1)))*100))</f>
        <v/>
      </c>
      <c r="AC319" s="18">
        <f>IF(NOT(ISNUMBER($A319)),NA(),IFERROR(1*INDEX(BBG_Data!$N$2:$N$4000,MATCH($A319,BBG_Data!$M$2:$M$4000,0)),NA()))</f>
        <v/>
      </c>
      <c r="AD319" s="18">
        <f>IF(NOT(ISNUMBER($A319)),NA(),IFERROR(1*INDEX(BBG_Data!$P$2:$P$4000,MATCH($A319,BBG_Data!$O$2:$O$4000,0)),NA()))</f>
        <v/>
      </c>
      <c r="AE319" s="18">
        <f>IF(NOT(ISNUMBER($A319)),NA(),IFERROR(1*INDEX(BBG_Data!$R$2:$R$4000,MATCH($A319,BBG_Data!$Q$2:$Q$4000,0)),NA()))</f>
        <v/>
      </c>
      <c r="AF319" s="20">
        <f>IF(AND(ISNUMBER(B319),ISNUMBER(AC319)),(B319-AC319)*100,NA())</f>
        <v/>
      </c>
      <c r="AG319" s="20">
        <f>IF(AND(ISNUMBER(AE319),ISNUMBER(AD319)),(AE319-AD319)*100,NA())</f>
        <v/>
      </c>
      <c r="AH319" s="19">
        <f>IF(NOT(ISNUMBER($A319)),NA(),IFERROR(INDEX(BBG_Data!$T$2:$T$4000,MATCH($A319,BBG_Data!$S$2:$S$4000,0))*Settings!$B$25,NA()))</f>
        <v/>
      </c>
      <c r="AI319" s="19">
        <f>IF(NOT(ISNUMBER($A319)),NA(),IFERROR(INDEX(BBG_Data!$V$2:$V$4000,MATCH($A319,BBG_Data!$U$2:$U$4000,0))*Settings!$B$25,NA()))</f>
        <v/>
      </c>
      <c r="AJ319" s="19">
        <f>IF(NOT(ISNUMBER($A319)),NA(),IFERROR(1*INDEX(BBG_Data!$X$2:$X$4000,MATCH($A319,BBG_Data!$W$2:$W$4000,0)),NA()))</f>
        <v/>
      </c>
      <c r="AK319" s="19">
        <f>IF(NOT(ISNUMBER($A319)),NA(),IFERROR(1*INDEX(BBG_Data!$Z$2:$Z$4000,MATCH($A319,BBG_Data!$Y$2:$Y$4000,0)),NA()))</f>
        <v/>
      </c>
    </row>
    <row r="320">
      <c r="A320" s="17">
        <f>IF(ISNUMBER(BBG_Data!A320),BBG_Data!A320,"")</f>
        <v/>
      </c>
      <c r="B320" s="18">
        <f>IF(AND(ISNUMBER($A320),ISNUMBER(BBG_Data!B320)),BBG_Data!B320,NA())</f>
        <v/>
      </c>
      <c r="C320" s="18">
        <f>IF(NOT(ISNUMBER($A320)),NA(),IFERROR(1*INDEX(BBG_Data!$D$2:$D$4000,MATCH($A320,BBG_Data!$C$2:$C$4000,0)),NA()))</f>
        <v/>
      </c>
      <c r="D320" s="19">
        <f>IF(NOT(ISNUMBER($A320)),NA(),IFERROR(1*INDEX(BBG_Data!$F$2:$F$4000,MATCH($A320,BBG_Data!$E$2:$E$4000,0)),NA()))</f>
        <v/>
      </c>
      <c r="E320" s="19">
        <f>IF(NOT(ISNUMBER($A320)),NA(),IFERROR(1*INDEX(BBG_Data!$H$2:$H$4000,MATCH($A320,BBG_Data!$G$2:$G$4000,0)),NA()))</f>
        <v/>
      </c>
      <c r="F320" s="20">
        <f>IF(AND(ISNUMBER(B320),ISNUMBER(B319)),IF(B320=B319,"",(B320-B319)*100),"")</f>
        <v/>
      </c>
      <c r="G320" s="20">
        <f>IF(AND(ISNUMBER(C320),ISNUMBER(C319)),IF(C320=C319,"",(C320-C319)*100),"")</f>
        <v/>
      </c>
      <c r="H320" s="20">
        <f>IF(OR(NOT(ISNUMBER($A320)),ROW()-2&lt;Settings!$B$11),NA(),IF(COUNT(OFFSET(F320,1-Settings!$B$11,0,Settings!$B$11,1))&lt;ROUNDUP(Settings!$B$11*Settings!$B$26,0),NA(),STDEV(OFFSET(F320,1-Settings!$B$11,0,Settings!$B$11,1))*SQRT(Settings!$B$13)))</f>
        <v/>
      </c>
      <c r="I320" s="20">
        <f>IF(OR(NOT(ISNUMBER($A320)),ROW()-2&lt;Settings!$B$12),NA(),IF(COUNT(OFFSET(F320,1-Settings!$B$12,0,Settings!$B$12,1))&lt;ROUNDUP(Settings!$B$12*Settings!$B$26,0),NA(),STDEV(OFFSET(F320,1-Settings!$B$12,0,Settings!$B$12,1))*SQRT(Settings!$B$13)))</f>
        <v/>
      </c>
      <c r="J320" s="20">
        <f>IF(OR(NOT(ISNUMBER($A320)),ROW()-2&lt;Settings!$B$11),NA(),IF(COUNT(OFFSET(G320,1-Settings!$B$11,0,Settings!$B$11,1))&lt;ROUNDUP(Settings!$B$11*Settings!$B$26,0),NA(),STDEV(OFFSET(G320,1-Settings!$B$11,0,Settings!$B$11,1))*SQRT(Settings!$B$13)))</f>
        <v/>
      </c>
      <c r="K320" s="20">
        <f>IF(OR(NOT(ISNUMBER($A320)),ROW()-2&lt;Settings!$B$12),NA(),IF(COUNT(OFFSET(G320,1-Settings!$B$12,0,Settings!$B$12,1))&lt;ROUNDUP(Settings!$B$12*Settings!$B$26,0),NA(),STDEV(OFFSET(G320,1-Settings!$B$12,0,Settings!$B$12,1))*SQRT(Settings!$B$13)))</f>
        <v/>
      </c>
      <c r="L320" s="20">
        <f>IF(AND(ISNUMBER(D320),ISNUMBER(H320)),D320-H320,NA())</f>
        <v/>
      </c>
      <c r="M320" s="20">
        <f>IF(AND(ISNUMBER(E320),ISNUMBER(K320)),E320-K320,NA())</f>
        <v/>
      </c>
      <c r="N320" s="20">
        <f>IF(NOT(ISNUMBER($A320)),NA(),IF(COUNT(OFFSET(G320,1,0,Settings!$B$12,1))&lt;ROUNDUP(Settings!$B$12*Settings!$B$26,0),NA(),STDEV(OFFSET(G320,1,0,Settings!$B$12,1))*SQRT(Settings!$B$13)))</f>
        <v/>
      </c>
      <c r="O320" s="20">
        <f>IF(AND(ISNUMBER(E320),ISNUMBER(N320)),E320-N320,NA())</f>
        <v/>
      </c>
      <c r="P320" s="19">
        <f>IF(NOT(ISNUMBER($A320)),NA(),IF(OR($A320&lt;MIN(KW_TP!$A$2:$A$2501),$A320&gt;MAX(KW_TP!$A$2:$A$2501)),NA(),INDEX(KW_TP!$C$2:$C$2501,MATCH($A320,KW_TP!$A$2:$A$2501,1))))</f>
        <v/>
      </c>
      <c r="Q320" s="18">
        <f>IF(NOT(ISNUMBER($A320)),NA(),IFERROR(1*INDEX(BBG_Data!$J$2:$J$4000,MATCH($A320,BBG_Data!$I$2:$I$4000,0)),NA()))</f>
        <v/>
      </c>
      <c r="R320" s="18">
        <f>IF(NOT(ISNUMBER($A320)),NA(),IFERROR(1*INDEX(BBG_Data!$L$2:$L$4000,MATCH($A320,BBG_Data!$K$2:$K$4000,0)),NA()))</f>
        <v/>
      </c>
      <c r="S320" s="20">
        <f>IF(AND(ISNUMBER(B320),ISNUMBER(Q320),ISNUMBER(R320)),(B320-Q320-R320)*100,NA())</f>
        <v/>
      </c>
      <c r="T320" s="20">
        <f>IF(AND(ISNUMBER(B320),Settings!$B$17&gt;0),IF(ISNUMBER(INDEX($B:$B,Settings!$B$17)),(B320-INDEX($B:$B,Settings!$B$17))*100,NA()),NA())</f>
        <v/>
      </c>
      <c r="U320" s="20">
        <f>IF(AND(ISNUMBER(Q320),Settings!$B$17&gt;0),IF(ISNUMBER(INDEX($Q:$Q,Settings!$B$17)),(Q320-INDEX($Q:$Q,Settings!$B$17))*100,NA()),NA())</f>
        <v/>
      </c>
      <c r="V320" s="20">
        <f>IF(AND(ISNUMBER(R320),Settings!$B$17&gt;0),IF(ISNUMBER(INDEX($R:$R,Settings!$B$17)),(R320-INDEX($R:$R,Settings!$B$17))*100,NA()),NA())</f>
        <v/>
      </c>
      <c r="W320" s="20">
        <f>IF(AND(ISNUMBER(P320),Settings!$B$17&gt;0),IF(ISNUMBER(INDEX($P:$P,Settings!$B$17)),P320-INDEX($P:$P,Settings!$B$17),NA()),NA())</f>
        <v/>
      </c>
      <c r="X320" s="19">
        <f>IF(NOT(ISNUMBER($A320)),NA(),IF(OR($A320&lt;MIN(DKW_10Y!$A$2:$A$2918),$A320&gt;MAX(DKW_10Y!$A$2:$A$2918),Settings!$B$16&lt;MIN(DKW_10Y!$A$2:$A$2918)),NA(),(INDEX(DKW_10Y!$B$2:$B$2918,MATCH($A320,DKW_10Y!$A$2:$A$2918,1))-INDEX(DKW_10Y!$B$2:$B$2918,MATCH(Settings!$B$16,DKW_10Y!$A$2:$A$2918,1)))*100))</f>
        <v/>
      </c>
      <c r="Y320" s="19">
        <f>IF(NOT(ISNUMBER($A320)),NA(),IF(OR($A320&lt;MIN(DKW_10Y!$A$2:$A$2918),$A320&gt;MAX(DKW_10Y!$A$2:$A$2918),Settings!$B$16&lt;MIN(DKW_10Y!$A$2:$A$2918)),NA(),(INDEX(DKW_10Y!$C$2:$C$2918,MATCH($A320,DKW_10Y!$A$2:$A$2918,1))-INDEX(DKW_10Y!$C$2:$C$2918,MATCH(Settings!$B$16,DKW_10Y!$A$2:$A$2918,1)))*100))</f>
        <v/>
      </c>
      <c r="Z320" s="19">
        <f>IF(NOT(ISNUMBER($A320)),NA(),IF(OR($A320&lt;MIN(DKW_10Y!$A$2:$A$2918),$A320&gt;MAX(DKW_10Y!$A$2:$A$2918),Settings!$B$16&lt;MIN(DKW_10Y!$A$2:$A$2918)),NA(),(INDEX(DKW_10Y!$D$2:$D$2918,MATCH($A320,DKW_10Y!$A$2:$A$2918,1))-INDEX(DKW_10Y!$D$2:$D$2918,MATCH(Settings!$B$16,DKW_10Y!$A$2:$A$2918,1)))*100))</f>
        <v/>
      </c>
      <c r="AA320" s="19">
        <f>IF(NOT(ISNUMBER($A320)),NA(),IF(OR($A320&lt;MIN(DKW_10Y!$A$2:$A$2918),$A320&gt;MAX(DKW_10Y!$A$2:$A$2918),Settings!$B$16&lt;MIN(DKW_10Y!$A$2:$A$2918)),NA(),(INDEX(DKW_10Y!$E$2:$E$2918,MATCH($A320,DKW_10Y!$A$2:$A$2918,1))-INDEX(DKW_10Y!$E$2:$E$2918,MATCH(Settings!$B$16,DKW_10Y!$A$2:$A$2918,1)))*100))</f>
        <v/>
      </c>
      <c r="AB320" s="19">
        <f>IF(NOT(ISNUMBER($A320)),NA(),IF(OR($A320&lt;MIN(DKW_10Y!$A$2:$A$2918),$A320&gt;MAX(DKW_10Y!$A$2:$A$2918),Settings!$B$16&lt;MIN(DKW_10Y!$A$2:$A$2918)),NA(),(INDEX(DKW_10Y!$H$2:$H$2918,MATCH($A320,DKW_10Y!$A$2:$A$2918,1))-INDEX(DKW_10Y!$H$2:$H$2918,MATCH(Settings!$B$16,DKW_10Y!$A$2:$A$2918,1)))*100))</f>
        <v/>
      </c>
      <c r="AC320" s="18">
        <f>IF(NOT(ISNUMBER($A320)),NA(),IFERROR(1*INDEX(BBG_Data!$N$2:$N$4000,MATCH($A320,BBG_Data!$M$2:$M$4000,0)),NA()))</f>
        <v/>
      </c>
      <c r="AD320" s="18">
        <f>IF(NOT(ISNUMBER($A320)),NA(),IFERROR(1*INDEX(BBG_Data!$P$2:$P$4000,MATCH($A320,BBG_Data!$O$2:$O$4000,0)),NA()))</f>
        <v/>
      </c>
      <c r="AE320" s="18">
        <f>IF(NOT(ISNUMBER($A320)),NA(),IFERROR(1*INDEX(BBG_Data!$R$2:$R$4000,MATCH($A320,BBG_Data!$Q$2:$Q$4000,0)),NA()))</f>
        <v/>
      </c>
      <c r="AF320" s="20">
        <f>IF(AND(ISNUMBER(B320),ISNUMBER(AC320)),(B320-AC320)*100,NA())</f>
        <v/>
      </c>
      <c r="AG320" s="20">
        <f>IF(AND(ISNUMBER(AE320),ISNUMBER(AD320)),(AE320-AD320)*100,NA())</f>
        <v/>
      </c>
      <c r="AH320" s="19">
        <f>IF(NOT(ISNUMBER($A320)),NA(),IFERROR(INDEX(BBG_Data!$T$2:$T$4000,MATCH($A320,BBG_Data!$S$2:$S$4000,0))*Settings!$B$25,NA()))</f>
        <v/>
      </c>
      <c r="AI320" s="19">
        <f>IF(NOT(ISNUMBER($A320)),NA(),IFERROR(INDEX(BBG_Data!$V$2:$V$4000,MATCH($A320,BBG_Data!$U$2:$U$4000,0))*Settings!$B$25,NA()))</f>
        <v/>
      </c>
      <c r="AJ320" s="19">
        <f>IF(NOT(ISNUMBER($A320)),NA(),IFERROR(1*INDEX(BBG_Data!$X$2:$X$4000,MATCH($A320,BBG_Data!$W$2:$W$4000,0)),NA()))</f>
        <v/>
      </c>
      <c r="AK320" s="19">
        <f>IF(NOT(ISNUMBER($A320)),NA(),IFERROR(1*INDEX(BBG_Data!$Z$2:$Z$4000,MATCH($A320,BBG_Data!$Y$2:$Y$4000,0)),NA()))</f>
        <v/>
      </c>
    </row>
    <row r="321">
      <c r="A321" s="17">
        <f>IF(ISNUMBER(BBG_Data!A321),BBG_Data!A321,"")</f>
        <v/>
      </c>
      <c r="B321" s="18">
        <f>IF(AND(ISNUMBER($A321),ISNUMBER(BBG_Data!B321)),BBG_Data!B321,NA())</f>
        <v/>
      </c>
      <c r="C321" s="18">
        <f>IF(NOT(ISNUMBER($A321)),NA(),IFERROR(1*INDEX(BBG_Data!$D$2:$D$4000,MATCH($A321,BBG_Data!$C$2:$C$4000,0)),NA()))</f>
        <v/>
      </c>
      <c r="D321" s="19">
        <f>IF(NOT(ISNUMBER($A321)),NA(),IFERROR(1*INDEX(BBG_Data!$F$2:$F$4000,MATCH($A321,BBG_Data!$E$2:$E$4000,0)),NA()))</f>
        <v/>
      </c>
      <c r="E321" s="19">
        <f>IF(NOT(ISNUMBER($A321)),NA(),IFERROR(1*INDEX(BBG_Data!$H$2:$H$4000,MATCH($A321,BBG_Data!$G$2:$G$4000,0)),NA()))</f>
        <v/>
      </c>
      <c r="F321" s="20">
        <f>IF(AND(ISNUMBER(B321),ISNUMBER(B320)),IF(B321=B320,"",(B321-B320)*100),"")</f>
        <v/>
      </c>
      <c r="G321" s="20">
        <f>IF(AND(ISNUMBER(C321),ISNUMBER(C320)),IF(C321=C320,"",(C321-C320)*100),"")</f>
        <v/>
      </c>
      <c r="H321" s="20">
        <f>IF(OR(NOT(ISNUMBER($A321)),ROW()-2&lt;Settings!$B$11),NA(),IF(COUNT(OFFSET(F321,1-Settings!$B$11,0,Settings!$B$11,1))&lt;ROUNDUP(Settings!$B$11*Settings!$B$26,0),NA(),STDEV(OFFSET(F321,1-Settings!$B$11,0,Settings!$B$11,1))*SQRT(Settings!$B$13)))</f>
        <v/>
      </c>
      <c r="I321" s="20">
        <f>IF(OR(NOT(ISNUMBER($A321)),ROW()-2&lt;Settings!$B$12),NA(),IF(COUNT(OFFSET(F321,1-Settings!$B$12,0,Settings!$B$12,1))&lt;ROUNDUP(Settings!$B$12*Settings!$B$26,0),NA(),STDEV(OFFSET(F321,1-Settings!$B$12,0,Settings!$B$12,1))*SQRT(Settings!$B$13)))</f>
        <v/>
      </c>
      <c r="J321" s="20">
        <f>IF(OR(NOT(ISNUMBER($A321)),ROW()-2&lt;Settings!$B$11),NA(),IF(COUNT(OFFSET(G321,1-Settings!$B$11,0,Settings!$B$11,1))&lt;ROUNDUP(Settings!$B$11*Settings!$B$26,0),NA(),STDEV(OFFSET(G321,1-Settings!$B$11,0,Settings!$B$11,1))*SQRT(Settings!$B$13)))</f>
        <v/>
      </c>
      <c r="K321" s="20">
        <f>IF(OR(NOT(ISNUMBER($A321)),ROW()-2&lt;Settings!$B$12),NA(),IF(COUNT(OFFSET(G321,1-Settings!$B$12,0,Settings!$B$12,1))&lt;ROUNDUP(Settings!$B$12*Settings!$B$26,0),NA(),STDEV(OFFSET(G321,1-Settings!$B$12,0,Settings!$B$12,1))*SQRT(Settings!$B$13)))</f>
        <v/>
      </c>
      <c r="L321" s="20">
        <f>IF(AND(ISNUMBER(D321),ISNUMBER(H321)),D321-H321,NA())</f>
        <v/>
      </c>
      <c r="M321" s="20">
        <f>IF(AND(ISNUMBER(E321),ISNUMBER(K321)),E321-K321,NA())</f>
        <v/>
      </c>
      <c r="N321" s="20">
        <f>IF(NOT(ISNUMBER($A321)),NA(),IF(COUNT(OFFSET(G321,1,0,Settings!$B$12,1))&lt;ROUNDUP(Settings!$B$12*Settings!$B$26,0),NA(),STDEV(OFFSET(G321,1,0,Settings!$B$12,1))*SQRT(Settings!$B$13)))</f>
        <v/>
      </c>
      <c r="O321" s="20">
        <f>IF(AND(ISNUMBER(E321),ISNUMBER(N321)),E321-N321,NA())</f>
        <v/>
      </c>
      <c r="P321" s="19">
        <f>IF(NOT(ISNUMBER($A321)),NA(),IF(OR($A321&lt;MIN(KW_TP!$A$2:$A$2501),$A321&gt;MAX(KW_TP!$A$2:$A$2501)),NA(),INDEX(KW_TP!$C$2:$C$2501,MATCH($A321,KW_TP!$A$2:$A$2501,1))))</f>
        <v/>
      </c>
      <c r="Q321" s="18">
        <f>IF(NOT(ISNUMBER($A321)),NA(),IFERROR(1*INDEX(BBG_Data!$J$2:$J$4000,MATCH($A321,BBG_Data!$I$2:$I$4000,0)),NA()))</f>
        <v/>
      </c>
      <c r="R321" s="18">
        <f>IF(NOT(ISNUMBER($A321)),NA(),IFERROR(1*INDEX(BBG_Data!$L$2:$L$4000,MATCH($A321,BBG_Data!$K$2:$K$4000,0)),NA()))</f>
        <v/>
      </c>
      <c r="S321" s="20">
        <f>IF(AND(ISNUMBER(B321),ISNUMBER(Q321),ISNUMBER(R321)),(B321-Q321-R321)*100,NA())</f>
        <v/>
      </c>
      <c r="T321" s="20">
        <f>IF(AND(ISNUMBER(B321),Settings!$B$17&gt;0),IF(ISNUMBER(INDEX($B:$B,Settings!$B$17)),(B321-INDEX($B:$B,Settings!$B$17))*100,NA()),NA())</f>
        <v/>
      </c>
      <c r="U321" s="20">
        <f>IF(AND(ISNUMBER(Q321),Settings!$B$17&gt;0),IF(ISNUMBER(INDEX($Q:$Q,Settings!$B$17)),(Q321-INDEX($Q:$Q,Settings!$B$17))*100,NA()),NA())</f>
        <v/>
      </c>
      <c r="V321" s="20">
        <f>IF(AND(ISNUMBER(R321),Settings!$B$17&gt;0),IF(ISNUMBER(INDEX($R:$R,Settings!$B$17)),(R321-INDEX($R:$R,Settings!$B$17))*100,NA()),NA())</f>
        <v/>
      </c>
      <c r="W321" s="20">
        <f>IF(AND(ISNUMBER(P321),Settings!$B$17&gt;0),IF(ISNUMBER(INDEX($P:$P,Settings!$B$17)),P321-INDEX($P:$P,Settings!$B$17),NA()),NA())</f>
        <v/>
      </c>
      <c r="X321" s="19">
        <f>IF(NOT(ISNUMBER($A321)),NA(),IF(OR($A321&lt;MIN(DKW_10Y!$A$2:$A$2918),$A321&gt;MAX(DKW_10Y!$A$2:$A$2918),Settings!$B$16&lt;MIN(DKW_10Y!$A$2:$A$2918)),NA(),(INDEX(DKW_10Y!$B$2:$B$2918,MATCH($A321,DKW_10Y!$A$2:$A$2918,1))-INDEX(DKW_10Y!$B$2:$B$2918,MATCH(Settings!$B$16,DKW_10Y!$A$2:$A$2918,1)))*100))</f>
        <v/>
      </c>
      <c r="Y321" s="19">
        <f>IF(NOT(ISNUMBER($A321)),NA(),IF(OR($A321&lt;MIN(DKW_10Y!$A$2:$A$2918),$A321&gt;MAX(DKW_10Y!$A$2:$A$2918),Settings!$B$16&lt;MIN(DKW_10Y!$A$2:$A$2918)),NA(),(INDEX(DKW_10Y!$C$2:$C$2918,MATCH($A321,DKW_10Y!$A$2:$A$2918,1))-INDEX(DKW_10Y!$C$2:$C$2918,MATCH(Settings!$B$16,DKW_10Y!$A$2:$A$2918,1)))*100))</f>
        <v/>
      </c>
      <c r="Z321" s="19">
        <f>IF(NOT(ISNUMBER($A321)),NA(),IF(OR($A321&lt;MIN(DKW_10Y!$A$2:$A$2918),$A321&gt;MAX(DKW_10Y!$A$2:$A$2918),Settings!$B$16&lt;MIN(DKW_10Y!$A$2:$A$2918)),NA(),(INDEX(DKW_10Y!$D$2:$D$2918,MATCH($A321,DKW_10Y!$A$2:$A$2918,1))-INDEX(DKW_10Y!$D$2:$D$2918,MATCH(Settings!$B$16,DKW_10Y!$A$2:$A$2918,1)))*100))</f>
        <v/>
      </c>
      <c r="AA321" s="19">
        <f>IF(NOT(ISNUMBER($A321)),NA(),IF(OR($A321&lt;MIN(DKW_10Y!$A$2:$A$2918),$A321&gt;MAX(DKW_10Y!$A$2:$A$2918),Settings!$B$16&lt;MIN(DKW_10Y!$A$2:$A$2918)),NA(),(INDEX(DKW_10Y!$E$2:$E$2918,MATCH($A321,DKW_10Y!$A$2:$A$2918,1))-INDEX(DKW_10Y!$E$2:$E$2918,MATCH(Settings!$B$16,DKW_10Y!$A$2:$A$2918,1)))*100))</f>
        <v/>
      </c>
      <c r="AB321" s="19">
        <f>IF(NOT(ISNUMBER($A321)),NA(),IF(OR($A321&lt;MIN(DKW_10Y!$A$2:$A$2918),$A321&gt;MAX(DKW_10Y!$A$2:$A$2918),Settings!$B$16&lt;MIN(DKW_10Y!$A$2:$A$2918)),NA(),(INDEX(DKW_10Y!$H$2:$H$2918,MATCH($A321,DKW_10Y!$A$2:$A$2918,1))-INDEX(DKW_10Y!$H$2:$H$2918,MATCH(Settings!$B$16,DKW_10Y!$A$2:$A$2918,1)))*100))</f>
        <v/>
      </c>
      <c r="AC321" s="18">
        <f>IF(NOT(ISNUMBER($A321)),NA(),IFERROR(1*INDEX(BBG_Data!$N$2:$N$4000,MATCH($A321,BBG_Data!$M$2:$M$4000,0)),NA()))</f>
        <v/>
      </c>
      <c r="AD321" s="18">
        <f>IF(NOT(ISNUMBER($A321)),NA(),IFERROR(1*INDEX(BBG_Data!$P$2:$P$4000,MATCH($A321,BBG_Data!$O$2:$O$4000,0)),NA()))</f>
        <v/>
      </c>
      <c r="AE321" s="18">
        <f>IF(NOT(ISNUMBER($A321)),NA(),IFERROR(1*INDEX(BBG_Data!$R$2:$R$4000,MATCH($A321,BBG_Data!$Q$2:$Q$4000,0)),NA()))</f>
        <v/>
      </c>
      <c r="AF321" s="20">
        <f>IF(AND(ISNUMBER(B321),ISNUMBER(AC321)),(B321-AC321)*100,NA())</f>
        <v/>
      </c>
      <c r="AG321" s="20">
        <f>IF(AND(ISNUMBER(AE321),ISNUMBER(AD321)),(AE321-AD321)*100,NA())</f>
        <v/>
      </c>
      <c r="AH321" s="19">
        <f>IF(NOT(ISNUMBER($A321)),NA(),IFERROR(INDEX(BBG_Data!$T$2:$T$4000,MATCH($A321,BBG_Data!$S$2:$S$4000,0))*Settings!$B$25,NA()))</f>
        <v/>
      </c>
      <c r="AI321" s="19">
        <f>IF(NOT(ISNUMBER($A321)),NA(),IFERROR(INDEX(BBG_Data!$V$2:$V$4000,MATCH($A321,BBG_Data!$U$2:$U$4000,0))*Settings!$B$25,NA()))</f>
        <v/>
      </c>
      <c r="AJ321" s="19">
        <f>IF(NOT(ISNUMBER($A321)),NA(),IFERROR(1*INDEX(BBG_Data!$X$2:$X$4000,MATCH($A321,BBG_Data!$W$2:$W$4000,0)),NA()))</f>
        <v/>
      </c>
      <c r="AK321" s="19">
        <f>IF(NOT(ISNUMBER($A321)),NA(),IFERROR(1*INDEX(BBG_Data!$Z$2:$Z$4000,MATCH($A321,BBG_Data!$Y$2:$Y$4000,0)),NA()))</f>
        <v/>
      </c>
    </row>
    <row r="322">
      <c r="A322" s="17">
        <f>IF(ISNUMBER(BBG_Data!A322),BBG_Data!A322,"")</f>
        <v/>
      </c>
      <c r="B322" s="18">
        <f>IF(AND(ISNUMBER($A322),ISNUMBER(BBG_Data!B322)),BBG_Data!B322,NA())</f>
        <v/>
      </c>
      <c r="C322" s="18">
        <f>IF(NOT(ISNUMBER($A322)),NA(),IFERROR(1*INDEX(BBG_Data!$D$2:$D$4000,MATCH($A322,BBG_Data!$C$2:$C$4000,0)),NA()))</f>
        <v/>
      </c>
      <c r="D322" s="19">
        <f>IF(NOT(ISNUMBER($A322)),NA(),IFERROR(1*INDEX(BBG_Data!$F$2:$F$4000,MATCH($A322,BBG_Data!$E$2:$E$4000,0)),NA()))</f>
        <v/>
      </c>
      <c r="E322" s="19">
        <f>IF(NOT(ISNUMBER($A322)),NA(),IFERROR(1*INDEX(BBG_Data!$H$2:$H$4000,MATCH($A322,BBG_Data!$G$2:$G$4000,0)),NA()))</f>
        <v/>
      </c>
      <c r="F322" s="20">
        <f>IF(AND(ISNUMBER(B322),ISNUMBER(B321)),IF(B322=B321,"",(B322-B321)*100),"")</f>
        <v/>
      </c>
      <c r="G322" s="20">
        <f>IF(AND(ISNUMBER(C322),ISNUMBER(C321)),IF(C322=C321,"",(C322-C321)*100),"")</f>
        <v/>
      </c>
      <c r="H322" s="20">
        <f>IF(OR(NOT(ISNUMBER($A322)),ROW()-2&lt;Settings!$B$11),NA(),IF(COUNT(OFFSET(F322,1-Settings!$B$11,0,Settings!$B$11,1))&lt;ROUNDUP(Settings!$B$11*Settings!$B$26,0),NA(),STDEV(OFFSET(F322,1-Settings!$B$11,0,Settings!$B$11,1))*SQRT(Settings!$B$13)))</f>
        <v/>
      </c>
      <c r="I322" s="20">
        <f>IF(OR(NOT(ISNUMBER($A322)),ROW()-2&lt;Settings!$B$12),NA(),IF(COUNT(OFFSET(F322,1-Settings!$B$12,0,Settings!$B$12,1))&lt;ROUNDUP(Settings!$B$12*Settings!$B$26,0),NA(),STDEV(OFFSET(F322,1-Settings!$B$12,0,Settings!$B$12,1))*SQRT(Settings!$B$13)))</f>
        <v/>
      </c>
      <c r="J322" s="20">
        <f>IF(OR(NOT(ISNUMBER($A322)),ROW()-2&lt;Settings!$B$11),NA(),IF(COUNT(OFFSET(G322,1-Settings!$B$11,0,Settings!$B$11,1))&lt;ROUNDUP(Settings!$B$11*Settings!$B$26,0),NA(),STDEV(OFFSET(G322,1-Settings!$B$11,0,Settings!$B$11,1))*SQRT(Settings!$B$13)))</f>
        <v/>
      </c>
      <c r="K322" s="20">
        <f>IF(OR(NOT(ISNUMBER($A322)),ROW()-2&lt;Settings!$B$12),NA(),IF(COUNT(OFFSET(G322,1-Settings!$B$12,0,Settings!$B$12,1))&lt;ROUNDUP(Settings!$B$12*Settings!$B$26,0),NA(),STDEV(OFFSET(G322,1-Settings!$B$12,0,Settings!$B$12,1))*SQRT(Settings!$B$13)))</f>
        <v/>
      </c>
      <c r="L322" s="20">
        <f>IF(AND(ISNUMBER(D322),ISNUMBER(H322)),D322-H322,NA())</f>
        <v/>
      </c>
      <c r="M322" s="20">
        <f>IF(AND(ISNUMBER(E322),ISNUMBER(K322)),E322-K322,NA())</f>
        <v/>
      </c>
      <c r="N322" s="20">
        <f>IF(NOT(ISNUMBER($A322)),NA(),IF(COUNT(OFFSET(G322,1,0,Settings!$B$12,1))&lt;ROUNDUP(Settings!$B$12*Settings!$B$26,0),NA(),STDEV(OFFSET(G322,1,0,Settings!$B$12,1))*SQRT(Settings!$B$13)))</f>
        <v/>
      </c>
      <c r="O322" s="20">
        <f>IF(AND(ISNUMBER(E322),ISNUMBER(N322)),E322-N322,NA())</f>
        <v/>
      </c>
      <c r="P322" s="19">
        <f>IF(NOT(ISNUMBER($A322)),NA(),IF(OR($A322&lt;MIN(KW_TP!$A$2:$A$2501),$A322&gt;MAX(KW_TP!$A$2:$A$2501)),NA(),INDEX(KW_TP!$C$2:$C$2501,MATCH($A322,KW_TP!$A$2:$A$2501,1))))</f>
        <v/>
      </c>
      <c r="Q322" s="18">
        <f>IF(NOT(ISNUMBER($A322)),NA(),IFERROR(1*INDEX(BBG_Data!$J$2:$J$4000,MATCH($A322,BBG_Data!$I$2:$I$4000,0)),NA()))</f>
        <v/>
      </c>
      <c r="R322" s="18">
        <f>IF(NOT(ISNUMBER($A322)),NA(),IFERROR(1*INDEX(BBG_Data!$L$2:$L$4000,MATCH($A322,BBG_Data!$K$2:$K$4000,0)),NA()))</f>
        <v/>
      </c>
      <c r="S322" s="20">
        <f>IF(AND(ISNUMBER(B322),ISNUMBER(Q322),ISNUMBER(R322)),(B322-Q322-R322)*100,NA())</f>
        <v/>
      </c>
      <c r="T322" s="20">
        <f>IF(AND(ISNUMBER(B322),Settings!$B$17&gt;0),IF(ISNUMBER(INDEX($B:$B,Settings!$B$17)),(B322-INDEX($B:$B,Settings!$B$17))*100,NA()),NA())</f>
        <v/>
      </c>
      <c r="U322" s="20">
        <f>IF(AND(ISNUMBER(Q322),Settings!$B$17&gt;0),IF(ISNUMBER(INDEX($Q:$Q,Settings!$B$17)),(Q322-INDEX($Q:$Q,Settings!$B$17))*100,NA()),NA())</f>
        <v/>
      </c>
      <c r="V322" s="20">
        <f>IF(AND(ISNUMBER(R322),Settings!$B$17&gt;0),IF(ISNUMBER(INDEX($R:$R,Settings!$B$17)),(R322-INDEX($R:$R,Settings!$B$17))*100,NA()),NA())</f>
        <v/>
      </c>
      <c r="W322" s="20">
        <f>IF(AND(ISNUMBER(P322),Settings!$B$17&gt;0),IF(ISNUMBER(INDEX($P:$P,Settings!$B$17)),P322-INDEX($P:$P,Settings!$B$17),NA()),NA())</f>
        <v/>
      </c>
      <c r="X322" s="19">
        <f>IF(NOT(ISNUMBER($A322)),NA(),IF(OR($A322&lt;MIN(DKW_10Y!$A$2:$A$2918),$A322&gt;MAX(DKW_10Y!$A$2:$A$2918),Settings!$B$16&lt;MIN(DKW_10Y!$A$2:$A$2918)),NA(),(INDEX(DKW_10Y!$B$2:$B$2918,MATCH($A322,DKW_10Y!$A$2:$A$2918,1))-INDEX(DKW_10Y!$B$2:$B$2918,MATCH(Settings!$B$16,DKW_10Y!$A$2:$A$2918,1)))*100))</f>
        <v/>
      </c>
      <c r="Y322" s="19">
        <f>IF(NOT(ISNUMBER($A322)),NA(),IF(OR($A322&lt;MIN(DKW_10Y!$A$2:$A$2918),$A322&gt;MAX(DKW_10Y!$A$2:$A$2918),Settings!$B$16&lt;MIN(DKW_10Y!$A$2:$A$2918)),NA(),(INDEX(DKW_10Y!$C$2:$C$2918,MATCH($A322,DKW_10Y!$A$2:$A$2918,1))-INDEX(DKW_10Y!$C$2:$C$2918,MATCH(Settings!$B$16,DKW_10Y!$A$2:$A$2918,1)))*100))</f>
        <v/>
      </c>
      <c r="Z322" s="19">
        <f>IF(NOT(ISNUMBER($A322)),NA(),IF(OR($A322&lt;MIN(DKW_10Y!$A$2:$A$2918),$A322&gt;MAX(DKW_10Y!$A$2:$A$2918),Settings!$B$16&lt;MIN(DKW_10Y!$A$2:$A$2918)),NA(),(INDEX(DKW_10Y!$D$2:$D$2918,MATCH($A322,DKW_10Y!$A$2:$A$2918,1))-INDEX(DKW_10Y!$D$2:$D$2918,MATCH(Settings!$B$16,DKW_10Y!$A$2:$A$2918,1)))*100))</f>
        <v/>
      </c>
      <c r="AA322" s="19">
        <f>IF(NOT(ISNUMBER($A322)),NA(),IF(OR($A322&lt;MIN(DKW_10Y!$A$2:$A$2918),$A322&gt;MAX(DKW_10Y!$A$2:$A$2918),Settings!$B$16&lt;MIN(DKW_10Y!$A$2:$A$2918)),NA(),(INDEX(DKW_10Y!$E$2:$E$2918,MATCH($A322,DKW_10Y!$A$2:$A$2918,1))-INDEX(DKW_10Y!$E$2:$E$2918,MATCH(Settings!$B$16,DKW_10Y!$A$2:$A$2918,1)))*100))</f>
        <v/>
      </c>
      <c r="AB322" s="19">
        <f>IF(NOT(ISNUMBER($A322)),NA(),IF(OR($A322&lt;MIN(DKW_10Y!$A$2:$A$2918),$A322&gt;MAX(DKW_10Y!$A$2:$A$2918),Settings!$B$16&lt;MIN(DKW_10Y!$A$2:$A$2918)),NA(),(INDEX(DKW_10Y!$H$2:$H$2918,MATCH($A322,DKW_10Y!$A$2:$A$2918,1))-INDEX(DKW_10Y!$H$2:$H$2918,MATCH(Settings!$B$16,DKW_10Y!$A$2:$A$2918,1)))*100))</f>
        <v/>
      </c>
      <c r="AC322" s="18">
        <f>IF(NOT(ISNUMBER($A322)),NA(),IFERROR(1*INDEX(BBG_Data!$N$2:$N$4000,MATCH($A322,BBG_Data!$M$2:$M$4000,0)),NA()))</f>
        <v/>
      </c>
      <c r="AD322" s="18">
        <f>IF(NOT(ISNUMBER($A322)),NA(),IFERROR(1*INDEX(BBG_Data!$P$2:$P$4000,MATCH($A322,BBG_Data!$O$2:$O$4000,0)),NA()))</f>
        <v/>
      </c>
      <c r="AE322" s="18">
        <f>IF(NOT(ISNUMBER($A322)),NA(),IFERROR(1*INDEX(BBG_Data!$R$2:$R$4000,MATCH($A322,BBG_Data!$Q$2:$Q$4000,0)),NA()))</f>
        <v/>
      </c>
      <c r="AF322" s="20">
        <f>IF(AND(ISNUMBER(B322),ISNUMBER(AC322)),(B322-AC322)*100,NA())</f>
        <v/>
      </c>
      <c r="AG322" s="20">
        <f>IF(AND(ISNUMBER(AE322),ISNUMBER(AD322)),(AE322-AD322)*100,NA())</f>
        <v/>
      </c>
      <c r="AH322" s="19">
        <f>IF(NOT(ISNUMBER($A322)),NA(),IFERROR(INDEX(BBG_Data!$T$2:$T$4000,MATCH($A322,BBG_Data!$S$2:$S$4000,0))*Settings!$B$25,NA()))</f>
        <v/>
      </c>
      <c r="AI322" s="19">
        <f>IF(NOT(ISNUMBER($A322)),NA(),IFERROR(INDEX(BBG_Data!$V$2:$V$4000,MATCH($A322,BBG_Data!$U$2:$U$4000,0))*Settings!$B$25,NA()))</f>
        <v/>
      </c>
      <c r="AJ322" s="19">
        <f>IF(NOT(ISNUMBER($A322)),NA(),IFERROR(1*INDEX(BBG_Data!$X$2:$X$4000,MATCH($A322,BBG_Data!$W$2:$W$4000,0)),NA()))</f>
        <v/>
      </c>
      <c r="AK322" s="19">
        <f>IF(NOT(ISNUMBER($A322)),NA(),IFERROR(1*INDEX(BBG_Data!$Z$2:$Z$4000,MATCH($A322,BBG_Data!$Y$2:$Y$4000,0)),NA()))</f>
        <v/>
      </c>
    </row>
    <row r="323">
      <c r="A323" s="17">
        <f>IF(ISNUMBER(BBG_Data!A323),BBG_Data!A323,"")</f>
        <v/>
      </c>
      <c r="B323" s="18">
        <f>IF(AND(ISNUMBER($A323),ISNUMBER(BBG_Data!B323)),BBG_Data!B323,NA())</f>
        <v/>
      </c>
      <c r="C323" s="18">
        <f>IF(NOT(ISNUMBER($A323)),NA(),IFERROR(1*INDEX(BBG_Data!$D$2:$D$4000,MATCH($A323,BBG_Data!$C$2:$C$4000,0)),NA()))</f>
        <v/>
      </c>
      <c r="D323" s="19">
        <f>IF(NOT(ISNUMBER($A323)),NA(),IFERROR(1*INDEX(BBG_Data!$F$2:$F$4000,MATCH($A323,BBG_Data!$E$2:$E$4000,0)),NA()))</f>
        <v/>
      </c>
      <c r="E323" s="19">
        <f>IF(NOT(ISNUMBER($A323)),NA(),IFERROR(1*INDEX(BBG_Data!$H$2:$H$4000,MATCH($A323,BBG_Data!$G$2:$G$4000,0)),NA()))</f>
        <v/>
      </c>
      <c r="F323" s="20">
        <f>IF(AND(ISNUMBER(B323),ISNUMBER(B322)),IF(B323=B322,"",(B323-B322)*100),"")</f>
        <v/>
      </c>
      <c r="G323" s="20">
        <f>IF(AND(ISNUMBER(C323),ISNUMBER(C322)),IF(C323=C322,"",(C323-C322)*100),"")</f>
        <v/>
      </c>
      <c r="H323" s="20">
        <f>IF(OR(NOT(ISNUMBER($A323)),ROW()-2&lt;Settings!$B$11),NA(),IF(COUNT(OFFSET(F323,1-Settings!$B$11,0,Settings!$B$11,1))&lt;ROUNDUP(Settings!$B$11*Settings!$B$26,0),NA(),STDEV(OFFSET(F323,1-Settings!$B$11,0,Settings!$B$11,1))*SQRT(Settings!$B$13)))</f>
        <v/>
      </c>
      <c r="I323" s="20">
        <f>IF(OR(NOT(ISNUMBER($A323)),ROW()-2&lt;Settings!$B$12),NA(),IF(COUNT(OFFSET(F323,1-Settings!$B$12,0,Settings!$B$12,1))&lt;ROUNDUP(Settings!$B$12*Settings!$B$26,0),NA(),STDEV(OFFSET(F323,1-Settings!$B$12,0,Settings!$B$12,1))*SQRT(Settings!$B$13)))</f>
        <v/>
      </c>
      <c r="J323" s="20">
        <f>IF(OR(NOT(ISNUMBER($A323)),ROW()-2&lt;Settings!$B$11),NA(),IF(COUNT(OFFSET(G323,1-Settings!$B$11,0,Settings!$B$11,1))&lt;ROUNDUP(Settings!$B$11*Settings!$B$26,0),NA(),STDEV(OFFSET(G323,1-Settings!$B$11,0,Settings!$B$11,1))*SQRT(Settings!$B$13)))</f>
        <v/>
      </c>
      <c r="K323" s="20">
        <f>IF(OR(NOT(ISNUMBER($A323)),ROW()-2&lt;Settings!$B$12),NA(),IF(COUNT(OFFSET(G323,1-Settings!$B$12,0,Settings!$B$12,1))&lt;ROUNDUP(Settings!$B$12*Settings!$B$26,0),NA(),STDEV(OFFSET(G323,1-Settings!$B$12,0,Settings!$B$12,1))*SQRT(Settings!$B$13)))</f>
        <v/>
      </c>
      <c r="L323" s="20">
        <f>IF(AND(ISNUMBER(D323),ISNUMBER(H323)),D323-H323,NA())</f>
        <v/>
      </c>
      <c r="M323" s="20">
        <f>IF(AND(ISNUMBER(E323),ISNUMBER(K323)),E323-K323,NA())</f>
        <v/>
      </c>
      <c r="N323" s="20">
        <f>IF(NOT(ISNUMBER($A323)),NA(),IF(COUNT(OFFSET(G323,1,0,Settings!$B$12,1))&lt;ROUNDUP(Settings!$B$12*Settings!$B$26,0),NA(),STDEV(OFFSET(G323,1,0,Settings!$B$12,1))*SQRT(Settings!$B$13)))</f>
        <v/>
      </c>
      <c r="O323" s="20">
        <f>IF(AND(ISNUMBER(E323),ISNUMBER(N323)),E323-N323,NA())</f>
        <v/>
      </c>
      <c r="P323" s="19">
        <f>IF(NOT(ISNUMBER($A323)),NA(),IF(OR($A323&lt;MIN(KW_TP!$A$2:$A$2501),$A323&gt;MAX(KW_TP!$A$2:$A$2501)),NA(),INDEX(KW_TP!$C$2:$C$2501,MATCH($A323,KW_TP!$A$2:$A$2501,1))))</f>
        <v/>
      </c>
      <c r="Q323" s="18">
        <f>IF(NOT(ISNUMBER($A323)),NA(),IFERROR(1*INDEX(BBG_Data!$J$2:$J$4000,MATCH($A323,BBG_Data!$I$2:$I$4000,0)),NA()))</f>
        <v/>
      </c>
      <c r="R323" s="18">
        <f>IF(NOT(ISNUMBER($A323)),NA(),IFERROR(1*INDEX(BBG_Data!$L$2:$L$4000,MATCH($A323,BBG_Data!$K$2:$K$4000,0)),NA()))</f>
        <v/>
      </c>
      <c r="S323" s="20">
        <f>IF(AND(ISNUMBER(B323),ISNUMBER(Q323),ISNUMBER(R323)),(B323-Q323-R323)*100,NA())</f>
        <v/>
      </c>
      <c r="T323" s="20">
        <f>IF(AND(ISNUMBER(B323),Settings!$B$17&gt;0),IF(ISNUMBER(INDEX($B:$B,Settings!$B$17)),(B323-INDEX($B:$B,Settings!$B$17))*100,NA()),NA())</f>
        <v/>
      </c>
      <c r="U323" s="20">
        <f>IF(AND(ISNUMBER(Q323),Settings!$B$17&gt;0),IF(ISNUMBER(INDEX($Q:$Q,Settings!$B$17)),(Q323-INDEX($Q:$Q,Settings!$B$17))*100,NA()),NA())</f>
        <v/>
      </c>
      <c r="V323" s="20">
        <f>IF(AND(ISNUMBER(R323),Settings!$B$17&gt;0),IF(ISNUMBER(INDEX($R:$R,Settings!$B$17)),(R323-INDEX($R:$R,Settings!$B$17))*100,NA()),NA())</f>
        <v/>
      </c>
      <c r="W323" s="20">
        <f>IF(AND(ISNUMBER(P323),Settings!$B$17&gt;0),IF(ISNUMBER(INDEX($P:$P,Settings!$B$17)),P323-INDEX($P:$P,Settings!$B$17),NA()),NA())</f>
        <v/>
      </c>
      <c r="X323" s="19">
        <f>IF(NOT(ISNUMBER($A323)),NA(),IF(OR($A323&lt;MIN(DKW_10Y!$A$2:$A$2918),$A323&gt;MAX(DKW_10Y!$A$2:$A$2918),Settings!$B$16&lt;MIN(DKW_10Y!$A$2:$A$2918)),NA(),(INDEX(DKW_10Y!$B$2:$B$2918,MATCH($A323,DKW_10Y!$A$2:$A$2918,1))-INDEX(DKW_10Y!$B$2:$B$2918,MATCH(Settings!$B$16,DKW_10Y!$A$2:$A$2918,1)))*100))</f>
        <v/>
      </c>
      <c r="Y323" s="19">
        <f>IF(NOT(ISNUMBER($A323)),NA(),IF(OR($A323&lt;MIN(DKW_10Y!$A$2:$A$2918),$A323&gt;MAX(DKW_10Y!$A$2:$A$2918),Settings!$B$16&lt;MIN(DKW_10Y!$A$2:$A$2918)),NA(),(INDEX(DKW_10Y!$C$2:$C$2918,MATCH($A323,DKW_10Y!$A$2:$A$2918,1))-INDEX(DKW_10Y!$C$2:$C$2918,MATCH(Settings!$B$16,DKW_10Y!$A$2:$A$2918,1)))*100))</f>
        <v/>
      </c>
      <c r="Z323" s="19">
        <f>IF(NOT(ISNUMBER($A323)),NA(),IF(OR($A323&lt;MIN(DKW_10Y!$A$2:$A$2918),$A323&gt;MAX(DKW_10Y!$A$2:$A$2918),Settings!$B$16&lt;MIN(DKW_10Y!$A$2:$A$2918)),NA(),(INDEX(DKW_10Y!$D$2:$D$2918,MATCH($A323,DKW_10Y!$A$2:$A$2918,1))-INDEX(DKW_10Y!$D$2:$D$2918,MATCH(Settings!$B$16,DKW_10Y!$A$2:$A$2918,1)))*100))</f>
        <v/>
      </c>
      <c r="AA323" s="19">
        <f>IF(NOT(ISNUMBER($A323)),NA(),IF(OR($A323&lt;MIN(DKW_10Y!$A$2:$A$2918),$A323&gt;MAX(DKW_10Y!$A$2:$A$2918),Settings!$B$16&lt;MIN(DKW_10Y!$A$2:$A$2918)),NA(),(INDEX(DKW_10Y!$E$2:$E$2918,MATCH($A323,DKW_10Y!$A$2:$A$2918,1))-INDEX(DKW_10Y!$E$2:$E$2918,MATCH(Settings!$B$16,DKW_10Y!$A$2:$A$2918,1)))*100))</f>
        <v/>
      </c>
      <c r="AB323" s="19">
        <f>IF(NOT(ISNUMBER($A323)),NA(),IF(OR($A323&lt;MIN(DKW_10Y!$A$2:$A$2918),$A323&gt;MAX(DKW_10Y!$A$2:$A$2918),Settings!$B$16&lt;MIN(DKW_10Y!$A$2:$A$2918)),NA(),(INDEX(DKW_10Y!$H$2:$H$2918,MATCH($A323,DKW_10Y!$A$2:$A$2918,1))-INDEX(DKW_10Y!$H$2:$H$2918,MATCH(Settings!$B$16,DKW_10Y!$A$2:$A$2918,1)))*100))</f>
        <v/>
      </c>
      <c r="AC323" s="18">
        <f>IF(NOT(ISNUMBER($A323)),NA(),IFERROR(1*INDEX(BBG_Data!$N$2:$N$4000,MATCH($A323,BBG_Data!$M$2:$M$4000,0)),NA()))</f>
        <v/>
      </c>
      <c r="AD323" s="18">
        <f>IF(NOT(ISNUMBER($A323)),NA(),IFERROR(1*INDEX(BBG_Data!$P$2:$P$4000,MATCH($A323,BBG_Data!$O$2:$O$4000,0)),NA()))</f>
        <v/>
      </c>
      <c r="AE323" s="18">
        <f>IF(NOT(ISNUMBER($A323)),NA(),IFERROR(1*INDEX(BBG_Data!$R$2:$R$4000,MATCH($A323,BBG_Data!$Q$2:$Q$4000,0)),NA()))</f>
        <v/>
      </c>
      <c r="AF323" s="20">
        <f>IF(AND(ISNUMBER(B323),ISNUMBER(AC323)),(B323-AC323)*100,NA())</f>
        <v/>
      </c>
      <c r="AG323" s="20">
        <f>IF(AND(ISNUMBER(AE323),ISNUMBER(AD323)),(AE323-AD323)*100,NA())</f>
        <v/>
      </c>
      <c r="AH323" s="19">
        <f>IF(NOT(ISNUMBER($A323)),NA(),IFERROR(INDEX(BBG_Data!$T$2:$T$4000,MATCH($A323,BBG_Data!$S$2:$S$4000,0))*Settings!$B$25,NA()))</f>
        <v/>
      </c>
      <c r="AI323" s="19">
        <f>IF(NOT(ISNUMBER($A323)),NA(),IFERROR(INDEX(BBG_Data!$V$2:$V$4000,MATCH($A323,BBG_Data!$U$2:$U$4000,0))*Settings!$B$25,NA()))</f>
        <v/>
      </c>
      <c r="AJ323" s="19">
        <f>IF(NOT(ISNUMBER($A323)),NA(),IFERROR(1*INDEX(BBG_Data!$X$2:$X$4000,MATCH($A323,BBG_Data!$W$2:$W$4000,0)),NA()))</f>
        <v/>
      </c>
      <c r="AK323" s="19">
        <f>IF(NOT(ISNUMBER($A323)),NA(),IFERROR(1*INDEX(BBG_Data!$Z$2:$Z$4000,MATCH($A323,BBG_Data!$Y$2:$Y$4000,0)),NA()))</f>
        <v/>
      </c>
    </row>
    <row r="324">
      <c r="A324" s="17">
        <f>IF(ISNUMBER(BBG_Data!A324),BBG_Data!A324,"")</f>
        <v/>
      </c>
      <c r="B324" s="18">
        <f>IF(AND(ISNUMBER($A324),ISNUMBER(BBG_Data!B324)),BBG_Data!B324,NA())</f>
        <v/>
      </c>
      <c r="C324" s="18">
        <f>IF(NOT(ISNUMBER($A324)),NA(),IFERROR(1*INDEX(BBG_Data!$D$2:$D$4000,MATCH($A324,BBG_Data!$C$2:$C$4000,0)),NA()))</f>
        <v/>
      </c>
      <c r="D324" s="19">
        <f>IF(NOT(ISNUMBER($A324)),NA(),IFERROR(1*INDEX(BBG_Data!$F$2:$F$4000,MATCH($A324,BBG_Data!$E$2:$E$4000,0)),NA()))</f>
        <v/>
      </c>
      <c r="E324" s="19">
        <f>IF(NOT(ISNUMBER($A324)),NA(),IFERROR(1*INDEX(BBG_Data!$H$2:$H$4000,MATCH($A324,BBG_Data!$G$2:$G$4000,0)),NA()))</f>
        <v/>
      </c>
      <c r="F324" s="20">
        <f>IF(AND(ISNUMBER(B324),ISNUMBER(B323)),IF(B324=B323,"",(B324-B323)*100),"")</f>
        <v/>
      </c>
      <c r="G324" s="20">
        <f>IF(AND(ISNUMBER(C324),ISNUMBER(C323)),IF(C324=C323,"",(C324-C323)*100),"")</f>
        <v/>
      </c>
      <c r="H324" s="20">
        <f>IF(OR(NOT(ISNUMBER($A324)),ROW()-2&lt;Settings!$B$11),NA(),IF(COUNT(OFFSET(F324,1-Settings!$B$11,0,Settings!$B$11,1))&lt;ROUNDUP(Settings!$B$11*Settings!$B$26,0),NA(),STDEV(OFFSET(F324,1-Settings!$B$11,0,Settings!$B$11,1))*SQRT(Settings!$B$13)))</f>
        <v/>
      </c>
      <c r="I324" s="20">
        <f>IF(OR(NOT(ISNUMBER($A324)),ROW()-2&lt;Settings!$B$12),NA(),IF(COUNT(OFFSET(F324,1-Settings!$B$12,0,Settings!$B$12,1))&lt;ROUNDUP(Settings!$B$12*Settings!$B$26,0),NA(),STDEV(OFFSET(F324,1-Settings!$B$12,0,Settings!$B$12,1))*SQRT(Settings!$B$13)))</f>
        <v/>
      </c>
      <c r="J324" s="20">
        <f>IF(OR(NOT(ISNUMBER($A324)),ROW()-2&lt;Settings!$B$11),NA(),IF(COUNT(OFFSET(G324,1-Settings!$B$11,0,Settings!$B$11,1))&lt;ROUNDUP(Settings!$B$11*Settings!$B$26,0),NA(),STDEV(OFFSET(G324,1-Settings!$B$11,0,Settings!$B$11,1))*SQRT(Settings!$B$13)))</f>
        <v/>
      </c>
      <c r="K324" s="20">
        <f>IF(OR(NOT(ISNUMBER($A324)),ROW()-2&lt;Settings!$B$12),NA(),IF(COUNT(OFFSET(G324,1-Settings!$B$12,0,Settings!$B$12,1))&lt;ROUNDUP(Settings!$B$12*Settings!$B$26,0),NA(),STDEV(OFFSET(G324,1-Settings!$B$12,0,Settings!$B$12,1))*SQRT(Settings!$B$13)))</f>
        <v/>
      </c>
      <c r="L324" s="20">
        <f>IF(AND(ISNUMBER(D324),ISNUMBER(H324)),D324-H324,NA())</f>
        <v/>
      </c>
      <c r="M324" s="20">
        <f>IF(AND(ISNUMBER(E324),ISNUMBER(K324)),E324-K324,NA())</f>
        <v/>
      </c>
      <c r="N324" s="20">
        <f>IF(NOT(ISNUMBER($A324)),NA(),IF(COUNT(OFFSET(G324,1,0,Settings!$B$12,1))&lt;ROUNDUP(Settings!$B$12*Settings!$B$26,0),NA(),STDEV(OFFSET(G324,1,0,Settings!$B$12,1))*SQRT(Settings!$B$13)))</f>
        <v/>
      </c>
      <c r="O324" s="20">
        <f>IF(AND(ISNUMBER(E324),ISNUMBER(N324)),E324-N324,NA())</f>
        <v/>
      </c>
      <c r="P324" s="19">
        <f>IF(NOT(ISNUMBER($A324)),NA(),IF(OR($A324&lt;MIN(KW_TP!$A$2:$A$2501),$A324&gt;MAX(KW_TP!$A$2:$A$2501)),NA(),INDEX(KW_TP!$C$2:$C$2501,MATCH($A324,KW_TP!$A$2:$A$2501,1))))</f>
        <v/>
      </c>
      <c r="Q324" s="18">
        <f>IF(NOT(ISNUMBER($A324)),NA(),IFERROR(1*INDEX(BBG_Data!$J$2:$J$4000,MATCH($A324,BBG_Data!$I$2:$I$4000,0)),NA()))</f>
        <v/>
      </c>
      <c r="R324" s="18">
        <f>IF(NOT(ISNUMBER($A324)),NA(),IFERROR(1*INDEX(BBG_Data!$L$2:$L$4000,MATCH($A324,BBG_Data!$K$2:$K$4000,0)),NA()))</f>
        <v/>
      </c>
      <c r="S324" s="20">
        <f>IF(AND(ISNUMBER(B324),ISNUMBER(Q324),ISNUMBER(R324)),(B324-Q324-R324)*100,NA())</f>
        <v/>
      </c>
      <c r="T324" s="20">
        <f>IF(AND(ISNUMBER(B324),Settings!$B$17&gt;0),IF(ISNUMBER(INDEX($B:$B,Settings!$B$17)),(B324-INDEX($B:$B,Settings!$B$17))*100,NA()),NA())</f>
        <v/>
      </c>
      <c r="U324" s="20">
        <f>IF(AND(ISNUMBER(Q324),Settings!$B$17&gt;0),IF(ISNUMBER(INDEX($Q:$Q,Settings!$B$17)),(Q324-INDEX($Q:$Q,Settings!$B$17))*100,NA()),NA())</f>
        <v/>
      </c>
      <c r="V324" s="20">
        <f>IF(AND(ISNUMBER(R324),Settings!$B$17&gt;0),IF(ISNUMBER(INDEX($R:$R,Settings!$B$17)),(R324-INDEX($R:$R,Settings!$B$17))*100,NA()),NA())</f>
        <v/>
      </c>
      <c r="W324" s="20">
        <f>IF(AND(ISNUMBER(P324),Settings!$B$17&gt;0),IF(ISNUMBER(INDEX($P:$P,Settings!$B$17)),P324-INDEX($P:$P,Settings!$B$17),NA()),NA())</f>
        <v/>
      </c>
      <c r="X324" s="19">
        <f>IF(NOT(ISNUMBER($A324)),NA(),IF(OR($A324&lt;MIN(DKW_10Y!$A$2:$A$2918),$A324&gt;MAX(DKW_10Y!$A$2:$A$2918),Settings!$B$16&lt;MIN(DKW_10Y!$A$2:$A$2918)),NA(),(INDEX(DKW_10Y!$B$2:$B$2918,MATCH($A324,DKW_10Y!$A$2:$A$2918,1))-INDEX(DKW_10Y!$B$2:$B$2918,MATCH(Settings!$B$16,DKW_10Y!$A$2:$A$2918,1)))*100))</f>
        <v/>
      </c>
      <c r="Y324" s="19">
        <f>IF(NOT(ISNUMBER($A324)),NA(),IF(OR($A324&lt;MIN(DKW_10Y!$A$2:$A$2918),$A324&gt;MAX(DKW_10Y!$A$2:$A$2918),Settings!$B$16&lt;MIN(DKW_10Y!$A$2:$A$2918)),NA(),(INDEX(DKW_10Y!$C$2:$C$2918,MATCH($A324,DKW_10Y!$A$2:$A$2918,1))-INDEX(DKW_10Y!$C$2:$C$2918,MATCH(Settings!$B$16,DKW_10Y!$A$2:$A$2918,1)))*100))</f>
        <v/>
      </c>
      <c r="Z324" s="19">
        <f>IF(NOT(ISNUMBER($A324)),NA(),IF(OR($A324&lt;MIN(DKW_10Y!$A$2:$A$2918),$A324&gt;MAX(DKW_10Y!$A$2:$A$2918),Settings!$B$16&lt;MIN(DKW_10Y!$A$2:$A$2918)),NA(),(INDEX(DKW_10Y!$D$2:$D$2918,MATCH($A324,DKW_10Y!$A$2:$A$2918,1))-INDEX(DKW_10Y!$D$2:$D$2918,MATCH(Settings!$B$16,DKW_10Y!$A$2:$A$2918,1)))*100))</f>
        <v/>
      </c>
      <c r="AA324" s="19">
        <f>IF(NOT(ISNUMBER($A324)),NA(),IF(OR($A324&lt;MIN(DKW_10Y!$A$2:$A$2918),$A324&gt;MAX(DKW_10Y!$A$2:$A$2918),Settings!$B$16&lt;MIN(DKW_10Y!$A$2:$A$2918)),NA(),(INDEX(DKW_10Y!$E$2:$E$2918,MATCH($A324,DKW_10Y!$A$2:$A$2918,1))-INDEX(DKW_10Y!$E$2:$E$2918,MATCH(Settings!$B$16,DKW_10Y!$A$2:$A$2918,1)))*100))</f>
        <v/>
      </c>
      <c r="AB324" s="19">
        <f>IF(NOT(ISNUMBER($A324)),NA(),IF(OR($A324&lt;MIN(DKW_10Y!$A$2:$A$2918),$A324&gt;MAX(DKW_10Y!$A$2:$A$2918),Settings!$B$16&lt;MIN(DKW_10Y!$A$2:$A$2918)),NA(),(INDEX(DKW_10Y!$H$2:$H$2918,MATCH($A324,DKW_10Y!$A$2:$A$2918,1))-INDEX(DKW_10Y!$H$2:$H$2918,MATCH(Settings!$B$16,DKW_10Y!$A$2:$A$2918,1)))*100))</f>
        <v/>
      </c>
      <c r="AC324" s="18">
        <f>IF(NOT(ISNUMBER($A324)),NA(),IFERROR(1*INDEX(BBG_Data!$N$2:$N$4000,MATCH($A324,BBG_Data!$M$2:$M$4000,0)),NA()))</f>
        <v/>
      </c>
      <c r="AD324" s="18">
        <f>IF(NOT(ISNUMBER($A324)),NA(),IFERROR(1*INDEX(BBG_Data!$P$2:$P$4000,MATCH($A324,BBG_Data!$O$2:$O$4000,0)),NA()))</f>
        <v/>
      </c>
      <c r="AE324" s="18">
        <f>IF(NOT(ISNUMBER($A324)),NA(),IFERROR(1*INDEX(BBG_Data!$R$2:$R$4000,MATCH($A324,BBG_Data!$Q$2:$Q$4000,0)),NA()))</f>
        <v/>
      </c>
      <c r="AF324" s="20">
        <f>IF(AND(ISNUMBER(B324),ISNUMBER(AC324)),(B324-AC324)*100,NA())</f>
        <v/>
      </c>
      <c r="AG324" s="20">
        <f>IF(AND(ISNUMBER(AE324),ISNUMBER(AD324)),(AE324-AD324)*100,NA())</f>
        <v/>
      </c>
      <c r="AH324" s="19">
        <f>IF(NOT(ISNUMBER($A324)),NA(),IFERROR(INDEX(BBG_Data!$T$2:$T$4000,MATCH($A324,BBG_Data!$S$2:$S$4000,0))*Settings!$B$25,NA()))</f>
        <v/>
      </c>
      <c r="AI324" s="19">
        <f>IF(NOT(ISNUMBER($A324)),NA(),IFERROR(INDEX(BBG_Data!$V$2:$V$4000,MATCH($A324,BBG_Data!$U$2:$U$4000,0))*Settings!$B$25,NA()))</f>
        <v/>
      </c>
      <c r="AJ324" s="19">
        <f>IF(NOT(ISNUMBER($A324)),NA(),IFERROR(1*INDEX(BBG_Data!$X$2:$X$4000,MATCH($A324,BBG_Data!$W$2:$W$4000,0)),NA()))</f>
        <v/>
      </c>
      <c r="AK324" s="19">
        <f>IF(NOT(ISNUMBER($A324)),NA(),IFERROR(1*INDEX(BBG_Data!$Z$2:$Z$4000,MATCH($A324,BBG_Data!$Y$2:$Y$4000,0)),NA()))</f>
        <v/>
      </c>
    </row>
    <row r="325">
      <c r="A325" s="17">
        <f>IF(ISNUMBER(BBG_Data!A325),BBG_Data!A325,"")</f>
        <v/>
      </c>
      <c r="B325" s="18">
        <f>IF(AND(ISNUMBER($A325),ISNUMBER(BBG_Data!B325)),BBG_Data!B325,NA())</f>
        <v/>
      </c>
      <c r="C325" s="18">
        <f>IF(NOT(ISNUMBER($A325)),NA(),IFERROR(1*INDEX(BBG_Data!$D$2:$D$4000,MATCH($A325,BBG_Data!$C$2:$C$4000,0)),NA()))</f>
        <v/>
      </c>
      <c r="D325" s="19">
        <f>IF(NOT(ISNUMBER($A325)),NA(),IFERROR(1*INDEX(BBG_Data!$F$2:$F$4000,MATCH($A325,BBG_Data!$E$2:$E$4000,0)),NA()))</f>
        <v/>
      </c>
      <c r="E325" s="19">
        <f>IF(NOT(ISNUMBER($A325)),NA(),IFERROR(1*INDEX(BBG_Data!$H$2:$H$4000,MATCH($A325,BBG_Data!$G$2:$G$4000,0)),NA()))</f>
        <v/>
      </c>
      <c r="F325" s="20">
        <f>IF(AND(ISNUMBER(B325),ISNUMBER(B324)),IF(B325=B324,"",(B325-B324)*100),"")</f>
        <v/>
      </c>
      <c r="G325" s="20">
        <f>IF(AND(ISNUMBER(C325),ISNUMBER(C324)),IF(C325=C324,"",(C325-C324)*100),"")</f>
        <v/>
      </c>
      <c r="H325" s="20">
        <f>IF(OR(NOT(ISNUMBER($A325)),ROW()-2&lt;Settings!$B$11),NA(),IF(COUNT(OFFSET(F325,1-Settings!$B$11,0,Settings!$B$11,1))&lt;ROUNDUP(Settings!$B$11*Settings!$B$26,0),NA(),STDEV(OFFSET(F325,1-Settings!$B$11,0,Settings!$B$11,1))*SQRT(Settings!$B$13)))</f>
        <v/>
      </c>
      <c r="I325" s="20">
        <f>IF(OR(NOT(ISNUMBER($A325)),ROW()-2&lt;Settings!$B$12),NA(),IF(COUNT(OFFSET(F325,1-Settings!$B$12,0,Settings!$B$12,1))&lt;ROUNDUP(Settings!$B$12*Settings!$B$26,0),NA(),STDEV(OFFSET(F325,1-Settings!$B$12,0,Settings!$B$12,1))*SQRT(Settings!$B$13)))</f>
        <v/>
      </c>
      <c r="J325" s="20">
        <f>IF(OR(NOT(ISNUMBER($A325)),ROW()-2&lt;Settings!$B$11),NA(),IF(COUNT(OFFSET(G325,1-Settings!$B$11,0,Settings!$B$11,1))&lt;ROUNDUP(Settings!$B$11*Settings!$B$26,0),NA(),STDEV(OFFSET(G325,1-Settings!$B$11,0,Settings!$B$11,1))*SQRT(Settings!$B$13)))</f>
        <v/>
      </c>
      <c r="K325" s="20">
        <f>IF(OR(NOT(ISNUMBER($A325)),ROW()-2&lt;Settings!$B$12),NA(),IF(COUNT(OFFSET(G325,1-Settings!$B$12,0,Settings!$B$12,1))&lt;ROUNDUP(Settings!$B$12*Settings!$B$26,0),NA(),STDEV(OFFSET(G325,1-Settings!$B$12,0,Settings!$B$12,1))*SQRT(Settings!$B$13)))</f>
        <v/>
      </c>
      <c r="L325" s="20">
        <f>IF(AND(ISNUMBER(D325),ISNUMBER(H325)),D325-H325,NA())</f>
        <v/>
      </c>
      <c r="M325" s="20">
        <f>IF(AND(ISNUMBER(E325),ISNUMBER(K325)),E325-K325,NA())</f>
        <v/>
      </c>
      <c r="N325" s="20">
        <f>IF(NOT(ISNUMBER($A325)),NA(),IF(COUNT(OFFSET(G325,1,0,Settings!$B$12,1))&lt;ROUNDUP(Settings!$B$12*Settings!$B$26,0),NA(),STDEV(OFFSET(G325,1,0,Settings!$B$12,1))*SQRT(Settings!$B$13)))</f>
        <v/>
      </c>
      <c r="O325" s="20">
        <f>IF(AND(ISNUMBER(E325),ISNUMBER(N325)),E325-N325,NA())</f>
        <v/>
      </c>
      <c r="P325" s="19">
        <f>IF(NOT(ISNUMBER($A325)),NA(),IF(OR($A325&lt;MIN(KW_TP!$A$2:$A$2501),$A325&gt;MAX(KW_TP!$A$2:$A$2501)),NA(),INDEX(KW_TP!$C$2:$C$2501,MATCH($A325,KW_TP!$A$2:$A$2501,1))))</f>
        <v/>
      </c>
      <c r="Q325" s="18">
        <f>IF(NOT(ISNUMBER($A325)),NA(),IFERROR(1*INDEX(BBG_Data!$J$2:$J$4000,MATCH($A325,BBG_Data!$I$2:$I$4000,0)),NA()))</f>
        <v/>
      </c>
      <c r="R325" s="18">
        <f>IF(NOT(ISNUMBER($A325)),NA(),IFERROR(1*INDEX(BBG_Data!$L$2:$L$4000,MATCH($A325,BBG_Data!$K$2:$K$4000,0)),NA()))</f>
        <v/>
      </c>
      <c r="S325" s="20">
        <f>IF(AND(ISNUMBER(B325),ISNUMBER(Q325),ISNUMBER(R325)),(B325-Q325-R325)*100,NA())</f>
        <v/>
      </c>
      <c r="T325" s="20">
        <f>IF(AND(ISNUMBER(B325),Settings!$B$17&gt;0),IF(ISNUMBER(INDEX($B:$B,Settings!$B$17)),(B325-INDEX($B:$B,Settings!$B$17))*100,NA()),NA())</f>
        <v/>
      </c>
      <c r="U325" s="20">
        <f>IF(AND(ISNUMBER(Q325),Settings!$B$17&gt;0),IF(ISNUMBER(INDEX($Q:$Q,Settings!$B$17)),(Q325-INDEX($Q:$Q,Settings!$B$17))*100,NA()),NA())</f>
        <v/>
      </c>
      <c r="V325" s="20">
        <f>IF(AND(ISNUMBER(R325),Settings!$B$17&gt;0),IF(ISNUMBER(INDEX($R:$R,Settings!$B$17)),(R325-INDEX($R:$R,Settings!$B$17))*100,NA()),NA())</f>
        <v/>
      </c>
      <c r="W325" s="20">
        <f>IF(AND(ISNUMBER(P325),Settings!$B$17&gt;0),IF(ISNUMBER(INDEX($P:$P,Settings!$B$17)),P325-INDEX($P:$P,Settings!$B$17),NA()),NA())</f>
        <v/>
      </c>
      <c r="X325" s="19">
        <f>IF(NOT(ISNUMBER($A325)),NA(),IF(OR($A325&lt;MIN(DKW_10Y!$A$2:$A$2918),$A325&gt;MAX(DKW_10Y!$A$2:$A$2918),Settings!$B$16&lt;MIN(DKW_10Y!$A$2:$A$2918)),NA(),(INDEX(DKW_10Y!$B$2:$B$2918,MATCH($A325,DKW_10Y!$A$2:$A$2918,1))-INDEX(DKW_10Y!$B$2:$B$2918,MATCH(Settings!$B$16,DKW_10Y!$A$2:$A$2918,1)))*100))</f>
        <v/>
      </c>
      <c r="Y325" s="19">
        <f>IF(NOT(ISNUMBER($A325)),NA(),IF(OR($A325&lt;MIN(DKW_10Y!$A$2:$A$2918),$A325&gt;MAX(DKW_10Y!$A$2:$A$2918),Settings!$B$16&lt;MIN(DKW_10Y!$A$2:$A$2918)),NA(),(INDEX(DKW_10Y!$C$2:$C$2918,MATCH($A325,DKW_10Y!$A$2:$A$2918,1))-INDEX(DKW_10Y!$C$2:$C$2918,MATCH(Settings!$B$16,DKW_10Y!$A$2:$A$2918,1)))*100))</f>
        <v/>
      </c>
      <c r="Z325" s="19">
        <f>IF(NOT(ISNUMBER($A325)),NA(),IF(OR($A325&lt;MIN(DKW_10Y!$A$2:$A$2918),$A325&gt;MAX(DKW_10Y!$A$2:$A$2918),Settings!$B$16&lt;MIN(DKW_10Y!$A$2:$A$2918)),NA(),(INDEX(DKW_10Y!$D$2:$D$2918,MATCH($A325,DKW_10Y!$A$2:$A$2918,1))-INDEX(DKW_10Y!$D$2:$D$2918,MATCH(Settings!$B$16,DKW_10Y!$A$2:$A$2918,1)))*100))</f>
        <v/>
      </c>
      <c r="AA325" s="19">
        <f>IF(NOT(ISNUMBER($A325)),NA(),IF(OR($A325&lt;MIN(DKW_10Y!$A$2:$A$2918),$A325&gt;MAX(DKW_10Y!$A$2:$A$2918),Settings!$B$16&lt;MIN(DKW_10Y!$A$2:$A$2918)),NA(),(INDEX(DKW_10Y!$E$2:$E$2918,MATCH($A325,DKW_10Y!$A$2:$A$2918,1))-INDEX(DKW_10Y!$E$2:$E$2918,MATCH(Settings!$B$16,DKW_10Y!$A$2:$A$2918,1)))*100))</f>
        <v/>
      </c>
      <c r="AB325" s="19">
        <f>IF(NOT(ISNUMBER($A325)),NA(),IF(OR($A325&lt;MIN(DKW_10Y!$A$2:$A$2918),$A325&gt;MAX(DKW_10Y!$A$2:$A$2918),Settings!$B$16&lt;MIN(DKW_10Y!$A$2:$A$2918)),NA(),(INDEX(DKW_10Y!$H$2:$H$2918,MATCH($A325,DKW_10Y!$A$2:$A$2918,1))-INDEX(DKW_10Y!$H$2:$H$2918,MATCH(Settings!$B$16,DKW_10Y!$A$2:$A$2918,1)))*100))</f>
        <v/>
      </c>
      <c r="AC325" s="18">
        <f>IF(NOT(ISNUMBER($A325)),NA(),IFERROR(1*INDEX(BBG_Data!$N$2:$N$4000,MATCH($A325,BBG_Data!$M$2:$M$4000,0)),NA()))</f>
        <v/>
      </c>
      <c r="AD325" s="18">
        <f>IF(NOT(ISNUMBER($A325)),NA(),IFERROR(1*INDEX(BBG_Data!$P$2:$P$4000,MATCH($A325,BBG_Data!$O$2:$O$4000,0)),NA()))</f>
        <v/>
      </c>
      <c r="AE325" s="18">
        <f>IF(NOT(ISNUMBER($A325)),NA(),IFERROR(1*INDEX(BBG_Data!$R$2:$R$4000,MATCH($A325,BBG_Data!$Q$2:$Q$4000,0)),NA()))</f>
        <v/>
      </c>
      <c r="AF325" s="20">
        <f>IF(AND(ISNUMBER(B325),ISNUMBER(AC325)),(B325-AC325)*100,NA())</f>
        <v/>
      </c>
      <c r="AG325" s="20">
        <f>IF(AND(ISNUMBER(AE325),ISNUMBER(AD325)),(AE325-AD325)*100,NA())</f>
        <v/>
      </c>
      <c r="AH325" s="19">
        <f>IF(NOT(ISNUMBER($A325)),NA(),IFERROR(INDEX(BBG_Data!$T$2:$T$4000,MATCH($A325,BBG_Data!$S$2:$S$4000,0))*Settings!$B$25,NA()))</f>
        <v/>
      </c>
      <c r="AI325" s="19">
        <f>IF(NOT(ISNUMBER($A325)),NA(),IFERROR(INDEX(BBG_Data!$V$2:$V$4000,MATCH($A325,BBG_Data!$U$2:$U$4000,0))*Settings!$B$25,NA()))</f>
        <v/>
      </c>
      <c r="AJ325" s="19">
        <f>IF(NOT(ISNUMBER($A325)),NA(),IFERROR(1*INDEX(BBG_Data!$X$2:$X$4000,MATCH($A325,BBG_Data!$W$2:$W$4000,0)),NA()))</f>
        <v/>
      </c>
      <c r="AK325" s="19">
        <f>IF(NOT(ISNUMBER($A325)),NA(),IFERROR(1*INDEX(BBG_Data!$Z$2:$Z$4000,MATCH($A325,BBG_Data!$Y$2:$Y$4000,0)),NA()))</f>
        <v/>
      </c>
    </row>
    <row r="326">
      <c r="A326" s="17">
        <f>IF(ISNUMBER(BBG_Data!A326),BBG_Data!A326,"")</f>
        <v/>
      </c>
      <c r="B326" s="18">
        <f>IF(AND(ISNUMBER($A326),ISNUMBER(BBG_Data!B326)),BBG_Data!B326,NA())</f>
        <v/>
      </c>
      <c r="C326" s="18">
        <f>IF(NOT(ISNUMBER($A326)),NA(),IFERROR(1*INDEX(BBG_Data!$D$2:$D$4000,MATCH($A326,BBG_Data!$C$2:$C$4000,0)),NA()))</f>
        <v/>
      </c>
      <c r="D326" s="19">
        <f>IF(NOT(ISNUMBER($A326)),NA(),IFERROR(1*INDEX(BBG_Data!$F$2:$F$4000,MATCH($A326,BBG_Data!$E$2:$E$4000,0)),NA()))</f>
        <v/>
      </c>
      <c r="E326" s="19">
        <f>IF(NOT(ISNUMBER($A326)),NA(),IFERROR(1*INDEX(BBG_Data!$H$2:$H$4000,MATCH($A326,BBG_Data!$G$2:$G$4000,0)),NA()))</f>
        <v/>
      </c>
      <c r="F326" s="20">
        <f>IF(AND(ISNUMBER(B326),ISNUMBER(B325)),IF(B326=B325,"",(B326-B325)*100),"")</f>
        <v/>
      </c>
      <c r="G326" s="20">
        <f>IF(AND(ISNUMBER(C326),ISNUMBER(C325)),IF(C326=C325,"",(C326-C325)*100),"")</f>
        <v/>
      </c>
      <c r="H326" s="20">
        <f>IF(OR(NOT(ISNUMBER($A326)),ROW()-2&lt;Settings!$B$11),NA(),IF(COUNT(OFFSET(F326,1-Settings!$B$11,0,Settings!$B$11,1))&lt;ROUNDUP(Settings!$B$11*Settings!$B$26,0),NA(),STDEV(OFFSET(F326,1-Settings!$B$11,0,Settings!$B$11,1))*SQRT(Settings!$B$13)))</f>
        <v/>
      </c>
      <c r="I326" s="20">
        <f>IF(OR(NOT(ISNUMBER($A326)),ROW()-2&lt;Settings!$B$12),NA(),IF(COUNT(OFFSET(F326,1-Settings!$B$12,0,Settings!$B$12,1))&lt;ROUNDUP(Settings!$B$12*Settings!$B$26,0),NA(),STDEV(OFFSET(F326,1-Settings!$B$12,0,Settings!$B$12,1))*SQRT(Settings!$B$13)))</f>
        <v/>
      </c>
      <c r="J326" s="20">
        <f>IF(OR(NOT(ISNUMBER($A326)),ROW()-2&lt;Settings!$B$11),NA(),IF(COUNT(OFFSET(G326,1-Settings!$B$11,0,Settings!$B$11,1))&lt;ROUNDUP(Settings!$B$11*Settings!$B$26,0),NA(),STDEV(OFFSET(G326,1-Settings!$B$11,0,Settings!$B$11,1))*SQRT(Settings!$B$13)))</f>
        <v/>
      </c>
      <c r="K326" s="20">
        <f>IF(OR(NOT(ISNUMBER($A326)),ROW()-2&lt;Settings!$B$12),NA(),IF(COUNT(OFFSET(G326,1-Settings!$B$12,0,Settings!$B$12,1))&lt;ROUNDUP(Settings!$B$12*Settings!$B$26,0),NA(),STDEV(OFFSET(G326,1-Settings!$B$12,0,Settings!$B$12,1))*SQRT(Settings!$B$13)))</f>
        <v/>
      </c>
      <c r="L326" s="20">
        <f>IF(AND(ISNUMBER(D326),ISNUMBER(H326)),D326-H326,NA())</f>
        <v/>
      </c>
      <c r="M326" s="20">
        <f>IF(AND(ISNUMBER(E326),ISNUMBER(K326)),E326-K326,NA())</f>
        <v/>
      </c>
      <c r="N326" s="20">
        <f>IF(NOT(ISNUMBER($A326)),NA(),IF(COUNT(OFFSET(G326,1,0,Settings!$B$12,1))&lt;ROUNDUP(Settings!$B$12*Settings!$B$26,0),NA(),STDEV(OFFSET(G326,1,0,Settings!$B$12,1))*SQRT(Settings!$B$13)))</f>
        <v/>
      </c>
      <c r="O326" s="20">
        <f>IF(AND(ISNUMBER(E326),ISNUMBER(N326)),E326-N326,NA())</f>
        <v/>
      </c>
      <c r="P326" s="19">
        <f>IF(NOT(ISNUMBER($A326)),NA(),IF(OR($A326&lt;MIN(KW_TP!$A$2:$A$2501),$A326&gt;MAX(KW_TP!$A$2:$A$2501)),NA(),INDEX(KW_TP!$C$2:$C$2501,MATCH($A326,KW_TP!$A$2:$A$2501,1))))</f>
        <v/>
      </c>
      <c r="Q326" s="18">
        <f>IF(NOT(ISNUMBER($A326)),NA(),IFERROR(1*INDEX(BBG_Data!$J$2:$J$4000,MATCH($A326,BBG_Data!$I$2:$I$4000,0)),NA()))</f>
        <v/>
      </c>
      <c r="R326" s="18">
        <f>IF(NOT(ISNUMBER($A326)),NA(),IFERROR(1*INDEX(BBG_Data!$L$2:$L$4000,MATCH($A326,BBG_Data!$K$2:$K$4000,0)),NA()))</f>
        <v/>
      </c>
      <c r="S326" s="20">
        <f>IF(AND(ISNUMBER(B326),ISNUMBER(Q326),ISNUMBER(R326)),(B326-Q326-R326)*100,NA())</f>
        <v/>
      </c>
      <c r="T326" s="20">
        <f>IF(AND(ISNUMBER(B326),Settings!$B$17&gt;0),IF(ISNUMBER(INDEX($B:$B,Settings!$B$17)),(B326-INDEX($B:$B,Settings!$B$17))*100,NA()),NA())</f>
        <v/>
      </c>
      <c r="U326" s="20">
        <f>IF(AND(ISNUMBER(Q326),Settings!$B$17&gt;0),IF(ISNUMBER(INDEX($Q:$Q,Settings!$B$17)),(Q326-INDEX($Q:$Q,Settings!$B$17))*100,NA()),NA())</f>
        <v/>
      </c>
      <c r="V326" s="20">
        <f>IF(AND(ISNUMBER(R326),Settings!$B$17&gt;0),IF(ISNUMBER(INDEX($R:$R,Settings!$B$17)),(R326-INDEX($R:$R,Settings!$B$17))*100,NA()),NA())</f>
        <v/>
      </c>
      <c r="W326" s="20">
        <f>IF(AND(ISNUMBER(P326),Settings!$B$17&gt;0),IF(ISNUMBER(INDEX($P:$P,Settings!$B$17)),P326-INDEX($P:$P,Settings!$B$17),NA()),NA())</f>
        <v/>
      </c>
      <c r="X326" s="19">
        <f>IF(NOT(ISNUMBER($A326)),NA(),IF(OR($A326&lt;MIN(DKW_10Y!$A$2:$A$2918),$A326&gt;MAX(DKW_10Y!$A$2:$A$2918),Settings!$B$16&lt;MIN(DKW_10Y!$A$2:$A$2918)),NA(),(INDEX(DKW_10Y!$B$2:$B$2918,MATCH($A326,DKW_10Y!$A$2:$A$2918,1))-INDEX(DKW_10Y!$B$2:$B$2918,MATCH(Settings!$B$16,DKW_10Y!$A$2:$A$2918,1)))*100))</f>
        <v/>
      </c>
      <c r="Y326" s="19">
        <f>IF(NOT(ISNUMBER($A326)),NA(),IF(OR($A326&lt;MIN(DKW_10Y!$A$2:$A$2918),$A326&gt;MAX(DKW_10Y!$A$2:$A$2918),Settings!$B$16&lt;MIN(DKW_10Y!$A$2:$A$2918)),NA(),(INDEX(DKW_10Y!$C$2:$C$2918,MATCH($A326,DKW_10Y!$A$2:$A$2918,1))-INDEX(DKW_10Y!$C$2:$C$2918,MATCH(Settings!$B$16,DKW_10Y!$A$2:$A$2918,1)))*100))</f>
        <v/>
      </c>
      <c r="Z326" s="19">
        <f>IF(NOT(ISNUMBER($A326)),NA(),IF(OR($A326&lt;MIN(DKW_10Y!$A$2:$A$2918),$A326&gt;MAX(DKW_10Y!$A$2:$A$2918),Settings!$B$16&lt;MIN(DKW_10Y!$A$2:$A$2918)),NA(),(INDEX(DKW_10Y!$D$2:$D$2918,MATCH($A326,DKW_10Y!$A$2:$A$2918,1))-INDEX(DKW_10Y!$D$2:$D$2918,MATCH(Settings!$B$16,DKW_10Y!$A$2:$A$2918,1)))*100))</f>
        <v/>
      </c>
      <c r="AA326" s="19">
        <f>IF(NOT(ISNUMBER($A326)),NA(),IF(OR($A326&lt;MIN(DKW_10Y!$A$2:$A$2918),$A326&gt;MAX(DKW_10Y!$A$2:$A$2918),Settings!$B$16&lt;MIN(DKW_10Y!$A$2:$A$2918)),NA(),(INDEX(DKW_10Y!$E$2:$E$2918,MATCH($A326,DKW_10Y!$A$2:$A$2918,1))-INDEX(DKW_10Y!$E$2:$E$2918,MATCH(Settings!$B$16,DKW_10Y!$A$2:$A$2918,1)))*100))</f>
        <v/>
      </c>
      <c r="AB326" s="19">
        <f>IF(NOT(ISNUMBER($A326)),NA(),IF(OR($A326&lt;MIN(DKW_10Y!$A$2:$A$2918),$A326&gt;MAX(DKW_10Y!$A$2:$A$2918),Settings!$B$16&lt;MIN(DKW_10Y!$A$2:$A$2918)),NA(),(INDEX(DKW_10Y!$H$2:$H$2918,MATCH($A326,DKW_10Y!$A$2:$A$2918,1))-INDEX(DKW_10Y!$H$2:$H$2918,MATCH(Settings!$B$16,DKW_10Y!$A$2:$A$2918,1)))*100))</f>
        <v/>
      </c>
      <c r="AC326" s="18">
        <f>IF(NOT(ISNUMBER($A326)),NA(),IFERROR(1*INDEX(BBG_Data!$N$2:$N$4000,MATCH($A326,BBG_Data!$M$2:$M$4000,0)),NA()))</f>
        <v/>
      </c>
      <c r="AD326" s="18">
        <f>IF(NOT(ISNUMBER($A326)),NA(),IFERROR(1*INDEX(BBG_Data!$P$2:$P$4000,MATCH($A326,BBG_Data!$O$2:$O$4000,0)),NA()))</f>
        <v/>
      </c>
      <c r="AE326" s="18">
        <f>IF(NOT(ISNUMBER($A326)),NA(),IFERROR(1*INDEX(BBG_Data!$R$2:$R$4000,MATCH($A326,BBG_Data!$Q$2:$Q$4000,0)),NA()))</f>
        <v/>
      </c>
      <c r="AF326" s="20">
        <f>IF(AND(ISNUMBER(B326),ISNUMBER(AC326)),(B326-AC326)*100,NA())</f>
        <v/>
      </c>
      <c r="AG326" s="20">
        <f>IF(AND(ISNUMBER(AE326),ISNUMBER(AD326)),(AE326-AD326)*100,NA())</f>
        <v/>
      </c>
      <c r="AH326" s="19">
        <f>IF(NOT(ISNUMBER($A326)),NA(),IFERROR(INDEX(BBG_Data!$T$2:$T$4000,MATCH($A326,BBG_Data!$S$2:$S$4000,0))*Settings!$B$25,NA()))</f>
        <v/>
      </c>
      <c r="AI326" s="19">
        <f>IF(NOT(ISNUMBER($A326)),NA(),IFERROR(INDEX(BBG_Data!$V$2:$V$4000,MATCH($A326,BBG_Data!$U$2:$U$4000,0))*Settings!$B$25,NA()))</f>
        <v/>
      </c>
      <c r="AJ326" s="19">
        <f>IF(NOT(ISNUMBER($A326)),NA(),IFERROR(1*INDEX(BBG_Data!$X$2:$X$4000,MATCH($A326,BBG_Data!$W$2:$W$4000,0)),NA()))</f>
        <v/>
      </c>
      <c r="AK326" s="19">
        <f>IF(NOT(ISNUMBER($A326)),NA(),IFERROR(1*INDEX(BBG_Data!$Z$2:$Z$4000,MATCH($A326,BBG_Data!$Y$2:$Y$4000,0)),NA()))</f>
        <v/>
      </c>
    </row>
    <row r="327">
      <c r="A327" s="17">
        <f>IF(ISNUMBER(BBG_Data!A327),BBG_Data!A327,"")</f>
        <v/>
      </c>
      <c r="B327" s="18">
        <f>IF(AND(ISNUMBER($A327),ISNUMBER(BBG_Data!B327)),BBG_Data!B327,NA())</f>
        <v/>
      </c>
      <c r="C327" s="18">
        <f>IF(NOT(ISNUMBER($A327)),NA(),IFERROR(1*INDEX(BBG_Data!$D$2:$D$4000,MATCH($A327,BBG_Data!$C$2:$C$4000,0)),NA()))</f>
        <v/>
      </c>
      <c r="D327" s="19">
        <f>IF(NOT(ISNUMBER($A327)),NA(),IFERROR(1*INDEX(BBG_Data!$F$2:$F$4000,MATCH($A327,BBG_Data!$E$2:$E$4000,0)),NA()))</f>
        <v/>
      </c>
      <c r="E327" s="19">
        <f>IF(NOT(ISNUMBER($A327)),NA(),IFERROR(1*INDEX(BBG_Data!$H$2:$H$4000,MATCH($A327,BBG_Data!$G$2:$G$4000,0)),NA()))</f>
        <v/>
      </c>
      <c r="F327" s="20">
        <f>IF(AND(ISNUMBER(B327),ISNUMBER(B326)),IF(B327=B326,"",(B327-B326)*100),"")</f>
        <v/>
      </c>
      <c r="G327" s="20">
        <f>IF(AND(ISNUMBER(C327),ISNUMBER(C326)),IF(C327=C326,"",(C327-C326)*100),"")</f>
        <v/>
      </c>
      <c r="H327" s="20">
        <f>IF(OR(NOT(ISNUMBER($A327)),ROW()-2&lt;Settings!$B$11),NA(),IF(COUNT(OFFSET(F327,1-Settings!$B$11,0,Settings!$B$11,1))&lt;ROUNDUP(Settings!$B$11*Settings!$B$26,0),NA(),STDEV(OFFSET(F327,1-Settings!$B$11,0,Settings!$B$11,1))*SQRT(Settings!$B$13)))</f>
        <v/>
      </c>
      <c r="I327" s="20">
        <f>IF(OR(NOT(ISNUMBER($A327)),ROW()-2&lt;Settings!$B$12),NA(),IF(COUNT(OFFSET(F327,1-Settings!$B$12,0,Settings!$B$12,1))&lt;ROUNDUP(Settings!$B$12*Settings!$B$26,0),NA(),STDEV(OFFSET(F327,1-Settings!$B$12,0,Settings!$B$12,1))*SQRT(Settings!$B$13)))</f>
        <v/>
      </c>
      <c r="J327" s="20">
        <f>IF(OR(NOT(ISNUMBER($A327)),ROW()-2&lt;Settings!$B$11),NA(),IF(COUNT(OFFSET(G327,1-Settings!$B$11,0,Settings!$B$11,1))&lt;ROUNDUP(Settings!$B$11*Settings!$B$26,0),NA(),STDEV(OFFSET(G327,1-Settings!$B$11,0,Settings!$B$11,1))*SQRT(Settings!$B$13)))</f>
        <v/>
      </c>
      <c r="K327" s="20">
        <f>IF(OR(NOT(ISNUMBER($A327)),ROW()-2&lt;Settings!$B$12),NA(),IF(COUNT(OFFSET(G327,1-Settings!$B$12,0,Settings!$B$12,1))&lt;ROUNDUP(Settings!$B$12*Settings!$B$26,0),NA(),STDEV(OFFSET(G327,1-Settings!$B$12,0,Settings!$B$12,1))*SQRT(Settings!$B$13)))</f>
        <v/>
      </c>
      <c r="L327" s="20">
        <f>IF(AND(ISNUMBER(D327),ISNUMBER(H327)),D327-H327,NA())</f>
        <v/>
      </c>
      <c r="M327" s="20">
        <f>IF(AND(ISNUMBER(E327),ISNUMBER(K327)),E327-K327,NA())</f>
        <v/>
      </c>
      <c r="N327" s="20">
        <f>IF(NOT(ISNUMBER($A327)),NA(),IF(COUNT(OFFSET(G327,1,0,Settings!$B$12,1))&lt;ROUNDUP(Settings!$B$12*Settings!$B$26,0),NA(),STDEV(OFFSET(G327,1,0,Settings!$B$12,1))*SQRT(Settings!$B$13)))</f>
        <v/>
      </c>
      <c r="O327" s="20">
        <f>IF(AND(ISNUMBER(E327),ISNUMBER(N327)),E327-N327,NA())</f>
        <v/>
      </c>
      <c r="P327" s="19">
        <f>IF(NOT(ISNUMBER($A327)),NA(),IF(OR($A327&lt;MIN(KW_TP!$A$2:$A$2501),$A327&gt;MAX(KW_TP!$A$2:$A$2501)),NA(),INDEX(KW_TP!$C$2:$C$2501,MATCH($A327,KW_TP!$A$2:$A$2501,1))))</f>
        <v/>
      </c>
      <c r="Q327" s="18">
        <f>IF(NOT(ISNUMBER($A327)),NA(),IFERROR(1*INDEX(BBG_Data!$J$2:$J$4000,MATCH($A327,BBG_Data!$I$2:$I$4000,0)),NA()))</f>
        <v/>
      </c>
      <c r="R327" s="18">
        <f>IF(NOT(ISNUMBER($A327)),NA(),IFERROR(1*INDEX(BBG_Data!$L$2:$L$4000,MATCH($A327,BBG_Data!$K$2:$K$4000,0)),NA()))</f>
        <v/>
      </c>
      <c r="S327" s="20">
        <f>IF(AND(ISNUMBER(B327),ISNUMBER(Q327),ISNUMBER(R327)),(B327-Q327-R327)*100,NA())</f>
        <v/>
      </c>
      <c r="T327" s="20">
        <f>IF(AND(ISNUMBER(B327),Settings!$B$17&gt;0),IF(ISNUMBER(INDEX($B:$B,Settings!$B$17)),(B327-INDEX($B:$B,Settings!$B$17))*100,NA()),NA())</f>
        <v/>
      </c>
      <c r="U327" s="20">
        <f>IF(AND(ISNUMBER(Q327),Settings!$B$17&gt;0),IF(ISNUMBER(INDEX($Q:$Q,Settings!$B$17)),(Q327-INDEX($Q:$Q,Settings!$B$17))*100,NA()),NA())</f>
        <v/>
      </c>
      <c r="V327" s="20">
        <f>IF(AND(ISNUMBER(R327),Settings!$B$17&gt;0),IF(ISNUMBER(INDEX($R:$R,Settings!$B$17)),(R327-INDEX($R:$R,Settings!$B$17))*100,NA()),NA())</f>
        <v/>
      </c>
      <c r="W327" s="20">
        <f>IF(AND(ISNUMBER(P327),Settings!$B$17&gt;0),IF(ISNUMBER(INDEX($P:$P,Settings!$B$17)),P327-INDEX($P:$P,Settings!$B$17),NA()),NA())</f>
        <v/>
      </c>
      <c r="X327" s="19">
        <f>IF(NOT(ISNUMBER($A327)),NA(),IF(OR($A327&lt;MIN(DKW_10Y!$A$2:$A$2918),$A327&gt;MAX(DKW_10Y!$A$2:$A$2918),Settings!$B$16&lt;MIN(DKW_10Y!$A$2:$A$2918)),NA(),(INDEX(DKW_10Y!$B$2:$B$2918,MATCH($A327,DKW_10Y!$A$2:$A$2918,1))-INDEX(DKW_10Y!$B$2:$B$2918,MATCH(Settings!$B$16,DKW_10Y!$A$2:$A$2918,1)))*100))</f>
        <v/>
      </c>
      <c r="Y327" s="19">
        <f>IF(NOT(ISNUMBER($A327)),NA(),IF(OR($A327&lt;MIN(DKW_10Y!$A$2:$A$2918),$A327&gt;MAX(DKW_10Y!$A$2:$A$2918),Settings!$B$16&lt;MIN(DKW_10Y!$A$2:$A$2918)),NA(),(INDEX(DKW_10Y!$C$2:$C$2918,MATCH($A327,DKW_10Y!$A$2:$A$2918,1))-INDEX(DKW_10Y!$C$2:$C$2918,MATCH(Settings!$B$16,DKW_10Y!$A$2:$A$2918,1)))*100))</f>
        <v/>
      </c>
      <c r="Z327" s="19">
        <f>IF(NOT(ISNUMBER($A327)),NA(),IF(OR($A327&lt;MIN(DKW_10Y!$A$2:$A$2918),$A327&gt;MAX(DKW_10Y!$A$2:$A$2918),Settings!$B$16&lt;MIN(DKW_10Y!$A$2:$A$2918)),NA(),(INDEX(DKW_10Y!$D$2:$D$2918,MATCH($A327,DKW_10Y!$A$2:$A$2918,1))-INDEX(DKW_10Y!$D$2:$D$2918,MATCH(Settings!$B$16,DKW_10Y!$A$2:$A$2918,1)))*100))</f>
        <v/>
      </c>
      <c r="AA327" s="19">
        <f>IF(NOT(ISNUMBER($A327)),NA(),IF(OR($A327&lt;MIN(DKW_10Y!$A$2:$A$2918),$A327&gt;MAX(DKW_10Y!$A$2:$A$2918),Settings!$B$16&lt;MIN(DKW_10Y!$A$2:$A$2918)),NA(),(INDEX(DKW_10Y!$E$2:$E$2918,MATCH($A327,DKW_10Y!$A$2:$A$2918,1))-INDEX(DKW_10Y!$E$2:$E$2918,MATCH(Settings!$B$16,DKW_10Y!$A$2:$A$2918,1)))*100))</f>
        <v/>
      </c>
      <c r="AB327" s="19">
        <f>IF(NOT(ISNUMBER($A327)),NA(),IF(OR($A327&lt;MIN(DKW_10Y!$A$2:$A$2918),$A327&gt;MAX(DKW_10Y!$A$2:$A$2918),Settings!$B$16&lt;MIN(DKW_10Y!$A$2:$A$2918)),NA(),(INDEX(DKW_10Y!$H$2:$H$2918,MATCH($A327,DKW_10Y!$A$2:$A$2918,1))-INDEX(DKW_10Y!$H$2:$H$2918,MATCH(Settings!$B$16,DKW_10Y!$A$2:$A$2918,1)))*100))</f>
        <v/>
      </c>
      <c r="AC327" s="18">
        <f>IF(NOT(ISNUMBER($A327)),NA(),IFERROR(1*INDEX(BBG_Data!$N$2:$N$4000,MATCH($A327,BBG_Data!$M$2:$M$4000,0)),NA()))</f>
        <v/>
      </c>
      <c r="AD327" s="18">
        <f>IF(NOT(ISNUMBER($A327)),NA(),IFERROR(1*INDEX(BBG_Data!$P$2:$P$4000,MATCH($A327,BBG_Data!$O$2:$O$4000,0)),NA()))</f>
        <v/>
      </c>
      <c r="AE327" s="18">
        <f>IF(NOT(ISNUMBER($A327)),NA(),IFERROR(1*INDEX(BBG_Data!$R$2:$R$4000,MATCH($A327,BBG_Data!$Q$2:$Q$4000,0)),NA()))</f>
        <v/>
      </c>
      <c r="AF327" s="20">
        <f>IF(AND(ISNUMBER(B327),ISNUMBER(AC327)),(B327-AC327)*100,NA())</f>
        <v/>
      </c>
      <c r="AG327" s="20">
        <f>IF(AND(ISNUMBER(AE327),ISNUMBER(AD327)),(AE327-AD327)*100,NA())</f>
        <v/>
      </c>
      <c r="AH327" s="19">
        <f>IF(NOT(ISNUMBER($A327)),NA(),IFERROR(INDEX(BBG_Data!$T$2:$T$4000,MATCH($A327,BBG_Data!$S$2:$S$4000,0))*Settings!$B$25,NA()))</f>
        <v/>
      </c>
      <c r="AI327" s="19">
        <f>IF(NOT(ISNUMBER($A327)),NA(),IFERROR(INDEX(BBG_Data!$V$2:$V$4000,MATCH($A327,BBG_Data!$U$2:$U$4000,0))*Settings!$B$25,NA()))</f>
        <v/>
      </c>
      <c r="AJ327" s="19">
        <f>IF(NOT(ISNUMBER($A327)),NA(),IFERROR(1*INDEX(BBG_Data!$X$2:$X$4000,MATCH($A327,BBG_Data!$W$2:$W$4000,0)),NA()))</f>
        <v/>
      </c>
      <c r="AK327" s="19">
        <f>IF(NOT(ISNUMBER($A327)),NA(),IFERROR(1*INDEX(BBG_Data!$Z$2:$Z$4000,MATCH($A327,BBG_Data!$Y$2:$Y$4000,0)),NA()))</f>
        <v/>
      </c>
    </row>
    <row r="328">
      <c r="A328" s="17">
        <f>IF(ISNUMBER(BBG_Data!A328),BBG_Data!A328,"")</f>
        <v/>
      </c>
      <c r="B328" s="18">
        <f>IF(AND(ISNUMBER($A328),ISNUMBER(BBG_Data!B328)),BBG_Data!B328,NA())</f>
        <v/>
      </c>
      <c r="C328" s="18">
        <f>IF(NOT(ISNUMBER($A328)),NA(),IFERROR(1*INDEX(BBG_Data!$D$2:$D$4000,MATCH($A328,BBG_Data!$C$2:$C$4000,0)),NA()))</f>
        <v/>
      </c>
      <c r="D328" s="19">
        <f>IF(NOT(ISNUMBER($A328)),NA(),IFERROR(1*INDEX(BBG_Data!$F$2:$F$4000,MATCH($A328,BBG_Data!$E$2:$E$4000,0)),NA()))</f>
        <v/>
      </c>
      <c r="E328" s="19">
        <f>IF(NOT(ISNUMBER($A328)),NA(),IFERROR(1*INDEX(BBG_Data!$H$2:$H$4000,MATCH($A328,BBG_Data!$G$2:$G$4000,0)),NA()))</f>
        <v/>
      </c>
      <c r="F328" s="20">
        <f>IF(AND(ISNUMBER(B328),ISNUMBER(B327)),IF(B328=B327,"",(B328-B327)*100),"")</f>
        <v/>
      </c>
      <c r="G328" s="20">
        <f>IF(AND(ISNUMBER(C328),ISNUMBER(C327)),IF(C328=C327,"",(C328-C327)*100),"")</f>
        <v/>
      </c>
      <c r="H328" s="20">
        <f>IF(OR(NOT(ISNUMBER($A328)),ROW()-2&lt;Settings!$B$11),NA(),IF(COUNT(OFFSET(F328,1-Settings!$B$11,0,Settings!$B$11,1))&lt;ROUNDUP(Settings!$B$11*Settings!$B$26,0),NA(),STDEV(OFFSET(F328,1-Settings!$B$11,0,Settings!$B$11,1))*SQRT(Settings!$B$13)))</f>
        <v/>
      </c>
      <c r="I328" s="20">
        <f>IF(OR(NOT(ISNUMBER($A328)),ROW()-2&lt;Settings!$B$12),NA(),IF(COUNT(OFFSET(F328,1-Settings!$B$12,0,Settings!$B$12,1))&lt;ROUNDUP(Settings!$B$12*Settings!$B$26,0),NA(),STDEV(OFFSET(F328,1-Settings!$B$12,0,Settings!$B$12,1))*SQRT(Settings!$B$13)))</f>
        <v/>
      </c>
      <c r="J328" s="20">
        <f>IF(OR(NOT(ISNUMBER($A328)),ROW()-2&lt;Settings!$B$11),NA(),IF(COUNT(OFFSET(G328,1-Settings!$B$11,0,Settings!$B$11,1))&lt;ROUNDUP(Settings!$B$11*Settings!$B$26,0),NA(),STDEV(OFFSET(G328,1-Settings!$B$11,0,Settings!$B$11,1))*SQRT(Settings!$B$13)))</f>
        <v/>
      </c>
      <c r="K328" s="20">
        <f>IF(OR(NOT(ISNUMBER($A328)),ROW()-2&lt;Settings!$B$12),NA(),IF(COUNT(OFFSET(G328,1-Settings!$B$12,0,Settings!$B$12,1))&lt;ROUNDUP(Settings!$B$12*Settings!$B$26,0),NA(),STDEV(OFFSET(G328,1-Settings!$B$12,0,Settings!$B$12,1))*SQRT(Settings!$B$13)))</f>
        <v/>
      </c>
      <c r="L328" s="20">
        <f>IF(AND(ISNUMBER(D328),ISNUMBER(H328)),D328-H328,NA())</f>
        <v/>
      </c>
      <c r="M328" s="20">
        <f>IF(AND(ISNUMBER(E328),ISNUMBER(K328)),E328-K328,NA())</f>
        <v/>
      </c>
      <c r="N328" s="20">
        <f>IF(NOT(ISNUMBER($A328)),NA(),IF(COUNT(OFFSET(G328,1,0,Settings!$B$12,1))&lt;ROUNDUP(Settings!$B$12*Settings!$B$26,0),NA(),STDEV(OFFSET(G328,1,0,Settings!$B$12,1))*SQRT(Settings!$B$13)))</f>
        <v/>
      </c>
      <c r="O328" s="20">
        <f>IF(AND(ISNUMBER(E328),ISNUMBER(N328)),E328-N328,NA())</f>
        <v/>
      </c>
      <c r="P328" s="19">
        <f>IF(NOT(ISNUMBER($A328)),NA(),IF(OR($A328&lt;MIN(KW_TP!$A$2:$A$2501),$A328&gt;MAX(KW_TP!$A$2:$A$2501)),NA(),INDEX(KW_TP!$C$2:$C$2501,MATCH($A328,KW_TP!$A$2:$A$2501,1))))</f>
        <v/>
      </c>
      <c r="Q328" s="18">
        <f>IF(NOT(ISNUMBER($A328)),NA(),IFERROR(1*INDEX(BBG_Data!$J$2:$J$4000,MATCH($A328,BBG_Data!$I$2:$I$4000,0)),NA()))</f>
        <v/>
      </c>
      <c r="R328" s="18">
        <f>IF(NOT(ISNUMBER($A328)),NA(),IFERROR(1*INDEX(BBG_Data!$L$2:$L$4000,MATCH($A328,BBG_Data!$K$2:$K$4000,0)),NA()))</f>
        <v/>
      </c>
      <c r="S328" s="20">
        <f>IF(AND(ISNUMBER(B328),ISNUMBER(Q328),ISNUMBER(R328)),(B328-Q328-R328)*100,NA())</f>
        <v/>
      </c>
      <c r="T328" s="20">
        <f>IF(AND(ISNUMBER(B328),Settings!$B$17&gt;0),IF(ISNUMBER(INDEX($B:$B,Settings!$B$17)),(B328-INDEX($B:$B,Settings!$B$17))*100,NA()),NA())</f>
        <v/>
      </c>
      <c r="U328" s="20">
        <f>IF(AND(ISNUMBER(Q328),Settings!$B$17&gt;0),IF(ISNUMBER(INDEX($Q:$Q,Settings!$B$17)),(Q328-INDEX($Q:$Q,Settings!$B$17))*100,NA()),NA())</f>
        <v/>
      </c>
      <c r="V328" s="20">
        <f>IF(AND(ISNUMBER(R328),Settings!$B$17&gt;0),IF(ISNUMBER(INDEX($R:$R,Settings!$B$17)),(R328-INDEX($R:$R,Settings!$B$17))*100,NA()),NA())</f>
        <v/>
      </c>
      <c r="W328" s="20">
        <f>IF(AND(ISNUMBER(P328),Settings!$B$17&gt;0),IF(ISNUMBER(INDEX($P:$P,Settings!$B$17)),P328-INDEX($P:$P,Settings!$B$17),NA()),NA())</f>
        <v/>
      </c>
      <c r="X328" s="19">
        <f>IF(NOT(ISNUMBER($A328)),NA(),IF(OR($A328&lt;MIN(DKW_10Y!$A$2:$A$2918),$A328&gt;MAX(DKW_10Y!$A$2:$A$2918),Settings!$B$16&lt;MIN(DKW_10Y!$A$2:$A$2918)),NA(),(INDEX(DKW_10Y!$B$2:$B$2918,MATCH($A328,DKW_10Y!$A$2:$A$2918,1))-INDEX(DKW_10Y!$B$2:$B$2918,MATCH(Settings!$B$16,DKW_10Y!$A$2:$A$2918,1)))*100))</f>
        <v/>
      </c>
      <c r="Y328" s="19">
        <f>IF(NOT(ISNUMBER($A328)),NA(),IF(OR($A328&lt;MIN(DKW_10Y!$A$2:$A$2918),$A328&gt;MAX(DKW_10Y!$A$2:$A$2918),Settings!$B$16&lt;MIN(DKW_10Y!$A$2:$A$2918)),NA(),(INDEX(DKW_10Y!$C$2:$C$2918,MATCH($A328,DKW_10Y!$A$2:$A$2918,1))-INDEX(DKW_10Y!$C$2:$C$2918,MATCH(Settings!$B$16,DKW_10Y!$A$2:$A$2918,1)))*100))</f>
        <v/>
      </c>
      <c r="Z328" s="19">
        <f>IF(NOT(ISNUMBER($A328)),NA(),IF(OR($A328&lt;MIN(DKW_10Y!$A$2:$A$2918),$A328&gt;MAX(DKW_10Y!$A$2:$A$2918),Settings!$B$16&lt;MIN(DKW_10Y!$A$2:$A$2918)),NA(),(INDEX(DKW_10Y!$D$2:$D$2918,MATCH($A328,DKW_10Y!$A$2:$A$2918,1))-INDEX(DKW_10Y!$D$2:$D$2918,MATCH(Settings!$B$16,DKW_10Y!$A$2:$A$2918,1)))*100))</f>
        <v/>
      </c>
      <c r="AA328" s="19">
        <f>IF(NOT(ISNUMBER($A328)),NA(),IF(OR($A328&lt;MIN(DKW_10Y!$A$2:$A$2918),$A328&gt;MAX(DKW_10Y!$A$2:$A$2918),Settings!$B$16&lt;MIN(DKW_10Y!$A$2:$A$2918)),NA(),(INDEX(DKW_10Y!$E$2:$E$2918,MATCH($A328,DKW_10Y!$A$2:$A$2918,1))-INDEX(DKW_10Y!$E$2:$E$2918,MATCH(Settings!$B$16,DKW_10Y!$A$2:$A$2918,1)))*100))</f>
        <v/>
      </c>
      <c r="AB328" s="19">
        <f>IF(NOT(ISNUMBER($A328)),NA(),IF(OR($A328&lt;MIN(DKW_10Y!$A$2:$A$2918),$A328&gt;MAX(DKW_10Y!$A$2:$A$2918),Settings!$B$16&lt;MIN(DKW_10Y!$A$2:$A$2918)),NA(),(INDEX(DKW_10Y!$H$2:$H$2918,MATCH($A328,DKW_10Y!$A$2:$A$2918,1))-INDEX(DKW_10Y!$H$2:$H$2918,MATCH(Settings!$B$16,DKW_10Y!$A$2:$A$2918,1)))*100))</f>
        <v/>
      </c>
      <c r="AC328" s="18">
        <f>IF(NOT(ISNUMBER($A328)),NA(),IFERROR(1*INDEX(BBG_Data!$N$2:$N$4000,MATCH($A328,BBG_Data!$M$2:$M$4000,0)),NA()))</f>
        <v/>
      </c>
      <c r="AD328" s="18">
        <f>IF(NOT(ISNUMBER($A328)),NA(),IFERROR(1*INDEX(BBG_Data!$P$2:$P$4000,MATCH($A328,BBG_Data!$O$2:$O$4000,0)),NA()))</f>
        <v/>
      </c>
      <c r="AE328" s="18">
        <f>IF(NOT(ISNUMBER($A328)),NA(),IFERROR(1*INDEX(BBG_Data!$R$2:$R$4000,MATCH($A328,BBG_Data!$Q$2:$Q$4000,0)),NA()))</f>
        <v/>
      </c>
      <c r="AF328" s="20">
        <f>IF(AND(ISNUMBER(B328),ISNUMBER(AC328)),(B328-AC328)*100,NA())</f>
        <v/>
      </c>
      <c r="AG328" s="20">
        <f>IF(AND(ISNUMBER(AE328),ISNUMBER(AD328)),(AE328-AD328)*100,NA())</f>
        <v/>
      </c>
      <c r="AH328" s="19">
        <f>IF(NOT(ISNUMBER($A328)),NA(),IFERROR(INDEX(BBG_Data!$T$2:$T$4000,MATCH($A328,BBG_Data!$S$2:$S$4000,0))*Settings!$B$25,NA()))</f>
        <v/>
      </c>
      <c r="AI328" s="19">
        <f>IF(NOT(ISNUMBER($A328)),NA(),IFERROR(INDEX(BBG_Data!$V$2:$V$4000,MATCH($A328,BBG_Data!$U$2:$U$4000,0))*Settings!$B$25,NA()))</f>
        <v/>
      </c>
      <c r="AJ328" s="19">
        <f>IF(NOT(ISNUMBER($A328)),NA(),IFERROR(1*INDEX(BBG_Data!$X$2:$X$4000,MATCH($A328,BBG_Data!$W$2:$W$4000,0)),NA()))</f>
        <v/>
      </c>
      <c r="AK328" s="19">
        <f>IF(NOT(ISNUMBER($A328)),NA(),IFERROR(1*INDEX(BBG_Data!$Z$2:$Z$4000,MATCH($A328,BBG_Data!$Y$2:$Y$4000,0)),NA()))</f>
        <v/>
      </c>
    </row>
    <row r="329">
      <c r="A329" s="17">
        <f>IF(ISNUMBER(BBG_Data!A329),BBG_Data!A329,"")</f>
        <v/>
      </c>
      <c r="B329" s="18">
        <f>IF(AND(ISNUMBER($A329),ISNUMBER(BBG_Data!B329)),BBG_Data!B329,NA())</f>
        <v/>
      </c>
      <c r="C329" s="18">
        <f>IF(NOT(ISNUMBER($A329)),NA(),IFERROR(1*INDEX(BBG_Data!$D$2:$D$4000,MATCH($A329,BBG_Data!$C$2:$C$4000,0)),NA()))</f>
        <v/>
      </c>
      <c r="D329" s="19">
        <f>IF(NOT(ISNUMBER($A329)),NA(),IFERROR(1*INDEX(BBG_Data!$F$2:$F$4000,MATCH($A329,BBG_Data!$E$2:$E$4000,0)),NA()))</f>
        <v/>
      </c>
      <c r="E329" s="19">
        <f>IF(NOT(ISNUMBER($A329)),NA(),IFERROR(1*INDEX(BBG_Data!$H$2:$H$4000,MATCH($A329,BBG_Data!$G$2:$G$4000,0)),NA()))</f>
        <v/>
      </c>
      <c r="F329" s="20">
        <f>IF(AND(ISNUMBER(B329),ISNUMBER(B328)),IF(B329=B328,"",(B329-B328)*100),"")</f>
        <v/>
      </c>
      <c r="G329" s="20">
        <f>IF(AND(ISNUMBER(C329),ISNUMBER(C328)),IF(C329=C328,"",(C329-C328)*100),"")</f>
        <v/>
      </c>
      <c r="H329" s="20">
        <f>IF(OR(NOT(ISNUMBER($A329)),ROW()-2&lt;Settings!$B$11),NA(),IF(COUNT(OFFSET(F329,1-Settings!$B$11,0,Settings!$B$11,1))&lt;ROUNDUP(Settings!$B$11*Settings!$B$26,0),NA(),STDEV(OFFSET(F329,1-Settings!$B$11,0,Settings!$B$11,1))*SQRT(Settings!$B$13)))</f>
        <v/>
      </c>
      <c r="I329" s="20">
        <f>IF(OR(NOT(ISNUMBER($A329)),ROW()-2&lt;Settings!$B$12),NA(),IF(COUNT(OFFSET(F329,1-Settings!$B$12,0,Settings!$B$12,1))&lt;ROUNDUP(Settings!$B$12*Settings!$B$26,0),NA(),STDEV(OFFSET(F329,1-Settings!$B$12,0,Settings!$B$12,1))*SQRT(Settings!$B$13)))</f>
        <v/>
      </c>
      <c r="J329" s="20">
        <f>IF(OR(NOT(ISNUMBER($A329)),ROW()-2&lt;Settings!$B$11),NA(),IF(COUNT(OFFSET(G329,1-Settings!$B$11,0,Settings!$B$11,1))&lt;ROUNDUP(Settings!$B$11*Settings!$B$26,0),NA(),STDEV(OFFSET(G329,1-Settings!$B$11,0,Settings!$B$11,1))*SQRT(Settings!$B$13)))</f>
        <v/>
      </c>
      <c r="K329" s="20">
        <f>IF(OR(NOT(ISNUMBER($A329)),ROW()-2&lt;Settings!$B$12),NA(),IF(COUNT(OFFSET(G329,1-Settings!$B$12,0,Settings!$B$12,1))&lt;ROUNDUP(Settings!$B$12*Settings!$B$26,0),NA(),STDEV(OFFSET(G329,1-Settings!$B$12,0,Settings!$B$12,1))*SQRT(Settings!$B$13)))</f>
        <v/>
      </c>
      <c r="L329" s="20">
        <f>IF(AND(ISNUMBER(D329),ISNUMBER(H329)),D329-H329,NA())</f>
        <v/>
      </c>
      <c r="M329" s="20">
        <f>IF(AND(ISNUMBER(E329),ISNUMBER(K329)),E329-K329,NA())</f>
        <v/>
      </c>
      <c r="N329" s="20">
        <f>IF(NOT(ISNUMBER($A329)),NA(),IF(COUNT(OFFSET(G329,1,0,Settings!$B$12,1))&lt;ROUNDUP(Settings!$B$12*Settings!$B$26,0),NA(),STDEV(OFFSET(G329,1,0,Settings!$B$12,1))*SQRT(Settings!$B$13)))</f>
        <v/>
      </c>
      <c r="O329" s="20">
        <f>IF(AND(ISNUMBER(E329),ISNUMBER(N329)),E329-N329,NA())</f>
        <v/>
      </c>
      <c r="P329" s="19">
        <f>IF(NOT(ISNUMBER($A329)),NA(),IF(OR($A329&lt;MIN(KW_TP!$A$2:$A$2501),$A329&gt;MAX(KW_TP!$A$2:$A$2501)),NA(),INDEX(KW_TP!$C$2:$C$2501,MATCH($A329,KW_TP!$A$2:$A$2501,1))))</f>
        <v/>
      </c>
      <c r="Q329" s="18">
        <f>IF(NOT(ISNUMBER($A329)),NA(),IFERROR(1*INDEX(BBG_Data!$J$2:$J$4000,MATCH($A329,BBG_Data!$I$2:$I$4000,0)),NA()))</f>
        <v/>
      </c>
      <c r="R329" s="18">
        <f>IF(NOT(ISNUMBER($A329)),NA(),IFERROR(1*INDEX(BBG_Data!$L$2:$L$4000,MATCH($A329,BBG_Data!$K$2:$K$4000,0)),NA()))</f>
        <v/>
      </c>
      <c r="S329" s="20">
        <f>IF(AND(ISNUMBER(B329),ISNUMBER(Q329),ISNUMBER(R329)),(B329-Q329-R329)*100,NA())</f>
        <v/>
      </c>
      <c r="T329" s="20">
        <f>IF(AND(ISNUMBER(B329),Settings!$B$17&gt;0),IF(ISNUMBER(INDEX($B:$B,Settings!$B$17)),(B329-INDEX($B:$B,Settings!$B$17))*100,NA()),NA())</f>
        <v/>
      </c>
      <c r="U329" s="20">
        <f>IF(AND(ISNUMBER(Q329),Settings!$B$17&gt;0),IF(ISNUMBER(INDEX($Q:$Q,Settings!$B$17)),(Q329-INDEX($Q:$Q,Settings!$B$17))*100,NA()),NA())</f>
        <v/>
      </c>
      <c r="V329" s="20">
        <f>IF(AND(ISNUMBER(R329),Settings!$B$17&gt;0),IF(ISNUMBER(INDEX($R:$R,Settings!$B$17)),(R329-INDEX($R:$R,Settings!$B$17))*100,NA()),NA())</f>
        <v/>
      </c>
      <c r="W329" s="20">
        <f>IF(AND(ISNUMBER(P329),Settings!$B$17&gt;0),IF(ISNUMBER(INDEX($P:$P,Settings!$B$17)),P329-INDEX($P:$P,Settings!$B$17),NA()),NA())</f>
        <v/>
      </c>
      <c r="X329" s="19">
        <f>IF(NOT(ISNUMBER($A329)),NA(),IF(OR($A329&lt;MIN(DKW_10Y!$A$2:$A$2918),$A329&gt;MAX(DKW_10Y!$A$2:$A$2918),Settings!$B$16&lt;MIN(DKW_10Y!$A$2:$A$2918)),NA(),(INDEX(DKW_10Y!$B$2:$B$2918,MATCH($A329,DKW_10Y!$A$2:$A$2918,1))-INDEX(DKW_10Y!$B$2:$B$2918,MATCH(Settings!$B$16,DKW_10Y!$A$2:$A$2918,1)))*100))</f>
        <v/>
      </c>
      <c r="Y329" s="19">
        <f>IF(NOT(ISNUMBER($A329)),NA(),IF(OR($A329&lt;MIN(DKW_10Y!$A$2:$A$2918),$A329&gt;MAX(DKW_10Y!$A$2:$A$2918),Settings!$B$16&lt;MIN(DKW_10Y!$A$2:$A$2918)),NA(),(INDEX(DKW_10Y!$C$2:$C$2918,MATCH($A329,DKW_10Y!$A$2:$A$2918,1))-INDEX(DKW_10Y!$C$2:$C$2918,MATCH(Settings!$B$16,DKW_10Y!$A$2:$A$2918,1)))*100))</f>
        <v/>
      </c>
      <c r="Z329" s="19">
        <f>IF(NOT(ISNUMBER($A329)),NA(),IF(OR($A329&lt;MIN(DKW_10Y!$A$2:$A$2918),$A329&gt;MAX(DKW_10Y!$A$2:$A$2918),Settings!$B$16&lt;MIN(DKW_10Y!$A$2:$A$2918)),NA(),(INDEX(DKW_10Y!$D$2:$D$2918,MATCH($A329,DKW_10Y!$A$2:$A$2918,1))-INDEX(DKW_10Y!$D$2:$D$2918,MATCH(Settings!$B$16,DKW_10Y!$A$2:$A$2918,1)))*100))</f>
        <v/>
      </c>
      <c r="AA329" s="19">
        <f>IF(NOT(ISNUMBER($A329)),NA(),IF(OR($A329&lt;MIN(DKW_10Y!$A$2:$A$2918),$A329&gt;MAX(DKW_10Y!$A$2:$A$2918),Settings!$B$16&lt;MIN(DKW_10Y!$A$2:$A$2918)),NA(),(INDEX(DKW_10Y!$E$2:$E$2918,MATCH($A329,DKW_10Y!$A$2:$A$2918,1))-INDEX(DKW_10Y!$E$2:$E$2918,MATCH(Settings!$B$16,DKW_10Y!$A$2:$A$2918,1)))*100))</f>
        <v/>
      </c>
      <c r="AB329" s="19">
        <f>IF(NOT(ISNUMBER($A329)),NA(),IF(OR($A329&lt;MIN(DKW_10Y!$A$2:$A$2918),$A329&gt;MAX(DKW_10Y!$A$2:$A$2918),Settings!$B$16&lt;MIN(DKW_10Y!$A$2:$A$2918)),NA(),(INDEX(DKW_10Y!$H$2:$H$2918,MATCH($A329,DKW_10Y!$A$2:$A$2918,1))-INDEX(DKW_10Y!$H$2:$H$2918,MATCH(Settings!$B$16,DKW_10Y!$A$2:$A$2918,1)))*100))</f>
        <v/>
      </c>
      <c r="AC329" s="18">
        <f>IF(NOT(ISNUMBER($A329)),NA(),IFERROR(1*INDEX(BBG_Data!$N$2:$N$4000,MATCH($A329,BBG_Data!$M$2:$M$4000,0)),NA()))</f>
        <v/>
      </c>
      <c r="AD329" s="18">
        <f>IF(NOT(ISNUMBER($A329)),NA(),IFERROR(1*INDEX(BBG_Data!$P$2:$P$4000,MATCH($A329,BBG_Data!$O$2:$O$4000,0)),NA()))</f>
        <v/>
      </c>
      <c r="AE329" s="18">
        <f>IF(NOT(ISNUMBER($A329)),NA(),IFERROR(1*INDEX(BBG_Data!$R$2:$R$4000,MATCH($A329,BBG_Data!$Q$2:$Q$4000,0)),NA()))</f>
        <v/>
      </c>
      <c r="AF329" s="20">
        <f>IF(AND(ISNUMBER(B329),ISNUMBER(AC329)),(B329-AC329)*100,NA())</f>
        <v/>
      </c>
      <c r="AG329" s="20">
        <f>IF(AND(ISNUMBER(AE329),ISNUMBER(AD329)),(AE329-AD329)*100,NA())</f>
        <v/>
      </c>
      <c r="AH329" s="19">
        <f>IF(NOT(ISNUMBER($A329)),NA(),IFERROR(INDEX(BBG_Data!$T$2:$T$4000,MATCH($A329,BBG_Data!$S$2:$S$4000,0))*Settings!$B$25,NA()))</f>
        <v/>
      </c>
      <c r="AI329" s="19">
        <f>IF(NOT(ISNUMBER($A329)),NA(),IFERROR(INDEX(BBG_Data!$V$2:$V$4000,MATCH($A329,BBG_Data!$U$2:$U$4000,0))*Settings!$B$25,NA()))</f>
        <v/>
      </c>
      <c r="AJ329" s="19">
        <f>IF(NOT(ISNUMBER($A329)),NA(),IFERROR(1*INDEX(BBG_Data!$X$2:$X$4000,MATCH($A329,BBG_Data!$W$2:$W$4000,0)),NA()))</f>
        <v/>
      </c>
      <c r="AK329" s="19">
        <f>IF(NOT(ISNUMBER($A329)),NA(),IFERROR(1*INDEX(BBG_Data!$Z$2:$Z$4000,MATCH($A329,BBG_Data!$Y$2:$Y$4000,0)),NA()))</f>
        <v/>
      </c>
    </row>
    <row r="330">
      <c r="A330" s="17">
        <f>IF(ISNUMBER(BBG_Data!A330),BBG_Data!A330,"")</f>
        <v/>
      </c>
      <c r="B330" s="18">
        <f>IF(AND(ISNUMBER($A330),ISNUMBER(BBG_Data!B330)),BBG_Data!B330,NA())</f>
        <v/>
      </c>
      <c r="C330" s="18">
        <f>IF(NOT(ISNUMBER($A330)),NA(),IFERROR(1*INDEX(BBG_Data!$D$2:$D$4000,MATCH($A330,BBG_Data!$C$2:$C$4000,0)),NA()))</f>
        <v/>
      </c>
      <c r="D330" s="19">
        <f>IF(NOT(ISNUMBER($A330)),NA(),IFERROR(1*INDEX(BBG_Data!$F$2:$F$4000,MATCH($A330,BBG_Data!$E$2:$E$4000,0)),NA()))</f>
        <v/>
      </c>
      <c r="E330" s="19">
        <f>IF(NOT(ISNUMBER($A330)),NA(),IFERROR(1*INDEX(BBG_Data!$H$2:$H$4000,MATCH($A330,BBG_Data!$G$2:$G$4000,0)),NA()))</f>
        <v/>
      </c>
      <c r="F330" s="20">
        <f>IF(AND(ISNUMBER(B330),ISNUMBER(B329)),IF(B330=B329,"",(B330-B329)*100),"")</f>
        <v/>
      </c>
      <c r="G330" s="20">
        <f>IF(AND(ISNUMBER(C330),ISNUMBER(C329)),IF(C330=C329,"",(C330-C329)*100),"")</f>
        <v/>
      </c>
      <c r="H330" s="20">
        <f>IF(OR(NOT(ISNUMBER($A330)),ROW()-2&lt;Settings!$B$11),NA(),IF(COUNT(OFFSET(F330,1-Settings!$B$11,0,Settings!$B$11,1))&lt;ROUNDUP(Settings!$B$11*Settings!$B$26,0),NA(),STDEV(OFFSET(F330,1-Settings!$B$11,0,Settings!$B$11,1))*SQRT(Settings!$B$13)))</f>
        <v/>
      </c>
      <c r="I330" s="20">
        <f>IF(OR(NOT(ISNUMBER($A330)),ROW()-2&lt;Settings!$B$12),NA(),IF(COUNT(OFFSET(F330,1-Settings!$B$12,0,Settings!$B$12,1))&lt;ROUNDUP(Settings!$B$12*Settings!$B$26,0),NA(),STDEV(OFFSET(F330,1-Settings!$B$12,0,Settings!$B$12,1))*SQRT(Settings!$B$13)))</f>
        <v/>
      </c>
      <c r="J330" s="20">
        <f>IF(OR(NOT(ISNUMBER($A330)),ROW()-2&lt;Settings!$B$11),NA(),IF(COUNT(OFFSET(G330,1-Settings!$B$11,0,Settings!$B$11,1))&lt;ROUNDUP(Settings!$B$11*Settings!$B$26,0),NA(),STDEV(OFFSET(G330,1-Settings!$B$11,0,Settings!$B$11,1))*SQRT(Settings!$B$13)))</f>
        <v/>
      </c>
      <c r="K330" s="20">
        <f>IF(OR(NOT(ISNUMBER($A330)),ROW()-2&lt;Settings!$B$12),NA(),IF(COUNT(OFFSET(G330,1-Settings!$B$12,0,Settings!$B$12,1))&lt;ROUNDUP(Settings!$B$12*Settings!$B$26,0),NA(),STDEV(OFFSET(G330,1-Settings!$B$12,0,Settings!$B$12,1))*SQRT(Settings!$B$13)))</f>
        <v/>
      </c>
      <c r="L330" s="20">
        <f>IF(AND(ISNUMBER(D330),ISNUMBER(H330)),D330-H330,NA())</f>
        <v/>
      </c>
      <c r="M330" s="20">
        <f>IF(AND(ISNUMBER(E330),ISNUMBER(K330)),E330-K330,NA())</f>
        <v/>
      </c>
      <c r="N330" s="20">
        <f>IF(NOT(ISNUMBER($A330)),NA(),IF(COUNT(OFFSET(G330,1,0,Settings!$B$12,1))&lt;ROUNDUP(Settings!$B$12*Settings!$B$26,0),NA(),STDEV(OFFSET(G330,1,0,Settings!$B$12,1))*SQRT(Settings!$B$13)))</f>
        <v/>
      </c>
      <c r="O330" s="20">
        <f>IF(AND(ISNUMBER(E330),ISNUMBER(N330)),E330-N330,NA())</f>
        <v/>
      </c>
      <c r="P330" s="19">
        <f>IF(NOT(ISNUMBER($A330)),NA(),IF(OR($A330&lt;MIN(KW_TP!$A$2:$A$2501),$A330&gt;MAX(KW_TP!$A$2:$A$2501)),NA(),INDEX(KW_TP!$C$2:$C$2501,MATCH($A330,KW_TP!$A$2:$A$2501,1))))</f>
        <v/>
      </c>
      <c r="Q330" s="18">
        <f>IF(NOT(ISNUMBER($A330)),NA(),IFERROR(1*INDEX(BBG_Data!$J$2:$J$4000,MATCH($A330,BBG_Data!$I$2:$I$4000,0)),NA()))</f>
        <v/>
      </c>
      <c r="R330" s="18">
        <f>IF(NOT(ISNUMBER($A330)),NA(),IFERROR(1*INDEX(BBG_Data!$L$2:$L$4000,MATCH($A330,BBG_Data!$K$2:$K$4000,0)),NA()))</f>
        <v/>
      </c>
      <c r="S330" s="20">
        <f>IF(AND(ISNUMBER(B330),ISNUMBER(Q330),ISNUMBER(R330)),(B330-Q330-R330)*100,NA())</f>
        <v/>
      </c>
      <c r="T330" s="20">
        <f>IF(AND(ISNUMBER(B330),Settings!$B$17&gt;0),IF(ISNUMBER(INDEX($B:$B,Settings!$B$17)),(B330-INDEX($B:$B,Settings!$B$17))*100,NA()),NA())</f>
        <v/>
      </c>
      <c r="U330" s="20">
        <f>IF(AND(ISNUMBER(Q330),Settings!$B$17&gt;0),IF(ISNUMBER(INDEX($Q:$Q,Settings!$B$17)),(Q330-INDEX($Q:$Q,Settings!$B$17))*100,NA()),NA())</f>
        <v/>
      </c>
      <c r="V330" s="20">
        <f>IF(AND(ISNUMBER(R330),Settings!$B$17&gt;0),IF(ISNUMBER(INDEX($R:$R,Settings!$B$17)),(R330-INDEX($R:$R,Settings!$B$17))*100,NA()),NA())</f>
        <v/>
      </c>
      <c r="W330" s="20">
        <f>IF(AND(ISNUMBER(P330),Settings!$B$17&gt;0),IF(ISNUMBER(INDEX($P:$P,Settings!$B$17)),P330-INDEX($P:$P,Settings!$B$17),NA()),NA())</f>
        <v/>
      </c>
      <c r="X330" s="19">
        <f>IF(NOT(ISNUMBER($A330)),NA(),IF(OR($A330&lt;MIN(DKW_10Y!$A$2:$A$2918),$A330&gt;MAX(DKW_10Y!$A$2:$A$2918),Settings!$B$16&lt;MIN(DKW_10Y!$A$2:$A$2918)),NA(),(INDEX(DKW_10Y!$B$2:$B$2918,MATCH($A330,DKW_10Y!$A$2:$A$2918,1))-INDEX(DKW_10Y!$B$2:$B$2918,MATCH(Settings!$B$16,DKW_10Y!$A$2:$A$2918,1)))*100))</f>
        <v/>
      </c>
      <c r="Y330" s="19">
        <f>IF(NOT(ISNUMBER($A330)),NA(),IF(OR($A330&lt;MIN(DKW_10Y!$A$2:$A$2918),$A330&gt;MAX(DKW_10Y!$A$2:$A$2918),Settings!$B$16&lt;MIN(DKW_10Y!$A$2:$A$2918)),NA(),(INDEX(DKW_10Y!$C$2:$C$2918,MATCH($A330,DKW_10Y!$A$2:$A$2918,1))-INDEX(DKW_10Y!$C$2:$C$2918,MATCH(Settings!$B$16,DKW_10Y!$A$2:$A$2918,1)))*100))</f>
        <v/>
      </c>
      <c r="Z330" s="19">
        <f>IF(NOT(ISNUMBER($A330)),NA(),IF(OR($A330&lt;MIN(DKW_10Y!$A$2:$A$2918),$A330&gt;MAX(DKW_10Y!$A$2:$A$2918),Settings!$B$16&lt;MIN(DKW_10Y!$A$2:$A$2918)),NA(),(INDEX(DKW_10Y!$D$2:$D$2918,MATCH($A330,DKW_10Y!$A$2:$A$2918,1))-INDEX(DKW_10Y!$D$2:$D$2918,MATCH(Settings!$B$16,DKW_10Y!$A$2:$A$2918,1)))*100))</f>
        <v/>
      </c>
      <c r="AA330" s="19">
        <f>IF(NOT(ISNUMBER($A330)),NA(),IF(OR($A330&lt;MIN(DKW_10Y!$A$2:$A$2918),$A330&gt;MAX(DKW_10Y!$A$2:$A$2918),Settings!$B$16&lt;MIN(DKW_10Y!$A$2:$A$2918)),NA(),(INDEX(DKW_10Y!$E$2:$E$2918,MATCH($A330,DKW_10Y!$A$2:$A$2918,1))-INDEX(DKW_10Y!$E$2:$E$2918,MATCH(Settings!$B$16,DKW_10Y!$A$2:$A$2918,1)))*100))</f>
        <v/>
      </c>
      <c r="AB330" s="19">
        <f>IF(NOT(ISNUMBER($A330)),NA(),IF(OR($A330&lt;MIN(DKW_10Y!$A$2:$A$2918),$A330&gt;MAX(DKW_10Y!$A$2:$A$2918),Settings!$B$16&lt;MIN(DKW_10Y!$A$2:$A$2918)),NA(),(INDEX(DKW_10Y!$H$2:$H$2918,MATCH($A330,DKW_10Y!$A$2:$A$2918,1))-INDEX(DKW_10Y!$H$2:$H$2918,MATCH(Settings!$B$16,DKW_10Y!$A$2:$A$2918,1)))*100))</f>
        <v/>
      </c>
      <c r="AC330" s="18">
        <f>IF(NOT(ISNUMBER($A330)),NA(),IFERROR(1*INDEX(BBG_Data!$N$2:$N$4000,MATCH($A330,BBG_Data!$M$2:$M$4000,0)),NA()))</f>
        <v/>
      </c>
      <c r="AD330" s="18">
        <f>IF(NOT(ISNUMBER($A330)),NA(),IFERROR(1*INDEX(BBG_Data!$P$2:$P$4000,MATCH($A330,BBG_Data!$O$2:$O$4000,0)),NA()))</f>
        <v/>
      </c>
      <c r="AE330" s="18">
        <f>IF(NOT(ISNUMBER($A330)),NA(),IFERROR(1*INDEX(BBG_Data!$R$2:$R$4000,MATCH($A330,BBG_Data!$Q$2:$Q$4000,0)),NA()))</f>
        <v/>
      </c>
      <c r="AF330" s="20">
        <f>IF(AND(ISNUMBER(B330),ISNUMBER(AC330)),(B330-AC330)*100,NA())</f>
        <v/>
      </c>
      <c r="AG330" s="20">
        <f>IF(AND(ISNUMBER(AE330),ISNUMBER(AD330)),(AE330-AD330)*100,NA())</f>
        <v/>
      </c>
      <c r="AH330" s="19">
        <f>IF(NOT(ISNUMBER($A330)),NA(),IFERROR(INDEX(BBG_Data!$T$2:$T$4000,MATCH($A330,BBG_Data!$S$2:$S$4000,0))*Settings!$B$25,NA()))</f>
        <v/>
      </c>
      <c r="AI330" s="19">
        <f>IF(NOT(ISNUMBER($A330)),NA(),IFERROR(INDEX(BBG_Data!$V$2:$V$4000,MATCH($A330,BBG_Data!$U$2:$U$4000,0))*Settings!$B$25,NA()))</f>
        <v/>
      </c>
      <c r="AJ330" s="19">
        <f>IF(NOT(ISNUMBER($A330)),NA(),IFERROR(1*INDEX(BBG_Data!$X$2:$X$4000,MATCH($A330,BBG_Data!$W$2:$W$4000,0)),NA()))</f>
        <v/>
      </c>
      <c r="AK330" s="19">
        <f>IF(NOT(ISNUMBER($A330)),NA(),IFERROR(1*INDEX(BBG_Data!$Z$2:$Z$4000,MATCH($A330,BBG_Data!$Y$2:$Y$4000,0)),NA()))</f>
        <v/>
      </c>
    </row>
    <row r="331">
      <c r="A331" s="17">
        <f>IF(ISNUMBER(BBG_Data!A331),BBG_Data!A331,"")</f>
        <v/>
      </c>
      <c r="B331" s="18">
        <f>IF(AND(ISNUMBER($A331),ISNUMBER(BBG_Data!B331)),BBG_Data!B331,NA())</f>
        <v/>
      </c>
      <c r="C331" s="18">
        <f>IF(NOT(ISNUMBER($A331)),NA(),IFERROR(1*INDEX(BBG_Data!$D$2:$D$4000,MATCH($A331,BBG_Data!$C$2:$C$4000,0)),NA()))</f>
        <v/>
      </c>
      <c r="D331" s="19">
        <f>IF(NOT(ISNUMBER($A331)),NA(),IFERROR(1*INDEX(BBG_Data!$F$2:$F$4000,MATCH($A331,BBG_Data!$E$2:$E$4000,0)),NA()))</f>
        <v/>
      </c>
      <c r="E331" s="19">
        <f>IF(NOT(ISNUMBER($A331)),NA(),IFERROR(1*INDEX(BBG_Data!$H$2:$H$4000,MATCH($A331,BBG_Data!$G$2:$G$4000,0)),NA()))</f>
        <v/>
      </c>
      <c r="F331" s="20">
        <f>IF(AND(ISNUMBER(B331),ISNUMBER(B330)),IF(B331=B330,"",(B331-B330)*100),"")</f>
        <v/>
      </c>
      <c r="G331" s="20">
        <f>IF(AND(ISNUMBER(C331),ISNUMBER(C330)),IF(C331=C330,"",(C331-C330)*100),"")</f>
        <v/>
      </c>
      <c r="H331" s="20">
        <f>IF(OR(NOT(ISNUMBER($A331)),ROW()-2&lt;Settings!$B$11),NA(),IF(COUNT(OFFSET(F331,1-Settings!$B$11,0,Settings!$B$11,1))&lt;ROUNDUP(Settings!$B$11*Settings!$B$26,0),NA(),STDEV(OFFSET(F331,1-Settings!$B$11,0,Settings!$B$11,1))*SQRT(Settings!$B$13)))</f>
        <v/>
      </c>
      <c r="I331" s="20">
        <f>IF(OR(NOT(ISNUMBER($A331)),ROW()-2&lt;Settings!$B$12),NA(),IF(COUNT(OFFSET(F331,1-Settings!$B$12,0,Settings!$B$12,1))&lt;ROUNDUP(Settings!$B$12*Settings!$B$26,0),NA(),STDEV(OFFSET(F331,1-Settings!$B$12,0,Settings!$B$12,1))*SQRT(Settings!$B$13)))</f>
        <v/>
      </c>
      <c r="J331" s="20">
        <f>IF(OR(NOT(ISNUMBER($A331)),ROW()-2&lt;Settings!$B$11),NA(),IF(COUNT(OFFSET(G331,1-Settings!$B$11,0,Settings!$B$11,1))&lt;ROUNDUP(Settings!$B$11*Settings!$B$26,0),NA(),STDEV(OFFSET(G331,1-Settings!$B$11,0,Settings!$B$11,1))*SQRT(Settings!$B$13)))</f>
        <v/>
      </c>
      <c r="K331" s="20">
        <f>IF(OR(NOT(ISNUMBER($A331)),ROW()-2&lt;Settings!$B$12),NA(),IF(COUNT(OFFSET(G331,1-Settings!$B$12,0,Settings!$B$12,1))&lt;ROUNDUP(Settings!$B$12*Settings!$B$26,0),NA(),STDEV(OFFSET(G331,1-Settings!$B$12,0,Settings!$B$12,1))*SQRT(Settings!$B$13)))</f>
        <v/>
      </c>
      <c r="L331" s="20">
        <f>IF(AND(ISNUMBER(D331),ISNUMBER(H331)),D331-H331,NA())</f>
        <v/>
      </c>
      <c r="M331" s="20">
        <f>IF(AND(ISNUMBER(E331),ISNUMBER(K331)),E331-K331,NA())</f>
        <v/>
      </c>
      <c r="N331" s="20">
        <f>IF(NOT(ISNUMBER($A331)),NA(),IF(COUNT(OFFSET(G331,1,0,Settings!$B$12,1))&lt;ROUNDUP(Settings!$B$12*Settings!$B$26,0),NA(),STDEV(OFFSET(G331,1,0,Settings!$B$12,1))*SQRT(Settings!$B$13)))</f>
        <v/>
      </c>
      <c r="O331" s="20">
        <f>IF(AND(ISNUMBER(E331),ISNUMBER(N331)),E331-N331,NA())</f>
        <v/>
      </c>
      <c r="P331" s="19">
        <f>IF(NOT(ISNUMBER($A331)),NA(),IF(OR($A331&lt;MIN(KW_TP!$A$2:$A$2501),$A331&gt;MAX(KW_TP!$A$2:$A$2501)),NA(),INDEX(KW_TP!$C$2:$C$2501,MATCH($A331,KW_TP!$A$2:$A$2501,1))))</f>
        <v/>
      </c>
      <c r="Q331" s="18">
        <f>IF(NOT(ISNUMBER($A331)),NA(),IFERROR(1*INDEX(BBG_Data!$J$2:$J$4000,MATCH($A331,BBG_Data!$I$2:$I$4000,0)),NA()))</f>
        <v/>
      </c>
      <c r="R331" s="18">
        <f>IF(NOT(ISNUMBER($A331)),NA(),IFERROR(1*INDEX(BBG_Data!$L$2:$L$4000,MATCH($A331,BBG_Data!$K$2:$K$4000,0)),NA()))</f>
        <v/>
      </c>
      <c r="S331" s="20">
        <f>IF(AND(ISNUMBER(B331),ISNUMBER(Q331),ISNUMBER(R331)),(B331-Q331-R331)*100,NA())</f>
        <v/>
      </c>
      <c r="T331" s="20">
        <f>IF(AND(ISNUMBER(B331),Settings!$B$17&gt;0),IF(ISNUMBER(INDEX($B:$B,Settings!$B$17)),(B331-INDEX($B:$B,Settings!$B$17))*100,NA()),NA())</f>
        <v/>
      </c>
      <c r="U331" s="20">
        <f>IF(AND(ISNUMBER(Q331),Settings!$B$17&gt;0),IF(ISNUMBER(INDEX($Q:$Q,Settings!$B$17)),(Q331-INDEX($Q:$Q,Settings!$B$17))*100,NA()),NA())</f>
        <v/>
      </c>
      <c r="V331" s="20">
        <f>IF(AND(ISNUMBER(R331),Settings!$B$17&gt;0),IF(ISNUMBER(INDEX($R:$R,Settings!$B$17)),(R331-INDEX($R:$R,Settings!$B$17))*100,NA()),NA())</f>
        <v/>
      </c>
      <c r="W331" s="20">
        <f>IF(AND(ISNUMBER(P331),Settings!$B$17&gt;0),IF(ISNUMBER(INDEX($P:$P,Settings!$B$17)),P331-INDEX($P:$P,Settings!$B$17),NA()),NA())</f>
        <v/>
      </c>
      <c r="X331" s="19">
        <f>IF(NOT(ISNUMBER($A331)),NA(),IF(OR($A331&lt;MIN(DKW_10Y!$A$2:$A$2918),$A331&gt;MAX(DKW_10Y!$A$2:$A$2918),Settings!$B$16&lt;MIN(DKW_10Y!$A$2:$A$2918)),NA(),(INDEX(DKW_10Y!$B$2:$B$2918,MATCH($A331,DKW_10Y!$A$2:$A$2918,1))-INDEX(DKW_10Y!$B$2:$B$2918,MATCH(Settings!$B$16,DKW_10Y!$A$2:$A$2918,1)))*100))</f>
        <v/>
      </c>
      <c r="Y331" s="19">
        <f>IF(NOT(ISNUMBER($A331)),NA(),IF(OR($A331&lt;MIN(DKW_10Y!$A$2:$A$2918),$A331&gt;MAX(DKW_10Y!$A$2:$A$2918),Settings!$B$16&lt;MIN(DKW_10Y!$A$2:$A$2918)),NA(),(INDEX(DKW_10Y!$C$2:$C$2918,MATCH($A331,DKW_10Y!$A$2:$A$2918,1))-INDEX(DKW_10Y!$C$2:$C$2918,MATCH(Settings!$B$16,DKW_10Y!$A$2:$A$2918,1)))*100))</f>
        <v/>
      </c>
      <c r="Z331" s="19">
        <f>IF(NOT(ISNUMBER($A331)),NA(),IF(OR($A331&lt;MIN(DKW_10Y!$A$2:$A$2918),$A331&gt;MAX(DKW_10Y!$A$2:$A$2918),Settings!$B$16&lt;MIN(DKW_10Y!$A$2:$A$2918)),NA(),(INDEX(DKW_10Y!$D$2:$D$2918,MATCH($A331,DKW_10Y!$A$2:$A$2918,1))-INDEX(DKW_10Y!$D$2:$D$2918,MATCH(Settings!$B$16,DKW_10Y!$A$2:$A$2918,1)))*100))</f>
        <v/>
      </c>
      <c r="AA331" s="19">
        <f>IF(NOT(ISNUMBER($A331)),NA(),IF(OR($A331&lt;MIN(DKW_10Y!$A$2:$A$2918),$A331&gt;MAX(DKW_10Y!$A$2:$A$2918),Settings!$B$16&lt;MIN(DKW_10Y!$A$2:$A$2918)),NA(),(INDEX(DKW_10Y!$E$2:$E$2918,MATCH($A331,DKW_10Y!$A$2:$A$2918,1))-INDEX(DKW_10Y!$E$2:$E$2918,MATCH(Settings!$B$16,DKW_10Y!$A$2:$A$2918,1)))*100))</f>
        <v/>
      </c>
      <c r="AB331" s="19">
        <f>IF(NOT(ISNUMBER($A331)),NA(),IF(OR($A331&lt;MIN(DKW_10Y!$A$2:$A$2918),$A331&gt;MAX(DKW_10Y!$A$2:$A$2918),Settings!$B$16&lt;MIN(DKW_10Y!$A$2:$A$2918)),NA(),(INDEX(DKW_10Y!$H$2:$H$2918,MATCH($A331,DKW_10Y!$A$2:$A$2918,1))-INDEX(DKW_10Y!$H$2:$H$2918,MATCH(Settings!$B$16,DKW_10Y!$A$2:$A$2918,1)))*100))</f>
        <v/>
      </c>
      <c r="AC331" s="18">
        <f>IF(NOT(ISNUMBER($A331)),NA(),IFERROR(1*INDEX(BBG_Data!$N$2:$N$4000,MATCH($A331,BBG_Data!$M$2:$M$4000,0)),NA()))</f>
        <v/>
      </c>
      <c r="AD331" s="18">
        <f>IF(NOT(ISNUMBER($A331)),NA(),IFERROR(1*INDEX(BBG_Data!$P$2:$P$4000,MATCH($A331,BBG_Data!$O$2:$O$4000,0)),NA()))</f>
        <v/>
      </c>
      <c r="AE331" s="18">
        <f>IF(NOT(ISNUMBER($A331)),NA(),IFERROR(1*INDEX(BBG_Data!$R$2:$R$4000,MATCH($A331,BBG_Data!$Q$2:$Q$4000,0)),NA()))</f>
        <v/>
      </c>
      <c r="AF331" s="20">
        <f>IF(AND(ISNUMBER(B331),ISNUMBER(AC331)),(B331-AC331)*100,NA())</f>
        <v/>
      </c>
      <c r="AG331" s="20">
        <f>IF(AND(ISNUMBER(AE331),ISNUMBER(AD331)),(AE331-AD331)*100,NA())</f>
        <v/>
      </c>
      <c r="AH331" s="19">
        <f>IF(NOT(ISNUMBER($A331)),NA(),IFERROR(INDEX(BBG_Data!$T$2:$T$4000,MATCH($A331,BBG_Data!$S$2:$S$4000,0))*Settings!$B$25,NA()))</f>
        <v/>
      </c>
      <c r="AI331" s="19">
        <f>IF(NOT(ISNUMBER($A331)),NA(),IFERROR(INDEX(BBG_Data!$V$2:$V$4000,MATCH($A331,BBG_Data!$U$2:$U$4000,0))*Settings!$B$25,NA()))</f>
        <v/>
      </c>
      <c r="AJ331" s="19">
        <f>IF(NOT(ISNUMBER($A331)),NA(),IFERROR(1*INDEX(BBG_Data!$X$2:$X$4000,MATCH($A331,BBG_Data!$W$2:$W$4000,0)),NA()))</f>
        <v/>
      </c>
      <c r="AK331" s="19">
        <f>IF(NOT(ISNUMBER($A331)),NA(),IFERROR(1*INDEX(BBG_Data!$Z$2:$Z$4000,MATCH($A331,BBG_Data!$Y$2:$Y$4000,0)),NA()))</f>
        <v/>
      </c>
    </row>
    <row r="332">
      <c r="A332" s="17">
        <f>IF(ISNUMBER(BBG_Data!A332),BBG_Data!A332,"")</f>
        <v/>
      </c>
      <c r="B332" s="18">
        <f>IF(AND(ISNUMBER($A332),ISNUMBER(BBG_Data!B332)),BBG_Data!B332,NA())</f>
        <v/>
      </c>
      <c r="C332" s="18">
        <f>IF(NOT(ISNUMBER($A332)),NA(),IFERROR(1*INDEX(BBG_Data!$D$2:$D$4000,MATCH($A332,BBG_Data!$C$2:$C$4000,0)),NA()))</f>
        <v/>
      </c>
      <c r="D332" s="19">
        <f>IF(NOT(ISNUMBER($A332)),NA(),IFERROR(1*INDEX(BBG_Data!$F$2:$F$4000,MATCH($A332,BBG_Data!$E$2:$E$4000,0)),NA()))</f>
        <v/>
      </c>
      <c r="E332" s="19">
        <f>IF(NOT(ISNUMBER($A332)),NA(),IFERROR(1*INDEX(BBG_Data!$H$2:$H$4000,MATCH($A332,BBG_Data!$G$2:$G$4000,0)),NA()))</f>
        <v/>
      </c>
      <c r="F332" s="20">
        <f>IF(AND(ISNUMBER(B332),ISNUMBER(B331)),IF(B332=B331,"",(B332-B331)*100),"")</f>
        <v/>
      </c>
      <c r="G332" s="20">
        <f>IF(AND(ISNUMBER(C332),ISNUMBER(C331)),IF(C332=C331,"",(C332-C331)*100),"")</f>
        <v/>
      </c>
      <c r="H332" s="20">
        <f>IF(OR(NOT(ISNUMBER($A332)),ROW()-2&lt;Settings!$B$11),NA(),IF(COUNT(OFFSET(F332,1-Settings!$B$11,0,Settings!$B$11,1))&lt;ROUNDUP(Settings!$B$11*Settings!$B$26,0),NA(),STDEV(OFFSET(F332,1-Settings!$B$11,0,Settings!$B$11,1))*SQRT(Settings!$B$13)))</f>
        <v/>
      </c>
      <c r="I332" s="20">
        <f>IF(OR(NOT(ISNUMBER($A332)),ROW()-2&lt;Settings!$B$12),NA(),IF(COUNT(OFFSET(F332,1-Settings!$B$12,0,Settings!$B$12,1))&lt;ROUNDUP(Settings!$B$12*Settings!$B$26,0),NA(),STDEV(OFFSET(F332,1-Settings!$B$12,0,Settings!$B$12,1))*SQRT(Settings!$B$13)))</f>
        <v/>
      </c>
      <c r="J332" s="20">
        <f>IF(OR(NOT(ISNUMBER($A332)),ROW()-2&lt;Settings!$B$11),NA(),IF(COUNT(OFFSET(G332,1-Settings!$B$11,0,Settings!$B$11,1))&lt;ROUNDUP(Settings!$B$11*Settings!$B$26,0),NA(),STDEV(OFFSET(G332,1-Settings!$B$11,0,Settings!$B$11,1))*SQRT(Settings!$B$13)))</f>
        <v/>
      </c>
      <c r="K332" s="20">
        <f>IF(OR(NOT(ISNUMBER($A332)),ROW()-2&lt;Settings!$B$12),NA(),IF(COUNT(OFFSET(G332,1-Settings!$B$12,0,Settings!$B$12,1))&lt;ROUNDUP(Settings!$B$12*Settings!$B$26,0),NA(),STDEV(OFFSET(G332,1-Settings!$B$12,0,Settings!$B$12,1))*SQRT(Settings!$B$13)))</f>
        <v/>
      </c>
      <c r="L332" s="20">
        <f>IF(AND(ISNUMBER(D332),ISNUMBER(H332)),D332-H332,NA())</f>
        <v/>
      </c>
      <c r="M332" s="20">
        <f>IF(AND(ISNUMBER(E332),ISNUMBER(K332)),E332-K332,NA())</f>
        <v/>
      </c>
      <c r="N332" s="20">
        <f>IF(NOT(ISNUMBER($A332)),NA(),IF(COUNT(OFFSET(G332,1,0,Settings!$B$12,1))&lt;ROUNDUP(Settings!$B$12*Settings!$B$26,0),NA(),STDEV(OFFSET(G332,1,0,Settings!$B$12,1))*SQRT(Settings!$B$13)))</f>
        <v/>
      </c>
      <c r="O332" s="20">
        <f>IF(AND(ISNUMBER(E332),ISNUMBER(N332)),E332-N332,NA())</f>
        <v/>
      </c>
      <c r="P332" s="19">
        <f>IF(NOT(ISNUMBER($A332)),NA(),IF(OR($A332&lt;MIN(KW_TP!$A$2:$A$2501),$A332&gt;MAX(KW_TP!$A$2:$A$2501)),NA(),INDEX(KW_TP!$C$2:$C$2501,MATCH($A332,KW_TP!$A$2:$A$2501,1))))</f>
        <v/>
      </c>
      <c r="Q332" s="18">
        <f>IF(NOT(ISNUMBER($A332)),NA(),IFERROR(1*INDEX(BBG_Data!$J$2:$J$4000,MATCH($A332,BBG_Data!$I$2:$I$4000,0)),NA()))</f>
        <v/>
      </c>
      <c r="R332" s="18">
        <f>IF(NOT(ISNUMBER($A332)),NA(),IFERROR(1*INDEX(BBG_Data!$L$2:$L$4000,MATCH($A332,BBG_Data!$K$2:$K$4000,0)),NA()))</f>
        <v/>
      </c>
      <c r="S332" s="20">
        <f>IF(AND(ISNUMBER(B332),ISNUMBER(Q332),ISNUMBER(R332)),(B332-Q332-R332)*100,NA())</f>
        <v/>
      </c>
      <c r="T332" s="20">
        <f>IF(AND(ISNUMBER(B332),Settings!$B$17&gt;0),IF(ISNUMBER(INDEX($B:$B,Settings!$B$17)),(B332-INDEX($B:$B,Settings!$B$17))*100,NA()),NA())</f>
        <v/>
      </c>
      <c r="U332" s="20">
        <f>IF(AND(ISNUMBER(Q332),Settings!$B$17&gt;0),IF(ISNUMBER(INDEX($Q:$Q,Settings!$B$17)),(Q332-INDEX($Q:$Q,Settings!$B$17))*100,NA()),NA())</f>
        <v/>
      </c>
      <c r="V332" s="20">
        <f>IF(AND(ISNUMBER(R332),Settings!$B$17&gt;0),IF(ISNUMBER(INDEX($R:$R,Settings!$B$17)),(R332-INDEX($R:$R,Settings!$B$17))*100,NA()),NA())</f>
        <v/>
      </c>
      <c r="W332" s="20">
        <f>IF(AND(ISNUMBER(P332),Settings!$B$17&gt;0),IF(ISNUMBER(INDEX($P:$P,Settings!$B$17)),P332-INDEX($P:$P,Settings!$B$17),NA()),NA())</f>
        <v/>
      </c>
      <c r="X332" s="19">
        <f>IF(NOT(ISNUMBER($A332)),NA(),IF(OR($A332&lt;MIN(DKW_10Y!$A$2:$A$2918),$A332&gt;MAX(DKW_10Y!$A$2:$A$2918),Settings!$B$16&lt;MIN(DKW_10Y!$A$2:$A$2918)),NA(),(INDEX(DKW_10Y!$B$2:$B$2918,MATCH($A332,DKW_10Y!$A$2:$A$2918,1))-INDEX(DKW_10Y!$B$2:$B$2918,MATCH(Settings!$B$16,DKW_10Y!$A$2:$A$2918,1)))*100))</f>
        <v/>
      </c>
      <c r="Y332" s="19">
        <f>IF(NOT(ISNUMBER($A332)),NA(),IF(OR($A332&lt;MIN(DKW_10Y!$A$2:$A$2918),$A332&gt;MAX(DKW_10Y!$A$2:$A$2918),Settings!$B$16&lt;MIN(DKW_10Y!$A$2:$A$2918)),NA(),(INDEX(DKW_10Y!$C$2:$C$2918,MATCH($A332,DKW_10Y!$A$2:$A$2918,1))-INDEX(DKW_10Y!$C$2:$C$2918,MATCH(Settings!$B$16,DKW_10Y!$A$2:$A$2918,1)))*100))</f>
        <v/>
      </c>
      <c r="Z332" s="19">
        <f>IF(NOT(ISNUMBER($A332)),NA(),IF(OR($A332&lt;MIN(DKW_10Y!$A$2:$A$2918),$A332&gt;MAX(DKW_10Y!$A$2:$A$2918),Settings!$B$16&lt;MIN(DKW_10Y!$A$2:$A$2918)),NA(),(INDEX(DKW_10Y!$D$2:$D$2918,MATCH($A332,DKW_10Y!$A$2:$A$2918,1))-INDEX(DKW_10Y!$D$2:$D$2918,MATCH(Settings!$B$16,DKW_10Y!$A$2:$A$2918,1)))*100))</f>
        <v/>
      </c>
      <c r="AA332" s="19">
        <f>IF(NOT(ISNUMBER($A332)),NA(),IF(OR($A332&lt;MIN(DKW_10Y!$A$2:$A$2918),$A332&gt;MAX(DKW_10Y!$A$2:$A$2918),Settings!$B$16&lt;MIN(DKW_10Y!$A$2:$A$2918)),NA(),(INDEX(DKW_10Y!$E$2:$E$2918,MATCH($A332,DKW_10Y!$A$2:$A$2918,1))-INDEX(DKW_10Y!$E$2:$E$2918,MATCH(Settings!$B$16,DKW_10Y!$A$2:$A$2918,1)))*100))</f>
        <v/>
      </c>
      <c r="AB332" s="19">
        <f>IF(NOT(ISNUMBER($A332)),NA(),IF(OR($A332&lt;MIN(DKW_10Y!$A$2:$A$2918),$A332&gt;MAX(DKW_10Y!$A$2:$A$2918),Settings!$B$16&lt;MIN(DKW_10Y!$A$2:$A$2918)),NA(),(INDEX(DKW_10Y!$H$2:$H$2918,MATCH($A332,DKW_10Y!$A$2:$A$2918,1))-INDEX(DKW_10Y!$H$2:$H$2918,MATCH(Settings!$B$16,DKW_10Y!$A$2:$A$2918,1)))*100))</f>
        <v/>
      </c>
      <c r="AC332" s="18">
        <f>IF(NOT(ISNUMBER($A332)),NA(),IFERROR(1*INDEX(BBG_Data!$N$2:$N$4000,MATCH($A332,BBG_Data!$M$2:$M$4000,0)),NA()))</f>
        <v/>
      </c>
      <c r="AD332" s="18">
        <f>IF(NOT(ISNUMBER($A332)),NA(),IFERROR(1*INDEX(BBG_Data!$P$2:$P$4000,MATCH($A332,BBG_Data!$O$2:$O$4000,0)),NA()))</f>
        <v/>
      </c>
      <c r="AE332" s="18">
        <f>IF(NOT(ISNUMBER($A332)),NA(),IFERROR(1*INDEX(BBG_Data!$R$2:$R$4000,MATCH($A332,BBG_Data!$Q$2:$Q$4000,0)),NA()))</f>
        <v/>
      </c>
      <c r="AF332" s="20">
        <f>IF(AND(ISNUMBER(B332),ISNUMBER(AC332)),(B332-AC332)*100,NA())</f>
        <v/>
      </c>
      <c r="AG332" s="20">
        <f>IF(AND(ISNUMBER(AE332),ISNUMBER(AD332)),(AE332-AD332)*100,NA())</f>
        <v/>
      </c>
      <c r="AH332" s="19">
        <f>IF(NOT(ISNUMBER($A332)),NA(),IFERROR(INDEX(BBG_Data!$T$2:$T$4000,MATCH($A332,BBG_Data!$S$2:$S$4000,0))*Settings!$B$25,NA()))</f>
        <v/>
      </c>
      <c r="AI332" s="19">
        <f>IF(NOT(ISNUMBER($A332)),NA(),IFERROR(INDEX(BBG_Data!$V$2:$V$4000,MATCH($A332,BBG_Data!$U$2:$U$4000,0))*Settings!$B$25,NA()))</f>
        <v/>
      </c>
      <c r="AJ332" s="19">
        <f>IF(NOT(ISNUMBER($A332)),NA(),IFERROR(1*INDEX(BBG_Data!$X$2:$X$4000,MATCH($A332,BBG_Data!$W$2:$W$4000,0)),NA()))</f>
        <v/>
      </c>
      <c r="AK332" s="19">
        <f>IF(NOT(ISNUMBER($A332)),NA(),IFERROR(1*INDEX(BBG_Data!$Z$2:$Z$4000,MATCH($A332,BBG_Data!$Y$2:$Y$4000,0)),NA()))</f>
        <v/>
      </c>
    </row>
    <row r="333">
      <c r="A333" s="17">
        <f>IF(ISNUMBER(BBG_Data!A333),BBG_Data!A333,"")</f>
        <v/>
      </c>
      <c r="B333" s="18">
        <f>IF(AND(ISNUMBER($A333),ISNUMBER(BBG_Data!B333)),BBG_Data!B333,NA())</f>
        <v/>
      </c>
      <c r="C333" s="18">
        <f>IF(NOT(ISNUMBER($A333)),NA(),IFERROR(1*INDEX(BBG_Data!$D$2:$D$4000,MATCH($A333,BBG_Data!$C$2:$C$4000,0)),NA()))</f>
        <v/>
      </c>
      <c r="D333" s="19">
        <f>IF(NOT(ISNUMBER($A333)),NA(),IFERROR(1*INDEX(BBG_Data!$F$2:$F$4000,MATCH($A333,BBG_Data!$E$2:$E$4000,0)),NA()))</f>
        <v/>
      </c>
      <c r="E333" s="19">
        <f>IF(NOT(ISNUMBER($A333)),NA(),IFERROR(1*INDEX(BBG_Data!$H$2:$H$4000,MATCH($A333,BBG_Data!$G$2:$G$4000,0)),NA()))</f>
        <v/>
      </c>
      <c r="F333" s="20">
        <f>IF(AND(ISNUMBER(B333),ISNUMBER(B332)),IF(B333=B332,"",(B333-B332)*100),"")</f>
        <v/>
      </c>
      <c r="G333" s="20">
        <f>IF(AND(ISNUMBER(C333),ISNUMBER(C332)),IF(C333=C332,"",(C333-C332)*100),"")</f>
        <v/>
      </c>
      <c r="H333" s="20">
        <f>IF(OR(NOT(ISNUMBER($A333)),ROW()-2&lt;Settings!$B$11),NA(),IF(COUNT(OFFSET(F333,1-Settings!$B$11,0,Settings!$B$11,1))&lt;ROUNDUP(Settings!$B$11*Settings!$B$26,0),NA(),STDEV(OFFSET(F333,1-Settings!$B$11,0,Settings!$B$11,1))*SQRT(Settings!$B$13)))</f>
        <v/>
      </c>
      <c r="I333" s="20">
        <f>IF(OR(NOT(ISNUMBER($A333)),ROW()-2&lt;Settings!$B$12),NA(),IF(COUNT(OFFSET(F333,1-Settings!$B$12,0,Settings!$B$12,1))&lt;ROUNDUP(Settings!$B$12*Settings!$B$26,0),NA(),STDEV(OFFSET(F333,1-Settings!$B$12,0,Settings!$B$12,1))*SQRT(Settings!$B$13)))</f>
        <v/>
      </c>
      <c r="J333" s="20">
        <f>IF(OR(NOT(ISNUMBER($A333)),ROW()-2&lt;Settings!$B$11),NA(),IF(COUNT(OFFSET(G333,1-Settings!$B$11,0,Settings!$B$11,1))&lt;ROUNDUP(Settings!$B$11*Settings!$B$26,0),NA(),STDEV(OFFSET(G333,1-Settings!$B$11,0,Settings!$B$11,1))*SQRT(Settings!$B$13)))</f>
        <v/>
      </c>
      <c r="K333" s="20">
        <f>IF(OR(NOT(ISNUMBER($A333)),ROW()-2&lt;Settings!$B$12),NA(),IF(COUNT(OFFSET(G333,1-Settings!$B$12,0,Settings!$B$12,1))&lt;ROUNDUP(Settings!$B$12*Settings!$B$26,0),NA(),STDEV(OFFSET(G333,1-Settings!$B$12,0,Settings!$B$12,1))*SQRT(Settings!$B$13)))</f>
        <v/>
      </c>
      <c r="L333" s="20">
        <f>IF(AND(ISNUMBER(D333),ISNUMBER(H333)),D333-H333,NA())</f>
        <v/>
      </c>
      <c r="M333" s="20">
        <f>IF(AND(ISNUMBER(E333),ISNUMBER(K333)),E333-K333,NA())</f>
        <v/>
      </c>
      <c r="N333" s="20">
        <f>IF(NOT(ISNUMBER($A333)),NA(),IF(COUNT(OFFSET(G333,1,0,Settings!$B$12,1))&lt;ROUNDUP(Settings!$B$12*Settings!$B$26,0),NA(),STDEV(OFFSET(G333,1,0,Settings!$B$12,1))*SQRT(Settings!$B$13)))</f>
        <v/>
      </c>
      <c r="O333" s="20">
        <f>IF(AND(ISNUMBER(E333),ISNUMBER(N333)),E333-N333,NA())</f>
        <v/>
      </c>
      <c r="P333" s="19">
        <f>IF(NOT(ISNUMBER($A333)),NA(),IF(OR($A333&lt;MIN(KW_TP!$A$2:$A$2501),$A333&gt;MAX(KW_TP!$A$2:$A$2501)),NA(),INDEX(KW_TP!$C$2:$C$2501,MATCH($A333,KW_TP!$A$2:$A$2501,1))))</f>
        <v/>
      </c>
      <c r="Q333" s="18">
        <f>IF(NOT(ISNUMBER($A333)),NA(),IFERROR(1*INDEX(BBG_Data!$J$2:$J$4000,MATCH($A333,BBG_Data!$I$2:$I$4000,0)),NA()))</f>
        <v/>
      </c>
      <c r="R333" s="18">
        <f>IF(NOT(ISNUMBER($A333)),NA(),IFERROR(1*INDEX(BBG_Data!$L$2:$L$4000,MATCH($A333,BBG_Data!$K$2:$K$4000,0)),NA()))</f>
        <v/>
      </c>
      <c r="S333" s="20">
        <f>IF(AND(ISNUMBER(B333),ISNUMBER(Q333),ISNUMBER(R333)),(B333-Q333-R333)*100,NA())</f>
        <v/>
      </c>
      <c r="T333" s="20">
        <f>IF(AND(ISNUMBER(B333),Settings!$B$17&gt;0),IF(ISNUMBER(INDEX($B:$B,Settings!$B$17)),(B333-INDEX($B:$B,Settings!$B$17))*100,NA()),NA())</f>
        <v/>
      </c>
      <c r="U333" s="20">
        <f>IF(AND(ISNUMBER(Q333),Settings!$B$17&gt;0),IF(ISNUMBER(INDEX($Q:$Q,Settings!$B$17)),(Q333-INDEX($Q:$Q,Settings!$B$17))*100,NA()),NA())</f>
        <v/>
      </c>
      <c r="V333" s="20">
        <f>IF(AND(ISNUMBER(R333),Settings!$B$17&gt;0),IF(ISNUMBER(INDEX($R:$R,Settings!$B$17)),(R333-INDEX($R:$R,Settings!$B$17))*100,NA()),NA())</f>
        <v/>
      </c>
      <c r="W333" s="20">
        <f>IF(AND(ISNUMBER(P333),Settings!$B$17&gt;0),IF(ISNUMBER(INDEX($P:$P,Settings!$B$17)),P333-INDEX($P:$P,Settings!$B$17),NA()),NA())</f>
        <v/>
      </c>
      <c r="X333" s="19">
        <f>IF(NOT(ISNUMBER($A333)),NA(),IF(OR($A333&lt;MIN(DKW_10Y!$A$2:$A$2918),$A333&gt;MAX(DKW_10Y!$A$2:$A$2918),Settings!$B$16&lt;MIN(DKW_10Y!$A$2:$A$2918)),NA(),(INDEX(DKW_10Y!$B$2:$B$2918,MATCH($A333,DKW_10Y!$A$2:$A$2918,1))-INDEX(DKW_10Y!$B$2:$B$2918,MATCH(Settings!$B$16,DKW_10Y!$A$2:$A$2918,1)))*100))</f>
        <v/>
      </c>
      <c r="Y333" s="19">
        <f>IF(NOT(ISNUMBER($A333)),NA(),IF(OR($A333&lt;MIN(DKW_10Y!$A$2:$A$2918),$A333&gt;MAX(DKW_10Y!$A$2:$A$2918),Settings!$B$16&lt;MIN(DKW_10Y!$A$2:$A$2918)),NA(),(INDEX(DKW_10Y!$C$2:$C$2918,MATCH($A333,DKW_10Y!$A$2:$A$2918,1))-INDEX(DKW_10Y!$C$2:$C$2918,MATCH(Settings!$B$16,DKW_10Y!$A$2:$A$2918,1)))*100))</f>
        <v/>
      </c>
      <c r="Z333" s="19">
        <f>IF(NOT(ISNUMBER($A333)),NA(),IF(OR($A333&lt;MIN(DKW_10Y!$A$2:$A$2918),$A333&gt;MAX(DKW_10Y!$A$2:$A$2918),Settings!$B$16&lt;MIN(DKW_10Y!$A$2:$A$2918)),NA(),(INDEX(DKW_10Y!$D$2:$D$2918,MATCH($A333,DKW_10Y!$A$2:$A$2918,1))-INDEX(DKW_10Y!$D$2:$D$2918,MATCH(Settings!$B$16,DKW_10Y!$A$2:$A$2918,1)))*100))</f>
        <v/>
      </c>
      <c r="AA333" s="19">
        <f>IF(NOT(ISNUMBER($A333)),NA(),IF(OR($A333&lt;MIN(DKW_10Y!$A$2:$A$2918),$A333&gt;MAX(DKW_10Y!$A$2:$A$2918),Settings!$B$16&lt;MIN(DKW_10Y!$A$2:$A$2918)),NA(),(INDEX(DKW_10Y!$E$2:$E$2918,MATCH($A333,DKW_10Y!$A$2:$A$2918,1))-INDEX(DKW_10Y!$E$2:$E$2918,MATCH(Settings!$B$16,DKW_10Y!$A$2:$A$2918,1)))*100))</f>
        <v/>
      </c>
      <c r="AB333" s="19">
        <f>IF(NOT(ISNUMBER($A333)),NA(),IF(OR($A333&lt;MIN(DKW_10Y!$A$2:$A$2918),$A333&gt;MAX(DKW_10Y!$A$2:$A$2918),Settings!$B$16&lt;MIN(DKW_10Y!$A$2:$A$2918)),NA(),(INDEX(DKW_10Y!$H$2:$H$2918,MATCH($A333,DKW_10Y!$A$2:$A$2918,1))-INDEX(DKW_10Y!$H$2:$H$2918,MATCH(Settings!$B$16,DKW_10Y!$A$2:$A$2918,1)))*100))</f>
        <v/>
      </c>
      <c r="AC333" s="18">
        <f>IF(NOT(ISNUMBER($A333)),NA(),IFERROR(1*INDEX(BBG_Data!$N$2:$N$4000,MATCH($A333,BBG_Data!$M$2:$M$4000,0)),NA()))</f>
        <v/>
      </c>
      <c r="AD333" s="18">
        <f>IF(NOT(ISNUMBER($A333)),NA(),IFERROR(1*INDEX(BBG_Data!$P$2:$P$4000,MATCH($A333,BBG_Data!$O$2:$O$4000,0)),NA()))</f>
        <v/>
      </c>
      <c r="AE333" s="18">
        <f>IF(NOT(ISNUMBER($A333)),NA(),IFERROR(1*INDEX(BBG_Data!$R$2:$R$4000,MATCH($A333,BBG_Data!$Q$2:$Q$4000,0)),NA()))</f>
        <v/>
      </c>
      <c r="AF333" s="20">
        <f>IF(AND(ISNUMBER(B333),ISNUMBER(AC333)),(B333-AC333)*100,NA())</f>
        <v/>
      </c>
      <c r="AG333" s="20">
        <f>IF(AND(ISNUMBER(AE333),ISNUMBER(AD333)),(AE333-AD333)*100,NA())</f>
        <v/>
      </c>
      <c r="AH333" s="19">
        <f>IF(NOT(ISNUMBER($A333)),NA(),IFERROR(INDEX(BBG_Data!$T$2:$T$4000,MATCH($A333,BBG_Data!$S$2:$S$4000,0))*Settings!$B$25,NA()))</f>
        <v/>
      </c>
      <c r="AI333" s="19">
        <f>IF(NOT(ISNUMBER($A333)),NA(),IFERROR(INDEX(BBG_Data!$V$2:$V$4000,MATCH($A333,BBG_Data!$U$2:$U$4000,0))*Settings!$B$25,NA()))</f>
        <v/>
      </c>
      <c r="AJ333" s="19">
        <f>IF(NOT(ISNUMBER($A333)),NA(),IFERROR(1*INDEX(BBG_Data!$X$2:$X$4000,MATCH($A333,BBG_Data!$W$2:$W$4000,0)),NA()))</f>
        <v/>
      </c>
      <c r="AK333" s="19">
        <f>IF(NOT(ISNUMBER($A333)),NA(),IFERROR(1*INDEX(BBG_Data!$Z$2:$Z$4000,MATCH($A333,BBG_Data!$Y$2:$Y$4000,0)),NA()))</f>
        <v/>
      </c>
    </row>
    <row r="334">
      <c r="A334" s="17">
        <f>IF(ISNUMBER(BBG_Data!A334),BBG_Data!A334,"")</f>
        <v/>
      </c>
      <c r="B334" s="18">
        <f>IF(AND(ISNUMBER($A334),ISNUMBER(BBG_Data!B334)),BBG_Data!B334,NA())</f>
        <v/>
      </c>
      <c r="C334" s="18">
        <f>IF(NOT(ISNUMBER($A334)),NA(),IFERROR(1*INDEX(BBG_Data!$D$2:$D$4000,MATCH($A334,BBG_Data!$C$2:$C$4000,0)),NA()))</f>
        <v/>
      </c>
      <c r="D334" s="19">
        <f>IF(NOT(ISNUMBER($A334)),NA(),IFERROR(1*INDEX(BBG_Data!$F$2:$F$4000,MATCH($A334,BBG_Data!$E$2:$E$4000,0)),NA()))</f>
        <v/>
      </c>
      <c r="E334" s="19">
        <f>IF(NOT(ISNUMBER($A334)),NA(),IFERROR(1*INDEX(BBG_Data!$H$2:$H$4000,MATCH($A334,BBG_Data!$G$2:$G$4000,0)),NA()))</f>
        <v/>
      </c>
      <c r="F334" s="20">
        <f>IF(AND(ISNUMBER(B334),ISNUMBER(B333)),IF(B334=B333,"",(B334-B333)*100),"")</f>
        <v/>
      </c>
      <c r="G334" s="20">
        <f>IF(AND(ISNUMBER(C334),ISNUMBER(C333)),IF(C334=C333,"",(C334-C333)*100),"")</f>
        <v/>
      </c>
      <c r="H334" s="20">
        <f>IF(OR(NOT(ISNUMBER($A334)),ROW()-2&lt;Settings!$B$11),NA(),IF(COUNT(OFFSET(F334,1-Settings!$B$11,0,Settings!$B$11,1))&lt;ROUNDUP(Settings!$B$11*Settings!$B$26,0),NA(),STDEV(OFFSET(F334,1-Settings!$B$11,0,Settings!$B$11,1))*SQRT(Settings!$B$13)))</f>
        <v/>
      </c>
      <c r="I334" s="20">
        <f>IF(OR(NOT(ISNUMBER($A334)),ROW()-2&lt;Settings!$B$12),NA(),IF(COUNT(OFFSET(F334,1-Settings!$B$12,0,Settings!$B$12,1))&lt;ROUNDUP(Settings!$B$12*Settings!$B$26,0),NA(),STDEV(OFFSET(F334,1-Settings!$B$12,0,Settings!$B$12,1))*SQRT(Settings!$B$13)))</f>
        <v/>
      </c>
      <c r="J334" s="20">
        <f>IF(OR(NOT(ISNUMBER($A334)),ROW()-2&lt;Settings!$B$11),NA(),IF(COUNT(OFFSET(G334,1-Settings!$B$11,0,Settings!$B$11,1))&lt;ROUNDUP(Settings!$B$11*Settings!$B$26,0),NA(),STDEV(OFFSET(G334,1-Settings!$B$11,0,Settings!$B$11,1))*SQRT(Settings!$B$13)))</f>
        <v/>
      </c>
      <c r="K334" s="20">
        <f>IF(OR(NOT(ISNUMBER($A334)),ROW()-2&lt;Settings!$B$12),NA(),IF(COUNT(OFFSET(G334,1-Settings!$B$12,0,Settings!$B$12,1))&lt;ROUNDUP(Settings!$B$12*Settings!$B$26,0),NA(),STDEV(OFFSET(G334,1-Settings!$B$12,0,Settings!$B$12,1))*SQRT(Settings!$B$13)))</f>
        <v/>
      </c>
      <c r="L334" s="20">
        <f>IF(AND(ISNUMBER(D334),ISNUMBER(H334)),D334-H334,NA())</f>
        <v/>
      </c>
      <c r="M334" s="20">
        <f>IF(AND(ISNUMBER(E334),ISNUMBER(K334)),E334-K334,NA())</f>
        <v/>
      </c>
      <c r="N334" s="20">
        <f>IF(NOT(ISNUMBER($A334)),NA(),IF(COUNT(OFFSET(G334,1,0,Settings!$B$12,1))&lt;ROUNDUP(Settings!$B$12*Settings!$B$26,0),NA(),STDEV(OFFSET(G334,1,0,Settings!$B$12,1))*SQRT(Settings!$B$13)))</f>
        <v/>
      </c>
      <c r="O334" s="20">
        <f>IF(AND(ISNUMBER(E334),ISNUMBER(N334)),E334-N334,NA())</f>
        <v/>
      </c>
      <c r="P334" s="19">
        <f>IF(NOT(ISNUMBER($A334)),NA(),IF(OR($A334&lt;MIN(KW_TP!$A$2:$A$2501),$A334&gt;MAX(KW_TP!$A$2:$A$2501)),NA(),INDEX(KW_TP!$C$2:$C$2501,MATCH($A334,KW_TP!$A$2:$A$2501,1))))</f>
        <v/>
      </c>
      <c r="Q334" s="18">
        <f>IF(NOT(ISNUMBER($A334)),NA(),IFERROR(1*INDEX(BBG_Data!$J$2:$J$4000,MATCH($A334,BBG_Data!$I$2:$I$4000,0)),NA()))</f>
        <v/>
      </c>
      <c r="R334" s="18">
        <f>IF(NOT(ISNUMBER($A334)),NA(),IFERROR(1*INDEX(BBG_Data!$L$2:$L$4000,MATCH($A334,BBG_Data!$K$2:$K$4000,0)),NA()))</f>
        <v/>
      </c>
      <c r="S334" s="20">
        <f>IF(AND(ISNUMBER(B334),ISNUMBER(Q334),ISNUMBER(R334)),(B334-Q334-R334)*100,NA())</f>
        <v/>
      </c>
      <c r="T334" s="20">
        <f>IF(AND(ISNUMBER(B334),Settings!$B$17&gt;0),IF(ISNUMBER(INDEX($B:$B,Settings!$B$17)),(B334-INDEX($B:$B,Settings!$B$17))*100,NA()),NA())</f>
        <v/>
      </c>
      <c r="U334" s="20">
        <f>IF(AND(ISNUMBER(Q334),Settings!$B$17&gt;0),IF(ISNUMBER(INDEX($Q:$Q,Settings!$B$17)),(Q334-INDEX($Q:$Q,Settings!$B$17))*100,NA()),NA())</f>
        <v/>
      </c>
      <c r="V334" s="20">
        <f>IF(AND(ISNUMBER(R334),Settings!$B$17&gt;0),IF(ISNUMBER(INDEX($R:$R,Settings!$B$17)),(R334-INDEX($R:$R,Settings!$B$17))*100,NA()),NA())</f>
        <v/>
      </c>
      <c r="W334" s="20">
        <f>IF(AND(ISNUMBER(P334),Settings!$B$17&gt;0),IF(ISNUMBER(INDEX($P:$P,Settings!$B$17)),P334-INDEX($P:$P,Settings!$B$17),NA()),NA())</f>
        <v/>
      </c>
      <c r="X334" s="19">
        <f>IF(NOT(ISNUMBER($A334)),NA(),IF(OR($A334&lt;MIN(DKW_10Y!$A$2:$A$2918),$A334&gt;MAX(DKW_10Y!$A$2:$A$2918),Settings!$B$16&lt;MIN(DKW_10Y!$A$2:$A$2918)),NA(),(INDEX(DKW_10Y!$B$2:$B$2918,MATCH($A334,DKW_10Y!$A$2:$A$2918,1))-INDEX(DKW_10Y!$B$2:$B$2918,MATCH(Settings!$B$16,DKW_10Y!$A$2:$A$2918,1)))*100))</f>
        <v/>
      </c>
      <c r="Y334" s="19">
        <f>IF(NOT(ISNUMBER($A334)),NA(),IF(OR($A334&lt;MIN(DKW_10Y!$A$2:$A$2918),$A334&gt;MAX(DKW_10Y!$A$2:$A$2918),Settings!$B$16&lt;MIN(DKW_10Y!$A$2:$A$2918)),NA(),(INDEX(DKW_10Y!$C$2:$C$2918,MATCH($A334,DKW_10Y!$A$2:$A$2918,1))-INDEX(DKW_10Y!$C$2:$C$2918,MATCH(Settings!$B$16,DKW_10Y!$A$2:$A$2918,1)))*100))</f>
        <v/>
      </c>
      <c r="Z334" s="19">
        <f>IF(NOT(ISNUMBER($A334)),NA(),IF(OR($A334&lt;MIN(DKW_10Y!$A$2:$A$2918),$A334&gt;MAX(DKW_10Y!$A$2:$A$2918),Settings!$B$16&lt;MIN(DKW_10Y!$A$2:$A$2918)),NA(),(INDEX(DKW_10Y!$D$2:$D$2918,MATCH($A334,DKW_10Y!$A$2:$A$2918,1))-INDEX(DKW_10Y!$D$2:$D$2918,MATCH(Settings!$B$16,DKW_10Y!$A$2:$A$2918,1)))*100))</f>
        <v/>
      </c>
      <c r="AA334" s="19">
        <f>IF(NOT(ISNUMBER($A334)),NA(),IF(OR($A334&lt;MIN(DKW_10Y!$A$2:$A$2918),$A334&gt;MAX(DKW_10Y!$A$2:$A$2918),Settings!$B$16&lt;MIN(DKW_10Y!$A$2:$A$2918)),NA(),(INDEX(DKW_10Y!$E$2:$E$2918,MATCH($A334,DKW_10Y!$A$2:$A$2918,1))-INDEX(DKW_10Y!$E$2:$E$2918,MATCH(Settings!$B$16,DKW_10Y!$A$2:$A$2918,1)))*100))</f>
        <v/>
      </c>
      <c r="AB334" s="19">
        <f>IF(NOT(ISNUMBER($A334)),NA(),IF(OR($A334&lt;MIN(DKW_10Y!$A$2:$A$2918),$A334&gt;MAX(DKW_10Y!$A$2:$A$2918),Settings!$B$16&lt;MIN(DKW_10Y!$A$2:$A$2918)),NA(),(INDEX(DKW_10Y!$H$2:$H$2918,MATCH($A334,DKW_10Y!$A$2:$A$2918,1))-INDEX(DKW_10Y!$H$2:$H$2918,MATCH(Settings!$B$16,DKW_10Y!$A$2:$A$2918,1)))*100))</f>
        <v/>
      </c>
      <c r="AC334" s="18">
        <f>IF(NOT(ISNUMBER($A334)),NA(),IFERROR(1*INDEX(BBG_Data!$N$2:$N$4000,MATCH($A334,BBG_Data!$M$2:$M$4000,0)),NA()))</f>
        <v/>
      </c>
      <c r="AD334" s="18">
        <f>IF(NOT(ISNUMBER($A334)),NA(),IFERROR(1*INDEX(BBG_Data!$P$2:$P$4000,MATCH($A334,BBG_Data!$O$2:$O$4000,0)),NA()))</f>
        <v/>
      </c>
      <c r="AE334" s="18">
        <f>IF(NOT(ISNUMBER($A334)),NA(),IFERROR(1*INDEX(BBG_Data!$R$2:$R$4000,MATCH($A334,BBG_Data!$Q$2:$Q$4000,0)),NA()))</f>
        <v/>
      </c>
      <c r="AF334" s="20">
        <f>IF(AND(ISNUMBER(B334),ISNUMBER(AC334)),(B334-AC334)*100,NA())</f>
        <v/>
      </c>
      <c r="AG334" s="20">
        <f>IF(AND(ISNUMBER(AE334),ISNUMBER(AD334)),(AE334-AD334)*100,NA())</f>
        <v/>
      </c>
      <c r="AH334" s="19">
        <f>IF(NOT(ISNUMBER($A334)),NA(),IFERROR(INDEX(BBG_Data!$T$2:$T$4000,MATCH($A334,BBG_Data!$S$2:$S$4000,0))*Settings!$B$25,NA()))</f>
        <v/>
      </c>
      <c r="AI334" s="19">
        <f>IF(NOT(ISNUMBER($A334)),NA(),IFERROR(INDEX(BBG_Data!$V$2:$V$4000,MATCH($A334,BBG_Data!$U$2:$U$4000,0))*Settings!$B$25,NA()))</f>
        <v/>
      </c>
      <c r="AJ334" s="19">
        <f>IF(NOT(ISNUMBER($A334)),NA(),IFERROR(1*INDEX(BBG_Data!$X$2:$X$4000,MATCH($A334,BBG_Data!$W$2:$W$4000,0)),NA()))</f>
        <v/>
      </c>
      <c r="AK334" s="19">
        <f>IF(NOT(ISNUMBER($A334)),NA(),IFERROR(1*INDEX(BBG_Data!$Z$2:$Z$4000,MATCH($A334,BBG_Data!$Y$2:$Y$4000,0)),NA()))</f>
        <v/>
      </c>
    </row>
    <row r="335">
      <c r="A335" s="17">
        <f>IF(ISNUMBER(BBG_Data!A335),BBG_Data!A335,"")</f>
        <v/>
      </c>
      <c r="B335" s="18">
        <f>IF(AND(ISNUMBER($A335),ISNUMBER(BBG_Data!B335)),BBG_Data!B335,NA())</f>
        <v/>
      </c>
      <c r="C335" s="18">
        <f>IF(NOT(ISNUMBER($A335)),NA(),IFERROR(1*INDEX(BBG_Data!$D$2:$D$4000,MATCH($A335,BBG_Data!$C$2:$C$4000,0)),NA()))</f>
        <v/>
      </c>
      <c r="D335" s="19">
        <f>IF(NOT(ISNUMBER($A335)),NA(),IFERROR(1*INDEX(BBG_Data!$F$2:$F$4000,MATCH($A335,BBG_Data!$E$2:$E$4000,0)),NA()))</f>
        <v/>
      </c>
      <c r="E335" s="19">
        <f>IF(NOT(ISNUMBER($A335)),NA(),IFERROR(1*INDEX(BBG_Data!$H$2:$H$4000,MATCH($A335,BBG_Data!$G$2:$G$4000,0)),NA()))</f>
        <v/>
      </c>
      <c r="F335" s="20">
        <f>IF(AND(ISNUMBER(B335),ISNUMBER(B334)),IF(B335=B334,"",(B335-B334)*100),"")</f>
        <v/>
      </c>
      <c r="G335" s="20">
        <f>IF(AND(ISNUMBER(C335),ISNUMBER(C334)),IF(C335=C334,"",(C335-C334)*100),"")</f>
        <v/>
      </c>
      <c r="H335" s="20">
        <f>IF(OR(NOT(ISNUMBER($A335)),ROW()-2&lt;Settings!$B$11),NA(),IF(COUNT(OFFSET(F335,1-Settings!$B$11,0,Settings!$B$11,1))&lt;ROUNDUP(Settings!$B$11*Settings!$B$26,0),NA(),STDEV(OFFSET(F335,1-Settings!$B$11,0,Settings!$B$11,1))*SQRT(Settings!$B$13)))</f>
        <v/>
      </c>
      <c r="I335" s="20">
        <f>IF(OR(NOT(ISNUMBER($A335)),ROW()-2&lt;Settings!$B$12),NA(),IF(COUNT(OFFSET(F335,1-Settings!$B$12,0,Settings!$B$12,1))&lt;ROUNDUP(Settings!$B$12*Settings!$B$26,0),NA(),STDEV(OFFSET(F335,1-Settings!$B$12,0,Settings!$B$12,1))*SQRT(Settings!$B$13)))</f>
        <v/>
      </c>
      <c r="J335" s="20">
        <f>IF(OR(NOT(ISNUMBER($A335)),ROW()-2&lt;Settings!$B$11),NA(),IF(COUNT(OFFSET(G335,1-Settings!$B$11,0,Settings!$B$11,1))&lt;ROUNDUP(Settings!$B$11*Settings!$B$26,0),NA(),STDEV(OFFSET(G335,1-Settings!$B$11,0,Settings!$B$11,1))*SQRT(Settings!$B$13)))</f>
        <v/>
      </c>
      <c r="K335" s="20">
        <f>IF(OR(NOT(ISNUMBER($A335)),ROW()-2&lt;Settings!$B$12),NA(),IF(COUNT(OFFSET(G335,1-Settings!$B$12,0,Settings!$B$12,1))&lt;ROUNDUP(Settings!$B$12*Settings!$B$26,0),NA(),STDEV(OFFSET(G335,1-Settings!$B$12,0,Settings!$B$12,1))*SQRT(Settings!$B$13)))</f>
        <v/>
      </c>
      <c r="L335" s="20">
        <f>IF(AND(ISNUMBER(D335),ISNUMBER(H335)),D335-H335,NA())</f>
        <v/>
      </c>
      <c r="M335" s="20">
        <f>IF(AND(ISNUMBER(E335),ISNUMBER(K335)),E335-K335,NA())</f>
        <v/>
      </c>
      <c r="N335" s="20">
        <f>IF(NOT(ISNUMBER($A335)),NA(),IF(COUNT(OFFSET(G335,1,0,Settings!$B$12,1))&lt;ROUNDUP(Settings!$B$12*Settings!$B$26,0),NA(),STDEV(OFFSET(G335,1,0,Settings!$B$12,1))*SQRT(Settings!$B$13)))</f>
        <v/>
      </c>
      <c r="O335" s="20">
        <f>IF(AND(ISNUMBER(E335),ISNUMBER(N335)),E335-N335,NA())</f>
        <v/>
      </c>
      <c r="P335" s="19">
        <f>IF(NOT(ISNUMBER($A335)),NA(),IF(OR($A335&lt;MIN(KW_TP!$A$2:$A$2501),$A335&gt;MAX(KW_TP!$A$2:$A$2501)),NA(),INDEX(KW_TP!$C$2:$C$2501,MATCH($A335,KW_TP!$A$2:$A$2501,1))))</f>
        <v/>
      </c>
      <c r="Q335" s="18">
        <f>IF(NOT(ISNUMBER($A335)),NA(),IFERROR(1*INDEX(BBG_Data!$J$2:$J$4000,MATCH($A335,BBG_Data!$I$2:$I$4000,0)),NA()))</f>
        <v/>
      </c>
      <c r="R335" s="18">
        <f>IF(NOT(ISNUMBER($A335)),NA(),IFERROR(1*INDEX(BBG_Data!$L$2:$L$4000,MATCH($A335,BBG_Data!$K$2:$K$4000,0)),NA()))</f>
        <v/>
      </c>
      <c r="S335" s="20">
        <f>IF(AND(ISNUMBER(B335),ISNUMBER(Q335),ISNUMBER(R335)),(B335-Q335-R335)*100,NA())</f>
        <v/>
      </c>
      <c r="T335" s="20">
        <f>IF(AND(ISNUMBER(B335),Settings!$B$17&gt;0),IF(ISNUMBER(INDEX($B:$B,Settings!$B$17)),(B335-INDEX($B:$B,Settings!$B$17))*100,NA()),NA())</f>
        <v/>
      </c>
      <c r="U335" s="20">
        <f>IF(AND(ISNUMBER(Q335),Settings!$B$17&gt;0),IF(ISNUMBER(INDEX($Q:$Q,Settings!$B$17)),(Q335-INDEX($Q:$Q,Settings!$B$17))*100,NA()),NA())</f>
        <v/>
      </c>
      <c r="V335" s="20">
        <f>IF(AND(ISNUMBER(R335),Settings!$B$17&gt;0),IF(ISNUMBER(INDEX($R:$R,Settings!$B$17)),(R335-INDEX($R:$R,Settings!$B$17))*100,NA()),NA())</f>
        <v/>
      </c>
      <c r="W335" s="20">
        <f>IF(AND(ISNUMBER(P335),Settings!$B$17&gt;0),IF(ISNUMBER(INDEX($P:$P,Settings!$B$17)),P335-INDEX($P:$P,Settings!$B$17),NA()),NA())</f>
        <v/>
      </c>
      <c r="X335" s="19">
        <f>IF(NOT(ISNUMBER($A335)),NA(),IF(OR($A335&lt;MIN(DKW_10Y!$A$2:$A$2918),$A335&gt;MAX(DKW_10Y!$A$2:$A$2918),Settings!$B$16&lt;MIN(DKW_10Y!$A$2:$A$2918)),NA(),(INDEX(DKW_10Y!$B$2:$B$2918,MATCH($A335,DKW_10Y!$A$2:$A$2918,1))-INDEX(DKW_10Y!$B$2:$B$2918,MATCH(Settings!$B$16,DKW_10Y!$A$2:$A$2918,1)))*100))</f>
        <v/>
      </c>
      <c r="Y335" s="19">
        <f>IF(NOT(ISNUMBER($A335)),NA(),IF(OR($A335&lt;MIN(DKW_10Y!$A$2:$A$2918),$A335&gt;MAX(DKW_10Y!$A$2:$A$2918),Settings!$B$16&lt;MIN(DKW_10Y!$A$2:$A$2918)),NA(),(INDEX(DKW_10Y!$C$2:$C$2918,MATCH($A335,DKW_10Y!$A$2:$A$2918,1))-INDEX(DKW_10Y!$C$2:$C$2918,MATCH(Settings!$B$16,DKW_10Y!$A$2:$A$2918,1)))*100))</f>
        <v/>
      </c>
      <c r="Z335" s="19">
        <f>IF(NOT(ISNUMBER($A335)),NA(),IF(OR($A335&lt;MIN(DKW_10Y!$A$2:$A$2918),$A335&gt;MAX(DKW_10Y!$A$2:$A$2918),Settings!$B$16&lt;MIN(DKW_10Y!$A$2:$A$2918)),NA(),(INDEX(DKW_10Y!$D$2:$D$2918,MATCH($A335,DKW_10Y!$A$2:$A$2918,1))-INDEX(DKW_10Y!$D$2:$D$2918,MATCH(Settings!$B$16,DKW_10Y!$A$2:$A$2918,1)))*100))</f>
        <v/>
      </c>
      <c r="AA335" s="19">
        <f>IF(NOT(ISNUMBER($A335)),NA(),IF(OR($A335&lt;MIN(DKW_10Y!$A$2:$A$2918),$A335&gt;MAX(DKW_10Y!$A$2:$A$2918),Settings!$B$16&lt;MIN(DKW_10Y!$A$2:$A$2918)),NA(),(INDEX(DKW_10Y!$E$2:$E$2918,MATCH($A335,DKW_10Y!$A$2:$A$2918,1))-INDEX(DKW_10Y!$E$2:$E$2918,MATCH(Settings!$B$16,DKW_10Y!$A$2:$A$2918,1)))*100))</f>
        <v/>
      </c>
      <c r="AB335" s="19">
        <f>IF(NOT(ISNUMBER($A335)),NA(),IF(OR($A335&lt;MIN(DKW_10Y!$A$2:$A$2918),$A335&gt;MAX(DKW_10Y!$A$2:$A$2918),Settings!$B$16&lt;MIN(DKW_10Y!$A$2:$A$2918)),NA(),(INDEX(DKW_10Y!$H$2:$H$2918,MATCH($A335,DKW_10Y!$A$2:$A$2918,1))-INDEX(DKW_10Y!$H$2:$H$2918,MATCH(Settings!$B$16,DKW_10Y!$A$2:$A$2918,1)))*100))</f>
        <v/>
      </c>
      <c r="AC335" s="18">
        <f>IF(NOT(ISNUMBER($A335)),NA(),IFERROR(1*INDEX(BBG_Data!$N$2:$N$4000,MATCH($A335,BBG_Data!$M$2:$M$4000,0)),NA()))</f>
        <v/>
      </c>
      <c r="AD335" s="18">
        <f>IF(NOT(ISNUMBER($A335)),NA(),IFERROR(1*INDEX(BBG_Data!$P$2:$P$4000,MATCH($A335,BBG_Data!$O$2:$O$4000,0)),NA()))</f>
        <v/>
      </c>
      <c r="AE335" s="18">
        <f>IF(NOT(ISNUMBER($A335)),NA(),IFERROR(1*INDEX(BBG_Data!$R$2:$R$4000,MATCH($A335,BBG_Data!$Q$2:$Q$4000,0)),NA()))</f>
        <v/>
      </c>
      <c r="AF335" s="20">
        <f>IF(AND(ISNUMBER(B335),ISNUMBER(AC335)),(B335-AC335)*100,NA())</f>
        <v/>
      </c>
      <c r="AG335" s="20">
        <f>IF(AND(ISNUMBER(AE335),ISNUMBER(AD335)),(AE335-AD335)*100,NA())</f>
        <v/>
      </c>
      <c r="AH335" s="19">
        <f>IF(NOT(ISNUMBER($A335)),NA(),IFERROR(INDEX(BBG_Data!$T$2:$T$4000,MATCH($A335,BBG_Data!$S$2:$S$4000,0))*Settings!$B$25,NA()))</f>
        <v/>
      </c>
      <c r="AI335" s="19">
        <f>IF(NOT(ISNUMBER($A335)),NA(),IFERROR(INDEX(BBG_Data!$V$2:$V$4000,MATCH($A335,BBG_Data!$U$2:$U$4000,0))*Settings!$B$25,NA()))</f>
        <v/>
      </c>
      <c r="AJ335" s="19">
        <f>IF(NOT(ISNUMBER($A335)),NA(),IFERROR(1*INDEX(BBG_Data!$X$2:$X$4000,MATCH($A335,BBG_Data!$W$2:$W$4000,0)),NA()))</f>
        <v/>
      </c>
      <c r="AK335" s="19">
        <f>IF(NOT(ISNUMBER($A335)),NA(),IFERROR(1*INDEX(BBG_Data!$Z$2:$Z$4000,MATCH($A335,BBG_Data!$Y$2:$Y$4000,0)),NA()))</f>
        <v/>
      </c>
    </row>
    <row r="336">
      <c r="A336" s="17">
        <f>IF(ISNUMBER(BBG_Data!A336),BBG_Data!A336,"")</f>
        <v/>
      </c>
      <c r="B336" s="18">
        <f>IF(AND(ISNUMBER($A336),ISNUMBER(BBG_Data!B336)),BBG_Data!B336,NA())</f>
        <v/>
      </c>
      <c r="C336" s="18">
        <f>IF(NOT(ISNUMBER($A336)),NA(),IFERROR(1*INDEX(BBG_Data!$D$2:$D$4000,MATCH($A336,BBG_Data!$C$2:$C$4000,0)),NA()))</f>
        <v/>
      </c>
      <c r="D336" s="19">
        <f>IF(NOT(ISNUMBER($A336)),NA(),IFERROR(1*INDEX(BBG_Data!$F$2:$F$4000,MATCH($A336,BBG_Data!$E$2:$E$4000,0)),NA()))</f>
        <v/>
      </c>
      <c r="E336" s="19">
        <f>IF(NOT(ISNUMBER($A336)),NA(),IFERROR(1*INDEX(BBG_Data!$H$2:$H$4000,MATCH($A336,BBG_Data!$G$2:$G$4000,0)),NA()))</f>
        <v/>
      </c>
      <c r="F336" s="20">
        <f>IF(AND(ISNUMBER(B336),ISNUMBER(B335)),IF(B336=B335,"",(B336-B335)*100),"")</f>
        <v/>
      </c>
      <c r="G336" s="20">
        <f>IF(AND(ISNUMBER(C336),ISNUMBER(C335)),IF(C336=C335,"",(C336-C335)*100),"")</f>
        <v/>
      </c>
      <c r="H336" s="20">
        <f>IF(OR(NOT(ISNUMBER($A336)),ROW()-2&lt;Settings!$B$11),NA(),IF(COUNT(OFFSET(F336,1-Settings!$B$11,0,Settings!$B$11,1))&lt;ROUNDUP(Settings!$B$11*Settings!$B$26,0),NA(),STDEV(OFFSET(F336,1-Settings!$B$11,0,Settings!$B$11,1))*SQRT(Settings!$B$13)))</f>
        <v/>
      </c>
      <c r="I336" s="20">
        <f>IF(OR(NOT(ISNUMBER($A336)),ROW()-2&lt;Settings!$B$12),NA(),IF(COUNT(OFFSET(F336,1-Settings!$B$12,0,Settings!$B$12,1))&lt;ROUNDUP(Settings!$B$12*Settings!$B$26,0),NA(),STDEV(OFFSET(F336,1-Settings!$B$12,0,Settings!$B$12,1))*SQRT(Settings!$B$13)))</f>
        <v/>
      </c>
      <c r="J336" s="20">
        <f>IF(OR(NOT(ISNUMBER($A336)),ROW()-2&lt;Settings!$B$11),NA(),IF(COUNT(OFFSET(G336,1-Settings!$B$11,0,Settings!$B$11,1))&lt;ROUNDUP(Settings!$B$11*Settings!$B$26,0),NA(),STDEV(OFFSET(G336,1-Settings!$B$11,0,Settings!$B$11,1))*SQRT(Settings!$B$13)))</f>
        <v/>
      </c>
      <c r="K336" s="20">
        <f>IF(OR(NOT(ISNUMBER($A336)),ROW()-2&lt;Settings!$B$12),NA(),IF(COUNT(OFFSET(G336,1-Settings!$B$12,0,Settings!$B$12,1))&lt;ROUNDUP(Settings!$B$12*Settings!$B$26,0),NA(),STDEV(OFFSET(G336,1-Settings!$B$12,0,Settings!$B$12,1))*SQRT(Settings!$B$13)))</f>
        <v/>
      </c>
      <c r="L336" s="20">
        <f>IF(AND(ISNUMBER(D336),ISNUMBER(H336)),D336-H336,NA())</f>
        <v/>
      </c>
      <c r="M336" s="20">
        <f>IF(AND(ISNUMBER(E336),ISNUMBER(K336)),E336-K336,NA())</f>
        <v/>
      </c>
      <c r="N336" s="20">
        <f>IF(NOT(ISNUMBER($A336)),NA(),IF(COUNT(OFFSET(G336,1,0,Settings!$B$12,1))&lt;ROUNDUP(Settings!$B$12*Settings!$B$26,0),NA(),STDEV(OFFSET(G336,1,0,Settings!$B$12,1))*SQRT(Settings!$B$13)))</f>
        <v/>
      </c>
      <c r="O336" s="20">
        <f>IF(AND(ISNUMBER(E336),ISNUMBER(N336)),E336-N336,NA())</f>
        <v/>
      </c>
      <c r="P336" s="19">
        <f>IF(NOT(ISNUMBER($A336)),NA(),IF(OR($A336&lt;MIN(KW_TP!$A$2:$A$2501),$A336&gt;MAX(KW_TP!$A$2:$A$2501)),NA(),INDEX(KW_TP!$C$2:$C$2501,MATCH($A336,KW_TP!$A$2:$A$2501,1))))</f>
        <v/>
      </c>
      <c r="Q336" s="18">
        <f>IF(NOT(ISNUMBER($A336)),NA(),IFERROR(1*INDEX(BBG_Data!$J$2:$J$4000,MATCH($A336,BBG_Data!$I$2:$I$4000,0)),NA()))</f>
        <v/>
      </c>
      <c r="R336" s="18">
        <f>IF(NOT(ISNUMBER($A336)),NA(),IFERROR(1*INDEX(BBG_Data!$L$2:$L$4000,MATCH($A336,BBG_Data!$K$2:$K$4000,0)),NA()))</f>
        <v/>
      </c>
      <c r="S336" s="20">
        <f>IF(AND(ISNUMBER(B336),ISNUMBER(Q336),ISNUMBER(R336)),(B336-Q336-R336)*100,NA())</f>
        <v/>
      </c>
      <c r="T336" s="20">
        <f>IF(AND(ISNUMBER(B336),Settings!$B$17&gt;0),IF(ISNUMBER(INDEX($B:$B,Settings!$B$17)),(B336-INDEX($B:$B,Settings!$B$17))*100,NA()),NA())</f>
        <v/>
      </c>
      <c r="U336" s="20">
        <f>IF(AND(ISNUMBER(Q336),Settings!$B$17&gt;0),IF(ISNUMBER(INDEX($Q:$Q,Settings!$B$17)),(Q336-INDEX($Q:$Q,Settings!$B$17))*100,NA()),NA())</f>
        <v/>
      </c>
      <c r="V336" s="20">
        <f>IF(AND(ISNUMBER(R336),Settings!$B$17&gt;0),IF(ISNUMBER(INDEX($R:$R,Settings!$B$17)),(R336-INDEX($R:$R,Settings!$B$17))*100,NA()),NA())</f>
        <v/>
      </c>
      <c r="W336" s="20">
        <f>IF(AND(ISNUMBER(P336),Settings!$B$17&gt;0),IF(ISNUMBER(INDEX($P:$P,Settings!$B$17)),P336-INDEX($P:$P,Settings!$B$17),NA()),NA())</f>
        <v/>
      </c>
      <c r="X336" s="19">
        <f>IF(NOT(ISNUMBER($A336)),NA(),IF(OR($A336&lt;MIN(DKW_10Y!$A$2:$A$2918),$A336&gt;MAX(DKW_10Y!$A$2:$A$2918),Settings!$B$16&lt;MIN(DKW_10Y!$A$2:$A$2918)),NA(),(INDEX(DKW_10Y!$B$2:$B$2918,MATCH($A336,DKW_10Y!$A$2:$A$2918,1))-INDEX(DKW_10Y!$B$2:$B$2918,MATCH(Settings!$B$16,DKW_10Y!$A$2:$A$2918,1)))*100))</f>
        <v/>
      </c>
      <c r="Y336" s="19">
        <f>IF(NOT(ISNUMBER($A336)),NA(),IF(OR($A336&lt;MIN(DKW_10Y!$A$2:$A$2918),$A336&gt;MAX(DKW_10Y!$A$2:$A$2918),Settings!$B$16&lt;MIN(DKW_10Y!$A$2:$A$2918)),NA(),(INDEX(DKW_10Y!$C$2:$C$2918,MATCH($A336,DKW_10Y!$A$2:$A$2918,1))-INDEX(DKW_10Y!$C$2:$C$2918,MATCH(Settings!$B$16,DKW_10Y!$A$2:$A$2918,1)))*100))</f>
        <v/>
      </c>
      <c r="Z336" s="19">
        <f>IF(NOT(ISNUMBER($A336)),NA(),IF(OR($A336&lt;MIN(DKW_10Y!$A$2:$A$2918),$A336&gt;MAX(DKW_10Y!$A$2:$A$2918),Settings!$B$16&lt;MIN(DKW_10Y!$A$2:$A$2918)),NA(),(INDEX(DKW_10Y!$D$2:$D$2918,MATCH($A336,DKW_10Y!$A$2:$A$2918,1))-INDEX(DKW_10Y!$D$2:$D$2918,MATCH(Settings!$B$16,DKW_10Y!$A$2:$A$2918,1)))*100))</f>
        <v/>
      </c>
      <c r="AA336" s="19">
        <f>IF(NOT(ISNUMBER($A336)),NA(),IF(OR($A336&lt;MIN(DKW_10Y!$A$2:$A$2918),$A336&gt;MAX(DKW_10Y!$A$2:$A$2918),Settings!$B$16&lt;MIN(DKW_10Y!$A$2:$A$2918)),NA(),(INDEX(DKW_10Y!$E$2:$E$2918,MATCH($A336,DKW_10Y!$A$2:$A$2918,1))-INDEX(DKW_10Y!$E$2:$E$2918,MATCH(Settings!$B$16,DKW_10Y!$A$2:$A$2918,1)))*100))</f>
        <v/>
      </c>
      <c r="AB336" s="19">
        <f>IF(NOT(ISNUMBER($A336)),NA(),IF(OR($A336&lt;MIN(DKW_10Y!$A$2:$A$2918),$A336&gt;MAX(DKW_10Y!$A$2:$A$2918),Settings!$B$16&lt;MIN(DKW_10Y!$A$2:$A$2918)),NA(),(INDEX(DKW_10Y!$H$2:$H$2918,MATCH($A336,DKW_10Y!$A$2:$A$2918,1))-INDEX(DKW_10Y!$H$2:$H$2918,MATCH(Settings!$B$16,DKW_10Y!$A$2:$A$2918,1)))*100))</f>
        <v/>
      </c>
      <c r="AC336" s="18">
        <f>IF(NOT(ISNUMBER($A336)),NA(),IFERROR(1*INDEX(BBG_Data!$N$2:$N$4000,MATCH($A336,BBG_Data!$M$2:$M$4000,0)),NA()))</f>
        <v/>
      </c>
      <c r="AD336" s="18">
        <f>IF(NOT(ISNUMBER($A336)),NA(),IFERROR(1*INDEX(BBG_Data!$P$2:$P$4000,MATCH($A336,BBG_Data!$O$2:$O$4000,0)),NA()))</f>
        <v/>
      </c>
      <c r="AE336" s="18">
        <f>IF(NOT(ISNUMBER($A336)),NA(),IFERROR(1*INDEX(BBG_Data!$R$2:$R$4000,MATCH($A336,BBG_Data!$Q$2:$Q$4000,0)),NA()))</f>
        <v/>
      </c>
      <c r="AF336" s="20">
        <f>IF(AND(ISNUMBER(B336),ISNUMBER(AC336)),(B336-AC336)*100,NA())</f>
        <v/>
      </c>
      <c r="AG336" s="20">
        <f>IF(AND(ISNUMBER(AE336),ISNUMBER(AD336)),(AE336-AD336)*100,NA())</f>
        <v/>
      </c>
      <c r="AH336" s="19">
        <f>IF(NOT(ISNUMBER($A336)),NA(),IFERROR(INDEX(BBG_Data!$T$2:$T$4000,MATCH($A336,BBG_Data!$S$2:$S$4000,0))*Settings!$B$25,NA()))</f>
        <v/>
      </c>
      <c r="AI336" s="19">
        <f>IF(NOT(ISNUMBER($A336)),NA(),IFERROR(INDEX(BBG_Data!$V$2:$V$4000,MATCH($A336,BBG_Data!$U$2:$U$4000,0))*Settings!$B$25,NA()))</f>
        <v/>
      </c>
      <c r="AJ336" s="19">
        <f>IF(NOT(ISNUMBER($A336)),NA(),IFERROR(1*INDEX(BBG_Data!$X$2:$X$4000,MATCH($A336,BBG_Data!$W$2:$W$4000,0)),NA()))</f>
        <v/>
      </c>
      <c r="AK336" s="19">
        <f>IF(NOT(ISNUMBER($A336)),NA(),IFERROR(1*INDEX(BBG_Data!$Z$2:$Z$4000,MATCH($A336,BBG_Data!$Y$2:$Y$4000,0)),NA()))</f>
        <v/>
      </c>
    </row>
    <row r="337">
      <c r="A337" s="17">
        <f>IF(ISNUMBER(BBG_Data!A337),BBG_Data!A337,"")</f>
        <v/>
      </c>
      <c r="B337" s="18">
        <f>IF(AND(ISNUMBER($A337),ISNUMBER(BBG_Data!B337)),BBG_Data!B337,NA())</f>
        <v/>
      </c>
      <c r="C337" s="18">
        <f>IF(NOT(ISNUMBER($A337)),NA(),IFERROR(1*INDEX(BBG_Data!$D$2:$D$4000,MATCH($A337,BBG_Data!$C$2:$C$4000,0)),NA()))</f>
        <v/>
      </c>
      <c r="D337" s="19">
        <f>IF(NOT(ISNUMBER($A337)),NA(),IFERROR(1*INDEX(BBG_Data!$F$2:$F$4000,MATCH($A337,BBG_Data!$E$2:$E$4000,0)),NA()))</f>
        <v/>
      </c>
      <c r="E337" s="19">
        <f>IF(NOT(ISNUMBER($A337)),NA(),IFERROR(1*INDEX(BBG_Data!$H$2:$H$4000,MATCH($A337,BBG_Data!$G$2:$G$4000,0)),NA()))</f>
        <v/>
      </c>
      <c r="F337" s="20">
        <f>IF(AND(ISNUMBER(B337),ISNUMBER(B336)),IF(B337=B336,"",(B337-B336)*100),"")</f>
        <v/>
      </c>
      <c r="G337" s="20">
        <f>IF(AND(ISNUMBER(C337),ISNUMBER(C336)),IF(C337=C336,"",(C337-C336)*100),"")</f>
        <v/>
      </c>
      <c r="H337" s="20">
        <f>IF(OR(NOT(ISNUMBER($A337)),ROW()-2&lt;Settings!$B$11),NA(),IF(COUNT(OFFSET(F337,1-Settings!$B$11,0,Settings!$B$11,1))&lt;ROUNDUP(Settings!$B$11*Settings!$B$26,0),NA(),STDEV(OFFSET(F337,1-Settings!$B$11,0,Settings!$B$11,1))*SQRT(Settings!$B$13)))</f>
        <v/>
      </c>
      <c r="I337" s="20">
        <f>IF(OR(NOT(ISNUMBER($A337)),ROW()-2&lt;Settings!$B$12),NA(),IF(COUNT(OFFSET(F337,1-Settings!$B$12,0,Settings!$B$12,1))&lt;ROUNDUP(Settings!$B$12*Settings!$B$26,0),NA(),STDEV(OFFSET(F337,1-Settings!$B$12,0,Settings!$B$12,1))*SQRT(Settings!$B$13)))</f>
        <v/>
      </c>
      <c r="J337" s="20">
        <f>IF(OR(NOT(ISNUMBER($A337)),ROW()-2&lt;Settings!$B$11),NA(),IF(COUNT(OFFSET(G337,1-Settings!$B$11,0,Settings!$B$11,1))&lt;ROUNDUP(Settings!$B$11*Settings!$B$26,0),NA(),STDEV(OFFSET(G337,1-Settings!$B$11,0,Settings!$B$11,1))*SQRT(Settings!$B$13)))</f>
        <v/>
      </c>
      <c r="K337" s="20">
        <f>IF(OR(NOT(ISNUMBER($A337)),ROW()-2&lt;Settings!$B$12),NA(),IF(COUNT(OFFSET(G337,1-Settings!$B$12,0,Settings!$B$12,1))&lt;ROUNDUP(Settings!$B$12*Settings!$B$26,0),NA(),STDEV(OFFSET(G337,1-Settings!$B$12,0,Settings!$B$12,1))*SQRT(Settings!$B$13)))</f>
        <v/>
      </c>
      <c r="L337" s="20">
        <f>IF(AND(ISNUMBER(D337),ISNUMBER(H337)),D337-H337,NA())</f>
        <v/>
      </c>
      <c r="M337" s="20">
        <f>IF(AND(ISNUMBER(E337),ISNUMBER(K337)),E337-K337,NA())</f>
        <v/>
      </c>
      <c r="N337" s="20">
        <f>IF(NOT(ISNUMBER($A337)),NA(),IF(COUNT(OFFSET(G337,1,0,Settings!$B$12,1))&lt;ROUNDUP(Settings!$B$12*Settings!$B$26,0),NA(),STDEV(OFFSET(G337,1,0,Settings!$B$12,1))*SQRT(Settings!$B$13)))</f>
        <v/>
      </c>
      <c r="O337" s="20">
        <f>IF(AND(ISNUMBER(E337),ISNUMBER(N337)),E337-N337,NA())</f>
        <v/>
      </c>
      <c r="P337" s="19">
        <f>IF(NOT(ISNUMBER($A337)),NA(),IF(OR($A337&lt;MIN(KW_TP!$A$2:$A$2501),$A337&gt;MAX(KW_TP!$A$2:$A$2501)),NA(),INDEX(KW_TP!$C$2:$C$2501,MATCH($A337,KW_TP!$A$2:$A$2501,1))))</f>
        <v/>
      </c>
      <c r="Q337" s="18">
        <f>IF(NOT(ISNUMBER($A337)),NA(),IFERROR(1*INDEX(BBG_Data!$J$2:$J$4000,MATCH($A337,BBG_Data!$I$2:$I$4000,0)),NA()))</f>
        <v/>
      </c>
      <c r="R337" s="18">
        <f>IF(NOT(ISNUMBER($A337)),NA(),IFERROR(1*INDEX(BBG_Data!$L$2:$L$4000,MATCH($A337,BBG_Data!$K$2:$K$4000,0)),NA()))</f>
        <v/>
      </c>
      <c r="S337" s="20">
        <f>IF(AND(ISNUMBER(B337),ISNUMBER(Q337),ISNUMBER(R337)),(B337-Q337-R337)*100,NA())</f>
        <v/>
      </c>
      <c r="T337" s="20">
        <f>IF(AND(ISNUMBER(B337),Settings!$B$17&gt;0),IF(ISNUMBER(INDEX($B:$B,Settings!$B$17)),(B337-INDEX($B:$B,Settings!$B$17))*100,NA()),NA())</f>
        <v/>
      </c>
      <c r="U337" s="20">
        <f>IF(AND(ISNUMBER(Q337),Settings!$B$17&gt;0),IF(ISNUMBER(INDEX($Q:$Q,Settings!$B$17)),(Q337-INDEX($Q:$Q,Settings!$B$17))*100,NA()),NA())</f>
        <v/>
      </c>
      <c r="V337" s="20">
        <f>IF(AND(ISNUMBER(R337),Settings!$B$17&gt;0),IF(ISNUMBER(INDEX($R:$R,Settings!$B$17)),(R337-INDEX($R:$R,Settings!$B$17))*100,NA()),NA())</f>
        <v/>
      </c>
      <c r="W337" s="20">
        <f>IF(AND(ISNUMBER(P337),Settings!$B$17&gt;0),IF(ISNUMBER(INDEX($P:$P,Settings!$B$17)),P337-INDEX($P:$P,Settings!$B$17),NA()),NA())</f>
        <v/>
      </c>
      <c r="X337" s="19">
        <f>IF(NOT(ISNUMBER($A337)),NA(),IF(OR($A337&lt;MIN(DKW_10Y!$A$2:$A$2918),$A337&gt;MAX(DKW_10Y!$A$2:$A$2918),Settings!$B$16&lt;MIN(DKW_10Y!$A$2:$A$2918)),NA(),(INDEX(DKW_10Y!$B$2:$B$2918,MATCH($A337,DKW_10Y!$A$2:$A$2918,1))-INDEX(DKW_10Y!$B$2:$B$2918,MATCH(Settings!$B$16,DKW_10Y!$A$2:$A$2918,1)))*100))</f>
        <v/>
      </c>
      <c r="Y337" s="19">
        <f>IF(NOT(ISNUMBER($A337)),NA(),IF(OR($A337&lt;MIN(DKW_10Y!$A$2:$A$2918),$A337&gt;MAX(DKW_10Y!$A$2:$A$2918),Settings!$B$16&lt;MIN(DKW_10Y!$A$2:$A$2918)),NA(),(INDEX(DKW_10Y!$C$2:$C$2918,MATCH($A337,DKW_10Y!$A$2:$A$2918,1))-INDEX(DKW_10Y!$C$2:$C$2918,MATCH(Settings!$B$16,DKW_10Y!$A$2:$A$2918,1)))*100))</f>
        <v/>
      </c>
      <c r="Z337" s="19">
        <f>IF(NOT(ISNUMBER($A337)),NA(),IF(OR($A337&lt;MIN(DKW_10Y!$A$2:$A$2918),$A337&gt;MAX(DKW_10Y!$A$2:$A$2918),Settings!$B$16&lt;MIN(DKW_10Y!$A$2:$A$2918)),NA(),(INDEX(DKW_10Y!$D$2:$D$2918,MATCH($A337,DKW_10Y!$A$2:$A$2918,1))-INDEX(DKW_10Y!$D$2:$D$2918,MATCH(Settings!$B$16,DKW_10Y!$A$2:$A$2918,1)))*100))</f>
        <v/>
      </c>
      <c r="AA337" s="19">
        <f>IF(NOT(ISNUMBER($A337)),NA(),IF(OR($A337&lt;MIN(DKW_10Y!$A$2:$A$2918),$A337&gt;MAX(DKW_10Y!$A$2:$A$2918),Settings!$B$16&lt;MIN(DKW_10Y!$A$2:$A$2918)),NA(),(INDEX(DKW_10Y!$E$2:$E$2918,MATCH($A337,DKW_10Y!$A$2:$A$2918,1))-INDEX(DKW_10Y!$E$2:$E$2918,MATCH(Settings!$B$16,DKW_10Y!$A$2:$A$2918,1)))*100))</f>
        <v/>
      </c>
      <c r="AB337" s="19">
        <f>IF(NOT(ISNUMBER($A337)),NA(),IF(OR($A337&lt;MIN(DKW_10Y!$A$2:$A$2918),$A337&gt;MAX(DKW_10Y!$A$2:$A$2918),Settings!$B$16&lt;MIN(DKW_10Y!$A$2:$A$2918)),NA(),(INDEX(DKW_10Y!$H$2:$H$2918,MATCH($A337,DKW_10Y!$A$2:$A$2918,1))-INDEX(DKW_10Y!$H$2:$H$2918,MATCH(Settings!$B$16,DKW_10Y!$A$2:$A$2918,1)))*100))</f>
        <v/>
      </c>
      <c r="AC337" s="18">
        <f>IF(NOT(ISNUMBER($A337)),NA(),IFERROR(1*INDEX(BBG_Data!$N$2:$N$4000,MATCH($A337,BBG_Data!$M$2:$M$4000,0)),NA()))</f>
        <v/>
      </c>
      <c r="AD337" s="18">
        <f>IF(NOT(ISNUMBER($A337)),NA(),IFERROR(1*INDEX(BBG_Data!$P$2:$P$4000,MATCH($A337,BBG_Data!$O$2:$O$4000,0)),NA()))</f>
        <v/>
      </c>
      <c r="AE337" s="18">
        <f>IF(NOT(ISNUMBER($A337)),NA(),IFERROR(1*INDEX(BBG_Data!$R$2:$R$4000,MATCH($A337,BBG_Data!$Q$2:$Q$4000,0)),NA()))</f>
        <v/>
      </c>
      <c r="AF337" s="20">
        <f>IF(AND(ISNUMBER(B337),ISNUMBER(AC337)),(B337-AC337)*100,NA())</f>
        <v/>
      </c>
      <c r="AG337" s="20">
        <f>IF(AND(ISNUMBER(AE337),ISNUMBER(AD337)),(AE337-AD337)*100,NA())</f>
        <v/>
      </c>
      <c r="AH337" s="19">
        <f>IF(NOT(ISNUMBER($A337)),NA(),IFERROR(INDEX(BBG_Data!$T$2:$T$4000,MATCH($A337,BBG_Data!$S$2:$S$4000,0))*Settings!$B$25,NA()))</f>
        <v/>
      </c>
      <c r="AI337" s="19">
        <f>IF(NOT(ISNUMBER($A337)),NA(),IFERROR(INDEX(BBG_Data!$V$2:$V$4000,MATCH($A337,BBG_Data!$U$2:$U$4000,0))*Settings!$B$25,NA()))</f>
        <v/>
      </c>
      <c r="AJ337" s="19">
        <f>IF(NOT(ISNUMBER($A337)),NA(),IFERROR(1*INDEX(BBG_Data!$X$2:$X$4000,MATCH($A337,BBG_Data!$W$2:$W$4000,0)),NA()))</f>
        <v/>
      </c>
      <c r="AK337" s="19">
        <f>IF(NOT(ISNUMBER($A337)),NA(),IFERROR(1*INDEX(BBG_Data!$Z$2:$Z$4000,MATCH($A337,BBG_Data!$Y$2:$Y$4000,0)),NA()))</f>
        <v/>
      </c>
    </row>
    <row r="338">
      <c r="A338" s="17">
        <f>IF(ISNUMBER(BBG_Data!A338),BBG_Data!A338,"")</f>
        <v/>
      </c>
      <c r="B338" s="18">
        <f>IF(AND(ISNUMBER($A338),ISNUMBER(BBG_Data!B338)),BBG_Data!B338,NA())</f>
        <v/>
      </c>
      <c r="C338" s="18">
        <f>IF(NOT(ISNUMBER($A338)),NA(),IFERROR(1*INDEX(BBG_Data!$D$2:$D$4000,MATCH($A338,BBG_Data!$C$2:$C$4000,0)),NA()))</f>
        <v/>
      </c>
      <c r="D338" s="19">
        <f>IF(NOT(ISNUMBER($A338)),NA(),IFERROR(1*INDEX(BBG_Data!$F$2:$F$4000,MATCH($A338,BBG_Data!$E$2:$E$4000,0)),NA()))</f>
        <v/>
      </c>
      <c r="E338" s="19">
        <f>IF(NOT(ISNUMBER($A338)),NA(),IFERROR(1*INDEX(BBG_Data!$H$2:$H$4000,MATCH($A338,BBG_Data!$G$2:$G$4000,0)),NA()))</f>
        <v/>
      </c>
      <c r="F338" s="20">
        <f>IF(AND(ISNUMBER(B338),ISNUMBER(B337)),IF(B338=B337,"",(B338-B337)*100),"")</f>
        <v/>
      </c>
      <c r="G338" s="20">
        <f>IF(AND(ISNUMBER(C338),ISNUMBER(C337)),IF(C338=C337,"",(C338-C337)*100),"")</f>
        <v/>
      </c>
      <c r="H338" s="20">
        <f>IF(OR(NOT(ISNUMBER($A338)),ROW()-2&lt;Settings!$B$11),NA(),IF(COUNT(OFFSET(F338,1-Settings!$B$11,0,Settings!$B$11,1))&lt;ROUNDUP(Settings!$B$11*Settings!$B$26,0),NA(),STDEV(OFFSET(F338,1-Settings!$B$11,0,Settings!$B$11,1))*SQRT(Settings!$B$13)))</f>
        <v/>
      </c>
      <c r="I338" s="20">
        <f>IF(OR(NOT(ISNUMBER($A338)),ROW()-2&lt;Settings!$B$12),NA(),IF(COUNT(OFFSET(F338,1-Settings!$B$12,0,Settings!$B$12,1))&lt;ROUNDUP(Settings!$B$12*Settings!$B$26,0),NA(),STDEV(OFFSET(F338,1-Settings!$B$12,0,Settings!$B$12,1))*SQRT(Settings!$B$13)))</f>
        <v/>
      </c>
      <c r="J338" s="20">
        <f>IF(OR(NOT(ISNUMBER($A338)),ROW()-2&lt;Settings!$B$11),NA(),IF(COUNT(OFFSET(G338,1-Settings!$B$11,0,Settings!$B$11,1))&lt;ROUNDUP(Settings!$B$11*Settings!$B$26,0),NA(),STDEV(OFFSET(G338,1-Settings!$B$11,0,Settings!$B$11,1))*SQRT(Settings!$B$13)))</f>
        <v/>
      </c>
      <c r="K338" s="20">
        <f>IF(OR(NOT(ISNUMBER($A338)),ROW()-2&lt;Settings!$B$12),NA(),IF(COUNT(OFFSET(G338,1-Settings!$B$12,0,Settings!$B$12,1))&lt;ROUNDUP(Settings!$B$12*Settings!$B$26,0),NA(),STDEV(OFFSET(G338,1-Settings!$B$12,0,Settings!$B$12,1))*SQRT(Settings!$B$13)))</f>
        <v/>
      </c>
      <c r="L338" s="20">
        <f>IF(AND(ISNUMBER(D338),ISNUMBER(H338)),D338-H338,NA())</f>
        <v/>
      </c>
      <c r="M338" s="20">
        <f>IF(AND(ISNUMBER(E338),ISNUMBER(K338)),E338-K338,NA())</f>
        <v/>
      </c>
      <c r="N338" s="20">
        <f>IF(NOT(ISNUMBER($A338)),NA(),IF(COUNT(OFFSET(G338,1,0,Settings!$B$12,1))&lt;ROUNDUP(Settings!$B$12*Settings!$B$26,0),NA(),STDEV(OFFSET(G338,1,0,Settings!$B$12,1))*SQRT(Settings!$B$13)))</f>
        <v/>
      </c>
      <c r="O338" s="20">
        <f>IF(AND(ISNUMBER(E338),ISNUMBER(N338)),E338-N338,NA())</f>
        <v/>
      </c>
      <c r="P338" s="19">
        <f>IF(NOT(ISNUMBER($A338)),NA(),IF(OR($A338&lt;MIN(KW_TP!$A$2:$A$2501),$A338&gt;MAX(KW_TP!$A$2:$A$2501)),NA(),INDEX(KW_TP!$C$2:$C$2501,MATCH($A338,KW_TP!$A$2:$A$2501,1))))</f>
        <v/>
      </c>
      <c r="Q338" s="18">
        <f>IF(NOT(ISNUMBER($A338)),NA(),IFERROR(1*INDEX(BBG_Data!$J$2:$J$4000,MATCH($A338,BBG_Data!$I$2:$I$4000,0)),NA()))</f>
        <v/>
      </c>
      <c r="R338" s="18">
        <f>IF(NOT(ISNUMBER($A338)),NA(),IFERROR(1*INDEX(BBG_Data!$L$2:$L$4000,MATCH($A338,BBG_Data!$K$2:$K$4000,0)),NA()))</f>
        <v/>
      </c>
      <c r="S338" s="20">
        <f>IF(AND(ISNUMBER(B338),ISNUMBER(Q338),ISNUMBER(R338)),(B338-Q338-R338)*100,NA())</f>
        <v/>
      </c>
      <c r="T338" s="20">
        <f>IF(AND(ISNUMBER(B338),Settings!$B$17&gt;0),IF(ISNUMBER(INDEX($B:$B,Settings!$B$17)),(B338-INDEX($B:$B,Settings!$B$17))*100,NA()),NA())</f>
        <v/>
      </c>
      <c r="U338" s="20">
        <f>IF(AND(ISNUMBER(Q338),Settings!$B$17&gt;0),IF(ISNUMBER(INDEX($Q:$Q,Settings!$B$17)),(Q338-INDEX($Q:$Q,Settings!$B$17))*100,NA()),NA())</f>
        <v/>
      </c>
      <c r="V338" s="20">
        <f>IF(AND(ISNUMBER(R338),Settings!$B$17&gt;0),IF(ISNUMBER(INDEX($R:$R,Settings!$B$17)),(R338-INDEX($R:$R,Settings!$B$17))*100,NA()),NA())</f>
        <v/>
      </c>
      <c r="W338" s="20">
        <f>IF(AND(ISNUMBER(P338),Settings!$B$17&gt;0),IF(ISNUMBER(INDEX($P:$P,Settings!$B$17)),P338-INDEX($P:$P,Settings!$B$17),NA()),NA())</f>
        <v/>
      </c>
      <c r="X338" s="19">
        <f>IF(NOT(ISNUMBER($A338)),NA(),IF(OR($A338&lt;MIN(DKW_10Y!$A$2:$A$2918),$A338&gt;MAX(DKW_10Y!$A$2:$A$2918),Settings!$B$16&lt;MIN(DKW_10Y!$A$2:$A$2918)),NA(),(INDEX(DKW_10Y!$B$2:$B$2918,MATCH($A338,DKW_10Y!$A$2:$A$2918,1))-INDEX(DKW_10Y!$B$2:$B$2918,MATCH(Settings!$B$16,DKW_10Y!$A$2:$A$2918,1)))*100))</f>
        <v/>
      </c>
      <c r="Y338" s="19">
        <f>IF(NOT(ISNUMBER($A338)),NA(),IF(OR($A338&lt;MIN(DKW_10Y!$A$2:$A$2918),$A338&gt;MAX(DKW_10Y!$A$2:$A$2918),Settings!$B$16&lt;MIN(DKW_10Y!$A$2:$A$2918)),NA(),(INDEX(DKW_10Y!$C$2:$C$2918,MATCH($A338,DKW_10Y!$A$2:$A$2918,1))-INDEX(DKW_10Y!$C$2:$C$2918,MATCH(Settings!$B$16,DKW_10Y!$A$2:$A$2918,1)))*100))</f>
        <v/>
      </c>
      <c r="Z338" s="19">
        <f>IF(NOT(ISNUMBER($A338)),NA(),IF(OR($A338&lt;MIN(DKW_10Y!$A$2:$A$2918),$A338&gt;MAX(DKW_10Y!$A$2:$A$2918),Settings!$B$16&lt;MIN(DKW_10Y!$A$2:$A$2918)),NA(),(INDEX(DKW_10Y!$D$2:$D$2918,MATCH($A338,DKW_10Y!$A$2:$A$2918,1))-INDEX(DKW_10Y!$D$2:$D$2918,MATCH(Settings!$B$16,DKW_10Y!$A$2:$A$2918,1)))*100))</f>
        <v/>
      </c>
      <c r="AA338" s="19">
        <f>IF(NOT(ISNUMBER($A338)),NA(),IF(OR($A338&lt;MIN(DKW_10Y!$A$2:$A$2918),$A338&gt;MAX(DKW_10Y!$A$2:$A$2918),Settings!$B$16&lt;MIN(DKW_10Y!$A$2:$A$2918)),NA(),(INDEX(DKW_10Y!$E$2:$E$2918,MATCH($A338,DKW_10Y!$A$2:$A$2918,1))-INDEX(DKW_10Y!$E$2:$E$2918,MATCH(Settings!$B$16,DKW_10Y!$A$2:$A$2918,1)))*100))</f>
        <v/>
      </c>
      <c r="AB338" s="19">
        <f>IF(NOT(ISNUMBER($A338)),NA(),IF(OR($A338&lt;MIN(DKW_10Y!$A$2:$A$2918),$A338&gt;MAX(DKW_10Y!$A$2:$A$2918),Settings!$B$16&lt;MIN(DKW_10Y!$A$2:$A$2918)),NA(),(INDEX(DKW_10Y!$H$2:$H$2918,MATCH($A338,DKW_10Y!$A$2:$A$2918,1))-INDEX(DKW_10Y!$H$2:$H$2918,MATCH(Settings!$B$16,DKW_10Y!$A$2:$A$2918,1)))*100))</f>
        <v/>
      </c>
      <c r="AC338" s="18">
        <f>IF(NOT(ISNUMBER($A338)),NA(),IFERROR(1*INDEX(BBG_Data!$N$2:$N$4000,MATCH($A338,BBG_Data!$M$2:$M$4000,0)),NA()))</f>
        <v/>
      </c>
      <c r="AD338" s="18">
        <f>IF(NOT(ISNUMBER($A338)),NA(),IFERROR(1*INDEX(BBG_Data!$P$2:$P$4000,MATCH($A338,BBG_Data!$O$2:$O$4000,0)),NA()))</f>
        <v/>
      </c>
      <c r="AE338" s="18">
        <f>IF(NOT(ISNUMBER($A338)),NA(),IFERROR(1*INDEX(BBG_Data!$R$2:$R$4000,MATCH($A338,BBG_Data!$Q$2:$Q$4000,0)),NA()))</f>
        <v/>
      </c>
      <c r="AF338" s="20">
        <f>IF(AND(ISNUMBER(B338),ISNUMBER(AC338)),(B338-AC338)*100,NA())</f>
        <v/>
      </c>
      <c r="AG338" s="20">
        <f>IF(AND(ISNUMBER(AE338),ISNUMBER(AD338)),(AE338-AD338)*100,NA())</f>
        <v/>
      </c>
      <c r="AH338" s="19">
        <f>IF(NOT(ISNUMBER($A338)),NA(),IFERROR(INDEX(BBG_Data!$T$2:$T$4000,MATCH($A338,BBG_Data!$S$2:$S$4000,0))*Settings!$B$25,NA()))</f>
        <v/>
      </c>
      <c r="AI338" s="19">
        <f>IF(NOT(ISNUMBER($A338)),NA(),IFERROR(INDEX(BBG_Data!$V$2:$V$4000,MATCH($A338,BBG_Data!$U$2:$U$4000,0))*Settings!$B$25,NA()))</f>
        <v/>
      </c>
      <c r="AJ338" s="19">
        <f>IF(NOT(ISNUMBER($A338)),NA(),IFERROR(1*INDEX(BBG_Data!$X$2:$X$4000,MATCH($A338,BBG_Data!$W$2:$W$4000,0)),NA()))</f>
        <v/>
      </c>
      <c r="AK338" s="19">
        <f>IF(NOT(ISNUMBER($A338)),NA(),IFERROR(1*INDEX(BBG_Data!$Z$2:$Z$4000,MATCH($A338,BBG_Data!$Y$2:$Y$4000,0)),NA()))</f>
        <v/>
      </c>
    </row>
    <row r="339">
      <c r="A339" s="17">
        <f>IF(ISNUMBER(BBG_Data!A339),BBG_Data!A339,"")</f>
        <v/>
      </c>
      <c r="B339" s="18">
        <f>IF(AND(ISNUMBER($A339),ISNUMBER(BBG_Data!B339)),BBG_Data!B339,NA())</f>
        <v/>
      </c>
      <c r="C339" s="18">
        <f>IF(NOT(ISNUMBER($A339)),NA(),IFERROR(1*INDEX(BBG_Data!$D$2:$D$4000,MATCH($A339,BBG_Data!$C$2:$C$4000,0)),NA()))</f>
        <v/>
      </c>
      <c r="D339" s="19">
        <f>IF(NOT(ISNUMBER($A339)),NA(),IFERROR(1*INDEX(BBG_Data!$F$2:$F$4000,MATCH($A339,BBG_Data!$E$2:$E$4000,0)),NA()))</f>
        <v/>
      </c>
      <c r="E339" s="19">
        <f>IF(NOT(ISNUMBER($A339)),NA(),IFERROR(1*INDEX(BBG_Data!$H$2:$H$4000,MATCH($A339,BBG_Data!$G$2:$G$4000,0)),NA()))</f>
        <v/>
      </c>
      <c r="F339" s="20">
        <f>IF(AND(ISNUMBER(B339),ISNUMBER(B338)),IF(B339=B338,"",(B339-B338)*100),"")</f>
        <v/>
      </c>
      <c r="G339" s="20">
        <f>IF(AND(ISNUMBER(C339),ISNUMBER(C338)),IF(C339=C338,"",(C339-C338)*100),"")</f>
        <v/>
      </c>
      <c r="H339" s="20">
        <f>IF(OR(NOT(ISNUMBER($A339)),ROW()-2&lt;Settings!$B$11),NA(),IF(COUNT(OFFSET(F339,1-Settings!$B$11,0,Settings!$B$11,1))&lt;ROUNDUP(Settings!$B$11*Settings!$B$26,0),NA(),STDEV(OFFSET(F339,1-Settings!$B$11,0,Settings!$B$11,1))*SQRT(Settings!$B$13)))</f>
        <v/>
      </c>
      <c r="I339" s="20">
        <f>IF(OR(NOT(ISNUMBER($A339)),ROW()-2&lt;Settings!$B$12),NA(),IF(COUNT(OFFSET(F339,1-Settings!$B$12,0,Settings!$B$12,1))&lt;ROUNDUP(Settings!$B$12*Settings!$B$26,0),NA(),STDEV(OFFSET(F339,1-Settings!$B$12,0,Settings!$B$12,1))*SQRT(Settings!$B$13)))</f>
        <v/>
      </c>
      <c r="J339" s="20">
        <f>IF(OR(NOT(ISNUMBER($A339)),ROW()-2&lt;Settings!$B$11),NA(),IF(COUNT(OFFSET(G339,1-Settings!$B$11,0,Settings!$B$11,1))&lt;ROUNDUP(Settings!$B$11*Settings!$B$26,0),NA(),STDEV(OFFSET(G339,1-Settings!$B$11,0,Settings!$B$11,1))*SQRT(Settings!$B$13)))</f>
        <v/>
      </c>
      <c r="K339" s="20">
        <f>IF(OR(NOT(ISNUMBER($A339)),ROW()-2&lt;Settings!$B$12),NA(),IF(COUNT(OFFSET(G339,1-Settings!$B$12,0,Settings!$B$12,1))&lt;ROUNDUP(Settings!$B$12*Settings!$B$26,0),NA(),STDEV(OFFSET(G339,1-Settings!$B$12,0,Settings!$B$12,1))*SQRT(Settings!$B$13)))</f>
        <v/>
      </c>
      <c r="L339" s="20">
        <f>IF(AND(ISNUMBER(D339),ISNUMBER(H339)),D339-H339,NA())</f>
        <v/>
      </c>
      <c r="M339" s="20">
        <f>IF(AND(ISNUMBER(E339),ISNUMBER(K339)),E339-K339,NA())</f>
        <v/>
      </c>
      <c r="N339" s="20">
        <f>IF(NOT(ISNUMBER($A339)),NA(),IF(COUNT(OFFSET(G339,1,0,Settings!$B$12,1))&lt;ROUNDUP(Settings!$B$12*Settings!$B$26,0),NA(),STDEV(OFFSET(G339,1,0,Settings!$B$12,1))*SQRT(Settings!$B$13)))</f>
        <v/>
      </c>
      <c r="O339" s="20">
        <f>IF(AND(ISNUMBER(E339),ISNUMBER(N339)),E339-N339,NA())</f>
        <v/>
      </c>
      <c r="P339" s="19">
        <f>IF(NOT(ISNUMBER($A339)),NA(),IF(OR($A339&lt;MIN(KW_TP!$A$2:$A$2501),$A339&gt;MAX(KW_TP!$A$2:$A$2501)),NA(),INDEX(KW_TP!$C$2:$C$2501,MATCH($A339,KW_TP!$A$2:$A$2501,1))))</f>
        <v/>
      </c>
      <c r="Q339" s="18">
        <f>IF(NOT(ISNUMBER($A339)),NA(),IFERROR(1*INDEX(BBG_Data!$J$2:$J$4000,MATCH($A339,BBG_Data!$I$2:$I$4000,0)),NA()))</f>
        <v/>
      </c>
      <c r="R339" s="18">
        <f>IF(NOT(ISNUMBER($A339)),NA(),IFERROR(1*INDEX(BBG_Data!$L$2:$L$4000,MATCH($A339,BBG_Data!$K$2:$K$4000,0)),NA()))</f>
        <v/>
      </c>
      <c r="S339" s="20">
        <f>IF(AND(ISNUMBER(B339),ISNUMBER(Q339),ISNUMBER(R339)),(B339-Q339-R339)*100,NA())</f>
        <v/>
      </c>
      <c r="T339" s="20">
        <f>IF(AND(ISNUMBER(B339),Settings!$B$17&gt;0),IF(ISNUMBER(INDEX($B:$B,Settings!$B$17)),(B339-INDEX($B:$B,Settings!$B$17))*100,NA()),NA())</f>
        <v/>
      </c>
      <c r="U339" s="20">
        <f>IF(AND(ISNUMBER(Q339),Settings!$B$17&gt;0),IF(ISNUMBER(INDEX($Q:$Q,Settings!$B$17)),(Q339-INDEX($Q:$Q,Settings!$B$17))*100,NA()),NA())</f>
        <v/>
      </c>
      <c r="V339" s="20">
        <f>IF(AND(ISNUMBER(R339),Settings!$B$17&gt;0),IF(ISNUMBER(INDEX($R:$R,Settings!$B$17)),(R339-INDEX($R:$R,Settings!$B$17))*100,NA()),NA())</f>
        <v/>
      </c>
      <c r="W339" s="20">
        <f>IF(AND(ISNUMBER(P339),Settings!$B$17&gt;0),IF(ISNUMBER(INDEX($P:$P,Settings!$B$17)),P339-INDEX($P:$P,Settings!$B$17),NA()),NA())</f>
        <v/>
      </c>
      <c r="X339" s="19">
        <f>IF(NOT(ISNUMBER($A339)),NA(),IF(OR($A339&lt;MIN(DKW_10Y!$A$2:$A$2918),$A339&gt;MAX(DKW_10Y!$A$2:$A$2918),Settings!$B$16&lt;MIN(DKW_10Y!$A$2:$A$2918)),NA(),(INDEX(DKW_10Y!$B$2:$B$2918,MATCH($A339,DKW_10Y!$A$2:$A$2918,1))-INDEX(DKW_10Y!$B$2:$B$2918,MATCH(Settings!$B$16,DKW_10Y!$A$2:$A$2918,1)))*100))</f>
        <v/>
      </c>
      <c r="Y339" s="19">
        <f>IF(NOT(ISNUMBER($A339)),NA(),IF(OR($A339&lt;MIN(DKW_10Y!$A$2:$A$2918),$A339&gt;MAX(DKW_10Y!$A$2:$A$2918),Settings!$B$16&lt;MIN(DKW_10Y!$A$2:$A$2918)),NA(),(INDEX(DKW_10Y!$C$2:$C$2918,MATCH($A339,DKW_10Y!$A$2:$A$2918,1))-INDEX(DKW_10Y!$C$2:$C$2918,MATCH(Settings!$B$16,DKW_10Y!$A$2:$A$2918,1)))*100))</f>
        <v/>
      </c>
      <c r="Z339" s="19">
        <f>IF(NOT(ISNUMBER($A339)),NA(),IF(OR($A339&lt;MIN(DKW_10Y!$A$2:$A$2918),$A339&gt;MAX(DKW_10Y!$A$2:$A$2918),Settings!$B$16&lt;MIN(DKW_10Y!$A$2:$A$2918)),NA(),(INDEX(DKW_10Y!$D$2:$D$2918,MATCH($A339,DKW_10Y!$A$2:$A$2918,1))-INDEX(DKW_10Y!$D$2:$D$2918,MATCH(Settings!$B$16,DKW_10Y!$A$2:$A$2918,1)))*100))</f>
        <v/>
      </c>
      <c r="AA339" s="19">
        <f>IF(NOT(ISNUMBER($A339)),NA(),IF(OR($A339&lt;MIN(DKW_10Y!$A$2:$A$2918),$A339&gt;MAX(DKW_10Y!$A$2:$A$2918),Settings!$B$16&lt;MIN(DKW_10Y!$A$2:$A$2918)),NA(),(INDEX(DKW_10Y!$E$2:$E$2918,MATCH($A339,DKW_10Y!$A$2:$A$2918,1))-INDEX(DKW_10Y!$E$2:$E$2918,MATCH(Settings!$B$16,DKW_10Y!$A$2:$A$2918,1)))*100))</f>
        <v/>
      </c>
      <c r="AB339" s="19">
        <f>IF(NOT(ISNUMBER($A339)),NA(),IF(OR($A339&lt;MIN(DKW_10Y!$A$2:$A$2918),$A339&gt;MAX(DKW_10Y!$A$2:$A$2918),Settings!$B$16&lt;MIN(DKW_10Y!$A$2:$A$2918)),NA(),(INDEX(DKW_10Y!$H$2:$H$2918,MATCH($A339,DKW_10Y!$A$2:$A$2918,1))-INDEX(DKW_10Y!$H$2:$H$2918,MATCH(Settings!$B$16,DKW_10Y!$A$2:$A$2918,1)))*100))</f>
        <v/>
      </c>
      <c r="AC339" s="18">
        <f>IF(NOT(ISNUMBER($A339)),NA(),IFERROR(1*INDEX(BBG_Data!$N$2:$N$4000,MATCH($A339,BBG_Data!$M$2:$M$4000,0)),NA()))</f>
        <v/>
      </c>
      <c r="AD339" s="18">
        <f>IF(NOT(ISNUMBER($A339)),NA(),IFERROR(1*INDEX(BBG_Data!$P$2:$P$4000,MATCH($A339,BBG_Data!$O$2:$O$4000,0)),NA()))</f>
        <v/>
      </c>
      <c r="AE339" s="18">
        <f>IF(NOT(ISNUMBER($A339)),NA(),IFERROR(1*INDEX(BBG_Data!$R$2:$R$4000,MATCH($A339,BBG_Data!$Q$2:$Q$4000,0)),NA()))</f>
        <v/>
      </c>
      <c r="AF339" s="20">
        <f>IF(AND(ISNUMBER(B339),ISNUMBER(AC339)),(B339-AC339)*100,NA())</f>
        <v/>
      </c>
      <c r="AG339" s="20">
        <f>IF(AND(ISNUMBER(AE339),ISNUMBER(AD339)),(AE339-AD339)*100,NA())</f>
        <v/>
      </c>
      <c r="AH339" s="19">
        <f>IF(NOT(ISNUMBER($A339)),NA(),IFERROR(INDEX(BBG_Data!$T$2:$T$4000,MATCH($A339,BBG_Data!$S$2:$S$4000,0))*Settings!$B$25,NA()))</f>
        <v/>
      </c>
      <c r="AI339" s="19">
        <f>IF(NOT(ISNUMBER($A339)),NA(),IFERROR(INDEX(BBG_Data!$V$2:$V$4000,MATCH($A339,BBG_Data!$U$2:$U$4000,0))*Settings!$B$25,NA()))</f>
        <v/>
      </c>
      <c r="AJ339" s="19">
        <f>IF(NOT(ISNUMBER($A339)),NA(),IFERROR(1*INDEX(BBG_Data!$X$2:$X$4000,MATCH($A339,BBG_Data!$W$2:$W$4000,0)),NA()))</f>
        <v/>
      </c>
      <c r="AK339" s="19">
        <f>IF(NOT(ISNUMBER($A339)),NA(),IFERROR(1*INDEX(BBG_Data!$Z$2:$Z$4000,MATCH($A339,BBG_Data!$Y$2:$Y$4000,0)),NA()))</f>
        <v/>
      </c>
    </row>
    <row r="340">
      <c r="A340" s="17">
        <f>IF(ISNUMBER(BBG_Data!A340),BBG_Data!A340,"")</f>
        <v/>
      </c>
      <c r="B340" s="18">
        <f>IF(AND(ISNUMBER($A340),ISNUMBER(BBG_Data!B340)),BBG_Data!B340,NA())</f>
        <v/>
      </c>
      <c r="C340" s="18">
        <f>IF(NOT(ISNUMBER($A340)),NA(),IFERROR(1*INDEX(BBG_Data!$D$2:$D$4000,MATCH($A340,BBG_Data!$C$2:$C$4000,0)),NA()))</f>
        <v/>
      </c>
      <c r="D340" s="19">
        <f>IF(NOT(ISNUMBER($A340)),NA(),IFERROR(1*INDEX(BBG_Data!$F$2:$F$4000,MATCH($A340,BBG_Data!$E$2:$E$4000,0)),NA()))</f>
        <v/>
      </c>
      <c r="E340" s="19">
        <f>IF(NOT(ISNUMBER($A340)),NA(),IFERROR(1*INDEX(BBG_Data!$H$2:$H$4000,MATCH($A340,BBG_Data!$G$2:$G$4000,0)),NA()))</f>
        <v/>
      </c>
      <c r="F340" s="20">
        <f>IF(AND(ISNUMBER(B340),ISNUMBER(B339)),IF(B340=B339,"",(B340-B339)*100),"")</f>
        <v/>
      </c>
      <c r="G340" s="20">
        <f>IF(AND(ISNUMBER(C340),ISNUMBER(C339)),IF(C340=C339,"",(C340-C339)*100),"")</f>
        <v/>
      </c>
      <c r="H340" s="20">
        <f>IF(OR(NOT(ISNUMBER($A340)),ROW()-2&lt;Settings!$B$11),NA(),IF(COUNT(OFFSET(F340,1-Settings!$B$11,0,Settings!$B$11,1))&lt;ROUNDUP(Settings!$B$11*Settings!$B$26,0),NA(),STDEV(OFFSET(F340,1-Settings!$B$11,0,Settings!$B$11,1))*SQRT(Settings!$B$13)))</f>
        <v/>
      </c>
      <c r="I340" s="20">
        <f>IF(OR(NOT(ISNUMBER($A340)),ROW()-2&lt;Settings!$B$12),NA(),IF(COUNT(OFFSET(F340,1-Settings!$B$12,0,Settings!$B$12,1))&lt;ROUNDUP(Settings!$B$12*Settings!$B$26,0),NA(),STDEV(OFFSET(F340,1-Settings!$B$12,0,Settings!$B$12,1))*SQRT(Settings!$B$13)))</f>
        <v/>
      </c>
      <c r="J340" s="20">
        <f>IF(OR(NOT(ISNUMBER($A340)),ROW()-2&lt;Settings!$B$11),NA(),IF(COUNT(OFFSET(G340,1-Settings!$B$11,0,Settings!$B$11,1))&lt;ROUNDUP(Settings!$B$11*Settings!$B$26,0),NA(),STDEV(OFFSET(G340,1-Settings!$B$11,0,Settings!$B$11,1))*SQRT(Settings!$B$13)))</f>
        <v/>
      </c>
      <c r="K340" s="20">
        <f>IF(OR(NOT(ISNUMBER($A340)),ROW()-2&lt;Settings!$B$12),NA(),IF(COUNT(OFFSET(G340,1-Settings!$B$12,0,Settings!$B$12,1))&lt;ROUNDUP(Settings!$B$12*Settings!$B$26,0),NA(),STDEV(OFFSET(G340,1-Settings!$B$12,0,Settings!$B$12,1))*SQRT(Settings!$B$13)))</f>
        <v/>
      </c>
      <c r="L340" s="20">
        <f>IF(AND(ISNUMBER(D340),ISNUMBER(H340)),D340-H340,NA())</f>
        <v/>
      </c>
      <c r="M340" s="20">
        <f>IF(AND(ISNUMBER(E340),ISNUMBER(K340)),E340-K340,NA())</f>
        <v/>
      </c>
      <c r="N340" s="20">
        <f>IF(NOT(ISNUMBER($A340)),NA(),IF(COUNT(OFFSET(G340,1,0,Settings!$B$12,1))&lt;ROUNDUP(Settings!$B$12*Settings!$B$26,0),NA(),STDEV(OFFSET(G340,1,0,Settings!$B$12,1))*SQRT(Settings!$B$13)))</f>
        <v/>
      </c>
      <c r="O340" s="20">
        <f>IF(AND(ISNUMBER(E340),ISNUMBER(N340)),E340-N340,NA())</f>
        <v/>
      </c>
      <c r="P340" s="19">
        <f>IF(NOT(ISNUMBER($A340)),NA(),IF(OR($A340&lt;MIN(KW_TP!$A$2:$A$2501),$A340&gt;MAX(KW_TP!$A$2:$A$2501)),NA(),INDEX(KW_TP!$C$2:$C$2501,MATCH($A340,KW_TP!$A$2:$A$2501,1))))</f>
        <v/>
      </c>
      <c r="Q340" s="18">
        <f>IF(NOT(ISNUMBER($A340)),NA(),IFERROR(1*INDEX(BBG_Data!$J$2:$J$4000,MATCH($A340,BBG_Data!$I$2:$I$4000,0)),NA()))</f>
        <v/>
      </c>
      <c r="R340" s="18">
        <f>IF(NOT(ISNUMBER($A340)),NA(),IFERROR(1*INDEX(BBG_Data!$L$2:$L$4000,MATCH($A340,BBG_Data!$K$2:$K$4000,0)),NA()))</f>
        <v/>
      </c>
      <c r="S340" s="20">
        <f>IF(AND(ISNUMBER(B340),ISNUMBER(Q340),ISNUMBER(R340)),(B340-Q340-R340)*100,NA())</f>
        <v/>
      </c>
      <c r="T340" s="20">
        <f>IF(AND(ISNUMBER(B340),Settings!$B$17&gt;0),IF(ISNUMBER(INDEX($B:$B,Settings!$B$17)),(B340-INDEX($B:$B,Settings!$B$17))*100,NA()),NA())</f>
        <v/>
      </c>
      <c r="U340" s="20">
        <f>IF(AND(ISNUMBER(Q340),Settings!$B$17&gt;0),IF(ISNUMBER(INDEX($Q:$Q,Settings!$B$17)),(Q340-INDEX($Q:$Q,Settings!$B$17))*100,NA()),NA())</f>
        <v/>
      </c>
      <c r="V340" s="20">
        <f>IF(AND(ISNUMBER(R340),Settings!$B$17&gt;0),IF(ISNUMBER(INDEX($R:$R,Settings!$B$17)),(R340-INDEX($R:$R,Settings!$B$17))*100,NA()),NA())</f>
        <v/>
      </c>
      <c r="W340" s="20">
        <f>IF(AND(ISNUMBER(P340),Settings!$B$17&gt;0),IF(ISNUMBER(INDEX($P:$P,Settings!$B$17)),P340-INDEX($P:$P,Settings!$B$17),NA()),NA())</f>
        <v/>
      </c>
      <c r="X340" s="19">
        <f>IF(NOT(ISNUMBER($A340)),NA(),IF(OR($A340&lt;MIN(DKW_10Y!$A$2:$A$2918),$A340&gt;MAX(DKW_10Y!$A$2:$A$2918),Settings!$B$16&lt;MIN(DKW_10Y!$A$2:$A$2918)),NA(),(INDEX(DKW_10Y!$B$2:$B$2918,MATCH($A340,DKW_10Y!$A$2:$A$2918,1))-INDEX(DKW_10Y!$B$2:$B$2918,MATCH(Settings!$B$16,DKW_10Y!$A$2:$A$2918,1)))*100))</f>
        <v/>
      </c>
      <c r="Y340" s="19">
        <f>IF(NOT(ISNUMBER($A340)),NA(),IF(OR($A340&lt;MIN(DKW_10Y!$A$2:$A$2918),$A340&gt;MAX(DKW_10Y!$A$2:$A$2918),Settings!$B$16&lt;MIN(DKW_10Y!$A$2:$A$2918)),NA(),(INDEX(DKW_10Y!$C$2:$C$2918,MATCH($A340,DKW_10Y!$A$2:$A$2918,1))-INDEX(DKW_10Y!$C$2:$C$2918,MATCH(Settings!$B$16,DKW_10Y!$A$2:$A$2918,1)))*100))</f>
        <v/>
      </c>
      <c r="Z340" s="19">
        <f>IF(NOT(ISNUMBER($A340)),NA(),IF(OR($A340&lt;MIN(DKW_10Y!$A$2:$A$2918),$A340&gt;MAX(DKW_10Y!$A$2:$A$2918),Settings!$B$16&lt;MIN(DKW_10Y!$A$2:$A$2918)),NA(),(INDEX(DKW_10Y!$D$2:$D$2918,MATCH($A340,DKW_10Y!$A$2:$A$2918,1))-INDEX(DKW_10Y!$D$2:$D$2918,MATCH(Settings!$B$16,DKW_10Y!$A$2:$A$2918,1)))*100))</f>
        <v/>
      </c>
      <c r="AA340" s="19">
        <f>IF(NOT(ISNUMBER($A340)),NA(),IF(OR($A340&lt;MIN(DKW_10Y!$A$2:$A$2918),$A340&gt;MAX(DKW_10Y!$A$2:$A$2918),Settings!$B$16&lt;MIN(DKW_10Y!$A$2:$A$2918)),NA(),(INDEX(DKW_10Y!$E$2:$E$2918,MATCH($A340,DKW_10Y!$A$2:$A$2918,1))-INDEX(DKW_10Y!$E$2:$E$2918,MATCH(Settings!$B$16,DKW_10Y!$A$2:$A$2918,1)))*100))</f>
        <v/>
      </c>
      <c r="AB340" s="19">
        <f>IF(NOT(ISNUMBER($A340)),NA(),IF(OR($A340&lt;MIN(DKW_10Y!$A$2:$A$2918),$A340&gt;MAX(DKW_10Y!$A$2:$A$2918),Settings!$B$16&lt;MIN(DKW_10Y!$A$2:$A$2918)),NA(),(INDEX(DKW_10Y!$H$2:$H$2918,MATCH($A340,DKW_10Y!$A$2:$A$2918,1))-INDEX(DKW_10Y!$H$2:$H$2918,MATCH(Settings!$B$16,DKW_10Y!$A$2:$A$2918,1)))*100))</f>
        <v/>
      </c>
      <c r="AC340" s="18">
        <f>IF(NOT(ISNUMBER($A340)),NA(),IFERROR(1*INDEX(BBG_Data!$N$2:$N$4000,MATCH($A340,BBG_Data!$M$2:$M$4000,0)),NA()))</f>
        <v/>
      </c>
      <c r="AD340" s="18">
        <f>IF(NOT(ISNUMBER($A340)),NA(),IFERROR(1*INDEX(BBG_Data!$P$2:$P$4000,MATCH($A340,BBG_Data!$O$2:$O$4000,0)),NA()))</f>
        <v/>
      </c>
      <c r="AE340" s="18">
        <f>IF(NOT(ISNUMBER($A340)),NA(),IFERROR(1*INDEX(BBG_Data!$R$2:$R$4000,MATCH($A340,BBG_Data!$Q$2:$Q$4000,0)),NA()))</f>
        <v/>
      </c>
      <c r="AF340" s="20">
        <f>IF(AND(ISNUMBER(B340),ISNUMBER(AC340)),(B340-AC340)*100,NA())</f>
        <v/>
      </c>
      <c r="AG340" s="20">
        <f>IF(AND(ISNUMBER(AE340),ISNUMBER(AD340)),(AE340-AD340)*100,NA())</f>
        <v/>
      </c>
      <c r="AH340" s="19">
        <f>IF(NOT(ISNUMBER($A340)),NA(),IFERROR(INDEX(BBG_Data!$T$2:$T$4000,MATCH($A340,BBG_Data!$S$2:$S$4000,0))*Settings!$B$25,NA()))</f>
        <v/>
      </c>
      <c r="AI340" s="19">
        <f>IF(NOT(ISNUMBER($A340)),NA(),IFERROR(INDEX(BBG_Data!$V$2:$V$4000,MATCH($A340,BBG_Data!$U$2:$U$4000,0))*Settings!$B$25,NA()))</f>
        <v/>
      </c>
      <c r="AJ340" s="19">
        <f>IF(NOT(ISNUMBER($A340)),NA(),IFERROR(1*INDEX(BBG_Data!$X$2:$X$4000,MATCH($A340,BBG_Data!$W$2:$W$4000,0)),NA()))</f>
        <v/>
      </c>
      <c r="AK340" s="19">
        <f>IF(NOT(ISNUMBER($A340)),NA(),IFERROR(1*INDEX(BBG_Data!$Z$2:$Z$4000,MATCH($A340,BBG_Data!$Y$2:$Y$4000,0)),NA()))</f>
        <v/>
      </c>
    </row>
    <row r="341">
      <c r="A341" s="17">
        <f>IF(ISNUMBER(BBG_Data!A341),BBG_Data!A341,"")</f>
        <v/>
      </c>
      <c r="B341" s="18">
        <f>IF(AND(ISNUMBER($A341),ISNUMBER(BBG_Data!B341)),BBG_Data!B341,NA())</f>
        <v/>
      </c>
      <c r="C341" s="18">
        <f>IF(NOT(ISNUMBER($A341)),NA(),IFERROR(1*INDEX(BBG_Data!$D$2:$D$4000,MATCH($A341,BBG_Data!$C$2:$C$4000,0)),NA()))</f>
        <v/>
      </c>
      <c r="D341" s="19">
        <f>IF(NOT(ISNUMBER($A341)),NA(),IFERROR(1*INDEX(BBG_Data!$F$2:$F$4000,MATCH($A341,BBG_Data!$E$2:$E$4000,0)),NA()))</f>
        <v/>
      </c>
      <c r="E341" s="19">
        <f>IF(NOT(ISNUMBER($A341)),NA(),IFERROR(1*INDEX(BBG_Data!$H$2:$H$4000,MATCH($A341,BBG_Data!$G$2:$G$4000,0)),NA()))</f>
        <v/>
      </c>
      <c r="F341" s="20">
        <f>IF(AND(ISNUMBER(B341),ISNUMBER(B340)),IF(B341=B340,"",(B341-B340)*100),"")</f>
        <v/>
      </c>
      <c r="G341" s="20">
        <f>IF(AND(ISNUMBER(C341),ISNUMBER(C340)),IF(C341=C340,"",(C341-C340)*100),"")</f>
        <v/>
      </c>
      <c r="H341" s="20">
        <f>IF(OR(NOT(ISNUMBER($A341)),ROW()-2&lt;Settings!$B$11),NA(),IF(COUNT(OFFSET(F341,1-Settings!$B$11,0,Settings!$B$11,1))&lt;ROUNDUP(Settings!$B$11*Settings!$B$26,0),NA(),STDEV(OFFSET(F341,1-Settings!$B$11,0,Settings!$B$11,1))*SQRT(Settings!$B$13)))</f>
        <v/>
      </c>
      <c r="I341" s="20">
        <f>IF(OR(NOT(ISNUMBER($A341)),ROW()-2&lt;Settings!$B$12),NA(),IF(COUNT(OFFSET(F341,1-Settings!$B$12,0,Settings!$B$12,1))&lt;ROUNDUP(Settings!$B$12*Settings!$B$26,0),NA(),STDEV(OFFSET(F341,1-Settings!$B$12,0,Settings!$B$12,1))*SQRT(Settings!$B$13)))</f>
        <v/>
      </c>
      <c r="J341" s="20">
        <f>IF(OR(NOT(ISNUMBER($A341)),ROW()-2&lt;Settings!$B$11),NA(),IF(COUNT(OFFSET(G341,1-Settings!$B$11,0,Settings!$B$11,1))&lt;ROUNDUP(Settings!$B$11*Settings!$B$26,0),NA(),STDEV(OFFSET(G341,1-Settings!$B$11,0,Settings!$B$11,1))*SQRT(Settings!$B$13)))</f>
        <v/>
      </c>
      <c r="K341" s="20">
        <f>IF(OR(NOT(ISNUMBER($A341)),ROW()-2&lt;Settings!$B$12),NA(),IF(COUNT(OFFSET(G341,1-Settings!$B$12,0,Settings!$B$12,1))&lt;ROUNDUP(Settings!$B$12*Settings!$B$26,0),NA(),STDEV(OFFSET(G341,1-Settings!$B$12,0,Settings!$B$12,1))*SQRT(Settings!$B$13)))</f>
        <v/>
      </c>
      <c r="L341" s="20">
        <f>IF(AND(ISNUMBER(D341),ISNUMBER(H341)),D341-H341,NA())</f>
        <v/>
      </c>
      <c r="M341" s="20">
        <f>IF(AND(ISNUMBER(E341),ISNUMBER(K341)),E341-K341,NA())</f>
        <v/>
      </c>
      <c r="N341" s="20">
        <f>IF(NOT(ISNUMBER($A341)),NA(),IF(COUNT(OFFSET(G341,1,0,Settings!$B$12,1))&lt;ROUNDUP(Settings!$B$12*Settings!$B$26,0),NA(),STDEV(OFFSET(G341,1,0,Settings!$B$12,1))*SQRT(Settings!$B$13)))</f>
        <v/>
      </c>
      <c r="O341" s="20">
        <f>IF(AND(ISNUMBER(E341),ISNUMBER(N341)),E341-N341,NA())</f>
        <v/>
      </c>
      <c r="P341" s="19">
        <f>IF(NOT(ISNUMBER($A341)),NA(),IF(OR($A341&lt;MIN(KW_TP!$A$2:$A$2501),$A341&gt;MAX(KW_TP!$A$2:$A$2501)),NA(),INDEX(KW_TP!$C$2:$C$2501,MATCH($A341,KW_TP!$A$2:$A$2501,1))))</f>
        <v/>
      </c>
      <c r="Q341" s="18">
        <f>IF(NOT(ISNUMBER($A341)),NA(),IFERROR(1*INDEX(BBG_Data!$J$2:$J$4000,MATCH($A341,BBG_Data!$I$2:$I$4000,0)),NA()))</f>
        <v/>
      </c>
      <c r="R341" s="18">
        <f>IF(NOT(ISNUMBER($A341)),NA(),IFERROR(1*INDEX(BBG_Data!$L$2:$L$4000,MATCH($A341,BBG_Data!$K$2:$K$4000,0)),NA()))</f>
        <v/>
      </c>
      <c r="S341" s="20">
        <f>IF(AND(ISNUMBER(B341),ISNUMBER(Q341),ISNUMBER(R341)),(B341-Q341-R341)*100,NA())</f>
        <v/>
      </c>
      <c r="T341" s="20">
        <f>IF(AND(ISNUMBER(B341),Settings!$B$17&gt;0),IF(ISNUMBER(INDEX($B:$B,Settings!$B$17)),(B341-INDEX($B:$B,Settings!$B$17))*100,NA()),NA())</f>
        <v/>
      </c>
      <c r="U341" s="20">
        <f>IF(AND(ISNUMBER(Q341),Settings!$B$17&gt;0),IF(ISNUMBER(INDEX($Q:$Q,Settings!$B$17)),(Q341-INDEX($Q:$Q,Settings!$B$17))*100,NA()),NA())</f>
        <v/>
      </c>
      <c r="V341" s="20">
        <f>IF(AND(ISNUMBER(R341),Settings!$B$17&gt;0),IF(ISNUMBER(INDEX($R:$R,Settings!$B$17)),(R341-INDEX($R:$R,Settings!$B$17))*100,NA()),NA())</f>
        <v/>
      </c>
      <c r="W341" s="20">
        <f>IF(AND(ISNUMBER(P341),Settings!$B$17&gt;0),IF(ISNUMBER(INDEX($P:$P,Settings!$B$17)),P341-INDEX($P:$P,Settings!$B$17),NA()),NA())</f>
        <v/>
      </c>
      <c r="X341" s="19">
        <f>IF(NOT(ISNUMBER($A341)),NA(),IF(OR($A341&lt;MIN(DKW_10Y!$A$2:$A$2918),$A341&gt;MAX(DKW_10Y!$A$2:$A$2918),Settings!$B$16&lt;MIN(DKW_10Y!$A$2:$A$2918)),NA(),(INDEX(DKW_10Y!$B$2:$B$2918,MATCH($A341,DKW_10Y!$A$2:$A$2918,1))-INDEX(DKW_10Y!$B$2:$B$2918,MATCH(Settings!$B$16,DKW_10Y!$A$2:$A$2918,1)))*100))</f>
        <v/>
      </c>
      <c r="Y341" s="19">
        <f>IF(NOT(ISNUMBER($A341)),NA(),IF(OR($A341&lt;MIN(DKW_10Y!$A$2:$A$2918),$A341&gt;MAX(DKW_10Y!$A$2:$A$2918),Settings!$B$16&lt;MIN(DKW_10Y!$A$2:$A$2918)),NA(),(INDEX(DKW_10Y!$C$2:$C$2918,MATCH($A341,DKW_10Y!$A$2:$A$2918,1))-INDEX(DKW_10Y!$C$2:$C$2918,MATCH(Settings!$B$16,DKW_10Y!$A$2:$A$2918,1)))*100))</f>
        <v/>
      </c>
      <c r="Z341" s="19">
        <f>IF(NOT(ISNUMBER($A341)),NA(),IF(OR($A341&lt;MIN(DKW_10Y!$A$2:$A$2918),$A341&gt;MAX(DKW_10Y!$A$2:$A$2918),Settings!$B$16&lt;MIN(DKW_10Y!$A$2:$A$2918)),NA(),(INDEX(DKW_10Y!$D$2:$D$2918,MATCH($A341,DKW_10Y!$A$2:$A$2918,1))-INDEX(DKW_10Y!$D$2:$D$2918,MATCH(Settings!$B$16,DKW_10Y!$A$2:$A$2918,1)))*100))</f>
        <v/>
      </c>
      <c r="AA341" s="19">
        <f>IF(NOT(ISNUMBER($A341)),NA(),IF(OR($A341&lt;MIN(DKW_10Y!$A$2:$A$2918),$A341&gt;MAX(DKW_10Y!$A$2:$A$2918),Settings!$B$16&lt;MIN(DKW_10Y!$A$2:$A$2918)),NA(),(INDEX(DKW_10Y!$E$2:$E$2918,MATCH($A341,DKW_10Y!$A$2:$A$2918,1))-INDEX(DKW_10Y!$E$2:$E$2918,MATCH(Settings!$B$16,DKW_10Y!$A$2:$A$2918,1)))*100))</f>
        <v/>
      </c>
      <c r="AB341" s="19">
        <f>IF(NOT(ISNUMBER($A341)),NA(),IF(OR($A341&lt;MIN(DKW_10Y!$A$2:$A$2918),$A341&gt;MAX(DKW_10Y!$A$2:$A$2918),Settings!$B$16&lt;MIN(DKW_10Y!$A$2:$A$2918)),NA(),(INDEX(DKW_10Y!$H$2:$H$2918,MATCH($A341,DKW_10Y!$A$2:$A$2918,1))-INDEX(DKW_10Y!$H$2:$H$2918,MATCH(Settings!$B$16,DKW_10Y!$A$2:$A$2918,1)))*100))</f>
        <v/>
      </c>
      <c r="AC341" s="18">
        <f>IF(NOT(ISNUMBER($A341)),NA(),IFERROR(1*INDEX(BBG_Data!$N$2:$N$4000,MATCH($A341,BBG_Data!$M$2:$M$4000,0)),NA()))</f>
        <v/>
      </c>
      <c r="AD341" s="18">
        <f>IF(NOT(ISNUMBER($A341)),NA(),IFERROR(1*INDEX(BBG_Data!$P$2:$P$4000,MATCH($A341,BBG_Data!$O$2:$O$4000,0)),NA()))</f>
        <v/>
      </c>
      <c r="AE341" s="18">
        <f>IF(NOT(ISNUMBER($A341)),NA(),IFERROR(1*INDEX(BBG_Data!$R$2:$R$4000,MATCH($A341,BBG_Data!$Q$2:$Q$4000,0)),NA()))</f>
        <v/>
      </c>
      <c r="AF341" s="20">
        <f>IF(AND(ISNUMBER(B341),ISNUMBER(AC341)),(B341-AC341)*100,NA())</f>
        <v/>
      </c>
      <c r="AG341" s="20">
        <f>IF(AND(ISNUMBER(AE341),ISNUMBER(AD341)),(AE341-AD341)*100,NA())</f>
        <v/>
      </c>
      <c r="AH341" s="19">
        <f>IF(NOT(ISNUMBER($A341)),NA(),IFERROR(INDEX(BBG_Data!$T$2:$T$4000,MATCH($A341,BBG_Data!$S$2:$S$4000,0))*Settings!$B$25,NA()))</f>
        <v/>
      </c>
      <c r="AI341" s="19">
        <f>IF(NOT(ISNUMBER($A341)),NA(),IFERROR(INDEX(BBG_Data!$V$2:$V$4000,MATCH($A341,BBG_Data!$U$2:$U$4000,0))*Settings!$B$25,NA()))</f>
        <v/>
      </c>
      <c r="AJ341" s="19">
        <f>IF(NOT(ISNUMBER($A341)),NA(),IFERROR(1*INDEX(BBG_Data!$X$2:$X$4000,MATCH($A341,BBG_Data!$W$2:$W$4000,0)),NA()))</f>
        <v/>
      </c>
      <c r="AK341" s="19">
        <f>IF(NOT(ISNUMBER($A341)),NA(),IFERROR(1*INDEX(BBG_Data!$Z$2:$Z$4000,MATCH($A341,BBG_Data!$Y$2:$Y$4000,0)),NA()))</f>
        <v/>
      </c>
    </row>
    <row r="342">
      <c r="A342" s="17">
        <f>IF(ISNUMBER(BBG_Data!A342),BBG_Data!A342,"")</f>
        <v/>
      </c>
      <c r="B342" s="18">
        <f>IF(AND(ISNUMBER($A342),ISNUMBER(BBG_Data!B342)),BBG_Data!B342,NA())</f>
        <v/>
      </c>
      <c r="C342" s="18">
        <f>IF(NOT(ISNUMBER($A342)),NA(),IFERROR(1*INDEX(BBG_Data!$D$2:$D$4000,MATCH($A342,BBG_Data!$C$2:$C$4000,0)),NA()))</f>
        <v/>
      </c>
      <c r="D342" s="19">
        <f>IF(NOT(ISNUMBER($A342)),NA(),IFERROR(1*INDEX(BBG_Data!$F$2:$F$4000,MATCH($A342,BBG_Data!$E$2:$E$4000,0)),NA()))</f>
        <v/>
      </c>
      <c r="E342" s="19">
        <f>IF(NOT(ISNUMBER($A342)),NA(),IFERROR(1*INDEX(BBG_Data!$H$2:$H$4000,MATCH($A342,BBG_Data!$G$2:$G$4000,0)),NA()))</f>
        <v/>
      </c>
      <c r="F342" s="20">
        <f>IF(AND(ISNUMBER(B342),ISNUMBER(B341)),IF(B342=B341,"",(B342-B341)*100),"")</f>
        <v/>
      </c>
      <c r="G342" s="20">
        <f>IF(AND(ISNUMBER(C342),ISNUMBER(C341)),IF(C342=C341,"",(C342-C341)*100),"")</f>
        <v/>
      </c>
      <c r="H342" s="20">
        <f>IF(OR(NOT(ISNUMBER($A342)),ROW()-2&lt;Settings!$B$11),NA(),IF(COUNT(OFFSET(F342,1-Settings!$B$11,0,Settings!$B$11,1))&lt;ROUNDUP(Settings!$B$11*Settings!$B$26,0),NA(),STDEV(OFFSET(F342,1-Settings!$B$11,0,Settings!$B$11,1))*SQRT(Settings!$B$13)))</f>
        <v/>
      </c>
      <c r="I342" s="20">
        <f>IF(OR(NOT(ISNUMBER($A342)),ROW()-2&lt;Settings!$B$12),NA(),IF(COUNT(OFFSET(F342,1-Settings!$B$12,0,Settings!$B$12,1))&lt;ROUNDUP(Settings!$B$12*Settings!$B$26,0),NA(),STDEV(OFFSET(F342,1-Settings!$B$12,0,Settings!$B$12,1))*SQRT(Settings!$B$13)))</f>
        <v/>
      </c>
      <c r="J342" s="20">
        <f>IF(OR(NOT(ISNUMBER($A342)),ROW()-2&lt;Settings!$B$11),NA(),IF(COUNT(OFFSET(G342,1-Settings!$B$11,0,Settings!$B$11,1))&lt;ROUNDUP(Settings!$B$11*Settings!$B$26,0),NA(),STDEV(OFFSET(G342,1-Settings!$B$11,0,Settings!$B$11,1))*SQRT(Settings!$B$13)))</f>
        <v/>
      </c>
      <c r="K342" s="20">
        <f>IF(OR(NOT(ISNUMBER($A342)),ROW()-2&lt;Settings!$B$12),NA(),IF(COUNT(OFFSET(G342,1-Settings!$B$12,0,Settings!$B$12,1))&lt;ROUNDUP(Settings!$B$12*Settings!$B$26,0),NA(),STDEV(OFFSET(G342,1-Settings!$B$12,0,Settings!$B$12,1))*SQRT(Settings!$B$13)))</f>
        <v/>
      </c>
      <c r="L342" s="20">
        <f>IF(AND(ISNUMBER(D342),ISNUMBER(H342)),D342-H342,NA())</f>
        <v/>
      </c>
      <c r="M342" s="20">
        <f>IF(AND(ISNUMBER(E342),ISNUMBER(K342)),E342-K342,NA())</f>
        <v/>
      </c>
      <c r="N342" s="20">
        <f>IF(NOT(ISNUMBER($A342)),NA(),IF(COUNT(OFFSET(G342,1,0,Settings!$B$12,1))&lt;ROUNDUP(Settings!$B$12*Settings!$B$26,0),NA(),STDEV(OFFSET(G342,1,0,Settings!$B$12,1))*SQRT(Settings!$B$13)))</f>
        <v/>
      </c>
      <c r="O342" s="20">
        <f>IF(AND(ISNUMBER(E342),ISNUMBER(N342)),E342-N342,NA())</f>
        <v/>
      </c>
      <c r="P342" s="19">
        <f>IF(NOT(ISNUMBER($A342)),NA(),IF(OR($A342&lt;MIN(KW_TP!$A$2:$A$2501),$A342&gt;MAX(KW_TP!$A$2:$A$2501)),NA(),INDEX(KW_TP!$C$2:$C$2501,MATCH($A342,KW_TP!$A$2:$A$2501,1))))</f>
        <v/>
      </c>
      <c r="Q342" s="18">
        <f>IF(NOT(ISNUMBER($A342)),NA(),IFERROR(1*INDEX(BBG_Data!$J$2:$J$4000,MATCH($A342,BBG_Data!$I$2:$I$4000,0)),NA()))</f>
        <v/>
      </c>
      <c r="R342" s="18">
        <f>IF(NOT(ISNUMBER($A342)),NA(),IFERROR(1*INDEX(BBG_Data!$L$2:$L$4000,MATCH($A342,BBG_Data!$K$2:$K$4000,0)),NA()))</f>
        <v/>
      </c>
      <c r="S342" s="20">
        <f>IF(AND(ISNUMBER(B342),ISNUMBER(Q342),ISNUMBER(R342)),(B342-Q342-R342)*100,NA())</f>
        <v/>
      </c>
      <c r="T342" s="20">
        <f>IF(AND(ISNUMBER(B342),Settings!$B$17&gt;0),IF(ISNUMBER(INDEX($B:$B,Settings!$B$17)),(B342-INDEX($B:$B,Settings!$B$17))*100,NA()),NA())</f>
        <v/>
      </c>
      <c r="U342" s="20">
        <f>IF(AND(ISNUMBER(Q342),Settings!$B$17&gt;0),IF(ISNUMBER(INDEX($Q:$Q,Settings!$B$17)),(Q342-INDEX($Q:$Q,Settings!$B$17))*100,NA()),NA())</f>
        <v/>
      </c>
      <c r="V342" s="20">
        <f>IF(AND(ISNUMBER(R342),Settings!$B$17&gt;0),IF(ISNUMBER(INDEX($R:$R,Settings!$B$17)),(R342-INDEX($R:$R,Settings!$B$17))*100,NA()),NA())</f>
        <v/>
      </c>
      <c r="W342" s="20">
        <f>IF(AND(ISNUMBER(P342),Settings!$B$17&gt;0),IF(ISNUMBER(INDEX($P:$P,Settings!$B$17)),P342-INDEX($P:$P,Settings!$B$17),NA()),NA())</f>
        <v/>
      </c>
      <c r="X342" s="19">
        <f>IF(NOT(ISNUMBER($A342)),NA(),IF(OR($A342&lt;MIN(DKW_10Y!$A$2:$A$2918),$A342&gt;MAX(DKW_10Y!$A$2:$A$2918),Settings!$B$16&lt;MIN(DKW_10Y!$A$2:$A$2918)),NA(),(INDEX(DKW_10Y!$B$2:$B$2918,MATCH($A342,DKW_10Y!$A$2:$A$2918,1))-INDEX(DKW_10Y!$B$2:$B$2918,MATCH(Settings!$B$16,DKW_10Y!$A$2:$A$2918,1)))*100))</f>
        <v/>
      </c>
      <c r="Y342" s="19">
        <f>IF(NOT(ISNUMBER($A342)),NA(),IF(OR($A342&lt;MIN(DKW_10Y!$A$2:$A$2918),$A342&gt;MAX(DKW_10Y!$A$2:$A$2918),Settings!$B$16&lt;MIN(DKW_10Y!$A$2:$A$2918)),NA(),(INDEX(DKW_10Y!$C$2:$C$2918,MATCH($A342,DKW_10Y!$A$2:$A$2918,1))-INDEX(DKW_10Y!$C$2:$C$2918,MATCH(Settings!$B$16,DKW_10Y!$A$2:$A$2918,1)))*100))</f>
        <v/>
      </c>
      <c r="Z342" s="19">
        <f>IF(NOT(ISNUMBER($A342)),NA(),IF(OR($A342&lt;MIN(DKW_10Y!$A$2:$A$2918),$A342&gt;MAX(DKW_10Y!$A$2:$A$2918),Settings!$B$16&lt;MIN(DKW_10Y!$A$2:$A$2918)),NA(),(INDEX(DKW_10Y!$D$2:$D$2918,MATCH($A342,DKW_10Y!$A$2:$A$2918,1))-INDEX(DKW_10Y!$D$2:$D$2918,MATCH(Settings!$B$16,DKW_10Y!$A$2:$A$2918,1)))*100))</f>
        <v/>
      </c>
      <c r="AA342" s="19">
        <f>IF(NOT(ISNUMBER($A342)),NA(),IF(OR($A342&lt;MIN(DKW_10Y!$A$2:$A$2918),$A342&gt;MAX(DKW_10Y!$A$2:$A$2918),Settings!$B$16&lt;MIN(DKW_10Y!$A$2:$A$2918)),NA(),(INDEX(DKW_10Y!$E$2:$E$2918,MATCH($A342,DKW_10Y!$A$2:$A$2918,1))-INDEX(DKW_10Y!$E$2:$E$2918,MATCH(Settings!$B$16,DKW_10Y!$A$2:$A$2918,1)))*100))</f>
        <v/>
      </c>
      <c r="AB342" s="19">
        <f>IF(NOT(ISNUMBER($A342)),NA(),IF(OR($A342&lt;MIN(DKW_10Y!$A$2:$A$2918),$A342&gt;MAX(DKW_10Y!$A$2:$A$2918),Settings!$B$16&lt;MIN(DKW_10Y!$A$2:$A$2918)),NA(),(INDEX(DKW_10Y!$H$2:$H$2918,MATCH($A342,DKW_10Y!$A$2:$A$2918,1))-INDEX(DKW_10Y!$H$2:$H$2918,MATCH(Settings!$B$16,DKW_10Y!$A$2:$A$2918,1)))*100))</f>
        <v/>
      </c>
      <c r="AC342" s="18">
        <f>IF(NOT(ISNUMBER($A342)),NA(),IFERROR(1*INDEX(BBG_Data!$N$2:$N$4000,MATCH($A342,BBG_Data!$M$2:$M$4000,0)),NA()))</f>
        <v/>
      </c>
      <c r="AD342" s="18">
        <f>IF(NOT(ISNUMBER($A342)),NA(),IFERROR(1*INDEX(BBG_Data!$P$2:$P$4000,MATCH($A342,BBG_Data!$O$2:$O$4000,0)),NA()))</f>
        <v/>
      </c>
      <c r="AE342" s="18">
        <f>IF(NOT(ISNUMBER($A342)),NA(),IFERROR(1*INDEX(BBG_Data!$R$2:$R$4000,MATCH($A342,BBG_Data!$Q$2:$Q$4000,0)),NA()))</f>
        <v/>
      </c>
      <c r="AF342" s="20">
        <f>IF(AND(ISNUMBER(B342),ISNUMBER(AC342)),(B342-AC342)*100,NA())</f>
        <v/>
      </c>
      <c r="AG342" s="20">
        <f>IF(AND(ISNUMBER(AE342),ISNUMBER(AD342)),(AE342-AD342)*100,NA())</f>
        <v/>
      </c>
      <c r="AH342" s="19">
        <f>IF(NOT(ISNUMBER($A342)),NA(),IFERROR(INDEX(BBG_Data!$T$2:$T$4000,MATCH($A342,BBG_Data!$S$2:$S$4000,0))*Settings!$B$25,NA()))</f>
        <v/>
      </c>
      <c r="AI342" s="19">
        <f>IF(NOT(ISNUMBER($A342)),NA(),IFERROR(INDEX(BBG_Data!$V$2:$V$4000,MATCH($A342,BBG_Data!$U$2:$U$4000,0))*Settings!$B$25,NA()))</f>
        <v/>
      </c>
      <c r="AJ342" s="19">
        <f>IF(NOT(ISNUMBER($A342)),NA(),IFERROR(1*INDEX(BBG_Data!$X$2:$X$4000,MATCH($A342,BBG_Data!$W$2:$W$4000,0)),NA()))</f>
        <v/>
      </c>
      <c r="AK342" s="19">
        <f>IF(NOT(ISNUMBER($A342)),NA(),IFERROR(1*INDEX(BBG_Data!$Z$2:$Z$4000,MATCH($A342,BBG_Data!$Y$2:$Y$4000,0)),NA()))</f>
        <v/>
      </c>
    </row>
    <row r="343">
      <c r="A343" s="17">
        <f>IF(ISNUMBER(BBG_Data!A343),BBG_Data!A343,"")</f>
        <v/>
      </c>
      <c r="B343" s="18">
        <f>IF(AND(ISNUMBER($A343),ISNUMBER(BBG_Data!B343)),BBG_Data!B343,NA())</f>
        <v/>
      </c>
      <c r="C343" s="18">
        <f>IF(NOT(ISNUMBER($A343)),NA(),IFERROR(1*INDEX(BBG_Data!$D$2:$D$4000,MATCH($A343,BBG_Data!$C$2:$C$4000,0)),NA()))</f>
        <v/>
      </c>
      <c r="D343" s="19">
        <f>IF(NOT(ISNUMBER($A343)),NA(),IFERROR(1*INDEX(BBG_Data!$F$2:$F$4000,MATCH($A343,BBG_Data!$E$2:$E$4000,0)),NA()))</f>
        <v/>
      </c>
      <c r="E343" s="19">
        <f>IF(NOT(ISNUMBER($A343)),NA(),IFERROR(1*INDEX(BBG_Data!$H$2:$H$4000,MATCH($A343,BBG_Data!$G$2:$G$4000,0)),NA()))</f>
        <v/>
      </c>
      <c r="F343" s="20">
        <f>IF(AND(ISNUMBER(B343),ISNUMBER(B342)),IF(B343=B342,"",(B343-B342)*100),"")</f>
        <v/>
      </c>
      <c r="G343" s="20">
        <f>IF(AND(ISNUMBER(C343),ISNUMBER(C342)),IF(C343=C342,"",(C343-C342)*100),"")</f>
        <v/>
      </c>
      <c r="H343" s="20">
        <f>IF(OR(NOT(ISNUMBER($A343)),ROW()-2&lt;Settings!$B$11),NA(),IF(COUNT(OFFSET(F343,1-Settings!$B$11,0,Settings!$B$11,1))&lt;ROUNDUP(Settings!$B$11*Settings!$B$26,0),NA(),STDEV(OFFSET(F343,1-Settings!$B$11,0,Settings!$B$11,1))*SQRT(Settings!$B$13)))</f>
        <v/>
      </c>
      <c r="I343" s="20">
        <f>IF(OR(NOT(ISNUMBER($A343)),ROW()-2&lt;Settings!$B$12),NA(),IF(COUNT(OFFSET(F343,1-Settings!$B$12,0,Settings!$B$12,1))&lt;ROUNDUP(Settings!$B$12*Settings!$B$26,0),NA(),STDEV(OFFSET(F343,1-Settings!$B$12,0,Settings!$B$12,1))*SQRT(Settings!$B$13)))</f>
        <v/>
      </c>
      <c r="J343" s="20">
        <f>IF(OR(NOT(ISNUMBER($A343)),ROW()-2&lt;Settings!$B$11),NA(),IF(COUNT(OFFSET(G343,1-Settings!$B$11,0,Settings!$B$11,1))&lt;ROUNDUP(Settings!$B$11*Settings!$B$26,0),NA(),STDEV(OFFSET(G343,1-Settings!$B$11,0,Settings!$B$11,1))*SQRT(Settings!$B$13)))</f>
        <v/>
      </c>
      <c r="K343" s="20">
        <f>IF(OR(NOT(ISNUMBER($A343)),ROW()-2&lt;Settings!$B$12),NA(),IF(COUNT(OFFSET(G343,1-Settings!$B$12,0,Settings!$B$12,1))&lt;ROUNDUP(Settings!$B$12*Settings!$B$26,0),NA(),STDEV(OFFSET(G343,1-Settings!$B$12,0,Settings!$B$12,1))*SQRT(Settings!$B$13)))</f>
        <v/>
      </c>
      <c r="L343" s="20">
        <f>IF(AND(ISNUMBER(D343),ISNUMBER(H343)),D343-H343,NA())</f>
        <v/>
      </c>
      <c r="M343" s="20">
        <f>IF(AND(ISNUMBER(E343),ISNUMBER(K343)),E343-K343,NA())</f>
        <v/>
      </c>
      <c r="N343" s="20">
        <f>IF(NOT(ISNUMBER($A343)),NA(),IF(COUNT(OFFSET(G343,1,0,Settings!$B$12,1))&lt;ROUNDUP(Settings!$B$12*Settings!$B$26,0),NA(),STDEV(OFFSET(G343,1,0,Settings!$B$12,1))*SQRT(Settings!$B$13)))</f>
        <v/>
      </c>
      <c r="O343" s="20">
        <f>IF(AND(ISNUMBER(E343),ISNUMBER(N343)),E343-N343,NA())</f>
        <v/>
      </c>
      <c r="P343" s="19">
        <f>IF(NOT(ISNUMBER($A343)),NA(),IF(OR($A343&lt;MIN(KW_TP!$A$2:$A$2501),$A343&gt;MAX(KW_TP!$A$2:$A$2501)),NA(),INDEX(KW_TP!$C$2:$C$2501,MATCH($A343,KW_TP!$A$2:$A$2501,1))))</f>
        <v/>
      </c>
      <c r="Q343" s="18">
        <f>IF(NOT(ISNUMBER($A343)),NA(),IFERROR(1*INDEX(BBG_Data!$J$2:$J$4000,MATCH($A343,BBG_Data!$I$2:$I$4000,0)),NA()))</f>
        <v/>
      </c>
      <c r="R343" s="18">
        <f>IF(NOT(ISNUMBER($A343)),NA(),IFERROR(1*INDEX(BBG_Data!$L$2:$L$4000,MATCH($A343,BBG_Data!$K$2:$K$4000,0)),NA()))</f>
        <v/>
      </c>
      <c r="S343" s="20">
        <f>IF(AND(ISNUMBER(B343),ISNUMBER(Q343),ISNUMBER(R343)),(B343-Q343-R343)*100,NA())</f>
        <v/>
      </c>
      <c r="T343" s="20">
        <f>IF(AND(ISNUMBER(B343),Settings!$B$17&gt;0),IF(ISNUMBER(INDEX($B:$B,Settings!$B$17)),(B343-INDEX($B:$B,Settings!$B$17))*100,NA()),NA())</f>
        <v/>
      </c>
      <c r="U343" s="20">
        <f>IF(AND(ISNUMBER(Q343),Settings!$B$17&gt;0),IF(ISNUMBER(INDEX($Q:$Q,Settings!$B$17)),(Q343-INDEX($Q:$Q,Settings!$B$17))*100,NA()),NA())</f>
        <v/>
      </c>
      <c r="V343" s="20">
        <f>IF(AND(ISNUMBER(R343),Settings!$B$17&gt;0),IF(ISNUMBER(INDEX($R:$R,Settings!$B$17)),(R343-INDEX($R:$R,Settings!$B$17))*100,NA()),NA())</f>
        <v/>
      </c>
      <c r="W343" s="20">
        <f>IF(AND(ISNUMBER(P343),Settings!$B$17&gt;0),IF(ISNUMBER(INDEX($P:$P,Settings!$B$17)),P343-INDEX($P:$P,Settings!$B$17),NA()),NA())</f>
        <v/>
      </c>
      <c r="X343" s="19">
        <f>IF(NOT(ISNUMBER($A343)),NA(),IF(OR($A343&lt;MIN(DKW_10Y!$A$2:$A$2918),$A343&gt;MAX(DKW_10Y!$A$2:$A$2918),Settings!$B$16&lt;MIN(DKW_10Y!$A$2:$A$2918)),NA(),(INDEX(DKW_10Y!$B$2:$B$2918,MATCH($A343,DKW_10Y!$A$2:$A$2918,1))-INDEX(DKW_10Y!$B$2:$B$2918,MATCH(Settings!$B$16,DKW_10Y!$A$2:$A$2918,1)))*100))</f>
        <v/>
      </c>
      <c r="Y343" s="19">
        <f>IF(NOT(ISNUMBER($A343)),NA(),IF(OR($A343&lt;MIN(DKW_10Y!$A$2:$A$2918),$A343&gt;MAX(DKW_10Y!$A$2:$A$2918),Settings!$B$16&lt;MIN(DKW_10Y!$A$2:$A$2918)),NA(),(INDEX(DKW_10Y!$C$2:$C$2918,MATCH($A343,DKW_10Y!$A$2:$A$2918,1))-INDEX(DKW_10Y!$C$2:$C$2918,MATCH(Settings!$B$16,DKW_10Y!$A$2:$A$2918,1)))*100))</f>
        <v/>
      </c>
      <c r="Z343" s="19">
        <f>IF(NOT(ISNUMBER($A343)),NA(),IF(OR($A343&lt;MIN(DKW_10Y!$A$2:$A$2918),$A343&gt;MAX(DKW_10Y!$A$2:$A$2918),Settings!$B$16&lt;MIN(DKW_10Y!$A$2:$A$2918)),NA(),(INDEX(DKW_10Y!$D$2:$D$2918,MATCH($A343,DKW_10Y!$A$2:$A$2918,1))-INDEX(DKW_10Y!$D$2:$D$2918,MATCH(Settings!$B$16,DKW_10Y!$A$2:$A$2918,1)))*100))</f>
        <v/>
      </c>
      <c r="AA343" s="19">
        <f>IF(NOT(ISNUMBER($A343)),NA(),IF(OR($A343&lt;MIN(DKW_10Y!$A$2:$A$2918),$A343&gt;MAX(DKW_10Y!$A$2:$A$2918),Settings!$B$16&lt;MIN(DKW_10Y!$A$2:$A$2918)),NA(),(INDEX(DKW_10Y!$E$2:$E$2918,MATCH($A343,DKW_10Y!$A$2:$A$2918,1))-INDEX(DKW_10Y!$E$2:$E$2918,MATCH(Settings!$B$16,DKW_10Y!$A$2:$A$2918,1)))*100))</f>
        <v/>
      </c>
      <c r="AB343" s="19">
        <f>IF(NOT(ISNUMBER($A343)),NA(),IF(OR($A343&lt;MIN(DKW_10Y!$A$2:$A$2918),$A343&gt;MAX(DKW_10Y!$A$2:$A$2918),Settings!$B$16&lt;MIN(DKW_10Y!$A$2:$A$2918)),NA(),(INDEX(DKW_10Y!$H$2:$H$2918,MATCH($A343,DKW_10Y!$A$2:$A$2918,1))-INDEX(DKW_10Y!$H$2:$H$2918,MATCH(Settings!$B$16,DKW_10Y!$A$2:$A$2918,1)))*100))</f>
        <v/>
      </c>
      <c r="AC343" s="18">
        <f>IF(NOT(ISNUMBER($A343)),NA(),IFERROR(1*INDEX(BBG_Data!$N$2:$N$4000,MATCH($A343,BBG_Data!$M$2:$M$4000,0)),NA()))</f>
        <v/>
      </c>
      <c r="AD343" s="18">
        <f>IF(NOT(ISNUMBER($A343)),NA(),IFERROR(1*INDEX(BBG_Data!$P$2:$P$4000,MATCH($A343,BBG_Data!$O$2:$O$4000,0)),NA()))</f>
        <v/>
      </c>
      <c r="AE343" s="18">
        <f>IF(NOT(ISNUMBER($A343)),NA(),IFERROR(1*INDEX(BBG_Data!$R$2:$R$4000,MATCH($A343,BBG_Data!$Q$2:$Q$4000,0)),NA()))</f>
        <v/>
      </c>
      <c r="AF343" s="20">
        <f>IF(AND(ISNUMBER(B343),ISNUMBER(AC343)),(B343-AC343)*100,NA())</f>
        <v/>
      </c>
      <c r="AG343" s="20">
        <f>IF(AND(ISNUMBER(AE343),ISNUMBER(AD343)),(AE343-AD343)*100,NA())</f>
        <v/>
      </c>
      <c r="AH343" s="19">
        <f>IF(NOT(ISNUMBER($A343)),NA(),IFERROR(INDEX(BBG_Data!$T$2:$T$4000,MATCH($A343,BBG_Data!$S$2:$S$4000,0))*Settings!$B$25,NA()))</f>
        <v/>
      </c>
      <c r="AI343" s="19">
        <f>IF(NOT(ISNUMBER($A343)),NA(),IFERROR(INDEX(BBG_Data!$V$2:$V$4000,MATCH($A343,BBG_Data!$U$2:$U$4000,0))*Settings!$B$25,NA()))</f>
        <v/>
      </c>
      <c r="AJ343" s="19">
        <f>IF(NOT(ISNUMBER($A343)),NA(),IFERROR(1*INDEX(BBG_Data!$X$2:$X$4000,MATCH($A343,BBG_Data!$W$2:$W$4000,0)),NA()))</f>
        <v/>
      </c>
      <c r="AK343" s="19">
        <f>IF(NOT(ISNUMBER($A343)),NA(),IFERROR(1*INDEX(BBG_Data!$Z$2:$Z$4000,MATCH($A343,BBG_Data!$Y$2:$Y$4000,0)),NA()))</f>
        <v/>
      </c>
    </row>
    <row r="344">
      <c r="A344" s="17">
        <f>IF(ISNUMBER(BBG_Data!A344),BBG_Data!A344,"")</f>
        <v/>
      </c>
      <c r="B344" s="18">
        <f>IF(AND(ISNUMBER($A344),ISNUMBER(BBG_Data!B344)),BBG_Data!B344,NA())</f>
        <v/>
      </c>
      <c r="C344" s="18">
        <f>IF(NOT(ISNUMBER($A344)),NA(),IFERROR(1*INDEX(BBG_Data!$D$2:$D$4000,MATCH($A344,BBG_Data!$C$2:$C$4000,0)),NA()))</f>
        <v/>
      </c>
      <c r="D344" s="19">
        <f>IF(NOT(ISNUMBER($A344)),NA(),IFERROR(1*INDEX(BBG_Data!$F$2:$F$4000,MATCH($A344,BBG_Data!$E$2:$E$4000,0)),NA()))</f>
        <v/>
      </c>
      <c r="E344" s="19">
        <f>IF(NOT(ISNUMBER($A344)),NA(),IFERROR(1*INDEX(BBG_Data!$H$2:$H$4000,MATCH($A344,BBG_Data!$G$2:$G$4000,0)),NA()))</f>
        <v/>
      </c>
      <c r="F344" s="20">
        <f>IF(AND(ISNUMBER(B344),ISNUMBER(B343)),IF(B344=B343,"",(B344-B343)*100),"")</f>
        <v/>
      </c>
      <c r="G344" s="20">
        <f>IF(AND(ISNUMBER(C344),ISNUMBER(C343)),IF(C344=C343,"",(C344-C343)*100),"")</f>
        <v/>
      </c>
      <c r="H344" s="20">
        <f>IF(OR(NOT(ISNUMBER($A344)),ROW()-2&lt;Settings!$B$11),NA(),IF(COUNT(OFFSET(F344,1-Settings!$B$11,0,Settings!$B$11,1))&lt;ROUNDUP(Settings!$B$11*Settings!$B$26,0),NA(),STDEV(OFFSET(F344,1-Settings!$B$11,0,Settings!$B$11,1))*SQRT(Settings!$B$13)))</f>
        <v/>
      </c>
      <c r="I344" s="20">
        <f>IF(OR(NOT(ISNUMBER($A344)),ROW()-2&lt;Settings!$B$12),NA(),IF(COUNT(OFFSET(F344,1-Settings!$B$12,0,Settings!$B$12,1))&lt;ROUNDUP(Settings!$B$12*Settings!$B$26,0),NA(),STDEV(OFFSET(F344,1-Settings!$B$12,0,Settings!$B$12,1))*SQRT(Settings!$B$13)))</f>
        <v/>
      </c>
      <c r="J344" s="20">
        <f>IF(OR(NOT(ISNUMBER($A344)),ROW()-2&lt;Settings!$B$11),NA(),IF(COUNT(OFFSET(G344,1-Settings!$B$11,0,Settings!$B$11,1))&lt;ROUNDUP(Settings!$B$11*Settings!$B$26,0),NA(),STDEV(OFFSET(G344,1-Settings!$B$11,0,Settings!$B$11,1))*SQRT(Settings!$B$13)))</f>
        <v/>
      </c>
      <c r="K344" s="20">
        <f>IF(OR(NOT(ISNUMBER($A344)),ROW()-2&lt;Settings!$B$12),NA(),IF(COUNT(OFFSET(G344,1-Settings!$B$12,0,Settings!$B$12,1))&lt;ROUNDUP(Settings!$B$12*Settings!$B$26,0),NA(),STDEV(OFFSET(G344,1-Settings!$B$12,0,Settings!$B$12,1))*SQRT(Settings!$B$13)))</f>
        <v/>
      </c>
      <c r="L344" s="20">
        <f>IF(AND(ISNUMBER(D344),ISNUMBER(H344)),D344-H344,NA())</f>
        <v/>
      </c>
      <c r="M344" s="20">
        <f>IF(AND(ISNUMBER(E344),ISNUMBER(K344)),E344-K344,NA())</f>
        <v/>
      </c>
      <c r="N344" s="20">
        <f>IF(NOT(ISNUMBER($A344)),NA(),IF(COUNT(OFFSET(G344,1,0,Settings!$B$12,1))&lt;ROUNDUP(Settings!$B$12*Settings!$B$26,0),NA(),STDEV(OFFSET(G344,1,0,Settings!$B$12,1))*SQRT(Settings!$B$13)))</f>
        <v/>
      </c>
      <c r="O344" s="20">
        <f>IF(AND(ISNUMBER(E344),ISNUMBER(N344)),E344-N344,NA())</f>
        <v/>
      </c>
      <c r="P344" s="19">
        <f>IF(NOT(ISNUMBER($A344)),NA(),IF(OR($A344&lt;MIN(KW_TP!$A$2:$A$2501),$A344&gt;MAX(KW_TP!$A$2:$A$2501)),NA(),INDEX(KW_TP!$C$2:$C$2501,MATCH($A344,KW_TP!$A$2:$A$2501,1))))</f>
        <v/>
      </c>
      <c r="Q344" s="18">
        <f>IF(NOT(ISNUMBER($A344)),NA(),IFERROR(1*INDEX(BBG_Data!$J$2:$J$4000,MATCH($A344,BBG_Data!$I$2:$I$4000,0)),NA()))</f>
        <v/>
      </c>
      <c r="R344" s="18">
        <f>IF(NOT(ISNUMBER($A344)),NA(),IFERROR(1*INDEX(BBG_Data!$L$2:$L$4000,MATCH($A344,BBG_Data!$K$2:$K$4000,0)),NA()))</f>
        <v/>
      </c>
      <c r="S344" s="20">
        <f>IF(AND(ISNUMBER(B344),ISNUMBER(Q344),ISNUMBER(R344)),(B344-Q344-R344)*100,NA())</f>
        <v/>
      </c>
      <c r="T344" s="20">
        <f>IF(AND(ISNUMBER(B344),Settings!$B$17&gt;0),IF(ISNUMBER(INDEX($B:$B,Settings!$B$17)),(B344-INDEX($B:$B,Settings!$B$17))*100,NA()),NA())</f>
        <v/>
      </c>
      <c r="U344" s="20">
        <f>IF(AND(ISNUMBER(Q344),Settings!$B$17&gt;0),IF(ISNUMBER(INDEX($Q:$Q,Settings!$B$17)),(Q344-INDEX($Q:$Q,Settings!$B$17))*100,NA()),NA())</f>
        <v/>
      </c>
      <c r="V344" s="20">
        <f>IF(AND(ISNUMBER(R344),Settings!$B$17&gt;0),IF(ISNUMBER(INDEX($R:$R,Settings!$B$17)),(R344-INDEX($R:$R,Settings!$B$17))*100,NA()),NA())</f>
        <v/>
      </c>
      <c r="W344" s="20">
        <f>IF(AND(ISNUMBER(P344),Settings!$B$17&gt;0),IF(ISNUMBER(INDEX($P:$P,Settings!$B$17)),P344-INDEX($P:$P,Settings!$B$17),NA()),NA())</f>
        <v/>
      </c>
      <c r="X344" s="19">
        <f>IF(NOT(ISNUMBER($A344)),NA(),IF(OR($A344&lt;MIN(DKW_10Y!$A$2:$A$2918),$A344&gt;MAX(DKW_10Y!$A$2:$A$2918),Settings!$B$16&lt;MIN(DKW_10Y!$A$2:$A$2918)),NA(),(INDEX(DKW_10Y!$B$2:$B$2918,MATCH($A344,DKW_10Y!$A$2:$A$2918,1))-INDEX(DKW_10Y!$B$2:$B$2918,MATCH(Settings!$B$16,DKW_10Y!$A$2:$A$2918,1)))*100))</f>
        <v/>
      </c>
      <c r="Y344" s="19">
        <f>IF(NOT(ISNUMBER($A344)),NA(),IF(OR($A344&lt;MIN(DKW_10Y!$A$2:$A$2918),$A344&gt;MAX(DKW_10Y!$A$2:$A$2918),Settings!$B$16&lt;MIN(DKW_10Y!$A$2:$A$2918)),NA(),(INDEX(DKW_10Y!$C$2:$C$2918,MATCH($A344,DKW_10Y!$A$2:$A$2918,1))-INDEX(DKW_10Y!$C$2:$C$2918,MATCH(Settings!$B$16,DKW_10Y!$A$2:$A$2918,1)))*100))</f>
        <v/>
      </c>
      <c r="Z344" s="19">
        <f>IF(NOT(ISNUMBER($A344)),NA(),IF(OR($A344&lt;MIN(DKW_10Y!$A$2:$A$2918),$A344&gt;MAX(DKW_10Y!$A$2:$A$2918),Settings!$B$16&lt;MIN(DKW_10Y!$A$2:$A$2918)),NA(),(INDEX(DKW_10Y!$D$2:$D$2918,MATCH($A344,DKW_10Y!$A$2:$A$2918,1))-INDEX(DKW_10Y!$D$2:$D$2918,MATCH(Settings!$B$16,DKW_10Y!$A$2:$A$2918,1)))*100))</f>
        <v/>
      </c>
      <c r="AA344" s="19">
        <f>IF(NOT(ISNUMBER($A344)),NA(),IF(OR($A344&lt;MIN(DKW_10Y!$A$2:$A$2918),$A344&gt;MAX(DKW_10Y!$A$2:$A$2918),Settings!$B$16&lt;MIN(DKW_10Y!$A$2:$A$2918)),NA(),(INDEX(DKW_10Y!$E$2:$E$2918,MATCH($A344,DKW_10Y!$A$2:$A$2918,1))-INDEX(DKW_10Y!$E$2:$E$2918,MATCH(Settings!$B$16,DKW_10Y!$A$2:$A$2918,1)))*100))</f>
        <v/>
      </c>
      <c r="AB344" s="19">
        <f>IF(NOT(ISNUMBER($A344)),NA(),IF(OR($A344&lt;MIN(DKW_10Y!$A$2:$A$2918),$A344&gt;MAX(DKW_10Y!$A$2:$A$2918),Settings!$B$16&lt;MIN(DKW_10Y!$A$2:$A$2918)),NA(),(INDEX(DKW_10Y!$H$2:$H$2918,MATCH($A344,DKW_10Y!$A$2:$A$2918,1))-INDEX(DKW_10Y!$H$2:$H$2918,MATCH(Settings!$B$16,DKW_10Y!$A$2:$A$2918,1)))*100))</f>
        <v/>
      </c>
      <c r="AC344" s="18">
        <f>IF(NOT(ISNUMBER($A344)),NA(),IFERROR(1*INDEX(BBG_Data!$N$2:$N$4000,MATCH($A344,BBG_Data!$M$2:$M$4000,0)),NA()))</f>
        <v/>
      </c>
      <c r="AD344" s="18">
        <f>IF(NOT(ISNUMBER($A344)),NA(),IFERROR(1*INDEX(BBG_Data!$P$2:$P$4000,MATCH($A344,BBG_Data!$O$2:$O$4000,0)),NA()))</f>
        <v/>
      </c>
      <c r="AE344" s="18">
        <f>IF(NOT(ISNUMBER($A344)),NA(),IFERROR(1*INDEX(BBG_Data!$R$2:$R$4000,MATCH($A344,BBG_Data!$Q$2:$Q$4000,0)),NA()))</f>
        <v/>
      </c>
      <c r="AF344" s="20">
        <f>IF(AND(ISNUMBER(B344),ISNUMBER(AC344)),(B344-AC344)*100,NA())</f>
        <v/>
      </c>
      <c r="AG344" s="20">
        <f>IF(AND(ISNUMBER(AE344),ISNUMBER(AD344)),(AE344-AD344)*100,NA())</f>
        <v/>
      </c>
      <c r="AH344" s="19">
        <f>IF(NOT(ISNUMBER($A344)),NA(),IFERROR(INDEX(BBG_Data!$T$2:$T$4000,MATCH($A344,BBG_Data!$S$2:$S$4000,0))*Settings!$B$25,NA()))</f>
        <v/>
      </c>
      <c r="AI344" s="19">
        <f>IF(NOT(ISNUMBER($A344)),NA(),IFERROR(INDEX(BBG_Data!$V$2:$V$4000,MATCH($A344,BBG_Data!$U$2:$U$4000,0))*Settings!$B$25,NA()))</f>
        <v/>
      </c>
      <c r="AJ344" s="19">
        <f>IF(NOT(ISNUMBER($A344)),NA(),IFERROR(1*INDEX(BBG_Data!$X$2:$X$4000,MATCH($A344,BBG_Data!$W$2:$W$4000,0)),NA()))</f>
        <v/>
      </c>
      <c r="AK344" s="19">
        <f>IF(NOT(ISNUMBER($A344)),NA(),IFERROR(1*INDEX(BBG_Data!$Z$2:$Z$4000,MATCH($A344,BBG_Data!$Y$2:$Y$4000,0)),NA()))</f>
        <v/>
      </c>
    </row>
    <row r="345">
      <c r="A345" s="17">
        <f>IF(ISNUMBER(BBG_Data!A345),BBG_Data!A345,"")</f>
        <v/>
      </c>
      <c r="B345" s="18">
        <f>IF(AND(ISNUMBER($A345),ISNUMBER(BBG_Data!B345)),BBG_Data!B345,NA())</f>
        <v/>
      </c>
      <c r="C345" s="18">
        <f>IF(NOT(ISNUMBER($A345)),NA(),IFERROR(1*INDEX(BBG_Data!$D$2:$D$4000,MATCH($A345,BBG_Data!$C$2:$C$4000,0)),NA()))</f>
        <v/>
      </c>
      <c r="D345" s="19">
        <f>IF(NOT(ISNUMBER($A345)),NA(),IFERROR(1*INDEX(BBG_Data!$F$2:$F$4000,MATCH($A345,BBG_Data!$E$2:$E$4000,0)),NA()))</f>
        <v/>
      </c>
      <c r="E345" s="19">
        <f>IF(NOT(ISNUMBER($A345)),NA(),IFERROR(1*INDEX(BBG_Data!$H$2:$H$4000,MATCH($A345,BBG_Data!$G$2:$G$4000,0)),NA()))</f>
        <v/>
      </c>
      <c r="F345" s="20">
        <f>IF(AND(ISNUMBER(B345),ISNUMBER(B344)),IF(B345=B344,"",(B345-B344)*100),"")</f>
        <v/>
      </c>
      <c r="G345" s="20">
        <f>IF(AND(ISNUMBER(C345),ISNUMBER(C344)),IF(C345=C344,"",(C345-C344)*100),"")</f>
        <v/>
      </c>
      <c r="H345" s="20">
        <f>IF(OR(NOT(ISNUMBER($A345)),ROW()-2&lt;Settings!$B$11),NA(),IF(COUNT(OFFSET(F345,1-Settings!$B$11,0,Settings!$B$11,1))&lt;ROUNDUP(Settings!$B$11*Settings!$B$26,0),NA(),STDEV(OFFSET(F345,1-Settings!$B$11,0,Settings!$B$11,1))*SQRT(Settings!$B$13)))</f>
        <v/>
      </c>
      <c r="I345" s="20">
        <f>IF(OR(NOT(ISNUMBER($A345)),ROW()-2&lt;Settings!$B$12),NA(),IF(COUNT(OFFSET(F345,1-Settings!$B$12,0,Settings!$B$12,1))&lt;ROUNDUP(Settings!$B$12*Settings!$B$26,0),NA(),STDEV(OFFSET(F345,1-Settings!$B$12,0,Settings!$B$12,1))*SQRT(Settings!$B$13)))</f>
        <v/>
      </c>
      <c r="J345" s="20">
        <f>IF(OR(NOT(ISNUMBER($A345)),ROW()-2&lt;Settings!$B$11),NA(),IF(COUNT(OFFSET(G345,1-Settings!$B$11,0,Settings!$B$11,1))&lt;ROUNDUP(Settings!$B$11*Settings!$B$26,0),NA(),STDEV(OFFSET(G345,1-Settings!$B$11,0,Settings!$B$11,1))*SQRT(Settings!$B$13)))</f>
        <v/>
      </c>
      <c r="K345" s="20">
        <f>IF(OR(NOT(ISNUMBER($A345)),ROW()-2&lt;Settings!$B$12),NA(),IF(COUNT(OFFSET(G345,1-Settings!$B$12,0,Settings!$B$12,1))&lt;ROUNDUP(Settings!$B$12*Settings!$B$26,0),NA(),STDEV(OFFSET(G345,1-Settings!$B$12,0,Settings!$B$12,1))*SQRT(Settings!$B$13)))</f>
        <v/>
      </c>
      <c r="L345" s="20">
        <f>IF(AND(ISNUMBER(D345),ISNUMBER(H345)),D345-H345,NA())</f>
        <v/>
      </c>
      <c r="M345" s="20">
        <f>IF(AND(ISNUMBER(E345),ISNUMBER(K345)),E345-K345,NA())</f>
        <v/>
      </c>
      <c r="N345" s="20">
        <f>IF(NOT(ISNUMBER($A345)),NA(),IF(COUNT(OFFSET(G345,1,0,Settings!$B$12,1))&lt;ROUNDUP(Settings!$B$12*Settings!$B$26,0),NA(),STDEV(OFFSET(G345,1,0,Settings!$B$12,1))*SQRT(Settings!$B$13)))</f>
        <v/>
      </c>
      <c r="O345" s="20">
        <f>IF(AND(ISNUMBER(E345),ISNUMBER(N345)),E345-N345,NA())</f>
        <v/>
      </c>
      <c r="P345" s="19">
        <f>IF(NOT(ISNUMBER($A345)),NA(),IF(OR($A345&lt;MIN(KW_TP!$A$2:$A$2501),$A345&gt;MAX(KW_TP!$A$2:$A$2501)),NA(),INDEX(KW_TP!$C$2:$C$2501,MATCH($A345,KW_TP!$A$2:$A$2501,1))))</f>
        <v/>
      </c>
      <c r="Q345" s="18">
        <f>IF(NOT(ISNUMBER($A345)),NA(),IFERROR(1*INDEX(BBG_Data!$J$2:$J$4000,MATCH($A345,BBG_Data!$I$2:$I$4000,0)),NA()))</f>
        <v/>
      </c>
      <c r="R345" s="18">
        <f>IF(NOT(ISNUMBER($A345)),NA(),IFERROR(1*INDEX(BBG_Data!$L$2:$L$4000,MATCH($A345,BBG_Data!$K$2:$K$4000,0)),NA()))</f>
        <v/>
      </c>
      <c r="S345" s="20">
        <f>IF(AND(ISNUMBER(B345),ISNUMBER(Q345),ISNUMBER(R345)),(B345-Q345-R345)*100,NA())</f>
        <v/>
      </c>
      <c r="T345" s="20">
        <f>IF(AND(ISNUMBER(B345),Settings!$B$17&gt;0),IF(ISNUMBER(INDEX($B:$B,Settings!$B$17)),(B345-INDEX($B:$B,Settings!$B$17))*100,NA()),NA())</f>
        <v/>
      </c>
      <c r="U345" s="20">
        <f>IF(AND(ISNUMBER(Q345),Settings!$B$17&gt;0),IF(ISNUMBER(INDEX($Q:$Q,Settings!$B$17)),(Q345-INDEX($Q:$Q,Settings!$B$17))*100,NA()),NA())</f>
        <v/>
      </c>
      <c r="V345" s="20">
        <f>IF(AND(ISNUMBER(R345),Settings!$B$17&gt;0),IF(ISNUMBER(INDEX($R:$R,Settings!$B$17)),(R345-INDEX($R:$R,Settings!$B$17))*100,NA()),NA())</f>
        <v/>
      </c>
      <c r="W345" s="20">
        <f>IF(AND(ISNUMBER(P345),Settings!$B$17&gt;0),IF(ISNUMBER(INDEX($P:$P,Settings!$B$17)),P345-INDEX($P:$P,Settings!$B$17),NA()),NA())</f>
        <v/>
      </c>
      <c r="X345" s="19">
        <f>IF(NOT(ISNUMBER($A345)),NA(),IF(OR($A345&lt;MIN(DKW_10Y!$A$2:$A$2918),$A345&gt;MAX(DKW_10Y!$A$2:$A$2918),Settings!$B$16&lt;MIN(DKW_10Y!$A$2:$A$2918)),NA(),(INDEX(DKW_10Y!$B$2:$B$2918,MATCH($A345,DKW_10Y!$A$2:$A$2918,1))-INDEX(DKW_10Y!$B$2:$B$2918,MATCH(Settings!$B$16,DKW_10Y!$A$2:$A$2918,1)))*100))</f>
        <v/>
      </c>
      <c r="Y345" s="19">
        <f>IF(NOT(ISNUMBER($A345)),NA(),IF(OR($A345&lt;MIN(DKW_10Y!$A$2:$A$2918),$A345&gt;MAX(DKW_10Y!$A$2:$A$2918),Settings!$B$16&lt;MIN(DKW_10Y!$A$2:$A$2918)),NA(),(INDEX(DKW_10Y!$C$2:$C$2918,MATCH($A345,DKW_10Y!$A$2:$A$2918,1))-INDEX(DKW_10Y!$C$2:$C$2918,MATCH(Settings!$B$16,DKW_10Y!$A$2:$A$2918,1)))*100))</f>
        <v/>
      </c>
      <c r="Z345" s="19">
        <f>IF(NOT(ISNUMBER($A345)),NA(),IF(OR($A345&lt;MIN(DKW_10Y!$A$2:$A$2918),$A345&gt;MAX(DKW_10Y!$A$2:$A$2918),Settings!$B$16&lt;MIN(DKW_10Y!$A$2:$A$2918)),NA(),(INDEX(DKW_10Y!$D$2:$D$2918,MATCH($A345,DKW_10Y!$A$2:$A$2918,1))-INDEX(DKW_10Y!$D$2:$D$2918,MATCH(Settings!$B$16,DKW_10Y!$A$2:$A$2918,1)))*100))</f>
        <v/>
      </c>
      <c r="AA345" s="19">
        <f>IF(NOT(ISNUMBER($A345)),NA(),IF(OR($A345&lt;MIN(DKW_10Y!$A$2:$A$2918),$A345&gt;MAX(DKW_10Y!$A$2:$A$2918),Settings!$B$16&lt;MIN(DKW_10Y!$A$2:$A$2918)),NA(),(INDEX(DKW_10Y!$E$2:$E$2918,MATCH($A345,DKW_10Y!$A$2:$A$2918,1))-INDEX(DKW_10Y!$E$2:$E$2918,MATCH(Settings!$B$16,DKW_10Y!$A$2:$A$2918,1)))*100))</f>
        <v/>
      </c>
      <c r="AB345" s="19">
        <f>IF(NOT(ISNUMBER($A345)),NA(),IF(OR($A345&lt;MIN(DKW_10Y!$A$2:$A$2918),$A345&gt;MAX(DKW_10Y!$A$2:$A$2918),Settings!$B$16&lt;MIN(DKW_10Y!$A$2:$A$2918)),NA(),(INDEX(DKW_10Y!$H$2:$H$2918,MATCH($A345,DKW_10Y!$A$2:$A$2918,1))-INDEX(DKW_10Y!$H$2:$H$2918,MATCH(Settings!$B$16,DKW_10Y!$A$2:$A$2918,1)))*100))</f>
        <v/>
      </c>
      <c r="AC345" s="18">
        <f>IF(NOT(ISNUMBER($A345)),NA(),IFERROR(1*INDEX(BBG_Data!$N$2:$N$4000,MATCH($A345,BBG_Data!$M$2:$M$4000,0)),NA()))</f>
        <v/>
      </c>
      <c r="AD345" s="18">
        <f>IF(NOT(ISNUMBER($A345)),NA(),IFERROR(1*INDEX(BBG_Data!$P$2:$P$4000,MATCH($A345,BBG_Data!$O$2:$O$4000,0)),NA()))</f>
        <v/>
      </c>
      <c r="AE345" s="18">
        <f>IF(NOT(ISNUMBER($A345)),NA(),IFERROR(1*INDEX(BBG_Data!$R$2:$R$4000,MATCH($A345,BBG_Data!$Q$2:$Q$4000,0)),NA()))</f>
        <v/>
      </c>
      <c r="AF345" s="20">
        <f>IF(AND(ISNUMBER(B345),ISNUMBER(AC345)),(B345-AC345)*100,NA())</f>
        <v/>
      </c>
      <c r="AG345" s="20">
        <f>IF(AND(ISNUMBER(AE345),ISNUMBER(AD345)),(AE345-AD345)*100,NA())</f>
        <v/>
      </c>
      <c r="AH345" s="19">
        <f>IF(NOT(ISNUMBER($A345)),NA(),IFERROR(INDEX(BBG_Data!$T$2:$T$4000,MATCH($A345,BBG_Data!$S$2:$S$4000,0))*Settings!$B$25,NA()))</f>
        <v/>
      </c>
      <c r="AI345" s="19">
        <f>IF(NOT(ISNUMBER($A345)),NA(),IFERROR(INDEX(BBG_Data!$V$2:$V$4000,MATCH($A345,BBG_Data!$U$2:$U$4000,0))*Settings!$B$25,NA()))</f>
        <v/>
      </c>
      <c r="AJ345" s="19">
        <f>IF(NOT(ISNUMBER($A345)),NA(),IFERROR(1*INDEX(BBG_Data!$X$2:$X$4000,MATCH($A345,BBG_Data!$W$2:$W$4000,0)),NA()))</f>
        <v/>
      </c>
      <c r="AK345" s="19">
        <f>IF(NOT(ISNUMBER($A345)),NA(),IFERROR(1*INDEX(BBG_Data!$Z$2:$Z$4000,MATCH($A345,BBG_Data!$Y$2:$Y$4000,0)),NA()))</f>
        <v/>
      </c>
    </row>
    <row r="346">
      <c r="A346" s="17">
        <f>IF(ISNUMBER(BBG_Data!A346),BBG_Data!A346,"")</f>
        <v/>
      </c>
      <c r="B346" s="18">
        <f>IF(AND(ISNUMBER($A346),ISNUMBER(BBG_Data!B346)),BBG_Data!B346,NA())</f>
        <v/>
      </c>
      <c r="C346" s="18">
        <f>IF(NOT(ISNUMBER($A346)),NA(),IFERROR(1*INDEX(BBG_Data!$D$2:$D$4000,MATCH($A346,BBG_Data!$C$2:$C$4000,0)),NA()))</f>
        <v/>
      </c>
      <c r="D346" s="19">
        <f>IF(NOT(ISNUMBER($A346)),NA(),IFERROR(1*INDEX(BBG_Data!$F$2:$F$4000,MATCH($A346,BBG_Data!$E$2:$E$4000,0)),NA()))</f>
        <v/>
      </c>
      <c r="E346" s="19">
        <f>IF(NOT(ISNUMBER($A346)),NA(),IFERROR(1*INDEX(BBG_Data!$H$2:$H$4000,MATCH($A346,BBG_Data!$G$2:$G$4000,0)),NA()))</f>
        <v/>
      </c>
      <c r="F346" s="20">
        <f>IF(AND(ISNUMBER(B346),ISNUMBER(B345)),IF(B346=B345,"",(B346-B345)*100),"")</f>
        <v/>
      </c>
      <c r="G346" s="20">
        <f>IF(AND(ISNUMBER(C346),ISNUMBER(C345)),IF(C346=C345,"",(C346-C345)*100),"")</f>
        <v/>
      </c>
      <c r="H346" s="20">
        <f>IF(OR(NOT(ISNUMBER($A346)),ROW()-2&lt;Settings!$B$11),NA(),IF(COUNT(OFFSET(F346,1-Settings!$B$11,0,Settings!$B$11,1))&lt;ROUNDUP(Settings!$B$11*Settings!$B$26,0),NA(),STDEV(OFFSET(F346,1-Settings!$B$11,0,Settings!$B$11,1))*SQRT(Settings!$B$13)))</f>
        <v/>
      </c>
      <c r="I346" s="20">
        <f>IF(OR(NOT(ISNUMBER($A346)),ROW()-2&lt;Settings!$B$12),NA(),IF(COUNT(OFFSET(F346,1-Settings!$B$12,0,Settings!$B$12,1))&lt;ROUNDUP(Settings!$B$12*Settings!$B$26,0),NA(),STDEV(OFFSET(F346,1-Settings!$B$12,0,Settings!$B$12,1))*SQRT(Settings!$B$13)))</f>
        <v/>
      </c>
      <c r="J346" s="20">
        <f>IF(OR(NOT(ISNUMBER($A346)),ROW()-2&lt;Settings!$B$11),NA(),IF(COUNT(OFFSET(G346,1-Settings!$B$11,0,Settings!$B$11,1))&lt;ROUNDUP(Settings!$B$11*Settings!$B$26,0),NA(),STDEV(OFFSET(G346,1-Settings!$B$11,0,Settings!$B$11,1))*SQRT(Settings!$B$13)))</f>
        <v/>
      </c>
      <c r="K346" s="20">
        <f>IF(OR(NOT(ISNUMBER($A346)),ROW()-2&lt;Settings!$B$12),NA(),IF(COUNT(OFFSET(G346,1-Settings!$B$12,0,Settings!$B$12,1))&lt;ROUNDUP(Settings!$B$12*Settings!$B$26,0),NA(),STDEV(OFFSET(G346,1-Settings!$B$12,0,Settings!$B$12,1))*SQRT(Settings!$B$13)))</f>
        <v/>
      </c>
      <c r="L346" s="20">
        <f>IF(AND(ISNUMBER(D346),ISNUMBER(H346)),D346-H346,NA())</f>
        <v/>
      </c>
      <c r="M346" s="20">
        <f>IF(AND(ISNUMBER(E346),ISNUMBER(K346)),E346-K346,NA())</f>
        <v/>
      </c>
      <c r="N346" s="20">
        <f>IF(NOT(ISNUMBER($A346)),NA(),IF(COUNT(OFFSET(G346,1,0,Settings!$B$12,1))&lt;ROUNDUP(Settings!$B$12*Settings!$B$26,0),NA(),STDEV(OFFSET(G346,1,0,Settings!$B$12,1))*SQRT(Settings!$B$13)))</f>
        <v/>
      </c>
      <c r="O346" s="20">
        <f>IF(AND(ISNUMBER(E346),ISNUMBER(N346)),E346-N346,NA())</f>
        <v/>
      </c>
      <c r="P346" s="19">
        <f>IF(NOT(ISNUMBER($A346)),NA(),IF(OR($A346&lt;MIN(KW_TP!$A$2:$A$2501),$A346&gt;MAX(KW_TP!$A$2:$A$2501)),NA(),INDEX(KW_TP!$C$2:$C$2501,MATCH($A346,KW_TP!$A$2:$A$2501,1))))</f>
        <v/>
      </c>
      <c r="Q346" s="18">
        <f>IF(NOT(ISNUMBER($A346)),NA(),IFERROR(1*INDEX(BBG_Data!$J$2:$J$4000,MATCH($A346,BBG_Data!$I$2:$I$4000,0)),NA()))</f>
        <v/>
      </c>
      <c r="R346" s="18">
        <f>IF(NOT(ISNUMBER($A346)),NA(),IFERROR(1*INDEX(BBG_Data!$L$2:$L$4000,MATCH($A346,BBG_Data!$K$2:$K$4000,0)),NA()))</f>
        <v/>
      </c>
      <c r="S346" s="20">
        <f>IF(AND(ISNUMBER(B346),ISNUMBER(Q346),ISNUMBER(R346)),(B346-Q346-R346)*100,NA())</f>
        <v/>
      </c>
      <c r="T346" s="20">
        <f>IF(AND(ISNUMBER(B346),Settings!$B$17&gt;0),IF(ISNUMBER(INDEX($B:$B,Settings!$B$17)),(B346-INDEX($B:$B,Settings!$B$17))*100,NA()),NA())</f>
        <v/>
      </c>
      <c r="U346" s="20">
        <f>IF(AND(ISNUMBER(Q346),Settings!$B$17&gt;0),IF(ISNUMBER(INDEX($Q:$Q,Settings!$B$17)),(Q346-INDEX($Q:$Q,Settings!$B$17))*100,NA()),NA())</f>
        <v/>
      </c>
      <c r="V346" s="20">
        <f>IF(AND(ISNUMBER(R346),Settings!$B$17&gt;0),IF(ISNUMBER(INDEX($R:$R,Settings!$B$17)),(R346-INDEX($R:$R,Settings!$B$17))*100,NA()),NA())</f>
        <v/>
      </c>
      <c r="W346" s="20">
        <f>IF(AND(ISNUMBER(P346),Settings!$B$17&gt;0),IF(ISNUMBER(INDEX($P:$P,Settings!$B$17)),P346-INDEX($P:$P,Settings!$B$17),NA()),NA())</f>
        <v/>
      </c>
      <c r="X346" s="19">
        <f>IF(NOT(ISNUMBER($A346)),NA(),IF(OR($A346&lt;MIN(DKW_10Y!$A$2:$A$2918),$A346&gt;MAX(DKW_10Y!$A$2:$A$2918),Settings!$B$16&lt;MIN(DKW_10Y!$A$2:$A$2918)),NA(),(INDEX(DKW_10Y!$B$2:$B$2918,MATCH($A346,DKW_10Y!$A$2:$A$2918,1))-INDEX(DKW_10Y!$B$2:$B$2918,MATCH(Settings!$B$16,DKW_10Y!$A$2:$A$2918,1)))*100))</f>
        <v/>
      </c>
      <c r="Y346" s="19">
        <f>IF(NOT(ISNUMBER($A346)),NA(),IF(OR($A346&lt;MIN(DKW_10Y!$A$2:$A$2918),$A346&gt;MAX(DKW_10Y!$A$2:$A$2918),Settings!$B$16&lt;MIN(DKW_10Y!$A$2:$A$2918)),NA(),(INDEX(DKW_10Y!$C$2:$C$2918,MATCH($A346,DKW_10Y!$A$2:$A$2918,1))-INDEX(DKW_10Y!$C$2:$C$2918,MATCH(Settings!$B$16,DKW_10Y!$A$2:$A$2918,1)))*100))</f>
        <v/>
      </c>
      <c r="Z346" s="19">
        <f>IF(NOT(ISNUMBER($A346)),NA(),IF(OR($A346&lt;MIN(DKW_10Y!$A$2:$A$2918),$A346&gt;MAX(DKW_10Y!$A$2:$A$2918),Settings!$B$16&lt;MIN(DKW_10Y!$A$2:$A$2918)),NA(),(INDEX(DKW_10Y!$D$2:$D$2918,MATCH($A346,DKW_10Y!$A$2:$A$2918,1))-INDEX(DKW_10Y!$D$2:$D$2918,MATCH(Settings!$B$16,DKW_10Y!$A$2:$A$2918,1)))*100))</f>
        <v/>
      </c>
      <c r="AA346" s="19">
        <f>IF(NOT(ISNUMBER($A346)),NA(),IF(OR($A346&lt;MIN(DKW_10Y!$A$2:$A$2918),$A346&gt;MAX(DKW_10Y!$A$2:$A$2918),Settings!$B$16&lt;MIN(DKW_10Y!$A$2:$A$2918)),NA(),(INDEX(DKW_10Y!$E$2:$E$2918,MATCH($A346,DKW_10Y!$A$2:$A$2918,1))-INDEX(DKW_10Y!$E$2:$E$2918,MATCH(Settings!$B$16,DKW_10Y!$A$2:$A$2918,1)))*100))</f>
        <v/>
      </c>
      <c r="AB346" s="19">
        <f>IF(NOT(ISNUMBER($A346)),NA(),IF(OR($A346&lt;MIN(DKW_10Y!$A$2:$A$2918),$A346&gt;MAX(DKW_10Y!$A$2:$A$2918),Settings!$B$16&lt;MIN(DKW_10Y!$A$2:$A$2918)),NA(),(INDEX(DKW_10Y!$H$2:$H$2918,MATCH($A346,DKW_10Y!$A$2:$A$2918,1))-INDEX(DKW_10Y!$H$2:$H$2918,MATCH(Settings!$B$16,DKW_10Y!$A$2:$A$2918,1)))*100))</f>
        <v/>
      </c>
      <c r="AC346" s="18">
        <f>IF(NOT(ISNUMBER($A346)),NA(),IFERROR(1*INDEX(BBG_Data!$N$2:$N$4000,MATCH($A346,BBG_Data!$M$2:$M$4000,0)),NA()))</f>
        <v/>
      </c>
      <c r="AD346" s="18">
        <f>IF(NOT(ISNUMBER($A346)),NA(),IFERROR(1*INDEX(BBG_Data!$P$2:$P$4000,MATCH($A346,BBG_Data!$O$2:$O$4000,0)),NA()))</f>
        <v/>
      </c>
      <c r="AE346" s="18">
        <f>IF(NOT(ISNUMBER($A346)),NA(),IFERROR(1*INDEX(BBG_Data!$R$2:$R$4000,MATCH($A346,BBG_Data!$Q$2:$Q$4000,0)),NA()))</f>
        <v/>
      </c>
      <c r="AF346" s="20">
        <f>IF(AND(ISNUMBER(B346),ISNUMBER(AC346)),(B346-AC346)*100,NA())</f>
        <v/>
      </c>
      <c r="AG346" s="20">
        <f>IF(AND(ISNUMBER(AE346),ISNUMBER(AD346)),(AE346-AD346)*100,NA())</f>
        <v/>
      </c>
      <c r="AH346" s="19">
        <f>IF(NOT(ISNUMBER($A346)),NA(),IFERROR(INDEX(BBG_Data!$T$2:$T$4000,MATCH($A346,BBG_Data!$S$2:$S$4000,0))*Settings!$B$25,NA()))</f>
        <v/>
      </c>
      <c r="AI346" s="19">
        <f>IF(NOT(ISNUMBER($A346)),NA(),IFERROR(INDEX(BBG_Data!$V$2:$V$4000,MATCH($A346,BBG_Data!$U$2:$U$4000,0))*Settings!$B$25,NA()))</f>
        <v/>
      </c>
      <c r="AJ346" s="19">
        <f>IF(NOT(ISNUMBER($A346)),NA(),IFERROR(1*INDEX(BBG_Data!$X$2:$X$4000,MATCH($A346,BBG_Data!$W$2:$W$4000,0)),NA()))</f>
        <v/>
      </c>
      <c r="AK346" s="19">
        <f>IF(NOT(ISNUMBER($A346)),NA(),IFERROR(1*INDEX(BBG_Data!$Z$2:$Z$4000,MATCH($A346,BBG_Data!$Y$2:$Y$4000,0)),NA()))</f>
        <v/>
      </c>
    </row>
    <row r="347">
      <c r="A347" s="17">
        <f>IF(ISNUMBER(BBG_Data!A347),BBG_Data!A347,"")</f>
        <v/>
      </c>
      <c r="B347" s="18">
        <f>IF(AND(ISNUMBER($A347),ISNUMBER(BBG_Data!B347)),BBG_Data!B347,NA())</f>
        <v/>
      </c>
      <c r="C347" s="18">
        <f>IF(NOT(ISNUMBER($A347)),NA(),IFERROR(1*INDEX(BBG_Data!$D$2:$D$4000,MATCH($A347,BBG_Data!$C$2:$C$4000,0)),NA()))</f>
        <v/>
      </c>
      <c r="D347" s="19">
        <f>IF(NOT(ISNUMBER($A347)),NA(),IFERROR(1*INDEX(BBG_Data!$F$2:$F$4000,MATCH($A347,BBG_Data!$E$2:$E$4000,0)),NA()))</f>
        <v/>
      </c>
      <c r="E347" s="19">
        <f>IF(NOT(ISNUMBER($A347)),NA(),IFERROR(1*INDEX(BBG_Data!$H$2:$H$4000,MATCH($A347,BBG_Data!$G$2:$G$4000,0)),NA()))</f>
        <v/>
      </c>
      <c r="F347" s="20">
        <f>IF(AND(ISNUMBER(B347),ISNUMBER(B346)),IF(B347=B346,"",(B347-B346)*100),"")</f>
        <v/>
      </c>
      <c r="G347" s="20">
        <f>IF(AND(ISNUMBER(C347),ISNUMBER(C346)),IF(C347=C346,"",(C347-C346)*100),"")</f>
        <v/>
      </c>
      <c r="H347" s="20">
        <f>IF(OR(NOT(ISNUMBER($A347)),ROW()-2&lt;Settings!$B$11),NA(),IF(COUNT(OFFSET(F347,1-Settings!$B$11,0,Settings!$B$11,1))&lt;ROUNDUP(Settings!$B$11*Settings!$B$26,0),NA(),STDEV(OFFSET(F347,1-Settings!$B$11,0,Settings!$B$11,1))*SQRT(Settings!$B$13)))</f>
        <v/>
      </c>
      <c r="I347" s="20">
        <f>IF(OR(NOT(ISNUMBER($A347)),ROW()-2&lt;Settings!$B$12),NA(),IF(COUNT(OFFSET(F347,1-Settings!$B$12,0,Settings!$B$12,1))&lt;ROUNDUP(Settings!$B$12*Settings!$B$26,0),NA(),STDEV(OFFSET(F347,1-Settings!$B$12,0,Settings!$B$12,1))*SQRT(Settings!$B$13)))</f>
        <v/>
      </c>
      <c r="J347" s="20">
        <f>IF(OR(NOT(ISNUMBER($A347)),ROW()-2&lt;Settings!$B$11),NA(),IF(COUNT(OFFSET(G347,1-Settings!$B$11,0,Settings!$B$11,1))&lt;ROUNDUP(Settings!$B$11*Settings!$B$26,0),NA(),STDEV(OFFSET(G347,1-Settings!$B$11,0,Settings!$B$11,1))*SQRT(Settings!$B$13)))</f>
        <v/>
      </c>
      <c r="K347" s="20">
        <f>IF(OR(NOT(ISNUMBER($A347)),ROW()-2&lt;Settings!$B$12),NA(),IF(COUNT(OFFSET(G347,1-Settings!$B$12,0,Settings!$B$12,1))&lt;ROUNDUP(Settings!$B$12*Settings!$B$26,0),NA(),STDEV(OFFSET(G347,1-Settings!$B$12,0,Settings!$B$12,1))*SQRT(Settings!$B$13)))</f>
        <v/>
      </c>
      <c r="L347" s="20">
        <f>IF(AND(ISNUMBER(D347),ISNUMBER(H347)),D347-H347,NA())</f>
        <v/>
      </c>
      <c r="M347" s="20">
        <f>IF(AND(ISNUMBER(E347),ISNUMBER(K347)),E347-K347,NA())</f>
        <v/>
      </c>
      <c r="N347" s="20">
        <f>IF(NOT(ISNUMBER($A347)),NA(),IF(COUNT(OFFSET(G347,1,0,Settings!$B$12,1))&lt;ROUNDUP(Settings!$B$12*Settings!$B$26,0),NA(),STDEV(OFFSET(G347,1,0,Settings!$B$12,1))*SQRT(Settings!$B$13)))</f>
        <v/>
      </c>
      <c r="O347" s="20">
        <f>IF(AND(ISNUMBER(E347),ISNUMBER(N347)),E347-N347,NA())</f>
        <v/>
      </c>
      <c r="P347" s="19">
        <f>IF(NOT(ISNUMBER($A347)),NA(),IF(OR($A347&lt;MIN(KW_TP!$A$2:$A$2501),$A347&gt;MAX(KW_TP!$A$2:$A$2501)),NA(),INDEX(KW_TP!$C$2:$C$2501,MATCH($A347,KW_TP!$A$2:$A$2501,1))))</f>
        <v/>
      </c>
      <c r="Q347" s="18">
        <f>IF(NOT(ISNUMBER($A347)),NA(),IFERROR(1*INDEX(BBG_Data!$J$2:$J$4000,MATCH($A347,BBG_Data!$I$2:$I$4000,0)),NA()))</f>
        <v/>
      </c>
      <c r="R347" s="18">
        <f>IF(NOT(ISNUMBER($A347)),NA(),IFERROR(1*INDEX(BBG_Data!$L$2:$L$4000,MATCH($A347,BBG_Data!$K$2:$K$4000,0)),NA()))</f>
        <v/>
      </c>
      <c r="S347" s="20">
        <f>IF(AND(ISNUMBER(B347),ISNUMBER(Q347),ISNUMBER(R347)),(B347-Q347-R347)*100,NA())</f>
        <v/>
      </c>
      <c r="T347" s="20">
        <f>IF(AND(ISNUMBER(B347),Settings!$B$17&gt;0),IF(ISNUMBER(INDEX($B:$B,Settings!$B$17)),(B347-INDEX($B:$B,Settings!$B$17))*100,NA()),NA())</f>
        <v/>
      </c>
      <c r="U347" s="20">
        <f>IF(AND(ISNUMBER(Q347),Settings!$B$17&gt;0),IF(ISNUMBER(INDEX($Q:$Q,Settings!$B$17)),(Q347-INDEX($Q:$Q,Settings!$B$17))*100,NA()),NA())</f>
        <v/>
      </c>
      <c r="V347" s="20">
        <f>IF(AND(ISNUMBER(R347),Settings!$B$17&gt;0),IF(ISNUMBER(INDEX($R:$R,Settings!$B$17)),(R347-INDEX($R:$R,Settings!$B$17))*100,NA()),NA())</f>
        <v/>
      </c>
      <c r="W347" s="20">
        <f>IF(AND(ISNUMBER(P347),Settings!$B$17&gt;0),IF(ISNUMBER(INDEX($P:$P,Settings!$B$17)),P347-INDEX($P:$P,Settings!$B$17),NA()),NA())</f>
        <v/>
      </c>
      <c r="X347" s="19">
        <f>IF(NOT(ISNUMBER($A347)),NA(),IF(OR($A347&lt;MIN(DKW_10Y!$A$2:$A$2918),$A347&gt;MAX(DKW_10Y!$A$2:$A$2918),Settings!$B$16&lt;MIN(DKW_10Y!$A$2:$A$2918)),NA(),(INDEX(DKW_10Y!$B$2:$B$2918,MATCH($A347,DKW_10Y!$A$2:$A$2918,1))-INDEX(DKW_10Y!$B$2:$B$2918,MATCH(Settings!$B$16,DKW_10Y!$A$2:$A$2918,1)))*100))</f>
        <v/>
      </c>
      <c r="Y347" s="19">
        <f>IF(NOT(ISNUMBER($A347)),NA(),IF(OR($A347&lt;MIN(DKW_10Y!$A$2:$A$2918),$A347&gt;MAX(DKW_10Y!$A$2:$A$2918),Settings!$B$16&lt;MIN(DKW_10Y!$A$2:$A$2918)),NA(),(INDEX(DKW_10Y!$C$2:$C$2918,MATCH($A347,DKW_10Y!$A$2:$A$2918,1))-INDEX(DKW_10Y!$C$2:$C$2918,MATCH(Settings!$B$16,DKW_10Y!$A$2:$A$2918,1)))*100))</f>
        <v/>
      </c>
      <c r="Z347" s="19">
        <f>IF(NOT(ISNUMBER($A347)),NA(),IF(OR($A347&lt;MIN(DKW_10Y!$A$2:$A$2918),$A347&gt;MAX(DKW_10Y!$A$2:$A$2918),Settings!$B$16&lt;MIN(DKW_10Y!$A$2:$A$2918)),NA(),(INDEX(DKW_10Y!$D$2:$D$2918,MATCH($A347,DKW_10Y!$A$2:$A$2918,1))-INDEX(DKW_10Y!$D$2:$D$2918,MATCH(Settings!$B$16,DKW_10Y!$A$2:$A$2918,1)))*100))</f>
        <v/>
      </c>
      <c r="AA347" s="19">
        <f>IF(NOT(ISNUMBER($A347)),NA(),IF(OR($A347&lt;MIN(DKW_10Y!$A$2:$A$2918),$A347&gt;MAX(DKW_10Y!$A$2:$A$2918),Settings!$B$16&lt;MIN(DKW_10Y!$A$2:$A$2918)),NA(),(INDEX(DKW_10Y!$E$2:$E$2918,MATCH($A347,DKW_10Y!$A$2:$A$2918,1))-INDEX(DKW_10Y!$E$2:$E$2918,MATCH(Settings!$B$16,DKW_10Y!$A$2:$A$2918,1)))*100))</f>
        <v/>
      </c>
      <c r="AB347" s="19">
        <f>IF(NOT(ISNUMBER($A347)),NA(),IF(OR($A347&lt;MIN(DKW_10Y!$A$2:$A$2918),$A347&gt;MAX(DKW_10Y!$A$2:$A$2918),Settings!$B$16&lt;MIN(DKW_10Y!$A$2:$A$2918)),NA(),(INDEX(DKW_10Y!$H$2:$H$2918,MATCH($A347,DKW_10Y!$A$2:$A$2918,1))-INDEX(DKW_10Y!$H$2:$H$2918,MATCH(Settings!$B$16,DKW_10Y!$A$2:$A$2918,1)))*100))</f>
        <v/>
      </c>
      <c r="AC347" s="18">
        <f>IF(NOT(ISNUMBER($A347)),NA(),IFERROR(1*INDEX(BBG_Data!$N$2:$N$4000,MATCH($A347,BBG_Data!$M$2:$M$4000,0)),NA()))</f>
        <v/>
      </c>
      <c r="AD347" s="18">
        <f>IF(NOT(ISNUMBER($A347)),NA(),IFERROR(1*INDEX(BBG_Data!$P$2:$P$4000,MATCH($A347,BBG_Data!$O$2:$O$4000,0)),NA()))</f>
        <v/>
      </c>
      <c r="AE347" s="18">
        <f>IF(NOT(ISNUMBER($A347)),NA(),IFERROR(1*INDEX(BBG_Data!$R$2:$R$4000,MATCH($A347,BBG_Data!$Q$2:$Q$4000,0)),NA()))</f>
        <v/>
      </c>
      <c r="AF347" s="20">
        <f>IF(AND(ISNUMBER(B347),ISNUMBER(AC347)),(B347-AC347)*100,NA())</f>
        <v/>
      </c>
      <c r="AG347" s="20">
        <f>IF(AND(ISNUMBER(AE347),ISNUMBER(AD347)),(AE347-AD347)*100,NA())</f>
        <v/>
      </c>
      <c r="AH347" s="19">
        <f>IF(NOT(ISNUMBER($A347)),NA(),IFERROR(INDEX(BBG_Data!$T$2:$T$4000,MATCH($A347,BBG_Data!$S$2:$S$4000,0))*Settings!$B$25,NA()))</f>
        <v/>
      </c>
      <c r="AI347" s="19">
        <f>IF(NOT(ISNUMBER($A347)),NA(),IFERROR(INDEX(BBG_Data!$V$2:$V$4000,MATCH($A347,BBG_Data!$U$2:$U$4000,0))*Settings!$B$25,NA()))</f>
        <v/>
      </c>
      <c r="AJ347" s="19">
        <f>IF(NOT(ISNUMBER($A347)),NA(),IFERROR(1*INDEX(BBG_Data!$X$2:$X$4000,MATCH($A347,BBG_Data!$W$2:$W$4000,0)),NA()))</f>
        <v/>
      </c>
      <c r="AK347" s="19">
        <f>IF(NOT(ISNUMBER($A347)),NA(),IFERROR(1*INDEX(BBG_Data!$Z$2:$Z$4000,MATCH($A347,BBG_Data!$Y$2:$Y$4000,0)),NA()))</f>
        <v/>
      </c>
    </row>
    <row r="348">
      <c r="A348" s="17">
        <f>IF(ISNUMBER(BBG_Data!A348),BBG_Data!A348,"")</f>
        <v/>
      </c>
      <c r="B348" s="18">
        <f>IF(AND(ISNUMBER($A348),ISNUMBER(BBG_Data!B348)),BBG_Data!B348,NA())</f>
        <v/>
      </c>
      <c r="C348" s="18">
        <f>IF(NOT(ISNUMBER($A348)),NA(),IFERROR(1*INDEX(BBG_Data!$D$2:$D$4000,MATCH($A348,BBG_Data!$C$2:$C$4000,0)),NA()))</f>
        <v/>
      </c>
      <c r="D348" s="19">
        <f>IF(NOT(ISNUMBER($A348)),NA(),IFERROR(1*INDEX(BBG_Data!$F$2:$F$4000,MATCH($A348,BBG_Data!$E$2:$E$4000,0)),NA()))</f>
        <v/>
      </c>
      <c r="E348" s="19">
        <f>IF(NOT(ISNUMBER($A348)),NA(),IFERROR(1*INDEX(BBG_Data!$H$2:$H$4000,MATCH($A348,BBG_Data!$G$2:$G$4000,0)),NA()))</f>
        <v/>
      </c>
      <c r="F348" s="20">
        <f>IF(AND(ISNUMBER(B348),ISNUMBER(B347)),IF(B348=B347,"",(B348-B347)*100),"")</f>
        <v/>
      </c>
      <c r="G348" s="20">
        <f>IF(AND(ISNUMBER(C348),ISNUMBER(C347)),IF(C348=C347,"",(C348-C347)*100),"")</f>
        <v/>
      </c>
      <c r="H348" s="20">
        <f>IF(OR(NOT(ISNUMBER($A348)),ROW()-2&lt;Settings!$B$11),NA(),IF(COUNT(OFFSET(F348,1-Settings!$B$11,0,Settings!$B$11,1))&lt;ROUNDUP(Settings!$B$11*Settings!$B$26,0),NA(),STDEV(OFFSET(F348,1-Settings!$B$11,0,Settings!$B$11,1))*SQRT(Settings!$B$13)))</f>
        <v/>
      </c>
      <c r="I348" s="20">
        <f>IF(OR(NOT(ISNUMBER($A348)),ROW()-2&lt;Settings!$B$12),NA(),IF(COUNT(OFFSET(F348,1-Settings!$B$12,0,Settings!$B$12,1))&lt;ROUNDUP(Settings!$B$12*Settings!$B$26,0),NA(),STDEV(OFFSET(F348,1-Settings!$B$12,0,Settings!$B$12,1))*SQRT(Settings!$B$13)))</f>
        <v/>
      </c>
      <c r="J348" s="20">
        <f>IF(OR(NOT(ISNUMBER($A348)),ROW()-2&lt;Settings!$B$11),NA(),IF(COUNT(OFFSET(G348,1-Settings!$B$11,0,Settings!$B$11,1))&lt;ROUNDUP(Settings!$B$11*Settings!$B$26,0),NA(),STDEV(OFFSET(G348,1-Settings!$B$11,0,Settings!$B$11,1))*SQRT(Settings!$B$13)))</f>
        <v/>
      </c>
      <c r="K348" s="20">
        <f>IF(OR(NOT(ISNUMBER($A348)),ROW()-2&lt;Settings!$B$12),NA(),IF(COUNT(OFFSET(G348,1-Settings!$B$12,0,Settings!$B$12,1))&lt;ROUNDUP(Settings!$B$12*Settings!$B$26,0),NA(),STDEV(OFFSET(G348,1-Settings!$B$12,0,Settings!$B$12,1))*SQRT(Settings!$B$13)))</f>
        <v/>
      </c>
      <c r="L348" s="20">
        <f>IF(AND(ISNUMBER(D348),ISNUMBER(H348)),D348-H348,NA())</f>
        <v/>
      </c>
      <c r="M348" s="20">
        <f>IF(AND(ISNUMBER(E348),ISNUMBER(K348)),E348-K348,NA())</f>
        <v/>
      </c>
      <c r="N348" s="20">
        <f>IF(NOT(ISNUMBER($A348)),NA(),IF(COUNT(OFFSET(G348,1,0,Settings!$B$12,1))&lt;ROUNDUP(Settings!$B$12*Settings!$B$26,0),NA(),STDEV(OFFSET(G348,1,0,Settings!$B$12,1))*SQRT(Settings!$B$13)))</f>
        <v/>
      </c>
      <c r="O348" s="20">
        <f>IF(AND(ISNUMBER(E348),ISNUMBER(N348)),E348-N348,NA())</f>
        <v/>
      </c>
      <c r="P348" s="19">
        <f>IF(NOT(ISNUMBER($A348)),NA(),IF(OR($A348&lt;MIN(KW_TP!$A$2:$A$2501),$A348&gt;MAX(KW_TP!$A$2:$A$2501)),NA(),INDEX(KW_TP!$C$2:$C$2501,MATCH($A348,KW_TP!$A$2:$A$2501,1))))</f>
        <v/>
      </c>
      <c r="Q348" s="18">
        <f>IF(NOT(ISNUMBER($A348)),NA(),IFERROR(1*INDEX(BBG_Data!$J$2:$J$4000,MATCH($A348,BBG_Data!$I$2:$I$4000,0)),NA()))</f>
        <v/>
      </c>
      <c r="R348" s="18">
        <f>IF(NOT(ISNUMBER($A348)),NA(),IFERROR(1*INDEX(BBG_Data!$L$2:$L$4000,MATCH($A348,BBG_Data!$K$2:$K$4000,0)),NA()))</f>
        <v/>
      </c>
      <c r="S348" s="20">
        <f>IF(AND(ISNUMBER(B348),ISNUMBER(Q348),ISNUMBER(R348)),(B348-Q348-R348)*100,NA())</f>
        <v/>
      </c>
      <c r="T348" s="20">
        <f>IF(AND(ISNUMBER(B348),Settings!$B$17&gt;0),IF(ISNUMBER(INDEX($B:$B,Settings!$B$17)),(B348-INDEX($B:$B,Settings!$B$17))*100,NA()),NA())</f>
        <v/>
      </c>
      <c r="U348" s="20">
        <f>IF(AND(ISNUMBER(Q348),Settings!$B$17&gt;0),IF(ISNUMBER(INDEX($Q:$Q,Settings!$B$17)),(Q348-INDEX($Q:$Q,Settings!$B$17))*100,NA()),NA())</f>
        <v/>
      </c>
      <c r="V348" s="20">
        <f>IF(AND(ISNUMBER(R348),Settings!$B$17&gt;0),IF(ISNUMBER(INDEX($R:$R,Settings!$B$17)),(R348-INDEX($R:$R,Settings!$B$17))*100,NA()),NA())</f>
        <v/>
      </c>
      <c r="W348" s="20">
        <f>IF(AND(ISNUMBER(P348),Settings!$B$17&gt;0),IF(ISNUMBER(INDEX($P:$P,Settings!$B$17)),P348-INDEX($P:$P,Settings!$B$17),NA()),NA())</f>
        <v/>
      </c>
      <c r="X348" s="19">
        <f>IF(NOT(ISNUMBER($A348)),NA(),IF(OR($A348&lt;MIN(DKW_10Y!$A$2:$A$2918),$A348&gt;MAX(DKW_10Y!$A$2:$A$2918),Settings!$B$16&lt;MIN(DKW_10Y!$A$2:$A$2918)),NA(),(INDEX(DKW_10Y!$B$2:$B$2918,MATCH($A348,DKW_10Y!$A$2:$A$2918,1))-INDEX(DKW_10Y!$B$2:$B$2918,MATCH(Settings!$B$16,DKW_10Y!$A$2:$A$2918,1)))*100))</f>
        <v/>
      </c>
      <c r="Y348" s="19">
        <f>IF(NOT(ISNUMBER($A348)),NA(),IF(OR($A348&lt;MIN(DKW_10Y!$A$2:$A$2918),$A348&gt;MAX(DKW_10Y!$A$2:$A$2918),Settings!$B$16&lt;MIN(DKW_10Y!$A$2:$A$2918)),NA(),(INDEX(DKW_10Y!$C$2:$C$2918,MATCH($A348,DKW_10Y!$A$2:$A$2918,1))-INDEX(DKW_10Y!$C$2:$C$2918,MATCH(Settings!$B$16,DKW_10Y!$A$2:$A$2918,1)))*100))</f>
        <v/>
      </c>
      <c r="Z348" s="19">
        <f>IF(NOT(ISNUMBER($A348)),NA(),IF(OR($A348&lt;MIN(DKW_10Y!$A$2:$A$2918),$A348&gt;MAX(DKW_10Y!$A$2:$A$2918),Settings!$B$16&lt;MIN(DKW_10Y!$A$2:$A$2918)),NA(),(INDEX(DKW_10Y!$D$2:$D$2918,MATCH($A348,DKW_10Y!$A$2:$A$2918,1))-INDEX(DKW_10Y!$D$2:$D$2918,MATCH(Settings!$B$16,DKW_10Y!$A$2:$A$2918,1)))*100))</f>
        <v/>
      </c>
      <c r="AA348" s="19">
        <f>IF(NOT(ISNUMBER($A348)),NA(),IF(OR($A348&lt;MIN(DKW_10Y!$A$2:$A$2918),$A348&gt;MAX(DKW_10Y!$A$2:$A$2918),Settings!$B$16&lt;MIN(DKW_10Y!$A$2:$A$2918)),NA(),(INDEX(DKW_10Y!$E$2:$E$2918,MATCH($A348,DKW_10Y!$A$2:$A$2918,1))-INDEX(DKW_10Y!$E$2:$E$2918,MATCH(Settings!$B$16,DKW_10Y!$A$2:$A$2918,1)))*100))</f>
        <v/>
      </c>
      <c r="AB348" s="19">
        <f>IF(NOT(ISNUMBER($A348)),NA(),IF(OR($A348&lt;MIN(DKW_10Y!$A$2:$A$2918),$A348&gt;MAX(DKW_10Y!$A$2:$A$2918),Settings!$B$16&lt;MIN(DKW_10Y!$A$2:$A$2918)),NA(),(INDEX(DKW_10Y!$H$2:$H$2918,MATCH($A348,DKW_10Y!$A$2:$A$2918,1))-INDEX(DKW_10Y!$H$2:$H$2918,MATCH(Settings!$B$16,DKW_10Y!$A$2:$A$2918,1)))*100))</f>
        <v/>
      </c>
      <c r="AC348" s="18">
        <f>IF(NOT(ISNUMBER($A348)),NA(),IFERROR(1*INDEX(BBG_Data!$N$2:$N$4000,MATCH($A348,BBG_Data!$M$2:$M$4000,0)),NA()))</f>
        <v/>
      </c>
      <c r="AD348" s="18">
        <f>IF(NOT(ISNUMBER($A348)),NA(),IFERROR(1*INDEX(BBG_Data!$P$2:$P$4000,MATCH($A348,BBG_Data!$O$2:$O$4000,0)),NA()))</f>
        <v/>
      </c>
      <c r="AE348" s="18">
        <f>IF(NOT(ISNUMBER($A348)),NA(),IFERROR(1*INDEX(BBG_Data!$R$2:$R$4000,MATCH($A348,BBG_Data!$Q$2:$Q$4000,0)),NA()))</f>
        <v/>
      </c>
      <c r="AF348" s="20">
        <f>IF(AND(ISNUMBER(B348),ISNUMBER(AC348)),(B348-AC348)*100,NA())</f>
        <v/>
      </c>
      <c r="AG348" s="20">
        <f>IF(AND(ISNUMBER(AE348),ISNUMBER(AD348)),(AE348-AD348)*100,NA())</f>
        <v/>
      </c>
      <c r="AH348" s="19">
        <f>IF(NOT(ISNUMBER($A348)),NA(),IFERROR(INDEX(BBG_Data!$T$2:$T$4000,MATCH($A348,BBG_Data!$S$2:$S$4000,0))*Settings!$B$25,NA()))</f>
        <v/>
      </c>
      <c r="AI348" s="19">
        <f>IF(NOT(ISNUMBER($A348)),NA(),IFERROR(INDEX(BBG_Data!$V$2:$V$4000,MATCH($A348,BBG_Data!$U$2:$U$4000,0))*Settings!$B$25,NA()))</f>
        <v/>
      </c>
      <c r="AJ348" s="19">
        <f>IF(NOT(ISNUMBER($A348)),NA(),IFERROR(1*INDEX(BBG_Data!$X$2:$X$4000,MATCH($A348,BBG_Data!$W$2:$W$4000,0)),NA()))</f>
        <v/>
      </c>
      <c r="AK348" s="19">
        <f>IF(NOT(ISNUMBER($A348)),NA(),IFERROR(1*INDEX(BBG_Data!$Z$2:$Z$4000,MATCH($A348,BBG_Data!$Y$2:$Y$4000,0)),NA()))</f>
        <v/>
      </c>
    </row>
    <row r="349">
      <c r="A349" s="17">
        <f>IF(ISNUMBER(BBG_Data!A349),BBG_Data!A349,"")</f>
        <v/>
      </c>
      <c r="B349" s="18">
        <f>IF(AND(ISNUMBER($A349),ISNUMBER(BBG_Data!B349)),BBG_Data!B349,NA())</f>
        <v/>
      </c>
      <c r="C349" s="18">
        <f>IF(NOT(ISNUMBER($A349)),NA(),IFERROR(1*INDEX(BBG_Data!$D$2:$D$4000,MATCH($A349,BBG_Data!$C$2:$C$4000,0)),NA()))</f>
        <v/>
      </c>
      <c r="D349" s="19">
        <f>IF(NOT(ISNUMBER($A349)),NA(),IFERROR(1*INDEX(BBG_Data!$F$2:$F$4000,MATCH($A349,BBG_Data!$E$2:$E$4000,0)),NA()))</f>
        <v/>
      </c>
      <c r="E349" s="19">
        <f>IF(NOT(ISNUMBER($A349)),NA(),IFERROR(1*INDEX(BBG_Data!$H$2:$H$4000,MATCH($A349,BBG_Data!$G$2:$G$4000,0)),NA()))</f>
        <v/>
      </c>
      <c r="F349" s="20">
        <f>IF(AND(ISNUMBER(B349),ISNUMBER(B348)),IF(B349=B348,"",(B349-B348)*100),"")</f>
        <v/>
      </c>
      <c r="G349" s="20">
        <f>IF(AND(ISNUMBER(C349),ISNUMBER(C348)),IF(C349=C348,"",(C349-C348)*100),"")</f>
        <v/>
      </c>
      <c r="H349" s="20">
        <f>IF(OR(NOT(ISNUMBER($A349)),ROW()-2&lt;Settings!$B$11),NA(),IF(COUNT(OFFSET(F349,1-Settings!$B$11,0,Settings!$B$11,1))&lt;ROUNDUP(Settings!$B$11*Settings!$B$26,0),NA(),STDEV(OFFSET(F349,1-Settings!$B$11,0,Settings!$B$11,1))*SQRT(Settings!$B$13)))</f>
        <v/>
      </c>
      <c r="I349" s="20">
        <f>IF(OR(NOT(ISNUMBER($A349)),ROW()-2&lt;Settings!$B$12),NA(),IF(COUNT(OFFSET(F349,1-Settings!$B$12,0,Settings!$B$12,1))&lt;ROUNDUP(Settings!$B$12*Settings!$B$26,0),NA(),STDEV(OFFSET(F349,1-Settings!$B$12,0,Settings!$B$12,1))*SQRT(Settings!$B$13)))</f>
        <v/>
      </c>
      <c r="J349" s="20">
        <f>IF(OR(NOT(ISNUMBER($A349)),ROW()-2&lt;Settings!$B$11),NA(),IF(COUNT(OFFSET(G349,1-Settings!$B$11,0,Settings!$B$11,1))&lt;ROUNDUP(Settings!$B$11*Settings!$B$26,0),NA(),STDEV(OFFSET(G349,1-Settings!$B$11,0,Settings!$B$11,1))*SQRT(Settings!$B$13)))</f>
        <v/>
      </c>
      <c r="K349" s="20">
        <f>IF(OR(NOT(ISNUMBER($A349)),ROW()-2&lt;Settings!$B$12),NA(),IF(COUNT(OFFSET(G349,1-Settings!$B$12,0,Settings!$B$12,1))&lt;ROUNDUP(Settings!$B$12*Settings!$B$26,0),NA(),STDEV(OFFSET(G349,1-Settings!$B$12,0,Settings!$B$12,1))*SQRT(Settings!$B$13)))</f>
        <v/>
      </c>
      <c r="L349" s="20">
        <f>IF(AND(ISNUMBER(D349),ISNUMBER(H349)),D349-H349,NA())</f>
        <v/>
      </c>
      <c r="M349" s="20">
        <f>IF(AND(ISNUMBER(E349),ISNUMBER(K349)),E349-K349,NA())</f>
        <v/>
      </c>
      <c r="N349" s="20">
        <f>IF(NOT(ISNUMBER($A349)),NA(),IF(COUNT(OFFSET(G349,1,0,Settings!$B$12,1))&lt;ROUNDUP(Settings!$B$12*Settings!$B$26,0),NA(),STDEV(OFFSET(G349,1,0,Settings!$B$12,1))*SQRT(Settings!$B$13)))</f>
        <v/>
      </c>
      <c r="O349" s="20">
        <f>IF(AND(ISNUMBER(E349),ISNUMBER(N349)),E349-N349,NA())</f>
        <v/>
      </c>
      <c r="P349" s="19">
        <f>IF(NOT(ISNUMBER($A349)),NA(),IF(OR($A349&lt;MIN(KW_TP!$A$2:$A$2501),$A349&gt;MAX(KW_TP!$A$2:$A$2501)),NA(),INDEX(KW_TP!$C$2:$C$2501,MATCH($A349,KW_TP!$A$2:$A$2501,1))))</f>
        <v/>
      </c>
      <c r="Q349" s="18">
        <f>IF(NOT(ISNUMBER($A349)),NA(),IFERROR(1*INDEX(BBG_Data!$J$2:$J$4000,MATCH($A349,BBG_Data!$I$2:$I$4000,0)),NA()))</f>
        <v/>
      </c>
      <c r="R349" s="18">
        <f>IF(NOT(ISNUMBER($A349)),NA(),IFERROR(1*INDEX(BBG_Data!$L$2:$L$4000,MATCH($A349,BBG_Data!$K$2:$K$4000,0)),NA()))</f>
        <v/>
      </c>
      <c r="S349" s="20">
        <f>IF(AND(ISNUMBER(B349),ISNUMBER(Q349),ISNUMBER(R349)),(B349-Q349-R349)*100,NA())</f>
        <v/>
      </c>
      <c r="T349" s="20">
        <f>IF(AND(ISNUMBER(B349),Settings!$B$17&gt;0),IF(ISNUMBER(INDEX($B:$B,Settings!$B$17)),(B349-INDEX($B:$B,Settings!$B$17))*100,NA()),NA())</f>
        <v/>
      </c>
      <c r="U349" s="20">
        <f>IF(AND(ISNUMBER(Q349),Settings!$B$17&gt;0),IF(ISNUMBER(INDEX($Q:$Q,Settings!$B$17)),(Q349-INDEX($Q:$Q,Settings!$B$17))*100,NA()),NA())</f>
        <v/>
      </c>
      <c r="V349" s="20">
        <f>IF(AND(ISNUMBER(R349),Settings!$B$17&gt;0),IF(ISNUMBER(INDEX($R:$R,Settings!$B$17)),(R349-INDEX($R:$R,Settings!$B$17))*100,NA()),NA())</f>
        <v/>
      </c>
      <c r="W349" s="20">
        <f>IF(AND(ISNUMBER(P349),Settings!$B$17&gt;0),IF(ISNUMBER(INDEX($P:$P,Settings!$B$17)),P349-INDEX($P:$P,Settings!$B$17),NA()),NA())</f>
        <v/>
      </c>
      <c r="X349" s="19">
        <f>IF(NOT(ISNUMBER($A349)),NA(),IF(OR($A349&lt;MIN(DKW_10Y!$A$2:$A$2918),$A349&gt;MAX(DKW_10Y!$A$2:$A$2918),Settings!$B$16&lt;MIN(DKW_10Y!$A$2:$A$2918)),NA(),(INDEX(DKW_10Y!$B$2:$B$2918,MATCH($A349,DKW_10Y!$A$2:$A$2918,1))-INDEX(DKW_10Y!$B$2:$B$2918,MATCH(Settings!$B$16,DKW_10Y!$A$2:$A$2918,1)))*100))</f>
        <v/>
      </c>
      <c r="Y349" s="19">
        <f>IF(NOT(ISNUMBER($A349)),NA(),IF(OR($A349&lt;MIN(DKW_10Y!$A$2:$A$2918),$A349&gt;MAX(DKW_10Y!$A$2:$A$2918),Settings!$B$16&lt;MIN(DKW_10Y!$A$2:$A$2918)),NA(),(INDEX(DKW_10Y!$C$2:$C$2918,MATCH($A349,DKW_10Y!$A$2:$A$2918,1))-INDEX(DKW_10Y!$C$2:$C$2918,MATCH(Settings!$B$16,DKW_10Y!$A$2:$A$2918,1)))*100))</f>
        <v/>
      </c>
      <c r="Z349" s="19">
        <f>IF(NOT(ISNUMBER($A349)),NA(),IF(OR($A349&lt;MIN(DKW_10Y!$A$2:$A$2918),$A349&gt;MAX(DKW_10Y!$A$2:$A$2918),Settings!$B$16&lt;MIN(DKW_10Y!$A$2:$A$2918)),NA(),(INDEX(DKW_10Y!$D$2:$D$2918,MATCH($A349,DKW_10Y!$A$2:$A$2918,1))-INDEX(DKW_10Y!$D$2:$D$2918,MATCH(Settings!$B$16,DKW_10Y!$A$2:$A$2918,1)))*100))</f>
        <v/>
      </c>
      <c r="AA349" s="19">
        <f>IF(NOT(ISNUMBER($A349)),NA(),IF(OR($A349&lt;MIN(DKW_10Y!$A$2:$A$2918),$A349&gt;MAX(DKW_10Y!$A$2:$A$2918),Settings!$B$16&lt;MIN(DKW_10Y!$A$2:$A$2918)),NA(),(INDEX(DKW_10Y!$E$2:$E$2918,MATCH($A349,DKW_10Y!$A$2:$A$2918,1))-INDEX(DKW_10Y!$E$2:$E$2918,MATCH(Settings!$B$16,DKW_10Y!$A$2:$A$2918,1)))*100))</f>
        <v/>
      </c>
      <c r="AB349" s="19">
        <f>IF(NOT(ISNUMBER($A349)),NA(),IF(OR($A349&lt;MIN(DKW_10Y!$A$2:$A$2918),$A349&gt;MAX(DKW_10Y!$A$2:$A$2918),Settings!$B$16&lt;MIN(DKW_10Y!$A$2:$A$2918)),NA(),(INDEX(DKW_10Y!$H$2:$H$2918,MATCH($A349,DKW_10Y!$A$2:$A$2918,1))-INDEX(DKW_10Y!$H$2:$H$2918,MATCH(Settings!$B$16,DKW_10Y!$A$2:$A$2918,1)))*100))</f>
        <v/>
      </c>
      <c r="AC349" s="18">
        <f>IF(NOT(ISNUMBER($A349)),NA(),IFERROR(1*INDEX(BBG_Data!$N$2:$N$4000,MATCH($A349,BBG_Data!$M$2:$M$4000,0)),NA()))</f>
        <v/>
      </c>
      <c r="AD349" s="18">
        <f>IF(NOT(ISNUMBER($A349)),NA(),IFERROR(1*INDEX(BBG_Data!$P$2:$P$4000,MATCH($A349,BBG_Data!$O$2:$O$4000,0)),NA()))</f>
        <v/>
      </c>
      <c r="AE349" s="18">
        <f>IF(NOT(ISNUMBER($A349)),NA(),IFERROR(1*INDEX(BBG_Data!$R$2:$R$4000,MATCH($A349,BBG_Data!$Q$2:$Q$4000,0)),NA()))</f>
        <v/>
      </c>
      <c r="AF349" s="20">
        <f>IF(AND(ISNUMBER(B349),ISNUMBER(AC349)),(B349-AC349)*100,NA())</f>
        <v/>
      </c>
      <c r="AG349" s="20">
        <f>IF(AND(ISNUMBER(AE349),ISNUMBER(AD349)),(AE349-AD349)*100,NA())</f>
        <v/>
      </c>
      <c r="AH349" s="19">
        <f>IF(NOT(ISNUMBER($A349)),NA(),IFERROR(INDEX(BBG_Data!$T$2:$T$4000,MATCH($A349,BBG_Data!$S$2:$S$4000,0))*Settings!$B$25,NA()))</f>
        <v/>
      </c>
      <c r="AI349" s="19">
        <f>IF(NOT(ISNUMBER($A349)),NA(),IFERROR(INDEX(BBG_Data!$V$2:$V$4000,MATCH($A349,BBG_Data!$U$2:$U$4000,0))*Settings!$B$25,NA()))</f>
        <v/>
      </c>
      <c r="AJ349" s="19">
        <f>IF(NOT(ISNUMBER($A349)),NA(),IFERROR(1*INDEX(BBG_Data!$X$2:$X$4000,MATCH($A349,BBG_Data!$W$2:$W$4000,0)),NA()))</f>
        <v/>
      </c>
      <c r="AK349" s="19">
        <f>IF(NOT(ISNUMBER($A349)),NA(),IFERROR(1*INDEX(BBG_Data!$Z$2:$Z$4000,MATCH($A349,BBG_Data!$Y$2:$Y$4000,0)),NA()))</f>
        <v/>
      </c>
    </row>
    <row r="350">
      <c r="A350" s="17">
        <f>IF(ISNUMBER(BBG_Data!A350),BBG_Data!A350,"")</f>
        <v/>
      </c>
      <c r="B350" s="18">
        <f>IF(AND(ISNUMBER($A350),ISNUMBER(BBG_Data!B350)),BBG_Data!B350,NA())</f>
        <v/>
      </c>
      <c r="C350" s="18">
        <f>IF(NOT(ISNUMBER($A350)),NA(),IFERROR(1*INDEX(BBG_Data!$D$2:$D$4000,MATCH($A350,BBG_Data!$C$2:$C$4000,0)),NA()))</f>
        <v/>
      </c>
      <c r="D350" s="19">
        <f>IF(NOT(ISNUMBER($A350)),NA(),IFERROR(1*INDEX(BBG_Data!$F$2:$F$4000,MATCH($A350,BBG_Data!$E$2:$E$4000,0)),NA()))</f>
        <v/>
      </c>
      <c r="E350" s="19">
        <f>IF(NOT(ISNUMBER($A350)),NA(),IFERROR(1*INDEX(BBG_Data!$H$2:$H$4000,MATCH($A350,BBG_Data!$G$2:$G$4000,0)),NA()))</f>
        <v/>
      </c>
      <c r="F350" s="20">
        <f>IF(AND(ISNUMBER(B350),ISNUMBER(B349)),IF(B350=B349,"",(B350-B349)*100),"")</f>
        <v/>
      </c>
      <c r="G350" s="20">
        <f>IF(AND(ISNUMBER(C350),ISNUMBER(C349)),IF(C350=C349,"",(C350-C349)*100),"")</f>
        <v/>
      </c>
      <c r="H350" s="20">
        <f>IF(OR(NOT(ISNUMBER($A350)),ROW()-2&lt;Settings!$B$11),NA(),IF(COUNT(OFFSET(F350,1-Settings!$B$11,0,Settings!$B$11,1))&lt;ROUNDUP(Settings!$B$11*Settings!$B$26,0),NA(),STDEV(OFFSET(F350,1-Settings!$B$11,0,Settings!$B$11,1))*SQRT(Settings!$B$13)))</f>
        <v/>
      </c>
      <c r="I350" s="20">
        <f>IF(OR(NOT(ISNUMBER($A350)),ROW()-2&lt;Settings!$B$12),NA(),IF(COUNT(OFFSET(F350,1-Settings!$B$12,0,Settings!$B$12,1))&lt;ROUNDUP(Settings!$B$12*Settings!$B$26,0),NA(),STDEV(OFFSET(F350,1-Settings!$B$12,0,Settings!$B$12,1))*SQRT(Settings!$B$13)))</f>
        <v/>
      </c>
      <c r="J350" s="20">
        <f>IF(OR(NOT(ISNUMBER($A350)),ROW()-2&lt;Settings!$B$11),NA(),IF(COUNT(OFFSET(G350,1-Settings!$B$11,0,Settings!$B$11,1))&lt;ROUNDUP(Settings!$B$11*Settings!$B$26,0),NA(),STDEV(OFFSET(G350,1-Settings!$B$11,0,Settings!$B$11,1))*SQRT(Settings!$B$13)))</f>
        <v/>
      </c>
      <c r="K350" s="20">
        <f>IF(OR(NOT(ISNUMBER($A350)),ROW()-2&lt;Settings!$B$12),NA(),IF(COUNT(OFFSET(G350,1-Settings!$B$12,0,Settings!$B$12,1))&lt;ROUNDUP(Settings!$B$12*Settings!$B$26,0),NA(),STDEV(OFFSET(G350,1-Settings!$B$12,0,Settings!$B$12,1))*SQRT(Settings!$B$13)))</f>
        <v/>
      </c>
      <c r="L350" s="20">
        <f>IF(AND(ISNUMBER(D350),ISNUMBER(H350)),D350-H350,NA())</f>
        <v/>
      </c>
      <c r="M350" s="20">
        <f>IF(AND(ISNUMBER(E350),ISNUMBER(K350)),E350-K350,NA())</f>
        <v/>
      </c>
      <c r="N350" s="20">
        <f>IF(NOT(ISNUMBER($A350)),NA(),IF(COUNT(OFFSET(G350,1,0,Settings!$B$12,1))&lt;ROUNDUP(Settings!$B$12*Settings!$B$26,0),NA(),STDEV(OFFSET(G350,1,0,Settings!$B$12,1))*SQRT(Settings!$B$13)))</f>
        <v/>
      </c>
      <c r="O350" s="20">
        <f>IF(AND(ISNUMBER(E350),ISNUMBER(N350)),E350-N350,NA())</f>
        <v/>
      </c>
      <c r="P350" s="19">
        <f>IF(NOT(ISNUMBER($A350)),NA(),IF(OR($A350&lt;MIN(KW_TP!$A$2:$A$2501),$A350&gt;MAX(KW_TP!$A$2:$A$2501)),NA(),INDEX(KW_TP!$C$2:$C$2501,MATCH($A350,KW_TP!$A$2:$A$2501,1))))</f>
        <v/>
      </c>
      <c r="Q350" s="18">
        <f>IF(NOT(ISNUMBER($A350)),NA(),IFERROR(1*INDEX(BBG_Data!$J$2:$J$4000,MATCH($A350,BBG_Data!$I$2:$I$4000,0)),NA()))</f>
        <v/>
      </c>
      <c r="R350" s="18">
        <f>IF(NOT(ISNUMBER($A350)),NA(),IFERROR(1*INDEX(BBG_Data!$L$2:$L$4000,MATCH($A350,BBG_Data!$K$2:$K$4000,0)),NA()))</f>
        <v/>
      </c>
      <c r="S350" s="20">
        <f>IF(AND(ISNUMBER(B350),ISNUMBER(Q350),ISNUMBER(R350)),(B350-Q350-R350)*100,NA())</f>
        <v/>
      </c>
      <c r="T350" s="20">
        <f>IF(AND(ISNUMBER(B350),Settings!$B$17&gt;0),IF(ISNUMBER(INDEX($B:$B,Settings!$B$17)),(B350-INDEX($B:$B,Settings!$B$17))*100,NA()),NA())</f>
        <v/>
      </c>
      <c r="U350" s="20">
        <f>IF(AND(ISNUMBER(Q350),Settings!$B$17&gt;0),IF(ISNUMBER(INDEX($Q:$Q,Settings!$B$17)),(Q350-INDEX($Q:$Q,Settings!$B$17))*100,NA()),NA())</f>
        <v/>
      </c>
      <c r="V350" s="20">
        <f>IF(AND(ISNUMBER(R350),Settings!$B$17&gt;0),IF(ISNUMBER(INDEX($R:$R,Settings!$B$17)),(R350-INDEX($R:$R,Settings!$B$17))*100,NA()),NA())</f>
        <v/>
      </c>
      <c r="W350" s="20">
        <f>IF(AND(ISNUMBER(P350),Settings!$B$17&gt;0),IF(ISNUMBER(INDEX($P:$P,Settings!$B$17)),P350-INDEX($P:$P,Settings!$B$17),NA()),NA())</f>
        <v/>
      </c>
      <c r="X350" s="19">
        <f>IF(NOT(ISNUMBER($A350)),NA(),IF(OR($A350&lt;MIN(DKW_10Y!$A$2:$A$2918),$A350&gt;MAX(DKW_10Y!$A$2:$A$2918),Settings!$B$16&lt;MIN(DKW_10Y!$A$2:$A$2918)),NA(),(INDEX(DKW_10Y!$B$2:$B$2918,MATCH($A350,DKW_10Y!$A$2:$A$2918,1))-INDEX(DKW_10Y!$B$2:$B$2918,MATCH(Settings!$B$16,DKW_10Y!$A$2:$A$2918,1)))*100))</f>
        <v/>
      </c>
      <c r="Y350" s="19">
        <f>IF(NOT(ISNUMBER($A350)),NA(),IF(OR($A350&lt;MIN(DKW_10Y!$A$2:$A$2918),$A350&gt;MAX(DKW_10Y!$A$2:$A$2918),Settings!$B$16&lt;MIN(DKW_10Y!$A$2:$A$2918)),NA(),(INDEX(DKW_10Y!$C$2:$C$2918,MATCH($A350,DKW_10Y!$A$2:$A$2918,1))-INDEX(DKW_10Y!$C$2:$C$2918,MATCH(Settings!$B$16,DKW_10Y!$A$2:$A$2918,1)))*100))</f>
        <v/>
      </c>
      <c r="Z350" s="19">
        <f>IF(NOT(ISNUMBER($A350)),NA(),IF(OR($A350&lt;MIN(DKW_10Y!$A$2:$A$2918),$A350&gt;MAX(DKW_10Y!$A$2:$A$2918),Settings!$B$16&lt;MIN(DKW_10Y!$A$2:$A$2918)),NA(),(INDEX(DKW_10Y!$D$2:$D$2918,MATCH($A350,DKW_10Y!$A$2:$A$2918,1))-INDEX(DKW_10Y!$D$2:$D$2918,MATCH(Settings!$B$16,DKW_10Y!$A$2:$A$2918,1)))*100))</f>
        <v/>
      </c>
      <c r="AA350" s="19">
        <f>IF(NOT(ISNUMBER($A350)),NA(),IF(OR($A350&lt;MIN(DKW_10Y!$A$2:$A$2918),$A350&gt;MAX(DKW_10Y!$A$2:$A$2918),Settings!$B$16&lt;MIN(DKW_10Y!$A$2:$A$2918)),NA(),(INDEX(DKW_10Y!$E$2:$E$2918,MATCH($A350,DKW_10Y!$A$2:$A$2918,1))-INDEX(DKW_10Y!$E$2:$E$2918,MATCH(Settings!$B$16,DKW_10Y!$A$2:$A$2918,1)))*100))</f>
        <v/>
      </c>
      <c r="AB350" s="19">
        <f>IF(NOT(ISNUMBER($A350)),NA(),IF(OR($A350&lt;MIN(DKW_10Y!$A$2:$A$2918),$A350&gt;MAX(DKW_10Y!$A$2:$A$2918),Settings!$B$16&lt;MIN(DKW_10Y!$A$2:$A$2918)),NA(),(INDEX(DKW_10Y!$H$2:$H$2918,MATCH($A350,DKW_10Y!$A$2:$A$2918,1))-INDEX(DKW_10Y!$H$2:$H$2918,MATCH(Settings!$B$16,DKW_10Y!$A$2:$A$2918,1)))*100))</f>
        <v/>
      </c>
      <c r="AC350" s="18">
        <f>IF(NOT(ISNUMBER($A350)),NA(),IFERROR(1*INDEX(BBG_Data!$N$2:$N$4000,MATCH($A350,BBG_Data!$M$2:$M$4000,0)),NA()))</f>
        <v/>
      </c>
      <c r="AD350" s="18">
        <f>IF(NOT(ISNUMBER($A350)),NA(),IFERROR(1*INDEX(BBG_Data!$P$2:$P$4000,MATCH($A350,BBG_Data!$O$2:$O$4000,0)),NA()))</f>
        <v/>
      </c>
      <c r="AE350" s="18">
        <f>IF(NOT(ISNUMBER($A350)),NA(),IFERROR(1*INDEX(BBG_Data!$R$2:$R$4000,MATCH($A350,BBG_Data!$Q$2:$Q$4000,0)),NA()))</f>
        <v/>
      </c>
      <c r="AF350" s="20">
        <f>IF(AND(ISNUMBER(B350),ISNUMBER(AC350)),(B350-AC350)*100,NA())</f>
        <v/>
      </c>
      <c r="AG350" s="20">
        <f>IF(AND(ISNUMBER(AE350),ISNUMBER(AD350)),(AE350-AD350)*100,NA())</f>
        <v/>
      </c>
      <c r="AH350" s="19">
        <f>IF(NOT(ISNUMBER($A350)),NA(),IFERROR(INDEX(BBG_Data!$T$2:$T$4000,MATCH($A350,BBG_Data!$S$2:$S$4000,0))*Settings!$B$25,NA()))</f>
        <v/>
      </c>
      <c r="AI350" s="19">
        <f>IF(NOT(ISNUMBER($A350)),NA(),IFERROR(INDEX(BBG_Data!$V$2:$V$4000,MATCH($A350,BBG_Data!$U$2:$U$4000,0))*Settings!$B$25,NA()))</f>
        <v/>
      </c>
      <c r="AJ350" s="19">
        <f>IF(NOT(ISNUMBER($A350)),NA(),IFERROR(1*INDEX(BBG_Data!$X$2:$X$4000,MATCH($A350,BBG_Data!$W$2:$W$4000,0)),NA()))</f>
        <v/>
      </c>
      <c r="AK350" s="19">
        <f>IF(NOT(ISNUMBER($A350)),NA(),IFERROR(1*INDEX(BBG_Data!$Z$2:$Z$4000,MATCH($A350,BBG_Data!$Y$2:$Y$4000,0)),NA()))</f>
        <v/>
      </c>
    </row>
    <row r="351">
      <c r="A351" s="17">
        <f>IF(ISNUMBER(BBG_Data!A351),BBG_Data!A351,"")</f>
        <v/>
      </c>
      <c r="B351" s="18">
        <f>IF(AND(ISNUMBER($A351),ISNUMBER(BBG_Data!B351)),BBG_Data!B351,NA())</f>
        <v/>
      </c>
      <c r="C351" s="18">
        <f>IF(NOT(ISNUMBER($A351)),NA(),IFERROR(1*INDEX(BBG_Data!$D$2:$D$4000,MATCH($A351,BBG_Data!$C$2:$C$4000,0)),NA()))</f>
        <v/>
      </c>
      <c r="D351" s="19">
        <f>IF(NOT(ISNUMBER($A351)),NA(),IFERROR(1*INDEX(BBG_Data!$F$2:$F$4000,MATCH($A351,BBG_Data!$E$2:$E$4000,0)),NA()))</f>
        <v/>
      </c>
      <c r="E351" s="19">
        <f>IF(NOT(ISNUMBER($A351)),NA(),IFERROR(1*INDEX(BBG_Data!$H$2:$H$4000,MATCH($A351,BBG_Data!$G$2:$G$4000,0)),NA()))</f>
        <v/>
      </c>
      <c r="F351" s="20">
        <f>IF(AND(ISNUMBER(B351),ISNUMBER(B350)),IF(B351=B350,"",(B351-B350)*100),"")</f>
        <v/>
      </c>
      <c r="G351" s="20">
        <f>IF(AND(ISNUMBER(C351),ISNUMBER(C350)),IF(C351=C350,"",(C351-C350)*100),"")</f>
        <v/>
      </c>
      <c r="H351" s="20">
        <f>IF(OR(NOT(ISNUMBER($A351)),ROW()-2&lt;Settings!$B$11),NA(),IF(COUNT(OFFSET(F351,1-Settings!$B$11,0,Settings!$B$11,1))&lt;ROUNDUP(Settings!$B$11*Settings!$B$26,0),NA(),STDEV(OFFSET(F351,1-Settings!$B$11,0,Settings!$B$11,1))*SQRT(Settings!$B$13)))</f>
        <v/>
      </c>
      <c r="I351" s="20">
        <f>IF(OR(NOT(ISNUMBER($A351)),ROW()-2&lt;Settings!$B$12),NA(),IF(COUNT(OFFSET(F351,1-Settings!$B$12,0,Settings!$B$12,1))&lt;ROUNDUP(Settings!$B$12*Settings!$B$26,0),NA(),STDEV(OFFSET(F351,1-Settings!$B$12,0,Settings!$B$12,1))*SQRT(Settings!$B$13)))</f>
        <v/>
      </c>
      <c r="J351" s="20">
        <f>IF(OR(NOT(ISNUMBER($A351)),ROW()-2&lt;Settings!$B$11),NA(),IF(COUNT(OFFSET(G351,1-Settings!$B$11,0,Settings!$B$11,1))&lt;ROUNDUP(Settings!$B$11*Settings!$B$26,0),NA(),STDEV(OFFSET(G351,1-Settings!$B$11,0,Settings!$B$11,1))*SQRT(Settings!$B$13)))</f>
        <v/>
      </c>
      <c r="K351" s="20">
        <f>IF(OR(NOT(ISNUMBER($A351)),ROW()-2&lt;Settings!$B$12),NA(),IF(COUNT(OFFSET(G351,1-Settings!$B$12,0,Settings!$B$12,1))&lt;ROUNDUP(Settings!$B$12*Settings!$B$26,0),NA(),STDEV(OFFSET(G351,1-Settings!$B$12,0,Settings!$B$12,1))*SQRT(Settings!$B$13)))</f>
        <v/>
      </c>
      <c r="L351" s="20">
        <f>IF(AND(ISNUMBER(D351),ISNUMBER(H351)),D351-H351,NA())</f>
        <v/>
      </c>
      <c r="M351" s="20">
        <f>IF(AND(ISNUMBER(E351),ISNUMBER(K351)),E351-K351,NA())</f>
        <v/>
      </c>
      <c r="N351" s="20">
        <f>IF(NOT(ISNUMBER($A351)),NA(),IF(COUNT(OFFSET(G351,1,0,Settings!$B$12,1))&lt;ROUNDUP(Settings!$B$12*Settings!$B$26,0),NA(),STDEV(OFFSET(G351,1,0,Settings!$B$12,1))*SQRT(Settings!$B$13)))</f>
        <v/>
      </c>
      <c r="O351" s="20">
        <f>IF(AND(ISNUMBER(E351),ISNUMBER(N351)),E351-N351,NA())</f>
        <v/>
      </c>
      <c r="P351" s="19">
        <f>IF(NOT(ISNUMBER($A351)),NA(),IF(OR($A351&lt;MIN(KW_TP!$A$2:$A$2501),$A351&gt;MAX(KW_TP!$A$2:$A$2501)),NA(),INDEX(KW_TP!$C$2:$C$2501,MATCH($A351,KW_TP!$A$2:$A$2501,1))))</f>
        <v/>
      </c>
      <c r="Q351" s="18">
        <f>IF(NOT(ISNUMBER($A351)),NA(),IFERROR(1*INDEX(BBG_Data!$J$2:$J$4000,MATCH($A351,BBG_Data!$I$2:$I$4000,0)),NA()))</f>
        <v/>
      </c>
      <c r="R351" s="18">
        <f>IF(NOT(ISNUMBER($A351)),NA(),IFERROR(1*INDEX(BBG_Data!$L$2:$L$4000,MATCH($A351,BBG_Data!$K$2:$K$4000,0)),NA()))</f>
        <v/>
      </c>
      <c r="S351" s="20">
        <f>IF(AND(ISNUMBER(B351),ISNUMBER(Q351),ISNUMBER(R351)),(B351-Q351-R351)*100,NA())</f>
        <v/>
      </c>
      <c r="T351" s="20">
        <f>IF(AND(ISNUMBER(B351),Settings!$B$17&gt;0),IF(ISNUMBER(INDEX($B:$B,Settings!$B$17)),(B351-INDEX($B:$B,Settings!$B$17))*100,NA()),NA())</f>
        <v/>
      </c>
      <c r="U351" s="20">
        <f>IF(AND(ISNUMBER(Q351),Settings!$B$17&gt;0),IF(ISNUMBER(INDEX($Q:$Q,Settings!$B$17)),(Q351-INDEX($Q:$Q,Settings!$B$17))*100,NA()),NA())</f>
        <v/>
      </c>
      <c r="V351" s="20">
        <f>IF(AND(ISNUMBER(R351),Settings!$B$17&gt;0),IF(ISNUMBER(INDEX($R:$R,Settings!$B$17)),(R351-INDEX($R:$R,Settings!$B$17))*100,NA()),NA())</f>
        <v/>
      </c>
      <c r="W351" s="20">
        <f>IF(AND(ISNUMBER(P351),Settings!$B$17&gt;0),IF(ISNUMBER(INDEX($P:$P,Settings!$B$17)),P351-INDEX($P:$P,Settings!$B$17),NA()),NA())</f>
        <v/>
      </c>
      <c r="X351" s="19">
        <f>IF(NOT(ISNUMBER($A351)),NA(),IF(OR($A351&lt;MIN(DKW_10Y!$A$2:$A$2918),$A351&gt;MAX(DKW_10Y!$A$2:$A$2918),Settings!$B$16&lt;MIN(DKW_10Y!$A$2:$A$2918)),NA(),(INDEX(DKW_10Y!$B$2:$B$2918,MATCH($A351,DKW_10Y!$A$2:$A$2918,1))-INDEX(DKW_10Y!$B$2:$B$2918,MATCH(Settings!$B$16,DKW_10Y!$A$2:$A$2918,1)))*100))</f>
        <v/>
      </c>
      <c r="Y351" s="19">
        <f>IF(NOT(ISNUMBER($A351)),NA(),IF(OR($A351&lt;MIN(DKW_10Y!$A$2:$A$2918),$A351&gt;MAX(DKW_10Y!$A$2:$A$2918),Settings!$B$16&lt;MIN(DKW_10Y!$A$2:$A$2918)),NA(),(INDEX(DKW_10Y!$C$2:$C$2918,MATCH($A351,DKW_10Y!$A$2:$A$2918,1))-INDEX(DKW_10Y!$C$2:$C$2918,MATCH(Settings!$B$16,DKW_10Y!$A$2:$A$2918,1)))*100))</f>
        <v/>
      </c>
      <c r="Z351" s="19">
        <f>IF(NOT(ISNUMBER($A351)),NA(),IF(OR($A351&lt;MIN(DKW_10Y!$A$2:$A$2918),$A351&gt;MAX(DKW_10Y!$A$2:$A$2918),Settings!$B$16&lt;MIN(DKW_10Y!$A$2:$A$2918)),NA(),(INDEX(DKW_10Y!$D$2:$D$2918,MATCH($A351,DKW_10Y!$A$2:$A$2918,1))-INDEX(DKW_10Y!$D$2:$D$2918,MATCH(Settings!$B$16,DKW_10Y!$A$2:$A$2918,1)))*100))</f>
        <v/>
      </c>
      <c r="AA351" s="19">
        <f>IF(NOT(ISNUMBER($A351)),NA(),IF(OR($A351&lt;MIN(DKW_10Y!$A$2:$A$2918),$A351&gt;MAX(DKW_10Y!$A$2:$A$2918),Settings!$B$16&lt;MIN(DKW_10Y!$A$2:$A$2918)),NA(),(INDEX(DKW_10Y!$E$2:$E$2918,MATCH($A351,DKW_10Y!$A$2:$A$2918,1))-INDEX(DKW_10Y!$E$2:$E$2918,MATCH(Settings!$B$16,DKW_10Y!$A$2:$A$2918,1)))*100))</f>
        <v/>
      </c>
      <c r="AB351" s="19">
        <f>IF(NOT(ISNUMBER($A351)),NA(),IF(OR($A351&lt;MIN(DKW_10Y!$A$2:$A$2918),$A351&gt;MAX(DKW_10Y!$A$2:$A$2918),Settings!$B$16&lt;MIN(DKW_10Y!$A$2:$A$2918)),NA(),(INDEX(DKW_10Y!$H$2:$H$2918,MATCH($A351,DKW_10Y!$A$2:$A$2918,1))-INDEX(DKW_10Y!$H$2:$H$2918,MATCH(Settings!$B$16,DKW_10Y!$A$2:$A$2918,1)))*100))</f>
        <v/>
      </c>
      <c r="AC351" s="18">
        <f>IF(NOT(ISNUMBER($A351)),NA(),IFERROR(1*INDEX(BBG_Data!$N$2:$N$4000,MATCH($A351,BBG_Data!$M$2:$M$4000,0)),NA()))</f>
        <v/>
      </c>
      <c r="AD351" s="18">
        <f>IF(NOT(ISNUMBER($A351)),NA(),IFERROR(1*INDEX(BBG_Data!$P$2:$P$4000,MATCH($A351,BBG_Data!$O$2:$O$4000,0)),NA()))</f>
        <v/>
      </c>
      <c r="AE351" s="18">
        <f>IF(NOT(ISNUMBER($A351)),NA(),IFERROR(1*INDEX(BBG_Data!$R$2:$R$4000,MATCH($A351,BBG_Data!$Q$2:$Q$4000,0)),NA()))</f>
        <v/>
      </c>
      <c r="AF351" s="20">
        <f>IF(AND(ISNUMBER(B351),ISNUMBER(AC351)),(B351-AC351)*100,NA())</f>
        <v/>
      </c>
      <c r="AG351" s="20">
        <f>IF(AND(ISNUMBER(AE351),ISNUMBER(AD351)),(AE351-AD351)*100,NA())</f>
        <v/>
      </c>
      <c r="AH351" s="19">
        <f>IF(NOT(ISNUMBER($A351)),NA(),IFERROR(INDEX(BBG_Data!$T$2:$T$4000,MATCH($A351,BBG_Data!$S$2:$S$4000,0))*Settings!$B$25,NA()))</f>
        <v/>
      </c>
      <c r="AI351" s="19">
        <f>IF(NOT(ISNUMBER($A351)),NA(),IFERROR(INDEX(BBG_Data!$V$2:$V$4000,MATCH($A351,BBG_Data!$U$2:$U$4000,0))*Settings!$B$25,NA()))</f>
        <v/>
      </c>
      <c r="AJ351" s="19">
        <f>IF(NOT(ISNUMBER($A351)),NA(),IFERROR(1*INDEX(BBG_Data!$X$2:$X$4000,MATCH($A351,BBG_Data!$W$2:$W$4000,0)),NA()))</f>
        <v/>
      </c>
      <c r="AK351" s="19">
        <f>IF(NOT(ISNUMBER($A351)),NA(),IFERROR(1*INDEX(BBG_Data!$Z$2:$Z$4000,MATCH($A351,BBG_Data!$Y$2:$Y$4000,0)),NA()))</f>
        <v/>
      </c>
    </row>
    <row r="352">
      <c r="A352" s="17">
        <f>IF(ISNUMBER(BBG_Data!A352),BBG_Data!A352,"")</f>
        <v/>
      </c>
      <c r="B352" s="18">
        <f>IF(AND(ISNUMBER($A352),ISNUMBER(BBG_Data!B352)),BBG_Data!B352,NA())</f>
        <v/>
      </c>
      <c r="C352" s="18">
        <f>IF(NOT(ISNUMBER($A352)),NA(),IFERROR(1*INDEX(BBG_Data!$D$2:$D$4000,MATCH($A352,BBG_Data!$C$2:$C$4000,0)),NA()))</f>
        <v/>
      </c>
      <c r="D352" s="19">
        <f>IF(NOT(ISNUMBER($A352)),NA(),IFERROR(1*INDEX(BBG_Data!$F$2:$F$4000,MATCH($A352,BBG_Data!$E$2:$E$4000,0)),NA()))</f>
        <v/>
      </c>
      <c r="E352" s="19">
        <f>IF(NOT(ISNUMBER($A352)),NA(),IFERROR(1*INDEX(BBG_Data!$H$2:$H$4000,MATCH($A352,BBG_Data!$G$2:$G$4000,0)),NA()))</f>
        <v/>
      </c>
      <c r="F352" s="20">
        <f>IF(AND(ISNUMBER(B352),ISNUMBER(B351)),IF(B352=B351,"",(B352-B351)*100),"")</f>
        <v/>
      </c>
      <c r="G352" s="20">
        <f>IF(AND(ISNUMBER(C352),ISNUMBER(C351)),IF(C352=C351,"",(C352-C351)*100),"")</f>
        <v/>
      </c>
      <c r="H352" s="20">
        <f>IF(OR(NOT(ISNUMBER($A352)),ROW()-2&lt;Settings!$B$11),NA(),IF(COUNT(OFFSET(F352,1-Settings!$B$11,0,Settings!$B$11,1))&lt;ROUNDUP(Settings!$B$11*Settings!$B$26,0),NA(),STDEV(OFFSET(F352,1-Settings!$B$11,0,Settings!$B$11,1))*SQRT(Settings!$B$13)))</f>
        <v/>
      </c>
      <c r="I352" s="20">
        <f>IF(OR(NOT(ISNUMBER($A352)),ROW()-2&lt;Settings!$B$12),NA(),IF(COUNT(OFFSET(F352,1-Settings!$B$12,0,Settings!$B$12,1))&lt;ROUNDUP(Settings!$B$12*Settings!$B$26,0),NA(),STDEV(OFFSET(F352,1-Settings!$B$12,0,Settings!$B$12,1))*SQRT(Settings!$B$13)))</f>
        <v/>
      </c>
      <c r="J352" s="20">
        <f>IF(OR(NOT(ISNUMBER($A352)),ROW()-2&lt;Settings!$B$11),NA(),IF(COUNT(OFFSET(G352,1-Settings!$B$11,0,Settings!$B$11,1))&lt;ROUNDUP(Settings!$B$11*Settings!$B$26,0),NA(),STDEV(OFFSET(G352,1-Settings!$B$11,0,Settings!$B$11,1))*SQRT(Settings!$B$13)))</f>
        <v/>
      </c>
      <c r="K352" s="20">
        <f>IF(OR(NOT(ISNUMBER($A352)),ROW()-2&lt;Settings!$B$12),NA(),IF(COUNT(OFFSET(G352,1-Settings!$B$12,0,Settings!$B$12,1))&lt;ROUNDUP(Settings!$B$12*Settings!$B$26,0),NA(),STDEV(OFFSET(G352,1-Settings!$B$12,0,Settings!$B$12,1))*SQRT(Settings!$B$13)))</f>
        <v/>
      </c>
      <c r="L352" s="20">
        <f>IF(AND(ISNUMBER(D352),ISNUMBER(H352)),D352-H352,NA())</f>
        <v/>
      </c>
      <c r="M352" s="20">
        <f>IF(AND(ISNUMBER(E352),ISNUMBER(K352)),E352-K352,NA())</f>
        <v/>
      </c>
      <c r="N352" s="20">
        <f>IF(NOT(ISNUMBER($A352)),NA(),IF(COUNT(OFFSET(G352,1,0,Settings!$B$12,1))&lt;ROUNDUP(Settings!$B$12*Settings!$B$26,0),NA(),STDEV(OFFSET(G352,1,0,Settings!$B$12,1))*SQRT(Settings!$B$13)))</f>
        <v/>
      </c>
      <c r="O352" s="20">
        <f>IF(AND(ISNUMBER(E352),ISNUMBER(N352)),E352-N352,NA())</f>
        <v/>
      </c>
      <c r="P352" s="19">
        <f>IF(NOT(ISNUMBER($A352)),NA(),IF(OR($A352&lt;MIN(KW_TP!$A$2:$A$2501),$A352&gt;MAX(KW_TP!$A$2:$A$2501)),NA(),INDEX(KW_TP!$C$2:$C$2501,MATCH($A352,KW_TP!$A$2:$A$2501,1))))</f>
        <v/>
      </c>
      <c r="Q352" s="18">
        <f>IF(NOT(ISNUMBER($A352)),NA(),IFERROR(1*INDEX(BBG_Data!$J$2:$J$4000,MATCH($A352,BBG_Data!$I$2:$I$4000,0)),NA()))</f>
        <v/>
      </c>
      <c r="R352" s="18">
        <f>IF(NOT(ISNUMBER($A352)),NA(),IFERROR(1*INDEX(BBG_Data!$L$2:$L$4000,MATCH($A352,BBG_Data!$K$2:$K$4000,0)),NA()))</f>
        <v/>
      </c>
      <c r="S352" s="20">
        <f>IF(AND(ISNUMBER(B352),ISNUMBER(Q352),ISNUMBER(R352)),(B352-Q352-R352)*100,NA())</f>
        <v/>
      </c>
      <c r="T352" s="20">
        <f>IF(AND(ISNUMBER(B352),Settings!$B$17&gt;0),IF(ISNUMBER(INDEX($B:$B,Settings!$B$17)),(B352-INDEX($B:$B,Settings!$B$17))*100,NA()),NA())</f>
        <v/>
      </c>
      <c r="U352" s="20">
        <f>IF(AND(ISNUMBER(Q352),Settings!$B$17&gt;0),IF(ISNUMBER(INDEX($Q:$Q,Settings!$B$17)),(Q352-INDEX($Q:$Q,Settings!$B$17))*100,NA()),NA())</f>
        <v/>
      </c>
      <c r="V352" s="20">
        <f>IF(AND(ISNUMBER(R352),Settings!$B$17&gt;0),IF(ISNUMBER(INDEX($R:$R,Settings!$B$17)),(R352-INDEX($R:$R,Settings!$B$17))*100,NA()),NA())</f>
        <v/>
      </c>
      <c r="W352" s="20">
        <f>IF(AND(ISNUMBER(P352),Settings!$B$17&gt;0),IF(ISNUMBER(INDEX($P:$P,Settings!$B$17)),P352-INDEX($P:$P,Settings!$B$17),NA()),NA())</f>
        <v/>
      </c>
      <c r="X352" s="19">
        <f>IF(NOT(ISNUMBER($A352)),NA(),IF(OR($A352&lt;MIN(DKW_10Y!$A$2:$A$2918),$A352&gt;MAX(DKW_10Y!$A$2:$A$2918),Settings!$B$16&lt;MIN(DKW_10Y!$A$2:$A$2918)),NA(),(INDEX(DKW_10Y!$B$2:$B$2918,MATCH($A352,DKW_10Y!$A$2:$A$2918,1))-INDEX(DKW_10Y!$B$2:$B$2918,MATCH(Settings!$B$16,DKW_10Y!$A$2:$A$2918,1)))*100))</f>
        <v/>
      </c>
      <c r="Y352" s="19">
        <f>IF(NOT(ISNUMBER($A352)),NA(),IF(OR($A352&lt;MIN(DKW_10Y!$A$2:$A$2918),$A352&gt;MAX(DKW_10Y!$A$2:$A$2918),Settings!$B$16&lt;MIN(DKW_10Y!$A$2:$A$2918)),NA(),(INDEX(DKW_10Y!$C$2:$C$2918,MATCH($A352,DKW_10Y!$A$2:$A$2918,1))-INDEX(DKW_10Y!$C$2:$C$2918,MATCH(Settings!$B$16,DKW_10Y!$A$2:$A$2918,1)))*100))</f>
        <v/>
      </c>
      <c r="Z352" s="19">
        <f>IF(NOT(ISNUMBER($A352)),NA(),IF(OR($A352&lt;MIN(DKW_10Y!$A$2:$A$2918),$A352&gt;MAX(DKW_10Y!$A$2:$A$2918),Settings!$B$16&lt;MIN(DKW_10Y!$A$2:$A$2918)),NA(),(INDEX(DKW_10Y!$D$2:$D$2918,MATCH($A352,DKW_10Y!$A$2:$A$2918,1))-INDEX(DKW_10Y!$D$2:$D$2918,MATCH(Settings!$B$16,DKW_10Y!$A$2:$A$2918,1)))*100))</f>
        <v/>
      </c>
      <c r="AA352" s="19">
        <f>IF(NOT(ISNUMBER($A352)),NA(),IF(OR($A352&lt;MIN(DKW_10Y!$A$2:$A$2918),$A352&gt;MAX(DKW_10Y!$A$2:$A$2918),Settings!$B$16&lt;MIN(DKW_10Y!$A$2:$A$2918)),NA(),(INDEX(DKW_10Y!$E$2:$E$2918,MATCH($A352,DKW_10Y!$A$2:$A$2918,1))-INDEX(DKW_10Y!$E$2:$E$2918,MATCH(Settings!$B$16,DKW_10Y!$A$2:$A$2918,1)))*100))</f>
        <v/>
      </c>
      <c r="AB352" s="19">
        <f>IF(NOT(ISNUMBER($A352)),NA(),IF(OR($A352&lt;MIN(DKW_10Y!$A$2:$A$2918),$A352&gt;MAX(DKW_10Y!$A$2:$A$2918),Settings!$B$16&lt;MIN(DKW_10Y!$A$2:$A$2918)),NA(),(INDEX(DKW_10Y!$H$2:$H$2918,MATCH($A352,DKW_10Y!$A$2:$A$2918,1))-INDEX(DKW_10Y!$H$2:$H$2918,MATCH(Settings!$B$16,DKW_10Y!$A$2:$A$2918,1)))*100))</f>
        <v/>
      </c>
      <c r="AC352" s="18">
        <f>IF(NOT(ISNUMBER($A352)),NA(),IFERROR(1*INDEX(BBG_Data!$N$2:$N$4000,MATCH($A352,BBG_Data!$M$2:$M$4000,0)),NA()))</f>
        <v/>
      </c>
      <c r="AD352" s="18">
        <f>IF(NOT(ISNUMBER($A352)),NA(),IFERROR(1*INDEX(BBG_Data!$P$2:$P$4000,MATCH($A352,BBG_Data!$O$2:$O$4000,0)),NA()))</f>
        <v/>
      </c>
      <c r="AE352" s="18">
        <f>IF(NOT(ISNUMBER($A352)),NA(),IFERROR(1*INDEX(BBG_Data!$R$2:$R$4000,MATCH($A352,BBG_Data!$Q$2:$Q$4000,0)),NA()))</f>
        <v/>
      </c>
      <c r="AF352" s="20">
        <f>IF(AND(ISNUMBER(B352),ISNUMBER(AC352)),(B352-AC352)*100,NA())</f>
        <v/>
      </c>
      <c r="AG352" s="20">
        <f>IF(AND(ISNUMBER(AE352),ISNUMBER(AD352)),(AE352-AD352)*100,NA())</f>
        <v/>
      </c>
      <c r="AH352" s="19">
        <f>IF(NOT(ISNUMBER($A352)),NA(),IFERROR(INDEX(BBG_Data!$T$2:$T$4000,MATCH($A352,BBG_Data!$S$2:$S$4000,0))*Settings!$B$25,NA()))</f>
        <v/>
      </c>
      <c r="AI352" s="19">
        <f>IF(NOT(ISNUMBER($A352)),NA(),IFERROR(INDEX(BBG_Data!$V$2:$V$4000,MATCH($A352,BBG_Data!$U$2:$U$4000,0))*Settings!$B$25,NA()))</f>
        <v/>
      </c>
      <c r="AJ352" s="19">
        <f>IF(NOT(ISNUMBER($A352)),NA(),IFERROR(1*INDEX(BBG_Data!$X$2:$X$4000,MATCH($A352,BBG_Data!$W$2:$W$4000,0)),NA()))</f>
        <v/>
      </c>
      <c r="AK352" s="19">
        <f>IF(NOT(ISNUMBER($A352)),NA(),IFERROR(1*INDEX(BBG_Data!$Z$2:$Z$4000,MATCH($A352,BBG_Data!$Y$2:$Y$4000,0)),NA()))</f>
        <v/>
      </c>
    </row>
    <row r="353">
      <c r="A353" s="17">
        <f>IF(ISNUMBER(BBG_Data!A353),BBG_Data!A353,"")</f>
        <v/>
      </c>
      <c r="B353" s="18">
        <f>IF(AND(ISNUMBER($A353),ISNUMBER(BBG_Data!B353)),BBG_Data!B353,NA())</f>
        <v/>
      </c>
      <c r="C353" s="18">
        <f>IF(NOT(ISNUMBER($A353)),NA(),IFERROR(1*INDEX(BBG_Data!$D$2:$D$4000,MATCH($A353,BBG_Data!$C$2:$C$4000,0)),NA()))</f>
        <v/>
      </c>
      <c r="D353" s="19">
        <f>IF(NOT(ISNUMBER($A353)),NA(),IFERROR(1*INDEX(BBG_Data!$F$2:$F$4000,MATCH($A353,BBG_Data!$E$2:$E$4000,0)),NA()))</f>
        <v/>
      </c>
      <c r="E353" s="19">
        <f>IF(NOT(ISNUMBER($A353)),NA(),IFERROR(1*INDEX(BBG_Data!$H$2:$H$4000,MATCH($A353,BBG_Data!$G$2:$G$4000,0)),NA()))</f>
        <v/>
      </c>
      <c r="F353" s="20">
        <f>IF(AND(ISNUMBER(B353),ISNUMBER(B352)),IF(B353=B352,"",(B353-B352)*100),"")</f>
        <v/>
      </c>
      <c r="G353" s="20">
        <f>IF(AND(ISNUMBER(C353),ISNUMBER(C352)),IF(C353=C352,"",(C353-C352)*100),"")</f>
        <v/>
      </c>
      <c r="H353" s="20">
        <f>IF(OR(NOT(ISNUMBER($A353)),ROW()-2&lt;Settings!$B$11),NA(),IF(COUNT(OFFSET(F353,1-Settings!$B$11,0,Settings!$B$11,1))&lt;ROUNDUP(Settings!$B$11*Settings!$B$26,0),NA(),STDEV(OFFSET(F353,1-Settings!$B$11,0,Settings!$B$11,1))*SQRT(Settings!$B$13)))</f>
        <v/>
      </c>
      <c r="I353" s="20">
        <f>IF(OR(NOT(ISNUMBER($A353)),ROW()-2&lt;Settings!$B$12),NA(),IF(COUNT(OFFSET(F353,1-Settings!$B$12,0,Settings!$B$12,1))&lt;ROUNDUP(Settings!$B$12*Settings!$B$26,0),NA(),STDEV(OFFSET(F353,1-Settings!$B$12,0,Settings!$B$12,1))*SQRT(Settings!$B$13)))</f>
        <v/>
      </c>
      <c r="J353" s="20">
        <f>IF(OR(NOT(ISNUMBER($A353)),ROW()-2&lt;Settings!$B$11),NA(),IF(COUNT(OFFSET(G353,1-Settings!$B$11,0,Settings!$B$11,1))&lt;ROUNDUP(Settings!$B$11*Settings!$B$26,0),NA(),STDEV(OFFSET(G353,1-Settings!$B$11,0,Settings!$B$11,1))*SQRT(Settings!$B$13)))</f>
        <v/>
      </c>
      <c r="K353" s="20">
        <f>IF(OR(NOT(ISNUMBER($A353)),ROW()-2&lt;Settings!$B$12),NA(),IF(COUNT(OFFSET(G353,1-Settings!$B$12,0,Settings!$B$12,1))&lt;ROUNDUP(Settings!$B$12*Settings!$B$26,0),NA(),STDEV(OFFSET(G353,1-Settings!$B$12,0,Settings!$B$12,1))*SQRT(Settings!$B$13)))</f>
        <v/>
      </c>
      <c r="L353" s="20">
        <f>IF(AND(ISNUMBER(D353),ISNUMBER(H353)),D353-H353,NA())</f>
        <v/>
      </c>
      <c r="M353" s="20">
        <f>IF(AND(ISNUMBER(E353),ISNUMBER(K353)),E353-K353,NA())</f>
        <v/>
      </c>
      <c r="N353" s="20">
        <f>IF(NOT(ISNUMBER($A353)),NA(),IF(COUNT(OFFSET(G353,1,0,Settings!$B$12,1))&lt;ROUNDUP(Settings!$B$12*Settings!$B$26,0),NA(),STDEV(OFFSET(G353,1,0,Settings!$B$12,1))*SQRT(Settings!$B$13)))</f>
        <v/>
      </c>
      <c r="O353" s="20">
        <f>IF(AND(ISNUMBER(E353),ISNUMBER(N353)),E353-N353,NA())</f>
        <v/>
      </c>
      <c r="P353" s="19">
        <f>IF(NOT(ISNUMBER($A353)),NA(),IF(OR($A353&lt;MIN(KW_TP!$A$2:$A$2501),$A353&gt;MAX(KW_TP!$A$2:$A$2501)),NA(),INDEX(KW_TP!$C$2:$C$2501,MATCH($A353,KW_TP!$A$2:$A$2501,1))))</f>
        <v/>
      </c>
      <c r="Q353" s="18">
        <f>IF(NOT(ISNUMBER($A353)),NA(),IFERROR(1*INDEX(BBG_Data!$J$2:$J$4000,MATCH($A353,BBG_Data!$I$2:$I$4000,0)),NA()))</f>
        <v/>
      </c>
      <c r="R353" s="18">
        <f>IF(NOT(ISNUMBER($A353)),NA(),IFERROR(1*INDEX(BBG_Data!$L$2:$L$4000,MATCH($A353,BBG_Data!$K$2:$K$4000,0)),NA()))</f>
        <v/>
      </c>
      <c r="S353" s="20">
        <f>IF(AND(ISNUMBER(B353),ISNUMBER(Q353),ISNUMBER(R353)),(B353-Q353-R353)*100,NA())</f>
        <v/>
      </c>
      <c r="T353" s="20">
        <f>IF(AND(ISNUMBER(B353),Settings!$B$17&gt;0),IF(ISNUMBER(INDEX($B:$B,Settings!$B$17)),(B353-INDEX($B:$B,Settings!$B$17))*100,NA()),NA())</f>
        <v/>
      </c>
      <c r="U353" s="20">
        <f>IF(AND(ISNUMBER(Q353),Settings!$B$17&gt;0),IF(ISNUMBER(INDEX($Q:$Q,Settings!$B$17)),(Q353-INDEX($Q:$Q,Settings!$B$17))*100,NA()),NA())</f>
        <v/>
      </c>
      <c r="V353" s="20">
        <f>IF(AND(ISNUMBER(R353),Settings!$B$17&gt;0),IF(ISNUMBER(INDEX($R:$R,Settings!$B$17)),(R353-INDEX($R:$R,Settings!$B$17))*100,NA()),NA())</f>
        <v/>
      </c>
      <c r="W353" s="20">
        <f>IF(AND(ISNUMBER(P353),Settings!$B$17&gt;0),IF(ISNUMBER(INDEX($P:$P,Settings!$B$17)),P353-INDEX($P:$P,Settings!$B$17),NA()),NA())</f>
        <v/>
      </c>
      <c r="X353" s="19">
        <f>IF(NOT(ISNUMBER($A353)),NA(),IF(OR($A353&lt;MIN(DKW_10Y!$A$2:$A$2918),$A353&gt;MAX(DKW_10Y!$A$2:$A$2918),Settings!$B$16&lt;MIN(DKW_10Y!$A$2:$A$2918)),NA(),(INDEX(DKW_10Y!$B$2:$B$2918,MATCH($A353,DKW_10Y!$A$2:$A$2918,1))-INDEX(DKW_10Y!$B$2:$B$2918,MATCH(Settings!$B$16,DKW_10Y!$A$2:$A$2918,1)))*100))</f>
        <v/>
      </c>
      <c r="Y353" s="19">
        <f>IF(NOT(ISNUMBER($A353)),NA(),IF(OR($A353&lt;MIN(DKW_10Y!$A$2:$A$2918),$A353&gt;MAX(DKW_10Y!$A$2:$A$2918),Settings!$B$16&lt;MIN(DKW_10Y!$A$2:$A$2918)),NA(),(INDEX(DKW_10Y!$C$2:$C$2918,MATCH($A353,DKW_10Y!$A$2:$A$2918,1))-INDEX(DKW_10Y!$C$2:$C$2918,MATCH(Settings!$B$16,DKW_10Y!$A$2:$A$2918,1)))*100))</f>
        <v/>
      </c>
      <c r="Z353" s="19">
        <f>IF(NOT(ISNUMBER($A353)),NA(),IF(OR($A353&lt;MIN(DKW_10Y!$A$2:$A$2918),$A353&gt;MAX(DKW_10Y!$A$2:$A$2918),Settings!$B$16&lt;MIN(DKW_10Y!$A$2:$A$2918)),NA(),(INDEX(DKW_10Y!$D$2:$D$2918,MATCH($A353,DKW_10Y!$A$2:$A$2918,1))-INDEX(DKW_10Y!$D$2:$D$2918,MATCH(Settings!$B$16,DKW_10Y!$A$2:$A$2918,1)))*100))</f>
        <v/>
      </c>
      <c r="AA353" s="19">
        <f>IF(NOT(ISNUMBER($A353)),NA(),IF(OR($A353&lt;MIN(DKW_10Y!$A$2:$A$2918),$A353&gt;MAX(DKW_10Y!$A$2:$A$2918),Settings!$B$16&lt;MIN(DKW_10Y!$A$2:$A$2918)),NA(),(INDEX(DKW_10Y!$E$2:$E$2918,MATCH($A353,DKW_10Y!$A$2:$A$2918,1))-INDEX(DKW_10Y!$E$2:$E$2918,MATCH(Settings!$B$16,DKW_10Y!$A$2:$A$2918,1)))*100))</f>
        <v/>
      </c>
      <c r="AB353" s="19">
        <f>IF(NOT(ISNUMBER($A353)),NA(),IF(OR($A353&lt;MIN(DKW_10Y!$A$2:$A$2918),$A353&gt;MAX(DKW_10Y!$A$2:$A$2918),Settings!$B$16&lt;MIN(DKW_10Y!$A$2:$A$2918)),NA(),(INDEX(DKW_10Y!$H$2:$H$2918,MATCH($A353,DKW_10Y!$A$2:$A$2918,1))-INDEX(DKW_10Y!$H$2:$H$2918,MATCH(Settings!$B$16,DKW_10Y!$A$2:$A$2918,1)))*100))</f>
        <v/>
      </c>
      <c r="AC353" s="18">
        <f>IF(NOT(ISNUMBER($A353)),NA(),IFERROR(1*INDEX(BBG_Data!$N$2:$N$4000,MATCH($A353,BBG_Data!$M$2:$M$4000,0)),NA()))</f>
        <v/>
      </c>
      <c r="AD353" s="18">
        <f>IF(NOT(ISNUMBER($A353)),NA(),IFERROR(1*INDEX(BBG_Data!$P$2:$P$4000,MATCH($A353,BBG_Data!$O$2:$O$4000,0)),NA()))</f>
        <v/>
      </c>
      <c r="AE353" s="18">
        <f>IF(NOT(ISNUMBER($A353)),NA(),IFERROR(1*INDEX(BBG_Data!$R$2:$R$4000,MATCH($A353,BBG_Data!$Q$2:$Q$4000,0)),NA()))</f>
        <v/>
      </c>
      <c r="AF353" s="20">
        <f>IF(AND(ISNUMBER(B353),ISNUMBER(AC353)),(B353-AC353)*100,NA())</f>
        <v/>
      </c>
      <c r="AG353" s="20">
        <f>IF(AND(ISNUMBER(AE353),ISNUMBER(AD353)),(AE353-AD353)*100,NA())</f>
        <v/>
      </c>
      <c r="AH353" s="19">
        <f>IF(NOT(ISNUMBER($A353)),NA(),IFERROR(INDEX(BBG_Data!$T$2:$T$4000,MATCH($A353,BBG_Data!$S$2:$S$4000,0))*Settings!$B$25,NA()))</f>
        <v/>
      </c>
      <c r="AI353" s="19">
        <f>IF(NOT(ISNUMBER($A353)),NA(),IFERROR(INDEX(BBG_Data!$V$2:$V$4000,MATCH($A353,BBG_Data!$U$2:$U$4000,0))*Settings!$B$25,NA()))</f>
        <v/>
      </c>
      <c r="AJ353" s="19">
        <f>IF(NOT(ISNUMBER($A353)),NA(),IFERROR(1*INDEX(BBG_Data!$X$2:$X$4000,MATCH($A353,BBG_Data!$W$2:$W$4000,0)),NA()))</f>
        <v/>
      </c>
      <c r="AK353" s="19">
        <f>IF(NOT(ISNUMBER($A353)),NA(),IFERROR(1*INDEX(BBG_Data!$Z$2:$Z$4000,MATCH($A353,BBG_Data!$Y$2:$Y$4000,0)),NA()))</f>
        <v/>
      </c>
    </row>
    <row r="354">
      <c r="A354" s="17">
        <f>IF(ISNUMBER(BBG_Data!A354),BBG_Data!A354,"")</f>
        <v/>
      </c>
      <c r="B354" s="18">
        <f>IF(AND(ISNUMBER($A354),ISNUMBER(BBG_Data!B354)),BBG_Data!B354,NA())</f>
        <v/>
      </c>
      <c r="C354" s="18">
        <f>IF(NOT(ISNUMBER($A354)),NA(),IFERROR(1*INDEX(BBG_Data!$D$2:$D$4000,MATCH($A354,BBG_Data!$C$2:$C$4000,0)),NA()))</f>
        <v/>
      </c>
      <c r="D354" s="19">
        <f>IF(NOT(ISNUMBER($A354)),NA(),IFERROR(1*INDEX(BBG_Data!$F$2:$F$4000,MATCH($A354,BBG_Data!$E$2:$E$4000,0)),NA()))</f>
        <v/>
      </c>
      <c r="E354" s="19">
        <f>IF(NOT(ISNUMBER($A354)),NA(),IFERROR(1*INDEX(BBG_Data!$H$2:$H$4000,MATCH($A354,BBG_Data!$G$2:$G$4000,0)),NA()))</f>
        <v/>
      </c>
      <c r="F354" s="20">
        <f>IF(AND(ISNUMBER(B354),ISNUMBER(B353)),IF(B354=B353,"",(B354-B353)*100),"")</f>
        <v/>
      </c>
      <c r="G354" s="20">
        <f>IF(AND(ISNUMBER(C354),ISNUMBER(C353)),IF(C354=C353,"",(C354-C353)*100),"")</f>
        <v/>
      </c>
      <c r="H354" s="20">
        <f>IF(OR(NOT(ISNUMBER($A354)),ROW()-2&lt;Settings!$B$11),NA(),IF(COUNT(OFFSET(F354,1-Settings!$B$11,0,Settings!$B$11,1))&lt;ROUNDUP(Settings!$B$11*Settings!$B$26,0),NA(),STDEV(OFFSET(F354,1-Settings!$B$11,0,Settings!$B$11,1))*SQRT(Settings!$B$13)))</f>
        <v/>
      </c>
      <c r="I354" s="20">
        <f>IF(OR(NOT(ISNUMBER($A354)),ROW()-2&lt;Settings!$B$12),NA(),IF(COUNT(OFFSET(F354,1-Settings!$B$12,0,Settings!$B$12,1))&lt;ROUNDUP(Settings!$B$12*Settings!$B$26,0),NA(),STDEV(OFFSET(F354,1-Settings!$B$12,0,Settings!$B$12,1))*SQRT(Settings!$B$13)))</f>
        <v/>
      </c>
      <c r="J354" s="20">
        <f>IF(OR(NOT(ISNUMBER($A354)),ROW()-2&lt;Settings!$B$11),NA(),IF(COUNT(OFFSET(G354,1-Settings!$B$11,0,Settings!$B$11,1))&lt;ROUNDUP(Settings!$B$11*Settings!$B$26,0),NA(),STDEV(OFFSET(G354,1-Settings!$B$11,0,Settings!$B$11,1))*SQRT(Settings!$B$13)))</f>
        <v/>
      </c>
      <c r="K354" s="20">
        <f>IF(OR(NOT(ISNUMBER($A354)),ROW()-2&lt;Settings!$B$12),NA(),IF(COUNT(OFFSET(G354,1-Settings!$B$12,0,Settings!$B$12,1))&lt;ROUNDUP(Settings!$B$12*Settings!$B$26,0),NA(),STDEV(OFFSET(G354,1-Settings!$B$12,0,Settings!$B$12,1))*SQRT(Settings!$B$13)))</f>
        <v/>
      </c>
      <c r="L354" s="20">
        <f>IF(AND(ISNUMBER(D354),ISNUMBER(H354)),D354-H354,NA())</f>
        <v/>
      </c>
      <c r="M354" s="20">
        <f>IF(AND(ISNUMBER(E354),ISNUMBER(K354)),E354-K354,NA())</f>
        <v/>
      </c>
      <c r="N354" s="20">
        <f>IF(NOT(ISNUMBER($A354)),NA(),IF(COUNT(OFFSET(G354,1,0,Settings!$B$12,1))&lt;ROUNDUP(Settings!$B$12*Settings!$B$26,0),NA(),STDEV(OFFSET(G354,1,0,Settings!$B$12,1))*SQRT(Settings!$B$13)))</f>
        <v/>
      </c>
      <c r="O354" s="20">
        <f>IF(AND(ISNUMBER(E354),ISNUMBER(N354)),E354-N354,NA())</f>
        <v/>
      </c>
      <c r="P354" s="19">
        <f>IF(NOT(ISNUMBER($A354)),NA(),IF(OR($A354&lt;MIN(KW_TP!$A$2:$A$2501),$A354&gt;MAX(KW_TP!$A$2:$A$2501)),NA(),INDEX(KW_TP!$C$2:$C$2501,MATCH($A354,KW_TP!$A$2:$A$2501,1))))</f>
        <v/>
      </c>
      <c r="Q354" s="18">
        <f>IF(NOT(ISNUMBER($A354)),NA(),IFERROR(1*INDEX(BBG_Data!$J$2:$J$4000,MATCH($A354,BBG_Data!$I$2:$I$4000,0)),NA()))</f>
        <v/>
      </c>
      <c r="R354" s="18">
        <f>IF(NOT(ISNUMBER($A354)),NA(),IFERROR(1*INDEX(BBG_Data!$L$2:$L$4000,MATCH($A354,BBG_Data!$K$2:$K$4000,0)),NA()))</f>
        <v/>
      </c>
      <c r="S354" s="20">
        <f>IF(AND(ISNUMBER(B354),ISNUMBER(Q354),ISNUMBER(R354)),(B354-Q354-R354)*100,NA())</f>
        <v/>
      </c>
      <c r="T354" s="20">
        <f>IF(AND(ISNUMBER(B354),Settings!$B$17&gt;0),IF(ISNUMBER(INDEX($B:$B,Settings!$B$17)),(B354-INDEX($B:$B,Settings!$B$17))*100,NA()),NA())</f>
        <v/>
      </c>
      <c r="U354" s="20">
        <f>IF(AND(ISNUMBER(Q354),Settings!$B$17&gt;0),IF(ISNUMBER(INDEX($Q:$Q,Settings!$B$17)),(Q354-INDEX($Q:$Q,Settings!$B$17))*100,NA()),NA())</f>
        <v/>
      </c>
      <c r="V354" s="20">
        <f>IF(AND(ISNUMBER(R354),Settings!$B$17&gt;0),IF(ISNUMBER(INDEX($R:$R,Settings!$B$17)),(R354-INDEX($R:$R,Settings!$B$17))*100,NA()),NA())</f>
        <v/>
      </c>
      <c r="W354" s="20">
        <f>IF(AND(ISNUMBER(P354),Settings!$B$17&gt;0),IF(ISNUMBER(INDEX($P:$P,Settings!$B$17)),P354-INDEX($P:$P,Settings!$B$17),NA()),NA())</f>
        <v/>
      </c>
      <c r="X354" s="19">
        <f>IF(NOT(ISNUMBER($A354)),NA(),IF(OR($A354&lt;MIN(DKW_10Y!$A$2:$A$2918),$A354&gt;MAX(DKW_10Y!$A$2:$A$2918),Settings!$B$16&lt;MIN(DKW_10Y!$A$2:$A$2918)),NA(),(INDEX(DKW_10Y!$B$2:$B$2918,MATCH($A354,DKW_10Y!$A$2:$A$2918,1))-INDEX(DKW_10Y!$B$2:$B$2918,MATCH(Settings!$B$16,DKW_10Y!$A$2:$A$2918,1)))*100))</f>
        <v/>
      </c>
      <c r="Y354" s="19">
        <f>IF(NOT(ISNUMBER($A354)),NA(),IF(OR($A354&lt;MIN(DKW_10Y!$A$2:$A$2918),$A354&gt;MAX(DKW_10Y!$A$2:$A$2918),Settings!$B$16&lt;MIN(DKW_10Y!$A$2:$A$2918)),NA(),(INDEX(DKW_10Y!$C$2:$C$2918,MATCH($A354,DKW_10Y!$A$2:$A$2918,1))-INDEX(DKW_10Y!$C$2:$C$2918,MATCH(Settings!$B$16,DKW_10Y!$A$2:$A$2918,1)))*100))</f>
        <v/>
      </c>
      <c r="Z354" s="19">
        <f>IF(NOT(ISNUMBER($A354)),NA(),IF(OR($A354&lt;MIN(DKW_10Y!$A$2:$A$2918),$A354&gt;MAX(DKW_10Y!$A$2:$A$2918),Settings!$B$16&lt;MIN(DKW_10Y!$A$2:$A$2918)),NA(),(INDEX(DKW_10Y!$D$2:$D$2918,MATCH($A354,DKW_10Y!$A$2:$A$2918,1))-INDEX(DKW_10Y!$D$2:$D$2918,MATCH(Settings!$B$16,DKW_10Y!$A$2:$A$2918,1)))*100))</f>
        <v/>
      </c>
      <c r="AA354" s="19">
        <f>IF(NOT(ISNUMBER($A354)),NA(),IF(OR($A354&lt;MIN(DKW_10Y!$A$2:$A$2918),$A354&gt;MAX(DKW_10Y!$A$2:$A$2918),Settings!$B$16&lt;MIN(DKW_10Y!$A$2:$A$2918)),NA(),(INDEX(DKW_10Y!$E$2:$E$2918,MATCH($A354,DKW_10Y!$A$2:$A$2918,1))-INDEX(DKW_10Y!$E$2:$E$2918,MATCH(Settings!$B$16,DKW_10Y!$A$2:$A$2918,1)))*100))</f>
        <v/>
      </c>
      <c r="AB354" s="19">
        <f>IF(NOT(ISNUMBER($A354)),NA(),IF(OR($A354&lt;MIN(DKW_10Y!$A$2:$A$2918),$A354&gt;MAX(DKW_10Y!$A$2:$A$2918),Settings!$B$16&lt;MIN(DKW_10Y!$A$2:$A$2918)),NA(),(INDEX(DKW_10Y!$H$2:$H$2918,MATCH($A354,DKW_10Y!$A$2:$A$2918,1))-INDEX(DKW_10Y!$H$2:$H$2918,MATCH(Settings!$B$16,DKW_10Y!$A$2:$A$2918,1)))*100))</f>
        <v/>
      </c>
      <c r="AC354" s="18">
        <f>IF(NOT(ISNUMBER($A354)),NA(),IFERROR(1*INDEX(BBG_Data!$N$2:$N$4000,MATCH($A354,BBG_Data!$M$2:$M$4000,0)),NA()))</f>
        <v/>
      </c>
      <c r="AD354" s="18">
        <f>IF(NOT(ISNUMBER($A354)),NA(),IFERROR(1*INDEX(BBG_Data!$P$2:$P$4000,MATCH($A354,BBG_Data!$O$2:$O$4000,0)),NA()))</f>
        <v/>
      </c>
      <c r="AE354" s="18">
        <f>IF(NOT(ISNUMBER($A354)),NA(),IFERROR(1*INDEX(BBG_Data!$R$2:$R$4000,MATCH($A354,BBG_Data!$Q$2:$Q$4000,0)),NA()))</f>
        <v/>
      </c>
      <c r="AF354" s="20">
        <f>IF(AND(ISNUMBER(B354),ISNUMBER(AC354)),(B354-AC354)*100,NA())</f>
        <v/>
      </c>
      <c r="AG354" s="20">
        <f>IF(AND(ISNUMBER(AE354),ISNUMBER(AD354)),(AE354-AD354)*100,NA())</f>
        <v/>
      </c>
      <c r="AH354" s="19">
        <f>IF(NOT(ISNUMBER($A354)),NA(),IFERROR(INDEX(BBG_Data!$T$2:$T$4000,MATCH($A354,BBG_Data!$S$2:$S$4000,0))*Settings!$B$25,NA()))</f>
        <v/>
      </c>
      <c r="AI354" s="19">
        <f>IF(NOT(ISNUMBER($A354)),NA(),IFERROR(INDEX(BBG_Data!$V$2:$V$4000,MATCH($A354,BBG_Data!$U$2:$U$4000,0))*Settings!$B$25,NA()))</f>
        <v/>
      </c>
      <c r="AJ354" s="19">
        <f>IF(NOT(ISNUMBER($A354)),NA(),IFERROR(1*INDEX(BBG_Data!$X$2:$X$4000,MATCH($A354,BBG_Data!$W$2:$W$4000,0)),NA()))</f>
        <v/>
      </c>
      <c r="AK354" s="19">
        <f>IF(NOT(ISNUMBER($A354)),NA(),IFERROR(1*INDEX(BBG_Data!$Z$2:$Z$4000,MATCH($A354,BBG_Data!$Y$2:$Y$4000,0)),NA()))</f>
        <v/>
      </c>
    </row>
    <row r="355">
      <c r="A355" s="17">
        <f>IF(ISNUMBER(BBG_Data!A355),BBG_Data!A355,"")</f>
        <v/>
      </c>
      <c r="B355" s="18">
        <f>IF(AND(ISNUMBER($A355),ISNUMBER(BBG_Data!B355)),BBG_Data!B355,NA())</f>
        <v/>
      </c>
      <c r="C355" s="18">
        <f>IF(NOT(ISNUMBER($A355)),NA(),IFERROR(1*INDEX(BBG_Data!$D$2:$D$4000,MATCH($A355,BBG_Data!$C$2:$C$4000,0)),NA()))</f>
        <v/>
      </c>
      <c r="D355" s="19">
        <f>IF(NOT(ISNUMBER($A355)),NA(),IFERROR(1*INDEX(BBG_Data!$F$2:$F$4000,MATCH($A355,BBG_Data!$E$2:$E$4000,0)),NA()))</f>
        <v/>
      </c>
      <c r="E355" s="19">
        <f>IF(NOT(ISNUMBER($A355)),NA(),IFERROR(1*INDEX(BBG_Data!$H$2:$H$4000,MATCH($A355,BBG_Data!$G$2:$G$4000,0)),NA()))</f>
        <v/>
      </c>
      <c r="F355" s="20">
        <f>IF(AND(ISNUMBER(B355),ISNUMBER(B354)),IF(B355=B354,"",(B355-B354)*100),"")</f>
        <v/>
      </c>
      <c r="G355" s="20">
        <f>IF(AND(ISNUMBER(C355),ISNUMBER(C354)),IF(C355=C354,"",(C355-C354)*100),"")</f>
        <v/>
      </c>
      <c r="H355" s="20">
        <f>IF(OR(NOT(ISNUMBER($A355)),ROW()-2&lt;Settings!$B$11),NA(),IF(COUNT(OFFSET(F355,1-Settings!$B$11,0,Settings!$B$11,1))&lt;ROUNDUP(Settings!$B$11*Settings!$B$26,0),NA(),STDEV(OFFSET(F355,1-Settings!$B$11,0,Settings!$B$11,1))*SQRT(Settings!$B$13)))</f>
        <v/>
      </c>
      <c r="I355" s="20">
        <f>IF(OR(NOT(ISNUMBER($A355)),ROW()-2&lt;Settings!$B$12),NA(),IF(COUNT(OFFSET(F355,1-Settings!$B$12,0,Settings!$B$12,1))&lt;ROUNDUP(Settings!$B$12*Settings!$B$26,0),NA(),STDEV(OFFSET(F355,1-Settings!$B$12,0,Settings!$B$12,1))*SQRT(Settings!$B$13)))</f>
        <v/>
      </c>
      <c r="J355" s="20">
        <f>IF(OR(NOT(ISNUMBER($A355)),ROW()-2&lt;Settings!$B$11),NA(),IF(COUNT(OFFSET(G355,1-Settings!$B$11,0,Settings!$B$11,1))&lt;ROUNDUP(Settings!$B$11*Settings!$B$26,0),NA(),STDEV(OFFSET(G355,1-Settings!$B$11,0,Settings!$B$11,1))*SQRT(Settings!$B$13)))</f>
        <v/>
      </c>
      <c r="K355" s="20">
        <f>IF(OR(NOT(ISNUMBER($A355)),ROW()-2&lt;Settings!$B$12),NA(),IF(COUNT(OFFSET(G355,1-Settings!$B$12,0,Settings!$B$12,1))&lt;ROUNDUP(Settings!$B$12*Settings!$B$26,0),NA(),STDEV(OFFSET(G355,1-Settings!$B$12,0,Settings!$B$12,1))*SQRT(Settings!$B$13)))</f>
        <v/>
      </c>
      <c r="L355" s="20">
        <f>IF(AND(ISNUMBER(D355),ISNUMBER(H355)),D355-H355,NA())</f>
        <v/>
      </c>
      <c r="M355" s="20">
        <f>IF(AND(ISNUMBER(E355),ISNUMBER(K355)),E355-K355,NA())</f>
        <v/>
      </c>
      <c r="N355" s="20">
        <f>IF(NOT(ISNUMBER($A355)),NA(),IF(COUNT(OFFSET(G355,1,0,Settings!$B$12,1))&lt;ROUNDUP(Settings!$B$12*Settings!$B$26,0),NA(),STDEV(OFFSET(G355,1,0,Settings!$B$12,1))*SQRT(Settings!$B$13)))</f>
        <v/>
      </c>
      <c r="O355" s="20">
        <f>IF(AND(ISNUMBER(E355),ISNUMBER(N355)),E355-N355,NA())</f>
        <v/>
      </c>
      <c r="P355" s="19">
        <f>IF(NOT(ISNUMBER($A355)),NA(),IF(OR($A355&lt;MIN(KW_TP!$A$2:$A$2501),$A355&gt;MAX(KW_TP!$A$2:$A$2501)),NA(),INDEX(KW_TP!$C$2:$C$2501,MATCH($A355,KW_TP!$A$2:$A$2501,1))))</f>
        <v/>
      </c>
      <c r="Q355" s="18">
        <f>IF(NOT(ISNUMBER($A355)),NA(),IFERROR(1*INDEX(BBG_Data!$J$2:$J$4000,MATCH($A355,BBG_Data!$I$2:$I$4000,0)),NA()))</f>
        <v/>
      </c>
      <c r="R355" s="18">
        <f>IF(NOT(ISNUMBER($A355)),NA(),IFERROR(1*INDEX(BBG_Data!$L$2:$L$4000,MATCH($A355,BBG_Data!$K$2:$K$4000,0)),NA()))</f>
        <v/>
      </c>
      <c r="S355" s="20">
        <f>IF(AND(ISNUMBER(B355),ISNUMBER(Q355),ISNUMBER(R355)),(B355-Q355-R355)*100,NA())</f>
        <v/>
      </c>
      <c r="T355" s="20">
        <f>IF(AND(ISNUMBER(B355),Settings!$B$17&gt;0),IF(ISNUMBER(INDEX($B:$B,Settings!$B$17)),(B355-INDEX($B:$B,Settings!$B$17))*100,NA()),NA())</f>
        <v/>
      </c>
      <c r="U355" s="20">
        <f>IF(AND(ISNUMBER(Q355),Settings!$B$17&gt;0),IF(ISNUMBER(INDEX($Q:$Q,Settings!$B$17)),(Q355-INDEX($Q:$Q,Settings!$B$17))*100,NA()),NA())</f>
        <v/>
      </c>
      <c r="V355" s="20">
        <f>IF(AND(ISNUMBER(R355),Settings!$B$17&gt;0),IF(ISNUMBER(INDEX($R:$R,Settings!$B$17)),(R355-INDEX($R:$R,Settings!$B$17))*100,NA()),NA())</f>
        <v/>
      </c>
      <c r="W355" s="20">
        <f>IF(AND(ISNUMBER(P355),Settings!$B$17&gt;0),IF(ISNUMBER(INDEX($P:$P,Settings!$B$17)),P355-INDEX($P:$P,Settings!$B$17),NA()),NA())</f>
        <v/>
      </c>
      <c r="X355" s="19">
        <f>IF(NOT(ISNUMBER($A355)),NA(),IF(OR($A355&lt;MIN(DKW_10Y!$A$2:$A$2918),$A355&gt;MAX(DKW_10Y!$A$2:$A$2918),Settings!$B$16&lt;MIN(DKW_10Y!$A$2:$A$2918)),NA(),(INDEX(DKW_10Y!$B$2:$B$2918,MATCH($A355,DKW_10Y!$A$2:$A$2918,1))-INDEX(DKW_10Y!$B$2:$B$2918,MATCH(Settings!$B$16,DKW_10Y!$A$2:$A$2918,1)))*100))</f>
        <v/>
      </c>
      <c r="Y355" s="19">
        <f>IF(NOT(ISNUMBER($A355)),NA(),IF(OR($A355&lt;MIN(DKW_10Y!$A$2:$A$2918),$A355&gt;MAX(DKW_10Y!$A$2:$A$2918),Settings!$B$16&lt;MIN(DKW_10Y!$A$2:$A$2918)),NA(),(INDEX(DKW_10Y!$C$2:$C$2918,MATCH($A355,DKW_10Y!$A$2:$A$2918,1))-INDEX(DKW_10Y!$C$2:$C$2918,MATCH(Settings!$B$16,DKW_10Y!$A$2:$A$2918,1)))*100))</f>
        <v/>
      </c>
      <c r="Z355" s="19">
        <f>IF(NOT(ISNUMBER($A355)),NA(),IF(OR($A355&lt;MIN(DKW_10Y!$A$2:$A$2918),$A355&gt;MAX(DKW_10Y!$A$2:$A$2918),Settings!$B$16&lt;MIN(DKW_10Y!$A$2:$A$2918)),NA(),(INDEX(DKW_10Y!$D$2:$D$2918,MATCH($A355,DKW_10Y!$A$2:$A$2918,1))-INDEX(DKW_10Y!$D$2:$D$2918,MATCH(Settings!$B$16,DKW_10Y!$A$2:$A$2918,1)))*100))</f>
        <v/>
      </c>
      <c r="AA355" s="19">
        <f>IF(NOT(ISNUMBER($A355)),NA(),IF(OR($A355&lt;MIN(DKW_10Y!$A$2:$A$2918),$A355&gt;MAX(DKW_10Y!$A$2:$A$2918),Settings!$B$16&lt;MIN(DKW_10Y!$A$2:$A$2918)),NA(),(INDEX(DKW_10Y!$E$2:$E$2918,MATCH($A355,DKW_10Y!$A$2:$A$2918,1))-INDEX(DKW_10Y!$E$2:$E$2918,MATCH(Settings!$B$16,DKW_10Y!$A$2:$A$2918,1)))*100))</f>
        <v/>
      </c>
      <c r="AB355" s="19">
        <f>IF(NOT(ISNUMBER($A355)),NA(),IF(OR($A355&lt;MIN(DKW_10Y!$A$2:$A$2918),$A355&gt;MAX(DKW_10Y!$A$2:$A$2918),Settings!$B$16&lt;MIN(DKW_10Y!$A$2:$A$2918)),NA(),(INDEX(DKW_10Y!$H$2:$H$2918,MATCH($A355,DKW_10Y!$A$2:$A$2918,1))-INDEX(DKW_10Y!$H$2:$H$2918,MATCH(Settings!$B$16,DKW_10Y!$A$2:$A$2918,1)))*100))</f>
        <v/>
      </c>
      <c r="AC355" s="18">
        <f>IF(NOT(ISNUMBER($A355)),NA(),IFERROR(1*INDEX(BBG_Data!$N$2:$N$4000,MATCH($A355,BBG_Data!$M$2:$M$4000,0)),NA()))</f>
        <v/>
      </c>
      <c r="AD355" s="18">
        <f>IF(NOT(ISNUMBER($A355)),NA(),IFERROR(1*INDEX(BBG_Data!$P$2:$P$4000,MATCH($A355,BBG_Data!$O$2:$O$4000,0)),NA()))</f>
        <v/>
      </c>
      <c r="AE355" s="18">
        <f>IF(NOT(ISNUMBER($A355)),NA(),IFERROR(1*INDEX(BBG_Data!$R$2:$R$4000,MATCH($A355,BBG_Data!$Q$2:$Q$4000,0)),NA()))</f>
        <v/>
      </c>
      <c r="AF355" s="20">
        <f>IF(AND(ISNUMBER(B355),ISNUMBER(AC355)),(B355-AC355)*100,NA())</f>
        <v/>
      </c>
      <c r="AG355" s="20">
        <f>IF(AND(ISNUMBER(AE355),ISNUMBER(AD355)),(AE355-AD355)*100,NA())</f>
        <v/>
      </c>
      <c r="AH355" s="19">
        <f>IF(NOT(ISNUMBER($A355)),NA(),IFERROR(INDEX(BBG_Data!$T$2:$T$4000,MATCH($A355,BBG_Data!$S$2:$S$4000,0))*Settings!$B$25,NA()))</f>
        <v/>
      </c>
      <c r="AI355" s="19">
        <f>IF(NOT(ISNUMBER($A355)),NA(),IFERROR(INDEX(BBG_Data!$V$2:$V$4000,MATCH($A355,BBG_Data!$U$2:$U$4000,0))*Settings!$B$25,NA()))</f>
        <v/>
      </c>
      <c r="AJ355" s="19">
        <f>IF(NOT(ISNUMBER($A355)),NA(),IFERROR(1*INDEX(BBG_Data!$X$2:$X$4000,MATCH($A355,BBG_Data!$W$2:$W$4000,0)),NA()))</f>
        <v/>
      </c>
      <c r="AK355" s="19">
        <f>IF(NOT(ISNUMBER($A355)),NA(),IFERROR(1*INDEX(BBG_Data!$Z$2:$Z$4000,MATCH($A355,BBG_Data!$Y$2:$Y$4000,0)),NA()))</f>
        <v/>
      </c>
    </row>
    <row r="356">
      <c r="A356" s="17">
        <f>IF(ISNUMBER(BBG_Data!A356),BBG_Data!A356,"")</f>
        <v/>
      </c>
      <c r="B356" s="18">
        <f>IF(AND(ISNUMBER($A356),ISNUMBER(BBG_Data!B356)),BBG_Data!B356,NA())</f>
        <v/>
      </c>
      <c r="C356" s="18">
        <f>IF(NOT(ISNUMBER($A356)),NA(),IFERROR(1*INDEX(BBG_Data!$D$2:$D$4000,MATCH($A356,BBG_Data!$C$2:$C$4000,0)),NA()))</f>
        <v/>
      </c>
      <c r="D356" s="19">
        <f>IF(NOT(ISNUMBER($A356)),NA(),IFERROR(1*INDEX(BBG_Data!$F$2:$F$4000,MATCH($A356,BBG_Data!$E$2:$E$4000,0)),NA()))</f>
        <v/>
      </c>
      <c r="E356" s="19">
        <f>IF(NOT(ISNUMBER($A356)),NA(),IFERROR(1*INDEX(BBG_Data!$H$2:$H$4000,MATCH($A356,BBG_Data!$G$2:$G$4000,0)),NA()))</f>
        <v/>
      </c>
      <c r="F356" s="20">
        <f>IF(AND(ISNUMBER(B356),ISNUMBER(B355)),IF(B356=B355,"",(B356-B355)*100),"")</f>
        <v/>
      </c>
      <c r="G356" s="20">
        <f>IF(AND(ISNUMBER(C356),ISNUMBER(C355)),IF(C356=C355,"",(C356-C355)*100),"")</f>
        <v/>
      </c>
      <c r="H356" s="20">
        <f>IF(OR(NOT(ISNUMBER($A356)),ROW()-2&lt;Settings!$B$11),NA(),IF(COUNT(OFFSET(F356,1-Settings!$B$11,0,Settings!$B$11,1))&lt;ROUNDUP(Settings!$B$11*Settings!$B$26,0),NA(),STDEV(OFFSET(F356,1-Settings!$B$11,0,Settings!$B$11,1))*SQRT(Settings!$B$13)))</f>
        <v/>
      </c>
      <c r="I356" s="20">
        <f>IF(OR(NOT(ISNUMBER($A356)),ROW()-2&lt;Settings!$B$12),NA(),IF(COUNT(OFFSET(F356,1-Settings!$B$12,0,Settings!$B$12,1))&lt;ROUNDUP(Settings!$B$12*Settings!$B$26,0),NA(),STDEV(OFFSET(F356,1-Settings!$B$12,0,Settings!$B$12,1))*SQRT(Settings!$B$13)))</f>
        <v/>
      </c>
      <c r="J356" s="20">
        <f>IF(OR(NOT(ISNUMBER($A356)),ROW()-2&lt;Settings!$B$11),NA(),IF(COUNT(OFFSET(G356,1-Settings!$B$11,0,Settings!$B$11,1))&lt;ROUNDUP(Settings!$B$11*Settings!$B$26,0),NA(),STDEV(OFFSET(G356,1-Settings!$B$11,0,Settings!$B$11,1))*SQRT(Settings!$B$13)))</f>
        <v/>
      </c>
      <c r="K356" s="20">
        <f>IF(OR(NOT(ISNUMBER($A356)),ROW()-2&lt;Settings!$B$12),NA(),IF(COUNT(OFFSET(G356,1-Settings!$B$12,0,Settings!$B$12,1))&lt;ROUNDUP(Settings!$B$12*Settings!$B$26,0),NA(),STDEV(OFFSET(G356,1-Settings!$B$12,0,Settings!$B$12,1))*SQRT(Settings!$B$13)))</f>
        <v/>
      </c>
      <c r="L356" s="20">
        <f>IF(AND(ISNUMBER(D356),ISNUMBER(H356)),D356-H356,NA())</f>
        <v/>
      </c>
      <c r="M356" s="20">
        <f>IF(AND(ISNUMBER(E356),ISNUMBER(K356)),E356-K356,NA())</f>
        <v/>
      </c>
      <c r="N356" s="20">
        <f>IF(NOT(ISNUMBER($A356)),NA(),IF(COUNT(OFFSET(G356,1,0,Settings!$B$12,1))&lt;ROUNDUP(Settings!$B$12*Settings!$B$26,0),NA(),STDEV(OFFSET(G356,1,0,Settings!$B$12,1))*SQRT(Settings!$B$13)))</f>
        <v/>
      </c>
      <c r="O356" s="20">
        <f>IF(AND(ISNUMBER(E356),ISNUMBER(N356)),E356-N356,NA())</f>
        <v/>
      </c>
      <c r="P356" s="19">
        <f>IF(NOT(ISNUMBER($A356)),NA(),IF(OR($A356&lt;MIN(KW_TP!$A$2:$A$2501),$A356&gt;MAX(KW_TP!$A$2:$A$2501)),NA(),INDEX(KW_TP!$C$2:$C$2501,MATCH($A356,KW_TP!$A$2:$A$2501,1))))</f>
        <v/>
      </c>
      <c r="Q356" s="18">
        <f>IF(NOT(ISNUMBER($A356)),NA(),IFERROR(1*INDEX(BBG_Data!$J$2:$J$4000,MATCH($A356,BBG_Data!$I$2:$I$4000,0)),NA()))</f>
        <v/>
      </c>
      <c r="R356" s="18">
        <f>IF(NOT(ISNUMBER($A356)),NA(),IFERROR(1*INDEX(BBG_Data!$L$2:$L$4000,MATCH($A356,BBG_Data!$K$2:$K$4000,0)),NA()))</f>
        <v/>
      </c>
      <c r="S356" s="20">
        <f>IF(AND(ISNUMBER(B356),ISNUMBER(Q356),ISNUMBER(R356)),(B356-Q356-R356)*100,NA())</f>
        <v/>
      </c>
      <c r="T356" s="20">
        <f>IF(AND(ISNUMBER(B356),Settings!$B$17&gt;0),IF(ISNUMBER(INDEX($B:$B,Settings!$B$17)),(B356-INDEX($B:$B,Settings!$B$17))*100,NA()),NA())</f>
        <v/>
      </c>
      <c r="U356" s="20">
        <f>IF(AND(ISNUMBER(Q356),Settings!$B$17&gt;0),IF(ISNUMBER(INDEX($Q:$Q,Settings!$B$17)),(Q356-INDEX($Q:$Q,Settings!$B$17))*100,NA()),NA())</f>
        <v/>
      </c>
      <c r="V356" s="20">
        <f>IF(AND(ISNUMBER(R356),Settings!$B$17&gt;0),IF(ISNUMBER(INDEX($R:$R,Settings!$B$17)),(R356-INDEX($R:$R,Settings!$B$17))*100,NA()),NA())</f>
        <v/>
      </c>
      <c r="W356" s="20">
        <f>IF(AND(ISNUMBER(P356),Settings!$B$17&gt;0),IF(ISNUMBER(INDEX($P:$P,Settings!$B$17)),P356-INDEX($P:$P,Settings!$B$17),NA()),NA())</f>
        <v/>
      </c>
      <c r="X356" s="19">
        <f>IF(NOT(ISNUMBER($A356)),NA(),IF(OR($A356&lt;MIN(DKW_10Y!$A$2:$A$2918),$A356&gt;MAX(DKW_10Y!$A$2:$A$2918),Settings!$B$16&lt;MIN(DKW_10Y!$A$2:$A$2918)),NA(),(INDEX(DKW_10Y!$B$2:$B$2918,MATCH($A356,DKW_10Y!$A$2:$A$2918,1))-INDEX(DKW_10Y!$B$2:$B$2918,MATCH(Settings!$B$16,DKW_10Y!$A$2:$A$2918,1)))*100))</f>
        <v/>
      </c>
      <c r="Y356" s="19">
        <f>IF(NOT(ISNUMBER($A356)),NA(),IF(OR($A356&lt;MIN(DKW_10Y!$A$2:$A$2918),$A356&gt;MAX(DKW_10Y!$A$2:$A$2918),Settings!$B$16&lt;MIN(DKW_10Y!$A$2:$A$2918)),NA(),(INDEX(DKW_10Y!$C$2:$C$2918,MATCH($A356,DKW_10Y!$A$2:$A$2918,1))-INDEX(DKW_10Y!$C$2:$C$2918,MATCH(Settings!$B$16,DKW_10Y!$A$2:$A$2918,1)))*100))</f>
        <v/>
      </c>
      <c r="Z356" s="19">
        <f>IF(NOT(ISNUMBER($A356)),NA(),IF(OR($A356&lt;MIN(DKW_10Y!$A$2:$A$2918),$A356&gt;MAX(DKW_10Y!$A$2:$A$2918),Settings!$B$16&lt;MIN(DKW_10Y!$A$2:$A$2918)),NA(),(INDEX(DKW_10Y!$D$2:$D$2918,MATCH($A356,DKW_10Y!$A$2:$A$2918,1))-INDEX(DKW_10Y!$D$2:$D$2918,MATCH(Settings!$B$16,DKW_10Y!$A$2:$A$2918,1)))*100))</f>
        <v/>
      </c>
      <c r="AA356" s="19">
        <f>IF(NOT(ISNUMBER($A356)),NA(),IF(OR($A356&lt;MIN(DKW_10Y!$A$2:$A$2918),$A356&gt;MAX(DKW_10Y!$A$2:$A$2918),Settings!$B$16&lt;MIN(DKW_10Y!$A$2:$A$2918)),NA(),(INDEX(DKW_10Y!$E$2:$E$2918,MATCH($A356,DKW_10Y!$A$2:$A$2918,1))-INDEX(DKW_10Y!$E$2:$E$2918,MATCH(Settings!$B$16,DKW_10Y!$A$2:$A$2918,1)))*100))</f>
        <v/>
      </c>
      <c r="AB356" s="19">
        <f>IF(NOT(ISNUMBER($A356)),NA(),IF(OR($A356&lt;MIN(DKW_10Y!$A$2:$A$2918),$A356&gt;MAX(DKW_10Y!$A$2:$A$2918),Settings!$B$16&lt;MIN(DKW_10Y!$A$2:$A$2918)),NA(),(INDEX(DKW_10Y!$H$2:$H$2918,MATCH($A356,DKW_10Y!$A$2:$A$2918,1))-INDEX(DKW_10Y!$H$2:$H$2918,MATCH(Settings!$B$16,DKW_10Y!$A$2:$A$2918,1)))*100))</f>
        <v/>
      </c>
      <c r="AC356" s="18">
        <f>IF(NOT(ISNUMBER($A356)),NA(),IFERROR(1*INDEX(BBG_Data!$N$2:$N$4000,MATCH($A356,BBG_Data!$M$2:$M$4000,0)),NA()))</f>
        <v/>
      </c>
      <c r="AD356" s="18">
        <f>IF(NOT(ISNUMBER($A356)),NA(),IFERROR(1*INDEX(BBG_Data!$P$2:$P$4000,MATCH($A356,BBG_Data!$O$2:$O$4000,0)),NA()))</f>
        <v/>
      </c>
      <c r="AE356" s="18">
        <f>IF(NOT(ISNUMBER($A356)),NA(),IFERROR(1*INDEX(BBG_Data!$R$2:$R$4000,MATCH($A356,BBG_Data!$Q$2:$Q$4000,0)),NA()))</f>
        <v/>
      </c>
      <c r="AF356" s="20">
        <f>IF(AND(ISNUMBER(B356),ISNUMBER(AC356)),(B356-AC356)*100,NA())</f>
        <v/>
      </c>
      <c r="AG356" s="20">
        <f>IF(AND(ISNUMBER(AE356),ISNUMBER(AD356)),(AE356-AD356)*100,NA())</f>
        <v/>
      </c>
      <c r="AH356" s="19">
        <f>IF(NOT(ISNUMBER($A356)),NA(),IFERROR(INDEX(BBG_Data!$T$2:$T$4000,MATCH($A356,BBG_Data!$S$2:$S$4000,0))*Settings!$B$25,NA()))</f>
        <v/>
      </c>
      <c r="AI356" s="19">
        <f>IF(NOT(ISNUMBER($A356)),NA(),IFERROR(INDEX(BBG_Data!$V$2:$V$4000,MATCH($A356,BBG_Data!$U$2:$U$4000,0))*Settings!$B$25,NA()))</f>
        <v/>
      </c>
      <c r="AJ356" s="19">
        <f>IF(NOT(ISNUMBER($A356)),NA(),IFERROR(1*INDEX(BBG_Data!$X$2:$X$4000,MATCH($A356,BBG_Data!$W$2:$W$4000,0)),NA()))</f>
        <v/>
      </c>
      <c r="AK356" s="19">
        <f>IF(NOT(ISNUMBER($A356)),NA(),IFERROR(1*INDEX(BBG_Data!$Z$2:$Z$4000,MATCH($A356,BBG_Data!$Y$2:$Y$4000,0)),NA()))</f>
        <v/>
      </c>
    </row>
    <row r="357">
      <c r="A357" s="17">
        <f>IF(ISNUMBER(BBG_Data!A357),BBG_Data!A357,"")</f>
        <v/>
      </c>
      <c r="B357" s="18">
        <f>IF(AND(ISNUMBER($A357),ISNUMBER(BBG_Data!B357)),BBG_Data!B357,NA())</f>
        <v/>
      </c>
      <c r="C357" s="18">
        <f>IF(NOT(ISNUMBER($A357)),NA(),IFERROR(1*INDEX(BBG_Data!$D$2:$D$4000,MATCH($A357,BBG_Data!$C$2:$C$4000,0)),NA()))</f>
        <v/>
      </c>
      <c r="D357" s="19">
        <f>IF(NOT(ISNUMBER($A357)),NA(),IFERROR(1*INDEX(BBG_Data!$F$2:$F$4000,MATCH($A357,BBG_Data!$E$2:$E$4000,0)),NA()))</f>
        <v/>
      </c>
      <c r="E357" s="19">
        <f>IF(NOT(ISNUMBER($A357)),NA(),IFERROR(1*INDEX(BBG_Data!$H$2:$H$4000,MATCH($A357,BBG_Data!$G$2:$G$4000,0)),NA()))</f>
        <v/>
      </c>
      <c r="F357" s="20">
        <f>IF(AND(ISNUMBER(B357),ISNUMBER(B356)),IF(B357=B356,"",(B357-B356)*100),"")</f>
        <v/>
      </c>
      <c r="G357" s="20">
        <f>IF(AND(ISNUMBER(C357),ISNUMBER(C356)),IF(C357=C356,"",(C357-C356)*100),"")</f>
        <v/>
      </c>
      <c r="H357" s="20">
        <f>IF(OR(NOT(ISNUMBER($A357)),ROW()-2&lt;Settings!$B$11),NA(),IF(COUNT(OFFSET(F357,1-Settings!$B$11,0,Settings!$B$11,1))&lt;ROUNDUP(Settings!$B$11*Settings!$B$26,0),NA(),STDEV(OFFSET(F357,1-Settings!$B$11,0,Settings!$B$11,1))*SQRT(Settings!$B$13)))</f>
        <v/>
      </c>
      <c r="I357" s="20">
        <f>IF(OR(NOT(ISNUMBER($A357)),ROW()-2&lt;Settings!$B$12),NA(),IF(COUNT(OFFSET(F357,1-Settings!$B$12,0,Settings!$B$12,1))&lt;ROUNDUP(Settings!$B$12*Settings!$B$26,0),NA(),STDEV(OFFSET(F357,1-Settings!$B$12,0,Settings!$B$12,1))*SQRT(Settings!$B$13)))</f>
        <v/>
      </c>
      <c r="J357" s="20">
        <f>IF(OR(NOT(ISNUMBER($A357)),ROW()-2&lt;Settings!$B$11),NA(),IF(COUNT(OFFSET(G357,1-Settings!$B$11,0,Settings!$B$11,1))&lt;ROUNDUP(Settings!$B$11*Settings!$B$26,0),NA(),STDEV(OFFSET(G357,1-Settings!$B$11,0,Settings!$B$11,1))*SQRT(Settings!$B$13)))</f>
        <v/>
      </c>
      <c r="K357" s="20">
        <f>IF(OR(NOT(ISNUMBER($A357)),ROW()-2&lt;Settings!$B$12),NA(),IF(COUNT(OFFSET(G357,1-Settings!$B$12,0,Settings!$B$12,1))&lt;ROUNDUP(Settings!$B$12*Settings!$B$26,0),NA(),STDEV(OFFSET(G357,1-Settings!$B$12,0,Settings!$B$12,1))*SQRT(Settings!$B$13)))</f>
        <v/>
      </c>
      <c r="L357" s="20">
        <f>IF(AND(ISNUMBER(D357),ISNUMBER(H357)),D357-H357,NA())</f>
        <v/>
      </c>
      <c r="M357" s="20">
        <f>IF(AND(ISNUMBER(E357),ISNUMBER(K357)),E357-K357,NA())</f>
        <v/>
      </c>
      <c r="N357" s="20">
        <f>IF(NOT(ISNUMBER($A357)),NA(),IF(COUNT(OFFSET(G357,1,0,Settings!$B$12,1))&lt;ROUNDUP(Settings!$B$12*Settings!$B$26,0),NA(),STDEV(OFFSET(G357,1,0,Settings!$B$12,1))*SQRT(Settings!$B$13)))</f>
        <v/>
      </c>
      <c r="O357" s="20">
        <f>IF(AND(ISNUMBER(E357),ISNUMBER(N357)),E357-N357,NA())</f>
        <v/>
      </c>
      <c r="P357" s="19">
        <f>IF(NOT(ISNUMBER($A357)),NA(),IF(OR($A357&lt;MIN(KW_TP!$A$2:$A$2501),$A357&gt;MAX(KW_TP!$A$2:$A$2501)),NA(),INDEX(KW_TP!$C$2:$C$2501,MATCH($A357,KW_TP!$A$2:$A$2501,1))))</f>
        <v/>
      </c>
      <c r="Q357" s="18">
        <f>IF(NOT(ISNUMBER($A357)),NA(),IFERROR(1*INDEX(BBG_Data!$J$2:$J$4000,MATCH($A357,BBG_Data!$I$2:$I$4000,0)),NA()))</f>
        <v/>
      </c>
      <c r="R357" s="18">
        <f>IF(NOT(ISNUMBER($A357)),NA(),IFERROR(1*INDEX(BBG_Data!$L$2:$L$4000,MATCH($A357,BBG_Data!$K$2:$K$4000,0)),NA()))</f>
        <v/>
      </c>
      <c r="S357" s="20">
        <f>IF(AND(ISNUMBER(B357),ISNUMBER(Q357),ISNUMBER(R357)),(B357-Q357-R357)*100,NA())</f>
        <v/>
      </c>
      <c r="T357" s="20">
        <f>IF(AND(ISNUMBER(B357),Settings!$B$17&gt;0),IF(ISNUMBER(INDEX($B:$B,Settings!$B$17)),(B357-INDEX($B:$B,Settings!$B$17))*100,NA()),NA())</f>
        <v/>
      </c>
      <c r="U357" s="20">
        <f>IF(AND(ISNUMBER(Q357),Settings!$B$17&gt;0),IF(ISNUMBER(INDEX($Q:$Q,Settings!$B$17)),(Q357-INDEX($Q:$Q,Settings!$B$17))*100,NA()),NA())</f>
        <v/>
      </c>
      <c r="V357" s="20">
        <f>IF(AND(ISNUMBER(R357),Settings!$B$17&gt;0),IF(ISNUMBER(INDEX($R:$R,Settings!$B$17)),(R357-INDEX($R:$R,Settings!$B$17))*100,NA()),NA())</f>
        <v/>
      </c>
      <c r="W357" s="20">
        <f>IF(AND(ISNUMBER(P357),Settings!$B$17&gt;0),IF(ISNUMBER(INDEX($P:$P,Settings!$B$17)),P357-INDEX($P:$P,Settings!$B$17),NA()),NA())</f>
        <v/>
      </c>
      <c r="X357" s="19">
        <f>IF(NOT(ISNUMBER($A357)),NA(),IF(OR($A357&lt;MIN(DKW_10Y!$A$2:$A$2918),$A357&gt;MAX(DKW_10Y!$A$2:$A$2918),Settings!$B$16&lt;MIN(DKW_10Y!$A$2:$A$2918)),NA(),(INDEX(DKW_10Y!$B$2:$B$2918,MATCH($A357,DKW_10Y!$A$2:$A$2918,1))-INDEX(DKW_10Y!$B$2:$B$2918,MATCH(Settings!$B$16,DKW_10Y!$A$2:$A$2918,1)))*100))</f>
        <v/>
      </c>
      <c r="Y357" s="19">
        <f>IF(NOT(ISNUMBER($A357)),NA(),IF(OR($A357&lt;MIN(DKW_10Y!$A$2:$A$2918),$A357&gt;MAX(DKW_10Y!$A$2:$A$2918),Settings!$B$16&lt;MIN(DKW_10Y!$A$2:$A$2918)),NA(),(INDEX(DKW_10Y!$C$2:$C$2918,MATCH($A357,DKW_10Y!$A$2:$A$2918,1))-INDEX(DKW_10Y!$C$2:$C$2918,MATCH(Settings!$B$16,DKW_10Y!$A$2:$A$2918,1)))*100))</f>
        <v/>
      </c>
      <c r="Z357" s="19">
        <f>IF(NOT(ISNUMBER($A357)),NA(),IF(OR($A357&lt;MIN(DKW_10Y!$A$2:$A$2918),$A357&gt;MAX(DKW_10Y!$A$2:$A$2918),Settings!$B$16&lt;MIN(DKW_10Y!$A$2:$A$2918)),NA(),(INDEX(DKW_10Y!$D$2:$D$2918,MATCH($A357,DKW_10Y!$A$2:$A$2918,1))-INDEX(DKW_10Y!$D$2:$D$2918,MATCH(Settings!$B$16,DKW_10Y!$A$2:$A$2918,1)))*100))</f>
        <v/>
      </c>
      <c r="AA357" s="19">
        <f>IF(NOT(ISNUMBER($A357)),NA(),IF(OR($A357&lt;MIN(DKW_10Y!$A$2:$A$2918),$A357&gt;MAX(DKW_10Y!$A$2:$A$2918),Settings!$B$16&lt;MIN(DKW_10Y!$A$2:$A$2918)),NA(),(INDEX(DKW_10Y!$E$2:$E$2918,MATCH($A357,DKW_10Y!$A$2:$A$2918,1))-INDEX(DKW_10Y!$E$2:$E$2918,MATCH(Settings!$B$16,DKW_10Y!$A$2:$A$2918,1)))*100))</f>
        <v/>
      </c>
      <c r="AB357" s="19">
        <f>IF(NOT(ISNUMBER($A357)),NA(),IF(OR($A357&lt;MIN(DKW_10Y!$A$2:$A$2918),$A357&gt;MAX(DKW_10Y!$A$2:$A$2918),Settings!$B$16&lt;MIN(DKW_10Y!$A$2:$A$2918)),NA(),(INDEX(DKW_10Y!$H$2:$H$2918,MATCH($A357,DKW_10Y!$A$2:$A$2918,1))-INDEX(DKW_10Y!$H$2:$H$2918,MATCH(Settings!$B$16,DKW_10Y!$A$2:$A$2918,1)))*100))</f>
        <v/>
      </c>
      <c r="AC357" s="18">
        <f>IF(NOT(ISNUMBER($A357)),NA(),IFERROR(1*INDEX(BBG_Data!$N$2:$N$4000,MATCH($A357,BBG_Data!$M$2:$M$4000,0)),NA()))</f>
        <v/>
      </c>
      <c r="AD357" s="18">
        <f>IF(NOT(ISNUMBER($A357)),NA(),IFERROR(1*INDEX(BBG_Data!$P$2:$P$4000,MATCH($A357,BBG_Data!$O$2:$O$4000,0)),NA()))</f>
        <v/>
      </c>
      <c r="AE357" s="18">
        <f>IF(NOT(ISNUMBER($A357)),NA(),IFERROR(1*INDEX(BBG_Data!$R$2:$R$4000,MATCH($A357,BBG_Data!$Q$2:$Q$4000,0)),NA()))</f>
        <v/>
      </c>
      <c r="AF357" s="20">
        <f>IF(AND(ISNUMBER(B357),ISNUMBER(AC357)),(B357-AC357)*100,NA())</f>
        <v/>
      </c>
      <c r="AG357" s="20">
        <f>IF(AND(ISNUMBER(AE357),ISNUMBER(AD357)),(AE357-AD357)*100,NA())</f>
        <v/>
      </c>
      <c r="AH357" s="19">
        <f>IF(NOT(ISNUMBER($A357)),NA(),IFERROR(INDEX(BBG_Data!$T$2:$T$4000,MATCH($A357,BBG_Data!$S$2:$S$4000,0))*Settings!$B$25,NA()))</f>
        <v/>
      </c>
      <c r="AI357" s="19">
        <f>IF(NOT(ISNUMBER($A357)),NA(),IFERROR(INDEX(BBG_Data!$V$2:$V$4000,MATCH($A357,BBG_Data!$U$2:$U$4000,0))*Settings!$B$25,NA()))</f>
        <v/>
      </c>
      <c r="AJ357" s="19">
        <f>IF(NOT(ISNUMBER($A357)),NA(),IFERROR(1*INDEX(BBG_Data!$X$2:$X$4000,MATCH($A357,BBG_Data!$W$2:$W$4000,0)),NA()))</f>
        <v/>
      </c>
      <c r="AK357" s="19">
        <f>IF(NOT(ISNUMBER($A357)),NA(),IFERROR(1*INDEX(BBG_Data!$Z$2:$Z$4000,MATCH($A357,BBG_Data!$Y$2:$Y$4000,0)),NA()))</f>
        <v/>
      </c>
    </row>
    <row r="358">
      <c r="A358" s="17">
        <f>IF(ISNUMBER(BBG_Data!A358),BBG_Data!A358,"")</f>
        <v/>
      </c>
      <c r="B358" s="18">
        <f>IF(AND(ISNUMBER($A358),ISNUMBER(BBG_Data!B358)),BBG_Data!B358,NA())</f>
        <v/>
      </c>
      <c r="C358" s="18">
        <f>IF(NOT(ISNUMBER($A358)),NA(),IFERROR(1*INDEX(BBG_Data!$D$2:$D$4000,MATCH($A358,BBG_Data!$C$2:$C$4000,0)),NA()))</f>
        <v/>
      </c>
      <c r="D358" s="19">
        <f>IF(NOT(ISNUMBER($A358)),NA(),IFERROR(1*INDEX(BBG_Data!$F$2:$F$4000,MATCH($A358,BBG_Data!$E$2:$E$4000,0)),NA()))</f>
        <v/>
      </c>
      <c r="E358" s="19">
        <f>IF(NOT(ISNUMBER($A358)),NA(),IFERROR(1*INDEX(BBG_Data!$H$2:$H$4000,MATCH($A358,BBG_Data!$G$2:$G$4000,0)),NA()))</f>
        <v/>
      </c>
      <c r="F358" s="20">
        <f>IF(AND(ISNUMBER(B358),ISNUMBER(B357)),IF(B358=B357,"",(B358-B357)*100),"")</f>
        <v/>
      </c>
      <c r="G358" s="20">
        <f>IF(AND(ISNUMBER(C358),ISNUMBER(C357)),IF(C358=C357,"",(C358-C357)*100),"")</f>
        <v/>
      </c>
      <c r="H358" s="20">
        <f>IF(OR(NOT(ISNUMBER($A358)),ROW()-2&lt;Settings!$B$11),NA(),IF(COUNT(OFFSET(F358,1-Settings!$B$11,0,Settings!$B$11,1))&lt;ROUNDUP(Settings!$B$11*Settings!$B$26,0),NA(),STDEV(OFFSET(F358,1-Settings!$B$11,0,Settings!$B$11,1))*SQRT(Settings!$B$13)))</f>
        <v/>
      </c>
      <c r="I358" s="20">
        <f>IF(OR(NOT(ISNUMBER($A358)),ROW()-2&lt;Settings!$B$12),NA(),IF(COUNT(OFFSET(F358,1-Settings!$B$12,0,Settings!$B$12,1))&lt;ROUNDUP(Settings!$B$12*Settings!$B$26,0),NA(),STDEV(OFFSET(F358,1-Settings!$B$12,0,Settings!$B$12,1))*SQRT(Settings!$B$13)))</f>
        <v/>
      </c>
      <c r="J358" s="20">
        <f>IF(OR(NOT(ISNUMBER($A358)),ROW()-2&lt;Settings!$B$11),NA(),IF(COUNT(OFFSET(G358,1-Settings!$B$11,0,Settings!$B$11,1))&lt;ROUNDUP(Settings!$B$11*Settings!$B$26,0),NA(),STDEV(OFFSET(G358,1-Settings!$B$11,0,Settings!$B$11,1))*SQRT(Settings!$B$13)))</f>
        <v/>
      </c>
      <c r="K358" s="20">
        <f>IF(OR(NOT(ISNUMBER($A358)),ROW()-2&lt;Settings!$B$12),NA(),IF(COUNT(OFFSET(G358,1-Settings!$B$12,0,Settings!$B$12,1))&lt;ROUNDUP(Settings!$B$12*Settings!$B$26,0),NA(),STDEV(OFFSET(G358,1-Settings!$B$12,0,Settings!$B$12,1))*SQRT(Settings!$B$13)))</f>
        <v/>
      </c>
      <c r="L358" s="20">
        <f>IF(AND(ISNUMBER(D358),ISNUMBER(H358)),D358-H358,NA())</f>
        <v/>
      </c>
      <c r="M358" s="20">
        <f>IF(AND(ISNUMBER(E358),ISNUMBER(K358)),E358-K358,NA())</f>
        <v/>
      </c>
      <c r="N358" s="20">
        <f>IF(NOT(ISNUMBER($A358)),NA(),IF(COUNT(OFFSET(G358,1,0,Settings!$B$12,1))&lt;ROUNDUP(Settings!$B$12*Settings!$B$26,0),NA(),STDEV(OFFSET(G358,1,0,Settings!$B$12,1))*SQRT(Settings!$B$13)))</f>
        <v/>
      </c>
      <c r="O358" s="20">
        <f>IF(AND(ISNUMBER(E358),ISNUMBER(N358)),E358-N358,NA())</f>
        <v/>
      </c>
      <c r="P358" s="19">
        <f>IF(NOT(ISNUMBER($A358)),NA(),IF(OR($A358&lt;MIN(KW_TP!$A$2:$A$2501),$A358&gt;MAX(KW_TP!$A$2:$A$2501)),NA(),INDEX(KW_TP!$C$2:$C$2501,MATCH($A358,KW_TP!$A$2:$A$2501,1))))</f>
        <v/>
      </c>
      <c r="Q358" s="18">
        <f>IF(NOT(ISNUMBER($A358)),NA(),IFERROR(1*INDEX(BBG_Data!$J$2:$J$4000,MATCH($A358,BBG_Data!$I$2:$I$4000,0)),NA()))</f>
        <v/>
      </c>
      <c r="R358" s="18">
        <f>IF(NOT(ISNUMBER($A358)),NA(),IFERROR(1*INDEX(BBG_Data!$L$2:$L$4000,MATCH($A358,BBG_Data!$K$2:$K$4000,0)),NA()))</f>
        <v/>
      </c>
      <c r="S358" s="20">
        <f>IF(AND(ISNUMBER(B358),ISNUMBER(Q358),ISNUMBER(R358)),(B358-Q358-R358)*100,NA())</f>
        <v/>
      </c>
      <c r="T358" s="20">
        <f>IF(AND(ISNUMBER(B358),Settings!$B$17&gt;0),IF(ISNUMBER(INDEX($B:$B,Settings!$B$17)),(B358-INDEX($B:$B,Settings!$B$17))*100,NA()),NA())</f>
        <v/>
      </c>
      <c r="U358" s="20">
        <f>IF(AND(ISNUMBER(Q358),Settings!$B$17&gt;0),IF(ISNUMBER(INDEX($Q:$Q,Settings!$B$17)),(Q358-INDEX($Q:$Q,Settings!$B$17))*100,NA()),NA())</f>
        <v/>
      </c>
      <c r="V358" s="20">
        <f>IF(AND(ISNUMBER(R358),Settings!$B$17&gt;0),IF(ISNUMBER(INDEX($R:$R,Settings!$B$17)),(R358-INDEX($R:$R,Settings!$B$17))*100,NA()),NA())</f>
        <v/>
      </c>
      <c r="W358" s="20">
        <f>IF(AND(ISNUMBER(P358),Settings!$B$17&gt;0),IF(ISNUMBER(INDEX($P:$P,Settings!$B$17)),P358-INDEX($P:$P,Settings!$B$17),NA()),NA())</f>
        <v/>
      </c>
      <c r="X358" s="19">
        <f>IF(NOT(ISNUMBER($A358)),NA(),IF(OR($A358&lt;MIN(DKW_10Y!$A$2:$A$2918),$A358&gt;MAX(DKW_10Y!$A$2:$A$2918),Settings!$B$16&lt;MIN(DKW_10Y!$A$2:$A$2918)),NA(),(INDEX(DKW_10Y!$B$2:$B$2918,MATCH($A358,DKW_10Y!$A$2:$A$2918,1))-INDEX(DKW_10Y!$B$2:$B$2918,MATCH(Settings!$B$16,DKW_10Y!$A$2:$A$2918,1)))*100))</f>
        <v/>
      </c>
      <c r="Y358" s="19">
        <f>IF(NOT(ISNUMBER($A358)),NA(),IF(OR($A358&lt;MIN(DKW_10Y!$A$2:$A$2918),$A358&gt;MAX(DKW_10Y!$A$2:$A$2918),Settings!$B$16&lt;MIN(DKW_10Y!$A$2:$A$2918)),NA(),(INDEX(DKW_10Y!$C$2:$C$2918,MATCH($A358,DKW_10Y!$A$2:$A$2918,1))-INDEX(DKW_10Y!$C$2:$C$2918,MATCH(Settings!$B$16,DKW_10Y!$A$2:$A$2918,1)))*100))</f>
        <v/>
      </c>
      <c r="Z358" s="19">
        <f>IF(NOT(ISNUMBER($A358)),NA(),IF(OR($A358&lt;MIN(DKW_10Y!$A$2:$A$2918),$A358&gt;MAX(DKW_10Y!$A$2:$A$2918),Settings!$B$16&lt;MIN(DKW_10Y!$A$2:$A$2918)),NA(),(INDEX(DKW_10Y!$D$2:$D$2918,MATCH($A358,DKW_10Y!$A$2:$A$2918,1))-INDEX(DKW_10Y!$D$2:$D$2918,MATCH(Settings!$B$16,DKW_10Y!$A$2:$A$2918,1)))*100))</f>
        <v/>
      </c>
      <c r="AA358" s="19">
        <f>IF(NOT(ISNUMBER($A358)),NA(),IF(OR($A358&lt;MIN(DKW_10Y!$A$2:$A$2918),$A358&gt;MAX(DKW_10Y!$A$2:$A$2918),Settings!$B$16&lt;MIN(DKW_10Y!$A$2:$A$2918)),NA(),(INDEX(DKW_10Y!$E$2:$E$2918,MATCH($A358,DKW_10Y!$A$2:$A$2918,1))-INDEX(DKW_10Y!$E$2:$E$2918,MATCH(Settings!$B$16,DKW_10Y!$A$2:$A$2918,1)))*100))</f>
        <v/>
      </c>
      <c r="AB358" s="19">
        <f>IF(NOT(ISNUMBER($A358)),NA(),IF(OR($A358&lt;MIN(DKW_10Y!$A$2:$A$2918),$A358&gt;MAX(DKW_10Y!$A$2:$A$2918),Settings!$B$16&lt;MIN(DKW_10Y!$A$2:$A$2918)),NA(),(INDEX(DKW_10Y!$H$2:$H$2918,MATCH($A358,DKW_10Y!$A$2:$A$2918,1))-INDEX(DKW_10Y!$H$2:$H$2918,MATCH(Settings!$B$16,DKW_10Y!$A$2:$A$2918,1)))*100))</f>
        <v/>
      </c>
      <c r="AC358" s="18">
        <f>IF(NOT(ISNUMBER($A358)),NA(),IFERROR(1*INDEX(BBG_Data!$N$2:$N$4000,MATCH($A358,BBG_Data!$M$2:$M$4000,0)),NA()))</f>
        <v/>
      </c>
      <c r="AD358" s="18">
        <f>IF(NOT(ISNUMBER($A358)),NA(),IFERROR(1*INDEX(BBG_Data!$P$2:$P$4000,MATCH($A358,BBG_Data!$O$2:$O$4000,0)),NA()))</f>
        <v/>
      </c>
      <c r="AE358" s="18">
        <f>IF(NOT(ISNUMBER($A358)),NA(),IFERROR(1*INDEX(BBG_Data!$R$2:$R$4000,MATCH($A358,BBG_Data!$Q$2:$Q$4000,0)),NA()))</f>
        <v/>
      </c>
      <c r="AF358" s="20">
        <f>IF(AND(ISNUMBER(B358),ISNUMBER(AC358)),(B358-AC358)*100,NA())</f>
        <v/>
      </c>
      <c r="AG358" s="20">
        <f>IF(AND(ISNUMBER(AE358),ISNUMBER(AD358)),(AE358-AD358)*100,NA())</f>
        <v/>
      </c>
      <c r="AH358" s="19">
        <f>IF(NOT(ISNUMBER($A358)),NA(),IFERROR(INDEX(BBG_Data!$T$2:$T$4000,MATCH($A358,BBG_Data!$S$2:$S$4000,0))*Settings!$B$25,NA()))</f>
        <v/>
      </c>
      <c r="AI358" s="19">
        <f>IF(NOT(ISNUMBER($A358)),NA(),IFERROR(INDEX(BBG_Data!$V$2:$V$4000,MATCH($A358,BBG_Data!$U$2:$U$4000,0))*Settings!$B$25,NA()))</f>
        <v/>
      </c>
      <c r="AJ358" s="19">
        <f>IF(NOT(ISNUMBER($A358)),NA(),IFERROR(1*INDEX(BBG_Data!$X$2:$X$4000,MATCH($A358,BBG_Data!$W$2:$W$4000,0)),NA()))</f>
        <v/>
      </c>
      <c r="AK358" s="19">
        <f>IF(NOT(ISNUMBER($A358)),NA(),IFERROR(1*INDEX(BBG_Data!$Z$2:$Z$4000,MATCH($A358,BBG_Data!$Y$2:$Y$4000,0)),NA()))</f>
        <v/>
      </c>
    </row>
    <row r="359">
      <c r="A359" s="17">
        <f>IF(ISNUMBER(BBG_Data!A359),BBG_Data!A359,"")</f>
        <v/>
      </c>
      <c r="B359" s="18">
        <f>IF(AND(ISNUMBER($A359),ISNUMBER(BBG_Data!B359)),BBG_Data!B359,NA())</f>
        <v/>
      </c>
      <c r="C359" s="18">
        <f>IF(NOT(ISNUMBER($A359)),NA(),IFERROR(1*INDEX(BBG_Data!$D$2:$D$4000,MATCH($A359,BBG_Data!$C$2:$C$4000,0)),NA()))</f>
        <v/>
      </c>
      <c r="D359" s="19">
        <f>IF(NOT(ISNUMBER($A359)),NA(),IFERROR(1*INDEX(BBG_Data!$F$2:$F$4000,MATCH($A359,BBG_Data!$E$2:$E$4000,0)),NA()))</f>
        <v/>
      </c>
      <c r="E359" s="19">
        <f>IF(NOT(ISNUMBER($A359)),NA(),IFERROR(1*INDEX(BBG_Data!$H$2:$H$4000,MATCH($A359,BBG_Data!$G$2:$G$4000,0)),NA()))</f>
        <v/>
      </c>
      <c r="F359" s="20">
        <f>IF(AND(ISNUMBER(B359),ISNUMBER(B358)),IF(B359=B358,"",(B359-B358)*100),"")</f>
        <v/>
      </c>
      <c r="G359" s="20">
        <f>IF(AND(ISNUMBER(C359),ISNUMBER(C358)),IF(C359=C358,"",(C359-C358)*100),"")</f>
        <v/>
      </c>
      <c r="H359" s="20">
        <f>IF(OR(NOT(ISNUMBER($A359)),ROW()-2&lt;Settings!$B$11),NA(),IF(COUNT(OFFSET(F359,1-Settings!$B$11,0,Settings!$B$11,1))&lt;ROUNDUP(Settings!$B$11*Settings!$B$26,0),NA(),STDEV(OFFSET(F359,1-Settings!$B$11,0,Settings!$B$11,1))*SQRT(Settings!$B$13)))</f>
        <v/>
      </c>
      <c r="I359" s="20">
        <f>IF(OR(NOT(ISNUMBER($A359)),ROW()-2&lt;Settings!$B$12),NA(),IF(COUNT(OFFSET(F359,1-Settings!$B$12,0,Settings!$B$12,1))&lt;ROUNDUP(Settings!$B$12*Settings!$B$26,0),NA(),STDEV(OFFSET(F359,1-Settings!$B$12,0,Settings!$B$12,1))*SQRT(Settings!$B$13)))</f>
        <v/>
      </c>
      <c r="J359" s="20">
        <f>IF(OR(NOT(ISNUMBER($A359)),ROW()-2&lt;Settings!$B$11),NA(),IF(COUNT(OFFSET(G359,1-Settings!$B$11,0,Settings!$B$11,1))&lt;ROUNDUP(Settings!$B$11*Settings!$B$26,0),NA(),STDEV(OFFSET(G359,1-Settings!$B$11,0,Settings!$B$11,1))*SQRT(Settings!$B$13)))</f>
        <v/>
      </c>
      <c r="K359" s="20">
        <f>IF(OR(NOT(ISNUMBER($A359)),ROW()-2&lt;Settings!$B$12),NA(),IF(COUNT(OFFSET(G359,1-Settings!$B$12,0,Settings!$B$12,1))&lt;ROUNDUP(Settings!$B$12*Settings!$B$26,0),NA(),STDEV(OFFSET(G359,1-Settings!$B$12,0,Settings!$B$12,1))*SQRT(Settings!$B$13)))</f>
        <v/>
      </c>
      <c r="L359" s="20">
        <f>IF(AND(ISNUMBER(D359),ISNUMBER(H359)),D359-H359,NA())</f>
        <v/>
      </c>
      <c r="M359" s="20">
        <f>IF(AND(ISNUMBER(E359),ISNUMBER(K359)),E359-K359,NA())</f>
        <v/>
      </c>
      <c r="N359" s="20">
        <f>IF(NOT(ISNUMBER($A359)),NA(),IF(COUNT(OFFSET(G359,1,0,Settings!$B$12,1))&lt;ROUNDUP(Settings!$B$12*Settings!$B$26,0),NA(),STDEV(OFFSET(G359,1,0,Settings!$B$12,1))*SQRT(Settings!$B$13)))</f>
        <v/>
      </c>
      <c r="O359" s="20">
        <f>IF(AND(ISNUMBER(E359),ISNUMBER(N359)),E359-N359,NA())</f>
        <v/>
      </c>
      <c r="P359" s="19">
        <f>IF(NOT(ISNUMBER($A359)),NA(),IF(OR($A359&lt;MIN(KW_TP!$A$2:$A$2501),$A359&gt;MAX(KW_TP!$A$2:$A$2501)),NA(),INDEX(KW_TP!$C$2:$C$2501,MATCH($A359,KW_TP!$A$2:$A$2501,1))))</f>
        <v/>
      </c>
      <c r="Q359" s="18">
        <f>IF(NOT(ISNUMBER($A359)),NA(),IFERROR(1*INDEX(BBG_Data!$J$2:$J$4000,MATCH($A359,BBG_Data!$I$2:$I$4000,0)),NA()))</f>
        <v/>
      </c>
      <c r="R359" s="18">
        <f>IF(NOT(ISNUMBER($A359)),NA(),IFERROR(1*INDEX(BBG_Data!$L$2:$L$4000,MATCH($A359,BBG_Data!$K$2:$K$4000,0)),NA()))</f>
        <v/>
      </c>
      <c r="S359" s="20">
        <f>IF(AND(ISNUMBER(B359),ISNUMBER(Q359),ISNUMBER(R359)),(B359-Q359-R359)*100,NA())</f>
        <v/>
      </c>
      <c r="T359" s="20">
        <f>IF(AND(ISNUMBER(B359),Settings!$B$17&gt;0),IF(ISNUMBER(INDEX($B:$B,Settings!$B$17)),(B359-INDEX($B:$B,Settings!$B$17))*100,NA()),NA())</f>
        <v/>
      </c>
      <c r="U359" s="20">
        <f>IF(AND(ISNUMBER(Q359),Settings!$B$17&gt;0),IF(ISNUMBER(INDEX($Q:$Q,Settings!$B$17)),(Q359-INDEX($Q:$Q,Settings!$B$17))*100,NA()),NA())</f>
        <v/>
      </c>
      <c r="V359" s="20">
        <f>IF(AND(ISNUMBER(R359),Settings!$B$17&gt;0),IF(ISNUMBER(INDEX($R:$R,Settings!$B$17)),(R359-INDEX($R:$R,Settings!$B$17))*100,NA()),NA())</f>
        <v/>
      </c>
      <c r="W359" s="20">
        <f>IF(AND(ISNUMBER(P359),Settings!$B$17&gt;0),IF(ISNUMBER(INDEX($P:$P,Settings!$B$17)),P359-INDEX($P:$P,Settings!$B$17),NA()),NA())</f>
        <v/>
      </c>
      <c r="X359" s="19">
        <f>IF(NOT(ISNUMBER($A359)),NA(),IF(OR($A359&lt;MIN(DKW_10Y!$A$2:$A$2918),$A359&gt;MAX(DKW_10Y!$A$2:$A$2918),Settings!$B$16&lt;MIN(DKW_10Y!$A$2:$A$2918)),NA(),(INDEX(DKW_10Y!$B$2:$B$2918,MATCH($A359,DKW_10Y!$A$2:$A$2918,1))-INDEX(DKW_10Y!$B$2:$B$2918,MATCH(Settings!$B$16,DKW_10Y!$A$2:$A$2918,1)))*100))</f>
        <v/>
      </c>
      <c r="Y359" s="19">
        <f>IF(NOT(ISNUMBER($A359)),NA(),IF(OR($A359&lt;MIN(DKW_10Y!$A$2:$A$2918),$A359&gt;MAX(DKW_10Y!$A$2:$A$2918),Settings!$B$16&lt;MIN(DKW_10Y!$A$2:$A$2918)),NA(),(INDEX(DKW_10Y!$C$2:$C$2918,MATCH($A359,DKW_10Y!$A$2:$A$2918,1))-INDEX(DKW_10Y!$C$2:$C$2918,MATCH(Settings!$B$16,DKW_10Y!$A$2:$A$2918,1)))*100))</f>
        <v/>
      </c>
      <c r="Z359" s="19">
        <f>IF(NOT(ISNUMBER($A359)),NA(),IF(OR($A359&lt;MIN(DKW_10Y!$A$2:$A$2918),$A359&gt;MAX(DKW_10Y!$A$2:$A$2918),Settings!$B$16&lt;MIN(DKW_10Y!$A$2:$A$2918)),NA(),(INDEX(DKW_10Y!$D$2:$D$2918,MATCH($A359,DKW_10Y!$A$2:$A$2918,1))-INDEX(DKW_10Y!$D$2:$D$2918,MATCH(Settings!$B$16,DKW_10Y!$A$2:$A$2918,1)))*100))</f>
        <v/>
      </c>
      <c r="AA359" s="19">
        <f>IF(NOT(ISNUMBER($A359)),NA(),IF(OR($A359&lt;MIN(DKW_10Y!$A$2:$A$2918),$A359&gt;MAX(DKW_10Y!$A$2:$A$2918),Settings!$B$16&lt;MIN(DKW_10Y!$A$2:$A$2918)),NA(),(INDEX(DKW_10Y!$E$2:$E$2918,MATCH($A359,DKW_10Y!$A$2:$A$2918,1))-INDEX(DKW_10Y!$E$2:$E$2918,MATCH(Settings!$B$16,DKW_10Y!$A$2:$A$2918,1)))*100))</f>
        <v/>
      </c>
      <c r="AB359" s="19">
        <f>IF(NOT(ISNUMBER($A359)),NA(),IF(OR($A359&lt;MIN(DKW_10Y!$A$2:$A$2918),$A359&gt;MAX(DKW_10Y!$A$2:$A$2918),Settings!$B$16&lt;MIN(DKW_10Y!$A$2:$A$2918)),NA(),(INDEX(DKW_10Y!$H$2:$H$2918,MATCH($A359,DKW_10Y!$A$2:$A$2918,1))-INDEX(DKW_10Y!$H$2:$H$2918,MATCH(Settings!$B$16,DKW_10Y!$A$2:$A$2918,1)))*100))</f>
        <v/>
      </c>
      <c r="AC359" s="18">
        <f>IF(NOT(ISNUMBER($A359)),NA(),IFERROR(1*INDEX(BBG_Data!$N$2:$N$4000,MATCH($A359,BBG_Data!$M$2:$M$4000,0)),NA()))</f>
        <v/>
      </c>
      <c r="AD359" s="18">
        <f>IF(NOT(ISNUMBER($A359)),NA(),IFERROR(1*INDEX(BBG_Data!$P$2:$P$4000,MATCH($A359,BBG_Data!$O$2:$O$4000,0)),NA()))</f>
        <v/>
      </c>
      <c r="AE359" s="18">
        <f>IF(NOT(ISNUMBER($A359)),NA(),IFERROR(1*INDEX(BBG_Data!$R$2:$R$4000,MATCH($A359,BBG_Data!$Q$2:$Q$4000,0)),NA()))</f>
        <v/>
      </c>
      <c r="AF359" s="20">
        <f>IF(AND(ISNUMBER(B359),ISNUMBER(AC359)),(B359-AC359)*100,NA())</f>
        <v/>
      </c>
      <c r="AG359" s="20">
        <f>IF(AND(ISNUMBER(AE359),ISNUMBER(AD359)),(AE359-AD359)*100,NA())</f>
        <v/>
      </c>
      <c r="AH359" s="19">
        <f>IF(NOT(ISNUMBER($A359)),NA(),IFERROR(INDEX(BBG_Data!$T$2:$T$4000,MATCH($A359,BBG_Data!$S$2:$S$4000,0))*Settings!$B$25,NA()))</f>
        <v/>
      </c>
      <c r="AI359" s="19">
        <f>IF(NOT(ISNUMBER($A359)),NA(),IFERROR(INDEX(BBG_Data!$V$2:$V$4000,MATCH($A359,BBG_Data!$U$2:$U$4000,0))*Settings!$B$25,NA()))</f>
        <v/>
      </c>
      <c r="AJ359" s="19">
        <f>IF(NOT(ISNUMBER($A359)),NA(),IFERROR(1*INDEX(BBG_Data!$X$2:$X$4000,MATCH($A359,BBG_Data!$W$2:$W$4000,0)),NA()))</f>
        <v/>
      </c>
      <c r="AK359" s="19">
        <f>IF(NOT(ISNUMBER($A359)),NA(),IFERROR(1*INDEX(BBG_Data!$Z$2:$Z$4000,MATCH($A359,BBG_Data!$Y$2:$Y$4000,0)),NA()))</f>
        <v/>
      </c>
    </row>
    <row r="360">
      <c r="A360" s="17">
        <f>IF(ISNUMBER(BBG_Data!A360),BBG_Data!A360,"")</f>
        <v/>
      </c>
      <c r="B360" s="18">
        <f>IF(AND(ISNUMBER($A360),ISNUMBER(BBG_Data!B360)),BBG_Data!B360,NA())</f>
        <v/>
      </c>
      <c r="C360" s="18">
        <f>IF(NOT(ISNUMBER($A360)),NA(),IFERROR(1*INDEX(BBG_Data!$D$2:$D$4000,MATCH($A360,BBG_Data!$C$2:$C$4000,0)),NA()))</f>
        <v/>
      </c>
      <c r="D360" s="19">
        <f>IF(NOT(ISNUMBER($A360)),NA(),IFERROR(1*INDEX(BBG_Data!$F$2:$F$4000,MATCH($A360,BBG_Data!$E$2:$E$4000,0)),NA()))</f>
        <v/>
      </c>
      <c r="E360" s="19">
        <f>IF(NOT(ISNUMBER($A360)),NA(),IFERROR(1*INDEX(BBG_Data!$H$2:$H$4000,MATCH($A360,BBG_Data!$G$2:$G$4000,0)),NA()))</f>
        <v/>
      </c>
      <c r="F360" s="20">
        <f>IF(AND(ISNUMBER(B360),ISNUMBER(B359)),IF(B360=B359,"",(B360-B359)*100),"")</f>
        <v/>
      </c>
      <c r="G360" s="20">
        <f>IF(AND(ISNUMBER(C360),ISNUMBER(C359)),IF(C360=C359,"",(C360-C359)*100),"")</f>
        <v/>
      </c>
      <c r="H360" s="20">
        <f>IF(OR(NOT(ISNUMBER($A360)),ROW()-2&lt;Settings!$B$11),NA(),IF(COUNT(OFFSET(F360,1-Settings!$B$11,0,Settings!$B$11,1))&lt;ROUNDUP(Settings!$B$11*Settings!$B$26,0),NA(),STDEV(OFFSET(F360,1-Settings!$B$11,0,Settings!$B$11,1))*SQRT(Settings!$B$13)))</f>
        <v/>
      </c>
      <c r="I360" s="20">
        <f>IF(OR(NOT(ISNUMBER($A360)),ROW()-2&lt;Settings!$B$12),NA(),IF(COUNT(OFFSET(F360,1-Settings!$B$12,0,Settings!$B$12,1))&lt;ROUNDUP(Settings!$B$12*Settings!$B$26,0),NA(),STDEV(OFFSET(F360,1-Settings!$B$12,0,Settings!$B$12,1))*SQRT(Settings!$B$13)))</f>
        <v/>
      </c>
      <c r="J360" s="20">
        <f>IF(OR(NOT(ISNUMBER($A360)),ROW()-2&lt;Settings!$B$11),NA(),IF(COUNT(OFFSET(G360,1-Settings!$B$11,0,Settings!$B$11,1))&lt;ROUNDUP(Settings!$B$11*Settings!$B$26,0),NA(),STDEV(OFFSET(G360,1-Settings!$B$11,0,Settings!$B$11,1))*SQRT(Settings!$B$13)))</f>
        <v/>
      </c>
      <c r="K360" s="20">
        <f>IF(OR(NOT(ISNUMBER($A360)),ROW()-2&lt;Settings!$B$12),NA(),IF(COUNT(OFFSET(G360,1-Settings!$B$12,0,Settings!$B$12,1))&lt;ROUNDUP(Settings!$B$12*Settings!$B$26,0),NA(),STDEV(OFFSET(G360,1-Settings!$B$12,0,Settings!$B$12,1))*SQRT(Settings!$B$13)))</f>
        <v/>
      </c>
      <c r="L360" s="20">
        <f>IF(AND(ISNUMBER(D360),ISNUMBER(H360)),D360-H360,NA())</f>
        <v/>
      </c>
      <c r="M360" s="20">
        <f>IF(AND(ISNUMBER(E360),ISNUMBER(K360)),E360-K360,NA())</f>
        <v/>
      </c>
      <c r="N360" s="20">
        <f>IF(NOT(ISNUMBER($A360)),NA(),IF(COUNT(OFFSET(G360,1,0,Settings!$B$12,1))&lt;ROUNDUP(Settings!$B$12*Settings!$B$26,0),NA(),STDEV(OFFSET(G360,1,0,Settings!$B$12,1))*SQRT(Settings!$B$13)))</f>
        <v/>
      </c>
      <c r="O360" s="20">
        <f>IF(AND(ISNUMBER(E360),ISNUMBER(N360)),E360-N360,NA())</f>
        <v/>
      </c>
      <c r="P360" s="19">
        <f>IF(NOT(ISNUMBER($A360)),NA(),IF(OR($A360&lt;MIN(KW_TP!$A$2:$A$2501),$A360&gt;MAX(KW_TP!$A$2:$A$2501)),NA(),INDEX(KW_TP!$C$2:$C$2501,MATCH($A360,KW_TP!$A$2:$A$2501,1))))</f>
        <v/>
      </c>
      <c r="Q360" s="18">
        <f>IF(NOT(ISNUMBER($A360)),NA(),IFERROR(1*INDEX(BBG_Data!$J$2:$J$4000,MATCH($A360,BBG_Data!$I$2:$I$4000,0)),NA()))</f>
        <v/>
      </c>
      <c r="R360" s="18">
        <f>IF(NOT(ISNUMBER($A360)),NA(),IFERROR(1*INDEX(BBG_Data!$L$2:$L$4000,MATCH($A360,BBG_Data!$K$2:$K$4000,0)),NA()))</f>
        <v/>
      </c>
      <c r="S360" s="20">
        <f>IF(AND(ISNUMBER(B360),ISNUMBER(Q360),ISNUMBER(R360)),(B360-Q360-R360)*100,NA())</f>
        <v/>
      </c>
      <c r="T360" s="20">
        <f>IF(AND(ISNUMBER(B360),Settings!$B$17&gt;0),IF(ISNUMBER(INDEX($B:$B,Settings!$B$17)),(B360-INDEX($B:$B,Settings!$B$17))*100,NA()),NA())</f>
        <v/>
      </c>
      <c r="U360" s="20">
        <f>IF(AND(ISNUMBER(Q360),Settings!$B$17&gt;0),IF(ISNUMBER(INDEX($Q:$Q,Settings!$B$17)),(Q360-INDEX($Q:$Q,Settings!$B$17))*100,NA()),NA())</f>
        <v/>
      </c>
      <c r="V360" s="20">
        <f>IF(AND(ISNUMBER(R360),Settings!$B$17&gt;0),IF(ISNUMBER(INDEX($R:$R,Settings!$B$17)),(R360-INDEX($R:$R,Settings!$B$17))*100,NA()),NA())</f>
        <v/>
      </c>
      <c r="W360" s="20">
        <f>IF(AND(ISNUMBER(P360),Settings!$B$17&gt;0),IF(ISNUMBER(INDEX($P:$P,Settings!$B$17)),P360-INDEX($P:$P,Settings!$B$17),NA()),NA())</f>
        <v/>
      </c>
      <c r="X360" s="19">
        <f>IF(NOT(ISNUMBER($A360)),NA(),IF(OR($A360&lt;MIN(DKW_10Y!$A$2:$A$2918),$A360&gt;MAX(DKW_10Y!$A$2:$A$2918),Settings!$B$16&lt;MIN(DKW_10Y!$A$2:$A$2918)),NA(),(INDEX(DKW_10Y!$B$2:$B$2918,MATCH($A360,DKW_10Y!$A$2:$A$2918,1))-INDEX(DKW_10Y!$B$2:$B$2918,MATCH(Settings!$B$16,DKW_10Y!$A$2:$A$2918,1)))*100))</f>
        <v/>
      </c>
      <c r="Y360" s="19">
        <f>IF(NOT(ISNUMBER($A360)),NA(),IF(OR($A360&lt;MIN(DKW_10Y!$A$2:$A$2918),$A360&gt;MAX(DKW_10Y!$A$2:$A$2918),Settings!$B$16&lt;MIN(DKW_10Y!$A$2:$A$2918)),NA(),(INDEX(DKW_10Y!$C$2:$C$2918,MATCH($A360,DKW_10Y!$A$2:$A$2918,1))-INDEX(DKW_10Y!$C$2:$C$2918,MATCH(Settings!$B$16,DKW_10Y!$A$2:$A$2918,1)))*100))</f>
        <v/>
      </c>
      <c r="Z360" s="19">
        <f>IF(NOT(ISNUMBER($A360)),NA(),IF(OR($A360&lt;MIN(DKW_10Y!$A$2:$A$2918),$A360&gt;MAX(DKW_10Y!$A$2:$A$2918),Settings!$B$16&lt;MIN(DKW_10Y!$A$2:$A$2918)),NA(),(INDEX(DKW_10Y!$D$2:$D$2918,MATCH($A360,DKW_10Y!$A$2:$A$2918,1))-INDEX(DKW_10Y!$D$2:$D$2918,MATCH(Settings!$B$16,DKW_10Y!$A$2:$A$2918,1)))*100))</f>
        <v/>
      </c>
      <c r="AA360" s="19">
        <f>IF(NOT(ISNUMBER($A360)),NA(),IF(OR($A360&lt;MIN(DKW_10Y!$A$2:$A$2918),$A360&gt;MAX(DKW_10Y!$A$2:$A$2918),Settings!$B$16&lt;MIN(DKW_10Y!$A$2:$A$2918)),NA(),(INDEX(DKW_10Y!$E$2:$E$2918,MATCH($A360,DKW_10Y!$A$2:$A$2918,1))-INDEX(DKW_10Y!$E$2:$E$2918,MATCH(Settings!$B$16,DKW_10Y!$A$2:$A$2918,1)))*100))</f>
        <v/>
      </c>
      <c r="AB360" s="19">
        <f>IF(NOT(ISNUMBER($A360)),NA(),IF(OR($A360&lt;MIN(DKW_10Y!$A$2:$A$2918),$A360&gt;MAX(DKW_10Y!$A$2:$A$2918),Settings!$B$16&lt;MIN(DKW_10Y!$A$2:$A$2918)),NA(),(INDEX(DKW_10Y!$H$2:$H$2918,MATCH($A360,DKW_10Y!$A$2:$A$2918,1))-INDEX(DKW_10Y!$H$2:$H$2918,MATCH(Settings!$B$16,DKW_10Y!$A$2:$A$2918,1)))*100))</f>
        <v/>
      </c>
      <c r="AC360" s="18">
        <f>IF(NOT(ISNUMBER($A360)),NA(),IFERROR(1*INDEX(BBG_Data!$N$2:$N$4000,MATCH($A360,BBG_Data!$M$2:$M$4000,0)),NA()))</f>
        <v/>
      </c>
      <c r="AD360" s="18">
        <f>IF(NOT(ISNUMBER($A360)),NA(),IFERROR(1*INDEX(BBG_Data!$P$2:$P$4000,MATCH($A360,BBG_Data!$O$2:$O$4000,0)),NA()))</f>
        <v/>
      </c>
      <c r="AE360" s="18">
        <f>IF(NOT(ISNUMBER($A360)),NA(),IFERROR(1*INDEX(BBG_Data!$R$2:$R$4000,MATCH($A360,BBG_Data!$Q$2:$Q$4000,0)),NA()))</f>
        <v/>
      </c>
      <c r="AF360" s="20">
        <f>IF(AND(ISNUMBER(B360),ISNUMBER(AC360)),(B360-AC360)*100,NA())</f>
        <v/>
      </c>
      <c r="AG360" s="20">
        <f>IF(AND(ISNUMBER(AE360),ISNUMBER(AD360)),(AE360-AD360)*100,NA())</f>
        <v/>
      </c>
      <c r="AH360" s="19">
        <f>IF(NOT(ISNUMBER($A360)),NA(),IFERROR(INDEX(BBG_Data!$T$2:$T$4000,MATCH($A360,BBG_Data!$S$2:$S$4000,0))*Settings!$B$25,NA()))</f>
        <v/>
      </c>
      <c r="AI360" s="19">
        <f>IF(NOT(ISNUMBER($A360)),NA(),IFERROR(INDEX(BBG_Data!$V$2:$V$4000,MATCH($A360,BBG_Data!$U$2:$U$4000,0))*Settings!$B$25,NA()))</f>
        <v/>
      </c>
      <c r="AJ360" s="19">
        <f>IF(NOT(ISNUMBER($A360)),NA(),IFERROR(1*INDEX(BBG_Data!$X$2:$X$4000,MATCH($A360,BBG_Data!$W$2:$W$4000,0)),NA()))</f>
        <v/>
      </c>
      <c r="AK360" s="19">
        <f>IF(NOT(ISNUMBER($A360)),NA(),IFERROR(1*INDEX(BBG_Data!$Z$2:$Z$4000,MATCH($A360,BBG_Data!$Y$2:$Y$4000,0)),NA()))</f>
        <v/>
      </c>
    </row>
    <row r="361">
      <c r="A361" s="17">
        <f>IF(ISNUMBER(BBG_Data!A361),BBG_Data!A361,"")</f>
        <v/>
      </c>
      <c r="B361" s="18">
        <f>IF(AND(ISNUMBER($A361),ISNUMBER(BBG_Data!B361)),BBG_Data!B361,NA())</f>
        <v/>
      </c>
      <c r="C361" s="18">
        <f>IF(NOT(ISNUMBER($A361)),NA(),IFERROR(1*INDEX(BBG_Data!$D$2:$D$4000,MATCH($A361,BBG_Data!$C$2:$C$4000,0)),NA()))</f>
        <v/>
      </c>
      <c r="D361" s="19">
        <f>IF(NOT(ISNUMBER($A361)),NA(),IFERROR(1*INDEX(BBG_Data!$F$2:$F$4000,MATCH($A361,BBG_Data!$E$2:$E$4000,0)),NA()))</f>
        <v/>
      </c>
      <c r="E361" s="19">
        <f>IF(NOT(ISNUMBER($A361)),NA(),IFERROR(1*INDEX(BBG_Data!$H$2:$H$4000,MATCH($A361,BBG_Data!$G$2:$G$4000,0)),NA()))</f>
        <v/>
      </c>
      <c r="F361" s="20">
        <f>IF(AND(ISNUMBER(B361),ISNUMBER(B360)),IF(B361=B360,"",(B361-B360)*100),"")</f>
        <v/>
      </c>
      <c r="G361" s="20">
        <f>IF(AND(ISNUMBER(C361),ISNUMBER(C360)),IF(C361=C360,"",(C361-C360)*100),"")</f>
        <v/>
      </c>
      <c r="H361" s="20">
        <f>IF(OR(NOT(ISNUMBER($A361)),ROW()-2&lt;Settings!$B$11),NA(),IF(COUNT(OFFSET(F361,1-Settings!$B$11,0,Settings!$B$11,1))&lt;ROUNDUP(Settings!$B$11*Settings!$B$26,0),NA(),STDEV(OFFSET(F361,1-Settings!$B$11,0,Settings!$B$11,1))*SQRT(Settings!$B$13)))</f>
        <v/>
      </c>
      <c r="I361" s="20">
        <f>IF(OR(NOT(ISNUMBER($A361)),ROW()-2&lt;Settings!$B$12),NA(),IF(COUNT(OFFSET(F361,1-Settings!$B$12,0,Settings!$B$12,1))&lt;ROUNDUP(Settings!$B$12*Settings!$B$26,0),NA(),STDEV(OFFSET(F361,1-Settings!$B$12,0,Settings!$B$12,1))*SQRT(Settings!$B$13)))</f>
        <v/>
      </c>
      <c r="J361" s="20">
        <f>IF(OR(NOT(ISNUMBER($A361)),ROW()-2&lt;Settings!$B$11),NA(),IF(COUNT(OFFSET(G361,1-Settings!$B$11,0,Settings!$B$11,1))&lt;ROUNDUP(Settings!$B$11*Settings!$B$26,0),NA(),STDEV(OFFSET(G361,1-Settings!$B$11,0,Settings!$B$11,1))*SQRT(Settings!$B$13)))</f>
        <v/>
      </c>
      <c r="K361" s="20">
        <f>IF(OR(NOT(ISNUMBER($A361)),ROW()-2&lt;Settings!$B$12),NA(),IF(COUNT(OFFSET(G361,1-Settings!$B$12,0,Settings!$B$12,1))&lt;ROUNDUP(Settings!$B$12*Settings!$B$26,0),NA(),STDEV(OFFSET(G361,1-Settings!$B$12,0,Settings!$B$12,1))*SQRT(Settings!$B$13)))</f>
        <v/>
      </c>
      <c r="L361" s="20">
        <f>IF(AND(ISNUMBER(D361),ISNUMBER(H361)),D361-H361,NA())</f>
        <v/>
      </c>
      <c r="M361" s="20">
        <f>IF(AND(ISNUMBER(E361),ISNUMBER(K361)),E361-K361,NA())</f>
        <v/>
      </c>
      <c r="N361" s="20">
        <f>IF(NOT(ISNUMBER($A361)),NA(),IF(COUNT(OFFSET(G361,1,0,Settings!$B$12,1))&lt;ROUNDUP(Settings!$B$12*Settings!$B$26,0),NA(),STDEV(OFFSET(G361,1,0,Settings!$B$12,1))*SQRT(Settings!$B$13)))</f>
        <v/>
      </c>
      <c r="O361" s="20">
        <f>IF(AND(ISNUMBER(E361),ISNUMBER(N361)),E361-N361,NA())</f>
        <v/>
      </c>
      <c r="P361" s="19">
        <f>IF(NOT(ISNUMBER($A361)),NA(),IF(OR($A361&lt;MIN(KW_TP!$A$2:$A$2501),$A361&gt;MAX(KW_TP!$A$2:$A$2501)),NA(),INDEX(KW_TP!$C$2:$C$2501,MATCH($A361,KW_TP!$A$2:$A$2501,1))))</f>
        <v/>
      </c>
      <c r="Q361" s="18">
        <f>IF(NOT(ISNUMBER($A361)),NA(),IFERROR(1*INDEX(BBG_Data!$J$2:$J$4000,MATCH($A361,BBG_Data!$I$2:$I$4000,0)),NA()))</f>
        <v/>
      </c>
      <c r="R361" s="18">
        <f>IF(NOT(ISNUMBER($A361)),NA(),IFERROR(1*INDEX(BBG_Data!$L$2:$L$4000,MATCH($A361,BBG_Data!$K$2:$K$4000,0)),NA()))</f>
        <v/>
      </c>
      <c r="S361" s="20">
        <f>IF(AND(ISNUMBER(B361),ISNUMBER(Q361),ISNUMBER(R361)),(B361-Q361-R361)*100,NA())</f>
        <v/>
      </c>
      <c r="T361" s="20">
        <f>IF(AND(ISNUMBER(B361),Settings!$B$17&gt;0),IF(ISNUMBER(INDEX($B:$B,Settings!$B$17)),(B361-INDEX($B:$B,Settings!$B$17))*100,NA()),NA())</f>
        <v/>
      </c>
      <c r="U361" s="20">
        <f>IF(AND(ISNUMBER(Q361),Settings!$B$17&gt;0),IF(ISNUMBER(INDEX($Q:$Q,Settings!$B$17)),(Q361-INDEX($Q:$Q,Settings!$B$17))*100,NA()),NA())</f>
        <v/>
      </c>
      <c r="V361" s="20">
        <f>IF(AND(ISNUMBER(R361),Settings!$B$17&gt;0),IF(ISNUMBER(INDEX($R:$R,Settings!$B$17)),(R361-INDEX($R:$R,Settings!$B$17))*100,NA()),NA())</f>
        <v/>
      </c>
      <c r="W361" s="20">
        <f>IF(AND(ISNUMBER(P361),Settings!$B$17&gt;0),IF(ISNUMBER(INDEX($P:$P,Settings!$B$17)),P361-INDEX($P:$P,Settings!$B$17),NA()),NA())</f>
        <v/>
      </c>
      <c r="X361" s="19">
        <f>IF(NOT(ISNUMBER($A361)),NA(),IF(OR($A361&lt;MIN(DKW_10Y!$A$2:$A$2918),$A361&gt;MAX(DKW_10Y!$A$2:$A$2918),Settings!$B$16&lt;MIN(DKW_10Y!$A$2:$A$2918)),NA(),(INDEX(DKW_10Y!$B$2:$B$2918,MATCH($A361,DKW_10Y!$A$2:$A$2918,1))-INDEX(DKW_10Y!$B$2:$B$2918,MATCH(Settings!$B$16,DKW_10Y!$A$2:$A$2918,1)))*100))</f>
        <v/>
      </c>
      <c r="Y361" s="19">
        <f>IF(NOT(ISNUMBER($A361)),NA(),IF(OR($A361&lt;MIN(DKW_10Y!$A$2:$A$2918),$A361&gt;MAX(DKW_10Y!$A$2:$A$2918),Settings!$B$16&lt;MIN(DKW_10Y!$A$2:$A$2918)),NA(),(INDEX(DKW_10Y!$C$2:$C$2918,MATCH($A361,DKW_10Y!$A$2:$A$2918,1))-INDEX(DKW_10Y!$C$2:$C$2918,MATCH(Settings!$B$16,DKW_10Y!$A$2:$A$2918,1)))*100))</f>
        <v/>
      </c>
      <c r="Z361" s="19">
        <f>IF(NOT(ISNUMBER($A361)),NA(),IF(OR($A361&lt;MIN(DKW_10Y!$A$2:$A$2918),$A361&gt;MAX(DKW_10Y!$A$2:$A$2918),Settings!$B$16&lt;MIN(DKW_10Y!$A$2:$A$2918)),NA(),(INDEX(DKW_10Y!$D$2:$D$2918,MATCH($A361,DKW_10Y!$A$2:$A$2918,1))-INDEX(DKW_10Y!$D$2:$D$2918,MATCH(Settings!$B$16,DKW_10Y!$A$2:$A$2918,1)))*100))</f>
        <v/>
      </c>
      <c r="AA361" s="19">
        <f>IF(NOT(ISNUMBER($A361)),NA(),IF(OR($A361&lt;MIN(DKW_10Y!$A$2:$A$2918),$A361&gt;MAX(DKW_10Y!$A$2:$A$2918),Settings!$B$16&lt;MIN(DKW_10Y!$A$2:$A$2918)),NA(),(INDEX(DKW_10Y!$E$2:$E$2918,MATCH($A361,DKW_10Y!$A$2:$A$2918,1))-INDEX(DKW_10Y!$E$2:$E$2918,MATCH(Settings!$B$16,DKW_10Y!$A$2:$A$2918,1)))*100))</f>
        <v/>
      </c>
      <c r="AB361" s="19">
        <f>IF(NOT(ISNUMBER($A361)),NA(),IF(OR($A361&lt;MIN(DKW_10Y!$A$2:$A$2918),$A361&gt;MAX(DKW_10Y!$A$2:$A$2918),Settings!$B$16&lt;MIN(DKW_10Y!$A$2:$A$2918)),NA(),(INDEX(DKW_10Y!$H$2:$H$2918,MATCH($A361,DKW_10Y!$A$2:$A$2918,1))-INDEX(DKW_10Y!$H$2:$H$2918,MATCH(Settings!$B$16,DKW_10Y!$A$2:$A$2918,1)))*100))</f>
        <v/>
      </c>
      <c r="AC361" s="18">
        <f>IF(NOT(ISNUMBER($A361)),NA(),IFERROR(1*INDEX(BBG_Data!$N$2:$N$4000,MATCH($A361,BBG_Data!$M$2:$M$4000,0)),NA()))</f>
        <v/>
      </c>
      <c r="AD361" s="18">
        <f>IF(NOT(ISNUMBER($A361)),NA(),IFERROR(1*INDEX(BBG_Data!$P$2:$P$4000,MATCH($A361,BBG_Data!$O$2:$O$4000,0)),NA()))</f>
        <v/>
      </c>
      <c r="AE361" s="18">
        <f>IF(NOT(ISNUMBER($A361)),NA(),IFERROR(1*INDEX(BBG_Data!$R$2:$R$4000,MATCH($A361,BBG_Data!$Q$2:$Q$4000,0)),NA()))</f>
        <v/>
      </c>
      <c r="AF361" s="20">
        <f>IF(AND(ISNUMBER(B361),ISNUMBER(AC361)),(B361-AC361)*100,NA())</f>
        <v/>
      </c>
      <c r="AG361" s="20">
        <f>IF(AND(ISNUMBER(AE361),ISNUMBER(AD361)),(AE361-AD361)*100,NA())</f>
        <v/>
      </c>
      <c r="AH361" s="19">
        <f>IF(NOT(ISNUMBER($A361)),NA(),IFERROR(INDEX(BBG_Data!$T$2:$T$4000,MATCH($A361,BBG_Data!$S$2:$S$4000,0))*Settings!$B$25,NA()))</f>
        <v/>
      </c>
      <c r="AI361" s="19">
        <f>IF(NOT(ISNUMBER($A361)),NA(),IFERROR(INDEX(BBG_Data!$V$2:$V$4000,MATCH($A361,BBG_Data!$U$2:$U$4000,0))*Settings!$B$25,NA()))</f>
        <v/>
      </c>
      <c r="AJ361" s="19">
        <f>IF(NOT(ISNUMBER($A361)),NA(),IFERROR(1*INDEX(BBG_Data!$X$2:$X$4000,MATCH($A361,BBG_Data!$W$2:$W$4000,0)),NA()))</f>
        <v/>
      </c>
      <c r="AK361" s="19">
        <f>IF(NOT(ISNUMBER($A361)),NA(),IFERROR(1*INDEX(BBG_Data!$Z$2:$Z$4000,MATCH($A361,BBG_Data!$Y$2:$Y$4000,0)),NA()))</f>
        <v/>
      </c>
    </row>
    <row r="362">
      <c r="A362" s="17">
        <f>IF(ISNUMBER(BBG_Data!A362),BBG_Data!A362,"")</f>
        <v/>
      </c>
      <c r="B362" s="18">
        <f>IF(AND(ISNUMBER($A362),ISNUMBER(BBG_Data!B362)),BBG_Data!B362,NA())</f>
        <v/>
      </c>
      <c r="C362" s="18">
        <f>IF(NOT(ISNUMBER($A362)),NA(),IFERROR(1*INDEX(BBG_Data!$D$2:$D$4000,MATCH($A362,BBG_Data!$C$2:$C$4000,0)),NA()))</f>
        <v/>
      </c>
      <c r="D362" s="19">
        <f>IF(NOT(ISNUMBER($A362)),NA(),IFERROR(1*INDEX(BBG_Data!$F$2:$F$4000,MATCH($A362,BBG_Data!$E$2:$E$4000,0)),NA()))</f>
        <v/>
      </c>
      <c r="E362" s="19">
        <f>IF(NOT(ISNUMBER($A362)),NA(),IFERROR(1*INDEX(BBG_Data!$H$2:$H$4000,MATCH($A362,BBG_Data!$G$2:$G$4000,0)),NA()))</f>
        <v/>
      </c>
      <c r="F362" s="20">
        <f>IF(AND(ISNUMBER(B362),ISNUMBER(B361)),IF(B362=B361,"",(B362-B361)*100),"")</f>
        <v/>
      </c>
      <c r="G362" s="20">
        <f>IF(AND(ISNUMBER(C362),ISNUMBER(C361)),IF(C362=C361,"",(C362-C361)*100),"")</f>
        <v/>
      </c>
      <c r="H362" s="20">
        <f>IF(OR(NOT(ISNUMBER($A362)),ROW()-2&lt;Settings!$B$11),NA(),IF(COUNT(OFFSET(F362,1-Settings!$B$11,0,Settings!$B$11,1))&lt;ROUNDUP(Settings!$B$11*Settings!$B$26,0),NA(),STDEV(OFFSET(F362,1-Settings!$B$11,0,Settings!$B$11,1))*SQRT(Settings!$B$13)))</f>
        <v/>
      </c>
      <c r="I362" s="20">
        <f>IF(OR(NOT(ISNUMBER($A362)),ROW()-2&lt;Settings!$B$12),NA(),IF(COUNT(OFFSET(F362,1-Settings!$B$12,0,Settings!$B$12,1))&lt;ROUNDUP(Settings!$B$12*Settings!$B$26,0),NA(),STDEV(OFFSET(F362,1-Settings!$B$12,0,Settings!$B$12,1))*SQRT(Settings!$B$13)))</f>
        <v/>
      </c>
      <c r="J362" s="20">
        <f>IF(OR(NOT(ISNUMBER($A362)),ROW()-2&lt;Settings!$B$11),NA(),IF(COUNT(OFFSET(G362,1-Settings!$B$11,0,Settings!$B$11,1))&lt;ROUNDUP(Settings!$B$11*Settings!$B$26,0),NA(),STDEV(OFFSET(G362,1-Settings!$B$11,0,Settings!$B$11,1))*SQRT(Settings!$B$13)))</f>
        <v/>
      </c>
      <c r="K362" s="20">
        <f>IF(OR(NOT(ISNUMBER($A362)),ROW()-2&lt;Settings!$B$12),NA(),IF(COUNT(OFFSET(G362,1-Settings!$B$12,0,Settings!$B$12,1))&lt;ROUNDUP(Settings!$B$12*Settings!$B$26,0),NA(),STDEV(OFFSET(G362,1-Settings!$B$12,0,Settings!$B$12,1))*SQRT(Settings!$B$13)))</f>
        <v/>
      </c>
      <c r="L362" s="20">
        <f>IF(AND(ISNUMBER(D362),ISNUMBER(H362)),D362-H362,NA())</f>
        <v/>
      </c>
      <c r="M362" s="20">
        <f>IF(AND(ISNUMBER(E362),ISNUMBER(K362)),E362-K362,NA())</f>
        <v/>
      </c>
      <c r="N362" s="20">
        <f>IF(NOT(ISNUMBER($A362)),NA(),IF(COUNT(OFFSET(G362,1,0,Settings!$B$12,1))&lt;ROUNDUP(Settings!$B$12*Settings!$B$26,0),NA(),STDEV(OFFSET(G362,1,0,Settings!$B$12,1))*SQRT(Settings!$B$13)))</f>
        <v/>
      </c>
      <c r="O362" s="20">
        <f>IF(AND(ISNUMBER(E362),ISNUMBER(N362)),E362-N362,NA())</f>
        <v/>
      </c>
      <c r="P362" s="19">
        <f>IF(NOT(ISNUMBER($A362)),NA(),IF(OR($A362&lt;MIN(KW_TP!$A$2:$A$2501),$A362&gt;MAX(KW_TP!$A$2:$A$2501)),NA(),INDEX(KW_TP!$C$2:$C$2501,MATCH($A362,KW_TP!$A$2:$A$2501,1))))</f>
        <v/>
      </c>
      <c r="Q362" s="18">
        <f>IF(NOT(ISNUMBER($A362)),NA(),IFERROR(1*INDEX(BBG_Data!$J$2:$J$4000,MATCH($A362,BBG_Data!$I$2:$I$4000,0)),NA()))</f>
        <v/>
      </c>
      <c r="R362" s="18">
        <f>IF(NOT(ISNUMBER($A362)),NA(),IFERROR(1*INDEX(BBG_Data!$L$2:$L$4000,MATCH($A362,BBG_Data!$K$2:$K$4000,0)),NA()))</f>
        <v/>
      </c>
      <c r="S362" s="20">
        <f>IF(AND(ISNUMBER(B362),ISNUMBER(Q362),ISNUMBER(R362)),(B362-Q362-R362)*100,NA())</f>
        <v/>
      </c>
      <c r="T362" s="20">
        <f>IF(AND(ISNUMBER(B362),Settings!$B$17&gt;0),IF(ISNUMBER(INDEX($B:$B,Settings!$B$17)),(B362-INDEX($B:$B,Settings!$B$17))*100,NA()),NA())</f>
        <v/>
      </c>
      <c r="U362" s="20">
        <f>IF(AND(ISNUMBER(Q362),Settings!$B$17&gt;0),IF(ISNUMBER(INDEX($Q:$Q,Settings!$B$17)),(Q362-INDEX($Q:$Q,Settings!$B$17))*100,NA()),NA())</f>
        <v/>
      </c>
      <c r="V362" s="20">
        <f>IF(AND(ISNUMBER(R362),Settings!$B$17&gt;0),IF(ISNUMBER(INDEX($R:$R,Settings!$B$17)),(R362-INDEX($R:$R,Settings!$B$17))*100,NA()),NA())</f>
        <v/>
      </c>
      <c r="W362" s="20">
        <f>IF(AND(ISNUMBER(P362),Settings!$B$17&gt;0),IF(ISNUMBER(INDEX($P:$P,Settings!$B$17)),P362-INDEX($P:$P,Settings!$B$17),NA()),NA())</f>
        <v/>
      </c>
      <c r="X362" s="19">
        <f>IF(NOT(ISNUMBER($A362)),NA(),IF(OR($A362&lt;MIN(DKW_10Y!$A$2:$A$2918),$A362&gt;MAX(DKW_10Y!$A$2:$A$2918),Settings!$B$16&lt;MIN(DKW_10Y!$A$2:$A$2918)),NA(),(INDEX(DKW_10Y!$B$2:$B$2918,MATCH($A362,DKW_10Y!$A$2:$A$2918,1))-INDEX(DKW_10Y!$B$2:$B$2918,MATCH(Settings!$B$16,DKW_10Y!$A$2:$A$2918,1)))*100))</f>
        <v/>
      </c>
      <c r="Y362" s="19">
        <f>IF(NOT(ISNUMBER($A362)),NA(),IF(OR($A362&lt;MIN(DKW_10Y!$A$2:$A$2918),$A362&gt;MAX(DKW_10Y!$A$2:$A$2918),Settings!$B$16&lt;MIN(DKW_10Y!$A$2:$A$2918)),NA(),(INDEX(DKW_10Y!$C$2:$C$2918,MATCH($A362,DKW_10Y!$A$2:$A$2918,1))-INDEX(DKW_10Y!$C$2:$C$2918,MATCH(Settings!$B$16,DKW_10Y!$A$2:$A$2918,1)))*100))</f>
        <v/>
      </c>
      <c r="Z362" s="19">
        <f>IF(NOT(ISNUMBER($A362)),NA(),IF(OR($A362&lt;MIN(DKW_10Y!$A$2:$A$2918),$A362&gt;MAX(DKW_10Y!$A$2:$A$2918),Settings!$B$16&lt;MIN(DKW_10Y!$A$2:$A$2918)),NA(),(INDEX(DKW_10Y!$D$2:$D$2918,MATCH($A362,DKW_10Y!$A$2:$A$2918,1))-INDEX(DKW_10Y!$D$2:$D$2918,MATCH(Settings!$B$16,DKW_10Y!$A$2:$A$2918,1)))*100))</f>
        <v/>
      </c>
      <c r="AA362" s="19">
        <f>IF(NOT(ISNUMBER($A362)),NA(),IF(OR($A362&lt;MIN(DKW_10Y!$A$2:$A$2918),$A362&gt;MAX(DKW_10Y!$A$2:$A$2918),Settings!$B$16&lt;MIN(DKW_10Y!$A$2:$A$2918)),NA(),(INDEX(DKW_10Y!$E$2:$E$2918,MATCH($A362,DKW_10Y!$A$2:$A$2918,1))-INDEX(DKW_10Y!$E$2:$E$2918,MATCH(Settings!$B$16,DKW_10Y!$A$2:$A$2918,1)))*100))</f>
        <v/>
      </c>
      <c r="AB362" s="19">
        <f>IF(NOT(ISNUMBER($A362)),NA(),IF(OR($A362&lt;MIN(DKW_10Y!$A$2:$A$2918),$A362&gt;MAX(DKW_10Y!$A$2:$A$2918),Settings!$B$16&lt;MIN(DKW_10Y!$A$2:$A$2918)),NA(),(INDEX(DKW_10Y!$H$2:$H$2918,MATCH($A362,DKW_10Y!$A$2:$A$2918,1))-INDEX(DKW_10Y!$H$2:$H$2918,MATCH(Settings!$B$16,DKW_10Y!$A$2:$A$2918,1)))*100))</f>
        <v/>
      </c>
      <c r="AC362" s="18">
        <f>IF(NOT(ISNUMBER($A362)),NA(),IFERROR(1*INDEX(BBG_Data!$N$2:$N$4000,MATCH($A362,BBG_Data!$M$2:$M$4000,0)),NA()))</f>
        <v/>
      </c>
      <c r="AD362" s="18">
        <f>IF(NOT(ISNUMBER($A362)),NA(),IFERROR(1*INDEX(BBG_Data!$P$2:$P$4000,MATCH($A362,BBG_Data!$O$2:$O$4000,0)),NA()))</f>
        <v/>
      </c>
      <c r="AE362" s="18">
        <f>IF(NOT(ISNUMBER($A362)),NA(),IFERROR(1*INDEX(BBG_Data!$R$2:$R$4000,MATCH($A362,BBG_Data!$Q$2:$Q$4000,0)),NA()))</f>
        <v/>
      </c>
      <c r="AF362" s="20">
        <f>IF(AND(ISNUMBER(B362),ISNUMBER(AC362)),(B362-AC362)*100,NA())</f>
        <v/>
      </c>
      <c r="AG362" s="20">
        <f>IF(AND(ISNUMBER(AE362),ISNUMBER(AD362)),(AE362-AD362)*100,NA())</f>
        <v/>
      </c>
      <c r="AH362" s="19">
        <f>IF(NOT(ISNUMBER($A362)),NA(),IFERROR(INDEX(BBG_Data!$T$2:$T$4000,MATCH($A362,BBG_Data!$S$2:$S$4000,0))*Settings!$B$25,NA()))</f>
        <v/>
      </c>
      <c r="AI362" s="19">
        <f>IF(NOT(ISNUMBER($A362)),NA(),IFERROR(INDEX(BBG_Data!$V$2:$V$4000,MATCH($A362,BBG_Data!$U$2:$U$4000,0))*Settings!$B$25,NA()))</f>
        <v/>
      </c>
      <c r="AJ362" s="19">
        <f>IF(NOT(ISNUMBER($A362)),NA(),IFERROR(1*INDEX(BBG_Data!$X$2:$X$4000,MATCH($A362,BBG_Data!$W$2:$W$4000,0)),NA()))</f>
        <v/>
      </c>
      <c r="AK362" s="19">
        <f>IF(NOT(ISNUMBER($A362)),NA(),IFERROR(1*INDEX(BBG_Data!$Z$2:$Z$4000,MATCH($A362,BBG_Data!$Y$2:$Y$4000,0)),NA()))</f>
        <v/>
      </c>
    </row>
    <row r="363">
      <c r="A363" s="17">
        <f>IF(ISNUMBER(BBG_Data!A363),BBG_Data!A363,"")</f>
        <v/>
      </c>
      <c r="B363" s="18">
        <f>IF(AND(ISNUMBER($A363),ISNUMBER(BBG_Data!B363)),BBG_Data!B363,NA())</f>
        <v/>
      </c>
      <c r="C363" s="18">
        <f>IF(NOT(ISNUMBER($A363)),NA(),IFERROR(1*INDEX(BBG_Data!$D$2:$D$4000,MATCH($A363,BBG_Data!$C$2:$C$4000,0)),NA()))</f>
        <v/>
      </c>
      <c r="D363" s="19">
        <f>IF(NOT(ISNUMBER($A363)),NA(),IFERROR(1*INDEX(BBG_Data!$F$2:$F$4000,MATCH($A363,BBG_Data!$E$2:$E$4000,0)),NA()))</f>
        <v/>
      </c>
      <c r="E363" s="19">
        <f>IF(NOT(ISNUMBER($A363)),NA(),IFERROR(1*INDEX(BBG_Data!$H$2:$H$4000,MATCH($A363,BBG_Data!$G$2:$G$4000,0)),NA()))</f>
        <v/>
      </c>
      <c r="F363" s="20">
        <f>IF(AND(ISNUMBER(B363),ISNUMBER(B362)),IF(B363=B362,"",(B363-B362)*100),"")</f>
        <v/>
      </c>
      <c r="G363" s="20">
        <f>IF(AND(ISNUMBER(C363),ISNUMBER(C362)),IF(C363=C362,"",(C363-C362)*100),"")</f>
        <v/>
      </c>
      <c r="H363" s="20">
        <f>IF(OR(NOT(ISNUMBER($A363)),ROW()-2&lt;Settings!$B$11),NA(),IF(COUNT(OFFSET(F363,1-Settings!$B$11,0,Settings!$B$11,1))&lt;ROUNDUP(Settings!$B$11*Settings!$B$26,0),NA(),STDEV(OFFSET(F363,1-Settings!$B$11,0,Settings!$B$11,1))*SQRT(Settings!$B$13)))</f>
        <v/>
      </c>
      <c r="I363" s="20">
        <f>IF(OR(NOT(ISNUMBER($A363)),ROW()-2&lt;Settings!$B$12),NA(),IF(COUNT(OFFSET(F363,1-Settings!$B$12,0,Settings!$B$12,1))&lt;ROUNDUP(Settings!$B$12*Settings!$B$26,0),NA(),STDEV(OFFSET(F363,1-Settings!$B$12,0,Settings!$B$12,1))*SQRT(Settings!$B$13)))</f>
        <v/>
      </c>
      <c r="J363" s="20">
        <f>IF(OR(NOT(ISNUMBER($A363)),ROW()-2&lt;Settings!$B$11),NA(),IF(COUNT(OFFSET(G363,1-Settings!$B$11,0,Settings!$B$11,1))&lt;ROUNDUP(Settings!$B$11*Settings!$B$26,0),NA(),STDEV(OFFSET(G363,1-Settings!$B$11,0,Settings!$B$11,1))*SQRT(Settings!$B$13)))</f>
        <v/>
      </c>
      <c r="K363" s="20">
        <f>IF(OR(NOT(ISNUMBER($A363)),ROW()-2&lt;Settings!$B$12),NA(),IF(COUNT(OFFSET(G363,1-Settings!$B$12,0,Settings!$B$12,1))&lt;ROUNDUP(Settings!$B$12*Settings!$B$26,0),NA(),STDEV(OFFSET(G363,1-Settings!$B$12,0,Settings!$B$12,1))*SQRT(Settings!$B$13)))</f>
        <v/>
      </c>
      <c r="L363" s="20">
        <f>IF(AND(ISNUMBER(D363),ISNUMBER(H363)),D363-H363,NA())</f>
        <v/>
      </c>
      <c r="M363" s="20">
        <f>IF(AND(ISNUMBER(E363),ISNUMBER(K363)),E363-K363,NA())</f>
        <v/>
      </c>
      <c r="N363" s="20">
        <f>IF(NOT(ISNUMBER($A363)),NA(),IF(COUNT(OFFSET(G363,1,0,Settings!$B$12,1))&lt;ROUNDUP(Settings!$B$12*Settings!$B$26,0),NA(),STDEV(OFFSET(G363,1,0,Settings!$B$12,1))*SQRT(Settings!$B$13)))</f>
        <v/>
      </c>
      <c r="O363" s="20">
        <f>IF(AND(ISNUMBER(E363),ISNUMBER(N363)),E363-N363,NA())</f>
        <v/>
      </c>
      <c r="P363" s="19">
        <f>IF(NOT(ISNUMBER($A363)),NA(),IF(OR($A363&lt;MIN(KW_TP!$A$2:$A$2501),$A363&gt;MAX(KW_TP!$A$2:$A$2501)),NA(),INDEX(KW_TP!$C$2:$C$2501,MATCH($A363,KW_TP!$A$2:$A$2501,1))))</f>
        <v/>
      </c>
      <c r="Q363" s="18">
        <f>IF(NOT(ISNUMBER($A363)),NA(),IFERROR(1*INDEX(BBG_Data!$J$2:$J$4000,MATCH($A363,BBG_Data!$I$2:$I$4000,0)),NA()))</f>
        <v/>
      </c>
      <c r="R363" s="18">
        <f>IF(NOT(ISNUMBER($A363)),NA(),IFERROR(1*INDEX(BBG_Data!$L$2:$L$4000,MATCH($A363,BBG_Data!$K$2:$K$4000,0)),NA()))</f>
        <v/>
      </c>
      <c r="S363" s="20">
        <f>IF(AND(ISNUMBER(B363),ISNUMBER(Q363),ISNUMBER(R363)),(B363-Q363-R363)*100,NA())</f>
        <v/>
      </c>
      <c r="T363" s="20">
        <f>IF(AND(ISNUMBER(B363),Settings!$B$17&gt;0),IF(ISNUMBER(INDEX($B:$B,Settings!$B$17)),(B363-INDEX($B:$B,Settings!$B$17))*100,NA()),NA())</f>
        <v/>
      </c>
      <c r="U363" s="20">
        <f>IF(AND(ISNUMBER(Q363),Settings!$B$17&gt;0),IF(ISNUMBER(INDEX($Q:$Q,Settings!$B$17)),(Q363-INDEX($Q:$Q,Settings!$B$17))*100,NA()),NA())</f>
        <v/>
      </c>
      <c r="V363" s="20">
        <f>IF(AND(ISNUMBER(R363),Settings!$B$17&gt;0),IF(ISNUMBER(INDEX($R:$R,Settings!$B$17)),(R363-INDEX($R:$R,Settings!$B$17))*100,NA()),NA())</f>
        <v/>
      </c>
      <c r="W363" s="20">
        <f>IF(AND(ISNUMBER(P363),Settings!$B$17&gt;0),IF(ISNUMBER(INDEX($P:$P,Settings!$B$17)),P363-INDEX($P:$P,Settings!$B$17),NA()),NA())</f>
        <v/>
      </c>
      <c r="X363" s="19">
        <f>IF(NOT(ISNUMBER($A363)),NA(),IF(OR($A363&lt;MIN(DKW_10Y!$A$2:$A$2918),$A363&gt;MAX(DKW_10Y!$A$2:$A$2918),Settings!$B$16&lt;MIN(DKW_10Y!$A$2:$A$2918)),NA(),(INDEX(DKW_10Y!$B$2:$B$2918,MATCH($A363,DKW_10Y!$A$2:$A$2918,1))-INDEX(DKW_10Y!$B$2:$B$2918,MATCH(Settings!$B$16,DKW_10Y!$A$2:$A$2918,1)))*100))</f>
        <v/>
      </c>
      <c r="Y363" s="19">
        <f>IF(NOT(ISNUMBER($A363)),NA(),IF(OR($A363&lt;MIN(DKW_10Y!$A$2:$A$2918),$A363&gt;MAX(DKW_10Y!$A$2:$A$2918),Settings!$B$16&lt;MIN(DKW_10Y!$A$2:$A$2918)),NA(),(INDEX(DKW_10Y!$C$2:$C$2918,MATCH($A363,DKW_10Y!$A$2:$A$2918,1))-INDEX(DKW_10Y!$C$2:$C$2918,MATCH(Settings!$B$16,DKW_10Y!$A$2:$A$2918,1)))*100))</f>
        <v/>
      </c>
      <c r="Z363" s="19">
        <f>IF(NOT(ISNUMBER($A363)),NA(),IF(OR($A363&lt;MIN(DKW_10Y!$A$2:$A$2918),$A363&gt;MAX(DKW_10Y!$A$2:$A$2918),Settings!$B$16&lt;MIN(DKW_10Y!$A$2:$A$2918)),NA(),(INDEX(DKW_10Y!$D$2:$D$2918,MATCH($A363,DKW_10Y!$A$2:$A$2918,1))-INDEX(DKW_10Y!$D$2:$D$2918,MATCH(Settings!$B$16,DKW_10Y!$A$2:$A$2918,1)))*100))</f>
        <v/>
      </c>
      <c r="AA363" s="19">
        <f>IF(NOT(ISNUMBER($A363)),NA(),IF(OR($A363&lt;MIN(DKW_10Y!$A$2:$A$2918),$A363&gt;MAX(DKW_10Y!$A$2:$A$2918),Settings!$B$16&lt;MIN(DKW_10Y!$A$2:$A$2918)),NA(),(INDEX(DKW_10Y!$E$2:$E$2918,MATCH($A363,DKW_10Y!$A$2:$A$2918,1))-INDEX(DKW_10Y!$E$2:$E$2918,MATCH(Settings!$B$16,DKW_10Y!$A$2:$A$2918,1)))*100))</f>
        <v/>
      </c>
      <c r="AB363" s="19">
        <f>IF(NOT(ISNUMBER($A363)),NA(),IF(OR($A363&lt;MIN(DKW_10Y!$A$2:$A$2918),$A363&gt;MAX(DKW_10Y!$A$2:$A$2918),Settings!$B$16&lt;MIN(DKW_10Y!$A$2:$A$2918)),NA(),(INDEX(DKW_10Y!$H$2:$H$2918,MATCH($A363,DKW_10Y!$A$2:$A$2918,1))-INDEX(DKW_10Y!$H$2:$H$2918,MATCH(Settings!$B$16,DKW_10Y!$A$2:$A$2918,1)))*100))</f>
        <v/>
      </c>
      <c r="AC363" s="18">
        <f>IF(NOT(ISNUMBER($A363)),NA(),IFERROR(1*INDEX(BBG_Data!$N$2:$N$4000,MATCH($A363,BBG_Data!$M$2:$M$4000,0)),NA()))</f>
        <v/>
      </c>
      <c r="AD363" s="18">
        <f>IF(NOT(ISNUMBER($A363)),NA(),IFERROR(1*INDEX(BBG_Data!$P$2:$P$4000,MATCH($A363,BBG_Data!$O$2:$O$4000,0)),NA()))</f>
        <v/>
      </c>
      <c r="AE363" s="18">
        <f>IF(NOT(ISNUMBER($A363)),NA(),IFERROR(1*INDEX(BBG_Data!$R$2:$R$4000,MATCH($A363,BBG_Data!$Q$2:$Q$4000,0)),NA()))</f>
        <v/>
      </c>
      <c r="AF363" s="20">
        <f>IF(AND(ISNUMBER(B363),ISNUMBER(AC363)),(B363-AC363)*100,NA())</f>
        <v/>
      </c>
      <c r="AG363" s="20">
        <f>IF(AND(ISNUMBER(AE363),ISNUMBER(AD363)),(AE363-AD363)*100,NA())</f>
        <v/>
      </c>
      <c r="AH363" s="19">
        <f>IF(NOT(ISNUMBER($A363)),NA(),IFERROR(INDEX(BBG_Data!$T$2:$T$4000,MATCH($A363,BBG_Data!$S$2:$S$4000,0))*Settings!$B$25,NA()))</f>
        <v/>
      </c>
      <c r="AI363" s="19">
        <f>IF(NOT(ISNUMBER($A363)),NA(),IFERROR(INDEX(BBG_Data!$V$2:$V$4000,MATCH($A363,BBG_Data!$U$2:$U$4000,0))*Settings!$B$25,NA()))</f>
        <v/>
      </c>
      <c r="AJ363" s="19">
        <f>IF(NOT(ISNUMBER($A363)),NA(),IFERROR(1*INDEX(BBG_Data!$X$2:$X$4000,MATCH($A363,BBG_Data!$W$2:$W$4000,0)),NA()))</f>
        <v/>
      </c>
      <c r="AK363" s="19">
        <f>IF(NOT(ISNUMBER($A363)),NA(),IFERROR(1*INDEX(BBG_Data!$Z$2:$Z$4000,MATCH($A363,BBG_Data!$Y$2:$Y$4000,0)),NA()))</f>
        <v/>
      </c>
    </row>
    <row r="364">
      <c r="A364" s="17">
        <f>IF(ISNUMBER(BBG_Data!A364),BBG_Data!A364,"")</f>
        <v/>
      </c>
      <c r="B364" s="18">
        <f>IF(AND(ISNUMBER($A364),ISNUMBER(BBG_Data!B364)),BBG_Data!B364,NA())</f>
        <v/>
      </c>
      <c r="C364" s="18">
        <f>IF(NOT(ISNUMBER($A364)),NA(),IFERROR(1*INDEX(BBG_Data!$D$2:$D$4000,MATCH($A364,BBG_Data!$C$2:$C$4000,0)),NA()))</f>
        <v/>
      </c>
      <c r="D364" s="19">
        <f>IF(NOT(ISNUMBER($A364)),NA(),IFERROR(1*INDEX(BBG_Data!$F$2:$F$4000,MATCH($A364,BBG_Data!$E$2:$E$4000,0)),NA()))</f>
        <v/>
      </c>
      <c r="E364" s="19">
        <f>IF(NOT(ISNUMBER($A364)),NA(),IFERROR(1*INDEX(BBG_Data!$H$2:$H$4000,MATCH($A364,BBG_Data!$G$2:$G$4000,0)),NA()))</f>
        <v/>
      </c>
      <c r="F364" s="20">
        <f>IF(AND(ISNUMBER(B364),ISNUMBER(B363)),IF(B364=B363,"",(B364-B363)*100),"")</f>
        <v/>
      </c>
      <c r="G364" s="20">
        <f>IF(AND(ISNUMBER(C364),ISNUMBER(C363)),IF(C364=C363,"",(C364-C363)*100),"")</f>
        <v/>
      </c>
      <c r="H364" s="20">
        <f>IF(OR(NOT(ISNUMBER($A364)),ROW()-2&lt;Settings!$B$11),NA(),IF(COUNT(OFFSET(F364,1-Settings!$B$11,0,Settings!$B$11,1))&lt;ROUNDUP(Settings!$B$11*Settings!$B$26,0),NA(),STDEV(OFFSET(F364,1-Settings!$B$11,0,Settings!$B$11,1))*SQRT(Settings!$B$13)))</f>
        <v/>
      </c>
      <c r="I364" s="20">
        <f>IF(OR(NOT(ISNUMBER($A364)),ROW()-2&lt;Settings!$B$12),NA(),IF(COUNT(OFFSET(F364,1-Settings!$B$12,0,Settings!$B$12,1))&lt;ROUNDUP(Settings!$B$12*Settings!$B$26,0),NA(),STDEV(OFFSET(F364,1-Settings!$B$12,0,Settings!$B$12,1))*SQRT(Settings!$B$13)))</f>
        <v/>
      </c>
      <c r="J364" s="20">
        <f>IF(OR(NOT(ISNUMBER($A364)),ROW()-2&lt;Settings!$B$11),NA(),IF(COUNT(OFFSET(G364,1-Settings!$B$11,0,Settings!$B$11,1))&lt;ROUNDUP(Settings!$B$11*Settings!$B$26,0),NA(),STDEV(OFFSET(G364,1-Settings!$B$11,0,Settings!$B$11,1))*SQRT(Settings!$B$13)))</f>
        <v/>
      </c>
      <c r="K364" s="20">
        <f>IF(OR(NOT(ISNUMBER($A364)),ROW()-2&lt;Settings!$B$12),NA(),IF(COUNT(OFFSET(G364,1-Settings!$B$12,0,Settings!$B$12,1))&lt;ROUNDUP(Settings!$B$12*Settings!$B$26,0),NA(),STDEV(OFFSET(G364,1-Settings!$B$12,0,Settings!$B$12,1))*SQRT(Settings!$B$13)))</f>
        <v/>
      </c>
      <c r="L364" s="20">
        <f>IF(AND(ISNUMBER(D364),ISNUMBER(H364)),D364-H364,NA())</f>
        <v/>
      </c>
      <c r="M364" s="20">
        <f>IF(AND(ISNUMBER(E364),ISNUMBER(K364)),E364-K364,NA())</f>
        <v/>
      </c>
      <c r="N364" s="20">
        <f>IF(NOT(ISNUMBER($A364)),NA(),IF(COUNT(OFFSET(G364,1,0,Settings!$B$12,1))&lt;ROUNDUP(Settings!$B$12*Settings!$B$26,0),NA(),STDEV(OFFSET(G364,1,0,Settings!$B$12,1))*SQRT(Settings!$B$13)))</f>
        <v/>
      </c>
      <c r="O364" s="20">
        <f>IF(AND(ISNUMBER(E364),ISNUMBER(N364)),E364-N364,NA())</f>
        <v/>
      </c>
      <c r="P364" s="19">
        <f>IF(NOT(ISNUMBER($A364)),NA(),IF(OR($A364&lt;MIN(KW_TP!$A$2:$A$2501),$A364&gt;MAX(KW_TP!$A$2:$A$2501)),NA(),INDEX(KW_TP!$C$2:$C$2501,MATCH($A364,KW_TP!$A$2:$A$2501,1))))</f>
        <v/>
      </c>
      <c r="Q364" s="18">
        <f>IF(NOT(ISNUMBER($A364)),NA(),IFERROR(1*INDEX(BBG_Data!$J$2:$J$4000,MATCH($A364,BBG_Data!$I$2:$I$4000,0)),NA()))</f>
        <v/>
      </c>
      <c r="R364" s="18">
        <f>IF(NOT(ISNUMBER($A364)),NA(),IFERROR(1*INDEX(BBG_Data!$L$2:$L$4000,MATCH($A364,BBG_Data!$K$2:$K$4000,0)),NA()))</f>
        <v/>
      </c>
      <c r="S364" s="20">
        <f>IF(AND(ISNUMBER(B364),ISNUMBER(Q364),ISNUMBER(R364)),(B364-Q364-R364)*100,NA())</f>
        <v/>
      </c>
      <c r="T364" s="20">
        <f>IF(AND(ISNUMBER(B364),Settings!$B$17&gt;0),IF(ISNUMBER(INDEX($B:$B,Settings!$B$17)),(B364-INDEX($B:$B,Settings!$B$17))*100,NA()),NA())</f>
        <v/>
      </c>
      <c r="U364" s="20">
        <f>IF(AND(ISNUMBER(Q364),Settings!$B$17&gt;0),IF(ISNUMBER(INDEX($Q:$Q,Settings!$B$17)),(Q364-INDEX($Q:$Q,Settings!$B$17))*100,NA()),NA())</f>
        <v/>
      </c>
      <c r="V364" s="20">
        <f>IF(AND(ISNUMBER(R364),Settings!$B$17&gt;0),IF(ISNUMBER(INDEX($R:$R,Settings!$B$17)),(R364-INDEX($R:$R,Settings!$B$17))*100,NA()),NA())</f>
        <v/>
      </c>
      <c r="W364" s="20">
        <f>IF(AND(ISNUMBER(P364),Settings!$B$17&gt;0),IF(ISNUMBER(INDEX($P:$P,Settings!$B$17)),P364-INDEX($P:$P,Settings!$B$17),NA()),NA())</f>
        <v/>
      </c>
      <c r="X364" s="19">
        <f>IF(NOT(ISNUMBER($A364)),NA(),IF(OR($A364&lt;MIN(DKW_10Y!$A$2:$A$2918),$A364&gt;MAX(DKW_10Y!$A$2:$A$2918),Settings!$B$16&lt;MIN(DKW_10Y!$A$2:$A$2918)),NA(),(INDEX(DKW_10Y!$B$2:$B$2918,MATCH($A364,DKW_10Y!$A$2:$A$2918,1))-INDEX(DKW_10Y!$B$2:$B$2918,MATCH(Settings!$B$16,DKW_10Y!$A$2:$A$2918,1)))*100))</f>
        <v/>
      </c>
      <c r="Y364" s="19">
        <f>IF(NOT(ISNUMBER($A364)),NA(),IF(OR($A364&lt;MIN(DKW_10Y!$A$2:$A$2918),$A364&gt;MAX(DKW_10Y!$A$2:$A$2918),Settings!$B$16&lt;MIN(DKW_10Y!$A$2:$A$2918)),NA(),(INDEX(DKW_10Y!$C$2:$C$2918,MATCH($A364,DKW_10Y!$A$2:$A$2918,1))-INDEX(DKW_10Y!$C$2:$C$2918,MATCH(Settings!$B$16,DKW_10Y!$A$2:$A$2918,1)))*100))</f>
        <v/>
      </c>
      <c r="Z364" s="19">
        <f>IF(NOT(ISNUMBER($A364)),NA(),IF(OR($A364&lt;MIN(DKW_10Y!$A$2:$A$2918),$A364&gt;MAX(DKW_10Y!$A$2:$A$2918),Settings!$B$16&lt;MIN(DKW_10Y!$A$2:$A$2918)),NA(),(INDEX(DKW_10Y!$D$2:$D$2918,MATCH($A364,DKW_10Y!$A$2:$A$2918,1))-INDEX(DKW_10Y!$D$2:$D$2918,MATCH(Settings!$B$16,DKW_10Y!$A$2:$A$2918,1)))*100))</f>
        <v/>
      </c>
      <c r="AA364" s="19">
        <f>IF(NOT(ISNUMBER($A364)),NA(),IF(OR($A364&lt;MIN(DKW_10Y!$A$2:$A$2918),$A364&gt;MAX(DKW_10Y!$A$2:$A$2918),Settings!$B$16&lt;MIN(DKW_10Y!$A$2:$A$2918)),NA(),(INDEX(DKW_10Y!$E$2:$E$2918,MATCH($A364,DKW_10Y!$A$2:$A$2918,1))-INDEX(DKW_10Y!$E$2:$E$2918,MATCH(Settings!$B$16,DKW_10Y!$A$2:$A$2918,1)))*100))</f>
        <v/>
      </c>
      <c r="AB364" s="19">
        <f>IF(NOT(ISNUMBER($A364)),NA(),IF(OR($A364&lt;MIN(DKW_10Y!$A$2:$A$2918),$A364&gt;MAX(DKW_10Y!$A$2:$A$2918),Settings!$B$16&lt;MIN(DKW_10Y!$A$2:$A$2918)),NA(),(INDEX(DKW_10Y!$H$2:$H$2918,MATCH($A364,DKW_10Y!$A$2:$A$2918,1))-INDEX(DKW_10Y!$H$2:$H$2918,MATCH(Settings!$B$16,DKW_10Y!$A$2:$A$2918,1)))*100))</f>
        <v/>
      </c>
      <c r="AC364" s="18">
        <f>IF(NOT(ISNUMBER($A364)),NA(),IFERROR(1*INDEX(BBG_Data!$N$2:$N$4000,MATCH($A364,BBG_Data!$M$2:$M$4000,0)),NA()))</f>
        <v/>
      </c>
      <c r="AD364" s="18">
        <f>IF(NOT(ISNUMBER($A364)),NA(),IFERROR(1*INDEX(BBG_Data!$P$2:$P$4000,MATCH($A364,BBG_Data!$O$2:$O$4000,0)),NA()))</f>
        <v/>
      </c>
      <c r="AE364" s="18">
        <f>IF(NOT(ISNUMBER($A364)),NA(),IFERROR(1*INDEX(BBG_Data!$R$2:$R$4000,MATCH($A364,BBG_Data!$Q$2:$Q$4000,0)),NA()))</f>
        <v/>
      </c>
      <c r="AF364" s="20">
        <f>IF(AND(ISNUMBER(B364),ISNUMBER(AC364)),(B364-AC364)*100,NA())</f>
        <v/>
      </c>
      <c r="AG364" s="20">
        <f>IF(AND(ISNUMBER(AE364),ISNUMBER(AD364)),(AE364-AD364)*100,NA())</f>
        <v/>
      </c>
      <c r="AH364" s="19">
        <f>IF(NOT(ISNUMBER($A364)),NA(),IFERROR(INDEX(BBG_Data!$T$2:$T$4000,MATCH($A364,BBG_Data!$S$2:$S$4000,0))*Settings!$B$25,NA()))</f>
        <v/>
      </c>
      <c r="AI364" s="19">
        <f>IF(NOT(ISNUMBER($A364)),NA(),IFERROR(INDEX(BBG_Data!$V$2:$V$4000,MATCH($A364,BBG_Data!$U$2:$U$4000,0))*Settings!$B$25,NA()))</f>
        <v/>
      </c>
      <c r="AJ364" s="19">
        <f>IF(NOT(ISNUMBER($A364)),NA(),IFERROR(1*INDEX(BBG_Data!$X$2:$X$4000,MATCH($A364,BBG_Data!$W$2:$W$4000,0)),NA()))</f>
        <v/>
      </c>
      <c r="AK364" s="19">
        <f>IF(NOT(ISNUMBER($A364)),NA(),IFERROR(1*INDEX(BBG_Data!$Z$2:$Z$4000,MATCH($A364,BBG_Data!$Y$2:$Y$4000,0)),NA()))</f>
        <v/>
      </c>
    </row>
    <row r="365">
      <c r="A365" s="17">
        <f>IF(ISNUMBER(BBG_Data!A365),BBG_Data!A365,"")</f>
        <v/>
      </c>
      <c r="B365" s="18">
        <f>IF(AND(ISNUMBER($A365),ISNUMBER(BBG_Data!B365)),BBG_Data!B365,NA())</f>
        <v/>
      </c>
      <c r="C365" s="18">
        <f>IF(NOT(ISNUMBER($A365)),NA(),IFERROR(1*INDEX(BBG_Data!$D$2:$D$4000,MATCH($A365,BBG_Data!$C$2:$C$4000,0)),NA()))</f>
        <v/>
      </c>
      <c r="D365" s="19">
        <f>IF(NOT(ISNUMBER($A365)),NA(),IFERROR(1*INDEX(BBG_Data!$F$2:$F$4000,MATCH($A365,BBG_Data!$E$2:$E$4000,0)),NA()))</f>
        <v/>
      </c>
      <c r="E365" s="19">
        <f>IF(NOT(ISNUMBER($A365)),NA(),IFERROR(1*INDEX(BBG_Data!$H$2:$H$4000,MATCH($A365,BBG_Data!$G$2:$G$4000,0)),NA()))</f>
        <v/>
      </c>
      <c r="F365" s="20">
        <f>IF(AND(ISNUMBER(B365),ISNUMBER(B364)),IF(B365=B364,"",(B365-B364)*100),"")</f>
        <v/>
      </c>
      <c r="G365" s="20">
        <f>IF(AND(ISNUMBER(C365),ISNUMBER(C364)),IF(C365=C364,"",(C365-C364)*100),"")</f>
        <v/>
      </c>
      <c r="H365" s="20">
        <f>IF(OR(NOT(ISNUMBER($A365)),ROW()-2&lt;Settings!$B$11),NA(),IF(COUNT(OFFSET(F365,1-Settings!$B$11,0,Settings!$B$11,1))&lt;ROUNDUP(Settings!$B$11*Settings!$B$26,0),NA(),STDEV(OFFSET(F365,1-Settings!$B$11,0,Settings!$B$11,1))*SQRT(Settings!$B$13)))</f>
        <v/>
      </c>
      <c r="I365" s="20">
        <f>IF(OR(NOT(ISNUMBER($A365)),ROW()-2&lt;Settings!$B$12),NA(),IF(COUNT(OFFSET(F365,1-Settings!$B$12,0,Settings!$B$12,1))&lt;ROUNDUP(Settings!$B$12*Settings!$B$26,0),NA(),STDEV(OFFSET(F365,1-Settings!$B$12,0,Settings!$B$12,1))*SQRT(Settings!$B$13)))</f>
        <v/>
      </c>
      <c r="J365" s="20">
        <f>IF(OR(NOT(ISNUMBER($A365)),ROW()-2&lt;Settings!$B$11),NA(),IF(COUNT(OFFSET(G365,1-Settings!$B$11,0,Settings!$B$11,1))&lt;ROUNDUP(Settings!$B$11*Settings!$B$26,0),NA(),STDEV(OFFSET(G365,1-Settings!$B$11,0,Settings!$B$11,1))*SQRT(Settings!$B$13)))</f>
        <v/>
      </c>
      <c r="K365" s="20">
        <f>IF(OR(NOT(ISNUMBER($A365)),ROW()-2&lt;Settings!$B$12),NA(),IF(COUNT(OFFSET(G365,1-Settings!$B$12,0,Settings!$B$12,1))&lt;ROUNDUP(Settings!$B$12*Settings!$B$26,0),NA(),STDEV(OFFSET(G365,1-Settings!$B$12,0,Settings!$B$12,1))*SQRT(Settings!$B$13)))</f>
        <v/>
      </c>
      <c r="L365" s="20">
        <f>IF(AND(ISNUMBER(D365),ISNUMBER(H365)),D365-H365,NA())</f>
        <v/>
      </c>
      <c r="M365" s="20">
        <f>IF(AND(ISNUMBER(E365),ISNUMBER(K365)),E365-K365,NA())</f>
        <v/>
      </c>
      <c r="N365" s="20">
        <f>IF(NOT(ISNUMBER($A365)),NA(),IF(COUNT(OFFSET(G365,1,0,Settings!$B$12,1))&lt;ROUNDUP(Settings!$B$12*Settings!$B$26,0),NA(),STDEV(OFFSET(G365,1,0,Settings!$B$12,1))*SQRT(Settings!$B$13)))</f>
        <v/>
      </c>
      <c r="O365" s="20">
        <f>IF(AND(ISNUMBER(E365),ISNUMBER(N365)),E365-N365,NA())</f>
        <v/>
      </c>
      <c r="P365" s="19">
        <f>IF(NOT(ISNUMBER($A365)),NA(),IF(OR($A365&lt;MIN(KW_TP!$A$2:$A$2501),$A365&gt;MAX(KW_TP!$A$2:$A$2501)),NA(),INDEX(KW_TP!$C$2:$C$2501,MATCH($A365,KW_TP!$A$2:$A$2501,1))))</f>
        <v/>
      </c>
      <c r="Q365" s="18">
        <f>IF(NOT(ISNUMBER($A365)),NA(),IFERROR(1*INDEX(BBG_Data!$J$2:$J$4000,MATCH($A365,BBG_Data!$I$2:$I$4000,0)),NA()))</f>
        <v/>
      </c>
      <c r="R365" s="18">
        <f>IF(NOT(ISNUMBER($A365)),NA(),IFERROR(1*INDEX(BBG_Data!$L$2:$L$4000,MATCH($A365,BBG_Data!$K$2:$K$4000,0)),NA()))</f>
        <v/>
      </c>
      <c r="S365" s="20">
        <f>IF(AND(ISNUMBER(B365),ISNUMBER(Q365),ISNUMBER(R365)),(B365-Q365-R365)*100,NA())</f>
        <v/>
      </c>
      <c r="T365" s="20">
        <f>IF(AND(ISNUMBER(B365),Settings!$B$17&gt;0),IF(ISNUMBER(INDEX($B:$B,Settings!$B$17)),(B365-INDEX($B:$B,Settings!$B$17))*100,NA()),NA())</f>
        <v/>
      </c>
      <c r="U365" s="20">
        <f>IF(AND(ISNUMBER(Q365),Settings!$B$17&gt;0),IF(ISNUMBER(INDEX($Q:$Q,Settings!$B$17)),(Q365-INDEX($Q:$Q,Settings!$B$17))*100,NA()),NA())</f>
        <v/>
      </c>
      <c r="V365" s="20">
        <f>IF(AND(ISNUMBER(R365),Settings!$B$17&gt;0),IF(ISNUMBER(INDEX($R:$R,Settings!$B$17)),(R365-INDEX($R:$R,Settings!$B$17))*100,NA()),NA())</f>
        <v/>
      </c>
      <c r="W365" s="20">
        <f>IF(AND(ISNUMBER(P365),Settings!$B$17&gt;0),IF(ISNUMBER(INDEX($P:$P,Settings!$B$17)),P365-INDEX($P:$P,Settings!$B$17),NA()),NA())</f>
        <v/>
      </c>
      <c r="X365" s="19">
        <f>IF(NOT(ISNUMBER($A365)),NA(),IF(OR($A365&lt;MIN(DKW_10Y!$A$2:$A$2918),$A365&gt;MAX(DKW_10Y!$A$2:$A$2918),Settings!$B$16&lt;MIN(DKW_10Y!$A$2:$A$2918)),NA(),(INDEX(DKW_10Y!$B$2:$B$2918,MATCH($A365,DKW_10Y!$A$2:$A$2918,1))-INDEX(DKW_10Y!$B$2:$B$2918,MATCH(Settings!$B$16,DKW_10Y!$A$2:$A$2918,1)))*100))</f>
        <v/>
      </c>
      <c r="Y365" s="19">
        <f>IF(NOT(ISNUMBER($A365)),NA(),IF(OR($A365&lt;MIN(DKW_10Y!$A$2:$A$2918),$A365&gt;MAX(DKW_10Y!$A$2:$A$2918),Settings!$B$16&lt;MIN(DKW_10Y!$A$2:$A$2918)),NA(),(INDEX(DKW_10Y!$C$2:$C$2918,MATCH($A365,DKW_10Y!$A$2:$A$2918,1))-INDEX(DKW_10Y!$C$2:$C$2918,MATCH(Settings!$B$16,DKW_10Y!$A$2:$A$2918,1)))*100))</f>
        <v/>
      </c>
      <c r="Z365" s="19">
        <f>IF(NOT(ISNUMBER($A365)),NA(),IF(OR($A365&lt;MIN(DKW_10Y!$A$2:$A$2918),$A365&gt;MAX(DKW_10Y!$A$2:$A$2918),Settings!$B$16&lt;MIN(DKW_10Y!$A$2:$A$2918)),NA(),(INDEX(DKW_10Y!$D$2:$D$2918,MATCH($A365,DKW_10Y!$A$2:$A$2918,1))-INDEX(DKW_10Y!$D$2:$D$2918,MATCH(Settings!$B$16,DKW_10Y!$A$2:$A$2918,1)))*100))</f>
        <v/>
      </c>
      <c r="AA365" s="19">
        <f>IF(NOT(ISNUMBER($A365)),NA(),IF(OR($A365&lt;MIN(DKW_10Y!$A$2:$A$2918),$A365&gt;MAX(DKW_10Y!$A$2:$A$2918),Settings!$B$16&lt;MIN(DKW_10Y!$A$2:$A$2918)),NA(),(INDEX(DKW_10Y!$E$2:$E$2918,MATCH($A365,DKW_10Y!$A$2:$A$2918,1))-INDEX(DKW_10Y!$E$2:$E$2918,MATCH(Settings!$B$16,DKW_10Y!$A$2:$A$2918,1)))*100))</f>
        <v/>
      </c>
      <c r="AB365" s="19">
        <f>IF(NOT(ISNUMBER($A365)),NA(),IF(OR($A365&lt;MIN(DKW_10Y!$A$2:$A$2918),$A365&gt;MAX(DKW_10Y!$A$2:$A$2918),Settings!$B$16&lt;MIN(DKW_10Y!$A$2:$A$2918)),NA(),(INDEX(DKW_10Y!$H$2:$H$2918,MATCH($A365,DKW_10Y!$A$2:$A$2918,1))-INDEX(DKW_10Y!$H$2:$H$2918,MATCH(Settings!$B$16,DKW_10Y!$A$2:$A$2918,1)))*100))</f>
        <v/>
      </c>
      <c r="AC365" s="18">
        <f>IF(NOT(ISNUMBER($A365)),NA(),IFERROR(1*INDEX(BBG_Data!$N$2:$N$4000,MATCH($A365,BBG_Data!$M$2:$M$4000,0)),NA()))</f>
        <v/>
      </c>
      <c r="AD365" s="18">
        <f>IF(NOT(ISNUMBER($A365)),NA(),IFERROR(1*INDEX(BBG_Data!$P$2:$P$4000,MATCH($A365,BBG_Data!$O$2:$O$4000,0)),NA()))</f>
        <v/>
      </c>
      <c r="AE365" s="18">
        <f>IF(NOT(ISNUMBER($A365)),NA(),IFERROR(1*INDEX(BBG_Data!$R$2:$R$4000,MATCH($A365,BBG_Data!$Q$2:$Q$4000,0)),NA()))</f>
        <v/>
      </c>
      <c r="AF365" s="20">
        <f>IF(AND(ISNUMBER(B365),ISNUMBER(AC365)),(B365-AC365)*100,NA())</f>
        <v/>
      </c>
      <c r="AG365" s="20">
        <f>IF(AND(ISNUMBER(AE365),ISNUMBER(AD365)),(AE365-AD365)*100,NA())</f>
        <v/>
      </c>
      <c r="AH365" s="19">
        <f>IF(NOT(ISNUMBER($A365)),NA(),IFERROR(INDEX(BBG_Data!$T$2:$T$4000,MATCH($A365,BBG_Data!$S$2:$S$4000,0))*Settings!$B$25,NA()))</f>
        <v/>
      </c>
      <c r="AI365" s="19">
        <f>IF(NOT(ISNUMBER($A365)),NA(),IFERROR(INDEX(BBG_Data!$V$2:$V$4000,MATCH($A365,BBG_Data!$U$2:$U$4000,0))*Settings!$B$25,NA()))</f>
        <v/>
      </c>
      <c r="AJ365" s="19">
        <f>IF(NOT(ISNUMBER($A365)),NA(),IFERROR(1*INDEX(BBG_Data!$X$2:$X$4000,MATCH($A365,BBG_Data!$W$2:$W$4000,0)),NA()))</f>
        <v/>
      </c>
      <c r="AK365" s="19">
        <f>IF(NOT(ISNUMBER($A365)),NA(),IFERROR(1*INDEX(BBG_Data!$Z$2:$Z$4000,MATCH($A365,BBG_Data!$Y$2:$Y$4000,0)),NA()))</f>
        <v/>
      </c>
    </row>
    <row r="366">
      <c r="A366" s="17">
        <f>IF(ISNUMBER(BBG_Data!A366),BBG_Data!A366,"")</f>
        <v/>
      </c>
      <c r="B366" s="18">
        <f>IF(AND(ISNUMBER($A366),ISNUMBER(BBG_Data!B366)),BBG_Data!B366,NA())</f>
        <v/>
      </c>
      <c r="C366" s="18">
        <f>IF(NOT(ISNUMBER($A366)),NA(),IFERROR(1*INDEX(BBG_Data!$D$2:$D$4000,MATCH($A366,BBG_Data!$C$2:$C$4000,0)),NA()))</f>
        <v/>
      </c>
      <c r="D366" s="19">
        <f>IF(NOT(ISNUMBER($A366)),NA(),IFERROR(1*INDEX(BBG_Data!$F$2:$F$4000,MATCH($A366,BBG_Data!$E$2:$E$4000,0)),NA()))</f>
        <v/>
      </c>
      <c r="E366" s="19">
        <f>IF(NOT(ISNUMBER($A366)),NA(),IFERROR(1*INDEX(BBG_Data!$H$2:$H$4000,MATCH($A366,BBG_Data!$G$2:$G$4000,0)),NA()))</f>
        <v/>
      </c>
      <c r="F366" s="20">
        <f>IF(AND(ISNUMBER(B366),ISNUMBER(B365)),IF(B366=B365,"",(B366-B365)*100),"")</f>
        <v/>
      </c>
      <c r="G366" s="20">
        <f>IF(AND(ISNUMBER(C366),ISNUMBER(C365)),IF(C366=C365,"",(C366-C365)*100),"")</f>
        <v/>
      </c>
      <c r="H366" s="20">
        <f>IF(OR(NOT(ISNUMBER($A366)),ROW()-2&lt;Settings!$B$11),NA(),IF(COUNT(OFFSET(F366,1-Settings!$B$11,0,Settings!$B$11,1))&lt;ROUNDUP(Settings!$B$11*Settings!$B$26,0),NA(),STDEV(OFFSET(F366,1-Settings!$B$11,0,Settings!$B$11,1))*SQRT(Settings!$B$13)))</f>
        <v/>
      </c>
      <c r="I366" s="20">
        <f>IF(OR(NOT(ISNUMBER($A366)),ROW()-2&lt;Settings!$B$12),NA(),IF(COUNT(OFFSET(F366,1-Settings!$B$12,0,Settings!$B$12,1))&lt;ROUNDUP(Settings!$B$12*Settings!$B$26,0),NA(),STDEV(OFFSET(F366,1-Settings!$B$12,0,Settings!$B$12,1))*SQRT(Settings!$B$13)))</f>
        <v/>
      </c>
      <c r="J366" s="20">
        <f>IF(OR(NOT(ISNUMBER($A366)),ROW()-2&lt;Settings!$B$11),NA(),IF(COUNT(OFFSET(G366,1-Settings!$B$11,0,Settings!$B$11,1))&lt;ROUNDUP(Settings!$B$11*Settings!$B$26,0),NA(),STDEV(OFFSET(G366,1-Settings!$B$11,0,Settings!$B$11,1))*SQRT(Settings!$B$13)))</f>
        <v/>
      </c>
      <c r="K366" s="20">
        <f>IF(OR(NOT(ISNUMBER($A366)),ROW()-2&lt;Settings!$B$12),NA(),IF(COUNT(OFFSET(G366,1-Settings!$B$12,0,Settings!$B$12,1))&lt;ROUNDUP(Settings!$B$12*Settings!$B$26,0),NA(),STDEV(OFFSET(G366,1-Settings!$B$12,0,Settings!$B$12,1))*SQRT(Settings!$B$13)))</f>
        <v/>
      </c>
      <c r="L366" s="20">
        <f>IF(AND(ISNUMBER(D366),ISNUMBER(H366)),D366-H366,NA())</f>
        <v/>
      </c>
      <c r="M366" s="20">
        <f>IF(AND(ISNUMBER(E366),ISNUMBER(K366)),E366-K366,NA())</f>
        <v/>
      </c>
      <c r="N366" s="20">
        <f>IF(NOT(ISNUMBER($A366)),NA(),IF(COUNT(OFFSET(G366,1,0,Settings!$B$12,1))&lt;ROUNDUP(Settings!$B$12*Settings!$B$26,0),NA(),STDEV(OFFSET(G366,1,0,Settings!$B$12,1))*SQRT(Settings!$B$13)))</f>
        <v/>
      </c>
      <c r="O366" s="20">
        <f>IF(AND(ISNUMBER(E366),ISNUMBER(N366)),E366-N366,NA())</f>
        <v/>
      </c>
      <c r="P366" s="19">
        <f>IF(NOT(ISNUMBER($A366)),NA(),IF(OR($A366&lt;MIN(KW_TP!$A$2:$A$2501),$A366&gt;MAX(KW_TP!$A$2:$A$2501)),NA(),INDEX(KW_TP!$C$2:$C$2501,MATCH($A366,KW_TP!$A$2:$A$2501,1))))</f>
        <v/>
      </c>
      <c r="Q366" s="18">
        <f>IF(NOT(ISNUMBER($A366)),NA(),IFERROR(1*INDEX(BBG_Data!$J$2:$J$4000,MATCH($A366,BBG_Data!$I$2:$I$4000,0)),NA()))</f>
        <v/>
      </c>
      <c r="R366" s="18">
        <f>IF(NOT(ISNUMBER($A366)),NA(),IFERROR(1*INDEX(BBG_Data!$L$2:$L$4000,MATCH($A366,BBG_Data!$K$2:$K$4000,0)),NA()))</f>
        <v/>
      </c>
      <c r="S366" s="20">
        <f>IF(AND(ISNUMBER(B366),ISNUMBER(Q366),ISNUMBER(R366)),(B366-Q366-R366)*100,NA())</f>
        <v/>
      </c>
      <c r="T366" s="20">
        <f>IF(AND(ISNUMBER(B366),Settings!$B$17&gt;0),IF(ISNUMBER(INDEX($B:$B,Settings!$B$17)),(B366-INDEX($B:$B,Settings!$B$17))*100,NA()),NA())</f>
        <v/>
      </c>
      <c r="U366" s="20">
        <f>IF(AND(ISNUMBER(Q366),Settings!$B$17&gt;0),IF(ISNUMBER(INDEX($Q:$Q,Settings!$B$17)),(Q366-INDEX($Q:$Q,Settings!$B$17))*100,NA()),NA())</f>
        <v/>
      </c>
      <c r="V366" s="20">
        <f>IF(AND(ISNUMBER(R366),Settings!$B$17&gt;0),IF(ISNUMBER(INDEX($R:$R,Settings!$B$17)),(R366-INDEX($R:$R,Settings!$B$17))*100,NA()),NA())</f>
        <v/>
      </c>
      <c r="W366" s="20">
        <f>IF(AND(ISNUMBER(P366),Settings!$B$17&gt;0),IF(ISNUMBER(INDEX($P:$P,Settings!$B$17)),P366-INDEX($P:$P,Settings!$B$17),NA()),NA())</f>
        <v/>
      </c>
      <c r="X366" s="19">
        <f>IF(NOT(ISNUMBER($A366)),NA(),IF(OR($A366&lt;MIN(DKW_10Y!$A$2:$A$2918),$A366&gt;MAX(DKW_10Y!$A$2:$A$2918),Settings!$B$16&lt;MIN(DKW_10Y!$A$2:$A$2918)),NA(),(INDEX(DKW_10Y!$B$2:$B$2918,MATCH($A366,DKW_10Y!$A$2:$A$2918,1))-INDEX(DKW_10Y!$B$2:$B$2918,MATCH(Settings!$B$16,DKW_10Y!$A$2:$A$2918,1)))*100))</f>
        <v/>
      </c>
      <c r="Y366" s="19">
        <f>IF(NOT(ISNUMBER($A366)),NA(),IF(OR($A366&lt;MIN(DKW_10Y!$A$2:$A$2918),$A366&gt;MAX(DKW_10Y!$A$2:$A$2918),Settings!$B$16&lt;MIN(DKW_10Y!$A$2:$A$2918)),NA(),(INDEX(DKW_10Y!$C$2:$C$2918,MATCH($A366,DKW_10Y!$A$2:$A$2918,1))-INDEX(DKW_10Y!$C$2:$C$2918,MATCH(Settings!$B$16,DKW_10Y!$A$2:$A$2918,1)))*100))</f>
        <v/>
      </c>
      <c r="Z366" s="19">
        <f>IF(NOT(ISNUMBER($A366)),NA(),IF(OR($A366&lt;MIN(DKW_10Y!$A$2:$A$2918),$A366&gt;MAX(DKW_10Y!$A$2:$A$2918),Settings!$B$16&lt;MIN(DKW_10Y!$A$2:$A$2918)),NA(),(INDEX(DKW_10Y!$D$2:$D$2918,MATCH($A366,DKW_10Y!$A$2:$A$2918,1))-INDEX(DKW_10Y!$D$2:$D$2918,MATCH(Settings!$B$16,DKW_10Y!$A$2:$A$2918,1)))*100))</f>
        <v/>
      </c>
      <c r="AA366" s="19">
        <f>IF(NOT(ISNUMBER($A366)),NA(),IF(OR($A366&lt;MIN(DKW_10Y!$A$2:$A$2918),$A366&gt;MAX(DKW_10Y!$A$2:$A$2918),Settings!$B$16&lt;MIN(DKW_10Y!$A$2:$A$2918)),NA(),(INDEX(DKW_10Y!$E$2:$E$2918,MATCH($A366,DKW_10Y!$A$2:$A$2918,1))-INDEX(DKW_10Y!$E$2:$E$2918,MATCH(Settings!$B$16,DKW_10Y!$A$2:$A$2918,1)))*100))</f>
        <v/>
      </c>
      <c r="AB366" s="19">
        <f>IF(NOT(ISNUMBER($A366)),NA(),IF(OR($A366&lt;MIN(DKW_10Y!$A$2:$A$2918),$A366&gt;MAX(DKW_10Y!$A$2:$A$2918),Settings!$B$16&lt;MIN(DKW_10Y!$A$2:$A$2918)),NA(),(INDEX(DKW_10Y!$H$2:$H$2918,MATCH($A366,DKW_10Y!$A$2:$A$2918,1))-INDEX(DKW_10Y!$H$2:$H$2918,MATCH(Settings!$B$16,DKW_10Y!$A$2:$A$2918,1)))*100))</f>
        <v/>
      </c>
      <c r="AC366" s="18">
        <f>IF(NOT(ISNUMBER($A366)),NA(),IFERROR(1*INDEX(BBG_Data!$N$2:$N$4000,MATCH($A366,BBG_Data!$M$2:$M$4000,0)),NA()))</f>
        <v/>
      </c>
      <c r="AD366" s="18">
        <f>IF(NOT(ISNUMBER($A366)),NA(),IFERROR(1*INDEX(BBG_Data!$P$2:$P$4000,MATCH($A366,BBG_Data!$O$2:$O$4000,0)),NA()))</f>
        <v/>
      </c>
      <c r="AE366" s="18">
        <f>IF(NOT(ISNUMBER($A366)),NA(),IFERROR(1*INDEX(BBG_Data!$R$2:$R$4000,MATCH($A366,BBG_Data!$Q$2:$Q$4000,0)),NA()))</f>
        <v/>
      </c>
      <c r="AF366" s="20">
        <f>IF(AND(ISNUMBER(B366),ISNUMBER(AC366)),(B366-AC366)*100,NA())</f>
        <v/>
      </c>
      <c r="AG366" s="20">
        <f>IF(AND(ISNUMBER(AE366),ISNUMBER(AD366)),(AE366-AD366)*100,NA())</f>
        <v/>
      </c>
      <c r="AH366" s="19">
        <f>IF(NOT(ISNUMBER($A366)),NA(),IFERROR(INDEX(BBG_Data!$T$2:$T$4000,MATCH($A366,BBG_Data!$S$2:$S$4000,0))*Settings!$B$25,NA()))</f>
        <v/>
      </c>
      <c r="AI366" s="19">
        <f>IF(NOT(ISNUMBER($A366)),NA(),IFERROR(INDEX(BBG_Data!$V$2:$V$4000,MATCH($A366,BBG_Data!$U$2:$U$4000,0))*Settings!$B$25,NA()))</f>
        <v/>
      </c>
      <c r="AJ366" s="19">
        <f>IF(NOT(ISNUMBER($A366)),NA(),IFERROR(1*INDEX(BBG_Data!$X$2:$X$4000,MATCH($A366,BBG_Data!$W$2:$W$4000,0)),NA()))</f>
        <v/>
      </c>
      <c r="AK366" s="19">
        <f>IF(NOT(ISNUMBER($A366)),NA(),IFERROR(1*INDEX(BBG_Data!$Z$2:$Z$4000,MATCH($A366,BBG_Data!$Y$2:$Y$4000,0)),NA()))</f>
        <v/>
      </c>
    </row>
    <row r="367">
      <c r="A367" s="17">
        <f>IF(ISNUMBER(BBG_Data!A367),BBG_Data!A367,"")</f>
        <v/>
      </c>
      <c r="B367" s="18">
        <f>IF(AND(ISNUMBER($A367),ISNUMBER(BBG_Data!B367)),BBG_Data!B367,NA())</f>
        <v/>
      </c>
      <c r="C367" s="18">
        <f>IF(NOT(ISNUMBER($A367)),NA(),IFERROR(1*INDEX(BBG_Data!$D$2:$D$4000,MATCH($A367,BBG_Data!$C$2:$C$4000,0)),NA()))</f>
        <v/>
      </c>
      <c r="D367" s="19">
        <f>IF(NOT(ISNUMBER($A367)),NA(),IFERROR(1*INDEX(BBG_Data!$F$2:$F$4000,MATCH($A367,BBG_Data!$E$2:$E$4000,0)),NA()))</f>
        <v/>
      </c>
      <c r="E367" s="19">
        <f>IF(NOT(ISNUMBER($A367)),NA(),IFERROR(1*INDEX(BBG_Data!$H$2:$H$4000,MATCH($A367,BBG_Data!$G$2:$G$4000,0)),NA()))</f>
        <v/>
      </c>
      <c r="F367" s="20">
        <f>IF(AND(ISNUMBER(B367),ISNUMBER(B366)),IF(B367=B366,"",(B367-B366)*100),"")</f>
        <v/>
      </c>
      <c r="G367" s="20">
        <f>IF(AND(ISNUMBER(C367),ISNUMBER(C366)),IF(C367=C366,"",(C367-C366)*100),"")</f>
        <v/>
      </c>
      <c r="H367" s="20">
        <f>IF(OR(NOT(ISNUMBER($A367)),ROW()-2&lt;Settings!$B$11),NA(),IF(COUNT(OFFSET(F367,1-Settings!$B$11,0,Settings!$B$11,1))&lt;ROUNDUP(Settings!$B$11*Settings!$B$26,0),NA(),STDEV(OFFSET(F367,1-Settings!$B$11,0,Settings!$B$11,1))*SQRT(Settings!$B$13)))</f>
        <v/>
      </c>
      <c r="I367" s="20">
        <f>IF(OR(NOT(ISNUMBER($A367)),ROW()-2&lt;Settings!$B$12),NA(),IF(COUNT(OFFSET(F367,1-Settings!$B$12,0,Settings!$B$12,1))&lt;ROUNDUP(Settings!$B$12*Settings!$B$26,0),NA(),STDEV(OFFSET(F367,1-Settings!$B$12,0,Settings!$B$12,1))*SQRT(Settings!$B$13)))</f>
        <v/>
      </c>
      <c r="J367" s="20">
        <f>IF(OR(NOT(ISNUMBER($A367)),ROW()-2&lt;Settings!$B$11),NA(),IF(COUNT(OFFSET(G367,1-Settings!$B$11,0,Settings!$B$11,1))&lt;ROUNDUP(Settings!$B$11*Settings!$B$26,0),NA(),STDEV(OFFSET(G367,1-Settings!$B$11,0,Settings!$B$11,1))*SQRT(Settings!$B$13)))</f>
        <v/>
      </c>
      <c r="K367" s="20">
        <f>IF(OR(NOT(ISNUMBER($A367)),ROW()-2&lt;Settings!$B$12),NA(),IF(COUNT(OFFSET(G367,1-Settings!$B$12,0,Settings!$B$12,1))&lt;ROUNDUP(Settings!$B$12*Settings!$B$26,0),NA(),STDEV(OFFSET(G367,1-Settings!$B$12,0,Settings!$B$12,1))*SQRT(Settings!$B$13)))</f>
        <v/>
      </c>
      <c r="L367" s="20">
        <f>IF(AND(ISNUMBER(D367),ISNUMBER(H367)),D367-H367,NA())</f>
        <v/>
      </c>
      <c r="M367" s="20">
        <f>IF(AND(ISNUMBER(E367),ISNUMBER(K367)),E367-K367,NA())</f>
        <v/>
      </c>
      <c r="N367" s="20">
        <f>IF(NOT(ISNUMBER($A367)),NA(),IF(COUNT(OFFSET(G367,1,0,Settings!$B$12,1))&lt;ROUNDUP(Settings!$B$12*Settings!$B$26,0),NA(),STDEV(OFFSET(G367,1,0,Settings!$B$12,1))*SQRT(Settings!$B$13)))</f>
        <v/>
      </c>
      <c r="O367" s="20">
        <f>IF(AND(ISNUMBER(E367),ISNUMBER(N367)),E367-N367,NA())</f>
        <v/>
      </c>
      <c r="P367" s="19">
        <f>IF(NOT(ISNUMBER($A367)),NA(),IF(OR($A367&lt;MIN(KW_TP!$A$2:$A$2501),$A367&gt;MAX(KW_TP!$A$2:$A$2501)),NA(),INDEX(KW_TP!$C$2:$C$2501,MATCH($A367,KW_TP!$A$2:$A$2501,1))))</f>
        <v/>
      </c>
      <c r="Q367" s="18">
        <f>IF(NOT(ISNUMBER($A367)),NA(),IFERROR(1*INDEX(BBG_Data!$J$2:$J$4000,MATCH($A367,BBG_Data!$I$2:$I$4000,0)),NA()))</f>
        <v/>
      </c>
      <c r="R367" s="18">
        <f>IF(NOT(ISNUMBER($A367)),NA(),IFERROR(1*INDEX(BBG_Data!$L$2:$L$4000,MATCH($A367,BBG_Data!$K$2:$K$4000,0)),NA()))</f>
        <v/>
      </c>
      <c r="S367" s="20">
        <f>IF(AND(ISNUMBER(B367),ISNUMBER(Q367),ISNUMBER(R367)),(B367-Q367-R367)*100,NA())</f>
        <v/>
      </c>
      <c r="T367" s="20">
        <f>IF(AND(ISNUMBER(B367),Settings!$B$17&gt;0),IF(ISNUMBER(INDEX($B:$B,Settings!$B$17)),(B367-INDEX($B:$B,Settings!$B$17))*100,NA()),NA())</f>
        <v/>
      </c>
      <c r="U367" s="20">
        <f>IF(AND(ISNUMBER(Q367),Settings!$B$17&gt;0),IF(ISNUMBER(INDEX($Q:$Q,Settings!$B$17)),(Q367-INDEX($Q:$Q,Settings!$B$17))*100,NA()),NA())</f>
        <v/>
      </c>
      <c r="V367" s="20">
        <f>IF(AND(ISNUMBER(R367),Settings!$B$17&gt;0),IF(ISNUMBER(INDEX($R:$R,Settings!$B$17)),(R367-INDEX($R:$R,Settings!$B$17))*100,NA()),NA())</f>
        <v/>
      </c>
      <c r="W367" s="20">
        <f>IF(AND(ISNUMBER(P367),Settings!$B$17&gt;0),IF(ISNUMBER(INDEX($P:$P,Settings!$B$17)),P367-INDEX($P:$P,Settings!$B$17),NA()),NA())</f>
        <v/>
      </c>
      <c r="X367" s="19">
        <f>IF(NOT(ISNUMBER($A367)),NA(),IF(OR($A367&lt;MIN(DKW_10Y!$A$2:$A$2918),$A367&gt;MAX(DKW_10Y!$A$2:$A$2918),Settings!$B$16&lt;MIN(DKW_10Y!$A$2:$A$2918)),NA(),(INDEX(DKW_10Y!$B$2:$B$2918,MATCH($A367,DKW_10Y!$A$2:$A$2918,1))-INDEX(DKW_10Y!$B$2:$B$2918,MATCH(Settings!$B$16,DKW_10Y!$A$2:$A$2918,1)))*100))</f>
        <v/>
      </c>
      <c r="Y367" s="19">
        <f>IF(NOT(ISNUMBER($A367)),NA(),IF(OR($A367&lt;MIN(DKW_10Y!$A$2:$A$2918),$A367&gt;MAX(DKW_10Y!$A$2:$A$2918),Settings!$B$16&lt;MIN(DKW_10Y!$A$2:$A$2918)),NA(),(INDEX(DKW_10Y!$C$2:$C$2918,MATCH($A367,DKW_10Y!$A$2:$A$2918,1))-INDEX(DKW_10Y!$C$2:$C$2918,MATCH(Settings!$B$16,DKW_10Y!$A$2:$A$2918,1)))*100))</f>
        <v/>
      </c>
      <c r="Z367" s="19">
        <f>IF(NOT(ISNUMBER($A367)),NA(),IF(OR($A367&lt;MIN(DKW_10Y!$A$2:$A$2918),$A367&gt;MAX(DKW_10Y!$A$2:$A$2918),Settings!$B$16&lt;MIN(DKW_10Y!$A$2:$A$2918)),NA(),(INDEX(DKW_10Y!$D$2:$D$2918,MATCH($A367,DKW_10Y!$A$2:$A$2918,1))-INDEX(DKW_10Y!$D$2:$D$2918,MATCH(Settings!$B$16,DKW_10Y!$A$2:$A$2918,1)))*100))</f>
        <v/>
      </c>
      <c r="AA367" s="19">
        <f>IF(NOT(ISNUMBER($A367)),NA(),IF(OR($A367&lt;MIN(DKW_10Y!$A$2:$A$2918),$A367&gt;MAX(DKW_10Y!$A$2:$A$2918),Settings!$B$16&lt;MIN(DKW_10Y!$A$2:$A$2918)),NA(),(INDEX(DKW_10Y!$E$2:$E$2918,MATCH($A367,DKW_10Y!$A$2:$A$2918,1))-INDEX(DKW_10Y!$E$2:$E$2918,MATCH(Settings!$B$16,DKW_10Y!$A$2:$A$2918,1)))*100))</f>
        <v/>
      </c>
      <c r="AB367" s="19">
        <f>IF(NOT(ISNUMBER($A367)),NA(),IF(OR($A367&lt;MIN(DKW_10Y!$A$2:$A$2918),$A367&gt;MAX(DKW_10Y!$A$2:$A$2918),Settings!$B$16&lt;MIN(DKW_10Y!$A$2:$A$2918)),NA(),(INDEX(DKW_10Y!$H$2:$H$2918,MATCH($A367,DKW_10Y!$A$2:$A$2918,1))-INDEX(DKW_10Y!$H$2:$H$2918,MATCH(Settings!$B$16,DKW_10Y!$A$2:$A$2918,1)))*100))</f>
        <v/>
      </c>
      <c r="AC367" s="18">
        <f>IF(NOT(ISNUMBER($A367)),NA(),IFERROR(1*INDEX(BBG_Data!$N$2:$N$4000,MATCH($A367,BBG_Data!$M$2:$M$4000,0)),NA()))</f>
        <v/>
      </c>
      <c r="AD367" s="18">
        <f>IF(NOT(ISNUMBER($A367)),NA(),IFERROR(1*INDEX(BBG_Data!$P$2:$P$4000,MATCH($A367,BBG_Data!$O$2:$O$4000,0)),NA()))</f>
        <v/>
      </c>
      <c r="AE367" s="18">
        <f>IF(NOT(ISNUMBER($A367)),NA(),IFERROR(1*INDEX(BBG_Data!$R$2:$R$4000,MATCH($A367,BBG_Data!$Q$2:$Q$4000,0)),NA()))</f>
        <v/>
      </c>
      <c r="AF367" s="20">
        <f>IF(AND(ISNUMBER(B367),ISNUMBER(AC367)),(B367-AC367)*100,NA())</f>
        <v/>
      </c>
      <c r="AG367" s="20">
        <f>IF(AND(ISNUMBER(AE367),ISNUMBER(AD367)),(AE367-AD367)*100,NA())</f>
        <v/>
      </c>
      <c r="AH367" s="19">
        <f>IF(NOT(ISNUMBER($A367)),NA(),IFERROR(INDEX(BBG_Data!$T$2:$T$4000,MATCH($A367,BBG_Data!$S$2:$S$4000,0))*Settings!$B$25,NA()))</f>
        <v/>
      </c>
      <c r="AI367" s="19">
        <f>IF(NOT(ISNUMBER($A367)),NA(),IFERROR(INDEX(BBG_Data!$V$2:$V$4000,MATCH($A367,BBG_Data!$U$2:$U$4000,0))*Settings!$B$25,NA()))</f>
        <v/>
      </c>
      <c r="AJ367" s="19">
        <f>IF(NOT(ISNUMBER($A367)),NA(),IFERROR(1*INDEX(BBG_Data!$X$2:$X$4000,MATCH($A367,BBG_Data!$W$2:$W$4000,0)),NA()))</f>
        <v/>
      </c>
      <c r="AK367" s="19">
        <f>IF(NOT(ISNUMBER($A367)),NA(),IFERROR(1*INDEX(BBG_Data!$Z$2:$Z$4000,MATCH($A367,BBG_Data!$Y$2:$Y$4000,0)),NA()))</f>
        <v/>
      </c>
    </row>
    <row r="368">
      <c r="A368" s="17">
        <f>IF(ISNUMBER(BBG_Data!A368),BBG_Data!A368,"")</f>
        <v/>
      </c>
      <c r="B368" s="18">
        <f>IF(AND(ISNUMBER($A368),ISNUMBER(BBG_Data!B368)),BBG_Data!B368,NA())</f>
        <v/>
      </c>
      <c r="C368" s="18">
        <f>IF(NOT(ISNUMBER($A368)),NA(),IFERROR(1*INDEX(BBG_Data!$D$2:$D$4000,MATCH($A368,BBG_Data!$C$2:$C$4000,0)),NA()))</f>
        <v/>
      </c>
      <c r="D368" s="19">
        <f>IF(NOT(ISNUMBER($A368)),NA(),IFERROR(1*INDEX(BBG_Data!$F$2:$F$4000,MATCH($A368,BBG_Data!$E$2:$E$4000,0)),NA()))</f>
        <v/>
      </c>
      <c r="E368" s="19">
        <f>IF(NOT(ISNUMBER($A368)),NA(),IFERROR(1*INDEX(BBG_Data!$H$2:$H$4000,MATCH($A368,BBG_Data!$G$2:$G$4000,0)),NA()))</f>
        <v/>
      </c>
      <c r="F368" s="20">
        <f>IF(AND(ISNUMBER(B368),ISNUMBER(B367)),IF(B368=B367,"",(B368-B367)*100),"")</f>
        <v/>
      </c>
      <c r="G368" s="20">
        <f>IF(AND(ISNUMBER(C368),ISNUMBER(C367)),IF(C368=C367,"",(C368-C367)*100),"")</f>
        <v/>
      </c>
      <c r="H368" s="20">
        <f>IF(OR(NOT(ISNUMBER($A368)),ROW()-2&lt;Settings!$B$11),NA(),IF(COUNT(OFFSET(F368,1-Settings!$B$11,0,Settings!$B$11,1))&lt;ROUNDUP(Settings!$B$11*Settings!$B$26,0),NA(),STDEV(OFFSET(F368,1-Settings!$B$11,0,Settings!$B$11,1))*SQRT(Settings!$B$13)))</f>
        <v/>
      </c>
      <c r="I368" s="20">
        <f>IF(OR(NOT(ISNUMBER($A368)),ROW()-2&lt;Settings!$B$12),NA(),IF(COUNT(OFFSET(F368,1-Settings!$B$12,0,Settings!$B$12,1))&lt;ROUNDUP(Settings!$B$12*Settings!$B$26,0),NA(),STDEV(OFFSET(F368,1-Settings!$B$12,0,Settings!$B$12,1))*SQRT(Settings!$B$13)))</f>
        <v/>
      </c>
      <c r="J368" s="20">
        <f>IF(OR(NOT(ISNUMBER($A368)),ROW()-2&lt;Settings!$B$11),NA(),IF(COUNT(OFFSET(G368,1-Settings!$B$11,0,Settings!$B$11,1))&lt;ROUNDUP(Settings!$B$11*Settings!$B$26,0),NA(),STDEV(OFFSET(G368,1-Settings!$B$11,0,Settings!$B$11,1))*SQRT(Settings!$B$13)))</f>
        <v/>
      </c>
      <c r="K368" s="20">
        <f>IF(OR(NOT(ISNUMBER($A368)),ROW()-2&lt;Settings!$B$12),NA(),IF(COUNT(OFFSET(G368,1-Settings!$B$12,0,Settings!$B$12,1))&lt;ROUNDUP(Settings!$B$12*Settings!$B$26,0),NA(),STDEV(OFFSET(G368,1-Settings!$B$12,0,Settings!$B$12,1))*SQRT(Settings!$B$13)))</f>
        <v/>
      </c>
      <c r="L368" s="20">
        <f>IF(AND(ISNUMBER(D368),ISNUMBER(H368)),D368-H368,NA())</f>
        <v/>
      </c>
      <c r="M368" s="20">
        <f>IF(AND(ISNUMBER(E368),ISNUMBER(K368)),E368-K368,NA())</f>
        <v/>
      </c>
      <c r="N368" s="20">
        <f>IF(NOT(ISNUMBER($A368)),NA(),IF(COUNT(OFFSET(G368,1,0,Settings!$B$12,1))&lt;ROUNDUP(Settings!$B$12*Settings!$B$26,0),NA(),STDEV(OFFSET(G368,1,0,Settings!$B$12,1))*SQRT(Settings!$B$13)))</f>
        <v/>
      </c>
      <c r="O368" s="20">
        <f>IF(AND(ISNUMBER(E368),ISNUMBER(N368)),E368-N368,NA())</f>
        <v/>
      </c>
      <c r="P368" s="19">
        <f>IF(NOT(ISNUMBER($A368)),NA(),IF(OR($A368&lt;MIN(KW_TP!$A$2:$A$2501),$A368&gt;MAX(KW_TP!$A$2:$A$2501)),NA(),INDEX(KW_TP!$C$2:$C$2501,MATCH($A368,KW_TP!$A$2:$A$2501,1))))</f>
        <v/>
      </c>
      <c r="Q368" s="18">
        <f>IF(NOT(ISNUMBER($A368)),NA(),IFERROR(1*INDEX(BBG_Data!$J$2:$J$4000,MATCH($A368,BBG_Data!$I$2:$I$4000,0)),NA()))</f>
        <v/>
      </c>
      <c r="R368" s="18">
        <f>IF(NOT(ISNUMBER($A368)),NA(),IFERROR(1*INDEX(BBG_Data!$L$2:$L$4000,MATCH($A368,BBG_Data!$K$2:$K$4000,0)),NA()))</f>
        <v/>
      </c>
      <c r="S368" s="20">
        <f>IF(AND(ISNUMBER(B368),ISNUMBER(Q368),ISNUMBER(R368)),(B368-Q368-R368)*100,NA())</f>
        <v/>
      </c>
      <c r="T368" s="20">
        <f>IF(AND(ISNUMBER(B368),Settings!$B$17&gt;0),IF(ISNUMBER(INDEX($B:$B,Settings!$B$17)),(B368-INDEX($B:$B,Settings!$B$17))*100,NA()),NA())</f>
        <v/>
      </c>
      <c r="U368" s="20">
        <f>IF(AND(ISNUMBER(Q368),Settings!$B$17&gt;0),IF(ISNUMBER(INDEX($Q:$Q,Settings!$B$17)),(Q368-INDEX($Q:$Q,Settings!$B$17))*100,NA()),NA())</f>
        <v/>
      </c>
      <c r="V368" s="20">
        <f>IF(AND(ISNUMBER(R368),Settings!$B$17&gt;0),IF(ISNUMBER(INDEX($R:$R,Settings!$B$17)),(R368-INDEX($R:$R,Settings!$B$17))*100,NA()),NA())</f>
        <v/>
      </c>
      <c r="W368" s="20">
        <f>IF(AND(ISNUMBER(P368),Settings!$B$17&gt;0),IF(ISNUMBER(INDEX($P:$P,Settings!$B$17)),P368-INDEX($P:$P,Settings!$B$17),NA()),NA())</f>
        <v/>
      </c>
      <c r="X368" s="19">
        <f>IF(NOT(ISNUMBER($A368)),NA(),IF(OR($A368&lt;MIN(DKW_10Y!$A$2:$A$2918),$A368&gt;MAX(DKW_10Y!$A$2:$A$2918),Settings!$B$16&lt;MIN(DKW_10Y!$A$2:$A$2918)),NA(),(INDEX(DKW_10Y!$B$2:$B$2918,MATCH($A368,DKW_10Y!$A$2:$A$2918,1))-INDEX(DKW_10Y!$B$2:$B$2918,MATCH(Settings!$B$16,DKW_10Y!$A$2:$A$2918,1)))*100))</f>
        <v/>
      </c>
      <c r="Y368" s="19">
        <f>IF(NOT(ISNUMBER($A368)),NA(),IF(OR($A368&lt;MIN(DKW_10Y!$A$2:$A$2918),$A368&gt;MAX(DKW_10Y!$A$2:$A$2918),Settings!$B$16&lt;MIN(DKW_10Y!$A$2:$A$2918)),NA(),(INDEX(DKW_10Y!$C$2:$C$2918,MATCH($A368,DKW_10Y!$A$2:$A$2918,1))-INDEX(DKW_10Y!$C$2:$C$2918,MATCH(Settings!$B$16,DKW_10Y!$A$2:$A$2918,1)))*100))</f>
        <v/>
      </c>
      <c r="Z368" s="19">
        <f>IF(NOT(ISNUMBER($A368)),NA(),IF(OR($A368&lt;MIN(DKW_10Y!$A$2:$A$2918),$A368&gt;MAX(DKW_10Y!$A$2:$A$2918),Settings!$B$16&lt;MIN(DKW_10Y!$A$2:$A$2918)),NA(),(INDEX(DKW_10Y!$D$2:$D$2918,MATCH($A368,DKW_10Y!$A$2:$A$2918,1))-INDEX(DKW_10Y!$D$2:$D$2918,MATCH(Settings!$B$16,DKW_10Y!$A$2:$A$2918,1)))*100))</f>
        <v/>
      </c>
      <c r="AA368" s="19">
        <f>IF(NOT(ISNUMBER($A368)),NA(),IF(OR($A368&lt;MIN(DKW_10Y!$A$2:$A$2918),$A368&gt;MAX(DKW_10Y!$A$2:$A$2918),Settings!$B$16&lt;MIN(DKW_10Y!$A$2:$A$2918)),NA(),(INDEX(DKW_10Y!$E$2:$E$2918,MATCH($A368,DKW_10Y!$A$2:$A$2918,1))-INDEX(DKW_10Y!$E$2:$E$2918,MATCH(Settings!$B$16,DKW_10Y!$A$2:$A$2918,1)))*100))</f>
        <v/>
      </c>
      <c r="AB368" s="19">
        <f>IF(NOT(ISNUMBER($A368)),NA(),IF(OR($A368&lt;MIN(DKW_10Y!$A$2:$A$2918),$A368&gt;MAX(DKW_10Y!$A$2:$A$2918),Settings!$B$16&lt;MIN(DKW_10Y!$A$2:$A$2918)),NA(),(INDEX(DKW_10Y!$H$2:$H$2918,MATCH($A368,DKW_10Y!$A$2:$A$2918,1))-INDEX(DKW_10Y!$H$2:$H$2918,MATCH(Settings!$B$16,DKW_10Y!$A$2:$A$2918,1)))*100))</f>
        <v/>
      </c>
      <c r="AC368" s="18">
        <f>IF(NOT(ISNUMBER($A368)),NA(),IFERROR(1*INDEX(BBG_Data!$N$2:$N$4000,MATCH($A368,BBG_Data!$M$2:$M$4000,0)),NA()))</f>
        <v/>
      </c>
      <c r="AD368" s="18">
        <f>IF(NOT(ISNUMBER($A368)),NA(),IFERROR(1*INDEX(BBG_Data!$P$2:$P$4000,MATCH($A368,BBG_Data!$O$2:$O$4000,0)),NA()))</f>
        <v/>
      </c>
      <c r="AE368" s="18">
        <f>IF(NOT(ISNUMBER($A368)),NA(),IFERROR(1*INDEX(BBG_Data!$R$2:$R$4000,MATCH($A368,BBG_Data!$Q$2:$Q$4000,0)),NA()))</f>
        <v/>
      </c>
      <c r="AF368" s="20">
        <f>IF(AND(ISNUMBER(B368),ISNUMBER(AC368)),(B368-AC368)*100,NA())</f>
        <v/>
      </c>
      <c r="AG368" s="20">
        <f>IF(AND(ISNUMBER(AE368),ISNUMBER(AD368)),(AE368-AD368)*100,NA())</f>
        <v/>
      </c>
      <c r="AH368" s="19">
        <f>IF(NOT(ISNUMBER($A368)),NA(),IFERROR(INDEX(BBG_Data!$T$2:$T$4000,MATCH($A368,BBG_Data!$S$2:$S$4000,0))*Settings!$B$25,NA()))</f>
        <v/>
      </c>
      <c r="AI368" s="19">
        <f>IF(NOT(ISNUMBER($A368)),NA(),IFERROR(INDEX(BBG_Data!$V$2:$V$4000,MATCH($A368,BBG_Data!$U$2:$U$4000,0))*Settings!$B$25,NA()))</f>
        <v/>
      </c>
      <c r="AJ368" s="19">
        <f>IF(NOT(ISNUMBER($A368)),NA(),IFERROR(1*INDEX(BBG_Data!$X$2:$X$4000,MATCH($A368,BBG_Data!$W$2:$W$4000,0)),NA()))</f>
        <v/>
      </c>
      <c r="AK368" s="19">
        <f>IF(NOT(ISNUMBER($A368)),NA(),IFERROR(1*INDEX(BBG_Data!$Z$2:$Z$4000,MATCH($A368,BBG_Data!$Y$2:$Y$4000,0)),NA()))</f>
        <v/>
      </c>
    </row>
    <row r="369">
      <c r="A369" s="17">
        <f>IF(ISNUMBER(BBG_Data!A369),BBG_Data!A369,"")</f>
        <v/>
      </c>
      <c r="B369" s="18">
        <f>IF(AND(ISNUMBER($A369),ISNUMBER(BBG_Data!B369)),BBG_Data!B369,NA())</f>
        <v/>
      </c>
      <c r="C369" s="18">
        <f>IF(NOT(ISNUMBER($A369)),NA(),IFERROR(1*INDEX(BBG_Data!$D$2:$D$4000,MATCH($A369,BBG_Data!$C$2:$C$4000,0)),NA()))</f>
        <v/>
      </c>
      <c r="D369" s="19">
        <f>IF(NOT(ISNUMBER($A369)),NA(),IFERROR(1*INDEX(BBG_Data!$F$2:$F$4000,MATCH($A369,BBG_Data!$E$2:$E$4000,0)),NA()))</f>
        <v/>
      </c>
      <c r="E369" s="19">
        <f>IF(NOT(ISNUMBER($A369)),NA(),IFERROR(1*INDEX(BBG_Data!$H$2:$H$4000,MATCH($A369,BBG_Data!$G$2:$G$4000,0)),NA()))</f>
        <v/>
      </c>
      <c r="F369" s="20">
        <f>IF(AND(ISNUMBER(B369),ISNUMBER(B368)),IF(B369=B368,"",(B369-B368)*100),"")</f>
        <v/>
      </c>
      <c r="G369" s="20">
        <f>IF(AND(ISNUMBER(C369),ISNUMBER(C368)),IF(C369=C368,"",(C369-C368)*100),"")</f>
        <v/>
      </c>
      <c r="H369" s="20">
        <f>IF(OR(NOT(ISNUMBER($A369)),ROW()-2&lt;Settings!$B$11),NA(),IF(COUNT(OFFSET(F369,1-Settings!$B$11,0,Settings!$B$11,1))&lt;ROUNDUP(Settings!$B$11*Settings!$B$26,0),NA(),STDEV(OFFSET(F369,1-Settings!$B$11,0,Settings!$B$11,1))*SQRT(Settings!$B$13)))</f>
        <v/>
      </c>
      <c r="I369" s="20">
        <f>IF(OR(NOT(ISNUMBER($A369)),ROW()-2&lt;Settings!$B$12),NA(),IF(COUNT(OFFSET(F369,1-Settings!$B$12,0,Settings!$B$12,1))&lt;ROUNDUP(Settings!$B$12*Settings!$B$26,0),NA(),STDEV(OFFSET(F369,1-Settings!$B$12,0,Settings!$B$12,1))*SQRT(Settings!$B$13)))</f>
        <v/>
      </c>
      <c r="J369" s="20">
        <f>IF(OR(NOT(ISNUMBER($A369)),ROW()-2&lt;Settings!$B$11),NA(),IF(COUNT(OFFSET(G369,1-Settings!$B$11,0,Settings!$B$11,1))&lt;ROUNDUP(Settings!$B$11*Settings!$B$26,0),NA(),STDEV(OFFSET(G369,1-Settings!$B$11,0,Settings!$B$11,1))*SQRT(Settings!$B$13)))</f>
        <v/>
      </c>
      <c r="K369" s="20">
        <f>IF(OR(NOT(ISNUMBER($A369)),ROW()-2&lt;Settings!$B$12),NA(),IF(COUNT(OFFSET(G369,1-Settings!$B$12,0,Settings!$B$12,1))&lt;ROUNDUP(Settings!$B$12*Settings!$B$26,0),NA(),STDEV(OFFSET(G369,1-Settings!$B$12,0,Settings!$B$12,1))*SQRT(Settings!$B$13)))</f>
        <v/>
      </c>
      <c r="L369" s="20">
        <f>IF(AND(ISNUMBER(D369),ISNUMBER(H369)),D369-H369,NA())</f>
        <v/>
      </c>
      <c r="M369" s="20">
        <f>IF(AND(ISNUMBER(E369),ISNUMBER(K369)),E369-K369,NA())</f>
        <v/>
      </c>
      <c r="N369" s="20">
        <f>IF(NOT(ISNUMBER($A369)),NA(),IF(COUNT(OFFSET(G369,1,0,Settings!$B$12,1))&lt;ROUNDUP(Settings!$B$12*Settings!$B$26,0),NA(),STDEV(OFFSET(G369,1,0,Settings!$B$12,1))*SQRT(Settings!$B$13)))</f>
        <v/>
      </c>
      <c r="O369" s="20">
        <f>IF(AND(ISNUMBER(E369),ISNUMBER(N369)),E369-N369,NA())</f>
        <v/>
      </c>
      <c r="P369" s="19">
        <f>IF(NOT(ISNUMBER($A369)),NA(),IF(OR($A369&lt;MIN(KW_TP!$A$2:$A$2501),$A369&gt;MAX(KW_TP!$A$2:$A$2501)),NA(),INDEX(KW_TP!$C$2:$C$2501,MATCH($A369,KW_TP!$A$2:$A$2501,1))))</f>
        <v/>
      </c>
      <c r="Q369" s="18">
        <f>IF(NOT(ISNUMBER($A369)),NA(),IFERROR(1*INDEX(BBG_Data!$J$2:$J$4000,MATCH($A369,BBG_Data!$I$2:$I$4000,0)),NA()))</f>
        <v/>
      </c>
      <c r="R369" s="18">
        <f>IF(NOT(ISNUMBER($A369)),NA(),IFERROR(1*INDEX(BBG_Data!$L$2:$L$4000,MATCH($A369,BBG_Data!$K$2:$K$4000,0)),NA()))</f>
        <v/>
      </c>
      <c r="S369" s="20">
        <f>IF(AND(ISNUMBER(B369),ISNUMBER(Q369),ISNUMBER(R369)),(B369-Q369-R369)*100,NA())</f>
        <v/>
      </c>
      <c r="T369" s="20">
        <f>IF(AND(ISNUMBER(B369),Settings!$B$17&gt;0),IF(ISNUMBER(INDEX($B:$B,Settings!$B$17)),(B369-INDEX($B:$B,Settings!$B$17))*100,NA()),NA())</f>
        <v/>
      </c>
      <c r="U369" s="20">
        <f>IF(AND(ISNUMBER(Q369),Settings!$B$17&gt;0),IF(ISNUMBER(INDEX($Q:$Q,Settings!$B$17)),(Q369-INDEX($Q:$Q,Settings!$B$17))*100,NA()),NA())</f>
        <v/>
      </c>
      <c r="V369" s="20">
        <f>IF(AND(ISNUMBER(R369),Settings!$B$17&gt;0),IF(ISNUMBER(INDEX($R:$R,Settings!$B$17)),(R369-INDEX($R:$R,Settings!$B$17))*100,NA()),NA())</f>
        <v/>
      </c>
      <c r="W369" s="20">
        <f>IF(AND(ISNUMBER(P369),Settings!$B$17&gt;0),IF(ISNUMBER(INDEX($P:$P,Settings!$B$17)),P369-INDEX($P:$P,Settings!$B$17),NA()),NA())</f>
        <v/>
      </c>
      <c r="X369" s="19">
        <f>IF(NOT(ISNUMBER($A369)),NA(),IF(OR($A369&lt;MIN(DKW_10Y!$A$2:$A$2918),$A369&gt;MAX(DKW_10Y!$A$2:$A$2918),Settings!$B$16&lt;MIN(DKW_10Y!$A$2:$A$2918)),NA(),(INDEX(DKW_10Y!$B$2:$B$2918,MATCH($A369,DKW_10Y!$A$2:$A$2918,1))-INDEX(DKW_10Y!$B$2:$B$2918,MATCH(Settings!$B$16,DKW_10Y!$A$2:$A$2918,1)))*100))</f>
        <v/>
      </c>
      <c r="Y369" s="19">
        <f>IF(NOT(ISNUMBER($A369)),NA(),IF(OR($A369&lt;MIN(DKW_10Y!$A$2:$A$2918),$A369&gt;MAX(DKW_10Y!$A$2:$A$2918),Settings!$B$16&lt;MIN(DKW_10Y!$A$2:$A$2918)),NA(),(INDEX(DKW_10Y!$C$2:$C$2918,MATCH($A369,DKW_10Y!$A$2:$A$2918,1))-INDEX(DKW_10Y!$C$2:$C$2918,MATCH(Settings!$B$16,DKW_10Y!$A$2:$A$2918,1)))*100))</f>
        <v/>
      </c>
      <c r="Z369" s="19">
        <f>IF(NOT(ISNUMBER($A369)),NA(),IF(OR($A369&lt;MIN(DKW_10Y!$A$2:$A$2918),$A369&gt;MAX(DKW_10Y!$A$2:$A$2918),Settings!$B$16&lt;MIN(DKW_10Y!$A$2:$A$2918)),NA(),(INDEX(DKW_10Y!$D$2:$D$2918,MATCH($A369,DKW_10Y!$A$2:$A$2918,1))-INDEX(DKW_10Y!$D$2:$D$2918,MATCH(Settings!$B$16,DKW_10Y!$A$2:$A$2918,1)))*100))</f>
        <v/>
      </c>
      <c r="AA369" s="19">
        <f>IF(NOT(ISNUMBER($A369)),NA(),IF(OR($A369&lt;MIN(DKW_10Y!$A$2:$A$2918),$A369&gt;MAX(DKW_10Y!$A$2:$A$2918),Settings!$B$16&lt;MIN(DKW_10Y!$A$2:$A$2918)),NA(),(INDEX(DKW_10Y!$E$2:$E$2918,MATCH($A369,DKW_10Y!$A$2:$A$2918,1))-INDEX(DKW_10Y!$E$2:$E$2918,MATCH(Settings!$B$16,DKW_10Y!$A$2:$A$2918,1)))*100))</f>
        <v/>
      </c>
      <c r="AB369" s="19">
        <f>IF(NOT(ISNUMBER($A369)),NA(),IF(OR($A369&lt;MIN(DKW_10Y!$A$2:$A$2918),$A369&gt;MAX(DKW_10Y!$A$2:$A$2918),Settings!$B$16&lt;MIN(DKW_10Y!$A$2:$A$2918)),NA(),(INDEX(DKW_10Y!$H$2:$H$2918,MATCH($A369,DKW_10Y!$A$2:$A$2918,1))-INDEX(DKW_10Y!$H$2:$H$2918,MATCH(Settings!$B$16,DKW_10Y!$A$2:$A$2918,1)))*100))</f>
        <v/>
      </c>
      <c r="AC369" s="18">
        <f>IF(NOT(ISNUMBER($A369)),NA(),IFERROR(1*INDEX(BBG_Data!$N$2:$N$4000,MATCH($A369,BBG_Data!$M$2:$M$4000,0)),NA()))</f>
        <v/>
      </c>
      <c r="AD369" s="18">
        <f>IF(NOT(ISNUMBER($A369)),NA(),IFERROR(1*INDEX(BBG_Data!$P$2:$P$4000,MATCH($A369,BBG_Data!$O$2:$O$4000,0)),NA()))</f>
        <v/>
      </c>
      <c r="AE369" s="18">
        <f>IF(NOT(ISNUMBER($A369)),NA(),IFERROR(1*INDEX(BBG_Data!$R$2:$R$4000,MATCH($A369,BBG_Data!$Q$2:$Q$4000,0)),NA()))</f>
        <v/>
      </c>
      <c r="AF369" s="20">
        <f>IF(AND(ISNUMBER(B369),ISNUMBER(AC369)),(B369-AC369)*100,NA())</f>
        <v/>
      </c>
      <c r="AG369" s="20">
        <f>IF(AND(ISNUMBER(AE369),ISNUMBER(AD369)),(AE369-AD369)*100,NA())</f>
        <v/>
      </c>
      <c r="AH369" s="19">
        <f>IF(NOT(ISNUMBER($A369)),NA(),IFERROR(INDEX(BBG_Data!$T$2:$T$4000,MATCH($A369,BBG_Data!$S$2:$S$4000,0))*Settings!$B$25,NA()))</f>
        <v/>
      </c>
      <c r="AI369" s="19">
        <f>IF(NOT(ISNUMBER($A369)),NA(),IFERROR(INDEX(BBG_Data!$V$2:$V$4000,MATCH($A369,BBG_Data!$U$2:$U$4000,0))*Settings!$B$25,NA()))</f>
        <v/>
      </c>
      <c r="AJ369" s="19">
        <f>IF(NOT(ISNUMBER($A369)),NA(),IFERROR(1*INDEX(BBG_Data!$X$2:$X$4000,MATCH($A369,BBG_Data!$W$2:$W$4000,0)),NA()))</f>
        <v/>
      </c>
      <c r="AK369" s="19">
        <f>IF(NOT(ISNUMBER($A369)),NA(),IFERROR(1*INDEX(BBG_Data!$Z$2:$Z$4000,MATCH($A369,BBG_Data!$Y$2:$Y$4000,0)),NA()))</f>
        <v/>
      </c>
    </row>
    <row r="370">
      <c r="A370" s="17">
        <f>IF(ISNUMBER(BBG_Data!A370),BBG_Data!A370,"")</f>
        <v/>
      </c>
      <c r="B370" s="18">
        <f>IF(AND(ISNUMBER($A370),ISNUMBER(BBG_Data!B370)),BBG_Data!B370,NA())</f>
        <v/>
      </c>
      <c r="C370" s="18">
        <f>IF(NOT(ISNUMBER($A370)),NA(),IFERROR(1*INDEX(BBG_Data!$D$2:$D$4000,MATCH($A370,BBG_Data!$C$2:$C$4000,0)),NA()))</f>
        <v/>
      </c>
      <c r="D370" s="19">
        <f>IF(NOT(ISNUMBER($A370)),NA(),IFERROR(1*INDEX(BBG_Data!$F$2:$F$4000,MATCH($A370,BBG_Data!$E$2:$E$4000,0)),NA()))</f>
        <v/>
      </c>
      <c r="E370" s="19">
        <f>IF(NOT(ISNUMBER($A370)),NA(),IFERROR(1*INDEX(BBG_Data!$H$2:$H$4000,MATCH($A370,BBG_Data!$G$2:$G$4000,0)),NA()))</f>
        <v/>
      </c>
      <c r="F370" s="20">
        <f>IF(AND(ISNUMBER(B370),ISNUMBER(B369)),IF(B370=B369,"",(B370-B369)*100),"")</f>
        <v/>
      </c>
      <c r="G370" s="20">
        <f>IF(AND(ISNUMBER(C370),ISNUMBER(C369)),IF(C370=C369,"",(C370-C369)*100),"")</f>
        <v/>
      </c>
      <c r="H370" s="20">
        <f>IF(OR(NOT(ISNUMBER($A370)),ROW()-2&lt;Settings!$B$11),NA(),IF(COUNT(OFFSET(F370,1-Settings!$B$11,0,Settings!$B$11,1))&lt;ROUNDUP(Settings!$B$11*Settings!$B$26,0),NA(),STDEV(OFFSET(F370,1-Settings!$B$11,0,Settings!$B$11,1))*SQRT(Settings!$B$13)))</f>
        <v/>
      </c>
      <c r="I370" s="20">
        <f>IF(OR(NOT(ISNUMBER($A370)),ROW()-2&lt;Settings!$B$12),NA(),IF(COUNT(OFFSET(F370,1-Settings!$B$12,0,Settings!$B$12,1))&lt;ROUNDUP(Settings!$B$12*Settings!$B$26,0),NA(),STDEV(OFFSET(F370,1-Settings!$B$12,0,Settings!$B$12,1))*SQRT(Settings!$B$13)))</f>
        <v/>
      </c>
      <c r="J370" s="20">
        <f>IF(OR(NOT(ISNUMBER($A370)),ROW()-2&lt;Settings!$B$11),NA(),IF(COUNT(OFFSET(G370,1-Settings!$B$11,0,Settings!$B$11,1))&lt;ROUNDUP(Settings!$B$11*Settings!$B$26,0),NA(),STDEV(OFFSET(G370,1-Settings!$B$11,0,Settings!$B$11,1))*SQRT(Settings!$B$13)))</f>
        <v/>
      </c>
      <c r="K370" s="20">
        <f>IF(OR(NOT(ISNUMBER($A370)),ROW()-2&lt;Settings!$B$12),NA(),IF(COUNT(OFFSET(G370,1-Settings!$B$12,0,Settings!$B$12,1))&lt;ROUNDUP(Settings!$B$12*Settings!$B$26,0),NA(),STDEV(OFFSET(G370,1-Settings!$B$12,0,Settings!$B$12,1))*SQRT(Settings!$B$13)))</f>
        <v/>
      </c>
      <c r="L370" s="20">
        <f>IF(AND(ISNUMBER(D370),ISNUMBER(H370)),D370-H370,NA())</f>
        <v/>
      </c>
      <c r="M370" s="20">
        <f>IF(AND(ISNUMBER(E370),ISNUMBER(K370)),E370-K370,NA())</f>
        <v/>
      </c>
      <c r="N370" s="20">
        <f>IF(NOT(ISNUMBER($A370)),NA(),IF(COUNT(OFFSET(G370,1,0,Settings!$B$12,1))&lt;ROUNDUP(Settings!$B$12*Settings!$B$26,0),NA(),STDEV(OFFSET(G370,1,0,Settings!$B$12,1))*SQRT(Settings!$B$13)))</f>
        <v/>
      </c>
      <c r="O370" s="20">
        <f>IF(AND(ISNUMBER(E370),ISNUMBER(N370)),E370-N370,NA())</f>
        <v/>
      </c>
      <c r="P370" s="19">
        <f>IF(NOT(ISNUMBER($A370)),NA(),IF(OR($A370&lt;MIN(KW_TP!$A$2:$A$2501),$A370&gt;MAX(KW_TP!$A$2:$A$2501)),NA(),INDEX(KW_TP!$C$2:$C$2501,MATCH($A370,KW_TP!$A$2:$A$2501,1))))</f>
        <v/>
      </c>
      <c r="Q370" s="18">
        <f>IF(NOT(ISNUMBER($A370)),NA(),IFERROR(1*INDEX(BBG_Data!$J$2:$J$4000,MATCH($A370,BBG_Data!$I$2:$I$4000,0)),NA()))</f>
        <v/>
      </c>
      <c r="R370" s="18">
        <f>IF(NOT(ISNUMBER($A370)),NA(),IFERROR(1*INDEX(BBG_Data!$L$2:$L$4000,MATCH($A370,BBG_Data!$K$2:$K$4000,0)),NA()))</f>
        <v/>
      </c>
      <c r="S370" s="20">
        <f>IF(AND(ISNUMBER(B370),ISNUMBER(Q370),ISNUMBER(R370)),(B370-Q370-R370)*100,NA())</f>
        <v/>
      </c>
      <c r="T370" s="20">
        <f>IF(AND(ISNUMBER(B370),Settings!$B$17&gt;0),IF(ISNUMBER(INDEX($B:$B,Settings!$B$17)),(B370-INDEX($B:$B,Settings!$B$17))*100,NA()),NA())</f>
        <v/>
      </c>
      <c r="U370" s="20">
        <f>IF(AND(ISNUMBER(Q370),Settings!$B$17&gt;0),IF(ISNUMBER(INDEX($Q:$Q,Settings!$B$17)),(Q370-INDEX($Q:$Q,Settings!$B$17))*100,NA()),NA())</f>
        <v/>
      </c>
      <c r="V370" s="20">
        <f>IF(AND(ISNUMBER(R370),Settings!$B$17&gt;0),IF(ISNUMBER(INDEX($R:$R,Settings!$B$17)),(R370-INDEX($R:$R,Settings!$B$17))*100,NA()),NA())</f>
        <v/>
      </c>
      <c r="W370" s="20">
        <f>IF(AND(ISNUMBER(P370),Settings!$B$17&gt;0),IF(ISNUMBER(INDEX($P:$P,Settings!$B$17)),P370-INDEX($P:$P,Settings!$B$17),NA()),NA())</f>
        <v/>
      </c>
      <c r="X370" s="19">
        <f>IF(NOT(ISNUMBER($A370)),NA(),IF(OR($A370&lt;MIN(DKW_10Y!$A$2:$A$2918),$A370&gt;MAX(DKW_10Y!$A$2:$A$2918),Settings!$B$16&lt;MIN(DKW_10Y!$A$2:$A$2918)),NA(),(INDEX(DKW_10Y!$B$2:$B$2918,MATCH($A370,DKW_10Y!$A$2:$A$2918,1))-INDEX(DKW_10Y!$B$2:$B$2918,MATCH(Settings!$B$16,DKW_10Y!$A$2:$A$2918,1)))*100))</f>
        <v/>
      </c>
      <c r="Y370" s="19">
        <f>IF(NOT(ISNUMBER($A370)),NA(),IF(OR($A370&lt;MIN(DKW_10Y!$A$2:$A$2918),$A370&gt;MAX(DKW_10Y!$A$2:$A$2918),Settings!$B$16&lt;MIN(DKW_10Y!$A$2:$A$2918)),NA(),(INDEX(DKW_10Y!$C$2:$C$2918,MATCH($A370,DKW_10Y!$A$2:$A$2918,1))-INDEX(DKW_10Y!$C$2:$C$2918,MATCH(Settings!$B$16,DKW_10Y!$A$2:$A$2918,1)))*100))</f>
        <v/>
      </c>
      <c r="Z370" s="19">
        <f>IF(NOT(ISNUMBER($A370)),NA(),IF(OR($A370&lt;MIN(DKW_10Y!$A$2:$A$2918),$A370&gt;MAX(DKW_10Y!$A$2:$A$2918),Settings!$B$16&lt;MIN(DKW_10Y!$A$2:$A$2918)),NA(),(INDEX(DKW_10Y!$D$2:$D$2918,MATCH($A370,DKW_10Y!$A$2:$A$2918,1))-INDEX(DKW_10Y!$D$2:$D$2918,MATCH(Settings!$B$16,DKW_10Y!$A$2:$A$2918,1)))*100))</f>
        <v/>
      </c>
      <c r="AA370" s="19">
        <f>IF(NOT(ISNUMBER($A370)),NA(),IF(OR($A370&lt;MIN(DKW_10Y!$A$2:$A$2918),$A370&gt;MAX(DKW_10Y!$A$2:$A$2918),Settings!$B$16&lt;MIN(DKW_10Y!$A$2:$A$2918)),NA(),(INDEX(DKW_10Y!$E$2:$E$2918,MATCH($A370,DKW_10Y!$A$2:$A$2918,1))-INDEX(DKW_10Y!$E$2:$E$2918,MATCH(Settings!$B$16,DKW_10Y!$A$2:$A$2918,1)))*100))</f>
        <v/>
      </c>
      <c r="AB370" s="19">
        <f>IF(NOT(ISNUMBER($A370)),NA(),IF(OR($A370&lt;MIN(DKW_10Y!$A$2:$A$2918),$A370&gt;MAX(DKW_10Y!$A$2:$A$2918),Settings!$B$16&lt;MIN(DKW_10Y!$A$2:$A$2918)),NA(),(INDEX(DKW_10Y!$H$2:$H$2918,MATCH($A370,DKW_10Y!$A$2:$A$2918,1))-INDEX(DKW_10Y!$H$2:$H$2918,MATCH(Settings!$B$16,DKW_10Y!$A$2:$A$2918,1)))*100))</f>
        <v/>
      </c>
      <c r="AC370" s="18">
        <f>IF(NOT(ISNUMBER($A370)),NA(),IFERROR(1*INDEX(BBG_Data!$N$2:$N$4000,MATCH($A370,BBG_Data!$M$2:$M$4000,0)),NA()))</f>
        <v/>
      </c>
      <c r="AD370" s="18">
        <f>IF(NOT(ISNUMBER($A370)),NA(),IFERROR(1*INDEX(BBG_Data!$P$2:$P$4000,MATCH($A370,BBG_Data!$O$2:$O$4000,0)),NA()))</f>
        <v/>
      </c>
      <c r="AE370" s="18">
        <f>IF(NOT(ISNUMBER($A370)),NA(),IFERROR(1*INDEX(BBG_Data!$R$2:$R$4000,MATCH($A370,BBG_Data!$Q$2:$Q$4000,0)),NA()))</f>
        <v/>
      </c>
      <c r="AF370" s="20">
        <f>IF(AND(ISNUMBER(B370),ISNUMBER(AC370)),(B370-AC370)*100,NA())</f>
        <v/>
      </c>
      <c r="AG370" s="20">
        <f>IF(AND(ISNUMBER(AE370),ISNUMBER(AD370)),(AE370-AD370)*100,NA())</f>
        <v/>
      </c>
      <c r="AH370" s="19">
        <f>IF(NOT(ISNUMBER($A370)),NA(),IFERROR(INDEX(BBG_Data!$T$2:$T$4000,MATCH($A370,BBG_Data!$S$2:$S$4000,0))*Settings!$B$25,NA()))</f>
        <v/>
      </c>
      <c r="AI370" s="19">
        <f>IF(NOT(ISNUMBER($A370)),NA(),IFERROR(INDEX(BBG_Data!$V$2:$V$4000,MATCH($A370,BBG_Data!$U$2:$U$4000,0))*Settings!$B$25,NA()))</f>
        <v/>
      </c>
      <c r="AJ370" s="19">
        <f>IF(NOT(ISNUMBER($A370)),NA(),IFERROR(1*INDEX(BBG_Data!$X$2:$X$4000,MATCH($A370,BBG_Data!$W$2:$W$4000,0)),NA()))</f>
        <v/>
      </c>
      <c r="AK370" s="19">
        <f>IF(NOT(ISNUMBER($A370)),NA(),IFERROR(1*INDEX(BBG_Data!$Z$2:$Z$4000,MATCH($A370,BBG_Data!$Y$2:$Y$4000,0)),NA()))</f>
        <v/>
      </c>
    </row>
    <row r="371">
      <c r="A371" s="17">
        <f>IF(ISNUMBER(BBG_Data!A371),BBG_Data!A371,"")</f>
        <v/>
      </c>
      <c r="B371" s="18">
        <f>IF(AND(ISNUMBER($A371),ISNUMBER(BBG_Data!B371)),BBG_Data!B371,NA())</f>
        <v/>
      </c>
      <c r="C371" s="18">
        <f>IF(NOT(ISNUMBER($A371)),NA(),IFERROR(1*INDEX(BBG_Data!$D$2:$D$4000,MATCH($A371,BBG_Data!$C$2:$C$4000,0)),NA()))</f>
        <v/>
      </c>
      <c r="D371" s="19">
        <f>IF(NOT(ISNUMBER($A371)),NA(),IFERROR(1*INDEX(BBG_Data!$F$2:$F$4000,MATCH($A371,BBG_Data!$E$2:$E$4000,0)),NA()))</f>
        <v/>
      </c>
      <c r="E371" s="19">
        <f>IF(NOT(ISNUMBER($A371)),NA(),IFERROR(1*INDEX(BBG_Data!$H$2:$H$4000,MATCH($A371,BBG_Data!$G$2:$G$4000,0)),NA()))</f>
        <v/>
      </c>
      <c r="F371" s="20">
        <f>IF(AND(ISNUMBER(B371),ISNUMBER(B370)),IF(B371=B370,"",(B371-B370)*100),"")</f>
        <v/>
      </c>
      <c r="G371" s="20">
        <f>IF(AND(ISNUMBER(C371),ISNUMBER(C370)),IF(C371=C370,"",(C371-C370)*100),"")</f>
        <v/>
      </c>
      <c r="H371" s="20">
        <f>IF(OR(NOT(ISNUMBER($A371)),ROW()-2&lt;Settings!$B$11),NA(),IF(COUNT(OFFSET(F371,1-Settings!$B$11,0,Settings!$B$11,1))&lt;ROUNDUP(Settings!$B$11*Settings!$B$26,0),NA(),STDEV(OFFSET(F371,1-Settings!$B$11,0,Settings!$B$11,1))*SQRT(Settings!$B$13)))</f>
        <v/>
      </c>
      <c r="I371" s="20">
        <f>IF(OR(NOT(ISNUMBER($A371)),ROW()-2&lt;Settings!$B$12),NA(),IF(COUNT(OFFSET(F371,1-Settings!$B$12,0,Settings!$B$12,1))&lt;ROUNDUP(Settings!$B$12*Settings!$B$26,0),NA(),STDEV(OFFSET(F371,1-Settings!$B$12,0,Settings!$B$12,1))*SQRT(Settings!$B$13)))</f>
        <v/>
      </c>
      <c r="J371" s="20">
        <f>IF(OR(NOT(ISNUMBER($A371)),ROW()-2&lt;Settings!$B$11),NA(),IF(COUNT(OFFSET(G371,1-Settings!$B$11,0,Settings!$B$11,1))&lt;ROUNDUP(Settings!$B$11*Settings!$B$26,0),NA(),STDEV(OFFSET(G371,1-Settings!$B$11,0,Settings!$B$11,1))*SQRT(Settings!$B$13)))</f>
        <v/>
      </c>
      <c r="K371" s="20">
        <f>IF(OR(NOT(ISNUMBER($A371)),ROW()-2&lt;Settings!$B$12),NA(),IF(COUNT(OFFSET(G371,1-Settings!$B$12,0,Settings!$B$12,1))&lt;ROUNDUP(Settings!$B$12*Settings!$B$26,0),NA(),STDEV(OFFSET(G371,1-Settings!$B$12,0,Settings!$B$12,1))*SQRT(Settings!$B$13)))</f>
        <v/>
      </c>
      <c r="L371" s="20">
        <f>IF(AND(ISNUMBER(D371),ISNUMBER(H371)),D371-H371,NA())</f>
        <v/>
      </c>
      <c r="M371" s="20">
        <f>IF(AND(ISNUMBER(E371),ISNUMBER(K371)),E371-K371,NA())</f>
        <v/>
      </c>
      <c r="N371" s="20">
        <f>IF(NOT(ISNUMBER($A371)),NA(),IF(COUNT(OFFSET(G371,1,0,Settings!$B$12,1))&lt;ROUNDUP(Settings!$B$12*Settings!$B$26,0),NA(),STDEV(OFFSET(G371,1,0,Settings!$B$12,1))*SQRT(Settings!$B$13)))</f>
        <v/>
      </c>
      <c r="O371" s="20">
        <f>IF(AND(ISNUMBER(E371),ISNUMBER(N371)),E371-N371,NA())</f>
        <v/>
      </c>
      <c r="P371" s="19">
        <f>IF(NOT(ISNUMBER($A371)),NA(),IF(OR($A371&lt;MIN(KW_TP!$A$2:$A$2501),$A371&gt;MAX(KW_TP!$A$2:$A$2501)),NA(),INDEX(KW_TP!$C$2:$C$2501,MATCH($A371,KW_TP!$A$2:$A$2501,1))))</f>
        <v/>
      </c>
      <c r="Q371" s="18">
        <f>IF(NOT(ISNUMBER($A371)),NA(),IFERROR(1*INDEX(BBG_Data!$J$2:$J$4000,MATCH($A371,BBG_Data!$I$2:$I$4000,0)),NA()))</f>
        <v/>
      </c>
      <c r="R371" s="18">
        <f>IF(NOT(ISNUMBER($A371)),NA(),IFERROR(1*INDEX(BBG_Data!$L$2:$L$4000,MATCH($A371,BBG_Data!$K$2:$K$4000,0)),NA()))</f>
        <v/>
      </c>
      <c r="S371" s="20">
        <f>IF(AND(ISNUMBER(B371),ISNUMBER(Q371),ISNUMBER(R371)),(B371-Q371-R371)*100,NA())</f>
        <v/>
      </c>
      <c r="T371" s="20">
        <f>IF(AND(ISNUMBER(B371),Settings!$B$17&gt;0),IF(ISNUMBER(INDEX($B:$B,Settings!$B$17)),(B371-INDEX($B:$B,Settings!$B$17))*100,NA()),NA())</f>
        <v/>
      </c>
      <c r="U371" s="20">
        <f>IF(AND(ISNUMBER(Q371),Settings!$B$17&gt;0),IF(ISNUMBER(INDEX($Q:$Q,Settings!$B$17)),(Q371-INDEX($Q:$Q,Settings!$B$17))*100,NA()),NA())</f>
        <v/>
      </c>
      <c r="V371" s="20">
        <f>IF(AND(ISNUMBER(R371),Settings!$B$17&gt;0),IF(ISNUMBER(INDEX($R:$R,Settings!$B$17)),(R371-INDEX($R:$R,Settings!$B$17))*100,NA()),NA())</f>
        <v/>
      </c>
      <c r="W371" s="20">
        <f>IF(AND(ISNUMBER(P371),Settings!$B$17&gt;0),IF(ISNUMBER(INDEX($P:$P,Settings!$B$17)),P371-INDEX($P:$P,Settings!$B$17),NA()),NA())</f>
        <v/>
      </c>
      <c r="X371" s="19">
        <f>IF(NOT(ISNUMBER($A371)),NA(),IF(OR($A371&lt;MIN(DKW_10Y!$A$2:$A$2918),$A371&gt;MAX(DKW_10Y!$A$2:$A$2918),Settings!$B$16&lt;MIN(DKW_10Y!$A$2:$A$2918)),NA(),(INDEX(DKW_10Y!$B$2:$B$2918,MATCH($A371,DKW_10Y!$A$2:$A$2918,1))-INDEX(DKW_10Y!$B$2:$B$2918,MATCH(Settings!$B$16,DKW_10Y!$A$2:$A$2918,1)))*100))</f>
        <v/>
      </c>
      <c r="Y371" s="19">
        <f>IF(NOT(ISNUMBER($A371)),NA(),IF(OR($A371&lt;MIN(DKW_10Y!$A$2:$A$2918),$A371&gt;MAX(DKW_10Y!$A$2:$A$2918),Settings!$B$16&lt;MIN(DKW_10Y!$A$2:$A$2918)),NA(),(INDEX(DKW_10Y!$C$2:$C$2918,MATCH($A371,DKW_10Y!$A$2:$A$2918,1))-INDEX(DKW_10Y!$C$2:$C$2918,MATCH(Settings!$B$16,DKW_10Y!$A$2:$A$2918,1)))*100))</f>
        <v/>
      </c>
      <c r="Z371" s="19">
        <f>IF(NOT(ISNUMBER($A371)),NA(),IF(OR($A371&lt;MIN(DKW_10Y!$A$2:$A$2918),$A371&gt;MAX(DKW_10Y!$A$2:$A$2918),Settings!$B$16&lt;MIN(DKW_10Y!$A$2:$A$2918)),NA(),(INDEX(DKW_10Y!$D$2:$D$2918,MATCH($A371,DKW_10Y!$A$2:$A$2918,1))-INDEX(DKW_10Y!$D$2:$D$2918,MATCH(Settings!$B$16,DKW_10Y!$A$2:$A$2918,1)))*100))</f>
        <v/>
      </c>
      <c r="AA371" s="19">
        <f>IF(NOT(ISNUMBER($A371)),NA(),IF(OR($A371&lt;MIN(DKW_10Y!$A$2:$A$2918),$A371&gt;MAX(DKW_10Y!$A$2:$A$2918),Settings!$B$16&lt;MIN(DKW_10Y!$A$2:$A$2918)),NA(),(INDEX(DKW_10Y!$E$2:$E$2918,MATCH($A371,DKW_10Y!$A$2:$A$2918,1))-INDEX(DKW_10Y!$E$2:$E$2918,MATCH(Settings!$B$16,DKW_10Y!$A$2:$A$2918,1)))*100))</f>
        <v/>
      </c>
      <c r="AB371" s="19">
        <f>IF(NOT(ISNUMBER($A371)),NA(),IF(OR($A371&lt;MIN(DKW_10Y!$A$2:$A$2918),$A371&gt;MAX(DKW_10Y!$A$2:$A$2918),Settings!$B$16&lt;MIN(DKW_10Y!$A$2:$A$2918)),NA(),(INDEX(DKW_10Y!$H$2:$H$2918,MATCH($A371,DKW_10Y!$A$2:$A$2918,1))-INDEX(DKW_10Y!$H$2:$H$2918,MATCH(Settings!$B$16,DKW_10Y!$A$2:$A$2918,1)))*100))</f>
        <v/>
      </c>
      <c r="AC371" s="18">
        <f>IF(NOT(ISNUMBER($A371)),NA(),IFERROR(1*INDEX(BBG_Data!$N$2:$N$4000,MATCH($A371,BBG_Data!$M$2:$M$4000,0)),NA()))</f>
        <v/>
      </c>
      <c r="AD371" s="18">
        <f>IF(NOT(ISNUMBER($A371)),NA(),IFERROR(1*INDEX(BBG_Data!$P$2:$P$4000,MATCH($A371,BBG_Data!$O$2:$O$4000,0)),NA()))</f>
        <v/>
      </c>
      <c r="AE371" s="18">
        <f>IF(NOT(ISNUMBER($A371)),NA(),IFERROR(1*INDEX(BBG_Data!$R$2:$R$4000,MATCH($A371,BBG_Data!$Q$2:$Q$4000,0)),NA()))</f>
        <v/>
      </c>
      <c r="AF371" s="20">
        <f>IF(AND(ISNUMBER(B371),ISNUMBER(AC371)),(B371-AC371)*100,NA())</f>
        <v/>
      </c>
      <c r="AG371" s="20">
        <f>IF(AND(ISNUMBER(AE371),ISNUMBER(AD371)),(AE371-AD371)*100,NA())</f>
        <v/>
      </c>
      <c r="AH371" s="19">
        <f>IF(NOT(ISNUMBER($A371)),NA(),IFERROR(INDEX(BBG_Data!$T$2:$T$4000,MATCH($A371,BBG_Data!$S$2:$S$4000,0))*Settings!$B$25,NA()))</f>
        <v/>
      </c>
      <c r="AI371" s="19">
        <f>IF(NOT(ISNUMBER($A371)),NA(),IFERROR(INDEX(BBG_Data!$V$2:$V$4000,MATCH($A371,BBG_Data!$U$2:$U$4000,0))*Settings!$B$25,NA()))</f>
        <v/>
      </c>
      <c r="AJ371" s="19">
        <f>IF(NOT(ISNUMBER($A371)),NA(),IFERROR(1*INDEX(BBG_Data!$X$2:$X$4000,MATCH($A371,BBG_Data!$W$2:$W$4000,0)),NA()))</f>
        <v/>
      </c>
      <c r="AK371" s="19">
        <f>IF(NOT(ISNUMBER($A371)),NA(),IFERROR(1*INDEX(BBG_Data!$Z$2:$Z$4000,MATCH($A371,BBG_Data!$Y$2:$Y$4000,0)),NA()))</f>
        <v/>
      </c>
    </row>
    <row r="372">
      <c r="A372" s="17">
        <f>IF(ISNUMBER(BBG_Data!A372),BBG_Data!A372,"")</f>
        <v/>
      </c>
      <c r="B372" s="18">
        <f>IF(AND(ISNUMBER($A372),ISNUMBER(BBG_Data!B372)),BBG_Data!B372,NA())</f>
        <v/>
      </c>
      <c r="C372" s="18">
        <f>IF(NOT(ISNUMBER($A372)),NA(),IFERROR(1*INDEX(BBG_Data!$D$2:$D$4000,MATCH($A372,BBG_Data!$C$2:$C$4000,0)),NA()))</f>
        <v/>
      </c>
      <c r="D372" s="19">
        <f>IF(NOT(ISNUMBER($A372)),NA(),IFERROR(1*INDEX(BBG_Data!$F$2:$F$4000,MATCH($A372,BBG_Data!$E$2:$E$4000,0)),NA()))</f>
        <v/>
      </c>
      <c r="E372" s="19">
        <f>IF(NOT(ISNUMBER($A372)),NA(),IFERROR(1*INDEX(BBG_Data!$H$2:$H$4000,MATCH($A372,BBG_Data!$G$2:$G$4000,0)),NA()))</f>
        <v/>
      </c>
      <c r="F372" s="20">
        <f>IF(AND(ISNUMBER(B372),ISNUMBER(B371)),IF(B372=B371,"",(B372-B371)*100),"")</f>
        <v/>
      </c>
      <c r="G372" s="20">
        <f>IF(AND(ISNUMBER(C372),ISNUMBER(C371)),IF(C372=C371,"",(C372-C371)*100),"")</f>
        <v/>
      </c>
      <c r="H372" s="20">
        <f>IF(OR(NOT(ISNUMBER($A372)),ROW()-2&lt;Settings!$B$11),NA(),IF(COUNT(OFFSET(F372,1-Settings!$B$11,0,Settings!$B$11,1))&lt;ROUNDUP(Settings!$B$11*Settings!$B$26,0),NA(),STDEV(OFFSET(F372,1-Settings!$B$11,0,Settings!$B$11,1))*SQRT(Settings!$B$13)))</f>
        <v/>
      </c>
      <c r="I372" s="20">
        <f>IF(OR(NOT(ISNUMBER($A372)),ROW()-2&lt;Settings!$B$12),NA(),IF(COUNT(OFFSET(F372,1-Settings!$B$12,0,Settings!$B$12,1))&lt;ROUNDUP(Settings!$B$12*Settings!$B$26,0),NA(),STDEV(OFFSET(F372,1-Settings!$B$12,0,Settings!$B$12,1))*SQRT(Settings!$B$13)))</f>
        <v/>
      </c>
      <c r="J372" s="20">
        <f>IF(OR(NOT(ISNUMBER($A372)),ROW()-2&lt;Settings!$B$11),NA(),IF(COUNT(OFFSET(G372,1-Settings!$B$11,0,Settings!$B$11,1))&lt;ROUNDUP(Settings!$B$11*Settings!$B$26,0),NA(),STDEV(OFFSET(G372,1-Settings!$B$11,0,Settings!$B$11,1))*SQRT(Settings!$B$13)))</f>
        <v/>
      </c>
      <c r="K372" s="20">
        <f>IF(OR(NOT(ISNUMBER($A372)),ROW()-2&lt;Settings!$B$12),NA(),IF(COUNT(OFFSET(G372,1-Settings!$B$12,0,Settings!$B$12,1))&lt;ROUNDUP(Settings!$B$12*Settings!$B$26,0),NA(),STDEV(OFFSET(G372,1-Settings!$B$12,0,Settings!$B$12,1))*SQRT(Settings!$B$13)))</f>
        <v/>
      </c>
      <c r="L372" s="20">
        <f>IF(AND(ISNUMBER(D372),ISNUMBER(H372)),D372-H372,NA())</f>
        <v/>
      </c>
      <c r="M372" s="20">
        <f>IF(AND(ISNUMBER(E372),ISNUMBER(K372)),E372-K372,NA())</f>
        <v/>
      </c>
      <c r="N372" s="20">
        <f>IF(NOT(ISNUMBER($A372)),NA(),IF(COUNT(OFFSET(G372,1,0,Settings!$B$12,1))&lt;ROUNDUP(Settings!$B$12*Settings!$B$26,0),NA(),STDEV(OFFSET(G372,1,0,Settings!$B$12,1))*SQRT(Settings!$B$13)))</f>
        <v/>
      </c>
      <c r="O372" s="20">
        <f>IF(AND(ISNUMBER(E372),ISNUMBER(N372)),E372-N372,NA())</f>
        <v/>
      </c>
      <c r="P372" s="19">
        <f>IF(NOT(ISNUMBER($A372)),NA(),IF(OR($A372&lt;MIN(KW_TP!$A$2:$A$2501),$A372&gt;MAX(KW_TP!$A$2:$A$2501)),NA(),INDEX(KW_TP!$C$2:$C$2501,MATCH($A372,KW_TP!$A$2:$A$2501,1))))</f>
        <v/>
      </c>
      <c r="Q372" s="18">
        <f>IF(NOT(ISNUMBER($A372)),NA(),IFERROR(1*INDEX(BBG_Data!$J$2:$J$4000,MATCH($A372,BBG_Data!$I$2:$I$4000,0)),NA()))</f>
        <v/>
      </c>
      <c r="R372" s="18">
        <f>IF(NOT(ISNUMBER($A372)),NA(),IFERROR(1*INDEX(BBG_Data!$L$2:$L$4000,MATCH($A372,BBG_Data!$K$2:$K$4000,0)),NA()))</f>
        <v/>
      </c>
      <c r="S372" s="20">
        <f>IF(AND(ISNUMBER(B372),ISNUMBER(Q372),ISNUMBER(R372)),(B372-Q372-R372)*100,NA())</f>
        <v/>
      </c>
      <c r="T372" s="20">
        <f>IF(AND(ISNUMBER(B372),Settings!$B$17&gt;0),IF(ISNUMBER(INDEX($B:$B,Settings!$B$17)),(B372-INDEX($B:$B,Settings!$B$17))*100,NA()),NA())</f>
        <v/>
      </c>
      <c r="U372" s="20">
        <f>IF(AND(ISNUMBER(Q372),Settings!$B$17&gt;0),IF(ISNUMBER(INDEX($Q:$Q,Settings!$B$17)),(Q372-INDEX($Q:$Q,Settings!$B$17))*100,NA()),NA())</f>
        <v/>
      </c>
      <c r="V372" s="20">
        <f>IF(AND(ISNUMBER(R372),Settings!$B$17&gt;0),IF(ISNUMBER(INDEX($R:$R,Settings!$B$17)),(R372-INDEX($R:$R,Settings!$B$17))*100,NA()),NA())</f>
        <v/>
      </c>
      <c r="W372" s="20">
        <f>IF(AND(ISNUMBER(P372),Settings!$B$17&gt;0),IF(ISNUMBER(INDEX($P:$P,Settings!$B$17)),P372-INDEX($P:$P,Settings!$B$17),NA()),NA())</f>
        <v/>
      </c>
      <c r="X372" s="19">
        <f>IF(NOT(ISNUMBER($A372)),NA(),IF(OR($A372&lt;MIN(DKW_10Y!$A$2:$A$2918),$A372&gt;MAX(DKW_10Y!$A$2:$A$2918),Settings!$B$16&lt;MIN(DKW_10Y!$A$2:$A$2918)),NA(),(INDEX(DKW_10Y!$B$2:$B$2918,MATCH($A372,DKW_10Y!$A$2:$A$2918,1))-INDEX(DKW_10Y!$B$2:$B$2918,MATCH(Settings!$B$16,DKW_10Y!$A$2:$A$2918,1)))*100))</f>
        <v/>
      </c>
      <c r="Y372" s="19">
        <f>IF(NOT(ISNUMBER($A372)),NA(),IF(OR($A372&lt;MIN(DKW_10Y!$A$2:$A$2918),$A372&gt;MAX(DKW_10Y!$A$2:$A$2918),Settings!$B$16&lt;MIN(DKW_10Y!$A$2:$A$2918)),NA(),(INDEX(DKW_10Y!$C$2:$C$2918,MATCH($A372,DKW_10Y!$A$2:$A$2918,1))-INDEX(DKW_10Y!$C$2:$C$2918,MATCH(Settings!$B$16,DKW_10Y!$A$2:$A$2918,1)))*100))</f>
        <v/>
      </c>
      <c r="Z372" s="19">
        <f>IF(NOT(ISNUMBER($A372)),NA(),IF(OR($A372&lt;MIN(DKW_10Y!$A$2:$A$2918),$A372&gt;MAX(DKW_10Y!$A$2:$A$2918),Settings!$B$16&lt;MIN(DKW_10Y!$A$2:$A$2918)),NA(),(INDEX(DKW_10Y!$D$2:$D$2918,MATCH($A372,DKW_10Y!$A$2:$A$2918,1))-INDEX(DKW_10Y!$D$2:$D$2918,MATCH(Settings!$B$16,DKW_10Y!$A$2:$A$2918,1)))*100))</f>
        <v/>
      </c>
      <c r="AA372" s="19">
        <f>IF(NOT(ISNUMBER($A372)),NA(),IF(OR($A372&lt;MIN(DKW_10Y!$A$2:$A$2918),$A372&gt;MAX(DKW_10Y!$A$2:$A$2918),Settings!$B$16&lt;MIN(DKW_10Y!$A$2:$A$2918)),NA(),(INDEX(DKW_10Y!$E$2:$E$2918,MATCH($A372,DKW_10Y!$A$2:$A$2918,1))-INDEX(DKW_10Y!$E$2:$E$2918,MATCH(Settings!$B$16,DKW_10Y!$A$2:$A$2918,1)))*100))</f>
        <v/>
      </c>
      <c r="AB372" s="19">
        <f>IF(NOT(ISNUMBER($A372)),NA(),IF(OR($A372&lt;MIN(DKW_10Y!$A$2:$A$2918),$A372&gt;MAX(DKW_10Y!$A$2:$A$2918),Settings!$B$16&lt;MIN(DKW_10Y!$A$2:$A$2918)),NA(),(INDEX(DKW_10Y!$H$2:$H$2918,MATCH($A372,DKW_10Y!$A$2:$A$2918,1))-INDEX(DKW_10Y!$H$2:$H$2918,MATCH(Settings!$B$16,DKW_10Y!$A$2:$A$2918,1)))*100))</f>
        <v/>
      </c>
      <c r="AC372" s="18">
        <f>IF(NOT(ISNUMBER($A372)),NA(),IFERROR(1*INDEX(BBG_Data!$N$2:$N$4000,MATCH($A372,BBG_Data!$M$2:$M$4000,0)),NA()))</f>
        <v/>
      </c>
      <c r="AD372" s="18">
        <f>IF(NOT(ISNUMBER($A372)),NA(),IFERROR(1*INDEX(BBG_Data!$P$2:$P$4000,MATCH($A372,BBG_Data!$O$2:$O$4000,0)),NA()))</f>
        <v/>
      </c>
      <c r="AE372" s="18">
        <f>IF(NOT(ISNUMBER($A372)),NA(),IFERROR(1*INDEX(BBG_Data!$R$2:$R$4000,MATCH($A372,BBG_Data!$Q$2:$Q$4000,0)),NA()))</f>
        <v/>
      </c>
      <c r="AF372" s="20">
        <f>IF(AND(ISNUMBER(B372),ISNUMBER(AC372)),(B372-AC372)*100,NA())</f>
        <v/>
      </c>
      <c r="AG372" s="20">
        <f>IF(AND(ISNUMBER(AE372),ISNUMBER(AD372)),(AE372-AD372)*100,NA())</f>
        <v/>
      </c>
      <c r="AH372" s="19">
        <f>IF(NOT(ISNUMBER($A372)),NA(),IFERROR(INDEX(BBG_Data!$T$2:$T$4000,MATCH($A372,BBG_Data!$S$2:$S$4000,0))*Settings!$B$25,NA()))</f>
        <v/>
      </c>
      <c r="AI372" s="19">
        <f>IF(NOT(ISNUMBER($A372)),NA(),IFERROR(INDEX(BBG_Data!$V$2:$V$4000,MATCH($A372,BBG_Data!$U$2:$U$4000,0))*Settings!$B$25,NA()))</f>
        <v/>
      </c>
      <c r="AJ372" s="19">
        <f>IF(NOT(ISNUMBER($A372)),NA(),IFERROR(1*INDEX(BBG_Data!$X$2:$X$4000,MATCH($A372,BBG_Data!$W$2:$W$4000,0)),NA()))</f>
        <v/>
      </c>
      <c r="AK372" s="19">
        <f>IF(NOT(ISNUMBER($A372)),NA(),IFERROR(1*INDEX(BBG_Data!$Z$2:$Z$4000,MATCH($A372,BBG_Data!$Y$2:$Y$4000,0)),NA()))</f>
        <v/>
      </c>
    </row>
    <row r="373">
      <c r="A373" s="17">
        <f>IF(ISNUMBER(BBG_Data!A373),BBG_Data!A373,"")</f>
        <v/>
      </c>
      <c r="B373" s="18">
        <f>IF(AND(ISNUMBER($A373),ISNUMBER(BBG_Data!B373)),BBG_Data!B373,NA())</f>
        <v/>
      </c>
      <c r="C373" s="18">
        <f>IF(NOT(ISNUMBER($A373)),NA(),IFERROR(1*INDEX(BBG_Data!$D$2:$D$4000,MATCH($A373,BBG_Data!$C$2:$C$4000,0)),NA()))</f>
        <v/>
      </c>
      <c r="D373" s="19">
        <f>IF(NOT(ISNUMBER($A373)),NA(),IFERROR(1*INDEX(BBG_Data!$F$2:$F$4000,MATCH($A373,BBG_Data!$E$2:$E$4000,0)),NA()))</f>
        <v/>
      </c>
      <c r="E373" s="19">
        <f>IF(NOT(ISNUMBER($A373)),NA(),IFERROR(1*INDEX(BBG_Data!$H$2:$H$4000,MATCH($A373,BBG_Data!$G$2:$G$4000,0)),NA()))</f>
        <v/>
      </c>
      <c r="F373" s="20">
        <f>IF(AND(ISNUMBER(B373),ISNUMBER(B372)),IF(B373=B372,"",(B373-B372)*100),"")</f>
        <v/>
      </c>
      <c r="G373" s="20">
        <f>IF(AND(ISNUMBER(C373),ISNUMBER(C372)),IF(C373=C372,"",(C373-C372)*100),"")</f>
        <v/>
      </c>
      <c r="H373" s="20">
        <f>IF(OR(NOT(ISNUMBER($A373)),ROW()-2&lt;Settings!$B$11),NA(),IF(COUNT(OFFSET(F373,1-Settings!$B$11,0,Settings!$B$11,1))&lt;ROUNDUP(Settings!$B$11*Settings!$B$26,0),NA(),STDEV(OFFSET(F373,1-Settings!$B$11,0,Settings!$B$11,1))*SQRT(Settings!$B$13)))</f>
        <v/>
      </c>
      <c r="I373" s="20">
        <f>IF(OR(NOT(ISNUMBER($A373)),ROW()-2&lt;Settings!$B$12),NA(),IF(COUNT(OFFSET(F373,1-Settings!$B$12,0,Settings!$B$12,1))&lt;ROUNDUP(Settings!$B$12*Settings!$B$26,0),NA(),STDEV(OFFSET(F373,1-Settings!$B$12,0,Settings!$B$12,1))*SQRT(Settings!$B$13)))</f>
        <v/>
      </c>
      <c r="J373" s="20">
        <f>IF(OR(NOT(ISNUMBER($A373)),ROW()-2&lt;Settings!$B$11),NA(),IF(COUNT(OFFSET(G373,1-Settings!$B$11,0,Settings!$B$11,1))&lt;ROUNDUP(Settings!$B$11*Settings!$B$26,0),NA(),STDEV(OFFSET(G373,1-Settings!$B$11,0,Settings!$B$11,1))*SQRT(Settings!$B$13)))</f>
        <v/>
      </c>
      <c r="K373" s="20">
        <f>IF(OR(NOT(ISNUMBER($A373)),ROW()-2&lt;Settings!$B$12),NA(),IF(COUNT(OFFSET(G373,1-Settings!$B$12,0,Settings!$B$12,1))&lt;ROUNDUP(Settings!$B$12*Settings!$B$26,0),NA(),STDEV(OFFSET(G373,1-Settings!$B$12,0,Settings!$B$12,1))*SQRT(Settings!$B$13)))</f>
        <v/>
      </c>
      <c r="L373" s="20">
        <f>IF(AND(ISNUMBER(D373),ISNUMBER(H373)),D373-H373,NA())</f>
        <v/>
      </c>
      <c r="M373" s="20">
        <f>IF(AND(ISNUMBER(E373),ISNUMBER(K373)),E373-K373,NA())</f>
        <v/>
      </c>
      <c r="N373" s="20">
        <f>IF(NOT(ISNUMBER($A373)),NA(),IF(COUNT(OFFSET(G373,1,0,Settings!$B$12,1))&lt;ROUNDUP(Settings!$B$12*Settings!$B$26,0),NA(),STDEV(OFFSET(G373,1,0,Settings!$B$12,1))*SQRT(Settings!$B$13)))</f>
        <v/>
      </c>
      <c r="O373" s="20">
        <f>IF(AND(ISNUMBER(E373),ISNUMBER(N373)),E373-N373,NA())</f>
        <v/>
      </c>
      <c r="P373" s="19">
        <f>IF(NOT(ISNUMBER($A373)),NA(),IF(OR($A373&lt;MIN(KW_TP!$A$2:$A$2501),$A373&gt;MAX(KW_TP!$A$2:$A$2501)),NA(),INDEX(KW_TP!$C$2:$C$2501,MATCH($A373,KW_TP!$A$2:$A$2501,1))))</f>
        <v/>
      </c>
      <c r="Q373" s="18">
        <f>IF(NOT(ISNUMBER($A373)),NA(),IFERROR(1*INDEX(BBG_Data!$J$2:$J$4000,MATCH($A373,BBG_Data!$I$2:$I$4000,0)),NA()))</f>
        <v/>
      </c>
      <c r="R373" s="18">
        <f>IF(NOT(ISNUMBER($A373)),NA(),IFERROR(1*INDEX(BBG_Data!$L$2:$L$4000,MATCH($A373,BBG_Data!$K$2:$K$4000,0)),NA()))</f>
        <v/>
      </c>
      <c r="S373" s="20">
        <f>IF(AND(ISNUMBER(B373),ISNUMBER(Q373),ISNUMBER(R373)),(B373-Q373-R373)*100,NA())</f>
        <v/>
      </c>
      <c r="T373" s="20">
        <f>IF(AND(ISNUMBER(B373),Settings!$B$17&gt;0),IF(ISNUMBER(INDEX($B:$B,Settings!$B$17)),(B373-INDEX($B:$B,Settings!$B$17))*100,NA()),NA())</f>
        <v/>
      </c>
      <c r="U373" s="20">
        <f>IF(AND(ISNUMBER(Q373),Settings!$B$17&gt;0),IF(ISNUMBER(INDEX($Q:$Q,Settings!$B$17)),(Q373-INDEX($Q:$Q,Settings!$B$17))*100,NA()),NA())</f>
        <v/>
      </c>
      <c r="V373" s="20">
        <f>IF(AND(ISNUMBER(R373),Settings!$B$17&gt;0),IF(ISNUMBER(INDEX($R:$R,Settings!$B$17)),(R373-INDEX($R:$R,Settings!$B$17))*100,NA()),NA())</f>
        <v/>
      </c>
      <c r="W373" s="20">
        <f>IF(AND(ISNUMBER(P373),Settings!$B$17&gt;0),IF(ISNUMBER(INDEX($P:$P,Settings!$B$17)),P373-INDEX($P:$P,Settings!$B$17),NA()),NA())</f>
        <v/>
      </c>
      <c r="X373" s="19">
        <f>IF(NOT(ISNUMBER($A373)),NA(),IF(OR($A373&lt;MIN(DKW_10Y!$A$2:$A$2918),$A373&gt;MAX(DKW_10Y!$A$2:$A$2918),Settings!$B$16&lt;MIN(DKW_10Y!$A$2:$A$2918)),NA(),(INDEX(DKW_10Y!$B$2:$B$2918,MATCH($A373,DKW_10Y!$A$2:$A$2918,1))-INDEX(DKW_10Y!$B$2:$B$2918,MATCH(Settings!$B$16,DKW_10Y!$A$2:$A$2918,1)))*100))</f>
        <v/>
      </c>
      <c r="Y373" s="19">
        <f>IF(NOT(ISNUMBER($A373)),NA(),IF(OR($A373&lt;MIN(DKW_10Y!$A$2:$A$2918),$A373&gt;MAX(DKW_10Y!$A$2:$A$2918),Settings!$B$16&lt;MIN(DKW_10Y!$A$2:$A$2918)),NA(),(INDEX(DKW_10Y!$C$2:$C$2918,MATCH($A373,DKW_10Y!$A$2:$A$2918,1))-INDEX(DKW_10Y!$C$2:$C$2918,MATCH(Settings!$B$16,DKW_10Y!$A$2:$A$2918,1)))*100))</f>
        <v/>
      </c>
      <c r="Z373" s="19">
        <f>IF(NOT(ISNUMBER($A373)),NA(),IF(OR($A373&lt;MIN(DKW_10Y!$A$2:$A$2918),$A373&gt;MAX(DKW_10Y!$A$2:$A$2918),Settings!$B$16&lt;MIN(DKW_10Y!$A$2:$A$2918)),NA(),(INDEX(DKW_10Y!$D$2:$D$2918,MATCH($A373,DKW_10Y!$A$2:$A$2918,1))-INDEX(DKW_10Y!$D$2:$D$2918,MATCH(Settings!$B$16,DKW_10Y!$A$2:$A$2918,1)))*100))</f>
        <v/>
      </c>
      <c r="AA373" s="19">
        <f>IF(NOT(ISNUMBER($A373)),NA(),IF(OR($A373&lt;MIN(DKW_10Y!$A$2:$A$2918),$A373&gt;MAX(DKW_10Y!$A$2:$A$2918),Settings!$B$16&lt;MIN(DKW_10Y!$A$2:$A$2918)),NA(),(INDEX(DKW_10Y!$E$2:$E$2918,MATCH($A373,DKW_10Y!$A$2:$A$2918,1))-INDEX(DKW_10Y!$E$2:$E$2918,MATCH(Settings!$B$16,DKW_10Y!$A$2:$A$2918,1)))*100))</f>
        <v/>
      </c>
      <c r="AB373" s="19">
        <f>IF(NOT(ISNUMBER($A373)),NA(),IF(OR($A373&lt;MIN(DKW_10Y!$A$2:$A$2918),$A373&gt;MAX(DKW_10Y!$A$2:$A$2918),Settings!$B$16&lt;MIN(DKW_10Y!$A$2:$A$2918)),NA(),(INDEX(DKW_10Y!$H$2:$H$2918,MATCH($A373,DKW_10Y!$A$2:$A$2918,1))-INDEX(DKW_10Y!$H$2:$H$2918,MATCH(Settings!$B$16,DKW_10Y!$A$2:$A$2918,1)))*100))</f>
        <v/>
      </c>
      <c r="AC373" s="18">
        <f>IF(NOT(ISNUMBER($A373)),NA(),IFERROR(1*INDEX(BBG_Data!$N$2:$N$4000,MATCH($A373,BBG_Data!$M$2:$M$4000,0)),NA()))</f>
        <v/>
      </c>
      <c r="AD373" s="18">
        <f>IF(NOT(ISNUMBER($A373)),NA(),IFERROR(1*INDEX(BBG_Data!$P$2:$P$4000,MATCH($A373,BBG_Data!$O$2:$O$4000,0)),NA()))</f>
        <v/>
      </c>
      <c r="AE373" s="18">
        <f>IF(NOT(ISNUMBER($A373)),NA(),IFERROR(1*INDEX(BBG_Data!$R$2:$R$4000,MATCH($A373,BBG_Data!$Q$2:$Q$4000,0)),NA()))</f>
        <v/>
      </c>
      <c r="AF373" s="20">
        <f>IF(AND(ISNUMBER(B373),ISNUMBER(AC373)),(B373-AC373)*100,NA())</f>
        <v/>
      </c>
      <c r="AG373" s="20">
        <f>IF(AND(ISNUMBER(AE373),ISNUMBER(AD373)),(AE373-AD373)*100,NA())</f>
        <v/>
      </c>
      <c r="AH373" s="19">
        <f>IF(NOT(ISNUMBER($A373)),NA(),IFERROR(INDEX(BBG_Data!$T$2:$T$4000,MATCH($A373,BBG_Data!$S$2:$S$4000,0))*Settings!$B$25,NA()))</f>
        <v/>
      </c>
      <c r="AI373" s="19">
        <f>IF(NOT(ISNUMBER($A373)),NA(),IFERROR(INDEX(BBG_Data!$V$2:$V$4000,MATCH($A373,BBG_Data!$U$2:$U$4000,0))*Settings!$B$25,NA()))</f>
        <v/>
      </c>
      <c r="AJ373" s="19">
        <f>IF(NOT(ISNUMBER($A373)),NA(),IFERROR(1*INDEX(BBG_Data!$X$2:$X$4000,MATCH($A373,BBG_Data!$W$2:$W$4000,0)),NA()))</f>
        <v/>
      </c>
      <c r="AK373" s="19">
        <f>IF(NOT(ISNUMBER($A373)),NA(),IFERROR(1*INDEX(BBG_Data!$Z$2:$Z$4000,MATCH($A373,BBG_Data!$Y$2:$Y$4000,0)),NA()))</f>
        <v/>
      </c>
    </row>
    <row r="374">
      <c r="A374" s="17">
        <f>IF(ISNUMBER(BBG_Data!A374),BBG_Data!A374,"")</f>
        <v/>
      </c>
      <c r="B374" s="18">
        <f>IF(AND(ISNUMBER($A374),ISNUMBER(BBG_Data!B374)),BBG_Data!B374,NA())</f>
        <v/>
      </c>
      <c r="C374" s="18">
        <f>IF(NOT(ISNUMBER($A374)),NA(),IFERROR(1*INDEX(BBG_Data!$D$2:$D$4000,MATCH($A374,BBG_Data!$C$2:$C$4000,0)),NA()))</f>
        <v/>
      </c>
      <c r="D374" s="19">
        <f>IF(NOT(ISNUMBER($A374)),NA(),IFERROR(1*INDEX(BBG_Data!$F$2:$F$4000,MATCH($A374,BBG_Data!$E$2:$E$4000,0)),NA()))</f>
        <v/>
      </c>
      <c r="E374" s="19">
        <f>IF(NOT(ISNUMBER($A374)),NA(),IFERROR(1*INDEX(BBG_Data!$H$2:$H$4000,MATCH($A374,BBG_Data!$G$2:$G$4000,0)),NA()))</f>
        <v/>
      </c>
      <c r="F374" s="20">
        <f>IF(AND(ISNUMBER(B374),ISNUMBER(B373)),IF(B374=B373,"",(B374-B373)*100),"")</f>
        <v/>
      </c>
      <c r="G374" s="20">
        <f>IF(AND(ISNUMBER(C374),ISNUMBER(C373)),IF(C374=C373,"",(C374-C373)*100),"")</f>
        <v/>
      </c>
      <c r="H374" s="20">
        <f>IF(OR(NOT(ISNUMBER($A374)),ROW()-2&lt;Settings!$B$11),NA(),IF(COUNT(OFFSET(F374,1-Settings!$B$11,0,Settings!$B$11,1))&lt;ROUNDUP(Settings!$B$11*Settings!$B$26,0),NA(),STDEV(OFFSET(F374,1-Settings!$B$11,0,Settings!$B$11,1))*SQRT(Settings!$B$13)))</f>
        <v/>
      </c>
      <c r="I374" s="20">
        <f>IF(OR(NOT(ISNUMBER($A374)),ROW()-2&lt;Settings!$B$12),NA(),IF(COUNT(OFFSET(F374,1-Settings!$B$12,0,Settings!$B$12,1))&lt;ROUNDUP(Settings!$B$12*Settings!$B$26,0),NA(),STDEV(OFFSET(F374,1-Settings!$B$12,0,Settings!$B$12,1))*SQRT(Settings!$B$13)))</f>
        <v/>
      </c>
      <c r="J374" s="20">
        <f>IF(OR(NOT(ISNUMBER($A374)),ROW()-2&lt;Settings!$B$11),NA(),IF(COUNT(OFFSET(G374,1-Settings!$B$11,0,Settings!$B$11,1))&lt;ROUNDUP(Settings!$B$11*Settings!$B$26,0),NA(),STDEV(OFFSET(G374,1-Settings!$B$11,0,Settings!$B$11,1))*SQRT(Settings!$B$13)))</f>
        <v/>
      </c>
      <c r="K374" s="20">
        <f>IF(OR(NOT(ISNUMBER($A374)),ROW()-2&lt;Settings!$B$12),NA(),IF(COUNT(OFFSET(G374,1-Settings!$B$12,0,Settings!$B$12,1))&lt;ROUNDUP(Settings!$B$12*Settings!$B$26,0),NA(),STDEV(OFFSET(G374,1-Settings!$B$12,0,Settings!$B$12,1))*SQRT(Settings!$B$13)))</f>
        <v/>
      </c>
      <c r="L374" s="20">
        <f>IF(AND(ISNUMBER(D374),ISNUMBER(H374)),D374-H374,NA())</f>
        <v/>
      </c>
      <c r="M374" s="20">
        <f>IF(AND(ISNUMBER(E374),ISNUMBER(K374)),E374-K374,NA())</f>
        <v/>
      </c>
      <c r="N374" s="20">
        <f>IF(NOT(ISNUMBER($A374)),NA(),IF(COUNT(OFFSET(G374,1,0,Settings!$B$12,1))&lt;ROUNDUP(Settings!$B$12*Settings!$B$26,0),NA(),STDEV(OFFSET(G374,1,0,Settings!$B$12,1))*SQRT(Settings!$B$13)))</f>
        <v/>
      </c>
      <c r="O374" s="20">
        <f>IF(AND(ISNUMBER(E374),ISNUMBER(N374)),E374-N374,NA())</f>
        <v/>
      </c>
      <c r="P374" s="19">
        <f>IF(NOT(ISNUMBER($A374)),NA(),IF(OR($A374&lt;MIN(KW_TP!$A$2:$A$2501),$A374&gt;MAX(KW_TP!$A$2:$A$2501)),NA(),INDEX(KW_TP!$C$2:$C$2501,MATCH($A374,KW_TP!$A$2:$A$2501,1))))</f>
        <v/>
      </c>
      <c r="Q374" s="18">
        <f>IF(NOT(ISNUMBER($A374)),NA(),IFERROR(1*INDEX(BBG_Data!$J$2:$J$4000,MATCH($A374,BBG_Data!$I$2:$I$4000,0)),NA()))</f>
        <v/>
      </c>
      <c r="R374" s="18">
        <f>IF(NOT(ISNUMBER($A374)),NA(),IFERROR(1*INDEX(BBG_Data!$L$2:$L$4000,MATCH($A374,BBG_Data!$K$2:$K$4000,0)),NA()))</f>
        <v/>
      </c>
      <c r="S374" s="20">
        <f>IF(AND(ISNUMBER(B374),ISNUMBER(Q374),ISNUMBER(R374)),(B374-Q374-R374)*100,NA())</f>
        <v/>
      </c>
      <c r="T374" s="20">
        <f>IF(AND(ISNUMBER(B374),Settings!$B$17&gt;0),IF(ISNUMBER(INDEX($B:$B,Settings!$B$17)),(B374-INDEX($B:$B,Settings!$B$17))*100,NA()),NA())</f>
        <v/>
      </c>
      <c r="U374" s="20">
        <f>IF(AND(ISNUMBER(Q374),Settings!$B$17&gt;0),IF(ISNUMBER(INDEX($Q:$Q,Settings!$B$17)),(Q374-INDEX($Q:$Q,Settings!$B$17))*100,NA()),NA())</f>
        <v/>
      </c>
      <c r="V374" s="20">
        <f>IF(AND(ISNUMBER(R374),Settings!$B$17&gt;0),IF(ISNUMBER(INDEX($R:$R,Settings!$B$17)),(R374-INDEX($R:$R,Settings!$B$17))*100,NA()),NA())</f>
        <v/>
      </c>
      <c r="W374" s="20">
        <f>IF(AND(ISNUMBER(P374),Settings!$B$17&gt;0),IF(ISNUMBER(INDEX($P:$P,Settings!$B$17)),P374-INDEX($P:$P,Settings!$B$17),NA()),NA())</f>
        <v/>
      </c>
      <c r="X374" s="19">
        <f>IF(NOT(ISNUMBER($A374)),NA(),IF(OR($A374&lt;MIN(DKW_10Y!$A$2:$A$2918),$A374&gt;MAX(DKW_10Y!$A$2:$A$2918),Settings!$B$16&lt;MIN(DKW_10Y!$A$2:$A$2918)),NA(),(INDEX(DKW_10Y!$B$2:$B$2918,MATCH($A374,DKW_10Y!$A$2:$A$2918,1))-INDEX(DKW_10Y!$B$2:$B$2918,MATCH(Settings!$B$16,DKW_10Y!$A$2:$A$2918,1)))*100))</f>
        <v/>
      </c>
      <c r="Y374" s="19">
        <f>IF(NOT(ISNUMBER($A374)),NA(),IF(OR($A374&lt;MIN(DKW_10Y!$A$2:$A$2918),$A374&gt;MAX(DKW_10Y!$A$2:$A$2918),Settings!$B$16&lt;MIN(DKW_10Y!$A$2:$A$2918)),NA(),(INDEX(DKW_10Y!$C$2:$C$2918,MATCH($A374,DKW_10Y!$A$2:$A$2918,1))-INDEX(DKW_10Y!$C$2:$C$2918,MATCH(Settings!$B$16,DKW_10Y!$A$2:$A$2918,1)))*100))</f>
        <v/>
      </c>
      <c r="Z374" s="19">
        <f>IF(NOT(ISNUMBER($A374)),NA(),IF(OR($A374&lt;MIN(DKW_10Y!$A$2:$A$2918),$A374&gt;MAX(DKW_10Y!$A$2:$A$2918),Settings!$B$16&lt;MIN(DKW_10Y!$A$2:$A$2918)),NA(),(INDEX(DKW_10Y!$D$2:$D$2918,MATCH($A374,DKW_10Y!$A$2:$A$2918,1))-INDEX(DKW_10Y!$D$2:$D$2918,MATCH(Settings!$B$16,DKW_10Y!$A$2:$A$2918,1)))*100))</f>
        <v/>
      </c>
      <c r="AA374" s="19">
        <f>IF(NOT(ISNUMBER($A374)),NA(),IF(OR($A374&lt;MIN(DKW_10Y!$A$2:$A$2918),$A374&gt;MAX(DKW_10Y!$A$2:$A$2918),Settings!$B$16&lt;MIN(DKW_10Y!$A$2:$A$2918)),NA(),(INDEX(DKW_10Y!$E$2:$E$2918,MATCH($A374,DKW_10Y!$A$2:$A$2918,1))-INDEX(DKW_10Y!$E$2:$E$2918,MATCH(Settings!$B$16,DKW_10Y!$A$2:$A$2918,1)))*100))</f>
        <v/>
      </c>
      <c r="AB374" s="19">
        <f>IF(NOT(ISNUMBER($A374)),NA(),IF(OR($A374&lt;MIN(DKW_10Y!$A$2:$A$2918),$A374&gt;MAX(DKW_10Y!$A$2:$A$2918),Settings!$B$16&lt;MIN(DKW_10Y!$A$2:$A$2918)),NA(),(INDEX(DKW_10Y!$H$2:$H$2918,MATCH($A374,DKW_10Y!$A$2:$A$2918,1))-INDEX(DKW_10Y!$H$2:$H$2918,MATCH(Settings!$B$16,DKW_10Y!$A$2:$A$2918,1)))*100))</f>
        <v/>
      </c>
      <c r="AC374" s="18">
        <f>IF(NOT(ISNUMBER($A374)),NA(),IFERROR(1*INDEX(BBG_Data!$N$2:$N$4000,MATCH($A374,BBG_Data!$M$2:$M$4000,0)),NA()))</f>
        <v/>
      </c>
      <c r="AD374" s="18">
        <f>IF(NOT(ISNUMBER($A374)),NA(),IFERROR(1*INDEX(BBG_Data!$P$2:$P$4000,MATCH($A374,BBG_Data!$O$2:$O$4000,0)),NA()))</f>
        <v/>
      </c>
      <c r="AE374" s="18">
        <f>IF(NOT(ISNUMBER($A374)),NA(),IFERROR(1*INDEX(BBG_Data!$R$2:$R$4000,MATCH($A374,BBG_Data!$Q$2:$Q$4000,0)),NA()))</f>
        <v/>
      </c>
      <c r="AF374" s="20">
        <f>IF(AND(ISNUMBER(B374),ISNUMBER(AC374)),(B374-AC374)*100,NA())</f>
        <v/>
      </c>
      <c r="AG374" s="20">
        <f>IF(AND(ISNUMBER(AE374),ISNUMBER(AD374)),(AE374-AD374)*100,NA())</f>
        <v/>
      </c>
      <c r="AH374" s="19">
        <f>IF(NOT(ISNUMBER($A374)),NA(),IFERROR(INDEX(BBG_Data!$T$2:$T$4000,MATCH($A374,BBG_Data!$S$2:$S$4000,0))*Settings!$B$25,NA()))</f>
        <v/>
      </c>
      <c r="AI374" s="19">
        <f>IF(NOT(ISNUMBER($A374)),NA(),IFERROR(INDEX(BBG_Data!$V$2:$V$4000,MATCH($A374,BBG_Data!$U$2:$U$4000,0))*Settings!$B$25,NA()))</f>
        <v/>
      </c>
      <c r="AJ374" s="19">
        <f>IF(NOT(ISNUMBER($A374)),NA(),IFERROR(1*INDEX(BBG_Data!$X$2:$X$4000,MATCH($A374,BBG_Data!$W$2:$W$4000,0)),NA()))</f>
        <v/>
      </c>
      <c r="AK374" s="19">
        <f>IF(NOT(ISNUMBER($A374)),NA(),IFERROR(1*INDEX(BBG_Data!$Z$2:$Z$4000,MATCH($A374,BBG_Data!$Y$2:$Y$4000,0)),NA()))</f>
        <v/>
      </c>
    </row>
    <row r="375">
      <c r="A375" s="17">
        <f>IF(ISNUMBER(BBG_Data!A375),BBG_Data!A375,"")</f>
        <v/>
      </c>
      <c r="B375" s="18">
        <f>IF(AND(ISNUMBER($A375),ISNUMBER(BBG_Data!B375)),BBG_Data!B375,NA())</f>
        <v/>
      </c>
      <c r="C375" s="18">
        <f>IF(NOT(ISNUMBER($A375)),NA(),IFERROR(1*INDEX(BBG_Data!$D$2:$D$4000,MATCH($A375,BBG_Data!$C$2:$C$4000,0)),NA()))</f>
        <v/>
      </c>
      <c r="D375" s="19">
        <f>IF(NOT(ISNUMBER($A375)),NA(),IFERROR(1*INDEX(BBG_Data!$F$2:$F$4000,MATCH($A375,BBG_Data!$E$2:$E$4000,0)),NA()))</f>
        <v/>
      </c>
      <c r="E375" s="19">
        <f>IF(NOT(ISNUMBER($A375)),NA(),IFERROR(1*INDEX(BBG_Data!$H$2:$H$4000,MATCH($A375,BBG_Data!$G$2:$G$4000,0)),NA()))</f>
        <v/>
      </c>
      <c r="F375" s="20">
        <f>IF(AND(ISNUMBER(B375),ISNUMBER(B374)),IF(B375=B374,"",(B375-B374)*100),"")</f>
        <v/>
      </c>
      <c r="G375" s="20">
        <f>IF(AND(ISNUMBER(C375),ISNUMBER(C374)),IF(C375=C374,"",(C375-C374)*100),"")</f>
        <v/>
      </c>
      <c r="H375" s="20">
        <f>IF(OR(NOT(ISNUMBER($A375)),ROW()-2&lt;Settings!$B$11),NA(),IF(COUNT(OFFSET(F375,1-Settings!$B$11,0,Settings!$B$11,1))&lt;ROUNDUP(Settings!$B$11*Settings!$B$26,0),NA(),STDEV(OFFSET(F375,1-Settings!$B$11,0,Settings!$B$11,1))*SQRT(Settings!$B$13)))</f>
        <v/>
      </c>
      <c r="I375" s="20">
        <f>IF(OR(NOT(ISNUMBER($A375)),ROW()-2&lt;Settings!$B$12),NA(),IF(COUNT(OFFSET(F375,1-Settings!$B$12,0,Settings!$B$12,1))&lt;ROUNDUP(Settings!$B$12*Settings!$B$26,0),NA(),STDEV(OFFSET(F375,1-Settings!$B$12,0,Settings!$B$12,1))*SQRT(Settings!$B$13)))</f>
        <v/>
      </c>
      <c r="J375" s="20">
        <f>IF(OR(NOT(ISNUMBER($A375)),ROW()-2&lt;Settings!$B$11),NA(),IF(COUNT(OFFSET(G375,1-Settings!$B$11,0,Settings!$B$11,1))&lt;ROUNDUP(Settings!$B$11*Settings!$B$26,0),NA(),STDEV(OFFSET(G375,1-Settings!$B$11,0,Settings!$B$11,1))*SQRT(Settings!$B$13)))</f>
        <v/>
      </c>
      <c r="K375" s="20">
        <f>IF(OR(NOT(ISNUMBER($A375)),ROW()-2&lt;Settings!$B$12),NA(),IF(COUNT(OFFSET(G375,1-Settings!$B$12,0,Settings!$B$12,1))&lt;ROUNDUP(Settings!$B$12*Settings!$B$26,0),NA(),STDEV(OFFSET(G375,1-Settings!$B$12,0,Settings!$B$12,1))*SQRT(Settings!$B$13)))</f>
        <v/>
      </c>
      <c r="L375" s="20">
        <f>IF(AND(ISNUMBER(D375),ISNUMBER(H375)),D375-H375,NA())</f>
        <v/>
      </c>
      <c r="M375" s="20">
        <f>IF(AND(ISNUMBER(E375),ISNUMBER(K375)),E375-K375,NA())</f>
        <v/>
      </c>
      <c r="N375" s="20">
        <f>IF(NOT(ISNUMBER($A375)),NA(),IF(COUNT(OFFSET(G375,1,0,Settings!$B$12,1))&lt;ROUNDUP(Settings!$B$12*Settings!$B$26,0),NA(),STDEV(OFFSET(G375,1,0,Settings!$B$12,1))*SQRT(Settings!$B$13)))</f>
        <v/>
      </c>
      <c r="O375" s="20">
        <f>IF(AND(ISNUMBER(E375),ISNUMBER(N375)),E375-N375,NA())</f>
        <v/>
      </c>
      <c r="P375" s="19">
        <f>IF(NOT(ISNUMBER($A375)),NA(),IF(OR($A375&lt;MIN(KW_TP!$A$2:$A$2501),$A375&gt;MAX(KW_TP!$A$2:$A$2501)),NA(),INDEX(KW_TP!$C$2:$C$2501,MATCH($A375,KW_TP!$A$2:$A$2501,1))))</f>
        <v/>
      </c>
      <c r="Q375" s="18">
        <f>IF(NOT(ISNUMBER($A375)),NA(),IFERROR(1*INDEX(BBG_Data!$J$2:$J$4000,MATCH($A375,BBG_Data!$I$2:$I$4000,0)),NA()))</f>
        <v/>
      </c>
      <c r="R375" s="18">
        <f>IF(NOT(ISNUMBER($A375)),NA(),IFERROR(1*INDEX(BBG_Data!$L$2:$L$4000,MATCH($A375,BBG_Data!$K$2:$K$4000,0)),NA()))</f>
        <v/>
      </c>
      <c r="S375" s="20">
        <f>IF(AND(ISNUMBER(B375),ISNUMBER(Q375),ISNUMBER(R375)),(B375-Q375-R375)*100,NA())</f>
        <v/>
      </c>
      <c r="T375" s="20">
        <f>IF(AND(ISNUMBER(B375),Settings!$B$17&gt;0),IF(ISNUMBER(INDEX($B:$B,Settings!$B$17)),(B375-INDEX($B:$B,Settings!$B$17))*100,NA()),NA())</f>
        <v/>
      </c>
      <c r="U375" s="20">
        <f>IF(AND(ISNUMBER(Q375),Settings!$B$17&gt;0),IF(ISNUMBER(INDEX($Q:$Q,Settings!$B$17)),(Q375-INDEX($Q:$Q,Settings!$B$17))*100,NA()),NA())</f>
        <v/>
      </c>
      <c r="V375" s="20">
        <f>IF(AND(ISNUMBER(R375),Settings!$B$17&gt;0),IF(ISNUMBER(INDEX($R:$R,Settings!$B$17)),(R375-INDEX($R:$R,Settings!$B$17))*100,NA()),NA())</f>
        <v/>
      </c>
      <c r="W375" s="20">
        <f>IF(AND(ISNUMBER(P375),Settings!$B$17&gt;0),IF(ISNUMBER(INDEX($P:$P,Settings!$B$17)),P375-INDEX($P:$P,Settings!$B$17),NA()),NA())</f>
        <v/>
      </c>
      <c r="X375" s="19">
        <f>IF(NOT(ISNUMBER($A375)),NA(),IF(OR($A375&lt;MIN(DKW_10Y!$A$2:$A$2918),$A375&gt;MAX(DKW_10Y!$A$2:$A$2918),Settings!$B$16&lt;MIN(DKW_10Y!$A$2:$A$2918)),NA(),(INDEX(DKW_10Y!$B$2:$B$2918,MATCH($A375,DKW_10Y!$A$2:$A$2918,1))-INDEX(DKW_10Y!$B$2:$B$2918,MATCH(Settings!$B$16,DKW_10Y!$A$2:$A$2918,1)))*100))</f>
        <v/>
      </c>
      <c r="Y375" s="19">
        <f>IF(NOT(ISNUMBER($A375)),NA(),IF(OR($A375&lt;MIN(DKW_10Y!$A$2:$A$2918),$A375&gt;MAX(DKW_10Y!$A$2:$A$2918),Settings!$B$16&lt;MIN(DKW_10Y!$A$2:$A$2918)),NA(),(INDEX(DKW_10Y!$C$2:$C$2918,MATCH($A375,DKW_10Y!$A$2:$A$2918,1))-INDEX(DKW_10Y!$C$2:$C$2918,MATCH(Settings!$B$16,DKW_10Y!$A$2:$A$2918,1)))*100))</f>
        <v/>
      </c>
      <c r="Z375" s="19">
        <f>IF(NOT(ISNUMBER($A375)),NA(),IF(OR($A375&lt;MIN(DKW_10Y!$A$2:$A$2918),$A375&gt;MAX(DKW_10Y!$A$2:$A$2918),Settings!$B$16&lt;MIN(DKW_10Y!$A$2:$A$2918)),NA(),(INDEX(DKW_10Y!$D$2:$D$2918,MATCH($A375,DKW_10Y!$A$2:$A$2918,1))-INDEX(DKW_10Y!$D$2:$D$2918,MATCH(Settings!$B$16,DKW_10Y!$A$2:$A$2918,1)))*100))</f>
        <v/>
      </c>
      <c r="AA375" s="19">
        <f>IF(NOT(ISNUMBER($A375)),NA(),IF(OR($A375&lt;MIN(DKW_10Y!$A$2:$A$2918),$A375&gt;MAX(DKW_10Y!$A$2:$A$2918),Settings!$B$16&lt;MIN(DKW_10Y!$A$2:$A$2918)),NA(),(INDEX(DKW_10Y!$E$2:$E$2918,MATCH($A375,DKW_10Y!$A$2:$A$2918,1))-INDEX(DKW_10Y!$E$2:$E$2918,MATCH(Settings!$B$16,DKW_10Y!$A$2:$A$2918,1)))*100))</f>
        <v/>
      </c>
      <c r="AB375" s="19">
        <f>IF(NOT(ISNUMBER($A375)),NA(),IF(OR($A375&lt;MIN(DKW_10Y!$A$2:$A$2918),$A375&gt;MAX(DKW_10Y!$A$2:$A$2918),Settings!$B$16&lt;MIN(DKW_10Y!$A$2:$A$2918)),NA(),(INDEX(DKW_10Y!$H$2:$H$2918,MATCH($A375,DKW_10Y!$A$2:$A$2918,1))-INDEX(DKW_10Y!$H$2:$H$2918,MATCH(Settings!$B$16,DKW_10Y!$A$2:$A$2918,1)))*100))</f>
        <v/>
      </c>
      <c r="AC375" s="18">
        <f>IF(NOT(ISNUMBER($A375)),NA(),IFERROR(1*INDEX(BBG_Data!$N$2:$N$4000,MATCH($A375,BBG_Data!$M$2:$M$4000,0)),NA()))</f>
        <v/>
      </c>
      <c r="AD375" s="18">
        <f>IF(NOT(ISNUMBER($A375)),NA(),IFERROR(1*INDEX(BBG_Data!$P$2:$P$4000,MATCH($A375,BBG_Data!$O$2:$O$4000,0)),NA()))</f>
        <v/>
      </c>
      <c r="AE375" s="18">
        <f>IF(NOT(ISNUMBER($A375)),NA(),IFERROR(1*INDEX(BBG_Data!$R$2:$R$4000,MATCH($A375,BBG_Data!$Q$2:$Q$4000,0)),NA()))</f>
        <v/>
      </c>
      <c r="AF375" s="20">
        <f>IF(AND(ISNUMBER(B375),ISNUMBER(AC375)),(B375-AC375)*100,NA())</f>
        <v/>
      </c>
      <c r="AG375" s="20">
        <f>IF(AND(ISNUMBER(AE375),ISNUMBER(AD375)),(AE375-AD375)*100,NA())</f>
        <v/>
      </c>
      <c r="AH375" s="19">
        <f>IF(NOT(ISNUMBER($A375)),NA(),IFERROR(INDEX(BBG_Data!$T$2:$T$4000,MATCH($A375,BBG_Data!$S$2:$S$4000,0))*Settings!$B$25,NA()))</f>
        <v/>
      </c>
      <c r="AI375" s="19">
        <f>IF(NOT(ISNUMBER($A375)),NA(),IFERROR(INDEX(BBG_Data!$V$2:$V$4000,MATCH($A375,BBG_Data!$U$2:$U$4000,0))*Settings!$B$25,NA()))</f>
        <v/>
      </c>
      <c r="AJ375" s="19">
        <f>IF(NOT(ISNUMBER($A375)),NA(),IFERROR(1*INDEX(BBG_Data!$X$2:$X$4000,MATCH($A375,BBG_Data!$W$2:$W$4000,0)),NA()))</f>
        <v/>
      </c>
      <c r="AK375" s="19">
        <f>IF(NOT(ISNUMBER($A375)),NA(),IFERROR(1*INDEX(BBG_Data!$Z$2:$Z$4000,MATCH($A375,BBG_Data!$Y$2:$Y$4000,0)),NA()))</f>
        <v/>
      </c>
    </row>
    <row r="376">
      <c r="A376" s="17">
        <f>IF(ISNUMBER(BBG_Data!A376),BBG_Data!A376,"")</f>
        <v/>
      </c>
      <c r="B376" s="18">
        <f>IF(AND(ISNUMBER($A376),ISNUMBER(BBG_Data!B376)),BBG_Data!B376,NA())</f>
        <v/>
      </c>
      <c r="C376" s="18">
        <f>IF(NOT(ISNUMBER($A376)),NA(),IFERROR(1*INDEX(BBG_Data!$D$2:$D$4000,MATCH($A376,BBG_Data!$C$2:$C$4000,0)),NA()))</f>
        <v/>
      </c>
      <c r="D376" s="19">
        <f>IF(NOT(ISNUMBER($A376)),NA(),IFERROR(1*INDEX(BBG_Data!$F$2:$F$4000,MATCH($A376,BBG_Data!$E$2:$E$4000,0)),NA()))</f>
        <v/>
      </c>
      <c r="E376" s="19">
        <f>IF(NOT(ISNUMBER($A376)),NA(),IFERROR(1*INDEX(BBG_Data!$H$2:$H$4000,MATCH($A376,BBG_Data!$G$2:$G$4000,0)),NA()))</f>
        <v/>
      </c>
      <c r="F376" s="20">
        <f>IF(AND(ISNUMBER(B376),ISNUMBER(B375)),IF(B376=B375,"",(B376-B375)*100),"")</f>
        <v/>
      </c>
      <c r="G376" s="20">
        <f>IF(AND(ISNUMBER(C376),ISNUMBER(C375)),IF(C376=C375,"",(C376-C375)*100),"")</f>
        <v/>
      </c>
      <c r="H376" s="20">
        <f>IF(OR(NOT(ISNUMBER($A376)),ROW()-2&lt;Settings!$B$11),NA(),IF(COUNT(OFFSET(F376,1-Settings!$B$11,0,Settings!$B$11,1))&lt;ROUNDUP(Settings!$B$11*Settings!$B$26,0),NA(),STDEV(OFFSET(F376,1-Settings!$B$11,0,Settings!$B$11,1))*SQRT(Settings!$B$13)))</f>
        <v/>
      </c>
      <c r="I376" s="20">
        <f>IF(OR(NOT(ISNUMBER($A376)),ROW()-2&lt;Settings!$B$12),NA(),IF(COUNT(OFFSET(F376,1-Settings!$B$12,0,Settings!$B$12,1))&lt;ROUNDUP(Settings!$B$12*Settings!$B$26,0),NA(),STDEV(OFFSET(F376,1-Settings!$B$12,0,Settings!$B$12,1))*SQRT(Settings!$B$13)))</f>
        <v/>
      </c>
      <c r="J376" s="20">
        <f>IF(OR(NOT(ISNUMBER($A376)),ROW()-2&lt;Settings!$B$11),NA(),IF(COUNT(OFFSET(G376,1-Settings!$B$11,0,Settings!$B$11,1))&lt;ROUNDUP(Settings!$B$11*Settings!$B$26,0),NA(),STDEV(OFFSET(G376,1-Settings!$B$11,0,Settings!$B$11,1))*SQRT(Settings!$B$13)))</f>
        <v/>
      </c>
      <c r="K376" s="20">
        <f>IF(OR(NOT(ISNUMBER($A376)),ROW()-2&lt;Settings!$B$12),NA(),IF(COUNT(OFFSET(G376,1-Settings!$B$12,0,Settings!$B$12,1))&lt;ROUNDUP(Settings!$B$12*Settings!$B$26,0),NA(),STDEV(OFFSET(G376,1-Settings!$B$12,0,Settings!$B$12,1))*SQRT(Settings!$B$13)))</f>
        <v/>
      </c>
      <c r="L376" s="20">
        <f>IF(AND(ISNUMBER(D376),ISNUMBER(H376)),D376-H376,NA())</f>
        <v/>
      </c>
      <c r="M376" s="20">
        <f>IF(AND(ISNUMBER(E376),ISNUMBER(K376)),E376-K376,NA())</f>
        <v/>
      </c>
      <c r="N376" s="20">
        <f>IF(NOT(ISNUMBER($A376)),NA(),IF(COUNT(OFFSET(G376,1,0,Settings!$B$12,1))&lt;ROUNDUP(Settings!$B$12*Settings!$B$26,0),NA(),STDEV(OFFSET(G376,1,0,Settings!$B$12,1))*SQRT(Settings!$B$13)))</f>
        <v/>
      </c>
      <c r="O376" s="20">
        <f>IF(AND(ISNUMBER(E376),ISNUMBER(N376)),E376-N376,NA())</f>
        <v/>
      </c>
      <c r="P376" s="19">
        <f>IF(NOT(ISNUMBER($A376)),NA(),IF(OR($A376&lt;MIN(KW_TP!$A$2:$A$2501),$A376&gt;MAX(KW_TP!$A$2:$A$2501)),NA(),INDEX(KW_TP!$C$2:$C$2501,MATCH($A376,KW_TP!$A$2:$A$2501,1))))</f>
        <v/>
      </c>
      <c r="Q376" s="18">
        <f>IF(NOT(ISNUMBER($A376)),NA(),IFERROR(1*INDEX(BBG_Data!$J$2:$J$4000,MATCH($A376,BBG_Data!$I$2:$I$4000,0)),NA()))</f>
        <v/>
      </c>
      <c r="R376" s="18">
        <f>IF(NOT(ISNUMBER($A376)),NA(),IFERROR(1*INDEX(BBG_Data!$L$2:$L$4000,MATCH($A376,BBG_Data!$K$2:$K$4000,0)),NA()))</f>
        <v/>
      </c>
      <c r="S376" s="20">
        <f>IF(AND(ISNUMBER(B376),ISNUMBER(Q376),ISNUMBER(R376)),(B376-Q376-R376)*100,NA())</f>
        <v/>
      </c>
      <c r="T376" s="20">
        <f>IF(AND(ISNUMBER(B376),Settings!$B$17&gt;0),IF(ISNUMBER(INDEX($B:$B,Settings!$B$17)),(B376-INDEX($B:$B,Settings!$B$17))*100,NA()),NA())</f>
        <v/>
      </c>
      <c r="U376" s="20">
        <f>IF(AND(ISNUMBER(Q376),Settings!$B$17&gt;0),IF(ISNUMBER(INDEX($Q:$Q,Settings!$B$17)),(Q376-INDEX($Q:$Q,Settings!$B$17))*100,NA()),NA())</f>
        <v/>
      </c>
      <c r="V376" s="20">
        <f>IF(AND(ISNUMBER(R376),Settings!$B$17&gt;0),IF(ISNUMBER(INDEX($R:$R,Settings!$B$17)),(R376-INDEX($R:$R,Settings!$B$17))*100,NA()),NA())</f>
        <v/>
      </c>
      <c r="W376" s="20">
        <f>IF(AND(ISNUMBER(P376),Settings!$B$17&gt;0),IF(ISNUMBER(INDEX($P:$P,Settings!$B$17)),P376-INDEX($P:$P,Settings!$B$17),NA()),NA())</f>
        <v/>
      </c>
      <c r="X376" s="19">
        <f>IF(NOT(ISNUMBER($A376)),NA(),IF(OR($A376&lt;MIN(DKW_10Y!$A$2:$A$2918),$A376&gt;MAX(DKW_10Y!$A$2:$A$2918),Settings!$B$16&lt;MIN(DKW_10Y!$A$2:$A$2918)),NA(),(INDEX(DKW_10Y!$B$2:$B$2918,MATCH($A376,DKW_10Y!$A$2:$A$2918,1))-INDEX(DKW_10Y!$B$2:$B$2918,MATCH(Settings!$B$16,DKW_10Y!$A$2:$A$2918,1)))*100))</f>
        <v/>
      </c>
      <c r="Y376" s="19">
        <f>IF(NOT(ISNUMBER($A376)),NA(),IF(OR($A376&lt;MIN(DKW_10Y!$A$2:$A$2918),$A376&gt;MAX(DKW_10Y!$A$2:$A$2918),Settings!$B$16&lt;MIN(DKW_10Y!$A$2:$A$2918)),NA(),(INDEX(DKW_10Y!$C$2:$C$2918,MATCH($A376,DKW_10Y!$A$2:$A$2918,1))-INDEX(DKW_10Y!$C$2:$C$2918,MATCH(Settings!$B$16,DKW_10Y!$A$2:$A$2918,1)))*100))</f>
        <v/>
      </c>
      <c r="Z376" s="19">
        <f>IF(NOT(ISNUMBER($A376)),NA(),IF(OR($A376&lt;MIN(DKW_10Y!$A$2:$A$2918),$A376&gt;MAX(DKW_10Y!$A$2:$A$2918),Settings!$B$16&lt;MIN(DKW_10Y!$A$2:$A$2918)),NA(),(INDEX(DKW_10Y!$D$2:$D$2918,MATCH($A376,DKW_10Y!$A$2:$A$2918,1))-INDEX(DKW_10Y!$D$2:$D$2918,MATCH(Settings!$B$16,DKW_10Y!$A$2:$A$2918,1)))*100))</f>
        <v/>
      </c>
      <c r="AA376" s="19">
        <f>IF(NOT(ISNUMBER($A376)),NA(),IF(OR($A376&lt;MIN(DKW_10Y!$A$2:$A$2918),$A376&gt;MAX(DKW_10Y!$A$2:$A$2918),Settings!$B$16&lt;MIN(DKW_10Y!$A$2:$A$2918)),NA(),(INDEX(DKW_10Y!$E$2:$E$2918,MATCH($A376,DKW_10Y!$A$2:$A$2918,1))-INDEX(DKW_10Y!$E$2:$E$2918,MATCH(Settings!$B$16,DKW_10Y!$A$2:$A$2918,1)))*100))</f>
        <v/>
      </c>
      <c r="AB376" s="19">
        <f>IF(NOT(ISNUMBER($A376)),NA(),IF(OR($A376&lt;MIN(DKW_10Y!$A$2:$A$2918),$A376&gt;MAX(DKW_10Y!$A$2:$A$2918),Settings!$B$16&lt;MIN(DKW_10Y!$A$2:$A$2918)),NA(),(INDEX(DKW_10Y!$H$2:$H$2918,MATCH($A376,DKW_10Y!$A$2:$A$2918,1))-INDEX(DKW_10Y!$H$2:$H$2918,MATCH(Settings!$B$16,DKW_10Y!$A$2:$A$2918,1)))*100))</f>
        <v/>
      </c>
      <c r="AC376" s="18">
        <f>IF(NOT(ISNUMBER($A376)),NA(),IFERROR(1*INDEX(BBG_Data!$N$2:$N$4000,MATCH($A376,BBG_Data!$M$2:$M$4000,0)),NA()))</f>
        <v/>
      </c>
      <c r="AD376" s="18">
        <f>IF(NOT(ISNUMBER($A376)),NA(),IFERROR(1*INDEX(BBG_Data!$P$2:$P$4000,MATCH($A376,BBG_Data!$O$2:$O$4000,0)),NA()))</f>
        <v/>
      </c>
      <c r="AE376" s="18">
        <f>IF(NOT(ISNUMBER($A376)),NA(),IFERROR(1*INDEX(BBG_Data!$R$2:$R$4000,MATCH($A376,BBG_Data!$Q$2:$Q$4000,0)),NA()))</f>
        <v/>
      </c>
      <c r="AF376" s="20">
        <f>IF(AND(ISNUMBER(B376),ISNUMBER(AC376)),(B376-AC376)*100,NA())</f>
        <v/>
      </c>
      <c r="AG376" s="20">
        <f>IF(AND(ISNUMBER(AE376),ISNUMBER(AD376)),(AE376-AD376)*100,NA())</f>
        <v/>
      </c>
      <c r="AH376" s="19">
        <f>IF(NOT(ISNUMBER($A376)),NA(),IFERROR(INDEX(BBG_Data!$T$2:$T$4000,MATCH($A376,BBG_Data!$S$2:$S$4000,0))*Settings!$B$25,NA()))</f>
        <v/>
      </c>
      <c r="AI376" s="19">
        <f>IF(NOT(ISNUMBER($A376)),NA(),IFERROR(INDEX(BBG_Data!$V$2:$V$4000,MATCH($A376,BBG_Data!$U$2:$U$4000,0))*Settings!$B$25,NA()))</f>
        <v/>
      </c>
      <c r="AJ376" s="19">
        <f>IF(NOT(ISNUMBER($A376)),NA(),IFERROR(1*INDEX(BBG_Data!$X$2:$X$4000,MATCH($A376,BBG_Data!$W$2:$W$4000,0)),NA()))</f>
        <v/>
      </c>
      <c r="AK376" s="19">
        <f>IF(NOT(ISNUMBER($A376)),NA(),IFERROR(1*INDEX(BBG_Data!$Z$2:$Z$4000,MATCH($A376,BBG_Data!$Y$2:$Y$4000,0)),NA()))</f>
        <v/>
      </c>
    </row>
    <row r="377">
      <c r="A377" s="17">
        <f>IF(ISNUMBER(BBG_Data!A377),BBG_Data!A377,"")</f>
        <v/>
      </c>
      <c r="B377" s="18">
        <f>IF(AND(ISNUMBER($A377),ISNUMBER(BBG_Data!B377)),BBG_Data!B377,NA())</f>
        <v/>
      </c>
      <c r="C377" s="18">
        <f>IF(NOT(ISNUMBER($A377)),NA(),IFERROR(1*INDEX(BBG_Data!$D$2:$D$4000,MATCH($A377,BBG_Data!$C$2:$C$4000,0)),NA()))</f>
        <v/>
      </c>
      <c r="D377" s="19">
        <f>IF(NOT(ISNUMBER($A377)),NA(),IFERROR(1*INDEX(BBG_Data!$F$2:$F$4000,MATCH($A377,BBG_Data!$E$2:$E$4000,0)),NA()))</f>
        <v/>
      </c>
      <c r="E377" s="19">
        <f>IF(NOT(ISNUMBER($A377)),NA(),IFERROR(1*INDEX(BBG_Data!$H$2:$H$4000,MATCH($A377,BBG_Data!$G$2:$G$4000,0)),NA()))</f>
        <v/>
      </c>
      <c r="F377" s="20">
        <f>IF(AND(ISNUMBER(B377),ISNUMBER(B376)),IF(B377=B376,"",(B377-B376)*100),"")</f>
        <v/>
      </c>
      <c r="G377" s="20">
        <f>IF(AND(ISNUMBER(C377),ISNUMBER(C376)),IF(C377=C376,"",(C377-C376)*100),"")</f>
        <v/>
      </c>
      <c r="H377" s="20">
        <f>IF(OR(NOT(ISNUMBER($A377)),ROW()-2&lt;Settings!$B$11),NA(),IF(COUNT(OFFSET(F377,1-Settings!$B$11,0,Settings!$B$11,1))&lt;ROUNDUP(Settings!$B$11*Settings!$B$26,0),NA(),STDEV(OFFSET(F377,1-Settings!$B$11,0,Settings!$B$11,1))*SQRT(Settings!$B$13)))</f>
        <v/>
      </c>
      <c r="I377" s="20">
        <f>IF(OR(NOT(ISNUMBER($A377)),ROW()-2&lt;Settings!$B$12),NA(),IF(COUNT(OFFSET(F377,1-Settings!$B$12,0,Settings!$B$12,1))&lt;ROUNDUP(Settings!$B$12*Settings!$B$26,0),NA(),STDEV(OFFSET(F377,1-Settings!$B$12,0,Settings!$B$12,1))*SQRT(Settings!$B$13)))</f>
        <v/>
      </c>
      <c r="J377" s="20">
        <f>IF(OR(NOT(ISNUMBER($A377)),ROW()-2&lt;Settings!$B$11),NA(),IF(COUNT(OFFSET(G377,1-Settings!$B$11,0,Settings!$B$11,1))&lt;ROUNDUP(Settings!$B$11*Settings!$B$26,0),NA(),STDEV(OFFSET(G377,1-Settings!$B$11,0,Settings!$B$11,1))*SQRT(Settings!$B$13)))</f>
        <v/>
      </c>
      <c r="K377" s="20">
        <f>IF(OR(NOT(ISNUMBER($A377)),ROW()-2&lt;Settings!$B$12),NA(),IF(COUNT(OFFSET(G377,1-Settings!$B$12,0,Settings!$B$12,1))&lt;ROUNDUP(Settings!$B$12*Settings!$B$26,0),NA(),STDEV(OFFSET(G377,1-Settings!$B$12,0,Settings!$B$12,1))*SQRT(Settings!$B$13)))</f>
        <v/>
      </c>
      <c r="L377" s="20">
        <f>IF(AND(ISNUMBER(D377),ISNUMBER(H377)),D377-H377,NA())</f>
        <v/>
      </c>
      <c r="M377" s="20">
        <f>IF(AND(ISNUMBER(E377),ISNUMBER(K377)),E377-K377,NA())</f>
        <v/>
      </c>
      <c r="N377" s="20">
        <f>IF(NOT(ISNUMBER($A377)),NA(),IF(COUNT(OFFSET(G377,1,0,Settings!$B$12,1))&lt;ROUNDUP(Settings!$B$12*Settings!$B$26,0),NA(),STDEV(OFFSET(G377,1,0,Settings!$B$12,1))*SQRT(Settings!$B$13)))</f>
        <v/>
      </c>
      <c r="O377" s="20">
        <f>IF(AND(ISNUMBER(E377),ISNUMBER(N377)),E377-N377,NA())</f>
        <v/>
      </c>
      <c r="P377" s="19">
        <f>IF(NOT(ISNUMBER($A377)),NA(),IF(OR($A377&lt;MIN(KW_TP!$A$2:$A$2501),$A377&gt;MAX(KW_TP!$A$2:$A$2501)),NA(),INDEX(KW_TP!$C$2:$C$2501,MATCH($A377,KW_TP!$A$2:$A$2501,1))))</f>
        <v/>
      </c>
      <c r="Q377" s="18">
        <f>IF(NOT(ISNUMBER($A377)),NA(),IFERROR(1*INDEX(BBG_Data!$J$2:$J$4000,MATCH($A377,BBG_Data!$I$2:$I$4000,0)),NA()))</f>
        <v/>
      </c>
      <c r="R377" s="18">
        <f>IF(NOT(ISNUMBER($A377)),NA(),IFERROR(1*INDEX(BBG_Data!$L$2:$L$4000,MATCH($A377,BBG_Data!$K$2:$K$4000,0)),NA()))</f>
        <v/>
      </c>
      <c r="S377" s="20">
        <f>IF(AND(ISNUMBER(B377),ISNUMBER(Q377),ISNUMBER(R377)),(B377-Q377-R377)*100,NA())</f>
        <v/>
      </c>
      <c r="T377" s="20">
        <f>IF(AND(ISNUMBER(B377),Settings!$B$17&gt;0),IF(ISNUMBER(INDEX($B:$B,Settings!$B$17)),(B377-INDEX($B:$B,Settings!$B$17))*100,NA()),NA())</f>
        <v/>
      </c>
      <c r="U377" s="20">
        <f>IF(AND(ISNUMBER(Q377),Settings!$B$17&gt;0),IF(ISNUMBER(INDEX($Q:$Q,Settings!$B$17)),(Q377-INDEX($Q:$Q,Settings!$B$17))*100,NA()),NA())</f>
        <v/>
      </c>
      <c r="V377" s="20">
        <f>IF(AND(ISNUMBER(R377),Settings!$B$17&gt;0),IF(ISNUMBER(INDEX($R:$R,Settings!$B$17)),(R377-INDEX($R:$R,Settings!$B$17))*100,NA()),NA())</f>
        <v/>
      </c>
      <c r="W377" s="20">
        <f>IF(AND(ISNUMBER(P377),Settings!$B$17&gt;0),IF(ISNUMBER(INDEX($P:$P,Settings!$B$17)),P377-INDEX($P:$P,Settings!$B$17),NA()),NA())</f>
        <v/>
      </c>
      <c r="X377" s="19">
        <f>IF(NOT(ISNUMBER($A377)),NA(),IF(OR($A377&lt;MIN(DKW_10Y!$A$2:$A$2918),$A377&gt;MAX(DKW_10Y!$A$2:$A$2918),Settings!$B$16&lt;MIN(DKW_10Y!$A$2:$A$2918)),NA(),(INDEX(DKW_10Y!$B$2:$B$2918,MATCH($A377,DKW_10Y!$A$2:$A$2918,1))-INDEX(DKW_10Y!$B$2:$B$2918,MATCH(Settings!$B$16,DKW_10Y!$A$2:$A$2918,1)))*100))</f>
        <v/>
      </c>
      <c r="Y377" s="19">
        <f>IF(NOT(ISNUMBER($A377)),NA(),IF(OR($A377&lt;MIN(DKW_10Y!$A$2:$A$2918),$A377&gt;MAX(DKW_10Y!$A$2:$A$2918),Settings!$B$16&lt;MIN(DKW_10Y!$A$2:$A$2918)),NA(),(INDEX(DKW_10Y!$C$2:$C$2918,MATCH($A377,DKW_10Y!$A$2:$A$2918,1))-INDEX(DKW_10Y!$C$2:$C$2918,MATCH(Settings!$B$16,DKW_10Y!$A$2:$A$2918,1)))*100))</f>
        <v/>
      </c>
      <c r="Z377" s="19">
        <f>IF(NOT(ISNUMBER($A377)),NA(),IF(OR($A377&lt;MIN(DKW_10Y!$A$2:$A$2918),$A377&gt;MAX(DKW_10Y!$A$2:$A$2918),Settings!$B$16&lt;MIN(DKW_10Y!$A$2:$A$2918)),NA(),(INDEX(DKW_10Y!$D$2:$D$2918,MATCH($A377,DKW_10Y!$A$2:$A$2918,1))-INDEX(DKW_10Y!$D$2:$D$2918,MATCH(Settings!$B$16,DKW_10Y!$A$2:$A$2918,1)))*100))</f>
        <v/>
      </c>
      <c r="AA377" s="19">
        <f>IF(NOT(ISNUMBER($A377)),NA(),IF(OR($A377&lt;MIN(DKW_10Y!$A$2:$A$2918),$A377&gt;MAX(DKW_10Y!$A$2:$A$2918),Settings!$B$16&lt;MIN(DKW_10Y!$A$2:$A$2918)),NA(),(INDEX(DKW_10Y!$E$2:$E$2918,MATCH($A377,DKW_10Y!$A$2:$A$2918,1))-INDEX(DKW_10Y!$E$2:$E$2918,MATCH(Settings!$B$16,DKW_10Y!$A$2:$A$2918,1)))*100))</f>
        <v/>
      </c>
      <c r="AB377" s="19">
        <f>IF(NOT(ISNUMBER($A377)),NA(),IF(OR($A377&lt;MIN(DKW_10Y!$A$2:$A$2918),$A377&gt;MAX(DKW_10Y!$A$2:$A$2918),Settings!$B$16&lt;MIN(DKW_10Y!$A$2:$A$2918)),NA(),(INDEX(DKW_10Y!$H$2:$H$2918,MATCH($A377,DKW_10Y!$A$2:$A$2918,1))-INDEX(DKW_10Y!$H$2:$H$2918,MATCH(Settings!$B$16,DKW_10Y!$A$2:$A$2918,1)))*100))</f>
        <v/>
      </c>
      <c r="AC377" s="18">
        <f>IF(NOT(ISNUMBER($A377)),NA(),IFERROR(1*INDEX(BBG_Data!$N$2:$N$4000,MATCH($A377,BBG_Data!$M$2:$M$4000,0)),NA()))</f>
        <v/>
      </c>
      <c r="AD377" s="18">
        <f>IF(NOT(ISNUMBER($A377)),NA(),IFERROR(1*INDEX(BBG_Data!$P$2:$P$4000,MATCH($A377,BBG_Data!$O$2:$O$4000,0)),NA()))</f>
        <v/>
      </c>
      <c r="AE377" s="18">
        <f>IF(NOT(ISNUMBER($A377)),NA(),IFERROR(1*INDEX(BBG_Data!$R$2:$R$4000,MATCH($A377,BBG_Data!$Q$2:$Q$4000,0)),NA()))</f>
        <v/>
      </c>
      <c r="AF377" s="20">
        <f>IF(AND(ISNUMBER(B377),ISNUMBER(AC377)),(B377-AC377)*100,NA())</f>
        <v/>
      </c>
      <c r="AG377" s="20">
        <f>IF(AND(ISNUMBER(AE377),ISNUMBER(AD377)),(AE377-AD377)*100,NA())</f>
        <v/>
      </c>
      <c r="AH377" s="19">
        <f>IF(NOT(ISNUMBER($A377)),NA(),IFERROR(INDEX(BBG_Data!$T$2:$T$4000,MATCH($A377,BBG_Data!$S$2:$S$4000,0))*Settings!$B$25,NA()))</f>
        <v/>
      </c>
      <c r="AI377" s="19">
        <f>IF(NOT(ISNUMBER($A377)),NA(),IFERROR(INDEX(BBG_Data!$V$2:$V$4000,MATCH($A377,BBG_Data!$U$2:$U$4000,0))*Settings!$B$25,NA()))</f>
        <v/>
      </c>
      <c r="AJ377" s="19">
        <f>IF(NOT(ISNUMBER($A377)),NA(),IFERROR(1*INDEX(BBG_Data!$X$2:$X$4000,MATCH($A377,BBG_Data!$W$2:$W$4000,0)),NA()))</f>
        <v/>
      </c>
      <c r="AK377" s="19">
        <f>IF(NOT(ISNUMBER($A377)),NA(),IFERROR(1*INDEX(BBG_Data!$Z$2:$Z$4000,MATCH($A377,BBG_Data!$Y$2:$Y$4000,0)),NA()))</f>
        <v/>
      </c>
    </row>
    <row r="378">
      <c r="A378" s="17">
        <f>IF(ISNUMBER(BBG_Data!A378),BBG_Data!A378,"")</f>
        <v/>
      </c>
      <c r="B378" s="18">
        <f>IF(AND(ISNUMBER($A378),ISNUMBER(BBG_Data!B378)),BBG_Data!B378,NA())</f>
        <v/>
      </c>
      <c r="C378" s="18">
        <f>IF(NOT(ISNUMBER($A378)),NA(),IFERROR(1*INDEX(BBG_Data!$D$2:$D$4000,MATCH($A378,BBG_Data!$C$2:$C$4000,0)),NA()))</f>
        <v/>
      </c>
      <c r="D378" s="19">
        <f>IF(NOT(ISNUMBER($A378)),NA(),IFERROR(1*INDEX(BBG_Data!$F$2:$F$4000,MATCH($A378,BBG_Data!$E$2:$E$4000,0)),NA()))</f>
        <v/>
      </c>
      <c r="E378" s="19">
        <f>IF(NOT(ISNUMBER($A378)),NA(),IFERROR(1*INDEX(BBG_Data!$H$2:$H$4000,MATCH($A378,BBG_Data!$G$2:$G$4000,0)),NA()))</f>
        <v/>
      </c>
      <c r="F378" s="20">
        <f>IF(AND(ISNUMBER(B378),ISNUMBER(B377)),IF(B378=B377,"",(B378-B377)*100),"")</f>
        <v/>
      </c>
      <c r="G378" s="20">
        <f>IF(AND(ISNUMBER(C378),ISNUMBER(C377)),IF(C378=C377,"",(C378-C377)*100),"")</f>
        <v/>
      </c>
      <c r="H378" s="20">
        <f>IF(OR(NOT(ISNUMBER($A378)),ROW()-2&lt;Settings!$B$11),NA(),IF(COUNT(OFFSET(F378,1-Settings!$B$11,0,Settings!$B$11,1))&lt;ROUNDUP(Settings!$B$11*Settings!$B$26,0),NA(),STDEV(OFFSET(F378,1-Settings!$B$11,0,Settings!$B$11,1))*SQRT(Settings!$B$13)))</f>
        <v/>
      </c>
      <c r="I378" s="20">
        <f>IF(OR(NOT(ISNUMBER($A378)),ROW()-2&lt;Settings!$B$12),NA(),IF(COUNT(OFFSET(F378,1-Settings!$B$12,0,Settings!$B$12,1))&lt;ROUNDUP(Settings!$B$12*Settings!$B$26,0),NA(),STDEV(OFFSET(F378,1-Settings!$B$12,0,Settings!$B$12,1))*SQRT(Settings!$B$13)))</f>
        <v/>
      </c>
      <c r="J378" s="20">
        <f>IF(OR(NOT(ISNUMBER($A378)),ROW()-2&lt;Settings!$B$11),NA(),IF(COUNT(OFFSET(G378,1-Settings!$B$11,0,Settings!$B$11,1))&lt;ROUNDUP(Settings!$B$11*Settings!$B$26,0),NA(),STDEV(OFFSET(G378,1-Settings!$B$11,0,Settings!$B$11,1))*SQRT(Settings!$B$13)))</f>
        <v/>
      </c>
      <c r="K378" s="20">
        <f>IF(OR(NOT(ISNUMBER($A378)),ROW()-2&lt;Settings!$B$12),NA(),IF(COUNT(OFFSET(G378,1-Settings!$B$12,0,Settings!$B$12,1))&lt;ROUNDUP(Settings!$B$12*Settings!$B$26,0),NA(),STDEV(OFFSET(G378,1-Settings!$B$12,0,Settings!$B$12,1))*SQRT(Settings!$B$13)))</f>
        <v/>
      </c>
      <c r="L378" s="20">
        <f>IF(AND(ISNUMBER(D378),ISNUMBER(H378)),D378-H378,NA())</f>
        <v/>
      </c>
      <c r="M378" s="20">
        <f>IF(AND(ISNUMBER(E378),ISNUMBER(K378)),E378-K378,NA())</f>
        <v/>
      </c>
      <c r="N378" s="20">
        <f>IF(NOT(ISNUMBER($A378)),NA(),IF(COUNT(OFFSET(G378,1,0,Settings!$B$12,1))&lt;ROUNDUP(Settings!$B$12*Settings!$B$26,0),NA(),STDEV(OFFSET(G378,1,0,Settings!$B$12,1))*SQRT(Settings!$B$13)))</f>
        <v/>
      </c>
      <c r="O378" s="20">
        <f>IF(AND(ISNUMBER(E378),ISNUMBER(N378)),E378-N378,NA())</f>
        <v/>
      </c>
      <c r="P378" s="19">
        <f>IF(NOT(ISNUMBER($A378)),NA(),IF(OR($A378&lt;MIN(KW_TP!$A$2:$A$2501),$A378&gt;MAX(KW_TP!$A$2:$A$2501)),NA(),INDEX(KW_TP!$C$2:$C$2501,MATCH($A378,KW_TP!$A$2:$A$2501,1))))</f>
        <v/>
      </c>
      <c r="Q378" s="18">
        <f>IF(NOT(ISNUMBER($A378)),NA(),IFERROR(1*INDEX(BBG_Data!$J$2:$J$4000,MATCH($A378,BBG_Data!$I$2:$I$4000,0)),NA()))</f>
        <v/>
      </c>
      <c r="R378" s="18">
        <f>IF(NOT(ISNUMBER($A378)),NA(),IFERROR(1*INDEX(BBG_Data!$L$2:$L$4000,MATCH($A378,BBG_Data!$K$2:$K$4000,0)),NA()))</f>
        <v/>
      </c>
      <c r="S378" s="20">
        <f>IF(AND(ISNUMBER(B378),ISNUMBER(Q378),ISNUMBER(R378)),(B378-Q378-R378)*100,NA())</f>
        <v/>
      </c>
      <c r="T378" s="20">
        <f>IF(AND(ISNUMBER(B378),Settings!$B$17&gt;0),IF(ISNUMBER(INDEX($B:$B,Settings!$B$17)),(B378-INDEX($B:$B,Settings!$B$17))*100,NA()),NA())</f>
        <v/>
      </c>
      <c r="U378" s="20">
        <f>IF(AND(ISNUMBER(Q378),Settings!$B$17&gt;0),IF(ISNUMBER(INDEX($Q:$Q,Settings!$B$17)),(Q378-INDEX($Q:$Q,Settings!$B$17))*100,NA()),NA())</f>
        <v/>
      </c>
      <c r="V378" s="20">
        <f>IF(AND(ISNUMBER(R378),Settings!$B$17&gt;0),IF(ISNUMBER(INDEX($R:$R,Settings!$B$17)),(R378-INDEX($R:$R,Settings!$B$17))*100,NA()),NA())</f>
        <v/>
      </c>
      <c r="W378" s="20">
        <f>IF(AND(ISNUMBER(P378),Settings!$B$17&gt;0),IF(ISNUMBER(INDEX($P:$P,Settings!$B$17)),P378-INDEX($P:$P,Settings!$B$17),NA()),NA())</f>
        <v/>
      </c>
      <c r="X378" s="19">
        <f>IF(NOT(ISNUMBER($A378)),NA(),IF(OR($A378&lt;MIN(DKW_10Y!$A$2:$A$2918),$A378&gt;MAX(DKW_10Y!$A$2:$A$2918),Settings!$B$16&lt;MIN(DKW_10Y!$A$2:$A$2918)),NA(),(INDEX(DKW_10Y!$B$2:$B$2918,MATCH($A378,DKW_10Y!$A$2:$A$2918,1))-INDEX(DKW_10Y!$B$2:$B$2918,MATCH(Settings!$B$16,DKW_10Y!$A$2:$A$2918,1)))*100))</f>
        <v/>
      </c>
      <c r="Y378" s="19">
        <f>IF(NOT(ISNUMBER($A378)),NA(),IF(OR($A378&lt;MIN(DKW_10Y!$A$2:$A$2918),$A378&gt;MAX(DKW_10Y!$A$2:$A$2918),Settings!$B$16&lt;MIN(DKW_10Y!$A$2:$A$2918)),NA(),(INDEX(DKW_10Y!$C$2:$C$2918,MATCH($A378,DKW_10Y!$A$2:$A$2918,1))-INDEX(DKW_10Y!$C$2:$C$2918,MATCH(Settings!$B$16,DKW_10Y!$A$2:$A$2918,1)))*100))</f>
        <v/>
      </c>
      <c r="Z378" s="19">
        <f>IF(NOT(ISNUMBER($A378)),NA(),IF(OR($A378&lt;MIN(DKW_10Y!$A$2:$A$2918),$A378&gt;MAX(DKW_10Y!$A$2:$A$2918),Settings!$B$16&lt;MIN(DKW_10Y!$A$2:$A$2918)),NA(),(INDEX(DKW_10Y!$D$2:$D$2918,MATCH($A378,DKW_10Y!$A$2:$A$2918,1))-INDEX(DKW_10Y!$D$2:$D$2918,MATCH(Settings!$B$16,DKW_10Y!$A$2:$A$2918,1)))*100))</f>
        <v/>
      </c>
      <c r="AA378" s="19">
        <f>IF(NOT(ISNUMBER($A378)),NA(),IF(OR($A378&lt;MIN(DKW_10Y!$A$2:$A$2918),$A378&gt;MAX(DKW_10Y!$A$2:$A$2918),Settings!$B$16&lt;MIN(DKW_10Y!$A$2:$A$2918)),NA(),(INDEX(DKW_10Y!$E$2:$E$2918,MATCH($A378,DKW_10Y!$A$2:$A$2918,1))-INDEX(DKW_10Y!$E$2:$E$2918,MATCH(Settings!$B$16,DKW_10Y!$A$2:$A$2918,1)))*100))</f>
        <v/>
      </c>
      <c r="AB378" s="19">
        <f>IF(NOT(ISNUMBER($A378)),NA(),IF(OR($A378&lt;MIN(DKW_10Y!$A$2:$A$2918),$A378&gt;MAX(DKW_10Y!$A$2:$A$2918),Settings!$B$16&lt;MIN(DKW_10Y!$A$2:$A$2918)),NA(),(INDEX(DKW_10Y!$H$2:$H$2918,MATCH($A378,DKW_10Y!$A$2:$A$2918,1))-INDEX(DKW_10Y!$H$2:$H$2918,MATCH(Settings!$B$16,DKW_10Y!$A$2:$A$2918,1)))*100))</f>
        <v/>
      </c>
      <c r="AC378" s="18">
        <f>IF(NOT(ISNUMBER($A378)),NA(),IFERROR(1*INDEX(BBG_Data!$N$2:$N$4000,MATCH($A378,BBG_Data!$M$2:$M$4000,0)),NA()))</f>
        <v/>
      </c>
      <c r="AD378" s="18">
        <f>IF(NOT(ISNUMBER($A378)),NA(),IFERROR(1*INDEX(BBG_Data!$P$2:$P$4000,MATCH($A378,BBG_Data!$O$2:$O$4000,0)),NA()))</f>
        <v/>
      </c>
      <c r="AE378" s="18">
        <f>IF(NOT(ISNUMBER($A378)),NA(),IFERROR(1*INDEX(BBG_Data!$R$2:$R$4000,MATCH($A378,BBG_Data!$Q$2:$Q$4000,0)),NA()))</f>
        <v/>
      </c>
      <c r="AF378" s="20">
        <f>IF(AND(ISNUMBER(B378),ISNUMBER(AC378)),(B378-AC378)*100,NA())</f>
        <v/>
      </c>
      <c r="AG378" s="20">
        <f>IF(AND(ISNUMBER(AE378),ISNUMBER(AD378)),(AE378-AD378)*100,NA())</f>
        <v/>
      </c>
      <c r="AH378" s="19">
        <f>IF(NOT(ISNUMBER($A378)),NA(),IFERROR(INDEX(BBG_Data!$T$2:$T$4000,MATCH($A378,BBG_Data!$S$2:$S$4000,0))*Settings!$B$25,NA()))</f>
        <v/>
      </c>
      <c r="AI378" s="19">
        <f>IF(NOT(ISNUMBER($A378)),NA(),IFERROR(INDEX(BBG_Data!$V$2:$V$4000,MATCH($A378,BBG_Data!$U$2:$U$4000,0))*Settings!$B$25,NA()))</f>
        <v/>
      </c>
      <c r="AJ378" s="19">
        <f>IF(NOT(ISNUMBER($A378)),NA(),IFERROR(1*INDEX(BBG_Data!$X$2:$X$4000,MATCH($A378,BBG_Data!$W$2:$W$4000,0)),NA()))</f>
        <v/>
      </c>
      <c r="AK378" s="19">
        <f>IF(NOT(ISNUMBER($A378)),NA(),IFERROR(1*INDEX(BBG_Data!$Z$2:$Z$4000,MATCH($A378,BBG_Data!$Y$2:$Y$4000,0)),NA()))</f>
        <v/>
      </c>
    </row>
    <row r="379">
      <c r="A379" s="17">
        <f>IF(ISNUMBER(BBG_Data!A379),BBG_Data!A379,"")</f>
        <v/>
      </c>
      <c r="B379" s="18">
        <f>IF(AND(ISNUMBER($A379),ISNUMBER(BBG_Data!B379)),BBG_Data!B379,NA())</f>
        <v/>
      </c>
      <c r="C379" s="18">
        <f>IF(NOT(ISNUMBER($A379)),NA(),IFERROR(1*INDEX(BBG_Data!$D$2:$D$4000,MATCH($A379,BBG_Data!$C$2:$C$4000,0)),NA()))</f>
        <v/>
      </c>
      <c r="D379" s="19">
        <f>IF(NOT(ISNUMBER($A379)),NA(),IFERROR(1*INDEX(BBG_Data!$F$2:$F$4000,MATCH($A379,BBG_Data!$E$2:$E$4000,0)),NA()))</f>
        <v/>
      </c>
      <c r="E379" s="19">
        <f>IF(NOT(ISNUMBER($A379)),NA(),IFERROR(1*INDEX(BBG_Data!$H$2:$H$4000,MATCH($A379,BBG_Data!$G$2:$G$4000,0)),NA()))</f>
        <v/>
      </c>
      <c r="F379" s="20">
        <f>IF(AND(ISNUMBER(B379),ISNUMBER(B378)),IF(B379=B378,"",(B379-B378)*100),"")</f>
        <v/>
      </c>
      <c r="G379" s="20">
        <f>IF(AND(ISNUMBER(C379),ISNUMBER(C378)),IF(C379=C378,"",(C379-C378)*100),"")</f>
        <v/>
      </c>
      <c r="H379" s="20">
        <f>IF(OR(NOT(ISNUMBER($A379)),ROW()-2&lt;Settings!$B$11),NA(),IF(COUNT(OFFSET(F379,1-Settings!$B$11,0,Settings!$B$11,1))&lt;ROUNDUP(Settings!$B$11*Settings!$B$26,0),NA(),STDEV(OFFSET(F379,1-Settings!$B$11,0,Settings!$B$11,1))*SQRT(Settings!$B$13)))</f>
        <v/>
      </c>
      <c r="I379" s="20">
        <f>IF(OR(NOT(ISNUMBER($A379)),ROW()-2&lt;Settings!$B$12),NA(),IF(COUNT(OFFSET(F379,1-Settings!$B$12,0,Settings!$B$12,1))&lt;ROUNDUP(Settings!$B$12*Settings!$B$26,0),NA(),STDEV(OFFSET(F379,1-Settings!$B$12,0,Settings!$B$12,1))*SQRT(Settings!$B$13)))</f>
        <v/>
      </c>
      <c r="J379" s="20">
        <f>IF(OR(NOT(ISNUMBER($A379)),ROW()-2&lt;Settings!$B$11),NA(),IF(COUNT(OFFSET(G379,1-Settings!$B$11,0,Settings!$B$11,1))&lt;ROUNDUP(Settings!$B$11*Settings!$B$26,0),NA(),STDEV(OFFSET(G379,1-Settings!$B$11,0,Settings!$B$11,1))*SQRT(Settings!$B$13)))</f>
        <v/>
      </c>
      <c r="K379" s="20">
        <f>IF(OR(NOT(ISNUMBER($A379)),ROW()-2&lt;Settings!$B$12),NA(),IF(COUNT(OFFSET(G379,1-Settings!$B$12,0,Settings!$B$12,1))&lt;ROUNDUP(Settings!$B$12*Settings!$B$26,0),NA(),STDEV(OFFSET(G379,1-Settings!$B$12,0,Settings!$B$12,1))*SQRT(Settings!$B$13)))</f>
        <v/>
      </c>
      <c r="L379" s="20">
        <f>IF(AND(ISNUMBER(D379),ISNUMBER(H379)),D379-H379,NA())</f>
        <v/>
      </c>
      <c r="M379" s="20">
        <f>IF(AND(ISNUMBER(E379),ISNUMBER(K379)),E379-K379,NA())</f>
        <v/>
      </c>
      <c r="N379" s="20">
        <f>IF(NOT(ISNUMBER($A379)),NA(),IF(COUNT(OFFSET(G379,1,0,Settings!$B$12,1))&lt;ROUNDUP(Settings!$B$12*Settings!$B$26,0),NA(),STDEV(OFFSET(G379,1,0,Settings!$B$12,1))*SQRT(Settings!$B$13)))</f>
        <v/>
      </c>
      <c r="O379" s="20">
        <f>IF(AND(ISNUMBER(E379),ISNUMBER(N379)),E379-N379,NA())</f>
        <v/>
      </c>
      <c r="P379" s="19">
        <f>IF(NOT(ISNUMBER($A379)),NA(),IF(OR($A379&lt;MIN(KW_TP!$A$2:$A$2501),$A379&gt;MAX(KW_TP!$A$2:$A$2501)),NA(),INDEX(KW_TP!$C$2:$C$2501,MATCH($A379,KW_TP!$A$2:$A$2501,1))))</f>
        <v/>
      </c>
      <c r="Q379" s="18">
        <f>IF(NOT(ISNUMBER($A379)),NA(),IFERROR(1*INDEX(BBG_Data!$J$2:$J$4000,MATCH($A379,BBG_Data!$I$2:$I$4000,0)),NA()))</f>
        <v/>
      </c>
      <c r="R379" s="18">
        <f>IF(NOT(ISNUMBER($A379)),NA(),IFERROR(1*INDEX(BBG_Data!$L$2:$L$4000,MATCH($A379,BBG_Data!$K$2:$K$4000,0)),NA()))</f>
        <v/>
      </c>
      <c r="S379" s="20">
        <f>IF(AND(ISNUMBER(B379),ISNUMBER(Q379),ISNUMBER(R379)),(B379-Q379-R379)*100,NA())</f>
        <v/>
      </c>
      <c r="T379" s="20">
        <f>IF(AND(ISNUMBER(B379),Settings!$B$17&gt;0),IF(ISNUMBER(INDEX($B:$B,Settings!$B$17)),(B379-INDEX($B:$B,Settings!$B$17))*100,NA()),NA())</f>
        <v/>
      </c>
      <c r="U379" s="20">
        <f>IF(AND(ISNUMBER(Q379),Settings!$B$17&gt;0),IF(ISNUMBER(INDEX($Q:$Q,Settings!$B$17)),(Q379-INDEX($Q:$Q,Settings!$B$17))*100,NA()),NA())</f>
        <v/>
      </c>
      <c r="V379" s="20">
        <f>IF(AND(ISNUMBER(R379),Settings!$B$17&gt;0),IF(ISNUMBER(INDEX($R:$R,Settings!$B$17)),(R379-INDEX($R:$R,Settings!$B$17))*100,NA()),NA())</f>
        <v/>
      </c>
      <c r="W379" s="20">
        <f>IF(AND(ISNUMBER(P379),Settings!$B$17&gt;0),IF(ISNUMBER(INDEX($P:$P,Settings!$B$17)),P379-INDEX($P:$P,Settings!$B$17),NA()),NA())</f>
        <v/>
      </c>
      <c r="X379" s="19">
        <f>IF(NOT(ISNUMBER($A379)),NA(),IF(OR($A379&lt;MIN(DKW_10Y!$A$2:$A$2918),$A379&gt;MAX(DKW_10Y!$A$2:$A$2918),Settings!$B$16&lt;MIN(DKW_10Y!$A$2:$A$2918)),NA(),(INDEX(DKW_10Y!$B$2:$B$2918,MATCH($A379,DKW_10Y!$A$2:$A$2918,1))-INDEX(DKW_10Y!$B$2:$B$2918,MATCH(Settings!$B$16,DKW_10Y!$A$2:$A$2918,1)))*100))</f>
        <v/>
      </c>
      <c r="Y379" s="19">
        <f>IF(NOT(ISNUMBER($A379)),NA(),IF(OR($A379&lt;MIN(DKW_10Y!$A$2:$A$2918),$A379&gt;MAX(DKW_10Y!$A$2:$A$2918),Settings!$B$16&lt;MIN(DKW_10Y!$A$2:$A$2918)),NA(),(INDEX(DKW_10Y!$C$2:$C$2918,MATCH($A379,DKW_10Y!$A$2:$A$2918,1))-INDEX(DKW_10Y!$C$2:$C$2918,MATCH(Settings!$B$16,DKW_10Y!$A$2:$A$2918,1)))*100))</f>
        <v/>
      </c>
      <c r="Z379" s="19">
        <f>IF(NOT(ISNUMBER($A379)),NA(),IF(OR($A379&lt;MIN(DKW_10Y!$A$2:$A$2918),$A379&gt;MAX(DKW_10Y!$A$2:$A$2918),Settings!$B$16&lt;MIN(DKW_10Y!$A$2:$A$2918)),NA(),(INDEX(DKW_10Y!$D$2:$D$2918,MATCH($A379,DKW_10Y!$A$2:$A$2918,1))-INDEX(DKW_10Y!$D$2:$D$2918,MATCH(Settings!$B$16,DKW_10Y!$A$2:$A$2918,1)))*100))</f>
        <v/>
      </c>
      <c r="AA379" s="19">
        <f>IF(NOT(ISNUMBER($A379)),NA(),IF(OR($A379&lt;MIN(DKW_10Y!$A$2:$A$2918),$A379&gt;MAX(DKW_10Y!$A$2:$A$2918),Settings!$B$16&lt;MIN(DKW_10Y!$A$2:$A$2918)),NA(),(INDEX(DKW_10Y!$E$2:$E$2918,MATCH($A379,DKW_10Y!$A$2:$A$2918,1))-INDEX(DKW_10Y!$E$2:$E$2918,MATCH(Settings!$B$16,DKW_10Y!$A$2:$A$2918,1)))*100))</f>
        <v/>
      </c>
      <c r="AB379" s="19">
        <f>IF(NOT(ISNUMBER($A379)),NA(),IF(OR($A379&lt;MIN(DKW_10Y!$A$2:$A$2918),$A379&gt;MAX(DKW_10Y!$A$2:$A$2918),Settings!$B$16&lt;MIN(DKW_10Y!$A$2:$A$2918)),NA(),(INDEX(DKW_10Y!$H$2:$H$2918,MATCH($A379,DKW_10Y!$A$2:$A$2918,1))-INDEX(DKW_10Y!$H$2:$H$2918,MATCH(Settings!$B$16,DKW_10Y!$A$2:$A$2918,1)))*100))</f>
        <v/>
      </c>
      <c r="AC379" s="18">
        <f>IF(NOT(ISNUMBER($A379)),NA(),IFERROR(1*INDEX(BBG_Data!$N$2:$N$4000,MATCH($A379,BBG_Data!$M$2:$M$4000,0)),NA()))</f>
        <v/>
      </c>
      <c r="AD379" s="18">
        <f>IF(NOT(ISNUMBER($A379)),NA(),IFERROR(1*INDEX(BBG_Data!$P$2:$P$4000,MATCH($A379,BBG_Data!$O$2:$O$4000,0)),NA()))</f>
        <v/>
      </c>
      <c r="AE379" s="18">
        <f>IF(NOT(ISNUMBER($A379)),NA(),IFERROR(1*INDEX(BBG_Data!$R$2:$R$4000,MATCH($A379,BBG_Data!$Q$2:$Q$4000,0)),NA()))</f>
        <v/>
      </c>
      <c r="AF379" s="20">
        <f>IF(AND(ISNUMBER(B379),ISNUMBER(AC379)),(B379-AC379)*100,NA())</f>
        <v/>
      </c>
      <c r="AG379" s="20">
        <f>IF(AND(ISNUMBER(AE379),ISNUMBER(AD379)),(AE379-AD379)*100,NA())</f>
        <v/>
      </c>
      <c r="AH379" s="19">
        <f>IF(NOT(ISNUMBER($A379)),NA(),IFERROR(INDEX(BBG_Data!$T$2:$T$4000,MATCH($A379,BBG_Data!$S$2:$S$4000,0))*Settings!$B$25,NA()))</f>
        <v/>
      </c>
      <c r="AI379" s="19">
        <f>IF(NOT(ISNUMBER($A379)),NA(),IFERROR(INDEX(BBG_Data!$V$2:$V$4000,MATCH($A379,BBG_Data!$U$2:$U$4000,0))*Settings!$B$25,NA()))</f>
        <v/>
      </c>
      <c r="AJ379" s="19">
        <f>IF(NOT(ISNUMBER($A379)),NA(),IFERROR(1*INDEX(BBG_Data!$X$2:$X$4000,MATCH($A379,BBG_Data!$W$2:$W$4000,0)),NA()))</f>
        <v/>
      </c>
      <c r="AK379" s="19">
        <f>IF(NOT(ISNUMBER($A379)),NA(),IFERROR(1*INDEX(BBG_Data!$Z$2:$Z$4000,MATCH($A379,BBG_Data!$Y$2:$Y$4000,0)),NA()))</f>
        <v/>
      </c>
    </row>
    <row r="380">
      <c r="A380" s="17">
        <f>IF(ISNUMBER(BBG_Data!A380),BBG_Data!A380,"")</f>
        <v/>
      </c>
      <c r="B380" s="18">
        <f>IF(AND(ISNUMBER($A380),ISNUMBER(BBG_Data!B380)),BBG_Data!B380,NA())</f>
        <v/>
      </c>
      <c r="C380" s="18">
        <f>IF(NOT(ISNUMBER($A380)),NA(),IFERROR(1*INDEX(BBG_Data!$D$2:$D$4000,MATCH($A380,BBG_Data!$C$2:$C$4000,0)),NA()))</f>
        <v/>
      </c>
      <c r="D380" s="19">
        <f>IF(NOT(ISNUMBER($A380)),NA(),IFERROR(1*INDEX(BBG_Data!$F$2:$F$4000,MATCH($A380,BBG_Data!$E$2:$E$4000,0)),NA()))</f>
        <v/>
      </c>
      <c r="E380" s="19">
        <f>IF(NOT(ISNUMBER($A380)),NA(),IFERROR(1*INDEX(BBG_Data!$H$2:$H$4000,MATCH($A380,BBG_Data!$G$2:$G$4000,0)),NA()))</f>
        <v/>
      </c>
      <c r="F380" s="20">
        <f>IF(AND(ISNUMBER(B380),ISNUMBER(B379)),IF(B380=B379,"",(B380-B379)*100),"")</f>
        <v/>
      </c>
      <c r="G380" s="20">
        <f>IF(AND(ISNUMBER(C380),ISNUMBER(C379)),IF(C380=C379,"",(C380-C379)*100),"")</f>
        <v/>
      </c>
      <c r="H380" s="20">
        <f>IF(OR(NOT(ISNUMBER($A380)),ROW()-2&lt;Settings!$B$11),NA(),IF(COUNT(OFFSET(F380,1-Settings!$B$11,0,Settings!$B$11,1))&lt;ROUNDUP(Settings!$B$11*Settings!$B$26,0),NA(),STDEV(OFFSET(F380,1-Settings!$B$11,0,Settings!$B$11,1))*SQRT(Settings!$B$13)))</f>
        <v/>
      </c>
      <c r="I380" s="20">
        <f>IF(OR(NOT(ISNUMBER($A380)),ROW()-2&lt;Settings!$B$12),NA(),IF(COUNT(OFFSET(F380,1-Settings!$B$12,0,Settings!$B$12,1))&lt;ROUNDUP(Settings!$B$12*Settings!$B$26,0),NA(),STDEV(OFFSET(F380,1-Settings!$B$12,0,Settings!$B$12,1))*SQRT(Settings!$B$13)))</f>
        <v/>
      </c>
      <c r="J380" s="20">
        <f>IF(OR(NOT(ISNUMBER($A380)),ROW()-2&lt;Settings!$B$11),NA(),IF(COUNT(OFFSET(G380,1-Settings!$B$11,0,Settings!$B$11,1))&lt;ROUNDUP(Settings!$B$11*Settings!$B$26,0),NA(),STDEV(OFFSET(G380,1-Settings!$B$11,0,Settings!$B$11,1))*SQRT(Settings!$B$13)))</f>
        <v/>
      </c>
      <c r="K380" s="20">
        <f>IF(OR(NOT(ISNUMBER($A380)),ROW()-2&lt;Settings!$B$12),NA(),IF(COUNT(OFFSET(G380,1-Settings!$B$12,0,Settings!$B$12,1))&lt;ROUNDUP(Settings!$B$12*Settings!$B$26,0),NA(),STDEV(OFFSET(G380,1-Settings!$B$12,0,Settings!$B$12,1))*SQRT(Settings!$B$13)))</f>
        <v/>
      </c>
      <c r="L380" s="20">
        <f>IF(AND(ISNUMBER(D380),ISNUMBER(H380)),D380-H380,NA())</f>
        <v/>
      </c>
      <c r="M380" s="20">
        <f>IF(AND(ISNUMBER(E380),ISNUMBER(K380)),E380-K380,NA())</f>
        <v/>
      </c>
      <c r="N380" s="20">
        <f>IF(NOT(ISNUMBER($A380)),NA(),IF(COUNT(OFFSET(G380,1,0,Settings!$B$12,1))&lt;ROUNDUP(Settings!$B$12*Settings!$B$26,0),NA(),STDEV(OFFSET(G380,1,0,Settings!$B$12,1))*SQRT(Settings!$B$13)))</f>
        <v/>
      </c>
      <c r="O380" s="20">
        <f>IF(AND(ISNUMBER(E380),ISNUMBER(N380)),E380-N380,NA())</f>
        <v/>
      </c>
      <c r="P380" s="19">
        <f>IF(NOT(ISNUMBER($A380)),NA(),IF(OR($A380&lt;MIN(KW_TP!$A$2:$A$2501),$A380&gt;MAX(KW_TP!$A$2:$A$2501)),NA(),INDEX(KW_TP!$C$2:$C$2501,MATCH($A380,KW_TP!$A$2:$A$2501,1))))</f>
        <v/>
      </c>
      <c r="Q380" s="18">
        <f>IF(NOT(ISNUMBER($A380)),NA(),IFERROR(1*INDEX(BBG_Data!$J$2:$J$4000,MATCH($A380,BBG_Data!$I$2:$I$4000,0)),NA()))</f>
        <v/>
      </c>
      <c r="R380" s="18">
        <f>IF(NOT(ISNUMBER($A380)),NA(),IFERROR(1*INDEX(BBG_Data!$L$2:$L$4000,MATCH($A380,BBG_Data!$K$2:$K$4000,0)),NA()))</f>
        <v/>
      </c>
      <c r="S380" s="20">
        <f>IF(AND(ISNUMBER(B380),ISNUMBER(Q380),ISNUMBER(R380)),(B380-Q380-R380)*100,NA())</f>
        <v/>
      </c>
      <c r="T380" s="20">
        <f>IF(AND(ISNUMBER(B380),Settings!$B$17&gt;0),IF(ISNUMBER(INDEX($B:$B,Settings!$B$17)),(B380-INDEX($B:$B,Settings!$B$17))*100,NA()),NA())</f>
        <v/>
      </c>
      <c r="U380" s="20">
        <f>IF(AND(ISNUMBER(Q380),Settings!$B$17&gt;0),IF(ISNUMBER(INDEX($Q:$Q,Settings!$B$17)),(Q380-INDEX($Q:$Q,Settings!$B$17))*100,NA()),NA())</f>
        <v/>
      </c>
      <c r="V380" s="20">
        <f>IF(AND(ISNUMBER(R380),Settings!$B$17&gt;0),IF(ISNUMBER(INDEX($R:$R,Settings!$B$17)),(R380-INDEX($R:$R,Settings!$B$17))*100,NA()),NA())</f>
        <v/>
      </c>
      <c r="W380" s="20">
        <f>IF(AND(ISNUMBER(P380),Settings!$B$17&gt;0),IF(ISNUMBER(INDEX($P:$P,Settings!$B$17)),P380-INDEX($P:$P,Settings!$B$17),NA()),NA())</f>
        <v/>
      </c>
      <c r="X380" s="19">
        <f>IF(NOT(ISNUMBER($A380)),NA(),IF(OR($A380&lt;MIN(DKW_10Y!$A$2:$A$2918),$A380&gt;MAX(DKW_10Y!$A$2:$A$2918),Settings!$B$16&lt;MIN(DKW_10Y!$A$2:$A$2918)),NA(),(INDEX(DKW_10Y!$B$2:$B$2918,MATCH($A380,DKW_10Y!$A$2:$A$2918,1))-INDEX(DKW_10Y!$B$2:$B$2918,MATCH(Settings!$B$16,DKW_10Y!$A$2:$A$2918,1)))*100))</f>
        <v/>
      </c>
      <c r="Y380" s="19">
        <f>IF(NOT(ISNUMBER($A380)),NA(),IF(OR($A380&lt;MIN(DKW_10Y!$A$2:$A$2918),$A380&gt;MAX(DKW_10Y!$A$2:$A$2918),Settings!$B$16&lt;MIN(DKW_10Y!$A$2:$A$2918)),NA(),(INDEX(DKW_10Y!$C$2:$C$2918,MATCH($A380,DKW_10Y!$A$2:$A$2918,1))-INDEX(DKW_10Y!$C$2:$C$2918,MATCH(Settings!$B$16,DKW_10Y!$A$2:$A$2918,1)))*100))</f>
        <v/>
      </c>
      <c r="Z380" s="19">
        <f>IF(NOT(ISNUMBER($A380)),NA(),IF(OR($A380&lt;MIN(DKW_10Y!$A$2:$A$2918),$A380&gt;MAX(DKW_10Y!$A$2:$A$2918),Settings!$B$16&lt;MIN(DKW_10Y!$A$2:$A$2918)),NA(),(INDEX(DKW_10Y!$D$2:$D$2918,MATCH($A380,DKW_10Y!$A$2:$A$2918,1))-INDEX(DKW_10Y!$D$2:$D$2918,MATCH(Settings!$B$16,DKW_10Y!$A$2:$A$2918,1)))*100))</f>
        <v/>
      </c>
      <c r="AA380" s="19">
        <f>IF(NOT(ISNUMBER($A380)),NA(),IF(OR($A380&lt;MIN(DKW_10Y!$A$2:$A$2918),$A380&gt;MAX(DKW_10Y!$A$2:$A$2918),Settings!$B$16&lt;MIN(DKW_10Y!$A$2:$A$2918)),NA(),(INDEX(DKW_10Y!$E$2:$E$2918,MATCH($A380,DKW_10Y!$A$2:$A$2918,1))-INDEX(DKW_10Y!$E$2:$E$2918,MATCH(Settings!$B$16,DKW_10Y!$A$2:$A$2918,1)))*100))</f>
        <v/>
      </c>
      <c r="AB380" s="19">
        <f>IF(NOT(ISNUMBER($A380)),NA(),IF(OR($A380&lt;MIN(DKW_10Y!$A$2:$A$2918),$A380&gt;MAX(DKW_10Y!$A$2:$A$2918),Settings!$B$16&lt;MIN(DKW_10Y!$A$2:$A$2918)),NA(),(INDEX(DKW_10Y!$H$2:$H$2918,MATCH($A380,DKW_10Y!$A$2:$A$2918,1))-INDEX(DKW_10Y!$H$2:$H$2918,MATCH(Settings!$B$16,DKW_10Y!$A$2:$A$2918,1)))*100))</f>
        <v/>
      </c>
      <c r="AC380" s="18">
        <f>IF(NOT(ISNUMBER($A380)),NA(),IFERROR(1*INDEX(BBG_Data!$N$2:$N$4000,MATCH($A380,BBG_Data!$M$2:$M$4000,0)),NA()))</f>
        <v/>
      </c>
      <c r="AD380" s="18">
        <f>IF(NOT(ISNUMBER($A380)),NA(),IFERROR(1*INDEX(BBG_Data!$P$2:$P$4000,MATCH($A380,BBG_Data!$O$2:$O$4000,0)),NA()))</f>
        <v/>
      </c>
      <c r="AE380" s="18">
        <f>IF(NOT(ISNUMBER($A380)),NA(),IFERROR(1*INDEX(BBG_Data!$R$2:$R$4000,MATCH($A380,BBG_Data!$Q$2:$Q$4000,0)),NA()))</f>
        <v/>
      </c>
      <c r="AF380" s="20">
        <f>IF(AND(ISNUMBER(B380),ISNUMBER(AC380)),(B380-AC380)*100,NA())</f>
        <v/>
      </c>
      <c r="AG380" s="20">
        <f>IF(AND(ISNUMBER(AE380),ISNUMBER(AD380)),(AE380-AD380)*100,NA())</f>
        <v/>
      </c>
      <c r="AH380" s="19">
        <f>IF(NOT(ISNUMBER($A380)),NA(),IFERROR(INDEX(BBG_Data!$T$2:$T$4000,MATCH($A380,BBG_Data!$S$2:$S$4000,0))*Settings!$B$25,NA()))</f>
        <v/>
      </c>
      <c r="AI380" s="19">
        <f>IF(NOT(ISNUMBER($A380)),NA(),IFERROR(INDEX(BBG_Data!$V$2:$V$4000,MATCH($A380,BBG_Data!$U$2:$U$4000,0))*Settings!$B$25,NA()))</f>
        <v/>
      </c>
      <c r="AJ380" s="19">
        <f>IF(NOT(ISNUMBER($A380)),NA(),IFERROR(1*INDEX(BBG_Data!$X$2:$X$4000,MATCH($A380,BBG_Data!$W$2:$W$4000,0)),NA()))</f>
        <v/>
      </c>
      <c r="AK380" s="19">
        <f>IF(NOT(ISNUMBER($A380)),NA(),IFERROR(1*INDEX(BBG_Data!$Z$2:$Z$4000,MATCH($A380,BBG_Data!$Y$2:$Y$4000,0)),NA()))</f>
        <v/>
      </c>
    </row>
    <row r="381">
      <c r="A381" s="17">
        <f>IF(ISNUMBER(BBG_Data!A381),BBG_Data!A381,"")</f>
        <v/>
      </c>
      <c r="B381" s="18">
        <f>IF(AND(ISNUMBER($A381),ISNUMBER(BBG_Data!B381)),BBG_Data!B381,NA())</f>
        <v/>
      </c>
      <c r="C381" s="18">
        <f>IF(NOT(ISNUMBER($A381)),NA(),IFERROR(1*INDEX(BBG_Data!$D$2:$D$4000,MATCH($A381,BBG_Data!$C$2:$C$4000,0)),NA()))</f>
        <v/>
      </c>
      <c r="D381" s="19">
        <f>IF(NOT(ISNUMBER($A381)),NA(),IFERROR(1*INDEX(BBG_Data!$F$2:$F$4000,MATCH($A381,BBG_Data!$E$2:$E$4000,0)),NA()))</f>
        <v/>
      </c>
      <c r="E381" s="19">
        <f>IF(NOT(ISNUMBER($A381)),NA(),IFERROR(1*INDEX(BBG_Data!$H$2:$H$4000,MATCH($A381,BBG_Data!$G$2:$G$4000,0)),NA()))</f>
        <v/>
      </c>
      <c r="F381" s="20">
        <f>IF(AND(ISNUMBER(B381),ISNUMBER(B380)),IF(B381=B380,"",(B381-B380)*100),"")</f>
        <v/>
      </c>
      <c r="G381" s="20">
        <f>IF(AND(ISNUMBER(C381),ISNUMBER(C380)),IF(C381=C380,"",(C381-C380)*100),"")</f>
        <v/>
      </c>
      <c r="H381" s="20">
        <f>IF(OR(NOT(ISNUMBER($A381)),ROW()-2&lt;Settings!$B$11),NA(),IF(COUNT(OFFSET(F381,1-Settings!$B$11,0,Settings!$B$11,1))&lt;ROUNDUP(Settings!$B$11*Settings!$B$26,0),NA(),STDEV(OFFSET(F381,1-Settings!$B$11,0,Settings!$B$11,1))*SQRT(Settings!$B$13)))</f>
        <v/>
      </c>
      <c r="I381" s="20">
        <f>IF(OR(NOT(ISNUMBER($A381)),ROW()-2&lt;Settings!$B$12),NA(),IF(COUNT(OFFSET(F381,1-Settings!$B$12,0,Settings!$B$12,1))&lt;ROUNDUP(Settings!$B$12*Settings!$B$26,0),NA(),STDEV(OFFSET(F381,1-Settings!$B$12,0,Settings!$B$12,1))*SQRT(Settings!$B$13)))</f>
        <v/>
      </c>
      <c r="J381" s="20">
        <f>IF(OR(NOT(ISNUMBER($A381)),ROW()-2&lt;Settings!$B$11),NA(),IF(COUNT(OFFSET(G381,1-Settings!$B$11,0,Settings!$B$11,1))&lt;ROUNDUP(Settings!$B$11*Settings!$B$26,0),NA(),STDEV(OFFSET(G381,1-Settings!$B$11,0,Settings!$B$11,1))*SQRT(Settings!$B$13)))</f>
        <v/>
      </c>
      <c r="K381" s="20">
        <f>IF(OR(NOT(ISNUMBER($A381)),ROW()-2&lt;Settings!$B$12),NA(),IF(COUNT(OFFSET(G381,1-Settings!$B$12,0,Settings!$B$12,1))&lt;ROUNDUP(Settings!$B$12*Settings!$B$26,0),NA(),STDEV(OFFSET(G381,1-Settings!$B$12,0,Settings!$B$12,1))*SQRT(Settings!$B$13)))</f>
        <v/>
      </c>
      <c r="L381" s="20">
        <f>IF(AND(ISNUMBER(D381),ISNUMBER(H381)),D381-H381,NA())</f>
        <v/>
      </c>
      <c r="M381" s="20">
        <f>IF(AND(ISNUMBER(E381),ISNUMBER(K381)),E381-K381,NA())</f>
        <v/>
      </c>
      <c r="N381" s="20">
        <f>IF(NOT(ISNUMBER($A381)),NA(),IF(COUNT(OFFSET(G381,1,0,Settings!$B$12,1))&lt;ROUNDUP(Settings!$B$12*Settings!$B$26,0),NA(),STDEV(OFFSET(G381,1,0,Settings!$B$12,1))*SQRT(Settings!$B$13)))</f>
        <v/>
      </c>
      <c r="O381" s="20">
        <f>IF(AND(ISNUMBER(E381),ISNUMBER(N381)),E381-N381,NA())</f>
        <v/>
      </c>
      <c r="P381" s="19">
        <f>IF(NOT(ISNUMBER($A381)),NA(),IF(OR($A381&lt;MIN(KW_TP!$A$2:$A$2501),$A381&gt;MAX(KW_TP!$A$2:$A$2501)),NA(),INDEX(KW_TP!$C$2:$C$2501,MATCH($A381,KW_TP!$A$2:$A$2501,1))))</f>
        <v/>
      </c>
      <c r="Q381" s="18">
        <f>IF(NOT(ISNUMBER($A381)),NA(),IFERROR(1*INDEX(BBG_Data!$J$2:$J$4000,MATCH($A381,BBG_Data!$I$2:$I$4000,0)),NA()))</f>
        <v/>
      </c>
      <c r="R381" s="18">
        <f>IF(NOT(ISNUMBER($A381)),NA(),IFERROR(1*INDEX(BBG_Data!$L$2:$L$4000,MATCH($A381,BBG_Data!$K$2:$K$4000,0)),NA()))</f>
        <v/>
      </c>
      <c r="S381" s="20">
        <f>IF(AND(ISNUMBER(B381),ISNUMBER(Q381),ISNUMBER(R381)),(B381-Q381-R381)*100,NA())</f>
        <v/>
      </c>
      <c r="T381" s="20">
        <f>IF(AND(ISNUMBER(B381),Settings!$B$17&gt;0),IF(ISNUMBER(INDEX($B:$B,Settings!$B$17)),(B381-INDEX($B:$B,Settings!$B$17))*100,NA()),NA())</f>
        <v/>
      </c>
      <c r="U381" s="20">
        <f>IF(AND(ISNUMBER(Q381),Settings!$B$17&gt;0),IF(ISNUMBER(INDEX($Q:$Q,Settings!$B$17)),(Q381-INDEX($Q:$Q,Settings!$B$17))*100,NA()),NA())</f>
        <v/>
      </c>
      <c r="V381" s="20">
        <f>IF(AND(ISNUMBER(R381),Settings!$B$17&gt;0),IF(ISNUMBER(INDEX($R:$R,Settings!$B$17)),(R381-INDEX($R:$R,Settings!$B$17))*100,NA()),NA())</f>
        <v/>
      </c>
      <c r="W381" s="20">
        <f>IF(AND(ISNUMBER(P381),Settings!$B$17&gt;0),IF(ISNUMBER(INDEX($P:$P,Settings!$B$17)),P381-INDEX($P:$P,Settings!$B$17),NA()),NA())</f>
        <v/>
      </c>
      <c r="X381" s="19">
        <f>IF(NOT(ISNUMBER($A381)),NA(),IF(OR($A381&lt;MIN(DKW_10Y!$A$2:$A$2918),$A381&gt;MAX(DKW_10Y!$A$2:$A$2918),Settings!$B$16&lt;MIN(DKW_10Y!$A$2:$A$2918)),NA(),(INDEX(DKW_10Y!$B$2:$B$2918,MATCH($A381,DKW_10Y!$A$2:$A$2918,1))-INDEX(DKW_10Y!$B$2:$B$2918,MATCH(Settings!$B$16,DKW_10Y!$A$2:$A$2918,1)))*100))</f>
        <v/>
      </c>
      <c r="Y381" s="19">
        <f>IF(NOT(ISNUMBER($A381)),NA(),IF(OR($A381&lt;MIN(DKW_10Y!$A$2:$A$2918),$A381&gt;MAX(DKW_10Y!$A$2:$A$2918),Settings!$B$16&lt;MIN(DKW_10Y!$A$2:$A$2918)),NA(),(INDEX(DKW_10Y!$C$2:$C$2918,MATCH($A381,DKW_10Y!$A$2:$A$2918,1))-INDEX(DKW_10Y!$C$2:$C$2918,MATCH(Settings!$B$16,DKW_10Y!$A$2:$A$2918,1)))*100))</f>
        <v/>
      </c>
      <c r="Z381" s="19">
        <f>IF(NOT(ISNUMBER($A381)),NA(),IF(OR($A381&lt;MIN(DKW_10Y!$A$2:$A$2918),$A381&gt;MAX(DKW_10Y!$A$2:$A$2918),Settings!$B$16&lt;MIN(DKW_10Y!$A$2:$A$2918)),NA(),(INDEX(DKW_10Y!$D$2:$D$2918,MATCH($A381,DKW_10Y!$A$2:$A$2918,1))-INDEX(DKW_10Y!$D$2:$D$2918,MATCH(Settings!$B$16,DKW_10Y!$A$2:$A$2918,1)))*100))</f>
        <v/>
      </c>
      <c r="AA381" s="19">
        <f>IF(NOT(ISNUMBER($A381)),NA(),IF(OR($A381&lt;MIN(DKW_10Y!$A$2:$A$2918),$A381&gt;MAX(DKW_10Y!$A$2:$A$2918),Settings!$B$16&lt;MIN(DKW_10Y!$A$2:$A$2918)),NA(),(INDEX(DKW_10Y!$E$2:$E$2918,MATCH($A381,DKW_10Y!$A$2:$A$2918,1))-INDEX(DKW_10Y!$E$2:$E$2918,MATCH(Settings!$B$16,DKW_10Y!$A$2:$A$2918,1)))*100))</f>
        <v/>
      </c>
      <c r="AB381" s="19">
        <f>IF(NOT(ISNUMBER($A381)),NA(),IF(OR($A381&lt;MIN(DKW_10Y!$A$2:$A$2918),$A381&gt;MAX(DKW_10Y!$A$2:$A$2918),Settings!$B$16&lt;MIN(DKW_10Y!$A$2:$A$2918)),NA(),(INDEX(DKW_10Y!$H$2:$H$2918,MATCH($A381,DKW_10Y!$A$2:$A$2918,1))-INDEX(DKW_10Y!$H$2:$H$2918,MATCH(Settings!$B$16,DKW_10Y!$A$2:$A$2918,1)))*100))</f>
        <v/>
      </c>
      <c r="AC381" s="18">
        <f>IF(NOT(ISNUMBER($A381)),NA(),IFERROR(1*INDEX(BBG_Data!$N$2:$N$4000,MATCH($A381,BBG_Data!$M$2:$M$4000,0)),NA()))</f>
        <v/>
      </c>
      <c r="AD381" s="18">
        <f>IF(NOT(ISNUMBER($A381)),NA(),IFERROR(1*INDEX(BBG_Data!$P$2:$P$4000,MATCH($A381,BBG_Data!$O$2:$O$4000,0)),NA()))</f>
        <v/>
      </c>
      <c r="AE381" s="18">
        <f>IF(NOT(ISNUMBER($A381)),NA(),IFERROR(1*INDEX(BBG_Data!$R$2:$R$4000,MATCH($A381,BBG_Data!$Q$2:$Q$4000,0)),NA()))</f>
        <v/>
      </c>
      <c r="AF381" s="20">
        <f>IF(AND(ISNUMBER(B381),ISNUMBER(AC381)),(B381-AC381)*100,NA())</f>
        <v/>
      </c>
      <c r="AG381" s="20">
        <f>IF(AND(ISNUMBER(AE381),ISNUMBER(AD381)),(AE381-AD381)*100,NA())</f>
        <v/>
      </c>
      <c r="AH381" s="19">
        <f>IF(NOT(ISNUMBER($A381)),NA(),IFERROR(INDEX(BBG_Data!$T$2:$T$4000,MATCH($A381,BBG_Data!$S$2:$S$4000,0))*Settings!$B$25,NA()))</f>
        <v/>
      </c>
      <c r="AI381" s="19">
        <f>IF(NOT(ISNUMBER($A381)),NA(),IFERROR(INDEX(BBG_Data!$V$2:$V$4000,MATCH($A381,BBG_Data!$U$2:$U$4000,0))*Settings!$B$25,NA()))</f>
        <v/>
      </c>
      <c r="AJ381" s="19">
        <f>IF(NOT(ISNUMBER($A381)),NA(),IFERROR(1*INDEX(BBG_Data!$X$2:$X$4000,MATCH($A381,BBG_Data!$W$2:$W$4000,0)),NA()))</f>
        <v/>
      </c>
      <c r="AK381" s="19">
        <f>IF(NOT(ISNUMBER($A381)),NA(),IFERROR(1*INDEX(BBG_Data!$Z$2:$Z$4000,MATCH($A381,BBG_Data!$Y$2:$Y$4000,0)),NA()))</f>
        <v/>
      </c>
    </row>
    <row r="382">
      <c r="A382" s="17">
        <f>IF(ISNUMBER(BBG_Data!A382),BBG_Data!A382,"")</f>
        <v/>
      </c>
      <c r="B382" s="18">
        <f>IF(AND(ISNUMBER($A382),ISNUMBER(BBG_Data!B382)),BBG_Data!B382,NA())</f>
        <v/>
      </c>
      <c r="C382" s="18">
        <f>IF(NOT(ISNUMBER($A382)),NA(),IFERROR(1*INDEX(BBG_Data!$D$2:$D$4000,MATCH($A382,BBG_Data!$C$2:$C$4000,0)),NA()))</f>
        <v/>
      </c>
      <c r="D382" s="19">
        <f>IF(NOT(ISNUMBER($A382)),NA(),IFERROR(1*INDEX(BBG_Data!$F$2:$F$4000,MATCH($A382,BBG_Data!$E$2:$E$4000,0)),NA()))</f>
        <v/>
      </c>
      <c r="E382" s="19">
        <f>IF(NOT(ISNUMBER($A382)),NA(),IFERROR(1*INDEX(BBG_Data!$H$2:$H$4000,MATCH($A382,BBG_Data!$G$2:$G$4000,0)),NA()))</f>
        <v/>
      </c>
      <c r="F382" s="20">
        <f>IF(AND(ISNUMBER(B382),ISNUMBER(B381)),IF(B382=B381,"",(B382-B381)*100),"")</f>
        <v/>
      </c>
      <c r="G382" s="20">
        <f>IF(AND(ISNUMBER(C382),ISNUMBER(C381)),IF(C382=C381,"",(C382-C381)*100),"")</f>
        <v/>
      </c>
      <c r="H382" s="20">
        <f>IF(OR(NOT(ISNUMBER($A382)),ROW()-2&lt;Settings!$B$11),NA(),IF(COUNT(OFFSET(F382,1-Settings!$B$11,0,Settings!$B$11,1))&lt;ROUNDUP(Settings!$B$11*Settings!$B$26,0),NA(),STDEV(OFFSET(F382,1-Settings!$B$11,0,Settings!$B$11,1))*SQRT(Settings!$B$13)))</f>
        <v/>
      </c>
      <c r="I382" s="20">
        <f>IF(OR(NOT(ISNUMBER($A382)),ROW()-2&lt;Settings!$B$12),NA(),IF(COUNT(OFFSET(F382,1-Settings!$B$12,0,Settings!$B$12,1))&lt;ROUNDUP(Settings!$B$12*Settings!$B$26,0),NA(),STDEV(OFFSET(F382,1-Settings!$B$12,0,Settings!$B$12,1))*SQRT(Settings!$B$13)))</f>
        <v/>
      </c>
      <c r="J382" s="20">
        <f>IF(OR(NOT(ISNUMBER($A382)),ROW()-2&lt;Settings!$B$11),NA(),IF(COUNT(OFFSET(G382,1-Settings!$B$11,0,Settings!$B$11,1))&lt;ROUNDUP(Settings!$B$11*Settings!$B$26,0),NA(),STDEV(OFFSET(G382,1-Settings!$B$11,0,Settings!$B$11,1))*SQRT(Settings!$B$13)))</f>
        <v/>
      </c>
      <c r="K382" s="20">
        <f>IF(OR(NOT(ISNUMBER($A382)),ROW()-2&lt;Settings!$B$12),NA(),IF(COUNT(OFFSET(G382,1-Settings!$B$12,0,Settings!$B$12,1))&lt;ROUNDUP(Settings!$B$12*Settings!$B$26,0),NA(),STDEV(OFFSET(G382,1-Settings!$B$12,0,Settings!$B$12,1))*SQRT(Settings!$B$13)))</f>
        <v/>
      </c>
      <c r="L382" s="20">
        <f>IF(AND(ISNUMBER(D382),ISNUMBER(H382)),D382-H382,NA())</f>
        <v/>
      </c>
      <c r="M382" s="20">
        <f>IF(AND(ISNUMBER(E382),ISNUMBER(K382)),E382-K382,NA())</f>
        <v/>
      </c>
      <c r="N382" s="20">
        <f>IF(NOT(ISNUMBER($A382)),NA(),IF(COUNT(OFFSET(G382,1,0,Settings!$B$12,1))&lt;ROUNDUP(Settings!$B$12*Settings!$B$26,0),NA(),STDEV(OFFSET(G382,1,0,Settings!$B$12,1))*SQRT(Settings!$B$13)))</f>
        <v/>
      </c>
      <c r="O382" s="20">
        <f>IF(AND(ISNUMBER(E382),ISNUMBER(N382)),E382-N382,NA())</f>
        <v/>
      </c>
      <c r="P382" s="19">
        <f>IF(NOT(ISNUMBER($A382)),NA(),IF(OR($A382&lt;MIN(KW_TP!$A$2:$A$2501),$A382&gt;MAX(KW_TP!$A$2:$A$2501)),NA(),INDEX(KW_TP!$C$2:$C$2501,MATCH($A382,KW_TP!$A$2:$A$2501,1))))</f>
        <v/>
      </c>
      <c r="Q382" s="18">
        <f>IF(NOT(ISNUMBER($A382)),NA(),IFERROR(1*INDEX(BBG_Data!$J$2:$J$4000,MATCH($A382,BBG_Data!$I$2:$I$4000,0)),NA()))</f>
        <v/>
      </c>
      <c r="R382" s="18">
        <f>IF(NOT(ISNUMBER($A382)),NA(),IFERROR(1*INDEX(BBG_Data!$L$2:$L$4000,MATCH($A382,BBG_Data!$K$2:$K$4000,0)),NA()))</f>
        <v/>
      </c>
      <c r="S382" s="20">
        <f>IF(AND(ISNUMBER(B382),ISNUMBER(Q382),ISNUMBER(R382)),(B382-Q382-R382)*100,NA())</f>
        <v/>
      </c>
      <c r="T382" s="20">
        <f>IF(AND(ISNUMBER(B382),Settings!$B$17&gt;0),IF(ISNUMBER(INDEX($B:$B,Settings!$B$17)),(B382-INDEX($B:$B,Settings!$B$17))*100,NA()),NA())</f>
        <v/>
      </c>
      <c r="U382" s="20">
        <f>IF(AND(ISNUMBER(Q382),Settings!$B$17&gt;0),IF(ISNUMBER(INDEX($Q:$Q,Settings!$B$17)),(Q382-INDEX($Q:$Q,Settings!$B$17))*100,NA()),NA())</f>
        <v/>
      </c>
      <c r="V382" s="20">
        <f>IF(AND(ISNUMBER(R382),Settings!$B$17&gt;0),IF(ISNUMBER(INDEX($R:$R,Settings!$B$17)),(R382-INDEX($R:$R,Settings!$B$17))*100,NA()),NA())</f>
        <v/>
      </c>
      <c r="W382" s="20">
        <f>IF(AND(ISNUMBER(P382),Settings!$B$17&gt;0),IF(ISNUMBER(INDEX($P:$P,Settings!$B$17)),P382-INDEX($P:$P,Settings!$B$17),NA()),NA())</f>
        <v/>
      </c>
      <c r="X382" s="19">
        <f>IF(NOT(ISNUMBER($A382)),NA(),IF(OR($A382&lt;MIN(DKW_10Y!$A$2:$A$2918),$A382&gt;MAX(DKW_10Y!$A$2:$A$2918),Settings!$B$16&lt;MIN(DKW_10Y!$A$2:$A$2918)),NA(),(INDEX(DKW_10Y!$B$2:$B$2918,MATCH($A382,DKW_10Y!$A$2:$A$2918,1))-INDEX(DKW_10Y!$B$2:$B$2918,MATCH(Settings!$B$16,DKW_10Y!$A$2:$A$2918,1)))*100))</f>
        <v/>
      </c>
      <c r="Y382" s="19">
        <f>IF(NOT(ISNUMBER($A382)),NA(),IF(OR($A382&lt;MIN(DKW_10Y!$A$2:$A$2918),$A382&gt;MAX(DKW_10Y!$A$2:$A$2918),Settings!$B$16&lt;MIN(DKW_10Y!$A$2:$A$2918)),NA(),(INDEX(DKW_10Y!$C$2:$C$2918,MATCH($A382,DKW_10Y!$A$2:$A$2918,1))-INDEX(DKW_10Y!$C$2:$C$2918,MATCH(Settings!$B$16,DKW_10Y!$A$2:$A$2918,1)))*100))</f>
        <v/>
      </c>
      <c r="Z382" s="19">
        <f>IF(NOT(ISNUMBER($A382)),NA(),IF(OR($A382&lt;MIN(DKW_10Y!$A$2:$A$2918),$A382&gt;MAX(DKW_10Y!$A$2:$A$2918),Settings!$B$16&lt;MIN(DKW_10Y!$A$2:$A$2918)),NA(),(INDEX(DKW_10Y!$D$2:$D$2918,MATCH($A382,DKW_10Y!$A$2:$A$2918,1))-INDEX(DKW_10Y!$D$2:$D$2918,MATCH(Settings!$B$16,DKW_10Y!$A$2:$A$2918,1)))*100))</f>
        <v/>
      </c>
      <c r="AA382" s="19">
        <f>IF(NOT(ISNUMBER($A382)),NA(),IF(OR($A382&lt;MIN(DKW_10Y!$A$2:$A$2918),$A382&gt;MAX(DKW_10Y!$A$2:$A$2918),Settings!$B$16&lt;MIN(DKW_10Y!$A$2:$A$2918)),NA(),(INDEX(DKW_10Y!$E$2:$E$2918,MATCH($A382,DKW_10Y!$A$2:$A$2918,1))-INDEX(DKW_10Y!$E$2:$E$2918,MATCH(Settings!$B$16,DKW_10Y!$A$2:$A$2918,1)))*100))</f>
        <v/>
      </c>
      <c r="AB382" s="19">
        <f>IF(NOT(ISNUMBER($A382)),NA(),IF(OR($A382&lt;MIN(DKW_10Y!$A$2:$A$2918),$A382&gt;MAX(DKW_10Y!$A$2:$A$2918),Settings!$B$16&lt;MIN(DKW_10Y!$A$2:$A$2918)),NA(),(INDEX(DKW_10Y!$H$2:$H$2918,MATCH($A382,DKW_10Y!$A$2:$A$2918,1))-INDEX(DKW_10Y!$H$2:$H$2918,MATCH(Settings!$B$16,DKW_10Y!$A$2:$A$2918,1)))*100))</f>
        <v/>
      </c>
      <c r="AC382" s="18">
        <f>IF(NOT(ISNUMBER($A382)),NA(),IFERROR(1*INDEX(BBG_Data!$N$2:$N$4000,MATCH($A382,BBG_Data!$M$2:$M$4000,0)),NA()))</f>
        <v/>
      </c>
      <c r="AD382" s="18">
        <f>IF(NOT(ISNUMBER($A382)),NA(),IFERROR(1*INDEX(BBG_Data!$P$2:$P$4000,MATCH($A382,BBG_Data!$O$2:$O$4000,0)),NA()))</f>
        <v/>
      </c>
      <c r="AE382" s="18">
        <f>IF(NOT(ISNUMBER($A382)),NA(),IFERROR(1*INDEX(BBG_Data!$R$2:$R$4000,MATCH($A382,BBG_Data!$Q$2:$Q$4000,0)),NA()))</f>
        <v/>
      </c>
      <c r="AF382" s="20">
        <f>IF(AND(ISNUMBER(B382),ISNUMBER(AC382)),(B382-AC382)*100,NA())</f>
        <v/>
      </c>
      <c r="AG382" s="20">
        <f>IF(AND(ISNUMBER(AE382),ISNUMBER(AD382)),(AE382-AD382)*100,NA())</f>
        <v/>
      </c>
      <c r="AH382" s="19">
        <f>IF(NOT(ISNUMBER($A382)),NA(),IFERROR(INDEX(BBG_Data!$T$2:$T$4000,MATCH($A382,BBG_Data!$S$2:$S$4000,0))*Settings!$B$25,NA()))</f>
        <v/>
      </c>
      <c r="AI382" s="19">
        <f>IF(NOT(ISNUMBER($A382)),NA(),IFERROR(INDEX(BBG_Data!$V$2:$V$4000,MATCH($A382,BBG_Data!$U$2:$U$4000,0))*Settings!$B$25,NA()))</f>
        <v/>
      </c>
      <c r="AJ382" s="19">
        <f>IF(NOT(ISNUMBER($A382)),NA(),IFERROR(1*INDEX(BBG_Data!$X$2:$X$4000,MATCH($A382,BBG_Data!$W$2:$W$4000,0)),NA()))</f>
        <v/>
      </c>
      <c r="AK382" s="19">
        <f>IF(NOT(ISNUMBER($A382)),NA(),IFERROR(1*INDEX(BBG_Data!$Z$2:$Z$4000,MATCH($A382,BBG_Data!$Y$2:$Y$4000,0)),NA()))</f>
        <v/>
      </c>
    </row>
    <row r="383">
      <c r="A383" s="17">
        <f>IF(ISNUMBER(BBG_Data!A383),BBG_Data!A383,"")</f>
        <v/>
      </c>
      <c r="B383" s="18">
        <f>IF(AND(ISNUMBER($A383),ISNUMBER(BBG_Data!B383)),BBG_Data!B383,NA())</f>
        <v/>
      </c>
      <c r="C383" s="18">
        <f>IF(NOT(ISNUMBER($A383)),NA(),IFERROR(1*INDEX(BBG_Data!$D$2:$D$4000,MATCH($A383,BBG_Data!$C$2:$C$4000,0)),NA()))</f>
        <v/>
      </c>
      <c r="D383" s="19">
        <f>IF(NOT(ISNUMBER($A383)),NA(),IFERROR(1*INDEX(BBG_Data!$F$2:$F$4000,MATCH($A383,BBG_Data!$E$2:$E$4000,0)),NA()))</f>
        <v/>
      </c>
      <c r="E383" s="19">
        <f>IF(NOT(ISNUMBER($A383)),NA(),IFERROR(1*INDEX(BBG_Data!$H$2:$H$4000,MATCH($A383,BBG_Data!$G$2:$G$4000,0)),NA()))</f>
        <v/>
      </c>
      <c r="F383" s="20">
        <f>IF(AND(ISNUMBER(B383),ISNUMBER(B382)),IF(B383=B382,"",(B383-B382)*100),"")</f>
        <v/>
      </c>
      <c r="G383" s="20">
        <f>IF(AND(ISNUMBER(C383),ISNUMBER(C382)),IF(C383=C382,"",(C383-C382)*100),"")</f>
        <v/>
      </c>
      <c r="H383" s="20">
        <f>IF(OR(NOT(ISNUMBER($A383)),ROW()-2&lt;Settings!$B$11),NA(),IF(COUNT(OFFSET(F383,1-Settings!$B$11,0,Settings!$B$11,1))&lt;ROUNDUP(Settings!$B$11*Settings!$B$26,0),NA(),STDEV(OFFSET(F383,1-Settings!$B$11,0,Settings!$B$11,1))*SQRT(Settings!$B$13)))</f>
        <v/>
      </c>
      <c r="I383" s="20">
        <f>IF(OR(NOT(ISNUMBER($A383)),ROW()-2&lt;Settings!$B$12),NA(),IF(COUNT(OFFSET(F383,1-Settings!$B$12,0,Settings!$B$12,1))&lt;ROUNDUP(Settings!$B$12*Settings!$B$26,0),NA(),STDEV(OFFSET(F383,1-Settings!$B$12,0,Settings!$B$12,1))*SQRT(Settings!$B$13)))</f>
        <v/>
      </c>
      <c r="J383" s="20">
        <f>IF(OR(NOT(ISNUMBER($A383)),ROW()-2&lt;Settings!$B$11),NA(),IF(COUNT(OFFSET(G383,1-Settings!$B$11,0,Settings!$B$11,1))&lt;ROUNDUP(Settings!$B$11*Settings!$B$26,0),NA(),STDEV(OFFSET(G383,1-Settings!$B$11,0,Settings!$B$11,1))*SQRT(Settings!$B$13)))</f>
        <v/>
      </c>
      <c r="K383" s="20">
        <f>IF(OR(NOT(ISNUMBER($A383)),ROW()-2&lt;Settings!$B$12),NA(),IF(COUNT(OFFSET(G383,1-Settings!$B$12,0,Settings!$B$12,1))&lt;ROUNDUP(Settings!$B$12*Settings!$B$26,0),NA(),STDEV(OFFSET(G383,1-Settings!$B$12,0,Settings!$B$12,1))*SQRT(Settings!$B$13)))</f>
        <v/>
      </c>
      <c r="L383" s="20">
        <f>IF(AND(ISNUMBER(D383),ISNUMBER(H383)),D383-H383,NA())</f>
        <v/>
      </c>
      <c r="M383" s="20">
        <f>IF(AND(ISNUMBER(E383),ISNUMBER(K383)),E383-K383,NA())</f>
        <v/>
      </c>
      <c r="N383" s="20">
        <f>IF(NOT(ISNUMBER($A383)),NA(),IF(COUNT(OFFSET(G383,1,0,Settings!$B$12,1))&lt;ROUNDUP(Settings!$B$12*Settings!$B$26,0),NA(),STDEV(OFFSET(G383,1,0,Settings!$B$12,1))*SQRT(Settings!$B$13)))</f>
        <v/>
      </c>
      <c r="O383" s="20">
        <f>IF(AND(ISNUMBER(E383),ISNUMBER(N383)),E383-N383,NA())</f>
        <v/>
      </c>
      <c r="P383" s="19">
        <f>IF(NOT(ISNUMBER($A383)),NA(),IF(OR($A383&lt;MIN(KW_TP!$A$2:$A$2501),$A383&gt;MAX(KW_TP!$A$2:$A$2501)),NA(),INDEX(KW_TP!$C$2:$C$2501,MATCH($A383,KW_TP!$A$2:$A$2501,1))))</f>
        <v/>
      </c>
      <c r="Q383" s="18">
        <f>IF(NOT(ISNUMBER($A383)),NA(),IFERROR(1*INDEX(BBG_Data!$J$2:$J$4000,MATCH($A383,BBG_Data!$I$2:$I$4000,0)),NA()))</f>
        <v/>
      </c>
      <c r="R383" s="18">
        <f>IF(NOT(ISNUMBER($A383)),NA(),IFERROR(1*INDEX(BBG_Data!$L$2:$L$4000,MATCH($A383,BBG_Data!$K$2:$K$4000,0)),NA()))</f>
        <v/>
      </c>
      <c r="S383" s="20">
        <f>IF(AND(ISNUMBER(B383),ISNUMBER(Q383),ISNUMBER(R383)),(B383-Q383-R383)*100,NA())</f>
        <v/>
      </c>
      <c r="T383" s="20">
        <f>IF(AND(ISNUMBER(B383),Settings!$B$17&gt;0),IF(ISNUMBER(INDEX($B:$B,Settings!$B$17)),(B383-INDEX($B:$B,Settings!$B$17))*100,NA()),NA())</f>
        <v/>
      </c>
      <c r="U383" s="20">
        <f>IF(AND(ISNUMBER(Q383),Settings!$B$17&gt;0),IF(ISNUMBER(INDEX($Q:$Q,Settings!$B$17)),(Q383-INDEX($Q:$Q,Settings!$B$17))*100,NA()),NA())</f>
        <v/>
      </c>
      <c r="V383" s="20">
        <f>IF(AND(ISNUMBER(R383),Settings!$B$17&gt;0),IF(ISNUMBER(INDEX($R:$R,Settings!$B$17)),(R383-INDEX($R:$R,Settings!$B$17))*100,NA()),NA())</f>
        <v/>
      </c>
      <c r="W383" s="20">
        <f>IF(AND(ISNUMBER(P383),Settings!$B$17&gt;0),IF(ISNUMBER(INDEX($P:$P,Settings!$B$17)),P383-INDEX($P:$P,Settings!$B$17),NA()),NA())</f>
        <v/>
      </c>
      <c r="X383" s="19">
        <f>IF(NOT(ISNUMBER($A383)),NA(),IF(OR($A383&lt;MIN(DKW_10Y!$A$2:$A$2918),$A383&gt;MAX(DKW_10Y!$A$2:$A$2918),Settings!$B$16&lt;MIN(DKW_10Y!$A$2:$A$2918)),NA(),(INDEX(DKW_10Y!$B$2:$B$2918,MATCH($A383,DKW_10Y!$A$2:$A$2918,1))-INDEX(DKW_10Y!$B$2:$B$2918,MATCH(Settings!$B$16,DKW_10Y!$A$2:$A$2918,1)))*100))</f>
        <v/>
      </c>
      <c r="Y383" s="19">
        <f>IF(NOT(ISNUMBER($A383)),NA(),IF(OR($A383&lt;MIN(DKW_10Y!$A$2:$A$2918),$A383&gt;MAX(DKW_10Y!$A$2:$A$2918),Settings!$B$16&lt;MIN(DKW_10Y!$A$2:$A$2918)),NA(),(INDEX(DKW_10Y!$C$2:$C$2918,MATCH($A383,DKW_10Y!$A$2:$A$2918,1))-INDEX(DKW_10Y!$C$2:$C$2918,MATCH(Settings!$B$16,DKW_10Y!$A$2:$A$2918,1)))*100))</f>
        <v/>
      </c>
      <c r="Z383" s="19">
        <f>IF(NOT(ISNUMBER($A383)),NA(),IF(OR($A383&lt;MIN(DKW_10Y!$A$2:$A$2918),$A383&gt;MAX(DKW_10Y!$A$2:$A$2918),Settings!$B$16&lt;MIN(DKW_10Y!$A$2:$A$2918)),NA(),(INDEX(DKW_10Y!$D$2:$D$2918,MATCH($A383,DKW_10Y!$A$2:$A$2918,1))-INDEX(DKW_10Y!$D$2:$D$2918,MATCH(Settings!$B$16,DKW_10Y!$A$2:$A$2918,1)))*100))</f>
        <v/>
      </c>
      <c r="AA383" s="19">
        <f>IF(NOT(ISNUMBER($A383)),NA(),IF(OR($A383&lt;MIN(DKW_10Y!$A$2:$A$2918),$A383&gt;MAX(DKW_10Y!$A$2:$A$2918),Settings!$B$16&lt;MIN(DKW_10Y!$A$2:$A$2918)),NA(),(INDEX(DKW_10Y!$E$2:$E$2918,MATCH($A383,DKW_10Y!$A$2:$A$2918,1))-INDEX(DKW_10Y!$E$2:$E$2918,MATCH(Settings!$B$16,DKW_10Y!$A$2:$A$2918,1)))*100))</f>
        <v/>
      </c>
      <c r="AB383" s="19">
        <f>IF(NOT(ISNUMBER($A383)),NA(),IF(OR($A383&lt;MIN(DKW_10Y!$A$2:$A$2918),$A383&gt;MAX(DKW_10Y!$A$2:$A$2918),Settings!$B$16&lt;MIN(DKW_10Y!$A$2:$A$2918)),NA(),(INDEX(DKW_10Y!$H$2:$H$2918,MATCH($A383,DKW_10Y!$A$2:$A$2918,1))-INDEX(DKW_10Y!$H$2:$H$2918,MATCH(Settings!$B$16,DKW_10Y!$A$2:$A$2918,1)))*100))</f>
        <v/>
      </c>
      <c r="AC383" s="18">
        <f>IF(NOT(ISNUMBER($A383)),NA(),IFERROR(1*INDEX(BBG_Data!$N$2:$N$4000,MATCH($A383,BBG_Data!$M$2:$M$4000,0)),NA()))</f>
        <v/>
      </c>
      <c r="AD383" s="18">
        <f>IF(NOT(ISNUMBER($A383)),NA(),IFERROR(1*INDEX(BBG_Data!$P$2:$P$4000,MATCH($A383,BBG_Data!$O$2:$O$4000,0)),NA()))</f>
        <v/>
      </c>
      <c r="AE383" s="18">
        <f>IF(NOT(ISNUMBER($A383)),NA(),IFERROR(1*INDEX(BBG_Data!$R$2:$R$4000,MATCH($A383,BBG_Data!$Q$2:$Q$4000,0)),NA()))</f>
        <v/>
      </c>
      <c r="AF383" s="20">
        <f>IF(AND(ISNUMBER(B383),ISNUMBER(AC383)),(B383-AC383)*100,NA())</f>
        <v/>
      </c>
      <c r="AG383" s="20">
        <f>IF(AND(ISNUMBER(AE383),ISNUMBER(AD383)),(AE383-AD383)*100,NA())</f>
        <v/>
      </c>
      <c r="AH383" s="19">
        <f>IF(NOT(ISNUMBER($A383)),NA(),IFERROR(INDEX(BBG_Data!$T$2:$T$4000,MATCH($A383,BBG_Data!$S$2:$S$4000,0))*Settings!$B$25,NA()))</f>
        <v/>
      </c>
      <c r="AI383" s="19">
        <f>IF(NOT(ISNUMBER($A383)),NA(),IFERROR(INDEX(BBG_Data!$V$2:$V$4000,MATCH($A383,BBG_Data!$U$2:$U$4000,0))*Settings!$B$25,NA()))</f>
        <v/>
      </c>
      <c r="AJ383" s="19">
        <f>IF(NOT(ISNUMBER($A383)),NA(),IFERROR(1*INDEX(BBG_Data!$X$2:$X$4000,MATCH($A383,BBG_Data!$W$2:$W$4000,0)),NA()))</f>
        <v/>
      </c>
      <c r="AK383" s="19">
        <f>IF(NOT(ISNUMBER($A383)),NA(),IFERROR(1*INDEX(BBG_Data!$Z$2:$Z$4000,MATCH($A383,BBG_Data!$Y$2:$Y$4000,0)),NA()))</f>
        <v/>
      </c>
    </row>
    <row r="384">
      <c r="A384" s="17">
        <f>IF(ISNUMBER(BBG_Data!A384),BBG_Data!A384,"")</f>
        <v/>
      </c>
      <c r="B384" s="18">
        <f>IF(AND(ISNUMBER($A384),ISNUMBER(BBG_Data!B384)),BBG_Data!B384,NA())</f>
        <v/>
      </c>
      <c r="C384" s="18">
        <f>IF(NOT(ISNUMBER($A384)),NA(),IFERROR(1*INDEX(BBG_Data!$D$2:$D$4000,MATCH($A384,BBG_Data!$C$2:$C$4000,0)),NA()))</f>
        <v/>
      </c>
      <c r="D384" s="19">
        <f>IF(NOT(ISNUMBER($A384)),NA(),IFERROR(1*INDEX(BBG_Data!$F$2:$F$4000,MATCH($A384,BBG_Data!$E$2:$E$4000,0)),NA()))</f>
        <v/>
      </c>
      <c r="E384" s="19">
        <f>IF(NOT(ISNUMBER($A384)),NA(),IFERROR(1*INDEX(BBG_Data!$H$2:$H$4000,MATCH($A384,BBG_Data!$G$2:$G$4000,0)),NA()))</f>
        <v/>
      </c>
      <c r="F384" s="20">
        <f>IF(AND(ISNUMBER(B384),ISNUMBER(B383)),IF(B384=B383,"",(B384-B383)*100),"")</f>
        <v/>
      </c>
      <c r="G384" s="20">
        <f>IF(AND(ISNUMBER(C384),ISNUMBER(C383)),IF(C384=C383,"",(C384-C383)*100),"")</f>
        <v/>
      </c>
      <c r="H384" s="20">
        <f>IF(OR(NOT(ISNUMBER($A384)),ROW()-2&lt;Settings!$B$11),NA(),IF(COUNT(OFFSET(F384,1-Settings!$B$11,0,Settings!$B$11,1))&lt;ROUNDUP(Settings!$B$11*Settings!$B$26,0),NA(),STDEV(OFFSET(F384,1-Settings!$B$11,0,Settings!$B$11,1))*SQRT(Settings!$B$13)))</f>
        <v/>
      </c>
      <c r="I384" s="20">
        <f>IF(OR(NOT(ISNUMBER($A384)),ROW()-2&lt;Settings!$B$12),NA(),IF(COUNT(OFFSET(F384,1-Settings!$B$12,0,Settings!$B$12,1))&lt;ROUNDUP(Settings!$B$12*Settings!$B$26,0),NA(),STDEV(OFFSET(F384,1-Settings!$B$12,0,Settings!$B$12,1))*SQRT(Settings!$B$13)))</f>
        <v/>
      </c>
      <c r="J384" s="20">
        <f>IF(OR(NOT(ISNUMBER($A384)),ROW()-2&lt;Settings!$B$11),NA(),IF(COUNT(OFFSET(G384,1-Settings!$B$11,0,Settings!$B$11,1))&lt;ROUNDUP(Settings!$B$11*Settings!$B$26,0),NA(),STDEV(OFFSET(G384,1-Settings!$B$11,0,Settings!$B$11,1))*SQRT(Settings!$B$13)))</f>
        <v/>
      </c>
      <c r="K384" s="20">
        <f>IF(OR(NOT(ISNUMBER($A384)),ROW()-2&lt;Settings!$B$12),NA(),IF(COUNT(OFFSET(G384,1-Settings!$B$12,0,Settings!$B$12,1))&lt;ROUNDUP(Settings!$B$12*Settings!$B$26,0),NA(),STDEV(OFFSET(G384,1-Settings!$B$12,0,Settings!$B$12,1))*SQRT(Settings!$B$13)))</f>
        <v/>
      </c>
      <c r="L384" s="20">
        <f>IF(AND(ISNUMBER(D384),ISNUMBER(H384)),D384-H384,NA())</f>
        <v/>
      </c>
      <c r="M384" s="20">
        <f>IF(AND(ISNUMBER(E384),ISNUMBER(K384)),E384-K384,NA())</f>
        <v/>
      </c>
      <c r="N384" s="20">
        <f>IF(NOT(ISNUMBER($A384)),NA(),IF(COUNT(OFFSET(G384,1,0,Settings!$B$12,1))&lt;ROUNDUP(Settings!$B$12*Settings!$B$26,0),NA(),STDEV(OFFSET(G384,1,0,Settings!$B$12,1))*SQRT(Settings!$B$13)))</f>
        <v/>
      </c>
      <c r="O384" s="20">
        <f>IF(AND(ISNUMBER(E384),ISNUMBER(N384)),E384-N384,NA())</f>
        <v/>
      </c>
      <c r="P384" s="19">
        <f>IF(NOT(ISNUMBER($A384)),NA(),IF(OR($A384&lt;MIN(KW_TP!$A$2:$A$2501),$A384&gt;MAX(KW_TP!$A$2:$A$2501)),NA(),INDEX(KW_TP!$C$2:$C$2501,MATCH($A384,KW_TP!$A$2:$A$2501,1))))</f>
        <v/>
      </c>
      <c r="Q384" s="18">
        <f>IF(NOT(ISNUMBER($A384)),NA(),IFERROR(1*INDEX(BBG_Data!$J$2:$J$4000,MATCH($A384,BBG_Data!$I$2:$I$4000,0)),NA()))</f>
        <v/>
      </c>
      <c r="R384" s="18">
        <f>IF(NOT(ISNUMBER($A384)),NA(),IFERROR(1*INDEX(BBG_Data!$L$2:$L$4000,MATCH($A384,BBG_Data!$K$2:$K$4000,0)),NA()))</f>
        <v/>
      </c>
      <c r="S384" s="20">
        <f>IF(AND(ISNUMBER(B384),ISNUMBER(Q384),ISNUMBER(R384)),(B384-Q384-R384)*100,NA())</f>
        <v/>
      </c>
      <c r="T384" s="20">
        <f>IF(AND(ISNUMBER(B384),Settings!$B$17&gt;0),IF(ISNUMBER(INDEX($B:$B,Settings!$B$17)),(B384-INDEX($B:$B,Settings!$B$17))*100,NA()),NA())</f>
        <v/>
      </c>
      <c r="U384" s="20">
        <f>IF(AND(ISNUMBER(Q384),Settings!$B$17&gt;0),IF(ISNUMBER(INDEX($Q:$Q,Settings!$B$17)),(Q384-INDEX($Q:$Q,Settings!$B$17))*100,NA()),NA())</f>
        <v/>
      </c>
      <c r="V384" s="20">
        <f>IF(AND(ISNUMBER(R384),Settings!$B$17&gt;0),IF(ISNUMBER(INDEX($R:$R,Settings!$B$17)),(R384-INDEX($R:$R,Settings!$B$17))*100,NA()),NA())</f>
        <v/>
      </c>
      <c r="W384" s="20">
        <f>IF(AND(ISNUMBER(P384),Settings!$B$17&gt;0),IF(ISNUMBER(INDEX($P:$P,Settings!$B$17)),P384-INDEX($P:$P,Settings!$B$17),NA()),NA())</f>
        <v/>
      </c>
      <c r="X384" s="19">
        <f>IF(NOT(ISNUMBER($A384)),NA(),IF(OR($A384&lt;MIN(DKW_10Y!$A$2:$A$2918),$A384&gt;MAX(DKW_10Y!$A$2:$A$2918),Settings!$B$16&lt;MIN(DKW_10Y!$A$2:$A$2918)),NA(),(INDEX(DKW_10Y!$B$2:$B$2918,MATCH($A384,DKW_10Y!$A$2:$A$2918,1))-INDEX(DKW_10Y!$B$2:$B$2918,MATCH(Settings!$B$16,DKW_10Y!$A$2:$A$2918,1)))*100))</f>
        <v/>
      </c>
      <c r="Y384" s="19">
        <f>IF(NOT(ISNUMBER($A384)),NA(),IF(OR($A384&lt;MIN(DKW_10Y!$A$2:$A$2918),$A384&gt;MAX(DKW_10Y!$A$2:$A$2918),Settings!$B$16&lt;MIN(DKW_10Y!$A$2:$A$2918)),NA(),(INDEX(DKW_10Y!$C$2:$C$2918,MATCH($A384,DKW_10Y!$A$2:$A$2918,1))-INDEX(DKW_10Y!$C$2:$C$2918,MATCH(Settings!$B$16,DKW_10Y!$A$2:$A$2918,1)))*100))</f>
        <v/>
      </c>
      <c r="Z384" s="19">
        <f>IF(NOT(ISNUMBER($A384)),NA(),IF(OR($A384&lt;MIN(DKW_10Y!$A$2:$A$2918),$A384&gt;MAX(DKW_10Y!$A$2:$A$2918),Settings!$B$16&lt;MIN(DKW_10Y!$A$2:$A$2918)),NA(),(INDEX(DKW_10Y!$D$2:$D$2918,MATCH($A384,DKW_10Y!$A$2:$A$2918,1))-INDEX(DKW_10Y!$D$2:$D$2918,MATCH(Settings!$B$16,DKW_10Y!$A$2:$A$2918,1)))*100))</f>
        <v/>
      </c>
      <c r="AA384" s="19">
        <f>IF(NOT(ISNUMBER($A384)),NA(),IF(OR($A384&lt;MIN(DKW_10Y!$A$2:$A$2918),$A384&gt;MAX(DKW_10Y!$A$2:$A$2918),Settings!$B$16&lt;MIN(DKW_10Y!$A$2:$A$2918)),NA(),(INDEX(DKW_10Y!$E$2:$E$2918,MATCH($A384,DKW_10Y!$A$2:$A$2918,1))-INDEX(DKW_10Y!$E$2:$E$2918,MATCH(Settings!$B$16,DKW_10Y!$A$2:$A$2918,1)))*100))</f>
        <v/>
      </c>
      <c r="AB384" s="19">
        <f>IF(NOT(ISNUMBER($A384)),NA(),IF(OR($A384&lt;MIN(DKW_10Y!$A$2:$A$2918),$A384&gt;MAX(DKW_10Y!$A$2:$A$2918),Settings!$B$16&lt;MIN(DKW_10Y!$A$2:$A$2918)),NA(),(INDEX(DKW_10Y!$H$2:$H$2918,MATCH($A384,DKW_10Y!$A$2:$A$2918,1))-INDEX(DKW_10Y!$H$2:$H$2918,MATCH(Settings!$B$16,DKW_10Y!$A$2:$A$2918,1)))*100))</f>
        <v/>
      </c>
      <c r="AC384" s="18">
        <f>IF(NOT(ISNUMBER($A384)),NA(),IFERROR(1*INDEX(BBG_Data!$N$2:$N$4000,MATCH($A384,BBG_Data!$M$2:$M$4000,0)),NA()))</f>
        <v/>
      </c>
      <c r="AD384" s="18">
        <f>IF(NOT(ISNUMBER($A384)),NA(),IFERROR(1*INDEX(BBG_Data!$P$2:$P$4000,MATCH($A384,BBG_Data!$O$2:$O$4000,0)),NA()))</f>
        <v/>
      </c>
      <c r="AE384" s="18">
        <f>IF(NOT(ISNUMBER($A384)),NA(),IFERROR(1*INDEX(BBG_Data!$R$2:$R$4000,MATCH($A384,BBG_Data!$Q$2:$Q$4000,0)),NA()))</f>
        <v/>
      </c>
      <c r="AF384" s="20">
        <f>IF(AND(ISNUMBER(B384),ISNUMBER(AC384)),(B384-AC384)*100,NA())</f>
        <v/>
      </c>
      <c r="AG384" s="20">
        <f>IF(AND(ISNUMBER(AE384),ISNUMBER(AD384)),(AE384-AD384)*100,NA())</f>
        <v/>
      </c>
      <c r="AH384" s="19">
        <f>IF(NOT(ISNUMBER($A384)),NA(),IFERROR(INDEX(BBG_Data!$T$2:$T$4000,MATCH($A384,BBG_Data!$S$2:$S$4000,0))*Settings!$B$25,NA()))</f>
        <v/>
      </c>
      <c r="AI384" s="19">
        <f>IF(NOT(ISNUMBER($A384)),NA(),IFERROR(INDEX(BBG_Data!$V$2:$V$4000,MATCH($A384,BBG_Data!$U$2:$U$4000,0))*Settings!$B$25,NA()))</f>
        <v/>
      </c>
      <c r="AJ384" s="19">
        <f>IF(NOT(ISNUMBER($A384)),NA(),IFERROR(1*INDEX(BBG_Data!$X$2:$X$4000,MATCH($A384,BBG_Data!$W$2:$W$4000,0)),NA()))</f>
        <v/>
      </c>
      <c r="AK384" s="19">
        <f>IF(NOT(ISNUMBER($A384)),NA(),IFERROR(1*INDEX(BBG_Data!$Z$2:$Z$4000,MATCH($A384,BBG_Data!$Y$2:$Y$4000,0)),NA()))</f>
        <v/>
      </c>
    </row>
    <row r="385">
      <c r="A385" s="17">
        <f>IF(ISNUMBER(BBG_Data!A385),BBG_Data!A385,"")</f>
        <v/>
      </c>
      <c r="B385" s="18">
        <f>IF(AND(ISNUMBER($A385),ISNUMBER(BBG_Data!B385)),BBG_Data!B385,NA())</f>
        <v/>
      </c>
      <c r="C385" s="18">
        <f>IF(NOT(ISNUMBER($A385)),NA(),IFERROR(1*INDEX(BBG_Data!$D$2:$D$4000,MATCH($A385,BBG_Data!$C$2:$C$4000,0)),NA()))</f>
        <v/>
      </c>
      <c r="D385" s="19">
        <f>IF(NOT(ISNUMBER($A385)),NA(),IFERROR(1*INDEX(BBG_Data!$F$2:$F$4000,MATCH($A385,BBG_Data!$E$2:$E$4000,0)),NA()))</f>
        <v/>
      </c>
      <c r="E385" s="19">
        <f>IF(NOT(ISNUMBER($A385)),NA(),IFERROR(1*INDEX(BBG_Data!$H$2:$H$4000,MATCH($A385,BBG_Data!$G$2:$G$4000,0)),NA()))</f>
        <v/>
      </c>
      <c r="F385" s="20">
        <f>IF(AND(ISNUMBER(B385),ISNUMBER(B384)),IF(B385=B384,"",(B385-B384)*100),"")</f>
        <v/>
      </c>
      <c r="G385" s="20">
        <f>IF(AND(ISNUMBER(C385),ISNUMBER(C384)),IF(C385=C384,"",(C385-C384)*100),"")</f>
        <v/>
      </c>
      <c r="H385" s="20">
        <f>IF(OR(NOT(ISNUMBER($A385)),ROW()-2&lt;Settings!$B$11),NA(),IF(COUNT(OFFSET(F385,1-Settings!$B$11,0,Settings!$B$11,1))&lt;ROUNDUP(Settings!$B$11*Settings!$B$26,0),NA(),STDEV(OFFSET(F385,1-Settings!$B$11,0,Settings!$B$11,1))*SQRT(Settings!$B$13)))</f>
        <v/>
      </c>
      <c r="I385" s="20">
        <f>IF(OR(NOT(ISNUMBER($A385)),ROW()-2&lt;Settings!$B$12),NA(),IF(COUNT(OFFSET(F385,1-Settings!$B$12,0,Settings!$B$12,1))&lt;ROUNDUP(Settings!$B$12*Settings!$B$26,0),NA(),STDEV(OFFSET(F385,1-Settings!$B$12,0,Settings!$B$12,1))*SQRT(Settings!$B$13)))</f>
        <v/>
      </c>
      <c r="J385" s="20">
        <f>IF(OR(NOT(ISNUMBER($A385)),ROW()-2&lt;Settings!$B$11),NA(),IF(COUNT(OFFSET(G385,1-Settings!$B$11,0,Settings!$B$11,1))&lt;ROUNDUP(Settings!$B$11*Settings!$B$26,0),NA(),STDEV(OFFSET(G385,1-Settings!$B$11,0,Settings!$B$11,1))*SQRT(Settings!$B$13)))</f>
        <v/>
      </c>
      <c r="K385" s="20">
        <f>IF(OR(NOT(ISNUMBER($A385)),ROW()-2&lt;Settings!$B$12),NA(),IF(COUNT(OFFSET(G385,1-Settings!$B$12,0,Settings!$B$12,1))&lt;ROUNDUP(Settings!$B$12*Settings!$B$26,0),NA(),STDEV(OFFSET(G385,1-Settings!$B$12,0,Settings!$B$12,1))*SQRT(Settings!$B$13)))</f>
        <v/>
      </c>
      <c r="L385" s="20">
        <f>IF(AND(ISNUMBER(D385),ISNUMBER(H385)),D385-H385,NA())</f>
        <v/>
      </c>
      <c r="M385" s="20">
        <f>IF(AND(ISNUMBER(E385),ISNUMBER(K385)),E385-K385,NA())</f>
        <v/>
      </c>
      <c r="N385" s="20">
        <f>IF(NOT(ISNUMBER($A385)),NA(),IF(COUNT(OFFSET(G385,1,0,Settings!$B$12,1))&lt;ROUNDUP(Settings!$B$12*Settings!$B$26,0),NA(),STDEV(OFFSET(G385,1,0,Settings!$B$12,1))*SQRT(Settings!$B$13)))</f>
        <v/>
      </c>
      <c r="O385" s="20">
        <f>IF(AND(ISNUMBER(E385),ISNUMBER(N385)),E385-N385,NA())</f>
        <v/>
      </c>
      <c r="P385" s="19">
        <f>IF(NOT(ISNUMBER($A385)),NA(),IF(OR($A385&lt;MIN(KW_TP!$A$2:$A$2501),$A385&gt;MAX(KW_TP!$A$2:$A$2501)),NA(),INDEX(KW_TP!$C$2:$C$2501,MATCH($A385,KW_TP!$A$2:$A$2501,1))))</f>
        <v/>
      </c>
      <c r="Q385" s="18">
        <f>IF(NOT(ISNUMBER($A385)),NA(),IFERROR(1*INDEX(BBG_Data!$J$2:$J$4000,MATCH($A385,BBG_Data!$I$2:$I$4000,0)),NA()))</f>
        <v/>
      </c>
      <c r="R385" s="18">
        <f>IF(NOT(ISNUMBER($A385)),NA(),IFERROR(1*INDEX(BBG_Data!$L$2:$L$4000,MATCH($A385,BBG_Data!$K$2:$K$4000,0)),NA()))</f>
        <v/>
      </c>
      <c r="S385" s="20">
        <f>IF(AND(ISNUMBER(B385),ISNUMBER(Q385),ISNUMBER(R385)),(B385-Q385-R385)*100,NA())</f>
        <v/>
      </c>
      <c r="T385" s="20">
        <f>IF(AND(ISNUMBER(B385),Settings!$B$17&gt;0),IF(ISNUMBER(INDEX($B:$B,Settings!$B$17)),(B385-INDEX($B:$B,Settings!$B$17))*100,NA()),NA())</f>
        <v/>
      </c>
      <c r="U385" s="20">
        <f>IF(AND(ISNUMBER(Q385),Settings!$B$17&gt;0),IF(ISNUMBER(INDEX($Q:$Q,Settings!$B$17)),(Q385-INDEX($Q:$Q,Settings!$B$17))*100,NA()),NA())</f>
        <v/>
      </c>
      <c r="V385" s="20">
        <f>IF(AND(ISNUMBER(R385),Settings!$B$17&gt;0),IF(ISNUMBER(INDEX($R:$R,Settings!$B$17)),(R385-INDEX($R:$R,Settings!$B$17))*100,NA()),NA())</f>
        <v/>
      </c>
      <c r="W385" s="20">
        <f>IF(AND(ISNUMBER(P385),Settings!$B$17&gt;0),IF(ISNUMBER(INDEX($P:$P,Settings!$B$17)),P385-INDEX($P:$P,Settings!$B$17),NA()),NA())</f>
        <v/>
      </c>
      <c r="X385" s="19">
        <f>IF(NOT(ISNUMBER($A385)),NA(),IF(OR($A385&lt;MIN(DKW_10Y!$A$2:$A$2918),$A385&gt;MAX(DKW_10Y!$A$2:$A$2918),Settings!$B$16&lt;MIN(DKW_10Y!$A$2:$A$2918)),NA(),(INDEX(DKW_10Y!$B$2:$B$2918,MATCH($A385,DKW_10Y!$A$2:$A$2918,1))-INDEX(DKW_10Y!$B$2:$B$2918,MATCH(Settings!$B$16,DKW_10Y!$A$2:$A$2918,1)))*100))</f>
        <v/>
      </c>
      <c r="Y385" s="19">
        <f>IF(NOT(ISNUMBER($A385)),NA(),IF(OR($A385&lt;MIN(DKW_10Y!$A$2:$A$2918),$A385&gt;MAX(DKW_10Y!$A$2:$A$2918),Settings!$B$16&lt;MIN(DKW_10Y!$A$2:$A$2918)),NA(),(INDEX(DKW_10Y!$C$2:$C$2918,MATCH($A385,DKW_10Y!$A$2:$A$2918,1))-INDEX(DKW_10Y!$C$2:$C$2918,MATCH(Settings!$B$16,DKW_10Y!$A$2:$A$2918,1)))*100))</f>
        <v/>
      </c>
      <c r="Z385" s="19">
        <f>IF(NOT(ISNUMBER($A385)),NA(),IF(OR($A385&lt;MIN(DKW_10Y!$A$2:$A$2918),$A385&gt;MAX(DKW_10Y!$A$2:$A$2918),Settings!$B$16&lt;MIN(DKW_10Y!$A$2:$A$2918)),NA(),(INDEX(DKW_10Y!$D$2:$D$2918,MATCH($A385,DKW_10Y!$A$2:$A$2918,1))-INDEX(DKW_10Y!$D$2:$D$2918,MATCH(Settings!$B$16,DKW_10Y!$A$2:$A$2918,1)))*100))</f>
        <v/>
      </c>
      <c r="AA385" s="19">
        <f>IF(NOT(ISNUMBER($A385)),NA(),IF(OR($A385&lt;MIN(DKW_10Y!$A$2:$A$2918),$A385&gt;MAX(DKW_10Y!$A$2:$A$2918),Settings!$B$16&lt;MIN(DKW_10Y!$A$2:$A$2918)),NA(),(INDEX(DKW_10Y!$E$2:$E$2918,MATCH($A385,DKW_10Y!$A$2:$A$2918,1))-INDEX(DKW_10Y!$E$2:$E$2918,MATCH(Settings!$B$16,DKW_10Y!$A$2:$A$2918,1)))*100))</f>
        <v/>
      </c>
      <c r="AB385" s="19">
        <f>IF(NOT(ISNUMBER($A385)),NA(),IF(OR($A385&lt;MIN(DKW_10Y!$A$2:$A$2918),$A385&gt;MAX(DKW_10Y!$A$2:$A$2918),Settings!$B$16&lt;MIN(DKW_10Y!$A$2:$A$2918)),NA(),(INDEX(DKW_10Y!$H$2:$H$2918,MATCH($A385,DKW_10Y!$A$2:$A$2918,1))-INDEX(DKW_10Y!$H$2:$H$2918,MATCH(Settings!$B$16,DKW_10Y!$A$2:$A$2918,1)))*100))</f>
        <v/>
      </c>
      <c r="AC385" s="18">
        <f>IF(NOT(ISNUMBER($A385)),NA(),IFERROR(1*INDEX(BBG_Data!$N$2:$N$4000,MATCH($A385,BBG_Data!$M$2:$M$4000,0)),NA()))</f>
        <v/>
      </c>
      <c r="AD385" s="18">
        <f>IF(NOT(ISNUMBER($A385)),NA(),IFERROR(1*INDEX(BBG_Data!$P$2:$P$4000,MATCH($A385,BBG_Data!$O$2:$O$4000,0)),NA()))</f>
        <v/>
      </c>
      <c r="AE385" s="18">
        <f>IF(NOT(ISNUMBER($A385)),NA(),IFERROR(1*INDEX(BBG_Data!$R$2:$R$4000,MATCH($A385,BBG_Data!$Q$2:$Q$4000,0)),NA()))</f>
        <v/>
      </c>
      <c r="AF385" s="20">
        <f>IF(AND(ISNUMBER(B385),ISNUMBER(AC385)),(B385-AC385)*100,NA())</f>
        <v/>
      </c>
      <c r="AG385" s="20">
        <f>IF(AND(ISNUMBER(AE385),ISNUMBER(AD385)),(AE385-AD385)*100,NA())</f>
        <v/>
      </c>
      <c r="AH385" s="19">
        <f>IF(NOT(ISNUMBER($A385)),NA(),IFERROR(INDEX(BBG_Data!$T$2:$T$4000,MATCH($A385,BBG_Data!$S$2:$S$4000,0))*Settings!$B$25,NA()))</f>
        <v/>
      </c>
      <c r="AI385" s="19">
        <f>IF(NOT(ISNUMBER($A385)),NA(),IFERROR(INDEX(BBG_Data!$V$2:$V$4000,MATCH($A385,BBG_Data!$U$2:$U$4000,0))*Settings!$B$25,NA()))</f>
        <v/>
      </c>
      <c r="AJ385" s="19">
        <f>IF(NOT(ISNUMBER($A385)),NA(),IFERROR(1*INDEX(BBG_Data!$X$2:$X$4000,MATCH($A385,BBG_Data!$W$2:$W$4000,0)),NA()))</f>
        <v/>
      </c>
      <c r="AK385" s="19">
        <f>IF(NOT(ISNUMBER($A385)),NA(),IFERROR(1*INDEX(BBG_Data!$Z$2:$Z$4000,MATCH($A385,BBG_Data!$Y$2:$Y$4000,0)),NA()))</f>
        <v/>
      </c>
    </row>
    <row r="386">
      <c r="A386" s="17">
        <f>IF(ISNUMBER(BBG_Data!A386),BBG_Data!A386,"")</f>
        <v/>
      </c>
      <c r="B386" s="18">
        <f>IF(AND(ISNUMBER($A386),ISNUMBER(BBG_Data!B386)),BBG_Data!B386,NA())</f>
        <v/>
      </c>
      <c r="C386" s="18">
        <f>IF(NOT(ISNUMBER($A386)),NA(),IFERROR(1*INDEX(BBG_Data!$D$2:$D$4000,MATCH($A386,BBG_Data!$C$2:$C$4000,0)),NA()))</f>
        <v/>
      </c>
      <c r="D386" s="19">
        <f>IF(NOT(ISNUMBER($A386)),NA(),IFERROR(1*INDEX(BBG_Data!$F$2:$F$4000,MATCH($A386,BBG_Data!$E$2:$E$4000,0)),NA()))</f>
        <v/>
      </c>
      <c r="E386" s="19">
        <f>IF(NOT(ISNUMBER($A386)),NA(),IFERROR(1*INDEX(BBG_Data!$H$2:$H$4000,MATCH($A386,BBG_Data!$G$2:$G$4000,0)),NA()))</f>
        <v/>
      </c>
      <c r="F386" s="20">
        <f>IF(AND(ISNUMBER(B386),ISNUMBER(B385)),IF(B386=B385,"",(B386-B385)*100),"")</f>
        <v/>
      </c>
      <c r="G386" s="20">
        <f>IF(AND(ISNUMBER(C386),ISNUMBER(C385)),IF(C386=C385,"",(C386-C385)*100),"")</f>
        <v/>
      </c>
      <c r="H386" s="20">
        <f>IF(OR(NOT(ISNUMBER($A386)),ROW()-2&lt;Settings!$B$11),NA(),IF(COUNT(OFFSET(F386,1-Settings!$B$11,0,Settings!$B$11,1))&lt;ROUNDUP(Settings!$B$11*Settings!$B$26,0),NA(),STDEV(OFFSET(F386,1-Settings!$B$11,0,Settings!$B$11,1))*SQRT(Settings!$B$13)))</f>
        <v/>
      </c>
      <c r="I386" s="20">
        <f>IF(OR(NOT(ISNUMBER($A386)),ROW()-2&lt;Settings!$B$12),NA(),IF(COUNT(OFFSET(F386,1-Settings!$B$12,0,Settings!$B$12,1))&lt;ROUNDUP(Settings!$B$12*Settings!$B$26,0),NA(),STDEV(OFFSET(F386,1-Settings!$B$12,0,Settings!$B$12,1))*SQRT(Settings!$B$13)))</f>
        <v/>
      </c>
      <c r="J386" s="20">
        <f>IF(OR(NOT(ISNUMBER($A386)),ROW()-2&lt;Settings!$B$11),NA(),IF(COUNT(OFFSET(G386,1-Settings!$B$11,0,Settings!$B$11,1))&lt;ROUNDUP(Settings!$B$11*Settings!$B$26,0),NA(),STDEV(OFFSET(G386,1-Settings!$B$11,0,Settings!$B$11,1))*SQRT(Settings!$B$13)))</f>
        <v/>
      </c>
      <c r="K386" s="20">
        <f>IF(OR(NOT(ISNUMBER($A386)),ROW()-2&lt;Settings!$B$12),NA(),IF(COUNT(OFFSET(G386,1-Settings!$B$12,0,Settings!$B$12,1))&lt;ROUNDUP(Settings!$B$12*Settings!$B$26,0),NA(),STDEV(OFFSET(G386,1-Settings!$B$12,0,Settings!$B$12,1))*SQRT(Settings!$B$13)))</f>
        <v/>
      </c>
      <c r="L386" s="20">
        <f>IF(AND(ISNUMBER(D386),ISNUMBER(H386)),D386-H386,NA())</f>
        <v/>
      </c>
      <c r="M386" s="20">
        <f>IF(AND(ISNUMBER(E386),ISNUMBER(K386)),E386-K386,NA())</f>
        <v/>
      </c>
      <c r="N386" s="20">
        <f>IF(NOT(ISNUMBER($A386)),NA(),IF(COUNT(OFFSET(G386,1,0,Settings!$B$12,1))&lt;ROUNDUP(Settings!$B$12*Settings!$B$26,0),NA(),STDEV(OFFSET(G386,1,0,Settings!$B$12,1))*SQRT(Settings!$B$13)))</f>
        <v/>
      </c>
      <c r="O386" s="20">
        <f>IF(AND(ISNUMBER(E386),ISNUMBER(N386)),E386-N386,NA())</f>
        <v/>
      </c>
      <c r="P386" s="19">
        <f>IF(NOT(ISNUMBER($A386)),NA(),IF(OR($A386&lt;MIN(KW_TP!$A$2:$A$2501),$A386&gt;MAX(KW_TP!$A$2:$A$2501)),NA(),INDEX(KW_TP!$C$2:$C$2501,MATCH($A386,KW_TP!$A$2:$A$2501,1))))</f>
        <v/>
      </c>
      <c r="Q386" s="18">
        <f>IF(NOT(ISNUMBER($A386)),NA(),IFERROR(1*INDEX(BBG_Data!$J$2:$J$4000,MATCH($A386,BBG_Data!$I$2:$I$4000,0)),NA()))</f>
        <v/>
      </c>
      <c r="R386" s="18">
        <f>IF(NOT(ISNUMBER($A386)),NA(),IFERROR(1*INDEX(BBG_Data!$L$2:$L$4000,MATCH($A386,BBG_Data!$K$2:$K$4000,0)),NA()))</f>
        <v/>
      </c>
      <c r="S386" s="20">
        <f>IF(AND(ISNUMBER(B386),ISNUMBER(Q386),ISNUMBER(R386)),(B386-Q386-R386)*100,NA())</f>
        <v/>
      </c>
      <c r="T386" s="20">
        <f>IF(AND(ISNUMBER(B386),Settings!$B$17&gt;0),IF(ISNUMBER(INDEX($B:$B,Settings!$B$17)),(B386-INDEX($B:$B,Settings!$B$17))*100,NA()),NA())</f>
        <v/>
      </c>
      <c r="U386" s="20">
        <f>IF(AND(ISNUMBER(Q386),Settings!$B$17&gt;0),IF(ISNUMBER(INDEX($Q:$Q,Settings!$B$17)),(Q386-INDEX($Q:$Q,Settings!$B$17))*100,NA()),NA())</f>
        <v/>
      </c>
      <c r="V386" s="20">
        <f>IF(AND(ISNUMBER(R386),Settings!$B$17&gt;0),IF(ISNUMBER(INDEX($R:$R,Settings!$B$17)),(R386-INDEX($R:$R,Settings!$B$17))*100,NA()),NA())</f>
        <v/>
      </c>
      <c r="W386" s="20">
        <f>IF(AND(ISNUMBER(P386),Settings!$B$17&gt;0),IF(ISNUMBER(INDEX($P:$P,Settings!$B$17)),P386-INDEX($P:$P,Settings!$B$17),NA()),NA())</f>
        <v/>
      </c>
      <c r="X386" s="19">
        <f>IF(NOT(ISNUMBER($A386)),NA(),IF(OR($A386&lt;MIN(DKW_10Y!$A$2:$A$2918),$A386&gt;MAX(DKW_10Y!$A$2:$A$2918),Settings!$B$16&lt;MIN(DKW_10Y!$A$2:$A$2918)),NA(),(INDEX(DKW_10Y!$B$2:$B$2918,MATCH($A386,DKW_10Y!$A$2:$A$2918,1))-INDEX(DKW_10Y!$B$2:$B$2918,MATCH(Settings!$B$16,DKW_10Y!$A$2:$A$2918,1)))*100))</f>
        <v/>
      </c>
      <c r="Y386" s="19">
        <f>IF(NOT(ISNUMBER($A386)),NA(),IF(OR($A386&lt;MIN(DKW_10Y!$A$2:$A$2918),$A386&gt;MAX(DKW_10Y!$A$2:$A$2918),Settings!$B$16&lt;MIN(DKW_10Y!$A$2:$A$2918)),NA(),(INDEX(DKW_10Y!$C$2:$C$2918,MATCH($A386,DKW_10Y!$A$2:$A$2918,1))-INDEX(DKW_10Y!$C$2:$C$2918,MATCH(Settings!$B$16,DKW_10Y!$A$2:$A$2918,1)))*100))</f>
        <v/>
      </c>
      <c r="Z386" s="19">
        <f>IF(NOT(ISNUMBER($A386)),NA(),IF(OR($A386&lt;MIN(DKW_10Y!$A$2:$A$2918),$A386&gt;MAX(DKW_10Y!$A$2:$A$2918),Settings!$B$16&lt;MIN(DKW_10Y!$A$2:$A$2918)),NA(),(INDEX(DKW_10Y!$D$2:$D$2918,MATCH($A386,DKW_10Y!$A$2:$A$2918,1))-INDEX(DKW_10Y!$D$2:$D$2918,MATCH(Settings!$B$16,DKW_10Y!$A$2:$A$2918,1)))*100))</f>
        <v/>
      </c>
      <c r="AA386" s="19">
        <f>IF(NOT(ISNUMBER($A386)),NA(),IF(OR($A386&lt;MIN(DKW_10Y!$A$2:$A$2918),$A386&gt;MAX(DKW_10Y!$A$2:$A$2918),Settings!$B$16&lt;MIN(DKW_10Y!$A$2:$A$2918)),NA(),(INDEX(DKW_10Y!$E$2:$E$2918,MATCH($A386,DKW_10Y!$A$2:$A$2918,1))-INDEX(DKW_10Y!$E$2:$E$2918,MATCH(Settings!$B$16,DKW_10Y!$A$2:$A$2918,1)))*100))</f>
        <v/>
      </c>
      <c r="AB386" s="19">
        <f>IF(NOT(ISNUMBER($A386)),NA(),IF(OR($A386&lt;MIN(DKW_10Y!$A$2:$A$2918),$A386&gt;MAX(DKW_10Y!$A$2:$A$2918),Settings!$B$16&lt;MIN(DKW_10Y!$A$2:$A$2918)),NA(),(INDEX(DKW_10Y!$H$2:$H$2918,MATCH($A386,DKW_10Y!$A$2:$A$2918,1))-INDEX(DKW_10Y!$H$2:$H$2918,MATCH(Settings!$B$16,DKW_10Y!$A$2:$A$2918,1)))*100))</f>
        <v/>
      </c>
      <c r="AC386" s="18">
        <f>IF(NOT(ISNUMBER($A386)),NA(),IFERROR(1*INDEX(BBG_Data!$N$2:$N$4000,MATCH($A386,BBG_Data!$M$2:$M$4000,0)),NA()))</f>
        <v/>
      </c>
      <c r="AD386" s="18">
        <f>IF(NOT(ISNUMBER($A386)),NA(),IFERROR(1*INDEX(BBG_Data!$P$2:$P$4000,MATCH($A386,BBG_Data!$O$2:$O$4000,0)),NA()))</f>
        <v/>
      </c>
      <c r="AE386" s="18">
        <f>IF(NOT(ISNUMBER($A386)),NA(),IFERROR(1*INDEX(BBG_Data!$R$2:$R$4000,MATCH($A386,BBG_Data!$Q$2:$Q$4000,0)),NA()))</f>
        <v/>
      </c>
      <c r="AF386" s="20">
        <f>IF(AND(ISNUMBER(B386),ISNUMBER(AC386)),(B386-AC386)*100,NA())</f>
        <v/>
      </c>
      <c r="AG386" s="20">
        <f>IF(AND(ISNUMBER(AE386),ISNUMBER(AD386)),(AE386-AD386)*100,NA())</f>
        <v/>
      </c>
      <c r="AH386" s="19">
        <f>IF(NOT(ISNUMBER($A386)),NA(),IFERROR(INDEX(BBG_Data!$T$2:$T$4000,MATCH($A386,BBG_Data!$S$2:$S$4000,0))*Settings!$B$25,NA()))</f>
        <v/>
      </c>
      <c r="AI386" s="19">
        <f>IF(NOT(ISNUMBER($A386)),NA(),IFERROR(INDEX(BBG_Data!$V$2:$V$4000,MATCH($A386,BBG_Data!$U$2:$U$4000,0))*Settings!$B$25,NA()))</f>
        <v/>
      </c>
      <c r="AJ386" s="19">
        <f>IF(NOT(ISNUMBER($A386)),NA(),IFERROR(1*INDEX(BBG_Data!$X$2:$X$4000,MATCH($A386,BBG_Data!$W$2:$W$4000,0)),NA()))</f>
        <v/>
      </c>
      <c r="AK386" s="19">
        <f>IF(NOT(ISNUMBER($A386)),NA(),IFERROR(1*INDEX(BBG_Data!$Z$2:$Z$4000,MATCH($A386,BBG_Data!$Y$2:$Y$4000,0)),NA()))</f>
        <v/>
      </c>
    </row>
    <row r="387">
      <c r="A387" s="17">
        <f>IF(ISNUMBER(BBG_Data!A387),BBG_Data!A387,"")</f>
        <v/>
      </c>
      <c r="B387" s="18">
        <f>IF(AND(ISNUMBER($A387),ISNUMBER(BBG_Data!B387)),BBG_Data!B387,NA())</f>
        <v/>
      </c>
      <c r="C387" s="18">
        <f>IF(NOT(ISNUMBER($A387)),NA(),IFERROR(1*INDEX(BBG_Data!$D$2:$D$4000,MATCH($A387,BBG_Data!$C$2:$C$4000,0)),NA()))</f>
        <v/>
      </c>
      <c r="D387" s="19">
        <f>IF(NOT(ISNUMBER($A387)),NA(),IFERROR(1*INDEX(BBG_Data!$F$2:$F$4000,MATCH($A387,BBG_Data!$E$2:$E$4000,0)),NA()))</f>
        <v/>
      </c>
      <c r="E387" s="19">
        <f>IF(NOT(ISNUMBER($A387)),NA(),IFERROR(1*INDEX(BBG_Data!$H$2:$H$4000,MATCH($A387,BBG_Data!$G$2:$G$4000,0)),NA()))</f>
        <v/>
      </c>
      <c r="F387" s="20">
        <f>IF(AND(ISNUMBER(B387),ISNUMBER(B386)),IF(B387=B386,"",(B387-B386)*100),"")</f>
        <v/>
      </c>
      <c r="G387" s="20">
        <f>IF(AND(ISNUMBER(C387),ISNUMBER(C386)),IF(C387=C386,"",(C387-C386)*100),"")</f>
        <v/>
      </c>
      <c r="H387" s="20">
        <f>IF(OR(NOT(ISNUMBER($A387)),ROW()-2&lt;Settings!$B$11),NA(),IF(COUNT(OFFSET(F387,1-Settings!$B$11,0,Settings!$B$11,1))&lt;ROUNDUP(Settings!$B$11*Settings!$B$26,0),NA(),STDEV(OFFSET(F387,1-Settings!$B$11,0,Settings!$B$11,1))*SQRT(Settings!$B$13)))</f>
        <v/>
      </c>
      <c r="I387" s="20">
        <f>IF(OR(NOT(ISNUMBER($A387)),ROW()-2&lt;Settings!$B$12),NA(),IF(COUNT(OFFSET(F387,1-Settings!$B$12,0,Settings!$B$12,1))&lt;ROUNDUP(Settings!$B$12*Settings!$B$26,0),NA(),STDEV(OFFSET(F387,1-Settings!$B$12,0,Settings!$B$12,1))*SQRT(Settings!$B$13)))</f>
        <v/>
      </c>
      <c r="J387" s="20">
        <f>IF(OR(NOT(ISNUMBER($A387)),ROW()-2&lt;Settings!$B$11),NA(),IF(COUNT(OFFSET(G387,1-Settings!$B$11,0,Settings!$B$11,1))&lt;ROUNDUP(Settings!$B$11*Settings!$B$26,0),NA(),STDEV(OFFSET(G387,1-Settings!$B$11,0,Settings!$B$11,1))*SQRT(Settings!$B$13)))</f>
        <v/>
      </c>
      <c r="K387" s="20">
        <f>IF(OR(NOT(ISNUMBER($A387)),ROW()-2&lt;Settings!$B$12),NA(),IF(COUNT(OFFSET(G387,1-Settings!$B$12,0,Settings!$B$12,1))&lt;ROUNDUP(Settings!$B$12*Settings!$B$26,0),NA(),STDEV(OFFSET(G387,1-Settings!$B$12,0,Settings!$B$12,1))*SQRT(Settings!$B$13)))</f>
        <v/>
      </c>
      <c r="L387" s="20">
        <f>IF(AND(ISNUMBER(D387),ISNUMBER(H387)),D387-H387,NA())</f>
        <v/>
      </c>
      <c r="M387" s="20">
        <f>IF(AND(ISNUMBER(E387),ISNUMBER(K387)),E387-K387,NA())</f>
        <v/>
      </c>
      <c r="N387" s="20">
        <f>IF(NOT(ISNUMBER($A387)),NA(),IF(COUNT(OFFSET(G387,1,0,Settings!$B$12,1))&lt;ROUNDUP(Settings!$B$12*Settings!$B$26,0),NA(),STDEV(OFFSET(G387,1,0,Settings!$B$12,1))*SQRT(Settings!$B$13)))</f>
        <v/>
      </c>
      <c r="O387" s="20">
        <f>IF(AND(ISNUMBER(E387),ISNUMBER(N387)),E387-N387,NA())</f>
        <v/>
      </c>
      <c r="P387" s="19">
        <f>IF(NOT(ISNUMBER($A387)),NA(),IF(OR($A387&lt;MIN(KW_TP!$A$2:$A$2501),$A387&gt;MAX(KW_TP!$A$2:$A$2501)),NA(),INDEX(KW_TP!$C$2:$C$2501,MATCH($A387,KW_TP!$A$2:$A$2501,1))))</f>
        <v/>
      </c>
      <c r="Q387" s="18">
        <f>IF(NOT(ISNUMBER($A387)),NA(),IFERROR(1*INDEX(BBG_Data!$J$2:$J$4000,MATCH($A387,BBG_Data!$I$2:$I$4000,0)),NA()))</f>
        <v/>
      </c>
      <c r="R387" s="18">
        <f>IF(NOT(ISNUMBER($A387)),NA(),IFERROR(1*INDEX(BBG_Data!$L$2:$L$4000,MATCH($A387,BBG_Data!$K$2:$K$4000,0)),NA()))</f>
        <v/>
      </c>
      <c r="S387" s="20">
        <f>IF(AND(ISNUMBER(B387),ISNUMBER(Q387),ISNUMBER(R387)),(B387-Q387-R387)*100,NA())</f>
        <v/>
      </c>
      <c r="T387" s="20">
        <f>IF(AND(ISNUMBER(B387),Settings!$B$17&gt;0),IF(ISNUMBER(INDEX($B:$B,Settings!$B$17)),(B387-INDEX($B:$B,Settings!$B$17))*100,NA()),NA())</f>
        <v/>
      </c>
      <c r="U387" s="20">
        <f>IF(AND(ISNUMBER(Q387),Settings!$B$17&gt;0),IF(ISNUMBER(INDEX($Q:$Q,Settings!$B$17)),(Q387-INDEX($Q:$Q,Settings!$B$17))*100,NA()),NA())</f>
        <v/>
      </c>
      <c r="V387" s="20">
        <f>IF(AND(ISNUMBER(R387),Settings!$B$17&gt;0),IF(ISNUMBER(INDEX($R:$R,Settings!$B$17)),(R387-INDEX($R:$R,Settings!$B$17))*100,NA()),NA())</f>
        <v/>
      </c>
      <c r="W387" s="20">
        <f>IF(AND(ISNUMBER(P387),Settings!$B$17&gt;0),IF(ISNUMBER(INDEX($P:$P,Settings!$B$17)),P387-INDEX($P:$P,Settings!$B$17),NA()),NA())</f>
        <v/>
      </c>
      <c r="X387" s="19">
        <f>IF(NOT(ISNUMBER($A387)),NA(),IF(OR($A387&lt;MIN(DKW_10Y!$A$2:$A$2918),$A387&gt;MAX(DKW_10Y!$A$2:$A$2918),Settings!$B$16&lt;MIN(DKW_10Y!$A$2:$A$2918)),NA(),(INDEX(DKW_10Y!$B$2:$B$2918,MATCH($A387,DKW_10Y!$A$2:$A$2918,1))-INDEX(DKW_10Y!$B$2:$B$2918,MATCH(Settings!$B$16,DKW_10Y!$A$2:$A$2918,1)))*100))</f>
        <v/>
      </c>
      <c r="Y387" s="19">
        <f>IF(NOT(ISNUMBER($A387)),NA(),IF(OR($A387&lt;MIN(DKW_10Y!$A$2:$A$2918),$A387&gt;MAX(DKW_10Y!$A$2:$A$2918),Settings!$B$16&lt;MIN(DKW_10Y!$A$2:$A$2918)),NA(),(INDEX(DKW_10Y!$C$2:$C$2918,MATCH($A387,DKW_10Y!$A$2:$A$2918,1))-INDEX(DKW_10Y!$C$2:$C$2918,MATCH(Settings!$B$16,DKW_10Y!$A$2:$A$2918,1)))*100))</f>
        <v/>
      </c>
      <c r="Z387" s="19">
        <f>IF(NOT(ISNUMBER($A387)),NA(),IF(OR($A387&lt;MIN(DKW_10Y!$A$2:$A$2918),$A387&gt;MAX(DKW_10Y!$A$2:$A$2918),Settings!$B$16&lt;MIN(DKW_10Y!$A$2:$A$2918)),NA(),(INDEX(DKW_10Y!$D$2:$D$2918,MATCH($A387,DKW_10Y!$A$2:$A$2918,1))-INDEX(DKW_10Y!$D$2:$D$2918,MATCH(Settings!$B$16,DKW_10Y!$A$2:$A$2918,1)))*100))</f>
        <v/>
      </c>
      <c r="AA387" s="19">
        <f>IF(NOT(ISNUMBER($A387)),NA(),IF(OR($A387&lt;MIN(DKW_10Y!$A$2:$A$2918),$A387&gt;MAX(DKW_10Y!$A$2:$A$2918),Settings!$B$16&lt;MIN(DKW_10Y!$A$2:$A$2918)),NA(),(INDEX(DKW_10Y!$E$2:$E$2918,MATCH($A387,DKW_10Y!$A$2:$A$2918,1))-INDEX(DKW_10Y!$E$2:$E$2918,MATCH(Settings!$B$16,DKW_10Y!$A$2:$A$2918,1)))*100))</f>
        <v/>
      </c>
      <c r="AB387" s="19">
        <f>IF(NOT(ISNUMBER($A387)),NA(),IF(OR($A387&lt;MIN(DKW_10Y!$A$2:$A$2918),$A387&gt;MAX(DKW_10Y!$A$2:$A$2918),Settings!$B$16&lt;MIN(DKW_10Y!$A$2:$A$2918)),NA(),(INDEX(DKW_10Y!$H$2:$H$2918,MATCH($A387,DKW_10Y!$A$2:$A$2918,1))-INDEX(DKW_10Y!$H$2:$H$2918,MATCH(Settings!$B$16,DKW_10Y!$A$2:$A$2918,1)))*100))</f>
        <v/>
      </c>
      <c r="AC387" s="18">
        <f>IF(NOT(ISNUMBER($A387)),NA(),IFERROR(1*INDEX(BBG_Data!$N$2:$N$4000,MATCH($A387,BBG_Data!$M$2:$M$4000,0)),NA()))</f>
        <v/>
      </c>
      <c r="AD387" s="18">
        <f>IF(NOT(ISNUMBER($A387)),NA(),IFERROR(1*INDEX(BBG_Data!$P$2:$P$4000,MATCH($A387,BBG_Data!$O$2:$O$4000,0)),NA()))</f>
        <v/>
      </c>
      <c r="AE387" s="18">
        <f>IF(NOT(ISNUMBER($A387)),NA(),IFERROR(1*INDEX(BBG_Data!$R$2:$R$4000,MATCH($A387,BBG_Data!$Q$2:$Q$4000,0)),NA()))</f>
        <v/>
      </c>
      <c r="AF387" s="20">
        <f>IF(AND(ISNUMBER(B387),ISNUMBER(AC387)),(B387-AC387)*100,NA())</f>
        <v/>
      </c>
      <c r="AG387" s="20">
        <f>IF(AND(ISNUMBER(AE387),ISNUMBER(AD387)),(AE387-AD387)*100,NA())</f>
        <v/>
      </c>
      <c r="AH387" s="19">
        <f>IF(NOT(ISNUMBER($A387)),NA(),IFERROR(INDEX(BBG_Data!$T$2:$T$4000,MATCH($A387,BBG_Data!$S$2:$S$4000,0))*Settings!$B$25,NA()))</f>
        <v/>
      </c>
      <c r="AI387" s="19">
        <f>IF(NOT(ISNUMBER($A387)),NA(),IFERROR(INDEX(BBG_Data!$V$2:$V$4000,MATCH($A387,BBG_Data!$U$2:$U$4000,0))*Settings!$B$25,NA()))</f>
        <v/>
      </c>
      <c r="AJ387" s="19">
        <f>IF(NOT(ISNUMBER($A387)),NA(),IFERROR(1*INDEX(BBG_Data!$X$2:$X$4000,MATCH($A387,BBG_Data!$W$2:$W$4000,0)),NA()))</f>
        <v/>
      </c>
      <c r="AK387" s="19">
        <f>IF(NOT(ISNUMBER($A387)),NA(),IFERROR(1*INDEX(BBG_Data!$Z$2:$Z$4000,MATCH($A387,BBG_Data!$Y$2:$Y$4000,0)),NA()))</f>
        <v/>
      </c>
    </row>
    <row r="388">
      <c r="A388" s="17">
        <f>IF(ISNUMBER(BBG_Data!A388),BBG_Data!A388,"")</f>
        <v/>
      </c>
      <c r="B388" s="18">
        <f>IF(AND(ISNUMBER($A388),ISNUMBER(BBG_Data!B388)),BBG_Data!B388,NA())</f>
        <v/>
      </c>
      <c r="C388" s="18">
        <f>IF(NOT(ISNUMBER($A388)),NA(),IFERROR(1*INDEX(BBG_Data!$D$2:$D$4000,MATCH($A388,BBG_Data!$C$2:$C$4000,0)),NA()))</f>
        <v/>
      </c>
      <c r="D388" s="19">
        <f>IF(NOT(ISNUMBER($A388)),NA(),IFERROR(1*INDEX(BBG_Data!$F$2:$F$4000,MATCH($A388,BBG_Data!$E$2:$E$4000,0)),NA()))</f>
        <v/>
      </c>
      <c r="E388" s="19">
        <f>IF(NOT(ISNUMBER($A388)),NA(),IFERROR(1*INDEX(BBG_Data!$H$2:$H$4000,MATCH($A388,BBG_Data!$G$2:$G$4000,0)),NA()))</f>
        <v/>
      </c>
      <c r="F388" s="20">
        <f>IF(AND(ISNUMBER(B388),ISNUMBER(B387)),IF(B388=B387,"",(B388-B387)*100),"")</f>
        <v/>
      </c>
      <c r="G388" s="20">
        <f>IF(AND(ISNUMBER(C388),ISNUMBER(C387)),IF(C388=C387,"",(C388-C387)*100),"")</f>
        <v/>
      </c>
      <c r="H388" s="20">
        <f>IF(OR(NOT(ISNUMBER($A388)),ROW()-2&lt;Settings!$B$11),NA(),IF(COUNT(OFFSET(F388,1-Settings!$B$11,0,Settings!$B$11,1))&lt;ROUNDUP(Settings!$B$11*Settings!$B$26,0),NA(),STDEV(OFFSET(F388,1-Settings!$B$11,0,Settings!$B$11,1))*SQRT(Settings!$B$13)))</f>
        <v/>
      </c>
      <c r="I388" s="20">
        <f>IF(OR(NOT(ISNUMBER($A388)),ROW()-2&lt;Settings!$B$12),NA(),IF(COUNT(OFFSET(F388,1-Settings!$B$12,0,Settings!$B$12,1))&lt;ROUNDUP(Settings!$B$12*Settings!$B$26,0),NA(),STDEV(OFFSET(F388,1-Settings!$B$12,0,Settings!$B$12,1))*SQRT(Settings!$B$13)))</f>
        <v/>
      </c>
      <c r="J388" s="20">
        <f>IF(OR(NOT(ISNUMBER($A388)),ROW()-2&lt;Settings!$B$11),NA(),IF(COUNT(OFFSET(G388,1-Settings!$B$11,0,Settings!$B$11,1))&lt;ROUNDUP(Settings!$B$11*Settings!$B$26,0),NA(),STDEV(OFFSET(G388,1-Settings!$B$11,0,Settings!$B$11,1))*SQRT(Settings!$B$13)))</f>
        <v/>
      </c>
      <c r="K388" s="20">
        <f>IF(OR(NOT(ISNUMBER($A388)),ROW()-2&lt;Settings!$B$12),NA(),IF(COUNT(OFFSET(G388,1-Settings!$B$12,0,Settings!$B$12,1))&lt;ROUNDUP(Settings!$B$12*Settings!$B$26,0),NA(),STDEV(OFFSET(G388,1-Settings!$B$12,0,Settings!$B$12,1))*SQRT(Settings!$B$13)))</f>
        <v/>
      </c>
      <c r="L388" s="20">
        <f>IF(AND(ISNUMBER(D388),ISNUMBER(H388)),D388-H388,NA())</f>
        <v/>
      </c>
      <c r="M388" s="20">
        <f>IF(AND(ISNUMBER(E388),ISNUMBER(K388)),E388-K388,NA())</f>
        <v/>
      </c>
      <c r="N388" s="20">
        <f>IF(NOT(ISNUMBER($A388)),NA(),IF(COUNT(OFFSET(G388,1,0,Settings!$B$12,1))&lt;ROUNDUP(Settings!$B$12*Settings!$B$26,0),NA(),STDEV(OFFSET(G388,1,0,Settings!$B$12,1))*SQRT(Settings!$B$13)))</f>
        <v/>
      </c>
      <c r="O388" s="20">
        <f>IF(AND(ISNUMBER(E388),ISNUMBER(N388)),E388-N388,NA())</f>
        <v/>
      </c>
      <c r="P388" s="19">
        <f>IF(NOT(ISNUMBER($A388)),NA(),IF(OR($A388&lt;MIN(KW_TP!$A$2:$A$2501),$A388&gt;MAX(KW_TP!$A$2:$A$2501)),NA(),INDEX(KW_TP!$C$2:$C$2501,MATCH($A388,KW_TP!$A$2:$A$2501,1))))</f>
        <v/>
      </c>
      <c r="Q388" s="18">
        <f>IF(NOT(ISNUMBER($A388)),NA(),IFERROR(1*INDEX(BBG_Data!$J$2:$J$4000,MATCH($A388,BBG_Data!$I$2:$I$4000,0)),NA()))</f>
        <v/>
      </c>
      <c r="R388" s="18">
        <f>IF(NOT(ISNUMBER($A388)),NA(),IFERROR(1*INDEX(BBG_Data!$L$2:$L$4000,MATCH($A388,BBG_Data!$K$2:$K$4000,0)),NA()))</f>
        <v/>
      </c>
      <c r="S388" s="20">
        <f>IF(AND(ISNUMBER(B388),ISNUMBER(Q388),ISNUMBER(R388)),(B388-Q388-R388)*100,NA())</f>
        <v/>
      </c>
      <c r="T388" s="20">
        <f>IF(AND(ISNUMBER(B388),Settings!$B$17&gt;0),IF(ISNUMBER(INDEX($B:$B,Settings!$B$17)),(B388-INDEX($B:$B,Settings!$B$17))*100,NA()),NA())</f>
        <v/>
      </c>
      <c r="U388" s="20">
        <f>IF(AND(ISNUMBER(Q388),Settings!$B$17&gt;0),IF(ISNUMBER(INDEX($Q:$Q,Settings!$B$17)),(Q388-INDEX($Q:$Q,Settings!$B$17))*100,NA()),NA())</f>
        <v/>
      </c>
      <c r="V388" s="20">
        <f>IF(AND(ISNUMBER(R388),Settings!$B$17&gt;0),IF(ISNUMBER(INDEX($R:$R,Settings!$B$17)),(R388-INDEX($R:$R,Settings!$B$17))*100,NA()),NA())</f>
        <v/>
      </c>
      <c r="W388" s="20">
        <f>IF(AND(ISNUMBER(P388),Settings!$B$17&gt;0),IF(ISNUMBER(INDEX($P:$P,Settings!$B$17)),P388-INDEX($P:$P,Settings!$B$17),NA()),NA())</f>
        <v/>
      </c>
      <c r="X388" s="19">
        <f>IF(NOT(ISNUMBER($A388)),NA(),IF(OR($A388&lt;MIN(DKW_10Y!$A$2:$A$2918),$A388&gt;MAX(DKW_10Y!$A$2:$A$2918),Settings!$B$16&lt;MIN(DKW_10Y!$A$2:$A$2918)),NA(),(INDEX(DKW_10Y!$B$2:$B$2918,MATCH($A388,DKW_10Y!$A$2:$A$2918,1))-INDEX(DKW_10Y!$B$2:$B$2918,MATCH(Settings!$B$16,DKW_10Y!$A$2:$A$2918,1)))*100))</f>
        <v/>
      </c>
      <c r="Y388" s="19">
        <f>IF(NOT(ISNUMBER($A388)),NA(),IF(OR($A388&lt;MIN(DKW_10Y!$A$2:$A$2918),$A388&gt;MAX(DKW_10Y!$A$2:$A$2918),Settings!$B$16&lt;MIN(DKW_10Y!$A$2:$A$2918)),NA(),(INDEX(DKW_10Y!$C$2:$C$2918,MATCH($A388,DKW_10Y!$A$2:$A$2918,1))-INDEX(DKW_10Y!$C$2:$C$2918,MATCH(Settings!$B$16,DKW_10Y!$A$2:$A$2918,1)))*100))</f>
        <v/>
      </c>
      <c r="Z388" s="19">
        <f>IF(NOT(ISNUMBER($A388)),NA(),IF(OR($A388&lt;MIN(DKW_10Y!$A$2:$A$2918),$A388&gt;MAX(DKW_10Y!$A$2:$A$2918),Settings!$B$16&lt;MIN(DKW_10Y!$A$2:$A$2918)),NA(),(INDEX(DKW_10Y!$D$2:$D$2918,MATCH($A388,DKW_10Y!$A$2:$A$2918,1))-INDEX(DKW_10Y!$D$2:$D$2918,MATCH(Settings!$B$16,DKW_10Y!$A$2:$A$2918,1)))*100))</f>
        <v/>
      </c>
      <c r="AA388" s="19">
        <f>IF(NOT(ISNUMBER($A388)),NA(),IF(OR($A388&lt;MIN(DKW_10Y!$A$2:$A$2918),$A388&gt;MAX(DKW_10Y!$A$2:$A$2918),Settings!$B$16&lt;MIN(DKW_10Y!$A$2:$A$2918)),NA(),(INDEX(DKW_10Y!$E$2:$E$2918,MATCH($A388,DKW_10Y!$A$2:$A$2918,1))-INDEX(DKW_10Y!$E$2:$E$2918,MATCH(Settings!$B$16,DKW_10Y!$A$2:$A$2918,1)))*100))</f>
        <v/>
      </c>
      <c r="AB388" s="19">
        <f>IF(NOT(ISNUMBER($A388)),NA(),IF(OR($A388&lt;MIN(DKW_10Y!$A$2:$A$2918),$A388&gt;MAX(DKW_10Y!$A$2:$A$2918),Settings!$B$16&lt;MIN(DKW_10Y!$A$2:$A$2918)),NA(),(INDEX(DKW_10Y!$H$2:$H$2918,MATCH($A388,DKW_10Y!$A$2:$A$2918,1))-INDEX(DKW_10Y!$H$2:$H$2918,MATCH(Settings!$B$16,DKW_10Y!$A$2:$A$2918,1)))*100))</f>
        <v/>
      </c>
      <c r="AC388" s="18">
        <f>IF(NOT(ISNUMBER($A388)),NA(),IFERROR(1*INDEX(BBG_Data!$N$2:$N$4000,MATCH($A388,BBG_Data!$M$2:$M$4000,0)),NA()))</f>
        <v/>
      </c>
      <c r="AD388" s="18">
        <f>IF(NOT(ISNUMBER($A388)),NA(),IFERROR(1*INDEX(BBG_Data!$P$2:$P$4000,MATCH($A388,BBG_Data!$O$2:$O$4000,0)),NA()))</f>
        <v/>
      </c>
      <c r="AE388" s="18">
        <f>IF(NOT(ISNUMBER($A388)),NA(),IFERROR(1*INDEX(BBG_Data!$R$2:$R$4000,MATCH($A388,BBG_Data!$Q$2:$Q$4000,0)),NA()))</f>
        <v/>
      </c>
      <c r="AF388" s="20">
        <f>IF(AND(ISNUMBER(B388),ISNUMBER(AC388)),(B388-AC388)*100,NA())</f>
        <v/>
      </c>
      <c r="AG388" s="20">
        <f>IF(AND(ISNUMBER(AE388),ISNUMBER(AD388)),(AE388-AD388)*100,NA())</f>
        <v/>
      </c>
      <c r="AH388" s="19">
        <f>IF(NOT(ISNUMBER($A388)),NA(),IFERROR(INDEX(BBG_Data!$T$2:$T$4000,MATCH($A388,BBG_Data!$S$2:$S$4000,0))*Settings!$B$25,NA()))</f>
        <v/>
      </c>
      <c r="AI388" s="19">
        <f>IF(NOT(ISNUMBER($A388)),NA(),IFERROR(INDEX(BBG_Data!$V$2:$V$4000,MATCH($A388,BBG_Data!$U$2:$U$4000,0))*Settings!$B$25,NA()))</f>
        <v/>
      </c>
      <c r="AJ388" s="19">
        <f>IF(NOT(ISNUMBER($A388)),NA(),IFERROR(1*INDEX(BBG_Data!$X$2:$X$4000,MATCH($A388,BBG_Data!$W$2:$W$4000,0)),NA()))</f>
        <v/>
      </c>
      <c r="AK388" s="19">
        <f>IF(NOT(ISNUMBER($A388)),NA(),IFERROR(1*INDEX(BBG_Data!$Z$2:$Z$4000,MATCH($A388,BBG_Data!$Y$2:$Y$4000,0)),NA()))</f>
        <v/>
      </c>
    </row>
    <row r="389">
      <c r="A389" s="17">
        <f>IF(ISNUMBER(BBG_Data!A389),BBG_Data!A389,"")</f>
        <v/>
      </c>
      <c r="B389" s="18">
        <f>IF(AND(ISNUMBER($A389),ISNUMBER(BBG_Data!B389)),BBG_Data!B389,NA())</f>
        <v/>
      </c>
      <c r="C389" s="18">
        <f>IF(NOT(ISNUMBER($A389)),NA(),IFERROR(1*INDEX(BBG_Data!$D$2:$D$4000,MATCH($A389,BBG_Data!$C$2:$C$4000,0)),NA()))</f>
        <v/>
      </c>
      <c r="D389" s="19">
        <f>IF(NOT(ISNUMBER($A389)),NA(),IFERROR(1*INDEX(BBG_Data!$F$2:$F$4000,MATCH($A389,BBG_Data!$E$2:$E$4000,0)),NA()))</f>
        <v/>
      </c>
      <c r="E389" s="19">
        <f>IF(NOT(ISNUMBER($A389)),NA(),IFERROR(1*INDEX(BBG_Data!$H$2:$H$4000,MATCH($A389,BBG_Data!$G$2:$G$4000,0)),NA()))</f>
        <v/>
      </c>
      <c r="F389" s="20">
        <f>IF(AND(ISNUMBER(B389),ISNUMBER(B388)),IF(B389=B388,"",(B389-B388)*100),"")</f>
        <v/>
      </c>
      <c r="G389" s="20">
        <f>IF(AND(ISNUMBER(C389),ISNUMBER(C388)),IF(C389=C388,"",(C389-C388)*100),"")</f>
        <v/>
      </c>
      <c r="H389" s="20">
        <f>IF(OR(NOT(ISNUMBER($A389)),ROW()-2&lt;Settings!$B$11),NA(),IF(COUNT(OFFSET(F389,1-Settings!$B$11,0,Settings!$B$11,1))&lt;ROUNDUP(Settings!$B$11*Settings!$B$26,0),NA(),STDEV(OFFSET(F389,1-Settings!$B$11,0,Settings!$B$11,1))*SQRT(Settings!$B$13)))</f>
        <v/>
      </c>
      <c r="I389" s="20">
        <f>IF(OR(NOT(ISNUMBER($A389)),ROW()-2&lt;Settings!$B$12),NA(),IF(COUNT(OFFSET(F389,1-Settings!$B$12,0,Settings!$B$12,1))&lt;ROUNDUP(Settings!$B$12*Settings!$B$26,0),NA(),STDEV(OFFSET(F389,1-Settings!$B$12,0,Settings!$B$12,1))*SQRT(Settings!$B$13)))</f>
        <v/>
      </c>
      <c r="J389" s="20">
        <f>IF(OR(NOT(ISNUMBER($A389)),ROW()-2&lt;Settings!$B$11),NA(),IF(COUNT(OFFSET(G389,1-Settings!$B$11,0,Settings!$B$11,1))&lt;ROUNDUP(Settings!$B$11*Settings!$B$26,0),NA(),STDEV(OFFSET(G389,1-Settings!$B$11,0,Settings!$B$11,1))*SQRT(Settings!$B$13)))</f>
        <v/>
      </c>
      <c r="K389" s="20">
        <f>IF(OR(NOT(ISNUMBER($A389)),ROW()-2&lt;Settings!$B$12),NA(),IF(COUNT(OFFSET(G389,1-Settings!$B$12,0,Settings!$B$12,1))&lt;ROUNDUP(Settings!$B$12*Settings!$B$26,0),NA(),STDEV(OFFSET(G389,1-Settings!$B$12,0,Settings!$B$12,1))*SQRT(Settings!$B$13)))</f>
        <v/>
      </c>
      <c r="L389" s="20">
        <f>IF(AND(ISNUMBER(D389),ISNUMBER(H389)),D389-H389,NA())</f>
        <v/>
      </c>
      <c r="M389" s="20">
        <f>IF(AND(ISNUMBER(E389),ISNUMBER(K389)),E389-K389,NA())</f>
        <v/>
      </c>
      <c r="N389" s="20">
        <f>IF(NOT(ISNUMBER($A389)),NA(),IF(COUNT(OFFSET(G389,1,0,Settings!$B$12,1))&lt;ROUNDUP(Settings!$B$12*Settings!$B$26,0),NA(),STDEV(OFFSET(G389,1,0,Settings!$B$12,1))*SQRT(Settings!$B$13)))</f>
        <v/>
      </c>
      <c r="O389" s="20">
        <f>IF(AND(ISNUMBER(E389),ISNUMBER(N389)),E389-N389,NA())</f>
        <v/>
      </c>
      <c r="P389" s="19">
        <f>IF(NOT(ISNUMBER($A389)),NA(),IF(OR($A389&lt;MIN(KW_TP!$A$2:$A$2501),$A389&gt;MAX(KW_TP!$A$2:$A$2501)),NA(),INDEX(KW_TP!$C$2:$C$2501,MATCH($A389,KW_TP!$A$2:$A$2501,1))))</f>
        <v/>
      </c>
      <c r="Q389" s="18">
        <f>IF(NOT(ISNUMBER($A389)),NA(),IFERROR(1*INDEX(BBG_Data!$J$2:$J$4000,MATCH($A389,BBG_Data!$I$2:$I$4000,0)),NA()))</f>
        <v/>
      </c>
      <c r="R389" s="18">
        <f>IF(NOT(ISNUMBER($A389)),NA(),IFERROR(1*INDEX(BBG_Data!$L$2:$L$4000,MATCH($A389,BBG_Data!$K$2:$K$4000,0)),NA()))</f>
        <v/>
      </c>
      <c r="S389" s="20">
        <f>IF(AND(ISNUMBER(B389),ISNUMBER(Q389),ISNUMBER(R389)),(B389-Q389-R389)*100,NA())</f>
        <v/>
      </c>
      <c r="T389" s="20">
        <f>IF(AND(ISNUMBER(B389),Settings!$B$17&gt;0),IF(ISNUMBER(INDEX($B:$B,Settings!$B$17)),(B389-INDEX($B:$B,Settings!$B$17))*100,NA()),NA())</f>
        <v/>
      </c>
      <c r="U389" s="20">
        <f>IF(AND(ISNUMBER(Q389),Settings!$B$17&gt;0),IF(ISNUMBER(INDEX($Q:$Q,Settings!$B$17)),(Q389-INDEX($Q:$Q,Settings!$B$17))*100,NA()),NA())</f>
        <v/>
      </c>
      <c r="V389" s="20">
        <f>IF(AND(ISNUMBER(R389),Settings!$B$17&gt;0),IF(ISNUMBER(INDEX($R:$R,Settings!$B$17)),(R389-INDEX($R:$R,Settings!$B$17))*100,NA()),NA())</f>
        <v/>
      </c>
      <c r="W389" s="20">
        <f>IF(AND(ISNUMBER(P389),Settings!$B$17&gt;0),IF(ISNUMBER(INDEX($P:$P,Settings!$B$17)),P389-INDEX($P:$P,Settings!$B$17),NA()),NA())</f>
        <v/>
      </c>
      <c r="X389" s="19">
        <f>IF(NOT(ISNUMBER($A389)),NA(),IF(OR($A389&lt;MIN(DKW_10Y!$A$2:$A$2918),$A389&gt;MAX(DKW_10Y!$A$2:$A$2918),Settings!$B$16&lt;MIN(DKW_10Y!$A$2:$A$2918)),NA(),(INDEX(DKW_10Y!$B$2:$B$2918,MATCH($A389,DKW_10Y!$A$2:$A$2918,1))-INDEX(DKW_10Y!$B$2:$B$2918,MATCH(Settings!$B$16,DKW_10Y!$A$2:$A$2918,1)))*100))</f>
        <v/>
      </c>
      <c r="Y389" s="19">
        <f>IF(NOT(ISNUMBER($A389)),NA(),IF(OR($A389&lt;MIN(DKW_10Y!$A$2:$A$2918),$A389&gt;MAX(DKW_10Y!$A$2:$A$2918),Settings!$B$16&lt;MIN(DKW_10Y!$A$2:$A$2918)),NA(),(INDEX(DKW_10Y!$C$2:$C$2918,MATCH($A389,DKW_10Y!$A$2:$A$2918,1))-INDEX(DKW_10Y!$C$2:$C$2918,MATCH(Settings!$B$16,DKW_10Y!$A$2:$A$2918,1)))*100))</f>
        <v/>
      </c>
      <c r="Z389" s="19">
        <f>IF(NOT(ISNUMBER($A389)),NA(),IF(OR($A389&lt;MIN(DKW_10Y!$A$2:$A$2918),$A389&gt;MAX(DKW_10Y!$A$2:$A$2918),Settings!$B$16&lt;MIN(DKW_10Y!$A$2:$A$2918)),NA(),(INDEX(DKW_10Y!$D$2:$D$2918,MATCH($A389,DKW_10Y!$A$2:$A$2918,1))-INDEX(DKW_10Y!$D$2:$D$2918,MATCH(Settings!$B$16,DKW_10Y!$A$2:$A$2918,1)))*100))</f>
        <v/>
      </c>
      <c r="AA389" s="19">
        <f>IF(NOT(ISNUMBER($A389)),NA(),IF(OR($A389&lt;MIN(DKW_10Y!$A$2:$A$2918),$A389&gt;MAX(DKW_10Y!$A$2:$A$2918),Settings!$B$16&lt;MIN(DKW_10Y!$A$2:$A$2918)),NA(),(INDEX(DKW_10Y!$E$2:$E$2918,MATCH($A389,DKW_10Y!$A$2:$A$2918,1))-INDEX(DKW_10Y!$E$2:$E$2918,MATCH(Settings!$B$16,DKW_10Y!$A$2:$A$2918,1)))*100))</f>
        <v/>
      </c>
      <c r="AB389" s="19">
        <f>IF(NOT(ISNUMBER($A389)),NA(),IF(OR($A389&lt;MIN(DKW_10Y!$A$2:$A$2918),$A389&gt;MAX(DKW_10Y!$A$2:$A$2918),Settings!$B$16&lt;MIN(DKW_10Y!$A$2:$A$2918)),NA(),(INDEX(DKW_10Y!$H$2:$H$2918,MATCH($A389,DKW_10Y!$A$2:$A$2918,1))-INDEX(DKW_10Y!$H$2:$H$2918,MATCH(Settings!$B$16,DKW_10Y!$A$2:$A$2918,1)))*100))</f>
        <v/>
      </c>
      <c r="AC389" s="18">
        <f>IF(NOT(ISNUMBER($A389)),NA(),IFERROR(1*INDEX(BBG_Data!$N$2:$N$4000,MATCH($A389,BBG_Data!$M$2:$M$4000,0)),NA()))</f>
        <v/>
      </c>
      <c r="AD389" s="18">
        <f>IF(NOT(ISNUMBER($A389)),NA(),IFERROR(1*INDEX(BBG_Data!$P$2:$P$4000,MATCH($A389,BBG_Data!$O$2:$O$4000,0)),NA()))</f>
        <v/>
      </c>
      <c r="AE389" s="18">
        <f>IF(NOT(ISNUMBER($A389)),NA(),IFERROR(1*INDEX(BBG_Data!$R$2:$R$4000,MATCH($A389,BBG_Data!$Q$2:$Q$4000,0)),NA()))</f>
        <v/>
      </c>
      <c r="AF389" s="20">
        <f>IF(AND(ISNUMBER(B389),ISNUMBER(AC389)),(B389-AC389)*100,NA())</f>
        <v/>
      </c>
      <c r="AG389" s="20">
        <f>IF(AND(ISNUMBER(AE389),ISNUMBER(AD389)),(AE389-AD389)*100,NA())</f>
        <v/>
      </c>
      <c r="AH389" s="19">
        <f>IF(NOT(ISNUMBER($A389)),NA(),IFERROR(INDEX(BBG_Data!$T$2:$T$4000,MATCH($A389,BBG_Data!$S$2:$S$4000,0))*Settings!$B$25,NA()))</f>
        <v/>
      </c>
      <c r="AI389" s="19">
        <f>IF(NOT(ISNUMBER($A389)),NA(),IFERROR(INDEX(BBG_Data!$V$2:$V$4000,MATCH($A389,BBG_Data!$U$2:$U$4000,0))*Settings!$B$25,NA()))</f>
        <v/>
      </c>
      <c r="AJ389" s="19">
        <f>IF(NOT(ISNUMBER($A389)),NA(),IFERROR(1*INDEX(BBG_Data!$X$2:$X$4000,MATCH($A389,BBG_Data!$W$2:$W$4000,0)),NA()))</f>
        <v/>
      </c>
      <c r="AK389" s="19">
        <f>IF(NOT(ISNUMBER($A389)),NA(),IFERROR(1*INDEX(BBG_Data!$Z$2:$Z$4000,MATCH($A389,BBG_Data!$Y$2:$Y$4000,0)),NA()))</f>
        <v/>
      </c>
    </row>
    <row r="390">
      <c r="A390" s="17">
        <f>IF(ISNUMBER(BBG_Data!A390),BBG_Data!A390,"")</f>
        <v/>
      </c>
      <c r="B390" s="18">
        <f>IF(AND(ISNUMBER($A390),ISNUMBER(BBG_Data!B390)),BBG_Data!B390,NA())</f>
        <v/>
      </c>
      <c r="C390" s="18">
        <f>IF(NOT(ISNUMBER($A390)),NA(),IFERROR(1*INDEX(BBG_Data!$D$2:$D$4000,MATCH($A390,BBG_Data!$C$2:$C$4000,0)),NA()))</f>
        <v/>
      </c>
      <c r="D390" s="19">
        <f>IF(NOT(ISNUMBER($A390)),NA(),IFERROR(1*INDEX(BBG_Data!$F$2:$F$4000,MATCH($A390,BBG_Data!$E$2:$E$4000,0)),NA()))</f>
        <v/>
      </c>
      <c r="E390" s="19">
        <f>IF(NOT(ISNUMBER($A390)),NA(),IFERROR(1*INDEX(BBG_Data!$H$2:$H$4000,MATCH($A390,BBG_Data!$G$2:$G$4000,0)),NA()))</f>
        <v/>
      </c>
      <c r="F390" s="20">
        <f>IF(AND(ISNUMBER(B390),ISNUMBER(B389)),IF(B390=B389,"",(B390-B389)*100),"")</f>
        <v/>
      </c>
      <c r="G390" s="20">
        <f>IF(AND(ISNUMBER(C390),ISNUMBER(C389)),IF(C390=C389,"",(C390-C389)*100),"")</f>
        <v/>
      </c>
      <c r="H390" s="20">
        <f>IF(OR(NOT(ISNUMBER($A390)),ROW()-2&lt;Settings!$B$11),NA(),IF(COUNT(OFFSET(F390,1-Settings!$B$11,0,Settings!$B$11,1))&lt;ROUNDUP(Settings!$B$11*Settings!$B$26,0),NA(),STDEV(OFFSET(F390,1-Settings!$B$11,0,Settings!$B$11,1))*SQRT(Settings!$B$13)))</f>
        <v/>
      </c>
      <c r="I390" s="20">
        <f>IF(OR(NOT(ISNUMBER($A390)),ROW()-2&lt;Settings!$B$12),NA(),IF(COUNT(OFFSET(F390,1-Settings!$B$12,0,Settings!$B$12,1))&lt;ROUNDUP(Settings!$B$12*Settings!$B$26,0),NA(),STDEV(OFFSET(F390,1-Settings!$B$12,0,Settings!$B$12,1))*SQRT(Settings!$B$13)))</f>
        <v/>
      </c>
      <c r="J390" s="20">
        <f>IF(OR(NOT(ISNUMBER($A390)),ROW()-2&lt;Settings!$B$11),NA(),IF(COUNT(OFFSET(G390,1-Settings!$B$11,0,Settings!$B$11,1))&lt;ROUNDUP(Settings!$B$11*Settings!$B$26,0),NA(),STDEV(OFFSET(G390,1-Settings!$B$11,0,Settings!$B$11,1))*SQRT(Settings!$B$13)))</f>
        <v/>
      </c>
      <c r="K390" s="20">
        <f>IF(OR(NOT(ISNUMBER($A390)),ROW()-2&lt;Settings!$B$12),NA(),IF(COUNT(OFFSET(G390,1-Settings!$B$12,0,Settings!$B$12,1))&lt;ROUNDUP(Settings!$B$12*Settings!$B$26,0),NA(),STDEV(OFFSET(G390,1-Settings!$B$12,0,Settings!$B$12,1))*SQRT(Settings!$B$13)))</f>
        <v/>
      </c>
      <c r="L390" s="20">
        <f>IF(AND(ISNUMBER(D390),ISNUMBER(H390)),D390-H390,NA())</f>
        <v/>
      </c>
      <c r="M390" s="20">
        <f>IF(AND(ISNUMBER(E390),ISNUMBER(K390)),E390-K390,NA())</f>
        <v/>
      </c>
      <c r="N390" s="20">
        <f>IF(NOT(ISNUMBER($A390)),NA(),IF(COUNT(OFFSET(G390,1,0,Settings!$B$12,1))&lt;ROUNDUP(Settings!$B$12*Settings!$B$26,0),NA(),STDEV(OFFSET(G390,1,0,Settings!$B$12,1))*SQRT(Settings!$B$13)))</f>
        <v/>
      </c>
      <c r="O390" s="20">
        <f>IF(AND(ISNUMBER(E390),ISNUMBER(N390)),E390-N390,NA())</f>
        <v/>
      </c>
      <c r="P390" s="19">
        <f>IF(NOT(ISNUMBER($A390)),NA(),IF(OR($A390&lt;MIN(KW_TP!$A$2:$A$2501),$A390&gt;MAX(KW_TP!$A$2:$A$2501)),NA(),INDEX(KW_TP!$C$2:$C$2501,MATCH($A390,KW_TP!$A$2:$A$2501,1))))</f>
        <v/>
      </c>
      <c r="Q390" s="18">
        <f>IF(NOT(ISNUMBER($A390)),NA(),IFERROR(1*INDEX(BBG_Data!$J$2:$J$4000,MATCH($A390,BBG_Data!$I$2:$I$4000,0)),NA()))</f>
        <v/>
      </c>
      <c r="R390" s="18">
        <f>IF(NOT(ISNUMBER($A390)),NA(),IFERROR(1*INDEX(BBG_Data!$L$2:$L$4000,MATCH($A390,BBG_Data!$K$2:$K$4000,0)),NA()))</f>
        <v/>
      </c>
      <c r="S390" s="20">
        <f>IF(AND(ISNUMBER(B390),ISNUMBER(Q390),ISNUMBER(R390)),(B390-Q390-R390)*100,NA())</f>
        <v/>
      </c>
      <c r="T390" s="20">
        <f>IF(AND(ISNUMBER(B390),Settings!$B$17&gt;0),IF(ISNUMBER(INDEX($B:$B,Settings!$B$17)),(B390-INDEX($B:$B,Settings!$B$17))*100,NA()),NA())</f>
        <v/>
      </c>
      <c r="U390" s="20">
        <f>IF(AND(ISNUMBER(Q390),Settings!$B$17&gt;0),IF(ISNUMBER(INDEX($Q:$Q,Settings!$B$17)),(Q390-INDEX($Q:$Q,Settings!$B$17))*100,NA()),NA())</f>
        <v/>
      </c>
      <c r="V390" s="20">
        <f>IF(AND(ISNUMBER(R390),Settings!$B$17&gt;0),IF(ISNUMBER(INDEX($R:$R,Settings!$B$17)),(R390-INDEX($R:$R,Settings!$B$17))*100,NA()),NA())</f>
        <v/>
      </c>
      <c r="W390" s="20">
        <f>IF(AND(ISNUMBER(P390),Settings!$B$17&gt;0),IF(ISNUMBER(INDEX($P:$P,Settings!$B$17)),P390-INDEX($P:$P,Settings!$B$17),NA()),NA())</f>
        <v/>
      </c>
      <c r="X390" s="19">
        <f>IF(NOT(ISNUMBER($A390)),NA(),IF(OR($A390&lt;MIN(DKW_10Y!$A$2:$A$2918),$A390&gt;MAX(DKW_10Y!$A$2:$A$2918),Settings!$B$16&lt;MIN(DKW_10Y!$A$2:$A$2918)),NA(),(INDEX(DKW_10Y!$B$2:$B$2918,MATCH($A390,DKW_10Y!$A$2:$A$2918,1))-INDEX(DKW_10Y!$B$2:$B$2918,MATCH(Settings!$B$16,DKW_10Y!$A$2:$A$2918,1)))*100))</f>
        <v/>
      </c>
      <c r="Y390" s="19">
        <f>IF(NOT(ISNUMBER($A390)),NA(),IF(OR($A390&lt;MIN(DKW_10Y!$A$2:$A$2918),$A390&gt;MAX(DKW_10Y!$A$2:$A$2918),Settings!$B$16&lt;MIN(DKW_10Y!$A$2:$A$2918)),NA(),(INDEX(DKW_10Y!$C$2:$C$2918,MATCH($A390,DKW_10Y!$A$2:$A$2918,1))-INDEX(DKW_10Y!$C$2:$C$2918,MATCH(Settings!$B$16,DKW_10Y!$A$2:$A$2918,1)))*100))</f>
        <v/>
      </c>
      <c r="Z390" s="19">
        <f>IF(NOT(ISNUMBER($A390)),NA(),IF(OR($A390&lt;MIN(DKW_10Y!$A$2:$A$2918),$A390&gt;MAX(DKW_10Y!$A$2:$A$2918),Settings!$B$16&lt;MIN(DKW_10Y!$A$2:$A$2918)),NA(),(INDEX(DKW_10Y!$D$2:$D$2918,MATCH($A390,DKW_10Y!$A$2:$A$2918,1))-INDEX(DKW_10Y!$D$2:$D$2918,MATCH(Settings!$B$16,DKW_10Y!$A$2:$A$2918,1)))*100))</f>
        <v/>
      </c>
      <c r="AA390" s="19">
        <f>IF(NOT(ISNUMBER($A390)),NA(),IF(OR($A390&lt;MIN(DKW_10Y!$A$2:$A$2918),$A390&gt;MAX(DKW_10Y!$A$2:$A$2918),Settings!$B$16&lt;MIN(DKW_10Y!$A$2:$A$2918)),NA(),(INDEX(DKW_10Y!$E$2:$E$2918,MATCH($A390,DKW_10Y!$A$2:$A$2918,1))-INDEX(DKW_10Y!$E$2:$E$2918,MATCH(Settings!$B$16,DKW_10Y!$A$2:$A$2918,1)))*100))</f>
        <v/>
      </c>
      <c r="AB390" s="19">
        <f>IF(NOT(ISNUMBER($A390)),NA(),IF(OR($A390&lt;MIN(DKW_10Y!$A$2:$A$2918),$A390&gt;MAX(DKW_10Y!$A$2:$A$2918),Settings!$B$16&lt;MIN(DKW_10Y!$A$2:$A$2918)),NA(),(INDEX(DKW_10Y!$H$2:$H$2918,MATCH($A390,DKW_10Y!$A$2:$A$2918,1))-INDEX(DKW_10Y!$H$2:$H$2918,MATCH(Settings!$B$16,DKW_10Y!$A$2:$A$2918,1)))*100))</f>
        <v/>
      </c>
      <c r="AC390" s="18">
        <f>IF(NOT(ISNUMBER($A390)),NA(),IFERROR(1*INDEX(BBG_Data!$N$2:$N$4000,MATCH($A390,BBG_Data!$M$2:$M$4000,0)),NA()))</f>
        <v/>
      </c>
      <c r="AD390" s="18">
        <f>IF(NOT(ISNUMBER($A390)),NA(),IFERROR(1*INDEX(BBG_Data!$P$2:$P$4000,MATCH($A390,BBG_Data!$O$2:$O$4000,0)),NA()))</f>
        <v/>
      </c>
      <c r="AE390" s="18">
        <f>IF(NOT(ISNUMBER($A390)),NA(),IFERROR(1*INDEX(BBG_Data!$R$2:$R$4000,MATCH($A390,BBG_Data!$Q$2:$Q$4000,0)),NA()))</f>
        <v/>
      </c>
      <c r="AF390" s="20">
        <f>IF(AND(ISNUMBER(B390),ISNUMBER(AC390)),(B390-AC390)*100,NA())</f>
        <v/>
      </c>
      <c r="AG390" s="20">
        <f>IF(AND(ISNUMBER(AE390),ISNUMBER(AD390)),(AE390-AD390)*100,NA())</f>
        <v/>
      </c>
      <c r="AH390" s="19">
        <f>IF(NOT(ISNUMBER($A390)),NA(),IFERROR(INDEX(BBG_Data!$T$2:$T$4000,MATCH($A390,BBG_Data!$S$2:$S$4000,0))*Settings!$B$25,NA()))</f>
        <v/>
      </c>
      <c r="AI390" s="19">
        <f>IF(NOT(ISNUMBER($A390)),NA(),IFERROR(INDEX(BBG_Data!$V$2:$V$4000,MATCH($A390,BBG_Data!$U$2:$U$4000,0))*Settings!$B$25,NA()))</f>
        <v/>
      </c>
      <c r="AJ390" s="19">
        <f>IF(NOT(ISNUMBER($A390)),NA(),IFERROR(1*INDEX(BBG_Data!$X$2:$X$4000,MATCH($A390,BBG_Data!$W$2:$W$4000,0)),NA()))</f>
        <v/>
      </c>
      <c r="AK390" s="19">
        <f>IF(NOT(ISNUMBER($A390)),NA(),IFERROR(1*INDEX(BBG_Data!$Z$2:$Z$4000,MATCH($A390,BBG_Data!$Y$2:$Y$4000,0)),NA()))</f>
        <v/>
      </c>
    </row>
    <row r="391">
      <c r="A391" s="17">
        <f>IF(ISNUMBER(BBG_Data!A391),BBG_Data!A391,"")</f>
        <v/>
      </c>
      <c r="B391" s="18">
        <f>IF(AND(ISNUMBER($A391),ISNUMBER(BBG_Data!B391)),BBG_Data!B391,NA())</f>
        <v/>
      </c>
      <c r="C391" s="18">
        <f>IF(NOT(ISNUMBER($A391)),NA(),IFERROR(1*INDEX(BBG_Data!$D$2:$D$4000,MATCH($A391,BBG_Data!$C$2:$C$4000,0)),NA()))</f>
        <v/>
      </c>
      <c r="D391" s="19">
        <f>IF(NOT(ISNUMBER($A391)),NA(),IFERROR(1*INDEX(BBG_Data!$F$2:$F$4000,MATCH($A391,BBG_Data!$E$2:$E$4000,0)),NA()))</f>
        <v/>
      </c>
      <c r="E391" s="19">
        <f>IF(NOT(ISNUMBER($A391)),NA(),IFERROR(1*INDEX(BBG_Data!$H$2:$H$4000,MATCH($A391,BBG_Data!$G$2:$G$4000,0)),NA()))</f>
        <v/>
      </c>
      <c r="F391" s="20">
        <f>IF(AND(ISNUMBER(B391),ISNUMBER(B390)),IF(B391=B390,"",(B391-B390)*100),"")</f>
        <v/>
      </c>
      <c r="G391" s="20">
        <f>IF(AND(ISNUMBER(C391),ISNUMBER(C390)),IF(C391=C390,"",(C391-C390)*100),"")</f>
        <v/>
      </c>
      <c r="H391" s="20">
        <f>IF(OR(NOT(ISNUMBER($A391)),ROW()-2&lt;Settings!$B$11),NA(),IF(COUNT(OFFSET(F391,1-Settings!$B$11,0,Settings!$B$11,1))&lt;ROUNDUP(Settings!$B$11*Settings!$B$26,0),NA(),STDEV(OFFSET(F391,1-Settings!$B$11,0,Settings!$B$11,1))*SQRT(Settings!$B$13)))</f>
        <v/>
      </c>
      <c r="I391" s="20">
        <f>IF(OR(NOT(ISNUMBER($A391)),ROW()-2&lt;Settings!$B$12),NA(),IF(COUNT(OFFSET(F391,1-Settings!$B$12,0,Settings!$B$12,1))&lt;ROUNDUP(Settings!$B$12*Settings!$B$26,0),NA(),STDEV(OFFSET(F391,1-Settings!$B$12,0,Settings!$B$12,1))*SQRT(Settings!$B$13)))</f>
        <v/>
      </c>
      <c r="J391" s="20">
        <f>IF(OR(NOT(ISNUMBER($A391)),ROW()-2&lt;Settings!$B$11),NA(),IF(COUNT(OFFSET(G391,1-Settings!$B$11,0,Settings!$B$11,1))&lt;ROUNDUP(Settings!$B$11*Settings!$B$26,0),NA(),STDEV(OFFSET(G391,1-Settings!$B$11,0,Settings!$B$11,1))*SQRT(Settings!$B$13)))</f>
        <v/>
      </c>
      <c r="K391" s="20">
        <f>IF(OR(NOT(ISNUMBER($A391)),ROW()-2&lt;Settings!$B$12),NA(),IF(COUNT(OFFSET(G391,1-Settings!$B$12,0,Settings!$B$12,1))&lt;ROUNDUP(Settings!$B$12*Settings!$B$26,0),NA(),STDEV(OFFSET(G391,1-Settings!$B$12,0,Settings!$B$12,1))*SQRT(Settings!$B$13)))</f>
        <v/>
      </c>
      <c r="L391" s="20">
        <f>IF(AND(ISNUMBER(D391),ISNUMBER(H391)),D391-H391,NA())</f>
        <v/>
      </c>
      <c r="M391" s="20">
        <f>IF(AND(ISNUMBER(E391),ISNUMBER(K391)),E391-K391,NA())</f>
        <v/>
      </c>
      <c r="N391" s="20">
        <f>IF(NOT(ISNUMBER($A391)),NA(),IF(COUNT(OFFSET(G391,1,0,Settings!$B$12,1))&lt;ROUNDUP(Settings!$B$12*Settings!$B$26,0),NA(),STDEV(OFFSET(G391,1,0,Settings!$B$12,1))*SQRT(Settings!$B$13)))</f>
        <v/>
      </c>
      <c r="O391" s="20">
        <f>IF(AND(ISNUMBER(E391),ISNUMBER(N391)),E391-N391,NA())</f>
        <v/>
      </c>
      <c r="P391" s="19">
        <f>IF(NOT(ISNUMBER($A391)),NA(),IF(OR($A391&lt;MIN(KW_TP!$A$2:$A$2501),$A391&gt;MAX(KW_TP!$A$2:$A$2501)),NA(),INDEX(KW_TP!$C$2:$C$2501,MATCH($A391,KW_TP!$A$2:$A$2501,1))))</f>
        <v/>
      </c>
      <c r="Q391" s="18">
        <f>IF(NOT(ISNUMBER($A391)),NA(),IFERROR(1*INDEX(BBG_Data!$J$2:$J$4000,MATCH($A391,BBG_Data!$I$2:$I$4000,0)),NA()))</f>
        <v/>
      </c>
      <c r="R391" s="18">
        <f>IF(NOT(ISNUMBER($A391)),NA(),IFERROR(1*INDEX(BBG_Data!$L$2:$L$4000,MATCH($A391,BBG_Data!$K$2:$K$4000,0)),NA()))</f>
        <v/>
      </c>
      <c r="S391" s="20">
        <f>IF(AND(ISNUMBER(B391),ISNUMBER(Q391),ISNUMBER(R391)),(B391-Q391-R391)*100,NA())</f>
        <v/>
      </c>
      <c r="T391" s="20">
        <f>IF(AND(ISNUMBER(B391),Settings!$B$17&gt;0),IF(ISNUMBER(INDEX($B:$B,Settings!$B$17)),(B391-INDEX($B:$B,Settings!$B$17))*100,NA()),NA())</f>
        <v/>
      </c>
      <c r="U391" s="20">
        <f>IF(AND(ISNUMBER(Q391),Settings!$B$17&gt;0),IF(ISNUMBER(INDEX($Q:$Q,Settings!$B$17)),(Q391-INDEX($Q:$Q,Settings!$B$17))*100,NA()),NA())</f>
        <v/>
      </c>
      <c r="V391" s="20">
        <f>IF(AND(ISNUMBER(R391),Settings!$B$17&gt;0),IF(ISNUMBER(INDEX($R:$R,Settings!$B$17)),(R391-INDEX($R:$R,Settings!$B$17))*100,NA()),NA())</f>
        <v/>
      </c>
      <c r="W391" s="20">
        <f>IF(AND(ISNUMBER(P391),Settings!$B$17&gt;0),IF(ISNUMBER(INDEX($P:$P,Settings!$B$17)),P391-INDEX($P:$P,Settings!$B$17),NA()),NA())</f>
        <v/>
      </c>
      <c r="X391" s="19">
        <f>IF(NOT(ISNUMBER($A391)),NA(),IF(OR($A391&lt;MIN(DKW_10Y!$A$2:$A$2918),$A391&gt;MAX(DKW_10Y!$A$2:$A$2918),Settings!$B$16&lt;MIN(DKW_10Y!$A$2:$A$2918)),NA(),(INDEX(DKW_10Y!$B$2:$B$2918,MATCH($A391,DKW_10Y!$A$2:$A$2918,1))-INDEX(DKW_10Y!$B$2:$B$2918,MATCH(Settings!$B$16,DKW_10Y!$A$2:$A$2918,1)))*100))</f>
        <v/>
      </c>
      <c r="Y391" s="19">
        <f>IF(NOT(ISNUMBER($A391)),NA(),IF(OR($A391&lt;MIN(DKW_10Y!$A$2:$A$2918),$A391&gt;MAX(DKW_10Y!$A$2:$A$2918),Settings!$B$16&lt;MIN(DKW_10Y!$A$2:$A$2918)),NA(),(INDEX(DKW_10Y!$C$2:$C$2918,MATCH($A391,DKW_10Y!$A$2:$A$2918,1))-INDEX(DKW_10Y!$C$2:$C$2918,MATCH(Settings!$B$16,DKW_10Y!$A$2:$A$2918,1)))*100))</f>
        <v/>
      </c>
      <c r="Z391" s="19">
        <f>IF(NOT(ISNUMBER($A391)),NA(),IF(OR($A391&lt;MIN(DKW_10Y!$A$2:$A$2918),$A391&gt;MAX(DKW_10Y!$A$2:$A$2918),Settings!$B$16&lt;MIN(DKW_10Y!$A$2:$A$2918)),NA(),(INDEX(DKW_10Y!$D$2:$D$2918,MATCH($A391,DKW_10Y!$A$2:$A$2918,1))-INDEX(DKW_10Y!$D$2:$D$2918,MATCH(Settings!$B$16,DKW_10Y!$A$2:$A$2918,1)))*100))</f>
        <v/>
      </c>
      <c r="AA391" s="19">
        <f>IF(NOT(ISNUMBER($A391)),NA(),IF(OR($A391&lt;MIN(DKW_10Y!$A$2:$A$2918),$A391&gt;MAX(DKW_10Y!$A$2:$A$2918),Settings!$B$16&lt;MIN(DKW_10Y!$A$2:$A$2918)),NA(),(INDEX(DKW_10Y!$E$2:$E$2918,MATCH($A391,DKW_10Y!$A$2:$A$2918,1))-INDEX(DKW_10Y!$E$2:$E$2918,MATCH(Settings!$B$16,DKW_10Y!$A$2:$A$2918,1)))*100))</f>
        <v/>
      </c>
      <c r="AB391" s="19">
        <f>IF(NOT(ISNUMBER($A391)),NA(),IF(OR($A391&lt;MIN(DKW_10Y!$A$2:$A$2918),$A391&gt;MAX(DKW_10Y!$A$2:$A$2918),Settings!$B$16&lt;MIN(DKW_10Y!$A$2:$A$2918)),NA(),(INDEX(DKW_10Y!$H$2:$H$2918,MATCH($A391,DKW_10Y!$A$2:$A$2918,1))-INDEX(DKW_10Y!$H$2:$H$2918,MATCH(Settings!$B$16,DKW_10Y!$A$2:$A$2918,1)))*100))</f>
        <v/>
      </c>
      <c r="AC391" s="18">
        <f>IF(NOT(ISNUMBER($A391)),NA(),IFERROR(1*INDEX(BBG_Data!$N$2:$N$4000,MATCH($A391,BBG_Data!$M$2:$M$4000,0)),NA()))</f>
        <v/>
      </c>
      <c r="AD391" s="18">
        <f>IF(NOT(ISNUMBER($A391)),NA(),IFERROR(1*INDEX(BBG_Data!$P$2:$P$4000,MATCH($A391,BBG_Data!$O$2:$O$4000,0)),NA()))</f>
        <v/>
      </c>
      <c r="AE391" s="18">
        <f>IF(NOT(ISNUMBER($A391)),NA(),IFERROR(1*INDEX(BBG_Data!$R$2:$R$4000,MATCH($A391,BBG_Data!$Q$2:$Q$4000,0)),NA()))</f>
        <v/>
      </c>
      <c r="AF391" s="20">
        <f>IF(AND(ISNUMBER(B391),ISNUMBER(AC391)),(B391-AC391)*100,NA())</f>
        <v/>
      </c>
      <c r="AG391" s="20">
        <f>IF(AND(ISNUMBER(AE391),ISNUMBER(AD391)),(AE391-AD391)*100,NA())</f>
        <v/>
      </c>
      <c r="AH391" s="19">
        <f>IF(NOT(ISNUMBER($A391)),NA(),IFERROR(INDEX(BBG_Data!$T$2:$T$4000,MATCH($A391,BBG_Data!$S$2:$S$4000,0))*Settings!$B$25,NA()))</f>
        <v/>
      </c>
      <c r="AI391" s="19">
        <f>IF(NOT(ISNUMBER($A391)),NA(),IFERROR(INDEX(BBG_Data!$V$2:$V$4000,MATCH($A391,BBG_Data!$U$2:$U$4000,0))*Settings!$B$25,NA()))</f>
        <v/>
      </c>
      <c r="AJ391" s="19">
        <f>IF(NOT(ISNUMBER($A391)),NA(),IFERROR(1*INDEX(BBG_Data!$X$2:$X$4000,MATCH($A391,BBG_Data!$W$2:$W$4000,0)),NA()))</f>
        <v/>
      </c>
      <c r="AK391" s="19">
        <f>IF(NOT(ISNUMBER($A391)),NA(),IFERROR(1*INDEX(BBG_Data!$Z$2:$Z$4000,MATCH($A391,BBG_Data!$Y$2:$Y$4000,0)),NA()))</f>
        <v/>
      </c>
    </row>
    <row r="392">
      <c r="A392" s="17">
        <f>IF(ISNUMBER(BBG_Data!A392),BBG_Data!A392,"")</f>
        <v/>
      </c>
      <c r="B392" s="18">
        <f>IF(AND(ISNUMBER($A392),ISNUMBER(BBG_Data!B392)),BBG_Data!B392,NA())</f>
        <v/>
      </c>
      <c r="C392" s="18">
        <f>IF(NOT(ISNUMBER($A392)),NA(),IFERROR(1*INDEX(BBG_Data!$D$2:$D$4000,MATCH($A392,BBG_Data!$C$2:$C$4000,0)),NA()))</f>
        <v/>
      </c>
      <c r="D392" s="19">
        <f>IF(NOT(ISNUMBER($A392)),NA(),IFERROR(1*INDEX(BBG_Data!$F$2:$F$4000,MATCH($A392,BBG_Data!$E$2:$E$4000,0)),NA()))</f>
        <v/>
      </c>
      <c r="E392" s="19">
        <f>IF(NOT(ISNUMBER($A392)),NA(),IFERROR(1*INDEX(BBG_Data!$H$2:$H$4000,MATCH($A392,BBG_Data!$G$2:$G$4000,0)),NA()))</f>
        <v/>
      </c>
      <c r="F392" s="20">
        <f>IF(AND(ISNUMBER(B392),ISNUMBER(B391)),IF(B392=B391,"",(B392-B391)*100),"")</f>
        <v/>
      </c>
      <c r="G392" s="20">
        <f>IF(AND(ISNUMBER(C392),ISNUMBER(C391)),IF(C392=C391,"",(C392-C391)*100),"")</f>
        <v/>
      </c>
      <c r="H392" s="20">
        <f>IF(OR(NOT(ISNUMBER($A392)),ROW()-2&lt;Settings!$B$11),NA(),IF(COUNT(OFFSET(F392,1-Settings!$B$11,0,Settings!$B$11,1))&lt;ROUNDUP(Settings!$B$11*Settings!$B$26,0),NA(),STDEV(OFFSET(F392,1-Settings!$B$11,0,Settings!$B$11,1))*SQRT(Settings!$B$13)))</f>
        <v/>
      </c>
      <c r="I392" s="20">
        <f>IF(OR(NOT(ISNUMBER($A392)),ROW()-2&lt;Settings!$B$12),NA(),IF(COUNT(OFFSET(F392,1-Settings!$B$12,0,Settings!$B$12,1))&lt;ROUNDUP(Settings!$B$12*Settings!$B$26,0),NA(),STDEV(OFFSET(F392,1-Settings!$B$12,0,Settings!$B$12,1))*SQRT(Settings!$B$13)))</f>
        <v/>
      </c>
      <c r="J392" s="20">
        <f>IF(OR(NOT(ISNUMBER($A392)),ROW()-2&lt;Settings!$B$11),NA(),IF(COUNT(OFFSET(G392,1-Settings!$B$11,0,Settings!$B$11,1))&lt;ROUNDUP(Settings!$B$11*Settings!$B$26,0),NA(),STDEV(OFFSET(G392,1-Settings!$B$11,0,Settings!$B$11,1))*SQRT(Settings!$B$13)))</f>
        <v/>
      </c>
      <c r="K392" s="20">
        <f>IF(OR(NOT(ISNUMBER($A392)),ROW()-2&lt;Settings!$B$12),NA(),IF(COUNT(OFFSET(G392,1-Settings!$B$12,0,Settings!$B$12,1))&lt;ROUNDUP(Settings!$B$12*Settings!$B$26,0),NA(),STDEV(OFFSET(G392,1-Settings!$B$12,0,Settings!$B$12,1))*SQRT(Settings!$B$13)))</f>
        <v/>
      </c>
      <c r="L392" s="20">
        <f>IF(AND(ISNUMBER(D392),ISNUMBER(H392)),D392-H392,NA())</f>
        <v/>
      </c>
      <c r="M392" s="20">
        <f>IF(AND(ISNUMBER(E392),ISNUMBER(K392)),E392-K392,NA())</f>
        <v/>
      </c>
      <c r="N392" s="20">
        <f>IF(NOT(ISNUMBER($A392)),NA(),IF(COUNT(OFFSET(G392,1,0,Settings!$B$12,1))&lt;ROUNDUP(Settings!$B$12*Settings!$B$26,0),NA(),STDEV(OFFSET(G392,1,0,Settings!$B$12,1))*SQRT(Settings!$B$13)))</f>
        <v/>
      </c>
      <c r="O392" s="20">
        <f>IF(AND(ISNUMBER(E392),ISNUMBER(N392)),E392-N392,NA())</f>
        <v/>
      </c>
      <c r="P392" s="19">
        <f>IF(NOT(ISNUMBER($A392)),NA(),IF(OR($A392&lt;MIN(KW_TP!$A$2:$A$2501),$A392&gt;MAX(KW_TP!$A$2:$A$2501)),NA(),INDEX(KW_TP!$C$2:$C$2501,MATCH($A392,KW_TP!$A$2:$A$2501,1))))</f>
        <v/>
      </c>
      <c r="Q392" s="18">
        <f>IF(NOT(ISNUMBER($A392)),NA(),IFERROR(1*INDEX(BBG_Data!$J$2:$J$4000,MATCH($A392,BBG_Data!$I$2:$I$4000,0)),NA()))</f>
        <v/>
      </c>
      <c r="R392" s="18">
        <f>IF(NOT(ISNUMBER($A392)),NA(),IFERROR(1*INDEX(BBG_Data!$L$2:$L$4000,MATCH($A392,BBG_Data!$K$2:$K$4000,0)),NA()))</f>
        <v/>
      </c>
      <c r="S392" s="20">
        <f>IF(AND(ISNUMBER(B392),ISNUMBER(Q392),ISNUMBER(R392)),(B392-Q392-R392)*100,NA())</f>
        <v/>
      </c>
      <c r="T392" s="20">
        <f>IF(AND(ISNUMBER(B392),Settings!$B$17&gt;0),IF(ISNUMBER(INDEX($B:$B,Settings!$B$17)),(B392-INDEX($B:$B,Settings!$B$17))*100,NA()),NA())</f>
        <v/>
      </c>
      <c r="U392" s="20">
        <f>IF(AND(ISNUMBER(Q392),Settings!$B$17&gt;0),IF(ISNUMBER(INDEX($Q:$Q,Settings!$B$17)),(Q392-INDEX($Q:$Q,Settings!$B$17))*100,NA()),NA())</f>
        <v/>
      </c>
      <c r="V392" s="20">
        <f>IF(AND(ISNUMBER(R392),Settings!$B$17&gt;0),IF(ISNUMBER(INDEX($R:$R,Settings!$B$17)),(R392-INDEX($R:$R,Settings!$B$17))*100,NA()),NA())</f>
        <v/>
      </c>
      <c r="W392" s="20">
        <f>IF(AND(ISNUMBER(P392),Settings!$B$17&gt;0),IF(ISNUMBER(INDEX($P:$P,Settings!$B$17)),P392-INDEX($P:$P,Settings!$B$17),NA()),NA())</f>
        <v/>
      </c>
      <c r="X392" s="19">
        <f>IF(NOT(ISNUMBER($A392)),NA(),IF(OR($A392&lt;MIN(DKW_10Y!$A$2:$A$2918),$A392&gt;MAX(DKW_10Y!$A$2:$A$2918),Settings!$B$16&lt;MIN(DKW_10Y!$A$2:$A$2918)),NA(),(INDEX(DKW_10Y!$B$2:$B$2918,MATCH($A392,DKW_10Y!$A$2:$A$2918,1))-INDEX(DKW_10Y!$B$2:$B$2918,MATCH(Settings!$B$16,DKW_10Y!$A$2:$A$2918,1)))*100))</f>
        <v/>
      </c>
      <c r="Y392" s="19">
        <f>IF(NOT(ISNUMBER($A392)),NA(),IF(OR($A392&lt;MIN(DKW_10Y!$A$2:$A$2918),$A392&gt;MAX(DKW_10Y!$A$2:$A$2918),Settings!$B$16&lt;MIN(DKW_10Y!$A$2:$A$2918)),NA(),(INDEX(DKW_10Y!$C$2:$C$2918,MATCH($A392,DKW_10Y!$A$2:$A$2918,1))-INDEX(DKW_10Y!$C$2:$C$2918,MATCH(Settings!$B$16,DKW_10Y!$A$2:$A$2918,1)))*100))</f>
        <v/>
      </c>
      <c r="Z392" s="19">
        <f>IF(NOT(ISNUMBER($A392)),NA(),IF(OR($A392&lt;MIN(DKW_10Y!$A$2:$A$2918),$A392&gt;MAX(DKW_10Y!$A$2:$A$2918),Settings!$B$16&lt;MIN(DKW_10Y!$A$2:$A$2918)),NA(),(INDEX(DKW_10Y!$D$2:$D$2918,MATCH($A392,DKW_10Y!$A$2:$A$2918,1))-INDEX(DKW_10Y!$D$2:$D$2918,MATCH(Settings!$B$16,DKW_10Y!$A$2:$A$2918,1)))*100))</f>
        <v/>
      </c>
      <c r="AA392" s="19">
        <f>IF(NOT(ISNUMBER($A392)),NA(),IF(OR($A392&lt;MIN(DKW_10Y!$A$2:$A$2918),$A392&gt;MAX(DKW_10Y!$A$2:$A$2918),Settings!$B$16&lt;MIN(DKW_10Y!$A$2:$A$2918)),NA(),(INDEX(DKW_10Y!$E$2:$E$2918,MATCH($A392,DKW_10Y!$A$2:$A$2918,1))-INDEX(DKW_10Y!$E$2:$E$2918,MATCH(Settings!$B$16,DKW_10Y!$A$2:$A$2918,1)))*100))</f>
        <v/>
      </c>
      <c r="AB392" s="19">
        <f>IF(NOT(ISNUMBER($A392)),NA(),IF(OR($A392&lt;MIN(DKW_10Y!$A$2:$A$2918),$A392&gt;MAX(DKW_10Y!$A$2:$A$2918),Settings!$B$16&lt;MIN(DKW_10Y!$A$2:$A$2918)),NA(),(INDEX(DKW_10Y!$H$2:$H$2918,MATCH($A392,DKW_10Y!$A$2:$A$2918,1))-INDEX(DKW_10Y!$H$2:$H$2918,MATCH(Settings!$B$16,DKW_10Y!$A$2:$A$2918,1)))*100))</f>
        <v/>
      </c>
      <c r="AC392" s="18">
        <f>IF(NOT(ISNUMBER($A392)),NA(),IFERROR(1*INDEX(BBG_Data!$N$2:$N$4000,MATCH($A392,BBG_Data!$M$2:$M$4000,0)),NA()))</f>
        <v/>
      </c>
      <c r="AD392" s="18">
        <f>IF(NOT(ISNUMBER($A392)),NA(),IFERROR(1*INDEX(BBG_Data!$P$2:$P$4000,MATCH($A392,BBG_Data!$O$2:$O$4000,0)),NA()))</f>
        <v/>
      </c>
      <c r="AE392" s="18">
        <f>IF(NOT(ISNUMBER($A392)),NA(),IFERROR(1*INDEX(BBG_Data!$R$2:$R$4000,MATCH($A392,BBG_Data!$Q$2:$Q$4000,0)),NA()))</f>
        <v/>
      </c>
      <c r="AF392" s="20">
        <f>IF(AND(ISNUMBER(B392),ISNUMBER(AC392)),(B392-AC392)*100,NA())</f>
        <v/>
      </c>
      <c r="AG392" s="20">
        <f>IF(AND(ISNUMBER(AE392),ISNUMBER(AD392)),(AE392-AD392)*100,NA())</f>
        <v/>
      </c>
      <c r="AH392" s="19">
        <f>IF(NOT(ISNUMBER($A392)),NA(),IFERROR(INDEX(BBG_Data!$T$2:$T$4000,MATCH($A392,BBG_Data!$S$2:$S$4000,0))*Settings!$B$25,NA()))</f>
        <v/>
      </c>
      <c r="AI392" s="19">
        <f>IF(NOT(ISNUMBER($A392)),NA(),IFERROR(INDEX(BBG_Data!$V$2:$V$4000,MATCH($A392,BBG_Data!$U$2:$U$4000,0))*Settings!$B$25,NA()))</f>
        <v/>
      </c>
      <c r="AJ392" s="19">
        <f>IF(NOT(ISNUMBER($A392)),NA(),IFERROR(1*INDEX(BBG_Data!$X$2:$X$4000,MATCH($A392,BBG_Data!$W$2:$W$4000,0)),NA()))</f>
        <v/>
      </c>
      <c r="AK392" s="19">
        <f>IF(NOT(ISNUMBER($A392)),NA(),IFERROR(1*INDEX(BBG_Data!$Z$2:$Z$4000,MATCH($A392,BBG_Data!$Y$2:$Y$4000,0)),NA()))</f>
        <v/>
      </c>
    </row>
    <row r="393">
      <c r="A393" s="17">
        <f>IF(ISNUMBER(BBG_Data!A393),BBG_Data!A393,"")</f>
        <v/>
      </c>
      <c r="B393" s="18">
        <f>IF(AND(ISNUMBER($A393),ISNUMBER(BBG_Data!B393)),BBG_Data!B393,NA())</f>
        <v/>
      </c>
      <c r="C393" s="18">
        <f>IF(NOT(ISNUMBER($A393)),NA(),IFERROR(1*INDEX(BBG_Data!$D$2:$D$4000,MATCH($A393,BBG_Data!$C$2:$C$4000,0)),NA()))</f>
        <v/>
      </c>
      <c r="D393" s="19">
        <f>IF(NOT(ISNUMBER($A393)),NA(),IFERROR(1*INDEX(BBG_Data!$F$2:$F$4000,MATCH($A393,BBG_Data!$E$2:$E$4000,0)),NA()))</f>
        <v/>
      </c>
      <c r="E393" s="19">
        <f>IF(NOT(ISNUMBER($A393)),NA(),IFERROR(1*INDEX(BBG_Data!$H$2:$H$4000,MATCH($A393,BBG_Data!$G$2:$G$4000,0)),NA()))</f>
        <v/>
      </c>
      <c r="F393" s="20">
        <f>IF(AND(ISNUMBER(B393),ISNUMBER(B392)),IF(B393=B392,"",(B393-B392)*100),"")</f>
        <v/>
      </c>
      <c r="G393" s="20">
        <f>IF(AND(ISNUMBER(C393),ISNUMBER(C392)),IF(C393=C392,"",(C393-C392)*100),"")</f>
        <v/>
      </c>
      <c r="H393" s="20">
        <f>IF(OR(NOT(ISNUMBER($A393)),ROW()-2&lt;Settings!$B$11),NA(),IF(COUNT(OFFSET(F393,1-Settings!$B$11,0,Settings!$B$11,1))&lt;ROUNDUP(Settings!$B$11*Settings!$B$26,0),NA(),STDEV(OFFSET(F393,1-Settings!$B$11,0,Settings!$B$11,1))*SQRT(Settings!$B$13)))</f>
        <v/>
      </c>
      <c r="I393" s="20">
        <f>IF(OR(NOT(ISNUMBER($A393)),ROW()-2&lt;Settings!$B$12),NA(),IF(COUNT(OFFSET(F393,1-Settings!$B$12,0,Settings!$B$12,1))&lt;ROUNDUP(Settings!$B$12*Settings!$B$26,0),NA(),STDEV(OFFSET(F393,1-Settings!$B$12,0,Settings!$B$12,1))*SQRT(Settings!$B$13)))</f>
        <v/>
      </c>
      <c r="J393" s="20">
        <f>IF(OR(NOT(ISNUMBER($A393)),ROW()-2&lt;Settings!$B$11),NA(),IF(COUNT(OFFSET(G393,1-Settings!$B$11,0,Settings!$B$11,1))&lt;ROUNDUP(Settings!$B$11*Settings!$B$26,0),NA(),STDEV(OFFSET(G393,1-Settings!$B$11,0,Settings!$B$11,1))*SQRT(Settings!$B$13)))</f>
        <v/>
      </c>
      <c r="K393" s="20">
        <f>IF(OR(NOT(ISNUMBER($A393)),ROW()-2&lt;Settings!$B$12),NA(),IF(COUNT(OFFSET(G393,1-Settings!$B$12,0,Settings!$B$12,1))&lt;ROUNDUP(Settings!$B$12*Settings!$B$26,0),NA(),STDEV(OFFSET(G393,1-Settings!$B$12,0,Settings!$B$12,1))*SQRT(Settings!$B$13)))</f>
        <v/>
      </c>
      <c r="L393" s="20">
        <f>IF(AND(ISNUMBER(D393),ISNUMBER(H393)),D393-H393,NA())</f>
        <v/>
      </c>
      <c r="M393" s="20">
        <f>IF(AND(ISNUMBER(E393),ISNUMBER(K393)),E393-K393,NA())</f>
        <v/>
      </c>
      <c r="N393" s="20">
        <f>IF(NOT(ISNUMBER($A393)),NA(),IF(COUNT(OFFSET(G393,1,0,Settings!$B$12,1))&lt;ROUNDUP(Settings!$B$12*Settings!$B$26,0),NA(),STDEV(OFFSET(G393,1,0,Settings!$B$12,1))*SQRT(Settings!$B$13)))</f>
        <v/>
      </c>
      <c r="O393" s="20">
        <f>IF(AND(ISNUMBER(E393),ISNUMBER(N393)),E393-N393,NA())</f>
        <v/>
      </c>
      <c r="P393" s="19">
        <f>IF(NOT(ISNUMBER($A393)),NA(),IF(OR($A393&lt;MIN(KW_TP!$A$2:$A$2501),$A393&gt;MAX(KW_TP!$A$2:$A$2501)),NA(),INDEX(KW_TP!$C$2:$C$2501,MATCH($A393,KW_TP!$A$2:$A$2501,1))))</f>
        <v/>
      </c>
      <c r="Q393" s="18">
        <f>IF(NOT(ISNUMBER($A393)),NA(),IFERROR(1*INDEX(BBG_Data!$J$2:$J$4000,MATCH($A393,BBG_Data!$I$2:$I$4000,0)),NA()))</f>
        <v/>
      </c>
      <c r="R393" s="18">
        <f>IF(NOT(ISNUMBER($A393)),NA(),IFERROR(1*INDEX(BBG_Data!$L$2:$L$4000,MATCH($A393,BBG_Data!$K$2:$K$4000,0)),NA()))</f>
        <v/>
      </c>
      <c r="S393" s="20">
        <f>IF(AND(ISNUMBER(B393),ISNUMBER(Q393),ISNUMBER(R393)),(B393-Q393-R393)*100,NA())</f>
        <v/>
      </c>
      <c r="T393" s="20">
        <f>IF(AND(ISNUMBER(B393),Settings!$B$17&gt;0),IF(ISNUMBER(INDEX($B:$B,Settings!$B$17)),(B393-INDEX($B:$B,Settings!$B$17))*100,NA()),NA())</f>
        <v/>
      </c>
      <c r="U393" s="20">
        <f>IF(AND(ISNUMBER(Q393),Settings!$B$17&gt;0),IF(ISNUMBER(INDEX($Q:$Q,Settings!$B$17)),(Q393-INDEX($Q:$Q,Settings!$B$17))*100,NA()),NA())</f>
        <v/>
      </c>
      <c r="V393" s="20">
        <f>IF(AND(ISNUMBER(R393),Settings!$B$17&gt;0),IF(ISNUMBER(INDEX($R:$R,Settings!$B$17)),(R393-INDEX($R:$R,Settings!$B$17))*100,NA()),NA())</f>
        <v/>
      </c>
      <c r="W393" s="20">
        <f>IF(AND(ISNUMBER(P393),Settings!$B$17&gt;0),IF(ISNUMBER(INDEX($P:$P,Settings!$B$17)),P393-INDEX($P:$P,Settings!$B$17),NA()),NA())</f>
        <v/>
      </c>
      <c r="X393" s="19">
        <f>IF(NOT(ISNUMBER($A393)),NA(),IF(OR($A393&lt;MIN(DKW_10Y!$A$2:$A$2918),$A393&gt;MAX(DKW_10Y!$A$2:$A$2918),Settings!$B$16&lt;MIN(DKW_10Y!$A$2:$A$2918)),NA(),(INDEX(DKW_10Y!$B$2:$B$2918,MATCH($A393,DKW_10Y!$A$2:$A$2918,1))-INDEX(DKW_10Y!$B$2:$B$2918,MATCH(Settings!$B$16,DKW_10Y!$A$2:$A$2918,1)))*100))</f>
        <v/>
      </c>
      <c r="Y393" s="19">
        <f>IF(NOT(ISNUMBER($A393)),NA(),IF(OR($A393&lt;MIN(DKW_10Y!$A$2:$A$2918),$A393&gt;MAX(DKW_10Y!$A$2:$A$2918),Settings!$B$16&lt;MIN(DKW_10Y!$A$2:$A$2918)),NA(),(INDEX(DKW_10Y!$C$2:$C$2918,MATCH($A393,DKW_10Y!$A$2:$A$2918,1))-INDEX(DKW_10Y!$C$2:$C$2918,MATCH(Settings!$B$16,DKW_10Y!$A$2:$A$2918,1)))*100))</f>
        <v/>
      </c>
      <c r="Z393" s="19">
        <f>IF(NOT(ISNUMBER($A393)),NA(),IF(OR($A393&lt;MIN(DKW_10Y!$A$2:$A$2918),$A393&gt;MAX(DKW_10Y!$A$2:$A$2918),Settings!$B$16&lt;MIN(DKW_10Y!$A$2:$A$2918)),NA(),(INDEX(DKW_10Y!$D$2:$D$2918,MATCH($A393,DKW_10Y!$A$2:$A$2918,1))-INDEX(DKW_10Y!$D$2:$D$2918,MATCH(Settings!$B$16,DKW_10Y!$A$2:$A$2918,1)))*100))</f>
        <v/>
      </c>
      <c r="AA393" s="19">
        <f>IF(NOT(ISNUMBER($A393)),NA(),IF(OR($A393&lt;MIN(DKW_10Y!$A$2:$A$2918),$A393&gt;MAX(DKW_10Y!$A$2:$A$2918),Settings!$B$16&lt;MIN(DKW_10Y!$A$2:$A$2918)),NA(),(INDEX(DKW_10Y!$E$2:$E$2918,MATCH($A393,DKW_10Y!$A$2:$A$2918,1))-INDEX(DKW_10Y!$E$2:$E$2918,MATCH(Settings!$B$16,DKW_10Y!$A$2:$A$2918,1)))*100))</f>
        <v/>
      </c>
      <c r="AB393" s="19">
        <f>IF(NOT(ISNUMBER($A393)),NA(),IF(OR($A393&lt;MIN(DKW_10Y!$A$2:$A$2918),$A393&gt;MAX(DKW_10Y!$A$2:$A$2918),Settings!$B$16&lt;MIN(DKW_10Y!$A$2:$A$2918)),NA(),(INDEX(DKW_10Y!$H$2:$H$2918,MATCH($A393,DKW_10Y!$A$2:$A$2918,1))-INDEX(DKW_10Y!$H$2:$H$2918,MATCH(Settings!$B$16,DKW_10Y!$A$2:$A$2918,1)))*100))</f>
        <v/>
      </c>
      <c r="AC393" s="18">
        <f>IF(NOT(ISNUMBER($A393)),NA(),IFERROR(1*INDEX(BBG_Data!$N$2:$N$4000,MATCH($A393,BBG_Data!$M$2:$M$4000,0)),NA()))</f>
        <v/>
      </c>
      <c r="AD393" s="18">
        <f>IF(NOT(ISNUMBER($A393)),NA(),IFERROR(1*INDEX(BBG_Data!$P$2:$P$4000,MATCH($A393,BBG_Data!$O$2:$O$4000,0)),NA()))</f>
        <v/>
      </c>
      <c r="AE393" s="18">
        <f>IF(NOT(ISNUMBER($A393)),NA(),IFERROR(1*INDEX(BBG_Data!$R$2:$R$4000,MATCH($A393,BBG_Data!$Q$2:$Q$4000,0)),NA()))</f>
        <v/>
      </c>
      <c r="AF393" s="20">
        <f>IF(AND(ISNUMBER(B393),ISNUMBER(AC393)),(B393-AC393)*100,NA())</f>
        <v/>
      </c>
      <c r="AG393" s="20">
        <f>IF(AND(ISNUMBER(AE393),ISNUMBER(AD393)),(AE393-AD393)*100,NA())</f>
        <v/>
      </c>
      <c r="AH393" s="19">
        <f>IF(NOT(ISNUMBER($A393)),NA(),IFERROR(INDEX(BBG_Data!$T$2:$T$4000,MATCH($A393,BBG_Data!$S$2:$S$4000,0))*Settings!$B$25,NA()))</f>
        <v/>
      </c>
      <c r="AI393" s="19">
        <f>IF(NOT(ISNUMBER($A393)),NA(),IFERROR(INDEX(BBG_Data!$V$2:$V$4000,MATCH($A393,BBG_Data!$U$2:$U$4000,0))*Settings!$B$25,NA()))</f>
        <v/>
      </c>
      <c r="AJ393" s="19">
        <f>IF(NOT(ISNUMBER($A393)),NA(),IFERROR(1*INDEX(BBG_Data!$X$2:$X$4000,MATCH($A393,BBG_Data!$W$2:$W$4000,0)),NA()))</f>
        <v/>
      </c>
      <c r="AK393" s="19">
        <f>IF(NOT(ISNUMBER($A393)),NA(),IFERROR(1*INDEX(BBG_Data!$Z$2:$Z$4000,MATCH($A393,BBG_Data!$Y$2:$Y$4000,0)),NA()))</f>
        <v/>
      </c>
    </row>
    <row r="394">
      <c r="A394" s="17">
        <f>IF(ISNUMBER(BBG_Data!A394),BBG_Data!A394,"")</f>
        <v/>
      </c>
      <c r="B394" s="18">
        <f>IF(AND(ISNUMBER($A394),ISNUMBER(BBG_Data!B394)),BBG_Data!B394,NA())</f>
        <v/>
      </c>
      <c r="C394" s="18">
        <f>IF(NOT(ISNUMBER($A394)),NA(),IFERROR(1*INDEX(BBG_Data!$D$2:$D$4000,MATCH($A394,BBG_Data!$C$2:$C$4000,0)),NA()))</f>
        <v/>
      </c>
      <c r="D394" s="19">
        <f>IF(NOT(ISNUMBER($A394)),NA(),IFERROR(1*INDEX(BBG_Data!$F$2:$F$4000,MATCH($A394,BBG_Data!$E$2:$E$4000,0)),NA()))</f>
        <v/>
      </c>
      <c r="E394" s="19">
        <f>IF(NOT(ISNUMBER($A394)),NA(),IFERROR(1*INDEX(BBG_Data!$H$2:$H$4000,MATCH($A394,BBG_Data!$G$2:$G$4000,0)),NA()))</f>
        <v/>
      </c>
      <c r="F394" s="20">
        <f>IF(AND(ISNUMBER(B394),ISNUMBER(B393)),IF(B394=B393,"",(B394-B393)*100),"")</f>
        <v/>
      </c>
      <c r="G394" s="20">
        <f>IF(AND(ISNUMBER(C394),ISNUMBER(C393)),IF(C394=C393,"",(C394-C393)*100),"")</f>
        <v/>
      </c>
      <c r="H394" s="20">
        <f>IF(OR(NOT(ISNUMBER($A394)),ROW()-2&lt;Settings!$B$11),NA(),IF(COUNT(OFFSET(F394,1-Settings!$B$11,0,Settings!$B$11,1))&lt;ROUNDUP(Settings!$B$11*Settings!$B$26,0),NA(),STDEV(OFFSET(F394,1-Settings!$B$11,0,Settings!$B$11,1))*SQRT(Settings!$B$13)))</f>
        <v/>
      </c>
      <c r="I394" s="20">
        <f>IF(OR(NOT(ISNUMBER($A394)),ROW()-2&lt;Settings!$B$12),NA(),IF(COUNT(OFFSET(F394,1-Settings!$B$12,0,Settings!$B$12,1))&lt;ROUNDUP(Settings!$B$12*Settings!$B$26,0),NA(),STDEV(OFFSET(F394,1-Settings!$B$12,0,Settings!$B$12,1))*SQRT(Settings!$B$13)))</f>
        <v/>
      </c>
      <c r="J394" s="20">
        <f>IF(OR(NOT(ISNUMBER($A394)),ROW()-2&lt;Settings!$B$11),NA(),IF(COUNT(OFFSET(G394,1-Settings!$B$11,0,Settings!$B$11,1))&lt;ROUNDUP(Settings!$B$11*Settings!$B$26,0),NA(),STDEV(OFFSET(G394,1-Settings!$B$11,0,Settings!$B$11,1))*SQRT(Settings!$B$13)))</f>
        <v/>
      </c>
      <c r="K394" s="20">
        <f>IF(OR(NOT(ISNUMBER($A394)),ROW()-2&lt;Settings!$B$12),NA(),IF(COUNT(OFFSET(G394,1-Settings!$B$12,0,Settings!$B$12,1))&lt;ROUNDUP(Settings!$B$12*Settings!$B$26,0),NA(),STDEV(OFFSET(G394,1-Settings!$B$12,0,Settings!$B$12,1))*SQRT(Settings!$B$13)))</f>
        <v/>
      </c>
      <c r="L394" s="20">
        <f>IF(AND(ISNUMBER(D394),ISNUMBER(H394)),D394-H394,NA())</f>
        <v/>
      </c>
      <c r="M394" s="20">
        <f>IF(AND(ISNUMBER(E394),ISNUMBER(K394)),E394-K394,NA())</f>
        <v/>
      </c>
      <c r="N394" s="20">
        <f>IF(NOT(ISNUMBER($A394)),NA(),IF(COUNT(OFFSET(G394,1,0,Settings!$B$12,1))&lt;ROUNDUP(Settings!$B$12*Settings!$B$26,0),NA(),STDEV(OFFSET(G394,1,0,Settings!$B$12,1))*SQRT(Settings!$B$13)))</f>
        <v/>
      </c>
      <c r="O394" s="20">
        <f>IF(AND(ISNUMBER(E394),ISNUMBER(N394)),E394-N394,NA())</f>
        <v/>
      </c>
      <c r="P394" s="19">
        <f>IF(NOT(ISNUMBER($A394)),NA(),IF(OR($A394&lt;MIN(KW_TP!$A$2:$A$2501),$A394&gt;MAX(KW_TP!$A$2:$A$2501)),NA(),INDEX(KW_TP!$C$2:$C$2501,MATCH($A394,KW_TP!$A$2:$A$2501,1))))</f>
        <v/>
      </c>
      <c r="Q394" s="18">
        <f>IF(NOT(ISNUMBER($A394)),NA(),IFERROR(1*INDEX(BBG_Data!$J$2:$J$4000,MATCH($A394,BBG_Data!$I$2:$I$4000,0)),NA()))</f>
        <v/>
      </c>
      <c r="R394" s="18">
        <f>IF(NOT(ISNUMBER($A394)),NA(),IFERROR(1*INDEX(BBG_Data!$L$2:$L$4000,MATCH($A394,BBG_Data!$K$2:$K$4000,0)),NA()))</f>
        <v/>
      </c>
      <c r="S394" s="20">
        <f>IF(AND(ISNUMBER(B394),ISNUMBER(Q394),ISNUMBER(R394)),(B394-Q394-R394)*100,NA())</f>
        <v/>
      </c>
      <c r="T394" s="20">
        <f>IF(AND(ISNUMBER(B394),Settings!$B$17&gt;0),IF(ISNUMBER(INDEX($B:$B,Settings!$B$17)),(B394-INDEX($B:$B,Settings!$B$17))*100,NA()),NA())</f>
        <v/>
      </c>
      <c r="U394" s="20">
        <f>IF(AND(ISNUMBER(Q394),Settings!$B$17&gt;0),IF(ISNUMBER(INDEX($Q:$Q,Settings!$B$17)),(Q394-INDEX($Q:$Q,Settings!$B$17))*100,NA()),NA())</f>
        <v/>
      </c>
      <c r="V394" s="20">
        <f>IF(AND(ISNUMBER(R394),Settings!$B$17&gt;0),IF(ISNUMBER(INDEX($R:$R,Settings!$B$17)),(R394-INDEX($R:$R,Settings!$B$17))*100,NA()),NA())</f>
        <v/>
      </c>
      <c r="W394" s="20">
        <f>IF(AND(ISNUMBER(P394),Settings!$B$17&gt;0),IF(ISNUMBER(INDEX($P:$P,Settings!$B$17)),P394-INDEX($P:$P,Settings!$B$17),NA()),NA())</f>
        <v/>
      </c>
      <c r="X394" s="19">
        <f>IF(NOT(ISNUMBER($A394)),NA(),IF(OR($A394&lt;MIN(DKW_10Y!$A$2:$A$2918),$A394&gt;MAX(DKW_10Y!$A$2:$A$2918),Settings!$B$16&lt;MIN(DKW_10Y!$A$2:$A$2918)),NA(),(INDEX(DKW_10Y!$B$2:$B$2918,MATCH($A394,DKW_10Y!$A$2:$A$2918,1))-INDEX(DKW_10Y!$B$2:$B$2918,MATCH(Settings!$B$16,DKW_10Y!$A$2:$A$2918,1)))*100))</f>
        <v/>
      </c>
      <c r="Y394" s="19">
        <f>IF(NOT(ISNUMBER($A394)),NA(),IF(OR($A394&lt;MIN(DKW_10Y!$A$2:$A$2918),$A394&gt;MAX(DKW_10Y!$A$2:$A$2918),Settings!$B$16&lt;MIN(DKW_10Y!$A$2:$A$2918)),NA(),(INDEX(DKW_10Y!$C$2:$C$2918,MATCH($A394,DKW_10Y!$A$2:$A$2918,1))-INDEX(DKW_10Y!$C$2:$C$2918,MATCH(Settings!$B$16,DKW_10Y!$A$2:$A$2918,1)))*100))</f>
        <v/>
      </c>
      <c r="Z394" s="19">
        <f>IF(NOT(ISNUMBER($A394)),NA(),IF(OR($A394&lt;MIN(DKW_10Y!$A$2:$A$2918),$A394&gt;MAX(DKW_10Y!$A$2:$A$2918),Settings!$B$16&lt;MIN(DKW_10Y!$A$2:$A$2918)),NA(),(INDEX(DKW_10Y!$D$2:$D$2918,MATCH($A394,DKW_10Y!$A$2:$A$2918,1))-INDEX(DKW_10Y!$D$2:$D$2918,MATCH(Settings!$B$16,DKW_10Y!$A$2:$A$2918,1)))*100))</f>
        <v/>
      </c>
      <c r="AA394" s="19">
        <f>IF(NOT(ISNUMBER($A394)),NA(),IF(OR($A394&lt;MIN(DKW_10Y!$A$2:$A$2918),$A394&gt;MAX(DKW_10Y!$A$2:$A$2918),Settings!$B$16&lt;MIN(DKW_10Y!$A$2:$A$2918)),NA(),(INDEX(DKW_10Y!$E$2:$E$2918,MATCH($A394,DKW_10Y!$A$2:$A$2918,1))-INDEX(DKW_10Y!$E$2:$E$2918,MATCH(Settings!$B$16,DKW_10Y!$A$2:$A$2918,1)))*100))</f>
        <v/>
      </c>
      <c r="AB394" s="19">
        <f>IF(NOT(ISNUMBER($A394)),NA(),IF(OR($A394&lt;MIN(DKW_10Y!$A$2:$A$2918),$A394&gt;MAX(DKW_10Y!$A$2:$A$2918),Settings!$B$16&lt;MIN(DKW_10Y!$A$2:$A$2918)),NA(),(INDEX(DKW_10Y!$H$2:$H$2918,MATCH($A394,DKW_10Y!$A$2:$A$2918,1))-INDEX(DKW_10Y!$H$2:$H$2918,MATCH(Settings!$B$16,DKW_10Y!$A$2:$A$2918,1)))*100))</f>
        <v/>
      </c>
      <c r="AC394" s="18">
        <f>IF(NOT(ISNUMBER($A394)),NA(),IFERROR(1*INDEX(BBG_Data!$N$2:$N$4000,MATCH($A394,BBG_Data!$M$2:$M$4000,0)),NA()))</f>
        <v/>
      </c>
      <c r="AD394" s="18">
        <f>IF(NOT(ISNUMBER($A394)),NA(),IFERROR(1*INDEX(BBG_Data!$P$2:$P$4000,MATCH($A394,BBG_Data!$O$2:$O$4000,0)),NA()))</f>
        <v/>
      </c>
      <c r="AE394" s="18">
        <f>IF(NOT(ISNUMBER($A394)),NA(),IFERROR(1*INDEX(BBG_Data!$R$2:$R$4000,MATCH($A394,BBG_Data!$Q$2:$Q$4000,0)),NA()))</f>
        <v/>
      </c>
      <c r="AF394" s="20">
        <f>IF(AND(ISNUMBER(B394),ISNUMBER(AC394)),(B394-AC394)*100,NA())</f>
        <v/>
      </c>
      <c r="AG394" s="20">
        <f>IF(AND(ISNUMBER(AE394),ISNUMBER(AD394)),(AE394-AD394)*100,NA())</f>
        <v/>
      </c>
      <c r="AH394" s="19">
        <f>IF(NOT(ISNUMBER($A394)),NA(),IFERROR(INDEX(BBG_Data!$T$2:$T$4000,MATCH($A394,BBG_Data!$S$2:$S$4000,0))*Settings!$B$25,NA()))</f>
        <v/>
      </c>
      <c r="AI394" s="19">
        <f>IF(NOT(ISNUMBER($A394)),NA(),IFERROR(INDEX(BBG_Data!$V$2:$V$4000,MATCH($A394,BBG_Data!$U$2:$U$4000,0))*Settings!$B$25,NA()))</f>
        <v/>
      </c>
      <c r="AJ394" s="19">
        <f>IF(NOT(ISNUMBER($A394)),NA(),IFERROR(1*INDEX(BBG_Data!$X$2:$X$4000,MATCH($A394,BBG_Data!$W$2:$W$4000,0)),NA()))</f>
        <v/>
      </c>
      <c r="AK394" s="19">
        <f>IF(NOT(ISNUMBER($A394)),NA(),IFERROR(1*INDEX(BBG_Data!$Z$2:$Z$4000,MATCH($A394,BBG_Data!$Y$2:$Y$4000,0)),NA()))</f>
        <v/>
      </c>
    </row>
    <row r="395">
      <c r="A395" s="17">
        <f>IF(ISNUMBER(BBG_Data!A395),BBG_Data!A395,"")</f>
        <v/>
      </c>
      <c r="B395" s="18">
        <f>IF(AND(ISNUMBER($A395),ISNUMBER(BBG_Data!B395)),BBG_Data!B395,NA())</f>
        <v/>
      </c>
      <c r="C395" s="18">
        <f>IF(NOT(ISNUMBER($A395)),NA(),IFERROR(1*INDEX(BBG_Data!$D$2:$D$4000,MATCH($A395,BBG_Data!$C$2:$C$4000,0)),NA()))</f>
        <v/>
      </c>
      <c r="D395" s="19">
        <f>IF(NOT(ISNUMBER($A395)),NA(),IFERROR(1*INDEX(BBG_Data!$F$2:$F$4000,MATCH($A395,BBG_Data!$E$2:$E$4000,0)),NA()))</f>
        <v/>
      </c>
      <c r="E395" s="19">
        <f>IF(NOT(ISNUMBER($A395)),NA(),IFERROR(1*INDEX(BBG_Data!$H$2:$H$4000,MATCH($A395,BBG_Data!$G$2:$G$4000,0)),NA()))</f>
        <v/>
      </c>
      <c r="F395" s="20">
        <f>IF(AND(ISNUMBER(B395),ISNUMBER(B394)),IF(B395=B394,"",(B395-B394)*100),"")</f>
        <v/>
      </c>
      <c r="G395" s="20">
        <f>IF(AND(ISNUMBER(C395),ISNUMBER(C394)),IF(C395=C394,"",(C395-C394)*100),"")</f>
        <v/>
      </c>
      <c r="H395" s="20">
        <f>IF(OR(NOT(ISNUMBER($A395)),ROW()-2&lt;Settings!$B$11),NA(),IF(COUNT(OFFSET(F395,1-Settings!$B$11,0,Settings!$B$11,1))&lt;ROUNDUP(Settings!$B$11*Settings!$B$26,0),NA(),STDEV(OFFSET(F395,1-Settings!$B$11,0,Settings!$B$11,1))*SQRT(Settings!$B$13)))</f>
        <v/>
      </c>
      <c r="I395" s="20">
        <f>IF(OR(NOT(ISNUMBER($A395)),ROW()-2&lt;Settings!$B$12),NA(),IF(COUNT(OFFSET(F395,1-Settings!$B$12,0,Settings!$B$12,1))&lt;ROUNDUP(Settings!$B$12*Settings!$B$26,0),NA(),STDEV(OFFSET(F395,1-Settings!$B$12,0,Settings!$B$12,1))*SQRT(Settings!$B$13)))</f>
        <v/>
      </c>
      <c r="J395" s="20">
        <f>IF(OR(NOT(ISNUMBER($A395)),ROW()-2&lt;Settings!$B$11),NA(),IF(COUNT(OFFSET(G395,1-Settings!$B$11,0,Settings!$B$11,1))&lt;ROUNDUP(Settings!$B$11*Settings!$B$26,0),NA(),STDEV(OFFSET(G395,1-Settings!$B$11,0,Settings!$B$11,1))*SQRT(Settings!$B$13)))</f>
        <v/>
      </c>
      <c r="K395" s="20">
        <f>IF(OR(NOT(ISNUMBER($A395)),ROW()-2&lt;Settings!$B$12),NA(),IF(COUNT(OFFSET(G395,1-Settings!$B$12,0,Settings!$B$12,1))&lt;ROUNDUP(Settings!$B$12*Settings!$B$26,0),NA(),STDEV(OFFSET(G395,1-Settings!$B$12,0,Settings!$B$12,1))*SQRT(Settings!$B$13)))</f>
        <v/>
      </c>
      <c r="L395" s="20">
        <f>IF(AND(ISNUMBER(D395),ISNUMBER(H395)),D395-H395,NA())</f>
        <v/>
      </c>
      <c r="M395" s="20">
        <f>IF(AND(ISNUMBER(E395),ISNUMBER(K395)),E395-K395,NA())</f>
        <v/>
      </c>
      <c r="N395" s="20">
        <f>IF(NOT(ISNUMBER($A395)),NA(),IF(COUNT(OFFSET(G395,1,0,Settings!$B$12,1))&lt;ROUNDUP(Settings!$B$12*Settings!$B$26,0),NA(),STDEV(OFFSET(G395,1,0,Settings!$B$12,1))*SQRT(Settings!$B$13)))</f>
        <v/>
      </c>
      <c r="O395" s="20">
        <f>IF(AND(ISNUMBER(E395),ISNUMBER(N395)),E395-N395,NA())</f>
        <v/>
      </c>
      <c r="P395" s="19">
        <f>IF(NOT(ISNUMBER($A395)),NA(),IF(OR($A395&lt;MIN(KW_TP!$A$2:$A$2501),$A395&gt;MAX(KW_TP!$A$2:$A$2501)),NA(),INDEX(KW_TP!$C$2:$C$2501,MATCH($A395,KW_TP!$A$2:$A$2501,1))))</f>
        <v/>
      </c>
      <c r="Q395" s="18">
        <f>IF(NOT(ISNUMBER($A395)),NA(),IFERROR(1*INDEX(BBG_Data!$J$2:$J$4000,MATCH($A395,BBG_Data!$I$2:$I$4000,0)),NA()))</f>
        <v/>
      </c>
      <c r="R395" s="18">
        <f>IF(NOT(ISNUMBER($A395)),NA(),IFERROR(1*INDEX(BBG_Data!$L$2:$L$4000,MATCH($A395,BBG_Data!$K$2:$K$4000,0)),NA()))</f>
        <v/>
      </c>
      <c r="S395" s="20">
        <f>IF(AND(ISNUMBER(B395),ISNUMBER(Q395),ISNUMBER(R395)),(B395-Q395-R395)*100,NA())</f>
        <v/>
      </c>
      <c r="T395" s="20">
        <f>IF(AND(ISNUMBER(B395),Settings!$B$17&gt;0),IF(ISNUMBER(INDEX($B:$B,Settings!$B$17)),(B395-INDEX($B:$B,Settings!$B$17))*100,NA()),NA())</f>
        <v/>
      </c>
      <c r="U395" s="20">
        <f>IF(AND(ISNUMBER(Q395),Settings!$B$17&gt;0),IF(ISNUMBER(INDEX($Q:$Q,Settings!$B$17)),(Q395-INDEX($Q:$Q,Settings!$B$17))*100,NA()),NA())</f>
        <v/>
      </c>
      <c r="V395" s="20">
        <f>IF(AND(ISNUMBER(R395),Settings!$B$17&gt;0),IF(ISNUMBER(INDEX($R:$R,Settings!$B$17)),(R395-INDEX($R:$R,Settings!$B$17))*100,NA()),NA())</f>
        <v/>
      </c>
      <c r="W395" s="20">
        <f>IF(AND(ISNUMBER(P395),Settings!$B$17&gt;0),IF(ISNUMBER(INDEX($P:$P,Settings!$B$17)),P395-INDEX($P:$P,Settings!$B$17),NA()),NA())</f>
        <v/>
      </c>
      <c r="X395" s="19">
        <f>IF(NOT(ISNUMBER($A395)),NA(),IF(OR($A395&lt;MIN(DKW_10Y!$A$2:$A$2918),$A395&gt;MAX(DKW_10Y!$A$2:$A$2918),Settings!$B$16&lt;MIN(DKW_10Y!$A$2:$A$2918)),NA(),(INDEX(DKW_10Y!$B$2:$B$2918,MATCH($A395,DKW_10Y!$A$2:$A$2918,1))-INDEX(DKW_10Y!$B$2:$B$2918,MATCH(Settings!$B$16,DKW_10Y!$A$2:$A$2918,1)))*100))</f>
        <v/>
      </c>
      <c r="Y395" s="19">
        <f>IF(NOT(ISNUMBER($A395)),NA(),IF(OR($A395&lt;MIN(DKW_10Y!$A$2:$A$2918),$A395&gt;MAX(DKW_10Y!$A$2:$A$2918),Settings!$B$16&lt;MIN(DKW_10Y!$A$2:$A$2918)),NA(),(INDEX(DKW_10Y!$C$2:$C$2918,MATCH($A395,DKW_10Y!$A$2:$A$2918,1))-INDEX(DKW_10Y!$C$2:$C$2918,MATCH(Settings!$B$16,DKW_10Y!$A$2:$A$2918,1)))*100))</f>
        <v/>
      </c>
      <c r="Z395" s="19">
        <f>IF(NOT(ISNUMBER($A395)),NA(),IF(OR($A395&lt;MIN(DKW_10Y!$A$2:$A$2918),$A395&gt;MAX(DKW_10Y!$A$2:$A$2918),Settings!$B$16&lt;MIN(DKW_10Y!$A$2:$A$2918)),NA(),(INDEX(DKW_10Y!$D$2:$D$2918,MATCH($A395,DKW_10Y!$A$2:$A$2918,1))-INDEX(DKW_10Y!$D$2:$D$2918,MATCH(Settings!$B$16,DKW_10Y!$A$2:$A$2918,1)))*100))</f>
        <v/>
      </c>
      <c r="AA395" s="19">
        <f>IF(NOT(ISNUMBER($A395)),NA(),IF(OR($A395&lt;MIN(DKW_10Y!$A$2:$A$2918),$A395&gt;MAX(DKW_10Y!$A$2:$A$2918),Settings!$B$16&lt;MIN(DKW_10Y!$A$2:$A$2918)),NA(),(INDEX(DKW_10Y!$E$2:$E$2918,MATCH($A395,DKW_10Y!$A$2:$A$2918,1))-INDEX(DKW_10Y!$E$2:$E$2918,MATCH(Settings!$B$16,DKW_10Y!$A$2:$A$2918,1)))*100))</f>
        <v/>
      </c>
      <c r="AB395" s="19">
        <f>IF(NOT(ISNUMBER($A395)),NA(),IF(OR($A395&lt;MIN(DKW_10Y!$A$2:$A$2918),$A395&gt;MAX(DKW_10Y!$A$2:$A$2918),Settings!$B$16&lt;MIN(DKW_10Y!$A$2:$A$2918)),NA(),(INDEX(DKW_10Y!$H$2:$H$2918,MATCH($A395,DKW_10Y!$A$2:$A$2918,1))-INDEX(DKW_10Y!$H$2:$H$2918,MATCH(Settings!$B$16,DKW_10Y!$A$2:$A$2918,1)))*100))</f>
        <v/>
      </c>
      <c r="AC395" s="18">
        <f>IF(NOT(ISNUMBER($A395)),NA(),IFERROR(1*INDEX(BBG_Data!$N$2:$N$4000,MATCH($A395,BBG_Data!$M$2:$M$4000,0)),NA()))</f>
        <v/>
      </c>
      <c r="AD395" s="18">
        <f>IF(NOT(ISNUMBER($A395)),NA(),IFERROR(1*INDEX(BBG_Data!$P$2:$P$4000,MATCH($A395,BBG_Data!$O$2:$O$4000,0)),NA()))</f>
        <v/>
      </c>
      <c r="AE395" s="18">
        <f>IF(NOT(ISNUMBER($A395)),NA(),IFERROR(1*INDEX(BBG_Data!$R$2:$R$4000,MATCH($A395,BBG_Data!$Q$2:$Q$4000,0)),NA()))</f>
        <v/>
      </c>
      <c r="AF395" s="20">
        <f>IF(AND(ISNUMBER(B395),ISNUMBER(AC395)),(B395-AC395)*100,NA())</f>
        <v/>
      </c>
      <c r="AG395" s="20">
        <f>IF(AND(ISNUMBER(AE395),ISNUMBER(AD395)),(AE395-AD395)*100,NA())</f>
        <v/>
      </c>
      <c r="AH395" s="19">
        <f>IF(NOT(ISNUMBER($A395)),NA(),IFERROR(INDEX(BBG_Data!$T$2:$T$4000,MATCH($A395,BBG_Data!$S$2:$S$4000,0))*Settings!$B$25,NA()))</f>
        <v/>
      </c>
      <c r="AI395" s="19">
        <f>IF(NOT(ISNUMBER($A395)),NA(),IFERROR(INDEX(BBG_Data!$V$2:$V$4000,MATCH($A395,BBG_Data!$U$2:$U$4000,0))*Settings!$B$25,NA()))</f>
        <v/>
      </c>
      <c r="AJ395" s="19">
        <f>IF(NOT(ISNUMBER($A395)),NA(),IFERROR(1*INDEX(BBG_Data!$X$2:$X$4000,MATCH($A395,BBG_Data!$W$2:$W$4000,0)),NA()))</f>
        <v/>
      </c>
      <c r="AK395" s="19">
        <f>IF(NOT(ISNUMBER($A395)),NA(),IFERROR(1*INDEX(BBG_Data!$Z$2:$Z$4000,MATCH($A395,BBG_Data!$Y$2:$Y$4000,0)),NA()))</f>
        <v/>
      </c>
    </row>
    <row r="396">
      <c r="A396" s="17">
        <f>IF(ISNUMBER(BBG_Data!A396),BBG_Data!A396,"")</f>
        <v/>
      </c>
      <c r="B396" s="18">
        <f>IF(AND(ISNUMBER($A396),ISNUMBER(BBG_Data!B396)),BBG_Data!B396,NA())</f>
        <v/>
      </c>
      <c r="C396" s="18">
        <f>IF(NOT(ISNUMBER($A396)),NA(),IFERROR(1*INDEX(BBG_Data!$D$2:$D$4000,MATCH($A396,BBG_Data!$C$2:$C$4000,0)),NA()))</f>
        <v/>
      </c>
      <c r="D396" s="19">
        <f>IF(NOT(ISNUMBER($A396)),NA(),IFERROR(1*INDEX(BBG_Data!$F$2:$F$4000,MATCH($A396,BBG_Data!$E$2:$E$4000,0)),NA()))</f>
        <v/>
      </c>
      <c r="E396" s="19">
        <f>IF(NOT(ISNUMBER($A396)),NA(),IFERROR(1*INDEX(BBG_Data!$H$2:$H$4000,MATCH($A396,BBG_Data!$G$2:$G$4000,0)),NA()))</f>
        <v/>
      </c>
      <c r="F396" s="20">
        <f>IF(AND(ISNUMBER(B396),ISNUMBER(B395)),IF(B396=B395,"",(B396-B395)*100),"")</f>
        <v/>
      </c>
      <c r="G396" s="20">
        <f>IF(AND(ISNUMBER(C396),ISNUMBER(C395)),IF(C396=C395,"",(C396-C395)*100),"")</f>
        <v/>
      </c>
      <c r="H396" s="20">
        <f>IF(OR(NOT(ISNUMBER($A396)),ROW()-2&lt;Settings!$B$11),NA(),IF(COUNT(OFFSET(F396,1-Settings!$B$11,0,Settings!$B$11,1))&lt;ROUNDUP(Settings!$B$11*Settings!$B$26,0),NA(),STDEV(OFFSET(F396,1-Settings!$B$11,0,Settings!$B$11,1))*SQRT(Settings!$B$13)))</f>
        <v/>
      </c>
      <c r="I396" s="20">
        <f>IF(OR(NOT(ISNUMBER($A396)),ROW()-2&lt;Settings!$B$12),NA(),IF(COUNT(OFFSET(F396,1-Settings!$B$12,0,Settings!$B$12,1))&lt;ROUNDUP(Settings!$B$12*Settings!$B$26,0),NA(),STDEV(OFFSET(F396,1-Settings!$B$12,0,Settings!$B$12,1))*SQRT(Settings!$B$13)))</f>
        <v/>
      </c>
      <c r="J396" s="20">
        <f>IF(OR(NOT(ISNUMBER($A396)),ROW()-2&lt;Settings!$B$11),NA(),IF(COUNT(OFFSET(G396,1-Settings!$B$11,0,Settings!$B$11,1))&lt;ROUNDUP(Settings!$B$11*Settings!$B$26,0),NA(),STDEV(OFFSET(G396,1-Settings!$B$11,0,Settings!$B$11,1))*SQRT(Settings!$B$13)))</f>
        <v/>
      </c>
      <c r="K396" s="20">
        <f>IF(OR(NOT(ISNUMBER($A396)),ROW()-2&lt;Settings!$B$12),NA(),IF(COUNT(OFFSET(G396,1-Settings!$B$12,0,Settings!$B$12,1))&lt;ROUNDUP(Settings!$B$12*Settings!$B$26,0),NA(),STDEV(OFFSET(G396,1-Settings!$B$12,0,Settings!$B$12,1))*SQRT(Settings!$B$13)))</f>
        <v/>
      </c>
      <c r="L396" s="20">
        <f>IF(AND(ISNUMBER(D396),ISNUMBER(H396)),D396-H396,NA())</f>
        <v/>
      </c>
      <c r="M396" s="20">
        <f>IF(AND(ISNUMBER(E396),ISNUMBER(K396)),E396-K396,NA())</f>
        <v/>
      </c>
      <c r="N396" s="20">
        <f>IF(NOT(ISNUMBER($A396)),NA(),IF(COUNT(OFFSET(G396,1,0,Settings!$B$12,1))&lt;ROUNDUP(Settings!$B$12*Settings!$B$26,0),NA(),STDEV(OFFSET(G396,1,0,Settings!$B$12,1))*SQRT(Settings!$B$13)))</f>
        <v/>
      </c>
      <c r="O396" s="20">
        <f>IF(AND(ISNUMBER(E396),ISNUMBER(N396)),E396-N396,NA())</f>
        <v/>
      </c>
      <c r="P396" s="19">
        <f>IF(NOT(ISNUMBER($A396)),NA(),IF(OR($A396&lt;MIN(KW_TP!$A$2:$A$2501),$A396&gt;MAX(KW_TP!$A$2:$A$2501)),NA(),INDEX(KW_TP!$C$2:$C$2501,MATCH($A396,KW_TP!$A$2:$A$2501,1))))</f>
        <v/>
      </c>
      <c r="Q396" s="18">
        <f>IF(NOT(ISNUMBER($A396)),NA(),IFERROR(1*INDEX(BBG_Data!$J$2:$J$4000,MATCH($A396,BBG_Data!$I$2:$I$4000,0)),NA()))</f>
        <v/>
      </c>
      <c r="R396" s="18">
        <f>IF(NOT(ISNUMBER($A396)),NA(),IFERROR(1*INDEX(BBG_Data!$L$2:$L$4000,MATCH($A396,BBG_Data!$K$2:$K$4000,0)),NA()))</f>
        <v/>
      </c>
      <c r="S396" s="20">
        <f>IF(AND(ISNUMBER(B396),ISNUMBER(Q396),ISNUMBER(R396)),(B396-Q396-R396)*100,NA())</f>
        <v/>
      </c>
      <c r="T396" s="20">
        <f>IF(AND(ISNUMBER(B396),Settings!$B$17&gt;0),IF(ISNUMBER(INDEX($B:$B,Settings!$B$17)),(B396-INDEX($B:$B,Settings!$B$17))*100,NA()),NA())</f>
        <v/>
      </c>
      <c r="U396" s="20">
        <f>IF(AND(ISNUMBER(Q396),Settings!$B$17&gt;0),IF(ISNUMBER(INDEX($Q:$Q,Settings!$B$17)),(Q396-INDEX($Q:$Q,Settings!$B$17))*100,NA()),NA())</f>
        <v/>
      </c>
      <c r="V396" s="20">
        <f>IF(AND(ISNUMBER(R396),Settings!$B$17&gt;0),IF(ISNUMBER(INDEX($R:$R,Settings!$B$17)),(R396-INDEX($R:$R,Settings!$B$17))*100,NA()),NA())</f>
        <v/>
      </c>
      <c r="W396" s="20">
        <f>IF(AND(ISNUMBER(P396),Settings!$B$17&gt;0),IF(ISNUMBER(INDEX($P:$P,Settings!$B$17)),P396-INDEX($P:$P,Settings!$B$17),NA()),NA())</f>
        <v/>
      </c>
      <c r="X396" s="19">
        <f>IF(NOT(ISNUMBER($A396)),NA(),IF(OR($A396&lt;MIN(DKW_10Y!$A$2:$A$2918),$A396&gt;MAX(DKW_10Y!$A$2:$A$2918),Settings!$B$16&lt;MIN(DKW_10Y!$A$2:$A$2918)),NA(),(INDEX(DKW_10Y!$B$2:$B$2918,MATCH($A396,DKW_10Y!$A$2:$A$2918,1))-INDEX(DKW_10Y!$B$2:$B$2918,MATCH(Settings!$B$16,DKW_10Y!$A$2:$A$2918,1)))*100))</f>
        <v/>
      </c>
      <c r="Y396" s="19">
        <f>IF(NOT(ISNUMBER($A396)),NA(),IF(OR($A396&lt;MIN(DKW_10Y!$A$2:$A$2918),$A396&gt;MAX(DKW_10Y!$A$2:$A$2918),Settings!$B$16&lt;MIN(DKW_10Y!$A$2:$A$2918)),NA(),(INDEX(DKW_10Y!$C$2:$C$2918,MATCH($A396,DKW_10Y!$A$2:$A$2918,1))-INDEX(DKW_10Y!$C$2:$C$2918,MATCH(Settings!$B$16,DKW_10Y!$A$2:$A$2918,1)))*100))</f>
        <v/>
      </c>
      <c r="Z396" s="19">
        <f>IF(NOT(ISNUMBER($A396)),NA(),IF(OR($A396&lt;MIN(DKW_10Y!$A$2:$A$2918),$A396&gt;MAX(DKW_10Y!$A$2:$A$2918),Settings!$B$16&lt;MIN(DKW_10Y!$A$2:$A$2918)),NA(),(INDEX(DKW_10Y!$D$2:$D$2918,MATCH($A396,DKW_10Y!$A$2:$A$2918,1))-INDEX(DKW_10Y!$D$2:$D$2918,MATCH(Settings!$B$16,DKW_10Y!$A$2:$A$2918,1)))*100))</f>
        <v/>
      </c>
      <c r="AA396" s="19">
        <f>IF(NOT(ISNUMBER($A396)),NA(),IF(OR($A396&lt;MIN(DKW_10Y!$A$2:$A$2918),$A396&gt;MAX(DKW_10Y!$A$2:$A$2918),Settings!$B$16&lt;MIN(DKW_10Y!$A$2:$A$2918)),NA(),(INDEX(DKW_10Y!$E$2:$E$2918,MATCH($A396,DKW_10Y!$A$2:$A$2918,1))-INDEX(DKW_10Y!$E$2:$E$2918,MATCH(Settings!$B$16,DKW_10Y!$A$2:$A$2918,1)))*100))</f>
        <v/>
      </c>
      <c r="AB396" s="19">
        <f>IF(NOT(ISNUMBER($A396)),NA(),IF(OR($A396&lt;MIN(DKW_10Y!$A$2:$A$2918),$A396&gt;MAX(DKW_10Y!$A$2:$A$2918),Settings!$B$16&lt;MIN(DKW_10Y!$A$2:$A$2918)),NA(),(INDEX(DKW_10Y!$H$2:$H$2918,MATCH($A396,DKW_10Y!$A$2:$A$2918,1))-INDEX(DKW_10Y!$H$2:$H$2918,MATCH(Settings!$B$16,DKW_10Y!$A$2:$A$2918,1)))*100))</f>
        <v/>
      </c>
      <c r="AC396" s="18">
        <f>IF(NOT(ISNUMBER($A396)),NA(),IFERROR(1*INDEX(BBG_Data!$N$2:$N$4000,MATCH($A396,BBG_Data!$M$2:$M$4000,0)),NA()))</f>
        <v/>
      </c>
      <c r="AD396" s="18">
        <f>IF(NOT(ISNUMBER($A396)),NA(),IFERROR(1*INDEX(BBG_Data!$P$2:$P$4000,MATCH($A396,BBG_Data!$O$2:$O$4000,0)),NA()))</f>
        <v/>
      </c>
      <c r="AE396" s="18">
        <f>IF(NOT(ISNUMBER($A396)),NA(),IFERROR(1*INDEX(BBG_Data!$R$2:$R$4000,MATCH($A396,BBG_Data!$Q$2:$Q$4000,0)),NA()))</f>
        <v/>
      </c>
      <c r="AF396" s="20">
        <f>IF(AND(ISNUMBER(B396),ISNUMBER(AC396)),(B396-AC396)*100,NA())</f>
        <v/>
      </c>
      <c r="AG396" s="20">
        <f>IF(AND(ISNUMBER(AE396),ISNUMBER(AD396)),(AE396-AD396)*100,NA())</f>
        <v/>
      </c>
      <c r="AH396" s="19">
        <f>IF(NOT(ISNUMBER($A396)),NA(),IFERROR(INDEX(BBG_Data!$T$2:$T$4000,MATCH($A396,BBG_Data!$S$2:$S$4000,0))*Settings!$B$25,NA()))</f>
        <v/>
      </c>
      <c r="AI396" s="19">
        <f>IF(NOT(ISNUMBER($A396)),NA(),IFERROR(INDEX(BBG_Data!$V$2:$V$4000,MATCH($A396,BBG_Data!$U$2:$U$4000,0))*Settings!$B$25,NA()))</f>
        <v/>
      </c>
      <c r="AJ396" s="19">
        <f>IF(NOT(ISNUMBER($A396)),NA(),IFERROR(1*INDEX(BBG_Data!$X$2:$X$4000,MATCH($A396,BBG_Data!$W$2:$W$4000,0)),NA()))</f>
        <v/>
      </c>
      <c r="AK396" s="19">
        <f>IF(NOT(ISNUMBER($A396)),NA(),IFERROR(1*INDEX(BBG_Data!$Z$2:$Z$4000,MATCH($A396,BBG_Data!$Y$2:$Y$4000,0)),NA()))</f>
        <v/>
      </c>
    </row>
    <row r="397">
      <c r="A397" s="17">
        <f>IF(ISNUMBER(BBG_Data!A397),BBG_Data!A397,"")</f>
        <v/>
      </c>
      <c r="B397" s="18">
        <f>IF(AND(ISNUMBER($A397),ISNUMBER(BBG_Data!B397)),BBG_Data!B397,NA())</f>
        <v/>
      </c>
      <c r="C397" s="18">
        <f>IF(NOT(ISNUMBER($A397)),NA(),IFERROR(1*INDEX(BBG_Data!$D$2:$D$4000,MATCH($A397,BBG_Data!$C$2:$C$4000,0)),NA()))</f>
        <v/>
      </c>
      <c r="D397" s="19">
        <f>IF(NOT(ISNUMBER($A397)),NA(),IFERROR(1*INDEX(BBG_Data!$F$2:$F$4000,MATCH($A397,BBG_Data!$E$2:$E$4000,0)),NA()))</f>
        <v/>
      </c>
      <c r="E397" s="19">
        <f>IF(NOT(ISNUMBER($A397)),NA(),IFERROR(1*INDEX(BBG_Data!$H$2:$H$4000,MATCH($A397,BBG_Data!$G$2:$G$4000,0)),NA()))</f>
        <v/>
      </c>
      <c r="F397" s="20">
        <f>IF(AND(ISNUMBER(B397),ISNUMBER(B396)),IF(B397=B396,"",(B397-B396)*100),"")</f>
        <v/>
      </c>
      <c r="G397" s="20">
        <f>IF(AND(ISNUMBER(C397),ISNUMBER(C396)),IF(C397=C396,"",(C397-C396)*100),"")</f>
        <v/>
      </c>
      <c r="H397" s="20">
        <f>IF(OR(NOT(ISNUMBER($A397)),ROW()-2&lt;Settings!$B$11),NA(),IF(COUNT(OFFSET(F397,1-Settings!$B$11,0,Settings!$B$11,1))&lt;ROUNDUP(Settings!$B$11*Settings!$B$26,0),NA(),STDEV(OFFSET(F397,1-Settings!$B$11,0,Settings!$B$11,1))*SQRT(Settings!$B$13)))</f>
        <v/>
      </c>
      <c r="I397" s="20">
        <f>IF(OR(NOT(ISNUMBER($A397)),ROW()-2&lt;Settings!$B$12),NA(),IF(COUNT(OFFSET(F397,1-Settings!$B$12,0,Settings!$B$12,1))&lt;ROUNDUP(Settings!$B$12*Settings!$B$26,0),NA(),STDEV(OFFSET(F397,1-Settings!$B$12,0,Settings!$B$12,1))*SQRT(Settings!$B$13)))</f>
        <v/>
      </c>
      <c r="J397" s="20">
        <f>IF(OR(NOT(ISNUMBER($A397)),ROW()-2&lt;Settings!$B$11),NA(),IF(COUNT(OFFSET(G397,1-Settings!$B$11,0,Settings!$B$11,1))&lt;ROUNDUP(Settings!$B$11*Settings!$B$26,0),NA(),STDEV(OFFSET(G397,1-Settings!$B$11,0,Settings!$B$11,1))*SQRT(Settings!$B$13)))</f>
        <v/>
      </c>
      <c r="K397" s="20">
        <f>IF(OR(NOT(ISNUMBER($A397)),ROW()-2&lt;Settings!$B$12),NA(),IF(COUNT(OFFSET(G397,1-Settings!$B$12,0,Settings!$B$12,1))&lt;ROUNDUP(Settings!$B$12*Settings!$B$26,0),NA(),STDEV(OFFSET(G397,1-Settings!$B$12,0,Settings!$B$12,1))*SQRT(Settings!$B$13)))</f>
        <v/>
      </c>
      <c r="L397" s="20">
        <f>IF(AND(ISNUMBER(D397),ISNUMBER(H397)),D397-H397,NA())</f>
        <v/>
      </c>
      <c r="M397" s="20">
        <f>IF(AND(ISNUMBER(E397),ISNUMBER(K397)),E397-K397,NA())</f>
        <v/>
      </c>
      <c r="N397" s="20">
        <f>IF(NOT(ISNUMBER($A397)),NA(),IF(COUNT(OFFSET(G397,1,0,Settings!$B$12,1))&lt;ROUNDUP(Settings!$B$12*Settings!$B$26,0),NA(),STDEV(OFFSET(G397,1,0,Settings!$B$12,1))*SQRT(Settings!$B$13)))</f>
        <v/>
      </c>
      <c r="O397" s="20">
        <f>IF(AND(ISNUMBER(E397),ISNUMBER(N397)),E397-N397,NA())</f>
        <v/>
      </c>
      <c r="P397" s="19">
        <f>IF(NOT(ISNUMBER($A397)),NA(),IF(OR($A397&lt;MIN(KW_TP!$A$2:$A$2501),$A397&gt;MAX(KW_TP!$A$2:$A$2501)),NA(),INDEX(KW_TP!$C$2:$C$2501,MATCH($A397,KW_TP!$A$2:$A$2501,1))))</f>
        <v/>
      </c>
      <c r="Q397" s="18">
        <f>IF(NOT(ISNUMBER($A397)),NA(),IFERROR(1*INDEX(BBG_Data!$J$2:$J$4000,MATCH($A397,BBG_Data!$I$2:$I$4000,0)),NA()))</f>
        <v/>
      </c>
      <c r="R397" s="18">
        <f>IF(NOT(ISNUMBER($A397)),NA(),IFERROR(1*INDEX(BBG_Data!$L$2:$L$4000,MATCH($A397,BBG_Data!$K$2:$K$4000,0)),NA()))</f>
        <v/>
      </c>
      <c r="S397" s="20">
        <f>IF(AND(ISNUMBER(B397),ISNUMBER(Q397),ISNUMBER(R397)),(B397-Q397-R397)*100,NA())</f>
        <v/>
      </c>
      <c r="T397" s="20">
        <f>IF(AND(ISNUMBER(B397),Settings!$B$17&gt;0),IF(ISNUMBER(INDEX($B:$B,Settings!$B$17)),(B397-INDEX($B:$B,Settings!$B$17))*100,NA()),NA())</f>
        <v/>
      </c>
      <c r="U397" s="20">
        <f>IF(AND(ISNUMBER(Q397),Settings!$B$17&gt;0),IF(ISNUMBER(INDEX($Q:$Q,Settings!$B$17)),(Q397-INDEX($Q:$Q,Settings!$B$17))*100,NA()),NA())</f>
        <v/>
      </c>
      <c r="V397" s="20">
        <f>IF(AND(ISNUMBER(R397),Settings!$B$17&gt;0),IF(ISNUMBER(INDEX($R:$R,Settings!$B$17)),(R397-INDEX($R:$R,Settings!$B$17))*100,NA()),NA())</f>
        <v/>
      </c>
      <c r="W397" s="20">
        <f>IF(AND(ISNUMBER(P397),Settings!$B$17&gt;0),IF(ISNUMBER(INDEX($P:$P,Settings!$B$17)),P397-INDEX($P:$P,Settings!$B$17),NA()),NA())</f>
        <v/>
      </c>
      <c r="X397" s="19">
        <f>IF(NOT(ISNUMBER($A397)),NA(),IF(OR($A397&lt;MIN(DKW_10Y!$A$2:$A$2918),$A397&gt;MAX(DKW_10Y!$A$2:$A$2918),Settings!$B$16&lt;MIN(DKW_10Y!$A$2:$A$2918)),NA(),(INDEX(DKW_10Y!$B$2:$B$2918,MATCH($A397,DKW_10Y!$A$2:$A$2918,1))-INDEX(DKW_10Y!$B$2:$B$2918,MATCH(Settings!$B$16,DKW_10Y!$A$2:$A$2918,1)))*100))</f>
        <v/>
      </c>
      <c r="Y397" s="19">
        <f>IF(NOT(ISNUMBER($A397)),NA(),IF(OR($A397&lt;MIN(DKW_10Y!$A$2:$A$2918),$A397&gt;MAX(DKW_10Y!$A$2:$A$2918),Settings!$B$16&lt;MIN(DKW_10Y!$A$2:$A$2918)),NA(),(INDEX(DKW_10Y!$C$2:$C$2918,MATCH($A397,DKW_10Y!$A$2:$A$2918,1))-INDEX(DKW_10Y!$C$2:$C$2918,MATCH(Settings!$B$16,DKW_10Y!$A$2:$A$2918,1)))*100))</f>
        <v/>
      </c>
      <c r="Z397" s="19">
        <f>IF(NOT(ISNUMBER($A397)),NA(),IF(OR($A397&lt;MIN(DKW_10Y!$A$2:$A$2918),$A397&gt;MAX(DKW_10Y!$A$2:$A$2918),Settings!$B$16&lt;MIN(DKW_10Y!$A$2:$A$2918)),NA(),(INDEX(DKW_10Y!$D$2:$D$2918,MATCH($A397,DKW_10Y!$A$2:$A$2918,1))-INDEX(DKW_10Y!$D$2:$D$2918,MATCH(Settings!$B$16,DKW_10Y!$A$2:$A$2918,1)))*100))</f>
        <v/>
      </c>
      <c r="AA397" s="19">
        <f>IF(NOT(ISNUMBER($A397)),NA(),IF(OR($A397&lt;MIN(DKW_10Y!$A$2:$A$2918),$A397&gt;MAX(DKW_10Y!$A$2:$A$2918),Settings!$B$16&lt;MIN(DKW_10Y!$A$2:$A$2918)),NA(),(INDEX(DKW_10Y!$E$2:$E$2918,MATCH($A397,DKW_10Y!$A$2:$A$2918,1))-INDEX(DKW_10Y!$E$2:$E$2918,MATCH(Settings!$B$16,DKW_10Y!$A$2:$A$2918,1)))*100))</f>
        <v/>
      </c>
      <c r="AB397" s="19">
        <f>IF(NOT(ISNUMBER($A397)),NA(),IF(OR($A397&lt;MIN(DKW_10Y!$A$2:$A$2918),$A397&gt;MAX(DKW_10Y!$A$2:$A$2918),Settings!$B$16&lt;MIN(DKW_10Y!$A$2:$A$2918)),NA(),(INDEX(DKW_10Y!$H$2:$H$2918,MATCH($A397,DKW_10Y!$A$2:$A$2918,1))-INDEX(DKW_10Y!$H$2:$H$2918,MATCH(Settings!$B$16,DKW_10Y!$A$2:$A$2918,1)))*100))</f>
        <v/>
      </c>
      <c r="AC397" s="18">
        <f>IF(NOT(ISNUMBER($A397)),NA(),IFERROR(1*INDEX(BBG_Data!$N$2:$N$4000,MATCH($A397,BBG_Data!$M$2:$M$4000,0)),NA()))</f>
        <v/>
      </c>
      <c r="AD397" s="18">
        <f>IF(NOT(ISNUMBER($A397)),NA(),IFERROR(1*INDEX(BBG_Data!$P$2:$P$4000,MATCH($A397,BBG_Data!$O$2:$O$4000,0)),NA()))</f>
        <v/>
      </c>
      <c r="AE397" s="18">
        <f>IF(NOT(ISNUMBER($A397)),NA(),IFERROR(1*INDEX(BBG_Data!$R$2:$R$4000,MATCH($A397,BBG_Data!$Q$2:$Q$4000,0)),NA()))</f>
        <v/>
      </c>
      <c r="AF397" s="20">
        <f>IF(AND(ISNUMBER(B397),ISNUMBER(AC397)),(B397-AC397)*100,NA())</f>
        <v/>
      </c>
      <c r="AG397" s="20">
        <f>IF(AND(ISNUMBER(AE397),ISNUMBER(AD397)),(AE397-AD397)*100,NA())</f>
        <v/>
      </c>
      <c r="AH397" s="19">
        <f>IF(NOT(ISNUMBER($A397)),NA(),IFERROR(INDEX(BBG_Data!$T$2:$T$4000,MATCH($A397,BBG_Data!$S$2:$S$4000,0))*Settings!$B$25,NA()))</f>
        <v/>
      </c>
      <c r="AI397" s="19">
        <f>IF(NOT(ISNUMBER($A397)),NA(),IFERROR(INDEX(BBG_Data!$V$2:$V$4000,MATCH($A397,BBG_Data!$U$2:$U$4000,0))*Settings!$B$25,NA()))</f>
        <v/>
      </c>
      <c r="AJ397" s="19">
        <f>IF(NOT(ISNUMBER($A397)),NA(),IFERROR(1*INDEX(BBG_Data!$X$2:$X$4000,MATCH($A397,BBG_Data!$W$2:$W$4000,0)),NA()))</f>
        <v/>
      </c>
      <c r="AK397" s="19">
        <f>IF(NOT(ISNUMBER($A397)),NA(),IFERROR(1*INDEX(BBG_Data!$Z$2:$Z$4000,MATCH($A397,BBG_Data!$Y$2:$Y$4000,0)),NA()))</f>
        <v/>
      </c>
    </row>
    <row r="398">
      <c r="A398" s="17">
        <f>IF(ISNUMBER(BBG_Data!A398),BBG_Data!A398,"")</f>
        <v/>
      </c>
      <c r="B398" s="18">
        <f>IF(AND(ISNUMBER($A398),ISNUMBER(BBG_Data!B398)),BBG_Data!B398,NA())</f>
        <v/>
      </c>
      <c r="C398" s="18">
        <f>IF(NOT(ISNUMBER($A398)),NA(),IFERROR(1*INDEX(BBG_Data!$D$2:$D$4000,MATCH($A398,BBG_Data!$C$2:$C$4000,0)),NA()))</f>
        <v/>
      </c>
      <c r="D398" s="19">
        <f>IF(NOT(ISNUMBER($A398)),NA(),IFERROR(1*INDEX(BBG_Data!$F$2:$F$4000,MATCH($A398,BBG_Data!$E$2:$E$4000,0)),NA()))</f>
        <v/>
      </c>
      <c r="E398" s="19">
        <f>IF(NOT(ISNUMBER($A398)),NA(),IFERROR(1*INDEX(BBG_Data!$H$2:$H$4000,MATCH($A398,BBG_Data!$G$2:$G$4000,0)),NA()))</f>
        <v/>
      </c>
      <c r="F398" s="20">
        <f>IF(AND(ISNUMBER(B398),ISNUMBER(B397)),IF(B398=B397,"",(B398-B397)*100),"")</f>
        <v/>
      </c>
      <c r="G398" s="20">
        <f>IF(AND(ISNUMBER(C398),ISNUMBER(C397)),IF(C398=C397,"",(C398-C397)*100),"")</f>
        <v/>
      </c>
      <c r="H398" s="20">
        <f>IF(OR(NOT(ISNUMBER($A398)),ROW()-2&lt;Settings!$B$11),NA(),IF(COUNT(OFFSET(F398,1-Settings!$B$11,0,Settings!$B$11,1))&lt;ROUNDUP(Settings!$B$11*Settings!$B$26,0),NA(),STDEV(OFFSET(F398,1-Settings!$B$11,0,Settings!$B$11,1))*SQRT(Settings!$B$13)))</f>
        <v/>
      </c>
      <c r="I398" s="20">
        <f>IF(OR(NOT(ISNUMBER($A398)),ROW()-2&lt;Settings!$B$12),NA(),IF(COUNT(OFFSET(F398,1-Settings!$B$12,0,Settings!$B$12,1))&lt;ROUNDUP(Settings!$B$12*Settings!$B$26,0),NA(),STDEV(OFFSET(F398,1-Settings!$B$12,0,Settings!$B$12,1))*SQRT(Settings!$B$13)))</f>
        <v/>
      </c>
      <c r="J398" s="20">
        <f>IF(OR(NOT(ISNUMBER($A398)),ROW()-2&lt;Settings!$B$11),NA(),IF(COUNT(OFFSET(G398,1-Settings!$B$11,0,Settings!$B$11,1))&lt;ROUNDUP(Settings!$B$11*Settings!$B$26,0),NA(),STDEV(OFFSET(G398,1-Settings!$B$11,0,Settings!$B$11,1))*SQRT(Settings!$B$13)))</f>
        <v/>
      </c>
      <c r="K398" s="20">
        <f>IF(OR(NOT(ISNUMBER($A398)),ROW()-2&lt;Settings!$B$12),NA(),IF(COUNT(OFFSET(G398,1-Settings!$B$12,0,Settings!$B$12,1))&lt;ROUNDUP(Settings!$B$12*Settings!$B$26,0),NA(),STDEV(OFFSET(G398,1-Settings!$B$12,0,Settings!$B$12,1))*SQRT(Settings!$B$13)))</f>
        <v/>
      </c>
      <c r="L398" s="20">
        <f>IF(AND(ISNUMBER(D398),ISNUMBER(H398)),D398-H398,NA())</f>
        <v/>
      </c>
      <c r="M398" s="20">
        <f>IF(AND(ISNUMBER(E398),ISNUMBER(K398)),E398-K398,NA())</f>
        <v/>
      </c>
      <c r="N398" s="20">
        <f>IF(NOT(ISNUMBER($A398)),NA(),IF(COUNT(OFFSET(G398,1,0,Settings!$B$12,1))&lt;ROUNDUP(Settings!$B$12*Settings!$B$26,0),NA(),STDEV(OFFSET(G398,1,0,Settings!$B$12,1))*SQRT(Settings!$B$13)))</f>
        <v/>
      </c>
      <c r="O398" s="20">
        <f>IF(AND(ISNUMBER(E398),ISNUMBER(N398)),E398-N398,NA())</f>
        <v/>
      </c>
      <c r="P398" s="19">
        <f>IF(NOT(ISNUMBER($A398)),NA(),IF(OR($A398&lt;MIN(KW_TP!$A$2:$A$2501),$A398&gt;MAX(KW_TP!$A$2:$A$2501)),NA(),INDEX(KW_TP!$C$2:$C$2501,MATCH($A398,KW_TP!$A$2:$A$2501,1))))</f>
        <v/>
      </c>
      <c r="Q398" s="18">
        <f>IF(NOT(ISNUMBER($A398)),NA(),IFERROR(1*INDEX(BBG_Data!$J$2:$J$4000,MATCH($A398,BBG_Data!$I$2:$I$4000,0)),NA()))</f>
        <v/>
      </c>
      <c r="R398" s="18">
        <f>IF(NOT(ISNUMBER($A398)),NA(),IFERROR(1*INDEX(BBG_Data!$L$2:$L$4000,MATCH($A398,BBG_Data!$K$2:$K$4000,0)),NA()))</f>
        <v/>
      </c>
      <c r="S398" s="20">
        <f>IF(AND(ISNUMBER(B398),ISNUMBER(Q398),ISNUMBER(R398)),(B398-Q398-R398)*100,NA())</f>
        <v/>
      </c>
      <c r="T398" s="20">
        <f>IF(AND(ISNUMBER(B398),Settings!$B$17&gt;0),IF(ISNUMBER(INDEX($B:$B,Settings!$B$17)),(B398-INDEX($B:$B,Settings!$B$17))*100,NA()),NA())</f>
        <v/>
      </c>
      <c r="U398" s="20">
        <f>IF(AND(ISNUMBER(Q398),Settings!$B$17&gt;0),IF(ISNUMBER(INDEX($Q:$Q,Settings!$B$17)),(Q398-INDEX($Q:$Q,Settings!$B$17))*100,NA()),NA())</f>
        <v/>
      </c>
      <c r="V398" s="20">
        <f>IF(AND(ISNUMBER(R398),Settings!$B$17&gt;0),IF(ISNUMBER(INDEX($R:$R,Settings!$B$17)),(R398-INDEX($R:$R,Settings!$B$17))*100,NA()),NA())</f>
        <v/>
      </c>
      <c r="W398" s="20">
        <f>IF(AND(ISNUMBER(P398),Settings!$B$17&gt;0),IF(ISNUMBER(INDEX($P:$P,Settings!$B$17)),P398-INDEX($P:$P,Settings!$B$17),NA()),NA())</f>
        <v/>
      </c>
      <c r="X398" s="19">
        <f>IF(NOT(ISNUMBER($A398)),NA(),IF(OR($A398&lt;MIN(DKW_10Y!$A$2:$A$2918),$A398&gt;MAX(DKW_10Y!$A$2:$A$2918),Settings!$B$16&lt;MIN(DKW_10Y!$A$2:$A$2918)),NA(),(INDEX(DKW_10Y!$B$2:$B$2918,MATCH($A398,DKW_10Y!$A$2:$A$2918,1))-INDEX(DKW_10Y!$B$2:$B$2918,MATCH(Settings!$B$16,DKW_10Y!$A$2:$A$2918,1)))*100))</f>
        <v/>
      </c>
      <c r="Y398" s="19">
        <f>IF(NOT(ISNUMBER($A398)),NA(),IF(OR($A398&lt;MIN(DKW_10Y!$A$2:$A$2918),$A398&gt;MAX(DKW_10Y!$A$2:$A$2918),Settings!$B$16&lt;MIN(DKW_10Y!$A$2:$A$2918)),NA(),(INDEX(DKW_10Y!$C$2:$C$2918,MATCH($A398,DKW_10Y!$A$2:$A$2918,1))-INDEX(DKW_10Y!$C$2:$C$2918,MATCH(Settings!$B$16,DKW_10Y!$A$2:$A$2918,1)))*100))</f>
        <v/>
      </c>
      <c r="Z398" s="19">
        <f>IF(NOT(ISNUMBER($A398)),NA(),IF(OR($A398&lt;MIN(DKW_10Y!$A$2:$A$2918),$A398&gt;MAX(DKW_10Y!$A$2:$A$2918),Settings!$B$16&lt;MIN(DKW_10Y!$A$2:$A$2918)),NA(),(INDEX(DKW_10Y!$D$2:$D$2918,MATCH($A398,DKW_10Y!$A$2:$A$2918,1))-INDEX(DKW_10Y!$D$2:$D$2918,MATCH(Settings!$B$16,DKW_10Y!$A$2:$A$2918,1)))*100))</f>
        <v/>
      </c>
      <c r="AA398" s="19">
        <f>IF(NOT(ISNUMBER($A398)),NA(),IF(OR($A398&lt;MIN(DKW_10Y!$A$2:$A$2918),$A398&gt;MAX(DKW_10Y!$A$2:$A$2918),Settings!$B$16&lt;MIN(DKW_10Y!$A$2:$A$2918)),NA(),(INDEX(DKW_10Y!$E$2:$E$2918,MATCH($A398,DKW_10Y!$A$2:$A$2918,1))-INDEX(DKW_10Y!$E$2:$E$2918,MATCH(Settings!$B$16,DKW_10Y!$A$2:$A$2918,1)))*100))</f>
        <v/>
      </c>
      <c r="AB398" s="19">
        <f>IF(NOT(ISNUMBER($A398)),NA(),IF(OR($A398&lt;MIN(DKW_10Y!$A$2:$A$2918),$A398&gt;MAX(DKW_10Y!$A$2:$A$2918),Settings!$B$16&lt;MIN(DKW_10Y!$A$2:$A$2918)),NA(),(INDEX(DKW_10Y!$H$2:$H$2918,MATCH($A398,DKW_10Y!$A$2:$A$2918,1))-INDEX(DKW_10Y!$H$2:$H$2918,MATCH(Settings!$B$16,DKW_10Y!$A$2:$A$2918,1)))*100))</f>
        <v/>
      </c>
      <c r="AC398" s="18">
        <f>IF(NOT(ISNUMBER($A398)),NA(),IFERROR(1*INDEX(BBG_Data!$N$2:$N$4000,MATCH($A398,BBG_Data!$M$2:$M$4000,0)),NA()))</f>
        <v/>
      </c>
      <c r="AD398" s="18">
        <f>IF(NOT(ISNUMBER($A398)),NA(),IFERROR(1*INDEX(BBG_Data!$P$2:$P$4000,MATCH($A398,BBG_Data!$O$2:$O$4000,0)),NA()))</f>
        <v/>
      </c>
      <c r="AE398" s="18">
        <f>IF(NOT(ISNUMBER($A398)),NA(),IFERROR(1*INDEX(BBG_Data!$R$2:$R$4000,MATCH($A398,BBG_Data!$Q$2:$Q$4000,0)),NA()))</f>
        <v/>
      </c>
      <c r="AF398" s="20">
        <f>IF(AND(ISNUMBER(B398),ISNUMBER(AC398)),(B398-AC398)*100,NA())</f>
        <v/>
      </c>
      <c r="AG398" s="20">
        <f>IF(AND(ISNUMBER(AE398),ISNUMBER(AD398)),(AE398-AD398)*100,NA())</f>
        <v/>
      </c>
      <c r="AH398" s="19">
        <f>IF(NOT(ISNUMBER($A398)),NA(),IFERROR(INDEX(BBG_Data!$T$2:$T$4000,MATCH($A398,BBG_Data!$S$2:$S$4000,0))*Settings!$B$25,NA()))</f>
        <v/>
      </c>
      <c r="AI398" s="19">
        <f>IF(NOT(ISNUMBER($A398)),NA(),IFERROR(INDEX(BBG_Data!$V$2:$V$4000,MATCH($A398,BBG_Data!$U$2:$U$4000,0))*Settings!$B$25,NA()))</f>
        <v/>
      </c>
      <c r="AJ398" s="19">
        <f>IF(NOT(ISNUMBER($A398)),NA(),IFERROR(1*INDEX(BBG_Data!$X$2:$X$4000,MATCH($A398,BBG_Data!$W$2:$W$4000,0)),NA()))</f>
        <v/>
      </c>
      <c r="AK398" s="19">
        <f>IF(NOT(ISNUMBER($A398)),NA(),IFERROR(1*INDEX(BBG_Data!$Z$2:$Z$4000,MATCH($A398,BBG_Data!$Y$2:$Y$4000,0)),NA()))</f>
        <v/>
      </c>
    </row>
    <row r="399">
      <c r="A399" s="17">
        <f>IF(ISNUMBER(BBG_Data!A399),BBG_Data!A399,"")</f>
        <v/>
      </c>
      <c r="B399" s="18">
        <f>IF(AND(ISNUMBER($A399),ISNUMBER(BBG_Data!B399)),BBG_Data!B399,NA())</f>
        <v/>
      </c>
      <c r="C399" s="18">
        <f>IF(NOT(ISNUMBER($A399)),NA(),IFERROR(1*INDEX(BBG_Data!$D$2:$D$4000,MATCH($A399,BBG_Data!$C$2:$C$4000,0)),NA()))</f>
        <v/>
      </c>
      <c r="D399" s="19">
        <f>IF(NOT(ISNUMBER($A399)),NA(),IFERROR(1*INDEX(BBG_Data!$F$2:$F$4000,MATCH($A399,BBG_Data!$E$2:$E$4000,0)),NA()))</f>
        <v/>
      </c>
      <c r="E399" s="19">
        <f>IF(NOT(ISNUMBER($A399)),NA(),IFERROR(1*INDEX(BBG_Data!$H$2:$H$4000,MATCH($A399,BBG_Data!$G$2:$G$4000,0)),NA()))</f>
        <v/>
      </c>
      <c r="F399" s="20">
        <f>IF(AND(ISNUMBER(B399),ISNUMBER(B398)),IF(B399=B398,"",(B399-B398)*100),"")</f>
        <v/>
      </c>
      <c r="G399" s="20">
        <f>IF(AND(ISNUMBER(C399),ISNUMBER(C398)),IF(C399=C398,"",(C399-C398)*100),"")</f>
        <v/>
      </c>
      <c r="H399" s="20">
        <f>IF(OR(NOT(ISNUMBER($A399)),ROW()-2&lt;Settings!$B$11),NA(),IF(COUNT(OFFSET(F399,1-Settings!$B$11,0,Settings!$B$11,1))&lt;ROUNDUP(Settings!$B$11*Settings!$B$26,0),NA(),STDEV(OFFSET(F399,1-Settings!$B$11,0,Settings!$B$11,1))*SQRT(Settings!$B$13)))</f>
        <v/>
      </c>
      <c r="I399" s="20">
        <f>IF(OR(NOT(ISNUMBER($A399)),ROW()-2&lt;Settings!$B$12),NA(),IF(COUNT(OFFSET(F399,1-Settings!$B$12,0,Settings!$B$12,1))&lt;ROUNDUP(Settings!$B$12*Settings!$B$26,0),NA(),STDEV(OFFSET(F399,1-Settings!$B$12,0,Settings!$B$12,1))*SQRT(Settings!$B$13)))</f>
        <v/>
      </c>
      <c r="J399" s="20">
        <f>IF(OR(NOT(ISNUMBER($A399)),ROW()-2&lt;Settings!$B$11),NA(),IF(COUNT(OFFSET(G399,1-Settings!$B$11,0,Settings!$B$11,1))&lt;ROUNDUP(Settings!$B$11*Settings!$B$26,0),NA(),STDEV(OFFSET(G399,1-Settings!$B$11,0,Settings!$B$11,1))*SQRT(Settings!$B$13)))</f>
        <v/>
      </c>
      <c r="K399" s="20">
        <f>IF(OR(NOT(ISNUMBER($A399)),ROW()-2&lt;Settings!$B$12),NA(),IF(COUNT(OFFSET(G399,1-Settings!$B$12,0,Settings!$B$12,1))&lt;ROUNDUP(Settings!$B$12*Settings!$B$26,0),NA(),STDEV(OFFSET(G399,1-Settings!$B$12,0,Settings!$B$12,1))*SQRT(Settings!$B$13)))</f>
        <v/>
      </c>
      <c r="L399" s="20">
        <f>IF(AND(ISNUMBER(D399),ISNUMBER(H399)),D399-H399,NA())</f>
        <v/>
      </c>
      <c r="M399" s="20">
        <f>IF(AND(ISNUMBER(E399),ISNUMBER(K399)),E399-K399,NA())</f>
        <v/>
      </c>
      <c r="N399" s="20">
        <f>IF(NOT(ISNUMBER($A399)),NA(),IF(COUNT(OFFSET(G399,1,0,Settings!$B$12,1))&lt;ROUNDUP(Settings!$B$12*Settings!$B$26,0),NA(),STDEV(OFFSET(G399,1,0,Settings!$B$12,1))*SQRT(Settings!$B$13)))</f>
        <v/>
      </c>
      <c r="O399" s="20">
        <f>IF(AND(ISNUMBER(E399),ISNUMBER(N399)),E399-N399,NA())</f>
        <v/>
      </c>
      <c r="P399" s="19">
        <f>IF(NOT(ISNUMBER($A399)),NA(),IF(OR($A399&lt;MIN(KW_TP!$A$2:$A$2501),$A399&gt;MAX(KW_TP!$A$2:$A$2501)),NA(),INDEX(KW_TP!$C$2:$C$2501,MATCH($A399,KW_TP!$A$2:$A$2501,1))))</f>
        <v/>
      </c>
      <c r="Q399" s="18">
        <f>IF(NOT(ISNUMBER($A399)),NA(),IFERROR(1*INDEX(BBG_Data!$J$2:$J$4000,MATCH($A399,BBG_Data!$I$2:$I$4000,0)),NA()))</f>
        <v/>
      </c>
      <c r="R399" s="18">
        <f>IF(NOT(ISNUMBER($A399)),NA(),IFERROR(1*INDEX(BBG_Data!$L$2:$L$4000,MATCH($A399,BBG_Data!$K$2:$K$4000,0)),NA()))</f>
        <v/>
      </c>
      <c r="S399" s="20">
        <f>IF(AND(ISNUMBER(B399),ISNUMBER(Q399),ISNUMBER(R399)),(B399-Q399-R399)*100,NA())</f>
        <v/>
      </c>
      <c r="T399" s="20">
        <f>IF(AND(ISNUMBER(B399),Settings!$B$17&gt;0),IF(ISNUMBER(INDEX($B:$B,Settings!$B$17)),(B399-INDEX($B:$B,Settings!$B$17))*100,NA()),NA())</f>
        <v/>
      </c>
      <c r="U399" s="20">
        <f>IF(AND(ISNUMBER(Q399),Settings!$B$17&gt;0),IF(ISNUMBER(INDEX($Q:$Q,Settings!$B$17)),(Q399-INDEX($Q:$Q,Settings!$B$17))*100,NA()),NA())</f>
        <v/>
      </c>
      <c r="V399" s="20">
        <f>IF(AND(ISNUMBER(R399),Settings!$B$17&gt;0),IF(ISNUMBER(INDEX($R:$R,Settings!$B$17)),(R399-INDEX($R:$R,Settings!$B$17))*100,NA()),NA())</f>
        <v/>
      </c>
      <c r="W399" s="20">
        <f>IF(AND(ISNUMBER(P399),Settings!$B$17&gt;0),IF(ISNUMBER(INDEX($P:$P,Settings!$B$17)),P399-INDEX($P:$P,Settings!$B$17),NA()),NA())</f>
        <v/>
      </c>
      <c r="X399" s="19">
        <f>IF(NOT(ISNUMBER($A399)),NA(),IF(OR($A399&lt;MIN(DKW_10Y!$A$2:$A$2918),$A399&gt;MAX(DKW_10Y!$A$2:$A$2918),Settings!$B$16&lt;MIN(DKW_10Y!$A$2:$A$2918)),NA(),(INDEX(DKW_10Y!$B$2:$B$2918,MATCH($A399,DKW_10Y!$A$2:$A$2918,1))-INDEX(DKW_10Y!$B$2:$B$2918,MATCH(Settings!$B$16,DKW_10Y!$A$2:$A$2918,1)))*100))</f>
        <v/>
      </c>
      <c r="Y399" s="19">
        <f>IF(NOT(ISNUMBER($A399)),NA(),IF(OR($A399&lt;MIN(DKW_10Y!$A$2:$A$2918),$A399&gt;MAX(DKW_10Y!$A$2:$A$2918),Settings!$B$16&lt;MIN(DKW_10Y!$A$2:$A$2918)),NA(),(INDEX(DKW_10Y!$C$2:$C$2918,MATCH($A399,DKW_10Y!$A$2:$A$2918,1))-INDEX(DKW_10Y!$C$2:$C$2918,MATCH(Settings!$B$16,DKW_10Y!$A$2:$A$2918,1)))*100))</f>
        <v/>
      </c>
      <c r="Z399" s="19">
        <f>IF(NOT(ISNUMBER($A399)),NA(),IF(OR($A399&lt;MIN(DKW_10Y!$A$2:$A$2918),$A399&gt;MAX(DKW_10Y!$A$2:$A$2918),Settings!$B$16&lt;MIN(DKW_10Y!$A$2:$A$2918)),NA(),(INDEX(DKW_10Y!$D$2:$D$2918,MATCH($A399,DKW_10Y!$A$2:$A$2918,1))-INDEX(DKW_10Y!$D$2:$D$2918,MATCH(Settings!$B$16,DKW_10Y!$A$2:$A$2918,1)))*100))</f>
        <v/>
      </c>
      <c r="AA399" s="19">
        <f>IF(NOT(ISNUMBER($A399)),NA(),IF(OR($A399&lt;MIN(DKW_10Y!$A$2:$A$2918),$A399&gt;MAX(DKW_10Y!$A$2:$A$2918),Settings!$B$16&lt;MIN(DKW_10Y!$A$2:$A$2918)),NA(),(INDEX(DKW_10Y!$E$2:$E$2918,MATCH($A399,DKW_10Y!$A$2:$A$2918,1))-INDEX(DKW_10Y!$E$2:$E$2918,MATCH(Settings!$B$16,DKW_10Y!$A$2:$A$2918,1)))*100))</f>
        <v/>
      </c>
      <c r="AB399" s="19">
        <f>IF(NOT(ISNUMBER($A399)),NA(),IF(OR($A399&lt;MIN(DKW_10Y!$A$2:$A$2918),$A399&gt;MAX(DKW_10Y!$A$2:$A$2918),Settings!$B$16&lt;MIN(DKW_10Y!$A$2:$A$2918)),NA(),(INDEX(DKW_10Y!$H$2:$H$2918,MATCH($A399,DKW_10Y!$A$2:$A$2918,1))-INDEX(DKW_10Y!$H$2:$H$2918,MATCH(Settings!$B$16,DKW_10Y!$A$2:$A$2918,1)))*100))</f>
        <v/>
      </c>
      <c r="AC399" s="18">
        <f>IF(NOT(ISNUMBER($A399)),NA(),IFERROR(1*INDEX(BBG_Data!$N$2:$N$4000,MATCH($A399,BBG_Data!$M$2:$M$4000,0)),NA()))</f>
        <v/>
      </c>
      <c r="AD399" s="18">
        <f>IF(NOT(ISNUMBER($A399)),NA(),IFERROR(1*INDEX(BBG_Data!$P$2:$P$4000,MATCH($A399,BBG_Data!$O$2:$O$4000,0)),NA()))</f>
        <v/>
      </c>
      <c r="AE399" s="18">
        <f>IF(NOT(ISNUMBER($A399)),NA(),IFERROR(1*INDEX(BBG_Data!$R$2:$R$4000,MATCH($A399,BBG_Data!$Q$2:$Q$4000,0)),NA()))</f>
        <v/>
      </c>
      <c r="AF399" s="20">
        <f>IF(AND(ISNUMBER(B399),ISNUMBER(AC399)),(B399-AC399)*100,NA())</f>
        <v/>
      </c>
      <c r="AG399" s="20">
        <f>IF(AND(ISNUMBER(AE399),ISNUMBER(AD399)),(AE399-AD399)*100,NA())</f>
        <v/>
      </c>
      <c r="AH399" s="19">
        <f>IF(NOT(ISNUMBER($A399)),NA(),IFERROR(INDEX(BBG_Data!$T$2:$T$4000,MATCH($A399,BBG_Data!$S$2:$S$4000,0))*Settings!$B$25,NA()))</f>
        <v/>
      </c>
      <c r="AI399" s="19">
        <f>IF(NOT(ISNUMBER($A399)),NA(),IFERROR(INDEX(BBG_Data!$V$2:$V$4000,MATCH($A399,BBG_Data!$U$2:$U$4000,0))*Settings!$B$25,NA()))</f>
        <v/>
      </c>
      <c r="AJ399" s="19">
        <f>IF(NOT(ISNUMBER($A399)),NA(),IFERROR(1*INDEX(BBG_Data!$X$2:$X$4000,MATCH($A399,BBG_Data!$W$2:$W$4000,0)),NA()))</f>
        <v/>
      </c>
      <c r="AK399" s="19">
        <f>IF(NOT(ISNUMBER($A399)),NA(),IFERROR(1*INDEX(BBG_Data!$Z$2:$Z$4000,MATCH($A399,BBG_Data!$Y$2:$Y$4000,0)),NA()))</f>
        <v/>
      </c>
    </row>
    <row r="400">
      <c r="A400" s="17">
        <f>IF(ISNUMBER(BBG_Data!A400),BBG_Data!A400,"")</f>
        <v/>
      </c>
      <c r="B400" s="18">
        <f>IF(AND(ISNUMBER($A400),ISNUMBER(BBG_Data!B400)),BBG_Data!B400,NA())</f>
        <v/>
      </c>
      <c r="C400" s="18">
        <f>IF(NOT(ISNUMBER($A400)),NA(),IFERROR(1*INDEX(BBG_Data!$D$2:$D$4000,MATCH($A400,BBG_Data!$C$2:$C$4000,0)),NA()))</f>
        <v/>
      </c>
      <c r="D400" s="19">
        <f>IF(NOT(ISNUMBER($A400)),NA(),IFERROR(1*INDEX(BBG_Data!$F$2:$F$4000,MATCH($A400,BBG_Data!$E$2:$E$4000,0)),NA()))</f>
        <v/>
      </c>
      <c r="E400" s="19">
        <f>IF(NOT(ISNUMBER($A400)),NA(),IFERROR(1*INDEX(BBG_Data!$H$2:$H$4000,MATCH($A400,BBG_Data!$G$2:$G$4000,0)),NA()))</f>
        <v/>
      </c>
      <c r="F400" s="20">
        <f>IF(AND(ISNUMBER(B400),ISNUMBER(B399)),IF(B400=B399,"",(B400-B399)*100),"")</f>
        <v/>
      </c>
      <c r="G400" s="20">
        <f>IF(AND(ISNUMBER(C400),ISNUMBER(C399)),IF(C400=C399,"",(C400-C399)*100),"")</f>
        <v/>
      </c>
      <c r="H400" s="20">
        <f>IF(OR(NOT(ISNUMBER($A400)),ROW()-2&lt;Settings!$B$11),NA(),IF(COUNT(OFFSET(F400,1-Settings!$B$11,0,Settings!$B$11,1))&lt;ROUNDUP(Settings!$B$11*Settings!$B$26,0),NA(),STDEV(OFFSET(F400,1-Settings!$B$11,0,Settings!$B$11,1))*SQRT(Settings!$B$13)))</f>
        <v/>
      </c>
      <c r="I400" s="20">
        <f>IF(OR(NOT(ISNUMBER($A400)),ROW()-2&lt;Settings!$B$12),NA(),IF(COUNT(OFFSET(F400,1-Settings!$B$12,0,Settings!$B$12,1))&lt;ROUNDUP(Settings!$B$12*Settings!$B$26,0),NA(),STDEV(OFFSET(F400,1-Settings!$B$12,0,Settings!$B$12,1))*SQRT(Settings!$B$13)))</f>
        <v/>
      </c>
      <c r="J400" s="20">
        <f>IF(OR(NOT(ISNUMBER($A400)),ROW()-2&lt;Settings!$B$11),NA(),IF(COUNT(OFFSET(G400,1-Settings!$B$11,0,Settings!$B$11,1))&lt;ROUNDUP(Settings!$B$11*Settings!$B$26,0),NA(),STDEV(OFFSET(G400,1-Settings!$B$11,0,Settings!$B$11,1))*SQRT(Settings!$B$13)))</f>
        <v/>
      </c>
      <c r="K400" s="20">
        <f>IF(OR(NOT(ISNUMBER($A400)),ROW()-2&lt;Settings!$B$12),NA(),IF(COUNT(OFFSET(G400,1-Settings!$B$12,0,Settings!$B$12,1))&lt;ROUNDUP(Settings!$B$12*Settings!$B$26,0),NA(),STDEV(OFFSET(G400,1-Settings!$B$12,0,Settings!$B$12,1))*SQRT(Settings!$B$13)))</f>
        <v/>
      </c>
      <c r="L400" s="20">
        <f>IF(AND(ISNUMBER(D400),ISNUMBER(H400)),D400-H400,NA())</f>
        <v/>
      </c>
      <c r="M400" s="20">
        <f>IF(AND(ISNUMBER(E400),ISNUMBER(K400)),E400-K400,NA())</f>
        <v/>
      </c>
      <c r="N400" s="20">
        <f>IF(NOT(ISNUMBER($A400)),NA(),IF(COUNT(OFFSET(G400,1,0,Settings!$B$12,1))&lt;ROUNDUP(Settings!$B$12*Settings!$B$26,0),NA(),STDEV(OFFSET(G400,1,0,Settings!$B$12,1))*SQRT(Settings!$B$13)))</f>
        <v/>
      </c>
      <c r="O400" s="20">
        <f>IF(AND(ISNUMBER(E400),ISNUMBER(N400)),E400-N400,NA())</f>
        <v/>
      </c>
      <c r="P400" s="19">
        <f>IF(NOT(ISNUMBER($A400)),NA(),IF(OR($A400&lt;MIN(KW_TP!$A$2:$A$2501),$A400&gt;MAX(KW_TP!$A$2:$A$2501)),NA(),INDEX(KW_TP!$C$2:$C$2501,MATCH($A400,KW_TP!$A$2:$A$2501,1))))</f>
        <v/>
      </c>
      <c r="Q400" s="18">
        <f>IF(NOT(ISNUMBER($A400)),NA(),IFERROR(1*INDEX(BBG_Data!$J$2:$J$4000,MATCH($A400,BBG_Data!$I$2:$I$4000,0)),NA()))</f>
        <v/>
      </c>
      <c r="R400" s="18">
        <f>IF(NOT(ISNUMBER($A400)),NA(),IFERROR(1*INDEX(BBG_Data!$L$2:$L$4000,MATCH($A400,BBG_Data!$K$2:$K$4000,0)),NA()))</f>
        <v/>
      </c>
      <c r="S400" s="20">
        <f>IF(AND(ISNUMBER(B400),ISNUMBER(Q400),ISNUMBER(R400)),(B400-Q400-R400)*100,NA())</f>
        <v/>
      </c>
      <c r="T400" s="20">
        <f>IF(AND(ISNUMBER(B400),Settings!$B$17&gt;0),IF(ISNUMBER(INDEX($B:$B,Settings!$B$17)),(B400-INDEX($B:$B,Settings!$B$17))*100,NA()),NA())</f>
        <v/>
      </c>
      <c r="U400" s="20">
        <f>IF(AND(ISNUMBER(Q400),Settings!$B$17&gt;0),IF(ISNUMBER(INDEX($Q:$Q,Settings!$B$17)),(Q400-INDEX($Q:$Q,Settings!$B$17))*100,NA()),NA())</f>
        <v/>
      </c>
      <c r="V400" s="20">
        <f>IF(AND(ISNUMBER(R400),Settings!$B$17&gt;0),IF(ISNUMBER(INDEX($R:$R,Settings!$B$17)),(R400-INDEX($R:$R,Settings!$B$17))*100,NA()),NA())</f>
        <v/>
      </c>
      <c r="W400" s="20">
        <f>IF(AND(ISNUMBER(P400),Settings!$B$17&gt;0),IF(ISNUMBER(INDEX($P:$P,Settings!$B$17)),P400-INDEX($P:$P,Settings!$B$17),NA()),NA())</f>
        <v/>
      </c>
      <c r="X400" s="19">
        <f>IF(NOT(ISNUMBER($A400)),NA(),IF(OR($A400&lt;MIN(DKW_10Y!$A$2:$A$2918),$A400&gt;MAX(DKW_10Y!$A$2:$A$2918),Settings!$B$16&lt;MIN(DKW_10Y!$A$2:$A$2918)),NA(),(INDEX(DKW_10Y!$B$2:$B$2918,MATCH($A400,DKW_10Y!$A$2:$A$2918,1))-INDEX(DKW_10Y!$B$2:$B$2918,MATCH(Settings!$B$16,DKW_10Y!$A$2:$A$2918,1)))*100))</f>
        <v/>
      </c>
      <c r="Y400" s="19">
        <f>IF(NOT(ISNUMBER($A400)),NA(),IF(OR($A400&lt;MIN(DKW_10Y!$A$2:$A$2918),$A400&gt;MAX(DKW_10Y!$A$2:$A$2918),Settings!$B$16&lt;MIN(DKW_10Y!$A$2:$A$2918)),NA(),(INDEX(DKW_10Y!$C$2:$C$2918,MATCH($A400,DKW_10Y!$A$2:$A$2918,1))-INDEX(DKW_10Y!$C$2:$C$2918,MATCH(Settings!$B$16,DKW_10Y!$A$2:$A$2918,1)))*100))</f>
        <v/>
      </c>
      <c r="Z400" s="19">
        <f>IF(NOT(ISNUMBER($A400)),NA(),IF(OR($A400&lt;MIN(DKW_10Y!$A$2:$A$2918),$A400&gt;MAX(DKW_10Y!$A$2:$A$2918),Settings!$B$16&lt;MIN(DKW_10Y!$A$2:$A$2918)),NA(),(INDEX(DKW_10Y!$D$2:$D$2918,MATCH($A400,DKW_10Y!$A$2:$A$2918,1))-INDEX(DKW_10Y!$D$2:$D$2918,MATCH(Settings!$B$16,DKW_10Y!$A$2:$A$2918,1)))*100))</f>
        <v/>
      </c>
      <c r="AA400" s="19">
        <f>IF(NOT(ISNUMBER($A400)),NA(),IF(OR($A400&lt;MIN(DKW_10Y!$A$2:$A$2918),$A400&gt;MAX(DKW_10Y!$A$2:$A$2918),Settings!$B$16&lt;MIN(DKW_10Y!$A$2:$A$2918)),NA(),(INDEX(DKW_10Y!$E$2:$E$2918,MATCH($A400,DKW_10Y!$A$2:$A$2918,1))-INDEX(DKW_10Y!$E$2:$E$2918,MATCH(Settings!$B$16,DKW_10Y!$A$2:$A$2918,1)))*100))</f>
        <v/>
      </c>
      <c r="AB400" s="19">
        <f>IF(NOT(ISNUMBER($A400)),NA(),IF(OR($A400&lt;MIN(DKW_10Y!$A$2:$A$2918),$A400&gt;MAX(DKW_10Y!$A$2:$A$2918),Settings!$B$16&lt;MIN(DKW_10Y!$A$2:$A$2918)),NA(),(INDEX(DKW_10Y!$H$2:$H$2918,MATCH($A400,DKW_10Y!$A$2:$A$2918,1))-INDEX(DKW_10Y!$H$2:$H$2918,MATCH(Settings!$B$16,DKW_10Y!$A$2:$A$2918,1)))*100))</f>
        <v/>
      </c>
      <c r="AC400" s="18">
        <f>IF(NOT(ISNUMBER($A400)),NA(),IFERROR(1*INDEX(BBG_Data!$N$2:$N$4000,MATCH($A400,BBG_Data!$M$2:$M$4000,0)),NA()))</f>
        <v/>
      </c>
      <c r="AD400" s="18">
        <f>IF(NOT(ISNUMBER($A400)),NA(),IFERROR(1*INDEX(BBG_Data!$P$2:$P$4000,MATCH($A400,BBG_Data!$O$2:$O$4000,0)),NA()))</f>
        <v/>
      </c>
      <c r="AE400" s="18">
        <f>IF(NOT(ISNUMBER($A400)),NA(),IFERROR(1*INDEX(BBG_Data!$R$2:$R$4000,MATCH($A400,BBG_Data!$Q$2:$Q$4000,0)),NA()))</f>
        <v/>
      </c>
      <c r="AF400" s="20">
        <f>IF(AND(ISNUMBER(B400),ISNUMBER(AC400)),(B400-AC400)*100,NA())</f>
        <v/>
      </c>
      <c r="AG400" s="20">
        <f>IF(AND(ISNUMBER(AE400),ISNUMBER(AD400)),(AE400-AD400)*100,NA())</f>
        <v/>
      </c>
      <c r="AH400" s="19">
        <f>IF(NOT(ISNUMBER($A400)),NA(),IFERROR(INDEX(BBG_Data!$T$2:$T$4000,MATCH($A400,BBG_Data!$S$2:$S$4000,0))*Settings!$B$25,NA()))</f>
        <v/>
      </c>
      <c r="AI400" s="19">
        <f>IF(NOT(ISNUMBER($A400)),NA(),IFERROR(INDEX(BBG_Data!$V$2:$V$4000,MATCH($A400,BBG_Data!$U$2:$U$4000,0))*Settings!$B$25,NA()))</f>
        <v/>
      </c>
      <c r="AJ400" s="19">
        <f>IF(NOT(ISNUMBER($A400)),NA(),IFERROR(1*INDEX(BBG_Data!$X$2:$X$4000,MATCH($A400,BBG_Data!$W$2:$W$4000,0)),NA()))</f>
        <v/>
      </c>
      <c r="AK400" s="19">
        <f>IF(NOT(ISNUMBER($A400)),NA(),IFERROR(1*INDEX(BBG_Data!$Z$2:$Z$4000,MATCH($A400,BBG_Data!$Y$2:$Y$4000,0)),NA()))</f>
        <v/>
      </c>
    </row>
    <row r="401">
      <c r="A401" s="17">
        <f>IF(ISNUMBER(BBG_Data!A401),BBG_Data!A401,"")</f>
        <v/>
      </c>
      <c r="B401" s="18">
        <f>IF(AND(ISNUMBER($A401),ISNUMBER(BBG_Data!B401)),BBG_Data!B401,NA())</f>
        <v/>
      </c>
      <c r="C401" s="18">
        <f>IF(NOT(ISNUMBER($A401)),NA(),IFERROR(1*INDEX(BBG_Data!$D$2:$D$4000,MATCH($A401,BBG_Data!$C$2:$C$4000,0)),NA()))</f>
        <v/>
      </c>
      <c r="D401" s="19">
        <f>IF(NOT(ISNUMBER($A401)),NA(),IFERROR(1*INDEX(BBG_Data!$F$2:$F$4000,MATCH($A401,BBG_Data!$E$2:$E$4000,0)),NA()))</f>
        <v/>
      </c>
      <c r="E401" s="19">
        <f>IF(NOT(ISNUMBER($A401)),NA(),IFERROR(1*INDEX(BBG_Data!$H$2:$H$4000,MATCH($A401,BBG_Data!$G$2:$G$4000,0)),NA()))</f>
        <v/>
      </c>
      <c r="F401" s="20">
        <f>IF(AND(ISNUMBER(B401),ISNUMBER(B400)),IF(B401=B400,"",(B401-B400)*100),"")</f>
        <v/>
      </c>
      <c r="G401" s="20">
        <f>IF(AND(ISNUMBER(C401),ISNUMBER(C400)),IF(C401=C400,"",(C401-C400)*100),"")</f>
        <v/>
      </c>
      <c r="H401" s="20">
        <f>IF(OR(NOT(ISNUMBER($A401)),ROW()-2&lt;Settings!$B$11),NA(),IF(COUNT(OFFSET(F401,1-Settings!$B$11,0,Settings!$B$11,1))&lt;ROUNDUP(Settings!$B$11*Settings!$B$26,0),NA(),STDEV(OFFSET(F401,1-Settings!$B$11,0,Settings!$B$11,1))*SQRT(Settings!$B$13)))</f>
        <v/>
      </c>
      <c r="I401" s="20">
        <f>IF(OR(NOT(ISNUMBER($A401)),ROW()-2&lt;Settings!$B$12),NA(),IF(COUNT(OFFSET(F401,1-Settings!$B$12,0,Settings!$B$12,1))&lt;ROUNDUP(Settings!$B$12*Settings!$B$26,0),NA(),STDEV(OFFSET(F401,1-Settings!$B$12,0,Settings!$B$12,1))*SQRT(Settings!$B$13)))</f>
        <v/>
      </c>
      <c r="J401" s="20">
        <f>IF(OR(NOT(ISNUMBER($A401)),ROW()-2&lt;Settings!$B$11),NA(),IF(COUNT(OFFSET(G401,1-Settings!$B$11,0,Settings!$B$11,1))&lt;ROUNDUP(Settings!$B$11*Settings!$B$26,0),NA(),STDEV(OFFSET(G401,1-Settings!$B$11,0,Settings!$B$11,1))*SQRT(Settings!$B$13)))</f>
        <v/>
      </c>
      <c r="K401" s="20">
        <f>IF(OR(NOT(ISNUMBER($A401)),ROW()-2&lt;Settings!$B$12),NA(),IF(COUNT(OFFSET(G401,1-Settings!$B$12,0,Settings!$B$12,1))&lt;ROUNDUP(Settings!$B$12*Settings!$B$26,0),NA(),STDEV(OFFSET(G401,1-Settings!$B$12,0,Settings!$B$12,1))*SQRT(Settings!$B$13)))</f>
        <v/>
      </c>
      <c r="L401" s="20">
        <f>IF(AND(ISNUMBER(D401),ISNUMBER(H401)),D401-H401,NA())</f>
        <v/>
      </c>
      <c r="M401" s="20">
        <f>IF(AND(ISNUMBER(E401),ISNUMBER(K401)),E401-K401,NA())</f>
        <v/>
      </c>
      <c r="N401" s="20">
        <f>IF(NOT(ISNUMBER($A401)),NA(),IF(COUNT(OFFSET(G401,1,0,Settings!$B$12,1))&lt;ROUNDUP(Settings!$B$12*Settings!$B$26,0),NA(),STDEV(OFFSET(G401,1,0,Settings!$B$12,1))*SQRT(Settings!$B$13)))</f>
        <v/>
      </c>
      <c r="O401" s="20">
        <f>IF(AND(ISNUMBER(E401),ISNUMBER(N401)),E401-N401,NA())</f>
        <v/>
      </c>
      <c r="P401" s="19">
        <f>IF(NOT(ISNUMBER($A401)),NA(),IF(OR($A401&lt;MIN(KW_TP!$A$2:$A$2501),$A401&gt;MAX(KW_TP!$A$2:$A$2501)),NA(),INDEX(KW_TP!$C$2:$C$2501,MATCH($A401,KW_TP!$A$2:$A$2501,1))))</f>
        <v/>
      </c>
      <c r="Q401" s="18">
        <f>IF(NOT(ISNUMBER($A401)),NA(),IFERROR(1*INDEX(BBG_Data!$J$2:$J$4000,MATCH($A401,BBG_Data!$I$2:$I$4000,0)),NA()))</f>
        <v/>
      </c>
      <c r="R401" s="18">
        <f>IF(NOT(ISNUMBER($A401)),NA(),IFERROR(1*INDEX(BBG_Data!$L$2:$L$4000,MATCH($A401,BBG_Data!$K$2:$K$4000,0)),NA()))</f>
        <v/>
      </c>
      <c r="S401" s="20">
        <f>IF(AND(ISNUMBER(B401),ISNUMBER(Q401),ISNUMBER(R401)),(B401-Q401-R401)*100,NA())</f>
        <v/>
      </c>
      <c r="T401" s="20">
        <f>IF(AND(ISNUMBER(B401),Settings!$B$17&gt;0),IF(ISNUMBER(INDEX($B:$B,Settings!$B$17)),(B401-INDEX($B:$B,Settings!$B$17))*100,NA()),NA())</f>
        <v/>
      </c>
      <c r="U401" s="20">
        <f>IF(AND(ISNUMBER(Q401),Settings!$B$17&gt;0),IF(ISNUMBER(INDEX($Q:$Q,Settings!$B$17)),(Q401-INDEX($Q:$Q,Settings!$B$17))*100,NA()),NA())</f>
        <v/>
      </c>
      <c r="V401" s="20">
        <f>IF(AND(ISNUMBER(R401),Settings!$B$17&gt;0),IF(ISNUMBER(INDEX($R:$R,Settings!$B$17)),(R401-INDEX($R:$R,Settings!$B$17))*100,NA()),NA())</f>
        <v/>
      </c>
      <c r="W401" s="20">
        <f>IF(AND(ISNUMBER(P401),Settings!$B$17&gt;0),IF(ISNUMBER(INDEX($P:$P,Settings!$B$17)),P401-INDEX($P:$P,Settings!$B$17),NA()),NA())</f>
        <v/>
      </c>
      <c r="X401" s="19">
        <f>IF(NOT(ISNUMBER($A401)),NA(),IF(OR($A401&lt;MIN(DKW_10Y!$A$2:$A$2918),$A401&gt;MAX(DKW_10Y!$A$2:$A$2918),Settings!$B$16&lt;MIN(DKW_10Y!$A$2:$A$2918)),NA(),(INDEX(DKW_10Y!$B$2:$B$2918,MATCH($A401,DKW_10Y!$A$2:$A$2918,1))-INDEX(DKW_10Y!$B$2:$B$2918,MATCH(Settings!$B$16,DKW_10Y!$A$2:$A$2918,1)))*100))</f>
        <v/>
      </c>
      <c r="Y401" s="19">
        <f>IF(NOT(ISNUMBER($A401)),NA(),IF(OR($A401&lt;MIN(DKW_10Y!$A$2:$A$2918),$A401&gt;MAX(DKW_10Y!$A$2:$A$2918),Settings!$B$16&lt;MIN(DKW_10Y!$A$2:$A$2918)),NA(),(INDEX(DKW_10Y!$C$2:$C$2918,MATCH($A401,DKW_10Y!$A$2:$A$2918,1))-INDEX(DKW_10Y!$C$2:$C$2918,MATCH(Settings!$B$16,DKW_10Y!$A$2:$A$2918,1)))*100))</f>
        <v/>
      </c>
      <c r="Z401" s="19">
        <f>IF(NOT(ISNUMBER($A401)),NA(),IF(OR($A401&lt;MIN(DKW_10Y!$A$2:$A$2918),$A401&gt;MAX(DKW_10Y!$A$2:$A$2918),Settings!$B$16&lt;MIN(DKW_10Y!$A$2:$A$2918)),NA(),(INDEX(DKW_10Y!$D$2:$D$2918,MATCH($A401,DKW_10Y!$A$2:$A$2918,1))-INDEX(DKW_10Y!$D$2:$D$2918,MATCH(Settings!$B$16,DKW_10Y!$A$2:$A$2918,1)))*100))</f>
        <v/>
      </c>
      <c r="AA401" s="19">
        <f>IF(NOT(ISNUMBER($A401)),NA(),IF(OR($A401&lt;MIN(DKW_10Y!$A$2:$A$2918),$A401&gt;MAX(DKW_10Y!$A$2:$A$2918),Settings!$B$16&lt;MIN(DKW_10Y!$A$2:$A$2918)),NA(),(INDEX(DKW_10Y!$E$2:$E$2918,MATCH($A401,DKW_10Y!$A$2:$A$2918,1))-INDEX(DKW_10Y!$E$2:$E$2918,MATCH(Settings!$B$16,DKW_10Y!$A$2:$A$2918,1)))*100))</f>
        <v/>
      </c>
      <c r="AB401" s="19">
        <f>IF(NOT(ISNUMBER($A401)),NA(),IF(OR($A401&lt;MIN(DKW_10Y!$A$2:$A$2918),$A401&gt;MAX(DKW_10Y!$A$2:$A$2918),Settings!$B$16&lt;MIN(DKW_10Y!$A$2:$A$2918)),NA(),(INDEX(DKW_10Y!$H$2:$H$2918,MATCH($A401,DKW_10Y!$A$2:$A$2918,1))-INDEX(DKW_10Y!$H$2:$H$2918,MATCH(Settings!$B$16,DKW_10Y!$A$2:$A$2918,1)))*100))</f>
        <v/>
      </c>
      <c r="AC401" s="18">
        <f>IF(NOT(ISNUMBER($A401)),NA(),IFERROR(1*INDEX(BBG_Data!$N$2:$N$4000,MATCH($A401,BBG_Data!$M$2:$M$4000,0)),NA()))</f>
        <v/>
      </c>
      <c r="AD401" s="18">
        <f>IF(NOT(ISNUMBER($A401)),NA(),IFERROR(1*INDEX(BBG_Data!$P$2:$P$4000,MATCH($A401,BBG_Data!$O$2:$O$4000,0)),NA()))</f>
        <v/>
      </c>
      <c r="AE401" s="18">
        <f>IF(NOT(ISNUMBER($A401)),NA(),IFERROR(1*INDEX(BBG_Data!$R$2:$R$4000,MATCH($A401,BBG_Data!$Q$2:$Q$4000,0)),NA()))</f>
        <v/>
      </c>
      <c r="AF401" s="20">
        <f>IF(AND(ISNUMBER(B401),ISNUMBER(AC401)),(B401-AC401)*100,NA())</f>
        <v/>
      </c>
      <c r="AG401" s="20">
        <f>IF(AND(ISNUMBER(AE401),ISNUMBER(AD401)),(AE401-AD401)*100,NA())</f>
        <v/>
      </c>
      <c r="AH401" s="19">
        <f>IF(NOT(ISNUMBER($A401)),NA(),IFERROR(INDEX(BBG_Data!$T$2:$T$4000,MATCH($A401,BBG_Data!$S$2:$S$4000,0))*Settings!$B$25,NA()))</f>
        <v/>
      </c>
      <c r="AI401" s="19">
        <f>IF(NOT(ISNUMBER($A401)),NA(),IFERROR(INDEX(BBG_Data!$V$2:$V$4000,MATCH($A401,BBG_Data!$U$2:$U$4000,0))*Settings!$B$25,NA()))</f>
        <v/>
      </c>
      <c r="AJ401" s="19">
        <f>IF(NOT(ISNUMBER($A401)),NA(),IFERROR(1*INDEX(BBG_Data!$X$2:$X$4000,MATCH($A401,BBG_Data!$W$2:$W$4000,0)),NA()))</f>
        <v/>
      </c>
      <c r="AK401" s="19">
        <f>IF(NOT(ISNUMBER($A401)),NA(),IFERROR(1*INDEX(BBG_Data!$Z$2:$Z$4000,MATCH($A401,BBG_Data!$Y$2:$Y$4000,0)),NA()))</f>
        <v/>
      </c>
    </row>
    <row r="402">
      <c r="A402" s="17">
        <f>IF(ISNUMBER(BBG_Data!A402),BBG_Data!A402,"")</f>
        <v/>
      </c>
      <c r="B402" s="18">
        <f>IF(AND(ISNUMBER($A402),ISNUMBER(BBG_Data!B402)),BBG_Data!B402,NA())</f>
        <v/>
      </c>
      <c r="C402" s="18">
        <f>IF(NOT(ISNUMBER($A402)),NA(),IFERROR(1*INDEX(BBG_Data!$D$2:$D$4000,MATCH($A402,BBG_Data!$C$2:$C$4000,0)),NA()))</f>
        <v/>
      </c>
      <c r="D402" s="19">
        <f>IF(NOT(ISNUMBER($A402)),NA(),IFERROR(1*INDEX(BBG_Data!$F$2:$F$4000,MATCH($A402,BBG_Data!$E$2:$E$4000,0)),NA()))</f>
        <v/>
      </c>
      <c r="E402" s="19">
        <f>IF(NOT(ISNUMBER($A402)),NA(),IFERROR(1*INDEX(BBG_Data!$H$2:$H$4000,MATCH($A402,BBG_Data!$G$2:$G$4000,0)),NA()))</f>
        <v/>
      </c>
      <c r="F402" s="20">
        <f>IF(AND(ISNUMBER(B402),ISNUMBER(B401)),IF(B402=B401,"",(B402-B401)*100),"")</f>
        <v/>
      </c>
      <c r="G402" s="20">
        <f>IF(AND(ISNUMBER(C402),ISNUMBER(C401)),IF(C402=C401,"",(C402-C401)*100),"")</f>
        <v/>
      </c>
      <c r="H402" s="20">
        <f>IF(OR(NOT(ISNUMBER($A402)),ROW()-2&lt;Settings!$B$11),NA(),IF(COUNT(OFFSET(F402,1-Settings!$B$11,0,Settings!$B$11,1))&lt;ROUNDUP(Settings!$B$11*Settings!$B$26,0),NA(),STDEV(OFFSET(F402,1-Settings!$B$11,0,Settings!$B$11,1))*SQRT(Settings!$B$13)))</f>
        <v/>
      </c>
      <c r="I402" s="20">
        <f>IF(OR(NOT(ISNUMBER($A402)),ROW()-2&lt;Settings!$B$12),NA(),IF(COUNT(OFFSET(F402,1-Settings!$B$12,0,Settings!$B$12,1))&lt;ROUNDUP(Settings!$B$12*Settings!$B$26,0),NA(),STDEV(OFFSET(F402,1-Settings!$B$12,0,Settings!$B$12,1))*SQRT(Settings!$B$13)))</f>
        <v/>
      </c>
      <c r="J402" s="20">
        <f>IF(OR(NOT(ISNUMBER($A402)),ROW()-2&lt;Settings!$B$11),NA(),IF(COUNT(OFFSET(G402,1-Settings!$B$11,0,Settings!$B$11,1))&lt;ROUNDUP(Settings!$B$11*Settings!$B$26,0),NA(),STDEV(OFFSET(G402,1-Settings!$B$11,0,Settings!$B$11,1))*SQRT(Settings!$B$13)))</f>
        <v/>
      </c>
      <c r="K402" s="20">
        <f>IF(OR(NOT(ISNUMBER($A402)),ROW()-2&lt;Settings!$B$12),NA(),IF(COUNT(OFFSET(G402,1-Settings!$B$12,0,Settings!$B$12,1))&lt;ROUNDUP(Settings!$B$12*Settings!$B$26,0),NA(),STDEV(OFFSET(G402,1-Settings!$B$12,0,Settings!$B$12,1))*SQRT(Settings!$B$13)))</f>
        <v/>
      </c>
      <c r="L402" s="20">
        <f>IF(AND(ISNUMBER(D402),ISNUMBER(H402)),D402-H402,NA())</f>
        <v/>
      </c>
      <c r="M402" s="20">
        <f>IF(AND(ISNUMBER(E402),ISNUMBER(K402)),E402-K402,NA())</f>
        <v/>
      </c>
      <c r="N402" s="20">
        <f>IF(NOT(ISNUMBER($A402)),NA(),IF(COUNT(OFFSET(G402,1,0,Settings!$B$12,1))&lt;ROUNDUP(Settings!$B$12*Settings!$B$26,0),NA(),STDEV(OFFSET(G402,1,0,Settings!$B$12,1))*SQRT(Settings!$B$13)))</f>
        <v/>
      </c>
      <c r="O402" s="20">
        <f>IF(AND(ISNUMBER(E402),ISNUMBER(N402)),E402-N402,NA())</f>
        <v/>
      </c>
      <c r="P402" s="19">
        <f>IF(NOT(ISNUMBER($A402)),NA(),IF(OR($A402&lt;MIN(KW_TP!$A$2:$A$2501),$A402&gt;MAX(KW_TP!$A$2:$A$2501)),NA(),INDEX(KW_TP!$C$2:$C$2501,MATCH($A402,KW_TP!$A$2:$A$2501,1))))</f>
        <v/>
      </c>
      <c r="Q402" s="18">
        <f>IF(NOT(ISNUMBER($A402)),NA(),IFERROR(1*INDEX(BBG_Data!$J$2:$J$4000,MATCH($A402,BBG_Data!$I$2:$I$4000,0)),NA()))</f>
        <v/>
      </c>
      <c r="R402" s="18">
        <f>IF(NOT(ISNUMBER($A402)),NA(),IFERROR(1*INDEX(BBG_Data!$L$2:$L$4000,MATCH($A402,BBG_Data!$K$2:$K$4000,0)),NA()))</f>
        <v/>
      </c>
      <c r="S402" s="20">
        <f>IF(AND(ISNUMBER(B402),ISNUMBER(Q402),ISNUMBER(R402)),(B402-Q402-R402)*100,NA())</f>
        <v/>
      </c>
      <c r="T402" s="20">
        <f>IF(AND(ISNUMBER(B402),Settings!$B$17&gt;0),IF(ISNUMBER(INDEX($B:$B,Settings!$B$17)),(B402-INDEX($B:$B,Settings!$B$17))*100,NA()),NA())</f>
        <v/>
      </c>
      <c r="U402" s="20">
        <f>IF(AND(ISNUMBER(Q402),Settings!$B$17&gt;0),IF(ISNUMBER(INDEX($Q:$Q,Settings!$B$17)),(Q402-INDEX($Q:$Q,Settings!$B$17))*100,NA()),NA())</f>
        <v/>
      </c>
      <c r="V402" s="20">
        <f>IF(AND(ISNUMBER(R402),Settings!$B$17&gt;0),IF(ISNUMBER(INDEX($R:$R,Settings!$B$17)),(R402-INDEX($R:$R,Settings!$B$17))*100,NA()),NA())</f>
        <v/>
      </c>
      <c r="W402" s="20">
        <f>IF(AND(ISNUMBER(P402),Settings!$B$17&gt;0),IF(ISNUMBER(INDEX($P:$P,Settings!$B$17)),P402-INDEX($P:$P,Settings!$B$17),NA()),NA())</f>
        <v/>
      </c>
      <c r="X402" s="19">
        <f>IF(NOT(ISNUMBER($A402)),NA(),IF(OR($A402&lt;MIN(DKW_10Y!$A$2:$A$2918),$A402&gt;MAX(DKW_10Y!$A$2:$A$2918),Settings!$B$16&lt;MIN(DKW_10Y!$A$2:$A$2918)),NA(),(INDEX(DKW_10Y!$B$2:$B$2918,MATCH($A402,DKW_10Y!$A$2:$A$2918,1))-INDEX(DKW_10Y!$B$2:$B$2918,MATCH(Settings!$B$16,DKW_10Y!$A$2:$A$2918,1)))*100))</f>
        <v/>
      </c>
      <c r="Y402" s="19">
        <f>IF(NOT(ISNUMBER($A402)),NA(),IF(OR($A402&lt;MIN(DKW_10Y!$A$2:$A$2918),$A402&gt;MAX(DKW_10Y!$A$2:$A$2918),Settings!$B$16&lt;MIN(DKW_10Y!$A$2:$A$2918)),NA(),(INDEX(DKW_10Y!$C$2:$C$2918,MATCH($A402,DKW_10Y!$A$2:$A$2918,1))-INDEX(DKW_10Y!$C$2:$C$2918,MATCH(Settings!$B$16,DKW_10Y!$A$2:$A$2918,1)))*100))</f>
        <v/>
      </c>
      <c r="Z402" s="19">
        <f>IF(NOT(ISNUMBER($A402)),NA(),IF(OR($A402&lt;MIN(DKW_10Y!$A$2:$A$2918),$A402&gt;MAX(DKW_10Y!$A$2:$A$2918),Settings!$B$16&lt;MIN(DKW_10Y!$A$2:$A$2918)),NA(),(INDEX(DKW_10Y!$D$2:$D$2918,MATCH($A402,DKW_10Y!$A$2:$A$2918,1))-INDEX(DKW_10Y!$D$2:$D$2918,MATCH(Settings!$B$16,DKW_10Y!$A$2:$A$2918,1)))*100))</f>
        <v/>
      </c>
      <c r="AA402" s="19">
        <f>IF(NOT(ISNUMBER($A402)),NA(),IF(OR($A402&lt;MIN(DKW_10Y!$A$2:$A$2918),$A402&gt;MAX(DKW_10Y!$A$2:$A$2918),Settings!$B$16&lt;MIN(DKW_10Y!$A$2:$A$2918)),NA(),(INDEX(DKW_10Y!$E$2:$E$2918,MATCH($A402,DKW_10Y!$A$2:$A$2918,1))-INDEX(DKW_10Y!$E$2:$E$2918,MATCH(Settings!$B$16,DKW_10Y!$A$2:$A$2918,1)))*100))</f>
        <v/>
      </c>
      <c r="AB402" s="19">
        <f>IF(NOT(ISNUMBER($A402)),NA(),IF(OR($A402&lt;MIN(DKW_10Y!$A$2:$A$2918),$A402&gt;MAX(DKW_10Y!$A$2:$A$2918),Settings!$B$16&lt;MIN(DKW_10Y!$A$2:$A$2918)),NA(),(INDEX(DKW_10Y!$H$2:$H$2918,MATCH($A402,DKW_10Y!$A$2:$A$2918,1))-INDEX(DKW_10Y!$H$2:$H$2918,MATCH(Settings!$B$16,DKW_10Y!$A$2:$A$2918,1)))*100))</f>
        <v/>
      </c>
      <c r="AC402" s="18">
        <f>IF(NOT(ISNUMBER($A402)),NA(),IFERROR(1*INDEX(BBG_Data!$N$2:$N$4000,MATCH($A402,BBG_Data!$M$2:$M$4000,0)),NA()))</f>
        <v/>
      </c>
      <c r="AD402" s="18">
        <f>IF(NOT(ISNUMBER($A402)),NA(),IFERROR(1*INDEX(BBG_Data!$P$2:$P$4000,MATCH($A402,BBG_Data!$O$2:$O$4000,0)),NA()))</f>
        <v/>
      </c>
      <c r="AE402" s="18">
        <f>IF(NOT(ISNUMBER($A402)),NA(),IFERROR(1*INDEX(BBG_Data!$R$2:$R$4000,MATCH($A402,BBG_Data!$Q$2:$Q$4000,0)),NA()))</f>
        <v/>
      </c>
      <c r="AF402" s="20">
        <f>IF(AND(ISNUMBER(B402),ISNUMBER(AC402)),(B402-AC402)*100,NA())</f>
        <v/>
      </c>
      <c r="AG402" s="20">
        <f>IF(AND(ISNUMBER(AE402),ISNUMBER(AD402)),(AE402-AD402)*100,NA())</f>
        <v/>
      </c>
      <c r="AH402" s="19">
        <f>IF(NOT(ISNUMBER($A402)),NA(),IFERROR(INDEX(BBG_Data!$T$2:$T$4000,MATCH($A402,BBG_Data!$S$2:$S$4000,0))*Settings!$B$25,NA()))</f>
        <v/>
      </c>
      <c r="AI402" s="19">
        <f>IF(NOT(ISNUMBER($A402)),NA(),IFERROR(INDEX(BBG_Data!$V$2:$V$4000,MATCH($A402,BBG_Data!$U$2:$U$4000,0))*Settings!$B$25,NA()))</f>
        <v/>
      </c>
      <c r="AJ402" s="19">
        <f>IF(NOT(ISNUMBER($A402)),NA(),IFERROR(1*INDEX(BBG_Data!$X$2:$X$4000,MATCH($A402,BBG_Data!$W$2:$W$4000,0)),NA()))</f>
        <v/>
      </c>
      <c r="AK402" s="19">
        <f>IF(NOT(ISNUMBER($A402)),NA(),IFERROR(1*INDEX(BBG_Data!$Z$2:$Z$4000,MATCH($A402,BBG_Data!$Y$2:$Y$4000,0)),NA()))</f>
        <v/>
      </c>
    </row>
    <row r="403">
      <c r="A403" s="17">
        <f>IF(ISNUMBER(BBG_Data!A403),BBG_Data!A403,"")</f>
        <v/>
      </c>
      <c r="B403" s="18">
        <f>IF(AND(ISNUMBER($A403),ISNUMBER(BBG_Data!B403)),BBG_Data!B403,NA())</f>
        <v/>
      </c>
      <c r="C403" s="18">
        <f>IF(NOT(ISNUMBER($A403)),NA(),IFERROR(1*INDEX(BBG_Data!$D$2:$D$4000,MATCH($A403,BBG_Data!$C$2:$C$4000,0)),NA()))</f>
        <v/>
      </c>
      <c r="D403" s="19">
        <f>IF(NOT(ISNUMBER($A403)),NA(),IFERROR(1*INDEX(BBG_Data!$F$2:$F$4000,MATCH($A403,BBG_Data!$E$2:$E$4000,0)),NA()))</f>
        <v/>
      </c>
      <c r="E403" s="19">
        <f>IF(NOT(ISNUMBER($A403)),NA(),IFERROR(1*INDEX(BBG_Data!$H$2:$H$4000,MATCH($A403,BBG_Data!$G$2:$G$4000,0)),NA()))</f>
        <v/>
      </c>
      <c r="F403" s="20">
        <f>IF(AND(ISNUMBER(B403),ISNUMBER(B402)),IF(B403=B402,"",(B403-B402)*100),"")</f>
        <v/>
      </c>
      <c r="G403" s="20">
        <f>IF(AND(ISNUMBER(C403),ISNUMBER(C402)),IF(C403=C402,"",(C403-C402)*100),"")</f>
        <v/>
      </c>
      <c r="H403" s="20">
        <f>IF(OR(NOT(ISNUMBER($A403)),ROW()-2&lt;Settings!$B$11),NA(),IF(COUNT(OFFSET(F403,1-Settings!$B$11,0,Settings!$B$11,1))&lt;ROUNDUP(Settings!$B$11*Settings!$B$26,0),NA(),STDEV(OFFSET(F403,1-Settings!$B$11,0,Settings!$B$11,1))*SQRT(Settings!$B$13)))</f>
        <v/>
      </c>
      <c r="I403" s="20">
        <f>IF(OR(NOT(ISNUMBER($A403)),ROW()-2&lt;Settings!$B$12),NA(),IF(COUNT(OFFSET(F403,1-Settings!$B$12,0,Settings!$B$12,1))&lt;ROUNDUP(Settings!$B$12*Settings!$B$26,0),NA(),STDEV(OFFSET(F403,1-Settings!$B$12,0,Settings!$B$12,1))*SQRT(Settings!$B$13)))</f>
        <v/>
      </c>
      <c r="J403" s="20">
        <f>IF(OR(NOT(ISNUMBER($A403)),ROW()-2&lt;Settings!$B$11),NA(),IF(COUNT(OFFSET(G403,1-Settings!$B$11,0,Settings!$B$11,1))&lt;ROUNDUP(Settings!$B$11*Settings!$B$26,0),NA(),STDEV(OFFSET(G403,1-Settings!$B$11,0,Settings!$B$11,1))*SQRT(Settings!$B$13)))</f>
        <v/>
      </c>
      <c r="K403" s="20">
        <f>IF(OR(NOT(ISNUMBER($A403)),ROW()-2&lt;Settings!$B$12),NA(),IF(COUNT(OFFSET(G403,1-Settings!$B$12,0,Settings!$B$12,1))&lt;ROUNDUP(Settings!$B$12*Settings!$B$26,0),NA(),STDEV(OFFSET(G403,1-Settings!$B$12,0,Settings!$B$12,1))*SQRT(Settings!$B$13)))</f>
        <v/>
      </c>
      <c r="L403" s="20">
        <f>IF(AND(ISNUMBER(D403),ISNUMBER(H403)),D403-H403,NA())</f>
        <v/>
      </c>
      <c r="M403" s="20">
        <f>IF(AND(ISNUMBER(E403),ISNUMBER(K403)),E403-K403,NA())</f>
        <v/>
      </c>
      <c r="N403" s="20">
        <f>IF(NOT(ISNUMBER($A403)),NA(),IF(COUNT(OFFSET(G403,1,0,Settings!$B$12,1))&lt;ROUNDUP(Settings!$B$12*Settings!$B$26,0),NA(),STDEV(OFFSET(G403,1,0,Settings!$B$12,1))*SQRT(Settings!$B$13)))</f>
        <v/>
      </c>
      <c r="O403" s="20">
        <f>IF(AND(ISNUMBER(E403),ISNUMBER(N403)),E403-N403,NA())</f>
        <v/>
      </c>
      <c r="P403" s="19">
        <f>IF(NOT(ISNUMBER($A403)),NA(),IF(OR($A403&lt;MIN(KW_TP!$A$2:$A$2501),$A403&gt;MAX(KW_TP!$A$2:$A$2501)),NA(),INDEX(KW_TP!$C$2:$C$2501,MATCH($A403,KW_TP!$A$2:$A$2501,1))))</f>
        <v/>
      </c>
      <c r="Q403" s="18">
        <f>IF(NOT(ISNUMBER($A403)),NA(),IFERROR(1*INDEX(BBG_Data!$J$2:$J$4000,MATCH($A403,BBG_Data!$I$2:$I$4000,0)),NA()))</f>
        <v/>
      </c>
      <c r="R403" s="18">
        <f>IF(NOT(ISNUMBER($A403)),NA(),IFERROR(1*INDEX(BBG_Data!$L$2:$L$4000,MATCH($A403,BBG_Data!$K$2:$K$4000,0)),NA()))</f>
        <v/>
      </c>
      <c r="S403" s="20">
        <f>IF(AND(ISNUMBER(B403),ISNUMBER(Q403),ISNUMBER(R403)),(B403-Q403-R403)*100,NA())</f>
        <v/>
      </c>
      <c r="T403" s="20">
        <f>IF(AND(ISNUMBER(B403),Settings!$B$17&gt;0),IF(ISNUMBER(INDEX($B:$B,Settings!$B$17)),(B403-INDEX($B:$B,Settings!$B$17))*100,NA()),NA())</f>
        <v/>
      </c>
      <c r="U403" s="20">
        <f>IF(AND(ISNUMBER(Q403),Settings!$B$17&gt;0),IF(ISNUMBER(INDEX($Q:$Q,Settings!$B$17)),(Q403-INDEX($Q:$Q,Settings!$B$17))*100,NA()),NA())</f>
        <v/>
      </c>
      <c r="V403" s="20">
        <f>IF(AND(ISNUMBER(R403),Settings!$B$17&gt;0),IF(ISNUMBER(INDEX($R:$R,Settings!$B$17)),(R403-INDEX($R:$R,Settings!$B$17))*100,NA()),NA())</f>
        <v/>
      </c>
      <c r="W403" s="20">
        <f>IF(AND(ISNUMBER(P403),Settings!$B$17&gt;0),IF(ISNUMBER(INDEX($P:$P,Settings!$B$17)),P403-INDEX($P:$P,Settings!$B$17),NA()),NA())</f>
        <v/>
      </c>
      <c r="X403" s="19">
        <f>IF(NOT(ISNUMBER($A403)),NA(),IF(OR($A403&lt;MIN(DKW_10Y!$A$2:$A$2918),$A403&gt;MAX(DKW_10Y!$A$2:$A$2918),Settings!$B$16&lt;MIN(DKW_10Y!$A$2:$A$2918)),NA(),(INDEX(DKW_10Y!$B$2:$B$2918,MATCH($A403,DKW_10Y!$A$2:$A$2918,1))-INDEX(DKW_10Y!$B$2:$B$2918,MATCH(Settings!$B$16,DKW_10Y!$A$2:$A$2918,1)))*100))</f>
        <v/>
      </c>
      <c r="Y403" s="19">
        <f>IF(NOT(ISNUMBER($A403)),NA(),IF(OR($A403&lt;MIN(DKW_10Y!$A$2:$A$2918),$A403&gt;MAX(DKW_10Y!$A$2:$A$2918),Settings!$B$16&lt;MIN(DKW_10Y!$A$2:$A$2918)),NA(),(INDEX(DKW_10Y!$C$2:$C$2918,MATCH($A403,DKW_10Y!$A$2:$A$2918,1))-INDEX(DKW_10Y!$C$2:$C$2918,MATCH(Settings!$B$16,DKW_10Y!$A$2:$A$2918,1)))*100))</f>
        <v/>
      </c>
      <c r="Z403" s="19">
        <f>IF(NOT(ISNUMBER($A403)),NA(),IF(OR($A403&lt;MIN(DKW_10Y!$A$2:$A$2918),$A403&gt;MAX(DKW_10Y!$A$2:$A$2918),Settings!$B$16&lt;MIN(DKW_10Y!$A$2:$A$2918)),NA(),(INDEX(DKW_10Y!$D$2:$D$2918,MATCH($A403,DKW_10Y!$A$2:$A$2918,1))-INDEX(DKW_10Y!$D$2:$D$2918,MATCH(Settings!$B$16,DKW_10Y!$A$2:$A$2918,1)))*100))</f>
        <v/>
      </c>
      <c r="AA403" s="19">
        <f>IF(NOT(ISNUMBER($A403)),NA(),IF(OR($A403&lt;MIN(DKW_10Y!$A$2:$A$2918),$A403&gt;MAX(DKW_10Y!$A$2:$A$2918),Settings!$B$16&lt;MIN(DKW_10Y!$A$2:$A$2918)),NA(),(INDEX(DKW_10Y!$E$2:$E$2918,MATCH($A403,DKW_10Y!$A$2:$A$2918,1))-INDEX(DKW_10Y!$E$2:$E$2918,MATCH(Settings!$B$16,DKW_10Y!$A$2:$A$2918,1)))*100))</f>
        <v/>
      </c>
      <c r="AB403" s="19">
        <f>IF(NOT(ISNUMBER($A403)),NA(),IF(OR($A403&lt;MIN(DKW_10Y!$A$2:$A$2918),$A403&gt;MAX(DKW_10Y!$A$2:$A$2918),Settings!$B$16&lt;MIN(DKW_10Y!$A$2:$A$2918)),NA(),(INDEX(DKW_10Y!$H$2:$H$2918,MATCH($A403,DKW_10Y!$A$2:$A$2918,1))-INDEX(DKW_10Y!$H$2:$H$2918,MATCH(Settings!$B$16,DKW_10Y!$A$2:$A$2918,1)))*100))</f>
        <v/>
      </c>
      <c r="AC403" s="18">
        <f>IF(NOT(ISNUMBER($A403)),NA(),IFERROR(1*INDEX(BBG_Data!$N$2:$N$4000,MATCH($A403,BBG_Data!$M$2:$M$4000,0)),NA()))</f>
        <v/>
      </c>
      <c r="AD403" s="18">
        <f>IF(NOT(ISNUMBER($A403)),NA(),IFERROR(1*INDEX(BBG_Data!$P$2:$P$4000,MATCH($A403,BBG_Data!$O$2:$O$4000,0)),NA()))</f>
        <v/>
      </c>
      <c r="AE403" s="18">
        <f>IF(NOT(ISNUMBER($A403)),NA(),IFERROR(1*INDEX(BBG_Data!$R$2:$R$4000,MATCH($A403,BBG_Data!$Q$2:$Q$4000,0)),NA()))</f>
        <v/>
      </c>
      <c r="AF403" s="20">
        <f>IF(AND(ISNUMBER(B403),ISNUMBER(AC403)),(B403-AC403)*100,NA())</f>
        <v/>
      </c>
      <c r="AG403" s="20">
        <f>IF(AND(ISNUMBER(AE403),ISNUMBER(AD403)),(AE403-AD403)*100,NA())</f>
        <v/>
      </c>
      <c r="AH403" s="19">
        <f>IF(NOT(ISNUMBER($A403)),NA(),IFERROR(INDEX(BBG_Data!$T$2:$T$4000,MATCH($A403,BBG_Data!$S$2:$S$4000,0))*Settings!$B$25,NA()))</f>
        <v/>
      </c>
      <c r="AI403" s="19">
        <f>IF(NOT(ISNUMBER($A403)),NA(),IFERROR(INDEX(BBG_Data!$V$2:$V$4000,MATCH($A403,BBG_Data!$U$2:$U$4000,0))*Settings!$B$25,NA()))</f>
        <v/>
      </c>
      <c r="AJ403" s="19">
        <f>IF(NOT(ISNUMBER($A403)),NA(),IFERROR(1*INDEX(BBG_Data!$X$2:$X$4000,MATCH($A403,BBG_Data!$W$2:$W$4000,0)),NA()))</f>
        <v/>
      </c>
      <c r="AK403" s="19">
        <f>IF(NOT(ISNUMBER($A403)),NA(),IFERROR(1*INDEX(BBG_Data!$Z$2:$Z$4000,MATCH($A403,BBG_Data!$Y$2:$Y$4000,0)),NA()))</f>
        <v/>
      </c>
    </row>
    <row r="404">
      <c r="A404" s="17">
        <f>IF(ISNUMBER(BBG_Data!A404),BBG_Data!A404,"")</f>
        <v/>
      </c>
      <c r="B404" s="18">
        <f>IF(AND(ISNUMBER($A404),ISNUMBER(BBG_Data!B404)),BBG_Data!B404,NA())</f>
        <v/>
      </c>
      <c r="C404" s="18">
        <f>IF(NOT(ISNUMBER($A404)),NA(),IFERROR(1*INDEX(BBG_Data!$D$2:$D$4000,MATCH($A404,BBG_Data!$C$2:$C$4000,0)),NA()))</f>
        <v/>
      </c>
      <c r="D404" s="19">
        <f>IF(NOT(ISNUMBER($A404)),NA(),IFERROR(1*INDEX(BBG_Data!$F$2:$F$4000,MATCH($A404,BBG_Data!$E$2:$E$4000,0)),NA()))</f>
        <v/>
      </c>
      <c r="E404" s="19">
        <f>IF(NOT(ISNUMBER($A404)),NA(),IFERROR(1*INDEX(BBG_Data!$H$2:$H$4000,MATCH($A404,BBG_Data!$G$2:$G$4000,0)),NA()))</f>
        <v/>
      </c>
      <c r="F404" s="20">
        <f>IF(AND(ISNUMBER(B404),ISNUMBER(B403)),IF(B404=B403,"",(B404-B403)*100),"")</f>
        <v/>
      </c>
      <c r="G404" s="20">
        <f>IF(AND(ISNUMBER(C404),ISNUMBER(C403)),IF(C404=C403,"",(C404-C403)*100),"")</f>
        <v/>
      </c>
      <c r="H404" s="20">
        <f>IF(OR(NOT(ISNUMBER($A404)),ROW()-2&lt;Settings!$B$11),NA(),IF(COUNT(OFFSET(F404,1-Settings!$B$11,0,Settings!$B$11,1))&lt;ROUNDUP(Settings!$B$11*Settings!$B$26,0),NA(),STDEV(OFFSET(F404,1-Settings!$B$11,0,Settings!$B$11,1))*SQRT(Settings!$B$13)))</f>
        <v/>
      </c>
      <c r="I404" s="20">
        <f>IF(OR(NOT(ISNUMBER($A404)),ROW()-2&lt;Settings!$B$12),NA(),IF(COUNT(OFFSET(F404,1-Settings!$B$12,0,Settings!$B$12,1))&lt;ROUNDUP(Settings!$B$12*Settings!$B$26,0),NA(),STDEV(OFFSET(F404,1-Settings!$B$12,0,Settings!$B$12,1))*SQRT(Settings!$B$13)))</f>
        <v/>
      </c>
      <c r="J404" s="20">
        <f>IF(OR(NOT(ISNUMBER($A404)),ROW()-2&lt;Settings!$B$11),NA(),IF(COUNT(OFFSET(G404,1-Settings!$B$11,0,Settings!$B$11,1))&lt;ROUNDUP(Settings!$B$11*Settings!$B$26,0),NA(),STDEV(OFFSET(G404,1-Settings!$B$11,0,Settings!$B$11,1))*SQRT(Settings!$B$13)))</f>
        <v/>
      </c>
      <c r="K404" s="20">
        <f>IF(OR(NOT(ISNUMBER($A404)),ROW()-2&lt;Settings!$B$12),NA(),IF(COUNT(OFFSET(G404,1-Settings!$B$12,0,Settings!$B$12,1))&lt;ROUNDUP(Settings!$B$12*Settings!$B$26,0),NA(),STDEV(OFFSET(G404,1-Settings!$B$12,0,Settings!$B$12,1))*SQRT(Settings!$B$13)))</f>
        <v/>
      </c>
      <c r="L404" s="20">
        <f>IF(AND(ISNUMBER(D404),ISNUMBER(H404)),D404-H404,NA())</f>
        <v/>
      </c>
      <c r="M404" s="20">
        <f>IF(AND(ISNUMBER(E404),ISNUMBER(K404)),E404-K404,NA())</f>
        <v/>
      </c>
      <c r="N404" s="20">
        <f>IF(NOT(ISNUMBER($A404)),NA(),IF(COUNT(OFFSET(G404,1,0,Settings!$B$12,1))&lt;ROUNDUP(Settings!$B$12*Settings!$B$26,0),NA(),STDEV(OFFSET(G404,1,0,Settings!$B$12,1))*SQRT(Settings!$B$13)))</f>
        <v/>
      </c>
      <c r="O404" s="20">
        <f>IF(AND(ISNUMBER(E404),ISNUMBER(N404)),E404-N404,NA())</f>
        <v/>
      </c>
      <c r="P404" s="19">
        <f>IF(NOT(ISNUMBER($A404)),NA(),IF(OR($A404&lt;MIN(KW_TP!$A$2:$A$2501),$A404&gt;MAX(KW_TP!$A$2:$A$2501)),NA(),INDEX(KW_TP!$C$2:$C$2501,MATCH($A404,KW_TP!$A$2:$A$2501,1))))</f>
        <v/>
      </c>
      <c r="Q404" s="18">
        <f>IF(NOT(ISNUMBER($A404)),NA(),IFERROR(1*INDEX(BBG_Data!$J$2:$J$4000,MATCH($A404,BBG_Data!$I$2:$I$4000,0)),NA()))</f>
        <v/>
      </c>
      <c r="R404" s="18">
        <f>IF(NOT(ISNUMBER($A404)),NA(),IFERROR(1*INDEX(BBG_Data!$L$2:$L$4000,MATCH($A404,BBG_Data!$K$2:$K$4000,0)),NA()))</f>
        <v/>
      </c>
      <c r="S404" s="20">
        <f>IF(AND(ISNUMBER(B404),ISNUMBER(Q404),ISNUMBER(R404)),(B404-Q404-R404)*100,NA())</f>
        <v/>
      </c>
      <c r="T404" s="20">
        <f>IF(AND(ISNUMBER(B404),Settings!$B$17&gt;0),IF(ISNUMBER(INDEX($B:$B,Settings!$B$17)),(B404-INDEX($B:$B,Settings!$B$17))*100,NA()),NA())</f>
        <v/>
      </c>
      <c r="U404" s="20">
        <f>IF(AND(ISNUMBER(Q404),Settings!$B$17&gt;0),IF(ISNUMBER(INDEX($Q:$Q,Settings!$B$17)),(Q404-INDEX($Q:$Q,Settings!$B$17))*100,NA()),NA())</f>
        <v/>
      </c>
      <c r="V404" s="20">
        <f>IF(AND(ISNUMBER(R404),Settings!$B$17&gt;0),IF(ISNUMBER(INDEX($R:$R,Settings!$B$17)),(R404-INDEX($R:$R,Settings!$B$17))*100,NA()),NA())</f>
        <v/>
      </c>
      <c r="W404" s="20">
        <f>IF(AND(ISNUMBER(P404),Settings!$B$17&gt;0),IF(ISNUMBER(INDEX($P:$P,Settings!$B$17)),P404-INDEX($P:$P,Settings!$B$17),NA()),NA())</f>
        <v/>
      </c>
      <c r="X404" s="19">
        <f>IF(NOT(ISNUMBER($A404)),NA(),IF(OR($A404&lt;MIN(DKW_10Y!$A$2:$A$2918),$A404&gt;MAX(DKW_10Y!$A$2:$A$2918),Settings!$B$16&lt;MIN(DKW_10Y!$A$2:$A$2918)),NA(),(INDEX(DKW_10Y!$B$2:$B$2918,MATCH($A404,DKW_10Y!$A$2:$A$2918,1))-INDEX(DKW_10Y!$B$2:$B$2918,MATCH(Settings!$B$16,DKW_10Y!$A$2:$A$2918,1)))*100))</f>
        <v/>
      </c>
      <c r="Y404" s="19">
        <f>IF(NOT(ISNUMBER($A404)),NA(),IF(OR($A404&lt;MIN(DKW_10Y!$A$2:$A$2918),$A404&gt;MAX(DKW_10Y!$A$2:$A$2918),Settings!$B$16&lt;MIN(DKW_10Y!$A$2:$A$2918)),NA(),(INDEX(DKW_10Y!$C$2:$C$2918,MATCH($A404,DKW_10Y!$A$2:$A$2918,1))-INDEX(DKW_10Y!$C$2:$C$2918,MATCH(Settings!$B$16,DKW_10Y!$A$2:$A$2918,1)))*100))</f>
        <v/>
      </c>
      <c r="Z404" s="19">
        <f>IF(NOT(ISNUMBER($A404)),NA(),IF(OR($A404&lt;MIN(DKW_10Y!$A$2:$A$2918),$A404&gt;MAX(DKW_10Y!$A$2:$A$2918),Settings!$B$16&lt;MIN(DKW_10Y!$A$2:$A$2918)),NA(),(INDEX(DKW_10Y!$D$2:$D$2918,MATCH($A404,DKW_10Y!$A$2:$A$2918,1))-INDEX(DKW_10Y!$D$2:$D$2918,MATCH(Settings!$B$16,DKW_10Y!$A$2:$A$2918,1)))*100))</f>
        <v/>
      </c>
      <c r="AA404" s="19">
        <f>IF(NOT(ISNUMBER($A404)),NA(),IF(OR($A404&lt;MIN(DKW_10Y!$A$2:$A$2918),$A404&gt;MAX(DKW_10Y!$A$2:$A$2918),Settings!$B$16&lt;MIN(DKW_10Y!$A$2:$A$2918)),NA(),(INDEX(DKW_10Y!$E$2:$E$2918,MATCH($A404,DKW_10Y!$A$2:$A$2918,1))-INDEX(DKW_10Y!$E$2:$E$2918,MATCH(Settings!$B$16,DKW_10Y!$A$2:$A$2918,1)))*100))</f>
        <v/>
      </c>
      <c r="AB404" s="19">
        <f>IF(NOT(ISNUMBER($A404)),NA(),IF(OR($A404&lt;MIN(DKW_10Y!$A$2:$A$2918),$A404&gt;MAX(DKW_10Y!$A$2:$A$2918),Settings!$B$16&lt;MIN(DKW_10Y!$A$2:$A$2918)),NA(),(INDEX(DKW_10Y!$H$2:$H$2918,MATCH($A404,DKW_10Y!$A$2:$A$2918,1))-INDEX(DKW_10Y!$H$2:$H$2918,MATCH(Settings!$B$16,DKW_10Y!$A$2:$A$2918,1)))*100))</f>
        <v/>
      </c>
      <c r="AC404" s="18">
        <f>IF(NOT(ISNUMBER($A404)),NA(),IFERROR(1*INDEX(BBG_Data!$N$2:$N$4000,MATCH($A404,BBG_Data!$M$2:$M$4000,0)),NA()))</f>
        <v/>
      </c>
      <c r="AD404" s="18">
        <f>IF(NOT(ISNUMBER($A404)),NA(),IFERROR(1*INDEX(BBG_Data!$P$2:$P$4000,MATCH($A404,BBG_Data!$O$2:$O$4000,0)),NA()))</f>
        <v/>
      </c>
      <c r="AE404" s="18">
        <f>IF(NOT(ISNUMBER($A404)),NA(),IFERROR(1*INDEX(BBG_Data!$R$2:$R$4000,MATCH($A404,BBG_Data!$Q$2:$Q$4000,0)),NA()))</f>
        <v/>
      </c>
      <c r="AF404" s="20">
        <f>IF(AND(ISNUMBER(B404),ISNUMBER(AC404)),(B404-AC404)*100,NA())</f>
        <v/>
      </c>
      <c r="AG404" s="20">
        <f>IF(AND(ISNUMBER(AE404),ISNUMBER(AD404)),(AE404-AD404)*100,NA())</f>
        <v/>
      </c>
      <c r="AH404" s="19">
        <f>IF(NOT(ISNUMBER($A404)),NA(),IFERROR(INDEX(BBG_Data!$T$2:$T$4000,MATCH($A404,BBG_Data!$S$2:$S$4000,0))*Settings!$B$25,NA()))</f>
        <v/>
      </c>
      <c r="AI404" s="19">
        <f>IF(NOT(ISNUMBER($A404)),NA(),IFERROR(INDEX(BBG_Data!$V$2:$V$4000,MATCH($A404,BBG_Data!$U$2:$U$4000,0))*Settings!$B$25,NA()))</f>
        <v/>
      </c>
      <c r="AJ404" s="19">
        <f>IF(NOT(ISNUMBER($A404)),NA(),IFERROR(1*INDEX(BBG_Data!$X$2:$X$4000,MATCH($A404,BBG_Data!$W$2:$W$4000,0)),NA()))</f>
        <v/>
      </c>
      <c r="AK404" s="19">
        <f>IF(NOT(ISNUMBER($A404)),NA(),IFERROR(1*INDEX(BBG_Data!$Z$2:$Z$4000,MATCH($A404,BBG_Data!$Y$2:$Y$4000,0)),NA()))</f>
        <v/>
      </c>
    </row>
    <row r="405">
      <c r="A405" s="17">
        <f>IF(ISNUMBER(BBG_Data!A405),BBG_Data!A405,"")</f>
        <v/>
      </c>
      <c r="B405" s="18">
        <f>IF(AND(ISNUMBER($A405),ISNUMBER(BBG_Data!B405)),BBG_Data!B405,NA())</f>
        <v/>
      </c>
      <c r="C405" s="18">
        <f>IF(NOT(ISNUMBER($A405)),NA(),IFERROR(1*INDEX(BBG_Data!$D$2:$D$4000,MATCH($A405,BBG_Data!$C$2:$C$4000,0)),NA()))</f>
        <v/>
      </c>
      <c r="D405" s="19">
        <f>IF(NOT(ISNUMBER($A405)),NA(),IFERROR(1*INDEX(BBG_Data!$F$2:$F$4000,MATCH($A405,BBG_Data!$E$2:$E$4000,0)),NA()))</f>
        <v/>
      </c>
      <c r="E405" s="19">
        <f>IF(NOT(ISNUMBER($A405)),NA(),IFERROR(1*INDEX(BBG_Data!$H$2:$H$4000,MATCH($A405,BBG_Data!$G$2:$G$4000,0)),NA()))</f>
        <v/>
      </c>
      <c r="F405" s="20">
        <f>IF(AND(ISNUMBER(B405),ISNUMBER(B404)),IF(B405=B404,"",(B405-B404)*100),"")</f>
        <v/>
      </c>
      <c r="G405" s="20">
        <f>IF(AND(ISNUMBER(C405),ISNUMBER(C404)),IF(C405=C404,"",(C405-C404)*100),"")</f>
        <v/>
      </c>
      <c r="H405" s="20">
        <f>IF(OR(NOT(ISNUMBER($A405)),ROW()-2&lt;Settings!$B$11),NA(),IF(COUNT(OFFSET(F405,1-Settings!$B$11,0,Settings!$B$11,1))&lt;ROUNDUP(Settings!$B$11*Settings!$B$26,0),NA(),STDEV(OFFSET(F405,1-Settings!$B$11,0,Settings!$B$11,1))*SQRT(Settings!$B$13)))</f>
        <v/>
      </c>
      <c r="I405" s="20">
        <f>IF(OR(NOT(ISNUMBER($A405)),ROW()-2&lt;Settings!$B$12),NA(),IF(COUNT(OFFSET(F405,1-Settings!$B$12,0,Settings!$B$12,1))&lt;ROUNDUP(Settings!$B$12*Settings!$B$26,0),NA(),STDEV(OFFSET(F405,1-Settings!$B$12,0,Settings!$B$12,1))*SQRT(Settings!$B$13)))</f>
        <v/>
      </c>
      <c r="J405" s="20">
        <f>IF(OR(NOT(ISNUMBER($A405)),ROW()-2&lt;Settings!$B$11),NA(),IF(COUNT(OFFSET(G405,1-Settings!$B$11,0,Settings!$B$11,1))&lt;ROUNDUP(Settings!$B$11*Settings!$B$26,0),NA(),STDEV(OFFSET(G405,1-Settings!$B$11,0,Settings!$B$11,1))*SQRT(Settings!$B$13)))</f>
        <v/>
      </c>
      <c r="K405" s="20">
        <f>IF(OR(NOT(ISNUMBER($A405)),ROW()-2&lt;Settings!$B$12),NA(),IF(COUNT(OFFSET(G405,1-Settings!$B$12,0,Settings!$B$12,1))&lt;ROUNDUP(Settings!$B$12*Settings!$B$26,0),NA(),STDEV(OFFSET(G405,1-Settings!$B$12,0,Settings!$B$12,1))*SQRT(Settings!$B$13)))</f>
        <v/>
      </c>
      <c r="L405" s="20">
        <f>IF(AND(ISNUMBER(D405),ISNUMBER(H405)),D405-H405,NA())</f>
        <v/>
      </c>
      <c r="M405" s="20">
        <f>IF(AND(ISNUMBER(E405),ISNUMBER(K405)),E405-K405,NA())</f>
        <v/>
      </c>
      <c r="N405" s="20">
        <f>IF(NOT(ISNUMBER($A405)),NA(),IF(COUNT(OFFSET(G405,1,0,Settings!$B$12,1))&lt;ROUNDUP(Settings!$B$12*Settings!$B$26,0),NA(),STDEV(OFFSET(G405,1,0,Settings!$B$12,1))*SQRT(Settings!$B$13)))</f>
        <v/>
      </c>
      <c r="O405" s="20">
        <f>IF(AND(ISNUMBER(E405),ISNUMBER(N405)),E405-N405,NA())</f>
        <v/>
      </c>
      <c r="P405" s="19">
        <f>IF(NOT(ISNUMBER($A405)),NA(),IF(OR($A405&lt;MIN(KW_TP!$A$2:$A$2501),$A405&gt;MAX(KW_TP!$A$2:$A$2501)),NA(),INDEX(KW_TP!$C$2:$C$2501,MATCH($A405,KW_TP!$A$2:$A$2501,1))))</f>
        <v/>
      </c>
      <c r="Q405" s="18">
        <f>IF(NOT(ISNUMBER($A405)),NA(),IFERROR(1*INDEX(BBG_Data!$J$2:$J$4000,MATCH($A405,BBG_Data!$I$2:$I$4000,0)),NA()))</f>
        <v/>
      </c>
      <c r="R405" s="18">
        <f>IF(NOT(ISNUMBER($A405)),NA(),IFERROR(1*INDEX(BBG_Data!$L$2:$L$4000,MATCH($A405,BBG_Data!$K$2:$K$4000,0)),NA()))</f>
        <v/>
      </c>
      <c r="S405" s="20">
        <f>IF(AND(ISNUMBER(B405),ISNUMBER(Q405),ISNUMBER(R405)),(B405-Q405-R405)*100,NA())</f>
        <v/>
      </c>
      <c r="T405" s="20">
        <f>IF(AND(ISNUMBER(B405),Settings!$B$17&gt;0),IF(ISNUMBER(INDEX($B:$B,Settings!$B$17)),(B405-INDEX($B:$B,Settings!$B$17))*100,NA()),NA())</f>
        <v/>
      </c>
      <c r="U405" s="20">
        <f>IF(AND(ISNUMBER(Q405),Settings!$B$17&gt;0),IF(ISNUMBER(INDEX($Q:$Q,Settings!$B$17)),(Q405-INDEX($Q:$Q,Settings!$B$17))*100,NA()),NA())</f>
        <v/>
      </c>
      <c r="V405" s="20">
        <f>IF(AND(ISNUMBER(R405),Settings!$B$17&gt;0),IF(ISNUMBER(INDEX($R:$R,Settings!$B$17)),(R405-INDEX($R:$R,Settings!$B$17))*100,NA()),NA())</f>
        <v/>
      </c>
      <c r="W405" s="20">
        <f>IF(AND(ISNUMBER(P405),Settings!$B$17&gt;0),IF(ISNUMBER(INDEX($P:$P,Settings!$B$17)),P405-INDEX($P:$P,Settings!$B$17),NA()),NA())</f>
        <v/>
      </c>
      <c r="X405" s="19">
        <f>IF(NOT(ISNUMBER($A405)),NA(),IF(OR($A405&lt;MIN(DKW_10Y!$A$2:$A$2918),$A405&gt;MAX(DKW_10Y!$A$2:$A$2918),Settings!$B$16&lt;MIN(DKW_10Y!$A$2:$A$2918)),NA(),(INDEX(DKW_10Y!$B$2:$B$2918,MATCH($A405,DKW_10Y!$A$2:$A$2918,1))-INDEX(DKW_10Y!$B$2:$B$2918,MATCH(Settings!$B$16,DKW_10Y!$A$2:$A$2918,1)))*100))</f>
        <v/>
      </c>
      <c r="Y405" s="19">
        <f>IF(NOT(ISNUMBER($A405)),NA(),IF(OR($A405&lt;MIN(DKW_10Y!$A$2:$A$2918),$A405&gt;MAX(DKW_10Y!$A$2:$A$2918),Settings!$B$16&lt;MIN(DKW_10Y!$A$2:$A$2918)),NA(),(INDEX(DKW_10Y!$C$2:$C$2918,MATCH($A405,DKW_10Y!$A$2:$A$2918,1))-INDEX(DKW_10Y!$C$2:$C$2918,MATCH(Settings!$B$16,DKW_10Y!$A$2:$A$2918,1)))*100))</f>
        <v/>
      </c>
      <c r="Z405" s="19">
        <f>IF(NOT(ISNUMBER($A405)),NA(),IF(OR($A405&lt;MIN(DKW_10Y!$A$2:$A$2918),$A405&gt;MAX(DKW_10Y!$A$2:$A$2918),Settings!$B$16&lt;MIN(DKW_10Y!$A$2:$A$2918)),NA(),(INDEX(DKW_10Y!$D$2:$D$2918,MATCH($A405,DKW_10Y!$A$2:$A$2918,1))-INDEX(DKW_10Y!$D$2:$D$2918,MATCH(Settings!$B$16,DKW_10Y!$A$2:$A$2918,1)))*100))</f>
        <v/>
      </c>
      <c r="AA405" s="19">
        <f>IF(NOT(ISNUMBER($A405)),NA(),IF(OR($A405&lt;MIN(DKW_10Y!$A$2:$A$2918),$A405&gt;MAX(DKW_10Y!$A$2:$A$2918),Settings!$B$16&lt;MIN(DKW_10Y!$A$2:$A$2918)),NA(),(INDEX(DKW_10Y!$E$2:$E$2918,MATCH($A405,DKW_10Y!$A$2:$A$2918,1))-INDEX(DKW_10Y!$E$2:$E$2918,MATCH(Settings!$B$16,DKW_10Y!$A$2:$A$2918,1)))*100))</f>
        <v/>
      </c>
      <c r="AB405" s="19">
        <f>IF(NOT(ISNUMBER($A405)),NA(),IF(OR($A405&lt;MIN(DKW_10Y!$A$2:$A$2918),$A405&gt;MAX(DKW_10Y!$A$2:$A$2918),Settings!$B$16&lt;MIN(DKW_10Y!$A$2:$A$2918)),NA(),(INDEX(DKW_10Y!$H$2:$H$2918,MATCH($A405,DKW_10Y!$A$2:$A$2918,1))-INDEX(DKW_10Y!$H$2:$H$2918,MATCH(Settings!$B$16,DKW_10Y!$A$2:$A$2918,1)))*100))</f>
        <v/>
      </c>
      <c r="AC405" s="18">
        <f>IF(NOT(ISNUMBER($A405)),NA(),IFERROR(1*INDEX(BBG_Data!$N$2:$N$4000,MATCH($A405,BBG_Data!$M$2:$M$4000,0)),NA()))</f>
        <v/>
      </c>
      <c r="AD405" s="18">
        <f>IF(NOT(ISNUMBER($A405)),NA(),IFERROR(1*INDEX(BBG_Data!$P$2:$P$4000,MATCH($A405,BBG_Data!$O$2:$O$4000,0)),NA()))</f>
        <v/>
      </c>
      <c r="AE405" s="18">
        <f>IF(NOT(ISNUMBER($A405)),NA(),IFERROR(1*INDEX(BBG_Data!$R$2:$R$4000,MATCH($A405,BBG_Data!$Q$2:$Q$4000,0)),NA()))</f>
        <v/>
      </c>
      <c r="AF405" s="20">
        <f>IF(AND(ISNUMBER(B405),ISNUMBER(AC405)),(B405-AC405)*100,NA())</f>
        <v/>
      </c>
      <c r="AG405" s="20">
        <f>IF(AND(ISNUMBER(AE405),ISNUMBER(AD405)),(AE405-AD405)*100,NA())</f>
        <v/>
      </c>
      <c r="AH405" s="19">
        <f>IF(NOT(ISNUMBER($A405)),NA(),IFERROR(INDEX(BBG_Data!$T$2:$T$4000,MATCH($A405,BBG_Data!$S$2:$S$4000,0))*Settings!$B$25,NA()))</f>
        <v/>
      </c>
      <c r="AI405" s="19">
        <f>IF(NOT(ISNUMBER($A405)),NA(),IFERROR(INDEX(BBG_Data!$V$2:$V$4000,MATCH($A405,BBG_Data!$U$2:$U$4000,0))*Settings!$B$25,NA()))</f>
        <v/>
      </c>
      <c r="AJ405" s="19">
        <f>IF(NOT(ISNUMBER($A405)),NA(),IFERROR(1*INDEX(BBG_Data!$X$2:$X$4000,MATCH($A405,BBG_Data!$W$2:$W$4000,0)),NA()))</f>
        <v/>
      </c>
      <c r="AK405" s="19">
        <f>IF(NOT(ISNUMBER($A405)),NA(),IFERROR(1*INDEX(BBG_Data!$Z$2:$Z$4000,MATCH($A405,BBG_Data!$Y$2:$Y$4000,0)),NA()))</f>
        <v/>
      </c>
    </row>
    <row r="406">
      <c r="A406" s="17">
        <f>IF(ISNUMBER(BBG_Data!A406),BBG_Data!A406,"")</f>
        <v/>
      </c>
      <c r="B406" s="18">
        <f>IF(AND(ISNUMBER($A406),ISNUMBER(BBG_Data!B406)),BBG_Data!B406,NA())</f>
        <v/>
      </c>
      <c r="C406" s="18">
        <f>IF(NOT(ISNUMBER($A406)),NA(),IFERROR(1*INDEX(BBG_Data!$D$2:$D$4000,MATCH($A406,BBG_Data!$C$2:$C$4000,0)),NA()))</f>
        <v/>
      </c>
      <c r="D406" s="19">
        <f>IF(NOT(ISNUMBER($A406)),NA(),IFERROR(1*INDEX(BBG_Data!$F$2:$F$4000,MATCH($A406,BBG_Data!$E$2:$E$4000,0)),NA()))</f>
        <v/>
      </c>
      <c r="E406" s="19">
        <f>IF(NOT(ISNUMBER($A406)),NA(),IFERROR(1*INDEX(BBG_Data!$H$2:$H$4000,MATCH($A406,BBG_Data!$G$2:$G$4000,0)),NA()))</f>
        <v/>
      </c>
      <c r="F406" s="20">
        <f>IF(AND(ISNUMBER(B406),ISNUMBER(B405)),IF(B406=B405,"",(B406-B405)*100),"")</f>
        <v/>
      </c>
      <c r="G406" s="20">
        <f>IF(AND(ISNUMBER(C406),ISNUMBER(C405)),IF(C406=C405,"",(C406-C405)*100),"")</f>
        <v/>
      </c>
      <c r="H406" s="20">
        <f>IF(OR(NOT(ISNUMBER($A406)),ROW()-2&lt;Settings!$B$11),NA(),IF(COUNT(OFFSET(F406,1-Settings!$B$11,0,Settings!$B$11,1))&lt;ROUNDUP(Settings!$B$11*Settings!$B$26,0),NA(),STDEV(OFFSET(F406,1-Settings!$B$11,0,Settings!$B$11,1))*SQRT(Settings!$B$13)))</f>
        <v/>
      </c>
      <c r="I406" s="20">
        <f>IF(OR(NOT(ISNUMBER($A406)),ROW()-2&lt;Settings!$B$12),NA(),IF(COUNT(OFFSET(F406,1-Settings!$B$12,0,Settings!$B$12,1))&lt;ROUNDUP(Settings!$B$12*Settings!$B$26,0),NA(),STDEV(OFFSET(F406,1-Settings!$B$12,0,Settings!$B$12,1))*SQRT(Settings!$B$13)))</f>
        <v/>
      </c>
      <c r="J406" s="20">
        <f>IF(OR(NOT(ISNUMBER($A406)),ROW()-2&lt;Settings!$B$11),NA(),IF(COUNT(OFFSET(G406,1-Settings!$B$11,0,Settings!$B$11,1))&lt;ROUNDUP(Settings!$B$11*Settings!$B$26,0),NA(),STDEV(OFFSET(G406,1-Settings!$B$11,0,Settings!$B$11,1))*SQRT(Settings!$B$13)))</f>
        <v/>
      </c>
      <c r="K406" s="20">
        <f>IF(OR(NOT(ISNUMBER($A406)),ROW()-2&lt;Settings!$B$12),NA(),IF(COUNT(OFFSET(G406,1-Settings!$B$12,0,Settings!$B$12,1))&lt;ROUNDUP(Settings!$B$12*Settings!$B$26,0),NA(),STDEV(OFFSET(G406,1-Settings!$B$12,0,Settings!$B$12,1))*SQRT(Settings!$B$13)))</f>
        <v/>
      </c>
      <c r="L406" s="20">
        <f>IF(AND(ISNUMBER(D406),ISNUMBER(H406)),D406-H406,NA())</f>
        <v/>
      </c>
      <c r="M406" s="20">
        <f>IF(AND(ISNUMBER(E406),ISNUMBER(K406)),E406-K406,NA())</f>
        <v/>
      </c>
      <c r="N406" s="20">
        <f>IF(NOT(ISNUMBER($A406)),NA(),IF(COUNT(OFFSET(G406,1,0,Settings!$B$12,1))&lt;ROUNDUP(Settings!$B$12*Settings!$B$26,0),NA(),STDEV(OFFSET(G406,1,0,Settings!$B$12,1))*SQRT(Settings!$B$13)))</f>
        <v/>
      </c>
      <c r="O406" s="20">
        <f>IF(AND(ISNUMBER(E406),ISNUMBER(N406)),E406-N406,NA())</f>
        <v/>
      </c>
      <c r="P406" s="19">
        <f>IF(NOT(ISNUMBER($A406)),NA(),IF(OR($A406&lt;MIN(KW_TP!$A$2:$A$2501),$A406&gt;MAX(KW_TP!$A$2:$A$2501)),NA(),INDEX(KW_TP!$C$2:$C$2501,MATCH($A406,KW_TP!$A$2:$A$2501,1))))</f>
        <v/>
      </c>
      <c r="Q406" s="18">
        <f>IF(NOT(ISNUMBER($A406)),NA(),IFERROR(1*INDEX(BBG_Data!$J$2:$J$4000,MATCH($A406,BBG_Data!$I$2:$I$4000,0)),NA()))</f>
        <v/>
      </c>
      <c r="R406" s="18">
        <f>IF(NOT(ISNUMBER($A406)),NA(),IFERROR(1*INDEX(BBG_Data!$L$2:$L$4000,MATCH($A406,BBG_Data!$K$2:$K$4000,0)),NA()))</f>
        <v/>
      </c>
      <c r="S406" s="20">
        <f>IF(AND(ISNUMBER(B406),ISNUMBER(Q406),ISNUMBER(R406)),(B406-Q406-R406)*100,NA())</f>
        <v/>
      </c>
      <c r="T406" s="20">
        <f>IF(AND(ISNUMBER(B406),Settings!$B$17&gt;0),IF(ISNUMBER(INDEX($B:$B,Settings!$B$17)),(B406-INDEX($B:$B,Settings!$B$17))*100,NA()),NA())</f>
        <v/>
      </c>
      <c r="U406" s="20">
        <f>IF(AND(ISNUMBER(Q406),Settings!$B$17&gt;0),IF(ISNUMBER(INDEX($Q:$Q,Settings!$B$17)),(Q406-INDEX($Q:$Q,Settings!$B$17))*100,NA()),NA())</f>
        <v/>
      </c>
      <c r="V406" s="20">
        <f>IF(AND(ISNUMBER(R406),Settings!$B$17&gt;0),IF(ISNUMBER(INDEX($R:$R,Settings!$B$17)),(R406-INDEX($R:$R,Settings!$B$17))*100,NA()),NA())</f>
        <v/>
      </c>
      <c r="W406" s="20">
        <f>IF(AND(ISNUMBER(P406),Settings!$B$17&gt;0),IF(ISNUMBER(INDEX($P:$P,Settings!$B$17)),P406-INDEX($P:$P,Settings!$B$17),NA()),NA())</f>
        <v/>
      </c>
      <c r="X406" s="19">
        <f>IF(NOT(ISNUMBER($A406)),NA(),IF(OR($A406&lt;MIN(DKW_10Y!$A$2:$A$2918),$A406&gt;MAX(DKW_10Y!$A$2:$A$2918),Settings!$B$16&lt;MIN(DKW_10Y!$A$2:$A$2918)),NA(),(INDEX(DKW_10Y!$B$2:$B$2918,MATCH($A406,DKW_10Y!$A$2:$A$2918,1))-INDEX(DKW_10Y!$B$2:$B$2918,MATCH(Settings!$B$16,DKW_10Y!$A$2:$A$2918,1)))*100))</f>
        <v/>
      </c>
      <c r="Y406" s="19">
        <f>IF(NOT(ISNUMBER($A406)),NA(),IF(OR($A406&lt;MIN(DKW_10Y!$A$2:$A$2918),$A406&gt;MAX(DKW_10Y!$A$2:$A$2918),Settings!$B$16&lt;MIN(DKW_10Y!$A$2:$A$2918)),NA(),(INDEX(DKW_10Y!$C$2:$C$2918,MATCH($A406,DKW_10Y!$A$2:$A$2918,1))-INDEX(DKW_10Y!$C$2:$C$2918,MATCH(Settings!$B$16,DKW_10Y!$A$2:$A$2918,1)))*100))</f>
        <v/>
      </c>
      <c r="Z406" s="19">
        <f>IF(NOT(ISNUMBER($A406)),NA(),IF(OR($A406&lt;MIN(DKW_10Y!$A$2:$A$2918),$A406&gt;MAX(DKW_10Y!$A$2:$A$2918),Settings!$B$16&lt;MIN(DKW_10Y!$A$2:$A$2918)),NA(),(INDEX(DKW_10Y!$D$2:$D$2918,MATCH($A406,DKW_10Y!$A$2:$A$2918,1))-INDEX(DKW_10Y!$D$2:$D$2918,MATCH(Settings!$B$16,DKW_10Y!$A$2:$A$2918,1)))*100))</f>
        <v/>
      </c>
      <c r="AA406" s="19">
        <f>IF(NOT(ISNUMBER($A406)),NA(),IF(OR($A406&lt;MIN(DKW_10Y!$A$2:$A$2918),$A406&gt;MAX(DKW_10Y!$A$2:$A$2918),Settings!$B$16&lt;MIN(DKW_10Y!$A$2:$A$2918)),NA(),(INDEX(DKW_10Y!$E$2:$E$2918,MATCH($A406,DKW_10Y!$A$2:$A$2918,1))-INDEX(DKW_10Y!$E$2:$E$2918,MATCH(Settings!$B$16,DKW_10Y!$A$2:$A$2918,1)))*100))</f>
        <v/>
      </c>
      <c r="AB406" s="19">
        <f>IF(NOT(ISNUMBER($A406)),NA(),IF(OR($A406&lt;MIN(DKW_10Y!$A$2:$A$2918),$A406&gt;MAX(DKW_10Y!$A$2:$A$2918),Settings!$B$16&lt;MIN(DKW_10Y!$A$2:$A$2918)),NA(),(INDEX(DKW_10Y!$H$2:$H$2918,MATCH($A406,DKW_10Y!$A$2:$A$2918,1))-INDEX(DKW_10Y!$H$2:$H$2918,MATCH(Settings!$B$16,DKW_10Y!$A$2:$A$2918,1)))*100))</f>
        <v/>
      </c>
      <c r="AC406" s="18">
        <f>IF(NOT(ISNUMBER($A406)),NA(),IFERROR(1*INDEX(BBG_Data!$N$2:$N$4000,MATCH($A406,BBG_Data!$M$2:$M$4000,0)),NA()))</f>
        <v/>
      </c>
      <c r="AD406" s="18">
        <f>IF(NOT(ISNUMBER($A406)),NA(),IFERROR(1*INDEX(BBG_Data!$P$2:$P$4000,MATCH($A406,BBG_Data!$O$2:$O$4000,0)),NA()))</f>
        <v/>
      </c>
      <c r="AE406" s="18">
        <f>IF(NOT(ISNUMBER($A406)),NA(),IFERROR(1*INDEX(BBG_Data!$R$2:$R$4000,MATCH($A406,BBG_Data!$Q$2:$Q$4000,0)),NA()))</f>
        <v/>
      </c>
      <c r="AF406" s="20">
        <f>IF(AND(ISNUMBER(B406),ISNUMBER(AC406)),(B406-AC406)*100,NA())</f>
        <v/>
      </c>
      <c r="AG406" s="20">
        <f>IF(AND(ISNUMBER(AE406),ISNUMBER(AD406)),(AE406-AD406)*100,NA())</f>
        <v/>
      </c>
      <c r="AH406" s="19">
        <f>IF(NOT(ISNUMBER($A406)),NA(),IFERROR(INDEX(BBG_Data!$T$2:$T$4000,MATCH($A406,BBG_Data!$S$2:$S$4000,0))*Settings!$B$25,NA()))</f>
        <v/>
      </c>
      <c r="AI406" s="19">
        <f>IF(NOT(ISNUMBER($A406)),NA(),IFERROR(INDEX(BBG_Data!$V$2:$V$4000,MATCH($A406,BBG_Data!$U$2:$U$4000,0))*Settings!$B$25,NA()))</f>
        <v/>
      </c>
      <c r="AJ406" s="19">
        <f>IF(NOT(ISNUMBER($A406)),NA(),IFERROR(1*INDEX(BBG_Data!$X$2:$X$4000,MATCH($A406,BBG_Data!$W$2:$W$4000,0)),NA()))</f>
        <v/>
      </c>
      <c r="AK406" s="19">
        <f>IF(NOT(ISNUMBER($A406)),NA(),IFERROR(1*INDEX(BBG_Data!$Z$2:$Z$4000,MATCH($A406,BBG_Data!$Y$2:$Y$4000,0)),NA()))</f>
        <v/>
      </c>
    </row>
    <row r="407">
      <c r="A407" s="17">
        <f>IF(ISNUMBER(BBG_Data!A407),BBG_Data!A407,"")</f>
        <v/>
      </c>
      <c r="B407" s="18">
        <f>IF(AND(ISNUMBER($A407),ISNUMBER(BBG_Data!B407)),BBG_Data!B407,NA())</f>
        <v/>
      </c>
      <c r="C407" s="18">
        <f>IF(NOT(ISNUMBER($A407)),NA(),IFERROR(1*INDEX(BBG_Data!$D$2:$D$4000,MATCH($A407,BBG_Data!$C$2:$C$4000,0)),NA()))</f>
        <v/>
      </c>
      <c r="D407" s="19">
        <f>IF(NOT(ISNUMBER($A407)),NA(),IFERROR(1*INDEX(BBG_Data!$F$2:$F$4000,MATCH($A407,BBG_Data!$E$2:$E$4000,0)),NA()))</f>
        <v/>
      </c>
      <c r="E407" s="19">
        <f>IF(NOT(ISNUMBER($A407)),NA(),IFERROR(1*INDEX(BBG_Data!$H$2:$H$4000,MATCH($A407,BBG_Data!$G$2:$G$4000,0)),NA()))</f>
        <v/>
      </c>
      <c r="F407" s="20">
        <f>IF(AND(ISNUMBER(B407),ISNUMBER(B406)),IF(B407=B406,"",(B407-B406)*100),"")</f>
        <v/>
      </c>
      <c r="G407" s="20">
        <f>IF(AND(ISNUMBER(C407),ISNUMBER(C406)),IF(C407=C406,"",(C407-C406)*100),"")</f>
        <v/>
      </c>
      <c r="H407" s="20">
        <f>IF(OR(NOT(ISNUMBER($A407)),ROW()-2&lt;Settings!$B$11),NA(),IF(COUNT(OFFSET(F407,1-Settings!$B$11,0,Settings!$B$11,1))&lt;ROUNDUP(Settings!$B$11*Settings!$B$26,0),NA(),STDEV(OFFSET(F407,1-Settings!$B$11,0,Settings!$B$11,1))*SQRT(Settings!$B$13)))</f>
        <v/>
      </c>
      <c r="I407" s="20">
        <f>IF(OR(NOT(ISNUMBER($A407)),ROW()-2&lt;Settings!$B$12),NA(),IF(COUNT(OFFSET(F407,1-Settings!$B$12,0,Settings!$B$12,1))&lt;ROUNDUP(Settings!$B$12*Settings!$B$26,0),NA(),STDEV(OFFSET(F407,1-Settings!$B$12,0,Settings!$B$12,1))*SQRT(Settings!$B$13)))</f>
        <v/>
      </c>
      <c r="J407" s="20">
        <f>IF(OR(NOT(ISNUMBER($A407)),ROW()-2&lt;Settings!$B$11),NA(),IF(COUNT(OFFSET(G407,1-Settings!$B$11,0,Settings!$B$11,1))&lt;ROUNDUP(Settings!$B$11*Settings!$B$26,0),NA(),STDEV(OFFSET(G407,1-Settings!$B$11,0,Settings!$B$11,1))*SQRT(Settings!$B$13)))</f>
        <v/>
      </c>
      <c r="K407" s="20">
        <f>IF(OR(NOT(ISNUMBER($A407)),ROW()-2&lt;Settings!$B$12),NA(),IF(COUNT(OFFSET(G407,1-Settings!$B$12,0,Settings!$B$12,1))&lt;ROUNDUP(Settings!$B$12*Settings!$B$26,0),NA(),STDEV(OFFSET(G407,1-Settings!$B$12,0,Settings!$B$12,1))*SQRT(Settings!$B$13)))</f>
        <v/>
      </c>
      <c r="L407" s="20">
        <f>IF(AND(ISNUMBER(D407),ISNUMBER(H407)),D407-H407,NA())</f>
        <v/>
      </c>
      <c r="M407" s="20">
        <f>IF(AND(ISNUMBER(E407),ISNUMBER(K407)),E407-K407,NA())</f>
        <v/>
      </c>
      <c r="N407" s="20">
        <f>IF(NOT(ISNUMBER($A407)),NA(),IF(COUNT(OFFSET(G407,1,0,Settings!$B$12,1))&lt;ROUNDUP(Settings!$B$12*Settings!$B$26,0),NA(),STDEV(OFFSET(G407,1,0,Settings!$B$12,1))*SQRT(Settings!$B$13)))</f>
        <v/>
      </c>
      <c r="O407" s="20">
        <f>IF(AND(ISNUMBER(E407),ISNUMBER(N407)),E407-N407,NA())</f>
        <v/>
      </c>
      <c r="P407" s="19">
        <f>IF(NOT(ISNUMBER($A407)),NA(),IF(OR($A407&lt;MIN(KW_TP!$A$2:$A$2501),$A407&gt;MAX(KW_TP!$A$2:$A$2501)),NA(),INDEX(KW_TP!$C$2:$C$2501,MATCH($A407,KW_TP!$A$2:$A$2501,1))))</f>
        <v/>
      </c>
      <c r="Q407" s="18">
        <f>IF(NOT(ISNUMBER($A407)),NA(),IFERROR(1*INDEX(BBG_Data!$J$2:$J$4000,MATCH($A407,BBG_Data!$I$2:$I$4000,0)),NA()))</f>
        <v/>
      </c>
      <c r="R407" s="18">
        <f>IF(NOT(ISNUMBER($A407)),NA(),IFERROR(1*INDEX(BBG_Data!$L$2:$L$4000,MATCH($A407,BBG_Data!$K$2:$K$4000,0)),NA()))</f>
        <v/>
      </c>
      <c r="S407" s="20">
        <f>IF(AND(ISNUMBER(B407),ISNUMBER(Q407),ISNUMBER(R407)),(B407-Q407-R407)*100,NA())</f>
        <v/>
      </c>
      <c r="T407" s="20">
        <f>IF(AND(ISNUMBER(B407),Settings!$B$17&gt;0),IF(ISNUMBER(INDEX($B:$B,Settings!$B$17)),(B407-INDEX($B:$B,Settings!$B$17))*100,NA()),NA())</f>
        <v/>
      </c>
      <c r="U407" s="20">
        <f>IF(AND(ISNUMBER(Q407),Settings!$B$17&gt;0),IF(ISNUMBER(INDEX($Q:$Q,Settings!$B$17)),(Q407-INDEX($Q:$Q,Settings!$B$17))*100,NA()),NA())</f>
        <v/>
      </c>
      <c r="V407" s="20">
        <f>IF(AND(ISNUMBER(R407),Settings!$B$17&gt;0),IF(ISNUMBER(INDEX($R:$R,Settings!$B$17)),(R407-INDEX($R:$R,Settings!$B$17))*100,NA()),NA())</f>
        <v/>
      </c>
      <c r="W407" s="20">
        <f>IF(AND(ISNUMBER(P407),Settings!$B$17&gt;0),IF(ISNUMBER(INDEX($P:$P,Settings!$B$17)),P407-INDEX($P:$P,Settings!$B$17),NA()),NA())</f>
        <v/>
      </c>
      <c r="X407" s="19">
        <f>IF(NOT(ISNUMBER($A407)),NA(),IF(OR($A407&lt;MIN(DKW_10Y!$A$2:$A$2918),$A407&gt;MAX(DKW_10Y!$A$2:$A$2918),Settings!$B$16&lt;MIN(DKW_10Y!$A$2:$A$2918)),NA(),(INDEX(DKW_10Y!$B$2:$B$2918,MATCH($A407,DKW_10Y!$A$2:$A$2918,1))-INDEX(DKW_10Y!$B$2:$B$2918,MATCH(Settings!$B$16,DKW_10Y!$A$2:$A$2918,1)))*100))</f>
        <v/>
      </c>
      <c r="Y407" s="19">
        <f>IF(NOT(ISNUMBER($A407)),NA(),IF(OR($A407&lt;MIN(DKW_10Y!$A$2:$A$2918),$A407&gt;MAX(DKW_10Y!$A$2:$A$2918),Settings!$B$16&lt;MIN(DKW_10Y!$A$2:$A$2918)),NA(),(INDEX(DKW_10Y!$C$2:$C$2918,MATCH($A407,DKW_10Y!$A$2:$A$2918,1))-INDEX(DKW_10Y!$C$2:$C$2918,MATCH(Settings!$B$16,DKW_10Y!$A$2:$A$2918,1)))*100))</f>
        <v/>
      </c>
      <c r="Z407" s="19">
        <f>IF(NOT(ISNUMBER($A407)),NA(),IF(OR($A407&lt;MIN(DKW_10Y!$A$2:$A$2918),$A407&gt;MAX(DKW_10Y!$A$2:$A$2918),Settings!$B$16&lt;MIN(DKW_10Y!$A$2:$A$2918)),NA(),(INDEX(DKW_10Y!$D$2:$D$2918,MATCH($A407,DKW_10Y!$A$2:$A$2918,1))-INDEX(DKW_10Y!$D$2:$D$2918,MATCH(Settings!$B$16,DKW_10Y!$A$2:$A$2918,1)))*100))</f>
        <v/>
      </c>
      <c r="AA407" s="19">
        <f>IF(NOT(ISNUMBER($A407)),NA(),IF(OR($A407&lt;MIN(DKW_10Y!$A$2:$A$2918),$A407&gt;MAX(DKW_10Y!$A$2:$A$2918),Settings!$B$16&lt;MIN(DKW_10Y!$A$2:$A$2918)),NA(),(INDEX(DKW_10Y!$E$2:$E$2918,MATCH($A407,DKW_10Y!$A$2:$A$2918,1))-INDEX(DKW_10Y!$E$2:$E$2918,MATCH(Settings!$B$16,DKW_10Y!$A$2:$A$2918,1)))*100))</f>
        <v/>
      </c>
      <c r="AB407" s="19">
        <f>IF(NOT(ISNUMBER($A407)),NA(),IF(OR($A407&lt;MIN(DKW_10Y!$A$2:$A$2918),$A407&gt;MAX(DKW_10Y!$A$2:$A$2918),Settings!$B$16&lt;MIN(DKW_10Y!$A$2:$A$2918)),NA(),(INDEX(DKW_10Y!$H$2:$H$2918,MATCH($A407,DKW_10Y!$A$2:$A$2918,1))-INDEX(DKW_10Y!$H$2:$H$2918,MATCH(Settings!$B$16,DKW_10Y!$A$2:$A$2918,1)))*100))</f>
        <v/>
      </c>
      <c r="AC407" s="18">
        <f>IF(NOT(ISNUMBER($A407)),NA(),IFERROR(1*INDEX(BBG_Data!$N$2:$N$4000,MATCH($A407,BBG_Data!$M$2:$M$4000,0)),NA()))</f>
        <v/>
      </c>
      <c r="AD407" s="18">
        <f>IF(NOT(ISNUMBER($A407)),NA(),IFERROR(1*INDEX(BBG_Data!$P$2:$P$4000,MATCH($A407,BBG_Data!$O$2:$O$4000,0)),NA()))</f>
        <v/>
      </c>
      <c r="AE407" s="18">
        <f>IF(NOT(ISNUMBER($A407)),NA(),IFERROR(1*INDEX(BBG_Data!$R$2:$R$4000,MATCH($A407,BBG_Data!$Q$2:$Q$4000,0)),NA()))</f>
        <v/>
      </c>
      <c r="AF407" s="20">
        <f>IF(AND(ISNUMBER(B407),ISNUMBER(AC407)),(B407-AC407)*100,NA())</f>
        <v/>
      </c>
      <c r="AG407" s="20">
        <f>IF(AND(ISNUMBER(AE407),ISNUMBER(AD407)),(AE407-AD407)*100,NA())</f>
        <v/>
      </c>
      <c r="AH407" s="19">
        <f>IF(NOT(ISNUMBER($A407)),NA(),IFERROR(INDEX(BBG_Data!$T$2:$T$4000,MATCH($A407,BBG_Data!$S$2:$S$4000,0))*Settings!$B$25,NA()))</f>
        <v/>
      </c>
      <c r="AI407" s="19">
        <f>IF(NOT(ISNUMBER($A407)),NA(),IFERROR(INDEX(BBG_Data!$V$2:$V$4000,MATCH($A407,BBG_Data!$U$2:$U$4000,0))*Settings!$B$25,NA()))</f>
        <v/>
      </c>
      <c r="AJ407" s="19">
        <f>IF(NOT(ISNUMBER($A407)),NA(),IFERROR(1*INDEX(BBG_Data!$X$2:$X$4000,MATCH($A407,BBG_Data!$W$2:$W$4000,0)),NA()))</f>
        <v/>
      </c>
      <c r="AK407" s="19">
        <f>IF(NOT(ISNUMBER($A407)),NA(),IFERROR(1*INDEX(BBG_Data!$Z$2:$Z$4000,MATCH($A407,BBG_Data!$Y$2:$Y$4000,0)),NA()))</f>
        <v/>
      </c>
    </row>
    <row r="408">
      <c r="A408" s="17">
        <f>IF(ISNUMBER(BBG_Data!A408),BBG_Data!A408,"")</f>
        <v/>
      </c>
      <c r="B408" s="18">
        <f>IF(AND(ISNUMBER($A408),ISNUMBER(BBG_Data!B408)),BBG_Data!B408,NA())</f>
        <v/>
      </c>
      <c r="C408" s="18">
        <f>IF(NOT(ISNUMBER($A408)),NA(),IFERROR(1*INDEX(BBG_Data!$D$2:$D$4000,MATCH($A408,BBG_Data!$C$2:$C$4000,0)),NA()))</f>
        <v/>
      </c>
      <c r="D408" s="19">
        <f>IF(NOT(ISNUMBER($A408)),NA(),IFERROR(1*INDEX(BBG_Data!$F$2:$F$4000,MATCH($A408,BBG_Data!$E$2:$E$4000,0)),NA()))</f>
        <v/>
      </c>
      <c r="E408" s="19">
        <f>IF(NOT(ISNUMBER($A408)),NA(),IFERROR(1*INDEX(BBG_Data!$H$2:$H$4000,MATCH($A408,BBG_Data!$G$2:$G$4000,0)),NA()))</f>
        <v/>
      </c>
      <c r="F408" s="20">
        <f>IF(AND(ISNUMBER(B408),ISNUMBER(B407)),IF(B408=B407,"",(B408-B407)*100),"")</f>
        <v/>
      </c>
      <c r="G408" s="20">
        <f>IF(AND(ISNUMBER(C408),ISNUMBER(C407)),IF(C408=C407,"",(C408-C407)*100),"")</f>
        <v/>
      </c>
      <c r="H408" s="20">
        <f>IF(OR(NOT(ISNUMBER($A408)),ROW()-2&lt;Settings!$B$11),NA(),IF(COUNT(OFFSET(F408,1-Settings!$B$11,0,Settings!$B$11,1))&lt;ROUNDUP(Settings!$B$11*Settings!$B$26,0),NA(),STDEV(OFFSET(F408,1-Settings!$B$11,0,Settings!$B$11,1))*SQRT(Settings!$B$13)))</f>
        <v/>
      </c>
      <c r="I408" s="20">
        <f>IF(OR(NOT(ISNUMBER($A408)),ROW()-2&lt;Settings!$B$12),NA(),IF(COUNT(OFFSET(F408,1-Settings!$B$12,0,Settings!$B$12,1))&lt;ROUNDUP(Settings!$B$12*Settings!$B$26,0),NA(),STDEV(OFFSET(F408,1-Settings!$B$12,0,Settings!$B$12,1))*SQRT(Settings!$B$13)))</f>
        <v/>
      </c>
      <c r="J408" s="20">
        <f>IF(OR(NOT(ISNUMBER($A408)),ROW()-2&lt;Settings!$B$11),NA(),IF(COUNT(OFFSET(G408,1-Settings!$B$11,0,Settings!$B$11,1))&lt;ROUNDUP(Settings!$B$11*Settings!$B$26,0),NA(),STDEV(OFFSET(G408,1-Settings!$B$11,0,Settings!$B$11,1))*SQRT(Settings!$B$13)))</f>
        <v/>
      </c>
      <c r="K408" s="20">
        <f>IF(OR(NOT(ISNUMBER($A408)),ROW()-2&lt;Settings!$B$12),NA(),IF(COUNT(OFFSET(G408,1-Settings!$B$12,0,Settings!$B$12,1))&lt;ROUNDUP(Settings!$B$12*Settings!$B$26,0),NA(),STDEV(OFFSET(G408,1-Settings!$B$12,0,Settings!$B$12,1))*SQRT(Settings!$B$13)))</f>
        <v/>
      </c>
      <c r="L408" s="20">
        <f>IF(AND(ISNUMBER(D408),ISNUMBER(H408)),D408-H408,NA())</f>
        <v/>
      </c>
      <c r="M408" s="20">
        <f>IF(AND(ISNUMBER(E408),ISNUMBER(K408)),E408-K408,NA())</f>
        <v/>
      </c>
      <c r="N408" s="20">
        <f>IF(NOT(ISNUMBER($A408)),NA(),IF(COUNT(OFFSET(G408,1,0,Settings!$B$12,1))&lt;ROUNDUP(Settings!$B$12*Settings!$B$26,0),NA(),STDEV(OFFSET(G408,1,0,Settings!$B$12,1))*SQRT(Settings!$B$13)))</f>
        <v/>
      </c>
      <c r="O408" s="20">
        <f>IF(AND(ISNUMBER(E408),ISNUMBER(N408)),E408-N408,NA())</f>
        <v/>
      </c>
      <c r="P408" s="19">
        <f>IF(NOT(ISNUMBER($A408)),NA(),IF(OR($A408&lt;MIN(KW_TP!$A$2:$A$2501),$A408&gt;MAX(KW_TP!$A$2:$A$2501)),NA(),INDEX(KW_TP!$C$2:$C$2501,MATCH($A408,KW_TP!$A$2:$A$2501,1))))</f>
        <v/>
      </c>
      <c r="Q408" s="18">
        <f>IF(NOT(ISNUMBER($A408)),NA(),IFERROR(1*INDEX(BBG_Data!$J$2:$J$4000,MATCH($A408,BBG_Data!$I$2:$I$4000,0)),NA()))</f>
        <v/>
      </c>
      <c r="R408" s="18">
        <f>IF(NOT(ISNUMBER($A408)),NA(),IFERROR(1*INDEX(BBG_Data!$L$2:$L$4000,MATCH($A408,BBG_Data!$K$2:$K$4000,0)),NA()))</f>
        <v/>
      </c>
      <c r="S408" s="20">
        <f>IF(AND(ISNUMBER(B408),ISNUMBER(Q408),ISNUMBER(R408)),(B408-Q408-R408)*100,NA())</f>
        <v/>
      </c>
      <c r="T408" s="20">
        <f>IF(AND(ISNUMBER(B408),Settings!$B$17&gt;0),IF(ISNUMBER(INDEX($B:$B,Settings!$B$17)),(B408-INDEX($B:$B,Settings!$B$17))*100,NA()),NA())</f>
        <v/>
      </c>
      <c r="U408" s="20">
        <f>IF(AND(ISNUMBER(Q408),Settings!$B$17&gt;0),IF(ISNUMBER(INDEX($Q:$Q,Settings!$B$17)),(Q408-INDEX($Q:$Q,Settings!$B$17))*100,NA()),NA())</f>
        <v/>
      </c>
      <c r="V408" s="20">
        <f>IF(AND(ISNUMBER(R408),Settings!$B$17&gt;0),IF(ISNUMBER(INDEX($R:$R,Settings!$B$17)),(R408-INDEX($R:$R,Settings!$B$17))*100,NA()),NA())</f>
        <v/>
      </c>
      <c r="W408" s="20">
        <f>IF(AND(ISNUMBER(P408),Settings!$B$17&gt;0),IF(ISNUMBER(INDEX($P:$P,Settings!$B$17)),P408-INDEX($P:$P,Settings!$B$17),NA()),NA())</f>
        <v/>
      </c>
      <c r="X408" s="19">
        <f>IF(NOT(ISNUMBER($A408)),NA(),IF(OR($A408&lt;MIN(DKW_10Y!$A$2:$A$2918),$A408&gt;MAX(DKW_10Y!$A$2:$A$2918),Settings!$B$16&lt;MIN(DKW_10Y!$A$2:$A$2918)),NA(),(INDEX(DKW_10Y!$B$2:$B$2918,MATCH($A408,DKW_10Y!$A$2:$A$2918,1))-INDEX(DKW_10Y!$B$2:$B$2918,MATCH(Settings!$B$16,DKW_10Y!$A$2:$A$2918,1)))*100))</f>
        <v/>
      </c>
      <c r="Y408" s="19">
        <f>IF(NOT(ISNUMBER($A408)),NA(),IF(OR($A408&lt;MIN(DKW_10Y!$A$2:$A$2918),$A408&gt;MAX(DKW_10Y!$A$2:$A$2918),Settings!$B$16&lt;MIN(DKW_10Y!$A$2:$A$2918)),NA(),(INDEX(DKW_10Y!$C$2:$C$2918,MATCH($A408,DKW_10Y!$A$2:$A$2918,1))-INDEX(DKW_10Y!$C$2:$C$2918,MATCH(Settings!$B$16,DKW_10Y!$A$2:$A$2918,1)))*100))</f>
        <v/>
      </c>
      <c r="Z408" s="19">
        <f>IF(NOT(ISNUMBER($A408)),NA(),IF(OR($A408&lt;MIN(DKW_10Y!$A$2:$A$2918),$A408&gt;MAX(DKW_10Y!$A$2:$A$2918),Settings!$B$16&lt;MIN(DKW_10Y!$A$2:$A$2918)),NA(),(INDEX(DKW_10Y!$D$2:$D$2918,MATCH($A408,DKW_10Y!$A$2:$A$2918,1))-INDEX(DKW_10Y!$D$2:$D$2918,MATCH(Settings!$B$16,DKW_10Y!$A$2:$A$2918,1)))*100))</f>
        <v/>
      </c>
      <c r="AA408" s="19">
        <f>IF(NOT(ISNUMBER($A408)),NA(),IF(OR($A408&lt;MIN(DKW_10Y!$A$2:$A$2918),$A408&gt;MAX(DKW_10Y!$A$2:$A$2918),Settings!$B$16&lt;MIN(DKW_10Y!$A$2:$A$2918)),NA(),(INDEX(DKW_10Y!$E$2:$E$2918,MATCH($A408,DKW_10Y!$A$2:$A$2918,1))-INDEX(DKW_10Y!$E$2:$E$2918,MATCH(Settings!$B$16,DKW_10Y!$A$2:$A$2918,1)))*100))</f>
        <v/>
      </c>
      <c r="AB408" s="19">
        <f>IF(NOT(ISNUMBER($A408)),NA(),IF(OR($A408&lt;MIN(DKW_10Y!$A$2:$A$2918),$A408&gt;MAX(DKW_10Y!$A$2:$A$2918),Settings!$B$16&lt;MIN(DKW_10Y!$A$2:$A$2918)),NA(),(INDEX(DKW_10Y!$H$2:$H$2918,MATCH($A408,DKW_10Y!$A$2:$A$2918,1))-INDEX(DKW_10Y!$H$2:$H$2918,MATCH(Settings!$B$16,DKW_10Y!$A$2:$A$2918,1)))*100))</f>
        <v/>
      </c>
      <c r="AC408" s="18">
        <f>IF(NOT(ISNUMBER($A408)),NA(),IFERROR(1*INDEX(BBG_Data!$N$2:$N$4000,MATCH($A408,BBG_Data!$M$2:$M$4000,0)),NA()))</f>
        <v/>
      </c>
      <c r="AD408" s="18">
        <f>IF(NOT(ISNUMBER($A408)),NA(),IFERROR(1*INDEX(BBG_Data!$P$2:$P$4000,MATCH($A408,BBG_Data!$O$2:$O$4000,0)),NA()))</f>
        <v/>
      </c>
      <c r="AE408" s="18">
        <f>IF(NOT(ISNUMBER($A408)),NA(),IFERROR(1*INDEX(BBG_Data!$R$2:$R$4000,MATCH($A408,BBG_Data!$Q$2:$Q$4000,0)),NA()))</f>
        <v/>
      </c>
      <c r="AF408" s="20">
        <f>IF(AND(ISNUMBER(B408),ISNUMBER(AC408)),(B408-AC408)*100,NA())</f>
        <v/>
      </c>
      <c r="AG408" s="20">
        <f>IF(AND(ISNUMBER(AE408),ISNUMBER(AD408)),(AE408-AD408)*100,NA())</f>
        <v/>
      </c>
      <c r="AH408" s="19">
        <f>IF(NOT(ISNUMBER($A408)),NA(),IFERROR(INDEX(BBG_Data!$T$2:$T$4000,MATCH($A408,BBG_Data!$S$2:$S$4000,0))*Settings!$B$25,NA()))</f>
        <v/>
      </c>
      <c r="AI408" s="19">
        <f>IF(NOT(ISNUMBER($A408)),NA(),IFERROR(INDEX(BBG_Data!$V$2:$V$4000,MATCH($A408,BBG_Data!$U$2:$U$4000,0))*Settings!$B$25,NA()))</f>
        <v/>
      </c>
      <c r="AJ408" s="19">
        <f>IF(NOT(ISNUMBER($A408)),NA(),IFERROR(1*INDEX(BBG_Data!$X$2:$X$4000,MATCH($A408,BBG_Data!$W$2:$W$4000,0)),NA()))</f>
        <v/>
      </c>
      <c r="AK408" s="19">
        <f>IF(NOT(ISNUMBER($A408)),NA(),IFERROR(1*INDEX(BBG_Data!$Z$2:$Z$4000,MATCH($A408,BBG_Data!$Y$2:$Y$4000,0)),NA()))</f>
        <v/>
      </c>
    </row>
    <row r="409">
      <c r="A409" s="17">
        <f>IF(ISNUMBER(BBG_Data!A409),BBG_Data!A409,"")</f>
        <v/>
      </c>
      <c r="B409" s="18">
        <f>IF(AND(ISNUMBER($A409),ISNUMBER(BBG_Data!B409)),BBG_Data!B409,NA())</f>
        <v/>
      </c>
      <c r="C409" s="18">
        <f>IF(NOT(ISNUMBER($A409)),NA(),IFERROR(1*INDEX(BBG_Data!$D$2:$D$4000,MATCH($A409,BBG_Data!$C$2:$C$4000,0)),NA()))</f>
        <v/>
      </c>
      <c r="D409" s="19">
        <f>IF(NOT(ISNUMBER($A409)),NA(),IFERROR(1*INDEX(BBG_Data!$F$2:$F$4000,MATCH($A409,BBG_Data!$E$2:$E$4000,0)),NA()))</f>
        <v/>
      </c>
      <c r="E409" s="19">
        <f>IF(NOT(ISNUMBER($A409)),NA(),IFERROR(1*INDEX(BBG_Data!$H$2:$H$4000,MATCH($A409,BBG_Data!$G$2:$G$4000,0)),NA()))</f>
        <v/>
      </c>
      <c r="F409" s="20">
        <f>IF(AND(ISNUMBER(B409),ISNUMBER(B408)),IF(B409=B408,"",(B409-B408)*100),"")</f>
        <v/>
      </c>
      <c r="G409" s="20">
        <f>IF(AND(ISNUMBER(C409),ISNUMBER(C408)),IF(C409=C408,"",(C409-C408)*100),"")</f>
        <v/>
      </c>
      <c r="H409" s="20">
        <f>IF(OR(NOT(ISNUMBER($A409)),ROW()-2&lt;Settings!$B$11),NA(),IF(COUNT(OFFSET(F409,1-Settings!$B$11,0,Settings!$B$11,1))&lt;ROUNDUP(Settings!$B$11*Settings!$B$26,0),NA(),STDEV(OFFSET(F409,1-Settings!$B$11,0,Settings!$B$11,1))*SQRT(Settings!$B$13)))</f>
        <v/>
      </c>
      <c r="I409" s="20">
        <f>IF(OR(NOT(ISNUMBER($A409)),ROW()-2&lt;Settings!$B$12),NA(),IF(COUNT(OFFSET(F409,1-Settings!$B$12,0,Settings!$B$12,1))&lt;ROUNDUP(Settings!$B$12*Settings!$B$26,0),NA(),STDEV(OFFSET(F409,1-Settings!$B$12,0,Settings!$B$12,1))*SQRT(Settings!$B$13)))</f>
        <v/>
      </c>
      <c r="J409" s="20">
        <f>IF(OR(NOT(ISNUMBER($A409)),ROW()-2&lt;Settings!$B$11),NA(),IF(COUNT(OFFSET(G409,1-Settings!$B$11,0,Settings!$B$11,1))&lt;ROUNDUP(Settings!$B$11*Settings!$B$26,0),NA(),STDEV(OFFSET(G409,1-Settings!$B$11,0,Settings!$B$11,1))*SQRT(Settings!$B$13)))</f>
        <v/>
      </c>
      <c r="K409" s="20">
        <f>IF(OR(NOT(ISNUMBER($A409)),ROW()-2&lt;Settings!$B$12),NA(),IF(COUNT(OFFSET(G409,1-Settings!$B$12,0,Settings!$B$12,1))&lt;ROUNDUP(Settings!$B$12*Settings!$B$26,0),NA(),STDEV(OFFSET(G409,1-Settings!$B$12,0,Settings!$B$12,1))*SQRT(Settings!$B$13)))</f>
        <v/>
      </c>
      <c r="L409" s="20">
        <f>IF(AND(ISNUMBER(D409),ISNUMBER(H409)),D409-H409,NA())</f>
        <v/>
      </c>
      <c r="M409" s="20">
        <f>IF(AND(ISNUMBER(E409),ISNUMBER(K409)),E409-K409,NA())</f>
        <v/>
      </c>
      <c r="N409" s="20">
        <f>IF(NOT(ISNUMBER($A409)),NA(),IF(COUNT(OFFSET(G409,1,0,Settings!$B$12,1))&lt;ROUNDUP(Settings!$B$12*Settings!$B$26,0),NA(),STDEV(OFFSET(G409,1,0,Settings!$B$12,1))*SQRT(Settings!$B$13)))</f>
        <v/>
      </c>
      <c r="O409" s="20">
        <f>IF(AND(ISNUMBER(E409),ISNUMBER(N409)),E409-N409,NA())</f>
        <v/>
      </c>
      <c r="P409" s="19">
        <f>IF(NOT(ISNUMBER($A409)),NA(),IF(OR($A409&lt;MIN(KW_TP!$A$2:$A$2501),$A409&gt;MAX(KW_TP!$A$2:$A$2501)),NA(),INDEX(KW_TP!$C$2:$C$2501,MATCH($A409,KW_TP!$A$2:$A$2501,1))))</f>
        <v/>
      </c>
      <c r="Q409" s="18">
        <f>IF(NOT(ISNUMBER($A409)),NA(),IFERROR(1*INDEX(BBG_Data!$J$2:$J$4000,MATCH($A409,BBG_Data!$I$2:$I$4000,0)),NA()))</f>
        <v/>
      </c>
      <c r="R409" s="18">
        <f>IF(NOT(ISNUMBER($A409)),NA(),IFERROR(1*INDEX(BBG_Data!$L$2:$L$4000,MATCH($A409,BBG_Data!$K$2:$K$4000,0)),NA()))</f>
        <v/>
      </c>
      <c r="S409" s="20">
        <f>IF(AND(ISNUMBER(B409),ISNUMBER(Q409),ISNUMBER(R409)),(B409-Q409-R409)*100,NA())</f>
        <v/>
      </c>
      <c r="T409" s="20">
        <f>IF(AND(ISNUMBER(B409),Settings!$B$17&gt;0),IF(ISNUMBER(INDEX($B:$B,Settings!$B$17)),(B409-INDEX($B:$B,Settings!$B$17))*100,NA()),NA())</f>
        <v/>
      </c>
      <c r="U409" s="20">
        <f>IF(AND(ISNUMBER(Q409),Settings!$B$17&gt;0),IF(ISNUMBER(INDEX($Q:$Q,Settings!$B$17)),(Q409-INDEX($Q:$Q,Settings!$B$17))*100,NA()),NA())</f>
        <v/>
      </c>
      <c r="V409" s="20">
        <f>IF(AND(ISNUMBER(R409),Settings!$B$17&gt;0),IF(ISNUMBER(INDEX($R:$R,Settings!$B$17)),(R409-INDEX($R:$R,Settings!$B$17))*100,NA()),NA())</f>
        <v/>
      </c>
      <c r="W409" s="20">
        <f>IF(AND(ISNUMBER(P409),Settings!$B$17&gt;0),IF(ISNUMBER(INDEX($P:$P,Settings!$B$17)),P409-INDEX($P:$P,Settings!$B$17),NA()),NA())</f>
        <v/>
      </c>
      <c r="X409" s="19">
        <f>IF(NOT(ISNUMBER($A409)),NA(),IF(OR($A409&lt;MIN(DKW_10Y!$A$2:$A$2918),$A409&gt;MAX(DKW_10Y!$A$2:$A$2918),Settings!$B$16&lt;MIN(DKW_10Y!$A$2:$A$2918)),NA(),(INDEX(DKW_10Y!$B$2:$B$2918,MATCH($A409,DKW_10Y!$A$2:$A$2918,1))-INDEX(DKW_10Y!$B$2:$B$2918,MATCH(Settings!$B$16,DKW_10Y!$A$2:$A$2918,1)))*100))</f>
        <v/>
      </c>
      <c r="Y409" s="19">
        <f>IF(NOT(ISNUMBER($A409)),NA(),IF(OR($A409&lt;MIN(DKW_10Y!$A$2:$A$2918),$A409&gt;MAX(DKW_10Y!$A$2:$A$2918),Settings!$B$16&lt;MIN(DKW_10Y!$A$2:$A$2918)),NA(),(INDEX(DKW_10Y!$C$2:$C$2918,MATCH($A409,DKW_10Y!$A$2:$A$2918,1))-INDEX(DKW_10Y!$C$2:$C$2918,MATCH(Settings!$B$16,DKW_10Y!$A$2:$A$2918,1)))*100))</f>
        <v/>
      </c>
      <c r="Z409" s="19">
        <f>IF(NOT(ISNUMBER($A409)),NA(),IF(OR($A409&lt;MIN(DKW_10Y!$A$2:$A$2918),$A409&gt;MAX(DKW_10Y!$A$2:$A$2918),Settings!$B$16&lt;MIN(DKW_10Y!$A$2:$A$2918)),NA(),(INDEX(DKW_10Y!$D$2:$D$2918,MATCH($A409,DKW_10Y!$A$2:$A$2918,1))-INDEX(DKW_10Y!$D$2:$D$2918,MATCH(Settings!$B$16,DKW_10Y!$A$2:$A$2918,1)))*100))</f>
        <v/>
      </c>
      <c r="AA409" s="19">
        <f>IF(NOT(ISNUMBER($A409)),NA(),IF(OR($A409&lt;MIN(DKW_10Y!$A$2:$A$2918),$A409&gt;MAX(DKW_10Y!$A$2:$A$2918),Settings!$B$16&lt;MIN(DKW_10Y!$A$2:$A$2918)),NA(),(INDEX(DKW_10Y!$E$2:$E$2918,MATCH($A409,DKW_10Y!$A$2:$A$2918,1))-INDEX(DKW_10Y!$E$2:$E$2918,MATCH(Settings!$B$16,DKW_10Y!$A$2:$A$2918,1)))*100))</f>
        <v/>
      </c>
      <c r="AB409" s="19">
        <f>IF(NOT(ISNUMBER($A409)),NA(),IF(OR($A409&lt;MIN(DKW_10Y!$A$2:$A$2918),$A409&gt;MAX(DKW_10Y!$A$2:$A$2918),Settings!$B$16&lt;MIN(DKW_10Y!$A$2:$A$2918)),NA(),(INDEX(DKW_10Y!$H$2:$H$2918,MATCH($A409,DKW_10Y!$A$2:$A$2918,1))-INDEX(DKW_10Y!$H$2:$H$2918,MATCH(Settings!$B$16,DKW_10Y!$A$2:$A$2918,1)))*100))</f>
        <v/>
      </c>
      <c r="AC409" s="18">
        <f>IF(NOT(ISNUMBER($A409)),NA(),IFERROR(1*INDEX(BBG_Data!$N$2:$N$4000,MATCH($A409,BBG_Data!$M$2:$M$4000,0)),NA()))</f>
        <v/>
      </c>
      <c r="AD409" s="18">
        <f>IF(NOT(ISNUMBER($A409)),NA(),IFERROR(1*INDEX(BBG_Data!$P$2:$P$4000,MATCH($A409,BBG_Data!$O$2:$O$4000,0)),NA()))</f>
        <v/>
      </c>
      <c r="AE409" s="18">
        <f>IF(NOT(ISNUMBER($A409)),NA(),IFERROR(1*INDEX(BBG_Data!$R$2:$R$4000,MATCH($A409,BBG_Data!$Q$2:$Q$4000,0)),NA()))</f>
        <v/>
      </c>
      <c r="AF409" s="20">
        <f>IF(AND(ISNUMBER(B409),ISNUMBER(AC409)),(B409-AC409)*100,NA())</f>
        <v/>
      </c>
      <c r="AG409" s="20">
        <f>IF(AND(ISNUMBER(AE409),ISNUMBER(AD409)),(AE409-AD409)*100,NA())</f>
        <v/>
      </c>
      <c r="AH409" s="19">
        <f>IF(NOT(ISNUMBER($A409)),NA(),IFERROR(INDEX(BBG_Data!$T$2:$T$4000,MATCH($A409,BBG_Data!$S$2:$S$4000,0))*Settings!$B$25,NA()))</f>
        <v/>
      </c>
      <c r="AI409" s="19">
        <f>IF(NOT(ISNUMBER($A409)),NA(),IFERROR(INDEX(BBG_Data!$V$2:$V$4000,MATCH($A409,BBG_Data!$U$2:$U$4000,0))*Settings!$B$25,NA()))</f>
        <v/>
      </c>
      <c r="AJ409" s="19">
        <f>IF(NOT(ISNUMBER($A409)),NA(),IFERROR(1*INDEX(BBG_Data!$X$2:$X$4000,MATCH($A409,BBG_Data!$W$2:$W$4000,0)),NA()))</f>
        <v/>
      </c>
      <c r="AK409" s="19">
        <f>IF(NOT(ISNUMBER($A409)),NA(),IFERROR(1*INDEX(BBG_Data!$Z$2:$Z$4000,MATCH($A409,BBG_Data!$Y$2:$Y$4000,0)),NA()))</f>
        <v/>
      </c>
    </row>
    <row r="410">
      <c r="A410" s="17">
        <f>IF(ISNUMBER(BBG_Data!A410),BBG_Data!A410,"")</f>
        <v/>
      </c>
      <c r="B410" s="18">
        <f>IF(AND(ISNUMBER($A410),ISNUMBER(BBG_Data!B410)),BBG_Data!B410,NA())</f>
        <v/>
      </c>
      <c r="C410" s="18">
        <f>IF(NOT(ISNUMBER($A410)),NA(),IFERROR(1*INDEX(BBG_Data!$D$2:$D$4000,MATCH($A410,BBG_Data!$C$2:$C$4000,0)),NA()))</f>
        <v/>
      </c>
      <c r="D410" s="19">
        <f>IF(NOT(ISNUMBER($A410)),NA(),IFERROR(1*INDEX(BBG_Data!$F$2:$F$4000,MATCH($A410,BBG_Data!$E$2:$E$4000,0)),NA()))</f>
        <v/>
      </c>
      <c r="E410" s="19">
        <f>IF(NOT(ISNUMBER($A410)),NA(),IFERROR(1*INDEX(BBG_Data!$H$2:$H$4000,MATCH($A410,BBG_Data!$G$2:$G$4000,0)),NA()))</f>
        <v/>
      </c>
      <c r="F410" s="20">
        <f>IF(AND(ISNUMBER(B410),ISNUMBER(B409)),IF(B410=B409,"",(B410-B409)*100),"")</f>
        <v/>
      </c>
      <c r="G410" s="20">
        <f>IF(AND(ISNUMBER(C410),ISNUMBER(C409)),IF(C410=C409,"",(C410-C409)*100),"")</f>
        <v/>
      </c>
      <c r="H410" s="20">
        <f>IF(OR(NOT(ISNUMBER($A410)),ROW()-2&lt;Settings!$B$11),NA(),IF(COUNT(OFFSET(F410,1-Settings!$B$11,0,Settings!$B$11,1))&lt;ROUNDUP(Settings!$B$11*Settings!$B$26,0),NA(),STDEV(OFFSET(F410,1-Settings!$B$11,0,Settings!$B$11,1))*SQRT(Settings!$B$13)))</f>
        <v/>
      </c>
      <c r="I410" s="20">
        <f>IF(OR(NOT(ISNUMBER($A410)),ROW()-2&lt;Settings!$B$12),NA(),IF(COUNT(OFFSET(F410,1-Settings!$B$12,0,Settings!$B$12,1))&lt;ROUNDUP(Settings!$B$12*Settings!$B$26,0),NA(),STDEV(OFFSET(F410,1-Settings!$B$12,0,Settings!$B$12,1))*SQRT(Settings!$B$13)))</f>
        <v/>
      </c>
      <c r="J410" s="20">
        <f>IF(OR(NOT(ISNUMBER($A410)),ROW()-2&lt;Settings!$B$11),NA(),IF(COUNT(OFFSET(G410,1-Settings!$B$11,0,Settings!$B$11,1))&lt;ROUNDUP(Settings!$B$11*Settings!$B$26,0),NA(),STDEV(OFFSET(G410,1-Settings!$B$11,0,Settings!$B$11,1))*SQRT(Settings!$B$13)))</f>
        <v/>
      </c>
      <c r="K410" s="20">
        <f>IF(OR(NOT(ISNUMBER($A410)),ROW()-2&lt;Settings!$B$12),NA(),IF(COUNT(OFFSET(G410,1-Settings!$B$12,0,Settings!$B$12,1))&lt;ROUNDUP(Settings!$B$12*Settings!$B$26,0),NA(),STDEV(OFFSET(G410,1-Settings!$B$12,0,Settings!$B$12,1))*SQRT(Settings!$B$13)))</f>
        <v/>
      </c>
      <c r="L410" s="20">
        <f>IF(AND(ISNUMBER(D410),ISNUMBER(H410)),D410-H410,NA())</f>
        <v/>
      </c>
      <c r="M410" s="20">
        <f>IF(AND(ISNUMBER(E410),ISNUMBER(K410)),E410-K410,NA())</f>
        <v/>
      </c>
      <c r="N410" s="20">
        <f>IF(NOT(ISNUMBER($A410)),NA(),IF(COUNT(OFFSET(G410,1,0,Settings!$B$12,1))&lt;ROUNDUP(Settings!$B$12*Settings!$B$26,0),NA(),STDEV(OFFSET(G410,1,0,Settings!$B$12,1))*SQRT(Settings!$B$13)))</f>
        <v/>
      </c>
      <c r="O410" s="20">
        <f>IF(AND(ISNUMBER(E410),ISNUMBER(N410)),E410-N410,NA())</f>
        <v/>
      </c>
      <c r="P410" s="19">
        <f>IF(NOT(ISNUMBER($A410)),NA(),IF(OR($A410&lt;MIN(KW_TP!$A$2:$A$2501),$A410&gt;MAX(KW_TP!$A$2:$A$2501)),NA(),INDEX(KW_TP!$C$2:$C$2501,MATCH($A410,KW_TP!$A$2:$A$2501,1))))</f>
        <v/>
      </c>
      <c r="Q410" s="18">
        <f>IF(NOT(ISNUMBER($A410)),NA(),IFERROR(1*INDEX(BBG_Data!$J$2:$J$4000,MATCH($A410,BBG_Data!$I$2:$I$4000,0)),NA()))</f>
        <v/>
      </c>
      <c r="R410" s="18">
        <f>IF(NOT(ISNUMBER($A410)),NA(),IFERROR(1*INDEX(BBG_Data!$L$2:$L$4000,MATCH($A410,BBG_Data!$K$2:$K$4000,0)),NA()))</f>
        <v/>
      </c>
      <c r="S410" s="20">
        <f>IF(AND(ISNUMBER(B410),ISNUMBER(Q410),ISNUMBER(R410)),(B410-Q410-R410)*100,NA())</f>
        <v/>
      </c>
      <c r="T410" s="20">
        <f>IF(AND(ISNUMBER(B410),Settings!$B$17&gt;0),IF(ISNUMBER(INDEX($B:$B,Settings!$B$17)),(B410-INDEX($B:$B,Settings!$B$17))*100,NA()),NA())</f>
        <v/>
      </c>
      <c r="U410" s="20">
        <f>IF(AND(ISNUMBER(Q410),Settings!$B$17&gt;0),IF(ISNUMBER(INDEX($Q:$Q,Settings!$B$17)),(Q410-INDEX($Q:$Q,Settings!$B$17))*100,NA()),NA())</f>
        <v/>
      </c>
      <c r="V410" s="20">
        <f>IF(AND(ISNUMBER(R410),Settings!$B$17&gt;0),IF(ISNUMBER(INDEX($R:$R,Settings!$B$17)),(R410-INDEX($R:$R,Settings!$B$17))*100,NA()),NA())</f>
        <v/>
      </c>
      <c r="W410" s="20">
        <f>IF(AND(ISNUMBER(P410),Settings!$B$17&gt;0),IF(ISNUMBER(INDEX($P:$P,Settings!$B$17)),P410-INDEX($P:$P,Settings!$B$17),NA()),NA())</f>
        <v/>
      </c>
      <c r="X410" s="19">
        <f>IF(NOT(ISNUMBER($A410)),NA(),IF(OR($A410&lt;MIN(DKW_10Y!$A$2:$A$2918),$A410&gt;MAX(DKW_10Y!$A$2:$A$2918),Settings!$B$16&lt;MIN(DKW_10Y!$A$2:$A$2918)),NA(),(INDEX(DKW_10Y!$B$2:$B$2918,MATCH($A410,DKW_10Y!$A$2:$A$2918,1))-INDEX(DKW_10Y!$B$2:$B$2918,MATCH(Settings!$B$16,DKW_10Y!$A$2:$A$2918,1)))*100))</f>
        <v/>
      </c>
      <c r="Y410" s="19">
        <f>IF(NOT(ISNUMBER($A410)),NA(),IF(OR($A410&lt;MIN(DKW_10Y!$A$2:$A$2918),$A410&gt;MAX(DKW_10Y!$A$2:$A$2918),Settings!$B$16&lt;MIN(DKW_10Y!$A$2:$A$2918)),NA(),(INDEX(DKW_10Y!$C$2:$C$2918,MATCH($A410,DKW_10Y!$A$2:$A$2918,1))-INDEX(DKW_10Y!$C$2:$C$2918,MATCH(Settings!$B$16,DKW_10Y!$A$2:$A$2918,1)))*100))</f>
        <v/>
      </c>
      <c r="Z410" s="19">
        <f>IF(NOT(ISNUMBER($A410)),NA(),IF(OR($A410&lt;MIN(DKW_10Y!$A$2:$A$2918),$A410&gt;MAX(DKW_10Y!$A$2:$A$2918),Settings!$B$16&lt;MIN(DKW_10Y!$A$2:$A$2918)),NA(),(INDEX(DKW_10Y!$D$2:$D$2918,MATCH($A410,DKW_10Y!$A$2:$A$2918,1))-INDEX(DKW_10Y!$D$2:$D$2918,MATCH(Settings!$B$16,DKW_10Y!$A$2:$A$2918,1)))*100))</f>
        <v/>
      </c>
      <c r="AA410" s="19">
        <f>IF(NOT(ISNUMBER($A410)),NA(),IF(OR($A410&lt;MIN(DKW_10Y!$A$2:$A$2918),$A410&gt;MAX(DKW_10Y!$A$2:$A$2918),Settings!$B$16&lt;MIN(DKW_10Y!$A$2:$A$2918)),NA(),(INDEX(DKW_10Y!$E$2:$E$2918,MATCH($A410,DKW_10Y!$A$2:$A$2918,1))-INDEX(DKW_10Y!$E$2:$E$2918,MATCH(Settings!$B$16,DKW_10Y!$A$2:$A$2918,1)))*100))</f>
        <v/>
      </c>
      <c r="AB410" s="19">
        <f>IF(NOT(ISNUMBER($A410)),NA(),IF(OR($A410&lt;MIN(DKW_10Y!$A$2:$A$2918),$A410&gt;MAX(DKW_10Y!$A$2:$A$2918),Settings!$B$16&lt;MIN(DKW_10Y!$A$2:$A$2918)),NA(),(INDEX(DKW_10Y!$H$2:$H$2918,MATCH($A410,DKW_10Y!$A$2:$A$2918,1))-INDEX(DKW_10Y!$H$2:$H$2918,MATCH(Settings!$B$16,DKW_10Y!$A$2:$A$2918,1)))*100))</f>
        <v/>
      </c>
      <c r="AC410" s="18">
        <f>IF(NOT(ISNUMBER($A410)),NA(),IFERROR(1*INDEX(BBG_Data!$N$2:$N$4000,MATCH($A410,BBG_Data!$M$2:$M$4000,0)),NA()))</f>
        <v/>
      </c>
      <c r="AD410" s="18">
        <f>IF(NOT(ISNUMBER($A410)),NA(),IFERROR(1*INDEX(BBG_Data!$P$2:$P$4000,MATCH($A410,BBG_Data!$O$2:$O$4000,0)),NA()))</f>
        <v/>
      </c>
      <c r="AE410" s="18">
        <f>IF(NOT(ISNUMBER($A410)),NA(),IFERROR(1*INDEX(BBG_Data!$R$2:$R$4000,MATCH($A410,BBG_Data!$Q$2:$Q$4000,0)),NA()))</f>
        <v/>
      </c>
      <c r="AF410" s="20">
        <f>IF(AND(ISNUMBER(B410),ISNUMBER(AC410)),(B410-AC410)*100,NA())</f>
        <v/>
      </c>
      <c r="AG410" s="20">
        <f>IF(AND(ISNUMBER(AE410),ISNUMBER(AD410)),(AE410-AD410)*100,NA())</f>
        <v/>
      </c>
      <c r="AH410" s="19">
        <f>IF(NOT(ISNUMBER($A410)),NA(),IFERROR(INDEX(BBG_Data!$T$2:$T$4000,MATCH($A410,BBG_Data!$S$2:$S$4000,0))*Settings!$B$25,NA()))</f>
        <v/>
      </c>
      <c r="AI410" s="19">
        <f>IF(NOT(ISNUMBER($A410)),NA(),IFERROR(INDEX(BBG_Data!$V$2:$V$4000,MATCH($A410,BBG_Data!$U$2:$U$4000,0))*Settings!$B$25,NA()))</f>
        <v/>
      </c>
      <c r="AJ410" s="19">
        <f>IF(NOT(ISNUMBER($A410)),NA(),IFERROR(1*INDEX(BBG_Data!$X$2:$X$4000,MATCH($A410,BBG_Data!$W$2:$W$4000,0)),NA()))</f>
        <v/>
      </c>
      <c r="AK410" s="19">
        <f>IF(NOT(ISNUMBER($A410)),NA(),IFERROR(1*INDEX(BBG_Data!$Z$2:$Z$4000,MATCH($A410,BBG_Data!$Y$2:$Y$4000,0)),NA()))</f>
        <v/>
      </c>
    </row>
    <row r="411">
      <c r="A411" s="17">
        <f>IF(ISNUMBER(BBG_Data!A411),BBG_Data!A411,"")</f>
        <v/>
      </c>
      <c r="B411" s="18">
        <f>IF(AND(ISNUMBER($A411),ISNUMBER(BBG_Data!B411)),BBG_Data!B411,NA())</f>
        <v/>
      </c>
      <c r="C411" s="18">
        <f>IF(NOT(ISNUMBER($A411)),NA(),IFERROR(1*INDEX(BBG_Data!$D$2:$D$4000,MATCH($A411,BBG_Data!$C$2:$C$4000,0)),NA()))</f>
        <v/>
      </c>
      <c r="D411" s="19">
        <f>IF(NOT(ISNUMBER($A411)),NA(),IFERROR(1*INDEX(BBG_Data!$F$2:$F$4000,MATCH($A411,BBG_Data!$E$2:$E$4000,0)),NA()))</f>
        <v/>
      </c>
      <c r="E411" s="19">
        <f>IF(NOT(ISNUMBER($A411)),NA(),IFERROR(1*INDEX(BBG_Data!$H$2:$H$4000,MATCH($A411,BBG_Data!$G$2:$G$4000,0)),NA()))</f>
        <v/>
      </c>
      <c r="F411" s="20">
        <f>IF(AND(ISNUMBER(B411),ISNUMBER(B410)),IF(B411=B410,"",(B411-B410)*100),"")</f>
        <v/>
      </c>
      <c r="G411" s="20">
        <f>IF(AND(ISNUMBER(C411),ISNUMBER(C410)),IF(C411=C410,"",(C411-C410)*100),"")</f>
        <v/>
      </c>
      <c r="H411" s="20">
        <f>IF(OR(NOT(ISNUMBER($A411)),ROW()-2&lt;Settings!$B$11),NA(),IF(COUNT(OFFSET(F411,1-Settings!$B$11,0,Settings!$B$11,1))&lt;ROUNDUP(Settings!$B$11*Settings!$B$26,0),NA(),STDEV(OFFSET(F411,1-Settings!$B$11,0,Settings!$B$11,1))*SQRT(Settings!$B$13)))</f>
        <v/>
      </c>
      <c r="I411" s="20">
        <f>IF(OR(NOT(ISNUMBER($A411)),ROW()-2&lt;Settings!$B$12),NA(),IF(COUNT(OFFSET(F411,1-Settings!$B$12,0,Settings!$B$12,1))&lt;ROUNDUP(Settings!$B$12*Settings!$B$26,0),NA(),STDEV(OFFSET(F411,1-Settings!$B$12,0,Settings!$B$12,1))*SQRT(Settings!$B$13)))</f>
        <v/>
      </c>
      <c r="J411" s="20">
        <f>IF(OR(NOT(ISNUMBER($A411)),ROW()-2&lt;Settings!$B$11),NA(),IF(COUNT(OFFSET(G411,1-Settings!$B$11,0,Settings!$B$11,1))&lt;ROUNDUP(Settings!$B$11*Settings!$B$26,0),NA(),STDEV(OFFSET(G411,1-Settings!$B$11,0,Settings!$B$11,1))*SQRT(Settings!$B$13)))</f>
        <v/>
      </c>
      <c r="K411" s="20">
        <f>IF(OR(NOT(ISNUMBER($A411)),ROW()-2&lt;Settings!$B$12),NA(),IF(COUNT(OFFSET(G411,1-Settings!$B$12,0,Settings!$B$12,1))&lt;ROUNDUP(Settings!$B$12*Settings!$B$26,0),NA(),STDEV(OFFSET(G411,1-Settings!$B$12,0,Settings!$B$12,1))*SQRT(Settings!$B$13)))</f>
        <v/>
      </c>
      <c r="L411" s="20">
        <f>IF(AND(ISNUMBER(D411),ISNUMBER(H411)),D411-H411,NA())</f>
        <v/>
      </c>
      <c r="M411" s="20">
        <f>IF(AND(ISNUMBER(E411),ISNUMBER(K411)),E411-K411,NA())</f>
        <v/>
      </c>
      <c r="N411" s="20">
        <f>IF(NOT(ISNUMBER($A411)),NA(),IF(COUNT(OFFSET(G411,1,0,Settings!$B$12,1))&lt;ROUNDUP(Settings!$B$12*Settings!$B$26,0),NA(),STDEV(OFFSET(G411,1,0,Settings!$B$12,1))*SQRT(Settings!$B$13)))</f>
        <v/>
      </c>
      <c r="O411" s="20">
        <f>IF(AND(ISNUMBER(E411),ISNUMBER(N411)),E411-N411,NA())</f>
        <v/>
      </c>
      <c r="P411" s="19">
        <f>IF(NOT(ISNUMBER($A411)),NA(),IF(OR($A411&lt;MIN(KW_TP!$A$2:$A$2501),$A411&gt;MAX(KW_TP!$A$2:$A$2501)),NA(),INDEX(KW_TP!$C$2:$C$2501,MATCH($A411,KW_TP!$A$2:$A$2501,1))))</f>
        <v/>
      </c>
      <c r="Q411" s="18">
        <f>IF(NOT(ISNUMBER($A411)),NA(),IFERROR(1*INDEX(BBG_Data!$J$2:$J$4000,MATCH($A411,BBG_Data!$I$2:$I$4000,0)),NA()))</f>
        <v/>
      </c>
      <c r="R411" s="18">
        <f>IF(NOT(ISNUMBER($A411)),NA(),IFERROR(1*INDEX(BBG_Data!$L$2:$L$4000,MATCH($A411,BBG_Data!$K$2:$K$4000,0)),NA()))</f>
        <v/>
      </c>
      <c r="S411" s="20">
        <f>IF(AND(ISNUMBER(B411),ISNUMBER(Q411),ISNUMBER(R411)),(B411-Q411-R411)*100,NA())</f>
        <v/>
      </c>
      <c r="T411" s="20">
        <f>IF(AND(ISNUMBER(B411),Settings!$B$17&gt;0),IF(ISNUMBER(INDEX($B:$B,Settings!$B$17)),(B411-INDEX($B:$B,Settings!$B$17))*100,NA()),NA())</f>
        <v/>
      </c>
      <c r="U411" s="20">
        <f>IF(AND(ISNUMBER(Q411),Settings!$B$17&gt;0),IF(ISNUMBER(INDEX($Q:$Q,Settings!$B$17)),(Q411-INDEX($Q:$Q,Settings!$B$17))*100,NA()),NA())</f>
        <v/>
      </c>
      <c r="V411" s="20">
        <f>IF(AND(ISNUMBER(R411),Settings!$B$17&gt;0),IF(ISNUMBER(INDEX($R:$R,Settings!$B$17)),(R411-INDEX($R:$R,Settings!$B$17))*100,NA()),NA())</f>
        <v/>
      </c>
      <c r="W411" s="20">
        <f>IF(AND(ISNUMBER(P411),Settings!$B$17&gt;0),IF(ISNUMBER(INDEX($P:$P,Settings!$B$17)),P411-INDEX($P:$P,Settings!$B$17),NA()),NA())</f>
        <v/>
      </c>
      <c r="X411" s="19">
        <f>IF(NOT(ISNUMBER($A411)),NA(),IF(OR($A411&lt;MIN(DKW_10Y!$A$2:$A$2918),$A411&gt;MAX(DKW_10Y!$A$2:$A$2918),Settings!$B$16&lt;MIN(DKW_10Y!$A$2:$A$2918)),NA(),(INDEX(DKW_10Y!$B$2:$B$2918,MATCH($A411,DKW_10Y!$A$2:$A$2918,1))-INDEX(DKW_10Y!$B$2:$B$2918,MATCH(Settings!$B$16,DKW_10Y!$A$2:$A$2918,1)))*100))</f>
        <v/>
      </c>
      <c r="Y411" s="19">
        <f>IF(NOT(ISNUMBER($A411)),NA(),IF(OR($A411&lt;MIN(DKW_10Y!$A$2:$A$2918),$A411&gt;MAX(DKW_10Y!$A$2:$A$2918),Settings!$B$16&lt;MIN(DKW_10Y!$A$2:$A$2918)),NA(),(INDEX(DKW_10Y!$C$2:$C$2918,MATCH($A411,DKW_10Y!$A$2:$A$2918,1))-INDEX(DKW_10Y!$C$2:$C$2918,MATCH(Settings!$B$16,DKW_10Y!$A$2:$A$2918,1)))*100))</f>
        <v/>
      </c>
      <c r="Z411" s="19">
        <f>IF(NOT(ISNUMBER($A411)),NA(),IF(OR($A411&lt;MIN(DKW_10Y!$A$2:$A$2918),$A411&gt;MAX(DKW_10Y!$A$2:$A$2918),Settings!$B$16&lt;MIN(DKW_10Y!$A$2:$A$2918)),NA(),(INDEX(DKW_10Y!$D$2:$D$2918,MATCH($A411,DKW_10Y!$A$2:$A$2918,1))-INDEX(DKW_10Y!$D$2:$D$2918,MATCH(Settings!$B$16,DKW_10Y!$A$2:$A$2918,1)))*100))</f>
        <v/>
      </c>
      <c r="AA411" s="19">
        <f>IF(NOT(ISNUMBER($A411)),NA(),IF(OR($A411&lt;MIN(DKW_10Y!$A$2:$A$2918),$A411&gt;MAX(DKW_10Y!$A$2:$A$2918),Settings!$B$16&lt;MIN(DKW_10Y!$A$2:$A$2918)),NA(),(INDEX(DKW_10Y!$E$2:$E$2918,MATCH($A411,DKW_10Y!$A$2:$A$2918,1))-INDEX(DKW_10Y!$E$2:$E$2918,MATCH(Settings!$B$16,DKW_10Y!$A$2:$A$2918,1)))*100))</f>
        <v/>
      </c>
      <c r="AB411" s="19">
        <f>IF(NOT(ISNUMBER($A411)),NA(),IF(OR($A411&lt;MIN(DKW_10Y!$A$2:$A$2918),$A411&gt;MAX(DKW_10Y!$A$2:$A$2918),Settings!$B$16&lt;MIN(DKW_10Y!$A$2:$A$2918)),NA(),(INDEX(DKW_10Y!$H$2:$H$2918,MATCH($A411,DKW_10Y!$A$2:$A$2918,1))-INDEX(DKW_10Y!$H$2:$H$2918,MATCH(Settings!$B$16,DKW_10Y!$A$2:$A$2918,1)))*100))</f>
        <v/>
      </c>
      <c r="AC411" s="18">
        <f>IF(NOT(ISNUMBER($A411)),NA(),IFERROR(1*INDEX(BBG_Data!$N$2:$N$4000,MATCH($A411,BBG_Data!$M$2:$M$4000,0)),NA()))</f>
        <v/>
      </c>
      <c r="AD411" s="18">
        <f>IF(NOT(ISNUMBER($A411)),NA(),IFERROR(1*INDEX(BBG_Data!$P$2:$P$4000,MATCH($A411,BBG_Data!$O$2:$O$4000,0)),NA()))</f>
        <v/>
      </c>
      <c r="AE411" s="18">
        <f>IF(NOT(ISNUMBER($A411)),NA(),IFERROR(1*INDEX(BBG_Data!$R$2:$R$4000,MATCH($A411,BBG_Data!$Q$2:$Q$4000,0)),NA()))</f>
        <v/>
      </c>
      <c r="AF411" s="20">
        <f>IF(AND(ISNUMBER(B411),ISNUMBER(AC411)),(B411-AC411)*100,NA())</f>
        <v/>
      </c>
      <c r="AG411" s="20">
        <f>IF(AND(ISNUMBER(AE411),ISNUMBER(AD411)),(AE411-AD411)*100,NA())</f>
        <v/>
      </c>
      <c r="AH411" s="19">
        <f>IF(NOT(ISNUMBER($A411)),NA(),IFERROR(INDEX(BBG_Data!$T$2:$T$4000,MATCH($A411,BBG_Data!$S$2:$S$4000,0))*Settings!$B$25,NA()))</f>
        <v/>
      </c>
      <c r="AI411" s="19">
        <f>IF(NOT(ISNUMBER($A411)),NA(),IFERROR(INDEX(BBG_Data!$V$2:$V$4000,MATCH($A411,BBG_Data!$U$2:$U$4000,0))*Settings!$B$25,NA()))</f>
        <v/>
      </c>
      <c r="AJ411" s="19">
        <f>IF(NOT(ISNUMBER($A411)),NA(),IFERROR(1*INDEX(BBG_Data!$X$2:$X$4000,MATCH($A411,BBG_Data!$W$2:$W$4000,0)),NA()))</f>
        <v/>
      </c>
      <c r="AK411" s="19">
        <f>IF(NOT(ISNUMBER($A411)),NA(),IFERROR(1*INDEX(BBG_Data!$Z$2:$Z$4000,MATCH($A411,BBG_Data!$Y$2:$Y$4000,0)),NA()))</f>
        <v/>
      </c>
    </row>
    <row r="412">
      <c r="A412" s="17">
        <f>IF(ISNUMBER(BBG_Data!A412),BBG_Data!A412,"")</f>
        <v/>
      </c>
      <c r="B412" s="18">
        <f>IF(AND(ISNUMBER($A412),ISNUMBER(BBG_Data!B412)),BBG_Data!B412,NA())</f>
        <v/>
      </c>
      <c r="C412" s="18">
        <f>IF(NOT(ISNUMBER($A412)),NA(),IFERROR(1*INDEX(BBG_Data!$D$2:$D$4000,MATCH($A412,BBG_Data!$C$2:$C$4000,0)),NA()))</f>
        <v/>
      </c>
      <c r="D412" s="19">
        <f>IF(NOT(ISNUMBER($A412)),NA(),IFERROR(1*INDEX(BBG_Data!$F$2:$F$4000,MATCH($A412,BBG_Data!$E$2:$E$4000,0)),NA()))</f>
        <v/>
      </c>
      <c r="E412" s="19">
        <f>IF(NOT(ISNUMBER($A412)),NA(),IFERROR(1*INDEX(BBG_Data!$H$2:$H$4000,MATCH($A412,BBG_Data!$G$2:$G$4000,0)),NA()))</f>
        <v/>
      </c>
      <c r="F412" s="20">
        <f>IF(AND(ISNUMBER(B412),ISNUMBER(B411)),IF(B412=B411,"",(B412-B411)*100),"")</f>
        <v/>
      </c>
      <c r="G412" s="20">
        <f>IF(AND(ISNUMBER(C412),ISNUMBER(C411)),IF(C412=C411,"",(C412-C411)*100),"")</f>
        <v/>
      </c>
      <c r="H412" s="20">
        <f>IF(OR(NOT(ISNUMBER($A412)),ROW()-2&lt;Settings!$B$11),NA(),IF(COUNT(OFFSET(F412,1-Settings!$B$11,0,Settings!$B$11,1))&lt;ROUNDUP(Settings!$B$11*Settings!$B$26,0),NA(),STDEV(OFFSET(F412,1-Settings!$B$11,0,Settings!$B$11,1))*SQRT(Settings!$B$13)))</f>
        <v/>
      </c>
      <c r="I412" s="20">
        <f>IF(OR(NOT(ISNUMBER($A412)),ROW()-2&lt;Settings!$B$12),NA(),IF(COUNT(OFFSET(F412,1-Settings!$B$12,0,Settings!$B$12,1))&lt;ROUNDUP(Settings!$B$12*Settings!$B$26,0),NA(),STDEV(OFFSET(F412,1-Settings!$B$12,0,Settings!$B$12,1))*SQRT(Settings!$B$13)))</f>
        <v/>
      </c>
      <c r="J412" s="20">
        <f>IF(OR(NOT(ISNUMBER($A412)),ROW()-2&lt;Settings!$B$11),NA(),IF(COUNT(OFFSET(G412,1-Settings!$B$11,0,Settings!$B$11,1))&lt;ROUNDUP(Settings!$B$11*Settings!$B$26,0),NA(),STDEV(OFFSET(G412,1-Settings!$B$11,0,Settings!$B$11,1))*SQRT(Settings!$B$13)))</f>
        <v/>
      </c>
      <c r="K412" s="20">
        <f>IF(OR(NOT(ISNUMBER($A412)),ROW()-2&lt;Settings!$B$12),NA(),IF(COUNT(OFFSET(G412,1-Settings!$B$12,0,Settings!$B$12,1))&lt;ROUNDUP(Settings!$B$12*Settings!$B$26,0),NA(),STDEV(OFFSET(G412,1-Settings!$B$12,0,Settings!$B$12,1))*SQRT(Settings!$B$13)))</f>
        <v/>
      </c>
      <c r="L412" s="20">
        <f>IF(AND(ISNUMBER(D412),ISNUMBER(H412)),D412-H412,NA())</f>
        <v/>
      </c>
      <c r="M412" s="20">
        <f>IF(AND(ISNUMBER(E412),ISNUMBER(K412)),E412-K412,NA())</f>
        <v/>
      </c>
      <c r="N412" s="20">
        <f>IF(NOT(ISNUMBER($A412)),NA(),IF(COUNT(OFFSET(G412,1,0,Settings!$B$12,1))&lt;ROUNDUP(Settings!$B$12*Settings!$B$26,0),NA(),STDEV(OFFSET(G412,1,0,Settings!$B$12,1))*SQRT(Settings!$B$13)))</f>
        <v/>
      </c>
      <c r="O412" s="20">
        <f>IF(AND(ISNUMBER(E412),ISNUMBER(N412)),E412-N412,NA())</f>
        <v/>
      </c>
      <c r="P412" s="19">
        <f>IF(NOT(ISNUMBER($A412)),NA(),IF(OR($A412&lt;MIN(KW_TP!$A$2:$A$2501),$A412&gt;MAX(KW_TP!$A$2:$A$2501)),NA(),INDEX(KW_TP!$C$2:$C$2501,MATCH($A412,KW_TP!$A$2:$A$2501,1))))</f>
        <v/>
      </c>
      <c r="Q412" s="18">
        <f>IF(NOT(ISNUMBER($A412)),NA(),IFERROR(1*INDEX(BBG_Data!$J$2:$J$4000,MATCH($A412,BBG_Data!$I$2:$I$4000,0)),NA()))</f>
        <v/>
      </c>
      <c r="R412" s="18">
        <f>IF(NOT(ISNUMBER($A412)),NA(),IFERROR(1*INDEX(BBG_Data!$L$2:$L$4000,MATCH($A412,BBG_Data!$K$2:$K$4000,0)),NA()))</f>
        <v/>
      </c>
      <c r="S412" s="20">
        <f>IF(AND(ISNUMBER(B412),ISNUMBER(Q412),ISNUMBER(R412)),(B412-Q412-R412)*100,NA())</f>
        <v/>
      </c>
      <c r="T412" s="20">
        <f>IF(AND(ISNUMBER(B412),Settings!$B$17&gt;0),IF(ISNUMBER(INDEX($B:$B,Settings!$B$17)),(B412-INDEX($B:$B,Settings!$B$17))*100,NA()),NA())</f>
        <v/>
      </c>
      <c r="U412" s="20">
        <f>IF(AND(ISNUMBER(Q412),Settings!$B$17&gt;0),IF(ISNUMBER(INDEX($Q:$Q,Settings!$B$17)),(Q412-INDEX($Q:$Q,Settings!$B$17))*100,NA()),NA())</f>
        <v/>
      </c>
      <c r="V412" s="20">
        <f>IF(AND(ISNUMBER(R412),Settings!$B$17&gt;0),IF(ISNUMBER(INDEX($R:$R,Settings!$B$17)),(R412-INDEX($R:$R,Settings!$B$17))*100,NA()),NA())</f>
        <v/>
      </c>
      <c r="W412" s="20">
        <f>IF(AND(ISNUMBER(P412),Settings!$B$17&gt;0),IF(ISNUMBER(INDEX($P:$P,Settings!$B$17)),P412-INDEX($P:$P,Settings!$B$17),NA()),NA())</f>
        <v/>
      </c>
      <c r="X412" s="19">
        <f>IF(NOT(ISNUMBER($A412)),NA(),IF(OR($A412&lt;MIN(DKW_10Y!$A$2:$A$2918),$A412&gt;MAX(DKW_10Y!$A$2:$A$2918),Settings!$B$16&lt;MIN(DKW_10Y!$A$2:$A$2918)),NA(),(INDEX(DKW_10Y!$B$2:$B$2918,MATCH($A412,DKW_10Y!$A$2:$A$2918,1))-INDEX(DKW_10Y!$B$2:$B$2918,MATCH(Settings!$B$16,DKW_10Y!$A$2:$A$2918,1)))*100))</f>
        <v/>
      </c>
      <c r="Y412" s="19">
        <f>IF(NOT(ISNUMBER($A412)),NA(),IF(OR($A412&lt;MIN(DKW_10Y!$A$2:$A$2918),$A412&gt;MAX(DKW_10Y!$A$2:$A$2918),Settings!$B$16&lt;MIN(DKW_10Y!$A$2:$A$2918)),NA(),(INDEX(DKW_10Y!$C$2:$C$2918,MATCH($A412,DKW_10Y!$A$2:$A$2918,1))-INDEX(DKW_10Y!$C$2:$C$2918,MATCH(Settings!$B$16,DKW_10Y!$A$2:$A$2918,1)))*100))</f>
        <v/>
      </c>
      <c r="Z412" s="19">
        <f>IF(NOT(ISNUMBER($A412)),NA(),IF(OR($A412&lt;MIN(DKW_10Y!$A$2:$A$2918),$A412&gt;MAX(DKW_10Y!$A$2:$A$2918),Settings!$B$16&lt;MIN(DKW_10Y!$A$2:$A$2918)),NA(),(INDEX(DKW_10Y!$D$2:$D$2918,MATCH($A412,DKW_10Y!$A$2:$A$2918,1))-INDEX(DKW_10Y!$D$2:$D$2918,MATCH(Settings!$B$16,DKW_10Y!$A$2:$A$2918,1)))*100))</f>
        <v/>
      </c>
      <c r="AA412" s="19">
        <f>IF(NOT(ISNUMBER($A412)),NA(),IF(OR($A412&lt;MIN(DKW_10Y!$A$2:$A$2918),$A412&gt;MAX(DKW_10Y!$A$2:$A$2918),Settings!$B$16&lt;MIN(DKW_10Y!$A$2:$A$2918)),NA(),(INDEX(DKW_10Y!$E$2:$E$2918,MATCH($A412,DKW_10Y!$A$2:$A$2918,1))-INDEX(DKW_10Y!$E$2:$E$2918,MATCH(Settings!$B$16,DKW_10Y!$A$2:$A$2918,1)))*100))</f>
        <v/>
      </c>
      <c r="AB412" s="19">
        <f>IF(NOT(ISNUMBER($A412)),NA(),IF(OR($A412&lt;MIN(DKW_10Y!$A$2:$A$2918),$A412&gt;MAX(DKW_10Y!$A$2:$A$2918),Settings!$B$16&lt;MIN(DKW_10Y!$A$2:$A$2918)),NA(),(INDEX(DKW_10Y!$H$2:$H$2918,MATCH($A412,DKW_10Y!$A$2:$A$2918,1))-INDEX(DKW_10Y!$H$2:$H$2918,MATCH(Settings!$B$16,DKW_10Y!$A$2:$A$2918,1)))*100))</f>
        <v/>
      </c>
      <c r="AC412" s="18">
        <f>IF(NOT(ISNUMBER($A412)),NA(),IFERROR(1*INDEX(BBG_Data!$N$2:$N$4000,MATCH($A412,BBG_Data!$M$2:$M$4000,0)),NA()))</f>
        <v/>
      </c>
      <c r="AD412" s="18">
        <f>IF(NOT(ISNUMBER($A412)),NA(),IFERROR(1*INDEX(BBG_Data!$P$2:$P$4000,MATCH($A412,BBG_Data!$O$2:$O$4000,0)),NA()))</f>
        <v/>
      </c>
      <c r="AE412" s="18">
        <f>IF(NOT(ISNUMBER($A412)),NA(),IFERROR(1*INDEX(BBG_Data!$R$2:$R$4000,MATCH($A412,BBG_Data!$Q$2:$Q$4000,0)),NA()))</f>
        <v/>
      </c>
      <c r="AF412" s="20">
        <f>IF(AND(ISNUMBER(B412),ISNUMBER(AC412)),(B412-AC412)*100,NA())</f>
        <v/>
      </c>
      <c r="AG412" s="20">
        <f>IF(AND(ISNUMBER(AE412),ISNUMBER(AD412)),(AE412-AD412)*100,NA())</f>
        <v/>
      </c>
      <c r="AH412" s="19">
        <f>IF(NOT(ISNUMBER($A412)),NA(),IFERROR(INDEX(BBG_Data!$T$2:$T$4000,MATCH($A412,BBG_Data!$S$2:$S$4000,0))*Settings!$B$25,NA()))</f>
        <v/>
      </c>
      <c r="AI412" s="19">
        <f>IF(NOT(ISNUMBER($A412)),NA(),IFERROR(INDEX(BBG_Data!$V$2:$V$4000,MATCH($A412,BBG_Data!$U$2:$U$4000,0))*Settings!$B$25,NA()))</f>
        <v/>
      </c>
      <c r="AJ412" s="19">
        <f>IF(NOT(ISNUMBER($A412)),NA(),IFERROR(1*INDEX(BBG_Data!$X$2:$X$4000,MATCH($A412,BBG_Data!$W$2:$W$4000,0)),NA()))</f>
        <v/>
      </c>
      <c r="AK412" s="19">
        <f>IF(NOT(ISNUMBER($A412)),NA(),IFERROR(1*INDEX(BBG_Data!$Z$2:$Z$4000,MATCH($A412,BBG_Data!$Y$2:$Y$4000,0)),NA()))</f>
        <v/>
      </c>
    </row>
    <row r="413">
      <c r="A413" s="17">
        <f>IF(ISNUMBER(BBG_Data!A413),BBG_Data!A413,"")</f>
        <v/>
      </c>
      <c r="B413" s="18">
        <f>IF(AND(ISNUMBER($A413),ISNUMBER(BBG_Data!B413)),BBG_Data!B413,NA())</f>
        <v/>
      </c>
      <c r="C413" s="18">
        <f>IF(NOT(ISNUMBER($A413)),NA(),IFERROR(1*INDEX(BBG_Data!$D$2:$D$4000,MATCH($A413,BBG_Data!$C$2:$C$4000,0)),NA()))</f>
        <v/>
      </c>
      <c r="D413" s="19">
        <f>IF(NOT(ISNUMBER($A413)),NA(),IFERROR(1*INDEX(BBG_Data!$F$2:$F$4000,MATCH($A413,BBG_Data!$E$2:$E$4000,0)),NA()))</f>
        <v/>
      </c>
      <c r="E413" s="19">
        <f>IF(NOT(ISNUMBER($A413)),NA(),IFERROR(1*INDEX(BBG_Data!$H$2:$H$4000,MATCH($A413,BBG_Data!$G$2:$G$4000,0)),NA()))</f>
        <v/>
      </c>
      <c r="F413" s="20">
        <f>IF(AND(ISNUMBER(B413),ISNUMBER(B412)),IF(B413=B412,"",(B413-B412)*100),"")</f>
        <v/>
      </c>
      <c r="G413" s="20">
        <f>IF(AND(ISNUMBER(C413),ISNUMBER(C412)),IF(C413=C412,"",(C413-C412)*100),"")</f>
        <v/>
      </c>
      <c r="H413" s="20">
        <f>IF(OR(NOT(ISNUMBER($A413)),ROW()-2&lt;Settings!$B$11),NA(),IF(COUNT(OFFSET(F413,1-Settings!$B$11,0,Settings!$B$11,1))&lt;ROUNDUP(Settings!$B$11*Settings!$B$26,0),NA(),STDEV(OFFSET(F413,1-Settings!$B$11,0,Settings!$B$11,1))*SQRT(Settings!$B$13)))</f>
        <v/>
      </c>
      <c r="I413" s="20">
        <f>IF(OR(NOT(ISNUMBER($A413)),ROW()-2&lt;Settings!$B$12),NA(),IF(COUNT(OFFSET(F413,1-Settings!$B$12,0,Settings!$B$12,1))&lt;ROUNDUP(Settings!$B$12*Settings!$B$26,0),NA(),STDEV(OFFSET(F413,1-Settings!$B$12,0,Settings!$B$12,1))*SQRT(Settings!$B$13)))</f>
        <v/>
      </c>
      <c r="J413" s="20">
        <f>IF(OR(NOT(ISNUMBER($A413)),ROW()-2&lt;Settings!$B$11),NA(),IF(COUNT(OFFSET(G413,1-Settings!$B$11,0,Settings!$B$11,1))&lt;ROUNDUP(Settings!$B$11*Settings!$B$26,0),NA(),STDEV(OFFSET(G413,1-Settings!$B$11,0,Settings!$B$11,1))*SQRT(Settings!$B$13)))</f>
        <v/>
      </c>
      <c r="K413" s="20">
        <f>IF(OR(NOT(ISNUMBER($A413)),ROW()-2&lt;Settings!$B$12),NA(),IF(COUNT(OFFSET(G413,1-Settings!$B$12,0,Settings!$B$12,1))&lt;ROUNDUP(Settings!$B$12*Settings!$B$26,0),NA(),STDEV(OFFSET(G413,1-Settings!$B$12,0,Settings!$B$12,1))*SQRT(Settings!$B$13)))</f>
        <v/>
      </c>
      <c r="L413" s="20">
        <f>IF(AND(ISNUMBER(D413),ISNUMBER(H413)),D413-H413,NA())</f>
        <v/>
      </c>
      <c r="M413" s="20">
        <f>IF(AND(ISNUMBER(E413),ISNUMBER(K413)),E413-K413,NA())</f>
        <v/>
      </c>
      <c r="N413" s="20">
        <f>IF(NOT(ISNUMBER($A413)),NA(),IF(COUNT(OFFSET(G413,1,0,Settings!$B$12,1))&lt;ROUNDUP(Settings!$B$12*Settings!$B$26,0),NA(),STDEV(OFFSET(G413,1,0,Settings!$B$12,1))*SQRT(Settings!$B$13)))</f>
        <v/>
      </c>
      <c r="O413" s="20">
        <f>IF(AND(ISNUMBER(E413),ISNUMBER(N413)),E413-N413,NA())</f>
        <v/>
      </c>
      <c r="P413" s="19">
        <f>IF(NOT(ISNUMBER($A413)),NA(),IF(OR($A413&lt;MIN(KW_TP!$A$2:$A$2501),$A413&gt;MAX(KW_TP!$A$2:$A$2501)),NA(),INDEX(KW_TP!$C$2:$C$2501,MATCH($A413,KW_TP!$A$2:$A$2501,1))))</f>
        <v/>
      </c>
      <c r="Q413" s="18">
        <f>IF(NOT(ISNUMBER($A413)),NA(),IFERROR(1*INDEX(BBG_Data!$J$2:$J$4000,MATCH($A413,BBG_Data!$I$2:$I$4000,0)),NA()))</f>
        <v/>
      </c>
      <c r="R413" s="18">
        <f>IF(NOT(ISNUMBER($A413)),NA(),IFERROR(1*INDEX(BBG_Data!$L$2:$L$4000,MATCH($A413,BBG_Data!$K$2:$K$4000,0)),NA()))</f>
        <v/>
      </c>
      <c r="S413" s="20">
        <f>IF(AND(ISNUMBER(B413),ISNUMBER(Q413),ISNUMBER(R413)),(B413-Q413-R413)*100,NA())</f>
        <v/>
      </c>
      <c r="T413" s="20">
        <f>IF(AND(ISNUMBER(B413),Settings!$B$17&gt;0),IF(ISNUMBER(INDEX($B:$B,Settings!$B$17)),(B413-INDEX($B:$B,Settings!$B$17))*100,NA()),NA())</f>
        <v/>
      </c>
      <c r="U413" s="20">
        <f>IF(AND(ISNUMBER(Q413),Settings!$B$17&gt;0),IF(ISNUMBER(INDEX($Q:$Q,Settings!$B$17)),(Q413-INDEX($Q:$Q,Settings!$B$17))*100,NA()),NA())</f>
        <v/>
      </c>
      <c r="V413" s="20">
        <f>IF(AND(ISNUMBER(R413),Settings!$B$17&gt;0),IF(ISNUMBER(INDEX($R:$R,Settings!$B$17)),(R413-INDEX($R:$R,Settings!$B$17))*100,NA()),NA())</f>
        <v/>
      </c>
      <c r="W413" s="20">
        <f>IF(AND(ISNUMBER(P413),Settings!$B$17&gt;0),IF(ISNUMBER(INDEX($P:$P,Settings!$B$17)),P413-INDEX($P:$P,Settings!$B$17),NA()),NA())</f>
        <v/>
      </c>
      <c r="X413" s="19">
        <f>IF(NOT(ISNUMBER($A413)),NA(),IF(OR($A413&lt;MIN(DKW_10Y!$A$2:$A$2918),$A413&gt;MAX(DKW_10Y!$A$2:$A$2918),Settings!$B$16&lt;MIN(DKW_10Y!$A$2:$A$2918)),NA(),(INDEX(DKW_10Y!$B$2:$B$2918,MATCH($A413,DKW_10Y!$A$2:$A$2918,1))-INDEX(DKW_10Y!$B$2:$B$2918,MATCH(Settings!$B$16,DKW_10Y!$A$2:$A$2918,1)))*100))</f>
        <v/>
      </c>
      <c r="Y413" s="19">
        <f>IF(NOT(ISNUMBER($A413)),NA(),IF(OR($A413&lt;MIN(DKW_10Y!$A$2:$A$2918),$A413&gt;MAX(DKW_10Y!$A$2:$A$2918),Settings!$B$16&lt;MIN(DKW_10Y!$A$2:$A$2918)),NA(),(INDEX(DKW_10Y!$C$2:$C$2918,MATCH($A413,DKW_10Y!$A$2:$A$2918,1))-INDEX(DKW_10Y!$C$2:$C$2918,MATCH(Settings!$B$16,DKW_10Y!$A$2:$A$2918,1)))*100))</f>
        <v/>
      </c>
      <c r="Z413" s="19">
        <f>IF(NOT(ISNUMBER($A413)),NA(),IF(OR($A413&lt;MIN(DKW_10Y!$A$2:$A$2918),$A413&gt;MAX(DKW_10Y!$A$2:$A$2918),Settings!$B$16&lt;MIN(DKW_10Y!$A$2:$A$2918)),NA(),(INDEX(DKW_10Y!$D$2:$D$2918,MATCH($A413,DKW_10Y!$A$2:$A$2918,1))-INDEX(DKW_10Y!$D$2:$D$2918,MATCH(Settings!$B$16,DKW_10Y!$A$2:$A$2918,1)))*100))</f>
        <v/>
      </c>
      <c r="AA413" s="19">
        <f>IF(NOT(ISNUMBER($A413)),NA(),IF(OR($A413&lt;MIN(DKW_10Y!$A$2:$A$2918),$A413&gt;MAX(DKW_10Y!$A$2:$A$2918),Settings!$B$16&lt;MIN(DKW_10Y!$A$2:$A$2918)),NA(),(INDEX(DKW_10Y!$E$2:$E$2918,MATCH($A413,DKW_10Y!$A$2:$A$2918,1))-INDEX(DKW_10Y!$E$2:$E$2918,MATCH(Settings!$B$16,DKW_10Y!$A$2:$A$2918,1)))*100))</f>
        <v/>
      </c>
      <c r="AB413" s="19">
        <f>IF(NOT(ISNUMBER($A413)),NA(),IF(OR($A413&lt;MIN(DKW_10Y!$A$2:$A$2918),$A413&gt;MAX(DKW_10Y!$A$2:$A$2918),Settings!$B$16&lt;MIN(DKW_10Y!$A$2:$A$2918)),NA(),(INDEX(DKW_10Y!$H$2:$H$2918,MATCH($A413,DKW_10Y!$A$2:$A$2918,1))-INDEX(DKW_10Y!$H$2:$H$2918,MATCH(Settings!$B$16,DKW_10Y!$A$2:$A$2918,1)))*100))</f>
        <v/>
      </c>
      <c r="AC413" s="18">
        <f>IF(NOT(ISNUMBER($A413)),NA(),IFERROR(1*INDEX(BBG_Data!$N$2:$N$4000,MATCH($A413,BBG_Data!$M$2:$M$4000,0)),NA()))</f>
        <v/>
      </c>
      <c r="AD413" s="18">
        <f>IF(NOT(ISNUMBER($A413)),NA(),IFERROR(1*INDEX(BBG_Data!$P$2:$P$4000,MATCH($A413,BBG_Data!$O$2:$O$4000,0)),NA()))</f>
        <v/>
      </c>
      <c r="AE413" s="18">
        <f>IF(NOT(ISNUMBER($A413)),NA(),IFERROR(1*INDEX(BBG_Data!$R$2:$R$4000,MATCH($A413,BBG_Data!$Q$2:$Q$4000,0)),NA()))</f>
        <v/>
      </c>
      <c r="AF413" s="20">
        <f>IF(AND(ISNUMBER(B413),ISNUMBER(AC413)),(B413-AC413)*100,NA())</f>
        <v/>
      </c>
      <c r="AG413" s="20">
        <f>IF(AND(ISNUMBER(AE413),ISNUMBER(AD413)),(AE413-AD413)*100,NA())</f>
        <v/>
      </c>
      <c r="AH413" s="19">
        <f>IF(NOT(ISNUMBER($A413)),NA(),IFERROR(INDEX(BBG_Data!$T$2:$T$4000,MATCH($A413,BBG_Data!$S$2:$S$4000,0))*Settings!$B$25,NA()))</f>
        <v/>
      </c>
      <c r="AI413" s="19">
        <f>IF(NOT(ISNUMBER($A413)),NA(),IFERROR(INDEX(BBG_Data!$V$2:$V$4000,MATCH($A413,BBG_Data!$U$2:$U$4000,0))*Settings!$B$25,NA()))</f>
        <v/>
      </c>
      <c r="AJ413" s="19">
        <f>IF(NOT(ISNUMBER($A413)),NA(),IFERROR(1*INDEX(BBG_Data!$X$2:$X$4000,MATCH($A413,BBG_Data!$W$2:$W$4000,0)),NA()))</f>
        <v/>
      </c>
      <c r="AK413" s="19">
        <f>IF(NOT(ISNUMBER($A413)),NA(),IFERROR(1*INDEX(BBG_Data!$Z$2:$Z$4000,MATCH($A413,BBG_Data!$Y$2:$Y$4000,0)),NA()))</f>
        <v/>
      </c>
    </row>
    <row r="414">
      <c r="A414" s="17">
        <f>IF(ISNUMBER(BBG_Data!A414),BBG_Data!A414,"")</f>
        <v/>
      </c>
      <c r="B414" s="18">
        <f>IF(AND(ISNUMBER($A414),ISNUMBER(BBG_Data!B414)),BBG_Data!B414,NA())</f>
        <v/>
      </c>
      <c r="C414" s="18">
        <f>IF(NOT(ISNUMBER($A414)),NA(),IFERROR(1*INDEX(BBG_Data!$D$2:$D$4000,MATCH($A414,BBG_Data!$C$2:$C$4000,0)),NA()))</f>
        <v/>
      </c>
      <c r="D414" s="19">
        <f>IF(NOT(ISNUMBER($A414)),NA(),IFERROR(1*INDEX(BBG_Data!$F$2:$F$4000,MATCH($A414,BBG_Data!$E$2:$E$4000,0)),NA()))</f>
        <v/>
      </c>
      <c r="E414" s="19">
        <f>IF(NOT(ISNUMBER($A414)),NA(),IFERROR(1*INDEX(BBG_Data!$H$2:$H$4000,MATCH($A414,BBG_Data!$G$2:$G$4000,0)),NA()))</f>
        <v/>
      </c>
      <c r="F414" s="20">
        <f>IF(AND(ISNUMBER(B414),ISNUMBER(B413)),IF(B414=B413,"",(B414-B413)*100),"")</f>
        <v/>
      </c>
      <c r="G414" s="20">
        <f>IF(AND(ISNUMBER(C414),ISNUMBER(C413)),IF(C414=C413,"",(C414-C413)*100),"")</f>
        <v/>
      </c>
      <c r="H414" s="20">
        <f>IF(OR(NOT(ISNUMBER($A414)),ROW()-2&lt;Settings!$B$11),NA(),IF(COUNT(OFFSET(F414,1-Settings!$B$11,0,Settings!$B$11,1))&lt;ROUNDUP(Settings!$B$11*Settings!$B$26,0),NA(),STDEV(OFFSET(F414,1-Settings!$B$11,0,Settings!$B$11,1))*SQRT(Settings!$B$13)))</f>
        <v/>
      </c>
      <c r="I414" s="20">
        <f>IF(OR(NOT(ISNUMBER($A414)),ROW()-2&lt;Settings!$B$12),NA(),IF(COUNT(OFFSET(F414,1-Settings!$B$12,0,Settings!$B$12,1))&lt;ROUNDUP(Settings!$B$12*Settings!$B$26,0),NA(),STDEV(OFFSET(F414,1-Settings!$B$12,0,Settings!$B$12,1))*SQRT(Settings!$B$13)))</f>
        <v/>
      </c>
      <c r="J414" s="20">
        <f>IF(OR(NOT(ISNUMBER($A414)),ROW()-2&lt;Settings!$B$11),NA(),IF(COUNT(OFFSET(G414,1-Settings!$B$11,0,Settings!$B$11,1))&lt;ROUNDUP(Settings!$B$11*Settings!$B$26,0),NA(),STDEV(OFFSET(G414,1-Settings!$B$11,0,Settings!$B$11,1))*SQRT(Settings!$B$13)))</f>
        <v/>
      </c>
      <c r="K414" s="20">
        <f>IF(OR(NOT(ISNUMBER($A414)),ROW()-2&lt;Settings!$B$12),NA(),IF(COUNT(OFFSET(G414,1-Settings!$B$12,0,Settings!$B$12,1))&lt;ROUNDUP(Settings!$B$12*Settings!$B$26,0),NA(),STDEV(OFFSET(G414,1-Settings!$B$12,0,Settings!$B$12,1))*SQRT(Settings!$B$13)))</f>
        <v/>
      </c>
      <c r="L414" s="20">
        <f>IF(AND(ISNUMBER(D414),ISNUMBER(H414)),D414-H414,NA())</f>
        <v/>
      </c>
      <c r="M414" s="20">
        <f>IF(AND(ISNUMBER(E414),ISNUMBER(K414)),E414-K414,NA())</f>
        <v/>
      </c>
      <c r="N414" s="20">
        <f>IF(NOT(ISNUMBER($A414)),NA(),IF(COUNT(OFFSET(G414,1,0,Settings!$B$12,1))&lt;ROUNDUP(Settings!$B$12*Settings!$B$26,0),NA(),STDEV(OFFSET(G414,1,0,Settings!$B$12,1))*SQRT(Settings!$B$13)))</f>
        <v/>
      </c>
      <c r="O414" s="20">
        <f>IF(AND(ISNUMBER(E414),ISNUMBER(N414)),E414-N414,NA())</f>
        <v/>
      </c>
      <c r="P414" s="19">
        <f>IF(NOT(ISNUMBER($A414)),NA(),IF(OR($A414&lt;MIN(KW_TP!$A$2:$A$2501),$A414&gt;MAX(KW_TP!$A$2:$A$2501)),NA(),INDEX(KW_TP!$C$2:$C$2501,MATCH($A414,KW_TP!$A$2:$A$2501,1))))</f>
        <v/>
      </c>
      <c r="Q414" s="18">
        <f>IF(NOT(ISNUMBER($A414)),NA(),IFERROR(1*INDEX(BBG_Data!$J$2:$J$4000,MATCH($A414,BBG_Data!$I$2:$I$4000,0)),NA()))</f>
        <v/>
      </c>
      <c r="R414" s="18">
        <f>IF(NOT(ISNUMBER($A414)),NA(),IFERROR(1*INDEX(BBG_Data!$L$2:$L$4000,MATCH($A414,BBG_Data!$K$2:$K$4000,0)),NA()))</f>
        <v/>
      </c>
      <c r="S414" s="20">
        <f>IF(AND(ISNUMBER(B414),ISNUMBER(Q414),ISNUMBER(R414)),(B414-Q414-R414)*100,NA())</f>
        <v/>
      </c>
      <c r="T414" s="20">
        <f>IF(AND(ISNUMBER(B414),Settings!$B$17&gt;0),IF(ISNUMBER(INDEX($B:$B,Settings!$B$17)),(B414-INDEX($B:$B,Settings!$B$17))*100,NA()),NA())</f>
        <v/>
      </c>
      <c r="U414" s="20">
        <f>IF(AND(ISNUMBER(Q414),Settings!$B$17&gt;0),IF(ISNUMBER(INDEX($Q:$Q,Settings!$B$17)),(Q414-INDEX($Q:$Q,Settings!$B$17))*100,NA()),NA())</f>
        <v/>
      </c>
      <c r="V414" s="20">
        <f>IF(AND(ISNUMBER(R414),Settings!$B$17&gt;0),IF(ISNUMBER(INDEX($R:$R,Settings!$B$17)),(R414-INDEX($R:$R,Settings!$B$17))*100,NA()),NA())</f>
        <v/>
      </c>
      <c r="W414" s="20">
        <f>IF(AND(ISNUMBER(P414),Settings!$B$17&gt;0),IF(ISNUMBER(INDEX($P:$P,Settings!$B$17)),P414-INDEX($P:$P,Settings!$B$17),NA()),NA())</f>
        <v/>
      </c>
      <c r="X414" s="19">
        <f>IF(NOT(ISNUMBER($A414)),NA(),IF(OR($A414&lt;MIN(DKW_10Y!$A$2:$A$2918),$A414&gt;MAX(DKW_10Y!$A$2:$A$2918),Settings!$B$16&lt;MIN(DKW_10Y!$A$2:$A$2918)),NA(),(INDEX(DKW_10Y!$B$2:$B$2918,MATCH($A414,DKW_10Y!$A$2:$A$2918,1))-INDEX(DKW_10Y!$B$2:$B$2918,MATCH(Settings!$B$16,DKW_10Y!$A$2:$A$2918,1)))*100))</f>
        <v/>
      </c>
      <c r="Y414" s="19">
        <f>IF(NOT(ISNUMBER($A414)),NA(),IF(OR($A414&lt;MIN(DKW_10Y!$A$2:$A$2918),$A414&gt;MAX(DKW_10Y!$A$2:$A$2918),Settings!$B$16&lt;MIN(DKW_10Y!$A$2:$A$2918)),NA(),(INDEX(DKW_10Y!$C$2:$C$2918,MATCH($A414,DKW_10Y!$A$2:$A$2918,1))-INDEX(DKW_10Y!$C$2:$C$2918,MATCH(Settings!$B$16,DKW_10Y!$A$2:$A$2918,1)))*100))</f>
        <v/>
      </c>
      <c r="Z414" s="19">
        <f>IF(NOT(ISNUMBER($A414)),NA(),IF(OR($A414&lt;MIN(DKW_10Y!$A$2:$A$2918),$A414&gt;MAX(DKW_10Y!$A$2:$A$2918),Settings!$B$16&lt;MIN(DKW_10Y!$A$2:$A$2918)),NA(),(INDEX(DKW_10Y!$D$2:$D$2918,MATCH($A414,DKW_10Y!$A$2:$A$2918,1))-INDEX(DKW_10Y!$D$2:$D$2918,MATCH(Settings!$B$16,DKW_10Y!$A$2:$A$2918,1)))*100))</f>
        <v/>
      </c>
      <c r="AA414" s="19">
        <f>IF(NOT(ISNUMBER($A414)),NA(),IF(OR($A414&lt;MIN(DKW_10Y!$A$2:$A$2918),$A414&gt;MAX(DKW_10Y!$A$2:$A$2918),Settings!$B$16&lt;MIN(DKW_10Y!$A$2:$A$2918)),NA(),(INDEX(DKW_10Y!$E$2:$E$2918,MATCH($A414,DKW_10Y!$A$2:$A$2918,1))-INDEX(DKW_10Y!$E$2:$E$2918,MATCH(Settings!$B$16,DKW_10Y!$A$2:$A$2918,1)))*100))</f>
        <v/>
      </c>
      <c r="AB414" s="19">
        <f>IF(NOT(ISNUMBER($A414)),NA(),IF(OR($A414&lt;MIN(DKW_10Y!$A$2:$A$2918),$A414&gt;MAX(DKW_10Y!$A$2:$A$2918),Settings!$B$16&lt;MIN(DKW_10Y!$A$2:$A$2918)),NA(),(INDEX(DKW_10Y!$H$2:$H$2918,MATCH($A414,DKW_10Y!$A$2:$A$2918,1))-INDEX(DKW_10Y!$H$2:$H$2918,MATCH(Settings!$B$16,DKW_10Y!$A$2:$A$2918,1)))*100))</f>
        <v/>
      </c>
      <c r="AC414" s="18">
        <f>IF(NOT(ISNUMBER($A414)),NA(),IFERROR(1*INDEX(BBG_Data!$N$2:$N$4000,MATCH($A414,BBG_Data!$M$2:$M$4000,0)),NA()))</f>
        <v/>
      </c>
      <c r="AD414" s="18">
        <f>IF(NOT(ISNUMBER($A414)),NA(),IFERROR(1*INDEX(BBG_Data!$P$2:$P$4000,MATCH($A414,BBG_Data!$O$2:$O$4000,0)),NA()))</f>
        <v/>
      </c>
      <c r="AE414" s="18">
        <f>IF(NOT(ISNUMBER($A414)),NA(),IFERROR(1*INDEX(BBG_Data!$R$2:$R$4000,MATCH($A414,BBG_Data!$Q$2:$Q$4000,0)),NA()))</f>
        <v/>
      </c>
      <c r="AF414" s="20">
        <f>IF(AND(ISNUMBER(B414),ISNUMBER(AC414)),(B414-AC414)*100,NA())</f>
        <v/>
      </c>
      <c r="AG414" s="20">
        <f>IF(AND(ISNUMBER(AE414),ISNUMBER(AD414)),(AE414-AD414)*100,NA())</f>
        <v/>
      </c>
      <c r="AH414" s="19">
        <f>IF(NOT(ISNUMBER($A414)),NA(),IFERROR(INDEX(BBG_Data!$T$2:$T$4000,MATCH($A414,BBG_Data!$S$2:$S$4000,0))*Settings!$B$25,NA()))</f>
        <v/>
      </c>
      <c r="AI414" s="19">
        <f>IF(NOT(ISNUMBER($A414)),NA(),IFERROR(INDEX(BBG_Data!$V$2:$V$4000,MATCH($A414,BBG_Data!$U$2:$U$4000,0))*Settings!$B$25,NA()))</f>
        <v/>
      </c>
      <c r="AJ414" s="19">
        <f>IF(NOT(ISNUMBER($A414)),NA(),IFERROR(1*INDEX(BBG_Data!$X$2:$X$4000,MATCH($A414,BBG_Data!$W$2:$W$4000,0)),NA()))</f>
        <v/>
      </c>
      <c r="AK414" s="19">
        <f>IF(NOT(ISNUMBER($A414)),NA(),IFERROR(1*INDEX(BBG_Data!$Z$2:$Z$4000,MATCH($A414,BBG_Data!$Y$2:$Y$4000,0)),NA()))</f>
        <v/>
      </c>
    </row>
    <row r="415">
      <c r="A415" s="17">
        <f>IF(ISNUMBER(BBG_Data!A415),BBG_Data!A415,"")</f>
        <v/>
      </c>
      <c r="B415" s="18">
        <f>IF(AND(ISNUMBER($A415),ISNUMBER(BBG_Data!B415)),BBG_Data!B415,NA())</f>
        <v/>
      </c>
      <c r="C415" s="18">
        <f>IF(NOT(ISNUMBER($A415)),NA(),IFERROR(1*INDEX(BBG_Data!$D$2:$D$4000,MATCH($A415,BBG_Data!$C$2:$C$4000,0)),NA()))</f>
        <v/>
      </c>
      <c r="D415" s="19">
        <f>IF(NOT(ISNUMBER($A415)),NA(),IFERROR(1*INDEX(BBG_Data!$F$2:$F$4000,MATCH($A415,BBG_Data!$E$2:$E$4000,0)),NA()))</f>
        <v/>
      </c>
      <c r="E415" s="19">
        <f>IF(NOT(ISNUMBER($A415)),NA(),IFERROR(1*INDEX(BBG_Data!$H$2:$H$4000,MATCH($A415,BBG_Data!$G$2:$G$4000,0)),NA()))</f>
        <v/>
      </c>
      <c r="F415" s="20">
        <f>IF(AND(ISNUMBER(B415),ISNUMBER(B414)),IF(B415=B414,"",(B415-B414)*100),"")</f>
        <v/>
      </c>
      <c r="G415" s="20">
        <f>IF(AND(ISNUMBER(C415),ISNUMBER(C414)),IF(C415=C414,"",(C415-C414)*100),"")</f>
        <v/>
      </c>
      <c r="H415" s="20">
        <f>IF(OR(NOT(ISNUMBER($A415)),ROW()-2&lt;Settings!$B$11),NA(),IF(COUNT(OFFSET(F415,1-Settings!$B$11,0,Settings!$B$11,1))&lt;ROUNDUP(Settings!$B$11*Settings!$B$26,0),NA(),STDEV(OFFSET(F415,1-Settings!$B$11,0,Settings!$B$11,1))*SQRT(Settings!$B$13)))</f>
        <v/>
      </c>
      <c r="I415" s="20">
        <f>IF(OR(NOT(ISNUMBER($A415)),ROW()-2&lt;Settings!$B$12),NA(),IF(COUNT(OFFSET(F415,1-Settings!$B$12,0,Settings!$B$12,1))&lt;ROUNDUP(Settings!$B$12*Settings!$B$26,0),NA(),STDEV(OFFSET(F415,1-Settings!$B$12,0,Settings!$B$12,1))*SQRT(Settings!$B$13)))</f>
        <v/>
      </c>
      <c r="J415" s="20">
        <f>IF(OR(NOT(ISNUMBER($A415)),ROW()-2&lt;Settings!$B$11),NA(),IF(COUNT(OFFSET(G415,1-Settings!$B$11,0,Settings!$B$11,1))&lt;ROUNDUP(Settings!$B$11*Settings!$B$26,0),NA(),STDEV(OFFSET(G415,1-Settings!$B$11,0,Settings!$B$11,1))*SQRT(Settings!$B$13)))</f>
        <v/>
      </c>
      <c r="K415" s="20">
        <f>IF(OR(NOT(ISNUMBER($A415)),ROW()-2&lt;Settings!$B$12),NA(),IF(COUNT(OFFSET(G415,1-Settings!$B$12,0,Settings!$B$12,1))&lt;ROUNDUP(Settings!$B$12*Settings!$B$26,0),NA(),STDEV(OFFSET(G415,1-Settings!$B$12,0,Settings!$B$12,1))*SQRT(Settings!$B$13)))</f>
        <v/>
      </c>
      <c r="L415" s="20">
        <f>IF(AND(ISNUMBER(D415),ISNUMBER(H415)),D415-H415,NA())</f>
        <v/>
      </c>
      <c r="M415" s="20">
        <f>IF(AND(ISNUMBER(E415),ISNUMBER(K415)),E415-K415,NA())</f>
        <v/>
      </c>
      <c r="N415" s="20">
        <f>IF(NOT(ISNUMBER($A415)),NA(),IF(COUNT(OFFSET(G415,1,0,Settings!$B$12,1))&lt;ROUNDUP(Settings!$B$12*Settings!$B$26,0),NA(),STDEV(OFFSET(G415,1,0,Settings!$B$12,1))*SQRT(Settings!$B$13)))</f>
        <v/>
      </c>
      <c r="O415" s="20">
        <f>IF(AND(ISNUMBER(E415),ISNUMBER(N415)),E415-N415,NA())</f>
        <v/>
      </c>
      <c r="P415" s="19">
        <f>IF(NOT(ISNUMBER($A415)),NA(),IF(OR($A415&lt;MIN(KW_TP!$A$2:$A$2501),$A415&gt;MAX(KW_TP!$A$2:$A$2501)),NA(),INDEX(KW_TP!$C$2:$C$2501,MATCH($A415,KW_TP!$A$2:$A$2501,1))))</f>
        <v/>
      </c>
      <c r="Q415" s="18">
        <f>IF(NOT(ISNUMBER($A415)),NA(),IFERROR(1*INDEX(BBG_Data!$J$2:$J$4000,MATCH($A415,BBG_Data!$I$2:$I$4000,0)),NA()))</f>
        <v/>
      </c>
      <c r="R415" s="18">
        <f>IF(NOT(ISNUMBER($A415)),NA(),IFERROR(1*INDEX(BBG_Data!$L$2:$L$4000,MATCH($A415,BBG_Data!$K$2:$K$4000,0)),NA()))</f>
        <v/>
      </c>
      <c r="S415" s="20">
        <f>IF(AND(ISNUMBER(B415),ISNUMBER(Q415),ISNUMBER(R415)),(B415-Q415-R415)*100,NA())</f>
        <v/>
      </c>
      <c r="T415" s="20">
        <f>IF(AND(ISNUMBER(B415),Settings!$B$17&gt;0),IF(ISNUMBER(INDEX($B:$B,Settings!$B$17)),(B415-INDEX($B:$B,Settings!$B$17))*100,NA()),NA())</f>
        <v/>
      </c>
      <c r="U415" s="20">
        <f>IF(AND(ISNUMBER(Q415),Settings!$B$17&gt;0),IF(ISNUMBER(INDEX($Q:$Q,Settings!$B$17)),(Q415-INDEX($Q:$Q,Settings!$B$17))*100,NA()),NA())</f>
        <v/>
      </c>
      <c r="V415" s="20">
        <f>IF(AND(ISNUMBER(R415),Settings!$B$17&gt;0),IF(ISNUMBER(INDEX($R:$R,Settings!$B$17)),(R415-INDEX($R:$R,Settings!$B$17))*100,NA()),NA())</f>
        <v/>
      </c>
      <c r="W415" s="20">
        <f>IF(AND(ISNUMBER(P415),Settings!$B$17&gt;0),IF(ISNUMBER(INDEX($P:$P,Settings!$B$17)),P415-INDEX($P:$P,Settings!$B$17),NA()),NA())</f>
        <v/>
      </c>
      <c r="X415" s="19">
        <f>IF(NOT(ISNUMBER($A415)),NA(),IF(OR($A415&lt;MIN(DKW_10Y!$A$2:$A$2918),$A415&gt;MAX(DKW_10Y!$A$2:$A$2918),Settings!$B$16&lt;MIN(DKW_10Y!$A$2:$A$2918)),NA(),(INDEX(DKW_10Y!$B$2:$B$2918,MATCH($A415,DKW_10Y!$A$2:$A$2918,1))-INDEX(DKW_10Y!$B$2:$B$2918,MATCH(Settings!$B$16,DKW_10Y!$A$2:$A$2918,1)))*100))</f>
        <v/>
      </c>
      <c r="Y415" s="19">
        <f>IF(NOT(ISNUMBER($A415)),NA(),IF(OR($A415&lt;MIN(DKW_10Y!$A$2:$A$2918),$A415&gt;MAX(DKW_10Y!$A$2:$A$2918),Settings!$B$16&lt;MIN(DKW_10Y!$A$2:$A$2918)),NA(),(INDEX(DKW_10Y!$C$2:$C$2918,MATCH($A415,DKW_10Y!$A$2:$A$2918,1))-INDEX(DKW_10Y!$C$2:$C$2918,MATCH(Settings!$B$16,DKW_10Y!$A$2:$A$2918,1)))*100))</f>
        <v/>
      </c>
      <c r="Z415" s="19">
        <f>IF(NOT(ISNUMBER($A415)),NA(),IF(OR($A415&lt;MIN(DKW_10Y!$A$2:$A$2918),$A415&gt;MAX(DKW_10Y!$A$2:$A$2918),Settings!$B$16&lt;MIN(DKW_10Y!$A$2:$A$2918)),NA(),(INDEX(DKW_10Y!$D$2:$D$2918,MATCH($A415,DKW_10Y!$A$2:$A$2918,1))-INDEX(DKW_10Y!$D$2:$D$2918,MATCH(Settings!$B$16,DKW_10Y!$A$2:$A$2918,1)))*100))</f>
        <v/>
      </c>
      <c r="AA415" s="19">
        <f>IF(NOT(ISNUMBER($A415)),NA(),IF(OR($A415&lt;MIN(DKW_10Y!$A$2:$A$2918),$A415&gt;MAX(DKW_10Y!$A$2:$A$2918),Settings!$B$16&lt;MIN(DKW_10Y!$A$2:$A$2918)),NA(),(INDEX(DKW_10Y!$E$2:$E$2918,MATCH($A415,DKW_10Y!$A$2:$A$2918,1))-INDEX(DKW_10Y!$E$2:$E$2918,MATCH(Settings!$B$16,DKW_10Y!$A$2:$A$2918,1)))*100))</f>
        <v/>
      </c>
      <c r="AB415" s="19">
        <f>IF(NOT(ISNUMBER($A415)),NA(),IF(OR($A415&lt;MIN(DKW_10Y!$A$2:$A$2918),$A415&gt;MAX(DKW_10Y!$A$2:$A$2918),Settings!$B$16&lt;MIN(DKW_10Y!$A$2:$A$2918)),NA(),(INDEX(DKW_10Y!$H$2:$H$2918,MATCH($A415,DKW_10Y!$A$2:$A$2918,1))-INDEX(DKW_10Y!$H$2:$H$2918,MATCH(Settings!$B$16,DKW_10Y!$A$2:$A$2918,1)))*100))</f>
        <v/>
      </c>
      <c r="AC415" s="18">
        <f>IF(NOT(ISNUMBER($A415)),NA(),IFERROR(1*INDEX(BBG_Data!$N$2:$N$4000,MATCH($A415,BBG_Data!$M$2:$M$4000,0)),NA()))</f>
        <v/>
      </c>
      <c r="AD415" s="18">
        <f>IF(NOT(ISNUMBER($A415)),NA(),IFERROR(1*INDEX(BBG_Data!$P$2:$P$4000,MATCH($A415,BBG_Data!$O$2:$O$4000,0)),NA()))</f>
        <v/>
      </c>
      <c r="AE415" s="18">
        <f>IF(NOT(ISNUMBER($A415)),NA(),IFERROR(1*INDEX(BBG_Data!$R$2:$R$4000,MATCH($A415,BBG_Data!$Q$2:$Q$4000,0)),NA()))</f>
        <v/>
      </c>
      <c r="AF415" s="20">
        <f>IF(AND(ISNUMBER(B415),ISNUMBER(AC415)),(B415-AC415)*100,NA())</f>
        <v/>
      </c>
      <c r="AG415" s="20">
        <f>IF(AND(ISNUMBER(AE415),ISNUMBER(AD415)),(AE415-AD415)*100,NA())</f>
        <v/>
      </c>
      <c r="AH415" s="19">
        <f>IF(NOT(ISNUMBER($A415)),NA(),IFERROR(INDEX(BBG_Data!$T$2:$T$4000,MATCH($A415,BBG_Data!$S$2:$S$4000,0))*Settings!$B$25,NA()))</f>
        <v/>
      </c>
      <c r="AI415" s="19">
        <f>IF(NOT(ISNUMBER($A415)),NA(),IFERROR(INDEX(BBG_Data!$V$2:$V$4000,MATCH($A415,BBG_Data!$U$2:$U$4000,0))*Settings!$B$25,NA()))</f>
        <v/>
      </c>
      <c r="AJ415" s="19">
        <f>IF(NOT(ISNUMBER($A415)),NA(),IFERROR(1*INDEX(BBG_Data!$X$2:$X$4000,MATCH($A415,BBG_Data!$W$2:$W$4000,0)),NA()))</f>
        <v/>
      </c>
      <c r="AK415" s="19">
        <f>IF(NOT(ISNUMBER($A415)),NA(),IFERROR(1*INDEX(BBG_Data!$Z$2:$Z$4000,MATCH($A415,BBG_Data!$Y$2:$Y$4000,0)),NA()))</f>
        <v/>
      </c>
    </row>
    <row r="416">
      <c r="A416" s="17">
        <f>IF(ISNUMBER(BBG_Data!A416),BBG_Data!A416,"")</f>
        <v/>
      </c>
      <c r="B416" s="18">
        <f>IF(AND(ISNUMBER($A416),ISNUMBER(BBG_Data!B416)),BBG_Data!B416,NA())</f>
        <v/>
      </c>
      <c r="C416" s="18">
        <f>IF(NOT(ISNUMBER($A416)),NA(),IFERROR(1*INDEX(BBG_Data!$D$2:$D$4000,MATCH($A416,BBG_Data!$C$2:$C$4000,0)),NA()))</f>
        <v/>
      </c>
      <c r="D416" s="19">
        <f>IF(NOT(ISNUMBER($A416)),NA(),IFERROR(1*INDEX(BBG_Data!$F$2:$F$4000,MATCH($A416,BBG_Data!$E$2:$E$4000,0)),NA()))</f>
        <v/>
      </c>
      <c r="E416" s="19">
        <f>IF(NOT(ISNUMBER($A416)),NA(),IFERROR(1*INDEX(BBG_Data!$H$2:$H$4000,MATCH($A416,BBG_Data!$G$2:$G$4000,0)),NA()))</f>
        <v/>
      </c>
      <c r="F416" s="20">
        <f>IF(AND(ISNUMBER(B416),ISNUMBER(B415)),IF(B416=B415,"",(B416-B415)*100),"")</f>
        <v/>
      </c>
      <c r="G416" s="20">
        <f>IF(AND(ISNUMBER(C416),ISNUMBER(C415)),IF(C416=C415,"",(C416-C415)*100),"")</f>
        <v/>
      </c>
      <c r="H416" s="20">
        <f>IF(OR(NOT(ISNUMBER($A416)),ROW()-2&lt;Settings!$B$11),NA(),IF(COUNT(OFFSET(F416,1-Settings!$B$11,0,Settings!$B$11,1))&lt;ROUNDUP(Settings!$B$11*Settings!$B$26,0),NA(),STDEV(OFFSET(F416,1-Settings!$B$11,0,Settings!$B$11,1))*SQRT(Settings!$B$13)))</f>
        <v/>
      </c>
      <c r="I416" s="20">
        <f>IF(OR(NOT(ISNUMBER($A416)),ROW()-2&lt;Settings!$B$12),NA(),IF(COUNT(OFFSET(F416,1-Settings!$B$12,0,Settings!$B$12,1))&lt;ROUNDUP(Settings!$B$12*Settings!$B$26,0),NA(),STDEV(OFFSET(F416,1-Settings!$B$12,0,Settings!$B$12,1))*SQRT(Settings!$B$13)))</f>
        <v/>
      </c>
      <c r="J416" s="20">
        <f>IF(OR(NOT(ISNUMBER($A416)),ROW()-2&lt;Settings!$B$11),NA(),IF(COUNT(OFFSET(G416,1-Settings!$B$11,0,Settings!$B$11,1))&lt;ROUNDUP(Settings!$B$11*Settings!$B$26,0),NA(),STDEV(OFFSET(G416,1-Settings!$B$11,0,Settings!$B$11,1))*SQRT(Settings!$B$13)))</f>
        <v/>
      </c>
      <c r="K416" s="20">
        <f>IF(OR(NOT(ISNUMBER($A416)),ROW()-2&lt;Settings!$B$12),NA(),IF(COUNT(OFFSET(G416,1-Settings!$B$12,0,Settings!$B$12,1))&lt;ROUNDUP(Settings!$B$12*Settings!$B$26,0),NA(),STDEV(OFFSET(G416,1-Settings!$B$12,0,Settings!$B$12,1))*SQRT(Settings!$B$13)))</f>
        <v/>
      </c>
      <c r="L416" s="20">
        <f>IF(AND(ISNUMBER(D416),ISNUMBER(H416)),D416-H416,NA())</f>
        <v/>
      </c>
      <c r="M416" s="20">
        <f>IF(AND(ISNUMBER(E416),ISNUMBER(K416)),E416-K416,NA())</f>
        <v/>
      </c>
      <c r="N416" s="20">
        <f>IF(NOT(ISNUMBER($A416)),NA(),IF(COUNT(OFFSET(G416,1,0,Settings!$B$12,1))&lt;ROUNDUP(Settings!$B$12*Settings!$B$26,0),NA(),STDEV(OFFSET(G416,1,0,Settings!$B$12,1))*SQRT(Settings!$B$13)))</f>
        <v/>
      </c>
      <c r="O416" s="20">
        <f>IF(AND(ISNUMBER(E416),ISNUMBER(N416)),E416-N416,NA())</f>
        <v/>
      </c>
      <c r="P416" s="19">
        <f>IF(NOT(ISNUMBER($A416)),NA(),IF(OR($A416&lt;MIN(KW_TP!$A$2:$A$2501),$A416&gt;MAX(KW_TP!$A$2:$A$2501)),NA(),INDEX(KW_TP!$C$2:$C$2501,MATCH($A416,KW_TP!$A$2:$A$2501,1))))</f>
        <v/>
      </c>
      <c r="Q416" s="18">
        <f>IF(NOT(ISNUMBER($A416)),NA(),IFERROR(1*INDEX(BBG_Data!$J$2:$J$4000,MATCH($A416,BBG_Data!$I$2:$I$4000,0)),NA()))</f>
        <v/>
      </c>
      <c r="R416" s="18">
        <f>IF(NOT(ISNUMBER($A416)),NA(),IFERROR(1*INDEX(BBG_Data!$L$2:$L$4000,MATCH($A416,BBG_Data!$K$2:$K$4000,0)),NA()))</f>
        <v/>
      </c>
      <c r="S416" s="20">
        <f>IF(AND(ISNUMBER(B416),ISNUMBER(Q416),ISNUMBER(R416)),(B416-Q416-R416)*100,NA())</f>
        <v/>
      </c>
      <c r="T416" s="20">
        <f>IF(AND(ISNUMBER(B416),Settings!$B$17&gt;0),IF(ISNUMBER(INDEX($B:$B,Settings!$B$17)),(B416-INDEX($B:$B,Settings!$B$17))*100,NA()),NA())</f>
        <v/>
      </c>
      <c r="U416" s="20">
        <f>IF(AND(ISNUMBER(Q416),Settings!$B$17&gt;0),IF(ISNUMBER(INDEX($Q:$Q,Settings!$B$17)),(Q416-INDEX($Q:$Q,Settings!$B$17))*100,NA()),NA())</f>
        <v/>
      </c>
      <c r="V416" s="20">
        <f>IF(AND(ISNUMBER(R416),Settings!$B$17&gt;0),IF(ISNUMBER(INDEX($R:$R,Settings!$B$17)),(R416-INDEX($R:$R,Settings!$B$17))*100,NA()),NA())</f>
        <v/>
      </c>
      <c r="W416" s="20">
        <f>IF(AND(ISNUMBER(P416),Settings!$B$17&gt;0),IF(ISNUMBER(INDEX($P:$P,Settings!$B$17)),P416-INDEX($P:$P,Settings!$B$17),NA()),NA())</f>
        <v/>
      </c>
      <c r="X416" s="19">
        <f>IF(NOT(ISNUMBER($A416)),NA(),IF(OR($A416&lt;MIN(DKW_10Y!$A$2:$A$2918),$A416&gt;MAX(DKW_10Y!$A$2:$A$2918),Settings!$B$16&lt;MIN(DKW_10Y!$A$2:$A$2918)),NA(),(INDEX(DKW_10Y!$B$2:$B$2918,MATCH($A416,DKW_10Y!$A$2:$A$2918,1))-INDEX(DKW_10Y!$B$2:$B$2918,MATCH(Settings!$B$16,DKW_10Y!$A$2:$A$2918,1)))*100))</f>
        <v/>
      </c>
      <c r="Y416" s="19">
        <f>IF(NOT(ISNUMBER($A416)),NA(),IF(OR($A416&lt;MIN(DKW_10Y!$A$2:$A$2918),$A416&gt;MAX(DKW_10Y!$A$2:$A$2918),Settings!$B$16&lt;MIN(DKW_10Y!$A$2:$A$2918)),NA(),(INDEX(DKW_10Y!$C$2:$C$2918,MATCH($A416,DKW_10Y!$A$2:$A$2918,1))-INDEX(DKW_10Y!$C$2:$C$2918,MATCH(Settings!$B$16,DKW_10Y!$A$2:$A$2918,1)))*100))</f>
        <v/>
      </c>
      <c r="Z416" s="19">
        <f>IF(NOT(ISNUMBER($A416)),NA(),IF(OR($A416&lt;MIN(DKW_10Y!$A$2:$A$2918),$A416&gt;MAX(DKW_10Y!$A$2:$A$2918),Settings!$B$16&lt;MIN(DKW_10Y!$A$2:$A$2918)),NA(),(INDEX(DKW_10Y!$D$2:$D$2918,MATCH($A416,DKW_10Y!$A$2:$A$2918,1))-INDEX(DKW_10Y!$D$2:$D$2918,MATCH(Settings!$B$16,DKW_10Y!$A$2:$A$2918,1)))*100))</f>
        <v/>
      </c>
      <c r="AA416" s="19">
        <f>IF(NOT(ISNUMBER($A416)),NA(),IF(OR($A416&lt;MIN(DKW_10Y!$A$2:$A$2918),$A416&gt;MAX(DKW_10Y!$A$2:$A$2918),Settings!$B$16&lt;MIN(DKW_10Y!$A$2:$A$2918)),NA(),(INDEX(DKW_10Y!$E$2:$E$2918,MATCH($A416,DKW_10Y!$A$2:$A$2918,1))-INDEX(DKW_10Y!$E$2:$E$2918,MATCH(Settings!$B$16,DKW_10Y!$A$2:$A$2918,1)))*100))</f>
        <v/>
      </c>
      <c r="AB416" s="19">
        <f>IF(NOT(ISNUMBER($A416)),NA(),IF(OR($A416&lt;MIN(DKW_10Y!$A$2:$A$2918),$A416&gt;MAX(DKW_10Y!$A$2:$A$2918),Settings!$B$16&lt;MIN(DKW_10Y!$A$2:$A$2918)),NA(),(INDEX(DKW_10Y!$H$2:$H$2918,MATCH($A416,DKW_10Y!$A$2:$A$2918,1))-INDEX(DKW_10Y!$H$2:$H$2918,MATCH(Settings!$B$16,DKW_10Y!$A$2:$A$2918,1)))*100))</f>
        <v/>
      </c>
      <c r="AC416" s="18">
        <f>IF(NOT(ISNUMBER($A416)),NA(),IFERROR(1*INDEX(BBG_Data!$N$2:$N$4000,MATCH($A416,BBG_Data!$M$2:$M$4000,0)),NA()))</f>
        <v/>
      </c>
      <c r="AD416" s="18">
        <f>IF(NOT(ISNUMBER($A416)),NA(),IFERROR(1*INDEX(BBG_Data!$P$2:$P$4000,MATCH($A416,BBG_Data!$O$2:$O$4000,0)),NA()))</f>
        <v/>
      </c>
      <c r="AE416" s="18">
        <f>IF(NOT(ISNUMBER($A416)),NA(),IFERROR(1*INDEX(BBG_Data!$R$2:$R$4000,MATCH($A416,BBG_Data!$Q$2:$Q$4000,0)),NA()))</f>
        <v/>
      </c>
      <c r="AF416" s="20">
        <f>IF(AND(ISNUMBER(B416),ISNUMBER(AC416)),(B416-AC416)*100,NA())</f>
        <v/>
      </c>
      <c r="AG416" s="20">
        <f>IF(AND(ISNUMBER(AE416),ISNUMBER(AD416)),(AE416-AD416)*100,NA())</f>
        <v/>
      </c>
      <c r="AH416" s="19">
        <f>IF(NOT(ISNUMBER($A416)),NA(),IFERROR(INDEX(BBG_Data!$T$2:$T$4000,MATCH($A416,BBG_Data!$S$2:$S$4000,0))*Settings!$B$25,NA()))</f>
        <v/>
      </c>
      <c r="AI416" s="19">
        <f>IF(NOT(ISNUMBER($A416)),NA(),IFERROR(INDEX(BBG_Data!$V$2:$V$4000,MATCH($A416,BBG_Data!$U$2:$U$4000,0))*Settings!$B$25,NA()))</f>
        <v/>
      </c>
      <c r="AJ416" s="19">
        <f>IF(NOT(ISNUMBER($A416)),NA(),IFERROR(1*INDEX(BBG_Data!$X$2:$X$4000,MATCH($A416,BBG_Data!$W$2:$W$4000,0)),NA()))</f>
        <v/>
      </c>
      <c r="AK416" s="19">
        <f>IF(NOT(ISNUMBER($A416)),NA(),IFERROR(1*INDEX(BBG_Data!$Z$2:$Z$4000,MATCH($A416,BBG_Data!$Y$2:$Y$4000,0)),NA()))</f>
        <v/>
      </c>
    </row>
    <row r="417">
      <c r="A417" s="17">
        <f>IF(ISNUMBER(BBG_Data!A417),BBG_Data!A417,"")</f>
        <v/>
      </c>
      <c r="B417" s="18">
        <f>IF(AND(ISNUMBER($A417),ISNUMBER(BBG_Data!B417)),BBG_Data!B417,NA())</f>
        <v/>
      </c>
      <c r="C417" s="18">
        <f>IF(NOT(ISNUMBER($A417)),NA(),IFERROR(1*INDEX(BBG_Data!$D$2:$D$4000,MATCH($A417,BBG_Data!$C$2:$C$4000,0)),NA()))</f>
        <v/>
      </c>
      <c r="D417" s="19">
        <f>IF(NOT(ISNUMBER($A417)),NA(),IFERROR(1*INDEX(BBG_Data!$F$2:$F$4000,MATCH($A417,BBG_Data!$E$2:$E$4000,0)),NA()))</f>
        <v/>
      </c>
      <c r="E417" s="19">
        <f>IF(NOT(ISNUMBER($A417)),NA(),IFERROR(1*INDEX(BBG_Data!$H$2:$H$4000,MATCH($A417,BBG_Data!$G$2:$G$4000,0)),NA()))</f>
        <v/>
      </c>
      <c r="F417" s="20">
        <f>IF(AND(ISNUMBER(B417),ISNUMBER(B416)),IF(B417=B416,"",(B417-B416)*100),"")</f>
        <v/>
      </c>
      <c r="G417" s="20">
        <f>IF(AND(ISNUMBER(C417),ISNUMBER(C416)),IF(C417=C416,"",(C417-C416)*100),"")</f>
        <v/>
      </c>
      <c r="H417" s="20">
        <f>IF(OR(NOT(ISNUMBER($A417)),ROW()-2&lt;Settings!$B$11),NA(),IF(COUNT(OFFSET(F417,1-Settings!$B$11,0,Settings!$B$11,1))&lt;ROUNDUP(Settings!$B$11*Settings!$B$26,0),NA(),STDEV(OFFSET(F417,1-Settings!$B$11,0,Settings!$B$11,1))*SQRT(Settings!$B$13)))</f>
        <v/>
      </c>
      <c r="I417" s="20">
        <f>IF(OR(NOT(ISNUMBER($A417)),ROW()-2&lt;Settings!$B$12),NA(),IF(COUNT(OFFSET(F417,1-Settings!$B$12,0,Settings!$B$12,1))&lt;ROUNDUP(Settings!$B$12*Settings!$B$26,0),NA(),STDEV(OFFSET(F417,1-Settings!$B$12,0,Settings!$B$12,1))*SQRT(Settings!$B$13)))</f>
        <v/>
      </c>
      <c r="J417" s="20">
        <f>IF(OR(NOT(ISNUMBER($A417)),ROW()-2&lt;Settings!$B$11),NA(),IF(COUNT(OFFSET(G417,1-Settings!$B$11,0,Settings!$B$11,1))&lt;ROUNDUP(Settings!$B$11*Settings!$B$26,0),NA(),STDEV(OFFSET(G417,1-Settings!$B$11,0,Settings!$B$11,1))*SQRT(Settings!$B$13)))</f>
        <v/>
      </c>
      <c r="K417" s="20">
        <f>IF(OR(NOT(ISNUMBER($A417)),ROW()-2&lt;Settings!$B$12),NA(),IF(COUNT(OFFSET(G417,1-Settings!$B$12,0,Settings!$B$12,1))&lt;ROUNDUP(Settings!$B$12*Settings!$B$26,0),NA(),STDEV(OFFSET(G417,1-Settings!$B$12,0,Settings!$B$12,1))*SQRT(Settings!$B$13)))</f>
        <v/>
      </c>
      <c r="L417" s="20">
        <f>IF(AND(ISNUMBER(D417),ISNUMBER(H417)),D417-H417,NA())</f>
        <v/>
      </c>
      <c r="M417" s="20">
        <f>IF(AND(ISNUMBER(E417),ISNUMBER(K417)),E417-K417,NA())</f>
        <v/>
      </c>
      <c r="N417" s="20">
        <f>IF(NOT(ISNUMBER($A417)),NA(),IF(COUNT(OFFSET(G417,1,0,Settings!$B$12,1))&lt;ROUNDUP(Settings!$B$12*Settings!$B$26,0),NA(),STDEV(OFFSET(G417,1,0,Settings!$B$12,1))*SQRT(Settings!$B$13)))</f>
        <v/>
      </c>
      <c r="O417" s="20">
        <f>IF(AND(ISNUMBER(E417),ISNUMBER(N417)),E417-N417,NA())</f>
        <v/>
      </c>
      <c r="P417" s="19">
        <f>IF(NOT(ISNUMBER($A417)),NA(),IF(OR($A417&lt;MIN(KW_TP!$A$2:$A$2501),$A417&gt;MAX(KW_TP!$A$2:$A$2501)),NA(),INDEX(KW_TP!$C$2:$C$2501,MATCH($A417,KW_TP!$A$2:$A$2501,1))))</f>
        <v/>
      </c>
      <c r="Q417" s="18">
        <f>IF(NOT(ISNUMBER($A417)),NA(),IFERROR(1*INDEX(BBG_Data!$J$2:$J$4000,MATCH($A417,BBG_Data!$I$2:$I$4000,0)),NA()))</f>
        <v/>
      </c>
      <c r="R417" s="18">
        <f>IF(NOT(ISNUMBER($A417)),NA(),IFERROR(1*INDEX(BBG_Data!$L$2:$L$4000,MATCH($A417,BBG_Data!$K$2:$K$4000,0)),NA()))</f>
        <v/>
      </c>
      <c r="S417" s="20">
        <f>IF(AND(ISNUMBER(B417),ISNUMBER(Q417),ISNUMBER(R417)),(B417-Q417-R417)*100,NA())</f>
        <v/>
      </c>
      <c r="T417" s="20">
        <f>IF(AND(ISNUMBER(B417),Settings!$B$17&gt;0),IF(ISNUMBER(INDEX($B:$B,Settings!$B$17)),(B417-INDEX($B:$B,Settings!$B$17))*100,NA()),NA())</f>
        <v/>
      </c>
      <c r="U417" s="20">
        <f>IF(AND(ISNUMBER(Q417),Settings!$B$17&gt;0),IF(ISNUMBER(INDEX($Q:$Q,Settings!$B$17)),(Q417-INDEX($Q:$Q,Settings!$B$17))*100,NA()),NA())</f>
        <v/>
      </c>
      <c r="V417" s="20">
        <f>IF(AND(ISNUMBER(R417),Settings!$B$17&gt;0),IF(ISNUMBER(INDEX($R:$R,Settings!$B$17)),(R417-INDEX($R:$R,Settings!$B$17))*100,NA()),NA())</f>
        <v/>
      </c>
      <c r="W417" s="20">
        <f>IF(AND(ISNUMBER(P417),Settings!$B$17&gt;0),IF(ISNUMBER(INDEX($P:$P,Settings!$B$17)),P417-INDEX($P:$P,Settings!$B$17),NA()),NA())</f>
        <v/>
      </c>
      <c r="X417" s="19">
        <f>IF(NOT(ISNUMBER($A417)),NA(),IF(OR($A417&lt;MIN(DKW_10Y!$A$2:$A$2918),$A417&gt;MAX(DKW_10Y!$A$2:$A$2918),Settings!$B$16&lt;MIN(DKW_10Y!$A$2:$A$2918)),NA(),(INDEX(DKW_10Y!$B$2:$B$2918,MATCH($A417,DKW_10Y!$A$2:$A$2918,1))-INDEX(DKW_10Y!$B$2:$B$2918,MATCH(Settings!$B$16,DKW_10Y!$A$2:$A$2918,1)))*100))</f>
        <v/>
      </c>
      <c r="Y417" s="19">
        <f>IF(NOT(ISNUMBER($A417)),NA(),IF(OR($A417&lt;MIN(DKW_10Y!$A$2:$A$2918),$A417&gt;MAX(DKW_10Y!$A$2:$A$2918),Settings!$B$16&lt;MIN(DKW_10Y!$A$2:$A$2918)),NA(),(INDEX(DKW_10Y!$C$2:$C$2918,MATCH($A417,DKW_10Y!$A$2:$A$2918,1))-INDEX(DKW_10Y!$C$2:$C$2918,MATCH(Settings!$B$16,DKW_10Y!$A$2:$A$2918,1)))*100))</f>
        <v/>
      </c>
      <c r="Z417" s="19">
        <f>IF(NOT(ISNUMBER($A417)),NA(),IF(OR($A417&lt;MIN(DKW_10Y!$A$2:$A$2918),$A417&gt;MAX(DKW_10Y!$A$2:$A$2918),Settings!$B$16&lt;MIN(DKW_10Y!$A$2:$A$2918)),NA(),(INDEX(DKW_10Y!$D$2:$D$2918,MATCH($A417,DKW_10Y!$A$2:$A$2918,1))-INDEX(DKW_10Y!$D$2:$D$2918,MATCH(Settings!$B$16,DKW_10Y!$A$2:$A$2918,1)))*100))</f>
        <v/>
      </c>
      <c r="AA417" s="19">
        <f>IF(NOT(ISNUMBER($A417)),NA(),IF(OR($A417&lt;MIN(DKW_10Y!$A$2:$A$2918),$A417&gt;MAX(DKW_10Y!$A$2:$A$2918),Settings!$B$16&lt;MIN(DKW_10Y!$A$2:$A$2918)),NA(),(INDEX(DKW_10Y!$E$2:$E$2918,MATCH($A417,DKW_10Y!$A$2:$A$2918,1))-INDEX(DKW_10Y!$E$2:$E$2918,MATCH(Settings!$B$16,DKW_10Y!$A$2:$A$2918,1)))*100))</f>
        <v/>
      </c>
      <c r="AB417" s="19">
        <f>IF(NOT(ISNUMBER($A417)),NA(),IF(OR($A417&lt;MIN(DKW_10Y!$A$2:$A$2918),$A417&gt;MAX(DKW_10Y!$A$2:$A$2918),Settings!$B$16&lt;MIN(DKW_10Y!$A$2:$A$2918)),NA(),(INDEX(DKW_10Y!$H$2:$H$2918,MATCH($A417,DKW_10Y!$A$2:$A$2918,1))-INDEX(DKW_10Y!$H$2:$H$2918,MATCH(Settings!$B$16,DKW_10Y!$A$2:$A$2918,1)))*100))</f>
        <v/>
      </c>
      <c r="AC417" s="18">
        <f>IF(NOT(ISNUMBER($A417)),NA(),IFERROR(1*INDEX(BBG_Data!$N$2:$N$4000,MATCH($A417,BBG_Data!$M$2:$M$4000,0)),NA()))</f>
        <v/>
      </c>
      <c r="AD417" s="18">
        <f>IF(NOT(ISNUMBER($A417)),NA(),IFERROR(1*INDEX(BBG_Data!$P$2:$P$4000,MATCH($A417,BBG_Data!$O$2:$O$4000,0)),NA()))</f>
        <v/>
      </c>
      <c r="AE417" s="18">
        <f>IF(NOT(ISNUMBER($A417)),NA(),IFERROR(1*INDEX(BBG_Data!$R$2:$R$4000,MATCH($A417,BBG_Data!$Q$2:$Q$4000,0)),NA()))</f>
        <v/>
      </c>
      <c r="AF417" s="20">
        <f>IF(AND(ISNUMBER(B417),ISNUMBER(AC417)),(B417-AC417)*100,NA())</f>
        <v/>
      </c>
      <c r="AG417" s="20">
        <f>IF(AND(ISNUMBER(AE417),ISNUMBER(AD417)),(AE417-AD417)*100,NA())</f>
        <v/>
      </c>
      <c r="AH417" s="19">
        <f>IF(NOT(ISNUMBER($A417)),NA(),IFERROR(INDEX(BBG_Data!$T$2:$T$4000,MATCH($A417,BBG_Data!$S$2:$S$4000,0))*Settings!$B$25,NA()))</f>
        <v/>
      </c>
      <c r="AI417" s="19">
        <f>IF(NOT(ISNUMBER($A417)),NA(),IFERROR(INDEX(BBG_Data!$V$2:$V$4000,MATCH($A417,BBG_Data!$U$2:$U$4000,0))*Settings!$B$25,NA()))</f>
        <v/>
      </c>
      <c r="AJ417" s="19">
        <f>IF(NOT(ISNUMBER($A417)),NA(),IFERROR(1*INDEX(BBG_Data!$X$2:$X$4000,MATCH($A417,BBG_Data!$W$2:$W$4000,0)),NA()))</f>
        <v/>
      </c>
      <c r="AK417" s="19">
        <f>IF(NOT(ISNUMBER($A417)),NA(),IFERROR(1*INDEX(BBG_Data!$Z$2:$Z$4000,MATCH($A417,BBG_Data!$Y$2:$Y$4000,0)),NA()))</f>
        <v/>
      </c>
    </row>
    <row r="418">
      <c r="A418" s="17">
        <f>IF(ISNUMBER(BBG_Data!A418),BBG_Data!A418,"")</f>
        <v/>
      </c>
      <c r="B418" s="18">
        <f>IF(AND(ISNUMBER($A418),ISNUMBER(BBG_Data!B418)),BBG_Data!B418,NA())</f>
        <v/>
      </c>
      <c r="C418" s="18">
        <f>IF(NOT(ISNUMBER($A418)),NA(),IFERROR(1*INDEX(BBG_Data!$D$2:$D$4000,MATCH($A418,BBG_Data!$C$2:$C$4000,0)),NA()))</f>
        <v/>
      </c>
      <c r="D418" s="19">
        <f>IF(NOT(ISNUMBER($A418)),NA(),IFERROR(1*INDEX(BBG_Data!$F$2:$F$4000,MATCH($A418,BBG_Data!$E$2:$E$4000,0)),NA()))</f>
        <v/>
      </c>
      <c r="E418" s="19">
        <f>IF(NOT(ISNUMBER($A418)),NA(),IFERROR(1*INDEX(BBG_Data!$H$2:$H$4000,MATCH($A418,BBG_Data!$G$2:$G$4000,0)),NA()))</f>
        <v/>
      </c>
      <c r="F418" s="20">
        <f>IF(AND(ISNUMBER(B418),ISNUMBER(B417)),IF(B418=B417,"",(B418-B417)*100),"")</f>
        <v/>
      </c>
      <c r="G418" s="20">
        <f>IF(AND(ISNUMBER(C418),ISNUMBER(C417)),IF(C418=C417,"",(C418-C417)*100),"")</f>
        <v/>
      </c>
      <c r="H418" s="20">
        <f>IF(OR(NOT(ISNUMBER($A418)),ROW()-2&lt;Settings!$B$11),NA(),IF(COUNT(OFFSET(F418,1-Settings!$B$11,0,Settings!$B$11,1))&lt;ROUNDUP(Settings!$B$11*Settings!$B$26,0),NA(),STDEV(OFFSET(F418,1-Settings!$B$11,0,Settings!$B$11,1))*SQRT(Settings!$B$13)))</f>
        <v/>
      </c>
      <c r="I418" s="20">
        <f>IF(OR(NOT(ISNUMBER($A418)),ROW()-2&lt;Settings!$B$12),NA(),IF(COUNT(OFFSET(F418,1-Settings!$B$12,0,Settings!$B$12,1))&lt;ROUNDUP(Settings!$B$12*Settings!$B$26,0),NA(),STDEV(OFFSET(F418,1-Settings!$B$12,0,Settings!$B$12,1))*SQRT(Settings!$B$13)))</f>
        <v/>
      </c>
      <c r="J418" s="20">
        <f>IF(OR(NOT(ISNUMBER($A418)),ROW()-2&lt;Settings!$B$11),NA(),IF(COUNT(OFFSET(G418,1-Settings!$B$11,0,Settings!$B$11,1))&lt;ROUNDUP(Settings!$B$11*Settings!$B$26,0),NA(),STDEV(OFFSET(G418,1-Settings!$B$11,0,Settings!$B$11,1))*SQRT(Settings!$B$13)))</f>
        <v/>
      </c>
      <c r="K418" s="20">
        <f>IF(OR(NOT(ISNUMBER($A418)),ROW()-2&lt;Settings!$B$12),NA(),IF(COUNT(OFFSET(G418,1-Settings!$B$12,0,Settings!$B$12,1))&lt;ROUNDUP(Settings!$B$12*Settings!$B$26,0),NA(),STDEV(OFFSET(G418,1-Settings!$B$12,0,Settings!$B$12,1))*SQRT(Settings!$B$13)))</f>
        <v/>
      </c>
      <c r="L418" s="20">
        <f>IF(AND(ISNUMBER(D418),ISNUMBER(H418)),D418-H418,NA())</f>
        <v/>
      </c>
      <c r="M418" s="20">
        <f>IF(AND(ISNUMBER(E418),ISNUMBER(K418)),E418-K418,NA())</f>
        <v/>
      </c>
      <c r="N418" s="20">
        <f>IF(NOT(ISNUMBER($A418)),NA(),IF(COUNT(OFFSET(G418,1,0,Settings!$B$12,1))&lt;ROUNDUP(Settings!$B$12*Settings!$B$26,0),NA(),STDEV(OFFSET(G418,1,0,Settings!$B$12,1))*SQRT(Settings!$B$13)))</f>
        <v/>
      </c>
      <c r="O418" s="20">
        <f>IF(AND(ISNUMBER(E418),ISNUMBER(N418)),E418-N418,NA())</f>
        <v/>
      </c>
      <c r="P418" s="19">
        <f>IF(NOT(ISNUMBER($A418)),NA(),IF(OR($A418&lt;MIN(KW_TP!$A$2:$A$2501),$A418&gt;MAX(KW_TP!$A$2:$A$2501)),NA(),INDEX(KW_TP!$C$2:$C$2501,MATCH($A418,KW_TP!$A$2:$A$2501,1))))</f>
        <v/>
      </c>
      <c r="Q418" s="18">
        <f>IF(NOT(ISNUMBER($A418)),NA(),IFERROR(1*INDEX(BBG_Data!$J$2:$J$4000,MATCH($A418,BBG_Data!$I$2:$I$4000,0)),NA()))</f>
        <v/>
      </c>
      <c r="R418" s="18">
        <f>IF(NOT(ISNUMBER($A418)),NA(),IFERROR(1*INDEX(BBG_Data!$L$2:$L$4000,MATCH($A418,BBG_Data!$K$2:$K$4000,0)),NA()))</f>
        <v/>
      </c>
      <c r="S418" s="20">
        <f>IF(AND(ISNUMBER(B418),ISNUMBER(Q418),ISNUMBER(R418)),(B418-Q418-R418)*100,NA())</f>
        <v/>
      </c>
      <c r="T418" s="20">
        <f>IF(AND(ISNUMBER(B418),Settings!$B$17&gt;0),IF(ISNUMBER(INDEX($B:$B,Settings!$B$17)),(B418-INDEX($B:$B,Settings!$B$17))*100,NA()),NA())</f>
        <v/>
      </c>
      <c r="U418" s="20">
        <f>IF(AND(ISNUMBER(Q418),Settings!$B$17&gt;0),IF(ISNUMBER(INDEX($Q:$Q,Settings!$B$17)),(Q418-INDEX($Q:$Q,Settings!$B$17))*100,NA()),NA())</f>
        <v/>
      </c>
      <c r="V418" s="20">
        <f>IF(AND(ISNUMBER(R418),Settings!$B$17&gt;0),IF(ISNUMBER(INDEX($R:$R,Settings!$B$17)),(R418-INDEX($R:$R,Settings!$B$17))*100,NA()),NA())</f>
        <v/>
      </c>
      <c r="W418" s="20">
        <f>IF(AND(ISNUMBER(P418),Settings!$B$17&gt;0),IF(ISNUMBER(INDEX($P:$P,Settings!$B$17)),P418-INDEX($P:$P,Settings!$B$17),NA()),NA())</f>
        <v/>
      </c>
      <c r="X418" s="19">
        <f>IF(NOT(ISNUMBER($A418)),NA(),IF(OR($A418&lt;MIN(DKW_10Y!$A$2:$A$2918),$A418&gt;MAX(DKW_10Y!$A$2:$A$2918),Settings!$B$16&lt;MIN(DKW_10Y!$A$2:$A$2918)),NA(),(INDEX(DKW_10Y!$B$2:$B$2918,MATCH($A418,DKW_10Y!$A$2:$A$2918,1))-INDEX(DKW_10Y!$B$2:$B$2918,MATCH(Settings!$B$16,DKW_10Y!$A$2:$A$2918,1)))*100))</f>
        <v/>
      </c>
      <c r="Y418" s="19">
        <f>IF(NOT(ISNUMBER($A418)),NA(),IF(OR($A418&lt;MIN(DKW_10Y!$A$2:$A$2918),$A418&gt;MAX(DKW_10Y!$A$2:$A$2918),Settings!$B$16&lt;MIN(DKW_10Y!$A$2:$A$2918)),NA(),(INDEX(DKW_10Y!$C$2:$C$2918,MATCH($A418,DKW_10Y!$A$2:$A$2918,1))-INDEX(DKW_10Y!$C$2:$C$2918,MATCH(Settings!$B$16,DKW_10Y!$A$2:$A$2918,1)))*100))</f>
        <v/>
      </c>
      <c r="Z418" s="19">
        <f>IF(NOT(ISNUMBER($A418)),NA(),IF(OR($A418&lt;MIN(DKW_10Y!$A$2:$A$2918),$A418&gt;MAX(DKW_10Y!$A$2:$A$2918),Settings!$B$16&lt;MIN(DKW_10Y!$A$2:$A$2918)),NA(),(INDEX(DKW_10Y!$D$2:$D$2918,MATCH($A418,DKW_10Y!$A$2:$A$2918,1))-INDEX(DKW_10Y!$D$2:$D$2918,MATCH(Settings!$B$16,DKW_10Y!$A$2:$A$2918,1)))*100))</f>
        <v/>
      </c>
      <c r="AA418" s="19">
        <f>IF(NOT(ISNUMBER($A418)),NA(),IF(OR($A418&lt;MIN(DKW_10Y!$A$2:$A$2918),$A418&gt;MAX(DKW_10Y!$A$2:$A$2918),Settings!$B$16&lt;MIN(DKW_10Y!$A$2:$A$2918)),NA(),(INDEX(DKW_10Y!$E$2:$E$2918,MATCH($A418,DKW_10Y!$A$2:$A$2918,1))-INDEX(DKW_10Y!$E$2:$E$2918,MATCH(Settings!$B$16,DKW_10Y!$A$2:$A$2918,1)))*100))</f>
        <v/>
      </c>
      <c r="AB418" s="19">
        <f>IF(NOT(ISNUMBER($A418)),NA(),IF(OR($A418&lt;MIN(DKW_10Y!$A$2:$A$2918),$A418&gt;MAX(DKW_10Y!$A$2:$A$2918),Settings!$B$16&lt;MIN(DKW_10Y!$A$2:$A$2918)),NA(),(INDEX(DKW_10Y!$H$2:$H$2918,MATCH($A418,DKW_10Y!$A$2:$A$2918,1))-INDEX(DKW_10Y!$H$2:$H$2918,MATCH(Settings!$B$16,DKW_10Y!$A$2:$A$2918,1)))*100))</f>
        <v/>
      </c>
      <c r="AC418" s="18">
        <f>IF(NOT(ISNUMBER($A418)),NA(),IFERROR(1*INDEX(BBG_Data!$N$2:$N$4000,MATCH($A418,BBG_Data!$M$2:$M$4000,0)),NA()))</f>
        <v/>
      </c>
      <c r="AD418" s="18">
        <f>IF(NOT(ISNUMBER($A418)),NA(),IFERROR(1*INDEX(BBG_Data!$P$2:$P$4000,MATCH($A418,BBG_Data!$O$2:$O$4000,0)),NA()))</f>
        <v/>
      </c>
      <c r="AE418" s="18">
        <f>IF(NOT(ISNUMBER($A418)),NA(),IFERROR(1*INDEX(BBG_Data!$R$2:$R$4000,MATCH($A418,BBG_Data!$Q$2:$Q$4000,0)),NA()))</f>
        <v/>
      </c>
      <c r="AF418" s="20">
        <f>IF(AND(ISNUMBER(B418),ISNUMBER(AC418)),(B418-AC418)*100,NA())</f>
        <v/>
      </c>
      <c r="AG418" s="20">
        <f>IF(AND(ISNUMBER(AE418),ISNUMBER(AD418)),(AE418-AD418)*100,NA())</f>
        <v/>
      </c>
      <c r="AH418" s="19">
        <f>IF(NOT(ISNUMBER($A418)),NA(),IFERROR(INDEX(BBG_Data!$T$2:$T$4000,MATCH($A418,BBG_Data!$S$2:$S$4000,0))*Settings!$B$25,NA()))</f>
        <v/>
      </c>
      <c r="AI418" s="19">
        <f>IF(NOT(ISNUMBER($A418)),NA(),IFERROR(INDEX(BBG_Data!$V$2:$V$4000,MATCH($A418,BBG_Data!$U$2:$U$4000,0))*Settings!$B$25,NA()))</f>
        <v/>
      </c>
      <c r="AJ418" s="19">
        <f>IF(NOT(ISNUMBER($A418)),NA(),IFERROR(1*INDEX(BBG_Data!$X$2:$X$4000,MATCH($A418,BBG_Data!$W$2:$W$4000,0)),NA()))</f>
        <v/>
      </c>
      <c r="AK418" s="19">
        <f>IF(NOT(ISNUMBER($A418)),NA(),IFERROR(1*INDEX(BBG_Data!$Z$2:$Z$4000,MATCH($A418,BBG_Data!$Y$2:$Y$4000,0)),NA()))</f>
        <v/>
      </c>
    </row>
    <row r="419">
      <c r="A419" s="17">
        <f>IF(ISNUMBER(BBG_Data!A419),BBG_Data!A419,"")</f>
        <v/>
      </c>
      <c r="B419" s="18">
        <f>IF(AND(ISNUMBER($A419),ISNUMBER(BBG_Data!B419)),BBG_Data!B419,NA())</f>
        <v/>
      </c>
      <c r="C419" s="18">
        <f>IF(NOT(ISNUMBER($A419)),NA(),IFERROR(1*INDEX(BBG_Data!$D$2:$D$4000,MATCH($A419,BBG_Data!$C$2:$C$4000,0)),NA()))</f>
        <v/>
      </c>
      <c r="D419" s="19">
        <f>IF(NOT(ISNUMBER($A419)),NA(),IFERROR(1*INDEX(BBG_Data!$F$2:$F$4000,MATCH($A419,BBG_Data!$E$2:$E$4000,0)),NA()))</f>
        <v/>
      </c>
      <c r="E419" s="19">
        <f>IF(NOT(ISNUMBER($A419)),NA(),IFERROR(1*INDEX(BBG_Data!$H$2:$H$4000,MATCH($A419,BBG_Data!$G$2:$G$4000,0)),NA()))</f>
        <v/>
      </c>
      <c r="F419" s="20">
        <f>IF(AND(ISNUMBER(B419),ISNUMBER(B418)),IF(B419=B418,"",(B419-B418)*100),"")</f>
        <v/>
      </c>
      <c r="G419" s="20">
        <f>IF(AND(ISNUMBER(C419),ISNUMBER(C418)),IF(C419=C418,"",(C419-C418)*100),"")</f>
        <v/>
      </c>
      <c r="H419" s="20">
        <f>IF(OR(NOT(ISNUMBER($A419)),ROW()-2&lt;Settings!$B$11),NA(),IF(COUNT(OFFSET(F419,1-Settings!$B$11,0,Settings!$B$11,1))&lt;ROUNDUP(Settings!$B$11*Settings!$B$26,0),NA(),STDEV(OFFSET(F419,1-Settings!$B$11,0,Settings!$B$11,1))*SQRT(Settings!$B$13)))</f>
        <v/>
      </c>
      <c r="I419" s="20">
        <f>IF(OR(NOT(ISNUMBER($A419)),ROW()-2&lt;Settings!$B$12),NA(),IF(COUNT(OFFSET(F419,1-Settings!$B$12,0,Settings!$B$12,1))&lt;ROUNDUP(Settings!$B$12*Settings!$B$26,0),NA(),STDEV(OFFSET(F419,1-Settings!$B$12,0,Settings!$B$12,1))*SQRT(Settings!$B$13)))</f>
        <v/>
      </c>
      <c r="J419" s="20">
        <f>IF(OR(NOT(ISNUMBER($A419)),ROW()-2&lt;Settings!$B$11),NA(),IF(COUNT(OFFSET(G419,1-Settings!$B$11,0,Settings!$B$11,1))&lt;ROUNDUP(Settings!$B$11*Settings!$B$26,0),NA(),STDEV(OFFSET(G419,1-Settings!$B$11,0,Settings!$B$11,1))*SQRT(Settings!$B$13)))</f>
        <v/>
      </c>
      <c r="K419" s="20">
        <f>IF(OR(NOT(ISNUMBER($A419)),ROW()-2&lt;Settings!$B$12),NA(),IF(COUNT(OFFSET(G419,1-Settings!$B$12,0,Settings!$B$12,1))&lt;ROUNDUP(Settings!$B$12*Settings!$B$26,0),NA(),STDEV(OFFSET(G419,1-Settings!$B$12,0,Settings!$B$12,1))*SQRT(Settings!$B$13)))</f>
        <v/>
      </c>
      <c r="L419" s="20">
        <f>IF(AND(ISNUMBER(D419),ISNUMBER(H419)),D419-H419,NA())</f>
        <v/>
      </c>
      <c r="M419" s="20">
        <f>IF(AND(ISNUMBER(E419),ISNUMBER(K419)),E419-K419,NA())</f>
        <v/>
      </c>
      <c r="N419" s="20">
        <f>IF(NOT(ISNUMBER($A419)),NA(),IF(COUNT(OFFSET(G419,1,0,Settings!$B$12,1))&lt;ROUNDUP(Settings!$B$12*Settings!$B$26,0),NA(),STDEV(OFFSET(G419,1,0,Settings!$B$12,1))*SQRT(Settings!$B$13)))</f>
        <v/>
      </c>
      <c r="O419" s="20">
        <f>IF(AND(ISNUMBER(E419),ISNUMBER(N419)),E419-N419,NA())</f>
        <v/>
      </c>
      <c r="P419" s="19">
        <f>IF(NOT(ISNUMBER($A419)),NA(),IF(OR($A419&lt;MIN(KW_TP!$A$2:$A$2501),$A419&gt;MAX(KW_TP!$A$2:$A$2501)),NA(),INDEX(KW_TP!$C$2:$C$2501,MATCH($A419,KW_TP!$A$2:$A$2501,1))))</f>
        <v/>
      </c>
      <c r="Q419" s="18">
        <f>IF(NOT(ISNUMBER($A419)),NA(),IFERROR(1*INDEX(BBG_Data!$J$2:$J$4000,MATCH($A419,BBG_Data!$I$2:$I$4000,0)),NA()))</f>
        <v/>
      </c>
      <c r="R419" s="18">
        <f>IF(NOT(ISNUMBER($A419)),NA(),IFERROR(1*INDEX(BBG_Data!$L$2:$L$4000,MATCH($A419,BBG_Data!$K$2:$K$4000,0)),NA()))</f>
        <v/>
      </c>
      <c r="S419" s="20">
        <f>IF(AND(ISNUMBER(B419),ISNUMBER(Q419),ISNUMBER(R419)),(B419-Q419-R419)*100,NA())</f>
        <v/>
      </c>
      <c r="T419" s="20">
        <f>IF(AND(ISNUMBER(B419),Settings!$B$17&gt;0),IF(ISNUMBER(INDEX($B:$B,Settings!$B$17)),(B419-INDEX($B:$B,Settings!$B$17))*100,NA()),NA())</f>
        <v/>
      </c>
      <c r="U419" s="20">
        <f>IF(AND(ISNUMBER(Q419),Settings!$B$17&gt;0),IF(ISNUMBER(INDEX($Q:$Q,Settings!$B$17)),(Q419-INDEX($Q:$Q,Settings!$B$17))*100,NA()),NA())</f>
        <v/>
      </c>
      <c r="V419" s="20">
        <f>IF(AND(ISNUMBER(R419),Settings!$B$17&gt;0),IF(ISNUMBER(INDEX($R:$R,Settings!$B$17)),(R419-INDEX($R:$R,Settings!$B$17))*100,NA()),NA())</f>
        <v/>
      </c>
      <c r="W419" s="20">
        <f>IF(AND(ISNUMBER(P419),Settings!$B$17&gt;0),IF(ISNUMBER(INDEX($P:$P,Settings!$B$17)),P419-INDEX($P:$P,Settings!$B$17),NA()),NA())</f>
        <v/>
      </c>
      <c r="X419" s="19">
        <f>IF(NOT(ISNUMBER($A419)),NA(),IF(OR($A419&lt;MIN(DKW_10Y!$A$2:$A$2918),$A419&gt;MAX(DKW_10Y!$A$2:$A$2918),Settings!$B$16&lt;MIN(DKW_10Y!$A$2:$A$2918)),NA(),(INDEX(DKW_10Y!$B$2:$B$2918,MATCH($A419,DKW_10Y!$A$2:$A$2918,1))-INDEX(DKW_10Y!$B$2:$B$2918,MATCH(Settings!$B$16,DKW_10Y!$A$2:$A$2918,1)))*100))</f>
        <v/>
      </c>
      <c r="Y419" s="19">
        <f>IF(NOT(ISNUMBER($A419)),NA(),IF(OR($A419&lt;MIN(DKW_10Y!$A$2:$A$2918),$A419&gt;MAX(DKW_10Y!$A$2:$A$2918),Settings!$B$16&lt;MIN(DKW_10Y!$A$2:$A$2918)),NA(),(INDEX(DKW_10Y!$C$2:$C$2918,MATCH($A419,DKW_10Y!$A$2:$A$2918,1))-INDEX(DKW_10Y!$C$2:$C$2918,MATCH(Settings!$B$16,DKW_10Y!$A$2:$A$2918,1)))*100))</f>
        <v/>
      </c>
      <c r="Z419" s="19">
        <f>IF(NOT(ISNUMBER($A419)),NA(),IF(OR($A419&lt;MIN(DKW_10Y!$A$2:$A$2918),$A419&gt;MAX(DKW_10Y!$A$2:$A$2918),Settings!$B$16&lt;MIN(DKW_10Y!$A$2:$A$2918)),NA(),(INDEX(DKW_10Y!$D$2:$D$2918,MATCH($A419,DKW_10Y!$A$2:$A$2918,1))-INDEX(DKW_10Y!$D$2:$D$2918,MATCH(Settings!$B$16,DKW_10Y!$A$2:$A$2918,1)))*100))</f>
        <v/>
      </c>
      <c r="AA419" s="19">
        <f>IF(NOT(ISNUMBER($A419)),NA(),IF(OR($A419&lt;MIN(DKW_10Y!$A$2:$A$2918),$A419&gt;MAX(DKW_10Y!$A$2:$A$2918),Settings!$B$16&lt;MIN(DKW_10Y!$A$2:$A$2918)),NA(),(INDEX(DKW_10Y!$E$2:$E$2918,MATCH($A419,DKW_10Y!$A$2:$A$2918,1))-INDEX(DKW_10Y!$E$2:$E$2918,MATCH(Settings!$B$16,DKW_10Y!$A$2:$A$2918,1)))*100))</f>
        <v/>
      </c>
      <c r="AB419" s="19">
        <f>IF(NOT(ISNUMBER($A419)),NA(),IF(OR($A419&lt;MIN(DKW_10Y!$A$2:$A$2918),$A419&gt;MAX(DKW_10Y!$A$2:$A$2918),Settings!$B$16&lt;MIN(DKW_10Y!$A$2:$A$2918)),NA(),(INDEX(DKW_10Y!$H$2:$H$2918,MATCH($A419,DKW_10Y!$A$2:$A$2918,1))-INDEX(DKW_10Y!$H$2:$H$2918,MATCH(Settings!$B$16,DKW_10Y!$A$2:$A$2918,1)))*100))</f>
        <v/>
      </c>
      <c r="AC419" s="18">
        <f>IF(NOT(ISNUMBER($A419)),NA(),IFERROR(1*INDEX(BBG_Data!$N$2:$N$4000,MATCH($A419,BBG_Data!$M$2:$M$4000,0)),NA()))</f>
        <v/>
      </c>
      <c r="AD419" s="18">
        <f>IF(NOT(ISNUMBER($A419)),NA(),IFERROR(1*INDEX(BBG_Data!$P$2:$P$4000,MATCH($A419,BBG_Data!$O$2:$O$4000,0)),NA()))</f>
        <v/>
      </c>
      <c r="AE419" s="18">
        <f>IF(NOT(ISNUMBER($A419)),NA(),IFERROR(1*INDEX(BBG_Data!$R$2:$R$4000,MATCH($A419,BBG_Data!$Q$2:$Q$4000,0)),NA()))</f>
        <v/>
      </c>
      <c r="AF419" s="20">
        <f>IF(AND(ISNUMBER(B419),ISNUMBER(AC419)),(B419-AC419)*100,NA())</f>
        <v/>
      </c>
      <c r="AG419" s="20">
        <f>IF(AND(ISNUMBER(AE419),ISNUMBER(AD419)),(AE419-AD419)*100,NA())</f>
        <v/>
      </c>
      <c r="AH419" s="19">
        <f>IF(NOT(ISNUMBER($A419)),NA(),IFERROR(INDEX(BBG_Data!$T$2:$T$4000,MATCH($A419,BBG_Data!$S$2:$S$4000,0))*Settings!$B$25,NA()))</f>
        <v/>
      </c>
      <c r="AI419" s="19">
        <f>IF(NOT(ISNUMBER($A419)),NA(),IFERROR(INDEX(BBG_Data!$V$2:$V$4000,MATCH($A419,BBG_Data!$U$2:$U$4000,0))*Settings!$B$25,NA()))</f>
        <v/>
      </c>
      <c r="AJ419" s="19">
        <f>IF(NOT(ISNUMBER($A419)),NA(),IFERROR(1*INDEX(BBG_Data!$X$2:$X$4000,MATCH($A419,BBG_Data!$W$2:$W$4000,0)),NA()))</f>
        <v/>
      </c>
      <c r="AK419" s="19">
        <f>IF(NOT(ISNUMBER($A419)),NA(),IFERROR(1*INDEX(BBG_Data!$Z$2:$Z$4000,MATCH($A419,BBG_Data!$Y$2:$Y$4000,0)),NA()))</f>
        <v/>
      </c>
    </row>
    <row r="420">
      <c r="A420" s="17">
        <f>IF(ISNUMBER(BBG_Data!A420),BBG_Data!A420,"")</f>
        <v/>
      </c>
      <c r="B420" s="18">
        <f>IF(AND(ISNUMBER($A420),ISNUMBER(BBG_Data!B420)),BBG_Data!B420,NA())</f>
        <v/>
      </c>
      <c r="C420" s="18">
        <f>IF(NOT(ISNUMBER($A420)),NA(),IFERROR(1*INDEX(BBG_Data!$D$2:$D$4000,MATCH($A420,BBG_Data!$C$2:$C$4000,0)),NA()))</f>
        <v/>
      </c>
      <c r="D420" s="19">
        <f>IF(NOT(ISNUMBER($A420)),NA(),IFERROR(1*INDEX(BBG_Data!$F$2:$F$4000,MATCH($A420,BBG_Data!$E$2:$E$4000,0)),NA()))</f>
        <v/>
      </c>
      <c r="E420" s="19">
        <f>IF(NOT(ISNUMBER($A420)),NA(),IFERROR(1*INDEX(BBG_Data!$H$2:$H$4000,MATCH($A420,BBG_Data!$G$2:$G$4000,0)),NA()))</f>
        <v/>
      </c>
      <c r="F420" s="20">
        <f>IF(AND(ISNUMBER(B420),ISNUMBER(B419)),IF(B420=B419,"",(B420-B419)*100),"")</f>
        <v/>
      </c>
      <c r="G420" s="20">
        <f>IF(AND(ISNUMBER(C420),ISNUMBER(C419)),IF(C420=C419,"",(C420-C419)*100),"")</f>
        <v/>
      </c>
      <c r="H420" s="20">
        <f>IF(OR(NOT(ISNUMBER($A420)),ROW()-2&lt;Settings!$B$11),NA(),IF(COUNT(OFFSET(F420,1-Settings!$B$11,0,Settings!$B$11,1))&lt;ROUNDUP(Settings!$B$11*Settings!$B$26,0),NA(),STDEV(OFFSET(F420,1-Settings!$B$11,0,Settings!$B$11,1))*SQRT(Settings!$B$13)))</f>
        <v/>
      </c>
      <c r="I420" s="20">
        <f>IF(OR(NOT(ISNUMBER($A420)),ROW()-2&lt;Settings!$B$12),NA(),IF(COUNT(OFFSET(F420,1-Settings!$B$12,0,Settings!$B$12,1))&lt;ROUNDUP(Settings!$B$12*Settings!$B$26,0),NA(),STDEV(OFFSET(F420,1-Settings!$B$12,0,Settings!$B$12,1))*SQRT(Settings!$B$13)))</f>
        <v/>
      </c>
      <c r="J420" s="20">
        <f>IF(OR(NOT(ISNUMBER($A420)),ROW()-2&lt;Settings!$B$11),NA(),IF(COUNT(OFFSET(G420,1-Settings!$B$11,0,Settings!$B$11,1))&lt;ROUNDUP(Settings!$B$11*Settings!$B$26,0),NA(),STDEV(OFFSET(G420,1-Settings!$B$11,0,Settings!$B$11,1))*SQRT(Settings!$B$13)))</f>
        <v/>
      </c>
      <c r="K420" s="20">
        <f>IF(OR(NOT(ISNUMBER($A420)),ROW()-2&lt;Settings!$B$12),NA(),IF(COUNT(OFFSET(G420,1-Settings!$B$12,0,Settings!$B$12,1))&lt;ROUNDUP(Settings!$B$12*Settings!$B$26,0),NA(),STDEV(OFFSET(G420,1-Settings!$B$12,0,Settings!$B$12,1))*SQRT(Settings!$B$13)))</f>
        <v/>
      </c>
      <c r="L420" s="20">
        <f>IF(AND(ISNUMBER(D420),ISNUMBER(H420)),D420-H420,NA())</f>
        <v/>
      </c>
      <c r="M420" s="20">
        <f>IF(AND(ISNUMBER(E420),ISNUMBER(K420)),E420-K420,NA())</f>
        <v/>
      </c>
      <c r="N420" s="20">
        <f>IF(NOT(ISNUMBER($A420)),NA(),IF(COUNT(OFFSET(G420,1,0,Settings!$B$12,1))&lt;ROUNDUP(Settings!$B$12*Settings!$B$26,0),NA(),STDEV(OFFSET(G420,1,0,Settings!$B$12,1))*SQRT(Settings!$B$13)))</f>
        <v/>
      </c>
      <c r="O420" s="20">
        <f>IF(AND(ISNUMBER(E420),ISNUMBER(N420)),E420-N420,NA())</f>
        <v/>
      </c>
      <c r="P420" s="19">
        <f>IF(NOT(ISNUMBER($A420)),NA(),IF(OR($A420&lt;MIN(KW_TP!$A$2:$A$2501),$A420&gt;MAX(KW_TP!$A$2:$A$2501)),NA(),INDEX(KW_TP!$C$2:$C$2501,MATCH($A420,KW_TP!$A$2:$A$2501,1))))</f>
        <v/>
      </c>
      <c r="Q420" s="18">
        <f>IF(NOT(ISNUMBER($A420)),NA(),IFERROR(1*INDEX(BBG_Data!$J$2:$J$4000,MATCH($A420,BBG_Data!$I$2:$I$4000,0)),NA()))</f>
        <v/>
      </c>
      <c r="R420" s="18">
        <f>IF(NOT(ISNUMBER($A420)),NA(),IFERROR(1*INDEX(BBG_Data!$L$2:$L$4000,MATCH($A420,BBG_Data!$K$2:$K$4000,0)),NA()))</f>
        <v/>
      </c>
      <c r="S420" s="20">
        <f>IF(AND(ISNUMBER(B420),ISNUMBER(Q420),ISNUMBER(R420)),(B420-Q420-R420)*100,NA())</f>
        <v/>
      </c>
      <c r="T420" s="20">
        <f>IF(AND(ISNUMBER(B420),Settings!$B$17&gt;0),IF(ISNUMBER(INDEX($B:$B,Settings!$B$17)),(B420-INDEX($B:$B,Settings!$B$17))*100,NA()),NA())</f>
        <v/>
      </c>
      <c r="U420" s="20">
        <f>IF(AND(ISNUMBER(Q420),Settings!$B$17&gt;0),IF(ISNUMBER(INDEX($Q:$Q,Settings!$B$17)),(Q420-INDEX($Q:$Q,Settings!$B$17))*100,NA()),NA())</f>
        <v/>
      </c>
      <c r="V420" s="20">
        <f>IF(AND(ISNUMBER(R420),Settings!$B$17&gt;0),IF(ISNUMBER(INDEX($R:$R,Settings!$B$17)),(R420-INDEX($R:$R,Settings!$B$17))*100,NA()),NA())</f>
        <v/>
      </c>
      <c r="W420" s="20">
        <f>IF(AND(ISNUMBER(P420),Settings!$B$17&gt;0),IF(ISNUMBER(INDEX($P:$P,Settings!$B$17)),P420-INDEX($P:$P,Settings!$B$17),NA()),NA())</f>
        <v/>
      </c>
      <c r="X420" s="19">
        <f>IF(NOT(ISNUMBER($A420)),NA(),IF(OR($A420&lt;MIN(DKW_10Y!$A$2:$A$2918),$A420&gt;MAX(DKW_10Y!$A$2:$A$2918),Settings!$B$16&lt;MIN(DKW_10Y!$A$2:$A$2918)),NA(),(INDEX(DKW_10Y!$B$2:$B$2918,MATCH($A420,DKW_10Y!$A$2:$A$2918,1))-INDEX(DKW_10Y!$B$2:$B$2918,MATCH(Settings!$B$16,DKW_10Y!$A$2:$A$2918,1)))*100))</f>
        <v/>
      </c>
      <c r="Y420" s="19">
        <f>IF(NOT(ISNUMBER($A420)),NA(),IF(OR($A420&lt;MIN(DKW_10Y!$A$2:$A$2918),$A420&gt;MAX(DKW_10Y!$A$2:$A$2918),Settings!$B$16&lt;MIN(DKW_10Y!$A$2:$A$2918)),NA(),(INDEX(DKW_10Y!$C$2:$C$2918,MATCH($A420,DKW_10Y!$A$2:$A$2918,1))-INDEX(DKW_10Y!$C$2:$C$2918,MATCH(Settings!$B$16,DKW_10Y!$A$2:$A$2918,1)))*100))</f>
        <v/>
      </c>
      <c r="Z420" s="19">
        <f>IF(NOT(ISNUMBER($A420)),NA(),IF(OR($A420&lt;MIN(DKW_10Y!$A$2:$A$2918),$A420&gt;MAX(DKW_10Y!$A$2:$A$2918),Settings!$B$16&lt;MIN(DKW_10Y!$A$2:$A$2918)),NA(),(INDEX(DKW_10Y!$D$2:$D$2918,MATCH($A420,DKW_10Y!$A$2:$A$2918,1))-INDEX(DKW_10Y!$D$2:$D$2918,MATCH(Settings!$B$16,DKW_10Y!$A$2:$A$2918,1)))*100))</f>
        <v/>
      </c>
      <c r="AA420" s="19">
        <f>IF(NOT(ISNUMBER($A420)),NA(),IF(OR($A420&lt;MIN(DKW_10Y!$A$2:$A$2918),$A420&gt;MAX(DKW_10Y!$A$2:$A$2918),Settings!$B$16&lt;MIN(DKW_10Y!$A$2:$A$2918)),NA(),(INDEX(DKW_10Y!$E$2:$E$2918,MATCH($A420,DKW_10Y!$A$2:$A$2918,1))-INDEX(DKW_10Y!$E$2:$E$2918,MATCH(Settings!$B$16,DKW_10Y!$A$2:$A$2918,1)))*100))</f>
        <v/>
      </c>
      <c r="AB420" s="19">
        <f>IF(NOT(ISNUMBER($A420)),NA(),IF(OR($A420&lt;MIN(DKW_10Y!$A$2:$A$2918),$A420&gt;MAX(DKW_10Y!$A$2:$A$2918),Settings!$B$16&lt;MIN(DKW_10Y!$A$2:$A$2918)),NA(),(INDEX(DKW_10Y!$H$2:$H$2918,MATCH($A420,DKW_10Y!$A$2:$A$2918,1))-INDEX(DKW_10Y!$H$2:$H$2918,MATCH(Settings!$B$16,DKW_10Y!$A$2:$A$2918,1)))*100))</f>
        <v/>
      </c>
      <c r="AC420" s="18">
        <f>IF(NOT(ISNUMBER($A420)),NA(),IFERROR(1*INDEX(BBG_Data!$N$2:$N$4000,MATCH($A420,BBG_Data!$M$2:$M$4000,0)),NA()))</f>
        <v/>
      </c>
      <c r="AD420" s="18">
        <f>IF(NOT(ISNUMBER($A420)),NA(),IFERROR(1*INDEX(BBG_Data!$P$2:$P$4000,MATCH($A420,BBG_Data!$O$2:$O$4000,0)),NA()))</f>
        <v/>
      </c>
      <c r="AE420" s="18">
        <f>IF(NOT(ISNUMBER($A420)),NA(),IFERROR(1*INDEX(BBG_Data!$R$2:$R$4000,MATCH($A420,BBG_Data!$Q$2:$Q$4000,0)),NA()))</f>
        <v/>
      </c>
      <c r="AF420" s="20">
        <f>IF(AND(ISNUMBER(B420),ISNUMBER(AC420)),(B420-AC420)*100,NA())</f>
        <v/>
      </c>
      <c r="AG420" s="20">
        <f>IF(AND(ISNUMBER(AE420),ISNUMBER(AD420)),(AE420-AD420)*100,NA())</f>
        <v/>
      </c>
      <c r="AH420" s="19">
        <f>IF(NOT(ISNUMBER($A420)),NA(),IFERROR(INDEX(BBG_Data!$T$2:$T$4000,MATCH($A420,BBG_Data!$S$2:$S$4000,0))*Settings!$B$25,NA()))</f>
        <v/>
      </c>
      <c r="AI420" s="19">
        <f>IF(NOT(ISNUMBER($A420)),NA(),IFERROR(INDEX(BBG_Data!$V$2:$V$4000,MATCH($A420,BBG_Data!$U$2:$U$4000,0))*Settings!$B$25,NA()))</f>
        <v/>
      </c>
      <c r="AJ420" s="19">
        <f>IF(NOT(ISNUMBER($A420)),NA(),IFERROR(1*INDEX(BBG_Data!$X$2:$X$4000,MATCH($A420,BBG_Data!$W$2:$W$4000,0)),NA()))</f>
        <v/>
      </c>
      <c r="AK420" s="19">
        <f>IF(NOT(ISNUMBER($A420)),NA(),IFERROR(1*INDEX(BBG_Data!$Z$2:$Z$4000,MATCH($A420,BBG_Data!$Y$2:$Y$4000,0)),NA()))</f>
        <v/>
      </c>
    </row>
    <row r="421">
      <c r="A421" s="17">
        <f>IF(ISNUMBER(BBG_Data!A421),BBG_Data!A421,"")</f>
        <v/>
      </c>
      <c r="B421" s="18">
        <f>IF(AND(ISNUMBER($A421),ISNUMBER(BBG_Data!B421)),BBG_Data!B421,NA())</f>
        <v/>
      </c>
      <c r="C421" s="18">
        <f>IF(NOT(ISNUMBER($A421)),NA(),IFERROR(1*INDEX(BBG_Data!$D$2:$D$4000,MATCH($A421,BBG_Data!$C$2:$C$4000,0)),NA()))</f>
        <v/>
      </c>
      <c r="D421" s="19">
        <f>IF(NOT(ISNUMBER($A421)),NA(),IFERROR(1*INDEX(BBG_Data!$F$2:$F$4000,MATCH($A421,BBG_Data!$E$2:$E$4000,0)),NA()))</f>
        <v/>
      </c>
      <c r="E421" s="19">
        <f>IF(NOT(ISNUMBER($A421)),NA(),IFERROR(1*INDEX(BBG_Data!$H$2:$H$4000,MATCH($A421,BBG_Data!$G$2:$G$4000,0)),NA()))</f>
        <v/>
      </c>
      <c r="F421" s="20">
        <f>IF(AND(ISNUMBER(B421),ISNUMBER(B420)),IF(B421=B420,"",(B421-B420)*100),"")</f>
        <v/>
      </c>
      <c r="G421" s="20">
        <f>IF(AND(ISNUMBER(C421),ISNUMBER(C420)),IF(C421=C420,"",(C421-C420)*100),"")</f>
        <v/>
      </c>
      <c r="H421" s="20">
        <f>IF(OR(NOT(ISNUMBER($A421)),ROW()-2&lt;Settings!$B$11),NA(),IF(COUNT(OFFSET(F421,1-Settings!$B$11,0,Settings!$B$11,1))&lt;ROUNDUP(Settings!$B$11*Settings!$B$26,0),NA(),STDEV(OFFSET(F421,1-Settings!$B$11,0,Settings!$B$11,1))*SQRT(Settings!$B$13)))</f>
        <v/>
      </c>
      <c r="I421" s="20">
        <f>IF(OR(NOT(ISNUMBER($A421)),ROW()-2&lt;Settings!$B$12),NA(),IF(COUNT(OFFSET(F421,1-Settings!$B$12,0,Settings!$B$12,1))&lt;ROUNDUP(Settings!$B$12*Settings!$B$26,0),NA(),STDEV(OFFSET(F421,1-Settings!$B$12,0,Settings!$B$12,1))*SQRT(Settings!$B$13)))</f>
        <v/>
      </c>
      <c r="J421" s="20">
        <f>IF(OR(NOT(ISNUMBER($A421)),ROW()-2&lt;Settings!$B$11),NA(),IF(COUNT(OFFSET(G421,1-Settings!$B$11,0,Settings!$B$11,1))&lt;ROUNDUP(Settings!$B$11*Settings!$B$26,0),NA(),STDEV(OFFSET(G421,1-Settings!$B$11,0,Settings!$B$11,1))*SQRT(Settings!$B$13)))</f>
        <v/>
      </c>
      <c r="K421" s="20">
        <f>IF(OR(NOT(ISNUMBER($A421)),ROW()-2&lt;Settings!$B$12),NA(),IF(COUNT(OFFSET(G421,1-Settings!$B$12,0,Settings!$B$12,1))&lt;ROUNDUP(Settings!$B$12*Settings!$B$26,0),NA(),STDEV(OFFSET(G421,1-Settings!$B$12,0,Settings!$B$12,1))*SQRT(Settings!$B$13)))</f>
        <v/>
      </c>
      <c r="L421" s="20">
        <f>IF(AND(ISNUMBER(D421),ISNUMBER(H421)),D421-H421,NA())</f>
        <v/>
      </c>
      <c r="M421" s="20">
        <f>IF(AND(ISNUMBER(E421),ISNUMBER(K421)),E421-K421,NA())</f>
        <v/>
      </c>
      <c r="N421" s="20">
        <f>IF(NOT(ISNUMBER($A421)),NA(),IF(COUNT(OFFSET(G421,1,0,Settings!$B$12,1))&lt;ROUNDUP(Settings!$B$12*Settings!$B$26,0),NA(),STDEV(OFFSET(G421,1,0,Settings!$B$12,1))*SQRT(Settings!$B$13)))</f>
        <v/>
      </c>
      <c r="O421" s="20">
        <f>IF(AND(ISNUMBER(E421),ISNUMBER(N421)),E421-N421,NA())</f>
        <v/>
      </c>
      <c r="P421" s="19">
        <f>IF(NOT(ISNUMBER($A421)),NA(),IF(OR($A421&lt;MIN(KW_TP!$A$2:$A$2501),$A421&gt;MAX(KW_TP!$A$2:$A$2501)),NA(),INDEX(KW_TP!$C$2:$C$2501,MATCH($A421,KW_TP!$A$2:$A$2501,1))))</f>
        <v/>
      </c>
      <c r="Q421" s="18">
        <f>IF(NOT(ISNUMBER($A421)),NA(),IFERROR(1*INDEX(BBG_Data!$J$2:$J$4000,MATCH($A421,BBG_Data!$I$2:$I$4000,0)),NA()))</f>
        <v/>
      </c>
      <c r="R421" s="18">
        <f>IF(NOT(ISNUMBER($A421)),NA(),IFERROR(1*INDEX(BBG_Data!$L$2:$L$4000,MATCH($A421,BBG_Data!$K$2:$K$4000,0)),NA()))</f>
        <v/>
      </c>
      <c r="S421" s="20">
        <f>IF(AND(ISNUMBER(B421),ISNUMBER(Q421),ISNUMBER(R421)),(B421-Q421-R421)*100,NA())</f>
        <v/>
      </c>
      <c r="T421" s="20">
        <f>IF(AND(ISNUMBER(B421),Settings!$B$17&gt;0),IF(ISNUMBER(INDEX($B:$B,Settings!$B$17)),(B421-INDEX($B:$B,Settings!$B$17))*100,NA()),NA())</f>
        <v/>
      </c>
      <c r="U421" s="20">
        <f>IF(AND(ISNUMBER(Q421),Settings!$B$17&gt;0),IF(ISNUMBER(INDEX($Q:$Q,Settings!$B$17)),(Q421-INDEX($Q:$Q,Settings!$B$17))*100,NA()),NA())</f>
        <v/>
      </c>
      <c r="V421" s="20">
        <f>IF(AND(ISNUMBER(R421),Settings!$B$17&gt;0),IF(ISNUMBER(INDEX($R:$R,Settings!$B$17)),(R421-INDEX($R:$R,Settings!$B$17))*100,NA()),NA())</f>
        <v/>
      </c>
      <c r="W421" s="20">
        <f>IF(AND(ISNUMBER(P421),Settings!$B$17&gt;0),IF(ISNUMBER(INDEX($P:$P,Settings!$B$17)),P421-INDEX($P:$P,Settings!$B$17),NA()),NA())</f>
        <v/>
      </c>
      <c r="X421" s="19">
        <f>IF(NOT(ISNUMBER($A421)),NA(),IF(OR($A421&lt;MIN(DKW_10Y!$A$2:$A$2918),$A421&gt;MAX(DKW_10Y!$A$2:$A$2918),Settings!$B$16&lt;MIN(DKW_10Y!$A$2:$A$2918)),NA(),(INDEX(DKW_10Y!$B$2:$B$2918,MATCH($A421,DKW_10Y!$A$2:$A$2918,1))-INDEX(DKW_10Y!$B$2:$B$2918,MATCH(Settings!$B$16,DKW_10Y!$A$2:$A$2918,1)))*100))</f>
        <v/>
      </c>
      <c r="Y421" s="19">
        <f>IF(NOT(ISNUMBER($A421)),NA(),IF(OR($A421&lt;MIN(DKW_10Y!$A$2:$A$2918),$A421&gt;MAX(DKW_10Y!$A$2:$A$2918),Settings!$B$16&lt;MIN(DKW_10Y!$A$2:$A$2918)),NA(),(INDEX(DKW_10Y!$C$2:$C$2918,MATCH($A421,DKW_10Y!$A$2:$A$2918,1))-INDEX(DKW_10Y!$C$2:$C$2918,MATCH(Settings!$B$16,DKW_10Y!$A$2:$A$2918,1)))*100))</f>
        <v/>
      </c>
      <c r="Z421" s="19">
        <f>IF(NOT(ISNUMBER($A421)),NA(),IF(OR($A421&lt;MIN(DKW_10Y!$A$2:$A$2918),$A421&gt;MAX(DKW_10Y!$A$2:$A$2918),Settings!$B$16&lt;MIN(DKW_10Y!$A$2:$A$2918)),NA(),(INDEX(DKW_10Y!$D$2:$D$2918,MATCH($A421,DKW_10Y!$A$2:$A$2918,1))-INDEX(DKW_10Y!$D$2:$D$2918,MATCH(Settings!$B$16,DKW_10Y!$A$2:$A$2918,1)))*100))</f>
        <v/>
      </c>
      <c r="AA421" s="19">
        <f>IF(NOT(ISNUMBER($A421)),NA(),IF(OR($A421&lt;MIN(DKW_10Y!$A$2:$A$2918),$A421&gt;MAX(DKW_10Y!$A$2:$A$2918),Settings!$B$16&lt;MIN(DKW_10Y!$A$2:$A$2918)),NA(),(INDEX(DKW_10Y!$E$2:$E$2918,MATCH($A421,DKW_10Y!$A$2:$A$2918,1))-INDEX(DKW_10Y!$E$2:$E$2918,MATCH(Settings!$B$16,DKW_10Y!$A$2:$A$2918,1)))*100))</f>
        <v/>
      </c>
      <c r="AB421" s="19">
        <f>IF(NOT(ISNUMBER($A421)),NA(),IF(OR($A421&lt;MIN(DKW_10Y!$A$2:$A$2918),$A421&gt;MAX(DKW_10Y!$A$2:$A$2918),Settings!$B$16&lt;MIN(DKW_10Y!$A$2:$A$2918)),NA(),(INDEX(DKW_10Y!$H$2:$H$2918,MATCH($A421,DKW_10Y!$A$2:$A$2918,1))-INDEX(DKW_10Y!$H$2:$H$2918,MATCH(Settings!$B$16,DKW_10Y!$A$2:$A$2918,1)))*100))</f>
        <v/>
      </c>
      <c r="AC421" s="18">
        <f>IF(NOT(ISNUMBER($A421)),NA(),IFERROR(1*INDEX(BBG_Data!$N$2:$N$4000,MATCH($A421,BBG_Data!$M$2:$M$4000,0)),NA()))</f>
        <v/>
      </c>
      <c r="AD421" s="18">
        <f>IF(NOT(ISNUMBER($A421)),NA(),IFERROR(1*INDEX(BBG_Data!$P$2:$P$4000,MATCH($A421,BBG_Data!$O$2:$O$4000,0)),NA()))</f>
        <v/>
      </c>
      <c r="AE421" s="18">
        <f>IF(NOT(ISNUMBER($A421)),NA(),IFERROR(1*INDEX(BBG_Data!$R$2:$R$4000,MATCH($A421,BBG_Data!$Q$2:$Q$4000,0)),NA()))</f>
        <v/>
      </c>
      <c r="AF421" s="20">
        <f>IF(AND(ISNUMBER(B421),ISNUMBER(AC421)),(B421-AC421)*100,NA())</f>
        <v/>
      </c>
      <c r="AG421" s="20">
        <f>IF(AND(ISNUMBER(AE421),ISNUMBER(AD421)),(AE421-AD421)*100,NA())</f>
        <v/>
      </c>
      <c r="AH421" s="19">
        <f>IF(NOT(ISNUMBER($A421)),NA(),IFERROR(INDEX(BBG_Data!$T$2:$T$4000,MATCH($A421,BBG_Data!$S$2:$S$4000,0))*Settings!$B$25,NA()))</f>
        <v/>
      </c>
      <c r="AI421" s="19">
        <f>IF(NOT(ISNUMBER($A421)),NA(),IFERROR(INDEX(BBG_Data!$V$2:$V$4000,MATCH($A421,BBG_Data!$U$2:$U$4000,0))*Settings!$B$25,NA()))</f>
        <v/>
      </c>
      <c r="AJ421" s="19">
        <f>IF(NOT(ISNUMBER($A421)),NA(),IFERROR(1*INDEX(BBG_Data!$X$2:$X$4000,MATCH($A421,BBG_Data!$W$2:$W$4000,0)),NA()))</f>
        <v/>
      </c>
      <c r="AK421" s="19">
        <f>IF(NOT(ISNUMBER($A421)),NA(),IFERROR(1*INDEX(BBG_Data!$Z$2:$Z$4000,MATCH($A421,BBG_Data!$Y$2:$Y$4000,0)),NA()))</f>
        <v/>
      </c>
    </row>
    <row r="422">
      <c r="A422" s="17">
        <f>IF(ISNUMBER(BBG_Data!A422),BBG_Data!A422,"")</f>
        <v/>
      </c>
      <c r="B422" s="18">
        <f>IF(AND(ISNUMBER($A422),ISNUMBER(BBG_Data!B422)),BBG_Data!B422,NA())</f>
        <v/>
      </c>
      <c r="C422" s="18">
        <f>IF(NOT(ISNUMBER($A422)),NA(),IFERROR(1*INDEX(BBG_Data!$D$2:$D$4000,MATCH($A422,BBG_Data!$C$2:$C$4000,0)),NA()))</f>
        <v/>
      </c>
      <c r="D422" s="19">
        <f>IF(NOT(ISNUMBER($A422)),NA(),IFERROR(1*INDEX(BBG_Data!$F$2:$F$4000,MATCH($A422,BBG_Data!$E$2:$E$4000,0)),NA()))</f>
        <v/>
      </c>
      <c r="E422" s="19">
        <f>IF(NOT(ISNUMBER($A422)),NA(),IFERROR(1*INDEX(BBG_Data!$H$2:$H$4000,MATCH($A422,BBG_Data!$G$2:$G$4000,0)),NA()))</f>
        <v/>
      </c>
      <c r="F422" s="20">
        <f>IF(AND(ISNUMBER(B422),ISNUMBER(B421)),IF(B422=B421,"",(B422-B421)*100),"")</f>
        <v/>
      </c>
      <c r="G422" s="20">
        <f>IF(AND(ISNUMBER(C422),ISNUMBER(C421)),IF(C422=C421,"",(C422-C421)*100),"")</f>
        <v/>
      </c>
      <c r="H422" s="20">
        <f>IF(OR(NOT(ISNUMBER($A422)),ROW()-2&lt;Settings!$B$11),NA(),IF(COUNT(OFFSET(F422,1-Settings!$B$11,0,Settings!$B$11,1))&lt;ROUNDUP(Settings!$B$11*Settings!$B$26,0),NA(),STDEV(OFFSET(F422,1-Settings!$B$11,0,Settings!$B$11,1))*SQRT(Settings!$B$13)))</f>
        <v/>
      </c>
      <c r="I422" s="20">
        <f>IF(OR(NOT(ISNUMBER($A422)),ROW()-2&lt;Settings!$B$12),NA(),IF(COUNT(OFFSET(F422,1-Settings!$B$12,0,Settings!$B$12,1))&lt;ROUNDUP(Settings!$B$12*Settings!$B$26,0),NA(),STDEV(OFFSET(F422,1-Settings!$B$12,0,Settings!$B$12,1))*SQRT(Settings!$B$13)))</f>
        <v/>
      </c>
      <c r="J422" s="20">
        <f>IF(OR(NOT(ISNUMBER($A422)),ROW()-2&lt;Settings!$B$11),NA(),IF(COUNT(OFFSET(G422,1-Settings!$B$11,0,Settings!$B$11,1))&lt;ROUNDUP(Settings!$B$11*Settings!$B$26,0),NA(),STDEV(OFFSET(G422,1-Settings!$B$11,0,Settings!$B$11,1))*SQRT(Settings!$B$13)))</f>
        <v/>
      </c>
      <c r="K422" s="20">
        <f>IF(OR(NOT(ISNUMBER($A422)),ROW()-2&lt;Settings!$B$12),NA(),IF(COUNT(OFFSET(G422,1-Settings!$B$12,0,Settings!$B$12,1))&lt;ROUNDUP(Settings!$B$12*Settings!$B$26,0),NA(),STDEV(OFFSET(G422,1-Settings!$B$12,0,Settings!$B$12,1))*SQRT(Settings!$B$13)))</f>
        <v/>
      </c>
      <c r="L422" s="20">
        <f>IF(AND(ISNUMBER(D422),ISNUMBER(H422)),D422-H422,NA())</f>
        <v/>
      </c>
      <c r="M422" s="20">
        <f>IF(AND(ISNUMBER(E422),ISNUMBER(K422)),E422-K422,NA())</f>
        <v/>
      </c>
      <c r="N422" s="20">
        <f>IF(NOT(ISNUMBER($A422)),NA(),IF(COUNT(OFFSET(G422,1,0,Settings!$B$12,1))&lt;ROUNDUP(Settings!$B$12*Settings!$B$26,0),NA(),STDEV(OFFSET(G422,1,0,Settings!$B$12,1))*SQRT(Settings!$B$13)))</f>
        <v/>
      </c>
      <c r="O422" s="20">
        <f>IF(AND(ISNUMBER(E422),ISNUMBER(N422)),E422-N422,NA())</f>
        <v/>
      </c>
      <c r="P422" s="19">
        <f>IF(NOT(ISNUMBER($A422)),NA(),IF(OR($A422&lt;MIN(KW_TP!$A$2:$A$2501),$A422&gt;MAX(KW_TP!$A$2:$A$2501)),NA(),INDEX(KW_TP!$C$2:$C$2501,MATCH($A422,KW_TP!$A$2:$A$2501,1))))</f>
        <v/>
      </c>
      <c r="Q422" s="18">
        <f>IF(NOT(ISNUMBER($A422)),NA(),IFERROR(1*INDEX(BBG_Data!$J$2:$J$4000,MATCH($A422,BBG_Data!$I$2:$I$4000,0)),NA()))</f>
        <v/>
      </c>
      <c r="R422" s="18">
        <f>IF(NOT(ISNUMBER($A422)),NA(),IFERROR(1*INDEX(BBG_Data!$L$2:$L$4000,MATCH($A422,BBG_Data!$K$2:$K$4000,0)),NA()))</f>
        <v/>
      </c>
      <c r="S422" s="20">
        <f>IF(AND(ISNUMBER(B422),ISNUMBER(Q422),ISNUMBER(R422)),(B422-Q422-R422)*100,NA())</f>
        <v/>
      </c>
      <c r="T422" s="20">
        <f>IF(AND(ISNUMBER(B422),Settings!$B$17&gt;0),IF(ISNUMBER(INDEX($B:$B,Settings!$B$17)),(B422-INDEX($B:$B,Settings!$B$17))*100,NA()),NA())</f>
        <v/>
      </c>
      <c r="U422" s="20">
        <f>IF(AND(ISNUMBER(Q422),Settings!$B$17&gt;0),IF(ISNUMBER(INDEX($Q:$Q,Settings!$B$17)),(Q422-INDEX($Q:$Q,Settings!$B$17))*100,NA()),NA())</f>
        <v/>
      </c>
      <c r="V422" s="20">
        <f>IF(AND(ISNUMBER(R422),Settings!$B$17&gt;0),IF(ISNUMBER(INDEX($R:$R,Settings!$B$17)),(R422-INDEX($R:$R,Settings!$B$17))*100,NA()),NA())</f>
        <v/>
      </c>
      <c r="W422" s="20">
        <f>IF(AND(ISNUMBER(P422),Settings!$B$17&gt;0),IF(ISNUMBER(INDEX($P:$P,Settings!$B$17)),P422-INDEX($P:$P,Settings!$B$17),NA()),NA())</f>
        <v/>
      </c>
      <c r="X422" s="19">
        <f>IF(NOT(ISNUMBER($A422)),NA(),IF(OR($A422&lt;MIN(DKW_10Y!$A$2:$A$2918),$A422&gt;MAX(DKW_10Y!$A$2:$A$2918),Settings!$B$16&lt;MIN(DKW_10Y!$A$2:$A$2918)),NA(),(INDEX(DKW_10Y!$B$2:$B$2918,MATCH($A422,DKW_10Y!$A$2:$A$2918,1))-INDEX(DKW_10Y!$B$2:$B$2918,MATCH(Settings!$B$16,DKW_10Y!$A$2:$A$2918,1)))*100))</f>
        <v/>
      </c>
      <c r="Y422" s="19">
        <f>IF(NOT(ISNUMBER($A422)),NA(),IF(OR($A422&lt;MIN(DKW_10Y!$A$2:$A$2918),$A422&gt;MAX(DKW_10Y!$A$2:$A$2918),Settings!$B$16&lt;MIN(DKW_10Y!$A$2:$A$2918)),NA(),(INDEX(DKW_10Y!$C$2:$C$2918,MATCH($A422,DKW_10Y!$A$2:$A$2918,1))-INDEX(DKW_10Y!$C$2:$C$2918,MATCH(Settings!$B$16,DKW_10Y!$A$2:$A$2918,1)))*100))</f>
        <v/>
      </c>
      <c r="Z422" s="19">
        <f>IF(NOT(ISNUMBER($A422)),NA(),IF(OR($A422&lt;MIN(DKW_10Y!$A$2:$A$2918),$A422&gt;MAX(DKW_10Y!$A$2:$A$2918),Settings!$B$16&lt;MIN(DKW_10Y!$A$2:$A$2918)),NA(),(INDEX(DKW_10Y!$D$2:$D$2918,MATCH($A422,DKW_10Y!$A$2:$A$2918,1))-INDEX(DKW_10Y!$D$2:$D$2918,MATCH(Settings!$B$16,DKW_10Y!$A$2:$A$2918,1)))*100))</f>
        <v/>
      </c>
      <c r="AA422" s="19">
        <f>IF(NOT(ISNUMBER($A422)),NA(),IF(OR($A422&lt;MIN(DKW_10Y!$A$2:$A$2918),$A422&gt;MAX(DKW_10Y!$A$2:$A$2918),Settings!$B$16&lt;MIN(DKW_10Y!$A$2:$A$2918)),NA(),(INDEX(DKW_10Y!$E$2:$E$2918,MATCH($A422,DKW_10Y!$A$2:$A$2918,1))-INDEX(DKW_10Y!$E$2:$E$2918,MATCH(Settings!$B$16,DKW_10Y!$A$2:$A$2918,1)))*100))</f>
        <v/>
      </c>
      <c r="AB422" s="19">
        <f>IF(NOT(ISNUMBER($A422)),NA(),IF(OR($A422&lt;MIN(DKW_10Y!$A$2:$A$2918),$A422&gt;MAX(DKW_10Y!$A$2:$A$2918),Settings!$B$16&lt;MIN(DKW_10Y!$A$2:$A$2918)),NA(),(INDEX(DKW_10Y!$H$2:$H$2918,MATCH($A422,DKW_10Y!$A$2:$A$2918,1))-INDEX(DKW_10Y!$H$2:$H$2918,MATCH(Settings!$B$16,DKW_10Y!$A$2:$A$2918,1)))*100))</f>
        <v/>
      </c>
      <c r="AC422" s="18">
        <f>IF(NOT(ISNUMBER($A422)),NA(),IFERROR(1*INDEX(BBG_Data!$N$2:$N$4000,MATCH($A422,BBG_Data!$M$2:$M$4000,0)),NA()))</f>
        <v/>
      </c>
      <c r="AD422" s="18">
        <f>IF(NOT(ISNUMBER($A422)),NA(),IFERROR(1*INDEX(BBG_Data!$P$2:$P$4000,MATCH($A422,BBG_Data!$O$2:$O$4000,0)),NA()))</f>
        <v/>
      </c>
      <c r="AE422" s="18">
        <f>IF(NOT(ISNUMBER($A422)),NA(),IFERROR(1*INDEX(BBG_Data!$R$2:$R$4000,MATCH($A422,BBG_Data!$Q$2:$Q$4000,0)),NA()))</f>
        <v/>
      </c>
      <c r="AF422" s="20">
        <f>IF(AND(ISNUMBER(B422),ISNUMBER(AC422)),(B422-AC422)*100,NA())</f>
        <v/>
      </c>
      <c r="AG422" s="20">
        <f>IF(AND(ISNUMBER(AE422),ISNUMBER(AD422)),(AE422-AD422)*100,NA())</f>
        <v/>
      </c>
      <c r="AH422" s="19">
        <f>IF(NOT(ISNUMBER($A422)),NA(),IFERROR(INDEX(BBG_Data!$T$2:$T$4000,MATCH($A422,BBG_Data!$S$2:$S$4000,0))*Settings!$B$25,NA()))</f>
        <v/>
      </c>
      <c r="AI422" s="19">
        <f>IF(NOT(ISNUMBER($A422)),NA(),IFERROR(INDEX(BBG_Data!$V$2:$V$4000,MATCH($A422,BBG_Data!$U$2:$U$4000,0))*Settings!$B$25,NA()))</f>
        <v/>
      </c>
      <c r="AJ422" s="19">
        <f>IF(NOT(ISNUMBER($A422)),NA(),IFERROR(1*INDEX(BBG_Data!$X$2:$X$4000,MATCH($A422,BBG_Data!$W$2:$W$4000,0)),NA()))</f>
        <v/>
      </c>
      <c r="AK422" s="19">
        <f>IF(NOT(ISNUMBER($A422)),NA(),IFERROR(1*INDEX(BBG_Data!$Z$2:$Z$4000,MATCH($A422,BBG_Data!$Y$2:$Y$4000,0)),NA()))</f>
        <v/>
      </c>
    </row>
    <row r="423">
      <c r="A423" s="17">
        <f>IF(ISNUMBER(BBG_Data!A423),BBG_Data!A423,"")</f>
        <v/>
      </c>
      <c r="B423" s="18">
        <f>IF(AND(ISNUMBER($A423),ISNUMBER(BBG_Data!B423)),BBG_Data!B423,NA())</f>
        <v/>
      </c>
      <c r="C423" s="18">
        <f>IF(NOT(ISNUMBER($A423)),NA(),IFERROR(1*INDEX(BBG_Data!$D$2:$D$4000,MATCH($A423,BBG_Data!$C$2:$C$4000,0)),NA()))</f>
        <v/>
      </c>
      <c r="D423" s="19">
        <f>IF(NOT(ISNUMBER($A423)),NA(),IFERROR(1*INDEX(BBG_Data!$F$2:$F$4000,MATCH($A423,BBG_Data!$E$2:$E$4000,0)),NA()))</f>
        <v/>
      </c>
      <c r="E423" s="19">
        <f>IF(NOT(ISNUMBER($A423)),NA(),IFERROR(1*INDEX(BBG_Data!$H$2:$H$4000,MATCH($A423,BBG_Data!$G$2:$G$4000,0)),NA()))</f>
        <v/>
      </c>
      <c r="F423" s="20">
        <f>IF(AND(ISNUMBER(B423),ISNUMBER(B422)),IF(B423=B422,"",(B423-B422)*100),"")</f>
        <v/>
      </c>
      <c r="G423" s="20">
        <f>IF(AND(ISNUMBER(C423),ISNUMBER(C422)),IF(C423=C422,"",(C423-C422)*100),"")</f>
        <v/>
      </c>
      <c r="H423" s="20">
        <f>IF(OR(NOT(ISNUMBER($A423)),ROW()-2&lt;Settings!$B$11),NA(),IF(COUNT(OFFSET(F423,1-Settings!$B$11,0,Settings!$B$11,1))&lt;ROUNDUP(Settings!$B$11*Settings!$B$26,0),NA(),STDEV(OFFSET(F423,1-Settings!$B$11,0,Settings!$B$11,1))*SQRT(Settings!$B$13)))</f>
        <v/>
      </c>
      <c r="I423" s="20">
        <f>IF(OR(NOT(ISNUMBER($A423)),ROW()-2&lt;Settings!$B$12),NA(),IF(COUNT(OFFSET(F423,1-Settings!$B$12,0,Settings!$B$12,1))&lt;ROUNDUP(Settings!$B$12*Settings!$B$26,0),NA(),STDEV(OFFSET(F423,1-Settings!$B$12,0,Settings!$B$12,1))*SQRT(Settings!$B$13)))</f>
        <v/>
      </c>
      <c r="J423" s="20">
        <f>IF(OR(NOT(ISNUMBER($A423)),ROW()-2&lt;Settings!$B$11),NA(),IF(COUNT(OFFSET(G423,1-Settings!$B$11,0,Settings!$B$11,1))&lt;ROUNDUP(Settings!$B$11*Settings!$B$26,0),NA(),STDEV(OFFSET(G423,1-Settings!$B$11,0,Settings!$B$11,1))*SQRT(Settings!$B$13)))</f>
        <v/>
      </c>
      <c r="K423" s="20">
        <f>IF(OR(NOT(ISNUMBER($A423)),ROW()-2&lt;Settings!$B$12),NA(),IF(COUNT(OFFSET(G423,1-Settings!$B$12,0,Settings!$B$12,1))&lt;ROUNDUP(Settings!$B$12*Settings!$B$26,0),NA(),STDEV(OFFSET(G423,1-Settings!$B$12,0,Settings!$B$12,1))*SQRT(Settings!$B$13)))</f>
        <v/>
      </c>
      <c r="L423" s="20">
        <f>IF(AND(ISNUMBER(D423),ISNUMBER(H423)),D423-H423,NA())</f>
        <v/>
      </c>
      <c r="M423" s="20">
        <f>IF(AND(ISNUMBER(E423),ISNUMBER(K423)),E423-K423,NA())</f>
        <v/>
      </c>
      <c r="N423" s="20">
        <f>IF(NOT(ISNUMBER($A423)),NA(),IF(COUNT(OFFSET(G423,1,0,Settings!$B$12,1))&lt;ROUNDUP(Settings!$B$12*Settings!$B$26,0),NA(),STDEV(OFFSET(G423,1,0,Settings!$B$12,1))*SQRT(Settings!$B$13)))</f>
        <v/>
      </c>
      <c r="O423" s="20">
        <f>IF(AND(ISNUMBER(E423),ISNUMBER(N423)),E423-N423,NA())</f>
        <v/>
      </c>
      <c r="P423" s="19">
        <f>IF(NOT(ISNUMBER($A423)),NA(),IF(OR($A423&lt;MIN(KW_TP!$A$2:$A$2501),$A423&gt;MAX(KW_TP!$A$2:$A$2501)),NA(),INDEX(KW_TP!$C$2:$C$2501,MATCH($A423,KW_TP!$A$2:$A$2501,1))))</f>
        <v/>
      </c>
      <c r="Q423" s="18">
        <f>IF(NOT(ISNUMBER($A423)),NA(),IFERROR(1*INDEX(BBG_Data!$J$2:$J$4000,MATCH($A423,BBG_Data!$I$2:$I$4000,0)),NA()))</f>
        <v/>
      </c>
      <c r="R423" s="18">
        <f>IF(NOT(ISNUMBER($A423)),NA(),IFERROR(1*INDEX(BBG_Data!$L$2:$L$4000,MATCH($A423,BBG_Data!$K$2:$K$4000,0)),NA()))</f>
        <v/>
      </c>
      <c r="S423" s="20">
        <f>IF(AND(ISNUMBER(B423),ISNUMBER(Q423),ISNUMBER(R423)),(B423-Q423-R423)*100,NA())</f>
        <v/>
      </c>
      <c r="T423" s="20">
        <f>IF(AND(ISNUMBER(B423),Settings!$B$17&gt;0),IF(ISNUMBER(INDEX($B:$B,Settings!$B$17)),(B423-INDEX($B:$B,Settings!$B$17))*100,NA()),NA())</f>
        <v/>
      </c>
      <c r="U423" s="20">
        <f>IF(AND(ISNUMBER(Q423),Settings!$B$17&gt;0),IF(ISNUMBER(INDEX($Q:$Q,Settings!$B$17)),(Q423-INDEX($Q:$Q,Settings!$B$17))*100,NA()),NA())</f>
        <v/>
      </c>
      <c r="V423" s="20">
        <f>IF(AND(ISNUMBER(R423),Settings!$B$17&gt;0),IF(ISNUMBER(INDEX($R:$R,Settings!$B$17)),(R423-INDEX($R:$R,Settings!$B$17))*100,NA()),NA())</f>
        <v/>
      </c>
      <c r="W423" s="20">
        <f>IF(AND(ISNUMBER(P423),Settings!$B$17&gt;0),IF(ISNUMBER(INDEX($P:$P,Settings!$B$17)),P423-INDEX($P:$P,Settings!$B$17),NA()),NA())</f>
        <v/>
      </c>
      <c r="X423" s="19">
        <f>IF(NOT(ISNUMBER($A423)),NA(),IF(OR($A423&lt;MIN(DKW_10Y!$A$2:$A$2918),$A423&gt;MAX(DKW_10Y!$A$2:$A$2918),Settings!$B$16&lt;MIN(DKW_10Y!$A$2:$A$2918)),NA(),(INDEX(DKW_10Y!$B$2:$B$2918,MATCH($A423,DKW_10Y!$A$2:$A$2918,1))-INDEX(DKW_10Y!$B$2:$B$2918,MATCH(Settings!$B$16,DKW_10Y!$A$2:$A$2918,1)))*100))</f>
        <v/>
      </c>
      <c r="Y423" s="19">
        <f>IF(NOT(ISNUMBER($A423)),NA(),IF(OR($A423&lt;MIN(DKW_10Y!$A$2:$A$2918),$A423&gt;MAX(DKW_10Y!$A$2:$A$2918),Settings!$B$16&lt;MIN(DKW_10Y!$A$2:$A$2918)),NA(),(INDEX(DKW_10Y!$C$2:$C$2918,MATCH($A423,DKW_10Y!$A$2:$A$2918,1))-INDEX(DKW_10Y!$C$2:$C$2918,MATCH(Settings!$B$16,DKW_10Y!$A$2:$A$2918,1)))*100))</f>
        <v/>
      </c>
      <c r="Z423" s="19">
        <f>IF(NOT(ISNUMBER($A423)),NA(),IF(OR($A423&lt;MIN(DKW_10Y!$A$2:$A$2918),$A423&gt;MAX(DKW_10Y!$A$2:$A$2918),Settings!$B$16&lt;MIN(DKW_10Y!$A$2:$A$2918)),NA(),(INDEX(DKW_10Y!$D$2:$D$2918,MATCH($A423,DKW_10Y!$A$2:$A$2918,1))-INDEX(DKW_10Y!$D$2:$D$2918,MATCH(Settings!$B$16,DKW_10Y!$A$2:$A$2918,1)))*100))</f>
        <v/>
      </c>
      <c r="AA423" s="19">
        <f>IF(NOT(ISNUMBER($A423)),NA(),IF(OR($A423&lt;MIN(DKW_10Y!$A$2:$A$2918),$A423&gt;MAX(DKW_10Y!$A$2:$A$2918),Settings!$B$16&lt;MIN(DKW_10Y!$A$2:$A$2918)),NA(),(INDEX(DKW_10Y!$E$2:$E$2918,MATCH($A423,DKW_10Y!$A$2:$A$2918,1))-INDEX(DKW_10Y!$E$2:$E$2918,MATCH(Settings!$B$16,DKW_10Y!$A$2:$A$2918,1)))*100))</f>
        <v/>
      </c>
      <c r="AB423" s="19">
        <f>IF(NOT(ISNUMBER($A423)),NA(),IF(OR($A423&lt;MIN(DKW_10Y!$A$2:$A$2918),$A423&gt;MAX(DKW_10Y!$A$2:$A$2918),Settings!$B$16&lt;MIN(DKW_10Y!$A$2:$A$2918)),NA(),(INDEX(DKW_10Y!$H$2:$H$2918,MATCH($A423,DKW_10Y!$A$2:$A$2918,1))-INDEX(DKW_10Y!$H$2:$H$2918,MATCH(Settings!$B$16,DKW_10Y!$A$2:$A$2918,1)))*100))</f>
        <v/>
      </c>
      <c r="AC423" s="18">
        <f>IF(NOT(ISNUMBER($A423)),NA(),IFERROR(1*INDEX(BBG_Data!$N$2:$N$4000,MATCH($A423,BBG_Data!$M$2:$M$4000,0)),NA()))</f>
        <v/>
      </c>
      <c r="AD423" s="18">
        <f>IF(NOT(ISNUMBER($A423)),NA(),IFERROR(1*INDEX(BBG_Data!$P$2:$P$4000,MATCH($A423,BBG_Data!$O$2:$O$4000,0)),NA()))</f>
        <v/>
      </c>
      <c r="AE423" s="18">
        <f>IF(NOT(ISNUMBER($A423)),NA(),IFERROR(1*INDEX(BBG_Data!$R$2:$R$4000,MATCH($A423,BBG_Data!$Q$2:$Q$4000,0)),NA()))</f>
        <v/>
      </c>
      <c r="AF423" s="20">
        <f>IF(AND(ISNUMBER(B423),ISNUMBER(AC423)),(B423-AC423)*100,NA())</f>
        <v/>
      </c>
      <c r="AG423" s="20">
        <f>IF(AND(ISNUMBER(AE423),ISNUMBER(AD423)),(AE423-AD423)*100,NA())</f>
        <v/>
      </c>
      <c r="AH423" s="19">
        <f>IF(NOT(ISNUMBER($A423)),NA(),IFERROR(INDEX(BBG_Data!$T$2:$T$4000,MATCH($A423,BBG_Data!$S$2:$S$4000,0))*Settings!$B$25,NA()))</f>
        <v/>
      </c>
      <c r="AI423" s="19">
        <f>IF(NOT(ISNUMBER($A423)),NA(),IFERROR(INDEX(BBG_Data!$V$2:$V$4000,MATCH($A423,BBG_Data!$U$2:$U$4000,0))*Settings!$B$25,NA()))</f>
        <v/>
      </c>
      <c r="AJ423" s="19">
        <f>IF(NOT(ISNUMBER($A423)),NA(),IFERROR(1*INDEX(BBG_Data!$X$2:$X$4000,MATCH($A423,BBG_Data!$W$2:$W$4000,0)),NA()))</f>
        <v/>
      </c>
      <c r="AK423" s="19">
        <f>IF(NOT(ISNUMBER($A423)),NA(),IFERROR(1*INDEX(BBG_Data!$Z$2:$Z$4000,MATCH($A423,BBG_Data!$Y$2:$Y$4000,0)),NA()))</f>
        <v/>
      </c>
    </row>
    <row r="424">
      <c r="A424" s="17">
        <f>IF(ISNUMBER(BBG_Data!A424),BBG_Data!A424,"")</f>
        <v/>
      </c>
      <c r="B424" s="18">
        <f>IF(AND(ISNUMBER($A424),ISNUMBER(BBG_Data!B424)),BBG_Data!B424,NA())</f>
        <v/>
      </c>
      <c r="C424" s="18">
        <f>IF(NOT(ISNUMBER($A424)),NA(),IFERROR(1*INDEX(BBG_Data!$D$2:$D$4000,MATCH($A424,BBG_Data!$C$2:$C$4000,0)),NA()))</f>
        <v/>
      </c>
      <c r="D424" s="19">
        <f>IF(NOT(ISNUMBER($A424)),NA(),IFERROR(1*INDEX(BBG_Data!$F$2:$F$4000,MATCH($A424,BBG_Data!$E$2:$E$4000,0)),NA()))</f>
        <v/>
      </c>
      <c r="E424" s="19">
        <f>IF(NOT(ISNUMBER($A424)),NA(),IFERROR(1*INDEX(BBG_Data!$H$2:$H$4000,MATCH($A424,BBG_Data!$G$2:$G$4000,0)),NA()))</f>
        <v/>
      </c>
      <c r="F424" s="20">
        <f>IF(AND(ISNUMBER(B424),ISNUMBER(B423)),IF(B424=B423,"",(B424-B423)*100),"")</f>
        <v/>
      </c>
      <c r="G424" s="20">
        <f>IF(AND(ISNUMBER(C424),ISNUMBER(C423)),IF(C424=C423,"",(C424-C423)*100),"")</f>
        <v/>
      </c>
      <c r="H424" s="20">
        <f>IF(OR(NOT(ISNUMBER($A424)),ROW()-2&lt;Settings!$B$11),NA(),IF(COUNT(OFFSET(F424,1-Settings!$B$11,0,Settings!$B$11,1))&lt;ROUNDUP(Settings!$B$11*Settings!$B$26,0),NA(),STDEV(OFFSET(F424,1-Settings!$B$11,0,Settings!$B$11,1))*SQRT(Settings!$B$13)))</f>
        <v/>
      </c>
      <c r="I424" s="20">
        <f>IF(OR(NOT(ISNUMBER($A424)),ROW()-2&lt;Settings!$B$12),NA(),IF(COUNT(OFFSET(F424,1-Settings!$B$12,0,Settings!$B$12,1))&lt;ROUNDUP(Settings!$B$12*Settings!$B$26,0),NA(),STDEV(OFFSET(F424,1-Settings!$B$12,0,Settings!$B$12,1))*SQRT(Settings!$B$13)))</f>
        <v/>
      </c>
      <c r="J424" s="20">
        <f>IF(OR(NOT(ISNUMBER($A424)),ROW()-2&lt;Settings!$B$11),NA(),IF(COUNT(OFFSET(G424,1-Settings!$B$11,0,Settings!$B$11,1))&lt;ROUNDUP(Settings!$B$11*Settings!$B$26,0),NA(),STDEV(OFFSET(G424,1-Settings!$B$11,0,Settings!$B$11,1))*SQRT(Settings!$B$13)))</f>
        <v/>
      </c>
      <c r="K424" s="20">
        <f>IF(OR(NOT(ISNUMBER($A424)),ROW()-2&lt;Settings!$B$12),NA(),IF(COUNT(OFFSET(G424,1-Settings!$B$12,0,Settings!$B$12,1))&lt;ROUNDUP(Settings!$B$12*Settings!$B$26,0),NA(),STDEV(OFFSET(G424,1-Settings!$B$12,0,Settings!$B$12,1))*SQRT(Settings!$B$13)))</f>
        <v/>
      </c>
      <c r="L424" s="20">
        <f>IF(AND(ISNUMBER(D424),ISNUMBER(H424)),D424-H424,NA())</f>
        <v/>
      </c>
      <c r="M424" s="20">
        <f>IF(AND(ISNUMBER(E424),ISNUMBER(K424)),E424-K424,NA())</f>
        <v/>
      </c>
      <c r="N424" s="20">
        <f>IF(NOT(ISNUMBER($A424)),NA(),IF(COUNT(OFFSET(G424,1,0,Settings!$B$12,1))&lt;ROUNDUP(Settings!$B$12*Settings!$B$26,0),NA(),STDEV(OFFSET(G424,1,0,Settings!$B$12,1))*SQRT(Settings!$B$13)))</f>
        <v/>
      </c>
      <c r="O424" s="20">
        <f>IF(AND(ISNUMBER(E424),ISNUMBER(N424)),E424-N424,NA())</f>
        <v/>
      </c>
      <c r="P424" s="19">
        <f>IF(NOT(ISNUMBER($A424)),NA(),IF(OR($A424&lt;MIN(KW_TP!$A$2:$A$2501),$A424&gt;MAX(KW_TP!$A$2:$A$2501)),NA(),INDEX(KW_TP!$C$2:$C$2501,MATCH($A424,KW_TP!$A$2:$A$2501,1))))</f>
        <v/>
      </c>
      <c r="Q424" s="18">
        <f>IF(NOT(ISNUMBER($A424)),NA(),IFERROR(1*INDEX(BBG_Data!$J$2:$J$4000,MATCH($A424,BBG_Data!$I$2:$I$4000,0)),NA()))</f>
        <v/>
      </c>
      <c r="R424" s="18">
        <f>IF(NOT(ISNUMBER($A424)),NA(),IFERROR(1*INDEX(BBG_Data!$L$2:$L$4000,MATCH($A424,BBG_Data!$K$2:$K$4000,0)),NA()))</f>
        <v/>
      </c>
      <c r="S424" s="20">
        <f>IF(AND(ISNUMBER(B424),ISNUMBER(Q424),ISNUMBER(R424)),(B424-Q424-R424)*100,NA())</f>
        <v/>
      </c>
      <c r="T424" s="20">
        <f>IF(AND(ISNUMBER(B424),Settings!$B$17&gt;0),IF(ISNUMBER(INDEX($B:$B,Settings!$B$17)),(B424-INDEX($B:$B,Settings!$B$17))*100,NA()),NA())</f>
        <v/>
      </c>
      <c r="U424" s="20">
        <f>IF(AND(ISNUMBER(Q424),Settings!$B$17&gt;0),IF(ISNUMBER(INDEX($Q:$Q,Settings!$B$17)),(Q424-INDEX($Q:$Q,Settings!$B$17))*100,NA()),NA())</f>
        <v/>
      </c>
      <c r="V424" s="20">
        <f>IF(AND(ISNUMBER(R424),Settings!$B$17&gt;0),IF(ISNUMBER(INDEX($R:$R,Settings!$B$17)),(R424-INDEX($R:$R,Settings!$B$17))*100,NA()),NA())</f>
        <v/>
      </c>
      <c r="W424" s="20">
        <f>IF(AND(ISNUMBER(P424),Settings!$B$17&gt;0),IF(ISNUMBER(INDEX($P:$P,Settings!$B$17)),P424-INDEX($P:$P,Settings!$B$17),NA()),NA())</f>
        <v/>
      </c>
      <c r="X424" s="19">
        <f>IF(NOT(ISNUMBER($A424)),NA(),IF(OR($A424&lt;MIN(DKW_10Y!$A$2:$A$2918),$A424&gt;MAX(DKW_10Y!$A$2:$A$2918),Settings!$B$16&lt;MIN(DKW_10Y!$A$2:$A$2918)),NA(),(INDEX(DKW_10Y!$B$2:$B$2918,MATCH($A424,DKW_10Y!$A$2:$A$2918,1))-INDEX(DKW_10Y!$B$2:$B$2918,MATCH(Settings!$B$16,DKW_10Y!$A$2:$A$2918,1)))*100))</f>
        <v/>
      </c>
      <c r="Y424" s="19">
        <f>IF(NOT(ISNUMBER($A424)),NA(),IF(OR($A424&lt;MIN(DKW_10Y!$A$2:$A$2918),$A424&gt;MAX(DKW_10Y!$A$2:$A$2918),Settings!$B$16&lt;MIN(DKW_10Y!$A$2:$A$2918)),NA(),(INDEX(DKW_10Y!$C$2:$C$2918,MATCH($A424,DKW_10Y!$A$2:$A$2918,1))-INDEX(DKW_10Y!$C$2:$C$2918,MATCH(Settings!$B$16,DKW_10Y!$A$2:$A$2918,1)))*100))</f>
        <v/>
      </c>
      <c r="Z424" s="19">
        <f>IF(NOT(ISNUMBER($A424)),NA(),IF(OR($A424&lt;MIN(DKW_10Y!$A$2:$A$2918),$A424&gt;MAX(DKW_10Y!$A$2:$A$2918),Settings!$B$16&lt;MIN(DKW_10Y!$A$2:$A$2918)),NA(),(INDEX(DKW_10Y!$D$2:$D$2918,MATCH($A424,DKW_10Y!$A$2:$A$2918,1))-INDEX(DKW_10Y!$D$2:$D$2918,MATCH(Settings!$B$16,DKW_10Y!$A$2:$A$2918,1)))*100))</f>
        <v/>
      </c>
      <c r="AA424" s="19">
        <f>IF(NOT(ISNUMBER($A424)),NA(),IF(OR($A424&lt;MIN(DKW_10Y!$A$2:$A$2918),$A424&gt;MAX(DKW_10Y!$A$2:$A$2918),Settings!$B$16&lt;MIN(DKW_10Y!$A$2:$A$2918)),NA(),(INDEX(DKW_10Y!$E$2:$E$2918,MATCH($A424,DKW_10Y!$A$2:$A$2918,1))-INDEX(DKW_10Y!$E$2:$E$2918,MATCH(Settings!$B$16,DKW_10Y!$A$2:$A$2918,1)))*100))</f>
        <v/>
      </c>
      <c r="AB424" s="19">
        <f>IF(NOT(ISNUMBER($A424)),NA(),IF(OR($A424&lt;MIN(DKW_10Y!$A$2:$A$2918),$A424&gt;MAX(DKW_10Y!$A$2:$A$2918),Settings!$B$16&lt;MIN(DKW_10Y!$A$2:$A$2918)),NA(),(INDEX(DKW_10Y!$H$2:$H$2918,MATCH($A424,DKW_10Y!$A$2:$A$2918,1))-INDEX(DKW_10Y!$H$2:$H$2918,MATCH(Settings!$B$16,DKW_10Y!$A$2:$A$2918,1)))*100))</f>
        <v/>
      </c>
      <c r="AC424" s="18">
        <f>IF(NOT(ISNUMBER($A424)),NA(),IFERROR(1*INDEX(BBG_Data!$N$2:$N$4000,MATCH($A424,BBG_Data!$M$2:$M$4000,0)),NA()))</f>
        <v/>
      </c>
      <c r="AD424" s="18">
        <f>IF(NOT(ISNUMBER($A424)),NA(),IFERROR(1*INDEX(BBG_Data!$P$2:$P$4000,MATCH($A424,BBG_Data!$O$2:$O$4000,0)),NA()))</f>
        <v/>
      </c>
      <c r="AE424" s="18">
        <f>IF(NOT(ISNUMBER($A424)),NA(),IFERROR(1*INDEX(BBG_Data!$R$2:$R$4000,MATCH($A424,BBG_Data!$Q$2:$Q$4000,0)),NA()))</f>
        <v/>
      </c>
      <c r="AF424" s="20">
        <f>IF(AND(ISNUMBER(B424),ISNUMBER(AC424)),(B424-AC424)*100,NA())</f>
        <v/>
      </c>
      <c r="AG424" s="20">
        <f>IF(AND(ISNUMBER(AE424),ISNUMBER(AD424)),(AE424-AD424)*100,NA())</f>
        <v/>
      </c>
      <c r="AH424" s="19">
        <f>IF(NOT(ISNUMBER($A424)),NA(),IFERROR(INDEX(BBG_Data!$T$2:$T$4000,MATCH($A424,BBG_Data!$S$2:$S$4000,0))*Settings!$B$25,NA()))</f>
        <v/>
      </c>
      <c r="AI424" s="19">
        <f>IF(NOT(ISNUMBER($A424)),NA(),IFERROR(INDEX(BBG_Data!$V$2:$V$4000,MATCH($A424,BBG_Data!$U$2:$U$4000,0))*Settings!$B$25,NA()))</f>
        <v/>
      </c>
      <c r="AJ424" s="19">
        <f>IF(NOT(ISNUMBER($A424)),NA(),IFERROR(1*INDEX(BBG_Data!$X$2:$X$4000,MATCH($A424,BBG_Data!$W$2:$W$4000,0)),NA()))</f>
        <v/>
      </c>
      <c r="AK424" s="19">
        <f>IF(NOT(ISNUMBER($A424)),NA(),IFERROR(1*INDEX(BBG_Data!$Z$2:$Z$4000,MATCH($A424,BBG_Data!$Y$2:$Y$4000,0)),NA()))</f>
        <v/>
      </c>
    </row>
    <row r="425">
      <c r="A425" s="17">
        <f>IF(ISNUMBER(BBG_Data!A425),BBG_Data!A425,"")</f>
        <v/>
      </c>
      <c r="B425" s="18">
        <f>IF(AND(ISNUMBER($A425),ISNUMBER(BBG_Data!B425)),BBG_Data!B425,NA())</f>
        <v/>
      </c>
      <c r="C425" s="18">
        <f>IF(NOT(ISNUMBER($A425)),NA(),IFERROR(1*INDEX(BBG_Data!$D$2:$D$4000,MATCH($A425,BBG_Data!$C$2:$C$4000,0)),NA()))</f>
        <v/>
      </c>
      <c r="D425" s="19">
        <f>IF(NOT(ISNUMBER($A425)),NA(),IFERROR(1*INDEX(BBG_Data!$F$2:$F$4000,MATCH($A425,BBG_Data!$E$2:$E$4000,0)),NA()))</f>
        <v/>
      </c>
      <c r="E425" s="19">
        <f>IF(NOT(ISNUMBER($A425)),NA(),IFERROR(1*INDEX(BBG_Data!$H$2:$H$4000,MATCH($A425,BBG_Data!$G$2:$G$4000,0)),NA()))</f>
        <v/>
      </c>
      <c r="F425" s="20">
        <f>IF(AND(ISNUMBER(B425),ISNUMBER(B424)),IF(B425=B424,"",(B425-B424)*100),"")</f>
        <v/>
      </c>
      <c r="G425" s="20">
        <f>IF(AND(ISNUMBER(C425),ISNUMBER(C424)),IF(C425=C424,"",(C425-C424)*100),"")</f>
        <v/>
      </c>
      <c r="H425" s="20">
        <f>IF(OR(NOT(ISNUMBER($A425)),ROW()-2&lt;Settings!$B$11),NA(),IF(COUNT(OFFSET(F425,1-Settings!$B$11,0,Settings!$B$11,1))&lt;ROUNDUP(Settings!$B$11*Settings!$B$26,0),NA(),STDEV(OFFSET(F425,1-Settings!$B$11,0,Settings!$B$11,1))*SQRT(Settings!$B$13)))</f>
        <v/>
      </c>
      <c r="I425" s="20">
        <f>IF(OR(NOT(ISNUMBER($A425)),ROW()-2&lt;Settings!$B$12),NA(),IF(COUNT(OFFSET(F425,1-Settings!$B$12,0,Settings!$B$12,1))&lt;ROUNDUP(Settings!$B$12*Settings!$B$26,0),NA(),STDEV(OFFSET(F425,1-Settings!$B$12,0,Settings!$B$12,1))*SQRT(Settings!$B$13)))</f>
        <v/>
      </c>
      <c r="J425" s="20">
        <f>IF(OR(NOT(ISNUMBER($A425)),ROW()-2&lt;Settings!$B$11),NA(),IF(COUNT(OFFSET(G425,1-Settings!$B$11,0,Settings!$B$11,1))&lt;ROUNDUP(Settings!$B$11*Settings!$B$26,0),NA(),STDEV(OFFSET(G425,1-Settings!$B$11,0,Settings!$B$11,1))*SQRT(Settings!$B$13)))</f>
        <v/>
      </c>
      <c r="K425" s="20">
        <f>IF(OR(NOT(ISNUMBER($A425)),ROW()-2&lt;Settings!$B$12),NA(),IF(COUNT(OFFSET(G425,1-Settings!$B$12,0,Settings!$B$12,1))&lt;ROUNDUP(Settings!$B$12*Settings!$B$26,0),NA(),STDEV(OFFSET(G425,1-Settings!$B$12,0,Settings!$B$12,1))*SQRT(Settings!$B$13)))</f>
        <v/>
      </c>
      <c r="L425" s="20">
        <f>IF(AND(ISNUMBER(D425),ISNUMBER(H425)),D425-H425,NA())</f>
        <v/>
      </c>
      <c r="M425" s="20">
        <f>IF(AND(ISNUMBER(E425),ISNUMBER(K425)),E425-K425,NA())</f>
        <v/>
      </c>
      <c r="N425" s="20">
        <f>IF(NOT(ISNUMBER($A425)),NA(),IF(COUNT(OFFSET(G425,1,0,Settings!$B$12,1))&lt;ROUNDUP(Settings!$B$12*Settings!$B$26,0),NA(),STDEV(OFFSET(G425,1,0,Settings!$B$12,1))*SQRT(Settings!$B$13)))</f>
        <v/>
      </c>
      <c r="O425" s="20">
        <f>IF(AND(ISNUMBER(E425),ISNUMBER(N425)),E425-N425,NA())</f>
        <v/>
      </c>
      <c r="P425" s="19">
        <f>IF(NOT(ISNUMBER($A425)),NA(),IF(OR($A425&lt;MIN(KW_TP!$A$2:$A$2501),$A425&gt;MAX(KW_TP!$A$2:$A$2501)),NA(),INDEX(KW_TP!$C$2:$C$2501,MATCH($A425,KW_TP!$A$2:$A$2501,1))))</f>
        <v/>
      </c>
      <c r="Q425" s="18">
        <f>IF(NOT(ISNUMBER($A425)),NA(),IFERROR(1*INDEX(BBG_Data!$J$2:$J$4000,MATCH($A425,BBG_Data!$I$2:$I$4000,0)),NA()))</f>
        <v/>
      </c>
      <c r="R425" s="18">
        <f>IF(NOT(ISNUMBER($A425)),NA(),IFERROR(1*INDEX(BBG_Data!$L$2:$L$4000,MATCH($A425,BBG_Data!$K$2:$K$4000,0)),NA()))</f>
        <v/>
      </c>
      <c r="S425" s="20">
        <f>IF(AND(ISNUMBER(B425),ISNUMBER(Q425),ISNUMBER(R425)),(B425-Q425-R425)*100,NA())</f>
        <v/>
      </c>
      <c r="T425" s="20">
        <f>IF(AND(ISNUMBER(B425),Settings!$B$17&gt;0),IF(ISNUMBER(INDEX($B:$B,Settings!$B$17)),(B425-INDEX($B:$B,Settings!$B$17))*100,NA()),NA())</f>
        <v/>
      </c>
      <c r="U425" s="20">
        <f>IF(AND(ISNUMBER(Q425),Settings!$B$17&gt;0),IF(ISNUMBER(INDEX($Q:$Q,Settings!$B$17)),(Q425-INDEX($Q:$Q,Settings!$B$17))*100,NA()),NA())</f>
        <v/>
      </c>
      <c r="V425" s="20">
        <f>IF(AND(ISNUMBER(R425),Settings!$B$17&gt;0),IF(ISNUMBER(INDEX($R:$R,Settings!$B$17)),(R425-INDEX($R:$R,Settings!$B$17))*100,NA()),NA())</f>
        <v/>
      </c>
      <c r="W425" s="20">
        <f>IF(AND(ISNUMBER(P425),Settings!$B$17&gt;0),IF(ISNUMBER(INDEX($P:$P,Settings!$B$17)),P425-INDEX($P:$P,Settings!$B$17),NA()),NA())</f>
        <v/>
      </c>
      <c r="X425" s="19">
        <f>IF(NOT(ISNUMBER($A425)),NA(),IF(OR($A425&lt;MIN(DKW_10Y!$A$2:$A$2918),$A425&gt;MAX(DKW_10Y!$A$2:$A$2918),Settings!$B$16&lt;MIN(DKW_10Y!$A$2:$A$2918)),NA(),(INDEX(DKW_10Y!$B$2:$B$2918,MATCH($A425,DKW_10Y!$A$2:$A$2918,1))-INDEX(DKW_10Y!$B$2:$B$2918,MATCH(Settings!$B$16,DKW_10Y!$A$2:$A$2918,1)))*100))</f>
        <v/>
      </c>
      <c r="Y425" s="19">
        <f>IF(NOT(ISNUMBER($A425)),NA(),IF(OR($A425&lt;MIN(DKW_10Y!$A$2:$A$2918),$A425&gt;MAX(DKW_10Y!$A$2:$A$2918),Settings!$B$16&lt;MIN(DKW_10Y!$A$2:$A$2918)),NA(),(INDEX(DKW_10Y!$C$2:$C$2918,MATCH($A425,DKW_10Y!$A$2:$A$2918,1))-INDEX(DKW_10Y!$C$2:$C$2918,MATCH(Settings!$B$16,DKW_10Y!$A$2:$A$2918,1)))*100))</f>
        <v/>
      </c>
      <c r="Z425" s="19">
        <f>IF(NOT(ISNUMBER($A425)),NA(),IF(OR($A425&lt;MIN(DKW_10Y!$A$2:$A$2918),$A425&gt;MAX(DKW_10Y!$A$2:$A$2918),Settings!$B$16&lt;MIN(DKW_10Y!$A$2:$A$2918)),NA(),(INDEX(DKW_10Y!$D$2:$D$2918,MATCH($A425,DKW_10Y!$A$2:$A$2918,1))-INDEX(DKW_10Y!$D$2:$D$2918,MATCH(Settings!$B$16,DKW_10Y!$A$2:$A$2918,1)))*100))</f>
        <v/>
      </c>
      <c r="AA425" s="19">
        <f>IF(NOT(ISNUMBER($A425)),NA(),IF(OR($A425&lt;MIN(DKW_10Y!$A$2:$A$2918),$A425&gt;MAX(DKW_10Y!$A$2:$A$2918),Settings!$B$16&lt;MIN(DKW_10Y!$A$2:$A$2918)),NA(),(INDEX(DKW_10Y!$E$2:$E$2918,MATCH($A425,DKW_10Y!$A$2:$A$2918,1))-INDEX(DKW_10Y!$E$2:$E$2918,MATCH(Settings!$B$16,DKW_10Y!$A$2:$A$2918,1)))*100))</f>
        <v/>
      </c>
      <c r="AB425" s="19">
        <f>IF(NOT(ISNUMBER($A425)),NA(),IF(OR($A425&lt;MIN(DKW_10Y!$A$2:$A$2918),$A425&gt;MAX(DKW_10Y!$A$2:$A$2918),Settings!$B$16&lt;MIN(DKW_10Y!$A$2:$A$2918)),NA(),(INDEX(DKW_10Y!$H$2:$H$2918,MATCH($A425,DKW_10Y!$A$2:$A$2918,1))-INDEX(DKW_10Y!$H$2:$H$2918,MATCH(Settings!$B$16,DKW_10Y!$A$2:$A$2918,1)))*100))</f>
        <v/>
      </c>
      <c r="AC425" s="18">
        <f>IF(NOT(ISNUMBER($A425)),NA(),IFERROR(1*INDEX(BBG_Data!$N$2:$N$4000,MATCH($A425,BBG_Data!$M$2:$M$4000,0)),NA()))</f>
        <v/>
      </c>
      <c r="AD425" s="18">
        <f>IF(NOT(ISNUMBER($A425)),NA(),IFERROR(1*INDEX(BBG_Data!$P$2:$P$4000,MATCH($A425,BBG_Data!$O$2:$O$4000,0)),NA()))</f>
        <v/>
      </c>
      <c r="AE425" s="18">
        <f>IF(NOT(ISNUMBER($A425)),NA(),IFERROR(1*INDEX(BBG_Data!$R$2:$R$4000,MATCH($A425,BBG_Data!$Q$2:$Q$4000,0)),NA()))</f>
        <v/>
      </c>
      <c r="AF425" s="20">
        <f>IF(AND(ISNUMBER(B425),ISNUMBER(AC425)),(B425-AC425)*100,NA())</f>
        <v/>
      </c>
      <c r="AG425" s="20">
        <f>IF(AND(ISNUMBER(AE425),ISNUMBER(AD425)),(AE425-AD425)*100,NA())</f>
        <v/>
      </c>
      <c r="AH425" s="19">
        <f>IF(NOT(ISNUMBER($A425)),NA(),IFERROR(INDEX(BBG_Data!$T$2:$T$4000,MATCH($A425,BBG_Data!$S$2:$S$4000,0))*Settings!$B$25,NA()))</f>
        <v/>
      </c>
      <c r="AI425" s="19">
        <f>IF(NOT(ISNUMBER($A425)),NA(),IFERROR(INDEX(BBG_Data!$V$2:$V$4000,MATCH($A425,BBG_Data!$U$2:$U$4000,0))*Settings!$B$25,NA()))</f>
        <v/>
      </c>
      <c r="AJ425" s="19">
        <f>IF(NOT(ISNUMBER($A425)),NA(),IFERROR(1*INDEX(BBG_Data!$X$2:$X$4000,MATCH($A425,BBG_Data!$W$2:$W$4000,0)),NA()))</f>
        <v/>
      </c>
      <c r="AK425" s="19">
        <f>IF(NOT(ISNUMBER($A425)),NA(),IFERROR(1*INDEX(BBG_Data!$Z$2:$Z$4000,MATCH($A425,BBG_Data!$Y$2:$Y$4000,0)),NA()))</f>
        <v/>
      </c>
    </row>
    <row r="426">
      <c r="A426" s="17">
        <f>IF(ISNUMBER(BBG_Data!A426),BBG_Data!A426,"")</f>
        <v/>
      </c>
      <c r="B426" s="18">
        <f>IF(AND(ISNUMBER($A426),ISNUMBER(BBG_Data!B426)),BBG_Data!B426,NA())</f>
        <v/>
      </c>
      <c r="C426" s="18">
        <f>IF(NOT(ISNUMBER($A426)),NA(),IFERROR(1*INDEX(BBG_Data!$D$2:$D$4000,MATCH($A426,BBG_Data!$C$2:$C$4000,0)),NA()))</f>
        <v/>
      </c>
      <c r="D426" s="19">
        <f>IF(NOT(ISNUMBER($A426)),NA(),IFERROR(1*INDEX(BBG_Data!$F$2:$F$4000,MATCH($A426,BBG_Data!$E$2:$E$4000,0)),NA()))</f>
        <v/>
      </c>
      <c r="E426" s="19">
        <f>IF(NOT(ISNUMBER($A426)),NA(),IFERROR(1*INDEX(BBG_Data!$H$2:$H$4000,MATCH($A426,BBG_Data!$G$2:$G$4000,0)),NA()))</f>
        <v/>
      </c>
      <c r="F426" s="20">
        <f>IF(AND(ISNUMBER(B426),ISNUMBER(B425)),IF(B426=B425,"",(B426-B425)*100),"")</f>
        <v/>
      </c>
      <c r="G426" s="20">
        <f>IF(AND(ISNUMBER(C426),ISNUMBER(C425)),IF(C426=C425,"",(C426-C425)*100),"")</f>
        <v/>
      </c>
      <c r="H426" s="20">
        <f>IF(OR(NOT(ISNUMBER($A426)),ROW()-2&lt;Settings!$B$11),NA(),IF(COUNT(OFFSET(F426,1-Settings!$B$11,0,Settings!$B$11,1))&lt;ROUNDUP(Settings!$B$11*Settings!$B$26,0),NA(),STDEV(OFFSET(F426,1-Settings!$B$11,0,Settings!$B$11,1))*SQRT(Settings!$B$13)))</f>
        <v/>
      </c>
      <c r="I426" s="20">
        <f>IF(OR(NOT(ISNUMBER($A426)),ROW()-2&lt;Settings!$B$12),NA(),IF(COUNT(OFFSET(F426,1-Settings!$B$12,0,Settings!$B$12,1))&lt;ROUNDUP(Settings!$B$12*Settings!$B$26,0),NA(),STDEV(OFFSET(F426,1-Settings!$B$12,0,Settings!$B$12,1))*SQRT(Settings!$B$13)))</f>
        <v/>
      </c>
      <c r="J426" s="20">
        <f>IF(OR(NOT(ISNUMBER($A426)),ROW()-2&lt;Settings!$B$11),NA(),IF(COUNT(OFFSET(G426,1-Settings!$B$11,0,Settings!$B$11,1))&lt;ROUNDUP(Settings!$B$11*Settings!$B$26,0),NA(),STDEV(OFFSET(G426,1-Settings!$B$11,0,Settings!$B$11,1))*SQRT(Settings!$B$13)))</f>
        <v/>
      </c>
      <c r="K426" s="20">
        <f>IF(OR(NOT(ISNUMBER($A426)),ROW()-2&lt;Settings!$B$12),NA(),IF(COUNT(OFFSET(G426,1-Settings!$B$12,0,Settings!$B$12,1))&lt;ROUNDUP(Settings!$B$12*Settings!$B$26,0),NA(),STDEV(OFFSET(G426,1-Settings!$B$12,0,Settings!$B$12,1))*SQRT(Settings!$B$13)))</f>
        <v/>
      </c>
      <c r="L426" s="20">
        <f>IF(AND(ISNUMBER(D426),ISNUMBER(H426)),D426-H426,NA())</f>
        <v/>
      </c>
      <c r="M426" s="20">
        <f>IF(AND(ISNUMBER(E426),ISNUMBER(K426)),E426-K426,NA())</f>
        <v/>
      </c>
      <c r="N426" s="20">
        <f>IF(NOT(ISNUMBER($A426)),NA(),IF(COUNT(OFFSET(G426,1,0,Settings!$B$12,1))&lt;ROUNDUP(Settings!$B$12*Settings!$B$26,0),NA(),STDEV(OFFSET(G426,1,0,Settings!$B$12,1))*SQRT(Settings!$B$13)))</f>
        <v/>
      </c>
      <c r="O426" s="20">
        <f>IF(AND(ISNUMBER(E426),ISNUMBER(N426)),E426-N426,NA())</f>
        <v/>
      </c>
      <c r="P426" s="19">
        <f>IF(NOT(ISNUMBER($A426)),NA(),IF(OR($A426&lt;MIN(KW_TP!$A$2:$A$2501),$A426&gt;MAX(KW_TP!$A$2:$A$2501)),NA(),INDEX(KW_TP!$C$2:$C$2501,MATCH($A426,KW_TP!$A$2:$A$2501,1))))</f>
        <v/>
      </c>
      <c r="Q426" s="18">
        <f>IF(NOT(ISNUMBER($A426)),NA(),IFERROR(1*INDEX(BBG_Data!$J$2:$J$4000,MATCH($A426,BBG_Data!$I$2:$I$4000,0)),NA()))</f>
        <v/>
      </c>
      <c r="R426" s="18">
        <f>IF(NOT(ISNUMBER($A426)),NA(),IFERROR(1*INDEX(BBG_Data!$L$2:$L$4000,MATCH($A426,BBG_Data!$K$2:$K$4000,0)),NA()))</f>
        <v/>
      </c>
      <c r="S426" s="20">
        <f>IF(AND(ISNUMBER(B426),ISNUMBER(Q426),ISNUMBER(R426)),(B426-Q426-R426)*100,NA())</f>
        <v/>
      </c>
      <c r="T426" s="20">
        <f>IF(AND(ISNUMBER(B426),Settings!$B$17&gt;0),IF(ISNUMBER(INDEX($B:$B,Settings!$B$17)),(B426-INDEX($B:$B,Settings!$B$17))*100,NA()),NA())</f>
        <v/>
      </c>
      <c r="U426" s="20">
        <f>IF(AND(ISNUMBER(Q426),Settings!$B$17&gt;0),IF(ISNUMBER(INDEX($Q:$Q,Settings!$B$17)),(Q426-INDEX($Q:$Q,Settings!$B$17))*100,NA()),NA())</f>
        <v/>
      </c>
      <c r="V426" s="20">
        <f>IF(AND(ISNUMBER(R426),Settings!$B$17&gt;0),IF(ISNUMBER(INDEX($R:$R,Settings!$B$17)),(R426-INDEX($R:$R,Settings!$B$17))*100,NA()),NA())</f>
        <v/>
      </c>
      <c r="W426" s="20">
        <f>IF(AND(ISNUMBER(P426),Settings!$B$17&gt;0),IF(ISNUMBER(INDEX($P:$P,Settings!$B$17)),P426-INDEX($P:$P,Settings!$B$17),NA()),NA())</f>
        <v/>
      </c>
      <c r="X426" s="19">
        <f>IF(NOT(ISNUMBER($A426)),NA(),IF(OR($A426&lt;MIN(DKW_10Y!$A$2:$A$2918),$A426&gt;MAX(DKW_10Y!$A$2:$A$2918),Settings!$B$16&lt;MIN(DKW_10Y!$A$2:$A$2918)),NA(),(INDEX(DKW_10Y!$B$2:$B$2918,MATCH($A426,DKW_10Y!$A$2:$A$2918,1))-INDEX(DKW_10Y!$B$2:$B$2918,MATCH(Settings!$B$16,DKW_10Y!$A$2:$A$2918,1)))*100))</f>
        <v/>
      </c>
      <c r="Y426" s="19">
        <f>IF(NOT(ISNUMBER($A426)),NA(),IF(OR($A426&lt;MIN(DKW_10Y!$A$2:$A$2918),$A426&gt;MAX(DKW_10Y!$A$2:$A$2918),Settings!$B$16&lt;MIN(DKW_10Y!$A$2:$A$2918)),NA(),(INDEX(DKW_10Y!$C$2:$C$2918,MATCH($A426,DKW_10Y!$A$2:$A$2918,1))-INDEX(DKW_10Y!$C$2:$C$2918,MATCH(Settings!$B$16,DKW_10Y!$A$2:$A$2918,1)))*100))</f>
        <v/>
      </c>
      <c r="Z426" s="19">
        <f>IF(NOT(ISNUMBER($A426)),NA(),IF(OR($A426&lt;MIN(DKW_10Y!$A$2:$A$2918),$A426&gt;MAX(DKW_10Y!$A$2:$A$2918),Settings!$B$16&lt;MIN(DKW_10Y!$A$2:$A$2918)),NA(),(INDEX(DKW_10Y!$D$2:$D$2918,MATCH($A426,DKW_10Y!$A$2:$A$2918,1))-INDEX(DKW_10Y!$D$2:$D$2918,MATCH(Settings!$B$16,DKW_10Y!$A$2:$A$2918,1)))*100))</f>
        <v/>
      </c>
      <c r="AA426" s="19">
        <f>IF(NOT(ISNUMBER($A426)),NA(),IF(OR($A426&lt;MIN(DKW_10Y!$A$2:$A$2918),$A426&gt;MAX(DKW_10Y!$A$2:$A$2918),Settings!$B$16&lt;MIN(DKW_10Y!$A$2:$A$2918)),NA(),(INDEX(DKW_10Y!$E$2:$E$2918,MATCH($A426,DKW_10Y!$A$2:$A$2918,1))-INDEX(DKW_10Y!$E$2:$E$2918,MATCH(Settings!$B$16,DKW_10Y!$A$2:$A$2918,1)))*100))</f>
        <v/>
      </c>
      <c r="AB426" s="19">
        <f>IF(NOT(ISNUMBER($A426)),NA(),IF(OR($A426&lt;MIN(DKW_10Y!$A$2:$A$2918),$A426&gt;MAX(DKW_10Y!$A$2:$A$2918),Settings!$B$16&lt;MIN(DKW_10Y!$A$2:$A$2918)),NA(),(INDEX(DKW_10Y!$H$2:$H$2918,MATCH($A426,DKW_10Y!$A$2:$A$2918,1))-INDEX(DKW_10Y!$H$2:$H$2918,MATCH(Settings!$B$16,DKW_10Y!$A$2:$A$2918,1)))*100))</f>
        <v/>
      </c>
      <c r="AC426" s="18">
        <f>IF(NOT(ISNUMBER($A426)),NA(),IFERROR(1*INDEX(BBG_Data!$N$2:$N$4000,MATCH($A426,BBG_Data!$M$2:$M$4000,0)),NA()))</f>
        <v/>
      </c>
      <c r="AD426" s="18">
        <f>IF(NOT(ISNUMBER($A426)),NA(),IFERROR(1*INDEX(BBG_Data!$P$2:$P$4000,MATCH($A426,BBG_Data!$O$2:$O$4000,0)),NA()))</f>
        <v/>
      </c>
      <c r="AE426" s="18">
        <f>IF(NOT(ISNUMBER($A426)),NA(),IFERROR(1*INDEX(BBG_Data!$R$2:$R$4000,MATCH($A426,BBG_Data!$Q$2:$Q$4000,0)),NA()))</f>
        <v/>
      </c>
      <c r="AF426" s="20">
        <f>IF(AND(ISNUMBER(B426),ISNUMBER(AC426)),(B426-AC426)*100,NA())</f>
        <v/>
      </c>
      <c r="AG426" s="20">
        <f>IF(AND(ISNUMBER(AE426),ISNUMBER(AD426)),(AE426-AD426)*100,NA())</f>
        <v/>
      </c>
      <c r="AH426" s="19">
        <f>IF(NOT(ISNUMBER($A426)),NA(),IFERROR(INDEX(BBG_Data!$T$2:$T$4000,MATCH($A426,BBG_Data!$S$2:$S$4000,0))*Settings!$B$25,NA()))</f>
        <v/>
      </c>
      <c r="AI426" s="19">
        <f>IF(NOT(ISNUMBER($A426)),NA(),IFERROR(INDEX(BBG_Data!$V$2:$V$4000,MATCH($A426,BBG_Data!$U$2:$U$4000,0))*Settings!$B$25,NA()))</f>
        <v/>
      </c>
      <c r="AJ426" s="19">
        <f>IF(NOT(ISNUMBER($A426)),NA(),IFERROR(1*INDEX(BBG_Data!$X$2:$X$4000,MATCH($A426,BBG_Data!$W$2:$W$4000,0)),NA()))</f>
        <v/>
      </c>
      <c r="AK426" s="19">
        <f>IF(NOT(ISNUMBER($A426)),NA(),IFERROR(1*INDEX(BBG_Data!$Z$2:$Z$4000,MATCH($A426,BBG_Data!$Y$2:$Y$4000,0)),NA()))</f>
        <v/>
      </c>
    </row>
    <row r="427">
      <c r="A427" s="17">
        <f>IF(ISNUMBER(BBG_Data!A427),BBG_Data!A427,"")</f>
        <v/>
      </c>
      <c r="B427" s="18">
        <f>IF(AND(ISNUMBER($A427),ISNUMBER(BBG_Data!B427)),BBG_Data!B427,NA())</f>
        <v/>
      </c>
      <c r="C427" s="18">
        <f>IF(NOT(ISNUMBER($A427)),NA(),IFERROR(1*INDEX(BBG_Data!$D$2:$D$4000,MATCH($A427,BBG_Data!$C$2:$C$4000,0)),NA()))</f>
        <v/>
      </c>
      <c r="D427" s="19">
        <f>IF(NOT(ISNUMBER($A427)),NA(),IFERROR(1*INDEX(BBG_Data!$F$2:$F$4000,MATCH($A427,BBG_Data!$E$2:$E$4000,0)),NA()))</f>
        <v/>
      </c>
      <c r="E427" s="19">
        <f>IF(NOT(ISNUMBER($A427)),NA(),IFERROR(1*INDEX(BBG_Data!$H$2:$H$4000,MATCH($A427,BBG_Data!$G$2:$G$4000,0)),NA()))</f>
        <v/>
      </c>
      <c r="F427" s="20">
        <f>IF(AND(ISNUMBER(B427),ISNUMBER(B426)),IF(B427=B426,"",(B427-B426)*100),"")</f>
        <v/>
      </c>
      <c r="G427" s="20">
        <f>IF(AND(ISNUMBER(C427),ISNUMBER(C426)),IF(C427=C426,"",(C427-C426)*100),"")</f>
        <v/>
      </c>
      <c r="H427" s="20">
        <f>IF(OR(NOT(ISNUMBER($A427)),ROW()-2&lt;Settings!$B$11),NA(),IF(COUNT(OFFSET(F427,1-Settings!$B$11,0,Settings!$B$11,1))&lt;ROUNDUP(Settings!$B$11*Settings!$B$26,0),NA(),STDEV(OFFSET(F427,1-Settings!$B$11,0,Settings!$B$11,1))*SQRT(Settings!$B$13)))</f>
        <v/>
      </c>
      <c r="I427" s="20">
        <f>IF(OR(NOT(ISNUMBER($A427)),ROW()-2&lt;Settings!$B$12),NA(),IF(COUNT(OFFSET(F427,1-Settings!$B$12,0,Settings!$B$12,1))&lt;ROUNDUP(Settings!$B$12*Settings!$B$26,0),NA(),STDEV(OFFSET(F427,1-Settings!$B$12,0,Settings!$B$12,1))*SQRT(Settings!$B$13)))</f>
        <v/>
      </c>
      <c r="J427" s="20">
        <f>IF(OR(NOT(ISNUMBER($A427)),ROW()-2&lt;Settings!$B$11),NA(),IF(COUNT(OFFSET(G427,1-Settings!$B$11,0,Settings!$B$11,1))&lt;ROUNDUP(Settings!$B$11*Settings!$B$26,0),NA(),STDEV(OFFSET(G427,1-Settings!$B$11,0,Settings!$B$11,1))*SQRT(Settings!$B$13)))</f>
        <v/>
      </c>
      <c r="K427" s="20">
        <f>IF(OR(NOT(ISNUMBER($A427)),ROW()-2&lt;Settings!$B$12),NA(),IF(COUNT(OFFSET(G427,1-Settings!$B$12,0,Settings!$B$12,1))&lt;ROUNDUP(Settings!$B$12*Settings!$B$26,0),NA(),STDEV(OFFSET(G427,1-Settings!$B$12,0,Settings!$B$12,1))*SQRT(Settings!$B$13)))</f>
        <v/>
      </c>
      <c r="L427" s="20">
        <f>IF(AND(ISNUMBER(D427),ISNUMBER(H427)),D427-H427,NA())</f>
        <v/>
      </c>
      <c r="M427" s="20">
        <f>IF(AND(ISNUMBER(E427),ISNUMBER(K427)),E427-K427,NA())</f>
        <v/>
      </c>
      <c r="N427" s="20">
        <f>IF(NOT(ISNUMBER($A427)),NA(),IF(COUNT(OFFSET(G427,1,0,Settings!$B$12,1))&lt;ROUNDUP(Settings!$B$12*Settings!$B$26,0),NA(),STDEV(OFFSET(G427,1,0,Settings!$B$12,1))*SQRT(Settings!$B$13)))</f>
        <v/>
      </c>
      <c r="O427" s="20">
        <f>IF(AND(ISNUMBER(E427),ISNUMBER(N427)),E427-N427,NA())</f>
        <v/>
      </c>
      <c r="P427" s="19">
        <f>IF(NOT(ISNUMBER($A427)),NA(),IF(OR($A427&lt;MIN(KW_TP!$A$2:$A$2501),$A427&gt;MAX(KW_TP!$A$2:$A$2501)),NA(),INDEX(KW_TP!$C$2:$C$2501,MATCH($A427,KW_TP!$A$2:$A$2501,1))))</f>
        <v/>
      </c>
      <c r="Q427" s="18">
        <f>IF(NOT(ISNUMBER($A427)),NA(),IFERROR(1*INDEX(BBG_Data!$J$2:$J$4000,MATCH($A427,BBG_Data!$I$2:$I$4000,0)),NA()))</f>
        <v/>
      </c>
      <c r="R427" s="18">
        <f>IF(NOT(ISNUMBER($A427)),NA(),IFERROR(1*INDEX(BBG_Data!$L$2:$L$4000,MATCH($A427,BBG_Data!$K$2:$K$4000,0)),NA()))</f>
        <v/>
      </c>
      <c r="S427" s="20">
        <f>IF(AND(ISNUMBER(B427),ISNUMBER(Q427),ISNUMBER(R427)),(B427-Q427-R427)*100,NA())</f>
        <v/>
      </c>
      <c r="T427" s="20">
        <f>IF(AND(ISNUMBER(B427),Settings!$B$17&gt;0),IF(ISNUMBER(INDEX($B:$B,Settings!$B$17)),(B427-INDEX($B:$B,Settings!$B$17))*100,NA()),NA())</f>
        <v/>
      </c>
      <c r="U427" s="20">
        <f>IF(AND(ISNUMBER(Q427),Settings!$B$17&gt;0),IF(ISNUMBER(INDEX($Q:$Q,Settings!$B$17)),(Q427-INDEX($Q:$Q,Settings!$B$17))*100,NA()),NA())</f>
        <v/>
      </c>
      <c r="V427" s="20">
        <f>IF(AND(ISNUMBER(R427),Settings!$B$17&gt;0),IF(ISNUMBER(INDEX($R:$R,Settings!$B$17)),(R427-INDEX($R:$R,Settings!$B$17))*100,NA()),NA())</f>
        <v/>
      </c>
      <c r="W427" s="20">
        <f>IF(AND(ISNUMBER(P427),Settings!$B$17&gt;0),IF(ISNUMBER(INDEX($P:$P,Settings!$B$17)),P427-INDEX($P:$P,Settings!$B$17),NA()),NA())</f>
        <v/>
      </c>
      <c r="X427" s="19">
        <f>IF(NOT(ISNUMBER($A427)),NA(),IF(OR($A427&lt;MIN(DKW_10Y!$A$2:$A$2918),$A427&gt;MAX(DKW_10Y!$A$2:$A$2918),Settings!$B$16&lt;MIN(DKW_10Y!$A$2:$A$2918)),NA(),(INDEX(DKW_10Y!$B$2:$B$2918,MATCH($A427,DKW_10Y!$A$2:$A$2918,1))-INDEX(DKW_10Y!$B$2:$B$2918,MATCH(Settings!$B$16,DKW_10Y!$A$2:$A$2918,1)))*100))</f>
        <v/>
      </c>
      <c r="Y427" s="19">
        <f>IF(NOT(ISNUMBER($A427)),NA(),IF(OR($A427&lt;MIN(DKW_10Y!$A$2:$A$2918),$A427&gt;MAX(DKW_10Y!$A$2:$A$2918),Settings!$B$16&lt;MIN(DKW_10Y!$A$2:$A$2918)),NA(),(INDEX(DKW_10Y!$C$2:$C$2918,MATCH($A427,DKW_10Y!$A$2:$A$2918,1))-INDEX(DKW_10Y!$C$2:$C$2918,MATCH(Settings!$B$16,DKW_10Y!$A$2:$A$2918,1)))*100))</f>
        <v/>
      </c>
      <c r="Z427" s="19">
        <f>IF(NOT(ISNUMBER($A427)),NA(),IF(OR($A427&lt;MIN(DKW_10Y!$A$2:$A$2918),$A427&gt;MAX(DKW_10Y!$A$2:$A$2918),Settings!$B$16&lt;MIN(DKW_10Y!$A$2:$A$2918)),NA(),(INDEX(DKW_10Y!$D$2:$D$2918,MATCH($A427,DKW_10Y!$A$2:$A$2918,1))-INDEX(DKW_10Y!$D$2:$D$2918,MATCH(Settings!$B$16,DKW_10Y!$A$2:$A$2918,1)))*100))</f>
        <v/>
      </c>
      <c r="AA427" s="19">
        <f>IF(NOT(ISNUMBER($A427)),NA(),IF(OR($A427&lt;MIN(DKW_10Y!$A$2:$A$2918),$A427&gt;MAX(DKW_10Y!$A$2:$A$2918),Settings!$B$16&lt;MIN(DKW_10Y!$A$2:$A$2918)),NA(),(INDEX(DKW_10Y!$E$2:$E$2918,MATCH($A427,DKW_10Y!$A$2:$A$2918,1))-INDEX(DKW_10Y!$E$2:$E$2918,MATCH(Settings!$B$16,DKW_10Y!$A$2:$A$2918,1)))*100))</f>
        <v/>
      </c>
      <c r="AB427" s="19">
        <f>IF(NOT(ISNUMBER($A427)),NA(),IF(OR($A427&lt;MIN(DKW_10Y!$A$2:$A$2918),$A427&gt;MAX(DKW_10Y!$A$2:$A$2918),Settings!$B$16&lt;MIN(DKW_10Y!$A$2:$A$2918)),NA(),(INDEX(DKW_10Y!$H$2:$H$2918,MATCH($A427,DKW_10Y!$A$2:$A$2918,1))-INDEX(DKW_10Y!$H$2:$H$2918,MATCH(Settings!$B$16,DKW_10Y!$A$2:$A$2918,1)))*100))</f>
        <v/>
      </c>
      <c r="AC427" s="18">
        <f>IF(NOT(ISNUMBER($A427)),NA(),IFERROR(1*INDEX(BBG_Data!$N$2:$N$4000,MATCH($A427,BBG_Data!$M$2:$M$4000,0)),NA()))</f>
        <v/>
      </c>
      <c r="AD427" s="18">
        <f>IF(NOT(ISNUMBER($A427)),NA(),IFERROR(1*INDEX(BBG_Data!$P$2:$P$4000,MATCH($A427,BBG_Data!$O$2:$O$4000,0)),NA()))</f>
        <v/>
      </c>
      <c r="AE427" s="18">
        <f>IF(NOT(ISNUMBER($A427)),NA(),IFERROR(1*INDEX(BBG_Data!$R$2:$R$4000,MATCH($A427,BBG_Data!$Q$2:$Q$4000,0)),NA()))</f>
        <v/>
      </c>
      <c r="AF427" s="20">
        <f>IF(AND(ISNUMBER(B427),ISNUMBER(AC427)),(B427-AC427)*100,NA())</f>
        <v/>
      </c>
      <c r="AG427" s="20">
        <f>IF(AND(ISNUMBER(AE427),ISNUMBER(AD427)),(AE427-AD427)*100,NA())</f>
        <v/>
      </c>
      <c r="AH427" s="19">
        <f>IF(NOT(ISNUMBER($A427)),NA(),IFERROR(INDEX(BBG_Data!$T$2:$T$4000,MATCH($A427,BBG_Data!$S$2:$S$4000,0))*Settings!$B$25,NA()))</f>
        <v/>
      </c>
      <c r="AI427" s="19">
        <f>IF(NOT(ISNUMBER($A427)),NA(),IFERROR(INDEX(BBG_Data!$V$2:$V$4000,MATCH($A427,BBG_Data!$U$2:$U$4000,0))*Settings!$B$25,NA()))</f>
        <v/>
      </c>
      <c r="AJ427" s="19">
        <f>IF(NOT(ISNUMBER($A427)),NA(),IFERROR(1*INDEX(BBG_Data!$X$2:$X$4000,MATCH($A427,BBG_Data!$W$2:$W$4000,0)),NA()))</f>
        <v/>
      </c>
      <c r="AK427" s="19">
        <f>IF(NOT(ISNUMBER($A427)),NA(),IFERROR(1*INDEX(BBG_Data!$Z$2:$Z$4000,MATCH($A427,BBG_Data!$Y$2:$Y$4000,0)),NA()))</f>
        <v/>
      </c>
    </row>
    <row r="428">
      <c r="A428" s="17">
        <f>IF(ISNUMBER(BBG_Data!A428),BBG_Data!A428,"")</f>
        <v/>
      </c>
      <c r="B428" s="18">
        <f>IF(AND(ISNUMBER($A428),ISNUMBER(BBG_Data!B428)),BBG_Data!B428,NA())</f>
        <v/>
      </c>
      <c r="C428" s="18">
        <f>IF(NOT(ISNUMBER($A428)),NA(),IFERROR(1*INDEX(BBG_Data!$D$2:$D$4000,MATCH($A428,BBG_Data!$C$2:$C$4000,0)),NA()))</f>
        <v/>
      </c>
      <c r="D428" s="19">
        <f>IF(NOT(ISNUMBER($A428)),NA(),IFERROR(1*INDEX(BBG_Data!$F$2:$F$4000,MATCH($A428,BBG_Data!$E$2:$E$4000,0)),NA()))</f>
        <v/>
      </c>
      <c r="E428" s="19">
        <f>IF(NOT(ISNUMBER($A428)),NA(),IFERROR(1*INDEX(BBG_Data!$H$2:$H$4000,MATCH($A428,BBG_Data!$G$2:$G$4000,0)),NA()))</f>
        <v/>
      </c>
      <c r="F428" s="20">
        <f>IF(AND(ISNUMBER(B428),ISNUMBER(B427)),IF(B428=B427,"",(B428-B427)*100),"")</f>
        <v/>
      </c>
      <c r="G428" s="20">
        <f>IF(AND(ISNUMBER(C428),ISNUMBER(C427)),IF(C428=C427,"",(C428-C427)*100),"")</f>
        <v/>
      </c>
      <c r="H428" s="20">
        <f>IF(OR(NOT(ISNUMBER($A428)),ROW()-2&lt;Settings!$B$11),NA(),IF(COUNT(OFFSET(F428,1-Settings!$B$11,0,Settings!$B$11,1))&lt;ROUNDUP(Settings!$B$11*Settings!$B$26,0),NA(),STDEV(OFFSET(F428,1-Settings!$B$11,0,Settings!$B$11,1))*SQRT(Settings!$B$13)))</f>
        <v/>
      </c>
      <c r="I428" s="20">
        <f>IF(OR(NOT(ISNUMBER($A428)),ROW()-2&lt;Settings!$B$12),NA(),IF(COUNT(OFFSET(F428,1-Settings!$B$12,0,Settings!$B$12,1))&lt;ROUNDUP(Settings!$B$12*Settings!$B$26,0),NA(),STDEV(OFFSET(F428,1-Settings!$B$12,0,Settings!$B$12,1))*SQRT(Settings!$B$13)))</f>
        <v/>
      </c>
      <c r="J428" s="20">
        <f>IF(OR(NOT(ISNUMBER($A428)),ROW()-2&lt;Settings!$B$11),NA(),IF(COUNT(OFFSET(G428,1-Settings!$B$11,0,Settings!$B$11,1))&lt;ROUNDUP(Settings!$B$11*Settings!$B$26,0),NA(),STDEV(OFFSET(G428,1-Settings!$B$11,0,Settings!$B$11,1))*SQRT(Settings!$B$13)))</f>
        <v/>
      </c>
      <c r="K428" s="20">
        <f>IF(OR(NOT(ISNUMBER($A428)),ROW()-2&lt;Settings!$B$12),NA(),IF(COUNT(OFFSET(G428,1-Settings!$B$12,0,Settings!$B$12,1))&lt;ROUNDUP(Settings!$B$12*Settings!$B$26,0),NA(),STDEV(OFFSET(G428,1-Settings!$B$12,0,Settings!$B$12,1))*SQRT(Settings!$B$13)))</f>
        <v/>
      </c>
      <c r="L428" s="20">
        <f>IF(AND(ISNUMBER(D428),ISNUMBER(H428)),D428-H428,NA())</f>
        <v/>
      </c>
      <c r="M428" s="20">
        <f>IF(AND(ISNUMBER(E428),ISNUMBER(K428)),E428-K428,NA())</f>
        <v/>
      </c>
      <c r="N428" s="20">
        <f>IF(NOT(ISNUMBER($A428)),NA(),IF(COUNT(OFFSET(G428,1,0,Settings!$B$12,1))&lt;ROUNDUP(Settings!$B$12*Settings!$B$26,0),NA(),STDEV(OFFSET(G428,1,0,Settings!$B$12,1))*SQRT(Settings!$B$13)))</f>
        <v/>
      </c>
      <c r="O428" s="20">
        <f>IF(AND(ISNUMBER(E428),ISNUMBER(N428)),E428-N428,NA())</f>
        <v/>
      </c>
      <c r="P428" s="19">
        <f>IF(NOT(ISNUMBER($A428)),NA(),IF(OR($A428&lt;MIN(KW_TP!$A$2:$A$2501),$A428&gt;MAX(KW_TP!$A$2:$A$2501)),NA(),INDEX(KW_TP!$C$2:$C$2501,MATCH($A428,KW_TP!$A$2:$A$2501,1))))</f>
        <v/>
      </c>
      <c r="Q428" s="18">
        <f>IF(NOT(ISNUMBER($A428)),NA(),IFERROR(1*INDEX(BBG_Data!$J$2:$J$4000,MATCH($A428,BBG_Data!$I$2:$I$4000,0)),NA()))</f>
        <v/>
      </c>
      <c r="R428" s="18">
        <f>IF(NOT(ISNUMBER($A428)),NA(),IFERROR(1*INDEX(BBG_Data!$L$2:$L$4000,MATCH($A428,BBG_Data!$K$2:$K$4000,0)),NA()))</f>
        <v/>
      </c>
      <c r="S428" s="20">
        <f>IF(AND(ISNUMBER(B428),ISNUMBER(Q428),ISNUMBER(R428)),(B428-Q428-R428)*100,NA())</f>
        <v/>
      </c>
      <c r="T428" s="20">
        <f>IF(AND(ISNUMBER(B428),Settings!$B$17&gt;0),IF(ISNUMBER(INDEX($B:$B,Settings!$B$17)),(B428-INDEX($B:$B,Settings!$B$17))*100,NA()),NA())</f>
        <v/>
      </c>
      <c r="U428" s="20">
        <f>IF(AND(ISNUMBER(Q428),Settings!$B$17&gt;0),IF(ISNUMBER(INDEX($Q:$Q,Settings!$B$17)),(Q428-INDEX($Q:$Q,Settings!$B$17))*100,NA()),NA())</f>
        <v/>
      </c>
      <c r="V428" s="20">
        <f>IF(AND(ISNUMBER(R428),Settings!$B$17&gt;0),IF(ISNUMBER(INDEX($R:$R,Settings!$B$17)),(R428-INDEX($R:$R,Settings!$B$17))*100,NA()),NA())</f>
        <v/>
      </c>
      <c r="W428" s="20">
        <f>IF(AND(ISNUMBER(P428),Settings!$B$17&gt;0),IF(ISNUMBER(INDEX($P:$P,Settings!$B$17)),P428-INDEX($P:$P,Settings!$B$17),NA()),NA())</f>
        <v/>
      </c>
      <c r="X428" s="19">
        <f>IF(NOT(ISNUMBER($A428)),NA(),IF(OR($A428&lt;MIN(DKW_10Y!$A$2:$A$2918),$A428&gt;MAX(DKW_10Y!$A$2:$A$2918),Settings!$B$16&lt;MIN(DKW_10Y!$A$2:$A$2918)),NA(),(INDEX(DKW_10Y!$B$2:$B$2918,MATCH($A428,DKW_10Y!$A$2:$A$2918,1))-INDEX(DKW_10Y!$B$2:$B$2918,MATCH(Settings!$B$16,DKW_10Y!$A$2:$A$2918,1)))*100))</f>
        <v/>
      </c>
      <c r="Y428" s="19">
        <f>IF(NOT(ISNUMBER($A428)),NA(),IF(OR($A428&lt;MIN(DKW_10Y!$A$2:$A$2918),$A428&gt;MAX(DKW_10Y!$A$2:$A$2918),Settings!$B$16&lt;MIN(DKW_10Y!$A$2:$A$2918)),NA(),(INDEX(DKW_10Y!$C$2:$C$2918,MATCH($A428,DKW_10Y!$A$2:$A$2918,1))-INDEX(DKW_10Y!$C$2:$C$2918,MATCH(Settings!$B$16,DKW_10Y!$A$2:$A$2918,1)))*100))</f>
        <v/>
      </c>
      <c r="Z428" s="19">
        <f>IF(NOT(ISNUMBER($A428)),NA(),IF(OR($A428&lt;MIN(DKW_10Y!$A$2:$A$2918),$A428&gt;MAX(DKW_10Y!$A$2:$A$2918),Settings!$B$16&lt;MIN(DKW_10Y!$A$2:$A$2918)),NA(),(INDEX(DKW_10Y!$D$2:$D$2918,MATCH($A428,DKW_10Y!$A$2:$A$2918,1))-INDEX(DKW_10Y!$D$2:$D$2918,MATCH(Settings!$B$16,DKW_10Y!$A$2:$A$2918,1)))*100))</f>
        <v/>
      </c>
      <c r="AA428" s="19">
        <f>IF(NOT(ISNUMBER($A428)),NA(),IF(OR($A428&lt;MIN(DKW_10Y!$A$2:$A$2918),$A428&gt;MAX(DKW_10Y!$A$2:$A$2918),Settings!$B$16&lt;MIN(DKW_10Y!$A$2:$A$2918)),NA(),(INDEX(DKW_10Y!$E$2:$E$2918,MATCH($A428,DKW_10Y!$A$2:$A$2918,1))-INDEX(DKW_10Y!$E$2:$E$2918,MATCH(Settings!$B$16,DKW_10Y!$A$2:$A$2918,1)))*100))</f>
        <v/>
      </c>
      <c r="AB428" s="19">
        <f>IF(NOT(ISNUMBER($A428)),NA(),IF(OR($A428&lt;MIN(DKW_10Y!$A$2:$A$2918),$A428&gt;MAX(DKW_10Y!$A$2:$A$2918),Settings!$B$16&lt;MIN(DKW_10Y!$A$2:$A$2918)),NA(),(INDEX(DKW_10Y!$H$2:$H$2918,MATCH($A428,DKW_10Y!$A$2:$A$2918,1))-INDEX(DKW_10Y!$H$2:$H$2918,MATCH(Settings!$B$16,DKW_10Y!$A$2:$A$2918,1)))*100))</f>
        <v/>
      </c>
      <c r="AC428" s="18">
        <f>IF(NOT(ISNUMBER($A428)),NA(),IFERROR(1*INDEX(BBG_Data!$N$2:$N$4000,MATCH($A428,BBG_Data!$M$2:$M$4000,0)),NA()))</f>
        <v/>
      </c>
      <c r="AD428" s="18">
        <f>IF(NOT(ISNUMBER($A428)),NA(),IFERROR(1*INDEX(BBG_Data!$P$2:$P$4000,MATCH($A428,BBG_Data!$O$2:$O$4000,0)),NA()))</f>
        <v/>
      </c>
      <c r="AE428" s="18">
        <f>IF(NOT(ISNUMBER($A428)),NA(),IFERROR(1*INDEX(BBG_Data!$R$2:$R$4000,MATCH($A428,BBG_Data!$Q$2:$Q$4000,0)),NA()))</f>
        <v/>
      </c>
      <c r="AF428" s="20">
        <f>IF(AND(ISNUMBER(B428),ISNUMBER(AC428)),(B428-AC428)*100,NA())</f>
        <v/>
      </c>
      <c r="AG428" s="20">
        <f>IF(AND(ISNUMBER(AE428),ISNUMBER(AD428)),(AE428-AD428)*100,NA())</f>
        <v/>
      </c>
      <c r="AH428" s="19">
        <f>IF(NOT(ISNUMBER($A428)),NA(),IFERROR(INDEX(BBG_Data!$T$2:$T$4000,MATCH($A428,BBG_Data!$S$2:$S$4000,0))*Settings!$B$25,NA()))</f>
        <v/>
      </c>
      <c r="AI428" s="19">
        <f>IF(NOT(ISNUMBER($A428)),NA(),IFERROR(INDEX(BBG_Data!$V$2:$V$4000,MATCH($A428,BBG_Data!$U$2:$U$4000,0))*Settings!$B$25,NA()))</f>
        <v/>
      </c>
      <c r="AJ428" s="19">
        <f>IF(NOT(ISNUMBER($A428)),NA(),IFERROR(1*INDEX(BBG_Data!$X$2:$X$4000,MATCH($A428,BBG_Data!$W$2:$W$4000,0)),NA()))</f>
        <v/>
      </c>
      <c r="AK428" s="19">
        <f>IF(NOT(ISNUMBER($A428)),NA(),IFERROR(1*INDEX(BBG_Data!$Z$2:$Z$4000,MATCH($A428,BBG_Data!$Y$2:$Y$4000,0)),NA()))</f>
        <v/>
      </c>
    </row>
    <row r="429">
      <c r="A429" s="17">
        <f>IF(ISNUMBER(BBG_Data!A429),BBG_Data!A429,"")</f>
        <v/>
      </c>
      <c r="B429" s="18">
        <f>IF(AND(ISNUMBER($A429),ISNUMBER(BBG_Data!B429)),BBG_Data!B429,NA())</f>
        <v/>
      </c>
      <c r="C429" s="18">
        <f>IF(NOT(ISNUMBER($A429)),NA(),IFERROR(1*INDEX(BBG_Data!$D$2:$D$4000,MATCH($A429,BBG_Data!$C$2:$C$4000,0)),NA()))</f>
        <v/>
      </c>
      <c r="D429" s="19">
        <f>IF(NOT(ISNUMBER($A429)),NA(),IFERROR(1*INDEX(BBG_Data!$F$2:$F$4000,MATCH($A429,BBG_Data!$E$2:$E$4000,0)),NA()))</f>
        <v/>
      </c>
      <c r="E429" s="19">
        <f>IF(NOT(ISNUMBER($A429)),NA(),IFERROR(1*INDEX(BBG_Data!$H$2:$H$4000,MATCH($A429,BBG_Data!$G$2:$G$4000,0)),NA()))</f>
        <v/>
      </c>
      <c r="F429" s="20">
        <f>IF(AND(ISNUMBER(B429),ISNUMBER(B428)),IF(B429=B428,"",(B429-B428)*100),"")</f>
        <v/>
      </c>
      <c r="G429" s="20">
        <f>IF(AND(ISNUMBER(C429),ISNUMBER(C428)),IF(C429=C428,"",(C429-C428)*100),"")</f>
        <v/>
      </c>
      <c r="H429" s="20">
        <f>IF(OR(NOT(ISNUMBER($A429)),ROW()-2&lt;Settings!$B$11),NA(),IF(COUNT(OFFSET(F429,1-Settings!$B$11,0,Settings!$B$11,1))&lt;ROUNDUP(Settings!$B$11*Settings!$B$26,0),NA(),STDEV(OFFSET(F429,1-Settings!$B$11,0,Settings!$B$11,1))*SQRT(Settings!$B$13)))</f>
        <v/>
      </c>
      <c r="I429" s="20">
        <f>IF(OR(NOT(ISNUMBER($A429)),ROW()-2&lt;Settings!$B$12),NA(),IF(COUNT(OFFSET(F429,1-Settings!$B$12,0,Settings!$B$12,1))&lt;ROUNDUP(Settings!$B$12*Settings!$B$26,0),NA(),STDEV(OFFSET(F429,1-Settings!$B$12,0,Settings!$B$12,1))*SQRT(Settings!$B$13)))</f>
        <v/>
      </c>
      <c r="J429" s="20">
        <f>IF(OR(NOT(ISNUMBER($A429)),ROW()-2&lt;Settings!$B$11),NA(),IF(COUNT(OFFSET(G429,1-Settings!$B$11,0,Settings!$B$11,1))&lt;ROUNDUP(Settings!$B$11*Settings!$B$26,0),NA(),STDEV(OFFSET(G429,1-Settings!$B$11,0,Settings!$B$11,1))*SQRT(Settings!$B$13)))</f>
        <v/>
      </c>
      <c r="K429" s="20">
        <f>IF(OR(NOT(ISNUMBER($A429)),ROW()-2&lt;Settings!$B$12),NA(),IF(COUNT(OFFSET(G429,1-Settings!$B$12,0,Settings!$B$12,1))&lt;ROUNDUP(Settings!$B$12*Settings!$B$26,0),NA(),STDEV(OFFSET(G429,1-Settings!$B$12,0,Settings!$B$12,1))*SQRT(Settings!$B$13)))</f>
        <v/>
      </c>
      <c r="L429" s="20">
        <f>IF(AND(ISNUMBER(D429),ISNUMBER(H429)),D429-H429,NA())</f>
        <v/>
      </c>
      <c r="M429" s="20">
        <f>IF(AND(ISNUMBER(E429),ISNUMBER(K429)),E429-K429,NA())</f>
        <v/>
      </c>
      <c r="N429" s="20">
        <f>IF(NOT(ISNUMBER($A429)),NA(),IF(COUNT(OFFSET(G429,1,0,Settings!$B$12,1))&lt;ROUNDUP(Settings!$B$12*Settings!$B$26,0),NA(),STDEV(OFFSET(G429,1,0,Settings!$B$12,1))*SQRT(Settings!$B$13)))</f>
        <v/>
      </c>
      <c r="O429" s="20">
        <f>IF(AND(ISNUMBER(E429),ISNUMBER(N429)),E429-N429,NA())</f>
        <v/>
      </c>
      <c r="P429" s="19">
        <f>IF(NOT(ISNUMBER($A429)),NA(),IF(OR($A429&lt;MIN(KW_TP!$A$2:$A$2501),$A429&gt;MAX(KW_TP!$A$2:$A$2501)),NA(),INDEX(KW_TP!$C$2:$C$2501,MATCH($A429,KW_TP!$A$2:$A$2501,1))))</f>
        <v/>
      </c>
      <c r="Q429" s="18">
        <f>IF(NOT(ISNUMBER($A429)),NA(),IFERROR(1*INDEX(BBG_Data!$J$2:$J$4000,MATCH($A429,BBG_Data!$I$2:$I$4000,0)),NA()))</f>
        <v/>
      </c>
      <c r="R429" s="18">
        <f>IF(NOT(ISNUMBER($A429)),NA(),IFERROR(1*INDEX(BBG_Data!$L$2:$L$4000,MATCH($A429,BBG_Data!$K$2:$K$4000,0)),NA()))</f>
        <v/>
      </c>
      <c r="S429" s="20">
        <f>IF(AND(ISNUMBER(B429),ISNUMBER(Q429),ISNUMBER(R429)),(B429-Q429-R429)*100,NA())</f>
        <v/>
      </c>
      <c r="T429" s="20">
        <f>IF(AND(ISNUMBER(B429),Settings!$B$17&gt;0),IF(ISNUMBER(INDEX($B:$B,Settings!$B$17)),(B429-INDEX($B:$B,Settings!$B$17))*100,NA()),NA())</f>
        <v/>
      </c>
      <c r="U429" s="20">
        <f>IF(AND(ISNUMBER(Q429),Settings!$B$17&gt;0),IF(ISNUMBER(INDEX($Q:$Q,Settings!$B$17)),(Q429-INDEX($Q:$Q,Settings!$B$17))*100,NA()),NA())</f>
        <v/>
      </c>
      <c r="V429" s="20">
        <f>IF(AND(ISNUMBER(R429),Settings!$B$17&gt;0),IF(ISNUMBER(INDEX($R:$R,Settings!$B$17)),(R429-INDEX($R:$R,Settings!$B$17))*100,NA()),NA())</f>
        <v/>
      </c>
      <c r="W429" s="20">
        <f>IF(AND(ISNUMBER(P429),Settings!$B$17&gt;0),IF(ISNUMBER(INDEX($P:$P,Settings!$B$17)),P429-INDEX($P:$P,Settings!$B$17),NA()),NA())</f>
        <v/>
      </c>
      <c r="X429" s="19">
        <f>IF(NOT(ISNUMBER($A429)),NA(),IF(OR($A429&lt;MIN(DKW_10Y!$A$2:$A$2918),$A429&gt;MAX(DKW_10Y!$A$2:$A$2918),Settings!$B$16&lt;MIN(DKW_10Y!$A$2:$A$2918)),NA(),(INDEX(DKW_10Y!$B$2:$B$2918,MATCH($A429,DKW_10Y!$A$2:$A$2918,1))-INDEX(DKW_10Y!$B$2:$B$2918,MATCH(Settings!$B$16,DKW_10Y!$A$2:$A$2918,1)))*100))</f>
        <v/>
      </c>
      <c r="Y429" s="19">
        <f>IF(NOT(ISNUMBER($A429)),NA(),IF(OR($A429&lt;MIN(DKW_10Y!$A$2:$A$2918),$A429&gt;MAX(DKW_10Y!$A$2:$A$2918),Settings!$B$16&lt;MIN(DKW_10Y!$A$2:$A$2918)),NA(),(INDEX(DKW_10Y!$C$2:$C$2918,MATCH($A429,DKW_10Y!$A$2:$A$2918,1))-INDEX(DKW_10Y!$C$2:$C$2918,MATCH(Settings!$B$16,DKW_10Y!$A$2:$A$2918,1)))*100))</f>
        <v/>
      </c>
      <c r="Z429" s="19">
        <f>IF(NOT(ISNUMBER($A429)),NA(),IF(OR($A429&lt;MIN(DKW_10Y!$A$2:$A$2918),$A429&gt;MAX(DKW_10Y!$A$2:$A$2918),Settings!$B$16&lt;MIN(DKW_10Y!$A$2:$A$2918)),NA(),(INDEX(DKW_10Y!$D$2:$D$2918,MATCH($A429,DKW_10Y!$A$2:$A$2918,1))-INDEX(DKW_10Y!$D$2:$D$2918,MATCH(Settings!$B$16,DKW_10Y!$A$2:$A$2918,1)))*100))</f>
        <v/>
      </c>
      <c r="AA429" s="19">
        <f>IF(NOT(ISNUMBER($A429)),NA(),IF(OR($A429&lt;MIN(DKW_10Y!$A$2:$A$2918),$A429&gt;MAX(DKW_10Y!$A$2:$A$2918),Settings!$B$16&lt;MIN(DKW_10Y!$A$2:$A$2918)),NA(),(INDEX(DKW_10Y!$E$2:$E$2918,MATCH($A429,DKW_10Y!$A$2:$A$2918,1))-INDEX(DKW_10Y!$E$2:$E$2918,MATCH(Settings!$B$16,DKW_10Y!$A$2:$A$2918,1)))*100))</f>
        <v/>
      </c>
      <c r="AB429" s="19">
        <f>IF(NOT(ISNUMBER($A429)),NA(),IF(OR($A429&lt;MIN(DKW_10Y!$A$2:$A$2918),$A429&gt;MAX(DKW_10Y!$A$2:$A$2918),Settings!$B$16&lt;MIN(DKW_10Y!$A$2:$A$2918)),NA(),(INDEX(DKW_10Y!$H$2:$H$2918,MATCH($A429,DKW_10Y!$A$2:$A$2918,1))-INDEX(DKW_10Y!$H$2:$H$2918,MATCH(Settings!$B$16,DKW_10Y!$A$2:$A$2918,1)))*100))</f>
        <v/>
      </c>
      <c r="AC429" s="18">
        <f>IF(NOT(ISNUMBER($A429)),NA(),IFERROR(1*INDEX(BBG_Data!$N$2:$N$4000,MATCH($A429,BBG_Data!$M$2:$M$4000,0)),NA()))</f>
        <v/>
      </c>
      <c r="AD429" s="18">
        <f>IF(NOT(ISNUMBER($A429)),NA(),IFERROR(1*INDEX(BBG_Data!$P$2:$P$4000,MATCH($A429,BBG_Data!$O$2:$O$4000,0)),NA()))</f>
        <v/>
      </c>
      <c r="AE429" s="18">
        <f>IF(NOT(ISNUMBER($A429)),NA(),IFERROR(1*INDEX(BBG_Data!$R$2:$R$4000,MATCH($A429,BBG_Data!$Q$2:$Q$4000,0)),NA()))</f>
        <v/>
      </c>
      <c r="AF429" s="20">
        <f>IF(AND(ISNUMBER(B429),ISNUMBER(AC429)),(B429-AC429)*100,NA())</f>
        <v/>
      </c>
      <c r="AG429" s="20">
        <f>IF(AND(ISNUMBER(AE429),ISNUMBER(AD429)),(AE429-AD429)*100,NA())</f>
        <v/>
      </c>
      <c r="AH429" s="19">
        <f>IF(NOT(ISNUMBER($A429)),NA(),IFERROR(INDEX(BBG_Data!$T$2:$T$4000,MATCH($A429,BBG_Data!$S$2:$S$4000,0))*Settings!$B$25,NA()))</f>
        <v/>
      </c>
      <c r="AI429" s="19">
        <f>IF(NOT(ISNUMBER($A429)),NA(),IFERROR(INDEX(BBG_Data!$V$2:$V$4000,MATCH($A429,BBG_Data!$U$2:$U$4000,0))*Settings!$B$25,NA()))</f>
        <v/>
      </c>
      <c r="AJ429" s="19">
        <f>IF(NOT(ISNUMBER($A429)),NA(),IFERROR(1*INDEX(BBG_Data!$X$2:$X$4000,MATCH($A429,BBG_Data!$W$2:$W$4000,0)),NA()))</f>
        <v/>
      </c>
      <c r="AK429" s="19">
        <f>IF(NOT(ISNUMBER($A429)),NA(),IFERROR(1*INDEX(BBG_Data!$Z$2:$Z$4000,MATCH($A429,BBG_Data!$Y$2:$Y$4000,0)),NA()))</f>
        <v/>
      </c>
    </row>
    <row r="430">
      <c r="A430" s="17">
        <f>IF(ISNUMBER(BBG_Data!A430),BBG_Data!A430,"")</f>
        <v/>
      </c>
      <c r="B430" s="18">
        <f>IF(AND(ISNUMBER($A430),ISNUMBER(BBG_Data!B430)),BBG_Data!B430,NA())</f>
        <v/>
      </c>
      <c r="C430" s="18">
        <f>IF(NOT(ISNUMBER($A430)),NA(),IFERROR(1*INDEX(BBG_Data!$D$2:$D$4000,MATCH($A430,BBG_Data!$C$2:$C$4000,0)),NA()))</f>
        <v/>
      </c>
      <c r="D430" s="19">
        <f>IF(NOT(ISNUMBER($A430)),NA(),IFERROR(1*INDEX(BBG_Data!$F$2:$F$4000,MATCH($A430,BBG_Data!$E$2:$E$4000,0)),NA()))</f>
        <v/>
      </c>
      <c r="E430" s="19">
        <f>IF(NOT(ISNUMBER($A430)),NA(),IFERROR(1*INDEX(BBG_Data!$H$2:$H$4000,MATCH($A430,BBG_Data!$G$2:$G$4000,0)),NA()))</f>
        <v/>
      </c>
      <c r="F430" s="20">
        <f>IF(AND(ISNUMBER(B430),ISNUMBER(B429)),IF(B430=B429,"",(B430-B429)*100),"")</f>
        <v/>
      </c>
      <c r="G430" s="20">
        <f>IF(AND(ISNUMBER(C430),ISNUMBER(C429)),IF(C430=C429,"",(C430-C429)*100),"")</f>
        <v/>
      </c>
      <c r="H430" s="20">
        <f>IF(OR(NOT(ISNUMBER($A430)),ROW()-2&lt;Settings!$B$11),NA(),IF(COUNT(OFFSET(F430,1-Settings!$B$11,0,Settings!$B$11,1))&lt;ROUNDUP(Settings!$B$11*Settings!$B$26,0),NA(),STDEV(OFFSET(F430,1-Settings!$B$11,0,Settings!$B$11,1))*SQRT(Settings!$B$13)))</f>
        <v/>
      </c>
      <c r="I430" s="20">
        <f>IF(OR(NOT(ISNUMBER($A430)),ROW()-2&lt;Settings!$B$12),NA(),IF(COUNT(OFFSET(F430,1-Settings!$B$12,0,Settings!$B$12,1))&lt;ROUNDUP(Settings!$B$12*Settings!$B$26,0),NA(),STDEV(OFFSET(F430,1-Settings!$B$12,0,Settings!$B$12,1))*SQRT(Settings!$B$13)))</f>
        <v/>
      </c>
      <c r="J430" s="20">
        <f>IF(OR(NOT(ISNUMBER($A430)),ROW()-2&lt;Settings!$B$11),NA(),IF(COUNT(OFFSET(G430,1-Settings!$B$11,0,Settings!$B$11,1))&lt;ROUNDUP(Settings!$B$11*Settings!$B$26,0),NA(),STDEV(OFFSET(G430,1-Settings!$B$11,0,Settings!$B$11,1))*SQRT(Settings!$B$13)))</f>
        <v/>
      </c>
      <c r="K430" s="20">
        <f>IF(OR(NOT(ISNUMBER($A430)),ROW()-2&lt;Settings!$B$12),NA(),IF(COUNT(OFFSET(G430,1-Settings!$B$12,0,Settings!$B$12,1))&lt;ROUNDUP(Settings!$B$12*Settings!$B$26,0),NA(),STDEV(OFFSET(G430,1-Settings!$B$12,0,Settings!$B$12,1))*SQRT(Settings!$B$13)))</f>
        <v/>
      </c>
      <c r="L430" s="20">
        <f>IF(AND(ISNUMBER(D430),ISNUMBER(H430)),D430-H430,NA())</f>
        <v/>
      </c>
      <c r="M430" s="20">
        <f>IF(AND(ISNUMBER(E430),ISNUMBER(K430)),E430-K430,NA())</f>
        <v/>
      </c>
      <c r="N430" s="20">
        <f>IF(NOT(ISNUMBER($A430)),NA(),IF(COUNT(OFFSET(G430,1,0,Settings!$B$12,1))&lt;ROUNDUP(Settings!$B$12*Settings!$B$26,0),NA(),STDEV(OFFSET(G430,1,0,Settings!$B$12,1))*SQRT(Settings!$B$13)))</f>
        <v/>
      </c>
      <c r="O430" s="20">
        <f>IF(AND(ISNUMBER(E430),ISNUMBER(N430)),E430-N430,NA())</f>
        <v/>
      </c>
      <c r="P430" s="19">
        <f>IF(NOT(ISNUMBER($A430)),NA(),IF(OR($A430&lt;MIN(KW_TP!$A$2:$A$2501),$A430&gt;MAX(KW_TP!$A$2:$A$2501)),NA(),INDEX(KW_TP!$C$2:$C$2501,MATCH($A430,KW_TP!$A$2:$A$2501,1))))</f>
        <v/>
      </c>
      <c r="Q430" s="18">
        <f>IF(NOT(ISNUMBER($A430)),NA(),IFERROR(1*INDEX(BBG_Data!$J$2:$J$4000,MATCH($A430,BBG_Data!$I$2:$I$4000,0)),NA()))</f>
        <v/>
      </c>
      <c r="R430" s="18">
        <f>IF(NOT(ISNUMBER($A430)),NA(),IFERROR(1*INDEX(BBG_Data!$L$2:$L$4000,MATCH($A430,BBG_Data!$K$2:$K$4000,0)),NA()))</f>
        <v/>
      </c>
      <c r="S430" s="20">
        <f>IF(AND(ISNUMBER(B430),ISNUMBER(Q430),ISNUMBER(R430)),(B430-Q430-R430)*100,NA())</f>
        <v/>
      </c>
      <c r="T430" s="20">
        <f>IF(AND(ISNUMBER(B430),Settings!$B$17&gt;0),IF(ISNUMBER(INDEX($B:$B,Settings!$B$17)),(B430-INDEX($B:$B,Settings!$B$17))*100,NA()),NA())</f>
        <v/>
      </c>
      <c r="U430" s="20">
        <f>IF(AND(ISNUMBER(Q430),Settings!$B$17&gt;0),IF(ISNUMBER(INDEX($Q:$Q,Settings!$B$17)),(Q430-INDEX($Q:$Q,Settings!$B$17))*100,NA()),NA())</f>
        <v/>
      </c>
      <c r="V430" s="20">
        <f>IF(AND(ISNUMBER(R430),Settings!$B$17&gt;0),IF(ISNUMBER(INDEX($R:$R,Settings!$B$17)),(R430-INDEX($R:$R,Settings!$B$17))*100,NA()),NA())</f>
        <v/>
      </c>
      <c r="W430" s="20">
        <f>IF(AND(ISNUMBER(P430),Settings!$B$17&gt;0),IF(ISNUMBER(INDEX($P:$P,Settings!$B$17)),P430-INDEX($P:$P,Settings!$B$17),NA()),NA())</f>
        <v/>
      </c>
      <c r="X430" s="19">
        <f>IF(NOT(ISNUMBER($A430)),NA(),IF(OR($A430&lt;MIN(DKW_10Y!$A$2:$A$2918),$A430&gt;MAX(DKW_10Y!$A$2:$A$2918),Settings!$B$16&lt;MIN(DKW_10Y!$A$2:$A$2918)),NA(),(INDEX(DKW_10Y!$B$2:$B$2918,MATCH($A430,DKW_10Y!$A$2:$A$2918,1))-INDEX(DKW_10Y!$B$2:$B$2918,MATCH(Settings!$B$16,DKW_10Y!$A$2:$A$2918,1)))*100))</f>
        <v/>
      </c>
      <c r="Y430" s="19">
        <f>IF(NOT(ISNUMBER($A430)),NA(),IF(OR($A430&lt;MIN(DKW_10Y!$A$2:$A$2918),$A430&gt;MAX(DKW_10Y!$A$2:$A$2918),Settings!$B$16&lt;MIN(DKW_10Y!$A$2:$A$2918)),NA(),(INDEX(DKW_10Y!$C$2:$C$2918,MATCH($A430,DKW_10Y!$A$2:$A$2918,1))-INDEX(DKW_10Y!$C$2:$C$2918,MATCH(Settings!$B$16,DKW_10Y!$A$2:$A$2918,1)))*100))</f>
        <v/>
      </c>
      <c r="Z430" s="19">
        <f>IF(NOT(ISNUMBER($A430)),NA(),IF(OR($A430&lt;MIN(DKW_10Y!$A$2:$A$2918),$A430&gt;MAX(DKW_10Y!$A$2:$A$2918),Settings!$B$16&lt;MIN(DKW_10Y!$A$2:$A$2918)),NA(),(INDEX(DKW_10Y!$D$2:$D$2918,MATCH($A430,DKW_10Y!$A$2:$A$2918,1))-INDEX(DKW_10Y!$D$2:$D$2918,MATCH(Settings!$B$16,DKW_10Y!$A$2:$A$2918,1)))*100))</f>
        <v/>
      </c>
      <c r="AA430" s="19">
        <f>IF(NOT(ISNUMBER($A430)),NA(),IF(OR($A430&lt;MIN(DKW_10Y!$A$2:$A$2918),$A430&gt;MAX(DKW_10Y!$A$2:$A$2918),Settings!$B$16&lt;MIN(DKW_10Y!$A$2:$A$2918)),NA(),(INDEX(DKW_10Y!$E$2:$E$2918,MATCH($A430,DKW_10Y!$A$2:$A$2918,1))-INDEX(DKW_10Y!$E$2:$E$2918,MATCH(Settings!$B$16,DKW_10Y!$A$2:$A$2918,1)))*100))</f>
        <v/>
      </c>
      <c r="AB430" s="19">
        <f>IF(NOT(ISNUMBER($A430)),NA(),IF(OR($A430&lt;MIN(DKW_10Y!$A$2:$A$2918),$A430&gt;MAX(DKW_10Y!$A$2:$A$2918),Settings!$B$16&lt;MIN(DKW_10Y!$A$2:$A$2918)),NA(),(INDEX(DKW_10Y!$H$2:$H$2918,MATCH($A430,DKW_10Y!$A$2:$A$2918,1))-INDEX(DKW_10Y!$H$2:$H$2918,MATCH(Settings!$B$16,DKW_10Y!$A$2:$A$2918,1)))*100))</f>
        <v/>
      </c>
      <c r="AC430" s="18">
        <f>IF(NOT(ISNUMBER($A430)),NA(),IFERROR(1*INDEX(BBG_Data!$N$2:$N$4000,MATCH($A430,BBG_Data!$M$2:$M$4000,0)),NA()))</f>
        <v/>
      </c>
      <c r="AD430" s="18">
        <f>IF(NOT(ISNUMBER($A430)),NA(),IFERROR(1*INDEX(BBG_Data!$P$2:$P$4000,MATCH($A430,BBG_Data!$O$2:$O$4000,0)),NA()))</f>
        <v/>
      </c>
      <c r="AE430" s="18">
        <f>IF(NOT(ISNUMBER($A430)),NA(),IFERROR(1*INDEX(BBG_Data!$R$2:$R$4000,MATCH($A430,BBG_Data!$Q$2:$Q$4000,0)),NA()))</f>
        <v/>
      </c>
      <c r="AF430" s="20">
        <f>IF(AND(ISNUMBER(B430),ISNUMBER(AC430)),(B430-AC430)*100,NA())</f>
        <v/>
      </c>
      <c r="AG430" s="20">
        <f>IF(AND(ISNUMBER(AE430),ISNUMBER(AD430)),(AE430-AD430)*100,NA())</f>
        <v/>
      </c>
      <c r="AH430" s="19">
        <f>IF(NOT(ISNUMBER($A430)),NA(),IFERROR(INDEX(BBG_Data!$T$2:$T$4000,MATCH($A430,BBG_Data!$S$2:$S$4000,0))*Settings!$B$25,NA()))</f>
        <v/>
      </c>
      <c r="AI430" s="19">
        <f>IF(NOT(ISNUMBER($A430)),NA(),IFERROR(INDEX(BBG_Data!$V$2:$V$4000,MATCH($A430,BBG_Data!$U$2:$U$4000,0))*Settings!$B$25,NA()))</f>
        <v/>
      </c>
      <c r="AJ430" s="19">
        <f>IF(NOT(ISNUMBER($A430)),NA(),IFERROR(1*INDEX(BBG_Data!$X$2:$X$4000,MATCH($A430,BBG_Data!$W$2:$W$4000,0)),NA()))</f>
        <v/>
      </c>
      <c r="AK430" s="19">
        <f>IF(NOT(ISNUMBER($A430)),NA(),IFERROR(1*INDEX(BBG_Data!$Z$2:$Z$4000,MATCH($A430,BBG_Data!$Y$2:$Y$4000,0)),NA()))</f>
        <v/>
      </c>
    </row>
    <row r="431">
      <c r="A431" s="17">
        <f>IF(ISNUMBER(BBG_Data!A431),BBG_Data!A431,"")</f>
        <v/>
      </c>
      <c r="B431" s="18">
        <f>IF(AND(ISNUMBER($A431),ISNUMBER(BBG_Data!B431)),BBG_Data!B431,NA())</f>
        <v/>
      </c>
      <c r="C431" s="18">
        <f>IF(NOT(ISNUMBER($A431)),NA(),IFERROR(1*INDEX(BBG_Data!$D$2:$D$4000,MATCH($A431,BBG_Data!$C$2:$C$4000,0)),NA()))</f>
        <v/>
      </c>
      <c r="D431" s="19">
        <f>IF(NOT(ISNUMBER($A431)),NA(),IFERROR(1*INDEX(BBG_Data!$F$2:$F$4000,MATCH($A431,BBG_Data!$E$2:$E$4000,0)),NA()))</f>
        <v/>
      </c>
      <c r="E431" s="19">
        <f>IF(NOT(ISNUMBER($A431)),NA(),IFERROR(1*INDEX(BBG_Data!$H$2:$H$4000,MATCH($A431,BBG_Data!$G$2:$G$4000,0)),NA()))</f>
        <v/>
      </c>
      <c r="F431" s="20">
        <f>IF(AND(ISNUMBER(B431),ISNUMBER(B430)),IF(B431=B430,"",(B431-B430)*100),"")</f>
        <v/>
      </c>
      <c r="G431" s="20">
        <f>IF(AND(ISNUMBER(C431),ISNUMBER(C430)),IF(C431=C430,"",(C431-C430)*100),"")</f>
        <v/>
      </c>
      <c r="H431" s="20">
        <f>IF(OR(NOT(ISNUMBER($A431)),ROW()-2&lt;Settings!$B$11),NA(),IF(COUNT(OFFSET(F431,1-Settings!$B$11,0,Settings!$B$11,1))&lt;ROUNDUP(Settings!$B$11*Settings!$B$26,0),NA(),STDEV(OFFSET(F431,1-Settings!$B$11,0,Settings!$B$11,1))*SQRT(Settings!$B$13)))</f>
        <v/>
      </c>
      <c r="I431" s="20">
        <f>IF(OR(NOT(ISNUMBER($A431)),ROW()-2&lt;Settings!$B$12),NA(),IF(COUNT(OFFSET(F431,1-Settings!$B$12,0,Settings!$B$12,1))&lt;ROUNDUP(Settings!$B$12*Settings!$B$26,0),NA(),STDEV(OFFSET(F431,1-Settings!$B$12,0,Settings!$B$12,1))*SQRT(Settings!$B$13)))</f>
        <v/>
      </c>
      <c r="J431" s="20">
        <f>IF(OR(NOT(ISNUMBER($A431)),ROW()-2&lt;Settings!$B$11),NA(),IF(COUNT(OFFSET(G431,1-Settings!$B$11,0,Settings!$B$11,1))&lt;ROUNDUP(Settings!$B$11*Settings!$B$26,0),NA(),STDEV(OFFSET(G431,1-Settings!$B$11,0,Settings!$B$11,1))*SQRT(Settings!$B$13)))</f>
        <v/>
      </c>
      <c r="K431" s="20">
        <f>IF(OR(NOT(ISNUMBER($A431)),ROW()-2&lt;Settings!$B$12),NA(),IF(COUNT(OFFSET(G431,1-Settings!$B$12,0,Settings!$B$12,1))&lt;ROUNDUP(Settings!$B$12*Settings!$B$26,0),NA(),STDEV(OFFSET(G431,1-Settings!$B$12,0,Settings!$B$12,1))*SQRT(Settings!$B$13)))</f>
        <v/>
      </c>
      <c r="L431" s="20">
        <f>IF(AND(ISNUMBER(D431),ISNUMBER(H431)),D431-H431,NA())</f>
        <v/>
      </c>
      <c r="M431" s="20">
        <f>IF(AND(ISNUMBER(E431),ISNUMBER(K431)),E431-K431,NA())</f>
        <v/>
      </c>
      <c r="N431" s="20">
        <f>IF(NOT(ISNUMBER($A431)),NA(),IF(COUNT(OFFSET(G431,1,0,Settings!$B$12,1))&lt;ROUNDUP(Settings!$B$12*Settings!$B$26,0),NA(),STDEV(OFFSET(G431,1,0,Settings!$B$12,1))*SQRT(Settings!$B$13)))</f>
        <v/>
      </c>
      <c r="O431" s="20">
        <f>IF(AND(ISNUMBER(E431),ISNUMBER(N431)),E431-N431,NA())</f>
        <v/>
      </c>
      <c r="P431" s="19">
        <f>IF(NOT(ISNUMBER($A431)),NA(),IF(OR($A431&lt;MIN(KW_TP!$A$2:$A$2501),$A431&gt;MAX(KW_TP!$A$2:$A$2501)),NA(),INDEX(KW_TP!$C$2:$C$2501,MATCH($A431,KW_TP!$A$2:$A$2501,1))))</f>
        <v/>
      </c>
      <c r="Q431" s="18">
        <f>IF(NOT(ISNUMBER($A431)),NA(),IFERROR(1*INDEX(BBG_Data!$J$2:$J$4000,MATCH($A431,BBG_Data!$I$2:$I$4000,0)),NA()))</f>
        <v/>
      </c>
      <c r="R431" s="18">
        <f>IF(NOT(ISNUMBER($A431)),NA(),IFERROR(1*INDEX(BBG_Data!$L$2:$L$4000,MATCH($A431,BBG_Data!$K$2:$K$4000,0)),NA()))</f>
        <v/>
      </c>
      <c r="S431" s="20">
        <f>IF(AND(ISNUMBER(B431),ISNUMBER(Q431),ISNUMBER(R431)),(B431-Q431-R431)*100,NA())</f>
        <v/>
      </c>
      <c r="T431" s="20">
        <f>IF(AND(ISNUMBER(B431),Settings!$B$17&gt;0),IF(ISNUMBER(INDEX($B:$B,Settings!$B$17)),(B431-INDEX($B:$B,Settings!$B$17))*100,NA()),NA())</f>
        <v/>
      </c>
      <c r="U431" s="20">
        <f>IF(AND(ISNUMBER(Q431),Settings!$B$17&gt;0),IF(ISNUMBER(INDEX($Q:$Q,Settings!$B$17)),(Q431-INDEX($Q:$Q,Settings!$B$17))*100,NA()),NA())</f>
        <v/>
      </c>
      <c r="V431" s="20">
        <f>IF(AND(ISNUMBER(R431),Settings!$B$17&gt;0),IF(ISNUMBER(INDEX($R:$R,Settings!$B$17)),(R431-INDEX($R:$R,Settings!$B$17))*100,NA()),NA())</f>
        <v/>
      </c>
      <c r="W431" s="20">
        <f>IF(AND(ISNUMBER(P431),Settings!$B$17&gt;0),IF(ISNUMBER(INDEX($P:$P,Settings!$B$17)),P431-INDEX($P:$P,Settings!$B$17),NA()),NA())</f>
        <v/>
      </c>
      <c r="X431" s="19">
        <f>IF(NOT(ISNUMBER($A431)),NA(),IF(OR($A431&lt;MIN(DKW_10Y!$A$2:$A$2918),$A431&gt;MAX(DKW_10Y!$A$2:$A$2918),Settings!$B$16&lt;MIN(DKW_10Y!$A$2:$A$2918)),NA(),(INDEX(DKW_10Y!$B$2:$B$2918,MATCH($A431,DKW_10Y!$A$2:$A$2918,1))-INDEX(DKW_10Y!$B$2:$B$2918,MATCH(Settings!$B$16,DKW_10Y!$A$2:$A$2918,1)))*100))</f>
        <v/>
      </c>
      <c r="Y431" s="19">
        <f>IF(NOT(ISNUMBER($A431)),NA(),IF(OR($A431&lt;MIN(DKW_10Y!$A$2:$A$2918),$A431&gt;MAX(DKW_10Y!$A$2:$A$2918),Settings!$B$16&lt;MIN(DKW_10Y!$A$2:$A$2918)),NA(),(INDEX(DKW_10Y!$C$2:$C$2918,MATCH($A431,DKW_10Y!$A$2:$A$2918,1))-INDEX(DKW_10Y!$C$2:$C$2918,MATCH(Settings!$B$16,DKW_10Y!$A$2:$A$2918,1)))*100))</f>
        <v/>
      </c>
      <c r="Z431" s="19">
        <f>IF(NOT(ISNUMBER($A431)),NA(),IF(OR($A431&lt;MIN(DKW_10Y!$A$2:$A$2918),$A431&gt;MAX(DKW_10Y!$A$2:$A$2918),Settings!$B$16&lt;MIN(DKW_10Y!$A$2:$A$2918)),NA(),(INDEX(DKW_10Y!$D$2:$D$2918,MATCH($A431,DKW_10Y!$A$2:$A$2918,1))-INDEX(DKW_10Y!$D$2:$D$2918,MATCH(Settings!$B$16,DKW_10Y!$A$2:$A$2918,1)))*100))</f>
        <v/>
      </c>
      <c r="AA431" s="19">
        <f>IF(NOT(ISNUMBER($A431)),NA(),IF(OR($A431&lt;MIN(DKW_10Y!$A$2:$A$2918),$A431&gt;MAX(DKW_10Y!$A$2:$A$2918),Settings!$B$16&lt;MIN(DKW_10Y!$A$2:$A$2918)),NA(),(INDEX(DKW_10Y!$E$2:$E$2918,MATCH($A431,DKW_10Y!$A$2:$A$2918,1))-INDEX(DKW_10Y!$E$2:$E$2918,MATCH(Settings!$B$16,DKW_10Y!$A$2:$A$2918,1)))*100))</f>
        <v/>
      </c>
      <c r="AB431" s="19">
        <f>IF(NOT(ISNUMBER($A431)),NA(),IF(OR($A431&lt;MIN(DKW_10Y!$A$2:$A$2918),$A431&gt;MAX(DKW_10Y!$A$2:$A$2918),Settings!$B$16&lt;MIN(DKW_10Y!$A$2:$A$2918)),NA(),(INDEX(DKW_10Y!$H$2:$H$2918,MATCH($A431,DKW_10Y!$A$2:$A$2918,1))-INDEX(DKW_10Y!$H$2:$H$2918,MATCH(Settings!$B$16,DKW_10Y!$A$2:$A$2918,1)))*100))</f>
        <v/>
      </c>
      <c r="AC431" s="18">
        <f>IF(NOT(ISNUMBER($A431)),NA(),IFERROR(1*INDEX(BBG_Data!$N$2:$N$4000,MATCH($A431,BBG_Data!$M$2:$M$4000,0)),NA()))</f>
        <v/>
      </c>
      <c r="AD431" s="18">
        <f>IF(NOT(ISNUMBER($A431)),NA(),IFERROR(1*INDEX(BBG_Data!$P$2:$P$4000,MATCH($A431,BBG_Data!$O$2:$O$4000,0)),NA()))</f>
        <v/>
      </c>
      <c r="AE431" s="18">
        <f>IF(NOT(ISNUMBER($A431)),NA(),IFERROR(1*INDEX(BBG_Data!$R$2:$R$4000,MATCH($A431,BBG_Data!$Q$2:$Q$4000,0)),NA()))</f>
        <v/>
      </c>
      <c r="AF431" s="20">
        <f>IF(AND(ISNUMBER(B431),ISNUMBER(AC431)),(B431-AC431)*100,NA())</f>
        <v/>
      </c>
      <c r="AG431" s="20">
        <f>IF(AND(ISNUMBER(AE431),ISNUMBER(AD431)),(AE431-AD431)*100,NA())</f>
        <v/>
      </c>
      <c r="AH431" s="19">
        <f>IF(NOT(ISNUMBER($A431)),NA(),IFERROR(INDEX(BBG_Data!$T$2:$T$4000,MATCH($A431,BBG_Data!$S$2:$S$4000,0))*Settings!$B$25,NA()))</f>
        <v/>
      </c>
      <c r="AI431" s="19">
        <f>IF(NOT(ISNUMBER($A431)),NA(),IFERROR(INDEX(BBG_Data!$V$2:$V$4000,MATCH($A431,BBG_Data!$U$2:$U$4000,0))*Settings!$B$25,NA()))</f>
        <v/>
      </c>
      <c r="AJ431" s="19">
        <f>IF(NOT(ISNUMBER($A431)),NA(),IFERROR(1*INDEX(BBG_Data!$X$2:$X$4000,MATCH($A431,BBG_Data!$W$2:$W$4000,0)),NA()))</f>
        <v/>
      </c>
      <c r="AK431" s="19">
        <f>IF(NOT(ISNUMBER($A431)),NA(),IFERROR(1*INDEX(BBG_Data!$Z$2:$Z$4000,MATCH($A431,BBG_Data!$Y$2:$Y$4000,0)),NA()))</f>
        <v/>
      </c>
    </row>
    <row r="432">
      <c r="A432" s="17">
        <f>IF(ISNUMBER(BBG_Data!A432),BBG_Data!A432,"")</f>
        <v/>
      </c>
      <c r="B432" s="18">
        <f>IF(AND(ISNUMBER($A432),ISNUMBER(BBG_Data!B432)),BBG_Data!B432,NA())</f>
        <v/>
      </c>
      <c r="C432" s="18">
        <f>IF(NOT(ISNUMBER($A432)),NA(),IFERROR(1*INDEX(BBG_Data!$D$2:$D$4000,MATCH($A432,BBG_Data!$C$2:$C$4000,0)),NA()))</f>
        <v/>
      </c>
      <c r="D432" s="19">
        <f>IF(NOT(ISNUMBER($A432)),NA(),IFERROR(1*INDEX(BBG_Data!$F$2:$F$4000,MATCH($A432,BBG_Data!$E$2:$E$4000,0)),NA()))</f>
        <v/>
      </c>
      <c r="E432" s="19">
        <f>IF(NOT(ISNUMBER($A432)),NA(),IFERROR(1*INDEX(BBG_Data!$H$2:$H$4000,MATCH($A432,BBG_Data!$G$2:$G$4000,0)),NA()))</f>
        <v/>
      </c>
      <c r="F432" s="20">
        <f>IF(AND(ISNUMBER(B432),ISNUMBER(B431)),IF(B432=B431,"",(B432-B431)*100),"")</f>
        <v/>
      </c>
      <c r="G432" s="20">
        <f>IF(AND(ISNUMBER(C432),ISNUMBER(C431)),IF(C432=C431,"",(C432-C431)*100),"")</f>
        <v/>
      </c>
      <c r="H432" s="20">
        <f>IF(OR(NOT(ISNUMBER($A432)),ROW()-2&lt;Settings!$B$11),NA(),IF(COUNT(OFFSET(F432,1-Settings!$B$11,0,Settings!$B$11,1))&lt;ROUNDUP(Settings!$B$11*Settings!$B$26,0),NA(),STDEV(OFFSET(F432,1-Settings!$B$11,0,Settings!$B$11,1))*SQRT(Settings!$B$13)))</f>
        <v/>
      </c>
      <c r="I432" s="20">
        <f>IF(OR(NOT(ISNUMBER($A432)),ROW()-2&lt;Settings!$B$12),NA(),IF(COUNT(OFFSET(F432,1-Settings!$B$12,0,Settings!$B$12,1))&lt;ROUNDUP(Settings!$B$12*Settings!$B$26,0),NA(),STDEV(OFFSET(F432,1-Settings!$B$12,0,Settings!$B$12,1))*SQRT(Settings!$B$13)))</f>
        <v/>
      </c>
      <c r="J432" s="20">
        <f>IF(OR(NOT(ISNUMBER($A432)),ROW()-2&lt;Settings!$B$11),NA(),IF(COUNT(OFFSET(G432,1-Settings!$B$11,0,Settings!$B$11,1))&lt;ROUNDUP(Settings!$B$11*Settings!$B$26,0),NA(),STDEV(OFFSET(G432,1-Settings!$B$11,0,Settings!$B$11,1))*SQRT(Settings!$B$13)))</f>
        <v/>
      </c>
      <c r="K432" s="20">
        <f>IF(OR(NOT(ISNUMBER($A432)),ROW()-2&lt;Settings!$B$12),NA(),IF(COUNT(OFFSET(G432,1-Settings!$B$12,0,Settings!$B$12,1))&lt;ROUNDUP(Settings!$B$12*Settings!$B$26,0),NA(),STDEV(OFFSET(G432,1-Settings!$B$12,0,Settings!$B$12,1))*SQRT(Settings!$B$13)))</f>
        <v/>
      </c>
      <c r="L432" s="20">
        <f>IF(AND(ISNUMBER(D432),ISNUMBER(H432)),D432-H432,NA())</f>
        <v/>
      </c>
      <c r="M432" s="20">
        <f>IF(AND(ISNUMBER(E432),ISNUMBER(K432)),E432-K432,NA())</f>
        <v/>
      </c>
      <c r="N432" s="20">
        <f>IF(NOT(ISNUMBER($A432)),NA(),IF(COUNT(OFFSET(G432,1,0,Settings!$B$12,1))&lt;ROUNDUP(Settings!$B$12*Settings!$B$26,0),NA(),STDEV(OFFSET(G432,1,0,Settings!$B$12,1))*SQRT(Settings!$B$13)))</f>
        <v/>
      </c>
      <c r="O432" s="20">
        <f>IF(AND(ISNUMBER(E432),ISNUMBER(N432)),E432-N432,NA())</f>
        <v/>
      </c>
      <c r="P432" s="19">
        <f>IF(NOT(ISNUMBER($A432)),NA(),IF(OR($A432&lt;MIN(KW_TP!$A$2:$A$2501),$A432&gt;MAX(KW_TP!$A$2:$A$2501)),NA(),INDEX(KW_TP!$C$2:$C$2501,MATCH($A432,KW_TP!$A$2:$A$2501,1))))</f>
        <v/>
      </c>
      <c r="Q432" s="18">
        <f>IF(NOT(ISNUMBER($A432)),NA(),IFERROR(1*INDEX(BBG_Data!$J$2:$J$4000,MATCH($A432,BBG_Data!$I$2:$I$4000,0)),NA()))</f>
        <v/>
      </c>
      <c r="R432" s="18">
        <f>IF(NOT(ISNUMBER($A432)),NA(),IFERROR(1*INDEX(BBG_Data!$L$2:$L$4000,MATCH($A432,BBG_Data!$K$2:$K$4000,0)),NA()))</f>
        <v/>
      </c>
      <c r="S432" s="20">
        <f>IF(AND(ISNUMBER(B432),ISNUMBER(Q432),ISNUMBER(R432)),(B432-Q432-R432)*100,NA())</f>
        <v/>
      </c>
      <c r="T432" s="20">
        <f>IF(AND(ISNUMBER(B432),Settings!$B$17&gt;0),IF(ISNUMBER(INDEX($B:$B,Settings!$B$17)),(B432-INDEX($B:$B,Settings!$B$17))*100,NA()),NA())</f>
        <v/>
      </c>
      <c r="U432" s="20">
        <f>IF(AND(ISNUMBER(Q432),Settings!$B$17&gt;0),IF(ISNUMBER(INDEX($Q:$Q,Settings!$B$17)),(Q432-INDEX($Q:$Q,Settings!$B$17))*100,NA()),NA())</f>
        <v/>
      </c>
      <c r="V432" s="20">
        <f>IF(AND(ISNUMBER(R432),Settings!$B$17&gt;0),IF(ISNUMBER(INDEX($R:$R,Settings!$B$17)),(R432-INDEX($R:$R,Settings!$B$17))*100,NA()),NA())</f>
        <v/>
      </c>
      <c r="W432" s="20">
        <f>IF(AND(ISNUMBER(P432),Settings!$B$17&gt;0),IF(ISNUMBER(INDEX($P:$P,Settings!$B$17)),P432-INDEX($P:$P,Settings!$B$17),NA()),NA())</f>
        <v/>
      </c>
      <c r="X432" s="19">
        <f>IF(NOT(ISNUMBER($A432)),NA(),IF(OR($A432&lt;MIN(DKW_10Y!$A$2:$A$2918),$A432&gt;MAX(DKW_10Y!$A$2:$A$2918),Settings!$B$16&lt;MIN(DKW_10Y!$A$2:$A$2918)),NA(),(INDEX(DKW_10Y!$B$2:$B$2918,MATCH($A432,DKW_10Y!$A$2:$A$2918,1))-INDEX(DKW_10Y!$B$2:$B$2918,MATCH(Settings!$B$16,DKW_10Y!$A$2:$A$2918,1)))*100))</f>
        <v/>
      </c>
      <c r="Y432" s="19">
        <f>IF(NOT(ISNUMBER($A432)),NA(),IF(OR($A432&lt;MIN(DKW_10Y!$A$2:$A$2918),$A432&gt;MAX(DKW_10Y!$A$2:$A$2918),Settings!$B$16&lt;MIN(DKW_10Y!$A$2:$A$2918)),NA(),(INDEX(DKW_10Y!$C$2:$C$2918,MATCH($A432,DKW_10Y!$A$2:$A$2918,1))-INDEX(DKW_10Y!$C$2:$C$2918,MATCH(Settings!$B$16,DKW_10Y!$A$2:$A$2918,1)))*100))</f>
        <v/>
      </c>
      <c r="Z432" s="19">
        <f>IF(NOT(ISNUMBER($A432)),NA(),IF(OR($A432&lt;MIN(DKW_10Y!$A$2:$A$2918),$A432&gt;MAX(DKW_10Y!$A$2:$A$2918),Settings!$B$16&lt;MIN(DKW_10Y!$A$2:$A$2918)),NA(),(INDEX(DKW_10Y!$D$2:$D$2918,MATCH($A432,DKW_10Y!$A$2:$A$2918,1))-INDEX(DKW_10Y!$D$2:$D$2918,MATCH(Settings!$B$16,DKW_10Y!$A$2:$A$2918,1)))*100))</f>
        <v/>
      </c>
      <c r="AA432" s="19">
        <f>IF(NOT(ISNUMBER($A432)),NA(),IF(OR($A432&lt;MIN(DKW_10Y!$A$2:$A$2918),$A432&gt;MAX(DKW_10Y!$A$2:$A$2918),Settings!$B$16&lt;MIN(DKW_10Y!$A$2:$A$2918)),NA(),(INDEX(DKW_10Y!$E$2:$E$2918,MATCH($A432,DKW_10Y!$A$2:$A$2918,1))-INDEX(DKW_10Y!$E$2:$E$2918,MATCH(Settings!$B$16,DKW_10Y!$A$2:$A$2918,1)))*100))</f>
        <v/>
      </c>
      <c r="AB432" s="19">
        <f>IF(NOT(ISNUMBER($A432)),NA(),IF(OR($A432&lt;MIN(DKW_10Y!$A$2:$A$2918),$A432&gt;MAX(DKW_10Y!$A$2:$A$2918),Settings!$B$16&lt;MIN(DKW_10Y!$A$2:$A$2918)),NA(),(INDEX(DKW_10Y!$H$2:$H$2918,MATCH($A432,DKW_10Y!$A$2:$A$2918,1))-INDEX(DKW_10Y!$H$2:$H$2918,MATCH(Settings!$B$16,DKW_10Y!$A$2:$A$2918,1)))*100))</f>
        <v/>
      </c>
      <c r="AC432" s="18">
        <f>IF(NOT(ISNUMBER($A432)),NA(),IFERROR(1*INDEX(BBG_Data!$N$2:$N$4000,MATCH($A432,BBG_Data!$M$2:$M$4000,0)),NA()))</f>
        <v/>
      </c>
      <c r="AD432" s="18">
        <f>IF(NOT(ISNUMBER($A432)),NA(),IFERROR(1*INDEX(BBG_Data!$P$2:$P$4000,MATCH($A432,BBG_Data!$O$2:$O$4000,0)),NA()))</f>
        <v/>
      </c>
      <c r="AE432" s="18">
        <f>IF(NOT(ISNUMBER($A432)),NA(),IFERROR(1*INDEX(BBG_Data!$R$2:$R$4000,MATCH($A432,BBG_Data!$Q$2:$Q$4000,0)),NA()))</f>
        <v/>
      </c>
      <c r="AF432" s="20">
        <f>IF(AND(ISNUMBER(B432),ISNUMBER(AC432)),(B432-AC432)*100,NA())</f>
        <v/>
      </c>
      <c r="AG432" s="20">
        <f>IF(AND(ISNUMBER(AE432),ISNUMBER(AD432)),(AE432-AD432)*100,NA())</f>
        <v/>
      </c>
      <c r="AH432" s="19">
        <f>IF(NOT(ISNUMBER($A432)),NA(),IFERROR(INDEX(BBG_Data!$T$2:$T$4000,MATCH($A432,BBG_Data!$S$2:$S$4000,0))*Settings!$B$25,NA()))</f>
        <v/>
      </c>
      <c r="AI432" s="19">
        <f>IF(NOT(ISNUMBER($A432)),NA(),IFERROR(INDEX(BBG_Data!$V$2:$V$4000,MATCH($A432,BBG_Data!$U$2:$U$4000,0))*Settings!$B$25,NA()))</f>
        <v/>
      </c>
      <c r="AJ432" s="19">
        <f>IF(NOT(ISNUMBER($A432)),NA(),IFERROR(1*INDEX(BBG_Data!$X$2:$X$4000,MATCH($A432,BBG_Data!$W$2:$W$4000,0)),NA()))</f>
        <v/>
      </c>
      <c r="AK432" s="19">
        <f>IF(NOT(ISNUMBER($A432)),NA(),IFERROR(1*INDEX(BBG_Data!$Z$2:$Z$4000,MATCH($A432,BBG_Data!$Y$2:$Y$4000,0)),NA()))</f>
        <v/>
      </c>
    </row>
    <row r="433">
      <c r="A433" s="17">
        <f>IF(ISNUMBER(BBG_Data!A433),BBG_Data!A433,"")</f>
        <v/>
      </c>
      <c r="B433" s="18">
        <f>IF(AND(ISNUMBER($A433),ISNUMBER(BBG_Data!B433)),BBG_Data!B433,NA())</f>
        <v/>
      </c>
      <c r="C433" s="18">
        <f>IF(NOT(ISNUMBER($A433)),NA(),IFERROR(1*INDEX(BBG_Data!$D$2:$D$4000,MATCH($A433,BBG_Data!$C$2:$C$4000,0)),NA()))</f>
        <v/>
      </c>
      <c r="D433" s="19">
        <f>IF(NOT(ISNUMBER($A433)),NA(),IFERROR(1*INDEX(BBG_Data!$F$2:$F$4000,MATCH($A433,BBG_Data!$E$2:$E$4000,0)),NA()))</f>
        <v/>
      </c>
      <c r="E433" s="19">
        <f>IF(NOT(ISNUMBER($A433)),NA(),IFERROR(1*INDEX(BBG_Data!$H$2:$H$4000,MATCH($A433,BBG_Data!$G$2:$G$4000,0)),NA()))</f>
        <v/>
      </c>
      <c r="F433" s="20">
        <f>IF(AND(ISNUMBER(B433),ISNUMBER(B432)),IF(B433=B432,"",(B433-B432)*100),"")</f>
        <v/>
      </c>
      <c r="G433" s="20">
        <f>IF(AND(ISNUMBER(C433),ISNUMBER(C432)),IF(C433=C432,"",(C433-C432)*100),"")</f>
        <v/>
      </c>
      <c r="H433" s="20">
        <f>IF(OR(NOT(ISNUMBER($A433)),ROW()-2&lt;Settings!$B$11),NA(),IF(COUNT(OFFSET(F433,1-Settings!$B$11,0,Settings!$B$11,1))&lt;ROUNDUP(Settings!$B$11*Settings!$B$26,0),NA(),STDEV(OFFSET(F433,1-Settings!$B$11,0,Settings!$B$11,1))*SQRT(Settings!$B$13)))</f>
        <v/>
      </c>
      <c r="I433" s="20">
        <f>IF(OR(NOT(ISNUMBER($A433)),ROW()-2&lt;Settings!$B$12),NA(),IF(COUNT(OFFSET(F433,1-Settings!$B$12,0,Settings!$B$12,1))&lt;ROUNDUP(Settings!$B$12*Settings!$B$26,0),NA(),STDEV(OFFSET(F433,1-Settings!$B$12,0,Settings!$B$12,1))*SQRT(Settings!$B$13)))</f>
        <v/>
      </c>
      <c r="J433" s="20">
        <f>IF(OR(NOT(ISNUMBER($A433)),ROW()-2&lt;Settings!$B$11),NA(),IF(COUNT(OFFSET(G433,1-Settings!$B$11,0,Settings!$B$11,1))&lt;ROUNDUP(Settings!$B$11*Settings!$B$26,0),NA(),STDEV(OFFSET(G433,1-Settings!$B$11,0,Settings!$B$11,1))*SQRT(Settings!$B$13)))</f>
        <v/>
      </c>
      <c r="K433" s="20">
        <f>IF(OR(NOT(ISNUMBER($A433)),ROW()-2&lt;Settings!$B$12),NA(),IF(COUNT(OFFSET(G433,1-Settings!$B$12,0,Settings!$B$12,1))&lt;ROUNDUP(Settings!$B$12*Settings!$B$26,0),NA(),STDEV(OFFSET(G433,1-Settings!$B$12,0,Settings!$B$12,1))*SQRT(Settings!$B$13)))</f>
        <v/>
      </c>
      <c r="L433" s="20">
        <f>IF(AND(ISNUMBER(D433),ISNUMBER(H433)),D433-H433,NA())</f>
        <v/>
      </c>
      <c r="M433" s="20">
        <f>IF(AND(ISNUMBER(E433),ISNUMBER(K433)),E433-K433,NA())</f>
        <v/>
      </c>
      <c r="N433" s="20">
        <f>IF(NOT(ISNUMBER($A433)),NA(),IF(COUNT(OFFSET(G433,1,0,Settings!$B$12,1))&lt;ROUNDUP(Settings!$B$12*Settings!$B$26,0),NA(),STDEV(OFFSET(G433,1,0,Settings!$B$12,1))*SQRT(Settings!$B$13)))</f>
        <v/>
      </c>
      <c r="O433" s="20">
        <f>IF(AND(ISNUMBER(E433),ISNUMBER(N433)),E433-N433,NA())</f>
        <v/>
      </c>
      <c r="P433" s="19">
        <f>IF(NOT(ISNUMBER($A433)),NA(),IF(OR($A433&lt;MIN(KW_TP!$A$2:$A$2501),$A433&gt;MAX(KW_TP!$A$2:$A$2501)),NA(),INDEX(KW_TP!$C$2:$C$2501,MATCH($A433,KW_TP!$A$2:$A$2501,1))))</f>
        <v/>
      </c>
      <c r="Q433" s="18">
        <f>IF(NOT(ISNUMBER($A433)),NA(),IFERROR(1*INDEX(BBG_Data!$J$2:$J$4000,MATCH($A433,BBG_Data!$I$2:$I$4000,0)),NA()))</f>
        <v/>
      </c>
      <c r="R433" s="18">
        <f>IF(NOT(ISNUMBER($A433)),NA(),IFERROR(1*INDEX(BBG_Data!$L$2:$L$4000,MATCH($A433,BBG_Data!$K$2:$K$4000,0)),NA()))</f>
        <v/>
      </c>
      <c r="S433" s="20">
        <f>IF(AND(ISNUMBER(B433),ISNUMBER(Q433),ISNUMBER(R433)),(B433-Q433-R433)*100,NA())</f>
        <v/>
      </c>
      <c r="T433" s="20">
        <f>IF(AND(ISNUMBER(B433),Settings!$B$17&gt;0),IF(ISNUMBER(INDEX($B:$B,Settings!$B$17)),(B433-INDEX($B:$B,Settings!$B$17))*100,NA()),NA())</f>
        <v/>
      </c>
      <c r="U433" s="20">
        <f>IF(AND(ISNUMBER(Q433),Settings!$B$17&gt;0),IF(ISNUMBER(INDEX($Q:$Q,Settings!$B$17)),(Q433-INDEX($Q:$Q,Settings!$B$17))*100,NA()),NA())</f>
        <v/>
      </c>
      <c r="V433" s="20">
        <f>IF(AND(ISNUMBER(R433),Settings!$B$17&gt;0),IF(ISNUMBER(INDEX($R:$R,Settings!$B$17)),(R433-INDEX($R:$R,Settings!$B$17))*100,NA()),NA())</f>
        <v/>
      </c>
      <c r="W433" s="20">
        <f>IF(AND(ISNUMBER(P433),Settings!$B$17&gt;0),IF(ISNUMBER(INDEX($P:$P,Settings!$B$17)),P433-INDEX($P:$P,Settings!$B$17),NA()),NA())</f>
        <v/>
      </c>
      <c r="X433" s="19">
        <f>IF(NOT(ISNUMBER($A433)),NA(),IF(OR($A433&lt;MIN(DKW_10Y!$A$2:$A$2918),$A433&gt;MAX(DKW_10Y!$A$2:$A$2918),Settings!$B$16&lt;MIN(DKW_10Y!$A$2:$A$2918)),NA(),(INDEX(DKW_10Y!$B$2:$B$2918,MATCH($A433,DKW_10Y!$A$2:$A$2918,1))-INDEX(DKW_10Y!$B$2:$B$2918,MATCH(Settings!$B$16,DKW_10Y!$A$2:$A$2918,1)))*100))</f>
        <v/>
      </c>
      <c r="Y433" s="19">
        <f>IF(NOT(ISNUMBER($A433)),NA(),IF(OR($A433&lt;MIN(DKW_10Y!$A$2:$A$2918),$A433&gt;MAX(DKW_10Y!$A$2:$A$2918),Settings!$B$16&lt;MIN(DKW_10Y!$A$2:$A$2918)),NA(),(INDEX(DKW_10Y!$C$2:$C$2918,MATCH($A433,DKW_10Y!$A$2:$A$2918,1))-INDEX(DKW_10Y!$C$2:$C$2918,MATCH(Settings!$B$16,DKW_10Y!$A$2:$A$2918,1)))*100))</f>
        <v/>
      </c>
      <c r="Z433" s="19">
        <f>IF(NOT(ISNUMBER($A433)),NA(),IF(OR($A433&lt;MIN(DKW_10Y!$A$2:$A$2918),$A433&gt;MAX(DKW_10Y!$A$2:$A$2918),Settings!$B$16&lt;MIN(DKW_10Y!$A$2:$A$2918)),NA(),(INDEX(DKW_10Y!$D$2:$D$2918,MATCH($A433,DKW_10Y!$A$2:$A$2918,1))-INDEX(DKW_10Y!$D$2:$D$2918,MATCH(Settings!$B$16,DKW_10Y!$A$2:$A$2918,1)))*100))</f>
        <v/>
      </c>
      <c r="AA433" s="19">
        <f>IF(NOT(ISNUMBER($A433)),NA(),IF(OR($A433&lt;MIN(DKW_10Y!$A$2:$A$2918),$A433&gt;MAX(DKW_10Y!$A$2:$A$2918),Settings!$B$16&lt;MIN(DKW_10Y!$A$2:$A$2918)),NA(),(INDEX(DKW_10Y!$E$2:$E$2918,MATCH($A433,DKW_10Y!$A$2:$A$2918,1))-INDEX(DKW_10Y!$E$2:$E$2918,MATCH(Settings!$B$16,DKW_10Y!$A$2:$A$2918,1)))*100))</f>
        <v/>
      </c>
      <c r="AB433" s="19">
        <f>IF(NOT(ISNUMBER($A433)),NA(),IF(OR($A433&lt;MIN(DKW_10Y!$A$2:$A$2918),$A433&gt;MAX(DKW_10Y!$A$2:$A$2918),Settings!$B$16&lt;MIN(DKW_10Y!$A$2:$A$2918)),NA(),(INDEX(DKW_10Y!$H$2:$H$2918,MATCH($A433,DKW_10Y!$A$2:$A$2918,1))-INDEX(DKW_10Y!$H$2:$H$2918,MATCH(Settings!$B$16,DKW_10Y!$A$2:$A$2918,1)))*100))</f>
        <v/>
      </c>
      <c r="AC433" s="18">
        <f>IF(NOT(ISNUMBER($A433)),NA(),IFERROR(1*INDEX(BBG_Data!$N$2:$N$4000,MATCH($A433,BBG_Data!$M$2:$M$4000,0)),NA()))</f>
        <v/>
      </c>
      <c r="AD433" s="18">
        <f>IF(NOT(ISNUMBER($A433)),NA(),IFERROR(1*INDEX(BBG_Data!$P$2:$P$4000,MATCH($A433,BBG_Data!$O$2:$O$4000,0)),NA()))</f>
        <v/>
      </c>
      <c r="AE433" s="18">
        <f>IF(NOT(ISNUMBER($A433)),NA(),IFERROR(1*INDEX(BBG_Data!$R$2:$R$4000,MATCH($A433,BBG_Data!$Q$2:$Q$4000,0)),NA()))</f>
        <v/>
      </c>
      <c r="AF433" s="20">
        <f>IF(AND(ISNUMBER(B433),ISNUMBER(AC433)),(B433-AC433)*100,NA())</f>
        <v/>
      </c>
      <c r="AG433" s="20">
        <f>IF(AND(ISNUMBER(AE433),ISNUMBER(AD433)),(AE433-AD433)*100,NA())</f>
        <v/>
      </c>
      <c r="AH433" s="19">
        <f>IF(NOT(ISNUMBER($A433)),NA(),IFERROR(INDEX(BBG_Data!$T$2:$T$4000,MATCH($A433,BBG_Data!$S$2:$S$4000,0))*Settings!$B$25,NA()))</f>
        <v/>
      </c>
      <c r="AI433" s="19">
        <f>IF(NOT(ISNUMBER($A433)),NA(),IFERROR(INDEX(BBG_Data!$V$2:$V$4000,MATCH($A433,BBG_Data!$U$2:$U$4000,0))*Settings!$B$25,NA()))</f>
        <v/>
      </c>
      <c r="AJ433" s="19">
        <f>IF(NOT(ISNUMBER($A433)),NA(),IFERROR(1*INDEX(BBG_Data!$X$2:$X$4000,MATCH($A433,BBG_Data!$W$2:$W$4000,0)),NA()))</f>
        <v/>
      </c>
      <c r="AK433" s="19">
        <f>IF(NOT(ISNUMBER($A433)),NA(),IFERROR(1*INDEX(BBG_Data!$Z$2:$Z$4000,MATCH($A433,BBG_Data!$Y$2:$Y$4000,0)),NA()))</f>
        <v/>
      </c>
    </row>
    <row r="434">
      <c r="A434" s="17">
        <f>IF(ISNUMBER(BBG_Data!A434),BBG_Data!A434,"")</f>
        <v/>
      </c>
      <c r="B434" s="18">
        <f>IF(AND(ISNUMBER($A434),ISNUMBER(BBG_Data!B434)),BBG_Data!B434,NA())</f>
        <v/>
      </c>
      <c r="C434" s="18">
        <f>IF(NOT(ISNUMBER($A434)),NA(),IFERROR(1*INDEX(BBG_Data!$D$2:$D$4000,MATCH($A434,BBG_Data!$C$2:$C$4000,0)),NA()))</f>
        <v/>
      </c>
      <c r="D434" s="19">
        <f>IF(NOT(ISNUMBER($A434)),NA(),IFERROR(1*INDEX(BBG_Data!$F$2:$F$4000,MATCH($A434,BBG_Data!$E$2:$E$4000,0)),NA()))</f>
        <v/>
      </c>
      <c r="E434" s="19">
        <f>IF(NOT(ISNUMBER($A434)),NA(),IFERROR(1*INDEX(BBG_Data!$H$2:$H$4000,MATCH($A434,BBG_Data!$G$2:$G$4000,0)),NA()))</f>
        <v/>
      </c>
      <c r="F434" s="20">
        <f>IF(AND(ISNUMBER(B434),ISNUMBER(B433)),IF(B434=B433,"",(B434-B433)*100),"")</f>
        <v/>
      </c>
      <c r="G434" s="20">
        <f>IF(AND(ISNUMBER(C434),ISNUMBER(C433)),IF(C434=C433,"",(C434-C433)*100),"")</f>
        <v/>
      </c>
      <c r="H434" s="20">
        <f>IF(OR(NOT(ISNUMBER($A434)),ROW()-2&lt;Settings!$B$11),NA(),IF(COUNT(OFFSET(F434,1-Settings!$B$11,0,Settings!$B$11,1))&lt;ROUNDUP(Settings!$B$11*Settings!$B$26,0),NA(),STDEV(OFFSET(F434,1-Settings!$B$11,0,Settings!$B$11,1))*SQRT(Settings!$B$13)))</f>
        <v/>
      </c>
      <c r="I434" s="20">
        <f>IF(OR(NOT(ISNUMBER($A434)),ROW()-2&lt;Settings!$B$12),NA(),IF(COUNT(OFFSET(F434,1-Settings!$B$12,0,Settings!$B$12,1))&lt;ROUNDUP(Settings!$B$12*Settings!$B$26,0),NA(),STDEV(OFFSET(F434,1-Settings!$B$12,0,Settings!$B$12,1))*SQRT(Settings!$B$13)))</f>
        <v/>
      </c>
      <c r="J434" s="20">
        <f>IF(OR(NOT(ISNUMBER($A434)),ROW()-2&lt;Settings!$B$11),NA(),IF(COUNT(OFFSET(G434,1-Settings!$B$11,0,Settings!$B$11,1))&lt;ROUNDUP(Settings!$B$11*Settings!$B$26,0),NA(),STDEV(OFFSET(G434,1-Settings!$B$11,0,Settings!$B$11,1))*SQRT(Settings!$B$13)))</f>
        <v/>
      </c>
      <c r="K434" s="20">
        <f>IF(OR(NOT(ISNUMBER($A434)),ROW()-2&lt;Settings!$B$12),NA(),IF(COUNT(OFFSET(G434,1-Settings!$B$12,0,Settings!$B$12,1))&lt;ROUNDUP(Settings!$B$12*Settings!$B$26,0),NA(),STDEV(OFFSET(G434,1-Settings!$B$12,0,Settings!$B$12,1))*SQRT(Settings!$B$13)))</f>
        <v/>
      </c>
      <c r="L434" s="20">
        <f>IF(AND(ISNUMBER(D434),ISNUMBER(H434)),D434-H434,NA())</f>
        <v/>
      </c>
      <c r="M434" s="20">
        <f>IF(AND(ISNUMBER(E434),ISNUMBER(K434)),E434-K434,NA())</f>
        <v/>
      </c>
      <c r="N434" s="20">
        <f>IF(NOT(ISNUMBER($A434)),NA(),IF(COUNT(OFFSET(G434,1,0,Settings!$B$12,1))&lt;ROUNDUP(Settings!$B$12*Settings!$B$26,0),NA(),STDEV(OFFSET(G434,1,0,Settings!$B$12,1))*SQRT(Settings!$B$13)))</f>
        <v/>
      </c>
      <c r="O434" s="20">
        <f>IF(AND(ISNUMBER(E434),ISNUMBER(N434)),E434-N434,NA())</f>
        <v/>
      </c>
      <c r="P434" s="19">
        <f>IF(NOT(ISNUMBER($A434)),NA(),IF(OR($A434&lt;MIN(KW_TP!$A$2:$A$2501),$A434&gt;MAX(KW_TP!$A$2:$A$2501)),NA(),INDEX(KW_TP!$C$2:$C$2501,MATCH($A434,KW_TP!$A$2:$A$2501,1))))</f>
        <v/>
      </c>
      <c r="Q434" s="18">
        <f>IF(NOT(ISNUMBER($A434)),NA(),IFERROR(1*INDEX(BBG_Data!$J$2:$J$4000,MATCH($A434,BBG_Data!$I$2:$I$4000,0)),NA()))</f>
        <v/>
      </c>
      <c r="R434" s="18">
        <f>IF(NOT(ISNUMBER($A434)),NA(),IFERROR(1*INDEX(BBG_Data!$L$2:$L$4000,MATCH($A434,BBG_Data!$K$2:$K$4000,0)),NA()))</f>
        <v/>
      </c>
      <c r="S434" s="20">
        <f>IF(AND(ISNUMBER(B434),ISNUMBER(Q434),ISNUMBER(R434)),(B434-Q434-R434)*100,NA())</f>
        <v/>
      </c>
      <c r="T434" s="20">
        <f>IF(AND(ISNUMBER(B434),Settings!$B$17&gt;0),IF(ISNUMBER(INDEX($B:$B,Settings!$B$17)),(B434-INDEX($B:$B,Settings!$B$17))*100,NA()),NA())</f>
        <v/>
      </c>
      <c r="U434" s="20">
        <f>IF(AND(ISNUMBER(Q434),Settings!$B$17&gt;0),IF(ISNUMBER(INDEX($Q:$Q,Settings!$B$17)),(Q434-INDEX($Q:$Q,Settings!$B$17))*100,NA()),NA())</f>
        <v/>
      </c>
      <c r="V434" s="20">
        <f>IF(AND(ISNUMBER(R434),Settings!$B$17&gt;0),IF(ISNUMBER(INDEX($R:$R,Settings!$B$17)),(R434-INDEX($R:$R,Settings!$B$17))*100,NA()),NA())</f>
        <v/>
      </c>
      <c r="W434" s="20">
        <f>IF(AND(ISNUMBER(P434),Settings!$B$17&gt;0),IF(ISNUMBER(INDEX($P:$P,Settings!$B$17)),P434-INDEX($P:$P,Settings!$B$17),NA()),NA())</f>
        <v/>
      </c>
      <c r="X434" s="19">
        <f>IF(NOT(ISNUMBER($A434)),NA(),IF(OR($A434&lt;MIN(DKW_10Y!$A$2:$A$2918),$A434&gt;MAX(DKW_10Y!$A$2:$A$2918),Settings!$B$16&lt;MIN(DKW_10Y!$A$2:$A$2918)),NA(),(INDEX(DKW_10Y!$B$2:$B$2918,MATCH($A434,DKW_10Y!$A$2:$A$2918,1))-INDEX(DKW_10Y!$B$2:$B$2918,MATCH(Settings!$B$16,DKW_10Y!$A$2:$A$2918,1)))*100))</f>
        <v/>
      </c>
      <c r="Y434" s="19">
        <f>IF(NOT(ISNUMBER($A434)),NA(),IF(OR($A434&lt;MIN(DKW_10Y!$A$2:$A$2918),$A434&gt;MAX(DKW_10Y!$A$2:$A$2918),Settings!$B$16&lt;MIN(DKW_10Y!$A$2:$A$2918)),NA(),(INDEX(DKW_10Y!$C$2:$C$2918,MATCH($A434,DKW_10Y!$A$2:$A$2918,1))-INDEX(DKW_10Y!$C$2:$C$2918,MATCH(Settings!$B$16,DKW_10Y!$A$2:$A$2918,1)))*100))</f>
        <v/>
      </c>
      <c r="Z434" s="19">
        <f>IF(NOT(ISNUMBER($A434)),NA(),IF(OR($A434&lt;MIN(DKW_10Y!$A$2:$A$2918),$A434&gt;MAX(DKW_10Y!$A$2:$A$2918),Settings!$B$16&lt;MIN(DKW_10Y!$A$2:$A$2918)),NA(),(INDEX(DKW_10Y!$D$2:$D$2918,MATCH($A434,DKW_10Y!$A$2:$A$2918,1))-INDEX(DKW_10Y!$D$2:$D$2918,MATCH(Settings!$B$16,DKW_10Y!$A$2:$A$2918,1)))*100))</f>
        <v/>
      </c>
      <c r="AA434" s="19">
        <f>IF(NOT(ISNUMBER($A434)),NA(),IF(OR($A434&lt;MIN(DKW_10Y!$A$2:$A$2918),$A434&gt;MAX(DKW_10Y!$A$2:$A$2918),Settings!$B$16&lt;MIN(DKW_10Y!$A$2:$A$2918)),NA(),(INDEX(DKW_10Y!$E$2:$E$2918,MATCH($A434,DKW_10Y!$A$2:$A$2918,1))-INDEX(DKW_10Y!$E$2:$E$2918,MATCH(Settings!$B$16,DKW_10Y!$A$2:$A$2918,1)))*100))</f>
        <v/>
      </c>
      <c r="AB434" s="19">
        <f>IF(NOT(ISNUMBER($A434)),NA(),IF(OR($A434&lt;MIN(DKW_10Y!$A$2:$A$2918),$A434&gt;MAX(DKW_10Y!$A$2:$A$2918),Settings!$B$16&lt;MIN(DKW_10Y!$A$2:$A$2918)),NA(),(INDEX(DKW_10Y!$H$2:$H$2918,MATCH($A434,DKW_10Y!$A$2:$A$2918,1))-INDEX(DKW_10Y!$H$2:$H$2918,MATCH(Settings!$B$16,DKW_10Y!$A$2:$A$2918,1)))*100))</f>
        <v/>
      </c>
      <c r="AC434" s="18">
        <f>IF(NOT(ISNUMBER($A434)),NA(),IFERROR(1*INDEX(BBG_Data!$N$2:$N$4000,MATCH($A434,BBG_Data!$M$2:$M$4000,0)),NA()))</f>
        <v/>
      </c>
      <c r="AD434" s="18">
        <f>IF(NOT(ISNUMBER($A434)),NA(),IFERROR(1*INDEX(BBG_Data!$P$2:$P$4000,MATCH($A434,BBG_Data!$O$2:$O$4000,0)),NA()))</f>
        <v/>
      </c>
      <c r="AE434" s="18">
        <f>IF(NOT(ISNUMBER($A434)),NA(),IFERROR(1*INDEX(BBG_Data!$R$2:$R$4000,MATCH($A434,BBG_Data!$Q$2:$Q$4000,0)),NA()))</f>
        <v/>
      </c>
      <c r="AF434" s="20">
        <f>IF(AND(ISNUMBER(B434),ISNUMBER(AC434)),(B434-AC434)*100,NA())</f>
        <v/>
      </c>
      <c r="AG434" s="20">
        <f>IF(AND(ISNUMBER(AE434),ISNUMBER(AD434)),(AE434-AD434)*100,NA())</f>
        <v/>
      </c>
      <c r="AH434" s="19">
        <f>IF(NOT(ISNUMBER($A434)),NA(),IFERROR(INDEX(BBG_Data!$T$2:$T$4000,MATCH($A434,BBG_Data!$S$2:$S$4000,0))*Settings!$B$25,NA()))</f>
        <v/>
      </c>
      <c r="AI434" s="19">
        <f>IF(NOT(ISNUMBER($A434)),NA(),IFERROR(INDEX(BBG_Data!$V$2:$V$4000,MATCH($A434,BBG_Data!$U$2:$U$4000,0))*Settings!$B$25,NA()))</f>
        <v/>
      </c>
      <c r="AJ434" s="19">
        <f>IF(NOT(ISNUMBER($A434)),NA(),IFERROR(1*INDEX(BBG_Data!$X$2:$X$4000,MATCH($A434,BBG_Data!$W$2:$W$4000,0)),NA()))</f>
        <v/>
      </c>
      <c r="AK434" s="19">
        <f>IF(NOT(ISNUMBER($A434)),NA(),IFERROR(1*INDEX(BBG_Data!$Z$2:$Z$4000,MATCH($A434,BBG_Data!$Y$2:$Y$4000,0)),NA()))</f>
        <v/>
      </c>
    </row>
    <row r="435">
      <c r="A435" s="17">
        <f>IF(ISNUMBER(BBG_Data!A435),BBG_Data!A435,"")</f>
        <v/>
      </c>
      <c r="B435" s="18">
        <f>IF(AND(ISNUMBER($A435),ISNUMBER(BBG_Data!B435)),BBG_Data!B435,NA())</f>
        <v/>
      </c>
      <c r="C435" s="18">
        <f>IF(NOT(ISNUMBER($A435)),NA(),IFERROR(1*INDEX(BBG_Data!$D$2:$D$4000,MATCH($A435,BBG_Data!$C$2:$C$4000,0)),NA()))</f>
        <v/>
      </c>
      <c r="D435" s="19">
        <f>IF(NOT(ISNUMBER($A435)),NA(),IFERROR(1*INDEX(BBG_Data!$F$2:$F$4000,MATCH($A435,BBG_Data!$E$2:$E$4000,0)),NA()))</f>
        <v/>
      </c>
      <c r="E435" s="19">
        <f>IF(NOT(ISNUMBER($A435)),NA(),IFERROR(1*INDEX(BBG_Data!$H$2:$H$4000,MATCH($A435,BBG_Data!$G$2:$G$4000,0)),NA()))</f>
        <v/>
      </c>
      <c r="F435" s="20">
        <f>IF(AND(ISNUMBER(B435),ISNUMBER(B434)),IF(B435=B434,"",(B435-B434)*100),"")</f>
        <v/>
      </c>
      <c r="G435" s="20">
        <f>IF(AND(ISNUMBER(C435),ISNUMBER(C434)),IF(C435=C434,"",(C435-C434)*100),"")</f>
        <v/>
      </c>
      <c r="H435" s="20">
        <f>IF(OR(NOT(ISNUMBER($A435)),ROW()-2&lt;Settings!$B$11),NA(),IF(COUNT(OFFSET(F435,1-Settings!$B$11,0,Settings!$B$11,1))&lt;ROUNDUP(Settings!$B$11*Settings!$B$26,0),NA(),STDEV(OFFSET(F435,1-Settings!$B$11,0,Settings!$B$11,1))*SQRT(Settings!$B$13)))</f>
        <v/>
      </c>
      <c r="I435" s="20">
        <f>IF(OR(NOT(ISNUMBER($A435)),ROW()-2&lt;Settings!$B$12),NA(),IF(COUNT(OFFSET(F435,1-Settings!$B$12,0,Settings!$B$12,1))&lt;ROUNDUP(Settings!$B$12*Settings!$B$26,0),NA(),STDEV(OFFSET(F435,1-Settings!$B$12,0,Settings!$B$12,1))*SQRT(Settings!$B$13)))</f>
        <v/>
      </c>
      <c r="J435" s="20">
        <f>IF(OR(NOT(ISNUMBER($A435)),ROW()-2&lt;Settings!$B$11),NA(),IF(COUNT(OFFSET(G435,1-Settings!$B$11,0,Settings!$B$11,1))&lt;ROUNDUP(Settings!$B$11*Settings!$B$26,0),NA(),STDEV(OFFSET(G435,1-Settings!$B$11,0,Settings!$B$11,1))*SQRT(Settings!$B$13)))</f>
        <v/>
      </c>
      <c r="K435" s="20">
        <f>IF(OR(NOT(ISNUMBER($A435)),ROW()-2&lt;Settings!$B$12),NA(),IF(COUNT(OFFSET(G435,1-Settings!$B$12,0,Settings!$B$12,1))&lt;ROUNDUP(Settings!$B$12*Settings!$B$26,0),NA(),STDEV(OFFSET(G435,1-Settings!$B$12,0,Settings!$B$12,1))*SQRT(Settings!$B$13)))</f>
        <v/>
      </c>
      <c r="L435" s="20">
        <f>IF(AND(ISNUMBER(D435),ISNUMBER(H435)),D435-H435,NA())</f>
        <v/>
      </c>
      <c r="M435" s="20">
        <f>IF(AND(ISNUMBER(E435),ISNUMBER(K435)),E435-K435,NA())</f>
        <v/>
      </c>
      <c r="N435" s="20">
        <f>IF(NOT(ISNUMBER($A435)),NA(),IF(COUNT(OFFSET(G435,1,0,Settings!$B$12,1))&lt;ROUNDUP(Settings!$B$12*Settings!$B$26,0),NA(),STDEV(OFFSET(G435,1,0,Settings!$B$12,1))*SQRT(Settings!$B$13)))</f>
        <v/>
      </c>
      <c r="O435" s="20">
        <f>IF(AND(ISNUMBER(E435),ISNUMBER(N435)),E435-N435,NA())</f>
        <v/>
      </c>
      <c r="P435" s="19">
        <f>IF(NOT(ISNUMBER($A435)),NA(),IF(OR($A435&lt;MIN(KW_TP!$A$2:$A$2501),$A435&gt;MAX(KW_TP!$A$2:$A$2501)),NA(),INDEX(KW_TP!$C$2:$C$2501,MATCH($A435,KW_TP!$A$2:$A$2501,1))))</f>
        <v/>
      </c>
      <c r="Q435" s="18">
        <f>IF(NOT(ISNUMBER($A435)),NA(),IFERROR(1*INDEX(BBG_Data!$J$2:$J$4000,MATCH($A435,BBG_Data!$I$2:$I$4000,0)),NA()))</f>
        <v/>
      </c>
      <c r="R435" s="18">
        <f>IF(NOT(ISNUMBER($A435)),NA(),IFERROR(1*INDEX(BBG_Data!$L$2:$L$4000,MATCH($A435,BBG_Data!$K$2:$K$4000,0)),NA()))</f>
        <v/>
      </c>
      <c r="S435" s="20">
        <f>IF(AND(ISNUMBER(B435),ISNUMBER(Q435),ISNUMBER(R435)),(B435-Q435-R435)*100,NA())</f>
        <v/>
      </c>
      <c r="T435" s="20">
        <f>IF(AND(ISNUMBER(B435),Settings!$B$17&gt;0),IF(ISNUMBER(INDEX($B:$B,Settings!$B$17)),(B435-INDEX($B:$B,Settings!$B$17))*100,NA()),NA())</f>
        <v/>
      </c>
      <c r="U435" s="20">
        <f>IF(AND(ISNUMBER(Q435),Settings!$B$17&gt;0),IF(ISNUMBER(INDEX($Q:$Q,Settings!$B$17)),(Q435-INDEX($Q:$Q,Settings!$B$17))*100,NA()),NA())</f>
        <v/>
      </c>
      <c r="V435" s="20">
        <f>IF(AND(ISNUMBER(R435),Settings!$B$17&gt;0),IF(ISNUMBER(INDEX($R:$R,Settings!$B$17)),(R435-INDEX($R:$R,Settings!$B$17))*100,NA()),NA())</f>
        <v/>
      </c>
      <c r="W435" s="20">
        <f>IF(AND(ISNUMBER(P435),Settings!$B$17&gt;0),IF(ISNUMBER(INDEX($P:$P,Settings!$B$17)),P435-INDEX($P:$P,Settings!$B$17),NA()),NA())</f>
        <v/>
      </c>
      <c r="X435" s="19">
        <f>IF(NOT(ISNUMBER($A435)),NA(),IF(OR($A435&lt;MIN(DKW_10Y!$A$2:$A$2918),$A435&gt;MAX(DKW_10Y!$A$2:$A$2918),Settings!$B$16&lt;MIN(DKW_10Y!$A$2:$A$2918)),NA(),(INDEX(DKW_10Y!$B$2:$B$2918,MATCH($A435,DKW_10Y!$A$2:$A$2918,1))-INDEX(DKW_10Y!$B$2:$B$2918,MATCH(Settings!$B$16,DKW_10Y!$A$2:$A$2918,1)))*100))</f>
        <v/>
      </c>
      <c r="Y435" s="19">
        <f>IF(NOT(ISNUMBER($A435)),NA(),IF(OR($A435&lt;MIN(DKW_10Y!$A$2:$A$2918),$A435&gt;MAX(DKW_10Y!$A$2:$A$2918),Settings!$B$16&lt;MIN(DKW_10Y!$A$2:$A$2918)),NA(),(INDEX(DKW_10Y!$C$2:$C$2918,MATCH($A435,DKW_10Y!$A$2:$A$2918,1))-INDEX(DKW_10Y!$C$2:$C$2918,MATCH(Settings!$B$16,DKW_10Y!$A$2:$A$2918,1)))*100))</f>
        <v/>
      </c>
      <c r="Z435" s="19">
        <f>IF(NOT(ISNUMBER($A435)),NA(),IF(OR($A435&lt;MIN(DKW_10Y!$A$2:$A$2918),$A435&gt;MAX(DKW_10Y!$A$2:$A$2918),Settings!$B$16&lt;MIN(DKW_10Y!$A$2:$A$2918)),NA(),(INDEX(DKW_10Y!$D$2:$D$2918,MATCH($A435,DKW_10Y!$A$2:$A$2918,1))-INDEX(DKW_10Y!$D$2:$D$2918,MATCH(Settings!$B$16,DKW_10Y!$A$2:$A$2918,1)))*100))</f>
        <v/>
      </c>
      <c r="AA435" s="19">
        <f>IF(NOT(ISNUMBER($A435)),NA(),IF(OR($A435&lt;MIN(DKW_10Y!$A$2:$A$2918),$A435&gt;MAX(DKW_10Y!$A$2:$A$2918),Settings!$B$16&lt;MIN(DKW_10Y!$A$2:$A$2918)),NA(),(INDEX(DKW_10Y!$E$2:$E$2918,MATCH($A435,DKW_10Y!$A$2:$A$2918,1))-INDEX(DKW_10Y!$E$2:$E$2918,MATCH(Settings!$B$16,DKW_10Y!$A$2:$A$2918,1)))*100))</f>
        <v/>
      </c>
      <c r="AB435" s="19">
        <f>IF(NOT(ISNUMBER($A435)),NA(),IF(OR($A435&lt;MIN(DKW_10Y!$A$2:$A$2918),$A435&gt;MAX(DKW_10Y!$A$2:$A$2918),Settings!$B$16&lt;MIN(DKW_10Y!$A$2:$A$2918)),NA(),(INDEX(DKW_10Y!$H$2:$H$2918,MATCH($A435,DKW_10Y!$A$2:$A$2918,1))-INDEX(DKW_10Y!$H$2:$H$2918,MATCH(Settings!$B$16,DKW_10Y!$A$2:$A$2918,1)))*100))</f>
        <v/>
      </c>
      <c r="AC435" s="18">
        <f>IF(NOT(ISNUMBER($A435)),NA(),IFERROR(1*INDEX(BBG_Data!$N$2:$N$4000,MATCH($A435,BBG_Data!$M$2:$M$4000,0)),NA()))</f>
        <v/>
      </c>
      <c r="AD435" s="18">
        <f>IF(NOT(ISNUMBER($A435)),NA(),IFERROR(1*INDEX(BBG_Data!$P$2:$P$4000,MATCH($A435,BBG_Data!$O$2:$O$4000,0)),NA()))</f>
        <v/>
      </c>
      <c r="AE435" s="18">
        <f>IF(NOT(ISNUMBER($A435)),NA(),IFERROR(1*INDEX(BBG_Data!$R$2:$R$4000,MATCH($A435,BBG_Data!$Q$2:$Q$4000,0)),NA()))</f>
        <v/>
      </c>
      <c r="AF435" s="20">
        <f>IF(AND(ISNUMBER(B435),ISNUMBER(AC435)),(B435-AC435)*100,NA())</f>
        <v/>
      </c>
      <c r="AG435" s="20">
        <f>IF(AND(ISNUMBER(AE435),ISNUMBER(AD435)),(AE435-AD435)*100,NA())</f>
        <v/>
      </c>
      <c r="AH435" s="19">
        <f>IF(NOT(ISNUMBER($A435)),NA(),IFERROR(INDEX(BBG_Data!$T$2:$T$4000,MATCH($A435,BBG_Data!$S$2:$S$4000,0))*Settings!$B$25,NA()))</f>
        <v/>
      </c>
      <c r="AI435" s="19">
        <f>IF(NOT(ISNUMBER($A435)),NA(),IFERROR(INDEX(BBG_Data!$V$2:$V$4000,MATCH($A435,BBG_Data!$U$2:$U$4000,0))*Settings!$B$25,NA()))</f>
        <v/>
      </c>
      <c r="AJ435" s="19">
        <f>IF(NOT(ISNUMBER($A435)),NA(),IFERROR(1*INDEX(BBG_Data!$X$2:$X$4000,MATCH($A435,BBG_Data!$W$2:$W$4000,0)),NA()))</f>
        <v/>
      </c>
      <c r="AK435" s="19">
        <f>IF(NOT(ISNUMBER($A435)),NA(),IFERROR(1*INDEX(BBG_Data!$Z$2:$Z$4000,MATCH($A435,BBG_Data!$Y$2:$Y$4000,0)),NA()))</f>
        <v/>
      </c>
    </row>
    <row r="436">
      <c r="A436" s="17">
        <f>IF(ISNUMBER(BBG_Data!A436),BBG_Data!A436,"")</f>
        <v/>
      </c>
      <c r="B436" s="18">
        <f>IF(AND(ISNUMBER($A436),ISNUMBER(BBG_Data!B436)),BBG_Data!B436,NA())</f>
        <v/>
      </c>
      <c r="C436" s="18">
        <f>IF(NOT(ISNUMBER($A436)),NA(),IFERROR(1*INDEX(BBG_Data!$D$2:$D$4000,MATCH($A436,BBG_Data!$C$2:$C$4000,0)),NA()))</f>
        <v/>
      </c>
      <c r="D436" s="19">
        <f>IF(NOT(ISNUMBER($A436)),NA(),IFERROR(1*INDEX(BBG_Data!$F$2:$F$4000,MATCH($A436,BBG_Data!$E$2:$E$4000,0)),NA()))</f>
        <v/>
      </c>
      <c r="E436" s="19">
        <f>IF(NOT(ISNUMBER($A436)),NA(),IFERROR(1*INDEX(BBG_Data!$H$2:$H$4000,MATCH($A436,BBG_Data!$G$2:$G$4000,0)),NA()))</f>
        <v/>
      </c>
      <c r="F436" s="20">
        <f>IF(AND(ISNUMBER(B436),ISNUMBER(B435)),IF(B436=B435,"",(B436-B435)*100),"")</f>
        <v/>
      </c>
      <c r="G436" s="20">
        <f>IF(AND(ISNUMBER(C436),ISNUMBER(C435)),IF(C436=C435,"",(C436-C435)*100),"")</f>
        <v/>
      </c>
      <c r="H436" s="20">
        <f>IF(OR(NOT(ISNUMBER($A436)),ROW()-2&lt;Settings!$B$11),NA(),IF(COUNT(OFFSET(F436,1-Settings!$B$11,0,Settings!$B$11,1))&lt;ROUNDUP(Settings!$B$11*Settings!$B$26,0),NA(),STDEV(OFFSET(F436,1-Settings!$B$11,0,Settings!$B$11,1))*SQRT(Settings!$B$13)))</f>
        <v/>
      </c>
      <c r="I436" s="20">
        <f>IF(OR(NOT(ISNUMBER($A436)),ROW()-2&lt;Settings!$B$12),NA(),IF(COUNT(OFFSET(F436,1-Settings!$B$12,0,Settings!$B$12,1))&lt;ROUNDUP(Settings!$B$12*Settings!$B$26,0),NA(),STDEV(OFFSET(F436,1-Settings!$B$12,0,Settings!$B$12,1))*SQRT(Settings!$B$13)))</f>
        <v/>
      </c>
      <c r="J436" s="20">
        <f>IF(OR(NOT(ISNUMBER($A436)),ROW()-2&lt;Settings!$B$11),NA(),IF(COUNT(OFFSET(G436,1-Settings!$B$11,0,Settings!$B$11,1))&lt;ROUNDUP(Settings!$B$11*Settings!$B$26,0),NA(),STDEV(OFFSET(G436,1-Settings!$B$11,0,Settings!$B$11,1))*SQRT(Settings!$B$13)))</f>
        <v/>
      </c>
      <c r="K436" s="20">
        <f>IF(OR(NOT(ISNUMBER($A436)),ROW()-2&lt;Settings!$B$12),NA(),IF(COUNT(OFFSET(G436,1-Settings!$B$12,0,Settings!$B$12,1))&lt;ROUNDUP(Settings!$B$12*Settings!$B$26,0),NA(),STDEV(OFFSET(G436,1-Settings!$B$12,0,Settings!$B$12,1))*SQRT(Settings!$B$13)))</f>
        <v/>
      </c>
      <c r="L436" s="20">
        <f>IF(AND(ISNUMBER(D436),ISNUMBER(H436)),D436-H436,NA())</f>
        <v/>
      </c>
      <c r="M436" s="20">
        <f>IF(AND(ISNUMBER(E436),ISNUMBER(K436)),E436-K436,NA())</f>
        <v/>
      </c>
      <c r="N436" s="20">
        <f>IF(NOT(ISNUMBER($A436)),NA(),IF(COUNT(OFFSET(G436,1,0,Settings!$B$12,1))&lt;ROUNDUP(Settings!$B$12*Settings!$B$26,0),NA(),STDEV(OFFSET(G436,1,0,Settings!$B$12,1))*SQRT(Settings!$B$13)))</f>
        <v/>
      </c>
      <c r="O436" s="20">
        <f>IF(AND(ISNUMBER(E436),ISNUMBER(N436)),E436-N436,NA())</f>
        <v/>
      </c>
      <c r="P436" s="19">
        <f>IF(NOT(ISNUMBER($A436)),NA(),IF(OR($A436&lt;MIN(KW_TP!$A$2:$A$2501),$A436&gt;MAX(KW_TP!$A$2:$A$2501)),NA(),INDEX(KW_TP!$C$2:$C$2501,MATCH($A436,KW_TP!$A$2:$A$2501,1))))</f>
        <v/>
      </c>
      <c r="Q436" s="18">
        <f>IF(NOT(ISNUMBER($A436)),NA(),IFERROR(1*INDEX(BBG_Data!$J$2:$J$4000,MATCH($A436,BBG_Data!$I$2:$I$4000,0)),NA()))</f>
        <v/>
      </c>
      <c r="R436" s="18">
        <f>IF(NOT(ISNUMBER($A436)),NA(),IFERROR(1*INDEX(BBG_Data!$L$2:$L$4000,MATCH($A436,BBG_Data!$K$2:$K$4000,0)),NA()))</f>
        <v/>
      </c>
      <c r="S436" s="20">
        <f>IF(AND(ISNUMBER(B436),ISNUMBER(Q436),ISNUMBER(R436)),(B436-Q436-R436)*100,NA())</f>
        <v/>
      </c>
      <c r="T436" s="20">
        <f>IF(AND(ISNUMBER(B436),Settings!$B$17&gt;0),IF(ISNUMBER(INDEX($B:$B,Settings!$B$17)),(B436-INDEX($B:$B,Settings!$B$17))*100,NA()),NA())</f>
        <v/>
      </c>
      <c r="U436" s="20">
        <f>IF(AND(ISNUMBER(Q436),Settings!$B$17&gt;0),IF(ISNUMBER(INDEX($Q:$Q,Settings!$B$17)),(Q436-INDEX($Q:$Q,Settings!$B$17))*100,NA()),NA())</f>
        <v/>
      </c>
      <c r="V436" s="20">
        <f>IF(AND(ISNUMBER(R436),Settings!$B$17&gt;0),IF(ISNUMBER(INDEX($R:$R,Settings!$B$17)),(R436-INDEX($R:$R,Settings!$B$17))*100,NA()),NA())</f>
        <v/>
      </c>
      <c r="W436" s="20">
        <f>IF(AND(ISNUMBER(P436),Settings!$B$17&gt;0),IF(ISNUMBER(INDEX($P:$P,Settings!$B$17)),P436-INDEX($P:$P,Settings!$B$17),NA()),NA())</f>
        <v/>
      </c>
      <c r="X436" s="19">
        <f>IF(NOT(ISNUMBER($A436)),NA(),IF(OR($A436&lt;MIN(DKW_10Y!$A$2:$A$2918),$A436&gt;MAX(DKW_10Y!$A$2:$A$2918),Settings!$B$16&lt;MIN(DKW_10Y!$A$2:$A$2918)),NA(),(INDEX(DKW_10Y!$B$2:$B$2918,MATCH($A436,DKW_10Y!$A$2:$A$2918,1))-INDEX(DKW_10Y!$B$2:$B$2918,MATCH(Settings!$B$16,DKW_10Y!$A$2:$A$2918,1)))*100))</f>
        <v/>
      </c>
      <c r="Y436" s="19">
        <f>IF(NOT(ISNUMBER($A436)),NA(),IF(OR($A436&lt;MIN(DKW_10Y!$A$2:$A$2918),$A436&gt;MAX(DKW_10Y!$A$2:$A$2918),Settings!$B$16&lt;MIN(DKW_10Y!$A$2:$A$2918)),NA(),(INDEX(DKW_10Y!$C$2:$C$2918,MATCH($A436,DKW_10Y!$A$2:$A$2918,1))-INDEX(DKW_10Y!$C$2:$C$2918,MATCH(Settings!$B$16,DKW_10Y!$A$2:$A$2918,1)))*100))</f>
        <v/>
      </c>
      <c r="Z436" s="19">
        <f>IF(NOT(ISNUMBER($A436)),NA(),IF(OR($A436&lt;MIN(DKW_10Y!$A$2:$A$2918),$A436&gt;MAX(DKW_10Y!$A$2:$A$2918),Settings!$B$16&lt;MIN(DKW_10Y!$A$2:$A$2918)),NA(),(INDEX(DKW_10Y!$D$2:$D$2918,MATCH($A436,DKW_10Y!$A$2:$A$2918,1))-INDEX(DKW_10Y!$D$2:$D$2918,MATCH(Settings!$B$16,DKW_10Y!$A$2:$A$2918,1)))*100))</f>
        <v/>
      </c>
      <c r="AA436" s="19">
        <f>IF(NOT(ISNUMBER($A436)),NA(),IF(OR($A436&lt;MIN(DKW_10Y!$A$2:$A$2918),$A436&gt;MAX(DKW_10Y!$A$2:$A$2918),Settings!$B$16&lt;MIN(DKW_10Y!$A$2:$A$2918)),NA(),(INDEX(DKW_10Y!$E$2:$E$2918,MATCH($A436,DKW_10Y!$A$2:$A$2918,1))-INDEX(DKW_10Y!$E$2:$E$2918,MATCH(Settings!$B$16,DKW_10Y!$A$2:$A$2918,1)))*100))</f>
        <v/>
      </c>
      <c r="AB436" s="19">
        <f>IF(NOT(ISNUMBER($A436)),NA(),IF(OR($A436&lt;MIN(DKW_10Y!$A$2:$A$2918),$A436&gt;MAX(DKW_10Y!$A$2:$A$2918),Settings!$B$16&lt;MIN(DKW_10Y!$A$2:$A$2918)),NA(),(INDEX(DKW_10Y!$H$2:$H$2918,MATCH($A436,DKW_10Y!$A$2:$A$2918,1))-INDEX(DKW_10Y!$H$2:$H$2918,MATCH(Settings!$B$16,DKW_10Y!$A$2:$A$2918,1)))*100))</f>
        <v/>
      </c>
      <c r="AC436" s="18">
        <f>IF(NOT(ISNUMBER($A436)),NA(),IFERROR(1*INDEX(BBG_Data!$N$2:$N$4000,MATCH($A436,BBG_Data!$M$2:$M$4000,0)),NA()))</f>
        <v/>
      </c>
      <c r="AD436" s="18">
        <f>IF(NOT(ISNUMBER($A436)),NA(),IFERROR(1*INDEX(BBG_Data!$P$2:$P$4000,MATCH($A436,BBG_Data!$O$2:$O$4000,0)),NA()))</f>
        <v/>
      </c>
      <c r="AE436" s="18">
        <f>IF(NOT(ISNUMBER($A436)),NA(),IFERROR(1*INDEX(BBG_Data!$R$2:$R$4000,MATCH($A436,BBG_Data!$Q$2:$Q$4000,0)),NA()))</f>
        <v/>
      </c>
      <c r="AF436" s="20">
        <f>IF(AND(ISNUMBER(B436),ISNUMBER(AC436)),(B436-AC436)*100,NA())</f>
        <v/>
      </c>
      <c r="AG436" s="20">
        <f>IF(AND(ISNUMBER(AE436),ISNUMBER(AD436)),(AE436-AD436)*100,NA())</f>
        <v/>
      </c>
      <c r="AH436" s="19">
        <f>IF(NOT(ISNUMBER($A436)),NA(),IFERROR(INDEX(BBG_Data!$T$2:$T$4000,MATCH($A436,BBG_Data!$S$2:$S$4000,0))*Settings!$B$25,NA()))</f>
        <v/>
      </c>
      <c r="AI436" s="19">
        <f>IF(NOT(ISNUMBER($A436)),NA(),IFERROR(INDEX(BBG_Data!$V$2:$V$4000,MATCH($A436,BBG_Data!$U$2:$U$4000,0))*Settings!$B$25,NA()))</f>
        <v/>
      </c>
      <c r="AJ436" s="19">
        <f>IF(NOT(ISNUMBER($A436)),NA(),IFERROR(1*INDEX(BBG_Data!$X$2:$X$4000,MATCH($A436,BBG_Data!$W$2:$W$4000,0)),NA()))</f>
        <v/>
      </c>
      <c r="AK436" s="19">
        <f>IF(NOT(ISNUMBER($A436)),NA(),IFERROR(1*INDEX(BBG_Data!$Z$2:$Z$4000,MATCH($A436,BBG_Data!$Y$2:$Y$4000,0)),NA()))</f>
        <v/>
      </c>
    </row>
    <row r="437">
      <c r="A437" s="17">
        <f>IF(ISNUMBER(BBG_Data!A437),BBG_Data!A437,"")</f>
        <v/>
      </c>
      <c r="B437" s="18">
        <f>IF(AND(ISNUMBER($A437),ISNUMBER(BBG_Data!B437)),BBG_Data!B437,NA())</f>
        <v/>
      </c>
      <c r="C437" s="18">
        <f>IF(NOT(ISNUMBER($A437)),NA(),IFERROR(1*INDEX(BBG_Data!$D$2:$D$4000,MATCH($A437,BBG_Data!$C$2:$C$4000,0)),NA()))</f>
        <v/>
      </c>
      <c r="D437" s="19">
        <f>IF(NOT(ISNUMBER($A437)),NA(),IFERROR(1*INDEX(BBG_Data!$F$2:$F$4000,MATCH($A437,BBG_Data!$E$2:$E$4000,0)),NA()))</f>
        <v/>
      </c>
      <c r="E437" s="19">
        <f>IF(NOT(ISNUMBER($A437)),NA(),IFERROR(1*INDEX(BBG_Data!$H$2:$H$4000,MATCH($A437,BBG_Data!$G$2:$G$4000,0)),NA()))</f>
        <v/>
      </c>
      <c r="F437" s="20">
        <f>IF(AND(ISNUMBER(B437),ISNUMBER(B436)),IF(B437=B436,"",(B437-B436)*100),"")</f>
        <v/>
      </c>
      <c r="G437" s="20">
        <f>IF(AND(ISNUMBER(C437),ISNUMBER(C436)),IF(C437=C436,"",(C437-C436)*100),"")</f>
        <v/>
      </c>
      <c r="H437" s="20">
        <f>IF(OR(NOT(ISNUMBER($A437)),ROW()-2&lt;Settings!$B$11),NA(),IF(COUNT(OFFSET(F437,1-Settings!$B$11,0,Settings!$B$11,1))&lt;ROUNDUP(Settings!$B$11*Settings!$B$26,0),NA(),STDEV(OFFSET(F437,1-Settings!$B$11,0,Settings!$B$11,1))*SQRT(Settings!$B$13)))</f>
        <v/>
      </c>
      <c r="I437" s="20">
        <f>IF(OR(NOT(ISNUMBER($A437)),ROW()-2&lt;Settings!$B$12),NA(),IF(COUNT(OFFSET(F437,1-Settings!$B$12,0,Settings!$B$12,1))&lt;ROUNDUP(Settings!$B$12*Settings!$B$26,0),NA(),STDEV(OFFSET(F437,1-Settings!$B$12,0,Settings!$B$12,1))*SQRT(Settings!$B$13)))</f>
        <v/>
      </c>
      <c r="J437" s="20">
        <f>IF(OR(NOT(ISNUMBER($A437)),ROW()-2&lt;Settings!$B$11),NA(),IF(COUNT(OFFSET(G437,1-Settings!$B$11,0,Settings!$B$11,1))&lt;ROUNDUP(Settings!$B$11*Settings!$B$26,0),NA(),STDEV(OFFSET(G437,1-Settings!$B$11,0,Settings!$B$11,1))*SQRT(Settings!$B$13)))</f>
        <v/>
      </c>
      <c r="K437" s="20">
        <f>IF(OR(NOT(ISNUMBER($A437)),ROW()-2&lt;Settings!$B$12),NA(),IF(COUNT(OFFSET(G437,1-Settings!$B$12,0,Settings!$B$12,1))&lt;ROUNDUP(Settings!$B$12*Settings!$B$26,0),NA(),STDEV(OFFSET(G437,1-Settings!$B$12,0,Settings!$B$12,1))*SQRT(Settings!$B$13)))</f>
        <v/>
      </c>
      <c r="L437" s="20">
        <f>IF(AND(ISNUMBER(D437),ISNUMBER(H437)),D437-H437,NA())</f>
        <v/>
      </c>
      <c r="M437" s="20">
        <f>IF(AND(ISNUMBER(E437),ISNUMBER(K437)),E437-K437,NA())</f>
        <v/>
      </c>
      <c r="N437" s="20">
        <f>IF(NOT(ISNUMBER($A437)),NA(),IF(COUNT(OFFSET(G437,1,0,Settings!$B$12,1))&lt;ROUNDUP(Settings!$B$12*Settings!$B$26,0),NA(),STDEV(OFFSET(G437,1,0,Settings!$B$12,1))*SQRT(Settings!$B$13)))</f>
        <v/>
      </c>
      <c r="O437" s="20">
        <f>IF(AND(ISNUMBER(E437),ISNUMBER(N437)),E437-N437,NA())</f>
        <v/>
      </c>
      <c r="P437" s="19">
        <f>IF(NOT(ISNUMBER($A437)),NA(),IF(OR($A437&lt;MIN(KW_TP!$A$2:$A$2501),$A437&gt;MAX(KW_TP!$A$2:$A$2501)),NA(),INDEX(KW_TP!$C$2:$C$2501,MATCH($A437,KW_TP!$A$2:$A$2501,1))))</f>
        <v/>
      </c>
      <c r="Q437" s="18">
        <f>IF(NOT(ISNUMBER($A437)),NA(),IFERROR(1*INDEX(BBG_Data!$J$2:$J$4000,MATCH($A437,BBG_Data!$I$2:$I$4000,0)),NA()))</f>
        <v/>
      </c>
      <c r="R437" s="18">
        <f>IF(NOT(ISNUMBER($A437)),NA(),IFERROR(1*INDEX(BBG_Data!$L$2:$L$4000,MATCH($A437,BBG_Data!$K$2:$K$4000,0)),NA()))</f>
        <v/>
      </c>
      <c r="S437" s="20">
        <f>IF(AND(ISNUMBER(B437),ISNUMBER(Q437),ISNUMBER(R437)),(B437-Q437-R437)*100,NA())</f>
        <v/>
      </c>
      <c r="T437" s="20">
        <f>IF(AND(ISNUMBER(B437),Settings!$B$17&gt;0),IF(ISNUMBER(INDEX($B:$B,Settings!$B$17)),(B437-INDEX($B:$B,Settings!$B$17))*100,NA()),NA())</f>
        <v/>
      </c>
      <c r="U437" s="20">
        <f>IF(AND(ISNUMBER(Q437),Settings!$B$17&gt;0),IF(ISNUMBER(INDEX($Q:$Q,Settings!$B$17)),(Q437-INDEX($Q:$Q,Settings!$B$17))*100,NA()),NA())</f>
        <v/>
      </c>
      <c r="V437" s="20">
        <f>IF(AND(ISNUMBER(R437),Settings!$B$17&gt;0),IF(ISNUMBER(INDEX($R:$R,Settings!$B$17)),(R437-INDEX($R:$R,Settings!$B$17))*100,NA()),NA())</f>
        <v/>
      </c>
      <c r="W437" s="20">
        <f>IF(AND(ISNUMBER(P437),Settings!$B$17&gt;0),IF(ISNUMBER(INDEX($P:$P,Settings!$B$17)),P437-INDEX($P:$P,Settings!$B$17),NA()),NA())</f>
        <v/>
      </c>
      <c r="X437" s="19">
        <f>IF(NOT(ISNUMBER($A437)),NA(),IF(OR($A437&lt;MIN(DKW_10Y!$A$2:$A$2918),$A437&gt;MAX(DKW_10Y!$A$2:$A$2918),Settings!$B$16&lt;MIN(DKW_10Y!$A$2:$A$2918)),NA(),(INDEX(DKW_10Y!$B$2:$B$2918,MATCH($A437,DKW_10Y!$A$2:$A$2918,1))-INDEX(DKW_10Y!$B$2:$B$2918,MATCH(Settings!$B$16,DKW_10Y!$A$2:$A$2918,1)))*100))</f>
        <v/>
      </c>
      <c r="Y437" s="19">
        <f>IF(NOT(ISNUMBER($A437)),NA(),IF(OR($A437&lt;MIN(DKW_10Y!$A$2:$A$2918),$A437&gt;MAX(DKW_10Y!$A$2:$A$2918),Settings!$B$16&lt;MIN(DKW_10Y!$A$2:$A$2918)),NA(),(INDEX(DKW_10Y!$C$2:$C$2918,MATCH($A437,DKW_10Y!$A$2:$A$2918,1))-INDEX(DKW_10Y!$C$2:$C$2918,MATCH(Settings!$B$16,DKW_10Y!$A$2:$A$2918,1)))*100))</f>
        <v/>
      </c>
      <c r="Z437" s="19">
        <f>IF(NOT(ISNUMBER($A437)),NA(),IF(OR($A437&lt;MIN(DKW_10Y!$A$2:$A$2918),$A437&gt;MAX(DKW_10Y!$A$2:$A$2918),Settings!$B$16&lt;MIN(DKW_10Y!$A$2:$A$2918)),NA(),(INDEX(DKW_10Y!$D$2:$D$2918,MATCH($A437,DKW_10Y!$A$2:$A$2918,1))-INDEX(DKW_10Y!$D$2:$D$2918,MATCH(Settings!$B$16,DKW_10Y!$A$2:$A$2918,1)))*100))</f>
        <v/>
      </c>
      <c r="AA437" s="19">
        <f>IF(NOT(ISNUMBER($A437)),NA(),IF(OR($A437&lt;MIN(DKW_10Y!$A$2:$A$2918),$A437&gt;MAX(DKW_10Y!$A$2:$A$2918),Settings!$B$16&lt;MIN(DKW_10Y!$A$2:$A$2918)),NA(),(INDEX(DKW_10Y!$E$2:$E$2918,MATCH($A437,DKW_10Y!$A$2:$A$2918,1))-INDEX(DKW_10Y!$E$2:$E$2918,MATCH(Settings!$B$16,DKW_10Y!$A$2:$A$2918,1)))*100))</f>
        <v/>
      </c>
      <c r="AB437" s="19">
        <f>IF(NOT(ISNUMBER($A437)),NA(),IF(OR($A437&lt;MIN(DKW_10Y!$A$2:$A$2918),$A437&gt;MAX(DKW_10Y!$A$2:$A$2918),Settings!$B$16&lt;MIN(DKW_10Y!$A$2:$A$2918)),NA(),(INDEX(DKW_10Y!$H$2:$H$2918,MATCH($A437,DKW_10Y!$A$2:$A$2918,1))-INDEX(DKW_10Y!$H$2:$H$2918,MATCH(Settings!$B$16,DKW_10Y!$A$2:$A$2918,1)))*100))</f>
        <v/>
      </c>
      <c r="AC437" s="18">
        <f>IF(NOT(ISNUMBER($A437)),NA(),IFERROR(1*INDEX(BBG_Data!$N$2:$N$4000,MATCH($A437,BBG_Data!$M$2:$M$4000,0)),NA()))</f>
        <v/>
      </c>
      <c r="AD437" s="18">
        <f>IF(NOT(ISNUMBER($A437)),NA(),IFERROR(1*INDEX(BBG_Data!$P$2:$P$4000,MATCH($A437,BBG_Data!$O$2:$O$4000,0)),NA()))</f>
        <v/>
      </c>
      <c r="AE437" s="18">
        <f>IF(NOT(ISNUMBER($A437)),NA(),IFERROR(1*INDEX(BBG_Data!$R$2:$R$4000,MATCH($A437,BBG_Data!$Q$2:$Q$4000,0)),NA()))</f>
        <v/>
      </c>
      <c r="AF437" s="20">
        <f>IF(AND(ISNUMBER(B437),ISNUMBER(AC437)),(B437-AC437)*100,NA())</f>
        <v/>
      </c>
      <c r="AG437" s="20">
        <f>IF(AND(ISNUMBER(AE437),ISNUMBER(AD437)),(AE437-AD437)*100,NA())</f>
        <v/>
      </c>
      <c r="AH437" s="19">
        <f>IF(NOT(ISNUMBER($A437)),NA(),IFERROR(INDEX(BBG_Data!$T$2:$T$4000,MATCH($A437,BBG_Data!$S$2:$S$4000,0))*Settings!$B$25,NA()))</f>
        <v/>
      </c>
      <c r="AI437" s="19">
        <f>IF(NOT(ISNUMBER($A437)),NA(),IFERROR(INDEX(BBG_Data!$V$2:$V$4000,MATCH($A437,BBG_Data!$U$2:$U$4000,0))*Settings!$B$25,NA()))</f>
        <v/>
      </c>
      <c r="AJ437" s="19">
        <f>IF(NOT(ISNUMBER($A437)),NA(),IFERROR(1*INDEX(BBG_Data!$X$2:$X$4000,MATCH($A437,BBG_Data!$W$2:$W$4000,0)),NA()))</f>
        <v/>
      </c>
      <c r="AK437" s="19">
        <f>IF(NOT(ISNUMBER($A437)),NA(),IFERROR(1*INDEX(BBG_Data!$Z$2:$Z$4000,MATCH($A437,BBG_Data!$Y$2:$Y$4000,0)),NA()))</f>
        <v/>
      </c>
    </row>
    <row r="438">
      <c r="A438" s="17">
        <f>IF(ISNUMBER(BBG_Data!A438),BBG_Data!A438,"")</f>
        <v/>
      </c>
      <c r="B438" s="18">
        <f>IF(AND(ISNUMBER($A438),ISNUMBER(BBG_Data!B438)),BBG_Data!B438,NA())</f>
        <v/>
      </c>
      <c r="C438" s="18">
        <f>IF(NOT(ISNUMBER($A438)),NA(),IFERROR(1*INDEX(BBG_Data!$D$2:$D$4000,MATCH($A438,BBG_Data!$C$2:$C$4000,0)),NA()))</f>
        <v/>
      </c>
      <c r="D438" s="19">
        <f>IF(NOT(ISNUMBER($A438)),NA(),IFERROR(1*INDEX(BBG_Data!$F$2:$F$4000,MATCH($A438,BBG_Data!$E$2:$E$4000,0)),NA()))</f>
        <v/>
      </c>
      <c r="E438" s="19">
        <f>IF(NOT(ISNUMBER($A438)),NA(),IFERROR(1*INDEX(BBG_Data!$H$2:$H$4000,MATCH($A438,BBG_Data!$G$2:$G$4000,0)),NA()))</f>
        <v/>
      </c>
      <c r="F438" s="20">
        <f>IF(AND(ISNUMBER(B438),ISNUMBER(B437)),IF(B438=B437,"",(B438-B437)*100),"")</f>
        <v/>
      </c>
      <c r="G438" s="20">
        <f>IF(AND(ISNUMBER(C438),ISNUMBER(C437)),IF(C438=C437,"",(C438-C437)*100),"")</f>
        <v/>
      </c>
      <c r="H438" s="20">
        <f>IF(OR(NOT(ISNUMBER($A438)),ROW()-2&lt;Settings!$B$11),NA(),IF(COUNT(OFFSET(F438,1-Settings!$B$11,0,Settings!$B$11,1))&lt;ROUNDUP(Settings!$B$11*Settings!$B$26,0),NA(),STDEV(OFFSET(F438,1-Settings!$B$11,0,Settings!$B$11,1))*SQRT(Settings!$B$13)))</f>
        <v/>
      </c>
      <c r="I438" s="20">
        <f>IF(OR(NOT(ISNUMBER($A438)),ROW()-2&lt;Settings!$B$12),NA(),IF(COUNT(OFFSET(F438,1-Settings!$B$12,0,Settings!$B$12,1))&lt;ROUNDUP(Settings!$B$12*Settings!$B$26,0),NA(),STDEV(OFFSET(F438,1-Settings!$B$12,0,Settings!$B$12,1))*SQRT(Settings!$B$13)))</f>
        <v/>
      </c>
      <c r="J438" s="20">
        <f>IF(OR(NOT(ISNUMBER($A438)),ROW()-2&lt;Settings!$B$11),NA(),IF(COUNT(OFFSET(G438,1-Settings!$B$11,0,Settings!$B$11,1))&lt;ROUNDUP(Settings!$B$11*Settings!$B$26,0),NA(),STDEV(OFFSET(G438,1-Settings!$B$11,0,Settings!$B$11,1))*SQRT(Settings!$B$13)))</f>
        <v/>
      </c>
      <c r="K438" s="20">
        <f>IF(OR(NOT(ISNUMBER($A438)),ROW()-2&lt;Settings!$B$12),NA(),IF(COUNT(OFFSET(G438,1-Settings!$B$12,0,Settings!$B$12,1))&lt;ROUNDUP(Settings!$B$12*Settings!$B$26,0),NA(),STDEV(OFFSET(G438,1-Settings!$B$12,0,Settings!$B$12,1))*SQRT(Settings!$B$13)))</f>
        <v/>
      </c>
      <c r="L438" s="20">
        <f>IF(AND(ISNUMBER(D438),ISNUMBER(H438)),D438-H438,NA())</f>
        <v/>
      </c>
      <c r="M438" s="20">
        <f>IF(AND(ISNUMBER(E438),ISNUMBER(K438)),E438-K438,NA())</f>
        <v/>
      </c>
      <c r="N438" s="20">
        <f>IF(NOT(ISNUMBER($A438)),NA(),IF(COUNT(OFFSET(G438,1,0,Settings!$B$12,1))&lt;ROUNDUP(Settings!$B$12*Settings!$B$26,0),NA(),STDEV(OFFSET(G438,1,0,Settings!$B$12,1))*SQRT(Settings!$B$13)))</f>
        <v/>
      </c>
      <c r="O438" s="20">
        <f>IF(AND(ISNUMBER(E438),ISNUMBER(N438)),E438-N438,NA())</f>
        <v/>
      </c>
      <c r="P438" s="19">
        <f>IF(NOT(ISNUMBER($A438)),NA(),IF(OR($A438&lt;MIN(KW_TP!$A$2:$A$2501),$A438&gt;MAX(KW_TP!$A$2:$A$2501)),NA(),INDEX(KW_TP!$C$2:$C$2501,MATCH($A438,KW_TP!$A$2:$A$2501,1))))</f>
        <v/>
      </c>
      <c r="Q438" s="18">
        <f>IF(NOT(ISNUMBER($A438)),NA(),IFERROR(1*INDEX(BBG_Data!$J$2:$J$4000,MATCH($A438,BBG_Data!$I$2:$I$4000,0)),NA()))</f>
        <v/>
      </c>
      <c r="R438" s="18">
        <f>IF(NOT(ISNUMBER($A438)),NA(),IFERROR(1*INDEX(BBG_Data!$L$2:$L$4000,MATCH($A438,BBG_Data!$K$2:$K$4000,0)),NA()))</f>
        <v/>
      </c>
      <c r="S438" s="20">
        <f>IF(AND(ISNUMBER(B438),ISNUMBER(Q438),ISNUMBER(R438)),(B438-Q438-R438)*100,NA())</f>
        <v/>
      </c>
      <c r="T438" s="20">
        <f>IF(AND(ISNUMBER(B438),Settings!$B$17&gt;0),IF(ISNUMBER(INDEX($B:$B,Settings!$B$17)),(B438-INDEX($B:$B,Settings!$B$17))*100,NA()),NA())</f>
        <v/>
      </c>
      <c r="U438" s="20">
        <f>IF(AND(ISNUMBER(Q438),Settings!$B$17&gt;0),IF(ISNUMBER(INDEX($Q:$Q,Settings!$B$17)),(Q438-INDEX($Q:$Q,Settings!$B$17))*100,NA()),NA())</f>
        <v/>
      </c>
      <c r="V438" s="20">
        <f>IF(AND(ISNUMBER(R438),Settings!$B$17&gt;0),IF(ISNUMBER(INDEX($R:$R,Settings!$B$17)),(R438-INDEX($R:$R,Settings!$B$17))*100,NA()),NA())</f>
        <v/>
      </c>
      <c r="W438" s="20">
        <f>IF(AND(ISNUMBER(P438),Settings!$B$17&gt;0),IF(ISNUMBER(INDEX($P:$P,Settings!$B$17)),P438-INDEX($P:$P,Settings!$B$17),NA()),NA())</f>
        <v/>
      </c>
      <c r="X438" s="19">
        <f>IF(NOT(ISNUMBER($A438)),NA(),IF(OR($A438&lt;MIN(DKW_10Y!$A$2:$A$2918),$A438&gt;MAX(DKW_10Y!$A$2:$A$2918),Settings!$B$16&lt;MIN(DKW_10Y!$A$2:$A$2918)),NA(),(INDEX(DKW_10Y!$B$2:$B$2918,MATCH($A438,DKW_10Y!$A$2:$A$2918,1))-INDEX(DKW_10Y!$B$2:$B$2918,MATCH(Settings!$B$16,DKW_10Y!$A$2:$A$2918,1)))*100))</f>
        <v/>
      </c>
      <c r="Y438" s="19">
        <f>IF(NOT(ISNUMBER($A438)),NA(),IF(OR($A438&lt;MIN(DKW_10Y!$A$2:$A$2918),$A438&gt;MAX(DKW_10Y!$A$2:$A$2918),Settings!$B$16&lt;MIN(DKW_10Y!$A$2:$A$2918)),NA(),(INDEX(DKW_10Y!$C$2:$C$2918,MATCH($A438,DKW_10Y!$A$2:$A$2918,1))-INDEX(DKW_10Y!$C$2:$C$2918,MATCH(Settings!$B$16,DKW_10Y!$A$2:$A$2918,1)))*100))</f>
        <v/>
      </c>
      <c r="Z438" s="19">
        <f>IF(NOT(ISNUMBER($A438)),NA(),IF(OR($A438&lt;MIN(DKW_10Y!$A$2:$A$2918),$A438&gt;MAX(DKW_10Y!$A$2:$A$2918),Settings!$B$16&lt;MIN(DKW_10Y!$A$2:$A$2918)),NA(),(INDEX(DKW_10Y!$D$2:$D$2918,MATCH($A438,DKW_10Y!$A$2:$A$2918,1))-INDEX(DKW_10Y!$D$2:$D$2918,MATCH(Settings!$B$16,DKW_10Y!$A$2:$A$2918,1)))*100))</f>
        <v/>
      </c>
      <c r="AA438" s="19">
        <f>IF(NOT(ISNUMBER($A438)),NA(),IF(OR($A438&lt;MIN(DKW_10Y!$A$2:$A$2918),$A438&gt;MAX(DKW_10Y!$A$2:$A$2918),Settings!$B$16&lt;MIN(DKW_10Y!$A$2:$A$2918)),NA(),(INDEX(DKW_10Y!$E$2:$E$2918,MATCH($A438,DKW_10Y!$A$2:$A$2918,1))-INDEX(DKW_10Y!$E$2:$E$2918,MATCH(Settings!$B$16,DKW_10Y!$A$2:$A$2918,1)))*100))</f>
        <v/>
      </c>
      <c r="AB438" s="19">
        <f>IF(NOT(ISNUMBER($A438)),NA(),IF(OR($A438&lt;MIN(DKW_10Y!$A$2:$A$2918),$A438&gt;MAX(DKW_10Y!$A$2:$A$2918),Settings!$B$16&lt;MIN(DKW_10Y!$A$2:$A$2918)),NA(),(INDEX(DKW_10Y!$H$2:$H$2918,MATCH($A438,DKW_10Y!$A$2:$A$2918,1))-INDEX(DKW_10Y!$H$2:$H$2918,MATCH(Settings!$B$16,DKW_10Y!$A$2:$A$2918,1)))*100))</f>
        <v/>
      </c>
      <c r="AC438" s="18">
        <f>IF(NOT(ISNUMBER($A438)),NA(),IFERROR(1*INDEX(BBG_Data!$N$2:$N$4000,MATCH($A438,BBG_Data!$M$2:$M$4000,0)),NA()))</f>
        <v/>
      </c>
      <c r="AD438" s="18">
        <f>IF(NOT(ISNUMBER($A438)),NA(),IFERROR(1*INDEX(BBG_Data!$P$2:$P$4000,MATCH($A438,BBG_Data!$O$2:$O$4000,0)),NA()))</f>
        <v/>
      </c>
      <c r="AE438" s="18">
        <f>IF(NOT(ISNUMBER($A438)),NA(),IFERROR(1*INDEX(BBG_Data!$R$2:$R$4000,MATCH($A438,BBG_Data!$Q$2:$Q$4000,0)),NA()))</f>
        <v/>
      </c>
      <c r="AF438" s="20">
        <f>IF(AND(ISNUMBER(B438),ISNUMBER(AC438)),(B438-AC438)*100,NA())</f>
        <v/>
      </c>
      <c r="AG438" s="20">
        <f>IF(AND(ISNUMBER(AE438),ISNUMBER(AD438)),(AE438-AD438)*100,NA())</f>
        <v/>
      </c>
      <c r="AH438" s="19">
        <f>IF(NOT(ISNUMBER($A438)),NA(),IFERROR(INDEX(BBG_Data!$T$2:$T$4000,MATCH($A438,BBG_Data!$S$2:$S$4000,0))*Settings!$B$25,NA()))</f>
        <v/>
      </c>
      <c r="AI438" s="19">
        <f>IF(NOT(ISNUMBER($A438)),NA(),IFERROR(INDEX(BBG_Data!$V$2:$V$4000,MATCH($A438,BBG_Data!$U$2:$U$4000,0))*Settings!$B$25,NA()))</f>
        <v/>
      </c>
      <c r="AJ438" s="19">
        <f>IF(NOT(ISNUMBER($A438)),NA(),IFERROR(1*INDEX(BBG_Data!$X$2:$X$4000,MATCH($A438,BBG_Data!$W$2:$W$4000,0)),NA()))</f>
        <v/>
      </c>
      <c r="AK438" s="19">
        <f>IF(NOT(ISNUMBER($A438)),NA(),IFERROR(1*INDEX(BBG_Data!$Z$2:$Z$4000,MATCH($A438,BBG_Data!$Y$2:$Y$4000,0)),NA()))</f>
        <v/>
      </c>
    </row>
    <row r="439">
      <c r="A439" s="17">
        <f>IF(ISNUMBER(BBG_Data!A439),BBG_Data!A439,"")</f>
        <v/>
      </c>
      <c r="B439" s="18">
        <f>IF(AND(ISNUMBER($A439),ISNUMBER(BBG_Data!B439)),BBG_Data!B439,NA())</f>
        <v/>
      </c>
      <c r="C439" s="18">
        <f>IF(NOT(ISNUMBER($A439)),NA(),IFERROR(1*INDEX(BBG_Data!$D$2:$D$4000,MATCH($A439,BBG_Data!$C$2:$C$4000,0)),NA()))</f>
        <v/>
      </c>
      <c r="D439" s="19">
        <f>IF(NOT(ISNUMBER($A439)),NA(),IFERROR(1*INDEX(BBG_Data!$F$2:$F$4000,MATCH($A439,BBG_Data!$E$2:$E$4000,0)),NA()))</f>
        <v/>
      </c>
      <c r="E439" s="19">
        <f>IF(NOT(ISNUMBER($A439)),NA(),IFERROR(1*INDEX(BBG_Data!$H$2:$H$4000,MATCH($A439,BBG_Data!$G$2:$G$4000,0)),NA()))</f>
        <v/>
      </c>
      <c r="F439" s="20">
        <f>IF(AND(ISNUMBER(B439),ISNUMBER(B438)),IF(B439=B438,"",(B439-B438)*100),"")</f>
        <v/>
      </c>
      <c r="G439" s="20">
        <f>IF(AND(ISNUMBER(C439),ISNUMBER(C438)),IF(C439=C438,"",(C439-C438)*100),"")</f>
        <v/>
      </c>
      <c r="H439" s="20">
        <f>IF(OR(NOT(ISNUMBER($A439)),ROW()-2&lt;Settings!$B$11),NA(),IF(COUNT(OFFSET(F439,1-Settings!$B$11,0,Settings!$B$11,1))&lt;ROUNDUP(Settings!$B$11*Settings!$B$26,0),NA(),STDEV(OFFSET(F439,1-Settings!$B$11,0,Settings!$B$11,1))*SQRT(Settings!$B$13)))</f>
        <v/>
      </c>
      <c r="I439" s="20">
        <f>IF(OR(NOT(ISNUMBER($A439)),ROW()-2&lt;Settings!$B$12),NA(),IF(COUNT(OFFSET(F439,1-Settings!$B$12,0,Settings!$B$12,1))&lt;ROUNDUP(Settings!$B$12*Settings!$B$26,0),NA(),STDEV(OFFSET(F439,1-Settings!$B$12,0,Settings!$B$12,1))*SQRT(Settings!$B$13)))</f>
        <v/>
      </c>
      <c r="J439" s="20">
        <f>IF(OR(NOT(ISNUMBER($A439)),ROW()-2&lt;Settings!$B$11),NA(),IF(COUNT(OFFSET(G439,1-Settings!$B$11,0,Settings!$B$11,1))&lt;ROUNDUP(Settings!$B$11*Settings!$B$26,0),NA(),STDEV(OFFSET(G439,1-Settings!$B$11,0,Settings!$B$11,1))*SQRT(Settings!$B$13)))</f>
        <v/>
      </c>
      <c r="K439" s="20">
        <f>IF(OR(NOT(ISNUMBER($A439)),ROW()-2&lt;Settings!$B$12),NA(),IF(COUNT(OFFSET(G439,1-Settings!$B$12,0,Settings!$B$12,1))&lt;ROUNDUP(Settings!$B$12*Settings!$B$26,0),NA(),STDEV(OFFSET(G439,1-Settings!$B$12,0,Settings!$B$12,1))*SQRT(Settings!$B$13)))</f>
        <v/>
      </c>
      <c r="L439" s="20">
        <f>IF(AND(ISNUMBER(D439),ISNUMBER(H439)),D439-H439,NA())</f>
        <v/>
      </c>
      <c r="M439" s="20">
        <f>IF(AND(ISNUMBER(E439),ISNUMBER(K439)),E439-K439,NA())</f>
        <v/>
      </c>
      <c r="N439" s="20">
        <f>IF(NOT(ISNUMBER($A439)),NA(),IF(COUNT(OFFSET(G439,1,0,Settings!$B$12,1))&lt;ROUNDUP(Settings!$B$12*Settings!$B$26,0),NA(),STDEV(OFFSET(G439,1,0,Settings!$B$12,1))*SQRT(Settings!$B$13)))</f>
        <v/>
      </c>
      <c r="O439" s="20">
        <f>IF(AND(ISNUMBER(E439),ISNUMBER(N439)),E439-N439,NA())</f>
        <v/>
      </c>
      <c r="P439" s="19">
        <f>IF(NOT(ISNUMBER($A439)),NA(),IF(OR($A439&lt;MIN(KW_TP!$A$2:$A$2501),$A439&gt;MAX(KW_TP!$A$2:$A$2501)),NA(),INDEX(KW_TP!$C$2:$C$2501,MATCH($A439,KW_TP!$A$2:$A$2501,1))))</f>
        <v/>
      </c>
      <c r="Q439" s="18">
        <f>IF(NOT(ISNUMBER($A439)),NA(),IFERROR(1*INDEX(BBG_Data!$J$2:$J$4000,MATCH($A439,BBG_Data!$I$2:$I$4000,0)),NA()))</f>
        <v/>
      </c>
      <c r="R439" s="18">
        <f>IF(NOT(ISNUMBER($A439)),NA(),IFERROR(1*INDEX(BBG_Data!$L$2:$L$4000,MATCH($A439,BBG_Data!$K$2:$K$4000,0)),NA()))</f>
        <v/>
      </c>
      <c r="S439" s="20">
        <f>IF(AND(ISNUMBER(B439),ISNUMBER(Q439),ISNUMBER(R439)),(B439-Q439-R439)*100,NA())</f>
        <v/>
      </c>
      <c r="T439" s="20">
        <f>IF(AND(ISNUMBER(B439),Settings!$B$17&gt;0),IF(ISNUMBER(INDEX($B:$B,Settings!$B$17)),(B439-INDEX($B:$B,Settings!$B$17))*100,NA()),NA())</f>
        <v/>
      </c>
      <c r="U439" s="20">
        <f>IF(AND(ISNUMBER(Q439),Settings!$B$17&gt;0),IF(ISNUMBER(INDEX($Q:$Q,Settings!$B$17)),(Q439-INDEX($Q:$Q,Settings!$B$17))*100,NA()),NA())</f>
        <v/>
      </c>
      <c r="V439" s="20">
        <f>IF(AND(ISNUMBER(R439),Settings!$B$17&gt;0),IF(ISNUMBER(INDEX($R:$R,Settings!$B$17)),(R439-INDEX($R:$R,Settings!$B$17))*100,NA()),NA())</f>
        <v/>
      </c>
      <c r="W439" s="20">
        <f>IF(AND(ISNUMBER(P439),Settings!$B$17&gt;0),IF(ISNUMBER(INDEX($P:$P,Settings!$B$17)),P439-INDEX($P:$P,Settings!$B$17),NA()),NA())</f>
        <v/>
      </c>
      <c r="X439" s="19">
        <f>IF(NOT(ISNUMBER($A439)),NA(),IF(OR($A439&lt;MIN(DKW_10Y!$A$2:$A$2918),$A439&gt;MAX(DKW_10Y!$A$2:$A$2918),Settings!$B$16&lt;MIN(DKW_10Y!$A$2:$A$2918)),NA(),(INDEX(DKW_10Y!$B$2:$B$2918,MATCH($A439,DKW_10Y!$A$2:$A$2918,1))-INDEX(DKW_10Y!$B$2:$B$2918,MATCH(Settings!$B$16,DKW_10Y!$A$2:$A$2918,1)))*100))</f>
        <v/>
      </c>
      <c r="Y439" s="19">
        <f>IF(NOT(ISNUMBER($A439)),NA(),IF(OR($A439&lt;MIN(DKW_10Y!$A$2:$A$2918),$A439&gt;MAX(DKW_10Y!$A$2:$A$2918),Settings!$B$16&lt;MIN(DKW_10Y!$A$2:$A$2918)),NA(),(INDEX(DKW_10Y!$C$2:$C$2918,MATCH($A439,DKW_10Y!$A$2:$A$2918,1))-INDEX(DKW_10Y!$C$2:$C$2918,MATCH(Settings!$B$16,DKW_10Y!$A$2:$A$2918,1)))*100))</f>
        <v/>
      </c>
      <c r="Z439" s="19">
        <f>IF(NOT(ISNUMBER($A439)),NA(),IF(OR($A439&lt;MIN(DKW_10Y!$A$2:$A$2918),$A439&gt;MAX(DKW_10Y!$A$2:$A$2918),Settings!$B$16&lt;MIN(DKW_10Y!$A$2:$A$2918)),NA(),(INDEX(DKW_10Y!$D$2:$D$2918,MATCH($A439,DKW_10Y!$A$2:$A$2918,1))-INDEX(DKW_10Y!$D$2:$D$2918,MATCH(Settings!$B$16,DKW_10Y!$A$2:$A$2918,1)))*100))</f>
        <v/>
      </c>
      <c r="AA439" s="19">
        <f>IF(NOT(ISNUMBER($A439)),NA(),IF(OR($A439&lt;MIN(DKW_10Y!$A$2:$A$2918),$A439&gt;MAX(DKW_10Y!$A$2:$A$2918),Settings!$B$16&lt;MIN(DKW_10Y!$A$2:$A$2918)),NA(),(INDEX(DKW_10Y!$E$2:$E$2918,MATCH($A439,DKW_10Y!$A$2:$A$2918,1))-INDEX(DKW_10Y!$E$2:$E$2918,MATCH(Settings!$B$16,DKW_10Y!$A$2:$A$2918,1)))*100))</f>
        <v/>
      </c>
      <c r="AB439" s="19">
        <f>IF(NOT(ISNUMBER($A439)),NA(),IF(OR($A439&lt;MIN(DKW_10Y!$A$2:$A$2918),$A439&gt;MAX(DKW_10Y!$A$2:$A$2918),Settings!$B$16&lt;MIN(DKW_10Y!$A$2:$A$2918)),NA(),(INDEX(DKW_10Y!$H$2:$H$2918,MATCH($A439,DKW_10Y!$A$2:$A$2918,1))-INDEX(DKW_10Y!$H$2:$H$2918,MATCH(Settings!$B$16,DKW_10Y!$A$2:$A$2918,1)))*100))</f>
        <v/>
      </c>
      <c r="AC439" s="18">
        <f>IF(NOT(ISNUMBER($A439)),NA(),IFERROR(1*INDEX(BBG_Data!$N$2:$N$4000,MATCH($A439,BBG_Data!$M$2:$M$4000,0)),NA()))</f>
        <v/>
      </c>
      <c r="AD439" s="18">
        <f>IF(NOT(ISNUMBER($A439)),NA(),IFERROR(1*INDEX(BBG_Data!$P$2:$P$4000,MATCH($A439,BBG_Data!$O$2:$O$4000,0)),NA()))</f>
        <v/>
      </c>
      <c r="AE439" s="18">
        <f>IF(NOT(ISNUMBER($A439)),NA(),IFERROR(1*INDEX(BBG_Data!$R$2:$R$4000,MATCH($A439,BBG_Data!$Q$2:$Q$4000,0)),NA()))</f>
        <v/>
      </c>
      <c r="AF439" s="20">
        <f>IF(AND(ISNUMBER(B439),ISNUMBER(AC439)),(B439-AC439)*100,NA())</f>
        <v/>
      </c>
      <c r="AG439" s="20">
        <f>IF(AND(ISNUMBER(AE439),ISNUMBER(AD439)),(AE439-AD439)*100,NA())</f>
        <v/>
      </c>
      <c r="AH439" s="19">
        <f>IF(NOT(ISNUMBER($A439)),NA(),IFERROR(INDEX(BBG_Data!$T$2:$T$4000,MATCH($A439,BBG_Data!$S$2:$S$4000,0))*Settings!$B$25,NA()))</f>
        <v/>
      </c>
      <c r="AI439" s="19">
        <f>IF(NOT(ISNUMBER($A439)),NA(),IFERROR(INDEX(BBG_Data!$V$2:$V$4000,MATCH($A439,BBG_Data!$U$2:$U$4000,0))*Settings!$B$25,NA()))</f>
        <v/>
      </c>
      <c r="AJ439" s="19">
        <f>IF(NOT(ISNUMBER($A439)),NA(),IFERROR(1*INDEX(BBG_Data!$X$2:$X$4000,MATCH($A439,BBG_Data!$W$2:$W$4000,0)),NA()))</f>
        <v/>
      </c>
      <c r="AK439" s="19">
        <f>IF(NOT(ISNUMBER($A439)),NA(),IFERROR(1*INDEX(BBG_Data!$Z$2:$Z$4000,MATCH($A439,BBG_Data!$Y$2:$Y$4000,0)),NA()))</f>
        <v/>
      </c>
    </row>
    <row r="440">
      <c r="A440" s="17">
        <f>IF(ISNUMBER(BBG_Data!A440),BBG_Data!A440,"")</f>
        <v/>
      </c>
      <c r="B440" s="18">
        <f>IF(AND(ISNUMBER($A440),ISNUMBER(BBG_Data!B440)),BBG_Data!B440,NA())</f>
        <v/>
      </c>
      <c r="C440" s="18">
        <f>IF(NOT(ISNUMBER($A440)),NA(),IFERROR(1*INDEX(BBG_Data!$D$2:$D$4000,MATCH($A440,BBG_Data!$C$2:$C$4000,0)),NA()))</f>
        <v/>
      </c>
      <c r="D440" s="19">
        <f>IF(NOT(ISNUMBER($A440)),NA(),IFERROR(1*INDEX(BBG_Data!$F$2:$F$4000,MATCH($A440,BBG_Data!$E$2:$E$4000,0)),NA()))</f>
        <v/>
      </c>
      <c r="E440" s="19">
        <f>IF(NOT(ISNUMBER($A440)),NA(),IFERROR(1*INDEX(BBG_Data!$H$2:$H$4000,MATCH($A440,BBG_Data!$G$2:$G$4000,0)),NA()))</f>
        <v/>
      </c>
      <c r="F440" s="20">
        <f>IF(AND(ISNUMBER(B440),ISNUMBER(B439)),IF(B440=B439,"",(B440-B439)*100),"")</f>
        <v/>
      </c>
      <c r="G440" s="20">
        <f>IF(AND(ISNUMBER(C440),ISNUMBER(C439)),IF(C440=C439,"",(C440-C439)*100),"")</f>
        <v/>
      </c>
      <c r="H440" s="20">
        <f>IF(OR(NOT(ISNUMBER($A440)),ROW()-2&lt;Settings!$B$11),NA(),IF(COUNT(OFFSET(F440,1-Settings!$B$11,0,Settings!$B$11,1))&lt;ROUNDUP(Settings!$B$11*Settings!$B$26,0),NA(),STDEV(OFFSET(F440,1-Settings!$B$11,0,Settings!$B$11,1))*SQRT(Settings!$B$13)))</f>
        <v/>
      </c>
      <c r="I440" s="20">
        <f>IF(OR(NOT(ISNUMBER($A440)),ROW()-2&lt;Settings!$B$12),NA(),IF(COUNT(OFFSET(F440,1-Settings!$B$12,0,Settings!$B$12,1))&lt;ROUNDUP(Settings!$B$12*Settings!$B$26,0),NA(),STDEV(OFFSET(F440,1-Settings!$B$12,0,Settings!$B$12,1))*SQRT(Settings!$B$13)))</f>
        <v/>
      </c>
      <c r="J440" s="20">
        <f>IF(OR(NOT(ISNUMBER($A440)),ROW()-2&lt;Settings!$B$11),NA(),IF(COUNT(OFFSET(G440,1-Settings!$B$11,0,Settings!$B$11,1))&lt;ROUNDUP(Settings!$B$11*Settings!$B$26,0),NA(),STDEV(OFFSET(G440,1-Settings!$B$11,0,Settings!$B$11,1))*SQRT(Settings!$B$13)))</f>
        <v/>
      </c>
      <c r="K440" s="20">
        <f>IF(OR(NOT(ISNUMBER($A440)),ROW()-2&lt;Settings!$B$12),NA(),IF(COUNT(OFFSET(G440,1-Settings!$B$12,0,Settings!$B$12,1))&lt;ROUNDUP(Settings!$B$12*Settings!$B$26,0),NA(),STDEV(OFFSET(G440,1-Settings!$B$12,0,Settings!$B$12,1))*SQRT(Settings!$B$13)))</f>
        <v/>
      </c>
      <c r="L440" s="20">
        <f>IF(AND(ISNUMBER(D440),ISNUMBER(H440)),D440-H440,NA())</f>
        <v/>
      </c>
      <c r="M440" s="20">
        <f>IF(AND(ISNUMBER(E440),ISNUMBER(K440)),E440-K440,NA())</f>
        <v/>
      </c>
      <c r="N440" s="20">
        <f>IF(NOT(ISNUMBER($A440)),NA(),IF(COUNT(OFFSET(G440,1,0,Settings!$B$12,1))&lt;ROUNDUP(Settings!$B$12*Settings!$B$26,0),NA(),STDEV(OFFSET(G440,1,0,Settings!$B$12,1))*SQRT(Settings!$B$13)))</f>
        <v/>
      </c>
      <c r="O440" s="20">
        <f>IF(AND(ISNUMBER(E440),ISNUMBER(N440)),E440-N440,NA())</f>
        <v/>
      </c>
      <c r="P440" s="19">
        <f>IF(NOT(ISNUMBER($A440)),NA(),IF(OR($A440&lt;MIN(KW_TP!$A$2:$A$2501),$A440&gt;MAX(KW_TP!$A$2:$A$2501)),NA(),INDEX(KW_TP!$C$2:$C$2501,MATCH($A440,KW_TP!$A$2:$A$2501,1))))</f>
        <v/>
      </c>
      <c r="Q440" s="18">
        <f>IF(NOT(ISNUMBER($A440)),NA(),IFERROR(1*INDEX(BBG_Data!$J$2:$J$4000,MATCH($A440,BBG_Data!$I$2:$I$4000,0)),NA()))</f>
        <v/>
      </c>
      <c r="R440" s="18">
        <f>IF(NOT(ISNUMBER($A440)),NA(),IFERROR(1*INDEX(BBG_Data!$L$2:$L$4000,MATCH($A440,BBG_Data!$K$2:$K$4000,0)),NA()))</f>
        <v/>
      </c>
      <c r="S440" s="20">
        <f>IF(AND(ISNUMBER(B440),ISNUMBER(Q440),ISNUMBER(R440)),(B440-Q440-R440)*100,NA())</f>
        <v/>
      </c>
      <c r="T440" s="20">
        <f>IF(AND(ISNUMBER(B440),Settings!$B$17&gt;0),IF(ISNUMBER(INDEX($B:$B,Settings!$B$17)),(B440-INDEX($B:$B,Settings!$B$17))*100,NA()),NA())</f>
        <v/>
      </c>
      <c r="U440" s="20">
        <f>IF(AND(ISNUMBER(Q440),Settings!$B$17&gt;0),IF(ISNUMBER(INDEX($Q:$Q,Settings!$B$17)),(Q440-INDEX($Q:$Q,Settings!$B$17))*100,NA()),NA())</f>
        <v/>
      </c>
      <c r="V440" s="20">
        <f>IF(AND(ISNUMBER(R440),Settings!$B$17&gt;0),IF(ISNUMBER(INDEX($R:$R,Settings!$B$17)),(R440-INDEX($R:$R,Settings!$B$17))*100,NA()),NA())</f>
        <v/>
      </c>
      <c r="W440" s="20">
        <f>IF(AND(ISNUMBER(P440),Settings!$B$17&gt;0),IF(ISNUMBER(INDEX($P:$P,Settings!$B$17)),P440-INDEX($P:$P,Settings!$B$17),NA()),NA())</f>
        <v/>
      </c>
      <c r="X440" s="19">
        <f>IF(NOT(ISNUMBER($A440)),NA(),IF(OR($A440&lt;MIN(DKW_10Y!$A$2:$A$2918),$A440&gt;MAX(DKW_10Y!$A$2:$A$2918),Settings!$B$16&lt;MIN(DKW_10Y!$A$2:$A$2918)),NA(),(INDEX(DKW_10Y!$B$2:$B$2918,MATCH($A440,DKW_10Y!$A$2:$A$2918,1))-INDEX(DKW_10Y!$B$2:$B$2918,MATCH(Settings!$B$16,DKW_10Y!$A$2:$A$2918,1)))*100))</f>
        <v/>
      </c>
      <c r="Y440" s="19">
        <f>IF(NOT(ISNUMBER($A440)),NA(),IF(OR($A440&lt;MIN(DKW_10Y!$A$2:$A$2918),$A440&gt;MAX(DKW_10Y!$A$2:$A$2918),Settings!$B$16&lt;MIN(DKW_10Y!$A$2:$A$2918)),NA(),(INDEX(DKW_10Y!$C$2:$C$2918,MATCH($A440,DKW_10Y!$A$2:$A$2918,1))-INDEX(DKW_10Y!$C$2:$C$2918,MATCH(Settings!$B$16,DKW_10Y!$A$2:$A$2918,1)))*100))</f>
        <v/>
      </c>
      <c r="Z440" s="19">
        <f>IF(NOT(ISNUMBER($A440)),NA(),IF(OR($A440&lt;MIN(DKW_10Y!$A$2:$A$2918),$A440&gt;MAX(DKW_10Y!$A$2:$A$2918),Settings!$B$16&lt;MIN(DKW_10Y!$A$2:$A$2918)),NA(),(INDEX(DKW_10Y!$D$2:$D$2918,MATCH($A440,DKW_10Y!$A$2:$A$2918,1))-INDEX(DKW_10Y!$D$2:$D$2918,MATCH(Settings!$B$16,DKW_10Y!$A$2:$A$2918,1)))*100))</f>
        <v/>
      </c>
      <c r="AA440" s="19">
        <f>IF(NOT(ISNUMBER($A440)),NA(),IF(OR($A440&lt;MIN(DKW_10Y!$A$2:$A$2918),$A440&gt;MAX(DKW_10Y!$A$2:$A$2918),Settings!$B$16&lt;MIN(DKW_10Y!$A$2:$A$2918)),NA(),(INDEX(DKW_10Y!$E$2:$E$2918,MATCH($A440,DKW_10Y!$A$2:$A$2918,1))-INDEX(DKW_10Y!$E$2:$E$2918,MATCH(Settings!$B$16,DKW_10Y!$A$2:$A$2918,1)))*100))</f>
        <v/>
      </c>
      <c r="AB440" s="19">
        <f>IF(NOT(ISNUMBER($A440)),NA(),IF(OR($A440&lt;MIN(DKW_10Y!$A$2:$A$2918),$A440&gt;MAX(DKW_10Y!$A$2:$A$2918),Settings!$B$16&lt;MIN(DKW_10Y!$A$2:$A$2918)),NA(),(INDEX(DKW_10Y!$H$2:$H$2918,MATCH($A440,DKW_10Y!$A$2:$A$2918,1))-INDEX(DKW_10Y!$H$2:$H$2918,MATCH(Settings!$B$16,DKW_10Y!$A$2:$A$2918,1)))*100))</f>
        <v/>
      </c>
      <c r="AC440" s="18">
        <f>IF(NOT(ISNUMBER($A440)),NA(),IFERROR(1*INDEX(BBG_Data!$N$2:$N$4000,MATCH($A440,BBG_Data!$M$2:$M$4000,0)),NA()))</f>
        <v/>
      </c>
      <c r="AD440" s="18">
        <f>IF(NOT(ISNUMBER($A440)),NA(),IFERROR(1*INDEX(BBG_Data!$P$2:$P$4000,MATCH($A440,BBG_Data!$O$2:$O$4000,0)),NA()))</f>
        <v/>
      </c>
      <c r="AE440" s="18">
        <f>IF(NOT(ISNUMBER($A440)),NA(),IFERROR(1*INDEX(BBG_Data!$R$2:$R$4000,MATCH($A440,BBG_Data!$Q$2:$Q$4000,0)),NA()))</f>
        <v/>
      </c>
      <c r="AF440" s="20">
        <f>IF(AND(ISNUMBER(B440),ISNUMBER(AC440)),(B440-AC440)*100,NA())</f>
        <v/>
      </c>
      <c r="AG440" s="20">
        <f>IF(AND(ISNUMBER(AE440),ISNUMBER(AD440)),(AE440-AD440)*100,NA())</f>
        <v/>
      </c>
      <c r="AH440" s="19">
        <f>IF(NOT(ISNUMBER($A440)),NA(),IFERROR(INDEX(BBG_Data!$T$2:$T$4000,MATCH($A440,BBG_Data!$S$2:$S$4000,0))*Settings!$B$25,NA()))</f>
        <v/>
      </c>
      <c r="AI440" s="19">
        <f>IF(NOT(ISNUMBER($A440)),NA(),IFERROR(INDEX(BBG_Data!$V$2:$V$4000,MATCH($A440,BBG_Data!$U$2:$U$4000,0))*Settings!$B$25,NA()))</f>
        <v/>
      </c>
      <c r="AJ440" s="19">
        <f>IF(NOT(ISNUMBER($A440)),NA(),IFERROR(1*INDEX(BBG_Data!$X$2:$X$4000,MATCH($A440,BBG_Data!$W$2:$W$4000,0)),NA()))</f>
        <v/>
      </c>
      <c r="AK440" s="19">
        <f>IF(NOT(ISNUMBER($A440)),NA(),IFERROR(1*INDEX(BBG_Data!$Z$2:$Z$4000,MATCH($A440,BBG_Data!$Y$2:$Y$4000,0)),NA()))</f>
        <v/>
      </c>
    </row>
    <row r="441">
      <c r="A441" s="17">
        <f>IF(ISNUMBER(BBG_Data!A441),BBG_Data!A441,"")</f>
        <v/>
      </c>
      <c r="B441" s="18">
        <f>IF(AND(ISNUMBER($A441),ISNUMBER(BBG_Data!B441)),BBG_Data!B441,NA())</f>
        <v/>
      </c>
      <c r="C441" s="18">
        <f>IF(NOT(ISNUMBER($A441)),NA(),IFERROR(1*INDEX(BBG_Data!$D$2:$D$4000,MATCH($A441,BBG_Data!$C$2:$C$4000,0)),NA()))</f>
        <v/>
      </c>
      <c r="D441" s="19">
        <f>IF(NOT(ISNUMBER($A441)),NA(),IFERROR(1*INDEX(BBG_Data!$F$2:$F$4000,MATCH($A441,BBG_Data!$E$2:$E$4000,0)),NA()))</f>
        <v/>
      </c>
      <c r="E441" s="19">
        <f>IF(NOT(ISNUMBER($A441)),NA(),IFERROR(1*INDEX(BBG_Data!$H$2:$H$4000,MATCH($A441,BBG_Data!$G$2:$G$4000,0)),NA()))</f>
        <v/>
      </c>
      <c r="F441" s="20">
        <f>IF(AND(ISNUMBER(B441),ISNUMBER(B440)),IF(B441=B440,"",(B441-B440)*100),"")</f>
        <v/>
      </c>
      <c r="G441" s="20">
        <f>IF(AND(ISNUMBER(C441),ISNUMBER(C440)),IF(C441=C440,"",(C441-C440)*100),"")</f>
        <v/>
      </c>
      <c r="H441" s="20">
        <f>IF(OR(NOT(ISNUMBER($A441)),ROW()-2&lt;Settings!$B$11),NA(),IF(COUNT(OFFSET(F441,1-Settings!$B$11,0,Settings!$B$11,1))&lt;ROUNDUP(Settings!$B$11*Settings!$B$26,0),NA(),STDEV(OFFSET(F441,1-Settings!$B$11,0,Settings!$B$11,1))*SQRT(Settings!$B$13)))</f>
        <v/>
      </c>
      <c r="I441" s="20">
        <f>IF(OR(NOT(ISNUMBER($A441)),ROW()-2&lt;Settings!$B$12),NA(),IF(COUNT(OFFSET(F441,1-Settings!$B$12,0,Settings!$B$12,1))&lt;ROUNDUP(Settings!$B$12*Settings!$B$26,0),NA(),STDEV(OFFSET(F441,1-Settings!$B$12,0,Settings!$B$12,1))*SQRT(Settings!$B$13)))</f>
        <v/>
      </c>
      <c r="J441" s="20">
        <f>IF(OR(NOT(ISNUMBER($A441)),ROW()-2&lt;Settings!$B$11),NA(),IF(COUNT(OFFSET(G441,1-Settings!$B$11,0,Settings!$B$11,1))&lt;ROUNDUP(Settings!$B$11*Settings!$B$26,0),NA(),STDEV(OFFSET(G441,1-Settings!$B$11,0,Settings!$B$11,1))*SQRT(Settings!$B$13)))</f>
        <v/>
      </c>
      <c r="K441" s="20">
        <f>IF(OR(NOT(ISNUMBER($A441)),ROW()-2&lt;Settings!$B$12),NA(),IF(COUNT(OFFSET(G441,1-Settings!$B$12,0,Settings!$B$12,1))&lt;ROUNDUP(Settings!$B$12*Settings!$B$26,0),NA(),STDEV(OFFSET(G441,1-Settings!$B$12,0,Settings!$B$12,1))*SQRT(Settings!$B$13)))</f>
        <v/>
      </c>
      <c r="L441" s="20">
        <f>IF(AND(ISNUMBER(D441),ISNUMBER(H441)),D441-H441,NA())</f>
        <v/>
      </c>
      <c r="M441" s="20">
        <f>IF(AND(ISNUMBER(E441),ISNUMBER(K441)),E441-K441,NA())</f>
        <v/>
      </c>
      <c r="N441" s="20">
        <f>IF(NOT(ISNUMBER($A441)),NA(),IF(COUNT(OFFSET(G441,1,0,Settings!$B$12,1))&lt;ROUNDUP(Settings!$B$12*Settings!$B$26,0),NA(),STDEV(OFFSET(G441,1,0,Settings!$B$12,1))*SQRT(Settings!$B$13)))</f>
        <v/>
      </c>
      <c r="O441" s="20">
        <f>IF(AND(ISNUMBER(E441),ISNUMBER(N441)),E441-N441,NA())</f>
        <v/>
      </c>
      <c r="P441" s="19">
        <f>IF(NOT(ISNUMBER($A441)),NA(),IF(OR($A441&lt;MIN(KW_TP!$A$2:$A$2501),$A441&gt;MAX(KW_TP!$A$2:$A$2501)),NA(),INDEX(KW_TP!$C$2:$C$2501,MATCH($A441,KW_TP!$A$2:$A$2501,1))))</f>
        <v/>
      </c>
      <c r="Q441" s="18">
        <f>IF(NOT(ISNUMBER($A441)),NA(),IFERROR(1*INDEX(BBG_Data!$J$2:$J$4000,MATCH($A441,BBG_Data!$I$2:$I$4000,0)),NA()))</f>
        <v/>
      </c>
      <c r="R441" s="18">
        <f>IF(NOT(ISNUMBER($A441)),NA(),IFERROR(1*INDEX(BBG_Data!$L$2:$L$4000,MATCH($A441,BBG_Data!$K$2:$K$4000,0)),NA()))</f>
        <v/>
      </c>
      <c r="S441" s="20">
        <f>IF(AND(ISNUMBER(B441),ISNUMBER(Q441),ISNUMBER(R441)),(B441-Q441-R441)*100,NA())</f>
        <v/>
      </c>
      <c r="T441" s="20">
        <f>IF(AND(ISNUMBER(B441),Settings!$B$17&gt;0),IF(ISNUMBER(INDEX($B:$B,Settings!$B$17)),(B441-INDEX($B:$B,Settings!$B$17))*100,NA()),NA())</f>
        <v/>
      </c>
      <c r="U441" s="20">
        <f>IF(AND(ISNUMBER(Q441),Settings!$B$17&gt;0),IF(ISNUMBER(INDEX($Q:$Q,Settings!$B$17)),(Q441-INDEX($Q:$Q,Settings!$B$17))*100,NA()),NA())</f>
        <v/>
      </c>
      <c r="V441" s="20">
        <f>IF(AND(ISNUMBER(R441),Settings!$B$17&gt;0),IF(ISNUMBER(INDEX($R:$R,Settings!$B$17)),(R441-INDEX($R:$R,Settings!$B$17))*100,NA()),NA())</f>
        <v/>
      </c>
      <c r="W441" s="20">
        <f>IF(AND(ISNUMBER(P441),Settings!$B$17&gt;0),IF(ISNUMBER(INDEX($P:$P,Settings!$B$17)),P441-INDEX($P:$P,Settings!$B$17),NA()),NA())</f>
        <v/>
      </c>
      <c r="X441" s="19">
        <f>IF(NOT(ISNUMBER($A441)),NA(),IF(OR($A441&lt;MIN(DKW_10Y!$A$2:$A$2918),$A441&gt;MAX(DKW_10Y!$A$2:$A$2918),Settings!$B$16&lt;MIN(DKW_10Y!$A$2:$A$2918)),NA(),(INDEX(DKW_10Y!$B$2:$B$2918,MATCH($A441,DKW_10Y!$A$2:$A$2918,1))-INDEX(DKW_10Y!$B$2:$B$2918,MATCH(Settings!$B$16,DKW_10Y!$A$2:$A$2918,1)))*100))</f>
        <v/>
      </c>
      <c r="Y441" s="19">
        <f>IF(NOT(ISNUMBER($A441)),NA(),IF(OR($A441&lt;MIN(DKW_10Y!$A$2:$A$2918),$A441&gt;MAX(DKW_10Y!$A$2:$A$2918),Settings!$B$16&lt;MIN(DKW_10Y!$A$2:$A$2918)),NA(),(INDEX(DKW_10Y!$C$2:$C$2918,MATCH($A441,DKW_10Y!$A$2:$A$2918,1))-INDEX(DKW_10Y!$C$2:$C$2918,MATCH(Settings!$B$16,DKW_10Y!$A$2:$A$2918,1)))*100))</f>
        <v/>
      </c>
      <c r="Z441" s="19">
        <f>IF(NOT(ISNUMBER($A441)),NA(),IF(OR($A441&lt;MIN(DKW_10Y!$A$2:$A$2918),$A441&gt;MAX(DKW_10Y!$A$2:$A$2918),Settings!$B$16&lt;MIN(DKW_10Y!$A$2:$A$2918)),NA(),(INDEX(DKW_10Y!$D$2:$D$2918,MATCH($A441,DKW_10Y!$A$2:$A$2918,1))-INDEX(DKW_10Y!$D$2:$D$2918,MATCH(Settings!$B$16,DKW_10Y!$A$2:$A$2918,1)))*100))</f>
        <v/>
      </c>
      <c r="AA441" s="19">
        <f>IF(NOT(ISNUMBER($A441)),NA(),IF(OR($A441&lt;MIN(DKW_10Y!$A$2:$A$2918),$A441&gt;MAX(DKW_10Y!$A$2:$A$2918),Settings!$B$16&lt;MIN(DKW_10Y!$A$2:$A$2918)),NA(),(INDEX(DKW_10Y!$E$2:$E$2918,MATCH($A441,DKW_10Y!$A$2:$A$2918,1))-INDEX(DKW_10Y!$E$2:$E$2918,MATCH(Settings!$B$16,DKW_10Y!$A$2:$A$2918,1)))*100))</f>
        <v/>
      </c>
      <c r="AB441" s="19">
        <f>IF(NOT(ISNUMBER($A441)),NA(),IF(OR($A441&lt;MIN(DKW_10Y!$A$2:$A$2918),$A441&gt;MAX(DKW_10Y!$A$2:$A$2918),Settings!$B$16&lt;MIN(DKW_10Y!$A$2:$A$2918)),NA(),(INDEX(DKW_10Y!$H$2:$H$2918,MATCH($A441,DKW_10Y!$A$2:$A$2918,1))-INDEX(DKW_10Y!$H$2:$H$2918,MATCH(Settings!$B$16,DKW_10Y!$A$2:$A$2918,1)))*100))</f>
        <v/>
      </c>
      <c r="AC441" s="18">
        <f>IF(NOT(ISNUMBER($A441)),NA(),IFERROR(1*INDEX(BBG_Data!$N$2:$N$4000,MATCH($A441,BBG_Data!$M$2:$M$4000,0)),NA()))</f>
        <v/>
      </c>
      <c r="AD441" s="18">
        <f>IF(NOT(ISNUMBER($A441)),NA(),IFERROR(1*INDEX(BBG_Data!$P$2:$P$4000,MATCH($A441,BBG_Data!$O$2:$O$4000,0)),NA()))</f>
        <v/>
      </c>
      <c r="AE441" s="18">
        <f>IF(NOT(ISNUMBER($A441)),NA(),IFERROR(1*INDEX(BBG_Data!$R$2:$R$4000,MATCH($A441,BBG_Data!$Q$2:$Q$4000,0)),NA()))</f>
        <v/>
      </c>
      <c r="AF441" s="20">
        <f>IF(AND(ISNUMBER(B441),ISNUMBER(AC441)),(B441-AC441)*100,NA())</f>
        <v/>
      </c>
      <c r="AG441" s="20">
        <f>IF(AND(ISNUMBER(AE441),ISNUMBER(AD441)),(AE441-AD441)*100,NA())</f>
        <v/>
      </c>
      <c r="AH441" s="19">
        <f>IF(NOT(ISNUMBER($A441)),NA(),IFERROR(INDEX(BBG_Data!$T$2:$T$4000,MATCH($A441,BBG_Data!$S$2:$S$4000,0))*Settings!$B$25,NA()))</f>
        <v/>
      </c>
      <c r="AI441" s="19">
        <f>IF(NOT(ISNUMBER($A441)),NA(),IFERROR(INDEX(BBG_Data!$V$2:$V$4000,MATCH($A441,BBG_Data!$U$2:$U$4000,0))*Settings!$B$25,NA()))</f>
        <v/>
      </c>
      <c r="AJ441" s="19">
        <f>IF(NOT(ISNUMBER($A441)),NA(),IFERROR(1*INDEX(BBG_Data!$X$2:$X$4000,MATCH($A441,BBG_Data!$W$2:$W$4000,0)),NA()))</f>
        <v/>
      </c>
      <c r="AK441" s="19">
        <f>IF(NOT(ISNUMBER($A441)),NA(),IFERROR(1*INDEX(BBG_Data!$Z$2:$Z$4000,MATCH($A441,BBG_Data!$Y$2:$Y$4000,0)),NA()))</f>
        <v/>
      </c>
    </row>
    <row r="442">
      <c r="A442" s="17">
        <f>IF(ISNUMBER(BBG_Data!A442),BBG_Data!A442,"")</f>
        <v/>
      </c>
      <c r="B442" s="18">
        <f>IF(AND(ISNUMBER($A442),ISNUMBER(BBG_Data!B442)),BBG_Data!B442,NA())</f>
        <v/>
      </c>
      <c r="C442" s="18">
        <f>IF(NOT(ISNUMBER($A442)),NA(),IFERROR(1*INDEX(BBG_Data!$D$2:$D$4000,MATCH($A442,BBG_Data!$C$2:$C$4000,0)),NA()))</f>
        <v/>
      </c>
      <c r="D442" s="19">
        <f>IF(NOT(ISNUMBER($A442)),NA(),IFERROR(1*INDEX(BBG_Data!$F$2:$F$4000,MATCH($A442,BBG_Data!$E$2:$E$4000,0)),NA()))</f>
        <v/>
      </c>
      <c r="E442" s="19">
        <f>IF(NOT(ISNUMBER($A442)),NA(),IFERROR(1*INDEX(BBG_Data!$H$2:$H$4000,MATCH($A442,BBG_Data!$G$2:$G$4000,0)),NA()))</f>
        <v/>
      </c>
      <c r="F442" s="20">
        <f>IF(AND(ISNUMBER(B442),ISNUMBER(B441)),IF(B442=B441,"",(B442-B441)*100),"")</f>
        <v/>
      </c>
      <c r="G442" s="20">
        <f>IF(AND(ISNUMBER(C442),ISNUMBER(C441)),IF(C442=C441,"",(C442-C441)*100),"")</f>
        <v/>
      </c>
      <c r="H442" s="20">
        <f>IF(OR(NOT(ISNUMBER($A442)),ROW()-2&lt;Settings!$B$11),NA(),IF(COUNT(OFFSET(F442,1-Settings!$B$11,0,Settings!$B$11,1))&lt;ROUNDUP(Settings!$B$11*Settings!$B$26,0),NA(),STDEV(OFFSET(F442,1-Settings!$B$11,0,Settings!$B$11,1))*SQRT(Settings!$B$13)))</f>
        <v/>
      </c>
      <c r="I442" s="20">
        <f>IF(OR(NOT(ISNUMBER($A442)),ROW()-2&lt;Settings!$B$12),NA(),IF(COUNT(OFFSET(F442,1-Settings!$B$12,0,Settings!$B$12,1))&lt;ROUNDUP(Settings!$B$12*Settings!$B$26,0),NA(),STDEV(OFFSET(F442,1-Settings!$B$12,0,Settings!$B$12,1))*SQRT(Settings!$B$13)))</f>
        <v/>
      </c>
      <c r="J442" s="20">
        <f>IF(OR(NOT(ISNUMBER($A442)),ROW()-2&lt;Settings!$B$11),NA(),IF(COUNT(OFFSET(G442,1-Settings!$B$11,0,Settings!$B$11,1))&lt;ROUNDUP(Settings!$B$11*Settings!$B$26,0),NA(),STDEV(OFFSET(G442,1-Settings!$B$11,0,Settings!$B$11,1))*SQRT(Settings!$B$13)))</f>
        <v/>
      </c>
      <c r="K442" s="20">
        <f>IF(OR(NOT(ISNUMBER($A442)),ROW()-2&lt;Settings!$B$12),NA(),IF(COUNT(OFFSET(G442,1-Settings!$B$12,0,Settings!$B$12,1))&lt;ROUNDUP(Settings!$B$12*Settings!$B$26,0),NA(),STDEV(OFFSET(G442,1-Settings!$B$12,0,Settings!$B$12,1))*SQRT(Settings!$B$13)))</f>
        <v/>
      </c>
      <c r="L442" s="20">
        <f>IF(AND(ISNUMBER(D442),ISNUMBER(H442)),D442-H442,NA())</f>
        <v/>
      </c>
      <c r="M442" s="20">
        <f>IF(AND(ISNUMBER(E442),ISNUMBER(K442)),E442-K442,NA())</f>
        <v/>
      </c>
      <c r="N442" s="20">
        <f>IF(NOT(ISNUMBER($A442)),NA(),IF(COUNT(OFFSET(G442,1,0,Settings!$B$12,1))&lt;ROUNDUP(Settings!$B$12*Settings!$B$26,0),NA(),STDEV(OFFSET(G442,1,0,Settings!$B$12,1))*SQRT(Settings!$B$13)))</f>
        <v/>
      </c>
      <c r="O442" s="20">
        <f>IF(AND(ISNUMBER(E442),ISNUMBER(N442)),E442-N442,NA())</f>
        <v/>
      </c>
      <c r="P442" s="19">
        <f>IF(NOT(ISNUMBER($A442)),NA(),IF(OR($A442&lt;MIN(KW_TP!$A$2:$A$2501),$A442&gt;MAX(KW_TP!$A$2:$A$2501)),NA(),INDEX(KW_TP!$C$2:$C$2501,MATCH($A442,KW_TP!$A$2:$A$2501,1))))</f>
        <v/>
      </c>
      <c r="Q442" s="18">
        <f>IF(NOT(ISNUMBER($A442)),NA(),IFERROR(1*INDEX(BBG_Data!$J$2:$J$4000,MATCH($A442,BBG_Data!$I$2:$I$4000,0)),NA()))</f>
        <v/>
      </c>
      <c r="R442" s="18">
        <f>IF(NOT(ISNUMBER($A442)),NA(),IFERROR(1*INDEX(BBG_Data!$L$2:$L$4000,MATCH($A442,BBG_Data!$K$2:$K$4000,0)),NA()))</f>
        <v/>
      </c>
      <c r="S442" s="20">
        <f>IF(AND(ISNUMBER(B442),ISNUMBER(Q442),ISNUMBER(R442)),(B442-Q442-R442)*100,NA())</f>
        <v/>
      </c>
      <c r="T442" s="20">
        <f>IF(AND(ISNUMBER(B442),Settings!$B$17&gt;0),IF(ISNUMBER(INDEX($B:$B,Settings!$B$17)),(B442-INDEX($B:$B,Settings!$B$17))*100,NA()),NA())</f>
        <v/>
      </c>
      <c r="U442" s="20">
        <f>IF(AND(ISNUMBER(Q442),Settings!$B$17&gt;0),IF(ISNUMBER(INDEX($Q:$Q,Settings!$B$17)),(Q442-INDEX($Q:$Q,Settings!$B$17))*100,NA()),NA())</f>
        <v/>
      </c>
      <c r="V442" s="20">
        <f>IF(AND(ISNUMBER(R442),Settings!$B$17&gt;0),IF(ISNUMBER(INDEX($R:$R,Settings!$B$17)),(R442-INDEX($R:$R,Settings!$B$17))*100,NA()),NA())</f>
        <v/>
      </c>
      <c r="W442" s="20">
        <f>IF(AND(ISNUMBER(P442),Settings!$B$17&gt;0),IF(ISNUMBER(INDEX($P:$P,Settings!$B$17)),P442-INDEX($P:$P,Settings!$B$17),NA()),NA())</f>
        <v/>
      </c>
      <c r="X442" s="19">
        <f>IF(NOT(ISNUMBER($A442)),NA(),IF(OR($A442&lt;MIN(DKW_10Y!$A$2:$A$2918),$A442&gt;MAX(DKW_10Y!$A$2:$A$2918),Settings!$B$16&lt;MIN(DKW_10Y!$A$2:$A$2918)),NA(),(INDEX(DKW_10Y!$B$2:$B$2918,MATCH($A442,DKW_10Y!$A$2:$A$2918,1))-INDEX(DKW_10Y!$B$2:$B$2918,MATCH(Settings!$B$16,DKW_10Y!$A$2:$A$2918,1)))*100))</f>
        <v/>
      </c>
      <c r="Y442" s="19">
        <f>IF(NOT(ISNUMBER($A442)),NA(),IF(OR($A442&lt;MIN(DKW_10Y!$A$2:$A$2918),$A442&gt;MAX(DKW_10Y!$A$2:$A$2918),Settings!$B$16&lt;MIN(DKW_10Y!$A$2:$A$2918)),NA(),(INDEX(DKW_10Y!$C$2:$C$2918,MATCH($A442,DKW_10Y!$A$2:$A$2918,1))-INDEX(DKW_10Y!$C$2:$C$2918,MATCH(Settings!$B$16,DKW_10Y!$A$2:$A$2918,1)))*100))</f>
        <v/>
      </c>
      <c r="Z442" s="19">
        <f>IF(NOT(ISNUMBER($A442)),NA(),IF(OR($A442&lt;MIN(DKW_10Y!$A$2:$A$2918),$A442&gt;MAX(DKW_10Y!$A$2:$A$2918),Settings!$B$16&lt;MIN(DKW_10Y!$A$2:$A$2918)),NA(),(INDEX(DKW_10Y!$D$2:$D$2918,MATCH($A442,DKW_10Y!$A$2:$A$2918,1))-INDEX(DKW_10Y!$D$2:$D$2918,MATCH(Settings!$B$16,DKW_10Y!$A$2:$A$2918,1)))*100))</f>
        <v/>
      </c>
      <c r="AA442" s="19">
        <f>IF(NOT(ISNUMBER($A442)),NA(),IF(OR($A442&lt;MIN(DKW_10Y!$A$2:$A$2918),$A442&gt;MAX(DKW_10Y!$A$2:$A$2918),Settings!$B$16&lt;MIN(DKW_10Y!$A$2:$A$2918)),NA(),(INDEX(DKW_10Y!$E$2:$E$2918,MATCH($A442,DKW_10Y!$A$2:$A$2918,1))-INDEX(DKW_10Y!$E$2:$E$2918,MATCH(Settings!$B$16,DKW_10Y!$A$2:$A$2918,1)))*100))</f>
        <v/>
      </c>
      <c r="AB442" s="19">
        <f>IF(NOT(ISNUMBER($A442)),NA(),IF(OR($A442&lt;MIN(DKW_10Y!$A$2:$A$2918),$A442&gt;MAX(DKW_10Y!$A$2:$A$2918),Settings!$B$16&lt;MIN(DKW_10Y!$A$2:$A$2918)),NA(),(INDEX(DKW_10Y!$H$2:$H$2918,MATCH($A442,DKW_10Y!$A$2:$A$2918,1))-INDEX(DKW_10Y!$H$2:$H$2918,MATCH(Settings!$B$16,DKW_10Y!$A$2:$A$2918,1)))*100))</f>
        <v/>
      </c>
      <c r="AC442" s="18">
        <f>IF(NOT(ISNUMBER($A442)),NA(),IFERROR(1*INDEX(BBG_Data!$N$2:$N$4000,MATCH($A442,BBG_Data!$M$2:$M$4000,0)),NA()))</f>
        <v/>
      </c>
      <c r="AD442" s="18">
        <f>IF(NOT(ISNUMBER($A442)),NA(),IFERROR(1*INDEX(BBG_Data!$P$2:$P$4000,MATCH($A442,BBG_Data!$O$2:$O$4000,0)),NA()))</f>
        <v/>
      </c>
      <c r="AE442" s="18">
        <f>IF(NOT(ISNUMBER($A442)),NA(),IFERROR(1*INDEX(BBG_Data!$R$2:$R$4000,MATCH($A442,BBG_Data!$Q$2:$Q$4000,0)),NA()))</f>
        <v/>
      </c>
      <c r="AF442" s="20">
        <f>IF(AND(ISNUMBER(B442),ISNUMBER(AC442)),(B442-AC442)*100,NA())</f>
        <v/>
      </c>
      <c r="AG442" s="20">
        <f>IF(AND(ISNUMBER(AE442),ISNUMBER(AD442)),(AE442-AD442)*100,NA())</f>
        <v/>
      </c>
      <c r="AH442" s="19">
        <f>IF(NOT(ISNUMBER($A442)),NA(),IFERROR(INDEX(BBG_Data!$T$2:$T$4000,MATCH($A442,BBG_Data!$S$2:$S$4000,0))*Settings!$B$25,NA()))</f>
        <v/>
      </c>
      <c r="AI442" s="19">
        <f>IF(NOT(ISNUMBER($A442)),NA(),IFERROR(INDEX(BBG_Data!$V$2:$V$4000,MATCH($A442,BBG_Data!$U$2:$U$4000,0))*Settings!$B$25,NA()))</f>
        <v/>
      </c>
      <c r="AJ442" s="19">
        <f>IF(NOT(ISNUMBER($A442)),NA(),IFERROR(1*INDEX(BBG_Data!$X$2:$X$4000,MATCH($A442,BBG_Data!$W$2:$W$4000,0)),NA()))</f>
        <v/>
      </c>
      <c r="AK442" s="19">
        <f>IF(NOT(ISNUMBER($A442)),NA(),IFERROR(1*INDEX(BBG_Data!$Z$2:$Z$4000,MATCH($A442,BBG_Data!$Y$2:$Y$4000,0)),NA()))</f>
        <v/>
      </c>
    </row>
    <row r="443">
      <c r="A443" s="17">
        <f>IF(ISNUMBER(BBG_Data!A443),BBG_Data!A443,"")</f>
        <v/>
      </c>
      <c r="B443" s="18">
        <f>IF(AND(ISNUMBER($A443),ISNUMBER(BBG_Data!B443)),BBG_Data!B443,NA())</f>
        <v/>
      </c>
      <c r="C443" s="18">
        <f>IF(NOT(ISNUMBER($A443)),NA(),IFERROR(1*INDEX(BBG_Data!$D$2:$D$4000,MATCH($A443,BBG_Data!$C$2:$C$4000,0)),NA()))</f>
        <v/>
      </c>
      <c r="D443" s="19">
        <f>IF(NOT(ISNUMBER($A443)),NA(),IFERROR(1*INDEX(BBG_Data!$F$2:$F$4000,MATCH($A443,BBG_Data!$E$2:$E$4000,0)),NA()))</f>
        <v/>
      </c>
      <c r="E443" s="19">
        <f>IF(NOT(ISNUMBER($A443)),NA(),IFERROR(1*INDEX(BBG_Data!$H$2:$H$4000,MATCH($A443,BBG_Data!$G$2:$G$4000,0)),NA()))</f>
        <v/>
      </c>
      <c r="F443" s="20">
        <f>IF(AND(ISNUMBER(B443),ISNUMBER(B442)),IF(B443=B442,"",(B443-B442)*100),"")</f>
        <v/>
      </c>
      <c r="G443" s="20">
        <f>IF(AND(ISNUMBER(C443),ISNUMBER(C442)),IF(C443=C442,"",(C443-C442)*100),"")</f>
        <v/>
      </c>
      <c r="H443" s="20">
        <f>IF(OR(NOT(ISNUMBER($A443)),ROW()-2&lt;Settings!$B$11),NA(),IF(COUNT(OFFSET(F443,1-Settings!$B$11,0,Settings!$B$11,1))&lt;ROUNDUP(Settings!$B$11*Settings!$B$26,0),NA(),STDEV(OFFSET(F443,1-Settings!$B$11,0,Settings!$B$11,1))*SQRT(Settings!$B$13)))</f>
        <v/>
      </c>
      <c r="I443" s="20">
        <f>IF(OR(NOT(ISNUMBER($A443)),ROW()-2&lt;Settings!$B$12),NA(),IF(COUNT(OFFSET(F443,1-Settings!$B$12,0,Settings!$B$12,1))&lt;ROUNDUP(Settings!$B$12*Settings!$B$26,0),NA(),STDEV(OFFSET(F443,1-Settings!$B$12,0,Settings!$B$12,1))*SQRT(Settings!$B$13)))</f>
        <v/>
      </c>
      <c r="J443" s="20">
        <f>IF(OR(NOT(ISNUMBER($A443)),ROW()-2&lt;Settings!$B$11),NA(),IF(COUNT(OFFSET(G443,1-Settings!$B$11,0,Settings!$B$11,1))&lt;ROUNDUP(Settings!$B$11*Settings!$B$26,0),NA(),STDEV(OFFSET(G443,1-Settings!$B$11,0,Settings!$B$11,1))*SQRT(Settings!$B$13)))</f>
        <v/>
      </c>
      <c r="K443" s="20">
        <f>IF(OR(NOT(ISNUMBER($A443)),ROW()-2&lt;Settings!$B$12),NA(),IF(COUNT(OFFSET(G443,1-Settings!$B$12,0,Settings!$B$12,1))&lt;ROUNDUP(Settings!$B$12*Settings!$B$26,0),NA(),STDEV(OFFSET(G443,1-Settings!$B$12,0,Settings!$B$12,1))*SQRT(Settings!$B$13)))</f>
        <v/>
      </c>
      <c r="L443" s="20">
        <f>IF(AND(ISNUMBER(D443),ISNUMBER(H443)),D443-H443,NA())</f>
        <v/>
      </c>
      <c r="M443" s="20">
        <f>IF(AND(ISNUMBER(E443),ISNUMBER(K443)),E443-K443,NA())</f>
        <v/>
      </c>
      <c r="N443" s="20">
        <f>IF(NOT(ISNUMBER($A443)),NA(),IF(COUNT(OFFSET(G443,1,0,Settings!$B$12,1))&lt;ROUNDUP(Settings!$B$12*Settings!$B$26,0),NA(),STDEV(OFFSET(G443,1,0,Settings!$B$12,1))*SQRT(Settings!$B$13)))</f>
        <v/>
      </c>
      <c r="O443" s="20">
        <f>IF(AND(ISNUMBER(E443),ISNUMBER(N443)),E443-N443,NA())</f>
        <v/>
      </c>
      <c r="P443" s="19">
        <f>IF(NOT(ISNUMBER($A443)),NA(),IF(OR($A443&lt;MIN(KW_TP!$A$2:$A$2501),$A443&gt;MAX(KW_TP!$A$2:$A$2501)),NA(),INDEX(KW_TP!$C$2:$C$2501,MATCH($A443,KW_TP!$A$2:$A$2501,1))))</f>
        <v/>
      </c>
      <c r="Q443" s="18">
        <f>IF(NOT(ISNUMBER($A443)),NA(),IFERROR(1*INDEX(BBG_Data!$J$2:$J$4000,MATCH($A443,BBG_Data!$I$2:$I$4000,0)),NA()))</f>
        <v/>
      </c>
      <c r="R443" s="18">
        <f>IF(NOT(ISNUMBER($A443)),NA(),IFERROR(1*INDEX(BBG_Data!$L$2:$L$4000,MATCH($A443,BBG_Data!$K$2:$K$4000,0)),NA()))</f>
        <v/>
      </c>
      <c r="S443" s="20">
        <f>IF(AND(ISNUMBER(B443),ISNUMBER(Q443),ISNUMBER(R443)),(B443-Q443-R443)*100,NA())</f>
        <v/>
      </c>
      <c r="T443" s="20">
        <f>IF(AND(ISNUMBER(B443),Settings!$B$17&gt;0),IF(ISNUMBER(INDEX($B:$B,Settings!$B$17)),(B443-INDEX($B:$B,Settings!$B$17))*100,NA()),NA())</f>
        <v/>
      </c>
      <c r="U443" s="20">
        <f>IF(AND(ISNUMBER(Q443),Settings!$B$17&gt;0),IF(ISNUMBER(INDEX($Q:$Q,Settings!$B$17)),(Q443-INDEX($Q:$Q,Settings!$B$17))*100,NA()),NA())</f>
        <v/>
      </c>
      <c r="V443" s="20">
        <f>IF(AND(ISNUMBER(R443),Settings!$B$17&gt;0),IF(ISNUMBER(INDEX($R:$R,Settings!$B$17)),(R443-INDEX($R:$R,Settings!$B$17))*100,NA()),NA())</f>
        <v/>
      </c>
      <c r="W443" s="20">
        <f>IF(AND(ISNUMBER(P443),Settings!$B$17&gt;0),IF(ISNUMBER(INDEX($P:$P,Settings!$B$17)),P443-INDEX($P:$P,Settings!$B$17),NA()),NA())</f>
        <v/>
      </c>
      <c r="X443" s="19">
        <f>IF(NOT(ISNUMBER($A443)),NA(),IF(OR($A443&lt;MIN(DKW_10Y!$A$2:$A$2918),$A443&gt;MAX(DKW_10Y!$A$2:$A$2918),Settings!$B$16&lt;MIN(DKW_10Y!$A$2:$A$2918)),NA(),(INDEX(DKW_10Y!$B$2:$B$2918,MATCH($A443,DKW_10Y!$A$2:$A$2918,1))-INDEX(DKW_10Y!$B$2:$B$2918,MATCH(Settings!$B$16,DKW_10Y!$A$2:$A$2918,1)))*100))</f>
        <v/>
      </c>
      <c r="Y443" s="19">
        <f>IF(NOT(ISNUMBER($A443)),NA(),IF(OR($A443&lt;MIN(DKW_10Y!$A$2:$A$2918),$A443&gt;MAX(DKW_10Y!$A$2:$A$2918),Settings!$B$16&lt;MIN(DKW_10Y!$A$2:$A$2918)),NA(),(INDEX(DKW_10Y!$C$2:$C$2918,MATCH($A443,DKW_10Y!$A$2:$A$2918,1))-INDEX(DKW_10Y!$C$2:$C$2918,MATCH(Settings!$B$16,DKW_10Y!$A$2:$A$2918,1)))*100))</f>
        <v/>
      </c>
      <c r="Z443" s="19">
        <f>IF(NOT(ISNUMBER($A443)),NA(),IF(OR($A443&lt;MIN(DKW_10Y!$A$2:$A$2918),$A443&gt;MAX(DKW_10Y!$A$2:$A$2918),Settings!$B$16&lt;MIN(DKW_10Y!$A$2:$A$2918)),NA(),(INDEX(DKW_10Y!$D$2:$D$2918,MATCH($A443,DKW_10Y!$A$2:$A$2918,1))-INDEX(DKW_10Y!$D$2:$D$2918,MATCH(Settings!$B$16,DKW_10Y!$A$2:$A$2918,1)))*100))</f>
        <v/>
      </c>
      <c r="AA443" s="19">
        <f>IF(NOT(ISNUMBER($A443)),NA(),IF(OR($A443&lt;MIN(DKW_10Y!$A$2:$A$2918),$A443&gt;MAX(DKW_10Y!$A$2:$A$2918),Settings!$B$16&lt;MIN(DKW_10Y!$A$2:$A$2918)),NA(),(INDEX(DKW_10Y!$E$2:$E$2918,MATCH($A443,DKW_10Y!$A$2:$A$2918,1))-INDEX(DKW_10Y!$E$2:$E$2918,MATCH(Settings!$B$16,DKW_10Y!$A$2:$A$2918,1)))*100))</f>
        <v/>
      </c>
      <c r="AB443" s="19">
        <f>IF(NOT(ISNUMBER($A443)),NA(),IF(OR($A443&lt;MIN(DKW_10Y!$A$2:$A$2918),$A443&gt;MAX(DKW_10Y!$A$2:$A$2918),Settings!$B$16&lt;MIN(DKW_10Y!$A$2:$A$2918)),NA(),(INDEX(DKW_10Y!$H$2:$H$2918,MATCH($A443,DKW_10Y!$A$2:$A$2918,1))-INDEX(DKW_10Y!$H$2:$H$2918,MATCH(Settings!$B$16,DKW_10Y!$A$2:$A$2918,1)))*100))</f>
        <v/>
      </c>
      <c r="AC443" s="18">
        <f>IF(NOT(ISNUMBER($A443)),NA(),IFERROR(1*INDEX(BBG_Data!$N$2:$N$4000,MATCH($A443,BBG_Data!$M$2:$M$4000,0)),NA()))</f>
        <v/>
      </c>
      <c r="AD443" s="18">
        <f>IF(NOT(ISNUMBER($A443)),NA(),IFERROR(1*INDEX(BBG_Data!$P$2:$P$4000,MATCH($A443,BBG_Data!$O$2:$O$4000,0)),NA()))</f>
        <v/>
      </c>
      <c r="AE443" s="18">
        <f>IF(NOT(ISNUMBER($A443)),NA(),IFERROR(1*INDEX(BBG_Data!$R$2:$R$4000,MATCH($A443,BBG_Data!$Q$2:$Q$4000,0)),NA()))</f>
        <v/>
      </c>
      <c r="AF443" s="20">
        <f>IF(AND(ISNUMBER(B443),ISNUMBER(AC443)),(B443-AC443)*100,NA())</f>
        <v/>
      </c>
      <c r="AG443" s="20">
        <f>IF(AND(ISNUMBER(AE443),ISNUMBER(AD443)),(AE443-AD443)*100,NA())</f>
        <v/>
      </c>
      <c r="AH443" s="19">
        <f>IF(NOT(ISNUMBER($A443)),NA(),IFERROR(INDEX(BBG_Data!$T$2:$T$4000,MATCH($A443,BBG_Data!$S$2:$S$4000,0))*Settings!$B$25,NA()))</f>
        <v/>
      </c>
      <c r="AI443" s="19">
        <f>IF(NOT(ISNUMBER($A443)),NA(),IFERROR(INDEX(BBG_Data!$V$2:$V$4000,MATCH($A443,BBG_Data!$U$2:$U$4000,0))*Settings!$B$25,NA()))</f>
        <v/>
      </c>
      <c r="AJ443" s="19">
        <f>IF(NOT(ISNUMBER($A443)),NA(),IFERROR(1*INDEX(BBG_Data!$X$2:$X$4000,MATCH($A443,BBG_Data!$W$2:$W$4000,0)),NA()))</f>
        <v/>
      </c>
      <c r="AK443" s="19">
        <f>IF(NOT(ISNUMBER($A443)),NA(),IFERROR(1*INDEX(BBG_Data!$Z$2:$Z$4000,MATCH($A443,BBG_Data!$Y$2:$Y$4000,0)),NA()))</f>
        <v/>
      </c>
    </row>
    <row r="444">
      <c r="A444" s="17">
        <f>IF(ISNUMBER(BBG_Data!A444),BBG_Data!A444,"")</f>
        <v/>
      </c>
      <c r="B444" s="18">
        <f>IF(AND(ISNUMBER($A444),ISNUMBER(BBG_Data!B444)),BBG_Data!B444,NA())</f>
        <v/>
      </c>
      <c r="C444" s="18">
        <f>IF(NOT(ISNUMBER($A444)),NA(),IFERROR(1*INDEX(BBG_Data!$D$2:$D$4000,MATCH($A444,BBG_Data!$C$2:$C$4000,0)),NA()))</f>
        <v/>
      </c>
      <c r="D444" s="19">
        <f>IF(NOT(ISNUMBER($A444)),NA(),IFERROR(1*INDEX(BBG_Data!$F$2:$F$4000,MATCH($A444,BBG_Data!$E$2:$E$4000,0)),NA()))</f>
        <v/>
      </c>
      <c r="E444" s="19">
        <f>IF(NOT(ISNUMBER($A444)),NA(),IFERROR(1*INDEX(BBG_Data!$H$2:$H$4000,MATCH($A444,BBG_Data!$G$2:$G$4000,0)),NA()))</f>
        <v/>
      </c>
      <c r="F444" s="20">
        <f>IF(AND(ISNUMBER(B444),ISNUMBER(B443)),IF(B444=B443,"",(B444-B443)*100),"")</f>
        <v/>
      </c>
      <c r="G444" s="20">
        <f>IF(AND(ISNUMBER(C444),ISNUMBER(C443)),IF(C444=C443,"",(C444-C443)*100),"")</f>
        <v/>
      </c>
      <c r="H444" s="20">
        <f>IF(OR(NOT(ISNUMBER($A444)),ROW()-2&lt;Settings!$B$11),NA(),IF(COUNT(OFFSET(F444,1-Settings!$B$11,0,Settings!$B$11,1))&lt;ROUNDUP(Settings!$B$11*Settings!$B$26,0),NA(),STDEV(OFFSET(F444,1-Settings!$B$11,0,Settings!$B$11,1))*SQRT(Settings!$B$13)))</f>
        <v/>
      </c>
      <c r="I444" s="20">
        <f>IF(OR(NOT(ISNUMBER($A444)),ROW()-2&lt;Settings!$B$12),NA(),IF(COUNT(OFFSET(F444,1-Settings!$B$12,0,Settings!$B$12,1))&lt;ROUNDUP(Settings!$B$12*Settings!$B$26,0),NA(),STDEV(OFFSET(F444,1-Settings!$B$12,0,Settings!$B$12,1))*SQRT(Settings!$B$13)))</f>
        <v/>
      </c>
      <c r="J444" s="20">
        <f>IF(OR(NOT(ISNUMBER($A444)),ROW()-2&lt;Settings!$B$11),NA(),IF(COUNT(OFFSET(G444,1-Settings!$B$11,0,Settings!$B$11,1))&lt;ROUNDUP(Settings!$B$11*Settings!$B$26,0),NA(),STDEV(OFFSET(G444,1-Settings!$B$11,0,Settings!$B$11,1))*SQRT(Settings!$B$13)))</f>
        <v/>
      </c>
      <c r="K444" s="20">
        <f>IF(OR(NOT(ISNUMBER($A444)),ROW()-2&lt;Settings!$B$12),NA(),IF(COUNT(OFFSET(G444,1-Settings!$B$12,0,Settings!$B$12,1))&lt;ROUNDUP(Settings!$B$12*Settings!$B$26,0),NA(),STDEV(OFFSET(G444,1-Settings!$B$12,0,Settings!$B$12,1))*SQRT(Settings!$B$13)))</f>
        <v/>
      </c>
      <c r="L444" s="20">
        <f>IF(AND(ISNUMBER(D444),ISNUMBER(H444)),D444-H444,NA())</f>
        <v/>
      </c>
      <c r="M444" s="20">
        <f>IF(AND(ISNUMBER(E444),ISNUMBER(K444)),E444-K444,NA())</f>
        <v/>
      </c>
      <c r="N444" s="20">
        <f>IF(NOT(ISNUMBER($A444)),NA(),IF(COUNT(OFFSET(G444,1,0,Settings!$B$12,1))&lt;ROUNDUP(Settings!$B$12*Settings!$B$26,0),NA(),STDEV(OFFSET(G444,1,0,Settings!$B$12,1))*SQRT(Settings!$B$13)))</f>
        <v/>
      </c>
      <c r="O444" s="20">
        <f>IF(AND(ISNUMBER(E444),ISNUMBER(N444)),E444-N444,NA())</f>
        <v/>
      </c>
      <c r="P444" s="19">
        <f>IF(NOT(ISNUMBER($A444)),NA(),IF(OR($A444&lt;MIN(KW_TP!$A$2:$A$2501),$A444&gt;MAX(KW_TP!$A$2:$A$2501)),NA(),INDEX(KW_TP!$C$2:$C$2501,MATCH($A444,KW_TP!$A$2:$A$2501,1))))</f>
        <v/>
      </c>
      <c r="Q444" s="18">
        <f>IF(NOT(ISNUMBER($A444)),NA(),IFERROR(1*INDEX(BBG_Data!$J$2:$J$4000,MATCH($A444,BBG_Data!$I$2:$I$4000,0)),NA()))</f>
        <v/>
      </c>
      <c r="R444" s="18">
        <f>IF(NOT(ISNUMBER($A444)),NA(),IFERROR(1*INDEX(BBG_Data!$L$2:$L$4000,MATCH($A444,BBG_Data!$K$2:$K$4000,0)),NA()))</f>
        <v/>
      </c>
      <c r="S444" s="20">
        <f>IF(AND(ISNUMBER(B444),ISNUMBER(Q444),ISNUMBER(R444)),(B444-Q444-R444)*100,NA())</f>
        <v/>
      </c>
      <c r="T444" s="20">
        <f>IF(AND(ISNUMBER(B444),Settings!$B$17&gt;0),IF(ISNUMBER(INDEX($B:$B,Settings!$B$17)),(B444-INDEX($B:$B,Settings!$B$17))*100,NA()),NA())</f>
        <v/>
      </c>
      <c r="U444" s="20">
        <f>IF(AND(ISNUMBER(Q444),Settings!$B$17&gt;0),IF(ISNUMBER(INDEX($Q:$Q,Settings!$B$17)),(Q444-INDEX($Q:$Q,Settings!$B$17))*100,NA()),NA())</f>
        <v/>
      </c>
      <c r="V444" s="20">
        <f>IF(AND(ISNUMBER(R444),Settings!$B$17&gt;0),IF(ISNUMBER(INDEX($R:$R,Settings!$B$17)),(R444-INDEX($R:$R,Settings!$B$17))*100,NA()),NA())</f>
        <v/>
      </c>
      <c r="W444" s="20">
        <f>IF(AND(ISNUMBER(P444),Settings!$B$17&gt;0),IF(ISNUMBER(INDEX($P:$P,Settings!$B$17)),P444-INDEX($P:$P,Settings!$B$17),NA()),NA())</f>
        <v/>
      </c>
      <c r="X444" s="19">
        <f>IF(NOT(ISNUMBER($A444)),NA(),IF(OR($A444&lt;MIN(DKW_10Y!$A$2:$A$2918),$A444&gt;MAX(DKW_10Y!$A$2:$A$2918),Settings!$B$16&lt;MIN(DKW_10Y!$A$2:$A$2918)),NA(),(INDEX(DKW_10Y!$B$2:$B$2918,MATCH($A444,DKW_10Y!$A$2:$A$2918,1))-INDEX(DKW_10Y!$B$2:$B$2918,MATCH(Settings!$B$16,DKW_10Y!$A$2:$A$2918,1)))*100))</f>
        <v/>
      </c>
      <c r="Y444" s="19">
        <f>IF(NOT(ISNUMBER($A444)),NA(),IF(OR($A444&lt;MIN(DKW_10Y!$A$2:$A$2918),$A444&gt;MAX(DKW_10Y!$A$2:$A$2918),Settings!$B$16&lt;MIN(DKW_10Y!$A$2:$A$2918)),NA(),(INDEX(DKW_10Y!$C$2:$C$2918,MATCH($A444,DKW_10Y!$A$2:$A$2918,1))-INDEX(DKW_10Y!$C$2:$C$2918,MATCH(Settings!$B$16,DKW_10Y!$A$2:$A$2918,1)))*100))</f>
        <v/>
      </c>
      <c r="Z444" s="19">
        <f>IF(NOT(ISNUMBER($A444)),NA(),IF(OR($A444&lt;MIN(DKW_10Y!$A$2:$A$2918),$A444&gt;MAX(DKW_10Y!$A$2:$A$2918),Settings!$B$16&lt;MIN(DKW_10Y!$A$2:$A$2918)),NA(),(INDEX(DKW_10Y!$D$2:$D$2918,MATCH($A444,DKW_10Y!$A$2:$A$2918,1))-INDEX(DKW_10Y!$D$2:$D$2918,MATCH(Settings!$B$16,DKW_10Y!$A$2:$A$2918,1)))*100))</f>
        <v/>
      </c>
      <c r="AA444" s="19">
        <f>IF(NOT(ISNUMBER($A444)),NA(),IF(OR($A444&lt;MIN(DKW_10Y!$A$2:$A$2918),$A444&gt;MAX(DKW_10Y!$A$2:$A$2918),Settings!$B$16&lt;MIN(DKW_10Y!$A$2:$A$2918)),NA(),(INDEX(DKW_10Y!$E$2:$E$2918,MATCH($A444,DKW_10Y!$A$2:$A$2918,1))-INDEX(DKW_10Y!$E$2:$E$2918,MATCH(Settings!$B$16,DKW_10Y!$A$2:$A$2918,1)))*100))</f>
        <v/>
      </c>
      <c r="AB444" s="19">
        <f>IF(NOT(ISNUMBER($A444)),NA(),IF(OR($A444&lt;MIN(DKW_10Y!$A$2:$A$2918),$A444&gt;MAX(DKW_10Y!$A$2:$A$2918),Settings!$B$16&lt;MIN(DKW_10Y!$A$2:$A$2918)),NA(),(INDEX(DKW_10Y!$H$2:$H$2918,MATCH($A444,DKW_10Y!$A$2:$A$2918,1))-INDEX(DKW_10Y!$H$2:$H$2918,MATCH(Settings!$B$16,DKW_10Y!$A$2:$A$2918,1)))*100))</f>
        <v/>
      </c>
      <c r="AC444" s="18">
        <f>IF(NOT(ISNUMBER($A444)),NA(),IFERROR(1*INDEX(BBG_Data!$N$2:$N$4000,MATCH($A444,BBG_Data!$M$2:$M$4000,0)),NA()))</f>
        <v/>
      </c>
      <c r="AD444" s="18">
        <f>IF(NOT(ISNUMBER($A444)),NA(),IFERROR(1*INDEX(BBG_Data!$P$2:$P$4000,MATCH($A444,BBG_Data!$O$2:$O$4000,0)),NA()))</f>
        <v/>
      </c>
      <c r="AE444" s="18">
        <f>IF(NOT(ISNUMBER($A444)),NA(),IFERROR(1*INDEX(BBG_Data!$R$2:$R$4000,MATCH($A444,BBG_Data!$Q$2:$Q$4000,0)),NA()))</f>
        <v/>
      </c>
      <c r="AF444" s="20">
        <f>IF(AND(ISNUMBER(B444),ISNUMBER(AC444)),(B444-AC444)*100,NA())</f>
        <v/>
      </c>
      <c r="AG444" s="20">
        <f>IF(AND(ISNUMBER(AE444),ISNUMBER(AD444)),(AE444-AD444)*100,NA())</f>
        <v/>
      </c>
      <c r="AH444" s="19">
        <f>IF(NOT(ISNUMBER($A444)),NA(),IFERROR(INDEX(BBG_Data!$T$2:$T$4000,MATCH($A444,BBG_Data!$S$2:$S$4000,0))*Settings!$B$25,NA()))</f>
        <v/>
      </c>
      <c r="AI444" s="19">
        <f>IF(NOT(ISNUMBER($A444)),NA(),IFERROR(INDEX(BBG_Data!$V$2:$V$4000,MATCH($A444,BBG_Data!$U$2:$U$4000,0))*Settings!$B$25,NA()))</f>
        <v/>
      </c>
      <c r="AJ444" s="19">
        <f>IF(NOT(ISNUMBER($A444)),NA(),IFERROR(1*INDEX(BBG_Data!$X$2:$X$4000,MATCH($A444,BBG_Data!$W$2:$W$4000,0)),NA()))</f>
        <v/>
      </c>
      <c r="AK444" s="19">
        <f>IF(NOT(ISNUMBER($A444)),NA(),IFERROR(1*INDEX(BBG_Data!$Z$2:$Z$4000,MATCH($A444,BBG_Data!$Y$2:$Y$4000,0)),NA()))</f>
        <v/>
      </c>
    </row>
    <row r="445">
      <c r="A445" s="17">
        <f>IF(ISNUMBER(BBG_Data!A445),BBG_Data!A445,"")</f>
        <v/>
      </c>
      <c r="B445" s="18">
        <f>IF(AND(ISNUMBER($A445),ISNUMBER(BBG_Data!B445)),BBG_Data!B445,NA())</f>
        <v/>
      </c>
      <c r="C445" s="18">
        <f>IF(NOT(ISNUMBER($A445)),NA(),IFERROR(1*INDEX(BBG_Data!$D$2:$D$4000,MATCH($A445,BBG_Data!$C$2:$C$4000,0)),NA()))</f>
        <v/>
      </c>
      <c r="D445" s="19">
        <f>IF(NOT(ISNUMBER($A445)),NA(),IFERROR(1*INDEX(BBG_Data!$F$2:$F$4000,MATCH($A445,BBG_Data!$E$2:$E$4000,0)),NA()))</f>
        <v/>
      </c>
      <c r="E445" s="19">
        <f>IF(NOT(ISNUMBER($A445)),NA(),IFERROR(1*INDEX(BBG_Data!$H$2:$H$4000,MATCH($A445,BBG_Data!$G$2:$G$4000,0)),NA()))</f>
        <v/>
      </c>
      <c r="F445" s="20">
        <f>IF(AND(ISNUMBER(B445),ISNUMBER(B444)),IF(B445=B444,"",(B445-B444)*100),"")</f>
        <v/>
      </c>
      <c r="G445" s="20">
        <f>IF(AND(ISNUMBER(C445),ISNUMBER(C444)),IF(C445=C444,"",(C445-C444)*100),"")</f>
        <v/>
      </c>
      <c r="H445" s="20">
        <f>IF(OR(NOT(ISNUMBER($A445)),ROW()-2&lt;Settings!$B$11),NA(),IF(COUNT(OFFSET(F445,1-Settings!$B$11,0,Settings!$B$11,1))&lt;ROUNDUP(Settings!$B$11*Settings!$B$26,0),NA(),STDEV(OFFSET(F445,1-Settings!$B$11,0,Settings!$B$11,1))*SQRT(Settings!$B$13)))</f>
        <v/>
      </c>
      <c r="I445" s="20">
        <f>IF(OR(NOT(ISNUMBER($A445)),ROW()-2&lt;Settings!$B$12),NA(),IF(COUNT(OFFSET(F445,1-Settings!$B$12,0,Settings!$B$12,1))&lt;ROUNDUP(Settings!$B$12*Settings!$B$26,0),NA(),STDEV(OFFSET(F445,1-Settings!$B$12,0,Settings!$B$12,1))*SQRT(Settings!$B$13)))</f>
        <v/>
      </c>
      <c r="J445" s="20">
        <f>IF(OR(NOT(ISNUMBER($A445)),ROW()-2&lt;Settings!$B$11),NA(),IF(COUNT(OFFSET(G445,1-Settings!$B$11,0,Settings!$B$11,1))&lt;ROUNDUP(Settings!$B$11*Settings!$B$26,0),NA(),STDEV(OFFSET(G445,1-Settings!$B$11,0,Settings!$B$11,1))*SQRT(Settings!$B$13)))</f>
        <v/>
      </c>
      <c r="K445" s="20">
        <f>IF(OR(NOT(ISNUMBER($A445)),ROW()-2&lt;Settings!$B$12),NA(),IF(COUNT(OFFSET(G445,1-Settings!$B$12,0,Settings!$B$12,1))&lt;ROUNDUP(Settings!$B$12*Settings!$B$26,0),NA(),STDEV(OFFSET(G445,1-Settings!$B$12,0,Settings!$B$12,1))*SQRT(Settings!$B$13)))</f>
        <v/>
      </c>
      <c r="L445" s="20">
        <f>IF(AND(ISNUMBER(D445),ISNUMBER(H445)),D445-H445,NA())</f>
        <v/>
      </c>
      <c r="M445" s="20">
        <f>IF(AND(ISNUMBER(E445),ISNUMBER(K445)),E445-K445,NA())</f>
        <v/>
      </c>
      <c r="N445" s="20">
        <f>IF(NOT(ISNUMBER($A445)),NA(),IF(COUNT(OFFSET(G445,1,0,Settings!$B$12,1))&lt;ROUNDUP(Settings!$B$12*Settings!$B$26,0),NA(),STDEV(OFFSET(G445,1,0,Settings!$B$12,1))*SQRT(Settings!$B$13)))</f>
        <v/>
      </c>
      <c r="O445" s="20">
        <f>IF(AND(ISNUMBER(E445),ISNUMBER(N445)),E445-N445,NA())</f>
        <v/>
      </c>
      <c r="P445" s="19">
        <f>IF(NOT(ISNUMBER($A445)),NA(),IF(OR($A445&lt;MIN(KW_TP!$A$2:$A$2501),$A445&gt;MAX(KW_TP!$A$2:$A$2501)),NA(),INDEX(KW_TP!$C$2:$C$2501,MATCH($A445,KW_TP!$A$2:$A$2501,1))))</f>
        <v/>
      </c>
      <c r="Q445" s="18">
        <f>IF(NOT(ISNUMBER($A445)),NA(),IFERROR(1*INDEX(BBG_Data!$J$2:$J$4000,MATCH($A445,BBG_Data!$I$2:$I$4000,0)),NA()))</f>
        <v/>
      </c>
      <c r="R445" s="18">
        <f>IF(NOT(ISNUMBER($A445)),NA(),IFERROR(1*INDEX(BBG_Data!$L$2:$L$4000,MATCH($A445,BBG_Data!$K$2:$K$4000,0)),NA()))</f>
        <v/>
      </c>
      <c r="S445" s="20">
        <f>IF(AND(ISNUMBER(B445),ISNUMBER(Q445),ISNUMBER(R445)),(B445-Q445-R445)*100,NA())</f>
        <v/>
      </c>
      <c r="T445" s="20">
        <f>IF(AND(ISNUMBER(B445),Settings!$B$17&gt;0),IF(ISNUMBER(INDEX($B:$B,Settings!$B$17)),(B445-INDEX($B:$B,Settings!$B$17))*100,NA()),NA())</f>
        <v/>
      </c>
      <c r="U445" s="20">
        <f>IF(AND(ISNUMBER(Q445),Settings!$B$17&gt;0),IF(ISNUMBER(INDEX($Q:$Q,Settings!$B$17)),(Q445-INDEX($Q:$Q,Settings!$B$17))*100,NA()),NA())</f>
        <v/>
      </c>
      <c r="V445" s="20">
        <f>IF(AND(ISNUMBER(R445),Settings!$B$17&gt;0),IF(ISNUMBER(INDEX($R:$R,Settings!$B$17)),(R445-INDEX($R:$R,Settings!$B$17))*100,NA()),NA())</f>
        <v/>
      </c>
      <c r="W445" s="20">
        <f>IF(AND(ISNUMBER(P445),Settings!$B$17&gt;0),IF(ISNUMBER(INDEX($P:$P,Settings!$B$17)),P445-INDEX($P:$P,Settings!$B$17),NA()),NA())</f>
        <v/>
      </c>
      <c r="X445" s="19">
        <f>IF(NOT(ISNUMBER($A445)),NA(),IF(OR($A445&lt;MIN(DKW_10Y!$A$2:$A$2918),$A445&gt;MAX(DKW_10Y!$A$2:$A$2918),Settings!$B$16&lt;MIN(DKW_10Y!$A$2:$A$2918)),NA(),(INDEX(DKW_10Y!$B$2:$B$2918,MATCH($A445,DKW_10Y!$A$2:$A$2918,1))-INDEX(DKW_10Y!$B$2:$B$2918,MATCH(Settings!$B$16,DKW_10Y!$A$2:$A$2918,1)))*100))</f>
        <v/>
      </c>
      <c r="Y445" s="19">
        <f>IF(NOT(ISNUMBER($A445)),NA(),IF(OR($A445&lt;MIN(DKW_10Y!$A$2:$A$2918),$A445&gt;MAX(DKW_10Y!$A$2:$A$2918),Settings!$B$16&lt;MIN(DKW_10Y!$A$2:$A$2918)),NA(),(INDEX(DKW_10Y!$C$2:$C$2918,MATCH($A445,DKW_10Y!$A$2:$A$2918,1))-INDEX(DKW_10Y!$C$2:$C$2918,MATCH(Settings!$B$16,DKW_10Y!$A$2:$A$2918,1)))*100))</f>
        <v/>
      </c>
      <c r="Z445" s="19">
        <f>IF(NOT(ISNUMBER($A445)),NA(),IF(OR($A445&lt;MIN(DKW_10Y!$A$2:$A$2918),$A445&gt;MAX(DKW_10Y!$A$2:$A$2918),Settings!$B$16&lt;MIN(DKW_10Y!$A$2:$A$2918)),NA(),(INDEX(DKW_10Y!$D$2:$D$2918,MATCH($A445,DKW_10Y!$A$2:$A$2918,1))-INDEX(DKW_10Y!$D$2:$D$2918,MATCH(Settings!$B$16,DKW_10Y!$A$2:$A$2918,1)))*100))</f>
        <v/>
      </c>
      <c r="AA445" s="19">
        <f>IF(NOT(ISNUMBER($A445)),NA(),IF(OR($A445&lt;MIN(DKW_10Y!$A$2:$A$2918),$A445&gt;MAX(DKW_10Y!$A$2:$A$2918),Settings!$B$16&lt;MIN(DKW_10Y!$A$2:$A$2918)),NA(),(INDEX(DKW_10Y!$E$2:$E$2918,MATCH($A445,DKW_10Y!$A$2:$A$2918,1))-INDEX(DKW_10Y!$E$2:$E$2918,MATCH(Settings!$B$16,DKW_10Y!$A$2:$A$2918,1)))*100))</f>
        <v/>
      </c>
      <c r="AB445" s="19">
        <f>IF(NOT(ISNUMBER($A445)),NA(),IF(OR($A445&lt;MIN(DKW_10Y!$A$2:$A$2918),$A445&gt;MAX(DKW_10Y!$A$2:$A$2918),Settings!$B$16&lt;MIN(DKW_10Y!$A$2:$A$2918)),NA(),(INDEX(DKW_10Y!$H$2:$H$2918,MATCH($A445,DKW_10Y!$A$2:$A$2918,1))-INDEX(DKW_10Y!$H$2:$H$2918,MATCH(Settings!$B$16,DKW_10Y!$A$2:$A$2918,1)))*100))</f>
        <v/>
      </c>
      <c r="AC445" s="18">
        <f>IF(NOT(ISNUMBER($A445)),NA(),IFERROR(1*INDEX(BBG_Data!$N$2:$N$4000,MATCH($A445,BBG_Data!$M$2:$M$4000,0)),NA()))</f>
        <v/>
      </c>
      <c r="AD445" s="18">
        <f>IF(NOT(ISNUMBER($A445)),NA(),IFERROR(1*INDEX(BBG_Data!$P$2:$P$4000,MATCH($A445,BBG_Data!$O$2:$O$4000,0)),NA()))</f>
        <v/>
      </c>
      <c r="AE445" s="18">
        <f>IF(NOT(ISNUMBER($A445)),NA(),IFERROR(1*INDEX(BBG_Data!$R$2:$R$4000,MATCH($A445,BBG_Data!$Q$2:$Q$4000,0)),NA()))</f>
        <v/>
      </c>
      <c r="AF445" s="20">
        <f>IF(AND(ISNUMBER(B445),ISNUMBER(AC445)),(B445-AC445)*100,NA())</f>
        <v/>
      </c>
      <c r="AG445" s="20">
        <f>IF(AND(ISNUMBER(AE445),ISNUMBER(AD445)),(AE445-AD445)*100,NA())</f>
        <v/>
      </c>
      <c r="AH445" s="19">
        <f>IF(NOT(ISNUMBER($A445)),NA(),IFERROR(INDEX(BBG_Data!$T$2:$T$4000,MATCH($A445,BBG_Data!$S$2:$S$4000,0))*Settings!$B$25,NA()))</f>
        <v/>
      </c>
      <c r="AI445" s="19">
        <f>IF(NOT(ISNUMBER($A445)),NA(),IFERROR(INDEX(BBG_Data!$V$2:$V$4000,MATCH($A445,BBG_Data!$U$2:$U$4000,0))*Settings!$B$25,NA()))</f>
        <v/>
      </c>
      <c r="AJ445" s="19">
        <f>IF(NOT(ISNUMBER($A445)),NA(),IFERROR(1*INDEX(BBG_Data!$X$2:$X$4000,MATCH($A445,BBG_Data!$W$2:$W$4000,0)),NA()))</f>
        <v/>
      </c>
      <c r="AK445" s="19">
        <f>IF(NOT(ISNUMBER($A445)),NA(),IFERROR(1*INDEX(BBG_Data!$Z$2:$Z$4000,MATCH($A445,BBG_Data!$Y$2:$Y$4000,0)),NA()))</f>
        <v/>
      </c>
    </row>
    <row r="446">
      <c r="A446" s="17">
        <f>IF(ISNUMBER(BBG_Data!A446),BBG_Data!A446,"")</f>
        <v/>
      </c>
      <c r="B446" s="18">
        <f>IF(AND(ISNUMBER($A446),ISNUMBER(BBG_Data!B446)),BBG_Data!B446,NA())</f>
        <v/>
      </c>
      <c r="C446" s="18">
        <f>IF(NOT(ISNUMBER($A446)),NA(),IFERROR(1*INDEX(BBG_Data!$D$2:$D$4000,MATCH($A446,BBG_Data!$C$2:$C$4000,0)),NA()))</f>
        <v/>
      </c>
      <c r="D446" s="19">
        <f>IF(NOT(ISNUMBER($A446)),NA(),IFERROR(1*INDEX(BBG_Data!$F$2:$F$4000,MATCH($A446,BBG_Data!$E$2:$E$4000,0)),NA()))</f>
        <v/>
      </c>
      <c r="E446" s="19">
        <f>IF(NOT(ISNUMBER($A446)),NA(),IFERROR(1*INDEX(BBG_Data!$H$2:$H$4000,MATCH($A446,BBG_Data!$G$2:$G$4000,0)),NA()))</f>
        <v/>
      </c>
      <c r="F446" s="20">
        <f>IF(AND(ISNUMBER(B446),ISNUMBER(B445)),IF(B446=B445,"",(B446-B445)*100),"")</f>
        <v/>
      </c>
      <c r="G446" s="20">
        <f>IF(AND(ISNUMBER(C446),ISNUMBER(C445)),IF(C446=C445,"",(C446-C445)*100),"")</f>
        <v/>
      </c>
      <c r="H446" s="20">
        <f>IF(OR(NOT(ISNUMBER($A446)),ROW()-2&lt;Settings!$B$11),NA(),IF(COUNT(OFFSET(F446,1-Settings!$B$11,0,Settings!$B$11,1))&lt;ROUNDUP(Settings!$B$11*Settings!$B$26,0),NA(),STDEV(OFFSET(F446,1-Settings!$B$11,0,Settings!$B$11,1))*SQRT(Settings!$B$13)))</f>
        <v/>
      </c>
      <c r="I446" s="20">
        <f>IF(OR(NOT(ISNUMBER($A446)),ROW()-2&lt;Settings!$B$12),NA(),IF(COUNT(OFFSET(F446,1-Settings!$B$12,0,Settings!$B$12,1))&lt;ROUNDUP(Settings!$B$12*Settings!$B$26,0),NA(),STDEV(OFFSET(F446,1-Settings!$B$12,0,Settings!$B$12,1))*SQRT(Settings!$B$13)))</f>
        <v/>
      </c>
      <c r="J446" s="20">
        <f>IF(OR(NOT(ISNUMBER($A446)),ROW()-2&lt;Settings!$B$11),NA(),IF(COUNT(OFFSET(G446,1-Settings!$B$11,0,Settings!$B$11,1))&lt;ROUNDUP(Settings!$B$11*Settings!$B$26,0),NA(),STDEV(OFFSET(G446,1-Settings!$B$11,0,Settings!$B$11,1))*SQRT(Settings!$B$13)))</f>
        <v/>
      </c>
      <c r="K446" s="20">
        <f>IF(OR(NOT(ISNUMBER($A446)),ROW()-2&lt;Settings!$B$12),NA(),IF(COUNT(OFFSET(G446,1-Settings!$B$12,0,Settings!$B$12,1))&lt;ROUNDUP(Settings!$B$12*Settings!$B$26,0),NA(),STDEV(OFFSET(G446,1-Settings!$B$12,0,Settings!$B$12,1))*SQRT(Settings!$B$13)))</f>
        <v/>
      </c>
      <c r="L446" s="20">
        <f>IF(AND(ISNUMBER(D446),ISNUMBER(H446)),D446-H446,NA())</f>
        <v/>
      </c>
      <c r="M446" s="20">
        <f>IF(AND(ISNUMBER(E446),ISNUMBER(K446)),E446-K446,NA())</f>
        <v/>
      </c>
      <c r="N446" s="20">
        <f>IF(NOT(ISNUMBER($A446)),NA(),IF(COUNT(OFFSET(G446,1,0,Settings!$B$12,1))&lt;ROUNDUP(Settings!$B$12*Settings!$B$26,0),NA(),STDEV(OFFSET(G446,1,0,Settings!$B$12,1))*SQRT(Settings!$B$13)))</f>
        <v/>
      </c>
      <c r="O446" s="20">
        <f>IF(AND(ISNUMBER(E446),ISNUMBER(N446)),E446-N446,NA())</f>
        <v/>
      </c>
      <c r="P446" s="19">
        <f>IF(NOT(ISNUMBER($A446)),NA(),IF(OR($A446&lt;MIN(KW_TP!$A$2:$A$2501),$A446&gt;MAX(KW_TP!$A$2:$A$2501)),NA(),INDEX(KW_TP!$C$2:$C$2501,MATCH($A446,KW_TP!$A$2:$A$2501,1))))</f>
        <v/>
      </c>
      <c r="Q446" s="18">
        <f>IF(NOT(ISNUMBER($A446)),NA(),IFERROR(1*INDEX(BBG_Data!$J$2:$J$4000,MATCH($A446,BBG_Data!$I$2:$I$4000,0)),NA()))</f>
        <v/>
      </c>
      <c r="R446" s="18">
        <f>IF(NOT(ISNUMBER($A446)),NA(),IFERROR(1*INDEX(BBG_Data!$L$2:$L$4000,MATCH($A446,BBG_Data!$K$2:$K$4000,0)),NA()))</f>
        <v/>
      </c>
      <c r="S446" s="20">
        <f>IF(AND(ISNUMBER(B446),ISNUMBER(Q446),ISNUMBER(R446)),(B446-Q446-R446)*100,NA())</f>
        <v/>
      </c>
      <c r="T446" s="20">
        <f>IF(AND(ISNUMBER(B446),Settings!$B$17&gt;0),IF(ISNUMBER(INDEX($B:$B,Settings!$B$17)),(B446-INDEX($B:$B,Settings!$B$17))*100,NA()),NA())</f>
        <v/>
      </c>
      <c r="U446" s="20">
        <f>IF(AND(ISNUMBER(Q446),Settings!$B$17&gt;0),IF(ISNUMBER(INDEX($Q:$Q,Settings!$B$17)),(Q446-INDEX($Q:$Q,Settings!$B$17))*100,NA()),NA())</f>
        <v/>
      </c>
      <c r="V446" s="20">
        <f>IF(AND(ISNUMBER(R446),Settings!$B$17&gt;0),IF(ISNUMBER(INDEX($R:$R,Settings!$B$17)),(R446-INDEX($R:$R,Settings!$B$17))*100,NA()),NA())</f>
        <v/>
      </c>
      <c r="W446" s="20">
        <f>IF(AND(ISNUMBER(P446),Settings!$B$17&gt;0),IF(ISNUMBER(INDEX($P:$P,Settings!$B$17)),P446-INDEX($P:$P,Settings!$B$17),NA()),NA())</f>
        <v/>
      </c>
      <c r="X446" s="19">
        <f>IF(NOT(ISNUMBER($A446)),NA(),IF(OR($A446&lt;MIN(DKW_10Y!$A$2:$A$2918),$A446&gt;MAX(DKW_10Y!$A$2:$A$2918),Settings!$B$16&lt;MIN(DKW_10Y!$A$2:$A$2918)),NA(),(INDEX(DKW_10Y!$B$2:$B$2918,MATCH($A446,DKW_10Y!$A$2:$A$2918,1))-INDEX(DKW_10Y!$B$2:$B$2918,MATCH(Settings!$B$16,DKW_10Y!$A$2:$A$2918,1)))*100))</f>
        <v/>
      </c>
      <c r="Y446" s="19">
        <f>IF(NOT(ISNUMBER($A446)),NA(),IF(OR($A446&lt;MIN(DKW_10Y!$A$2:$A$2918),$A446&gt;MAX(DKW_10Y!$A$2:$A$2918),Settings!$B$16&lt;MIN(DKW_10Y!$A$2:$A$2918)),NA(),(INDEX(DKW_10Y!$C$2:$C$2918,MATCH($A446,DKW_10Y!$A$2:$A$2918,1))-INDEX(DKW_10Y!$C$2:$C$2918,MATCH(Settings!$B$16,DKW_10Y!$A$2:$A$2918,1)))*100))</f>
        <v/>
      </c>
      <c r="Z446" s="19">
        <f>IF(NOT(ISNUMBER($A446)),NA(),IF(OR($A446&lt;MIN(DKW_10Y!$A$2:$A$2918),$A446&gt;MAX(DKW_10Y!$A$2:$A$2918),Settings!$B$16&lt;MIN(DKW_10Y!$A$2:$A$2918)),NA(),(INDEX(DKW_10Y!$D$2:$D$2918,MATCH($A446,DKW_10Y!$A$2:$A$2918,1))-INDEX(DKW_10Y!$D$2:$D$2918,MATCH(Settings!$B$16,DKW_10Y!$A$2:$A$2918,1)))*100))</f>
        <v/>
      </c>
      <c r="AA446" s="19">
        <f>IF(NOT(ISNUMBER($A446)),NA(),IF(OR($A446&lt;MIN(DKW_10Y!$A$2:$A$2918),$A446&gt;MAX(DKW_10Y!$A$2:$A$2918),Settings!$B$16&lt;MIN(DKW_10Y!$A$2:$A$2918)),NA(),(INDEX(DKW_10Y!$E$2:$E$2918,MATCH($A446,DKW_10Y!$A$2:$A$2918,1))-INDEX(DKW_10Y!$E$2:$E$2918,MATCH(Settings!$B$16,DKW_10Y!$A$2:$A$2918,1)))*100))</f>
        <v/>
      </c>
      <c r="AB446" s="19">
        <f>IF(NOT(ISNUMBER($A446)),NA(),IF(OR($A446&lt;MIN(DKW_10Y!$A$2:$A$2918),$A446&gt;MAX(DKW_10Y!$A$2:$A$2918),Settings!$B$16&lt;MIN(DKW_10Y!$A$2:$A$2918)),NA(),(INDEX(DKW_10Y!$H$2:$H$2918,MATCH($A446,DKW_10Y!$A$2:$A$2918,1))-INDEX(DKW_10Y!$H$2:$H$2918,MATCH(Settings!$B$16,DKW_10Y!$A$2:$A$2918,1)))*100))</f>
        <v/>
      </c>
      <c r="AC446" s="18">
        <f>IF(NOT(ISNUMBER($A446)),NA(),IFERROR(1*INDEX(BBG_Data!$N$2:$N$4000,MATCH($A446,BBG_Data!$M$2:$M$4000,0)),NA()))</f>
        <v/>
      </c>
      <c r="AD446" s="18">
        <f>IF(NOT(ISNUMBER($A446)),NA(),IFERROR(1*INDEX(BBG_Data!$P$2:$P$4000,MATCH($A446,BBG_Data!$O$2:$O$4000,0)),NA()))</f>
        <v/>
      </c>
      <c r="AE446" s="18">
        <f>IF(NOT(ISNUMBER($A446)),NA(),IFERROR(1*INDEX(BBG_Data!$R$2:$R$4000,MATCH($A446,BBG_Data!$Q$2:$Q$4000,0)),NA()))</f>
        <v/>
      </c>
      <c r="AF446" s="20">
        <f>IF(AND(ISNUMBER(B446),ISNUMBER(AC446)),(B446-AC446)*100,NA())</f>
        <v/>
      </c>
      <c r="AG446" s="20">
        <f>IF(AND(ISNUMBER(AE446),ISNUMBER(AD446)),(AE446-AD446)*100,NA())</f>
        <v/>
      </c>
      <c r="AH446" s="19">
        <f>IF(NOT(ISNUMBER($A446)),NA(),IFERROR(INDEX(BBG_Data!$T$2:$T$4000,MATCH($A446,BBG_Data!$S$2:$S$4000,0))*Settings!$B$25,NA()))</f>
        <v/>
      </c>
      <c r="AI446" s="19">
        <f>IF(NOT(ISNUMBER($A446)),NA(),IFERROR(INDEX(BBG_Data!$V$2:$V$4000,MATCH($A446,BBG_Data!$U$2:$U$4000,0))*Settings!$B$25,NA()))</f>
        <v/>
      </c>
      <c r="AJ446" s="19">
        <f>IF(NOT(ISNUMBER($A446)),NA(),IFERROR(1*INDEX(BBG_Data!$X$2:$X$4000,MATCH($A446,BBG_Data!$W$2:$W$4000,0)),NA()))</f>
        <v/>
      </c>
      <c r="AK446" s="19">
        <f>IF(NOT(ISNUMBER($A446)),NA(),IFERROR(1*INDEX(BBG_Data!$Z$2:$Z$4000,MATCH($A446,BBG_Data!$Y$2:$Y$4000,0)),NA()))</f>
        <v/>
      </c>
    </row>
    <row r="447">
      <c r="A447" s="17">
        <f>IF(ISNUMBER(BBG_Data!A447),BBG_Data!A447,"")</f>
        <v/>
      </c>
      <c r="B447" s="18">
        <f>IF(AND(ISNUMBER($A447),ISNUMBER(BBG_Data!B447)),BBG_Data!B447,NA())</f>
        <v/>
      </c>
      <c r="C447" s="18">
        <f>IF(NOT(ISNUMBER($A447)),NA(),IFERROR(1*INDEX(BBG_Data!$D$2:$D$4000,MATCH($A447,BBG_Data!$C$2:$C$4000,0)),NA()))</f>
        <v/>
      </c>
      <c r="D447" s="19">
        <f>IF(NOT(ISNUMBER($A447)),NA(),IFERROR(1*INDEX(BBG_Data!$F$2:$F$4000,MATCH($A447,BBG_Data!$E$2:$E$4000,0)),NA()))</f>
        <v/>
      </c>
      <c r="E447" s="19">
        <f>IF(NOT(ISNUMBER($A447)),NA(),IFERROR(1*INDEX(BBG_Data!$H$2:$H$4000,MATCH($A447,BBG_Data!$G$2:$G$4000,0)),NA()))</f>
        <v/>
      </c>
      <c r="F447" s="20">
        <f>IF(AND(ISNUMBER(B447),ISNUMBER(B446)),IF(B447=B446,"",(B447-B446)*100),"")</f>
        <v/>
      </c>
      <c r="G447" s="20">
        <f>IF(AND(ISNUMBER(C447),ISNUMBER(C446)),IF(C447=C446,"",(C447-C446)*100),"")</f>
        <v/>
      </c>
      <c r="H447" s="20">
        <f>IF(OR(NOT(ISNUMBER($A447)),ROW()-2&lt;Settings!$B$11),NA(),IF(COUNT(OFFSET(F447,1-Settings!$B$11,0,Settings!$B$11,1))&lt;ROUNDUP(Settings!$B$11*Settings!$B$26,0),NA(),STDEV(OFFSET(F447,1-Settings!$B$11,0,Settings!$B$11,1))*SQRT(Settings!$B$13)))</f>
        <v/>
      </c>
      <c r="I447" s="20">
        <f>IF(OR(NOT(ISNUMBER($A447)),ROW()-2&lt;Settings!$B$12),NA(),IF(COUNT(OFFSET(F447,1-Settings!$B$12,0,Settings!$B$12,1))&lt;ROUNDUP(Settings!$B$12*Settings!$B$26,0),NA(),STDEV(OFFSET(F447,1-Settings!$B$12,0,Settings!$B$12,1))*SQRT(Settings!$B$13)))</f>
        <v/>
      </c>
      <c r="J447" s="20">
        <f>IF(OR(NOT(ISNUMBER($A447)),ROW()-2&lt;Settings!$B$11),NA(),IF(COUNT(OFFSET(G447,1-Settings!$B$11,0,Settings!$B$11,1))&lt;ROUNDUP(Settings!$B$11*Settings!$B$26,0),NA(),STDEV(OFFSET(G447,1-Settings!$B$11,0,Settings!$B$11,1))*SQRT(Settings!$B$13)))</f>
        <v/>
      </c>
      <c r="K447" s="20">
        <f>IF(OR(NOT(ISNUMBER($A447)),ROW()-2&lt;Settings!$B$12),NA(),IF(COUNT(OFFSET(G447,1-Settings!$B$12,0,Settings!$B$12,1))&lt;ROUNDUP(Settings!$B$12*Settings!$B$26,0),NA(),STDEV(OFFSET(G447,1-Settings!$B$12,0,Settings!$B$12,1))*SQRT(Settings!$B$13)))</f>
        <v/>
      </c>
      <c r="L447" s="20">
        <f>IF(AND(ISNUMBER(D447),ISNUMBER(H447)),D447-H447,NA())</f>
        <v/>
      </c>
      <c r="M447" s="20">
        <f>IF(AND(ISNUMBER(E447),ISNUMBER(K447)),E447-K447,NA())</f>
        <v/>
      </c>
      <c r="N447" s="20">
        <f>IF(NOT(ISNUMBER($A447)),NA(),IF(COUNT(OFFSET(G447,1,0,Settings!$B$12,1))&lt;ROUNDUP(Settings!$B$12*Settings!$B$26,0),NA(),STDEV(OFFSET(G447,1,0,Settings!$B$12,1))*SQRT(Settings!$B$13)))</f>
        <v/>
      </c>
      <c r="O447" s="20">
        <f>IF(AND(ISNUMBER(E447),ISNUMBER(N447)),E447-N447,NA())</f>
        <v/>
      </c>
      <c r="P447" s="19">
        <f>IF(NOT(ISNUMBER($A447)),NA(),IF(OR($A447&lt;MIN(KW_TP!$A$2:$A$2501),$A447&gt;MAX(KW_TP!$A$2:$A$2501)),NA(),INDEX(KW_TP!$C$2:$C$2501,MATCH($A447,KW_TP!$A$2:$A$2501,1))))</f>
        <v/>
      </c>
      <c r="Q447" s="18">
        <f>IF(NOT(ISNUMBER($A447)),NA(),IFERROR(1*INDEX(BBG_Data!$J$2:$J$4000,MATCH($A447,BBG_Data!$I$2:$I$4000,0)),NA()))</f>
        <v/>
      </c>
      <c r="R447" s="18">
        <f>IF(NOT(ISNUMBER($A447)),NA(),IFERROR(1*INDEX(BBG_Data!$L$2:$L$4000,MATCH($A447,BBG_Data!$K$2:$K$4000,0)),NA()))</f>
        <v/>
      </c>
      <c r="S447" s="20">
        <f>IF(AND(ISNUMBER(B447),ISNUMBER(Q447),ISNUMBER(R447)),(B447-Q447-R447)*100,NA())</f>
        <v/>
      </c>
      <c r="T447" s="20">
        <f>IF(AND(ISNUMBER(B447),Settings!$B$17&gt;0),IF(ISNUMBER(INDEX($B:$B,Settings!$B$17)),(B447-INDEX($B:$B,Settings!$B$17))*100,NA()),NA())</f>
        <v/>
      </c>
      <c r="U447" s="20">
        <f>IF(AND(ISNUMBER(Q447),Settings!$B$17&gt;0),IF(ISNUMBER(INDEX($Q:$Q,Settings!$B$17)),(Q447-INDEX($Q:$Q,Settings!$B$17))*100,NA()),NA())</f>
        <v/>
      </c>
      <c r="V447" s="20">
        <f>IF(AND(ISNUMBER(R447),Settings!$B$17&gt;0),IF(ISNUMBER(INDEX($R:$R,Settings!$B$17)),(R447-INDEX($R:$R,Settings!$B$17))*100,NA()),NA())</f>
        <v/>
      </c>
      <c r="W447" s="20">
        <f>IF(AND(ISNUMBER(P447),Settings!$B$17&gt;0),IF(ISNUMBER(INDEX($P:$P,Settings!$B$17)),P447-INDEX($P:$P,Settings!$B$17),NA()),NA())</f>
        <v/>
      </c>
      <c r="X447" s="19">
        <f>IF(NOT(ISNUMBER($A447)),NA(),IF(OR($A447&lt;MIN(DKW_10Y!$A$2:$A$2918),$A447&gt;MAX(DKW_10Y!$A$2:$A$2918),Settings!$B$16&lt;MIN(DKW_10Y!$A$2:$A$2918)),NA(),(INDEX(DKW_10Y!$B$2:$B$2918,MATCH($A447,DKW_10Y!$A$2:$A$2918,1))-INDEX(DKW_10Y!$B$2:$B$2918,MATCH(Settings!$B$16,DKW_10Y!$A$2:$A$2918,1)))*100))</f>
        <v/>
      </c>
      <c r="Y447" s="19">
        <f>IF(NOT(ISNUMBER($A447)),NA(),IF(OR($A447&lt;MIN(DKW_10Y!$A$2:$A$2918),$A447&gt;MAX(DKW_10Y!$A$2:$A$2918),Settings!$B$16&lt;MIN(DKW_10Y!$A$2:$A$2918)),NA(),(INDEX(DKW_10Y!$C$2:$C$2918,MATCH($A447,DKW_10Y!$A$2:$A$2918,1))-INDEX(DKW_10Y!$C$2:$C$2918,MATCH(Settings!$B$16,DKW_10Y!$A$2:$A$2918,1)))*100))</f>
        <v/>
      </c>
      <c r="Z447" s="19">
        <f>IF(NOT(ISNUMBER($A447)),NA(),IF(OR($A447&lt;MIN(DKW_10Y!$A$2:$A$2918),$A447&gt;MAX(DKW_10Y!$A$2:$A$2918),Settings!$B$16&lt;MIN(DKW_10Y!$A$2:$A$2918)),NA(),(INDEX(DKW_10Y!$D$2:$D$2918,MATCH($A447,DKW_10Y!$A$2:$A$2918,1))-INDEX(DKW_10Y!$D$2:$D$2918,MATCH(Settings!$B$16,DKW_10Y!$A$2:$A$2918,1)))*100))</f>
        <v/>
      </c>
      <c r="AA447" s="19">
        <f>IF(NOT(ISNUMBER($A447)),NA(),IF(OR($A447&lt;MIN(DKW_10Y!$A$2:$A$2918),$A447&gt;MAX(DKW_10Y!$A$2:$A$2918),Settings!$B$16&lt;MIN(DKW_10Y!$A$2:$A$2918)),NA(),(INDEX(DKW_10Y!$E$2:$E$2918,MATCH($A447,DKW_10Y!$A$2:$A$2918,1))-INDEX(DKW_10Y!$E$2:$E$2918,MATCH(Settings!$B$16,DKW_10Y!$A$2:$A$2918,1)))*100))</f>
        <v/>
      </c>
      <c r="AB447" s="19">
        <f>IF(NOT(ISNUMBER($A447)),NA(),IF(OR($A447&lt;MIN(DKW_10Y!$A$2:$A$2918),$A447&gt;MAX(DKW_10Y!$A$2:$A$2918),Settings!$B$16&lt;MIN(DKW_10Y!$A$2:$A$2918)),NA(),(INDEX(DKW_10Y!$H$2:$H$2918,MATCH($A447,DKW_10Y!$A$2:$A$2918,1))-INDEX(DKW_10Y!$H$2:$H$2918,MATCH(Settings!$B$16,DKW_10Y!$A$2:$A$2918,1)))*100))</f>
        <v/>
      </c>
      <c r="AC447" s="18">
        <f>IF(NOT(ISNUMBER($A447)),NA(),IFERROR(1*INDEX(BBG_Data!$N$2:$N$4000,MATCH($A447,BBG_Data!$M$2:$M$4000,0)),NA()))</f>
        <v/>
      </c>
      <c r="AD447" s="18">
        <f>IF(NOT(ISNUMBER($A447)),NA(),IFERROR(1*INDEX(BBG_Data!$P$2:$P$4000,MATCH($A447,BBG_Data!$O$2:$O$4000,0)),NA()))</f>
        <v/>
      </c>
      <c r="AE447" s="18">
        <f>IF(NOT(ISNUMBER($A447)),NA(),IFERROR(1*INDEX(BBG_Data!$R$2:$R$4000,MATCH($A447,BBG_Data!$Q$2:$Q$4000,0)),NA()))</f>
        <v/>
      </c>
      <c r="AF447" s="20">
        <f>IF(AND(ISNUMBER(B447),ISNUMBER(AC447)),(B447-AC447)*100,NA())</f>
        <v/>
      </c>
      <c r="AG447" s="20">
        <f>IF(AND(ISNUMBER(AE447),ISNUMBER(AD447)),(AE447-AD447)*100,NA())</f>
        <v/>
      </c>
      <c r="AH447" s="19">
        <f>IF(NOT(ISNUMBER($A447)),NA(),IFERROR(INDEX(BBG_Data!$T$2:$T$4000,MATCH($A447,BBG_Data!$S$2:$S$4000,0))*Settings!$B$25,NA()))</f>
        <v/>
      </c>
      <c r="AI447" s="19">
        <f>IF(NOT(ISNUMBER($A447)),NA(),IFERROR(INDEX(BBG_Data!$V$2:$V$4000,MATCH($A447,BBG_Data!$U$2:$U$4000,0))*Settings!$B$25,NA()))</f>
        <v/>
      </c>
      <c r="AJ447" s="19">
        <f>IF(NOT(ISNUMBER($A447)),NA(),IFERROR(1*INDEX(BBG_Data!$X$2:$X$4000,MATCH($A447,BBG_Data!$W$2:$W$4000,0)),NA()))</f>
        <v/>
      </c>
      <c r="AK447" s="19">
        <f>IF(NOT(ISNUMBER($A447)),NA(),IFERROR(1*INDEX(BBG_Data!$Z$2:$Z$4000,MATCH($A447,BBG_Data!$Y$2:$Y$4000,0)),NA()))</f>
        <v/>
      </c>
    </row>
    <row r="448">
      <c r="A448" s="17">
        <f>IF(ISNUMBER(BBG_Data!A448),BBG_Data!A448,"")</f>
        <v/>
      </c>
      <c r="B448" s="18">
        <f>IF(AND(ISNUMBER($A448),ISNUMBER(BBG_Data!B448)),BBG_Data!B448,NA())</f>
        <v/>
      </c>
      <c r="C448" s="18">
        <f>IF(NOT(ISNUMBER($A448)),NA(),IFERROR(1*INDEX(BBG_Data!$D$2:$D$4000,MATCH($A448,BBG_Data!$C$2:$C$4000,0)),NA()))</f>
        <v/>
      </c>
      <c r="D448" s="19">
        <f>IF(NOT(ISNUMBER($A448)),NA(),IFERROR(1*INDEX(BBG_Data!$F$2:$F$4000,MATCH($A448,BBG_Data!$E$2:$E$4000,0)),NA()))</f>
        <v/>
      </c>
      <c r="E448" s="19">
        <f>IF(NOT(ISNUMBER($A448)),NA(),IFERROR(1*INDEX(BBG_Data!$H$2:$H$4000,MATCH($A448,BBG_Data!$G$2:$G$4000,0)),NA()))</f>
        <v/>
      </c>
      <c r="F448" s="20">
        <f>IF(AND(ISNUMBER(B448),ISNUMBER(B447)),IF(B448=B447,"",(B448-B447)*100),"")</f>
        <v/>
      </c>
      <c r="G448" s="20">
        <f>IF(AND(ISNUMBER(C448),ISNUMBER(C447)),IF(C448=C447,"",(C448-C447)*100),"")</f>
        <v/>
      </c>
      <c r="H448" s="20">
        <f>IF(OR(NOT(ISNUMBER($A448)),ROW()-2&lt;Settings!$B$11),NA(),IF(COUNT(OFFSET(F448,1-Settings!$B$11,0,Settings!$B$11,1))&lt;ROUNDUP(Settings!$B$11*Settings!$B$26,0),NA(),STDEV(OFFSET(F448,1-Settings!$B$11,0,Settings!$B$11,1))*SQRT(Settings!$B$13)))</f>
        <v/>
      </c>
      <c r="I448" s="20">
        <f>IF(OR(NOT(ISNUMBER($A448)),ROW()-2&lt;Settings!$B$12),NA(),IF(COUNT(OFFSET(F448,1-Settings!$B$12,0,Settings!$B$12,1))&lt;ROUNDUP(Settings!$B$12*Settings!$B$26,0),NA(),STDEV(OFFSET(F448,1-Settings!$B$12,0,Settings!$B$12,1))*SQRT(Settings!$B$13)))</f>
        <v/>
      </c>
      <c r="J448" s="20">
        <f>IF(OR(NOT(ISNUMBER($A448)),ROW()-2&lt;Settings!$B$11),NA(),IF(COUNT(OFFSET(G448,1-Settings!$B$11,0,Settings!$B$11,1))&lt;ROUNDUP(Settings!$B$11*Settings!$B$26,0),NA(),STDEV(OFFSET(G448,1-Settings!$B$11,0,Settings!$B$11,1))*SQRT(Settings!$B$13)))</f>
        <v/>
      </c>
      <c r="K448" s="20">
        <f>IF(OR(NOT(ISNUMBER($A448)),ROW()-2&lt;Settings!$B$12),NA(),IF(COUNT(OFFSET(G448,1-Settings!$B$12,0,Settings!$B$12,1))&lt;ROUNDUP(Settings!$B$12*Settings!$B$26,0),NA(),STDEV(OFFSET(G448,1-Settings!$B$12,0,Settings!$B$12,1))*SQRT(Settings!$B$13)))</f>
        <v/>
      </c>
      <c r="L448" s="20">
        <f>IF(AND(ISNUMBER(D448),ISNUMBER(H448)),D448-H448,NA())</f>
        <v/>
      </c>
      <c r="M448" s="20">
        <f>IF(AND(ISNUMBER(E448),ISNUMBER(K448)),E448-K448,NA())</f>
        <v/>
      </c>
      <c r="N448" s="20">
        <f>IF(NOT(ISNUMBER($A448)),NA(),IF(COUNT(OFFSET(G448,1,0,Settings!$B$12,1))&lt;ROUNDUP(Settings!$B$12*Settings!$B$26,0),NA(),STDEV(OFFSET(G448,1,0,Settings!$B$12,1))*SQRT(Settings!$B$13)))</f>
        <v/>
      </c>
      <c r="O448" s="20">
        <f>IF(AND(ISNUMBER(E448),ISNUMBER(N448)),E448-N448,NA())</f>
        <v/>
      </c>
      <c r="P448" s="19">
        <f>IF(NOT(ISNUMBER($A448)),NA(),IF(OR($A448&lt;MIN(KW_TP!$A$2:$A$2501),$A448&gt;MAX(KW_TP!$A$2:$A$2501)),NA(),INDEX(KW_TP!$C$2:$C$2501,MATCH($A448,KW_TP!$A$2:$A$2501,1))))</f>
        <v/>
      </c>
      <c r="Q448" s="18">
        <f>IF(NOT(ISNUMBER($A448)),NA(),IFERROR(1*INDEX(BBG_Data!$J$2:$J$4000,MATCH($A448,BBG_Data!$I$2:$I$4000,0)),NA()))</f>
        <v/>
      </c>
      <c r="R448" s="18">
        <f>IF(NOT(ISNUMBER($A448)),NA(),IFERROR(1*INDEX(BBG_Data!$L$2:$L$4000,MATCH($A448,BBG_Data!$K$2:$K$4000,0)),NA()))</f>
        <v/>
      </c>
      <c r="S448" s="20">
        <f>IF(AND(ISNUMBER(B448),ISNUMBER(Q448),ISNUMBER(R448)),(B448-Q448-R448)*100,NA())</f>
        <v/>
      </c>
      <c r="T448" s="20">
        <f>IF(AND(ISNUMBER(B448),Settings!$B$17&gt;0),IF(ISNUMBER(INDEX($B:$B,Settings!$B$17)),(B448-INDEX($B:$B,Settings!$B$17))*100,NA()),NA())</f>
        <v/>
      </c>
      <c r="U448" s="20">
        <f>IF(AND(ISNUMBER(Q448),Settings!$B$17&gt;0),IF(ISNUMBER(INDEX($Q:$Q,Settings!$B$17)),(Q448-INDEX($Q:$Q,Settings!$B$17))*100,NA()),NA())</f>
        <v/>
      </c>
      <c r="V448" s="20">
        <f>IF(AND(ISNUMBER(R448),Settings!$B$17&gt;0),IF(ISNUMBER(INDEX($R:$R,Settings!$B$17)),(R448-INDEX($R:$R,Settings!$B$17))*100,NA()),NA())</f>
        <v/>
      </c>
      <c r="W448" s="20">
        <f>IF(AND(ISNUMBER(P448),Settings!$B$17&gt;0),IF(ISNUMBER(INDEX($P:$P,Settings!$B$17)),P448-INDEX($P:$P,Settings!$B$17),NA()),NA())</f>
        <v/>
      </c>
      <c r="X448" s="19">
        <f>IF(NOT(ISNUMBER($A448)),NA(),IF(OR($A448&lt;MIN(DKW_10Y!$A$2:$A$2918),$A448&gt;MAX(DKW_10Y!$A$2:$A$2918),Settings!$B$16&lt;MIN(DKW_10Y!$A$2:$A$2918)),NA(),(INDEX(DKW_10Y!$B$2:$B$2918,MATCH($A448,DKW_10Y!$A$2:$A$2918,1))-INDEX(DKW_10Y!$B$2:$B$2918,MATCH(Settings!$B$16,DKW_10Y!$A$2:$A$2918,1)))*100))</f>
        <v/>
      </c>
      <c r="Y448" s="19">
        <f>IF(NOT(ISNUMBER($A448)),NA(),IF(OR($A448&lt;MIN(DKW_10Y!$A$2:$A$2918),$A448&gt;MAX(DKW_10Y!$A$2:$A$2918),Settings!$B$16&lt;MIN(DKW_10Y!$A$2:$A$2918)),NA(),(INDEX(DKW_10Y!$C$2:$C$2918,MATCH($A448,DKW_10Y!$A$2:$A$2918,1))-INDEX(DKW_10Y!$C$2:$C$2918,MATCH(Settings!$B$16,DKW_10Y!$A$2:$A$2918,1)))*100))</f>
        <v/>
      </c>
      <c r="Z448" s="19">
        <f>IF(NOT(ISNUMBER($A448)),NA(),IF(OR($A448&lt;MIN(DKW_10Y!$A$2:$A$2918),$A448&gt;MAX(DKW_10Y!$A$2:$A$2918),Settings!$B$16&lt;MIN(DKW_10Y!$A$2:$A$2918)),NA(),(INDEX(DKW_10Y!$D$2:$D$2918,MATCH($A448,DKW_10Y!$A$2:$A$2918,1))-INDEX(DKW_10Y!$D$2:$D$2918,MATCH(Settings!$B$16,DKW_10Y!$A$2:$A$2918,1)))*100))</f>
        <v/>
      </c>
      <c r="AA448" s="19">
        <f>IF(NOT(ISNUMBER($A448)),NA(),IF(OR($A448&lt;MIN(DKW_10Y!$A$2:$A$2918),$A448&gt;MAX(DKW_10Y!$A$2:$A$2918),Settings!$B$16&lt;MIN(DKW_10Y!$A$2:$A$2918)),NA(),(INDEX(DKW_10Y!$E$2:$E$2918,MATCH($A448,DKW_10Y!$A$2:$A$2918,1))-INDEX(DKW_10Y!$E$2:$E$2918,MATCH(Settings!$B$16,DKW_10Y!$A$2:$A$2918,1)))*100))</f>
        <v/>
      </c>
      <c r="AB448" s="19">
        <f>IF(NOT(ISNUMBER($A448)),NA(),IF(OR($A448&lt;MIN(DKW_10Y!$A$2:$A$2918),$A448&gt;MAX(DKW_10Y!$A$2:$A$2918),Settings!$B$16&lt;MIN(DKW_10Y!$A$2:$A$2918)),NA(),(INDEX(DKW_10Y!$H$2:$H$2918,MATCH($A448,DKW_10Y!$A$2:$A$2918,1))-INDEX(DKW_10Y!$H$2:$H$2918,MATCH(Settings!$B$16,DKW_10Y!$A$2:$A$2918,1)))*100))</f>
        <v/>
      </c>
      <c r="AC448" s="18">
        <f>IF(NOT(ISNUMBER($A448)),NA(),IFERROR(1*INDEX(BBG_Data!$N$2:$N$4000,MATCH($A448,BBG_Data!$M$2:$M$4000,0)),NA()))</f>
        <v/>
      </c>
      <c r="AD448" s="18">
        <f>IF(NOT(ISNUMBER($A448)),NA(),IFERROR(1*INDEX(BBG_Data!$P$2:$P$4000,MATCH($A448,BBG_Data!$O$2:$O$4000,0)),NA()))</f>
        <v/>
      </c>
      <c r="AE448" s="18">
        <f>IF(NOT(ISNUMBER($A448)),NA(),IFERROR(1*INDEX(BBG_Data!$R$2:$R$4000,MATCH($A448,BBG_Data!$Q$2:$Q$4000,0)),NA()))</f>
        <v/>
      </c>
      <c r="AF448" s="20">
        <f>IF(AND(ISNUMBER(B448),ISNUMBER(AC448)),(B448-AC448)*100,NA())</f>
        <v/>
      </c>
      <c r="AG448" s="20">
        <f>IF(AND(ISNUMBER(AE448),ISNUMBER(AD448)),(AE448-AD448)*100,NA())</f>
        <v/>
      </c>
      <c r="AH448" s="19">
        <f>IF(NOT(ISNUMBER($A448)),NA(),IFERROR(INDEX(BBG_Data!$T$2:$T$4000,MATCH($A448,BBG_Data!$S$2:$S$4000,0))*Settings!$B$25,NA()))</f>
        <v/>
      </c>
      <c r="AI448" s="19">
        <f>IF(NOT(ISNUMBER($A448)),NA(),IFERROR(INDEX(BBG_Data!$V$2:$V$4000,MATCH($A448,BBG_Data!$U$2:$U$4000,0))*Settings!$B$25,NA()))</f>
        <v/>
      </c>
      <c r="AJ448" s="19">
        <f>IF(NOT(ISNUMBER($A448)),NA(),IFERROR(1*INDEX(BBG_Data!$X$2:$X$4000,MATCH($A448,BBG_Data!$W$2:$W$4000,0)),NA()))</f>
        <v/>
      </c>
      <c r="AK448" s="19">
        <f>IF(NOT(ISNUMBER($A448)),NA(),IFERROR(1*INDEX(BBG_Data!$Z$2:$Z$4000,MATCH($A448,BBG_Data!$Y$2:$Y$4000,0)),NA()))</f>
        <v/>
      </c>
    </row>
    <row r="449">
      <c r="A449" s="17">
        <f>IF(ISNUMBER(BBG_Data!A449),BBG_Data!A449,"")</f>
        <v/>
      </c>
      <c r="B449" s="18">
        <f>IF(AND(ISNUMBER($A449),ISNUMBER(BBG_Data!B449)),BBG_Data!B449,NA())</f>
        <v/>
      </c>
      <c r="C449" s="18">
        <f>IF(NOT(ISNUMBER($A449)),NA(),IFERROR(1*INDEX(BBG_Data!$D$2:$D$4000,MATCH($A449,BBG_Data!$C$2:$C$4000,0)),NA()))</f>
        <v/>
      </c>
      <c r="D449" s="19">
        <f>IF(NOT(ISNUMBER($A449)),NA(),IFERROR(1*INDEX(BBG_Data!$F$2:$F$4000,MATCH($A449,BBG_Data!$E$2:$E$4000,0)),NA()))</f>
        <v/>
      </c>
      <c r="E449" s="19">
        <f>IF(NOT(ISNUMBER($A449)),NA(),IFERROR(1*INDEX(BBG_Data!$H$2:$H$4000,MATCH($A449,BBG_Data!$G$2:$G$4000,0)),NA()))</f>
        <v/>
      </c>
      <c r="F449" s="20">
        <f>IF(AND(ISNUMBER(B449),ISNUMBER(B448)),IF(B449=B448,"",(B449-B448)*100),"")</f>
        <v/>
      </c>
      <c r="G449" s="20">
        <f>IF(AND(ISNUMBER(C449),ISNUMBER(C448)),IF(C449=C448,"",(C449-C448)*100),"")</f>
        <v/>
      </c>
      <c r="H449" s="20">
        <f>IF(OR(NOT(ISNUMBER($A449)),ROW()-2&lt;Settings!$B$11),NA(),IF(COUNT(OFFSET(F449,1-Settings!$B$11,0,Settings!$B$11,1))&lt;ROUNDUP(Settings!$B$11*Settings!$B$26,0),NA(),STDEV(OFFSET(F449,1-Settings!$B$11,0,Settings!$B$11,1))*SQRT(Settings!$B$13)))</f>
        <v/>
      </c>
      <c r="I449" s="20">
        <f>IF(OR(NOT(ISNUMBER($A449)),ROW()-2&lt;Settings!$B$12),NA(),IF(COUNT(OFFSET(F449,1-Settings!$B$12,0,Settings!$B$12,1))&lt;ROUNDUP(Settings!$B$12*Settings!$B$26,0),NA(),STDEV(OFFSET(F449,1-Settings!$B$12,0,Settings!$B$12,1))*SQRT(Settings!$B$13)))</f>
        <v/>
      </c>
      <c r="J449" s="20">
        <f>IF(OR(NOT(ISNUMBER($A449)),ROW()-2&lt;Settings!$B$11),NA(),IF(COUNT(OFFSET(G449,1-Settings!$B$11,0,Settings!$B$11,1))&lt;ROUNDUP(Settings!$B$11*Settings!$B$26,0),NA(),STDEV(OFFSET(G449,1-Settings!$B$11,0,Settings!$B$11,1))*SQRT(Settings!$B$13)))</f>
        <v/>
      </c>
      <c r="K449" s="20">
        <f>IF(OR(NOT(ISNUMBER($A449)),ROW()-2&lt;Settings!$B$12),NA(),IF(COUNT(OFFSET(G449,1-Settings!$B$12,0,Settings!$B$12,1))&lt;ROUNDUP(Settings!$B$12*Settings!$B$26,0),NA(),STDEV(OFFSET(G449,1-Settings!$B$12,0,Settings!$B$12,1))*SQRT(Settings!$B$13)))</f>
        <v/>
      </c>
      <c r="L449" s="20">
        <f>IF(AND(ISNUMBER(D449),ISNUMBER(H449)),D449-H449,NA())</f>
        <v/>
      </c>
      <c r="M449" s="20">
        <f>IF(AND(ISNUMBER(E449),ISNUMBER(K449)),E449-K449,NA())</f>
        <v/>
      </c>
      <c r="N449" s="20">
        <f>IF(NOT(ISNUMBER($A449)),NA(),IF(COUNT(OFFSET(G449,1,0,Settings!$B$12,1))&lt;ROUNDUP(Settings!$B$12*Settings!$B$26,0),NA(),STDEV(OFFSET(G449,1,0,Settings!$B$12,1))*SQRT(Settings!$B$13)))</f>
        <v/>
      </c>
      <c r="O449" s="20">
        <f>IF(AND(ISNUMBER(E449),ISNUMBER(N449)),E449-N449,NA())</f>
        <v/>
      </c>
      <c r="P449" s="19">
        <f>IF(NOT(ISNUMBER($A449)),NA(),IF(OR($A449&lt;MIN(KW_TP!$A$2:$A$2501),$A449&gt;MAX(KW_TP!$A$2:$A$2501)),NA(),INDEX(KW_TP!$C$2:$C$2501,MATCH($A449,KW_TP!$A$2:$A$2501,1))))</f>
        <v/>
      </c>
      <c r="Q449" s="18">
        <f>IF(NOT(ISNUMBER($A449)),NA(),IFERROR(1*INDEX(BBG_Data!$J$2:$J$4000,MATCH($A449,BBG_Data!$I$2:$I$4000,0)),NA()))</f>
        <v/>
      </c>
      <c r="R449" s="18">
        <f>IF(NOT(ISNUMBER($A449)),NA(),IFERROR(1*INDEX(BBG_Data!$L$2:$L$4000,MATCH($A449,BBG_Data!$K$2:$K$4000,0)),NA()))</f>
        <v/>
      </c>
      <c r="S449" s="20">
        <f>IF(AND(ISNUMBER(B449),ISNUMBER(Q449),ISNUMBER(R449)),(B449-Q449-R449)*100,NA())</f>
        <v/>
      </c>
      <c r="T449" s="20">
        <f>IF(AND(ISNUMBER(B449),Settings!$B$17&gt;0),IF(ISNUMBER(INDEX($B:$B,Settings!$B$17)),(B449-INDEX($B:$B,Settings!$B$17))*100,NA()),NA())</f>
        <v/>
      </c>
      <c r="U449" s="20">
        <f>IF(AND(ISNUMBER(Q449),Settings!$B$17&gt;0),IF(ISNUMBER(INDEX($Q:$Q,Settings!$B$17)),(Q449-INDEX($Q:$Q,Settings!$B$17))*100,NA()),NA())</f>
        <v/>
      </c>
      <c r="V449" s="20">
        <f>IF(AND(ISNUMBER(R449),Settings!$B$17&gt;0),IF(ISNUMBER(INDEX($R:$R,Settings!$B$17)),(R449-INDEX($R:$R,Settings!$B$17))*100,NA()),NA())</f>
        <v/>
      </c>
      <c r="W449" s="20">
        <f>IF(AND(ISNUMBER(P449),Settings!$B$17&gt;0),IF(ISNUMBER(INDEX($P:$P,Settings!$B$17)),P449-INDEX($P:$P,Settings!$B$17),NA()),NA())</f>
        <v/>
      </c>
      <c r="X449" s="19">
        <f>IF(NOT(ISNUMBER($A449)),NA(),IF(OR($A449&lt;MIN(DKW_10Y!$A$2:$A$2918),$A449&gt;MAX(DKW_10Y!$A$2:$A$2918),Settings!$B$16&lt;MIN(DKW_10Y!$A$2:$A$2918)),NA(),(INDEX(DKW_10Y!$B$2:$B$2918,MATCH($A449,DKW_10Y!$A$2:$A$2918,1))-INDEX(DKW_10Y!$B$2:$B$2918,MATCH(Settings!$B$16,DKW_10Y!$A$2:$A$2918,1)))*100))</f>
        <v/>
      </c>
      <c r="Y449" s="19">
        <f>IF(NOT(ISNUMBER($A449)),NA(),IF(OR($A449&lt;MIN(DKW_10Y!$A$2:$A$2918),$A449&gt;MAX(DKW_10Y!$A$2:$A$2918),Settings!$B$16&lt;MIN(DKW_10Y!$A$2:$A$2918)),NA(),(INDEX(DKW_10Y!$C$2:$C$2918,MATCH($A449,DKW_10Y!$A$2:$A$2918,1))-INDEX(DKW_10Y!$C$2:$C$2918,MATCH(Settings!$B$16,DKW_10Y!$A$2:$A$2918,1)))*100))</f>
        <v/>
      </c>
      <c r="Z449" s="19">
        <f>IF(NOT(ISNUMBER($A449)),NA(),IF(OR($A449&lt;MIN(DKW_10Y!$A$2:$A$2918),$A449&gt;MAX(DKW_10Y!$A$2:$A$2918),Settings!$B$16&lt;MIN(DKW_10Y!$A$2:$A$2918)),NA(),(INDEX(DKW_10Y!$D$2:$D$2918,MATCH($A449,DKW_10Y!$A$2:$A$2918,1))-INDEX(DKW_10Y!$D$2:$D$2918,MATCH(Settings!$B$16,DKW_10Y!$A$2:$A$2918,1)))*100))</f>
        <v/>
      </c>
      <c r="AA449" s="19">
        <f>IF(NOT(ISNUMBER($A449)),NA(),IF(OR($A449&lt;MIN(DKW_10Y!$A$2:$A$2918),$A449&gt;MAX(DKW_10Y!$A$2:$A$2918),Settings!$B$16&lt;MIN(DKW_10Y!$A$2:$A$2918)),NA(),(INDEX(DKW_10Y!$E$2:$E$2918,MATCH($A449,DKW_10Y!$A$2:$A$2918,1))-INDEX(DKW_10Y!$E$2:$E$2918,MATCH(Settings!$B$16,DKW_10Y!$A$2:$A$2918,1)))*100))</f>
        <v/>
      </c>
      <c r="AB449" s="19">
        <f>IF(NOT(ISNUMBER($A449)),NA(),IF(OR($A449&lt;MIN(DKW_10Y!$A$2:$A$2918),$A449&gt;MAX(DKW_10Y!$A$2:$A$2918),Settings!$B$16&lt;MIN(DKW_10Y!$A$2:$A$2918)),NA(),(INDEX(DKW_10Y!$H$2:$H$2918,MATCH($A449,DKW_10Y!$A$2:$A$2918,1))-INDEX(DKW_10Y!$H$2:$H$2918,MATCH(Settings!$B$16,DKW_10Y!$A$2:$A$2918,1)))*100))</f>
        <v/>
      </c>
      <c r="AC449" s="18">
        <f>IF(NOT(ISNUMBER($A449)),NA(),IFERROR(1*INDEX(BBG_Data!$N$2:$N$4000,MATCH($A449,BBG_Data!$M$2:$M$4000,0)),NA()))</f>
        <v/>
      </c>
      <c r="AD449" s="18">
        <f>IF(NOT(ISNUMBER($A449)),NA(),IFERROR(1*INDEX(BBG_Data!$P$2:$P$4000,MATCH($A449,BBG_Data!$O$2:$O$4000,0)),NA()))</f>
        <v/>
      </c>
      <c r="AE449" s="18">
        <f>IF(NOT(ISNUMBER($A449)),NA(),IFERROR(1*INDEX(BBG_Data!$R$2:$R$4000,MATCH($A449,BBG_Data!$Q$2:$Q$4000,0)),NA()))</f>
        <v/>
      </c>
      <c r="AF449" s="20">
        <f>IF(AND(ISNUMBER(B449),ISNUMBER(AC449)),(B449-AC449)*100,NA())</f>
        <v/>
      </c>
      <c r="AG449" s="20">
        <f>IF(AND(ISNUMBER(AE449),ISNUMBER(AD449)),(AE449-AD449)*100,NA())</f>
        <v/>
      </c>
      <c r="AH449" s="19">
        <f>IF(NOT(ISNUMBER($A449)),NA(),IFERROR(INDEX(BBG_Data!$T$2:$T$4000,MATCH($A449,BBG_Data!$S$2:$S$4000,0))*Settings!$B$25,NA()))</f>
        <v/>
      </c>
      <c r="AI449" s="19">
        <f>IF(NOT(ISNUMBER($A449)),NA(),IFERROR(INDEX(BBG_Data!$V$2:$V$4000,MATCH($A449,BBG_Data!$U$2:$U$4000,0))*Settings!$B$25,NA()))</f>
        <v/>
      </c>
      <c r="AJ449" s="19">
        <f>IF(NOT(ISNUMBER($A449)),NA(),IFERROR(1*INDEX(BBG_Data!$X$2:$X$4000,MATCH($A449,BBG_Data!$W$2:$W$4000,0)),NA()))</f>
        <v/>
      </c>
      <c r="AK449" s="19">
        <f>IF(NOT(ISNUMBER($A449)),NA(),IFERROR(1*INDEX(BBG_Data!$Z$2:$Z$4000,MATCH($A449,BBG_Data!$Y$2:$Y$4000,0)),NA()))</f>
        <v/>
      </c>
    </row>
    <row r="450">
      <c r="A450" s="17">
        <f>IF(ISNUMBER(BBG_Data!A450),BBG_Data!A450,"")</f>
        <v/>
      </c>
      <c r="B450" s="18">
        <f>IF(AND(ISNUMBER($A450),ISNUMBER(BBG_Data!B450)),BBG_Data!B450,NA())</f>
        <v/>
      </c>
      <c r="C450" s="18">
        <f>IF(NOT(ISNUMBER($A450)),NA(),IFERROR(1*INDEX(BBG_Data!$D$2:$D$4000,MATCH($A450,BBG_Data!$C$2:$C$4000,0)),NA()))</f>
        <v/>
      </c>
      <c r="D450" s="19">
        <f>IF(NOT(ISNUMBER($A450)),NA(),IFERROR(1*INDEX(BBG_Data!$F$2:$F$4000,MATCH($A450,BBG_Data!$E$2:$E$4000,0)),NA()))</f>
        <v/>
      </c>
      <c r="E450" s="19">
        <f>IF(NOT(ISNUMBER($A450)),NA(),IFERROR(1*INDEX(BBG_Data!$H$2:$H$4000,MATCH($A450,BBG_Data!$G$2:$G$4000,0)),NA()))</f>
        <v/>
      </c>
      <c r="F450" s="20">
        <f>IF(AND(ISNUMBER(B450),ISNUMBER(B449)),IF(B450=B449,"",(B450-B449)*100),"")</f>
        <v/>
      </c>
      <c r="G450" s="20">
        <f>IF(AND(ISNUMBER(C450),ISNUMBER(C449)),IF(C450=C449,"",(C450-C449)*100),"")</f>
        <v/>
      </c>
      <c r="H450" s="20">
        <f>IF(OR(NOT(ISNUMBER($A450)),ROW()-2&lt;Settings!$B$11),NA(),IF(COUNT(OFFSET(F450,1-Settings!$B$11,0,Settings!$B$11,1))&lt;ROUNDUP(Settings!$B$11*Settings!$B$26,0),NA(),STDEV(OFFSET(F450,1-Settings!$B$11,0,Settings!$B$11,1))*SQRT(Settings!$B$13)))</f>
        <v/>
      </c>
      <c r="I450" s="20">
        <f>IF(OR(NOT(ISNUMBER($A450)),ROW()-2&lt;Settings!$B$12),NA(),IF(COUNT(OFFSET(F450,1-Settings!$B$12,0,Settings!$B$12,1))&lt;ROUNDUP(Settings!$B$12*Settings!$B$26,0),NA(),STDEV(OFFSET(F450,1-Settings!$B$12,0,Settings!$B$12,1))*SQRT(Settings!$B$13)))</f>
        <v/>
      </c>
      <c r="J450" s="20">
        <f>IF(OR(NOT(ISNUMBER($A450)),ROW()-2&lt;Settings!$B$11),NA(),IF(COUNT(OFFSET(G450,1-Settings!$B$11,0,Settings!$B$11,1))&lt;ROUNDUP(Settings!$B$11*Settings!$B$26,0),NA(),STDEV(OFFSET(G450,1-Settings!$B$11,0,Settings!$B$11,1))*SQRT(Settings!$B$13)))</f>
        <v/>
      </c>
      <c r="K450" s="20">
        <f>IF(OR(NOT(ISNUMBER($A450)),ROW()-2&lt;Settings!$B$12),NA(),IF(COUNT(OFFSET(G450,1-Settings!$B$12,0,Settings!$B$12,1))&lt;ROUNDUP(Settings!$B$12*Settings!$B$26,0),NA(),STDEV(OFFSET(G450,1-Settings!$B$12,0,Settings!$B$12,1))*SQRT(Settings!$B$13)))</f>
        <v/>
      </c>
      <c r="L450" s="20">
        <f>IF(AND(ISNUMBER(D450),ISNUMBER(H450)),D450-H450,NA())</f>
        <v/>
      </c>
      <c r="M450" s="20">
        <f>IF(AND(ISNUMBER(E450),ISNUMBER(K450)),E450-K450,NA())</f>
        <v/>
      </c>
      <c r="N450" s="20">
        <f>IF(NOT(ISNUMBER($A450)),NA(),IF(COUNT(OFFSET(G450,1,0,Settings!$B$12,1))&lt;ROUNDUP(Settings!$B$12*Settings!$B$26,0),NA(),STDEV(OFFSET(G450,1,0,Settings!$B$12,1))*SQRT(Settings!$B$13)))</f>
        <v/>
      </c>
      <c r="O450" s="20">
        <f>IF(AND(ISNUMBER(E450),ISNUMBER(N450)),E450-N450,NA())</f>
        <v/>
      </c>
      <c r="P450" s="19">
        <f>IF(NOT(ISNUMBER($A450)),NA(),IF(OR($A450&lt;MIN(KW_TP!$A$2:$A$2501),$A450&gt;MAX(KW_TP!$A$2:$A$2501)),NA(),INDEX(KW_TP!$C$2:$C$2501,MATCH($A450,KW_TP!$A$2:$A$2501,1))))</f>
        <v/>
      </c>
      <c r="Q450" s="18">
        <f>IF(NOT(ISNUMBER($A450)),NA(),IFERROR(1*INDEX(BBG_Data!$J$2:$J$4000,MATCH($A450,BBG_Data!$I$2:$I$4000,0)),NA()))</f>
        <v/>
      </c>
      <c r="R450" s="18">
        <f>IF(NOT(ISNUMBER($A450)),NA(),IFERROR(1*INDEX(BBG_Data!$L$2:$L$4000,MATCH($A450,BBG_Data!$K$2:$K$4000,0)),NA()))</f>
        <v/>
      </c>
      <c r="S450" s="20">
        <f>IF(AND(ISNUMBER(B450),ISNUMBER(Q450),ISNUMBER(R450)),(B450-Q450-R450)*100,NA())</f>
        <v/>
      </c>
      <c r="T450" s="20">
        <f>IF(AND(ISNUMBER(B450),Settings!$B$17&gt;0),IF(ISNUMBER(INDEX($B:$B,Settings!$B$17)),(B450-INDEX($B:$B,Settings!$B$17))*100,NA()),NA())</f>
        <v/>
      </c>
      <c r="U450" s="20">
        <f>IF(AND(ISNUMBER(Q450),Settings!$B$17&gt;0),IF(ISNUMBER(INDEX($Q:$Q,Settings!$B$17)),(Q450-INDEX($Q:$Q,Settings!$B$17))*100,NA()),NA())</f>
        <v/>
      </c>
      <c r="V450" s="20">
        <f>IF(AND(ISNUMBER(R450),Settings!$B$17&gt;0),IF(ISNUMBER(INDEX($R:$R,Settings!$B$17)),(R450-INDEX($R:$R,Settings!$B$17))*100,NA()),NA())</f>
        <v/>
      </c>
      <c r="W450" s="20">
        <f>IF(AND(ISNUMBER(P450),Settings!$B$17&gt;0),IF(ISNUMBER(INDEX($P:$P,Settings!$B$17)),P450-INDEX($P:$P,Settings!$B$17),NA()),NA())</f>
        <v/>
      </c>
      <c r="X450" s="19">
        <f>IF(NOT(ISNUMBER($A450)),NA(),IF(OR($A450&lt;MIN(DKW_10Y!$A$2:$A$2918),$A450&gt;MAX(DKW_10Y!$A$2:$A$2918),Settings!$B$16&lt;MIN(DKW_10Y!$A$2:$A$2918)),NA(),(INDEX(DKW_10Y!$B$2:$B$2918,MATCH($A450,DKW_10Y!$A$2:$A$2918,1))-INDEX(DKW_10Y!$B$2:$B$2918,MATCH(Settings!$B$16,DKW_10Y!$A$2:$A$2918,1)))*100))</f>
        <v/>
      </c>
      <c r="Y450" s="19">
        <f>IF(NOT(ISNUMBER($A450)),NA(),IF(OR($A450&lt;MIN(DKW_10Y!$A$2:$A$2918),$A450&gt;MAX(DKW_10Y!$A$2:$A$2918),Settings!$B$16&lt;MIN(DKW_10Y!$A$2:$A$2918)),NA(),(INDEX(DKW_10Y!$C$2:$C$2918,MATCH($A450,DKW_10Y!$A$2:$A$2918,1))-INDEX(DKW_10Y!$C$2:$C$2918,MATCH(Settings!$B$16,DKW_10Y!$A$2:$A$2918,1)))*100))</f>
        <v/>
      </c>
      <c r="Z450" s="19">
        <f>IF(NOT(ISNUMBER($A450)),NA(),IF(OR($A450&lt;MIN(DKW_10Y!$A$2:$A$2918),$A450&gt;MAX(DKW_10Y!$A$2:$A$2918),Settings!$B$16&lt;MIN(DKW_10Y!$A$2:$A$2918)),NA(),(INDEX(DKW_10Y!$D$2:$D$2918,MATCH($A450,DKW_10Y!$A$2:$A$2918,1))-INDEX(DKW_10Y!$D$2:$D$2918,MATCH(Settings!$B$16,DKW_10Y!$A$2:$A$2918,1)))*100))</f>
        <v/>
      </c>
      <c r="AA450" s="19">
        <f>IF(NOT(ISNUMBER($A450)),NA(),IF(OR($A450&lt;MIN(DKW_10Y!$A$2:$A$2918),$A450&gt;MAX(DKW_10Y!$A$2:$A$2918),Settings!$B$16&lt;MIN(DKW_10Y!$A$2:$A$2918)),NA(),(INDEX(DKW_10Y!$E$2:$E$2918,MATCH($A450,DKW_10Y!$A$2:$A$2918,1))-INDEX(DKW_10Y!$E$2:$E$2918,MATCH(Settings!$B$16,DKW_10Y!$A$2:$A$2918,1)))*100))</f>
        <v/>
      </c>
      <c r="AB450" s="19">
        <f>IF(NOT(ISNUMBER($A450)),NA(),IF(OR($A450&lt;MIN(DKW_10Y!$A$2:$A$2918),$A450&gt;MAX(DKW_10Y!$A$2:$A$2918),Settings!$B$16&lt;MIN(DKW_10Y!$A$2:$A$2918)),NA(),(INDEX(DKW_10Y!$H$2:$H$2918,MATCH($A450,DKW_10Y!$A$2:$A$2918,1))-INDEX(DKW_10Y!$H$2:$H$2918,MATCH(Settings!$B$16,DKW_10Y!$A$2:$A$2918,1)))*100))</f>
        <v/>
      </c>
      <c r="AC450" s="18">
        <f>IF(NOT(ISNUMBER($A450)),NA(),IFERROR(1*INDEX(BBG_Data!$N$2:$N$4000,MATCH($A450,BBG_Data!$M$2:$M$4000,0)),NA()))</f>
        <v/>
      </c>
      <c r="AD450" s="18">
        <f>IF(NOT(ISNUMBER($A450)),NA(),IFERROR(1*INDEX(BBG_Data!$P$2:$P$4000,MATCH($A450,BBG_Data!$O$2:$O$4000,0)),NA()))</f>
        <v/>
      </c>
      <c r="AE450" s="18">
        <f>IF(NOT(ISNUMBER($A450)),NA(),IFERROR(1*INDEX(BBG_Data!$R$2:$R$4000,MATCH($A450,BBG_Data!$Q$2:$Q$4000,0)),NA()))</f>
        <v/>
      </c>
      <c r="AF450" s="20">
        <f>IF(AND(ISNUMBER(B450),ISNUMBER(AC450)),(B450-AC450)*100,NA())</f>
        <v/>
      </c>
      <c r="AG450" s="20">
        <f>IF(AND(ISNUMBER(AE450),ISNUMBER(AD450)),(AE450-AD450)*100,NA())</f>
        <v/>
      </c>
      <c r="AH450" s="19">
        <f>IF(NOT(ISNUMBER($A450)),NA(),IFERROR(INDEX(BBG_Data!$T$2:$T$4000,MATCH($A450,BBG_Data!$S$2:$S$4000,0))*Settings!$B$25,NA()))</f>
        <v/>
      </c>
      <c r="AI450" s="19">
        <f>IF(NOT(ISNUMBER($A450)),NA(),IFERROR(INDEX(BBG_Data!$V$2:$V$4000,MATCH($A450,BBG_Data!$U$2:$U$4000,0))*Settings!$B$25,NA()))</f>
        <v/>
      </c>
      <c r="AJ450" s="19">
        <f>IF(NOT(ISNUMBER($A450)),NA(),IFERROR(1*INDEX(BBG_Data!$X$2:$X$4000,MATCH($A450,BBG_Data!$W$2:$W$4000,0)),NA()))</f>
        <v/>
      </c>
      <c r="AK450" s="19">
        <f>IF(NOT(ISNUMBER($A450)),NA(),IFERROR(1*INDEX(BBG_Data!$Z$2:$Z$4000,MATCH($A450,BBG_Data!$Y$2:$Y$4000,0)),NA()))</f>
        <v/>
      </c>
    </row>
    <row r="451">
      <c r="A451" s="17">
        <f>IF(ISNUMBER(BBG_Data!A451),BBG_Data!A451,"")</f>
        <v/>
      </c>
      <c r="B451" s="18">
        <f>IF(AND(ISNUMBER($A451),ISNUMBER(BBG_Data!B451)),BBG_Data!B451,NA())</f>
        <v/>
      </c>
      <c r="C451" s="18">
        <f>IF(NOT(ISNUMBER($A451)),NA(),IFERROR(1*INDEX(BBG_Data!$D$2:$D$4000,MATCH($A451,BBG_Data!$C$2:$C$4000,0)),NA()))</f>
        <v/>
      </c>
      <c r="D451" s="19">
        <f>IF(NOT(ISNUMBER($A451)),NA(),IFERROR(1*INDEX(BBG_Data!$F$2:$F$4000,MATCH($A451,BBG_Data!$E$2:$E$4000,0)),NA()))</f>
        <v/>
      </c>
      <c r="E451" s="19">
        <f>IF(NOT(ISNUMBER($A451)),NA(),IFERROR(1*INDEX(BBG_Data!$H$2:$H$4000,MATCH($A451,BBG_Data!$G$2:$G$4000,0)),NA()))</f>
        <v/>
      </c>
      <c r="F451" s="20">
        <f>IF(AND(ISNUMBER(B451),ISNUMBER(B450)),IF(B451=B450,"",(B451-B450)*100),"")</f>
        <v/>
      </c>
      <c r="G451" s="20">
        <f>IF(AND(ISNUMBER(C451),ISNUMBER(C450)),IF(C451=C450,"",(C451-C450)*100),"")</f>
        <v/>
      </c>
      <c r="H451" s="20">
        <f>IF(OR(NOT(ISNUMBER($A451)),ROW()-2&lt;Settings!$B$11),NA(),IF(COUNT(OFFSET(F451,1-Settings!$B$11,0,Settings!$B$11,1))&lt;ROUNDUP(Settings!$B$11*Settings!$B$26,0),NA(),STDEV(OFFSET(F451,1-Settings!$B$11,0,Settings!$B$11,1))*SQRT(Settings!$B$13)))</f>
        <v/>
      </c>
      <c r="I451" s="20">
        <f>IF(OR(NOT(ISNUMBER($A451)),ROW()-2&lt;Settings!$B$12),NA(),IF(COUNT(OFFSET(F451,1-Settings!$B$12,0,Settings!$B$12,1))&lt;ROUNDUP(Settings!$B$12*Settings!$B$26,0),NA(),STDEV(OFFSET(F451,1-Settings!$B$12,0,Settings!$B$12,1))*SQRT(Settings!$B$13)))</f>
        <v/>
      </c>
      <c r="J451" s="20">
        <f>IF(OR(NOT(ISNUMBER($A451)),ROW()-2&lt;Settings!$B$11),NA(),IF(COUNT(OFFSET(G451,1-Settings!$B$11,0,Settings!$B$11,1))&lt;ROUNDUP(Settings!$B$11*Settings!$B$26,0),NA(),STDEV(OFFSET(G451,1-Settings!$B$11,0,Settings!$B$11,1))*SQRT(Settings!$B$13)))</f>
        <v/>
      </c>
      <c r="K451" s="20">
        <f>IF(OR(NOT(ISNUMBER($A451)),ROW()-2&lt;Settings!$B$12),NA(),IF(COUNT(OFFSET(G451,1-Settings!$B$12,0,Settings!$B$12,1))&lt;ROUNDUP(Settings!$B$12*Settings!$B$26,0),NA(),STDEV(OFFSET(G451,1-Settings!$B$12,0,Settings!$B$12,1))*SQRT(Settings!$B$13)))</f>
        <v/>
      </c>
      <c r="L451" s="20">
        <f>IF(AND(ISNUMBER(D451),ISNUMBER(H451)),D451-H451,NA())</f>
        <v/>
      </c>
      <c r="M451" s="20">
        <f>IF(AND(ISNUMBER(E451),ISNUMBER(K451)),E451-K451,NA())</f>
        <v/>
      </c>
      <c r="N451" s="20">
        <f>IF(NOT(ISNUMBER($A451)),NA(),IF(COUNT(OFFSET(G451,1,0,Settings!$B$12,1))&lt;ROUNDUP(Settings!$B$12*Settings!$B$26,0),NA(),STDEV(OFFSET(G451,1,0,Settings!$B$12,1))*SQRT(Settings!$B$13)))</f>
        <v/>
      </c>
      <c r="O451" s="20">
        <f>IF(AND(ISNUMBER(E451),ISNUMBER(N451)),E451-N451,NA())</f>
        <v/>
      </c>
      <c r="P451" s="19">
        <f>IF(NOT(ISNUMBER($A451)),NA(),IF(OR($A451&lt;MIN(KW_TP!$A$2:$A$2501),$A451&gt;MAX(KW_TP!$A$2:$A$2501)),NA(),INDEX(KW_TP!$C$2:$C$2501,MATCH($A451,KW_TP!$A$2:$A$2501,1))))</f>
        <v/>
      </c>
      <c r="Q451" s="18">
        <f>IF(NOT(ISNUMBER($A451)),NA(),IFERROR(1*INDEX(BBG_Data!$J$2:$J$4000,MATCH($A451,BBG_Data!$I$2:$I$4000,0)),NA()))</f>
        <v/>
      </c>
      <c r="R451" s="18">
        <f>IF(NOT(ISNUMBER($A451)),NA(),IFERROR(1*INDEX(BBG_Data!$L$2:$L$4000,MATCH($A451,BBG_Data!$K$2:$K$4000,0)),NA()))</f>
        <v/>
      </c>
      <c r="S451" s="20">
        <f>IF(AND(ISNUMBER(B451),ISNUMBER(Q451),ISNUMBER(R451)),(B451-Q451-R451)*100,NA())</f>
        <v/>
      </c>
      <c r="T451" s="20">
        <f>IF(AND(ISNUMBER(B451),Settings!$B$17&gt;0),IF(ISNUMBER(INDEX($B:$B,Settings!$B$17)),(B451-INDEX($B:$B,Settings!$B$17))*100,NA()),NA())</f>
        <v/>
      </c>
      <c r="U451" s="20">
        <f>IF(AND(ISNUMBER(Q451),Settings!$B$17&gt;0),IF(ISNUMBER(INDEX($Q:$Q,Settings!$B$17)),(Q451-INDEX($Q:$Q,Settings!$B$17))*100,NA()),NA())</f>
        <v/>
      </c>
      <c r="V451" s="20">
        <f>IF(AND(ISNUMBER(R451),Settings!$B$17&gt;0),IF(ISNUMBER(INDEX($R:$R,Settings!$B$17)),(R451-INDEX($R:$R,Settings!$B$17))*100,NA()),NA())</f>
        <v/>
      </c>
      <c r="W451" s="20">
        <f>IF(AND(ISNUMBER(P451),Settings!$B$17&gt;0),IF(ISNUMBER(INDEX($P:$P,Settings!$B$17)),P451-INDEX($P:$P,Settings!$B$17),NA()),NA())</f>
        <v/>
      </c>
      <c r="X451" s="19">
        <f>IF(NOT(ISNUMBER($A451)),NA(),IF(OR($A451&lt;MIN(DKW_10Y!$A$2:$A$2918),$A451&gt;MAX(DKW_10Y!$A$2:$A$2918),Settings!$B$16&lt;MIN(DKW_10Y!$A$2:$A$2918)),NA(),(INDEX(DKW_10Y!$B$2:$B$2918,MATCH($A451,DKW_10Y!$A$2:$A$2918,1))-INDEX(DKW_10Y!$B$2:$B$2918,MATCH(Settings!$B$16,DKW_10Y!$A$2:$A$2918,1)))*100))</f>
        <v/>
      </c>
      <c r="Y451" s="19">
        <f>IF(NOT(ISNUMBER($A451)),NA(),IF(OR($A451&lt;MIN(DKW_10Y!$A$2:$A$2918),$A451&gt;MAX(DKW_10Y!$A$2:$A$2918),Settings!$B$16&lt;MIN(DKW_10Y!$A$2:$A$2918)),NA(),(INDEX(DKW_10Y!$C$2:$C$2918,MATCH($A451,DKW_10Y!$A$2:$A$2918,1))-INDEX(DKW_10Y!$C$2:$C$2918,MATCH(Settings!$B$16,DKW_10Y!$A$2:$A$2918,1)))*100))</f>
        <v/>
      </c>
      <c r="Z451" s="19">
        <f>IF(NOT(ISNUMBER($A451)),NA(),IF(OR($A451&lt;MIN(DKW_10Y!$A$2:$A$2918),$A451&gt;MAX(DKW_10Y!$A$2:$A$2918),Settings!$B$16&lt;MIN(DKW_10Y!$A$2:$A$2918)),NA(),(INDEX(DKW_10Y!$D$2:$D$2918,MATCH($A451,DKW_10Y!$A$2:$A$2918,1))-INDEX(DKW_10Y!$D$2:$D$2918,MATCH(Settings!$B$16,DKW_10Y!$A$2:$A$2918,1)))*100))</f>
        <v/>
      </c>
      <c r="AA451" s="19">
        <f>IF(NOT(ISNUMBER($A451)),NA(),IF(OR($A451&lt;MIN(DKW_10Y!$A$2:$A$2918),$A451&gt;MAX(DKW_10Y!$A$2:$A$2918),Settings!$B$16&lt;MIN(DKW_10Y!$A$2:$A$2918)),NA(),(INDEX(DKW_10Y!$E$2:$E$2918,MATCH($A451,DKW_10Y!$A$2:$A$2918,1))-INDEX(DKW_10Y!$E$2:$E$2918,MATCH(Settings!$B$16,DKW_10Y!$A$2:$A$2918,1)))*100))</f>
        <v/>
      </c>
      <c r="AB451" s="19">
        <f>IF(NOT(ISNUMBER($A451)),NA(),IF(OR($A451&lt;MIN(DKW_10Y!$A$2:$A$2918),$A451&gt;MAX(DKW_10Y!$A$2:$A$2918),Settings!$B$16&lt;MIN(DKW_10Y!$A$2:$A$2918)),NA(),(INDEX(DKW_10Y!$H$2:$H$2918,MATCH($A451,DKW_10Y!$A$2:$A$2918,1))-INDEX(DKW_10Y!$H$2:$H$2918,MATCH(Settings!$B$16,DKW_10Y!$A$2:$A$2918,1)))*100))</f>
        <v/>
      </c>
      <c r="AC451" s="18">
        <f>IF(NOT(ISNUMBER($A451)),NA(),IFERROR(1*INDEX(BBG_Data!$N$2:$N$4000,MATCH($A451,BBG_Data!$M$2:$M$4000,0)),NA()))</f>
        <v/>
      </c>
      <c r="AD451" s="18">
        <f>IF(NOT(ISNUMBER($A451)),NA(),IFERROR(1*INDEX(BBG_Data!$P$2:$P$4000,MATCH($A451,BBG_Data!$O$2:$O$4000,0)),NA()))</f>
        <v/>
      </c>
      <c r="AE451" s="18">
        <f>IF(NOT(ISNUMBER($A451)),NA(),IFERROR(1*INDEX(BBG_Data!$R$2:$R$4000,MATCH($A451,BBG_Data!$Q$2:$Q$4000,0)),NA()))</f>
        <v/>
      </c>
      <c r="AF451" s="20">
        <f>IF(AND(ISNUMBER(B451),ISNUMBER(AC451)),(B451-AC451)*100,NA())</f>
        <v/>
      </c>
      <c r="AG451" s="20">
        <f>IF(AND(ISNUMBER(AE451),ISNUMBER(AD451)),(AE451-AD451)*100,NA())</f>
        <v/>
      </c>
      <c r="AH451" s="19">
        <f>IF(NOT(ISNUMBER($A451)),NA(),IFERROR(INDEX(BBG_Data!$T$2:$T$4000,MATCH($A451,BBG_Data!$S$2:$S$4000,0))*Settings!$B$25,NA()))</f>
        <v/>
      </c>
      <c r="AI451" s="19">
        <f>IF(NOT(ISNUMBER($A451)),NA(),IFERROR(INDEX(BBG_Data!$V$2:$V$4000,MATCH($A451,BBG_Data!$U$2:$U$4000,0))*Settings!$B$25,NA()))</f>
        <v/>
      </c>
      <c r="AJ451" s="19">
        <f>IF(NOT(ISNUMBER($A451)),NA(),IFERROR(1*INDEX(BBG_Data!$X$2:$X$4000,MATCH($A451,BBG_Data!$W$2:$W$4000,0)),NA()))</f>
        <v/>
      </c>
      <c r="AK451" s="19">
        <f>IF(NOT(ISNUMBER($A451)),NA(),IFERROR(1*INDEX(BBG_Data!$Z$2:$Z$4000,MATCH($A451,BBG_Data!$Y$2:$Y$4000,0)),NA()))</f>
        <v/>
      </c>
    </row>
    <row r="452">
      <c r="A452" s="17">
        <f>IF(ISNUMBER(BBG_Data!A452),BBG_Data!A452,"")</f>
        <v/>
      </c>
      <c r="B452" s="18">
        <f>IF(AND(ISNUMBER($A452),ISNUMBER(BBG_Data!B452)),BBG_Data!B452,NA())</f>
        <v/>
      </c>
      <c r="C452" s="18">
        <f>IF(NOT(ISNUMBER($A452)),NA(),IFERROR(1*INDEX(BBG_Data!$D$2:$D$4000,MATCH($A452,BBG_Data!$C$2:$C$4000,0)),NA()))</f>
        <v/>
      </c>
      <c r="D452" s="19">
        <f>IF(NOT(ISNUMBER($A452)),NA(),IFERROR(1*INDEX(BBG_Data!$F$2:$F$4000,MATCH($A452,BBG_Data!$E$2:$E$4000,0)),NA()))</f>
        <v/>
      </c>
      <c r="E452" s="19">
        <f>IF(NOT(ISNUMBER($A452)),NA(),IFERROR(1*INDEX(BBG_Data!$H$2:$H$4000,MATCH($A452,BBG_Data!$G$2:$G$4000,0)),NA()))</f>
        <v/>
      </c>
      <c r="F452" s="20">
        <f>IF(AND(ISNUMBER(B452),ISNUMBER(B451)),IF(B452=B451,"",(B452-B451)*100),"")</f>
        <v/>
      </c>
      <c r="G452" s="20">
        <f>IF(AND(ISNUMBER(C452),ISNUMBER(C451)),IF(C452=C451,"",(C452-C451)*100),"")</f>
        <v/>
      </c>
      <c r="H452" s="20">
        <f>IF(OR(NOT(ISNUMBER($A452)),ROW()-2&lt;Settings!$B$11),NA(),IF(COUNT(OFFSET(F452,1-Settings!$B$11,0,Settings!$B$11,1))&lt;ROUNDUP(Settings!$B$11*Settings!$B$26,0),NA(),STDEV(OFFSET(F452,1-Settings!$B$11,0,Settings!$B$11,1))*SQRT(Settings!$B$13)))</f>
        <v/>
      </c>
      <c r="I452" s="20">
        <f>IF(OR(NOT(ISNUMBER($A452)),ROW()-2&lt;Settings!$B$12),NA(),IF(COUNT(OFFSET(F452,1-Settings!$B$12,0,Settings!$B$12,1))&lt;ROUNDUP(Settings!$B$12*Settings!$B$26,0),NA(),STDEV(OFFSET(F452,1-Settings!$B$12,0,Settings!$B$12,1))*SQRT(Settings!$B$13)))</f>
        <v/>
      </c>
      <c r="J452" s="20">
        <f>IF(OR(NOT(ISNUMBER($A452)),ROW()-2&lt;Settings!$B$11),NA(),IF(COUNT(OFFSET(G452,1-Settings!$B$11,0,Settings!$B$11,1))&lt;ROUNDUP(Settings!$B$11*Settings!$B$26,0),NA(),STDEV(OFFSET(G452,1-Settings!$B$11,0,Settings!$B$11,1))*SQRT(Settings!$B$13)))</f>
        <v/>
      </c>
      <c r="K452" s="20">
        <f>IF(OR(NOT(ISNUMBER($A452)),ROW()-2&lt;Settings!$B$12),NA(),IF(COUNT(OFFSET(G452,1-Settings!$B$12,0,Settings!$B$12,1))&lt;ROUNDUP(Settings!$B$12*Settings!$B$26,0),NA(),STDEV(OFFSET(G452,1-Settings!$B$12,0,Settings!$B$12,1))*SQRT(Settings!$B$13)))</f>
        <v/>
      </c>
      <c r="L452" s="20">
        <f>IF(AND(ISNUMBER(D452),ISNUMBER(H452)),D452-H452,NA())</f>
        <v/>
      </c>
      <c r="M452" s="20">
        <f>IF(AND(ISNUMBER(E452),ISNUMBER(K452)),E452-K452,NA())</f>
        <v/>
      </c>
      <c r="N452" s="20">
        <f>IF(NOT(ISNUMBER($A452)),NA(),IF(COUNT(OFFSET(G452,1,0,Settings!$B$12,1))&lt;ROUNDUP(Settings!$B$12*Settings!$B$26,0),NA(),STDEV(OFFSET(G452,1,0,Settings!$B$12,1))*SQRT(Settings!$B$13)))</f>
        <v/>
      </c>
      <c r="O452" s="20">
        <f>IF(AND(ISNUMBER(E452),ISNUMBER(N452)),E452-N452,NA())</f>
        <v/>
      </c>
      <c r="P452" s="19">
        <f>IF(NOT(ISNUMBER($A452)),NA(),IF(OR($A452&lt;MIN(KW_TP!$A$2:$A$2501),$A452&gt;MAX(KW_TP!$A$2:$A$2501)),NA(),INDEX(KW_TP!$C$2:$C$2501,MATCH($A452,KW_TP!$A$2:$A$2501,1))))</f>
        <v/>
      </c>
      <c r="Q452" s="18">
        <f>IF(NOT(ISNUMBER($A452)),NA(),IFERROR(1*INDEX(BBG_Data!$J$2:$J$4000,MATCH($A452,BBG_Data!$I$2:$I$4000,0)),NA()))</f>
        <v/>
      </c>
      <c r="R452" s="18">
        <f>IF(NOT(ISNUMBER($A452)),NA(),IFERROR(1*INDEX(BBG_Data!$L$2:$L$4000,MATCH($A452,BBG_Data!$K$2:$K$4000,0)),NA()))</f>
        <v/>
      </c>
      <c r="S452" s="20">
        <f>IF(AND(ISNUMBER(B452),ISNUMBER(Q452),ISNUMBER(R452)),(B452-Q452-R452)*100,NA())</f>
        <v/>
      </c>
      <c r="T452" s="20">
        <f>IF(AND(ISNUMBER(B452),Settings!$B$17&gt;0),IF(ISNUMBER(INDEX($B:$B,Settings!$B$17)),(B452-INDEX($B:$B,Settings!$B$17))*100,NA()),NA())</f>
        <v/>
      </c>
      <c r="U452" s="20">
        <f>IF(AND(ISNUMBER(Q452),Settings!$B$17&gt;0),IF(ISNUMBER(INDEX($Q:$Q,Settings!$B$17)),(Q452-INDEX($Q:$Q,Settings!$B$17))*100,NA()),NA())</f>
        <v/>
      </c>
      <c r="V452" s="20">
        <f>IF(AND(ISNUMBER(R452),Settings!$B$17&gt;0),IF(ISNUMBER(INDEX($R:$R,Settings!$B$17)),(R452-INDEX($R:$R,Settings!$B$17))*100,NA()),NA())</f>
        <v/>
      </c>
      <c r="W452" s="20">
        <f>IF(AND(ISNUMBER(P452),Settings!$B$17&gt;0),IF(ISNUMBER(INDEX($P:$P,Settings!$B$17)),P452-INDEX($P:$P,Settings!$B$17),NA()),NA())</f>
        <v/>
      </c>
      <c r="X452" s="19">
        <f>IF(NOT(ISNUMBER($A452)),NA(),IF(OR($A452&lt;MIN(DKW_10Y!$A$2:$A$2918),$A452&gt;MAX(DKW_10Y!$A$2:$A$2918),Settings!$B$16&lt;MIN(DKW_10Y!$A$2:$A$2918)),NA(),(INDEX(DKW_10Y!$B$2:$B$2918,MATCH($A452,DKW_10Y!$A$2:$A$2918,1))-INDEX(DKW_10Y!$B$2:$B$2918,MATCH(Settings!$B$16,DKW_10Y!$A$2:$A$2918,1)))*100))</f>
        <v/>
      </c>
      <c r="Y452" s="19">
        <f>IF(NOT(ISNUMBER($A452)),NA(),IF(OR($A452&lt;MIN(DKW_10Y!$A$2:$A$2918),$A452&gt;MAX(DKW_10Y!$A$2:$A$2918),Settings!$B$16&lt;MIN(DKW_10Y!$A$2:$A$2918)),NA(),(INDEX(DKW_10Y!$C$2:$C$2918,MATCH($A452,DKW_10Y!$A$2:$A$2918,1))-INDEX(DKW_10Y!$C$2:$C$2918,MATCH(Settings!$B$16,DKW_10Y!$A$2:$A$2918,1)))*100))</f>
        <v/>
      </c>
      <c r="Z452" s="19">
        <f>IF(NOT(ISNUMBER($A452)),NA(),IF(OR($A452&lt;MIN(DKW_10Y!$A$2:$A$2918),$A452&gt;MAX(DKW_10Y!$A$2:$A$2918),Settings!$B$16&lt;MIN(DKW_10Y!$A$2:$A$2918)),NA(),(INDEX(DKW_10Y!$D$2:$D$2918,MATCH($A452,DKW_10Y!$A$2:$A$2918,1))-INDEX(DKW_10Y!$D$2:$D$2918,MATCH(Settings!$B$16,DKW_10Y!$A$2:$A$2918,1)))*100))</f>
        <v/>
      </c>
      <c r="AA452" s="19">
        <f>IF(NOT(ISNUMBER($A452)),NA(),IF(OR($A452&lt;MIN(DKW_10Y!$A$2:$A$2918),$A452&gt;MAX(DKW_10Y!$A$2:$A$2918),Settings!$B$16&lt;MIN(DKW_10Y!$A$2:$A$2918)),NA(),(INDEX(DKW_10Y!$E$2:$E$2918,MATCH($A452,DKW_10Y!$A$2:$A$2918,1))-INDEX(DKW_10Y!$E$2:$E$2918,MATCH(Settings!$B$16,DKW_10Y!$A$2:$A$2918,1)))*100))</f>
        <v/>
      </c>
      <c r="AB452" s="19">
        <f>IF(NOT(ISNUMBER($A452)),NA(),IF(OR($A452&lt;MIN(DKW_10Y!$A$2:$A$2918),$A452&gt;MAX(DKW_10Y!$A$2:$A$2918),Settings!$B$16&lt;MIN(DKW_10Y!$A$2:$A$2918)),NA(),(INDEX(DKW_10Y!$H$2:$H$2918,MATCH($A452,DKW_10Y!$A$2:$A$2918,1))-INDEX(DKW_10Y!$H$2:$H$2918,MATCH(Settings!$B$16,DKW_10Y!$A$2:$A$2918,1)))*100))</f>
        <v/>
      </c>
      <c r="AC452" s="18">
        <f>IF(NOT(ISNUMBER($A452)),NA(),IFERROR(1*INDEX(BBG_Data!$N$2:$N$4000,MATCH($A452,BBG_Data!$M$2:$M$4000,0)),NA()))</f>
        <v/>
      </c>
      <c r="AD452" s="18">
        <f>IF(NOT(ISNUMBER($A452)),NA(),IFERROR(1*INDEX(BBG_Data!$P$2:$P$4000,MATCH($A452,BBG_Data!$O$2:$O$4000,0)),NA()))</f>
        <v/>
      </c>
      <c r="AE452" s="18">
        <f>IF(NOT(ISNUMBER($A452)),NA(),IFERROR(1*INDEX(BBG_Data!$R$2:$R$4000,MATCH($A452,BBG_Data!$Q$2:$Q$4000,0)),NA()))</f>
        <v/>
      </c>
      <c r="AF452" s="20">
        <f>IF(AND(ISNUMBER(B452),ISNUMBER(AC452)),(B452-AC452)*100,NA())</f>
        <v/>
      </c>
      <c r="AG452" s="20">
        <f>IF(AND(ISNUMBER(AE452),ISNUMBER(AD452)),(AE452-AD452)*100,NA())</f>
        <v/>
      </c>
      <c r="AH452" s="19">
        <f>IF(NOT(ISNUMBER($A452)),NA(),IFERROR(INDEX(BBG_Data!$T$2:$T$4000,MATCH($A452,BBG_Data!$S$2:$S$4000,0))*Settings!$B$25,NA()))</f>
        <v/>
      </c>
      <c r="AI452" s="19">
        <f>IF(NOT(ISNUMBER($A452)),NA(),IFERROR(INDEX(BBG_Data!$V$2:$V$4000,MATCH($A452,BBG_Data!$U$2:$U$4000,0))*Settings!$B$25,NA()))</f>
        <v/>
      </c>
      <c r="AJ452" s="19">
        <f>IF(NOT(ISNUMBER($A452)),NA(),IFERROR(1*INDEX(BBG_Data!$X$2:$X$4000,MATCH($A452,BBG_Data!$W$2:$W$4000,0)),NA()))</f>
        <v/>
      </c>
      <c r="AK452" s="19">
        <f>IF(NOT(ISNUMBER($A452)),NA(),IFERROR(1*INDEX(BBG_Data!$Z$2:$Z$4000,MATCH($A452,BBG_Data!$Y$2:$Y$4000,0)),NA()))</f>
        <v/>
      </c>
    </row>
    <row r="453">
      <c r="A453" s="17">
        <f>IF(ISNUMBER(BBG_Data!A453),BBG_Data!A453,"")</f>
        <v/>
      </c>
      <c r="B453" s="18">
        <f>IF(AND(ISNUMBER($A453),ISNUMBER(BBG_Data!B453)),BBG_Data!B453,NA())</f>
        <v/>
      </c>
      <c r="C453" s="18">
        <f>IF(NOT(ISNUMBER($A453)),NA(),IFERROR(1*INDEX(BBG_Data!$D$2:$D$4000,MATCH($A453,BBG_Data!$C$2:$C$4000,0)),NA()))</f>
        <v/>
      </c>
      <c r="D453" s="19">
        <f>IF(NOT(ISNUMBER($A453)),NA(),IFERROR(1*INDEX(BBG_Data!$F$2:$F$4000,MATCH($A453,BBG_Data!$E$2:$E$4000,0)),NA()))</f>
        <v/>
      </c>
      <c r="E453" s="19">
        <f>IF(NOT(ISNUMBER($A453)),NA(),IFERROR(1*INDEX(BBG_Data!$H$2:$H$4000,MATCH($A453,BBG_Data!$G$2:$G$4000,0)),NA()))</f>
        <v/>
      </c>
      <c r="F453" s="20">
        <f>IF(AND(ISNUMBER(B453),ISNUMBER(B452)),IF(B453=B452,"",(B453-B452)*100),"")</f>
        <v/>
      </c>
      <c r="G453" s="20">
        <f>IF(AND(ISNUMBER(C453),ISNUMBER(C452)),IF(C453=C452,"",(C453-C452)*100),"")</f>
        <v/>
      </c>
      <c r="H453" s="20">
        <f>IF(OR(NOT(ISNUMBER($A453)),ROW()-2&lt;Settings!$B$11),NA(),IF(COUNT(OFFSET(F453,1-Settings!$B$11,0,Settings!$B$11,1))&lt;ROUNDUP(Settings!$B$11*Settings!$B$26,0),NA(),STDEV(OFFSET(F453,1-Settings!$B$11,0,Settings!$B$11,1))*SQRT(Settings!$B$13)))</f>
        <v/>
      </c>
      <c r="I453" s="20">
        <f>IF(OR(NOT(ISNUMBER($A453)),ROW()-2&lt;Settings!$B$12),NA(),IF(COUNT(OFFSET(F453,1-Settings!$B$12,0,Settings!$B$12,1))&lt;ROUNDUP(Settings!$B$12*Settings!$B$26,0),NA(),STDEV(OFFSET(F453,1-Settings!$B$12,0,Settings!$B$12,1))*SQRT(Settings!$B$13)))</f>
        <v/>
      </c>
      <c r="J453" s="20">
        <f>IF(OR(NOT(ISNUMBER($A453)),ROW()-2&lt;Settings!$B$11),NA(),IF(COUNT(OFFSET(G453,1-Settings!$B$11,0,Settings!$B$11,1))&lt;ROUNDUP(Settings!$B$11*Settings!$B$26,0),NA(),STDEV(OFFSET(G453,1-Settings!$B$11,0,Settings!$B$11,1))*SQRT(Settings!$B$13)))</f>
        <v/>
      </c>
      <c r="K453" s="20">
        <f>IF(OR(NOT(ISNUMBER($A453)),ROW()-2&lt;Settings!$B$12),NA(),IF(COUNT(OFFSET(G453,1-Settings!$B$12,0,Settings!$B$12,1))&lt;ROUNDUP(Settings!$B$12*Settings!$B$26,0),NA(),STDEV(OFFSET(G453,1-Settings!$B$12,0,Settings!$B$12,1))*SQRT(Settings!$B$13)))</f>
        <v/>
      </c>
      <c r="L453" s="20">
        <f>IF(AND(ISNUMBER(D453),ISNUMBER(H453)),D453-H453,NA())</f>
        <v/>
      </c>
      <c r="M453" s="20">
        <f>IF(AND(ISNUMBER(E453),ISNUMBER(K453)),E453-K453,NA())</f>
        <v/>
      </c>
      <c r="N453" s="20">
        <f>IF(NOT(ISNUMBER($A453)),NA(),IF(COUNT(OFFSET(G453,1,0,Settings!$B$12,1))&lt;ROUNDUP(Settings!$B$12*Settings!$B$26,0),NA(),STDEV(OFFSET(G453,1,0,Settings!$B$12,1))*SQRT(Settings!$B$13)))</f>
        <v/>
      </c>
      <c r="O453" s="20">
        <f>IF(AND(ISNUMBER(E453),ISNUMBER(N453)),E453-N453,NA())</f>
        <v/>
      </c>
      <c r="P453" s="19">
        <f>IF(NOT(ISNUMBER($A453)),NA(),IF(OR($A453&lt;MIN(KW_TP!$A$2:$A$2501),$A453&gt;MAX(KW_TP!$A$2:$A$2501)),NA(),INDEX(KW_TP!$C$2:$C$2501,MATCH($A453,KW_TP!$A$2:$A$2501,1))))</f>
        <v/>
      </c>
      <c r="Q453" s="18">
        <f>IF(NOT(ISNUMBER($A453)),NA(),IFERROR(1*INDEX(BBG_Data!$J$2:$J$4000,MATCH($A453,BBG_Data!$I$2:$I$4000,0)),NA()))</f>
        <v/>
      </c>
      <c r="R453" s="18">
        <f>IF(NOT(ISNUMBER($A453)),NA(),IFERROR(1*INDEX(BBG_Data!$L$2:$L$4000,MATCH($A453,BBG_Data!$K$2:$K$4000,0)),NA()))</f>
        <v/>
      </c>
      <c r="S453" s="20">
        <f>IF(AND(ISNUMBER(B453),ISNUMBER(Q453),ISNUMBER(R453)),(B453-Q453-R453)*100,NA())</f>
        <v/>
      </c>
      <c r="T453" s="20">
        <f>IF(AND(ISNUMBER(B453),Settings!$B$17&gt;0),IF(ISNUMBER(INDEX($B:$B,Settings!$B$17)),(B453-INDEX($B:$B,Settings!$B$17))*100,NA()),NA())</f>
        <v/>
      </c>
      <c r="U453" s="20">
        <f>IF(AND(ISNUMBER(Q453),Settings!$B$17&gt;0),IF(ISNUMBER(INDEX($Q:$Q,Settings!$B$17)),(Q453-INDEX($Q:$Q,Settings!$B$17))*100,NA()),NA())</f>
        <v/>
      </c>
      <c r="V453" s="20">
        <f>IF(AND(ISNUMBER(R453),Settings!$B$17&gt;0),IF(ISNUMBER(INDEX($R:$R,Settings!$B$17)),(R453-INDEX($R:$R,Settings!$B$17))*100,NA()),NA())</f>
        <v/>
      </c>
      <c r="W453" s="20">
        <f>IF(AND(ISNUMBER(P453),Settings!$B$17&gt;0),IF(ISNUMBER(INDEX($P:$P,Settings!$B$17)),P453-INDEX($P:$P,Settings!$B$17),NA()),NA())</f>
        <v/>
      </c>
      <c r="X453" s="19">
        <f>IF(NOT(ISNUMBER($A453)),NA(),IF(OR($A453&lt;MIN(DKW_10Y!$A$2:$A$2918),$A453&gt;MAX(DKW_10Y!$A$2:$A$2918),Settings!$B$16&lt;MIN(DKW_10Y!$A$2:$A$2918)),NA(),(INDEX(DKW_10Y!$B$2:$B$2918,MATCH($A453,DKW_10Y!$A$2:$A$2918,1))-INDEX(DKW_10Y!$B$2:$B$2918,MATCH(Settings!$B$16,DKW_10Y!$A$2:$A$2918,1)))*100))</f>
        <v/>
      </c>
      <c r="Y453" s="19">
        <f>IF(NOT(ISNUMBER($A453)),NA(),IF(OR($A453&lt;MIN(DKW_10Y!$A$2:$A$2918),$A453&gt;MAX(DKW_10Y!$A$2:$A$2918),Settings!$B$16&lt;MIN(DKW_10Y!$A$2:$A$2918)),NA(),(INDEX(DKW_10Y!$C$2:$C$2918,MATCH($A453,DKW_10Y!$A$2:$A$2918,1))-INDEX(DKW_10Y!$C$2:$C$2918,MATCH(Settings!$B$16,DKW_10Y!$A$2:$A$2918,1)))*100))</f>
        <v/>
      </c>
      <c r="Z453" s="19">
        <f>IF(NOT(ISNUMBER($A453)),NA(),IF(OR($A453&lt;MIN(DKW_10Y!$A$2:$A$2918),$A453&gt;MAX(DKW_10Y!$A$2:$A$2918),Settings!$B$16&lt;MIN(DKW_10Y!$A$2:$A$2918)),NA(),(INDEX(DKW_10Y!$D$2:$D$2918,MATCH($A453,DKW_10Y!$A$2:$A$2918,1))-INDEX(DKW_10Y!$D$2:$D$2918,MATCH(Settings!$B$16,DKW_10Y!$A$2:$A$2918,1)))*100))</f>
        <v/>
      </c>
      <c r="AA453" s="19">
        <f>IF(NOT(ISNUMBER($A453)),NA(),IF(OR($A453&lt;MIN(DKW_10Y!$A$2:$A$2918),$A453&gt;MAX(DKW_10Y!$A$2:$A$2918),Settings!$B$16&lt;MIN(DKW_10Y!$A$2:$A$2918)),NA(),(INDEX(DKW_10Y!$E$2:$E$2918,MATCH($A453,DKW_10Y!$A$2:$A$2918,1))-INDEX(DKW_10Y!$E$2:$E$2918,MATCH(Settings!$B$16,DKW_10Y!$A$2:$A$2918,1)))*100))</f>
        <v/>
      </c>
      <c r="AB453" s="19">
        <f>IF(NOT(ISNUMBER($A453)),NA(),IF(OR($A453&lt;MIN(DKW_10Y!$A$2:$A$2918),$A453&gt;MAX(DKW_10Y!$A$2:$A$2918),Settings!$B$16&lt;MIN(DKW_10Y!$A$2:$A$2918)),NA(),(INDEX(DKW_10Y!$H$2:$H$2918,MATCH($A453,DKW_10Y!$A$2:$A$2918,1))-INDEX(DKW_10Y!$H$2:$H$2918,MATCH(Settings!$B$16,DKW_10Y!$A$2:$A$2918,1)))*100))</f>
        <v/>
      </c>
      <c r="AC453" s="18">
        <f>IF(NOT(ISNUMBER($A453)),NA(),IFERROR(1*INDEX(BBG_Data!$N$2:$N$4000,MATCH($A453,BBG_Data!$M$2:$M$4000,0)),NA()))</f>
        <v/>
      </c>
      <c r="AD453" s="18">
        <f>IF(NOT(ISNUMBER($A453)),NA(),IFERROR(1*INDEX(BBG_Data!$P$2:$P$4000,MATCH($A453,BBG_Data!$O$2:$O$4000,0)),NA()))</f>
        <v/>
      </c>
      <c r="AE453" s="18">
        <f>IF(NOT(ISNUMBER($A453)),NA(),IFERROR(1*INDEX(BBG_Data!$R$2:$R$4000,MATCH($A453,BBG_Data!$Q$2:$Q$4000,0)),NA()))</f>
        <v/>
      </c>
      <c r="AF453" s="20">
        <f>IF(AND(ISNUMBER(B453),ISNUMBER(AC453)),(B453-AC453)*100,NA())</f>
        <v/>
      </c>
      <c r="AG453" s="20">
        <f>IF(AND(ISNUMBER(AE453),ISNUMBER(AD453)),(AE453-AD453)*100,NA())</f>
        <v/>
      </c>
      <c r="AH453" s="19">
        <f>IF(NOT(ISNUMBER($A453)),NA(),IFERROR(INDEX(BBG_Data!$T$2:$T$4000,MATCH($A453,BBG_Data!$S$2:$S$4000,0))*Settings!$B$25,NA()))</f>
        <v/>
      </c>
      <c r="AI453" s="19">
        <f>IF(NOT(ISNUMBER($A453)),NA(),IFERROR(INDEX(BBG_Data!$V$2:$V$4000,MATCH($A453,BBG_Data!$U$2:$U$4000,0))*Settings!$B$25,NA()))</f>
        <v/>
      </c>
      <c r="AJ453" s="19">
        <f>IF(NOT(ISNUMBER($A453)),NA(),IFERROR(1*INDEX(BBG_Data!$X$2:$X$4000,MATCH($A453,BBG_Data!$W$2:$W$4000,0)),NA()))</f>
        <v/>
      </c>
      <c r="AK453" s="19">
        <f>IF(NOT(ISNUMBER($A453)),NA(),IFERROR(1*INDEX(BBG_Data!$Z$2:$Z$4000,MATCH($A453,BBG_Data!$Y$2:$Y$4000,0)),NA()))</f>
        <v/>
      </c>
    </row>
    <row r="454">
      <c r="A454" s="17">
        <f>IF(ISNUMBER(BBG_Data!A454),BBG_Data!A454,"")</f>
        <v/>
      </c>
      <c r="B454" s="18">
        <f>IF(AND(ISNUMBER($A454),ISNUMBER(BBG_Data!B454)),BBG_Data!B454,NA())</f>
        <v/>
      </c>
      <c r="C454" s="18">
        <f>IF(NOT(ISNUMBER($A454)),NA(),IFERROR(1*INDEX(BBG_Data!$D$2:$D$4000,MATCH($A454,BBG_Data!$C$2:$C$4000,0)),NA()))</f>
        <v/>
      </c>
      <c r="D454" s="19">
        <f>IF(NOT(ISNUMBER($A454)),NA(),IFERROR(1*INDEX(BBG_Data!$F$2:$F$4000,MATCH($A454,BBG_Data!$E$2:$E$4000,0)),NA()))</f>
        <v/>
      </c>
      <c r="E454" s="19">
        <f>IF(NOT(ISNUMBER($A454)),NA(),IFERROR(1*INDEX(BBG_Data!$H$2:$H$4000,MATCH($A454,BBG_Data!$G$2:$G$4000,0)),NA()))</f>
        <v/>
      </c>
      <c r="F454" s="20">
        <f>IF(AND(ISNUMBER(B454),ISNUMBER(B453)),IF(B454=B453,"",(B454-B453)*100),"")</f>
        <v/>
      </c>
      <c r="G454" s="20">
        <f>IF(AND(ISNUMBER(C454),ISNUMBER(C453)),IF(C454=C453,"",(C454-C453)*100),"")</f>
        <v/>
      </c>
      <c r="H454" s="20">
        <f>IF(OR(NOT(ISNUMBER($A454)),ROW()-2&lt;Settings!$B$11),NA(),IF(COUNT(OFFSET(F454,1-Settings!$B$11,0,Settings!$B$11,1))&lt;ROUNDUP(Settings!$B$11*Settings!$B$26,0),NA(),STDEV(OFFSET(F454,1-Settings!$B$11,0,Settings!$B$11,1))*SQRT(Settings!$B$13)))</f>
        <v/>
      </c>
      <c r="I454" s="20">
        <f>IF(OR(NOT(ISNUMBER($A454)),ROW()-2&lt;Settings!$B$12),NA(),IF(COUNT(OFFSET(F454,1-Settings!$B$12,0,Settings!$B$12,1))&lt;ROUNDUP(Settings!$B$12*Settings!$B$26,0),NA(),STDEV(OFFSET(F454,1-Settings!$B$12,0,Settings!$B$12,1))*SQRT(Settings!$B$13)))</f>
        <v/>
      </c>
      <c r="J454" s="20">
        <f>IF(OR(NOT(ISNUMBER($A454)),ROW()-2&lt;Settings!$B$11),NA(),IF(COUNT(OFFSET(G454,1-Settings!$B$11,0,Settings!$B$11,1))&lt;ROUNDUP(Settings!$B$11*Settings!$B$26,0),NA(),STDEV(OFFSET(G454,1-Settings!$B$11,0,Settings!$B$11,1))*SQRT(Settings!$B$13)))</f>
        <v/>
      </c>
      <c r="K454" s="20">
        <f>IF(OR(NOT(ISNUMBER($A454)),ROW()-2&lt;Settings!$B$12),NA(),IF(COUNT(OFFSET(G454,1-Settings!$B$12,0,Settings!$B$12,1))&lt;ROUNDUP(Settings!$B$12*Settings!$B$26,0),NA(),STDEV(OFFSET(G454,1-Settings!$B$12,0,Settings!$B$12,1))*SQRT(Settings!$B$13)))</f>
        <v/>
      </c>
      <c r="L454" s="20">
        <f>IF(AND(ISNUMBER(D454),ISNUMBER(H454)),D454-H454,NA())</f>
        <v/>
      </c>
      <c r="M454" s="20">
        <f>IF(AND(ISNUMBER(E454),ISNUMBER(K454)),E454-K454,NA())</f>
        <v/>
      </c>
      <c r="N454" s="20">
        <f>IF(NOT(ISNUMBER($A454)),NA(),IF(COUNT(OFFSET(G454,1,0,Settings!$B$12,1))&lt;ROUNDUP(Settings!$B$12*Settings!$B$26,0),NA(),STDEV(OFFSET(G454,1,0,Settings!$B$12,1))*SQRT(Settings!$B$13)))</f>
        <v/>
      </c>
      <c r="O454" s="20">
        <f>IF(AND(ISNUMBER(E454),ISNUMBER(N454)),E454-N454,NA())</f>
        <v/>
      </c>
      <c r="P454" s="19">
        <f>IF(NOT(ISNUMBER($A454)),NA(),IF(OR($A454&lt;MIN(KW_TP!$A$2:$A$2501),$A454&gt;MAX(KW_TP!$A$2:$A$2501)),NA(),INDEX(KW_TP!$C$2:$C$2501,MATCH($A454,KW_TP!$A$2:$A$2501,1))))</f>
        <v/>
      </c>
      <c r="Q454" s="18">
        <f>IF(NOT(ISNUMBER($A454)),NA(),IFERROR(1*INDEX(BBG_Data!$J$2:$J$4000,MATCH($A454,BBG_Data!$I$2:$I$4000,0)),NA()))</f>
        <v/>
      </c>
      <c r="R454" s="18">
        <f>IF(NOT(ISNUMBER($A454)),NA(),IFERROR(1*INDEX(BBG_Data!$L$2:$L$4000,MATCH($A454,BBG_Data!$K$2:$K$4000,0)),NA()))</f>
        <v/>
      </c>
      <c r="S454" s="20">
        <f>IF(AND(ISNUMBER(B454),ISNUMBER(Q454),ISNUMBER(R454)),(B454-Q454-R454)*100,NA())</f>
        <v/>
      </c>
      <c r="T454" s="20">
        <f>IF(AND(ISNUMBER(B454),Settings!$B$17&gt;0),IF(ISNUMBER(INDEX($B:$B,Settings!$B$17)),(B454-INDEX($B:$B,Settings!$B$17))*100,NA()),NA())</f>
        <v/>
      </c>
      <c r="U454" s="20">
        <f>IF(AND(ISNUMBER(Q454),Settings!$B$17&gt;0),IF(ISNUMBER(INDEX($Q:$Q,Settings!$B$17)),(Q454-INDEX($Q:$Q,Settings!$B$17))*100,NA()),NA())</f>
        <v/>
      </c>
      <c r="V454" s="20">
        <f>IF(AND(ISNUMBER(R454),Settings!$B$17&gt;0),IF(ISNUMBER(INDEX($R:$R,Settings!$B$17)),(R454-INDEX($R:$R,Settings!$B$17))*100,NA()),NA())</f>
        <v/>
      </c>
      <c r="W454" s="20">
        <f>IF(AND(ISNUMBER(P454),Settings!$B$17&gt;0),IF(ISNUMBER(INDEX($P:$P,Settings!$B$17)),P454-INDEX($P:$P,Settings!$B$17),NA()),NA())</f>
        <v/>
      </c>
      <c r="X454" s="19">
        <f>IF(NOT(ISNUMBER($A454)),NA(),IF(OR($A454&lt;MIN(DKW_10Y!$A$2:$A$2918),$A454&gt;MAX(DKW_10Y!$A$2:$A$2918),Settings!$B$16&lt;MIN(DKW_10Y!$A$2:$A$2918)),NA(),(INDEX(DKW_10Y!$B$2:$B$2918,MATCH($A454,DKW_10Y!$A$2:$A$2918,1))-INDEX(DKW_10Y!$B$2:$B$2918,MATCH(Settings!$B$16,DKW_10Y!$A$2:$A$2918,1)))*100))</f>
        <v/>
      </c>
      <c r="Y454" s="19">
        <f>IF(NOT(ISNUMBER($A454)),NA(),IF(OR($A454&lt;MIN(DKW_10Y!$A$2:$A$2918),$A454&gt;MAX(DKW_10Y!$A$2:$A$2918),Settings!$B$16&lt;MIN(DKW_10Y!$A$2:$A$2918)),NA(),(INDEX(DKW_10Y!$C$2:$C$2918,MATCH($A454,DKW_10Y!$A$2:$A$2918,1))-INDEX(DKW_10Y!$C$2:$C$2918,MATCH(Settings!$B$16,DKW_10Y!$A$2:$A$2918,1)))*100))</f>
        <v/>
      </c>
      <c r="Z454" s="19">
        <f>IF(NOT(ISNUMBER($A454)),NA(),IF(OR($A454&lt;MIN(DKW_10Y!$A$2:$A$2918),$A454&gt;MAX(DKW_10Y!$A$2:$A$2918),Settings!$B$16&lt;MIN(DKW_10Y!$A$2:$A$2918)),NA(),(INDEX(DKW_10Y!$D$2:$D$2918,MATCH($A454,DKW_10Y!$A$2:$A$2918,1))-INDEX(DKW_10Y!$D$2:$D$2918,MATCH(Settings!$B$16,DKW_10Y!$A$2:$A$2918,1)))*100))</f>
        <v/>
      </c>
      <c r="AA454" s="19">
        <f>IF(NOT(ISNUMBER($A454)),NA(),IF(OR($A454&lt;MIN(DKW_10Y!$A$2:$A$2918),$A454&gt;MAX(DKW_10Y!$A$2:$A$2918),Settings!$B$16&lt;MIN(DKW_10Y!$A$2:$A$2918)),NA(),(INDEX(DKW_10Y!$E$2:$E$2918,MATCH($A454,DKW_10Y!$A$2:$A$2918,1))-INDEX(DKW_10Y!$E$2:$E$2918,MATCH(Settings!$B$16,DKW_10Y!$A$2:$A$2918,1)))*100))</f>
        <v/>
      </c>
      <c r="AB454" s="19">
        <f>IF(NOT(ISNUMBER($A454)),NA(),IF(OR($A454&lt;MIN(DKW_10Y!$A$2:$A$2918),$A454&gt;MAX(DKW_10Y!$A$2:$A$2918),Settings!$B$16&lt;MIN(DKW_10Y!$A$2:$A$2918)),NA(),(INDEX(DKW_10Y!$H$2:$H$2918,MATCH($A454,DKW_10Y!$A$2:$A$2918,1))-INDEX(DKW_10Y!$H$2:$H$2918,MATCH(Settings!$B$16,DKW_10Y!$A$2:$A$2918,1)))*100))</f>
        <v/>
      </c>
      <c r="AC454" s="18">
        <f>IF(NOT(ISNUMBER($A454)),NA(),IFERROR(1*INDEX(BBG_Data!$N$2:$N$4000,MATCH($A454,BBG_Data!$M$2:$M$4000,0)),NA()))</f>
        <v/>
      </c>
      <c r="AD454" s="18">
        <f>IF(NOT(ISNUMBER($A454)),NA(),IFERROR(1*INDEX(BBG_Data!$P$2:$P$4000,MATCH($A454,BBG_Data!$O$2:$O$4000,0)),NA()))</f>
        <v/>
      </c>
      <c r="AE454" s="18">
        <f>IF(NOT(ISNUMBER($A454)),NA(),IFERROR(1*INDEX(BBG_Data!$R$2:$R$4000,MATCH($A454,BBG_Data!$Q$2:$Q$4000,0)),NA()))</f>
        <v/>
      </c>
      <c r="AF454" s="20">
        <f>IF(AND(ISNUMBER(B454),ISNUMBER(AC454)),(B454-AC454)*100,NA())</f>
        <v/>
      </c>
      <c r="AG454" s="20">
        <f>IF(AND(ISNUMBER(AE454),ISNUMBER(AD454)),(AE454-AD454)*100,NA())</f>
        <v/>
      </c>
      <c r="AH454" s="19">
        <f>IF(NOT(ISNUMBER($A454)),NA(),IFERROR(INDEX(BBG_Data!$T$2:$T$4000,MATCH($A454,BBG_Data!$S$2:$S$4000,0))*Settings!$B$25,NA()))</f>
        <v/>
      </c>
      <c r="AI454" s="19">
        <f>IF(NOT(ISNUMBER($A454)),NA(),IFERROR(INDEX(BBG_Data!$V$2:$V$4000,MATCH($A454,BBG_Data!$U$2:$U$4000,0))*Settings!$B$25,NA()))</f>
        <v/>
      </c>
      <c r="AJ454" s="19">
        <f>IF(NOT(ISNUMBER($A454)),NA(),IFERROR(1*INDEX(BBG_Data!$X$2:$X$4000,MATCH($A454,BBG_Data!$W$2:$W$4000,0)),NA()))</f>
        <v/>
      </c>
      <c r="AK454" s="19">
        <f>IF(NOT(ISNUMBER($A454)),NA(),IFERROR(1*INDEX(BBG_Data!$Z$2:$Z$4000,MATCH($A454,BBG_Data!$Y$2:$Y$4000,0)),NA()))</f>
        <v/>
      </c>
    </row>
    <row r="455">
      <c r="A455" s="17">
        <f>IF(ISNUMBER(BBG_Data!A455),BBG_Data!A455,"")</f>
        <v/>
      </c>
      <c r="B455" s="18">
        <f>IF(AND(ISNUMBER($A455),ISNUMBER(BBG_Data!B455)),BBG_Data!B455,NA())</f>
        <v/>
      </c>
      <c r="C455" s="18">
        <f>IF(NOT(ISNUMBER($A455)),NA(),IFERROR(1*INDEX(BBG_Data!$D$2:$D$4000,MATCH($A455,BBG_Data!$C$2:$C$4000,0)),NA()))</f>
        <v/>
      </c>
      <c r="D455" s="19">
        <f>IF(NOT(ISNUMBER($A455)),NA(),IFERROR(1*INDEX(BBG_Data!$F$2:$F$4000,MATCH($A455,BBG_Data!$E$2:$E$4000,0)),NA()))</f>
        <v/>
      </c>
      <c r="E455" s="19">
        <f>IF(NOT(ISNUMBER($A455)),NA(),IFERROR(1*INDEX(BBG_Data!$H$2:$H$4000,MATCH($A455,BBG_Data!$G$2:$G$4000,0)),NA()))</f>
        <v/>
      </c>
      <c r="F455" s="20">
        <f>IF(AND(ISNUMBER(B455),ISNUMBER(B454)),IF(B455=B454,"",(B455-B454)*100),"")</f>
        <v/>
      </c>
      <c r="G455" s="20">
        <f>IF(AND(ISNUMBER(C455),ISNUMBER(C454)),IF(C455=C454,"",(C455-C454)*100),"")</f>
        <v/>
      </c>
      <c r="H455" s="20">
        <f>IF(OR(NOT(ISNUMBER($A455)),ROW()-2&lt;Settings!$B$11),NA(),IF(COUNT(OFFSET(F455,1-Settings!$B$11,0,Settings!$B$11,1))&lt;ROUNDUP(Settings!$B$11*Settings!$B$26,0),NA(),STDEV(OFFSET(F455,1-Settings!$B$11,0,Settings!$B$11,1))*SQRT(Settings!$B$13)))</f>
        <v/>
      </c>
      <c r="I455" s="20">
        <f>IF(OR(NOT(ISNUMBER($A455)),ROW()-2&lt;Settings!$B$12),NA(),IF(COUNT(OFFSET(F455,1-Settings!$B$12,0,Settings!$B$12,1))&lt;ROUNDUP(Settings!$B$12*Settings!$B$26,0),NA(),STDEV(OFFSET(F455,1-Settings!$B$12,0,Settings!$B$12,1))*SQRT(Settings!$B$13)))</f>
        <v/>
      </c>
      <c r="J455" s="20">
        <f>IF(OR(NOT(ISNUMBER($A455)),ROW()-2&lt;Settings!$B$11),NA(),IF(COUNT(OFFSET(G455,1-Settings!$B$11,0,Settings!$B$11,1))&lt;ROUNDUP(Settings!$B$11*Settings!$B$26,0),NA(),STDEV(OFFSET(G455,1-Settings!$B$11,0,Settings!$B$11,1))*SQRT(Settings!$B$13)))</f>
        <v/>
      </c>
      <c r="K455" s="20">
        <f>IF(OR(NOT(ISNUMBER($A455)),ROW()-2&lt;Settings!$B$12),NA(),IF(COUNT(OFFSET(G455,1-Settings!$B$12,0,Settings!$B$12,1))&lt;ROUNDUP(Settings!$B$12*Settings!$B$26,0),NA(),STDEV(OFFSET(G455,1-Settings!$B$12,0,Settings!$B$12,1))*SQRT(Settings!$B$13)))</f>
        <v/>
      </c>
      <c r="L455" s="20">
        <f>IF(AND(ISNUMBER(D455),ISNUMBER(H455)),D455-H455,NA())</f>
        <v/>
      </c>
      <c r="M455" s="20">
        <f>IF(AND(ISNUMBER(E455),ISNUMBER(K455)),E455-K455,NA())</f>
        <v/>
      </c>
      <c r="N455" s="20">
        <f>IF(NOT(ISNUMBER($A455)),NA(),IF(COUNT(OFFSET(G455,1,0,Settings!$B$12,1))&lt;ROUNDUP(Settings!$B$12*Settings!$B$26,0),NA(),STDEV(OFFSET(G455,1,0,Settings!$B$12,1))*SQRT(Settings!$B$13)))</f>
        <v/>
      </c>
      <c r="O455" s="20">
        <f>IF(AND(ISNUMBER(E455),ISNUMBER(N455)),E455-N455,NA())</f>
        <v/>
      </c>
      <c r="P455" s="19">
        <f>IF(NOT(ISNUMBER($A455)),NA(),IF(OR($A455&lt;MIN(KW_TP!$A$2:$A$2501),$A455&gt;MAX(KW_TP!$A$2:$A$2501)),NA(),INDEX(KW_TP!$C$2:$C$2501,MATCH($A455,KW_TP!$A$2:$A$2501,1))))</f>
        <v/>
      </c>
      <c r="Q455" s="18">
        <f>IF(NOT(ISNUMBER($A455)),NA(),IFERROR(1*INDEX(BBG_Data!$J$2:$J$4000,MATCH($A455,BBG_Data!$I$2:$I$4000,0)),NA()))</f>
        <v/>
      </c>
      <c r="R455" s="18">
        <f>IF(NOT(ISNUMBER($A455)),NA(),IFERROR(1*INDEX(BBG_Data!$L$2:$L$4000,MATCH($A455,BBG_Data!$K$2:$K$4000,0)),NA()))</f>
        <v/>
      </c>
      <c r="S455" s="20">
        <f>IF(AND(ISNUMBER(B455),ISNUMBER(Q455),ISNUMBER(R455)),(B455-Q455-R455)*100,NA())</f>
        <v/>
      </c>
      <c r="T455" s="20">
        <f>IF(AND(ISNUMBER(B455),Settings!$B$17&gt;0),IF(ISNUMBER(INDEX($B:$B,Settings!$B$17)),(B455-INDEX($B:$B,Settings!$B$17))*100,NA()),NA())</f>
        <v/>
      </c>
      <c r="U455" s="20">
        <f>IF(AND(ISNUMBER(Q455),Settings!$B$17&gt;0),IF(ISNUMBER(INDEX($Q:$Q,Settings!$B$17)),(Q455-INDEX($Q:$Q,Settings!$B$17))*100,NA()),NA())</f>
        <v/>
      </c>
      <c r="V455" s="20">
        <f>IF(AND(ISNUMBER(R455),Settings!$B$17&gt;0),IF(ISNUMBER(INDEX($R:$R,Settings!$B$17)),(R455-INDEX($R:$R,Settings!$B$17))*100,NA()),NA())</f>
        <v/>
      </c>
      <c r="W455" s="20">
        <f>IF(AND(ISNUMBER(P455),Settings!$B$17&gt;0),IF(ISNUMBER(INDEX($P:$P,Settings!$B$17)),P455-INDEX($P:$P,Settings!$B$17),NA()),NA())</f>
        <v/>
      </c>
      <c r="X455" s="19">
        <f>IF(NOT(ISNUMBER($A455)),NA(),IF(OR($A455&lt;MIN(DKW_10Y!$A$2:$A$2918),$A455&gt;MAX(DKW_10Y!$A$2:$A$2918),Settings!$B$16&lt;MIN(DKW_10Y!$A$2:$A$2918)),NA(),(INDEX(DKW_10Y!$B$2:$B$2918,MATCH($A455,DKW_10Y!$A$2:$A$2918,1))-INDEX(DKW_10Y!$B$2:$B$2918,MATCH(Settings!$B$16,DKW_10Y!$A$2:$A$2918,1)))*100))</f>
        <v/>
      </c>
      <c r="Y455" s="19">
        <f>IF(NOT(ISNUMBER($A455)),NA(),IF(OR($A455&lt;MIN(DKW_10Y!$A$2:$A$2918),$A455&gt;MAX(DKW_10Y!$A$2:$A$2918),Settings!$B$16&lt;MIN(DKW_10Y!$A$2:$A$2918)),NA(),(INDEX(DKW_10Y!$C$2:$C$2918,MATCH($A455,DKW_10Y!$A$2:$A$2918,1))-INDEX(DKW_10Y!$C$2:$C$2918,MATCH(Settings!$B$16,DKW_10Y!$A$2:$A$2918,1)))*100))</f>
        <v/>
      </c>
      <c r="Z455" s="19">
        <f>IF(NOT(ISNUMBER($A455)),NA(),IF(OR($A455&lt;MIN(DKW_10Y!$A$2:$A$2918),$A455&gt;MAX(DKW_10Y!$A$2:$A$2918),Settings!$B$16&lt;MIN(DKW_10Y!$A$2:$A$2918)),NA(),(INDEX(DKW_10Y!$D$2:$D$2918,MATCH($A455,DKW_10Y!$A$2:$A$2918,1))-INDEX(DKW_10Y!$D$2:$D$2918,MATCH(Settings!$B$16,DKW_10Y!$A$2:$A$2918,1)))*100))</f>
        <v/>
      </c>
      <c r="AA455" s="19">
        <f>IF(NOT(ISNUMBER($A455)),NA(),IF(OR($A455&lt;MIN(DKW_10Y!$A$2:$A$2918),$A455&gt;MAX(DKW_10Y!$A$2:$A$2918),Settings!$B$16&lt;MIN(DKW_10Y!$A$2:$A$2918)),NA(),(INDEX(DKW_10Y!$E$2:$E$2918,MATCH($A455,DKW_10Y!$A$2:$A$2918,1))-INDEX(DKW_10Y!$E$2:$E$2918,MATCH(Settings!$B$16,DKW_10Y!$A$2:$A$2918,1)))*100))</f>
        <v/>
      </c>
      <c r="AB455" s="19">
        <f>IF(NOT(ISNUMBER($A455)),NA(),IF(OR($A455&lt;MIN(DKW_10Y!$A$2:$A$2918),$A455&gt;MAX(DKW_10Y!$A$2:$A$2918),Settings!$B$16&lt;MIN(DKW_10Y!$A$2:$A$2918)),NA(),(INDEX(DKW_10Y!$H$2:$H$2918,MATCH($A455,DKW_10Y!$A$2:$A$2918,1))-INDEX(DKW_10Y!$H$2:$H$2918,MATCH(Settings!$B$16,DKW_10Y!$A$2:$A$2918,1)))*100))</f>
        <v/>
      </c>
      <c r="AC455" s="18">
        <f>IF(NOT(ISNUMBER($A455)),NA(),IFERROR(1*INDEX(BBG_Data!$N$2:$N$4000,MATCH($A455,BBG_Data!$M$2:$M$4000,0)),NA()))</f>
        <v/>
      </c>
      <c r="AD455" s="18">
        <f>IF(NOT(ISNUMBER($A455)),NA(),IFERROR(1*INDEX(BBG_Data!$P$2:$P$4000,MATCH($A455,BBG_Data!$O$2:$O$4000,0)),NA()))</f>
        <v/>
      </c>
      <c r="AE455" s="18">
        <f>IF(NOT(ISNUMBER($A455)),NA(),IFERROR(1*INDEX(BBG_Data!$R$2:$R$4000,MATCH($A455,BBG_Data!$Q$2:$Q$4000,0)),NA()))</f>
        <v/>
      </c>
      <c r="AF455" s="20">
        <f>IF(AND(ISNUMBER(B455),ISNUMBER(AC455)),(B455-AC455)*100,NA())</f>
        <v/>
      </c>
      <c r="AG455" s="20">
        <f>IF(AND(ISNUMBER(AE455),ISNUMBER(AD455)),(AE455-AD455)*100,NA())</f>
        <v/>
      </c>
      <c r="AH455" s="19">
        <f>IF(NOT(ISNUMBER($A455)),NA(),IFERROR(INDEX(BBG_Data!$T$2:$T$4000,MATCH($A455,BBG_Data!$S$2:$S$4000,0))*Settings!$B$25,NA()))</f>
        <v/>
      </c>
      <c r="AI455" s="19">
        <f>IF(NOT(ISNUMBER($A455)),NA(),IFERROR(INDEX(BBG_Data!$V$2:$V$4000,MATCH($A455,BBG_Data!$U$2:$U$4000,0))*Settings!$B$25,NA()))</f>
        <v/>
      </c>
      <c r="AJ455" s="19">
        <f>IF(NOT(ISNUMBER($A455)),NA(),IFERROR(1*INDEX(BBG_Data!$X$2:$X$4000,MATCH($A455,BBG_Data!$W$2:$W$4000,0)),NA()))</f>
        <v/>
      </c>
      <c r="AK455" s="19">
        <f>IF(NOT(ISNUMBER($A455)),NA(),IFERROR(1*INDEX(BBG_Data!$Z$2:$Z$4000,MATCH($A455,BBG_Data!$Y$2:$Y$4000,0)),NA()))</f>
        <v/>
      </c>
    </row>
    <row r="456">
      <c r="A456" s="17">
        <f>IF(ISNUMBER(BBG_Data!A456),BBG_Data!A456,"")</f>
        <v/>
      </c>
      <c r="B456" s="18">
        <f>IF(AND(ISNUMBER($A456),ISNUMBER(BBG_Data!B456)),BBG_Data!B456,NA())</f>
        <v/>
      </c>
      <c r="C456" s="18">
        <f>IF(NOT(ISNUMBER($A456)),NA(),IFERROR(1*INDEX(BBG_Data!$D$2:$D$4000,MATCH($A456,BBG_Data!$C$2:$C$4000,0)),NA()))</f>
        <v/>
      </c>
      <c r="D456" s="19">
        <f>IF(NOT(ISNUMBER($A456)),NA(),IFERROR(1*INDEX(BBG_Data!$F$2:$F$4000,MATCH($A456,BBG_Data!$E$2:$E$4000,0)),NA()))</f>
        <v/>
      </c>
      <c r="E456" s="19">
        <f>IF(NOT(ISNUMBER($A456)),NA(),IFERROR(1*INDEX(BBG_Data!$H$2:$H$4000,MATCH($A456,BBG_Data!$G$2:$G$4000,0)),NA()))</f>
        <v/>
      </c>
      <c r="F456" s="20">
        <f>IF(AND(ISNUMBER(B456),ISNUMBER(B455)),IF(B456=B455,"",(B456-B455)*100),"")</f>
        <v/>
      </c>
      <c r="G456" s="20">
        <f>IF(AND(ISNUMBER(C456),ISNUMBER(C455)),IF(C456=C455,"",(C456-C455)*100),"")</f>
        <v/>
      </c>
      <c r="H456" s="20">
        <f>IF(OR(NOT(ISNUMBER($A456)),ROW()-2&lt;Settings!$B$11),NA(),IF(COUNT(OFFSET(F456,1-Settings!$B$11,0,Settings!$B$11,1))&lt;ROUNDUP(Settings!$B$11*Settings!$B$26,0),NA(),STDEV(OFFSET(F456,1-Settings!$B$11,0,Settings!$B$11,1))*SQRT(Settings!$B$13)))</f>
        <v/>
      </c>
      <c r="I456" s="20">
        <f>IF(OR(NOT(ISNUMBER($A456)),ROW()-2&lt;Settings!$B$12),NA(),IF(COUNT(OFFSET(F456,1-Settings!$B$12,0,Settings!$B$12,1))&lt;ROUNDUP(Settings!$B$12*Settings!$B$26,0),NA(),STDEV(OFFSET(F456,1-Settings!$B$12,0,Settings!$B$12,1))*SQRT(Settings!$B$13)))</f>
        <v/>
      </c>
      <c r="J456" s="20">
        <f>IF(OR(NOT(ISNUMBER($A456)),ROW()-2&lt;Settings!$B$11),NA(),IF(COUNT(OFFSET(G456,1-Settings!$B$11,0,Settings!$B$11,1))&lt;ROUNDUP(Settings!$B$11*Settings!$B$26,0),NA(),STDEV(OFFSET(G456,1-Settings!$B$11,0,Settings!$B$11,1))*SQRT(Settings!$B$13)))</f>
        <v/>
      </c>
      <c r="K456" s="20">
        <f>IF(OR(NOT(ISNUMBER($A456)),ROW()-2&lt;Settings!$B$12),NA(),IF(COUNT(OFFSET(G456,1-Settings!$B$12,0,Settings!$B$12,1))&lt;ROUNDUP(Settings!$B$12*Settings!$B$26,0),NA(),STDEV(OFFSET(G456,1-Settings!$B$12,0,Settings!$B$12,1))*SQRT(Settings!$B$13)))</f>
        <v/>
      </c>
      <c r="L456" s="20">
        <f>IF(AND(ISNUMBER(D456),ISNUMBER(H456)),D456-H456,NA())</f>
        <v/>
      </c>
      <c r="M456" s="20">
        <f>IF(AND(ISNUMBER(E456),ISNUMBER(K456)),E456-K456,NA())</f>
        <v/>
      </c>
      <c r="N456" s="20">
        <f>IF(NOT(ISNUMBER($A456)),NA(),IF(COUNT(OFFSET(G456,1,0,Settings!$B$12,1))&lt;ROUNDUP(Settings!$B$12*Settings!$B$26,0),NA(),STDEV(OFFSET(G456,1,0,Settings!$B$12,1))*SQRT(Settings!$B$13)))</f>
        <v/>
      </c>
      <c r="O456" s="20">
        <f>IF(AND(ISNUMBER(E456),ISNUMBER(N456)),E456-N456,NA())</f>
        <v/>
      </c>
      <c r="P456" s="19">
        <f>IF(NOT(ISNUMBER($A456)),NA(),IF(OR($A456&lt;MIN(KW_TP!$A$2:$A$2501),$A456&gt;MAX(KW_TP!$A$2:$A$2501)),NA(),INDEX(KW_TP!$C$2:$C$2501,MATCH($A456,KW_TP!$A$2:$A$2501,1))))</f>
        <v/>
      </c>
      <c r="Q456" s="18">
        <f>IF(NOT(ISNUMBER($A456)),NA(),IFERROR(1*INDEX(BBG_Data!$J$2:$J$4000,MATCH($A456,BBG_Data!$I$2:$I$4000,0)),NA()))</f>
        <v/>
      </c>
      <c r="R456" s="18">
        <f>IF(NOT(ISNUMBER($A456)),NA(),IFERROR(1*INDEX(BBG_Data!$L$2:$L$4000,MATCH($A456,BBG_Data!$K$2:$K$4000,0)),NA()))</f>
        <v/>
      </c>
      <c r="S456" s="20">
        <f>IF(AND(ISNUMBER(B456),ISNUMBER(Q456),ISNUMBER(R456)),(B456-Q456-R456)*100,NA())</f>
        <v/>
      </c>
      <c r="T456" s="20">
        <f>IF(AND(ISNUMBER(B456),Settings!$B$17&gt;0),IF(ISNUMBER(INDEX($B:$B,Settings!$B$17)),(B456-INDEX($B:$B,Settings!$B$17))*100,NA()),NA())</f>
        <v/>
      </c>
      <c r="U456" s="20">
        <f>IF(AND(ISNUMBER(Q456),Settings!$B$17&gt;0),IF(ISNUMBER(INDEX($Q:$Q,Settings!$B$17)),(Q456-INDEX($Q:$Q,Settings!$B$17))*100,NA()),NA())</f>
        <v/>
      </c>
      <c r="V456" s="20">
        <f>IF(AND(ISNUMBER(R456),Settings!$B$17&gt;0),IF(ISNUMBER(INDEX($R:$R,Settings!$B$17)),(R456-INDEX($R:$R,Settings!$B$17))*100,NA()),NA())</f>
        <v/>
      </c>
      <c r="W456" s="20">
        <f>IF(AND(ISNUMBER(P456),Settings!$B$17&gt;0),IF(ISNUMBER(INDEX($P:$P,Settings!$B$17)),P456-INDEX($P:$P,Settings!$B$17),NA()),NA())</f>
        <v/>
      </c>
      <c r="X456" s="19">
        <f>IF(NOT(ISNUMBER($A456)),NA(),IF(OR($A456&lt;MIN(DKW_10Y!$A$2:$A$2918),$A456&gt;MAX(DKW_10Y!$A$2:$A$2918),Settings!$B$16&lt;MIN(DKW_10Y!$A$2:$A$2918)),NA(),(INDEX(DKW_10Y!$B$2:$B$2918,MATCH($A456,DKW_10Y!$A$2:$A$2918,1))-INDEX(DKW_10Y!$B$2:$B$2918,MATCH(Settings!$B$16,DKW_10Y!$A$2:$A$2918,1)))*100))</f>
        <v/>
      </c>
      <c r="Y456" s="19">
        <f>IF(NOT(ISNUMBER($A456)),NA(),IF(OR($A456&lt;MIN(DKW_10Y!$A$2:$A$2918),$A456&gt;MAX(DKW_10Y!$A$2:$A$2918),Settings!$B$16&lt;MIN(DKW_10Y!$A$2:$A$2918)),NA(),(INDEX(DKW_10Y!$C$2:$C$2918,MATCH($A456,DKW_10Y!$A$2:$A$2918,1))-INDEX(DKW_10Y!$C$2:$C$2918,MATCH(Settings!$B$16,DKW_10Y!$A$2:$A$2918,1)))*100))</f>
        <v/>
      </c>
      <c r="Z456" s="19">
        <f>IF(NOT(ISNUMBER($A456)),NA(),IF(OR($A456&lt;MIN(DKW_10Y!$A$2:$A$2918),$A456&gt;MAX(DKW_10Y!$A$2:$A$2918),Settings!$B$16&lt;MIN(DKW_10Y!$A$2:$A$2918)),NA(),(INDEX(DKW_10Y!$D$2:$D$2918,MATCH($A456,DKW_10Y!$A$2:$A$2918,1))-INDEX(DKW_10Y!$D$2:$D$2918,MATCH(Settings!$B$16,DKW_10Y!$A$2:$A$2918,1)))*100))</f>
        <v/>
      </c>
      <c r="AA456" s="19">
        <f>IF(NOT(ISNUMBER($A456)),NA(),IF(OR($A456&lt;MIN(DKW_10Y!$A$2:$A$2918),$A456&gt;MAX(DKW_10Y!$A$2:$A$2918),Settings!$B$16&lt;MIN(DKW_10Y!$A$2:$A$2918)),NA(),(INDEX(DKW_10Y!$E$2:$E$2918,MATCH($A456,DKW_10Y!$A$2:$A$2918,1))-INDEX(DKW_10Y!$E$2:$E$2918,MATCH(Settings!$B$16,DKW_10Y!$A$2:$A$2918,1)))*100))</f>
        <v/>
      </c>
      <c r="AB456" s="19">
        <f>IF(NOT(ISNUMBER($A456)),NA(),IF(OR($A456&lt;MIN(DKW_10Y!$A$2:$A$2918),$A456&gt;MAX(DKW_10Y!$A$2:$A$2918),Settings!$B$16&lt;MIN(DKW_10Y!$A$2:$A$2918)),NA(),(INDEX(DKW_10Y!$H$2:$H$2918,MATCH($A456,DKW_10Y!$A$2:$A$2918,1))-INDEX(DKW_10Y!$H$2:$H$2918,MATCH(Settings!$B$16,DKW_10Y!$A$2:$A$2918,1)))*100))</f>
        <v/>
      </c>
      <c r="AC456" s="18">
        <f>IF(NOT(ISNUMBER($A456)),NA(),IFERROR(1*INDEX(BBG_Data!$N$2:$N$4000,MATCH($A456,BBG_Data!$M$2:$M$4000,0)),NA()))</f>
        <v/>
      </c>
      <c r="AD456" s="18">
        <f>IF(NOT(ISNUMBER($A456)),NA(),IFERROR(1*INDEX(BBG_Data!$P$2:$P$4000,MATCH($A456,BBG_Data!$O$2:$O$4000,0)),NA()))</f>
        <v/>
      </c>
      <c r="AE456" s="18">
        <f>IF(NOT(ISNUMBER($A456)),NA(),IFERROR(1*INDEX(BBG_Data!$R$2:$R$4000,MATCH($A456,BBG_Data!$Q$2:$Q$4000,0)),NA()))</f>
        <v/>
      </c>
      <c r="AF456" s="20">
        <f>IF(AND(ISNUMBER(B456),ISNUMBER(AC456)),(B456-AC456)*100,NA())</f>
        <v/>
      </c>
      <c r="AG456" s="20">
        <f>IF(AND(ISNUMBER(AE456),ISNUMBER(AD456)),(AE456-AD456)*100,NA())</f>
        <v/>
      </c>
      <c r="AH456" s="19">
        <f>IF(NOT(ISNUMBER($A456)),NA(),IFERROR(INDEX(BBG_Data!$T$2:$T$4000,MATCH($A456,BBG_Data!$S$2:$S$4000,0))*Settings!$B$25,NA()))</f>
        <v/>
      </c>
      <c r="AI456" s="19">
        <f>IF(NOT(ISNUMBER($A456)),NA(),IFERROR(INDEX(BBG_Data!$V$2:$V$4000,MATCH($A456,BBG_Data!$U$2:$U$4000,0))*Settings!$B$25,NA()))</f>
        <v/>
      </c>
      <c r="AJ456" s="19">
        <f>IF(NOT(ISNUMBER($A456)),NA(),IFERROR(1*INDEX(BBG_Data!$X$2:$X$4000,MATCH($A456,BBG_Data!$W$2:$W$4000,0)),NA()))</f>
        <v/>
      </c>
      <c r="AK456" s="19">
        <f>IF(NOT(ISNUMBER($A456)),NA(),IFERROR(1*INDEX(BBG_Data!$Z$2:$Z$4000,MATCH($A456,BBG_Data!$Y$2:$Y$4000,0)),NA()))</f>
        <v/>
      </c>
    </row>
    <row r="457">
      <c r="A457" s="17">
        <f>IF(ISNUMBER(BBG_Data!A457),BBG_Data!A457,"")</f>
        <v/>
      </c>
      <c r="B457" s="18">
        <f>IF(AND(ISNUMBER($A457),ISNUMBER(BBG_Data!B457)),BBG_Data!B457,NA())</f>
        <v/>
      </c>
      <c r="C457" s="18">
        <f>IF(NOT(ISNUMBER($A457)),NA(),IFERROR(1*INDEX(BBG_Data!$D$2:$D$4000,MATCH($A457,BBG_Data!$C$2:$C$4000,0)),NA()))</f>
        <v/>
      </c>
      <c r="D457" s="19">
        <f>IF(NOT(ISNUMBER($A457)),NA(),IFERROR(1*INDEX(BBG_Data!$F$2:$F$4000,MATCH($A457,BBG_Data!$E$2:$E$4000,0)),NA()))</f>
        <v/>
      </c>
      <c r="E457" s="19">
        <f>IF(NOT(ISNUMBER($A457)),NA(),IFERROR(1*INDEX(BBG_Data!$H$2:$H$4000,MATCH($A457,BBG_Data!$G$2:$G$4000,0)),NA()))</f>
        <v/>
      </c>
      <c r="F457" s="20">
        <f>IF(AND(ISNUMBER(B457),ISNUMBER(B456)),IF(B457=B456,"",(B457-B456)*100),"")</f>
        <v/>
      </c>
      <c r="G457" s="20">
        <f>IF(AND(ISNUMBER(C457),ISNUMBER(C456)),IF(C457=C456,"",(C457-C456)*100),"")</f>
        <v/>
      </c>
      <c r="H457" s="20">
        <f>IF(OR(NOT(ISNUMBER($A457)),ROW()-2&lt;Settings!$B$11),NA(),IF(COUNT(OFFSET(F457,1-Settings!$B$11,0,Settings!$B$11,1))&lt;ROUNDUP(Settings!$B$11*Settings!$B$26,0),NA(),STDEV(OFFSET(F457,1-Settings!$B$11,0,Settings!$B$11,1))*SQRT(Settings!$B$13)))</f>
        <v/>
      </c>
      <c r="I457" s="20">
        <f>IF(OR(NOT(ISNUMBER($A457)),ROW()-2&lt;Settings!$B$12),NA(),IF(COUNT(OFFSET(F457,1-Settings!$B$12,0,Settings!$B$12,1))&lt;ROUNDUP(Settings!$B$12*Settings!$B$26,0),NA(),STDEV(OFFSET(F457,1-Settings!$B$12,0,Settings!$B$12,1))*SQRT(Settings!$B$13)))</f>
        <v/>
      </c>
      <c r="J457" s="20">
        <f>IF(OR(NOT(ISNUMBER($A457)),ROW()-2&lt;Settings!$B$11),NA(),IF(COUNT(OFFSET(G457,1-Settings!$B$11,0,Settings!$B$11,1))&lt;ROUNDUP(Settings!$B$11*Settings!$B$26,0),NA(),STDEV(OFFSET(G457,1-Settings!$B$11,0,Settings!$B$11,1))*SQRT(Settings!$B$13)))</f>
        <v/>
      </c>
      <c r="K457" s="20">
        <f>IF(OR(NOT(ISNUMBER($A457)),ROW()-2&lt;Settings!$B$12),NA(),IF(COUNT(OFFSET(G457,1-Settings!$B$12,0,Settings!$B$12,1))&lt;ROUNDUP(Settings!$B$12*Settings!$B$26,0),NA(),STDEV(OFFSET(G457,1-Settings!$B$12,0,Settings!$B$12,1))*SQRT(Settings!$B$13)))</f>
        <v/>
      </c>
      <c r="L457" s="20">
        <f>IF(AND(ISNUMBER(D457),ISNUMBER(H457)),D457-H457,NA())</f>
        <v/>
      </c>
      <c r="M457" s="20">
        <f>IF(AND(ISNUMBER(E457),ISNUMBER(K457)),E457-K457,NA())</f>
        <v/>
      </c>
      <c r="N457" s="20">
        <f>IF(NOT(ISNUMBER($A457)),NA(),IF(COUNT(OFFSET(G457,1,0,Settings!$B$12,1))&lt;ROUNDUP(Settings!$B$12*Settings!$B$26,0),NA(),STDEV(OFFSET(G457,1,0,Settings!$B$12,1))*SQRT(Settings!$B$13)))</f>
        <v/>
      </c>
      <c r="O457" s="20">
        <f>IF(AND(ISNUMBER(E457),ISNUMBER(N457)),E457-N457,NA())</f>
        <v/>
      </c>
      <c r="P457" s="19">
        <f>IF(NOT(ISNUMBER($A457)),NA(),IF(OR($A457&lt;MIN(KW_TP!$A$2:$A$2501),$A457&gt;MAX(KW_TP!$A$2:$A$2501)),NA(),INDEX(KW_TP!$C$2:$C$2501,MATCH($A457,KW_TP!$A$2:$A$2501,1))))</f>
        <v/>
      </c>
      <c r="Q457" s="18">
        <f>IF(NOT(ISNUMBER($A457)),NA(),IFERROR(1*INDEX(BBG_Data!$J$2:$J$4000,MATCH($A457,BBG_Data!$I$2:$I$4000,0)),NA()))</f>
        <v/>
      </c>
      <c r="R457" s="18">
        <f>IF(NOT(ISNUMBER($A457)),NA(),IFERROR(1*INDEX(BBG_Data!$L$2:$L$4000,MATCH($A457,BBG_Data!$K$2:$K$4000,0)),NA()))</f>
        <v/>
      </c>
      <c r="S457" s="20">
        <f>IF(AND(ISNUMBER(B457),ISNUMBER(Q457),ISNUMBER(R457)),(B457-Q457-R457)*100,NA())</f>
        <v/>
      </c>
      <c r="T457" s="20">
        <f>IF(AND(ISNUMBER(B457),Settings!$B$17&gt;0),IF(ISNUMBER(INDEX($B:$B,Settings!$B$17)),(B457-INDEX($B:$B,Settings!$B$17))*100,NA()),NA())</f>
        <v/>
      </c>
      <c r="U457" s="20">
        <f>IF(AND(ISNUMBER(Q457),Settings!$B$17&gt;0),IF(ISNUMBER(INDEX($Q:$Q,Settings!$B$17)),(Q457-INDEX($Q:$Q,Settings!$B$17))*100,NA()),NA())</f>
        <v/>
      </c>
      <c r="V457" s="20">
        <f>IF(AND(ISNUMBER(R457),Settings!$B$17&gt;0),IF(ISNUMBER(INDEX($R:$R,Settings!$B$17)),(R457-INDEX($R:$R,Settings!$B$17))*100,NA()),NA())</f>
        <v/>
      </c>
      <c r="W457" s="20">
        <f>IF(AND(ISNUMBER(P457),Settings!$B$17&gt;0),IF(ISNUMBER(INDEX($P:$P,Settings!$B$17)),P457-INDEX($P:$P,Settings!$B$17),NA()),NA())</f>
        <v/>
      </c>
      <c r="X457" s="19">
        <f>IF(NOT(ISNUMBER($A457)),NA(),IF(OR($A457&lt;MIN(DKW_10Y!$A$2:$A$2918),$A457&gt;MAX(DKW_10Y!$A$2:$A$2918),Settings!$B$16&lt;MIN(DKW_10Y!$A$2:$A$2918)),NA(),(INDEX(DKW_10Y!$B$2:$B$2918,MATCH($A457,DKW_10Y!$A$2:$A$2918,1))-INDEX(DKW_10Y!$B$2:$B$2918,MATCH(Settings!$B$16,DKW_10Y!$A$2:$A$2918,1)))*100))</f>
        <v/>
      </c>
      <c r="Y457" s="19">
        <f>IF(NOT(ISNUMBER($A457)),NA(),IF(OR($A457&lt;MIN(DKW_10Y!$A$2:$A$2918),$A457&gt;MAX(DKW_10Y!$A$2:$A$2918),Settings!$B$16&lt;MIN(DKW_10Y!$A$2:$A$2918)),NA(),(INDEX(DKW_10Y!$C$2:$C$2918,MATCH($A457,DKW_10Y!$A$2:$A$2918,1))-INDEX(DKW_10Y!$C$2:$C$2918,MATCH(Settings!$B$16,DKW_10Y!$A$2:$A$2918,1)))*100))</f>
        <v/>
      </c>
      <c r="Z457" s="19">
        <f>IF(NOT(ISNUMBER($A457)),NA(),IF(OR($A457&lt;MIN(DKW_10Y!$A$2:$A$2918),$A457&gt;MAX(DKW_10Y!$A$2:$A$2918),Settings!$B$16&lt;MIN(DKW_10Y!$A$2:$A$2918)),NA(),(INDEX(DKW_10Y!$D$2:$D$2918,MATCH($A457,DKW_10Y!$A$2:$A$2918,1))-INDEX(DKW_10Y!$D$2:$D$2918,MATCH(Settings!$B$16,DKW_10Y!$A$2:$A$2918,1)))*100))</f>
        <v/>
      </c>
      <c r="AA457" s="19">
        <f>IF(NOT(ISNUMBER($A457)),NA(),IF(OR($A457&lt;MIN(DKW_10Y!$A$2:$A$2918),$A457&gt;MAX(DKW_10Y!$A$2:$A$2918),Settings!$B$16&lt;MIN(DKW_10Y!$A$2:$A$2918)),NA(),(INDEX(DKW_10Y!$E$2:$E$2918,MATCH($A457,DKW_10Y!$A$2:$A$2918,1))-INDEX(DKW_10Y!$E$2:$E$2918,MATCH(Settings!$B$16,DKW_10Y!$A$2:$A$2918,1)))*100))</f>
        <v/>
      </c>
      <c r="AB457" s="19">
        <f>IF(NOT(ISNUMBER($A457)),NA(),IF(OR($A457&lt;MIN(DKW_10Y!$A$2:$A$2918),$A457&gt;MAX(DKW_10Y!$A$2:$A$2918),Settings!$B$16&lt;MIN(DKW_10Y!$A$2:$A$2918)),NA(),(INDEX(DKW_10Y!$H$2:$H$2918,MATCH($A457,DKW_10Y!$A$2:$A$2918,1))-INDEX(DKW_10Y!$H$2:$H$2918,MATCH(Settings!$B$16,DKW_10Y!$A$2:$A$2918,1)))*100))</f>
        <v/>
      </c>
      <c r="AC457" s="18">
        <f>IF(NOT(ISNUMBER($A457)),NA(),IFERROR(1*INDEX(BBG_Data!$N$2:$N$4000,MATCH($A457,BBG_Data!$M$2:$M$4000,0)),NA()))</f>
        <v/>
      </c>
      <c r="AD457" s="18">
        <f>IF(NOT(ISNUMBER($A457)),NA(),IFERROR(1*INDEX(BBG_Data!$P$2:$P$4000,MATCH($A457,BBG_Data!$O$2:$O$4000,0)),NA()))</f>
        <v/>
      </c>
      <c r="AE457" s="18">
        <f>IF(NOT(ISNUMBER($A457)),NA(),IFERROR(1*INDEX(BBG_Data!$R$2:$R$4000,MATCH($A457,BBG_Data!$Q$2:$Q$4000,0)),NA()))</f>
        <v/>
      </c>
      <c r="AF457" s="20">
        <f>IF(AND(ISNUMBER(B457),ISNUMBER(AC457)),(B457-AC457)*100,NA())</f>
        <v/>
      </c>
      <c r="AG457" s="20">
        <f>IF(AND(ISNUMBER(AE457),ISNUMBER(AD457)),(AE457-AD457)*100,NA())</f>
        <v/>
      </c>
      <c r="AH457" s="19">
        <f>IF(NOT(ISNUMBER($A457)),NA(),IFERROR(INDEX(BBG_Data!$T$2:$T$4000,MATCH($A457,BBG_Data!$S$2:$S$4000,0))*Settings!$B$25,NA()))</f>
        <v/>
      </c>
      <c r="AI457" s="19">
        <f>IF(NOT(ISNUMBER($A457)),NA(),IFERROR(INDEX(BBG_Data!$V$2:$V$4000,MATCH($A457,BBG_Data!$U$2:$U$4000,0))*Settings!$B$25,NA()))</f>
        <v/>
      </c>
      <c r="AJ457" s="19">
        <f>IF(NOT(ISNUMBER($A457)),NA(),IFERROR(1*INDEX(BBG_Data!$X$2:$X$4000,MATCH($A457,BBG_Data!$W$2:$W$4000,0)),NA()))</f>
        <v/>
      </c>
      <c r="AK457" s="19">
        <f>IF(NOT(ISNUMBER($A457)),NA(),IFERROR(1*INDEX(BBG_Data!$Z$2:$Z$4000,MATCH($A457,BBG_Data!$Y$2:$Y$4000,0)),NA()))</f>
        <v/>
      </c>
    </row>
    <row r="458">
      <c r="A458" s="17">
        <f>IF(ISNUMBER(BBG_Data!A458),BBG_Data!A458,"")</f>
        <v/>
      </c>
      <c r="B458" s="18">
        <f>IF(AND(ISNUMBER($A458),ISNUMBER(BBG_Data!B458)),BBG_Data!B458,NA())</f>
        <v/>
      </c>
      <c r="C458" s="18">
        <f>IF(NOT(ISNUMBER($A458)),NA(),IFERROR(1*INDEX(BBG_Data!$D$2:$D$4000,MATCH($A458,BBG_Data!$C$2:$C$4000,0)),NA()))</f>
        <v/>
      </c>
      <c r="D458" s="19">
        <f>IF(NOT(ISNUMBER($A458)),NA(),IFERROR(1*INDEX(BBG_Data!$F$2:$F$4000,MATCH($A458,BBG_Data!$E$2:$E$4000,0)),NA()))</f>
        <v/>
      </c>
      <c r="E458" s="19">
        <f>IF(NOT(ISNUMBER($A458)),NA(),IFERROR(1*INDEX(BBG_Data!$H$2:$H$4000,MATCH($A458,BBG_Data!$G$2:$G$4000,0)),NA()))</f>
        <v/>
      </c>
      <c r="F458" s="20">
        <f>IF(AND(ISNUMBER(B458),ISNUMBER(B457)),IF(B458=B457,"",(B458-B457)*100),"")</f>
        <v/>
      </c>
      <c r="G458" s="20">
        <f>IF(AND(ISNUMBER(C458),ISNUMBER(C457)),IF(C458=C457,"",(C458-C457)*100),"")</f>
        <v/>
      </c>
      <c r="H458" s="20">
        <f>IF(OR(NOT(ISNUMBER($A458)),ROW()-2&lt;Settings!$B$11),NA(),IF(COUNT(OFFSET(F458,1-Settings!$B$11,0,Settings!$B$11,1))&lt;ROUNDUP(Settings!$B$11*Settings!$B$26,0),NA(),STDEV(OFFSET(F458,1-Settings!$B$11,0,Settings!$B$11,1))*SQRT(Settings!$B$13)))</f>
        <v/>
      </c>
      <c r="I458" s="20">
        <f>IF(OR(NOT(ISNUMBER($A458)),ROW()-2&lt;Settings!$B$12),NA(),IF(COUNT(OFFSET(F458,1-Settings!$B$12,0,Settings!$B$12,1))&lt;ROUNDUP(Settings!$B$12*Settings!$B$26,0),NA(),STDEV(OFFSET(F458,1-Settings!$B$12,0,Settings!$B$12,1))*SQRT(Settings!$B$13)))</f>
        <v/>
      </c>
      <c r="J458" s="20">
        <f>IF(OR(NOT(ISNUMBER($A458)),ROW()-2&lt;Settings!$B$11),NA(),IF(COUNT(OFFSET(G458,1-Settings!$B$11,0,Settings!$B$11,1))&lt;ROUNDUP(Settings!$B$11*Settings!$B$26,0),NA(),STDEV(OFFSET(G458,1-Settings!$B$11,0,Settings!$B$11,1))*SQRT(Settings!$B$13)))</f>
        <v/>
      </c>
      <c r="K458" s="20">
        <f>IF(OR(NOT(ISNUMBER($A458)),ROW()-2&lt;Settings!$B$12),NA(),IF(COUNT(OFFSET(G458,1-Settings!$B$12,0,Settings!$B$12,1))&lt;ROUNDUP(Settings!$B$12*Settings!$B$26,0),NA(),STDEV(OFFSET(G458,1-Settings!$B$12,0,Settings!$B$12,1))*SQRT(Settings!$B$13)))</f>
        <v/>
      </c>
      <c r="L458" s="20">
        <f>IF(AND(ISNUMBER(D458),ISNUMBER(H458)),D458-H458,NA())</f>
        <v/>
      </c>
      <c r="M458" s="20">
        <f>IF(AND(ISNUMBER(E458),ISNUMBER(K458)),E458-K458,NA())</f>
        <v/>
      </c>
      <c r="N458" s="20">
        <f>IF(NOT(ISNUMBER($A458)),NA(),IF(COUNT(OFFSET(G458,1,0,Settings!$B$12,1))&lt;ROUNDUP(Settings!$B$12*Settings!$B$26,0),NA(),STDEV(OFFSET(G458,1,0,Settings!$B$12,1))*SQRT(Settings!$B$13)))</f>
        <v/>
      </c>
      <c r="O458" s="20">
        <f>IF(AND(ISNUMBER(E458),ISNUMBER(N458)),E458-N458,NA())</f>
        <v/>
      </c>
      <c r="P458" s="19">
        <f>IF(NOT(ISNUMBER($A458)),NA(),IF(OR($A458&lt;MIN(KW_TP!$A$2:$A$2501),$A458&gt;MAX(KW_TP!$A$2:$A$2501)),NA(),INDEX(KW_TP!$C$2:$C$2501,MATCH($A458,KW_TP!$A$2:$A$2501,1))))</f>
        <v/>
      </c>
      <c r="Q458" s="18">
        <f>IF(NOT(ISNUMBER($A458)),NA(),IFERROR(1*INDEX(BBG_Data!$J$2:$J$4000,MATCH($A458,BBG_Data!$I$2:$I$4000,0)),NA()))</f>
        <v/>
      </c>
      <c r="R458" s="18">
        <f>IF(NOT(ISNUMBER($A458)),NA(),IFERROR(1*INDEX(BBG_Data!$L$2:$L$4000,MATCH($A458,BBG_Data!$K$2:$K$4000,0)),NA()))</f>
        <v/>
      </c>
      <c r="S458" s="20">
        <f>IF(AND(ISNUMBER(B458),ISNUMBER(Q458),ISNUMBER(R458)),(B458-Q458-R458)*100,NA())</f>
        <v/>
      </c>
      <c r="T458" s="20">
        <f>IF(AND(ISNUMBER(B458),Settings!$B$17&gt;0),IF(ISNUMBER(INDEX($B:$B,Settings!$B$17)),(B458-INDEX($B:$B,Settings!$B$17))*100,NA()),NA())</f>
        <v/>
      </c>
      <c r="U458" s="20">
        <f>IF(AND(ISNUMBER(Q458),Settings!$B$17&gt;0),IF(ISNUMBER(INDEX($Q:$Q,Settings!$B$17)),(Q458-INDEX($Q:$Q,Settings!$B$17))*100,NA()),NA())</f>
        <v/>
      </c>
      <c r="V458" s="20">
        <f>IF(AND(ISNUMBER(R458),Settings!$B$17&gt;0),IF(ISNUMBER(INDEX($R:$R,Settings!$B$17)),(R458-INDEX($R:$R,Settings!$B$17))*100,NA()),NA())</f>
        <v/>
      </c>
      <c r="W458" s="20">
        <f>IF(AND(ISNUMBER(P458),Settings!$B$17&gt;0),IF(ISNUMBER(INDEX($P:$P,Settings!$B$17)),P458-INDEX($P:$P,Settings!$B$17),NA()),NA())</f>
        <v/>
      </c>
      <c r="X458" s="19">
        <f>IF(NOT(ISNUMBER($A458)),NA(),IF(OR($A458&lt;MIN(DKW_10Y!$A$2:$A$2918),$A458&gt;MAX(DKW_10Y!$A$2:$A$2918),Settings!$B$16&lt;MIN(DKW_10Y!$A$2:$A$2918)),NA(),(INDEX(DKW_10Y!$B$2:$B$2918,MATCH($A458,DKW_10Y!$A$2:$A$2918,1))-INDEX(DKW_10Y!$B$2:$B$2918,MATCH(Settings!$B$16,DKW_10Y!$A$2:$A$2918,1)))*100))</f>
        <v/>
      </c>
      <c r="Y458" s="19">
        <f>IF(NOT(ISNUMBER($A458)),NA(),IF(OR($A458&lt;MIN(DKW_10Y!$A$2:$A$2918),$A458&gt;MAX(DKW_10Y!$A$2:$A$2918),Settings!$B$16&lt;MIN(DKW_10Y!$A$2:$A$2918)),NA(),(INDEX(DKW_10Y!$C$2:$C$2918,MATCH($A458,DKW_10Y!$A$2:$A$2918,1))-INDEX(DKW_10Y!$C$2:$C$2918,MATCH(Settings!$B$16,DKW_10Y!$A$2:$A$2918,1)))*100))</f>
        <v/>
      </c>
      <c r="Z458" s="19">
        <f>IF(NOT(ISNUMBER($A458)),NA(),IF(OR($A458&lt;MIN(DKW_10Y!$A$2:$A$2918),$A458&gt;MAX(DKW_10Y!$A$2:$A$2918),Settings!$B$16&lt;MIN(DKW_10Y!$A$2:$A$2918)),NA(),(INDEX(DKW_10Y!$D$2:$D$2918,MATCH($A458,DKW_10Y!$A$2:$A$2918,1))-INDEX(DKW_10Y!$D$2:$D$2918,MATCH(Settings!$B$16,DKW_10Y!$A$2:$A$2918,1)))*100))</f>
        <v/>
      </c>
      <c r="AA458" s="19">
        <f>IF(NOT(ISNUMBER($A458)),NA(),IF(OR($A458&lt;MIN(DKW_10Y!$A$2:$A$2918),$A458&gt;MAX(DKW_10Y!$A$2:$A$2918),Settings!$B$16&lt;MIN(DKW_10Y!$A$2:$A$2918)),NA(),(INDEX(DKW_10Y!$E$2:$E$2918,MATCH($A458,DKW_10Y!$A$2:$A$2918,1))-INDEX(DKW_10Y!$E$2:$E$2918,MATCH(Settings!$B$16,DKW_10Y!$A$2:$A$2918,1)))*100))</f>
        <v/>
      </c>
      <c r="AB458" s="19">
        <f>IF(NOT(ISNUMBER($A458)),NA(),IF(OR($A458&lt;MIN(DKW_10Y!$A$2:$A$2918),$A458&gt;MAX(DKW_10Y!$A$2:$A$2918),Settings!$B$16&lt;MIN(DKW_10Y!$A$2:$A$2918)),NA(),(INDEX(DKW_10Y!$H$2:$H$2918,MATCH($A458,DKW_10Y!$A$2:$A$2918,1))-INDEX(DKW_10Y!$H$2:$H$2918,MATCH(Settings!$B$16,DKW_10Y!$A$2:$A$2918,1)))*100))</f>
        <v/>
      </c>
      <c r="AC458" s="18">
        <f>IF(NOT(ISNUMBER($A458)),NA(),IFERROR(1*INDEX(BBG_Data!$N$2:$N$4000,MATCH($A458,BBG_Data!$M$2:$M$4000,0)),NA()))</f>
        <v/>
      </c>
      <c r="AD458" s="18">
        <f>IF(NOT(ISNUMBER($A458)),NA(),IFERROR(1*INDEX(BBG_Data!$P$2:$P$4000,MATCH($A458,BBG_Data!$O$2:$O$4000,0)),NA()))</f>
        <v/>
      </c>
      <c r="AE458" s="18">
        <f>IF(NOT(ISNUMBER($A458)),NA(),IFERROR(1*INDEX(BBG_Data!$R$2:$R$4000,MATCH($A458,BBG_Data!$Q$2:$Q$4000,0)),NA()))</f>
        <v/>
      </c>
      <c r="AF458" s="20">
        <f>IF(AND(ISNUMBER(B458),ISNUMBER(AC458)),(B458-AC458)*100,NA())</f>
        <v/>
      </c>
      <c r="AG458" s="20">
        <f>IF(AND(ISNUMBER(AE458),ISNUMBER(AD458)),(AE458-AD458)*100,NA())</f>
        <v/>
      </c>
      <c r="AH458" s="19">
        <f>IF(NOT(ISNUMBER($A458)),NA(),IFERROR(INDEX(BBG_Data!$T$2:$T$4000,MATCH($A458,BBG_Data!$S$2:$S$4000,0))*Settings!$B$25,NA()))</f>
        <v/>
      </c>
      <c r="AI458" s="19">
        <f>IF(NOT(ISNUMBER($A458)),NA(),IFERROR(INDEX(BBG_Data!$V$2:$V$4000,MATCH($A458,BBG_Data!$U$2:$U$4000,0))*Settings!$B$25,NA()))</f>
        <v/>
      </c>
      <c r="AJ458" s="19">
        <f>IF(NOT(ISNUMBER($A458)),NA(),IFERROR(1*INDEX(BBG_Data!$X$2:$X$4000,MATCH($A458,BBG_Data!$W$2:$W$4000,0)),NA()))</f>
        <v/>
      </c>
      <c r="AK458" s="19">
        <f>IF(NOT(ISNUMBER($A458)),NA(),IFERROR(1*INDEX(BBG_Data!$Z$2:$Z$4000,MATCH($A458,BBG_Data!$Y$2:$Y$4000,0)),NA()))</f>
        <v/>
      </c>
    </row>
    <row r="459">
      <c r="A459" s="17">
        <f>IF(ISNUMBER(BBG_Data!A459),BBG_Data!A459,"")</f>
        <v/>
      </c>
      <c r="B459" s="18">
        <f>IF(AND(ISNUMBER($A459),ISNUMBER(BBG_Data!B459)),BBG_Data!B459,NA())</f>
        <v/>
      </c>
      <c r="C459" s="18">
        <f>IF(NOT(ISNUMBER($A459)),NA(),IFERROR(1*INDEX(BBG_Data!$D$2:$D$4000,MATCH($A459,BBG_Data!$C$2:$C$4000,0)),NA()))</f>
        <v/>
      </c>
      <c r="D459" s="19">
        <f>IF(NOT(ISNUMBER($A459)),NA(),IFERROR(1*INDEX(BBG_Data!$F$2:$F$4000,MATCH($A459,BBG_Data!$E$2:$E$4000,0)),NA()))</f>
        <v/>
      </c>
      <c r="E459" s="19">
        <f>IF(NOT(ISNUMBER($A459)),NA(),IFERROR(1*INDEX(BBG_Data!$H$2:$H$4000,MATCH($A459,BBG_Data!$G$2:$G$4000,0)),NA()))</f>
        <v/>
      </c>
      <c r="F459" s="20">
        <f>IF(AND(ISNUMBER(B459),ISNUMBER(B458)),IF(B459=B458,"",(B459-B458)*100),"")</f>
        <v/>
      </c>
      <c r="G459" s="20">
        <f>IF(AND(ISNUMBER(C459),ISNUMBER(C458)),IF(C459=C458,"",(C459-C458)*100),"")</f>
        <v/>
      </c>
      <c r="H459" s="20">
        <f>IF(OR(NOT(ISNUMBER($A459)),ROW()-2&lt;Settings!$B$11),NA(),IF(COUNT(OFFSET(F459,1-Settings!$B$11,0,Settings!$B$11,1))&lt;ROUNDUP(Settings!$B$11*Settings!$B$26,0),NA(),STDEV(OFFSET(F459,1-Settings!$B$11,0,Settings!$B$11,1))*SQRT(Settings!$B$13)))</f>
        <v/>
      </c>
      <c r="I459" s="20">
        <f>IF(OR(NOT(ISNUMBER($A459)),ROW()-2&lt;Settings!$B$12),NA(),IF(COUNT(OFFSET(F459,1-Settings!$B$12,0,Settings!$B$12,1))&lt;ROUNDUP(Settings!$B$12*Settings!$B$26,0),NA(),STDEV(OFFSET(F459,1-Settings!$B$12,0,Settings!$B$12,1))*SQRT(Settings!$B$13)))</f>
        <v/>
      </c>
      <c r="J459" s="20">
        <f>IF(OR(NOT(ISNUMBER($A459)),ROW()-2&lt;Settings!$B$11),NA(),IF(COUNT(OFFSET(G459,1-Settings!$B$11,0,Settings!$B$11,1))&lt;ROUNDUP(Settings!$B$11*Settings!$B$26,0),NA(),STDEV(OFFSET(G459,1-Settings!$B$11,0,Settings!$B$11,1))*SQRT(Settings!$B$13)))</f>
        <v/>
      </c>
      <c r="K459" s="20">
        <f>IF(OR(NOT(ISNUMBER($A459)),ROW()-2&lt;Settings!$B$12),NA(),IF(COUNT(OFFSET(G459,1-Settings!$B$12,0,Settings!$B$12,1))&lt;ROUNDUP(Settings!$B$12*Settings!$B$26,0),NA(),STDEV(OFFSET(G459,1-Settings!$B$12,0,Settings!$B$12,1))*SQRT(Settings!$B$13)))</f>
        <v/>
      </c>
      <c r="L459" s="20">
        <f>IF(AND(ISNUMBER(D459),ISNUMBER(H459)),D459-H459,NA())</f>
        <v/>
      </c>
      <c r="M459" s="20">
        <f>IF(AND(ISNUMBER(E459),ISNUMBER(K459)),E459-K459,NA())</f>
        <v/>
      </c>
      <c r="N459" s="20">
        <f>IF(NOT(ISNUMBER($A459)),NA(),IF(COUNT(OFFSET(G459,1,0,Settings!$B$12,1))&lt;ROUNDUP(Settings!$B$12*Settings!$B$26,0),NA(),STDEV(OFFSET(G459,1,0,Settings!$B$12,1))*SQRT(Settings!$B$13)))</f>
        <v/>
      </c>
      <c r="O459" s="20">
        <f>IF(AND(ISNUMBER(E459),ISNUMBER(N459)),E459-N459,NA())</f>
        <v/>
      </c>
      <c r="P459" s="19">
        <f>IF(NOT(ISNUMBER($A459)),NA(),IF(OR($A459&lt;MIN(KW_TP!$A$2:$A$2501),$A459&gt;MAX(KW_TP!$A$2:$A$2501)),NA(),INDEX(KW_TP!$C$2:$C$2501,MATCH($A459,KW_TP!$A$2:$A$2501,1))))</f>
        <v/>
      </c>
      <c r="Q459" s="18">
        <f>IF(NOT(ISNUMBER($A459)),NA(),IFERROR(1*INDEX(BBG_Data!$J$2:$J$4000,MATCH($A459,BBG_Data!$I$2:$I$4000,0)),NA()))</f>
        <v/>
      </c>
      <c r="R459" s="18">
        <f>IF(NOT(ISNUMBER($A459)),NA(),IFERROR(1*INDEX(BBG_Data!$L$2:$L$4000,MATCH($A459,BBG_Data!$K$2:$K$4000,0)),NA()))</f>
        <v/>
      </c>
      <c r="S459" s="20">
        <f>IF(AND(ISNUMBER(B459),ISNUMBER(Q459),ISNUMBER(R459)),(B459-Q459-R459)*100,NA())</f>
        <v/>
      </c>
      <c r="T459" s="20">
        <f>IF(AND(ISNUMBER(B459),Settings!$B$17&gt;0),IF(ISNUMBER(INDEX($B:$B,Settings!$B$17)),(B459-INDEX($B:$B,Settings!$B$17))*100,NA()),NA())</f>
        <v/>
      </c>
      <c r="U459" s="20">
        <f>IF(AND(ISNUMBER(Q459),Settings!$B$17&gt;0),IF(ISNUMBER(INDEX($Q:$Q,Settings!$B$17)),(Q459-INDEX($Q:$Q,Settings!$B$17))*100,NA()),NA())</f>
        <v/>
      </c>
      <c r="V459" s="20">
        <f>IF(AND(ISNUMBER(R459),Settings!$B$17&gt;0),IF(ISNUMBER(INDEX($R:$R,Settings!$B$17)),(R459-INDEX($R:$R,Settings!$B$17))*100,NA()),NA())</f>
        <v/>
      </c>
      <c r="W459" s="20">
        <f>IF(AND(ISNUMBER(P459),Settings!$B$17&gt;0),IF(ISNUMBER(INDEX($P:$P,Settings!$B$17)),P459-INDEX($P:$P,Settings!$B$17),NA()),NA())</f>
        <v/>
      </c>
      <c r="X459" s="19">
        <f>IF(NOT(ISNUMBER($A459)),NA(),IF(OR($A459&lt;MIN(DKW_10Y!$A$2:$A$2918),$A459&gt;MAX(DKW_10Y!$A$2:$A$2918),Settings!$B$16&lt;MIN(DKW_10Y!$A$2:$A$2918)),NA(),(INDEX(DKW_10Y!$B$2:$B$2918,MATCH($A459,DKW_10Y!$A$2:$A$2918,1))-INDEX(DKW_10Y!$B$2:$B$2918,MATCH(Settings!$B$16,DKW_10Y!$A$2:$A$2918,1)))*100))</f>
        <v/>
      </c>
      <c r="Y459" s="19">
        <f>IF(NOT(ISNUMBER($A459)),NA(),IF(OR($A459&lt;MIN(DKW_10Y!$A$2:$A$2918),$A459&gt;MAX(DKW_10Y!$A$2:$A$2918),Settings!$B$16&lt;MIN(DKW_10Y!$A$2:$A$2918)),NA(),(INDEX(DKW_10Y!$C$2:$C$2918,MATCH($A459,DKW_10Y!$A$2:$A$2918,1))-INDEX(DKW_10Y!$C$2:$C$2918,MATCH(Settings!$B$16,DKW_10Y!$A$2:$A$2918,1)))*100))</f>
        <v/>
      </c>
      <c r="Z459" s="19">
        <f>IF(NOT(ISNUMBER($A459)),NA(),IF(OR($A459&lt;MIN(DKW_10Y!$A$2:$A$2918),$A459&gt;MAX(DKW_10Y!$A$2:$A$2918),Settings!$B$16&lt;MIN(DKW_10Y!$A$2:$A$2918)),NA(),(INDEX(DKW_10Y!$D$2:$D$2918,MATCH($A459,DKW_10Y!$A$2:$A$2918,1))-INDEX(DKW_10Y!$D$2:$D$2918,MATCH(Settings!$B$16,DKW_10Y!$A$2:$A$2918,1)))*100))</f>
        <v/>
      </c>
      <c r="AA459" s="19">
        <f>IF(NOT(ISNUMBER($A459)),NA(),IF(OR($A459&lt;MIN(DKW_10Y!$A$2:$A$2918),$A459&gt;MAX(DKW_10Y!$A$2:$A$2918),Settings!$B$16&lt;MIN(DKW_10Y!$A$2:$A$2918)),NA(),(INDEX(DKW_10Y!$E$2:$E$2918,MATCH($A459,DKW_10Y!$A$2:$A$2918,1))-INDEX(DKW_10Y!$E$2:$E$2918,MATCH(Settings!$B$16,DKW_10Y!$A$2:$A$2918,1)))*100))</f>
        <v/>
      </c>
      <c r="AB459" s="19">
        <f>IF(NOT(ISNUMBER($A459)),NA(),IF(OR($A459&lt;MIN(DKW_10Y!$A$2:$A$2918),$A459&gt;MAX(DKW_10Y!$A$2:$A$2918),Settings!$B$16&lt;MIN(DKW_10Y!$A$2:$A$2918)),NA(),(INDEX(DKW_10Y!$H$2:$H$2918,MATCH($A459,DKW_10Y!$A$2:$A$2918,1))-INDEX(DKW_10Y!$H$2:$H$2918,MATCH(Settings!$B$16,DKW_10Y!$A$2:$A$2918,1)))*100))</f>
        <v/>
      </c>
      <c r="AC459" s="18">
        <f>IF(NOT(ISNUMBER($A459)),NA(),IFERROR(1*INDEX(BBG_Data!$N$2:$N$4000,MATCH($A459,BBG_Data!$M$2:$M$4000,0)),NA()))</f>
        <v/>
      </c>
      <c r="AD459" s="18">
        <f>IF(NOT(ISNUMBER($A459)),NA(),IFERROR(1*INDEX(BBG_Data!$P$2:$P$4000,MATCH($A459,BBG_Data!$O$2:$O$4000,0)),NA()))</f>
        <v/>
      </c>
      <c r="AE459" s="18">
        <f>IF(NOT(ISNUMBER($A459)),NA(),IFERROR(1*INDEX(BBG_Data!$R$2:$R$4000,MATCH($A459,BBG_Data!$Q$2:$Q$4000,0)),NA()))</f>
        <v/>
      </c>
      <c r="AF459" s="20">
        <f>IF(AND(ISNUMBER(B459),ISNUMBER(AC459)),(B459-AC459)*100,NA())</f>
        <v/>
      </c>
      <c r="AG459" s="20">
        <f>IF(AND(ISNUMBER(AE459),ISNUMBER(AD459)),(AE459-AD459)*100,NA())</f>
        <v/>
      </c>
      <c r="AH459" s="19">
        <f>IF(NOT(ISNUMBER($A459)),NA(),IFERROR(INDEX(BBG_Data!$T$2:$T$4000,MATCH($A459,BBG_Data!$S$2:$S$4000,0))*Settings!$B$25,NA()))</f>
        <v/>
      </c>
      <c r="AI459" s="19">
        <f>IF(NOT(ISNUMBER($A459)),NA(),IFERROR(INDEX(BBG_Data!$V$2:$V$4000,MATCH($A459,BBG_Data!$U$2:$U$4000,0))*Settings!$B$25,NA()))</f>
        <v/>
      </c>
      <c r="AJ459" s="19">
        <f>IF(NOT(ISNUMBER($A459)),NA(),IFERROR(1*INDEX(BBG_Data!$X$2:$X$4000,MATCH($A459,BBG_Data!$W$2:$W$4000,0)),NA()))</f>
        <v/>
      </c>
      <c r="AK459" s="19">
        <f>IF(NOT(ISNUMBER($A459)),NA(),IFERROR(1*INDEX(BBG_Data!$Z$2:$Z$4000,MATCH($A459,BBG_Data!$Y$2:$Y$4000,0)),NA()))</f>
        <v/>
      </c>
    </row>
    <row r="460">
      <c r="A460" s="17">
        <f>IF(ISNUMBER(BBG_Data!A460),BBG_Data!A460,"")</f>
        <v/>
      </c>
      <c r="B460" s="18">
        <f>IF(AND(ISNUMBER($A460),ISNUMBER(BBG_Data!B460)),BBG_Data!B460,NA())</f>
        <v/>
      </c>
      <c r="C460" s="18">
        <f>IF(NOT(ISNUMBER($A460)),NA(),IFERROR(1*INDEX(BBG_Data!$D$2:$D$4000,MATCH($A460,BBG_Data!$C$2:$C$4000,0)),NA()))</f>
        <v/>
      </c>
      <c r="D460" s="19">
        <f>IF(NOT(ISNUMBER($A460)),NA(),IFERROR(1*INDEX(BBG_Data!$F$2:$F$4000,MATCH($A460,BBG_Data!$E$2:$E$4000,0)),NA()))</f>
        <v/>
      </c>
      <c r="E460" s="19">
        <f>IF(NOT(ISNUMBER($A460)),NA(),IFERROR(1*INDEX(BBG_Data!$H$2:$H$4000,MATCH($A460,BBG_Data!$G$2:$G$4000,0)),NA()))</f>
        <v/>
      </c>
      <c r="F460" s="20">
        <f>IF(AND(ISNUMBER(B460),ISNUMBER(B459)),IF(B460=B459,"",(B460-B459)*100),"")</f>
        <v/>
      </c>
      <c r="G460" s="20">
        <f>IF(AND(ISNUMBER(C460),ISNUMBER(C459)),IF(C460=C459,"",(C460-C459)*100),"")</f>
        <v/>
      </c>
      <c r="H460" s="20">
        <f>IF(OR(NOT(ISNUMBER($A460)),ROW()-2&lt;Settings!$B$11),NA(),IF(COUNT(OFFSET(F460,1-Settings!$B$11,0,Settings!$B$11,1))&lt;ROUNDUP(Settings!$B$11*Settings!$B$26,0),NA(),STDEV(OFFSET(F460,1-Settings!$B$11,0,Settings!$B$11,1))*SQRT(Settings!$B$13)))</f>
        <v/>
      </c>
      <c r="I460" s="20">
        <f>IF(OR(NOT(ISNUMBER($A460)),ROW()-2&lt;Settings!$B$12),NA(),IF(COUNT(OFFSET(F460,1-Settings!$B$12,0,Settings!$B$12,1))&lt;ROUNDUP(Settings!$B$12*Settings!$B$26,0),NA(),STDEV(OFFSET(F460,1-Settings!$B$12,0,Settings!$B$12,1))*SQRT(Settings!$B$13)))</f>
        <v/>
      </c>
      <c r="J460" s="20">
        <f>IF(OR(NOT(ISNUMBER($A460)),ROW()-2&lt;Settings!$B$11),NA(),IF(COUNT(OFFSET(G460,1-Settings!$B$11,0,Settings!$B$11,1))&lt;ROUNDUP(Settings!$B$11*Settings!$B$26,0),NA(),STDEV(OFFSET(G460,1-Settings!$B$11,0,Settings!$B$11,1))*SQRT(Settings!$B$13)))</f>
        <v/>
      </c>
      <c r="K460" s="20">
        <f>IF(OR(NOT(ISNUMBER($A460)),ROW()-2&lt;Settings!$B$12),NA(),IF(COUNT(OFFSET(G460,1-Settings!$B$12,0,Settings!$B$12,1))&lt;ROUNDUP(Settings!$B$12*Settings!$B$26,0),NA(),STDEV(OFFSET(G460,1-Settings!$B$12,0,Settings!$B$12,1))*SQRT(Settings!$B$13)))</f>
        <v/>
      </c>
      <c r="L460" s="20">
        <f>IF(AND(ISNUMBER(D460),ISNUMBER(H460)),D460-H460,NA())</f>
        <v/>
      </c>
      <c r="M460" s="20">
        <f>IF(AND(ISNUMBER(E460),ISNUMBER(K460)),E460-K460,NA())</f>
        <v/>
      </c>
      <c r="N460" s="20">
        <f>IF(NOT(ISNUMBER($A460)),NA(),IF(COUNT(OFFSET(G460,1,0,Settings!$B$12,1))&lt;ROUNDUP(Settings!$B$12*Settings!$B$26,0),NA(),STDEV(OFFSET(G460,1,0,Settings!$B$12,1))*SQRT(Settings!$B$13)))</f>
        <v/>
      </c>
      <c r="O460" s="20">
        <f>IF(AND(ISNUMBER(E460),ISNUMBER(N460)),E460-N460,NA())</f>
        <v/>
      </c>
      <c r="P460" s="19">
        <f>IF(NOT(ISNUMBER($A460)),NA(),IF(OR($A460&lt;MIN(KW_TP!$A$2:$A$2501),$A460&gt;MAX(KW_TP!$A$2:$A$2501)),NA(),INDEX(KW_TP!$C$2:$C$2501,MATCH($A460,KW_TP!$A$2:$A$2501,1))))</f>
        <v/>
      </c>
      <c r="Q460" s="18">
        <f>IF(NOT(ISNUMBER($A460)),NA(),IFERROR(1*INDEX(BBG_Data!$J$2:$J$4000,MATCH($A460,BBG_Data!$I$2:$I$4000,0)),NA()))</f>
        <v/>
      </c>
      <c r="R460" s="18">
        <f>IF(NOT(ISNUMBER($A460)),NA(),IFERROR(1*INDEX(BBG_Data!$L$2:$L$4000,MATCH($A460,BBG_Data!$K$2:$K$4000,0)),NA()))</f>
        <v/>
      </c>
      <c r="S460" s="20">
        <f>IF(AND(ISNUMBER(B460),ISNUMBER(Q460),ISNUMBER(R460)),(B460-Q460-R460)*100,NA())</f>
        <v/>
      </c>
      <c r="T460" s="20">
        <f>IF(AND(ISNUMBER(B460),Settings!$B$17&gt;0),IF(ISNUMBER(INDEX($B:$B,Settings!$B$17)),(B460-INDEX($B:$B,Settings!$B$17))*100,NA()),NA())</f>
        <v/>
      </c>
      <c r="U460" s="20">
        <f>IF(AND(ISNUMBER(Q460),Settings!$B$17&gt;0),IF(ISNUMBER(INDEX($Q:$Q,Settings!$B$17)),(Q460-INDEX($Q:$Q,Settings!$B$17))*100,NA()),NA())</f>
        <v/>
      </c>
      <c r="V460" s="20">
        <f>IF(AND(ISNUMBER(R460),Settings!$B$17&gt;0),IF(ISNUMBER(INDEX($R:$R,Settings!$B$17)),(R460-INDEX($R:$R,Settings!$B$17))*100,NA()),NA())</f>
        <v/>
      </c>
      <c r="W460" s="20">
        <f>IF(AND(ISNUMBER(P460),Settings!$B$17&gt;0),IF(ISNUMBER(INDEX($P:$P,Settings!$B$17)),P460-INDEX($P:$P,Settings!$B$17),NA()),NA())</f>
        <v/>
      </c>
      <c r="X460" s="19">
        <f>IF(NOT(ISNUMBER($A460)),NA(),IF(OR($A460&lt;MIN(DKW_10Y!$A$2:$A$2918),$A460&gt;MAX(DKW_10Y!$A$2:$A$2918),Settings!$B$16&lt;MIN(DKW_10Y!$A$2:$A$2918)),NA(),(INDEX(DKW_10Y!$B$2:$B$2918,MATCH($A460,DKW_10Y!$A$2:$A$2918,1))-INDEX(DKW_10Y!$B$2:$B$2918,MATCH(Settings!$B$16,DKW_10Y!$A$2:$A$2918,1)))*100))</f>
        <v/>
      </c>
      <c r="Y460" s="19">
        <f>IF(NOT(ISNUMBER($A460)),NA(),IF(OR($A460&lt;MIN(DKW_10Y!$A$2:$A$2918),$A460&gt;MAX(DKW_10Y!$A$2:$A$2918),Settings!$B$16&lt;MIN(DKW_10Y!$A$2:$A$2918)),NA(),(INDEX(DKW_10Y!$C$2:$C$2918,MATCH($A460,DKW_10Y!$A$2:$A$2918,1))-INDEX(DKW_10Y!$C$2:$C$2918,MATCH(Settings!$B$16,DKW_10Y!$A$2:$A$2918,1)))*100))</f>
        <v/>
      </c>
      <c r="Z460" s="19">
        <f>IF(NOT(ISNUMBER($A460)),NA(),IF(OR($A460&lt;MIN(DKW_10Y!$A$2:$A$2918),$A460&gt;MAX(DKW_10Y!$A$2:$A$2918),Settings!$B$16&lt;MIN(DKW_10Y!$A$2:$A$2918)),NA(),(INDEX(DKW_10Y!$D$2:$D$2918,MATCH($A460,DKW_10Y!$A$2:$A$2918,1))-INDEX(DKW_10Y!$D$2:$D$2918,MATCH(Settings!$B$16,DKW_10Y!$A$2:$A$2918,1)))*100))</f>
        <v/>
      </c>
      <c r="AA460" s="19">
        <f>IF(NOT(ISNUMBER($A460)),NA(),IF(OR($A460&lt;MIN(DKW_10Y!$A$2:$A$2918),$A460&gt;MAX(DKW_10Y!$A$2:$A$2918),Settings!$B$16&lt;MIN(DKW_10Y!$A$2:$A$2918)),NA(),(INDEX(DKW_10Y!$E$2:$E$2918,MATCH($A460,DKW_10Y!$A$2:$A$2918,1))-INDEX(DKW_10Y!$E$2:$E$2918,MATCH(Settings!$B$16,DKW_10Y!$A$2:$A$2918,1)))*100))</f>
        <v/>
      </c>
      <c r="AB460" s="19">
        <f>IF(NOT(ISNUMBER($A460)),NA(),IF(OR($A460&lt;MIN(DKW_10Y!$A$2:$A$2918),$A460&gt;MAX(DKW_10Y!$A$2:$A$2918),Settings!$B$16&lt;MIN(DKW_10Y!$A$2:$A$2918)),NA(),(INDEX(DKW_10Y!$H$2:$H$2918,MATCH($A460,DKW_10Y!$A$2:$A$2918,1))-INDEX(DKW_10Y!$H$2:$H$2918,MATCH(Settings!$B$16,DKW_10Y!$A$2:$A$2918,1)))*100))</f>
        <v/>
      </c>
      <c r="AC460" s="18">
        <f>IF(NOT(ISNUMBER($A460)),NA(),IFERROR(1*INDEX(BBG_Data!$N$2:$N$4000,MATCH($A460,BBG_Data!$M$2:$M$4000,0)),NA()))</f>
        <v/>
      </c>
      <c r="AD460" s="18">
        <f>IF(NOT(ISNUMBER($A460)),NA(),IFERROR(1*INDEX(BBG_Data!$P$2:$P$4000,MATCH($A460,BBG_Data!$O$2:$O$4000,0)),NA()))</f>
        <v/>
      </c>
      <c r="AE460" s="18">
        <f>IF(NOT(ISNUMBER($A460)),NA(),IFERROR(1*INDEX(BBG_Data!$R$2:$R$4000,MATCH($A460,BBG_Data!$Q$2:$Q$4000,0)),NA()))</f>
        <v/>
      </c>
      <c r="AF460" s="20">
        <f>IF(AND(ISNUMBER(B460),ISNUMBER(AC460)),(B460-AC460)*100,NA())</f>
        <v/>
      </c>
      <c r="AG460" s="20">
        <f>IF(AND(ISNUMBER(AE460),ISNUMBER(AD460)),(AE460-AD460)*100,NA())</f>
        <v/>
      </c>
      <c r="AH460" s="19">
        <f>IF(NOT(ISNUMBER($A460)),NA(),IFERROR(INDEX(BBG_Data!$T$2:$T$4000,MATCH($A460,BBG_Data!$S$2:$S$4000,0))*Settings!$B$25,NA()))</f>
        <v/>
      </c>
      <c r="AI460" s="19">
        <f>IF(NOT(ISNUMBER($A460)),NA(),IFERROR(INDEX(BBG_Data!$V$2:$V$4000,MATCH($A460,BBG_Data!$U$2:$U$4000,0))*Settings!$B$25,NA()))</f>
        <v/>
      </c>
      <c r="AJ460" s="19">
        <f>IF(NOT(ISNUMBER($A460)),NA(),IFERROR(1*INDEX(BBG_Data!$X$2:$X$4000,MATCH($A460,BBG_Data!$W$2:$W$4000,0)),NA()))</f>
        <v/>
      </c>
      <c r="AK460" s="19">
        <f>IF(NOT(ISNUMBER($A460)),NA(),IFERROR(1*INDEX(BBG_Data!$Z$2:$Z$4000,MATCH($A460,BBG_Data!$Y$2:$Y$4000,0)),NA()))</f>
        <v/>
      </c>
    </row>
    <row r="461">
      <c r="A461" s="17">
        <f>IF(ISNUMBER(BBG_Data!A461),BBG_Data!A461,"")</f>
        <v/>
      </c>
      <c r="B461" s="18">
        <f>IF(AND(ISNUMBER($A461),ISNUMBER(BBG_Data!B461)),BBG_Data!B461,NA())</f>
        <v/>
      </c>
      <c r="C461" s="18">
        <f>IF(NOT(ISNUMBER($A461)),NA(),IFERROR(1*INDEX(BBG_Data!$D$2:$D$4000,MATCH($A461,BBG_Data!$C$2:$C$4000,0)),NA()))</f>
        <v/>
      </c>
      <c r="D461" s="19">
        <f>IF(NOT(ISNUMBER($A461)),NA(),IFERROR(1*INDEX(BBG_Data!$F$2:$F$4000,MATCH($A461,BBG_Data!$E$2:$E$4000,0)),NA()))</f>
        <v/>
      </c>
      <c r="E461" s="19">
        <f>IF(NOT(ISNUMBER($A461)),NA(),IFERROR(1*INDEX(BBG_Data!$H$2:$H$4000,MATCH($A461,BBG_Data!$G$2:$G$4000,0)),NA()))</f>
        <v/>
      </c>
      <c r="F461" s="20">
        <f>IF(AND(ISNUMBER(B461),ISNUMBER(B460)),IF(B461=B460,"",(B461-B460)*100),"")</f>
        <v/>
      </c>
      <c r="G461" s="20">
        <f>IF(AND(ISNUMBER(C461),ISNUMBER(C460)),IF(C461=C460,"",(C461-C460)*100),"")</f>
        <v/>
      </c>
      <c r="H461" s="20">
        <f>IF(OR(NOT(ISNUMBER($A461)),ROW()-2&lt;Settings!$B$11),NA(),IF(COUNT(OFFSET(F461,1-Settings!$B$11,0,Settings!$B$11,1))&lt;ROUNDUP(Settings!$B$11*Settings!$B$26,0),NA(),STDEV(OFFSET(F461,1-Settings!$B$11,0,Settings!$B$11,1))*SQRT(Settings!$B$13)))</f>
        <v/>
      </c>
      <c r="I461" s="20">
        <f>IF(OR(NOT(ISNUMBER($A461)),ROW()-2&lt;Settings!$B$12),NA(),IF(COUNT(OFFSET(F461,1-Settings!$B$12,0,Settings!$B$12,1))&lt;ROUNDUP(Settings!$B$12*Settings!$B$26,0),NA(),STDEV(OFFSET(F461,1-Settings!$B$12,0,Settings!$B$12,1))*SQRT(Settings!$B$13)))</f>
        <v/>
      </c>
      <c r="J461" s="20">
        <f>IF(OR(NOT(ISNUMBER($A461)),ROW()-2&lt;Settings!$B$11),NA(),IF(COUNT(OFFSET(G461,1-Settings!$B$11,0,Settings!$B$11,1))&lt;ROUNDUP(Settings!$B$11*Settings!$B$26,0),NA(),STDEV(OFFSET(G461,1-Settings!$B$11,0,Settings!$B$11,1))*SQRT(Settings!$B$13)))</f>
        <v/>
      </c>
      <c r="K461" s="20">
        <f>IF(OR(NOT(ISNUMBER($A461)),ROW()-2&lt;Settings!$B$12),NA(),IF(COUNT(OFFSET(G461,1-Settings!$B$12,0,Settings!$B$12,1))&lt;ROUNDUP(Settings!$B$12*Settings!$B$26,0),NA(),STDEV(OFFSET(G461,1-Settings!$B$12,0,Settings!$B$12,1))*SQRT(Settings!$B$13)))</f>
        <v/>
      </c>
      <c r="L461" s="20">
        <f>IF(AND(ISNUMBER(D461),ISNUMBER(H461)),D461-H461,NA())</f>
        <v/>
      </c>
      <c r="M461" s="20">
        <f>IF(AND(ISNUMBER(E461),ISNUMBER(K461)),E461-K461,NA())</f>
        <v/>
      </c>
      <c r="N461" s="20">
        <f>IF(NOT(ISNUMBER($A461)),NA(),IF(COUNT(OFFSET(G461,1,0,Settings!$B$12,1))&lt;ROUNDUP(Settings!$B$12*Settings!$B$26,0),NA(),STDEV(OFFSET(G461,1,0,Settings!$B$12,1))*SQRT(Settings!$B$13)))</f>
        <v/>
      </c>
      <c r="O461" s="20">
        <f>IF(AND(ISNUMBER(E461),ISNUMBER(N461)),E461-N461,NA())</f>
        <v/>
      </c>
      <c r="P461" s="19">
        <f>IF(NOT(ISNUMBER($A461)),NA(),IF(OR($A461&lt;MIN(KW_TP!$A$2:$A$2501),$A461&gt;MAX(KW_TP!$A$2:$A$2501)),NA(),INDEX(KW_TP!$C$2:$C$2501,MATCH($A461,KW_TP!$A$2:$A$2501,1))))</f>
        <v/>
      </c>
      <c r="Q461" s="18">
        <f>IF(NOT(ISNUMBER($A461)),NA(),IFERROR(1*INDEX(BBG_Data!$J$2:$J$4000,MATCH($A461,BBG_Data!$I$2:$I$4000,0)),NA()))</f>
        <v/>
      </c>
      <c r="R461" s="18">
        <f>IF(NOT(ISNUMBER($A461)),NA(),IFERROR(1*INDEX(BBG_Data!$L$2:$L$4000,MATCH($A461,BBG_Data!$K$2:$K$4000,0)),NA()))</f>
        <v/>
      </c>
      <c r="S461" s="20">
        <f>IF(AND(ISNUMBER(B461),ISNUMBER(Q461),ISNUMBER(R461)),(B461-Q461-R461)*100,NA())</f>
        <v/>
      </c>
      <c r="T461" s="20">
        <f>IF(AND(ISNUMBER(B461),Settings!$B$17&gt;0),IF(ISNUMBER(INDEX($B:$B,Settings!$B$17)),(B461-INDEX($B:$B,Settings!$B$17))*100,NA()),NA())</f>
        <v/>
      </c>
      <c r="U461" s="20">
        <f>IF(AND(ISNUMBER(Q461),Settings!$B$17&gt;0),IF(ISNUMBER(INDEX($Q:$Q,Settings!$B$17)),(Q461-INDEX($Q:$Q,Settings!$B$17))*100,NA()),NA())</f>
        <v/>
      </c>
      <c r="V461" s="20">
        <f>IF(AND(ISNUMBER(R461),Settings!$B$17&gt;0),IF(ISNUMBER(INDEX($R:$R,Settings!$B$17)),(R461-INDEX($R:$R,Settings!$B$17))*100,NA()),NA())</f>
        <v/>
      </c>
      <c r="W461" s="20">
        <f>IF(AND(ISNUMBER(P461),Settings!$B$17&gt;0),IF(ISNUMBER(INDEX($P:$P,Settings!$B$17)),P461-INDEX($P:$P,Settings!$B$17),NA()),NA())</f>
        <v/>
      </c>
      <c r="X461" s="19">
        <f>IF(NOT(ISNUMBER($A461)),NA(),IF(OR($A461&lt;MIN(DKW_10Y!$A$2:$A$2918),$A461&gt;MAX(DKW_10Y!$A$2:$A$2918),Settings!$B$16&lt;MIN(DKW_10Y!$A$2:$A$2918)),NA(),(INDEX(DKW_10Y!$B$2:$B$2918,MATCH($A461,DKW_10Y!$A$2:$A$2918,1))-INDEX(DKW_10Y!$B$2:$B$2918,MATCH(Settings!$B$16,DKW_10Y!$A$2:$A$2918,1)))*100))</f>
        <v/>
      </c>
      <c r="Y461" s="19">
        <f>IF(NOT(ISNUMBER($A461)),NA(),IF(OR($A461&lt;MIN(DKW_10Y!$A$2:$A$2918),$A461&gt;MAX(DKW_10Y!$A$2:$A$2918),Settings!$B$16&lt;MIN(DKW_10Y!$A$2:$A$2918)),NA(),(INDEX(DKW_10Y!$C$2:$C$2918,MATCH($A461,DKW_10Y!$A$2:$A$2918,1))-INDEX(DKW_10Y!$C$2:$C$2918,MATCH(Settings!$B$16,DKW_10Y!$A$2:$A$2918,1)))*100))</f>
        <v/>
      </c>
      <c r="Z461" s="19">
        <f>IF(NOT(ISNUMBER($A461)),NA(),IF(OR($A461&lt;MIN(DKW_10Y!$A$2:$A$2918),$A461&gt;MAX(DKW_10Y!$A$2:$A$2918),Settings!$B$16&lt;MIN(DKW_10Y!$A$2:$A$2918)),NA(),(INDEX(DKW_10Y!$D$2:$D$2918,MATCH($A461,DKW_10Y!$A$2:$A$2918,1))-INDEX(DKW_10Y!$D$2:$D$2918,MATCH(Settings!$B$16,DKW_10Y!$A$2:$A$2918,1)))*100))</f>
        <v/>
      </c>
      <c r="AA461" s="19">
        <f>IF(NOT(ISNUMBER($A461)),NA(),IF(OR($A461&lt;MIN(DKW_10Y!$A$2:$A$2918),$A461&gt;MAX(DKW_10Y!$A$2:$A$2918),Settings!$B$16&lt;MIN(DKW_10Y!$A$2:$A$2918)),NA(),(INDEX(DKW_10Y!$E$2:$E$2918,MATCH($A461,DKW_10Y!$A$2:$A$2918,1))-INDEX(DKW_10Y!$E$2:$E$2918,MATCH(Settings!$B$16,DKW_10Y!$A$2:$A$2918,1)))*100))</f>
        <v/>
      </c>
      <c r="AB461" s="19">
        <f>IF(NOT(ISNUMBER($A461)),NA(),IF(OR($A461&lt;MIN(DKW_10Y!$A$2:$A$2918),$A461&gt;MAX(DKW_10Y!$A$2:$A$2918),Settings!$B$16&lt;MIN(DKW_10Y!$A$2:$A$2918)),NA(),(INDEX(DKW_10Y!$H$2:$H$2918,MATCH($A461,DKW_10Y!$A$2:$A$2918,1))-INDEX(DKW_10Y!$H$2:$H$2918,MATCH(Settings!$B$16,DKW_10Y!$A$2:$A$2918,1)))*100))</f>
        <v/>
      </c>
      <c r="AC461" s="18">
        <f>IF(NOT(ISNUMBER($A461)),NA(),IFERROR(1*INDEX(BBG_Data!$N$2:$N$4000,MATCH($A461,BBG_Data!$M$2:$M$4000,0)),NA()))</f>
        <v/>
      </c>
      <c r="AD461" s="18">
        <f>IF(NOT(ISNUMBER($A461)),NA(),IFERROR(1*INDEX(BBG_Data!$P$2:$P$4000,MATCH($A461,BBG_Data!$O$2:$O$4000,0)),NA()))</f>
        <v/>
      </c>
      <c r="AE461" s="18">
        <f>IF(NOT(ISNUMBER($A461)),NA(),IFERROR(1*INDEX(BBG_Data!$R$2:$R$4000,MATCH($A461,BBG_Data!$Q$2:$Q$4000,0)),NA()))</f>
        <v/>
      </c>
      <c r="AF461" s="20">
        <f>IF(AND(ISNUMBER(B461),ISNUMBER(AC461)),(B461-AC461)*100,NA())</f>
        <v/>
      </c>
      <c r="AG461" s="20">
        <f>IF(AND(ISNUMBER(AE461),ISNUMBER(AD461)),(AE461-AD461)*100,NA())</f>
        <v/>
      </c>
      <c r="AH461" s="19">
        <f>IF(NOT(ISNUMBER($A461)),NA(),IFERROR(INDEX(BBG_Data!$T$2:$T$4000,MATCH($A461,BBG_Data!$S$2:$S$4000,0))*Settings!$B$25,NA()))</f>
        <v/>
      </c>
      <c r="AI461" s="19">
        <f>IF(NOT(ISNUMBER($A461)),NA(),IFERROR(INDEX(BBG_Data!$V$2:$V$4000,MATCH($A461,BBG_Data!$U$2:$U$4000,0))*Settings!$B$25,NA()))</f>
        <v/>
      </c>
      <c r="AJ461" s="19">
        <f>IF(NOT(ISNUMBER($A461)),NA(),IFERROR(1*INDEX(BBG_Data!$X$2:$X$4000,MATCH($A461,BBG_Data!$W$2:$W$4000,0)),NA()))</f>
        <v/>
      </c>
      <c r="AK461" s="19">
        <f>IF(NOT(ISNUMBER($A461)),NA(),IFERROR(1*INDEX(BBG_Data!$Z$2:$Z$4000,MATCH($A461,BBG_Data!$Y$2:$Y$4000,0)),NA()))</f>
        <v/>
      </c>
    </row>
    <row r="462">
      <c r="A462" s="17">
        <f>IF(ISNUMBER(BBG_Data!A462),BBG_Data!A462,"")</f>
        <v/>
      </c>
      <c r="B462" s="18">
        <f>IF(AND(ISNUMBER($A462),ISNUMBER(BBG_Data!B462)),BBG_Data!B462,NA())</f>
        <v/>
      </c>
      <c r="C462" s="18">
        <f>IF(NOT(ISNUMBER($A462)),NA(),IFERROR(1*INDEX(BBG_Data!$D$2:$D$4000,MATCH($A462,BBG_Data!$C$2:$C$4000,0)),NA()))</f>
        <v/>
      </c>
      <c r="D462" s="19">
        <f>IF(NOT(ISNUMBER($A462)),NA(),IFERROR(1*INDEX(BBG_Data!$F$2:$F$4000,MATCH($A462,BBG_Data!$E$2:$E$4000,0)),NA()))</f>
        <v/>
      </c>
      <c r="E462" s="19">
        <f>IF(NOT(ISNUMBER($A462)),NA(),IFERROR(1*INDEX(BBG_Data!$H$2:$H$4000,MATCH($A462,BBG_Data!$G$2:$G$4000,0)),NA()))</f>
        <v/>
      </c>
      <c r="F462" s="20">
        <f>IF(AND(ISNUMBER(B462),ISNUMBER(B461)),IF(B462=B461,"",(B462-B461)*100),"")</f>
        <v/>
      </c>
      <c r="G462" s="20">
        <f>IF(AND(ISNUMBER(C462),ISNUMBER(C461)),IF(C462=C461,"",(C462-C461)*100),"")</f>
        <v/>
      </c>
      <c r="H462" s="20">
        <f>IF(OR(NOT(ISNUMBER($A462)),ROW()-2&lt;Settings!$B$11),NA(),IF(COUNT(OFFSET(F462,1-Settings!$B$11,0,Settings!$B$11,1))&lt;ROUNDUP(Settings!$B$11*Settings!$B$26,0),NA(),STDEV(OFFSET(F462,1-Settings!$B$11,0,Settings!$B$11,1))*SQRT(Settings!$B$13)))</f>
        <v/>
      </c>
      <c r="I462" s="20">
        <f>IF(OR(NOT(ISNUMBER($A462)),ROW()-2&lt;Settings!$B$12),NA(),IF(COUNT(OFFSET(F462,1-Settings!$B$12,0,Settings!$B$12,1))&lt;ROUNDUP(Settings!$B$12*Settings!$B$26,0),NA(),STDEV(OFFSET(F462,1-Settings!$B$12,0,Settings!$B$12,1))*SQRT(Settings!$B$13)))</f>
        <v/>
      </c>
      <c r="J462" s="20">
        <f>IF(OR(NOT(ISNUMBER($A462)),ROW()-2&lt;Settings!$B$11),NA(),IF(COUNT(OFFSET(G462,1-Settings!$B$11,0,Settings!$B$11,1))&lt;ROUNDUP(Settings!$B$11*Settings!$B$26,0),NA(),STDEV(OFFSET(G462,1-Settings!$B$11,0,Settings!$B$11,1))*SQRT(Settings!$B$13)))</f>
        <v/>
      </c>
      <c r="K462" s="20">
        <f>IF(OR(NOT(ISNUMBER($A462)),ROW()-2&lt;Settings!$B$12),NA(),IF(COUNT(OFFSET(G462,1-Settings!$B$12,0,Settings!$B$12,1))&lt;ROUNDUP(Settings!$B$12*Settings!$B$26,0),NA(),STDEV(OFFSET(G462,1-Settings!$B$12,0,Settings!$B$12,1))*SQRT(Settings!$B$13)))</f>
        <v/>
      </c>
      <c r="L462" s="20">
        <f>IF(AND(ISNUMBER(D462),ISNUMBER(H462)),D462-H462,NA())</f>
        <v/>
      </c>
      <c r="M462" s="20">
        <f>IF(AND(ISNUMBER(E462),ISNUMBER(K462)),E462-K462,NA())</f>
        <v/>
      </c>
      <c r="N462" s="20">
        <f>IF(NOT(ISNUMBER($A462)),NA(),IF(COUNT(OFFSET(G462,1,0,Settings!$B$12,1))&lt;ROUNDUP(Settings!$B$12*Settings!$B$26,0),NA(),STDEV(OFFSET(G462,1,0,Settings!$B$12,1))*SQRT(Settings!$B$13)))</f>
        <v/>
      </c>
      <c r="O462" s="20">
        <f>IF(AND(ISNUMBER(E462),ISNUMBER(N462)),E462-N462,NA())</f>
        <v/>
      </c>
      <c r="P462" s="19">
        <f>IF(NOT(ISNUMBER($A462)),NA(),IF(OR($A462&lt;MIN(KW_TP!$A$2:$A$2501),$A462&gt;MAX(KW_TP!$A$2:$A$2501)),NA(),INDEX(KW_TP!$C$2:$C$2501,MATCH($A462,KW_TP!$A$2:$A$2501,1))))</f>
        <v/>
      </c>
      <c r="Q462" s="18">
        <f>IF(NOT(ISNUMBER($A462)),NA(),IFERROR(1*INDEX(BBG_Data!$J$2:$J$4000,MATCH($A462,BBG_Data!$I$2:$I$4000,0)),NA()))</f>
        <v/>
      </c>
      <c r="R462" s="18">
        <f>IF(NOT(ISNUMBER($A462)),NA(),IFERROR(1*INDEX(BBG_Data!$L$2:$L$4000,MATCH($A462,BBG_Data!$K$2:$K$4000,0)),NA()))</f>
        <v/>
      </c>
      <c r="S462" s="20">
        <f>IF(AND(ISNUMBER(B462),ISNUMBER(Q462),ISNUMBER(R462)),(B462-Q462-R462)*100,NA())</f>
        <v/>
      </c>
      <c r="T462" s="20">
        <f>IF(AND(ISNUMBER(B462),Settings!$B$17&gt;0),IF(ISNUMBER(INDEX($B:$B,Settings!$B$17)),(B462-INDEX($B:$B,Settings!$B$17))*100,NA()),NA())</f>
        <v/>
      </c>
      <c r="U462" s="20">
        <f>IF(AND(ISNUMBER(Q462),Settings!$B$17&gt;0),IF(ISNUMBER(INDEX($Q:$Q,Settings!$B$17)),(Q462-INDEX($Q:$Q,Settings!$B$17))*100,NA()),NA())</f>
        <v/>
      </c>
      <c r="V462" s="20">
        <f>IF(AND(ISNUMBER(R462),Settings!$B$17&gt;0),IF(ISNUMBER(INDEX($R:$R,Settings!$B$17)),(R462-INDEX($R:$R,Settings!$B$17))*100,NA()),NA())</f>
        <v/>
      </c>
      <c r="W462" s="20">
        <f>IF(AND(ISNUMBER(P462),Settings!$B$17&gt;0),IF(ISNUMBER(INDEX($P:$P,Settings!$B$17)),P462-INDEX($P:$P,Settings!$B$17),NA()),NA())</f>
        <v/>
      </c>
      <c r="X462" s="19">
        <f>IF(NOT(ISNUMBER($A462)),NA(),IF(OR($A462&lt;MIN(DKW_10Y!$A$2:$A$2918),$A462&gt;MAX(DKW_10Y!$A$2:$A$2918),Settings!$B$16&lt;MIN(DKW_10Y!$A$2:$A$2918)),NA(),(INDEX(DKW_10Y!$B$2:$B$2918,MATCH($A462,DKW_10Y!$A$2:$A$2918,1))-INDEX(DKW_10Y!$B$2:$B$2918,MATCH(Settings!$B$16,DKW_10Y!$A$2:$A$2918,1)))*100))</f>
        <v/>
      </c>
      <c r="Y462" s="19">
        <f>IF(NOT(ISNUMBER($A462)),NA(),IF(OR($A462&lt;MIN(DKW_10Y!$A$2:$A$2918),$A462&gt;MAX(DKW_10Y!$A$2:$A$2918),Settings!$B$16&lt;MIN(DKW_10Y!$A$2:$A$2918)),NA(),(INDEX(DKW_10Y!$C$2:$C$2918,MATCH($A462,DKW_10Y!$A$2:$A$2918,1))-INDEX(DKW_10Y!$C$2:$C$2918,MATCH(Settings!$B$16,DKW_10Y!$A$2:$A$2918,1)))*100))</f>
        <v/>
      </c>
      <c r="Z462" s="19">
        <f>IF(NOT(ISNUMBER($A462)),NA(),IF(OR($A462&lt;MIN(DKW_10Y!$A$2:$A$2918),$A462&gt;MAX(DKW_10Y!$A$2:$A$2918),Settings!$B$16&lt;MIN(DKW_10Y!$A$2:$A$2918)),NA(),(INDEX(DKW_10Y!$D$2:$D$2918,MATCH($A462,DKW_10Y!$A$2:$A$2918,1))-INDEX(DKW_10Y!$D$2:$D$2918,MATCH(Settings!$B$16,DKW_10Y!$A$2:$A$2918,1)))*100))</f>
        <v/>
      </c>
      <c r="AA462" s="19">
        <f>IF(NOT(ISNUMBER($A462)),NA(),IF(OR($A462&lt;MIN(DKW_10Y!$A$2:$A$2918),$A462&gt;MAX(DKW_10Y!$A$2:$A$2918),Settings!$B$16&lt;MIN(DKW_10Y!$A$2:$A$2918)),NA(),(INDEX(DKW_10Y!$E$2:$E$2918,MATCH($A462,DKW_10Y!$A$2:$A$2918,1))-INDEX(DKW_10Y!$E$2:$E$2918,MATCH(Settings!$B$16,DKW_10Y!$A$2:$A$2918,1)))*100))</f>
        <v/>
      </c>
      <c r="AB462" s="19">
        <f>IF(NOT(ISNUMBER($A462)),NA(),IF(OR($A462&lt;MIN(DKW_10Y!$A$2:$A$2918),$A462&gt;MAX(DKW_10Y!$A$2:$A$2918),Settings!$B$16&lt;MIN(DKW_10Y!$A$2:$A$2918)),NA(),(INDEX(DKW_10Y!$H$2:$H$2918,MATCH($A462,DKW_10Y!$A$2:$A$2918,1))-INDEX(DKW_10Y!$H$2:$H$2918,MATCH(Settings!$B$16,DKW_10Y!$A$2:$A$2918,1)))*100))</f>
        <v/>
      </c>
      <c r="AC462" s="18">
        <f>IF(NOT(ISNUMBER($A462)),NA(),IFERROR(1*INDEX(BBG_Data!$N$2:$N$4000,MATCH($A462,BBG_Data!$M$2:$M$4000,0)),NA()))</f>
        <v/>
      </c>
      <c r="AD462" s="18">
        <f>IF(NOT(ISNUMBER($A462)),NA(),IFERROR(1*INDEX(BBG_Data!$P$2:$P$4000,MATCH($A462,BBG_Data!$O$2:$O$4000,0)),NA()))</f>
        <v/>
      </c>
      <c r="AE462" s="18">
        <f>IF(NOT(ISNUMBER($A462)),NA(),IFERROR(1*INDEX(BBG_Data!$R$2:$R$4000,MATCH($A462,BBG_Data!$Q$2:$Q$4000,0)),NA()))</f>
        <v/>
      </c>
      <c r="AF462" s="20">
        <f>IF(AND(ISNUMBER(B462),ISNUMBER(AC462)),(B462-AC462)*100,NA())</f>
        <v/>
      </c>
      <c r="AG462" s="20">
        <f>IF(AND(ISNUMBER(AE462),ISNUMBER(AD462)),(AE462-AD462)*100,NA())</f>
        <v/>
      </c>
      <c r="AH462" s="19">
        <f>IF(NOT(ISNUMBER($A462)),NA(),IFERROR(INDEX(BBG_Data!$T$2:$T$4000,MATCH($A462,BBG_Data!$S$2:$S$4000,0))*Settings!$B$25,NA()))</f>
        <v/>
      </c>
      <c r="AI462" s="19">
        <f>IF(NOT(ISNUMBER($A462)),NA(),IFERROR(INDEX(BBG_Data!$V$2:$V$4000,MATCH($A462,BBG_Data!$U$2:$U$4000,0))*Settings!$B$25,NA()))</f>
        <v/>
      </c>
      <c r="AJ462" s="19">
        <f>IF(NOT(ISNUMBER($A462)),NA(),IFERROR(1*INDEX(BBG_Data!$X$2:$X$4000,MATCH($A462,BBG_Data!$W$2:$W$4000,0)),NA()))</f>
        <v/>
      </c>
      <c r="AK462" s="19">
        <f>IF(NOT(ISNUMBER($A462)),NA(),IFERROR(1*INDEX(BBG_Data!$Z$2:$Z$4000,MATCH($A462,BBG_Data!$Y$2:$Y$4000,0)),NA()))</f>
        <v/>
      </c>
    </row>
    <row r="463">
      <c r="A463" s="17">
        <f>IF(ISNUMBER(BBG_Data!A463),BBG_Data!A463,"")</f>
        <v/>
      </c>
      <c r="B463" s="18">
        <f>IF(AND(ISNUMBER($A463),ISNUMBER(BBG_Data!B463)),BBG_Data!B463,NA())</f>
        <v/>
      </c>
      <c r="C463" s="18">
        <f>IF(NOT(ISNUMBER($A463)),NA(),IFERROR(1*INDEX(BBG_Data!$D$2:$D$4000,MATCH($A463,BBG_Data!$C$2:$C$4000,0)),NA()))</f>
        <v/>
      </c>
      <c r="D463" s="19">
        <f>IF(NOT(ISNUMBER($A463)),NA(),IFERROR(1*INDEX(BBG_Data!$F$2:$F$4000,MATCH($A463,BBG_Data!$E$2:$E$4000,0)),NA()))</f>
        <v/>
      </c>
      <c r="E463" s="19">
        <f>IF(NOT(ISNUMBER($A463)),NA(),IFERROR(1*INDEX(BBG_Data!$H$2:$H$4000,MATCH($A463,BBG_Data!$G$2:$G$4000,0)),NA()))</f>
        <v/>
      </c>
      <c r="F463" s="20">
        <f>IF(AND(ISNUMBER(B463),ISNUMBER(B462)),IF(B463=B462,"",(B463-B462)*100),"")</f>
        <v/>
      </c>
      <c r="G463" s="20">
        <f>IF(AND(ISNUMBER(C463),ISNUMBER(C462)),IF(C463=C462,"",(C463-C462)*100),"")</f>
        <v/>
      </c>
      <c r="H463" s="20">
        <f>IF(OR(NOT(ISNUMBER($A463)),ROW()-2&lt;Settings!$B$11),NA(),IF(COUNT(OFFSET(F463,1-Settings!$B$11,0,Settings!$B$11,1))&lt;ROUNDUP(Settings!$B$11*Settings!$B$26,0),NA(),STDEV(OFFSET(F463,1-Settings!$B$11,0,Settings!$B$11,1))*SQRT(Settings!$B$13)))</f>
        <v/>
      </c>
      <c r="I463" s="20">
        <f>IF(OR(NOT(ISNUMBER($A463)),ROW()-2&lt;Settings!$B$12),NA(),IF(COUNT(OFFSET(F463,1-Settings!$B$12,0,Settings!$B$12,1))&lt;ROUNDUP(Settings!$B$12*Settings!$B$26,0),NA(),STDEV(OFFSET(F463,1-Settings!$B$12,0,Settings!$B$12,1))*SQRT(Settings!$B$13)))</f>
        <v/>
      </c>
      <c r="J463" s="20">
        <f>IF(OR(NOT(ISNUMBER($A463)),ROW()-2&lt;Settings!$B$11),NA(),IF(COUNT(OFFSET(G463,1-Settings!$B$11,0,Settings!$B$11,1))&lt;ROUNDUP(Settings!$B$11*Settings!$B$26,0),NA(),STDEV(OFFSET(G463,1-Settings!$B$11,0,Settings!$B$11,1))*SQRT(Settings!$B$13)))</f>
        <v/>
      </c>
      <c r="K463" s="20">
        <f>IF(OR(NOT(ISNUMBER($A463)),ROW()-2&lt;Settings!$B$12),NA(),IF(COUNT(OFFSET(G463,1-Settings!$B$12,0,Settings!$B$12,1))&lt;ROUNDUP(Settings!$B$12*Settings!$B$26,0),NA(),STDEV(OFFSET(G463,1-Settings!$B$12,0,Settings!$B$12,1))*SQRT(Settings!$B$13)))</f>
        <v/>
      </c>
      <c r="L463" s="20">
        <f>IF(AND(ISNUMBER(D463),ISNUMBER(H463)),D463-H463,NA())</f>
        <v/>
      </c>
      <c r="M463" s="20">
        <f>IF(AND(ISNUMBER(E463),ISNUMBER(K463)),E463-K463,NA())</f>
        <v/>
      </c>
      <c r="N463" s="20">
        <f>IF(NOT(ISNUMBER($A463)),NA(),IF(COUNT(OFFSET(G463,1,0,Settings!$B$12,1))&lt;ROUNDUP(Settings!$B$12*Settings!$B$26,0),NA(),STDEV(OFFSET(G463,1,0,Settings!$B$12,1))*SQRT(Settings!$B$13)))</f>
        <v/>
      </c>
      <c r="O463" s="20">
        <f>IF(AND(ISNUMBER(E463),ISNUMBER(N463)),E463-N463,NA())</f>
        <v/>
      </c>
      <c r="P463" s="19">
        <f>IF(NOT(ISNUMBER($A463)),NA(),IF(OR($A463&lt;MIN(KW_TP!$A$2:$A$2501),$A463&gt;MAX(KW_TP!$A$2:$A$2501)),NA(),INDEX(KW_TP!$C$2:$C$2501,MATCH($A463,KW_TP!$A$2:$A$2501,1))))</f>
        <v/>
      </c>
      <c r="Q463" s="18">
        <f>IF(NOT(ISNUMBER($A463)),NA(),IFERROR(1*INDEX(BBG_Data!$J$2:$J$4000,MATCH($A463,BBG_Data!$I$2:$I$4000,0)),NA()))</f>
        <v/>
      </c>
      <c r="R463" s="18">
        <f>IF(NOT(ISNUMBER($A463)),NA(),IFERROR(1*INDEX(BBG_Data!$L$2:$L$4000,MATCH($A463,BBG_Data!$K$2:$K$4000,0)),NA()))</f>
        <v/>
      </c>
      <c r="S463" s="20">
        <f>IF(AND(ISNUMBER(B463),ISNUMBER(Q463),ISNUMBER(R463)),(B463-Q463-R463)*100,NA())</f>
        <v/>
      </c>
      <c r="T463" s="20">
        <f>IF(AND(ISNUMBER(B463),Settings!$B$17&gt;0),IF(ISNUMBER(INDEX($B:$B,Settings!$B$17)),(B463-INDEX($B:$B,Settings!$B$17))*100,NA()),NA())</f>
        <v/>
      </c>
      <c r="U463" s="20">
        <f>IF(AND(ISNUMBER(Q463),Settings!$B$17&gt;0),IF(ISNUMBER(INDEX($Q:$Q,Settings!$B$17)),(Q463-INDEX($Q:$Q,Settings!$B$17))*100,NA()),NA())</f>
        <v/>
      </c>
      <c r="V463" s="20">
        <f>IF(AND(ISNUMBER(R463),Settings!$B$17&gt;0),IF(ISNUMBER(INDEX($R:$R,Settings!$B$17)),(R463-INDEX($R:$R,Settings!$B$17))*100,NA()),NA())</f>
        <v/>
      </c>
      <c r="W463" s="20">
        <f>IF(AND(ISNUMBER(P463),Settings!$B$17&gt;0),IF(ISNUMBER(INDEX($P:$P,Settings!$B$17)),P463-INDEX($P:$P,Settings!$B$17),NA()),NA())</f>
        <v/>
      </c>
      <c r="X463" s="19">
        <f>IF(NOT(ISNUMBER($A463)),NA(),IF(OR($A463&lt;MIN(DKW_10Y!$A$2:$A$2918),$A463&gt;MAX(DKW_10Y!$A$2:$A$2918),Settings!$B$16&lt;MIN(DKW_10Y!$A$2:$A$2918)),NA(),(INDEX(DKW_10Y!$B$2:$B$2918,MATCH($A463,DKW_10Y!$A$2:$A$2918,1))-INDEX(DKW_10Y!$B$2:$B$2918,MATCH(Settings!$B$16,DKW_10Y!$A$2:$A$2918,1)))*100))</f>
        <v/>
      </c>
      <c r="Y463" s="19">
        <f>IF(NOT(ISNUMBER($A463)),NA(),IF(OR($A463&lt;MIN(DKW_10Y!$A$2:$A$2918),$A463&gt;MAX(DKW_10Y!$A$2:$A$2918),Settings!$B$16&lt;MIN(DKW_10Y!$A$2:$A$2918)),NA(),(INDEX(DKW_10Y!$C$2:$C$2918,MATCH($A463,DKW_10Y!$A$2:$A$2918,1))-INDEX(DKW_10Y!$C$2:$C$2918,MATCH(Settings!$B$16,DKW_10Y!$A$2:$A$2918,1)))*100))</f>
        <v/>
      </c>
      <c r="Z463" s="19">
        <f>IF(NOT(ISNUMBER($A463)),NA(),IF(OR($A463&lt;MIN(DKW_10Y!$A$2:$A$2918),$A463&gt;MAX(DKW_10Y!$A$2:$A$2918),Settings!$B$16&lt;MIN(DKW_10Y!$A$2:$A$2918)),NA(),(INDEX(DKW_10Y!$D$2:$D$2918,MATCH($A463,DKW_10Y!$A$2:$A$2918,1))-INDEX(DKW_10Y!$D$2:$D$2918,MATCH(Settings!$B$16,DKW_10Y!$A$2:$A$2918,1)))*100))</f>
        <v/>
      </c>
      <c r="AA463" s="19">
        <f>IF(NOT(ISNUMBER($A463)),NA(),IF(OR($A463&lt;MIN(DKW_10Y!$A$2:$A$2918),$A463&gt;MAX(DKW_10Y!$A$2:$A$2918),Settings!$B$16&lt;MIN(DKW_10Y!$A$2:$A$2918)),NA(),(INDEX(DKW_10Y!$E$2:$E$2918,MATCH($A463,DKW_10Y!$A$2:$A$2918,1))-INDEX(DKW_10Y!$E$2:$E$2918,MATCH(Settings!$B$16,DKW_10Y!$A$2:$A$2918,1)))*100))</f>
        <v/>
      </c>
      <c r="AB463" s="19">
        <f>IF(NOT(ISNUMBER($A463)),NA(),IF(OR($A463&lt;MIN(DKW_10Y!$A$2:$A$2918),$A463&gt;MAX(DKW_10Y!$A$2:$A$2918),Settings!$B$16&lt;MIN(DKW_10Y!$A$2:$A$2918)),NA(),(INDEX(DKW_10Y!$H$2:$H$2918,MATCH($A463,DKW_10Y!$A$2:$A$2918,1))-INDEX(DKW_10Y!$H$2:$H$2918,MATCH(Settings!$B$16,DKW_10Y!$A$2:$A$2918,1)))*100))</f>
        <v/>
      </c>
      <c r="AC463" s="18">
        <f>IF(NOT(ISNUMBER($A463)),NA(),IFERROR(1*INDEX(BBG_Data!$N$2:$N$4000,MATCH($A463,BBG_Data!$M$2:$M$4000,0)),NA()))</f>
        <v/>
      </c>
      <c r="AD463" s="18">
        <f>IF(NOT(ISNUMBER($A463)),NA(),IFERROR(1*INDEX(BBG_Data!$P$2:$P$4000,MATCH($A463,BBG_Data!$O$2:$O$4000,0)),NA()))</f>
        <v/>
      </c>
      <c r="AE463" s="18">
        <f>IF(NOT(ISNUMBER($A463)),NA(),IFERROR(1*INDEX(BBG_Data!$R$2:$R$4000,MATCH($A463,BBG_Data!$Q$2:$Q$4000,0)),NA()))</f>
        <v/>
      </c>
      <c r="AF463" s="20">
        <f>IF(AND(ISNUMBER(B463),ISNUMBER(AC463)),(B463-AC463)*100,NA())</f>
        <v/>
      </c>
      <c r="AG463" s="20">
        <f>IF(AND(ISNUMBER(AE463),ISNUMBER(AD463)),(AE463-AD463)*100,NA())</f>
        <v/>
      </c>
      <c r="AH463" s="19">
        <f>IF(NOT(ISNUMBER($A463)),NA(),IFERROR(INDEX(BBG_Data!$T$2:$T$4000,MATCH($A463,BBG_Data!$S$2:$S$4000,0))*Settings!$B$25,NA()))</f>
        <v/>
      </c>
      <c r="AI463" s="19">
        <f>IF(NOT(ISNUMBER($A463)),NA(),IFERROR(INDEX(BBG_Data!$V$2:$V$4000,MATCH($A463,BBG_Data!$U$2:$U$4000,0))*Settings!$B$25,NA()))</f>
        <v/>
      </c>
      <c r="AJ463" s="19">
        <f>IF(NOT(ISNUMBER($A463)),NA(),IFERROR(1*INDEX(BBG_Data!$X$2:$X$4000,MATCH($A463,BBG_Data!$W$2:$W$4000,0)),NA()))</f>
        <v/>
      </c>
      <c r="AK463" s="19">
        <f>IF(NOT(ISNUMBER($A463)),NA(),IFERROR(1*INDEX(BBG_Data!$Z$2:$Z$4000,MATCH($A463,BBG_Data!$Y$2:$Y$4000,0)),NA()))</f>
        <v/>
      </c>
    </row>
    <row r="464">
      <c r="A464" s="17">
        <f>IF(ISNUMBER(BBG_Data!A464),BBG_Data!A464,"")</f>
        <v/>
      </c>
      <c r="B464" s="18">
        <f>IF(AND(ISNUMBER($A464),ISNUMBER(BBG_Data!B464)),BBG_Data!B464,NA())</f>
        <v/>
      </c>
      <c r="C464" s="18">
        <f>IF(NOT(ISNUMBER($A464)),NA(),IFERROR(1*INDEX(BBG_Data!$D$2:$D$4000,MATCH($A464,BBG_Data!$C$2:$C$4000,0)),NA()))</f>
        <v/>
      </c>
      <c r="D464" s="19">
        <f>IF(NOT(ISNUMBER($A464)),NA(),IFERROR(1*INDEX(BBG_Data!$F$2:$F$4000,MATCH($A464,BBG_Data!$E$2:$E$4000,0)),NA()))</f>
        <v/>
      </c>
      <c r="E464" s="19">
        <f>IF(NOT(ISNUMBER($A464)),NA(),IFERROR(1*INDEX(BBG_Data!$H$2:$H$4000,MATCH($A464,BBG_Data!$G$2:$G$4000,0)),NA()))</f>
        <v/>
      </c>
      <c r="F464" s="20">
        <f>IF(AND(ISNUMBER(B464),ISNUMBER(B463)),IF(B464=B463,"",(B464-B463)*100),"")</f>
        <v/>
      </c>
      <c r="G464" s="20">
        <f>IF(AND(ISNUMBER(C464),ISNUMBER(C463)),IF(C464=C463,"",(C464-C463)*100),"")</f>
        <v/>
      </c>
      <c r="H464" s="20">
        <f>IF(OR(NOT(ISNUMBER($A464)),ROW()-2&lt;Settings!$B$11),NA(),IF(COUNT(OFFSET(F464,1-Settings!$B$11,0,Settings!$B$11,1))&lt;ROUNDUP(Settings!$B$11*Settings!$B$26,0),NA(),STDEV(OFFSET(F464,1-Settings!$B$11,0,Settings!$B$11,1))*SQRT(Settings!$B$13)))</f>
        <v/>
      </c>
      <c r="I464" s="20">
        <f>IF(OR(NOT(ISNUMBER($A464)),ROW()-2&lt;Settings!$B$12),NA(),IF(COUNT(OFFSET(F464,1-Settings!$B$12,0,Settings!$B$12,1))&lt;ROUNDUP(Settings!$B$12*Settings!$B$26,0),NA(),STDEV(OFFSET(F464,1-Settings!$B$12,0,Settings!$B$12,1))*SQRT(Settings!$B$13)))</f>
        <v/>
      </c>
      <c r="J464" s="20">
        <f>IF(OR(NOT(ISNUMBER($A464)),ROW()-2&lt;Settings!$B$11),NA(),IF(COUNT(OFFSET(G464,1-Settings!$B$11,0,Settings!$B$11,1))&lt;ROUNDUP(Settings!$B$11*Settings!$B$26,0),NA(),STDEV(OFFSET(G464,1-Settings!$B$11,0,Settings!$B$11,1))*SQRT(Settings!$B$13)))</f>
        <v/>
      </c>
      <c r="K464" s="20">
        <f>IF(OR(NOT(ISNUMBER($A464)),ROW()-2&lt;Settings!$B$12),NA(),IF(COUNT(OFFSET(G464,1-Settings!$B$12,0,Settings!$B$12,1))&lt;ROUNDUP(Settings!$B$12*Settings!$B$26,0),NA(),STDEV(OFFSET(G464,1-Settings!$B$12,0,Settings!$B$12,1))*SQRT(Settings!$B$13)))</f>
        <v/>
      </c>
      <c r="L464" s="20">
        <f>IF(AND(ISNUMBER(D464),ISNUMBER(H464)),D464-H464,NA())</f>
        <v/>
      </c>
      <c r="M464" s="20">
        <f>IF(AND(ISNUMBER(E464),ISNUMBER(K464)),E464-K464,NA())</f>
        <v/>
      </c>
      <c r="N464" s="20">
        <f>IF(NOT(ISNUMBER($A464)),NA(),IF(COUNT(OFFSET(G464,1,0,Settings!$B$12,1))&lt;ROUNDUP(Settings!$B$12*Settings!$B$26,0),NA(),STDEV(OFFSET(G464,1,0,Settings!$B$12,1))*SQRT(Settings!$B$13)))</f>
        <v/>
      </c>
      <c r="O464" s="20">
        <f>IF(AND(ISNUMBER(E464),ISNUMBER(N464)),E464-N464,NA())</f>
        <v/>
      </c>
      <c r="P464" s="19">
        <f>IF(NOT(ISNUMBER($A464)),NA(),IF(OR($A464&lt;MIN(KW_TP!$A$2:$A$2501),$A464&gt;MAX(KW_TP!$A$2:$A$2501)),NA(),INDEX(KW_TP!$C$2:$C$2501,MATCH($A464,KW_TP!$A$2:$A$2501,1))))</f>
        <v/>
      </c>
      <c r="Q464" s="18">
        <f>IF(NOT(ISNUMBER($A464)),NA(),IFERROR(1*INDEX(BBG_Data!$J$2:$J$4000,MATCH($A464,BBG_Data!$I$2:$I$4000,0)),NA()))</f>
        <v/>
      </c>
      <c r="R464" s="18">
        <f>IF(NOT(ISNUMBER($A464)),NA(),IFERROR(1*INDEX(BBG_Data!$L$2:$L$4000,MATCH($A464,BBG_Data!$K$2:$K$4000,0)),NA()))</f>
        <v/>
      </c>
      <c r="S464" s="20">
        <f>IF(AND(ISNUMBER(B464),ISNUMBER(Q464),ISNUMBER(R464)),(B464-Q464-R464)*100,NA())</f>
        <v/>
      </c>
      <c r="T464" s="20">
        <f>IF(AND(ISNUMBER(B464),Settings!$B$17&gt;0),IF(ISNUMBER(INDEX($B:$B,Settings!$B$17)),(B464-INDEX($B:$B,Settings!$B$17))*100,NA()),NA())</f>
        <v/>
      </c>
      <c r="U464" s="20">
        <f>IF(AND(ISNUMBER(Q464),Settings!$B$17&gt;0),IF(ISNUMBER(INDEX($Q:$Q,Settings!$B$17)),(Q464-INDEX($Q:$Q,Settings!$B$17))*100,NA()),NA())</f>
        <v/>
      </c>
      <c r="V464" s="20">
        <f>IF(AND(ISNUMBER(R464),Settings!$B$17&gt;0),IF(ISNUMBER(INDEX($R:$R,Settings!$B$17)),(R464-INDEX($R:$R,Settings!$B$17))*100,NA()),NA())</f>
        <v/>
      </c>
      <c r="W464" s="20">
        <f>IF(AND(ISNUMBER(P464),Settings!$B$17&gt;0),IF(ISNUMBER(INDEX($P:$P,Settings!$B$17)),P464-INDEX($P:$P,Settings!$B$17),NA()),NA())</f>
        <v/>
      </c>
      <c r="X464" s="19">
        <f>IF(NOT(ISNUMBER($A464)),NA(),IF(OR($A464&lt;MIN(DKW_10Y!$A$2:$A$2918),$A464&gt;MAX(DKW_10Y!$A$2:$A$2918),Settings!$B$16&lt;MIN(DKW_10Y!$A$2:$A$2918)),NA(),(INDEX(DKW_10Y!$B$2:$B$2918,MATCH($A464,DKW_10Y!$A$2:$A$2918,1))-INDEX(DKW_10Y!$B$2:$B$2918,MATCH(Settings!$B$16,DKW_10Y!$A$2:$A$2918,1)))*100))</f>
        <v/>
      </c>
      <c r="Y464" s="19">
        <f>IF(NOT(ISNUMBER($A464)),NA(),IF(OR($A464&lt;MIN(DKW_10Y!$A$2:$A$2918),$A464&gt;MAX(DKW_10Y!$A$2:$A$2918),Settings!$B$16&lt;MIN(DKW_10Y!$A$2:$A$2918)),NA(),(INDEX(DKW_10Y!$C$2:$C$2918,MATCH($A464,DKW_10Y!$A$2:$A$2918,1))-INDEX(DKW_10Y!$C$2:$C$2918,MATCH(Settings!$B$16,DKW_10Y!$A$2:$A$2918,1)))*100))</f>
        <v/>
      </c>
      <c r="Z464" s="19">
        <f>IF(NOT(ISNUMBER($A464)),NA(),IF(OR($A464&lt;MIN(DKW_10Y!$A$2:$A$2918),$A464&gt;MAX(DKW_10Y!$A$2:$A$2918),Settings!$B$16&lt;MIN(DKW_10Y!$A$2:$A$2918)),NA(),(INDEX(DKW_10Y!$D$2:$D$2918,MATCH($A464,DKW_10Y!$A$2:$A$2918,1))-INDEX(DKW_10Y!$D$2:$D$2918,MATCH(Settings!$B$16,DKW_10Y!$A$2:$A$2918,1)))*100))</f>
        <v/>
      </c>
      <c r="AA464" s="19">
        <f>IF(NOT(ISNUMBER($A464)),NA(),IF(OR($A464&lt;MIN(DKW_10Y!$A$2:$A$2918),$A464&gt;MAX(DKW_10Y!$A$2:$A$2918),Settings!$B$16&lt;MIN(DKW_10Y!$A$2:$A$2918)),NA(),(INDEX(DKW_10Y!$E$2:$E$2918,MATCH($A464,DKW_10Y!$A$2:$A$2918,1))-INDEX(DKW_10Y!$E$2:$E$2918,MATCH(Settings!$B$16,DKW_10Y!$A$2:$A$2918,1)))*100))</f>
        <v/>
      </c>
      <c r="AB464" s="19">
        <f>IF(NOT(ISNUMBER($A464)),NA(),IF(OR($A464&lt;MIN(DKW_10Y!$A$2:$A$2918),$A464&gt;MAX(DKW_10Y!$A$2:$A$2918),Settings!$B$16&lt;MIN(DKW_10Y!$A$2:$A$2918)),NA(),(INDEX(DKW_10Y!$H$2:$H$2918,MATCH($A464,DKW_10Y!$A$2:$A$2918,1))-INDEX(DKW_10Y!$H$2:$H$2918,MATCH(Settings!$B$16,DKW_10Y!$A$2:$A$2918,1)))*100))</f>
        <v/>
      </c>
      <c r="AC464" s="18">
        <f>IF(NOT(ISNUMBER($A464)),NA(),IFERROR(1*INDEX(BBG_Data!$N$2:$N$4000,MATCH($A464,BBG_Data!$M$2:$M$4000,0)),NA()))</f>
        <v/>
      </c>
      <c r="AD464" s="18">
        <f>IF(NOT(ISNUMBER($A464)),NA(),IFERROR(1*INDEX(BBG_Data!$P$2:$P$4000,MATCH($A464,BBG_Data!$O$2:$O$4000,0)),NA()))</f>
        <v/>
      </c>
      <c r="AE464" s="18">
        <f>IF(NOT(ISNUMBER($A464)),NA(),IFERROR(1*INDEX(BBG_Data!$R$2:$R$4000,MATCH($A464,BBG_Data!$Q$2:$Q$4000,0)),NA()))</f>
        <v/>
      </c>
      <c r="AF464" s="20">
        <f>IF(AND(ISNUMBER(B464),ISNUMBER(AC464)),(B464-AC464)*100,NA())</f>
        <v/>
      </c>
      <c r="AG464" s="20">
        <f>IF(AND(ISNUMBER(AE464),ISNUMBER(AD464)),(AE464-AD464)*100,NA())</f>
        <v/>
      </c>
      <c r="AH464" s="19">
        <f>IF(NOT(ISNUMBER($A464)),NA(),IFERROR(INDEX(BBG_Data!$T$2:$T$4000,MATCH($A464,BBG_Data!$S$2:$S$4000,0))*Settings!$B$25,NA()))</f>
        <v/>
      </c>
      <c r="AI464" s="19">
        <f>IF(NOT(ISNUMBER($A464)),NA(),IFERROR(INDEX(BBG_Data!$V$2:$V$4000,MATCH($A464,BBG_Data!$U$2:$U$4000,0))*Settings!$B$25,NA()))</f>
        <v/>
      </c>
      <c r="AJ464" s="19">
        <f>IF(NOT(ISNUMBER($A464)),NA(),IFERROR(1*INDEX(BBG_Data!$X$2:$X$4000,MATCH($A464,BBG_Data!$W$2:$W$4000,0)),NA()))</f>
        <v/>
      </c>
      <c r="AK464" s="19">
        <f>IF(NOT(ISNUMBER($A464)),NA(),IFERROR(1*INDEX(BBG_Data!$Z$2:$Z$4000,MATCH($A464,BBG_Data!$Y$2:$Y$4000,0)),NA()))</f>
        <v/>
      </c>
    </row>
    <row r="465">
      <c r="A465" s="17">
        <f>IF(ISNUMBER(BBG_Data!A465),BBG_Data!A465,"")</f>
        <v/>
      </c>
      <c r="B465" s="18">
        <f>IF(AND(ISNUMBER($A465),ISNUMBER(BBG_Data!B465)),BBG_Data!B465,NA())</f>
        <v/>
      </c>
      <c r="C465" s="18">
        <f>IF(NOT(ISNUMBER($A465)),NA(),IFERROR(1*INDEX(BBG_Data!$D$2:$D$4000,MATCH($A465,BBG_Data!$C$2:$C$4000,0)),NA()))</f>
        <v/>
      </c>
      <c r="D465" s="19">
        <f>IF(NOT(ISNUMBER($A465)),NA(),IFERROR(1*INDEX(BBG_Data!$F$2:$F$4000,MATCH($A465,BBG_Data!$E$2:$E$4000,0)),NA()))</f>
        <v/>
      </c>
      <c r="E465" s="19">
        <f>IF(NOT(ISNUMBER($A465)),NA(),IFERROR(1*INDEX(BBG_Data!$H$2:$H$4000,MATCH($A465,BBG_Data!$G$2:$G$4000,0)),NA()))</f>
        <v/>
      </c>
      <c r="F465" s="20">
        <f>IF(AND(ISNUMBER(B465),ISNUMBER(B464)),IF(B465=B464,"",(B465-B464)*100),"")</f>
        <v/>
      </c>
      <c r="G465" s="20">
        <f>IF(AND(ISNUMBER(C465),ISNUMBER(C464)),IF(C465=C464,"",(C465-C464)*100),"")</f>
        <v/>
      </c>
      <c r="H465" s="20">
        <f>IF(OR(NOT(ISNUMBER($A465)),ROW()-2&lt;Settings!$B$11),NA(),IF(COUNT(OFFSET(F465,1-Settings!$B$11,0,Settings!$B$11,1))&lt;ROUNDUP(Settings!$B$11*Settings!$B$26,0),NA(),STDEV(OFFSET(F465,1-Settings!$B$11,0,Settings!$B$11,1))*SQRT(Settings!$B$13)))</f>
        <v/>
      </c>
      <c r="I465" s="20">
        <f>IF(OR(NOT(ISNUMBER($A465)),ROW()-2&lt;Settings!$B$12),NA(),IF(COUNT(OFFSET(F465,1-Settings!$B$12,0,Settings!$B$12,1))&lt;ROUNDUP(Settings!$B$12*Settings!$B$26,0),NA(),STDEV(OFFSET(F465,1-Settings!$B$12,0,Settings!$B$12,1))*SQRT(Settings!$B$13)))</f>
        <v/>
      </c>
      <c r="J465" s="20">
        <f>IF(OR(NOT(ISNUMBER($A465)),ROW()-2&lt;Settings!$B$11),NA(),IF(COUNT(OFFSET(G465,1-Settings!$B$11,0,Settings!$B$11,1))&lt;ROUNDUP(Settings!$B$11*Settings!$B$26,0),NA(),STDEV(OFFSET(G465,1-Settings!$B$11,0,Settings!$B$11,1))*SQRT(Settings!$B$13)))</f>
        <v/>
      </c>
      <c r="K465" s="20">
        <f>IF(OR(NOT(ISNUMBER($A465)),ROW()-2&lt;Settings!$B$12),NA(),IF(COUNT(OFFSET(G465,1-Settings!$B$12,0,Settings!$B$12,1))&lt;ROUNDUP(Settings!$B$12*Settings!$B$26,0),NA(),STDEV(OFFSET(G465,1-Settings!$B$12,0,Settings!$B$12,1))*SQRT(Settings!$B$13)))</f>
        <v/>
      </c>
      <c r="L465" s="20">
        <f>IF(AND(ISNUMBER(D465),ISNUMBER(H465)),D465-H465,NA())</f>
        <v/>
      </c>
      <c r="M465" s="20">
        <f>IF(AND(ISNUMBER(E465),ISNUMBER(K465)),E465-K465,NA())</f>
        <v/>
      </c>
      <c r="N465" s="20">
        <f>IF(NOT(ISNUMBER($A465)),NA(),IF(COUNT(OFFSET(G465,1,0,Settings!$B$12,1))&lt;ROUNDUP(Settings!$B$12*Settings!$B$26,0),NA(),STDEV(OFFSET(G465,1,0,Settings!$B$12,1))*SQRT(Settings!$B$13)))</f>
        <v/>
      </c>
      <c r="O465" s="20">
        <f>IF(AND(ISNUMBER(E465),ISNUMBER(N465)),E465-N465,NA())</f>
        <v/>
      </c>
      <c r="P465" s="19">
        <f>IF(NOT(ISNUMBER($A465)),NA(),IF(OR($A465&lt;MIN(KW_TP!$A$2:$A$2501),$A465&gt;MAX(KW_TP!$A$2:$A$2501)),NA(),INDEX(KW_TP!$C$2:$C$2501,MATCH($A465,KW_TP!$A$2:$A$2501,1))))</f>
        <v/>
      </c>
      <c r="Q465" s="18">
        <f>IF(NOT(ISNUMBER($A465)),NA(),IFERROR(1*INDEX(BBG_Data!$J$2:$J$4000,MATCH($A465,BBG_Data!$I$2:$I$4000,0)),NA()))</f>
        <v/>
      </c>
      <c r="R465" s="18">
        <f>IF(NOT(ISNUMBER($A465)),NA(),IFERROR(1*INDEX(BBG_Data!$L$2:$L$4000,MATCH($A465,BBG_Data!$K$2:$K$4000,0)),NA()))</f>
        <v/>
      </c>
      <c r="S465" s="20">
        <f>IF(AND(ISNUMBER(B465),ISNUMBER(Q465),ISNUMBER(R465)),(B465-Q465-R465)*100,NA())</f>
        <v/>
      </c>
      <c r="T465" s="20">
        <f>IF(AND(ISNUMBER(B465),Settings!$B$17&gt;0),IF(ISNUMBER(INDEX($B:$B,Settings!$B$17)),(B465-INDEX($B:$B,Settings!$B$17))*100,NA()),NA())</f>
        <v/>
      </c>
      <c r="U465" s="20">
        <f>IF(AND(ISNUMBER(Q465),Settings!$B$17&gt;0),IF(ISNUMBER(INDEX($Q:$Q,Settings!$B$17)),(Q465-INDEX($Q:$Q,Settings!$B$17))*100,NA()),NA())</f>
        <v/>
      </c>
      <c r="V465" s="20">
        <f>IF(AND(ISNUMBER(R465),Settings!$B$17&gt;0),IF(ISNUMBER(INDEX($R:$R,Settings!$B$17)),(R465-INDEX($R:$R,Settings!$B$17))*100,NA()),NA())</f>
        <v/>
      </c>
      <c r="W465" s="20">
        <f>IF(AND(ISNUMBER(P465),Settings!$B$17&gt;0),IF(ISNUMBER(INDEX($P:$P,Settings!$B$17)),P465-INDEX($P:$P,Settings!$B$17),NA()),NA())</f>
        <v/>
      </c>
      <c r="X465" s="19">
        <f>IF(NOT(ISNUMBER($A465)),NA(),IF(OR($A465&lt;MIN(DKW_10Y!$A$2:$A$2918),$A465&gt;MAX(DKW_10Y!$A$2:$A$2918),Settings!$B$16&lt;MIN(DKW_10Y!$A$2:$A$2918)),NA(),(INDEX(DKW_10Y!$B$2:$B$2918,MATCH($A465,DKW_10Y!$A$2:$A$2918,1))-INDEX(DKW_10Y!$B$2:$B$2918,MATCH(Settings!$B$16,DKW_10Y!$A$2:$A$2918,1)))*100))</f>
        <v/>
      </c>
      <c r="Y465" s="19">
        <f>IF(NOT(ISNUMBER($A465)),NA(),IF(OR($A465&lt;MIN(DKW_10Y!$A$2:$A$2918),$A465&gt;MAX(DKW_10Y!$A$2:$A$2918),Settings!$B$16&lt;MIN(DKW_10Y!$A$2:$A$2918)),NA(),(INDEX(DKW_10Y!$C$2:$C$2918,MATCH($A465,DKW_10Y!$A$2:$A$2918,1))-INDEX(DKW_10Y!$C$2:$C$2918,MATCH(Settings!$B$16,DKW_10Y!$A$2:$A$2918,1)))*100))</f>
        <v/>
      </c>
      <c r="Z465" s="19">
        <f>IF(NOT(ISNUMBER($A465)),NA(),IF(OR($A465&lt;MIN(DKW_10Y!$A$2:$A$2918),$A465&gt;MAX(DKW_10Y!$A$2:$A$2918),Settings!$B$16&lt;MIN(DKW_10Y!$A$2:$A$2918)),NA(),(INDEX(DKW_10Y!$D$2:$D$2918,MATCH($A465,DKW_10Y!$A$2:$A$2918,1))-INDEX(DKW_10Y!$D$2:$D$2918,MATCH(Settings!$B$16,DKW_10Y!$A$2:$A$2918,1)))*100))</f>
        <v/>
      </c>
      <c r="AA465" s="19">
        <f>IF(NOT(ISNUMBER($A465)),NA(),IF(OR($A465&lt;MIN(DKW_10Y!$A$2:$A$2918),$A465&gt;MAX(DKW_10Y!$A$2:$A$2918),Settings!$B$16&lt;MIN(DKW_10Y!$A$2:$A$2918)),NA(),(INDEX(DKW_10Y!$E$2:$E$2918,MATCH($A465,DKW_10Y!$A$2:$A$2918,1))-INDEX(DKW_10Y!$E$2:$E$2918,MATCH(Settings!$B$16,DKW_10Y!$A$2:$A$2918,1)))*100))</f>
        <v/>
      </c>
      <c r="AB465" s="19">
        <f>IF(NOT(ISNUMBER($A465)),NA(),IF(OR($A465&lt;MIN(DKW_10Y!$A$2:$A$2918),$A465&gt;MAX(DKW_10Y!$A$2:$A$2918),Settings!$B$16&lt;MIN(DKW_10Y!$A$2:$A$2918)),NA(),(INDEX(DKW_10Y!$H$2:$H$2918,MATCH($A465,DKW_10Y!$A$2:$A$2918,1))-INDEX(DKW_10Y!$H$2:$H$2918,MATCH(Settings!$B$16,DKW_10Y!$A$2:$A$2918,1)))*100))</f>
        <v/>
      </c>
      <c r="AC465" s="18">
        <f>IF(NOT(ISNUMBER($A465)),NA(),IFERROR(1*INDEX(BBG_Data!$N$2:$N$4000,MATCH($A465,BBG_Data!$M$2:$M$4000,0)),NA()))</f>
        <v/>
      </c>
      <c r="AD465" s="18">
        <f>IF(NOT(ISNUMBER($A465)),NA(),IFERROR(1*INDEX(BBG_Data!$P$2:$P$4000,MATCH($A465,BBG_Data!$O$2:$O$4000,0)),NA()))</f>
        <v/>
      </c>
      <c r="AE465" s="18">
        <f>IF(NOT(ISNUMBER($A465)),NA(),IFERROR(1*INDEX(BBG_Data!$R$2:$R$4000,MATCH($A465,BBG_Data!$Q$2:$Q$4000,0)),NA()))</f>
        <v/>
      </c>
      <c r="AF465" s="20">
        <f>IF(AND(ISNUMBER(B465),ISNUMBER(AC465)),(B465-AC465)*100,NA())</f>
        <v/>
      </c>
      <c r="AG465" s="20">
        <f>IF(AND(ISNUMBER(AE465),ISNUMBER(AD465)),(AE465-AD465)*100,NA())</f>
        <v/>
      </c>
      <c r="AH465" s="19">
        <f>IF(NOT(ISNUMBER($A465)),NA(),IFERROR(INDEX(BBG_Data!$T$2:$T$4000,MATCH($A465,BBG_Data!$S$2:$S$4000,0))*Settings!$B$25,NA()))</f>
        <v/>
      </c>
      <c r="AI465" s="19">
        <f>IF(NOT(ISNUMBER($A465)),NA(),IFERROR(INDEX(BBG_Data!$V$2:$V$4000,MATCH($A465,BBG_Data!$U$2:$U$4000,0))*Settings!$B$25,NA()))</f>
        <v/>
      </c>
      <c r="AJ465" s="19">
        <f>IF(NOT(ISNUMBER($A465)),NA(),IFERROR(1*INDEX(BBG_Data!$X$2:$X$4000,MATCH($A465,BBG_Data!$W$2:$W$4000,0)),NA()))</f>
        <v/>
      </c>
      <c r="AK465" s="19">
        <f>IF(NOT(ISNUMBER($A465)),NA(),IFERROR(1*INDEX(BBG_Data!$Z$2:$Z$4000,MATCH($A465,BBG_Data!$Y$2:$Y$4000,0)),NA()))</f>
        <v/>
      </c>
    </row>
    <row r="466">
      <c r="A466" s="17">
        <f>IF(ISNUMBER(BBG_Data!A466),BBG_Data!A466,"")</f>
        <v/>
      </c>
      <c r="B466" s="18">
        <f>IF(AND(ISNUMBER($A466),ISNUMBER(BBG_Data!B466)),BBG_Data!B466,NA())</f>
        <v/>
      </c>
      <c r="C466" s="18">
        <f>IF(NOT(ISNUMBER($A466)),NA(),IFERROR(1*INDEX(BBG_Data!$D$2:$D$4000,MATCH($A466,BBG_Data!$C$2:$C$4000,0)),NA()))</f>
        <v/>
      </c>
      <c r="D466" s="19">
        <f>IF(NOT(ISNUMBER($A466)),NA(),IFERROR(1*INDEX(BBG_Data!$F$2:$F$4000,MATCH($A466,BBG_Data!$E$2:$E$4000,0)),NA()))</f>
        <v/>
      </c>
      <c r="E466" s="19">
        <f>IF(NOT(ISNUMBER($A466)),NA(),IFERROR(1*INDEX(BBG_Data!$H$2:$H$4000,MATCH($A466,BBG_Data!$G$2:$G$4000,0)),NA()))</f>
        <v/>
      </c>
      <c r="F466" s="20">
        <f>IF(AND(ISNUMBER(B466),ISNUMBER(B465)),IF(B466=B465,"",(B466-B465)*100),"")</f>
        <v/>
      </c>
      <c r="G466" s="20">
        <f>IF(AND(ISNUMBER(C466),ISNUMBER(C465)),IF(C466=C465,"",(C466-C465)*100),"")</f>
        <v/>
      </c>
      <c r="H466" s="20">
        <f>IF(OR(NOT(ISNUMBER($A466)),ROW()-2&lt;Settings!$B$11),NA(),IF(COUNT(OFFSET(F466,1-Settings!$B$11,0,Settings!$B$11,1))&lt;ROUNDUP(Settings!$B$11*Settings!$B$26,0),NA(),STDEV(OFFSET(F466,1-Settings!$B$11,0,Settings!$B$11,1))*SQRT(Settings!$B$13)))</f>
        <v/>
      </c>
      <c r="I466" s="20">
        <f>IF(OR(NOT(ISNUMBER($A466)),ROW()-2&lt;Settings!$B$12),NA(),IF(COUNT(OFFSET(F466,1-Settings!$B$12,0,Settings!$B$12,1))&lt;ROUNDUP(Settings!$B$12*Settings!$B$26,0),NA(),STDEV(OFFSET(F466,1-Settings!$B$12,0,Settings!$B$12,1))*SQRT(Settings!$B$13)))</f>
        <v/>
      </c>
      <c r="J466" s="20">
        <f>IF(OR(NOT(ISNUMBER($A466)),ROW()-2&lt;Settings!$B$11),NA(),IF(COUNT(OFFSET(G466,1-Settings!$B$11,0,Settings!$B$11,1))&lt;ROUNDUP(Settings!$B$11*Settings!$B$26,0),NA(),STDEV(OFFSET(G466,1-Settings!$B$11,0,Settings!$B$11,1))*SQRT(Settings!$B$13)))</f>
        <v/>
      </c>
      <c r="K466" s="20">
        <f>IF(OR(NOT(ISNUMBER($A466)),ROW()-2&lt;Settings!$B$12),NA(),IF(COUNT(OFFSET(G466,1-Settings!$B$12,0,Settings!$B$12,1))&lt;ROUNDUP(Settings!$B$12*Settings!$B$26,0),NA(),STDEV(OFFSET(G466,1-Settings!$B$12,0,Settings!$B$12,1))*SQRT(Settings!$B$13)))</f>
        <v/>
      </c>
      <c r="L466" s="20">
        <f>IF(AND(ISNUMBER(D466),ISNUMBER(H466)),D466-H466,NA())</f>
        <v/>
      </c>
      <c r="M466" s="20">
        <f>IF(AND(ISNUMBER(E466),ISNUMBER(K466)),E466-K466,NA())</f>
        <v/>
      </c>
      <c r="N466" s="20">
        <f>IF(NOT(ISNUMBER($A466)),NA(),IF(COUNT(OFFSET(G466,1,0,Settings!$B$12,1))&lt;ROUNDUP(Settings!$B$12*Settings!$B$26,0),NA(),STDEV(OFFSET(G466,1,0,Settings!$B$12,1))*SQRT(Settings!$B$13)))</f>
        <v/>
      </c>
      <c r="O466" s="20">
        <f>IF(AND(ISNUMBER(E466),ISNUMBER(N466)),E466-N466,NA())</f>
        <v/>
      </c>
      <c r="P466" s="19">
        <f>IF(NOT(ISNUMBER($A466)),NA(),IF(OR($A466&lt;MIN(KW_TP!$A$2:$A$2501),$A466&gt;MAX(KW_TP!$A$2:$A$2501)),NA(),INDEX(KW_TP!$C$2:$C$2501,MATCH($A466,KW_TP!$A$2:$A$2501,1))))</f>
        <v/>
      </c>
      <c r="Q466" s="18">
        <f>IF(NOT(ISNUMBER($A466)),NA(),IFERROR(1*INDEX(BBG_Data!$J$2:$J$4000,MATCH($A466,BBG_Data!$I$2:$I$4000,0)),NA()))</f>
        <v/>
      </c>
      <c r="R466" s="18">
        <f>IF(NOT(ISNUMBER($A466)),NA(),IFERROR(1*INDEX(BBG_Data!$L$2:$L$4000,MATCH($A466,BBG_Data!$K$2:$K$4000,0)),NA()))</f>
        <v/>
      </c>
      <c r="S466" s="20">
        <f>IF(AND(ISNUMBER(B466),ISNUMBER(Q466),ISNUMBER(R466)),(B466-Q466-R466)*100,NA())</f>
        <v/>
      </c>
      <c r="T466" s="20">
        <f>IF(AND(ISNUMBER(B466),Settings!$B$17&gt;0),IF(ISNUMBER(INDEX($B:$B,Settings!$B$17)),(B466-INDEX($B:$B,Settings!$B$17))*100,NA()),NA())</f>
        <v/>
      </c>
      <c r="U466" s="20">
        <f>IF(AND(ISNUMBER(Q466),Settings!$B$17&gt;0),IF(ISNUMBER(INDEX($Q:$Q,Settings!$B$17)),(Q466-INDEX($Q:$Q,Settings!$B$17))*100,NA()),NA())</f>
        <v/>
      </c>
      <c r="V466" s="20">
        <f>IF(AND(ISNUMBER(R466),Settings!$B$17&gt;0),IF(ISNUMBER(INDEX($R:$R,Settings!$B$17)),(R466-INDEX($R:$R,Settings!$B$17))*100,NA()),NA())</f>
        <v/>
      </c>
      <c r="W466" s="20">
        <f>IF(AND(ISNUMBER(P466),Settings!$B$17&gt;0),IF(ISNUMBER(INDEX($P:$P,Settings!$B$17)),P466-INDEX($P:$P,Settings!$B$17),NA()),NA())</f>
        <v/>
      </c>
      <c r="X466" s="19">
        <f>IF(NOT(ISNUMBER($A466)),NA(),IF(OR($A466&lt;MIN(DKW_10Y!$A$2:$A$2918),$A466&gt;MAX(DKW_10Y!$A$2:$A$2918),Settings!$B$16&lt;MIN(DKW_10Y!$A$2:$A$2918)),NA(),(INDEX(DKW_10Y!$B$2:$B$2918,MATCH($A466,DKW_10Y!$A$2:$A$2918,1))-INDEX(DKW_10Y!$B$2:$B$2918,MATCH(Settings!$B$16,DKW_10Y!$A$2:$A$2918,1)))*100))</f>
        <v/>
      </c>
      <c r="Y466" s="19">
        <f>IF(NOT(ISNUMBER($A466)),NA(),IF(OR($A466&lt;MIN(DKW_10Y!$A$2:$A$2918),$A466&gt;MAX(DKW_10Y!$A$2:$A$2918),Settings!$B$16&lt;MIN(DKW_10Y!$A$2:$A$2918)),NA(),(INDEX(DKW_10Y!$C$2:$C$2918,MATCH($A466,DKW_10Y!$A$2:$A$2918,1))-INDEX(DKW_10Y!$C$2:$C$2918,MATCH(Settings!$B$16,DKW_10Y!$A$2:$A$2918,1)))*100))</f>
        <v/>
      </c>
      <c r="Z466" s="19">
        <f>IF(NOT(ISNUMBER($A466)),NA(),IF(OR($A466&lt;MIN(DKW_10Y!$A$2:$A$2918),$A466&gt;MAX(DKW_10Y!$A$2:$A$2918),Settings!$B$16&lt;MIN(DKW_10Y!$A$2:$A$2918)),NA(),(INDEX(DKW_10Y!$D$2:$D$2918,MATCH($A466,DKW_10Y!$A$2:$A$2918,1))-INDEX(DKW_10Y!$D$2:$D$2918,MATCH(Settings!$B$16,DKW_10Y!$A$2:$A$2918,1)))*100))</f>
        <v/>
      </c>
      <c r="AA466" s="19">
        <f>IF(NOT(ISNUMBER($A466)),NA(),IF(OR($A466&lt;MIN(DKW_10Y!$A$2:$A$2918),$A466&gt;MAX(DKW_10Y!$A$2:$A$2918),Settings!$B$16&lt;MIN(DKW_10Y!$A$2:$A$2918)),NA(),(INDEX(DKW_10Y!$E$2:$E$2918,MATCH($A466,DKW_10Y!$A$2:$A$2918,1))-INDEX(DKW_10Y!$E$2:$E$2918,MATCH(Settings!$B$16,DKW_10Y!$A$2:$A$2918,1)))*100))</f>
        <v/>
      </c>
      <c r="AB466" s="19">
        <f>IF(NOT(ISNUMBER($A466)),NA(),IF(OR($A466&lt;MIN(DKW_10Y!$A$2:$A$2918),$A466&gt;MAX(DKW_10Y!$A$2:$A$2918),Settings!$B$16&lt;MIN(DKW_10Y!$A$2:$A$2918)),NA(),(INDEX(DKW_10Y!$H$2:$H$2918,MATCH($A466,DKW_10Y!$A$2:$A$2918,1))-INDEX(DKW_10Y!$H$2:$H$2918,MATCH(Settings!$B$16,DKW_10Y!$A$2:$A$2918,1)))*100))</f>
        <v/>
      </c>
      <c r="AC466" s="18">
        <f>IF(NOT(ISNUMBER($A466)),NA(),IFERROR(1*INDEX(BBG_Data!$N$2:$N$4000,MATCH($A466,BBG_Data!$M$2:$M$4000,0)),NA()))</f>
        <v/>
      </c>
      <c r="AD466" s="18">
        <f>IF(NOT(ISNUMBER($A466)),NA(),IFERROR(1*INDEX(BBG_Data!$P$2:$P$4000,MATCH($A466,BBG_Data!$O$2:$O$4000,0)),NA()))</f>
        <v/>
      </c>
      <c r="AE466" s="18">
        <f>IF(NOT(ISNUMBER($A466)),NA(),IFERROR(1*INDEX(BBG_Data!$R$2:$R$4000,MATCH($A466,BBG_Data!$Q$2:$Q$4000,0)),NA()))</f>
        <v/>
      </c>
      <c r="AF466" s="20">
        <f>IF(AND(ISNUMBER(B466),ISNUMBER(AC466)),(B466-AC466)*100,NA())</f>
        <v/>
      </c>
      <c r="AG466" s="20">
        <f>IF(AND(ISNUMBER(AE466),ISNUMBER(AD466)),(AE466-AD466)*100,NA())</f>
        <v/>
      </c>
      <c r="AH466" s="19">
        <f>IF(NOT(ISNUMBER($A466)),NA(),IFERROR(INDEX(BBG_Data!$T$2:$T$4000,MATCH($A466,BBG_Data!$S$2:$S$4000,0))*Settings!$B$25,NA()))</f>
        <v/>
      </c>
      <c r="AI466" s="19">
        <f>IF(NOT(ISNUMBER($A466)),NA(),IFERROR(INDEX(BBG_Data!$V$2:$V$4000,MATCH($A466,BBG_Data!$U$2:$U$4000,0))*Settings!$B$25,NA()))</f>
        <v/>
      </c>
      <c r="AJ466" s="19">
        <f>IF(NOT(ISNUMBER($A466)),NA(),IFERROR(1*INDEX(BBG_Data!$X$2:$X$4000,MATCH($A466,BBG_Data!$W$2:$W$4000,0)),NA()))</f>
        <v/>
      </c>
      <c r="AK466" s="19">
        <f>IF(NOT(ISNUMBER($A466)),NA(),IFERROR(1*INDEX(BBG_Data!$Z$2:$Z$4000,MATCH($A466,BBG_Data!$Y$2:$Y$4000,0)),NA()))</f>
        <v/>
      </c>
    </row>
    <row r="467">
      <c r="A467" s="17">
        <f>IF(ISNUMBER(BBG_Data!A467),BBG_Data!A467,"")</f>
        <v/>
      </c>
      <c r="B467" s="18">
        <f>IF(AND(ISNUMBER($A467),ISNUMBER(BBG_Data!B467)),BBG_Data!B467,NA())</f>
        <v/>
      </c>
      <c r="C467" s="18">
        <f>IF(NOT(ISNUMBER($A467)),NA(),IFERROR(1*INDEX(BBG_Data!$D$2:$D$4000,MATCH($A467,BBG_Data!$C$2:$C$4000,0)),NA()))</f>
        <v/>
      </c>
      <c r="D467" s="19">
        <f>IF(NOT(ISNUMBER($A467)),NA(),IFERROR(1*INDEX(BBG_Data!$F$2:$F$4000,MATCH($A467,BBG_Data!$E$2:$E$4000,0)),NA()))</f>
        <v/>
      </c>
      <c r="E467" s="19">
        <f>IF(NOT(ISNUMBER($A467)),NA(),IFERROR(1*INDEX(BBG_Data!$H$2:$H$4000,MATCH($A467,BBG_Data!$G$2:$G$4000,0)),NA()))</f>
        <v/>
      </c>
      <c r="F467" s="20">
        <f>IF(AND(ISNUMBER(B467),ISNUMBER(B466)),IF(B467=B466,"",(B467-B466)*100),"")</f>
        <v/>
      </c>
      <c r="G467" s="20">
        <f>IF(AND(ISNUMBER(C467),ISNUMBER(C466)),IF(C467=C466,"",(C467-C466)*100),"")</f>
        <v/>
      </c>
      <c r="H467" s="20">
        <f>IF(OR(NOT(ISNUMBER($A467)),ROW()-2&lt;Settings!$B$11),NA(),IF(COUNT(OFFSET(F467,1-Settings!$B$11,0,Settings!$B$11,1))&lt;ROUNDUP(Settings!$B$11*Settings!$B$26,0),NA(),STDEV(OFFSET(F467,1-Settings!$B$11,0,Settings!$B$11,1))*SQRT(Settings!$B$13)))</f>
        <v/>
      </c>
      <c r="I467" s="20">
        <f>IF(OR(NOT(ISNUMBER($A467)),ROW()-2&lt;Settings!$B$12),NA(),IF(COUNT(OFFSET(F467,1-Settings!$B$12,0,Settings!$B$12,1))&lt;ROUNDUP(Settings!$B$12*Settings!$B$26,0),NA(),STDEV(OFFSET(F467,1-Settings!$B$12,0,Settings!$B$12,1))*SQRT(Settings!$B$13)))</f>
        <v/>
      </c>
      <c r="J467" s="20">
        <f>IF(OR(NOT(ISNUMBER($A467)),ROW()-2&lt;Settings!$B$11),NA(),IF(COUNT(OFFSET(G467,1-Settings!$B$11,0,Settings!$B$11,1))&lt;ROUNDUP(Settings!$B$11*Settings!$B$26,0),NA(),STDEV(OFFSET(G467,1-Settings!$B$11,0,Settings!$B$11,1))*SQRT(Settings!$B$13)))</f>
        <v/>
      </c>
      <c r="K467" s="20">
        <f>IF(OR(NOT(ISNUMBER($A467)),ROW()-2&lt;Settings!$B$12),NA(),IF(COUNT(OFFSET(G467,1-Settings!$B$12,0,Settings!$B$12,1))&lt;ROUNDUP(Settings!$B$12*Settings!$B$26,0),NA(),STDEV(OFFSET(G467,1-Settings!$B$12,0,Settings!$B$12,1))*SQRT(Settings!$B$13)))</f>
        <v/>
      </c>
      <c r="L467" s="20">
        <f>IF(AND(ISNUMBER(D467),ISNUMBER(H467)),D467-H467,NA())</f>
        <v/>
      </c>
      <c r="M467" s="20">
        <f>IF(AND(ISNUMBER(E467),ISNUMBER(K467)),E467-K467,NA())</f>
        <v/>
      </c>
      <c r="N467" s="20">
        <f>IF(NOT(ISNUMBER($A467)),NA(),IF(COUNT(OFFSET(G467,1,0,Settings!$B$12,1))&lt;ROUNDUP(Settings!$B$12*Settings!$B$26,0),NA(),STDEV(OFFSET(G467,1,0,Settings!$B$12,1))*SQRT(Settings!$B$13)))</f>
        <v/>
      </c>
      <c r="O467" s="20">
        <f>IF(AND(ISNUMBER(E467),ISNUMBER(N467)),E467-N467,NA())</f>
        <v/>
      </c>
      <c r="P467" s="19">
        <f>IF(NOT(ISNUMBER($A467)),NA(),IF(OR($A467&lt;MIN(KW_TP!$A$2:$A$2501),$A467&gt;MAX(KW_TP!$A$2:$A$2501)),NA(),INDEX(KW_TP!$C$2:$C$2501,MATCH($A467,KW_TP!$A$2:$A$2501,1))))</f>
        <v/>
      </c>
      <c r="Q467" s="18">
        <f>IF(NOT(ISNUMBER($A467)),NA(),IFERROR(1*INDEX(BBG_Data!$J$2:$J$4000,MATCH($A467,BBG_Data!$I$2:$I$4000,0)),NA()))</f>
        <v/>
      </c>
      <c r="R467" s="18">
        <f>IF(NOT(ISNUMBER($A467)),NA(),IFERROR(1*INDEX(BBG_Data!$L$2:$L$4000,MATCH($A467,BBG_Data!$K$2:$K$4000,0)),NA()))</f>
        <v/>
      </c>
      <c r="S467" s="20">
        <f>IF(AND(ISNUMBER(B467),ISNUMBER(Q467),ISNUMBER(R467)),(B467-Q467-R467)*100,NA())</f>
        <v/>
      </c>
      <c r="T467" s="20">
        <f>IF(AND(ISNUMBER(B467),Settings!$B$17&gt;0),IF(ISNUMBER(INDEX($B:$B,Settings!$B$17)),(B467-INDEX($B:$B,Settings!$B$17))*100,NA()),NA())</f>
        <v/>
      </c>
      <c r="U467" s="20">
        <f>IF(AND(ISNUMBER(Q467),Settings!$B$17&gt;0),IF(ISNUMBER(INDEX($Q:$Q,Settings!$B$17)),(Q467-INDEX($Q:$Q,Settings!$B$17))*100,NA()),NA())</f>
        <v/>
      </c>
      <c r="V467" s="20">
        <f>IF(AND(ISNUMBER(R467),Settings!$B$17&gt;0),IF(ISNUMBER(INDEX($R:$R,Settings!$B$17)),(R467-INDEX($R:$R,Settings!$B$17))*100,NA()),NA())</f>
        <v/>
      </c>
      <c r="W467" s="20">
        <f>IF(AND(ISNUMBER(P467),Settings!$B$17&gt;0),IF(ISNUMBER(INDEX($P:$P,Settings!$B$17)),P467-INDEX($P:$P,Settings!$B$17),NA()),NA())</f>
        <v/>
      </c>
      <c r="X467" s="19">
        <f>IF(NOT(ISNUMBER($A467)),NA(),IF(OR($A467&lt;MIN(DKW_10Y!$A$2:$A$2918),$A467&gt;MAX(DKW_10Y!$A$2:$A$2918),Settings!$B$16&lt;MIN(DKW_10Y!$A$2:$A$2918)),NA(),(INDEX(DKW_10Y!$B$2:$B$2918,MATCH($A467,DKW_10Y!$A$2:$A$2918,1))-INDEX(DKW_10Y!$B$2:$B$2918,MATCH(Settings!$B$16,DKW_10Y!$A$2:$A$2918,1)))*100))</f>
        <v/>
      </c>
      <c r="Y467" s="19">
        <f>IF(NOT(ISNUMBER($A467)),NA(),IF(OR($A467&lt;MIN(DKW_10Y!$A$2:$A$2918),$A467&gt;MAX(DKW_10Y!$A$2:$A$2918),Settings!$B$16&lt;MIN(DKW_10Y!$A$2:$A$2918)),NA(),(INDEX(DKW_10Y!$C$2:$C$2918,MATCH($A467,DKW_10Y!$A$2:$A$2918,1))-INDEX(DKW_10Y!$C$2:$C$2918,MATCH(Settings!$B$16,DKW_10Y!$A$2:$A$2918,1)))*100))</f>
        <v/>
      </c>
      <c r="Z467" s="19">
        <f>IF(NOT(ISNUMBER($A467)),NA(),IF(OR($A467&lt;MIN(DKW_10Y!$A$2:$A$2918),$A467&gt;MAX(DKW_10Y!$A$2:$A$2918),Settings!$B$16&lt;MIN(DKW_10Y!$A$2:$A$2918)),NA(),(INDEX(DKW_10Y!$D$2:$D$2918,MATCH($A467,DKW_10Y!$A$2:$A$2918,1))-INDEX(DKW_10Y!$D$2:$D$2918,MATCH(Settings!$B$16,DKW_10Y!$A$2:$A$2918,1)))*100))</f>
        <v/>
      </c>
      <c r="AA467" s="19">
        <f>IF(NOT(ISNUMBER($A467)),NA(),IF(OR($A467&lt;MIN(DKW_10Y!$A$2:$A$2918),$A467&gt;MAX(DKW_10Y!$A$2:$A$2918),Settings!$B$16&lt;MIN(DKW_10Y!$A$2:$A$2918)),NA(),(INDEX(DKW_10Y!$E$2:$E$2918,MATCH($A467,DKW_10Y!$A$2:$A$2918,1))-INDEX(DKW_10Y!$E$2:$E$2918,MATCH(Settings!$B$16,DKW_10Y!$A$2:$A$2918,1)))*100))</f>
        <v/>
      </c>
      <c r="AB467" s="19">
        <f>IF(NOT(ISNUMBER($A467)),NA(),IF(OR($A467&lt;MIN(DKW_10Y!$A$2:$A$2918),$A467&gt;MAX(DKW_10Y!$A$2:$A$2918),Settings!$B$16&lt;MIN(DKW_10Y!$A$2:$A$2918)),NA(),(INDEX(DKW_10Y!$H$2:$H$2918,MATCH($A467,DKW_10Y!$A$2:$A$2918,1))-INDEX(DKW_10Y!$H$2:$H$2918,MATCH(Settings!$B$16,DKW_10Y!$A$2:$A$2918,1)))*100))</f>
        <v/>
      </c>
      <c r="AC467" s="18">
        <f>IF(NOT(ISNUMBER($A467)),NA(),IFERROR(1*INDEX(BBG_Data!$N$2:$N$4000,MATCH($A467,BBG_Data!$M$2:$M$4000,0)),NA()))</f>
        <v/>
      </c>
      <c r="AD467" s="18">
        <f>IF(NOT(ISNUMBER($A467)),NA(),IFERROR(1*INDEX(BBG_Data!$P$2:$P$4000,MATCH($A467,BBG_Data!$O$2:$O$4000,0)),NA()))</f>
        <v/>
      </c>
      <c r="AE467" s="18">
        <f>IF(NOT(ISNUMBER($A467)),NA(),IFERROR(1*INDEX(BBG_Data!$R$2:$R$4000,MATCH($A467,BBG_Data!$Q$2:$Q$4000,0)),NA()))</f>
        <v/>
      </c>
      <c r="AF467" s="20">
        <f>IF(AND(ISNUMBER(B467),ISNUMBER(AC467)),(B467-AC467)*100,NA())</f>
        <v/>
      </c>
      <c r="AG467" s="20">
        <f>IF(AND(ISNUMBER(AE467),ISNUMBER(AD467)),(AE467-AD467)*100,NA())</f>
        <v/>
      </c>
      <c r="AH467" s="19">
        <f>IF(NOT(ISNUMBER($A467)),NA(),IFERROR(INDEX(BBG_Data!$T$2:$T$4000,MATCH($A467,BBG_Data!$S$2:$S$4000,0))*Settings!$B$25,NA()))</f>
        <v/>
      </c>
      <c r="AI467" s="19">
        <f>IF(NOT(ISNUMBER($A467)),NA(),IFERROR(INDEX(BBG_Data!$V$2:$V$4000,MATCH($A467,BBG_Data!$U$2:$U$4000,0))*Settings!$B$25,NA()))</f>
        <v/>
      </c>
      <c r="AJ467" s="19">
        <f>IF(NOT(ISNUMBER($A467)),NA(),IFERROR(1*INDEX(BBG_Data!$X$2:$X$4000,MATCH($A467,BBG_Data!$W$2:$W$4000,0)),NA()))</f>
        <v/>
      </c>
      <c r="AK467" s="19">
        <f>IF(NOT(ISNUMBER($A467)),NA(),IFERROR(1*INDEX(BBG_Data!$Z$2:$Z$4000,MATCH($A467,BBG_Data!$Y$2:$Y$4000,0)),NA()))</f>
        <v/>
      </c>
    </row>
    <row r="468">
      <c r="A468" s="17">
        <f>IF(ISNUMBER(BBG_Data!A468),BBG_Data!A468,"")</f>
        <v/>
      </c>
      <c r="B468" s="18">
        <f>IF(AND(ISNUMBER($A468),ISNUMBER(BBG_Data!B468)),BBG_Data!B468,NA())</f>
        <v/>
      </c>
      <c r="C468" s="18">
        <f>IF(NOT(ISNUMBER($A468)),NA(),IFERROR(1*INDEX(BBG_Data!$D$2:$D$4000,MATCH($A468,BBG_Data!$C$2:$C$4000,0)),NA()))</f>
        <v/>
      </c>
      <c r="D468" s="19">
        <f>IF(NOT(ISNUMBER($A468)),NA(),IFERROR(1*INDEX(BBG_Data!$F$2:$F$4000,MATCH($A468,BBG_Data!$E$2:$E$4000,0)),NA()))</f>
        <v/>
      </c>
      <c r="E468" s="19">
        <f>IF(NOT(ISNUMBER($A468)),NA(),IFERROR(1*INDEX(BBG_Data!$H$2:$H$4000,MATCH($A468,BBG_Data!$G$2:$G$4000,0)),NA()))</f>
        <v/>
      </c>
      <c r="F468" s="20">
        <f>IF(AND(ISNUMBER(B468),ISNUMBER(B467)),IF(B468=B467,"",(B468-B467)*100),"")</f>
        <v/>
      </c>
      <c r="G468" s="20">
        <f>IF(AND(ISNUMBER(C468),ISNUMBER(C467)),IF(C468=C467,"",(C468-C467)*100),"")</f>
        <v/>
      </c>
      <c r="H468" s="20">
        <f>IF(OR(NOT(ISNUMBER($A468)),ROW()-2&lt;Settings!$B$11),NA(),IF(COUNT(OFFSET(F468,1-Settings!$B$11,0,Settings!$B$11,1))&lt;ROUNDUP(Settings!$B$11*Settings!$B$26,0),NA(),STDEV(OFFSET(F468,1-Settings!$B$11,0,Settings!$B$11,1))*SQRT(Settings!$B$13)))</f>
        <v/>
      </c>
      <c r="I468" s="20">
        <f>IF(OR(NOT(ISNUMBER($A468)),ROW()-2&lt;Settings!$B$12),NA(),IF(COUNT(OFFSET(F468,1-Settings!$B$12,0,Settings!$B$12,1))&lt;ROUNDUP(Settings!$B$12*Settings!$B$26,0),NA(),STDEV(OFFSET(F468,1-Settings!$B$12,0,Settings!$B$12,1))*SQRT(Settings!$B$13)))</f>
        <v/>
      </c>
      <c r="J468" s="20">
        <f>IF(OR(NOT(ISNUMBER($A468)),ROW()-2&lt;Settings!$B$11),NA(),IF(COUNT(OFFSET(G468,1-Settings!$B$11,0,Settings!$B$11,1))&lt;ROUNDUP(Settings!$B$11*Settings!$B$26,0),NA(),STDEV(OFFSET(G468,1-Settings!$B$11,0,Settings!$B$11,1))*SQRT(Settings!$B$13)))</f>
        <v/>
      </c>
      <c r="K468" s="20">
        <f>IF(OR(NOT(ISNUMBER($A468)),ROW()-2&lt;Settings!$B$12),NA(),IF(COUNT(OFFSET(G468,1-Settings!$B$12,0,Settings!$B$12,1))&lt;ROUNDUP(Settings!$B$12*Settings!$B$26,0),NA(),STDEV(OFFSET(G468,1-Settings!$B$12,0,Settings!$B$12,1))*SQRT(Settings!$B$13)))</f>
        <v/>
      </c>
      <c r="L468" s="20">
        <f>IF(AND(ISNUMBER(D468),ISNUMBER(H468)),D468-H468,NA())</f>
        <v/>
      </c>
      <c r="M468" s="20">
        <f>IF(AND(ISNUMBER(E468),ISNUMBER(K468)),E468-K468,NA())</f>
        <v/>
      </c>
      <c r="N468" s="20">
        <f>IF(NOT(ISNUMBER($A468)),NA(),IF(COUNT(OFFSET(G468,1,0,Settings!$B$12,1))&lt;ROUNDUP(Settings!$B$12*Settings!$B$26,0),NA(),STDEV(OFFSET(G468,1,0,Settings!$B$12,1))*SQRT(Settings!$B$13)))</f>
        <v/>
      </c>
      <c r="O468" s="20">
        <f>IF(AND(ISNUMBER(E468),ISNUMBER(N468)),E468-N468,NA())</f>
        <v/>
      </c>
      <c r="P468" s="19">
        <f>IF(NOT(ISNUMBER($A468)),NA(),IF(OR($A468&lt;MIN(KW_TP!$A$2:$A$2501),$A468&gt;MAX(KW_TP!$A$2:$A$2501)),NA(),INDEX(KW_TP!$C$2:$C$2501,MATCH($A468,KW_TP!$A$2:$A$2501,1))))</f>
        <v/>
      </c>
      <c r="Q468" s="18">
        <f>IF(NOT(ISNUMBER($A468)),NA(),IFERROR(1*INDEX(BBG_Data!$J$2:$J$4000,MATCH($A468,BBG_Data!$I$2:$I$4000,0)),NA()))</f>
        <v/>
      </c>
      <c r="R468" s="18">
        <f>IF(NOT(ISNUMBER($A468)),NA(),IFERROR(1*INDEX(BBG_Data!$L$2:$L$4000,MATCH($A468,BBG_Data!$K$2:$K$4000,0)),NA()))</f>
        <v/>
      </c>
      <c r="S468" s="20">
        <f>IF(AND(ISNUMBER(B468),ISNUMBER(Q468),ISNUMBER(R468)),(B468-Q468-R468)*100,NA())</f>
        <v/>
      </c>
      <c r="T468" s="20">
        <f>IF(AND(ISNUMBER(B468),Settings!$B$17&gt;0),IF(ISNUMBER(INDEX($B:$B,Settings!$B$17)),(B468-INDEX($B:$B,Settings!$B$17))*100,NA()),NA())</f>
        <v/>
      </c>
      <c r="U468" s="20">
        <f>IF(AND(ISNUMBER(Q468),Settings!$B$17&gt;0),IF(ISNUMBER(INDEX($Q:$Q,Settings!$B$17)),(Q468-INDEX($Q:$Q,Settings!$B$17))*100,NA()),NA())</f>
        <v/>
      </c>
      <c r="V468" s="20">
        <f>IF(AND(ISNUMBER(R468),Settings!$B$17&gt;0),IF(ISNUMBER(INDEX($R:$R,Settings!$B$17)),(R468-INDEX($R:$R,Settings!$B$17))*100,NA()),NA())</f>
        <v/>
      </c>
      <c r="W468" s="20">
        <f>IF(AND(ISNUMBER(P468),Settings!$B$17&gt;0),IF(ISNUMBER(INDEX($P:$P,Settings!$B$17)),P468-INDEX($P:$P,Settings!$B$17),NA()),NA())</f>
        <v/>
      </c>
      <c r="X468" s="19">
        <f>IF(NOT(ISNUMBER($A468)),NA(),IF(OR($A468&lt;MIN(DKW_10Y!$A$2:$A$2918),$A468&gt;MAX(DKW_10Y!$A$2:$A$2918),Settings!$B$16&lt;MIN(DKW_10Y!$A$2:$A$2918)),NA(),(INDEX(DKW_10Y!$B$2:$B$2918,MATCH($A468,DKW_10Y!$A$2:$A$2918,1))-INDEX(DKW_10Y!$B$2:$B$2918,MATCH(Settings!$B$16,DKW_10Y!$A$2:$A$2918,1)))*100))</f>
        <v/>
      </c>
      <c r="Y468" s="19">
        <f>IF(NOT(ISNUMBER($A468)),NA(),IF(OR($A468&lt;MIN(DKW_10Y!$A$2:$A$2918),$A468&gt;MAX(DKW_10Y!$A$2:$A$2918),Settings!$B$16&lt;MIN(DKW_10Y!$A$2:$A$2918)),NA(),(INDEX(DKW_10Y!$C$2:$C$2918,MATCH($A468,DKW_10Y!$A$2:$A$2918,1))-INDEX(DKW_10Y!$C$2:$C$2918,MATCH(Settings!$B$16,DKW_10Y!$A$2:$A$2918,1)))*100))</f>
        <v/>
      </c>
      <c r="Z468" s="19">
        <f>IF(NOT(ISNUMBER($A468)),NA(),IF(OR($A468&lt;MIN(DKW_10Y!$A$2:$A$2918),$A468&gt;MAX(DKW_10Y!$A$2:$A$2918),Settings!$B$16&lt;MIN(DKW_10Y!$A$2:$A$2918)),NA(),(INDEX(DKW_10Y!$D$2:$D$2918,MATCH($A468,DKW_10Y!$A$2:$A$2918,1))-INDEX(DKW_10Y!$D$2:$D$2918,MATCH(Settings!$B$16,DKW_10Y!$A$2:$A$2918,1)))*100))</f>
        <v/>
      </c>
      <c r="AA468" s="19">
        <f>IF(NOT(ISNUMBER($A468)),NA(),IF(OR($A468&lt;MIN(DKW_10Y!$A$2:$A$2918),$A468&gt;MAX(DKW_10Y!$A$2:$A$2918),Settings!$B$16&lt;MIN(DKW_10Y!$A$2:$A$2918)),NA(),(INDEX(DKW_10Y!$E$2:$E$2918,MATCH($A468,DKW_10Y!$A$2:$A$2918,1))-INDEX(DKW_10Y!$E$2:$E$2918,MATCH(Settings!$B$16,DKW_10Y!$A$2:$A$2918,1)))*100))</f>
        <v/>
      </c>
      <c r="AB468" s="19">
        <f>IF(NOT(ISNUMBER($A468)),NA(),IF(OR($A468&lt;MIN(DKW_10Y!$A$2:$A$2918),$A468&gt;MAX(DKW_10Y!$A$2:$A$2918),Settings!$B$16&lt;MIN(DKW_10Y!$A$2:$A$2918)),NA(),(INDEX(DKW_10Y!$H$2:$H$2918,MATCH($A468,DKW_10Y!$A$2:$A$2918,1))-INDEX(DKW_10Y!$H$2:$H$2918,MATCH(Settings!$B$16,DKW_10Y!$A$2:$A$2918,1)))*100))</f>
        <v/>
      </c>
      <c r="AC468" s="18">
        <f>IF(NOT(ISNUMBER($A468)),NA(),IFERROR(1*INDEX(BBG_Data!$N$2:$N$4000,MATCH($A468,BBG_Data!$M$2:$M$4000,0)),NA()))</f>
        <v/>
      </c>
      <c r="AD468" s="18">
        <f>IF(NOT(ISNUMBER($A468)),NA(),IFERROR(1*INDEX(BBG_Data!$P$2:$P$4000,MATCH($A468,BBG_Data!$O$2:$O$4000,0)),NA()))</f>
        <v/>
      </c>
      <c r="AE468" s="18">
        <f>IF(NOT(ISNUMBER($A468)),NA(),IFERROR(1*INDEX(BBG_Data!$R$2:$R$4000,MATCH($A468,BBG_Data!$Q$2:$Q$4000,0)),NA()))</f>
        <v/>
      </c>
      <c r="AF468" s="20">
        <f>IF(AND(ISNUMBER(B468),ISNUMBER(AC468)),(B468-AC468)*100,NA())</f>
        <v/>
      </c>
      <c r="AG468" s="20">
        <f>IF(AND(ISNUMBER(AE468),ISNUMBER(AD468)),(AE468-AD468)*100,NA())</f>
        <v/>
      </c>
      <c r="AH468" s="19">
        <f>IF(NOT(ISNUMBER($A468)),NA(),IFERROR(INDEX(BBG_Data!$T$2:$T$4000,MATCH($A468,BBG_Data!$S$2:$S$4000,0))*Settings!$B$25,NA()))</f>
        <v/>
      </c>
      <c r="AI468" s="19">
        <f>IF(NOT(ISNUMBER($A468)),NA(),IFERROR(INDEX(BBG_Data!$V$2:$V$4000,MATCH($A468,BBG_Data!$U$2:$U$4000,0))*Settings!$B$25,NA()))</f>
        <v/>
      </c>
      <c r="AJ468" s="19">
        <f>IF(NOT(ISNUMBER($A468)),NA(),IFERROR(1*INDEX(BBG_Data!$X$2:$X$4000,MATCH($A468,BBG_Data!$W$2:$W$4000,0)),NA()))</f>
        <v/>
      </c>
      <c r="AK468" s="19">
        <f>IF(NOT(ISNUMBER($A468)),NA(),IFERROR(1*INDEX(BBG_Data!$Z$2:$Z$4000,MATCH($A468,BBG_Data!$Y$2:$Y$4000,0)),NA()))</f>
        <v/>
      </c>
    </row>
    <row r="469">
      <c r="A469" s="17">
        <f>IF(ISNUMBER(BBG_Data!A469),BBG_Data!A469,"")</f>
        <v/>
      </c>
      <c r="B469" s="18">
        <f>IF(AND(ISNUMBER($A469),ISNUMBER(BBG_Data!B469)),BBG_Data!B469,NA())</f>
        <v/>
      </c>
      <c r="C469" s="18">
        <f>IF(NOT(ISNUMBER($A469)),NA(),IFERROR(1*INDEX(BBG_Data!$D$2:$D$4000,MATCH($A469,BBG_Data!$C$2:$C$4000,0)),NA()))</f>
        <v/>
      </c>
      <c r="D469" s="19">
        <f>IF(NOT(ISNUMBER($A469)),NA(),IFERROR(1*INDEX(BBG_Data!$F$2:$F$4000,MATCH($A469,BBG_Data!$E$2:$E$4000,0)),NA()))</f>
        <v/>
      </c>
      <c r="E469" s="19">
        <f>IF(NOT(ISNUMBER($A469)),NA(),IFERROR(1*INDEX(BBG_Data!$H$2:$H$4000,MATCH($A469,BBG_Data!$G$2:$G$4000,0)),NA()))</f>
        <v/>
      </c>
      <c r="F469" s="20">
        <f>IF(AND(ISNUMBER(B469),ISNUMBER(B468)),IF(B469=B468,"",(B469-B468)*100),"")</f>
        <v/>
      </c>
      <c r="G469" s="20">
        <f>IF(AND(ISNUMBER(C469),ISNUMBER(C468)),IF(C469=C468,"",(C469-C468)*100),"")</f>
        <v/>
      </c>
      <c r="H469" s="20">
        <f>IF(OR(NOT(ISNUMBER($A469)),ROW()-2&lt;Settings!$B$11),NA(),IF(COUNT(OFFSET(F469,1-Settings!$B$11,0,Settings!$B$11,1))&lt;ROUNDUP(Settings!$B$11*Settings!$B$26,0),NA(),STDEV(OFFSET(F469,1-Settings!$B$11,0,Settings!$B$11,1))*SQRT(Settings!$B$13)))</f>
        <v/>
      </c>
      <c r="I469" s="20">
        <f>IF(OR(NOT(ISNUMBER($A469)),ROW()-2&lt;Settings!$B$12),NA(),IF(COUNT(OFFSET(F469,1-Settings!$B$12,0,Settings!$B$12,1))&lt;ROUNDUP(Settings!$B$12*Settings!$B$26,0),NA(),STDEV(OFFSET(F469,1-Settings!$B$12,0,Settings!$B$12,1))*SQRT(Settings!$B$13)))</f>
        <v/>
      </c>
      <c r="J469" s="20">
        <f>IF(OR(NOT(ISNUMBER($A469)),ROW()-2&lt;Settings!$B$11),NA(),IF(COUNT(OFFSET(G469,1-Settings!$B$11,0,Settings!$B$11,1))&lt;ROUNDUP(Settings!$B$11*Settings!$B$26,0),NA(),STDEV(OFFSET(G469,1-Settings!$B$11,0,Settings!$B$11,1))*SQRT(Settings!$B$13)))</f>
        <v/>
      </c>
      <c r="K469" s="20">
        <f>IF(OR(NOT(ISNUMBER($A469)),ROW()-2&lt;Settings!$B$12),NA(),IF(COUNT(OFFSET(G469,1-Settings!$B$12,0,Settings!$B$12,1))&lt;ROUNDUP(Settings!$B$12*Settings!$B$26,0),NA(),STDEV(OFFSET(G469,1-Settings!$B$12,0,Settings!$B$12,1))*SQRT(Settings!$B$13)))</f>
        <v/>
      </c>
      <c r="L469" s="20">
        <f>IF(AND(ISNUMBER(D469),ISNUMBER(H469)),D469-H469,NA())</f>
        <v/>
      </c>
      <c r="M469" s="20">
        <f>IF(AND(ISNUMBER(E469),ISNUMBER(K469)),E469-K469,NA())</f>
        <v/>
      </c>
      <c r="N469" s="20">
        <f>IF(NOT(ISNUMBER($A469)),NA(),IF(COUNT(OFFSET(G469,1,0,Settings!$B$12,1))&lt;ROUNDUP(Settings!$B$12*Settings!$B$26,0),NA(),STDEV(OFFSET(G469,1,0,Settings!$B$12,1))*SQRT(Settings!$B$13)))</f>
        <v/>
      </c>
      <c r="O469" s="20">
        <f>IF(AND(ISNUMBER(E469),ISNUMBER(N469)),E469-N469,NA())</f>
        <v/>
      </c>
      <c r="P469" s="19">
        <f>IF(NOT(ISNUMBER($A469)),NA(),IF(OR($A469&lt;MIN(KW_TP!$A$2:$A$2501),$A469&gt;MAX(KW_TP!$A$2:$A$2501)),NA(),INDEX(KW_TP!$C$2:$C$2501,MATCH($A469,KW_TP!$A$2:$A$2501,1))))</f>
        <v/>
      </c>
      <c r="Q469" s="18">
        <f>IF(NOT(ISNUMBER($A469)),NA(),IFERROR(1*INDEX(BBG_Data!$J$2:$J$4000,MATCH($A469,BBG_Data!$I$2:$I$4000,0)),NA()))</f>
        <v/>
      </c>
      <c r="R469" s="18">
        <f>IF(NOT(ISNUMBER($A469)),NA(),IFERROR(1*INDEX(BBG_Data!$L$2:$L$4000,MATCH($A469,BBG_Data!$K$2:$K$4000,0)),NA()))</f>
        <v/>
      </c>
      <c r="S469" s="20">
        <f>IF(AND(ISNUMBER(B469),ISNUMBER(Q469),ISNUMBER(R469)),(B469-Q469-R469)*100,NA())</f>
        <v/>
      </c>
      <c r="T469" s="20">
        <f>IF(AND(ISNUMBER(B469),Settings!$B$17&gt;0),IF(ISNUMBER(INDEX($B:$B,Settings!$B$17)),(B469-INDEX($B:$B,Settings!$B$17))*100,NA()),NA())</f>
        <v/>
      </c>
      <c r="U469" s="20">
        <f>IF(AND(ISNUMBER(Q469),Settings!$B$17&gt;0),IF(ISNUMBER(INDEX($Q:$Q,Settings!$B$17)),(Q469-INDEX($Q:$Q,Settings!$B$17))*100,NA()),NA())</f>
        <v/>
      </c>
      <c r="V469" s="20">
        <f>IF(AND(ISNUMBER(R469),Settings!$B$17&gt;0),IF(ISNUMBER(INDEX($R:$R,Settings!$B$17)),(R469-INDEX($R:$R,Settings!$B$17))*100,NA()),NA())</f>
        <v/>
      </c>
      <c r="W469" s="20">
        <f>IF(AND(ISNUMBER(P469),Settings!$B$17&gt;0),IF(ISNUMBER(INDEX($P:$P,Settings!$B$17)),P469-INDEX($P:$P,Settings!$B$17),NA()),NA())</f>
        <v/>
      </c>
      <c r="X469" s="19">
        <f>IF(NOT(ISNUMBER($A469)),NA(),IF(OR($A469&lt;MIN(DKW_10Y!$A$2:$A$2918),$A469&gt;MAX(DKW_10Y!$A$2:$A$2918),Settings!$B$16&lt;MIN(DKW_10Y!$A$2:$A$2918)),NA(),(INDEX(DKW_10Y!$B$2:$B$2918,MATCH($A469,DKW_10Y!$A$2:$A$2918,1))-INDEX(DKW_10Y!$B$2:$B$2918,MATCH(Settings!$B$16,DKW_10Y!$A$2:$A$2918,1)))*100))</f>
        <v/>
      </c>
      <c r="Y469" s="19">
        <f>IF(NOT(ISNUMBER($A469)),NA(),IF(OR($A469&lt;MIN(DKW_10Y!$A$2:$A$2918),$A469&gt;MAX(DKW_10Y!$A$2:$A$2918),Settings!$B$16&lt;MIN(DKW_10Y!$A$2:$A$2918)),NA(),(INDEX(DKW_10Y!$C$2:$C$2918,MATCH($A469,DKW_10Y!$A$2:$A$2918,1))-INDEX(DKW_10Y!$C$2:$C$2918,MATCH(Settings!$B$16,DKW_10Y!$A$2:$A$2918,1)))*100))</f>
        <v/>
      </c>
      <c r="Z469" s="19">
        <f>IF(NOT(ISNUMBER($A469)),NA(),IF(OR($A469&lt;MIN(DKW_10Y!$A$2:$A$2918),$A469&gt;MAX(DKW_10Y!$A$2:$A$2918),Settings!$B$16&lt;MIN(DKW_10Y!$A$2:$A$2918)),NA(),(INDEX(DKW_10Y!$D$2:$D$2918,MATCH($A469,DKW_10Y!$A$2:$A$2918,1))-INDEX(DKW_10Y!$D$2:$D$2918,MATCH(Settings!$B$16,DKW_10Y!$A$2:$A$2918,1)))*100))</f>
        <v/>
      </c>
      <c r="AA469" s="19">
        <f>IF(NOT(ISNUMBER($A469)),NA(),IF(OR($A469&lt;MIN(DKW_10Y!$A$2:$A$2918),$A469&gt;MAX(DKW_10Y!$A$2:$A$2918),Settings!$B$16&lt;MIN(DKW_10Y!$A$2:$A$2918)),NA(),(INDEX(DKW_10Y!$E$2:$E$2918,MATCH($A469,DKW_10Y!$A$2:$A$2918,1))-INDEX(DKW_10Y!$E$2:$E$2918,MATCH(Settings!$B$16,DKW_10Y!$A$2:$A$2918,1)))*100))</f>
        <v/>
      </c>
      <c r="AB469" s="19">
        <f>IF(NOT(ISNUMBER($A469)),NA(),IF(OR($A469&lt;MIN(DKW_10Y!$A$2:$A$2918),$A469&gt;MAX(DKW_10Y!$A$2:$A$2918),Settings!$B$16&lt;MIN(DKW_10Y!$A$2:$A$2918)),NA(),(INDEX(DKW_10Y!$H$2:$H$2918,MATCH($A469,DKW_10Y!$A$2:$A$2918,1))-INDEX(DKW_10Y!$H$2:$H$2918,MATCH(Settings!$B$16,DKW_10Y!$A$2:$A$2918,1)))*100))</f>
        <v/>
      </c>
      <c r="AC469" s="18">
        <f>IF(NOT(ISNUMBER($A469)),NA(),IFERROR(1*INDEX(BBG_Data!$N$2:$N$4000,MATCH($A469,BBG_Data!$M$2:$M$4000,0)),NA()))</f>
        <v/>
      </c>
      <c r="AD469" s="18">
        <f>IF(NOT(ISNUMBER($A469)),NA(),IFERROR(1*INDEX(BBG_Data!$P$2:$P$4000,MATCH($A469,BBG_Data!$O$2:$O$4000,0)),NA()))</f>
        <v/>
      </c>
      <c r="AE469" s="18">
        <f>IF(NOT(ISNUMBER($A469)),NA(),IFERROR(1*INDEX(BBG_Data!$R$2:$R$4000,MATCH($A469,BBG_Data!$Q$2:$Q$4000,0)),NA()))</f>
        <v/>
      </c>
      <c r="AF469" s="20">
        <f>IF(AND(ISNUMBER(B469),ISNUMBER(AC469)),(B469-AC469)*100,NA())</f>
        <v/>
      </c>
      <c r="AG469" s="20">
        <f>IF(AND(ISNUMBER(AE469),ISNUMBER(AD469)),(AE469-AD469)*100,NA())</f>
        <v/>
      </c>
      <c r="AH469" s="19">
        <f>IF(NOT(ISNUMBER($A469)),NA(),IFERROR(INDEX(BBG_Data!$T$2:$T$4000,MATCH($A469,BBG_Data!$S$2:$S$4000,0))*Settings!$B$25,NA()))</f>
        <v/>
      </c>
      <c r="AI469" s="19">
        <f>IF(NOT(ISNUMBER($A469)),NA(),IFERROR(INDEX(BBG_Data!$V$2:$V$4000,MATCH($A469,BBG_Data!$U$2:$U$4000,0))*Settings!$B$25,NA()))</f>
        <v/>
      </c>
      <c r="AJ469" s="19">
        <f>IF(NOT(ISNUMBER($A469)),NA(),IFERROR(1*INDEX(BBG_Data!$X$2:$X$4000,MATCH($A469,BBG_Data!$W$2:$W$4000,0)),NA()))</f>
        <v/>
      </c>
      <c r="AK469" s="19">
        <f>IF(NOT(ISNUMBER($A469)),NA(),IFERROR(1*INDEX(BBG_Data!$Z$2:$Z$4000,MATCH($A469,BBG_Data!$Y$2:$Y$4000,0)),NA()))</f>
        <v/>
      </c>
    </row>
    <row r="470">
      <c r="A470" s="17">
        <f>IF(ISNUMBER(BBG_Data!A470),BBG_Data!A470,"")</f>
        <v/>
      </c>
      <c r="B470" s="18">
        <f>IF(AND(ISNUMBER($A470),ISNUMBER(BBG_Data!B470)),BBG_Data!B470,NA())</f>
        <v/>
      </c>
      <c r="C470" s="18">
        <f>IF(NOT(ISNUMBER($A470)),NA(),IFERROR(1*INDEX(BBG_Data!$D$2:$D$4000,MATCH($A470,BBG_Data!$C$2:$C$4000,0)),NA()))</f>
        <v/>
      </c>
      <c r="D470" s="19">
        <f>IF(NOT(ISNUMBER($A470)),NA(),IFERROR(1*INDEX(BBG_Data!$F$2:$F$4000,MATCH($A470,BBG_Data!$E$2:$E$4000,0)),NA()))</f>
        <v/>
      </c>
      <c r="E470" s="19">
        <f>IF(NOT(ISNUMBER($A470)),NA(),IFERROR(1*INDEX(BBG_Data!$H$2:$H$4000,MATCH($A470,BBG_Data!$G$2:$G$4000,0)),NA()))</f>
        <v/>
      </c>
      <c r="F470" s="20">
        <f>IF(AND(ISNUMBER(B470),ISNUMBER(B469)),IF(B470=B469,"",(B470-B469)*100),"")</f>
        <v/>
      </c>
      <c r="G470" s="20">
        <f>IF(AND(ISNUMBER(C470),ISNUMBER(C469)),IF(C470=C469,"",(C470-C469)*100),"")</f>
        <v/>
      </c>
      <c r="H470" s="20">
        <f>IF(OR(NOT(ISNUMBER($A470)),ROW()-2&lt;Settings!$B$11),NA(),IF(COUNT(OFFSET(F470,1-Settings!$B$11,0,Settings!$B$11,1))&lt;ROUNDUP(Settings!$B$11*Settings!$B$26,0),NA(),STDEV(OFFSET(F470,1-Settings!$B$11,0,Settings!$B$11,1))*SQRT(Settings!$B$13)))</f>
        <v/>
      </c>
      <c r="I470" s="20">
        <f>IF(OR(NOT(ISNUMBER($A470)),ROW()-2&lt;Settings!$B$12),NA(),IF(COUNT(OFFSET(F470,1-Settings!$B$12,0,Settings!$B$12,1))&lt;ROUNDUP(Settings!$B$12*Settings!$B$26,0),NA(),STDEV(OFFSET(F470,1-Settings!$B$12,0,Settings!$B$12,1))*SQRT(Settings!$B$13)))</f>
        <v/>
      </c>
      <c r="J470" s="20">
        <f>IF(OR(NOT(ISNUMBER($A470)),ROW()-2&lt;Settings!$B$11),NA(),IF(COUNT(OFFSET(G470,1-Settings!$B$11,0,Settings!$B$11,1))&lt;ROUNDUP(Settings!$B$11*Settings!$B$26,0),NA(),STDEV(OFFSET(G470,1-Settings!$B$11,0,Settings!$B$11,1))*SQRT(Settings!$B$13)))</f>
        <v/>
      </c>
      <c r="K470" s="20">
        <f>IF(OR(NOT(ISNUMBER($A470)),ROW()-2&lt;Settings!$B$12),NA(),IF(COUNT(OFFSET(G470,1-Settings!$B$12,0,Settings!$B$12,1))&lt;ROUNDUP(Settings!$B$12*Settings!$B$26,0),NA(),STDEV(OFFSET(G470,1-Settings!$B$12,0,Settings!$B$12,1))*SQRT(Settings!$B$13)))</f>
        <v/>
      </c>
      <c r="L470" s="20">
        <f>IF(AND(ISNUMBER(D470),ISNUMBER(H470)),D470-H470,NA())</f>
        <v/>
      </c>
      <c r="M470" s="20">
        <f>IF(AND(ISNUMBER(E470),ISNUMBER(K470)),E470-K470,NA())</f>
        <v/>
      </c>
      <c r="N470" s="20">
        <f>IF(NOT(ISNUMBER($A470)),NA(),IF(COUNT(OFFSET(G470,1,0,Settings!$B$12,1))&lt;ROUNDUP(Settings!$B$12*Settings!$B$26,0),NA(),STDEV(OFFSET(G470,1,0,Settings!$B$12,1))*SQRT(Settings!$B$13)))</f>
        <v/>
      </c>
      <c r="O470" s="20">
        <f>IF(AND(ISNUMBER(E470),ISNUMBER(N470)),E470-N470,NA())</f>
        <v/>
      </c>
      <c r="P470" s="19">
        <f>IF(NOT(ISNUMBER($A470)),NA(),IF(OR($A470&lt;MIN(KW_TP!$A$2:$A$2501),$A470&gt;MAX(KW_TP!$A$2:$A$2501)),NA(),INDEX(KW_TP!$C$2:$C$2501,MATCH($A470,KW_TP!$A$2:$A$2501,1))))</f>
        <v/>
      </c>
      <c r="Q470" s="18">
        <f>IF(NOT(ISNUMBER($A470)),NA(),IFERROR(1*INDEX(BBG_Data!$J$2:$J$4000,MATCH($A470,BBG_Data!$I$2:$I$4000,0)),NA()))</f>
        <v/>
      </c>
      <c r="R470" s="18">
        <f>IF(NOT(ISNUMBER($A470)),NA(),IFERROR(1*INDEX(BBG_Data!$L$2:$L$4000,MATCH($A470,BBG_Data!$K$2:$K$4000,0)),NA()))</f>
        <v/>
      </c>
      <c r="S470" s="20">
        <f>IF(AND(ISNUMBER(B470),ISNUMBER(Q470),ISNUMBER(R470)),(B470-Q470-R470)*100,NA())</f>
        <v/>
      </c>
      <c r="T470" s="20">
        <f>IF(AND(ISNUMBER(B470),Settings!$B$17&gt;0),IF(ISNUMBER(INDEX($B:$B,Settings!$B$17)),(B470-INDEX($B:$B,Settings!$B$17))*100,NA()),NA())</f>
        <v/>
      </c>
      <c r="U470" s="20">
        <f>IF(AND(ISNUMBER(Q470),Settings!$B$17&gt;0),IF(ISNUMBER(INDEX($Q:$Q,Settings!$B$17)),(Q470-INDEX($Q:$Q,Settings!$B$17))*100,NA()),NA())</f>
        <v/>
      </c>
      <c r="V470" s="20">
        <f>IF(AND(ISNUMBER(R470),Settings!$B$17&gt;0),IF(ISNUMBER(INDEX($R:$R,Settings!$B$17)),(R470-INDEX($R:$R,Settings!$B$17))*100,NA()),NA())</f>
        <v/>
      </c>
      <c r="W470" s="20">
        <f>IF(AND(ISNUMBER(P470),Settings!$B$17&gt;0),IF(ISNUMBER(INDEX($P:$P,Settings!$B$17)),P470-INDEX($P:$P,Settings!$B$17),NA()),NA())</f>
        <v/>
      </c>
      <c r="X470" s="19">
        <f>IF(NOT(ISNUMBER($A470)),NA(),IF(OR($A470&lt;MIN(DKW_10Y!$A$2:$A$2918),$A470&gt;MAX(DKW_10Y!$A$2:$A$2918),Settings!$B$16&lt;MIN(DKW_10Y!$A$2:$A$2918)),NA(),(INDEX(DKW_10Y!$B$2:$B$2918,MATCH($A470,DKW_10Y!$A$2:$A$2918,1))-INDEX(DKW_10Y!$B$2:$B$2918,MATCH(Settings!$B$16,DKW_10Y!$A$2:$A$2918,1)))*100))</f>
        <v/>
      </c>
      <c r="Y470" s="19">
        <f>IF(NOT(ISNUMBER($A470)),NA(),IF(OR($A470&lt;MIN(DKW_10Y!$A$2:$A$2918),$A470&gt;MAX(DKW_10Y!$A$2:$A$2918),Settings!$B$16&lt;MIN(DKW_10Y!$A$2:$A$2918)),NA(),(INDEX(DKW_10Y!$C$2:$C$2918,MATCH($A470,DKW_10Y!$A$2:$A$2918,1))-INDEX(DKW_10Y!$C$2:$C$2918,MATCH(Settings!$B$16,DKW_10Y!$A$2:$A$2918,1)))*100))</f>
        <v/>
      </c>
      <c r="Z470" s="19">
        <f>IF(NOT(ISNUMBER($A470)),NA(),IF(OR($A470&lt;MIN(DKW_10Y!$A$2:$A$2918),$A470&gt;MAX(DKW_10Y!$A$2:$A$2918),Settings!$B$16&lt;MIN(DKW_10Y!$A$2:$A$2918)),NA(),(INDEX(DKW_10Y!$D$2:$D$2918,MATCH($A470,DKW_10Y!$A$2:$A$2918,1))-INDEX(DKW_10Y!$D$2:$D$2918,MATCH(Settings!$B$16,DKW_10Y!$A$2:$A$2918,1)))*100))</f>
        <v/>
      </c>
      <c r="AA470" s="19">
        <f>IF(NOT(ISNUMBER($A470)),NA(),IF(OR($A470&lt;MIN(DKW_10Y!$A$2:$A$2918),$A470&gt;MAX(DKW_10Y!$A$2:$A$2918),Settings!$B$16&lt;MIN(DKW_10Y!$A$2:$A$2918)),NA(),(INDEX(DKW_10Y!$E$2:$E$2918,MATCH($A470,DKW_10Y!$A$2:$A$2918,1))-INDEX(DKW_10Y!$E$2:$E$2918,MATCH(Settings!$B$16,DKW_10Y!$A$2:$A$2918,1)))*100))</f>
        <v/>
      </c>
      <c r="AB470" s="19">
        <f>IF(NOT(ISNUMBER($A470)),NA(),IF(OR($A470&lt;MIN(DKW_10Y!$A$2:$A$2918),$A470&gt;MAX(DKW_10Y!$A$2:$A$2918),Settings!$B$16&lt;MIN(DKW_10Y!$A$2:$A$2918)),NA(),(INDEX(DKW_10Y!$H$2:$H$2918,MATCH($A470,DKW_10Y!$A$2:$A$2918,1))-INDEX(DKW_10Y!$H$2:$H$2918,MATCH(Settings!$B$16,DKW_10Y!$A$2:$A$2918,1)))*100))</f>
        <v/>
      </c>
      <c r="AC470" s="18">
        <f>IF(NOT(ISNUMBER($A470)),NA(),IFERROR(1*INDEX(BBG_Data!$N$2:$N$4000,MATCH($A470,BBG_Data!$M$2:$M$4000,0)),NA()))</f>
        <v/>
      </c>
      <c r="AD470" s="18">
        <f>IF(NOT(ISNUMBER($A470)),NA(),IFERROR(1*INDEX(BBG_Data!$P$2:$P$4000,MATCH($A470,BBG_Data!$O$2:$O$4000,0)),NA()))</f>
        <v/>
      </c>
      <c r="AE470" s="18">
        <f>IF(NOT(ISNUMBER($A470)),NA(),IFERROR(1*INDEX(BBG_Data!$R$2:$R$4000,MATCH($A470,BBG_Data!$Q$2:$Q$4000,0)),NA()))</f>
        <v/>
      </c>
      <c r="AF470" s="20">
        <f>IF(AND(ISNUMBER(B470),ISNUMBER(AC470)),(B470-AC470)*100,NA())</f>
        <v/>
      </c>
      <c r="AG470" s="20">
        <f>IF(AND(ISNUMBER(AE470),ISNUMBER(AD470)),(AE470-AD470)*100,NA())</f>
        <v/>
      </c>
      <c r="AH470" s="19">
        <f>IF(NOT(ISNUMBER($A470)),NA(),IFERROR(INDEX(BBG_Data!$T$2:$T$4000,MATCH($A470,BBG_Data!$S$2:$S$4000,0))*Settings!$B$25,NA()))</f>
        <v/>
      </c>
      <c r="AI470" s="19">
        <f>IF(NOT(ISNUMBER($A470)),NA(),IFERROR(INDEX(BBG_Data!$V$2:$V$4000,MATCH($A470,BBG_Data!$U$2:$U$4000,0))*Settings!$B$25,NA()))</f>
        <v/>
      </c>
      <c r="AJ470" s="19">
        <f>IF(NOT(ISNUMBER($A470)),NA(),IFERROR(1*INDEX(BBG_Data!$X$2:$X$4000,MATCH($A470,BBG_Data!$W$2:$W$4000,0)),NA()))</f>
        <v/>
      </c>
      <c r="AK470" s="19">
        <f>IF(NOT(ISNUMBER($A470)),NA(),IFERROR(1*INDEX(BBG_Data!$Z$2:$Z$4000,MATCH($A470,BBG_Data!$Y$2:$Y$4000,0)),NA()))</f>
        <v/>
      </c>
    </row>
    <row r="471">
      <c r="A471" s="17">
        <f>IF(ISNUMBER(BBG_Data!A471),BBG_Data!A471,"")</f>
        <v/>
      </c>
      <c r="B471" s="18">
        <f>IF(AND(ISNUMBER($A471),ISNUMBER(BBG_Data!B471)),BBG_Data!B471,NA())</f>
        <v/>
      </c>
      <c r="C471" s="18">
        <f>IF(NOT(ISNUMBER($A471)),NA(),IFERROR(1*INDEX(BBG_Data!$D$2:$D$4000,MATCH($A471,BBG_Data!$C$2:$C$4000,0)),NA()))</f>
        <v/>
      </c>
      <c r="D471" s="19">
        <f>IF(NOT(ISNUMBER($A471)),NA(),IFERROR(1*INDEX(BBG_Data!$F$2:$F$4000,MATCH($A471,BBG_Data!$E$2:$E$4000,0)),NA()))</f>
        <v/>
      </c>
      <c r="E471" s="19">
        <f>IF(NOT(ISNUMBER($A471)),NA(),IFERROR(1*INDEX(BBG_Data!$H$2:$H$4000,MATCH($A471,BBG_Data!$G$2:$G$4000,0)),NA()))</f>
        <v/>
      </c>
      <c r="F471" s="20">
        <f>IF(AND(ISNUMBER(B471),ISNUMBER(B470)),IF(B471=B470,"",(B471-B470)*100),"")</f>
        <v/>
      </c>
      <c r="G471" s="20">
        <f>IF(AND(ISNUMBER(C471),ISNUMBER(C470)),IF(C471=C470,"",(C471-C470)*100),"")</f>
        <v/>
      </c>
      <c r="H471" s="20">
        <f>IF(OR(NOT(ISNUMBER($A471)),ROW()-2&lt;Settings!$B$11),NA(),IF(COUNT(OFFSET(F471,1-Settings!$B$11,0,Settings!$B$11,1))&lt;ROUNDUP(Settings!$B$11*Settings!$B$26,0),NA(),STDEV(OFFSET(F471,1-Settings!$B$11,0,Settings!$B$11,1))*SQRT(Settings!$B$13)))</f>
        <v/>
      </c>
      <c r="I471" s="20">
        <f>IF(OR(NOT(ISNUMBER($A471)),ROW()-2&lt;Settings!$B$12),NA(),IF(COUNT(OFFSET(F471,1-Settings!$B$12,0,Settings!$B$12,1))&lt;ROUNDUP(Settings!$B$12*Settings!$B$26,0),NA(),STDEV(OFFSET(F471,1-Settings!$B$12,0,Settings!$B$12,1))*SQRT(Settings!$B$13)))</f>
        <v/>
      </c>
      <c r="J471" s="20">
        <f>IF(OR(NOT(ISNUMBER($A471)),ROW()-2&lt;Settings!$B$11),NA(),IF(COUNT(OFFSET(G471,1-Settings!$B$11,0,Settings!$B$11,1))&lt;ROUNDUP(Settings!$B$11*Settings!$B$26,0),NA(),STDEV(OFFSET(G471,1-Settings!$B$11,0,Settings!$B$11,1))*SQRT(Settings!$B$13)))</f>
        <v/>
      </c>
      <c r="K471" s="20">
        <f>IF(OR(NOT(ISNUMBER($A471)),ROW()-2&lt;Settings!$B$12),NA(),IF(COUNT(OFFSET(G471,1-Settings!$B$12,0,Settings!$B$12,1))&lt;ROUNDUP(Settings!$B$12*Settings!$B$26,0),NA(),STDEV(OFFSET(G471,1-Settings!$B$12,0,Settings!$B$12,1))*SQRT(Settings!$B$13)))</f>
        <v/>
      </c>
      <c r="L471" s="20">
        <f>IF(AND(ISNUMBER(D471),ISNUMBER(H471)),D471-H471,NA())</f>
        <v/>
      </c>
      <c r="M471" s="20">
        <f>IF(AND(ISNUMBER(E471),ISNUMBER(K471)),E471-K471,NA())</f>
        <v/>
      </c>
      <c r="N471" s="20">
        <f>IF(NOT(ISNUMBER($A471)),NA(),IF(COUNT(OFFSET(G471,1,0,Settings!$B$12,1))&lt;ROUNDUP(Settings!$B$12*Settings!$B$26,0),NA(),STDEV(OFFSET(G471,1,0,Settings!$B$12,1))*SQRT(Settings!$B$13)))</f>
        <v/>
      </c>
      <c r="O471" s="20">
        <f>IF(AND(ISNUMBER(E471),ISNUMBER(N471)),E471-N471,NA())</f>
        <v/>
      </c>
      <c r="P471" s="19">
        <f>IF(NOT(ISNUMBER($A471)),NA(),IF(OR($A471&lt;MIN(KW_TP!$A$2:$A$2501),$A471&gt;MAX(KW_TP!$A$2:$A$2501)),NA(),INDEX(KW_TP!$C$2:$C$2501,MATCH($A471,KW_TP!$A$2:$A$2501,1))))</f>
        <v/>
      </c>
      <c r="Q471" s="18">
        <f>IF(NOT(ISNUMBER($A471)),NA(),IFERROR(1*INDEX(BBG_Data!$J$2:$J$4000,MATCH($A471,BBG_Data!$I$2:$I$4000,0)),NA()))</f>
        <v/>
      </c>
      <c r="R471" s="18">
        <f>IF(NOT(ISNUMBER($A471)),NA(),IFERROR(1*INDEX(BBG_Data!$L$2:$L$4000,MATCH($A471,BBG_Data!$K$2:$K$4000,0)),NA()))</f>
        <v/>
      </c>
      <c r="S471" s="20">
        <f>IF(AND(ISNUMBER(B471),ISNUMBER(Q471),ISNUMBER(R471)),(B471-Q471-R471)*100,NA())</f>
        <v/>
      </c>
      <c r="T471" s="20">
        <f>IF(AND(ISNUMBER(B471),Settings!$B$17&gt;0),IF(ISNUMBER(INDEX($B:$B,Settings!$B$17)),(B471-INDEX($B:$B,Settings!$B$17))*100,NA()),NA())</f>
        <v/>
      </c>
      <c r="U471" s="20">
        <f>IF(AND(ISNUMBER(Q471),Settings!$B$17&gt;0),IF(ISNUMBER(INDEX($Q:$Q,Settings!$B$17)),(Q471-INDEX($Q:$Q,Settings!$B$17))*100,NA()),NA())</f>
        <v/>
      </c>
      <c r="V471" s="20">
        <f>IF(AND(ISNUMBER(R471),Settings!$B$17&gt;0),IF(ISNUMBER(INDEX($R:$R,Settings!$B$17)),(R471-INDEX($R:$R,Settings!$B$17))*100,NA()),NA())</f>
        <v/>
      </c>
      <c r="W471" s="20">
        <f>IF(AND(ISNUMBER(P471),Settings!$B$17&gt;0),IF(ISNUMBER(INDEX($P:$P,Settings!$B$17)),P471-INDEX($P:$P,Settings!$B$17),NA()),NA())</f>
        <v/>
      </c>
      <c r="X471" s="19">
        <f>IF(NOT(ISNUMBER($A471)),NA(),IF(OR($A471&lt;MIN(DKW_10Y!$A$2:$A$2918),$A471&gt;MAX(DKW_10Y!$A$2:$A$2918),Settings!$B$16&lt;MIN(DKW_10Y!$A$2:$A$2918)),NA(),(INDEX(DKW_10Y!$B$2:$B$2918,MATCH($A471,DKW_10Y!$A$2:$A$2918,1))-INDEX(DKW_10Y!$B$2:$B$2918,MATCH(Settings!$B$16,DKW_10Y!$A$2:$A$2918,1)))*100))</f>
        <v/>
      </c>
      <c r="Y471" s="19">
        <f>IF(NOT(ISNUMBER($A471)),NA(),IF(OR($A471&lt;MIN(DKW_10Y!$A$2:$A$2918),$A471&gt;MAX(DKW_10Y!$A$2:$A$2918),Settings!$B$16&lt;MIN(DKW_10Y!$A$2:$A$2918)),NA(),(INDEX(DKW_10Y!$C$2:$C$2918,MATCH($A471,DKW_10Y!$A$2:$A$2918,1))-INDEX(DKW_10Y!$C$2:$C$2918,MATCH(Settings!$B$16,DKW_10Y!$A$2:$A$2918,1)))*100))</f>
        <v/>
      </c>
      <c r="Z471" s="19">
        <f>IF(NOT(ISNUMBER($A471)),NA(),IF(OR($A471&lt;MIN(DKW_10Y!$A$2:$A$2918),$A471&gt;MAX(DKW_10Y!$A$2:$A$2918),Settings!$B$16&lt;MIN(DKW_10Y!$A$2:$A$2918)),NA(),(INDEX(DKW_10Y!$D$2:$D$2918,MATCH($A471,DKW_10Y!$A$2:$A$2918,1))-INDEX(DKW_10Y!$D$2:$D$2918,MATCH(Settings!$B$16,DKW_10Y!$A$2:$A$2918,1)))*100))</f>
        <v/>
      </c>
      <c r="AA471" s="19">
        <f>IF(NOT(ISNUMBER($A471)),NA(),IF(OR($A471&lt;MIN(DKW_10Y!$A$2:$A$2918),$A471&gt;MAX(DKW_10Y!$A$2:$A$2918),Settings!$B$16&lt;MIN(DKW_10Y!$A$2:$A$2918)),NA(),(INDEX(DKW_10Y!$E$2:$E$2918,MATCH($A471,DKW_10Y!$A$2:$A$2918,1))-INDEX(DKW_10Y!$E$2:$E$2918,MATCH(Settings!$B$16,DKW_10Y!$A$2:$A$2918,1)))*100))</f>
        <v/>
      </c>
      <c r="AB471" s="19">
        <f>IF(NOT(ISNUMBER($A471)),NA(),IF(OR($A471&lt;MIN(DKW_10Y!$A$2:$A$2918),$A471&gt;MAX(DKW_10Y!$A$2:$A$2918),Settings!$B$16&lt;MIN(DKW_10Y!$A$2:$A$2918)),NA(),(INDEX(DKW_10Y!$H$2:$H$2918,MATCH($A471,DKW_10Y!$A$2:$A$2918,1))-INDEX(DKW_10Y!$H$2:$H$2918,MATCH(Settings!$B$16,DKW_10Y!$A$2:$A$2918,1)))*100))</f>
        <v/>
      </c>
      <c r="AC471" s="18">
        <f>IF(NOT(ISNUMBER($A471)),NA(),IFERROR(1*INDEX(BBG_Data!$N$2:$N$4000,MATCH($A471,BBG_Data!$M$2:$M$4000,0)),NA()))</f>
        <v/>
      </c>
      <c r="AD471" s="18">
        <f>IF(NOT(ISNUMBER($A471)),NA(),IFERROR(1*INDEX(BBG_Data!$P$2:$P$4000,MATCH($A471,BBG_Data!$O$2:$O$4000,0)),NA()))</f>
        <v/>
      </c>
      <c r="AE471" s="18">
        <f>IF(NOT(ISNUMBER($A471)),NA(),IFERROR(1*INDEX(BBG_Data!$R$2:$R$4000,MATCH($A471,BBG_Data!$Q$2:$Q$4000,0)),NA()))</f>
        <v/>
      </c>
      <c r="AF471" s="20">
        <f>IF(AND(ISNUMBER(B471),ISNUMBER(AC471)),(B471-AC471)*100,NA())</f>
        <v/>
      </c>
      <c r="AG471" s="20">
        <f>IF(AND(ISNUMBER(AE471),ISNUMBER(AD471)),(AE471-AD471)*100,NA())</f>
        <v/>
      </c>
      <c r="AH471" s="19">
        <f>IF(NOT(ISNUMBER($A471)),NA(),IFERROR(INDEX(BBG_Data!$T$2:$T$4000,MATCH($A471,BBG_Data!$S$2:$S$4000,0))*Settings!$B$25,NA()))</f>
        <v/>
      </c>
      <c r="AI471" s="19">
        <f>IF(NOT(ISNUMBER($A471)),NA(),IFERROR(INDEX(BBG_Data!$V$2:$V$4000,MATCH($A471,BBG_Data!$U$2:$U$4000,0))*Settings!$B$25,NA()))</f>
        <v/>
      </c>
      <c r="AJ471" s="19">
        <f>IF(NOT(ISNUMBER($A471)),NA(),IFERROR(1*INDEX(BBG_Data!$X$2:$X$4000,MATCH($A471,BBG_Data!$W$2:$W$4000,0)),NA()))</f>
        <v/>
      </c>
      <c r="AK471" s="19">
        <f>IF(NOT(ISNUMBER($A471)),NA(),IFERROR(1*INDEX(BBG_Data!$Z$2:$Z$4000,MATCH($A471,BBG_Data!$Y$2:$Y$4000,0)),NA()))</f>
        <v/>
      </c>
    </row>
    <row r="472">
      <c r="A472" s="17">
        <f>IF(ISNUMBER(BBG_Data!A472),BBG_Data!A472,"")</f>
        <v/>
      </c>
      <c r="B472" s="18">
        <f>IF(AND(ISNUMBER($A472),ISNUMBER(BBG_Data!B472)),BBG_Data!B472,NA())</f>
        <v/>
      </c>
      <c r="C472" s="18">
        <f>IF(NOT(ISNUMBER($A472)),NA(),IFERROR(1*INDEX(BBG_Data!$D$2:$D$4000,MATCH($A472,BBG_Data!$C$2:$C$4000,0)),NA()))</f>
        <v/>
      </c>
      <c r="D472" s="19">
        <f>IF(NOT(ISNUMBER($A472)),NA(),IFERROR(1*INDEX(BBG_Data!$F$2:$F$4000,MATCH($A472,BBG_Data!$E$2:$E$4000,0)),NA()))</f>
        <v/>
      </c>
      <c r="E472" s="19">
        <f>IF(NOT(ISNUMBER($A472)),NA(),IFERROR(1*INDEX(BBG_Data!$H$2:$H$4000,MATCH($A472,BBG_Data!$G$2:$G$4000,0)),NA()))</f>
        <v/>
      </c>
      <c r="F472" s="20">
        <f>IF(AND(ISNUMBER(B472),ISNUMBER(B471)),IF(B472=B471,"",(B472-B471)*100),"")</f>
        <v/>
      </c>
      <c r="G472" s="20">
        <f>IF(AND(ISNUMBER(C472),ISNUMBER(C471)),IF(C472=C471,"",(C472-C471)*100),"")</f>
        <v/>
      </c>
      <c r="H472" s="20">
        <f>IF(OR(NOT(ISNUMBER($A472)),ROW()-2&lt;Settings!$B$11),NA(),IF(COUNT(OFFSET(F472,1-Settings!$B$11,0,Settings!$B$11,1))&lt;ROUNDUP(Settings!$B$11*Settings!$B$26,0),NA(),STDEV(OFFSET(F472,1-Settings!$B$11,0,Settings!$B$11,1))*SQRT(Settings!$B$13)))</f>
        <v/>
      </c>
      <c r="I472" s="20">
        <f>IF(OR(NOT(ISNUMBER($A472)),ROW()-2&lt;Settings!$B$12),NA(),IF(COUNT(OFFSET(F472,1-Settings!$B$12,0,Settings!$B$12,1))&lt;ROUNDUP(Settings!$B$12*Settings!$B$26,0),NA(),STDEV(OFFSET(F472,1-Settings!$B$12,0,Settings!$B$12,1))*SQRT(Settings!$B$13)))</f>
        <v/>
      </c>
      <c r="J472" s="20">
        <f>IF(OR(NOT(ISNUMBER($A472)),ROW()-2&lt;Settings!$B$11),NA(),IF(COUNT(OFFSET(G472,1-Settings!$B$11,0,Settings!$B$11,1))&lt;ROUNDUP(Settings!$B$11*Settings!$B$26,0),NA(),STDEV(OFFSET(G472,1-Settings!$B$11,0,Settings!$B$11,1))*SQRT(Settings!$B$13)))</f>
        <v/>
      </c>
      <c r="K472" s="20">
        <f>IF(OR(NOT(ISNUMBER($A472)),ROW()-2&lt;Settings!$B$12),NA(),IF(COUNT(OFFSET(G472,1-Settings!$B$12,0,Settings!$B$12,1))&lt;ROUNDUP(Settings!$B$12*Settings!$B$26,0),NA(),STDEV(OFFSET(G472,1-Settings!$B$12,0,Settings!$B$12,1))*SQRT(Settings!$B$13)))</f>
        <v/>
      </c>
      <c r="L472" s="20">
        <f>IF(AND(ISNUMBER(D472),ISNUMBER(H472)),D472-H472,NA())</f>
        <v/>
      </c>
      <c r="M472" s="20">
        <f>IF(AND(ISNUMBER(E472),ISNUMBER(K472)),E472-K472,NA())</f>
        <v/>
      </c>
      <c r="N472" s="20">
        <f>IF(NOT(ISNUMBER($A472)),NA(),IF(COUNT(OFFSET(G472,1,0,Settings!$B$12,1))&lt;ROUNDUP(Settings!$B$12*Settings!$B$26,0),NA(),STDEV(OFFSET(G472,1,0,Settings!$B$12,1))*SQRT(Settings!$B$13)))</f>
        <v/>
      </c>
      <c r="O472" s="20">
        <f>IF(AND(ISNUMBER(E472),ISNUMBER(N472)),E472-N472,NA())</f>
        <v/>
      </c>
      <c r="P472" s="19">
        <f>IF(NOT(ISNUMBER($A472)),NA(),IF(OR($A472&lt;MIN(KW_TP!$A$2:$A$2501),$A472&gt;MAX(KW_TP!$A$2:$A$2501)),NA(),INDEX(KW_TP!$C$2:$C$2501,MATCH($A472,KW_TP!$A$2:$A$2501,1))))</f>
        <v/>
      </c>
      <c r="Q472" s="18">
        <f>IF(NOT(ISNUMBER($A472)),NA(),IFERROR(1*INDEX(BBG_Data!$J$2:$J$4000,MATCH($A472,BBG_Data!$I$2:$I$4000,0)),NA()))</f>
        <v/>
      </c>
      <c r="R472" s="18">
        <f>IF(NOT(ISNUMBER($A472)),NA(),IFERROR(1*INDEX(BBG_Data!$L$2:$L$4000,MATCH($A472,BBG_Data!$K$2:$K$4000,0)),NA()))</f>
        <v/>
      </c>
      <c r="S472" s="20">
        <f>IF(AND(ISNUMBER(B472),ISNUMBER(Q472),ISNUMBER(R472)),(B472-Q472-R472)*100,NA())</f>
        <v/>
      </c>
      <c r="T472" s="20">
        <f>IF(AND(ISNUMBER(B472),Settings!$B$17&gt;0),IF(ISNUMBER(INDEX($B:$B,Settings!$B$17)),(B472-INDEX($B:$B,Settings!$B$17))*100,NA()),NA())</f>
        <v/>
      </c>
      <c r="U472" s="20">
        <f>IF(AND(ISNUMBER(Q472),Settings!$B$17&gt;0),IF(ISNUMBER(INDEX($Q:$Q,Settings!$B$17)),(Q472-INDEX($Q:$Q,Settings!$B$17))*100,NA()),NA())</f>
        <v/>
      </c>
      <c r="V472" s="20">
        <f>IF(AND(ISNUMBER(R472),Settings!$B$17&gt;0),IF(ISNUMBER(INDEX($R:$R,Settings!$B$17)),(R472-INDEX($R:$R,Settings!$B$17))*100,NA()),NA())</f>
        <v/>
      </c>
      <c r="W472" s="20">
        <f>IF(AND(ISNUMBER(P472),Settings!$B$17&gt;0),IF(ISNUMBER(INDEX($P:$P,Settings!$B$17)),P472-INDEX($P:$P,Settings!$B$17),NA()),NA())</f>
        <v/>
      </c>
      <c r="X472" s="19">
        <f>IF(NOT(ISNUMBER($A472)),NA(),IF(OR($A472&lt;MIN(DKW_10Y!$A$2:$A$2918),$A472&gt;MAX(DKW_10Y!$A$2:$A$2918),Settings!$B$16&lt;MIN(DKW_10Y!$A$2:$A$2918)),NA(),(INDEX(DKW_10Y!$B$2:$B$2918,MATCH($A472,DKW_10Y!$A$2:$A$2918,1))-INDEX(DKW_10Y!$B$2:$B$2918,MATCH(Settings!$B$16,DKW_10Y!$A$2:$A$2918,1)))*100))</f>
        <v/>
      </c>
      <c r="Y472" s="19">
        <f>IF(NOT(ISNUMBER($A472)),NA(),IF(OR($A472&lt;MIN(DKW_10Y!$A$2:$A$2918),$A472&gt;MAX(DKW_10Y!$A$2:$A$2918),Settings!$B$16&lt;MIN(DKW_10Y!$A$2:$A$2918)),NA(),(INDEX(DKW_10Y!$C$2:$C$2918,MATCH($A472,DKW_10Y!$A$2:$A$2918,1))-INDEX(DKW_10Y!$C$2:$C$2918,MATCH(Settings!$B$16,DKW_10Y!$A$2:$A$2918,1)))*100))</f>
        <v/>
      </c>
      <c r="Z472" s="19">
        <f>IF(NOT(ISNUMBER($A472)),NA(),IF(OR($A472&lt;MIN(DKW_10Y!$A$2:$A$2918),$A472&gt;MAX(DKW_10Y!$A$2:$A$2918),Settings!$B$16&lt;MIN(DKW_10Y!$A$2:$A$2918)),NA(),(INDEX(DKW_10Y!$D$2:$D$2918,MATCH($A472,DKW_10Y!$A$2:$A$2918,1))-INDEX(DKW_10Y!$D$2:$D$2918,MATCH(Settings!$B$16,DKW_10Y!$A$2:$A$2918,1)))*100))</f>
        <v/>
      </c>
      <c r="AA472" s="19">
        <f>IF(NOT(ISNUMBER($A472)),NA(),IF(OR($A472&lt;MIN(DKW_10Y!$A$2:$A$2918),$A472&gt;MAX(DKW_10Y!$A$2:$A$2918),Settings!$B$16&lt;MIN(DKW_10Y!$A$2:$A$2918)),NA(),(INDEX(DKW_10Y!$E$2:$E$2918,MATCH($A472,DKW_10Y!$A$2:$A$2918,1))-INDEX(DKW_10Y!$E$2:$E$2918,MATCH(Settings!$B$16,DKW_10Y!$A$2:$A$2918,1)))*100))</f>
        <v/>
      </c>
      <c r="AB472" s="19">
        <f>IF(NOT(ISNUMBER($A472)),NA(),IF(OR($A472&lt;MIN(DKW_10Y!$A$2:$A$2918),$A472&gt;MAX(DKW_10Y!$A$2:$A$2918),Settings!$B$16&lt;MIN(DKW_10Y!$A$2:$A$2918)),NA(),(INDEX(DKW_10Y!$H$2:$H$2918,MATCH($A472,DKW_10Y!$A$2:$A$2918,1))-INDEX(DKW_10Y!$H$2:$H$2918,MATCH(Settings!$B$16,DKW_10Y!$A$2:$A$2918,1)))*100))</f>
        <v/>
      </c>
      <c r="AC472" s="18">
        <f>IF(NOT(ISNUMBER($A472)),NA(),IFERROR(1*INDEX(BBG_Data!$N$2:$N$4000,MATCH($A472,BBG_Data!$M$2:$M$4000,0)),NA()))</f>
        <v/>
      </c>
      <c r="AD472" s="18">
        <f>IF(NOT(ISNUMBER($A472)),NA(),IFERROR(1*INDEX(BBG_Data!$P$2:$P$4000,MATCH($A472,BBG_Data!$O$2:$O$4000,0)),NA()))</f>
        <v/>
      </c>
      <c r="AE472" s="18">
        <f>IF(NOT(ISNUMBER($A472)),NA(),IFERROR(1*INDEX(BBG_Data!$R$2:$R$4000,MATCH($A472,BBG_Data!$Q$2:$Q$4000,0)),NA()))</f>
        <v/>
      </c>
      <c r="AF472" s="20">
        <f>IF(AND(ISNUMBER(B472),ISNUMBER(AC472)),(B472-AC472)*100,NA())</f>
        <v/>
      </c>
      <c r="AG472" s="20">
        <f>IF(AND(ISNUMBER(AE472),ISNUMBER(AD472)),(AE472-AD472)*100,NA())</f>
        <v/>
      </c>
      <c r="AH472" s="19">
        <f>IF(NOT(ISNUMBER($A472)),NA(),IFERROR(INDEX(BBG_Data!$T$2:$T$4000,MATCH($A472,BBG_Data!$S$2:$S$4000,0))*Settings!$B$25,NA()))</f>
        <v/>
      </c>
      <c r="AI472" s="19">
        <f>IF(NOT(ISNUMBER($A472)),NA(),IFERROR(INDEX(BBG_Data!$V$2:$V$4000,MATCH($A472,BBG_Data!$U$2:$U$4000,0))*Settings!$B$25,NA()))</f>
        <v/>
      </c>
      <c r="AJ472" s="19">
        <f>IF(NOT(ISNUMBER($A472)),NA(),IFERROR(1*INDEX(BBG_Data!$X$2:$X$4000,MATCH($A472,BBG_Data!$W$2:$W$4000,0)),NA()))</f>
        <v/>
      </c>
      <c r="AK472" s="19">
        <f>IF(NOT(ISNUMBER($A472)),NA(),IFERROR(1*INDEX(BBG_Data!$Z$2:$Z$4000,MATCH($A472,BBG_Data!$Y$2:$Y$4000,0)),NA()))</f>
        <v/>
      </c>
    </row>
    <row r="473">
      <c r="A473" s="17">
        <f>IF(ISNUMBER(BBG_Data!A473),BBG_Data!A473,"")</f>
        <v/>
      </c>
      <c r="B473" s="18">
        <f>IF(AND(ISNUMBER($A473),ISNUMBER(BBG_Data!B473)),BBG_Data!B473,NA())</f>
        <v/>
      </c>
      <c r="C473" s="18">
        <f>IF(NOT(ISNUMBER($A473)),NA(),IFERROR(1*INDEX(BBG_Data!$D$2:$D$4000,MATCH($A473,BBG_Data!$C$2:$C$4000,0)),NA()))</f>
        <v/>
      </c>
      <c r="D473" s="19">
        <f>IF(NOT(ISNUMBER($A473)),NA(),IFERROR(1*INDEX(BBG_Data!$F$2:$F$4000,MATCH($A473,BBG_Data!$E$2:$E$4000,0)),NA()))</f>
        <v/>
      </c>
      <c r="E473" s="19">
        <f>IF(NOT(ISNUMBER($A473)),NA(),IFERROR(1*INDEX(BBG_Data!$H$2:$H$4000,MATCH($A473,BBG_Data!$G$2:$G$4000,0)),NA()))</f>
        <v/>
      </c>
      <c r="F473" s="20">
        <f>IF(AND(ISNUMBER(B473),ISNUMBER(B472)),IF(B473=B472,"",(B473-B472)*100),"")</f>
        <v/>
      </c>
      <c r="G473" s="20">
        <f>IF(AND(ISNUMBER(C473),ISNUMBER(C472)),IF(C473=C472,"",(C473-C472)*100),"")</f>
        <v/>
      </c>
      <c r="H473" s="20">
        <f>IF(OR(NOT(ISNUMBER($A473)),ROW()-2&lt;Settings!$B$11),NA(),IF(COUNT(OFFSET(F473,1-Settings!$B$11,0,Settings!$B$11,1))&lt;ROUNDUP(Settings!$B$11*Settings!$B$26,0),NA(),STDEV(OFFSET(F473,1-Settings!$B$11,0,Settings!$B$11,1))*SQRT(Settings!$B$13)))</f>
        <v/>
      </c>
      <c r="I473" s="20">
        <f>IF(OR(NOT(ISNUMBER($A473)),ROW()-2&lt;Settings!$B$12),NA(),IF(COUNT(OFFSET(F473,1-Settings!$B$12,0,Settings!$B$12,1))&lt;ROUNDUP(Settings!$B$12*Settings!$B$26,0),NA(),STDEV(OFFSET(F473,1-Settings!$B$12,0,Settings!$B$12,1))*SQRT(Settings!$B$13)))</f>
        <v/>
      </c>
      <c r="J473" s="20">
        <f>IF(OR(NOT(ISNUMBER($A473)),ROW()-2&lt;Settings!$B$11),NA(),IF(COUNT(OFFSET(G473,1-Settings!$B$11,0,Settings!$B$11,1))&lt;ROUNDUP(Settings!$B$11*Settings!$B$26,0),NA(),STDEV(OFFSET(G473,1-Settings!$B$11,0,Settings!$B$11,1))*SQRT(Settings!$B$13)))</f>
        <v/>
      </c>
      <c r="K473" s="20">
        <f>IF(OR(NOT(ISNUMBER($A473)),ROW()-2&lt;Settings!$B$12),NA(),IF(COUNT(OFFSET(G473,1-Settings!$B$12,0,Settings!$B$12,1))&lt;ROUNDUP(Settings!$B$12*Settings!$B$26,0),NA(),STDEV(OFFSET(G473,1-Settings!$B$12,0,Settings!$B$12,1))*SQRT(Settings!$B$13)))</f>
        <v/>
      </c>
      <c r="L473" s="20">
        <f>IF(AND(ISNUMBER(D473),ISNUMBER(H473)),D473-H473,NA())</f>
        <v/>
      </c>
      <c r="M473" s="20">
        <f>IF(AND(ISNUMBER(E473),ISNUMBER(K473)),E473-K473,NA())</f>
        <v/>
      </c>
      <c r="N473" s="20">
        <f>IF(NOT(ISNUMBER($A473)),NA(),IF(COUNT(OFFSET(G473,1,0,Settings!$B$12,1))&lt;ROUNDUP(Settings!$B$12*Settings!$B$26,0),NA(),STDEV(OFFSET(G473,1,0,Settings!$B$12,1))*SQRT(Settings!$B$13)))</f>
        <v/>
      </c>
      <c r="O473" s="20">
        <f>IF(AND(ISNUMBER(E473),ISNUMBER(N473)),E473-N473,NA())</f>
        <v/>
      </c>
      <c r="P473" s="19">
        <f>IF(NOT(ISNUMBER($A473)),NA(),IF(OR($A473&lt;MIN(KW_TP!$A$2:$A$2501),$A473&gt;MAX(KW_TP!$A$2:$A$2501)),NA(),INDEX(KW_TP!$C$2:$C$2501,MATCH($A473,KW_TP!$A$2:$A$2501,1))))</f>
        <v/>
      </c>
      <c r="Q473" s="18">
        <f>IF(NOT(ISNUMBER($A473)),NA(),IFERROR(1*INDEX(BBG_Data!$J$2:$J$4000,MATCH($A473,BBG_Data!$I$2:$I$4000,0)),NA()))</f>
        <v/>
      </c>
      <c r="R473" s="18">
        <f>IF(NOT(ISNUMBER($A473)),NA(),IFERROR(1*INDEX(BBG_Data!$L$2:$L$4000,MATCH($A473,BBG_Data!$K$2:$K$4000,0)),NA()))</f>
        <v/>
      </c>
      <c r="S473" s="20">
        <f>IF(AND(ISNUMBER(B473),ISNUMBER(Q473),ISNUMBER(R473)),(B473-Q473-R473)*100,NA())</f>
        <v/>
      </c>
      <c r="T473" s="20">
        <f>IF(AND(ISNUMBER(B473),Settings!$B$17&gt;0),IF(ISNUMBER(INDEX($B:$B,Settings!$B$17)),(B473-INDEX($B:$B,Settings!$B$17))*100,NA()),NA())</f>
        <v/>
      </c>
      <c r="U473" s="20">
        <f>IF(AND(ISNUMBER(Q473),Settings!$B$17&gt;0),IF(ISNUMBER(INDEX($Q:$Q,Settings!$B$17)),(Q473-INDEX($Q:$Q,Settings!$B$17))*100,NA()),NA())</f>
        <v/>
      </c>
      <c r="V473" s="20">
        <f>IF(AND(ISNUMBER(R473),Settings!$B$17&gt;0),IF(ISNUMBER(INDEX($R:$R,Settings!$B$17)),(R473-INDEX($R:$R,Settings!$B$17))*100,NA()),NA())</f>
        <v/>
      </c>
      <c r="W473" s="20">
        <f>IF(AND(ISNUMBER(P473),Settings!$B$17&gt;0),IF(ISNUMBER(INDEX($P:$P,Settings!$B$17)),P473-INDEX($P:$P,Settings!$B$17),NA()),NA())</f>
        <v/>
      </c>
      <c r="X473" s="19">
        <f>IF(NOT(ISNUMBER($A473)),NA(),IF(OR($A473&lt;MIN(DKW_10Y!$A$2:$A$2918),$A473&gt;MAX(DKW_10Y!$A$2:$A$2918),Settings!$B$16&lt;MIN(DKW_10Y!$A$2:$A$2918)),NA(),(INDEX(DKW_10Y!$B$2:$B$2918,MATCH($A473,DKW_10Y!$A$2:$A$2918,1))-INDEX(DKW_10Y!$B$2:$B$2918,MATCH(Settings!$B$16,DKW_10Y!$A$2:$A$2918,1)))*100))</f>
        <v/>
      </c>
      <c r="Y473" s="19">
        <f>IF(NOT(ISNUMBER($A473)),NA(),IF(OR($A473&lt;MIN(DKW_10Y!$A$2:$A$2918),$A473&gt;MAX(DKW_10Y!$A$2:$A$2918),Settings!$B$16&lt;MIN(DKW_10Y!$A$2:$A$2918)),NA(),(INDEX(DKW_10Y!$C$2:$C$2918,MATCH($A473,DKW_10Y!$A$2:$A$2918,1))-INDEX(DKW_10Y!$C$2:$C$2918,MATCH(Settings!$B$16,DKW_10Y!$A$2:$A$2918,1)))*100))</f>
        <v/>
      </c>
      <c r="Z473" s="19">
        <f>IF(NOT(ISNUMBER($A473)),NA(),IF(OR($A473&lt;MIN(DKW_10Y!$A$2:$A$2918),$A473&gt;MAX(DKW_10Y!$A$2:$A$2918),Settings!$B$16&lt;MIN(DKW_10Y!$A$2:$A$2918)),NA(),(INDEX(DKW_10Y!$D$2:$D$2918,MATCH($A473,DKW_10Y!$A$2:$A$2918,1))-INDEX(DKW_10Y!$D$2:$D$2918,MATCH(Settings!$B$16,DKW_10Y!$A$2:$A$2918,1)))*100))</f>
        <v/>
      </c>
      <c r="AA473" s="19">
        <f>IF(NOT(ISNUMBER($A473)),NA(),IF(OR($A473&lt;MIN(DKW_10Y!$A$2:$A$2918),$A473&gt;MAX(DKW_10Y!$A$2:$A$2918),Settings!$B$16&lt;MIN(DKW_10Y!$A$2:$A$2918)),NA(),(INDEX(DKW_10Y!$E$2:$E$2918,MATCH($A473,DKW_10Y!$A$2:$A$2918,1))-INDEX(DKW_10Y!$E$2:$E$2918,MATCH(Settings!$B$16,DKW_10Y!$A$2:$A$2918,1)))*100))</f>
        <v/>
      </c>
      <c r="AB473" s="19">
        <f>IF(NOT(ISNUMBER($A473)),NA(),IF(OR($A473&lt;MIN(DKW_10Y!$A$2:$A$2918),$A473&gt;MAX(DKW_10Y!$A$2:$A$2918),Settings!$B$16&lt;MIN(DKW_10Y!$A$2:$A$2918)),NA(),(INDEX(DKW_10Y!$H$2:$H$2918,MATCH($A473,DKW_10Y!$A$2:$A$2918,1))-INDEX(DKW_10Y!$H$2:$H$2918,MATCH(Settings!$B$16,DKW_10Y!$A$2:$A$2918,1)))*100))</f>
        <v/>
      </c>
      <c r="AC473" s="18">
        <f>IF(NOT(ISNUMBER($A473)),NA(),IFERROR(1*INDEX(BBG_Data!$N$2:$N$4000,MATCH($A473,BBG_Data!$M$2:$M$4000,0)),NA()))</f>
        <v/>
      </c>
      <c r="AD473" s="18">
        <f>IF(NOT(ISNUMBER($A473)),NA(),IFERROR(1*INDEX(BBG_Data!$P$2:$P$4000,MATCH($A473,BBG_Data!$O$2:$O$4000,0)),NA()))</f>
        <v/>
      </c>
      <c r="AE473" s="18">
        <f>IF(NOT(ISNUMBER($A473)),NA(),IFERROR(1*INDEX(BBG_Data!$R$2:$R$4000,MATCH($A473,BBG_Data!$Q$2:$Q$4000,0)),NA()))</f>
        <v/>
      </c>
      <c r="AF473" s="20">
        <f>IF(AND(ISNUMBER(B473),ISNUMBER(AC473)),(B473-AC473)*100,NA())</f>
        <v/>
      </c>
      <c r="AG473" s="20">
        <f>IF(AND(ISNUMBER(AE473),ISNUMBER(AD473)),(AE473-AD473)*100,NA())</f>
        <v/>
      </c>
      <c r="AH473" s="19">
        <f>IF(NOT(ISNUMBER($A473)),NA(),IFERROR(INDEX(BBG_Data!$T$2:$T$4000,MATCH($A473,BBG_Data!$S$2:$S$4000,0))*Settings!$B$25,NA()))</f>
        <v/>
      </c>
      <c r="AI473" s="19">
        <f>IF(NOT(ISNUMBER($A473)),NA(),IFERROR(INDEX(BBG_Data!$V$2:$V$4000,MATCH($A473,BBG_Data!$U$2:$U$4000,0))*Settings!$B$25,NA()))</f>
        <v/>
      </c>
      <c r="AJ473" s="19">
        <f>IF(NOT(ISNUMBER($A473)),NA(),IFERROR(1*INDEX(BBG_Data!$X$2:$X$4000,MATCH($A473,BBG_Data!$W$2:$W$4000,0)),NA()))</f>
        <v/>
      </c>
      <c r="AK473" s="19">
        <f>IF(NOT(ISNUMBER($A473)),NA(),IFERROR(1*INDEX(BBG_Data!$Z$2:$Z$4000,MATCH($A473,BBG_Data!$Y$2:$Y$4000,0)),NA()))</f>
        <v/>
      </c>
    </row>
    <row r="474">
      <c r="A474" s="17">
        <f>IF(ISNUMBER(BBG_Data!A474),BBG_Data!A474,"")</f>
        <v/>
      </c>
      <c r="B474" s="18">
        <f>IF(AND(ISNUMBER($A474),ISNUMBER(BBG_Data!B474)),BBG_Data!B474,NA())</f>
        <v/>
      </c>
      <c r="C474" s="18">
        <f>IF(NOT(ISNUMBER($A474)),NA(),IFERROR(1*INDEX(BBG_Data!$D$2:$D$4000,MATCH($A474,BBG_Data!$C$2:$C$4000,0)),NA()))</f>
        <v/>
      </c>
      <c r="D474" s="19">
        <f>IF(NOT(ISNUMBER($A474)),NA(),IFERROR(1*INDEX(BBG_Data!$F$2:$F$4000,MATCH($A474,BBG_Data!$E$2:$E$4000,0)),NA()))</f>
        <v/>
      </c>
      <c r="E474" s="19">
        <f>IF(NOT(ISNUMBER($A474)),NA(),IFERROR(1*INDEX(BBG_Data!$H$2:$H$4000,MATCH($A474,BBG_Data!$G$2:$G$4000,0)),NA()))</f>
        <v/>
      </c>
      <c r="F474" s="20">
        <f>IF(AND(ISNUMBER(B474),ISNUMBER(B473)),IF(B474=B473,"",(B474-B473)*100),"")</f>
        <v/>
      </c>
      <c r="G474" s="20">
        <f>IF(AND(ISNUMBER(C474),ISNUMBER(C473)),IF(C474=C473,"",(C474-C473)*100),"")</f>
        <v/>
      </c>
      <c r="H474" s="20">
        <f>IF(OR(NOT(ISNUMBER($A474)),ROW()-2&lt;Settings!$B$11),NA(),IF(COUNT(OFFSET(F474,1-Settings!$B$11,0,Settings!$B$11,1))&lt;ROUNDUP(Settings!$B$11*Settings!$B$26,0),NA(),STDEV(OFFSET(F474,1-Settings!$B$11,0,Settings!$B$11,1))*SQRT(Settings!$B$13)))</f>
        <v/>
      </c>
      <c r="I474" s="20">
        <f>IF(OR(NOT(ISNUMBER($A474)),ROW()-2&lt;Settings!$B$12),NA(),IF(COUNT(OFFSET(F474,1-Settings!$B$12,0,Settings!$B$12,1))&lt;ROUNDUP(Settings!$B$12*Settings!$B$26,0),NA(),STDEV(OFFSET(F474,1-Settings!$B$12,0,Settings!$B$12,1))*SQRT(Settings!$B$13)))</f>
        <v/>
      </c>
      <c r="J474" s="20">
        <f>IF(OR(NOT(ISNUMBER($A474)),ROW()-2&lt;Settings!$B$11),NA(),IF(COUNT(OFFSET(G474,1-Settings!$B$11,0,Settings!$B$11,1))&lt;ROUNDUP(Settings!$B$11*Settings!$B$26,0),NA(),STDEV(OFFSET(G474,1-Settings!$B$11,0,Settings!$B$11,1))*SQRT(Settings!$B$13)))</f>
        <v/>
      </c>
      <c r="K474" s="20">
        <f>IF(OR(NOT(ISNUMBER($A474)),ROW()-2&lt;Settings!$B$12),NA(),IF(COUNT(OFFSET(G474,1-Settings!$B$12,0,Settings!$B$12,1))&lt;ROUNDUP(Settings!$B$12*Settings!$B$26,0),NA(),STDEV(OFFSET(G474,1-Settings!$B$12,0,Settings!$B$12,1))*SQRT(Settings!$B$13)))</f>
        <v/>
      </c>
      <c r="L474" s="20">
        <f>IF(AND(ISNUMBER(D474),ISNUMBER(H474)),D474-H474,NA())</f>
        <v/>
      </c>
      <c r="M474" s="20">
        <f>IF(AND(ISNUMBER(E474),ISNUMBER(K474)),E474-K474,NA())</f>
        <v/>
      </c>
      <c r="N474" s="20">
        <f>IF(NOT(ISNUMBER($A474)),NA(),IF(COUNT(OFFSET(G474,1,0,Settings!$B$12,1))&lt;ROUNDUP(Settings!$B$12*Settings!$B$26,0),NA(),STDEV(OFFSET(G474,1,0,Settings!$B$12,1))*SQRT(Settings!$B$13)))</f>
        <v/>
      </c>
      <c r="O474" s="20">
        <f>IF(AND(ISNUMBER(E474),ISNUMBER(N474)),E474-N474,NA())</f>
        <v/>
      </c>
      <c r="P474" s="19">
        <f>IF(NOT(ISNUMBER($A474)),NA(),IF(OR($A474&lt;MIN(KW_TP!$A$2:$A$2501),$A474&gt;MAX(KW_TP!$A$2:$A$2501)),NA(),INDEX(KW_TP!$C$2:$C$2501,MATCH($A474,KW_TP!$A$2:$A$2501,1))))</f>
        <v/>
      </c>
      <c r="Q474" s="18">
        <f>IF(NOT(ISNUMBER($A474)),NA(),IFERROR(1*INDEX(BBG_Data!$J$2:$J$4000,MATCH($A474,BBG_Data!$I$2:$I$4000,0)),NA()))</f>
        <v/>
      </c>
      <c r="R474" s="18">
        <f>IF(NOT(ISNUMBER($A474)),NA(),IFERROR(1*INDEX(BBG_Data!$L$2:$L$4000,MATCH($A474,BBG_Data!$K$2:$K$4000,0)),NA()))</f>
        <v/>
      </c>
      <c r="S474" s="20">
        <f>IF(AND(ISNUMBER(B474),ISNUMBER(Q474),ISNUMBER(R474)),(B474-Q474-R474)*100,NA())</f>
        <v/>
      </c>
      <c r="T474" s="20">
        <f>IF(AND(ISNUMBER(B474),Settings!$B$17&gt;0),IF(ISNUMBER(INDEX($B:$B,Settings!$B$17)),(B474-INDEX($B:$B,Settings!$B$17))*100,NA()),NA())</f>
        <v/>
      </c>
      <c r="U474" s="20">
        <f>IF(AND(ISNUMBER(Q474),Settings!$B$17&gt;0),IF(ISNUMBER(INDEX($Q:$Q,Settings!$B$17)),(Q474-INDEX($Q:$Q,Settings!$B$17))*100,NA()),NA())</f>
        <v/>
      </c>
      <c r="V474" s="20">
        <f>IF(AND(ISNUMBER(R474),Settings!$B$17&gt;0),IF(ISNUMBER(INDEX($R:$R,Settings!$B$17)),(R474-INDEX($R:$R,Settings!$B$17))*100,NA()),NA())</f>
        <v/>
      </c>
      <c r="W474" s="20">
        <f>IF(AND(ISNUMBER(P474),Settings!$B$17&gt;0),IF(ISNUMBER(INDEX($P:$P,Settings!$B$17)),P474-INDEX($P:$P,Settings!$B$17),NA()),NA())</f>
        <v/>
      </c>
      <c r="X474" s="19">
        <f>IF(NOT(ISNUMBER($A474)),NA(),IF(OR($A474&lt;MIN(DKW_10Y!$A$2:$A$2918),$A474&gt;MAX(DKW_10Y!$A$2:$A$2918),Settings!$B$16&lt;MIN(DKW_10Y!$A$2:$A$2918)),NA(),(INDEX(DKW_10Y!$B$2:$B$2918,MATCH($A474,DKW_10Y!$A$2:$A$2918,1))-INDEX(DKW_10Y!$B$2:$B$2918,MATCH(Settings!$B$16,DKW_10Y!$A$2:$A$2918,1)))*100))</f>
        <v/>
      </c>
      <c r="Y474" s="19">
        <f>IF(NOT(ISNUMBER($A474)),NA(),IF(OR($A474&lt;MIN(DKW_10Y!$A$2:$A$2918),$A474&gt;MAX(DKW_10Y!$A$2:$A$2918),Settings!$B$16&lt;MIN(DKW_10Y!$A$2:$A$2918)),NA(),(INDEX(DKW_10Y!$C$2:$C$2918,MATCH($A474,DKW_10Y!$A$2:$A$2918,1))-INDEX(DKW_10Y!$C$2:$C$2918,MATCH(Settings!$B$16,DKW_10Y!$A$2:$A$2918,1)))*100))</f>
        <v/>
      </c>
      <c r="Z474" s="19">
        <f>IF(NOT(ISNUMBER($A474)),NA(),IF(OR($A474&lt;MIN(DKW_10Y!$A$2:$A$2918),$A474&gt;MAX(DKW_10Y!$A$2:$A$2918),Settings!$B$16&lt;MIN(DKW_10Y!$A$2:$A$2918)),NA(),(INDEX(DKW_10Y!$D$2:$D$2918,MATCH($A474,DKW_10Y!$A$2:$A$2918,1))-INDEX(DKW_10Y!$D$2:$D$2918,MATCH(Settings!$B$16,DKW_10Y!$A$2:$A$2918,1)))*100))</f>
        <v/>
      </c>
      <c r="AA474" s="19">
        <f>IF(NOT(ISNUMBER($A474)),NA(),IF(OR($A474&lt;MIN(DKW_10Y!$A$2:$A$2918),$A474&gt;MAX(DKW_10Y!$A$2:$A$2918),Settings!$B$16&lt;MIN(DKW_10Y!$A$2:$A$2918)),NA(),(INDEX(DKW_10Y!$E$2:$E$2918,MATCH($A474,DKW_10Y!$A$2:$A$2918,1))-INDEX(DKW_10Y!$E$2:$E$2918,MATCH(Settings!$B$16,DKW_10Y!$A$2:$A$2918,1)))*100))</f>
        <v/>
      </c>
      <c r="AB474" s="19">
        <f>IF(NOT(ISNUMBER($A474)),NA(),IF(OR($A474&lt;MIN(DKW_10Y!$A$2:$A$2918),$A474&gt;MAX(DKW_10Y!$A$2:$A$2918),Settings!$B$16&lt;MIN(DKW_10Y!$A$2:$A$2918)),NA(),(INDEX(DKW_10Y!$H$2:$H$2918,MATCH($A474,DKW_10Y!$A$2:$A$2918,1))-INDEX(DKW_10Y!$H$2:$H$2918,MATCH(Settings!$B$16,DKW_10Y!$A$2:$A$2918,1)))*100))</f>
        <v/>
      </c>
      <c r="AC474" s="18">
        <f>IF(NOT(ISNUMBER($A474)),NA(),IFERROR(1*INDEX(BBG_Data!$N$2:$N$4000,MATCH($A474,BBG_Data!$M$2:$M$4000,0)),NA()))</f>
        <v/>
      </c>
      <c r="AD474" s="18">
        <f>IF(NOT(ISNUMBER($A474)),NA(),IFERROR(1*INDEX(BBG_Data!$P$2:$P$4000,MATCH($A474,BBG_Data!$O$2:$O$4000,0)),NA()))</f>
        <v/>
      </c>
      <c r="AE474" s="18">
        <f>IF(NOT(ISNUMBER($A474)),NA(),IFERROR(1*INDEX(BBG_Data!$R$2:$R$4000,MATCH($A474,BBG_Data!$Q$2:$Q$4000,0)),NA()))</f>
        <v/>
      </c>
      <c r="AF474" s="20">
        <f>IF(AND(ISNUMBER(B474),ISNUMBER(AC474)),(B474-AC474)*100,NA())</f>
        <v/>
      </c>
      <c r="AG474" s="20">
        <f>IF(AND(ISNUMBER(AE474),ISNUMBER(AD474)),(AE474-AD474)*100,NA())</f>
        <v/>
      </c>
      <c r="AH474" s="19">
        <f>IF(NOT(ISNUMBER($A474)),NA(),IFERROR(INDEX(BBG_Data!$T$2:$T$4000,MATCH($A474,BBG_Data!$S$2:$S$4000,0))*Settings!$B$25,NA()))</f>
        <v/>
      </c>
      <c r="AI474" s="19">
        <f>IF(NOT(ISNUMBER($A474)),NA(),IFERROR(INDEX(BBG_Data!$V$2:$V$4000,MATCH($A474,BBG_Data!$U$2:$U$4000,0))*Settings!$B$25,NA()))</f>
        <v/>
      </c>
      <c r="AJ474" s="19">
        <f>IF(NOT(ISNUMBER($A474)),NA(),IFERROR(1*INDEX(BBG_Data!$X$2:$X$4000,MATCH($A474,BBG_Data!$W$2:$W$4000,0)),NA()))</f>
        <v/>
      </c>
      <c r="AK474" s="19">
        <f>IF(NOT(ISNUMBER($A474)),NA(),IFERROR(1*INDEX(BBG_Data!$Z$2:$Z$4000,MATCH($A474,BBG_Data!$Y$2:$Y$4000,0)),NA()))</f>
        <v/>
      </c>
    </row>
    <row r="475">
      <c r="A475" s="17">
        <f>IF(ISNUMBER(BBG_Data!A475),BBG_Data!A475,"")</f>
        <v/>
      </c>
      <c r="B475" s="18">
        <f>IF(AND(ISNUMBER($A475),ISNUMBER(BBG_Data!B475)),BBG_Data!B475,NA())</f>
        <v/>
      </c>
      <c r="C475" s="18">
        <f>IF(NOT(ISNUMBER($A475)),NA(),IFERROR(1*INDEX(BBG_Data!$D$2:$D$4000,MATCH($A475,BBG_Data!$C$2:$C$4000,0)),NA()))</f>
        <v/>
      </c>
      <c r="D475" s="19">
        <f>IF(NOT(ISNUMBER($A475)),NA(),IFERROR(1*INDEX(BBG_Data!$F$2:$F$4000,MATCH($A475,BBG_Data!$E$2:$E$4000,0)),NA()))</f>
        <v/>
      </c>
      <c r="E475" s="19">
        <f>IF(NOT(ISNUMBER($A475)),NA(),IFERROR(1*INDEX(BBG_Data!$H$2:$H$4000,MATCH($A475,BBG_Data!$G$2:$G$4000,0)),NA()))</f>
        <v/>
      </c>
      <c r="F475" s="20">
        <f>IF(AND(ISNUMBER(B475),ISNUMBER(B474)),IF(B475=B474,"",(B475-B474)*100),"")</f>
        <v/>
      </c>
      <c r="G475" s="20">
        <f>IF(AND(ISNUMBER(C475),ISNUMBER(C474)),IF(C475=C474,"",(C475-C474)*100),"")</f>
        <v/>
      </c>
      <c r="H475" s="20">
        <f>IF(OR(NOT(ISNUMBER($A475)),ROW()-2&lt;Settings!$B$11),NA(),IF(COUNT(OFFSET(F475,1-Settings!$B$11,0,Settings!$B$11,1))&lt;ROUNDUP(Settings!$B$11*Settings!$B$26,0),NA(),STDEV(OFFSET(F475,1-Settings!$B$11,0,Settings!$B$11,1))*SQRT(Settings!$B$13)))</f>
        <v/>
      </c>
      <c r="I475" s="20">
        <f>IF(OR(NOT(ISNUMBER($A475)),ROW()-2&lt;Settings!$B$12),NA(),IF(COUNT(OFFSET(F475,1-Settings!$B$12,0,Settings!$B$12,1))&lt;ROUNDUP(Settings!$B$12*Settings!$B$26,0),NA(),STDEV(OFFSET(F475,1-Settings!$B$12,0,Settings!$B$12,1))*SQRT(Settings!$B$13)))</f>
        <v/>
      </c>
      <c r="J475" s="20">
        <f>IF(OR(NOT(ISNUMBER($A475)),ROW()-2&lt;Settings!$B$11),NA(),IF(COUNT(OFFSET(G475,1-Settings!$B$11,0,Settings!$B$11,1))&lt;ROUNDUP(Settings!$B$11*Settings!$B$26,0),NA(),STDEV(OFFSET(G475,1-Settings!$B$11,0,Settings!$B$11,1))*SQRT(Settings!$B$13)))</f>
        <v/>
      </c>
      <c r="K475" s="20">
        <f>IF(OR(NOT(ISNUMBER($A475)),ROW()-2&lt;Settings!$B$12),NA(),IF(COUNT(OFFSET(G475,1-Settings!$B$12,0,Settings!$B$12,1))&lt;ROUNDUP(Settings!$B$12*Settings!$B$26,0),NA(),STDEV(OFFSET(G475,1-Settings!$B$12,0,Settings!$B$12,1))*SQRT(Settings!$B$13)))</f>
        <v/>
      </c>
      <c r="L475" s="20">
        <f>IF(AND(ISNUMBER(D475),ISNUMBER(H475)),D475-H475,NA())</f>
        <v/>
      </c>
      <c r="M475" s="20">
        <f>IF(AND(ISNUMBER(E475),ISNUMBER(K475)),E475-K475,NA())</f>
        <v/>
      </c>
      <c r="N475" s="20">
        <f>IF(NOT(ISNUMBER($A475)),NA(),IF(COUNT(OFFSET(G475,1,0,Settings!$B$12,1))&lt;ROUNDUP(Settings!$B$12*Settings!$B$26,0),NA(),STDEV(OFFSET(G475,1,0,Settings!$B$12,1))*SQRT(Settings!$B$13)))</f>
        <v/>
      </c>
      <c r="O475" s="20">
        <f>IF(AND(ISNUMBER(E475),ISNUMBER(N475)),E475-N475,NA())</f>
        <v/>
      </c>
      <c r="P475" s="19">
        <f>IF(NOT(ISNUMBER($A475)),NA(),IF(OR($A475&lt;MIN(KW_TP!$A$2:$A$2501),$A475&gt;MAX(KW_TP!$A$2:$A$2501)),NA(),INDEX(KW_TP!$C$2:$C$2501,MATCH($A475,KW_TP!$A$2:$A$2501,1))))</f>
        <v/>
      </c>
      <c r="Q475" s="18">
        <f>IF(NOT(ISNUMBER($A475)),NA(),IFERROR(1*INDEX(BBG_Data!$J$2:$J$4000,MATCH($A475,BBG_Data!$I$2:$I$4000,0)),NA()))</f>
        <v/>
      </c>
      <c r="R475" s="18">
        <f>IF(NOT(ISNUMBER($A475)),NA(),IFERROR(1*INDEX(BBG_Data!$L$2:$L$4000,MATCH($A475,BBG_Data!$K$2:$K$4000,0)),NA()))</f>
        <v/>
      </c>
      <c r="S475" s="20">
        <f>IF(AND(ISNUMBER(B475),ISNUMBER(Q475),ISNUMBER(R475)),(B475-Q475-R475)*100,NA())</f>
        <v/>
      </c>
      <c r="T475" s="20">
        <f>IF(AND(ISNUMBER(B475),Settings!$B$17&gt;0),IF(ISNUMBER(INDEX($B:$B,Settings!$B$17)),(B475-INDEX($B:$B,Settings!$B$17))*100,NA()),NA())</f>
        <v/>
      </c>
      <c r="U475" s="20">
        <f>IF(AND(ISNUMBER(Q475),Settings!$B$17&gt;0),IF(ISNUMBER(INDEX($Q:$Q,Settings!$B$17)),(Q475-INDEX($Q:$Q,Settings!$B$17))*100,NA()),NA())</f>
        <v/>
      </c>
      <c r="V475" s="20">
        <f>IF(AND(ISNUMBER(R475),Settings!$B$17&gt;0),IF(ISNUMBER(INDEX($R:$R,Settings!$B$17)),(R475-INDEX($R:$R,Settings!$B$17))*100,NA()),NA())</f>
        <v/>
      </c>
      <c r="W475" s="20">
        <f>IF(AND(ISNUMBER(P475),Settings!$B$17&gt;0),IF(ISNUMBER(INDEX($P:$P,Settings!$B$17)),P475-INDEX($P:$P,Settings!$B$17),NA()),NA())</f>
        <v/>
      </c>
      <c r="X475" s="19">
        <f>IF(NOT(ISNUMBER($A475)),NA(),IF(OR($A475&lt;MIN(DKW_10Y!$A$2:$A$2918),$A475&gt;MAX(DKW_10Y!$A$2:$A$2918),Settings!$B$16&lt;MIN(DKW_10Y!$A$2:$A$2918)),NA(),(INDEX(DKW_10Y!$B$2:$B$2918,MATCH($A475,DKW_10Y!$A$2:$A$2918,1))-INDEX(DKW_10Y!$B$2:$B$2918,MATCH(Settings!$B$16,DKW_10Y!$A$2:$A$2918,1)))*100))</f>
        <v/>
      </c>
      <c r="Y475" s="19">
        <f>IF(NOT(ISNUMBER($A475)),NA(),IF(OR($A475&lt;MIN(DKW_10Y!$A$2:$A$2918),$A475&gt;MAX(DKW_10Y!$A$2:$A$2918),Settings!$B$16&lt;MIN(DKW_10Y!$A$2:$A$2918)),NA(),(INDEX(DKW_10Y!$C$2:$C$2918,MATCH($A475,DKW_10Y!$A$2:$A$2918,1))-INDEX(DKW_10Y!$C$2:$C$2918,MATCH(Settings!$B$16,DKW_10Y!$A$2:$A$2918,1)))*100))</f>
        <v/>
      </c>
      <c r="Z475" s="19">
        <f>IF(NOT(ISNUMBER($A475)),NA(),IF(OR($A475&lt;MIN(DKW_10Y!$A$2:$A$2918),$A475&gt;MAX(DKW_10Y!$A$2:$A$2918),Settings!$B$16&lt;MIN(DKW_10Y!$A$2:$A$2918)),NA(),(INDEX(DKW_10Y!$D$2:$D$2918,MATCH($A475,DKW_10Y!$A$2:$A$2918,1))-INDEX(DKW_10Y!$D$2:$D$2918,MATCH(Settings!$B$16,DKW_10Y!$A$2:$A$2918,1)))*100))</f>
        <v/>
      </c>
      <c r="AA475" s="19">
        <f>IF(NOT(ISNUMBER($A475)),NA(),IF(OR($A475&lt;MIN(DKW_10Y!$A$2:$A$2918),$A475&gt;MAX(DKW_10Y!$A$2:$A$2918),Settings!$B$16&lt;MIN(DKW_10Y!$A$2:$A$2918)),NA(),(INDEX(DKW_10Y!$E$2:$E$2918,MATCH($A475,DKW_10Y!$A$2:$A$2918,1))-INDEX(DKW_10Y!$E$2:$E$2918,MATCH(Settings!$B$16,DKW_10Y!$A$2:$A$2918,1)))*100))</f>
        <v/>
      </c>
      <c r="AB475" s="19">
        <f>IF(NOT(ISNUMBER($A475)),NA(),IF(OR($A475&lt;MIN(DKW_10Y!$A$2:$A$2918),$A475&gt;MAX(DKW_10Y!$A$2:$A$2918),Settings!$B$16&lt;MIN(DKW_10Y!$A$2:$A$2918)),NA(),(INDEX(DKW_10Y!$H$2:$H$2918,MATCH($A475,DKW_10Y!$A$2:$A$2918,1))-INDEX(DKW_10Y!$H$2:$H$2918,MATCH(Settings!$B$16,DKW_10Y!$A$2:$A$2918,1)))*100))</f>
        <v/>
      </c>
      <c r="AC475" s="18">
        <f>IF(NOT(ISNUMBER($A475)),NA(),IFERROR(1*INDEX(BBG_Data!$N$2:$N$4000,MATCH($A475,BBG_Data!$M$2:$M$4000,0)),NA()))</f>
        <v/>
      </c>
      <c r="AD475" s="18">
        <f>IF(NOT(ISNUMBER($A475)),NA(),IFERROR(1*INDEX(BBG_Data!$P$2:$P$4000,MATCH($A475,BBG_Data!$O$2:$O$4000,0)),NA()))</f>
        <v/>
      </c>
      <c r="AE475" s="18">
        <f>IF(NOT(ISNUMBER($A475)),NA(),IFERROR(1*INDEX(BBG_Data!$R$2:$R$4000,MATCH($A475,BBG_Data!$Q$2:$Q$4000,0)),NA()))</f>
        <v/>
      </c>
      <c r="AF475" s="20">
        <f>IF(AND(ISNUMBER(B475),ISNUMBER(AC475)),(B475-AC475)*100,NA())</f>
        <v/>
      </c>
      <c r="AG475" s="20">
        <f>IF(AND(ISNUMBER(AE475),ISNUMBER(AD475)),(AE475-AD475)*100,NA())</f>
        <v/>
      </c>
      <c r="AH475" s="19">
        <f>IF(NOT(ISNUMBER($A475)),NA(),IFERROR(INDEX(BBG_Data!$T$2:$T$4000,MATCH($A475,BBG_Data!$S$2:$S$4000,0))*Settings!$B$25,NA()))</f>
        <v/>
      </c>
      <c r="AI475" s="19">
        <f>IF(NOT(ISNUMBER($A475)),NA(),IFERROR(INDEX(BBG_Data!$V$2:$V$4000,MATCH($A475,BBG_Data!$U$2:$U$4000,0))*Settings!$B$25,NA()))</f>
        <v/>
      </c>
      <c r="AJ475" s="19">
        <f>IF(NOT(ISNUMBER($A475)),NA(),IFERROR(1*INDEX(BBG_Data!$X$2:$X$4000,MATCH($A475,BBG_Data!$W$2:$W$4000,0)),NA()))</f>
        <v/>
      </c>
      <c r="AK475" s="19">
        <f>IF(NOT(ISNUMBER($A475)),NA(),IFERROR(1*INDEX(BBG_Data!$Z$2:$Z$4000,MATCH($A475,BBG_Data!$Y$2:$Y$4000,0)),NA()))</f>
        <v/>
      </c>
    </row>
    <row r="476">
      <c r="A476" s="17">
        <f>IF(ISNUMBER(BBG_Data!A476),BBG_Data!A476,"")</f>
        <v/>
      </c>
      <c r="B476" s="18">
        <f>IF(AND(ISNUMBER($A476),ISNUMBER(BBG_Data!B476)),BBG_Data!B476,NA())</f>
        <v/>
      </c>
      <c r="C476" s="18">
        <f>IF(NOT(ISNUMBER($A476)),NA(),IFERROR(1*INDEX(BBG_Data!$D$2:$D$4000,MATCH($A476,BBG_Data!$C$2:$C$4000,0)),NA()))</f>
        <v/>
      </c>
      <c r="D476" s="19">
        <f>IF(NOT(ISNUMBER($A476)),NA(),IFERROR(1*INDEX(BBG_Data!$F$2:$F$4000,MATCH($A476,BBG_Data!$E$2:$E$4000,0)),NA()))</f>
        <v/>
      </c>
      <c r="E476" s="19">
        <f>IF(NOT(ISNUMBER($A476)),NA(),IFERROR(1*INDEX(BBG_Data!$H$2:$H$4000,MATCH($A476,BBG_Data!$G$2:$G$4000,0)),NA()))</f>
        <v/>
      </c>
      <c r="F476" s="20">
        <f>IF(AND(ISNUMBER(B476),ISNUMBER(B475)),IF(B476=B475,"",(B476-B475)*100),"")</f>
        <v/>
      </c>
      <c r="G476" s="20">
        <f>IF(AND(ISNUMBER(C476),ISNUMBER(C475)),IF(C476=C475,"",(C476-C475)*100),"")</f>
        <v/>
      </c>
      <c r="H476" s="20">
        <f>IF(OR(NOT(ISNUMBER($A476)),ROW()-2&lt;Settings!$B$11),NA(),IF(COUNT(OFFSET(F476,1-Settings!$B$11,0,Settings!$B$11,1))&lt;ROUNDUP(Settings!$B$11*Settings!$B$26,0),NA(),STDEV(OFFSET(F476,1-Settings!$B$11,0,Settings!$B$11,1))*SQRT(Settings!$B$13)))</f>
        <v/>
      </c>
      <c r="I476" s="20">
        <f>IF(OR(NOT(ISNUMBER($A476)),ROW()-2&lt;Settings!$B$12),NA(),IF(COUNT(OFFSET(F476,1-Settings!$B$12,0,Settings!$B$12,1))&lt;ROUNDUP(Settings!$B$12*Settings!$B$26,0),NA(),STDEV(OFFSET(F476,1-Settings!$B$12,0,Settings!$B$12,1))*SQRT(Settings!$B$13)))</f>
        <v/>
      </c>
      <c r="J476" s="20">
        <f>IF(OR(NOT(ISNUMBER($A476)),ROW()-2&lt;Settings!$B$11),NA(),IF(COUNT(OFFSET(G476,1-Settings!$B$11,0,Settings!$B$11,1))&lt;ROUNDUP(Settings!$B$11*Settings!$B$26,0),NA(),STDEV(OFFSET(G476,1-Settings!$B$11,0,Settings!$B$11,1))*SQRT(Settings!$B$13)))</f>
        <v/>
      </c>
      <c r="K476" s="20">
        <f>IF(OR(NOT(ISNUMBER($A476)),ROW()-2&lt;Settings!$B$12),NA(),IF(COUNT(OFFSET(G476,1-Settings!$B$12,0,Settings!$B$12,1))&lt;ROUNDUP(Settings!$B$12*Settings!$B$26,0),NA(),STDEV(OFFSET(G476,1-Settings!$B$12,0,Settings!$B$12,1))*SQRT(Settings!$B$13)))</f>
        <v/>
      </c>
      <c r="L476" s="20">
        <f>IF(AND(ISNUMBER(D476),ISNUMBER(H476)),D476-H476,NA())</f>
        <v/>
      </c>
      <c r="M476" s="20">
        <f>IF(AND(ISNUMBER(E476),ISNUMBER(K476)),E476-K476,NA())</f>
        <v/>
      </c>
      <c r="N476" s="20">
        <f>IF(NOT(ISNUMBER($A476)),NA(),IF(COUNT(OFFSET(G476,1,0,Settings!$B$12,1))&lt;ROUNDUP(Settings!$B$12*Settings!$B$26,0),NA(),STDEV(OFFSET(G476,1,0,Settings!$B$12,1))*SQRT(Settings!$B$13)))</f>
        <v/>
      </c>
      <c r="O476" s="20">
        <f>IF(AND(ISNUMBER(E476),ISNUMBER(N476)),E476-N476,NA())</f>
        <v/>
      </c>
      <c r="P476" s="19">
        <f>IF(NOT(ISNUMBER($A476)),NA(),IF(OR($A476&lt;MIN(KW_TP!$A$2:$A$2501),$A476&gt;MAX(KW_TP!$A$2:$A$2501)),NA(),INDEX(KW_TP!$C$2:$C$2501,MATCH($A476,KW_TP!$A$2:$A$2501,1))))</f>
        <v/>
      </c>
      <c r="Q476" s="18">
        <f>IF(NOT(ISNUMBER($A476)),NA(),IFERROR(1*INDEX(BBG_Data!$J$2:$J$4000,MATCH($A476,BBG_Data!$I$2:$I$4000,0)),NA()))</f>
        <v/>
      </c>
      <c r="R476" s="18">
        <f>IF(NOT(ISNUMBER($A476)),NA(),IFERROR(1*INDEX(BBG_Data!$L$2:$L$4000,MATCH($A476,BBG_Data!$K$2:$K$4000,0)),NA()))</f>
        <v/>
      </c>
      <c r="S476" s="20">
        <f>IF(AND(ISNUMBER(B476),ISNUMBER(Q476),ISNUMBER(R476)),(B476-Q476-R476)*100,NA())</f>
        <v/>
      </c>
      <c r="T476" s="20">
        <f>IF(AND(ISNUMBER(B476),Settings!$B$17&gt;0),IF(ISNUMBER(INDEX($B:$B,Settings!$B$17)),(B476-INDEX($B:$B,Settings!$B$17))*100,NA()),NA())</f>
        <v/>
      </c>
      <c r="U476" s="20">
        <f>IF(AND(ISNUMBER(Q476),Settings!$B$17&gt;0),IF(ISNUMBER(INDEX($Q:$Q,Settings!$B$17)),(Q476-INDEX($Q:$Q,Settings!$B$17))*100,NA()),NA())</f>
        <v/>
      </c>
      <c r="V476" s="20">
        <f>IF(AND(ISNUMBER(R476),Settings!$B$17&gt;0),IF(ISNUMBER(INDEX($R:$R,Settings!$B$17)),(R476-INDEX($R:$R,Settings!$B$17))*100,NA()),NA())</f>
        <v/>
      </c>
      <c r="W476" s="20">
        <f>IF(AND(ISNUMBER(P476),Settings!$B$17&gt;0),IF(ISNUMBER(INDEX($P:$P,Settings!$B$17)),P476-INDEX($P:$P,Settings!$B$17),NA()),NA())</f>
        <v/>
      </c>
      <c r="X476" s="19">
        <f>IF(NOT(ISNUMBER($A476)),NA(),IF(OR($A476&lt;MIN(DKW_10Y!$A$2:$A$2918),$A476&gt;MAX(DKW_10Y!$A$2:$A$2918),Settings!$B$16&lt;MIN(DKW_10Y!$A$2:$A$2918)),NA(),(INDEX(DKW_10Y!$B$2:$B$2918,MATCH($A476,DKW_10Y!$A$2:$A$2918,1))-INDEX(DKW_10Y!$B$2:$B$2918,MATCH(Settings!$B$16,DKW_10Y!$A$2:$A$2918,1)))*100))</f>
        <v/>
      </c>
      <c r="Y476" s="19">
        <f>IF(NOT(ISNUMBER($A476)),NA(),IF(OR($A476&lt;MIN(DKW_10Y!$A$2:$A$2918),$A476&gt;MAX(DKW_10Y!$A$2:$A$2918),Settings!$B$16&lt;MIN(DKW_10Y!$A$2:$A$2918)),NA(),(INDEX(DKW_10Y!$C$2:$C$2918,MATCH($A476,DKW_10Y!$A$2:$A$2918,1))-INDEX(DKW_10Y!$C$2:$C$2918,MATCH(Settings!$B$16,DKW_10Y!$A$2:$A$2918,1)))*100))</f>
        <v/>
      </c>
      <c r="Z476" s="19">
        <f>IF(NOT(ISNUMBER($A476)),NA(),IF(OR($A476&lt;MIN(DKW_10Y!$A$2:$A$2918),$A476&gt;MAX(DKW_10Y!$A$2:$A$2918),Settings!$B$16&lt;MIN(DKW_10Y!$A$2:$A$2918)),NA(),(INDEX(DKW_10Y!$D$2:$D$2918,MATCH($A476,DKW_10Y!$A$2:$A$2918,1))-INDEX(DKW_10Y!$D$2:$D$2918,MATCH(Settings!$B$16,DKW_10Y!$A$2:$A$2918,1)))*100))</f>
        <v/>
      </c>
      <c r="AA476" s="19">
        <f>IF(NOT(ISNUMBER($A476)),NA(),IF(OR($A476&lt;MIN(DKW_10Y!$A$2:$A$2918),$A476&gt;MAX(DKW_10Y!$A$2:$A$2918),Settings!$B$16&lt;MIN(DKW_10Y!$A$2:$A$2918)),NA(),(INDEX(DKW_10Y!$E$2:$E$2918,MATCH($A476,DKW_10Y!$A$2:$A$2918,1))-INDEX(DKW_10Y!$E$2:$E$2918,MATCH(Settings!$B$16,DKW_10Y!$A$2:$A$2918,1)))*100))</f>
        <v/>
      </c>
      <c r="AB476" s="19">
        <f>IF(NOT(ISNUMBER($A476)),NA(),IF(OR($A476&lt;MIN(DKW_10Y!$A$2:$A$2918),$A476&gt;MAX(DKW_10Y!$A$2:$A$2918),Settings!$B$16&lt;MIN(DKW_10Y!$A$2:$A$2918)),NA(),(INDEX(DKW_10Y!$H$2:$H$2918,MATCH($A476,DKW_10Y!$A$2:$A$2918,1))-INDEX(DKW_10Y!$H$2:$H$2918,MATCH(Settings!$B$16,DKW_10Y!$A$2:$A$2918,1)))*100))</f>
        <v/>
      </c>
      <c r="AC476" s="18">
        <f>IF(NOT(ISNUMBER($A476)),NA(),IFERROR(1*INDEX(BBG_Data!$N$2:$N$4000,MATCH($A476,BBG_Data!$M$2:$M$4000,0)),NA()))</f>
        <v/>
      </c>
      <c r="AD476" s="18">
        <f>IF(NOT(ISNUMBER($A476)),NA(),IFERROR(1*INDEX(BBG_Data!$P$2:$P$4000,MATCH($A476,BBG_Data!$O$2:$O$4000,0)),NA()))</f>
        <v/>
      </c>
      <c r="AE476" s="18">
        <f>IF(NOT(ISNUMBER($A476)),NA(),IFERROR(1*INDEX(BBG_Data!$R$2:$R$4000,MATCH($A476,BBG_Data!$Q$2:$Q$4000,0)),NA()))</f>
        <v/>
      </c>
      <c r="AF476" s="20">
        <f>IF(AND(ISNUMBER(B476),ISNUMBER(AC476)),(B476-AC476)*100,NA())</f>
        <v/>
      </c>
      <c r="AG476" s="20">
        <f>IF(AND(ISNUMBER(AE476),ISNUMBER(AD476)),(AE476-AD476)*100,NA())</f>
        <v/>
      </c>
      <c r="AH476" s="19">
        <f>IF(NOT(ISNUMBER($A476)),NA(),IFERROR(INDEX(BBG_Data!$T$2:$T$4000,MATCH($A476,BBG_Data!$S$2:$S$4000,0))*Settings!$B$25,NA()))</f>
        <v/>
      </c>
      <c r="AI476" s="19">
        <f>IF(NOT(ISNUMBER($A476)),NA(),IFERROR(INDEX(BBG_Data!$V$2:$V$4000,MATCH($A476,BBG_Data!$U$2:$U$4000,0))*Settings!$B$25,NA()))</f>
        <v/>
      </c>
      <c r="AJ476" s="19">
        <f>IF(NOT(ISNUMBER($A476)),NA(),IFERROR(1*INDEX(BBG_Data!$X$2:$X$4000,MATCH($A476,BBG_Data!$W$2:$W$4000,0)),NA()))</f>
        <v/>
      </c>
      <c r="AK476" s="19">
        <f>IF(NOT(ISNUMBER($A476)),NA(),IFERROR(1*INDEX(BBG_Data!$Z$2:$Z$4000,MATCH($A476,BBG_Data!$Y$2:$Y$4000,0)),NA()))</f>
        <v/>
      </c>
    </row>
    <row r="477">
      <c r="A477" s="17">
        <f>IF(ISNUMBER(BBG_Data!A477),BBG_Data!A477,"")</f>
        <v/>
      </c>
      <c r="B477" s="18">
        <f>IF(AND(ISNUMBER($A477),ISNUMBER(BBG_Data!B477)),BBG_Data!B477,NA())</f>
        <v/>
      </c>
      <c r="C477" s="18">
        <f>IF(NOT(ISNUMBER($A477)),NA(),IFERROR(1*INDEX(BBG_Data!$D$2:$D$4000,MATCH($A477,BBG_Data!$C$2:$C$4000,0)),NA()))</f>
        <v/>
      </c>
      <c r="D477" s="19">
        <f>IF(NOT(ISNUMBER($A477)),NA(),IFERROR(1*INDEX(BBG_Data!$F$2:$F$4000,MATCH($A477,BBG_Data!$E$2:$E$4000,0)),NA()))</f>
        <v/>
      </c>
      <c r="E477" s="19">
        <f>IF(NOT(ISNUMBER($A477)),NA(),IFERROR(1*INDEX(BBG_Data!$H$2:$H$4000,MATCH($A477,BBG_Data!$G$2:$G$4000,0)),NA()))</f>
        <v/>
      </c>
      <c r="F477" s="20">
        <f>IF(AND(ISNUMBER(B477),ISNUMBER(B476)),IF(B477=B476,"",(B477-B476)*100),"")</f>
        <v/>
      </c>
      <c r="G477" s="20">
        <f>IF(AND(ISNUMBER(C477),ISNUMBER(C476)),IF(C477=C476,"",(C477-C476)*100),"")</f>
        <v/>
      </c>
      <c r="H477" s="20">
        <f>IF(OR(NOT(ISNUMBER($A477)),ROW()-2&lt;Settings!$B$11),NA(),IF(COUNT(OFFSET(F477,1-Settings!$B$11,0,Settings!$B$11,1))&lt;ROUNDUP(Settings!$B$11*Settings!$B$26,0),NA(),STDEV(OFFSET(F477,1-Settings!$B$11,0,Settings!$B$11,1))*SQRT(Settings!$B$13)))</f>
        <v/>
      </c>
      <c r="I477" s="20">
        <f>IF(OR(NOT(ISNUMBER($A477)),ROW()-2&lt;Settings!$B$12),NA(),IF(COUNT(OFFSET(F477,1-Settings!$B$12,0,Settings!$B$12,1))&lt;ROUNDUP(Settings!$B$12*Settings!$B$26,0),NA(),STDEV(OFFSET(F477,1-Settings!$B$12,0,Settings!$B$12,1))*SQRT(Settings!$B$13)))</f>
        <v/>
      </c>
      <c r="J477" s="20">
        <f>IF(OR(NOT(ISNUMBER($A477)),ROW()-2&lt;Settings!$B$11),NA(),IF(COUNT(OFFSET(G477,1-Settings!$B$11,0,Settings!$B$11,1))&lt;ROUNDUP(Settings!$B$11*Settings!$B$26,0),NA(),STDEV(OFFSET(G477,1-Settings!$B$11,0,Settings!$B$11,1))*SQRT(Settings!$B$13)))</f>
        <v/>
      </c>
      <c r="K477" s="20">
        <f>IF(OR(NOT(ISNUMBER($A477)),ROW()-2&lt;Settings!$B$12),NA(),IF(COUNT(OFFSET(G477,1-Settings!$B$12,0,Settings!$B$12,1))&lt;ROUNDUP(Settings!$B$12*Settings!$B$26,0),NA(),STDEV(OFFSET(G477,1-Settings!$B$12,0,Settings!$B$12,1))*SQRT(Settings!$B$13)))</f>
        <v/>
      </c>
      <c r="L477" s="20">
        <f>IF(AND(ISNUMBER(D477),ISNUMBER(H477)),D477-H477,NA())</f>
        <v/>
      </c>
      <c r="M477" s="20">
        <f>IF(AND(ISNUMBER(E477),ISNUMBER(K477)),E477-K477,NA())</f>
        <v/>
      </c>
      <c r="N477" s="20">
        <f>IF(NOT(ISNUMBER($A477)),NA(),IF(COUNT(OFFSET(G477,1,0,Settings!$B$12,1))&lt;ROUNDUP(Settings!$B$12*Settings!$B$26,0),NA(),STDEV(OFFSET(G477,1,0,Settings!$B$12,1))*SQRT(Settings!$B$13)))</f>
        <v/>
      </c>
      <c r="O477" s="20">
        <f>IF(AND(ISNUMBER(E477),ISNUMBER(N477)),E477-N477,NA())</f>
        <v/>
      </c>
      <c r="P477" s="19">
        <f>IF(NOT(ISNUMBER($A477)),NA(),IF(OR($A477&lt;MIN(KW_TP!$A$2:$A$2501),$A477&gt;MAX(KW_TP!$A$2:$A$2501)),NA(),INDEX(KW_TP!$C$2:$C$2501,MATCH($A477,KW_TP!$A$2:$A$2501,1))))</f>
        <v/>
      </c>
      <c r="Q477" s="18">
        <f>IF(NOT(ISNUMBER($A477)),NA(),IFERROR(1*INDEX(BBG_Data!$J$2:$J$4000,MATCH($A477,BBG_Data!$I$2:$I$4000,0)),NA()))</f>
        <v/>
      </c>
      <c r="R477" s="18">
        <f>IF(NOT(ISNUMBER($A477)),NA(),IFERROR(1*INDEX(BBG_Data!$L$2:$L$4000,MATCH($A477,BBG_Data!$K$2:$K$4000,0)),NA()))</f>
        <v/>
      </c>
      <c r="S477" s="20">
        <f>IF(AND(ISNUMBER(B477),ISNUMBER(Q477),ISNUMBER(R477)),(B477-Q477-R477)*100,NA())</f>
        <v/>
      </c>
      <c r="T477" s="20">
        <f>IF(AND(ISNUMBER(B477),Settings!$B$17&gt;0),IF(ISNUMBER(INDEX($B:$B,Settings!$B$17)),(B477-INDEX($B:$B,Settings!$B$17))*100,NA()),NA())</f>
        <v/>
      </c>
      <c r="U477" s="20">
        <f>IF(AND(ISNUMBER(Q477),Settings!$B$17&gt;0),IF(ISNUMBER(INDEX($Q:$Q,Settings!$B$17)),(Q477-INDEX($Q:$Q,Settings!$B$17))*100,NA()),NA())</f>
        <v/>
      </c>
      <c r="V477" s="20">
        <f>IF(AND(ISNUMBER(R477),Settings!$B$17&gt;0),IF(ISNUMBER(INDEX($R:$R,Settings!$B$17)),(R477-INDEX($R:$R,Settings!$B$17))*100,NA()),NA())</f>
        <v/>
      </c>
      <c r="W477" s="20">
        <f>IF(AND(ISNUMBER(P477),Settings!$B$17&gt;0),IF(ISNUMBER(INDEX($P:$P,Settings!$B$17)),P477-INDEX($P:$P,Settings!$B$17),NA()),NA())</f>
        <v/>
      </c>
      <c r="X477" s="19">
        <f>IF(NOT(ISNUMBER($A477)),NA(),IF(OR($A477&lt;MIN(DKW_10Y!$A$2:$A$2918),$A477&gt;MAX(DKW_10Y!$A$2:$A$2918),Settings!$B$16&lt;MIN(DKW_10Y!$A$2:$A$2918)),NA(),(INDEX(DKW_10Y!$B$2:$B$2918,MATCH($A477,DKW_10Y!$A$2:$A$2918,1))-INDEX(DKW_10Y!$B$2:$B$2918,MATCH(Settings!$B$16,DKW_10Y!$A$2:$A$2918,1)))*100))</f>
        <v/>
      </c>
      <c r="Y477" s="19">
        <f>IF(NOT(ISNUMBER($A477)),NA(),IF(OR($A477&lt;MIN(DKW_10Y!$A$2:$A$2918),$A477&gt;MAX(DKW_10Y!$A$2:$A$2918),Settings!$B$16&lt;MIN(DKW_10Y!$A$2:$A$2918)),NA(),(INDEX(DKW_10Y!$C$2:$C$2918,MATCH($A477,DKW_10Y!$A$2:$A$2918,1))-INDEX(DKW_10Y!$C$2:$C$2918,MATCH(Settings!$B$16,DKW_10Y!$A$2:$A$2918,1)))*100))</f>
        <v/>
      </c>
      <c r="Z477" s="19">
        <f>IF(NOT(ISNUMBER($A477)),NA(),IF(OR($A477&lt;MIN(DKW_10Y!$A$2:$A$2918),$A477&gt;MAX(DKW_10Y!$A$2:$A$2918),Settings!$B$16&lt;MIN(DKW_10Y!$A$2:$A$2918)),NA(),(INDEX(DKW_10Y!$D$2:$D$2918,MATCH($A477,DKW_10Y!$A$2:$A$2918,1))-INDEX(DKW_10Y!$D$2:$D$2918,MATCH(Settings!$B$16,DKW_10Y!$A$2:$A$2918,1)))*100))</f>
        <v/>
      </c>
      <c r="AA477" s="19">
        <f>IF(NOT(ISNUMBER($A477)),NA(),IF(OR($A477&lt;MIN(DKW_10Y!$A$2:$A$2918),$A477&gt;MAX(DKW_10Y!$A$2:$A$2918),Settings!$B$16&lt;MIN(DKW_10Y!$A$2:$A$2918)),NA(),(INDEX(DKW_10Y!$E$2:$E$2918,MATCH($A477,DKW_10Y!$A$2:$A$2918,1))-INDEX(DKW_10Y!$E$2:$E$2918,MATCH(Settings!$B$16,DKW_10Y!$A$2:$A$2918,1)))*100))</f>
        <v/>
      </c>
      <c r="AB477" s="19">
        <f>IF(NOT(ISNUMBER($A477)),NA(),IF(OR($A477&lt;MIN(DKW_10Y!$A$2:$A$2918),$A477&gt;MAX(DKW_10Y!$A$2:$A$2918),Settings!$B$16&lt;MIN(DKW_10Y!$A$2:$A$2918)),NA(),(INDEX(DKW_10Y!$H$2:$H$2918,MATCH($A477,DKW_10Y!$A$2:$A$2918,1))-INDEX(DKW_10Y!$H$2:$H$2918,MATCH(Settings!$B$16,DKW_10Y!$A$2:$A$2918,1)))*100))</f>
        <v/>
      </c>
      <c r="AC477" s="18">
        <f>IF(NOT(ISNUMBER($A477)),NA(),IFERROR(1*INDEX(BBG_Data!$N$2:$N$4000,MATCH($A477,BBG_Data!$M$2:$M$4000,0)),NA()))</f>
        <v/>
      </c>
      <c r="AD477" s="18">
        <f>IF(NOT(ISNUMBER($A477)),NA(),IFERROR(1*INDEX(BBG_Data!$P$2:$P$4000,MATCH($A477,BBG_Data!$O$2:$O$4000,0)),NA()))</f>
        <v/>
      </c>
      <c r="AE477" s="18">
        <f>IF(NOT(ISNUMBER($A477)),NA(),IFERROR(1*INDEX(BBG_Data!$R$2:$R$4000,MATCH($A477,BBG_Data!$Q$2:$Q$4000,0)),NA()))</f>
        <v/>
      </c>
      <c r="AF477" s="20">
        <f>IF(AND(ISNUMBER(B477),ISNUMBER(AC477)),(B477-AC477)*100,NA())</f>
        <v/>
      </c>
      <c r="AG477" s="20">
        <f>IF(AND(ISNUMBER(AE477),ISNUMBER(AD477)),(AE477-AD477)*100,NA())</f>
        <v/>
      </c>
      <c r="AH477" s="19">
        <f>IF(NOT(ISNUMBER($A477)),NA(),IFERROR(INDEX(BBG_Data!$T$2:$T$4000,MATCH($A477,BBG_Data!$S$2:$S$4000,0))*Settings!$B$25,NA()))</f>
        <v/>
      </c>
      <c r="AI477" s="19">
        <f>IF(NOT(ISNUMBER($A477)),NA(),IFERROR(INDEX(BBG_Data!$V$2:$V$4000,MATCH($A477,BBG_Data!$U$2:$U$4000,0))*Settings!$B$25,NA()))</f>
        <v/>
      </c>
      <c r="AJ477" s="19">
        <f>IF(NOT(ISNUMBER($A477)),NA(),IFERROR(1*INDEX(BBG_Data!$X$2:$X$4000,MATCH($A477,BBG_Data!$W$2:$W$4000,0)),NA()))</f>
        <v/>
      </c>
      <c r="AK477" s="19">
        <f>IF(NOT(ISNUMBER($A477)),NA(),IFERROR(1*INDEX(BBG_Data!$Z$2:$Z$4000,MATCH($A477,BBG_Data!$Y$2:$Y$4000,0)),NA()))</f>
        <v/>
      </c>
    </row>
    <row r="478">
      <c r="A478" s="17">
        <f>IF(ISNUMBER(BBG_Data!A478),BBG_Data!A478,"")</f>
        <v/>
      </c>
      <c r="B478" s="18">
        <f>IF(AND(ISNUMBER($A478),ISNUMBER(BBG_Data!B478)),BBG_Data!B478,NA())</f>
        <v/>
      </c>
      <c r="C478" s="18">
        <f>IF(NOT(ISNUMBER($A478)),NA(),IFERROR(1*INDEX(BBG_Data!$D$2:$D$4000,MATCH($A478,BBG_Data!$C$2:$C$4000,0)),NA()))</f>
        <v/>
      </c>
      <c r="D478" s="19">
        <f>IF(NOT(ISNUMBER($A478)),NA(),IFERROR(1*INDEX(BBG_Data!$F$2:$F$4000,MATCH($A478,BBG_Data!$E$2:$E$4000,0)),NA()))</f>
        <v/>
      </c>
      <c r="E478" s="19">
        <f>IF(NOT(ISNUMBER($A478)),NA(),IFERROR(1*INDEX(BBG_Data!$H$2:$H$4000,MATCH($A478,BBG_Data!$G$2:$G$4000,0)),NA()))</f>
        <v/>
      </c>
      <c r="F478" s="20">
        <f>IF(AND(ISNUMBER(B478),ISNUMBER(B477)),IF(B478=B477,"",(B478-B477)*100),"")</f>
        <v/>
      </c>
      <c r="G478" s="20">
        <f>IF(AND(ISNUMBER(C478),ISNUMBER(C477)),IF(C478=C477,"",(C478-C477)*100),"")</f>
        <v/>
      </c>
      <c r="H478" s="20">
        <f>IF(OR(NOT(ISNUMBER($A478)),ROW()-2&lt;Settings!$B$11),NA(),IF(COUNT(OFFSET(F478,1-Settings!$B$11,0,Settings!$B$11,1))&lt;ROUNDUP(Settings!$B$11*Settings!$B$26,0),NA(),STDEV(OFFSET(F478,1-Settings!$B$11,0,Settings!$B$11,1))*SQRT(Settings!$B$13)))</f>
        <v/>
      </c>
      <c r="I478" s="20">
        <f>IF(OR(NOT(ISNUMBER($A478)),ROW()-2&lt;Settings!$B$12),NA(),IF(COUNT(OFFSET(F478,1-Settings!$B$12,0,Settings!$B$12,1))&lt;ROUNDUP(Settings!$B$12*Settings!$B$26,0),NA(),STDEV(OFFSET(F478,1-Settings!$B$12,0,Settings!$B$12,1))*SQRT(Settings!$B$13)))</f>
        <v/>
      </c>
      <c r="J478" s="20">
        <f>IF(OR(NOT(ISNUMBER($A478)),ROW()-2&lt;Settings!$B$11),NA(),IF(COUNT(OFFSET(G478,1-Settings!$B$11,0,Settings!$B$11,1))&lt;ROUNDUP(Settings!$B$11*Settings!$B$26,0),NA(),STDEV(OFFSET(G478,1-Settings!$B$11,0,Settings!$B$11,1))*SQRT(Settings!$B$13)))</f>
        <v/>
      </c>
      <c r="K478" s="20">
        <f>IF(OR(NOT(ISNUMBER($A478)),ROW()-2&lt;Settings!$B$12),NA(),IF(COUNT(OFFSET(G478,1-Settings!$B$12,0,Settings!$B$12,1))&lt;ROUNDUP(Settings!$B$12*Settings!$B$26,0),NA(),STDEV(OFFSET(G478,1-Settings!$B$12,0,Settings!$B$12,1))*SQRT(Settings!$B$13)))</f>
        <v/>
      </c>
      <c r="L478" s="20">
        <f>IF(AND(ISNUMBER(D478),ISNUMBER(H478)),D478-H478,NA())</f>
        <v/>
      </c>
      <c r="M478" s="20">
        <f>IF(AND(ISNUMBER(E478),ISNUMBER(K478)),E478-K478,NA())</f>
        <v/>
      </c>
      <c r="N478" s="20">
        <f>IF(NOT(ISNUMBER($A478)),NA(),IF(COUNT(OFFSET(G478,1,0,Settings!$B$12,1))&lt;ROUNDUP(Settings!$B$12*Settings!$B$26,0),NA(),STDEV(OFFSET(G478,1,0,Settings!$B$12,1))*SQRT(Settings!$B$13)))</f>
        <v/>
      </c>
      <c r="O478" s="20">
        <f>IF(AND(ISNUMBER(E478),ISNUMBER(N478)),E478-N478,NA())</f>
        <v/>
      </c>
      <c r="P478" s="19">
        <f>IF(NOT(ISNUMBER($A478)),NA(),IF(OR($A478&lt;MIN(KW_TP!$A$2:$A$2501),$A478&gt;MAX(KW_TP!$A$2:$A$2501)),NA(),INDEX(KW_TP!$C$2:$C$2501,MATCH($A478,KW_TP!$A$2:$A$2501,1))))</f>
        <v/>
      </c>
      <c r="Q478" s="18">
        <f>IF(NOT(ISNUMBER($A478)),NA(),IFERROR(1*INDEX(BBG_Data!$J$2:$J$4000,MATCH($A478,BBG_Data!$I$2:$I$4000,0)),NA()))</f>
        <v/>
      </c>
      <c r="R478" s="18">
        <f>IF(NOT(ISNUMBER($A478)),NA(),IFERROR(1*INDEX(BBG_Data!$L$2:$L$4000,MATCH($A478,BBG_Data!$K$2:$K$4000,0)),NA()))</f>
        <v/>
      </c>
      <c r="S478" s="20">
        <f>IF(AND(ISNUMBER(B478),ISNUMBER(Q478),ISNUMBER(R478)),(B478-Q478-R478)*100,NA())</f>
        <v/>
      </c>
      <c r="T478" s="20">
        <f>IF(AND(ISNUMBER(B478),Settings!$B$17&gt;0),IF(ISNUMBER(INDEX($B:$B,Settings!$B$17)),(B478-INDEX($B:$B,Settings!$B$17))*100,NA()),NA())</f>
        <v/>
      </c>
      <c r="U478" s="20">
        <f>IF(AND(ISNUMBER(Q478),Settings!$B$17&gt;0),IF(ISNUMBER(INDEX($Q:$Q,Settings!$B$17)),(Q478-INDEX($Q:$Q,Settings!$B$17))*100,NA()),NA())</f>
        <v/>
      </c>
      <c r="V478" s="20">
        <f>IF(AND(ISNUMBER(R478),Settings!$B$17&gt;0),IF(ISNUMBER(INDEX($R:$R,Settings!$B$17)),(R478-INDEX($R:$R,Settings!$B$17))*100,NA()),NA())</f>
        <v/>
      </c>
      <c r="W478" s="20">
        <f>IF(AND(ISNUMBER(P478),Settings!$B$17&gt;0),IF(ISNUMBER(INDEX($P:$P,Settings!$B$17)),P478-INDEX($P:$P,Settings!$B$17),NA()),NA())</f>
        <v/>
      </c>
      <c r="X478" s="19">
        <f>IF(NOT(ISNUMBER($A478)),NA(),IF(OR($A478&lt;MIN(DKW_10Y!$A$2:$A$2918),$A478&gt;MAX(DKW_10Y!$A$2:$A$2918),Settings!$B$16&lt;MIN(DKW_10Y!$A$2:$A$2918)),NA(),(INDEX(DKW_10Y!$B$2:$B$2918,MATCH($A478,DKW_10Y!$A$2:$A$2918,1))-INDEX(DKW_10Y!$B$2:$B$2918,MATCH(Settings!$B$16,DKW_10Y!$A$2:$A$2918,1)))*100))</f>
        <v/>
      </c>
      <c r="Y478" s="19">
        <f>IF(NOT(ISNUMBER($A478)),NA(),IF(OR($A478&lt;MIN(DKW_10Y!$A$2:$A$2918),$A478&gt;MAX(DKW_10Y!$A$2:$A$2918),Settings!$B$16&lt;MIN(DKW_10Y!$A$2:$A$2918)),NA(),(INDEX(DKW_10Y!$C$2:$C$2918,MATCH($A478,DKW_10Y!$A$2:$A$2918,1))-INDEX(DKW_10Y!$C$2:$C$2918,MATCH(Settings!$B$16,DKW_10Y!$A$2:$A$2918,1)))*100))</f>
        <v/>
      </c>
      <c r="Z478" s="19">
        <f>IF(NOT(ISNUMBER($A478)),NA(),IF(OR($A478&lt;MIN(DKW_10Y!$A$2:$A$2918),$A478&gt;MAX(DKW_10Y!$A$2:$A$2918),Settings!$B$16&lt;MIN(DKW_10Y!$A$2:$A$2918)),NA(),(INDEX(DKW_10Y!$D$2:$D$2918,MATCH($A478,DKW_10Y!$A$2:$A$2918,1))-INDEX(DKW_10Y!$D$2:$D$2918,MATCH(Settings!$B$16,DKW_10Y!$A$2:$A$2918,1)))*100))</f>
        <v/>
      </c>
      <c r="AA478" s="19">
        <f>IF(NOT(ISNUMBER($A478)),NA(),IF(OR($A478&lt;MIN(DKW_10Y!$A$2:$A$2918),$A478&gt;MAX(DKW_10Y!$A$2:$A$2918),Settings!$B$16&lt;MIN(DKW_10Y!$A$2:$A$2918)),NA(),(INDEX(DKW_10Y!$E$2:$E$2918,MATCH($A478,DKW_10Y!$A$2:$A$2918,1))-INDEX(DKW_10Y!$E$2:$E$2918,MATCH(Settings!$B$16,DKW_10Y!$A$2:$A$2918,1)))*100))</f>
        <v/>
      </c>
      <c r="AB478" s="19">
        <f>IF(NOT(ISNUMBER($A478)),NA(),IF(OR($A478&lt;MIN(DKW_10Y!$A$2:$A$2918),$A478&gt;MAX(DKW_10Y!$A$2:$A$2918),Settings!$B$16&lt;MIN(DKW_10Y!$A$2:$A$2918)),NA(),(INDEX(DKW_10Y!$H$2:$H$2918,MATCH($A478,DKW_10Y!$A$2:$A$2918,1))-INDEX(DKW_10Y!$H$2:$H$2918,MATCH(Settings!$B$16,DKW_10Y!$A$2:$A$2918,1)))*100))</f>
        <v/>
      </c>
      <c r="AC478" s="18">
        <f>IF(NOT(ISNUMBER($A478)),NA(),IFERROR(1*INDEX(BBG_Data!$N$2:$N$4000,MATCH($A478,BBG_Data!$M$2:$M$4000,0)),NA()))</f>
        <v/>
      </c>
      <c r="AD478" s="18">
        <f>IF(NOT(ISNUMBER($A478)),NA(),IFERROR(1*INDEX(BBG_Data!$P$2:$P$4000,MATCH($A478,BBG_Data!$O$2:$O$4000,0)),NA()))</f>
        <v/>
      </c>
      <c r="AE478" s="18">
        <f>IF(NOT(ISNUMBER($A478)),NA(),IFERROR(1*INDEX(BBG_Data!$R$2:$R$4000,MATCH($A478,BBG_Data!$Q$2:$Q$4000,0)),NA()))</f>
        <v/>
      </c>
      <c r="AF478" s="20">
        <f>IF(AND(ISNUMBER(B478),ISNUMBER(AC478)),(B478-AC478)*100,NA())</f>
        <v/>
      </c>
      <c r="AG478" s="20">
        <f>IF(AND(ISNUMBER(AE478),ISNUMBER(AD478)),(AE478-AD478)*100,NA())</f>
        <v/>
      </c>
      <c r="AH478" s="19">
        <f>IF(NOT(ISNUMBER($A478)),NA(),IFERROR(INDEX(BBG_Data!$T$2:$T$4000,MATCH($A478,BBG_Data!$S$2:$S$4000,0))*Settings!$B$25,NA()))</f>
        <v/>
      </c>
      <c r="AI478" s="19">
        <f>IF(NOT(ISNUMBER($A478)),NA(),IFERROR(INDEX(BBG_Data!$V$2:$V$4000,MATCH($A478,BBG_Data!$U$2:$U$4000,0))*Settings!$B$25,NA()))</f>
        <v/>
      </c>
      <c r="AJ478" s="19">
        <f>IF(NOT(ISNUMBER($A478)),NA(),IFERROR(1*INDEX(BBG_Data!$X$2:$X$4000,MATCH($A478,BBG_Data!$W$2:$W$4000,0)),NA()))</f>
        <v/>
      </c>
      <c r="AK478" s="19">
        <f>IF(NOT(ISNUMBER($A478)),NA(),IFERROR(1*INDEX(BBG_Data!$Z$2:$Z$4000,MATCH($A478,BBG_Data!$Y$2:$Y$4000,0)),NA()))</f>
        <v/>
      </c>
    </row>
    <row r="479">
      <c r="A479" s="17">
        <f>IF(ISNUMBER(BBG_Data!A479),BBG_Data!A479,"")</f>
        <v/>
      </c>
      <c r="B479" s="18">
        <f>IF(AND(ISNUMBER($A479),ISNUMBER(BBG_Data!B479)),BBG_Data!B479,NA())</f>
        <v/>
      </c>
      <c r="C479" s="18">
        <f>IF(NOT(ISNUMBER($A479)),NA(),IFERROR(1*INDEX(BBG_Data!$D$2:$D$4000,MATCH($A479,BBG_Data!$C$2:$C$4000,0)),NA()))</f>
        <v/>
      </c>
      <c r="D479" s="19">
        <f>IF(NOT(ISNUMBER($A479)),NA(),IFERROR(1*INDEX(BBG_Data!$F$2:$F$4000,MATCH($A479,BBG_Data!$E$2:$E$4000,0)),NA()))</f>
        <v/>
      </c>
      <c r="E479" s="19">
        <f>IF(NOT(ISNUMBER($A479)),NA(),IFERROR(1*INDEX(BBG_Data!$H$2:$H$4000,MATCH($A479,BBG_Data!$G$2:$G$4000,0)),NA()))</f>
        <v/>
      </c>
      <c r="F479" s="20">
        <f>IF(AND(ISNUMBER(B479),ISNUMBER(B478)),IF(B479=B478,"",(B479-B478)*100),"")</f>
        <v/>
      </c>
      <c r="G479" s="20">
        <f>IF(AND(ISNUMBER(C479),ISNUMBER(C478)),IF(C479=C478,"",(C479-C478)*100),"")</f>
        <v/>
      </c>
      <c r="H479" s="20">
        <f>IF(OR(NOT(ISNUMBER($A479)),ROW()-2&lt;Settings!$B$11),NA(),IF(COUNT(OFFSET(F479,1-Settings!$B$11,0,Settings!$B$11,1))&lt;ROUNDUP(Settings!$B$11*Settings!$B$26,0),NA(),STDEV(OFFSET(F479,1-Settings!$B$11,0,Settings!$B$11,1))*SQRT(Settings!$B$13)))</f>
        <v/>
      </c>
      <c r="I479" s="20">
        <f>IF(OR(NOT(ISNUMBER($A479)),ROW()-2&lt;Settings!$B$12),NA(),IF(COUNT(OFFSET(F479,1-Settings!$B$12,0,Settings!$B$12,1))&lt;ROUNDUP(Settings!$B$12*Settings!$B$26,0),NA(),STDEV(OFFSET(F479,1-Settings!$B$12,0,Settings!$B$12,1))*SQRT(Settings!$B$13)))</f>
        <v/>
      </c>
      <c r="J479" s="20">
        <f>IF(OR(NOT(ISNUMBER($A479)),ROW()-2&lt;Settings!$B$11),NA(),IF(COUNT(OFFSET(G479,1-Settings!$B$11,0,Settings!$B$11,1))&lt;ROUNDUP(Settings!$B$11*Settings!$B$26,0),NA(),STDEV(OFFSET(G479,1-Settings!$B$11,0,Settings!$B$11,1))*SQRT(Settings!$B$13)))</f>
        <v/>
      </c>
      <c r="K479" s="20">
        <f>IF(OR(NOT(ISNUMBER($A479)),ROW()-2&lt;Settings!$B$12),NA(),IF(COUNT(OFFSET(G479,1-Settings!$B$12,0,Settings!$B$12,1))&lt;ROUNDUP(Settings!$B$12*Settings!$B$26,0),NA(),STDEV(OFFSET(G479,1-Settings!$B$12,0,Settings!$B$12,1))*SQRT(Settings!$B$13)))</f>
        <v/>
      </c>
      <c r="L479" s="20">
        <f>IF(AND(ISNUMBER(D479),ISNUMBER(H479)),D479-H479,NA())</f>
        <v/>
      </c>
      <c r="M479" s="20">
        <f>IF(AND(ISNUMBER(E479),ISNUMBER(K479)),E479-K479,NA())</f>
        <v/>
      </c>
      <c r="N479" s="20">
        <f>IF(NOT(ISNUMBER($A479)),NA(),IF(COUNT(OFFSET(G479,1,0,Settings!$B$12,1))&lt;ROUNDUP(Settings!$B$12*Settings!$B$26,0),NA(),STDEV(OFFSET(G479,1,0,Settings!$B$12,1))*SQRT(Settings!$B$13)))</f>
        <v/>
      </c>
      <c r="O479" s="20">
        <f>IF(AND(ISNUMBER(E479),ISNUMBER(N479)),E479-N479,NA())</f>
        <v/>
      </c>
      <c r="P479" s="19">
        <f>IF(NOT(ISNUMBER($A479)),NA(),IF(OR($A479&lt;MIN(KW_TP!$A$2:$A$2501),$A479&gt;MAX(KW_TP!$A$2:$A$2501)),NA(),INDEX(KW_TP!$C$2:$C$2501,MATCH($A479,KW_TP!$A$2:$A$2501,1))))</f>
        <v/>
      </c>
      <c r="Q479" s="18">
        <f>IF(NOT(ISNUMBER($A479)),NA(),IFERROR(1*INDEX(BBG_Data!$J$2:$J$4000,MATCH($A479,BBG_Data!$I$2:$I$4000,0)),NA()))</f>
        <v/>
      </c>
      <c r="R479" s="18">
        <f>IF(NOT(ISNUMBER($A479)),NA(),IFERROR(1*INDEX(BBG_Data!$L$2:$L$4000,MATCH($A479,BBG_Data!$K$2:$K$4000,0)),NA()))</f>
        <v/>
      </c>
      <c r="S479" s="20">
        <f>IF(AND(ISNUMBER(B479),ISNUMBER(Q479),ISNUMBER(R479)),(B479-Q479-R479)*100,NA())</f>
        <v/>
      </c>
      <c r="T479" s="20">
        <f>IF(AND(ISNUMBER(B479),Settings!$B$17&gt;0),IF(ISNUMBER(INDEX($B:$B,Settings!$B$17)),(B479-INDEX($B:$B,Settings!$B$17))*100,NA()),NA())</f>
        <v/>
      </c>
      <c r="U479" s="20">
        <f>IF(AND(ISNUMBER(Q479),Settings!$B$17&gt;0),IF(ISNUMBER(INDEX($Q:$Q,Settings!$B$17)),(Q479-INDEX($Q:$Q,Settings!$B$17))*100,NA()),NA())</f>
        <v/>
      </c>
      <c r="V479" s="20">
        <f>IF(AND(ISNUMBER(R479),Settings!$B$17&gt;0),IF(ISNUMBER(INDEX($R:$R,Settings!$B$17)),(R479-INDEX($R:$R,Settings!$B$17))*100,NA()),NA())</f>
        <v/>
      </c>
      <c r="W479" s="20">
        <f>IF(AND(ISNUMBER(P479),Settings!$B$17&gt;0),IF(ISNUMBER(INDEX($P:$P,Settings!$B$17)),P479-INDEX($P:$P,Settings!$B$17),NA()),NA())</f>
        <v/>
      </c>
      <c r="X479" s="19">
        <f>IF(NOT(ISNUMBER($A479)),NA(),IF(OR($A479&lt;MIN(DKW_10Y!$A$2:$A$2918),$A479&gt;MAX(DKW_10Y!$A$2:$A$2918),Settings!$B$16&lt;MIN(DKW_10Y!$A$2:$A$2918)),NA(),(INDEX(DKW_10Y!$B$2:$B$2918,MATCH($A479,DKW_10Y!$A$2:$A$2918,1))-INDEX(DKW_10Y!$B$2:$B$2918,MATCH(Settings!$B$16,DKW_10Y!$A$2:$A$2918,1)))*100))</f>
        <v/>
      </c>
      <c r="Y479" s="19">
        <f>IF(NOT(ISNUMBER($A479)),NA(),IF(OR($A479&lt;MIN(DKW_10Y!$A$2:$A$2918),$A479&gt;MAX(DKW_10Y!$A$2:$A$2918),Settings!$B$16&lt;MIN(DKW_10Y!$A$2:$A$2918)),NA(),(INDEX(DKW_10Y!$C$2:$C$2918,MATCH($A479,DKW_10Y!$A$2:$A$2918,1))-INDEX(DKW_10Y!$C$2:$C$2918,MATCH(Settings!$B$16,DKW_10Y!$A$2:$A$2918,1)))*100))</f>
        <v/>
      </c>
      <c r="Z479" s="19">
        <f>IF(NOT(ISNUMBER($A479)),NA(),IF(OR($A479&lt;MIN(DKW_10Y!$A$2:$A$2918),$A479&gt;MAX(DKW_10Y!$A$2:$A$2918),Settings!$B$16&lt;MIN(DKW_10Y!$A$2:$A$2918)),NA(),(INDEX(DKW_10Y!$D$2:$D$2918,MATCH($A479,DKW_10Y!$A$2:$A$2918,1))-INDEX(DKW_10Y!$D$2:$D$2918,MATCH(Settings!$B$16,DKW_10Y!$A$2:$A$2918,1)))*100))</f>
        <v/>
      </c>
      <c r="AA479" s="19">
        <f>IF(NOT(ISNUMBER($A479)),NA(),IF(OR($A479&lt;MIN(DKW_10Y!$A$2:$A$2918),$A479&gt;MAX(DKW_10Y!$A$2:$A$2918),Settings!$B$16&lt;MIN(DKW_10Y!$A$2:$A$2918)),NA(),(INDEX(DKW_10Y!$E$2:$E$2918,MATCH($A479,DKW_10Y!$A$2:$A$2918,1))-INDEX(DKW_10Y!$E$2:$E$2918,MATCH(Settings!$B$16,DKW_10Y!$A$2:$A$2918,1)))*100))</f>
        <v/>
      </c>
      <c r="AB479" s="19">
        <f>IF(NOT(ISNUMBER($A479)),NA(),IF(OR($A479&lt;MIN(DKW_10Y!$A$2:$A$2918),$A479&gt;MAX(DKW_10Y!$A$2:$A$2918),Settings!$B$16&lt;MIN(DKW_10Y!$A$2:$A$2918)),NA(),(INDEX(DKW_10Y!$H$2:$H$2918,MATCH($A479,DKW_10Y!$A$2:$A$2918,1))-INDEX(DKW_10Y!$H$2:$H$2918,MATCH(Settings!$B$16,DKW_10Y!$A$2:$A$2918,1)))*100))</f>
        <v/>
      </c>
      <c r="AC479" s="18">
        <f>IF(NOT(ISNUMBER($A479)),NA(),IFERROR(1*INDEX(BBG_Data!$N$2:$N$4000,MATCH($A479,BBG_Data!$M$2:$M$4000,0)),NA()))</f>
        <v/>
      </c>
      <c r="AD479" s="18">
        <f>IF(NOT(ISNUMBER($A479)),NA(),IFERROR(1*INDEX(BBG_Data!$P$2:$P$4000,MATCH($A479,BBG_Data!$O$2:$O$4000,0)),NA()))</f>
        <v/>
      </c>
      <c r="AE479" s="18">
        <f>IF(NOT(ISNUMBER($A479)),NA(),IFERROR(1*INDEX(BBG_Data!$R$2:$R$4000,MATCH($A479,BBG_Data!$Q$2:$Q$4000,0)),NA()))</f>
        <v/>
      </c>
      <c r="AF479" s="20">
        <f>IF(AND(ISNUMBER(B479),ISNUMBER(AC479)),(B479-AC479)*100,NA())</f>
        <v/>
      </c>
      <c r="AG479" s="20">
        <f>IF(AND(ISNUMBER(AE479),ISNUMBER(AD479)),(AE479-AD479)*100,NA())</f>
        <v/>
      </c>
      <c r="AH479" s="19">
        <f>IF(NOT(ISNUMBER($A479)),NA(),IFERROR(INDEX(BBG_Data!$T$2:$T$4000,MATCH($A479,BBG_Data!$S$2:$S$4000,0))*Settings!$B$25,NA()))</f>
        <v/>
      </c>
      <c r="AI479" s="19">
        <f>IF(NOT(ISNUMBER($A479)),NA(),IFERROR(INDEX(BBG_Data!$V$2:$V$4000,MATCH($A479,BBG_Data!$U$2:$U$4000,0))*Settings!$B$25,NA()))</f>
        <v/>
      </c>
      <c r="AJ479" s="19">
        <f>IF(NOT(ISNUMBER($A479)),NA(),IFERROR(1*INDEX(BBG_Data!$X$2:$X$4000,MATCH($A479,BBG_Data!$W$2:$W$4000,0)),NA()))</f>
        <v/>
      </c>
      <c r="AK479" s="19">
        <f>IF(NOT(ISNUMBER($A479)),NA(),IFERROR(1*INDEX(BBG_Data!$Z$2:$Z$4000,MATCH($A479,BBG_Data!$Y$2:$Y$4000,0)),NA()))</f>
        <v/>
      </c>
    </row>
    <row r="480">
      <c r="A480" s="17">
        <f>IF(ISNUMBER(BBG_Data!A480),BBG_Data!A480,"")</f>
        <v/>
      </c>
      <c r="B480" s="18">
        <f>IF(AND(ISNUMBER($A480),ISNUMBER(BBG_Data!B480)),BBG_Data!B480,NA())</f>
        <v/>
      </c>
      <c r="C480" s="18">
        <f>IF(NOT(ISNUMBER($A480)),NA(),IFERROR(1*INDEX(BBG_Data!$D$2:$D$4000,MATCH($A480,BBG_Data!$C$2:$C$4000,0)),NA()))</f>
        <v/>
      </c>
      <c r="D480" s="19">
        <f>IF(NOT(ISNUMBER($A480)),NA(),IFERROR(1*INDEX(BBG_Data!$F$2:$F$4000,MATCH($A480,BBG_Data!$E$2:$E$4000,0)),NA()))</f>
        <v/>
      </c>
      <c r="E480" s="19">
        <f>IF(NOT(ISNUMBER($A480)),NA(),IFERROR(1*INDEX(BBG_Data!$H$2:$H$4000,MATCH($A480,BBG_Data!$G$2:$G$4000,0)),NA()))</f>
        <v/>
      </c>
      <c r="F480" s="20">
        <f>IF(AND(ISNUMBER(B480),ISNUMBER(B479)),IF(B480=B479,"",(B480-B479)*100),"")</f>
        <v/>
      </c>
      <c r="G480" s="20">
        <f>IF(AND(ISNUMBER(C480),ISNUMBER(C479)),IF(C480=C479,"",(C480-C479)*100),"")</f>
        <v/>
      </c>
      <c r="H480" s="20">
        <f>IF(OR(NOT(ISNUMBER($A480)),ROW()-2&lt;Settings!$B$11),NA(),IF(COUNT(OFFSET(F480,1-Settings!$B$11,0,Settings!$B$11,1))&lt;ROUNDUP(Settings!$B$11*Settings!$B$26,0),NA(),STDEV(OFFSET(F480,1-Settings!$B$11,0,Settings!$B$11,1))*SQRT(Settings!$B$13)))</f>
        <v/>
      </c>
      <c r="I480" s="20">
        <f>IF(OR(NOT(ISNUMBER($A480)),ROW()-2&lt;Settings!$B$12),NA(),IF(COUNT(OFFSET(F480,1-Settings!$B$12,0,Settings!$B$12,1))&lt;ROUNDUP(Settings!$B$12*Settings!$B$26,0),NA(),STDEV(OFFSET(F480,1-Settings!$B$12,0,Settings!$B$12,1))*SQRT(Settings!$B$13)))</f>
        <v/>
      </c>
      <c r="J480" s="20">
        <f>IF(OR(NOT(ISNUMBER($A480)),ROW()-2&lt;Settings!$B$11),NA(),IF(COUNT(OFFSET(G480,1-Settings!$B$11,0,Settings!$B$11,1))&lt;ROUNDUP(Settings!$B$11*Settings!$B$26,0),NA(),STDEV(OFFSET(G480,1-Settings!$B$11,0,Settings!$B$11,1))*SQRT(Settings!$B$13)))</f>
        <v/>
      </c>
      <c r="K480" s="20">
        <f>IF(OR(NOT(ISNUMBER($A480)),ROW()-2&lt;Settings!$B$12),NA(),IF(COUNT(OFFSET(G480,1-Settings!$B$12,0,Settings!$B$12,1))&lt;ROUNDUP(Settings!$B$12*Settings!$B$26,0),NA(),STDEV(OFFSET(G480,1-Settings!$B$12,0,Settings!$B$12,1))*SQRT(Settings!$B$13)))</f>
        <v/>
      </c>
      <c r="L480" s="20">
        <f>IF(AND(ISNUMBER(D480),ISNUMBER(H480)),D480-H480,NA())</f>
        <v/>
      </c>
      <c r="M480" s="20">
        <f>IF(AND(ISNUMBER(E480),ISNUMBER(K480)),E480-K480,NA())</f>
        <v/>
      </c>
      <c r="N480" s="20">
        <f>IF(NOT(ISNUMBER($A480)),NA(),IF(COUNT(OFFSET(G480,1,0,Settings!$B$12,1))&lt;ROUNDUP(Settings!$B$12*Settings!$B$26,0),NA(),STDEV(OFFSET(G480,1,0,Settings!$B$12,1))*SQRT(Settings!$B$13)))</f>
        <v/>
      </c>
      <c r="O480" s="20">
        <f>IF(AND(ISNUMBER(E480),ISNUMBER(N480)),E480-N480,NA())</f>
        <v/>
      </c>
      <c r="P480" s="19">
        <f>IF(NOT(ISNUMBER($A480)),NA(),IF(OR($A480&lt;MIN(KW_TP!$A$2:$A$2501),$A480&gt;MAX(KW_TP!$A$2:$A$2501)),NA(),INDEX(KW_TP!$C$2:$C$2501,MATCH($A480,KW_TP!$A$2:$A$2501,1))))</f>
        <v/>
      </c>
      <c r="Q480" s="18">
        <f>IF(NOT(ISNUMBER($A480)),NA(),IFERROR(1*INDEX(BBG_Data!$J$2:$J$4000,MATCH($A480,BBG_Data!$I$2:$I$4000,0)),NA()))</f>
        <v/>
      </c>
      <c r="R480" s="18">
        <f>IF(NOT(ISNUMBER($A480)),NA(),IFERROR(1*INDEX(BBG_Data!$L$2:$L$4000,MATCH($A480,BBG_Data!$K$2:$K$4000,0)),NA()))</f>
        <v/>
      </c>
      <c r="S480" s="20">
        <f>IF(AND(ISNUMBER(B480),ISNUMBER(Q480),ISNUMBER(R480)),(B480-Q480-R480)*100,NA())</f>
        <v/>
      </c>
      <c r="T480" s="20">
        <f>IF(AND(ISNUMBER(B480),Settings!$B$17&gt;0),IF(ISNUMBER(INDEX($B:$B,Settings!$B$17)),(B480-INDEX($B:$B,Settings!$B$17))*100,NA()),NA())</f>
        <v/>
      </c>
      <c r="U480" s="20">
        <f>IF(AND(ISNUMBER(Q480),Settings!$B$17&gt;0),IF(ISNUMBER(INDEX($Q:$Q,Settings!$B$17)),(Q480-INDEX($Q:$Q,Settings!$B$17))*100,NA()),NA())</f>
        <v/>
      </c>
      <c r="V480" s="20">
        <f>IF(AND(ISNUMBER(R480),Settings!$B$17&gt;0),IF(ISNUMBER(INDEX($R:$R,Settings!$B$17)),(R480-INDEX($R:$R,Settings!$B$17))*100,NA()),NA())</f>
        <v/>
      </c>
      <c r="W480" s="20">
        <f>IF(AND(ISNUMBER(P480),Settings!$B$17&gt;0),IF(ISNUMBER(INDEX($P:$P,Settings!$B$17)),P480-INDEX($P:$P,Settings!$B$17),NA()),NA())</f>
        <v/>
      </c>
      <c r="X480" s="19">
        <f>IF(NOT(ISNUMBER($A480)),NA(),IF(OR($A480&lt;MIN(DKW_10Y!$A$2:$A$2918),$A480&gt;MAX(DKW_10Y!$A$2:$A$2918),Settings!$B$16&lt;MIN(DKW_10Y!$A$2:$A$2918)),NA(),(INDEX(DKW_10Y!$B$2:$B$2918,MATCH($A480,DKW_10Y!$A$2:$A$2918,1))-INDEX(DKW_10Y!$B$2:$B$2918,MATCH(Settings!$B$16,DKW_10Y!$A$2:$A$2918,1)))*100))</f>
        <v/>
      </c>
      <c r="Y480" s="19">
        <f>IF(NOT(ISNUMBER($A480)),NA(),IF(OR($A480&lt;MIN(DKW_10Y!$A$2:$A$2918),$A480&gt;MAX(DKW_10Y!$A$2:$A$2918),Settings!$B$16&lt;MIN(DKW_10Y!$A$2:$A$2918)),NA(),(INDEX(DKW_10Y!$C$2:$C$2918,MATCH($A480,DKW_10Y!$A$2:$A$2918,1))-INDEX(DKW_10Y!$C$2:$C$2918,MATCH(Settings!$B$16,DKW_10Y!$A$2:$A$2918,1)))*100))</f>
        <v/>
      </c>
      <c r="Z480" s="19">
        <f>IF(NOT(ISNUMBER($A480)),NA(),IF(OR($A480&lt;MIN(DKW_10Y!$A$2:$A$2918),$A480&gt;MAX(DKW_10Y!$A$2:$A$2918),Settings!$B$16&lt;MIN(DKW_10Y!$A$2:$A$2918)),NA(),(INDEX(DKW_10Y!$D$2:$D$2918,MATCH($A480,DKW_10Y!$A$2:$A$2918,1))-INDEX(DKW_10Y!$D$2:$D$2918,MATCH(Settings!$B$16,DKW_10Y!$A$2:$A$2918,1)))*100))</f>
        <v/>
      </c>
      <c r="AA480" s="19">
        <f>IF(NOT(ISNUMBER($A480)),NA(),IF(OR($A480&lt;MIN(DKW_10Y!$A$2:$A$2918),$A480&gt;MAX(DKW_10Y!$A$2:$A$2918),Settings!$B$16&lt;MIN(DKW_10Y!$A$2:$A$2918)),NA(),(INDEX(DKW_10Y!$E$2:$E$2918,MATCH($A480,DKW_10Y!$A$2:$A$2918,1))-INDEX(DKW_10Y!$E$2:$E$2918,MATCH(Settings!$B$16,DKW_10Y!$A$2:$A$2918,1)))*100))</f>
        <v/>
      </c>
      <c r="AB480" s="19">
        <f>IF(NOT(ISNUMBER($A480)),NA(),IF(OR($A480&lt;MIN(DKW_10Y!$A$2:$A$2918),$A480&gt;MAX(DKW_10Y!$A$2:$A$2918),Settings!$B$16&lt;MIN(DKW_10Y!$A$2:$A$2918)),NA(),(INDEX(DKW_10Y!$H$2:$H$2918,MATCH($A480,DKW_10Y!$A$2:$A$2918,1))-INDEX(DKW_10Y!$H$2:$H$2918,MATCH(Settings!$B$16,DKW_10Y!$A$2:$A$2918,1)))*100))</f>
        <v/>
      </c>
      <c r="AC480" s="18">
        <f>IF(NOT(ISNUMBER($A480)),NA(),IFERROR(1*INDEX(BBG_Data!$N$2:$N$4000,MATCH($A480,BBG_Data!$M$2:$M$4000,0)),NA()))</f>
        <v/>
      </c>
      <c r="AD480" s="18">
        <f>IF(NOT(ISNUMBER($A480)),NA(),IFERROR(1*INDEX(BBG_Data!$P$2:$P$4000,MATCH($A480,BBG_Data!$O$2:$O$4000,0)),NA()))</f>
        <v/>
      </c>
      <c r="AE480" s="18">
        <f>IF(NOT(ISNUMBER($A480)),NA(),IFERROR(1*INDEX(BBG_Data!$R$2:$R$4000,MATCH($A480,BBG_Data!$Q$2:$Q$4000,0)),NA()))</f>
        <v/>
      </c>
      <c r="AF480" s="20">
        <f>IF(AND(ISNUMBER(B480),ISNUMBER(AC480)),(B480-AC480)*100,NA())</f>
        <v/>
      </c>
      <c r="AG480" s="20">
        <f>IF(AND(ISNUMBER(AE480),ISNUMBER(AD480)),(AE480-AD480)*100,NA())</f>
        <v/>
      </c>
      <c r="AH480" s="19">
        <f>IF(NOT(ISNUMBER($A480)),NA(),IFERROR(INDEX(BBG_Data!$T$2:$T$4000,MATCH($A480,BBG_Data!$S$2:$S$4000,0))*Settings!$B$25,NA()))</f>
        <v/>
      </c>
      <c r="AI480" s="19">
        <f>IF(NOT(ISNUMBER($A480)),NA(),IFERROR(INDEX(BBG_Data!$V$2:$V$4000,MATCH($A480,BBG_Data!$U$2:$U$4000,0))*Settings!$B$25,NA()))</f>
        <v/>
      </c>
      <c r="AJ480" s="19">
        <f>IF(NOT(ISNUMBER($A480)),NA(),IFERROR(1*INDEX(BBG_Data!$X$2:$X$4000,MATCH($A480,BBG_Data!$W$2:$W$4000,0)),NA()))</f>
        <v/>
      </c>
      <c r="AK480" s="19">
        <f>IF(NOT(ISNUMBER($A480)),NA(),IFERROR(1*INDEX(BBG_Data!$Z$2:$Z$4000,MATCH($A480,BBG_Data!$Y$2:$Y$4000,0)),NA()))</f>
        <v/>
      </c>
    </row>
    <row r="481">
      <c r="A481" s="17">
        <f>IF(ISNUMBER(BBG_Data!A481),BBG_Data!A481,"")</f>
        <v/>
      </c>
      <c r="B481" s="18">
        <f>IF(AND(ISNUMBER($A481),ISNUMBER(BBG_Data!B481)),BBG_Data!B481,NA())</f>
        <v/>
      </c>
      <c r="C481" s="18">
        <f>IF(NOT(ISNUMBER($A481)),NA(),IFERROR(1*INDEX(BBG_Data!$D$2:$D$4000,MATCH($A481,BBG_Data!$C$2:$C$4000,0)),NA()))</f>
        <v/>
      </c>
      <c r="D481" s="19">
        <f>IF(NOT(ISNUMBER($A481)),NA(),IFERROR(1*INDEX(BBG_Data!$F$2:$F$4000,MATCH($A481,BBG_Data!$E$2:$E$4000,0)),NA()))</f>
        <v/>
      </c>
      <c r="E481" s="19">
        <f>IF(NOT(ISNUMBER($A481)),NA(),IFERROR(1*INDEX(BBG_Data!$H$2:$H$4000,MATCH($A481,BBG_Data!$G$2:$G$4000,0)),NA()))</f>
        <v/>
      </c>
      <c r="F481" s="20">
        <f>IF(AND(ISNUMBER(B481),ISNUMBER(B480)),IF(B481=B480,"",(B481-B480)*100),"")</f>
        <v/>
      </c>
      <c r="G481" s="20">
        <f>IF(AND(ISNUMBER(C481),ISNUMBER(C480)),IF(C481=C480,"",(C481-C480)*100),"")</f>
        <v/>
      </c>
      <c r="H481" s="20">
        <f>IF(OR(NOT(ISNUMBER($A481)),ROW()-2&lt;Settings!$B$11),NA(),IF(COUNT(OFFSET(F481,1-Settings!$B$11,0,Settings!$B$11,1))&lt;ROUNDUP(Settings!$B$11*Settings!$B$26,0),NA(),STDEV(OFFSET(F481,1-Settings!$B$11,0,Settings!$B$11,1))*SQRT(Settings!$B$13)))</f>
        <v/>
      </c>
      <c r="I481" s="20">
        <f>IF(OR(NOT(ISNUMBER($A481)),ROW()-2&lt;Settings!$B$12),NA(),IF(COUNT(OFFSET(F481,1-Settings!$B$12,0,Settings!$B$12,1))&lt;ROUNDUP(Settings!$B$12*Settings!$B$26,0),NA(),STDEV(OFFSET(F481,1-Settings!$B$12,0,Settings!$B$12,1))*SQRT(Settings!$B$13)))</f>
        <v/>
      </c>
      <c r="J481" s="20">
        <f>IF(OR(NOT(ISNUMBER($A481)),ROW()-2&lt;Settings!$B$11),NA(),IF(COUNT(OFFSET(G481,1-Settings!$B$11,0,Settings!$B$11,1))&lt;ROUNDUP(Settings!$B$11*Settings!$B$26,0),NA(),STDEV(OFFSET(G481,1-Settings!$B$11,0,Settings!$B$11,1))*SQRT(Settings!$B$13)))</f>
        <v/>
      </c>
      <c r="K481" s="20">
        <f>IF(OR(NOT(ISNUMBER($A481)),ROW()-2&lt;Settings!$B$12),NA(),IF(COUNT(OFFSET(G481,1-Settings!$B$12,0,Settings!$B$12,1))&lt;ROUNDUP(Settings!$B$12*Settings!$B$26,0),NA(),STDEV(OFFSET(G481,1-Settings!$B$12,0,Settings!$B$12,1))*SQRT(Settings!$B$13)))</f>
        <v/>
      </c>
      <c r="L481" s="20">
        <f>IF(AND(ISNUMBER(D481),ISNUMBER(H481)),D481-H481,NA())</f>
        <v/>
      </c>
      <c r="M481" s="20">
        <f>IF(AND(ISNUMBER(E481),ISNUMBER(K481)),E481-K481,NA())</f>
        <v/>
      </c>
      <c r="N481" s="20">
        <f>IF(NOT(ISNUMBER($A481)),NA(),IF(COUNT(OFFSET(G481,1,0,Settings!$B$12,1))&lt;ROUNDUP(Settings!$B$12*Settings!$B$26,0),NA(),STDEV(OFFSET(G481,1,0,Settings!$B$12,1))*SQRT(Settings!$B$13)))</f>
        <v/>
      </c>
      <c r="O481" s="20">
        <f>IF(AND(ISNUMBER(E481),ISNUMBER(N481)),E481-N481,NA())</f>
        <v/>
      </c>
      <c r="P481" s="19">
        <f>IF(NOT(ISNUMBER($A481)),NA(),IF(OR($A481&lt;MIN(KW_TP!$A$2:$A$2501),$A481&gt;MAX(KW_TP!$A$2:$A$2501)),NA(),INDEX(KW_TP!$C$2:$C$2501,MATCH($A481,KW_TP!$A$2:$A$2501,1))))</f>
        <v/>
      </c>
      <c r="Q481" s="18">
        <f>IF(NOT(ISNUMBER($A481)),NA(),IFERROR(1*INDEX(BBG_Data!$J$2:$J$4000,MATCH($A481,BBG_Data!$I$2:$I$4000,0)),NA()))</f>
        <v/>
      </c>
      <c r="R481" s="18">
        <f>IF(NOT(ISNUMBER($A481)),NA(),IFERROR(1*INDEX(BBG_Data!$L$2:$L$4000,MATCH($A481,BBG_Data!$K$2:$K$4000,0)),NA()))</f>
        <v/>
      </c>
      <c r="S481" s="20">
        <f>IF(AND(ISNUMBER(B481),ISNUMBER(Q481),ISNUMBER(R481)),(B481-Q481-R481)*100,NA())</f>
        <v/>
      </c>
      <c r="T481" s="20">
        <f>IF(AND(ISNUMBER(B481),Settings!$B$17&gt;0),IF(ISNUMBER(INDEX($B:$B,Settings!$B$17)),(B481-INDEX($B:$B,Settings!$B$17))*100,NA()),NA())</f>
        <v/>
      </c>
      <c r="U481" s="20">
        <f>IF(AND(ISNUMBER(Q481),Settings!$B$17&gt;0),IF(ISNUMBER(INDEX($Q:$Q,Settings!$B$17)),(Q481-INDEX($Q:$Q,Settings!$B$17))*100,NA()),NA())</f>
        <v/>
      </c>
      <c r="V481" s="20">
        <f>IF(AND(ISNUMBER(R481),Settings!$B$17&gt;0),IF(ISNUMBER(INDEX($R:$R,Settings!$B$17)),(R481-INDEX($R:$R,Settings!$B$17))*100,NA()),NA())</f>
        <v/>
      </c>
      <c r="W481" s="20">
        <f>IF(AND(ISNUMBER(P481),Settings!$B$17&gt;0),IF(ISNUMBER(INDEX($P:$P,Settings!$B$17)),P481-INDEX($P:$P,Settings!$B$17),NA()),NA())</f>
        <v/>
      </c>
      <c r="X481" s="19">
        <f>IF(NOT(ISNUMBER($A481)),NA(),IF(OR($A481&lt;MIN(DKW_10Y!$A$2:$A$2918),$A481&gt;MAX(DKW_10Y!$A$2:$A$2918),Settings!$B$16&lt;MIN(DKW_10Y!$A$2:$A$2918)),NA(),(INDEX(DKW_10Y!$B$2:$B$2918,MATCH($A481,DKW_10Y!$A$2:$A$2918,1))-INDEX(DKW_10Y!$B$2:$B$2918,MATCH(Settings!$B$16,DKW_10Y!$A$2:$A$2918,1)))*100))</f>
        <v/>
      </c>
      <c r="Y481" s="19">
        <f>IF(NOT(ISNUMBER($A481)),NA(),IF(OR($A481&lt;MIN(DKW_10Y!$A$2:$A$2918),$A481&gt;MAX(DKW_10Y!$A$2:$A$2918),Settings!$B$16&lt;MIN(DKW_10Y!$A$2:$A$2918)),NA(),(INDEX(DKW_10Y!$C$2:$C$2918,MATCH($A481,DKW_10Y!$A$2:$A$2918,1))-INDEX(DKW_10Y!$C$2:$C$2918,MATCH(Settings!$B$16,DKW_10Y!$A$2:$A$2918,1)))*100))</f>
        <v/>
      </c>
      <c r="Z481" s="19">
        <f>IF(NOT(ISNUMBER($A481)),NA(),IF(OR($A481&lt;MIN(DKW_10Y!$A$2:$A$2918),$A481&gt;MAX(DKW_10Y!$A$2:$A$2918),Settings!$B$16&lt;MIN(DKW_10Y!$A$2:$A$2918)),NA(),(INDEX(DKW_10Y!$D$2:$D$2918,MATCH($A481,DKW_10Y!$A$2:$A$2918,1))-INDEX(DKW_10Y!$D$2:$D$2918,MATCH(Settings!$B$16,DKW_10Y!$A$2:$A$2918,1)))*100))</f>
        <v/>
      </c>
      <c r="AA481" s="19">
        <f>IF(NOT(ISNUMBER($A481)),NA(),IF(OR($A481&lt;MIN(DKW_10Y!$A$2:$A$2918),$A481&gt;MAX(DKW_10Y!$A$2:$A$2918),Settings!$B$16&lt;MIN(DKW_10Y!$A$2:$A$2918)),NA(),(INDEX(DKW_10Y!$E$2:$E$2918,MATCH($A481,DKW_10Y!$A$2:$A$2918,1))-INDEX(DKW_10Y!$E$2:$E$2918,MATCH(Settings!$B$16,DKW_10Y!$A$2:$A$2918,1)))*100))</f>
        <v/>
      </c>
      <c r="AB481" s="19">
        <f>IF(NOT(ISNUMBER($A481)),NA(),IF(OR($A481&lt;MIN(DKW_10Y!$A$2:$A$2918),$A481&gt;MAX(DKW_10Y!$A$2:$A$2918),Settings!$B$16&lt;MIN(DKW_10Y!$A$2:$A$2918)),NA(),(INDEX(DKW_10Y!$H$2:$H$2918,MATCH($A481,DKW_10Y!$A$2:$A$2918,1))-INDEX(DKW_10Y!$H$2:$H$2918,MATCH(Settings!$B$16,DKW_10Y!$A$2:$A$2918,1)))*100))</f>
        <v/>
      </c>
      <c r="AC481" s="18">
        <f>IF(NOT(ISNUMBER($A481)),NA(),IFERROR(1*INDEX(BBG_Data!$N$2:$N$4000,MATCH($A481,BBG_Data!$M$2:$M$4000,0)),NA()))</f>
        <v/>
      </c>
      <c r="AD481" s="18">
        <f>IF(NOT(ISNUMBER($A481)),NA(),IFERROR(1*INDEX(BBG_Data!$P$2:$P$4000,MATCH($A481,BBG_Data!$O$2:$O$4000,0)),NA()))</f>
        <v/>
      </c>
      <c r="AE481" s="18">
        <f>IF(NOT(ISNUMBER($A481)),NA(),IFERROR(1*INDEX(BBG_Data!$R$2:$R$4000,MATCH($A481,BBG_Data!$Q$2:$Q$4000,0)),NA()))</f>
        <v/>
      </c>
      <c r="AF481" s="20">
        <f>IF(AND(ISNUMBER(B481),ISNUMBER(AC481)),(B481-AC481)*100,NA())</f>
        <v/>
      </c>
      <c r="AG481" s="20">
        <f>IF(AND(ISNUMBER(AE481),ISNUMBER(AD481)),(AE481-AD481)*100,NA())</f>
        <v/>
      </c>
      <c r="AH481" s="19">
        <f>IF(NOT(ISNUMBER($A481)),NA(),IFERROR(INDEX(BBG_Data!$T$2:$T$4000,MATCH($A481,BBG_Data!$S$2:$S$4000,0))*Settings!$B$25,NA()))</f>
        <v/>
      </c>
      <c r="AI481" s="19">
        <f>IF(NOT(ISNUMBER($A481)),NA(),IFERROR(INDEX(BBG_Data!$V$2:$V$4000,MATCH($A481,BBG_Data!$U$2:$U$4000,0))*Settings!$B$25,NA()))</f>
        <v/>
      </c>
      <c r="AJ481" s="19">
        <f>IF(NOT(ISNUMBER($A481)),NA(),IFERROR(1*INDEX(BBG_Data!$X$2:$X$4000,MATCH($A481,BBG_Data!$W$2:$W$4000,0)),NA()))</f>
        <v/>
      </c>
      <c r="AK481" s="19">
        <f>IF(NOT(ISNUMBER($A481)),NA(),IFERROR(1*INDEX(BBG_Data!$Z$2:$Z$4000,MATCH($A481,BBG_Data!$Y$2:$Y$4000,0)),NA()))</f>
        <v/>
      </c>
    </row>
    <row r="482">
      <c r="A482" s="17">
        <f>IF(ISNUMBER(BBG_Data!A482),BBG_Data!A482,"")</f>
        <v/>
      </c>
      <c r="B482" s="18">
        <f>IF(AND(ISNUMBER($A482),ISNUMBER(BBG_Data!B482)),BBG_Data!B482,NA())</f>
        <v/>
      </c>
      <c r="C482" s="18">
        <f>IF(NOT(ISNUMBER($A482)),NA(),IFERROR(1*INDEX(BBG_Data!$D$2:$D$4000,MATCH($A482,BBG_Data!$C$2:$C$4000,0)),NA()))</f>
        <v/>
      </c>
      <c r="D482" s="19">
        <f>IF(NOT(ISNUMBER($A482)),NA(),IFERROR(1*INDEX(BBG_Data!$F$2:$F$4000,MATCH($A482,BBG_Data!$E$2:$E$4000,0)),NA()))</f>
        <v/>
      </c>
      <c r="E482" s="19">
        <f>IF(NOT(ISNUMBER($A482)),NA(),IFERROR(1*INDEX(BBG_Data!$H$2:$H$4000,MATCH($A482,BBG_Data!$G$2:$G$4000,0)),NA()))</f>
        <v/>
      </c>
      <c r="F482" s="20">
        <f>IF(AND(ISNUMBER(B482),ISNUMBER(B481)),IF(B482=B481,"",(B482-B481)*100),"")</f>
        <v/>
      </c>
      <c r="G482" s="20">
        <f>IF(AND(ISNUMBER(C482),ISNUMBER(C481)),IF(C482=C481,"",(C482-C481)*100),"")</f>
        <v/>
      </c>
      <c r="H482" s="20">
        <f>IF(OR(NOT(ISNUMBER($A482)),ROW()-2&lt;Settings!$B$11),NA(),IF(COUNT(OFFSET(F482,1-Settings!$B$11,0,Settings!$B$11,1))&lt;ROUNDUP(Settings!$B$11*Settings!$B$26,0),NA(),STDEV(OFFSET(F482,1-Settings!$B$11,0,Settings!$B$11,1))*SQRT(Settings!$B$13)))</f>
        <v/>
      </c>
      <c r="I482" s="20">
        <f>IF(OR(NOT(ISNUMBER($A482)),ROW()-2&lt;Settings!$B$12),NA(),IF(COUNT(OFFSET(F482,1-Settings!$B$12,0,Settings!$B$12,1))&lt;ROUNDUP(Settings!$B$12*Settings!$B$26,0),NA(),STDEV(OFFSET(F482,1-Settings!$B$12,0,Settings!$B$12,1))*SQRT(Settings!$B$13)))</f>
        <v/>
      </c>
      <c r="J482" s="20">
        <f>IF(OR(NOT(ISNUMBER($A482)),ROW()-2&lt;Settings!$B$11),NA(),IF(COUNT(OFFSET(G482,1-Settings!$B$11,0,Settings!$B$11,1))&lt;ROUNDUP(Settings!$B$11*Settings!$B$26,0),NA(),STDEV(OFFSET(G482,1-Settings!$B$11,0,Settings!$B$11,1))*SQRT(Settings!$B$13)))</f>
        <v/>
      </c>
      <c r="K482" s="20">
        <f>IF(OR(NOT(ISNUMBER($A482)),ROW()-2&lt;Settings!$B$12),NA(),IF(COUNT(OFFSET(G482,1-Settings!$B$12,0,Settings!$B$12,1))&lt;ROUNDUP(Settings!$B$12*Settings!$B$26,0),NA(),STDEV(OFFSET(G482,1-Settings!$B$12,0,Settings!$B$12,1))*SQRT(Settings!$B$13)))</f>
        <v/>
      </c>
      <c r="L482" s="20">
        <f>IF(AND(ISNUMBER(D482),ISNUMBER(H482)),D482-H482,NA())</f>
        <v/>
      </c>
      <c r="M482" s="20">
        <f>IF(AND(ISNUMBER(E482),ISNUMBER(K482)),E482-K482,NA())</f>
        <v/>
      </c>
      <c r="N482" s="20">
        <f>IF(NOT(ISNUMBER($A482)),NA(),IF(COUNT(OFFSET(G482,1,0,Settings!$B$12,1))&lt;ROUNDUP(Settings!$B$12*Settings!$B$26,0),NA(),STDEV(OFFSET(G482,1,0,Settings!$B$12,1))*SQRT(Settings!$B$13)))</f>
        <v/>
      </c>
      <c r="O482" s="20">
        <f>IF(AND(ISNUMBER(E482),ISNUMBER(N482)),E482-N482,NA())</f>
        <v/>
      </c>
      <c r="P482" s="19">
        <f>IF(NOT(ISNUMBER($A482)),NA(),IF(OR($A482&lt;MIN(KW_TP!$A$2:$A$2501),$A482&gt;MAX(KW_TP!$A$2:$A$2501)),NA(),INDEX(KW_TP!$C$2:$C$2501,MATCH($A482,KW_TP!$A$2:$A$2501,1))))</f>
        <v/>
      </c>
      <c r="Q482" s="18">
        <f>IF(NOT(ISNUMBER($A482)),NA(),IFERROR(1*INDEX(BBG_Data!$J$2:$J$4000,MATCH($A482,BBG_Data!$I$2:$I$4000,0)),NA()))</f>
        <v/>
      </c>
      <c r="R482" s="18">
        <f>IF(NOT(ISNUMBER($A482)),NA(),IFERROR(1*INDEX(BBG_Data!$L$2:$L$4000,MATCH($A482,BBG_Data!$K$2:$K$4000,0)),NA()))</f>
        <v/>
      </c>
      <c r="S482" s="20">
        <f>IF(AND(ISNUMBER(B482),ISNUMBER(Q482),ISNUMBER(R482)),(B482-Q482-R482)*100,NA())</f>
        <v/>
      </c>
      <c r="T482" s="20">
        <f>IF(AND(ISNUMBER(B482),Settings!$B$17&gt;0),IF(ISNUMBER(INDEX($B:$B,Settings!$B$17)),(B482-INDEX($B:$B,Settings!$B$17))*100,NA()),NA())</f>
        <v/>
      </c>
      <c r="U482" s="20">
        <f>IF(AND(ISNUMBER(Q482),Settings!$B$17&gt;0),IF(ISNUMBER(INDEX($Q:$Q,Settings!$B$17)),(Q482-INDEX($Q:$Q,Settings!$B$17))*100,NA()),NA())</f>
        <v/>
      </c>
      <c r="V482" s="20">
        <f>IF(AND(ISNUMBER(R482),Settings!$B$17&gt;0),IF(ISNUMBER(INDEX($R:$R,Settings!$B$17)),(R482-INDEX($R:$R,Settings!$B$17))*100,NA()),NA())</f>
        <v/>
      </c>
      <c r="W482" s="20">
        <f>IF(AND(ISNUMBER(P482),Settings!$B$17&gt;0),IF(ISNUMBER(INDEX($P:$P,Settings!$B$17)),P482-INDEX($P:$P,Settings!$B$17),NA()),NA())</f>
        <v/>
      </c>
      <c r="X482" s="19">
        <f>IF(NOT(ISNUMBER($A482)),NA(),IF(OR($A482&lt;MIN(DKW_10Y!$A$2:$A$2918),$A482&gt;MAX(DKW_10Y!$A$2:$A$2918),Settings!$B$16&lt;MIN(DKW_10Y!$A$2:$A$2918)),NA(),(INDEX(DKW_10Y!$B$2:$B$2918,MATCH($A482,DKW_10Y!$A$2:$A$2918,1))-INDEX(DKW_10Y!$B$2:$B$2918,MATCH(Settings!$B$16,DKW_10Y!$A$2:$A$2918,1)))*100))</f>
        <v/>
      </c>
      <c r="Y482" s="19">
        <f>IF(NOT(ISNUMBER($A482)),NA(),IF(OR($A482&lt;MIN(DKW_10Y!$A$2:$A$2918),$A482&gt;MAX(DKW_10Y!$A$2:$A$2918),Settings!$B$16&lt;MIN(DKW_10Y!$A$2:$A$2918)),NA(),(INDEX(DKW_10Y!$C$2:$C$2918,MATCH($A482,DKW_10Y!$A$2:$A$2918,1))-INDEX(DKW_10Y!$C$2:$C$2918,MATCH(Settings!$B$16,DKW_10Y!$A$2:$A$2918,1)))*100))</f>
        <v/>
      </c>
      <c r="Z482" s="19">
        <f>IF(NOT(ISNUMBER($A482)),NA(),IF(OR($A482&lt;MIN(DKW_10Y!$A$2:$A$2918),$A482&gt;MAX(DKW_10Y!$A$2:$A$2918),Settings!$B$16&lt;MIN(DKW_10Y!$A$2:$A$2918)),NA(),(INDEX(DKW_10Y!$D$2:$D$2918,MATCH($A482,DKW_10Y!$A$2:$A$2918,1))-INDEX(DKW_10Y!$D$2:$D$2918,MATCH(Settings!$B$16,DKW_10Y!$A$2:$A$2918,1)))*100))</f>
        <v/>
      </c>
      <c r="AA482" s="19">
        <f>IF(NOT(ISNUMBER($A482)),NA(),IF(OR($A482&lt;MIN(DKW_10Y!$A$2:$A$2918),$A482&gt;MAX(DKW_10Y!$A$2:$A$2918),Settings!$B$16&lt;MIN(DKW_10Y!$A$2:$A$2918)),NA(),(INDEX(DKW_10Y!$E$2:$E$2918,MATCH($A482,DKW_10Y!$A$2:$A$2918,1))-INDEX(DKW_10Y!$E$2:$E$2918,MATCH(Settings!$B$16,DKW_10Y!$A$2:$A$2918,1)))*100))</f>
        <v/>
      </c>
      <c r="AB482" s="19">
        <f>IF(NOT(ISNUMBER($A482)),NA(),IF(OR($A482&lt;MIN(DKW_10Y!$A$2:$A$2918),$A482&gt;MAX(DKW_10Y!$A$2:$A$2918),Settings!$B$16&lt;MIN(DKW_10Y!$A$2:$A$2918)),NA(),(INDEX(DKW_10Y!$H$2:$H$2918,MATCH($A482,DKW_10Y!$A$2:$A$2918,1))-INDEX(DKW_10Y!$H$2:$H$2918,MATCH(Settings!$B$16,DKW_10Y!$A$2:$A$2918,1)))*100))</f>
        <v/>
      </c>
      <c r="AC482" s="18">
        <f>IF(NOT(ISNUMBER($A482)),NA(),IFERROR(1*INDEX(BBG_Data!$N$2:$N$4000,MATCH($A482,BBG_Data!$M$2:$M$4000,0)),NA()))</f>
        <v/>
      </c>
      <c r="AD482" s="18">
        <f>IF(NOT(ISNUMBER($A482)),NA(),IFERROR(1*INDEX(BBG_Data!$P$2:$P$4000,MATCH($A482,BBG_Data!$O$2:$O$4000,0)),NA()))</f>
        <v/>
      </c>
      <c r="AE482" s="18">
        <f>IF(NOT(ISNUMBER($A482)),NA(),IFERROR(1*INDEX(BBG_Data!$R$2:$R$4000,MATCH($A482,BBG_Data!$Q$2:$Q$4000,0)),NA()))</f>
        <v/>
      </c>
      <c r="AF482" s="20">
        <f>IF(AND(ISNUMBER(B482),ISNUMBER(AC482)),(B482-AC482)*100,NA())</f>
        <v/>
      </c>
      <c r="AG482" s="20">
        <f>IF(AND(ISNUMBER(AE482),ISNUMBER(AD482)),(AE482-AD482)*100,NA())</f>
        <v/>
      </c>
      <c r="AH482" s="19">
        <f>IF(NOT(ISNUMBER($A482)),NA(),IFERROR(INDEX(BBG_Data!$T$2:$T$4000,MATCH($A482,BBG_Data!$S$2:$S$4000,0))*Settings!$B$25,NA()))</f>
        <v/>
      </c>
      <c r="AI482" s="19">
        <f>IF(NOT(ISNUMBER($A482)),NA(),IFERROR(INDEX(BBG_Data!$V$2:$V$4000,MATCH($A482,BBG_Data!$U$2:$U$4000,0))*Settings!$B$25,NA()))</f>
        <v/>
      </c>
      <c r="AJ482" s="19">
        <f>IF(NOT(ISNUMBER($A482)),NA(),IFERROR(1*INDEX(BBG_Data!$X$2:$X$4000,MATCH($A482,BBG_Data!$W$2:$W$4000,0)),NA()))</f>
        <v/>
      </c>
      <c r="AK482" s="19">
        <f>IF(NOT(ISNUMBER($A482)),NA(),IFERROR(1*INDEX(BBG_Data!$Z$2:$Z$4000,MATCH($A482,BBG_Data!$Y$2:$Y$4000,0)),NA()))</f>
        <v/>
      </c>
    </row>
    <row r="483">
      <c r="A483" s="17">
        <f>IF(ISNUMBER(BBG_Data!A483),BBG_Data!A483,"")</f>
        <v/>
      </c>
      <c r="B483" s="18">
        <f>IF(AND(ISNUMBER($A483),ISNUMBER(BBG_Data!B483)),BBG_Data!B483,NA())</f>
        <v/>
      </c>
      <c r="C483" s="18">
        <f>IF(NOT(ISNUMBER($A483)),NA(),IFERROR(1*INDEX(BBG_Data!$D$2:$D$4000,MATCH($A483,BBG_Data!$C$2:$C$4000,0)),NA()))</f>
        <v/>
      </c>
      <c r="D483" s="19">
        <f>IF(NOT(ISNUMBER($A483)),NA(),IFERROR(1*INDEX(BBG_Data!$F$2:$F$4000,MATCH($A483,BBG_Data!$E$2:$E$4000,0)),NA()))</f>
        <v/>
      </c>
      <c r="E483" s="19">
        <f>IF(NOT(ISNUMBER($A483)),NA(),IFERROR(1*INDEX(BBG_Data!$H$2:$H$4000,MATCH($A483,BBG_Data!$G$2:$G$4000,0)),NA()))</f>
        <v/>
      </c>
      <c r="F483" s="20">
        <f>IF(AND(ISNUMBER(B483),ISNUMBER(B482)),IF(B483=B482,"",(B483-B482)*100),"")</f>
        <v/>
      </c>
      <c r="G483" s="20">
        <f>IF(AND(ISNUMBER(C483),ISNUMBER(C482)),IF(C483=C482,"",(C483-C482)*100),"")</f>
        <v/>
      </c>
      <c r="H483" s="20">
        <f>IF(OR(NOT(ISNUMBER($A483)),ROW()-2&lt;Settings!$B$11),NA(),IF(COUNT(OFFSET(F483,1-Settings!$B$11,0,Settings!$B$11,1))&lt;ROUNDUP(Settings!$B$11*Settings!$B$26,0),NA(),STDEV(OFFSET(F483,1-Settings!$B$11,0,Settings!$B$11,1))*SQRT(Settings!$B$13)))</f>
        <v/>
      </c>
      <c r="I483" s="20">
        <f>IF(OR(NOT(ISNUMBER($A483)),ROW()-2&lt;Settings!$B$12),NA(),IF(COUNT(OFFSET(F483,1-Settings!$B$12,0,Settings!$B$12,1))&lt;ROUNDUP(Settings!$B$12*Settings!$B$26,0),NA(),STDEV(OFFSET(F483,1-Settings!$B$12,0,Settings!$B$12,1))*SQRT(Settings!$B$13)))</f>
        <v/>
      </c>
      <c r="J483" s="20">
        <f>IF(OR(NOT(ISNUMBER($A483)),ROW()-2&lt;Settings!$B$11),NA(),IF(COUNT(OFFSET(G483,1-Settings!$B$11,0,Settings!$B$11,1))&lt;ROUNDUP(Settings!$B$11*Settings!$B$26,0),NA(),STDEV(OFFSET(G483,1-Settings!$B$11,0,Settings!$B$11,1))*SQRT(Settings!$B$13)))</f>
        <v/>
      </c>
      <c r="K483" s="20">
        <f>IF(OR(NOT(ISNUMBER($A483)),ROW()-2&lt;Settings!$B$12),NA(),IF(COUNT(OFFSET(G483,1-Settings!$B$12,0,Settings!$B$12,1))&lt;ROUNDUP(Settings!$B$12*Settings!$B$26,0),NA(),STDEV(OFFSET(G483,1-Settings!$B$12,0,Settings!$B$12,1))*SQRT(Settings!$B$13)))</f>
        <v/>
      </c>
      <c r="L483" s="20">
        <f>IF(AND(ISNUMBER(D483),ISNUMBER(H483)),D483-H483,NA())</f>
        <v/>
      </c>
      <c r="M483" s="20">
        <f>IF(AND(ISNUMBER(E483),ISNUMBER(K483)),E483-K483,NA())</f>
        <v/>
      </c>
      <c r="N483" s="20">
        <f>IF(NOT(ISNUMBER($A483)),NA(),IF(COUNT(OFFSET(G483,1,0,Settings!$B$12,1))&lt;ROUNDUP(Settings!$B$12*Settings!$B$26,0),NA(),STDEV(OFFSET(G483,1,0,Settings!$B$12,1))*SQRT(Settings!$B$13)))</f>
        <v/>
      </c>
      <c r="O483" s="20">
        <f>IF(AND(ISNUMBER(E483),ISNUMBER(N483)),E483-N483,NA())</f>
        <v/>
      </c>
      <c r="P483" s="19">
        <f>IF(NOT(ISNUMBER($A483)),NA(),IF(OR($A483&lt;MIN(KW_TP!$A$2:$A$2501),$A483&gt;MAX(KW_TP!$A$2:$A$2501)),NA(),INDEX(KW_TP!$C$2:$C$2501,MATCH($A483,KW_TP!$A$2:$A$2501,1))))</f>
        <v/>
      </c>
      <c r="Q483" s="18">
        <f>IF(NOT(ISNUMBER($A483)),NA(),IFERROR(1*INDEX(BBG_Data!$J$2:$J$4000,MATCH($A483,BBG_Data!$I$2:$I$4000,0)),NA()))</f>
        <v/>
      </c>
      <c r="R483" s="18">
        <f>IF(NOT(ISNUMBER($A483)),NA(),IFERROR(1*INDEX(BBG_Data!$L$2:$L$4000,MATCH($A483,BBG_Data!$K$2:$K$4000,0)),NA()))</f>
        <v/>
      </c>
      <c r="S483" s="20">
        <f>IF(AND(ISNUMBER(B483),ISNUMBER(Q483),ISNUMBER(R483)),(B483-Q483-R483)*100,NA())</f>
        <v/>
      </c>
      <c r="T483" s="20">
        <f>IF(AND(ISNUMBER(B483),Settings!$B$17&gt;0),IF(ISNUMBER(INDEX($B:$B,Settings!$B$17)),(B483-INDEX($B:$B,Settings!$B$17))*100,NA()),NA())</f>
        <v/>
      </c>
      <c r="U483" s="20">
        <f>IF(AND(ISNUMBER(Q483),Settings!$B$17&gt;0),IF(ISNUMBER(INDEX($Q:$Q,Settings!$B$17)),(Q483-INDEX($Q:$Q,Settings!$B$17))*100,NA()),NA())</f>
        <v/>
      </c>
      <c r="V483" s="20">
        <f>IF(AND(ISNUMBER(R483),Settings!$B$17&gt;0),IF(ISNUMBER(INDEX($R:$R,Settings!$B$17)),(R483-INDEX($R:$R,Settings!$B$17))*100,NA()),NA())</f>
        <v/>
      </c>
      <c r="W483" s="20">
        <f>IF(AND(ISNUMBER(P483),Settings!$B$17&gt;0),IF(ISNUMBER(INDEX($P:$P,Settings!$B$17)),P483-INDEX($P:$P,Settings!$B$17),NA()),NA())</f>
        <v/>
      </c>
      <c r="X483" s="19">
        <f>IF(NOT(ISNUMBER($A483)),NA(),IF(OR($A483&lt;MIN(DKW_10Y!$A$2:$A$2918),$A483&gt;MAX(DKW_10Y!$A$2:$A$2918),Settings!$B$16&lt;MIN(DKW_10Y!$A$2:$A$2918)),NA(),(INDEX(DKW_10Y!$B$2:$B$2918,MATCH($A483,DKW_10Y!$A$2:$A$2918,1))-INDEX(DKW_10Y!$B$2:$B$2918,MATCH(Settings!$B$16,DKW_10Y!$A$2:$A$2918,1)))*100))</f>
        <v/>
      </c>
      <c r="Y483" s="19">
        <f>IF(NOT(ISNUMBER($A483)),NA(),IF(OR($A483&lt;MIN(DKW_10Y!$A$2:$A$2918),$A483&gt;MAX(DKW_10Y!$A$2:$A$2918),Settings!$B$16&lt;MIN(DKW_10Y!$A$2:$A$2918)),NA(),(INDEX(DKW_10Y!$C$2:$C$2918,MATCH($A483,DKW_10Y!$A$2:$A$2918,1))-INDEX(DKW_10Y!$C$2:$C$2918,MATCH(Settings!$B$16,DKW_10Y!$A$2:$A$2918,1)))*100))</f>
        <v/>
      </c>
      <c r="Z483" s="19">
        <f>IF(NOT(ISNUMBER($A483)),NA(),IF(OR($A483&lt;MIN(DKW_10Y!$A$2:$A$2918),$A483&gt;MAX(DKW_10Y!$A$2:$A$2918),Settings!$B$16&lt;MIN(DKW_10Y!$A$2:$A$2918)),NA(),(INDEX(DKW_10Y!$D$2:$D$2918,MATCH($A483,DKW_10Y!$A$2:$A$2918,1))-INDEX(DKW_10Y!$D$2:$D$2918,MATCH(Settings!$B$16,DKW_10Y!$A$2:$A$2918,1)))*100))</f>
        <v/>
      </c>
      <c r="AA483" s="19">
        <f>IF(NOT(ISNUMBER($A483)),NA(),IF(OR($A483&lt;MIN(DKW_10Y!$A$2:$A$2918),$A483&gt;MAX(DKW_10Y!$A$2:$A$2918),Settings!$B$16&lt;MIN(DKW_10Y!$A$2:$A$2918)),NA(),(INDEX(DKW_10Y!$E$2:$E$2918,MATCH($A483,DKW_10Y!$A$2:$A$2918,1))-INDEX(DKW_10Y!$E$2:$E$2918,MATCH(Settings!$B$16,DKW_10Y!$A$2:$A$2918,1)))*100))</f>
        <v/>
      </c>
      <c r="AB483" s="19">
        <f>IF(NOT(ISNUMBER($A483)),NA(),IF(OR($A483&lt;MIN(DKW_10Y!$A$2:$A$2918),$A483&gt;MAX(DKW_10Y!$A$2:$A$2918),Settings!$B$16&lt;MIN(DKW_10Y!$A$2:$A$2918)),NA(),(INDEX(DKW_10Y!$H$2:$H$2918,MATCH($A483,DKW_10Y!$A$2:$A$2918,1))-INDEX(DKW_10Y!$H$2:$H$2918,MATCH(Settings!$B$16,DKW_10Y!$A$2:$A$2918,1)))*100))</f>
        <v/>
      </c>
      <c r="AC483" s="18">
        <f>IF(NOT(ISNUMBER($A483)),NA(),IFERROR(1*INDEX(BBG_Data!$N$2:$N$4000,MATCH($A483,BBG_Data!$M$2:$M$4000,0)),NA()))</f>
        <v/>
      </c>
      <c r="AD483" s="18">
        <f>IF(NOT(ISNUMBER($A483)),NA(),IFERROR(1*INDEX(BBG_Data!$P$2:$P$4000,MATCH($A483,BBG_Data!$O$2:$O$4000,0)),NA()))</f>
        <v/>
      </c>
      <c r="AE483" s="18">
        <f>IF(NOT(ISNUMBER($A483)),NA(),IFERROR(1*INDEX(BBG_Data!$R$2:$R$4000,MATCH($A483,BBG_Data!$Q$2:$Q$4000,0)),NA()))</f>
        <v/>
      </c>
      <c r="AF483" s="20">
        <f>IF(AND(ISNUMBER(B483),ISNUMBER(AC483)),(B483-AC483)*100,NA())</f>
        <v/>
      </c>
      <c r="AG483" s="20">
        <f>IF(AND(ISNUMBER(AE483),ISNUMBER(AD483)),(AE483-AD483)*100,NA())</f>
        <v/>
      </c>
      <c r="AH483" s="19">
        <f>IF(NOT(ISNUMBER($A483)),NA(),IFERROR(INDEX(BBG_Data!$T$2:$T$4000,MATCH($A483,BBG_Data!$S$2:$S$4000,0))*Settings!$B$25,NA()))</f>
        <v/>
      </c>
      <c r="AI483" s="19">
        <f>IF(NOT(ISNUMBER($A483)),NA(),IFERROR(INDEX(BBG_Data!$V$2:$V$4000,MATCH($A483,BBG_Data!$U$2:$U$4000,0))*Settings!$B$25,NA()))</f>
        <v/>
      </c>
      <c r="AJ483" s="19">
        <f>IF(NOT(ISNUMBER($A483)),NA(),IFERROR(1*INDEX(BBG_Data!$X$2:$X$4000,MATCH($A483,BBG_Data!$W$2:$W$4000,0)),NA()))</f>
        <v/>
      </c>
      <c r="AK483" s="19">
        <f>IF(NOT(ISNUMBER($A483)),NA(),IFERROR(1*INDEX(BBG_Data!$Z$2:$Z$4000,MATCH($A483,BBG_Data!$Y$2:$Y$4000,0)),NA()))</f>
        <v/>
      </c>
    </row>
    <row r="484">
      <c r="A484" s="17">
        <f>IF(ISNUMBER(BBG_Data!A484),BBG_Data!A484,"")</f>
        <v/>
      </c>
      <c r="B484" s="18">
        <f>IF(AND(ISNUMBER($A484),ISNUMBER(BBG_Data!B484)),BBG_Data!B484,NA())</f>
        <v/>
      </c>
      <c r="C484" s="18">
        <f>IF(NOT(ISNUMBER($A484)),NA(),IFERROR(1*INDEX(BBG_Data!$D$2:$D$4000,MATCH($A484,BBG_Data!$C$2:$C$4000,0)),NA()))</f>
        <v/>
      </c>
      <c r="D484" s="19">
        <f>IF(NOT(ISNUMBER($A484)),NA(),IFERROR(1*INDEX(BBG_Data!$F$2:$F$4000,MATCH($A484,BBG_Data!$E$2:$E$4000,0)),NA()))</f>
        <v/>
      </c>
      <c r="E484" s="19">
        <f>IF(NOT(ISNUMBER($A484)),NA(),IFERROR(1*INDEX(BBG_Data!$H$2:$H$4000,MATCH($A484,BBG_Data!$G$2:$G$4000,0)),NA()))</f>
        <v/>
      </c>
      <c r="F484" s="20">
        <f>IF(AND(ISNUMBER(B484),ISNUMBER(B483)),IF(B484=B483,"",(B484-B483)*100),"")</f>
        <v/>
      </c>
      <c r="G484" s="20">
        <f>IF(AND(ISNUMBER(C484),ISNUMBER(C483)),IF(C484=C483,"",(C484-C483)*100),"")</f>
        <v/>
      </c>
      <c r="H484" s="20">
        <f>IF(OR(NOT(ISNUMBER($A484)),ROW()-2&lt;Settings!$B$11),NA(),IF(COUNT(OFFSET(F484,1-Settings!$B$11,0,Settings!$B$11,1))&lt;ROUNDUP(Settings!$B$11*Settings!$B$26,0),NA(),STDEV(OFFSET(F484,1-Settings!$B$11,0,Settings!$B$11,1))*SQRT(Settings!$B$13)))</f>
        <v/>
      </c>
      <c r="I484" s="20">
        <f>IF(OR(NOT(ISNUMBER($A484)),ROW()-2&lt;Settings!$B$12),NA(),IF(COUNT(OFFSET(F484,1-Settings!$B$12,0,Settings!$B$12,1))&lt;ROUNDUP(Settings!$B$12*Settings!$B$26,0),NA(),STDEV(OFFSET(F484,1-Settings!$B$12,0,Settings!$B$12,1))*SQRT(Settings!$B$13)))</f>
        <v/>
      </c>
      <c r="J484" s="20">
        <f>IF(OR(NOT(ISNUMBER($A484)),ROW()-2&lt;Settings!$B$11),NA(),IF(COUNT(OFFSET(G484,1-Settings!$B$11,0,Settings!$B$11,1))&lt;ROUNDUP(Settings!$B$11*Settings!$B$26,0),NA(),STDEV(OFFSET(G484,1-Settings!$B$11,0,Settings!$B$11,1))*SQRT(Settings!$B$13)))</f>
        <v/>
      </c>
      <c r="K484" s="20">
        <f>IF(OR(NOT(ISNUMBER($A484)),ROW()-2&lt;Settings!$B$12),NA(),IF(COUNT(OFFSET(G484,1-Settings!$B$12,0,Settings!$B$12,1))&lt;ROUNDUP(Settings!$B$12*Settings!$B$26,0),NA(),STDEV(OFFSET(G484,1-Settings!$B$12,0,Settings!$B$12,1))*SQRT(Settings!$B$13)))</f>
        <v/>
      </c>
      <c r="L484" s="20">
        <f>IF(AND(ISNUMBER(D484),ISNUMBER(H484)),D484-H484,NA())</f>
        <v/>
      </c>
      <c r="M484" s="20">
        <f>IF(AND(ISNUMBER(E484),ISNUMBER(K484)),E484-K484,NA())</f>
        <v/>
      </c>
      <c r="N484" s="20">
        <f>IF(NOT(ISNUMBER($A484)),NA(),IF(COUNT(OFFSET(G484,1,0,Settings!$B$12,1))&lt;ROUNDUP(Settings!$B$12*Settings!$B$26,0),NA(),STDEV(OFFSET(G484,1,0,Settings!$B$12,1))*SQRT(Settings!$B$13)))</f>
        <v/>
      </c>
      <c r="O484" s="20">
        <f>IF(AND(ISNUMBER(E484),ISNUMBER(N484)),E484-N484,NA())</f>
        <v/>
      </c>
      <c r="P484" s="19">
        <f>IF(NOT(ISNUMBER($A484)),NA(),IF(OR($A484&lt;MIN(KW_TP!$A$2:$A$2501),$A484&gt;MAX(KW_TP!$A$2:$A$2501)),NA(),INDEX(KW_TP!$C$2:$C$2501,MATCH($A484,KW_TP!$A$2:$A$2501,1))))</f>
        <v/>
      </c>
      <c r="Q484" s="18">
        <f>IF(NOT(ISNUMBER($A484)),NA(),IFERROR(1*INDEX(BBG_Data!$J$2:$J$4000,MATCH($A484,BBG_Data!$I$2:$I$4000,0)),NA()))</f>
        <v/>
      </c>
      <c r="R484" s="18">
        <f>IF(NOT(ISNUMBER($A484)),NA(),IFERROR(1*INDEX(BBG_Data!$L$2:$L$4000,MATCH($A484,BBG_Data!$K$2:$K$4000,0)),NA()))</f>
        <v/>
      </c>
      <c r="S484" s="20">
        <f>IF(AND(ISNUMBER(B484),ISNUMBER(Q484),ISNUMBER(R484)),(B484-Q484-R484)*100,NA())</f>
        <v/>
      </c>
      <c r="T484" s="20">
        <f>IF(AND(ISNUMBER(B484),Settings!$B$17&gt;0),IF(ISNUMBER(INDEX($B:$B,Settings!$B$17)),(B484-INDEX($B:$B,Settings!$B$17))*100,NA()),NA())</f>
        <v/>
      </c>
      <c r="U484" s="20">
        <f>IF(AND(ISNUMBER(Q484),Settings!$B$17&gt;0),IF(ISNUMBER(INDEX($Q:$Q,Settings!$B$17)),(Q484-INDEX($Q:$Q,Settings!$B$17))*100,NA()),NA())</f>
        <v/>
      </c>
      <c r="V484" s="20">
        <f>IF(AND(ISNUMBER(R484),Settings!$B$17&gt;0),IF(ISNUMBER(INDEX($R:$R,Settings!$B$17)),(R484-INDEX($R:$R,Settings!$B$17))*100,NA()),NA())</f>
        <v/>
      </c>
      <c r="W484" s="20">
        <f>IF(AND(ISNUMBER(P484),Settings!$B$17&gt;0),IF(ISNUMBER(INDEX($P:$P,Settings!$B$17)),P484-INDEX($P:$P,Settings!$B$17),NA()),NA())</f>
        <v/>
      </c>
      <c r="X484" s="19">
        <f>IF(NOT(ISNUMBER($A484)),NA(),IF(OR($A484&lt;MIN(DKW_10Y!$A$2:$A$2918),$A484&gt;MAX(DKW_10Y!$A$2:$A$2918),Settings!$B$16&lt;MIN(DKW_10Y!$A$2:$A$2918)),NA(),(INDEX(DKW_10Y!$B$2:$B$2918,MATCH($A484,DKW_10Y!$A$2:$A$2918,1))-INDEX(DKW_10Y!$B$2:$B$2918,MATCH(Settings!$B$16,DKW_10Y!$A$2:$A$2918,1)))*100))</f>
        <v/>
      </c>
      <c r="Y484" s="19">
        <f>IF(NOT(ISNUMBER($A484)),NA(),IF(OR($A484&lt;MIN(DKW_10Y!$A$2:$A$2918),$A484&gt;MAX(DKW_10Y!$A$2:$A$2918),Settings!$B$16&lt;MIN(DKW_10Y!$A$2:$A$2918)),NA(),(INDEX(DKW_10Y!$C$2:$C$2918,MATCH($A484,DKW_10Y!$A$2:$A$2918,1))-INDEX(DKW_10Y!$C$2:$C$2918,MATCH(Settings!$B$16,DKW_10Y!$A$2:$A$2918,1)))*100))</f>
        <v/>
      </c>
      <c r="Z484" s="19">
        <f>IF(NOT(ISNUMBER($A484)),NA(),IF(OR($A484&lt;MIN(DKW_10Y!$A$2:$A$2918),$A484&gt;MAX(DKW_10Y!$A$2:$A$2918),Settings!$B$16&lt;MIN(DKW_10Y!$A$2:$A$2918)),NA(),(INDEX(DKW_10Y!$D$2:$D$2918,MATCH($A484,DKW_10Y!$A$2:$A$2918,1))-INDEX(DKW_10Y!$D$2:$D$2918,MATCH(Settings!$B$16,DKW_10Y!$A$2:$A$2918,1)))*100))</f>
        <v/>
      </c>
      <c r="AA484" s="19">
        <f>IF(NOT(ISNUMBER($A484)),NA(),IF(OR($A484&lt;MIN(DKW_10Y!$A$2:$A$2918),$A484&gt;MAX(DKW_10Y!$A$2:$A$2918),Settings!$B$16&lt;MIN(DKW_10Y!$A$2:$A$2918)),NA(),(INDEX(DKW_10Y!$E$2:$E$2918,MATCH($A484,DKW_10Y!$A$2:$A$2918,1))-INDEX(DKW_10Y!$E$2:$E$2918,MATCH(Settings!$B$16,DKW_10Y!$A$2:$A$2918,1)))*100))</f>
        <v/>
      </c>
      <c r="AB484" s="19">
        <f>IF(NOT(ISNUMBER($A484)),NA(),IF(OR($A484&lt;MIN(DKW_10Y!$A$2:$A$2918),$A484&gt;MAX(DKW_10Y!$A$2:$A$2918),Settings!$B$16&lt;MIN(DKW_10Y!$A$2:$A$2918)),NA(),(INDEX(DKW_10Y!$H$2:$H$2918,MATCH($A484,DKW_10Y!$A$2:$A$2918,1))-INDEX(DKW_10Y!$H$2:$H$2918,MATCH(Settings!$B$16,DKW_10Y!$A$2:$A$2918,1)))*100))</f>
        <v/>
      </c>
      <c r="AC484" s="18">
        <f>IF(NOT(ISNUMBER($A484)),NA(),IFERROR(1*INDEX(BBG_Data!$N$2:$N$4000,MATCH($A484,BBG_Data!$M$2:$M$4000,0)),NA()))</f>
        <v/>
      </c>
      <c r="AD484" s="18">
        <f>IF(NOT(ISNUMBER($A484)),NA(),IFERROR(1*INDEX(BBG_Data!$P$2:$P$4000,MATCH($A484,BBG_Data!$O$2:$O$4000,0)),NA()))</f>
        <v/>
      </c>
      <c r="AE484" s="18">
        <f>IF(NOT(ISNUMBER($A484)),NA(),IFERROR(1*INDEX(BBG_Data!$R$2:$R$4000,MATCH($A484,BBG_Data!$Q$2:$Q$4000,0)),NA()))</f>
        <v/>
      </c>
      <c r="AF484" s="20">
        <f>IF(AND(ISNUMBER(B484),ISNUMBER(AC484)),(B484-AC484)*100,NA())</f>
        <v/>
      </c>
      <c r="AG484" s="20">
        <f>IF(AND(ISNUMBER(AE484),ISNUMBER(AD484)),(AE484-AD484)*100,NA())</f>
        <v/>
      </c>
      <c r="AH484" s="19">
        <f>IF(NOT(ISNUMBER($A484)),NA(),IFERROR(INDEX(BBG_Data!$T$2:$T$4000,MATCH($A484,BBG_Data!$S$2:$S$4000,0))*Settings!$B$25,NA()))</f>
        <v/>
      </c>
      <c r="AI484" s="19">
        <f>IF(NOT(ISNUMBER($A484)),NA(),IFERROR(INDEX(BBG_Data!$V$2:$V$4000,MATCH($A484,BBG_Data!$U$2:$U$4000,0))*Settings!$B$25,NA()))</f>
        <v/>
      </c>
      <c r="AJ484" s="19">
        <f>IF(NOT(ISNUMBER($A484)),NA(),IFERROR(1*INDEX(BBG_Data!$X$2:$X$4000,MATCH($A484,BBG_Data!$W$2:$W$4000,0)),NA()))</f>
        <v/>
      </c>
      <c r="AK484" s="19">
        <f>IF(NOT(ISNUMBER($A484)),NA(),IFERROR(1*INDEX(BBG_Data!$Z$2:$Z$4000,MATCH($A484,BBG_Data!$Y$2:$Y$4000,0)),NA()))</f>
        <v/>
      </c>
    </row>
    <row r="485">
      <c r="A485" s="17">
        <f>IF(ISNUMBER(BBG_Data!A485),BBG_Data!A485,"")</f>
        <v/>
      </c>
      <c r="B485" s="18">
        <f>IF(AND(ISNUMBER($A485),ISNUMBER(BBG_Data!B485)),BBG_Data!B485,NA())</f>
        <v/>
      </c>
      <c r="C485" s="18">
        <f>IF(NOT(ISNUMBER($A485)),NA(),IFERROR(1*INDEX(BBG_Data!$D$2:$D$4000,MATCH($A485,BBG_Data!$C$2:$C$4000,0)),NA()))</f>
        <v/>
      </c>
      <c r="D485" s="19">
        <f>IF(NOT(ISNUMBER($A485)),NA(),IFERROR(1*INDEX(BBG_Data!$F$2:$F$4000,MATCH($A485,BBG_Data!$E$2:$E$4000,0)),NA()))</f>
        <v/>
      </c>
      <c r="E485" s="19">
        <f>IF(NOT(ISNUMBER($A485)),NA(),IFERROR(1*INDEX(BBG_Data!$H$2:$H$4000,MATCH($A485,BBG_Data!$G$2:$G$4000,0)),NA()))</f>
        <v/>
      </c>
      <c r="F485" s="20">
        <f>IF(AND(ISNUMBER(B485),ISNUMBER(B484)),IF(B485=B484,"",(B485-B484)*100),"")</f>
        <v/>
      </c>
      <c r="G485" s="20">
        <f>IF(AND(ISNUMBER(C485),ISNUMBER(C484)),IF(C485=C484,"",(C485-C484)*100),"")</f>
        <v/>
      </c>
      <c r="H485" s="20">
        <f>IF(OR(NOT(ISNUMBER($A485)),ROW()-2&lt;Settings!$B$11),NA(),IF(COUNT(OFFSET(F485,1-Settings!$B$11,0,Settings!$B$11,1))&lt;ROUNDUP(Settings!$B$11*Settings!$B$26,0),NA(),STDEV(OFFSET(F485,1-Settings!$B$11,0,Settings!$B$11,1))*SQRT(Settings!$B$13)))</f>
        <v/>
      </c>
      <c r="I485" s="20">
        <f>IF(OR(NOT(ISNUMBER($A485)),ROW()-2&lt;Settings!$B$12),NA(),IF(COUNT(OFFSET(F485,1-Settings!$B$12,0,Settings!$B$12,1))&lt;ROUNDUP(Settings!$B$12*Settings!$B$26,0),NA(),STDEV(OFFSET(F485,1-Settings!$B$12,0,Settings!$B$12,1))*SQRT(Settings!$B$13)))</f>
        <v/>
      </c>
      <c r="J485" s="20">
        <f>IF(OR(NOT(ISNUMBER($A485)),ROW()-2&lt;Settings!$B$11),NA(),IF(COUNT(OFFSET(G485,1-Settings!$B$11,0,Settings!$B$11,1))&lt;ROUNDUP(Settings!$B$11*Settings!$B$26,0),NA(),STDEV(OFFSET(G485,1-Settings!$B$11,0,Settings!$B$11,1))*SQRT(Settings!$B$13)))</f>
        <v/>
      </c>
      <c r="K485" s="20">
        <f>IF(OR(NOT(ISNUMBER($A485)),ROW()-2&lt;Settings!$B$12),NA(),IF(COUNT(OFFSET(G485,1-Settings!$B$12,0,Settings!$B$12,1))&lt;ROUNDUP(Settings!$B$12*Settings!$B$26,0),NA(),STDEV(OFFSET(G485,1-Settings!$B$12,0,Settings!$B$12,1))*SQRT(Settings!$B$13)))</f>
        <v/>
      </c>
      <c r="L485" s="20">
        <f>IF(AND(ISNUMBER(D485),ISNUMBER(H485)),D485-H485,NA())</f>
        <v/>
      </c>
      <c r="M485" s="20">
        <f>IF(AND(ISNUMBER(E485),ISNUMBER(K485)),E485-K485,NA())</f>
        <v/>
      </c>
      <c r="N485" s="20">
        <f>IF(NOT(ISNUMBER($A485)),NA(),IF(COUNT(OFFSET(G485,1,0,Settings!$B$12,1))&lt;ROUNDUP(Settings!$B$12*Settings!$B$26,0),NA(),STDEV(OFFSET(G485,1,0,Settings!$B$12,1))*SQRT(Settings!$B$13)))</f>
        <v/>
      </c>
      <c r="O485" s="20">
        <f>IF(AND(ISNUMBER(E485),ISNUMBER(N485)),E485-N485,NA())</f>
        <v/>
      </c>
      <c r="P485" s="19">
        <f>IF(NOT(ISNUMBER($A485)),NA(),IF(OR($A485&lt;MIN(KW_TP!$A$2:$A$2501),$A485&gt;MAX(KW_TP!$A$2:$A$2501)),NA(),INDEX(KW_TP!$C$2:$C$2501,MATCH($A485,KW_TP!$A$2:$A$2501,1))))</f>
        <v/>
      </c>
      <c r="Q485" s="18">
        <f>IF(NOT(ISNUMBER($A485)),NA(),IFERROR(1*INDEX(BBG_Data!$J$2:$J$4000,MATCH($A485,BBG_Data!$I$2:$I$4000,0)),NA()))</f>
        <v/>
      </c>
      <c r="R485" s="18">
        <f>IF(NOT(ISNUMBER($A485)),NA(),IFERROR(1*INDEX(BBG_Data!$L$2:$L$4000,MATCH($A485,BBG_Data!$K$2:$K$4000,0)),NA()))</f>
        <v/>
      </c>
      <c r="S485" s="20">
        <f>IF(AND(ISNUMBER(B485),ISNUMBER(Q485),ISNUMBER(R485)),(B485-Q485-R485)*100,NA())</f>
        <v/>
      </c>
      <c r="T485" s="20">
        <f>IF(AND(ISNUMBER(B485),Settings!$B$17&gt;0),IF(ISNUMBER(INDEX($B:$B,Settings!$B$17)),(B485-INDEX($B:$B,Settings!$B$17))*100,NA()),NA())</f>
        <v/>
      </c>
      <c r="U485" s="20">
        <f>IF(AND(ISNUMBER(Q485),Settings!$B$17&gt;0),IF(ISNUMBER(INDEX($Q:$Q,Settings!$B$17)),(Q485-INDEX($Q:$Q,Settings!$B$17))*100,NA()),NA())</f>
        <v/>
      </c>
      <c r="V485" s="20">
        <f>IF(AND(ISNUMBER(R485),Settings!$B$17&gt;0),IF(ISNUMBER(INDEX($R:$R,Settings!$B$17)),(R485-INDEX($R:$R,Settings!$B$17))*100,NA()),NA())</f>
        <v/>
      </c>
      <c r="W485" s="20">
        <f>IF(AND(ISNUMBER(P485),Settings!$B$17&gt;0),IF(ISNUMBER(INDEX($P:$P,Settings!$B$17)),P485-INDEX($P:$P,Settings!$B$17),NA()),NA())</f>
        <v/>
      </c>
      <c r="X485" s="19">
        <f>IF(NOT(ISNUMBER($A485)),NA(),IF(OR($A485&lt;MIN(DKW_10Y!$A$2:$A$2918),$A485&gt;MAX(DKW_10Y!$A$2:$A$2918),Settings!$B$16&lt;MIN(DKW_10Y!$A$2:$A$2918)),NA(),(INDEX(DKW_10Y!$B$2:$B$2918,MATCH($A485,DKW_10Y!$A$2:$A$2918,1))-INDEX(DKW_10Y!$B$2:$B$2918,MATCH(Settings!$B$16,DKW_10Y!$A$2:$A$2918,1)))*100))</f>
        <v/>
      </c>
      <c r="Y485" s="19">
        <f>IF(NOT(ISNUMBER($A485)),NA(),IF(OR($A485&lt;MIN(DKW_10Y!$A$2:$A$2918),$A485&gt;MAX(DKW_10Y!$A$2:$A$2918),Settings!$B$16&lt;MIN(DKW_10Y!$A$2:$A$2918)),NA(),(INDEX(DKW_10Y!$C$2:$C$2918,MATCH($A485,DKW_10Y!$A$2:$A$2918,1))-INDEX(DKW_10Y!$C$2:$C$2918,MATCH(Settings!$B$16,DKW_10Y!$A$2:$A$2918,1)))*100))</f>
        <v/>
      </c>
      <c r="Z485" s="19">
        <f>IF(NOT(ISNUMBER($A485)),NA(),IF(OR($A485&lt;MIN(DKW_10Y!$A$2:$A$2918),$A485&gt;MAX(DKW_10Y!$A$2:$A$2918),Settings!$B$16&lt;MIN(DKW_10Y!$A$2:$A$2918)),NA(),(INDEX(DKW_10Y!$D$2:$D$2918,MATCH($A485,DKW_10Y!$A$2:$A$2918,1))-INDEX(DKW_10Y!$D$2:$D$2918,MATCH(Settings!$B$16,DKW_10Y!$A$2:$A$2918,1)))*100))</f>
        <v/>
      </c>
      <c r="AA485" s="19">
        <f>IF(NOT(ISNUMBER($A485)),NA(),IF(OR($A485&lt;MIN(DKW_10Y!$A$2:$A$2918),$A485&gt;MAX(DKW_10Y!$A$2:$A$2918),Settings!$B$16&lt;MIN(DKW_10Y!$A$2:$A$2918)),NA(),(INDEX(DKW_10Y!$E$2:$E$2918,MATCH($A485,DKW_10Y!$A$2:$A$2918,1))-INDEX(DKW_10Y!$E$2:$E$2918,MATCH(Settings!$B$16,DKW_10Y!$A$2:$A$2918,1)))*100))</f>
        <v/>
      </c>
      <c r="AB485" s="19">
        <f>IF(NOT(ISNUMBER($A485)),NA(),IF(OR($A485&lt;MIN(DKW_10Y!$A$2:$A$2918),$A485&gt;MAX(DKW_10Y!$A$2:$A$2918),Settings!$B$16&lt;MIN(DKW_10Y!$A$2:$A$2918)),NA(),(INDEX(DKW_10Y!$H$2:$H$2918,MATCH($A485,DKW_10Y!$A$2:$A$2918,1))-INDEX(DKW_10Y!$H$2:$H$2918,MATCH(Settings!$B$16,DKW_10Y!$A$2:$A$2918,1)))*100))</f>
        <v/>
      </c>
      <c r="AC485" s="18">
        <f>IF(NOT(ISNUMBER($A485)),NA(),IFERROR(1*INDEX(BBG_Data!$N$2:$N$4000,MATCH($A485,BBG_Data!$M$2:$M$4000,0)),NA()))</f>
        <v/>
      </c>
      <c r="AD485" s="18">
        <f>IF(NOT(ISNUMBER($A485)),NA(),IFERROR(1*INDEX(BBG_Data!$P$2:$P$4000,MATCH($A485,BBG_Data!$O$2:$O$4000,0)),NA()))</f>
        <v/>
      </c>
      <c r="AE485" s="18">
        <f>IF(NOT(ISNUMBER($A485)),NA(),IFERROR(1*INDEX(BBG_Data!$R$2:$R$4000,MATCH($A485,BBG_Data!$Q$2:$Q$4000,0)),NA()))</f>
        <v/>
      </c>
      <c r="AF485" s="20">
        <f>IF(AND(ISNUMBER(B485),ISNUMBER(AC485)),(B485-AC485)*100,NA())</f>
        <v/>
      </c>
      <c r="AG485" s="20">
        <f>IF(AND(ISNUMBER(AE485),ISNUMBER(AD485)),(AE485-AD485)*100,NA())</f>
        <v/>
      </c>
      <c r="AH485" s="19">
        <f>IF(NOT(ISNUMBER($A485)),NA(),IFERROR(INDEX(BBG_Data!$T$2:$T$4000,MATCH($A485,BBG_Data!$S$2:$S$4000,0))*Settings!$B$25,NA()))</f>
        <v/>
      </c>
      <c r="AI485" s="19">
        <f>IF(NOT(ISNUMBER($A485)),NA(),IFERROR(INDEX(BBG_Data!$V$2:$V$4000,MATCH($A485,BBG_Data!$U$2:$U$4000,0))*Settings!$B$25,NA()))</f>
        <v/>
      </c>
      <c r="AJ485" s="19">
        <f>IF(NOT(ISNUMBER($A485)),NA(),IFERROR(1*INDEX(BBG_Data!$X$2:$X$4000,MATCH($A485,BBG_Data!$W$2:$W$4000,0)),NA()))</f>
        <v/>
      </c>
      <c r="AK485" s="19">
        <f>IF(NOT(ISNUMBER($A485)),NA(),IFERROR(1*INDEX(BBG_Data!$Z$2:$Z$4000,MATCH($A485,BBG_Data!$Y$2:$Y$4000,0)),NA()))</f>
        <v/>
      </c>
    </row>
    <row r="486">
      <c r="A486" s="17">
        <f>IF(ISNUMBER(BBG_Data!A486),BBG_Data!A486,"")</f>
        <v/>
      </c>
      <c r="B486" s="18">
        <f>IF(AND(ISNUMBER($A486),ISNUMBER(BBG_Data!B486)),BBG_Data!B486,NA())</f>
        <v/>
      </c>
      <c r="C486" s="18">
        <f>IF(NOT(ISNUMBER($A486)),NA(),IFERROR(1*INDEX(BBG_Data!$D$2:$D$4000,MATCH($A486,BBG_Data!$C$2:$C$4000,0)),NA()))</f>
        <v/>
      </c>
      <c r="D486" s="19">
        <f>IF(NOT(ISNUMBER($A486)),NA(),IFERROR(1*INDEX(BBG_Data!$F$2:$F$4000,MATCH($A486,BBG_Data!$E$2:$E$4000,0)),NA()))</f>
        <v/>
      </c>
      <c r="E486" s="19">
        <f>IF(NOT(ISNUMBER($A486)),NA(),IFERROR(1*INDEX(BBG_Data!$H$2:$H$4000,MATCH($A486,BBG_Data!$G$2:$G$4000,0)),NA()))</f>
        <v/>
      </c>
      <c r="F486" s="20">
        <f>IF(AND(ISNUMBER(B486),ISNUMBER(B485)),IF(B486=B485,"",(B486-B485)*100),"")</f>
        <v/>
      </c>
      <c r="G486" s="20">
        <f>IF(AND(ISNUMBER(C486),ISNUMBER(C485)),IF(C486=C485,"",(C486-C485)*100),"")</f>
        <v/>
      </c>
      <c r="H486" s="20">
        <f>IF(OR(NOT(ISNUMBER($A486)),ROW()-2&lt;Settings!$B$11),NA(),IF(COUNT(OFFSET(F486,1-Settings!$B$11,0,Settings!$B$11,1))&lt;ROUNDUP(Settings!$B$11*Settings!$B$26,0),NA(),STDEV(OFFSET(F486,1-Settings!$B$11,0,Settings!$B$11,1))*SQRT(Settings!$B$13)))</f>
        <v/>
      </c>
      <c r="I486" s="20">
        <f>IF(OR(NOT(ISNUMBER($A486)),ROW()-2&lt;Settings!$B$12),NA(),IF(COUNT(OFFSET(F486,1-Settings!$B$12,0,Settings!$B$12,1))&lt;ROUNDUP(Settings!$B$12*Settings!$B$26,0),NA(),STDEV(OFFSET(F486,1-Settings!$B$12,0,Settings!$B$12,1))*SQRT(Settings!$B$13)))</f>
        <v/>
      </c>
      <c r="J486" s="20">
        <f>IF(OR(NOT(ISNUMBER($A486)),ROW()-2&lt;Settings!$B$11),NA(),IF(COUNT(OFFSET(G486,1-Settings!$B$11,0,Settings!$B$11,1))&lt;ROUNDUP(Settings!$B$11*Settings!$B$26,0),NA(),STDEV(OFFSET(G486,1-Settings!$B$11,0,Settings!$B$11,1))*SQRT(Settings!$B$13)))</f>
        <v/>
      </c>
      <c r="K486" s="20">
        <f>IF(OR(NOT(ISNUMBER($A486)),ROW()-2&lt;Settings!$B$12),NA(),IF(COUNT(OFFSET(G486,1-Settings!$B$12,0,Settings!$B$12,1))&lt;ROUNDUP(Settings!$B$12*Settings!$B$26,0),NA(),STDEV(OFFSET(G486,1-Settings!$B$12,0,Settings!$B$12,1))*SQRT(Settings!$B$13)))</f>
        <v/>
      </c>
      <c r="L486" s="20">
        <f>IF(AND(ISNUMBER(D486),ISNUMBER(H486)),D486-H486,NA())</f>
        <v/>
      </c>
      <c r="M486" s="20">
        <f>IF(AND(ISNUMBER(E486),ISNUMBER(K486)),E486-K486,NA())</f>
        <v/>
      </c>
      <c r="N486" s="20">
        <f>IF(NOT(ISNUMBER($A486)),NA(),IF(COUNT(OFFSET(G486,1,0,Settings!$B$12,1))&lt;ROUNDUP(Settings!$B$12*Settings!$B$26,0),NA(),STDEV(OFFSET(G486,1,0,Settings!$B$12,1))*SQRT(Settings!$B$13)))</f>
        <v/>
      </c>
      <c r="O486" s="20">
        <f>IF(AND(ISNUMBER(E486),ISNUMBER(N486)),E486-N486,NA())</f>
        <v/>
      </c>
      <c r="P486" s="19">
        <f>IF(NOT(ISNUMBER($A486)),NA(),IF(OR($A486&lt;MIN(KW_TP!$A$2:$A$2501),$A486&gt;MAX(KW_TP!$A$2:$A$2501)),NA(),INDEX(KW_TP!$C$2:$C$2501,MATCH($A486,KW_TP!$A$2:$A$2501,1))))</f>
        <v/>
      </c>
      <c r="Q486" s="18">
        <f>IF(NOT(ISNUMBER($A486)),NA(),IFERROR(1*INDEX(BBG_Data!$J$2:$J$4000,MATCH($A486,BBG_Data!$I$2:$I$4000,0)),NA()))</f>
        <v/>
      </c>
      <c r="R486" s="18">
        <f>IF(NOT(ISNUMBER($A486)),NA(),IFERROR(1*INDEX(BBG_Data!$L$2:$L$4000,MATCH($A486,BBG_Data!$K$2:$K$4000,0)),NA()))</f>
        <v/>
      </c>
      <c r="S486" s="20">
        <f>IF(AND(ISNUMBER(B486),ISNUMBER(Q486),ISNUMBER(R486)),(B486-Q486-R486)*100,NA())</f>
        <v/>
      </c>
      <c r="T486" s="20">
        <f>IF(AND(ISNUMBER(B486),Settings!$B$17&gt;0),IF(ISNUMBER(INDEX($B:$B,Settings!$B$17)),(B486-INDEX($B:$B,Settings!$B$17))*100,NA()),NA())</f>
        <v/>
      </c>
      <c r="U486" s="20">
        <f>IF(AND(ISNUMBER(Q486),Settings!$B$17&gt;0),IF(ISNUMBER(INDEX($Q:$Q,Settings!$B$17)),(Q486-INDEX($Q:$Q,Settings!$B$17))*100,NA()),NA())</f>
        <v/>
      </c>
      <c r="V486" s="20">
        <f>IF(AND(ISNUMBER(R486),Settings!$B$17&gt;0),IF(ISNUMBER(INDEX($R:$R,Settings!$B$17)),(R486-INDEX($R:$R,Settings!$B$17))*100,NA()),NA())</f>
        <v/>
      </c>
      <c r="W486" s="20">
        <f>IF(AND(ISNUMBER(P486),Settings!$B$17&gt;0),IF(ISNUMBER(INDEX($P:$P,Settings!$B$17)),P486-INDEX($P:$P,Settings!$B$17),NA()),NA())</f>
        <v/>
      </c>
      <c r="X486" s="19">
        <f>IF(NOT(ISNUMBER($A486)),NA(),IF(OR($A486&lt;MIN(DKW_10Y!$A$2:$A$2918),$A486&gt;MAX(DKW_10Y!$A$2:$A$2918),Settings!$B$16&lt;MIN(DKW_10Y!$A$2:$A$2918)),NA(),(INDEX(DKW_10Y!$B$2:$B$2918,MATCH($A486,DKW_10Y!$A$2:$A$2918,1))-INDEX(DKW_10Y!$B$2:$B$2918,MATCH(Settings!$B$16,DKW_10Y!$A$2:$A$2918,1)))*100))</f>
        <v/>
      </c>
      <c r="Y486" s="19">
        <f>IF(NOT(ISNUMBER($A486)),NA(),IF(OR($A486&lt;MIN(DKW_10Y!$A$2:$A$2918),$A486&gt;MAX(DKW_10Y!$A$2:$A$2918),Settings!$B$16&lt;MIN(DKW_10Y!$A$2:$A$2918)),NA(),(INDEX(DKW_10Y!$C$2:$C$2918,MATCH($A486,DKW_10Y!$A$2:$A$2918,1))-INDEX(DKW_10Y!$C$2:$C$2918,MATCH(Settings!$B$16,DKW_10Y!$A$2:$A$2918,1)))*100))</f>
        <v/>
      </c>
      <c r="Z486" s="19">
        <f>IF(NOT(ISNUMBER($A486)),NA(),IF(OR($A486&lt;MIN(DKW_10Y!$A$2:$A$2918),$A486&gt;MAX(DKW_10Y!$A$2:$A$2918),Settings!$B$16&lt;MIN(DKW_10Y!$A$2:$A$2918)),NA(),(INDEX(DKW_10Y!$D$2:$D$2918,MATCH($A486,DKW_10Y!$A$2:$A$2918,1))-INDEX(DKW_10Y!$D$2:$D$2918,MATCH(Settings!$B$16,DKW_10Y!$A$2:$A$2918,1)))*100))</f>
        <v/>
      </c>
      <c r="AA486" s="19">
        <f>IF(NOT(ISNUMBER($A486)),NA(),IF(OR($A486&lt;MIN(DKW_10Y!$A$2:$A$2918),$A486&gt;MAX(DKW_10Y!$A$2:$A$2918),Settings!$B$16&lt;MIN(DKW_10Y!$A$2:$A$2918)),NA(),(INDEX(DKW_10Y!$E$2:$E$2918,MATCH($A486,DKW_10Y!$A$2:$A$2918,1))-INDEX(DKW_10Y!$E$2:$E$2918,MATCH(Settings!$B$16,DKW_10Y!$A$2:$A$2918,1)))*100))</f>
        <v/>
      </c>
      <c r="AB486" s="19">
        <f>IF(NOT(ISNUMBER($A486)),NA(),IF(OR($A486&lt;MIN(DKW_10Y!$A$2:$A$2918),$A486&gt;MAX(DKW_10Y!$A$2:$A$2918),Settings!$B$16&lt;MIN(DKW_10Y!$A$2:$A$2918)),NA(),(INDEX(DKW_10Y!$H$2:$H$2918,MATCH($A486,DKW_10Y!$A$2:$A$2918,1))-INDEX(DKW_10Y!$H$2:$H$2918,MATCH(Settings!$B$16,DKW_10Y!$A$2:$A$2918,1)))*100))</f>
        <v/>
      </c>
      <c r="AC486" s="18">
        <f>IF(NOT(ISNUMBER($A486)),NA(),IFERROR(1*INDEX(BBG_Data!$N$2:$N$4000,MATCH($A486,BBG_Data!$M$2:$M$4000,0)),NA()))</f>
        <v/>
      </c>
      <c r="AD486" s="18">
        <f>IF(NOT(ISNUMBER($A486)),NA(),IFERROR(1*INDEX(BBG_Data!$P$2:$P$4000,MATCH($A486,BBG_Data!$O$2:$O$4000,0)),NA()))</f>
        <v/>
      </c>
      <c r="AE486" s="18">
        <f>IF(NOT(ISNUMBER($A486)),NA(),IFERROR(1*INDEX(BBG_Data!$R$2:$R$4000,MATCH($A486,BBG_Data!$Q$2:$Q$4000,0)),NA()))</f>
        <v/>
      </c>
      <c r="AF486" s="20">
        <f>IF(AND(ISNUMBER(B486),ISNUMBER(AC486)),(B486-AC486)*100,NA())</f>
        <v/>
      </c>
      <c r="AG486" s="20">
        <f>IF(AND(ISNUMBER(AE486),ISNUMBER(AD486)),(AE486-AD486)*100,NA())</f>
        <v/>
      </c>
      <c r="AH486" s="19">
        <f>IF(NOT(ISNUMBER($A486)),NA(),IFERROR(INDEX(BBG_Data!$T$2:$T$4000,MATCH($A486,BBG_Data!$S$2:$S$4000,0))*Settings!$B$25,NA()))</f>
        <v/>
      </c>
      <c r="AI486" s="19">
        <f>IF(NOT(ISNUMBER($A486)),NA(),IFERROR(INDEX(BBG_Data!$V$2:$V$4000,MATCH($A486,BBG_Data!$U$2:$U$4000,0))*Settings!$B$25,NA()))</f>
        <v/>
      </c>
      <c r="AJ486" s="19">
        <f>IF(NOT(ISNUMBER($A486)),NA(),IFERROR(1*INDEX(BBG_Data!$X$2:$X$4000,MATCH($A486,BBG_Data!$W$2:$W$4000,0)),NA()))</f>
        <v/>
      </c>
      <c r="AK486" s="19">
        <f>IF(NOT(ISNUMBER($A486)),NA(),IFERROR(1*INDEX(BBG_Data!$Z$2:$Z$4000,MATCH($A486,BBG_Data!$Y$2:$Y$4000,0)),NA()))</f>
        <v/>
      </c>
    </row>
    <row r="487">
      <c r="A487" s="17">
        <f>IF(ISNUMBER(BBG_Data!A487),BBG_Data!A487,"")</f>
        <v/>
      </c>
      <c r="B487" s="18">
        <f>IF(AND(ISNUMBER($A487),ISNUMBER(BBG_Data!B487)),BBG_Data!B487,NA())</f>
        <v/>
      </c>
      <c r="C487" s="18">
        <f>IF(NOT(ISNUMBER($A487)),NA(),IFERROR(1*INDEX(BBG_Data!$D$2:$D$4000,MATCH($A487,BBG_Data!$C$2:$C$4000,0)),NA()))</f>
        <v/>
      </c>
      <c r="D487" s="19">
        <f>IF(NOT(ISNUMBER($A487)),NA(),IFERROR(1*INDEX(BBG_Data!$F$2:$F$4000,MATCH($A487,BBG_Data!$E$2:$E$4000,0)),NA()))</f>
        <v/>
      </c>
      <c r="E487" s="19">
        <f>IF(NOT(ISNUMBER($A487)),NA(),IFERROR(1*INDEX(BBG_Data!$H$2:$H$4000,MATCH($A487,BBG_Data!$G$2:$G$4000,0)),NA()))</f>
        <v/>
      </c>
      <c r="F487" s="20">
        <f>IF(AND(ISNUMBER(B487),ISNUMBER(B486)),IF(B487=B486,"",(B487-B486)*100),"")</f>
        <v/>
      </c>
      <c r="G487" s="20">
        <f>IF(AND(ISNUMBER(C487),ISNUMBER(C486)),IF(C487=C486,"",(C487-C486)*100),"")</f>
        <v/>
      </c>
      <c r="H487" s="20">
        <f>IF(OR(NOT(ISNUMBER($A487)),ROW()-2&lt;Settings!$B$11),NA(),IF(COUNT(OFFSET(F487,1-Settings!$B$11,0,Settings!$B$11,1))&lt;ROUNDUP(Settings!$B$11*Settings!$B$26,0),NA(),STDEV(OFFSET(F487,1-Settings!$B$11,0,Settings!$B$11,1))*SQRT(Settings!$B$13)))</f>
        <v/>
      </c>
      <c r="I487" s="20">
        <f>IF(OR(NOT(ISNUMBER($A487)),ROW()-2&lt;Settings!$B$12),NA(),IF(COUNT(OFFSET(F487,1-Settings!$B$12,0,Settings!$B$12,1))&lt;ROUNDUP(Settings!$B$12*Settings!$B$26,0),NA(),STDEV(OFFSET(F487,1-Settings!$B$12,0,Settings!$B$12,1))*SQRT(Settings!$B$13)))</f>
        <v/>
      </c>
      <c r="J487" s="20">
        <f>IF(OR(NOT(ISNUMBER($A487)),ROW()-2&lt;Settings!$B$11),NA(),IF(COUNT(OFFSET(G487,1-Settings!$B$11,0,Settings!$B$11,1))&lt;ROUNDUP(Settings!$B$11*Settings!$B$26,0),NA(),STDEV(OFFSET(G487,1-Settings!$B$11,0,Settings!$B$11,1))*SQRT(Settings!$B$13)))</f>
        <v/>
      </c>
      <c r="K487" s="20">
        <f>IF(OR(NOT(ISNUMBER($A487)),ROW()-2&lt;Settings!$B$12),NA(),IF(COUNT(OFFSET(G487,1-Settings!$B$12,0,Settings!$B$12,1))&lt;ROUNDUP(Settings!$B$12*Settings!$B$26,0),NA(),STDEV(OFFSET(G487,1-Settings!$B$12,0,Settings!$B$12,1))*SQRT(Settings!$B$13)))</f>
        <v/>
      </c>
      <c r="L487" s="20">
        <f>IF(AND(ISNUMBER(D487),ISNUMBER(H487)),D487-H487,NA())</f>
        <v/>
      </c>
      <c r="M487" s="20">
        <f>IF(AND(ISNUMBER(E487),ISNUMBER(K487)),E487-K487,NA())</f>
        <v/>
      </c>
      <c r="N487" s="20">
        <f>IF(NOT(ISNUMBER($A487)),NA(),IF(COUNT(OFFSET(G487,1,0,Settings!$B$12,1))&lt;ROUNDUP(Settings!$B$12*Settings!$B$26,0),NA(),STDEV(OFFSET(G487,1,0,Settings!$B$12,1))*SQRT(Settings!$B$13)))</f>
        <v/>
      </c>
      <c r="O487" s="20">
        <f>IF(AND(ISNUMBER(E487),ISNUMBER(N487)),E487-N487,NA())</f>
        <v/>
      </c>
      <c r="P487" s="19">
        <f>IF(NOT(ISNUMBER($A487)),NA(),IF(OR($A487&lt;MIN(KW_TP!$A$2:$A$2501),$A487&gt;MAX(KW_TP!$A$2:$A$2501)),NA(),INDEX(KW_TP!$C$2:$C$2501,MATCH($A487,KW_TP!$A$2:$A$2501,1))))</f>
        <v/>
      </c>
      <c r="Q487" s="18">
        <f>IF(NOT(ISNUMBER($A487)),NA(),IFERROR(1*INDEX(BBG_Data!$J$2:$J$4000,MATCH($A487,BBG_Data!$I$2:$I$4000,0)),NA()))</f>
        <v/>
      </c>
      <c r="R487" s="18">
        <f>IF(NOT(ISNUMBER($A487)),NA(),IFERROR(1*INDEX(BBG_Data!$L$2:$L$4000,MATCH($A487,BBG_Data!$K$2:$K$4000,0)),NA()))</f>
        <v/>
      </c>
      <c r="S487" s="20">
        <f>IF(AND(ISNUMBER(B487),ISNUMBER(Q487),ISNUMBER(R487)),(B487-Q487-R487)*100,NA())</f>
        <v/>
      </c>
      <c r="T487" s="20">
        <f>IF(AND(ISNUMBER(B487),Settings!$B$17&gt;0),IF(ISNUMBER(INDEX($B:$B,Settings!$B$17)),(B487-INDEX($B:$B,Settings!$B$17))*100,NA()),NA())</f>
        <v/>
      </c>
      <c r="U487" s="20">
        <f>IF(AND(ISNUMBER(Q487),Settings!$B$17&gt;0),IF(ISNUMBER(INDEX($Q:$Q,Settings!$B$17)),(Q487-INDEX($Q:$Q,Settings!$B$17))*100,NA()),NA())</f>
        <v/>
      </c>
      <c r="V487" s="20">
        <f>IF(AND(ISNUMBER(R487),Settings!$B$17&gt;0),IF(ISNUMBER(INDEX($R:$R,Settings!$B$17)),(R487-INDEX($R:$R,Settings!$B$17))*100,NA()),NA())</f>
        <v/>
      </c>
      <c r="W487" s="20">
        <f>IF(AND(ISNUMBER(P487),Settings!$B$17&gt;0),IF(ISNUMBER(INDEX($P:$P,Settings!$B$17)),P487-INDEX($P:$P,Settings!$B$17),NA()),NA())</f>
        <v/>
      </c>
      <c r="X487" s="19">
        <f>IF(NOT(ISNUMBER($A487)),NA(),IF(OR($A487&lt;MIN(DKW_10Y!$A$2:$A$2918),$A487&gt;MAX(DKW_10Y!$A$2:$A$2918),Settings!$B$16&lt;MIN(DKW_10Y!$A$2:$A$2918)),NA(),(INDEX(DKW_10Y!$B$2:$B$2918,MATCH($A487,DKW_10Y!$A$2:$A$2918,1))-INDEX(DKW_10Y!$B$2:$B$2918,MATCH(Settings!$B$16,DKW_10Y!$A$2:$A$2918,1)))*100))</f>
        <v/>
      </c>
      <c r="Y487" s="19">
        <f>IF(NOT(ISNUMBER($A487)),NA(),IF(OR($A487&lt;MIN(DKW_10Y!$A$2:$A$2918),$A487&gt;MAX(DKW_10Y!$A$2:$A$2918),Settings!$B$16&lt;MIN(DKW_10Y!$A$2:$A$2918)),NA(),(INDEX(DKW_10Y!$C$2:$C$2918,MATCH($A487,DKW_10Y!$A$2:$A$2918,1))-INDEX(DKW_10Y!$C$2:$C$2918,MATCH(Settings!$B$16,DKW_10Y!$A$2:$A$2918,1)))*100))</f>
        <v/>
      </c>
      <c r="Z487" s="19">
        <f>IF(NOT(ISNUMBER($A487)),NA(),IF(OR($A487&lt;MIN(DKW_10Y!$A$2:$A$2918),$A487&gt;MAX(DKW_10Y!$A$2:$A$2918),Settings!$B$16&lt;MIN(DKW_10Y!$A$2:$A$2918)),NA(),(INDEX(DKW_10Y!$D$2:$D$2918,MATCH($A487,DKW_10Y!$A$2:$A$2918,1))-INDEX(DKW_10Y!$D$2:$D$2918,MATCH(Settings!$B$16,DKW_10Y!$A$2:$A$2918,1)))*100))</f>
        <v/>
      </c>
      <c r="AA487" s="19">
        <f>IF(NOT(ISNUMBER($A487)),NA(),IF(OR($A487&lt;MIN(DKW_10Y!$A$2:$A$2918),$A487&gt;MAX(DKW_10Y!$A$2:$A$2918),Settings!$B$16&lt;MIN(DKW_10Y!$A$2:$A$2918)),NA(),(INDEX(DKW_10Y!$E$2:$E$2918,MATCH($A487,DKW_10Y!$A$2:$A$2918,1))-INDEX(DKW_10Y!$E$2:$E$2918,MATCH(Settings!$B$16,DKW_10Y!$A$2:$A$2918,1)))*100))</f>
        <v/>
      </c>
      <c r="AB487" s="19">
        <f>IF(NOT(ISNUMBER($A487)),NA(),IF(OR($A487&lt;MIN(DKW_10Y!$A$2:$A$2918),$A487&gt;MAX(DKW_10Y!$A$2:$A$2918),Settings!$B$16&lt;MIN(DKW_10Y!$A$2:$A$2918)),NA(),(INDEX(DKW_10Y!$H$2:$H$2918,MATCH($A487,DKW_10Y!$A$2:$A$2918,1))-INDEX(DKW_10Y!$H$2:$H$2918,MATCH(Settings!$B$16,DKW_10Y!$A$2:$A$2918,1)))*100))</f>
        <v/>
      </c>
      <c r="AC487" s="18">
        <f>IF(NOT(ISNUMBER($A487)),NA(),IFERROR(1*INDEX(BBG_Data!$N$2:$N$4000,MATCH($A487,BBG_Data!$M$2:$M$4000,0)),NA()))</f>
        <v/>
      </c>
      <c r="AD487" s="18">
        <f>IF(NOT(ISNUMBER($A487)),NA(),IFERROR(1*INDEX(BBG_Data!$P$2:$P$4000,MATCH($A487,BBG_Data!$O$2:$O$4000,0)),NA()))</f>
        <v/>
      </c>
      <c r="AE487" s="18">
        <f>IF(NOT(ISNUMBER($A487)),NA(),IFERROR(1*INDEX(BBG_Data!$R$2:$R$4000,MATCH($A487,BBG_Data!$Q$2:$Q$4000,0)),NA()))</f>
        <v/>
      </c>
      <c r="AF487" s="20">
        <f>IF(AND(ISNUMBER(B487),ISNUMBER(AC487)),(B487-AC487)*100,NA())</f>
        <v/>
      </c>
      <c r="AG487" s="20">
        <f>IF(AND(ISNUMBER(AE487),ISNUMBER(AD487)),(AE487-AD487)*100,NA())</f>
        <v/>
      </c>
      <c r="AH487" s="19">
        <f>IF(NOT(ISNUMBER($A487)),NA(),IFERROR(INDEX(BBG_Data!$T$2:$T$4000,MATCH($A487,BBG_Data!$S$2:$S$4000,0))*Settings!$B$25,NA()))</f>
        <v/>
      </c>
      <c r="AI487" s="19">
        <f>IF(NOT(ISNUMBER($A487)),NA(),IFERROR(INDEX(BBG_Data!$V$2:$V$4000,MATCH($A487,BBG_Data!$U$2:$U$4000,0))*Settings!$B$25,NA()))</f>
        <v/>
      </c>
      <c r="AJ487" s="19">
        <f>IF(NOT(ISNUMBER($A487)),NA(),IFERROR(1*INDEX(BBG_Data!$X$2:$X$4000,MATCH($A487,BBG_Data!$W$2:$W$4000,0)),NA()))</f>
        <v/>
      </c>
      <c r="AK487" s="19">
        <f>IF(NOT(ISNUMBER($A487)),NA(),IFERROR(1*INDEX(BBG_Data!$Z$2:$Z$4000,MATCH($A487,BBG_Data!$Y$2:$Y$4000,0)),NA()))</f>
        <v/>
      </c>
    </row>
    <row r="488">
      <c r="A488" s="17">
        <f>IF(ISNUMBER(BBG_Data!A488),BBG_Data!A488,"")</f>
        <v/>
      </c>
      <c r="B488" s="18">
        <f>IF(AND(ISNUMBER($A488),ISNUMBER(BBG_Data!B488)),BBG_Data!B488,NA())</f>
        <v/>
      </c>
      <c r="C488" s="18">
        <f>IF(NOT(ISNUMBER($A488)),NA(),IFERROR(1*INDEX(BBG_Data!$D$2:$D$4000,MATCH($A488,BBG_Data!$C$2:$C$4000,0)),NA()))</f>
        <v/>
      </c>
      <c r="D488" s="19">
        <f>IF(NOT(ISNUMBER($A488)),NA(),IFERROR(1*INDEX(BBG_Data!$F$2:$F$4000,MATCH($A488,BBG_Data!$E$2:$E$4000,0)),NA()))</f>
        <v/>
      </c>
      <c r="E488" s="19">
        <f>IF(NOT(ISNUMBER($A488)),NA(),IFERROR(1*INDEX(BBG_Data!$H$2:$H$4000,MATCH($A488,BBG_Data!$G$2:$G$4000,0)),NA()))</f>
        <v/>
      </c>
      <c r="F488" s="20">
        <f>IF(AND(ISNUMBER(B488),ISNUMBER(B487)),IF(B488=B487,"",(B488-B487)*100),"")</f>
        <v/>
      </c>
      <c r="G488" s="20">
        <f>IF(AND(ISNUMBER(C488),ISNUMBER(C487)),IF(C488=C487,"",(C488-C487)*100),"")</f>
        <v/>
      </c>
      <c r="H488" s="20">
        <f>IF(OR(NOT(ISNUMBER($A488)),ROW()-2&lt;Settings!$B$11),NA(),IF(COUNT(OFFSET(F488,1-Settings!$B$11,0,Settings!$B$11,1))&lt;ROUNDUP(Settings!$B$11*Settings!$B$26,0),NA(),STDEV(OFFSET(F488,1-Settings!$B$11,0,Settings!$B$11,1))*SQRT(Settings!$B$13)))</f>
        <v/>
      </c>
      <c r="I488" s="20">
        <f>IF(OR(NOT(ISNUMBER($A488)),ROW()-2&lt;Settings!$B$12),NA(),IF(COUNT(OFFSET(F488,1-Settings!$B$12,0,Settings!$B$12,1))&lt;ROUNDUP(Settings!$B$12*Settings!$B$26,0),NA(),STDEV(OFFSET(F488,1-Settings!$B$12,0,Settings!$B$12,1))*SQRT(Settings!$B$13)))</f>
        <v/>
      </c>
      <c r="J488" s="20">
        <f>IF(OR(NOT(ISNUMBER($A488)),ROW()-2&lt;Settings!$B$11),NA(),IF(COUNT(OFFSET(G488,1-Settings!$B$11,0,Settings!$B$11,1))&lt;ROUNDUP(Settings!$B$11*Settings!$B$26,0),NA(),STDEV(OFFSET(G488,1-Settings!$B$11,0,Settings!$B$11,1))*SQRT(Settings!$B$13)))</f>
        <v/>
      </c>
      <c r="K488" s="20">
        <f>IF(OR(NOT(ISNUMBER($A488)),ROW()-2&lt;Settings!$B$12),NA(),IF(COUNT(OFFSET(G488,1-Settings!$B$12,0,Settings!$B$12,1))&lt;ROUNDUP(Settings!$B$12*Settings!$B$26,0),NA(),STDEV(OFFSET(G488,1-Settings!$B$12,0,Settings!$B$12,1))*SQRT(Settings!$B$13)))</f>
        <v/>
      </c>
      <c r="L488" s="20">
        <f>IF(AND(ISNUMBER(D488),ISNUMBER(H488)),D488-H488,NA())</f>
        <v/>
      </c>
      <c r="M488" s="20">
        <f>IF(AND(ISNUMBER(E488),ISNUMBER(K488)),E488-K488,NA())</f>
        <v/>
      </c>
      <c r="N488" s="20">
        <f>IF(NOT(ISNUMBER($A488)),NA(),IF(COUNT(OFFSET(G488,1,0,Settings!$B$12,1))&lt;ROUNDUP(Settings!$B$12*Settings!$B$26,0),NA(),STDEV(OFFSET(G488,1,0,Settings!$B$12,1))*SQRT(Settings!$B$13)))</f>
        <v/>
      </c>
      <c r="O488" s="20">
        <f>IF(AND(ISNUMBER(E488),ISNUMBER(N488)),E488-N488,NA())</f>
        <v/>
      </c>
      <c r="P488" s="19">
        <f>IF(NOT(ISNUMBER($A488)),NA(),IF(OR($A488&lt;MIN(KW_TP!$A$2:$A$2501),$A488&gt;MAX(KW_TP!$A$2:$A$2501)),NA(),INDEX(KW_TP!$C$2:$C$2501,MATCH($A488,KW_TP!$A$2:$A$2501,1))))</f>
        <v/>
      </c>
      <c r="Q488" s="18">
        <f>IF(NOT(ISNUMBER($A488)),NA(),IFERROR(1*INDEX(BBG_Data!$J$2:$J$4000,MATCH($A488,BBG_Data!$I$2:$I$4000,0)),NA()))</f>
        <v/>
      </c>
      <c r="R488" s="18">
        <f>IF(NOT(ISNUMBER($A488)),NA(),IFERROR(1*INDEX(BBG_Data!$L$2:$L$4000,MATCH($A488,BBG_Data!$K$2:$K$4000,0)),NA()))</f>
        <v/>
      </c>
      <c r="S488" s="20">
        <f>IF(AND(ISNUMBER(B488),ISNUMBER(Q488),ISNUMBER(R488)),(B488-Q488-R488)*100,NA())</f>
        <v/>
      </c>
      <c r="T488" s="20">
        <f>IF(AND(ISNUMBER(B488),Settings!$B$17&gt;0),IF(ISNUMBER(INDEX($B:$B,Settings!$B$17)),(B488-INDEX($B:$B,Settings!$B$17))*100,NA()),NA())</f>
        <v/>
      </c>
      <c r="U488" s="20">
        <f>IF(AND(ISNUMBER(Q488),Settings!$B$17&gt;0),IF(ISNUMBER(INDEX($Q:$Q,Settings!$B$17)),(Q488-INDEX($Q:$Q,Settings!$B$17))*100,NA()),NA())</f>
        <v/>
      </c>
      <c r="V488" s="20">
        <f>IF(AND(ISNUMBER(R488),Settings!$B$17&gt;0),IF(ISNUMBER(INDEX($R:$R,Settings!$B$17)),(R488-INDEX($R:$R,Settings!$B$17))*100,NA()),NA())</f>
        <v/>
      </c>
      <c r="W488" s="20">
        <f>IF(AND(ISNUMBER(P488),Settings!$B$17&gt;0),IF(ISNUMBER(INDEX($P:$P,Settings!$B$17)),P488-INDEX($P:$P,Settings!$B$17),NA()),NA())</f>
        <v/>
      </c>
      <c r="X488" s="19">
        <f>IF(NOT(ISNUMBER($A488)),NA(),IF(OR($A488&lt;MIN(DKW_10Y!$A$2:$A$2918),$A488&gt;MAX(DKW_10Y!$A$2:$A$2918),Settings!$B$16&lt;MIN(DKW_10Y!$A$2:$A$2918)),NA(),(INDEX(DKW_10Y!$B$2:$B$2918,MATCH($A488,DKW_10Y!$A$2:$A$2918,1))-INDEX(DKW_10Y!$B$2:$B$2918,MATCH(Settings!$B$16,DKW_10Y!$A$2:$A$2918,1)))*100))</f>
        <v/>
      </c>
      <c r="Y488" s="19">
        <f>IF(NOT(ISNUMBER($A488)),NA(),IF(OR($A488&lt;MIN(DKW_10Y!$A$2:$A$2918),$A488&gt;MAX(DKW_10Y!$A$2:$A$2918),Settings!$B$16&lt;MIN(DKW_10Y!$A$2:$A$2918)),NA(),(INDEX(DKW_10Y!$C$2:$C$2918,MATCH($A488,DKW_10Y!$A$2:$A$2918,1))-INDEX(DKW_10Y!$C$2:$C$2918,MATCH(Settings!$B$16,DKW_10Y!$A$2:$A$2918,1)))*100))</f>
        <v/>
      </c>
      <c r="Z488" s="19">
        <f>IF(NOT(ISNUMBER($A488)),NA(),IF(OR($A488&lt;MIN(DKW_10Y!$A$2:$A$2918),$A488&gt;MAX(DKW_10Y!$A$2:$A$2918),Settings!$B$16&lt;MIN(DKW_10Y!$A$2:$A$2918)),NA(),(INDEX(DKW_10Y!$D$2:$D$2918,MATCH($A488,DKW_10Y!$A$2:$A$2918,1))-INDEX(DKW_10Y!$D$2:$D$2918,MATCH(Settings!$B$16,DKW_10Y!$A$2:$A$2918,1)))*100))</f>
        <v/>
      </c>
      <c r="AA488" s="19">
        <f>IF(NOT(ISNUMBER($A488)),NA(),IF(OR($A488&lt;MIN(DKW_10Y!$A$2:$A$2918),$A488&gt;MAX(DKW_10Y!$A$2:$A$2918),Settings!$B$16&lt;MIN(DKW_10Y!$A$2:$A$2918)),NA(),(INDEX(DKW_10Y!$E$2:$E$2918,MATCH($A488,DKW_10Y!$A$2:$A$2918,1))-INDEX(DKW_10Y!$E$2:$E$2918,MATCH(Settings!$B$16,DKW_10Y!$A$2:$A$2918,1)))*100))</f>
        <v/>
      </c>
      <c r="AB488" s="19">
        <f>IF(NOT(ISNUMBER($A488)),NA(),IF(OR($A488&lt;MIN(DKW_10Y!$A$2:$A$2918),$A488&gt;MAX(DKW_10Y!$A$2:$A$2918),Settings!$B$16&lt;MIN(DKW_10Y!$A$2:$A$2918)),NA(),(INDEX(DKW_10Y!$H$2:$H$2918,MATCH($A488,DKW_10Y!$A$2:$A$2918,1))-INDEX(DKW_10Y!$H$2:$H$2918,MATCH(Settings!$B$16,DKW_10Y!$A$2:$A$2918,1)))*100))</f>
        <v/>
      </c>
      <c r="AC488" s="18">
        <f>IF(NOT(ISNUMBER($A488)),NA(),IFERROR(1*INDEX(BBG_Data!$N$2:$N$4000,MATCH($A488,BBG_Data!$M$2:$M$4000,0)),NA()))</f>
        <v/>
      </c>
      <c r="AD488" s="18">
        <f>IF(NOT(ISNUMBER($A488)),NA(),IFERROR(1*INDEX(BBG_Data!$P$2:$P$4000,MATCH($A488,BBG_Data!$O$2:$O$4000,0)),NA()))</f>
        <v/>
      </c>
      <c r="AE488" s="18">
        <f>IF(NOT(ISNUMBER($A488)),NA(),IFERROR(1*INDEX(BBG_Data!$R$2:$R$4000,MATCH($A488,BBG_Data!$Q$2:$Q$4000,0)),NA()))</f>
        <v/>
      </c>
      <c r="AF488" s="20">
        <f>IF(AND(ISNUMBER(B488),ISNUMBER(AC488)),(B488-AC488)*100,NA())</f>
        <v/>
      </c>
      <c r="AG488" s="20">
        <f>IF(AND(ISNUMBER(AE488),ISNUMBER(AD488)),(AE488-AD488)*100,NA())</f>
        <v/>
      </c>
      <c r="AH488" s="19">
        <f>IF(NOT(ISNUMBER($A488)),NA(),IFERROR(INDEX(BBG_Data!$T$2:$T$4000,MATCH($A488,BBG_Data!$S$2:$S$4000,0))*Settings!$B$25,NA()))</f>
        <v/>
      </c>
      <c r="AI488" s="19">
        <f>IF(NOT(ISNUMBER($A488)),NA(),IFERROR(INDEX(BBG_Data!$V$2:$V$4000,MATCH($A488,BBG_Data!$U$2:$U$4000,0))*Settings!$B$25,NA()))</f>
        <v/>
      </c>
      <c r="AJ488" s="19">
        <f>IF(NOT(ISNUMBER($A488)),NA(),IFERROR(1*INDEX(BBG_Data!$X$2:$X$4000,MATCH($A488,BBG_Data!$W$2:$W$4000,0)),NA()))</f>
        <v/>
      </c>
      <c r="AK488" s="19">
        <f>IF(NOT(ISNUMBER($A488)),NA(),IFERROR(1*INDEX(BBG_Data!$Z$2:$Z$4000,MATCH($A488,BBG_Data!$Y$2:$Y$4000,0)),NA()))</f>
        <v/>
      </c>
    </row>
    <row r="489">
      <c r="A489" s="17">
        <f>IF(ISNUMBER(BBG_Data!A489),BBG_Data!A489,"")</f>
        <v/>
      </c>
      <c r="B489" s="18">
        <f>IF(AND(ISNUMBER($A489),ISNUMBER(BBG_Data!B489)),BBG_Data!B489,NA())</f>
        <v/>
      </c>
      <c r="C489" s="18">
        <f>IF(NOT(ISNUMBER($A489)),NA(),IFERROR(1*INDEX(BBG_Data!$D$2:$D$4000,MATCH($A489,BBG_Data!$C$2:$C$4000,0)),NA()))</f>
        <v/>
      </c>
      <c r="D489" s="19">
        <f>IF(NOT(ISNUMBER($A489)),NA(),IFERROR(1*INDEX(BBG_Data!$F$2:$F$4000,MATCH($A489,BBG_Data!$E$2:$E$4000,0)),NA()))</f>
        <v/>
      </c>
      <c r="E489" s="19">
        <f>IF(NOT(ISNUMBER($A489)),NA(),IFERROR(1*INDEX(BBG_Data!$H$2:$H$4000,MATCH($A489,BBG_Data!$G$2:$G$4000,0)),NA()))</f>
        <v/>
      </c>
      <c r="F489" s="20">
        <f>IF(AND(ISNUMBER(B489),ISNUMBER(B488)),IF(B489=B488,"",(B489-B488)*100),"")</f>
        <v/>
      </c>
      <c r="G489" s="20">
        <f>IF(AND(ISNUMBER(C489),ISNUMBER(C488)),IF(C489=C488,"",(C489-C488)*100),"")</f>
        <v/>
      </c>
      <c r="H489" s="20">
        <f>IF(OR(NOT(ISNUMBER($A489)),ROW()-2&lt;Settings!$B$11),NA(),IF(COUNT(OFFSET(F489,1-Settings!$B$11,0,Settings!$B$11,1))&lt;ROUNDUP(Settings!$B$11*Settings!$B$26,0),NA(),STDEV(OFFSET(F489,1-Settings!$B$11,0,Settings!$B$11,1))*SQRT(Settings!$B$13)))</f>
        <v/>
      </c>
      <c r="I489" s="20">
        <f>IF(OR(NOT(ISNUMBER($A489)),ROW()-2&lt;Settings!$B$12),NA(),IF(COUNT(OFFSET(F489,1-Settings!$B$12,0,Settings!$B$12,1))&lt;ROUNDUP(Settings!$B$12*Settings!$B$26,0),NA(),STDEV(OFFSET(F489,1-Settings!$B$12,0,Settings!$B$12,1))*SQRT(Settings!$B$13)))</f>
        <v/>
      </c>
      <c r="J489" s="20">
        <f>IF(OR(NOT(ISNUMBER($A489)),ROW()-2&lt;Settings!$B$11),NA(),IF(COUNT(OFFSET(G489,1-Settings!$B$11,0,Settings!$B$11,1))&lt;ROUNDUP(Settings!$B$11*Settings!$B$26,0),NA(),STDEV(OFFSET(G489,1-Settings!$B$11,0,Settings!$B$11,1))*SQRT(Settings!$B$13)))</f>
        <v/>
      </c>
      <c r="K489" s="20">
        <f>IF(OR(NOT(ISNUMBER($A489)),ROW()-2&lt;Settings!$B$12),NA(),IF(COUNT(OFFSET(G489,1-Settings!$B$12,0,Settings!$B$12,1))&lt;ROUNDUP(Settings!$B$12*Settings!$B$26,0),NA(),STDEV(OFFSET(G489,1-Settings!$B$12,0,Settings!$B$12,1))*SQRT(Settings!$B$13)))</f>
        <v/>
      </c>
      <c r="L489" s="20">
        <f>IF(AND(ISNUMBER(D489),ISNUMBER(H489)),D489-H489,NA())</f>
        <v/>
      </c>
      <c r="M489" s="20">
        <f>IF(AND(ISNUMBER(E489),ISNUMBER(K489)),E489-K489,NA())</f>
        <v/>
      </c>
      <c r="N489" s="20">
        <f>IF(NOT(ISNUMBER($A489)),NA(),IF(COUNT(OFFSET(G489,1,0,Settings!$B$12,1))&lt;ROUNDUP(Settings!$B$12*Settings!$B$26,0),NA(),STDEV(OFFSET(G489,1,0,Settings!$B$12,1))*SQRT(Settings!$B$13)))</f>
        <v/>
      </c>
      <c r="O489" s="20">
        <f>IF(AND(ISNUMBER(E489),ISNUMBER(N489)),E489-N489,NA())</f>
        <v/>
      </c>
      <c r="P489" s="19">
        <f>IF(NOT(ISNUMBER($A489)),NA(),IF(OR($A489&lt;MIN(KW_TP!$A$2:$A$2501),$A489&gt;MAX(KW_TP!$A$2:$A$2501)),NA(),INDEX(KW_TP!$C$2:$C$2501,MATCH($A489,KW_TP!$A$2:$A$2501,1))))</f>
        <v/>
      </c>
      <c r="Q489" s="18">
        <f>IF(NOT(ISNUMBER($A489)),NA(),IFERROR(1*INDEX(BBG_Data!$J$2:$J$4000,MATCH($A489,BBG_Data!$I$2:$I$4000,0)),NA()))</f>
        <v/>
      </c>
      <c r="R489" s="18">
        <f>IF(NOT(ISNUMBER($A489)),NA(),IFERROR(1*INDEX(BBG_Data!$L$2:$L$4000,MATCH($A489,BBG_Data!$K$2:$K$4000,0)),NA()))</f>
        <v/>
      </c>
      <c r="S489" s="20">
        <f>IF(AND(ISNUMBER(B489),ISNUMBER(Q489),ISNUMBER(R489)),(B489-Q489-R489)*100,NA())</f>
        <v/>
      </c>
      <c r="T489" s="20">
        <f>IF(AND(ISNUMBER(B489),Settings!$B$17&gt;0),IF(ISNUMBER(INDEX($B:$B,Settings!$B$17)),(B489-INDEX($B:$B,Settings!$B$17))*100,NA()),NA())</f>
        <v/>
      </c>
      <c r="U489" s="20">
        <f>IF(AND(ISNUMBER(Q489),Settings!$B$17&gt;0),IF(ISNUMBER(INDEX($Q:$Q,Settings!$B$17)),(Q489-INDEX($Q:$Q,Settings!$B$17))*100,NA()),NA())</f>
        <v/>
      </c>
      <c r="V489" s="20">
        <f>IF(AND(ISNUMBER(R489),Settings!$B$17&gt;0),IF(ISNUMBER(INDEX($R:$R,Settings!$B$17)),(R489-INDEX($R:$R,Settings!$B$17))*100,NA()),NA())</f>
        <v/>
      </c>
      <c r="W489" s="20">
        <f>IF(AND(ISNUMBER(P489),Settings!$B$17&gt;0),IF(ISNUMBER(INDEX($P:$P,Settings!$B$17)),P489-INDEX($P:$P,Settings!$B$17),NA()),NA())</f>
        <v/>
      </c>
      <c r="X489" s="19">
        <f>IF(NOT(ISNUMBER($A489)),NA(),IF(OR($A489&lt;MIN(DKW_10Y!$A$2:$A$2918),$A489&gt;MAX(DKW_10Y!$A$2:$A$2918),Settings!$B$16&lt;MIN(DKW_10Y!$A$2:$A$2918)),NA(),(INDEX(DKW_10Y!$B$2:$B$2918,MATCH($A489,DKW_10Y!$A$2:$A$2918,1))-INDEX(DKW_10Y!$B$2:$B$2918,MATCH(Settings!$B$16,DKW_10Y!$A$2:$A$2918,1)))*100))</f>
        <v/>
      </c>
      <c r="Y489" s="19">
        <f>IF(NOT(ISNUMBER($A489)),NA(),IF(OR($A489&lt;MIN(DKW_10Y!$A$2:$A$2918),$A489&gt;MAX(DKW_10Y!$A$2:$A$2918),Settings!$B$16&lt;MIN(DKW_10Y!$A$2:$A$2918)),NA(),(INDEX(DKW_10Y!$C$2:$C$2918,MATCH($A489,DKW_10Y!$A$2:$A$2918,1))-INDEX(DKW_10Y!$C$2:$C$2918,MATCH(Settings!$B$16,DKW_10Y!$A$2:$A$2918,1)))*100))</f>
        <v/>
      </c>
      <c r="Z489" s="19">
        <f>IF(NOT(ISNUMBER($A489)),NA(),IF(OR($A489&lt;MIN(DKW_10Y!$A$2:$A$2918),$A489&gt;MAX(DKW_10Y!$A$2:$A$2918),Settings!$B$16&lt;MIN(DKW_10Y!$A$2:$A$2918)),NA(),(INDEX(DKW_10Y!$D$2:$D$2918,MATCH($A489,DKW_10Y!$A$2:$A$2918,1))-INDEX(DKW_10Y!$D$2:$D$2918,MATCH(Settings!$B$16,DKW_10Y!$A$2:$A$2918,1)))*100))</f>
        <v/>
      </c>
      <c r="AA489" s="19">
        <f>IF(NOT(ISNUMBER($A489)),NA(),IF(OR($A489&lt;MIN(DKW_10Y!$A$2:$A$2918),$A489&gt;MAX(DKW_10Y!$A$2:$A$2918),Settings!$B$16&lt;MIN(DKW_10Y!$A$2:$A$2918)),NA(),(INDEX(DKW_10Y!$E$2:$E$2918,MATCH($A489,DKW_10Y!$A$2:$A$2918,1))-INDEX(DKW_10Y!$E$2:$E$2918,MATCH(Settings!$B$16,DKW_10Y!$A$2:$A$2918,1)))*100))</f>
        <v/>
      </c>
      <c r="AB489" s="19">
        <f>IF(NOT(ISNUMBER($A489)),NA(),IF(OR($A489&lt;MIN(DKW_10Y!$A$2:$A$2918),$A489&gt;MAX(DKW_10Y!$A$2:$A$2918),Settings!$B$16&lt;MIN(DKW_10Y!$A$2:$A$2918)),NA(),(INDEX(DKW_10Y!$H$2:$H$2918,MATCH($A489,DKW_10Y!$A$2:$A$2918,1))-INDEX(DKW_10Y!$H$2:$H$2918,MATCH(Settings!$B$16,DKW_10Y!$A$2:$A$2918,1)))*100))</f>
        <v/>
      </c>
      <c r="AC489" s="18">
        <f>IF(NOT(ISNUMBER($A489)),NA(),IFERROR(1*INDEX(BBG_Data!$N$2:$N$4000,MATCH($A489,BBG_Data!$M$2:$M$4000,0)),NA()))</f>
        <v/>
      </c>
      <c r="AD489" s="18">
        <f>IF(NOT(ISNUMBER($A489)),NA(),IFERROR(1*INDEX(BBG_Data!$P$2:$P$4000,MATCH($A489,BBG_Data!$O$2:$O$4000,0)),NA()))</f>
        <v/>
      </c>
      <c r="AE489" s="18">
        <f>IF(NOT(ISNUMBER($A489)),NA(),IFERROR(1*INDEX(BBG_Data!$R$2:$R$4000,MATCH($A489,BBG_Data!$Q$2:$Q$4000,0)),NA()))</f>
        <v/>
      </c>
      <c r="AF489" s="20">
        <f>IF(AND(ISNUMBER(B489),ISNUMBER(AC489)),(B489-AC489)*100,NA())</f>
        <v/>
      </c>
      <c r="AG489" s="20">
        <f>IF(AND(ISNUMBER(AE489),ISNUMBER(AD489)),(AE489-AD489)*100,NA())</f>
        <v/>
      </c>
      <c r="AH489" s="19">
        <f>IF(NOT(ISNUMBER($A489)),NA(),IFERROR(INDEX(BBG_Data!$T$2:$T$4000,MATCH($A489,BBG_Data!$S$2:$S$4000,0))*Settings!$B$25,NA()))</f>
        <v/>
      </c>
      <c r="AI489" s="19">
        <f>IF(NOT(ISNUMBER($A489)),NA(),IFERROR(INDEX(BBG_Data!$V$2:$V$4000,MATCH($A489,BBG_Data!$U$2:$U$4000,0))*Settings!$B$25,NA()))</f>
        <v/>
      </c>
      <c r="AJ489" s="19">
        <f>IF(NOT(ISNUMBER($A489)),NA(),IFERROR(1*INDEX(BBG_Data!$X$2:$X$4000,MATCH($A489,BBG_Data!$W$2:$W$4000,0)),NA()))</f>
        <v/>
      </c>
      <c r="AK489" s="19">
        <f>IF(NOT(ISNUMBER($A489)),NA(),IFERROR(1*INDEX(BBG_Data!$Z$2:$Z$4000,MATCH($A489,BBG_Data!$Y$2:$Y$4000,0)),NA()))</f>
        <v/>
      </c>
    </row>
    <row r="490">
      <c r="A490" s="17">
        <f>IF(ISNUMBER(BBG_Data!A490),BBG_Data!A490,"")</f>
        <v/>
      </c>
      <c r="B490" s="18">
        <f>IF(AND(ISNUMBER($A490),ISNUMBER(BBG_Data!B490)),BBG_Data!B490,NA())</f>
        <v/>
      </c>
      <c r="C490" s="18">
        <f>IF(NOT(ISNUMBER($A490)),NA(),IFERROR(1*INDEX(BBG_Data!$D$2:$D$4000,MATCH($A490,BBG_Data!$C$2:$C$4000,0)),NA()))</f>
        <v/>
      </c>
      <c r="D490" s="19">
        <f>IF(NOT(ISNUMBER($A490)),NA(),IFERROR(1*INDEX(BBG_Data!$F$2:$F$4000,MATCH($A490,BBG_Data!$E$2:$E$4000,0)),NA()))</f>
        <v/>
      </c>
      <c r="E490" s="19">
        <f>IF(NOT(ISNUMBER($A490)),NA(),IFERROR(1*INDEX(BBG_Data!$H$2:$H$4000,MATCH($A490,BBG_Data!$G$2:$G$4000,0)),NA()))</f>
        <v/>
      </c>
      <c r="F490" s="20">
        <f>IF(AND(ISNUMBER(B490),ISNUMBER(B489)),IF(B490=B489,"",(B490-B489)*100),"")</f>
        <v/>
      </c>
      <c r="G490" s="20">
        <f>IF(AND(ISNUMBER(C490),ISNUMBER(C489)),IF(C490=C489,"",(C490-C489)*100),"")</f>
        <v/>
      </c>
      <c r="H490" s="20">
        <f>IF(OR(NOT(ISNUMBER($A490)),ROW()-2&lt;Settings!$B$11),NA(),IF(COUNT(OFFSET(F490,1-Settings!$B$11,0,Settings!$B$11,1))&lt;ROUNDUP(Settings!$B$11*Settings!$B$26,0),NA(),STDEV(OFFSET(F490,1-Settings!$B$11,0,Settings!$B$11,1))*SQRT(Settings!$B$13)))</f>
        <v/>
      </c>
      <c r="I490" s="20">
        <f>IF(OR(NOT(ISNUMBER($A490)),ROW()-2&lt;Settings!$B$12),NA(),IF(COUNT(OFFSET(F490,1-Settings!$B$12,0,Settings!$B$12,1))&lt;ROUNDUP(Settings!$B$12*Settings!$B$26,0),NA(),STDEV(OFFSET(F490,1-Settings!$B$12,0,Settings!$B$12,1))*SQRT(Settings!$B$13)))</f>
        <v/>
      </c>
      <c r="J490" s="20">
        <f>IF(OR(NOT(ISNUMBER($A490)),ROW()-2&lt;Settings!$B$11),NA(),IF(COUNT(OFFSET(G490,1-Settings!$B$11,0,Settings!$B$11,1))&lt;ROUNDUP(Settings!$B$11*Settings!$B$26,0),NA(),STDEV(OFFSET(G490,1-Settings!$B$11,0,Settings!$B$11,1))*SQRT(Settings!$B$13)))</f>
        <v/>
      </c>
      <c r="K490" s="20">
        <f>IF(OR(NOT(ISNUMBER($A490)),ROW()-2&lt;Settings!$B$12),NA(),IF(COUNT(OFFSET(G490,1-Settings!$B$12,0,Settings!$B$12,1))&lt;ROUNDUP(Settings!$B$12*Settings!$B$26,0),NA(),STDEV(OFFSET(G490,1-Settings!$B$12,0,Settings!$B$12,1))*SQRT(Settings!$B$13)))</f>
        <v/>
      </c>
      <c r="L490" s="20">
        <f>IF(AND(ISNUMBER(D490),ISNUMBER(H490)),D490-H490,NA())</f>
        <v/>
      </c>
      <c r="M490" s="20">
        <f>IF(AND(ISNUMBER(E490),ISNUMBER(K490)),E490-K490,NA())</f>
        <v/>
      </c>
      <c r="N490" s="20">
        <f>IF(NOT(ISNUMBER($A490)),NA(),IF(COUNT(OFFSET(G490,1,0,Settings!$B$12,1))&lt;ROUNDUP(Settings!$B$12*Settings!$B$26,0),NA(),STDEV(OFFSET(G490,1,0,Settings!$B$12,1))*SQRT(Settings!$B$13)))</f>
        <v/>
      </c>
      <c r="O490" s="20">
        <f>IF(AND(ISNUMBER(E490),ISNUMBER(N490)),E490-N490,NA())</f>
        <v/>
      </c>
      <c r="P490" s="19">
        <f>IF(NOT(ISNUMBER($A490)),NA(),IF(OR($A490&lt;MIN(KW_TP!$A$2:$A$2501),$A490&gt;MAX(KW_TP!$A$2:$A$2501)),NA(),INDEX(KW_TP!$C$2:$C$2501,MATCH($A490,KW_TP!$A$2:$A$2501,1))))</f>
        <v/>
      </c>
      <c r="Q490" s="18">
        <f>IF(NOT(ISNUMBER($A490)),NA(),IFERROR(1*INDEX(BBG_Data!$J$2:$J$4000,MATCH($A490,BBG_Data!$I$2:$I$4000,0)),NA()))</f>
        <v/>
      </c>
      <c r="R490" s="18">
        <f>IF(NOT(ISNUMBER($A490)),NA(),IFERROR(1*INDEX(BBG_Data!$L$2:$L$4000,MATCH($A490,BBG_Data!$K$2:$K$4000,0)),NA()))</f>
        <v/>
      </c>
      <c r="S490" s="20">
        <f>IF(AND(ISNUMBER(B490),ISNUMBER(Q490),ISNUMBER(R490)),(B490-Q490-R490)*100,NA())</f>
        <v/>
      </c>
      <c r="T490" s="20">
        <f>IF(AND(ISNUMBER(B490),Settings!$B$17&gt;0),IF(ISNUMBER(INDEX($B:$B,Settings!$B$17)),(B490-INDEX($B:$B,Settings!$B$17))*100,NA()),NA())</f>
        <v/>
      </c>
      <c r="U490" s="20">
        <f>IF(AND(ISNUMBER(Q490),Settings!$B$17&gt;0),IF(ISNUMBER(INDEX($Q:$Q,Settings!$B$17)),(Q490-INDEX($Q:$Q,Settings!$B$17))*100,NA()),NA())</f>
        <v/>
      </c>
      <c r="V490" s="20">
        <f>IF(AND(ISNUMBER(R490),Settings!$B$17&gt;0),IF(ISNUMBER(INDEX($R:$R,Settings!$B$17)),(R490-INDEX($R:$R,Settings!$B$17))*100,NA()),NA())</f>
        <v/>
      </c>
      <c r="W490" s="20">
        <f>IF(AND(ISNUMBER(P490),Settings!$B$17&gt;0),IF(ISNUMBER(INDEX($P:$P,Settings!$B$17)),P490-INDEX($P:$P,Settings!$B$17),NA()),NA())</f>
        <v/>
      </c>
      <c r="X490" s="19">
        <f>IF(NOT(ISNUMBER($A490)),NA(),IF(OR($A490&lt;MIN(DKW_10Y!$A$2:$A$2918),$A490&gt;MAX(DKW_10Y!$A$2:$A$2918),Settings!$B$16&lt;MIN(DKW_10Y!$A$2:$A$2918)),NA(),(INDEX(DKW_10Y!$B$2:$B$2918,MATCH($A490,DKW_10Y!$A$2:$A$2918,1))-INDEX(DKW_10Y!$B$2:$B$2918,MATCH(Settings!$B$16,DKW_10Y!$A$2:$A$2918,1)))*100))</f>
        <v/>
      </c>
      <c r="Y490" s="19">
        <f>IF(NOT(ISNUMBER($A490)),NA(),IF(OR($A490&lt;MIN(DKW_10Y!$A$2:$A$2918),$A490&gt;MAX(DKW_10Y!$A$2:$A$2918),Settings!$B$16&lt;MIN(DKW_10Y!$A$2:$A$2918)),NA(),(INDEX(DKW_10Y!$C$2:$C$2918,MATCH($A490,DKW_10Y!$A$2:$A$2918,1))-INDEX(DKW_10Y!$C$2:$C$2918,MATCH(Settings!$B$16,DKW_10Y!$A$2:$A$2918,1)))*100))</f>
        <v/>
      </c>
      <c r="Z490" s="19">
        <f>IF(NOT(ISNUMBER($A490)),NA(),IF(OR($A490&lt;MIN(DKW_10Y!$A$2:$A$2918),$A490&gt;MAX(DKW_10Y!$A$2:$A$2918),Settings!$B$16&lt;MIN(DKW_10Y!$A$2:$A$2918)),NA(),(INDEX(DKW_10Y!$D$2:$D$2918,MATCH($A490,DKW_10Y!$A$2:$A$2918,1))-INDEX(DKW_10Y!$D$2:$D$2918,MATCH(Settings!$B$16,DKW_10Y!$A$2:$A$2918,1)))*100))</f>
        <v/>
      </c>
      <c r="AA490" s="19">
        <f>IF(NOT(ISNUMBER($A490)),NA(),IF(OR($A490&lt;MIN(DKW_10Y!$A$2:$A$2918),$A490&gt;MAX(DKW_10Y!$A$2:$A$2918),Settings!$B$16&lt;MIN(DKW_10Y!$A$2:$A$2918)),NA(),(INDEX(DKW_10Y!$E$2:$E$2918,MATCH($A490,DKW_10Y!$A$2:$A$2918,1))-INDEX(DKW_10Y!$E$2:$E$2918,MATCH(Settings!$B$16,DKW_10Y!$A$2:$A$2918,1)))*100))</f>
        <v/>
      </c>
      <c r="AB490" s="19">
        <f>IF(NOT(ISNUMBER($A490)),NA(),IF(OR($A490&lt;MIN(DKW_10Y!$A$2:$A$2918),$A490&gt;MAX(DKW_10Y!$A$2:$A$2918),Settings!$B$16&lt;MIN(DKW_10Y!$A$2:$A$2918)),NA(),(INDEX(DKW_10Y!$H$2:$H$2918,MATCH($A490,DKW_10Y!$A$2:$A$2918,1))-INDEX(DKW_10Y!$H$2:$H$2918,MATCH(Settings!$B$16,DKW_10Y!$A$2:$A$2918,1)))*100))</f>
        <v/>
      </c>
      <c r="AC490" s="18">
        <f>IF(NOT(ISNUMBER($A490)),NA(),IFERROR(1*INDEX(BBG_Data!$N$2:$N$4000,MATCH($A490,BBG_Data!$M$2:$M$4000,0)),NA()))</f>
        <v/>
      </c>
      <c r="AD490" s="18">
        <f>IF(NOT(ISNUMBER($A490)),NA(),IFERROR(1*INDEX(BBG_Data!$P$2:$P$4000,MATCH($A490,BBG_Data!$O$2:$O$4000,0)),NA()))</f>
        <v/>
      </c>
      <c r="AE490" s="18">
        <f>IF(NOT(ISNUMBER($A490)),NA(),IFERROR(1*INDEX(BBG_Data!$R$2:$R$4000,MATCH($A490,BBG_Data!$Q$2:$Q$4000,0)),NA()))</f>
        <v/>
      </c>
      <c r="AF490" s="20">
        <f>IF(AND(ISNUMBER(B490),ISNUMBER(AC490)),(B490-AC490)*100,NA())</f>
        <v/>
      </c>
      <c r="AG490" s="20">
        <f>IF(AND(ISNUMBER(AE490),ISNUMBER(AD490)),(AE490-AD490)*100,NA())</f>
        <v/>
      </c>
      <c r="AH490" s="19">
        <f>IF(NOT(ISNUMBER($A490)),NA(),IFERROR(INDEX(BBG_Data!$T$2:$T$4000,MATCH($A490,BBG_Data!$S$2:$S$4000,0))*Settings!$B$25,NA()))</f>
        <v/>
      </c>
      <c r="AI490" s="19">
        <f>IF(NOT(ISNUMBER($A490)),NA(),IFERROR(INDEX(BBG_Data!$V$2:$V$4000,MATCH($A490,BBG_Data!$U$2:$U$4000,0))*Settings!$B$25,NA()))</f>
        <v/>
      </c>
      <c r="AJ490" s="19">
        <f>IF(NOT(ISNUMBER($A490)),NA(),IFERROR(1*INDEX(BBG_Data!$X$2:$X$4000,MATCH($A490,BBG_Data!$W$2:$W$4000,0)),NA()))</f>
        <v/>
      </c>
      <c r="AK490" s="19">
        <f>IF(NOT(ISNUMBER($A490)),NA(),IFERROR(1*INDEX(BBG_Data!$Z$2:$Z$4000,MATCH($A490,BBG_Data!$Y$2:$Y$4000,0)),NA()))</f>
        <v/>
      </c>
    </row>
    <row r="491">
      <c r="A491" s="17">
        <f>IF(ISNUMBER(BBG_Data!A491),BBG_Data!A491,"")</f>
        <v/>
      </c>
      <c r="B491" s="18">
        <f>IF(AND(ISNUMBER($A491),ISNUMBER(BBG_Data!B491)),BBG_Data!B491,NA())</f>
        <v/>
      </c>
      <c r="C491" s="18">
        <f>IF(NOT(ISNUMBER($A491)),NA(),IFERROR(1*INDEX(BBG_Data!$D$2:$D$4000,MATCH($A491,BBG_Data!$C$2:$C$4000,0)),NA()))</f>
        <v/>
      </c>
      <c r="D491" s="19">
        <f>IF(NOT(ISNUMBER($A491)),NA(),IFERROR(1*INDEX(BBG_Data!$F$2:$F$4000,MATCH($A491,BBG_Data!$E$2:$E$4000,0)),NA()))</f>
        <v/>
      </c>
      <c r="E491" s="19">
        <f>IF(NOT(ISNUMBER($A491)),NA(),IFERROR(1*INDEX(BBG_Data!$H$2:$H$4000,MATCH($A491,BBG_Data!$G$2:$G$4000,0)),NA()))</f>
        <v/>
      </c>
      <c r="F491" s="20">
        <f>IF(AND(ISNUMBER(B491),ISNUMBER(B490)),IF(B491=B490,"",(B491-B490)*100),"")</f>
        <v/>
      </c>
      <c r="G491" s="20">
        <f>IF(AND(ISNUMBER(C491),ISNUMBER(C490)),IF(C491=C490,"",(C491-C490)*100),"")</f>
        <v/>
      </c>
      <c r="H491" s="20">
        <f>IF(OR(NOT(ISNUMBER($A491)),ROW()-2&lt;Settings!$B$11),NA(),IF(COUNT(OFFSET(F491,1-Settings!$B$11,0,Settings!$B$11,1))&lt;ROUNDUP(Settings!$B$11*Settings!$B$26,0),NA(),STDEV(OFFSET(F491,1-Settings!$B$11,0,Settings!$B$11,1))*SQRT(Settings!$B$13)))</f>
        <v/>
      </c>
      <c r="I491" s="20">
        <f>IF(OR(NOT(ISNUMBER($A491)),ROW()-2&lt;Settings!$B$12),NA(),IF(COUNT(OFFSET(F491,1-Settings!$B$12,0,Settings!$B$12,1))&lt;ROUNDUP(Settings!$B$12*Settings!$B$26,0),NA(),STDEV(OFFSET(F491,1-Settings!$B$12,0,Settings!$B$12,1))*SQRT(Settings!$B$13)))</f>
        <v/>
      </c>
      <c r="J491" s="20">
        <f>IF(OR(NOT(ISNUMBER($A491)),ROW()-2&lt;Settings!$B$11),NA(),IF(COUNT(OFFSET(G491,1-Settings!$B$11,0,Settings!$B$11,1))&lt;ROUNDUP(Settings!$B$11*Settings!$B$26,0),NA(),STDEV(OFFSET(G491,1-Settings!$B$11,0,Settings!$B$11,1))*SQRT(Settings!$B$13)))</f>
        <v/>
      </c>
      <c r="K491" s="20">
        <f>IF(OR(NOT(ISNUMBER($A491)),ROW()-2&lt;Settings!$B$12),NA(),IF(COUNT(OFFSET(G491,1-Settings!$B$12,0,Settings!$B$12,1))&lt;ROUNDUP(Settings!$B$12*Settings!$B$26,0),NA(),STDEV(OFFSET(G491,1-Settings!$B$12,0,Settings!$B$12,1))*SQRT(Settings!$B$13)))</f>
        <v/>
      </c>
      <c r="L491" s="20">
        <f>IF(AND(ISNUMBER(D491),ISNUMBER(H491)),D491-H491,NA())</f>
        <v/>
      </c>
      <c r="M491" s="20">
        <f>IF(AND(ISNUMBER(E491),ISNUMBER(K491)),E491-K491,NA())</f>
        <v/>
      </c>
      <c r="N491" s="20">
        <f>IF(NOT(ISNUMBER($A491)),NA(),IF(COUNT(OFFSET(G491,1,0,Settings!$B$12,1))&lt;ROUNDUP(Settings!$B$12*Settings!$B$26,0),NA(),STDEV(OFFSET(G491,1,0,Settings!$B$12,1))*SQRT(Settings!$B$13)))</f>
        <v/>
      </c>
      <c r="O491" s="20">
        <f>IF(AND(ISNUMBER(E491),ISNUMBER(N491)),E491-N491,NA())</f>
        <v/>
      </c>
      <c r="P491" s="19">
        <f>IF(NOT(ISNUMBER($A491)),NA(),IF(OR($A491&lt;MIN(KW_TP!$A$2:$A$2501),$A491&gt;MAX(KW_TP!$A$2:$A$2501)),NA(),INDEX(KW_TP!$C$2:$C$2501,MATCH($A491,KW_TP!$A$2:$A$2501,1))))</f>
        <v/>
      </c>
      <c r="Q491" s="18">
        <f>IF(NOT(ISNUMBER($A491)),NA(),IFERROR(1*INDEX(BBG_Data!$J$2:$J$4000,MATCH($A491,BBG_Data!$I$2:$I$4000,0)),NA()))</f>
        <v/>
      </c>
      <c r="R491" s="18">
        <f>IF(NOT(ISNUMBER($A491)),NA(),IFERROR(1*INDEX(BBG_Data!$L$2:$L$4000,MATCH($A491,BBG_Data!$K$2:$K$4000,0)),NA()))</f>
        <v/>
      </c>
      <c r="S491" s="20">
        <f>IF(AND(ISNUMBER(B491),ISNUMBER(Q491),ISNUMBER(R491)),(B491-Q491-R491)*100,NA())</f>
        <v/>
      </c>
      <c r="T491" s="20">
        <f>IF(AND(ISNUMBER(B491),Settings!$B$17&gt;0),IF(ISNUMBER(INDEX($B:$B,Settings!$B$17)),(B491-INDEX($B:$B,Settings!$B$17))*100,NA()),NA())</f>
        <v/>
      </c>
      <c r="U491" s="20">
        <f>IF(AND(ISNUMBER(Q491),Settings!$B$17&gt;0),IF(ISNUMBER(INDEX($Q:$Q,Settings!$B$17)),(Q491-INDEX($Q:$Q,Settings!$B$17))*100,NA()),NA())</f>
        <v/>
      </c>
      <c r="V491" s="20">
        <f>IF(AND(ISNUMBER(R491),Settings!$B$17&gt;0),IF(ISNUMBER(INDEX($R:$R,Settings!$B$17)),(R491-INDEX($R:$R,Settings!$B$17))*100,NA()),NA())</f>
        <v/>
      </c>
      <c r="W491" s="20">
        <f>IF(AND(ISNUMBER(P491),Settings!$B$17&gt;0),IF(ISNUMBER(INDEX($P:$P,Settings!$B$17)),P491-INDEX($P:$P,Settings!$B$17),NA()),NA())</f>
        <v/>
      </c>
      <c r="X491" s="19">
        <f>IF(NOT(ISNUMBER($A491)),NA(),IF(OR($A491&lt;MIN(DKW_10Y!$A$2:$A$2918),$A491&gt;MAX(DKW_10Y!$A$2:$A$2918),Settings!$B$16&lt;MIN(DKW_10Y!$A$2:$A$2918)),NA(),(INDEX(DKW_10Y!$B$2:$B$2918,MATCH($A491,DKW_10Y!$A$2:$A$2918,1))-INDEX(DKW_10Y!$B$2:$B$2918,MATCH(Settings!$B$16,DKW_10Y!$A$2:$A$2918,1)))*100))</f>
        <v/>
      </c>
      <c r="Y491" s="19">
        <f>IF(NOT(ISNUMBER($A491)),NA(),IF(OR($A491&lt;MIN(DKW_10Y!$A$2:$A$2918),$A491&gt;MAX(DKW_10Y!$A$2:$A$2918),Settings!$B$16&lt;MIN(DKW_10Y!$A$2:$A$2918)),NA(),(INDEX(DKW_10Y!$C$2:$C$2918,MATCH($A491,DKW_10Y!$A$2:$A$2918,1))-INDEX(DKW_10Y!$C$2:$C$2918,MATCH(Settings!$B$16,DKW_10Y!$A$2:$A$2918,1)))*100))</f>
        <v/>
      </c>
      <c r="Z491" s="19">
        <f>IF(NOT(ISNUMBER($A491)),NA(),IF(OR($A491&lt;MIN(DKW_10Y!$A$2:$A$2918),$A491&gt;MAX(DKW_10Y!$A$2:$A$2918),Settings!$B$16&lt;MIN(DKW_10Y!$A$2:$A$2918)),NA(),(INDEX(DKW_10Y!$D$2:$D$2918,MATCH($A491,DKW_10Y!$A$2:$A$2918,1))-INDEX(DKW_10Y!$D$2:$D$2918,MATCH(Settings!$B$16,DKW_10Y!$A$2:$A$2918,1)))*100))</f>
        <v/>
      </c>
      <c r="AA491" s="19">
        <f>IF(NOT(ISNUMBER($A491)),NA(),IF(OR($A491&lt;MIN(DKW_10Y!$A$2:$A$2918),$A491&gt;MAX(DKW_10Y!$A$2:$A$2918),Settings!$B$16&lt;MIN(DKW_10Y!$A$2:$A$2918)),NA(),(INDEX(DKW_10Y!$E$2:$E$2918,MATCH($A491,DKW_10Y!$A$2:$A$2918,1))-INDEX(DKW_10Y!$E$2:$E$2918,MATCH(Settings!$B$16,DKW_10Y!$A$2:$A$2918,1)))*100))</f>
        <v/>
      </c>
      <c r="AB491" s="19">
        <f>IF(NOT(ISNUMBER($A491)),NA(),IF(OR($A491&lt;MIN(DKW_10Y!$A$2:$A$2918),$A491&gt;MAX(DKW_10Y!$A$2:$A$2918),Settings!$B$16&lt;MIN(DKW_10Y!$A$2:$A$2918)),NA(),(INDEX(DKW_10Y!$H$2:$H$2918,MATCH($A491,DKW_10Y!$A$2:$A$2918,1))-INDEX(DKW_10Y!$H$2:$H$2918,MATCH(Settings!$B$16,DKW_10Y!$A$2:$A$2918,1)))*100))</f>
        <v/>
      </c>
      <c r="AC491" s="18">
        <f>IF(NOT(ISNUMBER($A491)),NA(),IFERROR(1*INDEX(BBG_Data!$N$2:$N$4000,MATCH($A491,BBG_Data!$M$2:$M$4000,0)),NA()))</f>
        <v/>
      </c>
      <c r="AD491" s="18">
        <f>IF(NOT(ISNUMBER($A491)),NA(),IFERROR(1*INDEX(BBG_Data!$P$2:$P$4000,MATCH($A491,BBG_Data!$O$2:$O$4000,0)),NA()))</f>
        <v/>
      </c>
      <c r="AE491" s="18">
        <f>IF(NOT(ISNUMBER($A491)),NA(),IFERROR(1*INDEX(BBG_Data!$R$2:$R$4000,MATCH($A491,BBG_Data!$Q$2:$Q$4000,0)),NA()))</f>
        <v/>
      </c>
      <c r="AF491" s="20">
        <f>IF(AND(ISNUMBER(B491),ISNUMBER(AC491)),(B491-AC491)*100,NA())</f>
        <v/>
      </c>
      <c r="AG491" s="20">
        <f>IF(AND(ISNUMBER(AE491),ISNUMBER(AD491)),(AE491-AD491)*100,NA())</f>
        <v/>
      </c>
      <c r="AH491" s="19">
        <f>IF(NOT(ISNUMBER($A491)),NA(),IFERROR(INDEX(BBG_Data!$T$2:$T$4000,MATCH($A491,BBG_Data!$S$2:$S$4000,0))*Settings!$B$25,NA()))</f>
        <v/>
      </c>
      <c r="AI491" s="19">
        <f>IF(NOT(ISNUMBER($A491)),NA(),IFERROR(INDEX(BBG_Data!$V$2:$V$4000,MATCH($A491,BBG_Data!$U$2:$U$4000,0))*Settings!$B$25,NA()))</f>
        <v/>
      </c>
      <c r="AJ491" s="19">
        <f>IF(NOT(ISNUMBER($A491)),NA(),IFERROR(1*INDEX(BBG_Data!$X$2:$X$4000,MATCH($A491,BBG_Data!$W$2:$W$4000,0)),NA()))</f>
        <v/>
      </c>
      <c r="AK491" s="19">
        <f>IF(NOT(ISNUMBER($A491)),NA(),IFERROR(1*INDEX(BBG_Data!$Z$2:$Z$4000,MATCH($A491,BBG_Data!$Y$2:$Y$4000,0)),NA()))</f>
        <v/>
      </c>
    </row>
    <row r="492">
      <c r="A492" s="17">
        <f>IF(ISNUMBER(BBG_Data!A492),BBG_Data!A492,"")</f>
        <v/>
      </c>
      <c r="B492" s="18">
        <f>IF(AND(ISNUMBER($A492),ISNUMBER(BBG_Data!B492)),BBG_Data!B492,NA())</f>
        <v/>
      </c>
      <c r="C492" s="18">
        <f>IF(NOT(ISNUMBER($A492)),NA(),IFERROR(1*INDEX(BBG_Data!$D$2:$D$4000,MATCH($A492,BBG_Data!$C$2:$C$4000,0)),NA()))</f>
        <v/>
      </c>
      <c r="D492" s="19">
        <f>IF(NOT(ISNUMBER($A492)),NA(),IFERROR(1*INDEX(BBG_Data!$F$2:$F$4000,MATCH($A492,BBG_Data!$E$2:$E$4000,0)),NA()))</f>
        <v/>
      </c>
      <c r="E492" s="19">
        <f>IF(NOT(ISNUMBER($A492)),NA(),IFERROR(1*INDEX(BBG_Data!$H$2:$H$4000,MATCH($A492,BBG_Data!$G$2:$G$4000,0)),NA()))</f>
        <v/>
      </c>
      <c r="F492" s="20">
        <f>IF(AND(ISNUMBER(B492),ISNUMBER(B491)),IF(B492=B491,"",(B492-B491)*100),"")</f>
        <v/>
      </c>
      <c r="G492" s="20">
        <f>IF(AND(ISNUMBER(C492),ISNUMBER(C491)),IF(C492=C491,"",(C492-C491)*100),"")</f>
        <v/>
      </c>
      <c r="H492" s="20">
        <f>IF(OR(NOT(ISNUMBER($A492)),ROW()-2&lt;Settings!$B$11),NA(),IF(COUNT(OFFSET(F492,1-Settings!$B$11,0,Settings!$B$11,1))&lt;ROUNDUP(Settings!$B$11*Settings!$B$26,0),NA(),STDEV(OFFSET(F492,1-Settings!$B$11,0,Settings!$B$11,1))*SQRT(Settings!$B$13)))</f>
        <v/>
      </c>
      <c r="I492" s="20">
        <f>IF(OR(NOT(ISNUMBER($A492)),ROW()-2&lt;Settings!$B$12),NA(),IF(COUNT(OFFSET(F492,1-Settings!$B$12,0,Settings!$B$12,1))&lt;ROUNDUP(Settings!$B$12*Settings!$B$26,0),NA(),STDEV(OFFSET(F492,1-Settings!$B$12,0,Settings!$B$12,1))*SQRT(Settings!$B$13)))</f>
        <v/>
      </c>
      <c r="J492" s="20">
        <f>IF(OR(NOT(ISNUMBER($A492)),ROW()-2&lt;Settings!$B$11),NA(),IF(COUNT(OFFSET(G492,1-Settings!$B$11,0,Settings!$B$11,1))&lt;ROUNDUP(Settings!$B$11*Settings!$B$26,0),NA(),STDEV(OFFSET(G492,1-Settings!$B$11,0,Settings!$B$11,1))*SQRT(Settings!$B$13)))</f>
        <v/>
      </c>
      <c r="K492" s="20">
        <f>IF(OR(NOT(ISNUMBER($A492)),ROW()-2&lt;Settings!$B$12),NA(),IF(COUNT(OFFSET(G492,1-Settings!$B$12,0,Settings!$B$12,1))&lt;ROUNDUP(Settings!$B$12*Settings!$B$26,0),NA(),STDEV(OFFSET(G492,1-Settings!$B$12,0,Settings!$B$12,1))*SQRT(Settings!$B$13)))</f>
        <v/>
      </c>
      <c r="L492" s="20">
        <f>IF(AND(ISNUMBER(D492),ISNUMBER(H492)),D492-H492,NA())</f>
        <v/>
      </c>
      <c r="M492" s="20">
        <f>IF(AND(ISNUMBER(E492),ISNUMBER(K492)),E492-K492,NA())</f>
        <v/>
      </c>
      <c r="N492" s="20">
        <f>IF(NOT(ISNUMBER($A492)),NA(),IF(COUNT(OFFSET(G492,1,0,Settings!$B$12,1))&lt;ROUNDUP(Settings!$B$12*Settings!$B$26,0),NA(),STDEV(OFFSET(G492,1,0,Settings!$B$12,1))*SQRT(Settings!$B$13)))</f>
        <v/>
      </c>
      <c r="O492" s="20">
        <f>IF(AND(ISNUMBER(E492),ISNUMBER(N492)),E492-N492,NA())</f>
        <v/>
      </c>
      <c r="P492" s="19">
        <f>IF(NOT(ISNUMBER($A492)),NA(),IF(OR($A492&lt;MIN(KW_TP!$A$2:$A$2501),$A492&gt;MAX(KW_TP!$A$2:$A$2501)),NA(),INDEX(KW_TP!$C$2:$C$2501,MATCH($A492,KW_TP!$A$2:$A$2501,1))))</f>
        <v/>
      </c>
      <c r="Q492" s="18">
        <f>IF(NOT(ISNUMBER($A492)),NA(),IFERROR(1*INDEX(BBG_Data!$J$2:$J$4000,MATCH($A492,BBG_Data!$I$2:$I$4000,0)),NA()))</f>
        <v/>
      </c>
      <c r="R492" s="18">
        <f>IF(NOT(ISNUMBER($A492)),NA(),IFERROR(1*INDEX(BBG_Data!$L$2:$L$4000,MATCH($A492,BBG_Data!$K$2:$K$4000,0)),NA()))</f>
        <v/>
      </c>
      <c r="S492" s="20">
        <f>IF(AND(ISNUMBER(B492),ISNUMBER(Q492),ISNUMBER(R492)),(B492-Q492-R492)*100,NA())</f>
        <v/>
      </c>
      <c r="T492" s="20">
        <f>IF(AND(ISNUMBER(B492),Settings!$B$17&gt;0),IF(ISNUMBER(INDEX($B:$B,Settings!$B$17)),(B492-INDEX($B:$B,Settings!$B$17))*100,NA()),NA())</f>
        <v/>
      </c>
      <c r="U492" s="20">
        <f>IF(AND(ISNUMBER(Q492),Settings!$B$17&gt;0),IF(ISNUMBER(INDEX($Q:$Q,Settings!$B$17)),(Q492-INDEX($Q:$Q,Settings!$B$17))*100,NA()),NA())</f>
        <v/>
      </c>
      <c r="V492" s="20">
        <f>IF(AND(ISNUMBER(R492),Settings!$B$17&gt;0),IF(ISNUMBER(INDEX($R:$R,Settings!$B$17)),(R492-INDEX($R:$R,Settings!$B$17))*100,NA()),NA())</f>
        <v/>
      </c>
      <c r="W492" s="20">
        <f>IF(AND(ISNUMBER(P492),Settings!$B$17&gt;0),IF(ISNUMBER(INDEX($P:$P,Settings!$B$17)),P492-INDEX($P:$P,Settings!$B$17),NA()),NA())</f>
        <v/>
      </c>
      <c r="X492" s="19">
        <f>IF(NOT(ISNUMBER($A492)),NA(),IF(OR($A492&lt;MIN(DKW_10Y!$A$2:$A$2918),$A492&gt;MAX(DKW_10Y!$A$2:$A$2918),Settings!$B$16&lt;MIN(DKW_10Y!$A$2:$A$2918)),NA(),(INDEX(DKW_10Y!$B$2:$B$2918,MATCH($A492,DKW_10Y!$A$2:$A$2918,1))-INDEX(DKW_10Y!$B$2:$B$2918,MATCH(Settings!$B$16,DKW_10Y!$A$2:$A$2918,1)))*100))</f>
        <v/>
      </c>
      <c r="Y492" s="19">
        <f>IF(NOT(ISNUMBER($A492)),NA(),IF(OR($A492&lt;MIN(DKW_10Y!$A$2:$A$2918),$A492&gt;MAX(DKW_10Y!$A$2:$A$2918),Settings!$B$16&lt;MIN(DKW_10Y!$A$2:$A$2918)),NA(),(INDEX(DKW_10Y!$C$2:$C$2918,MATCH($A492,DKW_10Y!$A$2:$A$2918,1))-INDEX(DKW_10Y!$C$2:$C$2918,MATCH(Settings!$B$16,DKW_10Y!$A$2:$A$2918,1)))*100))</f>
        <v/>
      </c>
      <c r="Z492" s="19">
        <f>IF(NOT(ISNUMBER($A492)),NA(),IF(OR($A492&lt;MIN(DKW_10Y!$A$2:$A$2918),$A492&gt;MAX(DKW_10Y!$A$2:$A$2918),Settings!$B$16&lt;MIN(DKW_10Y!$A$2:$A$2918)),NA(),(INDEX(DKW_10Y!$D$2:$D$2918,MATCH($A492,DKW_10Y!$A$2:$A$2918,1))-INDEX(DKW_10Y!$D$2:$D$2918,MATCH(Settings!$B$16,DKW_10Y!$A$2:$A$2918,1)))*100))</f>
        <v/>
      </c>
      <c r="AA492" s="19">
        <f>IF(NOT(ISNUMBER($A492)),NA(),IF(OR($A492&lt;MIN(DKW_10Y!$A$2:$A$2918),$A492&gt;MAX(DKW_10Y!$A$2:$A$2918),Settings!$B$16&lt;MIN(DKW_10Y!$A$2:$A$2918)),NA(),(INDEX(DKW_10Y!$E$2:$E$2918,MATCH($A492,DKW_10Y!$A$2:$A$2918,1))-INDEX(DKW_10Y!$E$2:$E$2918,MATCH(Settings!$B$16,DKW_10Y!$A$2:$A$2918,1)))*100))</f>
        <v/>
      </c>
      <c r="AB492" s="19">
        <f>IF(NOT(ISNUMBER($A492)),NA(),IF(OR($A492&lt;MIN(DKW_10Y!$A$2:$A$2918),$A492&gt;MAX(DKW_10Y!$A$2:$A$2918),Settings!$B$16&lt;MIN(DKW_10Y!$A$2:$A$2918)),NA(),(INDEX(DKW_10Y!$H$2:$H$2918,MATCH($A492,DKW_10Y!$A$2:$A$2918,1))-INDEX(DKW_10Y!$H$2:$H$2918,MATCH(Settings!$B$16,DKW_10Y!$A$2:$A$2918,1)))*100))</f>
        <v/>
      </c>
      <c r="AC492" s="18">
        <f>IF(NOT(ISNUMBER($A492)),NA(),IFERROR(1*INDEX(BBG_Data!$N$2:$N$4000,MATCH($A492,BBG_Data!$M$2:$M$4000,0)),NA()))</f>
        <v/>
      </c>
      <c r="AD492" s="18">
        <f>IF(NOT(ISNUMBER($A492)),NA(),IFERROR(1*INDEX(BBG_Data!$P$2:$P$4000,MATCH($A492,BBG_Data!$O$2:$O$4000,0)),NA()))</f>
        <v/>
      </c>
      <c r="AE492" s="18">
        <f>IF(NOT(ISNUMBER($A492)),NA(),IFERROR(1*INDEX(BBG_Data!$R$2:$R$4000,MATCH($A492,BBG_Data!$Q$2:$Q$4000,0)),NA()))</f>
        <v/>
      </c>
      <c r="AF492" s="20">
        <f>IF(AND(ISNUMBER(B492),ISNUMBER(AC492)),(B492-AC492)*100,NA())</f>
        <v/>
      </c>
      <c r="AG492" s="20">
        <f>IF(AND(ISNUMBER(AE492),ISNUMBER(AD492)),(AE492-AD492)*100,NA())</f>
        <v/>
      </c>
      <c r="AH492" s="19">
        <f>IF(NOT(ISNUMBER($A492)),NA(),IFERROR(INDEX(BBG_Data!$T$2:$T$4000,MATCH($A492,BBG_Data!$S$2:$S$4000,0))*Settings!$B$25,NA()))</f>
        <v/>
      </c>
      <c r="AI492" s="19">
        <f>IF(NOT(ISNUMBER($A492)),NA(),IFERROR(INDEX(BBG_Data!$V$2:$V$4000,MATCH($A492,BBG_Data!$U$2:$U$4000,0))*Settings!$B$25,NA()))</f>
        <v/>
      </c>
      <c r="AJ492" s="19">
        <f>IF(NOT(ISNUMBER($A492)),NA(),IFERROR(1*INDEX(BBG_Data!$X$2:$X$4000,MATCH($A492,BBG_Data!$W$2:$W$4000,0)),NA()))</f>
        <v/>
      </c>
      <c r="AK492" s="19">
        <f>IF(NOT(ISNUMBER($A492)),NA(),IFERROR(1*INDEX(BBG_Data!$Z$2:$Z$4000,MATCH($A492,BBG_Data!$Y$2:$Y$4000,0)),NA()))</f>
        <v/>
      </c>
    </row>
    <row r="493">
      <c r="A493" s="17">
        <f>IF(ISNUMBER(BBG_Data!A493),BBG_Data!A493,"")</f>
        <v/>
      </c>
      <c r="B493" s="18">
        <f>IF(AND(ISNUMBER($A493),ISNUMBER(BBG_Data!B493)),BBG_Data!B493,NA())</f>
        <v/>
      </c>
      <c r="C493" s="18">
        <f>IF(NOT(ISNUMBER($A493)),NA(),IFERROR(1*INDEX(BBG_Data!$D$2:$D$4000,MATCH($A493,BBG_Data!$C$2:$C$4000,0)),NA()))</f>
        <v/>
      </c>
      <c r="D493" s="19">
        <f>IF(NOT(ISNUMBER($A493)),NA(),IFERROR(1*INDEX(BBG_Data!$F$2:$F$4000,MATCH($A493,BBG_Data!$E$2:$E$4000,0)),NA()))</f>
        <v/>
      </c>
      <c r="E493" s="19">
        <f>IF(NOT(ISNUMBER($A493)),NA(),IFERROR(1*INDEX(BBG_Data!$H$2:$H$4000,MATCH($A493,BBG_Data!$G$2:$G$4000,0)),NA()))</f>
        <v/>
      </c>
      <c r="F493" s="20">
        <f>IF(AND(ISNUMBER(B493),ISNUMBER(B492)),IF(B493=B492,"",(B493-B492)*100),"")</f>
        <v/>
      </c>
      <c r="G493" s="20">
        <f>IF(AND(ISNUMBER(C493),ISNUMBER(C492)),IF(C493=C492,"",(C493-C492)*100),"")</f>
        <v/>
      </c>
      <c r="H493" s="20">
        <f>IF(OR(NOT(ISNUMBER($A493)),ROW()-2&lt;Settings!$B$11),NA(),IF(COUNT(OFFSET(F493,1-Settings!$B$11,0,Settings!$B$11,1))&lt;ROUNDUP(Settings!$B$11*Settings!$B$26,0),NA(),STDEV(OFFSET(F493,1-Settings!$B$11,0,Settings!$B$11,1))*SQRT(Settings!$B$13)))</f>
        <v/>
      </c>
      <c r="I493" s="20">
        <f>IF(OR(NOT(ISNUMBER($A493)),ROW()-2&lt;Settings!$B$12),NA(),IF(COUNT(OFFSET(F493,1-Settings!$B$12,0,Settings!$B$12,1))&lt;ROUNDUP(Settings!$B$12*Settings!$B$26,0),NA(),STDEV(OFFSET(F493,1-Settings!$B$12,0,Settings!$B$12,1))*SQRT(Settings!$B$13)))</f>
        <v/>
      </c>
      <c r="J493" s="20">
        <f>IF(OR(NOT(ISNUMBER($A493)),ROW()-2&lt;Settings!$B$11),NA(),IF(COUNT(OFFSET(G493,1-Settings!$B$11,0,Settings!$B$11,1))&lt;ROUNDUP(Settings!$B$11*Settings!$B$26,0),NA(),STDEV(OFFSET(G493,1-Settings!$B$11,0,Settings!$B$11,1))*SQRT(Settings!$B$13)))</f>
        <v/>
      </c>
      <c r="K493" s="20">
        <f>IF(OR(NOT(ISNUMBER($A493)),ROW()-2&lt;Settings!$B$12),NA(),IF(COUNT(OFFSET(G493,1-Settings!$B$12,0,Settings!$B$12,1))&lt;ROUNDUP(Settings!$B$12*Settings!$B$26,0),NA(),STDEV(OFFSET(G493,1-Settings!$B$12,0,Settings!$B$12,1))*SQRT(Settings!$B$13)))</f>
        <v/>
      </c>
      <c r="L493" s="20">
        <f>IF(AND(ISNUMBER(D493),ISNUMBER(H493)),D493-H493,NA())</f>
        <v/>
      </c>
      <c r="M493" s="20">
        <f>IF(AND(ISNUMBER(E493),ISNUMBER(K493)),E493-K493,NA())</f>
        <v/>
      </c>
      <c r="N493" s="20">
        <f>IF(NOT(ISNUMBER($A493)),NA(),IF(COUNT(OFFSET(G493,1,0,Settings!$B$12,1))&lt;ROUNDUP(Settings!$B$12*Settings!$B$26,0),NA(),STDEV(OFFSET(G493,1,0,Settings!$B$12,1))*SQRT(Settings!$B$13)))</f>
        <v/>
      </c>
      <c r="O493" s="20">
        <f>IF(AND(ISNUMBER(E493),ISNUMBER(N493)),E493-N493,NA())</f>
        <v/>
      </c>
      <c r="P493" s="19">
        <f>IF(NOT(ISNUMBER($A493)),NA(),IF(OR($A493&lt;MIN(KW_TP!$A$2:$A$2501),$A493&gt;MAX(KW_TP!$A$2:$A$2501)),NA(),INDEX(KW_TP!$C$2:$C$2501,MATCH($A493,KW_TP!$A$2:$A$2501,1))))</f>
        <v/>
      </c>
      <c r="Q493" s="18">
        <f>IF(NOT(ISNUMBER($A493)),NA(),IFERROR(1*INDEX(BBG_Data!$J$2:$J$4000,MATCH($A493,BBG_Data!$I$2:$I$4000,0)),NA()))</f>
        <v/>
      </c>
      <c r="R493" s="18">
        <f>IF(NOT(ISNUMBER($A493)),NA(),IFERROR(1*INDEX(BBG_Data!$L$2:$L$4000,MATCH($A493,BBG_Data!$K$2:$K$4000,0)),NA()))</f>
        <v/>
      </c>
      <c r="S493" s="20">
        <f>IF(AND(ISNUMBER(B493),ISNUMBER(Q493),ISNUMBER(R493)),(B493-Q493-R493)*100,NA())</f>
        <v/>
      </c>
      <c r="T493" s="20">
        <f>IF(AND(ISNUMBER(B493),Settings!$B$17&gt;0),IF(ISNUMBER(INDEX($B:$B,Settings!$B$17)),(B493-INDEX($B:$B,Settings!$B$17))*100,NA()),NA())</f>
        <v/>
      </c>
      <c r="U493" s="20">
        <f>IF(AND(ISNUMBER(Q493),Settings!$B$17&gt;0),IF(ISNUMBER(INDEX($Q:$Q,Settings!$B$17)),(Q493-INDEX($Q:$Q,Settings!$B$17))*100,NA()),NA())</f>
        <v/>
      </c>
      <c r="V493" s="20">
        <f>IF(AND(ISNUMBER(R493),Settings!$B$17&gt;0),IF(ISNUMBER(INDEX($R:$R,Settings!$B$17)),(R493-INDEX($R:$R,Settings!$B$17))*100,NA()),NA())</f>
        <v/>
      </c>
      <c r="W493" s="20">
        <f>IF(AND(ISNUMBER(P493),Settings!$B$17&gt;0),IF(ISNUMBER(INDEX($P:$P,Settings!$B$17)),P493-INDEX($P:$P,Settings!$B$17),NA()),NA())</f>
        <v/>
      </c>
      <c r="X493" s="19">
        <f>IF(NOT(ISNUMBER($A493)),NA(),IF(OR($A493&lt;MIN(DKW_10Y!$A$2:$A$2918),$A493&gt;MAX(DKW_10Y!$A$2:$A$2918),Settings!$B$16&lt;MIN(DKW_10Y!$A$2:$A$2918)),NA(),(INDEX(DKW_10Y!$B$2:$B$2918,MATCH($A493,DKW_10Y!$A$2:$A$2918,1))-INDEX(DKW_10Y!$B$2:$B$2918,MATCH(Settings!$B$16,DKW_10Y!$A$2:$A$2918,1)))*100))</f>
        <v/>
      </c>
      <c r="Y493" s="19">
        <f>IF(NOT(ISNUMBER($A493)),NA(),IF(OR($A493&lt;MIN(DKW_10Y!$A$2:$A$2918),$A493&gt;MAX(DKW_10Y!$A$2:$A$2918),Settings!$B$16&lt;MIN(DKW_10Y!$A$2:$A$2918)),NA(),(INDEX(DKW_10Y!$C$2:$C$2918,MATCH($A493,DKW_10Y!$A$2:$A$2918,1))-INDEX(DKW_10Y!$C$2:$C$2918,MATCH(Settings!$B$16,DKW_10Y!$A$2:$A$2918,1)))*100))</f>
        <v/>
      </c>
      <c r="Z493" s="19">
        <f>IF(NOT(ISNUMBER($A493)),NA(),IF(OR($A493&lt;MIN(DKW_10Y!$A$2:$A$2918),$A493&gt;MAX(DKW_10Y!$A$2:$A$2918),Settings!$B$16&lt;MIN(DKW_10Y!$A$2:$A$2918)),NA(),(INDEX(DKW_10Y!$D$2:$D$2918,MATCH($A493,DKW_10Y!$A$2:$A$2918,1))-INDEX(DKW_10Y!$D$2:$D$2918,MATCH(Settings!$B$16,DKW_10Y!$A$2:$A$2918,1)))*100))</f>
        <v/>
      </c>
      <c r="AA493" s="19">
        <f>IF(NOT(ISNUMBER($A493)),NA(),IF(OR($A493&lt;MIN(DKW_10Y!$A$2:$A$2918),$A493&gt;MAX(DKW_10Y!$A$2:$A$2918),Settings!$B$16&lt;MIN(DKW_10Y!$A$2:$A$2918)),NA(),(INDEX(DKW_10Y!$E$2:$E$2918,MATCH($A493,DKW_10Y!$A$2:$A$2918,1))-INDEX(DKW_10Y!$E$2:$E$2918,MATCH(Settings!$B$16,DKW_10Y!$A$2:$A$2918,1)))*100))</f>
        <v/>
      </c>
      <c r="AB493" s="19">
        <f>IF(NOT(ISNUMBER($A493)),NA(),IF(OR($A493&lt;MIN(DKW_10Y!$A$2:$A$2918),$A493&gt;MAX(DKW_10Y!$A$2:$A$2918),Settings!$B$16&lt;MIN(DKW_10Y!$A$2:$A$2918)),NA(),(INDEX(DKW_10Y!$H$2:$H$2918,MATCH($A493,DKW_10Y!$A$2:$A$2918,1))-INDEX(DKW_10Y!$H$2:$H$2918,MATCH(Settings!$B$16,DKW_10Y!$A$2:$A$2918,1)))*100))</f>
        <v/>
      </c>
      <c r="AC493" s="18">
        <f>IF(NOT(ISNUMBER($A493)),NA(),IFERROR(1*INDEX(BBG_Data!$N$2:$N$4000,MATCH($A493,BBG_Data!$M$2:$M$4000,0)),NA()))</f>
        <v/>
      </c>
      <c r="AD493" s="18">
        <f>IF(NOT(ISNUMBER($A493)),NA(),IFERROR(1*INDEX(BBG_Data!$P$2:$P$4000,MATCH($A493,BBG_Data!$O$2:$O$4000,0)),NA()))</f>
        <v/>
      </c>
      <c r="AE493" s="18">
        <f>IF(NOT(ISNUMBER($A493)),NA(),IFERROR(1*INDEX(BBG_Data!$R$2:$R$4000,MATCH($A493,BBG_Data!$Q$2:$Q$4000,0)),NA()))</f>
        <v/>
      </c>
      <c r="AF493" s="20">
        <f>IF(AND(ISNUMBER(B493),ISNUMBER(AC493)),(B493-AC493)*100,NA())</f>
        <v/>
      </c>
      <c r="AG493" s="20">
        <f>IF(AND(ISNUMBER(AE493),ISNUMBER(AD493)),(AE493-AD493)*100,NA())</f>
        <v/>
      </c>
      <c r="AH493" s="19">
        <f>IF(NOT(ISNUMBER($A493)),NA(),IFERROR(INDEX(BBG_Data!$T$2:$T$4000,MATCH($A493,BBG_Data!$S$2:$S$4000,0))*Settings!$B$25,NA()))</f>
        <v/>
      </c>
      <c r="AI493" s="19">
        <f>IF(NOT(ISNUMBER($A493)),NA(),IFERROR(INDEX(BBG_Data!$V$2:$V$4000,MATCH($A493,BBG_Data!$U$2:$U$4000,0))*Settings!$B$25,NA()))</f>
        <v/>
      </c>
      <c r="AJ493" s="19">
        <f>IF(NOT(ISNUMBER($A493)),NA(),IFERROR(1*INDEX(BBG_Data!$X$2:$X$4000,MATCH($A493,BBG_Data!$W$2:$W$4000,0)),NA()))</f>
        <v/>
      </c>
      <c r="AK493" s="19">
        <f>IF(NOT(ISNUMBER($A493)),NA(),IFERROR(1*INDEX(BBG_Data!$Z$2:$Z$4000,MATCH($A493,BBG_Data!$Y$2:$Y$4000,0)),NA()))</f>
        <v/>
      </c>
    </row>
    <row r="494">
      <c r="A494" s="17">
        <f>IF(ISNUMBER(BBG_Data!A494),BBG_Data!A494,"")</f>
        <v/>
      </c>
      <c r="B494" s="18">
        <f>IF(AND(ISNUMBER($A494),ISNUMBER(BBG_Data!B494)),BBG_Data!B494,NA())</f>
        <v/>
      </c>
      <c r="C494" s="18">
        <f>IF(NOT(ISNUMBER($A494)),NA(),IFERROR(1*INDEX(BBG_Data!$D$2:$D$4000,MATCH($A494,BBG_Data!$C$2:$C$4000,0)),NA()))</f>
        <v/>
      </c>
      <c r="D494" s="19">
        <f>IF(NOT(ISNUMBER($A494)),NA(),IFERROR(1*INDEX(BBG_Data!$F$2:$F$4000,MATCH($A494,BBG_Data!$E$2:$E$4000,0)),NA()))</f>
        <v/>
      </c>
      <c r="E494" s="19">
        <f>IF(NOT(ISNUMBER($A494)),NA(),IFERROR(1*INDEX(BBG_Data!$H$2:$H$4000,MATCH($A494,BBG_Data!$G$2:$G$4000,0)),NA()))</f>
        <v/>
      </c>
      <c r="F494" s="20">
        <f>IF(AND(ISNUMBER(B494),ISNUMBER(B493)),IF(B494=B493,"",(B494-B493)*100),"")</f>
        <v/>
      </c>
      <c r="G494" s="20">
        <f>IF(AND(ISNUMBER(C494),ISNUMBER(C493)),IF(C494=C493,"",(C494-C493)*100),"")</f>
        <v/>
      </c>
      <c r="H494" s="20">
        <f>IF(OR(NOT(ISNUMBER($A494)),ROW()-2&lt;Settings!$B$11),NA(),IF(COUNT(OFFSET(F494,1-Settings!$B$11,0,Settings!$B$11,1))&lt;ROUNDUP(Settings!$B$11*Settings!$B$26,0),NA(),STDEV(OFFSET(F494,1-Settings!$B$11,0,Settings!$B$11,1))*SQRT(Settings!$B$13)))</f>
        <v/>
      </c>
      <c r="I494" s="20">
        <f>IF(OR(NOT(ISNUMBER($A494)),ROW()-2&lt;Settings!$B$12),NA(),IF(COUNT(OFFSET(F494,1-Settings!$B$12,0,Settings!$B$12,1))&lt;ROUNDUP(Settings!$B$12*Settings!$B$26,0),NA(),STDEV(OFFSET(F494,1-Settings!$B$12,0,Settings!$B$12,1))*SQRT(Settings!$B$13)))</f>
        <v/>
      </c>
      <c r="J494" s="20">
        <f>IF(OR(NOT(ISNUMBER($A494)),ROW()-2&lt;Settings!$B$11),NA(),IF(COUNT(OFFSET(G494,1-Settings!$B$11,0,Settings!$B$11,1))&lt;ROUNDUP(Settings!$B$11*Settings!$B$26,0),NA(),STDEV(OFFSET(G494,1-Settings!$B$11,0,Settings!$B$11,1))*SQRT(Settings!$B$13)))</f>
        <v/>
      </c>
      <c r="K494" s="20">
        <f>IF(OR(NOT(ISNUMBER($A494)),ROW()-2&lt;Settings!$B$12),NA(),IF(COUNT(OFFSET(G494,1-Settings!$B$12,0,Settings!$B$12,1))&lt;ROUNDUP(Settings!$B$12*Settings!$B$26,0),NA(),STDEV(OFFSET(G494,1-Settings!$B$12,0,Settings!$B$12,1))*SQRT(Settings!$B$13)))</f>
        <v/>
      </c>
      <c r="L494" s="20">
        <f>IF(AND(ISNUMBER(D494),ISNUMBER(H494)),D494-H494,NA())</f>
        <v/>
      </c>
      <c r="M494" s="20">
        <f>IF(AND(ISNUMBER(E494),ISNUMBER(K494)),E494-K494,NA())</f>
        <v/>
      </c>
      <c r="N494" s="20">
        <f>IF(NOT(ISNUMBER($A494)),NA(),IF(COUNT(OFFSET(G494,1,0,Settings!$B$12,1))&lt;ROUNDUP(Settings!$B$12*Settings!$B$26,0),NA(),STDEV(OFFSET(G494,1,0,Settings!$B$12,1))*SQRT(Settings!$B$13)))</f>
        <v/>
      </c>
      <c r="O494" s="20">
        <f>IF(AND(ISNUMBER(E494),ISNUMBER(N494)),E494-N494,NA())</f>
        <v/>
      </c>
      <c r="P494" s="19">
        <f>IF(NOT(ISNUMBER($A494)),NA(),IF(OR($A494&lt;MIN(KW_TP!$A$2:$A$2501),$A494&gt;MAX(KW_TP!$A$2:$A$2501)),NA(),INDEX(KW_TP!$C$2:$C$2501,MATCH($A494,KW_TP!$A$2:$A$2501,1))))</f>
        <v/>
      </c>
      <c r="Q494" s="18">
        <f>IF(NOT(ISNUMBER($A494)),NA(),IFERROR(1*INDEX(BBG_Data!$J$2:$J$4000,MATCH($A494,BBG_Data!$I$2:$I$4000,0)),NA()))</f>
        <v/>
      </c>
      <c r="R494" s="18">
        <f>IF(NOT(ISNUMBER($A494)),NA(),IFERROR(1*INDEX(BBG_Data!$L$2:$L$4000,MATCH($A494,BBG_Data!$K$2:$K$4000,0)),NA()))</f>
        <v/>
      </c>
      <c r="S494" s="20">
        <f>IF(AND(ISNUMBER(B494),ISNUMBER(Q494),ISNUMBER(R494)),(B494-Q494-R494)*100,NA())</f>
        <v/>
      </c>
      <c r="T494" s="20">
        <f>IF(AND(ISNUMBER(B494),Settings!$B$17&gt;0),IF(ISNUMBER(INDEX($B:$B,Settings!$B$17)),(B494-INDEX($B:$B,Settings!$B$17))*100,NA()),NA())</f>
        <v/>
      </c>
      <c r="U494" s="20">
        <f>IF(AND(ISNUMBER(Q494),Settings!$B$17&gt;0),IF(ISNUMBER(INDEX($Q:$Q,Settings!$B$17)),(Q494-INDEX($Q:$Q,Settings!$B$17))*100,NA()),NA())</f>
        <v/>
      </c>
      <c r="V494" s="20">
        <f>IF(AND(ISNUMBER(R494),Settings!$B$17&gt;0),IF(ISNUMBER(INDEX($R:$R,Settings!$B$17)),(R494-INDEX($R:$R,Settings!$B$17))*100,NA()),NA())</f>
        <v/>
      </c>
      <c r="W494" s="20">
        <f>IF(AND(ISNUMBER(P494),Settings!$B$17&gt;0),IF(ISNUMBER(INDEX($P:$P,Settings!$B$17)),P494-INDEX($P:$P,Settings!$B$17),NA()),NA())</f>
        <v/>
      </c>
      <c r="X494" s="19">
        <f>IF(NOT(ISNUMBER($A494)),NA(),IF(OR($A494&lt;MIN(DKW_10Y!$A$2:$A$2918),$A494&gt;MAX(DKW_10Y!$A$2:$A$2918),Settings!$B$16&lt;MIN(DKW_10Y!$A$2:$A$2918)),NA(),(INDEX(DKW_10Y!$B$2:$B$2918,MATCH($A494,DKW_10Y!$A$2:$A$2918,1))-INDEX(DKW_10Y!$B$2:$B$2918,MATCH(Settings!$B$16,DKW_10Y!$A$2:$A$2918,1)))*100))</f>
        <v/>
      </c>
      <c r="Y494" s="19">
        <f>IF(NOT(ISNUMBER($A494)),NA(),IF(OR($A494&lt;MIN(DKW_10Y!$A$2:$A$2918),$A494&gt;MAX(DKW_10Y!$A$2:$A$2918),Settings!$B$16&lt;MIN(DKW_10Y!$A$2:$A$2918)),NA(),(INDEX(DKW_10Y!$C$2:$C$2918,MATCH($A494,DKW_10Y!$A$2:$A$2918,1))-INDEX(DKW_10Y!$C$2:$C$2918,MATCH(Settings!$B$16,DKW_10Y!$A$2:$A$2918,1)))*100))</f>
        <v/>
      </c>
      <c r="Z494" s="19">
        <f>IF(NOT(ISNUMBER($A494)),NA(),IF(OR($A494&lt;MIN(DKW_10Y!$A$2:$A$2918),$A494&gt;MAX(DKW_10Y!$A$2:$A$2918),Settings!$B$16&lt;MIN(DKW_10Y!$A$2:$A$2918)),NA(),(INDEX(DKW_10Y!$D$2:$D$2918,MATCH($A494,DKW_10Y!$A$2:$A$2918,1))-INDEX(DKW_10Y!$D$2:$D$2918,MATCH(Settings!$B$16,DKW_10Y!$A$2:$A$2918,1)))*100))</f>
        <v/>
      </c>
      <c r="AA494" s="19">
        <f>IF(NOT(ISNUMBER($A494)),NA(),IF(OR($A494&lt;MIN(DKW_10Y!$A$2:$A$2918),$A494&gt;MAX(DKW_10Y!$A$2:$A$2918),Settings!$B$16&lt;MIN(DKW_10Y!$A$2:$A$2918)),NA(),(INDEX(DKW_10Y!$E$2:$E$2918,MATCH($A494,DKW_10Y!$A$2:$A$2918,1))-INDEX(DKW_10Y!$E$2:$E$2918,MATCH(Settings!$B$16,DKW_10Y!$A$2:$A$2918,1)))*100))</f>
        <v/>
      </c>
      <c r="AB494" s="19">
        <f>IF(NOT(ISNUMBER($A494)),NA(),IF(OR($A494&lt;MIN(DKW_10Y!$A$2:$A$2918),$A494&gt;MAX(DKW_10Y!$A$2:$A$2918),Settings!$B$16&lt;MIN(DKW_10Y!$A$2:$A$2918)),NA(),(INDEX(DKW_10Y!$H$2:$H$2918,MATCH($A494,DKW_10Y!$A$2:$A$2918,1))-INDEX(DKW_10Y!$H$2:$H$2918,MATCH(Settings!$B$16,DKW_10Y!$A$2:$A$2918,1)))*100))</f>
        <v/>
      </c>
      <c r="AC494" s="18">
        <f>IF(NOT(ISNUMBER($A494)),NA(),IFERROR(1*INDEX(BBG_Data!$N$2:$N$4000,MATCH($A494,BBG_Data!$M$2:$M$4000,0)),NA()))</f>
        <v/>
      </c>
      <c r="AD494" s="18">
        <f>IF(NOT(ISNUMBER($A494)),NA(),IFERROR(1*INDEX(BBG_Data!$P$2:$P$4000,MATCH($A494,BBG_Data!$O$2:$O$4000,0)),NA()))</f>
        <v/>
      </c>
      <c r="AE494" s="18">
        <f>IF(NOT(ISNUMBER($A494)),NA(),IFERROR(1*INDEX(BBG_Data!$R$2:$R$4000,MATCH($A494,BBG_Data!$Q$2:$Q$4000,0)),NA()))</f>
        <v/>
      </c>
      <c r="AF494" s="20">
        <f>IF(AND(ISNUMBER(B494),ISNUMBER(AC494)),(B494-AC494)*100,NA())</f>
        <v/>
      </c>
      <c r="AG494" s="20">
        <f>IF(AND(ISNUMBER(AE494),ISNUMBER(AD494)),(AE494-AD494)*100,NA())</f>
        <v/>
      </c>
      <c r="AH494" s="19">
        <f>IF(NOT(ISNUMBER($A494)),NA(),IFERROR(INDEX(BBG_Data!$T$2:$T$4000,MATCH($A494,BBG_Data!$S$2:$S$4000,0))*Settings!$B$25,NA()))</f>
        <v/>
      </c>
      <c r="AI494" s="19">
        <f>IF(NOT(ISNUMBER($A494)),NA(),IFERROR(INDEX(BBG_Data!$V$2:$V$4000,MATCH($A494,BBG_Data!$U$2:$U$4000,0))*Settings!$B$25,NA()))</f>
        <v/>
      </c>
      <c r="AJ494" s="19">
        <f>IF(NOT(ISNUMBER($A494)),NA(),IFERROR(1*INDEX(BBG_Data!$X$2:$X$4000,MATCH($A494,BBG_Data!$W$2:$W$4000,0)),NA()))</f>
        <v/>
      </c>
      <c r="AK494" s="19">
        <f>IF(NOT(ISNUMBER($A494)),NA(),IFERROR(1*INDEX(BBG_Data!$Z$2:$Z$4000,MATCH($A494,BBG_Data!$Y$2:$Y$4000,0)),NA()))</f>
        <v/>
      </c>
    </row>
    <row r="495">
      <c r="A495" s="17">
        <f>IF(ISNUMBER(BBG_Data!A495),BBG_Data!A495,"")</f>
        <v/>
      </c>
      <c r="B495" s="18">
        <f>IF(AND(ISNUMBER($A495),ISNUMBER(BBG_Data!B495)),BBG_Data!B495,NA())</f>
        <v/>
      </c>
      <c r="C495" s="18">
        <f>IF(NOT(ISNUMBER($A495)),NA(),IFERROR(1*INDEX(BBG_Data!$D$2:$D$4000,MATCH($A495,BBG_Data!$C$2:$C$4000,0)),NA()))</f>
        <v/>
      </c>
      <c r="D495" s="19">
        <f>IF(NOT(ISNUMBER($A495)),NA(),IFERROR(1*INDEX(BBG_Data!$F$2:$F$4000,MATCH($A495,BBG_Data!$E$2:$E$4000,0)),NA()))</f>
        <v/>
      </c>
      <c r="E495" s="19">
        <f>IF(NOT(ISNUMBER($A495)),NA(),IFERROR(1*INDEX(BBG_Data!$H$2:$H$4000,MATCH($A495,BBG_Data!$G$2:$G$4000,0)),NA()))</f>
        <v/>
      </c>
      <c r="F495" s="20">
        <f>IF(AND(ISNUMBER(B495),ISNUMBER(B494)),IF(B495=B494,"",(B495-B494)*100),"")</f>
        <v/>
      </c>
      <c r="G495" s="20">
        <f>IF(AND(ISNUMBER(C495),ISNUMBER(C494)),IF(C495=C494,"",(C495-C494)*100),"")</f>
        <v/>
      </c>
      <c r="H495" s="20">
        <f>IF(OR(NOT(ISNUMBER($A495)),ROW()-2&lt;Settings!$B$11),NA(),IF(COUNT(OFFSET(F495,1-Settings!$B$11,0,Settings!$B$11,1))&lt;ROUNDUP(Settings!$B$11*Settings!$B$26,0),NA(),STDEV(OFFSET(F495,1-Settings!$B$11,0,Settings!$B$11,1))*SQRT(Settings!$B$13)))</f>
        <v/>
      </c>
      <c r="I495" s="20">
        <f>IF(OR(NOT(ISNUMBER($A495)),ROW()-2&lt;Settings!$B$12),NA(),IF(COUNT(OFFSET(F495,1-Settings!$B$12,0,Settings!$B$12,1))&lt;ROUNDUP(Settings!$B$12*Settings!$B$26,0),NA(),STDEV(OFFSET(F495,1-Settings!$B$12,0,Settings!$B$12,1))*SQRT(Settings!$B$13)))</f>
        <v/>
      </c>
      <c r="J495" s="20">
        <f>IF(OR(NOT(ISNUMBER($A495)),ROW()-2&lt;Settings!$B$11),NA(),IF(COUNT(OFFSET(G495,1-Settings!$B$11,0,Settings!$B$11,1))&lt;ROUNDUP(Settings!$B$11*Settings!$B$26,0),NA(),STDEV(OFFSET(G495,1-Settings!$B$11,0,Settings!$B$11,1))*SQRT(Settings!$B$13)))</f>
        <v/>
      </c>
      <c r="K495" s="20">
        <f>IF(OR(NOT(ISNUMBER($A495)),ROW()-2&lt;Settings!$B$12),NA(),IF(COUNT(OFFSET(G495,1-Settings!$B$12,0,Settings!$B$12,1))&lt;ROUNDUP(Settings!$B$12*Settings!$B$26,0),NA(),STDEV(OFFSET(G495,1-Settings!$B$12,0,Settings!$B$12,1))*SQRT(Settings!$B$13)))</f>
        <v/>
      </c>
      <c r="L495" s="20">
        <f>IF(AND(ISNUMBER(D495),ISNUMBER(H495)),D495-H495,NA())</f>
        <v/>
      </c>
      <c r="M495" s="20">
        <f>IF(AND(ISNUMBER(E495),ISNUMBER(K495)),E495-K495,NA())</f>
        <v/>
      </c>
      <c r="N495" s="20">
        <f>IF(NOT(ISNUMBER($A495)),NA(),IF(COUNT(OFFSET(G495,1,0,Settings!$B$12,1))&lt;ROUNDUP(Settings!$B$12*Settings!$B$26,0),NA(),STDEV(OFFSET(G495,1,0,Settings!$B$12,1))*SQRT(Settings!$B$13)))</f>
        <v/>
      </c>
      <c r="O495" s="20">
        <f>IF(AND(ISNUMBER(E495),ISNUMBER(N495)),E495-N495,NA())</f>
        <v/>
      </c>
      <c r="P495" s="19">
        <f>IF(NOT(ISNUMBER($A495)),NA(),IF(OR($A495&lt;MIN(KW_TP!$A$2:$A$2501),$A495&gt;MAX(KW_TP!$A$2:$A$2501)),NA(),INDEX(KW_TP!$C$2:$C$2501,MATCH($A495,KW_TP!$A$2:$A$2501,1))))</f>
        <v/>
      </c>
      <c r="Q495" s="18">
        <f>IF(NOT(ISNUMBER($A495)),NA(),IFERROR(1*INDEX(BBG_Data!$J$2:$J$4000,MATCH($A495,BBG_Data!$I$2:$I$4000,0)),NA()))</f>
        <v/>
      </c>
      <c r="R495" s="18">
        <f>IF(NOT(ISNUMBER($A495)),NA(),IFERROR(1*INDEX(BBG_Data!$L$2:$L$4000,MATCH($A495,BBG_Data!$K$2:$K$4000,0)),NA()))</f>
        <v/>
      </c>
      <c r="S495" s="20">
        <f>IF(AND(ISNUMBER(B495),ISNUMBER(Q495),ISNUMBER(R495)),(B495-Q495-R495)*100,NA())</f>
        <v/>
      </c>
      <c r="T495" s="20">
        <f>IF(AND(ISNUMBER(B495),Settings!$B$17&gt;0),IF(ISNUMBER(INDEX($B:$B,Settings!$B$17)),(B495-INDEX($B:$B,Settings!$B$17))*100,NA()),NA())</f>
        <v/>
      </c>
      <c r="U495" s="20">
        <f>IF(AND(ISNUMBER(Q495),Settings!$B$17&gt;0),IF(ISNUMBER(INDEX($Q:$Q,Settings!$B$17)),(Q495-INDEX($Q:$Q,Settings!$B$17))*100,NA()),NA())</f>
        <v/>
      </c>
      <c r="V495" s="20">
        <f>IF(AND(ISNUMBER(R495),Settings!$B$17&gt;0),IF(ISNUMBER(INDEX($R:$R,Settings!$B$17)),(R495-INDEX($R:$R,Settings!$B$17))*100,NA()),NA())</f>
        <v/>
      </c>
      <c r="W495" s="20">
        <f>IF(AND(ISNUMBER(P495),Settings!$B$17&gt;0),IF(ISNUMBER(INDEX($P:$P,Settings!$B$17)),P495-INDEX($P:$P,Settings!$B$17),NA()),NA())</f>
        <v/>
      </c>
      <c r="X495" s="19">
        <f>IF(NOT(ISNUMBER($A495)),NA(),IF(OR($A495&lt;MIN(DKW_10Y!$A$2:$A$2918),$A495&gt;MAX(DKW_10Y!$A$2:$A$2918),Settings!$B$16&lt;MIN(DKW_10Y!$A$2:$A$2918)),NA(),(INDEX(DKW_10Y!$B$2:$B$2918,MATCH($A495,DKW_10Y!$A$2:$A$2918,1))-INDEX(DKW_10Y!$B$2:$B$2918,MATCH(Settings!$B$16,DKW_10Y!$A$2:$A$2918,1)))*100))</f>
        <v/>
      </c>
      <c r="Y495" s="19">
        <f>IF(NOT(ISNUMBER($A495)),NA(),IF(OR($A495&lt;MIN(DKW_10Y!$A$2:$A$2918),$A495&gt;MAX(DKW_10Y!$A$2:$A$2918),Settings!$B$16&lt;MIN(DKW_10Y!$A$2:$A$2918)),NA(),(INDEX(DKW_10Y!$C$2:$C$2918,MATCH($A495,DKW_10Y!$A$2:$A$2918,1))-INDEX(DKW_10Y!$C$2:$C$2918,MATCH(Settings!$B$16,DKW_10Y!$A$2:$A$2918,1)))*100))</f>
        <v/>
      </c>
      <c r="Z495" s="19">
        <f>IF(NOT(ISNUMBER($A495)),NA(),IF(OR($A495&lt;MIN(DKW_10Y!$A$2:$A$2918),$A495&gt;MAX(DKW_10Y!$A$2:$A$2918),Settings!$B$16&lt;MIN(DKW_10Y!$A$2:$A$2918)),NA(),(INDEX(DKW_10Y!$D$2:$D$2918,MATCH($A495,DKW_10Y!$A$2:$A$2918,1))-INDEX(DKW_10Y!$D$2:$D$2918,MATCH(Settings!$B$16,DKW_10Y!$A$2:$A$2918,1)))*100))</f>
        <v/>
      </c>
      <c r="AA495" s="19">
        <f>IF(NOT(ISNUMBER($A495)),NA(),IF(OR($A495&lt;MIN(DKW_10Y!$A$2:$A$2918),$A495&gt;MAX(DKW_10Y!$A$2:$A$2918),Settings!$B$16&lt;MIN(DKW_10Y!$A$2:$A$2918)),NA(),(INDEX(DKW_10Y!$E$2:$E$2918,MATCH($A495,DKW_10Y!$A$2:$A$2918,1))-INDEX(DKW_10Y!$E$2:$E$2918,MATCH(Settings!$B$16,DKW_10Y!$A$2:$A$2918,1)))*100))</f>
        <v/>
      </c>
      <c r="AB495" s="19">
        <f>IF(NOT(ISNUMBER($A495)),NA(),IF(OR($A495&lt;MIN(DKW_10Y!$A$2:$A$2918),$A495&gt;MAX(DKW_10Y!$A$2:$A$2918),Settings!$B$16&lt;MIN(DKW_10Y!$A$2:$A$2918)),NA(),(INDEX(DKW_10Y!$H$2:$H$2918,MATCH($A495,DKW_10Y!$A$2:$A$2918,1))-INDEX(DKW_10Y!$H$2:$H$2918,MATCH(Settings!$B$16,DKW_10Y!$A$2:$A$2918,1)))*100))</f>
        <v/>
      </c>
      <c r="AC495" s="18">
        <f>IF(NOT(ISNUMBER($A495)),NA(),IFERROR(1*INDEX(BBG_Data!$N$2:$N$4000,MATCH($A495,BBG_Data!$M$2:$M$4000,0)),NA()))</f>
        <v/>
      </c>
      <c r="AD495" s="18">
        <f>IF(NOT(ISNUMBER($A495)),NA(),IFERROR(1*INDEX(BBG_Data!$P$2:$P$4000,MATCH($A495,BBG_Data!$O$2:$O$4000,0)),NA()))</f>
        <v/>
      </c>
      <c r="AE495" s="18">
        <f>IF(NOT(ISNUMBER($A495)),NA(),IFERROR(1*INDEX(BBG_Data!$R$2:$R$4000,MATCH($A495,BBG_Data!$Q$2:$Q$4000,0)),NA()))</f>
        <v/>
      </c>
      <c r="AF495" s="20">
        <f>IF(AND(ISNUMBER(B495),ISNUMBER(AC495)),(B495-AC495)*100,NA())</f>
        <v/>
      </c>
      <c r="AG495" s="20">
        <f>IF(AND(ISNUMBER(AE495),ISNUMBER(AD495)),(AE495-AD495)*100,NA())</f>
        <v/>
      </c>
      <c r="AH495" s="19">
        <f>IF(NOT(ISNUMBER($A495)),NA(),IFERROR(INDEX(BBG_Data!$T$2:$T$4000,MATCH($A495,BBG_Data!$S$2:$S$4000,0))*Settings!$B$25,NA()))</f>
        <v/>
      </c>
      <c r="AI495" s="19">
        <f>IF(NOT(ISNUMBER($A495)),NA(),IFERROR(INDEX(BBG_Data!$V$2:$V$4000,MATCH($A495,BBG_Data!$U$2:$U$4000,0))*Settings!$B$25,NA()))</f>
        <v/>
      </c>
      <c r="AJ495" s="19">
        <f>IF(NOT(ISNUMBER($A495)),NA(),IFERROR(1*INDEX(BBG_Data!$X$2:$X$4000,MATCH($A495,BBG_Data!$W$2:$W$4000,0)),NA()))</f>
        <v/>
      </c>
      <c r="AK495" s="19">
        <f>IF(NOT(ISNUMBER($A495)),NA(),IFERROR(1*INDEX(BBG_Data!$Z$2:$Z$4000,MATCH($A495,BBG_Data!$Y$2:$Y$4000,0)),NA()))</f>
        <v/>
      </c>
    </row>
    <row r="496">
      <c r="A496" s="17">
        <f>IF(ISNUMBER(BBG_Data!A496),BBG_Data!A496,"")</f>
        <v/>
      </c>
      <c r="B496" s="18">
        <f>IF(AND(ISNUMBER($A496),ISNUMBER(BBG_Data!B496)),BBG_Data!B496,NA())</f>
        <v/>
      </c>
      <c r="C496" s="18">
        <f>IF(NOT(ISNUMBER($A496)),NA(),IFERROR(1*INDEX(BBG_Data!$D$2:$D$4000,MATCH($A496,BBG_Data!$C$2:$C$4000,0)),NA()))</f>
        <v/>
      </c>
      <c r="D496" s="19">
        <f>IF(NOT(ISNUMBER($A496)),NA(),IFERROR(1*INDEX(BBG_Data!$F$2:$F$4000,MATCH($A496,BBG_Data!$E$2:$E$4000,0)),NA()))</f>
        <v/>
      </c>
      <c r="E496" s="19">
        <f>IF(NOT(ISNUMBER($A496)),NA(),IFERROR(1*INDEX(BBG_Data!$H$2:$H$4000,MATCH($A496,BBG_Data!$G$2:$G$4000,0)),NA()))</f>
        <v/>
      </c>
      <c r="F496" s="20">
        <f>IF(AND(ISNUMBER(B496),ISNUMBER(B495)),IF(B496=B495,"",(B496-B495)*100),"")</f>
        <v/>
      </c>
      <c r="G496" s="20">
        <f>IF(AND(ISNUMBER(C496),ISNUMBER(C495)),IF(C496=C495,"",(C496-C495)*100),"")</f>
        <v/>
      </c>
      <c r="H496" s="20">
        <f>IF(OR(NOT(ISNUMBER($A496)),ROW()-2&lt;Settings!$B$11),NA(),IF(COUNT(OFFSET(F496,1-Settings!$B$11,0,Settings!$B$11,1))&lt;ROUNDUP(Settings!$B$11*Settings!$B$26,0),NA(),STDEV(OFFSET(F496,1-Settings!$B$11,0,Settings!$B$11,1))*SQRT(Settings!$B$13)))</f>
        <v/>
      </c>
      <c r="I496" s="20">
        <f>IF(OR(NOT(ISNUMBER($A496)),ROW()-2&lt;Settings!$B$12),NA(),IF(COUNT(OFFSET(F496,1-Settings!$B$12,0,Settings!$B$12,1))&lt;ROUNDUP(Settings!$B$12*Settings!$B$26,0),NA(),STDEV(OFFSET(F496,1-Settings!$B$12,0,Settings!$B$12,1))*SQRT(Settings!$B$13)))</f>
        <v/>
      </c>
      <c r="J496" s="20">
        <f>IF(OR(NOT(ISNUMBER($A496)),ROW()-2&lt;Settings!$B$11),NA(),IF(COUNT(OFFSET(G496,1-Settings!$B$11,0,Settings!$B$11,1))&lt;ROUNDUP(Settings!$B$11*Settings!$B$26,0),NA(),STDEV(OFFSET(G496,1-Settings!$B$11,0,Settings!$B$11,1))*SQRT(Settings!$B$13)))</f>
        <v/>
      </c>
      <c r="K496" s="20">
        <f>IF(OR(NOT(ISNUMBER($A496)),ROW()-2&lt;Settings!$B$12),NA(),IF(COUNT(OFFSET(G496,1-Settings!$B$12,0,Settings!$B$12,1))&lt;ROUNDUP(Settings!$B$12*Settings!$B$26,0),NA(),STDEV(OFFSET(G496,1-Settings!$B$12,0,Settings!$B$12,1))*SQRT(Settings!$B$13)))</f>
        <v/>
      </c>
      <c r="L496" s="20">
        <f>IF(AND(ISNUMBER(D496),ISNUMBER(H496)),D496-H496,NA())</f>
        <v/>
      </c>
      <c r="M496" s="20">
        <f>IF(AND(ISNUMBER(E496),ISNUMBER(K496)),E496-K496,NA())</f>
        <v/>
      </c>
      <c r="N496" s="20">
        <f>IF(NOT(ISNUMBER($A496)),NA(),IF(COUNT(OFFSET(G496,1,0,Settings!$B$12,1))&lt;ROUNDUP(Settings!$B$12*Settings!$B$26,0),NA(),STDEV(OFFSET(G496,1,0,Settings!$B$12,1))*SQRT(Settings!$B$13)))</f>
        <v/>
      </c>
      <c r="O496" s="20">
        <f>IF(AND(ISNUMBER(E496),ISNUMBER(N496)),E496-N496,NA())</f>
        <v/>
      </c>
      <c r="P496" s="19">
        <f>IF(NOT(ISNUMBER($A496)),NA(),IF(OR($A496&lt;MIN(KW_TP!$A$2:$A$2501),$A496&gt;MAX(KW_TP!$A$2:$A$2501)),NA(),INDEX(KW_TP!$C$2:$C$2501,MATCH($A496,KW_TP!$A$2:$A$2501,1))))</f>
        <v/>
      </c>
      <c r="Q496" s="18">
        <f>IF(NOT(ISNUMBER($A496)),NA(),IFERROR(1*INDEX(BBG_Data!$J$2:$J$4000,MATCH($A496,BBG_Data!$I$2:$I$4000,0)),NA()))</f>
        <v/>
      </c>
      <c r="R496" s="18">
        <f>IF(NOT(ISNUMBER($A496)),NA(),IFERROR(1*INDEX(BBG_Data!$L$2:$L$4000,MATCH($A496,BBG_Data!$K$2:$K$4000,0)),NA()))</f>
        <v/>
      </c>
      <c r="S496" s="20">
        <f>IF(AND(ISNUMBER(B496),ISNUMBER(Q496),ISNUMBER(R496)),(B496-Q496-R496)*100,NA())</f>
        <v/>
      </c>
      <c r="T496" s="20">
        <f>IF(AND(ISNUMBER(B496),Settings!$B$17&gt;0),IF(ISNUMBER(INDEX($B:$B,Settings!$B$17)),(B496-INDEX($B:$B,Settings!$B$17))*100,NA()),NA())</f>
        <v/>
      </c>
      <c r="U496" s="20">
        <f>IF(AND(ISNUMBER(Q496),Settings!$B$17&gt;0),IF(ISNUMBER(INDEX($Q:$Q,Settings!$B$17)),(Q496-INDEX($Q:$Q,Settings!$B$17))*100,NA()),NA())</f>
        <v/>
      </c>
      <c r="V496" s="20">
        <f>IF(AND(ISNUMBER(R496),Settings!$B$17&gt;0),IF(ISNUMBER(INDEX($R:$R,Settings!$B$17)),(R496-INDEX($R:$R,Settings!$B$17))*100,NA()),NA())</f>
        <v/>
      </c>
      <c r="W496" s="20">
        <f>IF(AND(ISNUMBER(P496),Settings!$B$17&gt;0),IF(ISNUMBER(INDEX($P:$P,Settings!$B$17)),P496-INDEX($P:$P,Settings!$B$17),NA()),NA())</f>
        <v/>
      </c>
      <c r="X496" s="19">
        <f>IF(NOT(ISNUMBER($A496)),NA(),IF(OR($A496&lt;MIN(DKW_10Y!$A$2:$A$2918),$A496&gt;MAX(DKW_10Y!$A$2:$A$2918),Settings!$B$16&lt;MIN(DKW_10Y!$A$2:$A$2918)),NA(),(INDEX(DKW_10Y!$B$2:$B$2918,MATCH($A496,DKW_10Y!$A$2:$A$2918,1))-INDEX(DKW_10Y!$B$2:$B$2918,MATCH(Settings!$B$16,DKW_10Y!$A$2:$A$2918,1)))*100))</f>
        <v/>
      </c>
      <c r="Y496" s="19">
        <f>IF(NOT(ISNUMBER($A496)),NA(),IF(OR($A496&lt;MIN(DKW_10Y!$A$2:$A$2918),$A496&gt;MAX(DKW_10Y!$A$2:$A$2918),Settings!$B$16&lt;MIN(DKW_10Y!$A$2:$A$2918)),NA(),(INDEX(DKW_10Y!$C$2:$C$2918,MATCH($A496,DKW_10Y!$A$2:$A$2918,1))-INDEX(DKW_10Y!$C$2:$C$2918,MATCH(Settings!$B$16,DKW_10Y!$A$2:$A$2918,1)))*100))</f>
        <v/>
      </c>
      <c r="Z496" s="19">
        <f>IF(NOT(ISNUMBER($A496)),NA(),IF(OR($A496&lt;MIN(DKW_10Y!$A$2:$A$2918),$A496&gt;MAX(DKW_10Y!$A$2:$A$2918),Settings!$B$16&lt;MIN(DKW_10Y!$A$2:$A$2918)),NA(),(INDEX(DKW_10Y!$D$2:$D$2918,MATCH($A496,DKW_10Y!$A$2:$A$2918,1))-INDEX(DKW_10Y!$D$2:$D$2918,MATCH(Settings!$B$16,DKW_10Y!$A$2:$A$2918,1)))*100))</f>
        <v/>
      </c>
      <c r="AA496" s="19">
        <f>IF(NOT(ISNUMBER($A496)),NA(),IF(OR($A496&lt;MIN(DKW_10Y!$A$2:$A$2918),$A496&gt;MAX(DKW_10Y!$A$2:$A$2918),Settings!$B$16&lt;MIN(DKW_10Y!$A$2:$A$2918)),NA(),(INDEX(DKW_10Y!$E$2:$E$2918,MATCH($A496,DKW_10Y!$A$2:$A$2918,1))-INDEX(DKW_10Y!$E$2:$E$2918,MATCH(Settings!$B$16,DKW_10Y!$A$2:$A$2918,1)))*100))</f>
        <v/>
      </c>
      <c r="AB496" s="19">
        <f>IF(NOT(ISNUMBER($A496)),NA(),IF(OR($A496&lt;MIN(DKW_10Y!$A$2:$A$2918),$A496&gt;MAX(DKW_10Y!$A$2:$A$2918),Settings!$B$16&lt;MIN(DKW_10Y!$A$2:$A$2918)),NA(),(INDEX(DKW_10Y!$H$2:$H$2918,MATCH($A496,DKW_10Y!$A$2:$A$2918,1))-INDEX(DKW_10Y!$H$2:$H$2918,MATCH(Settings!$B$16,DKW_10Y!$A$2:$A$2918,1)))*100))</f>
        <v/>
      </c>
      <c r="AC496" s="18">
        <f>IF(NOT(ISNUMBER($A496)),NA(),IFERROR(1*INDEX(BBG_Data!$N$2:$N$4000,MATCH($A496,BBG_Data!$M$2:$M$4000,0)),NA()))</f>
        <v/>
      </c>
      <c r="AD496" s="18">
        <f>IF(NOT(ISNUMBER($A496)),NA(),IFERROR(1*INDEX(BBG_Data!$P$2:$P$4000,MATCH($A496,BBG_Data!$O$2:$O$4000,0)),NA()))</f>
        <v/>
      </c>
      <c r="AE496" s="18">
        <f>IF(NOT(ISNUMBER($A496)),NA(),IFERROR(1*INDEX(BBG_Data!$R$2:$R$4000,MATCH($A496,BBG_Data!$Q$2:$Q$4000,0)),NA()))</f>
        <v/>
      </c>
      <c r="AF496" s="20">
        <f>IF(AND(ISNUMBER(B496),ISNUMBER(AC496)),(B496-AC496)*100,NA())</f>
        <v/>
      </c>
      <c r="AG496" s="20">
        <f>IF(AND(ISNUMBER(AE496),ISNUMBER(AD496)),(AE496-AD496)*100,NA())</f>
        <v/>
      </c>
      <c r="AH496" s="19">
        <f>IF(NOT(ISNUMBER($A496)),NA(),IFERROR(INDEX(BBG_Data!$T$2:$T$4000,MATCH($A496,BBG_Data!$S$2:$S$4000,0))*Settings!$B$25,NA()))</f>
        <v/>
      </c>
      <c r="AI496" s="19">
        <f>IF(NOT(ISNUMBER($A496)),NA(),IFERROR(INDEX(BBG_Data!$V$2:$V$4000,MATCH($A496,BBG_Data!$U$2:$U$4000,0))*Settings!$B$25,NA()))</f>
        <v/>
      </c>
      <c r="AJ496" s="19">
        <f>IF(NOT(ISNUMBER($A496)),NA(),IFERROR(1*INDEX(BBG_Data!$X$2:$X$4000,MATCH($A496,BBG_Data!$W$2:$W$4000,0)),NA()))</f>
        <v/>
      </c>
      <c r="AK496" s="19">
        <f>IF(NOT(ISNUMBER($A496)),NA(),IFERROR(1*INDEX(BBG_Data!$Z$2:$Z$4000,MATCH($A496,BBG_Data!$Y$2:$Y$4000,0)),NA()))</f>
        <v/>
      </c>
    </row>
    <row r="497">
      <c r="A497" s="17">
        <f>IF(ISNUMBER(BBG_Data!A497),BBG_Data!A497,"")</f>
        <v/>
      </c>
      <c r="B497" s="18">
        <f>IF(AND(ISNUMBER($A497),ISNUMBER(BBG_Data!B497)),BBG_Data!B497,NA())</f>
        <v/>
      </c>
      <c r="C497" s="18">
        <f>IF(NOT(ISNUMBER($A497)),NA(),IFERROR(1*INDEX(BBG_Data!$D$2:$D$4000,MATCH($A497,BBG_Data!$C$2:$C$4000,0)),NA()))</f>
        <v/>
      </c>
      <c r="D497" s="19">
        <f>IF(NOT(ISNUMBER($A497)),NA(),IFERROR(1*INDEX(BBG_Data!$F$2:$F$4000,MATCH($A497,BBG_Data!$E$2:$E$4000,0)),NA()))</f>
        <v/>
      </c>
      <c r="E497" s="19">
        <f>IF(NOT(ISNUMBER($A497)),NA(),IFERROR(1*INDEX(BBG_Data!$H$2:$H$4000,MATCH($A497,BBG_Data!$G$2:$G$4000,0)),NA()))</f>
        <v/>
      </c>
      <c r="F497" s="20">
        <f>IF(AND(ISNUMBER(B497),ISNUMBER(B496)),IF(B497=B496,"",(B497-B496)*100),"")</f>
        <v/>
      </c>
      <c r="G497" s="20">
        <f>IF(AND(ISNUMBER(C497),ISNUMBER(C496)),IF(C497=C496,"",(C497-C496)*100),"")</f>
        <v/>
      </c>
      <c r="H497" s="20">
        <f>IF(OR(NOT(ISNUMBER($A497)),ROW()-2&lt;Settings!$B$11),NA(),IF(COUNT(OFFSET(F497,1-Settings!$B$11,0,Settings!$B$11,1))&lt;ROUNDUP(Settings!$B$11*Settings!$B$26,0),NA(),STDEV(OFFSET(F497,1-Settings!$B$11,0,Settings!$B$11,1))*SQRT(Settings!$B$13)))</f>
        <v/>
      </c>
      <c r="I497" s="20">
        <f>IF(OR(NOT(ISNUMBER($A497)),ROW()-2&lt;Settings!$B$12),NA(),IF(COUNT(OFFSET(F497,1-Settings!$B$12,0,Settings!$B$12,1))&lt;ROUNDUP(Settings!$B$12*Settings!$B$26,0),NA(),STDEV(OFFSET(F497,1-Settings!$B$12,0,Settings!$B$12,1))*SQRT(Settings!$B$13)))</f>
        <v/>
      </c>
      <c r="J497" s="20">
        <f>IF(OR(NOT(ISNUMBER($A497)),ROW()-2&lt;Settings!$B$11),NA(),IF(COUNT(OFFSET(G497,1-Settings!$B$11,0,Settings!$B$11,1))&lt;ROUNDUP(Settings!$B$11*Settings!$B$26,0),NA(),STDEV(OFFSET(G497,1-Settings!$B$11,0,Settings!$B$11,1))*SQRT(Settings!$B$13)))</f>
        <v/>
      </c>
      <c r="K497" s="20">
        <f>IF(OR(NOT(ISNUMBER($A497)),ROW()-2&lt;Settings!$B$12),NA(),IF(COUNT(OFFSET(G497,1-Settings!$B$12,0,Settings!$B$12,1))&lt;ROUNDUP(Settings!$B$12*Settings!$B$26,0),NA(),STDEV(OFFSET(G497,1-Settings!$B$12,0,Settings!$B$12,1))*SQRT(Settings!$B$13)))</f>
        <v/>
      </c>
      <c r="L497" s="20">
        <f>IF(AND(ISNUMBER(D497),ISNUMBER(H497)),D497-H497,NA())</f>
        <v/>
      </c>
      <c r="M497" s="20">
        <f>IF(AND(ISNUMBER(E497),ISNUMBER(K497)),E497-K497,NA())</f>
        <v/>
      </c>
      <c r="N497" s="20">
        <f>IF(NOT(ISNUMBER($A497)),NA(),IF(COUNT(OFFSET(G497,1,0,Settings!$B$12,1))&lt;ROUNDUP(Settings!$B$12*Settings!$B$26,0),NA(),STDEV(OFFSET(G497,1,0,Settings!$B$12,1))*SQRT(Settings!$B$13)))</f>
        <v/>
      </c>
      <c r="O497" s="20">
        <f>IF(AND(ISNUMBER(E497),ISNUMBER(N497)),E497-N497,NA())</f>
        <v/>
      </c>
      <c r="P497" s="19">
        <f>IF(NOT(ISNUMBER($A497)),NA(),IF(OR($A497&lt;MIN(KW_TP!$A$2:$A$2501),$A497&gt;MAX(KW_TP!$A$2:$A$2501)),NA(),INDEX(KW_TP!$C$2:$C$2501,MATCH($A497,KW_TP!$A$2:$A$2501,1))))</f>
        <v/>
      </c>
      <c r="Q497" s="18">
        <f>IF(NOT(ISNUMBER($A497)),NA(),IFERROR(1*INDEX(BBG_Data!$J$2:$J$4000,MATCH($A497,BBG_Data!$I$2:$I$4000,0)),NA()))</f>
        <v/>
      </c>
      <c r="R497" s="18">
        <f>IF(NOT(ISNUMBER($A497)),NA(),IFERROR(1*INDEX(BBG_Data!$L$2:$L$4000,MATCH($A497,BBG_Data!$K$2:$K$4000,0)),NA()))</f>
        <v/>
      </c>
      <c r="S497" s="20">
        <f>IF(AND(ISNUMBER(B497),ISNUMBER(Q497),ISNUMBER(R497)),(B497-Q497-R497)*100,NA())</f>
        <v/>
      </c>
      <c r="T497" s="20">
        <f>IF(AND(ISNUMBER(B497),Settings!$B$17&gt;0),IF(ISNUMBER(INDEX($B:$B,Settings!$B$17)),(B497-INDEX($B:$B,Settings!$B$17))*100,NA()),NA())</f>
        <v/>
      </c>
      <c r="U497" s="20">
        <f>IF(AND(ISNUMBER(Q497),Settings!$B$17&gt;0),IF(ISNUMBER(INDEX($Q:$Q,Settings!$B$17)),(Q497-INDEX($Q:$Q,Settings!$B$17))*100,NA()),NA())</f>
        <v/>
      </c>
      <c r="V497" s="20">
        <f>IF(AND(ISNUMBER(R497),Settings!$B$17&gt;0),IF(ISNUMBER(INDEX($R:$R,Settings!$B$17)),(R497-INDEX($R:$R,Settings!$B$17))*100,NA()),NA())</f>
        <v/>
      </c>
      <c r="W497" s="20">
        <f>IF(AND(ISNUMBER(P497),Settings!$B$17&gt;0),IF(ISNUMBER(INDEX($P:$P,Settings!$B$17)),P497-INDEX($P:$P,Settings!$B$17),NA()),NA())</f>
        <v/>
      </c>
      <c r="X497" s="19">
        <f>IF(NOT(ISNUMBER($A497)),NA(),IF(OR($A497&lt;MIN(DKW_10Y!$A$2:$A$2918),$A497&gt;MAX(DKW_10Y!$A$2:$A$2918),Settings!$B$16&lt;MIN(DKW_10Y!$A$2:$A$2918)),NA(),(INDEX(DKW_10Y!$B$2:$B$2918,MATCH($A497,DKW_10Y!$A$2:$A$2918,1))-INDEX(DKW_10Y!$B$2:$B$2918,MATCH(Settings!$B$16,DKW_10Y!$A$2:$A$2918,1)))*100))</f>
        <v/>
      </c>
      <c r="Y497" s="19">
        <f>IF(NOT(ISNUMBER($A497)),NA(),IF(OR($A497&lt;MIN(DKW_10Y!$A$2:$A$2918),$A497&gt;MAX(DKW_10Y!$A$2:$A$2918),Settings!$B$16&lt;MIN(DKW_10Y!$A$2:$A$2918)),NA(),(INDEX(DKW_10Y!$C$2:$C$2918,MATCH($A497,DKW_10Y!$A$2:$A$2918,1))-INDEX(DKW_10Y!$C$2:$C$2918,MATCH(Settings!$B$16,DKW_10Y!$A$2:$A$2918,1)))*100))</f>
        <v/>
      </c>
      <c r="Z497" s="19">
        <f>IF(NOT(ISNUMBER($A497)),NA(),IF(OR($A497&lt;MIN(DKW_10Y!$A$2:$A$2918),$A497&gt;MAX(DKW_10Y!$A$2:$A$2918),Settings!$B$16&lt;MIN(DKW_10Y!$A$2:$A$2918)),NA(),(INDEX(DKW_10Y!$D$2:$D$2918,MATCH($A497,DKW_10Y!$A$2:$A$2918,1))-INDEX(DKW_10Y!$D$2:$D$2918,MATCH(Settings!$B$16,DKW_10Y!$A$2:$A$2918,1)))*100))</f>
        <v/>
      </c>
      <c r="AA497" s="19">
        <f>IF(NOT(ISNUMBER($A497)),NA(),IF(OR($A497&lt;MIN(DKW_10Y!$A$2:$A$2918),$A497&gt;MAX(DKW_10Y!$A$2:$A$2918),Settings!$B$16&lt;MIN(DKW_10Y!$A$2:$A$2918)),NA(),(INDEX(DKW_10Y!$E$2:$E$2918,MATCH($A497,DKW_10Y!$A$2:$A$2918,1))-INDEX(DKW_10Y!$E$2:$E$2918,MATCH(Settings!$B$16,DKW_10Y!$A$2:$A$2918,1)))*100))</f>
        <v/>
      </c>
      <c r="AB497" s="19">
        <f>IF(NOT(ISNUMBER($A497)),NA(),IF(OR($A497&lt;MIN(DKW_10Y!$A$2:$A$2918),$A497&gt;MAX(DKW_10Y!$A$2:$A$2918),Settings!$B$16&lt;MIN(DKW_10Y!$A$2:$A$2918)),NA(),(INDEX(DKW_10Y!$H$2:$H$2918,MATCH($A497,DKW_10Y!$A$2:$A$2918,1))-INDEX(DKW_10Y!$H$2:$H$2918,MATCH(Settings!$B$16,DKW_10Y!$A$2:$A$2918,1)))*100))</f>
        <v/>
      </c>
      <c r="AC497" s="18">
        <f>IF(NOT(ISNUMBER($A497)),NA(),IFERROR(1*INDEX(BBG_Data!$N$2:$N$4000,MATCH($A497,BBG_Data!$M$2:$M$4000,0)),NA()))</f>
        <v/>
      </c>
      <c r="AD497" s="18">
        <f>IF(NOT(ISNUMBER($A497)),NA(),IFERROR(1*INDEX(BBG_Data!$P$2:$P$4000,MATCH($A497,BBG_Data!$O$2:$O$4000,0)),NA()))</f>
        <v/>
      </c>
      <c r="AE497" s="18">
        <f>IF(NOT(ISNUMBER($A497)),NA(),IFERROR(1*INDEX(BBG_Data!$R$2:$R$4000,MATCH($A497,BBG_Data!$Q$2:$Q$4000,0)),NA()))</f>
        <v/>
      </c>
      <c r="AF497" s="20">
        <f>IF(AND(ISNUMBER(B497),ISNUMBER(AC497)),(B497-AC497)*100,NA())</f>
        <v/>
      </c>
      <c r="AG497" s="20">
        <f>IF(AND(ISNUMBER(AE497),ISNUMBER(AD497)),(AE497-AD497)*100,NA())</f>
        <v/>
      </c>
      <c r="AH497" s="19">
        <f>IF(NOT(ISNUMBER($A497)),NA(),IFERROR(INDEX(BBG_Data!$T$2:$T$4000,MATCH($A497,BBG_Data!$S$2:$S$4000,0))*Settings!$B$25,NA()))</f>
        <v/>
      </c>
      <c r="AI497" s="19">
        <f>IF(NOT(ISNUMBER($A497)),NA(),IFERROR(INDEX(BBG_Data!$V$2:$V$4000,MATCH($A497,BBG_Data!$U$2:$U$4000,0))*Settings!$B$25,NA()))</f>
        <v/>
      </c>
      <c r="AJ497" s="19">
        <f>IF(NOT(ISNUMBER($A497)),NA(),IFERROR(1*INDEX(BBG_Data!$X$2:$X$4000,MATCH($A497,BBG_Data!$W$2:$W$4000,0)),NA()))</f>
        <v/>
      </c>
      <c r="AK497" s="19">
        <f>IF(NOT(ISNUMBER($A497)),NA(),IFERROR(1*INDEX(BBG_Data!$Z$2:$Z$4000,MATCH($A497,BBG_Data!$Y$2:$Y$4000,0)),NA()))</f>
        <v/>
      </c>
    </row>
    <row r="498">
      <c r="A498" s="17">
        <f>IF(ISNUMBER(BBG_Data!A498),BBG_Data!A498,"")</f>
        <v/>
      </c>
      <c r="B498" s="18">
        <f>IF(AND(ISNUMBER($A498),ISNUMBER(BBG_Data!B498)),BBG_Data!B498,NA())</f>
        <v/>
      </c>
      <c r="C498" s="18">
        <f>IF(NOT(ISNUMBER($A498)),NA(),IFERROR(1*INDEX(BBG_Data!$D$2:$D$4000,MATCH($A498,BBG_Data!$C$2:$C$4000,0)),NA()))</f>
        <v/>
      </c>
      <c r="D498" s="19">
        <f>IF(NOT(ISNUMBER($A498)),NA(),IFERROR(1*INDEX(BBG_Data!$F$2:$F$4000,MATCH($A498,BBG_Data!$E$2:$E$4000,0)),NA()))</f>
        <v/>
      </c>
      <c r="E498" s="19">
        <f>IF(NOT(ISNUMBER($A498)),NA(),IFERROR(1*INDEX(BBG_Data!$H$2:$H$4000,MATCH($A498,BBG_Data!$G$2:$G$4000,0)),NA()))</f>
        <v/>
      </c>
      <c r="F498" s="20">
        <f>IF(AND(ISNUMBER(B498),ISNUMBER(B497)),IF(B498=B497,"",(B498-B497)*100),"")</f>
        <v/>
      </c>
      <c r="G498" s="20">
        <f>IF(AND(ISNUMBER(C498),ISNUMBER(C497)),IF(C498=C497,"",(C498-C497)*100),"")</f>
        <v/>
      </c>
      <c r="H498" s="20">
        <f>IF(OR(NOT(ISNUMBER($A498)),ROW()-2&lt;Settings!$B$11),NA(),IF(COUNT(OFFSET(F498,1-Settings!$B$11,0,Settings!$B$11,1))&lt;ROUNDUP(Settings!$B$11*Settings!$B$26,0),NA(),STDEV(OFFSET(F498,1-Settings!$B$11,0,Settings!$B$11,1))*SQRT(Settings!$B$13)))</f>
        <v/>
      </c>
      <c r="I498" s="20">
        <f>IF(OR(NOT(ISNUMBER($A498)),ROW()-2&lt;Settings!$B$12),NA(),IF(COUNT(OFFSET(F498,1-Settings!$B$12,0,Settings!$B$12,1))&lt;ROUNDUP(Settings!$B$12*Settings!$B$26,0),NA(),STDEV(OFFSET(F498,1-Settings!$B$12,0,Settings!$B$12,1))*SQRT(Settings!$B$13)))</f>
        <v/>
      </c>
      <c r="J498" s="20">
        <f>IF(OR(NOT(ISNUMBER($A498)),ROW()-2&lt;Settings!$B$11),NA(),IF(COUNT(OFFSET(G498,1-Settings!$B$11,0,Settings!$B$11,1))&lt;ROUNDUP(Settings!$B$11*Settings!$B$26,0),NA(),STDEV(OFFSET(G498,1-Settings!$B$11,0,Settings!$B$11,1))*SQRT(Settings!$B$13)))</f>
        <v/>
      </c>
      <c r="K498" s="20">
        <f>IF(OR(NOT(ISNUMBER($A498)),ROW()-2&lt;Settings!$B$12),NA(),IF(COUNT(OFFSET(G498,1-Settings!$B$12,0,Settings!$B$12,1))&lt;ROUNDUP(Settings!$B$12*Settings!$B$26,0),NA(),STDEV(OFFSET(G498,1-Settings!$B$12,0,Settings!$B$12,1))*SQRT(Settings!$B$13)))</f>
        <v/>
      </c>
      <c r="L498" s="20">
        <f>IF(AND(ISNUMBER(D498),ISNUMBER(H498)),D498-H498,NA())</f>
        <v/>
      </c>
      <c r="M498" s="20">
        <f>IF(AND(ISNUMBER(E498),ISNUMBER(K498)),E498-K498,NA())</f>
        <v/>
      </c>
      <c r="N498" s="20">
        <f>IF(NOT(ISNUMBER($A498)),NA(),IF(COUNT(OFFSET(G498,1,0,Settings!$B$12,1))&lt;ROUNDUP(Settings!$B$12*Settings!$B$26,0),NA(),STDEV(OFFSET(G498,1,0,Settings!$B$12,1))*SQRT(Settings!$B$13)))</f>
        <v/>
      </c>
      <c r="O498" s="20">
        <f>IF(AND(ISNUMBER(E498),ISNUMBER(N498)),E498-N498,NA())</f>
        <v/>
      </c>
      <c r="P498" s="19">
        <f>IF(NOT(ISNUMBER($A498)),NA(),IF(OR($A498&lt;MIN(KW_TP!$A$2:$A$2501),$A498&gt;MAX(KW_TP!$A$2:$A$2501)),NA(),INDEX(KW_TP!$C$2:$C$2501,MATCH($A498,KW_TP!$A$2:$A$2501,1))))</f>
        <v/>
      </c>
      <c r="Q498" s="18">
        <f>IF(NOT(ISNUMBER($A498)),NA(),IFERROR(1*INDEX(BBG_Data!$J$2:$J$4000,MATCH($A498,BBG_Data!$I$2:$I$4000,0)),NA()))</f>
        <v/>
      </c>
      <c r="R498" s="18">
        <f>IF(NOT(ISNUMBER($A498)),NA(),IFERROR(1*INDEX(BBG_Data!$L$2:$L$4000,MATCH($A498,BBG_Data!$K$2:$K$4000,0)),NA()))</f>
        <v/>
      </c>
      <c r="S498" s="20">
        <f>IF(AND(ISNUMBER(B498),ISNUMBER(Q498),ISNUMBER(R498)),(B498-Q498-R498)*100,NA())</f>
        <v/>
      </c>
      <c r="T498" s="20">
        <f>IF(AND(ISNUMBER(B498),Settings!$B$17&gt;0),IF(ISNUMBER(INDEX($B:$B,Settings!$B$17)),(B498-INDEX($B:$B,Settings!$B$17))*100,NA()),NA())</f>
        <v/>
      </c>
      <c r="U498" s="20">
        <f>IF(AND(ISNUMBER(Q498),Settings!$B$17&gt;0),IF(ISNUMBER(INDEX($Q:$Q,Settings!$B$17)),(Q498-INDEX($Q:$Q,Settings!$B$17))*100,NA()),NA())</f>
        <v/>
      </c>
      <c r="V498" s="20">
        <f>IF(AND(ISNUMBER(R498),Settings!$B$17&gt;0),IF(ISNUMBER(INDEX($R:$R,Settings!$B$17)),(R498-INDEX($R:$R,Settings!$B$17))*100,NA()),NA())</f>
        <v/>
      </c>
      <c r="W498" s="20">
        <f>IF(AND(ISNUMBER(P498),Settings!$B$17&gt;0),IF(ISNUMBER(INDEX($P:$P,Settings!$B$17)),P498-INDEX($P:$P,Settings!$B$17),NA()),NA())</f>
        <v/>
      </c>
      <c r="X498" s="19">
        <f>IF(NOT(ISNUMBER($A498)),NA(),IF(OR($A498&lt;MIN(DKW_10Y!$A$2:$A$2918),$A498&gt;MAX(DKW_10Y!$A$2:$A$2918),Settings!$B$16&lt;MIN(DKW_10Y!$A$2:$A$2918)),NA(),(INDEX(DKW_10Y!$B$2:$B$2918,MATCH($A498,DKW_10Y!$A$2:$A$2918,1))-INDEX(DKW_10Y!$B$2:$B$2918,MATCH(Settings!$B$16,DKW_10Y!$A$2:$A$2918,1)))*100))</f>
        <v/>
      </c>
      <c r="Y498" s="19">
        <f>IF(NOT(ISNUMBER($A498)),NA(),IF(OR($A498&lt;MIN(DKW_10Y!$A$2:$A$2918),$A498&gt;MAX(DKW_10Y!$A$2:$A$2918),Settings!$B$16&lt;MIN(DKW_10Y!$A$2:$A$2918)),NA(),(INDEX(DKW_10Y!$C$2:$C$2918,MATCH($A498,DKW_10Y!$A$2:$A$2918,1))-INDEX(DKW_10Y!$C$2:$C$2918,MATCH(Settings!$B$16,DKW_10Y!$A$2:$A$2918,1)))*100))</f>
        <v/>
      </c>
      <c r="Z498" s="19">
        <f>IF(NOT(ISNUMBER($A498)),NA(),IF(OR($A498&lt;MIN(DKW_10Y!$A$2:$A$2918),$A498&gt;MAX(DKW_10Y!$A$2:$A$2918),Settings!$B$16&lt;MIN(DKW_10Y!$A$2:$A$2918)),NA(),(INDEX(DKW_10Y!$D$2:$D$2918,MATCH($A498,DKW_10Y!$A$2:$A$2918,1))-INDEX(DKW_10Y!$D$2:$D$2918,MATCH(Settings!$B$16,DKW_10Y!$A$2:$A$2918,1)))*100))</f>
        <v/>
      </c>
      <c r="AA498" s="19">
        <f>IF(NOT(ISNUMBER($A498)),NA(),IF(OR($A498&lt;MIN(DKW_10Y!$A$2:$A$2918),$A498&gt;MAX(DKW_10Y!$A$2:$A$2918),Settings!$B$16&lt;MIN(DKW_10Y!$A$2:$A$2918)),NA(),(INDEX(DKW_10Y!$E$2:$E$2918,MATCH($A498,DKW_10Y!$A$2:$A$2918,1))-INDEX(DKW_10Y!$E$2:$E$2918,MATCH(Settings!$B$16,DKW_10Y!$A$2:$A$2918,1)))*100))</f>
        <v/>
      </c>
      <c r="AB498" s="19">
        <f>IF(NOT(ISNUMBER($A498)),NA(),IF(OR($A498&lt;MIN(DKW_10Y!$A$2:$A$2918),$A498&gt;MAX(DKW_10Y!$A$2:$A$2918),Settings!$B$16&lt;MIN(DKW_10Y!$A$2:$A$2918)),NA(),(INDEX(DKW_10Y!$H$2:$H$2918,MATCH($A498,DKW_10Y!$A$2:$A$2918,1))-INDEX(DKW_10Y!$H$2:$H$2918,MATCH(Settings!$B$16,DKW_10Y!$A$2:$A$2918,1)))*100))</f>
        <v/>
      </c>
      <c r="AC498" s="18">
        <f>IF(NOT(ISNUMBER($A498)),NA(),IFERROR(1*INDEX(BBG_Data!$N$2:$N$4000,MATCH($A498,BBG_Data!$M$2:$M$4000,0)),NA()))</f>
        <v/>
      </c>
      <c r="AD498" s="18">
        <f>IF(NOT(ISNUMBER($A498)),NA(),IFERROR(1*INDEX(BBG_Data!$P$2:$P$4000,MATCH($A498,BBG_Data!$O$2:$O$4000,0)),NA()))</f>
        <v/>
      </c>
      <c r="AE498" s="18">
        <f>IF(NOT(ISNUMBER($A498)),NA(),IFERROR(1*INDEX(BBG_Data!$R$2:$R$4000,MATCH($A498,BBG_Data!$Q$2:$Q$4000,0)),NA()))</f>
        <v/>
      </c>
      <c r="AF498" s="20">
        <f>IF(AND(ISNUMBER(B498),ISNUMBER(AC498)),(B498-AC498)*100,NA())</f>
        <v/>
      </c>
      <c r="AG498" s="20">
        <f>IF(AND(ISNUMBER(AE498),ISNUMBER(AD498)),(AE498-AD498)*100,NA())</f>
        <v/>
      </c>
      <c r="AH498" s="19">
        <f>IF(NOT(ISNUMBER($A498)),NA(),IFERROR(INDEX(BBG_Data!$T$2:$T$4000,MATCH($A498,BBG_Data!$S$2:$S$4000,0))*Settings!$B$25,NA()))</f>
        <v/>
      </c>
      <c r="AI498" s="19">
        <f>IF(NOT(ISNUMBER($A498)),NA(),IFERROR(INDEX(BBG_Data!$V$2:$V$4000,MATCH($A498,BBG_Data!$U$2:$U$4000,0))*Settings!$B$25,NA()))</f>
        <v/>
      </c>
      <c r="AJ498" s="19">
        <f>IF(NOT(ISNUMBER($A498)),NA(),IFERROR(1*INDEX(BBG_Data!$X$2:$X$4000,MATCH($A498,BBG_Data!$W$2:$W$4000,0)),NA()))</f>
        <v/>
      </c>
      <c r="AK498" s="19">
        <f>IF(NOT(ISNUMBER($A498)),NA(),IFERROR(1*INDEX(BBG_Data!$Z$2:$Z$4000,MATCH($A498,BBG_Data!$Y$2:$Y$4000,0)),NA()))</f>
        <v/>
      </c>
    </row>
    <row r="499">
      <c r="A499" s="17">
        <f>IF(ISNUMBER(BBG_Data!A499),BBG_Data!A499,"")</f>
        <v/>
      </c>
      <c r="B499" s="18">
        <f>IF(AND(ISNUMBER($A499),ISNUMBER(BBG_Data!B499)),BBG_Data!B499,NA())</f>
        <v/>
      </c>
      <c r="C499" s="18">
        <f>IF(NOT(ISNUMBER($A499)),NA(),IFERROR(1*INDEX(BBG_Data!$D$2:$D$4000,MATCH($A499,BBG_Data!$C$2:$C$4000,0)),NA()))</f>
        <v/>
      </c>
      <c r="D499" s="19">
        <f>IF(NOT(ISNUMBER($A499)),NA(),IFERROR(1*INDEX(BBG_Data!$F$2:$F$4000,MATCH($A499,BBG_Data!$E$2:$E$4000,0)),NA()))</f>
        <v/>
      </c>
      <c r="E499" s="19">
        <f>IF(NOT(ISNUMBER($A499)),NA(),IFERROR(1*INDEX(BBG_Data!$H$2:$H$4000,MATCH($A499,BBG_Data!$G$2:$G$4000,0)),NA()))</f>
        <v/>
      </c>
      <c r="F499" s="20">
        <f>IF(AND(ISNUMBER(B499),ISNUMBER(B498)),IF(B499=B498,"",(B499-B498)*100),"")</f>
        <v/>
      </c>
      <c r="G499" s="20">
        <f>IF(AND(ISNUMBER(C499),ISNUMBER(C498)),IF(C499=C498,"",(C499-C498)*100),"")</f>
        <v/>
      </c>
      <c r="H499" s="20">
        <f>IF(OR(NOT(ISNUMBER($A499)),ROW()-2&lt;Settings!$B$11),NA(),IF(COUNT(OFFSET(F499,1-Settings!$B$11,0,Settings!$B$11,1))&lt;ROUNDUP(Settings!$B$11*Settings!$B$26,0),NA(),STDEV(OFFSET(F499,1-Settings!$B$11,0,Settings!$B$11,1))*SQRT(Settings!$B$13)))</f>
        <v/>
      </c>
      <c r="I499" s="20">
        <f>IF(OR(NOT(ISNUMBER($A499)),ROW()-2&lt;Settings!$B$12),NA(),IF(COUNT(OFFSET(F499,1-Settings!$B$12,0,Settings!$B$12,1))&lt;ROUNDUP(Settings!$B$12*Settings!$B$26,0),NA(),STDEV(OFFSET(F499,1-Settings!$B$12,0,Settings!$B$12,1))*SQRT(Settings!$B$13)))</f>
        <v/>
      </c>
      <c r="J499" s="20">
        <f>IF(OR(NOT(ISNUMBER($A499)),ROW()-2&lt;Settings!$B$11),NA(),IF(COUNT(OFFSET(G499,1-Settings!$B$11,0,Settings!$B$11,1))&lt;ROUNDUP(Settings!$B$11*Settings!$B$26,0),NA(),STDEV(OFFSET(G499,1-Settings!$B$11,0,Settings!$B$11,1))*SQRT(Settings!$B$13)))</f>
        <v/>
      </c>
      <c r="K499" s="20">
        <f>IF(OR(NOT(ISNUMBER($A499)),ROW()-2&lt;Settings!$B$12),NA(),IF(COUNT(OFFSET(G499,1-Settings!$B$12,0,Settings!$B$12,1))&lt;ROUNDUP(Settings!$B$12*Settings!$B$26,0),NA(),STDEV(OFFSET(G499,1-Settings!$B$12,0,Settings!$B$12,1))*SQRT(Settings!$B$13)))</f>
        <v/>
      </c>
      <c r="L499" s="20">
        <f>IF(AND(ISNUMBER(D499),ISNUMBER(H499)),D499-H499,NA())</f>
        <v/>
      </c>
      <c r="M499" s="20">
        <f>IF(AND(ISNUMBER(E499),ISNUMBER(K499)),E499-K499,NA())</f>
        <v/>
      </c>
      <c r="N499" s="20">
        <f>IF(NOT(ISNUMBER($A499)),NA(),IF(COUNT(OFFSET(G499,1,0,Settings!$B$12,1))&lt;ROUNDUP(Settings!$B$12*Settings!$B$26,0),NA(),STDEV(OFFSET(G499,1,0,Settings!$B$12,1))*SQRT(Settings!$B$13)))</f>
        <v/>
      </c>
      <c r="O499" s="20">
        <f>IF(AND(ISNUMBER(E499),ISNUMBER(N499)),E499-N499,NA())</f>
        <v/>
      </c>
      <c r="P499" s="19">
        <f>IF(NOT(ISNUMBER($A499)),NA(),IF(OR($A499&lt;MIN(KW_TP!$A$2:$A$2501),$A499&gt;MAX(KW_TP!$A$2:$A$2501)),NA(),INDEX(KW_TP!$C$2:$C$2501,MATCH($A499,KW_TP!$A$2:$A$2501,1))))</f>
        <v/>
      </c>
      <c r="Q499" s="18">
        <f>IF(NOT(ISNUMBER($A499)),NA(),IFERROR(1*INDEX(BBG_Data!$J$2:$J$4000,MATCH($A499,BBG_Data!$I$2:$I$4000,0)),NA()))</f>
        <v/>
      </c>
      <c r="R499" s="18">
        <f>IF(NOT(ISNUMBER($A499)),NA(),IFERROR(1*INDEX(BBG_Data!$L$2:$L$4000,MATCH($A499,BBG_Data!$K$2:$K$4000,0)),NA()))</f>
        <v/>
      </c>
      <c r="S499" s="20">
        <f>IF(AND(ISNUMBER(B499),ISNUMBER(Q499),ISNUMBER(R499)),(B499-Q499-R499)*100,NA())</f>
        <v/>
      </c>
      <c r="T499" s="20">
        <f>IF(AND(ISNUMBER(B499),Settings!$B$17&gt;0),IF(ISNUMBER(INDEX($B:$B,Settings!$B$17)),(B499-INDEX($B:$B,Settings!$B$17))*100,NA()),NA())</f>
        <v/>
      </c>
      <c r="U499" s="20">
        <f>IF(AND(ISNUMBER(Q499),Settings!$B$17&gt;0),IF(ISNUMBER(INDEX($Q:$Q,Settings!$B$17)),(Q499-INDEX($Q:$Q,Settings!$B$17))*100,NA()),NA())</f>
        <v/>
      </c>
      <c r="V499" s="20">
        <f>IF(AND(ISNUMBER(R499),Settings!$B$17&gt;0),IF(ISNUMBER(INDEX($R:$R,Settings!$B$17)),(R499-INDEX($R:$R,Settings!$B$17))*100,NA()),NA())</f>
        <v/>
      </c>
      <c r="W499" s="20">
        <f>IF(AND(ISNUMBER(P499),Settings!$B$17&gt;0),IF(ISNUMBER(INDEX($P:$P,Settings!$B$17)),P499-INDEX($P:$P,Settings!$B$17),NA()),NA())</f>
        <v/>
      </c>
      <c r="X499" s="19">
        <f>IF(NOT(ISNUMBER($A499)),NA(),IF(OR($A499&lt;MIN(DKW_10Y!$A$2:$A$2918),$A499&gt;MAX(DKW_10Y!$A$2:$A$2918),Settings!$B$16&lt;MIN(DKW_10Y!$A$2:$A$2918)),NA(),(INDEX(DKW_10Y!$B$2:$B$2918,MATCH($A499,DKW_10Y!$A$2:$A$2918,1))-INDEX(DKW_10Y!$B$2:$B$2918,MATCH(Settings!$B$16,DKW_10Y!$A$2:$A$2918,1)))*100))</f>
        <v/>
      </c>
      <c r="Y499" s="19">
        <f>IF(NOT(ISNUMBER($A499)),NA(),IF(OR($A499&lt;MIN(DKW_10Y!$A$2:$A$2918),$A499&gt;MAX(DKW_10Y!$A$2:$A$2918),Settings!$B$16&lt;MIN(DKW_10Y!$A$2:$A$2918)),NA(),(INDEX(DKW_10Y!$C$2:$C$2918,MATCH($A499,DKW_10Y!$A$2:$A$2918,1))-INDEX(DKW_10Y!$C$2:$C$2918,MATCH(Settings!$B$16,DKW_10Y!$A$2:$A$2918,1)))*100))</f>
        <v/>
      </c>
      <c r="Z499" s="19">
        <f>IF(NOT(ISNUMBER($A499)),NA(),IF(OR($A499&lt;MIN(DKW_10Y!$A$2:$A$2918),$A499&gt;MAX(DKW_10Y!$A$2:$A$2918),Settings!$B$16&lt;MIN(DKW_10Y!$A$2:$A$2918)),NA(),(INDEX(DKW_10Y!$D$2:$D$2918,MATCH($A499,DKW_10Y!$A$2:$A$2918,1))-INDEX(DKW_10Y!$D$2:$D$2918,MATCH(Settings!$B$16,DKW_10Y!$A$2:$A$2918,1)))*100))</f>
        <v/>
      </c>
      <c r="AA499" s="19">
        <f>IF(NOT(ISNUMBER($A499)),NA(),IF(OR($A499&lt;MIN(DKW_10Y!$A$2:$A$2918),$A499&gt;MAX(DKW_10Y!$A$2:$A$2918),Settings!$B$16&lt;MIN(DKW_10Y!$A$2:$A$2918)),NA(),(INDEX(DKW_10Y!$E$2:$E$2918,MATCH($A499,DKW_10Y!$A$2:$A$2918,1))-INDEX(DKW_10Y!$E$2:$E$2918,MATCH(Settings!$B$16,DKW_10Y!$A$2:$A$2918,1)))*100))</f>
        <v/>
      </c>
      <c r="AB499" s="19">
        <f>IF(NOT(ISNUMBER($A499)),NA(),IF(OR($A499&lt;MIN(DKW_10Y!$A$2:$A$2918),$A499&gt;MAX(DKW_10Y!$A$2:$A$2918),Settings!$B$16&lt;MIN(DKW_10Y!$A$2:$A$2918)),NA(),(INDEX(DKW_10Y!$H$2:$H$2918,MATCH($A499,DKW_10Y!$A$2:$A$2918,1))-INDEX(DKW_10Y!$H$2:$H$2918,MATCH(Settings!$B$16,DKW_10Y!$A$2:$A$2918,1)))*100))</f>
        <v/>
      </c>
      <c r="AC499" s="18">
        <f>IF(NOT(ISNUMBER($A499)),NA(),IFERROR(1*INDEX(BBG_Data!$N$2:$N$4000,MATCH($A499,BBG_Data!$M$2:$M$4000,0)),NA()))</f>
        <v/>
      </c>
      <c r="AD499" s="18">
        <f>IF(NOT(ISNUMBER($A499)),NA(),IFERROR(1*INDEX(BBG_Data!$P$2:$P$4000,MATCH($A499,BBG_Data!$O$2:$O$4000,0)),NA()))</f>
        <v/>
      </c>
      <c r="AE499" s="18">
        <f>IF(NOT(ISNUMBER($A499)),NA(),IFERROR(1*INDEX(BBG_Data!$R$2:$R$4000,MATCH($A499,BBG_Data!$Q$2:$Q$4000,0)),NA()))</f>
        <v/>
      </c>
      <c r="AF499" s="20">
        <f>IF(AND(ISNUMBER(B499),ISNUMBER(AC499)),(B499-AC499)*100,NA())</f>
        <v/>
      </c>
      <c r="AG499" s="20">
        <f>IF(AND(ISNUMBER(AE499),ISNUMBER(AD499)),(AE499-AD499)*100,NA())</f>
        <v/>
      </c>
      <c r="AH499" s="19">
        <f>IF(NOT(ISNUMBER($A499)),NA(),IFERROR(INDEX(BBG_Data!$T$2:$T$4000,MATCH($A499,BBG_Data!$S$2:$S$4000,0))*Settings!$B$25,NA()))</f>
        <v/>
      </c>
      <c r="AI499" s="19">
        <f>IF(NOT(ISNUMBER($A499)),NA(),IFERROR(INDEX(BBG_Data!$V$2:$V$4000,MATCH($A499,BBG_Data!$U$2:$U$4000,0))*Settings!$B$25,NA()))</f>
        <v/>
      </c>
      <c r="AJ499" s="19">
        <f>IF(NOT(ISNUMBER($A499)),NA(),IFERROR(1*INDEX(BBG_Data!$X$2:$X$4000,MATCH($A499,BBG_Data!$W$2:$W$4000,0)),NA()))</f>
        <v/>
      </c>
      <c r="AK499" s="19">
        <f>IF(NOT(ISNUMBER($A499)),NA(),IFERROR(1*INDEX(BBG_Data!$Z$2:$Z$4000,MATCH($A499,BBG_Data!$Y$2:$Y$4000,0)),NA()))</f>
        <v/>
      </c>
    </row>
    <row r="500">
      <c r="A500" s="17">
        <f>IF(ISNUMBER(BBG_Data!A500),BBG_Data!A500,"")</f>
        <v/>
      </c>
      <c r="B500" s="18">
        <f>IF(AND(ISNUMBER($A500),ISNUMBER(BBG_Data!B500)),BBG_Data!B500,NA())</f>
        <v/>
      </c>
      <c r="C500" s="18">
        <f>IF(NOT(ISNUMBER($A500)),NA(),IFERROR(1*INDEX(BBG_Data!$D$2:$D$4000,MATCH($A500,BBG_Data!$C$2:$C$4000,0)),NA()))</f>
        <v/>
      </c>
      <c r="D500" s="19">
        <f>IF(NOT(ISNUMBER($A500)),NA(),IFERROR(1*INDEX(BBG_Data!$F$2:$F$4000,MATCH($A500,BBG_Data!$E$2:$E$4000,0)),NA()))</f>
        <v/>
      </c>
      <c r="E500" s="19">
        <f>IF(NOT(ISNUMBER($A500)),NA(),IFERROR(1*INDEX(BBG_Data!$H$2:$H$4000,MATCH($A500,BBG_Data!$G$2:$G$4000,0)),NA()))</f>
        <v/>
      </c>
      <c r="F500" s="20">
        <f>IF(AND(ISNUMBER(B500),ISNUMBER(B499)),IF(B500=B499,"",(B500-B499)*100),"")</f>
        <v/>
      </c>
      <c r="G500" s="20">
        <f>IF(AND(ISNUMBER(C500),ISNUMBER(C499)),IF(C500=C499,"",(C500-C499)*100),"")</f>
        <v/>
      </c>
      <c r="H500" s="20">
        <f>IF(OR(NOT(ISNUMBER($A500)),ROW()-2&lt;Settings!$B$11),NA(),IF(COUNT(OFFSET(F500,1-Settings!$B$11,0,Settings!$B$11,1))&lt;ROUNDUP(Settings!$B$11*Settings!$B$26,0),NA(),STDEV(OFFSET(F500,1-Settings!$B$11,0,Settings!$B$11,1))*SQRT(Settings!$B$13)))</f>
        <v/>
      </c>
      <c r="I500" s="20">
        <f>IF(OR(NOT(ISNUMBER($A500)),ROW()-2&lt;Settings!$B$12),NA(),IF(COUNT(OFFSET(F500,1-Settings!$B$12,0,Settings!$B$12,1))&lt;ROUNDUP(Settings!$B$12*Settings!$B$26,0),NA(),STDEV(OFFSET(F500,1-Settings!$B$12,0,Settings!$B$12,1))*SQRT(Settings!$B$13)))</f>
        <v/>
      </c>
      <c r="J500" s="20">
        <f>IF(OR(NOT(ISNUMBER($A500)),ROW()-2&lt;Settings!$B$11),NA(),IF(COUNT(OFFSET(G500,1-Settings!$B$11,0,Settings!$B$11,1))&lt;ROUNDUP(Settings!$B$11*Settings!$B$26,0),NA(),STDEV(OFFSET(G500,1-Settings!$B$11,0,Settings!$B$11,1))*SQRT(Settings!$B$13)))</f>
        <v/>
      </c>
      <c r="K500" s="20">
        <f>IF(OR(NOT(ISNUMBER($A500)),ROW()-2&lt;Settings!$B$12),NA(),IF(COUNT(OFFSET(G500,1-Settings!$B$12,0,Settings!$B$12,1))&lt;ROUNDUP(Settings!$B$12*Settings!$B$26,0),NA(),STDEV(OFFSET(G500,1-Settings!$B$12,0,Settings!$B$12,1))*SQRT(Settings!$B$13)))</f>
        <v/>
      </c>
      <c r="L500" s="20">
        <f>IF(AND(ISNUMBER(D500),ISNUMBER(H500)),D500-H500,NA())</f>
        <v/>
      </c>
      <c r="M500" s="20">
        <f>IF(AND(ISNUMBER(E500),ISNUMBER(K500)),E500-K500,NA())</f>
        <v/>
      </c>
      <c r="N500" s="20">
        <f>IF(NOT(ISNUMBER($A500)),NA(),IF(COUNT(OFFSET(G500,1,0,Settings!$B$12,1))&lt;ROUNDUP(Settings!$B$12*Settings!$B$26,0),NA(),STDEV(OFFSET(G500,1,0,Settings!$B$12,1))*SQRT(Settings!$B$13)))</f>
        <v/>
      </c>
      <c r="O500" s="20">
        <f>IF(AND(ISNUMBER(E500),ISNUMBER(N500)),E500-N500,NA())</f>
        <v/>
      </c>
      <c r="P500" s="19">
        <f>IF(NOT(ISNUMBER($A500)),NA(),IF(OR($A500&lt;MIN(KW_TP!$A$2:$A$2501),$A500&gt;MAX(KW_TP!$A$2:$A$2501)),NA(),INDEX(KW_TP!$C$2:$C$2501,MATCH($A500,KW_TP!$A$2:$A$2501,1))))</f>
        <v/>
      </c>
      <c r="Q500" s="18">
        <f>IF(NOT(ISNUMBER($A500)),NA(),IFERROR(1*INDEX(BBG_Data!$J$2:$J$4000,MATCH($A500,BBG_Data!$I$2:$I$4000,0)),NA()))</f>
        <v/>
      </c>
      <c r="R500" s="18">
        <f>IF(NOT(ISNUMBER($A500)),NA(),IFERROR(1*INDEX(BBG_Data!$L$2:$L$4000,MATCH($A500,BBG_Data!$K$2:$K$4000,0)),NA()))</f>
        <v/>
      </c>
      <c r="S500" s="20">
        <f>IF(AND(ISNUMBER(B500),ISNUMBER(Q500),ISNUMBER(R500)),(B500-Q500-R500)*100,NA())</f>
        <v/>
      </c>
      <c r="T500" s="20">
        <f>IF(AND(ISNUMBER(B500),Settings!$B$17&gt;0),IF(ISNUMBER(INDEX($B:$B,Settings!$B$17)),(B500-INDEX($B:$B,Settings!$B$17))*100,NA()),NA())</f>
        <v/>
      </c>
      <c r="U500" s="20">
        <f>IF(AND(ISNUMBER(Q500),Settings!$B$17&gt;0),IF(ISNUMBER(INDEX($Q:$Q,Settings!$B$17)),(Q500-INDEX($Q:$Q,Settings!$B$17))*100,NA()),NA())</f>
        <v/>
      </c>
      <c r="V500" s="20">
        <f>IF(AND(ISNUMBER(R500),Settings!$B$17&gt;0),IF(ISNUMBER(INDEX($R:$R,Settings!$B$17)),(R500-INDEX($R:$R,Settings!$B$17))*100,NA()),NA())</f>
        <v/>
      </c>
      <c r="W500" s="20">
        <f>IF(AND(ISNUMBER(P500),Settings!$B$17&gt;0),IF(ISNUMBER(INDEX($P:$P,Settings!$B$17)),P500-INDEX($P:$P,Settings!$B$17),NA()),NA())</f>
        <v/>
      </c>
      <c r="X500" s="19">
        <f>IF(NOT(ISNUMBER($A500)),NA(),IF(OR($A500&lt;MIN(DKW_10Y!$A$2:$A$2918),$A500&gt;MAX(DKW_10Y!$A$2:$A$2918),Settings!$B$16&lt;MIN(DKW_10Y!$A$2:$A$2918)),NA(),(INDEX(DKW_10Y!$B$2:$B$2918,MATCH($A500,DKW_10Y!$A$2:$A$2918,1))-INDEX(DKW_10Y!$B$2:$B$2918,MATCH(Settings!$B$16,DKW_10Y!$A$2:$A$2918,1)))*100))</f>
        <v/>
      </c>
      <c r="Y500" s="19">
        <f>IF(NOT(ISNUMBER($A500)),NA(),IF(OR($A500&lt;MIN(DKW_10Y!$A$2:$A$2918),$A500&gt;MAX(DKW_10Y!$A$2:$A$2918),Settings!$B$16&lt;MIN(DKW_10Y!$A$2:$A$2918)),NA(),(INDEX(DKW_10Y!$C$2:$C$2918,MATCH($A500,DKW_10Y!$A$2:$A$2918,1))-INDEX(DKW_10Y!$C$2:$C$2918,MATCH(Settings!$B$16,DKW_10Y!$A$2:$A$2918,1)))*100))</f>
        <v/>
      </c>
      <c r="Z500" s="19">
        <f>IF(NOT(ISNUMBER($A500)),NA(),IF(OR($A500&lt;MIN(DKW_10Y!$A$2:$A$2918),$A500&gt;MAX(DKW_10Y!$A$2:$A$2918),Settings!$B$16&lt;MIN(DKW_10Y!$A$2:$A$2918)),NA(),(INDEX(DKW_10Y!$D$2:$D$2918,MATCH($A500,DKW_10Y!$A$2:$A$2918,1))-INDEX(DKW_10Y!$D$2:$D$2918,MATCH(Settings!$B$16,DKW_10Y!$A$2:$A$2918,1)))*100))</f>
        <v/>
      </c>
      <c r="AA500" s="19">
        <f>IF(NOT(ISNUMBER($A500)),NA(),IF(OR($A500&lt;MIN(DKW_10Y!$A$2:$A$2918),$A500&gt;MAX(DKW_10Y!$A$2:$A$2918),Settings!$B$16&lt;MIN(DKW_10Y!$A$2:$A$2918)),NA(),(INDEX(DKW_10Y!$E$2:$E$2918,MATCH($A500,DKW_10Y!$A$2:$A$2918,1))-INDEX(DKW_10Y!$E$2:$E$2918,MATCH(Settings!$B$16,DKW_10Y!$A$2:$A$2918,1)))*100))</f>
        <v/>
      </c>
      <c r="AB500" s="19">
        <f>IF(NOT(ISNUMBER($A500)),NA(),IF(OR($A500&lt;MIN(DKW_10Y!$A$2:$A$2918),$A500&gt;MAX(DKW_10Y!$A$2:$A$2918),Settings!$B$16&lt;MIN(DKW_10Y!$A$2:$A$2918)),NA(),(INDEX(DKW_10Y!$H$2:$H$2918,MATCH($A500,DKW_10Y!$A$2:$A$2918,1))-INDEX(DKW_10Y!$H$2:$H$2918,MATCH(Settings!$B$16,DKW_10Y!$A$2:$A$2918,1)))*100))</f>
        <v/>
      </c>
      <c r="AC500" s="18">
        <f>IF(NOT(ISNUMBER($A500)),NA(),IFERROR(1*INDEX(BBG_Data!$N$2:$N$4000,MATCH($A500,BBG_Data!$M$2:$M$4000,0)),NA()))</f>
        <v/>
      </c>
      <c r="AD500" s="18">
        <f>IF(NOT(ISNUMBER($A500)),NA(),IFERROR(1*INDEX(BBG_Data!$P$2:$P$4000,MATCH($A500,BBG_Data!$O$2:$O$4000,0)),NA()))</f>
        <v/>
      </c>
      <c r="AE500" s="18">
        <f>IF(NOT(ISNUMBER($A500)),NA(),IFERROR(1*INDEX(BBG_Data!$R$2:$R$4000,MATCH($A500,BBG_Data!$Q$2:$Q$4000,0)),NA()))</f>
        <v/>
      </c>
      <c r="AF500" s="20">
        <f>IF(AND(ISNUMBER(B500),ISNUMBER(AC500)),(B500-AC500)*100,NA())</f>
        <v/>
      </c>
      <c r="AG500" s="20">
        <f>IF(AND(ISNUMBER(AE500),ISNUMBER(AD500)),(AE500-AD500)*100,NA())</f>
        <v/>
      </c>
      <c r="AH500" s="19">
        <f>IF(NOT(ISNUMBER($A500)),NA(),IFERROR(INDEX(BBG_Data!$T$2:$T$4000,MATCH($A500,BBG_Data!$S$2:$S$4000,0))*Settings!$B$25,NA()))</f>
        <v/>
      </c>
      <c r="AI500" s="19">
        <f>IF(NOT(ISNUMBER($A500)),NA(),IFERROR(INDEX(BBG_Data!$V$2:$V$4000,MATCH($A500,BBG_Data!$U$2:$U$4000,0))*Settings!$B$25,NA()))</f>
        <v/>
      </c>
      <c r="AJ500" s="19">
        <f>IF(NOT(ISNUMBER($A500)),NA(),IFERROR(1*INDEX(BBG_Data!$X$2:$X$4000,MATCH($A500,BBG_Data!$W$2:$W$4000,0)),NA()))</f>
        <v/>
      </c>
      <c r="AK500" s="19">
        <f>IF(NOT(ISNUMBER($A500)),NA(),IFERROR(1*INDEX(BBG_Data!$Z$2:$Z$4000,MATCH($A500,BBG_Data!$Y$2:$Y$4000,0)),NA()))</f>
        <v/>
      </c>
    </row>
    <row r="501">
      <c r="A501" s="17">
        <f>IF(ISNUMBER(BBG_Data!A501),BBG_Data!A501,"")</f>
        <v/>
      </c>
      <c r="B501" s="18">
        <f>IF(AND(ISNUMBER($A501),ISNUMBER(BBG_Data!B501)),BBG_Data!B501,NA())</f>
        <v/>
      </c>
      <c r="C501" s="18">
        <f>IF(NOT(ISNUMBER($A501)),NA(),IFERROR(1*INDEX(BBG_Data!$D$2:$D$4000,MATCH($A501,BBG_Data!$C$2:$C$4000,0)),NA()))</f>
        <v/>
      </c>
      <c r="D501" s="19">
        <f>IF(NOT(ISNUMBER($A501)),NA(),IFERROR(1*INDEX(BBG_Data!$F$2:$F$4000,MATCH($A501,BBG_Data!$E$2:$E$4000,0)),NA()))</f>
        <v/>
      </c>
      <c r="E501" s="19">
        <f>IF(NOT(ISNUMBER($A501)),NA(),IFERROR(1*INDEX(BBG_Data!$H$2:$H$4000,MATCH($A501,BBG_Data!$G$2:$G$4000,0)),NA()))</f>
        <v/>
      </c>
      <c r="F501" s="20">
        <f>IF(AND(ISNUMBER(B501),ISNUMBER(B500)),IF(B501=B500,"",(B501-B500)*100),"")</f>
        <v/>
      </c>
      <c r="G501" s="20">
        <f>IF(AND(ISNUMBER(C501),ISNUMBER(C500)),IF(C501=C500,"",(C501-C500)*100),"")</f>
        <v/>
      </c>
      <c r="H501" s="20">
        <f>IF(OR(NOT(ISNUMBER($A501)),ROW()-2&lt;Settings!$B$11),NA(),IF(COUNT(OFFSET(F501,1-Settings!$B$11,0,Settings!$B$11,1))&lt;ROUNDUP(Settings!$B$11*Settings!$B$26,0),NA(),STDEV(OFFSET(F501,1-Settings!$B$11,0,Settings!$B$11,1))*SQRT(Settings!$B$13)))</f>
        <v/>
      </c>
      <c r="I501" s="20">
        <f>IF(OR(NOT(ISNUMBER($A501)),ROW()-2&lt;Settings!$B$12),NA(),IF(COUNT(OFFSET(F501,1-Settings!$B$12,0,Settings!$B$12,1))&lt;ROUNDUP(Settings!$B$12*Settings!$B$26,0),NA(),STDEV(OFFSET(F501,1-Settings!$B$12,0,Settings!$B$12,1))*SQRT(Settings!$B$13)))</f>
        <v/>
      </c>
      <c r="J501" s="20">
        <f>IF(OR(NOT(ISNUMBER($A501)),ROW()-2&lt;Settings!$B$11),NA(),IF(COUNT(OFFSET(G501,1-Settings!$B$11,0,Settings!$B$11,1))&lt;ROUNDUP(Settings!$B$11*Settings!$B$26,0),NA(),STDEV(OFFSET(G501,1-Settings!$B$11,0,Settings!$B$11,1))*SQRT(Settings!$B$13)))</f>
        <v/>
      </c>
      <c r="K501" s="20">
        <f>IF(OR(NOT(ISNUMBER($A501)),ROW()-2&lt;Settings!$B$12),NA(),IF(COUNT(OFFSET(G501,1-Settings!$B$12,0,Settings!$B$12,1))&lt;ROUNDUP(Settings!$B$12*Settings!$B$26,0),NA(),STDEV(OFFSET(G501,1-Settings!$B$12,0,Settings!$B$12,1))*SQRT(Settings!$B$13)))</f>
        <v/>
      </c>
      <c r="L501" s="20">
        <f>IF(AND(ISNUMBER(D501),ISNUMBER(H501)),D501-H501,NA())</f>
        <v/>
      </c>
      <c r="M501" s="20">
        <f>IF(AND(ISNUMBER(E501),ISNUMBER(K501)),E501-K501,NA())</f>
        <v/>
      </c>
      <c r="N501" s="20">
        <f>IF(NOT(ISNUMBER($A501)),NA(),IF(COUNT(OFFSET(G501,1,0,Settings!$B$12,1))&lt;ROUNDUP(Settings!$B$12*Settings!$B$26,0),NA(),STDEV(OFFSET(G501,1,0,Settings!$B$12,1))*SQRT(Settings!$B$13)))</f>
        <v/>
      </c>
      <c r="O501" s="20">
        <f>IF(AND(ISNUMBER(E501),ISNUMBER(N501)),E501-N501,NA())</f>
        <v/>
      </c>
      <c r="P501" s="19">
        <f>IF(NOT(ISNUMBER($A501)),NA(),IF(OR($A501&lt;MIN(KW_TP!$A$2:$A$2501),$A501&gt;MAX(KW_TP!$A$2:$A$2501)),NA(),INDEX(KW_TP!$C$2:$C$2501,MATCH($A501,KW_TP!$A$2:$A$2501,1))))</f>
        <v/>
      </c>
      <c r="Q501" s="18">
        <f>IF(NOT(ISNUMBER($A501)),NA(),IFERROR(1*INDEX(BBG_Data!$J$2:$J$4000,MATCH($A501,BBG_Data!$I$2:$I$4000,0)),NA()))</f>
        <v/>
      </c>
      <c r="R501" s="18">
        <f>IF(NOT(ISNUMBER($A501)),NA(),IFERROR(1*INDEX(BBG_Data!$L$2:$L$4000,MATCH($A501,BBG_Data!$K$2:$K$4000,0)),NA()))</f>
        <v/>
      </c>
      <c r="S501" s="20">
        <f>IF(AND(ISNUMBER(B501),ISNUMBER(Q501),ISNUMBER(R501)),(B501-Q501-R501)*100,NA())</f>
        <v/>
      </c>
      <c r="T501" s="20">
        <f>IF(AND(ISNUMBER(B501),Settings!$B$17&gt;0),IF(ISNUMBER(INDEX($B:$B,Settings!$B$17)),(B501-INDEX($B:$B,Settings!$B$17))*100,NA()),NA())</f>
        <v/>
      </c>
      <c r="U501" s="20">
        <f>IF(AND(ISNUMBER(Q501),Settings!$B$17&gt;0),IF(ISNUMBER(INDEX($Q:$Q,Settings!$B$17)),(Q501-INDEX($Q:$Q,Settings!$B$17))*100,NA()),NA())</f>
        <v/>
      </c>
      <c r="V501" s="20">
        <f>IF(AND(ISNUMBER(R501),Settings!$B$17&gt;0),IF(ISNUMBER(INDEX($R:$R,Settings!$B$17)),(R501-INDEX($R:$R,Settings!$B$17))*100,NA()),NA())</f>
        <v/>
      </c>
      <c r="W501" s="20">
        <f>IF(AND(ISNUMBER(P501),Settings!$B$17&gt;0),IF(ISNUMBER(INDEX($P:$P,Settings!$B$17)),P501-INDEX($P:$P,Settings!$B$17),NA()),NA())</f>
        <v/>
      </c>
      <c r="X501" s="19">
        <f>IF(NOT(ISNUMBER($A501)),NA(),IF(OR($A501&lt;MIN(DKW_10Y!$A$2:$A$2918),$A501&gt;MAX(DKW_10Y!$A$2:$A$2918),Settings!$B$16&lt;MIN(DKW_10Y!$A$2:$A$2918)),NA(),(INDEX(DKW_10Y!$B$2:$B$2918,MATCH($A501,DKW_10Y!$A$2:$A$2918,1))-INDEX(DKW_10Y!$B$2:$B$2918,MATCH(Settings!$B$16,DKW_10Y!$A$2:$A$2918,1)))*100))</f>
        <v/>
      </c>
      <c r="Y501" s="19">
        <f>IF(NOT(ISNUMBER($A501)),NA(),IF(OR($A501&lt;MIN(DKW_10Y!$A$2:$A$2918),$A501&gt;MAX(DKW_10Y!$A$2:$A$2918),Settings!$B$16&lt;MIN(DKW_10Y!$A$2:$A$2918)),NA(),(INDEX(DKW_10Y!$C$2:$C$2918,MATCH($A501,DKW_10Y!$A$2:$A$2918,1))-INDEX(DKW_10Y!$C$2:$C$2918,MATCH(Settings!$B$16,DKW_10Y!$A$2:$A$2918,1)))*100))</f>
        <v/>
      </c>
      <c r="Z501" s="19">
        <f>IF(NOT(ISNUMBER($A501)),NA(),IF(OR($A501&lt;MIN(DKW_10Y!$A$2:$A$2918),$A501&gt;MAX(DKW_10Y!$A$2:$A$2918),Settings!$B$16&lt;MIN(DKW_10Y!$A$2:$A$2918)),NA(),(INDEX(DKW_10Y!$D$2:$D$2918,MATCH($A501,DKW_10Y!$A$2:$A$2918,1))-INDEX(DKW_10Y!$D$2:$D$2918,MATCH(Settings!$B$16,DKW_10Y!$A$2:$A$2918,1)))*100))</f>
        <v/>
      </c>
      <c r="AA501" s="19">
        <f>IF(NOT(ISNUMBER($A501)),NA(),IF(OR($A501&lt;MIN(DKW_10Y!$A$2:$A$2918),$A501&gt;MAX(DKW_10Y!$A$2:$A$2918),Settings!$B$16&lt;MIN(DKW_10Y!$A$2:$A$2918)),NA(),(INDEX(DKW_10Y!$E$2:$E$2918,MATCH($A501,DKW_10Y!$A$2:$A$2918,1))-INDEX(DKW_10Y!$E$2:$E$2918,MATCH(Settings!$B$16,DKW_10Y!$A$2:$A$2918,1)))*100))</f>
        <v/>
      </c>
      <c r="AB501" s="19">
        <f>IF(NOT(ISNUMBER($A501)),NA(),IF(OR($A501&lt;MIN(DKW_10Y!$A$2:$A$2918),$A501&gt;MAX(DKW_10Y!$A$2:$A$2918),Settings!$B$16&lt;MIN(DKW_10Y!$A$2:$A$2918)),NA(),(INDEX(DKW_10Y!$H$2:$H$2918,MATCH($A501,DKW_10Y!$A$2:$A$2918,1))-INDEX(DKW_10Y!$H$2:$H$2918,MATCH(Settings!$B$16,DKW_10Y!$A$2:$A$2918,1)))*100))</f>
        <v/>
      </c>
      <c r="AC501" s="18">
        <f>IF(NOT(ISNUMBER($A501)),NA(),IFERROR(1*INDEX(BBG_Data!$N$2:$N$4000,MATCH($A501,BBG_Data!$M$2:$M$4000,0)),NA()))</f>
        <v/>
      </c>
      <c r="AD501" s="18">
        <f>IF(NOT(ISNUMBER($A501)),NA(),IFERROR(1*INDEX(BBG_Data!$P$2:$P$4000,MATCH($A501,BBG_Data!$O$2:$O$4000,0)),NA()))</f>
        <v/>
      </c>
      <c r="AE501" s="18">
        <f>IF(NOT(ISNUMBER($A501)),NA(),IFERROR(1*INDEX(BBG_Data!$R$2:$R$4000,MATCH($A501,BBG_Data!$Q$2:$Q$4000,0)),NA()))</f>
        <v/>
      </c>
      <c r="AF501" s="20">
        <f>IF(AND(ISNUMBER(B501),ISNUMBER(AC501)),(B501-AC501)*100,NA())</f>
        <v/>
      </c>
      <c r="AG501" s="20">
        <f>IF(AND(ISNUMBER(AE501),ISNUMBER(AD501)),(AE501-AD501)*100,NA())</f>
        <v/>
      </c>
      <c r="AH501" s="19">
        <f>IF(NOT(ISNUMBER($A501)),NA(),IFERROR(INDEX(BBG_Data!$T$2:$T$4000,MATCH($A501,BBG_Data!$S$2:$S$4000,0))*Settings!$B$25,NA()))</f>
        <v/>
      </c>
      <c r="AI501" s="19">
        <f>IF(NOT(ISNUMBER($A501)),NA(),IFERROR(INDEX(BBG_Data!$V$2:$V$4000,MATCH($A501,BBG_Data!$U$2:$U$4000,0))*Settings!$B$25,NA()))</f>
        <v/>
      </c>
      <c r="AJ501" s="19">
        <f>IF(NOT(ISNUMBER($A501)),NA(),IFERROR(1*INDEX(BBG_Data!$X$2:$X$4000,MATCH($A501,BBG_Data!$W$2:$W$4000,0)),NA()))</f>
        <v/>
      </c>
      <c r="AK501" s="19">
        <f>IF(NOT(ISNUMBER($A501)),NA(),IFERROR(1*INDEX(BBG_Data!$Z$2:$Z$4000,MATCH($A501,BBG_Data!$Y$2:$Y$4000,0)),NA()))</f>
        <v/>
      </c>
    </row>
    <row r="502">
      <c r="A502" s="17">
        <f>IF(ISNUMBER(BBG_Data!A502),BBG_Data!A502,"")</f>
        <v/>
      </c>
      <c r="B502" s="18">
        <f>IF(AND(ISNUMBER($A502),ISNUMBER(BBG_Data!B502)),BBG_Data!B502,NA())</f>
        <v/>
      </c>
      <c r="C502" s="18">
        <f>IF(NOT(ISNUMBER($A502)),NA(),IFERROR(1*INDEX(BBG_Data!$D$2:$D$4000,MATCH($A502,BBG_Data!$C$2:$C$4000,0)),NA()))</f>
        <v/>
      </c>
      <c r="D502" s="19">
        <f>IF(NOT(ISNUMBER($A502)),NA(),IFERROR(1*INDEX(BBG_Data!$F$2:$F$4000,MATCH($A502,BBG_Data!$E$2:$E$4000,0)),NA()))</f>
        <v/>
      </c>
      <c r="E502" s="19">
        <f>IF(NOT(ISNUMBER($A502)),NA(),IFERROR(1*INDEX(BBG_Data!$H$2:$H$4000,MATCH($A502,BBG_Data!$G$2:$G$4000,0)),NA()))</f>
        <v/>
      </c>
      <c r="F502" s="20">
        <f>IF(AND(ISNUMBER(B502),ISNUMBER(B501)),IF(B502=B501,"",(B502-B501)*100),"")</f>
        <v/>
      </c>
      <c r="G502" s="20">
        <f>IF(AND(ISNUMBER(C502),ISNUMBER(C501)),IF(C502=C501,"",(C502-C501)*100),"")</f>
        <v/>
      </c>
      <c r="H502" s="20">
        <f>IF(OR(NOT(ISNUMBER($A502)),ROW()-2&lt;Settings!$B$11),NA(),IF(COUNT(OFFSET(F502,1-Settings!$B$11,0,Settings!$B$11,1))&lt;ROUNDUP(Settings!$B$11*Settings!$B$26,0),NA(),STDEV(OFFSET(F502,1-Settings!$B$11,0,Settings!$B$11,1))*SQRT(Settings!$B$13)))</f>
        <v/>
      </c>
      <c r="I502" s="20">
        <f>IF(OR(NOT(ISNUMBER($A502)),ROW()-2&lt;Settings!$B$12),NA(),IF(COUNT(OFFSET(F502,1-Settings!$B$12,0,Settings!$B$12,1))&lt;ROUNDUP(Settings!$B$12*Settings!$B$26,0),NA(),STDEV(OFFSET(F502,1-Settings!$B$12,0,Settings!$B$12,1))*SQRT(Settings!$B$13)))</f>
        <v/>
      </c>
      <c r="J502" s="20">
        <f>IF(OR(NOT(ISNUMBER($A502)),ROW()-2&lt;Settings!$B$11),NA(),IF(COUNT(OFFSET(G502,1-Settings!$B$11,0,Settings!$B$11,1))&lt;ROUNDUP(Settings!$B$11*Settings!$B$26,0),NA(),STDEV(OFFSET(G502,1-Settings!$B$11,0,Settings!$B$11,1))*SQRT(Settings!$B$13)))</f>
        <v/>
      </c>
      <c r="K502" s="20">
        <f>IF(OR(NOT(ISNUMBER($A502)),ROW()-2&lt;Settings!$B$12),NA(),IF(COUNT(OFFSET(G502,1-Settings!$B$12,0,Settings!$B$12,1))&lt;ROUNDUP(Settings!$B$12*Settings!$B$26,0),NA(),STDEV(OFFSET(G502,1-Settings!$B$12,0,Settings!$B$12,1))*SQRT(Settings!$B$13)))</f>
        <v/>
      </c>
      <c r="L502" s="20">
        <f>IF(AND(ISNUMBER(D502),ISNUMBER(H502)),D502-H502,NA())</f>
        <v/>
      </c>
      <c r="M502" s="20">
        <f>IF(AND(ISNUMBER(E502),ISNUMBER(K502)),E502-K502,NA())</f>
        <v/>
      </c>
      <c r="N502" s="20">
        <f>IF(NOT(ISNUMBER($A502)),NA(),IF(COUNT(OFFSET(G502,1,0,Settings!$B$12,1))&lt;ROUNDUP(Settings!$B$12*Settings!$B$26,0),NA(),STDEV(OFFSET(G502,1,0,Settings!$B$12,1))*SQRT(Settings!$B$13)))</f>
        <v/>
      </c>
      <c r="O502" s="20">
        <f>IF(AND(ISNUMBER(E502),ISNUMBER(N502)),E502-N502,NA())</f>
        <v/>
      </c>
      <c r="P502" s="19">
        <f>IF(NOT(ISNUMBER($A502)),NA(),IF(OR($A502&lt;MIN(KW_TP!$A$2:$A$2501),$A502&gt;MAX(KW_TP!$A$2:$A$2501)),NA(),INDEX(KW_TP!$C$2:$C$2501,MATCH($A502,KW_TP!$A$2:$A$2501,1))))</f>
        <v/>
      </c>
      <c r="Q502" s="18">
        <f>IF(NOT(ISNUMBER($A502)),NA(),IFERROR(1*INDEX(BBG_Data!$J$2:$J$4000,MATCH($A502,BBG_Data!$I$2:$I$4000,0)),NA()))</f>
        <v/>
      </c>
      <c r="R502" s="18">
        <f>IF(NOT(ISNUMBER($A502)),NA(),IFERROR(1*INDEX(BBG_Data!$L$2:$L$4000,MATCH($A502,BBG_Data!$K$2:$K$4000,0)),NA()))</f>
        <v/>
      </c>
      <c r="S502" s="20">
        <f>IF(AND(ISNUMBER(B502),ISNUMBER(Q502),ISNUMBER(R502)),(B502-Q502-R502)*100,NA())</f>
        <v/>
      </c>
      <c r="T502" s="20">
        <f>IF(AND(ISNUMBER(B502),Settings!$B$17&gt;0),IF(ISNUMBER(INDEX($B:$B,Settings!$B$17)),(B502-INDEX($B:$B,Settings!$B$17))*100,NA()),NA())</f>
        <v/>
      </c>
      <c r="U502" s="20">
        <f>IF(AND(ISNUMBER(Q502),Settings!$B$17&gt;0),IF(ISNUMBER(INDEX($Q:$Q,Settings!$B$17)),(Q502-INDEX($Q:$Q,Settings!$B$17))*100,NA()),NA())</f>
        <v/>
      </c>
      <c r="V502" s="20">
        <f>IF(AND(ISNUMBER(R502),Settings!$B$17&gt;0),IF(ISNUMBER(INDEX($R:$R,Settings!$B$17)),(R502-INDEX($R:$R,Settings!$B$17))*100,NA()),NA())</f>
        <v/>
      </c>
      <c r="W502" s="20">
        <f>IF(AND(ISNUMBER(P502),Settings!$B$17&gt;0),IF(ISNUMBER(INDEX($P:$P,Settings!$B$17)),P502-INDEX($P:$P,Settings!$B$17),NA()),NA())</f>
        <v/>
      </c>
      <c r="X502" s="19">
        <f>IF(NOT(ISNUMBER($A502)),NA(),IF(OR($A502&lt;MIN(DKW_10Y!$A$2:$A$2918),$A502&gt;MAX(DKW_10Y!$A$2:$A$2918),Settings!$B$16&lt;MIN(DKW_10Y!$A$2:$A$2918)),NA(),(INDEX(DKW_10Y!$B$2:$B$2918,MATCH($A502,DKW_10Y!$A$2:$A$2918,1))-INDEX(DKW_10Y!$B$2:$B$2918,MATCH(Settings!$B$16,DKW_10Y!$A$2:$A$2918,1)))*100))</f>
        <v/>
      </c>
      <c r="Y502" s="19">
        <f>IF(NOT(ISNUMBER($A502)),NA(),IF(OR($A502&lt;MIN(DKW_10Y!$A$2:$A$2918),$A502&gt;MAX(DKW_10Y!$A$2:$A$2918),Settings!$B$16&lt;MIN(DKW_10Y!$A$2:$A$2918)),NA(),(INDEX(DKW_10Y!$C$2:$C$2918,MATCH($A502,DKW_10Y!$A$2:$A$2918,1))-INDEX(DKW_10Y!$C$2:$C$2918,MATCH(Settings!$B$16,DKW_10Y!$A$2:$A$2918,1)))*100))</f>
        <v/>
      </c>
      <c r="Z502" s="19">
        <f>IF(NOT(ISNUMBER($A502)),NA(),IF(OR($A502&lt;MIN(DKW_10Y!$A$2:$A$2918),$A502&gt;MAX(DKW_10Y!$A$2:$A$2918),Settings!$B$16&lt;MIN(DKW_10Y!$A$2:$A$2918)),NA(),(INDEX(DKW_10Y!$D$2:$D$2918,MATCH($A502,DKW_10Y!$A$2:$A$2918,1))-INDEX(DKW_10Y!$D$2:$D$2918,MATCH(Settings!$B$16,DKW_10Y!$A$2:$A$2918,1)))*100))</f>
        <v/>
      </c>
      <c r="AA502" s="19">
        <f>IF(NOT(ISNUMBER($A502)),NA(),IF(OR($A502&lt;MIN(DKW_10Y!$A$2:$A$2918),$A502&gt;MAX(DKW_10Y!$A$2:$A$2918),Settings!$B$16&lt;MIN(DKW_10Y!$A$2:$A$2918)),NA(),(INDEX(DKW_10Y!$E$2:$E$2918,MATCH($A502,DKW_10Y!$A$2:$A$2918,1))-INDEX(DKW_10Y!$E$2:$E$2918,MATCH(Settings!$B$16,DKW_10Y!$A$2:$A$2918,1)))*100))</f>
        <v/>
      </c>
      <c r="AB502" s="19">
        <f>IF(NOT(ISNUMBER($A502)),NA(),IF(OR($A502&lt;MIN(DKW_10Y!$A$2:$A$2918),$A502&gt;MAX(DKW_10Y!$A$2:$A$2918),Settings!$B$16&lt;MIN(DKW_10Y!$A$2:$A$2918)),NA(),(INDEX(DKW_10Y!$H$2:$H$2918,MATCH($A502,DKW_10Y!$A$2:$A$2918,1))-INDEX(DKW_10Y!$H$2:$H$2918,MATCH(Settings!$B$16,DKW_10Y!$A$2:$A$2918,1)))*100))</f>
        <v/>
      </c>
      <c r="AC502" s="18">
        <f>IF(NOT(ISNUMBER($A502)),NA(),IFERROR(1*INDEX(BBG_Data!$N$2:$N$4000,MATCH($A502,BBG_Data!$M$2:$M$4000,0)),NA()))</f>
        <v/>
      </c>
      <c r="AD502" s="18">
        <f>IF(NOT(ISNUMBER($A502)),NA(),IFERROR(1*INDEX(BBG_Data!$P$2:$P$4000,MATCH($A502,BBG_Data!$O$2:$O$4000,0)),NA()))</f>
        <v/>
      </c>
      <c r="AE502" s="18">
        <f>IF(NOT(ISNUMBER($A502)),NA(),IFERROR(1*INDEX(BBG_Data!$R$2:$R$4000,MATCH($A502,BBG_Data!$Q$2:$Q$4000,0)),NA()))</f>
        <v/>
      </c>
      <c r="AF502" s="20">
        <f>IF(AND(ISNUMBER(B502),ISNUMBER(AC502)),(B502-AC502)*100,NA())</f>
        <v/>
      </c>
      <c r="AG502" s="20">
        <f>IF(AND(ISNUMBER(AE502),ISNUMBER(AD502)),(AE502-AD502)*100,NA())</f>
        <v/>
      </c>
      <c r="AH502" s="19">
        <f>IF(NOT(ISNUMBER($A502)),NA(),IFERROR(INDEX(BBG_Data!$T$2:$T$4000,MATCH($A502,BBG_Data!$S$2:$S$4000,0))*Settings!$B$25,NA()))</f>
        <v/>
      </c>
      <c r="AI502" s="19">
        <f>IF(NOT(ISNUMBER($A502)),NA(),IFERROR(INDEX(BBG_Data!$V$2:$V$4000,MATCH($A502,BBG_Data!$U$2:$U$4000,0))*Settings!$B$25,NA()))</f>
        <v/>
      </c>
      <c r="AJ502" s="19">
        <f>IF(NOT(ISNUMBER($A502)),NA(),IFERROR(1*INDEX(BBG_Data!$X$2:$X$4000,MATCH($A502,BBG_Data!$W$2:$W$4000,0)),NA()))</f>
        <v/>
      </c>
      <c r="AK502" s="19">
        <f>IF(NOT(ISNUMBER($A502)),NA(),IFERROR(1*INDEX(BBG_Data!$Z$2:$Z$4000,MATCH($A502,BBG_Data!$Y$2:$Y$4000,0)),NA()))</f>
        <v/>
      </c>
    </row>
    <row r="503">
      <c r="A503" s="17">
        <f>IF(ISNUMBER(BBG_Data!A503),BBG_Data!A503,"")</f>
        <v/>
      </c>
      <c r="B503" s="18">
        <f>IF(AND(ISNUMBER($A503),ISNUMBER(BBG_Data!B503)),BBG_Data!B503,NA())</f>
        <v/>
      </c>
      <c r="C503" s="18">
        <f>IF(NOT(ISNUMBER($A503)),NA(),IFERROR(1*INDEX(BBG_Data!$D$2:$D$4000,MATCH($A503,BBG_Data!$C$2:$C$4000,0)),NA()))</f>
        <v/>
      </c>
      <c r="D503" s="19">
        <f>IF(NOT(ISNUMBER($A503)),NA(),IFERROR(1*INDEX(BBG_Data!$F$2:$F$4000,MATCH($A503,BBG_Data!$E$2:$E$4000,0)),NA()))</f>
        <v/>
      </c>
      <c r="E503" s="19">
        <f>IF(NOT(ISNUMBER($A503)),NA(),IFERROR(1*INDEX(BBG_Data!$H$2:$H$4000,MATCH($A503,BBG_Data!$G$2:$G$4000,0)),NA()))</f>
        <v/>
      </c>
      <c r="F503" s="20">
        <f>IF(AND(ISNUMBER(B503),ISNUMBER(B502)),IF(B503=B502,"",(B503-B502)*100),"")</f>
        <v/>
      </c>
      <c r="G503" s="20">
        <f>IF(AND(ISNUMBER(C503),ISNUMBER(C502)),IF(C503=C502,"",(C503-C502)*100),"")</f>
        <v/>
      </c>
      <c r="H503" s="20">
        <f>IF(OR(NOT(ISNUMBER($A503)),ROW()-2&lt;Settings!$B$11),NA(),IF(COUNT(OFFSET(F503,1-Settings!$B$11,0,Settings!$B$11,1))&lt;ROUNDUP(Settings!$B$11*Settings!$B$26,0),NA(),STDEV(OFFSET(F503,1-Settings!$B$11,0,Settings!$B$11,1))*SQRT(Settings!$B$13)))</f>
        <v/>
      </c>
      <c r="I503" s="20">
        <f>IF(OR(NOT(ISNUMBER($A503)),ROW()-2&lt;Settings!$B$12),NA(),IF(COUNT(OFFSET(F503,1-Settings!$B$12,0,Settings!$B$12,1))&lt;ROUNDUP(Settings!$B$12*Settings!$B$26,0),NA(),STDEV(OFFSET(F503,1-Settings!$B$12,0,Settings!$B$12,1))*SQRT(Settings!$B$13)))</f>
        <v/>
      </c>
      <c r="J503" s="20">
        <f>IF(OR(NOT(ISNUMBER($A503)),ROW()-2&lt;Settings!$B$11),NA(),IF(COUNT(OFFSET(G503,1-Settings!$B$11,0,Settings!$B$11,1))&lt;ROUNDUP(Settings!$B$11*Settings!$B$26,0),NA(),STDEV(OFFSET(G503,1-Settings!$B$11,0,Settings!$B$11,1))*SQRT(Settings!$B$13)))</f>
        <v/>
      </c>
      <c r="K503" s="20">
        <f>IF(OR(NOT(ISNUMBER($A503)),ROW()-2&lt;Settings!$B$12),NA(),IF(COUNT(OFFSET(G503,1-Settings!$B$12,0,Settings!$B$12,1))&lt;ROUNDUP(Settings!$B$12*Settings!$B$26,0),NA(),STDEV(OFFSET(G503,1-Settings!$B$12,0,Settings!$B$12,1))*SQRT(Settings!$B$13)))</f>
        <v/>
      </c>
      <c r="L503" s="20">
        <f>IF(AND(ISNUMBER(D503),ISNUMBER(H503)),D503-H503,NA())</f>
        <v/>
      </c>
      <c r="M503" s="20">
        <f>IF(AND(ISNUMBER(E503),ISNUMBER(K503)),E503-K503,NA())</f>
        <v/>
      </c>
      <c r="N503" s="20">
        <f>IF(NOT(ISNUMBER($A503)),NA(),IF(COUNT(OFFSET(G503,1,0,Settings!$B$12,1))&lt;ROUNDUP(Settings!$B$12*Settings!$B$26,0),NA(),STDEV(OFFSET(G503,1,0,Settings!$B$12,1))*SQRT(Settings!$B$13)))</f>
        <v/>
      </c>
      <c r="O503" s="20">
        <f>IF(AND(ISNUMBER(E503),ISNUMBER(N503)),E503-N503,NA())</f>
        <v/>
      </c>
      <c r="P503" s="19">
        <f>IF(NOT(ISNUMBER($A503)),NA(),IF(OR($A503&lt;MIN(KW_TP!$A$2:$A$2501),$A503&gt;MAX(KW_TP!$A$2:$A$2501)),NA(),INDEX(KW_TP!$C$2:$C$2501,MATCH($A503,KW_TP!$A$2:$A$2501,1))))</f>
        <v/>
      </c>
      <c r="Q503" s="18">
        <f>IF(NOT(ISNUMBER($A503)),NA(),IFERROR(1*INDEX(BBG_Data!$J$2:$J$4000,MATCH($A503,BBG_Data!$I$2:$I$4000,0)),NA()))</f>
        <v/>
      </c>
      <c r="R503" s="18">
        <f>IF(NOT(ISNUMBER($A503)),NA(),IFERROR(1*INDEX(BBG_Data!$L$2:$L$4000,MATCH($A503,BBG_Data!$K$2:$K$4000,0)),NA()))</f>
        <v/>
      </c>
      <c r="S503" s="20">
        <f>IF(AND(ISNUMBER(B503),ISNUMBER(Q503),ISNUMBER(R503)),(B503-Q503-R503)*100,NA())</f>
        <v/>
      </c>
      <c r="T503" s="20">
        <f>IF(AND(ISNUMBER(B503),Settings!$B$17&gt;0),IF(ISNUMBER(INDEX($B:$B,Settings!$B$17)),(B503-INDEX($B:$B,Settings!$B$17))*100,NA()),NA())</f>
        <v/>
      </c>
      <c r="U503" s="20">
        <f>IF(AND(ISNUMBER(Q503),Settings!$B$17&gt;0),IF(ISNUMBER(INDEX($Q:$Q,Settings!$B$17)),(Q503-INDEX($Q:$Q,Settings!$B$17))*100,NA()),NA())</f>
        <v/>
      </c>
      <c r="V503" s="20">
        <f>IF(AND(ISNUMBER(R503),Settings!$B$17&gt;0),IF(ISNUMBER(INDEX($R:$R,Settings!$B$17)),(R503-INDEX($R:$R,Settings!$B$17))*100,NA()),NA())</f>
        <v/>
      </c>
      <c r="W503" s="20">
        <f>IF(AND(ISNUMBER(P503),Settings!$B$17&gt;0),IF(ISNUMBER(INDEX($P:$P,Settings!$B$17)),P503-INDEX($P:$P,Settings!$B$17),NA()),NA())</f>
        <v/>
      </c>
      <c r="X503" s="19">
        <f>IF(NOT(ISNUMBER($A503)),NA(),IF(OR($A503&lt;MIN(DKW_10Y!$A$2:$A$2918),$A503&gt;MAX(DKW_10Y!$A$2:$A$2918),Settings!$B$16&lt;MIN(DKW_10Y!$A$2:$A$2918)),NA(),(INDEX(DKW_10Y!$B$2:$B$2918,MATCH($A503,DKW_10Y!$A$2:$A$2918,1))-INDEX(DKW_10Y!$B$2:$B$2918,MATCH(Settings!$B$16,DKW_10Y!$A$2:$A$2918,1)))*100))</f>
        <v/>
      </c>
      <c r="Y503" s="19">
        <f>IF(NOT(ISNUMBER($A503)),NA(),IF(OR($A503&lt;MIN(DKW_10Y!$A$2:$A$2918),$A503&gt;MAX(DKW_10Y!$A$2:$A$2918),Settings!$B$16&lt;MIN(DKW_10Y!$A$2:$A$2918)),NA(),(INDEX(DKW_10Y!$C$2:$C$2918,MATCH($A503,DKW_10Y!$A$2:$A$2918,1))-INDEX(DKW_10Y!$C$2:$C$2918,MATCH(Settings!$B$16,DKW_10Y!$A$2:$A$2918,1)))*100))</f>
        <v/>
      </c>
      <c r="Z503" s="19">
        <f>IF(NOT(ISNUMBER($A503)),NA(),IF(OR($A503&lt;MIN(DKW_10Y!$A$2:$A$2918),$A503&gt;MAX(DKW_10Y!$A$2:$A$2918),Settings!$B$16&lt;MIN(DKW_10Y!$A$2:$A$2918)),NA(),(INDEX(DKW_10Y!$D$2:$D$2918,MATCH($A503,DKW_10Y!$A$2:$A$2918,1))-INDEX(DKW_10Y!$D$2:$D$2918,MATCH(Settings!$B$16,DKW_10Y!$A$2:$A$2918,1)))*100))</f>
        <v/>
      </c>
      <c r="AA503" s="19">
        <f>IF(NOT(ISNUMBER($A503)),NA(),IF(OR($A503&lt;MIN(DKW_10Y!$A$2:$A$2918),$A503&gt;MAX(DKW_10Y!$A$2:$A$2918),Settings!$B$16&lt;MIN(DKW_10Y!$A$2:$A$2918)),NA(),(INDEX(DKW_10Y!$E$2:$E$2918,MATCH($A503,DKW_10Y!$A$2:$A$2918,1))-INDEX(DKW_10Y!$E$2:$E$2918,MATCH(Settings!$B$16,DKW_10Y!$A$2:$A$2918,1)))*100))</f>
        <v/>
      </c>
      <c r="AB503" s="19">
        <f>IF(NOT(ISNUMBER($A503)),NA(),IF(OR($A503&lt;MIN(DKW_10Y!$A$2:$A$2918),$A503&gt;MAX(DKW_10Y!$A$2:$A$2918),Settings!$B$16&lt;MIN(DKW_10Y!$A$2:$A$2918)),NA(),(INDEX(DKW_10Y!$H$2:$H$2918,MATCH($A503,DKW_10Y!$A$2:$A$2918,1))-INDEX(DKW_10Y!$H$2:$H$2918,MATCH(Settings!$B$16,DKW_10Y!$A$2:$A$2918,1)))*100))</f>
        <v/>
      </c>
      <c r="AC503" s="18">
        <f>IF(NOT(ISNUMBER($A503)),NA(),IFERROR(1*INDEX(BBG_Data!$N$2:$N$4000,MATCH($A503,BBG_Data!$M$2:$M$4000,0)),NA()))</f>
        <v/>
      </c>
      <c r="AD503" s="18">
        <f>IF(NOT(ISNUMBER($A503)),NA(),IFERROR(1*INDEX(BBG_Data!$P$2:$P$4000,MATCH($A503,BBG_Data!$O$2:$O$4000,0)),NA()))</f>
        <v/>
      </c>
      <c r="AE503" s="18">
        <f>IF(NOT(ISNUMBER($A503)),NA(),IFERROR(1*INDEX(BBG_Data!$R$2:$R$4000,MATCH($A503,BBG_Data!$Q$2:$Q$4000,0)),NA()))</f>
        <v/>
      </c>
      <c r="AF503" s="20">
        <f>IF(AND(ISNUMBER(B503),ISNUMBER(AC503)),(B503-AC503)*100,NA())</f>
        <v/>
      </c>
      <c r="AG503" s="20">
        <f>IF(AND(ISNUMBER(AE503),ISNUMBER(AD503)),(AE503-AD503)*100,NA())</f>
        <v/>
      </c>
      <c r="AH503" s="19">
        <f>IF(NOT(ISNUMBER($A503)),NA(),IFERROR(INDEX(BBG_Data!$T$2:$T$4000,MATCH($A503,BBG_Data!$S$2:$S$4000,0))*Settings!$B$25,NA()))</f>
        <v/>
      </c>
      <c r="AI503" s="19">
        <f>IF(NOT(ISNUMBER($A503)),NA(),IFERROR(INDEX(BBG_Data!$V$2:$V$4000,MATCH($A503,BBG_Data!$U$2:$U$4000,0))*Settings!$B$25,NA()))</f>
        <v/>
      </c>
      <c r="AJ503" s="19">
        <f>IF(NOT(ISNUMBER($A503)),NA(),IFERROR(1*INDEX(BBG_Data!$X$2:$X$4000,MATCH($A503,BBG_Data!$W$2:$W$4000,0)),NA()))</f>
        <v/>
      </c>
      <c r="AK503" s="19">
        <f>IF(NOT(ISNUMBER($A503)),NA(),IFERROR(1*INDEX(BBG_Data!$Z$2:$Z$4000,MATCH($A503,BBG_Data!$Y$2:$Y$4000,0)),NA()))</f>
        <v/>
      </c>
    </row>
    <row r="504">
      <c r="A504" s="17">
        <f>IF(ISNUMBER(BBG_Data!A504),BBG_Data!A504,"")</f>
        <v/>
      </c>
      <c r="B504" s="18">
        <f>IF(AND(ISNUMBER($A504),ISNUMBER(BBG_Data!B504)),BBG_Data!B504,NA())</f>
        <v/>
      </c>
      <c r="C504" s="18">
        <f>IF(NOT(ISNUMBER($A504)),NA(),IFERROR(1*INDEX(BBG_Data!$D$2:$D$4000,MATCH($A504,BBG_Data!$C$2:$C$4000,0)),NA()))</f>
        <v/>
      </c>
      <c r="D504" s="19">
        <f>IF(NOT(ISNUMBER($A504)),NA(),IFERROR(1*INDEX(BBG_Data!$F$2:$F$4000,MATCH($A504,BBG_Data!$E$2:$E$4000,0)),NA()))</f>
        <v/>
      </c>
      <c r="E504" s="19">
        <f>IF(NOT(ISNUMBER($A504)),NA(),IFERROR(1*INDEX(BBG_Data!$H$2:$H$4000,MATCH($A504,BBG_Data!$G$2:$G$4000,0)),NA()))</f>
        <v/>
      </c>
      <c r="F504" s="20">
        <f>IF(AND(ISNUMBER(B504),ISNUMBER(B503)),IF(B504=B503,"",(B504-B503)*100),"")</f>
        <v/>
      </c>
      <c r="G504" s="20">
        <f>IF(AND(ISNUMBER(C504),ISNUMBER(C503)),IF(C504=C503,"",(C504-C503)*100),"")</f>
        <v/>
      </c>
      <c r="H504" s="20">
        <f>IF(OR(NOT(ISNUMBER($A504)),ROW()-2&lt;Settings!$B$11),NA(),IF(COUNT(OFFSET(F504,1-Settings!$B$11,0,Settings!$B$11,1))&lt;ROUNDUP(Settings!$B$11*Settings!$B$26,0),NA(),STDEV(OFFSET(F504,1-Settings!$B$11,0,Settings!$B$11,1))*SQRT(Settings!$B$13)))</f>
        <v/>
      </c>
      <c r="I504" s="20">
        <f>IF(OR(NOT(ISNUMBER($A504)),ROW()-2&lt;Settings!$B$12),NA(),IF(COUNT(OFFSET(F504,1-Settings!$B$12,0,Settings!$B$12,1))&lt;ROUNDUP(Settings!$B$12*Settings!$B$26,0),NA(),STDEV(OFFSET(F504,1-Settings!$B$12,0,Settings!$B$12,1))*SQRT(Settings!$B$13)))</f>
        <v/>
      </c>
      <c r="J504" s="20">
        <f>IF(OR(NOT(ISNUMBER($A504)),ROW()-2&lt;Settings!$B$11),NA(),IF(COUNT(OFFSET(G504,1-Settings!$B$11,0,Settings!$B$11,1))&lt;ROUNDUP(Settings!$B$11*Settings!$B$26,0),NA(),STDEV(OFFSET(G504,1-Settings!$B$11,0,Settings!$B$11,1))*SQRT(Settings!$B$13)))</f>
        <v/>
      </c>
      <c r="K504" s="20">
        <f>IF(OR(NOT(ISNUMBER($A504)),ROW()-2&lt;Settings!$B$12),NA(),IF(COUNT(OFFSET(G504,1-Settings!$B$12,0,Settings!$B$12,1))&lt;ROUNDUP(Settings!$B$12*Settings!$B$26,0),NA(),STDEV(OFFSET(G504,1-Settings!$B$12,0,Settings!$B$12,1))*SQRT(Settings!$B$13)))</f>
        <v/>
      </c>
      <c r="L504" s="20">
        <f>IF(AND(ISNUMBER(D504),ISNUMBER(H504)),D504-H504,NA())</f>
        <v/>
      </c>
      <c r="M504" s="20">
        <f>IF(AND(ISNUMBER(E504),ISNUMBER(K504)),E504-K504,NA())</f>
        <v/>
      </c>
      <c r="N504" s="20">
        <f>IF(NOT(ISNUMBER($A504)),NA(),IF(COUNT(OFFSET(G504,1,0,Settings!$B$12,1))&lt;ROUNDUP(Settings!$B$12*Settings!$B$26,0),NA(),STDEV(OFFSET(G504,1,0,Settings!$B$12,1))*SQRT(Settings!$B$13)))</f>
        <v/>
      </c>
      <c r="O504" s="20">
        <f>IF(AND(ISNUMBER(E504),ISNUMBER(N504)),E504-N504,NA())</f>
        <v/>
      </c>
      <c r="P504" s="19">
        <f>IF(NOT(ISNUMBER($A504)),NA(),IF(OR($A504&lt;MIN(KW_TP!$A$2:$A$2501),$A504&gt;MAX(KW_TP!$A$2:$A$2501)),NA(),INDEX(KW_TP!$C$2:$C$2501,MATCH($A504,KW_TP!$A$2:$A$2501,1))))</f>
        <v/>
      </c>
      <c r="Q504" s="18">
        <f>IF(NOT(ISNUMBER($A504)),NA(),IFERROR(1*INDEX(BBG_Data!$J$2:$J$4000,MATCH($A504,BBG_Data!$I$2:$I$4000,0)),NA()))</f>
        <v/>
      </c>
      <c r="R504" s="18">
        <f>IF(NOT(ISNUMBER($A504)),NA(),IFERROR(1*INDEX(BBG_Data!$L$2:$L$4000,MATCH($A504,BBG_Data!$K$2:$K$4000,0)),NA()))</f>
        <v/>
      </c>
      <c r="S504" s="20">
        <f>IF(AND(ISNUMBER(B504),ISNUMBER(Q504),ISNUMBER(R504)),(B504-Q504-R504)*100,NA())</f>
        <v/>
      </c>
      <c r="T504" s="20">
        <f>IF(AND(ISNUMBER(B504),Settings!$B$17&gt;0),IF(ISNUMBER(INDEX($B:$B,Settings!$B$17)),(B504-INDEX($B:$B,Settings!$B$17))*100,NA()),NA())</f>
        <v/>
      </c>
      <c r="U504" s="20">
        <f>IF(AND(ISNUMBER(Q504),Settings!$B$17&gt;0),IF(ISNUMBER(INDEX($Q:$Q,Settings!$B$17)),(Q504-INDEX($Q:$Q,Settings!$B$17))*100,NA()),NA())</f>
        <v/>
      </c>
      <c r="V504" s="20">
        <f>IF(AND(ISNUMBER(R504),Settings!$B$17&gt;0),IF(ISNUMBER(INDEX($R:$R,Settings!$B$17)),(R504-INDEX($R:$R,Settings!$B$17))*100,NA()),NA())</f>
        <v/>
      </c>
      <c r="W504" s="20">
        <f>IF(AND(ISNUMBER(P504),Settings!$B$17&gt;0),IF(ISNUMBER(INDEX($P:$P,Settings!$B$17)),P504-INDEX($P:$P,Settings!$B$17),NA()),NA())</f>
        <v/>
      </c>
      <c r="X504" s="19">
        <f>IF(NOT(ISNUMBER($A504)),NA(),IF(OR($A504&lt;MIN(DKW_10Y!$A$2:$A$2918),$A504&gt;MAX(DKW_10Y!$A$2:$A$2918),Settings!$B$16&lt;MIN(DKW_10Y!$A$2:$A$2918)),NA(),(INDEX(DKW_10Y!$B$2:$B$2918,MATCH($A504,DKW_10Y!$A$2:$A$2918,1))-INDEX(DKW_10Y!$B$2:$B$2918,MATCH(Settings!$B$16,DKW_10Y!$A$2:$A$2918,1)))*100))</f>
        <v/>
      </c>
      <c r="Y504" s="19">
        <f>IF(NOT(ISNUMBER($A504)),NA(),IF(OR($A504&lt;MIN(DKW_10Y!$A$2:$A$2918),$A504&gt;MAX(DKW_10Y!$A$2:$A$2918),Settings!$B$16&lt;MIN(DKW_10Y!$A$2:$A$2918)),NA(),(INDEX(DKW_10Y!$C$2:$C$2918,MATCH($A504,DKW_10Y!$A$2:$A$2918,1))-INDEX(DKW_10Y!$C$2:$C$2918,MATCH(Settings!$B$16,DKW_10Y!$A$2:$A$2918,1)))*100))</f>
        <v/>
      </c>
      <c r="Z504" s="19">
        <f>IF(NOT(ISNUMBER($A504)),NA(),IF(OR($A504&lt;MIN(DKW_10Y!$A$2:$A$2918),$A504&gt;MAX(DKW_10Y!$A$2:$A$2918),Settings!$B$16&lt;MIN(DKW_10Y!$A$2:$A$2918)),NA(),(INDEX(DKW_10Y!$D$2:$D$2918,MATCH($A504,DKW_10Y!$A$2:$A$2918,1))-INDEX(DKW_10Y!$D$2:$D$2918,MATCH(Settings!$B$16,DKW_10Y!$A$2:$A$2918,1)))*100))</f>
        <v/>
      </c>
      <c r="AA504" s="19">
        <f>IF(NOT(ISNUMBER($A504)),NA(),IF(OR($A504&lt;MIN(DKW_10Y!$A$2:$A$2918),$A504&gt;MAX(DKW_10Y!$A$2:$A$2918),Settings!$B$16&lt;MIN(DKW_10Y!$A$2:$A$2918)),NA(),(INDEX(DKW_10Y!$E$2:$E$2918,MATCH($A504,DKW_10Y!$A$2:$A$2918,1))-INDEX(DKW_10Y!$E$2:$E$2918,MATCH(Settings!$B$16,DKW_10Y!$A$2:$A$2918,1)))*100))</f>
        <v/>
      </c>
      <c r="AB504" s="19">
        <f>IF(NOT(ISNUMBER($A504)),NA(),IF(OR($A504&lt;MIN(DKW_10Y!$A$2:$A$2918),$A504&gt;MAX(DKW_10Y!$A$2:$A$2918),Settings!$B$16&lt;MIN(DKW_10Y!$A$2:$A$2918)),NA(),(INDEX(DKW_10Y!$H$2:$H$2918,MATCH($A504,DKW_10Y!$A$2:$A$2918,1))-INDEX(DKW_10Y!$H$2:$H$2918,MATCH(Settings!$B$16,DKW_10Y!$A$2:$A$2918,1)))*100))</f>
        <v/>
      </c>
      <c r="AC504" s="18">
        <f>IF(NOT(ISNUMBER($A504)),NA(),IFERROR(1*INDEX(BBG_Data!$N$2:$N$4000,MATCH($A504,BBG_Data!$M$2:$M$4000,0)),NA()))</f>
        <v/>
      </c>
      <c r="AD504" s="18">
        <f>IF(NOT(ISNUMBER($A504)),NA(),IFERROR(1*INDEX(BBG_Data!$P$2:$P$4000,MATCH($A504,BBG_Data!$O$2:$O$4000,0)),NA()))</f>
        <v/>
      </c>
      <c r="AE504" s="18">
        <f>IF(NOT(ISNUMBER($A504)),NA(),IFERROR(1*INDEX(BBG_Data!$R$2:$R$4000,MATCH($A504,BBG_Data!$Q$2:$Q$4000,0)),NA()))</f>
        <v/>
      </c>
      <c r="AF504" s="20">
        <f>IF(AND(ISNUMBER(B504),ISNUMBER(AC504)),(B504-AC504)*100,NA())</f>
        <v/>
      </c>
      <c r="AG504" s="20">
        <f>IF(AND(ISNUMBER(AE504),ISNUMBER(AD504)),(AE504-AD504)*100,NA())</f>
        <v/>
      </c>
      <c r="AH504" s="19">
        <f>IF(NOT(ISNUMBER($A504)),NA(),IFERROR(INDEX(BBG_Data!$T$2:$T$4000,MATCH($A504,BBG_Data!$S$2:$S$4000,0))*Settings!$B$25,NA()))</f>
        <v/>
      </c>
      <c r="AI504" s="19">
        <f>IF(NOT(ISNUMBER($A504)),NA(),IFERROR(INDEX(BBG_Data!$V$2:$V$4000,MATCH($A504,BBG_Data!$U$2:$U$4000,0))*Settings!$B$25,NA()))</f>
        <v/>
      </c>
      <c r="AJ504" s="19">
        <f>IF(NOT(ISNUMBER($A504)),NA(),IFERROR(1*INDEX(BBG_Data!$X$2:$X$4000,MATCH($A504,BBG_Data!$W$2:$W$4000,0)),NA()))</f>
        <v/>
      </c>
      <c r="AK504" s="19">
        <f>IF(NOT(ISNUMBER($A504)),NA(),IFERROR(1*INDEX(BBG_Data!$Z$2:$Z$4000,MATCH($A504,BBG_Data!$Y$2:$Y$4000,0)),NA()))</f>
        <v/>
      </c>
    </row>
    <row r="505">
      <c r="A505" s="17">
        <f>IF(ISNUMBER(BBG_Data!A505),BBG_Data!A505,"")</f>
        <v/>
      </c>
      <c r="B505" s="18">
        <f>IF(AND(ISNUMBER($A505),ISNUMBER(BBG_Data!B505)),BBG_Data!B505,NA())</f>
        <v/>
      </c>
      <c r="C505" s="18">
        <f>IF(NOT(ISNUMBER($A505)),NA(),IFERROR(1*INDEX(BBG_Data!$D$2:$D$4000,MATCH($A505,BBG_Data!$C$2:$C$4000,0)),NA()))</f>
        <v/>
      </c>
      <c r="D505" s="19">
        <f>IF(NOT(ISNUMBER($A505)),NA(),IFERROR(1*INDEX(BBG_Data!$F$2:$F$4000,MATCH($A505,BBG_Data!$E$2:$E$4000,0)),NA()))</f>
        <v/>
      </c>
      <c r="E505" s="19">
        <f>IF(NOT(ISNUMBER($A505)),NA(),IFERROR(1*INDEX(BBG_Data!$H$2:$H$4000,MATCH($A505,BBG_Data!$G$2:$G$4000,0)),NA()))</f>
        <v/>
      </c>
      <c r="F505" s="20">
        <f>IF(AND(ISNUMBER(B505),ISNUMBER(B504)),IF(B505=B504,"",(B505-B504)*100),"")</f>
        <v/>
      </c>
      <c r="G505" s="20">
        <f>IF(AND(ISNUMBER(C505),ISNUMBER(C504)),IF(C505=C504,"",(C505-C504)*100),"")</f>
        <v/>
      </c>
      <c r="H505" s="20">
        <f>IF(OR(NOT(ISNUMBER($A505)),ROW()-2&lt;Settings!$B$11),NA(),IF(COUNT(OFFSET(F505,1-Settings!$B$11,0,Settings!$B$11,1))&lt;ROUNDUP(Settings!$B$11*Settings!$B$26,0),NA(),STDEV(OFFSET(F505,1-Settings!$B$11,0,Settings!$B$11,1))*SQRT(Settings!$B$13)))</f>
        <v/>
      </c>
      <c r="I505" s="20">
        <f>IF(OR(NOT(ISNUMBER($A505)),ROW()-2&lt;Settings!$B$12),NA(),IF(COUNT(OFFSET(F505,1-Settings!$B$12,0,Settings!$B$12,1))&lt;ROUNDUP(Settings!$B$12*Settings!$B$26,0),NA(),STDEV(OFFSET(F505,1-Settings!$B$12,0,Settings!$B$12,1))*SQRT(Settings!$B$13)))</f>
        <v/>
      </c>
      <c r="J505" s="20">
        <f>IF(OR(NOT(ISNUMBER($A505)),ROW()-2&lt;Settings!$B$11),NA(),IF(COUNT(OFFSET(G505,1-Settings!$B$11,0,Settings!$B$11,1))&lt;ROUNDUP(Settings!$B$11*Settings!$B$26,0),NA(),STDEV(OFFSET(G505,1-Settings!$B$11,0,Settings!$B$11,1))*SQRT(Settings!$B$13)))</f>
        <v/>
      </c>
      <c r="K505" s="20">
        <f>IF(OR(NOT(ISNUMBER($A505)),ROW()-2&lt;Settings!$B$12),NA(),IF(COUNT(OFFSET(G505,1-Settings!$B$12,0,Settings!$B$12,1))&lt;ROUNDUP(Settings!$B$12*Settings!$B$26,0),NA(),STDEV(OFFSET(G505,1-Settings!$B$12,0,Settings!$B$12,1))*SQRT(Settings!$B$13)))</f>
        <v/>
      </c>
      <c r="L505" s="20">
        <f>IF(AND(ISNUMBER(D505),ISNUMBER(H505)),D505-H505,NA())</f>
        <v/>
      </c>
      <c r="M505" s="20">
        <f>IF(AND(ISNUMBER(E505),ISNUMBER(K505)),E505-K505,NA())</f>
        <v/>
      </c>
      <c r="N505" s="20">
        <f>IF(NOT(ISNUMBER($A505)),NA(),IF(COUNT(OFFSET(G505,1,0,Settings!$B$12,1))&lt;ROUNDUP(Settings!$B$12*Settings!$B$26,0),NA(),STDEV(OFFSET(G505,1,0,Settings!$B$12,1))*SQRT(Settings!$B$13)))</f>
        <v/>
      </c>
      <c r="O505" s="20">
        <f>IF(AND(ISNUMBER(E505),ISNUMBER(N505)),E505-N505,NA())</f>
        <v/>
      </c>
      <c r="P505" s="19">
        <f>IF(NOT(ISNUMBER($A505)),NA(),IF(OR($A505&lt;MIN(KW_TP!$A$2:$A$2501),$A505&gt;MAX(KW_TP!$A$2:$A$2501)),NA(),INDEX(KW_TP!$C$2:$C$2501,MATCH($A505,KW_TP!$A$2:$A$2501,1))))</f>
        <v/>
      </c>
      <c r="Q505" s="18">
        <f>IF(NOT(ISNUMBER($A505)),NA(),IFERROR(1*INDEX(BBG_Data!$J$2:$J$4000,MATCH($A505,BBG_Data!$I$2:$I$4000,0)),NA()))</f>
        <v/>
      </c>
      <c r="R505" s="18">
        <f>IF(NOT(ISNUMBER($A505)),NA(),IFERROR(1*INDEX(BBG_Data!$L$2:$L$4000,MATCH($A505,BBG_Data!$K$2:$K$4000,0)),NA()))</f>
        <v/>
      </c>
      <c r="S505" s="20">
        <f>IF(AND(ISNUMBER(B505),ISNUMBER(Q505),ISNUMBER(R505)),(B505-Q505-R505)*100,NA())</f>
        <v/>
      </c>
      <c r="T505" s="20">
        <f>IF(AND(ISNUMBER(B505),Settings!$B$17&gt;0),IF(ISNUMBER(INDEX($B:$B,Settings!$B$17)),(B505-INDEX($B:$B,Settings!$B$17))*100,NA()),NA())</f>
        <v/>
      </c>
      <c r="U505" s="20">
        <f>IF(AND(ISNUMBER(Q505),Settings!$B$17&gt;0),IF(ISNUMBER(INDEX($Q:$Q,Settings!$B$17)),(Q505-INDEX($Q:$Q,Settings!$B$17))*100,NA()),NA())</f>
        <v/>
      </c>
      <c r="V505" s="20">
        <f>IF(AND(ISNUMBER(R505),Settings!$B$17&gt;0),IF(ISNUMBER(INDEX($R:$R,Settings!$B$17)),(R505-INDEX($R:$R,Settings!$B$17))*100,NA()),NA())</f>
        <v/>
      </c>
      <c r="W505" s="20">
        <f>IF(AND(ISNUMBER(P505),Settings!$B$17&gt;0),IF(ISNUMBER(INDEX($P:$P,Settings!$B$17)),P505-INDEX($P:$P,Settings!$B$17),NA()),NA())</f>
        <v/>
      </c>
      <c r="X505" s="19">
        <f>IF(NOT(ISNUMBER($A505)),NA(),IF(OR($A505&lt;MIN(DKW_10Y!$A$2:$A$2918),$A505&gt;MAX(DKW_10Y!$A$2:$A$2918),Settings!$B$16&lt;MIN(DKW_10Y!$A$2:$A$2918)),NA(),(INDEX(DKW_10Y!$B$2:$B$2918,MATCH($A505,DKW_10Y!$A$2:$A$2918,1))-INDEX(DKW_10Y!$B$2:$B$2918,MATCH(Settings!$B$16,DKW_10Y!$A$2:$A$2918,1)))*100))</f>
        <v/>
      </c>
      <c r="Y505" s="19">
        <f>IF(NOT(ISNUMBER($A505)),NA(),IF(OR($A505&lt;MIN(DKW_10Y!$A$2:$A$2918),$A505&gt;MAX(DKW_10Y!$A$2:$A$2918),Settings!$B$16&lt;MIN(DKW_10Y!$A$2:$A$2918)),NA(),(INDEX(DKW_10Y!$C$2:$C$2918,MATCH($A505,DKW_10Y!$A$2:$A$2918,1))-INDEX(DKW_10Y!$C$2:$C$2918,MATCH(Settings!$B$16,DKW_10Y!$A$2:$A$2918,1)))*100))</f>
        <v/>
      </c>
      <c r="Z505" s="19">
        <f>IF(NOT(ISNUMBER($A505)),NA(),IF(OR($A505&lt;MIN(DKW_10Y!$A$2:$A$2918),$A505&gt;MAX(DKW_10Y!$A$2:$A$2918),Settings!$B$16&lt;MIN(DKW_10Y!$A$2:$A$2918)),NA(),(INDEX(DKW_10Y!$D$2:$D$2918,MATCH($A505,DKW_10Y!$A$2:$A$2918,1))-INDEX(DKW_10Y!$D$2:$D$2918,MATCH(Settings!$B$16,DKW_10Y!$A$2:$A$2918,1)))*100))</f>
        <v/>
      </c>
      <c r="AA505" s="19">
        <f>IF(NOT(ISNUMBER($A505)),NA(),IF(OR($A505&lt;MIN(DKW_10Y!$A$2:$A$2918),$A505&gt;MAX(DKW_10Y!$A$2:$A$2918),Settings!$B$16&lt;MIN(DKW_10Y!$A$2:$A$2918)),NA(),(INDEX(DKW_10Y!$E$2:$E$2918,MATCH($A505,DKW_10Y!$A$2:$A$2918,1))-INDEX(DKW_10Y!$E$2:$E$2918,MATCH(Settings!$B$16,DKW_10Y!$A$2:$A$2918,1)))*100))</f>
        <v/>
      </c>
      <c r="AB505" s="19">
        <f>IF(NOT(ISNUMBER($A505)),NA(),IF(OR($A505&lt;MIN(DKW_10Y!$A$2:$A$2918),$A505&gt;MAX(DKW_10Y!$A$2:$A$2918),Settings!$B$16&lt;MIN(DKW_10Y!$A$2:$A$2918)),NA(),(INDEX(DKW_10Y!$H$2:$H$2918,MATCH($A505,DKW_10Y!$A$2:$A$2918,1))-INDEX(DKW_10Y!$H$2:$H$2918,MATCH(Settings!$B$16,DKW_10Y!$A$2:$A$2918,1)))*100))</f>
        <v/>
      </c>
      <c r="AC505" s="18">
        <f>IF(NOT(ISNUMBER($A505)),NA(),IFERROR(1*INDEX(BBG_Data!$N$2:$N$4000,MATCH($A505,BBG_Data!$M$2:$M$4000,0)),NA()))</f>
        <v/>
      </c>
      <c r="AD505" s="18">
        <f>IF(NOT(ISNUMBER($A505)),NA(),IFERROR(1*INDEX(BBG_Data!$P$2:$P$4000,MATCH($A505,BBG_Data!$O$2:$O$4000,0)),NA()))</f>
        <v/>
      </c>
      <c r="AE505" s="18">
        <f>IF(NOT(ISNUMBER($A505)),NA(),IFERROR(1*INDEX(BBG_Data!$R$2:$R$4000,MATCH($A505,BBG_Data!$Q$2:$Q$4000,0)),NA()))</f>
        <v/>
      </c>
      <c r="AF505" s="20">
        <f>IF(AND(ISNUMBER(B505),ISNUMBER(AC505)),(B505-AC505)*100,NA())</f>
        <v/>
      </c>
      <c r="AG505" s="20">
        <f>IF(AND(ISNUMBER(AE505),ISNUMBER(AD505)),(AE505-AD505)*100,NA())</f>
        <v/>
      </c>
      <c r="AH505" s="19">
        <f>IF(NOT(ISNUMBER($A505)),NA(),IFERROR(INDEX(BBG_Data!$T$2:$T$4000,MATCH($A505,BBG_Data!$S$2:$S$4000,0))*Settings!$B$25,NA()))</f>
        <v/>
      </c>
      <c r="AI505" s="19">
        <f>IF(NOT(ISNUMBER($A505)),NA(),IFERROR(INDEX(BBG_Data!$V$2:$V$4000,MATCH($A505,BBG_Data!$U$2:$U$4000,0))*Settings!$B$25,NA()))</f>
        <v/>
      </c>
      <c r="AJ505" s="19">
        <f>IF(NOT(ISNUMBER($A505)),NA(),IFERROR(1*INDEX(BBG_Data!$X$2:$X$4000,MATCH($A505,BBG_Data!$W$2:$W$4000,0)),NA()))</f>
        <v/>
      </c>
      <c r="AK505" s="19">
        <f>IF(NOT(ISNUMBER($A505)),NA(),IFERROR(1*INDEX(BBG_Data!$Z$2:$Z$4000,MATCH($A505,BBG_Data!$Y$2:$Y$4000,0)),NA()))</f>
        <v/>
      </c>
    </row>
    <row r="506">
      <c r="A506" s="17">
        <f>IF(ISNUMBER(BBG_Data!A506),BBG_Data!A506,"")</f>
        <v/>
      </c>
      <c r="B506" s="18">
        <f>IF(AND(ISNUMBER($A506),ISNUMBER(BBG_Data!B506)),BBG_Data!B506,NA())</f>
        <v/>
      </c>
      <c r="C506" s="18">
        <f>IF(NOT(ISNUMBER($A506)),NA(),IFERROR(1*INDEX(BBG_Data!$D$2:$D$4000,MATCH($A506,BBG_Data!$C$2:$C$4000,0)),NA()))</f>
        <v/>
      </c>
      <c r="D506" s="19">
        <f>IF(NOT(ISNUMBER($A506)),NA(),IFERROR(1*INDEX(BBG_Data!$F$2:$F$4000,MATCH($A506,BBG_Data!$E$2:$E$4000,0)),NA()))</f>
        <v/>
      </c>
      <c r="E506" s="19">
        <f>IF(NOT(ISNUMBER($A506)),NA(),IFERROR(1*INDEX(BBG_Data!$H$2:$H$4000,MATCH($A506,BBG_Data!$G$2:$G$4000,0)),NA()))</f>
        <v/>
      </c>
      <c r="F506" s="20">
        <f>IF(AND(ISNUMBER(B506),ISNUMBER(B505)),IF(B506=B505,"",(B506-B505)*100),"")</f>
        <v/>
      </c>
      <c r="G506" s="20">
        <f>IF(AND(ISNUMBER(C506),ISNUMBER(C505)),IF(C506=C505,"",(C506-C505)*100),"")</f>
        <v/>
      </c>
      <c r="H506" s="20">
        <f>IF(OR(NOT(ISNUMBER($A506)),ROW()-2&lt;Settings!$B$11),NA(),IF(COUNT(OFFSET(F506,1-Settings!$B$11,0,Settings!$B$11,1))&lt;ROUNDUP(Settings!$B$11*Settings!$B$26,0),NA(),STDEV(OFFSET(F506,1-Settings!$B$11,0,Settings!$B$11,1))*SQRT(Settings!$B$13)))</f>
        <v/>
      </c>
      <c r="I506" s="20">
        <f>IF(OR(NOT(ISNUMBER($A506)),ROW()-2&lt;Settings!$B$12),NA(),IF(COUNT(OFFSET(F506,1-Settings!$B$12,0,Settings!$B$12,1))&lt;ROUNDUP(Settings!$B$12*Settings!$B$26,0),NA(),STDEV(OFFSET(F506,1-Settings!$B$12,0,Settings!$B$12,1))*SQRT(Settings!$B$13)))</f>
        <v/>
      </c>
      <c r="J506" s="20">
        <f>IF(OR(NOT(ISNUMBER($A506)),ROW()-2&lt;Settings!$B$11),NA(),IF(COUNT(OFFSET(G506,1-Settings!$B$11,0,Settings!$B$11,1))&lt;ROUNDUP(Settings!$B$11*Settings!$B$26,0),NA(),STDEV(OFFSET(G506,1-Settings!$B$11,0,Settings!$B$11,1))*SQRT(Settings!$B$13)))</f>
        <v/>
      </c>
      <c r="K506" s="20">
        <f>IF(OR(NOT(ISNUMBER($A506)),ROW()-2&lt;Settings!$B$12),NA(),IF(COUNT(OFFSET(G506,1-Settings!$B$12,0,Settings!$B$12,1))&lt;ROUNDUP(Settings!$B$12*Settings!$B$26,0),NA(),STDEV(OFFSET(G506,1-Settings!$B$12,0,Settings!$B$12,1))*SQRT(Settings!$B$13)))</f>
        <v/>
      </c>
      <c r="L506" s="20">
        <f>IF(AND(ISNUMBER(D506),ISNUMBER(H506)),D506-H506,NA())</f>
        <v/>
      </c>
      <c r="M506" s="20">
        <f>IF(AND(ISNUMBER(E506),ISNUMBER(K506)),E506-K506,NA())</f>
        <v/>
      </c>
      <c r="N506" s="20">
        <f>IF(NOT(ISNUMBER($A506)),NA(),IF(COUNT(OFFSET(G506,1,0,Settings!$B$12,1))&lt;ROUNDUP(Settings!$B$12*Settings!$B$26,0),NA(),STDEV(OFFSET(G506,1,0,Settings!$B$12,1))*SQRT(Settings!$B$13)))</f>
        <v/>
      </c>
      <c r="O506" s="20">
        <f>IF(AND(ISNUMBER(E506),ISNUMBER(N506)),E506-N506,NA())</f>
        <v/>
      </c>
      <c r="P506" s="19">
        <f>IF(NOT(ISNUMBER($A506)),NA(),IF(OR($A506&lt;MIN(KW_TP!$A$2:$A$2501),$A506&gt;MAX(KW_TP!$A$2:$A$2501)),NA(),INDEX(KW_TP!$C$2:$C$2501,MATCH($A506,KW_TP!$A$2:$A$2501,1))))</f>
        <v/>
      </c>
      <c r="Q506" s="18">
        <f>IF(NOT(ISNUMBER($A506)),NA(),IFERROR(1*INDEX(BBG_Data!$J$2:$J$4000,MATCH($A506,BBG_Data!$I$2:$I$4000,0)),NA()))</f>
        <v/>
      </c>
      <c r="R506" s="18">
        <f>IF(NOT(ISNUMBER($A506)),NA(),IFERROR(1*INDEX(BBG_Data!$L$2:$L$4000,MATCH($A506,BBG_Data!$K$2:$K$4000,0)),NA()))</f>
        <v/>
      </c>
      <c r="S506" s="20">
        <f>IF(AND(ISNUMBER(B506),ISNUMBER(Q506),ISNUMBER(R506)),(B506-Q506-R506)*100,NA())</f>
        <v/>
      </c>
      <c r="T506" s="20">
        <f>IF(AND(ISNUMBER(B506),Settings!$B$17&gt;0),IF(ISNUMBER(INDEX($B:$B,Settings!$B$17)),(B506-INDEX($B:$B,Settings!$B$17))*100,NA()),NA())</f>
        <v/>
      </c>
      <c r="U506" s="20">
        <f>IF(AND(ISNUMBER(Q506),Settings!$B$17&gt;0),IF(ISNUMBER(INDEX($Q:$Q,Settings!$B$17)),(Q506-INDEX($Q:$Q,Settings!$B$17))*100,NA()),NA())</f>
        <v/>
      </c>
      <c r="V506" s="20">
        <f>IF(AND(ISNUMBER(R506),Settings!$B$17&gt;0),IF(ISNUMBER(INDEX($R:$R,Settings!$B$17)),(R506-INDEX($R:$R,Settings!$B$17))*100,NA()),NA())</f>
        <v/>
      </c>
      <c r="W506" s="20">
        <f>IF(AND(ISNUMBER(P506),Settings!$B$17&gt;0),IF(ISNUMBER(INDEX($P:$P,Settings!$B$17)),P506-INDEX($P:$P,Settings!$B$17),NA()),NA())</f>
        <v/>
      </c>
      <c r="X506" s="19">
        <f>IF(NOT(ISNUMBER($A506)),NA(),IF(OR($A506&lt;MIN(DKW_10Y!$A$2:$A$2918),$A506&gt;MAX(DKW_10Y!$A$2:$A$2918),Settings!$B$16&lt;MIN(DKW_10Y!$A$2:$A$2918)),NA(),(INDEX(DKW_10Y!$B$2:$B$2918,MATCH($A506,DKW_10Y!$A$2:$A$2918,1))-INDEX(DKW_10Y!$B$2:$B$2918,MATCH(Settings!$B$16,DKW_10Y!$A$2:$A$2918,1)))*100))</f>
        <v/>
      </c>
      <c r="Y506" s="19">
        <f>IF(NOT(ISNUMBER($A506)),NA(),IF(OR($A506&lt;MIN(DKW_10Y!$A$2:$A$2918),$A506&gt;MAX(DKW_10Y!$A$2:$A$2918),Settings!$B$16&lt;MIN(DKW_10Y!$A$2:$A$2918)),NA(),(INDEX(DKW_10Y!$C$2:$C$2918,MATCH($A506,DKW_10Y!$A$2:$A$2918,1))-INDEX(DKW_10Y!$C$2:$C$2918,MATCH(Settings!$B$16,DKW_10Y!$A$2:$A$2918,1)))*100))</f>
        <v/>
      </c>
      <c r="Z506" s="19">
        <f>IF(NOT(ISNUMBER($A506)),NA(),IF(OR($A506&lt;MIN(DKW_10Y!$A$2:$A$2918),$A506&gt;MAX(DKW_10Y!$A$2:$A$2918),Settings!$B$16&lt;MIN(DKW_10Y!$A$2:$A$2918)),NA(),(INDEX(DKW_10Y!$D$2:$D$2918,MATCH($A506,DKW_10Y!$A$2:$A$2918,1))-INDEX(DKW_10Y!$D$2:$D$2918,MATCH(Settings!$B$16,DKW_10Y!$A$2:$A$2918,1)))*100))</f>
        <v/>
      </c>
      <c r="AA506" s="19">
        <f>IF(NOT(ISNUMBER($A506)),NA(),IF(OR($A506&lt;MIN(DKW_10Y!$A$2:$A$2918),$A506&gt;MAX(DKW_10Y!$A$2:$A$2918),Settings!$B$16&lt;MIN(DKW_10Y!$A$2:$A$2918)),NA(),(INDEX(DKW_10Y!$E$2:$E$2918,MATCH($A506,DKW_10Y!$A$2:$A$2918,1))-INDEX(DKW_10Y!$E$2:$E$2918,MATCH(Settings!$B$16,DKW_10Y!$A$2:$A$2918,1)))*100))</f>
        <v/>
      </c>
      <c r="AB506" s="19">
        <f>IF(NOT(ISNUMBER($A506)),NA(),IF(OR($A506&lt;MIN(DKW_10Y!$A$2:$A$2918),$A506&gt;MAX(DKW_10Y!$A$2:$A$2918),Settings!$B$16&lt;MIN(DKW_10Y!$A$2:$A$2918)),NA(),(INDEX(DKW_10Y!$H$2:$H$2918,MATCH($A506,DKW_10Y!$A$2:$A$2918,1))-INDEX(DKW_10Y!$H$2:$H$2918,MATCH(Settings!$B$16,DKW_10Y!$A$2:$A$2918,1)))*100))</f>
        <v/>
      </c>
      <c r="AC506" s="18">
        <f>IF(NOT(ISNUMBER($A506)),NA(),IFERROR(1*INDEX(BBG_Data!$N$2:$N$4000,MATCH($A506,BBG_Data!$M$2:$M$4000,0)),NA()))</f>
        <v/>
      </c>
      <c r="AD506" s="18">
        <f>IF(NOT(ISNUMBER($A506)),NA(),IFERROR(1*INDEX(BBG_Data!$P$2:$P$4000,MATCH($A506,BBG_Data!$O$2:$O$4000,0)),NA()))</f>
        <v/>
      </c>
      <c r="AE506" s="18">
        <f>IF(NOT(ISNUMBER($A506)),NA(),IFERROR(1*INDEX(BBG_Data!$R$2:$R$4000,MATCH($A506,BBG_Data!$Q$2:$Q$4000,0)),NA()))</f>
        <v/>
      </c>
      <c r="AF506" s="20">
        <f>IF(AND(ISNUMBER(B506),ISNUMBER(AC506)),(B506-AC506)*100,NA())</f>
        <v/>
      </c>
      <c r="AG506" s="20">
        <f>IF(AND(ISNUMBER(AE506),ISNUMBER(AD506)),(AE506-AD506)*100,NA())</f>
        <v/>
      </c>
      <c r="AH506" s="19">
        <f>IF(NOT(ISNUMBER($A506)),NA(),IFERROR(INDEX(BBG_Data!$T$2:$T$4000,MATCH($A506,BBG_Data!$S$2:$S$4000,0))*Settings!$B$25,NA()))</f>
        <v/>
      </c>
      <c r="AI506" s="19">
        <f>IF(NOT(ISNUMBER($A506)),NA(),IFERROR(INDEX(BBG_Data!$V$2:$V$4000,MATCH($A506,BBG_Data!$U$2:$U$4000,0))*Settings!$B$25,NA()))</f>
        <v/>
      </c>
      <c r="AJ506" s="19">
        <f>IF(NOT(ISNUMBER($A506)),NA(),IFERROR(1*INDEX(BBG_Data!$X$2:$X$4000,MATCH($A506,BBG_Data!$W$2:$W$4000,0)),NA()))</f>
        <v/>
      </c>
      <c r="AK506" s="19">
        <f>IF(NOT(ISNUMBER($A506)),NA(),IFERROR(1*INDEX(BBG_Data!$Z$2:$Z$4000,MATCH($A506,BBG_Data!$Y$2:$Y$4000,0)),NA()))</f>
        <v/>
      </c>
    </row>
    <row r="507">
      <c r="A507" s="17">
        <f>IF(ISNUMBER(BBG_Data!A507),BBG_Data!A507,"")</f>
        <v/>
      </c>
      <c r="B507" s="18">
        <f>IF(AND(ISNUMBER($A507),ISNUMBER(BBG_Data!B507)),BBG_Data!B507,NA())</f>
        <v/>
      </c>
      <c r="C507" s="18">
        <f>IF(NOT(ISNUMBER($A507)),NA(),IFERROR(1*INDEX(BBG_Data!$D$2:$D$4000,MATCH($A507,BBG_Data!$C$2:$C$4000,0)),NA()))</f>
        <v/>
      </c>
      <c r="D507" s="19">
        <f>IF(NOT(ISNUMBER($A507)),NA(),IFERROR(1*INDEX(BBG_Data!$F$2:$F$4000,MATCH($A507,BBG_Data!$E$2:$E$4000,0)),NA()))</f>
        <v/>
      </c>
      <c r="E507" s="19">
        <f>IF(NOT(ISNUMBER($A507)),NA(),IFERROR(1*INDEX(BBG_Data!$H$2:$H$4000,MATCH($A507,BBG_Data!$G$2:$G$4000,0)),NA()))</f>
        <v/>
      </c>
      <c r="F507" s="20">
        <f>IF(AND(ISNUMBER(B507),ISNUMBER(B506)),IF(B507=B506,"",(B507-B506)*100),"")</f>
        <v/>
      </c>
      <c r="G507" s="20">
        <f>IF(AND(ISNUMBER(C507),ISNUMBER(C506)),IF(C507=C506,"",(C507-C506)*100),"")</f>
        <v/>
      </c>
      <c r="H507" s="20">
        <f>IF(OR(NOT(ISNUMBER($A507)),ROW()-2&lt;Settings!$B$11),NA(),IF(COUNT(OFFSET(F507,1-Settings!$B$11,0,Settings!$B$11,1))&lt;ROUNDUP(Settings!$B$11*Settings!$B$26,0),NA(),STDEV(OFFSET(F507,1-Settings!$B$11,0,Settings!$B$11,1))*SQRT(Settings!$B$13)))</f>
        <v/>
      </c>
      <c r="I507" s="20">
        <f>IF(OR(NOT(ISNUMBER($A507)),ROW()-2&lt;Settings!$B$12),NA(),IF(COUNT(OFFSET(F507,1-Settings!$B$12,0,Settings!$B$12,1))&lt;ROUNDUP(Settings!$B$12*Settings!$B$26,0),NA(),STDEV(OFFSET(F507,1-Settings!$B$12,0,Settings!$B$12,1))*SQRT(Settings!$B$13)))</f>
        <v/>
      </c>
      <c r="J507" s="20">
        <f>IF(OR(NOT(ISNUMBER($A507)),ROW()-2&lt;Settings!$B$11),NA(),IF(COUNT(OFFSET(G507,1-Settings!$B$11,0,Settings!$B$11,1))&lt;ROUNDUP(Settings!$B$11*Settings!$B$26,0),NA(),STDEV(OFFSET(G507,1-Settings!$B$11,0,Settings!$B$11,1))*SQRT(Settings!$B$13)))</f>
        <v/>
      </c>
      <c r="K507" s="20">
        <f>IF(OR(NOT(ISNUMBER($A507)),ROW()-2&lt;Settings!$B$12),NA(),IF(COUNT(OFFSET(G507,1-Settings!$B$12,0,Settings!$B$12,1))&lt;ROUNDUP(Settings!$B$12*Settings!$B$26,0),NA(),STDEV(OFFSET(G507,1-Settings!$B$12,0,Settings!$B$12,1))*SQRT(Settings!$B$13)))</f>
        <v/>
      </c>
      <c r="L507" s="20">
        <f>IF(AND(ISNUMBER(D507),ISNUMBER(H507)),D507-H507,NA())</f>
        <v/>
      </c>
      <c r="M507" s="20">
        <f>IF(AND(ISNUMBER(E507),ISNUMBER(K507)),E507-K507,NA())</f>
        <v/>
      </c>
      <c r="N507" s="20">
        <f>IF(NOT(ISNUMBER($A507)),NA(),IF(COUNT(OFFSET(G507,1,0,Settings!$B$12,1))&lt;ROUNDUP(Settings!$B$12*Settings!$B$26,0),NA(),STDEV(OFFSET(G507,1,0,Settings!$B$12,1))*SQRT(Settings!$B$13)))</f>
        <v/>
      </c>
      <c r="O507" s="20">
        <f>IF(AND(ISNUMBER(E507),ISNUMBER(N507)),E507-N507,NA())</f>
        <v/>
      </c>
      <c r="P507" s="19">
        <f>IF(NOT(ISNUMBER($A507)),NA(),IF(OR($A507&lt;MIN(KW_TP!$A$2:$A$2501),$A507&gt;MAX(KW_TP!$A$2:$A$2501)),NA(),INDEX(KW_TP!$C$2:$C$2501,MATCH($A507,KW_TP!$A$2:$A$2501,1))))</f>
        <v/>
      </c>
      <c r="Q507" s="18">
        <f>IF(NOT(ISNUMBER($A507)),NA(),IFERROR(1*INDEX(BBG_Data!$J$2:$J$4000,MATCH($A507,BBG_Data!$I$2:$I$4000,0)),NA()))</f>
        <v/>
      </c>
      <c r="R507" s="18">
        <f>IF(NOT(ISNUMBER($A507)),NA(),IFERROR(1*INDEX(BBG_Data!$L$2:$L$4000,MATCH($A507,BBG_Data!$K$2:$K$4000,0)),NA()))</f>
        <v/>
      </c>
      <c r="S507" s="20">
        <f>IF(AND(ISNUMBER(B507),ISNUMBER(Q507),ISNUMBER(R507)),(B507-Q507-R507)*100,NA())</f>
        <v/>
      </c>
      <c r="T507" s="20">
        <f>IF(AND(ISNUMBER(B507),Settings!$B$17&gt;0),IF(ISNUMBER(INDEX($B:$B,Settings!$B$17)),(B507-INDEX($B:$B,Settings!$B$17))*100,NA()),NA())</f>
        <v/>
      </c>
      <c r="U507" s="20">
        <f>IF(AND(ISNUMBER(Q507),Settings!$B$17&gt;0),IF(ISNUMBER(INDEX($Q:$Q,Settings!$B$17)),(Q507-INDEX($Q:$Q,Settings!$B$17))*100,NA()),NA())</f>
        <v/>
      </c>
      <c r="V507" s="20">
        <f>IF(AND(ISNUMBER(R507),Settings!$B$17&gt;0),IF(ISNUMBER(INDEX($R:$R,Settings!$B$17)),(R507-INDEX($R:$R,Settings!$B$17))*100,NA()),NA())</f>
        <v/>
      </c>
      <c r="W507" s="20">
        <f>IF(AND(ISNUMBER(P507),Settings!$B$17&gt;0),IF(ISNUMBER(INDEX($P:$P,Settings!$B$17)),P507-INDEX($P:$P,Settings!$B$17),NA()),NA())</f>
        <v/>
      </c>
      <c r="X507" s="19">
        <f>IF(NOT(ISNUMBER($A507)),NA(),IF(OR($A507&lt;MIN(DKW_10Y!$A$2:$A$2918),$A507&gt;MAX(DKW_10Y!$A$2:$A$2918),Settings!$B$16&lt;MIN(DKW_10Y!$A$2:$A$2918)),NA(),(INDEX(DKW_10Y!$B$2:$B$2918,MATCH($A507,DKW_10Y!$A$2:$A$2918,1))-INDEX(DKW_10Y!$B$2:$B$2918,MATCH(Settings!$B$16,DKW_10Y!$A$2:$A$2918,1)))*100))</f>
        <v/>
      </c>
      <c r="Y507" s="19">
        <f>IF(NOT(ISNUMBER($A507)),NA(),IF(OR($A507&lt;MIN(DKW_10Y!$A$2:$A$2918),$A507&gt;MAX(DKW_10Y!$A$2:$A$2918),Settings!$B$16&lt;MIN(DKW_10Y!$A$2:$A$2918)),NA(),(INDEX(DKW_10Y!$C$2:$C$2918,MATCH($A507,DKW_10Y!$A$2:$A$2918,1))-INDEX(DKW_10Y!$C$2:$C$2918,MATCH(Settings!$B$16,DKW_10Y!$A$2:$A$2918,1)))*100))</f>
        <v/>
      </c>
      <c r="Z507" s="19">
        <f>IF(NOT(ISNUMBER($A507)),NA(),IF(OR($A507&lt;MIN(DKW_10Y!$A$2:$A$2918),$A507&gt;MAX(DKW_10Y!$A$2:$A$2918),Settings!$B$16&lt;MIN(DKW_10Y!$A$2:$A$2918)),NA(),(INDEX(DKW_10Y!$D$2:$D$2918,MATCH($A507,DKW_10Y!$A$2:$A$2918,1))-INDEX(DKW_10Y!$D$2:$D$2918,MATCH(Settings!$B$16,DKW_10Y!$A$2:$A$2918,1)))*100))</f>
        <v/>
      </c>
      <c r="AA507" s="19">
        <f>IF(NOT(ISNUMBER($A507)),NA(),IF(OR($A507&lt;MIN(DKW_10Y!$A$2:$A$2918),$A507&gt;MAX(DKW_10Y!$A$2:$A$2918),Settings!$B$16&lt;MIN(DKW_10Y!$A$2:$A$2918)),NA(),(INDEX(DKW_10Y!$E$2:$E$2918,MATCH($A507,DKW_10Y!$A$2:$A$2918,1))-INDEX(DKW_10Y!$E$2:$E$2918,MATCH(Settings!$B$16,DKW_10Y!$A$2:$A$2918,1)))*100))</f>
        <v/>
      </c>
      <c r="AB507" s="19">
        <f>IF(NOT(ISNUMBER($A507)),NA(),IF(OR($A507&lt;MIN(DKW_10Y!$A$2:$A$2918),$A507&gt;MAX(DKW_10Y!$A$2:$A$2918),Settings!$B$16&lt;MIN(DKW_10Y!$A$2:$A$2918)),NA(),(INDEX(DKW_10Y!$H$2:$H$2918,MATCH($A507,DKW_10Y!$A$2:$A$2918,1))-INDEX(DKW_10Y!$H$2:$H$2918,MATCH(Settings!$B$16,DKW_10Y!$A$2:$A$2918,1)))*100))</f>
        <v/>
      </c>
      <c r="AC507" s="18">
        <f>IF(NOT(ISNUMBER($A507)),NA(),IFERROR(1*INDEX(BBG_Data!$N$2:$N$4000,MATCH($A507,BBG_Data!$M$2:$M$4000,0)),NA()))</f>
        <v/>
      </c>
      <c r="AD507" s="18">
        <f>IF(NOT(ISNUMBER($A507)),NA(),IFERROR(1*INDEX(BBG_Data!$P$2:$P$4000,MATCH($A507,BBG_Data!$O$2:$O$4000,0)),NA()))</f>
        <v/>
      </c>
      <c r="AE507" s="18">
        <f>IF(NOT(ISNUMBER($A507)),NA(),IFERROR(1*INDEX(BBG_Data!$R$2:$R$4000,MATCH($A507,BBG_Data!$Q$2:$Q$4000,0)),NA()))</f>
        <v/>
      </c>
      <c r="AF507" s="20">
        <f>IF(AND(ISNUMBER(B507),ISNUMBER(AC507)),(B507-AC507)*100,NA())</f>
        <v/>
      </c>
      <c r="AG507" s="20">
        <f>IF(AND(ISNUMBER(AE507),ISNUMBER(AD507)),(AE507-AD507)*100,NA())</f>
        <v/>
      </c>
      <c r="AH507" s="19">
        <f>IF(NOT(ISNUMBER($A507)),NA(),IFERROR(INDEX(BBG_Data!$T$2:$T$4000,MATCH($A507,BBG_Data!$S$2:$S$4000,0))*Settings!$B$25,NA()))</f>
        <v/>
      </c>
      <c r="AI507" s="19">
        <f>IF(NOT(ISNUMBER($A507)),NA(),IFERROR(INDEX(BBG_Data!$V$2:$V$4000,MATCH($A507,BBG_Data!$U$2:$U$4000,0))*Settings!$B$25,NA()))</f>
        <v/>
      </c>
      <c r="AJ507" s="19">
        <f>IF(NOT(ISNUMBER($A507)),NA(),IFERROR(1*INDEX(BBG_Data!$X$2:$X$4000,MATCH($A507,BBG_Data!$W$2:$W$4000,0)),NA()))</f>
        <v/>
      </c>
      <c r="AK507" s="19">
        <f>IF(NOT(ISNUMBER($A507)),NA(),IFERROR(1*INDEX(BBG_Data!$Z$2:$Z$4000,MATCH($A507,BBG_Data!$Y$2:$Y$4000,0)),NA()))</f>
        <v/>
      </c>
    </row>
    <row r="508">
      <c r="A508" s="17">
        <f>IF(ISNUMBER(BBG_Data!A508),BBG_Data!A508,"")</f>
        <v/>
      </c>
      <c r="B508" s="18">
        <f>IF(AND(ISNUMBER($A508),ISNUMBER(BBG_Data!B508)),BBG_Data!B508,NA())</f>
        <v/>
      </c>
      <c r="C508" s="18">
        <f>IF(NOT(ISNUMBER($A508)),NA(),IFERROR(1*INDEX(BBG_Data!$D$2:$D$4000,MATCH($A508,BBG_Data!$C$2:$C$4000,0)),NA()))</f>
        <v/>
      </c>
      <c r="D508" s="19">
        <f>IF(NOT(ISNUMBER($A508)),NA(),IFERROR(1*INDEX(BBG_Data!$F$2:$F$4000,MATCH($A508,BBG_Data!$E$2:$E$4000,0)),NA()))</f>
        <v/>
      </c>
      <c r="E508" s="19">
        <f>IF(NOT(ISNUMBER($A508)),NA(),IFERROR(1*INDEX(BBG_Data!$H$2:$H$4000,MATCH($A508,BBG_Data!$G$2:$G$4000,0)),NA()))</f>
        <v/>
      </c>
      <c r="F508" s="20">
        <f>IF(AND(ISNUMBER(B508),ISNUMBER(B507)),IF(B508=B507,"",(B508-B507)*100),"")</f>
        <v/>
      </c>
      <c r="G508" s="20">
        <f>IF(AND(ISNUMBER(C508),ISNUMBER(C507)),IF(C508=C507,"",(C508-C507)*100),"")</f>
        <v/>
      </c>
      <c r="H508" s="20">
        <f>IF(OR(NOT(ISNUMBER($A508)),ROW()-2&lt;Settings!$B$11),NA(),IF(COUNT(OFFSET(F508,1-Settings!$B$11,0,Settings!$B$11,1))&lt;ROUNDUP(Settings!$B$11*Settings!$B$26,0),NA(),STDEV(OFFSET(F508,1-Settings!$B$11,0,Settings!$B$11,1))*SQRT(Settings!$B$13)))</f>
        <v/>
      </c>
      <c r="I508" s="20">
        <f>IF(OR(NOT(ISNUMBER($A508)),ROW()-2&lt;Settings!$B$12),NA(),IF(COUNT(OFFSET(F508,1-Settings!$B$12,0,Settings!$B$12,1))&lt;ROUNDUP(Settings!$B$12*Settings!$B$26,0),NA(),STDEV(OFFSET(F508,1-Settings!$B$12,0,Settings!$B$12,1))*SQRT(Settings!$B$13)))</f>
        <v/>
      </c>
      <c r="J508" s="20">
        <f>IF(OR(NOT(ISNUMBER($A508)),ROW()-2&lt;Settings!$B$11),NA(),IF(COUNT(OFFSET(G508,1-Settings!$B$11,0,Settings!$B$11,1))&lt;ROUNDUP(Settings!$B$11*Settings!$B$26,0),NA(),STDEV(OFFSET(G508,1-Settings!$B$11,0,Settings!$B$11,1))*SQRT(Settings!$B$13)))</f>
        <v/>
      </c>
      <c r="K508" s="20">
        <f>IF(OR(NOT(ISNUMBER($A508)),ROW()-2&lt;Settings!$B$12),NA(),IF(COUNT(OFFSET(G508,1-Settings!$B$12,0,Settings!$B$12,1))&lt;ROUNDUP(Settings!$B$12*Settings!$B$26,0),NA(),STDEV(OFFSET(G508,1-Settings!$B$12,0,Settings!$B$12,1))*SQRT(Settings!$B$13)))</f>
        <v/>
      </c>
      <c r="L508" s="20">
        <f>IF(AND(ISNUMBER(D508),ISNUMBER(H508)),D508-H508,NA())</f>
        <v/>
      </c>
      <c r="M508" s="20">
        <f>IF(AND(ISNUMBER(E508),ISNUMBER(K508)),E508-K508,NA())</f>
        <v/>
      </c>
      <c r="N508" s="20">
        <f>IF(NOT(ISNUMBER($A508)),NA(),IF(COUNT(OFFSET(G508,1,0,Settings!$B$12,1))&lt;ROUNDUP(Settings!$B$12*Settings!$B$26,0),NA(),STDEV(OFFSET(G508,1,0,Settings!$B$12,1))*SQRT(Settings!$B$13)))</f>
        <v/>
      </c>
      <c r="O508" s="20">
        <f>IF(AND(ISNUMBER(E508),ISNUMBER(N508)),E508-N508,NA())</f>
        <v/>
      </c>
      <c r="P508" s="19">
        <f>IF(NOT(ISNUMBER($A508)),NA(),IF(OR($A508&lt;MIN(KW_TP!$A$2:$A$2501),$A508&gt;MAX(KW_TP!$A$2:$A$2501)),NA(),INDEX(KW_TP!$C$2:$C$2501,MATCH($A508,KW_TP!$A$2:$A$2501,1))))</f>
        <v/>
      </c>
      <c r="Q508" s="18">
        <f>IF(NOT(ISNUMBER($A508)),NA(),IFERROR(1*INDEX(BBG_Data!$J$2:$J$4000,MATCH($A508,BBG_Data!$I$2:$I$4000,0)),NA()))</f>
        <v/>
      </c>
      <c r="R508" s="18">
        <f>IF(NOT(ISNUMBER($A508)),NA(),IFERROR(1*INDEX(BBG_Data!$L$2:$L$4000,MATCH($A508,BBG_Data!$K$2:$K$4000,0)),NA()))</f>
        <v/>
      </c>
      <c r="S508" s="20">
        <f>IF(AND(ISNUMBER(B508),ISNUMBER(Q508),ISNUMBER(R508)),(B508-Q508-R508)*100,NA())</f>
        <v/>
      </c>
      <c r="T508" s="20">
        <f>IF(AND(ISNUMBER(B508),Settings!$B$17&gt;0),IF(ISNUMBER(INDEX($B:$B,Settings!$B$17)),(B508-INDEX($B:$B,Settings!$B$17))*100,NA()),NA())</f>
        <v/>
      </c>
      <c r="U508" s="20">
        <f>IF(AND(ISNUMBER(Q508),Settings!$B$17&gt;0),IF(ISNUMBER(INDEX($Q:$Q,Settings!$B$17)),(Q508-INDEX($Q:$Q,Settings!$B$17))*100,NA()),NA())</f>
        <v/>
      </c>
      <c r="V508" s="20">
        <f>IF(AND(ISNUMBER(R508),Settings!$B$17&gt;0),IF(ISNUMBER(INDEX($R:$R,Settings!$B$17)),(R508-INDEX($R:$R,Settings!$B$17))*100,NA()),NA())</f>
        <v/>
      </c>
      <c r="W508" s="20">
        <f>IF(AND(ISNUMBER(P508),Settings!$B$17&gt;0),IF(ISNUMBER(INDEX($P:$P,Settings!$B$17)),P508-INDEX($P:$P,Settings!$B$17),NA()),NA())</f>
        <v/>
      </c>
      <c r="X508" s="19">
        <f>IF(NOT(ISNUMBER($A508)),NA(),IF(OR($A508&lt;MIN(DKW_10Y!$A$2:$A$2918),$A508&gt;MAX(DKW_10Y!$A$2:$A$2918),Settings!$B$16&lt;MIN(DKW_10Y!$A$2:$A$2918)),NA(),(INDEX(DKW_10Y!$B$2:$B$2918,MATCH($A508,DKW_10Y!$A$2:$A$2918,1))-INDEX(DKW_10Y!$B$2:$B$2918,MATCH(Settings!$B$16,DKW_10Y!$A$2:$A$2918,1)))*100))</f>
        <v/>
      </c>
      <c r="Y508" s="19">
        <f>IF(NOT(ISNUMBER($A508)),NA(),IF(OR($A508&lt;MIN(DKW_10Y!$A$2:$A$2918),$A508&gt;MAX(DKW_10Y!$A$2:$A$2918),Settings!$B$16&lt;MIN(DKW_10Y!$A$2:$A$2918)),NA(),(INDEX(DKW_10Y!$C$2:$C$2918,MATCH($A508,DKW_10Y!$A$2:$A$2918,1))-INDEX(DKW_10Y!$C$2:$C$2918,MATCH(Settings!$B$16,DKW_10Y!$A$2:$A$2918,1)))*100))</f>
        <v/>
      </c>
      <c r="Z508" s="19">
        <f>IF(NOT(ISNUMBER($A508)),NA(),IF(OR($A508&lt;MIN(DKW_10Y!$A$2:$A$2918),$A508&gt;MAX(DKW_10Y!$A$2:$A$2918),Settings!$B$16&lt;MIN(DKW_10Y!$A$2:$A$2918)),NA(),(INDEX(DKW_10Y!$D$2:$D$2918,MATCH($A508,DKW_10Y!$A$2:$A$2918,1))-INDEX(DKW_10Y!$D$2:$D$2918,MATCH(Settings!$B$16,DKW_10Y!$A$2:$A$2918,1)))*100))</f>
        <v/>
      </c>
      <c r="AA508" s="19">
        <f>IF(NOT(ISNUMBER($A508)),NA(),IF(OR($A508&lt;MIN(DKW_10Y!$A$2:$A$2918),$A508&gt;MAX(DKW_10Y!$A$2:$A$2918),Settings!$B$16&lt;MIN(DKW_10Y!$A$2:$A$2918)),NA(),(INDEX(DKW_10Y!$E$2:$E$2918,MATCH($A508,DKW_10Y!$A$2:$A$2918,1))-INDEX(DKW_10Y!$E$2:$E$2918,MATCH(Settings!$B$16,DKW_10Y!$A$2:$A$2918,1)))*100))</f>
        <v/>
      </c>
      <c r="AB508" s="19">
        <f>IF(NOT(ISNUMBER($A508)),NA(),IF(OR($A508&lt;MIN(DKW_10Y!$A$2:$A$2918),$A508&gt;MAX(DKW_10Y!$A$2:$A$2918),Settings!$B$16&lt;MIN(DKW_10Y!$A$2:$A$2918)),NA(),(INDEX(DKW_10Y!$H$2:$H$2918,MATCH($A508,DKW_10Y!$A$2:$A$2918,1))-INDEX(DKW_10Y!$H$2:$H$2918,MATCH(Settings!$B$16,DKW_10Y!$A$2:$A$2918,1)))*100))</f>
        <v/>
      </c>
      <c r="AC508" s="18">
        <f>IF(NOT(ISNUMBER($A508)),NA(),IFERROR(1*INDEX(BBG_Data!$N$2:$N$4000,MATCH($A508,BBG_Data!$M$2:$M$4000,0)),NA()))</f>
        <v/>
      </c>
      <c r="AD508" s="18">
        <f>IF(NOT(ISNUMBER($A508)),NA(),IFERROR(1*INDEX(BBG_Data!$P$2:$P$4000,MATCH($A508,BBG_Data!$O$2:$O$4000,0)),NA()))</f>
        <v/>
      </c>
      <c r="AE508" s="18">
        <f>IF(NOT(ISNUMBER($A508)),NA(),IFERROR(1*INDEX(BBG_Data!$R$2:$R$4000,MATCH($A508,BBG_Data!$Q$2:$Q$4000,0)),NA()))</f>
        <v/>
      </c>
      <c r="AF508" s="20">
        <f>IF(AND(ISNUMBER(B508),ISNUMBER(AC508)),(B508-AC508)*100,NA())</f>
        <v/>
      </c>
      <c r="AG508" s="20">
        <f>IF(AND(ISNUMBER(AE508),ISNUMBER(AD508)),(AE508-AD508)*100,NA())</f>
        <v/>
      </c>
      <c r="AH508" s="19">
        <f>IF(NOT(ISNUMBER($A508)),NA(),IFERROR(INDEX(BBG_Data!$T$2:$T$4000,MATCH($A508,BBG_Data!$S$2:$S$4000,0))*Settings!$B$25,NA()))</f>
        <v/>
      </c>
      <c r="AI508" s="19">
        <f>IF(NOT(ISNUMBER($A508)),NA(),IFERROR(INDEX(BBG_Data!$V$2:$V$4000,MATCH($A508,BBG_Data!$U$2:$U$4000,0))*Settings!$B$25,NA()))</f>
        <v/>
      </c>
      <c r="AJ508" s="19">
        <f>IF(NOT(ISNUMBER($A508)),NA(),IFERROR(1*INDEX(BBG_Data!$X$2:$X$4000,MATCH($A508,BBG_Data!$W$2:$W$4000,0)),NA()))</f>
        <v/>
      </c>
      <c r="AK508" s="19">
        <f>IF(NOT(ISNUMBER($A508)),NA(),IFERROR(1*INDEX(BBG_Data!$Z$2:$Z$4000,MATCH($A508,BBG_Data!$Y$2:$Y$4000,0)),NA()))</f>
        <v/>
      </c>
    </row>
    <row r="509">
      <c r="A509" s="17">
        <f>IF(ISNUMBER(BBG_Data!A509),BBG_Data!A509,"")</f>
        <v/>
      </c>
      <c r="B509" s="18">
        <f>IF(AND(ISNUMBER($A509),ISNUMBER(BBG_Data!B509)),BBG_Data!B509,NA())</f>
        <v/>
      </c>
      <c r="C509" s="18">
        <f>IF(NOT(ISNUMBER($A509)),NA(),IFERROR(1*INDEX(BBG_Data!$D$2:$D$4000,MATCH($A509,BBG_Data!$C$2:$C$4000,0)),NA()))</f>
        <v/>
      </c>
      <c r="D509" s="19">
        <f>IF(NOT(ISNUMBER($A509)),NA(),IFERROR(1*INDEX(BBG_Data!$F$2:$F$4000,MATCH($A509,BBG_Data!$E$2:$E$4000,0)),NA()))</f>
        <v/>
      </c>
      <c r="E509" s="19">
        <f>IF(NOT(ISNUMBER($A509)),NA(),IFERROR(1*INDEX(BBG_Data!$H$2:$H$4000,MATCH($A509,BBG_Data!$G$2:$G$4000,0)),NA()))</f>
        <v/>
      </c>
      <c r="F509" s="20">
        <f>IF(AND(ISNUMBER(B509),ISNUMBER(B508)),IF(B509=B508,"",(B509-B508)*100),"")</f>
        <v/>
      </c>
      <c r="G509" s="20">
        <f>IF(AND(ISNUMBER(C509),ISNUMBER(C508)),IF(C509=C508,"",(C509-C508)*100),"")</f>
        <v/>
      </c>
      <c r="H509" s="20">
        <f>IF(OR(NOT(ISNUMBER($A509)),ROW()-2&lt;Settings!$B$11),NA(),IF(COUNT(OFFSET(F509,1-Settings!$B$11,0,Settings!$B$11,1))&lt;ROUNDUP(Settings!$B$11*Settings!$B$26,0),NA(),STDEV(OFFSET(F509,1-Settings!$B$11,0,Settings!$B$11,1))*SQRT(Settings!$B$13)))</f>
        <v/>
      </c>
      <c r="I509" s="20">
        <f>IF(OR(NOT(ISNUMBER($A509)),ROW()-2&lt;Settings!$B$12),NA(),IF(COUNT(OFFSET(F509,1-Settings!$B$12,0,Settings!$B$12,1))&lt;ROUNDUP(Settings!$B$12*Settings!$B$26,0),NA(),STDEV(OFFSET(F509,1-Settings!$B$12,0,Settings!$B$12,1))*SQRT(Settings!$B$13)))</f>
        <v/>
      </c>
      <c r="J509" s="20">
        <f>IF(OR(NOT(ISNUMBER($A509)),ROW()-2&lt;Settings!$B$11),NA(),IF(COUNT(OFFSET(G509,1-Settings!$B$11,0,Settings!$B$11,1))&lt;ROUNDUP(Settings!$B$11*Settings!$B$26,0),NA(),STDEV(OFFSET(G509,1-Settings!$B$11,0,Settings!$B$11,1))*SQRT(Settings!$B$13)))</f>
        <v/>
      </c>
      <c r="K509" s="20">
        <f>IF(OR(NOT(ISNUMBER($A509)),ROW()-2&lt;Settings!$B$12),NA(),IF(COUNT(OFFSET(G509,1-Settings!$B$12,0,Settings!$B$12,1))&lt;ROUNDUP(Settings!$B$12*Settings!$B$26,0),NA(),STDEV(OFFSET(G509,1-Settings!$B$12,0,Settings!$B$12,1))*SQRT(Settings!$B$13)))</f>
        <v/>
      </c>
      <c r="L509" s="20">
        <f>IF(AND(ISNUMBER(D509),ISNUMBER(H509)),D509-H509,NA())</f>
        <v/>
      </c>
      <c r="M509" s="20">
        <f>IF(AND(ISNUMBER(E509),ISNUMBER(K509)),E509-K509,NA())</f>
        <v/>
      </c>
      <c r="N509" s="20">
        <f>IF(NOT(ISNUMBER($A509)),NA(),IF(COUNT(OFFSET(G509,1,0,Settings!$B$12,1))&lt;ROUNDUP(Settings!$B$12*Settings!$B$26,0),NA(),STDEV(OFFSET(G509,1,0,Settings!$B$12,1))*SQRT(Settings!$B$13)))</f>
        <v/>
      </c>
      <c r="O509" s="20">
        <f>IF(AND(ISNUMBER(E509),ISNUMBER(N509)),E509-N509,NA())</f>
        <v/>
      </c>
      <c r="P509" s="19">
        <f>IF(NOT(ISNUMBER($A509)),NA(),IF(OR($A509&lt;MIN(KW_TP!$A$2:$A$2501),$A509&gt;MAX(KW_TP!$A$2:$A$2501)),NA(),INDEX(KW_TP!$C$2:$C$2501,MATCH($A509,KW_TP!$A$2:$A$2501,1))))</f>
        <v/>
      </c>
      <c r="Q509" s="18">
        <f>IF(NOT(ISNUMBER($A509)),NA(),IFERROR(1*INDEX(BBG_Data!$J$2:$J$4000,MATCH($A509,BBG_Data!$I$2:$I$4000,0)),NA()))</f>
        <v/>
      </c>
      <c r="R509" s="18">
        <f>IF(NOT(ISNUMBER($A509)),NA(),IFERROR(1*INDEX(BBG_Data!$L$2:$L$4000,MATCH($A509,BBG_Data!$K$2:$K$4000,0)),NA()))</f>
        <v/>
      </c>
      <c r="S509" s="20">
        <f>IF(AND(ISNUMBER(B509),ISNUMBER(Q509),ISNUMBER(R509)),(B509-Q509-R509)*100,NA())</f>
        <v/>
      </c>
      <c r="T509" s="20">
        <f>IF(AND(ISNUMBER(B509),Settings!$B$17&gt;0),IF(ISNUMBER(INDEX($B:$B,Settings!$B$17)),(B509-INDEX($B:$B,Settings!$B$17))*100,NA()),NA())</f>
        <v/>
      </c>
      <c r="U509" s="20">
        <f>IF(AND(ISNUMBER(Q509),Settings!$B$17&gt;0),IF(ISNUMBER(INDEX($Q:$Q,Settings!$B$17)),(Q509-INDEX($Q:$Q,Settings!$B$17))*100,NA()),NA())</f>
        <v/>
      </c>
      <c r="V509" s="20">
        <f>IF(AND(ISNUMBER(R509),Settings!$B$17&gt;0),IF(ISNUMBER(INDEX($R:$R,Settings!$B$17)),(R509-INDEX($R:$R,Settings!$B$17))*100,NA()),NA())</f>
        <v/>
      </c>
      <c r="W509" s="20">
        <f>IF(AND(ISNUMBER(P509),Settings!$B$17&gt;0),IF(ISNUMBER(INDEX($P:$P,Settings!$B$17)),P509-INDEX($P:$P,Settings!$B$17),NA()),NA())</f>
        <v/>
      </c>
      <c r="X509" s="19">
        <f>IF(NOT(ISNUMBER($A509)),NA(),IF(OR($A509&lt;MIN(DKW_10Y!$A$2:$A$2918),$A509&gt;MAX(DKW_10Y!$A$2:$A$2918),Settings!$B$16&lt;MIN(DKW_10Y!$A$2:$A$2918)),NA(),(INDEX(DKW_10Y!$B$2:$B$2918,MATCH($A509,DKW_10Y!$A$2:$A$2918,1))-INDEX(DKW_10Y!$B$2:$B$2918,MATCH(Settings!$B$16,DKW_10Y!$A$2:$A$2918,1)))*100))</f>
        <v/>
      </c>
      <c r="Y509" s="19">
        <f>IF(NOT(ISNUMBER($A509)),NA(),IF(OR($A509&lt;MIN(DKW_10Y!$A$2:$A$2918),$A509&gt;MAX(DKW_10Y!$A$2:$A$2918),Settings!$B$16&lt;MIN(DKW_10Y!$A$2:$A$2918)),NA(),(INDEX(DKW_10Y!$C$2:$C$2918,MATCH($A509,DKW_10Y!$A$2:$A$2918,1))-INDEX(DKW_10Y!$C$2:$C$2918,MATCH(Settings!$B$16,DKW_10Y!$A$2:$A$2918,1)))*100))</f>
        <v/>
      </c>
      <c r="Z509" s="19">
        <f>IF(NOT(ISNUMBER($A509)),NA(),IF(OR($A509&lt;MIN(DKW_10Y!$A$2:$A$2918),$A509&gt;MAX(DKW_10Y!$A$2:$A$2918),Settings!$B$16&lt;MIN(DKW_10Y!$A$2:$A$2918)),NA(),(INDEX(DKW_10Y!$D$2:$D$2918,MATCH($A509,DKW_10Y!$A$2:$A$2918,1))-INDEX(DKW_10Y!$D$2:$D$2918,MATCH(Settings!$B$16,DKW_10Y!$A$2:$A$2918,1)))*100))</f>
        <v/>
      </c>
      <c r="AA509" s="19">
        <f>IF(NOT(ISNUMBER($A509)),NA(),IF(OR($A509&lt;MIN(DKW_10Y!$A$2:$A$2918),$A509&gt;MAX(DKW_10Y!$A$2:$A$2918),Settings!$B$16&lt;MIN(DKW_10Y!$A$2:$A$2918)),NA(),(INDEX(DKW_10Y!$E$2:$E$2918,MATCH($A509,DKW_10Y!$A$2:$A$2918,1))-INDEX(DKW_10Y!$E$2:$E$2918,MATCH(Settings!$B$16,DKW_10Y!$A$2:$A$2918,1)))*100))</f>
        <v/>
      </c>
      <c r="AB509" s="19">
        <f>IF(NOT(ISNUMBER($A509)),NA(),IF(OR($A509&lt;MIN(DKW_10Y!$A$2:$A$2918),$A509&gt;MAX(DKW_10Y!$A$2:$A$2918),Settings!$B$16&lt;MIN(DKW_10Y!$A$2:$A$2918)),NA(),(INDEX(DKW_10Y!$H$2:$H$2918,MATCH($A509,DKW_10Y!$A$2:$A$2918,1))-INDEX(DKW_10Y!$H$2:$H$2918,MATCH(Settings!$B$16,DKW_10Y!$A$2:$A$2918,1)))*100))</f>
        <v/>
      </c>
      <c r="AC509" s="18">
        <f>IF(NOT(ISNUMBER($A509)),NA(),IFERROR(1*INDEX(BBG_Data!$N$2:$N$4000,MATCH($A509,BBG_Data!$M$2:$M$4000,0)),NA()))</f>
        <v/>
      </c>
      <c r="AD509" s="18">
        <f>IF(NOT(ISNUMBER($A509)),NA(),IFERROR(1*INDEX(BBG_Data!$P$2:$P$4000,MATCH($A509,BBG_Data!$O$2:$O$4000,0)),NA()))</f>
        <v/>
      </c>
      <c r="AE509" s="18">
        <f>IF(NOT(ISNUMBER($A509)),NA(),IFERROR(1*INDEX(BBG_Data!$R$2:$R$4000,MATCH($A509,BBG_Data!$Q$2:$Q$4000,0)),NA()))</f>
        <v/>
      </c>
      <c r="AF509" s="20">
        <f>IF(AND(ISNUMBER(B509),ISNUMBER(AC509)),(B509-AC509)*100,NA())</f>
        <v/>
      </c>
      <c r="AG509" s="20">
        <f>IF(AND(ISNUMBER(AE509),ISNUMBER(AD509)),(AE509-AD509)*100,NA())</f>
        <v/>
      </c>
      <c r="AH509" s="19">
        <f>IF(NOT(ISNUMBER($A509)),NA(),IFERROR(INDEX(BBG_Data!$T$2:$T$4000,MATCH($A509,BBG_Data!$S$2:$S$4000,0))*Settings!$B$25,NA()))</f>
        <v/>
      </c>
      <c r="AI509" s="19">
        <f>IF(NOT(ISNUMBER($A509)),NA(),IFERROR(INDEX(BBG_Data!$V$2:$V$4000,MATCH($A509,BBG_Data!$U$2:$U$4000,0))*Settings!$B$25,NA()))</f>
        <v/>
      </c>
      <c r="AJ509" s="19">
        <f>IF(NOT(ISNUMBER($A509)),NA(),IFERROR(1*INDEX(BBG_Data!$X$2:$X$4000,MATCH($A509,BBG_Data!$W$2:$W$4000,0)),NA()))</f>
        <v/>
      </c>
      <c r="AK509" s="19">
        <f>IF(NOT(ISNUMBER($A509)),NA(),IFERROR(1*INDEX(BBG_Data!$Z$2:$Z$4000,MATCH($A509,BBG_Data!$Y$2:$Y$4000,0)),NA()))</f>
        <v/>
      </c>
    </row>
    <row r="510">
      <c r="A510" s="17">
        <f>IF(ISNUMBER(BBG_Data!A510),BBG_Data!A510,"")</f>
        <v/>
      </c>
      <c r="B510" s="18">
        <f>IF(AND(ISNUMBER($A510),ISNUMBER(BBG_Data!B510)),BBG_Data!B510,NA())</f>
        <v/>
      </c>
      <c r="C510" s="18">
        <f>IF(NOT(ISNUMBER($A510)),NA(),IFERROR(1*INDEX(BBG_Data!$D$2:$D$4000,MATCH($A510,BBG_Data!$C$2:$C$4000,0)),NA()))</f>
        <v/>
      </c>
      <c r="D510" s="19">
        <f>IF(NOT(ISNUMBER($A510)),NA(),IFERROR(1*INDEX(BBG_Data!$F$2:$F$4000,MATCH($A510,BBG_Data!$E$2:$E$4000,0)),NA()))</f>
        <v/>
      </c>
      <c r="E510" s="19">
        <f>IF(NOT(ISNUMBER($A510)),NA(),IFERROR(1*INDEX(BBG_Data!$H$2:$H$4000,MATCH($A510,BBG_Data!$G$2:$G$4000,0)),NA()))</f>
        <v/>
      </c>
      <c r="F510" s="20">
        <f>IF(AND(ISNUMBER(B510),ISNUMBER(B509)),IF(B510=B509,"",(B510-B509)*100),"")</f>
        <v/>
      </c>
      <c r="G510" s="20">
        <f>IF(AND(ISNUMBER(C510),ISNUMBER(C509)),IF(C510=C509,"",(C510-C509)*100),"")</f>
        <v/>
      </c>
      <c r="H510" s="20">
        <f>IF(OR(NOT(ISNUMBER($A510)),ROW()-2&lt;Settings!$B$11),NA(),IF(COUNT(OFFSET(F510,1-Settings!$B$11,0,Settings!$B$11,1))&lt;ROUNDUP(Settings!$B$11*Settings!$B$26,0),NA(),STDEV(OFFSET(F510,1-Settings!$B$11,0,Settings!$B$11,1))*SQRT(Settings!$B$13)))</f>
        <v/>
      </c>
      <c r="I510" s="20">
        <f>IF(OR(NOT(ISNUMBER($A510)),ROW()-2&lt;Settings!$B$12),NA(),IF(COUNT(OFFSET(F510,1-Settings!$B$12,0,Settings!$B$12,1))&lt;ROUNDUP(Settings!$B$12*Settings!$B$26,0),NA(),STDEV(OFFSET(F510,1-Settings!$B$12,0,Settings!$B$12,1))*SQRT(Settings!$B$13)))</f>
        <v/>
      </c>
      <c r="J510" s="20">
        <f>IF(OR(NOT(ISNUMBER($A510)),ROW()-2&lt;Settings!$B$11),NA(),IF(COUNT(OFFSET(G510,1-Settings!$B$11,0,Settings!$B$11,1))&lt;ROUNDUP(Settings!$B$11*Settings!$B$26,0),NA(),STDEV(OFFSET(G510,1-Settings!$B$11,0,Settings!$B$11,1))*SQRT(Settings!$B$13)))</f>
        <v/>
      </c>
      <c r="K510" s="20">
        <f>IF(OR(NOT(ISNUMBER($A510)),ROW()-2&lt;Settings!$B$12),NA(),IF(COUNT(OFFSET(G510,1-Settings!$B$12,0,Settings!$B$12,1))&lt;ROUNDUP(Settings!$B$12*Settings!$B$26,0),NA(),STDEV(OFFSET(G510,1-Settings!$B$12,0,Settings!$B$12,1))*SQRT(Settings!$B$13)))</f>
        <v/>
      </c>
      <c r="L510" s="20">
        <f>IF(AND(ISNUMBER(D510),ISNUMBER(H510)),D510-H510,NA())</f>
        <v/>
      </c>
      <c r="M510" s="20">
        <f>IF(AND(ISNUMBER(E510),ISNUMBER(K510)),E510-K510,NA())</f>
        <v/>
      </c>
      <c r="N510" s="20">
        <f>IF(NOT(ISNUMBER($A510)),NA(),IF(COUNT(OFFSET(G510,1,0,Settings!$B$12,1))&lt;ROUNDUP(Settings!$B$12*Settings!$B$26,0),NA(),STDEV(OFFSET(G510,1,0,Settings!$B$12,1))*SQRT(Settings!$B$13)))</f>
        <v/>
      </c>
      <c r="O510" s="20">
        <f>IF(AND(ISNUMBER(E510),ISNUMBER(N510)),E510-N510,NA())</f>
        <v/>
      </c>
      <c r="P510" s="19">
        <f>IF(NOT(ISNUMBER($A510)),NA(),IF(OR($A510&lt;MIN(KW_TP!$A$2:$A$2501),$A510&gt;MAX(KW_TP!$A$2:$A$2501)),NA(),INDEX(KW_TP!$C$2:$C$2501,MATCH($A510,KW_TP!$A$2:$A$2501,1))))</f>
        <v/>
      </c>
      <c r="Q510" s="18">
        <f>IF(NOT(ISNUMBER($A510)),NA(),IFERROR(1*INDEX(BBG_Data!$J$2:$J$4000,MATCH($A510,BBG_Data!$I$2:$I$4000,0)),NA()))</f>
        <v/>
      </c>
      <c r="R510" s="18">
        <f>IF(NOT(ISNUMBER($A510)),NA(),IFERROR(1*INDEX(BBG_Data!$L$2:$L$4000,MATCH($A510,BBG_Data!$K$2:$K$4000,0)),NA()))</f>
        <v/>
      </c>
      <c r="S510" s="20">
        <f>IF(AND(ISNUMBER(B510),ISNUMBER(Q510),ISNUMBER(R510)),(B510-Q510-R510)*100,NA())</f>
        <v/>
      </c>
      <c r="T510" s="20">
        <f>IF(AND(ISNUMBER(B510),Settings!$B$17&gt;0),IF(ISNUMBER(INDEX($B:$B,Settings!$B$17)),(B510-INDEX($B:$B,Settings!$B$17))*100,NA()),NA())</f>
        <v/>
      </c>
      <c r="U510" s="20">
        <f>IF(AND(ISNUMBER(Q510),Settings!$B$17&gt;0),IF(ISNUMBER(INDEX($Q:$Q,Settings!$B$17)),(Q510-INDEX($Q:$Q,Settings!$B$17))*100,NA()),NA())</f>
        <v/>
      </c>
      <c r="V510" s="20">
        <f>IF(AND(ISNUMBER(R510),Settings!$B$17&gt;0),IF(ISNUMBER(INDEX($R:$R,Settings!$B$17)),(R510-INDEX($R:$R,Settings!$B$17))*100,NA()),NA())</f>
        <v/>
      </c>
      <c r="W510" s="20">
        <f>IF(AND(ISNUMBER(P510),Settings!$B$17&gt;0),IF(ISNUMBER(INDEX($P:$P,Settings!$B$17)),P510-INDEX($P:$P,Settings!$B$17),NA()),NA())</f>
        <v/>
      </c>
      <c r="X510" s="19">
        <f>IF(NOT(ISNUMBER($A510)),NA(),IF(OR($A510&lt;MIN(DKW_10Y!$A$2:$A$2918),$A510&gt;MAX(DKW_10Y!$A$2:$A$2918),Settings!$B$16&lt;MIN(DKW_10Y!$A$2:$A$2918)),NA(),(INDEX(DKW_10Y!$B$2:$B$2918,MATCH($A510,DKW_10Y!$A$2:$A$2918,1))-INDEX(DKW_10Y!$B$2:$B$2918,MATCH(Settings!$B$16,DKW_10Y!$A$2:$A$2918,1)))*100))</f>
        <v/>
      </c>
      <c r="Y510" s="19">
        <f>IF(NOT(ISNUMBER($A510)),NA(),IF(OR($A510&lt;MIN(DKW_10Y!$A$2:$A$2918),$A510&gt;MAX(DKW_10Y!$A$2:$A$2918),Settings!$B$16&lt;MIN(DKW_10Y!$A$2:$A$2918)),NA(),(INDEX(DKW_10Y!$C$2:$C$2918,MATCH($A510,DKW_10Y!$A$2:$A$2918,1))-INDEX(DKW_10Y!$C$2:$C$2918,MATCH(Settings!$B$16,DKW_10Y!$A$2:$A$2918,1)))*100))</f>
        <v/>
      </c>
      <c r="Z510" s="19">
        <f>IF(NOT(ISNUMBER($A510)),NA(),IF(OR($A510&lt;MIN(DKW_10Y!$A$2:$A$2918),$A510&gt;MAX(DKW_10Y!$A$2:$A$2918),Settings!$B$16&lt;MIN(DKW_10Y!$A$2:$A$2918)),NA(),(INDEX(DKW_10Y!$D$2:$D$2918,MATCH($A510,DKW_10Y!$A$2:$A$2918,1))-INDEX(DKW_10Y!$D$2:$D$2918,MATCH(Settings!$B$16,DKW_10Y!$A$2:$A$2918,1)))*100))</f>
        <v/>
      </c>
      <c r="AA510" s="19">
        <f>IF(NOT(ISNUMBER($A510)),NA(),IF(OR($A510&lt;MIN(DKW_10Y!$A$2:$A$2918),$A510&gt;MAX(DKW_10Y!$A$2:$A$2918),Settings!$B$16&lt;MIN(DKW_10Y!$A$2:$A$2918)),NA(),(INDEX(DKW_10Y!$E$2:$E$2918,MATCH($A510,DKW_10Y!$A$2:$A$2918,1))-INDEX(DKW_10Y!$E$2:$E$2918,MATCH(Settings!$B$16,DKW_10Y!$A$2:$A$2918,1)))*100))</f>
        <v/>
      </c>
      <c r="AB510" s="19">
        <f>IF(NOT(ISNUMBER($A510)),NA(),IF(OR($A510&lt;MIN(DKW_10Y!$A$2:$A$2918),$A510&gt;MAX(DKW_10Y!$A$2:$A$2918),Settings!$B$16&lt;MIN(DKW_10Y!$A$2:$A$2918)),NA(),(INDEX(DKW_10Y!$H$2:$H$2918,MATCH($A510,DKW_10Y!$A$2:$A$2918,1))-INDEX(DKW_10Y!$H$2:$H$2918,MATCH(Settings!$B$16,DKW_10Y!$A$2:$A$2918,1)))*100))</f>
        <v/>
      </c>
      <c r="AC510" s="18">
        <f>IF(NOT(ISNUMBER($A510)),NA(),IFERROR(1*INDEX(BBG_Data!$N$2:$N$4000,MATCH($A510,BBG_Data!$M$2:$M$4000,0)),NA()))</f>
        <v/>
      </c>
      <c r="AD510" s="18">
        <f>IF(NOT(ISNUMBER($A510)),NA(),IFERROR(1*INDEX(BBG_Data!$P$2:$P$4000,MATCH($A510,BBG_Data!$O$2:$O$4000,0)),NA()))</f>
        <v/>
      </c>
      <c r="AE510" s="18">
        <f>IF(NOT(ISNUMBER($A510)),NA(),IFERROR(1*INDEX(BBG_Data!$R$2:$R$4000,MATCH($A510,BBG_Data!$Q$2:$Q$4000,0)),NA()))</f>
        <v/>
      </c>
      <c r="AF510" s="20">
        <f>IF(AND(ISNUMBER(B510),ISNUMBER(AC510)),(B510-AC510)*100,NA())</f>
        <v/>
      </c>
      <c r="AG510" s="20">
        <f>IF(AND(ISNUMBER(AE510),ISNUMBER(AD510)),(AE510-AD510)*100,NA())</f>
        <v/>
      </c>
      <c r="AH510" s="19">
        <f>IF(NOT(ISNUMBER($A510)),NA(),IFERROR(INDEX(BBG_Data!$T$2:$T$4000,MATCH($A510,BBG_Data!$S$2:$S$4000,0))*Settings!$B$25,NA()))</f>
        <v/>
      </c>
      <c r="AI510" s="19">
        <f>IF(NOT(ISNUMBER($A510)),NA(),IFERROR(INDEX(BBG_Data!$V$2:$V$4000,MATCH($A510,BBG_Data!$U$2:$U$4000,0))*Settings!$B$25,NA()))</f>
        <v/>
      </c>
      <c r="AJ510" s="19">
        <f>IF(NOT(ISNUMBER($A510)),NA(),IFERROR(1*INDEX(BBG_Data!$X$2:$X$4000,MATCH($A510,BBG_Data!$W$2:$W$4000,0)),NA()))</f>
        <v/>
      </c>
      <c r="AK510" s="19">
        <f>IF(NOT(ISNUMBER($A510)),NA(),IFERROR(1*INDEX(BBG_Data!$Z$2:$Z$4000,MATCH($A510,BBG_Data!$Y$2:$Y$4000,0)),NA()))</f>
        <v/>
      </c>
    </row>
    <row r="511">
      <c r="A511" s="17">
        <f>IF(ISNUMBER(BBG_Data!A511),BBG_Data!A511,"")</f>
        <v/>
      </c>
      <c r="B511" s="18">
        <f>IF(AND(ISNUMBER($A511),ISNUMBER(BBG_Data!B511)),BBG_Data!B511,NA())</f>
        <v/>
      </c>
      <c r="C511" s="18">
        <f>IF(NOT(ISNUMBER($A511)),NA(),IFERROR(1*INDEX(BBG_Data!$D$2:$D$4000,MATCH($A511,BBG_Data!$C$2:$C$4000,0)),NA()))</f>
        <v/>
      </c>
      <c r="D511" s="19">
        <f>IF(NOT(ISNUMBER($A511)),NA(),IFERROR(1*INDEX(BBG_Data!$F$2:$F$4000,MATCH($A511,BBG_Data!$E$2:$E$4000,0)),NA()))</f>
        <v/>
      </c>
      <c r="E511" s="19">
        <f>IF(NOT(ISNUMBER($A511)),NA(),IFERROR(1*INDEX(BBG_Data!$H$2:$H$4000,MATCH($A511,BBG_Data!$G$2:$G$4000,0)),NA()))</f>
        <v/>
      </c>
      <c r="F511" s="20">
        <f>IF(AND(ISNUMBER(B511),ISNUMBER(B510)),IF(B511=B510,"",(B511-B510)*100),"")</f>
        <v/>
      </c>
      <c r="G511" s="20">
        <f>IF(AND(ISNUMBER(C511),ISNUMBER(C510)),IF(C511=C510,"",(C511-C510)*100),"")</f>
        <v/>
      </c>
      <c r="H511" s="20">
        <f>IF(OR(NOT(ISNUMBER($A511)),ROW()-2&lt;Settings!$B$11),NA(),IF(COUNT(OFFSET(F511,1-Settings!$B$11,0,Settings!$B$11,1))&lt;ROUNDUP(Settings!$B$11*Settings!$B$26,0),NA(),STDEV(OFFSET(F511,1-Settings!$B$11,0,Settings!$B$11,1))*SQRT(Settings!$B$13)))</f>
        <v/>
      </c>
      <c r="I511" s="20">
        <f>IF(OR(NOT(ISNUMBER($A511)),ROW()-2&lt;Settings!$B$12),NA(),IF(COUNT(OFFSET(F511,1-Settings!$B$12,0,Settings!$B$12,1))&lt;ROUNDUP(Settings!$B$12*Settings!$B$26,0),NA(),STDEV(OFFSET(F511,1-Settings!$B$12,0,Settings!$B$12,1))*SQRT(Settings!$B$13)))</f>
        <v/>
      </c>
      <c r="J511" s="20">
        <f>IF(OR(NOT(ISNUMBER($A511)),ROW()-2&lt;Settings!$B$11),NA(),IF(COUNT(OFFSET(G511,1-Settings!$B$11,0,Settings!$B$11,1))&lt;ROUNDUP(Settings!$B$11*Settings!$B$26,0),NA(),STDEV(OFFSET(G511,1-Settings!$B$11,0,Settings!$B$11,1))*SQRT(Settings!$B$13)))</f>
        <v/>
      </c>
      <c r="K511" s="20">
        <f>IF(OR(NOT(ISNUMBER($A511)),ROW()-2&lt;Settings!$B$12),NA(),IF(COUNT(OFFSET(G511,1-Settings!$B$12,0,Settings!$B$12,1))&lt;ROUNDUP(Settings!$B$12*Settings!$B$26,0),NA(),STDEV(OFFSET(G511,1-Settings!$B$12,0,Settings!$B$12,1))*SQRT(Settings!$B$13)))</f>
        <v/>
      </c>
      <c r="L511" s="20">
        <f>IF(AND(ISNUMBER(D511),ISNUMBER(H511)),D511-H511,NA())</f>
        <v/>
      </c>
      <c r="M511" s="20">
        <f>IF(AND(ISNUMBER(E511),ISNUMBER(K511)),E511-K511,NA())</f>
        <v/>
      </c>
      <c r="N511" s="20">
        <f>IF(NOT(ISNUMBER($A511)),NA(),IF(COUNT(OFFSET(G511,1,0,Settings!$B$12,1))&lt;ROUNDUP(Settings!$B$12*Settings!$B$26,0),NA(),STDEV(OFFSET(G511,1,0,Settings!$B$12,1))*SQRT(Settings!$B$13)))</f>
        <v/>
      </c>
      <c r="O511" s="20">
        <f>IF(AND(ISNUMBER(E511),ISNUMBER(N511)),E511-N511,NA())</f>
        <v/>
      </c>
      <c r="P511" s="19">
        <f>IF(NOT(ISNUMBER($A511)),NA(),IF(OR($A511&lt;MIN(KW_TP!$A$2:$A$2501),$A511&gt;MAX(KW_TP!$A$2:$A$2501)),NA(),INDEX(KW_TP!$C$2:$C$2501,MATCH($A511,KW_TP!$A$2:$A$2501,1))))</f>
        <v/>
      </c>
      <c r="Q511" s="18">
        <f>IF(NOT(ISNUMBER($A511)),NA(),IFERROR(1*INDEX(BBG_Data!$J$2:$J$4000,MATCH($A511,BBG_Data!$I$2:$I$4000,0)),NA()))</f>
        <v/>
      </c>
      <c r="R511" s="18">
        <f>IF(NOT(ISNUMBER($A511)),NA(),IFERROR(1*INDEX(BBG_Data!$L$2:$L$4000,MATCH($A511,BBG_Data!$K$2:$K$4000,0)),NA()))</f>
        <v/>
      </c>
      <c r="S511" s="20">
        <f>IF(AND(ISNUMBER(B511),ISNUMBER(Q511),ISNUMBER(R511)),(B511-Q511-R511)*100,NA())</f>
        <v/>
      </c>
      <c r="T511" s="20">
        <f>IF(AND(ISNUMBER(B511),Settings!$B$17&gt;0),IF(ISNUMBER(INDEX($B:$B,Settings!$B$17)),(B511-INDEX($B:$B,Settings!$B$17))*100,NA()),NA())</f>
        <v/>
      </c>
      <c r="U511" s="20">
        <f>IF(AND(ISNUMBER(Q511),Settings!$B$17&gt;0),IF(ISNUMBER(INDEX($Q:$Q,Settings!$B$17)),(Q511-INDEX($Q:$Q,Settings!$B$17))*100,NA()),NA())</f>
        <v/>
      </c>
      <c r="V511" s="20">
        <f>IF(AND(ISNUMBER(R511),Settings!$B$17&gt;0),IF(ISNUMBER(INDEX($R:$R,Settings!$B$17)),(R511-INDEX($R:$R,Settings!$B$17))*100,NA()),NA())</f>
        <v/>
      </c>
      <c r="W511" s="20">
        <f>IF(AND(ISNUMBER(P511),Settings!$B$17&gt;0),IF(ISNUMBER(INDEX($P:$P,Settings!$B$17)),P511-INDEX($P:$P,Settings!$B$17),NA()),NA())</f>
        <v/>
      </c>
      <c r="X511" s="19">
        <f>IF(NOT(ISNUMBER($A511)),NA(),IF(OR($A511&lt;MIN(DKW_10Y!$A$2:$A$2918),$A511&gt;MAX(DKW_10Y!$A$2:$A$2918),Settings!$B$16&lt;MIN(DKW_10Y!$A$2:$A$2918)),NA(),(INDEX(DKW_10Y!$B$2:$B$2918,MATCH($A511,DKW_10Y!$A$2:$A$2918,1))-INDEX(DKW_10Y!$B$2:$B$2918,MATCH(Settings!$B$16,DKW_10Y!$A$2:$A$2918,1)))*100))</f>
        <v/>
      </c>
      <c r="Y511" s="19">
        <f>IF(NOT(ISNUMBER($A511)),NA(),IF(OR($A511&lt;MIN(DKW_10Y!$A$2:$A$2918),$A511&gt;MAX(DKW_10Y!$A$2:$A$2918),Settings!$B$16&lt;MIN(DKW_10Y!$A$2:$A$2918)),NA(),(INDEX(DKW_10Y!$C$2:$C$2918,MATCH($A511,DKW_10Y!$A$2:$A$2918,1))-INDEX(DKW_10Y!$C$2:$C$2918,MATCH(Settings!$B$16,DKW_10Y!$A$2:$A$2918,1)))*100))</f>
        <v/>
      </c>
      <c r="Z511" s="19">
        <f>IF(NOT(ISNUMBER($A511)),NA(),IF(OR($A511&lt;MIN(DKW_10Y!$A$2:$A$2918),$A511&gt;MAX(DKW_10Y!$A$2:$A$2918),Settings!$B$16&lt;MIN(DKW_10Y!$A$2:$A$2918)),NA(),(INDEX(DKW_10Y!$D$2:$D$2918,MATCH($A511,DKW_10Y!$A$2:$A$2918,1))-INDEX(DKW_10Y!$D$2:$D$2918,MATCH(Settings!$B$16,DKW_10Y!$A$2:$A$2918,1)))*100))</f>
        <v/>
      </c>
      <c r="AA511" s="19">
        <f>IF(NOT(ISNUMBER($A511)),NA(),IF(OR($A511&lt;MIN(DKW_10Y!$A$2:$A$2918),$A511&gt;MAX(DKW_10Y!$A$2:$A$2918),Settings!$B$16&lt;MIN(DKW_10Y!$A$2:$A$2918)),NA(),(INDEX(DKW_10Y!$E$2:$E$2918,MATCH($A511,DKW_10Y!$A$2:$A$2918,1))-INDEX(DKW_10Y!$E$2:$E$2918,MATCH(Settings!$B$16,DKW_10Y!$A$2:$A$2918,1)))*100))</f>
        <v/>
      </c>
      <c r="AB511" s="19">
        <f>IF(NOT(ISNUMBER($A511)),NA(),IF(OR($A511&lt;MIN(DKW_10Y!$A$2:$A$2918),$A511&gt;MAX(DKW_10Y!$A$2:$A$2918),Settings!$B$16&lt;MIN(DKW_10Y!$A$2:$A$2918)),NA(),(INDEX(DKW_10Y!$H$2:$H$2918,MATCH($A511,DKW_10Y!$A$2:$A$2918,1))-INDEX(DKW_10Y!$H$2:$H$2918,MATCH(Settings!$B$16,DKW_10Y!$A$2:$A$2918,1)))*100))</f>
        <v/>
      </c>
      <c r="AC511" s="18">
        <f>IF(NOT(ISNUMBER($A511)),NA(),IFERROR(1*INDEX(BBG_Data!$N$2:$N$4000,MATCH($A511,BBG_Data!$M$2:$M$4000,0)),NA()))</f>
        <v/>
      </c>
      <c r="AD511" s="18">
        <f>IF(NOT(ISNUMBER($A511)),NA(),IFERROR(1*INDEX(BBG_Data!$P$2:$P$4000,MATCH($A511,BBG_Data!$O$2:$O$4000,0)),NA()))</f>
        <v/>
      </c>
      <c r="AE511" s="18">
        <f>IF(NOT(ISNUMBER($A511)),NA(),IFERROR(1*INDEX(BBG_Data!$R$2:$R$4000,MATCH($A511,BBG_Data!$Q$2:$Q$4000,0)),NA()))</f>
        <v/>
      </c>
      <c r="AF511" s="20">
        <f>IF(AND(ISNUMBER(B511),ISNUMBER(AC511)),(B511-AC511)*100,NA())</f>
        <v/>
      </c>
      <c r="AG511" s="20">
        <f>IF(AND(ISNUMBER(AE511),ISNUMBER(AD511)),(AE511-AD511)*100,NA())</f>
        <v/>
      </c>
      <c r="AH511" s="19">
        <f>IF(NOT(ISNUMBER($A511)),NA(),IFERROR(INDEX(BBG_Data!$T$2:$T$4000,MATCH($A511,BBG_Data!$S$2:$S$4000,0))*Settings!$B$25,NA()))</f>
        <v/>
      </c>
      <c r="AI511" s="19">
        <f>IF(NOT(ISNUMBER($A511)),NA(),IFERROR(INDEX(BBG_Data!$V$2:$V$4000,MATCH($A511,BBG_Data!$U$2:$U$4000,0))*Settings!$B$25,NA()))</f>
        <v/>
      </c>
      <c r="AJ511" s="19">
        <f>IF(NOT(ISNUMBER($A511)),NA(),IFERROR(1*INDEX(BBG_Data!$X$2:$X$4000,MATCH($A511,BBG_Data!$W$2:$W$4000,0)),NA()))</f>
        <v/>
      </c>
      <c r="AK511" s="19">
        <f>IF(NOT(ISNUMBER($A511)),NA(),IFERROR(1*INDEX(BBG_Data!$Z$2:$Z$4000,MATCH($A511,BBG_Data!$Y$2:$Y$4000,0)),NA()))</f>
        <v/>
      </c>
    </row>
    <row r="512">
      <c r="A512" s="17">
        <f>IF(ISNUMBER(BBG_Data!A512),BBG_Data!A512,"")</f>
        <v/>
      </c>
      <c r="B512" s="18">
        <f>IF(AND(ISNUMBER($A512),ISNUMBER(BBG_Data!B512)),BBG_Data!B512,NA())</f>
        <v/>
      </c>
      <c r="C512" s="18">
        <f>IF(NOT(ISNUMBER($A512)),NA(),IFERROR(1*INDEX(BBG_Data!$D$2:$D$4000,MATCH($A512,BBG_Data!$C$2:$C$4000,0)),NA()))</f>
        <v/>
      </c>
      <c r="D512" s="19">
        <f>IF(NOT(ISNUMBER($A512)),NA(),IFERROR(1*INDEX(BBG_Data!$F$2:$F$4000,MATCH($A512,BBG_Data!$E$2:$E$4000,0)),NA()))</f>
        <v/>
      </c>
      <c r="E512" s="19">
        <f>IF(NOT(ISNUMBER($A512)),NA(),IFERROR(1*INDEX(BBG_Data!$H$2:$H$4000,MATCH($A512,BBG_Data!$G$2:$G$4000,0)),NA()))</f>
        <v/>
      </c>
      <c r="F512" s="20">
        <f>IF(AND(ISNUMBER(B512),ISNUMBER(B511)),IF(B512=B511,"",(B512-B511)*100),"")</f>
        <v/>
      </c>
      <c r="G512" s="20">
        <f>IF(AND(ISNUMBER(C512),ISNUMBER(C511)),IF(C512=C511,"",(C512-C511)*100),"")</f>
        <v/>
      </c>
      <c r="H512" s="20">
        <f>IF(OR(NOT(ISNUMBER($A512)),ROW()-2&lt;Settings!$B$11),NA(),IF(COUNT(OFFSET(F512,1-Settings!$B$11,0,Settings!$B$11,1))&lt;ROUNDUP(Settings!$B$11*Settings!$B$26,0),NA(),STDEV(OFFSET(F512,1-Settings!$B$11,0,Settings!$B$11,1))*SQRT(Settings!$B$13)))</f>
        <v/>
      </c>
      <c r="I512" s="20">
        <f>IF(OR(NOT(ISNUMBER($A512)),ROW()-2&lt;Settings!$B$12),NA(),IF(COUNT(OFFSET(F512,1-Settings!$B$12,0,Settings!$B$12,1))&lt;ROUNDUP(Settings!$B$12*Settings!$B$26,0),NA(),STDEV(OFFSET(F512,1-Settings!$B$12,0,Settings!$B$12,1))*SQRT(Settings!$B$13)))</f>
        <v/>
      </c>
      <c r="J512" s="20">
        <f>IF(OR(NOT(ISNUMBER($A512)),ROW()-2&lt;Settings!$B$11),NA(),IF(COUNT(OFFSET(G512,1-Settings!$B$11,0,Settings!$B$11,1))&lt;ROUNDUP(Settings!$B$11*Settings!$B$26,0),NA(),STDEV(OFFSET(G512,1-Settings!$B$11,0,Settings!$B$11,1))*SQRT(Settings!$B$13)))</f>
        <v/>
      </c>
      <c r="K512" s="20">
        <f>IF(OR(NOT(ISNUMBER($A512)),ROW()-2&lt;Settings!$B$12),NA(),IF(COUNT(OFFSET(G512,1-Settings!$B$12,0,Settings!$B$12,1))&lt;ROUNDUP(Settings!$B$12*Settings!$B$26,0),NA(),STDEV(OFFSET(G512,1-Settings!$B$12,0,Settings!$B$12,1))*SQRT(Settings!$B$13)))</f>
        <v/>
      </c>
      <c r="L512" s="20">
        <f>IF(AND(ISNUMBER(D512),ISNUMBER(H512)),D512-H512,NA())</f>
        <v/>
      </c>
      <c r="M512" s="20">
        <f>IF(AND(ISNUMBER(E512),ISNUMBER(K512)),E512-K512,NA())</f>
        <v/>
      </c>
      <c r="N512" s="20">
        <f>IF(NOT(ISNUMBER($A512)),NA(),IF(COUNT(OFFSET(G512,1,0,Settings!$B$12,1))&lt;ROUNDUP(Settings!$B$12*Settings!$B$26,0),NA(),STDEV(OFFSET(G512,1,0,Settings!$B$12,1))*SQRT(Settings!$B$13)))</f>
        <v/>
      </c>
      <c r="O512" s="20">
        <f>IF(AND(ISNUMBER(E512),ISNUMBER(N512)),E512-N512,NA())</f>
        <v/>
      </c>
      <c r="P512" s="19">
        <f>IF(NOT(ISNUMBER($A512)),NA(),IF(OR($A512&lt;MIN(KW_TP!$A$2:$A$2501),$A512&gt;MAX(KW_TP!$A$2:$A$2501)),NA(),INDEX(KW_TP!$C$2:$C$2501,MATCH($A512,KW_TP!$A$2:$A$2501,1))))</f>
        <v/>
      </c>
      <c r="Q512" s="18">
        <f>IF(NOT(ISNUMBER($A512)),NA(),IFERROR(1*INDEX(BBG_Data!$J$2:$J$4000,MATCH($A512,BBG_Data!$I$2:$I$4000,0)),NA()))</f>
        <v/>
      </c>
      <c r="R512" s="18">
        <f>IF(NOT(ISNUMBER($A512)),NA(),IFERROR(1*INDEX(BBG_Data!$L$2:$L$4000,MATCH($A512,BBG_Data!$K$2:$K$4000,0)),NA()))</f>
        <v/>
      </c>
      <c r="S512" s="20">
        <f>IF(AND(ISNUMBER(B512),ISNUMBER(Q512),ISNUMBER(R512)),(B512-Q512-R512)*100,NA())</f>
        <v/>
      </c>
      <c r="T512" s="20">
        <f>IF(AND(ISNUMBER(B512),Settings!$B$17&gt;0),IF(ISNUMBER(INDEX($B:$B,Settings!$B$17)),(B512-INDEX($B:$B,Settings!$B$17))*100,NA()),NA())</f>
        <v/>
      </c>
      <c r="U512" s="20">
        <f>IF(AND(ISNUMBER(Q512),Settings!$B$17&gt;0),IF(ISNUMBER(INDEX($Q:$Q,Settings!$B$17)),(Q512-INDEX($Q:$Q,Settings!$B$17))*100,NA()),NA())</f>
        <v/>
      </c>
      <c r="V512" s="20">
        <f>IF(AND(ISNUMBER(R512),Settings!$B$17&gt;0),IF(ISNUMBER(INDEX($R:$R,Settings!$B$17)),(R512-INDEX($R:$R,Settings!$B$17))*100,NA()),NA())</f>
        <v/>
      </c>
      <c r="W512" s="20">
        <f>IF(AND(ISNUMBER(P512),Settings!$B$17&gt;0),IF(ISNUMBER(INDEX($P:$P,Settings!$B$17)),P512-INDEX($P:$P,Settings!$B$17),NA()),NA())</f>
        <v/>
      </c>
      <c r="X512" s="19">
        <f>IF(NOT(ISNUMBER($A512)),NA(),IF(OR($A512&lt;MIN(DKW_10Y!$A$2:$A$2918),$A512&gt;MAX(DKW_10Y!$A$2:$A$2918),Settings!$B$16&lt;MIN(DKW_10Y!$A$2:$A$2918)),NA(),(INDEX(DKW_10Y!$B$2:$B$2918,MATCH($A512,DKW_10Y!$A$2:$A$2918,1))-INDEX(DKW_10Y!$B$2:$B$2918,MATCH(Settings!$B$16,DKW_10Y!$A$2:$A$2918,1)))*100))</f>
        <v/>
      </c>
      <c r="Y512" s="19">
        <f>IF(NOT(ISNUMBER($A512)),NA(),IF(OR($A512&lt;MIN(DKW_10Y!$A$2:$A$2918),$A512&gt;MAX(DKW_10Y!$A$2:$A$2918),Settings!$B$16&lt;MIN(DKW_10Y!$A$2:$A$2918)),NA(),(INDEX(DKW_10Y!$C$2:$C$2918,MATCH($A512,DKW_10Y!$A$2:$A$2918,1))-INDEX(DKW_10Y!$C$2:$C$2918,MATCH(Settings!$B$16,DKW_10Y!$A$2:$A$2918,1)))*100))</f>
        <v/>
      </c>
      <c r="Z512" s="19">
        <f>IF(NOT(ISNUMBER($A512)),NA(),IF(OR($A512&lt;MIN(DKW_10Y!$A$2:$A$2918),$A512&gt;MAX(DKW_10Y!$A$2:$A$2918),Settings!$B$16&lt;MIN(DKW_10Y!$A$2:$A$2918)),NA(),(INDEX(DKW_10Y!$D$2:$D$2918,MATCH($A512,DKW_10Y!$A$2:$A$2918,1))-INDEX(DKW_10Y!$D$2:$D$2918,MATCH(Settings!$B$16,DKW_10Y!$A$2:$A$2918,1)))*100))</f>
        <v/>
      </c>
      <c r="AA512" s="19">
        <f>IF(NOT(ISNUMBER($A512)),NA(),IF(OR($A512&lt;MIN(DKW_10Y!$A$2:$A$2918),$A512&gt;MAX(DKW_10Y!$A$2:$A$2918),Settings!$B$16&lt;MIN(DKW_10Y!$A$2:$A$2918)),NA(),(INDEX(DKW_10Y!$E$2:$E$2918,MATCH($A512,DKW_10Y!$A$2:$A$2918,1))-INDEX(DKW_10Y!$E$2:$E$2918,MATCH(Settings!$B$16,DKW_10Y!$A$2:$A$2918,1)))*100))</f>
        <v/>
      </c>
      <c r="AB512" s="19">
        <f>IF(NOT(ISNUMBER($A512)),NA(),IF(OR($A512&lt;MIN(DKW_10Y!$A$2:$A$2918),$A512&gt;MAX(DKW_10Y!$A$2:$A$2918),Settings!$B$16&lt;MIN(DKW_10Y!$A$2:$A$2918)),NA(),(INDEX(DKW_10Y!$H$2:$H$2918,MATCH($A512,DKW_10Y!$A$2:$A$2918,1))-INDEX(DKW_10Y!$H$2:$H$2918,MATCH(Settings!$B$16,DKW_10Y!$A$2:$A$2918,1)))*100))</f>
        <v/>
      </c>
      <c r="AC512" s="18">
        <f>IF(NOT(ISNUMBER($A512)),NA(),IFERROR(1*INDEX(BBG_Data!$N$2:$N$4000,MATCH($A512,BBG_Data!$M$2:$M$4000,0)),NA()))</f>
        <v/>
      </c>
      <c r="AD512" s="18">
        <f>IF(NOT(ISNUMBER($A512)),NA(),IFERROR(1*INDEX(BBG_Data!$P$2:$P$4000,MATCH($A512,BBG_Data!$O$2:$O$4000,0)),NA()))</f>
        <v/>
      </c>
      <c r="AE512" s="18">
        <f>IF(NOT(ISNUMBER($A512)),NA(),IFERROR(1*INDEX(BBG_Data!$R$2:$R$4000,MATCH($A512,BBG_Data!$Q$2:$Q$4000,0)),NA()))</f>
        <v/>
      </c>
      <c r="AF512" s="20">
        <f>IF(AND(ISNUMBER(B512),ISNUMBER(AC512)),(B512-AC512)*100,NA())</f>
        <v/>
      </c>
      <c r="AG512" s="20">
        <f>IF(AND(ISNUMBER(AE512),ISNUMBER(AD512)),(AE512-AD512)*100,NA())</f>
        <v/>
      </c>
      <c r="AH512" s="19">
        <f>IF(NOT(ISNUMBER($A512)),NA(),IFERROR(INDEX(BBG_Data!$T$2:$T$4000,MATCH($A512,BBG_Data!$S$2:$S$4000,0))*Settings!$B$25,NA()))</f>
        <v/>
      </c>
      <c r="AI512" s="19">
        <f>IF(NOT(ISNUMBER($A512)),NA(),IFERROR(INDEX(BBG_Data!$V$2:$V$4000,MATCH($A512,BBG_Data!$U$2:$U$4000,0))*Settings!$B$25,NA()))</f>
        <v/>
      </c>
      <c r="AJ512" s="19">
        <f>IF(NOT(ISNUMBER($A512)),NA(),IFERROR(1*INDEX(BBG_Data!$X$2:$X$4000,MATCH($A512,BBG_Data!$W$2:$W$4000,0)),NA()))</f>
        <v/>
      </c>
      <c r="AK512" s="19">
        <f>IF(NOT(ISNUMBER($A512)),NA(),IFERROR(1*INDEX(BBG_Data!$Z$2:$Z$4000,MATCH($A512,BBG_Data!$Y$2:$Y$4000,0)),NA()))</f>
        <v/>
      </c>
    </row>
    <row r="513">
      <c r="A513" s="17">
        <f>IF(ISNUMBER(BBG_Data!A513),BBG_Data!A513,"")</f>
        <v/>
      </c>
      <c r="B513" s="18">
        <f>IF(AND(ISNUMBER($A513),ISNUMBER(BBG_Data!B513)),BBG_Data!B513,NA())</f>
        <v/>
      </c>
      <c r="C513" s="18">
        <f>IF(NOT(ISNUMBER($A513)),NA(),IFERROR(1*INDEX(BBG_Data!$D$2:$D$4000,MATCH($A513,BBG_Data!$C$2:$C$4000,0)),NA()))</f>
        <v/>
      </c>
      <c r="D513" s="19">
        <f>IF(NOT(ISNUMBER($A513)),NA(),IFERROR(1*INDEX(BBG_Data!$F$2:$F$4000,MATCH($A513,BBG_Data!$E$2:$E$4000,0)),NA()))</f>
        <v/>
      </c>
      <c r="E513" s="19">
        <f>IF(NOT(ISNUMBER($A513)),NA(),IFERROR(1*INDEX(BBG_Data!$H$2:$H$4000,MATCH($A513,BBG_Data!$G$2:$G$4000,0)),NA()))</f>
        <v/>
      </c>
      <c r="F513" s="20">
        <f>IF(AND(ISNUMBER(B513),ISNUMBER(B512)),IF(B513=B512,"",(B513-B512)*100),"")</f>
        <v/>
      </c>
      <c r="G513" s="20">
        <f>IF(AND(ISNUMBER(C513),ISNUMBER(C512)),IF(C513=C512,"",(C513-C512)*100),"")</f>
        <v/>
      </c>
      <c r="H513" s="20">
        <f>IF(OR(NOT(ISNUMBER($A513)),ROW()-2&lt;Settings!$B$11),NA(),IF(COUNT(OFFSET(F513,1-Settings!$B$11,0,Settings!$B$11,1))&lt;ROUNDUP(Settings!$B$11*Settings!$B$26,0),NA(),STDEV(OFFSET(F513,1-Settings!$B$11,0,Settings!$B$11,1))*SQRT(Settings!$B$13)))</f>
        <v/>
      </c>
      <c r="I513" s="20">
        <f>IF(OR(NOT(ISNUMBER($A513)),ROW()-2&lt;Settings!$B$12),NA(),IF(COUNT(OFFSET(F513,1-Settings!$B$12,0,Settings!$B$12,1))&lt;ROUNDUP(Settings!$B$12*Settings!$B$26,0),NA(),STDEV(OFFSET(F513,1-Settings!$B$12,0,Settings!$B$12,1))*SQRT(Settings!$B$13)))</f>
        <v/>
      </c>
      <c r="J513" s="20">
        <f>IF(OR(NOT(ISNUMBER($A513)),ROW()-2&lt;Settings!$B$11),NA(),IF(COUNT(OFFSET(G513,1-Settings!$B$11,0,Settings!$B$11,1))&lt;ROUNDUP(Settings!$B$11*Settings!$B$26,0),NA(),STDEV(OFFSET(G513,1-Settings!$B$11,0,Settings!$B$11,1))*SQRT(Settings!$B$13)))</f>
        <v/>
      </c>
      <c r="K513" s="20">
        <f>IF(OR(NOT(ISNUMBER($A513)),ROW()-2&lt;Settings!$B$12),NA(),IF(COUNT(OFFSET(G513,1-Settings!$B$12,0,Settings!$B$12,1))&lt;ROUNDUP(Settings!$B$12*Settings!$B$26,0),NA(),STDEV(OFFSET(G513,1-Settings!$B$12,0,Settings!$B$12,1))*SQRT(Settings!$B$13)))</f>
        <v/>
      </c>
      <c r="L513" s="20">
        <f>IF(AND(ISNUMBER(D513),ISNUMBER(H513)),D513-H513,NA())</f>
        <v/>
      </c>
      <c r="M513" s="20">
        <f>IF(AND(ISNUMBER(E513),ISNUMBER(K513)),E513-K513,NA())</f>
        <v/>
      </c>
      <c r="N513" s="20">
        <f>IF(NOT(ISNUMBER($A513)),NA(),IF(COUNT(OFFSET(G513,1,0,Settings!$B$12,1))&lt;ROUNDUP(Settings!$B$12*Settings!$B$26,0),NA(),STDEV(OFFSET(G513,1,0,Settings!$B$12,1))*SQRT(Settings!$B$13)))</f>
        <v/>
      </c>
      <c r="O513" s="20">
        <f>IF(AND(ISNUMBER(E513),ISNUMBER(N513)),E513-N513,NA())</f>
        <v/>
      </c>
      <c r="P513" s="19">
        <f>IF(NOT(ISNUMBER($A513)),NA(),IF(OR($A513&lt;MIN(KW_TP!$A$2:$A$2501),$A513&gt;MAX(KW_TP!$A$2:$A$2501)),NA(),INDEX(KW_TP!$C$2:$C$2501,MATCH($A513,KW_TP!$A$2:$A$2501,1))))</f>
        <v/>
      </c>
      <c r="Q513" s="18">
        <f>IF(NOT(ISNUMBER($A513)),NA(),IFERROR(1*INDEX(BBG_Data!$J$2:$J$4000,MATCH($A513,BBG_Data!$I$2:$I$4000,0)),NA()))</f>
        <v/>
      </c>
      <c r="R513" s="18">
        <f>IF(NOT(ISNUMBER($A513)),NA(),IFERROR(1*INDEX(BBG_Data!$L$2:$L$4000,MATCH($A513,BBG_Data!$K$2:$K$4000,0)),NA()))</f>
        <v/>
      </c>
      <c r="S513" s="20">
        <f>IF(AND(ISNUMBER(B513),ISNUMBER(Q513),ISNUMBER(R513)),(B513-Q513-R513)*100,NA())</f>
        <v/>
      </c>
      <c r="T513" s="20">
        <f>IF(AND(ISNUMBER(B513),Settings!$B$17&gt;0),IF(ISNUMBER(INDEX($B:$B,Settings!$B$17)),(B513-INDEX($B:$B,Settings!$B$17))*100,NA()),NA())</f>
        <v/>
      </c>
      <c r="U513" s="20">
        <f>IF(AND(ISNUMBER(Q513),Settings!$B$17&gt;0),IF(ISNUMBER(INDEX($Q:$Q,Settings!$B$17)),(Q513-INDEX($Q:$Q,Settings!$B$17))*100,NA()),NA())</f>
        <v/>
      </c>
      <c r="V513" s="20">
        <f>IF(AND(ISNUMBER(R513),Settings!$B$17&gt;0),IF(ISNUMBER(INDEX($R:$R,Settings!$B$17)),(R513-INDEX($R:$R,Settings!$B$17))*100,NA()),NA())</f>
        <v/>
      </c>
      <c r="W513" s="20">
        <f>IF(AND(ISNUMBER(P513),Settings!$B$17&gt;0),IF(ISNUMBER(INDEX($P:$P,Settings!$B$17)),P513-INDEX($P:$P,Settings!$B$17),NA()),NA())</f>
        <v/>
      </c>
      <c r="X513" s="19">
        <f>IF(NOT(ISNUMBER($A513)),NA(),IF(OR($A513&lt;MIN(DKW_10Y!$A$2:$A$2918),$A513&gt;MAX(DKW_10Y!$A$2:$A$2918),Settings!$B$16&lt;MIN(DKW_10Y!$A$2:$A$2918)),NA(),(INDEX(DKW_10Y!$B$2:$B$2918,MATCH($A513,DKW_10Y!$A$2:$A$2918,1))-INDEX(DKW_10Y!$B$2:$B$2918,MATCH(Settings!$B$16,DKW_10Y!$A$2:$A$2918,1)))*100))</f>
        <v/>
      </c>
      <c r="Y513" s="19">
        <f>IF(NOT(ISNUMBER($A513)),NA(),IF(OR($A513&lt;MIN(DKW_10Y!$A$2:$A$2918),$A513&gt;MAX(DKW_10Y!$A$2:$A$2918),Settings!$B$16&lt;MIN(DKW_10Y!$A$2:$A$2918)),NA(),(INDEX(DKW_10Y!$C$2:$C$2918,MATCH($A513,DKW_10Y!$A$2:$A$2918,1))-INDEX(DKW_10Y!$C$2:$C$2918,MATCH(Settings!$B$16,DKW_10Y!$A$2:$A$2918,1)))*100))</f>
        <v/>
      </c>
      <c r="Z513" s="19">
        <f>IF(NOT(ISNUMBER($A513)),NA(),IF(OR($A513&lt;MIN(DKW_10Y!$A$2:$A$2918),$A513&gt;MAX(DKW_10Y!$A$2:$A$2918),Settings!$B$16&lt;MIN(DKW_10Y!$A$2:$A$2918)),NA(),(INDEX(DKW_10Y!$D$2:$D$2918,MATCH($A513,DKW_10Y!$A$2:$A$2918,1))-INDEX(DKW_10Y!$D$2:$D$2918,MATCH(Settings!$B$16,DKW_10Y!$A$2:$A$2918,1)))*100))</f>
        <v/>
      </c>
      <c r="AA513" s="19">
        <f>IF(NOT(ISNUMBER($A513)),NA(),IF(OR($A513&lt;MIN(DKW_10Y!$A$2:$A$2918),$A513&gt;MAX(DKW_10Y!$A$2:$A$2918),Settings!$B$16&lt;MIN(DKW_10Y!$A$2:$A$2918)),NA(),(INDEX(DKW_10Y!$E$2:$E$2918,MATCH($A513,DKW_10Y!$A$2:$A$2918,1))-INDEX(DKW_10Y!$E$2:$E$2918,MATCH(Settings!$B$16,DKW_10Y!$A$2:$A$2918,1)))*100))</f>
        <v/>
      </c>
      <c r="AB513" s="19">
        <f>IF(NOT(ISNUMBER($A513)),NA(),IF(OR($A513&lt;MIN(DKW_10Y!$A$2:$A$2918),$A513&gt;MAX(DKW_10Y!$A$2:$A$2918),Settings!$B$16&lt;MIN(DKW_10Y!$A$2:$A$2918)),NA(),(INDEX(DKW_10Y!$H$2:$H$2918,MATCH($A513,DKW_10Y!$A$2:$A$2918,1))-INDEX(DKW_10Y!$H$2:$H$2918,MATCH(Settings!$B$16,DKW_10Y!$A$2:$A$2918,1)))*100))</f>
        <v/>
      </c>
      <c r="AC513" s="18">
        <f>IF(NOT(ISNUMBER($A513)),NA(),IFERROR(1*INDEX(BBG_Data!$N$2:$N$4000,MATCH($A513,BBG_Data!$M$2:$M$4000,0)),NA()))</f>
        <v/>
      </c>
      <c r="AD513" s="18">
        <f>IF(NOT(ISNUMBER($A513)),NA(),IFERROR(1*INDEX(BBG_Data!$P$2:$P$4000,MATCH($A513,BBG_Data!$O$2:$O$4000,0)),NA()))</f>
        <v/>
      </c>
      <c r="AE513" s="18">
        <f>IF(NOT(ISNUMBER($A513)),NA(),IFERROR(1*INDEX(BBG_Data!$R$2:$R$4000,MATCH($A513,BBG_Data!$Q$2:$Q$4000,0)),NA()))</f>
        <v/>
      </c>
      <c r="AF513" s="20">
        <f>IF(AND(ISNUMBER(B513),ISNUMBER(AC513)),(B513-AC513)*100,NA())</f>
        <v/>
      </c>
      <c r="AG513" s="20">
        <f>IF(AND(ISNUMBER(AE513),ISNUMBER(AD513)),(AE513-AD513)*100,NA())</f>
        <v/>
      </c>
      <c r="AH513" s="19">
        <f>IF(NOT(ISNUMBER($A513)),NA(),IFERROR(INDEX(BBG_Data!$T$2:$T$4000,MATCH($A513,BBG_Data!$S$2:$S$4000,0))*Settings!$B$25,NA()))</f>
        <v/>
      </c>
      <c r="AI513" s="19">
        <f>IF(NOT(ISNUMBER($A513)),NA(),IFERROR(INDEX(BBG_Data!$V$2:$V$4000,MATCH($A513,BBG_Data!$U$2:$U$4000,0))*Settings!$B$25,NA()))</f>
        <v/>
      </c>
      <c r="AJ513" s="19">
        <f>IF(NOT(ISNUMBER($A513)),NA(),IFERROR(1*INDEX(BBG_Data!$X$2:$X$4000,MATCH($A513,BBG_Data!$W$2:$W$4000,0)),NA()))</f>
        <v/>
      </c>
      <c r="AK513" s="19">
        <f>IF(NOT(ISNUMBER($A513)),NA(),IFERROR(1*INDEX(BBG_Data!$Z$2:$Z$4000,MATCH($A513,BBG_Data!$Y$2:$Y$4000,0)),NA()))</f>
        <v/>
      </c>
    </row>
    <row r="514">
      <c r="A514" s="17">
        <f>IF(ISNUMBER(BBG_Data!A514),BBG_Data!A514,"")</f>
        <v/>
      </c>
      <c r="B514" s="18">
        <f>IF(AND(ISNUMBER($A514),ISNUMBER(BBG_Data!B514)),BBG_Data!B514,NA())</f>
        <v/>
      </c>
      <c r="C514" s="18">
        <f>IF(NOT(ISNUMBER($A514)),NA(),IFERROR(1*INDEX(BBG_Data!$D$2:$D$4000,MATCH($A514,BBG_Data!$C$2:$C$4000,0)),NA()))</f>
        <v/>
      </c>
      <c r="D514" s="19">
        <f>IF(NOT(ISNUMBER($A514)),NA(),IFERROR(1*INDEX(BBG_Data!$F$2:$F$4000,MATCH($A514,BBG_Data!$E$2:$E$4000,0)),NA()))</f>
        <v/>
      </c>
      <c r="E514" s="19">
        <f>IF(NOT(ISNUMBER($A514)),NA(),IFERROR(1*INDEX(BBG_Data!$H$2:$H$4000,MATCH($A514,BBG_Data!$G$2:$G$4000,0)),NA()))</f>
        <v/>
      </c>
      <c r="F514" s="20">
        <f>IF(AND(ISNUMBER(B514),ISNUMBER(B513)),IF(B514=B513,"",(B514-B513)*100),"")</f>
        <v/>
      </c>
      <c r="G514" s="20">
        <f>IF(AND(ISNUMBER(C514),ISNUMBER(C513)),IF(C514=C513,"",(C514-C513)*100),"")</f>
        <v/>
      </c>
      <c r="H514" s="20">
        <f>IF(OR(NOT(ISNUMBER($A514)),ROW()-2&lt;Settings!$B$11),NA(),IF(COUNT(OFFSET(F514,1-Settings!$B$11,0,Settings!$B$11,1))&lt;ROUNDUP(Settings!$B$11*Settings!$B$26,0),NA(),STDEV(OFFSET(F514,1-Settings!$B$11,0,Settings!$B$11,1))*SQRT(Settings!$B$13)))</f>
        <v/>
      </c>
      <c r="I514" s="20">
        <f>IF(OR(NOT(ISNUMBER($A514)),ROW()-2&lt;Settings!$B$12),NA(),IF(COUNT(OFFSET(F514,1-Settings!$B$12,0,Settings!$B$12,1))&lt;ROUNDUP(Settings!$B$12*Settings!$B$26,0),NA(),STDEV(OFFSET(F514,1-Settings!$B$12,0,Settings!$B$12,1))*SQRT(Settings!$B$13)))</f>
        <v/>
      </c>
      <c r="J514" s="20">
        <f>IF(OR(NOT(ISNUMBER($A514)),ROW()-2&lt;Settings!$B$11),NA(),IF(COUNT(OFFSET(G514,1-Settings!$B$11,0,Settings!$B$11,1))&lt;ROUNDUP(Settings!$B$11*Settings!$B$26,0),NA(),STDEV(OFFSET(G514,1-Settings!$B$11,0,Settings!$B$11,1))*SQRT(Settings!$B$13)))</f>
        <v/>
      </c>
      <c r="K514" s="20">
        <f>IF(OR(NOT(ISNUMBER($A514)),ROW()-2&lt;Settings!$B$12),NA(),IF(COUNT(OFFSET(G514,1-Settings!$B$12,0,Settings!$B$12,1))&lt;ROUNDUP(Settings!$B$12*Settings!$B$26,0),NA(),STDEV(OFFSET(G514,1-Settings!$B$12,0,Settings!$B$12,1))*SQRT(Settings!$B$13)))</f>
        <v/>
      </c>
      <c r="L514" s="20">
        <f>IF(AND(ISNUMBER(D514),ISNUMBER(H514)),D514-H514,NA())</f>
        <v/>
      </c>
      <c r="M514" s="20">
        <f>IF(AND(ISNUMBER(E514),ISNUMBER(K514)),E514-K514,NA())</f>
        <v/>
      </c>
      <c r="N514" s="20">
        <f>IF(NOT(ISNUMBER($A514)),NA(),IF(COUNT(OFFSET(G514,1,0,Settings!$B$12,1))&lt;ROUNDUP(Settings!$B$12*Settings!$B$26,0),NA(),STDEV(OFFSET(G514,1,0,Settings!$B$12,1))*SQRT(Settings!$B$13)))</f>
        <v/>
      </c>
      <c r="O514" s="20">
        <f>IF(AND(ISNUMBER(E514),ISNUMBER(N514)),E514-N514,NA())</f>
        <v/>
      </c>
      <c r="P514" s="19">
        <f>IF(NOT(ISNUMBER($A514)),NA(),IF(OR($A514&lt;MIN(KW_TP!$A$2:$A$2501),$A514&gt;MAX(KW_TP!$A$2:$A$2501)),NA(),INDEX(KW_TP!$C$2:$C$2501,MATCH($A514,KW_TP!$A$2:$A$2501,1))))</f>
        <v/>
      </c>
      <c r="Q514" s="18">
        <f>IF(NOT(ISNUMBER($A514)),NA(),IFERROR(1*INDEX(BBG_Data!$J$2:$J$4000,MATCH($A514,BBG_Data!$I$2:$I$4000,0)),NA()))</f>
        <v/>
      </c>
      <c r="R514" s="18">
        <f>IF(NOT(ISNUMBER($A514)),NA(),IFERROR(1*INDEX(BBG_Data!$L$2:$L$4000,MATCH($A514,BBG_Data!$K$2:$K$4000,0)),NA()))</f>
        <v/>
      </c>
      <c r="S514" s="20">
        <f>IF(AND(ISNUMBER(B514),ISNUMBER(Q514),ISNUMBER(R514)),(B514-Q514-R514)*100,NA())</f>
        <v/>
      </c>
      <c r="T514" s="20">
        <f>IF(AND(ISNUMBER(B514),Settings!$B$17&gt;0),IF(ISNUMBER(INDEX($B:$B,Settings!$B$17)),(B514-INDEX($B:$B,Settings!$B$17))*100,NA()),NA())</f>
        <v/>
      </c>
      <c r="U514" s="20">
        <f>IF(AND(ISNUMBER(Q514),Settings!$B$17&gt;0),IF(ISNUMBER(INDEX($Q:$Q,Settings!$B$17)),(Q514-INDEX($Q:$Q,Settings!$B$17))*100,NA()),NA())</f>
        <v/>
      </c>
      <c r="V514" s="20">
        <f>IF(AND(ISNUMBER(R514),Settings!$B$17&gt;0),IF(ISNUMBER(INDEX($R:$R,Settings!$B$17)),(R514-INDEX($R:$R,Settings!$B$17))*100,NA()),NA())</f>
        <v/>
      </c>
      <c r="W514" s="20">
        <f>IF(AND(ISNUMBER(P514),Settings!$B$17&gt;0),IF(ISNUMBER(INDEX($P:$P,Settings!$B$17)),P514-INDEX($P:$P,Settings!$B$17),NA()),NA())</f>
        <v/>
      </c>
      <c r="X514" s="19">
        <f>IF(NOT(ISNUMBER($A514)),NA(),IF(OR($A514&lt;MIN(DKW_10Y!$A$2:$A$2918),$A514&gt;MAX(DKW_10Y!$A$2:$A$2918),Settings!$B$16&lt;MIN(DKW_10Y!$A$2:$A$2918)),NA(),(INDEX(DKW_10Y!$B$2:$B$2918,MATCH($A514,DKW_10Y!$A$2:$A$2918,1))-INDEX(DKW_10Y!$B$2:$B$2918,MATCH(Settings!$B$16,DKW_10Y!$A$2:$A$2918,1)))*100))</f>
        <v/>
      </c>
      <c r="Y514" s="19">
        <f>IF(NOT(ISNUMBER($A514)),NA(),IF(OR($A514&lt;MIN(DKW_10Y!$A$2:$A$2918),$A514&gt;MAX(DKW_10Y!$A$2:$A$2918),Settings!$B$16&lt;MIN(DKW_10Y!$A$2:$A$2918)),NA(),(INDEX(DKW_10Y!$C$2:$C$2918,MATCH($A514,DKW_10Y!$A$2:$A$2918,1))-INDEX(DKW_10Y!$C$2:$C$2918,MATCH(Settings!$B$16,DKW_10Y!$A$2:$A$2918,1)))*100))</f>
        <v/>
      </c>
      <c r="Z514" s="19">
        <f>IF(NOT(ISNUMBER($A514)),NA(),IF(OR($A514&lt;MIN(DKW_10Y!$A$2:$A$2918),$A514&gt;MAX(DKW_10Y!$A$2:$A$2918),Settings!$B$16&lt;MIN(DKW_10Y!$A$2:$A$2918)),NA(),(INDEX(DKW_10Y!$D$2:$D$2918,MATCH($A514,DKW_10Y!$A$2:$A$2918,1))-INDEX(DKW_10Y!$D$2:$D$2918,MATCH(Settings!$B$16,DKW_10Y!$A$2:$A$2918,1)))*100))</f>
        <v/>
      </c>
      <c r="AA514" s="19">
        <f>IF(NOT(ISNUMBER($A514)),NA(),IF(OR($A514&lt;MIN(DKW_10Y!$A$2:$A$2918),$A514&gt;MAX(DKW_10Y!$A$2:$A$2918),Settings!$B$16&lt;MIN(DKW_10Y!$A$2:$A$2918)),NA(),(INDEX(DKW_10Y!$E$2:$E$2918,MATCH($A514,DKW_10Y!$A$2:$A$2918,1))-INDEX(DKW_10Y!$E$2:$E$2918,MATCH(Settings!$B$16,DKW_10Y!$A$2:$A$2918,1)))*100))</f>
        <v/>
      </c>
      <c r="AB514" s="19">
        <f>IF(NOT(ISNUMBER($A514)),NA(),IF(OR($A514&lt;MIN(DKW_10Y!$A$2:$A$2918),$A514&gt;MAX(DKW_10Y!$A$2:$A$2918),Settings!$B$16&lt;MIN(DKW_10Y!$A$2:$A$2918)),NA(),(INDEX(DKW_10Y!$H$2:$H$2918,MATCH($A514,DKW_10Y!$A$2:$A$2918,1))-INDEX(DKW_10Y!$H$2:$H$2918,MATCH(Settings!$B$16,DKW_10Y!$A$2:$A$2918,1)))*100))</f>
        <v/>
      </c>
      <c r="AC514" s="18">
        <f>IF(NOT(ISNUMBER($A514)),NA(),IFERROR(1*INDEX(BBG_Data!$N$2:$N$4000,MATCH($A514,BBG_Data!$M$2:$M$4000,0)),NA()))</f>
        <v/>
      </c>
      <c r="AD514" s="18">
        <f>IF(NOT(ISNUMBER($A514)),NA(),IFERROR(1*INDEX(BBG_Data!$P$2:$P$4000,MATCH($A514,BBG_Data!$O$2:$O$4000,0)),NA()))</f>
        <v/>
      </c>
      <c r="AE514" s="18">
        <f>IF(NOT(ISNUMBER($A514)),NA(),IFERROR(1*INDEX(BBG_Data!$R$2:$R$4000,MATCH($A514,BBG_Data!$Q$2:$Q$4000,0)),NA()))</f>
        <v/>
      </c>
      <c r="AF514" s="20">
        <f>IF(AND(ISNUMBER(B514),ISNUMBER(AC514)),(B514-AC514)*100,NA())</f>
        <v/>
      </c>
      <c r="AG514" s="20">
        <f>IF(AND(ISNUMBER(AE514),ISNUMBER(AD514)),(AE514-AD514)*100,NA())</f>
        <v/>
      </c>
      <c r="AH514" s="19">
        <f>IF(NOT(ISNUMBER($A514)),NA(),IFERROR(INDEX(BBG_Data!$T$2:$T$4000,MATCH($A514,BBG_Data!$S$2:$S$4000,0))*Settings!$B$25,NA()))</f>
        <v/>
      </c>
      <c r="AI514" s="19">
        <f>IF(NOT(ISNUMBER($A514)),NA(),IFERROR(INDEX(BBG_Data!$V$2:$V$4000,MATCH($A514,BBG_Data!$U$2:$U$4000,0))*Settings!$B$25,NA()))</f>
        <v/>
      </c>
      <c r="AJ514" s="19">
        <f>IF(NOT(ISNUMBER($A514)),NA(),IFERROR(1*INDEX(BBG_Data!$X$2:$X$4000,MATCH($A514,BBG_Data!$W$2:$W$4000,0)),NA()))</f>
        <v/>
      </c>
      <c r="AK514" s="19">
        <f>IF(NOT(ISNUMBER($A514)),NA(),IFERROR(1*INDEX(BBG_Data!$Z$2:$Z$4000,MATCH($A514,BBG_Data!$Y$2:$Y$4000,0)),NA()))</f>
        <v/>
      </c>
    </row>
    <row r="515">
      <c r="A515" s="17">
        <f>IF(ISNUMBER(BBG_Data!A515),BBG_Data!A515,"")</f>
        <v/>
      </c>
      <c r="B515" s="18">
        <f>IF(AND(ISNUMBER($A515),ISNUMBER(BBG_Data!B515)),BBG_Data!B515,NA())</f>
        <v/>
      </c>
      <c r="C515" s="18">
        <f>IF(NOT(ISNUMBER($A515)),NA(),IFERROR(1*INDEX(BBG_Data!$D$2:$D$4000,MATCH($A515,BBG_Data!$C$2:$C$4000,0)),NA()))</f>
        <v/>
      </c>
      <c r="D515" s="19">
        <f>IF(NOT(ISNUMBER($A515)),NA(),IFERROR(1*INDEX(BBG_Data!$F$2:$F$4000,MATCH($A515,BBG_Data!$E$2:$E$4000,0)),NA()))</f>
        <v/>
      </c>
      <c r="E515" s="19">
        <f>IF(NOT(ISNUMBER($A515)),NA(),IFERROR(1*INDEX(BBG_Data!$H$2:$H$4000,MATCH($A515,BBG_Data!$G$2:$G$4000,0)),NA()))</f>
        <v/>
      </c>
      <c r="F515" s="20">
        <f>IF(AND(ISNUMBER(B515),ISNUMBER(B514)),IF(B515=B514,"",(B515-B514)*100),"")</f>
        <v/>
      </c>
      <c r="G515" s="20">
        <f>IF(AND(ISNUMBER(C515),ISNUMBER(C514)),IF(C515=C514,"",(C515-C514)*100),"")</f>
        <v/>
      </c>
      <c r="H515" s="20">
        <f>IF(OR(NOT(ISNUMBER($A515)),ROW()-2&lt;Settings!$B$11),NA(),IF(COUNT(OFFSET(F515,1-Settings!$B$11,0,Settings!$B$11,1))&lt;ROUNDUP(Settings!$B$11*Settings!$B$26,0),NA(),STDEV(OFFSET(F515,1-Settings!$B$11,0,Settings!$B$11,1))*SQRT(Settings!$B$13)))</f>
        <v/>
      </c>
      <c r="I515" s="20">
        <f>IF(OR(NOT(ISNUMBER($A515)),ROW()-2&lt;Settings!$B$12),NA(),IF(COUNT(OFFSET(F515,1-Settings!$B$12,0,Settings!$B$12,1))&lt;ROUNDUP(Settings!$B$12*Settings!$B$26,0),NA(),STDEV(OFFSET(F515,1-Settings!$B$12,0,Settings!$B$12,1))*SQRT(Settings!$B$13)))</f>
        <v/>
      </c>
      <c r="J515" s="20">
        <f>IF(OR(NOT(ISNUMBER($A515)),ROW()-2&lt;Settings!$B$11),NA(),IF(COUNT(OFFSET(G515,1-Settings!$B$11,0,Settings!$B$11,1))&lt;ROUNDUP(Settings!$B$11*Settings!$B$26,0),NA(),STDEV(OFFSET(G515,1-Settings!$B$11,0,Settings!$B$11,1))*SQRT(Settings!$B$13)))</f>
        <v/>
      </c>
      <c r="K515" s="20">
        <f>IF(OR(NOT(ISNUMBER($A515)),ROW()-2&lt;Settings!$B$12),NA(),IF(COUNT(OFFSET(G515,1-Settings!$B$12,0,Settings!$B$12,1))&lt;ROUNDUP(Settings!$B$12*Settings!$B$26,0),NA(),STDEV(OFFSET(G515,1-Settings!$B$12,0,Settings!$B$12,1))*SQRT(Settings!$B$13)))</f>
        <v/>
      </c>
      <c r="L515" s="20">
        <f>IF(AND(ISNUMBER(D515),ISNUMBER(H515)),D515-H515,NA())</f>
        <v/>
      </c>
      <c r="M515" s="20">
        <f>IF(AND(ISNUMBER(E515),ISNUMBER(K515)),E515-K515,NA())</f>
        <v/>
      </c>
      <c r="N515" s="20">
        <f>IF(NOT(ISNUMBER($A515)),NA(),IF(COUNT(OFFSET(G515,1,0,Settings!$B$12,1))&lt;ROUNDUP(Settings!$B$12*Settings!$B$26,0),NA(),STDEV(OFFSET(G515,1,0,Settings!$B$12,1))*SQRT(Settings!$B$13)))</f>
        <v/>
      </c>
      <c r="O515" s="20">
        <f>IF(AND(ISNUMBER(E515),ISNUMBER(N515)),E515-N515,NA())</f>
        <v/>
      </c>
      <c r="P515" s="19">
        <f>IF(NOT(ISNUMBER($A515)),NA(),IF(OR($A515&lt;MIN(KW_TP!$A$2:$A$2501),$A515&gt;MAX(KW_TP!$A$2:$A$2501)),NA(),INDEX(KW_TP!$C$2:$C$2501,MATCH($A515,KW_TP!$A$2:$A$2501,1))))</f>
        <v/>
      </c>
      <c r="Q515" s="18">
        <f>IF(NOT(ISNUMBER($A515)),NA(),IFERROR(1*INDEX(BBG_Data!$J$2:$J$4000,MATCH($A515,BBG_Data!$I$2:$I$4000,0)),NA()))</f>
        <v/>
      </c>
      <c r="R515" s="18">
        <f>IF(NOT(ISNUMBER($A515)),NA(),IFERROR(1*INDEX(BBG_Data!$L$2:$L$4000,MATCH($A515,BBG_Data!$K$2:$K$4000,0)),NA()))</f>
        <v/>
      </c>
      <c r="S515" s="20">
        <f>IF(AND(ISNUMBER(B515),ISNUMBER(Q515),ISNUMBER(R515)),(B515-Q515-R515)*100,NA())</f>
        <v/>
      </c>
      <c r="T515" s="20">
        <f>IF(AND(ISNUMBER(B515),Settings!$B$17&gt;0),IF(ISNUMBER(INDEX($B:$B,Settings!$B$17)),(B515-INDEX($B:$B,Settings!$B$17))*100,NA()),NA())</f>
        <v/>
      </c>
      <c r="U515" s="20">
        <f>IF(AND(ISNUMBER(Q515),Settings!$B$17&gt;0),IF(ISNUMBER(INDEX($Q:$Q,Settings!$B$17)),(Q515-INDEX($Q:$Q,Settings!$B$17))*100,NA()),NA())</f>
        <v/>
      </c>
      <c r="V515" s="20">
        <f>IF(AND(ISNUMBER(R515),Settings!$B$17&gt;0),IF(ISNUMBER(INDEX($R:$R,Settings!$B$17)),(R515-INDEX($R:$R,Settings!$B$17))*100,NA()),NA())</f>
        <v/>
      </c>
      <c r="W515" s="20">
        <f>IF(AND(ISNUMBER(P515),Settings!$B$17&gt;0),IF(ISNUMBER(INDEX($P:$P,Settings!$B$17)),P515-INDEX($P:$P,Settings!$B$17),NA()),NA())</f>
        <v/>
      </c>
      <c r="X515" s="19">
        <f>IF(NOT(ISNUMBER($A515)),NA(),IF(OR($A515&lt;MIN(DKW_10Y!$A$2:$A$2918),$A515&gt;MAX(DKW_10Y!$A$2:$A$2918),Settings!$B$16&lt;MIN(DKW_10Y!$A$2:$A$2918)),NA(),(INDEX(DKW_10Y!$B$2:$B$2918,MATCH($A515,DKW_10Y!$A$2:$A$2918,1))-INDEX(DKW_10Y!$B$2:$B$2918,MATCH(Settings!$B$16,DKW_10Y!$A$2:$A$2918,1)))*100))</f>
        <v/>
      </c>
      <c r="Y515" s="19">
        <f>IF(NOT(ISNUMBER($A515)),NA(),IF(OR($A515&lt;MIN(DKW_10Y!$A$2:$A$2918),$A515&gt;MAX(DKW_10Y!$A$2:$A$2918),Settings!$B$16&lt;MIN(DKW_10Y!$A$2:$A$2918)),NA(),(INDEX(DKW_10Y!$C$2:$C$2918,MATCH($A515,DKW_10Y!$A$2:$A$2918,1))-INDEX(DKW_10Y!$C$2:$C$2918,MATCH(Settings!$B$16,DKW_10Y!$A$2:$A$2918,1)))*100))</f>
        <v/>
      </c>
      <c r="Z515" s="19">
        <f>IF(NOT(ISNUMBER($A515)),NA(),IF(OR($A515&lt;MIN(DKW_10Y!$A$2:$A$2918),$A515&gt;MAX(DKW_10Y!$A$2:$A$2918),Settings!$B$16&lt;MIN(DKW_10Y!$A$2:$A$2918)),NA(),(INDEX(DKW_10Y!$D$2:$D$2918,MATCH($A515,DKW_10Y!$A$2:$A$2918,1))-INDEX(DKW_10Y!$D$2:$D$2918,MATCH(Settings!$B$16,DKW_10Y!$A$2:$A$2918,1)))*100))</f>
        <v/>
      </c>
      <c r="AA515" s="19">
        <f>IF(NOT(ISNUMBER($A515)),NA(),IF(OR($A515&lt;MIN(DKW_10Y!$A$2:$A$2918),$A515&gt;MAX(DKW_10Y!$A$2:$A$2918),Settings!$B$16&lt;MIN(DKW_10Y!$A$2:$A$2918)),NA(),(INDEX(DKW_10Y!$E$2:$E$2918,MATCH($A515,DKW_10Y!$A$2:$A$2918,1))-INDEX(DKW_10Y!$E$2:$E$2918,MATCH(Settings!$B$16,DKW_10Y!$A$2:$A$2918,1)))*100))</f>
        <v/>
      </c>
      <c r="AB515" s="19">
        <f>IF(NOT(ISNUMBER($A515)),NA(),IF(OR($A515&lt;MIN(DKW_10Y!$A$2:$A$2918),$A515&gt;MAX(DKW_10Y!$A$2:$A$2918),Settings!$B$16&lt;MIN(DKW_10Y!$A$2:$A$2918)),NA(),(INDEX(DKW_10Y!$H$2:$H$2918,MATCH($A515,DKW_10Y!$A$2:$A$2918,1))-INDEX(DKW_10Y!$H$2:$H$2918,MATCH(Settings!$B$16,DKW_10Y!$A$2:$A$2918,1)))*100))</f>
        <v/>
      </c>
      <c r="AC515" s="18">
        <f>IF(NOT(ISNUMBER($A515)),NA(),IFERROR(1*INDEX(BBG_Data!$N$2:$N$4000,MATCH($A515,BBG_Data!$M$2:$M$4000,0)),NA()))</f>
        <v/>
      </c>
      <c r="AD515" s="18">
        <f>IF(NOT(ISNUMBER($A515)),NA(),IFERROR(1*INDEX(BBG_Data!$P$2:$P$4000,MATCH($A515,BBG_Data!$O$2:$O$4000,0)),NA()))</f>
        <v/>
      </c>
      <c r="AE515" s="18">
        <f>IF(NOT(ISNUMBER($A515)),NA(),IFERROR(1*INDEX(BBG_Data!$R$2:$R$4000,MATCH($A515,BBG_Data!$Q$2:$Q$4000,0)),NA()))</f>
        <v/>
      </c>
      <c r="AF515" s="20">
        <f>IF(AND(ISNUMBER(B515),ISNUMBER(AC515)),(B515-AC515)*100,NA())</f>
        <v/>
      </c>
      <c r="AG515" s="20">
        <f>IF(AND(ISNUMBER(AE515),ISNUMBER(AD515)),(AE515-AD515)*100,NA())</f>
        <v/>
      </c>
      <c r="AH515" s="19">
        <f>IF(NOT(ISNUMBER($A515)),NA(),IFERROR(INDEX(BBG_Data!$T$2:$T$4000,MATCH($A515,BBG_Data!$S$2:$S$4000,0))*Settings!$B$25,NA()))</f>
        <v/>
      </c>
      <c r="AI515" s="19">
        <f>IF(NOT(ISNUMBER($A515)),NA(),IFERROR(INDEX(BBG_Data!$V$2:$V$4000,MATCH($A515,BBG_Data!$U$2:$U$4000,0))*Settings!$B$25,NA()))</f>
        <v/>
      </c>
      <c r="AJ515" s="19">
        <f>IF(NOT(ISNUMBER($A515)),NA(),IFERROR(1*INDEX(BBG_Data!$X$2:$X$4000,MATCH($A515,BBG_Data!$W$2:$W$4000,0)),NA()))</f>
        <v/>
      </c>
      <c r="AK515" s="19">
        <f>IF(NOT(ISNUMBER($A515)),NA(),IFERROR(1*INDEX(BBG_Data!$Z$2:$Z$4000,MATCH($A515,BBG_Data!$Y$2:$Y$4000,0)),NA()))</f>
        <v/>
      </c>
    </row>
    <row r="516">
      <c r="A516" s="17">
        <f>IF(ISNUMBER(BBG_Data!A516),BBG_Data!A516,"")</f>
        <v/>
      </c>
      <c r="B516" s="18">
        <f>IF(AND(ISNUMBER($A516),ISNUMBER(BBG_Data!B516)),BBG_Data!B516,NA())</f>
        <v/>
      </c>
      <c r="C516" s="18">
        <f>IF(NOT(ISNUMBER($A516)),NA(),IFERROR(1*INDEX(BBG_Data!$D$2:$D$4000,MATCH($A516,BBG_Data!$C$2:$C$4000,0)),NA()))</f>
        <v/>
      </c>
      <c r="D516" s="19">
        <f>IF(NOT(ISNUMBER($A516)),NA(),IFERROR(1*INDEX(BBG_Data!$F$2:$F$4000,MATCH($A516,BBG_Data!$E$2:$E$4000,0)),NA()))</f>
        <v/>
      </c>
      <c r="E516" s="19">
        <f>IF(NOT(ISNUMBER($A516)),NA(),IFERROR(1*INDEX(BBG_Data!$H$2:$H$4000,MATCH($A516,BBG_Data!$G$2:$G$4000,0)),NA()))</f>
        <v/>
      </c>
      <c r="F516" s="20">
        <f>IF(AND(ISNUMBER(B516),ISNUMBER(B515)),IF(B516=B515,"",(B516-B515)*100),"")</f>
        <v/>
      </c>
      <c r="G516" s="20">
        <f>IF(AND(ISNUMBER(C516),ISNUMBER(C515)),IF(C516=C515,"",(C516-C515)*100),"")</f>
        <v/>
      </c>
      <c r="H516" s="20">
        <f>IF(OR(NOT(ISNUMBER($A516)),ROW()-2&lt;Settings!$B$11),NA(),IF(COUNT(OFFSET(F516,1-Settings!$B$11,0,Settings!$B$11,1))&lt;ROUNDUP(Settings!$B$11*Settings!$B$26,0),NA(),STDEV(OFFSET(F516,1-Settings!$B$11,0,Settings!$B$11,1))*SQRT(Settings!$B$13)))</f>
        <v/>
      </c>
      <c r="I516" s="20">
        <f>IF(OR(NOT(ISNUMBER($A516)),ROW()-2&lt;Settings!$B$12),NA(),IF(COUNT(OFFSET(F516,1-Settings!$B$12,0,Settings!$B$12,1))&lt;ROUNDUP(Settings!$B$12*Settings!$B$26,0),NA(),STDEV(OFFSET(F516,1-Settings!$B$12,0,Settings!$B$12,1))*SQRT(Settings!$B$13)))</f>
        <v/>
      </c>
      <c r="J516" s="20">
        <f>IF(OR(NOT(ISNUMBER($A516)),ROW()-2&lt;Settings!$B$11),NA(),IF(COUNT(OFFSET(G516,1-Settings!$B$11,0,Settings!$B$11,1))&lt;ROUNDUP(Settings!$B$11*Settings!$B$26,0),NA(),STDEV(OFFSET(G516,1-Settings!$B$11,0,Settings!$B$11,1))*SQRT(Settings!$B$13)))</f>
        <v/>
      </c>
      <c r="K516" s="20">
        <f>IF(OR(NOT(ISNUMBER($A516)),ROW()-2&lt;Settings!$B$12),NA(),IF(COUNT(OFFSET(G516,1-Settings!$B$12,0,Settings!$B$12,1))&lt;ROUNDUP(Settings!$B$12*Settings!$B$26,0),NA(),STDEV(OFFSET(G516,1-Settings!$B$12,0,Settings!$B$12,1))*SQRT(Settings!$B$13)))</f>
        <v/>
      </c>
      <c r="L516" s="20">
        <f>IF(AND(ISNUMBER(D516),ISNUMBER(H516)),D516-H516,NA())</f>
        <v/>
      </c>
      <c r="M516" s="20">
        <f>IF(AND(ISNUMBER(E516),ISNUMBER(K516)),E516-K516,NA())</f>
        <v/>
      </c>
      <c r="N516" s="20">
        <f>IF(NOT(ISNUMBER($A516)),NA(),IF(COUNT(OFFSET(G516,1,0,Settings!$B$12,1))&lt;ROUNDUP(Settings!$B$12*Settings!$B$26,0),NA(),STDEV(OFFSET(G516,1,0,Settings!$B$12,1))*SQRT(Settings!$B$13)))</f>
        <v/>
      </c>
      <c r="O516" s="20">
        <f>IF(AND(ISNUMBER(E516),ISNUMBER(N516)),E516-N516,NA())</f>
        <v/>
      </c>
      <c r="P516" s="19">
        <f>IF(NOT(ISNUMBER($A516)),NA(),IF(OR($A516&lt;MIN(KW_TP!$A$2:$A$2501),$A516&gt;MAX(KW_TP!$A$2:$A$2501)),NA(),INDEX(KW_TP!$C$2:$C$2501,MATCH($A516,KW_TP!$A$2:$A$2501,1))))</f>
        <v/>
      </c>
      <c r="Q516" s="18">
        <f>IF(NOT(ISNUMBER($A516)),NA(),IFERROR(1*INDEX(BBG_Data!$J$2:$J$4000,MATCH($A516,BBG_Data!$I$2:$I$4000,0)),NA()))</f>
        <v/>
      </c>
      <c r="R516" s="18">
        <f>IF(NOT(ISNUMBER($A516)),NA(),IFERROR(1*INDEX(BBG_Data!$L$2:$L$4000,MATCH($A516,BBG_Data!$K$2:$K$4000,0)),NA()))</f>
        <v/>
      </c>
      <c r="S516" s="20">
        <f>IF(AND(ISNUMBER(B516),ISNUMBER(Q516),ISNUMBER(R516)),(B516-Q516-R516)*100,NA())</f>
        <v/>
      </c>
      <c r="T516" s="20">
        <f>IF(AND(ISNUMBER(B516),Settings!$B$17&gt;0),IF(ISNUMBER(INDEX($B:$B,Settings!$B$17)),(B516-INDEX($B:$B,Settings!$B$17))*100,NA()),NA())</f>
        <v/>
      </c>
      <c r="U516" s="20">
        <f>IF(AND(ISNUMBER(Q516),Settings!$B$17&gt;0),IF(ISNUMBER(INDEX($Q:$Q,Settings!$B$17)),(Q516-INDEX($Q:$Q,Settings!$B$17))*100,NA()),NA())</f>
        <v/>
      </c>
      <c r="V516" s="20">
        <f>IF(AND(ISNUMBER(R516),Settings!$B$17&gt;0),IF(ISNUMBER(INDEX($R:$R,Settings!$B$17)),(R516-INDEX($R:$R,Settings!$B$17))*100,NA()),NA())</f>
        <v/>
      </c>
      <c r="W516" s="20">
        <f>IF(AND(ISNUMBER(P516),Settings!$B$17&gt;0),IF(ISNUMBER(INDEX($P:$P,Settings!$B$17)),P516-INDEX($P:$P,Settings!$B$17),NA()),NA())</f>
        <v/>
      </c>
      <c r="X516" s="19">
        <f>IF(NOT(ISNUMBER($A516)),NA(),IF(OR($A516&lt;MIN(DKW_10Y!$A$2:$A$2918),$A516&gt;MAX(DKW_10Y!$A$2:$A$2918),Settings!$B$16&lt;MIN(DKW_10Y!$A$2:$A$2918)),NA(),(INDEX(DKW_10Y!$B$2:$B$2918,MATCH($A516,DKW_10Y!$A$2:$A$2918,1))-INDEX(DKW_10Y!$B$2:$B$2918,MATCH(Settings!$B$16,DKW_10Y!$A$2:$A$2918,1)))*100))</f>
        <v/>
      </c>
      <c r="Y516" s="19">
        <f>IF(NOT(ISNUMBER($A516)),NA(),IF(OR($A516&lt;MIN(DKW_10Y!$A$2:$A$2918),$A516&gt;MAX(DKW_10Y!$A$2:$A$2918),Settings!$B$16&lt;MIN(DKW_10Y!$A$2:$A$2918)),NA(),(INDEX(DKW_10Y!$C$2:$C$2918,MATCH($A516,DKW_10Y!$A$2:$A$2918,1))-INDEX(DKW_10Y!$C$2:$C$2918,MATCH(Settings!$B$16,DKW_10Y!$A$2:$A$2918,1)))*100))</f>
        <v/>
      </c>
      <c r="Z516" s="19">
        <f>IF(NOT(ISNUMBER($A516)),NA(),IF(OR($A516&lt;MIN(DKW_10Y!$A$2:$A$2918),$A516&gt;MAX(DKW_10Y!$A$2:$A$2918),Settings!$B$16&lt;MIN(DKW_10Y!$A$2:$A$2918)),NA(),(INDEX(DKW_10Y!$D$2:$D$2918,MATCH($A516,DKW_10Y!$A$2:$A$2918,1))-INDEX(DKW_10Y!$D$2:$D$2918,MATCH(Settings!$B$16,DKW_10Y!$A$2:$A$2918,1)))*100))</f>
        <v/>
      </c>
      <c r="AA516" s="19">
        <f>IF(NOT(ISNUMBER($A516)),NA(),IF(OR($A516&lt;MIN(DKW_10Y!$A$2:$A$2918),$A516&gt;MAX(DKW_10Y!$A$2:$A$2918),Settings!$B$16&lt;MIN(DKW_10Y!$A$2:$A$2918)),NA(),(INDEX(DKW_10Y!$E$2:$E$2918,MATCH($A516,DKW_10Y!$A$2:$A$2918,1))-INDEX(DKW_10Y!$E$2:$E$2918,MATCH(Settings!$B$16,DKW_10Y!$A$2:$A$2918,1)))*100))</f>
        <v/>
      </c>
      <c r="AB516" s="19">
        <f>IF(NOT(ISNUMBER($A516)),NA(),IF(OR($A516&lt;MIN(DKW_10Y!$A$2:$A$2918),$A516&gt;MAX(DKW_10Y!$A$2:$A$2918),Settings!$B$16&lt;MIN(DKW_10Y!$A$2:$A$2918)),NA(),(INDEX(DKW_10Y!$H$2:$H$2918,MATCH($A516,DKW_10Y!$A$2:$A$2918,1))-INDEX(DKW_10Y!$H$2:$H$2918,MATCH(Settings!$B$16,DKW_10Y!$A$2:$A$2918,1)))*100))</f>
        <v/>
      </c>
      <c r="AC516" s="18">
        <f>IF(NOT(ISNUMBER($A516)),NA(),IFERROR(1*INDEX(BBG_Data!$N$2:$N$4000,MATCH($A516,BBG_Data!$M$2:$M$4000,0)),NA()))</f>
        <v/>
      </c>
      <c r="AD516" s="18">
        <f>IF(NOT(ISNUMBER($A516)),NA(),IFERROR(1*INDEX(BBG_Data!$P$2:$P$4000,MATCH($A516,BBG_Data!$O$2:$O$4000,0)),NA()))</f>
        <v/>
      </c>
      <c r="AE516" s="18">
        <f>IF(NOT(ISNUMBER($A516)),NA(),IFERROR(1*INDEX(BBG_Data!$R$2:$R$4000,MATCH($A516,BBG_Data!$Q$2:$Q$4000,0)),NA()))</f>
        <v/>
      </c>
      <c r="AF516" s="20">
        <f>IF(AND(ISNUMBER(B516),ISNUMBER(AC516)),(B516-AC516)*100,NA())</f>
        <v/>
      </c>
      <c r="AG516" s="20">
        <f>IF(AND(ISNUMBER(AE516),ISNUMBER(AD516)),(AE516-AD516)*100,NA())</f>
        <v/>
      </c>
      <c r="AH516" s="19">
        <f>IF(NOT(ISNUMBER($A516)),NA(),IFERROR(INDEX(BBG_Data!$T$2:$T$4000,MATCH($A516,BBG_Data!$S$2:$S$4000,0))*Settings!$B$25,NA()))</f>
        <v/>
      </c>
      <c r="AI516" s="19">
        <f>IF(NOT(ISNUMBER($A516)),NA(),IFERROR(INDEX(BBG_Data!$V$2:$V$4000,MATCH($A516,BBG_Data!$U$2:$U$4000,0))*Settings!$B$25,NA()))</f>
        <v/>
      </c>
      <c r="AJ516" s="19">
        <f>IF(NOT(ISNUMBER($A516)),NA(),IFERROR(1*INDEX(BBG_Data!$X$2:$X$4000,MATCH($A516,BBG_Data!$W$2:$W$4000,0)),NA()))</f>
        <v/>
      </c>
      <c r="AK516" s="19">
        <f>IF(NOT(ISNUMBER($A516)),NA(),IFERROR(1*INDEX(BBG_Data!$Z$2:$Z$4000,MATCH($A516,BBG_Data!$Y$2:$Y$4000,0)),NA()))</f>
        <v/>
      </c>
    </row>
    <row r="517">
      <c r="A517" s="17">
        <f>IF(ISNUMBER(BBG_Data!A517),BBG_Data!A517,"")</f>
        <v/>
      </c>
      <c r="B517" s="18">
        <f>IF(AND(ISNUMBER($A517),ISNUMBER(BBG_Data!B517)),BBG_Data!B517,NA())</f>
        <v/>
      </c>
      <c r="C517" s="18">
        <f>IF(NOT(ISNUMBER($A517)),NA(),IFERROR(1*INDEX(BBG_Data!$D$2:$D$4000,MATCH($A517,BBG_Data!$C$2:$C$4000,0)),NA()))</f>
        <v/>
      </c>
      <c r="D517" s="19">
        <f>IF(NOT(ISNUMBER($A517)),NA(),IFERROR(1*INDEX(BBG_Data!$F$2:$F$4000,MATCH($A517,BBG_Data!$E$2:$E$4000,0)),NA()))</f>
        <v/>
      </c>
      <c r="E517" s="19">
        <f>IF(NOT(ISNUMBER($A517)),NA(),IFERROR(1*INDEX(BBG_Data!$H$2:$H$4000,MATCH($A517,BBG_Data!$G$2:$G$4000,0)),NA()))</f>
        <v/>
      </c>
      <c r="F517" s="20">
        <f>IF(AND(ISNUMBER(B517),ISNUMBER(B516)),IF(B517=B516,"",(B517-B516)*100),"")</f>
        <v/>
      </c>
      <c r="G517" s="20">
        <f>IF(AND(ISNUMBER(C517),ISNUMBER(C516)),IF(C517=C516,"",(C517-C516)*100),"")</f>
        <v/>
      </c>
      <c r="H517" s="20">
        <f>IF(OR(NOT(ISNUMBER($A517)),ROW()-2&lt;Settings!$B$11),NA(),IF(COUNT(OFFSET(F517,1-Settings!$B$11,0,Settings!$B$11,1))&lt;ROUNDUP(Settings!$B$11*Settings!$B$26,0),NA(),STDEV(OFFSET(F517,1-Settings!$B$11,0,Settings!$B$11,1))*SQRT(Settings!$B$13)))</f>
        <v/>
      </c>
      <c r="I517" s="20">
        <f>IF(OR(NOT(ISNUMBER($A517)),ROW()-2&lt;Settings!$B$12),NA(),IF(COUNT(OFFSET(F517,1-Settings!$B$12,0,Settings!$B$12,1))&lt;ROUNDUP(Settings!$B$12*Settings!$B$26,0),NA(),STDEV(OFFSET(F517,1-Settings!$B$12,0,Settings!$B$12,1))*SQRT(Settings!$B$13)))</f>
        <v/>
      </c>
      <c r="J517" s="20">
        <f>IF(OR(NOT(ISNUMBER($A517)),ROW()-2&lt;Settings!$B$11),NA(),IF(COUNT(OFFSET(G517,1-Settings!$B$11,0,Settings!$B$11,1))&lt;ROUNDUP(Settings!$B$11*Settings!$B$26,0),NA(),STDEV(OFFSET(G517,1-Settings!$B$11,0,Settings!$B$11,1))*SQRT(Settings!$B$13)))</f>
        <v/>
      </c>
      <c r="K517" s="20">
        <f>IF(OR(NOT(ISNUMBER($A517)),ROW()-2&lt;Settings!$B$12),NA(),IF(COUNT(OFFSET(G517,1-Settings!$B$12,0,Settings!$B$12,1))&lt;ROUNDUP(Settings!$B$12*Settings!$B$26,0),NA(),STDEV(OFFSET(G517,1-Settings!$B$12,0,Settings!$B$12,1))*SQRT(Settings!$B$13)))</f>
        <v/>
      </c>
      <c r="L517" s="20">
        <f>IF(AND(ISNUMBER(D517),ISNUMBER(H517)),D517-H517,NA())</f>
        <v/>
      </c>
      <c r="M517" s="20">
        <f>IF(AND(ISNUMBER(E517),ISNUMBER(K517)),E517-K517,NA())</f>
        <v/>
      </c>
      <c r="N517" s="20">
        <f>IF(NOT(ISNUMBER($A517)),NA(),IF(COUNT(OFFSET(G517,1,0,Settings!$B$12,1))&lt;ROUNDUP(Settings!$B$12*Settings!$B$26,0),NA(),STDEV(OFFSET(G517,1,0,Settings!$B$12,1))*SQRT(Settings!$B$13)))</f>
        <v/>
      </c>
      <c r="O517" s="20">
        <f>IF(AND(ISNUMBER(E517),ISNUMBER(N517)),E517-N517,NA())</f>
        <v/>
      </c>
      <c r="P517" s="19">
        <f>IF(NOT(ISNUMBER($A517)),NA(),IF(OR($A517&lt;MIN(KW_TP!$A$2:$A$2501),$A517&gt;MAX(KW_TP!$A$2:$A$2501)),NA(),INDEX(KW_TP!$C$2:$C$2501,MATCH($A517,KW_TP!$A$2:$A$2501,1))))</f>
        <v/>
      </c>
      <c r="Q517" s="18">
        <f>IF(NOT(ISNUMBER($A517)),NA(),IFERROR(1*INDEX(BBG_Data!$J$2:$J$4000,MATCH($A517,BBG_Data!$I$2:$I$4000,0)),NA()))</f>
        <v/>
      </c>
      <c r="R517" s="18">
        <f>IF(NOT(ISNUMBER($A517)),NA(),IFERROR(1*INDEX(BBG_Data!$L$2:$L$4000,MATCH($A517,BBG_Data!$K$2:$K$4000,0)),NA()))</f>
        <v/>
      </c>
      <c r="S517" s="20">
        <f>IF(AND(ISNUMBER(B517),ISNUMBER(Q517),ISNUMBER(R517)),(B517-Q517-R517)*100,NA())</f>
        <v/>
      </c>
      <c r="T517" s="20">
        <f>IF(AND(ISNUMBER(B517),Settings!$B$17&gt;0),IF(ISNUMBER(INDEX($B:$B,Settings!$B$17)),(B517-INDEX($B:$B,Settings!$B$17))*100,NA()),NA())</f>
        <v/>
      </c>
      <c r="U517" s="20">
        <f>IF(AND(ISNUMBER(Q517),Settings!$B$17&gt;0),IF(ISNUMBER(INDEX($Q:$Q,Settings!$B$17)),(Q517-INDEX($Q:$Q,Settings!$B$17))*100,NA()),NA())</f>
        <v/>
      </c>
      <c r="V517" s="20">
        <f>IF(AND(ISNUMBER(R517),Settings!$B$17&gt;0),IF(ISNUMBER(INDEX($R:$R,Settings!$B$17)),(R517-INDEX($R:$R,Settings!$B$17))*100,NA()),NA())</f>
        <v/>
      </c>
      <c r="W517" s="20">
        <f>IF(AND(ISNUMBER(P517),Settings!$B$17&gt;0),IF(ISNUMBER(INDEX($P:$P,Settings!$B$17)),P517-INDEX($P:$P,Settings!$B$17),NA()),NA())</f>
        <v/>
      </c>
      <c r="X517" s="19">
        <f>IF(NOT(ISNUMBER($A517)),NA(),IF(OR($A517&lt;MIN(DKW_10Y!$A$2:$A$2918),$A517&gt;MAX(DKW_10Y!$A$2:$A$2918),Settings!$B$16&lt;MIN(DKW_10Y!$A$2:$A$2918)),NA(),(INDEX(DKW_10Y!$B$2:$B$2918,MATCH($A517,DKW_10Y!$A$2:$A$2918,1))-INDEX(DKW_10Y!$B$2:$B$2918,MATCH(Settings!$B$16,DKW_10Y!$A$2:$A$2918,1)))*100))</f>
        <v/>
      </c>
      <c r="Y517" s="19">
        <f>IF(NOT(ISNUMBER($A517)),NA(),IF(OR($A517&lt;MIN(DKW_10Y!$A$2:$A$2918),$A517&gt;MAX(DKW_10Y!$A$2:$A$2918),Settings!$B$16&lt;MIN(DKW_10Y!$A$2:$A$2918)),NA(),(INDEX(DKW_10Y!$C$2:$C$2918,MATCH($A517,DKW_10Y!$A$2:$A$2918,1))-INDEX(DKW_10Y!$C$2:$C$2918,MATCH(Settings!$B$16,DKW_10Y!$A$2:$A$2918,1)))*100))</f>
        <v/>
      </c>
      <c r="Z517" s="19">
        <f>IF(NOT(ISNUMBER($A517)),NA(),IF(OR($A517&lt;MIN(DKW_10Y!$A$2:$A$2918),$A517&gt;MAX(DKW_10Y!$A$2:$A$2918),Settings!$B$16&lt;MIN(DKW_10Y!$A$2:$A$2918)),NA(),(INDEX(DKW_10Y!$D$2:$D$2918,MATCH($A517,DKW_10Y!$A$2:$A$2918,1))-INDEX(DKW_10Y!$D$2:$D$2918,MATCH(Settings!$B$16,DKW_10Y!$A$2:$A$2918,1)))*100))</f>
        <v/>
      </c>
      <c r="AA517" s="19">
        <f>IF(NOT(ISNUMBER($A517)),NA(),IF(OR($A517&lt;MIN(DKW_10Y!$A$2:$A$2918),$A517&gt;MAX(DKW_10Y!$A$2:$A$2918),Settings!$B$16&lt;MIN(DKW_10Y!$A$2:$A$2918)),NA(),(INDEX(DKW_10Y!$E$2:$E$2918,MATCH($A517,DKW_10Y!$A$2:$A$2918,1))-INDEX(DKW_10Y!$E$2:$E$2918,MATCH(Settings!$B$16,DKW_10Y!$A$2:$A$2918,1)))*100))</f>
        <v/>
      </c>
      <c r="AB517" s="19">
        <f>IF(NOT(ISNUMBER($A517)),NA(),IF(OR($A517&lt;MIN(DKW_10Y!$A$2:$A$2918),$A517&gt;MAX(DKW_10Y!$A$2:$A$2918),Settings!$B$16&lt;MIN(DKW_10Y!$A$2:$A$2918)),NA(),(INDEX(DKW_10Y!$H$2:$H$2918,MATCH($A517,DKW_10Y!$A$2:$A$2918,1))-INDEX(DKW_10Y!$H$2:$H$2918,MATCH(Settings!$B$16,DKW_10Y!$A$2:$A$2918,1)))*100))</f>
        <v/>
      </c>
      <c r="AC517" s="18">
        <f>IF(NOT(ISNUMBER($A517)),NA(),IFERROR(1*INDEX(BBG_Data!$N$2:$N$4000,MATCH($A517,BBG_Data!$M$2:$M$4000,0)),NA()))</f>
        <v/>
      </c>
      <c r="AD517" s="18">
        <f>IF(NOT(ISNUMBER($A517)),NA(),IFERROR(1*INDEX(BBG_Data!$P$2:$P$4000,MATCH($A517,BBG_Data!$O$2:$O$4000,0)),NA()))</f>
        <v/>
      </c>
      <c r="AE517" s="18">
        <f>IF(NOT(ISNUMBER($A517)),NA(),IFERROR(1*INDEX(BBG_Data!$R$2:$R$4000,MATCH($A517,BBG_Data!$Q$2:$Q$4000,0)),NA()))</f>
        <v/>
      </c>
      <c r="AF517" s="20">
        <f>IF(AND(ISNUMBER(B517),ISNUMBER(AC517)),(B517-AC517)*100,NA())</f>
        <v/>
      </c>
      <c r="AG517" s="20">
        <f>IF(AND(ISNUMBER(AE517),ISNUMBER(AD517)),(AE517-AD517)*100,NA())</f>
        <v/>
      </c>
      <c r="AH517" s="19">
        <f>IF(NOT(ISNUMBER($A517)),NA(),IFERROR(INDEX(BBG_Data!$T$2:$T$4000,MATCH($A517,BBG_Data!$S$2:$S$4000,0))*Settings!$B$25,NA()))</f>
        <v/>
      </c>
      <c r="AI517" s="19">
        <f>IF(NOT(ISNUMBER($A517)),NA(),IFERROR(INDEX(BBG_Data!$V$2:$V$4000,MATCH($A517,BBG_Data!$U$2:$U$4000,0))*Settings!$B$25,NA()))</f>
        <v/>
      </c>
      <c r="AJ517" s="19">
        <f>IF(NOT(ISNUMBER($A517)),NA(),IFERROR(1*INDEX(BBG_Data!$X$2:$X$4000,MATCH($A517,BBG_Data!$W$2:$W$4000,0)),NA()))</f>
        <v/>
      </c>
      <c r="AK517" s="19">
        <f>IF(NOT(ISNUMBER($A517)),NA(),IFERROR(1*INDEX(BBG_Data!$Z$2:$Z$4000,MATCH($A517,BBG_Data!$Y$2:$Y$4000,0)),NA()))</f>
        <v/>
      </c>
    </row>
    <row r="518">
      <c r="A518" s="17">
        <f>IF(ISNUMBER(BBG_Data!A518),BBG_Data!A518,"")</f>
        <v/>
      </c>
      <c r="B518" s="18">
        <f>IF(AND(ISNUMBER($A518),ISNUMBER(BBG_Data!B518)),BBG_Data!B518,NA())</f>
        <v/>
      </c>
      <c r="C518" s="18">
        <f>IF(NOT(ISNUMBER($A518)),NA(),IFERROR(1*INDEX(BBG_Data!$D$2:$D$4000,MATCH($A518,BBG_Data!$C$2:$C$4000,0)),NA()))</f>
        <v/>
      </c>
      <c r="D518" s="19">
        <f>IF(NOT(ISNUMBER($A518)),NA(),IFERROR(1*INDEX(BBG_Data!$F$2:$F$4000,MATCH($A518,BBG_Data!$E$2:$E$4000,0)),NA()))</f>
        <v/>
      </c>
      <c r="E518" s="19">
        <f>IF(NOT(ISNUMBER($A518)),NA(),IFERROR(1*INDEX(BBG_Data!$H$2:$H$4000,MATCH($A518,BBG_Data!$G$2:$G$4000,0)),NA()))</f>
        <v/>
      </c>
      <c r="F518" s="20">
        <f>IF(AND(ISNUMBER(B518),ISNUMBER(B517)),IF(B518=B517,"",(B518-B517)*100),"")</f>
        <v/>
      </c>
      <c r="G518" s="20">
        <f>IF(AND(ISNUMBER(C518),ISNUMBER(C517)),IF(C518=C517,"",(C518-C517)*100),"")</f>
        <v/>
      </c>
      <c r="H518" s="20">
        <f>IF(OR(NOT(ISNUMBER($A518)),ROW()-2&lt;Settings!$B$11),NA(),IF(COUNT(OFFSET(F518,1-Settings!$B$11,0,Settings!$B$11,1))&lt;ROUNDUP(Settings!$B$11*Settings!$B$26,0),NA(),STDEV(OFFSET(F518,1-Settings!$B$11,0,Settings!$B$11,1))*SQRT(Settings!$B$13)))</f>
        <v/>
      </c>
      <c r="I518" s="20">
        <f>IF(OR(NOT(ISNUMBER($A518)),ROW()-2&lt;Settings!$B$12),NA(),IF(COUNT(OFFSET(F518,1-Settings!$B$12,0,Settings!$B$12,1))&lt;ROUNDUP(Settings!$B$12*Settings!$B$26,0),NA(),STDEV(OFFSET(F518,1-Settings!$B$12,0,Settings!$B$12,1))*SQRT(Settings!$B$13)))</f>
        <v/>
      </c>
      <c r="J518" s="20">
        <f>IF(OR(NOT(ISNUMBER($A518)),ROW()-2&lt;Settings!$B$11),NA(),IF(COUNT(OFFSET(G518,1-Settings!$B$11,0,Settings!$B$11,1))&lt;ROUNDUP(Settings!$B$11*Settings!$B$26,0),NA(),STDEV(OFFSET(G518,1-Settings!$B$11,0,Settings!$B$11,1))*SQRT(Settings!$B$13)))</f>
        <v/>
      </c>
      <c r="K518" s="20">
        <f>IF(OR(NOT(ISNUMBER($A518)),ROW()-2&lt;Settings!$B$12),NA(),IF(COUNT(OFFSET(G518,1-Settings!$B$12,0,Settings!$B$12,1))&lt;ROUNDUP(Settings!$B$12*Settings!$B$26,0),NA(),STDEV(OFFSET(G518,1-Settings!$B$12,0,Settings!$B$12,1))*SQRT(Settings!$B$13)))</f>
        <v/>
      </c>
      <c r="L518" s="20">
        <f>IF(AND(ISNUMBER(D518),ISNUMBER(H518)),D518-H518,NA())</f>
        <v/>
      </c>
      <c r="M518" s="20">
        <f>IF(AND(ISNUMBER(E518),ISNUMBER(K518)),E518-K518,NA())</f>
        <v/>
      </c>
      <c r="N518" s="20">
        <f>IF(NOT(ISNUMBER($A518)),NA(),IF(COUNT(OFFSET(G518,1,0,Settings!$B$12,1))&lt;ROUNDUP(Settings!$B$12*Settings!$B$26,0),NA(),STDEV(OFFSET(G518,1,0,Settings!$B$12,1))*SQRT(Settings!$B$13)))</f>
        <v/>
      </c>
      <c r="O518" s="20">
        <f>IF(AND(ISNUMBER(E518),ISNUMBER(N518)),E518-N518,NA())</f>
        <v/>
      </c>
      <c r="P518" s="19">
        <f>IF(NOT(ISNUMBER($A518)),NA(),IF(OR($A518&lt;MIN(KW_TP!$A$2:$A$2501),$A518&gt;MAX(KW_TP!$A$2:$A$2501)),NA(),INDEX(KW_TP!$C$2:$C$2501,MATCH($A518,KW_TP!$A$2:$A$2501,1))))</f>
        <v/>
      </c>
      <c r="Q518" s="18">
        <f>IF(NOT(ISNUMBER($A518)),NA(),IFERROR(1*INDEX(BBG_Data!$J$2:$J$4000,MATCH($A518,BBG_Data!$I$2:$I$4000,0)),NA()))</f>
        <v/>
      </c>
      <c r="R518" s="18">
        <f>IF(NOT(ISNUMBER($A518)),NA(),IFERROR(1*INDEX(BBG_Data!$L$2:$L$4000,MATCH($A518,BBG_Data!$K$2:$K$4000,0)),NA()))</f>
        <v/>
      </c>
      <c r="S518" s="20">
        <f>IF(AND(ISNUMBER(B518),ISNUMBER(Q518),ISNUMBER(R518)),(B518-Q518-R518)*100,NA())</f>
        <v/>
      </c>
      <c r="T518" s="20">
        <f>IF(AND(ISNUMBER(B518),Settings!$B$17&gt;0),IF(ISNUMBER(INDEX($B:$B,Settings!$B$17)),(B518-INDEX($B:$B,Settings!$B$17))*100,NA()),NA())</f>
        <v/>
      </c>
      <c r="U518" s="20">
        <f>IF(AND(ISNUMBER(Q518),Settings!$B$17&gt;0),IF(ISNUMBER(INDEX($Q:$Q,Settings!$B$17)),(Q518-INDEX($Q:$Q,Settings!$B$17))*100,NA()),NA())</f>
        <v/>
      </c>
      <c r="V518" s="20">
        <f>IF(AND(ISNUMBER(R518),Settings!$B$17&gt;0),IF(ISNUMBER(INDEX($R:$R,Settings!$B$17)),(R518-INDEX($R:$R,Settings!$B$17))*100,NA()),NA())</f>
        <v/>
      </c>
      <c r="W518" s="20">
        <f>IF(AND(ISNUMBER(P518),Settings!$B$17&gt;0),IF(ISNUMBER(INDEX($P:$P,Settings!$B$17)),P518-INDEX($P:$P,Settings!$B$17),NA()),NA())</f>
        <v/>
      </c>
      <c r="X518" s="19">
        <f>IF(NOT(ISNUMBER($A518)),NA(),IF(OR($A518&lt;MIN(DKW_10Y!$A$2:$A$2918),$A518&gt;MAX(DKW_10Y!$A$2:$A$2918),Settings!$B$16&lt;MIN(DKW_10Y!$A$2:$A$2918)),NA(),(INDEX(DKW_10Y!$B$2:$B$2918,MATCH($A518,DKW_10Y!$A$2:$A$2918,1))-INDEX(DKW_10Y!$B$2:$B$2918,MATCH(Settings!$B$16,DKW_10Y!$A$2:$A$2918,1)))*100))</f>
        <v/>
      </c>
      <c r="Y518" s="19">
        <f>IF(NOT(ISNUMBER($A518)),NA(),IF(OR($A518&lt;MIN(DKW_10Y!$A$2:$A$2918),$A518&gt;MAX(DKW_10Y!$A$2:$A$2918),Settings!$B$16&lt;MIN(DKW_10Y!$A$2:$A$2918)),NA(),(INDEX(DKW_10Y!$C$2:$C$2918,MATCH($A518,DKW_10Y!$A$2:$A$2918,1))-INDEX(DKW_10Y!$C$2:$C$2918,MATCH(Settings!$B$16,DKW_10Y!$A$2:$A$2918,1)))*100))</f>
        <v/>
      </c>
      <c r="Z518" s="19">
        <f>IF(NOT(ISNUMBER($A518)),NA(),IF(OR($A518&lt;MIN(DKW_10Y!$A$2:$A$2918),$A518&gt;MAX(DKW_10Y!$A$2:$A$2918),Settings!$B$16&lt;MIN(DKW_10Y!$A$2:$A$2918)),NA(),(INDEX(DKW_10Y!$D$2:$D$2918,MATCH($A518,DKW_10Y!$A$2:$A$2918,1))-INDEX(DKW_10Y!$D$2:$D$2918,MATCH(Settings!$B$16,DKW_10Y!$A$2:$A$2918,1)))*100))</f>
        <v/>
      </c>
      <c r="AA518" s="19">
        <f>IF(NOT(ISNUMBER($A518)),NA(),IF(OR($A518&lt;MIN(DKW_10Y!$A$2:$A$2918),$A518&gt;MAX(DKW_10Y!$A$2:$A$2918),Settings!$B$16&lt;MIN(DKW_10Y!$A$2:$A$2918)),NA(),(INDEX(DKW_10Y!$E$2:$E$2918,MATCH($A518,DKW_10Y!$A$2:$A$2918,1))-INDEX(DKW_10Y!$E$2:$E$2918,MATCH(Settings!$B$16,DKW_10Y!$A$2:$A$2918,1)))*100))</f>
        <v/>
      </c>
      <c r="AB518" s="19">
        <f>IF(NOT(ISNUMBER($A518)),NA(),IF(OR($A518&lt;MIN(DKW_10Y!$A$2:$A$2918),$A518&gt;MAX(DKW_10Y!$A$2:$A$2918),Settings!$B$16&lt;MIN(DKW_10Y!$A$2:$A$2918)),NA(),(INDEX(DKW_10Y!$H$2:$H$2918,MATCH($A518,DKW_10Y!$A$2:$A$2918,1))-INDEX(DKW_10Y!$H$2:$H$2918,MATCH(Settings!$B$16,DKW_10Y!$A$2:$A$2918,1)))*100))</f>
        <v/>
      </c>
      <c r="AC518" s="18">
        <f>IF(NOT(ISNUMBER($A518)),NA(),IFERROR(1*INDEX(BBG_Data!$N$2:$N$4000,MATCH($A518,BBG_Data!$M$2:$M$4000,0)),NA()))</f>
        <v/>
      </c>
      <c r="AD518" s="18">
        <f>IF(NOT(ISNUMBER($A518)),NA(),IFERROR(1*INDEX(BBG_Data!$P$2:$P$4000,MATCH($A518,BBG_Data!$O$2:$O$4000,0)),NA()))</f>
        <v/>
      </c>
      <c r="AE518" s="18">
        <f>IF(NOT(ISNUMBER($A518)),NA(),IFERROR(1*INDEX(BBG_Data!$R$2:$R$4000,MATCH($A518,BBG_Data!$Q$2:$Q$4000,0)),NA()))</f>
        <v/>
      </c>
      <c r="AF518" s="20">
        <f>IF(AND(ISNUMBER(B518),ISNUMBER(AC518)),(B518-AC518)*100,NA())</f>
        <v/>
      </c>
      <c r="AG518" s="20">
        <f>IF(AND(ISNUMBER(AE518),ISNUMBER(AD518)),(AE518-AD518)*100,NA())</f>
        <v/>
      </c>
      <c r="AH518" s="19">
        <f>IF(NOT(ISNUMBER($A518)),NA(),IFERROR(INDEX(BBG_Data!$T$2:$T$4000,MATCH($A518,BBG_Data!$S$2:$S$4000,0))*Settings!$B$25,NA()))</f>
        <v/>
      </c>
      <c r="AI518" s="19">
        <f>IF(NOT(ISNUMBER($A518)),NA(),IFERROR(INDEX(BBG_Data!$V$2:$V$4000,MATCH($A518,BBG_Data!$U$2:$U$4000,0))*Settings!$B$25,NA()))</f>
        <v/>
      </c>
      <c r="AJ518" s="19">
        <f>IF(NOT(ISNUMBER($A518)),NA(),IFERROR(1*INDEX(BBG_Data!$X$2:$X$4000,MATCH($A518,BBG_Data!$W$2:$W$4000,0)),NA()))</f>
        <v/>
      </c>
      <c r="AK518" s="19">
        <f>IF(NOT(ISNUMBER($A518)),NA(),IFERROR(1*INDEX(BBG_Data!$Z$2:$Z$4000,MATCH($A518,BBG_Data!$Y$2:$Y$4000,0)),NA()))</f>
        <v/>
      </c>
    </row>
    <row r="519">
      <c r="A519" s="17">
        <f>IF(ISNUMBER(BBG_Data!A519),BBG_Data!A519,"")</f>
        <v/>
      </c>
      <c r="B519" s="18">
        <f>IF(AND(ISNUMBER($A519),ISNUMBER(BBG_Data!B519)),BBG_Data!B519,NA())</f>
        <v/>
      </c>
      <c r="C519" s="18">
        <f>IF(NOT(ISNUMBER($A519)),NA(),IFERROR(1*INDEX(BBG_Data!$D$2:$D$4000,MATCH($A519,BBG_Data!$C$2:$C$4000,0)),NA()))</f>
        <v/>
      </c>
      <c r="D519" s="19">
        <f>IF(NOT(ISNUMBER($A519)),NA(),IFERROR(1*INDEX(BBG_Data!$F$2:$F$4000,MATCH($A519,BBG_Data!$E$2:$E$4000,0)),NA()))</f>
        <v/>
      </c>
      <c r="E519" s="19">
        <f>IF(NOT(ISNUMBER($A519)),NA(),IFERROR(1*INDEX(BBG_Data!$H$2:$H$4000,MATCH($A519,BBG_Data!$G$2:$G$4000,0)),NA()))</f>
        <v/>
      </c>
      <c r="F519" s="20">
        <f>IF(AND(ISNUMBER(B519),ISNUMBER(B518)),IF(B519=B518,"",(B519-B518)*100),"")</f>
        <v/>
      </c>
      <c r="G519" s="20">
        <f>IF(AND(ISNUMBER(C519),ISNUMBER(C518)),IF(C519=C518,"",(C519-C518)*100),"")</f>
        <v/>
      </c>
      <c r="H519" s="20">
        <f>IF(OR(NOT(ISNUMBER($A519)),ROW()-2&lt;Settings!$B$11),NA(),IF(COUNT(OFFSET(F519,1-Settings!$B$11,0,Settings!$B$11,1))&lt;ROUNDUP(Settings!$B$11*Settings!$B$26,0),NA(),STDEV(OFFSET(F519,1-Settings!$B$11,0,Settings!$B$11,1))*SQRT(Settings!$B$13)))</f>
        <v/>
      </c>
      <c r="I519" s="20">
        <f>IF(OR(NOT(ISNUMBER($A519)),ROW()-2&lt;Settings!$B$12),NA(),IF(COUNT(OFFSET(F519,1-Settings!$B$12,0,Settings!$B$12,1))&lt;ROUNDUP(Settings!$B$12*Settings!$B$26,0),NA(),STDEV(OFFSET(F519,1-Settings!$B$12,0,Settings!$B$12,1))*SQRT(Settings!$B$13)))</f>
        <v/>
      </c>
      <c r="J519" s="20">
        <f>IF(OR(NOT(ISNUMBER($A519)),ROW()-2&lt;Settings!$B$11),NA(),IF(COUNT(OFFSET(G519,1-Settings!$B$11,0,Settings!$B$11,1))&lt;ROUNDUP(Settings!$B$11*Settings!$B$26,0),NA(),STDEV(OFFSET(G519,1-Settings!$B$11,0,Settings!$B$11,1))*SQRT(Settings!$B$13)))</f>
        <v/>
      </c>
      <c r="K519" s="20">
        <f>IF(OR(NOT(ISNUMBER($A519)),ROW()-2&lt;Settings!$B$12),NA(),IF(COUNT(OFFSET(G519,1-Settings!$B$12,0,Settings!$B$12,1))&lt;ROUNDUP(Settings!$B$12*Settings!$B$26,0),NA(),STDEV(OFFSET(G519,1-Settings!$B$12,0,Settings!$B$12,1))*SQRT(Settings!$B$13)))</f>
        <v/>
      </c>
      <c r="L519" s="20">
        <f>IF(AND(ISNUMBER(D519),ISNUMBER(H519)),D519-H519,NA())</f>
        <v/>
      </c>
      <c r="M519" s="20">
        <f>IF(AND(ISNUMBER(E519),ISNUMBER(K519)),E519-K519,NA())</f>
        <v/>
      </c>
      <c r="N519" s="20">
        <f>IF(NOT(ISNUMBER($A519)),NA(),IF(COUNT(OFFSET(G519,1,0,Settings!$B$12,1))&lt;ROUNDUP(Settings!$B$12*Settings!$B$26,0),NA(),STDEV(OFFSET(G519,1,0,Settings!$B$12,1))*SQRT(Settings!$B$13)))</f>
        <v/>
      </c>
      <c r="O519" s="20">
        <f>IF(AND(ISNUMBER(E519),ISNUMBER(N519)),E519-N519,NA())</f>
        <v/>
      </c>
      <c r="P519" s="19">
        <f>IF(NOT(ISNUMBER($A519)),NA(),IF(OR($A519&lt;MIN(KW_TP!$A$2:$A$2501),$A519&gt;MAX(KW_TP!$A$2:$A$2501)),NA(),INDEX(KW_TP!$C$2:$C$2501,MATCH($A519,KW_TP!$A$2:$A$2501,1))))</f>
        <v/>
      </c>
      <c r="Q519" s="18">
        <f>IF(NOT(ISNUMBER($A519)),NA(),IFERROR(1*INDEX(BBG_Data!$J$2:$J$4000,MATCH($A519,BBG_Data!$I$2:$I$4000,0)),NA()))</f>
        <v/>
      </c>
      <c r="R519" s="18">
        <f>IF(NOT(ISNUMBER($A519)),NA(),IFERROR(1*INDEX(BBG_Data!$L$2:$L$4000,MATCH($A519,BBG_Data!$K$2:$K$4000,0)),NA()))</f>
        <v/>
      </c>
      <c r="S519" s="20">
        <f>IF(AND(ISNUMBER(B519),ISNUMBER(Q519),ISNUMBER(R519)),(B519-Q519-R519)*100,NA())</f>
        <v/>
      </c>
      <c r="T519" s="20">
        <f>IF(AND(ISNUMBER(B519),Settings!$B$17&gt;0),IF(ISNUMBER(INDEX($B:$B,Settings!$B$17)),(B519-INDEX($B:$B,Settings!$B$17))*100,NA()),NA())</f>
        <v/>
      </c>
      <c r="U519" s="20">
        <f>IF(AND(ISNUMBER(Q519),Settings!$B$17&gt;0),IF(ISNUMBER(INDEX($Q:$Q,Settings!$B$17)),(Q519-INDEX($Q:$Q,Settings!$B$17))*100,NA()),NA())</f>
        <v/>
      </c>
      <c r="V519" s="20">
        <f>IF(AND(ISNUMBER(R519),Settings!$B$17&gt;0),IF(ISNUMBER(INDEX($R:$R,Settings!$B$17)),(R519-INDEX($R:$R,Settings!$B$17))*100,NA()),NA())</f>
        <v/>
      </c>
      <c r="W519" s="20">
        <f>IF(AND(ISNUMBER(P519),Settings!$B$17&gt;0),IF(ISNUMBER(INDEX($P:$P,Settings!$B$17)),P519-INDEX($P:$P,Settings!$B$17),NA()),NA())</f>
        <v/>
      </c>
      <c r="X519" s="19">
        <f>IF(NOT(ISNUMBER($A519)),NA(),IF(OR($A519&lt;MIN(DKW_10Y!$A$2:$A$2918),$A519&gt;MAX(DKW_10Y!$A$2:$A$2918),Settings!$B$16&lt;MIN(DKW_10Y!$A$2:$A$2918)),NA(),(INDEX(DKW_10Y!$B$2:$B$2918,MATCH($A519,DKW_10Y!$A$2:$A$2918,1))-INDEX(DKW_10Y!$B$2:$B$2918,MATCH(Settings!$B$16,DKW_10Y!$A$2:$A$2918,1)))*100))</f>
        <v/>
      </c>
      <c r="Y519" s="19">
        <f>IF(NOT(ISNUMBER($A519)),NA(),IF(OR($A519&lt;MIN(DKW_10Y!$A$2:$A$2918),$A519&gt;MAX(DKW_10Y!$A$2:$A$2918),Settings!$B$16&lt;MIN(DKW_10Y!$A$2:$A$2918)),NA(),(INDEX(DKW_10Y!$C$2:$C$2918,MATCH($A519,DKW_10Y!$A$2:$A$2918,1))-INDEX(DKW_10Y!$C$2:$C$2918,MATCH(Settings!$B$16,DKW_10Y!$A$2:$A$2918,1)))*100))</f>
        <v/>
      </c>
      <c r="Z519" s="19">
        <f>IF(NOT(ISNUMBER($A519)),NA(),IF(OR($A519&lt;MIN(DKW_10Y!$A$2:$A$2918),$A519&gt;MAX(DKW_10Y!$A$2:$A$2918),Settings!$B$16&lt;MIN(DKW_10Y!$A$2:$A$2918)),NA(),(INDEX(DKW_10Y!$D$2:$D$2918,MATCH($A519,DKW_10Y!$A$2:$A$2918,1))-INDEX(DKW_10Y!$D$2:$D$2918,MATCH(Settings!$B$16,DKW_10Y!$A$2:$A$2918,1)))*100))</f>
        <v/>
      </c>
      <c r="AA519" s="19">
        <f>IF(NOT(ISNUMBER($A519)),NA(),IF(OR($A519&lt;MIN(DKW_10Y!$A$2:$A$2918),$A519&gt;MAX(DKW_10Y!$A$2:$A$2918),Settings!$B$16&lt;MIN(DKW_10Y!$A$2:$A$2918)),NA(),(INDEX(DKW_10Y!$E$2:$E$2918,MATCH($A519,DKW_10Y!$A$2:$A$2918,1))-INDEX(DKW_10Y!$E$2:$E$2918,MATCH(Settings!$B$16,DKW_10Y!$A$2:$A$2918,1)))*100))</f>
        <v/>
      </c>
      <c r="AB519" s="19">
        <f>IF(NOT(ISNUMBER($A519)),NA(),IF(OR($A519&lt;MIN(DKW_10Y!$A$2:$A$2918),$A519&gt;MAX(DKW_10Y!$A$2:$A$2918),Settings!$B$16&lt;MIN(DKW_10Y!$A$2:$A$2918)),NA(),(INDEX(DKW_10Y!$H$2:$H$2918,MATCH($A519,DKW_10Y!$A$2:$A$2918,1))-INDEX(DKW_10Y!$H$2:$H$2918,MATCH(Settings!$B$16,DKW_10Y!$A$2:$A$2918,1)))*100))</f>
        <v/>
      </c>
      <c r="AC519" s="18">
        <f>IF(NOT(ISNUMBER($A519)),NA(),IFERROR(1*INDEX(BBG_Data!$N$2:$N$4000,MATCH($A519,BBG_Data!$M$2:$M$4000,0)),NA()))</f>
        <v/>
      </c>
      <c r="AD519" s="18">
        <f>IF(NOT(ISNUMBER($A519)),NA(),IFERROR(1*INDEX(BBG_Data!$P$2:$P$4000,MATCH($A519,BBG_Data!$O$2:$O$4000,0)),NA()))</f>
        <v/>
      </c>
      <c r="AE519" s="18">
        <f>IF(NOT(ISNUMBER($A519)),NA(),IFERROR(1*INDEX(BBG_Data!$R$2:$R$4000,MATCH($A519,BBG_Data!$Q$2:$Q$4000,0)),NA()))</f>
        <v/>
      </c>
      <c r="AF519" s="20">
        <f>IF(AND(ISNUMBER(B519),ISNUMBER(AC519)),(B519-AC519)*100,NA())</f>
        <v/>
      </c>
      <c r="AG519" s="20">
        <f>IF(AND(ISNUMBER(AE519),ISNUMBER(AD519)),(AE519-AD519)*100,NA())</f>
        <v/>
      </c>
      <c r="AH519" s="19">
        <f>IF(NOT(ISNUMBER($A519)),NA(),IFERROR(INDEX(BBG_Data!$T$2:$T$4000,MATCH($A519,BBG_Data!$S$2:$S$4000,0))*Settings!$B$25,NA()))</f>
        <v/>
      </c>
      <c r="AI519" s="19">
        <f>IF(NOT(ISNUMBER($A519)),NA(),IFERROR(INDEX(BBG_Data!$V$2:$V$4000,MATCH($A519,BBG_Data!$U$2:$U$4000,0))*Settings!$B$25,NA()))</f>
        <v/>
      </c>
      <c r="AJ519" s="19">
        <f>IF(NOT(ISNUMBER($A519)),NA(),IFERROR(1*INDEX(BBG_Data!$X$2:$X$4000,MATCH($A519,BBG_Data!$W$2:$W$4000,0)),NA()))</f>
        <v/>
      </c>
      <c r="AK519" s="19">
        <f>IF(NOT(ISNUMBER($A519)),NA(),IFERROR(1*INDEX(BBG_Data!$Z$2:$Z$4000,MATCH($A519,BBG_Data!$Y$2:$Y$4000,0)),NA()))</f>
        <v/>
      </c>
    </row>
    <row r="520">
      <c r="A520" s="17">
        <f>IF(ISNUMBER(BBG_Data!A520),BBG_Data!A520,"")</f>
        <v/>
      </c>
      <c r="B520" s="18">
        <f>IF(AND(ISNUMBER($A520),ISNUMBER(BBG_Data!B520)),BBG_Data!B520,NA())</f>
        <v/>
      </c>
      <c r="C520" s="18">
        <f>IF(NOT(ISNUMBER($A520)),NA(),IFERROR(1*INDEX(BBG_Data!$D$2:$D$4000,MATCH($A520,BBG_Data!$C$2:$C$4000,0)),NA()))</f>
        <v/>
      </c>
      <c r="D520" s="19">
        <f>IF(NOT(ISNUMBER($A520)),NA(),IFERROR(1*INDEX(BBG_Data!$F$2:$F$4000,MATCH($A520,BBG_Data!$E$2:$E$4000,0)),NA()))</f>
        <v/>
      </c>
      <c r="E520" s="19">
        <f>IF(NOT(ISNUMBER($A520)),NA(),IFERROR(1*INDEX(BBG_Data!$H$2:$H$4000,MATCH($A520,BBG_Data!$G$2:$G$4000,0)),NA()))</f>
        <v/>
      </c>
      <c r="F520" s="20">
        <f>IF(AND(ISNUMBER(B520),ISNUMBER(B519)),IF(B520=B519,"",(B520-B519)*100),"")</f>
        <v/>
      </c>
      <c r="G520" s="20">
        <f>IF(AND(ISNUMBER(C520),ISNUMBER(C519)),IF(C520=C519,"",(C520-C519)*100),"")</f>
        <v/>
      </c>
      <c r="H520" s="20">
        <f>IF(OR(NOT(ISNUMBER($A520)),ROW()-2&lt;Settings!$B$11),NA(),IF(COUNT(OFFSET(F520,1-Settings!$B$11,0,Settings!$B$11,1))&lt;ROUNDUP(Settings!$B$11*Settings!$B$26,0),NA(),STDEV(OFFSET(F520,1-Settings!$B$11,0,Settings!$B$11,1))*SQRT(Settings!$B$13)))</f>
        <v/>
      </c>
      <c r="I520" s="20">
        <f>IF(OR(NOT(ISNUMBER($A520)),ROW()-2&lt;Settings!$B$12),NA(),IF(COUNT(OFFSET(F520,1-Settings!$B$12,0,Settings!$B$12,1))&lt;ROUNDUP(Settings!$B$12*Settings!$B$26,0),NA(),STDEV(OFFSET(F520,1-Settings!$B$12,0,Settings!$B$12,1))*SQRT(Settings!$B$13)))</f>
        <v/>
      </c>
      <c r="J520" s="20">
        <f>IF(OR(NOT(ISNUMBER($A520)),ROW()-2&lt;Settings!$B$11),NA(),IF(COUNT(OFFSET(G520,1-Settings!$B$11,0,Settings!$B$11,1))&lt;ROUNDUP(Settings!$B$11*Settings!$B$26,0),NA(),STDEV(OFFSET(G520,1-Settings!$B$11,0,Settings!$B$11,1))*SQRT(Settings!$B$13)))</f>
        <v/>
      </c>
      <c r="K520" s="20">
        <f>IF(OR(NOT(ISNUMBER($A520)),ROW()-2&lt;Settings!$B$12),NA(),IF(COUNT(OFFSET(G520,1-Settings!$B$12,0,Settings!$B$12,1))&lt;ROUNDUP(Settings!$B$12*Settings!$B$26,0),NA(),STDEV(OFFSET(G520,1-Settings!$B$12,0,Settings!$B$12,1))*SQRT(Settings!$B$13)))</f>
        <v/>
      </c>
      <c r="L520" s="20">
        <f>IF(AND(ISNUMBER(D520),ISNUMBER(H520)),D520-H520,NA())</f>
        <v/>
      </c>
      <c r="M520" s="20">
        <f>IF(AND(ISNUMBER(E520),ISNUMBER(K520)),E520-K520,NA())</f>
        <v/>
      </c>
      <c r="N520" s="20">
        <f>IF(NOT(ISNUMBER($A520)),NA(),IF(COUNT(OFFSET(G520,1,0,Settings!$B$12,1))&lt;ROUNDUP(Settings!$B$12*Settings!$B$26,0),NA(),STDEV(OFFSET(G520,1,0,Settings!$B$12,1))*SQRT(Settings!$B$13)))</f>
        <v/>
      </c>
      <c r="O520" s="20">
        <f>IF(AND(ISNUMBER(E520),ISNUMBER(N520)),E520-N520,NA())</f>
        <v/>
      </c>
      <c r="P520" s="19">
        <f>IF(NOT(ISNUMBER($A520)),NA(),IF(OR($A520&lt;MIN(KW_TP!$A$2:$A$2501),$A520&gt;MAX(KW_TP!$A$2:$A$2501)),NA(),INDEX(KW_TP!$C$2:$C$2501,MATCH($A520,KW_TP!$A$2:$A$2501,1))))</f>
        <v/>
      </c>
      <c r="Q520" s="18">
        <f>IF(NOT(ISNUMBER($A520)),NA(),IFERROR(1*INDEX(BBG_Data!$J$2:$J$4000,MATCH($A520,BBG_Data!$I$2:$I$4000,0)),NA()))</f>
        <v/>
      </c>
      <c r="R520" s="18">
        <f>IF(NOT(ISNUMBER($A520)),NA(),IFERROR(1*INDEX(BBG_Data!$L$2:$L$4000,MATCH($A520,BBG_Data!$K$2:$K$4000,0)),NA()))</f>
        <v/>
      </c>
      <c r="S520" s="20">
        <f>IF(AND(ISNUMBER(B520),ISNUMBER(Q520),ISNUMBER(R520)),(B520-Q520-R520)*100,NA())</f>
        <v/>
      </c>
      <c r="T520" s="20">
        <f>IF(AND(ISNUMBER(B520),Settings!$B$17&gt;0),IF(ISNUMBER(INDEX($B:$B,Settings!$B$17)),(B520-INDEX($B:$B,Settings!$B$17))*100,NA()),NA())</f>
        <v/>
      </c>
      <c r="U520" s="20">
        <f>IF(AND(ISNUMBER(Q520),Settings!$B$17&gt;0),IF(ISNUMBER(INDEX($Q:$Q,Settings!$B$17)),(Q520-INDEX($Q:$Q,Settings!$B$17))*100,NA()),NA())</f>
        <v/>
      </c>
      <c r="V520" s="20">
        <f>IF(AND(ISNUMBER(R520),Settings!$B$17&gt;0),IF(ISNUMBER(INDEX($R:$R,Settings!$B$17)),(R520-INDEX($R:$R,Settings!$B$17))*100,NA()),NA())</f>
        <v/>
      </c>
      <c r="W520" s="20">
        <f>IF(AND(ISNUMBER(P520),Settings!$B$17&gt;0),IF(ISNUMBER(INDEX($P:$P,Settings!$B$17)),P520-INDEX($P:$P,Settings!$B$17),NA()),NA())</f>
        <v/>
      </c>
      <c r="X520" s="19">
        <f>IF(NOT(ISNUMBER($A520)),NA(),IF(OR($A520&lt;MIN(DKW_10Y!$A$2:$A$2918),$A520&gt;MAX(DKW_10Y!$A$2:$A$2918),Settings!$B$16&lt;MIN(DKW_10Y!$A$2:$A$2918)),NA(),(INDEX(DKW_10Y!$B$2:$B$2918,MATCH($A520,DKW_10Y!$A$2:$A$2918,1))-INDEX(DKW_10Y!$B$2:$B$2918,MATCH(Settings!$B$16,DKW_10Y!$A$2:$A$2918,1)))*100))</f>
        <v/>
      </c>
      <c r="Y520" s="19">
        <f>IF(NOT(ISNUMBER($A520)),NA(),IF(OR($A520&lt;MIN(DKW_10Y!$A$2:$A$2918),$A520&gt;MAX(DKW_10Y!$A$2:$A$2918),Settings!$B$16&lt;MIN(DKW_10Y!$A$2:$A$2918)),NA(),(INDEX(DKW_10Y!$C$2:$C$2918,MATCH($A520,DKW_10Y!$A$2:$A$2918,1))-INDEX(DKW_10Y!$C$2:$C$2918,MATCH(Settings!$B$16,DKW_10Y!$A$2:$A$2918,1)))*100))</f>
        <v/>
      </c>
      <c r="Z520" s="19">
        <f>IF(NOT(ISNUMBER($A520)),NA(),IF(OR($A520&lt;MIN(DKW_10Y!$A$2:$A$2918),$A520&gt;MAX(DKW_10Y!$A$2:$A$2918),Settings!$B$16&lt;MIN(DKW_10Y!$A$2:$A$2918)),NA(),(INDEX(DKW_10Y!$D$2:$D$2918,MATCH($A520,DKW_10Y!$A$2:$A$2918,1))-INDEX(DKW_10Y!$D$2:$D$2918,MATCH(Settings!$B$16,DKW_10Y!$A$2:$A$2918,1)))*100))</f>
        <v/>
      </c>
      <c r="AA520" s="19">
        <f>IF(NOT(ISNUMBER($A520)),NA(),IF(OR($A520&lt;MIN(DKW_10Y!$A$2:$A$2918),$A520&gt;MAX(DKW_10Y!$A$2:$A$2918),Settings!$B$16&lt;MIN(DKW_10Y!$A$2:$A$2918)),NA(),(INDEX(DKW_10Y!$E$2:$E$2918,MATCH($A520,DKW_10Y!$A$2:$A$2918,1))-INDEX(DKW_10Y!$E$2:$E$2918,MATCH(Settings!$B$16,DKW_10Y!$A$2:$A$2918,1)))*100))</f>
        <v/>
      </c>
      <c r="AB520" s="19">
        <f>IF(NOT(ISNUMBER($A520)),NA(),IF(OR($A520&lt;MIN(DKW_10Y!$A$2:$A$2918),$A520&gt;MAX(DKW_10Y!$A$2:$A$2918),Settings!$B$16&lt;MIN(DKW_10Y!$A$2:$A$2918)),NA(),(INDEX(DKW_10Y!$H$2:$H$2918,MATCH($A520,DKW_10Y!$A$2:$A$2918,1))-INDEX(DKW_10Y!$H$2:$H$2918,MATCH(Settings!$B$16,DKW_10Y!$A$2:$A$2918,1)))*100))</f>
        <v/>
      </c>
      <c r="AC520" s="18">
        <f>IF(NOT(ISNUMBER($A520)),NA(),IFERROR(1*INDEX(BBG_Data!$N$2:$N$4000,MATCH($A520,BBG_Data!$M$2:$M$4000,0)),NA()))</f>
        <v/>
      </c>
      <c r="AD520" s="18">
        <f>IF(NOT(ISNUMBER($A520)),NA(),IFERROR(1*INDEX(BBG_Data!$P$2:$P$4000,MATCH($A520,BBG_Data!$O$2:$O$4000,0)),NA()))</f>
        <v/>
      </c>
      <c r="AE520" s="18">
        <f>IF(NOT(ISNUMBER($A520)),NA(),IFERROR(1*INDEX(BBG_Data!$R$2:$R$4000,MATCH($A520,BBG_Data!$Q$2:$Q$4000,0)),NA()))</f>
        <v/>
      </c>
      <c r="AF520" s="20">
        <f>IF(AND(ISNUMBER(B520),ISNUMBER(AC520)),(B520-AC520)*100,NA())</f>
        <v/>
      </c>
      <c r="AG520" s="20">
        <f>IF(AND(ISNUMBER(AE520),ISNUMBER(AD520)),(AE520-AD520)*100,NA())</f>
        <v/>
      </c>
      <c r="AH520" s="19">
        <f>IF(NOT(ISNUMBER($A520)),NA(),IFERROR(INDEX(BBG_Data!$T$2:$T$4000,MATCH($A520,BBG_Data!$S$2:$S$4000,0))*Settings!$B$25,NA()))</f>
        <v/>
      </c>
      <c r="AI520" s="19">
        <f>IF(NOT(ISNUMBER($A520)),NA(),IFERROR(INDEX(BBG_Data!$V$2:$V$4000,MATCH($A520,BBG_Data!$U$2:$U$4000,0))*Settings!$B$25,NA()))</f>
        <v/>
      </c>
      <c r="AJ520" s="19">
        <f>IF(NOT(ISNUMBER($A520)),NA(),IFERROR(1*INDEX(BBG_Data!$X$2:$X$4000,MATCH($A520,BBG_Data!$W$2:$W$4000,0)),NA()))</f>
        <v/>
      </c>
      <c r="AK520" s="19">
        <f>IF(NOT(ISNUMBER($A520)),NA(),IFERROR(1*INDEX(BBG_Data!$Z$2:$Z$4000,MATCH($A520,BBG_Data!$Y$2:$Y$4000,0)),NA()))</f>
        <v/>
      </c>
    </row>
    <row r="521">
      <c r="A521" s="17">
        <f>IF(ISNUMBER(BBG_Data!A521),BBG_Data!A521,"")</f>
        <v/>
      </c>
      <c r="B521" s="18">
        <f>IF(AND(ISNUMBER($A521),ISNUMBER(BBG_Data!B521)),BBG_Data!B521,NA())</f>
        <v/>
      </c>
      <c r="C521" s="18">
        <f>IF(NOT(ISNUMBER($A521)),NA(),IFERROR(1*INDEX(BBG_Data!$D$2:$D$4000,MATCH($A521,BBG_Data!$C$2:$C$4000,0)),NA()))</f>
        <v/>
      </c>
      <c r="D521" s="19">
        <f>IF(NOT(ISNUMBER($A521)),NA(),IFERROR(1*INDEX(BBG_Data!$F$2:$F$4000,MATCH($A521,BBG_Data!$E$2:$E$4000,0)),NA()))</f>
        <v/>
      </c>
      <c r="E521" s="19">
        <f>IF(NOT(ISNUMBER($A521)),NA(),IFERROR(1*INDEX(BBG_Data!$H$2:$H$4000,MATCH($A521,BBG_Data!$G$2:$G$4000,0)),NA()))</f>
        <v/>
      </c>
      <c r="F521" s="20">
        <f>IF(AND(ISNUMBER(B521),ISNUMBER(B520)),IF(B521=B520,"",(B521-B520)*100),"")</f>
        <v/>
      </c>
      <c r="G521" s="20">
        <f>IF(AND(ISNUMBER(C521),ISNUMBER(C520)),IF(C521=C520,"",(C521-C520)*100),"")</f>
        <v/>
      </c>
      <c r="H521" s="20">
        <f>IF(OR(NOT(ISNUMBER($A521)),ROW()-2&lt;Settings!$B$11),NA(),IF(COUNT(OFFSET(F521,1-Settings!$B$11,0,Settings!$B$11,1))&lt;ROUNDUP(Settings!$B$11*Settings!$B$26,0),NA(),STDEV(OFFSET(F521,1-Settings!$B$11,0,Settings!$B$11,1))*SQRT(Settings!$B$13)))</f>
        <v/>
      </c>
      <c r="I521" s="20">
        <f>IF(OR(NOT(ISNUMBER($A521)),ROW()-2&lt;Settings!$B$12),NA(),IF(COUNT(OFFSET(F521,1-Settings!$B$12,0,Settings!$B$12,1))&lt;ROUNDUP(Settings!$B$12*Settings!$B$26,0),NA(),STDEV(OFFSET(F521,1-Settings!$B$12,0,Settings!$B$12,1))*SQRT(Settings!$B$13)))</f>
        <v/>
      </c>
      <c r="J521" s="20">
        <f>IF(OR(NOT(ISNUMBER($A521)),ROW()-2&lt;Settings!$B$11),NA(),IF(COUNT(OFFSET(G521,1-Settings!$B$11,0,Settings!$B$11,1))&lt;ROUNDUP(Settings!$B$11*Settings!$B$26,0),NA(),STDEV(OFFSET(G521,1-Settings!$B$11,0,Settings!$B$11,1))*SQRT(Settings!$B$13)))</f>
        <v/>
      </c>
      <c r="K521" s="20">
        <f>IF(OR(NOT(ISNUMBER($A521)),ROW()-2&lt;Settings!$B$12),NA(),IF(COUNT(OFFSET(G521,1-Settings!$B$12,0,Settings!$B$12,1))&lt;ROUNDUP(Settings!$B$12*Settings!$B$26,0),NA(),STDEV(OFFSET(G521,1-Settings!$B$12,0,Settings!$B$12,1))*SQRT(Settings!$B$13)))</f>
        <v/>
      </c>
      <c r="L521" s="20">
        <f>IF(AND(ISNUMBER(D521),ISNUMBER(H521)),D521-H521,NA())</f>
        <v/>
      </c>
      <c r="M521" s="20">
        <f>IF(AND(ISNUMBER(E521),ISNUMBER(K521)),E521-K521,NA())</f>
        <v/>
      </c>
      <c r="N521" s="20">
        <f>IF(NOT(ISNUMBER($A521)),NA(),IF(COUNT(OFFSET(G521,1,0,Settings!$B$12,1))&lt;ROUNDUP(Settings!$B$12*Settings!$B$26,0),NA(),STDEV(OFFSET(G521,1,0,Settings!$B$12,1))*SQRT(Settings!$B$13)))</f>
        <v/>
      </c>
      <c r="O521" s="20">
        <f>IF(AND(ISNUMBER(E521),ISNUMBER(N521)),E521-N521,NA())</f>
        <v/>
      </c>
      <c r="P521" s="19">
        <f>IF(NOT(ISNUMBER($A521)),NA(),IF(OR($A521&lt;MIN(KW_TP!$A$2:$A$2501),$A521&gt;MAX(KW_TP!$A$2:$A$2501)),NA(),INDEX(KW_TP!$C$2:$C$2501,MATCH($A521,KW_TP!$A$2:$A$2501,1))))</f>
        <v/>
      </c>
      <c r="Q521" s="18">
        <f>IF(NOT(ISNUMBER($A521)),NA(),IFERROR(1*INDEX(BBG_Data!$J$2:$J$4000,MATCH($A521,BBG_Data!$I$2:$I$4000,0)),NA()))</f>
        <v/>
      </c>
      <c r="R521" s="18">
        <f>IF(NOT(ISNUMBER($A521)),NA(),IFERROR(1*INDEX(BBG_Data!$L$2:$L$4000,MATCH($A521,BBG_Data!$K$2:$K$4000,0)),NA()))</f>
        <v/>
      </c>
      <c r="S521" s="20">
        <f>IF(AND(ISNUMBER(B521),ISNUMBER(Q521),ISNUMBER(R521)),(B521-Q521-R521)*100,NA())</f>
        <v/>
      </c>
      <c r="T521" s="20">
        <f>IF(AND(ISNUMBER(B521),Settings!$B$17&gt;0),IF(ISNUMBER(INDEX($B:$B,Settings!$B$17)),(B521-INDEX($B:$B,Settings!$B$17))*100,NA()),NA())</f>
        <v/>
      </c>
      <c r="U521" s="20">
        <f>IF(AND(ISNUMBER(Q521),Settings!$B$17&gt;0),IF(ISNUMBER(INDEX($Q:$Q,Settings!$B$17)),(Q521-INDEX($Q:$Q,Settings!$B$17))*100,NA()),NA())</f>
        <v/>
      </c>
      <c r="V521" s="20">
        <f>IF(AND(ISNUMBER(R521),Settings!$B$17&gt;0),IF(ISNUMBER(INDEX($R:$R,Settings!$B$17)),(R521-INDEX($R:$R,Settings!$B$17))*100,NA()),NA())</f>
        <v/>
      </c>
      <c r="W521" s="20">
        <f>IF(AND(ISNUMBER(P521),Settings!$B$17&gt;0),IF(ISNUMBER(INDEX($P:$P,Settings!$B$17)),P521-INDEX($P:$P,Settings!$B$17),NA()),NA())</f>
        <v/>
      </c>
      <c r="X521" s="19">
        <f>IF(NOT(ISNUMBER($A521)),NA(),IF(OR($A521&lt;MIN(DKW_10Y!$A$2:$A$2918),$A521&gt;MAX(DKW_10Y!$A$2:$A$2918),Settings!$B$16&lt;MIN(DKW_10Y!$A$2:$A$2918)),NA(),(INDEX(DKW_10Y!$B$2:$B$2918,MATCH($A521,DKW_10Y!$A$2:$A$2918,1))-INDEX(DKW_10Y!$B$2:$B$2918,MATCH(Settings!$B$16,DKW_10Y!$A$2:$A$2918,1)))*100))</f>
        <v/>
      </c>
      <c r="Y521" s="19">
        <f>IF(NOT(ISNUMBER($A521)),NA(),IF(OR($A521&lt;MIN(DKW_10Y!$A$2:$A$2918),$A521&gt;MAX(DKW_10Y!$A$2:$A$2918),Settings!$B$16&lt;MIN(DKW_10Y!$A$2:$A$2918)),NA(),(INDEX(DKW_10Y!$C$2:$C$2918,MATCH($A521,DKW_10Y!$A$2:$A$2918,1))-INDEX(DKW_10Y!$C$2:$C$2918,MATCH(Settings!$B$16,DKW_10Y!$A$2:$A$2918,1)))*100))</f>
        <v/>
      </c>
      <c r="Z521" s="19">
        <f>IF(NOT(ISNUMBER($A521)),NA(),IF(OR($A521&lt;MIN(DKW_10Y!$A$2:$A$2918),$A521&gt;MAX(DKW_10Y!$A$2:$A$2918),Settings!$B$16&lt;MIN(DKW_10Y!$A$2:$A$2918)),NA(),(INDEX(DKW_10Y!$D$2:$D$2918,MATCH($A521,DKW_10Y!$A$2:$A$2918,1))-INDEX(DKW_10Y!$D$2:$D$2918,MATCH(Settings!$B$16,DKW_10Y!$A$2:$A$2918,1)))*100))</f>
        <v/>
      </c>
      <c r="AA521" s="19">
        <f>IF(NOT(ISNUMBER($A521)),NA(),IF(OR($A521&lt;MIN(DKW_10Y!$A$2:$A$2918),$A521&gt;MAX(DKW_10Y!$A$2:$A$2918),Settings!$B$16&lt;MIN(DKW_10Y!$A$2:$A$2918)),NA(),(INDEX(DKW_10Y!$E$2:$E$2918,MATCH($A521,DKW_10Y!$A$2:$A$2918,1))-INDEX(DKW_10Y!$E$2:$E$2918,MATCH(Settings!$B$16,DKW_10Y!$A$2:$A$2918,1)))*100))</f>
        <v/>
      </c>
      <c r="AB521" s="19">
        <f>IF(NOT(ISNUMBER($A521)),NA(),IF(OR($A521&lt;MIN(DKW_10Y!$A$2:$A$2918),$A521&gt;MAX(DKW_10Y!$A$2:$A$2918),Settings!$B$16&lt;MIN(DKW_10Y!$A$2:$A$2918)),NA(),(INDEX(DKW_10Y!$H$2:$H$2918,MATCH($A521,DKW_10Y!$A$2:$A$2918,1))-INDEX(DKW_10Y!$H$2:$H$2918,MATCH(Settings!$B$16,DKW_10Y!$A$2:$A$2918,1)))*100))</f>
        <v/>
      </c>
      <c r="AC521" s="18">
        <f>IF(NOT(ISNUMBER($A521)),NA(),IFERROR(1*INDEX(BBG_Data!$N$2:$N$4000,MATCH($A521,BBG_Data!$M$2:$M$4000,0)),NA()))</f>
        <v/>
      </c>
      <c r="AD521" s="18">
        <f>IF(NOT(ISNUMBER($A521)),NA(),IFERROR(1*INDEX(BBG_Data!$P$2:$P$4000,MATCH($A521,BBG_Data!$O$2:$O$4000,0)),NA()))</f>
        <v/>
      </c>
      <c r="AE521" s="18">
        <f>IF(NOT(ISNUMBER($A521)),NA(),IFERROR(1*INDEX(BBG_Data!$R$2:$R$4000,MATCH($A521,BBG_Data!$Q$2:$Q$4000,0)),NA()))</f>
        <v/>
      </c>
      <c r="AF521" s="20">
        <f>IF(AND(ISNUMBER(B521),ISNUMBER(AC521)),(B521-AC521)*100,NA())</f>
        <v/>
      </c>
      <c r="AG521" s="20">
        <f>IF(AND(ISNUMBER(AE521),ISNUMBER(AD521)),(AE521-AD521)*100,NA())</f>
        <v/>
      </c>
      <c r="AH521" s="19">
        <f>IF(NOT(ISNUMBER($A521)),NA(),IFERROR(INDEX(BBG_Data!$T$2:$T$4000,MATCH($A521,BBG_Data!$S$2:$S$4000,0))*Settings!$B$25,NA()))</f>
        <v/>
      </c>
      <c r="AI521" s="19">
        <f>IF(NOT(ISNUMBER($A521)),NA(),IFERROR(INDEX(BBG_Data!$V$2:$V$4000,MATCH($A521,BBG_Data!$U$2:$U$4000,0))*Settings!$B$25,NA()))</f>
        <v/>
      </c>
      <c r="AJ521" s="19">
        <f>IF(NOT(ISNUMBER($A521)),NA(),IFERROR(1*INDEX(BBG_Data!$X$2:$X$4000,MATCH($A521,BBG_Data!$W$2:$W$4000,0)),NA()))</f>
        <v/>
      </c>
      <c r="AK521" s="19">
        <f>IF(NOT(ISNUMBER($A521)),NA(),IFERROR(1*INDEX(BBG_Data!$Z$2:$Z$4000,MATCH($A521,BBG_Data!$Y$2:$Y$4000,0)),NA()))</f>
        <v/>
      </c>
    </row>
    <row r="522">
      <c r="A522" s="17">
        <f>IF(ISNUMBER(BBG_Data!A522),BBG_Data!A522,"")</f>
        <v/>
      </c>
      <c r="B522" s="18">
        <f>IF(AND(ISNUMBER($A522),ISNUMBER(BBG_Data!B522)),BBG_Data!B522,NA())</f>
        <v/>
      </c>
      <c r="C522" s="18">
        <f>IF(NOT(ISNUMBER($A522)),NA(),IFERROR(1*INDEX(BBG_Data!$D$2:$D$4000,MATCH($A522,BBG_Data!$C$2:$C$4000,0)),NA()))</f>
        <v/>
      </c>
      <c r="D522" s="19">
        <f>IF(NOT(ISNUMBER($A522)),NA(),IFERROR(1*INDEX(BBG_Data!$F$2:$F$4000,MATCH($A522,BBG_Data!$E$2:$E$4000,0)),NA()))</f>
        <v/>
      </c>
      <c r="E522" s="19">
        <f>IF(NOT(ISNUMBER($A522)),NA(),IFERROR(1*INDEX(BBG_Data!$H$2:$H$4000,MATCH($A522,BBG_Data!$G$2:$G$4000,0)),NA()))</f>
        <v/>
      </c>
      <c r="F522" s="20">
        <f>IF(AND(ISNUMBER(B522),ISNUMBER(B521)),IF(B522=B521,"",(B522-B521)*100),"")</f>
        <v/>
      </c>
      <c r="G522" s="20">
        <f>IF(AND(ISNUMBER(C522),ISNUMBER(C521)),IF(C522=C521,"",(C522-C521)*100),"")</f>
        <v/>
      </c>
      <c r="H522" s="20">
        <f>IF(OR(NOT(ISNUMBER($A522)),ROW()-2&lt;Settings!$B$11),NA(),IF(COUNT(OFFSET(F522,1-Settings!$B$11,0,Settings!$B$11,1))&lt;ROUNDUP(Settings!$B$11*Settings!$B$26,0),NA(),STDEV(OFFSET(F522,1-Settings!$B$11,0,Settings!$B$11,1))*SQRT(Settings!$B$13)))</f>
        <v/>
      </c>
      <c r="I522" s="20">
        <f>IF(OR(NOT(ISNUMBER($A522)),ROW()-2&lt;Settings!$B$12),NA(),IF(COUNT(OFFSET(F522,1-Settings!$B$12,0,Settings!$B$12,1))&lt;ROUNDUP(Settings!$B$12*Settings!$B$26,0),NA(),STDEV(OFFSET(F522,1-Settings!$B$12,0,Settings!$B$12,1))*SQRT(Settings!$B$13)))</f>
        <v/>
      </c>
      <c r="J522" s="20">
        <f>IF(OR(NOT(ISNUMBER($A522)),ROW()-2&lt;Settings!$B$11),NA(),IF(COUNT(OFFSET(G522,1-Settings!$B$11,0,Settings!$B$11,1))&lt;ROUNDUP(Settings!$B$11*Settings!$B$26,0),NA(),STDEV(OFFSET(G522,1-Settings!$B$11,0,Settings!$B$11,1))*SQRT(Settings!$B$13)))</f>
        <v/>
      </c>
      <c r="K522" s="20">
        <f>IF(OR(NOT(ISNUMBER($A522)),ROW()-2&lt;Settings!$B$12),NA(),IF(COUNT(OFFSET(G522,1-Settings!$B$12,0,Settings!$B$12,1))&lt;ROUNDUP(Settings!$B$12*Settings!$B$26,0),NA(),STDEV(OFFSET(G522,1-Settings!$B$12,0,Settings!$B$12,1))*SQRT(Settings!$B$13)))</f>
        <v/>
      </c>
      <c r="L522" s="20">
        <f>IF(AND(ISNUMBER(D522),ISNUMBER(H522)),D522-H522,NA())</f>
        <v/>
      </c>
      <c r="M522" s="20">
        <f>IF(AND(ISNUMBER(E522),ISNUMBER(K522)),E522-K522,NA())</f>
        <v/>
      </c>
      <c r="N522" s="20">
        <f>IF(NOT(ISNUMBER($A522)),NA(),IF(COUNT(OFFSET(G522,1,0,Settings!$B$12,1))&lt;ROUNDUP(Settings!$B$12*Settings!$B$26,0),NA(),STDEV(OFFSET(G522,1,0,Settings!$B$12,1))*SQRT(Settings!$B$13)))</f>
        <v/>
      </c>
      <c r="O522" s="20">
        <f>IF(AND(ISNUMBER(E522),ISNUMBER(N522)),E522-N522,NA())</f>
        <v/>
      </c>
      <c r="P522" s="19">
        <f>IF(NOT(ISNUMBER($A522)),NA(),IF(OR($A522&lt;MIN(KW_TP!$A$2:$A$2501),$A522&gt;MAX(KW_TP!$A$2:$A$2501)),NA(),INDEX(KW_TP!$C$2:$C$2501,MATCH($A522,KW_TP!$A$2:$A$2501,1))))</f>
        <v/>
      </c>
      <c r="Q522" s="18">
        <f>IF(NOT(ISNUMBER($A522)),NA(),IFERROR(1*INDEX(BBG_Data!$J$2:$J$4000,MATCH($A522,BBG_Data!$I$2:$I$4000,0)),NA()))</f>
        <v/>
      </c>
      <c r="R522" s="18">
        <f>IF(NOT(ISNUMBER($A522)),NA(),IFERROR(1*INDEX(BBG_Data!$L$2:$L$4000,MATCH($A522,BBG_Data!$K$2:$K$4000,0)),NA()))</f>
        <v/>
      </c>
      <c r="S522" s="20">
        <f>IF(AND(ISNUMBER(B522),ISNUMBER(Q522),ISNUMBER(R522)),(B522-Q522-R522)*100,NA())</f>
        <v/>
      </c>
      <c r="T522" s="20">
        <f>IF(AND(ISNUMBER(B522),Settings!$B$17&gt;0),IF(ISNUMBER(INDEX($B:$B,Settings!$B$17)),(B522-INDEX($B:$B,Settings!$B$17))*100,NA()),NA())</f>
        <v/>
      </c>
      <c r="U522" s="20">
        <f>IF(AND(ISNUMBER(Q522),Settings!$B$17&gt;0),IF(ISNUMBER(INDEX($Q:$Q,Settings!$B$17)),(Q522-INDEX($Q:$Q,Settings!$B$17))*100,NA()),NA())</f>
        <v/>
      </c>
      <c r="V522" s="20">
        <f>IF(AND(ISNUMBER(R522),Settings!$B$17&gt;0),IF(ISNUMBER(INDEX($R:$R,Settings!$B$17)),(R522-INDEX($R:$R,Settings!$B$17))*100,NA()),NA())</f>
        <v/>
      </c>
      <c r="W522" s="20">
        <f>IF(AND(ISNUMBER(P522),Settings!$B$17&gt;0),IF(ISNUMBER(INDEX($P:$P,Settings!$B$17)),P522-INDEX($P:$P,Settings!$B$17),NA()),NA())</f>
        <v/>
      </c>
      <c r="X522" s="19">
        <f>IF(NOT(ISNUMBER($A522)),NA(),IF(OR($A522&lt;MIN(DKW_10Y!$A$2:$A$2918),$A522&gt;MAX(DKW_10Y!$A$2:$A$2918),Settings!$B$16&lt;MIN(DKW_10Y!$A$2:$A$2918)),NA(),(INDEX(DKW_10Y!$B$2:$B$2918,MATCH($A522,DKW_10Y!$A$2:$A$2918,1))-INDEX(DKW_10Y!$B$2:$B$2918,MATCH(Settings!$B$16,DKW_10Y!$A$2:$A$2918,1)))*100))</f>
        <v/>
      </c>
      <c r="Y522" s="19">
        <f>IF(NOT(ISNUMBER($A522)),NA(),IF(OR($A522&lt;MIN(DKW_10Y!$A$2:$A$2918),$A522&gt;MAX(DKW_10Y!$A$2:$A$2918),Settings!$B$16&lt;MIN(DKW_10Y!$A$2:$A$2918)),NA(),(INDEX(DKW_10Y!$C$2:$C$2918,MATCH($A522,DKW_10Y!$A$2:$A$2918,1))-INDEX(DKW_10Y!$C$2:$C$2918,MATCH(Settings!$B$16,DKW_10Y!$A$2:$A$2918,1)))*100))</f>
        <v/>
      </c>
      <c r="Z522" s="19">
        <f>IF(NOT(ISNUMBER($A522)),NA(),IF(OR($A522&lt;MIN(DKW_10Y!$A$2:$A$2918),$A522&gt;MAX(DKW_10Y!$A$2:$A$2918),Settings!$B$16&lt;MIN(DKW_10Y!$A$2:$A$2918)),NA(),(INDEX(DKW_10Y!$D$2:$D$2918,MATCH($A522,DKW_10Y!$A$2:$A$2918,1))-INDEX(DKW_10Y!$D$2:$D$2918,MATCH(Settings!$B$16,DKW_10Y!$A$2:$A$2918,1)))*100))</f>
        <v/>
      </c>
      <c r="AA522" s="19">
        <f>IF(NOT(ISNUMBER($A522)),NA(),IF(OR($A522&lt;MIN(DKW_10Y!$A$2:$A$2918),$A522&gt;MAX(DKW_10Y!$A$2:$A$2918),Settings!$B$16&lt;MIN(DKW_10Y!$A$2:$A$2918)),NA(),(INDEX(DKW_10Y!$E$2:$E$2918,MATCH($A522,DKW_10Y!$A$2:$A$2918,1))-INDEX(DKW_10Y!$E$2:$E$2918,MATCH(Settings!$B$16,DKW_10Y!$A$2:$A$2918,1)))*100))</f>
        <v/>
      </c>
      <c r="AB522" s="19">
        <f>IF(NOT(ISNUMBER($A522)),NA(),IF(OR($A522&lt;MIN(DKW_10Y!$A$2:$A$2918),$A522&gt;MAX(DKW_10Y!$A$2:$A$2918),Settings!$B$16&lt;MIN(DKW_10Y!$A$2:$A$2918)),NA(),(INDEX(DKW_10Y!$H$2:$H$2918,MATCH($A522,DKW_10Y!$A$2:$A$2918,1))-INDEX(DKW_10Y!$H$2:$H$2918,MATCH(Settings!$B$16,DKW_10Y!$A$2:$A$2918,1)))*100))</f>
        <v/>
      </c>
      <c r="AC522" s="18">
        <f>IF(NOT(ISNUMBER($A522)),NA(),IFERROR(1*INDEX(BBG_Data!$N$2:$N$4000,MATCH($A522,BBG_Data!$M$2:$M$4000,0)),NA()))</f>
        <v/>
      </c>
      <c r="AD522" s="18">
        <f>IF(NOT(ISNUMBER($A522)),NA(),IFERROR(1*INDEX(BBG_Data!$P$2:$P$4000,MATCH($A522,BBG_Data!$O$2:$O$4000,0)),NA()))</f>
        <v/>
      </c>
      <c r="AE522" s="18">
        <f>IF(NOT(ISNUMBER($A522)),NA(),IFERROR(1*INDEX(BBG_Data!$R$2:$R$4000,MATCH($A522,BBG_Data!$Q$2:$Q$4000,0)),NA()))</f>
        <v/>
      </c>
      <c r="AF522" s="20">
        <f>IF(AND(ISNUMBER(B522),ISNUMBER(AC522)),(B522-AC522)*100,NA())</f>
        <v/>
      </c>
      <c r="AG522" s="20">
        <f>IF(AND(ISNUMBER(AE522),ISNUMBER(AD522)),(AE522-AD522)*100,NA())</f>
        <v/>
      </c>
      <c r="AH522" s="19">
        <f>IF(NOT(ISNUMBER($A522)),NA(),IFERROR(INDEX(BBG_Data!$T$2:$T$4000,MATCH($A522,BBG_Data!$S$2:$S$4000,0))*Settings!$B$25,NA()))</f>
        <v/>
      </c>
      <c r="AI522" s="19">
        <f>IF(NOT(ISNUMBER($A522)),NA(),IFERROR(INDEX(BBG_Data!$V$2:$V$4000,MATCH($A522,BBG_Data!$U$2:$U$4000,0))*Settings!$B$25,NA()))</f>
        <v/>
      </c>
      <c r="AJ522" s="19">
        <f>IF(NOT(ISNUMBER($A522)),NA(),IFERROR(1*INDEX(BBG_Data!$X$2:$X$4000,MATCH($A522,BBG_Data!$W$2:$W$4000,0)),NA()))</f>
        <v/>
      </c>
      <c r="AK522" s="19">
        <f>IF(NOT(ISNUMBER($A522)),NA(),IFERROR(1*INDEX(BBG_Data!$Z$2:$Z$4000,MATCH($A522,BBG_Data!$Y$2:$Y$4000,0)),NA()))</f>
        <v/>
      </c>
    </row>
    <row r="523">
      <c r="A523" s="17">
        <f>IF(ISNUMBER(BBG_Data!A523),BBG_Data!A523,"")</f>
        <v/>
      </c>
      <c r="B523" s="18">
        <f>IF(AND(ISNUMBER($A523),ISNUMBER(BBG_Data!B523)),BBG_Data!B523,NA())</f>
        <v/>
      </c>
      <c r="C523" s="18">
        <f>IF(NOT(ISNUMBER($A523)),NA(),IFERROR(1*INDEX(BBG_Data!$D$2:$D$4000,MATCH($A523,BBG_Data!$C$2:$C$4000,0)),NA()))</f>
        <v/>
      </c>
      <c r="D523" s="19">
        <f>IF(NOT(ISNUMBER($A523)),NA(),IFERROR(1*INDEX(BBG_Data!$F$2:$F$4000,MATCH($A523,BBG_Data!$E$2:$E$4000,0)),NA()))</f>
        <v/>
      </c>
      <c r="E523" s="19">
        <f>IF(NOT(ISNUMBER($A523)),NA(),IFERROR(1*INDEX(BBG_Data!$H$2:$H$4000,MATCH($A523,BBG_Data!$G$2:$G$4000,0)),NA()))</f>
        <v/>
      </c>
      <c r="F523" s="20">
        <f>IF(AND(ISNUMBER(B523),ISNUMBER(B522)),IF(B523=B522,"",(B523-B522)*100),"")</f>
        <v/>
      </c>
      <c r="G523" s="20">
        <f>IF(AND(ISNUMBER(C523),ISNUMBER(C522)),IF(C523=C522,"",(C523-C522)*100),"")</f>
        <v/>
      </c>
      <c r="H523" s="20">
        <f>IF(OR(NOT(ISNUMBER($A523)),ROW()-2&lt;Settings!$B$11),NA(),IF(COUNT(OFFSET(F523,1-Settings!$B$11,0,Settings!$B$11,1))&lt;ROUNDUP(Settings!$B$11*Settings!$B$26,0),NA(),STDEV(OFFSET(F523,1-Settings!$B$11,0,Settings!$B$11,1))*SQRT(Settings!$B$13)))</f>
        <v/>
      </c>
      <c r="I523" s="20">
        <f>IF(OR(NOT(ISNUMBER($A523)),ROW()-2&lt;Settings!$B$12),NA(),IF(COUNT(OFFSET(F523,1-Settings!$B$12,0,Settings!$B$12,1))&lt;ROUNDUP(Settings!$B$12*Settings!$B$26,0),NA(),STDEV(OFFSET(F523,1-Settings!$B$12,0,Settings!$B$12,1))*SQRT(Settings!$B$13)))</f>
        <v/>
      </c>
      <c r="J523" s="20">
        <f>IF(OR(NOT(ISNUMBER($A523)),ROW()-2&lt;Settings!$B$11),NA(),IF(COUNT(OFFSET(G523,1-Settings!$B$11,0,Settings!$B$11,1))&lt;ROUNDUP(Settings!$B$11*Settings!$B$26,0),NA(),STDEV(OFFSET(G523,1-Settings!$B$11,0,Settings!$B$11,1))*SQRT(Settings!$B$13)))</f>
        <v/>
      </c>
      <c r="K523" s="20">
        <f>IF(OR(NOT(ISNUMBER($A523)),ROW()-2&lt;Settings!$B$12),NA(),IF(COUNT(OFFSET(G523,1-Settings!$B$12,0,Settings!$B$12,1))&lt;ROUNDUP(Settings!$B$12*Settings!$B$26,0),NA(),STDEV(OFFSET(G523,1-Settings!$B$12,0,Settings!$B$12,1))*SQRT(Settings!$B$13)))</f>
        <v/>
      </c>
      <c r="L523" s="20">
        <f>IF(AND(ISNUMBER(D523),ISNUMBER(H523)),D523-H523,NA())</f>
        <v/>
      </c>
      <c r="M523" s="20">
        <f>IF(AND(ISNUMBER(E523),ISNUMBER(K523)),E523-K523,NA())</f>
        <v/>
      </c>
      <c r="N523" s="20">
        <f>IF(NOT(ISNUMBER($A523)),NA(),IF(COUNT(OFFSET(G523,1,0,Settings!$B$12,1))&lt;ROUNDUP(Settings!$B$12*Settings!$B$26,0),NA(),STDEV(OFFSET(G523,1,0,Settings!$B$12,1))*SQRT(Settings!$B$13)))</f>
        <v/>
      </c>
      <c r="O523" s="20">
        <f>IF(AND(ISNUMBER(E523),ISNUMBER(N523)),E523-N523,NA())</f>
        <v/>
      </c>
      <c r="P523" s="19">
        <f>IF(NOT(ISNUMBER($A523)),NA(),IF(OR($A523&lt;MIN(KW_TP!$A$2:$A$2501),$A523&gt;MAX(KW_TP!$A$2:$A$2501)),NA(),INDEX(KW_TP!$C$2:$C$2501,MATCH($A523,KW_TP!$A$2:$A$2501,1))))</f>
        <v/>
      </c>
      <c r="Q523" s="18">
        <f>IF(NOT(ISNUMBER($A523)),NA(),IFERROR(1*INDEX(BBG_Data!$J$2:$J$4000,MATCH($A523,BBG_Data!$I$2:$I$4000,0)),NA()))</f>
        <v/>
      </c>
      <c r="R523" s="18">
        <f>IF(NOT(ISNUMBER($A523)),NA(),IFERROR(1*INDEX(BBG_Data!$L$2:$L$4000,MATCH($A523,BBG_Data!$K$2:$K$4000,0)),NA()))</f>
        <v/>
      </c>
      <c r="S523" s="20">
        <f>IF(AND(ISNUMBER(B523),ISNUMBER(Q523),ISNUMBER(R523)),(B523-Q523-R523)*100,NA())</f>
        <v/>
      </c>
      <c r="T523" s="20">
        <f>IF(AND(ISNUMBER(B523),Settings!$B$17&gt;0),IF(ISNUMBER(INDEX($B:$B,Settings!$B$17)),(B523-INDEX($B:$B,Settings!$B$17))*100,NA()),NA())</f>
        <v/>
      </c>
      <c r="U523" s="20">
        <f>IF(AND(ISNUMBER(Q523),Settings!$B$17&gt;0),IF(ISNUMBER(INDEX($Q:$Q,Settings!$B$17)),(Q523-INDEX($Q:$Q,Settings!$B$17))*100,NA()),NA())</f>
        <v/>
      </c>
      <c r="V523" s="20">
        <f>IF(AND(ISNUMBER(R523),Settings!$B$17&gt;0),IF(ISNUMBER(INDEX($R:$R,Settings!$B$17)),(R523-INDEX($R:$R,Settings!$B$17))*100,NA()),NA())</f>
        <v/>
      </c>
      <c r="W523" s="20">
        <f>IF(AND(ISNUMBER(P523),Settings!$B$17&gt;0),IF(ISNUMBER(INDEX($P:$P,Settings!$B$17)),P523-INDEX($P:$P,Settings!$B$17),NA()),NA())</f>
        <v/>
      </c>
      <c r="X523" s="19">
        <f>IF(NOT(ISNUMBER($A523)),NA(),IF(OR($A523&lt;MIN(DKW_10Y!$A$2:$A$2918),$A523&gt;MAX(DKW_10Y!$A$2:$A$2918),Settings!$B$16&lt;MIN(DKW_10Y!$A$2:$A$2918)),NA(),(INDEX(DKW_10Y!$B$2:$B$2918,MATCH($A523,DKW_10Y!$A$2:$A$2918,1))-INDEX(DKW_10Y!$B$2:$B$2918,MATCH(Settings!$B$16,DKW_10Y!$A$2:$A$2918,1)))*100))</f>
        <v/>
      </c>
      <c r="Y523" s="19">
        <f>IF(NOT(ISNUMBER($A523)),NA(),IF(OR($A523&lt;MIN(DKW_10Y!$A$2:$A$2918),$A523&gt;MAX(DKW_10Y!$A$2:$A$2918),Settings!$B$16&lt;MIN(DKW_10Y!$A$2:$A$2918)),NA(),(INDEX(DKW_10Y!$C$2:$C$2918,MATCH($A523,DKW_10Y!$A$2:$A$2918,1))-INDEX(DKW_10Y!$C$2:$C$2918,MATCH(Settings!$B$16,DKW_10Y!$A$2:$A$2918,1)))*100))</f>
        <v/>
      </c>
      <c r="Z523" s="19">
        <f>IF(NOT(ISNUMBER($A523)),NA(),IF(OR($A523&lt;MIN(DKW_10Y!$A$2:$A$2918),$A523&gt;MAX(DKW_10Y!$A$2:$A$2918),Settings!$B$16&lt;MIN(DKW_10Y!$A$2:$A$2918)),NA(),(INDEX(DKW_10Y!$D$2:$D$2918,MATCH($A523,DKW_10Y!$A$2:$A$2918,1))-INDEX(DKW_10Y!$D$2:$D$2918,MATCH(Settings!$B$16,DKW_10Y!$A$2:$A$2918,1)))*100))</f>
        <v/>
      </c>
      <c r="AA523" s="19">
        <f>IF(NOT(ISNUMBER($A523)),NA(),IF(OR($A523&lt;MIN(DKW_10Y!$A$2:$A$2918),$A523&gt;MAX(DKW_10Y!$A$2:$A$2918),Settings!$B$16&lt;MIN(DKW_10Y!$A$2:$A$2918)),NA(),(INDEX(DKW_10Y!$E$2:$E$2918,MATCH($A523,DKW_10Y!$A$2:$A$2918,1))-INDEX(DKW_10Y!$E$2:$E$2918,MATCH(Settings!$B$16,DKW_10Y!$A$2:$A$2918,1)))*100))</f>
        <v/>
      </c>
      <c r="AB523" s="19">
        <f>IF(NOT(ISNUMBER($A523)),NA(),IF(OR($A523&lt;MIN(DKW_10Y!$A$2:$A$2918),$A523&gt;MAX(DKW_10Y!$A$2:$A$2918),Settings!$B$16&lt;MIN(DKW_10Y!$A$2:$A$2918)),NA(),(INDEX(DKW_10Y!$H$2:$H$2918,MATCH($A523,DKW_10Y!$A$2:$A$2918,1))-INDEX(DKW_10Y!$H$2:$H$2918,MATCH(Settings!$B$16,DKW_10Y!$A$2:$A$2918,1)))*100))</f>
        <v/>
      </c>
      <c r="AC523" s="18">
        <f>IF(NOT(ISNUMBER($A523)),NA(),IFERROR(1*INDEX(BBG_Data!$N$2:$N$4000,MATCH($A523,BBG_Data!$M$2:$M$4000,0)),NA()))</f>
        <v/>
      </c>
      <c r="AD523" s="18">
        <f>IF(NOT(ISNUMBER($A523)),NA(),IFERROR(1*INDEX(BBG_Data!$P$2:$P$4000,MATCH($A523,BBG_Data!$O$2:$O$4000,0)),NA()))</f>
        <v/>
      </c>
      <c r="AE523" s="18">
        <f>IF(NOT(ISNUMBER($A523)),NA(),IFERROR(1*INDEX(BBG_Data!$R$2:$R$4000,MATCH($A523,BBG_Data!$Q$2:$Q$4000,0)),NA()))</f>
        <v/>
      </c>
      <c r="AF523" s="20">
        <f>IF(AND(ISNUMBER(B523),ISNUMBER(AC523)),(B523-AC523)*100,NA())</f>
        <v/>
      </c>
      <c r="AG523" s="20">
        <f>IF(AND(ISNUMBER(AE523),ISNUMBER(AD523)),(AE523-AD523)*100,NA())</f>
        <v/>
      </c>
      <c r="AH523" s="19">
        <f>IF(NOT(ISNUMBER($A523)),NA(),IFERROR(INDEX(BBG_Data!$T$2:$T$4000,MATCH($A523,BBG_Data!$S$2:$S$4000,0))*Settings!$B$25,NA()))</f>
        <v/>
      </c>
      <c r="AI523" s="19">
        <f>IF(NOT(ISNUMBER($A523)),NA(),IFERROR(INDEX(BBG_Data!$V$2:$V$4000,MATCH($A523,BBG_Data!$U$2:$U$4000,0))*Settings!$B$25,NA()))</f>
        <v/>
      </c>
      <c r="AJ523" s="19">
        <f>IF(NOT(ISNUMBER($A523)),NA(),IFERROR(1*INDEX(BBG_Data!$X$2:$X$4000,MATCH($A523,BBG_Data!$W$2:$W$4000,0)),NA()))</f>
        <v/>
      </c>
      <c r="AK523" s="19">
        <f>IF(NOT(ISNUMBER($A523)),NA(),IFERROR(1*INDEX(BBG_Data!$Z$2:$Z$4000,MATCH($A523,BBG_Data!$Y$2:$Y$4000,0)),NA()))</f>
        <v/>
      </c>
    </row>
    <row r="524">
      <c r="A524" s="17">
        <f>IF(ISNUMBER(BBG_Data!A524),BBG_Data!A524,"")</f>
        <v/>
      </c>
      <c r="B524" s="18">
        <f>IF(AND(ISNUMBER($A524),ISNUMBER(BBG_Data!B524)),BBG_Data!B524,NA())</f>
        <v/>
      </c>
      <c r="C524" s="18">
        <f>IF(NOT(ISNUMBER($A524)),NA(),IFERROR(1*INDEX(BBG_Data!$D$2:$D$4000,MATCH($A524,BBG_Data!$C$2:$C$4000,0)),NA()))</f>
        <v/>
      </c>
      <c r="D524" s="19">
        <f>IF(NOT(ISNUMBER($A524)),NA(),IFERROR(1*INDEX(BBG_Data!$F$2:$F$4000,MATCH($A524,BBG_Data!$E$2:$E$4000,0)),NA()))</f>
        <v/>
      </c>
      <c r="E524" s="19">
        <f>IF(NOT(ISNUMBER($A524)),NA(),IFERROR(1*INDEX(BBG_Data!$H$2:$H$4000,MATCH($A524,BBG_Data!$G$2:$G$4000,0)),NA()))</f>
        <v/>
      </c>
      <c r="F524" s="20">
        <f>IF(AND(ISNUMBER(B524),ISNUMBER(B523)),IF(B524=B523,"",(B524-B523)*100),"")</f>
        <v/>
      </c>
      <c r="G524" s="20">
        <f>IF(AND(ISNUMBER(C524),ISNUMBER(C523)),IF(C524=C523,"",(C524-C523)*100),"")</f>
        <v/>
      </c>
      <c r="H524" s="20">
        <f>IF(OR(NOT(ISNUMBER($A524)),ROW()-2&lt;Settings!$B$11),NA(),IF(COUNT(OFFSET(F524,1-Settings!$B$11,0,Settings!$B$11,1))&lt;ROUNDUP(Settings!$B$11*Settings!$B$26,0),NA(),STDEV(OFFSET(F524,1-Settings!$B$11,0,Settings!$B$11,1))*SQRT(Settings!$B$13)))</f>
        <v/>
      </c>
      <c r="I524" s="20">
        <f>IF(OR(NOT(ISNUMBER($A524)),ROW()-2&lt;Settings!$B$12),NA(),IF(COUNT(OFFSET(F524,1-Settings!$B$12,0,Settings!$B$12,1))&lt;ROUNDUP(Settings!$B$12*Settings!$B$26,0),NA(),STDEV(OFFSET(F524,1-Settings!$B$12,0,Settings!$B$12,1))*SQRT(Settings!$B$13)))</f>
        <v/>
      </c>
      <c r="J524" s="20">
        <f>IF(OR(NOT(ISNUMBER($A524)),ROW()-2&lt;Settings!$B$11),NA(),IF(COUNT(OFFSET(G524,1-Settings!$B$11,0,Settings!$B$11,1))&lt;ROUNDUP(Settings!$B$11*Settings!$B$26,0),NA(),STDEV(OFFSET(G524,1-Settings!$B$11,0,Settings!$B$11,1))*SQRT(Settings!$B$13)))</f>
        <v/>
      </c>
      <c r="K524" s="20">
        <f>IF(OR(NOT(ISNUMBER($A524)),ROW()-2&lt;Settings!$B$12),NA(),IF(COUNT(OFFSET(G524,1-Settings!$B$12,0,Settings!$B$12,1))&lt;ROUNDUP(Settings!$B$12*Settings!$B$26,0),NA(),STDEV(OFFSET(G524,1-Settings!$B$12,0,Settings!$B$12,1))*SQRT(Settings!$B$13)))</f>
        <v/>
      </c>
      <c r="L524" s="20">
        <f>IF(AND(ISNUMBER(D524),ISNUMBER(H524)),D524-H524,NA())</f>
        <v/>
      </c>
      <c r="M524" s="20">
        <f>IF(AND(ISNUMBER(E524),ISNUMBER(K524)),E524-K524,NA())</f>
        <v/>
      </c>
      <c r="N524" s="20">
        <f>IF(NOT(ISNUMBER($A524)),NA(),IF(COUNT(OFFSET(G524,1,0,Settings!$B$12,1))&lt;ROUNDUP(Settings!$B$12*Settings!$B$26,0),NA(),STDEV(OFFSET(G524,1,0,Settings!$B$12,1))*SQRT(Settings!$B$13)))</f>
        <v/>
      </c>
      <c r="O524" s="20">
        <f>IF(AND(ISNUMBER(E524),ISNUMBER(N524)),E524-N524,NA())</f>
        <v/>
      </c>
      <c r="P524" s="19">
        <f>IF(NOT(ISNUMBER($A524)),NA(),IF(OR($A524&lt;MIN(KW_TP!$A$2:$A$2501),$A524&gt;MAX(KW_TP!$A$2:$A$2501)),NA(),INDEX(KW_TP!$C$2:$C$2501,MATCH($A524,KW_TP!$A$2:$A$2501,1))))</f>
        <v/>
      </c>
      <c r="Q524" s="18">
        <f>IF(NOT(ISNUMBER($A524)),NA(),IFERROR(1*INDEX(BBG_Data!$J$2:$J$4000,MATCH($A524,BBG_Data!$I$2:$I$4000,0)),NA()))</f>
        <v/>
      </c>
      <c r="R524" s="18">
        <f>IF(NOT(ISNUMBER($A524)),NA(),IFERROR(1*INDEX(BBG_Data!$L$2:$L$4000,MATCH($A524,BBG_Data!$K$2:$K$4000,0)),NA()))</f>
        <v/>
      </c>
      <c r="S524" s="20">
        <f>IF(AND(ISNUMBER(B524),ISNUMBER(Q524),ISNUMBER(R524)),(B524-Q524-R524)*100,NA())</f>
        <v/>
      </c>
      <c r="T524" s="20">
        <f>IF(AND(ISNUMBER(B524),Settings!$B$17&gt;0),IF(ISNUMBER(INDEX($B:$B,Settings!$B$17)),(B524-INDEX($B:$B,Settings!$B$17))*100,NA()),NA())</f>
        <v/>
      </c>
      <c r="U524" s="20">
        <f>IF(AND(ISNUMBER(Q524),Settings!$B$17&gt;0),IF(ISNUMBER(INDEX($Q:$Q,Settings!$B$17)),(Q524-INDEX($Q:$Q,Settings!$B$17))*100,NA()),NA())</f>
        <v/>
      </c>
      <c r="V524" s="20">
        <f>IF(AND(ISNUMBER(R524),Settings!$B$17&gt;0),IF(ISNUMBER(INDEX($R:$R,Settings!$B$17)),(R524-INDEX($R:$R,Settings!$B$17))*100,NA()),NA())</f>
        <v/>
      </c>
      <c r="W524" s="20">
        <f>IF(AND(ISNUMBER(P524),Settings!$B$17&gt;0),IF(ISNUMBER(INDEX($P:$P,Settings!$B$17)),P524-INDEX($P:$P,Settings!$B$17),NA()),NA())</f>
        <v/>
      </c>
      <c r="X524" s="19">
        <f>IF(NOT(ISNUMBER($A524)),NA(),IF(OR($A524&lt;MIN(DKW_10Y!$A$2:$A$2918),$A524&gt;MAX(DKW_10Y!$A$2:$A$2918),Settings!$B$16&lt;MIN(DKW_10Y!$A$2:$A$2918)),NA(),(INDEX(DKW_10Y!$B$2:$B$2918,MATCH($A524,DKW_10Y!$A$2:$A$2918,1))-INDEX(DKW_10Y!$B$2:$B$2918,MATCH(Settings!$B$16,DKW_10Y!$A$2:$A$2918,1)))*100))</f>
        <v/>
      </c>
      <c r="Y524" s="19">
        <f>IF(NOT(ISNUMBER($A524)),NA(),IF(OR($A524&lt;MIN(DKW_10Y!$A$2:$A$2918),$A524&gt;MAX(DKW_10Y!$A$2:$A$2918),Settings!$B$16&lt;MIN(DKW_10Y!$A$2:$A$2918)),NA(),(INDEX(DKW_10Y!$C$2:$C$2918,MATCH($A524,DKW_10Y!$A$2:$A$2918,1))-INDEX(DKW_10Y!$C$2:$C$2918,MATCH(Settings!$B$16,DKW_10Y!$A$2:$A$2918,1)))*100))</f>
        <v/>
      </c>
      <c r="Z524" s="19">
        <f>IF(NOT(ISNUMBER($A524)),NA(),IF(OR($A524&lt;MIN(DKW_10Y!$A$2:$A$2918),$A524&gt;MAX(DKW_10Y!$A$2:$A$2918),Settings!$B$16&lt;MIN(DKW_10Y!$A$2:$A$2918)),NA(),(INDEX(DKW_10Y!$D$2:$D$2918,MATCH($A524,DKW_10Y!$A$2:$A$2918,1))-INDEX(DKW_10Y!$D$2:$D$2918,MATCH(Settings!$B$16,DKW_10Y!$A$2:$A$2918,1)))*100))</f>
        <v/>
      </c>
      <c r="AA524" s="19">
        <f>IF(NOT(ISNUMBER($A524)),NA(),IF(OR($A524&lt;MIN(DKW_10Y!$A$2:$A$2918),$A524&gt;MAX(DKW_10Y!$A$2:$A$2918),Settings!$B$16&lt;MIN(DKW_10Y!$A$2:$A$2918)),NA(),(INDEX(DKW_10Y!$E$2:$E$2918,MATCH($A524,DKW_10Y!$A$2:$A$2918,1))-INDEX(DKW_10Y!$E$2:$E$2918,MATCH(Settings!$B$16,DKW_10Y!$A$2:$A$2918,1)))*100))</f>
        <v/>
      </c>
      <c r="AB524" s="19">
        <f>IF(NOT(ISNUMBER($A524)),NA(),IF(OR($A524&lt;MIN(DKW_10Y!$A$2:$A$2918),$A524&gt;MAX(DKW_10Y!$A$2:$A$2918),Settings!$B$16&lt;MIN(DKW_10Y!$A$2:$A$2918)),NA(),(INDEX(DKW_10Y!$H$2:$H$2918,MATCH($A524,DKW_10Y!$A$2:$A$2918,1))-INDEX(DKW_10Y!$H$2:$H$2918,MATCH(Settings!$B$16,DKW_10Y!$A$2:$A$2918,1)))*100))</f>
        <v/>
      </c>
      <c r="AC524" s="18">
        <f>IF(NOT(ISNUMBER($A524)),NA(),IFERROR(1*INDEX(BBG_Data!$N$2:$N$4000,MATCH($A524,BBG_Data!$M$2:$M$4000,0)),NA()))</f>
        <v/>
      </c>
      <c r="AD524" s="18">
        <f>IF(NOT(ISNUMBER($A524)),NA(),IFERROR(1*INDEX(BBG_Data!$P$2:$P$4000,MATCH($A524,BBG_Data!$O$2:$O$4000,0)),NA()))</f>
        <v/>
      </c>
      <c r="AE524" s="18">
        <f>IF(NOT(ISNUMBER($A524)),NA(),IFERROR(1*INDEX(BBG_Data!$R$2:$R$4000,MATCH($A524,BBG_Data!$Q$2:$Q$4000,0)),NA()))</f>
        <v/>
      </c>
      <c r="AF524" s="20">
        <f>IF(AND(ISNUMBER(B524),ISNUMBER(AC524)),(B524-AC524)*100,NA())</f>
        <v/>
      </c>
      <c r="AG524" s="20">
        <f>IF(AND(ISNUMBER(AE524),ISNUMBER(AD524)),(AE524-AD524)*100,NA())</f>
        <v/>
      </c>
      <c r="AH524" s="19">
        <f>IF(NOT(ISNUMBER($A524)),NA(),IFERROR(INDEX(BBG_Data!$T$2:$T$4000,MATCH($A524,BBG_Data!$S$2:$S$4000,0))*Settings!$B$25,NA()))</f>
        <v/>
      </c>
      <c r="AI524" s="19">
        <f>IF(NOT(ISNUMBER($A524)),NA(),IFERROR(INDEX(BBG_Data!$V$2:$V$4000,MATCH($A524,BBG_Data!$U$2:$U$4000,0))*Settings!$B$25,NA()))</f>
        <v/>
      </c>
      <c r="AJ524" s="19">
        <f>IF(NOT(ISNUMBER($A524)),NA(),IFERROR(1*INDEX(BBG_Data!$X$2:$X$4000,MATCH($A524,BBG_Data!$W$2:$W$4000,0)),NA()))</f>
        <v/>
      </c>
      <c r="AK524" s="19">
        <f>IF(NOT(ISNUMBER($A524)),NA(),IFERROR(1*INDEX(BBG_Data!$Z$2:$Z$4000,MATCH($A524,BBG_Data!$Y$2:$Y$4000,0)),NA()))</f>
        <v/>
      </c>
    </row>
    <row r="525">
      <c r="A525" s="17">
        <f>IF(ISNUMBER(BBG_Data!A525),BBG_Data!A525,"")</f>
        <v/>
      </c>
      <c r="B525" s="18">
        <f>IF(AND(ISNUMBER($A525),ISNUMBER(BBG_Data!B525)),BBG_Data!B525,NA())</f>
        <v/>
      </c>
      <c r="C525" s="18">
        <f>IF(NOT(ISNUMBER($A525)),NA(),IFERROR(1*INDEX(BBG_Data!$D$2:$D$4000,MATCH($A525,BBG_Data!$C$2:$C$4000,0)),NA()))</f>
        <v/>
      </c>
      <c r="D525" s="19">
        <f>IF(NOT(ISNUMBER($A525)),NA(),IFERROR(1*INDEX(BBG_Data!$F$2:$F$4000,MATCH($A525,BBG_Data!$E$2:$E$4000,0)),NA()))</f>
        <v/>
      </c>
      <c r="E525" s="19">
        <f>IF(NOT(ISNUMBER($A525)),NA(),IFERROR(1*INDEX(BBG_Data!$H$2:$H$4000,MATCH($A525,BBG_Data!$G$2:$G$4000,0)),NA()))</f>
        <v/>
      </c>
      <c r="F525" s="20">
        <f>IF(AND(ISNUMBER(B525),ISNUMBER(B524)),IF(B525=B524,"",(B525-B524)*100),"")</f>
        <v/>
      </c>
      <c r="G525" s="20">
        <f>IF(AND(ISNUMBER(C525),ISNUMBER(C524)),IF(C525=C524,"",(C525-C524)*100),"")</f>
        <v/>
      </c>
      <c r="H525" s="20">
        <f>IF(OR(NOT(ISNUMBER($A525)),ROW()-2&lt;Settings!$B$11),NA(),IF(COUNT(OFFSET(F525,1-Settings!$B$11,0,Settings!$B$11,1))&lt;ROUNDUP(Settings!$B$11*Settings!$B$26,0),NA(),STDEV(OFFSET(F525,1-Settings!$B$11,0,Settings!$B$11,1))*SQRT(Settings!$B$13)))</f>
        <v/>
      </c>
      <c r="I525" s="20">
        <f>IF(OR(NOT(ISNUMBER($A525)),ROW()-2&lt;Settings!$B$12),NA(),IF(COUNT(OFFSET(F525,1-Settings!$B$12,0,Settings!$B$12,1))&lt;ROUNDUP(Settings!$B$12*Settings!$B$26,0),NA(),STDEV(OFFSET(F525,1-Settings!$B$12,0,Settings!$B$12,1))*SQRT(Settings!$B$13)))</f>
        <v/>
      </c>
      <c r="J525" s="20">
        <f>IF(OR(NOT(ISNUMBER($A525)),ROW()-2&lt;Settings!$B$11),NA(),IF(COUNT(OFFSET(G525,1-Settings!$B$11,0,Settings!$B$11,1))&lt;ROUNDUP(Settings!$B$11*Settings!$B$26,0),NA(),STDEV(OFFSET(G525,1-Settings!$B$11,0,Settings!$B$11,1))*SQRT(Settings!$B$13)))</f>
        <v/>
      </c>
      <c r="K525" s="20">
        <f>IF(OR(NOT(ISNUMBER($A525)),ROW()-2&lt;Settings!$B$12),NA(),IF(COUNT(OFFSET(G525,1-Settings!$B$12,0,Settings!$B$12,1))&lt;ROUNDUP(Settings!$B$12*Settings!$B$26,0),NA(),STDEV(OFFSET(G525,1-Settings!$B$12,0,Settings!$B$12,1))*SQRT(Settings!$B$13)))</f>
        <v/>
      </c>
      <c r="L525" s="20">
        <f>IF(AND(ISNUMBER(D525),ISNUMBER(H525)),D525-H525,NA())</f>
        <v/>
      </c>
      <c r="M525" s="20">
        <f>IF(AND(ISNUMBER(E525),ISNUMBER(K525)),E525-K525,NA())</f>
        <v/>
      </c>
      <c r="N525" s="20">
        <f>IF(NOT(ISNUMBER($A525)),NA(),IF(COUNT(OFFSET(G525,1,0,Settings!$B$12,1))&lt;ROUNDUP(Settings!$B$12*Settings!$B$26,0),NA(),STDEV(OFFSET(G525,1,0,Settings!$B$12,1))*SQRT(Settings!$B$13)))</f>
        <v/>
      </c>
      <c r="O525" s="20">
        <f>IF(AND(ISNUMBER(E525),ISNUMBER(N525)),E525-N525,NA())</f>
        <v/>
      </c>
      <c r="P525" s="19">
        <f>IF(NOT(ISNUMBER($A525)),NA(),IF(OR($A525&lt;MIN(KW_TP!$A$2:$A$2501),$A525&gt;MAX(KW_TP!$A$2:$A$2501)),NA(),INDEX(KW_TP!$C$2:$C$2501,MATCH($A525,KW_TP!$A$2:$A$2501,1))))</f>
        <v/>
      </c>
      <c r="Q525" s="18">
        <f>IF(NOT(ISNUMBER($A525)),NA(),IFERROR(1*INDEX(BBG_Data!$J$2:$J$4000,MATCH($A525,BBG_Data!$I$2:$I$4000,0)),NA()))</f>
        <v/>
      </c>
      <c r="R525" s="18">
        <f>IF(NOT(ISNUMBER($A525)),NA(),IFERROR(1*INDEX(BBG_Data!$L$2:$L$4000,MATCH($A525,BBG_Data!$K$2:$K$4000,0)),NA()))</f>
        <v/>
      </c>
      <c r="S525" s="20">
        <f>IF(AND(ISNUMBER(B525),ISNUMBER(Q525),ISNUMBER(R525)),(B525-Q525-R525)*100,NA())</f>
        <v/>
      </c>
      <c r="T525" s="20">
        <f>IF(AND(ISNUMBER(B525),Settings!$B$17&gt;0),IF(ISNUMBER(INDEX($B:$B,Settings!$B$17)),(B525-INDEX($B:$B,Settings!$B$17))*100,NA()),NA())</f>
        <v/>
      </c>
      <c r="U525" s="20">
        <f>IF(AND(ISNUMBER(Q525),Settings!$B$17&gt;0),IF(ISNUMBER(INDEX($Q:$Q,Settings!$B$17)),(Q525-INDEX($Q:$Q,Settings!$B$17))*100,NA()),NA())</f>
        <v/>
      </c>
      <c r="V525" s="20">
        <f>IF(AND(ISNUMBER(R525),Settings!$B$17&gt;0),IF(ISNUMBER(INDEX($R:$R,Settings!$B$17)),(R525-INDEX($R:$R,Settings!$B$17))*100,NA()),NA())</f>
        <v/>
      </c>
      <c r="W525" s="20">
        <f>IF(AND(ISNUMBER(P525),Settings!$B$17&gt;0),IF(ISNUMBER(INDEX($P:$P,Settings!$B$17)),P525-INDEX($P:$P,Settings!$B$17),NA()),NA())</f>
        <v/>
      </c>
      <c r="X525" s="19">
        <f>IF(NOT(ISNUMBER($A525)),NA(),IF(OR($A525&lt;MIN(DKW_10Y!$A$2:$A$2918),$A525&gt;MAX(DKW_10Y!$A$2:$A$2918),Settings!$B$16&lt;MIN(DKW_10Y!$A$2:$A$2918)),NA(),(INDEX(DKW_10Y!$B$2:$B$2918,MATCH($A525,DKW_10Y!$A$2:$A$2918,1))-INDEX(DKW_10Y!$B$2:$B$2918,MATCH(Settings!$B$16,DKW_10Y!$A$2:$A$2918,1)))*100))</f>
        <v/>
      </c>
      <c r="Y525" s="19">
        <f>IF(NOT(ISNUMBER($A525)),NA(),IF(OR($A525&lt;MIN(DKW_10Y!$A$2:$A$2918),$A525&gt;MAX(DKW_10Y!$A$2:$A$2918),Settings!$B$16&lt;MIN(DKW_10Y!$A$2:$A$2918)),NA(),(INDEX(DKW_10Y!$C$2:$C$2918,MATCH($A525,DKW_10Y!$A$2:$A$2918,1))-INDEX(DKW_10Y!$C$2:$C$2918,MATCH(Settings!$B$16,DKW_10Y!$A$2:$A$2918,1)))*100))</f>
        <v/>
      </c>
      <c r="Z525" s="19">
        <f>IF(NOT(ISNUMBER($A525)),NA(),IF(OR($A525&lt;MIN(DKW_10Y!$A$2:$A$2918),$A525&gt;MAX(DKW_10Y!$A$2:$A$2918),Settings!$B$16&lt;MIN(DKW_10Y!$A$2:$A$2918)),NA(),(INDEX(DKW_10Y!$D$2:$D$2918,MATCH($A525,DKW_10Y!$A$2:$A$2918,1))-INDEX(DKW_10Y!$D$2:$D$2918,MATCH(Settings!$B$16,DKW_10Y!$A$2:$A$2918,1)))*100))</f>
        <v/>
      </c>
      <c r="AA525" s="19">
        <f>IF(NOT(ISNUMBER($A525)),NA(),IF(OR($A525&lt;MIN(DKW_10Y!$A$2:$A$2918),$A525&gt;MAX(DKW_10Y!$A$2:$A$2918),Settings!$B$16&lt;MIN(DKW_10Y!$A$2:$A$2918)),NA(),(INDEX(DKW_10Y!$E$2:$E$2918,MATCH($A525,DKW_10Y!$A$2:$A$2918,1))-INDEX(DKW_10Y!$E$2:$E$2918,MATCH(Settings!$B$16,DKW_10Y!$A$2:$A$2918,1)))*100))</f>
        <v/>
      </c>
      <c r="AB525" s="19">
        <f>IF(NOT(ISNUMBER($A525)),NA(),IF(OR($A525&lt;MIN(DKW_10Y!$A$2:$A$2918),$A525&gt;MAX(DKW_10Y!$A$2:$A$2918),Settings!$B$16&lt;MIN(DKW_10Y!$A$2:$A$2918)),NA(),(INDEX(DKW_10Y!$H$2:$H$2918,MATCH($A525,DKW_10Y!$A$2:$A$2918,1))-INDEX(DKW_10Y!$H$2:$H$2918,MATCH(Settings!$B$16,DKW_10Y!$A$2:$A$2918,1)))*100))</f>
        <v/>
      </c>
      <c r="AC525" s="18">
        <f>IF(NOT(ISNUMBER($A525)),NA(),IFERROR(1*INDEX(BBG_Data!$N$2:$N$4000,MATCH($A525,BBG_Data!$M$2:$M$4000,0)),NA()))</f>
        <v/>
      </c>
      <c r="AD525" s="18">
        <f>IF(NOT(ISNUMBER($A525)),NA(),IFERROR(1*INDEX(BBG_Data!$P$2:$P$4000,MATCH($A525,BBG_Data!$O$2:$O$4000,0)),NA()))</f>
        <v/>
      </c>
      <c r="AE525" s="18">
        <f>IF(NOT(ISNUMBER($A525)),NA(),IFERROR(1*INDEX(BBG_Data!$R$2:$R$4000,MATCH($A525,BBG_Data!$Q$2:$Q$4000,0)),NA()))</f>
        <v/>
      </c>
      <c r="AF525" s="20">
        <f>IF(AND(ISNUMBER(B525),ISNUMBER(AC525)),(B525-AC525)*100,NA())</f>
        <v/>
      </c>
      <c r="AG525" s="20">
        <f>IF(AND(ISNUMBER(AE525),ISNUMBER(AD525)),(AE525-AD525)*100,NA())</f>
        <v/>
      </c>
      <c r="AH525" s="19">
        <f>IF(NOT(ISNUMBER($A525)),NA(),IFERROR(INDEX(BBG_Data!$T$2:$T$4000,MATCH($A525,BBG_Data!$S$2:$S$4000,0))*Settings!$B$25,NA()))</f>
        <v/>
      </c>
      <c r="AI525" s="19">
        <f>IF(NOT(ISNUMBER($A525)),NA(),IFERROR(INDEX(BBG_Data!$V$2:$V$4000,MATCH($A525,BBG_Data!$U$2:$U$4000,0))*Settings!$B$25,NA()))</f>
        <v/>
      </c>
      <c r="AJ525" s="19">
        <f>IF(NOT(ISNUMBER($A525)),NA(),IFERROR(1*INDEX(BBG_Data!$X$2:$X$4000,MATCH($A525,BBG_Data!$W$2:$W$4000,0)),NA()))</f>
        <v/>
      </c>
      <c r="AK525" s="19">
        <f>IF(NOT(ISNUMBER($A525)),NA(),IFERROR(1*INDEX(BBG_Data!$Z$2:$Z$4000,MATCH($A525,BBG_Data!$Y$2:$Y$4000,0)),NA()))</f>
        <v/>
      </c>
    </row>
    <row r="526">
      <c r="A526" s="17">
        <f>IF(ISNUMBER(BBG_Data!A526),BBG_Data!A526,"")</f>
        <v/>
      </c>
      <c r="B526" s="18">
        <f>IF(AND(ISNUMBER($A526),ISNUMBER(BBG_Data!B526)),BBG_Data!B526,NA())</f>
        <v/>
      </c>
      <c r="C526" s="18">
        <f>IF(NOT(ISNUMBER($A526)),NA(),IFERROR(1*INDEX(BBG_Data!$D$2:$D$4000,MATCH($A526,BBG_Data!$C$2:$C$4000,0)),NA()))</f>
        <v/>
      </c>
      <c r="D526" s="19">
        <f>IF(NOT(ISNUMBER($A526)),NA(),IFERROR(1*INDEX(BBG_Data!$F$2:$F$4000,MATCH($A526,BBG_Data!$E$2:$E$4000,0)),NA()))</f>
        <v/>
      </c>
      <c r="E526" s="19">
        <f>IF(NOT(ISNUMBER($A526)),NA(),IFERROR(1*INDEX(BBG_Data!$H$2:$H$4000,MATCH($A526,BBG_Data!$G$2:$G$4000,0)),NA()))</f>
        <v/>
      </c>
      <c r="F526" s="20">
        <f>IF(AND(ISNUMBER(B526),ISNUMBER(B525)),IF(B526=B525,"",(B526-B525)*100),"")</f>
        <v/>
      </c>
      <c r="G526" s="20">
        <f>IF(AND(ISNUMBER(C526),ISNUMBER(C525)),IF(C526=C525,"",(C526-C525)*100),"")</f>
        <v/>
      </c>
      <c r="H526" s="20">
        <f>IF(OR(NOT(ISNUMBER($A526)),ROW()-2&lt;Settings!$B$11),NA(),IF(COUNT(OFFSET(F526,1-Settings!$B$11,0,Settings!$B$11,1))&lt;ROUNDUP(Settings!$B$11*Settings!$B$26,0),NA(),STDEV(OFFSET(F526,1-Settings!$B$11,0,Settings!$B$11,1))*SQRT(Settings!$B$13)))</f>
        <v/>
      </c>
      <c r="I526" s="20">
        <f>IF(OR(NOT(ISNUMBER($A526)),ROW()-2&lt;Settings!$B$12),NA(),IF(COUNT(OFFSET(F526,1-Settings!$B$12,0,Settings!$B$12,1))&lt;ROUNDUP(Settings!$B$12*Settings!$B$26,0),NA(),STDEV(OFFSET(F526,1-Settings!$B$12,0,Settings!$B$12,1))*SQRT(Settings!$B$13)))</f>
        <v/>
      </c>
      <c r="J526" s="20">
        <f>IF(OR(NOT(ISNUMBER($A526)),ROW()-2&lt;Settings!$B$11),NA(),IF(COUNT(OFFSET(G526,1-Settings!$B$11,0,Settings!$B$11,1))&lt;ROUNDUP(Settings!$B$11*Settings!$B$26,0),NA(),STDEV(OFFSET(G526,1-Settings!$B$11,0,Settings!$B$11,1))*SQRT(Settings!$B$13)))</f>
        <v/>
      </c>
      <c r="K526" s="20">
        <f>IF(OR(NOT(ISNUMBER($A526)),ROW()-2&lt;Settings!$B$12),NA(),IF(COUNT(OFFSET(G526,1-Settings!$B$12,0,Settings!$B$12,1))&lt;ROUNDUP(Settings!$B$12*Settings!$B$26,0),NA(),STDEV(OFFSET(G526,1-Settings!$B$12,0,Settings!$B$12,1))*SQRT(Settings!$B$13)))</f>
        <v/>
      </c>
      <c r="L526" s="20">
        <f>IF(AND(ISNUMBER(D526),ISNUMBER(H526)),D526-H526,NA())</f>
        <v/>
      </c>
      <c r="M526" s="20">
        <f>IF(AND(ISNUMBER(E526),ISNUMBER(K526)),E526-K526,NA())</f>
        <v/>
      </c>
      <c r="N526" s="20">
        <f>IF(NOT(ISNUMBER($A526)),NA(),IF(COUNT(OFFSET(G526,1,0,Settings!$B$12,1))&lt;ROUNDUP(Settings!$B$12*Settings!$B$26,0),NA(),STDEV(OFFSET(G526,1,0,Settings!$B$12,1))*SQRT(Settings!$B$13)))</f>
        <v/>
      </c>
      <c r="O526" s="20">
        <f>IF(AND(ISNUMBER(E526),ISNUMBER(N526)),E526-N526,NA())</f>
        <v/>
      </c>
      <c r="P526" s="19">
        <f>IF(NOT(ISNUMBER($A526)),NA(),IF(OR($A526&lt;MIN(KW_TP!$A$2:$A$2501),$A526&gt;MAX(KW_TP!$A$2:$A$2501)),NA(),INDEX(KW_TP!$C$2:$C$2501,MATCH($A526,KW_TP!$A$2:$A$2501,1))))</f>
        <v/>
      </c>
      <c r="Q526" s="18">
        <f>IF(NOT(ISNUMBER($A526)),NA(),IFERROR(1*INDEX(BBG_Data!$J$2:$J$4000,MATCH($A526,BBG_Data!$I$2:$I$4000,0)),NA()))</f>
        <v/>
      </c>
      <c r="R526" s="18">
        <f>IF(NOT(ISNUMBER($A526)),NA(),IFERROR(1*INDEX(BBG_Data!$L$2:$L$4000,MATCH($A526,BBG_Data!$K$2:$K$4000,0)),NA()))</f>
        <v/>
      </c>
      <c r="S526" s="20">
        <f>IF(AND(ISNUMBER(B526),ISNUMBER(Q526),ISNUMBER(R526)),(B526-Q526-R526)*100,NA())</f>
        <v/>
      </c>
      <c r="T526" s="20">
        <f>IF(AND(ISNUMBER(B526),Settings!$B$17&gt;0),IF(ISNUMBER(INDEX($B:$B,Settings!$B$17)),(B526-INDEX($B:$B,Settings!$B$17))*100,NA()),NA())</f>
        <v/>
      </c>
      <c r="U526" s="20">
        <f>IF(AND(ISNUMBER(Q526),Settings!$B$17&gt;0),IF(ISNUMBER(INDEX($Q:$Q,Settings!$B$17)),(Q526-INDEX($Q:$Q,Settings!$B$17))*100,NA()),NA())</f>
        <v/>
      </c>
      <c r="V526" s="20">
        <f>IF(AND(ISNUMBER(R526),Settings!$B$17&gt;0),IF(ISNUMBER(INDEX($R:$R,Settings!$B$17)),(R526-INDEX($R:$R,Settings!$B$17))*100,NA()),NA())</f>
        <v/>
      </c>
      <c r="W526" s="20">
        <f>IF(AND(ISNUMBER(P526),Settings!$B$17&gt;0),IF(ISNUMBER(INDEX($P:$P,Settings!$B$17)),P526-INDEX($P:$P,Settings!$B$17),NA()),NA())</f>
        <v/>
      </c>
      <c r="X526" s="19">
        <f>IF(NOT(ISNUMBER($A526)),NA(),IF(OR($A526&lt;MIN(DKW_10Y!$A$2:$A$2918),$A526&gt;MAX(DKW_10Y!$A$2:$A$2918),Settings!$B$16&lt;MIN(DKW_10Y!$A$2:$A$2918)),NA(),(INDEX(DKW_10Y!$B$2:$B$2918,MATCH($A526,DKW_10Y!$A$2:$A$2918,1))-INDEX(DKW_10Y!$B$2:$B$2918,MATCH(Settings!$B$16,DKW_10Y!$A$2:$A$2918,1)))*100))</f>
        <v/>
      </c>
      <c r="Y526" s="19">
        <f>IF(NOT(ISNUMBER($A526)),NA(),IF(OR($A526&lt;MIN(DKW_10Y!$A$2:$A$2918),$A526&gt;MAX(DKW_10Y!$A$2:$A$2918),Settings!$B$16&lt;MIN(DKW_10Y!$A$2:$A$2918)),NA(),(INDEX(DKW_10Y!$C$2:$C$2918,MATCH($A526,DKW_10Y!$A$2:$A$2918,1))-INDEX(DKW_10Y!$C$2:$C$2918,MATCH(Settings!$B$16,DKW_10Y!$A$2:$A$2918,1)))*100))</f>
        <v/>
      </c>
      <c r="Z526" s="19">
        <f>IF(NOT(ISNUMBER($A526)),NA(),IF(OR($A526&lt;MIN(DKW_10Y!$A$2:$A$2918),$A526&gt;MAX(DKW_10Y!$A$2:$A$2918),Settings!$B$16&lt;MIN(DKW_10Y!$A$2:$A$2918)),NA(),(INDEX(DKW_10Y!$D$2:$D$2918,MATCH($A526,DKW_10Y!$A$2:$A$2918,1))-INDEX(DKW_10Y!$D$2:$D$2918,MATCH(Settings!$B$16,DKW_10Y!$A$2:$A$2918,1)))*100))</f>
        <v/>
      </c>
      <c r="AA526" s="19">
        <f>IF(NOT(ISNUMBER($A526)),NA(),IF(OR($A526&lt;MIN(DKW_10Y!$A$2:$A$2918),$A526&gt;MAX(DKW_10Y!$A$2:$A$2918),Settings!$B$16&lt;MIN(DKW_10Y!$A$2:$A$2918)),NA(),(INDEX(DKW_10Y!$E$2:$E$2918,MATCH($A526,DKW_10Y!$A$2:$A$2918,1))-INDEX(DKW_10Y!$E$2:$E$2918,MATCH(Settings!$B$16,DKW_10Y!$A$2:$A$2918,1)))*100))</f>
        <v/>
      </c>
      <c r="AB526" s="19">
        <f>IF(NOT(ISNUMBER($A526)),NA(),IF(OR($A526&lt;MIN(DKW_10Y!$A$2:$A$2918),$A526&gt;MAX(DKW_10Y!$A$2:$A$2918),Settings!$B$16&lt;MIN(DKW_10Y!$A$2:$A$2918)),NA(),(INDEX(DKW_10Y!$H$2:$H$2918,MATCH($A526,DKW_10Y!$A$2:$A$2918,1))-INDEX(DKW_10Y!$H$2:$H$2918,MATCH(Settings!$B$16,DKW_10Y!$A$2:$A$2918,1)))*100))</f>
        <v/>
      </c>
      <c r="AC526" s="18">
        <f>IF(NOT(ISNUMBER($A526)),NA(),IFERROR(1*INDEX(BBG_Data!$N$2:$N$4000,MATCH($A526,BBG_Data!$M$2:$M$4000,0)),NA()))</f>
        <v/>
      </c>
      <c r="AD526" s="18">
        <f>IF(NOT(ISNUMBER($A526)),NA(),IFERROR(1*INDEX(BBG_Data!$P$2:$P$4000,MATCH($A526,BBG_Data!$O$2:$O$4000,0)),NA()))</f>
        <v/>
      </c>
      <c r="AE526" s="18">
        <f>IF(NOT(ISNUMBER($A526)),NA(),IFERROR(1*INDEX(BBG_Data!$R$2:$R$4000,MATCH($A526,BBG_Data!$Q$2:$Q$4000,0)),NA()))</f>
        <v/>
      </c>
      <c r="AF526" s="20">
        <f>IF(AND(ISNUMBER(B526),ISNUMBER(AC526)),(B526-AC526)*100,NA())</f>
        <v/>
      </c>
      <c r="AG526" s="20">
        <f>IF(AND(ISNUMBER(AE526),ISNUMBER(AD526)),(AE526-AD526)*100,NA())</f>
        <v/>
      </c>
      <c r="AH526" s="19">
        <f>IF(NOT(ISNUMBER($A526)),NA(),IFERROR(INDEX(BBG_Data!$T$2:$T$4000,MATCH($A526,BBG_Data!$S$2:$S$4000,0))*Settings!$B$25,NA()))</f>
        <v/>
      </c>
      <c r="AI526" s="19">
        <f>IF(NOT(ISNUMBER($A526)),NA(),IFERROR(INDEX(BBG_Data!$V$2:$V$4000,MATCH($A526,BBG_Data!$U$2:$U$4000,0))*Settings!$B$25,NA()))</f>
        <v/>
      </c>
      <c r="AJ526" s="19">
        <f>IF(NOT(ISNUMBER($A526)),NA(),IFERROR(1*INDEX(BBG_Data!$X$2:$X$4000,MATCH($A526,BBG_Data!$W$2:$W$4000,0)),NA()))</f>
        <v/>
      </c>
      <c r="AK526" s="19">
        <f>IF(NOT(ISNUMBER($A526)),NA(),IFERROR(1*INDEX(BBG_Data!$Z$2:$Z$4000,MATCH($A526,BBG_Data!$Y$2:$Y$4000,0)),NA()))</f>
        <v/>
      </c>
    </row>
    <row r="527">
      <c r="A527" s="17">
        <f>IF(ISNUMBER(BBG_Data!A527),BBG_Data!A527,"")</f>
        <v/>
      </c>
      <c r="B527" s="18">
        <f>IF(AND(ISNUMBER($A527),ISNUMBER(BBG_Data!B527)),BBG_Data!B527,NA())</f>
        <v/>
      </c>
      <c r="C527" s="18">
        <f>IF(NOT(ISNUMBER($A527)),NA(),IFERROR(1*INDEX(BBG_Data!$D$2:$D$4000,MATCH($A527,BBG_Data!$C$2:$C$4000,0)),NA()))</f>
        <v/>
      </c>
      <c r="D527" s="19">
        <f>IF(NOT(ISNUMBER($A527)),NA(),IFERROR(1*INDEX(BBG_Data!$F$2:$F$4000,MATCH($A527,BBG_Data!$E$2:$E$4000,0)),NA()))</f>
        <v/>
      </c>
      <c r="E527" s="19">
        <f>IF(NOT(ISNUMBER($A527)),NA(),IFERROR(1*INDEX(BBG_Data!$H$2:$H$4000,MATCH($A527,BBG_Data!$G$2:$G$4000,0)),NA()))</f>
        <v/>
      </c>
      <c r="F527" s="20">
        <f>IF(AND(ISNUMBER(B527),ISNUMBER(B526)),IF(B527=B526,"",(B527-B526)*100),"")</f>
        <v/>
      </c>
      <c r="G527" s="20">
        <f>IF(AND(ISNUMBER(C527),ISNUMBER(C526)),IF(C527=C526,"",(C527-C526)*100),"")</f>
        <v/>
      </c>
      <c r="H527" s="20">
        <f>IF(OR(NOT(ISNUMBER($A527)),ROW()-2&lt;Settings!$B$11),NA(),IF(COUNT(OFFSET(F527,1-Settings!$B$11,0,Settings!$B$11,1))&lt;ROUNDUP(Settings!$B$11*Settings!$B$26,0),NA(),STDEV(OFFSET(F527,1-Settings!$B$11,0,Settings!$B$11,1))*SQRT(Settings!$B$13)))</f>
        <v/>
      </c>
      <c r="I527" s="20">
        <f>IF(OR(NOT(ISNUMBER($A527)),ROW()-2&lt;Settings!$B$12),NA(),IF(COUNT(OFFSET(F527,1-Settings!$B$12,0,Settings!$B$12,1))&lt;ROUNDUP(Settings!$B$12*Settings!$B$26,0),NA(),STDEV(OFFSET(F527,1-Settings!$B$12,0,Settings!$B$12,1))*SQRT(Settings!$B$13)))</f>
        <v/>
      </c>
      <c r="J527" s="20">
        <f>IF(OR(NOT(ISNUMBER($A527)),ROW()-2&lt;Settings!$B$11),NA(),IF(COUNT(OFFSET(G527,1-Settings!$B$11,0,Settings!$B$11,1))&lt;ROUNDUP(Settings!$B$11*Settings!$B$26,0),NA(),STDEV(OFFSET(G527,1-Settings!$B$11,0,Settings!$B$11,1))*SQRT(Settings!$B$13)))</f>
        <v/>
      </c>
      <c r="K527" s="20">
        <f>IF(OR(NOT(ISNUMBER($A527)),ROW()-2&lt;Settings!$B$12),NA(),IF(COUNT(OFFSET(G527,1-Settings!$B$12,0,Settings!$B$12,1))&lt;ROUNDUP(Settings!$B$12*Settings!$B$26,0),NA(),STDEV(OFFSET(G527,1-Settings!$B$12,0,Settings!$B$12,1))*SQRT(Settings!$B$13)))</f>
        <v/>
      </c>
      <c r="L527" s="20">
        <f>IF(AND(ISNUMBER(D527),ISNUMBER(H527)),D527-H527,NA())</f>
        <v/>
      </c>
      <c r="M527" s="20">
        <f>IF(AND(ISNUMBER(E527),ISNUMBER(K527)),E527-K527,NA())</f>
        <v/>
      </c>
      <c r="N527" s="20">
        <f>IF(NOT(ISNUMBER($A527)),NA(),IF(COUNT(OFFSET(G527,1,0,Settings!$B$12,1))&lt;ROUNDUP(Settings!$B$12*Settings!$B$26,0),NA(),STDEV(OFFSET(G527,1,0,Settings!$B$12,1))*SQRT(Settings!$B$13)))</f>
        <v/>
      </c>
      <c r="O527" s="20">
        <f>IF(AND(ISNUMBER(E527),ISNUMBER(N527)),E527-N527,NA())</f>
        <v/>
      </c>
      <c r="P527" s="19">
        <f>IF(NOT(ISNUMBER($A527)),NA(),IF(OR($A527&lt;MIN(KW_TP!$A$2:$A$2501),$A527&gt;MAX(KW_TP!$A$2:$A$2501)),NA(),INDEX(KW_TP!$C$2:$C$2501,MATCH($A527,KW_TP!$A$2:$A$2501,1))))</f>
        <v/>
      </c>
      <c r="Q527" s="18">
        <f>IF(NOT(ISNUMBER($A527)),NA(),IFERROR(1*INDEX(BBG_Data!$J$2:$J$4000,MATCH($A527,BBG_Data!$I$2:$I$4000,0)),NA()))</f>
        <v/>
      </c>
      <c r="R527" s="18">
        <f>IF(NOT(ISNUMBER($A527)),NA(),IFERROR(1*INDEX(BBG_Data!$L$2:$L$4000,MATCH($A527,BBG_Data!$K$2:$K$4000,0)),NA()))</f>
        <v/>
      </c>
      <c r="S527" s="20">
        <f>IF(AND(ISNUMBER(B527),ISNUMBER(Q527),ISNUMBER(R527)),(B527-Q527-R527)*100,NA())</f>
        <v/>
      </c>
      <c r="T527" s="20">
        <f>IF(AND(ISNUMBER(B527),Settings!$B$17&gt;0),IF(ISNUMBER(INDEX($B:$B,Settings!$B$17)),(B527-INDEX($B:$B,Settings!$B$17))*100,NA()),NA())</f>
        <v/>
      </c>
      <c r="U527" s="20">
        <f>IF(AND(ISNUMBER(Q527),Settings!$B$17&gt;0),IF(ISNUMBER(INDEX($Q:$Q,Settings!$B$17)),(Q527-INDEX($Q:$Q,Settings!$B$17))*100,NA()),NA())</f>
        <v/>
      </c>
      <c r="V527" s="20">
        <f>IF(AND(ISNUMBER(R527),Settings!$B$17&gt;0),IF(ISNUMBER(INDEX($R:$R,Settings!$B$17)),(R527-INDEX($R:$R,Settings!$B$17))*100,NA()),NA())</f>
        <v/>
      </c>
      <c r="W527" s="20">
        <f>IF(AND(ISNUMBER(P527),Settings!$B$17&gt;0),IF(ISNUMBER(INDEX($P:$P,Settings!$B$17)),P527-INDEX($P:$P,Settings!$B$17),NA()),NA())</f>
        <v/>
      </c>
      <c r="X527" s="19">
        <f>IF(NOT(ISNUMBER($A527)),NA(),IF(OR($A527&lt;MIN(DKW_10Y!$A$2:$A$2918),$A527&gt;MAX(DKW_10Y!$A$2:$A$2918),Settings!$B$16&lt;MIN(DKW_10Y!$A$2:$A$2918)),NA(),(INDEX(DKW_10Y!$B$2:$B$2918,MATCH($A527,DKW_10Y!$A$2:$A$2918,1))-INDEX(DKW_10Y!$B$2:$B$2918,MATCH(Settings!$B$16,DKW_10Y!$A$2:$A$2918,1)))*100))</f>
        <v/>
      </c>
      <c r="Y527" s="19">
        <f>IF(NOT(ISNUMBER($A527)),NA(),IF(OR($A527&lt;MIN(DKW_10Y!$A$2:$A$2918),$A527&gt;MAX(DKW_10Y!$A$2:$A$2918),Settings!$B$16&lt;MIN(DKW_10Y!$A$2:$A$2918)),NA(),(INDEX(DKW_10Y!$C$2:$C$2918,MATCH($A527,DKW_10Y!$A$2:$A$2918,1))-INDEX(DKW_10Y!$C$2:$C$2918,MATCH(Settings!$B$16,DKW_10Y!$A$2:$A$2918,1)))*100))</f>
        <v/>
      </c>
      <c r="Z527" s="19">
        <f>IF(NOT(ISNUMBER($A527)),NA(),IF(OR($A527&lt;MIN(DKW_10Y!$A$2:$A$2918),$A527&gt;MAX(DKW_10Y!$A$2:$A$2918),Settings!$B$16&lt;MIN(DKW_10Y!$A$2:$A$2918)),NA(),(INDEX(DKW_10Y!$D$2:$D$2918,MATCH($A527,DKW_10Y!$A$2:$A$2918,1))-INDEX(DKW_10Y!$D$2:$D$2918,MATCH(Settings!$B$16,DKW_10Y!$A$2:$A$2918,1)))*100))</f>
        <v/>
      </c>
      <c r="AA527" s="19">
        <f>IF(NOT(ISNUMBER($A527)),NA(),IF(OR($A527&lt;MIN(DKW_10Y!$A$2:$A$2918),$A527&gt;MAX(DKW_10Y!$A$2:$A$2918),Settings!$B$16&lt;MIN(DKW_10Y!$A$2:$A$2918)),NA(),(INDEX(DKW_10Y!$E$2:$E$2918,MATCH($A527,DKW_10Y!$A$2:$A$2918,1))-INDEX(DKW_10Y!$E$2:$E$2918,MATCH(Settings!$B$16,DKW_10Y!$A$2:$A$2918,1)))*100))</f>
        <v/>
      </c>
      <c r="AB527" s="19">
        <f>IF(NOT(ISNUMBER($A527)),NA(),IF(OR($A527&lt;MIN(DKW_10Y!$A$2:$A$2918),$A527&gt;MAX(DKW_10Y!$A$2:$A$2918),Settings!$B$16&lt;MIN(DKW_10Y!$A$2:$A$2918)),NA(),(INDEX(DKW_10Y!$H$2:$H$2918,MATCH($A527,DKW_10Y!$A$2:$A$2918,1))-INDEX(DKW_10Y!$H$2:$H$2918,MATCH(Settings!$B$16,DKW_10Y!$A$2:$A$2918,1)))*100))</f>
        <v/>
      </c>
      <c r="AC527" s="18">
        <f>IF(NOT(ISNUMBER($A527)),NA(),IFERROR(1*INDEX(BBG_Data!$N$2:$N$4000,MATCH($A527,BBG_Data!$M$2:$M$4000,0)),NA()))</f>
        <v/>
      </c>
      <c r="AD527" s="18">
        <f>IF(NOT(ISNUMBER($A527)),NA(),IFERROR(1*INDEX(BBG_Data!$P$2:$P$4000,MATCH($A527,BBG_Data!$O$2:$O$4000,0)),NA()))</f>
        <v/>
      </c>
      <c r="AE527" s="18">
        <f>IF(NOT(ISNUMBER($A527)),NA(),IFERROR(1*INDEX(BBG_Data!$R$2:$R$4000,MATCH($A527,BBG_Data!$Q$2:$Q$4000,0)),NA()))</f>
        <v/>
      </c>
      <c r="AF527" s="20">
        <f>IF(AND(ISNUMBER(B527),ISNUMBER(AC527)),(B527-AC527)*100,NA())</f>
        <v/>
      </c>
      <c r="AG527" s="20">
        <f>IF(AND(ISNUMBER(AE527),ISNUMBER(AD527)),(AE527-AD527)*100,NA())</f>
        <v/>
      </c>
      <c r="AH527" s="19">
        <f>IF(NOT(ISNUMBER($A527)),NA(),IFERROR(INDEX(BBG_Data!$T$2:$T$4000,MATCH($A527,BBG_Data!$S$2:$S$4000,0))*Settings!$B$25,NA()))</f>
        <v/>
      </c>
      <c r="AI527" s="19">
        <f>IF(NOT(ISNUMBER($A527)),NA(),IFERROR(INDEX(BBG_Data!$V$2:$V$4000,MATCH($A527,BBG_Data!$U$2:$U$4000,0))*Settings!$B$25,NA()))</f>
        <v/>
      </c>
      <c r="AJ527" s="19">
        <f>IF(NOT(ISNUMBER($A527)),NA(),IFERROR(1*INDEX(BBG_Data!$X$2:$X$4000,MATCH($A527,BBG_Data!$W$2:$W$4000,0)),NA()))</f>
        <v/>
      </c>
      <c r="AK527" s="19">
        <f>IF(NOT(ISNUMBER($A527)),NA(),IFERROR(1*INDEX(BBG_Data!$Z$2:$Z$4000,MATCH($A527,BBG_Data!$Y$2:$Y$4000,0)),NA()))</f>
        <v/>
      </c>
    </row>
    <row r="528">
      <c r="A528" s="17">
        <f>IF(ISNUMBER(BBG_Data!A528),BBG_Data!A528,"")</f>
        <v/>
      </c>
      <c r="B528" s="18">
        <f>IF(AND(ISNUMBER($A528),ISNUMBER(BBG_Data!B528)),BBG_Data!B528,NA())</f>
        <v/>
      </c>
      <c r="C528" s="18">
        <f>IF(NOT(ISNUMBER($A528)),NA(),IFERROR(1*INDEX(BBG_Data!$D$2:$D$4000,MATCH($A528,BBG_Data!$C$2:$C$4000,0)),NA()))</f>
        <v/>
      </c>
      <c r="D528" s="19">
        <f>IF(NOT(ISNUMBER($A528)),NA(),IFERROR(1*INDEX(BBG_Data!$F$2:$F$4000,MATCH($A528,BBG_Data!$E$2:$E$4000,0)),NA()))</f>
        <v/>
      </c>
      <c r="E528" s="19">
        <f>IF(NOT(ISNUMBER($A528)),NA(),IFERROR(1*INDEX(BBG_Data!$H$2:$H$4000,MATCH($A528,BBG_Data!$G$2:$G$4000,0)),NA()))</f>
        <v/>
      </c>
      <c r="F528" s="20">
        <f>IF(AND(ISNUMBER(B528),ISNUMBER(B527)),IF(B528=B527,"",(B528-B527)*100),"")</f>
        <v/>
      </c>
      <c r="G528" s="20">
        <f>IF(AND(ISNUMBER(C528),ISNUMBER(C527)),IF(C528=C527,"",(C528-C527)*100),"")</f>
        <v/>
      </c>
      <c r="H528" s="20">
        <f>IF(OR(NOT(ISNUMBER($A528)),ROW()-2&lt;Settings!$B$11),NA(),IF(COUNT(OFFSET(F528,1-Settings!$B$11,0,Settings!$B$11,1))&lt;ROUNDUP(Settings!$B$11*Settings!$B$26,0),NA(),STDEV(OFFSET(F528,1-Settings!$B$11,0,Settings!$B$11,1))*SQRT(Settings!$B$13)))</f>
        <v/>
      </c>
      <c r="I528" s="20">
        <f>IF(OR(NOT(ISNUMBER($A528)),ROW()-2&lt;Settings!$B$12),NA(),IF(COUNT(OFFSET(F528,1-Settings!$B$12,0,Settings!$B$12,1))&lt;ROUNDUP(Settings!$B$12*Settings!$B$26,0),NA(),STDEV(OFFSET(F528,1-Settings!$B$12,0,Settings!$B$12,1))*SQRT(Settings!$B$13)))</f>
        <v/>
      </c>
      <c r="J528" s="20">
        <f>IF(OR(NOT(ISNUMBER($A528)),ROW()-2&lt;Settings!$B$11),NA(),IF(COUNT(OFFSET(G528,1-Settings!$B$11,0,Settings!$B$11,1))&lt;ROUNDUP(Settings!$B$11*Settings!$B$26,0),NA(),STDEV(OFFSET(G528,1-Settings!$B$11,0,Settings!$B$11,1))*SQRT(Settings!$B$13)))</f>
        <v/>
      </c>
      <c r="K528" s="20">
        <f>IF(OR(NOT(ISNUMBER($A528)),ROW()-2&lt;Settings!$B$12),NA(),IF(COUNT(OFFSET(G528,1-Settings!$B$12,0,Settings!$B$12,1))&lt;ROUNDUP(Settings!$B$12*Settings!$B$26,0),NA(),STDEV(OFFSET(G528,1-Settings!$B$12,0,Settings!$B$12,1))*SQRT(Settings!$B$13)))</f>
        <v/>
      </c>
      <c r="L528" s="20">
        <f>IF(AND(ISNUMBER(D528),ISNUMBER(H528)),D528-H528,NA())</f>
        <v/>
      </c>
      <c r="M528" s="20">
        <f>IF(AND(ISNUMBER(E528),ISNUMBER(K528)),E528-K528,NA())</f>
        <v/>
      </c>
      <c r="N528" s="20">
        <f>IF(NOT(ISNUMBER($A528)),NA(),IF(COUNT(OFFSET(G528,1,0,Settings!$B$12,1))&lt;ROUNDUP(Settings!$B$12*Settings!$B$26,0),NA(),STDEV(OFFSET(G528,1,0,Settings!$B$12,1))*SQRT(Settings!$B$13)))</f>
        <v/>
      </c>
      <c r="O528" s="20">
        <f>IF(AND(ISNUMBER(E528),ISNUMBER(N528)),E528-N528,NA())</f>
        <v/>
      </c>
      <c r="P528" s="19">
        <f>IF(NOT(ISNUMBER($A528)),NA(),IF(OR($A528&lt;MIN(KW_TP!$A$2:$A$2501),$A528&gt;MAX(KW_TP!$A$2:$A$2501)),NA(),INDEX(KW_TP!$C$2:$C$2501,MATCH($A528,KW_TP!$A$2:$A$2501,1))))</f>
        <v/>
      </c>
      <c r="Q528" s="18">
        <f>IF(NOT(ISNUMBER($A528)),NA(),IFERROR(1*INDEX(BBG_Data!$J$2:$J$4000,MATCH($A528,BBG_Data!$I$2:$I$4000,0)),NA()))</f>
        <v/>
      </c>
      <c r="R528" s="18">
        <f>IF(NOT(ISNUMBER($A528)),NA(),IFERROR(1*INDEX(BBG_Data!$L$2:$L$4000,MATCH($A528,BBG_Data!$K$2:$K$4000,0)),NA()))</f>
        <v/>
      </c>
      <c r="S528" s="20">
        <f>IF(AND(ISNUMBER(B528),ISNUMBER(Q528),ISNUMBER(R528)),(B528-Q528-R528)*100,NA())</f>
        <v/>
      </c>
      <c r="T528" s="20">
        <f>IF(AND(ISNUMBER(B528),Settings!$B$17&gt;0),IF(ISNUMBER(INDEX($B:$B,Settings!$B$17)),(B528-INDEX($B:$B,Settings!$B$17))*100,NA()),NA())</f>
        <v/>
      </c>
      <c r="U528" s="20">
        <f>IF(AND(ISNUMBER(Q528),Settings!$B$17&gt;0),IF(ISNUMBER(INDEX($Q:$Q,Settings!$B$17)),(Q528-INDEX($Q:$Q,Settings!$B$17))*100,NA()),NA())</f>
        <v/>
      </c>
      <c r="V528" s="20">
        <f>IF(AND(ISNUMBER(R528),Settings!$B$17&gt;0),IF(ISNUMBER(INDEX($R:$R,Settings!$B$17)),(R528-INDEX($R:$R,Settings!$B$17))*100,NA()),NA())</f>
        <v/>
      </c>
      <c r="W528" s="20">
        <f>IF(AND(ISNUMBER(P528),Settings!$B$17&gt;0),IF(ISNUMBER(INDEX($P:$P,Settings!$B$17)),P528-INDEX($P:$P,Settings!$B$17),NA()),NA())</f>
        <v/>
      </c>
      <c r="X528" s="19">
        <f>IF(NOT(ISNUMBER($A528)),NA(),IF(OR($A528&lt;MIN(DKW_10Y!$A$2:$A$2918),$A528&gt;MAX(DKW_10Y!$A$2:$A$2918),Settings!$B$16&lt;MIN(DKW_10Y!$A$2:$A$2918)),NA(),(INDEX(DKW_10Y!$B$2:$B$2918,MATCH($A528,DKW_10Y!$A$2:$A$2918,1))-INDEX(DKW_10Y!$B$2:$B$2918,MATCH(Settings!$B$16,DKW_10Y!$A$2:$A$2918,1)))*100))</f>
        <v/>
      </c>
      <c r="Y528" s="19">
        <f>IF(NOT(ISNUMBER($A528)),NA(),IF(OR($A528&lt;MIN(DKW_10Y!$A$2:$A$2918),$A528&gt;MAX(DKW_10Y!$A$2:$A$2918),Settings!$B$16&lt;MIN(DKW_10Y!$A$2:$A$2918)),NA(),(INDEX(DKW_10Y!$C$2:$C$2918,MATCH($A528,DKW_10Y!$A$2:$A$2918,1))-INDEX(DKW_10Y!$C$2:$C$2918,MATCH(Settings!$B$16,DKW_10Y!$A$2:$A$2918,1)))*100))</f>
        <v/>
      </c>
      <c r="Z528" s="19">
        <f>IF(NOT(ISNUMBER($A528)),NA(),IF(OR($A528&lt;MIN(DKW_10Y!$A$2:$A$2918),$A528&gt;MAX(DKW_10Y!$A$2:$A$2918),Settings!$B$16&lt;MIN(DKW_10Y!$A$2:$A$2918)),NA(),(INDEX(DKW_10Y!$D$2:$D$2918,MATCH($A528,DKW_10Y!$A$2:$A$2918,1))-INDEX(DKW_10Y!$D$2:$D$2918,MATCH(Settings!$B$16,DKW_10Y!$A$2:$A$2918,1)))*100))</f>
        <v/>
      </c>
      <c r="AA528" s="19">
        <f>IF(NOT(ISNUMBER($A528)),NA(),IF(OR($A528&lt;MIN(DKW_10Y!$A$2:$A$2918),$A528&gt;MAX(DKW_10Y!$A$2:$A$2918),Settings!$B$16&lt;MIN(DKW_10Y!$A$2:$A$2918)),NA(),(INDEX(DKW_10Y!$E$2:$E$2918,MATCH($A528,DKW_10Y!$A$2:$A$2918,1))-INDEX(DKW_10Y!$E$2:$E$2918,MATCH(Settings!$B$16,DKW_10Y!$A$2:$A$2918,1)))*100))</f>
        <v/>
      </c>
      <c r="AB528" s="19">
        <f>IF(NOT(ISNUMBER($A528)),NA(),IF(OR($A528&lt;MIN(DKW_10Y!$A$2:$A$2918),$A528&gt;MAX(DKW_10Y!$A$2:$A$2918),Settings!$B$16&lt;MIN(DKW_10Y!$A$2:$A$2918)),NA(),(INDEX(DKW_10Y!$H$2:$H$2918,MATCH($A528,DKW_10Y!$A$2:$A$2918,1))-INDEX(DKW_10Y!$H$2:$H$2918,MATCH(Settings!$B$16,DKW_10Y!$A$2:$A$2918,1)))*100))</f>
        <v/>
      </c>
      <c r="AC528" s="18">
        <f>IF(NOT(ISNUMBER($A528)),NA(),IFERROR(1*INDEX(BBG_Data!$N$2:$N$4000,MATCH($A528,BBG_Data!$M$2:$M$4000,0)),NA()))</f>
        <v/>
      </c>
      <c r="AD528" s="18">
        <f>IF(NOT(ISNUMBER($A528)),NA(),IFERROR(1*INDEX(BBG_Data!$P$2:$P$4000,MATCH($A528,BBG_Data!$O$2:$O$4000,0)),NA()))</f>
        <v/>
      </c>
      <c r="AE528" s="18">
        <f>IF(NOT(ISNUMBER($A528)),NA(),IFERROR(1*INDEX(BBG_Data!$R$2:$R$4000,MATCH($A528,BBG_Data!$Q$2:$Q$4000,0)),NA()))</f>
        <v/>
      </c>
      <c r="AF528" s="20">
        <f>IF(AND(ISNUMBER(B528),ISNUMBER(AC528)),(B528-AC528)*100,NA())</f>
        <v/>
      </c>
      <c r="AG528" s="20">
        <f>IF(AND(ISNUMBER(AE528),ISNUMBER(AD528)),(AE528-AD528)*100,NA())</f>
        <v/>
      </c>
      <c r="AH528" s="19">
        <f>IF(NOT(ISNUMBER($A528)),NA(),IFERROR(INDEX(BBG_Data!$T$2:$T$4000,MATCH($A528,BBG_Data!$S$2:$S$4000,0))*Settings!$B$25,NA()))</f>
        <v/>
      </c>
      <c r="AI528" s="19">
        <f>IF(NOT(ISNUMBER($A528)),NA(),IFERROR(INDEX(BBG_Data!$V$2:$V$4000,MATCH($A528,BBG_Data!$U$2:$U$4000,0))*Settings!$B$25,NA()))</f>
        <v/>
      </c>
      <c r="AJ528" s="19">
        <f>IF(NOT(ISNUMBER($A528)),NA(),IFERROR(1*INDEX(BBG_Data!$X$2:$X$4000,MATCH($A528,BBG_Data!$W$2:$W$4000,0)),NA()))</f>
        <v/>
      </c>
      <c r="AK528" s="19">
        <f>IF(NOT(ISNUMBER($A528)),NA(),IFERROR(1*INDEX(BBG_Data!$Z$2:$Z$4000,MATCH($A528,BBG_Data!$Y$2:$Y$4000,0)),NA()))</f>
        <v/>
      </c>
    </row>
    <row r="529">
      <c r="A529" s="17">
        <f>IF(ISNUMBER(BBG_Data!A529),BBG_Data!A529,"")</f>
        <v/>
      </c>
      <c r="B529" s="18">
        <f>IF(AND(ISNUMBER($A529),ISNUMBER(BBG_Data!B529)),BBG_Data!B529,NA())</f>
        <v/>
      </c>
      <c r="C529" s="18">
        <f>IF(NOT(ISNUMBER($A529)),NA(),IFERROR(1*INDEX(BBG_Data!$D$2:$D$4000,MATCH($A529,BBG_Data!$C$2:$C$4000,0)),NA()))</f>
        <v/>
      </c>
      <c r="D529" s="19">
        <f>IF(NOT(ISNUMBER($A529)),NA(),IFERROR(1*INDEX(BBG_Data!$F$2:$F$4000,MATCH($A529,BBG_Data!$E$2:$E$4000,0)),NA()))</f>
        <v/>
      </c>
      <c r="E529" s="19">
        <f>IF(NOT(ISNUMBER($A529)),NA(),IFERROR(1*INDEX(BBG_Data!$H$2:$H$4000,MATCH($A529,BBG_Data!$G$2:$G$4000,0)),NA()))</f>
        <v/>
      </c>
      <c r="F529" s="20">
        <f>IF(AND(ISNUMBER(B529),ISNUMBER(B528)),IF(B529=B528,"",(B529-B528)*100),"")</f>
        <v/>
      </c>
      <c r="G529" s="20">
        <f>IF(AND(ISNUMBER(C529),ISNUMBER(C528)),IF(C529=C528,"",(C529-C528)*100),"")</f>
        <v/>
      </c>
      <c r="H529" s="20">
        <f>IF(OR(NOT(ISNUMBER($A529)),ROW()-2&lt;Settings!$B$11),NA(),IF(COUNT(OFFSET(F529,1-Settings!$B$11,0,Settings!$B$11,1))&lt;ROUNDUP(Settings!$B$11*Settings!$B$26,0),NA(),STDEV(OFFSET(F529,1-Settings!$B$11,0,Settings!$B$11,1))*SQRT(Settings!$B$13)))</f>
        <v/>
      </c>
      <c r="I529" s="20">
        <f>IF(OR(NOT(ISNUMBER($A529)),ROW()-2&lt;Settings!$B$12),NA(),IF(COUNT(OFFSET(F529,1-Settings!$B$12,0,Settings!$B$12,1))&lt;ROUNDUP(Settings!$B$12*Settings!$B$26,0),NA(),STDEV(OFFSET(F529,1-Settings!$B$12,0,Settings!$B$12,1))*SQRT(Settings!$B$13)))</f>
        <v/>
      </c>
      <c r="J529" s="20">
        <f>IF(OR(NOT(ISNUMBER($A529)),ROW()-2&lt;Settings!$B$11),NA(),IF(COUNT(OFFSET(G529,1-Settings!$B$11,0,Settings!$B$11,1))&lt;ROUNDUP(Settings!$B$11*Settings!$B$26,0),NA(),STDEV(OFFSET(G529,1-Settings!$B$11,0,Settings!$B$11,1))*SQRT(Settings!$B$13)))</f>
        <v/>
      </c>
      <c r="K529" s="20">
        <f>IF(OR(NOT(ISNUMBER($A529)),ROW()-2&lt;Settings!$B$12),NA(),IF(COUNT(OFFSET(G529,1-Settings!$B$12,0,Settings!$B$12,1))&lt;ROUNDUP(Settings!$B$12*Settings!$B$26,0),NA(),STDEV(OFFSET(G529,1-Settings!$B$12,0,Settings!$B$12,1))*SQRT(Settings!$B$13)))</f>
        <v/>
      </c>
      <c r="L529" s="20">
        <f>IF(AND(ISNUMBER(D529),ISNUMBER(H529)),D529-H529,NA())</f>
        <v/>
      </c>
      <c r="M529" s="20">
        <f>IF(AND(ISNUMBER(E529),ISNUMBER(K529)),E529-K529,NA())</f>
        <v/>
      </c>
      <c r="N529" s="20">
        <f>IF(NOT(ISNUMBER($A529)),NA(),IF(COUNT(OFFSET(G529,1,0,Settings!$B$12,1))&lt;ROUNDUP(Settings!$B$12*Settings!$B$26,0),NA(),STDEV(OFFSET(G529,1,0,Settings!$B$12,1))*SQRT(Settings!$B$13)))</f>
        <v/>
      </c>
      <c r="O529" s="20">
        <f>IF(AND(ISNUMBER(E529),ISNUMBER(N529)),E529-N529,NA())</f>
        <v/>
      </c>
      <c r="P529" s="19">
        <f>IF(NOT(ISNUMBER($A529)),NA(),IF(OR($A529&lt;MIN(KW_TP!$A$2:$A$2501),$A529&gt;MAX(KW_TP!$A$2:$A$2501)),NA(),INDEX(KW_TP!$C$2:$C$2501,MATCH($A529,KW_TP!$A$2:$A$2501,1))))</f>
        <v/>
      </c>
      <c r="Q529" s="18">
        <f>IF(NOT(ISNUMBER($A529)),NA(),IFERROR(1*INDEX(BBG_Data!$J$2:$J$4000,MATCH($A529,BBG_Data!$I$2:$I$4000,0)),NA()))</f>
        <v/>
      </c>
      <c r="R529" s="18">
        <f>IF(NOT(ISNUMBER($A529)),NA(),IFERROR(1*INDEX(BBG_Data!$L$2:$L$4000,MATCH($A529,BBG_Data!$K$2:$K$4000,0)),NA()))</f>
        <v/>
      </c>
      <c r="S529" s="20">
        <f>IF(AND(ISNUMBER(B529),ISNUMBER(Q529),ISNUMBER(R529)),(B529-Q529-R529)*100,NA())</f>
        <v/>
      </c>
      <c r="T529" s="20">
        <f>IF(AND(ISNUMBER(B529),Settings!$B$17&gt;0),IF(ISNUMBER(INDEX($B:$B,Settings!$B$17)),(B529-INDEX($B:$B,Settings!$B$17))*100,NA()),NA())</f>
        <v/>
      </c>
      <c r="U529" s="20">
        <f>IF(AND(ISNUMBER(Q529),Settings!$B$17&gt;0),IF(ISNUMBER(INDEX($Q:$Q,Settings!$B$17)),(Q529-INDEX($Q:$Q,Settings!$B$17))*100,NA()),NA())</f>
        <v/>
      </c>
      <c r="V529" s="20">
        <f>IF(AND(ISNUMBER(R529),Settings!$B$17&gt;0),IF(ISNUMBER(INDEX($R:$R,Settings!$B$17)),(R529-INDEX($R:$R,Settings!$B$17))*100,NA()),NA())</f>
        <v/>
      </c>
      <c r="W529" s="20">
        <f>IF(AND(ISNUMBER(P529),Settings!$B$17&gt;0),IF(ISNUMBER(INDEX($P:$P,Settings!$B$17)),P529-INDEX($P:$P,Settings!$B$17),NA()),NA())</f>
        <v/>
      </c>
      <c r="X529" s="19">
        <f>IF(NOT(ISNUMBER($A529)),NA(),IF(OR($A529&lt;MIN(DKW_10Y!$A$2:$A$2918),$A529&gt;MAX(DKW_10Y!$A$2:$A$2918),Settings!$B$16&lt;MIN(DKW_10Y!$A$2:$A$2918)),NA(),(INDEX(DKW_10Y!$B$2:$B$2918,MATCH($A529,DKW_10Y!$A$2:$A$2918,1))-INDEX(DKW_10Y!$B$2:$B$2918,MATCH(Settings!$B$16,DKW_10Y!$A$2:$A$2918,1)))*100))</f>
        <v/>
      </c>
      <c r="Y529" s="19">
        <f>IF(NOT(ISNUMBER($A529)),NA(),IF(OR($A529&lt;MIN(DKW_10Y!$A$2:$A$2918),$A529&gt;MAX(DKW_10Y!$A$2:$A$2918),Settings!$B$16&lt;MIN(DKW_10Y!$A$2:$A$2918)),NA(),(INDEX(DKW_10Y!$C$2:$C$2918,MATCH($A529,DKW_10Y!$A$2:$A$2918,1))-INDEX(DKW_10Y!$C$2:$C$2918,MATCH(Settings!$B$16,DKW_10Y!$A$2:$A$2918,1)))*100))</f>
        <v/>
      </c>
      <c r="Z529" s="19">
        <f>IF(NOT(ISNUMBER($A529)),NA(),IF(OR($A529&lt;MIN(DKW_10Y!$A$2:$A$2918),$A529&gt;MAX(DKW_10Y!$A$2:$A$2918),Settings!$B$16&lt;MIN(DKW_10Y!$A$2:$A$2918)),NA(),(INDEX(DKW_10Y!$D$2:$D$2918,MATCH($A529,DKW_10Y!$A$2:$A$2918,1))-INDEX(DKW_10Y!$D$2:$D$2918,MATCH(Settings!$B$16,DKW_10Y!$A$2:$A$2918,1)))*100))</f>
        <v/>
      </c>
      <c r="AA529" s="19">
        <f>IF(NOT(ISNUMBER($A529)),NA(),IF(OR($A529&lt;MIN(DKW_10Y!$A$2:$A$2918),$A529&gt;MAX(DKW_10Y!$A$2:$A$2918),Settings!$B$16&lt;MIN(DKW_10Y!$A$2:$A$2918)),NA(),(INDEX(DKW_10Y!$E$2:$E$2918,MATCH($A529,DKW_10Y!$A$2:$A$2918,1))-INDEX(DKW_10Y!$E$2:$E$2918,MATCH(Settings!$B$16,DKW_10Y!$A$2:$A$2918,1)))*100))</f>
        <v/>
      </c>
      <c r="AB529" s="19">
        <f>IF(NOT(ISNUMBER($A529)),NA(),IF(OR($A529&lt;MIN(DKW_10Y!$A$2:$A$2918),$A529&gt;MAX(DKW_10Y!$A$2:$A$2918),Settings!$B$16&lt;MIN(DKW_10Y!$A$2:$A$2918)),NA(),(INDEX(DKW_10Y!$H$2:$H$2918,MATCH($A529,DKW_10Y!$A$2:$A$2918,1))-INDEX(DKW_10Y!$H$2:$H$2918,MATCH(Settings!$B$16,DKW_10Y!$A$2:$A$2918,1)))*100))</f>
        <v/>
      </c>
      <c r="AC529" s="18">
        <f>IF(NOT(ISNUMBER($A529)),NA(),IFERROR(1*INDEX(BBG_Data!$N$2:$N$4000,MATCH($A529,BBG_Data!$M$2:$M$4000,0)),NA()))</f>
        <v/>
      </c>
      <c r="AD529" s="18">
        <f>IF(NOT(ISNUMBER($A529)),NA(),IFERROR(1*INDEX(BBG_Data!$P$2:$P$4000,MATCH($A529,BBG_Data!$O$2:$O$4000,0)),NA()))</f>
        <v/>
      </c>
      <c r="AE529" s="18">
        <f>IF(NOT(ISNUMBER($A529)),NA(),IFERROR(1*INDEX(BBG_Data!$R$2:$R$4000,MATCH($A529,BBG_Data!$Q$2:$Q$4000,0)),NA()))</f>
        <v/>
      </c>
      <c r="AF529" s="20">
        <f>IF(AND(ISNUMBER(B529),ISNUMBER(AC529)),(B529-AC529)*100,NA())</f>
        <v/>
      </c>
      <c r="AG529" s="20">
        <f>IF(AND(ISNUMBER(AE529),ISNUMBER(AD529)),(AE529-AD529)*100,NA())</f>
        <v/>
      </c>
      <c r="AH529" s="19">
        <f>IF(NOT(ISNUMBER($A529)),NA(),IFERROR(INDEX(BBG_Data!$T$2:$T$4000,MATCH($A529,BBG_Data!$S$2:$S$4000,0))*Settings!$B$25,NA()))</f>
        <v/>
      </c>
      <c r="AI529" s="19">
        <f>IF(NOT(ISNUMBER($A529)),NA(),IFERROR(INDEX(BBG_Data!$V$2:$V$4000,MATCH($A529,BBG_Data!$U$2:$U$4000,0))*Settings!$B$25,NA()))</f>
        <v/>
      </c>
      <c r="AJ529" s="19">
        <f>IF(NOT(ISNUMBER($A529)),NA(),IFERROR(1*INDEX(BBG_Data!$X$2:$X$4000,MATCH($A529,BBG_Data!$W$2:$W$4000,0)),NA()))</f>
        <v/>
      </c>
      <c r="AK529" s="19">
        <f>IF(NOT(ISNUMBER($A529)),NA(),IFERROR(1*INDEX(BBG_Data!$Z$2:$Z$4000,MATCH($A529,BBG_Data!$Y$2:$Y$4000,0)),NA()))</f>
        <v/>
      </c>
    </row>
    <row r="530">
      <c r="A530" s="17">
        <f>IF(ISNUMBER(BBG_Data!A530),BBG_Data!A530,"")</f>
        <v/>
      </c>
      <c r="B530" s="18">
        <f>IF(AND(ISNUMBER($A530),ISNUMBER(BBG_Data!B530)),BBG_Data!B530,NA())</f>
        <v/>
      </c>
      <c r="C530" s="18">
        <f>IF(NOT(ISNUMBER($A530)),NA(),IFERROR(1*INDEX(BBG_Data!$D$2:$D$4000,MATCH($A530,BBG_Data!$C$2:$C$4000,0)),NA()))</f>
        <v/>
      </c>
      <c r="D530" s="19">
        <f>IF(NOT(ISNUMBER($A530)),NA(),IFERROR(1*INDEX(BBG_Data!$F$2:$F$4000,MATCH($A530,BBG_Data!$E$2:$E$4000,0)),NA()))</f>
        <v/>
      </c>
      <c r="E530" s="19">
        <f>IF(NOT(ISNUMBER($A530)),NA(),IFERROR(1*INDEX(BBG_Data!$H$2:$H$4000,MATCH($A530,BBG_Data!$G$2:$G$4000,0)),NA()))</f>
        <v/>
      </c>
      <c r="F530" s="20">
        <f>IF(AND(ISNUMBER(B530),ISNUMBER(B529)),IF(B530=B529,"",(B530-B529)*100),"")</f>
        <v/>
      </c>
      <c r="G530" s="20">
        <f>IF(AND(ISNUMBER(C530),ISNUMBER(C529)),IF(C530=C529,"",(C530-C529)*100),"")</f>
        <v/>
      </c>
      <c r="H530" s="20">
        <f>IF(OR(NOT(ISNUMBER($A530)),ROW()-2&lt;Settings!$B$11),NA(),IF(COUNT(OFFSET(F530,1-Settings!$B$11,0,Settings!$B$11,1))&lt;ROUNDUP(Settings!$B$11*Settings!$B$26,0),NA(),STDEV(OFFSET(F530,1-Settings!$B$11,0,Settings!$B$11,1))*SQRT(Settings!$B$13)))</f>
        <v/>
      </c>
      <c r="I530" s="20">
        <f>IF(OR(NOT(ISNUMBER($A530)),ROW()-2&lt;Settings!$B$12),NA(),IF(COUNT(OFFSET(F530,1-Settings!$B$12,0,Settings!$B$12,1))&lt;ROUNDUP(Settings!$B$12*Settings!$B$26,0),NA(),STDEV(OFFSET(F530,1-Settings!$B$12,0,Settings!$B$12,1))*SQRT(Settings!$B$13)))</f>
        <v/>
      </c>
      <c r="J530" s="20">
        <f>IF(OR(NOT(ISNUMBER($A530)),ROW()-2&lt;Settings!$B$11),NA(),IF(COUNT(OFFSET(G530,1-Settings!$B$11,0,Settings!$B$11,1))&lt;ROUNDUP(Settings!$B$11*Settings!$B$26,0),NA(),STDEV(OFFSET(G530,1-Settings!$B$11,0,Settings!$B$11,1))*SQRT(Settings!$B$13)))</f>
        <v/>
      </c>
      <c r="K530" s="20">
        <f>IF(OR(NOT(ISNUMBER($A530)),ROW()-2&lt;Settings!$B$12),NA(),IF(COUNT(OFFSET(G530,1-Settings!$B$12,0,Settings!$B$12,1))&lt;ROUNDUP(Settings!$B$12*Settings!$B$26,0),NA(),STDEV(OFFSET(G530,1-Settings!$B$12,0,Settings!$B$12,1))*SQRT(Settings!$B$13)))</f>
        <v/>
      </c>
      <c r="L530" s="20">
        <f>IF(AND(ISNUMBER(D530),ISNUMBER(H530)),D530-H530,NA())</f>
        <v/>
      </c>
      <c r="M530" s="20">
        <f>IF(AND(ISNUMBER(E530),ISNUMBER(K530)),E530-K530,NA())</f>
        <v/>
      </c>
      <c r="N530" s="20">
        <f>IF(NOT(ISNUMBER($A530)),NA(),IF(COUNT(OFFSET(G530,1,0,Settings!$B$12,1))&lt;ROUNDUP(Settings!$B$12*Settings!$B$26,0),NA(),STDEV(OFFSET(G530,1,0,Settings!$B$12,1))*SQRT(Settings!$B$13)))</f>
        <v/>
      </c>
      <c r="O530" s="20">
        <f>IF(AND(ISNUMBER(E530),ISNUMBER(N530)),E530-N530,NA())</f>
        <v/>
      </c>
      <c r="P530" s="19">
        <f>IF(NOT(ISNUMBER($A530)),NA(),IF(OR($A530&lt;MIN(KW_TP!$A$2:$A$2501),$A530&gt;MAX(KW_TP!$A$2:$A$2501)),NA(),INDEX(KW_TP!$C$2:$C$2501,MATCH($A530,KW_TP!$A$2:$A$2501,1))))</f>
        <v/>
      </c>
      <c r="Q530" s="18">
        <f>IF(NOT(ISNUMBER($A530)),NA(),IFERROR(1*INDEX(BBG_Data!$J$2:$J$4000,MATCH($A530,BBG_Data!$I$2:$I$4000,0)),NA()))</f>
        <v/>
      </c>
      <c r="R530" s="18">
        <f>IF(NOT(ISNUMBER($A530)),NA(),IFERROR(1*INDEX(BBG_Data!$L$2:$L$4000,MATCH($A530,BBG_Data!$K$2:$K$4000,0)),NA()))</f>
        <v/>
      </c>
      <c r="S530" s="20">
        <f>IF(AND(ISNUMBER(B530),ISNUMBER(Q530),ISNUMBER(R530)),(B530-Q530-R530)*100,NA())</f>
        <v/>
      </c>
      <c r="T530" s="20">
        <f>IF(AND(ISNUMBER(B530),Settings!$B$17&gt;0),IF(ISNUMBER(INDEX($B:$B,Settings!$B$17)),(B530-INDEX($B:$B,Settings!$B$17))*100,NA()),NA())</f>
        <v/>
      </c>
      <c r="U530" s="20">
        <f>IF(AND(ISNUMBER(Q530),Settings!$B$17&gt;0),IF(ISNUMBER(INDEX($Q:$Q,Settings!$B$17)),(Q530-INDEX($Q:$Q,Settings!$B$17))*100,NA()),NA())</f>
        <v/>
      </c>
      <c r="V530" s="20">
        <f>IF(AND(ISNUMBER(R530),Settings!$B$17&gt;0),IF(ISNUMBER(INDEX($R:$R,Settings!$B$17)),(R530-INDEX($R:$R,Settings!$B$17))*100,NA()),NA())</f>
        <v/>
      </c>
      <c r="W530" s="20">
        <f>IF(AND(ISNUMBER(P530),Settings!$B$17&gt;0),IF(ISNUMBER(INDEX($P:$P,Settings!$B$17)),P530-INDEX($P:$P,Settings!$B$17),NA()),NA())</f>
        <v/>
      </c>
      <c r="X530" s="19">
        <f>IF(NOT(ISNUMBER($A530)),NA(),IF(OR($A530&lt;MIN(DKW_10Y!$A$2:$A$2918),$A530&gt;MAX(DKW_10Y!$A$2:$A$2918),Settings!$B$16&lt;MIN(DKW_10Y!$A$2:$A$2918)),NA(),(INDEX(DKW_10Y!$B$2:$B$2918,MATCH($A530,DKW_10Y!$A$2:$A$2918,1))-INDEX(DKW_10Y!$B$2:$B$2918,MATCH(Settings!$B$16,DKW_10Y!$A$2:$A$2918,1)))*100))</f>
        <v/>
      </c>
      <c r="Y530" s="19">
        <f>IF(NOT(ISNUMBER($A530)),NA(),IF(OR($A530&lt;MIN(DKW_10Y!$A$2:$A$2918),$A530&gt;MAX(DKW_10Y!$A$2:$A$2918),Settings!$B$16&lt;MIN(DKW_10Y!$A$2:$A$2918)),NA(),(INDEX(DKW_10Y!$C$2:$C$2918,MATCH($A530,DKW_10Y!$A$2:$A$2918,1))-INDEX(DKW_10Y!$C$2:$C$2918,MATCH(Settings!$B$16,DKW_10Y!$A$2:$A$2918,1)))*100))</f>
        <v/>
      </c>
      <c r="Z530" s="19">
        <f>IF(NOT(ISNUMBER($A530)),NA(),IF(OR($A530&lt;MIN(DKW_10Y!$A$2:$A$2918),$A530&gt;MAX(DKW_10Y!$A$2:$A$2918),Settings!$B$16&lt;MIN(DKW_10Y!$A$2:$A$2918)),NA(),(INDEX(DKW_10Y!$D$2:$D$2918,MATCH($A530,DKW_10Y!$A$2:$A$2918,1))-INDEX(DKW_10Y!$D$2:$D$2918,MATCH(Settings!$B$16,DKW_10Y!$A$2:$A$2918,1)))*100))</f>
        <v/>
      </c>
      <c r="AA530" s="19">
        <f>IF(NOT(ISNUMBER($A530)),NA(),IF(OR($A530&lt;MIN(DKW_10Y!$A$2:$A$2918),$A530&gt;MAX(DKW_10Y!$A$2:$A$2918),Settings!$B$16&lt;MIN(DKW_10Y!$A$2:$A$2918)),NA(),(INDEX(DKW_10Y!$E$2:$E$2918,MATCH($A530,DKW_10Y!$A$2:$A$2918,1))-INDEX(DKW_10Y!$E$2:$E$2918,MATCH(Settings!$B$16,DKW_10Y!$A$2:$A$2918,1)))*100))</f>
        <v/>
      </c>
      <c r="AB530" s="19">
        <f>IF(NOT(ISNUMBER($A530)),NA(),IF(OR($A530&lt;MIN(DKW_10Y!$A$2:$A$2918),$A530&gt;MAX(DKW_10Y!$A$2:$A$2918),Settings!$B$16&lt;MIN(DKW_10Y!$A$2:$A$2918)),NA(),(INDEX(DKW_10Y!$H$2:$H$2918,MATCH($A530,DKW_10Y!$A$2:$A$2918,1))-INDEX(DKW_10Y!$H$2:$H$2918,MATCH(Settings!$B$16,DKW_10Y!$A$2:$A$2918,1)))*100))</f>
        <v/>
      </c>
      <c r="AC530" s="18">
        <f>IF(NOT(ISNUMBER($A530)),NA(),IFERROR(1*INDEX(BBG_Data!$N$2:$N$4000,MATCH($A530,BBG_Data!$M$2:$M$4000,0)),NA()))</f>
        <v/>
      </c>
      <c r="AD530" s="18">
        <f>IF(NOT(ISNUMBER($A530)),NA(),IFERROR(1*INDEX(BBG_Data!$P$2:$P$4000,MATCH($A530,BBG_Data!$O$2:$O$4000,0)),NA()))</f>
        <v/>
      </c>
      <c r="AE530" s="18">
        <f>IF(NOT(ISNUMBER($A530)),NA(),IFERROR(1*INDEX(BBG_Data!$R$2:$R$4000,MATCH($A530,BBG_Data!$Q$2:$Q$4000,0)),NA()))</f>
        <v/>
      </c>
      <c r="AF530" s="20">
        <f>IF(AND(ISNUMBER(B530),ISNUMBER(AC530)),(B530-AC530)*100,NA())</f>
        <v/>
      </c>
      <c r="AG530" s="20">
        <f>IF(AND(ISNUMBER(AE530),ISNUMBER(AD530)),(AE530-AD530)*100,NA())</f>
        <v/>
      </c>
      <c r="AH530" s="19">
        <f>IF(NOT(ISNUMBER($A530)),NA(),IFERROR(INDEX(BBG_Data!$T$2:$T$4000,MATCH($A530,BBG_Data!$S$2:$S$4000,0))*Settings!$B$25,NA()))</f>
        <v/>
      </c>
      <c r="AI530" s="19">
        <f>IF(NOT(ISNUMBER($A530)),NA(),IFERROR(INDEX(BBG_Data!$V$2:$V$4000,MATCH($A530,BBG_Data!$U$2:$U$4000,0))*Settings!$B$25,NA()))</f>
        <v/>
      </c>
      <c r="AJ530" s="19">
        <f>IF(NOT(ISNUMBER($A530)),NA(),IFERROR(1*INDEX(BBG_Data!$X$2:$X$4000,MATCH($A530,BBG_Data!$W$2:$W$4000,0)),NA()))</f>
        <v/>
      </c>
      <c r="AK530" s="19">
        <f>IF(NOT(ISNUMBER($A530)),NA(),IFERROR(1*INDEX(BBG_Data!$Z$2:$Z$4000,MATCH($A530,BBG_Data!$Y$2:$Y$4000,0)),NA()))</f>
        <v/>
      </c>
    </row>
    <row r="531">
      <c r="A531" s="17">
        <f>IF(ISNUMBER(BBG_Data!A531),BBG_Data!A531,"")</f>
        <v/>
      </c>
      <c r="B531" s="18">
        <f>IF(AND(ISNUMBER($A531),ISNUMBER(BBG_Data!B531)),BBG_Data!B531,NA())</f>
        <v/>
      </c>
      <c r="C531" s="18">
        <f>IF(NOT(ISNUMBER($A531)),NA(),IFERROR(1*INDEX(BBG_Data!$D$2:$D$4000,MATCH($A531,BBG_Data!$C$2:$C$4000,0)),NA()))</f>
        <v/>
      </c>
      <c r="D531" s="19">
        <f>IF(NOT(ISNUMBER($A531)),NA(),IFERROR(1*INDEX(BBG_Data!$F$2:$F$4000,MATCH($A531,BBG_Data!$E$2:$E$4000,0)),NA()))</f>
        <v/>
      </c>
      <c r="E531" s="19">
        <f>IF(NOT(ISNUMBER($A531)),NA(),IFERROR(1*INDEX(BBG_Data!$H$2:$H$4000,MATCH($A531,BBG_Data!$G$2:$G$4000,0)),NA()))</f>
        <v/>
      </c>
      <c r="F531" s="20">
        <f>IF(AND(ISNUMBER(B531),ISNUMBER(B530)),IF(B531=B530,"",(B531-B530)*100),"")</f>
        <v/>
      </c>
      <c r="G531" s="20">
        <f>IF(AND(ISNUMBER(C531),ISNUMBER(C530)),IF(C531=C530,"",(C531-C530)*100),"")</f>
        <v/>
      </c>
      <c r="H531" s="20">
        <f>IF(OR(NOT(ISNUMBER($A531)),ROW()-2&lt;Settings!$B$11),NA(),IF(COUNT(OFFSET(F531,1-Settings!$B$11,0,Settings!$B$11,1))&lt;ROUNDUP(Settings!$B$11*Settings!$B$26,0),NA(),STDEV(OFFSET(F531,1-Settings!$B$11,0,Settings!$B$11,1))*SQRT(Settings!$B$13)))</f>
        <v/>
      </c>
      <c r="I531" s="20">
        <f>IF(OR(NOT(ISNUMBER($A531)),ROW()-2&lt;Settings!$B$12),NA(),IF(COUNT(OFFSET(F531,1-Settings!$B$12,0,Settings!$B$12,1))&lt;ROUNDUP(Settings!$B$12*Settings!$B$26,0),NA(),STDEV(OFFSET(F531,1-Settings!$B$12,0,Settings!$B$12,1))*SQRT(Settings!$B$13)))</f>
        <v/>
      </c>
      <c r="J531" s="20">
        <f>IF(OR(NOT(ISNUMBER($A531)),ROW()-2&lt;Settings!$B$11),NA(),IF(COUNT(OFFSET(G531,1-Settings!$B$11,0,Settings!$B$11,1))&lt;ROUNDUP(Settings!$B$11*Settings!$B$26,0),NA(),STDEV(OFFSET(G531,1-Settings!$B$11,0,Settings!$B$11,1))*SQRT(Settings!$B$13)))</f>
        <v/>
      </c>
      <c r="K531" s="20">
        <f>IF(OR(NOT(ISNUMBER($A531)),ROW()-2&lt;Settings!$B$12),NA(),IF(COUNT(OFFSET(G531,1-Settings!$B$12,0,Settings!$B$12,1))&lt;ROUNDUP(Settings!$B$12*Settings!$B$26,0),NA(),STDEV(OFFSET(G531,1-Settings!$B$12,0,Settings!$B$12,1))*SQRT(Settings!$B$13)))</f>
        <v/>
      </c>
      <c r="L531" s="20">
        <f>IF(AND(ISNUMBER(D531),ISNUMBER(H531)),D531-H531,NA())</f>
        <v/>
      </c>
      <c r="M531" s="20">
        <f>IF(AND(ISNUMBER(E531),ISNUMBER(K531)),E531-K531,NA())</f>
        <v/>
      </c>
      <c r="N531" s="20">
        <f>IF(NOT(ISNUMBER($A531)),NA(),IF(COUNT(OFFSET(G531,1,0,Settings!$B$12,1))&lt;ROUNDUP(Settings!$B$12*Settings!$B$26,0),NA(),STDEV(OFFSET(G531,1,0,Settings!$B$12,1))*SQRT(Settings!$B$13)))</f>
        <v/>
      </c>
      <c r="O531" s="20">
        <f>IF(AND(ISNUMBER(E531),ISNUMBER(N531)),E531-N531,NA())</f>
        <v/>
      </c>
      <c r="P531" s="19">
        <f>IF(NOT(ISNUMBER($A531)),NA(),IF(OR($A531&lt;MIN(KW_TP!$A$2:$A$2501),$A531&gt;MAX(KW_TP!$A$2:$A$2501)),NA(),INDEX(KW_TP!$C$2:$C$2501,MATCH($A531,KW_TP!$A$2:$A$2501,1))))</f>
        <v/>
      </c>
      <c r="Q531" s="18">
        <f>IF(NOT(ISNUMBER($A531)),NA(),IFERROR(1*INDEX(BBG_Data!$J$2:$J$4000,MATCH($A531,BBG_Data!$I$2:$I$4000,0)),NA()))</f>
        <v/>
      </c>
      <c r="R531" s="18">
        <f>IF(NOT(ISNUMBER($A531)),NA(),IFERROR(1*INDEX(BBG_Data!$L$2:$L$4000,MATCH($A531,BBG_Data!$K$2:$K$4000,0)),NA()))</f>
        <v/>
      </c>
      <c r="S531" s="20">
        <f>IF(AND(ISNUMBER(B531),ISNUMBER(Q531),ISNUMBER(R531)),(B531-Q531-R531)*100,NA())</f>
        <v/>
      </c>
      <c r="T531" s="20">
        <f>IF(AND(ISNUMBER(B531),Settings!$B$17&gt;0),IF(ISNUMBER(INDEX($B:$B,Settings!$B$17)),(B531-INDEX($B:$B,Settings!$B$17))*100,NA()),NA())</f>
        <v/>
      </c>
      <c r="U531" s="20">
        <f>IF(AND(ISNUMBER(Q531),Settings!$B$17&gt;0),IF(ISNUMBER(INDEX($Q:$Q,Settings!$B$17)),(Q531-INDEX($Q:$Q,Settings!$B$17))*100,NA()),NA())</f>
        <v/>
      </c>
      <c r="V531" s="20">
        <f>IF(AND(ISNUMBER(R531),Settings!$B$17&gt;0),IF(ISNUMBER(INDEX($R:$R,Settings!$B$17)),(R531-INDEX($R:$R,Settings!$B$17))*100,NA()),NA())</f>
        <v/>
      </c>
      <c r="W531" s="20">
        <f>IF(AND(ISNUMBER(P531),Settings!$B$17&gt;0),IF(ISNUMBER(INDEX($P:$P,Settings!$B$17)),P531-INDEX($P:$P,Settings!$B$17),NA()),NA())</f>
        <v/>
      </c>
      <c r="X531" s="19">
        <f>IF(NOT(ISNUMBER($A531)),NA(),IF(OR($A531&lt;MIN(DKW_10Y!$A$2:$A$2918),$A531&gt;MAX(DKW_10Y!$A$2:$A$2918),Settings!$B$16&lt;MIN(DKW_10Y!$A$2:$A$2918)),NA(),(INDEX(DKW_10Y!$B$2:$B$2918,MATCH($A531,DKW_10Y!$A$2:$A$2918,1))-INDEX(DKW_10Y!$B$2:$B$2918,MATCH(Settings!$B$16,DKW_10Y!$A$2:$A$2918,1)))*100))</f>
        <v/>
      </c>
      <c r="Y531" s="19">
        <f>IF(NOT(ISNUMBER($A531)),NA(),IF(OR($A531&lt;MIN(DKW_10Y!$A$2:$A$2918),$A531&gt;MAX(DKW_10Y!$A$2:$A$2918),Settings!$B$16&lt;MIN(DKW_10Y!$A$2:$A$2918)),NA(),(INDEX(DKW_10Y!$C$2:$C$2918,MATCH($A531,DKW_10Y!$A$2:$A$2918,1))-INDEX(DKW_10Y!$C$2:$C$2918,MATCH(Settings!$B$16,DKW_10Y!$A$2:$A$2918,1)))*100))</f>
        <v/>
      </c>
      <c r="Z531" s="19">
        <f>IF(NOT(ISNUMBER($A531)),NA(),IF(OR($A531&lt;MIN(DKW_10Y!$A$2:$A$2918),$A531&gt;MAX(DKW_10Y!$A$2:$A$2918),Settings!$B$16&lt;MIN(DKW_10Y!$A$2:$A$2918)),NA(),(INDEX(DKW_10Y!$D$2:$D$2918,MATCH($A531,DKW_10Y!$A$2:$A$2918,1))-INDEX(DKW_10Y!$D$2:$D$2918,MATCH(Settings!$B$16,DKW_10Y!$A$2:$A$2918,1)))*100))</f>
        <v/>
      </c>
      <c r="AA531" s="19">
        <f>IF(NOT(ISNUMBER($A531)),NA(),IF(OR($A531&lt;MIN(DKW_10Y!$A$2:$A$2918),$A531&gt;MAX(DKW_10Y!$A$2:$A$2918),Settings!$B$16&lt;MIN(DKW_10Y!$A$2:$A$2918)),NA(),(INDEX(DKW_10Y!$E$2:$E$2918,MATCH($A531,DKW_10Y!$A$2:$A$2918,1))-INDEX(DKW_10Y!$E$2:$E$2918,MATCH(Settings!$B$16,DKW_10Y!$A$2:$A$2918,1)))*100))</f>
        <v/>
      </c>
      <c r="AB531" s="19">
        <f>IF(NOT(ISNUMBER($A531)),NA(),IF(OR($A531&lt;MIN(DKW_10Y!$A$2:$A$2918),$A531&gt;MAX(DKW_10Y!$A$2:$A$2918),Settings!$B$16&lt;MIN(DKW_10Y!$A$2:$A$2918)),NA(),(INDEX(DKW_10Y!$H$2:$H$2918,MATCH($A531,DKW_10Y!$A$2:$A$2918,1))-INDEX(DKW_10Y!$H$2:$H$2918,MATCH(Settings!$B$16,DKW_10Y!$A$2:$A$2918,1)))*100))</f>
        <v/>
      </c>
      <c r="AC531" s="18">
        <f>IF(NOT(ISNUMBER($A531)),NA(),IFERROR(1*INDEX(BBG_Data!$N$2:$N$4000,MATCH($A531,BBG_Data!$M$2:$M$4000,0)),NA()))</f>
        <v/>
      </c>
      <c r="AD531" s="18">
        <f>IF(NOT(ISNUMBER($A531)),NA(),IFERROR(1*INDEX(BBG_Data!$P$2:$P$4000,MATCH($A531,BBG_Data!$O$2:$O$4000,0)),NA()))</f>
        <v/>
      </c>
      <c r="AE531" s="18">
        <f>IF(NOT(ISNUMBER($A531)),NA(),IFERROR(1*INDEX(BBG_Data!$R$2:$R$4000,MATCH($A531,BBG_Data!$Q$2:$Q$4000,0)),NA()))</f>
        <v/>
      </c>
      <c r="AF531" s="20">
        <f>IF(AND(ISNUMBER(B531),ISNUMBER(AC531)),(B531-AC531)*100,NA())</f>
        <v/>
      </c>
      <c r="AG531" s="20">
        <f>IF(AND(ISNUMBER(AE531),ISNUMBER(AD531)),(AE531-AD531)*100,NA())</f>
        <v/>
      </c>
      <c r="AH531" s="19">
        <f>IF(NOT(ISNUMBER($A531)),NA(),IFERROR(INDEX(BBG_Data!$T$2:$T$4000,MATCH($A531,BBG_Data!$S$2:$S$4000,0))*Settings!$B$25,NA()))</f>
        <v/>
      </c>
      <c r="AI531" s="19">
        <f>IF(NOT(ISNUMBER($A531)),NA(),IFERROR(INDEX(BBG_Data!$V$2:$V$4000,MATCH($A531,BBG_Data!$U$2:$U$4000,0))*Settings!$B$25,NA()))</f>
        <v/>
      </c>
      <c r="AJ531" s="19">
        <f>IF(NOT(ISNUMBER($A531)),NA(),IFERROR(1*INDEX(BBG_Data!$X$2:$X$4000,MATCH($A531,BBG_Data!$W$2:$W$4000,0)),NA()))</f>
        <v/>
      </c>
      <c r="AK531" s="19">
        <f>IF(NOT(ISNUMBER($A531)),NA(),IFERROR(1*INDEX(BBG_Data!$Z$2:$Z$4000,MATCH($A531,BBG_Data!$Y$2:$Y$4000,0)),NA()))</f>
        <v/>
      </c>
    </row>
    <row r="532">
      <c r="A532" s="17">
        <f>IF(ISNUMBER(BBG_Data!A532),BBG_Data!A532,"")</f>
        <v/>
      </c>
      <c r="B532" s="18">
        <f>IF(AND(ISNUMBER($A532),ISNUMBER(BBG_Data!B532)),BBG_Data!B532,NA())</f>
        <v/>
      </c>
      <c r="C532" s="18">
        <f>IF(NOT(ISNUMBER($A532)),NA(),IFERROR(1*INDEX(BBG_Data!$D$2:$D$4000,MATCH($A532,BBG_Data!$C$2:$C$4000,0)),NA()))</f>
        <v/>
      </c>
      <c r="D532" s="19">
        <f>IF(NOT(ISNUMBER($A532)),NA(),IFERROR(1*INDEX(BBG_Data!$F$2:$F$4000,MATCH($A532,BBG_Data!$E$2:$E$4000,0)),NA()))</f>
        <v/>
      </c>
      <c r="E532" s="19">
        <f>IF(NOT(ISNUMBER($A532)),NA(),IFERROR(1*INDEX(BBG_Data!$H$2:$H$4000,MATCH($A532,BBG_Data!$G$2:$G$4000,0)),NA()))</f>
        <v/>
      </c>
      <c r="F532" s="20">
        <f>IF(AND(ISNUMBER(B532),ISNUMBER(B531)),IF(B532=B531,"",(B532-B531)*100),"")</f>
        <v/>
      </c>
      <c r="G532" s="20">
        <f>IF(AND(ISNUMBER(C532),ISNUMBER(C531)),IF(C532=C531,"",(C532-C531)*100),"")</f>
        <v/>
      </c>
      <c r="H532" s="20">
        <f>IF(OR(NOT(ISNUMBER($A532)),ROW()-2&lt;Settings!$B$11),NA(),IF(COUNT(OFFSET(F532,1-Settings!$B$11,0,Settings!$B$11,1))&lt;ROUNDUP(Settings!$B$11*Settings!$B$26,0),NA(),STDEV(OFFSET(F532,1-Settings!$B$11,0,Settings!$B$11,1))*SQRT(Settings!$B$13)))</f>
        <v/>
      </c>
      <c r="I532" s="20">
        <f>IF(OR(NOT(ISNUMBER($A532)),ROW()-2&lt;Settings!$B$12),NA(),IF(COUNT(OFFSET(F532,1-Settings!$B$12,0,Settings!$B$12,1))&lt;ROUNDUP(Settings!$B$12*Settings!$B$26,0),NA(),STDEV(OFFSET(F532,1-Settings!$B$12,0,Settings!$B$12,1))*SQRT(Settings!$B$13)))</f>
        <v/>
      </c>
      <c r="J532" s="20">
        <f>IF(OR(NOT(ISNUMBER($A532)),ROW()-2&lt;Settings!$B$11),NA(),IF(COUNT(OFFSET(G532,1-Settings!$B$11,0,Settings!$B$11,1))&lt;ROUNDUP(Settings!$B$11*Settings!$B$26,0),NA(),STDEV(OFFSET(G532,1-Settings!$B$11,0,Settings!$B$11,1))*SQRT(Settings!$B$13)))</f>
        <v/>
      </c>
      <c r="K532" s="20">
        <f>IF(OR(NOT(ISNUMBER($A532)),ROW()-2&lt;Settings!$B$12),NA(),IF(COUNT(OFFSET(G532,1-Settings!$B$12,0,Settings!$B$12,1))&lt;ROUNDUP(Settings!$B$12*Settings!$B$26,0),NA(),STDEV(OFFSET(G532,1-Settings!$B$12,0,Settings!$B$12,1))*SQRT(Settings!$B$13)))</f>
        <v/>
      </c>
      <c r="L532" s="20">
        <f>IF(AND(ISNUMBER(D532),ISNUMBER(H532)),D532-H532,NA())</f>
        <v/>
      </c>
      <c r="M532" s="20">
        <f>IF(AND(ISNUMBER(E532),ISNUMBER(K532)),E532-K532,NA())</f>
        <v/>
      </c>
      <c r="N532" s="20">
        <f>IF(NOT(ISNUMBER($A532)),NA(),IF(COUNT(OFFSET(G532,1,0,Settings!$B$12,1))&lt;ROUNDUP(Settings!$B$12*Settings!$B$26,0),NA(),STDEV(OFFSET(G532,1,0,Settings!$B$12,1))*SQRT(Settings!$B$13)))</f>
        <v/>
      </c>
      <c r="O532" s="20">
        <f>IF(AND(ISNUMBER(E532),ISNUMBER(N532)),E532-N532,NA())</f>
        <v/>
      </c>
      <c r="P532" s="19">
        <f>IF(NOT(ISNUMBER($A532)),NA(),IF(OR($A532&lt;MIN(KW_TP!$A$2:$A$2501),$A532&gt;MAX(KW_TP!$A$2:$A$2501)),NA(),INDEX(KW_TP!$C$2:$C$2501,MATCH($A532,KW_TP!$A$2:$A$2501,1))))</f>
        <v/>
      </c>
      <c r="Q532" s="18">
        <f>IF(NOT(ISNUMBER($A532)),NA(),IFERROR(1*INDEX(BBG_Data!$J$2:$J$4000,MATCH($A532,BBG_Data!$I$2:$I$4000,0)),NA()))</f>
        <v/>
      </c>
      <c r="R532" s="18">
        <f>IF(NOT(ISNUMBER($A532)),NA(),IFERROR(1*INDEX(BBG_Data!$L$2:$L$4000,MATCH($A532,BBG_Data!$K$2:$K$4000,0)),NA()))</f>
        <v/>
      </c>
      <c r="S532" s="20">
        <f>IF(AND(ISNUMBER(B532),ISNUMBER(Q532),ISNUMBER(R532)),(B532-Q532-R532)*100,NA())</f>
        <v/>
      </c>
      <c r="T532" s="20">
        <f>IF(AND(ISNUMBER(B532),Settings!$B$17&gt;0),IF(ISNUMBER(INDEX($B:$B,Settings!$B$17)),(B532-INDEX($B:$B,Settings!$B$17))*100,NA()),NA())</f>
        <v/>
      </c>
      <c r="U532" s="20">
        <f>IF(AND(ISNUMBER(Q532),Settings!$B$17&gt;0),IF(ISNUMBER(INDEX($Q:$Q,Settings!$B$17)),(Q532-INDEX($Q:$Q,Settings!$B$17))*100,NA()),NA())</f>
        <v/>
      </c>
      <c r="V532" s="20">
        <f>IF(AND(ISNUMBER(R532),Settings!$B$17&gt;0),IF(ISNUMBER(INDEX($R:$R,Settings!$B$17)),(R532-INDEX($R:$R,Settings!$B$17))*100,NA()),NA())</f>
        <v/>
      </c>
      <c r="W532" s="20">
        <f>IF(AND(ISNUMBER(P532),Settings!$B$17&gt;0),IF(ISNUMBER(INDEX($P:$P,Settings!$B$17)),P532-INDEX($P:$P,Settings!$B$17),NA()),NA())</f>
        <v/>
      </c>
      <c r="X532" s="19">
        <f>IF(NOT(ISNUMBER($A532)),NA(),IF(OR($A532&lt;MIN(DKW_10Y!$A$2:$A$2918),$A532&gt;MAX(DKW_10Y!$A$2:$A$2918),Settings!$B$16&lt;MIN(DKW_10Y!$A$2:$A$2918)),NA(),(INDEX(DKW_10Y!$B$2:$B$2918,MATCH($A532,DKW_10Y!$A$2:$A$2918,1))-INDEX(DKW_10Y!$B$2:$B$2918,MATCH(Settings!$B$16,DKW_10Y!$A$2:$A$2918,1)))*100))</f>
        <v/>
      </c>
      <c r="Y532" s="19">
        <f>IF(NOT(ISNUMBER($A532)),NA(),IF(OR($A532&lt;MIN(DKW_10Y!$A$2:$A$2918),$A532&gt;MAX(DKW_10Y!$A$2:$A$2918),Settings!$B$16&lt;MIN(DKW_10Y!$A$2:$A$2918)),NA(),(INDEX(DKW_10Y!$C$2:$C$2918,MATCH($A532,DKW_10Y!$A$2:$A$2918,1))-INDEX(DKW_10Y!$C$2:$C$2918,MATCH(Settings!$B$16,DKW_10Y!$A$2:$A$2918,1)))*100))</f>
        <v/>
      </c>
      <c r="Z532" s="19">
        <f>IF(NOT(ISNUMBER($A532)),NA(),IF(OR($A532&lt;MIN(DKW_10Y!$A$2:$A$2918),$A532&gt;MAX(DKW_10Y!$A$2:$A$2918),Settings!$B$16&lt;MIN(DKW_10Y!$A$2:$A$2918)),NA(),(INDEX(DKW_10Y!$D$2:$D$2918,MATCH($A532,DKW_10Y!$A$2:$A$2918,1))-INDEX(DKW_10Y!$D$2:$D$2918,MATCH(Settings!$B$16,DKW_10Y!$A$2:$A$2918,1)))*100))</f>
        <v/>
      </c>
      <c r="AA532" s="19">
        <f>IF(NOT(ISNUMBER($A532)),NA(),IF(OR($A532&lt;MIN(DKW_10Y!$A$2:$A$2918),$A532&gt;MAX(DKW_10Y!$A$2:$A$2918),Settings!$B$16&lt;MIN(DKW_10Y!$A$2:$A$2918)),NA(),(INDEX(DKW_10Y!$E$2:$E$2918,MATCH($A532,DKW_10Y!$A$2:$A$2918,1))-INDEX(DKW_10Y!$E$2:$E$2918,MATCH(Settings!$B$16,DKW_10Y!$A$2:$A$2918,1)))*100))</f>
        <v/>
      </c>
      <c r="AB532" s="19">
        <f>IF(NOT(ISNUMBER($A532)),NA(),IF(OR($A532&lt;MIN(DKW_10Y!$A$2:$A$2918),$A532&gt;MAX(DKW_10Y!$A$2:$A$2918),Settings!$B$16&lt;MIN(DKW_10Y!$A$2:$A$2918)),NA(),(INDEX(DKW_10Y!$H$2:$H$2918,MATCH($A532,DKW_10Y!$A$2:$A$2918,1))-INDEX(DKW_10Y!$H$2:$H$2918,MATCH(Settings!$B$16,DKW_10Y!$A$2:$A$2918,1)))*100))</f>
        <v/>
      </c>
      <c r="AC532" s="18">
        <f>IF(NOT(ISNUMBER($A532)),NA(),IFERROR(1*INDEX(BBG_Data!$N$2:$N$4000,MATCH($A532,BBG_Data!$M$2:$M$4000,0)),NA()))</f>
        <v/>
      </c>
      <c r="AD532" s="18">
        <f>IF(NOT(ISNUMBER($A532)),NA(),IFERROR(1*INDEX(BBG_Data!$P$2:$P$4000,MATCH($A532,BBG_Data!$O$2:$O$4000,0)),NA()))</f>
        <v/>
      </c>
      <c r="AE532" s="18">
        <f>IF(NOT(ISNUMBER($A532)),NA(),IFERROR(1*INDEX(BBG_Data!$R$2:$R$4000,MATCH($A532,BBG_Data!$Q$2:$Q$4000,0)),NA()))</f>
        <v/>
      </c>
      <c r="AF532" s="20">
        <f>IF(AND(ISNUMBER(B532),ISNUMBER(AC532)),(B532-AC532)*100,NA())</f>
        <v/>
      </c>
      <c r="AG532" s="20">
        <f>IF(AND(ISNUMBER(AE532),ISNUMBER(AD532)),(AE532-AD532)*100,NA())</f>
        <v/>
      </c>
      <c r="AH532" s="19">
        <f>IF(NOT(ISNUMBER($A532)),NA(),IFERROR(INDEX(BBG_Data!$T$2:$T$4000,MATCH($A532,BBG_Data!$S$2:$S$4000,0))*Settings!$B$25,NA()))</f>
        <v/>
      </c>
      <c r="AI532" s="19">
        <f>IF(NOT(ISNUMBER($A532)),NA(),IFERROR(INDEX(BBG_Data!$V$2:$V$4000,MATCH($A532,BBG_Data!$U$2:$U$4000,0))*Settings!$B$25,NA()))</f>
        <v/>
      </c>
      <c r="AJ532" s="19">
        <f>IF(NOT(ISNUMBER($A532)),NA(),IFERROR(1*INDEX(BBG_Data!$X$2:$X$4000,MATCH($A532,BBG_Data!$W$2:$W$4000,0)),NA()))</f>
        <v/>
      </c>
      <c r="AK532" s="19">
        <f>IF(NOT(ISNUMBER($A532)),NA(),IFERROR(1*INDEX(BBG_Data!$Z$2:$Z$4000,MATCH($A532,BBG_Data!$Y$2:$Y$4000,0)),NA()))</f>
        <v/>
      </c>
    </row>
    <row r="533">
      <c r="A533" s="17">
        <f>IF(ISNUMBER(BBG_Data!A533),BBG_Data!A533,"")</f>
        <v/>
      </c>
      <c r="B533" s="18">
        <f>IF(AND(ISNUMBER($A533),ISNUMBER(BBG_Data!B533)),BBG_Data!B533,NA())</f>
        <v/>
      </c>
      <c r="C533" s="18">
        <f>IF(NOT(ISNUMBER($A533)),NA(),IFERROR(1*INDEX(BBG_Data!$D$2:$D$4000,MATCH($A533,BBG_Data!$C$2:$C$4000,0)),NA()))</f>
        <v/>
      </c>
      <c r="D533" s="19">
        <f>IF(NOT(ISNUMBER($A533)),NA(),IFERROR(1*INDEX(BBG_Data!$F$2:$F$4000,MATCH($A533,BBG_Data!$E$2:$E$4000,0)),NA()))</f>
        <v/>
      </c>
      <c r="E533" s="19">
        <f>IF(NOT(ISNUMBER($A533)),NA(),IFERROR(1*INDEX(BBG_Data!$H$2:$H$4000,MATCH($A533,BBG_Data!$G$2:$G$4000,0)),NA()))</f>
        <v/>
      </c>
      <c r="F533" s="20">
        <f>IF(AND(ISNUMBER(B533),ISNUMBER(B532)),IF(B533=B532,"",(B533-B532)*100),"")</f>
        <v/>
      </c>
      <c r="G533" s="20">
        <f>IF(AND(ISNUMBER(C533),ISNUMBER(C532)),IF(C533=C532,"",(C533-C532)*100),"")</f>
        <v/>
      </c>
      <c r="H533" s="20">
        <f>IF(OR(NOT(ISNUMBER($A533)),ROW()-2&lt;Settings!$B$11),NA(),IF(COUNT(OFFSET(F533,1-Settings!$B$11,0,Settings!$B$11,1))&lt;ROUNDUP(Settings!$B$11*Settings!$B$26,0),NA(),STDEV(OFFSET(F533,1-Settings!$B$11,0,Settings!$B$11,1))*SQRT(Settings!$B$13)))</f>
        <v/>
      </c>
      <c r="I533" s="20">
        <f>IF(OR(NOT(ISNUMBER($A533)),ROW()-2&lt;Settings!$B$12),NA(),IF(COUNT(OFFSET(F533,1-Settings!$B$12,0,Settings!$B$12,1))&lt;ROUNDUP(Settings!$B$12*Settings!$B$26,0),NA(),STDEV(OFFSET(F533,1-Settings!$B$12,0,Settings!$B$12,1))*SQRT(Settings!$B$13)))</f>
        <v/>
      </c>
      <c r="J533" s="20">
        <f>IF(OR(NOT(ISNUMBER($A533)),ROW()-2&lt;Settings!$B$11),NA(),IF(COUNT(OFFSET(G533,1-Settings!$B$11,0,Settings!$B$11,1))&lt;ROUNDUP(Settings!$B$11*Settings!$B$26,0),NA(),STDEV(OFFSET(G533,1-Settings!$B$11,0,Settings!$B$11,1))*SQRT(Settings!$B$13)))</f>
        <v/>
      </c>
      <c r="K533" s="20">
        <f>IF(OR(NOT(ISNUMBER($A533)),ROW()-2&lt;Settings!$B$12),NA(),IF(COUNT(OFFSET(G533,1-Settings!$B$12,0,Settings!$B$12,1))&lt;ROUNDUP(Settings!$B$12*Settings!$B$26,0),NA(),STDEV(OFFSET(G533,1-Settings!$B$12,0,Settings!$B$12,1))*SQRT(Settings!$B$13)))</f>
        <v/>
      </c>
      <c r="L533" s="20">
        <f>IF(AND(ISNUMBER(D533),ISNUMBER(H533)),D533-H533,NA())</f>
        <v/>
      </c>
      <c r="M533" s="20">
        <f>IF(AND(ISNUMBER(E533),ISNUMBER(K533)),E533-K533,NA())</f>
        <v/>
      </c>
      <c r="N533" s="20">
        <f>IF(NOT(ISNUMBER($A533)),NA(),IF(COUNT(OFFSET(G533,1,0,Settings!$B$12,1))&lt;ROUNDUP(Settings!$B$12*Settings!$B$26,0),NA(),STDEV(OFFSET(G533,1,0,Settings!$B$12,1))*SQRT(Settings!$B$13)))</f>
        <v/>
      </c>
      <c r="O533" s="20">
        <f>IF(AND(ISNUMBER(E533),ISNUMBER(N533)),E533-N533,NA())</f>
        <v/>
      </c>
      <c r="P533" s="19">
        <f>IF(NOT(ISNUMBER($A533)),NA(),IF(OR($A533&lt;MIN(KW_TP!$A$2:$A$2501),$A533&gt;MAX(KW_TP!$A$2:$A$2501)),NA(),INDEX(KW_TP!$C$2:$C$2501,MATCH($A533,KW_TP!$A$2:$A$2501,1))))</f>
        <v/>
      </c>
      <c r="Q533" s="18">
        <f>IF(NOT(ISNUMBER($A533)),NA(),IFERROR(1*INDEX(BBG_Data!$J$2:$J$4000,MATCH($A533,BBG_Data!$I$2:$I$4000,0)),NA()))</f>
        <v/>
      </c>
      <c r="R533" s="18">
        <f>IF(NOT(ISNUMBER($A533)),NA(),IFERROR(1*INDEX(BBG_Data!$L$2:$L$4000,MATCH($A533,BBG_Data!$K$2:$K$4000,0)),NA()))</f>
        <v/>
      </c>
      <c r="S533" s="20">
        <f>IF(AND(ISNUMBER(B533),ISNUMBER(Q533),ISNUMBER(R533)),(B533-Q533-R533)*100,NA())</f>
        <v/>
      </c>
      <c r="T533" s="20">
        <f>IF(AND(ISNUMBER(B533),Settings!$B$17&gt;0),IF(ISNUMBER(INDEX($B:$B,Settings!$B$17)),(B533-INDEX($B:$B,Settings!$B$17))*100,NA()),NA())</f>
        <v/>
      </c>
      <c r="U533" s="20">
        <f>IF(AND(ISNUMBER(Q533),Settings!$B$17&gt;0),IF(ISNUMBER(INDEX($Q:$Q,Settings!$B$17)),(Q533-INDEX($Q:$Q,Settings!$B$17))*100,NA()),NA())</f>
        <v/>
      </c>
      <c r="V533" s="20">
        <f>IF(AND(ISNUMBER(R533),Settings!$B$17&gt;0),IF(ISNUMBER(INDEX($R:$R,Settings!$B$17)),(R533-INDEX($R:$R,Settings!$B$17))*100,NA()),NA())</f>
        <v/>
      </c>
      <c r="W533" s="20">
        <f>IF(AND(ISNUMBER(P533),Settings!$B$17&gt;0),IF(ISNUMBER(INDEX($P:$P,Settings!$B$17)),P533-INDEX($P:$P,Settings!$B$17),NA()),NA())</f>
        <v/>
      </c>
      <c r="X533" s="19">
        <f>IF(NOT(ISNUMBER($A533)),NA(),IF(OR($A533&lt;MIN(DKW_10Y!$A$2:$A$2918),$A533&gt;MAX(DKW_10Y!$A$2:$A$2918),Settings!$B$16&lt;MIN(DKW_10Y!$A$2:$A$2918)),NA(),(INDEX(DKW_10Y!$B$2:$B$2918,MATCH($A533,DKW_10Y!$A$2:$A$2918,1))-INDEX(DKW_10Y!$B$2:$B$2918,MATCH(Settings!$B$16,DKW_10Y!$A$2:$A$2918,1)))*100))</f>
        <v/>
      </c>
      <c r="Y533" s="19">
        <f>IF(NOT(ISNUMBER($A533)),NA(),IF(OR($A533&lt;MIN(DKW_10Y!$A$2:$A$2918),$A533&gt;MAX(DKW_10Y!$A$2:$A$2918),Settings!$B$16&lt;MIN(DKW_10Y!$A$2:$A$2918)),NA(),(INDEX(DKW_10Y!$C$2:$C$2918,MATCH($A533,DKW_10Y!$A$2:$A$2918,1))-INDEX(DKW_10Y!$C$2:$C$2918,MATCH(Settings!$B$16,DKW_10Y!$A$2:$A$2918,1)))*100))</f>
        <v/>
      </c>
      <c r="Z533" s="19">
        <f>IF(NOT(ISNUMBER($A533)),NA(),IF(OR($A533&lt;MIN(DKW_10Y!$A$2:$A$2918),$A533&gt;MAX(DKW_10Y!$A$2:$A$2918),Settings!$B$16&lt;MIN(DKW_10Y!$A$2:$A$2918)),NA(),(INDEX(DKW_10Y!$D$2:$D$2918,MATCH($A533,DKW_10Y!$A$2:$A$2918,1))-INDEX(DKW_10Y!$D$2:$D$2918,MATCH(Settings!$B$16,DKW_10Y!$A$2:$A$2918,1)))*100))</f>
        <v/>
      </c>
      <c r="AA533" s="19">
        <f>IF(NOT(ISNUMBER($A533)),NA(),IF(OR($A533&lt;MIN(DKW_10Y!$A$2:$A$2918),$A533&gt;MAX(DKW_10Y!$A$2:$A$2918),Settings!$B$16&lt;MIN(DKW_10Y!$A$2:$A$2918)),NA(),(INDEX(DKW_10Y!$E$2:$E$2918,MATCH($A533,DKW_10Y!$A$2:$A$2918,1))-INDEX(DKW_10Y!$E$2:$E$2918,MATCH(Settings!$B$16,DKW_10Y!$A$2:$A$2918,1)))*100))</f>
        <v/>
      </c>
      <c r="AB533" s="19">
        <f>IF(NOT(ISNUMBER($A533)),NA(),IF(OR($A533&lt;MIN(DKW_10Y!$A$2:$A$2918),$A533&gt;MAX(DKW_10Y!$A$2:$A$2918),Settings!$B$16&lt;MIN(DKW_10Y!$A$2:$A$2918)),NA(),(INDEX(DKW_10Y!$H$2:$H$2918,MATCH($A533,DKW_10Y!$A$2:$A$2918,1))-INDEX(DKW_10Y!$H$2:$H$2918,MATCH(Settings!$B$16,DKW_10Y!$A$2:$A$2918,1)))*100))</f>
        <v/>
      </c>
      <c r="AC533" s="18">
        <f>IF(NOT(ISNUMBER($A533)),NA(),IFERROR(1*INDEX(BBG_Data!$N$2:$N$4000,MATCH($A533,BBG_Data!$M$2:$M$4000,0)),NA()))</f>
        <v/>
      </c>
      <c r="AD533" s="18">
        <f>IF(NOT(ISNUMBER($A533)),NA(),IFERROR(1*INDEX(BBG_Data!$P$2:$P$4000,MATCH($A533,BBG_Data!$O$2:$O$4000,0)),NA()))</f>
        <v/>
      </c>
      <c r="AE533" s="18">
        <f>IF(NOT(ISNUMBER($A533)),NA(),IFERROR(1*INDEX(BBG_Data!$R$2:$R$4000,MATCH($A533,BBG_Data!$Q$2:$Q$4000,0)),NA()))</f>
        <v/>
      </c>
      <c r="AF533" s="20">
        <f>IF(AND(ISNUMBER(B533),ISNUMBER(AC533)),(B533-AC533)*100,NA())</f>
        <v/>
      </c>
      <c r="AG533" s="20">
        <f>IF(AND(ISNUMBER(AE533),ISNUMBER(AD533)),(AE533-AD533)*100,NA())</f>
        <v/>
      </c>
      <c r="AH533" s="19">
        <f>IF(NOT(ISNUMBER($A533)),NA(),IFERROR(INDEX(BBG_Data!$T$2:$T$4000,MATCH($A533,BBG_Data!$S$2:$S$4000,0))*Settings!$B$25,NA()))</f>
        <v/>
      </c>
      <c r="AI533" s="19">
        <f>IF(NOT(ISNUMBER($A533)),NA(),IFERROR(INDEX(BBG_Data!$V$2:$V$4000,MATCH($A533,BBG_Data!$U$2:$U$4000,0))*Settings!$B$25,NA()))</f>
        <v/>
      </c>
      <c r="AJ533" s="19">
        <f>IF(NOT(ISNUMBER($A533)),NA(),IFERROR(1*INDEX(BBG_Data!$X$2:$X$4000,MATCH($A533,BBG_Data!$W$2:$W$4000,0)),NA()))</f>
        <v/>
      </c>
      <c r="AK533" s="19">
        <f>IF(NOT(ISNUMBER($A533)),NA(),IFERROR(1*INDEX(BBG_Data!$Z$2:$Z$4000,MATCH($A533,BBG_Data!$Y$2:$Y$4000,0)),NA()))</f>
        <v/>
      </c>
    </row>
    <row r="534">
      <c r="A534" s="17">
        <f>IF(ISNUMBER(BBG_Data!A534),BBG_Data!A534,"")</f>
        <v/>
      </c>
      <c r="B534" s="18">
        <f>IF(AND(ISNUMBER($A534),ISNUMBER(BBG_Data!B534)),BBG_Data!B534,NA())</f>
        <v/>
      </c>
      <c r="C534" s="18">
        <f>IF(NOT(ISNUMBER($A534)),NA(),IFERROR(1*INDEX(BBG_Data!$D$2:$D$4000,MATCH($A534,BBG_Data!$C$2:$C$4000,0)),NA()))</f>
        <v/>
      </c>
      <c r="D534" s="19">
        <f>IF(NOT(ISNUMBER($A534)),NA(),IFERROR(1*INDEX(BBG_Data!$F$2:$F$4000,MATCH($A534,BBG_Data!$E$2:$E$4000,0)),NA()))</f>
        <v/>
      </c>
      <c r="E534" s="19">
        <f>IF(NOT(ISNUMBER($A534)),NA(),IFERROR(1*INDEX(BBG_Data!$H$2:$H$4000,MATCH($A534,BBG_Data!$G$2:$G$4000,0)),NA()))</f>
        <v/>
      </c>
      <c r="F534" s="20">
        <f>IF(AND(ISNUMBER(B534),ISNUMBER(B533)),IF(B534=B533,"",(B534-B533)*100),"")</f>
        <v/>
      </c>
      <c r="G534" s="20">
        <f>IF(AND(ISNUMBER(C534),ISNUMBER(C533)),IF(C534=C533,"",(C534-C533)*100),"")</f>
        <v/>
      </c>
      <c r="H534" s="20">
        <f>IF(OR(NOT(ISNUMBER($A534)),ROW()-2&lt;Settings!$B$11),NA(),IF(COUNT(OFFSET(F534,1-Settings!$B$11,0,Settings!$B$11,1))&lt;ROUNDUP(Settings!$B$11*Settings!$B$26,0),NA(),STDEV(OFFSET(F534,1-Settings!$B$11,0,Settings!$B$11,1))*SQRT(Settings!$B$13)))</f>
        <v/>
      </c>
      <c r="I534" s="20">
        <f>IF(OR(NOT(ISNUMBER($A534)),ROW()-2&lt;Settings!$B$12),NA(),IF(COUNT(OFFSET(F534,1-Settings!$B$12,0,Settings!$B$12,1))&lt;ROUNDUP(Settings!$B$12*Settings!$B$26,0),NA(),STDEV(OFFSET(F534,1-Settings!$B$12,0,Settings!$B$12,1))*SQRT(Settings!$B$13)))</f>
        <v/>
      </c>
      <c r="J534" s="20">
        <f>IF(OR(NOT(ISNUMBER($A534)),ROW()-2&lt;Settings!$B$11),NA(),IF(COUNT(OFFSET(G534,1-Settings!$B$11,0,Settings!$B$11,1))&lt;ROUNDUP(Settings!$B$11*Settings!$B$26,0),NA(),STDEV(OFFSET(G534,1-Settings!$B$11,0,Settings!$B$11,1))*SQRT(Settings!$B$13)))</f>
        <v/>
      </c>
      <c r="K534" s="20">
        <f>IF(OR(NOT(ISNUMBER($A534)),ROW()-2&lt;Settings!$B$12),NA(),IF(COUNT(OFFSET(G534,1-Settings!$B$12,0,Settings!$B$12,1))&lt;ROUNDUP(Settings!$B$12*Settings!$B$26,0),NA(),STDEV(OFFSET(G534,1-Settings!$B$12,0,Settings!$B$12,1))*SQRT(Settings!$B$13)))</f>
        <v/>
      </c>
      <c r="L534" s="20">
        <f>IF(AND(ISNUMBER(D534),ISNUMBER(H534)),D534-H534,NA())</f>
        <v/>
      </c>
      <c r="M534" s="20">
        <f>IF(AND(ISNUMBER(E534),ISNUMBER(K534)),E534-K534,NA())</f>
        <v/>
      </c>
      <c r="N534" s="20">
        <f>IF(NOT(ISNUMBER($A534)),NA(),IF(COUNT(OFFSET(G534,1,0,Settings!$B$12,1))&lt;ROUNDUP(Settings!$B$12*Settings!$B$26,0),NA(),STDEV(OFFSET(G534,1,0,Settings!$B$12,1))*SQRT(Settings!$B$13)))</f>
        <v/>
      </c>
      <c r="O534" s="20">
        <f>IF(AND(ISNUMBER(E534),ISNUMBER(N534)),E534-N534,NA())</f>
        <v/>
      </c>
      <c r="P534" s="19">
        <f>IF(NOT(ISNUMBER($A534)),NA(),IF(OR($A534&lt;MIN(KW_TP!$A$2:$A$2501),$A534&gt;MAX(KW_TP!$A$2:$A$2501)),NA(),INDEX(KW_TP!$C$2:$C$2501,MATCH($A534,KW_TP!$A$2:$A$2501,1))))</f>
        <v/>
      </c>
      <c r="Q534" s="18">
        <f>IF(NOT(ISNUMBER($A534)),NA(),IFERROR(1*INDEX(BBG_Data!$J$2:$J$4000,MATCH($A534,BBG_Data!$I$2:$I$4000,0)),NA()))</f>
        <v/>
      </c>
      <c r="R534" s="18">
        <f>IF(NOT(ISNUMBER($A534)),NA(),IFERROR(1*INDEX(BBG_Data!$L$2:$L$4000,MATCH($A534,BBG_Data!$K$2:$K$4000,0)),NA()))</f>
        <v/>
      </c>
      <c r="S534" s="20">
        <f>IF(AND(ISNUMBER(B534),ISNUMBER(Q534),ISNUMBER(R534)),(B534-Q534-R534)*100,NA())</f>
        <v/>
      </c>
      <c r="T534" s="20">
        <f>IF(AND(ISNUMBER(B534),Settings!$B$17&gt;0),IF(ISNUMBER(INDEX($B:$B,Settings!$B$17)),(B534-INDEX($B:$B,Settings!$B$17))*100,NA()),NA())</f>
        <v/>
      </c>
      <c r="U534" s="20">
        <f>IF(AND(ISNUMBER(Q534),Settings!$B$17&gt;0),IF(ISNUMBER(INDEX($Q:$Q,Settings!$B$17)),(Q534-INDEX($Q:$Q,Settings!$B$17))*100,NA()),NA())</f>
        <v/>
      </c>
      <c r="V534" s="20">
        <f>IF(AND(ISNUMBER(R534),Settings!$B$17&gt;0),IF(ISNUMBER(INDEX($R:$R,Settings!$B$17)),(R534-INDEX($R:$R,Settings!$B$17))*100,NA()),NA())</f>
        <v/>
      </c>
      <c r="W534" s="20">
        <f>IF(AND(ISNUMBER(P534),Settings!$B$17&gt;0),IF(ISNUMBER(INDEX($P:$P,Settings!$B$17)),P534-INDEX($P:$P,Settings!$B$17),NA()),NA())</f>
        <v/>
      </c>
      <c r="X534" s="19">
        <f>IF(NOT(ISNUMBER($A534)),NA(),IF(OR($A534&lt;MIN(DKW_10Y!$A$2:$A$2918),$A534&gt;MAX(DKW_10Y!$A$2:$A$2918),Settings!$B$16&lt;MIN(DKW_10Y!$A$2:$A$2918)),NA(),(INDEX(DKW_10Y!$B$2:$B$2918,MATCH($A534,DKW_10Y!$A$2:$A$2918,1))-INDEX(DKW_10Y!$B$2:$B$2918,MATCH(Settings!$B$16,DKW_10Y!$A$2:$A$2918,1)))*100))</f>
        <v/>
      </c>
      <c r="Y534" s="19">
        <f>IF(NOT(ISNUMBER($A534)),NA(),IF(OR($A534&lt;MIN(DKW_10Y!$A$2:$A$2918),$A534&gt;MAX(DKW_10Y!$A$2:$A$2918),Settings!$B$16&lt;MIN(DKW_10Y!$A$2:$A$2918)),NA(),(INDEX(DKW_10Y!$C$2:$C$2918,MATCH($A534,DKW_10Y!$A$2:$A$2918,1))-INDEX(DKW_10Y!$C$2:$C$2918,MATCH(Settings!$B$16,DKW_10Y!$A$2:$A$2918,1)))*100))</f>
        <v/>
      </c>
      <c r="Z534" s="19">
        <f>IF(NOT(ISNUMBER($A534)),NA(),IF(OR($A534&lt;MIN(DKW_10Y!$A$2:$A$2918),$A534&gt;MAX(DKW_10Y!$A$2:$A$2918),Settings!$B$16&lt;MIN(DKW_10Y!$A$2:$A$2918)),NA(),(INDEX(DKW_10Y!$D$2:$D$2918,MATCH($A534,DKW_10Y!$A$2:$A$2918,1))-INDEX(DKW_10Y!$D$2:$D$2918,MATCH(Settings!$B$16,DKW_10Y!$A$2:$A$2918,1)))*100))</f>
        <v/>
      </c>
      <c r="AA534" s="19">
        <f>IF(NOT(ISNUMBER($A534)),NA(),IF(OR($A534&lt;MIN(DKW_10Y!$A$2:$A$2918),$A534&gt;MAX(DKW_10Y!$A$2:$A$2918),Settings!$B$16&lt;MIN(DKW_10Y!$A$2:$A$2918)),NA(),(INDEX(DKW_10Y!$E$2:$E$2918,MATCH($A534,DKW_10Y!$A$2:$A$2918,1))-INDEX(DKW_10Y!$E$2:$E$2918,MATCH(Settings!$B$16,DKW_10Y!$A$2:$A$2918,1)))*100))</f>
        <v/>
      </c>
      <c r="AB534" s="19">
        <f>IF(NOT(ISNUMBER($A534)),NA(),IF(OR($A534&lt;MIN(DKW_10Y!$A$2:$A$2918),$A534&gt;MAX(DKW_10Y!$A$2:$A$2918),Settings!$B$16&lt;MIN(DKW_10Y!$A$2:$A$2918)),NA(),(INDEX(DKW_10Y!$H$2:$H$2918,MATCH($A534,DKW_10Y!$A$2:$A$2918,1))-INDEX(DKW_10Y!$H$2:$H$2918,MATCH(Settings!$B$16,DKW_10Y!$A$2:$A$2918,1)))*100))</f>
        <v/>
      </c>
      <c r="AC534" s="18">
        <f>IF(NOT(ISNUMBER($A534)),NA(),IFERROR(1*INDEX(BBG_Data!$N$2:$N$4000,MATCH($A534,BBG_Data!$M$2:$M$4000,0)),NA()))</f>
        <v/>
      </c>
      <c r="AD534" s="18">
        <f>IF(NOT(ISNUMBER($A534)),NA(),IFERROR(1*INDEX(BBG_Data!$P$2:$P$4000,MATCH($A534,BBG_Data!$O$2:$O$4000,0)),NA()))</f>
        <v/>
      </c>
      <c r="AE534" s="18">
        <f>IF(NOT(ISNUMBER($A534)),NA(),IFERROR(1*INDEX(BBG_Data!$R$2:$R$4000,MATCH($A534,BBG_Data!$Q$2:$Q$4000,0)),NA()))</f>
        <v/>
      </c>
      <c r="AF534" s="20">
        <f>IF(AND(ISNUMBER(B534),ISNUMBER(AC534)),(B534-AC534)*100,NA())</f>
        <v/>
      </c>
      <c r="AG534" s="20">
        <f>IF(AND(ISNUMBER(AE534),ISNUMBER(AD534)),(AE534-AD534)*100,NA())</f>
        <v/>
      </c>
      <c r="AH534" s="19">
        <f>IF(NOT(ISNUMBER($A534)),NA(),IFERROR(INDEX(BBG_Data!$T$2:$T$4000,MATCH($A534,BBG_Data!$S$2:$S$4000,0))*Settings!$B$25,NA()))</f>
        <v/>
      </c>
      <c r="AI534" s="19">
        <f>IF(NOT(ISNUMBER($A534)),NA(),IFERROR(INDEX(BBG_Data!$V$2:$V$4000,MATCH($A534,BBG_Data!$U$2:$U$4000,0))*Settings!$B$25,NA()))</f>
        <v/>
      </c>
      <c r="AJ534" s="19">
        <f>IF(NOT(ISNUMBER($A534)),NA(),IFERROR(1*INDEX(BBG_Data!$X$2:$X$4000,MATCH($A534,BBG_Data!$W$2:$W$4000,0)),NA()))</f>
        <v/>
      </c>
      <c r="AK534" s="19">
        <f>IF(NOT(ISNUMBER($A534)),NA(),IFERROR(1*INDEX(BBG_Data!$Z$2:$Z$4000,MATCH($A534,BBG_Data!$Y$2:$Y$4000,0)),NA()))</f>
        <v/>
      </c>
    </row>
    <row r="535">
      <c r="A535" s="17">
        <f>IF(ISNUMBER(BBG_Data!A535),BBG_Data!A535,"")</f>
        <v/>
      </c>
      <c r="B535" s="18">
        <f>IF(AND(ISNUMBER($A535),ISNUMBER(BBG_Data!B535)),BBG_Data!B535,NA())</f>
        <v/>
      </c>
      <c r="C535" s="18">
        <f>IF(NOT(ISNUMBER($A535)),NA(),IFERROR(1*INDEX(BBG_Data!$D$2:$D$4000,MATCH($A535,BBG_Data!$C$2:$C$4000,0)),NA()))</f>
        <v/>
      </c>
      <c r="D535" s="19">
        <f>IF(NOT(ISNUMBER($A535)),NA(),IFERROR(1*INDEX(BBG_Data!$F$2:$F$4000,MATCH($A535,BBG_Data!$E$2:$E$4000,0)),NA()))</f>
        <v/>
      </c>
      <c r="E535" s="19">
        <f>IF(NOT(ISNUMBER($A535)),NA(),IFERROR(1*INDEX(BBG_Data!$H$2:$H$4000,MATCH($A535,BBG_Data!$G$2:$G$4000,0)),NA()))</f>
        <v/>
      </c>
      <c r="F535" s="20">
        <f>IF(AND(ISNUMBER(B535),ISNUMBER(B534)),IF(B535=B534,"",(B535-B534)*100),"")</f>
        <v/>
      </c>
      <c r="G535" s="20">
        <f>IF(AND(ISNUMBER(C535),ISNUMBER(C534)),IF(C535=C534,"",(C535-C534)*100),"")</f>
        <v/>
      </c>
      <c r="H535" s="20">
        <f>IF(OR(NOT(ISNUMBER($A535)),ROW()-2&lt;Settings!$B$11),NA(),IF(COUNT(OFFSET(F535,1-Settings!$B$11,0,Settings!$B$11,1))&lt;ROUNDUP(Settings!$B$11*Settings!$B$26,0),NA(),STDEV(OFFSET(F535,1-Settings!$B$11,0,Settings!$B$11,1))*SQRT(Settings!$B$13)))</f>
        <v/>
      </c>
      <c r="I535" s="20">
        <f>IF(OR(NOT(ISNUMBER($A535)),ROW()-2&lt;Settings!$B$12),NA(),IF(COUNT(OFFSET(F535,1-Settings!$B$12,0,Settings!$B$12,1))&lt;ROUNDUP(Settings!$B$12*Settings!$B$26,0),NA(),STDEV(OFFSET(F535,1-Settings!$B$12,0,Settings!$B$12,1))*SQRT(Settings!$B$13)))</f>
        <v/>
      </c>
      <c r="J535" s="20">
        <f>IF(OR(NOT(ISNUMBER($A535)),ROW()-2&lt;Settings!$B$11),NA(),IF(COUNT(OFFSET(G535,1-Settings!$B$11,0,Settings!$B$11,1))&lt;ROUNDUP(Settings!$B$11*Settings!$B$26,0),NA(),STDEV(OFFSET(G535,1-Settings!$B$11,0,Settings!$B$11,1))*SQRT(Settings!$B$13)))</f>
        <v/>
      </c>
      <c r="K535" s="20">
        <f>IF(OR(NOT(ISNUMBER($A535)),ROW()-2&lt;Settings!$B$12),NA(),IF(COUNT(OFFSET(G535,1-Settings!$B$12,0,Settings!$B$12,1))&lt;ROUNDUP(Settings!$B$12*Settings!$B$26,0),NA(),STDEV(OFFSET(G535,1-Settings!$B$12,0,Settings!$B$12,1))*SQRT(Settings!$B$13)))</f>
        <v/>
      </c>
      <c r="L535" s="20">
        <f>IF(AND(ISNUMBER(D535),ISNUMBER(H535)),D535-H535,NA())</f>
        <v/>
      </c>
      <c r="M535" s="20">
        <f>IF(AND(ISNUMBER(E535),ISNUMBER(K535)),E535-K535,NA())</f>
        <v/>
      </c>
      <c r="N535" s="20">
        <f>IF(NOT(ISNUMBER($A535)),NA(),IF(COUNT(OFFSET(G535,1,0,Settings!$B$12,1))&lt;ROUNDUP(Settings!$B$12*Settings!$B$26,0),NA(),STDEV(OFFSET(G535,1,0,Settings!$B$12,1))*SQRT(Settings!$B$13)))</f>
        <v/>
      </c>
      <c r="O535" s="20">
        <f>IF(AND(ISNUMBER(E535),ISNUMBER(N535)),E535-N535,NA())</f>
        <v/>
      </c>
      <c r="P535" s="19">
        <f>IF(NOT(ISNUMBER($A535)),NA(),IF(OR($A535&lt;MIN(KW_TP!$A$2:$A$2501),$A535&gt;MAX(KW_TP!$A$2:$A$2501)),NA(),INDEX(KW_TP!$C$2:$C$2501,MATCH($A535,KW_TP!$A$2:$A$2501,1))))</f>
        <v/>
      </c>
      <c r="Q535" s="18">
        <f>IF(NOT(ISNUMBER($A535)),NA(),IFERROR(1*INDEX(BBG_Data!$J$2:$J$4000,MATCH($A535,BBG_Data!$I$2:$I$4000,0)),NA()))</f>
        <v/>
      </c>
      <c r="R535" s="18">
        <f>IF(NOT(ISNUMBER($A535)),NA(),IFERROR(1*INDEX(BBG_Data!$L$2:$L$4000,MATCH($A535,BBG_Data!$K$2:$K$4000,0)),NA()))</f>
        <v/>
      </c>
      <c r="S535" s="20">
        <f>IF(AND(ISNUMBER(B535),ISNUMBER(Q535),ISNUMBER(R535)),(B535-Q535-R535)*100,NA())</f>
        <v/>
      </c>
      <c r="T535" s="20">
        <f>IF(AND(ISNUMBER(B535),Settings!$B$17&gt;0),IF(ISNUMBER(INDEX($B:$B,Settings!$B$17)),(B535-INDEX($B:$B,Settings!$B$17))*100,NA()),NA())</f>
        <v/>
      </c>
      <c r="U535" s="20">
        <f>IF(AND(ISNUMBER(Q535),Settings!$B$17&gt;0),IF(ISNUMBER(INDEX($Q:$Q,Settings!$B$17)),(Q535-INDEX($Q:$Q,Settings!$B$17))*100,NA()),NA())</f>
        <v/>
      </c>
      <c r="V535" s="20">
        <f>IF(AND(ISNUMBER(R535),Settings!$B$17&gt;0),IF(ISNUMBER(INDEX($R:$R,Settings!$B$17)),(R535-INDEX($R:$R,Settings!$B$17))*100,NA()),NA())</f>
        <v/>
      </c>
      <c r="W535" s="20">
        <f>IF(AND(ISNUMBER(P535),Settings!$B$17&gt;0),IF(ISNUMBER(INDEX($P:$P,Settings!$B$17)),P535-INDEX($P:$P,Settings!$B$17),NA()),NA())</f>
        <v/>
      </c>
      <c r="X535" s="19">
        <f>IF(NOT(ISNUMBER($A535)),NA(),IF(OR($A535&lt;MIN(DKW_10Y!$A$2:$A$2918),$A535&gt;MAX(DKW_10Y!$A$2:$A$2918),Settings!$B$16&lt;MIN(DKW_10Y!$A$2:$A$2918)),NA(),(INDEX(DKW_10Y!$B$2:$B$2918,MATCH($A535,DKW_10Y!$A$2:$A$2918,1))-INDEX(DKW_10Y!$B$2:$B$2918,MATCH(Settings!$B$16,DKW_10Y!$A$2:$A$2918,1)))*100))</f>
        <v/>
      </c>
      <c r="Y535" s="19">
        <f>IF(NOT(ISNUMBER($A535)),NA(),IF(OR($A535&lt;MIN(DKW_10Y!$A$2:$A$2918),$A535&gt;MAX(DKW_10Y!$A$2:$A$2918),Settings!$B$16&lt;MIN(DKW_10Y!$A$2:$A$2918)),NA(),(INDEX(DKW_10Y!$C$2:$C$2918,MATCH($A535,DKW_10Y!$A$2:$A$2918,1))-INDEX(DKW_10Y!$C$2:$C$2918,MATCH(Settings!$B$16,DKW_10Y!$A$2:$A$2918,1)))*100))</f>
        <v/>
      </c>
      <c r="Z535" s="19">
        <f>IF(NOT(ISNUMBER($A535)),NA(),IF(OR($A535&lt;MIN(DKW_10Y!$A$2:$A$2918),$A535&gt;MAX(DKW_10Y!$A$2:$A$2918),Settings!$B$16&lt;MIN(DKW_10Y!$A$2:$A$2918)),NA(),(INDEX(DKW_10Y!$D$2:$D$2918,MATCH($A535,DKW_10Y!$A$2:$A$2918,1))-INDEX(DKW_10Y!$D$2:$D$2918,MATCH(Settings!$B$16,DKW_10Y!$A$2:$A$2918,1)))*100))</f>
        <v/>
      </c>
      <c r="AA535" s="19">
        <f>IF(NOT(ISNUMBER($A535)),NA(),IF(OR($A535&lt;MIN(DKW_10Y!$A$2:$A$2918),$A535&gt;MAX(DKW_10Y!$A$2:$A$2918),Settings!$B$16&lt;MIN(DKW_10Y!$A$2:$A$2918)),NA(),(INDEX(DKW_10Y!$E$2:$E$2918,MATCH($A535,DKW_10Y!$A$2:$A$2918,1))-INDEX(DKW_10Y!$E$2:$E$2918,MATCH(Settings!$B$16,DKW_10Y!$A$2:$A$2918,1)))*100))</f>
        <v/>
      </c>
      <c r="AB535" s="19">
        <f>IF(NOT(ISNUMBER($A535)),NA(),IF(OR($A535&lt;MIN(DKW_10Y!$A$2:$A$2918),$A535&gt;MAX(DKW_10Y!$A$2:$A$2918),Settings!$B$16&lt;MIN(DKW_10Y!$A$2:$A$2918)),NA(),(INDEX(DKW_10Y!$H$2:$H$2918,MATCH($A535,DKW_10Y!$A$2:$A$2918,1))-INDEX(DKW_10Y!$H$2:$H$2918,MATCH(Settings!$B$16,DKW_10Y!$A$2:$A$2918,1)))*100))</f>
        <v/>
      </c>
      <c r="AC535" s="18">
        <f>IF(NOT(ISNUMBER($A535)),NA(),IFERROR(1*INDEX(BBG_Data!$N$2:$N$4000,MATCH($A535,BBG_Data!$M$2:$M$4000,0)),NA()))</f>
        <v/>
      </c>
      <c r="AD535" s="18">
        <f>IF(NOT(ISNUMBER($A535)),NA(),IFERROR(1*INDEX(BBG_Data!$P$2:$P$4000,MATCH($A535,BBG_Data!$O$2:$O$4000,0)),NA()))</f>
        <v/>
      </c>
      <c r="AE535" s="18">
        <f>IF(NOT(ISNUMBER($A535)),NA(),IFERROR(1*INDEX(BBG_Data!$R$2:$R$4000,MATCH($A535,BBG_Data!$Q$2:$Q$4000,0)),NA()))</f>
        <v/>
      </c>
      <c r="AF535" s="20">
        <f>IF(AND(ISNUMBER(B535),ISNUMBER(AC535)),(B535-AC535)*100,NA())</f>
        <v/>
      </c>
      <c r="AG535" s="20">
        <f>IF(AND(ISNUMBER(AE535),ISNUMBER(AD535)),(AE535-AD535)*100,NA())</f>
        <v/>
      </c>
      <c r="AH535" s="19">
        <f>IF(NOT(ISNUMBER($A535)),NA(),IFERROR(INDEX(BBG_Data!$T$2:$T$4000,MATCH($A535,BBG_Data!$S$2:$S$4000,0))*Settings!$B$25,NA()))</f>
        <v/>
      </c>
      <c r="AI535" s="19">
        <f>IF(NOT(ISNUMBER($A535)),NA(),IFERROR(INDEX(BBG_Data!$V$2:$V$4000,MATCH($A535,BBG_Data!$U$2:$U$4000,0))*Settings!$B$25,NA()))</f>
        <v/>
      </c>
      <c r="AJ535" s="19">
        <f>IF(NOT(ISNUMBER($A535)),NA(),IFERROR(1*INDEX(BBG_Data!$X$2:$X$4000,MATCH($A535,BBG_Data!$W$2:$W$4000,0)),NA()))</f>
        <v/>
      </c>
      <c r="AK535" s="19">
        <f>IF(NOT(ISNUMBER($A535)),NA(),IFERROR(1*INDEX(BBG_Data!$Z$2:$Z$4000,MATCH($A535,BBG_Data!$Y$2:$Y$4000,0)),NA()))</f>
        <v/>
      </c>
    </row>
    <row r="536">
      <c r="A536" s="17">
        <f>IF(ISNUMBER(BBG_Data!A536),BBG_Data!A536,"")</f>
        <v/>
      </c>
      <c r="B536" s="18">
        <f>IF(AND(ISNUMBER($A536),ISNUMBER(BBG_Data!B536)),BBG_Data!B536,NA())</f>
        <v/>
      </c>
      <c r="C536" s="18">
        <f>IF(NOT(ISNUMBER($A536)),NA(),IFERROR(1*INDEX(BBG_Data!$D$2:$D$4000,MATCH($A536,BBG_Data!$C$2:$C$4000,0)),NA()))</f>
        <v/>
      </c>
      <c r="D536" s="19">
        <f>IF(NOT(ISNUMBER($A536)),NA(),IFERROR(1*INDEX(BBG_Data!$F$2:$F$4000,MATCH($A536,BBG_Data!$E$2:$E$4000,0)),NA()))</f>
        <v/>
      </c>
      <c r="E536" s="19">
        <f>IF(NOT(ISNUMBER($A536)),NA(),IFERROR(1*INDEX(BBG_Data!$H$2:$H$4000,MATCH($A536,BBG_Data!$G$2:$G$4000,0)),NA()))</f>
        <v/>
      </c>
      <c r="F536" s="20">
        <f>IF(AND(ISNUMBER(B536),ISNUMBER(B535)),IF(B536=B535,"",(B536-B535)*100),"")</f>
        <v/>
      </c>
      <c r="G536" s="20">
        <f>IF(AND(ISNUMBER(C536),ISNUMBER(C535)),IF(C536=C535,"",(C536-C535)*100),"")</f>
        <v/>
      </c>
      <c r="H536" s="20">
        <f>IF(OR(NOT(ISNUMBER($A536)),ROW()-2&lt;Settings!$B$11),NA(),IF(COUNT(OFFSET(F536,1-Settings!$B$11,0,Settings!$B$11,1))&lt;ROUNDUP(Settings!$B$11*Settings!$B$26,0),NA(),STDEV(OFFSET(F536,1-Settings!$B$11,0,Settings!$B$11,1))*SQRT(Settings!$B$13)))</f>
        <v/>
      </c>
      <c r="I536" s="20">
        <f>IF(OR(NOT(ISNUMBER($A536)),ROW()-2&lt;Settings!$B$12),NA(),IF(COUNT(OFFSET(F536,1-Settings!$B$12,0,Settings!$B$12,1))&lt;ROUNDUP(Settings!$B$12*Settings!$B$26,0),NA(),STDEV(OFFSET(F536,1-Settings!$B$12,0,Settings!$B$12,1))*SQRT(Settings!$B$13)))</f>
        <v/>
      </c>
      <c r="J536" s="20">
        <f>IF(OR(NOT(ISNUMBER($A536)),ROW()-2&lt;Settings!$B$11),NA(),IF(COUNT(OFFSET(G536,1-Settings!$B$11,0,Settings!$B$11,1))&lt;ROUNDUP(Settings!$B$11*Settings!$B$26,0),NA(),STDEV(OFFSET(G536,1-Settings!$B$11,0,Settings!$B$11,1))*SQRT(Settings!$B$13)))</f>
        <v/>
      </c>
      <c r="K536" s="20">
        <f>IF(OR(NOT(ISNUMBER($A536)),ROW()-2&lt;Settings!$B$12),NA(),IF(COUNT(OFFSET(G536,1-Settings!$B$12,0,Settings!$B$12,1))&lt;ROUNDUP(Settings!$B$12*Settings!$B$26,0),NA(),STDEV(OFFSET(G536,1-Settings!$B$12,0,Settings!$B$12,1))*SQRT(Settings!$B$13)))</f>
        <v/>
      </c>
      <c r="L536" s="20">
        <f>IF(AND(ISNUMBER(D536),ISNUMBER(H536)),D536-H536,NA())</f>
        <v/>
      </c>
      <c r="M536" s="20">
        <f>IF(AND(ISNUMBER(E536),ISNUMBER(K536)),E536-K536,NA())</f>
        <v/>
      </c>
      <c r="N536" s="20">
        <f>IF(NOT(ISNUMBER($A536)),NA(),IF(COUNT(OFFSET(G536,1,0,Settings!$B$12,1))&lt;ROUNDUP(Settings!$B$12*Settings!$B$26,0),NA(),STDEV(OFFSET(G536,1,0,Settings!$B$12,1))*SQRT(Settings!$B$13)))</f>
        <v/>
      </c>
      <c r="O536" s="20">
        <f>IF(AND(ISNUMBER(E536),ISNUMBER(N536)),E536-N536,NA())</f>
        <v/>
      </c>
      <c r="P536" s="19">
        <f>IF(NOT(ISNUMBER($A536)),NA(),IF(OR($A536&lt;MIN(KW_TP!$A$2:$A$2501),$A536&gt;MAX(KW_TP!$A$2:$A$2501)),NA(),INDEX(KW_TP!$C$2:$C$2501,MATCH($A536,KW_TP!$A$2:$A$2501,1))))</f>
        <v/>
      </c>
      <c r="Q536" s="18">
        <f>IF(NOT(ISNUMBER($A536)),NA(),IFERROR(1*INDEX(BBG_Data!$J$2:$J$4000,MATCH($A536,BBG_Data!$I$2:$I$4000,0)),NA()))</f>
        <v/>
      </c>
      <c r="R536" s="18">
        <f>IF(NOT(ISNUMBER($A536)),NA(),IFERROR(1*INDEX(BBG_Data!$L$2:$L$4000,MATCH($A536,BBG_Data!$K$2:$K$4000,0)),NA()))</f>
        <v/>
      </c>
      <c r="S536" s="20">
        <f>IF(AND(ISNUMBER(B536),ISNUMBER(Q536),ISNUMBER(R536)),(B536-Q536-R536)*100,NA())</f>
        <v/>
      </c>
      <c r="T536" s="20">
        <f>IF(AND(ISNUMBER(B536),Settings!$B$17&gt;0),IF(ISNUMBER(INDEX($B:$B,Settings!$B$17)),(B536-INDEX($B:$B,Settings!$B$17))*100,NA()),NA())</f>
        <v/>
      </c>
      <c r="U536" s="20">
        <f>IF(AND(ISNUMBER(Q536),Settings!$B$17&gt;0),IF(ISNUMBER(INDEX($Q:$Q,Settings!$B$17)),(Q536-INDEX($Q:$Q,Settings!$B$17))*100,NA()),NA())</f>
        <v/>
      </c>
      <c r="V536" s="20">
        <f>IF(AND(ISNUMBER(R536),Settings!$B$17&gt;0),IF(ISNUMBER(INDEX($R:$R,Settings!$B$17)),(R536-INDEX($R:$R,Settings!$B$17))*100,NA()),NA())</f>
        <v/>
      </c>
      <c r="W536" s="20">
        <f>IF(AND(ISNUMBER(P536),Settings!$B$17&gt;0),IF(ISNUMBER(INDEX($P:$P,Settings!$B$17)),P536-INDEX($P:$P,Settings!$B$17),NA()),NA())</f>
        <v/>
      </c>
      <c r="X536" s="19">
        <f>IF(NOT(ISNUMBER($A536)),NA(),IF(OR($A536&lt;MIN(DKW_10Y!$A$2:$A$2918),$A536&gt;MAX(DKW_10Y!$A$2:$A$2918),Settings!$B$16&lt;MIN(DKW_10Y!$A$2:$A$2918)),NA(),(INDEX(DKW_10Y!$B$2:$B$2918,MATCH($A536,DKW_10Y!$A$2:$A$2918,1))-INDEX(DKW_10Y!$B$2:$B$2918,MATCH(Settings!$B$16,DKW_10Y!$A$2:$A$2918,1)))*100))</f>
        <v/>
      </c>
      <c r="Y536" s="19">
        <f>IF(NOT(ISNUMBER($A536)),NA(),IF(OR($A536&lt;MIN(DKW_10Y!$A$2:$A$2918),$A536&gt;MAX(DKW_10Y!$A$2:$A$2918),Settings!$B$16&lt;MIN(DKW_10Y!$A$2:$A$2918)),NA(),(INDEX(DKW_10Y!$C$2:$C$2918,MATCH($A536,DKW_10Y!$A$2:$A$2918,1))-INDEX(DKW_10Y!$C$2:$C$2918,MATCH(Settings!$B$16,DKW_10Y!$A$2:$A$2918,1)))*100))</f>
        <v/>
      </c>
      <c r="Z536" s="19">
        <f>IF(NOT(ISNUMBER($A536)),NA(),IF(OR($A536&lt;MIN(DKW_10Y!$A$2:$A$2918),$A536&gt;MAX(DKW_10Y!$A$2:$A$2918),Settings!$B$16&lt;MIN(DKW_10Y!$A$2:$A$2918)),NA(),(INDEX(DKW_10Y!$D$2:$D$2918,MATCH($A536,DKW_10Y!$A$2:$A$2918,1))-INDEX(DKW_10Y!$D$2:$D$2918,MATCH(Settings!$B$16,DKW_10Y!$A$2:$A$2918,1)))*100))</f>
        <v/>
      </c>
      <c r="AA536" s="19">
        <f>IF(NOT(ISNUMBER($A536)),NA(),IF(OR($A536&lt;MIN(DKW_10Y!$A$2:$A$2918),$A536&gt;MAX(DKW_10Y!$A$2:$A$2918),Settings!$B$16&lt;MIN(DKW_10Y!$A$2:$A$2918)),NA(),(INDEX(DKW_10Y!$E$2:$E$2918,MATCH($A536,DKW_10Y!$A$2:$A$2918,1))-INDEX(DKW_10Y!$E$2:$E$2918,MATCH(Settings!$B$16,DKW_10Y!$A$2:$A$2918,1)))*100))</f>
        <v/>
      </c>
      <c r="AB536" s="19">
        <f>IF(NOT(ISNUMBER($A536)),NA(),IF(OR($A536&lt;MIN(DKW_10Y!$A$2:$A$2918),$A536&gt;MAX(DKW_10Y!$A$2:$A$2918),Settings!$B$16&lt;MIN(DKW_10Y!$A$2:$A$2918)),NA(),(INDEX(DKW_10Y!$H$2:$H$2918,MATCH($A536,DKW_10Y!$A$2:$A$2918,1))-INDEX(DKW_10Y!$H$2:$H$2918,MATCH(Settings!$B$16,DKW_10Y!$A$2:$A$2918,1)))*100))</f>
        <v/>
      </c>
      <c r="AC536" s="18">
        <f>IF(NOT(ISNUMBER($A536)),NA(),IFERROR(1*INDEX(BBG_Data!$N$2:$N$4000,MATCH($A536,BBG_Data!$M$2:$M$4000,0)),NA()))</f>
        <v/>
      </c>
      <c r="AD536" s="18">
        <f>IF(NOT(ISNUMBER($A536)),NA(),IFERROR(1*INDEX(BBG_Data!$P$2:$P$4000,MATCH($A536,BBG_Data!$O$2:$O$4000,0)),NA()))</f>
        <v/>
      </c>
      <c r="AE536" s="18">
        <f>IF(NOT(ISNUMBER($A536)),NA(),IFERROR(1*INDEX(BBG_Data!$R$2:$R$4000,MATCH($A536,BBG_Data!$Q$2:$Q$4000,0)),NA()))</f>
        <v/>
      </c>
      <c r="AF536" s="20">
        <f>IF(AND(ISNUMBER(B536),ISNUMBER(AC536)),(B536-AC536)*100,NA())</f>
        <v/>
      </c>
      <c r="AG536" s="20">
        <f>IF(AND(ISNUMBER(AE536),ISNUMBER(AD536)),(AE536-AD536)*100,NA())</f>
        <v/>
      </c>
      <c r="AH536" s="19">
        <f>IF(NOT(ISNUMBER($A536)),NA(),IFERROR(INDEX(BBG_Data!$T$2:$T$4000,MATCH($A536,BBG_Data!$S$2:$S$4000,0))*Settings!$B$25,NA()))</f>
        <v/>
      </c>
      <c r="AI536" s="19">
        <f>IF(NOT(ISNUMBER($A536)),NA(),IFERROR(INDEX(BBG_Data!$V$2:$V$4000,MATCH($A536,BBG_Data!$U$2:$U$4000,0))*Settings!$B$25,NA()))</f>
        <v/>
      </c>
      <c r="AJ536" s="19">
        <f>IF(NOT(ISNUMBER($A536)),NA(),IFERROR(1*INDEX(BBG_Data!$X$2:$X$4000,MATCH($A536,BBG_Data!$W$2:$W$4000,0)),NA()))</f>
        <v/>
      </c>
      <c r="AK536" s="19">
        <f>IF(NOT(ISNUMBER($A536)),NA(),IFERROR(1*INDEX(BBG_Data!$Z$2:$Z$4000,MATCH($A536,BBG_Data!$Y$2:$Y$4000,0)),NA()))</f>
        <v/>
      </c>
    </row>
    <row r="537">
      <c r="A537" s="17">
        <f>IF(ISNUMBER(BBG_Data!A537),BBG_Data!A537,"")</f>
        <v/>
      </c>
      <c r="B537" s="18">
        <f>IF(AND(ISNUMBER($A537),ISNUMBER(BBG_Data!B537)),BBG_Data!B537,NA())</f>
        <v/>
      </c>
      <c r="C537" s="18">
        <f>IF(NOT(ISNUMBER($A537)),NA(),IFERROR(1*INDEX(BBG_Data!$D$2:$D$4000,MATCH($A537,BBG_Data!$C$2:$C$4000,0)),NA()))</f>
        <v/>
      </c>
      <c r="D537" s="19">
        <f>IF(NOT(ISNUMBER($A537)),NA(),IFERROR(1*INDEX(BBG_Data!$F$2:$F$4000,MATCH($A537,BBG_Data!$E$2:$E$4000,0)),NA()))</f>
        <v/>
      </c>
      <c r="E537" s="19">
        <f>IF(NOT(ISNUMBER($A537)),NA(),IFERROR(1*INDEX(BBG_Data!$H$2:$H$4000,MATCH($A537,BBG_Data!$G$2:$G$4000,0)),NA()))</f>
        <v/>
      </c>
      <c r="F537" s="20">
        <f>IF(AND(ISNUMBER(B537),ISNUMBER(B536)),IF(B537=B536,"",(B537-B536)*100),"")</f>
        <v/>
      </c>
      <c r="G537" s="20">
        <f>IF(AND(ISNUMBER(C537),ISNUMBER(C536)),IF(C537=C536,"",(C537-C536)*100),"")</f>
        <v/>
      </c>
      <c r="H537" s="20">
        <f>IF(OR(NOT(ISNUMBER($A537)),ROW()-2&lt;Settings!$B$11),NA(),IF(COUNT(OFFSET(F537,1-Settings!$B$11,0,Settings!$B$11,1))&lt;ROUNDUP(Settings!$B$11*Settings!$B$26,0),NA(),STDEV(OFFSET(F537,1-Settings!$B$11,0,Settings!$B$11,1))*SQRT(Settings!$B$13)))</f>
        <v/>
      </c>
      <c r="I537" s="20">
        <f>IF(OR(NOT(ISNUMBER($A537)),ROW()-2&lt;Settings!$B$12),NA(),IF(COUNT(OFFSET(F537,1-Settings!$B$12,0,Settings!$B$12,1))&lt;ROUNDUP(Settings!$B$12*Settings!$B$26,0),NA(),STDEV(OFFSET(F537,1-Settings!$B$12,0,Settings!$B$12,1))*SQRT(Settings!$B$13)))</f>
        <v/>
      </c>
      <c r="J537" s="20">
        <f>IF(OR(NOT(ISNUMBER($A537)),ROW()-2&lt;Settings!$B$11),NA(),IF(COUNT(OFFSET(G537,1-Settings!$B$11,0,Settings!$B$11,1))&lt;ROUNDUP(Settings!$B$11*Settings!$B$26,0),NA(),STDEV(OFFSET(G537,1-Settings!$B$11,0,Settings!$B$11,1))*SQRT(Settings!$B$13)))</f>
        <v/>
      </c>
      <c r="K537" s="20">
        <f>IF(OR(NOT(ISNUMBER($A537)),ROW()-2&lt;Settings!$B$12),NA(),IF(COUNT(OFFSET(G537,1-Settings!$B$12,0,Settings!$B$12,1))&lt;ROUNDUP(Settings!$B$12*Settings!$B$26,0),NA(),STDEV(OFFSET(G537,1-Settings!$B$12,0,Settings!$B$12,1))*SQRT(Settings!$B$13)))</f>
        <v/>
      </c>
      <c r="L537" s="20">
        <f>IF(AND(ISNUMBER(D537),ISNUMBER(H537)),D537-H537,NA())</f>
        <v/>
      </c>
      <c r="M537" s="20">
        <f>IF(AND(ISNUMBER(E537),ISNUMBER(K537)),E537-K537,NA())</f>
        <v/>
      </c>
      <c r="N537" s="20">
        <f>IF(NOT(ISNUMBER($A537)),NA(),IF(COUNT(OFFSET(G537,1,0,Settings!$B$12,1))&lt;ROUNDUP(Settings!$B$12*Settings!$B$26,0),NA(),STDEV(OFFSET(G537,1,0,Settings!$B$12,1))*SQRT(Settings!$B$13)))</f>
        <v/>
      </c>
      <c r="O537" s="20">
        <f>IF(AND(ISNUMBER(E537),ISNUMBER(N537)),E537-N537,NA())</f>
        <v/>
      </c>
      <c r="P537" s="19">
        <f>IF(NOT(ISNUMBER($A537)),NA(),IF(OR($A537&lt;MIN(KW_TP!$A$2:$A$2501),$A537&gt;MAX(KW_TP!$A$2:$A$2501)),NA(),INDEX(KW_TP!$C$2:$C$2501,MATCH($A537,KW_TP!$A$2:$A$2501,1))))</f>
        <v/>
      </c>
      <c r="Q537" s="18">
        <f>IF(NOT(ISNUMBER($A537)),NA(),IFERROR(1*INDEX(BBG_Data!$J$2:$J$4000,MATCH($A537,BBG_Data!$I$2:$I$4000,0)),NA()))</f>
        <v/>
      </c>
      <c r="R537" s="18">
        <f>IF(NOT(ISNUMBER($A537)),NA(),IFERROR(1*INDEX(BBG_Data!$L$2:$L$4000,MATCH($A537,BBG_Data!$K$2:$K$4000,0)),NA()))</f>
        <v/>
      </c>
      <c r="S537" s="20">
        <f>IF(AND(ISNUMBER(B537),ISNUMBER(Q537),ISNUMBER(R537)),(B537-Q537-R537)*100,NA())</f>
        <v/>
      </c>
      <c r="T537" s="20">
        <f>IF(AND(ISNUMBER(B537),Settings!$B$17&gt;0),IF(ISNUMBER(INDEX($B:$B,Settings!$B$17)),(B537-INDEX($B:$B,Settings!$B$17))*100,NA()),NA())</f>
        <v/>
      </c>
      <c r="U537" s="20">
        <f>IF(AND(ISNUMBER(Q537),Settings!$B$17&gt;0),IF(ISNUMBER(INDEX($Q:$Q,Settings!$B$17)),(Q537-INDEX($Q:$Q,Settings!$B$17))*100,NA()),NA())</f>
        <v/>
      </c>
      <c r="V537" s="20">
        <f>IF(AND(ISNUMBER(R537),Settings!$B$17&gt;0),IF(ISNUMBER(INDEX($R:$R,Settings!$B$17)),(R537-INDEX($R:$R,Settings!$B$17))*100,NA()),NA())</f>
        <v/>
      </c>
      <c r="W537" s="20">
        <f>IF(AND(ISNUMBER(P537),Settings!$B$17&gt;0),IF(ISNUMBER(INDEX($P:$P,Settings!$B$17)),P537-INDEX($P:$P,Settings!$B$17),NA()),NA())</f>
        <v/>
      </c>
      <c r="X537" s="19">
        <f>IF(NOT(ISNUMBER($A537)),NA(),IF(OR($A537&lt;MIN(DKW_10Y!$A$2:$A$2918),$A537&gt;MAX(DKW_10Y!$A$2:$A$2918),Settings!$B$16&lt;MIN(DKW_10Y!$A$2:$A$2918)),NA(),(INDEX(DKW_10Y!$B$2:$B$2918,MATCH($A537,DKW_10Y!$A$2:$A$2918,1))-INDEX(DKW_10Y!$B$2:$B$2918,MATCH(Settings!$B$16,DKW_10Y!$A$2:$A$2918,1)))*100))</f>
        <v/>
      </c>
      <c r="Y537" s="19">
        <f>IF(NOT(ISNUMBER($A537)),NA(),IF(OR($A537&lt;MIN(DKW_10Y!$A$2:$A$2918),$A537&gt;MAX(DKW_10Y!$A$2:$A$2918),Settings!$B$16&lt;MIN(DKW_10Y!$A$2:$A$2918)),NA(),(INDEX(DKW_10Y!$C$2:$C$2918,MATCH($A537,DKW_10Y!$A$2:$A$2918,1))-INDEX(DKW_10Y!$C$2:$C$2918,MATCH(Settings!$B$16,DKW_10Y!$A$2:$A$2918,1)))*100))</f>
        <v/>
      </c>
      <c r="Z537" s="19">
        <f>IF(NOT(ISNUMBER($A537)),NA(),IF(OR($A537&lt;MIN(DKW_10Y!$A$2:$A$2918),$A537&gt;MAX(DKW_10Y!$A$2:$A$2918),Settings!$B$16&lt;MIN(DKW_10Y!$A$2:$A$2918)),NA(),(INDEX(DKW_10Y!$D$2:$D$2918,MATCH($A537,DKW_10Y!$A$2:$A$2918,1))-INDEX(DKW_10Y!$D$2:$D$2918,MATCH(Settings!$B$16,DKW_10Y!$A$2:$A$2918,1)))*100))</f>
        <v/>
      </c>
      <c r="AA537" s="19">
        <f>IF(NOT(ISNUMBER($A537)),NA(),IF(OR($A537&lt;MIN(DKW_10Y!$A$2:$A$2918),$A537&gt;MAX(DKW_10Y!$A$2:$A$2918),Settings!$B$16&lt;MIN(DKW_10Y!$A$2:$A$2918)),NA(),(INDEX(DKW_10Y!$E$2:$E$2918,MATCH($A537,DKW_10Y!$A$2:$A$2918,1))-INDEX(DKW_10Y!$E$2:$E$2918,MATCH(Settings!$B$16,DKW_10Y!$A$2:$A$2918,1)))*100))</f>
        <v/>
      </c>
      <c r="AB537" s="19">
        <f>IF(NOT(ISNUMBER($A537)),NA(),IF(OR($A537&lt;MIN(DKW_10Y!$A$2:$A$2918),$A537&gt;MAX(DKW_10Y!$A$2:$A$2918),Settings!$B$16&lt;MIN(DKW_10Y!$A$2:$A$2918)),NA(),(INDEX(DKW_10Y!$H$2:$H$2918,MATCH($A537,DKW_10Y!$A$2:$A$2918,1))-INDEX(DKW_10Y!$H$2:$H$2918,MATCH(Settings!$B$16,DKW_10Y!$A$2:$A$2918,1)))*100))</f>
        <v/>
      </c>
      <c r="AC537" s="18">
        <f>IF(NOT(ISNUMBER($A537)),NA(),IFERROR(1*INDEX(BBG_Data!$N$2:$N$4000,MATCH($A537,BBG_Data!$M$2:$M$4000,0)),NA()))</f>
        <v/>
      </c>
      <c r="AD537" s="18">
        <f>IF(NOT(ISNUMBER($A537)),NA(),IFERROR(1*INDEX(BBG_Data!$P$2:$P$4000,MATCH($A537,BBG_Data!$O$2:$O$4000,0)),NA()))</f>
        <v/>
      </c>
      <c r="AE537" s="18">
        <f>IF(NOT(ISNUMBER($A537)),NA(),IFERROR(1*INDEX(BBG_Data!$R$2:$R$4000,MATCH($A537,BBG_Data!$Q$2:$Q$4000,0)),NA()))</f>
        <v/>
      </c>
      <c r="AF537" s="20">
        <f>IF(AND(ISNUMBER(B537),ISNUMBER(AC537)),(B537-AC537)*100,NA())</f>
        <v/>
      </c>
      <c r="AG537" s="20">
        <f>IF(AND(ISNUMBER(AE537),ISNUMBER(AD537)),(AE537-AD537)*100,NA())</f>
        <v/>
      </c>
      <c r="AH537" s="19">
        <f>IF(NOT(ISNUMBER($A537)),NA(),IFERROR(INDEX(BBG_Data!$T$2:$T$4000,MATCH($A537,BBG_Data!$S$2:$S$4000,0))*Settings!$B$25,NA()))</f>
        <v/>
      </c>
      <c r="AI537" s="19">
        <f>IF(NOT(ISNUMBER($A537)),NA(),IFERROR(INDEX(BBG_Data!$V$2:$V$4000,MATCH($A537,BBG_Data!$U$2:$U$4000,0))*Settings!$B$25,NA()))</f>
        <v/>
      </c>
      <c r="AJ537" s="19">
        <f>IF(NOT(ISNUMBER($A537)),NA(),IFERROR(1*INDEX(BBG_Data!$X$2:$X$4000,MATCH($A537,BBG_Data!$W$2:$W$4000,0)),NA()))</f>
        <v/>
      </c>
      <c r="AK537" s="19">
        <f>IF(NOT(ISNUMBER($A537)),NA(),IFERROR(1*INDEX(BBG_Data!$Z$2:$Z$4000,MATCH($A537,BBG_Data!$Y$2:$Y$4000,0)),NA()))</f>
        <v/>
      </c>
    </row>
    <row r="538">
      <c r="A538" s="17">
        <f>IF(ISNUMBER(BBG_Data!A538),BBG_Data!A538,"")</f>
        <v/>
      </c>
      <c r="B538" s="18">
        <f>IF(AND(ISNUMBER($A538),ISNUMBER(BBG_Data!B538)),BBG_Data!B538,NA())</f>
        <v/>
      </c>
      <c r="C538" s="18">
        <f>IF(NOT(ISNUMBER($A538)),NA(),IFERROR(1*INDEX(BBG_Data!$D$2:$D$4000,MATCH($A538,BBG_Data!$C$2:$C$4000,0)),NA()))</f>
        <v/>
      </c>
      <c r="D538" s="19">
        <f>IF(NOT(ISNUMBER($A538)),NA(),IFERROR(1*INDEX(BBG_Data!$F$2:$F$4000,MATCH($A538,BBG_Data!$E$2:$E$4000,0)),NA()))</f>
        <v/>
      </c>
      <c r="E538" s="19">
        <f>IF(NOT(ISNUMBER($A538)),NA(),IFERROR(1*INDEX(BBG_Data!$H$2:$H$4000,MATCH($A538,BBG_Data!$G$2:$G$4000,0)),NA()))</f>
        <v/>
      </c>
      <c r="F538" s="20">
        <f>IF(AND(ISNUMBER(B538),ISNUMBER(B537)),IF(B538=B537,"",(B538-B537)*100),"")</f>
        <v/>
      </c>
      <c r="G538" s="20">
        <f>IF(AND(ISNUMBER(C538),ISNUMBER(C537)),IF(C538=C537,"",(C538-C537)*100),"")</f>
        <v/>
      </c>
      <c r="H538" s="20">
        <f>IF(OR(NOT(ISNUMBER($A538)),ROW()-2&lt;Settings!$B$11),NA(),IF(COUNT(OFFSET(F538,1-Settings!$B$11,0,Settings!$B$11,1))&lt;ROUNDUP(Settings!$B$11*Settings!$B$26,0),NA(),STDEV(OFFSET(F538,1-Settings!$B$11,0,Settings!$B$11,1))*SQRT(Settings!$B$13)))</f>
        <v/>
      </c>
      <c r="I538" s="20">
        <f>IF(OR(NOT(ISNUMBER($A538)),ROW()-2&lt;Settings!$B$12),NA(),IF(COUNT(OFFSET(F538,1-Settings!$B$12,0,Settings!$B$12,1))&lt;ROUNDUP(Settings!$B$12*Settings!$B$26,0),NA(),STDEV(OFFSET(F538,1-Settings!$B$12,0,Settings!$B$12,1))*SQRT(Settings!$B$13)))</f>
        <v/>
      </c>
      <c r="J538" s="20">
        <f>IF(OR(NOT(ISNUMBER($A538)),ROW()-2&lt;Settings!$B$11),NA(),IF(COUNT(OFFSET(G538,1-Settings!$B$11,0,Settings!$B$11,1))&lt;ROUNDUP(Settings!$B$11*Settings!$B$26,0),NA(),STDEV(OFFSET(G538,1-Settings!$B$11,0,Settings!$B$11,1))*SQRT(Settings!$B$13)))</f>
        <v/>
      </c>
      <c r="K538" s="20">
        <f>IF(OR(NOT(ISNUMBER($A538)),ROW()-2&lt;Settings!$B$12),NA(),IF(COUNT(OFFSET(G538,1-Settings!$B$12,0,Settings!$B$12,1))&lt;ROUNDUP(Settings!$B$12*Settings!$B$26,0),NA(),STDEV(OFFSET(G538,1-Settings!$B$12,0,Settings!$B$12,1))*SQRT(Settings!$B$13)))</f>
        <v/>
      </c>
      <c r="L538" s="20">
        <f>IF(AND(ISNUMBER(D538),ISNUMBER(H538)),D538-H538,NA())</f>
        <v/>
      </c>
      <c r="M538" s="20">
        <f>IF(AND(ISNUMBER(E538),ISNUMBER(K538)),E538-K538,NA())</f>
        <v/>
      </c>
      <c r="N538" s="20">
        <f>IF(NOT(ISNUMBER($A538)),NA(),IF(COUNT(OFFSET(G538,1,0,Settings!$B$12,1))&lt;ROUNDUP(Settings!$B$12*Settings!$B$26,0),NA(),STDEV(OFFSET(G538,1,0,Settings!$B$12,1))*SQRT(Settings!$B$13)))</f>
        <v/>
      </c>
      <c r="O538" s="20">
        <f>IF(AND(ISNUMBER(E538),ISNUMBER(N538)),E538-N538,NA())</f>
        <v/>
      </c>
      <c r="P538" s="19">
        <f>IF(NOT(ISNUMBER($A538)),NA(),IF(OR($A538&lt;MIN(KW_TP!$A$2:$A$2501),$A538&gt;MAX(KW_TP!$A$2:$A$2501)),NA(),INDEX(KW_TP!$C$2:$C$2501,MATCH($A538,KW_TP!$A$2:$A$2501,1))))</f>
        <v/>
      </c>
      <c r="Q538" s="18">
        <f>IF(NOT(ISNUMBER($A538)),NA(),IFERROR(1*INDEX(BBG_Data!$J$2:$J$4000,MATCH($A538,BBG_Data!$I$2:$I$4000,0)),NA()))</f>
        <v/>
      </c>
      <c r="R538" s="18">
        <f>IF(NOT(ISNUMBER($A538)),NA(),IFERROR(1*INDEX(BBG_Data!$L$2:$L$4000,MATCH($A538,BBG_Data!$K$2:$K$4000,0)),NA()))</f>
        <v/>
      </c>
      <c r="S538" s="20">
        <f>IF(AND(ISNUMBER(B538),ISNUMBER(Q538),ISNUMBER(R538)),(B538-Q538-R538)*100,NA())</f>
        <v/>
      </c>
      <c r="T538" s="20">
        <f>IF(AND(ISNUMBER(B538),Settings!$B$17&gt;0),IF(ISNUMBER(INDEX($B:$B,Settings!$B$17)),(B538-INDEX($B:$B,Settings!$B$17))*100,NA()),NA())</f>
        <v/>
      </c>
      <c r="U538" s="20">
        <f>IF(AND(ISNUMBER(Q538),Settings!$B$17&gt;0),IF(ISNUMBER(INDEX($Q:$Q,Settings!$B$17)),(Q538-INDEX($Q:$Q,Settings!$B$17))*100,NA()),NA())</f>
        <v/>
      </c>
      <c r="V538" s="20">
        <f>IF(AND(ISNUMBER(R538),Settings!$B$17&gt;0),IF(ISNUMBER(INDEX($R:$R,Settings!$B$17)),(R538-INDEX($R:$R,Settings!$B$17))*100,NA()),NA())</f>
        <v/>
      </c>
      <c r="W538" s="20">
        <f>IF(AND(ISNUMBER(P538),Settings!$B$17&gt;0),IF(ISNUMBER(INDEX($P:$P,Settings!$B$17)),P538-INDEX($P:$P,Settings!$B$17),NA()),NA())</f>
        <v/>
      </c>
      <c r="X538" s="19">
        <f>IF(NOT(ISNUMBER($A538)),NA(),IF(OR($A538&lt;MIN(DKW_10Y!$A$2:$A$2918),$A538&gt;MAX(DKW_10Y!$A$2:$A$2918),Settings!$B$16&lt;MIN(DKW_10Y!$A$2:$A$2918)),NA(),(INDEX(DKW_10Y!$B$2:$B$2918,MATCH($A538,DKW_10Y!$A$2:$A$2918,1))-INDEX(DKW_10Y!$B$2:$B$2918,MATCH(Settings!$B$16,DKW_10Y!$A$2:$A$2918,1)))*100))</f>
        <v/>
      </c>
      <c r="Y538" s="19">
        <f>IF(NOT(ISNUMBER($A538)),NA(),IF(OR($A538&lt;MIN(DKW_10Y!$A$2:$A$2918),$A538&gt;MAX(DKW_10Y!$A$2:$A$2918),Settings!$B$16&lt;MIN(DKW_10Y!$A$2:$A$2918)),NA(),(INDEX(DKW_10Y!$C$2:$C$2918,MATCH($A538,DKW_10Y!$A$2:$A$2918,1))-INDEX(DKW_10Y!$C$2:$C$2918,MATCH(Settings!$B$16,DKW_10Y!$A$2:$A$2918,1)))*100))</f>
        <v/>
      </c>
      <c r="Z538" s="19">
        <f>IF(NOT(ISNUMBER($A538)),NA(),IF(OR($A538&lt;MIN(DKW_10Y!$A$2:$A$2918),$A538&gt;MAX(DKW_10Y!$A$2:$A$2918),Settings!$B$16&lt;MIN(DKW_10Y!$A$2:$A$2918)),NA(),(INDEX(DKW_10Y!$D$2:$D$2918,MATCH($A538,DKW_10Y!$A$2:$A$2918,1))-INDEX(DKW_10Y!$D$2:$D$2918,MATCH(Settings!$B$16,DKW_10Y!$A$2:$A$2918,1)))*100))</f>
        <v/>
      </c>
      <c r="AA538" s="19">
        <f>IF(NOT(ISNUMBER($A538)),NA(),IF(OR($A538&lt;MIN(DKW_10Y!$A$2:$A$2918),$A538&gt;MAX(DKW_10Y!$A$2:$A$2918),Settings!$B$16&lt;MIN(DKW_10Y!$A$2:$A$2918)),NA(),(INDEX(DKW_10Y!$E$2:$E$2918,MATCH($A538,DKW_10Y!$A$2:$A$2918,1))-INDEX(DKW_10Y!$E$2:$E$2918,MATCH(Settings!$B$16,DKW_10Y!$A$2:$A$2918,1)))*100))</f>
        <v/>
      </c>
      <c r="AB538" s="19">
        <f>IF(NOT(ISNUMBER($A538)),NA(),IF(OR($A538&lt;MIN(DKW_10Y!$A$2:$A$2918),$A538&gt;MAX(DKW_10Y!$A$2:$A$2918),Settings!$B$16&lt;MIN(DKW_10Y!$A$2:$A$2918)),NA(),(INDEX(DKW_10Y!$H$2:$H$2918,MATCH($A538,DKW_10Y!$A$2:$A$2918,1))-INDEX(DKW_10Y!$H$2:$H$2918,MATCH(Settings!$B$16,DKW_10Y!$A$2:$A$2918,1)))*100))</f>
        <v/>
      </c>
      <c r="AC538" s="18">
        <f>IF(NOT(ISNUMBER($A538)),NA(),IFERROR(1*INDEX(BBG_Data!$N$2:$N$4000,MATCH($A538,BBG_Data!$M$2:$M$4000,0)),NA()))</f>
        <v/>
      </c>
      <c r="AD538" s="18">
        <f>IF(NOT(ISNUMBER($A538)),NA(),IFERROR(1*INDEX(BBG_Data!$P$2:$P$4000,MATCH($A538,BBG_Data!$O$2:$O$4000,0)),NA()))</f>
        <v/>
      </c>
      <c r="AE538" s="18">
        <f>IF(NOT(ISNUMBER($A538)),NA(),IFERROR(1*INDEX(BBG_Data!$R$2:$R$4000,MATCH($A538,BBG_Data!$Q$2:$Q$4000,0)),NA()))</f>
        <v/>
      </c>
      <c r="AF538" s="20">
        <f>IF(AND(ISNUMBER(B538),ISNUMBER(AC538)),(B538-AC538)*100,NA())</f>
        <v/>
      </c>
      <c r="AG538" s="20">
        <f>IF(AND(ISNUMBER(AE538),ISNUMBER(AD538)),(AE538-AD538)*100,NA())</f>
        <v/>
      </c>
      <c r="AH538" s="19">
        <f>IF(NOT(ISNUMBER($A538)),NA(),IFERROR(INDEX(BBG_Data!$T$2:$T$4000,MATCH($A538,BBG_Data!$S$2:$S$4000,0))*Settings!$B$25,NA()))</f>
        <v/>
      </c>
      <c r="AI538" s="19">
        <f>IF(NOT(ISNUMBER($A538)),NA(),IFERROR(INDEX(BBG_Data!$V$2:$V$4000,MATCH($A538,BBG_Data!$U$2:$U$4000,0))*Settings!$B$25,NA()))</f>
        <v/>
      </c>
      <c r="AJ538" s="19">
        <f>IF(NOT(ISNUMBER($A538)),NA(),IFERROR(1*INDEX(BBG_Data!$X$2:$X$4000,MATCH($A538,BBG_Data!$W$2:$W$4000,0)),NA()))</f>
        <v/>
      </c>
      <c r="AK538" s="19">
        <f>IF(NOT(ISNUMBER($A538)),NA(),IFERROR(1*INDEX(BBG_Data!$Z$2:$Z$4000,MATCH($A538,BBG_Data!$Y$2:$Y$4000,0)),NA()))</f>
        <v/>
      </c>
    </row>
    <row r="539">
      <c r="A539" s="17">
        <f>IF(ISNUMBER(BBG_Data!A539),BBG_Data!A539,"")</f>
        <v/>
      </c>
      <c r="B539" s="18">
        <f>IF(AND(ISNUMBER($A539),ISNUMBER(BBG_Data!B539)),BBG_Data!B539,NA())</f>
        <v/>
      </c>
      <c r="C539" s="18">
        <f>IF(NOT(ISNUMBER($A539)),NA(),IFERROR(1*INDEX(BBG_Data!$D$2:$D$4000,MATCH($A539,BBG_Data!$C$2:$C$4000,0)),NA()))</f>
        <v/>
      </c>
      <c r="D539" s="19">
        <f>IF(NOT(ISNUMBER($A539)),NA(),IFERROR(1*INDEX(BBG_Data!$F$2:$F$4000,MATCH($A539,BBG_Data!$E$2:$E$4000,0)),NA()))</f>
        <v/>
      </c>
      <c r="E539" s="19">
        <f>IF(NOT(ISNUMBER($A539)),NA(),IFERROR(1*INDEX(BBG_Data!$H$2:$H$4000,MATCH($A539,BBG_Data!$G$2:$G$4000,0)),NA()))</f>
        <v/>
      </c>
      <c r="F539" s="20">
        <f>IF(AND(ISNUMBER(B539),ISNUMBER(B538)),IF(B539=B538,"",(B539-B538)*100),"")</f>
        <v/>
      </c>
      <c r="G539" s="20">
        <f>IF(AND(ISNUMBER(C539),ISNUMBER(C538)),IF(C539=C538,"",(C539-C538)*100),"")</f>
        <v/>
      </c>
      <c r="H539" s="20">
        <f>IF(OR(NOT(ISNUMBER($A539)),ROW()-2&lt;Settings!$B$11),NA(),IF(COUNT(OFFSET(F539,1-Settings!$B$11,0,Settings!$B$11,1))&lt;ROUNDUP(Settings!$B$11*Settings!$B$26,0),NA(),STDEV(OFFSET(F539,1-Settings!$B$11,0,Settings!$B$11,1))*SQRT(Settings!$B$13)))</f>
        <v/>
      </c>
      <c r="I539" s="20">
        <f>IF(OR(NOT(ISNUMBER($A539)),ROW()-2&lt;Settings!$B$12),NA(),IF(COUNT(OFFSET(F539,1-Settings!$B$12,0,Settings!$B$12,1))&lt;ROUNDUP(Settings!$B$12*Settings!$B$26,0),NA(),STDEV(OFFSET(F539,1-Settings!$B$12,0,Settings!$B$12,1))*SQRT(Settings!$B$13)))</f>
        <v/>
      </c>
      <c r="J539" s="20">
        <f>IF(OR(NOT(ISNUMBER($A539)),ROW()-2&lt;Settings!$B$11),NA(),IF(COUNT(OFFSET(G539,1-Settings!$B$11,0,Settings!$B$11,1))&lt;ROUNDUP(Settings!$B$11*Settings!$B$26,0),NA(),STDEV(OFFSET(G539,1-Settings!$B$11,0,Settings!$B$11,1))*SQRT(Settings!$B$13)))</f>
        <v/>
      </c>
      <c r="K539" s="20">
        <f>IF(OR(NOT(ISNUMBER($A539)),ROW()-2&lt;Settings!$B$12),NA(),IF(COUNT(OFFSET(G539,1-Settings!$B$12,0,Settings!$B$12,1))&lt;ROUNDUP(Settings!$B$12*Settings!$B$26,0),NA(),STDEV(OFFSET(G539,1-Settings!$B$12,0,Settings!$B$12,1))*SQRT(Settings!$B$13)))</f>
        <v/>
      </c>
      <c r="L539" s="20">
        <f>IF(AND(ISNUMBER(D539),ISNUMBER(H539)),D539-H539,NA())</f>
        <v/>
      </c>
      <c r="M539" s="20">
        <f>IF(AND(ISNUMBER(E539),ISNUMBER(K539)),E539-K539,NA())</f>
        <v/>
      </c>
      <c r="N539" s="20">
        <f>IF(NOT(ISNUMBER($A539)),NA(),IF(COUNT(OFFSET(G539,1,0,Settings!$B$12,1))&lt;ROUNDUP(Settings!$B$12*Settings!$B$26,0),NA(),STDEV(OFFSET(G539,1,0,Settings!$B$12,1))*SQRT(Settings!$B$13)))</f>
        <v/>
      </c>
      <c r="O539" s="20">
        <f>IF(AND(ISNUMBER(E539),ISNUMBER(N539)),E539-N539,NA())</f>
        <v/>
      </c>
      <c r="P539" s="19">
        <f>IF(NOT(ISNUMBER($A539)),NA(),IF(OR($A539&lt;MIN(KW_TP!$A$2:$A$2501),$A539&gt;MAX(KW_TP!$A$2:$A$2501)),NA(),INDEX(KW_TP!$C$2:$C$2501,MATCH($A539,KW_TP!$A$2:$A$2501,1))))</f>
        <v/>
      </c>
      <c r="Q539" s="18">
        <f>IF(NOT(ISNUMBER($A539)),NA(),IFERROR(1*INDEX(BBG_Data!$J$2:$J$4000,MATCH($A539,BBG_Data!$I$2:$I$4000,0)),NA()))</f>
        <v/>
      </c>
      <c r="R539" s="18">
        <f>IF(NOT(ISNUMBER($A539)),NA(),IFERROR(1*INDEX(BBG_Data!$L$2:$L$4000,MATCH($A539,BBG_Data!$K$2:$K$4000,0)),NA()))</f>
        <v/>
      </c>
      <c r="S539" s="20">
        <f>IF(AND(ISNUMBER(B539),ISNUMBER(Q539),ISNUMBER(R539)),(B539-Q539-R539)*100,NA())</f>
        <v/>
      </c>
      <c r="T539" s="20">
        <f>IF(AND(ISNUMBER(B539),Settings!$B$17&gt;0),IF(ISNUMBER(INDEX($B:$B,Settings!$B$17)),(B539-INDEX($B:$B,Settings!$B$17))*100,NA()),NA())</f>
        <v/>
      </c>
      <c r="U539" s="20">
        <f>IF(AND(ISNUMBER(Q539),Settings!$B$17&gt;0),IF(ISNUMBER(INDEX($Q:$Q,Settings!$B$17)),(Q539-INDEX($Q:$Q,Settings!$B$17))*100,NA()),NA())</f>
        <v/>
      </c>
      <c r="V539" s="20">
        <f>IF(AND(ISNUMBER(R539),Settings!$B$17&gt;0),IF(ISNUMBER(INDEX($R:$R,Settings!$B$17)),(R539-INDEX($R:$R,Settings!$B$17))*100,NA()),NA())</f>
        <v/>
      </c>
      <c r="W539" s="20">
        <f>IF(AND(ISNUMBER(P539),Settings!$B$17&gt;0),IF(ISNUMBER(INDEX($P:$P,Settings!$B$17)),P539-INDEX($P:$P,Settings!$B$17),NA()),NA())</f>
        <v/>
      </c>
      <c r="X539" s="19">
        <f>IF(NOT(ISNUMBER($A539)),NA(),IF(OR($A539&lt;MIN(DKW_10Y!$A$2:$A$2918),$A539&gt;MAX(DKW_10Y!$A$2:$A$2918),Settings!$B$16&lt;MIN(DKW_10Y!$A$2:$A$2918)),NA(),(INDEX(DKW_10Y!$B$2:$B$2918,MATCH($A539,DKW_10Y!$A$2:$A$2918,1))-INDEX(DKW_10Y!$B$2:$B$2918,MATCH(Settings!$B$16,DKW_10Y!$A$2:$A$2918,1)))*100))</f>
        <v/>
      </c>
      <c r="Y539" s="19">
        <f>IF(NOT(ISNUMBER($A539)),NA(),IF(OR($A539&lt;MIN(DKW_10Y!$A$2:$A$2918),$A539&gt;MAX(DKW_10Y!$A$2:$A$2918),Settings!$B$16&lt;MIN(DKW_10Y!$A$2:$A$2918)),NA(),(INDEX(DKW_10Y!$C$2:$C$2918,MATCH($A539,DKW_10Y!$A$2:$A$2918,1))-INDEX(DKW_10Y!$C$2:$C$2918,MATCH(Settings!$B$16,DKW_10Y!$A$2:$A$2918,1)))*100))</f>
        <v/>
      </c>
      <c r="Z539" s="19">
        <f>IF(NOT(ISNUMBER($A539)),NA(),IF(OR($A539&lt;MIN(DKW_10Y!$A$2:$A$2918),$A539&gt;MAX(DKW_10Y!$A$2:$A$2918),Settings!$B$16&lt;MIN(DKW_10Y!$A$2:$A$2918)),NA(),(INDEX(DKW_10Y!$D$2:$D$2918,MATCH($A539,DKW_10Y!$A$2:$A$2918,1))-INDEX(DKW_10Y!$D$2:$D$2918,MATCH(Settings!$B$16,DKW_10Y!$A$2:$A$2918,1)))*100))</f>
        <v/>
      </c>
      <c r="AA539" s="19">
        <f>IF(NOT(ISNUMBER($A539)),NA(),IF(OR($A539&lt;MIN(DKW_10Y!$A$2:$A$2918),$A539&gt;MAX(DKW_10Y!$A$2:$A$2918),Settings!$B$16&lt;MIN(DKW_10Y!$A$2:$A$2918)),NA(),(INDEX(DKW_10Y!$E$2:$E$2918,MATCH($A539,DKW_10Y!$A$2:$A$2918,1))-INDEX(DKW_10Y!$E$2:$E$2918,MATCH(Settings!$B$16,DKW_10Y!$A$2:$A$2918,1)))*100))</f>
        <v/>
      </c>
      <c r="AB539" s="19">
        <f>IF(NOT(ISNUMBER($A539)),NA(),IF(OR($A539&lt;MIN(DKW_10Y!$A$2:$A$2918),$A539&gt;MAX(DKW_10Y!$A$2:$A$2918),Settings!$B$16&lt;MIN(DKW_10Y!$A$2:$A$2918)),NA(),(INDEX(DKW_10Y!$H$2:$H$2918,MATCH($A539,DKW_10Y!$A$2:$A$2918,1))-INDEX(DKW_10Y!$H$2:$H$2918,MATCH(Settings!$B$16,DKW_10Y!$A$2:$A$2918,1)))*100))</f>
        <v/>
      </c>
      <c r="AC539" s="18">
        <f>IF(NOT(ISNUMBER($A539)),NA(),IFERROR(1*INDEX(BBG_Data!$N$2:$N$4000,MATCH($A539,BBG_Data!$M$2:$M$4000,0)),NA()))</f>
        <v/>
      </c>
      <c r="AD539" s="18">
        <f>IF(NOT(ISNUMBER($A539)),NA(),IFERROR(1*INDEX(BBG_Data!$P$2:$P$4000,MATCH($A539,BBG_Data!$O$2:$O$4000,0)),NA()))</f>
        <v/>
      </c>
      <c r="AE539" s="18">
        <f>IF(NOT(ISNUMBER($A539)),NA(),IFERROR(1*INDEX(BBG_Data!$R$2:$R$4000,MATCH($A539,BBG_Data!$Q$2:$Q$4000,0)),NA()))</f>
        <v/>
      </c>
      <c r="AF539" s="20">
        <f>IF(AND(ISNUMBER(B539),ISNUMBER(AC539)),(B539-AC539)*100,NA())</f>
        <v/>
      </c>
      <c r="AG539" s="20">
        <f>IF(AND(ISNUMBER(AE539),ISNUMBER(AD539)),(AE539-AD539)*100,NA())</f>
        <v/>
      </c>
      <c r="AH539" s="19">
        <f>IF(NOT(ISNUMBER($A539)),NA(),IFERROR(INDEX(BBG_Data!$T$2:$T$4000,MATCH($A539,BBG_Data!$S$2:$S$4000,0))*Settings!$B$25,NA()))</f>
        <v/>
      </c>
      <c r="AI539" s="19">
        <f>IF(NOT(ISNUMBER($A539)),NA(),IFERROR(INDEX(BBG_Data!$V$2:$V$4000,MATCH($A539,BBG_Data!$U$2:$U$4000,0))*Settings!$B$25,NA()))</f>
        <v/>
      </c>
      <c r="AJ539" s="19">
        <f>IF(NOT(ISNUMBER($A539)),NA(),IFERROR(1*INDEX(BBG_Data!$X$2:$X$4000,MATCH($A539,BBG_Data!$W$2:$W$4000,0)),NA()))</f>
        <v/>
      </c>
      <c r="AK539" s="19">
        <f>IF(NOT(ISNUMBER($A539)),NA(),IFERROR(1*INDEX(BBG_Data!$Z$2:$Z$4000,MATCH($A539,BBG_Data!$Y$2:$Y$4000,0)),NA()))</f>
        <v/>
      </c>
    </row>
    <row r="540">
      <c r="A540" s="17">
        <f>IF(ISNUMBER(BBG_Data!A540),BBG_Data!A540,"")</f>
        <v/>
      </c>
      <c r="B540" s="18">
        <f>IF(AND(ISNUMBER($A540),ISNUMBER(BBG_Data!B540)),BBG_Data!B540,NA())</f>
        <v/>
      </c>
      <c r="C540" s="18">
        <f>IF(NOT(ISNUMBER($A540)),NA(),IFERROR(1*INDEX(BBG_Data!$D$2:$D$4000,MATCH($A540,BBG_Data!$C$2:$C$4000,0)),NA()))</f>
        <v/>
      </c>
      <c r="D540" s="19">
        <f>IF(NOT(ISNUMBER($A540)),NA(),IFERROR(1*INDEX(BBG_Data!$F$2:$F$4000,MATCH($A540,BBG_Data!$E$2:$E$4000,0)),NA()))</f>
        <v/>
      </c>
      <c r="E540" s="19">
        <f>IF(NOT(ISNUMBER($A540)),NA(),IFERROR(1*INDEX(BBG_Data!$H$2:$H$4000,MATCH($A540,BBG_Data!$G$2:$G$4000,0)),NA()))</f>
        <v/>
      </c>
      <c r="F540" s="20">
        <f>IF(AND(ISNUMBER(B540),ISNUMBER(B539)),IF(B540=B539,"",(B540-B539)*100),"")</f>
        <v/>
      </c>
      <c r="G540" s="20">
        <f>IF(AND(ISNUMBER(C540),ISNUMBER(C539)),IF(C540=C539,"",(C540-C539)*100),"")</f>
        <v/>
      </c>
      <c r="H540" s="20">
        <f>IF(OR(NOT(ISNUMBER($A540)),ROW()-2&lt;Settings!$B$11),NA(),IF(COUNT(OFFSET(F540,1-Settings!$B$11,0,Settings!$B$11,1))&lt;ROUNDUP(Settings!$B$11*Settings!$B$26,0),NA(),STDEV(OFFSET(F540,1-Settings!$B$11,0,Settings!$B$11,1))*SQRT(Settings!$B$13)))</f>
        <v/>
      </c>
      <c r="I540" s="20">
        <f>IF(OR(NOT(ISNUMBER($A540)),ROW()-2&lt;Settings!$B$12),NA(),IF(COUNT(OFFSET(F540,1-Settings!$B$12,0,Settings!$B$12,1))&lt;ROUNDUP(Settings!$B$12*Settings!$B$26,0),NA(),STDEV(OFFSET(F540,1-Settings!$B$12,0,Settings!$B$12,1))*SQRT(Settings!$B$13)))</f>
        <v/>
      </c>
      <c r="J540" s="20">
        <f>IF(OR(NOT(ISNUMBER($A540)),ROW()-2&lt;Settings!$B$11),NA(),IF(COUNT(OFFSET(G540,1-Settings!$B$11,0,Settings!$B$11,1))&lt;ROUNDUP(Settings!$B$11*Settings!$B$26,0),NA(),STDEV(OFFSET(G540,1-Settings!$B$11,0,Settings!$B$11,1))*SQRT(Settings!$B$13)))</f>
        <v/>
      </c>
      <c r="K540" s="20">
        <f>IF(OR(NOT(ISNUMBER($A540)),ROW()-2&lt;Settings!$B$12),NA(),IF(COUNT(OFFSET(G540,1-Settings!$B$12,0,Settings!$B$12,1))&lt;ROUNDUP(Settings!$B$12*Settings!$B$26,0),NA(),STDEV(OFFSET(G540,1-Settings!$B$12,0,Settings!$B$12,1))*SQRT(Settings!$B$13)))</f>
        <v/>
      </c>
      <c r="L540" s="20">
        <f>IF(AND(ISNUMBER(D540),ISNUMBER(H540)),D540-H540,NA())</f>
        <v/>
      </c>
      <c r="M540" s="20">
        <f>IF(AND(ISNUMBER(E540),ISNUMBER(K540)),E540-K540,NA())</f>
        <v/>
      </c>
      <c r="N540" s="20">
        <f>IF(NOT(ISNUMBER($A540)),NA(),IF(COUNT(OFFSET(G540,1,0,Settings!$B$12,1))&lt;ROUNDUP(Settings!$B$12*Settings!$B$26,0),NA(),STDEV(OFFSET(G540,1,0,Settings!$B$12,1))*SQRT(Settings!$B$13)))</f>
        <v/>
      </c>
      <c r="O540" s="20">
        <f>IF(AND(ISNUMBER(E540),ISNUMBER(N540)),E540-N540,NA())</f>
        <v/>
      </c>
      <c r="P540" s="19">
        <f>IF(NOT(ISNUMBER($A540)),NA(),IF(OR($A540&lt;MIN(KW_TP!$A$2:$A$2501),$A540&gt;MAX(KW_TP!$A$2:$A$2501)),NA(),INDEX(KW_TP!$C$2:$C$2501,MATCH($A540,KW_TP!$A$2:$A$2501,1))))</f>
        <v/>
      </c>
      <c r="Q540" s="18">
        <f>IF(NOT(ISNUMBER($A540)),NA(),IFERROR(1*INDEX(BBG_Data!$J$2:$J$4000,MATCH($A540,BBG_Data!$I$2:$I$4000,0)),NA()))</f>
        <v/>
      </c>
      <c r="R540" s="18">
        <f>IF(NOT(ISNUMBER($A540)),NA(),IFERROR(1*INDEX(BBG_Data!$L$2:$L$4000,MATCH($A540,BBG_Data!$K$2:$K$4000,0)),NA()))</f>
        <v/>
      </c>
      <c r="S540" s="20">
        <f>IF(AND(ISNUMBER(B540),ISNUMBER(Q540),ISNUMBER(R540)),(B540-Q540-R540)*100,NA())</f>
        <v/>
      </c>
      <c r="T540" s="20">
        <f>IF(AND(ISNUMBER(B540),Settings!$B$17&gt;0),IF(ISNUMBER(INDEX($B:$B,Settings!$B$17)),(B540-INDEX($B:$B,Settings!$B$17))*100,NA()),NA())</f>
        <v/>
      </c>
      <c r="U540" s="20">
        <f>IF(AND(ISNUMBER(Q540),Settings!$B$17&gt;0),IF(ISNUMBER(INDEX($Q:$Q,Settings!$B$17)),(Q540-INDEX($Q:$Q,Settings!$B$17))*100,NA()),NA())</f>
        <v/>
      </c>
      <c r="V540" s="20">
        <f>IF(AND(ISNUMBER(R540),Settings!$B$17&gt;0),IF(ISNUMBER(INDEX($R:$R,Settings!$B$17)),(R540-INDEX($R:$R,Settings!$B$17))*100,NA()),NA())</f>
        <v/>
      </c>
      <c r="W540" s="20">
        <f>IF(AND(ISNUMBER(P540),Settings!$B$17&gt;0),IF(ISNUMBER(INDEX($P:$P,Settings!$B$17)),P540-INDEX($P:$P,Settings!$B$17),NA()),NA())</f>
        <v/>
      </c>
      <c r="X540" s="19">
        <f>IF(NOT(ISNUMBER($A540)),NA(),IF(OR($A540&lt;MIN(DKW_10Y!$A$2:$A$2918),$A540&gt;MAX(DKW_10Y!$A$2:$A$2918),Settings!$B$16&lt;MIN(DKW_10Y!$A$2:$A$2918)),NA(),(INDEX(DKW_10Y!$B$2:$B$2918,MATCH($A540,DKW_10Y!$A$2:$A$2918,1))-INDEX(DKW_10Y!$B$2:$B$2918,MATCH(Settings!$B$16,DKW_10Y!$A$2:$A$2918,1)))*100))</f>
        <v/>
      </c>
      <c r="Y540" s="19">
        <f>IF(NOT(ISNUMBER($A540)),NA(),IF(OR($A540&lt;MIN(DKW_10Y!$A$2:$A$2918),$A540&gt;MAX(DKW_10Y!$A$2:$A$2918),Settings!$B$16&lt;MIN(DKW_10Y!$A$2:$A$2918)),NA(),(INDEX(DKW_10Y!$C$2:$C$2918,MATCH($A540,DKW_10Y!$A$2:$A$2918,1))-INDEX(DKW_10Y!$C$2:$C$2918,MATCH(Settings!$B$16,DKW_10Y!$A$2:$A$2918,1)))*100))</f>
        <v/>
      </c>
      <c r="Z540" s="19">
        <f>IF(NOT(ISNUMBER($A540)),NA(),IF(OR($A540&lt;MIN(DKW_10Y!$A$2:$A$2918),$A540&gt;MAX(DKW_10Y!$A$2:$A$2918),Settings!$B$16&lt;MIN(DKW_10Y!$A$2:$A$2918)),NA(),(INDEX(DKW_10Y!$D$2:$D$2918,MATCH($A540,DKW_10Y!$A$2:$A$2918,1))-INDEX(DKW_10Y!$D$2:$D$2918,MATCH(Settings!$B$16,DKW_10Y!$A$2:$A$2918,1)))*100))</f>
        <v/>
      </c>
      <c r="AA540" s="19">
        <f>IF(NOT(ISNUMBER($A540)),NA(),IF(OR($A540&lt;MIN(DKW_10Y!$A$2:$A$2918),$A540&gt;MAX(DKW_10Y!$A$2:$A$2918),Settings!$B$16&lt;MIN(DKW_10Y!$A$2:$A$2918)),NA(),(INDEX(DKW_10Y!$E$2:$E$2918,MATCH($A540,DKW_10Y!$A$2:$A$2918,1))-INDEX(DKW_10Y!$E$2:$E$2918,MATCH(Settings!$B$16,DKW_10Y!$A$2:$A$2918,1)))*100))</f>
        <v/>
      </c>
      <c r="AB540" s="19">
        <f>IF(NOT(ISNUMBER($A540)),NA(),IF(OR($A540&lt;MIN(DKW_10Y!$A$2:$A$2918),$A540&gt;MAX(DKW_10Y!$A$2:$A$2918),Settings!$B$16&lt;MIN(DKW_10Y!$A$2:$A$2918)),NA(),(INDEX(DKW_10Y!$H$2:$H$2918,MATCH($A540,DKW_10Y!$A$2:$A$2918,1))-INDEX(DKW_10Y!$H$2:$H$2918,MATCH(Settings!$B$16,DKW_10Y!$A$2:$A$2918,1)))*100))</f>
        <v/>
      </c>
      <c r="AC540" s="18">
        <f>IF(NOT(ISNUMBER($A540)),NA(),IFERROR(1*INDEX(BBG_Data!$N$2:$N$4000,MATCH($A540,BBG_Data!$M$2:$M$4000,0)),NA()))</f>
        <v/>
      </c>
      <c r="AD540" s="18">
        <f>IF(NOT(ISNUMBER($A540)),NA(),IFERROR(1*INDEX(BBG_Data!$P$2:$P$4000,MATCH($A540,BBG_Data!$O$2:$O$4000,0)),NA()))</f>
        <v/>
      </c>
      <c r="AE540" s="18">
        <f>IF(NOT(ISNUMBER($A540)),NA(),IFERROR(1*INDEX(BBG_Data!$R$2:$R$4000,MATCH($A540,BBG_Data!$Q$2:$Q$4000,0)),NA()))</f>
        <v/>
      </c>
      <c r="AF540" s="20">
        <f>IF(AND(ISNUMBER(B540),ISNUMBER(AC540)),(B540-AC540)*100,NA())</f>
        <v/>
      </c>
      <c r="AG540" s="20">
        <f>IF(AND(ISNUMBER(AE540),ISNUMBER(AD540)),(AE540-AD540)*100,NA())</f>
        <v/>
      </c>
      <c r="AH540" s="19">
        <f>IF(NOT(ISNUMBER($A540)),NA(),IFERROR(INDEX(BBG_Data!$T$2:$T$4000,MATCH($A540,BBG_Data!$S$2:$S$4000,0))*Settings!$B$25,NA()))</f>
        <v/>
      </c>
      <c r="AI540" s="19">
        <f>IF(NOT(ISNUMBER($A540)),NA(),IFERROR(INDEX(BBG_Data!$V$2:$V$4000,MATCH($A540,BBG_Data!$U$2:$U$4000,0))*Settings!$B$25,NA()))</f>
        <v/>
      </c>
      <c r="AJ540" s="19">
        <f>IF(NOT(ISNUMBER($A540)),NA(),IFERROR(1*INDEX(BBG_Data!$X$2:$X$4000,MATCH($A540,BBG_Data!$W$2:$W$4000,0)),NA()))</f>
        <v/>
      </c>
      <c r="AK540" s="19">
        <f>IF(NOT(ISNUMBER($A540)),NA(),IFERROR(1*INDEX(BBG_Data!$Z$2:$Z$4000,MATCH($A540,BBG_Data!$Y$2:$Y$4000,0)),NA()))</f>
        <v/>
      </c>
    </row>
    <row r="541">
      <c r="A541" s="17">
        <f>IF(ISNUMBER(BBG_Data!A541),BBG_Data!A541,"")</f>
        <v/>
      </c>
      <c r="B541" s="18">
        <f>IF(AND(ISNUMBER($A541),ISNUMBER(BBG_Data!B541)),BBG_Data!B541,NA())</f>
        <v/>
      </c>
      <c r="C541" s="18">
        <f>IF(NOT(ISNUMBER($A541)),NA(),IFERROR(1*INDEX(BBG_Data!$D$2:$D$4000,MATCH($A541,BBG_Data!$C$2:$C$4000,0)),NA()))</f>
        <v/>
      </c>
      <c r="D541" s="19">
        <f>IF(NOT(ISNUMBER($A541)),NA(),IFERROR(1*INDEX(BBG_Data!$F$2:$F$4000,MATCH($A541,BBG_Data!$E$2:$E$4000,0)),NA()))</f>
        <v/>
      </c>
      <c r="E541" s="19">
        <f>IF(NOT(ISNUMBER($A541)),NA(),IFERROR(1*INDEX(BBG_Data!$H$2:$H$4000,MATCH($A541,BBG_Data!$G$2:$G$4000,0)),NA()))</f>
        <v/>
      </c>
      <c r="F541" s="20">
        <f>IF(AND(ISNUMBER(B541),ISNUMBER(B540)),IF(B541=B540,"",(B541-B540)*100),"")</f>
        <v/>
      </c>
      <c r="G541" s="20">
        <f>IF(AND(ISNUMBER(C541),ISNUMBER(C540)),IF(C541=C540,"",(C541-C540)*100),"")</f>
        <v/>
      </c>
      <c r="H541" s="20">
        <f>IF(OR(NOT(ISNUMBER($A541)),ROW()-2&lt;Settings!$B$11),NA(),IF(COUNT(OFFSET(F541,1-Settings!$B$11,0,Settings!$B$11,1))&lt;ROUNDUP(Settings!$B$11*Settings!$B$26,0),NA(),STDEV(OFFSET(F541,1-Settings!$B$11,0,Settings!$B$11,1))*SQRT(Settings!$B$13)))</f>
        <v/>
      </c>
      <c r="I541" s="20">
        <f>IF(OR(NOT(ISNUMBER($A541)),ROW()-2&lt;Settings!$B$12),NA(),IF(COUNT(OFFSET(F541,1-Settings!$B$12,0,Settings!$B$12,1))&lt;ROUNDUP(Settings!$B$12*Settings!$B$26,0),NA(),STDEV(OFFSET(F541,1-Settings!$B$12,0,Settings!$B$12,1))*SQRT(Settings!$B$13)))</f>
        <v/>
      </c>
      <c r="J541" s="20">
        <f>IF(OR(NOT(ISNUMBER($A541)),ROW()-2&lt;Settings!$B$11),NA(),IF(COUNT(OFFSET(G541,1-Settings!$B$11,0,Settings!$B$11,1))&lt;ROUNDUP(Settings!$B$11*Settings!$B$26,0),NA(),STDEV(OFFSET(G541,1-Settings!$B$11,0,Settings!$B$11,1))*SQRT(Settings!$B$13)))</f>
        <v/>
      </c>
      <c r="K541" s="20">
        <f>IF(OR(NOT(ISNUMBER($A541)),ROW()-2&lt;Settings!$B$12),NA(),IF(COUNT(OFFSET(G541,1-Settings!$B$12,0,Settings!$B$12,1))&lt;ROUNDUP(Settings!$B$12*Settings!$B$26,0),NA(),STDEV(OFFSET(G541,1-Settings!$B$12,0,Settings!$B$12,1))*SQRT(Settings!$B$13)))</f>
        <v/>
      </c>
      <c r="L541" s="20">
        <f>IF(AND(ISNUMBER(D541),ISNUMBER(H541)),D541-H541,NA())</f>
        <v/>
      </c>
      <c r="M541" s="20">
        <f>IF(AND(ISNUMBER(E541),ISNUMBER(K541)),E541-K541,NA())</f>
        <v/>
      </c>
      <c r="N541" s="20">
        <f>IF(NOT(ISNUMBER($A541)),NA(),IF(COUNT(OFFSET(G541,1,0,Settings!$B$12,1))&lt;ROUNDUP(Settings!$B$12*Settings!$B$26,0),NA(),STDEV(OFFSET(G541,1,0,Settings!$B$12,1))*SQRT(Settings!$B$13)))</f>
        <v/>
      </c>
      <c r="O541" s="20">
        <f>IF(AND(ISNUMBER(E541),ISNUMBER(N541)),E541-N541,NA())</f>
        <v/>
      </c>
      <c r="P541" s="19">
        <f>IF(NOT(ISNUMBER($A541)),NA(),IF(OR($A541&lt;MIN(KW_TP!$A$2:$A$2501),$A541&gt;MAX(KW_TP!$A$2:$A$2501)),NA(),INDEX(KW_TP!$C$2:$C$2501,MATCH($A541,KW_TP!$A$2:$A$2501,1))))</f>
        <v/>
      </c>
      <c r="Q541" s="18">
        <f>IF(NOT(ISNUMBER($A541)),NA(),IFERROR(1*INDEX(BBG_Data!$J$2:$J$4000,MATCH($A541,BBG_Data!$I$2:$I$4000,0)),NA()))</f>
        <v/>
      </c>
      <c r="R541" s="18">
        <f>IF(NOT(ISNUMBER($A541)),NA(),IFERROR(1*INDEX(BBG_Data!$L$2:$L$4000,MATCH($A541,BBG_Data!$K$2:$K$4000,0)),NA()))</f>
        <v/>
      </c>
      <c r="S541" s="20">
        <f>IF(AND(ISNUMBER(B541),ISNUMBER(Q541),ISNUMBER(R541)),(B541-Q541-R541)*100,NA())</f>
        <v/>
      </c>
      <c r="T541" s="20">
        <f>IF(AND(ISNUMBER(B541),Settings!$B$17&gt;0),IF(ISNUMBER(INDEX($B:$B,Settings!$B$17)),(B541-INDEX($B:$B,Settings!$B$17))*100,NA()),NA())</f>
        <v/>
      </c>
      <c r="U541" s="20">
        <f>IF(AND(ISNUMBER(Q541),Settings!$B$17&gt;0),IF(ISNUMBER(INDEX($Q:$Q,Settings!$B$17)),(Q541-INDEX($Q:$Q,Settings!$B$17))*100,NA()),NA())</f>
        <v/>
      </c>
      <c r="V541" s="20">
        <f>IF(AND(ISNUMBER(R541),Settings!$B$17&gt;0),IF(ISNUMBER(INDEX($R:$R,Settings!$B$17)),(R541-INDEX($R:$R,Settings!$B$17))*100,NA()),NA())</f>
        <v/>
      </c>
      <c r="W541" s="20">
        <f>IF(AND(ISNUMBER(P541),Settings!$B$17&gt;0),IF(ISNUMBER(INDEX($P:$P,Settings!$B$17)),P541-INDEX($P:$P,Settings!$B$17),NA()),NA())</f>
        <v/>
      </c>
      <c r="X541" s="19">
        <f>IF(NOT(ISNUMBER($A541)),NA(),IF(OR($A541&lt;MIN(DKW_10Y!$A$2:$A$2918),$A541&gt;MAX(DKW_10Y!$A$2:$A$2918),Settings!$B$16&lt;MIN(DKW_10Y!$A$2:$A$2918)),NA(),(INDEX(DKW_10Y!$B$2:$B$2918,MATCH($A541,DKW_10Y!$A$2:$A$2918,1))-INDEX(DKW_10Y!$B$2:$B$2918,MATCH(Settings!$B$16,DKW_10Y!$A$2:$A$2918,1)))*100))</f>
        <v/>
      </c>
      <c r="Y541" s="19">
        <f>IF(NOT(ISNUMBER($A541)),NA(),IF(OR($A541&lt;MIN(DKW_10Y!$A$2:$A$2918),$A541&gt;MAX(DKW_10Y!$A$2:$A$2918),Settings!$B$16&lt;MIN(DKW_10Y!$A$2:$A$2918)),NA(),(INDEX(DKW_10Y!$C$2:$C$2918,MATCH($A541,DKW_10Y!$A$2:$A$2918,1))-INDEX(DKW_10Y!$C$2:$C$2918,MATCH(Settings!$B$16,DKW_10Y!$A$2:$A$2918,1)))*100))</f>
        <v/>
      </c>
      <c r="Z541" s="19">
        <f>IF(NOT(ISNUMBER($A541)),NA(),IF(OR($A541&lt;MIN(DKW_10Y!$A$2:$A$2918),$A541&gt;MAX(DKW_10Y!$A$2:$A$2918),Settings!$B$16&lt;MIN(DKW_10Y!$A$2:$A$2918)),NA(),(INDEX(DKW_10Y!$D$2:$D$2918,MATCH($A541,DKW_10Y!$A$2:$A$2918,1))-INDEX(DKW_10Y!$D$2:$D$2918,MATCH(Settings!$B$16,DKW_10Y!$A$2:$A$2918,1)))*100))</f>
        <v/>
      </c>
      <c r="AA541" s="19">
        <f>IF(NOT(ISNUMBER($A541)),NA(),IF(OR($A541&lt;MIN(DKW_10Y!$A$2:$A$2918),$A541&gt;MAX(DKW_10Y!$A$2:$A$2918),Settings!$B$16&lt;MIN(DKW_10Y!$A$2:$A$2918)),NA(),(INDEX(DKW_10Y!$E$2:$E$2918,MATCH($A541,DKW_10Y!$A$2:$A$2918,1))-INDEX(DKW_10Y!$E$2:$E$2918,MATCH(Settings!$B$16,DKW_10Y!$A$2:$A$2918,1)))*100))</f>
        <v/>
      </c>
      <c r="AB541" s="19">
        <f>IF(NOT(ISNUMBER($A541)),NA(),IF(OR($A541&lt;MIN(DKW_10Y!$A$2:$A$2918),$A541&gt;MAX(DKW_10Y!$A$2:$A$2918),Settings!$B$16&lt;MIN(DKW_10Y!$A$2:$A$2918)),NA(),(INDEX(DKW_10Y!$H$2:$H$2918,MATCH($A541,DKW_10Y!$A$2:$A$2918,1))-INDEX(DKW_10Y!$H$2:$H$2918,MATCH(Settings!$B$16,DKW_10Y!$A$2:$A$2918,1)))*100))</f>
        <v/>
      </c>
      <c r="AC541" s="18">
        <f>IF(NOT(ISNUMBER($A541)),NA(),IFERROR(1*INDEX(BBG_Data!$N$2:$N$4000,MATCH($A541,BBG_Data!$M$2:$M$4000,0)),NA()))</f>
        <v/>
      </c>
      <c r="AD541" s="18">
        <f>IF(NOT(ISNUMBER($A541)),NA(),IFERROR(1*INDEX(BBG_Data!$P$2:$P$4000,MATCH($A541,BBG_Data!$O$2:$O$4000,0)),NA()))</f>
        <v/>
      </c>
      <c r="AE541" s="18">
        <f>IF(NOT(ISNUMBER($A541)),NA(),IFERROR(1*INDEX(BBG_Data!$R$2:$R$4000,MATCH($A541,BBG_Data!$Q$2:$Q$4000,0)),NA()))</f>
        <v/>
      </c>
      <c r="AF541" s="20">
        <f>IF(AND(ISNUMBER(B541),ISNUMBER(AC541)),(B541-AC541)*100,NA())</f>
        <v/>
      </c>
      <c r="AG541" s="20">
        <f>IF(AND(ISNUMBER(AE541),ISNUMBER(AD541)),(AE541-AD541)*100,NA())</f>
        <v/>
      </c>
      <c r="AH541" s="19">
        <f>IF(NOT(ISNUMBER($A541)),NA(),IFERROR(INDEX(BBG_Data!$T$2:$T$4000,MATCH($A541,BBG_Data!$S$2:$S$4000,0))*Settings!$B$25,NA()))</f>
        <v/>
      </c>
      <c r="AI541" s="19">
        <f>IF(NOT(ISNUMBER($A541)),NA(),IFERROR(INDEX(BBG_Data!$V$2:$V$4000,MATCH($A541,BBG_Data!$U$2:$U$4000,0))*Settings!$B$25,NA()))</f>
        <v/>
      </c>
      <c r="AJ541" s="19">
        <f>IF(NOT(ISNUMBER($A541)),NA(),IFERROR(1*INDEX(BBG_Data!$X$2:$X$4000,MATCH($A541,BBG_Data!$W$2:$W$4000,0)),NA()))</f>
        <v/>
      </c>
      <c r="AK541" s="19">
        <f>IF(NOT(ISNUMBER($A541)),NA(),IFERROR(1*INDEX(BBG_Data!$Z$2:$Z$4000,MATCH($A541,BBG_Data!$Y$2:$Y$4000,0)),NA()))</f>
        <v/>
      </c>
    </row>
    <row r="542">
      <c r="A542" s="17">
        <f>IF(ISNUMBER(BBG_Data!A542),BBG_Data!A542,"")</f>
        <v/>
      </c>
      <c r="B542" s="18">
        <f>IF(AND(ISNUMBER($A542),ISNUMBER(BBG_Data!B542)),BBG_Data!B542,NA())</f>
        <v/>
      </c>
      <c r="C542" s="18">
        <f>IF(NOT(ISNUMBER($A542)),NA(),IFERROR(1*INDEX(BBG_Data!$D$2:$D$4000,MATCH($A542,BBG_Data!$C$2:$C$4000,0)),NA()))</f>
        <v/>
      </c>
      <c r="D542" s="19">
        <f>IF(NOT(ISNUMBER($A542)),NA(),IFERROR(1*INDEX(BBG_Data!$F$2:$F$4000,MATCH($A542,BBG_Data!$E$2:$E$4000,0)),NA()))</f>
        <v/>
      </c>
      <c r="E542" s="19">
        <f>IF(NOT(ISNUMBER($A542)),NA(),IFERROR(1*INDEX(BBG_Data!$H$2:$H$4000,MATCH($A542,BBG_Data!$G$2:$G$4000,0)),NA()))</f>
        <v/>
      </c>
      <c r="F542" s="20">
        <f>IF(AND(ISNUMBER(B542),ISNUMBER(B541)),IF(B542=B541,"",(B542-B541)*100),"")</f>
        <v/>
      </c>
      <c r="G542" s="20">
        <f>IF(AND(ISNUMBER(C542),ISNUMBER(C541)),IF(C542=C541,"",(C542-C541)*100),"")</f>
        <v/>
      </c>
      <c r="H542" s="20">
        <f>IF(OR(NOT(ISNUMBER($A542)),ROW()-2&lt;Settings!$B$11),NA(),IF(COUNT(OFFSET(F542,1-Settings!$B$11,0,Settings!$B$11,1))&lt;ROUNDUP(Settings!$B$11*Settings!$B$26,0),NA(),STDEV(OFFSET(F542,1-Settings!$B$11,0,Settings!$B$11,1))*SQRT(Settings!$B$13)))</f>
        <v/>
      </c>
      <c r="I542" s="20">
        <f>IF(OR(NOT(ISNUMBER($A542)),ROW()-2&lt;Settings!$B$12),NA(),IF(COUNT(OFFSET(F542,1-Settings!$B$12,0,Settings!$B$12,1))&lt;ROUNDUP(Settings!$B$12*Settings!$B$26,0),NA(),STDEV(OFFSET(F542,1-Settings!$B$12,0,Settings!$B$12,1))*SQRT(Settings!$B$13)))</f>
        <v/>
      </c>
      <c r="J542" s="20">
        <f>IF(OR(NOT(ISNUMBER($A542)),ROW()-2&lt;Settings!$B$11),NA(),IF(COUNT(OFFSET(G542,1-Settings!$B$11,0,Settings!$B$11,1))&lt;ROUNDUP(Settings!$B$11*Settings!$B$26,0),NA(),STDEV(OFFSET(G542,1-Settings!$B$11,0,Settings!$B$11,1))*SQRT(Settings!$B$13)))</f>
        <v/>
      </c>
      <c r="K542" s="20">
        <f>IF(OR(NOT(ISNUMBER($A542)),ROW()-2&lt;Settings!$B$12),NA(),IF(COUNT(OFFSET(G542,1-Settings!$B$12,0,Settings!$B$12,1))&lt;ROUNDUP(Settings!$B$12*Settings!$B$26,0),NA(),STDEV(OFFSET(G542,1-Settings!$B$12,0,Settings!$B$12,1))*SQRT(Settings!$B$13)))</f>
        <v/>
      </c>
      <c r="L542" s="20">
        <f>IF(AND(ISNUMBER(D542),ISNUMBER(H542)),D542-H542,NA())</f>
        <v/>
      </c>
      <c r="M542" s="20">
        <f>IF(AND(ISNUMBER(E542),ISNUMBER(K542)),E542-K542,NA())</f>
        <v/>
      </c>
      <c r="N542" s="20">
        <f>IF(NOT(ISNUMBER($A542)),NA(),IF(COUNT(OFFSET(G542,1,0,Settings!$B$12,1))&lt;ROUNDUP(Settings!$B$12*Settings!$B$26,0),NA(),STDEV(OFFSET(G542,1,0,Settings!$B$12,1))*SQRT(Settings!$B$13)))</f>
        <v/>
      </c>
      <c r="O542" s="20">
        <f>IF(AND(ISNUMBER(E542),ISNUMBER(N542)),E542-N542,NA())</f>
        <v/>
      </c>
      <c r="P542" s="19">
        <f>IF(NOT(ISNUMBER($A542)),NA(),IF(OR($A542&lt;MIN(KW_TP!$A$2:$A$2501),$A542&gt;MAX(KW_TP!$A$2:$A$2501)),NA(),INDEX(KW_TP!$C$2:$C$2501,MATCH($A542,KW_TP!$A$2:$A$2501,1))))</f>
        <v/>
      </c>
      <c r="Q542" s="18">
        <f>IF(NOT(ISNUMBER($A542)),NA(),IFERROR(1*INDEX(BBG_Data!$J$2:$J$4000,MATCH($A542,BBG_Data!$I$2:$I$4000,0)),NA()))</f>
        <v/>
      </c>
      <c r="R542" s="18">
        <f>IF(NOT(ISNUMBER($A542)),NA(),IFERROR(1*INDEX(BBG_Data!$L$2:$L$4000,MATCH($A542,BBG_Data!$K$2:$K$4000,0)),NA()))</f>
        <v/>
      </c>
      <c r="S542" s="20">
        <f>IF(AND(ISNUMBER(B542),ISNUMBER(Q542),ISNUMBER(R542)),(B542-Q542-R542)*100,NA())</f>
        <v/>
      </c>
      <c r="T542" s="20">
        <f>IF(AND(ISNUMBER(B542),Settings!$B$17&gt;0),IF(ISNUMBER(INDEX($B:$B,Settings!$B$17)),(B542-INDEX($B:$B,Settings!$B$17))*100,NA()),NA())</f>
        <v/>
      </c>
      <c r="U542" s="20">
        <f>IF(AND(ISNUMBER(Q542),Settings!$B$17&gt;0),IF(ISNUMBER(INDEX($Q:$Q,Settings!$B$17)),(Q542-INDEX($Q:$Q,Settings!$B$17))*100,NA()),NA())</f>
        <v/>
      </c>
      <c r="V542" s="20">
        <f>IF(AND(ISNUMBER(R542),Settings!$B$17&gt;0),IF(ISNUMBER(INDEX($R:$R,Settings!$B$17)),(R542-INDEX($R:$R,Settings!$B$17))*100,NA()),NA())</f>
        <v/>
      </c>
      <c r="W542" s="20">
        <f>IF(AND(ISNUMBER(P542),Settings!$B$17&gt;0),IF(ISNUMBER(INDEX($P:$P,Settings!$B$17)),P542-INDEX($P:$P,Settings!$B$17),NA()),NA())</f>
        <v/>
      </c>
      <c r="X542" s="19">
        <f>IF(NOT(ISNUMBER($A542)),NA(),IF(OR($A542&lt;MIN(DKW_10Y!$A$2:$A$2918),$A542&gt;MAX(DKW_10Y!$A$2:$A$2918),Settings!$B$16&lt;MIN(DKW_10Y!$A$2:$A$2918)),NA(),(INDEX(DKW_10Y!$B$2:$B$2918,MATCH($A542,DKW_10Y!$A$2:$A$2918,1))-INDEX(DKW_10Y!$B$2:$B$2918,MATCH(Settings!$B$16,DKW_10Y!$A$2:$A$2918,1)))*100))</f>
        <v/>
      </c>
      <c r="Y542" s="19">
        <f>IF(NOT(ISNUMBER($A542)),NA(),IF(OR($A542&lt;MIN(DKW_10Y!$A$2:$A$2918),$A542&gt;MAX(DKW_10Y!$A$2:$A$2918),Settings!$B$16&lt;MIN(DKW_10Y!$A$2:$A$2918)),NA(),(INDEX(DKW_10Y!$C$2:$C$2918,MATCH($A542,DKW_10Y!$A$2:$A$2918,1))-INDEX(DKW_10Y!$C$2:$C$2918,MATCH(Settings!$B$16,DKW_10Y!$A$2:$A$2918,1)))*100))</f>
        <v/>
      </c>
      <c r="Z542" s="19">
        <f>IF(NOT(ISNUMBER($A542)),NA(),IF(OR($A542&lt;MIN(DKW_10Y!$A$2:$A$2918),$A542&gt;MAX(DKW_10Y!$A$2:$A$2918),Settings!$B$16&lt;MIN(DKW_10Y!$A$2:$A$2918)),NA(),(INDEX(DKW_10Y!$D$2:$D$2918,MATCH($A542,DKW_10Y!$A$2:$A$2918,1))-INDEX(DKW_10Y!$D$2:$D$2918,MATCH(Settings!$B$16,DKW_10Y!$A$2:$A$2918,1)))*100))</f>
        <v/>
      </c>
      <c r="AA542" s="19">
        <f>IF(NOT(ISNUMBER($A542)),NA(),IF(OR($A542&lt;MIN(DKW_10Y!$A$2:$A$2918),$A542&gt;MAX(DKW_10Y!$A$2:$A$2918),Settings!$B$16&lt;MIN(DKW_10Y!$A$2:$A$2918)),NA(),(INDEX(DKW_10Y!$E$2:$E$2918,MATCH($A542,DKW_10Y!$A$2:$A$2918,1))-INDEX(DKW_10Y!$E$2:$E$2918,MATCH(Settings!$B$16,DKW_10Y!$A$2:$A$2918,1)))*100))</f>
        <v/>
      </c>
      <c r="AB542" s="19">
        <f>IF(NOT(ISNUMBER($A542)),NA(),IF(OR($A542&lt;MIN(DKW_10Y!$A$2:$A$2918),$A542&gt;MAX(DKW_10Y!$A$2:$A$2918),Settings!$B$16&lt;MIN(DKW_10Y!$A$2:$A$2918)),NA(),(INDEX(DKW_10Y!$H$2:$H$2918,MATCH($A542,DKW_10Y!$A$2:$A$2918,1))-INDEX(DKW_10Y!$H$2:$H$2918,MATCH(Settings!$B$16,DKW_10Y!$A$2:$A$2918,1)))*100))</f>
        <v/>
      </c>
      <c r="AC542" s="18">
        <f>IF(NOT(ISNUMBER($A542)),NA(),IFERROR(1*INDEX(BBG_Data!$N$2:$N$4000,MATCH($A542,BBG_Data!$M$2:$M$4000,0)),NA()))</f>
        <v/>
      </c>
      <c r="AD542" s="18">
        <f>IF(NOT(ISNUMBER($A542)),NA(),IFERROR(1*INDEX(BBG_Data!$P$2:$P$4000,MATCH($A542,BBG_Data!$O$2:$O$4000,0)),NA()))</f>
        <v/>
      </c>
      <c r="AE542" s="18">
        <f>IF(NOT(ISNUMBER($A542)),NA(),IFERROR(1*INDEX(BBG_Data!$R$2:$R$4000,MATCH($A542,BBG_Data!$Q$2:$Q$4000,0)),NA()))</f>
        <v/>
      </c>
      <c r="AF542" s="20">
        <f>IF(AND(ISNUMBER(B542),ISNUMBER(AC542)),(B542-AC542)*100,NA())</f>
        <v/>
      </c>
      <c r="AG542" s="20">
        <f>IF(AND(ISNUMBER(AE542),ISNUMBER(AD542)),(AE542-AD542)*100,NA())</f>
        <v/>
      </c>
      <c r="AH542" s="19">
        <f>IF(NOT(ISNUMBER($A542)),NA(),IFERROR(INDEX(BBG_Data!$T$2:$T$4000,MATCH($A542,BBG_Data!$S$2:$S$4000,0))*Settings!$B$25,NA()))</f>
        <v/>
      </c>
      <c r="AI542" s="19">
        <f>IF(NOT(ISNUMBER($A542)),NA(),IFERROR(INDEX(BBG_Data!$V$2:$V$4000,MATCH($A542,BBG_Data!$U$2:$U$4000,0))*Settings!$B$25,NA()))</f>
        <v/>
      </c>
      <c r="AJ542" s="19">
        <f>IF(NOT(ISNUMBER($A542)),NA(),IFERROR(1*INDEX(BBG_Data!$X$2:$X$4000,MATCH($A542,BBG_Data!$W$2:$W$4000,0)),NA()))</f>
        <v/>
      </c>
      <c r="AK542" s="19">
        <f>IF(NOT(ISNUMBER($A542)),NA(),IFERROR(1*INDEX(BBG_Data!$Z$2:$Z$4000,MATCH($A542,BBG_Data!$Y$2:$Y$4000,0)),NA()))</f>
        <v/>
      </c>
    </row>
    <row r="543">
      <c r="A543" s="17">
        <f>IF(ISNUMBER(BBG_Data!A543),BBG_Data!A543,"")</f>
        <v/>
      </c>
      <c r="B543" s="18">
        <f>IF(AND(ISNUMBER($A543),ISNUMBER(BBG_Data!B543)),BBG_Data!B543,NA())</f>
        <v/>
      </c>
      <c r="C543" s="18">
        <f>IF(NOT(ISNUMBER($A543)),NA(),IFERROR(1*INDEX(BBG_Data!$D$2:$D$4000,MATCH($A543,BBG_Data!$C$2:$C$4000,0)),NA()))</f>
        <v/>
      </c>
      <c r="D543" s="19">
        <f>IF(NOT(ISNUMBER($A543)),NA(),IFERROR(1*INDEX(BBG_Data!$F$2:$F$4000,MATCH($A543,BBG_Data!$E$2:$E$4000,0)),NA()))</f>
        <v/>
      </c>
      <c r="E543" s="19">
        <f>IF(NOT(ISNUMBER($A543)),NA(),IFERROR(1*INDEX(BBG_Data!$H$2:$H$4000,MATCH($A543,BBG_Data!$G$2:$G$4000,0)),NA()))</f>
        <v/>
      </c>
      <c r="F543" s="20">
        <f>IF(AND(ISNUMBER(B543),ISNUMBER(B542)),IF(B543=B542,"",(B543-B542)*100),"")</f>
        <v/>
      </c>
      <c r="G543" s="20">
        <f>IF(AND(ISNUMBER(C543),ISNUMBER(C542)),IF(C543=C542,"",(C543-C542)*100),"")</f>
        <v/>
      </c>
      <c r="H543" s="20">
        <f>IF(OR(NOT(ISNUMBER($A543)),ROW()-2&lt;Settings!$B$11),NA(),IF(COUNT(OFFSET(F543,1-Settings!$B$11,0,Settings!$B$11,1))&lt;ROUNDUP(Settings!$B$11*Settings!$B$26,0),NA(),STDEV(OFFSET(F543,1-Settings!$B$11,0,Settings!$B$11,1))*SQRT(Settings!$B$13)))</f>
        <v/>
      </c>
      <c r="I543" s="20">
        <f>IF(OR(NOT(ISNUMBER($A543)),ROW()-2&lt;Settings!$B$12),NA(),IF(COUNT(OFFSET(F543,1-Settings!$B$12,0,Settings!$B$12,1))&lt;ROUNDUP(Settings!$B$12*Settings!$B$26,0),NA(),STDEV(OFFSET(F543,1-Settings!$B$12,0,Settings!$B$12,1))*SQRT(Settings!$B$13)))</f>
        <v/>
      </c>
      <c r="J543" s="20">
        <f>IF(OR(NOT(ISNUMBER($A543)),ROW()-2&lt;Settings!$B$11),NA(),IF(COUNT(OFFSET(G543,1-Settings!$B$11,0,Settings!$B$11,1))&lt;ROUNDUP(Settings!$B$11*Settings!$B$26,0),NA(),STDEV(OFFSET(G543,1-Settings!$B$11,0,Settings!$B$11,1))*SQRT(Settings!$B$13)))</f>
        <v/>
      </c>
      <c r="K543" s="20">
        <f>IF(OR(NOT(ISNUMBER($A543)),ROW()-2&lt;Settings!$B$12),NA(),IF(COUNT(OFFSET(G543,1-Settings!$B$12,0,Settings!$B$12,1))&lt;ROUNDUP(Settings!$B$12*Settings!$B$26,0),NA(),STDEV(OFFSET(G543,1-Settings!$B$12,0,Settings!$B$12,1))*SQRT(Settings!$B$13)))</f>
        <v/>
      </c>
      <c r="L543" s="20">
        <f>IF(AND(ISNUMBER(D543),ISNUMBER(H543)),D543-H543,NA())</f>
        <v/>
      </c>
      <c r="M543" s="20">
        <f>IF(AND(ISNUMBER(E543),ISNUMBER(K543)),E543-K543,NA())</f>
        <v/>
      </c>
      <c r="N543" s="20">
        <f>IF(NOT(ISNUMBER($A543)),NA(),IF(COUNT(OFFSET(G543,1,0,Settings!$B$12,1))&lt;ROUNDUP(Settings!$B$12*Settings!$B$26,0),NA(),STDEV(OFFSET(G543,1,0,Settings!$B$12,1))*SQRT(Settings!$B$13)))</f>
        <v/>
      </c>
      <c r="O543" s="20">
        <f>IF(AND(ISNUMBER(E543),ISNUMBER(N543)),E543-N543,NA())</f>
        <v/>
      </c>
      <c r="P543" s="19">
        <f>IF(NOT(ISNUMBER($A543)),NA(),IF(OR($A543&lt;MIN(KW_TP!$A$2:$A$2501),$A543&gt;MAX(KW_TP!$A$2:$A$2501)),NA(),INDEX(KW_TP!$C$2:$C$2501,MATCH($A543,KW_TP!$A$2:$A$2501,1))))</f>
        <v/>
      </c>
      <c r="Q543" s="18">
        <f>IF(NOT(ISNUMBER($A543)),NA(),IFERROR(1*INDEX(BBG_Data!$J$2:$J$4000,MATCH($A543,BBG_Data!$I$2:$I$4000,0)),NA()))</f>
        <v/>
      </c>
      <c r="R543" s="18">
        <f>IF(NOT(ISNUMBER($A543)),NA(),IFERROR(1*INDEX(BBG_Data!$L$2:$L$4000,MATCH($A543,BBG_Data!$K$2:$K$4000,0)),NA()))</f>
        <v/>
      </c>
      <c r="S543" s="20">
        <f>IF(AND(ISNUMBER(B543),ISNUMBER(Q543),ISNUMBER(R543)),(B543-Q543-R543)*100,NA())</f>
        <v/>
      </c>
      <c r="T543" s="20">
        <f>IF(AND(ISNUMBER(B543),Settings!$B$17&gt;0),IF(ISNUMBER(INDEX($B:$B,Settings!$B$17)),(B543-INDEX($B:$B,Settings!$B$17))*100,NA()),NA())</f>
        <v/>
      </c>
      <c r="U543" s="20">
        <f>IF(AND(ISNUMBER(Q543),Settings!$B$17&gt;0),IF(ISNUMBER(INDEX($Q:$Q,Settings!$B$17)),(Q543-INDEX($Q:$Q,Settings!$B$17))*100,NA()),NA())</f>
        <v/>
      </c>
      <c r="V543" s="20">
        <f>IF(AND(ISNUMBER(R543),Settings!$B$17&gt;0),IF(ISNUMBER(INDEX($R:$R,Settings!$B$17)),(R543-INDEX($R:$R,Settings!$B$17))*100,NA()),NA())</f>
        <v/>
      </c>
      <c r="W543" s="20">
        <f>IF(AND(ISNUMBER(P543),Settings!$B$17&gt;0),IF(ISNUMBER(INDEX($P:$P,Settings!$B$17)),P543-INDEX($P:$P,Settings!$B$17),NA()),NA())</f>
        <v/>
      </c>
      <c r="X543" s="19">
        <f>IF(NOT(ISNUMBER($A543)),NA(),IF(OR($A543&lt;MIN(DKW_10Y!$A$2:$A$2918),$A543&gt;MAX(DKW_10Y!$A$2:$A$2918),Settings!$B$16&lt;MIN(DKW_10Y!$A$2:$A$2918)),NA(),(INDEX(DKW_10Y!$B$2:$B$2918,MATCH($A543,DKW_10Y!$A$2:$A$2918,1))-INDEX(DKW_10Y!$B$2:$B$2918,MATCH(Settings!$B$16,DKW_10Y!$A$2:$A$2918,1)))*100))</f>
        <v/>
      </c>
      <c r="Y543" s="19">
        <f>IF(NOT(ISNUMBER($A543)),NA(),IF(OR($A543&lt;MIN(DKW_10Y!$A$2:$A$2918),$A543&gt;MAX(DKW_10Y!$A$2:$A$2918),Settings!$B$16&lt;MIN(DKW_10Y!$A$2:$A$2918)),NA(),(INDEX(DKW_10Y!$C$2:$C$2918,MATCH($A543,DKW_10Y!$A$2:$A$2918,1))-INDEX(DKW_10Y!$C$2:$C$2918,MATCH(Settings!$B$16,DKW_10Y!$A$2:$A$2918,1)))*100))</f>
        <v/>
      </c>
      <c r="Z543" s="19">
        <f>IF(NOT(ISNUMBER($A543)),NA(),IF(OR($A543&lt;MIN(DKW_10Y!$A$2:$A$2918),$A543&gt;MAX(DKW_10Y!$A$2:$A$2918),Settings!$B$16&lt;MIN(DKW_10Y!$A$2:$A$2918)),NA(),(INDEX(DKW_10Y!$D$2:$D$2918,MATCH($A543,DKW_10Y!$A$2:$A$2918,1))-INDEX(DKW_10Y!$D$2:$D$2918,MATCH(Settings!$B$16,DKW_10Y!$A$2:$A$2918,1)))*100))</f>
        <v/>
      </c>
      <c r="AA543" s="19">
        <f>IF(NOT(ISNUMBER($A543)),NA(),IF(OR($A543&lt;MIN(DKW_10Y!$A$2:$A$2918),$A543&gt;MAX(DKW_10Y!$A$2:$A$2918),Settings!$B$16&lt;MIN(DKW_10Y!$A$2:$A$2918)),NA(),(INDEX(DKW_10Y!$E$2:$E$2918,MATCH($A543,DKW_10Y!$A$2:$A$2918,1))-INDEX(DKW_10Y!$E$2:$E$2918,MATCH(Settings!$B$16,DKW_10Y!$A$2:$A$2918,1)))*100))</f>
        <v/>
      </c>
      <c r="AB543" s="19">
        <f>IF(NOT(ISNUMBER($A543)),NA(),IF(OR($A543&lt;MIN(DKW_10Y!$A$2:$A$2918),$A543&gt;MAX(DKW_10Y!$A$2:$A$2918),Settings!$B$16&lt;MIN(DKW_10Y!$A$2:$A$2918)),NA(),(INDEX(DKW_10Y!$H$2:$H$2918,MATCH($A543,DKW_10Y!$A$2:$A$2918,1))-INDEX(DKW_10Y!$H$2:$H$2918,MATCH(Settings!$B$16,DKW_10Y!$A$2:$A$2918,1)))*100))</f>
        <v/>
      </c>
      <c r="AC543" s="18">
        <f>IF(NOT(ISNUMBER($A543)),NA(),IFERROR(1*INDEX(BBG_Data!$N$2:$N$4000,MATCH($A543,BBG_Data!$M$2:$M$4000,0)),NA()))</f>
        <v/>
      </c>
      <c r="AD543" s="18">
        <f>IF(NOT(ISNUMBER($A543)),NA(),IFERROR(1*INDEX(BBG_Data!$P$2:$P$4000,MATCH($A543,BBG_Data!$O$2:$O$4000,0)),NA()))</f>
        <v/>
      </c>
      <c r="AE543" s="18">
        <f>IF(NOT(ISNUMBER($A543)),NA(),IFERROR(1*INDEX(BBG_Data!$R$2:$R$4000,MATCH($A543,BBG_Data!$Q$2:$Q$4000,0)),NA()))</f>
        <v/>
      </c>
      <c r="AF543" s="20">
        <f>IF(AND(ISNUMBER(B543),ISNUMBER(AC543)),(B543-AC543)*100,NA())</f>
        <v/>
      </c>
      <c r="AG543" s="20">
        <f>IF(AND(ISNUMBER(AE543),ISNUMBER(AD543)),(AE543-AD543)*100,NA())</f>
        <v/>
      </c>
      <c r="AH543" s="19">
        <f>IF(NOT(ISNUMBER($A543)),NA(),IFERROR(INDEX(BBG_Data!$T$2:$T$4000,MATCH($A543,BBG_Data!$S$2:$S$4000,0))*Settings!$B$25,NA()))</f>
        <v/>
      </c>
      <c r="AI543" s="19">
        <f>IF(NOT(ISNUMBER($A543)),NA(),IFERROR(INDEX(BBG_Data!$V$2:$V$4000,MATCH($A543,BBG_Data!$U$2:$U$4000,0))*Settings!$B$25,NA()))</f>
        <v/>
      </c>
      <c r="AJ543" s="19">
        <f>IF(NOT(ISNUMBER($A543)),NA(),IFERROR(1*INDEX(BBG_Data!$X$2:$X$4000,MATCH($A543,BBG_Data!$W$2:$W$4000,0)),NA()))</f>
        <v/>
      </c>
      <c r="AK543" s="19">
        <f>IF(NOT(ISNUMBER($A543)),NA(),IFERROR(1*INDEX(BBG_Data!$Z$2:$Z$4000,MATCH($A543,BBG_Data!$Y$2:$Y$4000,0)),NA()))</f>
        <v/>
      </c>
    </row>
    <row r="544">
      <c r="A544" s="17">
        <f>IF(ISNUMBER(BBG_Data!A544),BBG_Data!A544,"")</f>
        <v/>
      </c>
      <c r="B544" s="18">
        <f>IF(AND(ISNUMBER($A544),ISNUMBER(BBG_Data!B544)),BBG_Data!B544,NA())</f>
        <v/>
      </c>
      <c r="C544" s="18">
        <f>IF(NOT(ISNUMBER($A544)),NA(),IFERROR(1*INDEX(BBG_Data!$D$2:$D$4000,MATCH($A544,BBG_Data!$C$2:$C$4000,0)),NA()))</f>
        <v/>
      </c>
      <c r="D544" s="19">
        <f>IF(NOT(ISNUMBER($A544)),NA(),IFERROR(1*INDEX(BBG_Data!$F$2:$F$4000,MATCH($A544,BBG_Data!$E$2:$E$4000,0)),NA()))</f>
        <v/>
      </c>
      <c r="E544" s="19">
        <f>IF(NOT(ISNUMBER($A544)),NA(),IFERROR(1*INDEX(BBG_Data!$H$2:$H$4000,MATCH($A544,BBG_Data!$G$2:$G$4000,0)),NA()))</f>
        <v/>
      </c>
      <c r="F544" s="20">
        <f>IF(AND(ISNUMBER(B544),ISNUMBER(B543)),IF(B544=B543,"",(B544-B543)*100),"")</f>
        <v/>
      </c>
      <c r="G544" s="20">
        <f>IF(AND(ISNUMBER(C544),ISNUMBER(C543)),IF(C544=C543,"",(C544-C543)*100),"")</f>
        <v/>
      </c>
      <c r="H544" s="20">
        <f>IF(OR(NOT(ISNUMBER($A544)),ROW()-2&lt;Settings!$B$11),NA(),IF(COUNT(OFFSET(F544,1-Settings!$B$11,0,Settings!$B$11,1))&lt;ROUNDUP(Settings!$B$11*Settings!$B$26,0),NA(),STDEV(OFFSET(F544,1-Settings!$B$11,0,Settings!$B$11,1))*SQRT(Settings!$B$13)))</f>
        <v/>
      </c>
      <c r="I544" s="20">
        <f>IF(OR(NOT(ISNUMBER($A544)),ROW()-2&lt;Settings!$B$12),NA(),IF(COUNT(OFFSET(F544,1-Settings!$B$12,0,Settings!$B$12,1))&lt;ROUNDUP(Settings!$B$12*Settings!$B$26,0),NA(),STDEV(OFFSET(F544,1-Settings!$B$12,0,Settings!$B$12,1))*SQRT(Settings!$B$13)))</f>
        <v/>
      </c>
      <c r="J544" s="20">
        <f>IF(OR(NOT(ISNUMBER($A544)),ROW()-2&lt;Settings!$B$11),NA(),IF(COUNT(OFFSET(G544,1-Settings!$B$11,0,Settings!$B$11,1))&lt;ROUNDUP(Settings!$B$11*Settings!$B$26,0),NA(),STDEV(OFFSET(G544,1-Settings!$B$11,0,Settings!$B$11,1))*SQRT(Settings!$B$13)))</f>
        <v/>
      </c>
      <c r="K544" s="20">
        <f>IF(OR(NOT(ISNUMBER($A544)),ROW()-2&lt;Settings!$B$12),NA(),IF(COUNT(OFFSET(G544,1-Settings!$B$12,0,Settings!$B$12,1))&lt;ROUNDUP(Settings!$B$12*Settings!$B$26,0),NA(),STDEV(OFFSET(G544,1-Settings!$B$12,0,Settings!$B$12,1))*SQRT(Settings!$B$13)))</f>
        <v/>
      </c>
      <c r="L544" s="20">
        <f>IF(AND(ISNUMBER(D544),ISNUMBER(H544)),D544-H544,NA())</f>
        <v/>
      </c>
      <c r="M544" s="20">
        <f>IF(AND(ISNUMBER(E544),ISNUMBER(K544)),E544-K544,NA())</f>
        <v/>
      </c>
      <c r="N544" s="20">
        <f>IF(NOT(ISNUMBER($A544)),NA(),IF(COUNT(OFFSET(G544,1,0,Settings!$B$12,1))&lt;ROUNDUP(Settings!$B$12*Settings!$B$26,0),NA(),STDEV(OFFSET(G544,1,0,Settings!$B$12,1))*SQRT(Settings!$B$13)))</f>
        <v/>
      </c>
      <c r="O544" s="20">
        <f>IF(AND(ISNUMBER(E544),ISNUMBER(N544)),E544-N544,NA())</f>
        <v/>
      </c>
      <c r="P544" s="19">
        <f>IF(NOT(ISNUMBER($A544)),NA(),IF(OR($A544&lt;MIN(KW_TP!$A$2:$A$2501),$A544&gt;MAX(KW_TP!$A$2:$A$2501)),NA(),INDEX(KW_TP!$C$2:$C$2501,MATCH($A544,KW_TP!$A$2:$A$2501,1))))</f>
        <v/>
      </c>
      <c r="Q544" s="18">
        <f>IF(NOT(ISNUMBER($A544)),NA(),IFERROR(1*INDEX(BBG_Data!$J$2:$J$4000,MATCH($A544,BBG_Data!$I$2:$I$4000,0)),NA()))</f>
        <v/>
      </c>
      <c r="R544" s="18">
        <f>IF(NOT(ISNUMBER($A544)),NA(),IFERROR(1*INDEX(BBG_Data!$L$2:$L$4000,MATCH($A544,BBG_Data!$K$2:$K$4000,0)),NA()))</f>
        <v/>
      </c>
      <c r="S544" s="20">
        <f>IF(AND(ISNUMBER(B544),ISNUMBER(Q544),ISNUMBER(R544)),(B544-Q544-R544)*100,NA())</f>
        <v/>
      </c>
      <c r="T544" s="20">
        <f>IF(AND(ISNUMBER(B544),Settings!$B$17&gt;0),IF(ISNUMBER(INDEX($B:$B,Settings!$B$17)),(B544-INDEX($B:$B,Settings!$B$17))*100,NA()),NA())</f>
        <v/>
      </c>
      <c r="U544" s="20">
        <f>IF(AND(ISNUMBER(Q544),Settings!$B$17&gt;0),IF(ISNUMBER(INDEX($Q:$Q,Settings!$B$17)),(Q544-INDEX($Q:$Q,Settings!$B$17))*100,NA()),NA())</f>
        <v/>
      </c>
      <c r="V544" s="20">
        <f>IF(AND(ISNUMBER(R544),Settings!$B$17&gt;0),IF(ISNUMBER(INDEX($R:$R,Settings!$B$17)),(R544-INDEX($R:$R,Settings!$B$17))*100,NA()),NA())</f>
        <v/>
      </c>
      <c r="W544" s="20">
        <f>IF(AND(ISNUMBER(P544),Settings!$B$17&gt;0),IF(ISNUMBER(INDEX($P:$P,Settings!$B$17)),P544-INDEX($P:$P,Settings!$B$17),NA()),NA())</f>
        <v/>
      </c>
      <c r="X544" s="19">
        <f>IF(NOT(ISNUMBER($A544)),NA(),IF(OR($A544&lt;MIN(DKW_10Y!$A$2:$A$2918),$A544&gt;MAX(DKW_10Y!$A$2:$A$2918),Settings!$B$16&lt;MIN(DKW_10Y!$A$2:$A$2918)),NA(),(INDEX(DKW_10Y!$B$2:$B$2918,MATCH($A544,DKW_10Y!$A$2:$A$2918,1))-INDEX(DKW_10Y!$B$2:$B$2918,MATCH(Settings!$B$16,DKW_10Y!$A$2:$A$2918,1)))*100))</f>
        <v/>
      </c>
      <c r="Y544" s="19">
        <f>IF(NOT(ISNUMBER($A544)),NA(),IF(OR($A544&lt;MIN(DKW_10Y!$A$2:$A$2918),$A544&gt;MAX(DKW_10Y!$A$2:$A$2918),Settings!$B$16&lt;MIN(DKW_10Y!$A$2:$A$2918)),NA(),(INDEX(DKW_10Y!$C$2:$C$2918,MATCH($A544,DKW_10Y!$A$2:$A$2918,1))-INDEX(DKW_10Y!$C$2:$C$2918,MATCH(Settings!$B$16,DKW_10Y!$A$2:$A$2918,1)))*100))</f>
        <v/>
      </c>
      <c r="Z544" s="19">
        <f>IF(NOT(ISNUMBER($A544)),NA(),IF(OR($A544&lt;MIN(DKW_10Y!$A$2:$A$2918),$A544&gt;MAX(DKW_10Y!$A$2:$A$2918),Settings!$B$16&lt;MIN(DKW_10Y!$A$2:$A$2918)),NA(),(INDEX(DKW_10Y!$D$2:$D$2918,MATCH($A544,DKW_10Y!$A$2:$A$2918,1))-INDEX(DKW_10Y!$D$2:$D$2918,MATCH(Settings!$B$16,DKW_10Y!$A$2:$A$2918,1)))*100))</f>
        <v/>
      </c>
      <c r="AA544" s="19">
        <f>IF(NOT(ISNUMBER($A544)),NA(),IF(OR($A544&lt;MIN(DKW_10Y!$A$2:$A$2918),$A544&gt;MAX(DKW_10Y!$A$2:$A$2918),Settings!$B$16&lt;MIN(DKW_10Y!$A$2:$A$2918)),NA(),(INDEX(DKW_10Y!$E$2:$E$2918,MATCH($A544,DKW_10Y!$A$2:$A$2918,1))-INDEX(DKW_10Y!$E$2:$E$2918,MATCH(Settings!$B$16,DKW_10Y!$A$2:$A$2918,1)))*100))</f>
        <v/>
      </c>
      <c r="AB544" s="19">
        <f>IF(NOT(ISNUMBER($A544)),NA(),IF(OR($A544&lt;MIN(DKW_10Y!$A$2:$A$2918),$A544&gt;MAX(DKW_10Y!$A$2:$A$2918),Settings!$B$16&lt;MIN(DKW_10Y!$A$2:$A$2918)),NA(),(INDEX(DKW_10Y!$H$2:$H$2918,MATCH($A544,DKW_10Y!$A$2:$A$2918,1))-INDEX(DKW_10Y!$H$2:$H$2918,MATCH(Settings!$B$16,DKW_10Y!$A$2:$A$2918,1)))*100))</f>
        <v/>
      </c>
      <c r="AC544" s="18">
        <f>IF(NOT(ISNUMBER($A544)),NA(),IFERROR(1*INDEX(BBG_Data!$N$2:$N$4000,MATCH($A544,BBG_Data!$M$2:$M$4000,0)),NA()))</f>
        <v/>
      </c>
      <c r="AD544" s="18">
        <f>IF(NOT(ISNUMBER($A544)),NA(),IFERROR(1*INDEX(BBG_Data!$P$2:$P$4000,MATCH($A544,BBG_Data!$O$2:$O$4000,0)),NA()))</f>
        <v/>
      </c>
      <c r="AE544" s="18">
        <f>IF(NOT(ISNUMBER($A544)),NA(),IFERROR(1*INDEX(BBG_Data!$R$2:$R$4000,MATCH($A544,BBG_Data!$Q$2:$Q$4000,0)),NA()))</f>
        <v/>
      </c>
      <c r="AF544" s="20">
        <f>IF(AND(ISNUMBER(B544),ISNUMBER(AC544)),(B544-AC544)*100,NA())</f>
        <v/>
      </c>
      <c r="AG544" s="20">
        <f>IF(AND(ISNUMBER(AE544),ISNUMBER(AD544)),(AE544-AD544)*100,NA())</f>
        <v/>
      </c>
      <c r="AH544" s="19">
        <f>IF(NOT(ISNUMBER($A544)),NA(),IFERROR(INDEX(BBG_Data!$T$2:$T$4000,MATCH($A544,BBG_Data!$S$2:$S$4000,0))*Settings!$B$25,NA()))</f>
        <v/>
      </c>
      <c r="AI544" s="19">
        <f>IF(NOT(ISNUMBER($A544)),NA(),IFERROR(INDEX(BBG_Data!$V$2:$V$4000,MATCH($A544,BBG_Data!$U$2:$U$4000,0))*Settings!$B$25,NA()))</f>
        <v/>
      </c>
      <c r="AJ544" s="19">
        <f>IF(NOT(ISNUMBER($A544)),NA(),IFERROR(1*INDEX(BBG_Data!$X$2:$X$4000,MATCH($A544,BBG_Data!$W$2:$W$4000,0)),NA()))</f>
        <v/>
      </c>
      <c r="AK544" s="19">
        <f>IF(NOT(ISNUMBER($A544)),NA(),IFERROR(1*INDEX(BBG_Data!$Z$2:$Z$4000,MATCH($A544,BBG_Data!$Y$2:$Y$4000,0)),NA()))</f>
        <v/>
      </c>
    </row>
    <row r="545">
      <c r="A545" s="17">
        <f>IF(ISNUMBER(BBG_Data!A545),BBG_Data!A545,"")</f>
        <v/>
      </c>
      <c r="B545" s="18">
        <f>IF(AND(ISNUMBER($A545),ISNUMBER(BBG_Data!B545)),BBG_Data!B545,NA())</f>
        <v/>
      </c>
      <c r="C545" s="18">
        <f>IF(NOT(ISNUMBER($A545)),NA(),IFERROR(1*INDEX(BBG_Data!$D$2:$D$4000,MATCH($A545,BBG_Data!$C$2:$C$4000,0)),NA()))</f>
        <v/>
      </c>
      <c r="D545" s="19">
        <f>IF(NOT(ISNUMBER($A545)),NA(),IFERROR(1*INDEX(BBG_Data!$F$2:$F$4000,MATCH($A545,BBG_Data!$E$2:$E$4000,0)),NA()))</f>
        <v/>
      </c>
      <c r="E545" s="19">
        <f>IF(NOT(ISNUMBER($A545)),NA(),IFERROR(1*INDEX(BBG_Data!$H$2:$H$4000,MATCH($A545,BBG_Data!$G$2:$G$4000,0)),NA()))</f>
        <v/>
      </c>
      <c r="F545" s="20">
        <f>IF(AND(ISNUMBER(B545),ISNUMBER(B544)),IF(B545=B544,"",(B545-B544)*100),"")</f>
        <v/>
      </c>
      <c r="G545" s="20">
        <f>IF(AND(ISNUMBER(C545),ISNUMBER(C544)),IF(C545=C544,"",(C545-C544)*100),"")</f>
        <v/>
      </c>
      <c r="H545" s="20">
        <f>IF(OR(NOT(ISNUMBER($A545)),ROW()-2&lt;Settings!$B$11),NA(),IF(COUNT(OFFSET(F545,1-Settings!$B$11,0,Settings!$B$11,1))&lt;ROUNDUP(Settings!$B$11*Settings!$B$26,0),NA(),STDEV(OFFSET(F545,1-Settings!$B$11,0,Settings!$B$11,1))*SQRT(Settings!$B$13)))</f>
        <v/>
      </c>
      <c r="I545" s="20">
        <f>IF(OR(NOT(ISNUMBER($A545)),ROW()-2&lt;Settings!$B$12),NA(),IF(COUNT(OFFSET(F545,1-Settings!$B$12,0,Settings!$B$12,1))&lt;ROUNDUP(Settings!$B$12*Settings!$B$26,0),NA(),STDEV(OFFSET(F545,1-Settings!$B$12,0,Settings!$B$12,1))*SQRT(Settings!$B$13)))</f>
        <v/>
      </c>
      <c r="J545" s="20">
        <f>IF(OR(NOT(ISNUMBER($A545)),ROW()-2&lt;Settings!$B$11),NA(),IF(COUNT(OFFSET(G545,1-Settings!$B$11,0,Settings!$B$11,1))&lt;ROUNDUP(Settings!$B$11*Settings!$B$26,0),NA(),STDEV(OFFSET(G545,1-Settings!$B$11,0,Settings!$B$11,1))*SQRT(Settings!$B$13)))</f>
        <v/>
      </c>
      <c r="K545" s="20">
        <f>IF(OR(NOT(ISNUMBER($A545)),ROW()-2&lt;Settings!$B$12),NA(),IF(COUNT(OFFSET(G545,1-Settings!$B$12,0,Settings!$B$12,1))&lt;ROUNDUP(Settings!$B$12*Settings!$B$26,0),NA(),STDEV(OFFSET(G545,1-Settings!$B$12,0,Settings!$B$12,1))*SQRT(Settings!$B$13)))</f>
        <v/>
      </c>
      <c r="L545" s="20">
        <f>IF(AND(ISNUMBER(D545),ISNUMBER(H545)),D545-H545,NA())</f>
        <v/>
      </c>
      <c r="M545" s="20">
        <f>IF(AND(ISNUMBER(E545),ISNUMBER(K545)),E545-K545,NA())</f>
        <v/>
      </c>
      <c r="N545" s="20">
        <f>IF(NOT(ISNUMBER($A545)),NA(),IF(COUNT(OFFSET(G545,1,0,Settings!$B$12,1))&lt;ROUNDUP(Settings!$B$12*Settings!$B$26,0),NA(),STDEV(OFFSET(G545,1,0,Settings!$B$12,1))*SQRT(Settings!$B$13)))</f>
        <v/>
      </c>
      <c r="O545" s="20">
        <f>IF(AND(ISNUMBER(E545),ISNUMBER(N545)),E545-N545,NA())</f>
        <v/>
      </c>
      <c r="P545" s="19">
        <f>IF(NOT(ISNUMBER($A545)),NA(),IF(OR($A545&lt;MIN(KW_TP!$A$2:$A$2501),$A545&gt;MAX(KW_TP!$A$2:$A$2501)),NA(),INDEX(KW_TP!$C$2:$C$2501,MATCH($A545,KW_TP!$A$2:$A$2501,1))))</f>
        <v/>
      </c>
      <c r="Q545" s="18">
        <f>IF(NOT(ISNUMBER($A545)),NA(),IFERROR(1*INDEX(BBG_Data!$J$2:$J$4000,MATCH($A545,BBG_Data!$I$2:$I$4000,0)),NA()))</f>
        <v/>
      </c>
      <c r="R545" s="18">
        <f>IF(NOT(ISNUMBER($A545)),NA(),IFERROR(1*INDEX(BBG_Data!$L$2:$L$4000,MATCH($A545,BBG_Data!$K$2:$K$4000,0)),NA()))</f>
        <v/>
      </c>
      <c r="S545" s="20">
        <f>IF(AND(ISNUMBER(B545),ISNUMBER(Q545),ISNUMBER(R545)),(B545-Q545-R545)*100,NA())</f>
        <v/>
      </c>
      <c r="T545" s="20">
        <f>IF(AND(ISNUMBER(B545),Settings!$B$17&gt;0),IF(ISNUMBER(INDEX($B:$B,Settings!$B$17)),(B545-INDEX($B:$B,Settings!$B$17))*100,NA()),NA())</f>
        <v/>
      </c>
      <c r="U545" s="20">
        <f>IF(AND(ISNUMBER(Q545),Settings!$B$17&gt;0),IF(ISNUMBER(INDEX($Q:$Q,Settings!$B$17)),(Q545-INDEX($Q:$Q,Settings!$B$17))*100,NA()),NA())</f>
        <v/>
      </c>
      <c r="V545" s="20">
        <f>IF(AND(ISNUMBER(R545),Settings!$B$17&gt;0),IF(ISNUMBER(INDEX($R:$R,Settings!$B$17)),(R545-INDEX($R:$R,Settings!$B$17))*100,NA()),NA())</f>
        <v/>
      </c>
      <c r="W545" s="20">
        <f>IF(AND(ISNUMBER(P545),Settings!$B$17&gt;0),IF(ISNUMBER(INDEX($P:$P,Settings!$B$17)),P545-INDEX($P:$P,Settings!$B$17),NA()),NA())</f>
        <v/>
      </c>
      <c r="X545" s="19">
        <f>IF(NOT(ISNUMBER($A545)),NA(),IF(OR($A545&lt;MIN(DKW_10Y!$A$2:$A$2918),$A545&gt;MAX(DKW_10Y!$A$2:$A$2918),Settings!$B$16&lt;MIN(DKW_10Y!$A$2:$A$2918)),NA(),(INDEX(DKW_10Y!$B$2:$B$2918,MATCH($A545,DKW_10Y!$A$2:$A$2918,1))-INDEX(DKW_10Y!$B$2:$B$2918,MATCH(Settings!$B$16,DKW_10Y!$A$2:$A$2918,1)))*100))</f>
        <v/>
      </c>
      <c r="Y545" s="19">
        <f>IF(NOT(ISNUMBER($A545)),NA(),IF(OR($A545&lt;MIN(DKW_10Y!$A$2:$A$2918),$A545&gt;MAX(DKW_10Y!$A$2:$A$2918),Settings!$B$16&lt;MIN(DKW_10Y!$A$2:$A$2918)),NA(),(INDEX(DKW_10Y!$C$2:$C$2918,MATCH($A545,DKW_10Y!$A$2:$A$2918,1))-INDEX(DKW_10Y!$C$2:$C$2918,MATCH(Settings!$B$16,DKW_10Y!$A$2:$A$2918,1)))*100))</f>
        <v/>
      </c>
      <c r="Z545" s="19">
        <f>IF(NOT(ISNUMBER($A545)),NA(),IF(OR($A545&lt;MIN(DKW_10Y!$A$2:$A$2918),$A545&gt;MAX(DKW_10Y!$A$2:$A$2918),Settings!$B$16&lt;MIN(DKW_10Y!$A$2:$A$2918)),NA(),(INDEX(DKW_10Y!$D$2:$D$2918,MATCH($A545,DKW_10Y!$A$2:$A$2918,1))-INDEX(DKW_10Y!$D$2:$D$2918,MATCH(Settings!$B$16,DKW_10Y!$A$2:$A$2918,1)))*100))</f>
        <v/>
      </c>
      <c r="AA545" s="19">
        <f>IF(NOT(ISNUMBER($A545)),NA(),IF(OR($A545&lt;MIN(DKW_10Y!$A$2:$A$2918),$A545&gt;MAX(DKW_10Y!$A$2:$A$2918),Settings!$B$16&lt;MIN(DKW_10Y!$A$2:$A$2918)),NA(),(INDEX(DKW_10Y!$E$2:$E$2918,MATCH($A545,DKW_10Y!$A$2:$A$2918,1))-INDEX(DKW_10Y!$E$2:$E$2918,MATCH(Settings!$B$16,DKW_10Y!$A$2:$A$2918,1)))*100))</f>
        <v/>
      </c>
      <c r="AB545" s="19">
        <f>IF(NOT(ISNUMBER($A545)),NA(),IF(OR($A545&lt;MIN(DKW_10Y!$A$2:$A$2918),$A545&gt;MAX(DKW_10Y!$A$2:$A$2918),Settings!$B$16&lt;MIN(DKW_10Y!$A$2:$A$2918)),NA(),(INDEX(DKW_10Y!$H$2:$H$2918,MATCH($A545,DKW_10Y!$A$2:$A$2918,1))-INDEX(DKW_10Y!$H$2:$H$2918,MATCH(Settings!$B$16,DKW_10Y!$A$2:$A$2918,1)))*100))</f>
        <v/>
      </c>
      <c r="AC545" s="18">
        <f>IF(NOT(ISNUMBER($A545)),NA(),IFERROR(1*INDEX(BBG_Data!$N$2:$N$4000,MATCH($A545,BBG_Data!$M$2:$M$4000,0)),NA()))</f>
        <v/>
      </c>
      <c r="AD545" s="18">
        <f>IF(NOT(ISNUMBER($A545)),NA(),IFERROR(1*INDEX(BBG_Data!$P$2:$P$4000,MATCH($A545,BBG_Data!$O$2:$O$4000,0)),NA()))</f>
        <v/>
      </c>
      <c r="AE545" s="18">
        <f>IF(NOT(ISNUMBER($A545)),NA(),IFERROR(1*INDEX(BBG_Data!$R$2:$R$4000,MATCH($A545,BBG_Data!$Q$2:$Q$4000,0)),NA()))</f>
        <v/>
      </c>
      <c r="AF545" s="20">
        <f>IF(AND(ISNUMBER(B545),ISNUMBER(AC545)),(B545-AC545)*100,NA())</f>
        <v/>
      </c>
      <c r="AG545" s="20">
        <f>IF(AND(ISNUMBER(AE545),ISNUMBER(AD545)),(AE545-AD545)*100,NA())</f>
        <v/>
      </c>
      <c r="AH545" s="19">
        <f>IF(NOT(ISNUMBER($A545)),NA(),IFERROR(INDEX(BBG_Data!$T$2:$T$4000,MATCH($A545,BBG_Data!$S$2:$S$4000,0))*Settings!$B$25,NA()))</f>
        <v/>
      </c>
      <c r="AI545" s="19">
        <f>IF(NOT(ISNUMBER($A545)),NA(),IFERROR(INDEX(BBG_Data!$V$2:$V$4000,MATCH($A545,BBG_Data!$U$2:$U$4000,0))*Settings!$B$25,NA()))</f>
        <v/>
      </c>
      <c r="AJ545" s="19">
        <f>IF(NOT(ISNUMBER($A545)),NA(),IFERROR(1*INDEX(BBG_Data!$X$2:$X$4000,MATCH($A545,BBG_Data!$W$2:$W$4000,0)),NA()))</f>
        <v/>
      </c>
      <c r="AK545" s="19">
        <f>IF(NOT(ISNUMBER($A545)),NA(),IFERROR(1*INDEX(BBG_Data!$Z$2:$Z$4000,MATCH($A545,BBG_Data!$Y$2:$Y$4000,0)),NA()))</f>
        <v/>
      </c>
    </row>
    <row r="546">
      <c r="A546" s="17">
        <f>IF(ISNUMBER(BBG_Data!A546),BBG_Data!A546,"")</f>
        <v/>
      </c>
      <c r="B546" s="18">
        <f>IF(AND(ISNUMBER($A546),ISNUMBER(BBG_Data!B546)),BBG_Data!B546,NA())</f>
        <v/>
      </c>
      <c r="C546" s="18">
        <f>IF(NOT(ISNUMBER($A546)),NA(),IFERROR(1*INDEX(BBG_Data!$D$2:$D$4000,MATCH($A546,BBG_Data!$C$2:$C$4000,0)),NA()))</f>
        <v/>
      </c>
      <c r="D546" s="19">
        <f>IF(NOT(ISNUMBER($A546)),NA(),IFERROR(1*INDEX(BBG_Data!$F$2:$F$4000,MATCH($A546,BBG_Data!$E$2:$E$4000,0)),NA()))</f>
        <v/>
      </c>
      <c r="E546" s="19">
        <f>IF(NOT(ISNUMBER($A546)),NA(),IFERROR(1*INDEX(BBG_Data!$H$2:$H$4000,MATCH($A546,BBG_Data!$G$2:$G$4000,0)),NA()))</f>
        <v/>
      </c>
      <c r="F546" s="20">
        <f>IF(AND(ISNUMBER(B546),ISNUMBER(B545)),IF(B546=B545,"",(B546-B545)*100),"")</f>
        <v/>
      </c>
      <c r="G546" s="20">
        <f>IF(AND(ISNUMBER(C546),ISNUMBER(C545)),IF(C546=C545,"",(C546-C545)*100),"")</f>
        <v/>
      </c>
      <c r="H546" s="20">
        <f>IF(OR(NOT(ISNUMBER($A546)),ROW()-2&lt;Settings!$B$11),NA(),IF(COUNT(OFFSET(F546,1-Settings!$B$11,0,Settings!$B$11,1))&lt;ROUNDUP(Settings!$B$11*Settings!$B$26,0),NA(),STDEV(OFFSET(F546,1-Settings!$B$11,0,Settings!$B$11,1))*SQRT(Settings!$B$13)))</f>
        <v/>
      </c>
      <c r="I546" s="20">
        <f>IF(OR(NOT(ISNUMBER($A546)),ROW()-2&lt;Settings!$B$12),NA(),IF(COUNT(OFFSET(F546,1-Settings!$B$12,0,Settings!$B$12,1))&lt;ROUNDUP(Settings!$B$12*Settings!$B$26,0),NA(),STDEV(OFFSET(F546,1-Settings!$B$12,0,Settings!$B$12,1))*SQRT(Settings!$B$13)))</f>
        <v/>
      </c>
      <c r="J546" s="20">
        <f>IF(OR(NOT(ISNUMBER($A546)),ROW()-2&lt;Settings!$B$11),NA(),IF(COUNT(OFFSET(G546,1-Settings!$B$11,0,Settings!$B$11,1))&lt;ROUNDUP(Settings!$B$11*Settings!$B$26,0),NA(),STDEV(OFFSET(G546,1-Settings!$B$11,0,Settings!$B$11,1))*SQRT(Settings!$B$13)))</f>
        <v/>
      </c>
      <c r="K546" s="20">
        <f>IF(OR(NOT(ISNUMBER($A546)),ROW()-2&lt;Settings!$B$12),NA(),IF(COUNT(OFFSET(G546,1-Settings!$B$12,0,Settings!$B$12,1))&lt;ROUNDUP(Settings!$B$12*Settings!$B$26,0),NA(),STDEV(OFFSET(G546,1-Settings!$B$12,0,Settings!$B$12,1))*SQRT(Settings!$B$13)))</f>
        <v/>
      </c>
      <c r="L546" s="20">
        <f>IF(AND(ISNUMBER(D546),ISNUMBER(H546)),D546-H546,NA())</f>
        <v/>
      </c>
      <c r="M546" s="20">
        <f>IF(AND(ISNUMBER(E546),ISNUMBER(K546)),E546-K546,NA())</f>
        <v/>
      </c>
      <c r="N546" s="20">
        <f>IF(NOT(ISNUMBER($A546)),NA(),IF(COUNT(OFFSET(G546,1,0,Settings!$B$12,1))&lt;ROUNDUP(Settings!$B$12*Settings!$B$26,0),NA(),STDEV(OFFSET(G546,1,0,Settings!$B$12,1))*SQRT(Settings!$B$13)))</f>
        <v/>
      </c>
      <c r="O546" s="20">
        <f>IF(AND(ISNUMBER(E546),ISNUMBER(N546)),E546-N546,NA())</f>
        <v/>
      </c>
      <c r="P546" s="19">
        <f>IF(NOT(ISNUMBER($A546)),NA(),IF(OR($A546&lt;MIN(KW_TP!$A$2:$A$2501),$A546&gt;MAX(KW_TP!$A$2:$A$2501)),NA(),INDEX(KW_TP!$C$2:$C$2501,MATCH($A546,KW_TP!$A$2:$A$2501,1))))</f>
        <v/>
      </c>
      <c r="Q546" s="18">
        <f>IF(NOT(ISNUMBER($A546)),NA(),IFERROR(1*INDEX(BBG_Data!$J$2:$J$4000,MATCH($A546,BBG_Data!$I$2:$I$4000,0)),NA()))</f>
        <v/>
      </c>
      <c r="R546" s="18">
        <f>IF(NOT(ISNUMBER($A546)),NA(),IFERROR(1*INDEX(BBG_Data!$L$2:$L$4000,MATCH($A546,BBG_Data!$K$2:$K$4000,0)),NA()))</f>
        <v/>
      </c>
      <c r="S546" s="20">
        <f>IF(AND(ISNUMBER(B546),ISNUMBER(Q546),ISNUMBER(R546)),(B546-Q546-R546)*100,NA())</f>
        <v/>
      </c>
      <c r="T546" s="20">
        <f>IF(AND(ISNUMBER(B546),Settings!$B$17&gt;0),IF(ISNUMBER(INDEX($B:$B,Settings!$B$17)),(B546-INDEX($B:$B,Settings!$B$17))*100,NA()),NA())</f>
        <v/>
      </c>
      <c r="U546" s="20">
        <f>IF(AND(ISNUMBER(Q546),Settings!$B$17&gt;0),IF(ISNUMBER(INDEX($Q:$Q,Settings!$B$17)),(Q546-INDEX($Q:$Q,Settings!$B$17))*100,NA()),NA())</f>
        <v/>
      </c>
      <c r="V546" s="20">
        <f>IF(AND(ISNUMBER(R546),Settings!$B$17&gt;0),IF(ISNUMBER(INDEX($R:$R,Settings!$B$17)),(R546-INDEX($R:$R,Settings!$B$17))*100,NA()),NA())</f>
        <v/>
      </c>
      <c r="W546" s="20">
        <f>IF(AND(ISNUMBER(P546),Settings!$B$17&gt;0),IF(ISNUMBER(INDEX($P:$P,Settings!$B$17)),P546-INDEX($P:$P,Settings!$B$17),NA()),NA())</f>
        <v/>
      </c>
      <c r="X546" s="19">
        <f>IF(NOT(ISNUMBER($A546)),NA(),IF(OR($A546&lt;MIN(DKW_10Y!$A$2:$A$2918),$A546&gt;MAX(DKW_10Y!$A$2:$A$2918),Settings!$B$16&lt;MIN(DKW_10Y!$A$2:$A$2918)),NA(),(INDEX(DKW_10Y!$B$2:$B$2918,MATCH($A546,DKW_10Y!$A$2:$A$2918,1))-INDEX(DKW_10Y!$B$2:$B$2918,MATCH(Settings!$B$16,DKW_10Y!$A$2:$A$2918,1)))*100))</f>
        <v/>
      </c>
      <c r="Y546" s="19">
        <f>IF(NOT(ISNUMBER($A546)),NA(),IF(OR($A546&lt;MIN(DKW_10Y!$A$2:$A$2918),$A546&gt;MAX(DKW_10Y!$A$2:$A$2918),Settings!$B$16&lt;MIN(DKW_10Y!$A$2:$A$2918)),NA(),(INDEX(DKW_10Y!$C$2:$C$2918,MATCH($A546,DKW_10Y!$A$2:$A$2918,1))-INDEX(DKW_10Y!$C$2:$C$2918,MATCH(Settings!$B$16,DKW_10Y!$A$2:$A$2918,1)))*100))</f>
        <v/>
      </c>
      <c r="Z546" s="19">
        <f>IF(NOT(ISNUMBER($A546)),NA(),IF(OR($A546&lt;MIN(DKW_10Y!$A$2:$A$2918),$A546&gt;MAX(DKW_10Y!$A$2:$A$2918),Settings!$B$16&lt;MIN(DKW_10Y!$A$2:$A$2918)),NA(),(INDEX(DKW_10Y!$D$2:$D$2918,MATCH($A546,DKW_10Y!$A$2:$A$2918,1))-INDEX(DKW_10Y!$D$2:$D$2918,MATCH(Settings!$B$16,DKW_10Y!$A$2:$A$2918,1)))*100))</f>
        <v/>
      </c>
      <c r="AA546" s="19">
        <f>IF(NOT(ISNUMBER($A546)),NA(),IF(OR($A546&lt;MIN(DKW_10Y!$A$2:$A$2918),$A546&gt;MAX(DKW_10Y!$A$2:$A$2918),Settings!$B$16&lt;MIN(DKW_10Y!$A$2:$A$2918)),NA(),(INDEX(DKW_10Y!$E$2:$E$2918,MATCH($A546,DKW_10Y!$A$2:$A$2918,1))-INDEX(DKW_10Y!$E$2:$E$2918,MATCH(Settings!$B$16,DKW_10Y!$A$2:$A$2918,1)))*100))</f>
        <v/>
      </c>
      <c r="AB546" s="19">
        <f>IF(NOT(ISNUMBER($A546)),NA(),IF(OR($A546&lt;MIN(DKW_10Y!$A$2:$A$2918),$A546&gt;MAX(DKW_10Y!$A$2:$A$2918),Settings!$B$16&lt;MIN(DKW_10Y!$A$2:$A$2918)),NA(),(INDEX(DKW_10Y!$H$2:$H$2918,MATCH($A546,DKW_10Y!$A$2:$A$2918,1))-INDEX(DKW_10Y!$H$2:$H$2918,MATCH(Settings!$B$16,DKW_10Y!$A$2:$A$2918,1)))*100))</f>
        <v/>
      </c>
      <c r="AC546" s="18">
        <f>IF(NOT(ISNUMBER($A546)),NA(),IFERROR(1*INDEX(BBG_Data!$N$2:$N$4000,MATCH($A546,BBG_Data!$M$2:$M$4000,0)),NA()))</f>
        <v/>
      </c>
      <c r="AD546" s="18">
        <f>IF(NOT(ISNUMBER($A546)),NA(),IFERROR(1*INDEX(BBG_Data!$P$2:$P$4000,MATCH($A546,BBG_Data!$O$2:$O$4000,0)),NA()))</f>
        <v/>
      </c>
      <c r="AE546" s="18">
        <f>IF(NOT(ISNUMBER($A546)),NA(),IFERROR(1*INDEX(BBG_Data!$R$2:$R$4000,MATCH($A546,BBG_Data!$Q$2:$Q$4000,0)),NA()))</f>
        <v/>
      </c>
      <c r="AF546" s="20">
        <f>IF(AND(ISNUMBER(B546),ISNUMBER(AC546)),(B546-AC546)*100,NA())</f>
        <v/>
      </c>
      <c r="AG546" s="20">
        <f>IF(AND(ISNUMBER(AE546),ISNUMBER(AD546)),(AE546-AD546)*100,NA())</f>
        <v/>
      </c>
      <c r="AH546" s="19">
        <f>IF(NOT(ISNUMBER($A546)),NA(),IFERROR(INDEX(BBG_Data!$T$2:$T$4000,MATCH($A546,BBG_Data!$S$2:$S$4000,0))*Settings!$B$25,NA()))</f>
        <v/>
      </c>
      <c r="AI546" s="19">
        <f>IF(NOT(ISNUMBER($A546)),NA(),IFERROR(INDEX(BBG_Data!$V$2:$V$4000,MATCH($A546,BBG_Data!$U$2:$U$4000,0))*Settings!$B$25,NA()))</f>
        <v/>
      </c>
      <c r="AJ546" s="19">
        <f>IF(NOT(ISNUMBER($A546)),NA(),IFERROR(1*INDEX(BBG_Data!$X$2:$X$4000,MATCH($A546,BBG_Data!$W$2:$W$4000,0)),NA()))</f>
        <v/>
      </c>
      <c r="AK546" s="19">
        <f>IF(NOT(ISNUMBER($A546)),NA(),IFERROR(1*INDEX(BBG_Data!$Z$2:$Z$4000,MATCH($A546,BBG_Data!$Y$2:$Y$4000,0)),NA()))</f>
        <v/>
      </c>
    </row>
    <row r="547">
      <c r="A547" s="17">
        <f>IF(ISNUMBER(BBG_Data!A547),BBG_Data!A547,"")</f>
        <v/>
      </c>
      <c r="B547" s="18">
        <f>IF(AND(ISNUMBER($A547),ISNUMBER(BBG_Data!B547)),BBG_Data!B547,NA())</f>
        <v/>
      </c>
      <c r="C547" s="18">
        <f>IF(NOT(ISNUMBER($A547)),NA(),IFERROR(1*INDEX(BBG_Data!$D$2:$D$4000,MATCH($A547,BBG_Data!$C$2:$C$4000,0)),NA()))</f>
        <v/>
      </c>
      <c r="D547" s="19">
        <f>IF(NOT(ISNUMBER($A547)),NA(),IFERROR(1*INDEX(BBG_Data!$F$2:$F$4000,MATCH($A547,BBG_Data!$E$2:$E$4000,0)),NA()))</f>
        <v/>
      </c>
      <c r="E547" s="19">
        <f>IF(NOT(ISNUMBER($A547)),NA(),IFERROR(1*INDEX(BBG_Data!$H$2:$H$4000,MATCH($A547,BBG_Data!$G$2:$G$4000,0)),NA()))</f>
        <v/>
      </c>
      <c r="F547" s="20">
        <f>IF(AND(ISNUMBER(B547),ISNUMBER(B546)),IF(B547=B546,"",(B547-B546)*100),"")</f>
        <v/>
      </c>
      <c r="G547" s="20">
        <f>IF(AND(ISNUMBER(C547),ISNUMBER(C546)),IF(C547=C546,"",(C547-C546)*100),"")</f>
        <v/>
      </c>
      <c r="H547" s="20">
        <f>IF(OR(NOT(ISNUMBER($A547)),ROW()-2&lt;Settings!$B$11),NA(),IF(COUNT(OFFSET(F547,1-Settings!$B$11,0,Settings!$B$11,1))&lt;ROUNDUP(Settings!$B$11*Settings!$B$26,0),NA(),STDEV(OFFSET(F547,1-Settings!$B$11,0,Settings!$B$11,1))*SQRT(Settings!$B$13)))</f>
        <v/>
      </c>
      <c r="I547" s="20">
        <f>IF(OR(NOT(ISNUMBER($A547)),ROW()-2&lt;Settings!$B$12),NA(),IF(COUNT(OFFSET(F547,1-Settings!$B$12,0,Settings!$B$12,1))&lt;ROUNDUP(Settings!$B$12*Settings!$B$26,0),NA(),STDEV(OFFSET(F547,1-Settings!$B$12,0,Settings!$B$12,1))*SQRT(Settings!$B$13)))</f>
        <v/>
      </c>
      <c r="J547" s="20">
        <f>IF(OR(NOT(ISNUMBER($A547)),ROW()-2&lt;Settings!$B$11),NA(),IF(COUNT(OFFSET(G547,1-Settings!$B$11,0,Settings!$B$11,1))&lt;ROUNDUP(Settings!$B$11*Settings!$B$26,0),NA(),STDEV(OFFSET(G547,1-Settings!$B$11,0,Settings!$B$11,1))*SQRT(Settings!$B$13)))</f>
        <v/>
      </c>
      <c r="K547" s="20">
        <f>IF(OR(NOT(ISNUMBER($A547)),ROW()-2&lt;Settings!$B$12),NA(),IF(COUNT(OFFSET(G547,1-Settings!$B$12,0,Settings!$B$12,1))&lt;ROUNDUP(Settings!$B$12*Settings!$B$26,0),NA(),STDEV(OFFSET(G547,1-Settings!$B$12,0,Settings!$B$12,1))*SQRT(Settings!$B$13)))</f>
        <v/>
      </c>
      <c r="L547" s="20">
        <f>IF(AND(ISNUMBER(D547),ISNUMBER(H547)),D547-H547,NA())</f>
        <v/>
      </c>
      <c r="M547" s="20">
        <f>IF(AND(ISNUMBER(E547),ISNUMBER(K547)),E547-K547,NA())</f>
        <v/>
      </c>
      <c r="N547" s="20">
        <f>IF(NOT(ISNUMBER($A547)),NA(),IF(COUNT(OFFSET(G547,1,0,Settings!$B$12,1))&lt;ROUNDUP(Settings!$B$12*Settings!$B$26,0),NA(),STDEV(OFFSET(G547,1,0,Settings!$B$12,1))*SQRT(Settings!$B$13)))</f>
        <v/>
      </c>
      <c r="O547" s="20">
        <f>IF(AND(ISNUMBER(E547),ISNUMBER(N547)),E547-N547,NA())</f>
        <v/>
      </c>
      <c r="P547" s="19">
        <f>IF(NOT(ISNUMBER($A547)),NA(),IF(OR($A547&lt;MIN(KW_TP!$A$2:$A$2501),$A547&gt;MAX(KW_TP!$A$2:$A$2501)),NA(),INDEX(KW_TP!$C$2:$C$2501,MATCH($A547,KW_TP!$A$2:$A$2501,1))))</f>
        <v/>
      </c>
      <c r="Q547" s="18">
        <f>IF(NOT(ISNUMBER($A547)),NA(),IFERROR(1*INDEX(BBG_Data!$J$2:$J$4000,MATCH($A547,BBG_Data!$I$2:$I$4000,0)),NA()))</f>
        <v/>
      </c>
      <c r="R547" s="18">
        <f>IF(NOT(ISNUMBER($A547)),NA(),IFERROR(1*INDEX(BBG_Data!$L$2:$L$4000,MATCH($A547,BBG_Data!$K$2:$K$4000,0)),NA()))</f>
        <v/>
      </c>
      <c r="S547" s="20">
        <f>IF(AND(ISNUMBER(B547),ISNUMBER(Q547),ISNUMBER(R547)),(B547-Q547-R547)*100,NA())</f>
        <v/>
      </c>
      <c r="T547" s="20">
        <f>IF(AND(ISNUMBER(B547),Settings!$B$17&gt;0),IF(ISNUMBER(INDEX($B:$B,Settings!$B$17)),(B547-INDEX($B:$B,Settings!$B$17))*100,NA()),NA())</f>
        <v/>
      </c>
      <c r="U547" s="20">
        <f>IF(AND(ISNUMBER(Q547),Settings!$B$17&gt;0),IF(ISNUMBER(INDEX($Q:$Q,Settings!$B$17)),(Q547-INDEX($Q:$Q,Settings!$B$17))*100,NA()),NA())</f>
        <v/>
      </c>
      <c r="V547" s="20">
        <f>IF(AND(ISNUMBER(R547),Settings!$B$17&gt;0),IF(ISNUMBER(INDEX($R:$R,Settings!$B$17)),(R547-INDEX($R:$R,Settings!$B$17))*100,NA()),NA())</f>
        <v/>
      </c>
      <c r="W547" s="20">
        <f>IF(AND(ISNUMBER(P547),Settings!$B$17&gt;0),IF(ISNUMBER(INDEX($P:$P,Settings!$B$17)),P547-INDEX($P:$P,Settings!$B$17),NA()),NA())</f>
        <v/>
      </c>
      <c r="X547" s="19">
        <f>IF(NOT(ISNUMBER($A547)),NA(),IF(OR($A547&lt;MIN(DKW_10Y!$A$2:$A$2918),$A547&gt;MAX(DKW_10Y!$A$2:$A$2918),Settings!$B$16&lt;MIN(DKW_10Y!$A$2:$A$2918)),NA(),(INDEX(DKW_10Y!$B$2:$B$2918,MATCH($A547,DKW_10Y!$A$2:$A$2918,1))-INDEX(DKW_10Y!$B$2:$B$2918,MATCH(Settings!$B$16,DKW_10Y!$A$2:$A$2918,1)))*100))</f>
        <v/>
      </c>
      <c r="Y547" s="19">
        <f>IF(NOT(ISNUMBER($A547)),NA(),IF(OR($A547&lt;MIN(DKW_10Y!$A$2:$A$2918),$A547&gt;MAX(DKW_10Y!$A$2:$A$2918),Settings!$B$16&lt;MIN(DKW_10Y!$A$2:$A$2918)),NA(),(INDEX(DKW_10Y!$C$2:$C$2918,MATCH($A547,DKW_10Y!$A$2:$A$2918,1))-INDEX(DKW_10Y!$C$2:$C$2918,MATCH(Settings!$B$16,DKW_10Y!$A$2:$A$2918,1)))*100))</f>
        <v/>
      </c>
      <c r="Z547" s="19">
        <f>IF(NOT(ISNUMBER($A547)),NA(),IF(OR($A547&lt;MIN(DKW_10Y!$A$2:$A$2918),$A547&gt;MAX(DKW_10Y!$A$2:$A$2918),Settings!$B$16&lt;MIN(DKW_10Y!$A$2:$A$2918)),NA(),(INDEX(DKW_10Y!$D$2:$D$2918,MATCH($A547,DKW_10Y!$A$2:$A$2918,1))-INDEX(DKW_10Y!$D$2:$D$2918,MATCH(Settings!$B$16,DKW_10Y!$A$2:$A$2918,1)))*100))</f>
        <v/>
      </c>
      <c r="AA547" s="19">
        <f>IF(NOT(ISNUMBER($A547)),NA(),IF(OR($A547&lt;MIN(DKW_10Y!$A$2:$A$2918),$A547&gt;MAX(DKW_10Y!$A$2:$A$2918),Settings!$B$16&lt;MIN(DKW_10Y!$A$2:$A$2918)),NA(),(INDEX(DKW_10Y!$E$2:$E$2918,MATCH($A547,DKW_10Y!$A$2:$A$2918,1))-INDEX(DKW_10Y!$E$2:$E$2918,MATCH(Settings!$B$16,DKW_10Y!$A$2:$A$2918,1)))*100))</f>
        <v/>
      </c>
      <c r="AB547" s="19">
        <f>IF(NOT(ISNUMBER($A547)),NA(),IF(OR($A547&lt;MIN(DKW_10Y!$A$2:$A$2918),$A547&gt;MAX(DKW_10Y!$A$2:$A$2918),Settings!$B$16&lt;MIN(DKW_10Y!$A$2:$A$2918)),NA(),(INDEX(DKW_10Y!$H$2:$H$2918,MATCH($A547,DKW_10Y!$A$2:$A$2918,1))-INDEX(DKW_10Y!$H$2:$H$2918,MATCH(Settings!$B$16,DKW_10Y!$A$2:$A$2918,1)))*100))</f>
        <v/>
      </c>
      <c r="AC547" s="18">
        <f>IF(NOT(ISNUMBER($A547)),NA(),IFERROR(1*INDEX(BBG_Data!$N$2:$N$4000,MATCH($A547,BBG_Data!$M$2:$M$4000,0)),NA()))</f>
        <v/>
      </c>
      <c r="AD547" s="18">
        <f>IF(NOT(ISNUMBER($A547)),NA(),IFERROR(1*INDEX(BBG_Data!$P$2:$P$4000,MATCH($A547,BBG_Data!$O$2:$O$4000,0)),NA()))</f>
        <v/>
      </c>
      <c r="AE547" s="18">
        <f>IF(NOT(ISNUMBER($A547)),NA(),IFERROR(1*INDEX(BBG_Data!$R$2:$R$4000,MATCH($A547,BBG_Data!$Q$2:$Q$4000,0)),NA()))</f>
        <v/>
      </c>
      <c r="AF547" s="20">
        <f>IF(AND(ISNUMBER(B547),ISNUMBER(AC547)),(B547-AC547)*100,NA())</f>
        <v/>
      </c>
      <c r="AG547" s="20">
        <f>IF(AND(ISNUMBER(AE547),ISNUMBER(AD547)),(AE547-AD547)*100,NA())</f>
        <v/>
      </c>
      <c r="AH547" s="19">
        <f>IF(NOT(ISNUMBER($A547)),NA(),IFERROR(INDEX(BBG_Data!$T$2:$T$4000,MATCH($A547,BBG_Data!$S$2:$S$4000,0))*Settings!$B$25,NA()))</f>
        <v/>
      </c>
      <c r="AI547" s="19">
        <f>IF(NOT(ISNUMBER($A547)),NA(),IFERROR(INDEX(BBG_Data!$V$2:$V$4000,MATCH($A547,BBG_Data!$U$2:$U$4000,0))*Settings!$B$25,NA()))</f>
        <v/>
      </c>
      <c r="AJ547" s="19">
        <f>IF(NOT(ISNUMBER($A547)),NA(),IFERROR(1*INDEX(BBG_Data!$X$2:$X$4000,MATCH($A547,BBG_Data!$W$2:$W$4000,0)),NA()))</f>
        <v/>
      </c>
      <c r="AK547" s="19">
        <f>IF(NOT(ISNUMBER($A547)),NA(),IFERROR(1*INDEX(BBG_Data!$Z$2:$Z$4000,MATCH($A547,BBG_Data!$Y$2:$Y$4000,0)),NA()))</f>
        <v/>
      </c>
    </row>
    <row r="548">
      <c r="A548" s="17">
        <f>IF(ISNUMBER(BBG_Data!A548),BBG_Data!A548,"")</f>
        <v/>
      </c>
      <c r="B548" s="18">
        <f>IF(AND(ISNUMBER($A548),ISNUMBER(BBG_Data!B548)),BBG_Data!B548,NA())</f>
        <v/>
      </c>
      <c r="C548" s="18">
        <f>IF(NOT(ISNUMBER($A548)),NA(),IFERROR(1*INDEX(BBG_Data!$D$2:$D$4000,MATCH($A548,BBG_Data!$C$2:$C$4000,0)),NA()))</f>
        <v/>
      </c>
      <c r="D548" s="19">
        <f>IF(NOT(ISNUMBER($A548)),NA(),IFERROR(1*INDEX(BBG_Data!$F$2:$F$4000,MATCH($A548,BBG_Data!$E$2:$E$4000,0)),NA()))</f>
        <v/>
      </c>
      <c r="E548" s="19">
        <f>IF(NOT(ISNUMBER($A548)),NA(),IFERROR(1*INDEX(BBG_Data!$H$2:$H$4000,MATCH($A548,BBG_Data!$G$2:$G$4000,0)),NA()))</f>
        <v/>
      </c>
      <c r="F548" s="20">
        <f>IF(AND(ISNUMBER(B548),ISNUMBER(B547)),IF(B548=B547,"",(B548-B547)*100),"")</f>
        <v/>
      </c>
      <c r="G548" s="20">
        <f>IF(AND(ISNUMBER(C548),ISNUMBER(C547)),IF(C548=C547,"",(C548-C547)*100),"")</f>
        <v/>
      </c>
      <c r="H548" s="20">
        <f>IF(OR(NOT(ISNUMBER($A548)),ROW()-2&lt;Settings!$B$11),NA(),IF(COUNT(OFFSET(F548,1-Settings!$B$11,0,Settings!$B$11,1))&lt;ROUNDUP(Settings!$B$11*Settings!$B$26,0),NA(),STDEV(OFFSET(F548,1-Settings!$B$11,0,Settings!$B$11,1))*SQRT(Settings!$B$13)))</f>
        <v/>
      </c>
      <c r="I548" s="20">
        <f>IF(OR(NOT(ISNUMBER($A548)),ROW()-2&lt;Settings!$B$12),NA(),IF(COUNT(OFFSET(F548,1-Settings!$B$12,0,Settings!$B$12,1))&lt;ROUNDUP(Settings!$B$12*Settings!$B$26,0),NA(),STDEV(OFFSET(F548,1-Settings!$B$12,0,Settings!$B$12,1))*SQRT(Settings!$B$13)))</f>
        <v/>
      </c>
      <c r="J548" s="20">
        <f>IF(OR(NOT(ISNUMBER($A548)),ROW()-2&lt;Settings!$B$11),NA(),IF(COUNT(OFFSET(G548,1-Settings!$B$11,0,Settings!$B$11,1))&lt;ROUNDUP(Settings!$B$11*Settings!$B$26,0),NA(),STDEV(OFFSET(G548,1-Settings!$B$11,0,Settings!$B$11,1))*SQRT(Settings!$B$13)))</f>
        <v/>
      </c>
      <c r="K548" s="20">
        <f>IF(OR(NOT(ISNUMBER($A548)),ROW()-2&lt;Settings!$B$12),NA(),IF(COUNT(OFFSET(G548,1-Settings!$B$12,0,Settings!$B$12,1))&lt;ROUNDUP(Settings!$B$12*Settings!$B$26,0),NA(),STDEV(OFFSET(G548,1-Settings!$B$12,0,Settings!$B$12,1))*SQRT(Settings!$B$13)))</f>
        <v/>
      </c>
      <c r="L548" s="20">
        <f>IF(AND(ISNUMBER(D548),ISNUMBER(H548)),D548-H548,NA())</f>
        <v/>
      </c>
      <c r="M548" s="20">
        <f>IF(AND(ISNUMBER(E548),ISNUMBER(K548)),E548-K548,NA())</f>
        <v/>
      </c>
      <c r="N548" s="20">
        <f>IF(NOT(ISNUMBER($A548)),NA(),IF(COUNT(OFFSET(G548,1,0,Settings!$B$12,1))&lt;ROUNDUP(Settings!$B$12*Settings!$B$26,0),NA(),STDEV(OFFSET(G548,1,0,Settings!$B$12,1))*SQRT(Settings!$B$13)))</f>
        <v/>
      </c>
      <c r="O548" s="20">
        <f>IF(AND(ISNUMBER(E548),ISNUMBER(N548)),E548-N548,NA())</f>
        <v/>
      </c>
      <c r="P548" s="19">
        <f>IF(NOT(ISNUMBER($A548)),NA(),IF(OR($A548&lt;MIN(KW_TP!$A$2:$A$2501),$A548&gt;MAX(KW_TP!$A$2:$A$2501)),NA(),INDEX(KW_TP!$C$2:$C$2501,MATCH($A548,KW_TP!$A$2:$A$2501,1))))</f>
        <v/>
      </c>
      <c r="Q548" s="18">
        <f>IF(NOT(ISNUMBER($A548)),NA(),IFERROR(1*INDEX(BBG_Data!$J$2:$J$4000,MATCH($A548,BBG_Data!$I$2:$I$4000,0)),NA()))</f>
        <v/>
      </c>
      <c r="R548" s="18">
        <f>IF(NOT(ISNUMBER($A548)),NA(),IFERROR(1*INDEX(BBG_Data!$L$2:$L$4000,MATCH($A548,BBG_Data!$K$2:$K$4000,0)),NA()))</f>
        <v/>
      </c>
      <c r="S548" s="20">
        <f>IF(AND(ISNUMBER(B548),ISNUMBER(Q548),ISNUMBER(R548)),(B548-Q548-R548)*100,NA())</f>
        <v/>
      </c>
      <c r="T548" s="20">
        <f>IF(AND(ISNUMBER(B548),Settings!$B$17&gt;0),IF(ISNUMBER(INDEX($B:$B,Settings!$B$17)),(B548-INDEX($B:$B,Settings!$B$17))*100,NA()),NA())</f>
        <v/>
      </c>
      <c r="U548" s="20">
        <f>IF(AND(ISNUMBER(Q548),Settings!$B$17&gt;0),IF(ISNUMBER(INDEX($Q:$Q,Settings!$B$17)),(Q548-INDEX($Q:$Q,Settings!$B$17))*100,NA()),NA())</f>
        <v/>
      </c>
      <c r="V548" s="20">
        <f>IF(AND(ISNUMBER(R548),Settings!$B$17&gt;0),IF(ISNUMBER(INDEX($R:$R,Settings!$B$17)),(R548-INDEX($R:$R,Settings!$B$17))*100,NA()),NA())</f>
        <v/>
      </c>
      <c r="W548" s="20">
        <f>IF(AND(ISNUMBER(P548),Settings!$B$17&gt;0),IF(ISNUMBER(INDEX($P:$P,Settings!$B$17)),P548-INDEX($P:$P,Settings!$B$17),NA()),NA())</f>
        <v/>
      </c>
      <c r="X548" s="19">
        <f>IF(NOT(ISNUMBER($A548)),NA(),IF(OR($A548&lt;MIN(DKW_10Y!$A$2:$A$2918),$A548&gt;MAX(DKW_10Y!$A$2:$A$2918),Settings!$B$16&lt;MIN(DKW_10Y!$A$2:$A$2918)),NA(),(INDEX(DKW_10Y!$B$2:$B$2918,MATCH($A548,DKW_10Y!$A$2:$A$2918,1))-INDEX(DKW_10Y!$B$2:$B$2918,MATCH(Settings!$B$16,DKW_10Y!$A$2:$A$2918,1)))*100))</f>
        <v/>
      </c>
      <c r="Y548" s="19">
        <f>IF(NOT(ISNUMBER($A548)),NA(),IF(OR($A548&lt;MIN(DKW_10Y!$A$2:$A$2918),$A548&gt;MAX(DKW_10Y!$A$2:$A$2918),Settings!$B$16&lt;MIN(DKW_10Y!$A$2:$A$2918)),NA(),(INDEX(DKW_10Y!$C$2:$C$2918,MATCH($A548,DKW_10Y!$A$2:$A$2918,1))-INDEX(DKW_10Y!$C$2:$C$2918,MATCH(Settings!$B$16,DKW_10Y!$A$2:$A$2918,1)))*100))</f>
        <v/>
      </c>
      <c r="Z548" s="19">
        <f>IF(NOT(ISNUMBER($A548)),NA(),IF(OR($A548&lt;MIN(DKW_10Y!$A$2:$A$2918),$A548&gt;MAX(DKW_10Y!$A$2:$A$2918),Settings!$B$16&lt;MIN(DKW_10Y!$A$2:$A$2918)),NA(),(INDEX(DKW_10Y!$D$2:$D$2918,MATCH($A548,DKW_10Y!$A$2:$A$2918,1))-INDEX(DKW_10Y!$D$2:$D$2918,MATCH(Settings!$B$16,DKW_10Y!$A$2:$A$2918,1)))*100))</f>
        <v/>
      </c>
      <c r="AA548" s="19">
        <f>IF(NOT(ISNUMBER($A548)),NA(),IF(OR($A548&lt;MIN(DKW_10Y!$A$2:$A$2918),$A548&gt;MAX(DKW_10Y!$A$2:$A$2918),Settings!$B$16&lt;MIN(DKW_10Y!$A$2:$A$2918)),NA(),(INDEX(DKW_10Y!$E$2:$E$2918,MATCH($A548,DKW_10Y!$A$2:$A$2918,1))-INDEX(DKW_10Y!$E$2:$E$2918,MATCH(Settings!$B$16,DKW_10Y!$A$2:$A$2918,1)))*100))</f>
        <v/>
      </c>
      <c r="AB548" s="19">
        <f>IF(NOT(ISNUMBER($A548)),NA(),IF(OR($A548&lt;MIN(DKW_10Y!$A$2:$A$2918),$A548&gt;MAX(DKW_10Y!$A$2:$A$2918),Settings!$B$16&lt;MIN(DKW_10Y!$A$2:$A$2918)),NA(),(INDEX(DKW_10Y!$H$2:$H$2918,MATCH($A548,DKW_10Y!$A$2:$A$2918,1))-INDEX(DKW_10Y!$H$2:$H$2918,MATCH(Settings!$B$16,DKW_10Y!$A$2:$A$2918,1)))*100))</f>
        <v/>
      </c>
      <c r="AC548" s="18">
        <f>IF(NOT(ISNUMBER($A548)),NA(),IFERROR(1*INDEX(BBG_Data!$N$2:$N$4000,MATCH($A548,BBG_Data!$M$2:$M$4000,0)),NA()))</f>
        <v/>
      </c>
      <c r="AD548" s="18">
        <f>IF(NOT(ISNUMBER($A548)),NA(),IFERROR(1*INDEX(BBG_Data!$P$2:$P$4000,MATCH($A548,BBG_Data!$O$2:$O$4000,0)),NA()))</f>
        <v/>
      </c>
      <c r="AE548" s="18">
        <f>IF(NOT(ISNUMBER($A548)),NA(),IFERROR(1*INDEX(BBG_Data!$R$2:$R$4000,MATCH($A548,BBG_Data!$Q$2:$Q$4000,0)),NA()))</f>
        <v/>
      </c>
      <c r="AF548" s="20">
        <f>IF(AND(ISNUMBER(B548),ISNUMBER(AC548)),(B548-AC548)*100,NA())</f>
        <v/>
      </c>
      <c r="AG548" s="20">
        <f>IF(AND(ISNUMBER(AE548),ISNUMBER(AD548)),(AE548-AD548)*100,NA())</f>
        <v/>
      </c>
      <c r="AH548" s="19">
        <f>IF(NOT(ISNUMBER($A548)),NA(),IFERROR(INDEX(BBG_Data!$T$2:$T$4000,MATCH($A548,BBG_Data!$S$2:$S$4000,0))*Settings!$B$25,NA()))</f>
        <v/>
      </c>
      <c r="AI548" s="19">
        <f>IF(NOT(ISNUMBER($A548)),NA(),IFERROR(INDEX(BBG_Data!$V$2:$V$4000,MATCH($A548,BBG_Data!$U$2:$U$4000,0))*Settings!$B$25,NA()))</f>
        <v/>
      </c>
      <c r="AJ548" s="19">
        <f>IF(NOT(ISNUMBER($A548)),NA(),IFERROR(1*INDEX(BBG_Data!$X$2:$X$4000,MATCH($A548,BBG_Data!$W$2:$W$4000,0)),NA()))</f>
        <v/>
      </c>
      <c r="AK548" s="19">
        <f>IF(NOT(ISNUMBER($A548)),NA(),IFERROR(1*INDEX(BBG_Data!$Z$2:$Z$4000,MATCH($A548,BBG_Data!$Y$2:$Y$4000,0)),NA()))</f>
        <v/>
      </c>
    </row>
    <row r="549">
      <c r="A549" s="17">
        <f>IF(ISNUMBER(BBG_Data!A549),BBG_Data!A549,"")</f>
        <v/>
      </c>
      <c r="B549" s="18">
        <f>IF(AND(ISNUMBER($A549),ISNUMBER(BBG_Data!B549)),BBG_Data!B549,NA())</f>
        <v/>
      </c>
      <c r="C549" s="18">
        <f>IF(NOT(ISNUMBER($A549)),NA(),IFERROR(1*INDEX(BBG_Data!$D$2:$D$4000,MATCH($A549,BBG_Data!$C$2:$C$4000,0)),NA()))</f>
        <v/>
      </c>
      <c r="D549" s="19">
        <f>IF(NOT(ISNUMBER($A549)),NA(),IFERROR(1*INDEX(BBG_Data!$F$2:$F$4000,MATCH($A549,BBG_Data!$E$2:$E$4000,0)),NA()))</f>
        <v/>
      </c>
      <c r="E549" s="19">
        <f>IF(NOT(ISNUMBER($A549)),NA(),IFERROR(1*INDEX(BBG_Data!$H$2:$H$4000,MATCH($A549,BBG_Data!$G$2:$G$4000,0)),NA()))</f>
        <v/>
      </c>
      <c r="F549" s="20">
        <f>IF(AND(ISNUMBER(B549),ISNUMBER(B548)),IF(B549=B548,"",(B549-B548)*100),"")</f>
        <v/>
      </c>
      <c r="G549" s="20">
        <f>IF(AND(ISNUMBER(C549),ISNUMBER(C548)),IF(C549=C548,"",(C549-C548)*100),"")</f>
        <v/>
      </c>
      <c r="H549" s="20">
        <f>IF(OR(NOT(ISNUMBER($A549)),ROW()-2&lt;Settings!$B$11),NA(),IF(COUNT(OFFSET(F549,1-Settings!$B$11,0,Settings!$B$11,1))&lt;ROUNDUP(Settings!$B$11*Settings!$B$26,0),NA(),STDEV(OFFSET(F549,1-Settings!$B$11,0,Settings!$B$11,1))*SQRT(Settings!$B$13)))</f>
        <v/>
      </c>
      <c r="I549" s="20">
        <f>IF(OR(NOT(ISNUMBER($A549)),ROW()-2&lt;Settings!$B$12),NA(),IF(COUNT(OFFSET(F549,1-Settings!$B$12,0,Settings!$B$12,1))&lt;ROUNDUP(Settings!$B$12*Settings!$B$26,0),NA(),STDEV(OFFSET(F549,1-Settings!$B$12,0,Settings!$B$12,1))*SQRT(Settings!$B$13)))</f>
        <v/>
      </c>
      <c r="J549" s="20">
        <f>IF(OR(NOT(ISNUMBER($A549)),ROW()-2&lt;Settings!$B$11),NA(),IF(COUNT(OFFSET(G549,1-Settings!$B$11,0,Settings!$B$11,1))&lt;ROUNDUP(Settings!$B$11*Settings!$B$26,0),NA(),STDEV(OFFSET(G549,1-Settings!$B$11,0,Settings!$B$11,1))*SQRT(Settings!$B$13)))</f>
        <v/>
      </c>
      <c r="K549" s="20">
        <f>IF(OR(NOT(ISNUMBER($A549)),ROW()-2&lt;Settings!$B$12),NA(),IF(COUNT(OFFSET(G549,1-Settings!$B$12,0,Settings!$B$12,1))&lt;ROUNDUP(Settings!$B$12*Settings!$B$26,0),NA(),STDEV(OFFSET(G549,1-Settings!$B$12,0,Settings!$B$12,1))*SQRT(Settings!$B$13)))</f>
        <v/>
      </c>
      <c r="L549" s="20">
        <f>IF(AND(ISNUMBER(D549),ISNUMBER(H549)),D549-H549,NA())</f>
        <v/>
      </c>
      <c r="M549" s="20">
        <f>IF(AND(ISNUMBER(E549),ISNUMBER(K549)),E549-K549,NA())</f>
        <v/>
      </c>
      <c r="N549" s="20">
        <f>IF(NOT(ISNUMBER($A549)),NA(),IF(COUNT(OFFSET(G549,1,0,Settings!$B$12,1))&lt;ROUNDUP(Settings!$B$12*Settings!$B$26,0),NA(),STDEV(OFFSET(G549,1,0,Settings!$B$12,1))*SQRT(Settings!$B$13)))</f>
        <v/>
      </c>
      <c r="O549" s="20">
        <f>IF(AND(ISNUMBER(E549),ISNUMBER(N549)),E549-N549,NA())</f>
        <v/>
      </c>
      <c r="P549" s="19">
        <f>IF(NOT(ISNUMBER($A549)),NA(),IF(OR($A549&lt;MIN(KW_TP!$A$2:$A$2501),$A549&gt;MAX(KW_TP!$A$2:$A$2501)),NA(),INDEX(KW_TP!$C$2:$C$2501,MATCH($A549,KW_TP!$A$2:$A$2501,1))))</f>
        <v/>
      </c>
      <c r="Q549" s="18">
        <f>IF(NOT(ISNUMBER($A549)),NA(),IFERROR(1*INDEX(BBG_Data!$J$2:$J$4000,MATCH($A549,BBG_Data!$I$2:$I$4000,0)),NA()))</f>
        <v/>
      </c>
      <c r="R549" s="18">
        <f>IF(NOT(ISNUMBER($A549)),NA(),IFERROR(1*INDEX(BBG_Data!$L$2:$L$4000,MATCH($A549,BBG_Data!$K$2:$K$4000,0)),NA()))</f>
        <v/>
      </c>
      <c r="S549" s="20">
        <f>IF(AND(ISNUMBER(B549),ISNUMBER(Q549),ISNUMBER(R549)),(B549-Q549-R549)*100,NA())</f>
        <v/>
      </c>
      <c r="T549" s="20">
        <f>IF(AND(ISNUMBER(B549),Settings!$B$17&gt;0),IF(ISNUMBER(INDEX($B:$B,Settings!$B$17)),(B549-INDEX($B:$B,Settings!$B$17))*100,NA()),NA())</f>
        <v/>
      </c>
      <c r="U549" s="20">
        <f>IF(AND(ISNUMBER(Q549),Settings!$B$17&gt;0),IF(ISNUMBER(INDEX($Q:$Q,Settings!$B$17)),(Q549-INDEX($Q:$Q,Settings!$B$17))*100,NA()),NA())</f>
        <v/>
      </c>
      <c r="V549" s="20">
        <f>IF(AND(ISNUMBER(R549),Settings!$B$17&gt;0),IF(ISNUMBER(INDEX($R:$R,Settings!$B$17)),(R549-INDEX($R:$R,Settings!$B$17))*100,NA()),NA())</f>
        <v/>
      </c>
      <c r="W549" s="20">
        <f>IF(AND(ISNUMBER(P549),Settings!$B$17&gt;0),IF(ISNUMBER(INDEX($P:$P,Settings!$B$17)),P549-INDEX($P:$P,Settings!$B$17),NA()),NA())</f>
        <v/>
      </c>
      <c r="X549" s="19">
        <f>IF(NOT(ISNUMBER($A549)),NA(),IF(OR($A549&lt;MIN(DKW_10Y!$A$2:$A$2918),$A549&gt;MAX(DKW_10Y!$A$2:$A$2918),Settings!$B$16&lt;MIN(DKW_10Y!$A$2:$A$2918)),NA(),(INDEX(DKW_10Y!$B$2:$B$2918,MATCH($A549,DKW_10Y!$A$2:$A$2918,1))-INDEX(DKW_10Y!$B$2:$B$2918,MATCH(Settings!$B$16,DKW_10Y!$A$2:$A$2918,1)))*100))</f>
        <v/>
      </c>
      <c r="Y549" s="19">
        <f>IF(NOT(ISNUMBER($A549)),NA(),IF(OR($A549&lt;MIN(DKW_10Y!$A$2:$A$2918),$A549&gt;MAX(DKW_10Y!$A$2:$A$2918),Settings!$B$16&lt;MIN(DKW_10Y!$A$2:$A$2918)),NA(),(INDEX(DKW_10Y!$C$2:$C$2918,MATCH($A549,DKW_10Y!$A$2:$A$2918,1))-INDEX(DKW_10Y!$C$2:$C$2918,MATCH(Settings!$B$16,DKW_10Y!$A$2:$A$2918,1)))*100))</f>
        <v/>
      </c>
      <c r="Z549" s="19">
        <f>IF(NOT(ISNUMBER($A549)),NA(),IF(OR($A549&lt;MIN(DKW_10Y!$A$2:$A$2918),$A549&gt;MAX(DKW_10Y!$A$2:$A$2918),Settings!$B$16&lt;MIN(DKW_10Y!$A$2:$A$2918)),NA(),(INDEX(DKW_10Y!$D$2:$D$2918,MATCH($A549,DKW_10Y!$A$2:$A$2918,1))-INDEX(DKW_10Y!$D$2:$D$2918,MATCH(Settings!$B$16,DKW_10Y!$A$2:$A$2918,1)))*100))</f>
        <v/>
      </c>
      <c r="AA549" s="19">
        <f>IF(NOT(ISNUMBER($A549)),NA(),IF(OR($A549&lt;MIN(DKW_10Y!$A$2:$A$2918),$A549&gt;MAX(DKW_10Y!$A$2:$A$2918),Settings!$B$16&lt;MIN(DKW_10Y!$A$2:$A$2918)),NA(),(INDEX(DKW_10Y!$E$2:$E$2918,MATCH($A549,DKW_10Y!$A$2:$A$2918,1))-INDEX(DKW_10Y!$E$2:$E$2918,MATCH(Settings!$B$16,DKW_10Y!$A$2:$A$2918,1)))*100))</f>
        <v/>
      </c>
      <c r="AB549" s="19">
        <f>IF(NOT(ISNUMBER($A549)),NA(),IF(OR($A549&lt;MIN(DKW_10Y!$A$2:$A$2918),$A549&gt;MAX(DKW_10Y!$A$2:$A$2918),Settings!$B$16&lt;MIN(DKW_10Y!$A$2:$A$2918)),NA(),(INDEX(DKW_10Y!$H$2:$H$2918,MATCH($A549,DKW_10Y!$A$2:$A$2918,1))-INDEX(DKW_10Y!$H$2:$H$2918,MATCH(Settings!$B$16,DKW_10Y!$A$2:$A$2918,1)))*100))</f>
        <v/>
      </c>
      <c r="AC549" s="18">
        <f>IF(NOT(ISNUMBER($A549)),NA(),IFERROR(1*INDEX(BBG_Data!$N$2:$N$4000,MATCH($A549,BBG_Data!$M$2:$M$4000,0)),NA()))</f>
        <v/>
      </c>
      <c r="AD549" s="18">
        <f>IF(NOT(ISNUMBER($A549)),NA(),IFERROR(1*INDEX(BBG_Data!$P$2:$P$4000,MATCH($A549,BBG_Data!$O$2:$O$4000,0)),NA()))</f>
        <v/>
      </c>
      <c r="AE549" s="18">
        <f>IF(NOT(ISNUMBER($A549)),NA(),IFERROR(1*INDEX(BBG_Data!$R$2:$R$4000,MATCH($A549,BBG_Data!$Q$2:$Q$4000,0)),NA()))</f>
        <v/>
      </c>
      <c r="AF549" s="20">
        <f>IF(AND(ISNUMBER(B549),ISNUMBER(AC549)),(B549-AC549)*100,NA())</f>
        <v/>
      </c>
      <c r="AG549" s="20">
        <f>IF(AND(ISNUMBER(AE549),ISNUMBER(AD549)),(AE549-AD549)*100,NA())</f>
        <v/>
      </c>
      <c r="AH549" s="19">
        <f>IF(NOT(ISNUMBER($A549)),NA(),IFERROR(INDEX(BBG_Data!$T$2:$T$4000,MATCH($A549,BBG_Data!$S$2:$S$4000,0))*Settings!$B$25,NA()))</f>
        <v/>
      </c>
      <c r="AI549" s="19">
        <f>IF(NOT(ISNUMBER($A549)),NA(),IFERROR(INDEX(BBG_Data!$V$2:$V$4000,MATCH($A549,BBG_Data!$U$2:$U$4000,0))*Settings!$B$25,NA()))</f>
        <v/>
      </c>
      <c r="AJ549" s="19">
        <f>IF(NOT(ISNUMBER($A549)),NA(),IFERROR(1*INDEX(BBG_Data!$X$2:$X$4000,MATCH($A549,BBG_Data!$W$2:$W$4000,0)),NA()))</f>
        <v/>
      </c>
      <c r="AK549" s="19">
        <f>IF(NOT(ISNUMBER($A549)),NA(),IFERROR(1*INDEX(BBG_Data!$Z$2:$Z$4000,MATCH($A549,BBG_Data!$Y$2:$Y$4000,0)),NA()))</f>
        <v/>
      </c>
    </row>
    <row r="550">
      <c r="A550" s="17">
        <f>IF(ISNUMBER(BBG_Data!A550),BBG_Data!A550,"")</f>
        <v/>
      </c>
      <c r="B550" s="18">
        <f>IF(AND(ISNUMBER($A550),ISNUMBER(BBG_Data!B550)),BBG_Data!B550,NA())</f>
        <v/>
      </c>
      <c r="C550" s="18">
        <f>IF(NOT(ISNUMBER($A550)),NA(),IFERROR(1*INDEX(BBG_Data!$D$2:$D$4000,MATCH($A550,BBG_Data!$C$2:$C$4000,0)),NA()))</f>
        <v/>
      </c>
      <c r="D550" s="19">
        <f>IF(NOT(ISNUMBER($A550)),NA(),IFERROR(1*INDEX(BBG_Data!$F$2:$F$4000,MATCH($A550,BBG_Data!$E$2:$E$4000,0)),NA()))</f>
        <v/>
      </c>
      <c r="E550" s="19">
        <f>IF(NOT(ISNUMBER($A550)),NA(),IFERROR(1*INDEX(BBG_Data!$H$2:$H$4000,MATCH($A550,BBG_Data!$G$2:$G$4000,0)),NA()))</f>
        <v/>
      </c>
      <c r="F550" s="20">
        <f>IF(AND(ISNUMBER(B550),ISNUMBER(B549)),IF(B550=B549,"",(B550-B549)*100),"")</f>
        <v/>
      </c>
      <c r="G550" s="20">
        <f>IF(AND(ISNUMBER(C550),ISNUMBER(C549)),IF(C550=C549,"",(C550-C549)*100),"")</f>
        <v/>
      </c>
      <c r="H550" s="20">
        <f>IF(OR(NOT(ISNUMBER($A550)),ROW()-2&lt;Settings!$B$11),NA(),IF(COUNT(OFFSET(F550,1-Settings!$B$11,0,Settings!$B$11,1))&lt;ROUNDUP(Settings!$B$11*Settings!$B$26,0),NA(),STDEV(OFFSET(F550,1-Settings!$B$11,0,Settings!$B$11,1))*SQRT(Settings!$B$13)))</f>
        <v/>
      </c>
      <c r="I550" s="20">
        <f>IF(OR(NOT(ISNUMBER($A550)),ROW()-2&lt;Settings!$B$12),NA(),IF(COUNT(OFFSET(F550,1-Settings!$B$12,0,Settings!$B$12,1))&lt;ROUNDUP(Settings!$B$12*Settings!$B$26,0),NA(),STDEV(OFFSET(F550,1-Settings!$B$12,0,Settings!$B$12,1))*SQRT(Settings!$B$13)))</f>
        <v/>
      </c>
      <c r="J550" s="20">
        <f>IF(OR(NOT(ISNUMBER($A550)),ROW()-2&lt;Settings!$B$11),NA(),IF(COUNT(OFFSET(G550,1-Settings!$B$11,0,Settings!$B$11,1))&lt;ROUNDUP(Settings!$B$11*Settings!$B$26,0),NA(),STDEV(OFFSET(G550,1-Settings!$B$11,0,Settings!$B$11,1))*SQRT(Settings!$B$13)))</f>
        <v/>
      </c>
      <c r="K550" s="20">
        <f>IF(OR(NOT(ISNUMBER($A550)),ROW()-2&lt;Settings!$B$12),NA(),IF(COUNT(OFFSET(G550,1-Settings!$B$12,0,Settings!$B$12,1))&lt;ROUNDUP(Settings!$B$12*Settings!$B$26,0),NA(),STDEV(OFFSET(G550,1-Settings!$B$12,0,Settings!$B$12,1))*SQRT(Settings!$B$13)))</f>
        <v/>
      </c>
      <c r="L550" s="20">
        <f>IF(AND(ISNUMBER(D550),ISNUMBER(H550)),D550-H550,NA())</f>
        <v/>
      </c>
      <c r="M550" s="20">
        <f>IF(AND(ISNUMBER(E550),ISNUMBER(K550)),E550-K550,NA())</f>
        <v/>
      </c>
      <c r="N550" s="20">
        <f>IF(NOT(ISNUMBER($A550)),NA(),IF(COUNT(OFFSET(G550,1,0,Settings!$B$12,1))&lt;ROUNDUP(Settings!$B$12*Settings!$B$26,0),NA(),STDEV(OFFSET(G550,1,0,Settings!$B$12,1))*SQRT(Settings!$B$13)))</f>
        <v/>
      </c>
      <c r="O550" s="20">
        <f>IF(AND(ISNUMBER(E550),ISNUMBER(N550)),E550-N550,NA())</f>
        <v/>
      </c>
      <c r="P550" s="19">
        <f>IF(NOT(ISNUMBER($A550)),NA(),IF(OR($A550&lt;MIN(KW_TP!$A$2:$A$2501),$A550&gt;MAX(KW_TP!$A$2:$A$2501)),NA(),INDEX(KW_TP!$C$2:$C$2501,MATCH($A550,KW_TP!$A$2:$A$2501,1))))</f>
        <v/>
      </c>
      <c r="Q550" s="18">
        <f>IF(NOT(ISNUMBER($A550)),NA(),IFERROR(1*INDEX(BBG_Data!$J$2:$J$4000,MATCH($A550,BBG_Data!$I$2:$I$4000,0)),NA()))</f>
        <v/>
      </c>
      <c r="R550" s="18">
        <f>IF(NOT(ISNUMBER($A550)),NA(),IFERROR(1*INDEX(BBG_Data!$L$2:$L$4000,MATCH($A550,BBG_Data!$K$2:$K$4000,0)),NA()))</f>
        <v/>
      </c>
      <c r="S550" s="20">
        <f>IF(AND(ISNUMBER(B550),ISNUMBER(Q550),ISNUMBER(R550)),(B550-Q550-R550)*100,NA())</f>
        <v/>
      </c>
      <c r="T550" s="20">
        <f>IF(AND(ISNUMBER(B550),Settings!$B$17&gt;0),IF(ISNUMBER(INDEX($B:$B,Settings!$B$17)),(B550-INDEX($B:$B,Settings!$B$17))*100,NA()),NA())</f>
        <v/>
      </c>
      <c r="U550" s="20">
        <f>IF(AND(ISNUMBER(Q550),Settings!$B$17&gt;0),IF(ISNUMBER(INDEX($Q:$Q,Settings!$B$17)),(Q550-INDEX($Q:$Q,Settings!$B$17))*100,NA()),NA())</f>
        <v/>
      </c>
      <c r="V550" s="20">
        <f>IF(AND(ISNUMBER(R550),Settings!$B$17&gt;0),IF(ISNUMBER(INDEX($R:$R,Settings!$B$17)),(R550-INDEX($R:$R,Settings!$B$17))*100,NA()),NA())</f>
        <v/>
      </c>
      <c r="W550" s="20">
        <f>IF(AND(ISNUMBER(P550),Settings!$B$17&gt;0),IF(ISNUMBER(INDEX($P:$P,Settings!$B$17)),P550-INDEX($P:$P,Settings!$B$17),NA()),NA())</f>
        <v/>
      </c>
      <c r="X550" s="19">
        <f>IF(NOT(ISNUMBER($A550)),NA(),IF(OR($A550&lt;MIN(DKW_10Y!$A$2:$A$2918),$A550&gt;MAX(DKW_10Y!$A$2:$A$2918),Settings!$B$16&lt;MIN(DKW_10Y!$A$2:$A$2918)),NA(),(INDEX(DKW_10Y!$B$2:$B$2918,MATCH($A550,DKW_10Y!$A$2:$A$2918,1))-INDEX(DKW_10Y!$B$2:$B$2918,MATCH(Settings!$B$16,DKW_10Y!$A$2:$A$2918,1)))*100))</f>
        <v/>
      </c>
      <c r="Y550" s="19">
        <f>IF(NOT(ISNUMBER($A550)),NA(),IF(OR($A550&lt;MIN(DKW_10Y!$A$2:$A$2918),$A550&gt;MAX(DKW_10Y!$A$2:$A$2918),Settings!$B$16&lt;MIN(DKW_10Y!$A$2:$A$2918)),NA(),(INDEX(DKW_10Y!$C$2:$C$2918,MATCH($A550,DKW_10Y!$A$2:$A$2918,1))-INDEX(DKW_10Y!$C$2:$C$2918,MATCH(Settings!$B$16,DKW_10Y!$A$2:$A$2918,1)))*100))</f>
        <v/>
      </c>
      <c r="Z550" s="19">
        <f>IF(NOT(ISNUMBER($A550)),NA(),IF(OR($A550&lt;MIN(DKW_10Y!$A$2:$A$2918),$A550&gt;MAX(DKW_10Y!$A$2:$A$2918),Settings!$B$16&lt;MIN(DKW_10Y!$A$2:$A$2918)),NA(),(INDEX(DKW_10Y!$D$2:$D$2918,MATCH($A550,DKW_10Y!$A$2:$A$2918,1))-INDEX(DKW_10Y!$D$2:$D$2918,MATCH(Settings!$B$16,DKW_10Y!$A$2:$A$2918,1)))*100))</f>
        <v/>
      </c>
      <c r="AA550" s="19">
        <f>IF(NOT(ISNUMBER($A550)),NA(),IF(OR($A550&lt;MIN(DKW_10Y!$A$2:$A$2918),$A550&gt;MAX(DKW_10Y!$A$2:$A$2918),Settings!$B$16&lt;MIN(DKW_10Y!$A$2:$A$2918)),NA(),(INDEX(DKW_10Y!$E$2:$E$2918,MATCH($A550,DKW_10Y!$A$2:$A$2918,1))-INDEX(DKW_10Y!$E$2:$E$2918,MATCH(Settings!$B$16,DKW_10Y!$A$2:$A$2918,1)))*100))</f>
        <v/>
      </c>
      <c r="AB550" s="19">
        <f>IF(NOT(ISNUMBER($A550)),NA(),IF(OR($A550&lt;MIN(DKW_10Y!$A$2:$A$2918),$A550&gt;MAX(DKW_10Y!$A$2:$A$2918),Settings!$B$16&lt;MIN(DKW_10Y!$A$2:$A$2918)),NA(),(INDEX(DKW_10Y!$H$2:$H$2918,MATCH($A550,DKW_10Y!$A$2:$A$2918,1))-INDEX(DKW_10Y!$H$2:$H$2918,MATCH(Settings!$B$16,DKW_10Y!$A$2:$A$2918,1)))*100))</f>
        <v/>
      </c>
      <c r="AC550" s="18">
        <f>IF(NOT(ISNUMBER($A550)),NA(),IFERROR(1*INDEX(BBG_Data!$N$2:$N$4000,MATCH($A550,BBG_Data!$M$2:$M$4000,0)),NA()))</f>
        <v/>
      </c>
      <c r="AD550" s="18">
        <f>IF(NOT(ISNUMBER($A550)),NA(),IFERROR(1*INDEX(BBG_Data!$P$2:$P$4000,MATCH($A550,BBG_Data!$O$2:$O$4000,0)),NA()))</f>
        <v/>
      </c>
      <c r="AE550" s="18">
        <f>IF(NOT(ISNUMBER($A550)),NA(),IFERROR(1*INDEX(BBG_Data!$R$2:$R$4000,MATCH($A550,BBG_Data!$Q$2:$Q$4000,0)),NA()))</f>
        <v/>
      </c>
      <c r="AF550" s="20">
        <f>IF(AND(ISNUMBER(B550),ISNUMBER(AC550)),(B550-AC550)*100,NA())</f>
        <v/>
      </c>
      <c r="AG550" s="20">
        <f>IF(AND(ISNUMBER(AE550),ISNUMBER(AD550)),(AE550-AD550)*100,NA())</f>
        <v/>
      </c>
      <c r="AH550" s="19">
        <f>IF(NOT(ISNUMBER($A550)),NA(),IFERROR(INDEX(BBG_Data!$T$2:$T$4000,MATCH($A550,BBG_Data!$S$2:$S$4000,0))*Settings!$B$25,NA()))</f>
        <v/>
      </c>
      <c r="AI550" s="19">
        <f>IF(NOT(ISNUMBER($A550)),NA(),IFERROR(INDEX(BBG_Data!$V$2:$V$4000,MATCH($A550,BBG_Data!$U$2:$U$4000,0))*Settings!$B$25,NA()))</f>
        <v/>
      </c>
      <c r="AJ550" s="19">
        <f>IF(NOT(ISNUMBER($A550)),NA(),IFERROR(1*INDEX(BBG_Data!$X$2:$X$4000,MATCH($A550,BBG_Data!$W$2:$W$4000,0)),NA()))</f>
        <v/>
      </c>
      <c r="AK550" s="19">
        <f>IF(NOT(ISNUMBER($A550)),NA(),IFERROR(1*INDEX(BBG_Data!$Z$2:$Z$4000,MATCH($A550,BBG_Data!$Y$2:$Y$4000,0)),NA()))</f>
        <v/>
      </c>
    </row>
    <row r="551">
      <c r="A551" s="17">
        <f>IF(ISNUMBER(BBG_Data!A551),BBG_Data!A551,"")</f>
        <v/>
      </c>
      <c r="B551" s="18">
        <f>IF(AND(ISNUMBER($A551),ISNUMBER(BBG_Data!B551)),BBG_Data!B551,NA())</f>
        <v/>
      </c>
      <c r="C551" s="18">
        <f>IF(NOT(ISNUMBER($A551)),NA(),IFERROR(1*INDEX(BBG_Data!$D$2:$D$4000,MATCH($A551,BBG_Data!$C$2:$C$4000,0)),NA()))</f>
        <v/>
      </c>
      <c r="D551" s="19">
        <f>IF(NOT(ISNUMBER($A551)),NA(),IFERROR(1*INDEX(BBG_Data!$F$2:$F$4000,MATCH($A551,BBG_Data!$E$2:$E$4000,0)),NA()))</f>
        <v/>
      </c>
      <c r="E551" s="19">
        <f>IF(NOT(ISNUMBER($A551)),NA(),IFERROR(1*INDEX(BBG_Data!$H$2:$H$4000,MATCH($A551,BBG_Data!$G$2:$G$4000,0)),NA()))</f>
        <v/>
      </c>
      <c r="F551" s="20">
        <f>IF(AND(ISNUMBER(B551),ISNUMBER(B550)),IF(B551=B550,"",(B551-B550)*100),"")</f>
        <v/>
      </c>
      <c r="G551" s="20">
        <f>IF(AND(ISNUMBER(C551),ISNUMBER(C550)),IF(C551=C550,"",(C551-C550)*100),"")</f>
        <v/>
      </c>
      <c r="H551" s="20">
        <f>IF(OR(NOT(ISNUMBER($A551)),ROW()-2&lt;Settings!$B$11),NA(),IF(COUNT(OFFSET(F551,1-Settings!$B$11,0,Settings!$B$11,1))&lt;ROUNDUP(Settings!$B$11*Settings!$B$26,0),NA(),STDEV(OFFSET(F551,1-Settings!$B$11,0,Settings!$B$11,1))*SQRT(Settings!$B$13)))</f>
        <v/>
      </c>
      <c r="I551" s="20">
        <f>IF(OR(NOT(ISNUMBER($A551)),ROW()-2&lt;Settings!$B$12),NA(),IF(COUNT(OFFSET(F551,1-Settings!$B$12,0,Settings!$B$12,1))&lt;ROUNDUP(Settings!$B$12*Settings!$B$26,0),NA(),STDEV(OFFSET(F551,1-Settings!$B$12,0,Settings!$B$12,1))*SQRT(Settings!$B$13)))</f>
        <v/>
      </c>
      <c r="J551" s="20">
        <f>IF(OR(NOT(ISNUMBER($A551)),ROW()-2&lt;Settings!$B$11),NA(),IF(COUNT(OFFSET(G551,1-Settings!$B$11,0,Settings!$B$11,1))&lt;ROUNDUP(Settings!$B$11*Settings!$B$26,0),NA(),STDEV(OFFSET(G551,1-Settings!$B$11,0,Settings!$B$11,1))*SQRT(Settings!$B$13)))</f>
        <v/>
      </c>
      <c r="K551" s="20">
        <f>IF(OR(NOT(ISNUMBER($A551)),ROW()-2&lt;Settings!$B$12),NA(),IF(COUNT(OFFSET(G551,1-Settings!$B$12,0,Settings!$B$12,1))&lt;ROUNDUP(Settings!$B$12*Settings!$B$26,0),NA(),STDEV(OFFSET(G551,1-Settings!$B$12,0,Settings!$B$12,1))*SQRT(Settings!$B$13)))</f>
        <v/>
      </c>
      <c r="L551" s="20">
        <f>IF(AND(ISNUMBER(D551),ISNUMBER(H551)),D551-H551,NA())</f>
        <v/>
      </c>
      <c r="M551" s="20">
        <f>IF(AND(ISNUMBER(E551),ISNUMBER(K551)),E551-K551,NA())</f>
        <v/>
      </c>
      <c r="N551" s="20">
        <f>IF(NOT(ISNUMBER($A551)),NA(),IF(COUNT(OFFSET(G551,1,0,Settings!$B$12,1))&lt;ROUNDUP(Settings!$B$12*Settings!$B$26,0),NA(),STDEV(OFFSET(G551,1,0,Settings!$B$12,1))*SQRT(Settings!$B$13)))</f>
        <v/>
      </c>
      <c r="O551" s="20">
        <f>IF(AND(ISNUMBER(E551),ISNUMBER(N551)),E551-N551,NA())</f>
        <v/>
      </c>
      <c r="P551" s="19">
        <f>IF(NOT(ISNUMBER($A551)),NA(),IF(OR($A551&lt;MIN(KW_TP!$A$2:$A$2501),$A551&gt;MAX(KW_TP!$A$2:$A$2501)),NA(),INDEX(KW_TP!$C$2:$C$2501,MATCH($A551,KW_TP!$A$2:$A$2501,1))))</f>
        <v/>
      </c>
      <c r="Q551" s="18">
        <f>IF(NOT(ISNUMBER($A551)),NA(),IFERROR(1*INDEX(BBG_Data!$J$2:$J$4000,MATCH($A551,BBG_Data!$I$2:$I$4000,0)),NA()))</f>
        <v/>
      </c>
      <c r="R551" s="18">
        <f>IF(NOT(ISNUMBER($A551)),NA(),IFERROR(1*INDEX(BBG_Data!$L$2:$L$4000,MATCH($A551,BBG_Data!$K$2:$K$4000,0)),NA()))</f>
        <v/>
      </c>
      <c r="S551" s="20">
        <f>IF(AND(ISNUMBER(B551),ISNUMBER(Q551),ISNUMBER(R551)),(B551-Q551-R551)*100,NA())</f>
        <v/>
      </c>
      <c r="T551" s="20">
        <f>IF(AND(ISNUMBER(B551),Settings!$B$17&gt;0),IF(ISNUMBER(INDEX($B:$B,Settings!$B$17)),(B551-INDEX($B:$B,Settings!$B$17))*100,NA()),NA())</f>
        <v/>
      </c>
      <c r="U551" s="20">
        <f>IF(AND(ISNUMBER(Q551),Settings!$B$17&gt;0),IF(ISNUMBER(INDEX($Q:$Q,Settings!$B$17)),(Q551-INDEX($Q:$Q,Settings!$B$17))*100,NA()),NA())</f>
        <v/>
      </c>
      <c r="V551" s="20">
        <f>IF(AND(ISNUMBER(R551),Settings!$B$17&gt;0),IF(ISNUMBER(INDEX($R:$R,Settings!$B$17)),(R551-INDEX($R:$R,Settings!$B$17))*100,NA()),NA())</f>
        <v/>
      </c>
      <c r="W551" s="20">
        <f>IF(AND(ISNUMBER(P551),Settings!$B$17&gt;0),IF(ISNUMBER(INDEX($P:$P,Settings!$B$17)),P551-INDEX($P:$P,Settings!$B$17),NA()),NA())</f>
        <v/>
      </c>
      <c r="X551" s="19">
        <f>IF(NOT(ISNUMBER($A551)),NA(),IF(OR($A551&lt;MIN(DKW_10Y!$A$2:$A$2918),$A551&gt;MAX(DKW_10Y!$A$2:$A$2918),Settings!$B$16&lt;MIN(DKW_10Y!$A$2:$A$2918)),NA(),(INDEX(DKW_10Y!$B$2:$B$2918,MATCH($A551,DKW_10Y!$A$2:$A$2918,1))-INDEX(DKW_10Y!$B$2:$B$2918,MATCH(Settings!$B$16,DKW_10Y!$A$2:$A$2918,1)))*100))</f>
        <v/>
      </c>
      <c r="Y551" s="19">
        <f>IF(NOT(ISNUMBER($A551)),NA(),IF(OR($A551&lt;MIN(DKW_10Y!$A$2:$A$2918),$A551&gt;MAX(DKW_10Y!$A$2:$A$2918),Settings!$B$16&lt;MIN(DKW_10Y!$A$2:$A$2918)),NA(),(INDEX(DKW_10Y!$C$2:$C$2918,MATCH($A551,DKW_10Y!$A$2:$A$2918,1))-INDEX(DKW_10Y!$C$2:$C$2918,MATCH(Settings!$B$16,DKW_10Y!$A$2:$A$2918,1)))*100))</f>
        <v/>
      </c>
      <c r="Z551" s="19">
        <f>IF(NOT(ISNUMBER($A551)),NA(),IF(OR($A551&lt;MIN(DKW_10Y!$A$2:$A$2918),$A551&gt;MAX(DKW_10Y!$A$2:$A$2918),Settings!$B$16&lt;MIN(DKW_10Y!$A$2:$A$2918)),NA(),(INDEX(DKW_10Y!$D$2:$D$2918,MATCH($A551,DKW_10Y!$A$2:$A$2918,1))-INDEX(DKW_10Y!$D$2:$D$2918,MATCH(Settings!$B$16,DKW_10Y!$A$2:$A$2918,1)))*100))</f>
        <v/>
      </c>
      <c r="AA551" s="19">
        <f>IF(NOT(ISNUMBER($A551)),NA(),IF(OR($A551&lt;MIN(DKW_10Y!$A$2:$A$2918),$A551&gt;MAX(DKW_10Y!$A$2:$A$2918),Settings!$B$16&lt;MIN(DKW_10Y!$A$2:$A$2918)),NA(),(INDEX(DKW_10Y!$E$2:$E$2918,MATCH($A551,DKW_10Y!$A$2:$A$2918,1))-INDEX(DKW_10Y!$E$2:$E$2918,MATCH(Settings!$B$16,DKW_10Y!$A$2:$A$2918,1)))*100))</f>
        <v/>
      </c>
      <c r="AB551" s="19">
        <f>IF(NOT(ISNUMBER($A551)),NA(),IF(OR($A551&lt;MIN(DKW_10Y!$A$2:$A$2918),$A551&gt;MAX(DKW_10Y!$A$2:$A$2918),Settings!$B$16&lt;MIN(DKW_10Y!$A$2:$A$2918)),NA(),(INDEX(DKW_10Y!$H$2:$H$2918,MATCH($A551,DKW_10Y!$A$2:$A$2918,1))-INDEX(DKW_10Y!$H$2:$H$2918,MATCH(Settings!$B$16,DKW_10Y!$A$2:$A$2918,1)))*100))</f>
        <v/>
      </c>
      <c r="AC551" s="18">
        <f>IF(NOT(ISNUMBER($A551)),NA(),IFERROR(1*INDEX(BBG_Data!$N$2:$N$4000,MATCH($A551,BBG_Data!$M$2:$M$4000,0)),NA()))</f>
        <v/>
      </c>
      <c r="AD551" s="18">
        <f>IF(NOT(ISNUMBER($A551)),NA(),IFERROR(1*INDEX(BBG_Data!$P$2:$P$4000,MATCH($A551,BBG_Data!$O$2:$O$4000,0)),NA()))</f>
        <v/>
      </c>
      <c r="AE551" s="18">
        <f>IF(NOT(ISNUMBER($A551)),NA(),IFERROR(1*INDEX(BBG_Data!$R$2:$R$4000,MATCH($A551,BBG_Data!$Q$2:$Q$4000,0)),NA()))</f>
        <v/>
      </c>
      <c r="AF551" s="20">
        <f>IF(AND(ISNUMBER(B551),ISNUMBER(AC551)),(B551-AC551)*100,NA())</f>
        <v/>
      </c>
      <c r="AG551" s="20">
        <f>IF(AND(ISNUMBER(AE551),ISNUMBER(AD551)),(AE551-AD551)*100,NA())</f>
        <v/>
      </c>
      <c r="AH551" s="19">
        <f>IF(NOT(ISNUMBER($A551)),NA(),IFERROR(INDEX(BBG_Data!$T$2:$T$4000,MATCH($A551,BBG_Data!$S$2:$S$4000,0))*Settings!$B$25,NA()))</f>
        <v/>
      </c>
      <c r="AI551" s="19">
        <f>IF(NOT(ISNUMBER($A551)),NA(),IFERROR(INDEX(BBG_Data!$V$2:$V$4000,MATCH($A551,BBG_Data!$U$2:$U$4000,0))*Settings!$B$25,NA()))</f>
        <v/>
      </c>
      <c r="AJ551" s="19">
        <f>IF(NOT(ISNUMBER($A551)),NA(),IFERROR(1*INDEX(BBG_Data!$X$2:$X$4000,MATCH($A551,BBG_Data!$W$2:$W$4000,0)),NA()))</f>
        <v/>
      </c>
      <c r="AK551" s="19">
        <f>IF(NOT(ISNUMBER($A551)),NA(),IFERROR(1*INDEX(BBG_Data!$Z$2:$Z$4000,MATCH($A551,BBG_Data!$Y$2:$Y$4000,0)),NA()))</f>
        <v/>
      </c>
    </row>
    <row r="552">
      <c r="A552" s="17">
        <f>IF(ISNUMBER(BBG_Data!A552),BBG_Data!A552,"")</f>
        <v/>
      </c>
      <c r="B552" s="18">
        <f>IF(AND(ISNUMBER($A552),ISNUMBER(BBG_Data!B552)),BBG_Data!B552,NA())</f>
        <v/>
      </c>
      <c r="C552" s="18">
        <f>IF(NOT(ISNUMBER($A552)),NA(),IFERROR(1*INDEX(BBG_Data!$D$2:$D$4000,MATCH($A552,BBG_Data!$C$2:$C$4000,0)),NA()))</f>
        <v/>
      </c>
      <c r="D552" s="19">
        <f>IF(NOT(ISNUMBER($A552)),NA(),IFERROR(1*INDEX(BBG_Data!$F$2:$F$4000,MATCH($A552,BBG_Data!$E$2:$E$4000,0)),NA()))</f>
        <v/>
      </c>
      <c r="E552" s="19">
        <f>IF(NOT(ISNUMBER($A552)),NA(),IFERROR(1*INDEX(BBG_Data!$H$2:$H$4000,MATCH($A552,BBG_Data!$G$2:$G$4000,0)),NA()))</f>
        <v/>
      </c>
      <c r="F552" s="20">
        <f>IF(AND(ISNUMBER(B552),ISNUMBER(B551)),IF(B552=B551,"",(B552-B551)*100),"")</f>
        <v/>
      </c>
      <c r="G552" s="20">
        <f>IF(AND(ISNUMBER(C552),ISNUMBER(C551)),IF(C552=C551,"",(C552-C551)*100),"")</f>
        <v/>
      </c>
      <c r="H552" s="20">
        <f>IF(OR(NOT(ISNUMBER($A552)),ROW()-2&lt;Settings!$B$11),NA(),IF(COUNT(OFFSET(F552,1-Settings!$B$11,0,Settings!$B$11,1))&lt;ROUNDUP(Settings!$B$11*Settings!$B$26,0),NA(),STDEV(OFFSET(F552,1-Settings!$B$11,0,Settings!$B$11,1))*SQRT(Settings!$B$13)))</f>
        <v/>
      </c>
      <c r="I552" s="20">
        <f>IF(OR(NOT(ISNUMBER($A552)),ROW()-2&lt;Settings!$B$12),NA(),IF(COUNT(OFFSET(F552,1-Settings!$B$12,0,Settings!$B$12,1))&lt;ROUNDUP(Settings!$B$12*Settings!$B$26,0),NA(),STDEV(OFFSET(F552,1-Settings!$B$12,0,Settings!$B$12,1))*SQRT(Settings!$B$13)))</f>
        <v/>
      </c>
      <c r="J552" s="20">
        <f>IF(OR(NOT(ISNUMBER($A552)),ROW()-2&lt;Settings!$B$11),NA(),IF(COUNT(OFFSET(G552,1-Settings!$B$11,0,Settings!$B$11,1))&lt;ROUNDUP(Settings!$B$11*Settings!$B$26,0),NA(),STDEV(OFFSET(G552,1-Settings!$B$11,0,Settings!$B$11,1))*SQRT(Settings!$B$13)))</f>
        <v/>
      </c>
      <c r="K552" s="20">
        <f>IF(OR(NOT(ISNUMBER($A552)),ROW()-2&lt;Settings!$B$12),NA(),IF(COUNT(OFFSET(G552,1-Settings!$B$12,0,Settings!$B$12,1))&lt;ROUNDUP(Settings!$B$12*Settings!$B$26,0),NA(),STDEV(OFFSET(G552,1-Settings!$B$12,0,Settings!$B$12,1))*SQRT(Settings!$B$13)))</f>
        <v/>
      </c>
      <c r="L552" s="20">
        <f>IF(AND(ISNUMBER(D552),ISNUMBER(H552)),D552-H552,NA())</f>
        <v/>
      </c>
      <c r="M552" s="20">
        <f>IF(AND(ISNUMBER(E552),ISNUMBER(K552)),E552-K552,NA())</f>
        <v/>
      </c>
      <c r="N552" s="20">
        <f>IF(NOT(ISNUMBER($A552)),NA(),IF(COUNT(OFFSET(G552,1,0,Settings!$B$12,1))&lt;ROUNDUP(Settings!$B$12*Settings!$B$26,0),NA(),STDEV(OFFSET(G552,1,0,Settings!$B$12,1))*SQRT(Settings!$B$13)))</f>
        <v/>
      </c>
      <c r="O552" s="20">
        <f>IF(AND(ISNUMBER(E552),ISNUMBER(N552)),E552-N552,NA())</f>
        <v/>
      </c>
      <c r="P552" s="19">
        <f>IF(NOT(ISNUMBER($A552)),NA(),IF(OR($A552&lt;MIN(KW_TP!$A$2:$A$2501),$A552&gt;MAX(KW_TP!$A$2:$A$2501)),NA(),INDEX(KW_TP!$C$2:$C$2501,MATCH($A552,KW_TP!$A$2:$A$2501,1))))</f>
        <v/>
      </c>
      <c r="Q552" s="18">
        <f>IF(NOT(ISNUMBER($A552)),NA(),IFERROR(1*INDEX(BBG_Data!$J$2:$J$4000,MATCH($A552,BBG_Data!$I$2:$I$4000,0)),NA()))</f>
        <v/>
      </c>
      <c r="R552" s="18">
        <f>IF(NOT(ISNUMBER($A552)),NA(),IFERROR(1*INDEX(BBG_Data!$L$2:$L$4000,MATCH($A552,BBG_Data!$K$2:$K$4000,0)),NA()))</f>
        <v/>
      </c>
      <c r="S552" s="20">
        <f>IF(AND(ISNUMBER(B552),ISNUMBER(Q552),ISNUMBER(R552)),(B552-Q552-R552)*100,NA())</f>
        <v/>
      </c>
      <c r="T552" s="20">
        <f>IF(AND(ISNUMBER(B552),Settings!$B$17&gt;0),IF(ISNUMBER(INDEX($B:$B,Settings!$B$17)),(B552-INDEX($B:$B,Settings!$B$17))*100,NA()),NA())</f>
        <v/>
      </c>
      <c r="U552" s="20">
        <f>IF(AND(ISNUMBER(Q552),Settings!$B$17&gt;0),IF(ISNUMBER(INDEX($Q:$Q,Settings!$B$17)),(Q552-INDEX($Q:$Q,Settings!$B$17))*100,NA()),NA())</f>
        <v/>
      </c>
      <c r="V552" s="20">
        <f>IF(AND(ISNUMBER(R552),Settings!$B$17&gt;0),IF(ISNUMBER(INDEX($R:$R,Settings!$B$17)),(R552-INDEX($R:$R,Settings!$B$17))*100,NA()),NA())</f>
        <v/>
      </c>
      <c r="W552" s="20">
        <f>IF(AND(ISNUMBER(P552),Settings!$B$17&gt;0),IF(ISNUMBER(INDEX($P:$P,Settings!$B$17)),P552-INDEX($P:$P,Settings!$B$17),NA()),NA())</f>
        <v/>
      </c>
      <c r="X552" s="19">
        <f>IF(NOT(ISNUMBER($A552)),NA(),IF(OR($A552&lt;MIN(DKW_10Y!$A$2:$A$2918),$A552&gt;MAX(DKW_10Y!$A$2:$A$2918),Settings!$B$16&lt;MIN(DKW_10Y!$A$2:$A$2918)),NA(),(INDEX(DKW_10Y!$B$2:$B$2918,MATCH($A552,DKW_10Y!$A$2:$A$2918,1))-INDEX(DKW_10Y!$B$2:$B$2918,MATCH(Settings!$B$16,DKW_10Y!$A$2:$A$2918,1)))*100))</f>
        <v/>
      </c>
      <c r="Y552" s="19">
        <f>IF(NOT(ISNUMBER($A552)),NA(),IF(OR($A552&lt;MIN(DKW_10Y!$A$2:$A$2918),$A552&gt;MAX(DKW_10Y!$A$2:$A$2918),Settings!$B$16&lt;MIN(DKW_10Y!$A$2:$A$2918)),NA(),(INDEX(DKW_10Y!$C$2:$C$2918,MATCH($A552,DKW_10Y!$A$2:$A$2918,1))-INDEX(DKW_10Y!$C$2:$C$2918,MATCH(Settings!$B$16,DKW_10Y!$A$2:$A$2918,1)))*100))</f>
        <v/>
      </c>
      <c r="Z552" s="19">
        <f>IF(NOT(ISNUMBER($A552)),NA(),IF(OR($A552&lt;MIN(DKW_10Y!$A$2:$A$2918),$A552&gt;MAX(DKW_10Y!$A$2:$A$2918),Settings!$B$16&lt;MIN(DKW_10Y!$A$2:$A$2918)),NA(),(INDEX(DKW_10Y!$D$2:$D$2918,MATCH($A552,DKW_10Y!$A$2:$A$2918,1))-INDEX(DKW_10Y!$D$2:$D$2918,MATCH(Settings!$B$16,DKW_10Y!$A$2:$A$2918,1)))*100))</f>
        <v/>
      </c>
      <c r="AA552" s="19">
        <f>IF(NOT(ISNUMBER($A552)),NA(),IF(OR($A552&lt;MIN(DKW_10Y!$A$2:$A$2918),$A552&gt;MAX(DKW_10Y!$A$2:$A$2918),Settings!$B$16&lt;MIN(DKW_10Y!$A$2:$A$2918)),NA(),(INDEX(DKW_10Y!$E$2:$E$2918,MATCH($A552,DKW_10Y!$A$2:$A$2918,1))-INDEX(DKW_10Y!$E$2:$E$2918,MATCH(Settings!$B$16,DKW_10Y!$A$2:$A$2918,1)))*100))</f>
        <v/>
      </c>
      <c r="AB552" s="19">
        <f>IF(NOT(ISNUMBER($A552)),NA(),IF(OR($A552&lt;MIN(DKW_10Y!$A$2:$A$2918),$A552&gt;MAX(DKW_10Y!$A$2:$A$2918),Settings!$B$16&lt;MIN(DKW_10Y!$A$2:$A$2918)),NA(),(INDEX(DKW_10Y!$H$2:$H$2918,MATCH($A552,DKW_10Y!$A$2:$A$2918,1))-INDEX(DKW_10Y!$H$2:$H$2918,MATCH(Settings!$B$16,DKW_10Y!$A$2:$A$2918,1)))*100))</f>
        <v/>
      </c>
      <c r="AC552" s="18">
        <f>IF(NOT(ISNUMBER($A552)),NA(),IFERROR(1*INDEX(BBG_Data!$N$2:$N$4000,MATCH($A552,BBG_Data!$M$2:$M$4000,0)),NA()))</f>
        <v/>
      </c>
      <c r="AD552" s="18">
        <f>IF(NOT(ISNUMBER($A552)),NA(),IFERROR(1*INDEX(BBG_Data!$P$2:$P$4000,MATCH($A552,BBG_Data!$O$2:$O$4000,0)),NA()))</f>
        <v/>
      </c>
      <c r="AE552" s="18">
        <f>IF(NOT(ISNUMBER($A552)),NA(),IFERROR(1*INDEX(BBG_Data!$R$2:$R$4000,MATCH($A552,BBG_Data!$Q$2:$Q$4000,0)),NA()))</f>
        <v/>
      </c>
      <c r="AF552" s="20">
        <f>IF(AND(ISNUMBER(B552),ISNUMBER(AC552)),(B552-AC552)*100,NA())</f>
        <v/>
      </c>
      <c r="AG552" s="20">
        <f>IF(AND(ISNUMBER(AE552),ISNUMBER(AD552)),(AE552-AD552)*100,NA())</f>
        <v/>
      </c>
      <c r="AH552" s="19">
        <f>IF(NOT(ISNUMBER($A552)),NA(),IFERROR(INDEX(BBG_Data!$T$2:$T$4000,MATCH($A552,BBG_Data!$S$2:$S$4000,0))*Settings!$B$25,NA()))</f>
        <v/>
      </c>
      <c r="AI552" s="19">
        <f>IF(NOT(ISNUMBER($A552)),NA(),IFERROR(INDEX(BBG_Data!$V$2:$V$4000,MATCH($A552,BBG_Data!$U$2:$U$4000,0))*Settings!$B$25,NA()))</f>
        <v/>
      </c>
      <c r="AJ552" s="19">
        <f>IF(NOT(ISNUMBER($A552)),NA(),IFERROR(1*INDEX(BBG_Data!$X$2:$X$4000,MATCH($A552,BBG_Data!$W$2:$W$4000,0)),NA()))</f>
        <v/>
      </c>
      <c r="AK552" s="19">
        <f>IF(NOT(ISNUMBER($A552)),NA(),IFERROR(1*INDEX(BBG_Data!$Z$2:$Z$4000,MATCH($A552,BBG_Data!$Y$2:$Y$4000,0)),NA()))</f>
        <v/>
      </c>
    </row>
    <row r="553">
      <c r="A553" s="17">
        <f>IF(ISNUMBER(BBG_Data!A553),BBG_Data!A553,"")</f>
        <v/>
      </c>
      <c r="B553" s="18">
        <f>IF(AND(ISNUMBER($A553),ISNUMBER(BBG_Data!B553)),BBG_Data!B553,NA())</f>
        <v/>
      </c>
      <c r="C553" s="18">
        <f>IF(NOT(ISNUMBER($A553)),NA(),IFERROR(1*INDEX(BBG_Data!$D$2:$D$4000,MATCH($A553,BBG_Data!$C$2:$C$4000,0)),NA()))</f>
        <v/>
      </c>
      <c r="D553" s="19">
        <f>IF(NOT(ISNUMBER($A553)),NA(),IFERROR(1*INDEX(BBG_Data!$F$2:$F$4000,MATCH($A553,BBG_Data!$E$2:$E$4000,0)),NA()))</f>
        <v/>
      </c>
      <c r="E553" s="19">
        <f>IF(NOT(ISNUMBER($A553)),NA(),IFERROR(1*INDEX(BBG_Data!$H$2:$H$4000,MATCH($A553,BBG_Data!$G$2:$G$4000,0)),NA()))</f>
        <v/>
      </c>
      <c r="F553" s="20">
        <f>IF(AND(ISNUMBER(B553),ISNUMBER(B552)),IF(B553=B552,"",(B553-B552)*100),"")</f>
        <v/>
      </c>
      <c r="G553" s="20">
        <f>IF(AND(ISNUMBER(C553),ISNUMBER(C552)),IF(C553=C552,"",(C553-C552)*100),"")</f>
        <v/>
      </c>
      <c r="H553" s="20">
        <f>IF(OR(NOT(ISNUMBER($A553)),ROW()-2&lt;Settings!$B$11),NA(),IF(COUNT(OFFSET(F553,1-Settings!$B$11,0,Settings!$B$11,1))&lt;ROUNDUP(Settings!$B$11*Settings!$B$26,0),NA(),STDEV(OFFSET(F553,1-Settings!$B$11,0,Settings!$B$11,1))*SQRT(Settings!$B$13)))</f>
        <v/>
      </c>
      <c r="I553" s="20">
        <f>IF(OR(NOT(ISNUMBER($A553)),ROW()-2&lt;Settings!$B$12),NA(),IF(COUNT(OFFSET(F553,1-Settings!$B$12,0,Settings!$B$12,1))&lt;ROUNDUP(Settings!$B$12*Settings!$B$26,0),NA(),STDEV(OFFSET(F553,1-Settings!$B$12,0,Settings!$B$12,1))*SQRT(Settings!$B$13)))</f>
        <v/>
      </c>
      <c r="J553" s="20">
        <f>IF(OR(NOT(ISNUMBER($A553)),ROW()-2&lt;Settings!$B$11),NA(),IF(COUNT(OFFSET(G553,1-Settings!$B$11,0,Settings!$B$11,1))&lt;ROUNDUP(Settings!$B$11*Settings!$B$26,0),NA(),STDEV(OFFSET(G553,1-Settings!$B$11,0,Settings!$B$11,1))*SQRT(Settings!$B$13)))</f>
        <v/>
      </c>
      <c r="K553" s="20">
        <f>IF(OR(NOT(ISNUMBER($A553)),ROW()-2&lt;Settings!$B$12),NA(),IF(COUNT(OFFSET(G553,1-Settings!$B$12,0,Settings!$B$12,1))&lt;ROUNDUP(Settings!$B$12*Settings!$B$26,0),NA(),STDEV(OFFSET(G553,1-Settings!$B$12,0,Settings!$B$12,1))*SQRT(Settings!$B$13)))</f>
        <v/>
      </c>
      <c r="L553" s="20">
        <f>IF(AND(ISNUMBER(D553),ISNUMBER(H553)),D553-H553,NA())</f>
        <v/>
      </c>
      <c r="M553" s="20">
        <f>IF(AND(ISNUMBER(E553),ISNUMBER(K553)),E553-K553,NA())</f>
        <v/>
      </c>
      <c r="N553" s="20">
        <f>IF(NOT(ISNUMBER($A553)),NA(),IF(COUNT(OFFSET(G553,1,0,Settings!$B$12,1))&lt;ROUNDUP(Settings!$B$12*Settings!$B$26,0),NA(),STDEV(OFFSET(G553,1,0,Settings!$B$12,1))*SQRT(Settings!$B$13)))</f>
        <v/>
      </c>
      <c r="O553" s="20">
        <f>IF(AND(ISNUMBER(E553),ISNUMBER(N553)),E553-N553,NA())</f>
        <v/>
      </c>
      <c r="P553" s="19">
        <f>IF(NOT(ISNUMBER($A553)),NA(),IF(OR($A553&lt;MIN(KW_TP!$A$2:$A$2501),$A553&gt;MAX(KW_TP!$A$2:$A$2501)),NA(),INDEX(KW_TP!$C$2:$C$2501,MATCH($A553,KW_TP!$A$2:$A$2501,1))))</f>
        <v/>
      </c>
      <c r="Q553" s="18">
        <f>IF(NOT(ISNUMBER($A553)),NA(),IFERROR(1*INDEX(BBG_Data!$J$2:$J$4000,MATCH($A553,BBG_Data!$I$2:$I$4000,0)),NA()))</f>
        <v/>
      </c>
      <c r="R553" s="18">
        <f>IF(NOT(ISNUMBER($A553)),NA(),IFERROR(1*INDEX(BBG_Data!$L$2:$L$4000,MATCH($A553,BBG_Data!$K$2:$K$4000,0)),NA()))</f>
        <v/>
      </c>
      <c r="S553" s="20">
        <f>IF(AND(ISNUMBER(B553),ISNUMBER(Q553),ISNUMBER(R553)),(B553-Q553-R553)*100,NA())</f>
        <v/>
      </c>
      <c r="T553" s="20">
        <f>IF(AND(ISNUMBER(B553),Settings!$B$17&gt;0),IF(ISNUMBER(INDEX($B:$B,Settings!$B$17)),(B553-INDEX($B:$B,Settings!$B$17))*100,NA()),NA())</f>
        <v/>
      </c>
      <c r="U553" s="20">
        <f>IF(AND(ISNUMBER(Q553),Settings!$B$17&gt;0),IF(ISNUMBER(INDEX($Q:$Q,Settings!$B$17)),(Q553-INDEX($Q:$Q,Settings!$B$17))*100,NA()),NA())</f>
        <v/>
      </c>
      <c r="V553" s="20">
        <f>IF(AND(ISNUMBER(R553),Settings!$B$17&gt;0),IF(ISNUMBER(INDEX($R:$R,Settings!$B$17)),(R553-INDEX($R:$R,Settings!$B$17))*100,NA()),NA())</f>
        <v/>
      </c>
      <c r="W553" s="20">
        <f>IF(AND(ISNUMBER(P553),Settings!$B$17&gt;0),IF(ISNUMBER(INDEX($P:$P,Settings!$B$17)),P553-INDEX($P:$P,Settings!$B$17),NA()),NA())</f>
        <v/>
      </c>
      <c r="X553" s="19">
        <f>IF(NOT(ISNUMBER($A553)),NA(),IF(OR($A553&lt;MIN(DKW_10Y!$A$2:$A$2918),$A553&gt;MAX(DKW_10Y!$A$2:$A$2918),Settings!$B$16&lt;MIN(DKW_10Y!$A$2:$A$2918)),NA(),(INDEX(DKW_10Y!$B$2:$B$2918,MATCH($A553,DKW_10Y!$A$2:$A$2918,1))-INDEX(DKW_10Y!$B$2:$B$2918,MATCH(Settings!$B$16,DKW_10Y!$A$2:$A$2918,1)))*100))</f>
        <v/>
      </c>
      <c r="Y553" s="19">
        <f>IF(NOT(ISNUMBER($A553)),NA(),IF(OR($A553&lt;MIN(DKW_10Y!$A$2:$A$2918),$A553&gt;MAX(DKW_10Y!$A$2:$A$2918),Settings!$B$16&lt;MIN(DKW_10Y!$A$2:$A$2918)),NA(),(INDEX(DKW_10Y!$C$2:$C$2918,MATCH($A553,DKW_10Y!$A$2:$A$2918,1))-INDEX(DKW_10Y!$C$2:$C$2918,MATCH(Settings!$B$16,DKW_10Y!$A$2:$A$2918,1)))*100))</f>
        <v/>
      </c>
      <c r="Z553" s="19">
        <f>IF(NOT(ISNUMBER($A553)),NA(),IF(OR($A553&lt;MIN(DKW_10Y!$A$2:$A$2918),$A553&gt;MAX(DKW_10Y!$A$2:$A$2918),Settings!$B$16&lt;MIN(DKW_10Y!$A$2:$A$2918)),NA(),(INDEX(DKW_10Y!$D$2:$D$2918,MATCH($A553,DKW_10Y!$A$2:$A$2918,1))-INDEX(DKW_10Y!$D$2:$D$2918,MATCH(Settings!$B$16,DKW_10Y!$A$2:$A$2918,1)))*100))</f>
        <v/>
      </c>
      <c r="AA553" s="19">
        <f>IF(NOT(ISNUMBER($A553)),NA(),IF(OR($A553&lt;MIN(DKW_10Y!$A$2:$A$2918),$A553&gt;MAX(DKW_10Y!$A$2:$A$2918),Settings!$B$16&lt;MIN(DKW_10Y!$A$2:$A$2918)),NA(),(INDEX(DKW_10Y!$E$2:$E$2918,MATCH($A553,DKW_10Y!$A$2:$A$2918,1))-INDEX(DKW_10Y!$E$2:$E$2918,MATCH(Settings!$B$16,DKW_10Y!$A$2:$A$2918,1)))*100))</f>
        <v/>
      </c>
      <c r="AB553" s="19">
        <f>IF(NOT(ISNUMBER($A553)),NA(),IF(OR($A553&lt;MIN(DKW_10Y!$A$2:$A$2918),$A553&gt;MAX(DKW_10Y!$A$2:$A$2918),Settings!$B$16&lt;MIN(DKW_10Y!$A$2:$A$2918)),NA(),(INDEX(DKW_10Y!$H$2:$H$2918,MATCH($A553,DKW_10Y!$A$2:$A$2918,1))-INDEX(DKW_10Y!$H$2:$H$2918,MATCH(Settings!$B$16,DKW_10Y!$A$2:$A$2918,1)))*100))</f>
        <v/>
      </c>
      <c r="AC553" s="18">
        <f>IF(NOT(ISNUMBER($A553)),NA(),IFERROR(1*INDEX(BBG_Data!$N$2:$N$4000,MATCH($A553,BBG_Data!$M$2:$M$4000,0)),NA()))</f>
        <v/>
      </c>
      <c r="AD553" s="18">
        <f>IF(NOT(ISNUMBER($A553)),NA(),IFERROR(1*INDEX(BBG_Data!$P$2:$P$4000,MATCH($A553,BBG_Data!$O$2:$O$4000,0)),NA()))</f>
        <v/>
      </c>
      <c r="AE553" s="18">
        <f>IF(NOT(ISNUMBER($A553)),NA(),IFERROR(1*INDEX(BBG_Data!$R$2:$R$4000,MATCH($A553,BBG_Data!$Q$2:$Q$4000,0)),NA()))</f>
        <v/>
      </c>
      <c r="AF553" s="20">
        <f>IF(AND(ISNUMBER(B553),ISNUMBER(AC553)),(B553-AC553)*100,NA())</f>
        <v/>
      </c>
      <c r="AG553" s="20">
        <f>IF(AND(ISNUMBER(AE553),ISNUMBER(AD553)),(AE553-AD553)*100,NA())</f>
        <v/>
      </c>
      <c r="AH553" s="19">
        <f>IF(NOT(ISNUMBER($A553)),NA(),IFERROR(INDEX(BBG_Data!$T$2:$T$4000,MATCH($A553,BBG_Data!$S$2:$S$4000,0))*Settings!$B$25,NA()))</f>
        <v/>
      </c>
      <c r="AI553" s="19">
        <f>IF(NOT(ISNUMBER($A553)),NA(),IFERROR(INDEX(BBG_Data!$V$2:$V$4000,MATCH($A553,BBG_Data!$U$2:$U$4000,0))*Settings!$B$25,NA()))</f>
        <v/>
      </c>
      <c r="AJ553" s="19">
        <f>IF(NOT(ISNUMBER($A553)),NA(),IFERROR(1*INDEX(BBG_Data!$X$2:$X$4000,MATCH($A553,BBG_Data!$W$2:$W$4000,0)),NA()))</f>
        <v/>
      </c>
      <c r="AK553" s="19">
        <f>IF(NOT(ISNUMBER($A553)),NA(),IFERROR(1*INDEX(BBG_Data!$Z$2:$Z$4000,MATCH($A553,BBG_Data!$Y$2:$Y$4000,0)),NA()))</f>
        <v/>
      </c>
    </row>
    <row r="554">
      <c r="A554" s="17">
        <f>IF(ISNUMBER(BBG_Data!A554),BBG_Data!A554,"")</f>
        <v/>
      </c>
      <c r="B554" s="18">
        <f>IF(AND(ISNUMBER($A554),ISNUMBER(BBG_Data!B554)),BBG_Data!B554,NA())</f>
        <v/>
      </c>
      <c r="C554" s="18">
        <f>IF(NOT(ISNUMBER($A554)),NA(),IFERROR(1*INDEX(BBG_Data!$D$2:$D$4000,MATCH($A554,BBG_Data!$C$2:$C$4000,0)),NA()))</f>
        <v/>
      </c>
      <c r="D554" s="19">
        <f>IF(NOT(ISNUMBER($A554)),NA(),IFERROR(1*INDEX(BBG_Data!$F$2:$F$4000,MATCH($A554,BBG_Data!$E$2:$E$4000,0)),NA()))</f>
        <v/>
      </c>
      <c r="E554" s="19">
        <f>IF(NOT(ISNUMBER($A554)),NA(),IFERROR(1*INDEX(BBG_Data!$H$2:$H$4000,MATCH($A554,BBG_Data!$G$2:$G$4000,0)),NA()))</f>
        <v/>
      </c>
      <c r="F554" s="20">
        <f>IF(AND(ISNUMBER(B554),ISNUMBER(B553)),IF(B554=B553,"",(B554-B553)*100),"")</f>
        <v/>
      </c>
      <c r="G554" s="20">
        <f>IF(AND(ISNUMBER(C554),ISNUMBER(C553)),IF(C554=C553,"",(C554-C553)*100),"")</f>
        <v/>
      </c>
      <c r="H554" s="20">
        <f>IF(OR(NOT(ISNUMBER($A554)),ROW()-2&lt;Settings!$B$11),NA(),IF(COUNT(OFFSET(F554,1-Settings!$B$11,0,Settings!$B$11,1))&lt;ROUNDUP(Settings!$B$11*Settings!$B$26,0),NA(),STDEV(OFFSET(F554,1-Settings!$B$11,0,Settings!$B$11,1))*SQRT(Settings!$B$13)))</f>
        <v/>
      </c>
      <c r="I554" s="20">
        <f>IF(OR(NOT(ISNUMBER($A554)),ROW()-2&lt;Settings!$B$12),NA(),IF(COUNT(OFFSET(F554,1-Settings!$B$12,0,Settings!$B$12,1))&lt;ROUNDUP(Settings!$B$12*Settings!$B$26,0),NA(),STDEV(OFFSET(F554,1-Settings!$B$12,0,Settings!$B$12,1))*SQRT(Settings!$B$13)))</f>
        <v/>
      </c>
      <c r="J554" s="20">
        <f>IF(OR(NOT(ISNUMBER($A554)),ROW()-2&lt;Settings!$B$11),NA(),IF(COUNT(OFFSET(G554,1-Settings!$B$11,0,Settings!$B$11,1))&lt;ROUNDUP(Settings!$B$11*Settings!$B$26,0),NA(),STDEV(OFFSET(G554,1-Settings!$B$11,0,Settings!$B$11,1))*SQRT(Settings!$B$13)))</f>
        <v/>
      </c>
      <c r="K554" s="20">
        <f>IF(OR(NOT(ISNUMBER($A554)),ROW()-2&lt;Settings!$B$12),NA(),IF(COUNT(OFFSET(G554,1-Settings!$B$12,0,Settings!$B$12,1))&lt;ROUNDUP(Settings!$B$12*Settings!$B$26,0),NA(),STDEV(OFFSET(G554,1-Settings!$B$12,0,Settings!$B$12,1))*SQRT(Settings!$B$13)))</f>
        <v/>
      </c>
      <c r="L554" s="20">
        <f>IF(AND(ISNUMBER(D554),ISNUMBER(H554)),D554-H554,NA())</f>
        <v/>
      </c>
      <c r="M554" s="20">
        <f>IF(AND(ISNUMBER(E554),ISNUMBER(K554)),E554-K554,NA())</f>
        <v/>
      </c>
      <c r="N554" s="20">
        <f>IF(NOT(ISNUMBER($A554)),NA(),IF(COUNT(OFFSET(G554,1,0,Settings!$B$12,1))&lt;ROUNDUP(Settings!$B$12*Settings!$B$26,0),NA(),STDEV(OFFSET(G554,1,0,Settings!$B$12,1))*SQRT(Settings!$B$13)))</f>
        <v/>
      </c>
      <c r="O554" s="20">
        <f>IF(AND(ISNUMBER(E554),ISNUMBER(N554)),E554-N554,NA())</f>
        <v/>
      </c>
      <c r="P554" s="19">
        <f>IF(NOT(ISNUMBER($A554)),NA(),IF(OR($A554&lt;MIN(KW_TP!$A$2:$A$2501),$A554&gt;MAX(KW_TP!$A$2:$A$2501)),NA(),INDEX(KW_TP!$C$2:$C$2501,MATCH($A554,KW_TP!$A$2:$A$2501,1))))</f>
        <v/>
      </c>
      <c r="Q554" s="18">
        <f>IF(NOT(ISNUMBER($A554)),NA(),IFERROR(1*INDEX(BBG_Data!$J$2:$J$4000,MATCH($A554,BBG_Data!$I$2:$I$4000,0)),NA()))</f>
        <v/>
      </c>
      <c r="R554" s="18">
        <f>IF(NOT(ISNUMBER($A554)),NA(),IFERROR(1*INDEX(BBG_Data!$L$2:$L$4000,MATCH($A554,BBG_Data!$K$2:$K$4000,0)),NA()))</f>
        <v/>
      </c>
      <c r="S554" s="20">
        <f>IF(AND(ISNUMBER(B554),ISNUMBER(Q554),ISNUMBER(R554)),(B554-Q554-R554)*100,NA())</f>
        <v/>
      </c>
      <c r="T554" s="20">
        <f>IF(AND(ISNUMBER(B554),Settings!$B$17&gt;0),IF(ISNUMBER(INDEX($B:$B,Settings!$B$17)),(B554-INDEX($B:$B,Settings!$B$17))*100,NA()),NA())</f>
        <v/>
      </c>
      <c r="U554" s="20">
        <f>IF(AND(ISNUMBER(Q554),Settings!$B$17&gt;0),IF(ISNUMBER(INDEX($Q:$Q,Settings!$B$17)),(Q554-INDEX($Q:$Q,Settings!$B$17))*100,NA()),NA())</f>
        <v/>
      </c>
      <c r="V554" s="20">
        <f>IF(AND(ISNUMBER(R554),Settings!$B$17&gt;0),IF(ISNUMBER(INDEX($R:$R,Settings!$B$17)),(R554-INDEX($R:$R,Settings!$B$17))*100,NA()),NA())</f>
        <v/>
      </c>
      <c r="W554" s="20">
        <f>IF(AND(ISNUMBER(P554),Settings!$B$17&gt;0),IF(ISNUMBER(INDEX($P:$P,Settings!$B$17)),P554-INDEX($P:$P,Settings!$B$17),NA()),NA())</f>
        <v/>
      </c>
      <c r="X554" s="19">
        <f>IF(NOT(ISNUMBER($A554)),NA(),IF(OR($A554&lt;MIN(DKW_10Y!$A$2:$A$2918),$A554&gt;MAX(DKW_10Y!$A$2:$A$2918),Settings!$B$16&lt;MIN(DKW_10Y!$A$2:$A$2918)),NA(),(INDEX(DKW_10Y!$B$2:$B$2918,MATCH($A554,DKW_10Y!$A$2:$A$2918,1))-INDEX(DKW_10Y!$B$2:$B$2918,MATCH(Settings!$B$16,DKW_10Y!$A$2:$A$2918,1)))*100))</f>
        <v/>
      </c>
      <c r="Y554" s="19">
        <f>IF(NOT(ISNUMBER($A554)),NA(),IF(OR($A554&lt;MIN(DKW_10Y!$A$2:$A$2918),$A554&gt;MAX(DKW_10Y!$A$2:$A$2918),Settings!$B$16&lt;MIN(DKW_10Y!$A$2:$A$2918)),NA(),(INDEX(DKW_10Y!$C$2:$C$2918,MATCH($A554,DKW_10Y!$A$2:$A$2918,1))-INDEX(DKW_10Y!$C$2:$C$2918,MATCH(Settings!$B$16,DKW_10Y!$A$2:$A$2918,1)))*100))</f>
        <v/>
      </c>
      <c r="Z554" s="19">
        <f>IF(NOT(ISNUMBER($A554)),NA(),IF(OR($A554&lt;MIN(DKW_10Y!$A$2:$A$2918),$A554&gt;MAX(DKW_10Y!$A$2:$A$2918),Settings!$B$16&lt;MIN(DKW_10Y!$A$2:$A$2918)),NA(),(INDEX(DKW_10Y!$D$2:$D$2918,MATCH($A554,DKW_10Y!$A$2:$A$2918,1))-INDEX(DKW_10Y!$D$2:$D$2918,MATCH(Settings!$B$16,DKW_10Y!$A$2:$A$2918,1)))*100))</f>
        <v/>
      </c>
      <c r="AA554" s="19">
        <f>IF(NOT(ISNUMBER($A554)),NA(),IF(OR($A554&lt;MIN(DKW_10Y!$A$2:$A$2918),$A554&gt;MAX(DKW_10Y!$A$2:$A$2918),Settings!$B$16&lt;MIN(DKW_10Y!$A$2:$A$2918)),NA(),(INDEX(DKW_10Y!$E$2:$E$2918,MATCH($A554,DKW_10Y!$A$2:$A$2918,1))-INDEX(DKW_10Y!$E$2:$E$2918,MATCH(Settings!$B$16,DKW_10Y!$A$2:$A$2918,1)))*100))</f>
        <v/>
      </c>
      <c r="AB554" s="19">
        <f>IF(NOT(ISNUMBER($A554)),NA(),IF(OR($A554&lt;MIN(DKW_10Y!$A$2:$A$2918),$A554&gt;MAX(DKW_10Y!$A$2:$A$2918),Settings!$B$16&lt;MIN(DKW_10Y!$A$2:$A$2918)),NA(),(INDEX(DKW_10Y!$H$2:$H$2918,MATCH($A554,DKW_10Y!$A$2:$A$2918,1))-INDEX(DKW_10Y!$H$2:$H$2918,MATCH(Settings!$B$16,DKW_10Y!$A$2:$A$2918,1)))*100))</f>
        <v/>
      </c>
      <c r="AC554" s="18">
        <f>IF(NOT(ISNUMBER($A554)),NA(),IFERROR(1*INDEX(BBG_Data!$N$2:$N$4000,MATCH($A554,BBG_Data!$M$2:$M$4000,0)),NA()))</f>
        <v/>
      </c>
      <c r="AD554" s="18">
        <f>IF(NOT(ISNUMBER($A554)),NA(),IFERROR(1*INDEX(BBG_Data!$P$2:$P$4000,MATCH($A554,BBG_Data!$O$2:$O$4000,0)),NA()))</f>
        <v/>
      </c>
      <c r="AE554" s="18">
        <f>IF(NOT(ISNUMBER($A554)),NA(),IFERROR(1*INDEX(BBG_Data!$R$2:$R$4000,MATCH($A554,BBG_Data!$Q$2:$Q$4000,0)),NA()))</f>
        <v/>
      </c>
      <c r="AF554" s="20">
        <f>IF(AND(ISNUMBER(B554),ISNUMBER(AC554)),(B554-AC554)*100,NA())</f>
        <v/>
      </c>
      <c r="AG554" s="20">
        <f>IF(AND(ISNUMBER(AE554),ISNUMBER(AD554)),(AE554-AD554)*100,NA())</f>
        <v/>
      </c>
      <c r="AH554" s="19">
        <f>IF(NOT(ISNUMBER($A554)),NA(),IFERROR(INDEX(BBG_Data!$T$2:$T$4000,MATCH($A554,BBG_Data!$S$2:$S$4000,0))*Settings!$B$25,NA()))</f>
        <v/>
      </c>
      <c r="AI554" s="19">
        <f>IF(NOT(ISNUMBER($A554)),NA(),IFERROR(INDEX(BBG_Data!$V$2:$V$4000,MATCH($A554,BBG_Data!$U$2:$U$4000,0))*Settings!$B$25,NA()))</f>
        <v/>
      </c>
      <c r="AJ554" s="19">
        <f>IF(NOT(ISNUMBER($A554)),NA(),IFERROR(1*INDEX(BBG_Data!$X$2:$X$4000,MATCH($A554,BBG_Data!$W$2:$W$4000,0)),NA()))</f>
        <v/>
      </c>
      <c r="AK554" s="19">
        <f>IF(NOT(ISNUMBER($A554)),NA(),IFERROR(1*INDEX(BBG_Data!$Z$2:$Z$4000,MATCH($A554,BBG_Data!$Y$2:$Y$4000,0)),NA()))</f>
        <v/>
      </c>
    </row>
    <row r="555">
      <c r="A555" s="17">
        <f>IF(ISNUMBER(BBG_Data!A555),BBG_Data!A555,"")</f>
        <v/>
      </c>
      <c r="B555" s="18">
        <f>IF(AND(ISNUMBER($A555),ISNUMBER(BBG_Data!B555)),BBG_Data!B555,NA())</f>
        <v/>
      </c>
      <c r="C555" s="18">
        <f>IF(NOT(ISNUMBER($A555)),NA(),IFERROR(1*INDEX(BBG_Data!$D$2:$D$4000,MATCH($A555,BBG_Data!$C$2:$C$4000,0)),NA()))</f>
        <v/>
      </c>
      <c r="D555" s="19">
        <f>IF(NOT(ISNUMBER($A555)),NA(),IFERROR(1*INDEX(BBG_Data!$F$2:$F$4000,MATCH($A555,BBG_Data!$E$2:$E$4000,0)),NA()))</f>
        <v/>
      </c>
      <c r="E555" s="19">
        <f>IF(NOT(ISNUMBER($A555)),NA(),IFERROR(1*INDEX(BBG_Data!$H$2:$H$4000,MATCH($A555,BBG_Data!$G$2:$G$4000,0)),NA()))</f>
        <v/>
      </c>
      <c r="F555" s="20">
        <f>IF(AND(ISNUMBER(B555),ISNUMBER(B554)),IF(B555=B554,"",(B555-B554)*100),"")</f>
        <v/>
      </c>
      <c r="G555" s="20">
        <f>IF(AND(ISNUMBER(C555),ISNUMBER(C554)),IF(C555=C554,"",(C555-C554)*100),"")</f>
        <v/>
      </c>
      <c r="H555" s="20">
        <f>IF(OR(NOT(ISNUMBER($A555)),ROW()-2&lt;Settings!$B$11),NA(),IF(COUNT(OFFSET(F555,1-Settings!$B$11,0,Settings!$B$11,1))&lt;ROUNDUP(Settings!$B$11*Settings!$B$26,0),NA(),STDEV(OFFSET(F555,1-Settings!$B$11,0,Settings!$B$11,1))*SQRT(Settings!$B$13)))</f>
        <v/>
      </c>
      <c r="I555" s="20">
        <f>IF(OR(NOT(ISNUMBER($A555)),ROW()-2&lt;Settings!$B$12),NA(),IF(COUNT(OFFSET(F555,1-Settings!$B$12,0,Settings!$B$12,1))&lt;ROUNDUP(Settings!$B$12*Settings!$B$26,0),NA(),STDEV(OFFSET(F555,1-Settings!$B$12,0,Settings!$B$12,1))*SQRT(Settings!$B$13)))</f>
        <v/>
      </c>
      <c r="J555" s="20">
        <f>IF(OR(NOT(ISNUMBER($A555)),ROW()-2&lt;Settings!$B$11),NA(),IF(COUNT(OFFSET(G555,1-Settings!$B$11,0,Settings!$B$11,1))&lt;ROUNDUP(Settings!$B$11*Settings!$B$26,0),NA(),STDEV(OFFSET(G555,1-Settings!$B$11,0,Settings!$B$11,1))*SQRT(Settings!$B$13)))</f>
        <v/>
      </c>
      <c r="K555" s="20">
        <f>IF(OR(NOT(ISNUMBER($A555)),ROW()-2&lt;Settings!$B$12),NA(),IF(COUNT(OFFSET(G555,1-Settings!$B$12,0,Settings!$B$12,1))&lt;ROUNDUP(Settings!$B$12*Settings!$B$26,0),NA(),STDEV(OFFSET(G555,1-Settings!$B$12,0,Settings!$B$12,1))*SQRT(Settings!$B$13)))</f>
        <v/>
      </c>
      <c r="L555" s="20">
        <f>IF(AND(ISNUMBER(D555),ISNUMBER(H555)),D555-H555,NA())</f>
        <v/>
      </c>
      <c r="M555" s="20">
        <f>IF(AND(ISNUMBER(E555),ISNUMBER(K555)),E555-K555,NA())</f>
        <v/>
      </c>
      <c r="N555" s="20">
        <f>IF(NOT(ISNUMBER($A555)),NA(),IF(COUNT(OFFSET(G555,1,0,Settings!$B$12,1))&lt;ROUNDUP(Settings!$B$12*Settings!$B$26,0),NA(),STDEV(OFFSET(G555,1,0,Settings!$B$12,1))*SQRT(Settings!$B$13)))</f>
        <v/>
      </c>
      <c r="O555" s="20">
        <f>IF(AND(ISNUMBER(E555),ISNUMBER(N555)),E555-N555,NA())</f>
        <v/>
      </c>
      <c r="P555" s="19">
        <f>IF(NOT(ISNUMBER($A555)),NA(),IF(OR($A555&lt;MIN(KW_TP!$A$2:$A$2501),$A555&gt;MAX(KW_TP!$A$2:$A$2501)),NA(),INDEX(KW_TP!$C$2:$C$2501,MATCH($A555,KW_TP!$A$2:$A$2501,1))))</f>
        <v/>
      </c>
      <c r="Q555" s="18">
        <f>IF(NOT(ISNUMBER($A555)),NA(),IFERROR(1*INDEX(BBG_Data!$J$2:$J$4000,MATCH($A555,BBG_Data!$I$2:$I$4000,0)),NA()))</f>
        <v/>
      </c>
      <c r="R555" s="18">
        <f>IF(NOT(ISNUMBER($A555)),NA(),IFERROR(1*INDEX(BBG_Data!$L$2:$L$4000,MATCH($A555,BBG_Data!$K$2:$K$4000,0)),NA()))</f>
        <v/>
      </c>
      <c r="S555" s="20">
        <f>IF(AND(ISNUMBER(B555),ISNUMBER(Q555),ISNUMBER(R555)),(B555-Q555-R555)*100,NA())</f>
        <v/>
      </c>
      <c r="T555" s="20">
        <f>IF(AND(ISNUMBER(B555),Settings!$B$17&gt;0),IF(ISNUMBER(INDEX($B:$B,Settings!$B$17)),(B555-INDEX($B:$B,Settings!$B$17))*100,NA()),NA())</f>
        <v/>
      </c>
      <c r="U555" s="20">
        <f>IF(AND(ISNUMBER(Q555),Settings!$B$17&gt;0),IF(ISNUMBER(INDEX($Q:$Q,Settings!$B$17)),(Q555-INDEX($Q:$Q,Settings!$B$17))*100,NA()),NA())</f>
        <v/>
      </c>
      <c r="V555" s="20">
        <f>IF(AND(ISNUMBER(R555),Settings!$B$17&gt;0),IF(ISNUMBER(INDEX($R:$R,Settings!$B$17)),(R555-INDEX($R:$R,Settings!$B$17))*100,NA()),NA())</f>
        <v/>
      </c>
      <c r="W555" s="20">
        <f>IF(AND(ISNUMBER(P555),Settings!$B$17&gt;0),IF(ISNUMBER(INDEX($P:$P,Settings!$B$17)),P555-INDEX($P:$P,Settings!$B$17),NA()),NA())</f>
        <v/>
      </c>
      <c r="X555" s="19">
        <f>IF(NOT(ISNUMBER($A555)),NA(),IF(OR($A555&lt;MIN(DKW_10Y!$A$2:$A$2918),$A555&gt;MAX(DKW_10Y!$A$2:$A$2918),Settings!$B$16&lt;MIN(DKW_10Y!$A$2:$A$2918)),NA(),(INDEX(DKW_10Y!$B$2:$B$2918,MATCH($A555,DKW_10Y!$A$2:$A$2918,1))-INDEX(DKW_10Y!$B$2:$B$2918,MATCH(Settings!$B$16,DKW_10Y!$A$2:$A$2918,1)))*100))</f>
        <v/>
      </c>
      <c r="Y555" s="19">
        <f>IF(NOT(ISNUMBER($A555)),NA(),IF(OR($A555&lt;MIN(DKW_10Y!$A$2:$A$2918),$A555&gt;MAX(DKW_10Y!$A$2:$A$2918),Settings!$B$16&lt;MIN(DKW_10Y!$A$2:$A$2918)),NA(),(INDEX(DKW_10Y!$C$2:$C$2918,MATCH($A555,DKW_10Y!$A$2:$A$2918,1))-INDEX(DKW_10Y!$C$2:$C$2918,MATCH(Settings!$B$16,DKW_10Y!$A$2:$A$2918,1)))*100))</f>
        <v/>
      </c>
      <c r="Z555" s="19">
        <f>IF(NOT(ISNUMBER($A555)),NA(),IF(OR($A555&lt;MIN(DKW_10Y!$A$2:$A$2918),$A555&gt;MAX(DKW_10Y!$A$2:$A$2918),Settings!$B$16&lt;MIN(DKW_10Y!$A$2:$A$2918)),NA(),(INDEX(DKW_10Y!$D$2:$D$2918,MATCH($A555,DKW_10Y!$A$2:$A$2918,1))-INDEX(DKW_10Y!$D$2:$D$2918,MATCH(Settings!$B$16,DKW_10Y!$A$2:$A$2918,1)))*100))</f>
        <v/>
      </c>
      <c r="AA555" s="19">
        <f>IF(NOT(ISNUMBER($A555)),NA(),IF(OR($A555&lt;MIN(DKW_10Y!$A$2:$A$2918),$A555&gt;MAX(DKW_10Y!$A$2:$A$2918),Settings!$B$16&lt;MIN(DKW_10Y!$A$2:$A$2918)),NA(),(INDEX(DKW_10Y!$E$2:$E$2918,MATCH($A555,DKW_10Y!$A$2:$A$2918,1))-INDEX(DKW_10Y!$E$2:$E$2918,MATCH(Settings!$B$16,DKW_10Y!$A$2:$A$2918,1)))*100))</f>
        <v/>
      </c>
      <c r="AB555" s="19">
        <f>IF(NOT(ISNUMBER($A555)),NA(),IF(OR($A555&lt;MIN(DKW_10Y!$A$2:$A$2918),$A555&gt;MAX(DKW_10Y!$A$2:$A$2918),Settings!$B$16&lt;MIN(DKW_10Y!$A$2:$A$2918)),NA(),(INDEX(DKW_10Y!$H$2:$H$2918,MATCH($A555,DKW_10Y!$A$2:$A$2918,1))-INDEX(DKW_10Y!$H$2:$H$2918,MATCH(Settings!$B$16,DKW_10Y!$A$2:$A$2918,1)))*100))</f>
        <v/>
      </c>
      <c r="AC555" s="18">
        <f>IF(NOT(ISNUMBER($A555)),NA(),IFERROR(1*INDEX(BBG_Data!$N$2:$N$4000,MATCH($A555,BBG_Data!$M$2:$M$4000,0)),NA()))</f>
        <v/>
      </c>
      <c r="AD555" s="18">
        <f>IF(NOT(ISNUMBER($A555)),NA(),IFERROR(1*INDEX(BBG_Data!$P$2:$P$4000,MATCH($A555,BBG_Data!$O$2:$O$4000,0)),NA()))</f>
        <v/>
      </c>
      <c r="AE555" s="18">
        <f>IF(NOT(ISNUMBER($A555)),NA(),IFERROR(1*INDEX(BBG_Data!$R$2:$R$4000,MATCH($A555,BBG_Data!$Q$2:$Q$4000,0)),NA()))</f>
        <v/>
      </c>
      <c r="AF555" s="20">
        <f>IF(AND(ISNUMBER(B555),ISNUMBER(AC555)),(B555-AC555)*100,NA())</f>
        <v/>
      </c>
      <c r="AG555" s="20">
        <f>IF(AND(ISNUMBER(AE555),ISNUMBER(AD555)),(AE555-AD555)*100,NA())</f>
        <v/>
      </c>
      <c r="AH555" s="19">
        <f>IF(NOT(ISNUMBER($A555)),NA(),IFERROR(INDEX(BBG_Data!$T$2:$T$4000,MATCH($A555,BBG_Data!$S$2:$S$4000,0))*Settings!$B$25,NA()))</f>
        <v/>
      </c>
      <c r="AI555" s="19">
        <f>IF(NOT(ISNUMBER($A555)),NA(),IFERROR(INDEX(BBG_Data!$V$2:$V$4000,MATCH($A555,BBG_Data!$U$2:$U$4000,0))*Settings!$B$25,NA()))</f>
        <v/>
      </c>
      <c r="AJ555" s="19">
        <f>IF(NOT(ISNUMBER($A555)),NA(),IFERROR(1*INDEX(BBG_Data!$X$2:$X$4000,MATCH($A555,BBG_Data!$W$2:$W$4000,0)),NA()))</f>
        <v/>
      </c>
      <c r="AK555" s="19">
        <f>IF(NOT(ISNUMBER($A555)),NA(),IFERROR(1*INDEX(BBG_Data!$Z$2:$Z$4000,MATCH($A555,BBG_Data!$Y$2:$Y$4000,0)),NA()))</f>
        <v/>
      </c>
    </row>
    <row r="556">
      <c r="A556" s="17">
        <f>IF(ISNUMBER(BBG_Data!A556),BBG_Data!A556,"")</f>
        <v/>
      </c>
      <c r="B556" s="18">
        <f>IF(AND(ISNUMBER($A556),ISNUMBER(BBG_Data!B556)),BBG_Data!B556,NA())</f>
        <v/>
      </c>
      <c r="C556" s="18">
        <f>IF(NOT(ISNUMBER($A556)),NA(),IFERROR(1*INDEX(BBG_Data!$D$2:$D$4000,MATCH($A556,BBG_Data!$C$2:$C$4000,0)),NA()))</f>
        <v/>
      </c>
      <c r="D556" s="19">
        <f>IF(NOT(ISNUMBER($A556)),NA(),IFERROR(1*INDEX(BBG_Data!$F$2:$F$4000,MATCH($A556,BBG_Data!$E$2:$E$4000,0)),NA()))</f>
        <v/>
      </c>
      <c r="E556" s="19">
        <f>IF(NOT(ISNUMBER($A556)),NA(),IFERROR(1*INDEX(BBG_Data!$H$2:$H$4000,MATCH($A556,BBG_Data!$G$2:$G$4000,0)),NA()))</f>
        <v/>
      </c>
      <c r="F556" s="20">
        <f>IF(AND(ISNUMBER(B556),ISNUMBER(B555)),IF(B556=B555,"",(B556-B555)*100),"")</f>
        <v/>
      </c>
      <c r="G556" s="20">
        <f>IF(AND(ISNUMBER(C556),ISNUMBER(C555)),IF(C556=C555,"",(C556-C555)*100),"")</f>
        <v/>
      </c>
      <c r="H556" s="20">
        <f>IF(OR(NOT(ISNUMBER($A556)),ROW()-2&lt;Settings!$B$11),NA(),IF(COUNT(OFFSET(F556,1-Settings!$B$11,0,Settings!$B$11,1))&lt;ROUNDUP(Settings!$B$11*Settings!$B$26,0),NA(),STDEV(OFFSET(F556,1-Settings!$B$11,0,Settings!$B$11,1))*SQRT(Settings!$B$13)))</f>
        <v/>
      </c>
      <c r="I556" s="20">
        <f>IF(OR(NOT(ISNUMBER($A556)),ROW()-2&lt;Settings!$B$12),NA(),IF(COUNT(OFFSET(F556,1-Settings!$B$12,0,Settings!$B$12,1))&lt;ROUNDUP(Settings!$B$12*Settings!$B$26,0),NA(),STDEV(OFFSET(F556,1-Settings!$B$12,0,Settings!$B$12,1))*SQRT(Settings!$B$13)))</f>
        <v/>
      </c>
      <c r="J556" s="20">
        <f>IF(OR(NOT(ISNUMBER($A556)),ROW()-2&lt;Settings!$B$11),NA(),IF(COUNT(OFFSET(G556,1-Settings!$B$11,0,Settings!$B$11,1))&lt;ROUNDUP(Settings!$B$11*Settings!$B$26,0),NA(),STDEV(OFFSET(G556,1-Settings!$B$11,0,Settings!$B$11,1))*SQRT(Settings!$B$13)))</f>
        <v/>
      </c>
      <c r="K556" s="20">
        <f>IF(OR(NOT(ISNUMBER($A556)),ROW()-2&lt;Settings!$B$12),NA(),IF(COUNT(OFFSET(G556,1-Settings!$B$12,0,Settings!$B$12,1))&lt;ROUNDUP(Settings!$B$12*Settings!$B$26,0),NA(),STDEV(OFFSET(G556,1-Settings!$B$12,0,Settings!$B$12,1))*SQRT(Settings!$B$13)))</f>
        <v/>
      </c>
      <c r="L556" s="20">
        <f>IF(AND(ISNUMBER(D556),ISNUMBER(H556)),D556-H556,NA())</f>
        <v/>
      </c>
      <c r="M556" s="20">
        <f>IF(AND(ISNUMBER(E556),ISNUMBER(K556)),E556-K556,NA())</f>
        <v/>
      </c>
      <c r="N556" s="20">
        <f>IF(NOT(ISNUMBER($A556)),NA(),IF(COUNT(OFFSET(G556,1,0,Settings!$B$12,1))&lt;ROUNDUP(Settings!$B$12*Settings!$B$26,0),NA(),STDEV(OFFSET(G556,1,0,Settings!$B$12,1))*SQRT(Settings!$B$13)))</f>
        <v/>
      </c>
      <c r="O556" s="20">
        <f>IF(AND(ISNUMBER(E556),ISNUMBER(N556)),E556-N556,NA())</f>
        <v/>
      </c>
      <c r="P556" s="19">
        <f>IF(NOT(ISNUMBER($A556)),NA(),IF(OR($A556&lt;MIN(KW_TP!$A$2:$A$2501),$A556&gt;MAX(KW_TP!$A$2:$A$2501)),NA(),INDEX(KW_TP!$C$2:$C$2501,MATCH($A556,KW_TP!$A$2:$A$2501,1))))</f>
        <v/>
      </c>
      <c r="Q556" s="18">
        <f>IF(NOT(ISNUMBER($A556)),NA(),IFERROR(1*INDEX(BBG_Data!$J$2:$J$4000,MATCH($A556,BBG_Data!$I$2:$I$4000,0)),NA()))</f>
        <v/>
      </c>
      <c r="R556" s="18">
        <f>IF(NOT(ISNUMBER($A556)),NA(),IFERROR(1*INDEX(BBG_Data!$L$2:$L$4000,MATCH($A556,BBG_Data!$K$2:$K$4000,0)),NA()))</f>
        <v/>
      </c>
      <c r="S556" s="20">
        <f>IF(AND(ISNUMBER(B556),ISNUMBER(Q556),ISNUMBER(R556)),(B556-Q556-R556)*100,NA())</f>
        <v/>
      </c>
      <c r="T556" s="20">
        <f>IF(AND(ISNUMBER(B556),Settings!$B$17&gt;0),IF(ISNUMBER(INDEX($B:$B,Settings!$B$17)),(B556-INDEX($B:$B,Settings!$B$17))*100,NA()),NA())</f>
        <v/>
      </c>
      <c r="U556" s="20">
        <f>IF(AND(ISNUMBER(Q556),Settings!$B$17&gt;0),IF(ISNUMBER(INDEX($Q:$Q,Settings!$B$17)),(Q556-INDEX($Q:$Q,Settings!$B$17))*100,NA()),NA())</f>
        <v/>
      </c>
      <c r="V556" s="20">
        <f>IF(AND(ISNUMBER(R556),Settings!$B$17&gt;0),IF(ISNUMBER(INDEX($R:$R,Settings!$B$17)),(R556-INDEX($R:$R,Settings!$B$17))*100,NA()),NA())</f>
        <v/>
      </c>
      <c r="W556" s="20">
        <f>IF(AND(ISNUMBER(P556),Settings!$B$17&gt;0),IF(ISNUMBER(INDEX($P:$P,Settings!$B$17)),P556-INDEX($P:$P,Settings!$B$17),NA()),NA())</f>
        <v/>
      </c>
      <c r="X556" s="19">
        <f>IF(NOT(ISNUMBER($A556)),NA(),IF(OR($A556&lt;MIN(DKW_10Y!$A$2:$A$2918),$A556&gt;MAX(DKW_10Y!$A$2:$A$2918),Settings!$B$16&lt;MIN(DKW_10Y!$A$2:$A$2918)),NA(),(INDEX(DKW_10Y!$B$2:$B$2918,MATCH($A556,DKW_10Y!$A$2:$A$2918,1))-INDEX(DKW_10Y!$B$2:$B$2918,MATCH(Settings!$B$16,DKW_10Y!$A$2:$A$2918,1)))*100))</f>
        <v/>
      </c>
      <c r="Y556" s="19">
        <f>IF(NOT(ISNUMBER($A556)),NA(),IF(OR($A556&lt;MIN(DKW_10Y!$A$2:$A$2918),$A556&gt;MAX(DKW_10Y!$A$2:$A$2918),Settings!$B$16&lt;MIN(DKW_10Y!$A$2:$A$2918)),NA(),(INDEX(DKW_10Y!$C$2:$C$2918,MATCH($A556,DKW_10Y!$A$2:$A$2918,1))-INDEX(DKW_10Y!$C$2:$C$2918,MATCH(Settings!$B$16,DKW_10Y!$A$2:$A$2918,1)))*100))</f>
        <v/>
      </c>
      <c r="Z556" s="19">
        <f>IF(NOT(ISNUMBER($A556)),NA(),IF(OR($A556&lt;MIN(DKW_10Y!$A$2:$A$2918),$A556&gt;MAX(DKW_10Y!$A$2:$A$2918),Settings!$B$16&lt;MIN(DKW_10Y!$A$2:$A$2918)),NA(),(INDEX(DKW_10Y!$D$2:$D$2918,MATCH($A556,DKW_10Y!$A$2:$A$2918,1))-INDEX(DKW_10Y!$D$2:$D$2918,MATCH(Settings!$B$16,DKW_10Y!$A$2:$A$2918,1)))*100))</f>
        <v/>
      </c>
      <c r="AA556" s="19">
        <f>IF(NOT(ISNUMBER($A556)),NA(),IF(OR($A556&lt;MIN(DKW_10Y!$A$2:$A$2918),$A556&gt;MAX(DKW_10Y!$A$2:$A$2918),Settings!$B$16&lt;MIN(DKW_10Y!$A$2:$A$2918)),NA(),(INDEX(DKW_10Y!$E$2:$E$2918,MATCH($A556,DKW_10Y!$A$2:$A$2918,1))-INDEX(DKW_10Y!$E$2:$E$2918,MATCH(Settings!$B$16,DKW_10Y!$A$2:$A$2918,1)))*100))</f>
        <v/>
      </c>
      <c r="AB556" s="19">
        <f>IF(NOT(ISNUMBER($A556)),NA(),IF(OR($A556&lt;MIN(DKW_10Y!$A$2:$A$2918),$A556&gt;MAX(DKW_10Y!$A$2:$A$2918),Settings!$B$16&lt;MIN(DKW_10Y!$A$2:$A$2918)),NA(),(INDEX(DKW_10Y!$H$2:$H$2918,MATCH($A556,DKW_10Y!$A$2:$A$2918,1))-INDEX(DKW_10Y!$H$2:$H$2918,MATCH(Settings!$B$16,DKW_10Y!$A$2:$A$2918,1)))*100))</f>
        <v/>
      </c>
      <c r="AC556" s="18">
        <f>IF(NOT(ISNUMBER($A556)),NA(),IFERROR(1*INDEX(BBG_Data!$N$2:$N$4000,MATCH($A556,BBG_Data!$M$2:$M$4000,0)),NA()))</f>
        <v/>
      </c>
      <c r="AD556" s="18">
        <f>IF(NOT(ISNUMBER($A556)),NA(),IFERROR(1*INDEX(BBG_Data!$P$2:$P$4000,MATCH($A556,BBG_Data!$O$2:$O$4000,0)),NA()))</f>
        <v/>
      </c>
      <c r="AE556" s="18">
        <f>IF(NOT(ISNUMBER($A556)),NA(),IFERROR(1*INDEX(BBG_Data!$R$2:$R$4000,MATCH($A556,BBG_Data!$Q$2:$Q$4000,0)),NA()))</f>
        <v/>
      </c>
      <c r="AF556" s="20">
        <f>IF(AND(ISNUMBER(B556),ISNUMBER(AC556)),(B556-AC556)*100,NA())</f>
        <v/>
      </c>
      <c r="AG556" s="20">
        <f>IF(AND(ISNUMBER(AE556),ISNUMBER(AD556)),(AE556-AD556)*100,NA())</f>
        <v/>
      </c>
      <c r="AH556" s="19">
        <f>IF(NOT(ISNUMBER($A556)),NA(),IFERROR(INDEX(BBG_Data!$T$2:$T$4000,MATCH($A556,BBG_Data!$S$2:$S$4000,0))*Settings!$B$25,NA()))</f>
        <v/>
      </c>
      <c r="AI556" s="19">
        <f>IF(NOT(ISNUMBER($A556)),NA(),IFERROR(INDEX(BBG_Data!$V$2:$V$4000,MATCH($A556,BBG_Data!$U$2:$U$4000,0))*Settings!$B$25,NA()))</f>
        <v/>
      </c>
      <c r="AJ556" s="19">
        <f>IF(NOT(ISNUMBER($A556)),NA(),IFERROR(1*INDEX(BBG_Data!$X$2:$X$4000,MATCH($A556,BBG_Data!$W$2:$W$4000,0)),NA()))</f>
        <v/>
      </c>
      <c r="AK556" s="19">
        <f>IF(NOT(ISNUMBER($A556)),NA(),IFERROR(1*INDEX(BBG_Data!$Z$2:$Z$4000,MATCH($A556,BBG_Data!$Y$2:$Y$4000,0)),NA()))</f>
        <v/>
      </c>
    </row>
    <row r="557">
      <c r="A557" s="17">
        <f>IF(ISNUMBER(BBG_Data!A557),BBG_Data!A557,"")</f>
        <v/>
      </c>
      <c r="B557" s="18">
        <f>IF(AND(ISNUMBER($A557),ISNUMBER(BBG_Data!B557)),BBG_Data!B557,NA())</f>
        <v/>
      </c>
      <c r="C557" s="18">
        <f>IF(NOT(ISNUMBER($A557)),NA(),IFERROR(1*INDEX(BBG_Data!$D$2:$D$4000,MATCH($A557,BBG_Data!$C$2:$C$4000,0)),NA()))</f>
        <v/>
      </c>
      <c r="D557" s="19">
        <f>IF(NOT(ISNUMBER($A557)),NA(),IFERROR(1*INDEX(BBG_Data!$F$2:$F$4000,MATCH($A557,BBG_Data!$E$2:$E$4000,0)),NA()))</f>
        <v/>
      </c>
      <c r="E557" s="19">
        <f>IF(NOT(ISNUMBER($A557)),NA(),IFERROR(1*INDEX(BBG_Data!$H$2:$H$4000,MATCH($A557,BBG_Data!$G$2:$G$4000,0)),NA()))</f>
        <v/>
      </c>
      <c r="F557" s="20">
        <f>IF(AND(ISNUMBER(B557),ISNUMBER(B556)),IF(B557=B556,"",(B557-B556)*100),"")</f>
        <v/>
      </c>
      <c r="G557" s="20">
        <f>IF(AND(ISNUMBER(C557),ISNUMBER(C556)),IF(C557=C556,"",(C557-C556)*100),"")</f>
        <v/>
      </c>
      <c r="H557" s="20">
        <f>IF(OR(NOT(ISNUMBER($A557)),ROW()-2&lt;Settings!$B$11),NA(),IF(COUNT(OFFSET(F557,1-Settings!$B$11,0,Settings!$B$11,1))&lt;ROUNDUP(Settings!$B$11*Settings!$B$26,0),NA(),STDEV(OFFSET(F557,1-Settings!$B$11,0,Settings!$B$11,1))*SQRT(Settings!$B$13)))</f>
        <v/>
      </c>
      <c r="I557" s="20">
        <f>IF(OR(NOT(ISNUMBER($A557)),ROW()-2&lt;Settings!$B$12),NA(),IF(COUNT(OFFSET(F557,1-Settings!$B$12,0,Settings!$B$12,1))&lt;ROUNDUP(Settings!$B$12*Settings!$B$26,0),NA(),STDEV(OFFSET(F557,1-Settings!$B$12,0,Settings!$B$12,1))*SQRT(Settings!$B$13)))</f>
        <v/>
      </c>
      <c r="J557" s="20">
        <f>IF(OR(NOT(ISNUMBER($A557)),ROW()-2&lt;Settings!$B$11),NA(),IF(COUNT(OFFSET(G557,1-Settings!$B$11,0,Settings!$B$11,1))&lt;ROUNDUP(Settings!$B$11*Settings!$B$26,0),NA(),STDEV(OFFSET(G557,1-Settings!$B$11,0,Settings!$B$11,1))*SQRT(Settings!$B$13)))</f>
        <v/>
      </c>
      <c r="K557" s="20">
        <f>IF(OR(NOT(ISNUMBER($A557)),ROW()-2&lt;Settings!$B$12),NA(),IF(COUNT(OFFSET(G557,1-Settings!$B$12,0,Settings!$B$12,1))&lt;ROUNDUP(Settings!$B$12*Settings!$B$26,0),NA(),STDEV(OFFSET(G557,1-Settings!$B$12,0,Settings!$B$12,1))*SQRT(Settings!$B$13)))</f>
        <v/>
      </c>
      <c r="L557" s="20">
        <f>IF(AND(ISNUMBER(D557),ISNUMBER(H557)),D557-H557,NA())</f>
        <v/>
      </c>
      <c r="M557" s="20">
        <f>IF(AND(ISNUMBER(E557),ISNUMBER(K557)),E557-K557,NA())</f>
        <v/>
      </c>
      <c r="N557" s="20">
        <f>IF(NOT(ISNUMBER($A557)),NA(),IF(COUNT(OFFSET(G557,1,0,Settings!$B$12,1))&lt;ROUNDUP(Settings!$B$12*Settings!$B$26,0),NA(),STDEV(OFFSET(G557,1,0,Settings!$B$12,1))*SQRT(Settings!$B$13)))</f>
        <v/>
      </c>
      <c r="O557" s="20">
        <f>IF(AND(ISNUMBER(E557),ISNUMBER(N557)),E557-N557,NA())</f>
        <v/>
      </c>
      <c r="P557" s="19">
        <f>IF(NOT(ISNUMBER($A557)),NA(),IF(OR($A557&lt;MIN(KW_TP!$A$2:$A$2501),$A557&gt;MAX(KW_TP!$A$2:$A$2501)),NA(),INDEX(KW_TP!$C$2:$C$2501,MATCH($A557,KW_TP!$A$2:$A$2501,1))))</f>
        <v/>
      </c>
      <c r="Q557" s="18">
        <f>IF(NOT(ISNUMBER($A557)),NA(),IFERROR(1*INDEX(BBG_Data!$J$2:$J$4000,MATCH($A557,BBG_Data!$I$2:$I$4000,0)),NA()))</f>
        <v/>
      </c>
      <c r="R557" s="18">
        <f>IF(NOT(ISNUMBER($A557)),NA(),IFERROR(1*INDEX(BBG_Data!$L$2:$L$4000,MATCH($A557,BBG_Data!$K$2:$K$4000,0)),NA()))</f>
        <v/>
      </c>
      <c r="S557" s="20">
        <f>IF(AND(ISNUMBER(B557),ISNUMBER(Q557),ISNUMBER(R557)),(B557-Q557-R557)*100,NA())</f>
        <v/>
      </c>
      <c r="T557" s="20">
        <f>IF(AND(ISNUMBER(B557),Settings!$B$17&gt;0),IF(ISNUMBER(INDEX($B:$B,Settings!$B$17)),(B557-INDEX($B:$B,Settings!$B$17))*100,NA()),NA())</f>
        <v/>
      </c>
      <c r="U557" s="20">
        <f>IF(AND(ISNUMBER(Q557),Settings!$B$17&gt;0),IF(ISNUMBER(INDEX($Q:$Q,Settings!$B$17)),(Q557-INDEX($Q:$Q,Settings!$B$17))*100,NA()),NA())</f>
        <v/>
      </c>
      <c r="V557" s="20">
        <f>IF(AND(ISNUMBER(R557),Settings!$B$17&gt;0),IF(ISNUMBER(INDEX($R:$R,Settings!$B$17)),(R557-INDEX($R:$R,Settings!$B$17))*100,NA()),NA())</f>
        <v/>
      </c>
      <c r="W557" s="20">
        <f>IF(AND(ISNUMBER(P557),Settings!$B$17&gt;0),IF(ISNUMBER(INDEX($P:$P,Settings!$B$17)),P557-INDEX($P:$P,Settings!$B$17),NA()),NA())</f>
        <v/>
      </c>
      <c r="X557" s="19">
        <f>IF(NOT(ISNUMBER($A557)),NA(),IF(OR($A557&lt;MIN(DKW_10Y!$A$2:$A$2918),$A557&gt;MAX(DKW_10Y!$A$2:$A$2918),Settings!$B$16&lt;MIN(DKW_10Y!$A$2:$A$2918)),NA(),(INDEX(DKW_10Y!$B$2:$B$2918,MATCH($A557,DKW_10Y!$A$2:$A$2918,1))-INDEX(DKW_10Y!$B$2:$B$2918,MATCH(Settings!$B$16,DKW_10Y!$A$2:$A$2918,1)))*100))</f>
        <v/>
      </c>
      <c r="Y557" s="19">
        <f>IF(NOT(ISNUMBER($A557)),NA(),IF(OR($A557&lt;MIN(DKW_10Y!$A$2:$A$2918),$A557&gt;MAX(DKW_10Y!$A$2:$A$2918),Settings!$B$16&lt;MIN(DKW_10Y!$A$2:$A$2918)),NA(),(INDEX(DKW_10Y!$C$2:$C$2918,MATCH($A557,DKW_10Y!$A$2:$A$2918,1))-INDEX(DKW_10Y!$C$2:$C$2918,MATCH(Settings!$B$16,DKW_10Y!$A$2:$A$2918,1)))*100))</f>
        <v/>
      </c>
      <c r="Z557" s="19">
        <f>IF(NOT(ISNUMBER($A557)),NA(),IF(OR($A557&lt;MIN(DKW_10Y!$A$2:$A$2918),$A557&gt;MAX(DKW_10Y!$A$2:$A$2918),Settings!$B$16&lt;MIN(DKW_10Y!$A$2:$A$2918)),NA(),(INDEX(DKW_10Y!$D$2:$D$2918,MATCH($A557,DKW_10Y!$A$2:$A$2918,1))-INDEX(DKW_10Y!$D$2:$D$2918,MATCH(Settings!$B$16,DKW_10Y!$A$2:$A$2918,1)))*100))</f>
        <v/>
      </c>
      <c r="AA557" s="19">
        <f>IF(NOT(ISNUMBER($A557)),NA(),IF(OR($A557&lt;MIN(DKW_10Y!$A$2:$A$2918),$A557&gt;MAX(DKW_10Y!$A$2:$A$2918),Settings!$B$16&lt;MIN(DKW_10Y!$A$2:$A$2918)),NA(),(INDEX(DKW_10Y!$E$2:$E$2918,MATCH($A557,DKW_10Y!$A$2:$A$2918,1))-INDEX(DKW_10Y!$E$2:$E$2918,MATCH(Settings!$B$16,DKW_10Y!$A$2:$A$2918,1)))*100))</f>
        <v/>
      </c>
      <c r="AB557" s="19">
        <f>IF(NOT(ISNUMBER($A557)),NA(),IF(OR($A557&lt;MIN(DKW_10Y!$A$2:$A$2918),$A557&gt;MAX(DKW_10Y!$A$2:$A$2918),Settings!$B$16&lt;MIN(DKW_10Y!$A$2:$A$2918)),NA(),(INDEX(DKW_10Y!$H$2:$H$2918,MATCH($A557,DKW_10Y!$A$2:$A$2918,1))-INDEX(DKW_10Y!$H$2:$H$2918,MATCH(Settings!$B$16,DKW_10Y!$A$2:$A$2918,1)))*100))</f>
        <v/>
      </c>
      <c r="AC557" s="18">
        <f>IF(NOT(ISNUMBER($A557)),NA(),IFERROR(1*INDEX(BBG_Data!$N$2:$N$4000,MATCH($A557,BBG_Data!$M$2:$M$4000,0)),NA()))</f>
        <v/>
      </c>
      <c r="AD557" s="18">
        <f>IF(NOT(ISNUMBER($A557)),NA(),IFERROR(1*INDEX(BBG_Data!$P$2:$P$4000,MATCH($A557,BBG_Data!$O$2:$O$4000,0)),NA()))</f>
        <v/>
      </c>
      <c r="AE557" s="18">
        <f>IF(NOT(ISNUMBER($A557)),NA(),IFERROR(1*INDEX(BBG_Data!$R$2:$R$4000,MATCH($A557,BBG_Data!$Q$2:$Q$4000,0)),NA()))</f>
        <v/>
      </c>
      <c r="AF557" s="20">
        <f>IF(AND(ISNUMBER(B557),ISNUMBER(AC557)),(B557-AC557)*100,NA())</f>
        <v/>
      </c>
      <c r="AG557" s="20">
        <f>IF(AND(ISNUMBER(AE557),ISNUMBER(AD557)),(AE557-AD557)*100,NA())</f>
        <v/>
      </c>
      <c r="AH557" s="19">
        <f>IF(NOT(ISNUMBER($A557)),NA(),IFERROR(INDEX(BBG_Data!$T$2:$T$4000,MATCH($A557,BBG_Data!$S$2:$S$4000,0))*Settings!$B$25,NA()))</f>
        <v/>
      </c>
      <c r="AI557" s="19">
        <f>IF(NOT(ISNUMBER($A557)),NA(),IFERROR(INDEX(BBG_Data!$V$2:$V$4000,MATCH($A557,BBG_Data!$U$2:$U$4000,0))*Settings!$B$25,NA()))</f>
        <v/>
      </c>
      <c r="AJ557" s="19">
        <f>IF(NOT(ISNUMBER($A557)),NA(),IFERROR(1*INDEX(BBG_Data!$X$2:$X$4000,MATCH($A557,BBG_Data!$W$2:$W$4000,0)),NA()))</f>
        <v/>
      </c>
      <c r="AK557" s="19">
        <f>IF(NOT(ISNUMBER($A557)),NA(),IFERROR(1*INDEX(BBG_Data!$Z$2:$Z$4000,MATCH($A557,BBG_Data!$Y$2:$Y$4000,0)),NA()))</f>
        <v/>
      </c>
    </row>
    <row r="558">
      <c r="A558" s="17">
        <f>IF(ISNUMBER(BBG_Data!A558),BBG_Data!A558,"")</f>
        <v/>
      </c>
      <c r="B558" s="18">
        <f>IF(AND(ISNUMBER($A558),ISNUMBER(BBG_Data!B558)),BBG_Data!B558,NA())</f>
        <v/>
      </c>
      <c r="C558" s="18">
        <f>IF(NOT(ISNUMBER($A558)),NA(),IFERROR(1*INDEX(BBG_Data!$D$2:$D$4000,MATCH($A558,BBG_Data!$C$2:$C$4000,0)),NA()))</f>
        <v/>
      </c>
      <c r="D558" s="19">
        <f>IF(NOT(ISNUMBER($A558)),NA(),IFERROR(1*INDEX(BBG_Data!$F$2:$F$4000,MATCH($A558,BBG_Data!$E$2:$E$4000,0)),NA()))</f>
        <v/>
      </c>
      <c r="E558" s="19">
        <f>IF(NOT(ISNUMBER($A558)),NA(),IFERROR(1*INDEX(BBG_Data!$H$2:$H$4000,MATCH($A558,BBG_Data!$G$2:$G$4000,0)),NA()))</f>
        <v/>
      </c>
      <c r="F558" s="20">
        <f>IF(AND(ISNUMBER(B558),ISNUMBER(B557)),IF(B558=B557,"",(B558-B557)*100),"")</f>
        <v/>
      </c>
      <c r="G558" s="20">
        <f>IF(AND(ISNUMBER(C558),ISNUMBER(C557)),IF(C558=C557,"",(C558-C557)*100),"")</f>
        <v/>
      </c>
      <c r="H558" s="20">
        <f>IF(OR(NOT(ISNUMBER($A558)),ROW()-2&lt;Settings!$B$11),NA(),IF(COUNT(OFFSET(F558,1-Settings!$B$11,0,Settings!$B$11,1))&lt;ROUNDUP(Settings!$B$11*Settings!$B$26,0),NA(),STDEV(OFFSET(F558,1-Settings!$B$11,0,Settings!$B$11,1))*SQRT(Settings!$B$13)))</f>
        <v/>
      </c>
      <c r="I558" s="20">
        <f>IF(OR(NOT(ISNUMBER($A558)),ROW()-2&lt;Settings!$B$12),NA(),IF(COUNT(OFFSET(F558,1-Settings!$B$12,0,Settings!$B$12,1))&lt;ROUNDUP(Settings!$B$12*Settings!$B$26,0),NA(),STDEV(OFFSET(F558,1-Settings!$B$12,0,Settings!$B$12,1))*SQRT(Settings!$B$13)))</f>
        <v/>
      </c>
      <c r="J558" s="20">
        <f>IF(OR(NOT(ISNUMBER($A558)),ROW()-2&lt;Settings!$B$11),NA(),IF(COUNT(OFFSET(G558,1-Settings!$B$11,0,Settings!$B$11,1))&lt;ROUNDUP(Settings!$B$11*Settings!$B$26,0),NA(),STDEV(OFFSET(G558,1-Settings!$B$11,0,Settings!$B$11,1))*SQRT(Settings!$B$13)))</f>
        <v/>
      </c>
      <c r="K558" s="20">
        <f>IF(OR(NOT(ISNUMBER($A558)),ROW()-2&lt;Settings!$B$12),NA(),IF(COUNT(OFFSET(G558,1-Settings!$B$12,0,Settings!$B$12,1))&lt;ROUNDUP(Settings!$B$12*Settings!$B$26,0),NA(),STDEV(OFFSET(G558,1-Settings!$B$12,0,Settings!$B$12,1))*SQRT(Settings!$B$13)))</f>
        <v/>
      </c>
      <c r="L558" s="20">
        <f>IF(AND(ISNUMBER(D558),ISNUMBER(H558)),D558-H558,NA())</f>
        <v/>
      </c>
      <c r="M558" s="20">
        <f>IF(AND(ISNUMBER(E558),ISNUMBER(K558)),E558-K558,NA())</f>
        <v/>
      </c>
      <c r="N558" s="20">
        <f>IF(NOT(ISNUMBER($A558)),NA(),IF(COUNT(OFFSET(G558,1,0,Settings!$B$12,1))&lt;ROUNDUP(Settings!$B$12*Settings!$B$26,0),NA(),STDEV(OFFSET(G558,1,0,Settings!$B$12,1))*SQRT(Settings!$B$13)))</f>
        <v/>
      </c>
      <c r="O558" s="20">
        <f>IF(AND(ISNUMBER(E558),ISNUMBER(N558)),E558-N558,NA())</f>
        <v/>
      </c>
      <c r="P558" s="19">
        <f>IF(NOT(ISNUMBER($A558)),NA(),IF(OR($A558&lt;MIN(KW_TP!$A$2:$A$2501),$A558&gt;MAX(KW_TP!$A$2:$A$2501)),NA(),INDEX(KW_TP!$C$2:$C$2501,MATCH($A558,KW_TP!$A$2:$A$2501,1))))</f>
        <v/>
      </c>
      <c r="Q558" s="18">
        <f>IF(NOT(ISNUMBER($A558)),NA(),IFERROR(1*INDEX(BBG_Data!$J$2:$J$4000,MATCH($A558,BBG_Data!$I$2:$I$4000,0)),NA()))</f>
        <v/>
      </c>
      <c r="R558" s="18">
        <f>IF(NOT(ISNUMBER($A558)),NA(),IFERROR(1*INDEX(BBG_Data!$L$2:$L$4000,MATCH($A558,BBG_Data!$K$2:$K$4000,0)),NA()))</f>
        <v/>
      </c>
      <c r="S558" s="20">
        <f>IF(AND(ISNUMBER(B558),ISNUMBER(Q558),ISNUMBER(R558)),(B558-Q558-R558)*100,NA())</f>
        <v/>
      </c>
      <c r="T558" s="20">
        <f>IF(AND(ISNUMBER(B558),Settings!$B$17&gt;0),IF(ISNUMBER(INDEX($B:$B,Settings!$B$17)),(B558-INDEX($B:$B,Settings!$B$17))*100,NA()),NA())</f>
        <v/>
      </c>
      <c r="U558" s="20">
        <f>IF(AND(ISNUMBER(Q558),Settings!$B$17&gt;0),IF(ISNUMBER(INDEX($Q:$Q,Settings!$B$17)),(Q558-INDEX($Q:$Q,Settings!$B$17))*100,NA()),NA())</f>
        <v/>
      </c>
      <c r="V558" s="20">
        <f>IF(AND(ISNUMBER(R558),Settings!$B$17&gt;0),IF(ISNUMBER(INDEX($R:$R,Settings!$B$17)),(R558-INDEX($R:$R,Settings!$B$17))*100,NA()),NA())</f>
        <v/>
      </c>
      <c r="W558" s="20">
        <f>IF(AND(ISNUMBER(P558),Settings!$B$17&gt;0),IF(ISNUMBER(INDEX($P:$P,Settings!$B$17)),P558-INDEX($P:$P,Settings!$B$17),NA()),NA())</f>
        <v/>
      </c>
      <c r="X558" s="19">
        <f>IF(NOT(ISNUMBER($A558)),NA(),IF(OR($A558&lt;MIN(DKW_10Y!$A$2:$A$2918),$A558&gt;MAX(DKW_10Y!$A$2:$A$2918),Settings!$B$16&lt;MIN(DKW_10Y!$A$2:$A$2918)),NA(),(INDEX(DKW_10Y!$B$2:$B$2918,MATCH($A558,DKW_10Y!$A$2:$A$2918,1))-INDEX(DKW_10Y!$B$2:$B$2918,MATCH(Settings!$B$16,DKW_10Y!$A$2:$A$2918,1)))*100))</f>
        <v/>
      </c>
      <c r="Y558" s="19">
        <f>IF(NOT(ISNUMBER($A558)),NA(),IF(OR($A558&lt;MIN(DKW_10Y!$A$2:$A$2918),$A558&gt;MAX(DKW_10Y!$A$2:$A$2918),Settings!$B$16&lt;MIN(DKW_10Y!$A$2:$A$2918)),NA(),(INDEX(DKW_10Y!$C$2:$C$2918,MATCH($A558,DKW_10Y!$A$2:$A$2918,1))-INDEX(DKW_10Y!$C$2:$C$2918,MATCH(Settings!$B$16,DKW_10Y!$A$2:$A$2918,1)))*100))</f>
        <v/>
      </c>
      <c r="Z558" s="19">
        <f>IF(NOT(ISNUMBER($A558)),NA(),IF(OR($A558&lt;MIN(DKW_10Y!$A$2:$A$2918),$A558&gt;MAX(DKW_10Y!$A$2:$A$2918),Settings!$B$16&lt;MIN(DKW_10Y!$A$2:$A$2918)),NA(),(INDEX(DKW_10Y!$D$2:$D$2918,MATCH($A558,DKW_10Y!$A$2:$A$2918,1))-INDEX(DKW_10Y!$D$2:$D$2918,MATCH(Settings!$B$16,DKW_10Y!$A$2:$A$2918,1)))*100))</f>
        <v/>
      </c>
      <c r="AA558" s="19">
        <f>IF(NOT(ISNUMBER($A558)),NA(),IF(OR($A558&lt;MIN(DKW_10Y!$A$2:$A$2918),$A558&gt;MAX(DKW_10Y!$A$2:$A$2918),Settings!$B$16&lt;MIN(DKW_10Y!$A$2:$A$2918)),NA(),(INDEX(DKW_10Y!$E$2:$E$2918,MATCH($A558,DKW_10Y!$A$2:$A$2918,1))-INDEX(DKW_10Y!$E$2:$E$2918,MATCH(Settings!$B$16,DKW_10Y!$A$2:$A$2918,1)))*100))</f>
        <v/>
      </c>
      <c r="AB558" s="19">
        <f>IF(NOT(ISNUMBER($A558)),NA(),IF(OR($A558&lt;MIN(DKW_10Y!$A$2:$A$2918),$A558&gt;MAX(DKW_10Y!$A$2:$A$2918),Settings!$B$16&lt;MIN(DKW_10Y!$A$2:$A$2918)),NA(),(INDEX(DKW_10Y!$H$2:$H$2918,MATCH($A558,DKW_10Y!$A$2:$A$2918,1))-INDEX(DKW_10Y!$H$2:$H$2918,MATCH(Settings!$B$16,DKW_10Y!$A$2:$A$2918,1)))*100))</f>
        <v/>
      </c>
      <c r="AC558" s="18">
        <f>IF(NOT(ISNUMBER($A558)),NA(),IFERROR(1*INDEX(BBG_Data!$N$2:$N$4000,MATCH($A558,BBG_Data!$M$2:$M$4000,0)),NA()))</f>
        <v/>
      </c>
      <c r="AD558" s="18">
        <f>IF(NOT(ISNUMBER($A558)),NA(),IFERROR(1*INDEX(BBG_Data!$P$2:$P$4000,MATCH($A558,BBG_Data!$O$2:$O$4000,0)),NA()))</f>
        <v/>
      </c>
      <c r="AE558" s="18">
        <f>IF(NOT(ISNUMBER($A558)),NA(),IFERROR(1*INDEX(BBG_Data!$R$2:$R$4000,MATCH($A558,BBG_Data!$Q$2:$Q$4000,0)),NA()))</f>
        <v/>
      </c>
      <c r="AF558" s="20">
        <f>IF(AND(ISNUMBER(B558),ISNUMBER(AC558)),(B558-AC558)*100,NA())</f>
        <v/>
      </c>
      <c r="AG558" s="20">
        <f>IF(AND(ISNUMBER(AE558),ISNUMBER(AD558)),(AE558-AD558)*100,NA())</f>
        <v/>
      </c>
      <c r="AH558" s="19">
        <f>IF(NOT(ISNUMBER($A558)),NA(),IFERROR(INDEX(BBG_Data!$T$2:$T$4000,MATCH($A558,BBG_Data!$S$2:$S$4000,0))*Settings!$B$25,NA()))</f>
        <v/>
      </c>
      <c r="AI558" s="19">
        <f>IF(NOT(ISNUMBER($A558)),NA(),IFERROR(INDEX(BBG_Data!$V$2:$V$4000,MATCH($A558,BBG_Data!$U$2:$U$4000,0))*Settings!$B$25,NA()))</f>
        <v/>
      </c>
      <c r="AJ558" s="19">
        <f>IF(NOT(ISNUMBER($A558)),NA(),IFERROR(1*INDEX(BBG_Data!$X$2:$X$4000,MATCH($A558,BBG_Data!$W$2:$W$4000,0)),NA()))</f>
        <v/>
      </c>
      <c r="AK558" s="19">
        <f>IF(NOT(ISNUMBER($A558)),NA(),IFERROR(1*INDEX(BBG_Data!$Z$2:$Z$4000,MATCH($A558,BBG_Data!$Y$2:$Y$4000,0)),NA()))</f>
        <v/>
      </c>
    </row>
    <row r="559">
      <c r="A559" s="17">
        <f>IF(ISNUMBER(BBG_Data!A559),BBG_Data!A559,"")</f>
        <v/>
      </c>
      <c r="B559" s="18">
        <f>IF(AND(ISNUMBER($A559),ISNUMBER(BBG_Data!B559)),BBG_Data!B559,NA())</f>
        <v/>
      </c>
      <c r="C559" s="18">
        <f>IF(NOT(ISNUMBER($A559)),NA(),IFERROR(1*INDEX(BBG_Data!$D$2:$D$4000,MATCH($A559,BBG_Data!$C$2:$C$4000,0)),NA()))</f>
        <v/>
      </c>
      <c r="D559" s="19">
        <f>IF(NOT(ISNUMBER($A559)),NA(),IFERROR(1*INDEX(BBG_Data!$F$2:$F$4000,MATCH($A559,BBG_Data!$E$2:$E$4000,0)),NA()))</f>
        <v/>
      </c>
      <c r="E559" s="19">
        <f>IF(NOT(ISNUMBER($A559)),NA(),IFERROR(1*INDEX(BBG_Data!$H$2:$H$4000,MATCH($A559,BBG_Data!$G$2:$G$4000,0)),NA()))</f>
        <v/>
      </c>
      <c r="F559" s="20">
        <f>IF(AND(ISNUMBER(B559),ISNUMBER(B558)),IF(B559=B558,"",(B559-B558)*100),"")</f>
        <v/>
      </c>
      <c r="G559" s="20">
        <f>IF(AND(ISNUMBER(C559),ISNUMBER(C558)),IF(C559=C558,"",(C559-C558)*100),"")</f>
        <v/>
      </c>
      <c r="H559" s="20">
        <f>IF(OR(NOT(ISNUMBER($A559)),ROW()-2&lt;Settings!$B$11),NA(),IF(COUNT(OFFSET(F559,1-Settings!$B$11,0,Settings!$B$11,1))&lt;ROUNDUP(Settings!$B$11*Settings!$B$26,0),NA(),STDEV(OFFSET(F559,1-Settings!$B$11,0,Settings!$B$11,1))*SQRT(Settings!$B$13)))</f>
        <v/>
      </c>
      <c r="I559" s="20">
        <f>IF(OR(NOT(ISNUMBER($A559)),ROW()-2&lt;Settings!$B$12),NA(),IF(COUNT(OFFSET(F559,1-Settings!$B$12,0,Settings!$B$12,1))&lt;ROUNDUP(Settings!$B$12*Settings!$B$26,0),NA(),STDEV(OFFSET(F559,1-Settings!$B$12,0,Settings!$B$12,1))*SQRT(Settings!$B$13)))</f>
        <v/>
      </c>
      <c r="J559" s="20">
        <f>IF(OR(NOT(ISNUMBER($A559)),ROW()-2&lt;Settings!$B$11),NA(),IF(COUNT(OFFSET(G559,1-Settings!$B$11,0,Settings!$B$11,1))&lt;ROUNDUP(Settings!$B$11*Settings!$B$26,0),NA(),STDEV(OFFSET(G559,1-Settings!$B$11,0,Settings!$B$11,1))*SQRT(Settings!$B$13)))</f>
        <v/>
      </c>
      <c r="K559" s="20">
        <f>IF(OR(NOT(ISNUMBER($A559)),ROW()-2&lt;Settings!$B$12),NA(),IF(COUNT(OFFSET(G559,1-Settings!$B$12,0,Settings!$B$12,1))&lt;ROUNDUP(Settings!$B$12*Settings!$B$26,0),NA(),STDEV(OFFSET(G559,1-Settings!$B$12,0,Settings!$B$12,1))*SQRT(Settings!$B$13)))</f>
        <v/>
      </c>
      <c r="L559" s="20">
        <f>IF(AND(ISNUMBER(D559),ISNUMBER(H559)),D559-H559,NA())</f>
        <v/>
      </c>
      <c r="M559" s="20">
        <f>IF(AND(ISNUMBER(E559),ISNUMBER(K559)),E559-K559,NA())</f>
        <v/>
      </c>
      <c r="N559" s="20">
        <f>IF(NOT(ISNUMBER($A559)),NA(),IF(COUNT(OFFSET(G559,1,0,Settings!$B$12,1))&lt;ROUNDUP(Settings!$B$12*Settings!$B$26,0),NA(),STDEV(OFFSET(G559,1,0,Settings!$B$12,1))*SQRT(Settings!$B$13)))</f>
        <v/>
      </c>
      <c r="O559" s="20">
        <f>IF(AND(ISNUMBER(E559),ISNUMBER(N559)),E559-N559,NA())</f>
        <v/>
      </c>
      <c r="P559" s="19">
        <f>IF(NOT(ISNUMBER($A559)),NA(),IF(OR($A559&lt;MIN(KW_TP!$A$2:$A$2501),$A559&gt;MAX(KW_TP!$A$2:$A$2501)),NA(),INDEX(KW_TP!$C$2:$C$2501,MATCH($A559,KW_TP!$A$2:$A$2501,1))))</f>
        <v/>
      </c>
      <c r="Q559" s="18">
        <f>IF(NOT(ISNUMBER($A559)),NA(),IFERROR(1*INDEX(BBG_Data!$J$2:$J$4000,MATCH($A559,BBG_Data!$I$2:$I$4000,0)),NA()))</f>
        <v/>
      </c>
      <c r="R559" s="18">
        <f>IF(NOT(ISNUMBER($A559)),NA(),IFERROR(1*INDEX(BBG_Data!$L$2:$L$4000,MATCH($A559,BBG_Data!$K$2:$K$4000,0)),NA()))</f>
        <v/>
      </c>
      <c r="S559" s="20">
        <f>IF(AND(ISNUMBER(B559),ISNUMBER(Q559),ISNUMBER(R559)),(B559-Q559-R559)*100,NA())</f>
        <v/>
      </c>
      <c r="T559" s="20">
        <f>IF(AND(ISNUMBER(B559),Settings!$B$17&gt;0),IF(ISNUMBER(INDEX($B:$B,Settings!$B$17)),(B559-INDEX($B:$B,Settings!$B$17))*100,NA()),NA())</f>
        <v/>
      </c>
      <c r="U559" s="20">
        <f>IF(AND(ISNUMBER(Q559),Settings!$B$17&gt;0),IF(ISNUMBER(INDEX($Q:$Q,Settings!$B$17)),(Q559-INDEX($Q:$Q,Settings!$B$17))*100,NA()),NA())</f>
        <v/>
      </c>
      <c r="V559" s="20">
        <f>IF(AND(ISNUMBER(R559),Settings!$B$17&gt;0),IF(ISNUMBER(INDEX($R:$R,Settings!$B$17)),(R559-INDEX($R:$R,Settings!$B$17))*100,NA()),NA())</f>
        <v/>
      </c>
      <c r="W559" s="20">
        <f>IF(AND(ISNUMBER(P559),Settings!$B$17&gt;0),IF(ISNUMBER(INDEX($P:$P,Settings!$B$17)),P559-INDEX($P:$P,Settings!$B$17),NA()),NA())</f>
        <v/>
      </c>
      <c r="X559" s="19">
        <f>IF(NOT(ISNUMBER($A559)),NA(),IF(OR($A559&lt;MIN(DKW_10Y!$A$2:$A$2918),$A559&gt;MAX(DKW_10Y!$A$2:$A$2918),Settings!$B$16&lt;MIN(DKW_10Y!$A$2:$A$2918)),NA(),(INDEX(DKW_10Y!$B$2:$B$2918,MATCH($A559,DKW_10Y!$A$2:$A$2918,1))-INDEX(DKW_10Y!$B$2:$B$2918,MATCH(Settings!$B$16,DKW_10Y!$A$2:$A$2918,1)))*100))</f>
        <v/>
      </c>
      <c r="Y559" s="19">
        <f>IF(NOT(ISNUMBER($A559)),NA(),IF(OR($A559&lt;MIN(DKW_10Y!$A$2:$A$2918),$A559&gt;MAX(DKW_10Y!$A$2:$A$2918),Settings!$B$16&lt;MIN(DKW_10Y!$A$2:$A$2918)),NA(),(INDEX(DKW_10Y!$C$2:$C$2918,MATCH($A559,DKW_10Y!$A$2:$A$2918,1))-INDEX(DKW_10Y!$C$2:$C$2918,MATCH(Settings!$B$16,DKW_10Y!$A$2:$A$2918,1)))*100))</f>
        <v/>
      </c>
      <c r="Z559" s="19">
        <f>IF(NOT(ISNUMBER($A559)),NA(),IF(OR($A559&lt;MIN(DKW_10Y!$A$2:$A$2918),$A559&gt;MAX(DKW_10Y!$A$2:$A$2918),Settings!$B$16&lt;MIN(DKW_10Y!$A$2:$A$2918)),NA(),(INDEX(DKW_10Y!$D$2:$D$2918,MATCH($A559,DKW_10Y!$A$2:$A$2918,1))-INDEX(DKW_10Y!$D$2:$D$2918,MATCH(Settings!$B$16,DKW_10Y!$A$2:$A$2918,1)))*100))</f>
        <v/>
      </c>
      <c r="AA559" s="19">
        <f>IF(NOT(ISNUMBER($A559)),NA(),IF(OR($A559&lt;MIN(DKW_10Y!$A$2:$A$2918),$A559&gt;MAX(DKW_10Y!$A$2:$A$2918),Settings!$B$16&lt;MIN(DKW_10Y!$A$2:$A$2918)),NA(),(INDEX(DKW_10Y!$E$2:$E$2918,MATCH($A559,DKW_10Y!$A$2:$A$2918,1))-INDEX(DKW_10Y!$E$2:$E$2918,MATCH(Settings!$B$16,DKW_10Y!$A$2:$A$2918,1)))*100))</f>
        <v/>
      </c>
      <c r="AB559" s="19">
        <f>IF(NOT(ISNUMBER($A559)),NA(),IF(OR($A559&lt;MIN(DKW_10Y!$A$2:$A$2918),$A559&gt;MAX(DKW_10Y!$A$2:$A$2918),Settings!$B$16&lt;MIN(DKW_10Y!$A$2:$A$2918)),NA(),(INDEX(DKW_10Y!$H$2:$H$2918,MATCH($A559,DKW_10Y!$A$2:$A$2918,1))-INDEX(DKW_10Y!$H$2:$H$2918,MATCH(Settings!$B$16,DKW_10Y!$A$2:$A$2918,1)))*100))</f>
        <v/>
      </c>
      <c r="AC559" s="18">
        <f>IF(NOT(ISNUMBER($A559)),NA(),IFERROR(1*INDEX(BBG_Data!$N$2:$N$4000,MATCH($A559,BBG_Data!$M$2:$M$4000,0)),NA()))</f>
        <v/>
      </c>
      <c r="AD559" s="18">
        <f>IF(NOT(ISNUMBER($A559)),NA(),IFERROR(1*INDEX(BBG_Data!$P$2:$P$4000,MATCH($A559,BBG_Data!$O$2:$O$4000,0)),NA()))</f>
        <v/>
      </c>
      <c r="AE559" s="18">
        <f>IF(NOT(ISNUMBER($A559)),NA(),IFERROR(1*INDEX(BBG_Data!$R$2:$R$4000,MATCH($A559,BBG_Data!$Q$2:$Q$4000,0)),NA()))</f>
        <v/>
      </c>
      <c r="AF559" s="20">
        <f>IF(AND(ISNUMBER(B559),ISNUMBER(AC559)),(B559-AC559)*100,NA())</f>
        <v/>
      </c>
      <c r="AG559" s="20">
        <f>IF(AND(ISNUMBER(AE559),ISNUMBER(AD559)),(AE559-AD559)*100,NA())</f>
        <v/>
      </c>
      <c r="AH559" s="19">
        <f>IF(NOT(ISNUMBER($A559)),NA(),IFERROR(INDEX(BBG_Data!$T$2:$T$4000,MATCH($A559,BBG_Data!$S$2:$S$4000,0))*Settings!$B$25,NA()))</f>
        <v/>
      </c>
      <c r="AI559" s="19">
        <f>IF(NOT(ISNUMBER($A559)),NA(),IFERROR(INDEX(BBG_Data!$V$2:$V$4000,MATCH($A559,BBG_Data!$U$2:$U$4000,0))*Settings!$B$25,NA()))</f>
        <v/>
      </c>
      <c r="AJ559" s="19">
        <f>IF(NOT(ISNUMBER($A559)),NA(),IFERROR(1*INDEX(BBG_Data!$X$2:$X$4000,MATCH($A559,BBG_Data!$W$2:$W$4000,0)),NA()))</f>
        <v/>
      </c>
      <c r="AK559" s="19">
        <f>IF(NOT(ISNUMBER($A559)),NA(),IFERROR(1*INDEX(BBG_Data!$Z$2:$Z$4000,MATCH($A559,BBG_Data!$Y$2:$Y$4000,0)),NA()))</f>
        <v/>
      </c>
    </row>
    <row r="560">
      <c r="A560" s="17">
        <f>IF(ISNUMBER(BBG_Data!A560),BBG_Data!A560,"")</f>
        <v/>
      </c>
      <c r="B560" s="18">
        <f>IF(AND(ISNUMBER($A560),ISNUMBER(BBG_Data!B560)),BBG_Data!B560,NA())</f>
        <v/>
      </c>
      <c r="C560" s="18">
        <f>IF(NOT(ISNUMBER($A560)),NA(),IFERROR(1*INDEX(BBG_Data!$D$2:$D$4000,MATCH($A560,BBG_Data!$C$2:$C$4000,0)),NA()))</f>
        <v/>
      </c>
      <c r="D560" s="19">
        <f>IF(NOT(ISNUMBER($A560)),NA(),IFERROR(1*INDEX(BBG_Data!$F$2:$F$4000,MATCH($A560,BBG_Data!$E$2:$E$4000,0)),NA()))</f>
        <v/>
      </c>
      <c r="E560" s="19">
        <f>IF(NOT(ISNUMBER($A560)),NA(),IFERROR(1*INDEX(BBG_Data!$H$2:$H$4000,MATCH($A560,BBG_Data!$G$2:$G$4000,0)),NA()))</f>
        <v/>
      </c>
      <c r="F560" s="20">
        <f>IF(AND(ISNUMBER(B560),ISNUMBER(B559)),IF(B560=B559,"",(B560-B559)*100),"")</f>
        <v/>
      </c>
      <c r="G560" s="20">
        <f>IF(AND(ISNUMBER(C560),ISNUMBER(C559)),IF(C560=C559,"",(C560-C559)*100),"")</f>
        <v/>
      </c>
      <c r="H560" s="20">
        <f>IF(OR(NOT(ISNUMBER($A560)),ROW()-2&lt;Settings!$B$11),NA(),IF(COUNT(OFFSET(F560,1-Settings!$B$11,0,Settings!$B$11,1))&lt;ROUNDUP(Settings!$B$11*Settings!$B$26,0),NA(),STDEV(OFFSET(F560,1-Settings!$B$11,0,Settings!$B$11,1))*SQRT(Settings!$B$13)))</f>
        <v/>
      </c>
      <c r="I560" s="20">
        <f>IF(OR(NOT(ISNUMBER($A560)),ROW()-2&lt;Settings!$B$12),NA(),IF(COUNT(OFFSET(F560,1-Settings!$B$12,0,Settings!$B$12,1))&lt;ROUNDUP(Settings!$B$12*Settings!$B$26,0),NA(),STDEV(OFFSET(F560,1-Settings!$B$12,0,Settings!$B$12,1))*SQRT(Settings!$B$13)))</f>
        <v/>
      </c>
      <c r="J560" s="20">
        <f>IF(OR(NOT(ISNUMBER($A560)),ROW()-2&lt;Settings!$B$11),NA(),IF(COUNT(OFFSET(G560,1-Settings!$B$11,0,Settings!$B$11,1))&lt;ROUNDUP(Settings!$B$11*Settings!$B$26,0),NA(),STDEV(OFFSET(G560,1-Settings!$B$11,0,Settings!$B$11,1))*SQRT(Settings!$B$13)))</f>
        <v/>
      </c>
      <c r="K560" s="20">
        <f>IF(OR(NOT(ISNUMBER($A560)),ROW()-2&lt;Settings!$B$12),NA(),IF(COUNT(OFFSET(G560,1-Settings!$B$12,0,Settings!$B$12,1))&lt;ROUNDUP(Settings!$B$12*Settings!$B$26,0),NA(),STDEV(OFFSET(G560,1-Settings!$B$12,0,Settings!$B$12,1))*SQRT(Settings!$B$13)))</f>
        <v/>
      </c>
      <c r="L560" s="20">
        <f>IF(AND(ISNUMBER(D560),ISNUMBER(H560)),D560-H560,NA())</f>
        <v/>
      </c>
      <c r="M560" s="20">
        <f>IF(AND(ISNUMBER(E560),ISNUMBER(K560)),E560-K560,NA())</f>
        <v/>
      </c>
      <c r="N560" s="20">
        <f>IF(NOT(ISNUMBER($A560)),NA(),IF(COUNT(OFFSET(G560,1,0,Settings!$B$12,1))&lt;ROUNDUP(Settings!$B$12*Settings!$B$26,0),NA(),STDEV(OFFSET(G560,1,0,Settings!$B$12,1))*SQRT(Settings!$B$13)))</f>
        <v/>
      </c>
      <c r="O560" s="20">
        <f>IF(AND(ISNUMBER(E560),ISNUMBER(N560)),E560-N560,NA())</f>
        <v/>
      </c>
      <c r="P560" s="19">
        <f>IF(NOT(ISNUMBER($A560)),NA(),IF(OR($A560&lt;MIN(KW_TP!$A$2:$A$2501),$A560&gt;MAX(KW_TP!$A$2:$A$2501)),NA(),INDEX(KW_TP!$C$2:$C$2501,MATCH($A560,KW_TP!$A$2:$A$2501,1))))</f>
        <v/>
      </c>
      <c r="Q560" s="18">
        <f>IF(NOT(ISNUMBER($A560)),NA(),IFERROR(1*INDEX(BBG_Data!$J$2:$J$4000,MATCH($A560,BBG_Data!$I$2:$I$4000,0)),NA()))</f>
        <v/>
      </c>
      <c r="R560" s="18">
        <f>IF(NOT(ISNUMBER($A560)),NA(),IFERROR(1*INDEX(BBG_Data!$L$2:$L$4000,MATCH($A560,BBG_Data!$K$2:$K$4000,0)),NA()))</f>
        <v/>
      </c>
      <c r="S560" s="20">
        <f>IF(AND(ISNUMBER(B560),ISNUMBER(Q560),ISNUMBER(R560)),(B560-Q560-R560)*100,NA())</f>
        <v/>
      </c>
      <c r="T560" s="20">
        <f>IF(AND(ISNUMBER(B560),Settings!$B$17&gt;0),IF(ISNUMBER(INDEX($B:$B,Settings!$B$17)),(B560-INDEX($B:$B,Settings!$B$17))*100,NA()),NA())</f>
        <v/>
      </c>
      <c r="U560" s="20">
        <f>IF(AND(ISNUMBER(Q560),Settings!$B$17&gt;0),IF(ISNUMBER(INDEX($Q:$Q,Settings!$B$17)),(Q560-INDEX($Q:$Q,Settings!$B$17))*100,NA()),NA())</f>
        <v/>
      </c>
      <c r="V560" s="20">
        <f>IF(AND(ISNUMBER(R560),Settings!$B$17&gt;0),IF(ISNUMBER(INDEX($R:$R,Settings!$B$17)),(R560-INDEX($R:$R,Settings!$B$17))*100,NA()),NA())</f>
        <v/>
      </c>
      <c r="W560" s="20">
        <f>IF(AND(ISNUMBER(P560),Settings!$B$17&gt;0),IF(ISNUMBER(INDEX($P:$P,Settings!$B$17)),P560-INDEX($P:$P,Settings!$B$17),NA()),NA())</f>
        <v/>
      </c>
      <c r="X560" s="19">
        <f>IF(NOT(ISNUMBER($A560)),NA(),IF(OR($A560&lt;MIN(DKW_10Y!$A$2:$A$2918),$A560&gt;MAX(DKW_10Y!$A$2:$A$2918),Settings!$B$16&lt;MIN(DKW_10Y!$A$2:$A$2918)),NA(),(INDEX(DKW_10Y!$B$2:$B$2918,MATCH($A560,DKW_10Y!$A$2:$A$2918,1))-INDEX(DKW_10Y!$B$2:$B$2918,MATCH(Settings!$B$16,DKW_10Y!$A$2:$A$2918,1)))*100))</f>
        <v/>
      </c>
      <c r="Y560" s="19">
        <f>IF(NOT(ISNUMBER($A560)),NA(),IF(OR($A560&lt;MIN(DKW_10Y!$A$2:$A$2918),$A560&gt;MAX(DKW_10Y!$A$2:$A$2918),Settings!$B$16&lt;MIN(DKW_10Y!$A$2:$A$2918)),NA(),(INDEX(DKW_10Y!$C$2:$C$2918,MATCH($A560,DKW_10Y!$A$2:$A$2918,1))-INDEX(DKW_10Y!$C$2:$C$2918,MATCH(Settings!$B$16,DKW_10Y!$A$2:$A$2918,1)))*100))</f>
        <v/>
      </c>
      <c r="Z560" s="19">
        <f>IF(NOT(ISNUMBER($A560)),NA(),IF(OR($A560&lt;MIN(DKW_10Y!$A$2:$A$2918),$A560&gt;MAX(DKW_10Y!$A$2:$A$2918),Settings!$B$16&lt;MIN(DKW_10Y!$A$2:$A$2918)),NA(),(INDEX(DKW_10Y!$D$2:$D$2918,MATCH($A560,DKW_10Y!$A$2:$A$2918,1))-INDEX(DKW_10Y!$D$2:$D$2918,MATCH(Settings!$B$16,DKW_10Y!$A$2:$A$2918,1)))*100))</f>
        <v/>
      </c>
      <c r="AA560" s="19">
        <f>IF(NOT(ISNUMBER($A560)),NA(),IF(OR($A560&lt;MIN(DKW_10Y!$A$2:$A$2918),$A560&gt;MAX(DKW_10Y!$A$2:$A$2918),Settings!$B$16&lt;MIN(DKW_10Y!$A$2:$A$2918)),NA(),(INDEX(DKW_10Y!$E$2:$E$2918,MATCH($A560,DKW_10Y!$A$2:$A$2918,1))-INDEX(DKW_10Y!$E$2:$E$2918,MATCH(Settings!$B$16,DKW_10Y!$A$2:$A$2918,1)))*100))</f>
        <v/>
      </c>
      <c r="AB560" s="19">
        <f>IF(NOT(ISNUMBER($A560)),NA(),IF(OR($A560&lt;MIN(DKW_10Y!$A$2:$A$2918),$A560&gt;MAX(DKW_10Y!$A$2:$A$2918),Settings!$B$16&lt;MIN(DKW_10Y!$A$2:$A$2918)),NA(),(INDEX(DKW_10Y!$H$2:$H$2918,MATCH($A560,DKW_10Y!$A$2:$A$2918,1))-INDEX(DKW_10Y!$H$2:$H$2918,MATCH(Settings!$B$16,DKW_10Y!$A$2:$A$2918,1)))*100))</f>
        <v/>
      </c>
      <c r="AC560" s="18">
        <f>IF(NOT(ISNUMBER($A560)),NA(),IFERROR(1*INDEX(BBG_Data!$N$2:$N$4000,MATCH($A560,BBG_Data!$M$2:$M$4000,0)),NA()))</f>
        <v/>
      </c>
      <c r="AD560" s="18">
        <f>IF(NOT(ISNUMBER($A560)),NA(),IFERROR(1*INDEX(BBG_Data!$P$2:$P$4000,MATCH($A560,BBG_Data!$O$2:$O$4000,0)),NA()))</f>
        <v/>
      </c>
      <c r="AE560" s="18">
        <f>IF(NOT(ISNUMBER($A560)),NA(),IFERROR(1*INDEX(BBG_Data!$R$2:$R$4000,MATCH($A560,BBG_Data!$Q$2:$Q$4000,0)),NA()))</f>
        <v/>
      </c>
      <c r="AF560" s="20">
        <f>IF(AND(ISNUMBER(B560),ISNUMBER(AC560)),(B560-AC560)*100,NA())</f>
        <v/>
      </c>
      <c r="AG560" s="20">
        <f>IF(AND(ISNUMBER(AE560),ISNUMBER(AD560)),(AE560-AD560)*100,NA())</f>
        <v/>
      </c>
      <c r="AH560" s="19">
        <f>IF(NOT(ISNUMBER($A560)),NA(),IFERROR(INDEX(BBG_Data!$T$2:$T$4000,MATCH($A560,BBG_Data!$S$2:$S$4000,0))*Settings!$B$25,NA()))</f>
        <v/>
      </c>
      <c r="AI560" s="19">
        <f>IF(NOT(ISNUMBER($A560)),NA(),IFERROR(INDEX(BBG_Data!$V$2:$V$4000,MATCH($A560,BBG_Data!$U$2:$U$4000,0))*Settings!$B$25,NA()))</f>
        <v/>
      </c>
      <c r="AJ560" s="19">
        <f>IF(NOT(ISNUMBER($A560)),NA(),IFERROR(1*INDEX(BBG_Data!$X$2:$X$4000,MATCH($A560,BBG_Data!$W$2:$W$4000,0)),NA()))</f>
        <v/>
      </c>
      <c r="AK560" s="19">
        <f>IF(NOT(ISNUMBER($A560)),NA(),IFERROR(1*INDEX(BBG_Data!$Z$2:$Z$4000,MATCH($A560,BBG_Data!$Y$2:$Y$4000,0)),NA()))</f>
        <v/>
      </c>
    </row>
    <row r="561">
      <c r="A561" s="17">
        <f>IF(ISNUMBER(BBG_Data!A561),BBG_Data!A561,"")</f>
        <v/>
      </c>
      <c r="B561" s="18">
        <f>IF(AND(ISNUMBER($A561),ISNUMBER(BBG_Data!B561)),BBG_Data!B561,NA())</f>
        <v/>
      </c>
      <c r="C561" s="18">
        <f>IF(NOT(ISNUMBER($A561)),NA(),IFERROR(1*INDEX(BBG_Data!$D$2:$D$4000,MATCH($A561,BBG_Data!$C$2:$C$4000,0)),NA()))</f>
        <v/>
      </c>
      <c r="D561" s="19">
        <f>IF(NOT(ISNUMBER($A561)),NA(),IFERROR(1*INDEX(BBG_Data!$F$2:$F$4000,MATCH($A561,BBG_Data!$E$2:$E$4000,0)),NA()))</f>
        <v/>
      </c>
      <c r="E561" s="19">
        <f>IF(NOT(ISNUMBER($A561)),NA(),IFERROR(1*INDEX(BBG_Data!$H$2:$H$4000,MATCH($A561,BBG_Data!$G$2:$G$4000,0)),NA()))</f>
        <v/>
      </c>
      <c r="F561" s="20">
        <f>IF(AND(ISNUMBER(B561),ISNUMBER(B560)),IF(B561=B560,"",(B561-B560)*100),"")</f>
        <v/>
      </c>
      <c r="G561" s="20">
        <f>IF(AND(ISNUMBER(C561),ISNUMBER(C560)),IF(C561=C560,"",(C561-C560)*100),"")</f>
        <v/>
      </c>
      <c r="H561" s="20">
        <f>IF(OR(NOT(ISNUMBER($A561)),ROW()-2&lt;Settings!$B$11),NA(),IF(COUNT(OFFSET(F561,1-Settings!$B$11,0,Settings!$B$11,1))&lt;ROUNDUP(Settings!$B$11*Settings!$B$26,0),NA(),STDEV(OFFSET(F561,1-Settings!$B$11,0,Settings!$B$11,1))*SQRT(Settings!$B$13)))</f>
        <v/>
      </c>
      <c r="I561" s="20">
        <f>IF(OR(NOT(ISNUMBER($A561)),ROW()-2&lt;Settings!$B$12),NA(),IF(COUNT(OFFSET(F561,1-Settings!$B$12,0,Settings!$B$12,1))&lt;ROUNDUP(Settings!$B$12*Settings!$B$26,0),NA(),STDEV(OFFSET(F561,1-Settings!$B$12,0,Settings!$B$12,1))*SQRT(Settings!$B$13)))</f>
        <v/>
      </c>
      <c r="J561" s="20">
        <f>IF(OR(NOT(ISNUMBER($A561)),ROW()-2&lt;Settings!$B$11),NA(),IF(COUNT(OFFSET(G561,1-Settings!$B$11,0,Settings!$B$11,1))&lt;ROUNDUP(Settings!$B$11*Settings!$B$26,0),NA(),STDEV(OFFSET(G561,1-Settings!$B$11,0,Settings!$B$11,1))*SQRT(Settings!$B$13)))</f>
        <v/>
      </c>
      <c r="K561" s="20">
        <f>IF(OR(NOT(ISNUMBER($A561)),ROW()-2&lt;Settings!$B$12),NA(),IF(COUNT(OFFSET(G561,1-Settings!$B$12,0,Settings!$B$12,1))&lt;ROUNDUP(Settings!$B$12*Settings!$B$26,0),NA(),STDEV(OFFSET(G561,1-Settings!$B$12,0,Settings!$B$12,1))*SQRT(Settings!$B$13)))</f>
        <v/>
      </c>
      <c r="L561" s="20">
        <f>IF(AND(ISNUMBER(D561),ISNUMBER(H561)),D561-H561,NA())</f>
        <v/>
      </c>
      <c r="M561" s="20">
        <f>IF(AND(ISNUMBER(E561),ISNUMBER(K561)),E561-K561,NA())</f>
        <v/>
      </c>
      <c r="N561" s="20">
        <f>IF(NOT(ISNUMBER($A561)),NA(),IF(COUNT(OFFSET(G561,1,0,Settings!$B$12,1))&lt;ROUNDUP(Settings!$B$12*Settings!$B$26,0),NA(),STDEV(OFFSET(G561,1,0,Settings!$B$12,1))*SQRT(Settings!$B$13)))</f>
        <v/>
      </c>
      <c r="O561" s="20">
        <f>IF(AND(ISNUMBER(E561),ISNUMBER(N561)),E561-N561,NA())</f>
        <v/>
      </c>
      <c r="P561" s="19">
        <f>IF(NOT(ISNUMBER($A561)),NA(),IF(OR($A561&lt;MIN(KW_TP!$A$2:$A$2501),$A561&gt;MAX(KW_TP!$A$2:$A$2501)),NA(),INDEX(KW_TP!$C$2:$C$2501,MATCH($A561,KW_TP!$A$2:$A$2501,1))))</f>
        <v/>
      </c>
      <c r="Q561" s="18">
        <f>IF(NOT(ISNUMBER($A561)),NA(),IFERROR(1*INDEX(BBG_Data!$J$2:$J$4000,MATCH($A561,BBG_Data!$I$2:$I$4000,0)),NA()))</f>
        <v/>
      </c>
      <c r="R561" s="18">
        <f>IF(NOT(ISNUMBER($A561)),NA(),IFERROR(1*INDEX(BBG_Data!$L$2:$L$4000,MATCH($A561,BBG_Data!$K$2:$K$4000,0)),NA()))</f>
        <v/>
      </c>
      <c r="S561" s="20">
        <f>IF(AND(ISNUMBER(B561),ISNUMBER(Q561),ISNUMBER(R561)),(B561-Q561-R561)*100,NA())</f>
        <v/>
      </c>
      <c r="T561" s="20">
        <f>IF(AND(ISNUMBER(B561),Settings!$B$17&gt;0),IF(ISNUMBER(INDEX($B:$B,Settings!$B$17)),(B561-INDEX($B:$B,Settings!$B$17))*100,NA()),NA())</f>
        <v/>
      </c>
      <c r="U561" s="20">
        <f>IF(AND(ISNUMBER(Q561),Settings!$B$17&gt;0),IF(ISNUMBER(INDEX($Q:$Q,Settings!$B$17)),(Q561-INDEX($Q:$Q,Settings!$B$17))*100,NA()),NA())</f>
        <v/>
      </c>
      <c r="V561" s="20">
        <f>IF(AND(ISNUMBER(R561),Settings!$B$17&gt;0),IF(ISNUMBER(INDEX($R:$R,Settings!$B$17)),(R561-INDEX($R:$R,Settings!$B$17))*100,NA()),NA())</f>
        <v/>
      </c>
      <c r="W561" s="20">
        <f>IF(AND(ISNUMBER(P561),Settings!$B$17&gt;0),IF(ISNUMBER(INDEX($P:$P,Settings!$B$17)),P561-INDEX($P:$P,Settings!$B$17),NA()),NA())</f>
        <v/>
      </c>
      <c r="X561" s="19">
        <f>IF(NOT(ISNUMBER($A561)),NA(),IF(OR($A561&lt;MIN(DKW_10Y!$A$2:$A$2918),$A561&gt;MAX(DKW_10Y!$A$2:$A$2918),Settings!$B$16&lt;MIN(DKW_10Y!$A$2:$A$2918)),NA(),(INDEX(DKW_10Y!$B$2:$B$2918,MATCH($A561,DKW_10Y!$A$2:$A$2918,1))-INDEX(DKW_10Y!$B$2:$B$2918,MATCH(Settings!$B$16,DKW_10Y!$A$2:$A$2918,1)))*100))</f>
        <v/>
      </c>
      <c r="Y561" s="19">
        <f>IF(NOT(ISNUMBER($A561)),NA(),IF(OR($A561&lt;MIN(DKW_10Y!$A$2:$A$2918),$A561&gt;MAX(DKW_10Y!$A$2:$A$2918),Settings!$B$16&lt;MIN(DKW_10Y!$A$2:$A$2918)),NA(),(INDEX(DKW_10Y!$C$2:$C$2918,MATCH($A561,DKW_10Y!$A$2:$A$2918,1))-INDEX(DKW_10Y!$C$2:$C$2918,MATCH(Settings!$B$16,DKW_10Y!$A$2:$A$2918,1)))*100))</f>
        <v/>
      </c>
      <c r="Z561" s="19">
        <f>IF(NOT(ISNUMBER($A561)),NA(),IF(OR($A561&lt;MIN(DKW_10Y!$A$2:$A$2918),$A561&gt;MAX(DKW_10Y!$A$2:$A$2918),Settings!$B$16&lt;MIN(DKW_10Y!$A$2:$A$2918)),NA(),(INDEX(DKW_10Y!$D$2:$D$2918,MATCH($A561,DKW_10Y!$A$2:$A$2918,1))-INDEX(DKW_10Y!$D$2:$D$2918,MATCH(Settings!$B$16,DKW_10Y!$A$2:$A$2918,1)))*100))</f>
        <v/>
      </c>
      <c r="AA561" s="19">
        <f>IF(NOT(ISNUMBER($A561)),NA(),IF(OR($A561&lt;MIN(DKW_10Y!$A$2:$A$2918),$A561&gt;MAX(DKW_10Y!$A$2:$A$2918),Settings!$B$16&lt;MIN(DKW_10Y!$A$2:$A$2918)),NA(),(INDEX(DKW_10Y!$E$2:$E$2918,MATCH($A561,DKW_10Y!$A$2:$A$2918,1))-INDEX(DKW_10Y!$E$2:$E$2918,MATCH(Settings!$B$16,DKW_10Y!$A$2:$A$2918,1)))*100))</f>
        <v/>
      </c>
      <c r="AB561" s="19">
        <f>IF(NOT(ISNUMBER($A561)),NA(),IF(OR($A561&lt;MIN(DKW_10Y!$A$2:$A$2918),$A561&gt;MAX(DKW_10Y!$A$2:$A$2918),Settings!$B$16&lt;MIN(DKW_10Y!$A$2:$A$2918)),NA(),(INDEX(DKW_10Y!$H$2:$H$2918,MATCH($A561,DKW_10Y!$A$2:$A$2918,1))-INDEX(DKW_10Y!$H$2:$H$2918,MATCH(Settings!$B$16,DKW_10Y!$A$2:$A$2918,1)))*100))</f>
        <v/>
      </c>
      <c r="AC561" s="18">
        <f>IF(NOT(ISNUMBER($A561)),NA(),IFERROR(1*INDEX(BBG_Data!$N$2:$N$4000,MATCH($A561,BBG_Data!$M$2:$M$4000,0)),NA()))</f>
        <v/>
      </c>
      <c r="AD561" s="18">
        <f>IF(NOT(ISNUMBER($A561)),NA(),IFERROR(1*INDEX(BBG_Data!$P$2:$P$4000,MATCH($A561,BBG_Data!$O$2:$O$4000,0)),NA()))</f>
        <v/>
      </c>
      <c r="AE561" s="18">
        <f>IF(NOT(ISNUMBER($A561)),NA(),IFERROR(1*INDEX(BBG_Data!$R$2:$R$4000,MATCH($A561,BBG_Data!$Q$2:$Q$4000,0)),NA()))</f>
        <v/>
      </c>
      <c r="AF561" s="20">
        <f>IF(AND(ISNUMBER(B561),ISNUMBER(AC561)),(B561-AC561)*100,NA())</f>
        <v/>
      </c>
      <c r="AG561" s="20">
        <f>IF(AND(ISNUMBER(AE561),ISNUMBER(AD561)),(AE561-AD561)*100,NA())</f>
        <v/>
      </c>
      <c r="AH561" s="19">
        <f>IF(NOT(ISNUMBER($A561)),NA(),IFERROR(INDEX(BBG_Data!$T$2:$T$4000,MATCH($A561,BBG_Data!$S$2:$S$4000,0))*Settings!$B$25,NA()))</f>
        <v/>
      </c>
      <c r="AI561" s="19">
        <f>IF(NOT(ISNUMBER($A561)),NA(),IFERROR(INDEX(BBG_Data!$V$2:$V$4000,MATCH($A561,BBG_Data!$U$2:$U$4000,0))*Settings!$B$25,NA()))</f>
        <v/>
      </c>
      <c r="AJ561" s="19">
        <f>IF(NOT(ISNUMBER($A561)),NA(),IFERROR(1*INDEX(BBG_Data!$X$2:$X$4000,MATCH($A561,BBG_Data!$W$2:$W$4000,0)),NA()))</f>
        <v/>
      </c>
      <c r="AK561" s="19">
        <f>IF(NOT(ISNUMBER($A561)),NA(),IFERROR(1*INDEX(BBG_Data!$Z$2:$Z$4000,MATCH($A561,BBG_Data!$Y$2:$Y$4000,0)),NA()))</f>
        <v/>
      </c>
    </row>
    <row r="562">
      <c r="A562" s="17">
        <f>IF(ISNUMBER(BBG_Data!A562),BBG_Data!A562,"")</f>
        <v/>
      </c>
      <c r="B562" s="18">
        <f>IF(AND(ISNUMBER($A562),ISNUMBER(BBG_Data!B562)),BBG_Data!B562,NA())</f>
        <v/>
      </c>
      <c r="C562" s="18">
        <f>IF(NOT(ISNUMBER($A562)),NA(),IFERROR(1*INDEX(BBG_Data!$D$2:$D$4000,MATCH($A562,BBG_Data!$C$2:$C$4000,0)),NA()))</f>
        <v/>
      </c>
      <c r="D562" s="19">
        <f>IF(NOT(ISNUMBER($A562)),NA(),IFERROR(1*INDEX(BBG_Data!$F$2:$F$4000,MATCH($A562,BBG_Data!$E$2:$E$4000,0)),NA()))</f>
        <v/>
      </c>
      <c r="E562" s="19">
        <f>IF(NOT(ISNUMBER($A562)),NA(),IFERROR(1*INDEX(BBG_Data!$H$2:$H$4000,MATCH($A562,BBG_Data!$G$2:$G$4000,0)),NA()))</f>
        <v/>
      </c>
      <c r="F562" s="20">
        <f>IF(AND(ISNUMBER(B562),ISNUMBER(B561)),IF(B562=B561,"",(B562-B561)*100),"")</f>
        <v/>
      </c>
      <c r="G562" s="20">
        <f>IF(AND(ISNUMBER(C562),ISNUMBER(C561)),IF(C562=C561,"",(C562-C561)*100),"")</f>
        <v/>
      </c>
      <c r="H562" s="20">
        <f>IF(OR(NOT(ISNUMBER($A562)),ROW()-2&lt;Settings!$B$11),NA(),IF(COUNT(OFFSET(F562,1-Settings!$B$11,0,Settings!$B$11,1))&lt;ROUNDUP(Settings!$B$11*Settings!$B$26,0),NA(),STDEV(OFFSET(F562,1-Settings!$B$11,0,Settings!$B$11,1))*SQRT(Settings!$B$13)))</f>
        <v/>
      </c>
      <c r="I562" s="20">
        <f>IF(OR(NOT(ISNUMBER($A562)),ROW()-2&lt;Settings!$B$12),NA(),IF(COUNT(OFFSET(F562,1-Settings!$B$12,0,Settings!$B$12,1))&lt;ROUNDUP(Settings!$B$12*Settings!$B$26,0),NA(),STDEV(OFFSET(F562,1-Settings!$B$12,0,Settings!$B$12,1))*SQRT(Settings!$B$13)))</f>
        <v/>
      </c>
      <c r="J562" s="20">
        <f>IF(OR(NOT(ISNUMBER($A562)),ROW()-2&lt;Settings!$B$11),NA(),IF(COUNT(OFFSET(G562,1-Settings!$B$11,0,Settings!$B$11,1))&lt;ROUNDUP(Settings!$B$11*Settings!$B$26,0),NA(),STDEV(OFFSET(G562,1-Settings!$B$11,0,Settings!$B$11,1))*SQRT(Settings!$B$13)))</f>
        <v/>
      </c>
      <c r="K562" s="20">
        <f>IF(OR(NOT(ISNUMBER($A562)),ROW()-2&lt;Settings!$B$12),NA(),IF(COUNT(OFFSET(G562,1-Settings!$B$12,0,Settings!$B$12,1))&lt;ROUNDUP(Settings!$B$12*Settings!$B$26,0),NA(),STDEV(OFFSET(G562,1-Settings!$B$12,0,Settings!$B$12,1))*SQRT(Settings!$B$13)))</f>
        <v/>
      </c>
      <c r="L562" s="20">
        <f>IF(AND(ISNUMBER(D562),ISNUMBER(H562)),D562-H562,NA())</f>
        <v/>
      </c>
      <c r="M562" s="20">
        <f>IF(AND(ISNUMBER(E562),ISNUMBER(K562)),E562-K562,NA())</f>
        <v/>
      </c>
      <c r="N562" s="20">
        <f>IF(NOT(ISNUMBER($A562)),NA(),IF(COUNT(OFFSET(G562,1,0,Settings!$B$12,1))&lt;ROUNDUP(Settings!$B$12*Settings!$B$26,0),NA(),STDEV(OFFSET(G562,1,0,Settings!$B$12,1))*SQRT(Settings!$B$13)))</f>
        <v/>
      </c>
      <c r="O562" s="20">
        <f>IF(AND(ISNUMBER(E562),ISNUMBER(N562)),E562-N562,NA())</f>
        <v/>
      </c>
      <c r="P562" s="19">
        <f>IF(NOT(ISNUMBER($A562)),NA(),IF(OR($A562&lt;MIN(KW_TP!$A$2:$A$2501),$A562&gt;MAX(KW_TP!$A$2:$A$2501)),NA(),INDEX(KW_TP!$C$2:$C$2501,MATCH($A562,KW_TP!$A$2:$A$2501,1))))</f>
        <v/>
      </c>
      <c r="Q562" s="18">
        <f>IF(NOT(ISNUMBER($A562)),NA(),IFERROR(1*INDEX(BBG_Data!$J$2:$J$4000,MATCH($A562,BBG_Data!$I$2:$I$4000,0)),NA()))</f>
        <v/>
      </c>
      <c r="R562" s="18">
        <f>IF(NOT(ISNUMBER($A562)),NA(),IFERROR(1*INDEX(BBG_Data!$L$2:$L$4000,MATCH($A562,BBG_Data!$K$2:$K$4000,0)),NA()))</f>
        <v/>
      </c>
      <c r="S562" s="20">
        <f>IF(AND(ISNUMBER(B562),ISNUMBER(Q562),ISNUMBER(R562)),(B562-Q562-R562)*100,NA())</f>
        <v/>
      </c>
      <c r="T562" s="20">
        <f>IF(AND(ISNUMBER(B562),Settings!$B$17&gt;0),IF(ISNUMBER(INDEX($B:$B,Settings!$B$17)),(B562-INDEX($B:$B,Settings!$B$17))*100,NA()),NA())</f>
        <v/>
      </c>
      <c r="U562" s="20">
        <f>IF(AND(ISNUMBER(Q562),Settings!$B$17&gt;0),IF(ISNUMBER(INDEX($Q:$Q,Settings!$B$17)),(Q562-INDEX($Q:$Q,Settings!$B$17))*100,NA()),NA())</f>
        <v/>
      </c>
      <c r="V562" s="20">
        <f>IF(AND(ISNUMBER(R562),Settings!$B$17&gt;0),IF(ISNUMBER(INDEX($R:$R,Settings!$B$17)),(R562-INDEX($R:$R,Settings!$B$17))*100,NA()),NA())</f>
        <v/>
      </c>
      <c r="W562" s="20">
        <f>IF(AND(ISNUMBER(P562),Settings!$B$17&gt;0),IF(ISNUMBER(INDEX($P:$P,Settings!$B$17)),P562-INDEX($P:$P,Settings!$B$17),NA()),NA())</f>
        <v/>
      </c>
      <c r="X562" s="19">
        <f>IF(NOT(ISNUMBER($A562)),NA(),IF(OR($A562&lt;MIN(DKW_10Y!$A$2:$A$2918),$A562&gt;MAX(DKW_10Y!$A$2:$A$2918),Settings!$B$16&lt;MIN(DKW_10Y!$A$2:$A$2918)),NA(),(INDEX(DKW_10Y!$B$2:$B$2918,MATCH($A562,DKW_10Y!$A$2:$A$2918,1))-INDEX(DKW_10Y!$B$2:$B$2918,MATCH(Settings!$B$16,DKW_10Y!$A$2:$A$2918,1)))*100))</f>
        <v/>
      </c>
      <c r="Y562" s="19">
        <f>IF(NOT(ISNUMBER($A562)),NA(),IF(OR($A562&lt;MIN(DKW_10Y!$A$2:$A$2918),$A562&gt;MAX(DKW_10Y!$A$2:$A$2918),Settings!$B$16&lt;MIN(DKW_10Y!$A$2:$A$2918)),NA(),(INDEX(DKW_10Y!$C$2:$C$2918,MATCH($A562,DKW_10Y!$A$2:$A$2918,1))-INDEX(DKW_10Y!$C$2:$C$2918,MATCH(Settings!$B$16,DKW_10Y!$A$2:$A$2918,1)))*100))</f>
        <v/>
      </c>
      <c r="Z562" s="19">
        <f>IF(NOT(ISNUMBER($A562)),NA(),IF(OR($A562&lt;MIN(DKW_10Y!$A$2:$A$2918),$A562&gt;MAX(DKW_10Y!$A$2:$A$2918),Settings!$B$16&lt;MIN(DKW_10Y!$A$2:$A$2918)),NA(),(INDEX(DKW_10Y!$D$2:$D$2918,MATCH($A562,DKW_10Y!$A$2:$A$2918,1))-INDEX(DKW_10Y!$D$2:$D$2918,MATCH(Settings!$B$16,DKW_10Y!$A$2:$A$2918,1)))*100))</f>
        <v/>
      </c>
      <c r="AA562" s="19">
        <f>IF(NOT(ISNUMBER($A562)),NA(),IF(OR($A562&lt;MIN(DKW_10Y!$A$2:$A$2918),$A562&gt;MAX(DKW_10Y!$A$2:$A$2918),Settings!$B$16&lt;MIN(DKW_10Y!$A$2:$A$2918)),NA(),(INDEX(DKW_10Y!$E$2:$E$2918,MATCH($A562,DKW_10Y!$A$2:$A$2918,1))-INDEX(DKW_10Y!$E$2:$E$2918,MATCH(Settings!$B$16,DKW_10Y!$A$2:$A$2918,1)))*100))</f>
        <v/>
      </c>
      <c r="AB562" s="19">
        <f>IF(NOT(ISNUMBER($A562)),NA(),IF(OR($A562&lt;MIN(DKW_10Y!$A$2:$A$2918),$A562&gt;MAX(DKW_10Y!$A$2:$A$2918),Settings!$B$16&lt;MIN(DKW_10Y!$A$2:$A$2918)),NA(),(INDEX(DKW_10Y!$H$2:$H$2918,MATCH($A562,DKW_10Y!$A$2:$A$2918,1))-INDEX(DKW_10Y!$H$2:$H$2918,MATCH(Settings!$B$16,DKW_10Y!$A$2:$A$2918,1)))*100))</f>
        <v/>
      </c>
      <c r="AC562" s="18">
        <f>IF(NOT(ISNUMBER($A562)),NA(),IFERROR(1*INDEX(BBG_Data!$N$2:$N$4000,MATCH($A562,BBG_Data!$M$2:$M$4000,0)),NA()))</f>
        <v/>
      </c>
      <c r="AD562" s="18">
        <f>IF(NOT(ISNUMBER($A562)),NA(),IFERROR(1*INDEX(BBG_Data!$P$2:$P$4000,MATCH($A562,BBG_Data!$O$2:$O$4000,0)),NA()))</f>
        <v/>
      </c>
      <c r="AE562" s="18">
        <f>IF(NOT(ISNUMBER($A562)),NA(),IFERROR(1*INDEX(BBG_Data!$R$2:$R$4000,MATCH($A562,BBG_Data!$Q$2:$Q$4000,0)),NA()))</f>
        <v/>
      </c>
      <c r="AF562" s="20">
        <f>IF(AND(ISNUMBER(B562),ISNUMBER(AC562)),(B562-AC562)*100,NA())</f>
        <v/>
      </c>
      <c r="AG562" s="20">
        <f>IF(AND(ISNUMBER(AE562),ISNUMBER(AD562)),(AE562-AD562)*100,NA())</f>
        <v/>
      </c>
      <c r="AH562" s="19">
        <f>IF(NOT(ISNUMBER($A562)),NA(),IFERROR(INDEX(BBG_Data!$T$2:$T$4000,MATCH($A562,BBG_Data!$S$2:$S$4000,0))*Settings!$B$25,NA()))</f>
        <v/>
      </c>
      <c r="AI562" s="19">
        <f>IF(NOT(ISNUMBER($A562)),NA(),IFERROR(INDEX(BBG_Data!$V$2:$V$4000,MATCH($A562,BBG_Data!$U$2:$U$4000,0))*Settings!$B$25,NA()))</f>
        <v/>
      </c>
      <c r="AJ562" s="19">
        <f>IF(NOT(ISNUMBER($A562)),NA(),IFERROR(1*INDEX(BBG_Data!$X$2:$X$4000,MATCH($A562,BBG_Data!$W$2:$W$4000,0)),NA()))</f>
        <v/>
      </c>
      <c r="AK562" s="19">
        <f>IF(NOT(ISNUMBER($A562)),NA(),IFERROR(1*INDEX(BBG_Data!$Z$2:$Z$4000,MATCH($A562,BBG_Data!$Y$2:$Y$4000,0)),NA()))</f>
        <v/>
      </c>
    </row>
    <row r="563">
      <c r="A563" s="17">
        <f>IF(ISNUMBER(BBG_Data!A563),BBG_Data!A563,"")</f>
        <v/>
      </c>
      <c r="B563" s="18">
        <f>IF(AND(ISNUMBER($A563),ISNUMBER(BBG_Data!B563)),BBG_Data!B563,NA())</f>
        <v/>
      </c>
      <c r="C563" s="18">
        <f>IF(NOT(ISNUMBER($A563)),NA(),IFERROR(1*INDEX(BBG_Data!$D$2:$D$4000,MATCH($A563,BBG_Data!$C$2:$C$4000,0)),NA()))</f>
        <v/>
      </c>
      <c r="D563" s="19">
        <f>IF(NOT(ISNUMBER($A563)),NA(),IFERROR(1*INDEX(BBG_Data!$F$2:$F$4000,MATCH($A563,BBG_Data!$E$2:$E$4000,0)),NA()))</f>
        <v/>
      </c>
      <c r="E563" s="19">
        <f>IF(NOT(ISNUMBER($A563)),NA(),IFERROR(1*INDEX(BBG_Data!$H$2:$H$4000,MATCH($A563,BBG_Data!$G$2:$G$4000,0)),NA()))</f>
        <v/>
      </c>
      <c r="F563" s="20">
        <f>IF(AND(ISNUMBER(B563),ISNUMBER(B562)),IF(B563=B562,"",(B563-B562)*100),"")</f>
        <v/>
      </c>
      <c r="G563" s="20">
        <f>IF(AND(ISNUMBER(C563),ISNUMBER(C562)),IF(C563=C562,"",(C563-C562)*100),"")</f>
        <v/>
      </c>
      <c r="H563" s="20">
        <f>IF(OR(NOT(ISNUMBER($A563)),ROW()-2&lt;Settings!$B$11),NA(),IF(COUNT(OFFSET(F563,1-Settings!$B$11,0,Settings!$B$11,1))&lt;ROUNDUP(Settings!$B$11*Settings!$B$26,0),NA(),STDEV(OFFSET(F563,1-Settings!$B$11,0,Settings!$B$11,1))*SQRT(Settings!$B$13)))</f>
        <v/>
      </c>
      <c r="I563" s="20">
        <f>IF(OR(NOT(ISNUMBER($A563)),ROW()-2&lt;Settings!$B$12),NA(),IF(COUNT(OFFSET(F563,1-Settings!$B$12,0,Settings!$B$12,1))&lt;ROUNDUP(Settings!$B$12*Settings!$B$26,0),NA(),STDEV(OFFSET(F563,1-Settings!$B$12,0,Settings!$B$12,1))*SQRT(Settings!$B$13)))</f>
        <v/>
      </c>
      <c r="J563" s="20">
        <f>IF(OR(NOT(ISNUMBER($A563)),ROW()-2&lt;Settings!$B$11),NA(),IF(COUNT(OFFSET(G563,1-Settings!$B$11,0,Settings!$B$11,1))&lt;ROUNDUP(Settings!$B$11*Settings!$B$26,0),NA(),STDEV(OFFSET(G563,1-Settings!$B$11,0,Settings!$B$11,1))*SQRT(Settings!$B$13)))</f>
        <v/>
      </c>
      <c r="K563" s="20">
        <f>IF(OR(NOT(ISNUMBER($A563)),ROW()-2&lt;Settings!$B$12),NA(),IF(COUNT(OFFSET(G563,1-Settings!$B$12,0,Settings!$B$12,1))&lt;ROUNDUP(Settings!$B$12*Settings!$B$26,0),NA(),STDEV(OFFSET(G563,1-Settings!$B$12,0,Settings!$B$12,1))*SQRT(Settings!$B$13)))</f>
        <v/>
      </c>
      <c r="L563" s="20">
        <f>IF(AND(ISNUMBER(D563),ISNUMBER(H563)),D563-H563,NA())</f>
        <v/>
      </c>
      <c r="M563" s="20">
        <f>IF(AND(ISNUMBER(E563),ISNUMBER(K563)),E563-K563,NA())</f>
        <v/>
      </c>
      <c r="N563" s="20">
        <f>IF(NOT(ISNUMBER($A563)),NA(),IF(COUNT(OFFSET(G563,1,0,Settings!$B$12,1))&lt;ROUNDUP(Settings!$B$12*Settings!$B$26,0),NA(),STDEV(OFFSET(G563,1,0,Settings!$B$12,1))*SQRT(Settings!$B$13)))</f>
        <v/>
      </c>
      <c r="O563" s="20">
        <f>IF(AND(ISNUMBER(E563),ISNUMBER(N563)),E563-N563,NA())</f>
        <v/>
      </c>
      <c r="P563" s="19">
        <f>IF(NOT(ISNUMBER($A563)),NA(),IF(OR($A563&lt;MIN(KW_TP!$A$2:$A$2501),$A563&gt;MAX(KW_TP!$A$2:$A$2501)),NA(),INDEX(KW_TP!$C$2:$C$2501,MATCH($A563,KW_TP!$A$2:$A$2501,1))))</f>
        <v/>
      </c>
      <c r="Q563" s="18">
        <f>IF(NOT(ISNUMBER($A563)),NA(),IFERROR(1*INDEX(BBG_Data!$J$2:$J$4000,MATCH($A563,BBG_Data!$I$2:$I$4000,0)),NA()))</f>
        <v/>
      </c>
      <c r="R563" s="18">
        <f>IF(NOT(ISNUMBER($A563)),NA(),IFERROR(1*INDEX(BBG_Data!$L$2:$L$4000,MATCH($A563,BBG_Data!$K$2:$K$4000,0)),NA()))</f>
        <v/>
      </c>
      <c r="S563" s="20">
        <f>IF(AND(ISNUMBER(B563),ISNUMBER(Q563),ISNUMBER(R563)),(B563-Q563-R563)*100,NA())</f>
        <v/>
      </c>
      <c r="T563" s="20">
        <f>IF(AND(ISNUMBER(B563),Settings!$B$17&gt;0),IF(ISNUMBER(INDEX($B:$B,Settings!$B$17)),(B563-INDEX($B:$B,Settings!$B$17))*100,NA()),NA())</f>
        <v/>
      </c>
      <c r="U563" s="20">
        <f>IF(AND(ISNUMBER(Q563),Settings!$B$17&gt;0),IF(ISNUMBER(INDEX($Q:$Q,Settings!$B$17)),(Q563-INDEX($Q:$Q,Settings!$B$17))*100,NA()),NA())</f>
        <v/>
      </c>
      <c r="V563" s="20">
        <f>IF(AND(ISNUMBER(R563),Settings!$B$17&gt;0),IF(ISNUMBER(INDEX($R:$R,Settings!$B$17)),(R563-INDEX($R:$R,Settings!$B$17))*100,NA()),NA())</f>
        <v/>
      </c>
      <c r="W563" s="20">
        <f>IF(AND(ISNUMBER(P563),Settings!$B$17&gt;0),IF(ISNUMBER(INDEX($P:$P,Settings!$B$17)),P563-INDEX($P:$P,Settings!$B$17),NA()),NA())</f>
        <v/>
      </c>
      <c r="X563" s="19">
        <f>IF(NOT(ISNUMBER($A563)),NA(),IF(OR($A563&lt;MIN(DKW_10Y!$A$2:$A$2918),$A563&gt;MAX(DKW_10Y!$A$2:$A$2918),Settings!$B$16&lt;MIN(DKW_10Y!$A$2:$A$2918)),NA(),(INDEX(DKW_10Y!$B$2:$B$2918,MATCH($A563,DKW_10Y!$A$2:$A$2918,1))-INDEX(DKW_10Y!$B$2:$B$2918,MATCH(Settings!$B$16,DKW_10Y!$A$2:$A$2918,1)))*100))</f>
        <v/>
      </c>
      <c r="Y563" s="19">
        <f>IF(NOT(ISNUMBER($A563)),NA(),IF(OR($A563&lt;MIN(DKW_10Y!$A$2:$A$2918),$A563&gt;MAX(DKW_10Y!$A$2:$A$2918),Settings!$B$16&lt;MIN(DKW_10Y!$A$2:$A$2918)),NA(),(INDEX(DKW_10Y!$C$2:$C$2918,MATCH($A563,DKW_10Y!$A$2:$A$2918,1))-INDEX(DKW_10Y!$C$2:$C$2918,MATCH(Settings!$B$16,DKW_10Y!$A$2:$A$2918,1)))*100))</f>
        <v/>
      </c>
      <c r="Z563" s="19">
        <f>IF(NOT(ISNUMBER($A563)),NA(),IF(OR($A563&lt;MIN(DKW_10Y!$A$2:$A$2918),$A563&gt;MAX(DKW_10Y!$A$2:$A$2918),Settings!$B$16&lt;MIN(DKW_10Y!$A$2:$A$2918)),NA(),(INDEX(DKW_10Y!$D$2:$D$2918,MATCH($A563,DKW_10Y!$A$2:$A$2918,1))-INDEX(DKW_10Y!$D$2:$D$2918,MATCH(Settings!$B$16,DKW_10Y!$A$2:$A$2918,1)))*100))</f>
        <v/>
      </c>
      <c r="AA563" s="19">
        <f>IF(NOT(ISNUMBER($A563)),NA(),IF(OR($A563&lt;MIN(DKW_10Y!$A$2:$A$2918),$A563&gt;MAX(DKW_10Y!$A$2:$A$2918),Settings!$B$16&lt;MIN(DKW_10Y!$A$2:$A$2918)),NA(),(INDEX(DKW_10Y!$E$2:$E$2918,MATCH($A563,DKW_10Y!$A$2:$A$2918,1))-INDEX(DKW_10Y!$E$2:$E$2918,MATCH(Settings!$B$16,DKW_10Y!$A$2:$A$2918,1)))*100))</f>
        <v/>
      </c>
      <c r="AB563" s="19">
        <f>IF(NOT(ISNUMBER($A563)),NA(),IF(OR($A563&lt;MIN(DKW_10Y!$A$2:$A$2918),$A563&gt;MAX(DKW_10Y!$A$2:$A$2918),Settings!$B$16&lt;MIN(DKW_10Y!$A$2:$A$2918)),NA(),(INDEX(DKW_10Y!$H$2:$H$2918,MATCH($A563,DKW_10Y!$A$2:$A$2918,1))-INDEX(DKW_10Y!$H$2:$H$2918,MATCH(Settings!$B$16,DKW_10Y!$A$2:$A$2918,1)))*100))</f>
        <v/>
      </c>
      <c r="AC563" s="18">
        <f>IF(NOT(ISNUMBER($A563)),NA(),IFERROR(1*INDEX(BBG_Data!$N$2:$N$4000,MATCH($A563,BBG_Data!$M$2:$M$4000,0)),NA()))</f>
        <v/>
      </c>
      <c r="AD563" s="18">
        <f>IF(NOT(ISNUMBER($A563)),NA(),IFERROR(1*INDEX(BBG_Data!$P$2:$P$4000,MATCH($A563,BBG_Data!$O$2:$O$4000,0)),NA()))</f>
        <v/>
      </c>
      <c r="AE563" s="18">
        <f>IF(NOT(ISNUMBER($A563)),NA(),IFERROR(1*INDEX(BBG_Data!$R$2:$R$4000,MATCH($A563,BBG_Data!$Q$2:$Q$4000,0)),NA()))</f>
        <v/>
      </c>
      <c r="AF563" s="20">
        <f>IF(AND(ISNUMBER(B563),ISNUMBER(AC563)),(B563-AC563)*100,NA())</f>
        <v/>
      </c>
      <c r="AG563" s="20">
        <f>IF(AND(ISNUMBER(AE563),ISNUMBER(AD563)),(AE563-AD563)*100,NA())</f>
        <v/>
      </c>
      <c r="AH563" s="19">
        <f>IF(NOT(ISNUMBER($A563)),NA(),IFERROR(INDEX(BBG_Data!$T$2:$T$4000,MATCH($A563,BBG_Data!$S$2:$S$4000,0))*Settings!$B$25,NA()))</f>
        <v/>
      </c>
      <c r="AI563" s="19">
        <f>IF(NOT(ISNUMBER($A563)),NA(),IFERROR(INDEX(BBG_Data!$V$2:$V$4000,MATCH($A563,BBG_Data!$U$2:$U$4000,0))*Settings!$B$25,NA()))</f>
        <v/>
      </c>
      <c r="AJ563" s="19">
        <f>IF(NOT(ISNUMBER($A563)),NA(),IFERROR(1*INDEX(BBG_Data!$X$2:$X$4000,MATCH($A563,BBG_Data!$W$2:$W$4000,0)),NA()))</f>
        <v/>
      </c>
      <c r="AK563" s="19">
        <f>IF(NOT(ISNUMBER($A563)),NA(),IFERROR(1*INDEX(BBG_Data!$Z$2:$Z$4000,MATCH($A563,BBG_Data!$Y$2:$Y$4000,0)),NA()))</f>
        <v/>
      </c>
    </row>
    <row r="564">
      <c r="A564" s="17">
        <f>IF(ISNUMBER(BBG_Data!A564),BBG_Data!A564,"")</f>
        <v/>
      </c>
      <c r="B564" s="18">
        <f>IF(AND(ISNUMBER($A564),ISNUMBER(BBG_Data!B564)),BBG_Data!B564,NA())</f>
        <v/>
      </c>
      <c r="C564" s="18">
        <f>IF(NOT(ISNUMBER($A564)),NA(),IFERROR(1*INDEX(BBG_Data!$D$2:$D$4000,MATCH($A564,BBG_Data!$C$2:$C$4000,0)),NA()))</f>
        <v/>
      </c>
      <c r="D564" s="19">
        <f>IF(NOT(ISNUMBER($A564)),NA(),IFERROR(1*INDEX(BBG_Data!$F$2:$F$4000,MATCH($A564,BBG_Data!$E$2:$E$4000,0)),NA()))</f>
        <v/>
      </c>
      <c r="E564" s="19">
        <f>IF(NOT(ISNUMBER($A564)),NA(),IFERROR(1*INDEX(BBG_Data!$H$2:$H$4000,MATCH($A564,BBG_Data!$G$2:$G$4000,0)),NA()))</f>
        <v/>
      </c>
      <c r="F564" s="20">
        <f>IF(AND(ISNUMBER(B564),ISNUMBER(B563)),IF(B564=B563,"",(B564-B563)*100),"")</f>
        <v/>
      </c>
      <c r="G564" s="20">
        <f>IF(AND(ISNUMBER(C564),ISNUMBER(C563)),IF(C564=C563,"",(C564-C563)*100),"")</f>
        <v/>
      </c>
      <c r="H564" s="20">
        <f>IF(OR(NOT(ISNUMBER($A564)),ROW()-2&lt;Settings!$B$11),NA(),IF(COUNT(OFFSET(F564,1-Settings!$B$11,0,Settings!$B$11,1))&lt;ROUNDUP(Settings!$B$11*Settings!$B$26,0),NA(),STDEV(OFFSET(F564,1-Settings!$B$11,0,Settings!$B$11,1))*SQRT(Settings!$B$13)))</f>
        <v/>
      </c>
      <c r="I564" s="20">
        <f>IF(OR(NOT(ISNUMBER($A564)),ROW()-2&lt;Settings!$B$12),NA(),IF(COUNT(OFFSET(F564,1-Settings!$B$12,0,Settings!$B$12,1))&lt;ROUNDUP(Settings!$B$12*Settings!$B$26,0),NA(),STDEV(OFFSET(F564,1-Settings!$B$12,0,Settings!$B$12,1))*SQRT(Settings!$B$13)))</f>
        <v/>
      </c>
      <c r="J564" s="20">
        <f>IF(OR(NOT(ISNUMBER($A564)),ROW()-2&lt;Settings!$B$11),NA(),IF(COUNT(OFFSET(G564,1-Settings!$B$11,0,Settings!$B$11,1))&lt;ROUNDUP(Settings!$B$11*Settings!$B$26,0),NA(),STDEV(OFFSET(G564,1-Settings!$B$11,0,Settings!$B$11,1))*SQRT(Settings!$B$13)))</f>
        <v/>
      </c>
      <c r="K564" s="20">
        <f>IF(OR(NOT(ISNUMBER($A564)),ROW()-2&lt;Settings!$B$12),NA(),IF(COUNT(OFFSET(G564,1-Settings!$B$12,0,Settings!$B$12,1))&lt;ROUNDUP(Settings!$B$12*Settings!$B$26,0),NA(),STDEV(OFFSET(G564,1-Settings!$B$12,0,Settings!$B$12,1))*SQRT(Settings!$B$13)))</f>
        <v/>
      </c>
      <c r="L564" s="20">
        <f>IF(AND(ISNUMBER(D564),ISNUMBER(H564)),D564-H564,NA())</f>
        <v/>
      </c>
      <c r="M564" s="20">
        <f>IF(AND(ISNUMBER(E564),ISNUMBER(K564)),E564-K564,NA())</f>
        <v/>
      </c>
      <c r="N564" s="20">
        <f>IF(NOT(ISNUMBER($A564)),NA(),IF(COUNT(OFFSET(G564,1,0,Settings!$B$12,1))&lt;ROUNDUP(Settings!$B$12*Settings!$B$26,0),NA(),STDEV(OFFSET(G564,1,0,Settings!$B$12,1))*SQRT(Settings!$B$13)))</f>
        <v/>
      </c>
      <c r="O564" s="20">
        <f>IF(AND(ISNUMBER(E564),ISNUMBER(N564)),E564-N564,NA())</f>
        <v/>
      </c>
      <c r="P564" s="19">
        <f>IF(NOT(ISNUMBER($A564)),NA(),IF(OR($A564&lt;MIN(KW_TP!$A$2:$A$2501),$A564&gt;MAX(KW_TP!$A$2:$A$2501)),NA(),INDEX(KW_TP!$C$2:$C$2501,MATCH($A564,KW_TP!$A$2:$A$2501,1))))</f>
        <v/>
      </c>
      <c r="Q564" s="18">
        <f>IF(NOT(ISNUMBER($A564)),NA(),IFERROR(1*INDEX(BBG_Data!$J$2:$J$4000,MATCH($A564,BBG_Data!$I$2:$I$4000,0)),NA()))</f>
        <v/>
      </c>
      <c r="R564" s="18">
        <f>IF(NOT(ISNUMBER($A564)),NA(),IFERROR(1*INDEX(BBG_Data!$L$2:$L$4000,MATCH($A564,BBG_Data!$K$2:$K$4000,0)),NA()))</f>
        <v/>
      </c>
      <c r="S564" s="20">
        <f>IF(AND(ISNUMBER(B564),ISNUMBER(Q564),ISNUMBER(R564)),(B564-Q564-R564)*100,NA())</f>
        <v/>
      </c>
      <c r="T564" s="20">
        <f>IF(AND(ISNUMBER(B564),Settings!$B$17&gt;0),IF(ISNUMBER(INDEX($B:$B,Settings!$B$17)),(B564-INDEX($B:$B,Settings!$B$17))*100,NA()),NA())</f>
        <v/>
      </c>
      <c r="U564" s="20">
        <f>IF(AND(ISNUMBER(Q564),Settings!$B$17&gt;0),IF(ISNUMBER(INDEX($Q:$Q,Settings!$B$17)),(Q564-INDEX($Q:$Q,Settings!$B$17))*100,NA()),NA())</f>
        <v/>
      </c>
      <c r="V564" s="20">
        <f>IF(AND(ISNUMBER(R564),Settings!$B$17&gt;0),IF(ISNUMBER(INDEX($R:$R,Settings!$B$17)),(R564-INDEX($R:$R,Settings!$B$17))*100,NA()),NA())</f>
        <v/>
      </c>
      <c r="W564" s="20">
        <f>IF(AND(ISNUMBER(P564),Settings!$B$17&gt;0),IF(ISNUMBER(INDEX($P:$P,Settings!$B$17)),P564-INDEX($P:$P,Settings!$B$17),NA()),NA())</f>
        <v/>
      </c>
      <c r="X564" s="19">
        <f>IF(NOT(ISNUMBER($A564)),NA(),IF(OR($A564&lt;MIN(DKW_10Y!$A$2:$A$2918),$A564&gt;MAX(DKW_10Y!$A$2:$A$2918),Settings!$B$16&lt;MIN(DKW_10Y!$A$2:$A$2918)),NA(),(INDEX(DKW_10Y!$B$2:$B$2918,MATCH($A564,DKW_10Y!$A$2:$A$2918,1))-INDEX(DKW_10Y!$B$2:$B$2918,MATCH(Settings!$B$16,DKW_10Y!$A$2:$A$2918,1)))*100))</f>
        <v/>
      </c>
      <c r="Y564" s="19">
        <f>IF(NOT(ISNUMBER($A564)),NA(),IF(OR($A564&lt;MIN(DKW_10Y!$A$2:$A$2918),$A564&gt;MAX(DKW_10Y!$A$2:$A$2918),Settings!$B$16&lt;MIN(DKW_10Y!$A$2:$A$2918)),NA(),(INDEX(DKW_10Y!$C$2:$C$2918,MATCH($A564,DKW_10Y!$A$2:$A$2918,1))-INDEX(DKW_10Y!$C$2:$C$2918,MATCH(Settings!$B$16,DKW_10Y!$A$2:$A$2918,1)))*100))</f>
        <v/>
      </c>
      <c r="Z564" s="19">
        <f>IF(NOT(ISNUMBER($A564)),NA(),IF(OR($A564&lt;MIN(DKW_10Y!$A$2:$A$2918),$A564&gt;MAX(DKW_10Y!$A$2:$A$2918),Settings!$B$16&lt;MIN(DKW_10Y!$A$2:$A$2918)),NA(),(INDEX(DKW_10Y!$D$2:$D$2918,MATCH($A564,DKW_10Y!$A$2:$A$2918,1))-INDEX(DKW_10Y!$D$2:$D$2918,MATCH(Settings!$B$16,DKW_10Y!$A$2:$A$2918,1)))*100))</f>
        <v/>
      </c>
      <c r="AA564" s="19">
        <f>IF(NOT(ISNUMBER($A564)),NA(),IF(OR($A564&lt;MIN(DKW_10Y!$A$2:$A$2918),$A564&gt;MAX(DKW_10Y!$A$2:$A$2918),Settings!$B$16&lt;MIN(DKW_10Y!$A$2:$A$2918)),NA(),(INDEX(DKW_10Y!$E$2:$E$2918,MATCH($A564,DKW_10Y!$A$2:$A$2918,1))-INDEX(DKW_10Y!$E$2:$E$2918,MATCH(Settings!$B$16,DKW_10Y!$A$2:$A$2918,1)))*100))</f>
        <v/>
      </c>
      <c r="AB564" s="19">
        <f>IF(NOT(ISNUMBER($A564)),NA(),IF(OR($A564&lt;MIN(DKW_10Y!$A$2:$A$2918),$A564&gt;MAX(DKW_10Y!$A$2:$A$2918),Settings!$B$16&lt;MIN(DKW_10Y!$A$2:$A$2918)),NA(),(INDEX(DKW_10Y!$H$2:$H$2918,MATCH($A564,DKW_10Y!$A$2:$A$2918,1))-INDEX(DKW_10Y!$H$2:$H$2918,MATCH(Settings!$B$16,DKW_10Y!$A$2:$A$2918,1)))*100))</f>
        <v/>
      </c>
      <c r="AC564" s="18">
        <f>IF(NOT(ISNUMBER($A564)),NA(),IFERROR(1*INDEX(BBG_Data!$N$2:$N$4000,MATCH($A564,BBG_Data!$M$2:$M$4000,0)),NA()))</f>
        <v/>
      </c>
      <c r="AD564" s="18">
        <f>IF(NOT(ISNUMBER($A564)),NA(),IFERROR(1*INDEX(BBG_Data!$P$2:$P$4000,MATCH($A564,BBG_Data!$O$2:$O$4000,0)),NA()))</f>
        <v/>
      </c>
      <c r="AE564" s="18">
        <f>IF(NOT(ISNUMBER($A564)),NA(),IFERROR(1*INDEX(BBG_Data!$R$2:$R$4000,MATCH($A564,BBG_Data!$Q$2:$Q$4000,0)),NA()))</f>
        <v/>
      </c>
      <c r="AF564" s="20">
        <f>IF(AND(ISNUMBER(B564),ISNUMBER(AC564)),(B564-AC564)*100,NA())</f>
        <v/>
      </c>
      <c r="AG564" s="20">
        <f>IF(AND(ISNUMBER(AE564),ISNUMBER(AD564)),(AE564-AD564)*100,NA())</f>
        <v/>
      </c>
      <c r="AH564" s="19">
        <f>IF(NOT(ISNUMBER($A564)),NA(),IFERROR(INDEX(BBG_Data!$T$2:$T$4000,MATCH($A564,BBG_Data!$S$2:$S$4000,0))*Settings!$B$25,NA()))</f>
        <v/>
      </c>
      <c r="AI564" s="19">
        <f>IF(NOT(ISNUMBER($A564)),NA(),IFERROR(INDEX(BBG_Data!$V$2:$V$4000,MATCH($A564,BBG_Data!$U$2:$U$4000,0))*Settings!$B$25,NA()))</f>
        <v/>
      </c>
      <c r="AJ564" s="19">
        <f>IF(NOT(ISNUMBER($A564)),NA(),IFERROR(1*INDEX(BBG_Data!$X$2:$X$4000,MATCH($A564,BBG_Data!$W$2:$W$4000,0)),NA()))</f>
        <v/>
      </c>
      <c r="AK564" s="19">
        <f>IF(NOT(ISNUMBER($A564)),NA(),IFERROR(1*INDEX(BBG_Data!$Z$2:$Z$4000,MATCH($A564,BBG_Data!$Y$2:$Y$4000,0)),NA()))</f>
        <v/>
      </c>
    </row>
    <row r="565">
      <c r="A565" s="17">
        <f>IF(ISNUMBER(BBG_Data!A565),BBG_Data!A565,"")</f>
        <v/>
      </c>
      <c r="B565" s="18">
        <f>IF(AND(ISNUMBER($A565),ISNUMBER(BBG_Data!B565)),BBG_Data!B565,NA())</f>
        <v/>
      </c>
      <c r="C565" s="18">
        <f>IF(NOT(ISNUMBER($A565)),NA(),IFERROR(1*INDEX(BBG_Data!$D$2:$D$4000,MATCH($A565,BBG_Data!$C$2:$C$4000,0)),NA()))</f>
        <v/>
      </c>
      <c r="D565" s="19">
        <f>IF(NOT(ISNUMBER($A565)),NA(),IFERROR(1*INDEX(BBG_Data!$F$2:$F$4000,MATCH($A565,BBG_Data!$E$2:$E$4000,0)),NA()))</f>
        <v/>
      </c>
      <c r="E565" s="19">
        <f>IF(NOT(ISNUMBER($A565)),NA(),IFERROR(1*INDEX(BBG_Data!$H$2:$H$4000,MATCH($A565,BBG_Data!$G$2:$G$4000,0)),NA()))</f>
        <v/>
      </c>
      <c r="F565" s="20">
        <f>IF(AND(ISNUMBER(B565),ISNUMBER(B564)),IF(B565=B564,"",(B565-B564)*100),"")</f>
        <v/>
      </c>
      <c r="G565" s="20">
        <f>IF(AND(ISNUMBER(C565),ISNUMBER(C564)),IF(C565=C564,"",(C565-C564)*100),"")</f>
        <v/>
      </c>
      <c r="H565" s="20">
        <f>IF(OR(NOT(ISNUMBER($A565)),ROW()-2&lt;Settings!$B$11),NA(),IF(COUNT(OFFSET(F565,1-Settings!$B$11,0,Settings!$B$11,1))&lt;ROUNDUP(Settings!$B$11*Settings!$B$26,0),NA(),STDEV(OFFSET(F565,1-Settings!$B$11,0,Settings!$B$11,1))*SQRT(Settings!$B$13)))</f>
        <v/>
      </c>
      <c r="I565" s="20">
        <f>IF(OR(NOT(ISNUMBER($A565)),ROW()-2&lt;Settings!$B$12),NA(),IF(COUNT(OFFSET(F565,1-Settings!$B$12,0,Settings!$B$12,1))&lt;ROUNDUP(Settings!$B$12*Settings!$B$26,0),NA(),STDEV(OFFSET(F565,1-Settings!$B$12,0,Settings!$B$12,1))*SQRT(Settings!$B$13)))</f>
        <v/>
      </c>
      <c r="J565" s="20">
        <f>IF(OR(NOT(ISNUMBER($A565)),ROW()-2&lt;Settings!$B$11),NA(),IF(COUNT(OFFSET(G565,1-Settings!$B$11,0,Settings!$B$11,1))&lt;ROUNDUP(Settings!$B$11*Settings!$B$26,0),NA(),STDEV(OFFSET(G565,1-Settings!$B$11,0,Settings!$B$11,1))*SQRT(Settings!$B$13)))</f>
        <v/>
      </c>
      <c r="K565" s="20">
        <f>IF(OR(NOT(ISNUMBER($A565)),ROW()-2&lt;Settings!$B$12),NA(),IF(COUNT(OFFSET(G565,1-Settings!$B$12,0,Settings!$B$12,1))&lt;ROUNDUP(Settings!$B$12*Settings!$B$26,0),NA(),STDEV(OFFSET(G565,1-Settings!$B$12,0,Settings!$B$12,1))*SQRT(Settings!$B$13)))</f>
        <v/>
      </c>
      <c r="L565" s="20">
        <f>IF(AND(ISNUMBER(D565),ISNUMBER(H565)),D565-H565,NA())</f>
        <v/>
      </c>
      <c r="M565" s="20">
        <f>IF(AND(ISNUMBER(E565),ISNUMBER(K565)),E565-K565,NA())</f>
        <v/>
      </c>
      <c r="N565" s="20">
        <f>IF(NOT(ISNUMBER($A565)),NA(),IF(COUNT(OFFSET(G565,1,0,Settings!$B$12,1))&lt;ROUNDUP(Settings!$B$12*Settings!$B$26,0),NA(),STDEV(OFFSET(G565,1,0,Settings!$B$12,1))*SQRT(Settings!$B$13)))</f>
        <v/>
      </c>
      <c r="O565" s="20">
        <f>IF(AND(ISNUMBER(E565),ISNUMBER(N565)),E565-N565,NA())</f>
        <v/>
      </c>
      <c r="P565" s="19">
        <f>IF(NOT(ISNUMBER($A565)),NA(),IF(OR($A565&lt;MIN(KW_TP!$A$2:$A$2501),$A565&gt;MAX(KW_TP!$A$2:$A$2501)),NA(),INDEX(KW_TP!$C$2:$C$2501,MATCH($A565,KW_TP!$A$2:$A$2501,1))))</f>
        <v/>
      </c>
      <c r="Q565" s="18">
        <f>IF(NOT(ISNUMBER($A565)),NA(),IFERROR(1*INDEX(BBG_Data!$J$2:$J$4000,MATCH($A565,BBG_Data!$I$2:$I$4000,0)),NA()))</f>
        <v/>
      </c>
      <c r="R565" s="18">
        <f>IF(NOT(ISNUMBER($A565)),NA(),IFERROR(1*INDEX(BBG_Data!$L$2:$L$4000,MATCH($A565,BBG_Data!$K$2:$K$4000,0)),NA()))</f>
        <v/>
      </c>
      <c r="S565" s="20">
        <f>IF(AND(ISNUMBER(B565),ISNUMBER(Q565),ISNUMBER(R565)),(B565-Q565-R565)*100,NA())</f>
        <v/>
      </c>
      <c r="T565" s="20">
        <f>IF(AND(ISNUMBER(B565),Settings!$B$17&gt;0),IF(ISNUMBER(INDEX($B:$B,Settings!$B$17)),(B565-INDEX($B:$B,Settings!$B$17))*100,NA()),NA())</f>
        <v/>
      </c>
      <c r="U565" s="20">
        <f>IF(AND(ISNUMBER(Q565),Settings!$B$17&gt;0),IF(ISNUMBER(INDEX($Q:$Q,Settings!$B$17)),(Q565-INDEX($Q:$Q,Settings!$B$17))*100,NA()),NA())</f>
        <v/>
      </c>
      <c r="V565" s="20">
        <f>IF(AND(ISNUMBER(R565),Settings!$B$17&gt;0),IF(ISNUMBER(INDEX($R:$R,Settings!$B$17)),(R565-INDEX($R:$R,Settings!$B$17))*100,NA()),NA())</f>
        <v/>
      </c>
      <c r="W565" s="20">
        <f>IF(AND(ISNUMBER(P565),Settings!$B$17&gt;0),IF(ISNUMBER(INDEX($P:$P,Settings!$B$17)),P565-INDEX($P:$P,Settings!$B$17),NA()),NA())</f>
        <v/>
      </c>
      <c r="X565" s="19">
        <f>IF(NOT(ISNUMBER($A565)),NA(),IF(OR($A565&lt;MIN(DKW_10Y!$A$2:$A$2918),$A565&gt;MAX(DKW_10Y!$A$2:$A$2918),Settings!$B$16&lt;MIN(DKW_10Y!$A$2:$A$2918)),NA(),(INDEX(DKW_10Y!$B$2:$B$2918,MATCH($A565,DKW_10Y!$A$2:$A$2918,1))-INDEX(DKW_10Y!$B$2:$B$2918,MATCH(Settings!$B$16,DKW_10Y!$A$2:$A$2918,1)))*100))</f>
        <v/>
      </c>
      <c r="Y565" s="19">
        <f>IF(NOT(ISNUMBER($A565)),NA(),IF(OR($A565&lt;MIN(DKW_10Y!$A$2:$A$2918),$A565&gt;MAX(DKW_10Y!$A$2:$A$2918),Settings!$B$16&lt;MIN(DKW_10Y!$A$2:$A$2918)),NA(),(INDEX(DKW_10Y!$C$2:$C$2918,MATCH($A565,DKW_10Y!$A$2:$A$2918,1))-INDEX(DKW_10Y!$C$2:$C$2918,MATCH(Settings!$B$16,DKW_10Y!$A$2:$A$2918,1)))*100))</f>
        <v/>
      </c>
      <c r="Z565" s="19">
        <f>IF(NOT(ISNUMBER($A565)),NA(),IF(OR($A565&lt;MIN(DKW_10Y!$A$2:$A$2918),$A565&gt;MAX(DKW_10Y!$A$2:$A$2918),Settings!$B$16&lt;MIN(DKW_10Y!$A$2:$A$2918)),NA(),(INDEX(DKW_10Y!$D$2:$D$2918,MATCH($A565,DKW_10Y!$A$2:$A$2918,1))-INDEX(DKW_10Y!$D$2:$D$2918,MATCH(Settings!$B$16,DKW_10Y!$A$2:$A$2918,1)))*100))</f>
        <v/>
      </c>
      <c r="AA565" s="19">
        <f>IF(NOT(ISNUMBER($A565)),NA(),IF(OR($A565&lt;MIN(DKW_10Y!$A$2:$A$2918),$A565&gt;MAX(DKW_10Y!$A$2:$A$2918),Settings!$B$16&lt;MIN(DKW_10Y!$A$2:$A$2918)),NA(),(INDEX(DKW_10Y!$E$2:$E$2918,MATCH($A565,DKW_10Y!$A$2:$A$2918,1))-INDEX(DKW_10Y!$E$2:$E$2918,MATCH(Settings!$B$16,DKW_10Y!$A$2:$A$2918,1)))*100))</f>
        <v/>
      </c>
      <c r="AB565" s="19">
        <f>IF(NOT(ISNUMBER($A565)),NA(),IF(OR($A565&lt;MIN(DKW_10Y!$A$2:$A$2918),$A565&gt;MAX(DKW_10Y!$A$2:$A$2918),Settings!$B$16&lt;MIN(DKW_10Y!$A$2:$A$2918)),NA(),(INDEX(DKW_10Y!$H$2:$H$2918,MATCH($A565,DKW_10Y!$A$2:$A$2918,1))-INDEX(DKW_10Y!$H$2:$H$2918,MATCH(Settings!$B$16,DKW_10Y!$A$2:$A$2918,1)))*100))</f>
        <v/>
      </c>
      <c r="AC565" s="18">
        <f>IF(NOT(ISNUMBER($A565)),NA(),IFERROR(1*INDEX(BBG_Data!$N$2:$N$4000,MATCH($A565,BBG_Data!$M$2:$M$4000,0)),NA()))</f>
        <v/>
      </c>
      <c r="AD565" s="18">
        <f>IF(NOT(ISNUMBER($A565)),NA(),IFERROR(1*INDEX(BBG_Data!$P$2:$P$4000,MATCH($A565,BBG_Data!$O$2:$O$4000,0)),NA()))</f>
        <v/>
      </c>
      <c r="AE565" s="18">
        <f>IF(NOT(ISNUMBER($A565)),NA(),IFERROR(1*INDEX(BBG_Data!$R$2:$R$4000,MATCH($A565,BBG_Data!$Q$2:$Q$4000,0)),NA()))</f>
        <v/>
      </c>
      <c r="AF565" s="20">
        <f>IF(AND(ISNUMBER(B565),ISNUMBER(AC565)),(B565-AC565)*100,NA())</f>
        <v/>
      </c>
      <c r="AG565" s="20">
        <f>IF(AND(ISNUMBER(AE565),ISNUMBER(AD565)),(AE565-AD565)*100,NA())</f>
        <v/>
      </c>
      <c r="AH565" s="19">
        <f>IF(NOT(ISNUMBER($A565)),NA(),IFERROR(INDEX(BBG_Data!$T$2:$T$4000,MATCH($A565,BBG_Data!$S$2:$S$4000,0))*Settings!$B$25,NA()))</f>
        <v/>
      </c>
      <c r="AI565" s="19">
        <f>IF(NOT(ISNUMBER($A565)),NA(),IFERROR(INDEX(BBG_Data!$V$2:$V$4000,MATCH($A565,BBG_Data!$U$2:$U$4000,0))*Settings!$B$25,NA()))</f>
        <v/>
      </c>
      <c r="AJ565" s="19">
        <f>IF(NOT(ISNUMBER($A565)),NA(),IFERROR(1*INDEX(BBG_Data!$X$2:$X$4000,MATCH($A565,BBG_Data!$W$2:$W$4000,0)),NA()))</f>
        <v/>
      </c>
      <c r="AK565" s="19">
        <f>IF(NOT(ISNUMBER($A565)),NA(),IFERROR(1*INDEX(BBG_Data!$Z$2:$Z$4000,MATCH($A565,BBG_Data!$Y$2:$Y$4000,0)),NA()))</f>
        <v/>
      </c>
    </row>
    <row r="566">
      <c r="A566" s="17">
        <f>IF(ISNUMBER(BBG_Data!A566),BBG_Data!A566,"")</f>
        <v/>
      </c>
      <c r="B566" s="18">
        <f>IF(AND(ISNUMBER($A566),ISNUMBER(BBG_Data!B566)),BBG_Data!B566,NA())</f>
        <v/>
      </c>
      <c r="C566" s="18">
        <f>IF(NOT(ISNUMBER($A566)),NA(),IFERROR(1*INDEX(BBG_Data!$D$2:$D$4000,MATCH($A566,BBG_Data!$C$2:$C$4000,0)),NA()))</f>
        <v/>
      </c>
      <c r="D566" s="19">
        <f>IF(NOT(ISNUMBER($A566)),NA(),IFERROR(1*INDEX(BBG_Data!$F$2:$F$4000,MATCH($A566,BBG_Data!$E$2:$E$4000,0)),NA()))</f>
        <v/>
      </c>
      <c r="E566" s="19">
        <f>IF(NOT(ISNUMBER($A566)),NA(),IFERROR(1*INDEX(BBG_Data!$H$2:$H$4000,MATCH($A566,BBG_Data!$G$2:$G$4000,0)),NA()))</f>
        <v/>
      </c>
      <c r="F566" s="20">
        <f>IF(AND(ISNUMBER(B566),ISNUMBER(B565)),IF(B566=B565,"",(B566-B565)*100),"")</f>
        <v/>
      </c>
      <c r="G566" s="20">
        <f>IF(AND(ISNUMBER(C566),ISNUMBER(C565)),IF(C566=C565,"",(C566-C565)*100),"")</f>
        <v/>
      </c>
      <c r="H566" s="20">
        <f>IF(OR(NOT(ISNUMBER($A566)),ROW()-2&lt;Settings!$B$11),NA(),IF(COUNT(OFFSET(F566,1-Settings!$B$11,0,Settings!$B$11,1))&lt;ROUNDUP(Settings!$B$11*Settings!$B$26,0),NA(),STDEV(OFFSET(F566,1-Settings!$B$11,0,Settings!$B$11,1))*SQRT(Settings!$B$13)))</f>
        <v/>
      </c>
      <c r="I566" s="20">
        <f>IF(OR(NOT(ISNUMBER($A566)),ROW()-2&lt;Settings!$B$12),NA(),IF(COUNT(OFFSET(F566,1-Settings!$B$12,0,Settings!$B$12,1))&lt;ROUNDUP(Settings!$B$12*Settings!$B$26,0),NA(),STDEV(OFFSET(F566,1-Settings!$B$12,0,Settings!$B$12,1))*SQRT(Settings!$B$13)))</f>
        <v/>
      </c>
      <c r="J566" s="20">
        <f>IF(OR(NOT(ISNUMBER($A566)),ROW()-2&lt;Settings!$B$11),NA(),IF(COUNT(OFFSET(G566,1-Settings!$B$11,0,Settings!$B$11,1))&lt;ROUNDUP(Settings!$B$11*Settings!$B$26,0),NA(),STDEV(OFFSET(G566,1-Settings!$B$11,0,Settings!$B$11,1))*SQRT(Settings!$B$13)))</f>
        <v/>
      </c>
      <c r="K566" s="20">
        <f>IF(OR(NOT(ISNUMBER($A566)),ROW()-2&lt;Settings!$B$12),NA(),IF(COUNT(OFFSET(G566,1-Settings!$B$12,0,Settings!$B$12,1))&lt;ROUNDUP(Settings!$B$12*Settings!$B$26,0),NA(),STDEV(OFFSET(G566,1-Settings!$B$12,0,Settings!$B$12,1))*SQRT(Settings!$B$13)))</f>
        <v/>
      </c>
      <c r="L566" s="20">
        <f>IF(AND(ISNUMBER(D566),ISNUMBER(H566)),D566-H566,NA())</f>
        <v/>
      </c>
      <c r="M566" s="20">
        <f>IF(AND(ISNUMBER(E566),ISNUMBER(K566)),E566-K566,NA())</f>
        <v/>
      </c>
      <c r="N566" s="20">
        <f>IF(NOT(ISNUMBER($A566)),NA(),IF(COUNT(OFFSET(G566,1,0,Settings!$B$12,1))&lt;ROUNDUP(Settings!$B$12*Settings!$B$26,0),NA(),STDEV(OFFSET(G566,1,0,Settings!$B$12,1))*SQRT(Settings!$B$13)))</f>
        <v/>
      </c>
      <c r="O566" s="20">
        <f>IF(AND(ISNUMBER(E566),ISNUMBER(N566)),E566-N566,NA())</f>
        <v/>
      </c>
      <c r="P566" s="19">
        <f>IF(NOT(ISNUMBER($A566)),NA(),IF(OR($A566&lt;MIN(KW_TP!$A$2:$A$2501),$A566&gt;MAX(KW_TP!$A$2:$A$2501)),NA(),INDEX(KW_TP!$C$2:$C$2501,MATCH($A566,KW_TP!$A$2:$A$2501,1))))</f>
        <v/>
      </c>
      <c r="Q566" s="18">
        <f>IF(NOT(ISNUMBER($A566)),NA(),IFERROR(1*INDEX(BBG_Data!$J$2:$J$4000,MATCH($A566,BBG_Data!$I$2:$I$4000,0)),NA()))</f>
        <v/>
      </c>
      <c r="R566" s="18">
        <f>IF(NOT(ISNUMBER($A566)),NA(),IFERROR(1*INDEX(BBG_Data!$L$2:$L$4000,MATCH($A566,BBG_Data!$K$2:$K$4000,0)),NA()))</f>
        <v/>
      </c>
      <c r="S566" s="20">
        <f>IF(AND(ISNUMBER(B566),ISNUMBER(Q566),ISNUMBER(R566)),(B566-Q566-R566)*100,NA())</f>
        <v/>
      </c>
      <c r="T566" s="20">
        <f>IF(AND(ISNUMBER(B566),Settings!$B$17&gt;0),IF(ISNUMBER(INDEX($B:$B,Settings!$B$17)),(B566-INDEX($B:$B,Settings!$B$17))*100,NA()),NA())</f>
        <v/>
      </c>
      <c r="U566" s="20">
        <f>IF(AND(ISNUMBER(Q566),Settings!$B$17&gt;0),IF(ISNUMBER(INDEX($Q:$Q,Settings!$B$17)),(Q566-INDEX($Q:$Q,Settings!$B$17))*100,NA()),NA())</f>
        <v/>
      </c>
      <c r="V566" s="20">
        <f>IF(AND(ISNUMBER(R566),Settings!$B$17&gt;0),IF(ISNUMBER(INDEX($R:$R,Settings!$B$17)),(R566-INDEX($R:$R,Settings!$B$17))*100,NA()),NA())</f>
        <v/>
      </c>
      <c r="W566" s="20">
        <f>IF(AND(ISNUMBER(P566),Settings!$B$17&gt;0),IF(ISNUMBER(INDEX($P:$P,Settings!$B$17)),P566-INDEX($P:$P,Settings!$B$17),NA()),NA())</f>
        <v/>
      </c>
      <c r="X566" s="19">
        <f>IF(NOT(ISNUMBER($A566)),NA(),IF(OR($A566&lt;MIN(DKW_10Y!$A$2:$A$2918),$A566&gt;MAX(DKW_10Y!$A$2:$A$2918),Settings!$B$16&lt;MIN(DKW_10Y!$A$2:$A$2918)),NA(),(INDEX(DKW_10Y!$B$2:$B$2918,MATCH($A566,DKW_10Y!$A$2:$A$2918,1))-INDEX(DKW_10Y!$B$2:$B$2918,MATCH(Settings!$B$16,DKW_10Y!$A$2:$A$2918,1)))*100))</f>
        <v/>
      </c>
      <c r="Y566" s="19">
        <f>IF(NOT(ISNUMBER($A566)),NA(),IF(OR($A566&lt;MIN(DKW_10Y!$A$2:$A$2918),$A566&gt;MAX(DKW_10Y!$A$2:$A$2918),Settings!$B$16&lt;MIN(DKW_10Y!$A$2:$A$2918)),NA(),(INDEX(DKW_10Y!$C$2:$C$2918,MATCH($A566,DKW_10Y!$A$2:$A$2918,1))-INDEX(DKW_10Y!$C$2:$C$2918,MATCH(Settings!$B$16,DKW_10Y!$A$2:$A$2918,1)))*100))</f>
        <v/>
      </c>
      <c r="Z566" s="19">
        <f>IF(NOT(ISNUMBER($A566)),NA(),IF(OR($A566&lt;MIN(DKW_10Y!$A$2:$A$2918),$A566&gt;MAX(DKW_10Y!$A$2:$A$2918),Settings!$B$16&lt;MIN(DKW_10Y!$A$2:$A$2918)),NA(),(INDEX(DKW_10Y!$D$2:$D$2918,MATCH($A566,DKW_10Y!$A$2:$A$2918,1))-INDEX(DKW_10Y!$D$2:$D$2918,MATCH(Settings!$B$16,DKW_10Y!$A$2:$A$2918,1)))*100))</f>
        <v/>
      </c>
      <c r="AA566" s="19">
        <f>IF(NOT(ISNUMBER($A566)),NA(),IF(OR($A566&lt;MIN(DKW_10Y!$A$2:$A$2918),$A566&gt;MAX(DKW_10Y!$A$2:$A$2918),Settings!$B$16&lt;MIN(DKW_10Y!$A$2:$A$2918)),NA(),(INDEX(DKW_10Y!$E$2:$E$2918,MATCH($A566,DKW_10Y!$A$2:$A$2918,1))-INDEX(DKW_10Y!$E$2:$E$2918,MATCH(Settings!$B$16,DKW_10Y!$A$2:$A$2918,1)))*100))</f>
        <v/>
      </c>
      <c r="AB566" s="19">
        <f>IF(NOT(ISNUMBER($A566)),NA(),IF(OR($A566&lt;MIN(DKW_10Y!$A$2:$A$2918),$A566&gt;MAX(DKW_10Y!$A$2:$A$2918),Settings!$B$16&lt;MIN(DKW_10Y!$A$2:$A$2918)),NA(),(INDEX(DKW_10Y!$H$2:$H$2918,MATCH($A566,DKW_10Y!$A$2:$A$2918,1))-INDEX(DKW_10Y!$H$2:$H$2918,MATCH(Settings!$B$16,DKW_10Y!$A$2:$A$2918,1)))*100))</f>
        <v/>
      </c>
      <c r="AC566" s="18">
        <f>IF(NOT(ISNUMBER($A566)),NA(),IFERROR(1*INDEX(BBG_Data!$N$2:$N$4000,MATCH($A566,BBG_Data!$M$2:$M$4000,0)),NA()))</f>
        <v/>
      </c>
      <c r="AD566" s="18">
        <f>IF(NOT(ISNUMBER($A566)),NA(),IFERROR(1*INDEX(BBG_Data!$P$2:$P$4000,MATCH($A566,BBG_Data!$O$2:$O$4000,0)),NA()))</f>
        <v/>
      </c>
      <c r="AE566" s="18">
        <f>IF(NOT(ISNUMBER($A566)),NA(),IFERROR(1*INDEX(BBG_Data!$R$2:$R$4000,MATCH($A566,BBG_Data!$Q$2:$Q$4000,0)),NA()))</f>
        <v/>
      </c>
      <c r="AF566" s="20">
        <f>IF(AND(ISNUMBER(B566),ISNUMBER(AC566)),(B566-AC566)*100,NA())</f>
        <v/>
      </c>
      <c r="AG566" s="20">
        <f>IF(AND(ISNUMBER(AE566),ISNUMBER(AD566)),(AE566-AD566)*100,NA())</f>
        <v/>
      </c>
      <c r="AH566" s="19">
        <f>IF(NOT(ISNUMBER($A566)),NA(),IFERROR(INDEX(BBG_Data!$T$2:$T$4000,MATCH($A566,BBG_Data!$S$2:$S$4000,0))*Settings!$B$25,NA()))</f>
        <v/>
      </c>
      <c r="AI566" s="19">
        <f>IF(NOT(ISNUMBER($A566)),NA(),IFERROR(INDEX(BBG_Data!$V$2:$V$4000,MATCH($A566,BBG_Data!$U$2:$U$4000,0))*Settings!$B$25,NA()))</f>
        <v/>
      </c>
      <c r="AJ566" s="19">
        <f>IF(NOT(ISNUMBER($A566)),NA(),IFERROR(1*INDEX(BBG_Data!$X$2:$X$4000,MATCH($A566,BBG_Data!$W$2:$W$4000,0)),NA()))</f>
        <v/>
      </c>
      <c r="AK566" s="19">
        <f>IF(NOT(ISNUMBER($A566)),NA(),IFERROR(1*INDEX(BBG_Data!$Z$2:$Z$4000,MATCH($A566,BBG_Data!$Y$2:$Y$4000,0)),NA()))</f>
        <v/>
      </c>
    </row>
    <row r="567">
      <c r="A567" s="17">
        <f>IF(ISNUMBER(BBG_Data!A567),BBG_Data!A567,"")</f>
        <v/>
      </c>
      <c r="B567" s="18">
        <f>IF(AND(ISNUMBER($A567),ISNUMBER(BBG_Data!B567)),BBG_Data!B567,NA())</f>
        <v/>
      </c>
      <c r="C567" s="18">
        <f>IF(NOT(ISNUMBER($A567)),NA(),IFERROR(1*INDEX(BBG_Data!$D$2:$D$4000,MATCH($A567,BBG_Data!$C$2:$C$4000,0)),NA()))</f>
        <v/>
      </c>
      <c r="D567" s="19">
        <f>IF(NOT(ISNUMBER($A567)),NA(),IFERROR(1*INDEX(BBG_Data!$F$2:$F$4000,MATCH($A567,BBG_Data!$E$2:$E$4000,0)),NA()))</f>
        <v/>
      </c>
      <c r="E567" s="19">
        <f>IF(NOT(ISNUMBER($A567)),NA(),IFERROR(1*INDEX(BBG_Data!$H$2:$H$4000,MATCH($A567,BBG_Data!$G$2:$G$4000,0)),NA()))</f>
        <v/>
      </c>
      <c r="F567" s="20">
        <f>IF(AND(ISNUMBER(B567),ISNUMBER(B566)),IF(B567=B566,"",(B567-B566)*100),"")</f>
        <v/>
      </c>
      <c r="G567" s="20">
        <f>IF(AND(ISNUMBER(C567),ISNUMBER(C566)),IF(C567=C566,"",(C567-C566)*100),"")</f>
        <v/>
      </c>
      <c r="H567" s="20">
        <f>IF(OR(NOT(ISNUMBER($A567)),ROW()-2&lt;Settings!$B$11),NA(),IF(COUNT(OFFSET(F567,1-Settings!$B$11,0,Settings!$B$11,1))&lt;ROUNDUP(Settings!$B$11*Settings!$B$26,0),NA(),STDEV(OFFSET(F567,1-Settings!$B$11,0,Settings!$B$11,1))*SQRT(Settings!$B$13)))</f>
        <v/>
      </c>
      <c r="I567" s="20">
        <f>IF(OR(NOT(ISNUMBER($A567)),ROW()-2&lt;Settings!$B$12),NA(),IF(COUNT(OFFSET(F567,1-Settings!$B$12,0,Settings!$B$12,1))&lt;ROUNDUP(Settings!$B$12*Settings!$B$26,0),NA(),STDEV(OFFSET(F567,1-Settings!$B$12,0,Settings!$B$12,1))*SQRT(Settings!$B$13)))</f>
        <v/>
      </c>
      <c r="J567" s="20">
        <f>IF(OR(NOT(ISNUMBER($A567)),ROW()-2&lt;Settings!$B$11),NA(),IF(COUNT(OFFSET(G567,1-Settings!$B$11,0,Settings!$B$11,1))&lt;ROUNDUP(Settings!$B$11*Settings!$B$26,0),NA(),STDEV(OFFSET(G567,1-Settings!$B$11,0,Settings!$B$11,1))*SQRT(Settings!$B$13)))</f>
        <v/>
      </c>
      <c r="K567" s="20">
        <f>IF(OR(NOT(ISNUMBER($A567)),ROW()-2&lt;Settings!$B$12),NA(),IF(COUNT(OFFSET(G567,1-Settings!$B$12,0,Settings!$B$12,1))&lt;ROUNDUP(Settings!$B$12*Settings!$B$26,0),NA(),STDEV(OFFSET(G567,1-Settings!$B$12,0,Settings!$B$12,1))*SQRT(Settings!$B$13)))</f>
        <v/>
      </c>
      <c r="L567" s="20">
        <f>IF(AND(ISNUMBER(D567),ISNUMBER(H567)),D567-H567,NA())</f>
        <v/>
      </c>
      <c r="M567" s="20">
        <f>IF(AND(ISNUMBER(E567),ISNUMBER(K567)),E567-K567,NA())</f>
        <v/>
      </c>
      <c r="N567" s="20">
        <f>IF(NOT(ISNUMBER($A567)),NA(),IF(COUNT(OFFSET(G567,1,0,Settings!$B$12,1))&lt;ROUNDUP(Settings!$B$12*Settings!$B$26,0),NA(),STDEV(OFFSET(G567,1,0,Settings!$B$12,1))*SQRT(Settings!$B$13)))</f>
        <v/>
      </c>
      <c r="O567" s="20">
        <f>IF(AND(ISNUMBER(E567),ISNUMBER(N567)),E567-N567,NA())</f>
        <v/>
      </c>
      <c r="P567" s="19">
        <f>IF(NOT(ISNUMBER($A567)),NA(),IF(OR($A567&lt;MIN(KW_TP!$A$2:$A$2501),$A567&gt;MAX(KW_TP!$A$2:$A$2501)),NA(),INDEX(KW_TP!$C$2:$C$2501,MATCH($A567,KW_TP!$A$2:$A$2501,1))))</f>
        <v/>
      </c>
      <c r="Q567" s="18">
        <f>IF(NOT(ISNUMBER($A567)),NA(),IFERROR(1*INDEX(BBG_Data!$J$2:$J$4000,MATCH($A567,BBG_Data!$I$2:$I$4000,0)),NA()))</f>
        <v/>
      </c>
      <c r="R567" s="18">
        <f>IF(NOT(ISNUMBER($A567)),NA(),IFERROR(1*INDEX(BBG_Data!$L$2:$L$4000,MATCH($A567,BBG_Data!$K$2:$K$4000,0)),NA()))</f>
        <v/>
      </c>
      <c r="S567" s="20">
        <f>IF(AND(ISNUMBER(B567),ISNUMBER(Q567),ISNUMBER(R567)),(B567-Q567-R567)*100,NA())</f>
        <v/>
      </c>
      <c r="T567" s="20">
        <f>IF(AND(ISNUMBER(B567),Settings!$B$17&gt;0),IF(ISNUMBER(INDEX($B:$B,Settings!$B$17)),(B567-INDEX($B:$B,Settings!$B$17))*100,NA()),NA())</f>
        <v/>
      </c>
      <c r="U567" s="20">
        <f>IF(AND(ISNUMBER(Q567),Settings!$B$17&gt;0),IF(ISNUMBER(INDEX($Q:$Q,Settings!$B$17)),(Q567-INDEX($Q:$Q,Settings!$B$17))*100,NA()),NA())</f>
        <v/>
      </c>
      <c r="V567" s="20">
        <f>IF(AND(ISNUMBER(R567),Settings!$B$17&gt;0),IF(ISNUMBER(INDEX($R:$R,Settings!$B$17)),(R567-INDEX($R:$R,Settings!$B$17))*100,NA()),NA())</f>
        <v/>
      </c>
      <c r="W567" s="20">
        <f>IF(AND(ISNUMBER(P567),Settings!$B$17&gt;0),IF(ISNUMBER(INDEX($P:$P,Settings!$B$17)),P567-INDEX($P:$P,Settings!$B$17),NA()),NA())</f>
        <v/>
      </c>
      <c r="X567" s="19">
        <f>IF(NOT(ISNUMBER($A567)),NA(),IF(OR($A567&lt;MIN(DKW_10Y!$A$2:$A$2918),$A567&gt;MAX(DKW_10Y!$A$2:$A$2918),Settings!$B$16&lt;MIN(DKW_10Y!$A$2:$A$2918)),NA(),(INDEX(DKW_10Y!$B$2:$B$2918,MATCH($A567,DKW_10Y!$A$2:$A$2918,1))-INDEX(DKW_10Y!$B$2:$B$2918,MATCH(Settings!$B$16,DKW_10Y!$A$2:$A$2918,1)))*100))</f>
        <v/>
      </c>
      <c r="Y567" s="19">
        <f>IF(NOT(ISNUMBER($A567)),NA(),IF(OR($A567&lt;MIN(DKW_10Y!$A$2:$A$2918),$A567&gt;MAX(DKW_10Y!$A$2:$A$2918),Settings!$B$16&lt;MIN(DKW_10Y!$A$2:$A$2918)),NA(),(INDEX(DKW_10Y!$C$2:$C$2918,MATCH($A567,DKW_10Y!$A$2:$A$2918,1))-INDEX(DKW_10Y!$C$2:$C$2918,MATCH(Settings!$B$16,DKW_10Y!$A$2:$A$2918,1)))*100))</f>
        <v/>
      </c>
      <c r="Z567" s="19">
        <f>IF(NOT(ISNUMBER($A567)),NA(),IF(OR($A567&lt;MIN(DKW_10Y!$A$2:$A$2918),$A567&gt;MAX(DKW_10Y!$A$2:$A$2918),Settings!$B$16&lt;MIN(DKW_10Y!$A$2:$A$2918)),NA(),(INDEX(DKW_10Y!$D$2:$D$2918,MATCH($A567,DKW_10Y!$A$2:$A$2918,1))-INDEX(DKW_10Y!$D$2:$D$2918,MATCH(Settings!$B$16,DKW_10Y!$A$2:$A$2918,1)))*100))</f>
        <v/>
      </c>
      <c r="AA567" s="19">
        <f>IF(NOT(ISNUMBER($A567)),NA(),IF(OR($A567&lt;MIN(DKW_10Y!$A$2:$A$2918),$A567&gt;MAX(DKW_10Y!$A$2:$A$2918),Settings!$B$16&lt;MIN(DKW_10Y!$A$2:$A$2918)),NA(),(INDEX(DKW_10Y!$E$2:$E$2918,MATCH($A567,DKW_10Y!$A$2:$A$2918,1))-INDEX(DKW_10Y!$E$2:$E$2918,MATCH(Settings!$B$16,DKW_10Y!$A$2:$A$2918,1)))*100))</f>
        <v/>
      </c>
      <c r="AB567" s="19">
        <f>IF(NOT(ISNUMBER($A567)),NA(),IF(OR($A567&lt;MIN(DKW_10Y!$A$2:$A$2918),$A567&gt;MAX(DKW_10Y!$A$2:$A$2918),Settings!$B$16&lt;MIN(DKW_10Y!$A$2:$A$2918)),NA(),(INDEX(DKW_10Y!$H$2:$H$2918,MATCH($A567,DKW_10Y!$A$2:$A$2918,1))-INDEX(DKW_10Y!$H$2:$H$2918,MATCH(Settings!$B$16,DKW_10Y!$A$2:$A$2918,1)))*100))</f>
        <v/>
      </c>
      <c r="AC567" s="18">
        <f>IF(NOT(ISNUMBER($A567)),NA(),IFERROR(1*INDEX(BBG_Data!$N$2:$N$4000,MATCH($A567,BBG_Data!$M$2:$M$4000,0)),NA()))</f>
        <v/>
      </c>
      <c r="AD567" s="18">
        <f>IF(NOT(ISNUMBER($A567)),NA(),IFERROR(1*INDEX(BBG_Data!$P$2:$P$4000,MATCH($A567,BBG_Data!$O$2:$O$4000,0)),NA()))</f>
        <v/>
      </c>
      <c r="AE567" s="18">
        <f>IF(NOT(ISNUMBER($A567)),NA(),IFERROR(1*INDEX(BBG_Data!$R$2:$R$4000,MATCH($A567,BBG_Data!$Q$2:$Q$4000,0)),NA()))</f>
        <v/>
      </c>
      <c r="AF567" s="20">
        <f>IF(AND(ISNUMBER(B567),ISNUMBER(AC567)),(B567-AC567)*100,NA())</f>
        <v/>
      </c>
      <c r="AG567" s="20">
        <f>IF(AND(ISNUMBER(AE567),ISNUMBER(AD567)),(AE567-AD567)*100,NA())</f>
        <v/>
      </c>
      <c r="AH567" s="19">
        <f>IF(NOT(ISNUMBER($A567)),NA(),IFERROR(INDEX(BBG_Data!$T$2:$T$4000,MATCH($A567,BBG_Data!$S$2:$S$4000,0))*Settings!$B$25,NA()))</f>
        <v/>
      </c>
      <c r="AI567" s="19">
        <f>IF(NOT(ISNUMBER($A567)),NA(),IFERROR(INDEX(BBG_Data!$V$2:$V$4000,MATCH($A567,BBG_Data!$U$2:$U$4000,0))*Settings!$B$25,NA()))</f>
        <v/>
      </c>
      <c r="AJ567" s="19">
        <f>IF(NOT(ISNUMBER($A567)),NA(),IFERROR(1*INDEX(BBG_Data!$X$2:$X$4000,MATCH($A567,BBG_Data!$W$2:$W$4000,0)),NA()))</f>
        <v/>
      </c>
      <c r="AK567" s="19">
        <f>IF(NOT(ISNUMBER($A567)),NA(),IFERROR(1*INDEX(BBG_Data!$Z$2:$Z$4000,MATCH($A567,BBG_Data!$Y$2:$Y$4000,0)),NA()))</f>
        <v/>
      </c>
    </row>
    <row r="568">
      <c r="A568" s="17">
        <f>IF(ISNUMBER(BBG_Data!A568),BBG_Data!A568,"")</f>
        <v/>
      </c>
      <c r="B568" s="18">
        <f>IF(AND(ISNUMBER($A568),ISNUMBER(BBG_Data!B568)),BBG_Data!B568,NA())</f>
        <v/>
      </c>
      <c r="C568" s="18">
        <f>IF(NOT(ISNUMBER($A568)),NA(),IFERROR(1*INDEX(BBG_Data!$D$2:$D$4000,MATCH($A568,BBG_Data!$C$2:$C$4000,0)),NA()))</f>
        <v/>
      </c>
      <c r="D568" s="19">
        <f>IF(NOT(ISNUMBER($A568)),NA(),IFERROR(1*INDEX(BBG_Data!$F$2:$F$4000,MATCH($A568,BBG_Data!$E$2:$E$4000,0)),NA()))</f>
        <v/>
      </c>
      <c r="E568" s="19">
        <f>IF(NOT(ISNUMBER($A568)),NA(),IFERROR(1*INDEX(BBG_Data!$H$2:$H$4000,MATCH($A568,BBG_Data!$G$2:$G$4000,0)),NA()))</f>
        <v/>
      </c>
      <c r="F568" s="20">
        <f>IF(AND(ISNUMBER(B568),ISNUMBER(B567)),IF(B568=B567,"",(B568-B567)*100),"")</f>
        <v/>
      </c>
      <c r="G568" s="20">
        <f>IF(AND(ISNUMBER(C568),ISNUMBER(C567)),IF(C568=C567,"",(C568-C567)*100),"")</f>
        <v/>
      </c>
      <c r="H568" s="20">
        <f>IF(OR(NOT(ISNUMBER($A568)),ROW()-2&lt;Settings!$B$11),NA(),IF(COUNT(OFFSET(F568,1-Settings!$B$11,0,Settings!$B$11,1))&lt;ROUNDUP(Settings!$B$11*Settings!$B$26,0),NA(),STDEV(OFFSET(F568,1-Settings!$B$11,0,Settings!$B$11,1))*SQRT(Settings!$B$13)))</f>
        <v/>
      </c>
      <c r="I568" s="20">
        <f>IF(OR(NOT(ISNUMBER($A568)),ROW()-2&lt;Settings!$B$12),NA(),IF(COUNT(OFFSET(F568,1-Settings!$B$12,0,Settings!$B$12,1))&lt;ROUNDUP(Settings!$B$12*Settings!$B$26,0),NA(),STDEV(OFFSET(F568,1-Settings!$B$12,0,Settings!$B$12,1))*SQRT(Settings!$B$13)))</f>
        <v/>
      </c>
      <c r="J568" s="20">
        <f>IF(OR(NOT(ISNUMBER($A568)),ROW()-2&lt;Settings!$B$11),NA(),IF(COUNT(OFFSET(G568,1-Settings!$B$11,0,Settings!$B$11,1))&lt;ROUNDUP(Settings!$B$11*Settings!$B$26,0),NA(),STDEV(OFFSET(G568,1-Settings!$B$11,0,Settings!$B$11,1))*SQRT(Settings!$B$13)))</f>
        <v/>
      </c>
      <c r="K568" s="20">
        <f>IF(OR(NOT(ISNUMBER($A568)),ROW()-2&lt;Settings!$B$12),NA(),IF(COUNT(OFFSET(G568,1-Settings!$B$12,0,Settings!$B$12,1))&lt;ROUNDUP(Settings!$B$12*Settings!$B$26,0),NA(),STDEV(OFFSET(G568,1-Settings!$B$12,0,Settings!$B$12,1))*SQRT(Settings!$B$13)))</f>
        <v/>
      </c>
      <c r="L568" s="20">
        <f>IF(AND(ISNUMBER(D568),ISNUMBER(H568)),D568-H568,NA())</f>
        <v/>
      </c>
      <c r="M568" s="20">
        <f>IF(AND(ISNUMBER(E568),ISNUMBER(K568)),E568-K568,NA())</f>
        <v/>
      </c>
      <c r="N568" s="20">
        <f>IF(NOT(ISNUMBER($A568)),NA(),IF(COUNT(OFFSET(G568,1,0,Settings!$B$12,1))&lt;ROUNDUP(Settings!$B$12*Settings!$B$26,0),NA(),STDEV(OFFSET(G568,1,0,Settings!$B$12,1))*SQRT(Settings!$B$13)))</f>
        <v/>
      </c>
      <c r="O568" s="20">
        <f>IF(AND(ISNUMBER(E568),ISNUMBER(N568)),E568-N568,NA())</f>
        <v/>
      </c>
      <c r="P568" s="19">
        <f>IF(NOT(ISNUMBER($A568)),NA(),IF(OR($A568&lt;MIN(KW_TP!$A$2:$A$2501),$A568&gt;MAX(KW_TP!$A$2:$A$2501)),NA(),INDEX(KW_TP!$C$2:$C$2501,MATCH($A568,KW_TP!$A$2:$A$2501,1))))</f>
        <v/>
      </c>
      <c r="Q568" s="18">
        <f>IF(NOT(ISNUMBER($A568)),NA(),IFERROR(1*INDEX(BBG_Data!$J$2:$J$4000,MATCH($A568,BBG_Data!$I$2:$I$4000,0)),NA()))</f>
        <v/>
      </c>
      <c r="R568" s="18">
        <f>IF(NOT(ISNUMBER($A568)),NA(),IFERROR(1*INDEX(BBG_Data!$L$2:$L$4000,MATCH($A568,BBG_Data!$K$2:$K$4000,0)),NA()))</f>
        <v/>
      </c>
      <c r="S568" s="20">
        <f>IF(AND(ISNUMBER(B568),ISNUMBER(Q568),ISNUMBER(R568)),(B568-Q568-R568)*100,NA())</f>
        <v/>
      </c>
      <c r="T568" s="20">
        <f>IF(AND(ISNUMBER(B568),Settings!$B$17&gt;0),IF(ISNUMBER(INDEX($B:$B,Settings!$B$17)),(B568-INDEX($B:$B,Settings!$B$17))*100,NA()),NA())</f>
        <v/>
      </c>
      <c r="U568" s="20">
        <f>IF(AND(ISNUMBER(Q568),Settings!$B$17&gt;0),IF(ISNUMBER(INDEX($Q:$Q,Settings!$B$17)),(Q568-INDEX($Q:$Q,Settings!$B$17))*100,NA()),NA())</f>
        <v/>
      </c>
      <c r="V568" s="20">
        <f>IF(AND(ISNUMBER(R568),Settings!$B$17&gt;0),IF(ISNUMBER(INDEX($R:$R,Settings!$B$17)),(R568-INDEX($R:$R,Settings!$B$17))*100,NA()),NA())</f>
        <v/>
      </c>
      <c r="W568" s="20">
        <f>IF(AND(ISNUMBER(P568),Settings!$B$17&gt;0),IF(ISNUMBER(INDEX($P:$P,Settings!$B$17)),P568-INDEX($P:$P,Settings!$B$17),NA()),NA())</f>
        <v/>
      </c>
      <c r="X568" s="19">
        <f>IF(NOT(ISNUMBER($A568)),NA(),IF(OR($A568&lt;MIN(DKW_10Y!$A$2:$A$2918),$A568&gt;MAX(DKW_10Y!$A$2:$A$2918),Settings!$B$16&lt;MIN(DKW_10Y!$A$2:$A$2918)),NA(),(INDEX(DKW_10Y!$B$2:$B$2918,MATCH($A568,DKW_10Y!$A$2:$A$2918,1))-INDEX(DKW_10Y!$B$2:$B$2918,MATCH(Settings!$B$16,DKW_10Y!$A$2:$A$2918,1)))*100))</f>
        <v/>
      </c>
      <c r="Y568" s="19">
        <f>IF(NOT(ISNUMBER($A568)),NA(),IF(OR($A568&lt;MIN(DKW_10Y!$A$2:$A$2918),$A568&gt;MAX(DKW_10Y!$A$2:$A$2918),Settings!$B$16&lt;MIN(DKW_10Y!$A$2:$A$2918)),NA(),(INDEX(DKW_10Y!$C$2:$C$2918,MATCH($A568,DKW_10Y!$A$2:$A$2918,1))-INDEX(DKW_10Y!$C$2:$C$2918,MATCH(Settings!$B$16,DKW_10Y!$A$2:$A$2918,1)))*100))</f>
        <v/>
      </c>
      <c r="Z568" s="19">
        <f>IF(NOT(ISNUMBER($A568)),NA(),IF(OR($A568&lt;MIN(DKW_10Y!$A$2:$A$2918),$A568&gt;MAX(DKW_10Y!$A$2:$A$2918),Settings!$B$16&lt;MIN(DKW_10Y!$A$2:$A$2918)),NA(),(INDEX(DKW_10Y!$D$2:$D$2918,MATCH($A568,DKW_10Y!$A$2:$A$2918,1))-INDEX(DKW_10Y!$D$2:$D$2918,MATCH(Settings!$B$16,DKW_10Y!$A$2:$A$2918,1)))*100))</f>
        <v/>
      </c>
      <c r="AA568" s="19">
        <f>IF(NOT(ISNUMBER($A568)),NA(),IF(OR($A568&lt;MIN(DKW_10Y!$A$2:$A$2918),$A568&gt;MAX(DKW_10Y!$A$2:$A$2918),Settings!$B$16&lt;MIN(DKW_10Y!$A$2:$A$2918)),NA(),(INDEX(DKW_10Y!$E$2:$E$2918,MATCH($A568,DKW_10Y!$A$2:$A$2918,1))-INDEX(DKW_10Y!$E$2:$E$2918,MATCH(Settings!$B$16,DKW_10Y!$A$2:$A$2918,1)))*100))</f>
        <v/>
      </c>
      <c r="AB568" s="19">
        <f>IF(NOT(ISNUMBER($A568)),NA(),IF(OR($A568&lt;MIN(DKW_10Y!$A$2:$A$2918),$A568&gt;MAX(DKW_10Y!$A$2:$A$2918),Settings!$B$16&lt;MIN(DKW_10Y!$A$2:$A$2918)),NA(),(INDEX(DKW_10Y!$H$2:$H$2918,MATCH($A568,DKW_10Y!$A$2:$A$2918,1))-INDEX(DKW_10Y!$H$2:$H$2918,MATCH(Settings!$B$16,DKW_10Y!$A$2:$A$2918,1)))*100))</f>
        <v/>
      </c>
      <c r="AC568" s="18">
        <f>IF(NOT(ISNUMBER($A568)),NA(),IFERROR(1*INDEX(BBG_Data!$N$2:$N$4000,MATCH($A568,BBG_Data!$M$2:$M$4000,0)),NA()))</f>
        <v/>
      </c>
      <c r="AD568" s="18">
        <f>IF(NOT(ISNUMBER($A568)),NA(),IFERROR(1*INDEX(BBG_Data!$P$2:$P$4000,MATCH($A568,BBG_Data!$O$2:$O$4000,0)),NA()))</f>
        <v/>
      </c>
      <c r="AE568" s="18">
        <f>IF(NOT(ISNUMBER($A568)),NA(),IFERROR(1*INDEX(BBG_Data!$R$2:$R$4000,MATCH($A568,BBG_Data!$Q$2:$Q$4000,0)),NA()))</f>
        <v/>
      </c>
      <c r="AF568" s="20">
        <f>IF(AND(ISNUMBER(B568),ISNUMBER(AC568)),(B568-AC568)*100,NA())</f>
        <v/>
      </c>
      <c r="AG568" s="20">
        <f>IF(AND(ISNUMBER(AE568),ISNUMBER(AD568)),(AE568-AD568)*100,NA())</f>
        <v/>
      </c>
      <c r="AH568" s="19">
        <f>IF(NOT(ISNUMBER($A568)),NA(),IFERROR(INDEX(BBG_Data!$T$2:$T$4000,MATCH($A568,BBG_Data!$S$2:$S$4000,0))*Settings!$B$25,NA()))</f>
        <v/>
      </c>
      <c r="AI568" s="19">
        <f>IF(NOT(ISNUMBER($A568)),NA(),IFERROR(INDEX(BBG_Data!$V$2:$V$4000,MATCH($A568,BBG_Data!$U$2:$U$4000,0))*Settings!$B$25,NA()))</f>
        <v/>
      </c>
      <c r="AJ568" s="19">
        <f>IF(NOT(ISNUMBER($A568)),NA(),IFERROR(1*INDEX(BBG_Data!$X$2:$X$4000,MATCH($A568,BBG_Data!$W$2:$W$4000,0)),NA()))</f>
        <v/>
      </c>
      <c r="AK568" s="19">
        <f>IF(NOT(ISNUMBER($A568)),NA(),IFERROR(1*INDEX(BBG_Data!$Z$2:$Z$4000,MATCH($A568,BBG_Data!$Y$2:$Y$4000,0)),NA()))</f>
        <v/>
      </c>
    </row>
    <row r="569">
      <c r="A569" s="17">
        <f>IF(ISNUMBER(BBG_Data!A569),BBG_Data!A569,"")</f>
        <v/>
      </c>
      <c r="B569" s="18">
        <f>IF(AND(ISNUMBER($A569),ISNUMBER(BBG_Data!B569)),BBG_Data!B569,NA())</f>
        <v/>
      </c>
      <c r="C569" s="18">
        <f>IF(NOT(ISNUMBER($A569)),NA(),IFERROR(1*INDEX(BBG_Data!$D$2:$D$4000,MATCH($A569,BBG_Data!$C$2:$C$4000,0)),NA()))</f>
        <v/>
      </c>
      <c r="D569" s="19">
        <f>IF(NOT(ISNUMBER($A569)),NA(),IFERROR(1*INDEX(BBG_Data!$F$2:$F$4000,MATCH($A569,BBG_Data!$E$2:$E$4000,0)),NA()))</f>
        <v/>
      </c>
      <c r="E569" s="19">
        <f>IF(NOT(ISNUMBER($A569)),NA(),IFERROR(1*INDEX(BBG_Data!$H$2:$H$4000,MATCH($A569,BBG_Data!$G$2:$G$4000,0)),NA()))</f>
        <v/>
      </c>
      <c r="F569" s="20">
        <f>IF(AND(ISNUMBER(B569),ISNUMBER(B568)),IF(B569=B568,"",(B569-B568)*100),"")</f>
        <v/>
      </c>
      <c r="G569" s="20">
        <f>IF(AND(ISNUMBER(C569),ISNUMBER(C568)),IF(C569=C568,"",(C569-C568)*100),"")</f>
        <v/>
      </c>
      <c r="H569" s="20">
        <f>IF(OR(NOT(ISNUMBER($A569)),ROW()-2&lt;Settings!$B$11),NA(),IF(COUNT(OFFSET(F569,1-Settings!$B$11,0,Settings!$B$11,1))&lt;ROUNDUP(Settings!$B$11*Settings!$B$26,0),NA(),STDEV(OFFSET(F569,1-Settings!$B$11,0,Settings!$B$11,1))*SQRT(Settings!$B$13)))</f>
        <v/>
      </c>
      <c r="I569" s="20">
        <f>IF(OR(NOT(ISNUMBER($A569)),ROW()-2&lt;Settings!$B$12),NA(),IF(COUNT(OFFSET(F569,1-Settings!$B$12,0,Settings!$B$12,1))&lt;ROUNDUP(Settings!$B$12*Settings!$B$26,0),NA(),STDEV(OFFSET(F569,1-Settings!$B$12,0,Settings!$B$12,1))*SQRT(Settings!$B$13)))</f>
        <v/>
      </c>
      <c r="J569" s="20">
        <f>IF(OR(NOT(ISNUMBER($A569)),ROW()-2&lt;Settings!$B$11),NA(),IF(COUNT(OFFSET(G569,1-Settings!$B$11,0,Settings!$B$11,1))&lt;ROUNDUP(Settings!$B$11*Settings!$B$26,0),NA(),STDEV(OFFSET(G569,1-Settings!$B$11,0,Settings!$B$11,1))*SQRT(Settings!$B$13)))</f>
        <v/>
      </c>
      <c r="K569" s="20">
        <f>IF(OR(NOT(ISNUMBER($A569)),ROW()-2&lt;Settings!$B$12),NA(),IF(COUNT(OFFSET(G569,1-Settings!$B$12,0,Settings!$B$12,1))&lt;ROUNDUP(Settings!$B$12*Settings!$B$26,0),NA(),STDEV(OFFSET(G569,1-Settings!$B$12,0,Settings!$B$12,1))*SQRT(Settings!$B$13)))</f>
        <v/>
      </c>
      <c r="L569" s="20">
        <f>IF(AND(ISNUMBER(D569),ISNUMBER(H569)),D569-H569,NA())</f>
        <v/>
      </c>
      <c r="M569" s="20">
        <f>IF(AND(ISNUMBER(E569),ISNUMBER(K569)),E569-K569,NA())</f>
        <v/>
      </c>
      <c r="N569" s="20">
        <f>IF(NOT(ISNUMBER($A569)),NA(),IF(COUNT(OFFSET(G569,1,0,Settings!$B$12,1))&lt;ROUNDUP(Settings!$B$12*Settings!$B$26,0),NA(),STDEV(OFFSET(G569,1,0,Settings!$B$12,1))*SQRT(Settings!$B$13)))</f>
        <v/>
      </c>
      <c r="O569" s="20">
        <f>IF(AND(ISNUMBER(E569),ISNUMBER(N569)),E569-N569,NA())</f>
        <v/>
      </c>
      <c r="P569" s="19">
        <f>IF(NOT(ISNUMBER($A569)),NA(),IF(OR($A569&lt;MIN(KW_TP!$A$2:$A$2501),$A569&gt;MAX(KW_TP!$A$2:$A$2501)),NA(),INDEX(KW_TP!$C$2:$C$2501,MATCH($A569,KW_TP!$A$2:$A$2501,1))))</f>
        <v/>
      </c>
      <c r="Q569" s="18">
        <f>IF(NOT(ISNUMBER($A569)),NA(),IFERROR(1*INDEX(BBG_Data!$J$2:$J$4000,MATCH($A569,BBG_Data!$I$2:$I$4000,0)),NA()))</f>
        <v/>
      </c>
      <c r="R569" s="18">
        <f>IF(NOT(ISNUMBER($A569)),NA(),IFERROR(1*INDEX(BBG_Data!$L$2:$L$4000,MATCH($A569,BBG_Data!$K$2:$K$4000,0)),NA()))</f>
        <v/>
      </c>
      <c r="S569" s="20">
        <f>IF(AND(ISNUMBER(B569),ISNUMBER(Q569),ISNUMBER(R569)),(B569-Q569-R569)*100,NA())</f>
        <v/>
      </c>
      <c r="T569" s="20">
        <f>IF(AND(ISNUMBER(B569),Settings!$B$17&gt;0),IF(ISNUMBER(INDEX($B:$B,Settings!$B$17)),(B569-INDEX($B:$B,Settings!$B$17))*100,NA()),NA())</f>
        <v/>
      </c>
      <c r="U569" s="20">
        <f>IF(AND(ISNUMBER(Q569),Settings!$B$17&gt;0),IF(ISNUMBER(INDEX($Q:$Q,Settings!$B$17)),(Q569-INDEX($Q:$Q,Settings!$B$17))*100,NA()),NA())</f>
        <v/>
      </c>
      <c r="V569" s="20">
        <f>IF(AND(ISNUMBER(R569),Settings!$B$17&gt;0),IF(ISNUMBER(INDEX($R:$R,Settings!$B$17)),(R569-INDEX($R:$R,Settings!$B$17))*100,NA()),NA())</f>
        <v/>
      </c>
      <c r="W569" s="20">
        <f>IF(AND(ISNUMBER(P569),Settings!$B$17&gt;0),IF(ISNUMBER(INDEX($P:$P,Settings!$B$17)),P569-INDEX($P:$P,Settings!$B$17),NA()),NA())</f>
        <v/>
      </c>
      <c r="X569" s="19">
        <f>IF(NOT(ISNUMBER($A569)),NA(),IF(OR($A569&lt;MIN(DKW_10Y!$A$2:$A$2918),$A569&gt;MAX(DKW_10Y!$A$2:$A$2918),Settings!$B$16&lt;MIN(DKW_10Y!$A$2:$A$2918)),NA(),(INDEX(DKW_10Y!$B$2:$B$2918,MATCH($A569,DKW_10Y!$A$2:$A$2918,1))-INDEX(DKW_10Y!$B$2:$B$2918,MATCH(Settings!$B$16,DKW_10Y!$A$2:$A$2918,1)))*100))</f>
        <v/>
      </c>
      <c r="Y569" s="19">
        <f>IF(NOT(ISNUMBER($A569)),NA(),IF(OR($A569&lt;MIN(DKW_10Y!$A$2:$A$2918),$A569&gt;MAX(DKW_10Y!$A$2:$A$2918),Settings!$B$16&lt;MIN(DKW_10Y!$A$2:$A$2918)),NA(),(INDEX(DKW_10Y!$C$2:$C$2918,MATCH($A569,DKW_10Y!$A$2:$A$2918,1))-INDEX(DKW_10Y!$C$2:$C$2918,MATCH(Settings!$B$16,DKW_10Y!$A$2:$A$2918,1)))*100))</f>
        <v/>
      </c>
      <c r="Z569" s="19">
        <f>IF(NOT(ISNUMBER($A569)),NA(),IF(OR($A569&lt;MIN(DKW_10Y!$A$2:$A$2918),$A569&gt;MAX(DKW_10Y!$A$2:$A$2918),Settings!$B$16&lt;MIN(DKW_10Y!$A$2:$A$2918)),NA(),(INDEX(DKW_10Y!$D$2:$D$2918,MATCH($A569,DKW_10Y!$A$2:$A$2918,1))-INDEX(DKW_10Y!$D$2:$D$2918,MATCH(Settings!$B$16,DKW_10Y!$A$2:$A$2918,1)))*100))</f>
        <v/>
      </c>
      <c r="AA569" s="19">
        <f>IF(NOT(ISNUMBER($A569)),NA(),IF(OR($A569&lt;MIN(DKW_10Y!$A$2:$A$2918),$A569&gt;MAX(DKW_10Y!$A$2:$A$2918),Settings!$B$16&lt;MIN(DKW_10Y!$A$2:$A$2918)),NA(),(INDEX(DKW_10Y!$E$2:$E$2918,MATCH($A569,DKW_10Y!$A$2:$A$2918,1))-INDEX(DKW_10Y!$E$2:$E$2918,MATCH(Settings!$B$16,DKW_10Y!$A$2:$A$2918,1)))*100))</f>
        <v/>
      </c>
      <c r="AB569" s="19">
        <f>IF(NOT(ISNUMBER($A569)),NA(),IF(OR($A569&lt;MIN(DKW_10Y!$A$2:$A$2918),$A569&gt;MAX(DKW_10Y!$A$2:$A$2918),Settings!$B$16&lt;MIN(DKW_10Y!$A$2:$A$2918)),NA(),(INDEX(DKW_10Y!$H$2:$H$2918,MATCH($A569,DKW_10Y!$A$2:$A$2918,1))-INDEX(DKW_10Y!$H$2:$H$2918,MATCH(Settings!$B$16,DKW_10Y!$A$2:$A$2918,1)))*100))</f>
        <v/>
      </c>
      <c r="AC569" s="18">
        <f>IF(NOT(ISNUMBER($A569)),NA(),IFERROR(1*INDEX(BBG_Data!$N$2:$N$4000,MATCH($A569,BBG_Data!$M$2:$M$4000,0)),NA()))</f>
        <v/>
      </c>
      <c r="AD569" s="18">
        <f>IF(NOT(ISNUMBER($A569)),NA(),IFERROR(1*INDEX(BBG_Data!$P$2:$P$4000,MATCH($A569,BBG_Data!$O$2:$O$4000,0)),NA()))</f>
        <v/>
      </c>
      <c r="AE569" s="18">
        <f>IF(NOT(ISNUMBER($A569)),NA(),IFERROR(1*INDEX(BBG_Data!$R$2:$R$4000,MATCH($A569,BBG_Data!$Q$2:$Q$4000,0)),NA()))</f>
        <v/>
      </c>
      <c r="AF569" s="20">
        <f>IF(AND(ISNUMBER(B569),ISNUMBER(AC569)),(B569-AC569)*100,NA())</f>
        <v/>
      </c>
      <c r="AG569" s="20">
        <f>IF(AND(ISNUMBER(AE569),ISNUMBER(AD569)),(AE569-AD569)*100,NA())</f>
        <v/>
      </c>
      <c r="AH569" s="19">
        <f>IF(NOT(ISNUMBER($A569)),NA(),IFERROR(INDEX(BBG_Data!$T$2:$T$4000,MATCH($A569,BBG_Data!$S$2:$S$4000,0))*Settings!$B$25,NA()))</f>
        <v/>
      </c>
      <c r="AI569" s="19">
        <f>IF(NOT(ISNUMBER($A569)),NA(),IFERROR(INDEX(BBG_Data!$V$2:$V$4000,MATCH($A569,BBG_Data!$U$2:$U$4000,0))*Settings!$B$25,NA()))</f>
        <v/>
      </c>
      <c r="AJ569" s="19">
        <f>IF(NOT(ISNUMBER($A569)),NA(),IFERROR(1*INDEX(BBG_Data!$X$2:$X$4000,MATCH($A569,BBG_Data!$W$2:$W$4000,0)),NA()))</f>
        <v/>
      </c>
      <c r="AK569" s="19">
        <f>IF(NOT(ISNUMBER($A569)),NA(),IFERROR(1*INDEX(BBG_Data!$Z$2:$Z$4000,MATCH($A569,BBG_Data!$Y$2:$Y$4000,0)),NA()))</f>
        <v/>
      </c>
    </row>
    <row r="570">
      <c r="A570" s="17">
        <f>IF(ISNUMBER(BBG_Data!A570),BBG_Data!A570,"")</f>
        <v/>
      </c>
      <c r="B570" s="18">
        <f>IF(AND(ISNUMBER($A570),ISNUMBER(BBG_Data!B570)),BBG_Data!B570,NA())</f>
        <v/>
      </c>
      <c r="C570" s="18">
        <f>IF(NOT(ISNUMBER($A570)),NA(),IFERROR(1*INDEX(BBG_Data!$D$2:$D$4000,MATCH($A570,BBG_Data!$C$2:$C$4000,0)),NA()))</f>
        <v/>
      </c>
      <c r="D570" s="19">
        <f>IF(NOT(ISNUMBER($A570)),NA(),IFERROR(1*INDEX(BBG_Data!$F$2:$F$4000,MATCH($A570,BBG_Data!$E$2:$E$4000,0)),NA()))</f>
        <v/>
      </c>
      <c r="E570" s="19">
        <f>IF(NOT(ISNUMBER($A570)),NA(),IFERROR(1*INDEX(BBG_Data!$H$2:$H$4000,MATCH($A570,BBG_Data!$G$2:$G$4000,0)),NA()))</f>
        <v/>
      </c>
      <c r="F570" s="20">
        <f>IF(AND(ISNUMBER(B570),ISNUMBER(B569)),IF(B570=B569,"",(B570-B569)*100),"")</f>
        <v/>
      </c>
      <c r="G570" s="20">
        <f>IF(AND(ISNUMBER(C570),ISNUMBER(C569)),IF(C570=C569,"",(C570-C569)*100),"")</f>
        <v/>
      </c>
      <c r="H570" s="20">
        <f>IF(OR(NOT(ISNUMBER($A570)),ROW()-2&lt;Settings!$B$11),NA(),IF(COUNT(OFFSET(F570,1-Settings!$B$11,0,Settings!$B$11,1))&lt;ROUNDUP(Settings!$B$11*Settings!$B$26,0),NA(),STDEV(OFFSET(F570,1-Settings!$B$11,0,Settings!$B$11,1))*SQRT(Settings!$B$13)))</f>
        <v/>
      </c>
      <c r="I570" s="20">
        <f>IF(OR(NOT(ISNUMBER($A570)),ROW()-2&lt;Settings!$B$12),NA(),IF(COUNT(OFFSET(F570,1-Settings!$B$12,0,Settings!$B$12,1))&lt;ROUNDUP(Settings!$B$12*Settings!$B$26,0),NA(),STDEV(OFFSET(F570,1-Settings!$B$12,0,Settings!$B$12,1))*SQRT(Settings!$B$13)))</f>
        <v/>
      </c>
      <c r="J570" s="20">
        <f>IF(OR(NOT(ISNUMBER($A570)),ROW()-2&lt;Settings!$B$11),NA(),IF(COUNT(OFFSET(G570,1-Settings!$B$11,0,Settings!$B$11,1))&lt;ROUNDUP(Settings!$B$11*Settings!$B$26,0),NA(),STDEV(OFFSET(G570,1-Settings!$B$11,0,Settings!$B$11,1))*SQRT(Settings!$B$13)))</f>
        <v/>
      </c>
      <c r="K570" s="20">
        <f>IF(OR(NOT(ISNUMBER($A570)),ROW()-2&lt;Settings!$B$12),NA(),IF(COUNT(OFFSET(G570,1-Settings!$B$12,0,Settings!$B$12,1))&lt;ROUNDUP(Settings!$B$12*Settings!$B$26,0),NA(),STDEV(OFFSET(G570,1-Settings!$B$12,0,Settings!$B$12,1))*SQRT(Settings!$B$13)))</f>
        <v/>
      </c>
      <c r="L570" s="20">
        <f>IF(AND(ISNUMBER(D570),ISNUMBER(H570)),D570-H570,NA())</f>
        <v/>
      </c>
      <c r="M570" s="20">
        <f>IF(AND(ISNUMBER(E570),ISNUMBER(K570)),E570-K570,NA())</f>
        <v/>
      </c>
      <c r="N570" s="20">
        <f>IF(NOT(ISNUMBER($A570)),NA(),IF(COUNT(OFFSET(G570,1,0,Settings!$B$12,1))&lt;ROUNDUP(Settings!$B$12*Settings!$B$26,0),NA(),STDEV(OFFSET(G570,1,0,Settings!$B$12,1))*SQRT(Settings!$B$13)))</f>
        <v/>
      </c>
      <c r="O570" s="20">
        <f>IF(AND(ISNUMBER(E570),ISNUMBER(N570)),E570-N570,NA())</f>
        <v/>
      </c>
      <c r="P570" s="19">
        <f>IF(NOT(ISNUMBER($A570)),NA(),IF(OR($A570&lt;MIN(KW_TP!$A$2:$A$2501),$A570&gt;MAX(KW_TP!$A$2:$A$2501)),NA(),INDEX(KW_TP!$C$2:$C$2501,MATCH($A570,KW_TP!$A$2:$A$2501,1))))</f>
        <v/>
      </c>
      <c r="Q570" s="18">
        <f>IF(NOT(ISNUMBER($A570)),NA(),IFERROR(1*INDEX(BBG_Data!$J$2:$J$4000,MATCH($A570,BBG_Data!$I$2:$I$4000,0)),NA()))</f>
        <v/>
      </c>
      <c r="R570" s="18">
        <f>IF(NOT(ISNUMBER($A570)),NA(),IFERROR(1*INDEX(BBG_Data!$L$2:$L$4000,MATCH($A570,BBG_Data!$K$2:$K$4000,0)),NA()))</f>
        <v/>
      </c>
      <c r="S570" s="20">
        <f>IF(AND(ISNUMBER(B570),ISNUMBER(Q570),ISNUMBER(R570)),(B570-Q570-R570)*100,NA())</f>
        <v/>
      </c>
      <c r="T570" s="20">
        <f>IF(AND(ISNUMBER(B570),Settings!$B$17&gt;0),IF(ISNUMBER(INDEX($B:$B,Settings!$B$17)),(B570-INDEX($B:$B,Settings!$B$17))*100,NA()),NA())</f>
        <v/>
      </c>
      <c r="U570" s="20">
        <f>IF(AND(ISNUMBER(Q570),Settings!$B$17&gt;0),IF(ISNUMBER(INDEX($Q:$Q,Settings!$B$17)),(Q570-INDEX($Q:$Q,Settings!$B$17))*100,NA()),NA())</f>
        <v/>
      </c>
      <c r="V570" s="20">
        <f>IF(AND(ISNUMBER(R570),Settings!$B$17&gt;0),IF(ISNUMBER(INDEX($R:$R,Settings!$B$17)),(R570-INDEX($R:$R,Settings!$B$17))*100,NA()),NA())</f>
        <v/>
      </c>
      <c r="W570" s="20">
        <f>IF(AND(ISNUMBER(P570),Settings!$B$17&gt;0),IF(ISNUMBER(INDEX($P:$P,Settings!$B$17)),P570-INDEX($P:$P,Settings!$B$17),NA()),NA())</f>
        <v/>
      </c>
      <c r="X570" s="19">
        <f>IF(NOT(ISNUMBER($A570)),NA(),IF(OR($A570&lt;MIN(DKW_10Y!$A$2:$A$2918),$A570&gt;MAX(DKW_10Y!$A$2:$A$2918),Settings!$B$16&lt;MIN(DKW_10Y!$A$2:$A$2918)),NA(),(INDEX(DKW_10Y!$B$2:$B$2918,MATCH($A570,DKW_10Y!$A$2:$A$2918,1))-INDEX(DKW_10Y!$B$2:$B$2918,MATCH(Settings!$B$16,DKW_10Y!$A$2:$A$2918,1)))*100))</f>
        <v/>
      </c>
      <c r="Y570" s="19">
        <f>IF(NOT(ISNUMBER($A570)),NA(),IF(OR($A570&lt;MIN(DKW_10Y!$A$2:$A$2918),$A570&gt;MAX(DKW_10Y!$A$2:$A$2918),Settings!$B$16&lt;MIN(DKW_10Y!$A$2:$A$2918)),NA(),(INDEX(DKW_10Y!$C$2:$C$2918,MATCH($A570,DKW_10Y!$A$2:$A$2918,1))-INDEX(DKW_10Y!$C$2:$C$2918,MATCH(Settings!$B$16,DKW_10Y!$A$2:$A$2918,1)))*100))</f>
        <v/>
      </c>
      <c r="Z570" s="19">
        <f>IF(NOT(ISNUMBER($A570)),NA(),IF(OR($A570&lt;MIN(DKW_10Y!$A$2:$A$2918),$A570&gt;MAX(DKW_10Y!$A$2:$A$2918),Settings!$B$16&lt;MIN(DKW_10Y!$A$2:$A$2918)),NA(),(INDEX(DKW_10Y!$D$2:$D$2918,MATCH($A570,DKW_10Y!$A$2:$A$2918,1))-INDEX(DKW_10Y!$D$2:$D$2918,MATCH(Settings!$B$16,DKW_10Y!$A$2:$A$2918,1)))*100))</f>
        <v/>
      </c>
      <c r="AA570" s="19">
        <f>IF(NOT(ISNUMBER($A570)),NA(),IF(OR($A570&lt;MIN(DKW_10Y!$A$2:$A$2918),$A570&gt;MAX(DKW_10Y!$A$2:$A$2918),Settings!$B$16&lt;MIN(DKW_10Y!$A$2:$A$2918)),NA(),(INDEX(DKW_10Y!$E$2:$E$2918,MATCH($A570,DKW_10Y!$A$2:$A$2918,1))-INDEX(DKW_10Y!$E$2:$E$2918,MATCH(Settings!$B$16,DKW_10Y!$A$2:$A$2918,1)))*100))</f>
        <v/>
      </c>
      <c r="AB570" s="19">
        <f>IF(NOT(ISNUMBER($A570)),NA(),IF(OR($A570&lt;MIN(DKW_10Y!$A$2:$A$2918),$A570&gt;MAX(DKW_10Y!$A$2:$A$2918),Settings!$B$16&lt;MIN(DKW_10Y!$A$2:$A$2918)),NA(),(INDEX(DKW_10Y!$H$2:$H$2918,MATCH($A570,DKW_10Y!$A$2:$A$2918,1))-INDEX(DKW_10Y!$H$2:$H$2918,MATCH(Settings!$B$16,DKW_10Y!$A$2:$A$2918,1)))*100))</f>
        <v/>
      </c>
      <c r="AC570" s="18">
        <f>IF(NOT(ISNUMBER($A570)),NA(),IFERROR(1*INDEX(BBG_Data!$N$2:$N$4000,MATCH($A570,BBG_Data!$M$2:$M$4000,0)),NA()))</f>
        <v/>
      </c>
      <c r="AD570" s="18">
        <f>IF(NOT(ISNUMBER($A570)),NA(),IFERROR(1*INDEX(BBG_Data!$P$2:$P$4000,MATCH($A570,BBG_Data!$O$2:$O$4000,0)),NA()))</f>
        <v/>
      </c>
      <c r="AE570" s="18">
        <f>IF(NOT(ISNUMBER($A570)),NA(),IFERROR(1*INDEX(BBG_Data!$R$2:$R$4000,MATCH($A570,BBG_Data!$Q$2:$Q$4000,0)),NA()))</f>
        <v/>
      </c>
      <c r="AF570" s="20">
        <f>IF(AND(ISNUMBER(B570),ISNUMBER(AC570)),(B570-AC570)*100,NA())</f>
        <v/>
      </c>
      <c r="AG570" s="20">
        <f>IF(AND(ISNUMBER(AE570),ISNUMBER(AD570)),(AE570-AD570)*100,NA())</f>
        <v/>
      </c>
      <c r="AH570" s="19">
        <f>IF(NOT(ISNUMBER($A570)),NA(),IFERROR(INDEX(BBG_Data!$T$2:$T$4000,MATCH($A570,BBG_Data!$S$2:$S$4000,0))*Settings!$B$25,NA()))</f>
        <v/>
      </c>
      <c r="AI570" s="19">
        <f>IF(NOT(ISNUMBER($A570)),NA(),IFERROR(INDEX(BBG_Data!$V$2:$V$4000,MATCH($A570,BBG_Data!$U$2:$U$4000,0))*Settings!$B$25,NA()))</f>
        <v/>
      </c>
      <c r="AJ570" s="19">
        <f>IF(NOT(ISNUMBER($A570)),NA(),IFERROR(1*INDEX(BBG_Data!$X$2:$X$4000,MATCH($A570,BBG_Data!$W$2:$W$4000,0)),NA()))</f>
        <v/>
      </c>
      <c r="AK570" s="19">
        <f>IF(NOT(ISNUMBER($A570)),NA(),IFERROR(1*INDEX(BBG_Data!$Z$2:$Z$4000,MATCH($A570,BBG_Data!$Y$2:$Y$4000,0)),NA()))</f>
        <v/>
      </c>
    </row>
    <row r="571">
      <c r="A571" s="17">
        <f>IF(ISNUMBER(BBG_Data!A571),BBG_Data!A571,"")</f>
        <v/>
      </c>
      <c r="B571" s="18">
        <f>IF(AND(ISNUMBER($A571),ISNUMBER(BBG_Data!B571)),BBG_Data!B571,NA())</f>
        <v/>
      </c>
      <c r="C571" s="18">
        <f>IF(NOT(ISNUMBER($A571)),NA(),IFERROR(1*INDEX(BBG_Data!$D$2:$D$4000,MATCH($A571,BBG_Data!$C$2:$C$4000,0)),NA()))</f>
        <v/>
      </c>
      <c r="D571" s="19">
        <f>IF(NOT(ISNUMBER($A571)),NA(),IFERROR(1*INDEX(BBG_Data!$F$2:$F$4000,MATCH($A571,BBG_Data!$E$2:$E$4000,0)),NA()))</f>
        <v/>
      </c>
      <c r="E571" s="19">
        <f>IF(NOT(ISNUMBER($A571)),NA(),IFERROR(1*INDEX(BBG_Data!$H$2:$H$4000,MATCH($A571,BBG_Data!$G$2:$G$4000,0)),NA()))</f>
        <v/>
      </c>
      <c r="F571" s="20">
        <f>IF(AND(ISNUMBER(B571),ISNUMBER(B570)),IF(B571=B570,"",(B571-B570)*100),"")</f>
        <v/>
      </c>
      <c r="G571" s="20">
        <f>IF(AND(ISNUMBER(C571),ISNUMBER(C570)),IF(C571=C570,"",(C571-C570)*100),"")</f>
        <v/>
      </c>
      <c r="H571" s="20">
        <f>IF(OR(NOT(ISNUMBER($A571)),ROW()-2&lt;Settings!$B$11),NA(),IF(COUNT(OFFSET(F571,1-Settings!$B$11,0,Settings!$B$11,1))&lt;ROUNDUP(Settings!$B$11*Settings!$B$26,0),NA(),STDEV(OFFSET(F571,1-Settings!$B$11,0,Settings!$B$11,1))*SQRT(Settings!$B$13)))</f>
        <v/>
      </c>
      <c r="I571" s="20">
        <f>IF(OR(NOT(ISNUMBER($A571)),ROW()-2&lt;Settings!$B$12),NA(),IF(COUNT(OFFSET(F571,1-Settings!$B$12,0,Settings!$B$12,1))&lt;ROUNDUP(Settings!$B$12*Settings!$B$26,0),NA(),STDEV(OFFSET(F571,1-Settings!$B$12,0,Settings!$B$12,1))*SQRT(Settings!$B$13)))</f>
        <v/>
      </c>
      <c r="J571" s="20">
        <f>IF(OR(NOT(ISNUMBER($A571)),ROW()-2&lt;Settings!$B$11),NA(),IF(COUNT(OFFSET(G571,1-Settings!$B$11,0,Settings!$B$11,1))&lt;ROUNDUP(Settings!$B$11*Settings!$B$26,0),NA(),STDEV(OFFSET(G571,1-Settings!$B$11,0,Settings!$B$11,1))*SQRT(Settings!$B$13)))</f>
        <v/>
      </c>
      <c r="K571" s="20">
        <f>IF(OR(NOT(ISNUMBER($A571)),ROW()-2&lt;Settings!$B$12),NA(),IF(COUNT(OFFSET(G571,1-Settings!$B$12,0,Settings!$B$12,1))&lt;ROUNDUP(Settings!$B$12*Settings!$B$26,0),NA(),STDEV(OFFSET(G571,1-Settings!$B$12,0,Settings!$B$12,1))*SQRT(Settings!$B$13)))</f>
        <v/>
      </c>
      <c r="L571" s="20">
        <f>IF(AND(ISNUMBER(D571),ISNUMBER(H571)),D571-H571,NA())</f>
        <v/>
      </c>
      <c r="M571" s="20">
        <f>IF(AND(ISNUMBER(E571),ISNUMBER(K571)),E571-K571,NA())</f>
        <v/>
      </c>
      <c r="N571" s="20">
        <f>IF(NOT(ISNUMBER($A571)),NA(),IF(COUNT(OFFSET(G571,1,0,Settings!$B$12,1))&lt;ROUNDUP(Settings!$B$12*Settings!$B$26,0),NA(),STDEV(OFFSET(G571,1,0,Settings!$B$12,1))*SQRT(Settings!$B$13)))</f>
        <v/>
      </c>
      <c r="O571" s="20">
        <f>IF(AND(ISNUMBER(E571),ISNUMBER(N571)),E571-N571,NA())</f>
        <v/>
      </c>
      <c r="P571" s="19">
        <f>IF(NOT(ISNUMBER($A571)),NA(),IF(OR($A571&lt;MIN(KW_TP!$A$2:$A$2501),$A571&gt;MAX(KW_TP!$A$2:$A$2501)),NA(),INDEX(KW_TP!$C$2:$C$2501,MATCH($A571,KW_TP!$A$2:$A$2501,1))))</f>
        <v/>
      </c>
      <c r="Q571" s="18">
        <f>IF(NOT(ISNUMBER($A571)),NA(),IFERROR(1*INDEX(BBG_Data!$J$2:$J$4000,MATCH($A571,BBG_Data!$I$2:$I$4000,0)),NA()))</f>
        <v/>
      </c>
      <c r="R571" s="18">
        <f>IF(NOT(ISNUMBER($A571)),NA(),IFERROR(1*INDEX(BBG_Data!$L$2:$L$4000,MATCH($A571,BBG_Data!$K$2:$K$4000,0)),NA()))</f>
        <v/>
      </c>
      <c r="S571" s="20">
        <f>IF(AND(ISNUMBER(B571),ISNUMBER(Q571),ISNUMBER(R571)),(B571-Q571-R571)*100,NA())</f>
        <v/>
      </c>
      <c r="T571" s="20">
        <f>IF(AND(ISNUMBER(B571),Settings!$B$17&gt;0),IF(ISNUMBER(INDEX($B:$B,Settings!$B$17)),(B571-INDEX($B:$B,Settings!$B$17))*100,NA()),NA())</f>
        <v/>
      </c>
      <c r="U571" s="20">
        <f>IF(AND(ISNUMBER(Q571),Settings!$B$17&gt;0),IF(ISNUMBER(INDEX($Q:$Q,Settings!$B$17)),(Q571-INDEX($Q:$Q,Settings!$B$17))*100,NA()),NA())</f>
        <v/>
      </c>
      <c r="V571" s="20">
        <f>IF(AND(ISNUMBER(R571),Settings!$B$17&gt;0),IF(ISNUMBER(INDEX($R:$R,Settings!$B$17)),(R571-INDEX($R:$R,Settings!$B$17))*100,NA()),NA())</f>
        <v/>
      </c>
      <c r="W571" s="20">
        <f>IF(AND(ISNUMBER(P571),Settings!$B$17&gt;0),IF(ISNUMBER(INDEX($P:$P,Settings!$B$17)),P571-INDEX($P:$P,Settings!$B$17),NA()),NA())</f>
        <v/>
      </c>
      <c r="X571" s="19">
        <f>IF(NOT(ISNUMBER($A571)),NA(),IF(OR($A571&lt;MIN(DKW_10Y!$A$2:$A$2918),$A571&gt;MAX(DKW_10Y!$A$2:$A$2918),Settings!$B$16&lt;MIN(DKW_10Y!$A$2:$A$2918)),NA(),(INDEX(DKW_10Y!$B$2:$B$2918,MATCH($A571,DKW_10Y!$A$2:$A$2918,1))-INDEX(DKW_10Y!$B$2:$B$2918,MATCH(Settings!$B$16,DKW_10Y!$A$2:$A$2918,1)))*100))</f>
        <v/>
      </c>
      <c r="Y571" s="19">
        <f>IF(NOT(ISNUMBER($A571)),NA(),IF(OR($A571&lt;MIN(DKW_10Y!$A$2:$A$2918),$A571&gt;MAX(DKW_10Y!$A$2:$A$2918),Settings!$B$16&lt;MIN(DKW_10Y!$A$2:$A$2918)),NA(),(INDEX(DKW_10Y!$C$2:$C$2918,MATCH($A571,DKW_10Y!$A$2:$A$2918,1))-INDEX(DKW_10Y!$C$2:$C$2918,MATCH(Settings!$B$16,DKW_10Y!$A$2:$A$2918,1)))*100))</f>
        <v/>
      </c>
      <c r="Z571" s="19">
        <f>IF(NOT(ISNUMBER($A571)),NA(),IF(OR($A571&lt;MIN(DKW_10Y!$A$2:$A$2918),$A571&gt;MAX(DKW_10Y!$A$2:$A$2918),Settings!$B$16&lt;MIN(DKW_10Y!$A$2:$A$2918)),NA(),(INDEX(DKW_10Y!$D$2:$D$2918,MATCH($A571,DKW_10Y!$A$2:$A$2918,1))-INDEX(DKW_10Y!$D$2:$D$2918,MATCH(Settings!$B$16,DKW_10Y!$A$2:$A$2918,1)))*100))</f>
        <v/>
      </c>
      <c r="AA571" s="19">
        <f>IF(NOT(ISNUMBER($A571)),NA(),IF(OR($A571&lt;MIN(DKW_10Y!$A$2:$A$2918),$A571&gt;MAX(DKW_10Y!$A$2:$A$2918),Settings!$B$16&lt;MIN(DKW_10Y!$A$2:$A$2918)),NA(),(INDEX(DKW_10Y!$E$2:$E$2918,MATCH($A571,DKW_10Y!$A$2:$A$2918,1))-INDEX(DKW_10Y!$E$2:$E$2918,MATCH(Settings!$B$16,DKW_10Y!$A$2:$A$2918,1)))*100))</f>
        <v/>
      </c>
      <c r="AB571" s="19">
        <f>IF(NOT(ISNUMBER($A571)),NA(),IF(OR($A571&lt;MIN(DKW_10Y!$A$2:$A$2918),$A571&gt;MAX(DKW_10Y!$A$2:$A$2918),Settings!$B$16&lt;MIN(DKW_10Y!$A$2:$A$2918)),NA(),(INDEX(DKW_10Y!$H$2:$H$2918,MATCH($A571,DKW_10Y!$A$2:$A$2918,1))-INDEX(DKW_10Y!$H$2:$H$2918,MATCH(Settings!$B$16,DKW_10Y!$A$2:$A$2918,1)))*100))</f>
        <v/>
      </c>
      <c r="AC571" s="18">
        <f>IF(NOT(ISNUMBER($A571)),NA(),IFERROR(1*INDEX(BBG_Data!$N$2:$N$4000,MATCH($A571,BBG_Data!$M$2:$M$4000,0)),NA()))</f>
        <v/>
      </c>
      <c r="AD571" s="18">
        <f>IF(NOT(ISNUMBER($A571)),NA(),IFERROR(1*INDEX(BBG_Data!$P$2:$P$4000,MATCH($A571,BBG_Data!$O$2:$O$4000,0)),NA()))</f>
        <v/>
      </c>
      <c r="AE571" s="18">
        <f>IF(NOT(ISNUMBER($A571)),NA(),IFERROR(1*INDEX(BBG_Data!$R$2:$R$4000,MATCH($A571,BBG_Data!$Q$2:$Q$4000,0)),NA()))</f>
        <v/>
      </c>
      <c r="AF571" s="20">
        <f>IF(AND(ISNUMBER(B571),ISNUMBER(AC571)),(B571-AC571)*100,NA())</f>
        <v/>
      </c>
      <c r="AG571" s="20">
        <f>IF(AND(ISNUMBER(AE571),ISNUMBER(AD571)),(AE571-AD571)*100,NA())</f>
        <v/>
      </c>
      <c r="AH571" s="19">
        <f>IF(NOT(ISNUMBER($A571)),NA(),IFERROR(INDEX(BBG_Data!$T$2:$T$4000,MATCH($A571,BBG_Data!$S$2:$S$4000,0))*Settings!$B$25,NA()))</f>
        <v/>
      </c>
      <c r="AI571" s="19">
        <f>IF(NOT(ISNUMBER($A571)),NA(),IFERROR(INDEX(BBG_Data!$V$2:$V$4000,MATCH($A571,BBG_Data!$U$2:$U$4000,0))*Settings!$B$25,NA()))</f>
        <v/>
      </c>
      <c r="AJ571" s="19">
        <f>IF(NOT(ISNUMBER($A571)),NA(),IFERROR(1*INDEX(BBG_Data!$X$2:$X$4000,MATCH($A571,BBG_Data!$W$2:$W$4000,0)),NA()))</f>
        <v/>
      </c>
      <c r="AK571" s="19">
        <f>IF(NOT(ISNUMBER($A571)),NA(),IFERROR(1*INDEX(BBG_Data!$Z$2:$Z$4000,MATCH($A571,BBG_Data!$Y$2:$Y$4000,0)),NA()))</f>
        <v/>
      </c>
    </row>
    <row r="572">
      <c r="A572" s="17">
        <f>IF(ISNUMBER(BBG_Data!A572),BBG_Data!A572,"")</f>
        <v/>
      </c>
      <c r="B572" s="18">
        <f>IF(AND(ISNUMBER($A572),ISNUMBER(BBG_Data!B572)),BBG_Data!B572,NA())</f>
        <v/>
      </c>
      <c r="C572" s="18">
        <f>IF(NOT(ISNUMBER($A572)),NA(),IFERROR(1*INDEX(BBG_Data!$D$2:$D$4000,MATCH($A572,BBG_Data!$C$2:$C$4000,0)),NA()))</f>
        <v/>
      </c>
      <c r="D572" s="19">
        <f>IF(NOT(ISNUMBER($A572)),NA(),IFERROR(1*INDEX(BBG_Data!$F$2:$F$4000,MATCH($A572,BBG_Data!$E$2:$E$4000,0)),NA()))</f>
        <v/>
      </c>
      <c r="E572" s="19">
        <f>IF(NOT(ISNUMBER($A572)),NA(),IFERROR(1*INDEX(BBG_Data!$H$2:$H$4000,MATCH($A572,BBG_Data!$G$2:$G$4000,0)),NA()))</f>
        <v/>
      </c>
      <c r="F572" s="20">
        <f>IF(AND(ISNUMBER(B572),ISNUMBER(B571)),IF(B572=B571,"",(B572-B571)*100),"")</f>
        <v/>
      </c>
      <c r="G572" s="20">
        <f>IF(AND(ISNUMBER(C572),ISNUMBER(C571)),IF(C572=C571,"",(C572-C571)*100),"")</f>
        <v/>
      </c>
      <c r="H572" s="20">
        <f>IF(OR(NOT(ISNUMBER($A572)),ROW()-2&lt;Settings!$B$11),NA(),IF(COUNT(OFFSET(F572,1-Settings!$B$11,0,Settings!$B$11,1))&lt;ROUNDUP(Settings!$B$11*Settings!$B$26,0),NA(),STDEV(OFFSET(F572,1-Settings!$B$11,0,Settings!$B$11,1))*SQRT(Settings!$B$13)))</f>
        <v/>
      </c>
      <c r="I572" s="20">
        <f>IF(OR(NOT(ISNUMBER($A572)),ROW()-2&lt;Settings!$B$12),NA(),IF(COUNT(OFFSET(F572,1-Settings!$B$12,0,Settings!$B$12,1))&lt;ROUNDUP(Settings!$B$12*Settings!$B$26,0),NA(),STDEV(OFFSET(F572,1-Settings!$B$12,0,Settings!$B$12,1))*SQRT(Settings!$B$13)))</f>
        <v/>
      </c>
      <c r="J572" s="20">
        <f>IF(OR(NOT(ISNUMBER($A572)),ROW()-2&lt;Settings!$B$11),NA(),IF(COUNT(OFFSET(G572,1-Settings!$B$11,0,Settings!$B$11,1))&lt;ROUNDUP(Settings!$B$11*Settings!$B$26,0),NA(),STDEV(OFFSET(G572,1-Settings!$B$11,0,Settings!$B$11,1))*SQRT(Settings!$B$13)))</f>
        <v/>
      </c>
      <c r="K572" s="20">
        <f>IF(OR(NOT(ISNUMBER($A572)),ROW()-2&lt;Settings!$B$12),NA(),IF(COUNT(OFFSET(G572,1-Settings!$B$12,0,Settings!$B$12,1))&lt;ROUNDUP(Settings!$B$12*Settings!$B$26,0),NA(),STDEV(OFFSET(G572,1-Settings!$B$12,0,Settings!$B$12,1))*SQRT(Settings!$B$13)))</f>
        <v/>
      </c>
      <c r="L572" s="20">
        <f>IF(AND(ISNUMBER(D572),ISNUMBER(H572)),D572-H572,NA())</f>
        <v/>
      </c>
      <c r="M572" s="20">
        <f>IF(AND(ISNUMBER(E572),ISNUMBER(K572)),E572-K572,NA())</f>
        <v/>
      </c>
      <c r="N572" s="20">
        <f>IF(NOT(ISNUMBER($A572)),NA(),IF(COUNT(OFFSET(G572,1,0,Settings!$B$12,1))&lt;ROUNDUP(Settings!$B$12*Settings!$B$26,0),NA(),STDEV(OFFSET(G572,1,0,Settings!$B$12,1))*SQRT(Settings!$B$13)))</f>
        <v/>
      </c>
      <c r="O572" s="20">
        <f>IF(AND(ISNUMBER(E572),ISNUMBER(N572)),E572-N572,NA())</f>
        <v/>
      </c>
      <c r="P572" s="19">
        <f>IF(NOT(ISNUMBER($A572)),NA(),IF(OR($A572&lt;MIN(KW_TP!$A$2:$A$2501),$A572&gt;MAX(KW_TP!$A$2:$A$2501)),NA(),INDEX(KW_TP!$C$2:$C$2501,MATCH($A572,KW_TP!$A$2:$A$2501,1))))</f>
        <v/>
      </c>
      <c r="Q572" s="18">
        <f>IF(NOT(ISNUMBER($A572)),NA(),IFERROR(1*INDEX(BBG_Data!$J$2:$J$4000,MATCH($A572,BBG_Data!$I$2:$I$4000,0)),NA()))</f>
        <v/>
      </c>
      <c r="R572" s="18">
        <f>IF(NOT(ISNUMBER($A572)),NA(),IFERROR(1*INDEX(BBG_Data!$L$2:$L$4000,MATCH($A572,BBG_Data!$K$2:$K$4000,0)),NA()))</f>
        <v/>
      </c>
      <c r="S572" s="20">
        <f>IF(AND(ISNUMBER(B572),ISNUMBER(Q572),ISNUMBER(R572)),(B572-Q572-R572)*100,NA())</f>
        <v/>
      </c>
      <c r="T572" s="20">
        <f>IF(AND(ISNUMBER(B572),Settings!$B$17&gt;0),IF(ISNUMBER(INDEX($B:$B,Settings!$B$17)),(B572-INDEX($B:$B,Settings!$B$17))*100,NA()),NA())</f>
        <v/>
      </c>
      <c r="U572" s="20">
        <f>IF(AND(ISNUMBER(Q572),Settings!$B$17&gt;0),IF(ISNUMBER(INDEX($Q:$Q,Settings!$B$17)),(Q572-INDEX($Q:$Q,Settings!$B$17))*100,NA()),NA())</f>
        <v/>
      </c>
      <c r="V572" s="20">
        <f>IF(AND(ISNUMBER(R572),Settings!$B$17&gt;0),IF(ISNUMBER(INDEX($R:$R,Settings!$B$17)),(R572-INDEX($R:$R,Settings!$B$17))*100,NA()),NA())</f>
        <v/>
      </c>
      <c r="W572" s="20">
        <f>IF(AND(ISNUMBER(P572),Settings!$B$17&gt;0),IF(ISNUMBER(INDEX($P:$P,Settings!$B$17)),P572-INDEX($P:$P,Settings!$B$17),NA()),NA())</f>
        <v/>
      </c>
      <c r="X572" s="19">
        <f>IF(NOT(ISNUMBER($A572)),NA(),IF(OR($A572&lt;MIN(DKW_10Y!$A$2:$A$2918),$A572&gt;MAX(DKW_10Y!$A$2:$A$2918),Settings!$B$16&lt;MIN(DKW_10Y!$A$2:$A$2918)),NA(),(INDEX(DKW_10Y!$B$2:$B$2918,MATCH($A572,DKW_10Y!$A$2:$A$2918,1))-INDEX(DKW_10Y!$B$2:$B$2918,MATCH(Settings!$B$16,DKW_10Y!$A$2:$A$2918,1)))*100))</f>
        <v/>
      </c>
      <c r="Y572" s="19">
        <f>IF(NOT(ISNUMBER($A572)),NA(),IF(OR($A572&lt;MIN(DKW_10Y!$A$2:$A$2918),$A572&gt;MAX(DKW_10Y!$A$2:$A$2918),Settings!$B$16&lt;MIN(DKW_10Y!$A$2:$A$2918)),NA(),(INDEX(DKW_10Y!$C$2:$C$2918,MATCH($A572,DKW_10Y!$A$2:$A$2918,1))-INDEX(DKW_10Y!$C$2:$C$2918,MATCH(Settings!$B$16,DKW_10Y!$A$2:$A$2918,1)))*100))</f>
        <v/>
      </c>
      <c r="Z572" s="19">
        <f>IF(NOT(ISNUMBER($A572)),NA(),IF(OR($A572&lt;MIN(DKW_10Y!$A$2:$A$2918),$A572&gt;MAX(DKW_10Y!$A$2:$A$2918),Settings!$B$16&lt;MIN(DKW_10Y!$A$2:$A$2918)),NA(),(INDEX(DKW_10Y!$D$2:$D$2918,MATCH($A572,DKW_10Y!$A$2:$A$2918,1))-INDEX(DKW_10Y!$D$2:$D$2918,MATCH(Settings!$B$16,DKW_10Y!$A$2:$A$2918,1)))*100))</f>
        <v/>
      </c>
      <c r="AA572" s="19">
        <f>IF(NOT(ISNUMBER($A572)),NA(),IF(OR($A572&lt;MIN(DKW_10Y!$A$2:$A$2918),$A572&gt;MAX(DKW_10Y!$A$2:$A$2918),Settings!$B$16&lt;MIN(DKW_10Y!$A$2:$A$2918)),NA(),(INDEX(DKW_10Y!$E$2:$E$2918,MATCH($A572,DKW_10Y!$A$2:$A$2918,1))-INDEX(DKW_10Y!$E$2:$E$2918,MATCH(Settings!$B$16,DKW_10Y!$A$2:$A$2918,1)))*100))</f>
        <v/>
      </c>
      <c r="AB572" s="19">
        <f>IF(NOT(ISNUMBER($A572)),NA(),IF(OR($A572&lt;MIN(DKW_10Y!$A$2:$A$2918),$A572&gt;MAX(DKW_10Y!$A$2:$A$2918),Settings!$B$16&lt;MIN(DKW_10Y!$A$2:$A$2918)),NA(),(INDEX(DKW_10Y!$H$2:$H$2918,MATCH($A572,DKW_10Y!$A$2:$A$2918,1))-INDEX(DKW_10Y!$H$2:$H$2918,MATCH(Settings!$B$16,DKW_10Y!$A$2:$A$2918,1)))*100))</f>
        <v/>
      </c>
      <c r="AC572" s="18">
        <f>IF(NOT(ISNUMBER($A572)),NA(),IFERROR(1*INDEX(BBG_Data!$N$2:$N$4000,MATCH($A572,BBG_Data!$M$2:$M$4000,0)),NA()))</f>
        <v/>
      </c>
      <c r="AD572" s="18">
        <f>IF(NOT(ISNUMBER($A572)),NA(),IFERROR(1*INDEX(BBG_Data!$P$2:$P$4000,MATCH($A572,BBG_Data!$O$2:$O$4000,0)),NA()))</f>
        <v/>
      </c>
      <c r="AE572" s="18">
        <f>IF(NOT(ISNUMBER($A572)),NA(),IFERROR(1*INDEX(BBG_Data!$R$2:$R$4000,MATCH($A572,BBG_Data!$Q$2:$Q$4000,0)),NA()))</f>
        <v/>
      </c>
      <c r="AF572" s="20">
        <f>IF(AND(ISNUMBER(B572),ISNUMBER(AC572)),(B572-AC572)*100,NA())</f>
        <v/>
      </c>
      <c r="AG572" s="20">
        <f>IF(AND(ISNUMBER(AE572),ISNUMBER(AD572)),(AE572-AD572)*100,NA())</f>
        <v/>
      </c>
      <c r="AH572" s="19">
        <f>IF(NOT(ISNUMBER($A572)),NA(),IFERROR(INDEX(BBG_Data!$T$2:$T$4000,MATCH($A572,BBG_Data!$S$2:$S$4000,0))*Settings!$B$25,NA()))</f>
        <v/>
      </c>
      <c r="AI572" s="19">
        <f>IF(NOT(ISNUMBER($A572)),NA(),IFERROR(INDEX(BBG_Data!$V$2:$V$4000,MATCH($A572,BBG_Data!$U$2:$U$4000,0))*Settings!$B$25,NA()))</f>
        <v/>
      </c>
      <c r="AJ572" s="19">
        <f>IF(NOT(ISNUMBER($A572)),NA(),IFERROR(1*INDEX(BBG_Data!$X$2:$X$4000,MATCH($A572,BBG_Data!$W$2:$W$4000,0)),NA()))</f>
        <v/>
      </c>
      <c r="AK572" s="19">
        <f>IF(NOT(ISNUMBER($A572)),NA(),IFERROR(1*INDEX(BBG_Data!$Z$2:$Z$4000,MATCH($A572,BBG_Data!$Y$2:$Y$4000,0)),NA()))</f>
        <v/>
      </c>
    </row>
    <row r="573">
      <c r="A573" s="17">
        <f>IF(ISNUMBER(BBG_Data!A573),BBG_Data!A573,"")</f>
        <v/>
      </c>
      <c r="B573" s="18">
        <f>IF(AND(ISNUMBER($A573),ISNUMBER(BBG_Data!B573)),BBG_Data!B573,NA())</f>
        <v/>
      </c>
      <c r="C573" s="18">
        <f>IF(NOT(ISNUMBER($A573)),NA(),IFERROR(1*INDEX(BBG_Data!$D$2:$D$4000,MATCH($A573,BBG_Data!$C$2:$C$4000,0)),NA()))</f>
        <v/>
      </c>
      <c r="D573" s="19">
        <f>IF(NOT(ISNUMBER($A573)),NA(),IFERROR(1*INDEX(BBG_Data!$F$2:$F$4000,MATCH($A573,BBG_Data!$E$2:$E$4000,0)),NA()))</f>
        <v/>
      </c>
      <c r="E573" s="19">
        <f>IF(NOT(ISNUMBER($A573)),NA(),IFERROR(1*INDEX(BBG_Data!$H$2:$H$4000,MATCH($A573,BBG_Data!$G$2:$G$4000,0)),NA()))</f>
        <v/>
      </c>
      <c r="F573" s="20">
        <f>IF(AND(ISNUMBER(B573),ISNUMBER(B572)),IF(B573=B572,"",(B573-B572)*100),"")</f>
        <v/>
      </c>
      <c r="G573" s="20">
        <f>IF(AND(ISNUMBER(C573),ISNUMBER(C572)),IF(C573=C572,"",(C573-C572)*100),"")</f>
        <v/>
      </c>
      <c r="H573" s="20">
        <f>IF(OR(NOT(ISNUMBER($A573)),ROW()-2&lt;Settings!$B$11),NA(),IF(COUNT(OFFSET(F573,1-Settings!$B$11,0,Settings!$B$11,1))&lt;ROUNDUP(Settings!$B$11*Settings!$B$26,0),NA(),STDEV(OFFSET(F573,1-Settings!$B$11,0,Settings!$B$11,1))*SQRT(Settings!$B$13)))</f>
        <v/>
      </c>
      <c r="I573" s="20">
        <f>IF(OR(NOT(ISNUMBER($A573)),ROW()-2&lt;Settings!$B$12),NA(),IF(COUNT(OFFSET(F573,1-Settings!$B$12,0,Settings!$B$12,1))&lt;ROUNDUP(Settings!$B$12*Settings!$B$26,0),NA(),STDEV(OFFSET(F573,1-Settings!$B$12,0,Settings!$B$12,1))*SQRT(Settings!$B$13)))</f>
        <v/>
      </c>
      <c r="J573" s="20">
        <f>IF(OR(NOT(ISNUMBER($A573)),ROW()-2&lt;Settings!$B$11),NA(),IF(COUNT(OFFSET(G573,1-Settings!$B$11,0,Settings!$B$11,1))&lt;ROUNDUP(Settings!$B$11*Settings!$B$26,0),NA(),STDEV(OFFSET(G573,1-Settings!$B$11,0,Settings!$B$11,1))*SQRT(Settings!$B$13)))</f>
        <v/>
      </c>
      <c r="K573" s="20">
        <f>IF(OR(NOT(ISNUMBER($A573)),ROW()-2&lt;Settings!$B$12),NA(),IF(COUNT(OFFSET(G573,1-Settings!$B$12,0,Settings!$B$12,1))&lt;ROUNDUP(Settings!$B$12*Settings!$B$26,0),NA(),STDEV(OFFSET(G573,1-Settings!$B$12,0,Settings!$B$12,1))*SQRT(Settings!$B$13)))</f>
        <v/>
      </c>
      <c r="L573" s="20">
        <f>IF(AND(ISNUMBER(D573),ISNUMBER(H573)),D573-H573,NA())</f>
        <v/>
      </c>
      <c r="M573" s="20">
        <f>IF(AND(ISNUMBER(E573),ISNUMBER(K573)),E573-K573,NA())</f>
        <v/>
      </c>
      <c r="N573" s="20">
        <f>IF(NOT(ISNUMBER($A573)),NA(),IF(COUNT(OFFSET(G573,1,0,Settings!$B$12,1))&lt;ROUNDUP(Settings!$B$12*Settings!$B$26,0),NA(),STDEV(OFFSET(G573,1,0,Settings!$B$12,1))*SQRT(Settings!$B$13)))</f>
        <v/>
      </c>
      <c r="O573" s="20">
        <f>IF(AND(ISNUMBER(E573),ISNUMBER(N573)),E573-N573,NA())</f>
        <v/>
      </c>
      <c r="P573" s="19">
        <f>IF(NOT(ISNUMBER($A573)),NA(),IF(OR($A573&lt;MIN(KW_TP!$A$2:$A$2501),$A573&gt;MAX(KW_TP!$A$2:$A$2501)),NA(),INDEX(KW_TP!$C$2:$C$2501,MATCH($A573,KW_TP!$A$2:$A$2501,1))))</f>
        <v/>
      </c>
      <c r="Q573" s="18">
        <f>IF(NOT(ISNUMBER($A573)),NA(),IFERROR(1*INDEX(BBG_Data!$J$2:$J$4000,MATCH($A573,BBG_Data!$I$2:$I$4000,0)),NA()))</f>
        <v/>
      </c>
      <c r="R573" s="18">
        <f>IF(NOT(ISNUMBER($A573)),NA(),IFERROR(1*INDEX(BBG_Data!$L$2:$L$4000,MATCH($A573,BBG_Data!$K$2:$K$4000,0)),NA()))</f>
        <v/>
      </c>
      <c r="S573" s="20">
        <f>IF(AND(ISNUMBER(B573),ISNUMBER(Q573),ISNUMBER(R573)),(B573-Q573-R573)*100,NA())</f>
        <v/>
      </c>
      <c r="T573" s="20">
        <f>IF(AND(ISNUMBER(B573),Settings!$B$17&gt;0),IF(ISNUMBER(INDEX($B:$B,Settings!$B$17)),(B573-INDEX($B:$B,Settings!$B$17))*100,NA()),NA())</f>
        <v/>
      </c>
      <c r="U573" s="20">
        <f>IF(AND(ISNUMBER(Q573),Settings!$B$17&gt;0),IF(ISNUMBER(INDEX($Q:$Q,Settings!$B$17)),(Q573-INDEX($Q:$Q,Settings!$B$17))*100,NA()),NA())</f>
        <v/>
      </c>
      <c r="V573" s="20">
        <f>IF(AND(ISNUMBER(R573),Settings!$B$17&gt;0),IF(ISNUMBER(INDEX($R:$R,Settings!$B$17)),(R573-INDEX($R:$R,Settings!$B$17))*100,NA()),NA())</f>
        <v/>
      </c>
      <c r="W573" s="20">
        <f>IF(AND(ISNUMBER(P573),Settings!$B$17&gt;0),IF(ISNUMBER(INDEX($P:$P,Settings!$B$17)),P573-INDEX($P:$P,Settings!$B$17),NA()),NA())</f>
        <v/>
      </c>
      <c r="X573" s="19">
        <f>IF(NOT(ISNUMBER($A573)),NA(),IF(OR($A573&lt;MIN(DKW_10Y!$A$2:$A$2918),$A573&gt;MAX(DKW_10Y!$A$2:$A$2918),Settings!$B$16&lt;MIN(DKW_10Y!$A$2:$A$2918)),NA(),(INDEX(DKW_10Y!$B$2:$B$2918,MATCH($A573,DKW_10Y!$A$2:$A$2918,1))-INDEX(DKW_10Y!$B$2:$B$2918,MATCH(Settings!$B$16,DKW_10Y!$A$2:$A$2918,1)))*100))</f>
        <v/>
      </c>
      <c r="Y573" s="19">
        <f>IF(NOT(ISNUMBER($A573)),NA(),IF(OR($A573&lt;MIN(DKW_10Y!$A$2:$A$2918),$A573&gt;MAX(DKW_10Y!$A$2:$A$2918),Settings!$B$16&lt;MIN(DKW_10Y!$A$2:$A$2918)),NA(),(INDEX(DKW_10Y!$C$2:$C$2918,MATCH($A573,DKW_10Y!$A$2:$A$2918,1))-INDEX(DKW_10Y!$C$2:$C$2918,MATCH(Settings!$B$16,DKW_10Y!$A$2:$A$2918,1)))*100))</f>
        <v/>
      </c>
      <c r="Z573" s="19">
        <f>IF(NOT(ISNUMBER($A573)),NA(),IF(OR($A573&lt;MIN(DKW_10Y!$A$2:$A$2918),$A573&gt;MAX(DKW_10Y!$A$2:$A$2918),Settings!$B$16&lt;MIN(DKW_10Y!$A$2:$A$2918)),NA(),(INDEX(DKW_10Y!$D$2:$D$2918,MATCH($A573,DKW_10Y!$A$2:$A$2918,1))-INDEX(DKW_10Y!$D$2:$D$2918,MATCH(Settings!$B$16,DKW_10Y!$A$2:$A$2918,1)))*100))</f>
        <v/>
      </c>
      <c r="AA573" s="19">
        <f>IF(NOT(ISNUMBER($A573)),NA(),IF(OR($A573&lt;MIN(DKW_10Y!$A$2:$A$2918),$A573&gt;MAX(DKW_10Y!$A$2:$A$2918),Settings!$B$16&lt;MIN(DKW_10Y!$A$2:$A$2918)),NA(),(INDEX(DKW_10Y!$E$2:$E$2918,MATCH($A573,DKW_10Y!$A$2:$A$2918,1))-INDEX(DKW_10Y!$E$2:$E$2918,MATCH(Settings!$B$16,DKW_10Y!$A$2:$A$2918,1)))*100))</f>
        <v/>
      </c>
      <c r="AB573" s="19">
        <f>IF(NOT(ISNUMBER($A573)),NA(),IF(OR($A573&lt;MIN(DKW_10Y!$A$2:$A$2918),$A573&gt;MAX(DKW_10Y!$A$2:$A$2918),Settings!$B$16&lt;MIN(DKW_10Y!$A$2:$A$2918)),NA(),(INDEX(DKW_10Y!$H$2:$H$2918,MATCH($A573,DKW_10Y!$A$2:$A$2918,1))-INDEX(DKW_10Y!$H$2:$H$2918,MATCH(Settings!$B$16,DKW_10Y!$A$2:$A$2918,1)))*100))</f>
        <v/>
      </c>
      <c r="AC573" s="18">
        <f>IF(NOT(ISNUMBER($A573)),NA(),IFERROR(1*INDEX(BBG_Data!$N$2:$N$4000,MATCH($A573,BBG_Data!$M$2:$M$4000,0)),NA()))</f>
        <v/>
      </c>
      <c r="AD573" s="18">
        <f>IF(NOT(ISNUMBER($A573)),NA(),IFERROR(1*INDEX(BBG_Data!$P$2:$P$4000,MATCH($A573,BBG_Data!$O$2:$O$4000,0)),NA()))</f>
        <v/>
      </c>
      <c r="AE573" s="18">
        <f>IF(NOT(ISNUMBER($A573)),NA(),IFERROR(1*INDEX(BBG_Data!$R$2:$R$4000,MATCH($A573,BBG_Data!$Q$2:$Q$4000,0)),NA()))</f>
        <v/>
      </c>
      <c r="AF573" s="20">
        <f>IF(AND(ISNUMBER(B573),ISNUMBER(AC573)),(B573-AC573)*100,NA())</f>
        <v/>
      </c>
      <c r="AG573" s="20">
        <f>IF(AND(ISNUMBER(AE573),ISNUMBER(AD573)),(AE573-AD573)*100,NA())</f>
        <v/>
      </c>
      <c r="AH573" s="19">
        <f>IF(NOT(ISNUMBER($A573)),NA(),IFERROR(INDEX(BBG_Data!$T$2:$T$4000,MATCH($A573,BBG_Data!$S$2:$S$4000,0))*Settings!$B$25,NA()))</f>
        <v/>
      </c>
      <c r="AI573" s="19">
        <f>IF(NOT(ISNUMBER($A573)),NA(),IFERROR(INDEX(BBG_Data!$V$2:$V$4000,MATCH($A573,BBG_Data!$U$2:$U$4000,0))*Settings!$B$25,NA()))</f>
        <v/>
      </c>
      <c r="AJ573" s="19">
        <f>IF(NOT(ISNUMBER($A573)),NA(),IFERROR(1*INDEX(BBG_Data!$X$2:$X$4000,MATCH($A573,BBG_Data!$W$2:$W$4000,0)),NA()))</f>
        <v/>
      </c>
      <c r="AK573" s="19">
        <f>IF(NOT(ISNUMBER($A573)),NA(),IFERROR(1*INDEX(BBG_Data!$Z$2:$Z$4000,MATCH($A573,BBG_Data!$Y$2:$Y$4000,0)),NA()))</f>
        <v/>
      </c>
    </row>
    <row r="574">
      <c r="A574" s="17">
        <f>IF(ISNUMBER(BBG_Data!A574),BBG_Data!A574,"")</f>
        <v/>
      </c>
      <c r="B574" s="18">
        <f>IF(AND(ISNUMBER($A574),ISNUMBER(BBG_Data!B574)),BBG_Data!B574,NA())</f>
        <v/>
      </c>
      <c r="C574" s="18">
        <f>IF(NOT(ISNUMBER($A574)),NA(),IFERROR(1*INDEX(BBG_Data!$D$2:$D$4000,MATCH($A574,BBG_Data!$C$2:$C$4000,0)),NA()))</f>
        <v/>
      </c>
      <c r="D574" s="19">
        <f>IF(NOT(ISNUMBER($A574)),NA(),IFERROR(1*INDEX(BBG_Data!$F$2:$F$4000,MATCH($A574,BBG_Data!$E$2:$E$4000,0)),NA()))</f>
        <v/>
      </c>
      <c r="E574" s="19">
        <f>IF(NOT(ISNUMBER($A574)),NA(),IFERROR(1*INDEX(BBG_Data!$H$2:$H$4000,MATCH($A574,BBG_Data!$G$2:$G$4000,0)),NA()))</f>
        <v/>
      </c>
      <c r="F574" s="20">
        <f>IF(AND(ISNUMBER(B574),ISNUMBER(B573)),IF(B574=B573,"",(B574-B573)*100),"")</f>
        <v/>
      </c>
      <c r="G574" s="20">
        <f>IF(AND(ISNUMBER(C574),ISNUMBER(C573)),IF(C574=C573,"",(C574-C573)*100),"")</f>
        <v/>
      </c>
      <c r="H574" s="20">
        <f>IF(OR(NOT(ISNUMBER($A574)),ROW()-2&lt;Settings!$B$11),NA(),IF(COUNT(OFFSET(F574,1-Settings!$B$11,0,Settings!$B$11,1))&lt;ROUNDUP(Settings!$B$11*Settings!$B$26,0),NA(),STDEV(OFFSET(F574,1-Settings!$B$11,0,Settings!$B$11,1))*SQRT(Settings!$B$13)))</f>
        <v/>
      </c>
      <c r="I574" s="20">
        <f>IF(OR(NOT(ISNUMBER($A574)),ROW()-2&lt;Settings!$B$12),NA(),IF(COUNT(OFFSET(F574,1-Settings!$B$12,0,Settings!$B$12,1))&lt;ROUNDUP(Settings!$B$12*Settings!$B$26,0),NA(),STDEV(OFFSET(F574,1-Settings!$B$12,0,Settings!$B$12,1))*SQRT(Settings!$B$13)))</f>
        <v/>
      </c>
      <c r="J574" s="20">
        <f>IF(OR(NOT(ISNUMBER($A574)),ROW()-2&lt;Settings!$B$11),NA(),IF(COUNT(OFFSET(G574,1-Settings!$B$11,0,Settings!$B$11,1))&lt;ROUNDUP(Settings!$B$11*Settings!$B$26,0),NA(),STDEV(OFFSET(G574,1-Settings!$B$11,0,Settings!$B$11,1))*SQRT(Settings!$B$13)))</f>
        <v/>
      </c>
      <c r="K574" s="20">
        <f>IF(OR(NOT(ISNUMBER($A574)),ROW()-2&lt;Settings!$B$12),NA(),IF(COUNT(OFFSET(G574,1-Settings!$B$12,0,Settings!$B$12,1))&lt;ROUNDUP(Settings!$B$12*Settings!$B$26,0),NA(),STDEV(OFFSET(G574,1-Settings!$B$12,0,Settings!$B$12,1))*SQRT(Settings!$B$13)))</f>
        <v/>
      </c>
      <c r="L574" s="20">
        <f>IF(AND(ISNUMBER(D574),ISNUMBER(H574)),D574-H574,NA())</f>
        <v/>
      </c>
      <c r="M574" s="20">
        <f>IF(AND(ISNUMBER(E574),ISNUMBER(K574)),E574-K574,NA())</f>
        <v/>
      </c>
      <c r="N574" s="20">
        <f>IF(NOT(ISNUMBER($A574)),NA(),IF(COUNT(OFFSET(G574,1,0,Settings!$B$12,1))&lt;ROUNDUP(Settings!$B$12*Settings!$B$26,0),NA(),STDEV(OFFSET(G574,1,0,Settings!$B$12,1))*SQRT(Settings!$B$13)))</f>
        <v/>
      </c>
      <c r="O574" s="20">
        <f>IF(AND(ISNUMBER(E574),ISNUMBER(N574)),E574-N574,NA())</f>
        <v/>
      </c>
      <c r="P574" s="19">
        <f>IF(NOT(ISNUMBER($A574)),NA(),IF(OR($A574&lt;MIN(KW_TP!$A$2:$A$2501),$A574&gt;MAX(KW_TP!$A$2:$A$2501)),NA(),INDEX(KW_TP!$C$2:$C$2501,MATCH($A574,KW_TP!$A$2:$A$2501,1))))</f>
        <v/>
      </c>
      <c r="Q574" s="18">
        <f>IF(NOT(ISNUMBER($A574)),NA(),IFERROR(1*INDEX(BBG_Data!$J$2:$J$4000,MATCH($A574,BBG_Data!$I$2:$I$4000,0)),NA()))</f>
        <v/>
      </c>
      <c r="R574" s="18">
        <f>IF(NOT(ISNUMBER($A574)),NA(),IFERROR(1*INDEX(BBG_Data!$L$2:$L$4000,MATCH($A574,BBG_Data!$K$2:$K$4000,0)),NA()))</f>
        <v/>
      </c>
      <c r="S574" s="20">
        <f>IF(AND(ISNUMBER(B574),ISNUMBER(Q574),ISNUMBER(R574)),(B574-Q574-R574)*100,NA())</f>
        <v/>
      </c>
      <c r="T574" s="20">
        <f>IF(AND(ISNUMBER(B574),Settings!$B$17&gt;0),IF(ISNUMBER(INDEX($B:$B,Settings!$B$17)),(B574-INDEX($B:$B,Settings!$B$17))*100,NA()),NA())</f>
        <v/>
      </c>
      <c r="U574" s="20">
        <f>IF(AND(ISNUMBER(Q574),Settings!$B$17&gt;0),IF(ISNUMBER(INDEX($Q:$Q,Settings!$B$17)),(Q574-INDEX($Q:$Q,Settings!$B$17))*100,NA()),NA())</f>
        <v/>
      </c>
      <c r="V574" s="20">
        <f>IF(AND(ISNUMBER(R574),Settings!$B$17&gt;0),IF(ISNUMBER(INDEX($R:$R,Settings!$B$17)),(R574-INDEX($R:$R,Settings!$B$17))*100,NA()),NA())</f>
        <v/>
      </c>
      <c r="W574" s="20">
        <f>IF(AND(ISNUMBER(P574),Settings!$B$17&gt;0),IF(ISNUMBER(INDEX($P:$P,Settings!$B$17)),P574-INDEX($P:$P,Settings!$B$17),NA()),NA())</f>
        <v/>
      </c>
      <c r="X574" s="19">
        <f>IF(NOT(ISNUMBER($A574)),NA(),IF(OR($A574&lt;MIN(DKW_10Y!$A$2:$A$2918),$A574&gt;MAX(DKW_10Y!$A$2:$A$2918),Settings!$B$16&lt;MIN(DKW_10Y!$A$2:$A$2918)),NA(),(INDEX(DKW_10Y!$B$2:$B$2918,MATCH($A574,DKW_10Y!$A$2:$A$2918,1))-INDEX(DKW_10Y!$B$2:$B$2918,MATCH(Settings!$B$16,DKW_10Y!$A$2:$A$2918,1)))*100))</f>
        <v/>
      </c>
      <c r="Y574" s="19">
        <f>IF(NOT(ISNUMBER($A574)),NA(),IF(OR($A574&lt;MIN(DKW_10Y!$A$2:$A$2918),$A574&gt;MAX(DKW_10Y!$A$2:$A$2918),Settings!$B$16&lt;MIN(DKW_10Y!$A$2:$A$2918)),NA(),(INDEX(DKW_10Y!$C$2:$C$2918,MATCH($A574,DKW_10Y!$A$2:$A$2918,1))-INDEX(DKW_10Y!$C$2:$C$2918,MATCH(Settings!$B$16,DKW_10Y!$A$2:$A$2918,1)))*100))</f>
        <v/>
      </c>
      <c r="Z574" s="19">
        <f>IF(NOT(ISNUMBER($A574)),NA(),IF(OR($A574&lt;MIN(DKW_10Y!$A$2:$A$2918),$A574&gt;MAX(DKW_10Y!$A$2:$A$2918),Settings!$B$16&lt;MIN(DKW_10Y!$A$2:$A$2918)),NA(),(INDEX(DKW_10Y!$D$2:$D$2918,MATCH($A574,DKW_10Y!$A$2:$A$2918,1))-INDEX(DKW_10Y!$D$2:$D$2918,MATCH(Settings!$B$16,DKW_10Y!$A$2:$A$2918,1)))*100))</f>
        <v/>
      </c>
      <c r="AA574" s="19">
        <f>IF(NOT(ISNUMBER($A574)),NA(),IF(OR($A574&lt;MIN(DKW_10Y!$A$2:$A$2918),$A574&gt;MAX(DKW_10Y!$A$2:$A$2918),Settings!$B$16&lt;MIN(DKW_10Y!$A$2:$A$2918)),NA(),(INDEX(DKW_10Y!$E$2:$E$2918,MATCH($A574,DKW_10Y!$A$2:$A$2918,1))-INDEX(DKW_10Y!$E$2:$E$2918,MATCH(Settings!$B$16,DKW_10Y!$A$2:$A$2918,1)))*100))</f>
        <v/>
      </c>
      <c r="AB574" s="19">
        <f>IF(NOT(ISNUMBER($A574)),NA(),IF(OR($A574&lt;MIN(DKW_10Y!$A$2:$A$2918),$A574&gt;MAX(DKW_10Y!$A$2:$A$2918),Settings!$B$16&lt;MIN(DKW_10Y!$A$2:$A$2918)),NA(),(INDEX(DKW_10Y!$H$2:$H$2918,MATCH($A574,DKW_10Y!$A$2:$A$2918,1))-INDEX(DKW_10Y!$H$2:$H$2918,MATCH(Settings!$B$16,DKW_10Y!$A$2:$A$2918,1)))*100))</f>
        <v/>
      </c>
      <c r="AC574" s="18">
        <f>IF(NOT(ISNUMBER($A574)),NA(),IFERROR(1*INDEX(BBG_Data!$N$2:$N$4000,MATCH($A574,BBG_Data!$M$2:$M$4000,0)),NA()))</f>
        <v/>
      </c>
      <c r="AD574" s="18">
        <f>IF(NOT(ISNUMBER($A574)),NA(),IFERROR(1*INDEX(BBG_Data!$P$2:$P$4000,MATCH($A574,BBG_Data!$O$2:$O$4000,0)),NA()))</f>
        <v/>
      </c>
      <c r="AE574" s="18">
        <f>IF(NOT(ISNUMBER($A574)),NA(),IFERROR(1*INDEX(BBG_Data!$R$2:$R$4000,MATCH($A574,BBG_Data!$Q$2:$Q$4000,0)),NA()))</f>
        <v/>
      </c>
      <c r="AF574" s="20">
        <f>IF(AND(ISNUMBER(B574),ISNUMBER(AC574)),(B574-AC574)*100,NA())</f>
        <v/>
      </c>
      <c r="AG574" s="20">
        <f>IF(AND(ISNUMBER(AE574),ISNUMBER(AD574)),(AE574-AD574)*100,NA())</f>
        <v/>
      </c>
      <c r="AH574" s="19">
        <f>IF(NOT(ISNUMBER($A574)),NA(),IFERROR(INDEX(BBG_Data!$T$2:$T$4000,MATCH($A574,BBG_Data!$S$2:$S$4000,0))*Settings!$B$25,NA()))</f>
        <v/>
      </c>
      <c r="AI574" s="19">
        <f>IF(NOT(ISNUMBER($A574)),NA(),IFERROR(INDEX(BBG_Data!$V$2:$V$4000,MATCH($A574,BBG_Data!$U$2:$U$4000,0))*Settings!$B$25,NA()))</f>
        <v/>
      </c>
      <c r="AJ574" s="19">
        <f>IF(NOT(ISNUMBER($A574)),NA(),IFERROR(1*INDEX(BBG_Data!$X$2:$X$4000,MATCH($A574,BBG_Data!$W$2:$W$4000,0)),NA()))</f>
        <v/>
      </c>
      <c r="AK574" s="19">
        <f>IF(NOT(ISNUMBER($A574)),NA(),IFERROR(1*INDEX(BBG_Data!$Z$2:$Z$4000,MATCH($A574,BBG_Data!$Y$2:$Y$4000,0)),NA()))</f>
        <v/>
      </c>
    </row>
    <row r="575">
      <c r="A575" s="17">
        <f>IF(ISNUMBER(BBG_Data!A575),BBG_Data!A575,"")</f>
        <v/>
      </c>
      <c r="B575" s="18">
        <f>IF(AND(ISNUMBER($A575),ISNUMBER(BBG_Data!B575)),BBG_Data!B575,NA())</f>
        <v/>
      </c>
      <c r="C575" s="18">
        <f>IF(NOT(ISNUMBER($A575)),NA(),IFERROR(1*INDEX(BBG_Data!$D$2:$D$4000,MATCH($A575,BBG_Data!$C$2:$C$4000,0)),NA()))</f>
        <v/>
      </c>
      <c r="D575" s="19">
        <f>IF(NOT(ISNUMBER($A575)),NA(),IFERROR(1*INDEX(BBG_Data!$F$2:$F$4000,MATCH($A575,BBG_Data!$E$2:$E$4000,0)),NA()))</f>
        <v/>
      </c>
      <c r="E575" s="19">
        <f>IF(NOT(ISNUMBER($A575)),NA(),IFERROR(1*INDEX(BBG_Data!$H$2:$H$4000,MATCH($A575,BBG_Data!$G$2:$G$4000,0)),NA()))</f>
        <v/>
      </c>
      <c r="F575" s="20">
        <f>IF(AND(ISNUMBER(B575),ISNUMBER(B574)),IF(B575=B574,"",(B575-B574)*100),"")</f>
        <v/>
      </c>
      <c r="G575" s="20">
        <f>IF(AND(ISNUMBER(C575),ISNUMBER(C574)),IF(C575=C574,"",(C575-C574)*100),"")</f>
        <v/>
      </c>
      <c r="H575" s="20">
        <f>IF(OR(NOT(ISNUMBER($A575)),ROW()-2&lt;Settings!$B$11),NA(),IF(COUNT(OFFSET(F575,1-Settings!$B$11,0,Settings!$B$11,1))&lt;ROUNDUP(Settings!$B$11*Settings!$B$26,0),NA(),STDEV(OFFSET(F575,1-Settings!$B$11,0,Settings!$B$11,1))*SQRT(Settings!$B$13)))</f>
        <v/>
      </c>
      <c r="I575" s="20">
        <f>IF(OR(NOT(ISNUMBER($A575)),ROW()-2&lt;Settings!$B$12),NA(),IF(COUNT(OFFSET(F575,1-Settings!$B$12,0,Settings!$B$12,1))&lt;ROUNDUP(Settings!$B$12*Settings!$B$26,0),NA(),STDEV(OFFSET(F575,1-Settings!$B$12,0,Settings!$B$12,1))*SQRT(Settings!$B$13)))</f>
        <v/>
      </c>
      <c r="J575" s="20">
        <f>IF(OR(NOT(ISNUMBER($A575)),ROW()-2&lt;Settings!$B$11),NA(),IF(COUNT(OFFSET(G575,1-Settings!$B$11,0,Settings!$B$11,1))&lt;ROUNDUP(Settings!$B$11*Settings!$B$26,0),NA(),STDEV(OFFSET(G575,1-Settings!$B$11,0,Settings!$B$11,1))*SQRT(Settings!$B$13)))</f>
        <v/>
      </c>
      <c r="K575" s="20">
        <f>IF(OR(NOT(ISNUMBER($A575)),ROW()-2&lt;Settings!$B$12),NA(),IF(COUNT(OFFSET(G575,1-Settings!$B$12,0,Settings!$B$12,1))&lt;ROUNDUP(Settings!$B$12*Settings!$B$26,0),NA(),STDEV(OFFSET(G575,1-Settings!$B$12,0,Settings!$B$12,1))*SQRT(Settings!$B$13)))</f>
        <v/>
      </c>
      <c r="L575" s="20">
        <f>IF(AND(ISNUMBER(D575),ISNUMBER(H575)),D575-H575,NA())</f>
        <v/>
      </c>
      <c r="M575" s="20">
        <f>IF(AND(ISNUMBER(E575),ISNUMBER(K575)),E575-K575,NA())</f>
        <v/>
      </c>
      <c r="N575" s="20">
        <f>IF(NOT(ISNUMBER($A575)),NA(),IF(COUNT(OFFSET(G575,1,0,Settings!$B$12,1))&lt;ROUNDUP(Settings!$B$12*Settings!$B$26,0),NA(),STDEV(OFFSET(G575,1,0,Settings!$B$12,1))*SQRT(Settings!$B$13)))</f>
        <v/>
      </c>
      <c r="O575" s="20">
        <f>IF(AND(ISNUMBER(E575),ISNUMBER(N575)),E575-N575,NA())</f>
        <v/>
      </c>
      <c r="P575" s="19">
        <f>IF(NOT(ISNUMBER($A575)),NA(),IF(OR($A575&lt;MIN(KW_TP!$A$2:$A$2501),$A575&gt;MAX(KW_TP!$A$2:$A$2501)),NA(),INDEX(KW_TP!$C$2:$C$2501,MATCH($A575,KW_TP!$A$2:$A$2501,1))))</f>
        <v/>
      </c>
      <c r="Q575" s="18">
        <f>IF(NOT(ISNUMBER($A575)),NA(),IFERROR(1*INDEX(BBG_Data!$J$2:$J$4000,MATCH($A575,BBG_Data!$I$2:$I$4000,0)),NA()))</f>
        <v/>
      </c>
      <c r="R575" s="18">
        <f>IF(NOT(ISNUMBER($A575)),NA(),IFERROR(1*INDEX(BBG_Data!$L$2:$L$4000,MATCH($A575,BBG_Data!$K$2:$K$4000,0)),NA()))</f>
        <v/>
      </c>
      <c r="S575" s="20">
        <f>IF(AND(ISNUMBER(B575),ISNUMBER(Q575),ISNUMBER(R575)),(B575-Q575-R575)*100,NA())</f>
        <v/>
      </c>
      <c r="T575" s="20">
        <f>IF(AND(ISNUMBER(B575),Settings!$B$17&gt;0),IF(ISNUMBER(INDEX($B:$B,Settings!$B$17)),(B575-INDEX($B:$B,Settings!$B$17))*100,NA()),NA())</f>
        <v/>
      </c>
      <c r="U575" s="20">
        <f>IF(AND(ISNUMBER(Q575),Settings!$B$17&gt;0),IF(ISNUMBER(INDEX($Q:$Q,Settings!$B$17)),(Q575-INDEX($Q:$Q,Settings!$B$17))*100,NA()),NA())</f>
        <v/>
      </c>
      <c r="V575" s="20">
        <f>IF(AND(ISNUMBER(R575),Settings!$B$17&gt;0),IF(ISNUMBER(INDEX($R:$R,Settings!$B$17)),(R575-INDEX($R:$R,Settings!$B$17))*100,NA()),NA())</f>
        <v/>
      </c>
      <c r="W575" s="20">
        <f>IF(AND(ISNUMBER(P575),Settings!$B$17&gt;0),IF(ISNUMBER(INDEX($P:$P,Settings!$B$17)),P575-INDEX($P:$P,Settings!$B$17),NA()),NA())</f>
        <v/>
      </c>
      <c r="X575" s="19">
        <f>IF(NOT(ISNUMBER($A575)),NA(),IF(OR($A575&lt;MIN(DKW_10Y!$A$2:$A$2918),$A575&gt;MAX(DKW_10Y!$A$2:$A$2918),Settings!$B$16&lt;MIN(DKW_10Y!$A$2:$A$2918)),NA(),(INDEX(DKW_10Y!$B$2:$B$2918,MATCH($A575,DKW_10Y!$A$2:$A$2918,1))-INDEX(DKW_10Y!$B$2:$B$2918,MATCH(Settings!$B$16,DKW_10Y!$A$2:$A$2918,1)))*100))</f>
        <v/>
      </c>
      <c r="Y575" s="19">
        <f>IF(NOT(ISNUMBER($A575)),NA(),IF(OR($A575&lt;MIN(DKW_10Y!$A$2:$A$2918),$A575&gt;MAX(DKW_10Y!$A$2:$A$2918),Settings!$B$16&lt;MIN(DKW_10Y!$A$2:$A$2918)),NA(),(INDEX(DKW_10Y!$C$2:$C$2918,MATCH($A575,DKW_10Y!$A$2:$A$2918,1))-INDEX(DKW_10Y!$C$2:$C$2918,MATCH(Settings!$B$16,DKW_10Y!$A$2:$A$2918,1)))*100))</f>
        <v/>
      </c>
      <c r="Z575" s="19">
        <f>IF(NOT(ISNUMBER($A575)),NA(),IF(OR($A575&lt;MIN(DKW_10Y!$A$2:$A$2918),$A575&gt;MAX(DKW_10Y!$A$2:$A$2918),Settings!$B$16&lt;MIN(DKW_10Y!$A$2:$A$2918)),NA(),(INDEX(DKW_10Y!$D$2:$D$2918,MATCH($A575,DKW_10Y!$A$2:$A$2918,1))-INDEX(DKW_10Y!$D$2:$D$2918,MATCH(Settings!$B$16,DKW_10Y!$A$2:$A$2918,1)))*100))</f>
        <v/>
      </c>
      <c r="AA575" s="19">
        <f>IF(NOT(ISNUMBER($A575)),NA(),IF(OR($A575&lt;MIN(DKW_10Y!$A$2:$A$2918),$A575&gt;MAX(DKW_10Y!$A$2:$A$2918),Settings!$B$16&lt;MIN(DKW_10Y!$A$2:$A$2918)),NA(),(INDEX(DKW_10Y!$E$2:$E$2918,MATCH($A575,DKW_10Y!$A$2:$A$2918,1))-INDEX(DKW_10Y!$E$2:$E$2918,MATCH(Settings!$B$16,DKW_10Y!$A$2:$A$2918,1)))*100))</f>
        <v/>
      </c>
      <c r="AB575" s="19">
        <f>IF(NOT(ISNUMBER($A575)),NA(),IF(OR($A575&lt;MIN(DKW_10Y!$A$2:$A$2918),$A575&gt;MAX(DKW_10Y!$A$2:$A$2918),Settings!$B$16&lt;MIN(DKW_10Y!$A$2:$A$2918)),NA(),(INDEX(DKW_10Y!$H$2:$H$2918,MATCH($A575,DKW_10Y!$A$2:$A$2918,1))-INDEX(DKW_10Y!$H$2:$H$2918,MATCH(Settings!$B$16,DKW_10Y!$A$2:$A$2918,1)))*100))</f>
        <v/>
      </c>
      <c r="AC575" s="18">
        <f>IF(NOT(ISNUMBER($A575)),NA(),IFERROR(1*INDEX(BBG_Data!$N$2:$N$4000,MATCH($A575,BBG_Data!$M$2:$M$4000,0)),NA()))</f>
        <v/>
      </c>
      <c r="AD575" s="18">
        <f>IF(NOT(ISNUMBER($A575)),NA(),IFERROR(1*INDEX(BBG_Data!$P$2:$P$4000,MATCH($A575,BBG_Data!$O$2:$O$4000,0)),NA()))</f>
        <v/>
      </c>
      <c r="AE575" s="18">
        <f>IF(NOT(ISNUMBER($A575)),NA(),IFERROR(1*INDEX(BBG_Data!$R$2:$R$4000,MATCH($A575,BBG_Data!$Q$2:$Q$4000,0)),NA()))</f>
        <v/>
      </c>
      <c r="AF575" s="20">
        <f>IF(AND(ISNUMBER(B575),ISNUMBER(AC575)),(B575-AC575)*100,NA())</f>
        <v/>
      </c>
      <c r="AG575" s="20">
        <f>IF(AND(ISNUMBER(AE575),ISNUMBER(AD575)),(AE575-AD575)*100,NA())</f>
        <v/>
      </c>
      <c r="AH575" s="19">
        <f>IF(NOT(ISNUMBER($A575)),NA(),IFERROR(INDEX(BBG_Data!$T$2:$T$4000,MATCH($A575,BBG_Data!$S$2:$S$4000,0))*Settings!$B$25,NA()))</f>
        <v/>
      </c>
      <c r="AI575" s="19">
        <f>IF(NOT(ISNUMBER($A575)),NA(),IFERROR(INDEX(BBG_Data!$V$2:$V$4000,MATCH($A575,BBG_Data!$U$2:$U$4000,0))*Settings!$B$25,NA()))</f>
        <v/>
      </c>
      <c r="AJ575" s="19">
        <f>IF(NOT(ISNUMBER($A575)),NA(),IFERROR(1*INDEX(BBG_Data!$X$2:$X$4000,MATCH($A575,BBG_Data!$W$2:$W$4000,0)),NA()))</f>
        <v/>
      </c>
      <c r="AK575" s="19">
        <f>IF(NOT(ISNUMBER($A575)),NA(),IFERROR(1*INDEX(BBG_Data!$Z$2:$Z$4000,MATCH($A575,BBG_Data!$Y$2:$Y$4000,0)),NA()))</f>
        <v/>
      </c>
    </row>
    <row r="576">
      <c r="A576" s="17">
        <f>IF(ISNUMBER(BBG_Data!A576),BBG_Data!A576,"")</f>
        <v/>
      </c>
      <c r="B576" s="18">
        <f>IF(AND(ISNUMBER($A576),ISNUMBER(BBG_Data!B576)),BBG_Data!B576,NA())</f>
        <v/>
      </c>
      <c r="C576" s="18">
        <f>IF(NOT(ISNUMBER($A576)),NA(),IFERROR(1*INDEX(BBG_Data!$D$2:$D$4000,MATCH($A576,BBG_Data!$C$2:$C$4000,0)),NA()))</f>
        <v/>
      </c>
      <c r="D576" s="19">
        <f>IF(NOT(ISNUMBER($A576)),NA(),IFERROR(1*INDEX(BBG_Data!$F$2:$F$4000,MATCH($A576,BBG_Data!$E$2:$E$4000,0)),NA()))</f>
        <v/>
      </c>
      <c r="E576" s="19">
        <f>IF(NOT(ISNUMBER($A576)),NA(),IFERROR(1*INDEX(BBG_Data!$H$2:$H$4000,MATCH($A576,BBG_Data!$G$2:$G$4000,0)),NA()))</f>
        <v/>
      </c>
      <c r="F576" s="20">
        <f>IF(AND(ISNUMBER(B576),ISNUMBER(B575)),IF(B576=B575,"",(B576-B575)*100),"")</f>
        <v/>
      </c>
      <c r="G576" s="20">
        <f>IF(AND(ISNUMBER(C576),ISNUMBER(C575)),IF(C576=C575,"",(C576-C575)*100),"")</f>
        <v/>
      </c>
      <c r="H576" s="20">
        <f>IF(OR(NOT(ISNUMBER($A576)),ROW()-2&lt;Settings!$B$11),NA(),IF(COUNT(OFFSET(F576,1-Settings!$B$11,0,Settings!$B$11,1))&lt;ROUNDUP(Settings!$B$11*Settings!$B$26,0),NA(),STDEV(OFFSET(F576,1-Settings!$B$11,0,Settings!$B$11,1))*SQRT(Settings!$B$13)))</f>
        <v/>
      </c>
      <c r="I576" s="20">
        <f>IF(OR(NOT(ISNUMBER($A576)),ROW()-2&lt;Settings!$B$12),NA(),IF(COUNT(OFFSET(F576,1-Settings!$B$12,0,Settings!$B$12,1))&lt;ROUNDUP(Settings!$B$12*Settings!$B$26,0),NA(),STDEV(OFFSET(F576,1-Settings!$B$12,0,Settings!$B$12,1))*SQRT(Settings!$B$13)))</f>
        <v/>
      </c>
      <c r="J576" s="20">
        <f>IF(OR(NOT(ISNUMBER($A576)),ROW()-2&lt;Settings!$B$11),NA(),IF(COUNT(OFFSET(G576,1-Settings!$B$11,0,Settings!$B$11,1))&lt;ROUNDUP(Settings!$B$11*Settings!$B$26,0),NA(),STDEV(OFFSET(G576,1-Settings!$B$11,0,Settings!$B$11,1))*SQRT(Settings!$B$13)))</f>
        <v/>
      </c>
      <c r="K576" s="20">
        <f>IF(OR(NOT(ISNUMBER($A576)),ROW()-2&lt;Settings!$B$12),NA(),IF(COUNT(OFFSET(G576,1-Settings!$B$12,0,Settings!$B$12,1))&lt;ROUNDUP(Settings!$B$12*Settings!$B$26,0),NA(),STDEV(OFFSET(G576,1-Settings!$B$12,0,Settings!$B$12,1))*SQRT(Settings!$B$13)))</f>
        <v/>
      </c>
      <c r="L576" s="20">
        <f>IF(AND(ISNUMBER(D576),ISNUMBER(H576)),D576-H576,NA())</f>
        <v/>
      </c>
      <c r="M576" s="20">
        <f>IF(AND(ISNUMBER(E576),ISNUMBER(K576)),E576-K576,NA())</f>
        <v/>
      </c>
      <c r="N576" s="20">
        <f>IF(NOT(ISNUMBER($A576)),NA(),IF(COUNT(OFFSET(G576,1,0,Settings!$B$12,1))&lt;ROUNDUP(Settings!$B$12*Settings!$B$26,0),NA(),STDEV(OFFSET(G576,1,0,Settings!$B$12,1))*SQRT(Settings!$B$13)))</f>
        <v/>
      </c>
      <c r="O576" s="20">
        <f>IF(AND(ISNUMBER(E576),ISNUMBER(N576)),E576-N576,NA())</f>
        <v/>
      </c>
      <c r="P576" s="19">
        <f>IF(NOT(ISNUMBER($A576)),NA(),IF(OR($A576&lt;MIN(KW_TP!$A$2:$A$2501),$A576&gt;MAX(KW_TP!$A$2:$A$2501)),NA(),INDEX(KW_TP!$C$2:$C$2501,MATCH($A576,KW_TP!$A$2:$A$2501,1))))</f>
        <v/>
      </c>
      <c r="Q576" s="18">
        <f>IF(NOT(ISNUMBER($A576)),NA(),IFERROR(1*INDEX(BBG_Data!$J$2:$J$4000,MATCH($A576,BBG_Data!$I$2:$I$4000,0)),NA()))</f>
        <v/>
      </c>
      <c r="R576" s="18">
        <f>IF(NOT(ISNUMBER($A576)),NA(),IFERROR(1*INDEX(BBG_Data!$L$2:$L$4000,MATCH($A576,BBG_Data!$K$2:$K$4000,0)),NA()))</f>
        <v/>
      </c>
      <c r="S576" s="20">
        <f>IF(AND(ISNUMBER(B576),ISNUMBER(Q576),ISNUMBER(R576)),(B576-Q576-R576)*100,NA())</f>
        <v/>
      </c>
      <c r="T576" s="20">
        <f>IF(AND(ISNUMBER(B576),Settings!$B$17&gt;0),IF(ISNUMBER(INDEX($B:$B,Settings!$B$17)),(B576-INDEX($B:$B,Settings!$B$17))*100,NA()),NA())</f>
        <v/>
      </c>
      <c r="U576" s="20">
        <f>IF(AND(ISNUMBER(Q576),Settings!$B$17&gt;0),IF(ISNUMBER(INDEX($Q:$Q,Settings!$B$17)),(Q576-INDEX($Q:$Q,Settings!$B$17))*100,NA()),NA())</f>
        <v/>
      </c>
      <c r="V576" s="20">
        <f>IF(AND(ISNUMBER(R576),Settings!$B$17&gt;0),IF(ISNUMBER(INDEX($R:$R,Settings!$B$17)),(R576-INDEX($R:$R,Settings!$B$17))*100,NA()),NA())</f>
        <v/>
      </c>
      <c r="W576" s="20">
        <f>IF(AND(ISNUMBER(P576),Settings!$B$17&gt;0),IF(ISNUMBER(INDEX($P:$P,Settings!$B$17)),P576-INDEX($P:$P,Settings!$B$17),NA()),NA())</f>
        <v/>
      </c>
      <c r="X576" s="19">
        <f>IF(NOT(ISNUMBER($A576)),NA(),IF(OR($A576&lt;MIN(DKW_10Y!$A$2:$A$2918),$A576&gt;MAX(DKW_10Y!$A$2:$A$2918),Settings!$B$16&lt;MIN(DKW_10Y!$A$2:$A$2918)),NA(),(INDEX(DKW_10Y!$B$2:$B$2918,MATCH($A576,DKW_10Y!$A$2:$A$2918,1))-INDEX(DKW_10Y!$B$2:$B$2918,MATCH(Settings!$B$16,DKW_10Y!$A$2:$A$2918,1)))*100))</f>
        <v/>
      </c>
      <c r="Y576" s="19">
        <f>IF(NOT(ISNUMBER($A576)),NA(),IF(OR($A576&lt;MIN(DKW_10Y!$A$2:$A$2918),$A576&gt;MAX(DKW_10Y!$A$2:$A$2918),Settings!$B$16&lt;MIN(DKW_10Y!$A$2:$A$2918)),NA(),(INDEX(DKW_10Y!$C$2:$C$2918,MATCH($A576,DKW_10Y!$A$2:$A$2918,1))-INDEX(DKW_10Y!$C$2:$C$2918,MATCH(Settings!$B$16,DKW_10Y!$A$2:$A$2918,1)))*100))</f>
        <v/>
      </c>
      <c r="Z576" s="19">
        <f>IF(NOT(ISNUMBER($A576)),NA(),IF(OR($A576&lt;MIN(DKW_10Y!$A$2:$A$2918),$A576&gt;MAX(DKW_10Y!$A$2:$A$2918),Settings!$B$16&lt;MIN(DKW_10Y!$A$2:$A$2918)),NA(),(INDEX(DKW_10Y!$D$2:$D$2918,MATCH($A576,DKW_10Y!$A$2:$A$2918,1))-INDEX(DKW_10Y!$D$2:$D$2918,MATCH(Settings!$B$16,DKW_10Y!$A$2:$A$2918,1)))*100))</f>
        <v/>
      </c>
      <c r="AA576" s="19">
        <f>IF(NOT(ISNUMBER($A576)),NA(),IF(OR($A576&lt;MIN(DKW_10Y!$A$2:$A$2918),$A576&gt;MAX(DKW_10Y!$A$2:$A$2918),Settings!$B$16&lt;MIN(DKW_10Y!$A$2:$A$2918)),NA(),(INDEX(DKW_10Y!$E$2:$E$2918,MATCH($A576,DKW_10Y!$A$2:$A$2918,1))-INDEX(DKW_10Y!$E$2:$E$2918,MATCH(Settings!$B$16,DKW_10Y!$A$2:$A$2918,1)))*100))</f>
        <v/>
      </c>
      <c r="AB576" s="19">
        <f>IF(NOT(ISNUMBER($A576)),NA(),IF(OR($A576&lt;MIN(DKW_10Y!$A$2:$A$2918),$A576&gt;MAX(DKW_10Y!$A$2:$A$2918),Settings!$B$16&lt;MIN(DKW_10Y!$A$2:$A$2918)),NA(),(INDEX(DKW_10Y!$H$2:$H$2918,MATCH($A576,DKW_10Y!$A$2:$A$2918,1))-INDEX(DKW_10Y!$H$2:$H$2918,MATCH(Settings!$B$16,DKW_10Y!$A$2:$A$2918,1)))*100))</f>
        <v/>
      </c>
      <c r="AC576" s="18">
        <f>IF(NOT(ISNUMBER($A576)),NA(),IFERROR(1*INDEX(BBG_Data!$N$2:$N$4000,MATCH($A576,BBG_Data!$M$2:$M$4000,0)),NA()))</f>
        <v/>
      </c>
      <c r="AD576" s="18">
        <f>IF(NOT(ISNUMBER($A576)),NA(),IFERROR(1*INDEX(BBG_Data!$P$2:$P$4000,MATCH($A576,BBG_Data!$O$2:$O$4000,0)),NA()))</f>
        <v/>
      </c>
      <c r="AE576" s="18">
        <f>IF(NOT(ISNUMBER($A576)),NA(),IFERROR(1*INDEX(BBG_Data!$R$2:$R$4000,MATCH($A576,BBG_Data!$Q$2:$Q$4000,0)),NA()))</f>
        <v/>
      </c>
      <c r="AF576" s="20">
        <f>IF(AND(ISNUMBER(B576),ISNUMBER(AC576)),(B576-AC576)*100,NA())</f>
        <v/>
      </c>
      <c r="AG576" s="20">
        <f>IF(AND(ISNUMBER(AE576),ISNUMBER(AD576)),(AE576-AD576)*100,NA())</f>
        <v/>
      </c>
      <c r="AH576" s="19">
        <f>IF(NOT(ISNUMBER($A576)),NA(),IFERROR(INDEX(BBG_Data!$T$2:$T$4000,MATCH($A576,BBG_Data!$S$2:$S$4000,0))*Settings!$B$25,NA()))</f>
        <v/>
      </c>
      <c r="AI576" s="19">
        <f>IF(NOT(ISNUMBER($A576)),NA(),IFERROR(INDEX(BBG_Data!$V$2:$V$4000,MATCH($A576,BBG_Data!$U$2:$U$4000,0))*Settings!$B$25,NA()))</f>
        <v/>
      </c>
      <c r="AJ576" s="19">
        <f>IF(NOT(ISNUMBER($A576)),NA(),IFERROR(1*INDEX(BBG_Data!$X$2:$X$4000,MATCH($A576,BBG_Data!$W$2:$W$4000,0)),NA()))</f>
        <v/>
      </c>
      <c r="AK576" s="19">
        <f>IF(NOT(ISNUMBER($A576)),NA(),IFERROR(1*INDEX(BBG_Data!$Z$2:$Z$4000,MATCH($A576,BBG_Data!$Y$2:$Y$4000,0)),NA()))</f>
        <v/>
      </c>
    </row>
    <row r="577">
      <c r="A577" s="17">
        <f>IF(ISNUMBER(BBG_Data!A577),BBG_Data!A577,"")</f>
        <v/>
      </c>
      <c r="B577" s="18">
        <f>IF(AND(ISNUMBER($A577),ISNUMBER(BBG_Data!B577)),BBG_Data!B577,NA())</f>
        <v/>
      </c>
      <c r="C577" s="18">
        <f>IF(NOT(ISNUMBER($A577)),NA(),IFERROR(1*INDEX(BBG_Data!$D$2:$D$4000,MATCH($A577,BBG_Data!$C$2:$C$4000,0)),NA()))</f>
        <v/>
      </c>
      <c r="D577" s="19">
        <f>IF(NOT(ISNUMBER($A577)),NA(),IFERROR(1*INDEX(BBG_Data!$F$2:$F$4000,MATCH($A577,BBG_Data!$E$2:$E$4000,0)),NA()))</f>
        <v/>
      </c>
      <c r="E577" s="19">
        <f>IF(NOT(ISNUMBER($A577)),NA(),IFERROR(1*INDEX(BBG_Data!$H$2:$H$4000,MATCH($A577,BBG_Data!$G$2:$G$4000,0)),NA()))</f>
        <v/>
      </c>
      <c r="F577" s="20">
        <f>IF(AND(ISNUMBER(B577),ISNUMBER(B576)),IF(B577=B576,"",(B577-B576)*100),"")</f>
        <v/>
      </c>
      <c r="G577" s="20">
        <f>IF(AND(ISNUMBER(C577),ISNUMBER(C576)),IF(C577=C576,"",(C577-C576)*100),"")</f>
        <v/>
      </c>
      <c r="H577" s="20">
        <f>IF(OR(NOT(ISNUMBER($A577)),ROW()-2&lt;Settings!$B$11),NA(),IF(COUNT(OFFSET(F577,1-Settings!$B$11,0,Settings!$B$11,1))&lt;ROUNDUP(Settings!$B$11*Settings!$B$26,0),NA(),STDEV(OFFSET(F577,1-Settings!$B$11,0,Settings!$B$11,1))*SQRT(Settings!$B$13)))</f>
        <v/>
      </c>
      <c r="I577" s="20">
        <f>IF(OR(NOT(ISNUMBER($A577)),ROW()-2&lt;Settings!$B$12),NA(),IF(COUNT(OFFSET(F577,1-Settings!$B$12,0,Settings!$B$12,1))&lt;ROUNDUP(Settings!$B$12*Settings!$B$26,0),NA(),STDEV(OFFSET(F577,1-Settings!$B$12,0,Settings!$B$12,1))*SQRT(Settings!$B$13)))</f>
        <v/>
      </c>
      <c r="J577" s="20">
        <f>IF(OR(NOT(ISNUMBER($A577)),ROW()-2&lt;Settings!$B$11),NA(),IF(COUNT(OFFSET(G577,1-Settings!$B$11,0,Settings!$B$11,1))&lt;ROUNDUP(Settings!$B$11*Settings!$B$26,0),NA(),STDEV(OFFSET(G577,1-Settings!$B$11,0,Settings!$B$11,1))*SQRT(Settings!$B$13)))</f>
        <v/>
      </c>
      <c r="K577" s="20">
        <f>IF(OR(NOT(ISNUMBER($A577)),ROW()-2&lt;Settings!$B$12),NA(),IF(COUNT(OFFSET(G577,1-Settings!$B$12,0,Settings!$B$12,1))&lt;ROUNDUP(Settings!$B$12*Settings!$B$26,0),NA(),STDEV(OFFSET(G577,1-Settings!$B$12,0,Settings!$B$12,1))*SQRT(Settings!$B$13)))</f>
        <v/>
      </c>
      <c r="L577" s="20">
        <f>IF(AND(ISNUMBER(D577),ISNUMBER(H577)),D577-H577,NA())</f>
        <v/>
      </c>
      <c r="M577" s="20">
        <f>IF(AND(ISNUMBER(E577),ISNUMBER(K577)),E577-K577,NA())</f>
        <v/>
      </c>
      <c r="N577" s="20">
        <f>IF(NOT(ISNUMBER($A577)),NA(),IF(COUNT(OFFSET(G577,1,0,Settings!$B$12,1))&lt;ROUNDUP(Settings!$B$12*Settings!$B$26,0),NA(),STDEV(OFFSET(G577,1,0,Settings!$B$12,1))*SQRT(Settings!$B$13)))</f>
        <v/>
      </c>
      <c r="O577" s="20">
        <f>IF(AND(ISNUMBER(E577),ISNUMBER(N577)),E577-N577,NA())</f>
        <v/>
      </c>
      <c r="P577" s="19">
        <f>IF(NOT(ISNUMBER($A577)),NA(),IF(OR($A577&lt;MIN(KW_TP!$A$2:$A$2501),$A577&gt;MAX(KW_TP!$A$2:$A$2501)),NA(),INDEX(KW_TP!$C$2:$C$2501,MATCH($A577,KW_TP!$A$2:$A$2501,1))))</f>
        <v/>
      </c>
      <c r="Q577" s="18">
        <f>IF(NOT(ISNUMBER($A577)),NA(),IFERROR(1*INDEX(BBG_Data!$J$2:$J$4000,MATCH($A577,BBG_Data!$I$2:$I$4000,0)),NA()))</f>
        <v/>
      </c>
      <c r="R577" s="18">
        <f>IF(NOT(ISNUMBER($A577)),NA(),IFERROR(1*INDEX(BBG_Data!$L$2:$L$4000,MATCH($A577,BBG_Data!$K$2:$K$4000,0)),NA()))</f>
        <v/>
      </c>
      <c r="S577" s="20">
        <f>IF(AND(ISNUMBER(B577),ISNUMBER(Q577),ISNUMBER(R577)),(B577-Q577-R577)*100,NA())</f>
        <v/>
      </c>
      <c r="T577" s="20">
        <f>IF(AND(ISNUMBER(B577),Settings!$B$17&gt;0),IF(ISNUMBER(INDEX($B:$B,Settings!$B$17)),(B577-INDEX($B:$B,Settings!$B$17))*100,NA()),NA())</f>
        <v/>
      </c>
      <c r="U577" s="20">
        <f>IF(AND(ISNUMBER(Q577),Settings!$B$17&gt;0),IF(ISNUMBER(INDEX($Q:$Q,Settings!$B$17)),(Q577-INDEX($Q:$Q,Settings!$B$17))*100,NA()),NA())</f>
        <v/>
      </c>
      <c r="V577" s="20">
        <f>IF(AND(ISNUMBER(R577),Settings!$B$17&gt;0),IF(ISNUMBER(INDEX($R:$R,Settings!$B$17)),(R577-INDEX($R:$R,Settings!$B$17))*100,NA()),NA())</f>
        <v/>
      </c>
      <c r="W577" s="20">
        <f>IF(AND(ISNUMBER(P577),Settings!$B$17&gt;0),IF(ISNUMBER(INDEX($P:$P,Settings!$B$17)),P577-INDEX($P:$P,Settings!$B$17),NA()),NA())</f>
        <v/>
      </c>
      <c r="X577" s="19">
        <f>IF(NOT(ISNUMBER($A577)),NA(),IF(OR($A577&lt;MIN(DKW_10Y!$A$2:$A$2918),$A577&gt;MAX(DKW_10Y!$A$2:$A$2918),Settings!$B$16&lt;MIN(DKW_10Y!$A$2:$A$2918)),NA(),(INDEX(DKW_10Y!$B$2:$B$2918,MATCH($A577,DKW_10Y!$A$2:$A$2918,1))-INDEX(DKW_10Y!$B$2:$B$2918,MATCH(Settings!$B$16,DKW_10Y!$A$2:$A$2918,1)))*100))</f>
        <v/>
      </c>
      <c r="Y577" s="19">
        <f>IF(NOT(ISNUMBER($A577)),NA(),IF(OR($A577&lt;MIN(DKW_10Y!$A$2:$A$2918),$A577&gt;MAX(DKW_10Y!$A$2:$A$2918),Settings!$B$16&lt;MIN(DKW_10Y!$A$2:$A$2918)),NA(),(INDEX(DKW_10Y!$C$2:$C$2918,MATCH($A577,DKW_10Y!$A$2:$A$2918,1))-INDEX(DKW_10Y!$C$2:$C$2918,MATCH(Settings!$B$16,DKW_10Y!$A$2:$A$2918,1)))*100))</f>
        <v/>
      </c>
      <c r="Z577" s="19">
        <f>IF(NOT(ISNUMBER($A577)),NA(),IF(OR($A577&lt;MIN(DKW_10Y!$A$2:$A$2918),$A577&gt;MAX(DKW_10Y!$A$2:$A$2918),Settings!$B$16&lt;MIN(DKW_10Y!$A$2:$A$2918)),NA(),(INDEX(DKW_10Y!$D$2:$D$2918,MATCH($A577,DKW_10Y!$A$2:$A$2918,1))-INDEX(DKW_10Y!$D$2:$D$2918,MATCH(Settings!$B$16,DKW_10Y!$A$2:$A$2918,1)))*100))</f>
        <v/>
      </c>
      <c r="AA577" s="19">
        <f>IF(NOT(ISNUMBER($A577)),NA(),IF(OR($A577&lt;MIN(DKW_10Y!$A$2:$A$2918),$A577&gt;MAX(DKW_10Y!$A$2:$A$2918),Settings!$B$16&lt;MIN(DKW_10Y!$A$2:$A$2918)),NA(),(INDEX(DKW_10Y!$E$2:$E$2918,MATCH($A577,DKW_10Y!$A$2:$A$2918,1))-INDEX(DKW_10Y!$E$2:$E$2918,MATCH(Settings!$B$16,DKW_10Y!$A$2:$A$2918,1)))*100))</f>
        <v/>
      </c>
      <c r="AB577" s="19">
        <f>IF(NOT(ISNUMBER($A577)),NA(),IF(OR($A577&lt;MIN(DKW_10Y!$A$2:$A$2918),$A577&gt;MAX(DKW_10Y!$A$2:$A$2918),Settings!$B$16&lt;MIN(DKW_10Y!$A$2:$A$2918)),NA(),(INDEX(DKW_10Y!$H$2:$H$2918,MATCH($A577,DKW_10Y!$A$2:$A$2918,1))-INDEX(DKW_10Y!$H$2:$H$2918,MATCH(Settings!$B$16,DKW_10Y!$A$2:$A$2918,1)))*100))</f>
        <v/>
      </c>
      <c r="AC577" s="18">
        <f>IF(NOT(ISNUMBER($A577)),NA(),IFERROR(1*INDEX(BBG_Data!$N$2:$N$4000,MATCH($A577,BBG_Data!$M$2:$M$4000,0)),NA()))</f>
        <v/>
      </c>
      <c r="AD577" s="18">
        <f>IF(NOT(ISNUMBER($A577)),NA(),IFERROR(1*INDEX(BBG_Data!$P$2:$P$4000,MATCH($A577,BBG_Data!$O$2:$O$4000,0)),NA()))</f>
        <v/>
      </c>
      <c r="AE577" s="18">
        <f>IF(NOT(ISNUMBER($A577)),NA(),IFERROR(1*INDEX(BBG_Data!$R$2:$R$4000,MATCH($A577,BBG_Data!$Q$2:$Q$4000,0)),NA()))</f>
        <v/>
      </c>
      <c r="AF577" s="20">
        <f>IF(AND(ISNUMBER(B577),ISNUMBER(AC577)),(B577-AC577)*100,NA())</f>
        <v/>
      </c>
      <c r="AG577" s="20">
        <f>IF(AND(ISNUMBER(AE577),ISNUMBER(AD577)),(AE577-AD577)*100,NA())</f>
        <v/>
      </c>
      <c r="AH577" s="19">
        <f>IF(NOT(ISNUMBER($A577)),NA(),IFERROR(INDEX(BBG_Data!$T$2:$T$4000,MATCH($A577,BBG_Data!$S$2:$S$4000,0))*Settings!$B$25,NA()))</f>
        <v/>
      </c>
      <c r="AI577" s="19">
        <f>IF(NOT(ISNUMBER($A577)),NA(),IFERROR(INDEX(BBG_Data!$V$2:$V$4000,MATCH($A577,BBG_Data!$U$2:$U$4000,0))*Settings!$B$25,NA()))</f>
        <v/>
      </c>
      <c r="AJ577" s="19">
        <f>IF(NOT(ISNUMBER($A577)),NA(),IFERROR(1*INDEX(BBG_Data!$X$2:$X$4000,MATCH($A577,BBG_Data!$W$2:$W$4000,0)),NA()))</f>
        <v/>
      </c>
      <c r="AK577" s="19">
        <f>IF(NOT(ISNUMBER($A577)),NA(),IFERROR(1*INDEX(BBG_Data!$Z$2:$Z$4000,MATCH($A577,BBG_Data!$Y$2:$Y$4000,0)),NA()))</f>
        <v/>
      </c>
    </row>
    <row r="578">
      <c r="A578" s="17">
        <f>IF(ISNUMBER(BBG_Data!A578),BBG_Data!A578,"")</f>
        <v/>
      </c>
      <c r="B578" s="18">
        <f>IF(AND(ISNUMBER($A578),ISNUMBER(BBG_Data!B578)),BBG_Data!B578,NA())</f>
        <v/>
      </c>
      <c r="C578" s="18">
        <f>IF(NOT(ISNUMBER($A578)),NA(),IFERROR(1*INDEX(BBG_Data!$D$2:$D$4000,MATCH($A578,BBG_Data!$C$2:$C$4000,0)),NA()))</f>
        <v/>
      </c>
      <c r="D578" s="19">
        <f>IF(NOT(ISNUMBER($A578)),NA(),IFERROR(1*INDEX(BBG_Data!$F$2:$F$4000,MATCH($A578,BBG_Data!$E$2:$E$4000,0)),NA()))</f>
        <v/>
      </c>
      <c r="E578" s="19">
        <f>IF(NOT(ISNUMBER($A578)),NA(),IFERROR(1*INDEX(BBG_Data!$H$2:$H$4000,MATCH($A578,BBG_Data!$G$2:$G$4000,0)),NA()))</f>
        <v/>
      </c>
      <c r="F578" s="20">
        <f>IF(AND(ISNUMBER(B578),ISNUMBER(B577)),IF(B578=B577,"",(B578-B577)*100),"")</f>
        <v/>
      </c>
      <c r="G578" s="20">
        <f>IF(AND(ISNUMBER(C578),ISNUMBER(C577)),IF(C578=C577,"",(C578-C577)*100),"")</f>
        <v/>
      </c>
      <c r="H578" s="20">
        <f>IF(OR(NOT(ISNUMBER($A578)),ROW()-2&lt;Settings!$B$11),NA(),IF(COUNT(OFFSET(F578,1-Settings!$B$11,0,Settings!$B$11,1))&lt;ROUNDUP(Settings!$B$11*Settings!$B$26,0),NA(),STDEV(OFFSET(F578,1-Settings!$B$11,0,Settings!$B$11,1))*SQRT(Settings!$B$13)))</f>
        <v/>
      </c>
      <c r="I578" s="20">
        <f>IF(OR(NOT(ISNUMBER($A578)),ROW()-2&lt;Settings!$B$12),NA(),IF(COUNT(OFFSET(F578,1-Settings!$B$12,0,Settings!$B$12,1))&lt;ROUNDUP(Settings!$B$12*Settings!$B$26,0),NA(),STDEV(OFFSET(F578,1-Settings!$B$12,0,Settings!$B$12,1))*SQRT(Settings!$B$13)))</f>
        <v/>
      </c>
      <c r="J578" s="20">
        <f>IF(OR(NOT(ISNUMBER($A578)),ROW()-2&lt;Settings!$B$11),NA(),IF(COUNT(OFFSET(G578,1-Settings!$B$11,0,Settings!$B$11,1))&lt;ROUNDUP(Settings!$B$11*Settings!$B$26,0),NA(),STDEV(OFFSET(G578,1-Settings!$B$11,0,Settings!$B$11,1))*SQRT(Settings!$B$13)))</f>
        <v/>
      </c>
      <c r="K578" s="20">
        <f>IF(OR(NOT(ISNUMBER($A578)),ROW()-2&lt;Settings!$B$12),NA(),IF(COUNT(OFFSET(G578,1-Settings!$B$12,0,Settings!$B$12,1))&lt;ROUNDUP(Settings!$B$12*Settings!$B$26,0),NA(),STDEV(OFFSET(G578,1-Settings!$B$12,0,Settings!$B$12,1))*SQRT(Settings!$B$13)))</f>
        <v/>
      </c>
      <c r="L578" s="20">
        <f>IF(AND(ISNUMBER(D578),ISNUMBER(H578)),D578-H578,NA())</f>
        <v/>
      </c>
      <c r="M578" s="20">
        <f>IF(AND(ISNUMBER(E578),ISNUMBER(K578)),E578-K578,NA())</f>
        <v/>
      </c>
      <c r="N578" s="20">
        <f>IF(NOT(ISNUMBER($A578)),NA(),IF(COUNT(OFFSET(G578,1,0,Settings!$B$12,1))&lt;ROUNDUP(Settings!$B$12*Settings!$B$26,0),NA(),STDEV(OFFSET(G578,1,0,Settings!$B$12,1))*SQRT(Settings!$B$13)))</f>
        <v/>
      </c>
      <c r="O578" s="20">
        <f>IF(AND(ISNUMBER(E578),ISNUMBER(N578)),E578-N578,NA())</f>
        <v/>
      </c>
      <c r="P578" s="19">
        <f>IF(NOT(ISNUMBER($A578)),NA(),IF(OR($A578&lt;MIN(KW_TP!$A$2:$A$2501),$A578&gt;MAX(KW_TP!$A$2:$A$2501)),NA(),INDEX(KW_TP!$C$2:$C$2501,MATCH($A578,KW_TP!$A$2:$A$2501,1))))</f>
        <v/>
      </c>
      <c r="Q578" s="18">
        <f>IF(NOT(ISNUMBER($A578)),NA(),IFERROR(1*INDEX(BBG_Data!$J$2:$J$4000,MATCH($A578,BBG_Data!$I$2:$I$4000,0)),NA()))</f>
        <v/>
      </c>
      <c r="R578" s="18">
        <f>IF(NOT(ISNUMBER($A578)),NA(),IFERROR(1*INDEX(BBG_Data!$L$2:$L$4000,MATCH($A578,BBG_Data!$K$2:$K$4000,0)),NA()))</f>
        <v/>
      </c>
      <c r="S578" s="20">
        <f>IF(AND(ISNUMBER(B578),ISNUMBER(Q578),ISNUMBER(R578)),(B578-Q578-R578)*100,NA())</f>
        <v/>
      </c>
      <c r="T578" s="20">
        <f>IF(AND(ISNUMBER(B578),Settings!$B$17&gt;0),IF(ISNUMBER(INDEX($B:$B,Settings!$B$17)),(B578-INDEX($B:$B,Settings!$B$17))*100,NA()),NA())</f>
        <v/>
      </c>
      <c r="U578" s="20">
        <f>IF(AND(ISNUMBER(Q578),Settings!$B$17&gt;0),IF(ISNUMBER(INDEX($Q:$Q,Settings!$B$17)),(Q578-INDEX($Q:$Q,Settings!$B$17))*100,NA()),NA())</f>
        <v/>
      </c>
      <c r="V578" s="20">
        <f>IF(AND(ISNUMBER(R578),Settings!$B$17&gt;0),IF(ISNUMBER(INDEX($R:$R,Settings!$B$17)),(R578-INDEX($R:$R,Settings!$B$17))*100,NA()),NA())</f>
        <v/>
      </c>
      <c r="W578" s="20">
        <f>IF(AND(ISNUMBER(P578),Settings!$B$17&gt;0),IF(ISNUMBER(INDEX($P:$P,Settings!$B$17)),P578-INDEX($P:$P,Settings!$B$17),NA()),NA())</f>
        <v/>
      </c>
      <c r="X578" s="19">
        <f>IF(NOT(ISNUMBER($A578)),NA(),IF(OR($A578&lt;MIN(DKW_10Y!$A$2:$A$2918),$A578&gt;MAX(DKW_10Y!$A$2:$A$2918),Settings!$B$16&lt;MIN(DKW_10Y!$A$2:$A$2918)),NA(),(INDEX(DKW_10Y!$B$2:$B$2918,MATCH($A578,DKW_10Y!$A$2:$A$2918,1))-INDEX(DKW_10Y!$B$2:$B$2918,MATCH(Settings!$B$16,DKW_10Y!$A$2:$A$2918,1)))*100))</f>
        <v/>
      </c>
      <c r="Y578" s="19">
        <f>IF(NOT(ISNUMBER($A578)),NA(),IF(OR($A578&lt;MIN(DKW_10Y!$A$2:$A$2918),$A578&gt;MAX(DKW_10Y!$A$2:$A$2918),Settings!$B$16&lt;MIN(DKW_10Y!$A$2:$A$2918)),NA(),(INDEX(DKW_10Y!$C$2:$C$2918,MATCH($A578,DKW_10Y!$A$2:$A$2918,1))-INDEX(DKW_10Y!$C$2:$C$2918,MATCH(Settings!$B$16,DKW_10Y!$A$2:$A$2918,1)))*100))</f>
        <v/>
      </c>
      <c r="Z578" s="19">
        <f>IF(NOT(ISNUMBER($A578)),NA(),IF(OR($A578&lt;MIN(DKW_10Y!$A$2:$A$2918),$A578&gt;MAX(DKW_10Y!$A$2:$A$2918),Settings!$B$16&lt;MIN(DKW_10Y!$A$2:$A$2918)),NA(),(INDEX(DKW_10Y!$D$2:$D$2918,MATCH($A578,DKW_10Y!$A$2:$A$2918,1))-INDEX(DKW_10Y!$D$2:$D$2918,MATCH(Settings!$B$16,DKW_10Y!$A$2:$A$2918,1)))*100))</f>
        <v/>
      </c>
      <c r="AA578" s="19">
        <f>IF(NOT(ISNUMBER($A578)),NA(),IF(OR($A578&lt;MIN(DKW_10Y!$A$2:$A$2918),$A578&gt;MAX(DKW_10Y!$A$2:$A$2918),Settings!$B$16&lt;MIN(DKW_10Y!$A$2:$A$2918)),NA(),(INDEX(DKW_10Y!$E$2:$E$2918,MATCH($A578,DKW_10Y!$A$2:$A$2918,1))-INDEX(DKW_10Y!$E$2:$E$2918,MATCH(Settings!$B$16,DKW_10Y!$A$2:$A$2918,1)))*100))</f>
        <v/>
      </c>
      <c r="AB578" s="19">
        <f>IF(NOT(ISNUMBER($A578)),NA(),IF(OR($A578&lt;MIN(DKW_10Y!$A$2:$A$2918),$A578&gt;MAX(DKW_10Y!$A$2:$A$2918),Settings!$B$16&lt;MIN(DKW_10Y!$A$2:$A$2918)),NA(),(INDEX(DKW_10Y!$H$2:$H$2918,MATCH($A578,DKW_10Y!$A$2:$A$2918,1))-INDEX(DKW_10Y!$H$2:$H$2918,MATCH(Settings!$B$16,DKW_10Y!$A$2:$A$2918,1)))*100))</f>
        <v/>
      </c>
      <c r="AC578" s="18">
        <f>IF(NOT(ISNUMBER($A578)),NA(),IFERROR(1*INDEX(BBG_Data!$N$2:$N$4000,MATCH($A578,BBG_Data!$M$2:$M$4000,0)),NA()))</f>
        <v/>
      </c>
      <c r="AD578" s="18">
        <f>IF(NOT(ISNUMBER($A578)),NA(),IFERROR(1*INDEX(BBG_Data!$P$2:$P$4000,MATCH($A578,BBG_Data!$O$2:$O$4000,0)),NA()))</f>
        <v/>
      </c>
      <c r="AE578" s="18">
        <f>IF(NOT(ISNUMBER($A578)),NA(),IFERROR(1*INDEX(BBG_Data!$R$2:$R$4000,MATCH($A578,BBG_Data!$Q$2:$Q$4000,0)),NA()))</f>
        <v/>
      </c>
      <c r="AF578" s="20">
        <f>IF(AND(ISNUMBER(B578),ISNUMBER(AC578)),(B578-AC578)*100,NA())</f>
        <v/>
      </c>
      <c r="AG578" s="20">
        <f>IF(AND(ISNUMBER(AE578),ISNUMBER(AD578)),(AE578-AD578)*100,NA())</f>
        <v/>
      </c>
      <c r="AH578" s="19">
        <f>IF(NOT(ISNUMBER($A578)),NA(),IFERROR(INDEX(BBG_Data!$T$2:$T$4000,MATCH($A578,BBG_Data!$S$2:$S$4000,0))*Settings!$B$25,NA()))</f>
        <v/>
      </c>
      <c r="AI578" s="19">
        <f>IF(NOT(ISNUMBER($A578)),NA(),IFERROR(INDEX(BBG_Data!$V$2:$V$4000,MATCH($A578,BBG_Data!$U$2:$U$4000,0))*Settings!$B$25,NA()))</f>
        <v/>
      </c>
      <c r="AJ578" s="19">
        <f>IF(NOT(ISNUMBER($A578)),NA(),IFERROR(1*INDEX(BBG_Data!$X$2:$X$4000,MATCH($A578,BBG_Data!$W$2:$W$4000,0)),NA()))</f>
        <v/>
      </c>
      <c r="AK578" s="19">
        <f>IF(NOT(ISNUMBER($A578)),NA(),IFERROR(1*INDEX(BBG_Data!$Z$2:$Z$4000,MATCH($A578,BBG_Data!$Y$2:$Y$4000,0)),NA()))</f>
        <v/>
      </c>
    </row>
    <row r="579">
      <c r="A579" s="17">
        <f>IF(ISNUMBER(BBG_Data!A579),BBG_Data!A579,"")</f>
        <v/>
      </c>
      <c r="B579" s="18">
        <f>IF(AND(ISNUMBER($A579),ISNUMBER(BBG_Data!B579)),BBG_Data!B579,NA())</f>
        <v/>
      </c>
      <c r="C579" s="18">
        <f>IF(NOT(ISNUMBER($A579)),NA(),IFERROR(1*INDEX(BBG_Data!$D$2:$D$4000,MATCH($A579,BBG_Data!$C$2:$C$4000,0)),NA()))</f>
        <v/>
      </c>
      <c r="D579" s="19">
        <f>IF(NOT(ISNUMBER($A579)),NA(),IFERROR(1*INDEX(BBG_Data!$F$2:$F$4000,MATCH($A579,BBG_Data!$E$2:$E$4000,0)),NA()))</f>
        <v/>
      </c>
      <c r="E579" s="19">
        <f>IF(NOT(ISNUMBER($A579)),NA(),IFERROR(1*INDEX(BBG_Data!$H$2:$H$4000,MATCH($A579,BBG_Data!$G$2:$G$4000,0)),NA()))</f>
        <v/>
      </c>
      <c r="F579" s="20">
        <f>IF(AND(ISNUMBER(B579),ISNUMBER(B578)),IF(B579=B578,"",(B579-B578)*100),"")</f>
        <v/>
      </c>
      <c r="G579" s="20">
        <f>IF(AND(ISNUMBER(C579),ISNUMBER(C578)),IF(C579=C578,"",(C579-C578)*100),"")</f>
        <v/>
      </c>
      <c r="H579" s="20">
        <f>IF(OR(NOT(ISNUMBER($A579)),ROW()-2&lt;Settings!$B$11),NA(),IF(COUNT(OFFSET(F579,1-Settings!$B$11,0,Settings!$B$11,1))&lt;ROUNDUP(Settings!$B$11*Settings!$B$26,0),NA(),STDEV(OFFSET(F579,1-Settings!$B$11,0,Settings!$B$11,1))*SQRT(Settings!$B$13)))</f>
        <v/>
      </c>
      <c r="I579" s="20">
        <f>IF(OR(NOT(ISNUMBER($A579)),ROW()-2&lt;Settings!$B$12),NA(),IF(COUNT(OFFSET(F579,1-Settings!$B$12,0,Settings!$B$12,1))&lt;ROUNDUP(Settings!$B$12*Settings!$B$26,0),NA(),STDEV(OFFSET(F579,1-Settings!$B$12,0,Settings!$B$12,1))*SQRT(Settings!$B$13)))</f>
        <v/>
      </c>
      <c r="J579" s="20">
        <f>IF(OR(NOT(ISNUMBER($A579)),ROW()-2&lt;Settings!$B$11),NA(),IF(COUNT(OFFSET(G579,1-Settings!$B$11,0,Settings!$B$11,1))&lt;ROUNDUP(Settings!$B$11*Settings!$B$26,0),NA(),STDEV(OFFSET(G579,1-Settings!$B$11,0,Settings!$B$11,1))*SQRT(Settings!$B$13)))</f>
        <v/>
      </c>
      <c r="K579" s="20">
        <f>IF(OR(NOT(ISNUMBER($A579)),ROW()-2&lt;Settings!$B$12),NA(),IF(COUNT(OFFSET(G579,1-Settings!$B$12,0,Settings!$B$12,1))&lt;ROUNDUP(Settings!$B$12*Settings!$B$26,0),NA(),STDEV(OFFSET(G579,1-Settings!$B$12,0,Settings!$B$12,1))*SQRT(Settings!$B$13)))</f>
        <v/>
      </c>
      <c r="L579" s="20">
        <f>IF(AND(ISNUMBER(D579),ISNUMBER(H579)),D579-H579,NA())</f>
        <v/>
      </c>
      <c r="M579" s="20">
        <f>IF(AND(ISNUMBER(E579),ISNUMBER(K579)),E579-K579,NA())</f>
        <v/>
      </c>
      <c r="N579" s="20">
        <f>IF(NOT(ISNUMBER($A579)),NA(),IF(COUNT(OFFSET(G579,1,0,Settings!$B$12,1))&lt;ROUNDUP(Settings!$B$12*Settings!$B$26,0),NA(),STDEV(OFFSET(G579,1,0,Settings!$B$12,1))*SQRT(Settings!$B$13)))</f>
        <v/>
      </c>
      <c r="O579" s="20">
        <f>IF(AND(ISNUMBER(E579),ISNUMBER(N579)),E579-N579,NA())</f>
        <v/>
      </c>
      <c r="P579" s="19">
        <f>IF(NOT(ISNUMBER($A579)),NA(),IF(OR($A579&lt;MIN(KW_TP!$A$2:$A$2501),$A579&gt;MAX(KW_TP!$A$2:$A$2501)),NA(),INDEX(KW_TP!$C$2:$C$2501,MATCH($A579,KW_TP!$A$2:$A$2501,1))))</f>
        <v/>
      </c>
      <c r="Q579" s="18">
        <f>IF(NOT(ISNUMBER($A579)),NA(),IFERROR(1*INDEX(BBG_Data!$J$2:$J$4000,MATCH($A579,BBG_Data!$I$2:$I$4000,0)),NA()))</f>
        <v/>
      </c>
      <c r="R579" s="18">
        <f>IF(NOT(ISNUMBER($A579)),NA(),IFERROR(1*INDEX(BBG_Data!$L$2:$L$4000,MATCH($A579,BBG_Data!$K$2:$K$4000,0)),NA()))</f>
        <v/>
      </c>
      <c r="S579" s="20">
        <f>IF(AND(ISNUMBER(B579),ISNUMBER(Q579),ISNUMBER(R579)),(B579-Q579-R579)*100,NA())</f>
        <v/>
      </c>
      <c r="T579" s="20">
        <f>IF(AND(ISNUMBER(B579),Settings!$B$17&gt;0),IF(ISNUMBER(INDEX($B:$B,Settings!$B$17)),(B579-INDEX($B:$B,Settings!$B$17))*100,NA()),NA())</f>
        <v/>
      </c>
      <c r="U579" s="20">
        <f>IF(AND(ISNUMBER(Q579),Settings!$B$17&gt;0),IF(ISNUMBER(INDEX($Q:$Q,Settings!$B$17)),(Q579-INDEX($Q:$Q,Settings!$B$17))*100,NA()),NA())</f>
        <v/>
      </c>
      <c r="V579" s="20">
        <f>IF(AND(ISNUMBER(R579),Settings!$B$17&gt;0),IF(ISNUMBER(INDEX($R:$R,Settings!$B$17)),(R579-INDEX($R:$R,Settings!$B$17))*100,NA()),NA())</f>
        <v/>
      </c>
      <c r="W579" s="20">
        <f>IF(AND(ISNUMBER(P579),Settings!$B$17&gt;0),IF(ISNUMBER(INDEX($P:$P,Settings!$B$17)),P579-INDEX($P:$P,Settings!$B$17),NA()),NA())</f>
        <v/>
      </c>
      <c r="X579" s="19">
        <f>IF(NOT(ISNUMBER($A579)),NA(),IF(OR($A579&lt;MIN(DKW_10Y!$A$2:$A$2918),$A579&gt;MAX(DKW_10Y!$A$2:$A$2918),Settings!$B$16&lt;MIN(DKW_10Y!$A$2:$A$2918)),NA(),(INDEX(DKW_10Y!$B$2:$B$2918,MATCH($A579,DKW_10Y!$A$2:$A$2918,1))-INDEX(DKW_10Y!$B$2:$B$2918,MATCH(Settings!$B$16,DKW_10Y!$A$2:$A$2918,1)))*100))</f>
        <v/>
      </c>
      <c r="Y579" s="19">
        <f>IF(NOT(ISNUMBER($A579)),NA(),IF(OR($A579&lt;MIN(DKW_10Y!$A$2:$A$2918),$A579&gt;MAX(DKW_10Y!$A$2:$A$2918),Settings!$B$16&lt;MIN(DKW_10Y!$A$2:$A$2918)),NA(),(INDEX(DKW_10Y!$C$2:$C$2918,MATCH($A579,DKW_10Y!$A$2:$A$2918,1))-INDEX(DKW_10Y!$C$2:$C$2918,MATCH(Settings!$B$16,DKW_10Y!$A$2:$A$2918,1)))*100))</f>
        <v/>
      </c>
      <c r="Z579" s="19">
        <f>IF(NOT(ISNUMBER($A579)),NA(),IF(OR($A579&lt;MIN(DKW_10Y!$A$2:$A$2918),$A579&gt;MAX(DKW_10Y!$A$2:$A$2918),Settings!$B$16&lt;MIN(DKW_10Y!$A$2:$A$2918)),NA(),(INDEX(DKW_10Y!$D$2:$D$2918,MATCH($A579,DKW_10Y!$A$2:$A$2918,1))-INDEX(DKW_10Y!$D$2:$D$2918,MATCH(Settings!$B$16,DKW_10Y!$A$2:$A$2918,1)))*100))</f>
        <v/>
      </c>
      <c r="AA579" s="19">
        <f>IF(NOT(ISNUMBER($A579)),NA(),IF(OR($A579&lt;MIN(DKW_10Y!$A$2:$A$2918),$A579&gt;MAX(DKW_10Y!$A$2:$A$2918),Settings!$B$16&lt;MIN(DKW_10Y!$A$2:$A$2918)),NA(),(INDEX(DKW_10Y!$E$2:$E$2918,MATCH($A579,DKW_10Y!$A$2:$A$2918,1))-INDEX(DKW_10Y!$E$2:$E$2918,MATCH(Settings!$B$16,DKW_10Y!$A$2:$A$2918,1)))*100))</f>
        <v/>
      </c>
      <c r="AB579" s="19">
        <f>IF(NOT(ISNUMBER($A579)),NA(),IF(OR($A579&lt;MIN(DKW_10Y!$A$2:$A$2918),$A579&gt;MAX(DKW_10Y!$A$2:$A$2918),Settings!$B$16&lt;MIN(DKW_10Y!$A$2:$A$2918)),NA(),(INDEX(DKW_10Y!$H$2:$H$2918,MATCH($A579,DKW_10Y!$A$2:$A$2918,1))-INDEX(DKW_10Y!$H$2:$H$2918,MATCH(Settings!$B$16,DKW_10Y!$A$2:$A$2918,1)))*100))</f>
        <v/>
      </c>
      <c r="AC579" s="18">
        <f>IF(NOT(ISNUMBER($A579)),NA(),IFERROR(1*INDEX(BBG_Data!$N$2:$N$4000,MATCH($A579,BBG_Data!$M$2:$M$4000,0)),NA()))</f>
        <v/>
      </c>
      <c r="AD579" s="18">
        <f>IF(NOT(ISNUMBER($A579)),NA(),IFERROR(1*INDEX(BBG_Data!$P$2:$P$4000,MATCH($A579,BBG_Data!$O$2:$O$4000,0)),NA()))</f>
        <v/>
      </c>
      <c r="AE579" s="18">
        <f>IF(NOT(ISNUMBER($A579)),NA(),IFERROR(1*INDEX(BBG_Data!$R$2:$R$4000,MATCH($A579,BBG_Data!$Q$2:$Q$4000,0)),NA()))</f>
        <v/>
      </c>
      <c r="AF579" s="20">
        <f>IF(AND(ISNUMBER(B579),ISNUMBER(AC579)),(B579-AC579)*100,NA())</f>
        <v/>
      </c>
      <c r="AG579" s="20">
        <f>IF(AND(ISNUMBER(AE579),ISNUMBER(AD579)),(AE579-AD579)*100,NA())</f>
        <v/>
      </c>
      <c r="AH579" s="19">
        <f>IF(NOT(ISNUMBER($A579)),NA(),IFERROR(INDEX(BBG_Data!$T$2:$T$4000,MATCH($A579,BBG_Data!$S$2:$S$4000,0))*Settings!$B$25,NA()))</f>
        <v/>
      </c>
      <c r="AI579" s="19">
        <f>IF(NOT(ISNUMBER($A579)),NA(),IFERROR(INDEX(BBG_Data!$V$2:$V$4000,MATCH($A579,BBG_Data!$U$2:$U$4000,0))*Settings!$B$25,NA()))</f>
        <v/>
      </c>
      <c r="AJ579" s="19">
        <f>IF(NOT(ISNUMBER($A579)),NA(),IFERROR(1*INDEX(BBG_Data!$X$2:$X$4000,MATCH($A579,BBG_Data!$W$2:$W$4000,0)),NA()))</f>
        <v/>
      </c>
      <c r="AK579" s="19">
        <f>IF(NOT(ISNUMBER($A579)),NA(),IFERROR(1*INDEX(BBG_Data!$Z$2:$Z$4000,MATCH($A579,BBG_Data!$Y$2:$Y$4000,0)),NA()))</f>
        <v/>
      </c>
    </row>
    <row r="580">
      <c r="A580" s="17">
        <f>IF(ISNUMBER(BBG_Data!A580),BBG_Data!A580,"")</f>
        <v/>
      </c>
      <c r="B580" s="18">
        <f>IF(AND(ISNUMBER($A580),ISNUMBER(BBG_Data!B580)),BBG_Data!B580,NA())</f>
        <v/>
      </c>
      <c r="C580" s="18">
        <f>IF(NOT(ISNUMBER($A580)),NA(),IFERROR(1*INDEX(BBG_Data!$D$2:$D$4000,MATCH($A580,BBG_Data!$C$2:$C$4000,0)),NA()))</f>
        <v/>
      </c>
      <c r="D580" s="19">
        <f>IF(NOT(ISNUMBER($A580)),NA(),IFERROR(1*INDEX(BBG_Data!$F$2:$F$4000,MATCH($A580,BBG_Data!$E$2:$E$4000,0)),NA()))</f>
        <v/>
      </c>
      <c r="E580" s="19">
        <f>IF(NOT(ISNUMBER($A580)),NA(),IFERROR(1*INDEX(BBG_Data!$H$2:$H$4000,MATCH($A580,BBG_Data!$G$2:$G$4000,0)),NA()))</f>
        <v/>
      </c>
      <c r="F580" s="20">
        <f>IF(AND(ISNUMBER(B580),ISNUMBER(B579)),IF(B580=B579,"",(B580-B579)*100),"")</f>
        <v/>
      </c>
      <c r="G580" s="20">
        <f>IF(AND(ISNUMBER(C580),ISNUMBER(C579)),IF(C580=C579,"",(C580-C579)*100),"")</f>
        <v/>
      </c>
      <c r="H580" s="20">
        <f>IF(OR(NOT(ISNUMBER($A580)),ROW()-2&lt;Settings!$B$11),NA(),IF(COUNT(OFFSET(F580,1-Settings!$B$11,0,Settings!$B$11,1))&lt;ROUNDUP(Settings!$B$11*Settings!$B$26,0),NA(),STDEV(OFFSET(F580,1-Settings!$B$11,0,Settings!$B$11,1))*SQRT(Settings!$B$13)))</f>
        <v/>
      </c>
      <c r="I580" s="20">
        <f>IF(OR(NOT(ISNUMBER($A580)),ROW()-2&lt;Settings!$B$12),NA(),IF(COUNT(OFFSET(F580,1-Settings!$B$12,0,Settings!$B$12,1))&lt;ROUNDUP(Settings!$B$12*Settings!$B$26,0),NA(),STDEV(OFFSET(F580,1-Settings!$B$12,0,Settings!$B$12,1))*SQRT(Settings!$B$13)))</f>
        <v/>
      </c>
      <c r="J580" s="20">
        <f>IF(OR(NOT(ISNUMBER($A580)),ROW()-2&lt;Settings!$B$11),NA(),IF(COUNT(OFFSET(G580,1-Settings!$B$11,0,Settings!$B$11,1))&lt;ROUNDUP(Settings!$B$11*Settings!$B$26,0),NA(),STDEV(OFFSET(G580,1-Settings!$B$11,0,Settings!$B$11,1))*SQRT(Settings!$B$13)))</f>
        <v/>
      </c>
      <c r="K580" s="20">
        <f>IF(OR(NOT(ISNUMBER($A580)),ROW()-2&lt;Settings!$B$12),NA(),IF(COUNT(OFFSET(G580,1-Settings!$B$12,0,Settings!$B$12,1))&lt;ROUNDUP(Settings!$B$12*Settings!$B$26,0),NA(),STDEV(OFFSET(G580,1-Settings!$B$12,0,Settings!$B$12,1))*SQRT(Settings!$B$13)))</f>
        <v/>
      </c>
      <c r="L580" s="20">
        <f>IF(AND(ISNUMBER(D580),ISNUMBER(H580)),D580-H580,NA())</f>
        <v/>
      </c>
      <c r="M580" s="20">
        <f>IF(AND(ISNUMBER(E580),ISNUMBER(K580)),E580-K580,NA())</f>
        <v/>
      </c>
      <c r="N580" s="20">
        <f>IF(NOT(ISNUMBER($A580)),NA(),IF(COUNT(OFFSET(G580,1,0,Settings!$B$12,1))&lt;ROUNDUP(Settings!$B$12*Settings!$B$26,0),NA(),STDEV(OFFSET(G580,1,0,Settings!$B$12,1))*SQRT(Settings!$B$13)))</f>
        <v/>
      </c>
      <c r="O580" s="20">
        <f>IF(AND(ISNUMBER(E580),ISNUMBER(N580)),E580-N580,NA())</f>
        <v/>
      </c>
      <c r="P580" s="19">
        <f>IF(NOT(ISNUMBER($A580)),NA(),IF(OR($A580&lt;MIN(KW_TP!$A$2:$A$2501),$A580&gt;MAX(KW_TP!$A$2:$A$2501)),NA(),INDEX(KW_TP!$C$2:$C$2501,MATCH($A580,KW_TP!$A$2:$A$2501,1))))</f>
        <v/>
      </c>
      <c r="Q580" s="18">
        <f>IF(NOT(ISNUMBER($A580)),NA(),IFERROR(1*INDEX(BBG_Data!$J$2:$J$4000,MATCH($A580,BBG_Data!$I$2:$I$4000,0)),NA()))</f>
        <v/>
      </c>
      <c r="R580" s="18">
        <f>IF(NOT(ISNUMBER($A580)),NA(),IFERROR(1*INDEX(BBG_Data!$L$2:$L$4000,MATCH($A580,BBG_Data!$K$2:$K$4000,0)),NA()))</f>
        <v/>
      </c>
      <c r="S580" s="20">
        <f>IF(AND(ISNUMBER(B580),ISNUMBER(Q580),ISNUMBER(R580)),(B580-Q580-R580)*100,NA())</f>
        <v/>
      </c>
      <c r="T580" s="20">
        <f>IF(AND(ISNUMBER(B580),Settings!$B$17&gt;0),IF(ISNUMBER(INDEX($B:$B,Settings!$B$17)),(B580-INDEX($B:$B,Settings!$B$17))*100,NA()),NA())</f>
        <v/>
      </c>
      <c r="U580" s="20">
        <f>IF(AND(ISNUMBER(Q580),Settings!$B$17&gt;0),IF(ISNUMBER(INDEX($Q:$Q,Settings!$B$17)),(Q580-INDEX($Q:$Q,Settings!$B$17))*100,NA()),NA())</f>
        <v/>
      </c>
      <c r="V580" s="20">
        <f>IF(AND(ISNUMBER(R580),Settings!$B$17&gt;0),IF(ISNUMBER(INDEX($R:$R,Settings!$B$17)),(R580-INDEX($R:$R,Settings!$B$17))*100,NA()),NA())</f>
        <v/>
      </c>
      <c r="W580" s="20">
        <f>IF(AND(ISNUMBER(P580),Settings!$B$17&gt;0),IF(ISNUMBER(INDEX($P:$P,Settings!$B$17)),P580-INDEX($P:$P,Settings!$B$17),NA()),NA())</f>
        <v/>
      </c>
      <c r="X580" s="19">
        <f>IF(NOT(ISNUMBER($A580)),NA(),IF(OR($A580&lt;MIN(DKW_10Y!$A$2:$A$2918),$A580&gt;MAX(DKW_10Y!$A$2:$A$2918),Settings!$B$16&lt;MIN(DKW_10Y!$A$2:$A$2918)),NA(),(INDEX(DKW_10Y!$B$2:$B$2918,MATCH($A580,DKW_10Y!$A$2:$A$2918,1))-INDEX(DKW_10Y!$B$2:$B$2918,MATCH(Settings!$B$16,DKW_10Y!$A$2:$A$2918,1)))*100))</f>
        <v/>
      </c>
      <c r="Y580" s="19">
        <f>IF(NOT(ISNUMBER($A580)),NA(),IF(OR($A580&lt;MIN(DKW_10Y!$A$2:$A$2918),$A580&gt;MAX(DKW_10Y!$A$2:$A$2918),Settings!$B$16&lt;MIN(DKW_10Y!$A$2:$A$2918)),NA(),(INDEX(DKW_10Y!$C$2:$C$2918,MATCH($A580,DKW_10Y!$A$2:$A$2918,1))-INDEX(DKW_10Y!$C$2:$C$2918,MATCH(Settings!$B$16,DKW_10Y!$A$2:$A$2918,1)))*100))</f>
        <v/>
      </c>
      <c r="Z580" s="19">
        <f>IF(NOT(ISNUMBER($A580)),NA(),IF(OR($A580&lt;MIN(DKW_10Y!$A$2:$A$2918),$A580&gt;MAX(DKW_10Y!$A$2:$A$2918),Settings!$B$16&lt;MIN(DKW_10Y!$A$2:$A$2918)),NA(),(INDEX(DKW_10Y!$D$2:$D$2918,MATCH($A580,DKW_10Y!$A$2:$A$2918,1))-INDEX(DKW_10Y!$D$2:$D$2918,MATCH(Settings!$B$16,DKW_10Y!$A$2:$A$2918,1)))*100))</f>
        <v/>
      </c>
      <c r="AA580" s="19">
        <f>IF(NOT(ISNUMBER($A580)),NA(),IF(OR($A580&lt;MIN(DKW_10Y!$A$2:$A$2918),$A580&gt;MAX(DKW_10Y!$A$2:$A$2918),Settings!$B$16&lt;MIN(DKW_10Y!$A$2:$A$2918)),NA(),(INDEX(DKW_10Y!$E$2:$E$2918,MATCH($A580,DKW_10Y!$A$2:$A$2918,1))-INDEX(DKW_10Y!$E$2:$E$2918,MATCH(Settings!$B$16,DKW_10Y!$A$2:$A$2918,1)))*100))</f>
        <v/>
      </c>
      <c r="AB580" s="19">
        <f>IF(NOT(ISNUMBER($A580)),NA(),IF(OR($A580&lt;MIN(DKW_10Y!$A$2:$A$2918),$A580&gt;MAX(DKW_10Y!$A$2:$A$2918),Settings!$B$16&lt;MIN(DKW_10Y!$A$2:$A$2918)),NA(),(INDEX(DKW_10Y!$H$2:$H$2918,MATCH($A580,DKW_10Y!$A$2:$A$2918,1))-INDEX(DKW_10Y!$H$2:$H$2918,MATCH(Settings!$B$16,DKW_10Y!$A$2:$A$2918,1)))*100))</f>
        <v/>
      </c>
      <c r="AC580" s="18">
        <f>IF(NOT(ISNUMBER($A580)),NA(),IFERROR(1*INDEX(BBG_Data!$N$2:$N$4000,MATCH($A580,BBG_Data!$M$2:$M$4000,0)),NA()))</f>
        <v/>
      </c>
      <c r="AD580" s="18">
        <f>IF(NOT(ISNUMBER($A580)),NA(),IFERROR(1*INDEX(BBG_Data!$P$2:$P$4000,MATCH($A580,BBG_Data!$O$2:$O$4000,0)),NA()))</f>
        <v/>
      </c>
      <c r="AE580" s="18">
        <f>IF(NOT(ISNUMBER($A580)),NA(),IFERROR(1*INDEX(BBG_Data!$R$2:$R$4000,MATCH($A580,BBG_Data!$Q$2:$Q$4000,0)),NA()))</f>
        <v/>
      </c>
      <c r="AF580" s="20">
        <f>IF(AND(ISNUMBER(B580),ISNUMBER(AC580)),(B580-AC580)*100,NA())</f>
        <v/>
      </c>
      <c r="AG580" s="20">
        <f>IF(AND(ISNUMBER(AE580),ISNUMBER(AD580)),(AE580-AD580)*100,NA())</f>
        <v/>
      </c>
      <c r="AH580" s="19">
        <f>IF(NOT(ISNUMBER($A580)),NA(),IFERROR(INDEX(BBG_Data!$T$2:$T$4000,MATCH($A580,BBG_Data!$S$2:$S$4000,0))*Settings!$B$25,NA()))</f>
        <v/>
      </c>
      <c r="AI580" s="19">
        <f>IF(NOT(ISNUMBER($A580)),NA(),IFERROR(INDEX(BBG_Data!$V$2:$V$4000,MATCH($A580,BBG_Data!$U$2:$U$4000,0))*Settings!$B$25,NA()))</f>
        <v/>
      </c>
      <c r="AJ580" s="19">
        <f>IF(NOT(ISNUMBER($A580)),NA(),IFERROR(1*INDEX(BBG_Data!$X$2:$X$4000,MATCH($A580,BBG_Data!$W$2:$W$4000,0)),NA()))</f>
        <v/>
      </c>
      <c r="AK580" s="19">
        <f>IF(NOT(ISNUMBER($A580)),NA(),IFERROR(1*INDEX(BBG_Data!$Z$2:$Z$4000,MATCH($A580,BBG_Data!$Y$2:$Y$4000,0)),NA()))</f>
        <v/>
      </c>
    </row>
    <row r="581">
      <c r="A581" s="17">
        <f>IF(ISNUMBER(BBG_Data!A581),BBG_Data!A581,"")</f>
        <v/>
      </c>
      <c r="B581" s="18">
        <f>IF(AND(ISNUMBER($A581),ISNUMBER(BBG_Data!B581)),BBG_Data!B581,NA())</f>
        <v/>
      </c>
      <c r="C581" s="18">
        <f>IF(NOT(ISNUMBER($A581)),NA(),IFERROR(1*INDEX(BBG_Data!$D$2:$D$4000,MATCH($A581,BBG_Data!$C$2:$C$4000,0)),NA()))</f>
        <v/>
      </c>
      <c r="D581" s="19">
        <f>IF(NOT(ISNUMBER($A581)),NA(),IFERROR(1*INDEX(BBG_Data!$F$2:$F$4000,MATCH($A581,BBG_Data!$E$2:$E$4000,0)),NA()))</f>
        <v/>
      </c>
      <c r="E581" s="19">
        <f>IF(NOT(ISNUMBER($A581)),NA(),IFERROR(1*INDEX(BBG_Data!$H$2:$H$4000,MATCH($A581,BBG_Data!$G$2:$G$4000,0)),NA()))</f>
        <v/>
      </c>
      <c r="F581" s="20">
        <f>IF(AND(ISNUMBER(B581),ISNUMBER(B580)),IF(B581=B580,"",(B581-B580)*100),"")</f>
        <v/>
      </c>
      <c r="G581" s="20">
        <f>IF(AND(ISNUMBER(C581),ISNUMBER(C580)),IF(C581=C580,"",(C581-C580)*100),"")</f>
        <v/>
      </c>
      <c r="H581" s="20">
        <f>IF(OR(NOT(ISNUMBER($A581)),ROW()-2&lt;Settings!$B$11),NA(),IF(COUNT(OFFSET(F581,1-Settings!$B$11,0,Settings!$B$11,1))&lt;ROUNDUP(Settings!$B$11*Settings!$B$26,0),NA(),STDEV(OFFSET(F581,1-Settings!$B$11,0,Settings!$B$11,1))*SQRT(Settings!$B$13)))</f>
        <v/>
      </c>
      <c r="I581" s="20">
        <f>IF(OR(NOT(ISNUMBER($A581)),ROW()-2&lt;Settings!$B$12),NA(),IF(COUNT(OFFSET(F581,1-Settings!$B$12,0,Settings!$B$12,1))&lt;ROUNDUP(Settings!$B$12*Settings!$B$26,0),NA(),STDEV(OFFSET(F581,1-Settings!$B$12,0,Settings!$B$12,1))*SQRT(Settings!$B$13)))</f>
        <v/>
      </c>
      <c r="J581" s="20">
        <f>IF(OR(NOT(ISNUMBER($A581)),ROW()-2&lt;Settings!$B$11),NA(),IF(COUNT(OFFSET(G581,1-Settings!$B$11,0,Settings!$B$11,1))&lt;ROUNDUP(Settings!$B$11*Settings!$B$26,0),NA(),STDEV(OFFSET(G581,1-Settings!$B$11,0,Settings!$B$11,1))*SQRT(Settings!$B$13)))</f>
        <v/>
      </c>
      <c r="K581" s="20">
        <f>IF(OR(NOT(ISNUMBER($A581)),ROW()-2&lt;Settings!$B$12),NA(),IF(COUNT(OFFSET(G581,1-Settings!$B$12,0,Settings!$B$12,1))&lt;ROUNDUP(Settings!$B$12*Settings!$B$26,0),NA(),STDEV(OFFSET(G581,1-Settings!$B$12,0,Settings!$B$12,1))*SQRT(Settings!$B$13)))</f>
        <v/>
      </c>
      <c r="L581" s="20">
        <f>IF(AND(ISNUMBER(D581),ISNUMBER(H581)),D581-H581,NA())</f>
        <v/>
      </c>
      <c r="M581" s="20">
        <f>IF(AND(ISNUMBER(E581),ISNUMBER(K581)),E581-K581,NA())</f>
        <v/>
      </c>
      <c r="N581" s="20">
        <f>IF(NOT(ISNUMBER($A581)),NA(),IF(COUNT(OFFSET(G581,1,0,Settings!$B$12,1))&lt;ROUNDUP(Settings!$B$12*Settings!$B$26,0),NA(),STDEV(OFFSET(G581,1,0,Settings!$B$12,1))*SQRT(Settings!$B$13)))</f>
        <v/>
      </c>
      <c r="O581" s="20">
        <f>IF(AND(ISNUMBER(E581),ISNUMBER(N581)),E581-N581,NA())</f>
        <v/>
      </c>
      <c r="P581" s="19">
        <f>IF(NOT(ISNUMBER($A581)),NA(),IF(OR($A581&lt;MIN(KW_TP!$A$2:$A$2501),$A581&gt;MAX(KW_TP!$A$2:$A$2501)),NA(),INDEX(KW_TP!$C$2:$C$2501,MATCH($A581,KW_TP!$A$2:$A$2501,1))))</f>
        <v/>
      </c>
      <c r="Q581" s="18">
        <f>IF(NOT(ISNUMBER($A581)),NA(),IFERROR(1*INDEX(BBG_Data!$J$2:$J$4000,MATCH($A581,BBG_Data!$I$2:$I$4000,0)),NA()))</f>
        <v/>
      </c>
      <c r="R581" s="18">
        <f>IF(NOT(ISNUMBER($A581)),NA(),IFERROR(1*INDEX(BBG_Data!$L$2:$L$4000,MATCH($A581,BBG_Data!$K$2:$K$4000,0)),NA()))</f>
        <v/>
      </c>
      <c r="S581" s="20">
        <f>IF(AND(ISNUMBER(B581),ISNUMBER(Q581),ISNUMBER(R581)),(B581-Q581-R581)*100,NA())</f>
        <v/>
      </c>
      <c r="T581" s="20">
        <f>IF(AND(ISNUMBER(B581),Settings!$B$17&gt;0),IF(ISNUMBER(INDEX($B:$B,Settings!$B$17)),(B581-INDEX($B:$B,Settings!$B$17))*100,NA()),NA())</f>
        <v/>
      </c>
      <c r="U581" s="20">
        <f>IF(AND(ISNUMBER(Q581),Settings!$B$17&gt;0),IF(ISNUMBER(INDEX($Q:$Q,Settings!$B$17)),(Q581-INDEX($Q:$Q,Settings!$B$17))*100,NA()),NA())</f>
        <v/>
      </c>
      <c r="V581" s="20">
        <f>IF(AND(ISNUMBER(R581),Settings!$B$17&gt;0),IF(ISNUMBER(INDEX($R:$R,Settings!$B$17)),(R581-INDEX($R:$R,Settings!$B$17))*100,NA()),NA())</f>
        <v/>
      </c>
      <c r="W581" s="20">
        <f>IF(AND(ISNUMBER(P581),Settings!$B$17&gt;0),IF(ISNUMBER(INDEX($P:$P,Settings!$B$17)),P581-INDEX($P:$P,Settings!$B$17),NA()),NA())</f>
        <v/>
      </c>
      <c r="X581" s="19">
        <f>IF(NOT(ISNUMBER($A581)),NA(),IF(OR($A581&lt;MIN(DKW_10Y!$A$2:$A$2918),$A581&gt;MAX(DKW_10Y!$A$2:$A$2918),Settings!$B$16&lt;MIN(DKW_10Y!$A$2:$A$2918)),NA(),(INDEX(DKW_10Y!$B$2:$B$2918,MATCH($A581,DKW_10Y!$A$2:$A$2918,1))-INDEX(DKW_10Y!$B$2:$B$2918,MATCH(Settings!$B$16,DKW_10Y!$A$2:$A$2918,1)))*100))</f>
        <v/>
      </c>
      <c r="Y581" s="19">
        <f>IF(NOT(ISNUMBER($A581)),NA(),IF(OR($A581&lt;MIN(DKW_10Y!$A$2:$A$2918),$A581&gt;MAX(DKW_10Y!$A$2:$A$2918),Settings!$B$16&lt;MIN(DKW_10Y!$A$2:$A$2918)),NA(),(INDEX(DKW_10Y!$C$2:$C$2918,MATCH($A581,DKW_10Y!$A$2:$A$2918,1))-INDEX(DKW_10Y!$C$2:$C$2918,MATCH(Settings!$B$16,DKW_10Y!$A$2:$A$2918,1)))*100))</f>
        <v/>
      </c>
      <c r="Z581" s="19">
        <f>IF(NOT(ISNUMBER($A581)),NA(),IF(OR($A581&lt;MIN(DKW_10Y!$A$2:$A$2918),$A581&gt;MAX(DKW_10Y!$A$2:$A$2918),Settings!$B$16&lt;MIN(DKW_10Y!$A$2:$A$2918)),NA(),(INDEX(DKW_10Y!$D$2:$D$2918,MATCH($A581,DKW_10Y!$A$2:$A$2918,1))-INDEX(DKW_10Y!$D$2:$D$2918,MATCH(Settings!$B$16,DKW_10Y!$A$2:$A$2918,1)))*100))</f>
        <v/>
      </c>
      <c r="AA581" s="19">
        <f>IF(NOT(ISNUMBER($A581)),NA(),IF(OR($A581&lt;MIN(DKW_10Y!$A$2:$A$2918),$A581&gt;MAX(DKW_10Y!$A$2:$A$2918),Settings!$B$16&lt;MIN(DKW_10Y!$A$2:$A$2918)),NA(),(INDEX(DKW_10Y!$E$2:$E$2918,MATCH($A581,DKW_10Y!$A$2:$A$2918,1))-INDEX(DKW_10Y!$E$2:$E$2918,MATCH(Settings!$B$16,DKW_10Y!$A$2:$A$2918,1)))*100))</f>
        <v/>
      </c>
      <c r="AB581" s="19">
        <f>IF(NOT(ISNUMBER($A581)),NA(),IF(OR($A581&lt;MIN(DKW_10Y!$A$2:$A$2918),$A581&gt;MAX(DKW_10Y!$A$2:$A$2918),Settings!$B$16&lt;MIN(DKW_10Y!$A$2:$A$2918)),NA(),(INDEX(DKW_10Y!$H$2:$H$2918,MATCH($A581,DKW_10Y!$A$2:$A$2918,1))-INDEX(DKW_10Y!$H$2:$H$2918,MATCH(Settings!$B$16,DKW_10Y!$A$2:$A$2918,1)))*100))</f>
        <v/>
      </c>
      <c r="AC581" s="18">
        <f>IF(NOT(ISNUMBER($A581)),NA(),IFERROR(1*INDEX(BBG_Data!$N$2:$N$4000,MATCH($A581,BBG_Data!$M$2:$M$4000,0)),NA()))</f>
        <v/>
      </c>
      <c r="AD581" s="18">
        <f>IF(NOT(ISNUMBER($A581)),NA(),IFERROR(1*INDEX(BBG_Data!$P$2:$P$4000,MATCH($A581,BBG_Data!$O$2:$O$4000,0)),NA()))</f>
        <v/>
      </c>
      <c r="AE581" s="18">
        <f>IF(NOT(ISNUMBER($A581)),NA(),IFERROR(1*INDEX(BBG_Data!$R$2:$R$4000,MATCH($A581,BBG_Data!$Q$2:$Q$4000,0)),NA()))</f>
        <v/>
      </c>
      <c r="AF581" s="20">
        <f>IF(AND(ISNUMBER(B581),ISNUMBER(AC581)),(B581-AC581)*100,NA())</f>
        <v/>
      </c>
      <c r="AG581" s="20">
        <f>IF(AND(ISNUMBER(AE581),ISNUMBER(AD581)),(AE581-AD581)*100,NA())</f>
        <v/>
      </c>
      <c r="AH581" s="19">
        <f>IF(NOT(ISNUMBER($A581)),NA(),IFERROR(INDEX(BBG_Data!$T$2:$T$4000,MATCH($A581,BBG_Data!$S$2:$S$4000,0))*Settings!$B$25,NA()))</f>
        <v/>
      </c>
      <c r="AI581" s="19">
        <f>IF(NOT(ISNUMBER($A581)),NA(),IFERROR(INDEX(BBG_Data!$V$2:$V$4000,MATCH($A581,BBG_Data!$U$2:$U$4000,0))*Settings!$B$25,NA()))</f>
        <v/>
      </c>
      <c r="AJ581" s="19">
        <f>IF(NOT(ISNUMBER($A581)),NA(),IFERROR(1*INDEX(BBG_Data!$X$2:$X$4000,MATCH($A581,BBG_Data!$W$2:$W$4000,0)),NA()))</f>
        <v/>
      </c>
      <c r="AK581" s="19">
        <f>IF(NOT(ISNUMBER($A581)),NA(),IFERROR(1*INDEX(BBG_Data!$Z$2:$Z$4000,MATCH($A581,BBG_Data!$Y$2:$Y$4000,0)),NA()))</f>
        <v/>
      </c>
    </row>
    <row r="582">
      <c r="A582" s="17">
        <f>IF(ISNUMBER(BBG_Data!A582),BBG_Data!A582,"")</f>
        <v/>
      </c>
      <c r="B582" s="18">
        <f>IF(AND(ISNUMBER($A582),ISNUMBER(BBG_Data!B582)),BBG_Data!B582,NA())</f>
        <v/>
      </c>
      <c r="C582" s="18">
        <f>IF(NOT(ISNUMBER($A582)),NA(),IFERROR(1*INDEX(BBG_Data!$D$2:$D$4000,MATCH($A582,BBG_Data!$C$2:$C$4000,0)),NA()))</f>
        <v/>
      </c>
      <c r="D582" s="19">
        <f>IF(NOT(ISNUMBER($A582)),NA(),IFERROR(1*INDEX(BBG_Data!$F$2:$F$4000,MATCH($A582,BBG_Data!$E$2:$E$4000,0)),NA()))</f>
        <v/>
      </c>
      <c r="E582" s="19">
        <f>IF(NOT(ISNUMBER($A582)),NA(),IFERROR(1*INDEX(BBG_Data!$H$2:$H$4000,MATCH($A582,BBG_Data!$G$2:$G$4000,0)),NA()))</f>
        <v/>
      </c>
      <c r="F582" s="20">
        <f>IF(AND(ISNUMBER(B582),ISNUMBER(B581)),IF(B582=B581,"",(B582-B581)*100),"")</f>
        <v/>
      </c>
      <c r="G582" s="20">
        <f>IF(AND(ISNUMBER(C582),ISNUMBER(C581)),IF(C582=C581,"",(C582-C581)*100),"")</f>
        <v/>
      </c>
      <c r="H582" s="20">
        <f>IF(OR(NOT(ISNUMBER($A582)),ROW()-2&lt;Settings!$B$11),NA(),IF(COUNT(OFFSET(F582,1-Settings!$B$11,0,Settings!$B$11,1))&lt;ROUNDUP(Settings!$B$11*Settings!$B$26,0),NA(),STDEV(OFFSET(F582,1-Settings!$B$11,0,Settings!$B$11,1))*SQRT(Settings!$B$13)))</f>
        <v/>
      </c>
      <c r="I582" s="20">
        <f>IF(OR(NOT(ISNUMBER($A582)),ROW()-2&lt;Settings!$B$12),NA(),IF(COUNT(OFFSET(F582,1-Settings!$B$12,0,Settings!$B$12,1))&lt;ROUNDUP(Settings!$B$12*Settings!$B$26,0),NA(),STDEV(OFFSET(F582,1-Settings!$B$12,0,Settings!$B$12,1))*SQRT(Settings!$B$13)))</f>
        <v/>
      </c>
      <c r="J582" s="20">
        <f>IF(OR(NOT(ISNUMBER($A582)),ROW()-2&lt;Settings!$B$11),NA(),IF(COUNT(OFFSET(G582,1-Settings!$B$11,0,Settings!$B$11,1))&lt;ROUNDUP(Settings!$B$11*Settings!$B$26,0),NA(),STDEV(OFFSET(G582,1-Settings!$B$11,0,Settings!$B$11,1))*SQRT(Settings!$B$13)))</f>
        <v/>
      </c>
      <c r="K582" s="20">
        <f>IF(OR(NOT(ISNUMBER($A582)),ROW()-2&lt;Settings!$B$12),NA(),IF(COUNT(OFFSET(G582,1-Settings!$B$12,0,Settings!$B$12,1))&lt;ROUNDUP(Settings!$B$12*Settings!$B$26,0),NA(),STDEV(OFFSET(G582,1-Settings!$B$12,0,Settings!$B$12,1))*SQRT(Settings!$B$13)))</f>
        <v/>
      </c>
      <c r="L582" s="20">
        <f>IF(AND(ISNUMBER(D582),ISNUMBER(H582)),D582-H582,NA())</f>
        <v/>
      </c>
      <c r="M582" s="20">
        <f>IF(AND(ISNUMBER(E582),ISNUMBER(K582)),E582-K582,NA())</f>
        <v/>
      </c>
      <c r="N582" s="20">
        <f>IF(NOT(ISNUMBER($A582)),NA(),IF(COUNT(OFFSET(G582,1,0,Settings!$B$12,1))&lt;ROUNDUP(Settings!$B$12*Settings!$B$26,0),NA(),STDEV(OFFSET(G582,1,0,Settings!$B$12,1))*SQRT(Settings!$B$13)))</f>
        <v/>
      </c>
      <c r="O582" s="20">
        <f>IF(AND(ISNUMBER(E582),ISNUMBER(N582)),E582-N582,NA())</f>
        <v/>
      </c>
      <c r="P582" s="19">
        <f>IF(NOT(ISNUMBER($A582)),NA(),IF(OR($A582&lt;MIN(KW_TP!$A$2:$A$2501),$A582&gt;MAX(KW_TP!$A$2:$A$2501)),NA(),INDEX(KW_TP!$C$2:$C$2501,MATCH($A582,KW_TP!$A$2:$A$2501,1))))</f>
        <v/>
      </c>
      <c r="Q582" s="18">
        <f>IF(NOT(ISNUMBER($A582)),NA(),IFERROR(1*INDEX(BBG_Data!$J$2:$J$4000,MATCH($A582,BBG_Data!$I$2:$I$4000,0)),NA()))</f>
        <v/>
      </c>
      <c r="R582" s="18">
        <f>IF(NOT(ISNUMBER($A582)),NA(),IFERROR(1*INDEX(BBG_Data!$L$2:$L$4000,MATCH($A582,BBG_Data!$K$2:$K$4000,0)),NA()))</f>
        <v/>
      </c>
      <c r="S582" s="20">
        <f>IF(AND(ISNUMBER(B582),ISNUMBER(Q582),ISNUMBER(R582)),(B582-Q582-R582)*100,NA())</f>
        <v/>
      </c>
      <c r="T582" s="20">
        <f>IF(AND(ISNUMBER(B582),Settings!$B$17&gt;0),IF(ISNUMBER(INDEX($B:$B,Settings!$B$17)),(B582-INDEX($B:$B,Settings!$B$17))*100,NA()),NA())</f>
        <v/>
      </c>
      <c r="U582" s="20">
        <f>IF(AND(ISNUMBER(Q582),Settings!$B$17&gt;0),IF(ISNUMBER(INDEX($Q:$Q,Settings!$B$17)),(Q582-INDEX($Q:$Q,Settings!$B$17))*100,NA()),NA())</f>
        <v/>
      </c>
      <c r="V582" s="20">
        <f>IF(AND(ISNUMBER(R582),Settings!$B$17&gt;0),IF(ISNUMBER(INDEX($R:$R,Settings!$B$17)),(R582-INDEX($R:$R,Settings!$B$17))*100,NA()),NA())</f>
        <v/>
      </c>
      <c r="W582" s="20">
        <f>IF(AND(ISNUMBER(P582),Settings!$B$17&gt;0),IF(ISNUMBER(INDEX($P:$P,Settings!$B$17)),P582-INDEX($P:$P,Settings!$B$17),NA()),NA())</f>
        <v/>
      </c>
      <c r="X582" s="19">
        <f>IF(NOT(ISNUMBER($A582)),NA(),IF(OR($A582&lt;MIN(DKW_10Y!$A$2:$A$2918),$A582&gt;MAX(DKW_10Y!$A$2:$A$2918),Settings!$B$16&lt;MIN(DKW_10Y!$A$2:$A$2918)),NA(),(INDEX(DKW_10Y!$B$2:$B$2918,MATCH($A582,DKW_10Y!$A$2:$A$2918,1))-INDEX(DKW_10Y!$B$2:$B$2918,MATCH(Settings!$B$16,DKW_10Y!$A$2:$A$2918,1)))*100))</f>
        <v/>
      </c>
      <c r="Y582" s="19">
        <f>IF(NOT(ISNUMBER($A582)),NA(),IF(OR($A582&lt;MIN(DKW_10Y!$A$2:$A$2918),$A582&gt;MAX(DKW_10Y!$A$2:$A$2918),Settings!$B$16&lt;MIN(DKW_10Y!$A$2:$A$2918)),NA(),(INDEX(DKW_10Y!$C$2:$C$2918,MATCH($A582,DKW_10Y!$A$2:$A$2918,1))-INDEX(DKW_10Y!$C$2:$C$2918,MATCH(Settings!$B$16,DKW_10Y!$A$2:$A$2918,1)))*100))</f>
        <v/>
      </c>
      <c r="Z582" s="19">
        <f>IF(NOT(ISNUMBER($A582)),NA(),IF(OR($A582&lt;MIN(DKW_10Y!$A$2:$A$2918),$A582&gt;MAX(DKW_10Y!$A$2:$A$2918),Settings!$B$16&lt;MIN(DKW_10Y!$A$2:$A$2918)),NA(),(INDEX(DKW_10Y!$D$2:$D$2918,MATCH($A582,DKW_10Y!$A$2:$A$2918,1))-INDEX(DKW_10Y!$D$2:$D$2918,MATCH(Settings!$B$16,DKW_10Y!$A$2:$A$2918,1)))*100))</f>
        <v/>
      </c>
      <c r="AA582" s="19">
        <f>IF(NOT(ISNUMBER($A582)),NA(),IF(OR($A582&lt;MIN(DKW_10Y!$A$2:$A$2918),$A582&gt;MAX(DKW_10Y!$A$2:$A$2918),Settings!$B$16&lt;MIN(DKW_10Y!$A$2:$A$2918)),NA(),(INDEX(DKW_10Y!$E$2:$E$2918,MATCH($A582,DKW_10Y!$A$2:$A$2918,1))-INDEX(DKW_10Y!$E$2:$E$2918,MATCH(Settings!$B$16,DKW_10Y!$A$2:$A$2918,1)))*100))</f>
        <v/>
      </c>
      <c r="AB582" s="19">
        <f>IF(NOT(ISNUMBER($A582)),NA(),IF(OR($A582&lt;MIN(DKW_10Y!$A$2:$A$2918),$A582&gt;MAX(DKW_10Y!$A$2:$A$2918),Settings!$B$16&lt;MIN(DKW_10Y!$A$2:$A$2918)),NA(),(INDEX(DKW_10Y!$H$2:$H$2918,MATCH($A582,DKW_10Y!$A$2:$A$2918,1))-INDEX(DKW_10Y!$H$2:$H$2918,MATCH(Settings!$B$16,DKW_10Y!$A$2:$A$2918,1)))*100))</f>
        <v/>
      </c>
      <c r="AC582" s="18">
        <f>IF(NOT(ISNUMBER($A582)),NA(),IFERROR(1*INDEX(BBG_Data!$N$2:$N$4000,MATCH($A582,BBG_Data!$M$2:$M$4000,0)),NA()))</f>
        <v/>
      </c>
      <c r="AD582" s="18">
        <f>IF(NOT(ISNUMBER($A582)),NA(),IFERROR(1*INDEX(BBG_Data!$P$2:$P$4000,MATCH($A582,BBG_Data!$O$2:$O$4000,0)),NA()))</f>
        <v/>
      </c>
      <c r="AE582" s="18">
        <f>IF(NOT(ISNUMBER($A582)),NA(),IFERROR(1*INDEX(BBG_Data!$R$2:$R$4000,MATCH($A582,BBG_Data!$Q$2:$Q$4000,0)),NA()))</f>
        <v/>
      </c>
      <c r="AF582" s="20">
        <f>IF(AND(ISNUMBER(B582),ISNUMBER(AC582)),(B582-AC582)*100,NA())</f>
        <v/>
      </c>
      <c r="AG582" s="20">
        <f>IF(AND(ISNUMBER(AE582),ISNUMBER(AD582)),(AE582-AD582)*100,NA())</f>
        <v/>
      </c>
      <c r="AH582" s="19">
        <f>IF(NOT(ISNUMBER($A582)),NA(),IFERROR(INDEX(BBG_Data!$T$2:$T$4000,MATCH($A582,BBG_Data!$S$2:$S$4000,0))*Settings!$B$25,NA()))</f>
        <v/>
      </c>
      <c r="AI582" s="19">
        <f>IF(NOT(ISNUMBER($A582)),NA(),IFERROR(INDEX(BBG_Data!$V$2:$V$4000,MATCH($A582,BBG_Data!$U$2:$U$4000,0))*Settings!$B$25,NA()))</f>
        <v/>
      </c>
      <c r="AJ582" s="19">
        <f>IF(NOT(ISNUMBER($A582)),NA(),IFERROR(1*INDEX(BBG_Data!$X$2:$X$4000,MATCH($A582,BBG_Data!$W$2:$W$4000,0)),NA()))</f>
        <v/>
      </c>
      <c r="AK582" s="19">
        <f>IF(NOT(ISNUMBER($A582)),NA(),IFERROR(1*INDEX(BBG_Data!$Z$2:$Z$4000,MATCH($A582,BBG_Data!$Y$2:$Y$4000,0)),NA()))</f>
        <v/>
      </c>
    </row>
    <row r="583">
      <c r="A583" s="17">
        <f>IF(ISNUMBER(BBG_Data!A583),BBG_Data!A583,"")</f>
        <v/>
      </c>
      <c r="B583" s="18">
        <f>IF(AND(ISNUMBER($A583),ISNUMBER(BBG_Data!B583)),BBG_Data!B583,NA())</f>
        <v/>
      </c>
      <c r="C583" s="18">
        <f>IF(NOT(ISNUMBER($A583)),NA(),IFERROR(1*INDEX(BBG_Data!$D$2:$D$4000,MATCH($A583,BBG_Data!$C$2:$C$4000,0)),NA()))</f>
        <v/>
      </c>
      <c r="D583" s="19">
        <f>IF(NOT(ISNUMBER($A583)),NA(),IFERROR(1*INDEX(BBG_Data!$F$2:$F$4000,MATCH($A583,BBG_Data!$E$2:$E$4000,0)),NA()))</f>
        <v/>
      </c>
      <c r="E583" s="19">
        <f>IF(NOT(ISNUMBER($A583)),NA(),IFERROR(1*INDEX(BBG_Data!$H$2:$H$4000,MATCH($A583,BBG_Data!$G$2:$G$4000,0)),NA()))</f>
        <v/>
      </c>
      <c r="F583" s="20">
        <f>IF(AND(ISNUMBER(B583),ISNUMBER(B582)),IF(B583=B582,"",(B583-B582)*100),"")</f>
        <v/>
      </c>
      <c r="G583" s="20">
        <f>IF(AND(ISNUMBER(C583),ISNUMBER(C582)),IF(C583=C582,"",(C583-C582)*100),"")</f>
        <v/>
      </c>
      <c r="H583" s="20">
        <f>IF(OR(NOT(ISNUMBER($A583)),ROW()-2&lt;Settings!$B$11),NA(),IF(COUNT(OFFSET(F583,1-Settings!$B$11,0,Settings!$B$11,1))&lt;ROUNDUP(Settings!$B$11*Settings!$B$26,0),NA(),STDEV(OFFSET(F583,1-Settings!$B$11,0,Settings!$B$11,1))*SQRT(Settings!$B$13)))</f>
        <v/>
      </c>
      <c r="I583" s="20">
        <f>IF(OR(NOT(ISNUMBER($A583)),ROW()-2&lt;Settings!$B$12),NA(),IF(COUNT(OFFSET(F583,1-Settings!$B$12,0,Settings!$B$12,1))&lt;ROUNDUP(Settings!$B$12*Settings!$B$26,0),NA(),STDEV(OFFSET(F583,1-Settings!$B$12,0,Settings!$B$12,1))*SQRT(Settings!$B$13)))</f>
        <v/>
      </c>
      <c r="J583" s="20">
        <f>IF(OR(NOT(ISNUMBER($A583)),ROW()-2&lt;Settings!$B$11),NA(),IF(COUNT(OFFSET(G583,1-Settings!$B$11,0,Settings!$B$11,1))&lt;ROUNDUP(Settings!$B$11*Settings!$B$26,0),NA(),STDEV(OFFSET(G583,1-Settings!$B$11,0,Settings!$B$11,1))*SQRT(Settings!$B$13)))</f>
        <v/>
      </c>
      <c r="K583" s="20">
        <f>IF(OR(NOT(ISNUMBER($A583)),ROW()-2&lt;Settings!$B$12),NA(),IF(COUNT(OFFSET(G583,1-Settings!$B$12,0,Settings!$B$12,1))&lt;ROUNDUP(Settings!$B$12*Settings!$B$26,0),NA(),STDEV(OFFSET(G583,1-Settings!$B$12,0,Settings!$B$12,1))*SQRT(Settings!$B$13)))</f>
        <v/>
      </c>
      <c r="L583" s="20">
        <f>IF(AND(ISNUMBER(D583),ISNUMBER(H583)),D583-H583,NA())</f>
        <v/>
      </c>
      <c r="M583" s="20">
        <f>IF(AND(ISNUMBER(E583),ISNUMBER(K583)),E583-K583,NA())</f>
        <v/>
      </c>
      <c r="N583" s="20">
        <f>IF(NOT(ISNUMBER($A583)),NA(),IF(COUNT(OFFSET(G583,1,0,Settings!$B$12,1))&lt;ROUNDUP(Settings!$B$12*Settings!$B$26,0),NA(),STDEV(OFFSET(G583,1,0,Settings!$B$12,1))*SQRT(Settings!$B$13)))</f>
        <v/>
      </c>
      <c r="O583" s="20">
        <f>IF(AND(ISNUMBER(E583),ISNUMBER(N583)),E583-N583,NA())</f>
        <v/>
      </c>
      <c r="P583" s="19">
        <f>IF(NOT(ISNUMBER($A583)),NA(),IF(OR($A583&lt;MIN(KW_TP!$A$2:$A$2501),$A583&gt;MAX(KW_TP!$A$2:$A$2501)),NA(),INDEX(KW_TP!$C$2:$C$2501,MATCH($A583,KW_TP!$A$2:$A$2501,1))))</f>
        <v/>
      </c>
      <c r="Q583" s="18">
        <f>IF(NOT(ISNUMBER($A583)),NA(),IFERROR(1*INDEX(BBG_Data!$J$2:$J$4000,MATCH($A583,BBG_Data!$I$2:$I$4000,0)),NA()))</f>
        <v/>
      </c>
      <c r="R583" s="18">
        <f>IF(NOT(ISNUMBER($A583)),NA(),IFERROR(1*INDEX(BBG_Data!$L$2:$L$4000,MATCH($A583,BBG_Data!$K$2:$K$4000,0)),NA()))</f>
        <v/>
      </c>
      <c r="S583" s="20">
        <f>IF(AND(ISNUMBER(B583),ISNUMBER(Q583),ISNUMBER(R583)),(B583-Q583-R583)*100,NA())</f>
        <v/>
      </c>
      <c r="T583" s="20">
        <f>IF(AND(ISNUMBER(B583),Settings!$B$17&gt;0),IF(ISNUMBER(INDEX($B:$B,Settings!$B$17)),(B583-INDEX($B:$B,Settings!$B$17))*100,NA()),NA())</f>
        <v/>
      </c>
      <c r="U583" s="20">
        <f>IF(AND(ISNUMBER(Q583),Settings!$B$17&gt;0),IF(ISNUMBER(INDEX($Q:$Q,Settings!$B$17)),(Q583-INDEX($Q:$Q,Settings!$B$17))*100,NA()),NA())</f>
        <v/>
      </c>
      <c r="V583" s="20">
        <f>IF(AND(ISNUMBER(R583),Settings!$B$17&gt;0),IF(ISNUMBER(INDEX($R:$R,Settings!$B$17)),(R583-INDEX($R:$R,Settings!$B$17))*100,NA()),NA())</f>
        <v/>
      </c>
      <c r="W583" s="20">
        <f>IF(AND(ISNUMBER(P583),Settings!$B$17&gt;0),IF(ISNUMBER(INDEX($P:$P,Settings!$B$17)),P583-INDEX($P:$P,Settings!$B$17),NA()),NA())</f>
        <v/>
      </c>
      <c r="X583" s="19">
        <f>IF(NOT(ISNUMBER($A583)),NA(),IF(OR($A583&lt;MIN(DKW_10Y!$A$2:$A$2918),$A583&gt;MAX(DKW_10Y!$A$2:$A$2918),Settings!$B$16&lt;MIN(DKW_10Y!$A$2:$A$2918)),NA(),(INDEX(DKW_10Y!$B$2:$B$2918,MATCH($A583,DKW_10Y!$A$2:$A$2918,1))-INDEX(DKW_10Y!$B$2:$B$2918,MATCH(Settings!$B$16,DKW_10Y!$A$2:$A$2918,1)))*100))</f>
        <v/>
      </c>
      <c r="Y583" s="19">
        <f>IF(NOT(ISNUMBER($A583)),NA(),IF(OR($A583&lt;MIN(DKW_10Y!$A$2:$A$2918),$A583&gt;MAX(DKW_10Y!$A$2:$A$2918),Settings!$B$16&lt;MIN(DKW_10Y!$A$2:$A$2918)),NA(),(INDEX(DKW_10Y!$C$2:$C$2918,MATCH($A583,DKW_10Y!$A$2:$A$2918,1))-INDEX(DKW_10Y!$C$2:$C$2918,MATCH(Settings!$B$16,DKW_10Y!$A$2:$A$2918,1)))*100))</f>
        <v/>
      </c>
      <c r="Z583" s="19">
        <f>IF(NOT(ISNUMBER($A583)),NA(),IF(OR($A583&lt;MIN(DKW_10Y!$A$2:$A$2918),$A583&gt;MAX(DKW_10Y!$A$2:$A$2918),Settings!$B$16&lt;MIN(DKW_10Y!$A$2:$A$2918)),NA(),(INDEX(DKW_10Y!$D$2:$D$2918,MATCH($A583,DKW_10Y!$A$2:$A$2918,1))-INDEX(DKW_10Y!$D$2:$D$2918,MATCH(Settings!$B$16,DKW_10Y!$A$2:$A$2918,1)))*100))</f>
        <v/>
      </c>
      <c r="AA583" s="19">
        <f>IF(NOT(ISNUMBER($A583)),NA(),IF(OR($A583&lt;MIN(DKW_10Y!$A$2:$A$2918),$A583&gt;MAX(DKW_10Y!$A$2:$A$2918),Settings!$B$16&lt;MIN(DKW_10Y!$A$2:$A$2918)),NA(),(INDEX(DKW_10Y!$E$2:$E$2918,MATCH($A583,DKW_10Y!$A$2:$A$2918,1))-INDEX(DKW_10Y!$E$2:$E$2918,MATCH(Settings!$B$16,DKW_10Y!$A$2:$A$2918,1)))*100))</f>
        <v/>
      </c>
      <c r="AB583" s="19">
        <f>IF(NOT(ISNUMBER($A583)),NA(),IF(OR($A583&lt;MIN(DKW_10Y!$A$2:$A$2918),$A583&gt;MAX(DKW_10Y!$A$2:$A$2918),Settings!$B$16&lt;MIN(DKW_10Y!$A$2:$A$2918)),NA(),(INDEX(DKW_10Y!$H$2:$H$2918,MATCH($A583,DKW_10Y!$A$2:$A$2918,1))-INDEX(DKW_10Y!$H$2:$H$2918,MATCH(Settings!$B$16,DKW_10Y!$A$2:$A$2918,1)))*100))</f>
        <v/>
      </c>
      <c r="AC583" s="18">
        <f>IF(NOT(ISNUMBER($A583)),NA(),IFERROR(1*INDEX(BBG_Data!$N$2:$N$4000,MATCH($A583,BBG_Data!$M$2:$M$4000,0)),NA()))</f>
        <v/>
      </c>
      <c r="AD583" s="18">
        <f>IF(NOT(ISNUMBER($A583)),NA(),IFERROR(1*INDEX(BBG_Data!$P$2:$P$4000,MATCH($A583,BBG_Data!$O$2:$O$4000,0)),NA()))</f>
        <v/>
      </c>
      <c r="AE583" s="18">
        <f>IF(NOT(ISNUMBER($A583)),NA(),IFERROR(1*INDEX(BBG_Data!$R$2:$R$4000,MATCH($A583,BBG_Data!$Q$2:$Q$4000,0)),NA()))</f>
        <v/>
      </c>
      <c r="AF583" s="20">
        <f>IF(AND(ISNUMBER(B583),ISNUMBER(AC583)),(B583-AC583)*100,NA())</f>
        <v/>
      </c>
      <c r="AG583" s="20">
        <f>IF(AND(ISNUMBER(AE583),ISNUMBER(AD583)),(AE583-AD583)*100,NA())</f>
        <v/>
      </c>
      <c r="AH583" s="19">
        <f>IF(NOT(ISNUMBER($A583)),NA(),IFERROR(INDEX(BBG_Data!$T$2:$T$4000,MATCH($A583,BBG_Data!$S$2:$S$4000,0))*Settings!$B$25,NA()))</f>
        <v/>
      </c>
      <c r="AI583" s="19">
        <f>IF(NOT(ISNUMBER($A583)),NA(),IFERROR(INDEX(BBG_Data!$V$2:$V$4000,MATCH($A583,BBG_Data!$U$2:$U$4000,0))*Settings!$B$25,NA()))</f>
        <v/>
      </c>
      <c r="AJ583" s="19">
        <f>IF(NOT(ISNUMBER($A583)),NA(),IFERROR(1*INDEX(BBG_Data!$X$2:$X$4000,MATCH($A583,BBG_Data!$W$2:$W$4000,0)),NA()))</f>
        <v/>
      </c>
      <c r="AK583" s="19">
        <f>IF(NOT(ISNUMBER($A583)),NA(),IFERROR(1*INDEX(BBG_Data!$Z$2:$Z$4000,MATCH($A583,BBG_Data!$Y$2:$Y$4000,0)),NA()))</f>
        <v/>
      </c>
    </row>
    <row r="584">
      <c r="A584" s="17">
        <f>IF(ISNUMBER(BBG_Data!A584),BBG_Data!A584,"")</f>
        <v/>
      </c>
      <c r="B584" s="18">
        <f>IF(AND(ISNUMBER($A584),ISNUMBER(BBG_Data!B584)),BBG_Data!B584,NA())</f>
        <v/>
      </c>
      <c r="C584" s="18">
        <f>IF(NOT(ISNUMBER($A584)),NA(),IFERROR(1*INDEX(BBG_Data!$D$2:$D$4000,MATCH($A584,BBG_Data!$C$2:$C$4000,0)),NA()))</f>
        <v/>
      </c>
      <c r="D584" s="19">
        <f>IF(NOT(ISNUMBER($A584)),NA(),IFERROR(1*INDEX(BBG_Data!$F$2:$F$4000,MATCH($A584,BBG_Data!$E$2:$E$4000,0)),NA()))</f>
        <v/>
      </c>
      <c r="E584" s="19">
        <f>IF(NOT(ISNUMBER($A584)),NA(),IFERROR(1*INDEX(BBG_Data!$H$2:$H$4000,MATCH($A584,BBG_Data!$G$2:$G$4000,0)),NA()))</f>
        <v/>
      </c>
      <c r="F584" s="20">
        <f>IF(AND(ISNUMBER(B584),ISNUMBER(B583)),IF(B584=B583,"",(B584-B583)*100),"")</f>
        <v/>
      </c>
      <c r="G584" s="20">
        <f>IF(AND(ISNUMBER(C584),ISNUMBER(C583)),IF(C584=C583,"",(C584-C583)*100),"")</f>
        <v/>
      </c>
      <c r="H584" s="20">
        <f>IF(OR(NOT(ISNUMBER($A584)),ROW()-2&lt;Settings!$B$11),NA(),IF(COUNT(OFFSET(F584,1-Settings!$B$11,0,Settings!$B$11,1))&lt;ROUNDUP(Settings!$B$11*Settings!$B$26,0),NA(),STDEV(OFFSET(F584,1-Settings!$B$11,0,Settings!$B$11,1))*SQRT(Settings!$B$13)))</f>
        <v/>
      </c>
      <c r="I584" s="20">
        <f>IF(OR(NOT(ISNUMBER($A584)),ROW()-2&lt;Settings!$B$12),NA(),IF(COUNT(OFFSET(F584,1-Settings!$B$12,0,Settings!$B$12,1))&lt;ROUNDUP(Settings!$B$12*Settings!$B$26,0),NA(),STDEV(OFFSET(F584,1-Settings!$B$12,0,Settings!$B$12,1))*SQRT(Settings!$B$13)))</f>
        <v/>
      </c>
      <c r="J584" s="20">
        <f>IF(OR(NOT(ISNUMBER($A584)),ROW()-2&lt;Settings!$B$11),NA(),IF(COUNT(OFFSET(G584,1-Settings!$B$11,0,Settings!$B$11,1))&lt;ROUNDUP(Settings!$B$11*Settings!$B$26,0),NA(),STDEV(OFFSET(G584,1-Settings!$B$11,0,Settings!$B$11,1))*SQRT(Settings!$B$13)))</f>
        <v/>
      </c>
      <c r="K584" s="20">
        <f>IF(OR(NOT(ISNUMBER($A584)),ROW()-2&lt;Settings!$B$12),NA(),IF(COUNT(OFFSET(G584,1-Settings!$B$12,0,Settings!$B$12,1))&lt;ROUNDUP(Settings!$B$12*Settings!$B$26,0),NA(),STDEV(OFFSET(G584,1-Settings!$B$12,0,Settings!$B$12,1))*SQRT(Settings!$B$13)))</f>
        <v/>
      </c>
      <c r="L584" s="20">
        <f>IF(AND(ISNUMBER(D584),ISNUMBER(H584)),D584-H584,NA())</f>
        <v/>
      </c>
      <c r="M584" s="20">
        <f>IF(AND(ISNUMBER(E584),ISNUMBER(K584)),E584-K584,NA())</f>
        <v/>
      </c>
      <c r="N584" s="20">
        <f>IF(NOT(ISNUMBER($A584)),NA(),IF(COUNT(OFFSET(G584,1,0,Settings!$B$12,1))&lt;ROUNDUP(Settings!$B$12*Settings!$B$26,0),NA(),STDEV(OFFSET(G584,1,0,Settings!$B$12,1))*SQRT(Settings!$B$13)))</f>
        <v/>
      </c>
      <c r="O584" s="20">
        <f>IF(AND(ISNUMBER(E584),ISNUMBER(N584)),E584-N584,NA())</f>
        <v/>
      </c>
      <c r="P584" s="19">
        <f>IF(NOT(ISNUMBER($A584)),NA(),IF(OR($A584&lt;MIN(KW_TP!$A$2:$A$2501),$A584&gt;MAX(KW_TP!$A$2:$A$2501)),NA(),INDEX(KW_TP!$C$2:$C$2501,MATCH($A584,KW_TP!$A$2:$A$2501,1))))</f>
        <v/>
      </c>
      <c r="Q584" s="18">
        <f>IF(NOT(ISNUMBER($A584)),NA(),IFERROR(1*INDEX(BBG_Data!$J$2:$J$4000,MATCH($A584,BBG_Data!$I$2:$I$4000,0)),NA()))</f>
        <v/>
      </c>
      <c r="R584" s="18">
        <f>IF(NOT(ISNUMBER($A584)),NA(),IFERROR(1*INDEX(BBG_Data!$L$2:$L$4000,MATCH($A584,BBG_Data!$K$2:$K$4000,0)),NA()))</f>
        <v/>
      </c>
      <c r="S584" s="20">
        <f>IF(AND(ISNUMBER(B584),ISNUMBER(Q584),ISNUMBER(R584)),(B584-Q584-R584)*100,NA())</f>
        <v/>
      </c>
      <c r="T584" s="20">
        <f>IF(AND(ISNUMBER(B584),Settings!$B$17&gt;0),IF(ISNUMBER(INDEX($B:$B,Settings!$B$17)),(B584-INDEX($B:$B,Settings!$B$17))*100,NA()),NA())</f>
        <v/>
      </c>
      <c r="U584" s="20">
        <f>IF(AND(ISNUMBER(Q584),Settings!$B$17&gt;0),IF(ISNUMBER(INDEX($Q:$Q,Settings!$B$17)),(Q584-INDEX($Q:$Q,Settings!$B$17))*100,NA()),NA())</f>
        <v/>
      </c>
      <c r="V584" s="20">
        <f>IF(AND(ISNUMBER(R584),Settings!$B$17&gt;0),IF(ISNUMBER(INDEX($R:$R,Settings!$B$17)),(R584-INDEX($R:$R,Settings!$B$17))*100,NA()),NA())</f>
        <v/>
      </c>
      <c r="W584" s="20">
        <f>IF(AND(ISNUMBER(P584),Settings!$B$17&gt;0),IF(ISNUMBER(INDEX($P:$P,Settings!$B$17)),P584-INDEX($P:$P,Settings!$B$17),NA()),NA())</f>
        <v/>
      </c>
      <c r="X584" s="19">
        <f>IF(NOT(ISNUMBER($A584)),NA(),IF(OR($A584&lt;MIN(DKW_10Y!$A$2:$A$2918),$A584&gt;MAX(DKW_10Y!$A$2:$A$2918),Settings!$B$16&lt;MIN(DKW_10Y!$A$2:$A$2918)),NA(),(INDEX(DKW_10Y!$B$2:$B$2918,MATCH($A584,DKW_10Y!$A$2:$A$2918,1))-INDEX(DKW_10Y!$B$2:$B$2918,MATCH(Settings!$B$16,DKW_10Y!$A$2:$A$2918,1)))*100))</f>
        <v/>
      </c>
      <c r="Y584" s="19">
        <f>IF(NOT(ISNUMBER($A584)),NA(),IF(OR($A584&lt;MIN(DKW_10Y!$A$2:$A$2918),$A584&gt;MAX(DKW_10Y!$A$2:$A$2918),Settings!$B$16&lt;MIN(DKW_10Y!$A$2:$A$2918)),NA(),(INDEX(DKW_10Y!$C$2:$C$2918,MATCH($A584,DKW_10Y!$A$2:$A$2918,1))-INDEX(DKW_10Y!$C$2:$C$2918,MATCH(Settings!$B$16,DKW_10Y!$A$2:$A$2918,1)))*100))</f>
        <v/>
      </c>
      <c r="Z584" s="19">
        <f>IF(NOT(ISNUMBER($A584)),NA(),IF(OR($A584&lt;MIN(DKW_10Y!$A$2:$A$2918),$A584&gt;MAX(DKW_10Y!$A$2:$A$2918),Settings!$B$16&lt;MIN(DKW_10Y!$A$2:$A$2918)),NA(),(INDEX(DKW_10Y!$D$2:$D$2918,MATCH($A584,DKW_10Y!$A$2:$A$2918,1))-INDEX(DKW_10Y!$D$2:$D$2918,MATCH(Settings!$B$16,DKW_10Y!$A$2:$A$2918,1)))*100))</f>
        <v/>
      </c>
      <c r="AA584" s="19">
        <f>IF(NOT(ISNUMBER($A584)),NA(),IF(OR($A584&lt;MIN(DKW_10Y!$A$2:$A$2918),$A584&gt;MAX(DKW_10Y!$A$2:$A$2918),Settings!$B$16&lt;MIN(DKW_10Y!$A$2:$A$2918)),NA(),(INDEX(DKW_10Y!$E$2:$E$2918,MATCH($A584,DKW_10Y!$A$2:$A$2918,1))-INDEX(DKW_10Y!$E$2:$E$2918,MATCH(Settings!$B$16,DKW_10Y!$A$2:$A$2918,1)))*100))</f>
        <v/>
      </c>
      <c r="AB584" s="19">
        <f>IF(NOT(ISNUMBER($A584)),NA(),IF(OR($A584&lt;MIN(DKW_10Y!$A$2:$A$2918),$A584&gt;MAX(DKW_10Y!$A$2:$A$2918),Settings!$B$16&lt;MIN(DKW_10Y!$A$2:$A$2918)),NA(),(INDEX(DKW_10Y!$H$2:$H$2918,MATCH($A584,DKW_10Y!$A$2:$A$2918,1))-INDEX(DKW_10Y!$H$2:$H$2918,MATCH(Settings!$B$16,DKW_10Y!$A$2:$A$2918,1)))*100))</f>
        <v/>
      </c>
      <c r="AC584" s="18">
        <f>IF(NOT(ISNUMBER($A584)),NA(),IFERROR(1*INDEX(BBG_Data!$N$2:$N$4000,MATCH($A584,BBG_Data!$M$2:$M$4000,0)),NA()))</f>
        <v/>
      </c>
      <c r="AD584" s="18">
        <f>IF(NOT(ISNUMBER($A584)),NA(),IFERROR(1*INDEX(BBG_Data!$P$2:$P$4000,MATCH($A584,BBG_Data!$O$2:$O$4000,0)),NA()))</f>
        <v/>
      </c>
      <c r="AE584" s="18">
        <f>IF(NOT(ISNUMBER($A584)),NA(),IFERROR(1*INDEX(BBG_Data!$R$2:$R$4000,MATCH($A584,BBG_Data!$Q$2:$Q$4000,0)),NA()))</f>
        <v/>
      </c>
      <c r="AF584" s="20">
        <f>IF(AND(ISNUMBER(B584),ISNUMBER(AC584)),(B584-AC584)*100,NA())</f>
        <v/>
      </c>
      <c r="AG584" s="20">
        <f>IF(AND(ISNUMBER(AE584),ISNUMBER(AD584)),(AE584-AD584)*100,NA())</f>
        <v/>
      </c>
      <c r="AH584" s="19">
        <f>IF(NOT(ISNUMBER($A584)),NA(),IFERROR(INDEX(BBG_Data!$T$2:$T$4000,MATCH($A584,BBG_Data!$S$2:$S$4000,0))*Settings!$B$25,NA()))</f>
        <v/>
      </c>
      <c r="AI584" s="19">
        <f>IF(NOT(ISNUMBER($A584)),NA(),IFERROR(INDEX(BBG_Data!$V$2:$V$4000,MATCH($A584,BBG_Data!$U$2:$U$4000,0))*Settings!$B$25,NA()))</f>
        <v/>
      </c>
      <c r="AJ584" s="19">
        <f>IF(NOT(ISNUMBER($A584)),NA(),IFERROR(1*INDEX(BBG_Data!$X$2:$X$4000,MATCH($A584,BBG_Data!$W$2:$W$4000,0)),NA()))</f>
        <v/>
      </c>
      <c r="AK584" s="19">
        <f>IF(NOT(ISNUMBER($A584)),NA(),IFERROR(1*INDEX(BBG_Data!$Z$2:$Z$4000,MATCH($A584,BBG_Data!$Y$2:$Y$4000,0)),NA()))</f>
        <v/>
      </c>
    </row>
    <row r="585">
      <c r="A585" s="17">
        <f>IF(ISNUMBER(BBG_Data!A585),BBG_Data!A585,"")</f>
        <v/>
      </c>
      <c r="B585" s="18">
        <f>IF(AND(ISNUMBER($A585),ISNUMBER(BBG_Data!B585)),BBG_Data!B585,NA())</f>
        <v/>
      </c>
      <c r="C585" s="18">
        <f>IF(NOT(ISNUMBER($A585)),NA(),IFERROR(1*INDEX(BBG_Data!$D$2:$D$4000,MATCH($A585,BBG_Data!$C$2:$C$4000,0)),NA()))</f>
        <v/>
      </c>
      <c r="D585" s="19">
        <f>IF(NOT(ISNUMBER($A585)),NA(),IFERROR(1*INDEX(BBG_Data!$F$2:$F$4000,MATCH($A585,BBG_Data!$E$2:$E$4000,0)),NA()))</f>
        <v/>
      </c>
      <c r="E585" s="19">
        <f>IF(NOT(ISNUMBER($A585)),NA(),IFERROR(1*INDEX(BBG_Data!$H$2:$H$4000,MATCH($A585,BBG_Data!$G$2:$G$4000,0)),NA()))</f>
        <v/>
      </c>
      <c r="F585" s="20">
        <f>IF(AND(ISNUMBER(B585),ISNUMBER(B584)),IF(B585=B584,"",(B585-B584)*100),"")</f>
        <v/>
      </c>
      <c r="G585" s="20">
        <f>IF(AND(ISNUMBER(C585),ISNUMBER(C584)),IF(C585=C584,"",(C585-C584)*100),"")</f>
        <v/>
      </c>
      <c r="H585" s="20">
        <f>IF(OR(NOT(ISNUMBER($A585)),ROW()-2&lt;Settings!$B$11),NA(),IF(COUNT(OFFSET(F585,1-Settings!$B$11,0,Settings!$B$11,1))&lt;ROUNDUP(Settings!$B$11*Settings!$B$26,0),NA(),STDEV(OFFSET(F585,1-Settings!$B$11,0,Settings!$B$11,1))*SQRT(Settings!$B$13)))</f>
        <v/>
      </c>
      <c r="I585" s="20">
        <f>IF(OR(NOT(ISNUMBER($A585)),ROW()-2&lt;Settings!$B$12),NA(),IF(COUNT(OFFSET(F585,1-Settings!$B$12,0,Settings!$B$12,1))&lt;ROUNDUP(Settings!$B$12*Settings!$B$26,0),NA(),STDEV(OFFSET(F585,1-Settings!$B$12,0,Settings!$B$12,1))*SQRT(Settings!$B$13)))</f>
        <v/>
      </c>
      <c r="J585" s="20">
        <f>IF(OR(NOT(ISNUMBER($A585)),ROW()-2&lt;Settings!$B$11),NA(),IF(COUNT(OFFSET(G585,1-Settings!$B$11,0,Settings!$B$11,1))&lt;ROUNDUP(Settings!$B$11*Settings!$B$26,0),NA(),STDEV(OFFSET(G585,1-Settings!$B$11,0,Settings!$B$11,1))*SQRT(Settings!$B$13)))</f>
        <v/>
      </c>
      <c r="K585" s="20">
        <f>IF(OR(NOT(ISNUMBER($A585)),ROW()-2&lt;Settings!$B$12),NA(),IF(COUNT(OFFSET(G585,1-Settings!$B$12,0,Settings!$B$12,1))&lt;ROUNDUP(Settings!$B$12*Settings!$B$26,0),NA(),STDEV(OFFSET(G585,1-Settings!$B$12,0,Settings!$B$12,1))*SQRT(Settings!$B$13)))</f>
        <v/>
      </c>
      <c r="L585" s="20">
        <f>IF(AND(ISNUMBER(D585),ISNUMBER(H585)),D585-H585,NA())</f>
        <v/>
      </c>
      <c r="M585" s="20">
        <f>IF(AND(ISNUMBER(E585),ISNUMBER(K585)),E585-K585,NA())</f>
        <v/>
      </c>
      <c r="N585" s="20">
        <f>IF(NOT(ISNUMBER($A585)),NA(),IF(COUNT(OFFSET(G585,1,0,Settings!$B$12,1))&lt;ROUNDUP(Settings!$B$12*Settings!$B$26,0),NA(),STDEV(OFFSET(G585,1,0,Settings!$B$12,1))*SQRT(Settings!$B$13)))</f>
        <v/>
      </c>
      <c r="O585" s="20">
        <f>IF(AND(ISNUMBER(E585),ISNUMBER(N585)),E585-N585,NA())</f>
        <v/>
      </c>
      <c r="P585" s="19">
        <f>IF(NOT(ISNUMBER($A585)),NA(),IF(OR($A585&lt;MIN(KW_TP!$A$2:$A$2501),$A585&gt;MAX(KW_TP!$A$2:$A$2501)),NA(),INDEX(KW_TP!$C$2:$C$2501,MATCH($A585,KW_TP!$A$2:$A$2501,1))))</f>
        <v/>
      </c>
      <c r="Q585" s="18">
        <f>IF(NOT(ISNUMBER($A585)),NA(),IFERROR(1*INDEX(BBG_Data!$J$2:$J$4000,MATCH($A585,BBG_Data!$I$2:$I$4000,0)),NA()))</f>
        <v/>
      </c>
      <c r="R585" s="18">
        <f>IF(NOT(ISNUMBER($A585)),NA(),IFERROR(1*INDEX(BBG_Data!$L$2:$L$4000,MATCH($A585,BBG_Data!$K$2:$K$4000,0)),NA()))</f>
        <v/>
      </c>
      <c r="S585" s="20">
        <f>IF(AND(ISNUMBER(B585),ISNUMBER(Q585),ISNUMBER(R585)),(B585-Q585-R585)*100,NA())</f>
        <v/>
      </c>
      <c r="T585" s="20">
        <f>IF(AND(ISNUMBER(B585),Settings!$B$17&gt;0),IF(ISNUMBER(INDEX($B:$B,Settings!$B$17)),(B585-INDEX($B:$B,Settings!$B$17))*100,NA()),NA())</f>
        <v/>
      </c>
      <c r="U585" s="20">
        <f>IF(AND(ISNUMBER(Q585),Settings!$B$17&gt;0),IF(ISNUMBER(INDEX($Q:$Q,Settings!$B$17)),(Q585-INDEX($Q:$Q,Settings!$B$17))*100,NA()),NA())</f>
        <v/>
      </c>
      <c r="V585" s="20">
        <f>IF(AND(ISNUMBER(R585),Settings!$B$17&gt;0),IF(ISNUMBER(INDEX($R:$R,Settings!$B$17)),(R585-INDEX($R:$R,Settings!$B$17))*100,NA()),NA())</f>
        <v/>
      </c>
      <c r="W585" s="20">
        <f>IF(AND(ISNUMBER(P585),Settings!$B$17&gt;0),IF(ISNUMBER(INDEX($P:$P,Settings!$B$17)),P585-INDEX($P:$P,Settings!$B$17),NA()),NA())</f>
        <v/>
      </c>
      <c r="X585" s="19">
        <f>IF(NOT(ISNUMBER($A585)),NA(),IF(OR($A585&lt;MIN(DKW_10Y!$A$2:$A$2918),$A585&gt;MAX(DKW_10Y!$A$2:$A$2918),Settings!$B$16&lt;MIN(DKW_10Y!$A$2:$A$2918)),NA(),(INDEX(DKW_10Y!$B$2:$B$2918,MATCH($A585,DKW_10Y!$A$2:$A$2918,1))-INDEX(DKW_10Y!$B$2:$B$2918,MATCH(Settings!$B$16,DKW_10Y!$A$2:$A$2918,1)))*100))</f>
        <v/>
      </c>
      <c r="Y585" s="19">
        <f>IF(NOT(ISNUMBER($A585)),NA(),IF(OR($A585&lt;MIN(DKW_10Y!$A$2:$A$2918),$A585&gt;MAX(DKW_10Y!$A$2:$A$2918),Settings!$B$16&lt;MIN(DKW_10Y!$A$2:$A$2918)),NA(),(INDEX(DKW_10Y!$C$2:$C$2918,MATCH($A585,DKW_10Y!$A$2:$A$2918,1))-INDEX(DKW_10Y!$C$2:$C$2918,MATCH(Settings!$B$16,DKW_10Y!$A$2:$A$2918,1)))*100))</f>
        <v/>
      </c>
      <c r="Z585" s="19">
        <f>IF(NOT(ISNUMBER($A585)),NA(),IF(OR($A585&lt;MIN(DKW_10Y!$A$2:$A$2918),$A585&gt;MAX(DKW_10Y!$A$2:$A$2918),Settings!$B$16&lt;MIN(DKW_10Y!$A$2:$A$2918)),NA(),(INDEX(DKW_10Y!$D$2:$D$2918,MATCH($A585,DKW_10Y!$A$2:$A$2918,1))-INDEX(DKW_10Y!$D$2:$D$2918,MATCH(Settings!$B$16,DKW_10Y!$A$2:$A$2918,1)))*100))</f>
        <v/>
      </c>
      <c r="AA585" s="19">
        <f>IF(NOT(ISNUMBER($A585)),NA(),IF(OR($A585&lt;MIN(DKW_10Y!$A$2:$A$2918),$A585&gt;MAX(DKW_10Y!$A$2:$A$2918),Settings!$B$16&lt;MIN(DKW_10Y!$A$2:$A$2918)),NA(),(INDEX(DKW_10Y!$E$2:$E$2918,MATCH($A585,DKW_10Y!$A$2:$A$2918,1))-INDEX(DKW_10Y!$E$2:$E$2918,MATCH(Settings!$B$16,DKW_10Y!$A$2:$A$2918,1)))*100))</f>
        <v/>
      </c>
      <c r="AB585" s="19">
        <f>IF(NOT(ISNUMBER($A585)),NA(),IF(OR($A585&lt;MIN(DKW_10Y!$A$2:$A$2918),$A585&gt;MAX(DKW_10Y!$A$2:$A$2918),Settings!$B$16&lt;MIN(DKW_10Y!$A$2:$A$2918)),NA(),(INDEX(DKW_10Y!$H$2:$H$2918,MATCH($A585,DKW_10Y!$A$2:$A$2918,1))-INDEX(DKW_10Y!$H$2:$H$2918,MATCH(Settings!$B$16,DKW_10Y!$A$2:$A$2918,1)))*100))</f>
        <v/>
      </c>
      <c r="AC585" s="18">
        <f>IF(NOT(ISNUMBER($A585)),NA(),IFERROR(1*INDEX(BBG_Data!$N$2:$N$4000,MATCH($A585,BBG_Data!$M$2:$M$4000,0)),NA()))</f>
        <v/>
      </c>
      <c r="AD585" s="18">
        <f>IF(NOT(ISNUMBER($A585)),NA(),IFERROR(1*INDEX(BBG_Data!$P$2:$P$4000,MATCH($A585,BBG_Data!$O$2:$O$4000,0)),NA()))</f>
        <v/>
      </c>
      <c r="AE585" s="18">
        <f>IF(NOT(ISNUMBER($A585)),NA(),IFERROR(1*INDEX(BBG_Data!$R$2:$R$4000,MATCH($A585,BBG_Data!$Q$2:$Q$4000,0)),NA()))</f>
        <v/>
      </c>
      <c r="AF585" s="20">
        <f>IF(AND(ISNUMBER(B585),ISNUMBER(AC585)),(B585-AC585)*100,NA())</f>
        <v/>
      </c>
      <c r="AG585" s="20">
        <f>IF(AND(ISNUMBER(AE585),ISNUMBER(AD585)),(AE585-AD585)*100,NA())</f>
        <v/>
      </c>
      <c r="AH585" s="19">
        <f>IF(NOT(ISNUMBER($A585)),NA(),IFERROR(INDEX(BBG_Data!$T$2:$T$4000,MATCH($A585,BBG_Data!$S$2:$S$4000,0))*Settings!$B$25,NA()))</f>
        <v/>
      </c>
      <c r="AI585" s="19">
        <f>IF(NOT(ISNUMBER($A585)),NA(),IFERROR(INDEX(BBG_Data!$V$2:$V$4000,MATCH($A585,BBG_Data!$U$2:$U$4000,0))*Settings!$B$25,NA()))</f>
        <v/>
      </c>
      <c r="AJ585" s="19">
        <f>IF(NOT(ISNUMBER($A585)),NA(),IFERROR(1*INDEX(BBG_Data!$X$2:$X$4000,MATCH($A585,BBG_Data!$W$2:$W$4000,0)),NA()))</f>
        <v/>
      </c>
      <c r="AK585" s="19">
        <f>IF(NOT(ISNUMBER($A585)),NA(),IFERROR(1*INDEX(BBG_Data!$Z$2:$Z$4000,MATCH($A585,BBG_Data!$Y$2:$Y$4000,0)),NA()))</f>
        <v/>
      </c>
    </row>
    <row r="586">
      <c r="A586" s="17">
        <f>IF(ISNUMBER(BBG_Data!A586),BBG_Data!A586,"")</f>
        <v/>
      </c>
      <c r="B586" s="18">
        <f>IF(AND(ISNUMBER($A586),ISNUMBER(BBG_Data!B586)),BBG_Data!B586,NA())</f>
        <v/>
      </c>
      <c r="C586" s="18">
        <f>IF(NOT(ISNUMBER($A586)),NA(),IFERROR(1*INDEX(BBG_Data!$D$2:$D$4000,MATCH($A586,BBG_Data!$C$2:$C$4000,0)),NA()))</f>
        <v/>
      </c>
      <c r="D586" s="19">
        <f>IF(NOT(ISNUMBER($A586)),NA(),IFERROR(1*INDEX(BBG_Data!$F$2:$F$4000,MATCH($A586,BBG_Data!$E$2:$E$4000,0)),NA()))</f>
        <v/>
      </c>
      <c r="E586" s="19">
        <f>IF(NOT(ISNUMBER($A586)),NA(),IFERROR(1*INDEX(BBG_Data!$H$2:$H$4000,MATCH($A586,BBG_Data!$G$2:$G$4000,0)),NA()))</f>
        <v/>
      </c>
      <c r="F586" s="20">
        <f>IF(AND(ISNUMBER(B586),ISNUMBER(B585)),IF(B586=B585,"",(B586-B585)*100),"")</f>
        <v/>
      </c>
      <c r="G586" s="20">
        <f>IF(AND(ISNUMBER(C586),ISNUMBER(C585)),IF(C586=C585,"",(C586-C585)*100),"")</f>
        <v/>
      </c>
      <c r="H586" s="20">
        <f>IF(OR(NOT(ISNUMBER($A586)),ROW()-2&lt;Settings!$B$11),NA(),IF(COUNT(OFFSET(F586,1-Settings!$B$11,0,Settings!$B$11,1))&lt;ROUNDUP(Settings!$B$11*Settings!$B$26,0),NA(),STDEV(OFFSET(F586,1-Settings!$B$11,0,Settings!$B$11,1))*SQRT(Settings!$B$13)))</f>
        <v/>
      </c>
      <c r="I586" s="20">
        <f>IF(OR(NOT(ISNUMBER($A586)),ROW()-2&lt;Settings!$B$12),NA(),IF(COUNT(OFFSET(F586,1-Settings!$B$12,0,Settings!$B$12,1))&lt;ROUNDUP(Settings!$B$12*Settings!$B$26,0),NA(),STDEV(OFFSET(F586,1-Settings!$B$12,0,Settings!$B$12,1))*SQRT(Settings!$B$13)))</f>
        <v/>
      </c>
      <c r="J586" s="20">
        <f>IF(OR(NOT(ISNUMBER($A586)),ROW()-2&lt;Settings!$B$11),NA(),IF(COUNT(OFFSET(G586,1-Settings!$B$11,0,Settings!$B$11,1))&lt;ROUNDUP(Settings!$B$11*Settings!$B$26,0),NA(),STDEV(OFFSET(G586,1-Settings!$B$11,0,Settings!$B$11,1))*SQRT(Settings!$B$13)))</f>
        <v/>
      </c>
      <c r="K586" s="20">
        <f>IF(OR(NOT(ISNUMBER($A586)),ROW()-2&lt;Settings!$B$12),NA(),IF(COUNT(OFFSET(G586,1-Settings!$B$12,0,Settings!$B$12,1))&lt;ROUNDUP(Settings!$B$12*Settings!$B$26,0),NA(),STDEV(OFFSET(G586,1-Settings!$B$12,0,Settings!$B$12,1))*SQRT(Settings!$B$13)))</f>
        <v/>
      </c>
      <c r="L586" s="20">
        <f>IF(AND(ISNUMBER(D586),ISNUMBER(H586)),D586-H586,NA())</f>
        <v/>
      </c>
      <c r="M586" s="20">
        <f>IF(AND(ISNUMBER(E586),ISNUMBER(K586)),E586-K586,NA())</f>
        <v/>
      </c>
      <c r="N586" s="20">
        <f>IF(NOT(ISNUMBER($A586)),NA(),IF(COUNT(OFFSET(G586,1,0,Settings!$B$12,1))&lt;ROUNDUP(Settings!$B$12*Settings!$B$26,0),NA(),STDEV(OFFSET(G586,1,0,Settings!$B$12,1))*SQRT(Settings!$B$13)))</f>
        <v/>
      </c>
      <c r="O586" s="20">
        <f>IF(AND(ISNUMBER(E586),ISNUMBER(N586)),E586-N586,NA())</f>
        <v/>
      </c>
      <c r="P586" s="19">
        <f>IF(NOT(ISNUMBER($A586)),NA(),IF(OR($A586&lt;MIN(KW_TP!$A$2:$A$2501),$A586&gt;MAX(KW_TP!$A$2:$A$2501)),NA(),INDEX(KW_TP!$C$2:$C$2501,MATCH($A586,KW_TP!$A$2:$A$2501,1))))</f>
        <v/>
      </c>
      <c r="Q586" s="18">
        <f>IF(NOT(ISNUMBER($A586)),NA(),IFERROR(1*INDEX(BBG_Data!$J$2:$J$4000,MATCH($A586,BBG_Data!$I$2:$I$4000,0)),NA()))</f>
        <v/>
      </c>
      <c r="R586" s="18">
        <f>IF(NOT(ISNUMBER($A586)),NA(),IFERROR(1*INDEX(BBG_Data!$L$2:$L$4000,MATCH($A586,BBG_Data!$K$2:$K$4000,0)),NA()))</f>
        <v/>
      </c>
      <c r="S586" s="20">
        <f>IF(AND(ISNUMBER(B586),ISNUMBER(Q586),ISNUMBER(R586)),(B586-Q586-R586)*100,NA())</f>
        <v/>
      </c>
      <c r="T586" s="20">
        <f>IF(AND(ISNUMBER(B586),Settings!$B$17&gt;0),IF(ISNUMBER(INDEX($B:$B,Settings!$B$17)),(B586-INDEX($B:$B,Settings!$B$17))*100,NA()),NA())</f>
        <v/>
      </c>
      <c r="U586" s="20">
        <f>IF(AND(ISNUMBER(Q586),Settings!$B$17&gt;0),IF(ISNUMBER(INDEX($Q:$Q,Settings!$B$17)),(Q586-INDEX($Q:$Q,Settings!$B$17))*100,NA()),NA())</f>
        <v/>
      </c>
      <c r="V586" s="20">
        <f>IF(AND(ISNUMBER(R586),Settings!$B$17&gt;0),IF(ISNUMBER(INDEX($R:$R,Settings!$B$17)),(R586-INDEX($R:$R,Settings!$B$17))*100,NA()),NA())</f>
        <v/>
      </c>
      <c r="W586" s="20">
        <f>IF(AND(ISNUMBER(P586),Settings!$B$17&gt;0),IF(ISNUMBER(INDEX($P:$P,Settings!$B$17)),P586-INDEX($P:$P,Settings!$B$17),NA()),NA())</f>
        <v/>
      </c>
      <c r="X586" s="19">
        <f>IF(NOT(ISNUMBER($A586)),NA(),IF(OR($A586&lt;MIN(DKW_10Y!$A$2:$A$2918),$A586&gt;MAX(DKW_10Y!$A$2:$A$2918),Settings!$B$16&lt;MIN(DKW_10Y!$A$2:$A$2918)),NA(),(INDEX(DKW_10Y!$B$2:$B$2918,MATCH($A586,DKW_10Y!$A$2:$A$2918,1))-INDEX(DKW_10Y!$B$2:$B$2918,MATCH(Settings!$B$16,DKW_10Y!$A$2:$A$2918,1)))*100))</f>
        <v/>
      </c>
      <c r="Y586" s="19">
        <f>IF(NOT(ISNUMBER($A586)),NA(),IF(OR($A586&lt;MIN(DKW_10Y!$A$2:$A$2918),$A586&gt;MAX(DKW_10Y!$A$2:$A$2918),Settings!$B$16&lt;MIN(DKW_10Y!$A$2:$A$2918)),NA(),(INDEX(DKW_10Y!$C$2:$C$2918,MATCH($A586,DKW_10Y!$A$2:$A$2918,1))-INDEX(DKW_10Y!$C$2:$C$2918,MATCH(Settings!$B$16,DKW_10Y!$A$2:$A$2918,1)))*100))</f>
        <v/>
      </c>
      <c r="Z586" s="19">
        <f>IF(NOT(ISNUMBER($A586)),NA(),IF(OR($A586&lt;MIN(DKW_10Y!$A$2:$A$2918),$A586&gt;MAX(DKW_10Y!$A$2:$A$2918),Settings!$B$16&lt;MIN(DKW_10Y!$A$2:$A$2918)),NA(),(INDEX(DKW_10Y!$D$2:$D$2918,MATCH($A586,DKW_10Y!$A$2:$A$2918,1))-INDEX(DKW_10Y!$D$2:$D$2918,MATCH(Settings!$B$16,DKW_10Y!$A$2:$A$2918,1)))*100))</f>
        <v/>
      </c>
      <c r="AA586" s="19">
        <f>IF(NOT(ISNUMBER($A586)),NA(),IF(OR($A586&lt;MIN(DKW_10Y!$A$2:$A$2918),$A586&gt;MAX(DKW_10Y!$A$2:$A$2918),Settings!$B$16&lt;MIN(DKW_10Y!$A$2:$A$2918)),NA(),(INDEX(DKW_10Y!$E$2:$E$2918,MATCH($A586,DKW_10Y!$A$2:$A$2918,1))-INDEX(DKW_10Y!$E$2:$E$2918,MATCH(Settings!$B$16,DKW_10Y!$A$2:$A$2918,1)))*100))</f>
        <v/>
      </c>
      <c r="AB586" s="19">
        <f>IF(NOT(ISNUMBER($A586)),NA(),IF(OR($A586&lt;MIN(DKW_10Y!$A$2:$A$2918),$A586&gt;MAX(DKW_10Y!$A$2:$A$2918),Settings!$B$16&lt;MIN(DKW_10Y!$A$2:$A$2918)),NA(),(INDEX(DKW_10Y!$H$2:$H$2918,MATCH($A586,DKW_10Y!$A$2:$A$2918,1))-INDEX(DKW_10Y!$H$2:$H$2918,MATCH(Settings!$B$16,DKW_10Y!$A$2:$A$2918,1)))*100))</f>
        <v/>
      </c>
      <c r="AC586" s="18">
        <f>IF(NOT(ISNUMBER($A586)),NA(),IFERROR(1*INDEX(BBG_Data!$N$2:$N$4000,MATCH($A586,BBG_Data!$M$2:$M$4000,0)),NA()))</f>
        <v/>
      </c>
      <c r="AD586" s="18">
        <f>IF(NOT(ISNUMBER($A586)),NA(),IFERROR(1*INDEX(BBG_Data!$P$2:$P$4000,MATCH($A586,BBG_Data!$O$2:$O$4000,0)),NA()))</f>
        <v/>
      </c>
      <c r="AE586" s="18">
        <f>IF(NOT(ISNUMBER($A586)),NA(),IFERROR(1*INDEX(BBG_Data!$R$2:$R$4000,MATCH($A586,BBG_Data!$Q$2:$Q$4000,0)),NA()))</f>
        <v/>
      </c>
      <c r="AF586" s="20">
        <f>IF(AND(ISNUMBER(B586),ISNUMBER(AC586)),(B586-AC586)*100,NA())</f>
        <v/>
      </c>
      <c r="AG586" s="20">
        <f>IF(AND(ISNUMBER(AE586),ISNUMBER(AD586)),(AE586-AD586)*100,NA())</f>
        <v/>
      </c>
      <c r="AH586" s="19">
        <f>IF(NOT(ISNUMBER($A586)),NA(),IFERROR(INDEX(BBG_Data!$T$2:$T$4000,MATCH($A586,BBG_Data!$S$2:$S$4000,0))*Settings!$B$25,NA()))</f>
        <v/>
      </c>
      <c r="AI586" s="19">
        <f>IF(NOT(ISNUMBER($A586)),NA(),IFERROR(INDEX(BBG_Data!$V$2:$V$4000,MATCH($A586,BBG_Data!$U$2:$U$4000,0))*Settings!$B$25,NA()))</f>
        <v/>
      </c>
      <c r="AJ586" s="19">
        <f>IF(NOT(ISNUMBER($A586)),NA(),IFERROR(1*INDEX(BBG_Data!$X$2:$X$4000,MATCH($A586,BBG_Data!$W$2:$W$4000,0)),NA()))</f>
        <v/>
      </c>
      <c r="AK586" s="19">
        <f>IF(NOT(ISNUMBER($A586)),NA(),IFERROR(1*INDEX(BBG_Data!$Z$2:$Z$4000,MATCH($A586,BBG_Data!$Y$2:$Y$4000,0)),NA()))</f>
        <v/>
      </c>
    </row>
    <row r="587">
      <c r="A587" s="17">
        <f>IF(ISNUMBER(BBG_Data!A587),BBG_Data!A587,"")</f>
        <v/>
      </c>
      <c r="B587" s="18">
        <f>IF(AND(ISNUMBER($A587),ISNUMBER(BBG_Data!B587)),BBG_Data!B587,NA())</f>
        <v/>
      </c>
      <c r="C587" s="18">
        <f>IF(NOT(ISNUMBER($A587)),NA(),IFERROR(1*INDEX(BBG_Data!$D$2:$D$4000,MATCH($A587,BBG_Data!$C$2:$C$4000,0)),NA()))</f>
        <v/>
      </c>
      <c r="D587" s="19">
        <f>IF(NOT(ISNUMBER($A587)),NA(),IFERROR(1*INDEX(BBG_Data!$F$2:$F$4000,MATCH($A587,BBG_Data!$E$2:$E$4000,0)),NA()))</f>
        <v/>
      </c>
      <c r="E587" s="19">
        <f>IF(NOT(ISNUMBER($A587)),NA(),IFERROR(1*INDEX(BBG_Data!$H$2:$H$4000,MATCH($A587,BBG_Data!$G$2:$G$4000,0)),NA()))</f>
        <v/>
      </c>
      <c r="F587" s="20">
        <f>IF(AND(ISNUMBER(B587),ISNUMBER(B586)),IF(B587=B586,"",(B587-B586)*100),"")</f>
        <v/>
      </c>
      <c r="G587" s="20">
        <f>IF(AND(ISNUMBER(C587),ISNUMBER(C586)),IF(C587=C586,"",(C587-C586)*100),"")</f>
        <v/>
      </c>
      <c r="H587" s="20">
        <f>IF(OR(NOT(ISNUMBER($A587)),ROW()-2&lt;Settings!$B$11),NA(),IF(COUNT(OFFSET(F587,1-Settings!$B$11,0,Settings!$B$11,1))&lt;ROUNDUP(Settings!$B$11*Settings!$B$26,0),NA(),STDEV(OFFSET(F587,1-Settings!$B$11,0,Settings!$B$11,1))*SQRT(Settings!$B$13)))</f>
        <v/>
      </c>
      <c r="I587" s="20">
        <f>IF(OR(NOT(ISNUMBER($A587)),ROW()-2&lt;Settings!$B$12),NA(),IF(COUNT(OFFSET(F587,1-Settings!$B$12,0,Settings!$B$12,1))&lt;ROUNDUP(Settings!$B$12*Settings!$B$26,0),NA(),STDEV(OFFSET(F587,1-Settings!$B$12,0,Settings!$B$12,1))*SQRT(Settings!$B$13)))</f>
        <v/>
      </c>
      <c r="J587" s="20">
        <f>IF(OR(NOT(ISNUMBER($A587)),ROW()-2&lt;Settings!$B$11),NA(),IF(COUNT(OFFSET(G587,1-Settings!$B$11,0,Settings!$B$11,1))&lt;ROUNDUP(Settings!$B$11*Settings!$B$26,0),NA(),STDEV(OFFSET(G587,1-Settings!$B$11,0,Settings!$B$11,1))*SQRT(Settings!$B$13)))</f>
        <v/>
      </c>
      <c r="K587" s="20">
        <f>IF(OR(NOT(ISNUMBER($A587)),ROW()-2&lt;Settings!$B$12),NA(),IF(COUNT(OFFSET(G587,1-Settings!$B$12,0,Settings!$B$12,1))&lt;ROUNDUP(Settings!$B$12*Settings!$B$26,0),NA(),STDEV(OFFSET(G587,1-Settings!$B$12,0,Settings!$B$12,1))*SQRT(Settings!$B$13)))</f>
        <v/>
      </c>
      <c r="L587" s="20">
        <f>IF(AND(ISNUMBER(D587),ISNUMBER(H587)),D587-H587,NA())</f>
        <v/>
      </c>
      <c r="M587" s="20">
        <f>IF(AND(ISNUMBER(E587),ISNUMBER(K587)),E587-K587,NA())</f>
        <v/>
      </c>
      <c r="N587" s="20">
        <f>IF(NOT(ISNUMBER($A587)),NA(),IF(COUNT(OFFSET(G587,1,0,Settings!$B$12,1))&lt;ROUNDUP(Settings!$B$12*Settings!$B$26,0),NA(),STDEV(OFFSET(G587,1,0,Settings!$B$12,1))*SQRT(Settings!$B$13)))</f>
        <v/>
      </c>
      <c r="O587" s="20">
        <f>IF(AND(ISNUMBER(E587),ISNUMBER(N587)),E587-N587,NA())</f>
        <v/>
      </c>
      <c r="P587" s="19">
        <f>IF(NOT(ISNUMBER($A587)),NA(),IF(OR($A587&lt;MIN(KW_TP!$A$2:$A$2501),$A587&gt;MAX(KW_TP!$A$2:$A$2501)),NA(),INDEX(KW_TP!$C$2:$C$2501,MATCH($A587,KW_TP!$A$2:$A$2501,1))))</f>
        <v/>
      </c>
      <c r="Q587" s="18">
        <f>IF(NOT(ISNUMBER($A587)),NA(),IFERROR(1*INDEX(BBG_Data!$J$2:$J$4000,MATCH($A587,BBG_Data!$I$2:$I$4000,0)),NA()))</f>
        <v/>
      </c>
      <c r="R587" s="18">
        <f>IF(NOT(ISNUMBER($A587)),NA(),IFERROR(1*INDEX(BBG_Data!$L$2:$L$4000,MATCH($A587,BBG_Data!$K$2:$K$4000,0)),NA()))</f>
        <v/>
      </c>
      <c r="S587" s="20">
        <f>IF(AND(ISNUMBER(B587),ISNUMBER(Q587),ISNUMBER(R587)),(B587-Q587-R587)*100,NA())</f>
        <v/>
      </c>
      <c r="T587" s="20">
        <f>IF(AND(ISNUMBER(B587),Settings!$B$17&gt;0),IF(ISNUMBER(INDEX($B:$B,Settings!$B$17)),(B587-INDEX($B:$B,Settings!$B$17))*100,NA()),NA())</f>
        <v/>
      </c>
      <c r="U587" s="20">
        <f>IF(AND(ISNUMBER(Q587),Settings!$B$17&gt;0),IF(ISNUMBER(INDEX($Q:$Q,Settings!$B$17)),(Q587-INDEX($Q:$Q,Settings!$B$17))*100,NA()),NA())</f>
        <v/>
      </c>
      <c r="V587" s="20">
        <f>IF(AND(ISNUMBER(R587),Settings!$B$17&gt;0),IF(ISNUMBER(INDEX($R:$R,Settings!$B$17)),(R587-INDEX($R:$R,Settings!$B$17))*100,NA()),NA())</f>
        <v/>
      </c>
      <c r="W587" s="20">
        <f>IF(AND(ISNUMBER(P587),Settings!$B$17&gt;0),IF(ISNUMBER(INDEX($P:$P,Settings!$B$17)),P587-INDEX($P:$P,Settings!$B$17),NA()),NA())</f>
        <v/>
      </c>
      <c r="X587" s="19">
        <f>IF(NOT(ISNUMBER($A587)),NA(),IF(OR($A587&lt;MIN(DKW_10Y!$A$2:$A$2918),$A587&gt;MAX(DKW_10Y!$A$2:$A$2918),Settings!$B$16&lt;MIN(DKW_10Y!$A$2:$A$2918)),NA(),(INDEX(DKW_10Y!$B$2:$B$2918,MATCH($A587,DKW_10Y!$A$2:$A$2918,1))-INDEX(DKW_10Y!$B$2:$B$2918,MATCH(Settings!$B$16,DKW_10Y!$A$2:$A$2918,1)))*100))</f>
        <v/>
      </c>
      <c r="Y587" s="19">
        <f>IF(NOT(ISNUMBER($A587)),NA(),IF(OR($A587&lt;MIN(DKW_10Y!$A$2:$A$2918),$A587&gt;MAX(DKW_10Y!$A$2:$A$2918),Settings!$B$16&lt;MIN(DKW_10Y!$A$2:$A$2918)),NA(),(INDEX(DKW_10Y!$C$2:$C$2918,MATCH($A587,DKW_10Y!$A$2:$A$2918,1))-INDEX(DKW_10Y!$C$2:$C$2918,MATCH(Settings!$B$16,DKW_10Y!$A$2:$A$2918,1)))*100))</f>
        <v/>
      </c>
      <c r="Z587" s="19">
        <f>IF(NOT(ISNUMBER($A587)),NA(),IF(OR($A587&lt;MIN(DKW_10Y!$A$2:$A$2918),$A587&gt;MAX(DKW_10Y!$A$2:$A$2918),Settings!$B$16&lt;MIN(DKW_10Y!$A$2:$A$2918)),NA(),(INDEX(DKW_10Y!$D$2:$D$2918,MATCH($A587,DKW_10Y!$A$2:$A$2918,1))-INDEX(DKW_10Y!$D$2:$D$2918,MATCH(Settings!$B$16,DKW_10Y!$A$2:$A$2918,1)))*100))</f>
        <v/>
      </c>
      <c r="AA587" s="19">
        <f>IF(NOT(ISNUMBER($A587)),NA(),IF(OR($A587&lt;MIN(DKW_10Y!$A$2:$A$2918),$A587&gt;MAX(DKW_10Y!$A$2:$A$2918),Settings!$B$16&lt;MIN(DKW_10Y!$A$2:$A$2918)),NA(),(INDEX(DKW_10Y!$E$2:$E$2918,MATCH($A587,DKW_10Y!$A$2:$A$2918,1))-INDEX(DKW_10Y!$E$2:$E$2918,MATCH(Settings!$B$16,DKW_10Y!$A$2:$A$2918,1)))*100))</f>
        <v/>
      </c>
      <c r="AB587" s="19">
        <f>IF(NOT(ISNUMBER($A587)),NA(),IF(OR($A587&lt;MIN(DKW_10Y!$A$2:$A$2918),$A587&gt;MAX(DKW_10Y!$A$2:$A$2918),Settings!$B$16&lt;MIN(DKW_10Y!$A$2:$A$2918)),NA(),(INDEX(DKW_10Y!$H$2:$H$2918,MATCH($A587,DKW_10Y!$A$2:$A$2918,1))-INDEX(DKW_10Y!$H$2:$H$2918,MATCH(Settings!$B$16,DKW_10Y!$A$2:$A$2918,1)))*100))</f>
        <v/>
      </c>
      <c r="AC587" s="18">
        <f>IF(NOT(ISNUMBER($A587)),NA(),IFERROR(1*INDEX(BBG_Data!$N$2:$N$4000,MATCH($A587,BBG_Data!$M$2:$M$4000,0)),NA()))</f>
        <v/>
      </c>
      <c r="AD587" s="18">
        <f>IF(NOT(ISNUMBER($A587)),NA(),IFERROR(1*INDEX(BBG_Data!$P$2:$P$4000,MATCH($A587,BBG_Data!$O$2:$O$4000,0)),NA()))</f>
        <v/>
      </c>
      <c r="AE587" s="18">
        <f>IF(NOT(ISNUMBER($A587)),NA(),IFERROR(1*INDEX(BBG_Data!$R$2:$R$4000,MATCH($A587,BBG_Data!$Q$2:$Q$4000,0)),NA()))</f>
        <v/>
      </c>
      <c r="AF587" s="20">
        <f>IF(AND(ISNUMBER(B587),ISNUMBER(AC587)),(B587-AC587)*100,NA())</f>
        <v/>
      </c>
      <c r="AG587" s="20">
        <f>IF(AND(ISNUMBER(AE587),ISNUMBER(AD587)),(AE587-AD587)*100,NA())</f>
        <v/>
      </c>
      <c r="AH587" s="19">
        <f>IF(NOT(ISNUMBER($A587)),NA(),IFERROR(INDEX(BBG_Data!$T$2:$T$4000,MATCH($A587,BBG_Data!$S$2:$S$4000,0))*Settings!$B$25,NA()))</f>
        <v/>
      </c>
      <c r="AI587" s="19">
        <f>IF(NOT(ISNUMBER($A587)),NA(),IFERROR(INDEX(BBG_Data!$V$2:$V$4000,MATCH($A587,BBG_Data!$U$2:$U$4000,0))*Settings!$B$25,NA()))</f>
        <v/>
      </c>
      <c r="AJ587" s="19">
        <f>IF(NOT(ISNUMBER($A587)),NA(),IFERROR(1*INDEX(BBG_Data!$X$2:$X$4000,MATCH($A587,BBG_Data!$W$2:$W$4000,0)),NA()))</f>
        <v/>
      </c>
      <c r="AK587" s="19">
        <f>IF(NOT(ISNUMBER($A587)),NA(),IFERROR(1*INDEX(BBG_Data!$Z$2:$Z$4000,MATCH($A587,BBG_Data!$Y$2:$Y$4000,0)),NA()))</f>
        <v/>
      </c>
    </row>
    <row r="588">
      <c r="A588" s="17">
        <f>IF(ISNUMBER(BBG_Data!A588),BBG_Data!A588,"")</f>
        <v/>
      </c>
      <c r="B588" s="18">
        <f>IF(AND(ISNUMBER($A588),ISNUMBER(BBG_Data!B588)),BBG_Data!B588,NA())</f>
        <v/>
      </c>
      <c r="C588" s="18">
        <f>IF(NOT(ISNUMBER($A588)),NA(),IFERROR(1*INDEX(BBG_Data!$D$2:$D$4000,MATCH($A588,BBG_Data!$C$2:$C$4000,0)),NA()))</f>
        <v/>
      </c>
      <c r="D588" s="19">
        <f>IF(NOT(ISNUMBER($A588)),NA(),IFERROR(1*INDEX(BBG_Data!$F$2:$F$4000,MATCH($A588,BBG_Data!$E$2:$E$4000,0)),NA()))</f>
        <v/>
      </c>
      <c r="E588" s="19">
        <f>IF(NOT(ISNUMBER($A588)),NA(),IFERROR(1*INDEX(BBG_Data!$H$2:$H$4000,MATCH($A588,BBG_Data!$G$2:$G$4000,0)),NA()))</f>
        <v/>
      </c>
      <c r="F588" s="20">
        <f>IF(AND(ISNUMBER(B588),ISNUMBER(B587)),IF(B588=B587,"",(B588-B587)*100),"")</f>
        <v/>
      </c>
      <c r="G588" s="20">
        <f>IF(AND(ISNUMBER(C588),ISNUMBER(C587)),IF(C588=C587,"",(C588-C587)*100),"")</f>
        <v/>
      </c>
      <c r="H588" s="20">
        <f>IF(OR(NOT(ISNUMBER($A588)),ROW()-2&lt;Settings!$B$11),NA(),IF(COUNT(OFFSET(F588,1-Settings!$B$11,0,Settings!$B$11,1))&lt;ROUNDUP(Settings!$B$11*Settings!$B$26,0),NA(),STDEV(OFFSET(F588,1-Settings!$B$11,0,Settings!$B$11,1))*SQRT(Settings!$B$13)))</f>
        <v/>
      </c>
      <c r="I588" s="20">
        <f>IF(OR(NOT(ISNUMBER($A588)),ROW()-2&lt;Settings!$B$12),NA(),IF(COUNT(OFFSET(F588,1-Settings!$B$12,0,Settings!$B$12,1))&lt;ROUNDUP(Settings!$B$12*Settings!$B$26,0),NA(),STDEV(OFFSET(F588,1-Settings!$B$12,0,Settings!$B$12,1))*SQRT(Settings!$B$13)))</f>
        <v/>
      </c>
      <c r="J588" s="20">
        <f>IF(OR(NOT(ISNUMBER($A588)),ROW()-2&lt;Settings!$B$11),NA(),IF(COUNT(OFFSET(G588,1-Settings!$B$11,0,Settings!$B$11,1))&lt;ROUNDUP(Settings!$B$11*Settings!$B$26,0),NA(),STDEV(OFFSET(G588,1-Settings!$B$11,0,Settings!$B$11,1))*SQRT(Settings!$B$13)))</f>
        <v/>
      </c>
      <c r="K588" s="20">
        <f>IF(OR(NOT(ISNUMBER($A588)),ROW()-2&lt;Settings!$B$12),NA(),IF(COUNT(OFFSET(G588,1-Settings!$B$12,0,Settings!$B$12,1))&lt;ROUNDUP(Settings!$B$12*Settings!$B$26,0),NA(),STDEV(OFFSET(G588,1-Settings!$B$12,0,Settings!$B$12,1))*SQRT(Settings!$B$13)))</f>
        <v/>
      </c>
      <c r="L588" s="20">
        <f>IF(AND(ISNUMBER(D588),ISNUMBER(H588)),D588-H588,NA())</f>
        <v/>
      </c>
      <c r="M588" s="20">
        <f>IF(AND(ISNUMBER(E588),ISNUMBER(K588)),E588-K588,NA())</f>
        <v/>
      </c>
      <c r="N588" s="20">
        <f>IF(NOT(ISNUMBER($A588)),NA(),IF(COUNT(OFFSET(G588,1,0,Settings!$B$12,1))&lt;ROUNDUP(Settings!$B$12*Settings!$B$26,0),NA(),STDEV(OFFSET(G588,1,0,Settings!$B$12,1))*SQRT(Settings!$B$13)))</f>
        <v/>
      </c>
      <c r="O588" s="20">
        <f>IF(AND(ISNUMBER(E588),ISNUMBER(N588)),E588-N588,NA())</f>
        <v/>
      </c>
      <c r="P588" s="19">
        <f>IF(NOT(ISNUMBER($A588)),NA(),IF(OR($A588&lt;MIN(KW_TP!$A$2:$A$2501),$A588&gt;MAX(KW_TP!$A$2:$A$2501)),NA(),INDEX(KW_TP!$C$2:$C$2501,MATCH($A588,KW_TP!$A$2:$A$2501,1))))</f>
        <v/>
      </c>
      <c r="Q588" s="18">
        <f>IF(NOT(ISNUMBER($A588)),NA(),IFERROR(1*INDEX(BBG_Data!$J$2:$J$4000,MATCH($A588,BBG_Data!$I$2:$I$4000,0)),NA()))</f>
        <v/>
      </c>
      <c r="R588" s="18">
        <f>IF(NOT(ISNUMBER($A588)),NA(),IFERROR(1*INDEX(BBG_Data!$L$2:$L$4000,MATCH($A588,BBG_Data!$K$2:$K$4000,0)),NA()))</f>
        <v/>
      </c>
      <c r="S588" s="20">
        <f>IF(AND(ISNUMBER(B588),ISNUMBER(Q588),ISNUMBER(R588)),(B588-Q588-R588)*100,NA())</f>
        <v/>
      </c>
      <c r="T588" s="20">
        <f>IF(AND(ISNUMBER(B588),Settings!$B$17&gt;0),IF(ISNUMBER(INDEX($B:$B,Settings!$B$17)),(B588-INDEX($B:$B,Settings!$B$17))*100,NA()),NA())</f>
        <v/>
      </c>
      <c r="U588" s="20">
        <f>IF(AND(ISNUMBER(Q588),Settings!$B$17&gt;0),IF(ISNUMBER(INDEX($Q:$Q,Settings!$B$17)),(Q588-INDEX($Q:$Q,Settings!$B$17))*100,NA()),NA())</f>
        <v/>
      </c>
      <c r="V588" s="20">
        <f>IF(AND(ISNUMBER(R588),Settings!$B$17&gt;0),IF(ISNUMBER(INDEX($R:$R,Settings!$B$17)),(R588-INDEX($R:$R,Settings!$B$17))*100,NA()),NA())</f>
        <v/>
      </c>
      <c r="W588" s="20">
        <f>IF(AND(ISNUMBER(P588),Settings!$B$17&gt;0),IF(ISNUMBER(INDEX($P:$P,Settings!$B$17)),P588-INDEX($P:$P,Settings!$B$17),NA()),NA())</f>
        <v/>
      </c>
      <c r="X588" s="19">
        <f>IF(NOT(ISNUMBER($A588)),NA(),IF(OR($A588&lt;MIN(DKW_10Y!$A$2:$A$2918),$A588&gt;MAX(DKW_10Y!$A$2:$A$2918),Settings!$B$16&lt;MIN(DKW_10Y!$A$2:$A$2918)),NA(),(INDEX(DKW_10Y!$B$2:$B$2918,MATCH($A588,DKW_10Y!$A$2:$A$2918,1))-INDEX(DKW_10Y!$B$2:$B$2918,MATCH(Settings!$B$16,DKW_10Y!$A$2:$A$2918,1)))*100))</f>
        <v/>
      </c>
      <c r="Y588" s="19">
        <f>IF(NOT(ISNUMBER($A588)),NA(),IF(OR($A588&lt;MIN(DKW_10Y!$A$2:$A$2918),$A588&gt;MAX(DKW_10Y!$A$2:$A$2918),Settings!$B$16&lt;MIN(DKW_10Y!$A$2:$A$2918)),NA(),(INDEX(DKW_10Y!$C$2:$C$2918,MATCH($A588,DKW_10Y!$A$2:$A$2918,1))-INDEX(DKW_10Y!$C$2:$C$2918,MATCH(Settings!$B$16,DKW_10Y!$A$2:$A$2918,1)))*100))</f>
        <v/>
      </c>
      <c r="Z588" s="19">
        <f>IF(NOT(ISNUMBER($A588)),NA(),IF(OR($A588&lt;MIN(DKW_10Y!$A$2:$A$2918),$A588&gt;MAX(DKW_10Y!$A$2:$A$2918),Settings!$B$16&lt;MIN(DKW_10Y!$A$2:$A$2918)),NA(),(INDEX(DKW_10Y!$D$2:$D$2918,MATCH($A588,DKW_10Y!$A$2:$A$2918,1))-INDEX(DKW_10Y!$D$2:$D$2918,MATCH(Settings!$B$16,DKW_10Y!$A$2:$A$2918,1)))*100))</f>
        <v/>
      </c>
      <c r="AA588" s="19">
        <f>IF(NOT(ISNUMBER($A588)),NA(),IF(OR($A588&lt;MIN(DKW_10Y!$A$2:$A$2918),$A588&gt;MAX(DKW_10Y!$A$2:$A$2918),Settings!$B$16&lt;MIN(DKW_10Y!$A$2:$A$2918)),NA(),(INDEX(DKW_10Y!$E$2:$E$2918,MATCH($A588,DKW_10Y!$A$2:$A$2918,1))-INDEX(DKW_10Y!$E$2:$E$2918,MATCH(Settings!$B$16,DKW_10Y!$A$2:$A$2918,1)))*100))</f>
        <v/>
      </c>
      <c r="AB588" s="19">
        <f>IF(NOT(ISNUMBER($A588)),NA(),IF(OR($A588&lt;MIN(DKW_10Y!$A$2:$A$2918),$A588&gt;MAX(DKW_10Y!$A$2:$A$2918),Settings!$B$16&lt;MIN(DKW_10Y!$A$2:$A$2918)),NA(),(INDEX(DKW_10Y!$H$2:$H$2918,MATCH($A588,DKW_10Y!$A$2:$A$2918,1))-INDEX(DKW_10Y!$H$2:$H$2918,MATCH(Settings!$B$16,DKW_10Y!$A$2:$A$2918,1)))*100))</f>
        <v/>
      </c>
      <c r="AC588" s="18">
        <f>IF(NOT(ISNUMBER($A588)),NA(),IFERROR(1*INDEX(BBG_Data!$N$2:$N$4000,MATCH($A588,BBG_Data!$M$2:$M$4000,0)),NA()))</f>
        <v/>
      </c>
      <c r="AD588" s="18">
        <f>IF(NOT(ISNUMBER($A588)),NA(),IFERROR(1*INDEX(BBG_Data!$P$2:$P$4000,MATCH($A588,BBG_Data!$O$2:$O$4000,0)),NA()))</f>
        <v/>
      </c>
      <c r="AE588" s="18">
        <f>IF(NOT(ISNUMBER($A588)),NA(),IFERROR(1*INDEX(BBG_Data!$R$2:$R$4000,MATCH($A588,BBG_Data!$Q$2:$Q$4000,0)),NA()))</f>
        <v/>
      </c>
      <c r="AF588" s="20">
        <f>IF(AND(ISNUMBER(B588),ISNUMBER(AC588)),(B588-AC588)*100,NA())</f>
        <v/>
      </c>
      <c r="AG588" s="20">
        <f>IF(AND(ISNUMBER(AE588),ISNUMBER(AD588)),(AE588-AD588)*100,NA())</f>
        <v/>
      </c>
      <c r="AH588" s="19">
        <f>IF(NOT(ISNUMBER($A588)),NA(),IFERROR(INDEX(BBG_Data!$T$2:$T$4000,MATCH($A588,BBG_Data!$S$2:$S$4000,0))*Settings!$B$25,NA()))</f>
        <v/>
      </c>
      <c r="AI588" s="19">
        <f>IF(NOT(ISNUMBER($A588)),NA(),IFERROR(INDEX(BBG_Data!$V$2:$V$4000,MATCH($A588,BBG_Data!$U$2:$U$4000,0))*Settings!$B$25,NA()))</f>
        <v/>
      </c>
      <c r="AJ588" s="19">
        <f>IF(NOT(ISNUMBER($A588)),NA(),IFERROR(1*INDEX(BBG_Data!$X$2:$X$4000,MATCH($A588,BBG_Data!$W$2:$W$4000,0)),NA()))</f>
        <v/>
      </c>
      <c r="AK588" s="19">
        <f>IF(NOT(ISNUMBER($A588)),NA(),IFERROR(1*INDEX(BBG_Data!$Z$2:$Z$4000,MATCH($A588,BBG_Data!$Y$2:$Y$4000,0)),NA()))</f>
        <v/>
      </c>
    </row>
    <row r="589">
      <c r="A589" s="17">
        <f>IF(ISNUMBER(BBG_Data!A589),BBG_Data!A589,"")</f>
        <v/>
      </c>
      <c r="B589" s="18">
        <f>IF(AND(ISNUMBER($A589),ISNUMBER(BBG_Data!B589)),BBG_Data!B589,NA())</f>
        <v/>
      </c>
      <c r="C589" s="18">
        <f>IF(NOT(ISNUMBER($A589)),NA(),IFERROR(1*INDEX(BBG_Data!$D$2:$D$4000,MATCH($A589,BBG_Data!$C$2:$C$4000,0)),NA()))</f>
        <v/>
      </c>
      <c r="D589" s="19">
        <f>IF(NOT(ISNUMBER($A589)),NA(),IFERROR(1*INDEX(BBG_Data!$F$2:$F$4000,MATCH($A589,BBG_Data!$E$2:$E$4000,0)),NA()))</f>
        <v/>
      </c>
      <c r="E589" s="19">
        <f>IF(NOT(ISNUMBER($A589)),NA(),IFERROR(1*INDEX(BBG_Data!$H$2:$H$4000,MATCH($A589,BBG_Data!$G$2:$G$4000,0)),NA()))</f>
        <v/>
      </c>
      <c r="F589" s="20">
        <f>IF(AND(ISNUMBER(B589),ISNUMBER(B588)),IF(B589=B588,"",(B589-B588)*100),"")</f>
        <v/>
      </c>
      <c r="G589" s="20">
        <f>IF(AND(ISNUMBER(C589),ISNUMBER(C588)),IF(C589=C588,"",(C589-C588)*100),"")</f>
        <v/>
      </c>
      <c r="H589" s="20">
        <f>IF(OR(NOT(ISNUMBER($A589)),ROW()-2&lt;Settings!$B$11),NA(),IF(COUNT(OFFSET(F589,1-Settings!$B$11,0,Settings!$B$11,1))&lt;ROUNDUP(Settings!$B$11*Settings!$B$26,0),NA(),STDEV(OFFSET(F589,1-Settings!$B$11,0,Settings!$B$11,1))*SQRT(Settings!$B$13)))</f>
        <v/>
      </c>
      <c r="I589" s="20">
        <f>IF(OR(NOT(ISNUMBER($A589)),ROW()-2&lt;Settings!$B$12),NA(),IF(COUNT(OFFSET(F589,1-Settings!$B$12,0,Settings!$B$12,1))&lt;ROUNDUP(Settings!$B$12*Settings!$B$26,0),NA(),STDEV(OFFSET(F589,1-Settings!$B$12,0,Settings!$B$12,1))*SQRT(Settings!$B$13)))</f>
        <v/>
      </c>
      <c r="J589" s="20">
        <f>IF(OR(NOT(ISNUMBER($A589)),ROW()-2&lt;Settings!$B$11),NA(),IF(COUNT(OFFSET(G589,1-Settings!$B$11,0,Settings!$B$11,1))&lt;ROUNDUP(Settings!$B$11*Settings!$B$26,0),NA(),STDEV(OFFSET(G589,1-Settings!$B$11,0,Settings!$B$11,1))*SQRT(Settings!$B$13)))</f>
        <v/>
      </c>
      <c r="K589" s="20">
        <f>IF(OR(NOT(ISNUMBER($A589)),ROW()-2&lt;Settings!$B$12),NA(),IF(COUNT(OFFSET(G589,1-Settings!$B$12,0,Settings!$B$12,1))&lt;ROUNDUP(Settings!$B$12*Settings!$B$26,0),NA(),STDEV(OFFSET(G589,1-Settings!$B$12,0,Settings!$B$12,1))*SQRT(Settings!$B$13)))</f>
        <v/>
      </c>
      <c r="L589" s="20">
        <f>IF(AND(ISNUMBER(D589),ISNUMBER(H589)),D589-H589,NA())</f>
        <v/>
      </c>
      <c r="M589" s="20">
        <f>IF(AND(ISNUMBER(E589),ISNUMBER(K589)),E589-K589,NA())</f>
        <v/>
      </c>
      <c r="N589" s="20">
        <f>IF(NOT(ISNUMBER($A589)),NA(),IF(COUNT(OFFSET(G589,1,0,Settings!$B$12,1))&lt;ROUNDUP(Settings!$B$12*Settings!$B$26,0),NA(),STDEV(OFFSET(G589,1,0,Settings!$B$12,1))*SQRT(Settings!$B$13)))</f>
        <v/>
      </c>
      <c r="O589" s="20">
        <f>IF(AND(ISNUMBER(E589),ISNUMBER(N589)),E589-N589,NA())</f>
        <v/>
      </c>
      <c r="P589" s="19">
        <f>IF(NOT(ISNUMBER($A589)),NA(),IF(OR($A589&lt;MIN(KW_TP!$A$2:$A$2501),$A589&gt;MAX(KW_TP!$A$2:$A$2501)),NA(),INDEX(KW_TP!$C$2:$C$2501,MATCH($A589,KW_TP!$A$2:$A$2501,1))))</f>
        <v/>
      </c>
      <c r="Q589" s="18">
        <f>IF(NOT(ISNUMBER($A589)),NA(),IFERROR(1*INDEX(BBG_Data!$J$2:$J$4000,MATCH($A589,BBG_Data!$I$2:$I$4000,0)),NA()))</f>
        <v/>
      </c>
      <c r="R589" s="18">
        <f>IF(NOT(ISNUMBER($A589)),NA(),IFERROR(1*INDEX(BBG_Data!$L$2:$L$4000,MATCH($A589,BBG_Data!$K$2:$K$4000,0)),NA()))</f>
        <v/>
      </c>
      <c r="S589" s="20">
        <f>IF(AND(ISNUMBER(B589),ISNUMBER(Q589),ISNUMBER(R589)),(B589-Q589-R589)*100,NA())</f>
        <v/>
      </c>
      <c r="T589" s="20">
        <f>IF(AND(ISNUMBER(B589),Settings!$B$17&gt;0),IF(ISNUMBER(INDEX($B:$B,Settings!$B$17)),(B589-INDEX($B:$B,Settings!$B$17))*100,NA()),NA())</f>
        <v/>
      </c>
      <c r="U589" s="20">
        <f>IF(AND(ISNUMBER(Q589),Settings!$B$17&gt;0),IF(ISNUMBER(INDEX($Q:$Q,Settings!$B$17)),(Q589-INDEX($Q:$Q,Settings!$B$17))*100,NA()),NA())</f>
        <v/>
      </c>
      <c r="V589" s="20">
        <f>IF(AND(ISNUMBER(R589),Settings!$B$17&gt;0),IF(ISNUMBER(INDEX($R:$R,Settings!$B$17)),(R589-INDEX($R:$R,Settings!$B$17))*100,NA()),NA())</f>
        <v/>
      </c>
      <c r="W589" s="20">
        <f>IF(AND(ISNUMBER(P589),Settings!$B$17&gt;0),IF(ISNUMBER(INDEX($P:$P,Settings!$B$17)),P589-INDEX($P:$P,Settings!$B$17),NA()),NA())</f>
        <v/>
      </c>
      <c r="X589" s="19">
        <f>IF(NOT(ISNUMBER($A589)),NA(),IF(OR($A589&lt;MIN(DKW_10Y!$A$2:$A$2918),$A589&gt;MAX(DKW_10Y!$A$2:$A$2918),Settings!$B$16&lt;MIN(DKW_10Y!$A$2:$A$2918)),NA(),(INDEX(DKW_10Y!$B$2:$B$2918,MATCH($A589,DKW_10Y!$A$2:$A$2918,1))-INDEX(DKW_10Y!$B$2:$B$2918,MATCH(Settings!$B$16,DKW_10Y!$A$2:$A$2918,1)))*100))</f>
        <v/>
      </c>
      <c r="Y589" s="19">
        <f>IF(NOT(ISNUMBER($A589)),NA(),IF(OR($A589&lt;MIN(DKW_10Y!$A$2:$A$2918),$A589&gt;MAX(DKW_10Y!$A$2:$A$2918),Settings!$B$16&lt;MIN(DKW_10Y!$A$2:$A$2918)),NA(),(INDEX(DKW_10Y!$C$2:$C$2918,MATCH($A589,DKW_10Y!$A$2:$A$2918,1))-INDEX(DKW_10Y!$C$2:$C$2918,MATCH(Settings!$B$16,DKW_10Y!$A$2:$A$2918,1)))*100))</f>
        <v/>
      </c>
      <c r="Z589" s="19">
        <f>IF(NOT(ISNUMBER($A589)),NA(),IF(OR($A589&lt;MIN(DKW_10Y!$A$2:$A$2918),$A589&gt;MAX(DKW_10Y!$A$2:$A$2918),Settings!$B$16&lt;MIN(DKW_10Y!$A$2:$A$2918)),NA(),(INDEX(DKW_10Y!$D$2:$D$2918,MATCH($A589,DKW_10Y!$A$2:$A$2918,1))-INDEX(DKW_10Y!$D$2:$D$2918,MATCH(Settings!$B$16,DKW_10Y!$A$2:$A$2918,1)))*100))</f>
        <v/>
      </c>
      <c r="AA589" s="19">
        <f>IF(NOT(ISNUMBER($A589)),NA(),IF(OR($A589&lt;MIN(DKW_10Y!$A$2:$A$2918),$A589&gt;MAX(DKW_10Y!$A$2:$A$2918),Settings!$B$16&lt;MIN(DKW_10Y!$A$2:$A$2918)),NA(),(INDEX(DKW_10Y!$E$2:$E$2918,MATCH($A589,DKW_10Y!$A$2:$A$2918,1))-INDEX(DKW_10Y!$E$2:$E$2918,MATCH(Settings!$B$16,DKW_10Y!$A$2:$A$2918,1)))*100))</f>
        <v/>
      </c>
      <c r="AB589" s="19">
        <f>IF(NOT(ISNUMBER($A589)),NA(),IF(OR($A589&lt;MIN(DKW_10Y!$A$2:$A$2918),$A589&gt;MAX(DKW_10Y!$A$2:$A$2918),Settings!$B$16&lt;MIN(DKW_10Y!$A$2:$A$2918)),NA(),(INDEX(DKW_10Y!$H$2:$H$2918,MATCH($A589,DKW_10Y!$A$2:$A$2918,1))-INDEX(DKW_10Y!$H$2:$H$2918,MATCH(Settings!$B$16,DKW_10Y!$A$2:$A$2918,1)))*100))</f>
        <v/>
      </c>
      <c r="AC589" s="18">
        <f>IF(NOT(ISNUMBER($A589)),NA(),IFERROR(1*INDEX(BBG_Data!$N$2:$N$4000,MATCH($A589,BBG_Data!$M$2:$M$4000,0)),NA()))</f>
        <v/>
      </c>
      <c r="AD589" s="18">
        <f>IF(NOT(ISNUMBER($A589)),NA(),IFERROR(1*INDEX(BBG_Data!$P$2:$P$4000,MATCH($A589,BBG_Data!$O$2:$O$4000,0)),NA()))</f>
        <v/>
      </c>
      <c r="AE589" s="18">
        <f>IF(NOT(ISNUMBER($A589)),NA(),IFERROR(1*INDEX(BBG_Data!$R$2:$R$4000,MATCH($A589,BBG_Data!$Q$2:$Q$4000,0)),NA()))</f>
        <v/>
      </c>
      <c r="AF589" s="20">
        <f>IF(AND(ISNUMBER(B589),ISNUMBER(AC589)),(B589-AC589)*100,NA())</f>
        <v/>
      </c>
      <c r="AG589" s="20">
        <f>IF(AND(ISNUMBER(AE589),ISNUMBER(AD589)),(AE589-AD589)*100,NA())</f>
        <v/>
      </c>
      <c r="AH589" s="19">
        <f>IF(NOT(ISNUMBER($A589)),NA(),IFERROR(INDEX(BBG_Data!$T$2:$T$4000,MATCH($A589,BBG_Data!$S$2:$S$4000,0))*Settings!$B$25,NA()))</f>
        <v/>
      </c>
      <c r="AI589" s="19">
        <f>IF(NOT(ISNUMBER($A589)),NA(),IFERROR(INDEX(BBG_Data!$V$2:$V$4000,MATCH($A589,BBG_Data!$U$2:$U$4000,0))*Settings!$B$25,NA()))</f>
        <v/>
      </c>
      <c r="AJ589" s="19">
        <f>IF(NOT(ISNUMBER($A589)),NA(),IFERROR(1*INDEX(BBG_Data!$X$2:$X$4000,MATCH($A589,BBG_Data!$W$2:$W$4000,0)),NA()))</f>
        <v/>
      </c>
      <c r="AK589" s="19">
        <f>IF(NOT(ISNUMBER($A589)),NA(),IFERROR(1*INDEX(BBG_Data!$Z$2:$Z$4000,MATCH($A589,BBG_Data!$Y$2:$Y$4000,0)),NA()))</f>
        <v/>
      </c>
    </row>
    <row r="590">
      <c r="A590" s="17">
        <f>IF(ISNUMBER(BBG_Data!A590),BBG_Data!A590,"")</f>
        <v/>
      </c>
      <c r="B590" s="18">
        <f>IF(AND(ISNUMBER($A590),ISNUMBER(BBG_Data!B590)),BBG_Data!B590,NA())</f>
        <v/>
      </c>
      <c r="C590" s="18">
        <f>IF(NOT(ISNUMBER($A590)),NA(),IFERROR(1*INDEX(BBG_Data!$D$2:$D$4000,MATCH($A590,BBG_Data!$C$2:$C$4000,0)),NA()))</f>
        <v/>
      </c>
      <c r="D590" s="19">
        <f>IF(NOT(ISNUMBER($A590)),NA(),IFERROR(1*INDEX(BBG_Data!$F$2:$F$4000,MATCH($A590,BBG_Data!$E$2:$E$4000,0)),NA()))</f>
        <v/>
      </c>
      <c r="E590" s="19">
        <f>IF(NOT(ISNUMBER($A590)),NA(),IFERROR(1*INDEX(BBG_Data!$H$2:$H$4000,MATCH($A590,BBG_Data!$G$2:$G$4000,0)),NA()))</f>
        <v/>
      </c>
      <c r="F590" s="20">
        <f>IF(AND(ISNUMBER(B590),ISNUMBER(B589)),IF(B590=B589,"",(B590-B589)*100),"")</f>
        <v/>
      </c>
      <c r="G590" s="20">
        <f>IF(AND(ISNUMBER(C590),ISNUMBER(C589)),IF(C590=C589,"",(C590-C589)*100),"")</f>
        <v/>
      </c>
      <c r="H590" s="20">
        <f>IF(OR(NOT(ISNUMBER($A590)),ROW()-2&lt;Settings!$B$11),NA(),IF(COUNT(OFFSET(F590,1-Settings!$B$11,0,Settings!$B$11,1))&lt;ROUNDUP(Settings!$B$11*Settings!$B$26,0),NA(),STDEV(OFFSET(F590,1-Settings!$B$11,0,Settings!$B$11,1))*SQRT(Settings!$B$13)))</f>
        <v/>
      </c>
      <c r="I590" s="20">
        <f>IF(OR(NOT(ISNUMBER($A590)),ROW()-2&lt;Settings!$B$12),NA(),IF(COUNT(OFFSET(F590,1-Settings!$B$12,0,Settings!$B$12,1))&lt;ROUNDUP(Settings!$B$12*Settings!$B$26,0),NA(),STDEV(OFFSET(F590,1-Settings!$B$12,0,Settings!$B$12,1))*SQRT(Settings!$B$13)))</f>
        <v/>
      </c>
      <c r="J590" s="20">
        <f>IF(OR(NOT(ISNUMBER($A590)),ROW()-2&lt;Settings!$B$11),NA(),IF(COUNT(OFFSET(G590,1-Settings!$B$11,0,Settings!$B$11,1))&lt;ROUNDUP(Settings!$B$11*Settings!$B$26,0),NA(),STDEV(OFFSET(G590,1-Settings!$B$11,0,Settings!$B$11,1))*SQRT(Settings!$B$13)))</f>
        <v/>
      </c>
      <c r="K590" s="20">
        <f>IF(OR(NOT(ISNUMBER($A590)),ROW()-2&lt;Settings!$B$12),NA(),IF(COUNT(OFFSET(G590,1-Settings!$B$12,0,Settings!$B$12,1))&lt;ROUNDUP(Settings!$B$12*Settings!$B$26,0),NA(),STDEV(OFFSET(G590,1-Settings!$B$12,0,Settings!$B$12,1))*SQRT(Settings!$B$13)))</f>
        <v/>
      </c>
      <c r="L590" s="20">
        <f>IF(AND(ISNUMBER(D590),ISNUMBER(H590)),D590-H590,NA())</f>
        <v/>
      </c>
      <c r="M590" s="20">
        <f>IF(AND(ISNUMBER(E590),ISNUMBER(K590)),E590-K590,NA())</f>
        <v/>
      </c>
      <c r="N590" s="20">
        <f>IF(NOT(ISNUMBER($A590)),NA(),IF(COUNT(OFFSET(G590,1,0,Settings!$B$12,1))&lt;ROUNDUP(Settings!$B$12*Settings!$B$26,0),NA(),STDEV(OFFSET(G590,1,0,Settings!$B$12,1))*SQRT(Settings!$B$13)))</f>
        <v/>
      </c>
      <c r="O590" s="20">
        <f>IF(AND(ISNUMBER(E590),ISNUMBER(N590)),E590-N590,NA())</f>
        <v/>
      </c>
      <c r="P590" s="19">
        <f>IF(NOT(ISNUMBER($A590)),NA(),IF(OR($A590&lt;MIN(KW_TP!$A$2:$A$2501),$A590&gt;MAX(KW_TP!$A$2:$A$2501)),NA(),INDEX(KW_TP!$C$2:$C$2501,MATCH($A590,KW_TP!$A$2:$A$2501,1))))</f>
        <v/>
      </c>
      <c r="Q590" s="18">
        <f>IF(NOT(ISNUMBER($A590)),NA(),IFERROR(1*INDEX(BBG_Data!$J$2:$J$4000,MATCH($A590,BBG_Data!$I$2:$I$4000,0)),NA()))</f>
        <v/>
      </c>
      <c r="R590" s="18">
        <f>IF(NOT(ISNUMBER($A590)),NA(),IFERROR(1*INDEX(BBG_Data!$L$2:$L$4000,MATCH($A590,BBG_Data!$K$2:$K$4000,0)),NA()))</f>
        <v/>
      </c>
      <c r="S590" s="20">
        <f>IF(AND(ISNUMBER(B590),ISNUMBER(Q590),ISNUMBER(R590)),(B590-Q590-R590)*100,NA())</f>
        <v/>
      </c>
      <c r="T590" s="20">
        <f>IF(AND(ISNUMBER(B590),Settings!$B$17&gt;0),IF(ISNUMBER(INDEX($B:$B,Settings!$B$17)),(B590-INDEX($B:$B,Settings!$B$17))*100,NA()),NA())</f>
        <v/>
      </c>
      <c r="U590" s="20">
        <f>IF(AND(ISNUMBER(Q590),Settings!$B$17&gt;0),IF(ISNUMBER(INDEX($Q:$Q,Settings!$B$17)),(Q590-INDEX($Q:$Q,Settings!$B$17))*100,NA()),NA())</f>
        <v/>
      </c>
      <c r="V590" s="20">
        <f>IF(AND(ISNUMBER(R590),Settings!$B$17&gt;0),IF(ISNUMBER(INDEX($R:$R,Settings!$B$17)),(R590-INDEX($R:$R,Settings!$B$17))*100,NA()),NA())</f>
        <v/>
      </c>
      <c r="W590" s="20">
        <f>IF(AND(ISNUMBER(P590),Settings!$B$17&gt;0),IF(ISNUMBER(INDEX($P:$P,Settings!$B$17)),P590-INDEX($P:$P,Settings!$B$17),NA()),NA())</f>
        <v/>
      </c>
      <c r="X590" s="19">
        <f>IF(NOT(ISNUMBER($A590)),NA(),IF(OR($A590&lt;MIN(DKW_10Y!$A$2:$A$2918),$A590&gt;MAX(DKW_10Y!$A$2:$A$2918),Settings!$B$16&lt;MIN(DKW_10Y!$A$2:$A$2918)),NA(),(INDEX(DKW_10Y!$B$2:$B$2918,MATCH($A590,DKW_10Y!$A$2:$A$2918,1))-INDEX(DKW_10Y!$B$2:$B$2918,MATCH(Settings!$B$16,DKW_10Y!$A$2:$A$2918,1)))*100))</f>
        <v/>
      </c>
      <c r="Y590" s="19">
        <f>IF(NOT(ISNUMBER($A590)),NA(),IF(OR($A590&lt;MIN(DKW_10Y!$A$2:$A$2918),$A590&gt;MAX(DKW_10Y!$A$2:$A$2918),Settings!$B$16&lt;MIN(DKW_10Y!$A$2:$A$2918)),NA(),(INDEX(DKW_10Y!$C$2:$C$2918,MATCH($A590,DKW_10Y!$A$2:$A$2918,1))-INDEX(DKW_10Y!$C$2:$C$2918,MATCH(Settings!$B$16,DKW_10Y!$A$2:$A$2918,1)))*100))</f>
        <v/>
      </c>
      <c r="Z590" s="19">
        <f>IF(NOT(ISNUMBER($A590)),NA(),IF(OR($A590&lt;MIN(DKW_10Y!$A$2:$A$2918),$A590&gt;MAX(DKW_10Y!$A$2:$A$2918),Settings!$B$16&lt;MIN(DKW_10Y!$A$2:$A$2918)),NA(),(INDEX(DKW_10Y!$D$2:$D$2918,MATCH($A590,DKW_10Y!$A$2:$A$2918,1))-INDEX(DKW_10Y!$D$2:$D$2918,MATCH(Settings!$B$16,DKW_10Y!$A$2:$A$2918,1)))*100))</f>
        <v/>
      </c>
      <c r="AA590" s="19">
        <f>IF(NOT(ISNUMBER($A590)),NA(),IF(OR($A590&lt;MIN(DKW_10Y!$A$2:$A$2918),$A590&gt;MAX(DKW_10Y!$A$2:$A$2918),Settings!$B$16&lt;MIN(DKW_10Y!$A$2:$A$2918)),NA(),(INDEX(DKW_10Y!$E$2:$E$2918,MATCH($A590,DKW_10Y!$A$2:$A$2918,1))-INDEX(DKW_10Y!$E$2:$E$2918,MATCH(Settings!$B$16,DKW_10Y!$A$2:$A$2918,1)))*100))</f>
        <v/>
      </c>
      <c r="AB590" s="19">
        <f>IF(NOT(ISNUMBER($A590)),NA(),IF(OR($A590&lt;MIN(DKW_10Y!$A$2:$A$2918),$A590&gt;MAX(DKW_10Y!$A$2:$A$2918),Settings!$B$16&lt;MIN(DKW_10Y!$A$2:$A$2918)),NA(),(INDEX(DKW_10Y!$H$2:$H$2918,MATCH($A590,DKW_10Y!$A$2:$A$2918,1))-INDEX(DKW_10Y!$H$2:$H$2918,MATCH(Settings!$B$16,DKW_10Y!$A$2:$A$2918,1)))*100))</f>
        <v/>
      </c>
      <c r="AC590" s="18">
        <f>IF(NOT(ISNUMBER($A590)),NA(),IFERROR(1*INDEX(BBG_Data!$N$2:$N$4000,MATCH($A590,BBG_Data!$M$2:$M$4000,0)),NA()))</f>
        <v/>
      </c>
      <c r="AD590" s="18">
        <f>IF(NOT(ISNUMBER($A590)),NA(),IFERROR(1*INDEX(BBG_Data!$P$2:$P$4000,MATCH($A590,BBG_Data!$O$2:$O$4000,0)),NA()))</f>
        <v/>
      </c>
      <c r="AE590" s="18">
        <f>IF(NOT(ISNUMBER($A590)),NA(),IFERROR(1*INDEX(BBG_Data!$R$2:$R$4000,MATCH($A590,BBG_Data!$Q$2:$Q$4000,0)),NA()))</f>
        <v/>
      </c>
      <c r="AF590" s="20">
        <f>IF(AND(ISNUMBER(B590),ISNUMBER(AC590)),(B590-AC590)*100,NA())</f>
        <v/>
      </c>
      <c r="AG590" s="20">
        <f>IF(AND(ISNUMBER(AE590),ISNUMBER(AD590)),(AE590-AD590)*100,NA())</f>
        <v/>
      </c>
      <c r="AH590" s="19">
        <f>IF(NOT(ISNUMBER($A590)),NA(),IFERROR(INDEX(BBG_Data!$T$2:$T$4000,MATCH($A590,BBG_Data!$S$2:$S$4000,0))*Settings!$B$25,NA()))</f>
        <v/>
      </c>
      <c r="AI590" s="19">
        <f>IF(NOT(ISNUMBER($A590)),NA(),IFERROR(INDEX(BBG_Data!$V$2:$V$4000,MATCH($A590,BBG_Data!$U$2:$U$4000,0))*Settings!$B$25,NA()))</f>
        <v/>
      </c>
      <c r="AJ590" s="19">
        <f>IF(NOT(ISNUMBER($A590)),NA(),IFERROR(1*INDEX(BBG_Data!$X$2:$X$4000,MATCH($A590,BBG_Data!$W$2:$W$4000,0)),NA()))</f>
        <v/>
      </c>
      <c r="AK590" s="19">
        <f>IF(NOT(ISNUMBER($A590)),NA(),IFERROR(1*INDEX(BBG_Data!$Z$2:$Z$4000,MATCH($A590,BBG_Data!$Y$2:$Y$4000,0)),NA()))</f>
        <v/>
      </c>
    </row>
    <row r="591">
      <c r="A591" s="17">
        <f>IF(ISNUMBER(BBG_Data!A591),BBG_Data!A591,"")</f>
        <v/>
      </c>
      <c r="B591" s="18">
        <f>IF(AND(ISNUMBER($A591),ISNUMBER(BBG_Data!B591)),BBG_Data!B591,NA())</f>
        <v/>
      </c>
      <c r="C591" s="18">
        <f>IF(NOT(ISNUMBER($A591)),NA(),IFERROR(1*INDEX(BBG_Data!$D$2:$D$4000,MATCH($A591,BBG_Data!$C$2:$C$4000,0)),NA()))</f>
        <v/>
      </c>
      <c r="D591" s="19">
        <f>IF(NOT(ISNUMBER($A591)),NA(),IFERROR(1*INDEX(BBG_Data!$F$2:$F$4000,MATCH($A591,BBG_Data!$E$2:$E$4000,0)),NA()))</f>
        <v/>
      </c>
      <c r="E591" s="19">
        <f>IF(NOT(ISNUMBER($A591)),NA(),IFERROR(1*INDEX(BBG_Data!$H$2:$H$4000,MATCH($A591,BBG_Data!$G$2:$G$4000,0)),NA()))</f>
        <v/>
      </c>
      <c r="F591" s="20">
        <f>IF(AND(ISNUMBER(B591),ISNUMBER(B590)),IF(B591=B590,"",(B591-B590)*100),"")</f>
        <v/>
      </c>
      <c r="G591" s="20">
        <f>IF(AND(ISNUMBER(C591),ISNUMBER(C590)),IF(C591=C590,"",(C591-C590)*100),"")</f>
        <v/>
      </c>
      <c r="H591" s="20">
        <f>IF(OR(NOT(ISNUMBER($A591)),ROW()-2&lt;Settings!$B$11),NA(),IF(COUNT(OFFSET(F591,1-Settings!$B$11,0,Settings!$B$11,1))&lt;ROUNDUP(Settings!$B$11*Settings!$B$26,0),NA(),STDEV(OFFSET(F591,1-Settings!$B$11,0,Settings!$B$11,1))*SQRT(Settings!$B$13)))</f>
        <v/>
      </c>
      <c r="I591" s="20">
        <f>IF(OR(NOT(ISNUMBER($A591)),ROW()-2&lt;Settings!$B$12),NA(),IF(COUNT(OFFSET(F591,1-Settings!$B$12,0,Settings!$B$12,1))&lt;ROUNDUP(Settings!$B$12*Settings!$B$26,0),NA(),STDEV(OFFSET(F591,1-Settings!$B$12,0,Settings!$B$12,1))*SQRT(Settings!$B$13)))</f>
        <v/>
      </c>
      <c r="J591" s="20">
        <f>IF(OR(NOT(ISNUMBER($A591)),ROW()-2&lt;Settings!$B$11),NA(),IF(COUNT(OFFSET(G591,1-Settings!$B$11,0,Settings!$B$11,1))&lt;ROUNDUP(Settings!$B$11*Settings!$B$26,0),NA(),STDEV(OFFSET(G591,1-Settings!$B$11,0,Settings!$B$11,1))*SQRT(Settings!$B$13)))</f>
        <v/>
      </c>
      <c r="K591" s="20">
        <f>IF(OR(NOT(ISNUMBER($A591)),ROW()-2&lt;Settings!$B$12),NA(),IF(COUNT(OFFSET(G591,1-Settings!$B$12,0,Settings!$B$12,1))&lt;ROUNDUP(Settings!$B$12*Settings!$B$26,0),NA(),STDEV(OFFSET(G591,1-Settings!$B$12,0,Settings!$B$12,1))*SQRT(Settings!$B$13)))</f>
        <v/>
      </c>
      <c r="L591" s="20">
        <f>IF(AND(ISNUMBER(D591),ISNUMBER(H591)),D591-H591,NA())</f>
        <v/>
      </c>
      <c r="M591" s="20">
        <f>IF(AND(ISNUMBER(E591),ISNUMBER(K591)),E591-K591,NA())</f>
        <v/>
      </c>
      <c r="N591" s="20">
        <f>IF(NOT(ISNUMBER($A591)),NA(),IF(COUNT(OFFSET(G591,1,0,Settings!$B$12,1))&lt;ROUNDUP(Settings!$B$12*Settings!$B$26,0),NA(),STDEV(OFFSET(G591,1,0,Settings!$B$12,1))*SQRT(Settings!$B$13)))</f>
        <v/>
      </c>
      <c r="O591" s="20">
        <f>IF(AND(ISNUMBER(E591),ISNUMBER(N591)),E591-N591,NA())</f>
        <v/>
      </c>
      <c r="P591" s="19">
        <f>IF(NOT(ISNUMBER($A591)),NA(),IF(OR($A591&lt;MIN(KW_TP!$A$2:$A$2501),$A591&gt;MAX(KW_TP!$A$2:$A$2501)),NA(),INDEX(KW_TP!$C$2:$C$2501,MATCH($A591,KW_TP!$A$2:$A$2501,1))))</f>
        <v/>
      </c>
      <c r="Q591" s="18">
        <f>IF(NOT(ISNUMBER($A591)),NA(),IFERROR(1*INDEX(BBG_Data!$J$2:$J$4000,MATCH($A591,BBG_Data!$I$2:$I$4000,0)),NA()))</f>
        <v/>
      </c>
      <c r="R591" s="18">
        <f>IF(NOT(ISNUMBER($A591)),NA(),IFERROR(1*INDEX(BBG_Data!$L$2:$L$4000,MATCH($A591,BBG_Data!$K$2:$K$4000,0)),NA()))</f>
        <v/>
      </c>
      <c r="S591" s="20">
        <f>IF(AND(ISNUMBER(B591),ISNUMBER(Q591),ISNUMBER(R591)),(B591-Q591-R591)*100,NA())</f>
        <v/>
      </c>
      <c r="T591" s="20">
        <f>IF(AND(ISNUMBER(B591),Settings!$B$17&gt;0),IF(ISNUMBER(INDEX($B:$B,Settings!$B$17)),(B591-INDEX($B:$B,Settings!$B$17))*100,NA()),NA())</f>
        <v/>
      </c>
      <c r="U591" s="20">
        <f>IF(AND(ISNUMBER(Q591),Settings!$B$17&gt;0),IF(ISNUMBER(INDEX($Q:$Q,Settings!$B$17)),(Q591-INDEX($Q:$Q,Settings!$B$17))*100,NA()),NA())</f>
        <v/>
      </c>
      <c r="V591" s="20">
        <f>IF(AND(ISNUMBER(R591),Settings!$B$17&gt;0),IF(ISNUMBER(INDEX($R:$R,Settings!$B$17)),(R591-INDEX($R:$R,Settings!$B$17))*100,NA()),NA())</f>
        <v/>
      </c>
      <c r="W591" s="20">
        <f>IF(AND(ISNUMBER(P591),Settings!$B$17&gt;0),IF(ISNUMBER(INDEX($P:$P,Settings!$B$17)),P591-INDEX($P:$P,Settings!$B$17),NA()),NA())</f>
        <v/>
      </c>
      <c r="X591" s="19">
        <f>IF(NOT(ISNUMBER($A591)),NA(),IF(OR($A591&lt;MIN(DKW_10Y!$A$2:$A$2918),$A591&gt;MAX(DKW_10Y!$A$2:$A$2918),Settings!$B$16&lt;MIN(DKW_10Y!$A$2:$A$2918)),NA(),(INDEX(DKW_10Y!$B$2:$B$2918,MATCH($A591,DKW_10Y!$A$2:$A$2918,1))-INDEX(DKW_10Y!$B$2:$B$2918,MATCH(Settings!$B$16,DKW_10Y!$A$2:$A$2918,1)))*100))</f>
        <v/>
      </c>
      <c r="Y591" s="19">
        <f>IF(NOT(ISNUMBER($A591)),NA(),IF(OR($A591&lt;MIN(DKW_10Y!$A$2:$A$2918),$A591&gt;MAX(DKW_10Y!$A$2:$A$2918),Settings!$B$16&lt;MIN(DKW_10Y!$A$2:$A$2918)),NA(),(INDEX(DKW_10Y!$C$2:$C$2918,MATCH($A591,DKW_10Y!$A$2:$A$2918,1))-INDEX(DKW_10Y!$C$2:$C$2918,MATCH(Settings!$B$16,DKW_10Y!$A$2:$A$2918,1)))*100))</f>
        <v/>
      </c>
      <c r="Z591" s="19">
        <f>IF(NOT(ISNUMBER($A591)),NA(),IF(OR($A591&lt;MIN(DKW_10Y!$A$2:$A$2918),$A591&gt;MAX(DKW_10Y!$A$2:$A$2918),Settings!$B$16&lt;MIN(DKW_10Y!$A$2:$A$2918)),NA(),(INDEX(DKW_10Y!$D$2:$D$2918,MATCH($A591,DKW_10Y!$A$2:$A$2918,1))-INDEX(DKW_10Y!$D$2:$D$2918,MATCH(Settings!$B$16,DKW_10Y!$A$2:$A$2918,1)))*100))</f>
        <v/>
      </c>
      <c r="AA591" s="19">
        <f>IF(NOT(ISNUMBER($A591)),NA(),IF(OR($A591&lt;MIN(DKW_10Y!$A$2:$A$2918),$A591&gt;MAX(DKW_10Y!$A$2:$A$2918),Settings!$B$16&lt;MIN(DKW_10Y!$A$2:$A$2918)),NA(),(INDEX(DKW_10Y!$E$2:$E$2918,MATCH($A591,DKW_10Y!$A$2:$A$2918,1))-INDEX(DKW_10Y!$E$2:$E$2918,MATCH(Settings!$B$16,DKW_10Y!$A$2:$A$2918,1)))*100))</f>
        <v/>
      </c>
      <c r="AB591" s="19">
        <f>IF(NOT(ISNUMBER($A591)),NA(),IF(OR($A591&lt;MIN(DKW_10Y!$A$2:$A$2918),$A591&gt;MAX(DKW_10Y!$A$2:$A$2918),Settings!$B$16&lt;MIN(DKW_10Y!$A$2:$A$2918)),NA(),(INDEX(DKW_10Y!$H$2:$H$2918,MATCH($A591,DKW_10Y!$A$2:$A$2918,1))-INDEX(DKW_10Y!$H$2:$H$2918,MATCH(Settings!$B$16,DKW_10Y!$A$2:$A$2918,1)))*100))</f>
        <v/>
      </c>
      <c r="AC591" s="18">
        <f>IF(NOT(ISNUMBER($A591)),NA(),IFERROR(1*INDEX(BBG_Data!$N$2:$N$4000,MATCH($A591,BBG_Data!$M$2:$M$4000,0)),NA()))</f>
        <v/>
      </c>
      <c r="AD591" s="18">
        <f>IF(NOT(ISNUMBER($A591)),NA(),IFERROR(1*INDEX(BBG_Data!$P$2:$P$4000,MATCH($A591,BBG_Data!$O$2:$O$4000,0)),NA()))</f>
        <v/>
      </c>
      <c r="AE591" s="18">
        <f>IF(NOT(ISNUMBER($A591)),NA(),IFERROR(1*INDEX(BBG_Data!$R$2:$R$4000,MATCH($A591,BBG_Data!$Q$2:$Q$4000,0)),NA()))</f>
        <v/>
      </c>
      <c r="AF591" s="20">
        <f>IF(AND(ISNUMBER(B591),ISNUMBER(AC591)),(B591-AC591)*100,NA())</f>
        <v/>
      </c>
      <c r="AG591" s="20">
        <f>IF(AND(ISNUMBER(AE591),ISNUMBER(AD591)),(AE591-AD591)*100,NA())</f>
        <v/>
      </c>
      <c r="AH591" s="19">
        <f>IF(NOT(ISNUMBER($A591)),NA(),IFERROR(INDEX(BBG_Data!$T$2:$T$4000,MATCH($A591,BBG_Data!$S$2:$S$4000,0))*Settings!$B$25,NA()))</f>
        <v/>
      </c>
      <c r="AI591" s="19">
        <f>IF(NOT(ISNUMBER($A591)),NA(),IFERROR(INDEX(BBG_Data!$V$2:$V$4000,MATCH($A591,BBG_Data!$U$2:$U$4000,0))*Settings!$B$25,NA()))</f>
        <v/>
      </c>
      <c r="AJ591" s="19">
        <f>IF(NOT(ISNUMBER($A591)),NA(),IFERROR(1*INDEX(BBG_Data!$X$2:$X$4000,MATCH($A591,BBG_Data!$W$2:$W$4000,0)),NA()))</f>
        <v/>
      </c>
      <c r="AK591" s="19">
        <f>IF(NOT(ISNUMBER($A591)),NA(),IFERROR(1*INDEX(BBG_Data!$Z$2:$Z$4000,MATCH($A591,BBG_Data!$Y$2:$Y$4000,0)),NA()))</f>
        <v/>
      </c>
    </row>
    <row r="592">
      <c r="A592" s="17">
        <f>IF(ISNUMBER(BBG_Data!A592),BBG_Data!A592,"")</f>
        <v/>
      </c>
      <c r="B592" s="18">
        <f>IF(AND(ISNUMBER($A592),ISNUMBER(BBG_Data!B592)),BBG_Data!B592,NA())</f>
        <v/>
      </c>
      <c r="C592" s="18">
        <f>IF(NOT(ISNUMBER($A592)),NA(),IFERROR(1*INDEX(BBG_Data!$D$2:$D$4000,MATCH($A592,BBG_Data!$C$2:$C$4000,0)),NA()))</f>
        <v/>
      </c>
      <c r="D592" s="19">
        <f>IF(NOT(ISNUMBER($A592)),NA(),IFERROR(1*INDEX(BBG_Data!$F$2:$F$4000,MATCH($A592,BBG_Data!$E$2:$E$4000,0)),NA()))</f>
        <v/>
      </c>
      <c r="E592" s="19">
        <f>IF(NOT(ISNUMBER($A592)),NA(),IFERROR(1*INDEX(BBG_Data!$H$2:$H$4000,MATCH($A592,BBG_Data!$G$2:$G$4000,0)),NA()))</f>
        <v/>
      </c>
      <c r="F592" s="20">
        <f>IF(AND(ISNUMBER(B592),ISNUMBER(B591)),IF(B592=B591,"",(B592-B591)*100),"")</f>
        <v/>
      </c>
      <c r="G592" s="20">
        <f>IF(AND(ISNUMBER(C592),ISNUMBER(C591)),IF(C592=C591,"",(C592-C591)*100),"")</f>
        <v/>
      </c>
      <c r="H592" s="20">
        <f>IF(OR(NOT(ISNUMBER($A592)),ROW()-2&lt;Settings!$B$11),NA(),IF(COUNT(OFFSET(F592,1-Settings!$B$11,0,Settings!$B$11,1))&lt;ROUNDUP(Settings!$B$11*Settings!$B$26,0),NA(),STDEV(OFFSET(F592,1-Settings!$B$11,0,Settings!$B$11,1))*SQRT(Settings!$B$13)))</f>
        <v/>
      </c>
      <c r="I592" s="20">
        <f>IF(OR(NOT(ISNUMBER($A592)),ROW()-2&lt;Settings!$B$12),NA(),IF(COUNT(OFFSET(F592,1-Settings!$B$12,0,Settings!$B$12,1))&lt;ROUNDUP(Settings!$B$12*Settings!$B$26,0),NA(),STDEV(OFFSET(F592,1-Settings!$B$12,0,Settings!$B$12,1))*SQRT(Settings!$B$13)))</f>
        <v/>
      </c>
      <c r="J592" s="20">
        <f>IF(OR(NOT(ISNUMBER($A592)),ROW()-2&lt;Settings!$B$11),NA(),IF(COUNT(OFFSET(G592,1-Settings!$B$11,0,Settings!$B$11,1))&lt;ROUNDUP(Settings!$B$11*Settings!$B$26,0),NA(),STDEV(OFFSET(G592,1-Settings!$B$11,0,Settings!$B$11,1))*SQRT(Settings!$B$13)))</f>
        <v/>
      </c>
      <c r="K592" s="20">
        <f>IF(OR(NOT(ISNUMBER($A592)),ROW()-2&lt;Settings!$B$12),NA(),IF(COUNT(OFFSET(G592,1-Settings!$B$12,0,Settings!$B$12,1))&lt;ROUNDUP(Settings!$B$12*Settings!$B$26,0),NA(),STDEV(OFFSET(G592,1-Settings!$B$12,0,Settings!$B$12,1))*SQRT(Settings!$B$13)))</f>
        <v/>
      </c>
      <c r="L592" s="20">
        <f>IF(AND(ISNUMBER(D592),ISNUMBER(H592)),D592-H592,NA())</f>
        <v/>
      </c>
      <c r="M592" s="20">
        <f>IF(AND(ISNUMBER(E592),ISNUMBER(K592)),E592-K592,NA())</f>
        <v/>
      </c>
      <c r="N592" s="20">
        <f>IF(NOT(ISNUMBER($A592)),NA(),IF(COUNT(OFFSET(G592,1,0,Settings!$B$12,1))&lt;ROUNDUP(Settings!$B$12*Settings!$B$26,0),NA(),STDEV(OFFSET(G592,1,0,Settings!$B$12,1))*SQRT(Settings!$B$13)))</f>
        <v/>
      </c>
      <c r="O592" s="20">
        <f>IF(AND(ISNUMBER(E592),ISNUMBER(N592)),E592-N592,NA())</f>
        <v/>
      </c>
      <c r="P592" s="19">
        <f>IF(NOT(ISNUMBER($A592)),NA(),IF(OR($A592&lt;MIN(KW_TP!$A$2:$A$2501),$A592&gt;MAX(KW_TP!$A$2:$A$2501)),NA(),INDEX(KW_TP!$C$2:$C$2501,MATCH($A592,KW_TP!$A$2:$A$2501,1))))</f>
        <v/>
      </c>
      <c r="Q592" s="18">
        <f>IF(NOT(ISNUMBER($A592)),NA(),IFERROR(1*INDEX(BBG_Data!$J$2:$J$4000,MATCH($A592,BBG_Data!$I$2:$I$4000,0)),NA()))</f>
        <v/>
      </c>
      <c r="R592" s="18">
        <f>IF(NOT(ISNUMBER($A592)),NA(),IFERROR(1*INDEX(BBG_Data!$L$2:$L$4000,MATCH($A592,BBG_Data!$K$2:$K$4000,0)),NA()))</f>
        <v/>
      </c>
      <c r="S592" s="20">
        <f>IF(AND(ISNUMBER(B592),ISNUMBER(Q592),ISNUMBER(R592)),(B592-Q592-R592)*100,NA())</f>
        <v/>
      </c>
      <c r="T592" s="20">
        <f>IF(AND(ISNUMBER(B592),Settings!$B$17&gt;0),IF(ISNUMBER(INDEX($B:$B,Settings!$B$17)),(B592-INDEX($B:$B,Settings!$B$17))*100,NA()),NA())</f>
        <v/>
      </c>
      <c r="U592" s="20">
        <f>IF(AND(ISNUMBER(Q592),Settings!$B$17&gt;0),IF(ISNUMBER(INDEX($Q:$Q,Settings!$B$17)),(Q592-INDEX($Q:$Q,Settings!$B$17))*100,NA()),NA())</f>
        <v/>
      </c>
      <c r="V592" s="20">
        <f>IF(AND(ISNUMBER(R592),Settings!$B$17&gt;0),IF(ISNUMBER(INDEX($R:$R,Settings!$B$17)),(R592-INDEX($R:$R,Settings!$B$17))*100,NA()),NA())</f>
        <v/>
      </c>
      <c r="W592" s="20">
        <f>IF(AND(ISNUMBER(P592),Settings!$B$17&gt;0),IF(ISNUMBER(INDEX($P:$P,Settings!$B$17)),P592-INDEX($P:$P,Settings!$B$17),NA()),NA())</f>
        <v/>
      </c>
      <c r="X592" s="19">
        <f>IF(NOT(ISNUMBER($A592)),NA(),IF(OR($A592&lt;MIN(DKW_10Y!$A$2:$A$2918),$A592&gt;MAX(DKW_10Y!$A$2:$A$2918),Settings!$B$16&lt;MIN(DKW_10Y!$A$2:$A$2918)),NA(),(INDEX(DKW_10Y!$B$2:$B$2918,MATCH($A592,DKW_10Y!$A$2:$A$2918,1))-INDEX(DKW_10Y!$B$2:$B$2918,MATCH(Settings!$B$16,DKW_10Y!$A$2:$A$2918,1)))*100))</f>
        <v/>
      </c>
      <c r="Y592" s="19">
        <f>IF(NOT(ISNUMBER($A592)),NA(),IF(OR($A592&lt;MIN(DKW_10Y!$A$2:$A$2918),$A592&gt;MAX(DKW_10Y!$A$2:$A$2918),Settings!$B$16&lt;MIN(DKW_10Y!$A$2:$A$2918)),NA(),(INDEX(DKW_10Y!$C$2:$C$2918,MATCH($A592,DKW_10Y!$A$2:$A$2918,1))-INDEX(DKW_10Y!$C$2:$C$2918,MATCH(Settings!$B$16,DKW_10Y!$A$2:$A$2918,1)))*100))</f>
        <v/>
      </c>
      <c r="Z592" s="19">
        <f>IF(NOT(ISNUMBER($A592)),NA(),IF(OR($A592&lt;MIN(DKW_10Y!$A$2:$A$2918),$A592&gt;MAX(DKW_10Y!$A$2:$A$2918),Settings!$B$16&lt;MIN(DKW_10Y!$A$2:$A$2918)),NA(),(INDEX(DKW_10Y!$D$2:$D$2918,MATCH($A592,DKW_10Y!$A$2:$A$2918,1))-INDEX(DKW_10Y!$D$2:$D$2918,MATCH(Settings!$B$16,DKW_10Y!$A$2:$A$2918,1)))*100))</f>
        <v/>
      </c>
      <c r="AA592" s="19">
        <f>IF(NOT(ISNUMBER($A592)),NA(),IF(OR($A592&lt;MIN(DKW_10Y!$A$2:$A$2918),$A592&gt;MAX(DKW_10Y!$A$2:$A$2918),Settings!$B$16&lt;MIN(DKW_10Y!$A$2:$A$2918)),NA(),(INDEX(DKW_10Y!$E$2:$E$2918,MATCH($A592,DKW_10Y!$A$2:$A$2918,1))-INDEX(DKW_10Y!$E$2:$E$2918,MATCH(Settings!$B$16,DKW_10Y!$A$2:$A$2918,1)))*100))</f>
        <v/>
      </c>
      <c r="AB592" s="19">
        <f>IF(NOT(ISNUMBER($A592)),NA(),IF(OR($A592&lt;MIN(DKW_10Y!$A$2:$A$2918),$A592&gt;MAX(DKW_10Y!$A$2:$A$2918),Settings!$B$16&lt;MIN(DKW_10Y!$A$2:$A$2918)),NA(),(INDEX(DKW_10Y!$H$2:$H$2918,MATCH($A592,DKW_10Y!$A$2:$A$2918,1))-INDEX(DKW_10Y!$H$2:$H$2918,MATCH(Settings!$B$16,DKW_10Y!$A$2:$A$2918,1)))*100))</f>
        <v/>
      </c>
      <c r="AC592" s="18">
        <f>IF(NOT(ISNUMBER($A592)),NA(),IFERROR(1*INDEX(BBG_Data!$N$2:$N$4000,MATCH($A592,BBG_Data!$M$2:$M$4000,0)),NA()))</f>
        <v/>
      </c>
      <c r="AD592" s="18">
        <f>IF(NOT(ISNUMBER($A592)),NA(),IFERROR(1*INDEX(BBG_Data!$P$2:$P$4000,MATCH($A592,BBG_Data!$O$2:$O$4000,0)),NA()))</f>
        <v/>
      </c>
      <c r="AE592" s="18">
        <f>IF(NOT(ISNUMBER($A592)),NA(),IFERROR(1*INDEX(BBG_Data!$R$2:$R$4000,MATCH($A592,BBG_Data!$Q$2:$Q$4000,0)),NA()))</f>
        <v/>
      </c>
      <c r="AF592" s="20">
        <f>IF(AND(ISNUMBER(B592),ISNUMBER(AC592)),(B592-AC592)*100,NA())</f>
        <v/>
      </c>
      <c r="AG592" s="20">
        <f>IF(AND(ISNUMBER(AE592),ISNUMBER(AD592)),(AE592-AD592)*100,NA())</f>
        <v/>
      </c>
      <c r="AH592" s="19">
        <f>IF(NOT(ISNUMBER($A592)),NA(),IFERROR(INDEX(BBG_Data!$T$2:$T$4000,MATCH($A592,BBG_Data!$S$2:$S$4000,0))*Settings!$B$25,NA()))</f>
        <v/>
      </c>
      <c r="AI592" s="19">
        <f>IF(NOT(ISNUMBER($A592)),NA(),IFERROR(INDEX(BBG_Data!$V$2:$V$4000,MATCH($A592,BBG_Data!$U$2:$U$4000,0))*Settings!$B$25,NA()))</f>
        <v/>
      </c>
      <c r="AJ592" s="19">
        <f>IF(NOT(ISNUMBER($A592)),NA(),IFERROR(1*INDEX(BBG_Data!$X$2:$X$4000,MATCH($A592,BBG_Data!$W$2:$W$4000,0)),NA()))</f>
        <v/>
      </c>
      <c r="AK592" s="19">
        <f>IF(NOT(ISNUMBER($A592)),NA(),IFERROR(1*INDEX(BBG_Data!$Z$2:$Z$4000,MATCH($A592,BBG_Data!$Y$2:$Y$4000,0)),NA()))</f>
        <v/>
      </c>
    </row>
    <row r="593">
      <c r="A593" s="17">
        <f>IF(ISNUMBER(BBG_Data!A593),BBG_Data!A593,"")</f>
        <v/>
      </c>
      <c r="B593" s="18">
        <f>IF(AND(ISNUMBER($A593),ISNUMBER(BBG_Data!B593)),BBG_Data!B593,NA())</f>
        <v/>
      </c>
      <c r="C593" s="18">
        <f>IF(NOT(ISNUMBER($A593)),NA(),IFERROR(1*INDEX(BBG_Data!$D$2:$D$4000,MATCH($A593,BBG_Data!$C$2:$C$4000,0)),NA()))</f>
        <v/>
      </c>
      <c r="D593" s="19">
        <f>IF(NOT(ISNUMBER($A593)),NA(),IFERROR(1*INDEX(BBG_Data!$F$2:$F$4000,MATCH($A593,BBG_Data!$E$2:$E$4000,0)),NA()))</f>
        <v/>
      </c>
      <c r="E593" s="19">
        <f>IF(NOT(ISNUMBER($A593)),NA(),IFERROR(1*INDEX(BBG_Data!$H$2:$H$4000,MATCH($A593,BBG_Data!$G$2:$G$4000,0)),NA()))</f>
        <v/>
      </c>
      <c r="F593" s="20">
        <f>IF(AND(ISNUMBER(B593),ISNUMBER(B592)),IF(B593=B592,"",(B593-B592)*100),"")</f>
        <v/>
      </c>
      <c r="G593" s="20">
        <f>IF(AND(ISNUMBER(C593),ISNUMBER(C592)),IF(C593=C592,"",(C593-C592)*100),"")</f>
        <v/>
      </c>
      <c r="H593" s="20">
        <f>IF(OR(NOT(ISNUMBER($A593)),ROW()-2&lt;Settings!$B$11),NA(),IF(COUNT(OFFSET(F593,1-Settings!$B$11,0,Settings!$B$11,1))&lt;ROUNDUP(Settings!$B$11*Settings!$B$26,0),NA(),STDEV(OFFSET(F593,1-Settings!$B$11,0,Settings!$B$11,1))*SQRT(Settings!$B$13)))</f>
        <v/>
      </c>
      <c r="I593" s="20">
        <f>IF(OR(NOT(ISNUMBER($A593)),ROW()-2&lt;Settings!$B$12),NA(),IF(COUNT(OFFSET(F593,1-Settings!$B$12,0,Settings!$B$12,1))&lt;ROUNDUP(Settings!$B$12*Settings!$B$26,0),NA(),STDEV(OFFSET(F593,1-Settings!$B$12,0,Settings!$B$12,1))*SQRT(Settings!$B$13)))</f>
        <v/>
      </c>
      <c r="J593" s="20">
        <f>IF(OR(NOT(ISNUMBER($A593)),ROW()-2&lt;Settings!$B$11),NA(),IF(COUNT(OFFSET(G593,1-Settings!$B$11,0,Settings!$B$11,1))&lt;ROUNDUP(Settings!$B$11*Settings!$B$26,0),NA(),STDEV(OFFSET(G593,1-Settings!$B$11,0,Settings!$B$11,1))*SQRT(Settings!$B$13)))</f>
        <v/>
      </c>
      <c r="K593" s="20">
        <f>IF(OR(NOT(ISNUMBER($A593)),ROW()-2&lt;Settings!$B$12),NA(),IF(COUNT(OFFSET(G593,1-Settings!$B$12,0,Settings!$B$12,1))&lt;ROUNDUP(Settings!$B$12*Settings!$B$26,0),NA(),STDEV(OFFSET(G593,1-Settings!$B$12,0,Settings!$B$12,1))*SQRT(Settings!$B$13)))</f>
        <v/>
      </c>
      <c r="L593" s="20">
        <f>IF(AND(ISNUMBER(D593),ISNUMBER(H593)),D593-H593,NA())</f>
        <v/>
      </c>
      <c r="M593" s="20">
        <f>IF(AND(ISNUMBER(E593),ISNUMBER(K593)),E593-K593,NA())</f>
        <v/>
      </c>
      <c r="N593" s="20">
        <f>IF(NOT(ISNUMBER($A593)),NA(),IF(COUNT(OFFSET(G593,1,0,Settings!$B$12,1))&lt;ROUNDUP(Settings!$B$12*Settings!$B$26,0),NA(),STDEV(OFFSET(G593,1,0,Settings!$B$12,1))*SQRT(Settings!$B$13)))</f>
        <v/>
      </c>
      <c r="O593" s="20">
        <f>IF(AND(ISNUMBER(E593),ISNUMBER(N593)),E593-N593,NA())</f>
        <v/>
      </c>
      <c r="P593" s="19">
        <f>IF(NOT(ISNUMBER($A593)),NA(),IF(OR($A593&lt;MIN(KW_TP!$A$2:$A$2501),$A593&gt;MAX(KW_TP!$A$2:$A$2501)),NA(),INDEX(KW_TP!$C$2:$C$2501,MATCH($A593,KW_TP!$A$2:$A$2501,1))))</f>
        <v/>
      </c>
      <c r="Q593" s="18">
        <f>IF(NOT(ISNUMBER($A593)),NA(),IFERROR(1*INDEX(BBG_Data!$J$2:$J$4000,MATCH($A593,BBG_Data!$I$2:$I$4000,0)),NA()))</f>
        <v/>
      </c>
      <c r="R593" s="18">
        <f>IF(NOT(ISNUMBER($A593)),NA(),IFERROR(1*INDEX(BBG_Data!$L$2:$L$4000,MATCH($A593,BBG_Data!$K$2:$K$4000,0)),NA()))</f>
        <v/>
      </c>
      <c r="S593" s="20">
        <f>IF(AND(ISNUMBER(B593),ISNUMBER(Q593),ISNUMBER(R593)),(B593-Q593-R593)*100,NA())</f>
        <v/>
      </c>
      <c r="T593" s="20">
        <f>IF(AND(ISNUMBER(B593),Settings!$B$17&gt;0),IF(ISNUMBER(INDEX($B:$B,Settings!$B$17)),(B593-INDEX($B:$B,Settings!$B$17))*100,NA()),NA())</f>
        <v/>
      </c>
      <c r="U593" s="20">
        <f>IF(AND(ISNUMBER(Q593),Settings!$B$17&gt;0),IF(ISNUMBER(INDEX($Q:$Q,Settings!$B$17)),(Q593-INDEX($Q:$Q,Settings!$B$17))*100,NA()),NA())</f>
        <v/>
      </c>
      <c r="V593" s="20">
        <f>IF(AND(ISNUMBER(R593),Settings!$B$17&gt;0),IF(ISNUMBER(INDEX($R:$R,Settings!$B$17)),(R593-INDEX($R:$R,Settings!$B$17))*100,NA()),NA())</f>
        <v/>
      </c>
      <c r="W593" s="20">
        <f>IF(AND(ISNUMBER(P593),Settings!$B$17&gt;0),IF(ISNUMBER(INDEX($P:$P,Settings!$B$17)),P593-INDEX($P:$P,Settings!$B$17),NA()),NA())</f>
        <v/>
      </c>
      <c r="X593" s="19">
        <f>IF(NOT(ISNUMBER($A593)),NA(),IF(OR($A593&lt;MIN(DKW_10Y!$A$2:$A$2918),$A593&gt;MAX(DKW_10Y!$A$2:$A$2918),Settings!$B$16&lt;MIN(DKW_10Y!$A$2:$A$2918)),NA(),(INDEX(DKW_10Y!$B$2:$B$2918,MATCH($A593,DKW_10Y!$A$2:$A$2918,1))-INDEX(DKW_10Y!$B$2:$B$2918,MATCH(Settings!$B$16,DKW_10Y!$A$2:$A$2918,1)))*100))</f>
        <v/>
      </c>
      <c r="Y593" s="19">
        <f>IF(NOT(ISNUMBER($A593)),NA(),IF(OR($A593&lt;MIN(DKW_10Y!$A$2:$A$2918),$A593&gt;MAX(DKW_10Y!$A$2:$A$2918),Settings!$B$16&lt;MIN(DKW_10Y!$A$2:$A$2918)),NA(),(INDEX(DKW_10Y!$C$2:$C$2918,MATCH($A593,DKW_10Y!$A$2:$A$2918,1))-INDEX(DKW_10Y!$C$2:$C$2918,MATCH(Settings!$B$16,DKW_10Y!$A$2:$A$2918,1)))*100))</f>
        <v/>
      </c>
      <c r="Z593" s="19">
        <f>IF(NOT(ISNUMBER($A593)),NA(),IF(OR($A593&lt;MIN(DKW_10Y!$A$2:$A$2918),$A593&gt;MAX(DKW_10Y!$A$2:$A$2918),Settings!$B$16&lt;MIN(DKW_10Y!$A$2:$A$2918)),NA(),(INDEX(DKW_10Y!$D$2:$D$2918,MATCH($A593,DKW_10Y!$A$2:$A$2918,1))-INDEX(DKW_10Y!$D$2:$D$2918,MATCH(Settings!$B$16,DKW_10Y!$A$2:$A$2918,1)))*100))</f>
        <v/>
      </c>
      <c r="AA593" s="19">
        <f>IF(NOT(ISNUMBER($A593)),NA(),IF(OR($A593&lt;MIN(DKW_10Y!$A$2:$A$2918),$A593&gt;MAX(DKW_10Y!$A$2:$A$2918),Settings!$B$16&lt;MIN(DKW_10Y!$A$2:$A$2918)),NA(),(INDEX(DKW_10Y!$E$2:$E$2918,MATCH($A593,DKW_10Y!$A$2:$A$2918,1))-INDEX(DKW_10Y!$E$2:$E$2918,MATCH(Settings!$B$16,DKW_10Y!$A$2:$A$2918,1)))*100))</f>
        <v/>
      </c>
      <c r="AB593" s="19">
        <f>IF(NOT(ISNUMBER($A593)),NA(),IF(OR($A593&lt;MIN(DKW_10Y!$A$2:$A$2918),$A593&gt;MAX(DKW_10Y!$A$2:$A$2918),Settings!$B$16&lt;MIN(DKW_10Y!$A$2:$A$2918)),NA(),(INDEX(DKW_10Y!$H$2:$H$2918,MATCH($A593,DKW_10Y!$A$2:$A$2918,1))-INDEX(DKW_10Y!$H$2:$H$2918,MATCH(Settings!$B$16,DKW_10Y!$A$2:$A$2918,1)))*100))</f>
        <v/>
      </c>
      <c r="AC593" s="18">
        <f>IF(NOT(ISNUMBER($A593)),NA(),IFERROR(1*INDEX(BBG_Data!$N$2:$N$4000,MATCH($A593,BBG_Data!$M$2:$M$4000,0)),NA()))</f>
        <v/>
      </c>
      <c r="AD593" s="18">
        <f>IF(NOT(ISNUMBER($A593)),NA(),IFERROR(1*INDEX(BBG_Data!$P$2:$P$4000,MATCH($A593,BBG_Data!$O$2:$O$4000,0)),NA()))</f>
        <v/>
      </c>
      <c r="AE593" s="18">
        <f>IF(NOT(ISNUMBER($A593)),NA(),IFERROR(1*INDEX(BBG_Data!$R$2:$R$4000,MATCH($A593,BBG_Data!$Q$2:$Q$4000,0)),NA()))</f>
        <v/>
      </c>
      <c r="AF593" s="20">
        <f>IF(AND(ISNUMBER(B593),ISNUMBER(AC593)),(B593-AC593)*100,NA())</f>
        <v/>
      </c>
      <c r="AG593" s="20">
        <f>IF(AND(ISNUMBER(AE593),ISNUMBER(AD593)),(AE593-AD593)*100,NA())</f>
        <v/>
      </c>
      <c r="AH593" s="19">
        <f>IF(NOT(ISNUMBER($A593)),NA(),IFERROR(INDEX(BBG_Data!$T$2:$T$4000,MATCH($A593,BBG_Data!$S$2:$S$4000,0))*Settings!$B$25,NA()))</f>
        <v/>
      </c>
      <c r="AI593" s="19">
        <f>IF(NOT(ISNUMBER($A593)),NA(),IFERROR(INDEX(BBG_Data!$V$2:$V$4000,MATCH($A593,BBG_Data!$U$2:$U$4000,0))*Settings!$B$25,NA()))</f>
        <v/>
      </c>
      <c r="AJ593" s="19">
        <f>IF(NOT(ISNUMBER($A593)),NA(),IFERROR(1*INDEX(BBG_Data!$X$2:$X$4000,MATCH($A593,BBG_Data!$W$2:$W$4000,0)),NA()))</f>
        <v/>
      </c>
      <c r="AK593" s="19">
        <f>IF(NOT(ISNUMBER($A593)),NA(),IFERROR(1*INDEX(BBG_Data!$Z$2:$Z$4000,MATCH($A593,BBG_Data!$Y$2:$Y$4000,0)),NA()))</f>
        <v/>
      </c>
    </row>
    <row r="594">
      <c r="A594" s="17">
        <f>IF(ISNUMBER(BBG_Data!A594),BBG_Data!A594,"")</f>
        <v/>
      </c>
      <c r="B594" s="18">
        <f>IF(AND(ISNUMBER($A594),ISNUMBER(BBG_Data!B594)),BBG_Data!B594,NA())</f>
        <v/>
      </c>
      <c r="C594" s="18">
        <f>IF(NOT(ISNUMBER($A594)),NA(),IFERROR(1*INDEX(BBG_Data!$D$2:$D$4000,MATCH($A594,BBG_Data!$C$2:$C$4000,0)),NA()))</f>
        <v/>
      </c>
      <c r="D594" s="19">
        <f>IF(NOT(ISNUMBER($A594)),NA(),IFERROR(1*INDEX(BBG_Data!$F$2:$F$4000,MATCH($A594,BBG_Data!$E$2:$E$4000,0)),NA()))</f>
        <v/>
      </c>
      <c r="E594" s="19">
        <f>IF(NOT(ISNUMBER($A594)),NA(),IFERROR(1*INDEX(BBG_Data!$H$2:$H$4000,MATCH($A594,BBG_Data!$G$2:$G$4000,0)),NA()))</f>
        <v/>
      </c>
      <c r="F594" s="20">
        <f>IF(AND(ISNUMBER(B594),ISNUMBER(B593)),IF(B594=B593,"",(B594-B593)*100),"")</f>
        <v/>
      </c>
      <c r="G594" s="20">
        <f>IF(AND(ISNUMBER(C594),ISNUMBER(C593)),IF(C594=C593,"",(C594-C593)*100),"")</f>
        <v/>
      </c>
      <c r="H594" s="20">
        <f>IF(OR(NOT(ISNUMBER($A594)),ROW()-2&lt;Settings!$B$11),NA(),IF(COUNT(OFFSET(F594,1-Settings!$B$11,0,Settings!$B$11,1))&lt;ROUNDUP(Settings!$B$11*Settings!$B$26,0),NA(),STDEV(OFFSET(F594,1-Settings!$B$11,0,Settings!$B$11,1))*SQRT(Settings!$B$13)))</f>
        <v/>
      </c>
      <c r="I594" s="20">
        <f>IF(OR(NOT(ISNUMBER($A594)),ROW()-2&lt;Settings!$B$12),NA(),IF(COUNT(OFFSET(F594,1-Settings!$B$12,0,Settings!$B$12,1))&lt;ROUNDUP(Settings!$B$12*Settings!$B$26,0),NA(),STDEV(OFFSET(F594,1-Settings!$B$12,0,Settings!$B$12,1))*SQRT(Settings!$B$13)))</f>
        <v/>
      </c>
      <c r="J594" s="20">
        <f>IF(OR(NOT(ISNUMBER($A594)),ROW()-2&lt;Settings!$B$11),NA(),IF(COUNT(OFFSET(G594,1-Settings!$B$11,0,Settings!$B$11,1))&lt;ROUNDUP(Settings!$B$11*Settings!$B$26,0),NA(),STDEV(OFFSET(G594,1-Settings!$B$11,0,Settings!$B$11,1))*SQRT(Settings!$B$13)))</f>
        <v/>
      </c>
      <c r="K594" s="20">
        <f>IF(OR(NOT(ISNUMBER($A594)),ROW()-2&lt;Settings!$B$12),NA(),IF(COUNT(OFFSET(G594,1-Settings!$B$12,0,Settings!$B$12,1))&lt;ROUNDUP(Settings!$B$12*Settings!$B$26,0),NA(),STDEV(OFFSET(G594,1-Settings!$B$12,0,Settings!$B$12,1))*SQRT(Settings!$B$13)))</f>
        <v/>
      </c>
      <c r="L594" s="20">
        <f>IF(AND(ISNUMBER(D594),ISNUMBER(H594)),D594-H594,NA())</f>
        <v/>
      </c>
      <c r="M594" s="20">
        <f>IF(AND(ISNUMBER(E594),ISNUMBER(K594)),E594-K594,NA())</f>
        <v/>
      </c>
      <c r="N594" s="20">
        <f>IF(NOT(ISNUMBER($A594)),NA(),IF(COUNT(OFFSET(G594,1,0,Settings!$B$12,1))&lt;ROUNDUP(Settings!$B$12*Settings!$B$26,0),NA(),STDEV(OFFSET(G594,1,0,Settings!$B$12,1))*SQRT(Settings!$B$13)))</f>
        <v/>
      </c>
      <c r="O594" s="20">
        <f>IF(AND(ISNUMBER(E594),ISNUMBER(N594)),E594-N594,NA())</f>
        <v/>
      </c>
      <c r="P594" s="19">
        <f>IF(NOT(ISNUMBER($A594)),NA(),IF(OR($A594&lt;MIN(KW_TP!$A$2:$A$2501),$A594&gt;MAX(KW_TP!$A$2:$A$2501)),NA(),INDEX(KW_TP!$C$2:$C$2501,MATCH($A594,KW_TP!$A$2:$A$2501,1))))</f>
        <v/>
      </c>
      <c r="Q594" s="18">
        <f>IF(NOT(ISNUMBER($A594)),NA(),IFERROR(1*INDEX(BBG_Data!$J$2:$J$4000,MATCH($A594,BBG_Data!$I$2:$I$4000,0)),NA()))</f>
        <v/>
      </c>
      <c r="R594" s="18">
        <f>IF(NOT(ISNUMBER($A594)),NA(),IFERROR(1*INDEX(BBG_Data!$L$2:$L$4000,MATCH($A594,BBG_Data!$K$2:$K$4000,0)),NA()))</f>
        <v/>
      </c>
      <c r="S594" s="20">
        <f>IF(AND(ISNUMBER(B594),ISNUMBER(Q594),ISNUMBER(R594)),(B594-Q594-R594)*100,NA())</f>
        <v/>
      </c>
      <c r="T594" s="20">
        <f>IF(AND(ISNUMBER(B594),Settings!$B$17&gt;0),IF(ISNUMBER(INDEX($B:$B,Settings!$B$17)),(B594-INDEX($B:$B,Settings!$B$17))*100,NA()),NA())</f>
        <v/>
      </c>
      <c r="U594" s="20">
        <f>IF(AND(ISNUMBER(Q594),Settings!$B$17&gt;0),IF(ISNUMBER(INDEX($Q:$Q,Settings!$B$17)),(Q594-INDEX($Q:$Q,Settings!$B$17))*100,NA()),NA())</f>
        <v/>
      </c>
      <c r="V594" s="20">
        <f>IF(AND(ISNUMBER(R594),Settings!$B$17&gt;0),IF(ISNUMBER(INDEX($R:$R,Settings!$B$17)),(R594-INDEX($R:$R,Settings!$B$17))*100,NA()),NA())</f>
        <v/>
      </c>
      <c r="W594" s="20">
        <f>IF(AND(ISNUMBER(P594),Settings!$B$17&gt;0),IF(ISNUMBER(INDEX($P:$P,Settings!$B$17)),P594-INDEX($P:$P,Settings!$B$17),NA()),NA())</f>
        <v/>
      </c>
      <c r="X594" s="19">
        <f>IF(NOT(ISNUMBER($A594)),NA(),IF(OR($A594&lt;MIN(DKW_10Y!$A$2:$A$2918),$A594&gt;MAX(DKW_10Y!$A$2:$A$2918),Settings!$B$16&lt;MIN(DKW_10Y!$A$2:$A$2918)),NA(),(INDEX(DKW_10Y!$B$2:$B$2918,MATCH($A594,DKW_10Y!$A$2:$A$2918,1))-INDEX(DKW_10Y!$B$2:$B$2918,MATCH(Settings!$B$16,DKW_10Y!$A$2:$A$2918,1)))*100))</f>
        <v/>
      </c>
      <c r="Y594" s="19">
        <f>IF(NOT(ISNUMBER($A594)),NA(),IF(OR($A594&lt;MIN(DKW_10Y!$A$2:$A$2918),$A594&gt;MAX(DKW_10Y!$A$2:$A$2918),Settings!$B$16&lt;MIN(DKW_10Y!$A$2:$A$2918)),NA(),(INDEX(DKW_10Y!$C$2:$C$2918,MATCH($A594,DKW_10Y!$A$2:$A$2918,1))-INDEX(DKW_10Y!$C$2:$C$2918,MATCH(Settings!$B$16,DKW_10Y!$A$2:$A$2918,1)))*100))</f>
        <v/>
      </c>
      <c r="Z594" s="19">
        <f>IF(NOT(ISNUMBER($A594)),NA(),IF(OR($A594&lt;MIN(DKW_10Y!$A$2:$A$2918),$A594&gt;MAX(DKW_10Y!$A$2:$A$2918),Settings!$B$16&lt;MIN(DKW_10Y!$A$2:$A$2918)),NA(),(INDEX(DKW_10Y!$D$2:$D$2918,MATCH($A594,DKW_10Y!$A$2:$A$2918,1))-INDEX(DKW_10Y!$D$2:$D$2918,MATCH(Settings!$B$16,DKW_10Y!$A$2:$A$2918,1)))*100))</f>
        <v/>
      </c>
      <c r="AA594" s="19">
        <f>IF(NOT(ISNUMBER($A594)),NA(),IF(OR($A594&lt;MIN(DKW_10Y!$A$2:$A$2918),$A594&gt;MAX(DKW_10Y!$A$2:$A$2918),Settings!$B$16&lt;MIN(DKW_10Y!$A$2:$A$2918)),NA(),(INDEX(DKW_10Y!$E$2:$E$2918,MATCH($A594,DKW_10Y!$A$2:$A$2918,1))-INDEX(DKW_10Y!$E$2:$E$2918,MATCH(Settings!$B$16,DKW_10Y!$A$2:$A$2918,1)))*100))</f>
        <v/>
      </c>
      <c r="AB594" s="19">
        <f>IF(NOT(ISNUMBER($A594)),NA(),IF(OR($A594&lt;MIN(DKW_10Y!$A$2:$A$2918),$A594&gt;MAX(DKW_10Y!$A$2:$A$2918),Settings!$B$16&lt;MIN(DKW_10Y!$A$2:$A$2918)),NA(),(INDEX(DKW_10Y!$H$2:$H$2918,MATCH($A594,DKW_10Y!$A$2:$A$2918,1))-INDEX(DKW_10Y!$H$2:$H$2918,MATCH(Settings!$B$16,DKW_10Y!$A$2:$A$2918,1)))*100))</f>
        <v/>
      </c>
      <c r="AC594" s="18">
        <f>IF(NOT(ISNUMBER($A594)),NA(),IFERROR(1*INDEX(BBG_Data!$N$2:$N$4000,MATCH($A594,BBG_Data!$M$2:$M$4000,0)),NA()))</f>
        <v/>
      </c>
      <c r="AD594" s="18">
        <f>IF(NOT(ISNUMBER($A594)),NA(),IFERROR(1*INDEX(BBG_Data!$P$2:$P$4000,MATCH($A594,BBG_Data!$O$2:$O$4000,0)),NA()))</f>
        <v/>
      </c>
      <c r="AE594" s="18">
        <f>IF(NOT(ISNUMBER($A594)),NA(),IFERROR(1*INDEX(BBG_Data!$R$2:$R$4000,MATCH($A594,BBG_Data!$Q$2:$Q$4000,0)),NA()))</f>
        <v/>
      </c>
      <c r="AF594" s="20">
        <f>IF(AND(ISNUMBER(B594),ISNUMBER(AC594)),(B594-AC594)*100,NA())</f>
        <v/>
      </c>
      <c r="AG594" s="20">
        <f>IF(AND(ISNUMBER(AE594),ISNUMBER(AD594)),(AE594-AD594)*100,NA())</f>
        <v/>
      </c>
      <c r="AH594" s="19">
        <f>IF(NOT(ISNUMBER($A594)),NA(),IFERROR(INDEX(BBG_Data!$T$2:$T$4000,MATCH($A594,BBG_Data!$S$2:$S$4000,0))*Settings!$B$25,NA()))</f>
        <v/>
      </c>
      <c r="AI594" s="19">
        <f>IF(NOT(ISNUMBER($A594)),NA(),IFERROR(INDEX(BBG_Data!$V$2:$V$4000,MATCH($A594,BBG_Data!$U$2:$U$4000,0))*Settings!$B$25,NA()))</f>
        <v/>
      </c>
      <c r="AJ594" s="19">
        <f>IF(NOT(ISNUMBER($A594)),NA(),IFERROR(1*INDEX(BBG_Data!$X$2:$X$4000,MATCH($A594,BBG_Data!$W$2:$W$4000,0)),NA()))</f>
        <v/>
      </c>
      <c r="AK594" s="19">
        <f>IF(NOT(ISNUMBER($A594)),NA(),IFERROR(1*INDEX(BBG_Data!$Z$2:$Z$4000,MATCH($A594,BBG_Data!$Y$2:$Y$4000,0)),NA()))</f>
        <v/>
      </c>
    </row>
    <row r="595">
      <c r="A595" s="17">
        <f>IF(ISNUMBER(BBG_Data!A595),BBG_Data!A595,"")</f>
        <v/>
      </c>
      <c r="B595" s="18">
        <f>IF(AND(ISNUMBER($A595),ISNUMBER(BBG_Data!B595)),BBG_Data!B595,NA())</f>
        <v/>
      </c>
      <c r="C595" s="18">
        <f>IF(NOT(ISNUMBER($A595)),NA(),IFERROR(1*INDEX(BBG_Data!$D$2:$D$4000,MATCH($A595,BBG_Data!$C$2:$C$4000,0)),NA()))</f>
        <v/>
      </c>
      <c r="D595" s="19">
        <f>IF(NOT(ISNUMBER($A595)),NA(),IFERROR(1*INDEX(BBG_Data!$F$2:$F$4000,MATCH($A595,BBG_Data!$E$2:$E$4000,0)),NA()))</f>
        <v/>
      </c>
      <c r="E595" s="19">
        <f>IF(NOT(ISNUMBER($A595)),NA(),IFERROR(1*INDEX(BBG_Data!$H$2:$H$4000,MATCH($A595,BBG_Data!$G$2:$G$4000,0)),NA()))</f>
        <v/>
      </c>
      <c r="F595" s="20">
        <f>IF(AND(ISNUMBER(B595),ISNUMBER(B594)),IF(B595=B594,"",(B595-B594)*100),"")</f>
        <v/>
      </c>
      <c r="G595" s="20">
        <f>IF(AND(ISNUMBER(C595),ISNUMBER(C594)),IF(C595=C594,"",(C595-C594)*100),"")</f>
        <v/>
      </c>
      <c r="H595" s="20">
        <f>IF(OR(NOT(ISNUMBER($A595)),ROW()-2&lt;Settings!$B$11),NA(),IF(COUNT(OFFSET(F595,1-Settings!$B$11,0,Settings!$B$11,1))&lt;ROUNDUP(Settings!$B$11*Settings!$B$26,0),NA(),STDEV(OFFSET(F595,1-Settings!$B$11,0,Settings!$B$11,1))*SQRT(Settings!$B$13)))</f>
        <v/>
      </c>
      <c r="I595" s="20">
        <f>IF(OR(NOT(ISNUMBER($A595)),ROW()-2&lt;Settings!$B$12),NA(),IF(COUNT(OFFSET(F595,1-Settings!$B$12,0,Settings!$B$12,1))&lt;ROUNDUP(Settings!$B$12*Settings!$B$26,0),NA(),STDEV(OFFSET(F595,1-Settings!$B$12,0,Settings!$B$12,1))*SQRT(Settings!$B$13)))</f>
        <v/>
      </c>
      <c r="J595" s="20">
        <f>IF(OR(NOT(ISNUMBER($A595)),ROW()-2&lt;Settings!$B$11),NA(),IF(COUNT(OFFSET(G595,1-Settings!$B$11,0,Settings!$B$11,1))&lt;ROUNDUP(Settings!$B$11*Settings!$B$26,0),NA(),STDEV(OFFSET(G595,1-Settings!$B$11,0,Settings!$B$11,1))*SQRT(Settings!$B$13)))</f>
        <v/>
      </c>
      <c r="K595" s="20">
        <f>IF(OR(NOT(ISNUMBER($A595)),ROW()-2&lt;Settings!$B$12),NA(),IF(COUNT(OFFSET(G595,1-Settings!$B$12,0,Settings!$B$12,1))&lt;ROUNDUP(Settings!$B$12*Settings!$B$26,0),NA(),STDEV(OFFSET(G595,1-Settings!$B$12,0,Settings!$B$12,1))*SQRT(Settings!$B$13)))</f>
        <v/>
      </c>
      <c r="L595" s="20">
        <f>IF(AND(ISNUMBER(D595),ISNUMBER(H595)),D595-H595,NA())</f>
        <v/>
      </c>
      <c r="M595" s="20">
        <f>IF(AND(ISNUMBER(E595),ISNUMBER(K595)),E595-K595,NA())</f>
        <v/>
      </c>
      <c r="N595" s="20">
        <f>IF(NOT(ISNUMBER($A595)),NA(),IF(COUNT(OFFSET(G595,1,0,Settings!$B$12,1))&lt;ROUNDUP(Settings!$B$12*Settings!$B$26,0),NA(),STDEV(OFFSET(G595,1,0,Settings!$B$12,1))*SQRT(Settings!$B$13)))</f>
        <v/>
      </c>
      <c r="O595" s="20">
        <f>IF(AND(ISNUMBER(E595),ISNUMBER(N595)),E595-N595,NA())</f>
        <v/>
      </c>
      <c r="P595" s="19">
        <f>IF(NOT(ISNUMBER($A595)),NA(),IF(OR($A595&lt;MIN(KW_TP!$A$2:$A$2501),$A595&gt;MAX(KW_TP!$A$2:$A$2501)),NA(),INDEX(KW_TP!$C$2:$C$2501,MATCH($A595,KW_TP!$A$2:$A$2501,1))))</f>
        <v/>
      </c>
      <c r="Q595" s="18">
        <f>IF(NOT(ISNUMBER($A595)),NA(),IFERROR(1*INDEX(BBG_Data!$J$2:$J$4000,MATCH($A595,BBG_Data!$I$2:$I$4000,0)),NA()))</f>
        <v/>
      </c>
      <c r="R595" s="18">
        <f>IF(NOT(ISNUMBER($A595)),NA(),IFERROR(1*INDEX(BBG_Data!$L$2:$L$4000,MATCH($A595,BBG_Data!$K$2:$K$4000,0)),NA()))</f>
        <v/>
      </c>
      <c r="S595" s="20">
        <f>IF(AND(ISNUMBER(B595),ISNUMBER(Q595),ISNUMBER(R595)),(B595-Q595-R595)*100,NA())</f>
        <v/>
      </c>
      <c r="T595" s="20">
        <f>IF(AND(ISNUMBER(B595),Settings!$B$17&gt;0),IF(ISNUMBER(INDEX($B:$B,Settings!$B$17)),(B595-INDEX($B:$B,Settings!$B$17))*100,NA()),NA())</f>
        <v/>
      </c>
      <c r="U595" s="20">
        <f>IF(AND(ISNUMBER(Q595),Settings!$B$17&gt;0),IF(ISNUMBER(INDEX($Q:$Q,Settings!$B$17)),(Q595-INDEX($Q:$Q,Settings!$B$17))*100,NA()),NA())</f>
        <v/>
      </c>
      <c r="V595" s="20">
        <f>IF(AND(ISNUMBER(R595),Settings!$B$17&gt;0),IF(ISNUMBER(INDEX($R:$R,Settings!$B$17)),(R595-INDEX($R:$R,Settings!$B$17))*100,NA()),NA())</f>
        <v/>
      </c>
      <c r="W595" s="20">
        <f>IF(AND(ISNUMBER(P595),Settings!$B$17&gt;0),IF(ISNUMBER(INDEX($P:$P,Settings!$B$17)),P595-INDEX($P:$P,Settings!$B$17),NA()),NA())</f>
        <v/>
      </c>
      <c r="X595" s="19">
        <f>IF(NOT(ISNUMBER($A595)),NA(),IF(OR($A595&lt;MIN(DKW_10Y!$A$2:$A$2918),$A595&gt;MAX(DKW_10Y!$A$2:$A$2918),Settings!$B$16&lt;MIN(DKW_10Y!$A$2:$A$2918)),NA(),(INDEX(DKW_10Y!$B$2:$B$2918,MATCH($A595,DKW_10Y!$A$2:$A$2918,1))-INDEX(DKW_10Y!$B$2:$B$2918,MATCH(Settings!$B$16,DKW_10Y!$A$2:$A$2918,1)))*100))</f>
        <v/>
      </c>
      <c r="Y595" s="19">
        <f>IF(NOT(ISNUMBER($A595)),NA(),IF(OR($A595&lt;MIN(DKW_10Y!$A$2:$A$2918),$A595&gt;MAX(DKW_10Y!$A$2:$A$2918),Settings!$B$16&lt;MIN(DKW_10Y!$A$2:$A$2918)),NA(),(INDEX(DKW_10Y!$C$2:$C$2918,MATCH($A595,DKW_10Y!$A$2:$A$2918,1))-INDEX(DKW_10Y!$C$2:$C$2918,MATCH(Settings!$B$16,DKW_10Y!$A$2:$A$2918,1)))*100))</f>
        <v/>
      </c>
      <c r="Z595" s="19">
        <f>IF(NOT(ISNUMBER($A595)),NA(),IF(OR($A595&lt;MIN(DKW_10Y!$A$2:$A$2918),$A595&gt;MAX(DKW_10Y!$A$2:$A$2918),Settings!$B$16&lt;MIN(DKW_10Y!$A$2:$A$2918)),NA(),(INDEX(DKW_10Y!$D$2:$D$2918,MATCH($A595,DKW_10Y!$A$2:$A$2918,1))-INDEX(DKW_10Y!$D$2:$D$2918,MATCH(Settings!$B$16,DKW_10Y!$A$2:$A$2918,1)))*100))</f>
        <v/>
      </c>
      <c r="AA595" s="19">
        <f>IF(NOT(ISNUMBER($A595)),NA(),IF(OR($A595&lt;MIN(DKW_10Y!$A$2:$A$2918),$A595&gt;MAX(DKW_10Y!$A$2:$A$2918),Settings!$B$16&lt;MIN(DKW_10Y!$A$2:$A$2918)),NA(),(INDEX(DKW_10Y!$E$2:$E$2918,MATCH($A595,DKW_10Y!$A$2:$A$2918,1))-INDEX(DKW_10Y!$E$2:$E$2918,MATCH(Settings!$B$16,DKW_10Y!$A$2:$A$2918,1)))*100))</f>
        <v/>
      </c>
      <c r="AB595" s="19">
        <f>IF(NOT(ISNUMBER($A595)),NA(),IF(OR($A595&lt;MIN(DKW_10Y!$A$2:$A$2918),$A595&gt;MAX(DKW_10Y!$A$2:$A$2918),Settings!$B$16&lt;MIN(DKW_10Y!$A$2:$A$2918)),NA(),(INDEX(DKW_10Y!$H$2:$H$2918,MATCH($A595,DKW_10Y!$A$2:$A$2918,1))-INDEX(DKW_10Y!$H$2:$H$2918,MATCH(Settings!$B$16,DKW_10Y!$A$2:$A$2918,1)))*100))</f>
        <v/>
      </c>
      <c r="AC595" s="18">
        <f>IF(NOT(ISNUMBER($A595)),NA(),IFERROR(1*INDEX(BBG_Data!$N$2:$N$4000,MATCH($A595,BBG_Data!$M$2:$M$4000,0)),NA()))</f>
        <v/>
      </c>
      <c r="AD595" s="18">
        <f>IF(NOT(ISNUMBER($A595)),NA(),IFERROR(1*INDEX(BBG_Data!$P$2:$P$4000,MATCH($A595,BBG_Data!$O$2:$O$4000,0)),NA()))</f>
        <v/>
      </c>
      <c r="AE595" s="18">
        <f>IF(NOT(ISNUMBER($A595)),NA(),IFERROR(1*INDEX(BBG_Data!$R$2:$R$4000,MATCH($A595,BBG_Data!$Q$2:$Q$4000,0)),NA()))</f>
        <v/>
      </c>
      <c r="AF595" s="20">
        <f>IF(AND(ISNUMBER(B595),ISNUMBER(AC595)),(B595-AC595)*100,NA())</f>
        <v/>
      </c>
      <c r="AG595" s="20">
        <f>IF(AND(ISNUMBER(AE595),ISNUMBER(AD595)),(AE595-AD595)*100,NA())</f>
        <v/>
      </c>
      <c r="AH595" s="19">
        <f>IF(NOT(ISNUMBER($A595)),NA(),IFERROR(INDEX(BBG_Data!$T$2:$T$4000,MATCH($A595,BBG_Data!$S$2:$S$4000,0))*Settings!$B$25,NA()))</f>
        <v/>
      </c>
      <c r="AI595" s="19">
        <f>IF(NOT(ISNUMBER($A595)),NA(),IFERROR(INDEX(BBG_Data!$V$2:$V$4000,MATCH($A595,BBG_Data!$U$2:$U$4000,0))*Settings!$B$25,NA()))</f>
        <v/>
      </c>
      <c r="AJ595" s="19">
        <f>IF(NOT(ISNUMBER($A595)),NA(),IFERROR(1*INDEX(BBG_Data!$X$2:$X$4000,MATCH($A595,BBG_Data!$W$2:$W$4000,0)),NA()))</f>
        <v/>
      </c>
      <c r="AK595" s="19">
        <f>IF(NOT(ISNUMBER($A595)),NA(),IFERROR(1*INDEX(BBG_Data!$Z$2:$Z$4000,MATCH($A595,BBG_Data!$Y$2:$Y$4000,0)),NA()))</f>
        <v/>
      </c>
    </row>
    <row r="596">
      <c r="A596" s="17">
        <f>IF(ISNUMBER(BBG_Data!A596),BBG_Data!A596,"")</f>
        <v/>
      </c>
      <c r="B596" s="18">
        <f>IF(AND(ISNUMBER($A596),ISNUMBER(BBG_Data!B596)),BBG_Data!B596,NA())</f>
        <v/>
      </c>
      <c r="C596" s="18">
        <f>IF(NOT(ISNUMBER($A596)),NA(),IFERROR(1*INDEX(BBG_Data!$D$2:$D$4000,MATCH($A596,BBG_Data!$C$2:$C$4000,0)),NA()))</f>
        <v/>
      </c>
      <c r="D596" s="19">
        <f>IF(NOT(ISNUMBER($A596)),NA(),IFERROR(1*INDEX(BBG_Data!$F$2:$F$4000,MATCH($A596,BBG_Data!$E$2:$E$4000,0)),NA()))</f>
        <v/>
      </c>
      <c r="E596" s="19">
        <f>IF(NOT(ISNUMBER($A596)),NA(),IFERROR(1*INDEX(BBG_Data!$H$2:$H$4000,MATCH($A596,BBG_Data!$G$2:$G$4000,0)),NA()))</f>
        <v/>
      </c>
      <c r="F596" s="20">
        <f>IF(AND(ISNUMBER(B596),ISNUMBER(B595)),IF(B596=B595,"",(B596-B595)*100),"")</f>
        <v/>
      </c>
      <c r="G596" s="20">
        <f>IF(AND(ISNUMBER(C596),ISNUMBER(C595)),IF(C596=C595,"",(C596-C595)*100),"")</f>
        <v/>
      </c>
      <c r="H596" s="20">
        <f>IF(OR(NOT(ISNUMBER($A596)),ROW()-2&lt;Settings!$B$11),NA(),IF(COUNT(OFFSET(F596,1-Settings!$B$11,0,Settings!$B$11,1))&lt;ROUNDUP(Settings!$B$11*Settings!$B$26,0),NA(),STDEV(OFFSET(F596,1-Settings!$B$11,0,Settings!$B$11,1))*SQRT(Settings!$B$13)))</f>
        <v/>
      </c>
      <c r="I596" s="20">
        <f>IF(OR(NOT(ISNUMBER($A596)),ROW()-2&lt;Settings!$B$12),NA(),IF(COUNT(OFFSET(F596,1-Settings!$B$12,0,Settings!$B$12,1))&lt;ROUNDUP(Settings!$B$12*Settings!$B$26,0),NA(),STDEV(OFFSET(F596,1-Settings!$B$12,0,Settings!$B$12,1))*SQRT(Settings!$B$13)))</f>
        <v/>
      </c>
      <c r="J596" s="20">
        <f>IF(OR(NOT(ISNUMBER($A596)),ROW()-2&lt;Settings!$B$11),NA(),IF(COUNT(OFFSET(G596,1-Settings!$B$11,0,Settings!$B$11,1))&lt;ROUNDUP(Settings!$B$11*Settings!$B$26,0),NA(),STDEV(OFFSET(G596,1-Settings!$B$11,0,Settings!$B$11,1))*SQRT(Settings!$B$13)))</f>
        <v/>
      </c>
      <c r="K596" s="20">
        <f>IF(OR(NOT(ISNUMBER($A596)),ROW()-2&lt;Settings!$B$12),NA(),IF(COUNT(OFFSET(G596,1-Settings!$B$12,0,Settings!$B$12,1))&lt;ROUNDUP(Settings!$B$12*Settings!$B$26,0),NA(),STDEV(OFFSET(G596,1-Settings!$B$12,0,Settings!$B$12,1))*SQRT(Settings!$B$13)))</f>
        <v/>
      </c>
      <c r="L596" s="20">
        <f>IF(AND(ISNUMBER(D596),ISNUMBER(H596)),D596-H596,NA())</f>
        <v/>
      </c>
      <c r="M596" s="20">
        <f>IF(AND(ISNUMBER(E596),ISNUMBER(K596)),E596-K596,NA())</f>
        <v/>
      </c>
      <c r="N596" s="20">
        <f>IF(NOT(ISNUMBER($A596)),NA(),IF(COUNT(OFFSET(G596,1,0,Settings!$B$12,1))&lt;ROUNDUP(Settings!$B$12*Settings!$B$26,0),NA(),STDEV(OFFSET(G596,1,0,Settings!$B$12,1))*SQRT(Settings!$B$13)))</f>
        <v/>
      </c>
      <c r="O596" s="20">
        <f>IF(AND(ISNUMBER(E596),ISNUMBER(N596)),E596-N596,NA())</f>
        <v/>
      </c>
      <c r="P596" s="19">
        <f>IF(NOT(ISNUMBER($A596)),NA(),IF(OR($A596&lt;MIN(KW_TP!$A$2:$A$2501),$A596&gt;MAX(KW_TP!$A$2:$A$2501)),NA(),INDEX(KW_TP!$C$2:$C$2501,MATCH($A596,KW_TP!$A$2:$A$2501,1))))</f>
        <v/>
      </c>
      <c r="Q596" s="18">
        <f>IF(NOT(ISNUMBER($A596)),NA(),IFERROR(1*INDEX(BBG_Data!$J$2:$J$4000,MATCH($A596,BBG_Data!$I$2:$I$4000,0)),NA()))</f>
        <v/>
      </c>
      <c r="R596" s="18">
        <f>IF(NOT(ISNUMBER($A596)),NA(),IFERROR(1*INDEX(BBG_Data!$L$2:$L$4000,MATCH($A596,BBG_Data!$K$2:$K$4000,0)),NA()))</f>
        <v/>
      </c>
      <c r="S596" s="20">
        <f>IF(AND(ISNUMBER(B596),ISNUMBER(Q596),ISNUMBER(R596)),(B596-Q596-R596)*100,NA())</f>
        <v/>
      </c>
      <c r="T596" s="20">
        <f>IF(AND(ISNUMBER(B596),Settings!$B$17&gt;0),IF(ISNUMBER(INDEX($B:$B,Settings!$B$17)),(B596-INDEX($B:$B,Settings!$B$17))*100,NA()),NA())</f>
        <v/>
      </c>
      <c r="U596" s="20">
        <f>IF(AND(ISNUMBER(Q596),Settings!$B$17&gt;0),IF(ISNUMBER(INDEX($Q:$Q,Settings!$B$17)),(Q596-INDEX($Q:$Q,Settings!$B$17))*100,NA()),NA())</f>
        <v/>
      </c>
      <c r="V596" s="20">
        <f>IF(AND(ISNUMBER(R596),Settings!$B$17&gt;0),IF(ISNUMBER(INDEX($R:$R,Settings!$B$17)),(R596-INDEX($R:$R,Settings!$B$17))*100,NA()),NA())</f>
        <v/>
      </c>
      <c r="W596" s="20">
        <f>IF(AND(ISNUMBER(P596),Settings!$B$17&gt;0),IF(ISNUMBER(INDEX($P:$P,Settings!$B$17)),P596-INDEX($P:$P,Settings!$B$17),NA()),NA())</f>
        <v/>
      </c>
      <c r="X596" s="19">
        <f>IF(NOT(ISNUMBER($A596)),NA(),IF(OR($A596&lt;MIN(DKW_10Y!$A$2:$A$2918),$A596&gt;MAX(DKW_10Y!$A$2:$A$2918),Settings!$B$16&lt;MIN(DKW_10Y!$A$2:$A$2918)),NA(),(INDEX(DKW_10Y!$B$2:$B$2918,MATCH($A596,DKW_10Y!$A$2:$A$2918,1))-INDEX(DKW_10Y!$B$2:$B$2918,MATCH(Settings!$B$16,DKW_10Y!$A$2:$A$2918,1)))*100))</f>
        <v/>
      </c>
      <c r="Y596" s="19">
        <f>IF(NOT(ISNUMBER($A596)),NA(),IF(OR($A596&lt;MIN(DKW_10Y!$A$2:$A$2918),$A596&gt;MAX(DKW_10Y!$A$2:$A$2918),Settings!$B$16&lt;MIN(DKW_10Y!$A$2:$A$2918)),NA(),(INDEX(DKW_10Y!$C$2:$C$2918,MATCH($A596,DKW_10Y!$A$2:$A$2918,1))-INDEX(DKW_10Y!$C$2:$C$2918,MATCH(Settings!$B$16,DKW_10Y!$A$2:$A$2918,1)))*100))</f>
        <v/>
      </c>
      <c r="Z596" s="19">
        <f>IF(NOT(ISNUMBER($A596)),NA(),IF(OR($A596&lt;MIN(DKW_10Y!$A$2:$A$2918),$A596&gt;MAX(DKW_10Y!$A$2:$A$2918),Settings!$B$16&lt;MIN(DKW_10Y!$A$2:$A$2918)),NA(),(INDEX(DKW_10Y!$D$2:$D$2918,MATCH($A596,DKW_10Y!$A$2:$A$2918,1))-INDEX(DKW_10Y!$D$2:$D$2918,MATCH(Settings!$B$16,DKW_10Y!$A$2:$A$2918,1)))*100))</f>
        <v/>
      </c>
      <c r="AA596" s="19">
        <f>IF(NOT(ISNUMBER($A596)),NA(),IF(OR($A596&lt;MIN(DKW_10Y!$A$2:$A$2918),$A596&gt;MAX(DKW_10Y!$A$2:$A$2918),Settings!$B$16&lt;MIN(DKW_10Y!$A$2:$A$2918)),NA(),(INDEX(DKW_10Y!$E$2:$E$2918,MATCH($A596,DKW_10Y!$A$2:$A$2918,1))-INDEX(DKW_10Y!$E$2:$E$2918,MATCH(Settings!$B$16,DKW_10Y!$A$2:$A$2918,1)))*100))</f>
        <v/>
      </c>
      <c r="AB596" s="19">
        <f>IF(NOT(ISNUMBER($A596)),NA(),IF(OR($A596&lt;MIN(DKW_10Y!$A$2:$A$2918),$A596&gt;MAX(DKW_10Y!$A$2:$A$2918),Settings!$B$16&lt;MIN(DKW_10Y!$A$2:$A$2918)),NA(),(INDEX(DKW_10Y!$H$2:$H$2918,MATCH($A596,DKW_10Y!$A$2:$A$2918,1))-INDEX(DKW_10Y!$H$2:$H$2918,MATCH(Settings!$B$16,DKW_10Y!$A$2:$A$2918,1)))*100))</f>
        <v/>
      </c>
      <c r="AC596" s="18">
        <f>IF(NOT(ISNUMBER($A596)),NA(),IFERROR(1*INDEX(BBG_Data!$N$2:$N$4000,MATCH($A596,BBG_Data!$M$2:$M$4000,0)),NA()))</f>
        <v/>
      </c>
      <c r="AD596" s="18">
        <f>IF(NOT(ISNUMBER($A596)),NA(),IFERROR(1*INDEX(BBG_Data!$P$2:$P$4000,MATCH($A596,BBG_Data!$O$2:$O$4000,0)),NA()))</f>
        <v/>
      </c>
      <c r="AE596" s="18">
        <f>IF(NOT(ISNUMBER($A596)),NA(),IFERROR(1*INDEX(BBG_Data!$R$2:$R$4000,MATCH($A596,BBG_Data!$Q$2:$Q$4000,0)),NA()))</f>
        <v/>
      </c>
      <c r="AF596" s="20">
        <f>IF(AND(ISNUMBER(B596),ISNUMBER(AC596)),(B596-AC596)*100,NA())</f>
        <v/>
      </c>
      <c r="AG596" s="20">
        <f>IF(AND(ISNUMBER(AE596),ISNUMBER(AD596)),(AE596-AD596)*100,NA())</f>
        <v/>
      </c>
      <c r="AH596" s="19">
        <f>IF(NOT(ISNUMBER($A596)),NA(),IFERROR(INDEX(BBG_Data!$T$2:$T$4000,MATCH($A596,BBG_Data!$S$2:$S$4000,0))*Settings!$B$25,NA()))</f>
        <v/>
      </c>
      <c r="AI596" s="19">
        <f>IF(NOT(ISNUMBER($A596)),NA(),IFERROR(INDEX(BBG_Data!$V$2:$V$4000,MATCH($A596,BBG_Data!$U$2:$U$4000,0))*Settings!$B$25,NA()))</f>
        <v/>
      </c>
      <c r="AJ596" s="19">
        <f>IF(NOT(ISNUMBER($A596)),NA(),IFERROR(1*INDEX(BBG_Data!$X$2:$X$4000,MATCH($A596,BBG_Data!$W$2:$W$4000,0)),NA()))</f>
        <v/>
      </c>
      <c r="AK596" s="19">
        <f>IF(NOT(ISNUMBER($A596)),NA(),IFERROR(1*INDEX(BBG_Data!$Z$2:$Z$4000,MATCH($A596,BBG_Data!$Y$2:$Y$4000,0)),NA()))</f>
        <v/>
      </c>
    </row>
    <row r="597">
      <c r="A597" s="17">
        <f>IF(ISNUMBER(BBG_Data!A597),BBG_Data!A597,"")</f>
        <v/>
      </c>
      <c r="B597" s="18">
        <f>IF(AND(ISNUMBER($A597),ISNUMBER(BBG_Data!B597)),BBG_Data!B597,NA())</f>
        <v/>
      </c>
      <c r="C597" s="18">
        <f>IF(NOT(ISNUMBER($A597)),NA(),IFERROR(1*INDEX(BBG_Data!$D$2:$D$4000,MATCH($A597,BBG_Data!$C$2:$C$4000,0)),NA()))</f>
        <v/>
      </c>
      <c r="D597" s="19">
        <f>IF(NOT(ISNUMBER($A597)),NA(),IFERROR(1*INDEX(BBG_Data!$F$2:$F$4000,MATCH($A597,BBG_Data!$E$2:$E$4000,0)),NA()))</f>
        <v/>
      </c>
      <c r="E597" s="19">
        <f>IF(NOT(ISNUMBER($A597)),NA(),IFERROR(1*INDEX(BBG_Data!$H$2:$H$4000,MATCH($A597,BBG_Data!$G$2:$G$4000,0)),NA()))</f>
        <v/>
      </c>
      <c r="F597" s="20">
        <f>IF(AND(ISNUMBER(B597),ISNUMBER(B596)),IF(B597=B596,"",(B597-B596)*100),"")</f>
        <v/>
      </c>
      <c r="G597" s="20">
        <f>IF(AND(ISNUMBER(C597),ISNUMBER(C596)),IF(C597=C596,"",(C597-C596)*100),"")</f>
        <v/>
      </c>
      <c r="H597" s="20">
        <f>IF(OR(NOT(ISNUMBER($A597)),ROW()-2&lt;Settings!$B$11),NA(),IF(COUNT(OFFSET(F597,1-Settings!$B$11,0,Settings!$B$11,1))&lt;ROUNDUP(Settings!$B$11*Settings!$B$26,0),NA(),STDEV(OFFSET(F597,1-Settings!$B$11,0,Settings!$B$11,1))*SQRT(Settings!$B$13)))</f>
        <v/>
      </c>
      <c r="I597" s="20">
        <f>IF(OR(NOT(ISNUMBER($A597)),ROW()-2&lt;Settings!$B$12),NA(),IF(COUNT(OFFSET(F597,1-Settings!$B$12,0,Settings!$B$12,1))&lt;ROUNDUP(Settings!$B$12*Settings!$B$26,0),NA(),STDEV(OFFSET(F597,1-Settings!$B$12,0,Settings!$B$12,1))*SQRT(Settings!$B$13)))</f>
        <v/>
      </c>
      <c r="J597" s="20">
        <f>IF(OR(NOT(ISNUMBER($A597)),ROW()-2&lt;Settings!$B$11),NA(),IF(COUNT(OFFSET(G597,1-Settings!$B$11,0,Settings!$B$11,1))&lt;ROUNDUP(Settings!$B$11*Settings!$B$26,0),NA(),STDEV(OFFSET(G597,1-Settings!$B$11,0,Settings!$B$11,1))*SQRT(Settings!$B$13)))</f>
        <v/>
      </c>
      <c r="K597" s="20">
        <f>IF(OR(NOT(ISNUMBER($A597)),ROW()-2&lt;Settings!$B$12),NA(),IF(COUNT(OFFSET(G597,1-Settings!$B$12,0,Settings!$B$12,1))&lt;ROUNDUP(Settings!$B$12*Settings!$B$26,0),NA(),STDEV(OFFSET(G597,1-Settings!$B$12,0,Settings!$B$12,1))*SQRT(Settings!$B$13)))</f>
        <v/>
      </c>
      <c r="L597" s="20">
        <f>IF(AND(ISNUMBER(D597),ISNUMBER(H597)),D597-H597,NA())</f>
        <v/>
      </c>
      <c r="M597" s="20">
        <f>IF(AND(ISNUMBER(E597),ISNUMBER(K597)),E597-K597,NA())</f>
        <v/>
      </c>
      <c r="N597" s="20">
        <f>IF(NOT(ISNUMBER($A597)),NA(),IF(COUNT(OFFSET(G597,1,0,Settings!$B$12,1))&lt;ROUNDUP(Settings!$B$12*Settings!$B$26,0),NA(),STDEV(OFFSET(G597,1,0,Settings!$B$12,1))*SQRT(Settings!$B$13)))</f>
        <v/>
      </c>
      <c r="O597" s="20">
        <f>IF(AND(ISNUMBER(E597),ISNUMBER(N597)),E597-N597,NA())</f>
        <v/>
      </c>
      <c r="P597" s="19">
        <f>IF(NOT(ISNUMBER($A597)),NA(),IF(OR($A597&lt;MIN(KW_TP!$A$2:$A$2501),$A597&gt;MAX(KW_TP!$A$2:$A$2501)),NA(),INDEX(KW_TP!$C$2:$C$2501,MATCH($A597,KW_TP!$A$2:$A$2501,1))))</f>
        <v/>
      </c>
      <c r="Q597" s="18">
        <f>IF(NOT(ISNUMBER($A597)),NA(),IFERROR(1*INDEX(BBG_Data!$J$2:$J$4000,MATCH($A597,BBG_Data!$I$2:$I$4000,0)),NA()))</f>
        <v/>
      </c>
      <c r="R597" s="18">
        <f>IF(NOT(ISNUMBER($A597)),NA(),IFERROR(1*INDEX(BBG_Data!$L$2:$L$4000,MATCH($A597,BBG_Data!$K$2:$K$4000,0)),NA()))</f>
        <v/>
      </c>
      <c r="S597" s="20">
        <f>IF(AND(ISNUMBER(B597),ISNUMBER(Q597),ISNUMBER(R597)),(B597-Q597-R597)*100,NA())</f>
        <v/>
      </c>
      <c r="T597" s="20">
        <f>IF(AND(ISNUMBER(B597),Settings!$B$17&gt;0),IF(ISNUMBER(INDEX($B:$B,Settings!$B$17)),(B597-INDEX($B:$B,Settings!$B$17))*100,NA()),NA())</f>
        <v/>
      </c>
      <c r="U597" s="20">
        <f>IF(AND(ISNUMBER(Q597),Settings!$B$17&gt;0),IF(ISNUMBER(INDEX($Q:$Q,Settings!$B$17)),(Q597-INDEX($Q:$Q,Settings!$B$17))*100,NA()),NA())</f>
        <v/>
      </c>
      <c r="V597" s="20">
        <f>IF(AND(ISNUMBER(R597),Settings!$B$17&gt;0),IF(ISNUMBER(INDEX($R:$R,Settings!$B$17)),(R597-INDEX($R:$R,Settings!$B$17))*100,NA()),NA())</f>
        <v/>
      </c>
      <c r="W597" s="20">
        <f>IF(AND(ISNUMBER(P597),Settings!$B$17&gt;0),IF(ISNUMBER(INDEX($P:$P,Settings!$B$17)),P597-INDEX($P:$P,Settings!$B$17),NA()),NA())</f>
        <v/>
      </c>
      <c r="X597" s="19">
        <f>IF(NOT(ISNUMBER($A597)),NA(),IF(OR($A597&lt;MIN(DKW_10Y!$A$2:$A$2918),$A597&gt;MAX(DKW_10Y!$A$2:$A$2918),Settings!$B$16&lt;MIN(DKW_10Y!$A$2:$A$2918)),NA(),(INDEX(DKW_10Y!$B$2:$B$2918,MATCH($A597,DKW_10Y!$A$2:$A$2918,1))-INDEX(DKW_10Y!$B$2:$B$2918,MATCH(Settings!$B$16,DKW_10Y!$A$2:$A$2918,1)))*100))</f>
        <v/>
      </c>
      <c r="Y597" s="19">
        <f>IF(NOT(ISNUMBER($A597)),NA(),IF(OR($A597&lt;MIN(DKW_10Y!$A$2:$A$2918),$A597&gt;MAX(DKW_10Y!$A$2:$A$2918),Settings!$B$16&lt;MIN(DKW_10Y!$A$2:$A$2918)),NA(),(INDEX(DKW_10Y!$C$2:$C$2918,MATCH($A597,DKW_10Y!$A$2:$A$2918,1))-INDEX(DKW_10Y!$C$2:$C$2918,MATCH(Settings!$B$16,DKW_10Y!$A$2:$A$2918,1)))*100))</f>
        <v/>
      </c>
      <c r="Z597" s="19">
        <f>IF(NOT(ISNUMBER($A597)),NA(),IF(OR($A597&lt;MIN(DKW_10Y!$A$2:$A$2918),$A597&gt;MAX(DKW_10Y!$A$2:$A$2918),Settings!$B$16&lt;MIN(DKW_10Y!$A$2:$A$2918)),NA(),(INDEX(DKW_10Y!$D$2:$D$2918,MATCH($A597,DKW_10Y!$A$2:$A$2918,1))-INDEX(DKW_10Y!$D$2:$D$2918,MATCH(Settings!$B$16,DKW_10Y!$A$2:$A$2918,1)))*100))</f>
        <v/>
      </c>
      <c r="AA597" s="19">
        <f>IF(NOT(ISNUMBER($A597)),NA(),IF(OR($A597&lt;MIN(DKW_10Y!$A$2:$A$2918),$A597&gt;MAX(DKW_10Y!$A$2:$A$2918),Settings!$B$16&lt;MIN(DKW_10Y!$A$2:$A$2918)),NA(),(INDEX(DKW_10Y!$E$2:$E$2918,MATCH($A597,DKW_10Y!$A$2:$A$2918,1))-INDEX(DKW_10Y!$E$2:$E$2918,MATCH(Settings!$B$16,DKW_10Y!$A$2:$A$2918,1)))*100))</f>
        <v/>
      </c>
      <c r="AB597" s="19">
        <f>IF(NOT(ISNUMBER($A597)),NA(),IF(OR($A597&lt;MIN(DKW_10Y!$A$2:$A$2918),$A597&gt;MAX(DKW_10Y!$A$2:$A$2918),Settings!$B$16&lt;MIN(DKW_10Y!$A$2:$A$2918)),NA(),(INDEX(DKW_10Y!$H$2:$H$2918,MATCH($A597,DKW_10Y!$A$2:$A$2918,1))-INDEX(DKW_10Y!$H$2:$H$2918,MATCH(Settings!$B$16,DKW_10Y!$A$2:$A$2918,1)))*100))</f>
        <v/>
      </c>
      <c r="AC597" s="18">
        <f>IF(NOT(ISNUMBER($A597)),NA(),IFERROR(1*INDEX(BBG_Data!$N$2:$N$4000,MATCH($A597,BBG_Data!$M$2:$M$4000,0)),NA()))</f>
        <v/>
      </c>
      <c r="AD597" s="18">
        <f>IF(NOT(ISNUMBER($A597)),NA(),IFERROR(1*INDEX(BBG_Data!$P$2:$P$4000,MATCH($A597,BBG_Data!$O$2:$O$4000,0)),NA()))</f>
        <v/>
      </c>
      <c r="AE597" s="18">
        <f>IF(NOT(ISNUMBER($A597)),NA(),IFERROR(1*INDEX(BBG_Data!$R$2:$R$4000,MATCH($A597,BBG_Data!$Q$2:$Q$4000,0)),NA()))</f>
        <v/>
      </c>
      <c r="AF597" s="20">
        <f>IF(AND(ISNUMBER(B597),ISNUMBER(AC597)),(B597-AC597)*100,NA())</f>
        <v/>
      </c>
      <c r="AG597" s="20">
        <f>IF(AND(ISNUMBER(AE597),ISNUMBER(AD597)),(AE597-AD597)*100,NA())</f>
        <v/>
      </c>
      <c r="AH597" s="19">
        <f>IF(NOT(ISNUMBER($A597)),NA(),IFERROR(INDEX(BBG_Data!$T$2:$T$4000,MATCH($A597,BBG_Data!$S$2:$S$4000,0))*Settings!$B$25,NA()))</f>
        <v/>
      </c>
      <c r="AI597" s="19">
        <f>IF(NOT(ISNUMBER($A597)),NA(),IFERROR(INDEX(BBG_Data!$V$2:$V$4000,MATCH($A597,BBG_Data!$U$2:$U$4000,0))*Settings!$B$25,NA()))</f>
        <v/>
      </c>
      <c r="AJ597" s="19">
        <f>IF(NOT(ISNUMBER($A597)),NA(),IFERROR(1*INDEX(BBG_Data!$X$2:$X$4000,MATCH($A597,BBG_Data!$W$2:$W$4000,0)),NA()))</f>
        <v/>
      </c>
      <c r="AK597" s="19">
        <f>IF(NOT(ISNUMBER($A597)),NA(),IFERROR(1*INDEX(BBG_Data!$Z$2:$Z$4000,MATCH($A597,BBG_Data!$Y$2:$Y$4000,0)),NA()))</f>
        <v/>
      </c>
    </row>
    <row r="598">
      <c r="A598" s="17">
        <f>IF(ISNUMBER(BBG_Data!A598),BBG_Data!A598,"")</f>
        <v/>
      </c>
      <c r="B598" s="18">
        <f>IF(AND(ISNUMBER($A598),ISNUMBER(BBG_Data!B598)),BBG_Data!B598,NA())</f>
        <v/>
      </c>
      <c r="C598" s="18">
        <f>IF(NOT(ISNUMBER($A598)),NA(),IFERROR(1*INDEX(BBG_Data!$D$2:$D$4000,MATCH($A598,BBG_Data!$C$2:$C$4000,0)),NA()))</f>
        <v/>
      </c>
      <c r="D598" s="19">
        <f>IF(NOT(ISNUMBER($A598)),NA(),IFERROR(1*INDEX(BBG_Data!$F$2:$F$4000,MATCH($A598,BBG_Data!$E$2:$E$4000,0)),NA()))</f>
        <v/>
      </c>
      <c r="E598" s="19">
        <f>IF(NOT(ISNUMBER($A598)),NA(),IFERROR(1*INDEX(BBG_Data!$H$2:$H$4000,MATCH($A598,BBG_Data!$G$2:$G$4000,0)),NA()))</f>
        <v/>
      </c>
      <c r="F598" s="20">
        <f>IF(AND(ISNUMBER(B598),ISNUMBER(B597)),IF(B598=B597,"",(B598-B597)*100),"")</f>
        <v/>
      </c>
      <c r="G598" s="20">
        <f>IF(AND(ISNUMBER(C598),ISNUMBER(C597)),IF(C598=C597,"",(C598-C597)*100),"")</f>
        <v/>
      </c>
      <c r="H598" s="20">
        <f>IF(OR(NOT(ISNUMBER($A598)),ROW()-2&lt;Settings!$B$11),NA(),IF(COUNT(OFFSET(F598,1-Settings!$B$11,0,Settings!$B$11,1))&lt;ROUNDUP(Settings!$B$11*Settings!$B$26,0),NA(),STDEV(OFFSET(F598,1-Settings!$B$11,0,Settings!$B$11,1))*SQRT(Settings!$B$13)))</f>
        <v/>
      </c>
      <c r="I598" s="20">
        <f>IF(OR(NOT(ISNUMBER($A598)),ROW()-2&lt;Settings!$B$12),NA(),IF(COUNT(OFFSET(F598,1-Settings!$B$12,0,Settings!$B$12,1))&lt;ROUNDUP(Settings!$B$12*Settings!$B$26,0),NA(),STDEV(OFFSET(F598,1-Settings!$B$12,0,Settings!$B$12,1))*SQRT(Settings!$B$13)))</f>
        <v/>
      </c>
      <c r="J598" s="20">
        <f>IF(OR(NOT(ISNUMBER($A598)),ROW()-2&lt;Settings!$B$11),NA(),IF(COUNT(OFFSET(G598,1-Settings!$B$11,0,Settings!$B$11,1))&lt;ROUNDUP(Settings!$B$11*Settings!$B$26,0),NA(),STDEV(OFFSET(G598,1-Settings!$B$11,0,Settings!$B$11,1))*SQRT(Settings!$B$13)))</f>
        <v/>
      </c>
      <c r="K598" s="20">
        <f>IF(OR(NOT(ISNUMBER($A598)),ROW()-2&lt;Settings!$B$12),NA(),IF(COUNT(OFFSET(G598,1-Settings!$B$12,0,Settings!$B$12,1))&lt;ROUNDUP(Settings!$B$12*Settings!$B$26,0),NA(),STDEV(OFFSET(G598,1-Settings!$B$12,0,Settings!$B$12,1))*SQRT(Settings!$B$13)))</f>
        <v/>
      </c>
      <c r="L598" s="20">
        <f>IF(AND(ISNUMBER(D598),ISNUMBER(H598)),D598-H598,NA())</f>
        <v/>
      </c>
      <c r="M598" s="20">
        <f>IF(AND(ISNUMBER(E598),ISNUMBER(K598)),E598-K598,NA())</f>
        <v/>
      </c>
      <c r="N598" s="20">
        <f>IF(NOT(ISNUMBER($A598)),NA(),IF(COUNT(OFFSET(G598,1,0,Settings!$B$12,1))&lt;ROUNDUP(Settings!$B$12*Settings!$B$26,0),NA(),STDEV(OFFSET(G598,1,0,Settings!$B$12,1))*SQRT(Settings!$B$13)))</f>
        <v/>
      </c>
      <c r="O598" s="20">
        <f>IF(AND(ISNUMBER(E598),ISNUMBER(N598)),E598-N598,NA())</f>
        <v/>
      </c>
      <c r="P598" s="19">
        <f>IF(NOT(ISNUMBER($A598)),NA(),IF(OR($A598&lt;MIN(KW_TP!$A$2:$A$2501),$A598&gt;MAX(KW_TP!$A$2:$A$2501)),NA(),INDEX(KW_TP!$C$2:$C$2501,MATCH($A598,KW_TP!$A$2:$A$2501,1))))</f>
        <v/>
      </c>
      <c r="Q598" s="18">
        <f>IF(NOT(ISNUMBER($A598)),NA(),IFERROR(1*INDEX(BBG_Data!$J$2:$J$4000,MATCH($A598,BBG_Data!$I$2:$I$4000,0)),NA()))</f>
        <v/>
      </c>
      <c r="R598" s="18">
        <f>IF(NOT(ISNUMBER($A598)),NA(),IFERROR(1*INDEX(BBG_Data!$L$2:$L$4000,MATCH($A598,BBG_Data!$K$2:$K$4000,0)),NA()))</f>
        <v/>
      </c>
      <c r="S598" s="20">
        <f>IF(AND(ISNUMBER(B598),ISNUMBER(Q598),ISNUMBER(R598)),(B598-Q598-R598)*100,NA())</f>
        <v/>
      </c>
      <c r="T598" s="20">
        <f>IF(AND(ISNUMBER(B598),Settings!$B$17&gt;0),IF(ISNUMBER(INDEX($B:$B,Settings!$B$17)),(B598-INDEX($B:$B,Settings!$B$17))*100,NA()),NA())</f>
        <v/>
      </c>
      <c r="U598" s="20">
        <f>IF(AND(ISNUMBER(Q598),Settings!$B$17&gt;0),IF(ISNUMBER(INDEX($Q:$Q,Settings!$B$17)),(Q598-INDEX($Q:$Q,Settings!$B$17))*100,NA()),NA())</f>
        <v/>
      </c>
      <c r="V598" s="20">
        <f>IF(AND(ISNUMBER(R598),Settings!$B$17&gt;0),IF(ISNUMBER(INDEX($R:$R,Settings!$B$17)),(R598-INDEX($R:$R,Settings!$B$17))*100,NA()),NA())</f>
        <v/>
      </c>
      <c r="W598" s="20">
        <f>IF(AND(ISNUMBER(P598),Settings!$B$17&gt;0),IF(ISNUMBER(INDEX($P:$P,Settings!$B$17)),P598-INDEX($P:$P,Settings!$B$17),NA()),NA())</f>
        <v/>
      </c>
      <c r="X598" s="19">
        <f>IF(NOT(ISNUMBER($A598)),NA(),IF(OR($A598&lt;MIN(DKW_10Y!$A$2:$A$2918),$A598&gt;MAX(DKW_10Y!$A$2:$A$2918),Settings!$B$16&lt;MIN(DKW_10Y!$A$2:$A$2918)),NA(),(INDEX(DKW_10Y!$B$2:$B$2918,MATCH($A598,DKW_10Y!$A$2:$A$2918,1))-INDEX(DKW_10Y!$B$2:$B$2918,MATCH(Settings!$B$16,DKW_10Y!$A$2:$A$2918,1)))*100))</f>
        <v/>
      </c>
      <c r="Y598" s="19">
        <f>IF(NOT(ISNUMBER($A598)),NA(),IF(OR($A598&lt;MIN(DKW_10Y!$A$2:$A$2918),$A598&gt;MAX(DKW_10Y!$A$2:$A$2918),Settings!$B$16&lt;MIN(DKW_10Y!$A$2:$A$2918)),NA(),(INDEX(DKW_10Y!$C$2:$C$2918,MATCH($A598,DKW_10Y!$A$2:$A$2918,1))-INDEX(DKW_10Y!$C$2:$C$2918,MATCH(Settings!$B$16,DKW_10Y!$A$2:$A$2918,1)))*100))</f>
        <v/>
      </c>
      <c r="Z598" s="19">
        <f>IF(NOT(ISNUMBER($A598)),NA(),IF(OR($A598&lt;MIN(DKW_10Y!$A$2:$A$2918),$A598&gt;MAX(DKW_10Y!$A$2:$A$2918),Settings!$B$16&lt;MIN(DKW_10Y!$A$2:$A$2918)),NA(),(INDEX(DKW_10Y!$D$2:$D$2918,MATCH($A598,DKW_10Y!$A$2:$A$2918,1))-INDEX(DKW_10Y!$D$2:$D$2918,MATCH(Settings!$B$16,DKW_10Y!$A$2:$A$2918,1)))*100))</f>
        <v/>
      </c>
      <c r="AA598" s="19">
        <f>IF(NOT(ISNUMBER($A598)),NA(),IF(OR($A598&lt;MIN(DKW_10Y!$A$2:$A$2918),$A598&gt;MAX(DKW_10Y!$A$2:$A$2918),Settings!$B$16&lt;MIN(DKW_10Y!$A$2:$A$2918)),NA(),(INDEX(DKW_10Y!$E$2:$E$2918,MATCH($A598,DKW_10Y!$A$2:$A$2918,1))-INDEX(DKW_10Y!$E$2:$E$2918,MATCH(Settings!$B$16,DKW_10Y!$A$2:$A$2918,1)))*100))</f>
        <v/>
      </c>
      <c r="AB598" s="19">
        <f>IF(NOT(ISNUMBER($A598)),NA(),IF(OR($A598&lt;MIN(DKW_10Y!$A$2:$A$2918),$A598&gt;MAX(DKW_10Y!$A$2:$A$2918),Settings!$B$16&lt;MIN(DKW_10Y!$A$2:$A$2918)),NA(),(INDEX(DKW_10Y!$H$2:$H$2918,MATCH($A598,DKW_10Y!$A$2:$A$2918,1))-INDEX(DKW_10Y!$H$2:$H$2918,MATCH(Settings!$B$16,DKW_10Y!$A$2:$A$2918,1)))*100))</f>
        <v/>
      </c>
      <c r="AC598" s="18">
        <f>IF(NOT(ISNUMBER($A598)),NA(),IFERROR(1*INDEX(BBG_Data!$N$2:$N$4000,MATCH($A598,BBG_Data!$M$2:$M$4000,0)),NA()))</f>
        <v/>
      </c>
      <c r="AD598" s="18">
        <f>IF(NOT(ISNUMBER($A598)),NA(),IFERROR(1*INDEX(BBG_Data!$P$2:$P$4000,MATCH($A598,BBG_Data!$O$2:$O$4000,0)),NA()))</f>
        <v/>
      </c>
      <c r="AE598" s="18">
        <f>IF(NOT(ISNUMBER($A598)),NA(),IFERROR(1*INDEX(BBG_Data!$R$2:$R$4000,MATCH($A598,BBG_Data!$Q$2:$Q$4000,0)),NA()))</f>
        <v/>
      </c>
      <c r="AF598" s="20">
        <f>IF(AND(ISNUMBER(B598),ISNUMBER(AC598)),(B598-AC598)*100,NA())</f>
        <v/>
      </c>
      <c r="AG598" s="20">
        <f>IF(AND(ISNUMBER(AE598),ISNUMBER(AD598)),(AE598-AD598)*100,NA())</f>
        <v/>
      </c>
      <c r="AH598" s="19">
        <f>IF(NOT(ISNUMBER($A598)),NA(),IFERROR(INDEX(BBG_Data!$T$2:$T$4000,MATCH($A598,BBG_Data!$S$2:$S$4000,0))*Settings!$B$25,NA()))</f>
        <v/>
      </c>
      <c r="AI598" s="19">
        <f>IF(NOT(ISNUMBER($A598)),NA(),IFERROR(INDEX(BBG_Data!$V$2:$V$4000,MATCH($A598,BBG_Data!$U$2:$U$4000,0))*Settings!$B$25,NA()))</f>
        <v/>
      </c>
      <c r="AJ598" s="19">
        <f>IF(NOT(ISNUMBER($A598)),NA(),IFERROR(1*INDEX(BBG_Data!$X$2:$X$4000,MATCH($A598,BBG_Data!$W$2:$W$4000,0)),NA()))</f>
        <v/>
      </c>
      <c r="AK598" s="19">
        <f>IF(NOT(ISNUMBER($A598)),NA(),IFERROR(1*INDEX(BBG_Data!$Z$2:$Z$4000,MATCH($A598,BBG_Data!$Y$2:$Y$4000,0)),NA()))</f>
        <v/>
      </c>
    </row>
    <row r="599">
      <c r="A599" s="17">
        <f>IF(ISNUMBER(BBG_Data!A599),BBG_Data!A599,"")</f>
        <v/>
      </c>
      <c r="B599" s="18">
        <f>IF(AND(ISNUMBER($A599),ISNUMBER(BBG_Data!B599)),BBG_Data!B599,NA())</f>
        <v/>
      </c>
      <c r="C599" s="18">
        <f>IF(NOT(ISNUMBER($A599)),NA(),IFERROR(1*INDEX(BBG_Data!$D$2:$D$4000,MATCH($A599,BBG_Data!$C$2:$C$4000,0)),NA()))</f>
        <v/>
      </c>
      <c r="D599" s="19">
        <f>IF(NOT(ISNUMBER($A599)),NA(),IFERROR(1*INDEX(BBG_Data!$F$2:$F$4000,MATCH($A599,BBG_Data!$E$2:$E$4000,0)),NA()))</f>
        <v/>
      </c>
      <c r="E599" s="19">
        <f>IF(NOT(ISNUMBER($A599)),NA(),IFERROR(1*INDEX(BBG_Data!$H$2:$H$4000,MATCH($A599,BBG_Data!$G$2:$G$4000,0)),NA()))</f>
        <v/>
      </c>
      <c r="F599" s="20">
        <f>IF(AND(ISNUMBER(B599),ISNUMBER(B598)),IF(B599=B598,"",(B599-B598)*100),"")</f>
        <v/>
      </c>
      <c r="G599" s="20">
        <f>IF(AND(ISNUMBER(C599),ISNUMBER(C598)),IF(C599=C598,"",(C599-C598)*100),"")</f>
        <v/>
      </c>
      <c r="H599" s="20">
        <f>IF(OR(NOT(ISNUMBER($A599)),ROW()-2&lt;Settings!$B$11),NA(),IF(COUNT(OFFSET(F599,1-Settings!$B$11,0,Settings!$B$11,1))&lt;ROUNDUP(Settings!$B$11*Settings!$B$26,0),NA(),STDEV(OFFSET(F599,1-Settings!$B$11,0,Settings!$B$11,1))*SQRT(Settings!$B$13)))</f>
        <v/>
      </c>
      <c r="I599" s="20">
        <f>IF(OR(NOT(ISNUMBER($A599)),ROW()-2&lt;Settings!$B$12),NA(),IF(COUNT(OFFSET(F599,1-Settings!$B$12,0,Settings!$B$12,1))&lt;ROUNDUP(Settings!$B$12*Settings!$B$26,0),NA(),STDEV(OFFSET(F599,1-Settings!$B$12,0,Settings!$B$12,1))*SQRT(Settings!$B$13)))</f>
        <v/>
      </c>
      <c r="J599" s="20">
        <f>IF(OR(NOT(ISNUMBER($A599)),ROW()-2&lt;Settings!$B$11),NA(),IF(COUNT(OFFSET(G599,1-Settings!$B$11,0,Settings!$B$11,1))&lt;ROUNDUP(Settings!$B$11*Settings!$B$26,0),NA(),STDEV(OFFSET(G599,1-Settings!$B$11,0,Settings!$B$11,1))*SQRT(Settings!$B$13)))</f>
        <v/>
      </c>
      <c r="K599" s="20">
        <f>IF(OR(NOT(ISNUMBER($A599)),ROW()-2&lt;Settings!$B$12),NA(),IF(COUNT(OFFSET(G599,1-Settings!$B$12,0,Settings!$B$12,1))&lt;ROUNDUP(Settings!$B$12*Settings!$B$26,0),NA(),STDEV(OFFSET(G599,1-Settings!$B$12,0,Settings!$B$12,1))*SQRT(Settings!$B$13)))</f>
        <v/>
      </c>
      <c r="L599" s="20">
        <f>IF(AND(ISNUMBER(D599),ISNUMBER(H599)),D599-H599,NA())</f>
        <v/>
      </c>
      <c r="M599" s="20">
        <f>IF(AND(ISNUMBER(E599),ISNUMBER(K599)),E599-K599,NA())</f>
        <v/>
      </c>
      <c r="N599" s="20">
        <f>IF(NOT(ISNUMBER($A599)),NA(),IF(COUNT(OFFSET(G599,1,0,Settings!$B$12,1))&lt;ROUNDUP(Settings!$B$12*Settings!$B$26,0),NA(),STDEV(OFFSET(G599,1,0,Settings!$B$12,1))*SQRT(Settings!$B$13)))</f>
        <v/>
      </c>
      <c r="O599" s="20">
        <f>IF(AND(ISNUMBER(E599),ISNUMBER(N599)),E599-N599,NA())</f>
        <v/>
      </c>
      <c r="P599" s="19">
        <f>IF(NOT(ISNUMBER($A599)),NA(),IF(OR($A599&lt;MIN(KW_TP!$A$2:$A$2501),$A599&gt;MAX(KW_TP!$A$2:$A$2501)),NA(),INDEX(KW_TP!$C$2:$C$2501,MATCH($A599,KW_TP!$A$2:$A$2501,1))))</f>
        <v/>
      </c>
      <c r="Q599" s="18">
        <f>IF(NOT(ISNUMBER($A599)),NA(),IFERROR(1*INDEX(BBG_Data!$J$2:$J$4000,MATCH($A599,BBG_Data!$I$2:$I$4000,0)),NA()))</f>
        <v/>
      </c>
      <c r="R599" s="18">
        <f>IF(NOT(ISNUMBER($A599)),NA(),IFERROR(1*INDEX(BBG_Data!$L$2:$L$4000,MATCH($A599,BBG_Data!$K$2:$K$4000,0)),NA()))</f>
        <v/>
      </c>
      <c r="S599" s="20">
        <f>IF(AND(ISNUMBER(B599),ISNUMBER(Q599),ISNUMBER(R599)),(B599-Q599-R599)*100,NA())</f>
        <v/>
      </c>
      <c r="T599" s="20">
        <f>IF(AND(ISNUMBER(B599),Settings!$B$17&gt;0),IF(ISNUMBER(INDEX($B:$B,Settings!$B$17)),(B599-INDEX($B:$B,Settings!$B$17))*100,NA()),NA())</f>
        <v/>
      </c>
      <c r="U599" s="20">
        <f>IF(AND(ISNUMBER(Q599),Settings!$B$17&gt;0),IF(ISNUMBER(INDEX($Q:$Q,Settings!$B$17)),(Q599-INDEX($Q:$Q,Settings!$B$17))*100,NA()),NA())</f>
        <v/>
      </c>
      <c r="V599" s="20">
        <f>IF(AND(ISNUMBER(R599),Settings!$B$17&gt;0),IF(ISNUMBER(INDEX($R:$R,Settings!$B$17)),(R599-INDEX($R:$R,Settings!$B$17))*100,NA()),NA())</f>
        <v/>
      </c>
      <c r="W599" s="20">
        <f>IF(AND(ISNUMBER(P599),Settings!$B$17&gt;0),IF(ISNUMBER(INDEX($P:$P,Settings!$B$17)),P599-INDEX($P:$P,Settings!$B$17),NA()),NA())</f>
        <v/>
      </c>
      <c r="X599" s="19">
        <f>IF(NOT(ISNUMBER($A599)),NA(),IF(OR($A599&lt;MIN(DKW_10Y!$A$2:$A$2918),$A599&gt;MAX(DKW_10Y!$A$2:$A$2918),Settings!$B$16&lt;MIN(DKW_10Y!$A$2:$A$2918)),NA(),(INDEX(DKW_10Y!$B$2:$B$2918,MATCH($A599,DKW_10Y!$A$2:$A$2918,1))-INDEX(DKW_10Y!$B$2:$B$2918,MATCH(Settings!$B$16,DKW_10Y!$A$2:$A$2918,1)))*100))</f>
        <v/>
      </c>
      <c r="Y599" s="19">
        <f>IF(NOT(ISNUMBER($A599)),NA(),IF(OR($A599&lt;MIN(DKW_10Y!$A$2:$A$2918),$A599&gt;MAX(DKW_10Y!$A$2:$A$2918),Settings!$B$16&lt;MIN(DKW_10Y!$A$2:$A$2918)),NA(),(INDEX(DKW_10Y!$C$2:$C$2918,MATCH($A599,DKW_10Y!$A$2:$A$2918,1))-INDEX(DKW_10Y!$C$2:$C$2918,MATCH(Settings!$B$16,DKW_10Y!$A$2:$A$2918,1)))*100))</f>
        <v/>
      </c>
      <c r="Z599" s="19">
        <f>IF(NOT(ISNUMBER($A599)),NA(),IF(OR($A599&lt;MIN(DKW_10Y!$A$2:$A$2918),$A599&gt;MAX(DKW_10Y!$A$2:$A$2918),Settings!$B$16&lt;MIN(DKW_10Y!$A$2:$A$2918)),NA(),(INDEX(DKW_10Y!$D$2:$D$2918,MATCH($A599,DKW_10Y!$A$2:$A$2918,1))-INDEX(DKW_10Y!$D$2:$D$2918,MATCH(Settings!$B$16,DKW_10Y!$A$2:$A$2918,1)))*100))</f>
        <v/>
      </c>
      <c r="AA599" s="19">
        <f>IF(NOT(ISNUMBER($A599)),NA(),IF(OR($A599&lt;MIN(DKW_10Y!$A$2:$A$2918),$A599&gt;MAX(DKW_10Y!$A$2:$A$2918),Settings!$B$16&lt;MIN(DKW_10Y!$A$2:$A$2918)),NA(),(INDEX(DKW_10Y!$E$2:$E$2918,MATCH($A599,DKW_10Y!$A$2:$A$2918,1))-INDEX(DKW_10Y!$E$2:$E$2918,MATCH(Settings!$B$16,DKW_10Y!$A$2:$A$2918,1)))*100))</f>
        <v/>
      </c>
      <c r="AB599" s="19">
        <f>IF(NOT(ISNUMBER($A599)),NA(),IF(OR($A599&lt;MIN(DKW_10Y!$A$2:$A$2918),$A599&gt;MAX(DKW_10Y!$A$2:$A$2918),Settings!$B$16&lt;MIN(DKW_10Y!$A$2:$A$2918)),NA(),(INDEX(DKW_10Y!$H$2:$H$2918,MATCH($A599,DKW_10Y!$A$2:$A$2918,1))-INDEX(DKW_10Y!$H$2:$H$2918,MATCH(Settings!$B$16,DKW_10Y!$A$2:$A$2918,1)))*100))</f>
        <v/>
      </c>
      <c r="AC599" s="18">
        <f>IF(NOT(ISNUMBER($A599)),NA(),IFERROR(1*INDEX(BBG_Data!$N$2:$N$4000,MATCH($A599,BBG_Data!$M$2:$M$4000,0)),NA()))</f>
        <v/>
      </c>
      <c r="AD599" s="18">
        <f>IF(NOT(ISNUMBER($A599)),NA(),IFERROR(1*INDEX(BBG_Data!$P$2:$P$4000,MATCH($A599,BBG_Data!$O$2:$O$4000,0)),NA()))</f>
        <v/>
      </c>
      <c r="AE599" s="18">
        <f>IF(NOT(ISNUMBER($A599)),NA(),IFERROR(1*INDEX(BBG_Data!$R$2:$R$4000,MATCH($A599,BBG_Data!$Q$2:$Q$4000,0)),NA()))</f>
        <v/>
      </c>
      <c r="AF599" s="20">
        <f>IF(AND(ISNUMBER(B599),ISNUMBER(AC599)),(B599-AC599)*100,NA())</f>
        <v/>
      </c>
      <c r="AG599" s="20">
        <f>IF(AND(ISNUMBER(AE599),ISNUMBER(AD599)),(AE599-AD599)*100,NA())</f>
        <v/>
      </c>
      <c r="AH599" s="19">
        <f>IF(NOT(ISNUMBER($A599)),NA(),IFERROR(INDEX(BBG_Data!$T$2:$T$4000,MATCH($A599,BBG_Data!$S$2:$S$4000,0))*Settings!$B$25,NA()))</f>
        <v/>
      </c>
      <c r="AI599" s="19">
        <f>IF(NOT(ISNUMBER($A599)),NA(),IFERROR(INDEX(BBG_Data!$V$2:$V$4000,MATCH($A599,BBG_Data!$U$2:$U$4000,0))*Settings!$B$25,NA()))</f>
        <v/>
      </c>
      <c r="AJ599" s="19">
        <f>IF(NOT(ISNUMBER($A599)),NA(),IFERROR(1*INDEX(BBG_Data!$X$2:$X$4000,MATCH($A599,BBG_Data!$W$2:$W$4000,0)),NA()))</f>
        <v/>
      </c>
      <c r="AK599" s="19">
        <f>IF(NOT(ISNUMBER($A599)),NA(),IFERROR(1*INDEX(BBG_Data!$Z$2:$Z$4000,MATCH($A599,BBG_Data!$Y$2:$Y$4000,0)),NA()))</f>
        <v/>
      </c>
    </row>
    <row r="600">
      <c r="A600" s="17">
        <f>IF(ISNUMBER(BBG_Data!A600),BBG_Data!A600,"")</f>
        <v/>
      </c>
      <c r="B600" s="18">
        <f>IF(AND(ISNUMBER($A600),ISNUMBER(BBG_Data!B600)),BBG_Data!B600,NA())</f>
        <v/>
      </c>
      <c r="C600" s="18">
        <f>IF(NOT(ISNUMBER($A600)),NA(),IFERROR(1*INDEX(BBG_Data!$D$2:$D$4000,MATCH($A600,BBG_Data!$C$2:$C$4000,0)),NA()))</f>
        <v/>
      </c>
      <c r="D600" s="19">
        <f>IF(NOT(ISNUMBER($A600)),NA(),IFERROR(1*INDEX(BBG_Data!$F$2:$F$4000,MATCH($A600,BBG_Data!$E$2:$E$4000,0)),NA()))</f>
        <v/>
      </c>
      <c r="E600" s="19">
        <f>IF(NOT(ISNUMBER($A600)),NA(),IFERROR(1*INDEX(BBG_Data!$H$2:$H$4000,MATCH($A600,BBG_Data!$G$2:$G$4000,0)),NA()))</f>
        <v/>
      </c>
      <c r="F600" s="20">
        <f>IF(AND(ISNUMBER(B600),ISNUMBER(B599)),IF(B600=B599,"",(B600-B599)*100),"")</f>
        <v/>
      </c>
      <c r="G600" s="20">
        <f>IF(AND(ISNUMBER(C600),ISNUMBER(C599)),IF(C600=C599,"",(C600-C599)*100),"")</f>
        <v/>
      </c>
      <c r="H600" s="20">
        <f>IF(OR(NOT(ISNUMBER($A600)),ROW()-2&lt;Settings!$B$11),NA(),IF(COUNT(OFFSET(F600,1-Settings!$B$11,0,Settings!$B$11,1))&lt;ROUNDUP(Settings!$B$11*Settings!$B$26,0),NA(),STDEV(OFFSET(F600,1-Settings!$B$11,0,Settings!$B$11,1))*SQRT(Settings!$B$13)))</f>
        <v/>
      </c>
      <c r="I600" s="20">
        <f>IF(OR(NOT(ISNUMBER($A600)),ROW()-2&lt;Settings!$B$12),NA(),IF(COUNT(OFFSET(F600,1-Settings!$B$12,0,Settings!$B$12,1))&lt;ROUNDUP(Settings!$B$12*Settings!$B$26,0),NA(),STDEV(OFFSET(F600,1-Settings!$B$12,0,Settings!$B$12,1))*SQRT(Settings!$B$13)))</f>
        <v/>
      </c>
      <c r="J600" s="20">
        <f>IF(OR(NOT(ISNUMBER($A600)),ROW()-2&lt;Settings!$B$11),NA(),IF(COUNT(OFFSET(G600,1-Settings!$B$11,0,Settings!$B$11,1))&lt;ROUNDUP(Settings!$B$11*Settings!$B$26,0),NA(),STDEV(OFFSET(G600,1-Settings!$B$11,0,Settings!$B$11,1))*SQRT(Settings!$B$13)))</f>
        <v/>
      </c>
      <c r="K600" s="20">
        <f>IF(OR(NOT(ISNUMBER($A600)),ROW()-2&lt;Settings!$B$12),NA(),IF(COUNT(OFFSET(G600,1-Settings!$B$12,0,Settings!$B$12,1))&lt;ROUNDUP(Settings!$B$12*Settings!$B$26,0),NA(),STDEV(OFFSET(G600,1-Settings!$B$12,0,Settings!$B$12,1))*SQRT(Settings!$B$13)))</f>
        <v/>
      </c>
      <c r="L600" s="20">
        <f>IF(AND(ISNUMBER(D600),ISNUMBER(H600)),D600-H600,NA())</f>
        <v/>
      </c>
      <c r="M600" s="20">
        <f>IF(AND(ISNUMBER(E600),ISNUMBER(K600)),E600-K600,NA())</f>
        <v/>
      </c>
      <c r="N600" s="20">
        <f>IF(NOT(ISNUMBER($A600)),NA(),IF(COUNT(OFFSET(G600,1,0,Settings!$B$12,1))&lt;ROUNDUP(Settings!$B$12*Settings!$B$26,0),NA(),STDEV(OFFSET(G600,1,0,Settings!$B$12,1))*SQRT(Settings!$B$13)))</f>
        <v/>
      </c>
      <c r="O600" s="20">
        <f>IF(AND(ISNUMBER(E600),ISNUMBER(N600)),E600-N600,NA())</f>
        <v/>
      </c>
      <c r="P600" s="19">
        <f>IF(NOT(ISNUMBER($A600)),NA(),IF(OR($A600&lt;MIN(KW_TP!$A$2:$A$2501),$A600&gt;MAX(KW_TP!$A$2:$A$2501)),NA(),INDEX(KW_TP!$C$2:$C$2501,MATCH($A600,KW_TP!$A$2:$A$2501,1))))</f>
        <v/>
      </c>
      <c r="Q600" s="18">
        <f>IF(NOT(ISNUMBER($A600)),NA(),IFERROR(1*INDEX(BBG_Data!$J$2:$J$4000,MATCH($A600,BBG_Data!$I$2:$I$4000,0)),NA()))</f>
        <v/>
      </c>
      <c r="R600" s="18">
        <f>IF(NOT(ISNUMBER($A600)),NA(),IFERROR(1*INDEX(BBG_Data!$L$2:$L$4000,MATCH($A600,BBG_Data!$K$2:$K$4000,0)),NA()))</f>
        <v/>
      </c>
      <c r="S600" s="20">
        <f>IF(AND(ISNUMBER(B600),ISNUMBER(Q600),ISNUMBER(R600)),(B600-Q600-R600)*100,NA())</f>
        <v/>
      </c>
      <c r="T600" s="20">
        <f>IF(AND(ISNUMBER(B600),Settings!$B$17&gt;0),IF(ISNUMBER(INDEX($B:$B,Settings!$B$17)),(B600-INDEX($B:$B,Settings!$B$17))*100,NA()),NA())</f>
        <v/>
      </c>
      <c r="U600" s="20">
        <f>IF(AND(ISNUMBER(Q600),Settings!$B$17&gt;0),IF(ISNUMBER(INDEX($Q:$Q,Settings!$B$17)),(Q600-INDEX($Q:$Q,Settings!$B$17))*100,NA()),NA())</f>
        <v/>
      </c>
      <c r="V600" s="20">
        <f>IF(AND(ISNUMBER(R600),Settings!$B$17&gt;0),IF(ISNUMBER(INDEX($R:$R,Settings!$B$17)),(R600-INDEX($R:$R,Settings!$B$17))*100,NA()),NA())</f>
        <v/>
      </c>
      <c r="W600" s="20">
        <f>IF(AND(ISNUMBER(P600),Settings!$B$17&gt;0),IF(ISNUMBER(INDEX($P:$P,Settings!$B$17)),P600-INDEX($P:$P,Settings!$B$17),NA()),NA())</f>
        <v/>
      </c>
      <c r="X600" s="19">
        <f>IF(NOT(ISNUMBER($A600)),NA(),IF(OR($A600&lt;MIN(DKW_10Y!$A$2:$A$2918),$A600&gt;MAX(DKW_10Y!$A$2:$A$2918),Settings!$B$16&lt;MIN(DKW_10Y!$A$2:$A$2918)),NA(),(INDEX(DKW_10Y!$B$2:$B$2918,MATCH($A600,DKW_10Y!$A$2:$A$2918,1))-INDEX(DKW_10Y!$B$2:$B$2918,MATCH(Settings!$B$16,DKW_10Y!$A$2:$A$2918,1)))*100))</f>
        <v/>
      </c>
      <c r="Y600" s="19">
        <f>IF(NOT(ISNUMBER($A600)),NA(),IF(OR($A600&lt;MIN(DKW_10Y!$A$2:$A$2918),$A600&gt;MAX(DKW_10Y!$A$2:$A$2918),Settings!$B$16&lt;MIN(DKW_10Y!$A$2:$A$2918)),NA(),(INDEX(DKW_10Y!$C$2:$C$2918,MATCH($A600,DKW_10Y!$A$2:$A$2918,1))-INDEX(DKW_10Y!$C$2:$C$2918,MATCH(Settings!$B$16,DKW_10Y!$A$2:$A$2918,1)))*100))</f>
        <v/>
      </c>
      <c r="Z600" s="19">
        <f>IF(NOT(ISNUMBER($A600)),NA(),IF(OR($A600&lt;MIN(DKW_10Y!$A$2:$A$2918),$A600&gt;MAX(DKW_10Y!$A$2:$A$2918),Settings!$B$16&lt;MIN(DKW_10Y!$A$2:$A$2918)),NA(),(INDEX(DKW_10Y!$D$2:$D$2918,MATCH($A600,DKW_10Y!$A$2:$A$2918,1))-INDEX(DKW_10Y!$D$2:$D$2918,MATCH(Settings!$B$16,DKW_10Y!$A$2:$A$2918,1)))*100))</f>
        <v/>
      </c>
      <c r="AA600" s="19">
        <f>IF(NOT(ISNUMBER($A600)),NA(),IF(OR($A600&lt;MIN(DKW_10Y!$A$2:$A$2918),$A600&gt;MAX(DKW_10Y!$A$2:$A$2918),Settings!$B$16&lt;MIN(DKW_10Y!$A$2:$A$2918)),NA(),(INDEX(DKW_10Y!$E$2:$E$2918,MATCH($A600,DKW_10Y!$A$2:$A$2918,1))-INDEX(DKW_10Y!$E$2:$E$2918,MATCH(Settings!$B$16,DKW_10Y!$A$2:$A$2918,1)))*100))</f>
        <v/>
      </c>
      <c r="AB600" s="19">
        <f>IF(NOT(ISNUMBER($A600)),NA(),IF(OR($A600&lt;MIN(DKW_10Y!$A$2:$A$2918),$A600&gt;MAX(DKW_10Y!$A$2:$A$2918),Settings!$B$16&lt;MIN(DKW_10Y!$A$2:$A$2918)),NA(),(INDEX(DKW_10Y!$H$2:$H$2918,MATCH($A600,DKW_10Y!$A$2:$A$2918,1))-INDEX(DKW_10Y!$H$2:$H$2918,MATCH(Settings!$B$16,DKW_10Y!$A$2:$A$2918,1)))*100))</f>
        <v/>
      </c>
      <c r="AC600" s="18">
        <f>IF(NOT(ISNUMBER($A600)),NA(),IFERROR(1*INDEX(BBG_Data!$N$2:$N$4000,MATCH($A600,BBG_Data!$M$2:$M$4000,0)),NA()))</f>
        <v/>
      </c>
      <c r="AD600" s="18">
        <f>IF(NOT(ISNUMBER($A600)),NA(),IFERROR(1*INDEX(BBG_Data!$P$2:$P$4000,MATCH($A600,BBG_Data!$O$2:$O$4000,0)),NA()))</f>
        <v/>
      </c>
      <c r="AE600" s="18">
        <f>IF(NOT(ISNUMBER($A600)),NA(),IFERROR(1*INDEX(BBG_Data!$R$2:$R$4000,MATCH($A600,BBG_Data!$Q$2:$Q$4000,0)),NA()))</f>
        <v/>
      </c>
      <c r="AF600" s="20">
        <f>IF(AND(ISNUMBER(B600),ISNUMBER(AC600)),(B600-AC600)*100,NA())</f>
        <v/>
      </c>
      <c r="AG600" s="20">
        <f>IF(AND(ISNUMBER(AE600),ISNUMBER(AD600)),(AE600-AD600)*100,NA())</f>
        <v/>
      </c>
      <c r="AH600" s="19">
        <f>IF(NOT(ISNUMBER($A600)),NA(),IFERROR(INDEX(BBG_Data!$T$2:$T$4000,MATCH($A600,BBG_Data!$S$2:$S$4000,0))*Settings!$B$25,NA()))</f>
        <v/>
      </c>
      <c r="AI600" s="19">
        <f>IF(NOT(ISNUMBER($A600)),NA(),IFERROR(INDEX(BBG_Data!$V$2:$V$4000,MATCH($A600,BBG_Data!$U$2:$U$4000,0))*Settings!$B$25,NA()))</f>
        <v/>
      </c>
      <c r="AJ600" s="19">
        <f>IF(NOT(ISNUMBER($A600)),NA(),IFERROR(1*INDEX(BBG_Data!$X$2:$X$4000,MATCH($A600,BBG_Data!$W$2:$W$4000,0)),NA()))</f>
        <v/>
      </c>
      <c r="AK600" s="19">
        <f>IF(NOT(ISNUMBER($A600)),NA(),IFERROR(1*INDEX(BBG_Data!$Z$2:$Z$4000,MATCH($A600,BBG_Data!$Y$2:$Y$4000,0)),NA()))</f>
        <v/>
      </c>
    </row>
    <row r="601">
      <c r="A601" s="17">
        <f>IF(ISNUMBER(BBG_Data!A601),BBG_Data!A601,"")</f>
        <v/>
      </c>
      <c r="B601" s="18">
        <f>IF(AND(ISNUMBER($A601),ISNUMBER(BBG_Data!B601)),BBG_Data!B601,NA())</f>
        <v/>
      </c>
      <c r="C601" s="18">
        <f>IF(NOT(ISNUMBER($A601)),NA(),IFERROR(1*INDEX(BBG_Data!$D$2:$D$4000,MATCH($A601,BBG_Data!$C$2:$C$4000,0)),NA()))</f>
        <v/>
      </c>
      <c r="D601" s="19">
        <f>IF(NOT(ISNUMBER($A601)),NA(),IFERROR(1*INDEX(BBG_Data!$F$2:$F$4000,MATCH($A601,BBG_Data!$E$2:$E$4000,0)),NA()))</f>
        <v/>
      </c>
      <c r="E601" s="19">
        <f>IF(NOT(ISNUMBER($A601)),NA(),IFERROR(1*INDEX(BBG_Data!$H$2:$H$4000,MATCH($A601,BBG_Data!$G$2:$G$4000,0)),NA()))</f>
        <v/>
      </c>
      <c r="F601" s="20">
        <f>IF(AND(ISNUMBER(B601),ISNUMBER(B600)),IF(B601=B600,"",(B601-B600)*100),"")</f>
        <v/>
      </c>
      <c r="G601" s="20">
        <f>IF(AND(ISNUMBER(C601),ISNUMBER(C600)),IF(C601=C600,"",(C601-C600)*100),"")</f>
        <v/>
      </c>
      <c r="H601" s="20">
        <f>IF(OR(NOT(ISNUMBER($A601)),ROW()-2&lt;Settings!$B$11),NA(),IF(COUNT(OFFSET(F601,1-Settings!$B$11,0,Settings!$B$11,1))&lt;ROUNDUP(Settings!$B$11*Settings!$B$26,0),NA(),STDEV(OFFSET(F601,1-Settings!$B$11,0,Settings!$B$11,1))*SQRT(Settings!$B$13)))</f>
        <v/>
      </c>
      <c r="I601" s="20">
        <f>IF(OR(NOT(ISNUMBER($A601)),ROW()-2&lt;Settings!$B$12),NA(),IF(COUNT(OFFSET(F601,1-Settings!$B$12,0,Settings!$B$12,1))&lt;ROUNDUP(Settings!$B$12*Settings!$B$26,0),NA(),STDEV(OFFSET(F601,1-Settings!$B$12,0,Settings!$B$12,1))*SQRT(Settings!$B$13)))</f>
        <v/>
      </c>
      <c r="J601" s="20">
        <f>IF(OR(NOT(ISNUMBER($A601)),ROW()-2&lt;Settings!$B$11),NA(),IF(COUNT(OFFSET(G601,1-Settings!$B$11,0,Settings!$B$11,1))&lt;ROUNDUP(Settings!$B$11*Settings!$B$26,0),NA(),STDEV(OFFSET(G601,1-Settings!$B$11,0,Settings!$B$11,1))*SQRT(Settings!$B$13)))</f>
        <v/>
      </c>
      <c r="K601" s="20">
        <f>IF(OR(NOT(ISNUMBER($A601)),ROW()-2&lt;Settings!$B$12),NA(),IF(COUNT(OFFSET(G601,1-Settings!$B$12,0,Settings!$B$12,1))&lt;ROUNDUP(Settings!$B$12*Settings!$B$26,0),NA(),STDEV(OFFSET(G601,1-Settings!$B$12,0,Settings!$B$12,1))*SQRT(Settings!$B$13)))</f>
        <v/>
      </c>
      <c r="L601" s="20">
        <f>IF(AND(ISNUMBER(D601),ISNUMBER(H601)),D601-H601,NA())</f>
        <v/>
      </c>
      <c r="M601" s="20">
        <f>IF(AND(ISNUMBER(E601),ISNUMBER(K601)),E601-K601,NA())</f>
        <v/>
      </c>
      <c r="N601" s="20">
        <f>IF(NOT(ISNUMBER($A601)),NA(),IF(COUNT(OFFSET(G601,1,0,Settings!$B$12,1))&lt;ROUNDUP(Settings!$B$12*Settings!$B$26,0),NA(),STDEV(OFFSET(G601,1,0,Settings!$B$12,1))*SQRT(Settings!$B$13)))</f>
        <v/>
      </c>
      <c r="O601" s="20">
        <f>IF(AND(ISNUMBER(E601),ISNUMBER(N601)),E601-N601,NA())</f>
        <v/>
      </c>
      <c r="P601" s="19">
        <f>IF(NOT(ISNUMBER($A601)),NA(),IF(OR($A601&lt;MIN(KW_TP!$A$2:$A$2501),$A601&gt;MAX(KW_TP!$A$2:$A$2501)),NA(),INDEX(KW_TP!$C$2:$C$2501,MATCH($A601,KW_TP!$A$2:$A$2501,1))))</f>
        <v/>
      </c>
      <c r="Q601" s="18">
        <f>IF(NOT(ISNUMBER($A601)),NA(),IFERROR(1*INDEX(BBG_Data!$J$2:$J$4000,MATCH($A601,BBG_Data!$I$2:$I$4000,0)),NA()))</f>
        <v/>
      </c>
      <c r="R601" s="18">
        <f>IF(NOT(ISNUMBER($A601)),NA(),IFERROR(1*INDEX(BBG_Data!$L$2:$L$4000,MATCH($A601,BBG_Data!$K$2:$K$4000,0)),NA()))</f>
        <v/>
      </c>
      <c r="S601" s="20">
        <f>IF(AND(ISNUMBER(B601),ISNUMBER(Q601),ISNUMBER(R601)),(B601-Q601-R601)*100,NA())</f>
        <v/>
      </c>
      <c r="T601" s="20">
        <f>IF(AND(ISNUMBER(B601),Settings!$B$17&gt;0),IF(ISNUMBER(INDEX($B:$B,Settings!$B$17)),(B601-INDEX($B:$B,Settings!$B$17))*100,NA()),NA())</f>
        <v/>
      </c>
      <c r="U601" s="20">
        <f>IF(AND(ISNUMBER(Q601),Settings!$B$17&gt;0),IF(ISNUMBER(INDEX($Q:$Q,Settings!$B$17)),(Q601-INDEX($Q:$Q,Settings!$B$17))*100,NA()),NA())</f>
        <v/>
      </c>
      <c r="V601" s="20">
        <f>IF(AND(ISNUMBER(R601),Settings!$B$17&gt;0),IF(ISNUMBER(INDEX($R:$R,Settings!$B$17)),(R601-INDEX($R:$R,Settings!$B$17))*100,NA()),NA())</f>
        <v/>
      </c>
      <c r="W601" s="20">
        <f>IF(AND(ISNUMBER(P601),Settings!$B$17&gt;0),IF(ISNUMBER(INDEX($P:$P,Settings!$B$17)),P601-INDEX($P:$P,Settings!$B$17),NA()),NA())</f>
        <v/>
      </c>
      <c r="X601" s="19">
        <f>IF(NOT(ISNUMBER($A601)),NA(),IF(OR($A601&lt;MIN(DKW_10Y!$A$2:$A$2918),$A601&gt;MAX(DKW_10Y!$A$2:$A$2918),Settings!$B$16&lt;MIN(DKW_10Y!$A$2:$A$2918)),NA(),(INDEX(DKW_10Y!$B$2:$B$2918,MATCH($A601,DKW_10Y!$A$2:$A$2918,1))-INDEX(DKW_10Y!$B$2:$B$2918,MATCH(Settings!$B$16,DKW_10Y!$A$2:$A$2918,1)))*100))</f>
        <v/>
      </c>
      <c r="Y601" s="19">
        <f>IF(NOT(ISNUMBER($A601)),NA(),IF(OR($A601&lt;MIN(DKW_10Y!$A$2:$A$2918),$A601&gt;MAX(DKW_10Y!$A$2:$A$2918),Settings!$B$16&lt;MIN(DKW_10Y!$A$2:$A$2918)),NA(),(INDEX(DKW_10Y!$C$2:$C$2918,MATCH($A601,DKW_10Y!$A$2:$A$2918,1))-INDEX(DKW_10Y!$C$2:$C$2918,MATCH(Settings!$B$16,DKW_10Y!$A$2:$A$2918,1)))*100))</f>
        <v/>
      </c>
      <c r="Z601" s="19">
        <f>IF(NOT(ISNUMBER($A601)),NA(),IF(OR($A601&lt;MIN(DKW_10Y!$A$2:$A$2918),$A601&gt;MAX(DKW_10Y!$A$2:$A$2918),Settings!$B$16&lt;MIN(DKW_10Y!$A$2:$A$2918)),NA(),(INDEX(DKW_10Y!$D$2:$D$2918,MATCH($A601,DKW_10Y!$A$2:$A$2918,1))-INDEX(DKW_10Y!$D$2:$D$2918,MATCH(Settings!$B$16,DKW_10Y!$A$2:$A$2918,1)))*100))</f>
        <v/>
      </c>
      <c r="AA601" s="19">
        <f>IF(NOT(ISNUMBER($A601)),NA(),IF(OR($A601&lt;MIN(DKW_10Y!$A$2:$A$2918),$A601&gt;MAX(DKW_10Y!$A$2:$A$2918),Settings!$B$16&lt;MIN(DKW_10Y!$A$2:$A$2918)),NA(),(INDEX(DKW_10Y!$E$2:$E$2918,MATCH($A601,DKW_10Y!$A$2:$A$2918,1))-INDEX(DKW_10Y!$E$2:$E$2918,MATCH(Settings!$B$16,DKW_10Y!$A$2:$A$2918,1)))*100))</f>
        <v/>
      </c>
      <c r="AB601" s="19">
        <f>IF(NOT(ISNUMBER($A601)),NA(),IF(OR($A601&lt;MIN(DKW_10Y!$A$2:$A$2918),$A601&gt;MAX(DKW_10Y!$A$2:$A$2918),Settings!$B$16&lt;MIN(DKW_10Y!$A$2:$A$2918)),NA(),(INDEX(DKW_10Y!$H$2:$H$2918,MATCH($A601,DKW_10Y!$A$2:$A$2918,1))-INDEX(DKW_10Y!$H$2:$H$2918,MATCH(Settings!$B$16,DKW_10Y!$A$2:$A$2918,1)))*100))</f>
        <v/>
      </c>
      <c r="AC601" s="18">
        <f>IF(NOT(ISNUMBER($A601)),NA(),IFERROR(1*INDEX(BBG_Data!$N$2:$N$4000,MATCH($A601,BBG_Data!$M$2:$M$4000,0)),NA()))</f>
        <v/>
      </c>
      <c r="AD601" s="18">
        <f>IF(NOT(ISNUMBER($A601)),NA(),IFERROR(1*INDEX(BBG_Data!$P$2:$P$4000,MATCH($A601,BBG_Data!$O$2:$O$4000,0)),NA()))</f>
        <v/>
      </c>
      <c r="AE601" s="18">
        <f>IF(NOT(ISNUMBER($A601)),NA(),IFERROR(1*INDEX(BBG_Data!$R$2:$R$4000,MATCH($A601,BBG_Data!$Q$2:$Q$4000,0)),NA()))</f>
        <v/>
      </c>
      <c r="AF601" s="20">
        <f>IF(AND(ISNUMBER(B601),ISNUMBER(AC601)),(B601-AC601)*100,NA())</f>
        <v/>
      </c>
      <c r="AG601" s="20">
        <f>IF(AND(ISNUMBER(AE601),ISNUMBER(AD601)),(AE601-AD601)*100,NA())</f>
        <v/>
      </c>
      <c r="AH601" s="19">
        <f>IF(NOT(ISNUMBER($A601)),NA(),IFERROR(INDEX(BBG_Data!$T$2:$T$4000,MATCH($A601,BBG_Data!$S$2:$S$4000,0))*Settings!$B$25,NA()))</f>
        <v/>
      </c>
      <c r="AI601" s="19">
        <f>IF(NOT(ISNUMBER($A601)),NA(),IFERROR(INDEX(BBG_Data!$V$2:$V$4000,MATCH($A601,BBG_Data!$U$2:$U$4000,0))*Settings!$B$25,NA()))</f>
        <v/>
      </c>
      <c r="AJ601" s="19">
        <f>IF(NOT(ISNUMBER($A601)),NA(),IFERROR(1*INDEX(BBG_Data!$X$2:$X$4000,MATCH($A601,BBG_Data!$W$2:$W$4000,0)),NA()))</f>
        <v/>
      </c>
      <c r="AK601" s="19">
        <f>IF(NOT(ISNUMBER($A601)),NA(),IFERROR(1*INDEX(BBG_Data!$Z$2:$Z$4000,MATCH($A601,BBG_Data!$Y$2:$Y$4000,0)),NA()))</f>
        <v/>
      </c>
    </row>
    <row r="602">
      <c r="A602" s="17">
        <f>IF(ISNUMBER(BBG_Data!A602),BBG_Data!A602,"")</f>
        <v/>
      </c>
      <c r="B602" s="18">
        <f>IF(AND(ISNUMBER($A602),ISNUMBER(BBG_Data!B602)),BBG_Data!B602,NA())</f>
        <v/>
      </c>
      <c r="C602" s="18">
        <f>IF(NOT(ISNUMBER($A602)),NA(),IFERROR(1*INDEX(BBG_Data!$D$2:$D$4000,MATCH($A602,BBG_Data!$C$2:$C$4000,0)),NA()))</f>
        <v/>
      </c>
      <c r="D602" s="19">
        <f>IF(NOT(ISNUMBER($A602)),NA(),IFERROR(1*INDEX(BBG_Data!$F$2:$F$4000,MATCH($A602,BBG_Data!$E$2:$E$4000,0)),NA()))</f>
        <v/>
      </c>
      <c r="E602" s="19">
        <f>IF(NOT(ISNUMBER($A602)),NA(),IFERROR(1*INDEX(BBG_Data!$H$2:$H$4000,MATCH($A602,BBG_Data!$G$2:$G$4000,0)),NA()))</f>
        <v/>
      </c>
      <c r="F602" s="20">
        <f>IF(AND(ISNUMBER(B602),ISNUMBER(B601)),IF(B602=B601,"",(B602-B601)*100),"")</f>
        <v/>
      </c>
      <c r="G602" s="20">
        <f>IF(AND(ISNUMBER(C602),ISNUMBER(C601)),IF(C602=C601,"",(C602-C601)*100),"")</f>
        <v/>
      </c>
      <c r="H602" s="20">
        <f>IF(OR(NOT(ISNUMBER($A602)),ROW()-2&lt;Settings!$B$11),NA(),IF(COUNT(OFFSET(F602,1-Settings!$B$11,0,Settings!$B$11,1))&lt;ROUNDUP(Settings!$B$11*Settings!$B$26,0),NA(),STDEV(OFFSET(F602,1-Settings!$B$11,0,Settings!$B$11,1))*SQRT(Settings!$B$13)))</f>
        <v/>
      </c>
      <c r="I602" s="20">
        <f>IF(OR(NOT(ISNUMBER($A602)),ROW()-2&lt;Settings!$B$12),NA(),IF(COUNT(OFFSET(F602,1-Settings!$B$12,0,Settings!$B$12,1))&lt;ROUNDUP(Settings!$B$12*Settings!$B$26,0),NA(),STDEV(OFFSET(F602,1-Settings!$B$12,0,Settings!$B$12,1))*SQRT(Settings!$B$13)))</f>
        <v/>
      </c>
      <c r="J602" s="20">
        <f>IF(OR(NOT(ISNUMBER($A602)),ROW()-2&lt;Settings!$B$11),NA(),IF(COUNT(OFFSET(G602,1-Settings!$B$11,0,Settings!$B$11,1))&lt;ROUNDUP(Settings!$B$11*Settings!$B$26,0),NA(),STDEV(OFFSET(G602,1-Settings!$B$11,0,Settings!$B$11,1))*SQRT(Settings!$B$13)))</f>
        <v/>
      </c>
      <c r="K602" s="20">
        <f>IF(OR(NOT(ISNUMBER($A602)),ROW()-2&lt;Settings!$B$12),NA(),IF(COUNT(OFFSET(G602,1-Settings!$B$12,0,Settings!$B$12,1))&lt;ROUNDUP(Settings!$B$12*Settings!$B$26,0),NA(),STDEV(OFFSET(G602,1-Settings!$B$12,0,Settings!$B$12,1))*SQRT(Settings!$B$13)))</f>
        <v/>
      </c>
      <c r="L602" s="20">
        <f>IF(AND(ISNUMBER(D602),ISNUMBER(H602)),D602-H602,NA())</f>
        <v/>
      </c>
      <c r="M602" s="20">
        <f>IF(AND(ISNUMBER(E602),ISNUMBER(K602)),E602-K602,NA())</f>
        <v/>
      </c>
      <c r="N602" s="20">
        <f>IF(NOT(ISNUMBER($A602)),NA(),IF(COUNT(OFFSET(G602,1,0,Settings!$B$12,1))&lt;ROUNDUP(Settings!$B$12*Settings!$B$26,0),NA(),STDEV(OFFSET(G602,1,0,Settings!$B$12,1))*SQRT(Settings!$B$13)))</f>
        <v/>
      </c>
      <c r="O602" s="20">
        <f>IF(AND(ISNUMBER(E602),ISNUMBER(N602)),E602-N602,NA())</f>
        <v/>
      </c>
      <c r="P602" s="19">
        <f>IF(NOT(ISNUMBER($A602)),NA(),IF(OR($A602&lt;MIN(KW_TP!$A$2:$A$2501),$A602&gt;MAX(KW_TP!$A$2:$A$2501)),NA(),INDEX(KW_TP!$C$2:$C$2501,MATCH($A602,KW_TP!$A$2:$A$2501,1))))</f>
        <v/>
      </c>
      <c r="Q602" s="18">
        <f>IF(NOT(ISNUMBER($A602)),NA(),IFERROR(1*INDEX(BBG_Data!$J$2:$J$4000,MATCH($A602,BBG_Data!$I$2:$I$4000,0)),NA()))</f>
        <v/>
      </c>
      <c r="R602" s="18">
        <f>IF(NOT(ISNUMBER($A602)),NA(),IFERROR(1*INDEX(BBG_Data!$L$2:$L$4000,MATCH($A602,BBG_Data!$K$2:$K$4000,0)),NA()))</f>
        <v/>
      </c>
      <c r="S602" s="20">
        <f>IF(AND(ISNUMBER(B602),ISNUMBER(Q602),ISNUMBER(R602)),(B602-Q602-R602)*100,NA())</f>
        <v/>
      </c>
      <c r="T602" s="20">
        <f>IF(AND(ISNUMBER(B602),Settings!$B$17&gt;0),IF(ISNUMBER(INDEX($B:$B,Settings!$B$17)),(B602-INDEX($B:$B,Settings!$B$17))*100,NA()),NA())</f>
        <v/>
      </c>
      <c r="U602" s="20">
        <f>IF(AND(ISNUMBER(Q602),Settings!$B$17&gt;0),IF(ISNUMBER(INDEX($Q:$Q,Settings!$B$17)),(Q602-INDEX($Q:$Q,Settings!$B$17))*100,NA()),NA())</f>
        <v/>
      </c>
      <c r="V602" s="20">
        <f>IF(AND(ISNUMBER(R602),Settings!$B$17&gt;0),IF(ISNUMBER(INDEX($R:$R,Settings!$B$17)),(R602-INDEX($R:$R,Settings!$B$17))*100,NA()),NA())</f>
        <v/>
      </c>
      <c r="W602" s="20">
        <f>IF(AND(ISNUMBER(P602),Settings!$B$17&gt;0),IF(ISNUMBER(INDEX($P:$P,Settings!$B$17)),P602-INDEX($P:$P,Settings!$B$17),NA()),NA())</f>
        <v/>
      </c>
      <c r="X602" s="19">
        <f>IF(NOT(ISNUMBER($A602)),NA(),IF(OR($A602&lt;MIN(DKW_10Y!$A$2:$A$2918),$A602&gt;MAX(DKW_10Y!$A$2:$A$2918),Settings!$B$16&lt;MIN(DKW_10Y!$A$2:$A$2918)),NA(),(INDEX(DKW_10Y!$B$2:$B$2918,MATCH($A602,DKW_10Y!$A$2:$A$2918,1))-INDEX(DKW_10Y!$B$2:$B$2918,MATCH(Settings!$B$16,DKW_10Y!$A$2:$A$2918,1)))*100))</f>
        <v/>
      </c>
      <c r="Y602" s="19">
        <f>IF(NOT(ISNUMBER($A602)),NA(),IF(OR($A602&lt;MIN(DKW_10Y!$A$2:$A$2918),$A602&gt;MAX(DKW_10Y!$A$2:$A$2918),Settings!$B$16&lt;MIN(DKW_10Y!$A$2:$A$2918)),NA(),(INDEX(DKW_10Y!$C$2:$C$2918,MATCH($A602,DKW_10Y!$A$2:$A$2918,1))-INDEX(DKW_10Y!$C$2:$C$2918,MATCH(Settings!$B$16,DKW_10Y!$A$2:$A$2918,1)))*100))</f>
        <v/>
      </c>
      <c r="Z602" s="19">
        <f>IF(NOT(ISNUMBER($A602)),NA(),IF(OR($A602&lt;MIN(DKW_10Y!$A$2:$A$2918),$A602&gt;MAX(DKW_10Y!$A$2:$A$2918),Settings!$B$16&lt;MIN(DKW_10Y!$A$2:$A$2918)),NA(),(INDEX(DKW_10Y!$D$2:$D$2918,MATCH($A602,DKW_10Y!$A$2:$A$2918,1))-INDEX(DKW_10Y!$D$2:$D$2918,MATCH(Settings!$B$16,DKW_10Y!$A$2:$A$2918,1)))*100))</f>
        <v/>
      </c>
      <c r="AA602" s="19">
        <f>IF(NOT(ISNUMBER($A602)),NA(),IF(OR($A602&lt;MIN(DKW_10Y!$A$2:$A$2918),$A602&gt;MAX(DKW_10Y!$A$2:$A$2918),Settings!$B$16&lt;MIN(DKW_10Y!$A$2:$A$2918)),NA(),(INDEX(DKW_10Y!$E$2:$E$2918,MATCH($A602,DKW_10Y!$A$2:$A$2918,1))-INDEX(DKW_10Y!$E$2:$E$2918,MATCH(Settings!$B$16,DKW_10Y!$A$2:$A$2918,1)))*100))</f>
        <v/>
      </c>
      <c r="AB602" s="19">
        <f>IF(NOT(ISNUMBER($A602)),NA(),IF(OR($A602&lt;MIN(DKW_10Y!$A$2:$A$2918),$A602&gt;MAX(DKW_10Y!$A$2:$A$2918),Settings!$B$16&lt;MIN(DKW_10Y!$A$2:$A$2918)),NA(),(INDEX(DKW_10Y!$H$2:$H$2918,MATCH($A602,DKW_10Y!$A$2:$A$2918,1))-INDEX(DKW_10Y!$H$2:$H$2918,MATCH(Settings!$B$16,DKW_10Y!$A$2:$A$2918,1)))*100))</f>
        <v/>
      </c>
      <c r="AC602" s="18">
        <f>IF(NOT(ISNUMBER($A602)),NA(),IFERROR(1*INDEX(BBG_Data!$N$2:$N$4000,MATCH($A602,BBG_Data!$M$2:$M$4000,0)),NA()))</f>
        <v/>
      </c>
      <c r="AD602" s="18">
        <f>IF(NOT(ISNUMBER($A602)),NA(),IFERROR(1*INDEX(BBG_Data!$P$2:$P$4000,MATCH($A602,BBG_Data!$O$2:$O$4000,0)),NA()))</f>
        <v/>
      </c>
      <c r="AE602" s="18">
        <f>IF(NOT(ISNUMBER($A602)),NA(),IFERROR(1*INDEX(BBG_Data!$R$2:$R$4000,MATCH($A602,BBG_Data!$Q$2:$Q$4000,0)),NA()))</f>
        <v/>
      </c>
      <c r="AF602" s="20">
        <f>IF(AND(ISNUMBER(B602),ISNUMBER(AC602)),(B602-AC602)*100,NA())</f>
        <v/>
      </c>
      <c r="AG602" s="20">
        <f>IF(AND(ISNUMBER(AE602),ISNUMBER(AD602)),(AE602-AD602)*100,NA())</f>
        <v/>
      </c>
      <c r="AH602" s="19">
        <f>IF(NOT(ISNUMBER($A602)),NA(),IFERROR(INDEX(BBG_Data!$T$2:$T$4000,MATCH($A602,BBG_Data!$S$2:$S$4000,0))*Settings!$B$25,NA()))</f>
        <v/>
      </c>
      <c r="AI602" s="19">
        <f>IF(NOT(ISNUMBER($A602)),NA(),IFERROR(INDEX(BBG_Data!$V$2:$V$4000,MATCH($A602,BBG_Data!$U$2:$U$4000,0))*Settings!$B$25,NA()))</f>
        <v/>
      </c>
      <c r="AJ602" s="19">
        <f>IF(NOT(ISNUMBER($A602)),NA(),IFERROR(1*INDEX(BBG_Data!$X$2:$X$4000,MATCH($A602,BBG_Data!$W$2:$W$4000,0)),NA()))</f>
        <v/>
      </c>
      <c r="AK602" s="19">
        <f>IF(NOT(ISNUMBER($A602)),NA(),IFERROR(1*INDEX(BBG_Data!$Z$2:$Z$4000,MATCH($A602,BBG_Data!$Y$2:$Y$4000,0)),NA()))</f>
        <v/>
      </c>
    </row>
    <row r="603">
      <c r="A603" s="17">
        <f>IF(ISNUMBER(BBG_Data!A603),BBG_Data!A603,"")</f>
        <v/>
      </c>
      <c r="B603" s="18">
        <f>IF(AND(ISNUMBER($A603),ISNUMBER(BBG_Data!B603)),BBG_Data!B603,NA())</f>
        <v/>
      </c>
      <c r="C603" s="18">
        <f>IF(NOT(ISNUMBER($A603)),NA(),IFERROR(1*INDEX(BBG_Data!$D$2:$D$4000,MATCH($A603,BBG_Data!$C$2:$C$4000,0)),NA()))</f>
        <v/>
      </c>
      <c r="D603" s="19">
        <f>IF(NOT(ISNUMBER($A603)),NA(),IFERROR(1*INDEX(BBG_Data!$F$2:$F$4000,MATCH($A603,BBG_Data!$E$2:$E$4000,0)),NA()))</f>
        <v/>
      </c>
      <c r="E603" s="19">
        <f>IF(NOT(ISNUMBER($A603)),NA(),IFERROR(1*INDEX(BBG_Data!$H$2:$H$4000,MATCH($A603,BBG_Data!$G$2:$G$4000,0)),NA()))</f>
        <v/>
      </c>
      <c r="F603" s="20">
        <f>IF(AND(ISNUMBER(B603),ISNUMBER(B602)),IF(B603=B602,"",(B603-B602)*100),"")</f>
        <v/>
      </c>
      <c r="G603" s="20">
        <f>IF(AND(ISNUMBER(C603),ISNUMBER(C602)),IF(C603=C602,"",(C603-C602)*100),"")</f>
        <v/>
      </c>
      <c r="H603" s="20">
        <f>IF(OR(NOT(ISNUMBER($A603)),ROW()-2&lt;Settings!$B$11),NA(),IF(COUNT(OFFSET(F603,1-Settings!$B$11,0,Settings!$B$11,1))&lt;ROUNDUP(Settings!$B$11*Settings!$B$26,0),NA(),STDEV(OFFSET(F603,1-Settings!$B$11,0,Settings!$B$11,1))*SQRT(Settings!$B$13)))</f>
        <v/>
      </c>
      <c r="I603" s="20">
        <f>IF(OR(NOT(ISNUMBER($A603)),ROW()-2&lt;Settings!$B$12),NA(),IF(COUNT(OFFSET(F603,1-Settings!$B$12,0,Settings!$B$12,1))&lt;ROUNDUP(Settings!$B$12*Settings!$B$26,0),NA(),STDEV(OFFSET(F603,1-Settings!$B$12,0,Settings!$B$12,1))*SQRT(Settings!$B$13)))</f>
        <v/>
      </c>
      <c r="J603" s="20">
        <f>IF(OR(NOT(ISNUMBER($A603)),ROW()-2&lt;Settings!$B$11),NA(),IF(COUNT(OFFSET(G603,1-Settings!$B$11,0,Settings!$B$11,1))&lt;ROUNDUP(Settings!$B$11*Settings!$B$26,0),NA(),STDEV(OFFSET(G603,1-Settings!$B$11,0,Settings!$B$11,1))*SQRT(Settings!$B$13)))</f>
        <v/>
      </c>
      <c r="K603" s="20">
        <f>IF(OR(NOT(ISNUMBER($A603)),ROW()-2&lt;Settings!$B$12),NA(),IF(COUNT(OFFSET(G603,1-Settings!$B$12,0,Settings!$B$12,1))&lt;ROUNDUP(Settings!$B$12*Settings!$B$26,0),NA(),STDEV(OFFSET(G603,1-Settings!$B$12,0,Settings!$B$12,1))*SQRT(Settings!$B$13)))</f>
        <v/>
      </c>
      <c r="L603" s="20">
        <f>IF(AND(ISNUMBER(D603),ISNUMBER(H603)),D603-H603,NA())</f>
        <v/>
      </c>
      <c r="M603" s="20">
        <f>IF(AND(ISNUMBER(E603),ISNUMBER(K603)),E603-K603,NA())</f>
        <v/>
      </c>
      <c r="N603" s="20">
        <f>IF(NOT(ISNUMBER($A603)),NA(),IF(COUNT(OFFSET(G603,1,0,Settings!$B$12,1))&lt;ROUNDUP(Settings!$B$12*Settings!$B$26,0),NA(),STDEV(OFFSET(G603,1,0,Settings!$B$12,1))*SQRT(Settings!$B$13)))</f>
        <v/>
      </c>
      <c r="O603" s="20">
        <f>IF(AND(ISNUMBER(E603),ISNUMBER(N603)),E603-N603,NA())</f>
        <v/>
      </c>
      <c r="P603" s="19">
        <f>IF(NOT(ISNUMBER($A603)),NA(),IF(OR($A603&lt;MIN(KW_TP!$A$2:$A$2501),$A603&gt;MAX(KW_TP!$A$2:$A$2501)),NA(),INDEX(KW_TP!$C$2:$C$2501,MATCH($A603,KW_TP!$A$2:$A$2501,1))))</f>
        <v/>
      </c>
      <c r="Q603" s="18">
        <f>IF(NOT(ISNUMBER($A603)),NA(),IFERROR(1*INDEX(BBG_Data!$J$2:$J$4000,MATCH($A603,BBG_Data!$I$2:$I$4000,0)),NA()))</f>
        <v/>
      </c>
      <c r="R603" s="18">
        <f>IF(NOT(ISNUMBER($A603)),NA(),IFERROR(1*INDEX(BBG_Data!$L$2:$L$4000,MATCH($A603,BBG_Data!$K$2:$K$4000,0)),NA()))</f>
        <v/>
      </c>
      <c r="S603" s="20">
        <f>IF(AND(ISNUMBER(B603),ISNUMBER(Q603),ISNUMBER(R603)),(B603-Q603-R603)*100,NA())</f>
        <v/>
      </c>
      <c r="T603" s="20">
        <f>IF(AND(ISNUMBER(B603),Settings!$B$17&gt;0),IF(ISNUMBER(INDEX($B:$B,Settings!$B$17)),(B603-INDEX($B:$B,Settings!$B$17))*100,NA()),NA())</f>
        <v/>
      </c>
      <c r="U603" s="20">
        <f>IF(AND(ISNUMBER(Q603),Settings!$B$17&gt;0),IF(ISNUMBER(INDEX($Q:$Q,Settings!$B$17)),(Q603-INDEX($Q:$Q,Settings!$B$17))*100,NA()),NA())</f>
        <v/>
      </c>
      <c r="V603" s="20">
        <f>IF(AND(ISNUMBER(R603),Settings!$B$17&gt;0),IF(ISNUMBER(INDEX($R:$R,Settings!$B$17)),(R603-INDEX($R:$R,Settings!$B$17))*100,NA()),NA())</f>
        <v/>
      </c>
      <c r="W603" s="20">
        <f>IF(AND(ISNUMBER(P603),Settings!$B$17&gt;0),IF(ISNUMBER(INDEX($P:$P,Settings!$B$17)),P603-INDEX($P:$P,Settings!$B$17),NA()),NA())</f>
        <v/>
      </c>
      <c r="X603" s="19">
        <f>IF(NOT(ISNUMBER($A603)),NA(),IF(OR($A603&lt;MIN(DKW_10Y!$A$2:$A$2918),$A603&gt;MAX(DKW_10Y!$A$2:$A$2918),Settings!$B$16&lt;MIN(DKW_10Y!$A$2:$A$2918)),NA(),(INDEX(DKW_10Y!$B$2:$B$2918,MATCH($A603,DKW_10Y!$A$2:$A$2918,1))-INDEX(DKW_10Y!$B$2:$B$2918,MATCH(Settings!$B$16,DKW_10Y!$A$2:$A$2918,1)))*100))</f>
        <v/>
      </c>
      <c r="Y603" s="19">
        <f>IF(NOT(ISNUMBER($A603)),NA(),IF(OR($A603&lt;MIN(DKW_10Y!$A$2:$A$2918),$A603&gt;MAX(DKW_10Y!$A$2:$A$2918),Settings!$B$16&lt;MIN(DKW_10Y!$A$2:$A$2918)),NA(),(INDEX(DKW_10Y!$C$2:$C$2918,MATCH($A603,DKW_10Y!$A$2:$A$2918,1))-INDEX(DKW_10Y!$C$2:$C$2918,MATCH(Settings!$B$16,DKW_10Y!$A$2:$A$2918,1)))*100))</f>
        <v/>
      </c>
      <c r="Z603" s="19">
        <f>IF(NOT(ISNUMBER($A603)),NA(),IF(OR($A603&lt;MIN(DKW_10Y!$A$2:$A$2918),$A603&gt;MAX(DKW_10Y!$A$2:$A$2918),Settings!$B$16&lt;MIN(DKW_10Y!$A$2:$A$2918)),NA(),(INDEX(DKW_10Y!$D$2:$D$2918,MATCH($A603,DKW_10Y!$A$2:$A$2918,1))-INDEX(DKW_10Y!$D$2:$D$2918,MATCH(Settings!$B$16,DKW_10Y!$A$2:$A$2918,1)))*100))</f>
        <v/>
      </c>
      <c r="AA603" s="19">
        <f>IF(NOT(ISNUMBER($A603)),NA(),IF(OR($A603&lt;MIN(DKW_10Y!$A$2:$A$2918),$A603&gt;MAX(DKW_10Y!$A$2:$A$2918),Settings!$B$16&lt;MIN(DKW_10Y!$A$2:$A$2918)),NA(),(INDEX(DKW_10Y!$E$2:$E$2918,MATCH($A603,DKW_10Y!$A$2:$A$2918,1))-INDEX(DKW_10Y!$E$2:$E$2918,MATCH(Settings!$B$16,DKW_10Y!$A$2:$A$2918,1)))*100))</f>
        <v/>
      </c>
      <c r="AB603" s="19">
        <f>IF(NOT(ISNUMBER($A603)),NA(),IF(OR($A603&lt;MIN(DKW_10Y!$A$2:$A$2918),$A603&gt;MAX(DKW_10Y!$A$2:$A$2918),Settings!$B$16&lt;MIN(DKW_10Y!$A$2:$A$2918)),NA(),(INDEX(DKW_10Y!$H$2:$H$2918,MATCH($A603,DKW_10Y!$A$2:$A$2918,1))-INDEX(DKW_10Y!$H$2:$H$2918,MATCH(Settings!$B$16,DKW_10Y!$A$2:$A$2918,1)))*100))</f>
        <v/>
      </c>
      <c r="AC603" s="18">
        <f>IF(NOT(ISNUMBER($A603)),NA(),IFERROR(1*INDEX(BBG_Data!$N$2:$N$4000,MATCH($A603,BBG_Data!$M$2:$M$4000,0)),NA()))</f>
        <v/>
      </c>
      <c r="AD603" s="18">
        <f>IF(NOT(ISNUMBER($A603)),NA(),IFERROR(1*INDEX(BBG_Data!$P$2:$P$4000,MATCH($A603,BBG_Data!$O$2:$O$4000,0)),NA()))</f>
        <v/>
      </c>
      <c r="AE603" s="18">
        <f>IF(NOT(ISNUMBER($A603)),NA(),IFERROR(1*INDEX(BBG_Data!$R$2:$R$4000,MATCH($A603,BBG_Data!$Q$2:$Q$4000,0)),NA()))</f>
        <v/>
      </c>
      <c r="AF603" s="20">
        <f>IF(AND(ISNUMBER(B603),ISNUMBER(AC603)),(B603-AC603)*100,NA())</f>
        <v/>
      </c>
      <c r="AG603" s="20">
        <f>IF(AND(ISNUMBER(AE603),ISNUMBER(AD603)),(AE603-AD603)*100,NA())</f>
        <v/>
      </c>
      <c r="AH603" s="19">
        <f>IF(NOT(ISNUMBER($A603)),NA(),IFERROR(INDEX(BBG_Data!$T$2:$T$4000,MATCH($A603,BBG_Data!$S$2:$S$4000,0))*Settings!$B$25,NA()))</f>
        <v/>
      </c>
      <c r="AI603" s="19">
        <f>IF(NOT(ISNUMBER($A603)),NA(),IFERROR(INDEX(BBG_Data!$V$2:$V$4000,MATCH($A603,BBG_Data!$U$2:$U$4000,0))*Settings!$B$25,NA()))</f>
        <v/>
      </c>
      <c r="AJ603" s="19">
        <f>IF(NOT(ISNUMBER($A603)),NA(),IFERROR(1*INDEX(BBG_Data!$X$2:$X$4000,MATCH($A603,BBG_Data!$W$2:$W$4000,0)),NA()))</f>
        <v/>
      </c>
      <c r="AK603" s="19">
        <f>IF(NOT(ISNUMBER($A603)),NA(),IFERROR(1*INDEX(BBG_Data!$Z$2:$Z$4000,MATCH($A603,BBG_Data!$Y$2:$Y$4000,0)),NA()))</f>
        <v/>
      </c>
    </row>
    <row r="604">
      <c r="A604" s="17">
        <f>IF(ISNUMBER(BBG_Data!A604),BBG_Data!A604,"")</f>
        <v/>
      </c>
      <c r="B604" s="18">
        <f>IF(AND(ISNUMBER($A604),ISNUMBER(BBG_Data!B604)),BBG_Data!B604,NA())</f>
        <v/>
      </c>
      <c r="C604" s="18">
        <f>IF(NOT(ISNUMBER($A604)),NA(),IFERROR(1*INDEX(BBG_Data!$D$2:$D$4000,MATCH($A604,BBG_Data!$C$2:$C$4000,0)),NA()))</f>
        <v/>
      </c>
      <c r="D604" s="19">
        <f>IF(NOT(ISNUMBER($A604)),NA(),IFERROR(1*INDEX(BBG_Data!$F$2:$F$4000,MATCH($A604,BBG_Data!$E$2:$E$4000,0)),NA()))</f>
        <v/>
      </c>
      <c r="E604" s="19">
        <f>IF(NOT(ISNUMBER($A604)),NA(),IFERROR(1*INDEX(BBG_Data!$H$2:$H$4000,MATCH($A604,BBG_Data!$G$2:$G$4000,0)),NA()))</f>
        <v/>
      </c>
      <c r="F604" s="20">
        <f>IF(AND(ISNUMBER(B604),ISNUMBER(B603)),IF(B604=B603,"",(B604-B603)*100),"")</f>
        <v/>
      </c>
      <c r="G604" s="20">
        <f>IF(AND(ISNUMBER(C604),ISNUMBER(C603)),IF(C604=C603,"",(C604-C603)*100),"")</f>
        <v/>
      </c>
      <c r="H604" s="20">
        <f>IF(OR(NOT(ISNUMBER($A604)),ROW()-2&lt;Settings!$B$11),NA(),IF(COUNT(OFFSET(F604,1-Settings!$B$11,0,Settings!$B$11,1))&lt;ROUNDUP(Settings!$B$11*Settings!$B$26,0),NA(),STDEV(OFFSET(F604,1-Settings!$B$11,0,Settings!$B$11,1))*SQRT(Settings!$B$13)))</f>
        <v/>
      </c>
      <c r="I604" s="20">
        <f>IF(OR(NOT(ISNUMBER($A604)),ROW()-2&lt;Settings!$B$12),NA(),IF(COUNT(OFFSET(F604,1-Settings!$B$12,0,Settings!$B$12,1))&lt;ROUNDUP(Settings!$B$12*Settings!$B$26,0),NA(),STDEV(OFFSET(F604,1-Settings!$B$12,0,Settings!$B$12,1))*SQRT(Settings!$B$13)))</f>
        <v/>
      </c>
      <c r="J604" s="20">
        <f>IF(OR(NOT(ISNUMBER($A604)),ROW()-2&lt;Settings!$B$11),NA(),IF(COUNT(OFFSET(G604,1-Settings!$B$11,0,Settings!$B$11,1))&lt;ROUNDUP(Settings!$B$11*Settings!$B$26,0),NA(),STDEV(OFFSET(G604,1-Settings!$B$11,0,Settings!$B$11,1))*SQRT(Settings!$B$13)))</f>
        <v/>
      </c>
      <c r="K604" s="20">
        <f>IF(OR(NOT(ISNUMBER($A604)),ROW()-2&lt;Settings!$B$12),NA(),IF(COUNT(OFFSET(G604,1-Settings!$B$12,0,Settings!$B$12,1))&lt;ROUNDUP(Settings!$B$12*Settings!$B$26,0),NA(),STDEV(OFFSET(G604,1-Settings!$B$12,0,Settings!$B$12,1))*SQRT(Settings!$B$13)))</f>
        <v/>
      </c>
      <c r="L604" s="20">
        <f>IF(AND(ISNUMBER(D604),ISNUMBER(H604)),D604-H604,NA())</f>
        <v/>
      </c>
      <c r="M604" s="20">
        <f>IF(AND(ISNUMBER(E604),ISNUMBER(K604)),E604-K604,NA())</f>
        <v/>
      </c>
      <c r="N604" s="20">
        <f>IF(NOT(ISNUMBER($A604)),NA(),IF(COUNT(OFFSET(G604,1,0,Settings!$B$12,1))&lt;ROUNDUP(Settings!$B$12*Settings!$B$26,0),NA(),STDEV(OFFSET(G604,1,0,Settings!$B$12,1))*SQRT(Settings!$B$13)))</f>
        <v/>
      </c>
      <c r="O604" s="20">
        <f>IF(AND(ISNUMBER(E604),ISNUMBER(N604)),E604-N604,NA())</f>
        <v/>
      </c>
      <c r="P604" s="19">
        <f>IF(NOT(ISNUMBER($A604)),NA(),IF(OR($A604&lt;MIN(KW_TP!$A$2:$A$2501),$A604&gt;MAX(KW_TP!$A$2:$A$2501)),NA(),INDEX(KW_TP!$C$2:$C$2501,MATCH($A604,KW_TP!$A$2:$A$2501,1))))</f>
        <v/>
      </c>
      <c r="Q604" s="18">
        <f>IF(NOT(ISNUMBER($A604)),NA(),IFERROR(1*INDEX(BBG_Data!$J$2:$J$4000,MATCH($A604,BBG_Data!$I$2:$I$4000,0)),NA()))</f>
        <v/>
      </c>
      <c r="R604" s="18">
        <f>IF(NOT(ISNUMBER($A604)),NA(),IFERROR(1*INDEX(BBG_Data!$L$2:$L$4000,MATCH($A604,BBG_Data!$K$2:$K$4000,0)),NA()))</f>
        <v/>
      </c>
      <c r="S604" s="20">
        <f>IF(AND(ISNUMBER(B604),ISNUMBER(Q604),ISNUMBER(R604)),(B604-Q604-R604)*100,NA())</f>
        <v/>
      </c>
      <c r="T604" s="20">
        <f>IF(AND(ISNUMBER(B604),Settings!$B$17&gt;0),IF(ISNUMBER(INDEX($B:$B,Settings!$B$17)),(B604-INDEX($B:$B,Settings!$B$17))*100,NA()),NA())</f>
        <v/>
      </c>
      <c r="U604" s="20">
        <f>IF(AND(ISNUMBER(Q604),Settings!$B$17&gt;0),IF(ISNUMBER(INDEX($Q:$Q,Settings!$B$17)),(Q604-INDEX($Q:$Q,Settings!$B$17))*100,NA()),NA())</f>
        <v/>
      </c>
      <c r="V604" s="20">
        <f>IF(AND(ISNUMBER(R604),Settings!$B$17&gt;0),IF(ISNUMBER(INDEX($R:$R,Settings!$B$17)),(R604-INDEX($R:$R,Settings!$B$17))*100,NA()),NA())</f>
        <v/>
      </c>
      <c r="W604" s="20">
        <f>IF(AND(ISNUMBER(P604),Settings!$B$17&gt;0),IF(ISNUMBER(INDEX($P:$P,Settings!$B$17)),P604-INDEX($P:$P,Settings!$B$17),NA()),NA())</f>
        <v/>
      </c>
      <c r="X604" s="19">
        <f>IF(NOT(ISNUMBER($A604)),NA(),IF(OR($A604&lt;MIN(DKW_10Y!$A$2:$A$2918),$A604&gt;MAX(DKW_10Y!$A$2:$A$2918),Settings!$B$16&lt;MIN(DKW_10Y!$A$2:$A$2918)),NA(),(INDEX(DKW_10Y!$B$2:$B$2918,MATCH($A604,DKW_10Y!$A$2:$A$2918,1))-INDEX(DKW_10Y!$B$2:$B$2918,MATCH(Settings!$B$16,DKW_10Y!$A$2:$A$2918,1)))*100))</f>
        <v/>
      </c>
      <c r="Y604" s="19">
        <f>IF(NOT(ISNUMBER($A604)),NA(),IF(OR($A604&lt;MIN(DKW_10Y!$A$2:$A$2918),$A604&gt;MAX(DKW_10Y!$A$2:$A$2918),Settings!$B$16&lt;MIN(DKW_10Y!$A$2:$A$2918)),NA(),(INDEX(DKW_10Y!$C$2:$C$2918,MATCH($A604,DKW_10Y!$A$2:$A$2918,1))-INDEX(DKW_10Y!$C$2:$C$2918,MATCH(Settings!$B$16,DKW_10Y!$A$2:$A$2918,1)))*100))</f>
        <v/>
      </c>
      <c r="Z604" s="19">
        <f>IF(NOT(ISNUMBER($A604)),NA(),IF(OR($A604&lt;MIN(DKW_10Y!$A$2:$A$2918),$A604&gt;MAX(DKW_10Y!$A$2:$A$2918),Settings!$B$16&lt;MIN(DKW_10Y!$A$2:$A$2918)),NA(),(INDEX(DKW_10Y!$D$2:$D$2918,MATCH($A604,DKW_10Y!$A$2:$A$2918,1))-INDEX(DKW_10Y!$D$2:$D$2918,MATCH(Settings!$B$16,DKW_10Y!$A$2:$A$2918,1)))*100))</f>
        <v/>
      </c>
      <c r="AA604" s="19">
        <f>IF(NOT(ISNUMBER($A604)),NA(),IF(OR($A604&lt;MIN(DKW_10Y!$A$2:$A$2918),$A604&gt;MAX(DKW_10Y!$A$2:$A$2918),Settings!$B$16&lt;MIN(DKW_10Y!$A$2:$A$2918)),NA(),(INDEX(DKW_10Y!$E$2:$E$2918,MATCH($A604,DKW_10Y!$A$2:$A$2918,1))-INDEX(DKW_10Y!$E$2:$E$2918,MATCH(Settings!$B$16,DKW_10Y!$A$2:$A$2918,1)))*100))</f>
        <v/>
      </c>
      <c r="AB604" s="19">
        <f>IF(NOT(ISNUMBER($A604)),NA(),IF(OR($A604&lt;MIN(DKW_10Y!$A$2:$A$2918),$A604&gt;MAX(DKW_10Y!$A$2:$A$2918),Settings!$B$16&lt;MIN(DKW_10Y!$A$2:$A$2918)),NA(),(INDEX(DKW_10Y!$H$2:$H$2918,MATCH($A604,DKW_10Y!$A$2:$A$2918,1))-INDEX(DKW_10Y!$H$2:$H$2918,MATCH(Settings!$B$16,DKW_10Y!$A$2:$A$2918,1)))*100))</f>
        <v/>
      </c>
      <c r="AC604" s="18">
        <f>IF(NOT(ISNUMBER($A604)),NA(),IFERROR(1*INDEX(BBG_Data!$N$2:$N$4000,MATCH($A604,BBG_Data!$M$2:$M$4000,0)),NA()))</f>
        <v/>
      </c>
      <c r="AD604" s="18">
        <f>IF(NOT(ISNUMBER($A604)),NA(),IFERROR(1*INDEX(BBG_Data!$P$2:$P$4000,MATCH($A604,BBG_Data!$O$2:$O$4000,0)),NA()))</f>
        <v/>
      </c>
      <c r="AE604" s="18">
        <f>IF(NOT(ISNUMBER($A604)),NA(),IFERROR(1*INDEX(BBG_Data!$R$2:$R$4000,MATCH($A604,BBG_Data!$Q$2:$Q$4000,0)),NA()))</f>
        <v/>
      </c>
      <c r="AF604" s="20">
        <f>IF(AND(ISNUMBER(B604),ISNUMBER(AC604)),(B604-AC604)*100,NA())</f>
        <v/>
      </c>
      <c r="AG604" s="20">
        <f>IF(AND(ISNUMBER(AE604),ISNUMBER(AD604)),(AE604-AD604)*100,NA())</f>
        <v/>
      </c>
      <c r="AH604" s="19">
        <f>IF(NOT(ISNUMBER($A604)),NA(),IFERROR(INDEX(BBG_Data!$T$2:$T$4000,MATCH($A604,BBG_Data!$S$2:$S$4000,0))*Settings!$B$25,NA()))</f>
        <v/>
      </c>
      <c r="AI604" s="19">
        <f>IF(NOT(ISNUMBER($A604)),NA(),IFERROR(INDEX(BBG_Data!$V$2:$V$4000,MATCH($A604,BBG_Data!$U$2:$U$4000,0))*Settings!$B$25,NA()))</f>
        <v/>
      </c>
      <c r="AJ604" s="19">
        <f>IF(NOT(ISNUMBER($A604)),NA(),IFERROR(1*INDEX(BBG_Data!$X$2:$X$4000,MATCH($A604,BBG_Data!$W$2:$W$4000,0)),NA()))</f>
        <v/>
      </c>
      <c r="AK604" s="19">
        <f>IF(NOT(ISNUMBER($A604)),NA(),IFERROR(1*INDEX(BBG_Data!$Z$2:$Z$4000,MATCH($A604,BBG_Data!$Y$2:$Y$4000,0)),NA()))</f>
        <v/>
      </c>
    </row>
    <row r="605">
      <c r="A605" s="17">
        <f>IF(ISNUMBER(BBG_Data!A605),BBG_Data!A605,"")</f>
        <v/>
      </c>
      <c r="B605" s="18">
        <f>IF(AND(ISNUMBER($A605),ISNUMBER(BBG_Data!B605)),BBG_Data!B605,NA())</f>
        <v/>
      </c>
      <c r="C605" s="18">
        <f>IF(NOT(ISNUMBER($A605)),NA(),IFERROR(1*INDEX(BBG_Data!$D$2:$D$4000,MATCH($A605,BBG_Data!$C$2:$C$4000,0)),NA()))</f>
        <v/>
      </c>
      <c r="D605" s="19">
        <f>IF(NOT(ISNUMBER($A605)),NA(),IFERROR(1*INDEX(BBG_Data!$F$2:$F$4000,MATCH($A605,BBG_Data!$E$2:$E$4000,0)),NA()))</f>
        <v/>
      </c>
      <c r="E605" s="19">
        <f>IF(NOT(ISNUMBER($A605)),NA(),IFERROR(1*INDEX(BBG_Data!$H$2:$H$4000,MATCH($A605,BBG_Data!$G$2:$G$4000,0)),NA()))</f>
        <v/>
      </c>
      <c r="F605" s="20">
        <f>IF(AND(ISNUMBER(B605),ISNUMBER(B604)),IF(B605=B604,"",(B605-B604)*100),"")</f>
        <v/>
      </c>
      <c r="G605" s="20">
        <f>IF(AND(ISNUMBER(C605),ISNUMBER(C604)),IF(C605=C604,"",(C605-C604)*100),"")</f>
        <v/>
      </c>
      <c r="H605" s="20">
        <f>IF(OR(NOT(ISNUMBER($A605)),ROW()-2&lt;Settings!$B$11),NA(),IF(COUNT(OFFSET(F605,1-Settings!$B$11,0,Settings!$B$11,1))&lt;ROUNDUP(Settings!$B$11*Settings!$B$26,0),NA(),STDEV(OFFSET(F605,1-Settings!$B$11,0,Settings!$B$11,1))*SQRT(Settings!$B$13)))</f>
        <v/>
      </c>
      <c r="I605" s="20">
        <f>IF(OR(NOT(ISNUMBER($A605)),ROW()-2&lt;Settings!$B$12),NA(),IF(COUNT(OFFSET(F605,1-Settings!$B$12,0,Settings!$B$12,1))&lt;ROUNDUP(Settings!$B$12*Settings!$B$26,0),NA(),STDEV(OFFSET(F605,1-Settings!$B$12,0,Settings!$B$12,1))*SQRT(Settings!$B$13)))</f>
        <v/>
      </c>
      <c r="J605" s="20">
        <f>IF(OR(NOT(ISNUMBER($A605)),ROW()-2&lt;Settings!$B$11),NA(),IF(COUNT(OFFSET(G605,1-Settings!$B$11,0,Settings!$B$11,1))&lt;ROUNDUP(Settings!$B$11*Settings!$B$26,0),NA(),STDEV(OFFSET(G605,1-Settings!$B$11,0,Settings!$B$11,1))*SQRT(Settings!$B$13)))</f>
        <v/>
      </c>
      <c r="K605" s="20">
        <f>IF(OR(NOT(ISNUMBER($A605)),ROW()-2&lt;Settings!$B$12),NA(),IF(COUNT(OFFSET(G605,1-Settings!$B$12,0,Settings!$B$12,1))&lt;ROUNDUP(Settings!$B$12*Settings!$B$26,0),NA(),STDEV(OFFSET(G605,1-Settings!$B$12,0,Settings!$B$12,1))*SQRT(Settings!$B$13)))</f>
        <v/>
      </c>
      <c r="L605" s="20">
        <f>IF(AND(ISNUMBER(D605),ISNUMBER(H605)),D605-H605,NA())</f>
        <v/>
      </c>
      <c r="M605" s="20">
        <f>IF(AND(ISNUMBER(E605),ISNUMBER(K605)),E605-K605,NA())</f>
        <v/>
      </c>
      <c r="N605" s="20">
        <f>IF(NOT(ISNUMBER($A605)),NA(),IF(COUNT(OFFSET(G605,1,0,Settings!$B$12,1))&lt;ROUNDUP(Settings!$B$12*Settings!$B$26,0),NA(),STDEV(OFFSET(G605,1,0,Settings!$B$12,1))*SQRT(Settings!$B$13)))</f>
        <v/>
      </c>
      <c r="O605" s="20">
        <f>IF(AND(ISNUMBER(E605),ISNUMBER(N605)),E605-N605,NA())</f>
        <v/>
      </c>
      <c r="P605" s="19">
        <f>IF(NOT(ISNUMBER($A605)),NA(),IF(OR($A605&lt;MIN(KW_TP!$A$2:$A$2501),$A605&gt;MAX(KW_TP!$A$2:$A$2501)),NA(),INDEX(KW_TP!$C$2:$C$2501,MATCH($A605,KW_TP!$A$2:$A$2501,1))))</f>
        <v/>
      </c>
      <c r="Q605" s="18">
        <f>IF(NOT(ISNUMBER($A605)),NA(),IFERROR(1*INDEX(BBG_Data!$J$2:$J$4000,MATCH($A605,BBG_Data!$I$2:$I$4000,0)),NA()))</f>
        <v/>
      </c>
      <c r="R605" s="18">
        <f>IF(NOT(ISNUMBER($A605)),NA(),IFERROR(1*INDEX(BBG_Data!$L$2:$L$4000,MATCH($A605,BBG_Data!$K$2:$K$4000,0)),NA()))</f>
        <v/>
      </c>
      <c r="S605" s="20">
        <f>IF(AND(ISNUMBER(B605),ISNUMBER(Q605),ISNUMBER(R605)),(B605-Q605-R605)*100,NA())</f>
        <v/>
      </c>
      <c r="T605" s="20">
        <f>IF(AND(ISNUMBER(B605),Settings!$B$17&gt;0),IF(ISNUMBER(INDEX($B:$B,Settings!$B$17)),(B605-INDEX($B:$B,Settings!$B$17))*100,NA()),NA())</f>
        <v/>
      </c>
      <c r="U605" s="20">
        <f>IF(AND(ISNUMBER(Q605),Settings!$B$17&gt;0),IF(ISNUMBER(INDEX($Q:$Q,Settings!$B$17)),(Q605-INDEX($Q:$Q,Settings!$B$17))*100,NA()),NA())</f>
        <v/>
      </c>
      <c r="V605" s="20">
        <f>IF(AND(ISNUMBER(R605),Settings!$B$17&gt;0),IF(ISNUMBER(INDEX($R:$R,Settings!$B$17)),(R605-INDEX($R:$R,Settings!$B$17))*100,NA()),NA())</f>
        <v/>
      </c>
      <c r="W605" s="20">
        <f>IF(AND(ISNUMBER(P605),Settings!$B$17&gt;0),IF(ISNUMBER(INDEX($P:$P,Settings!$B$17)),P605-INDEX($P:$P,Settings!$B$17),NA()),NA())</f>
        <v/>
      </c>
      <c r="X605" s="19">
        <f>IF(NOT(ISNUMBER($A605)),NA(),IF(OR($A605&lt;MIN(DKW_10Y!$A$2:$A$2918),$A605&gt;MAX(DKW_10Y!$A$2:$A$2918),Settings!$B$16&lt;MIN(DKW_10Y!$A$2:$A$2918)),NA(),(INDEX(DKW_10Y!$B$2:$B$2918,MATCH($A605,DKW_10Y!$A$2:$A$2918,1))-INDEX(DKW_10Y!$B$2:$B$2918,MATCH(Settings!$B$16,DKW_10Y!$A$2:$A$2918,1)))*100))</f>
        <v/>
      </c>
      <c r="Y605" s="19">
        <f>IF(NOT(ISNUMBER($A605)),NA(),IF(OR($A605&lt;MIN(DKW_10Y!$A$2:$A$2918),$A605&gt;MAX(DKW_10Y!$A$2:$A$2918),Settings!$B$16&lt;MIN(DKW_10Y!$A$2:$A$2918)),NA(),(INDEX(DKW_10Y!$C$2:$C$2918,MATCH($A605,DKW_10Y!$A$2:$A$2918,1))-INDEX(DKW_10Y!$C$2:$C$2918,MATCH(Settings!$B$16,DKW_10Y!$A$2:$A$2918,1)))*100))</f>
        <v/>
      </c>
      <c r="Z605" s="19">
        <f>IF(NOT(ISNUMBER($A605)),NA(),IF(OR($A605&lt;MIN(DKW_10Y!$A$2:$A$2918),$A605&gt;MAX(DKW_10Y!$A$2:$A$2918),Settings!$B$16&lt;MIN(DKW_10Y!$A$2:$A$2918)),NA(),(INDEX(DKW_10Y!$D$2:$D$2918,MATCH($A605,DKW_10Y!$A$2:$A$2918,1))-INDEX(DKW_10Y!$D$2:$D$2918,MATCH(Settings!$B$16,DKW_10Y!$A$2:$A$2918,1)))*100))</f>
        <v/>
      </c>
      <c r="AA605" s="19">
        <f>IF(NOT(ISNUMBER($A605)),NA(),IF(OR($A605&lt;MIN(DKW_10Y!$A$2:$A$2918),$A605&gt;MAX(DKW_10Y!$A$2:$A$2918),Settings!$B$16&lt;MIN(DKW_10Y!$A$2:$A$2918)),NA(),(INDEX(DKW_10Y!$E$2:$E$2918,MATCH($A605,DKW_10Y!$A$2:$A$2918,1))-INDEX(DKW_10Y!$E$2:$E$2918,MATCH(Settings!$B$16,DKW_10Y!$A$2:$A$2918,1)))*100))</f>
        <v/>
      </c>
      <c r="AB605" s="19">
        <f>IF(NOT(ISNUMBER($A605)),NA(),IF(OR($A605&lt;MIN(DKW_10Y!$A$2:$A$2918),$A605&gt;MAX(DKW_10Y!$A$2:$A$2918),Settings!$B$16&lt;MIN(DKW_10Y!$A$2:$A$2918)),NA(),(INDEX(DKW_10Y!$H$2:$H$2918,MATCH($A605,DKW_10Y!$A$2:$A$2918,1))-INDEX(DKW_10Y!$H$2:$H$2918,MATCH(Settings!$B$16,DKW_10Y!$A$2:$A$2918,1)))*100))</f>
        <v/>
      </c>
      <c r="AC605" s="18">
        <f>IF(NOT(ISNUMBER($A605)),NA(),IFERROR(1*INDEX(BBG_Data!$N$2:$N$4000,MATCH($A605,BBG_Data!$M$2:$M$4000,0)),NA()))</f>
        <v/>
      </c>
      <c r="AD605" s="18">
        <f>IF(NOT(ISNUMBER($A605)),NA(),IFERROR(1*INDEX(BBG_Data!$P$2:$P$4000,MATCH($A605,BBG_Data!$O$2:$O$4000,0)),NA()))</f>
        <v/>
      </c>
      <c r="AE605" s="18">
        <f>IF(NOT(ISNUMBER($A605)),NA(),IFERROR(1*INDEX(BBG_Data!$R$2:$R$4000,MATCH($A605,BBG_Data!$Q$2:$Q$4000,0)),NA()))</f>
        <v/>
      </c>
      <c r="AF605" s="20">
        <f>IF(AND(ISNUMBER(B605),ISNUMBER(AC605)),(B605-AC605)*100,NA())</f>
        <v/>
      </c>
      <c r="AG605" s="20">
        <f>IF(AND(ISNUMBER(AE605),ISNUMBER(AD605)),(AE605-AD605)*100,NA())</f>
        <v/>
      </c>
      <c r="AH605" s="19">
        <f>IF(NOT(ISNUMBER($A605)),NA(),IFERROR(INDEX(BBG_Data!$T$2:$T$4000,MATCH($A605,BBG_Data!$S$2:$S$4000,0))*Settings!$B$25,NA()))</f>
        <v/>
      </c>
      <c r="AI605" s="19">
        <f>IF(NOT(ISNUMBER($A605)),NA(),IFERROR(INDEX(BBG_Data!$V$2:$V$4000,MATCH($A605,BBG_Data!$U$2:$U$4000,0))*Settings!$B$25,NA()))</f>
        <v/>
      </c>
      <c r="AJ605" s="19">
        <f>IF(NOT(ISNUMBER($A605)),NA(),IFERROR(1*INDEX(BBG_Data!$X$2:$X$4000,MATCH($A605,BBG_Data!$W$2:$W$4000,0)),NA()))</f>
        <v/>
      </c>
      <c r="AK605" s="19">
        <f>IF(NOT(ISNUMBER($A605)),NA(),IFERROR(1*INDEX(BBG_Data!$Z$2:$Z$4000,MATCH($A605,BBG_Data!$Y$2:$Y$4000,0)),NA()))</f>
        <v/>
      </c>
    </row>
    <row r="606">
      <c r="A606" s="17">
        <f>IF(ISNUMBER(BBG_Data!A606),BBG_Data!A606,"")</f>
        <v/>
      </c>
      <c r="B606" s="18">
        <f>IF(AND(ISNUMBER($A606),ISNUMBER(BBG_Data!B606)),BBG_Data!B606,NA())</f>
        <v/>
      </c>
      <c r="C606" s="18">
        <f>IF(NOT(ISNUMBER($A606)),NA(),IFERROR(1*INDEX(BBG_Data!$D$2:$D$4000,MATCH($A606,BBG_Data!$C$2:$C$4000,0)),NA()))</f>
        <v/>
      </c>
      <c r="D606" s="19">
        <f>IF(NOT(ISNUMBER($A606)),NA(),IFERROR(1*INDEX(BBG_Data!$F$2:$F$4000,MATCH($A606,BBG_Data!$E$2:$E$4000,0)),NA()))</f>
        <v/>
      </c>
      <c r="E606" s="19">
        <f>IF(NOT(ISNUMBER($A606)),NA(),IFERROR(1*INDEX(BBG_Data!$H$2:$H$4000,MATCH($A606,BBG_Data!$G$2:$G$4000,0)),NA()))</f>
        <v/>
      </c>
      <c r="F606" s="20">
        <f>IF(AND(ISNUMBER(B606),ISNUMBER(B605)),IF(B606=B605,"",(B606-B605)*100),"")</f>
        <v/>
      </c>
      <c r="G606" s="20">
        <f>IF(AND(ISNUMBER(C606),ISNUMBER(C605)),IF(C606=C605,"",(C606-C605)*100),"")</f>
        <v/>
      </c>
      <c r="H606" s="20">
        <f>IF(OR(NOT(ISNUMBER($A606)),ROW()-2&lt;Settings!$B$11),NA(),IF(COUNT(OFFSET(F606,1-Settings!$B$11,0,Settings!$B$11,1))&lt;ROUNDUP(Settings!$B$11*Settings!$B$26,0),NA(),STDEV(OFFSET(F606,1-Settings!$B$11,0,Settings!$B$11,1))*SQRT(Settings!$B$13)))</f>
        <v/>
      </c>
      <c r="I606" s="20">
        <f>IF(OR(NOT(ISNUMBER($A606)),ROW()-2&lt;Settings!$B$12),NA(),IF(COUNT(OFFSET(F606,1-Settings!$B$12,0,Settings!$B$12,1))&lt;ROUNDUP(Settings!$B$12*Settings!$B$26,0),NA(),STDEV(OFFSET(F606,1-Settings!$B$12,0,Settings!$B$12,1))*SQRT(Settings!$B$13)))</f>
        <v/>
      </c>
      <c r="J606" s="20">
        <f>IF(OR(NOT(ISNUMBER($A606)),ROW()-2&lt;Settings!$B$11),NA(),IF(COUNT(OFFSET(G606,1-Settings!$B$11,0,Settings!$B$11,1))&lt;ROUNDUP(Settings!$B$11*Settings!$B$26,0),NA(),STDEV(OFFSET(G606,1-Settings!$B$11,0,Settings!$B$11,1))*SQRT(Settings!$B$13)))</f>
        <v/>
      </c>
      <c r="K606" s="20">
        <f>IF(OR(NOT(ISNUMBER($A606)),ROW()-2&lt;Settings!$B$12),NA(),IF(COUNT(OFFSET(G606,1-Settings!$B$12,0,Settings!$B$12,1))&lt;ROUNDUP(Settings!$B$12*Settings!$B$26,0),NA(),STDEV(OFFSET(G606,1-Settings!$B$12,0,Settings!$B$12,1))*SQRT(Settings!$B$13)))</f>
        <v/>
      </c>
      <c r="L606" s="20">
        <f>IF(AND(ISNUMBER(D606),ISNUMBER(H606)),D606-H606,NA())</f>
        <v/>
      </c>
      <c r="M606" s="20">
        <f>IF(AND(ISNUMBER(E606),ISNUMBER(K606)),E606-K606,NA())</f>
        <v/>
      </c>
      <c r="N606" s="20">
        <f>IF(NOT(ISNUMBER($A606)),NA(),IF(COUNT(OFFSET(G606,1,0,Settings!$B$12,1))&lt;ROUNDUP(Settings!$B$12*Settings!$B$26,0),NA(),STDEV(OFFSET(G606,1,0,Settings!$B$12,1))*SQRT(Settings!$B$13)))</f>
        <v/>
      </c>
      <c r="O606" s="20">
        <f>IF(AND(ISNUMBER(E606),ISNUMBER(N606)),E606-N606,NA())</f>
        <v/>
      </c>
      <c r="P606" s="19">
        <f>IF(NOT(ISNUMBER($A606)),NA(),IF(OR($A606&lt;MIN(KW_TP!$A$2:$A$2501),$A606&gt;MAX(KW_TP!$A$2:$A$2501)),NA(),INDEX(KW_TP!$C$2:$C$2501,MATCH($A606,KW_TP!$A$2:$A$2501,1))))</f>
        <v/>
      </c>
      <c r="Q606" s="18">
        <f>IF(NOT(ISNUMBER($A606)),NA(),IFERROR(1*INDEX(BBG_Data!$J$2:$J$4000,MATCH($A606,BBG_Data!$I$2:$I$4000,0)),NA()))</f>
        <v/>
      </c>
      <c r="R606" s="18">
        <f>IF(NOT(ISNUMBER($A606)),NA(),IFERROR(1*INDEX(BBG_Data!$L$2:$L$4000,MATCH($A606,BBG_Data!$K$2:$K$4000,0)),NA()))</f>
        <v/>
      </c>
      <c r="S606" s="20">
        <f>IF(AND(ISNUMBER(B606),ISNUMBER(Q606),ISNUMBER(R606)),(B606-Q606-R606)*100,NA())</f>
        <v/>
      </c>
      <c r="T606" s="20">
        <f>IF(AND(ISNUMBER(B606),Settings!$B$17&gt;0),IF(ISNUMBER(INDEX($B:$B,Settings!$B$17)),(B606-INDEX($B:$B,Settings!$B$17))*100,NA()),NA())</f>
        <v/>
      </c>
      <c r="U606" s="20">
        <f>IF(AND(ISNUMBER(Q606),Settings!$B$17&gt;0),IF(ISNUMBER(INDEX($Q:$Q,Settings!$B$17)),(Q606-INDEX($Q:$Q,Settings!$B$17))*100,NA()),NA())</f>
        <v/>
      </c>
      <c r="V606" s="20">
        <f>IF(AND(ISNUMBER(R606),Settings!$B$17&gt;0),IF(ISNUMBER(INDEX($R:$R,Settings!$B$17)),(R606-INDEX($R:$R,Settings!$B$17))*100,NA()),NA())</f>
        <v/>
      </c>
      <c r="W606" s="20">
        <f>IF(AND(ISNUMBER(P606),Settings!$B$17&gt;0),IF(ISNUMBER(INDEX($P:$P,Settings!$B$17)),P606-INDEX($P:$P,Settings!$B$17),NA()),NA())</f>
        <v/>
      </c>
      <c r="X606" s="19">
        <f>IF(NOT(ISNUMBER($A606)),NA(),IF(OR($A606&lt;MIN(DKW_10Y!$A$2:$A$2918),$A606&gt;MAX(DKW_10Y!$A$2:$A$2918),Settings!$B$16&lt;MIN(DKW_10Y!$A$2:$A$2918)),NA(),(INDEX(DKW_10Y!$B$2:$B$2918,MATCH($A606,DKW_10Y!$A$2:$A$2918,1))-INDEX(DKW_10Y!$B$2:$B$2918,MATCH(Settings!$B$16,DKW_10Y!$A$2:$A$2918,1)))*100))</f>
        <v/>
      </c>
      <c r="Y606" s="19">
        <f>IF(NOT(ISNUMBER($A606)),NA(),IF(OR($A606&lt;MIN(DKW_10Y!$A$2:$A$2918),$A606&gt;MAX(DKW_10Y!$A$2:$A$2918),Settings!$B$16&lt;MIN(DKW_10Y!$A$2:$A$2918)),NA(),(INDEX(DKW_10Y!$C$2:$C$2918,MATCH($A606,DKW_10Y!$A$2:$A$2918,1))-INDEX(DKW_10Y!$C$2:$C$2918,MATCH(Settings!$B$16,DKW_10Y!$A$2:$A$2918,1)))*100))</f>
        <v/>
      </c>
      <c r="Z606" s="19">
        <f>IF(NOT(ISNUMBER($A606)),NA(),IF(OR($A606&lt;MIN(DKW_10Y!$A$2:$A$2918),$A606&gt;MAX(DKW_10Y!$A$2:$A$2918),Settings!$B$16&lt;MIN(DKW_10Y!$A$2:$A$2918)),NA(),(INDEX(DKW_10Y!$D$2:$D$2918,MATCH($A606,DKW_10Y!$A$2:$A$2918,1))-INDEX(DKW_10Y!$D$2:$D$2918,MATCH(Settings!$B$16,DKW_10Y!$A$2:$A$2918,1)))*100))</f>
        <v/>
      </c>
      <c r="AA606" s="19">
        <f>IF(NOT(ISNUMBER($A606)),NA(),IF(OR($A606&lt;MIN(DKW_10Y!$A$2:$A$2918),$A606&gt;MAX(DKW_10Y!$A$2:$A$2918),Settings!$B$16&lt;MIN(DKW_10Y!$A$2:$A$2918)),NA(),(INDEX(DKW_10Y!$E$2:$E$2918,MATCH($A606,DKW_10Y!$A$2:$A$2918,1))-INDEX(DKW_10Y!$E$2:$E$2918,MATCH(Settings!$B$16,DKW_10Y!$A$2:$A$2918,1)))*100))</f>
        <v/>
      </c>
      <c r="AB606" s="19">
        <f>IF(NOT(ISNUMBER($A606)),NA(),IF(OR($A606&lt;MIN(DKW_10Y!$A$2:$A$2918),$A606&gt;MAX(DKW_10Y!$A$2:$A$2918),Settings!$B$16&lt;MIN(DKW_10Y!$A$2:$A$2918)),NA(),(INDEX(DKW_10Y!$H$2:$H$2918,MATCH($A606,DKW_10Y!$A$2:$A$2918,1))-INDEX(DKW_10Y!$H$2:$H$2918,MATCH(Settings!$B$16,DKW_10Y!$A$2:$A$2918,1)))*100))</f>
        <v/>
      </c>
      <c r="AC606" s="18">
        <f>IF(NOT(ISNUMBER($A606)),NA(),IFERROR(1*INDEX(BBG_Data!$N$2:$N$4000,MATCH($A606,BBG_Data!$M$2:$M$4000,0)),NA()))</f>
        <v/>
      </c>
      <c r="AD606" s="18">
        <f>IF(NOT(ISNUMBER($A606)),NA(),IFERROR(1*INDEX(BBG_Data!$P$2:$P$4000,MATCH($A606,BBG_Data!$O$2:$O$4000,0)),NA()))</f>
        <v/>
      </c>
      <c r="AE606" s="18">
        <f>IF(NOT(ISNUMBER($A606)),NA(),IFERROR(1*INDEX(BBG_Data!$R$2:$R$4000,MATCH($A606,BBG_Data!$Q$2:$Q$4000,0)),NA()))</f>
        <v/>
      </c>
      <c r="AF606" s="20">
        <f>IF(AND(ISNUMBER(B606),ISNUMBER(AC606)),(B606-AC606)*100,NA())</f>
        <v/>
      </c>
      <c r="AG606" s="20">
        <f>IF(AND(ISNUMBER(AE606),ISNUMBER(AD606)),(AE606-AD606)*100,NA())</f>
        <v/>
      </c>
      <c r="AH606" s="19">
        <f>IF(NOT(ISNUMBER($A606)),NA(),IFERROR(INDEX(BBG_Data!$T$2:$T$4000,MATCH($A606,BBG_Data!$S$2:$S$4000,0))*Settings!$B$25,NA()))</f>
        <v/>
      </c>
      <c r="AI606" s="19">
        <f>IF(NOT(ISNUMBER($A606)),NA(),IFERROR(INDEX(BBG_Data!$V$2:$V$4000,MATCH($A606,BBG_Data!$U$2:$U$4000,0))*Settings!$B$25,NA()))</f>
        <v/>
      </c>
      <c r="AJ606" s="19">
        <f>IF(NOT(ISNUMBER($A606)),NA(),IFERROR(1*INDEX(BBG_Data!$X$2:$X$4000,MATCH($A606,BBG_Data!$W$2:$W$4000,0)),NA()))</f>
        <v/>
      </c>
      <c r="AK606" s="19">
        <f>IF(NOT(ISNUMBER($A606)),NA(),IFERROR(1*INDEX(BBG_Data!$Z$2:$Z$4000,MATCH($A606,BBG_Data!$Y$2:$Y$4000,0)),NA()))</f>
        <v/>
      </c>
    </row>
    <row r="607">
      <c r="A607" s="17">
        <f>IF(ISNUMBER(BBG_Data!A607),BBG_Data!A607,"")</f>
        <v/>
      </c>
      <c r="B607" s="18">
        <f>IF(AND(ISNUMBER($A607),ISNUMBER(BBG_Data!B607)),BBG_Data!B607,NA())</f>
        <v/>
      </c>
      <c r="C607" s="18">
        <f>IF(NOT(ISNUMBER($A607)),NA(),IFERROR(1*INDEX(BBG_Data!$D$2:$D$4000,MATCH($A607,BBG_Data!$C$2:$C$4000,0)),NA()))</f>
        <v/>
      </c>
      <c r="D607" s="19">
        <f>IF(NOT(ISNUMBER($A607)),NA(),IFERROR(1*INDEX(BBG_Data!$F$2:$F$4000,MATCH($A607,BBG_Data!$E$2:$E$4000,0)),NA()))</f>
        <v/>
      </c>
      <c r="E607" s="19">
        <f>IF(NOT(ISNUMBER($A607)),NA(),IFERROR(1*INDEX(BBG_Data!$H$2:$H$4000,MATCH($A607,BBG_Data!$G$2:$G$4000,0)),NA()))</f>
        <v/>
      </c>
      <c r="F607" s="20">
        <f>IF(AND(ISNUMBER(B607),ISNUMBER(B606)),IF(B607=B606,"",(B607-B606)*100),"")</f>
        <v/>
      </c>
      <c r="G607" s="20">
        <f>IF(AND(ISNUMBER(C607),ISNUMBER(C606)),IF(C607=C606,"",(C607-C606)*100),"")</f>
        <v/>
      </c>
      <c r="H607" s="20">
        <f>IF(OR(NOT(ISNUMBER($A607)),ROW()-2&lt;Settings!$B$11),NA(),IF(COUNT(OFFSET(F607,1-Settings!$B$11,0,Settings!$B$11,1))&lt;ROUNDUP(Settings!$B$11*Settings!$B$26,0),NA(),STDEV(OFFSET(F607,1-Settings!$B$11,0,Settings!$B$11,1))*SQRT(Settings!$B$13)))</f>
        <v/>
      </c>
      <c r="I607" s="20">
        <f>IF(OR(NOT(ISNUMBER($A607)),ROW()-2&lt;Settings!$B$12),NA(),IF(COUNT(OFFSET(F607,1-Settings!$B$12,0,Settings!$B$12,1))&lt;ROUNDUP(Settings!$B$12*Settings!$B$26,0),NA(),STDEV(OFFSET(F607,1-Settings!$B$12,0,Settings!$B$12,1))*SQRT(Settings!$B$13)))</f>
        <v/>
      </c>
      <c r="J607" s="20">
        <f>IF(OR(NOT(ISNUMBER($A607)),ROW()-2&lt;Settings!$B$11),NA(),IF(COUNT(OFFSET(G607,1-Settings!$B$11,0,Settings!$B$11,1))&lt;ROUNDUP(Settings!$B$11*Settings!$B$26,0),NA(),STDEV(OFFSET(G607,1-Settings!$B$11,0,Settings!$B$11,1))*SQRT(Settings!$B$13)))</f>
        <v/>
      </c>
      <c r="K607" s="20">
        <f>IF(OR(NOT(ISNUMBER($A607)),ROW()-2&lt;Settings!$B$12),NA(),IF(COUNT(OFFSET(G607,1-Settings!$B$12,0,Settings!$B$12,1))&lt;ROUNDUP(Settings!$B$12*Settings!$B$26,0),NA(),STDEV(OFFSET(G607,1-Settings!$B$12,0,Settings!$B$12,1))*SQRT(Settings!$B$13)))</f>
        <v/>
      </c>
      <c r="L607" s="20">
        <f>IF(AND(ISNUMBER(D607),ISNUMBER(H607)),D607-H607,NA())</f>
        <v/>
      </c>
      <c r="M607" s="20">
        <f>IF(AND(ISNUMBER(E607),ISNUMBER(K607)),E607-K607,NA())</f>
        <v/>
      </c>
      <c r="N607" s="20">
        <f>IF(NOT(ISNUMBER($A607)),NA(),IF(COUNT(OFFSET(G607,1,0,Settings!$B$12,1))&lt;ROUNDUP(Settings!$B$12*Settings!$B$26,0),NA(),STDEV(OFFSET(G607,1,0,Settings!$B$12,1))*SQRT(Settings!$B$13)))</f>
        <v/>
      </c>
      <c r="O607" s="20">
        <f>IF(AND(ISNUMBER(E607),ISNUMBER(N607)),E607-N607,NA())</f>
        <v/>
      </c>
      <c r="P607" s="19">
        <f>IF(NOT(ISNUMBER($A607)),NA(),IF(OR($A607&lt;MIN(KW_TP!$A$2:$A$2501),$A607&gt;MAX(KW_TP!$A$2:$A$2501)),NA(),INDEX(KW_TP!$C$2:$C$2501,MATCH($A607,KW_TP!$A$2:$A$2501,1))))</f>
        <v/>
      </c>
      <c r="Q607" s="18">
        <f>IF(NOT(ISNUMBER($A607)),NA(),IFERROR(1*INDEX(BBG_Data!$J$2:$J$4000,MATCH($A607,BBG_Data!$I$2:$I$4000,0)),NA()))</f>
        <v/>
      </c>
      <c r="R607" s="18">
        <f>IF(NOT(ISNUMBER($A607)),NA(),IFERROR(1*INDEX(BBG_Data!$L$2:$L$4000,MATCH($A607,BBG_Data!$K$2:$K$4000,0)),NA()))</f>
        <v/>
      </c>
      <c r="S607" s="20">
        <f>IF(AND(ISNUMBER(B607),ISNUMBER(Q607),ISNUMBER(R607)),(B607-Q607-R607)*100,NA())</f>
        <v/>
      </c>
      <c r="T607" s="20">
        <f>IF(AND(ISNUMBER(B607),Settings!$B$17&gt;0),IF(ISNUMBER(INDEX($B:$B,Settings!$B$17)),(B607-INDEX($B:$B,Settings!$B$17))*100,NA()),NA())</f>
        <v/>
      </c>
      <c r="U607" s="20">
        <f>IF(AND(ISNUMBER(Q607),Settings!$B$17&gt;0),IF(ISNUMBER(INDEX($Q:$Q,Settings!$B$17)),(Q607-INDEX($Q:$Q,Settings!$B$17))*100,NA()),NA())</f>
        <v/>
      </c>
      <c r="V607" s="20">
        <f>IF(AND(ISNUMBER(R607),Settings!$B$17&gt;0),IF(ISNUMBER(INDEX($R:$R,Settings!$B$17)),(R607-INDEX($R:$R,Settings!$B$17))*100,NA()),NA())</f>
        <v/>
      </c>
      <c r="W607" s="20">
        <f>IF(AND(ISNUMBER(P607),Settings!$B$17&gt;0),IF(ISNUMBER(INDEX($P:$P,Settings!$B$17)),P607-INDEX($P:$P,Settings!$B$17),NA()),NA())</f>
        <v/>
      </c>
      <c r="X607" s="19">
        <f>IF(NOT(ISNUMBER($A607)),NA(),IF(OR($A607&lt;MIN(DKW_10Y!$A$2:$A$2918),$A607&gt;MAX(DKW_10Y!$A$2:$A$2918),Settings!$B$16&lt;MIN(DKW_10Y!$A$2:$A$2918)),NA(),(INDEX(DKW_10Y!$B$2:$B$2918,MATCH($A607,DKW_10Y!$A$2:$A$2918,1))-INDEX(DKW_10Y!$B$2:$B$2918,MATCH(Settings!$B$16,DKW_10Y!$A$2:$A$2918,1)))*100))</f>
        <v/>
      </c>
      <c r="Y607" s="19">
        <f>IF(NOT(ISNUMBER($A607)),NA(),IF(OR($A607&lt;MIN(DKW_10Y!$A$2:$A$2918),$A607&gt;MAX(DKW_10Y!$A$2:$A$2918),Settings!$B$16&lt;MIN(DKW_10Y!$A$2:$A$2918)),NA(),(INDEX(DKW_10Y!$C$2:$C$2918,MATCH($A607,DKW_10Y!$A$2:$A$2918,1))-INDEX(DKW_10Y!$C$2:$C$2918,MATCH(Settings!$B$16,DKW_10Y!$A$2:$A$2918,1)))*100))</f>
        <v/>
      </c>
      <c r="Z607" s="19">
        <f>IF(NOT(ISNUMBER($A607)),NA(),IF(OR($A607&lt;MIN(DKW_10Y!$A$2:$A$2918),$A607&gt;MAX(DKW_10Y!$A$2:$A$2918),Settings!$B$16&lt;MIN(DKW_10Y!$A$2:$A$2918)),NA(),(INDEX(DKW_10Y!$D$2:$D$2918,MATCH($A607,DKW_10Y!$A$2:$A$2918,1))-INDEX(DKW_10Y!$D$2:$D$2918,MATCH(Settings!$B$16,DKW_10Y!$A$2:$A$2918,1)))*100))</f>
        <v/>
      </c>
      <c r="AA607" s="19">
        <f>IF(NOT(ISNUMBER($A607)),NA(),IF(OR($A607&lt;MIN(DKW_10Y!$A$2:$A$2918),$A607&gt;MAX(DKW_10Y!$A$2:$A$2918),Settings!$B$16&lt;MIN(DKW_10Y!$A$2:$A$2918)),NA(),(INDEX(DKW_10Y!$E$2:$E$2918,MATCH($A607,DKW_10Y!$A$2:$A$2918,1))-INDEX(DKW_10Y!$E$2:$E$2918,MATCH(Settings!$B$16,DKW_10Y!$A$2:$A$2918,1)))*100))</f>
        <v/>
      </c>
      <c r="AB607" s="19">
        <f>IF(NOT(ISNUMBER($A607)),NA(),IF(OR($A607&lt;MIN(DKW_10Y!$A$2:$A$2918),$A607&gt;MAX(DKW_10Y!$A$2:$A$2918),Settings!$B$16&lt;MIN(DKW_10Y!$A$2:$A$2918)),NA(),(INDEX(DKW_10Y!$H$2:$H$2918,MATCH($A607,DKW_10Y!$A$2:$A$2918,1))-INDEX(DKW_10Y!$H$2:$H$2918,MATCH(Settings!$B$16,DKW_10Y!$A$2:$A$2918,1)))*100))</f>
        <v/>
      </c>
      <c r="AC607" s="18">
        <f>IF(NOT(ISNUMBER($A607)),NA(),IFERROR(1*INDEX(BBG_Data!$N$2:$N$4000,MATCH($A607,BBG_Data!$M$2:$M$4000,0)),NA()))</f>
        <v/>
      </c>
      <c r="AD607" s="18">
        <f>IF(NOT(ISNUMBER($A607)),NA(),IFERROR(1*INDEX(BBG_Data!$P$2:$P$4000,MATCH($A607,BBG_Data!$O$2:$O$4000,0)),NA()))</f>
        <v/>
      </c>
      <c r="AE607" s="18">
        <f>IF(NOT(ISNUMBER($A607)),NA(),IFERROR(1*INDEX(BBG_Data!$R$2:$R$4000,MATCH($A607,BBG_Data!$Q$2:$Q$4000,0)),NA()))</f>
        <v/>
      </c>
      <c r="AF607" s="20">
        <f>IF(AND(ISNUMBER(B607),ISNUMBER(AC607)),(B607-AC607)*100,NA())</f>
        <v/>
      </c>
      <c r="AG607" s="20">
        <f>IF(AND(ISNUMBER(AE607),ISNUMBER(AD607)),(AE607-AD607)*100,NA())</f>
        <v/>
      </c>
      <c r="AH607" s="19">
        <f>IF(NOT(ISNUMBER($A607)),NA(),IFERROR(INDEX(BBG_Data!$T$2:$T$4000,MATCH($A607,BBG_Data!$S$2:$S$4000,0))*Settings!$B$25,NA()))</f>
        <v/>
      </c>
      <c r="AI607" s="19">
        <f>IF(NOT(ISNUMBER($A607)),NA(),IFERROR(INDEX(BBG_Data!$V$2:$V$4000,MATCH($A607,BBG_Data!$U$2:$U$4000,0))*Settings!$B$25,NA()))</f>
        <v/>
      </c>
      <c r="AJ607" s="19">
        <f>IF(NOT(ISNUMBER($A607)),NA(),IFERROR(1*INDEX(BBG_Data!$X$2:$X$4000,MATCH($A607,BBG_Data!$W$2:$W$4000,0)),NA()))</f>
        <v/>
      </c>
      <c r="AK607" s="19">
        <f>IF(NOT(ISNUMBER($A607)),NA(),IFERROR(1*INDEX(BBG_Data!$Z$2:$Z$4000,MATCH($A607,BBG_Data!$Y$2:$Y$4000,0)),NA()))</f>
        <v/>
      </c>
    </row>
    <row r="608">
      <c r="A608" s="17">
        <f>IF(ISNUMBER(BBG_Data!A608),BBG_Data!A608,"")</f>
        <v/>
      </c>
      <c r="B608" s="18">
        <f>IF(AND(ISNUMBER($A608),ISNUMBER(BBG_Data!B608)),BBG_Data!B608,NA())</f>
        <v/>
      </c>
      <c r="C608" s="18">
        <f>IF(NOT(ISNUMBER($A608)),NA(),IFERROR(1*INDEX(BBG_Data!$D$2:$D$4000,MATCH($A608,BBG_Data!$C$2:$C$4000,0)),NA()))</f>
        <v/>
      </c>
      <c r="D608" s="19">
        <f>IF(NOT(ISNUMBER($A608)),NA(),IFERROR(1*INDEX(BBG_Data!$F$2:$F$4000,MATCH($A608,BBG_Data!$E$2:$E$4000,0)),NA()))</f>
        <v/>
      </c>
      <c r="E608" s="19">
        <f>IF(NOT(ISNUMBER($A608)),NA(),IFERROR(1*INDEX(BBG_Data!$H$2:$H$4000,MATCH($A608,BBG_Data!$G$2:$G$4000,0)),NA()))</f>
        <v/>
      </c>
      <c r="F608" s="20">
        <f>IF(AND(ISNUMBER(B608),ISNUMBER(B607)),IF(B608=B607,"",(B608-B607)*100),"")</f>
        <v/>
      </c>
      <c r="G608" s="20">
        <f>IF(AND(ISNUMBER(C608),ISNUMBER(C607)),IF(C608=C607,"",(C608-C607)*100),"")</f>
        <v/>
      </c>
      <c r="H608" s="20">
        <f>IF(OR(NOT(ISNUMBER($A608)),ROW()-2&lt;Settings!$B$11),NA(),IF(COUNT(OFFSET(F608,1-Settings!$B$11,0,Settings!$B$11,1))&lt;ROUNDUP(Settings!$B$11*Settings!$B$26,0),NA(),STDEV(OFFSET(F608,1-Settings!$B$11,0,Settings!$B$11,1))*SQRT(Settings!$B$13)))</f>
        <v/>
      </c>
      <c r="I608" s="20">
        <f>IF(OR(NOT(ISNUMBER($A608)),ROW()-2&lt;Settings!$B$12),NA(),IF(COUNT(OFFSET(F608,1-Settings!$B$12,0,Settings!$B$12,1))&lt;ROUNDUP(Settings!$B$12*Settings!$B$26,0),NA(),STDEV(OFFSET(F608,1-Settings!$B$12,0,Settings!$B$12,1))*SQRT(Settings!$B$13)))</f>
        <v/>
      </c>
      <c r="J608" s="20">
        <f>IF(OR(NOT(ISNUMBER($A608)),ROW()-2&lt;Settings!$B$11),NA(),IF(COUNT(OFFSET(G608,1-Settings!$B$11,0,Settings!$B$11,1))&lt;ROUNDUP(Settings!$B$11*Settings!$B$26,0),NA(),STDEV(OFFSET(G608,1-Settings!$B$11,0,Settings!$B$11,1))*SQRT(Settings!$B$13)))</f>
        <v/>
      </c>
      <c r="K608" s="20">
        <f>IF(OR(NOT(ISNUMBER($A608)),ROW()-2&lt;Settings!$B$12),NA(),IF(COUNT(OFFSET(G608,1-Settings!$B$12,0,Settings!$B$12,1))&lt;ROUNDUP(Settings!$B$12*Settings!$B$26,0),NA(),STDEV(OFFSET(G608,1-Settings!$B$12,0,Settings!$B$12,1))*SQRT(Settings!$B$13)))</f>
        <v/>
      </c>
      <c r="L608" s="20">
        <f>IF(AND(ISNUMBER(D608),ISNUMBER(H608)),D608-H608,NA())</f>
        <v/>
      </c>
      <c r="M608" s="20">
        <f>IF(AND(ISNUMBER(E608),ISNUMBER(K608)),E608-K608,NA())</f>
        <v/>
      </c>
      <c r="N608" s="20">
        <f>IF(NOT(ISNUMBER($A608)),NA(),IF(COUNT(OFFSET(G608,1,0,Settings!$B$12,1))&lt;ROUNDUP(Settings!$B$12*Settings!$B$26,0),NA(),STDEV(OFFSET(G608,1,0,Settings!$B$12,1))*SQRT(Settings!$B$13)))</f>
        <v/>
      </c>
      <c r="O608" s="20">
        <f>IF(AND(ISNUMBER(E608),ISNUMBER(N608)),E608-N608,NA())</f>
        <v/>
      </c>
      <c r="P608" s="19">
        <f>IF(NOT(ISNUMBER($A608)),NA(),IF(OR($A608&lt;MIN(KW_TP!$A$2:$A$2501),$A608&gt;MAX(KW_TP!$A$2:$A$2501)),NA(),INDEX(KW_TP!$C$2:$C$2501,MATCH($A608,KW_TP!$A$2:$A$2501,1))))</f>
        <v/>
      </c>
      <c r="Q608" s="18">
        <f>IF(NOT(ISNUMBER($A608)),NA(),IFERROR(1*INDEX(BBG_Data!$J$2:$J$4000,MATCH($A608,BBG_Data!$I$2:$I$4000,0)),NA()))</f>
        <v/>
      </c>
      <c r="R608" s="18">
        <f>IF(NOT(ISNUMBER($A608)),NA(),IFERROR(1*INDEX(BBG_Data!$L$2:$L$4000,MATCH($A608,BBG_Data!$K$2:$K$4000,0)),NA()))</f>
        <v/>
      </c>
      <c r="S608" s="20">
        <f>IF(AND(ISNUMBER(B608),ISNUMBER(Q608),ISNUMBER(R608)),(B608-Q608-R608)*100,NA())</f>
        <v/>
      </c>
      <c r="T608" s="20">
        <f>IF(AND(ISNUMBER(B608),Settings!$B$17&gt;0),IF(ISNUMBER(INDEX($B:$B,Settings!$B$17)),(B608-INDEX($B:$B,Settings!$B$17))*100,NA()),NA())</f>
        <v/>
      </c>
      <c r="U608" s="20">
        <f>IF(AND(ISNUMBER(Q608),Settings!$B$17&gt;0),IF(ISNUMBER(INDEX($Q:$Q,Settings!$B$17)),(Q608-INDEX($Q:$Q,Settings!$B$17))*100,NA()),NA())</f>
        <v/>
      </c>
      <c r="V608" s="20">
        <f>IF(AND(ISNUMBER(R608),Settings!$B$17&gt;0),IF(ISNUMBER(INDEX($R:$R,Settings!$B$17)),(R608-INDEX($R:$R,Settings!$B$17))*100,NA()),NA())</f>
        <v/>
      </c>
      <c r="W608" s="20">
        <f>IF(AND(ISNUMBER(P608),Settings!$B$17&gt;0),IF(ISNUMBER(INDEX($P:$P,Settings!$B$17)),P608-INDEX($P:$P,Settings!$B$17),NA()),NA())</f>
        <v/>
      </c>
      <c r="X608" s="19">
        <f>IF(NOT(ISNUMBER($A608)),NA(),IF(OR($A608&lt;MIN(DKW_10Y!$A$2:$A$2918),$A608&gt;MAX(DKW_10Y!$A$2:$A$2918),Settings!$B$16&lt;MIN(DKW_10Y!$A$2:$A$2918)),NA(),(INDEX(DKW_10Y!$B$2:$B$2918,MATCH($A608,DKW_10Y!$A$2:$A$2918,1))-INDEX(DKW_10Y!$B$2:$B$2918,MATCH(Settings!$B$16,DKW_10Y!$A$2:$A$2918,1)))*100))</f>
        <v/>
      </c>
      <c r="Y608" s="19">
        <f>IF(NOT(ISNUMBER($A608)),NA(),IF(OR($A608&lt;MIN(DKW_10Y!$A$2:$A$2918),$A608&gt;MAX(DKW_10Y!$A$2:$A$2918),Settings!$B$16&lt;MIN(DKW_10Y!$A$2:$A$2918)),NA(),(INDEX(DKW_10Y!$C$2:$C$2918,MATCH($A608,DKW_10Y!$A$2:$A$2918,1))-INDEX(DKW_10Y!$C$2:$C$2918,MATCH(Settings!$B$16,DKW_10Y!$A$2:$A$2918,1)))*100))</f>
        <v/>
      </c>
      <c r="Z608" s="19">
        <f>IF(NOT(ISNUMBER($A608)),NA(),IF(OR($A608&lt;MIN(DKW_10Y!$A$2:$A$2918),$A608&gt;MAX(DKW_10Y!$A$2:$A$2918),Settings!$B$16&lt;MIN(DKW_10Y!$A$2:$A$2918)),NA(),(INDEX(DKW_10Y!$D$2:$D$2918,MATCH($A608,DKW_10Y!$A$2:$A$2918,1))-INDEX(DKW_10Y!$D$2:$D$2918,MATCH(Settings!$B$16,DKW_10Y!$A$2:$A$2918,1)))*100))</f>
        <v/>
      </c>
      <c r="AA608" s="19">
        <f>IF(NOT(ISNUMBER($A608)),NA(),IF(OR($A608&lt;MIN(DKW_10Y!$A$2:$A$2918),$A608&gt;MAX(DKW_10Y!$A$2:$A$2918),Settings!$B$16&lt;MIN(DKW_10Y!$A$2:$A$2918)),NA(),(INDEX(DKW_10Y!$E$2:$E$2918,MATCH($A608,DKW_10Y!$A$2:$A$2918,1))-INDEX(DKW_10Y!$E$2:$E$2918,MATCH(Settings!$B$16,DKW_10Y!$A$2:$A$2918,1)))*100))</f>
        <v/>
      </c>
      <c r="AB608" s="19">
        <f>IF(NOT(ISNUMBER($A608)),NA(),IF(OR($A608&lt;MIN(DKW_10Y!$A$2:$A$2918),$A608&gt;MAX(DKW_10Y!$A$2:$A$2918),Settings!$B$16&lt;MIN(DKW_10Y!$A$2:$A$2918)),NA(),(INDEX(DKW_10Y!$H$2:$H$2918,MATCH($A608,DKW_10Y!$A$2:$A$2918,1))-INDEX(DKW_10Y!$H$2:$H$2918,MATCH(Settings!$B$16,DKW_10Y!$A$2:$A$2918,1)))*100))</f>
        <v/>
      </c>
      <c r="AC608" s="18">
        <f>IF(NOT(ISNUMBER($A608)),NA(),IFERROR(1*INDEX(BBG_Data!$N$2:$N$4000,MATCH($A608,BBG_Data!$M$2:$M$4000,0)),NA()))</f>
        <v/>
      </c>
      <c r="AD608" s="18">
        <f>IF(NOT(ISNUMBER($A608)),NA(),IFERROR(1*INDEX(BBG_Data!$P$2:$P$4000,MATCH($A608,BBG_Data!$O$2:$O$4000,0)),NA()))</f>
        <v/>
      </c>
      <c r="AE608" s="18">
        <f>IF(NOT(ISNUMBER($A608)),NA(),IFERROR(1*INDEX(BBG_Data!$R$2:$R$4000,MATCH($A608,BBG_Data!$Q$2:$Q$4000,0)),NA()))</f>
        <v/>
      </c>
      <c r="AF608" s="20">
        <f>IF(AND(ISNUMBER(B608),ISNUMBER(AC608)),(B608-AC608)*100,NA())</f>
        <v/>
      </c>
      <c r="AG608" s="20">
        <f>IF(AND(ISNUMBER(AE608),ISNUMBER(AD608)),(AE608-AD608)*100,NA())</f>
        <v/>
      </c>
      <c r="AH608" s="19">
        <f>IF(NOT(ISNUMBER($A608)),NA(),IFERROR(INDEX(BBG_Data!$T$2:$T$4000,MATCH($A608,BBG_Data!$S$2:$S$4000,0))*Settings!$B$25,NA()))</f>
        <v/>
      </c>
      <c r="AI608" s="19">
        <f>IF(NOT(ISNUMBER($A608)),NA(),IFERROR(INDEX(BBG_Data!$V$2:$V$4000,MATCH($A608,BBG_Data!$U$2:$U$4000,0))*Settings!$B$25,NA()))</f>
        <v/>
      </c>
      <c r="AJ608" s="19">
        <f>IF(NOT(ISNUMBER($A608)),NA(),IFERROR(1*INDEX(BBG_Data!$X$2:$X$4000,MATCH($A608,BBG_Data!$W$2:$W$4000,0)),NA()))</f>
        <v/>
      </c>
      <c r="AK608" s="19">
        <f>IF(NOT(ISNUMBER($A608)),NA(),IFERROR(1*INDEX(BBG_Data!$Z$2:$Z$4000,MATCH($A608,BBG_Data!$Y$2:$Y$4000,0)),NA()))</f>
        <v/>
      </c>
    </row>
    <row r="609">
      <c r="A609" s="17">
        <f>IF(ISNUMBER(BBG_Data!A609),BBG_Data!A609,"")</f>
        <v/>
      </c>
      <c r="B609" s="18">
        <f>IF(AND(ISNUMBER($A609),ISNUMBER(BBG_Data!B609)),BBG_Data!B609,NA())</f>
        <v/>
      </c>
      <c r="C609" s="18">
        <f>IF(NOT(ISNUMBER($A609)),NA(),IFERROR(1*INDEX(BBG_Data!$D$2:$D$4000,MATCH($A609,BBG_Data!$C$2:$C$4000,0)),NA()))</f>
        <v/>
      </c>
      <c r="D609" s="19">
        <f>IF(NOT(ISNUMBER($A609)),NA(),IFERROR(1*INDEX(BBG_Data!$F$2:$F$4000,MATCH($A609,BBG_Data!$E$2:$E$4000,0)),NA()))</f>
        <v/>
      </c>
      <c r="E609" s="19">
        <f>IF(NOT(ISNUMBER($A609)),NA(),IFERROR(1*INDEX(BBG_Data!$H$2:$H$4000,MATCH($A609,BBG_Data!$G$2:$G$4000,0)),NA()))</f>
        <v/>
      </c>
      <c r="F609" s="20">
        <f>IF(AND(ISNUMBER(B609),ISNUMBER(B608)),IF(B609=B608,"",(B609-B608)*100),"")</f>
        <v/>
      </c>
      <c r="G609" s="20">
        <f>IF(AND(ISNUMBER(C609),ISNUMBER(C608)),IF(C609=C608,"",(C609-C608)*100),"")</f>
        <v/>
      </c>
      <c r="H609" s="20">
        <f>IF(OR(NOT(ISNUMBER($A609)),ROW()-2&lt;Settings!$B$11),NA(),IF(COUNT(OFFSET(F609,1-Settings!$B$11,0,Settings!$B$11,1))&lt;ROUNDUP(Settings!$B$11*Settings!$B$26,0),NA(),STDEV(OFFSET(F609,1-Settings!$B$11,0,Settings!$B$11,1))*SQRT(Settings!$B$13)))</f>
        <v/>
      </c>
      <c r="I609" s="20">
        <f>IF(OR(NOT(ISNUMBER($A609)),ROW()-2&lt;Settings!$B$12),NA(),IF(COUNT(OFFSET(F609,1-Settings!$B$12,0,Settings!$B$12,1))&lt;ROUNDUP(Settings!$B$12*Settings!$B$26,0),NA(),STDEV(OFFSET(F609,1-Settings!$B$12,0,Settings!$B$12,1))*SQRT(Settings!$B$13)))</f>
        <v/>
      </c>
      <c r="J609" s="20">
        <f>IF(OR(NOT(ISNUMBER($A609)),ROW()-2&lt;Settings!$B$11),NA(),IF(COUNT(OFFSET(G609,1-Settings!$B$11,0,Settings!$B$11,1))&lt;ROUNDUP(Settings!$B$11*Settings!$B$26,0),NA(),STDEV(OFFSET(G609,1-Settings!$B$11,0,Settings!$B$11,1))*SQRT(Settings!$B$13)))</f>
        <v/>
      </c>
      <c r="K609" s="20">
        <f>IF(OR(NOT(ISNUMBER($A609)),ROW()-2&lt;Settings!$B$12),NA(),IF(COUNT(OFFSET(G609,1-Settings!$B$12,0,Settings!$B$12,1))&lt;ROUNDUP(Settings!$B$12*Settings!$B$26,0),NA(),STDEV(OFFSET(G609,1-Settings!$B$12,0,Settings!$B$12,1))*SQRT(Settings!$B$13)))</f>
        <v/>
      </c>
      <c r="L609" s="20">
        <f>IF(AND(ISNUMBER(D609),ISNUMBER(H609)),D609-H609,NA())</f>
        <v/>
      </c>
      <c r="M609" s="20">
        <f>IF(AND(ISNUMBER(E609),ISNUMBER(K609)),E609-K609,NA())</f>
        <v/>
      </c>
      <c r="N609" s="20">
        <f>IF(NOT(ISNUMBER($A609)),NA(),IF(COUNT(OFFSET(G609,1,0,Settings!$B$12,1))&lt;ROUNDUP(Settings!$B$12*Settings!$B$26,0),NA(),STDEV(OFFSET(G609,1,0,Settings!$B$12,1))*SQRT(Settings!$B$13)))</f>
        <v/>
      </c>
      <c r="O609" s="20">
        <f>IF(AND(ISNUMBER(E609),ISNUMBER(N609)),E609-N609,NA())</f>
        <v/>
      </c>
      <c r="P609" s="19">
        <f>IF(NOT(ISNUMBER($A609)),NA(),IF(OR($A609&lt;MIN(KW_TP!$A$2:$A$2501),$A609&gt;MAX(KW_TP!$A$2:$A$2501)),NA(),INDEX(KW_TP!$C$2:$C$2501,MATCH($A609,KW_TP!$A$2:$A$2501,1))))</f>
        <v/>
      </c>
      <c r="Q609" s="18">
        <f>IF(NOT(ISNUMBER($A609)),NA(),IFERROR(1*INDEX(BBG_Data!$J$2:$J$4000,MATCH($A609,BBG_Data!$I$2:$I$4000,0)),NA()))</f>
        <v/>
      </c>
      <c r="R609" s="18">
        <f>IF(NOT(ISNUMBER($A609)),NA(),IFERROR(1*INDEX(BBG_Data!$L$2:$L$4000,MATCH($A609,BBG_Data!$K$2:$K$4000,0)),NA()))</f>
        <v/>
      </c>
      <c r="S609" s="20">
        <f>IF(AND(ISNUMBER(B609),ISNUMBER(Q609),ISNUMBER(R609)),(B609-Q609-R609)*100,NA())</f>
        <v/>
      </c>
      <c r="T609" s="20">
        <f>IF(AND(ISNUMBER(B609),Settings!$B$17&gt;0),IF(ISNUMBER(INDEX($B:$B,Settings!$B$17)),(B609-INDEX($B:$B,Settings!$B$17))*100,NA()),NA())</f>
        <v/>
      </c>
      <c r="U609" s="20">
        <f>IF(AND(ISNUMBER(Q609),Settings!$B$17&gt;0),IF(ISNUMBER(INDEX($Q:$Q,Settings!$B$17)),(Q609-INDEX($Q:$Q,Settings!$B$17))*100,NA()),NA())</f>
        <v/>
      </c>
      <c r="V609" s="20">
        <f>IF(AND(ISNUMBER(R609),Settings!$B$17&gt;0),IF(ISNUMBER(INDEX($R:$R,Settings!$B$17)),(R609-INDEX($R:$R,Settings!$B$17))*100,NA()),NA())</f>
        <v/>
      </c>
      <c r="W609" s="20">
        <f>IF(AND(ISNUMBER(P609),Settings!$B$17&gt;0),IF(ISNUMBER(INDEX($P:$P,Settings!$B$17)),P609-INDEX($P:$P,Settings!$B$17),NA()),NA())</f>
        <v/>
      </c>
      <c r="X609" s="19">
        <f>IF(NOT(ISNUMBER($A609)),NA(),IF(OR($A609&lt;MIN(DKW_10Y!$A$2:$A$2918),$A609&gt;MAX(DKW_10Y!$A$2:$A$2918),Settings!$B$16&lt;MIN(DKW_10Y!$A$2:$A$2918)),NA(),(INDEX(DKW_10Y!$B$2:$B$2918,MATCH($A609,DKW_10Y!$A$2:$A$2918,1))-INDEX(DKW_10Y!$B$2:$B$2918,MATCH(Settings!$B$16,DKW_10Y!$A$2:$A$2918,1)))*100))</f>
        <v/>
      </c>
      <c r="Y609" s="19">
        <f>IF(NOT(ISNUMBER($A609)),NA(),IF(OR($A609&lt;MIN(DKW_10Y!$A$2:$A$2918),$A609&gt;MAX(DKW_10Y!$A$2:$A$2918),Settings!$B$16&lt;MIN(DKW_10Y!$A$2:$A$2918)),NA(),(INDEX(DKW_10Y!$C$2:$C$2918,MATCH($A609,DKW_10Y!$A$2:$A$2918,1))-INDEX(DKW_10Y!$C$2:$C$2918,MATCH(Settings!$B$16,DKW_10Y!$A$2:$A$2918,1)))*100))</f>
        <v/>
      </c>
      <c r="Z609" s="19">
        <f>IF(NOT(ISNUMBER($A609)),NA(),IF(OR($A609&lt;MIN(DKW_10Y!$A$2:$A$2918),$A609&gt;MAX(DKW_10Y!$A$2:$A$2918),Settings!$B$16&lt;MIN(DKW_10Y!$A$2:$A$2918)),NA(),(INDEX(DKW_10Y!$D$2:$D$2918,MATCH($A609,DKW_10Y!$A$2:$A$2918,1))-INDEX(DKW_10Y!$D$2:$D$2918,MATCH(Settings!$B$16,DKW_10Y!$A$2:$A$2918,1)))*100))</f>
        <v/>
      </c>
      <c r="AA609" s="19">
        <f>IF(NOT(ISNUMBER($A609)),NA(),IF(OR($A609&lt;MIN(DKW_10Y!$A$2:$A$2918),$A609&gt;MAX(DKW_10Y!$A$2:$A$2918),Settings!$B$16&lt;MIN(DKW_10Y!$A$2:$A$2918)),NA(),(INDEX(DKW_10Y!$E$2:$E$2918,MATCH($A609,DKW_10Y!$A$2:$A$2918,1))-INDEX(DKW_10Y!$E$2:$E$2918,MATCH(Settings!$B$16,DKW_10Y!$A$2:$A$2918,1)))*100))</f>
        <v/>
      </c>
      <c r="AB609" s="19">
        <f>IF(NOT(ISNUMBER($A609)),NA(),IF(OR($A609&lt;MIN(DKW_10Y!$A$2:$A$2918),$A609&gt;MAX(DKW_10Y!$A$2:$A$2918),Settings!$B$16&lt;MIN(DKW_10Y!$A$2:$A$2918)),NA(),(INDEX(DKW_10Y!$H$2:$H$2918,MATCH($A609,DKW_10Y!$A$2:$A$2918,1))-INDEX(DKW_10Y!$H$2:$H$2918,MATCH(Settings!$B$16,DKW_10Y!$A$2:$A$2918,1)))*100))</f>
        <v/>
      </c>
      <c r="AC609" s="18">
        <f>IF(NOT(ISNUMBER($A609)),NA(),IFERROR(1*INDEX(BBG_Data!$N$2:$N$4000,MATCH($A609,BBG_Data!$M$2:$M$4000,0)),NA()))</f>
        <v/>
      </c>
      <c r="AD609" s="18">
        <f>IF(NOT(ISNUMBER($A609)),NA(),IFERROR(1*INDEX(BBG_Data!$P$2:$P$4000,MATCH($A609,BBG_Data!$O$2:$O$4000,0)),NA()))</f>
        <v/>
      </c>
      <c r="AE609" s="18">
        <f>IF(NOT(ISNUMBER($A609)),NA(),IFERROR(1*INDEX(BBG_Data!$R$2:$R$4000,MATCH($A609,BBG_Data!$Q$2:$Q$4000,0)),NA()))</f>
        <v/>
      </c>
      <c r="AF609" s="20">
        <f>IF(AND(ISNUMBER(B609),ISNUMBER(AC609)),(B609-AC609)*100,NA())</f>
        <v/>
      </c>
      <c r="AG609" s="20">
        <f>IF(AND(ISNUMBER(AE609),ISNUMBER(AD609)),(AE609-AD609)*100,NA())</f>
        <v/>
      </c>
      <c r="AH609" s="19">
        <f>IF(NOT(ISNUMBER($A609)),NA(),IFERROR(INDEX(BBG_Data!$T$2:$T$4000,MATCH($A609,BBG_Data!$S$2:$S$4000,0))*Settings!$B$25,NA()))</f>
        <v/>
      </c>
      <c r="AI609" s="19">
        <f>IF(NOT(ISNUMBER($A609)),NA(),IFERROR(INDEX(BBG_Data!$V$2:$V$4000,MATCH($A609,BBG_Data!$U$2:$U$4000,0))*Settings!$B$25,NA()))</f>
        <v/>
      </c>
      <c r="AJ609" s="19">
        <f>IF(NOT(ISNUMBER($A609)),NA(),IFERROR(1*INDEX(BBG_Data!$X$2:$X$4000,MATCH($A609,BBG_Data!$W$2:$W$4000,0)),NA()))</f>
        <v/>
      </c>
      <c r="AK609" s="19">
        <f>IF(NOT(ISNUMBER($A609)),NA(),IFERROR(1*INDEX(BBG_Data!$Z$2:$Z$4000,MATCH($A609,BBG_Data!$Y$2:$Y$4000,0)),NA()))</f>
        <v/>
      </c>
    </row>
    <row r="610">
      <c r="A610" s="17">
        <f>IF(ISNUMBER(BBG_Data!A610),BBG_Data!A610,"")</f>
        <v/>
      </c>
      <c r="B610" s="18">
        <f>IF(AND(ISNUMBER($A610),ISNUMBER(BBG_Data!B610)),BBG_Data!B610,NA())</f>
        <v/>
      </c>
      <c r="C610" s="18">
        <f>IF(NOT(ISNUMBER($A610)),NA(),IFERROR(1*INDEX(BBG_Data!$D$2:$D$4000,MATCH($A610,BBG_Data!$C$2:$C$4000,0)),NA()))</f>
        <v/>
      </c>
      <c r="D610" s="19">
        <f>IF(NOT(ISNUMBER($A610)),NA(),IFERROR(1*INDEX(BBG_Data!$F$2:$F$4000,MATCH($A610,BBG_Data!$E$2:$E$4000,0)),NA()))</f>
        <v/>
      </c>
      <c r="E610" s="19">
        <f>IF(NOT(ISNUMBER($A610)),NA(),IFERROR(1*INDEX(BBG_Data!$H$2:$H$4000,MATCH($A610,BBG_Data!$G$2:$G$4000,0)),NA()))</f>
        <v/>
      </c>
      <c r="F610" s="20">
        <f>IF(AND(ISNUMBER(B610),ISNUMBER(B609)),IF(B610=B609,"",(B610-B609)*100),"")</f>
        <v/>
      </c>
      <c r="G610" s="20">
        <f>IF(AND(ISNUMBER(C610),ISNUMBER(C609)),IF(C610=C609,"",(C610-C609)*100),"")</f>
        <v/>
      </c>
      <c r="H610" s="20">
        <f>IF(OR(NOT(ISNUMBER($A610)),ROW()-2&lt;Settings!$B$11),NA(),IF(COUNT(OFFSET(F610,1-Settings!$B$11,0,Settings!$B$11,1))&lt;ROUNDUP(Settings!$B$11*Settings!$B$26,0),NA(),STDEV(OFFSET(F610,1-Settings!$B$11,0,Settings!$B$11,1))*SQRT(Settings!$B$13)))</f>
        <v/>
      </c>
      <c r="I610" s="20">
        <f>IF(OR(NOT(ISNUMBER($A610)),ROW()-2&lt;Settings!$B$12),NA(),IF(COUNT(OFFSET(F610,1-Settings!$B$12,0,Settings!$B$12,1))&lt;ROUNDUP(Settings!$B$12*Settings!$B$26,0),NA(),STDEV(OFFSET(F610,1-Settings!$B$12,0,Settings!$B$12,1))*SQRT(Settings!$B$13)))</f>
        <v/>
      </c>
      <c r="J610" s="20">
        <f>IF(OR(NOT(ISNUMBER($A610)),ROW()-2&lt;Settings!$B$11),NA(),IF(COUNT(OFFSET(G610,1-Settings!$B$11,0,Settings!$B$11,1))&lt;ROUNDUP(Settings!$B$11*Settings!$B$26,0),NA(),STDEV(OFFSET(G610,1-Settings!$B$11,0,Settings!$B$11,1))*SQRT(Settings!$B$13)))</f>
        <v/>
      </c>
      <c r="K610" s="20">
        <f>IF(OR(NOT(ISNUMBER($A610)),ROW()-2&lt;Settings!$B$12),NA(),IF(COUNT(OFFSET(G610,1-Settings!$B$12,0,Settings!$B$12,1))&lt;ROUNDUP(Settings!$B$12*Settings!$B$26,0),NA(),STDEV(OFFSET(G610,1-Settings!$B$12,0,Settings!$B$12,1))*SQRT(Settings!$B$13)))</f>
        <v/>
      </c>
      <c r="L610" s="20">
        <f>IF(AND(ISNUMBER(D610),ISNUMBER(H610)),D610-H610,NA())</f>
        <v/>
      </c>
      <c r="M610" s="20">
        <f>IF(AND(ISNUMBER(E610),ISNUMBER(K610)),E610-K610,NA())</f>
        <v/>
      </c>
      <c r="N610" s="20">
        <f>IF(NOT(ISNUMBER($A610)),NA(),IF(COUNT(OFFSET(G610,1,0,Settings!$B$12,1))&lt;ROUNDUP(Settings!$B$12*Settings!$B$26,0),NA(),STDEV(OFFSET(G610,1,0,Settings!$B$12,1))*SQRT(Settings!$B$13)))</f>
        <v/>
      </c>
      <c r="O610" s="20">
        <f>IF(AND(ISNUMBER(E610),ISNUMBER(N610)),E610-N610,NA())</f>
        <v/>
      </c>
      <c r="P610" s="19">
        <f>IF(NOT(ISNUMBER($A610)),NA(),IF(OR($A610&lt;MIN(KW_TP!$A$2:$A$2501),$A610&gt;MAX(KW_TP!$A$2:$A$2501)),NA(),INDEX(KW_TP!$C$2:$C$2501,MATCH($A610,KW_TP!$A$2:$A$2501,1))))</f>
        <v/>
      </c>
      <c r="Q610" s="18">
        <f>IF(NOT(ISNUMBER($A610)),NA(),IFERROR(1*INDEX(BBG_Data!$J$2:$J$4000,MATCH($A610,BBG_Data!$I$2:$I$4000,0)),NA()))</f>
        <v/>
      </c>
      <c r="R610" s="18">
        <f>IF(NOT(ISNUMBER($A610)),NA(),IFERROR(1*INDEX(BBG_Data!$L$2:$L$4000,MATCH($A610,BBG_Data!$K$2:$K$4000,0)),NA()))</f>
        <v/>
      </c>
      <c r="S610" s="20">
        <f>IF(AND(ISNUMBER(B610),ISNUMBER(Q610),ISNUMBER(R610)),(B610-Q610-R610)*100,NA())</f>
        <v/>
      </c>
      <c r="T610" s="20">
        <f>IF(AND(ISNUMBER(B610),Settings!$B$17&gt;0),IF(ISNUMBER(INDEX($B:$B,Settings!$B$17)),(B610-INDEX($B:$B,Settings!$B$17))*100,NA()),NA())</f>
        <v/>
      </c>
      <c r="U610" s="20">
        <f>IF(AND(ISNUMBER(Q610),Settings!$B$17&gt;0),IF(ISNUMBER(INDEX($Q:$Q,Settings!$B$17)),(Q610-INDEX($Q:$Q,Settings!$B$17))*100,NA()),NA())</f>
        <v/>
      </c>
      <c r="V610" s="20">
        <f>IF(AND(ISNUMBER(R610),Settings!$B$17&gt;0),IF(ISNUMBER(INDEX($R:$R,Settings!$B$17)),(R610-INDEX($R:$R,Settings!$B$17))*100,NA()),NA())</f>
        <v/>
      </c>
      <c r="W610" s="20">
        <f>IF(AND(ISNUMBER(P610),Settings!$B$17&gt;0),IF(ISNUMBER(INDEX($P:$P,Settings!$B$17)),P610-INDEX($P:$P,Settings!$B$17),NA()),NA())</f>
        <v/>
      </c>
      <c r="X610" s="19">
        <f>IF(NOT(ISNUMBER($A610)),NA(),IF(OR($A610&lt;MIN(DKW_10Y!$A$2:$A$2918),$A610&gt;MAX(DKW_10Y!$A$2:$A$2918),Settings!$B$16&lt;MIN(DKW_10Y!$A$2:$A$2918)),NA(),(INDEX(DKW_10Y!$B$2:$B$2918,MATCH($A610,DKW_10Y!$A$2:$A$2918,1))-INDEX(DKW_10Y!$B$2:$B$2918,MATCH(Settings!$B$16,DKW_10Y!$A$2:$A$2918,1)))*100))</f>
        <v/>
      </c>
      <c r="Y610" s="19">
        <f>IF(NOT(ISNUMBER($A610)),NA(),IF(OR($A610&lt;MIN(DKW_10Y!$A$2:$A$2918),$A610&gt;MAX(DKW_10Y!$A$2:$A$2918),Settings!$B$16&lt;MIN(DKW_10Y!$A$2:$A$2918)),NA(),(INDEX(DKW_10Y!$C$2:$C$2918,MATCH($A610,DKW_10Y!$A$2:$A$2918,1))-INDEX(DKW_10Y!$C$2:$C$2918,MATCH(Settings!$B$16,DKW_10Y!$A$2:$A$2918,1)))*100))</f>
        <v/>
      </c>
      <c r="Z610" s="19">
        <f>IF(NOT(ISNUMBER($A610)),NA(),IF(OR($A610&lt;MIN(DKW_10Y!$A$2:$A$2918),$A610&gt;MAX(DKW_10Y!$A$2:$A$2918),Settings!$B$16&lt;MIN(DKW_10Y!$A$2:$A$2918)),NA(),(INDEX(DKW_10Y!$D$2:$D$2918,MATCH($A610,DKW_10Y!$A$2:$A$2918,1))-INDEX(DKW_10Y!$D$2:$D$2918,MATCH(Settings!$B$16,DKW_10Y!$A$2:$A$2918,1)))*100))</f>
        <v/>
      </c>
      <c r="AA610" s="19">
        <f>IF(NOT(ISNUMBER($A610)),NA(),IF(OR($A610&lt;MIN(DKW_10Y!$A$2:$A$2918),$A610&gt;MAX(DKW_10Y!$A$2:$A$2918),Settings!$B$16&lt;MIN(DKW_10Y!$A$2:$A$2918)),NA(),(INDEX(DKW_10Y!$E$2:$E$2918,MATCH($A610,DKW_10Y!$A$2:$A$2918,1))-INDEX(DKW_10Y!$E$2:$E$2918,MATCH(Settings!$B$16,DKW_10Y!$A$2:$A$2918,1)))*100))</f>
        <v/>
      </c>
      <c r="AB610" s="19">
        <f>IF(NOT(ISNUMBER($A610)),NA(),IF(OR($A610&lt;MIN(DKW_10Y!$A$2:$A$2918),$A610&gt;MAX(DKW_10Y!$A$2:$A$2918),Settings!$B$16&lt;MIN(DKW_10Y!$A$2:$A$2918)),NA(),(INDEX(DKW_10Y!$H$2:$H$2918,MATCH($A610,DKW_10Y!$A$2:$A$2918,1))-INDEX(DKW_10Y!$H$2:$H$2918,MATCH(Settings!$B$16,DKW_10Y!$A$2:$A$2918,1)))*100))</f>
        <v/>
      </c>
      <c r="AC610" s="18">
        <f>IF(NOT(ISNUMBER($A610)),NA(),IFERROR(1*INDEX(BBG_Data!$N$2:$N$4000,MATCH($A610,BBG_Data!$M$2:$M$4000,0)),NA()))</f>
        <v/>
      </c>
      <c r="AD610" s="18">
        <f>IF(NOT(ISNUMBER($A610)),NA(),IFERROR(1*INDEX(BBG_Data!$P$2:$P$4000,MATCH($A610,BBG_Data!$O$2:$O$4000,0)),NA()))</f>
        <v/>
      </c>
      <c r="AE610" s="18">
        <f>IF(NOT(ISNUMBER($A610)),NA(),IFERROR(1*INDEX(BBG_Data!$R$2:$R$4000,MATCH($A610,BBG_Data!$Q$2:$Q$4000,0)),NA()))</f>
        <v/>
      </c>
      <c r="AF610" s="20">
        <f>IF(AND(ISNUMBER(B610),ISNUMBER(AC610)),(B610-AC610)*100,NA())</f>
        <v/>
      </c>
      <c r="AG610" s="20">
        <f>IF(AND(ISNUMBER(AE610),ISNUMBER(AD610)),(AE610-AD610)*100,NA())</f>
        <v/>
      </c>
      <c r="AH610" s="19">
        <f>IF(NOT(ISNUMBER($A610)),NA(),IFERROR(INDEX(BBG_Data!$T$2:$T$4000,MATCH($A610,BBG_Data!$S$2:$S$4000,0))*Settings!$B$25,NA()))</f>
        <v/>
      </c>
      <c r="AI610" s="19">
        <f>IF(NOT(ISNUMBER($A610)),NA(),IFERROR(INDEX(BBG_Data!$V$2:$V$4000,MATCH($A610,BBG_Data!$U$2:$U$4000,0))*Settings!$B$25,NA()))</f>
        <v/>
      </c>
      <c r="AJ610" s="19">
        <f>IF(NOT(ISNUMBER($A610)),NA(),IFERROR(1*INDEX(BBG_Data!$X$2:$X$4000,MATCH($A610,BBG_Data!$W$2:$W$4000,0)),NA()))</f>
        <v/>
      </c>
      <c r="AK610" s="19">
        <f>IF(NOT(ISNUMBER($A610)),NA(),IFERROR(1*INDEX(BBG_Data!$Z$2:$Z$4000,MATCH($A610,BBG_Data!$Y$2:$Y$4000,0)),NA()))</f>
        <v/>
      </c>
    </row>
    <row r="611">
      <c r="A611" s="17">
        <f>IF(ISNUMBER(BBG_Data!A611),BBG_Data!A611,"")</f>
        <v/>
      </c>
      <c r="B611" s="18">
        <f>IF(AND(ISNUMBER($A611),ISNUMBER(BBG_Data!B611)),BBG_Data!B611,NA())</f>
        <v/>
      </c>
      <c r="C611" s="18">
        <f>IF(NOT(ISNUMBER($A611)),NA(),IFERROR(1*INDEX(BBG_Data!$D$2:$D$4000,MATCH($A611,BBG_Data!$C$2:$C$4000,0)),NA()))</f>
        <v/>
      </c>
      <c r="D611" s="19">
        <f>IF(NOT(ISNUMBER($A611)),NA(),IFERROR(1*INDEX(BBG_Data!$F$2:$F$4000,MATCH($A611,BBG_Data!$E$2:$E$4000,0)),NA()))</f>
        <v/>
      </c>
      <c r="E611" s="19">
        <f>IF(NOT(ISNUMBER($A611)),NA(),IFERROR(1*INDEX(BBG_Data!$H$2:$H$4000,MATCH($A611,BBG_Data!$G$2:$G$4000,0)),NA()))</f>
        <v/>
      </c>
      <c r="F611" s="20">
        <f>IF(AND(ISNUMBER(B611),ISNUMBER(B610)),IF(B611=B610,"",(B611-B610)*100),"")</f>
        <v/>
      </c>
      <c r="G611" s="20">
        <f>IF(AND(ISNUMBER(C611),ISNUMBER(C610)),IF(C611=C610,"",(C611-C610)*100),"")</f>
        <v/>
      </c>
      <c r="H611" s="20">
        <f>IF(OR(NOT(ISNUMBER($A611)),ROW()-2&lt;Settings!$B$11),NA(),IF(COUNT(OFFSET(F611,1-Settings!$B$11,0,Settings!$B$11,1))&lt;ROUNDUP(Settings!$B$11*Settings!$B$26,0),NA(),STDEV(OFFSET(F611,1-Settings!$B$11,0,Settings!$B$11,1))*SQRT(Settings!$B$13)))</f>
        <v/>
      </c>
      <c r="I611" s="20">
        <f>IF(OR(NOT(ISNUMBER($A611)),ROW()-2&lt;Settings!$B$12),NA(),IF(COUNT(OFFSET(F611,1-Settings!$B$12,0,Settings!$B$12,1))&lt;ROUNDUP(Settings!$B$12*Settings!$B$26,0),NA(),STDEV(OFFSET(F611,1-Settings!$B$12,0,Settings!$B$12,1))*SQRT(Settings!$B$13)))</f>
        <v/>
      </c>
      <c r="J611" s="20">
        <f>IF(OR(NOT(ISNUMBER($A611)),ROW()-2&lt;Settings!$B$11),NA(),IF(COUNT(OFFSET(G611,1-Settings!$B$11,0,Settings!$B$11,1))&lt;ROUNDUP(Settings!$B$11*Settings!$B$26,0),NA(),STDEV(OFFSET(G611,1-Settings!$B$11,0,Settings!$B$11,1))*SQRT(Settings!$B$13)))</f>
        <v/>
      </c>
      <c r="K611" s="20">
        <f>IF(OR(NOT(ISNUMBER($A611)),ROW()-2&lt;Settings!$B$12),NA(),IF(COUNT(OFFSET(G611,1-Settings!$B$12,0,Settings!$B$12,1))&lt;ROUNDUP(Settings!$B$12*Settings!$B$26,0),NA(),STDEV(OFFSET(G611,1-Settings!$B$12,0,Settings!$B$12,1))*SQRT(Settings!$B$13)))</f>
        <v/>
      </c>
      <c r="L611" s="20">
        <f>IF(AND(ISNUMBER(D611),ISNUMBER(H611)),D611-H611,NA())</f>
        <v/>
      </c>
      <c r="M611" s="20">
        <f>IF(AND(ISNUMBER(E611),ISNUMBER(K611)),E611-K611,NA())</f>
        <v/>
      </c>
      <c r="N611" s="20">
        <f>IF(NOT(ISNUMBER($A611)),NA(),IF(COUNT(OFFSET(G611,1,0,Settings!$B$12,1))&lt;ROUNDUP(Settings!$B$12*Settings!$B$26,0),NA(),STDEV(OFFSET(G611,1,0,Settings!$B$12,1))*SQRT(Settings!$B$13)))</f>
        <v/>
      </c>
      <c r="O611" s="20">
        <f>IF(AND(ISNUMBER(E611),ISNUMBER(N611)),E611-N611,NA())</f>
        <v/>
      </c>
      <c r="P611" s="19">
        <f>IF(NOT(ISNUMBER($A611)),NA(),IF(OR($A611&lt;MIN(KW_TP!$A$2:$A$2501),$A611&gt;MAX(KW_TP!$A$2:$A$2501)),NA(),INDEX(KW_TP!$C$2:$C$2501,MATCH($A611,KW_TP!$A$2:$A$2501,1))))</f>
        <v/>
      </c>
      <c r="Q611" s="18">
        <f>IF(NOT(ISNUMBER($A611)),NA(),IFERROR(1*INDEX(BBG_Data!$J$2:$J$4000,MATCH($A611,BBG_Data!$I$2:$I$4000,0)),NA()))</f>
        <v/>
      </c>
      <c r="R611" s="18">
        <f>IF(NOT(ISNUMBER($A611)),NA(),IFERROR(1*INDEX(BBG_Data!$L$2:$L$4000,MATCH($A611,BBG_Data!$K$2:$K$4000,0)),NA()))</f>
        <v/>
      </c>
      <c r="S611" s="20">
        <f>IF(AND(ISNUMBER(B611),ISNUMBER(Q611),ISNUMBER(R611)),(B611-Q611-R611)*100,NA())</f>
        <v/>
      </c>
      <c r="T611" s="20">
        <f>IF(AND(ISNUMBER(B611),Settings!$B$17&gt;0),IF(ISNUMBER(INDEX($B:$B,Settings!$B$17)),(B611-INDEX($B:$B,Settings!$B$17))*100,NA()),NA())</f>
        <v/>
      </c>
      <c r="U611" s="20">
        <f>IF(AND(ISNUMBER(Q611),Settings!$B$17&gt;0),IF(ISNUMBER(INDEX($Q:$Q,Settings!$B$17)),(Q611-INDEX($Q:$Q,Settings!$B$17))*100,NA()),NA())</f>
        <v/>
      </c>
      <c r="V611" s="20">
        <f>IF(AND(ISNUMBER(R611),Settings!$B$17&gt;0),IF(ISNUMBER(INDEX($R:$R,Settings!$B$17)),(R611-INDEX($R:$R,Settings!$B$17))*100,NA()),NA())</f>
        <v/>
      </c>
      <c r="W611" s="20">
        <f>IF(AND(ISNUMBER(P611),Settings!$B$17&gt;0),IF(ISNUMBER(INDEX($P:$P,Settings!$B$17)),P611-INDEX($P:$P,Settings!$B$17),NA()),NA())</f>
        <v/>
      </c>
      <c r="X611" s="19">
        <f>IF(NOT(ISNUMBER($A611)),NA(),IF(OR($A611&lt;MIN(DKW_10Y!$A$2:$A$2918),$A611&gt;MAX(DKW_10Y!$A$2:$A$2918),Settings!$B$16&lt;MIN(DKW_10Y!$A$2:$A$2918)),NA(),(INDEX(DKW_10Y!$B$2:$B$2918,MATCH($A611,DKW_10Y!$A$2:$A$2918,1))-INDEX(DKW_10Y!$B$2:$B$2918,MATCH(Settings!$B$16,DKW_10Y!$A$2:$A$2918,1)))*100))</f>
        <v/>
      </c>
      <c r="Y611" s="19">
        <f>IF(NOT(ISNUMBER($A611)),NA(),IF(OR($A611&lt;MIN(DKW_10Y!$A$2:$A$2918),$A611&gt;MAX(DKW_10Y!$A$2:$A$2918),Settings!$B$16&lt;MIN(DKW_10Y!$A$2:$A$2918)),NA(),(INDEX(DKW_10Y!$C$2:$C$2918,MATCH($A611,DKW_10Y!$A$2:$A$2918,1))-INDEX(DKW_10Y!$C$2:$C$2918,MATCH(Settings!$B$16,DKW_10Y!$A$2:$A$2918,1)))*100))</f>
        <v/>
      </c>
      <c r="Z611" s="19">
        <f>IF(NOT(ISNUMBER($A611)),NA(),IF(OR($A611&lt;MIN(DKW_10Y!$A$2:$A$2918),$A611&gt;MAX(DKW_10Y!$A$2:$A$2918),Settings!$B$16&lt;MIN(DKW_10Y!$A$2:$A$2918)),NA(),(INDEX(DKW_10Y!$D$2:$D$2918,MATCH($A611,DKW_10Y!$A$2:$A$2918,1))-INDEX(DKW_10Y!$D$2:$D$2918,MATCH(Settings!$B$16,DKW_10Y!$A$2:$A$2918,1)))*100))</f>
        <v/>
      </c>
      <c r="AA611" s="19">
        <f>IF(NOT(ISNUMBER($A611)),NA(),IF(OR($A611&lt;MIN(DKW_10Y!$A$2:$A$2918),$A611&gt;MAX(DKW_10Y!$A$2:$A$2918),Settings!$B$16&lt;MIN(DKW_10Y!$A$2:$A$2918)),NA(),(INDEX(DKW_10Y!$E$2:$E$2918,MATCH($A611,DKW_10Y!$A$2:$A$2918,1))-INDEX(DKW_10Y!$E$2:$E$2918,MATCH(Settings!$B$16,DKW_10Y!$A$2:$A$2918,1)))*100))</f>
        <v/>
      </c>
      <c r="AB611" s="19">
        <f>IF(NOT(ISNUMBER($A611)),NA(),IF(OR($A611&lt;MIN(DKW_10Y!$A$2:$A$2918),$A611&gt;MAX(DKW_10Y!$A$2:$A$2918),Settings!$B$16&lt;MIN(DKW_10Y!$A$2:$A$2918)),NA(),(INDEX(DKW_10Y!$H$2:$H$2918,MATCH($A611,DKW_10Y!$A$2:$A$2918,1))-INDEX(DKW_10Y!$H$2:$H$2918,MATCH(Settings!$B$16,DKW_10Y!$A$2:$A$2918,1)))*100))</f>
        <v/>
      </c>
      <c r="AC611" s="18">
        <f>IF(NOT(ISNUMBER($A611)),NA(),IFERROR(1*INDEX(BBG_Data!$N$2:$N$4000,MATCH($A611,BBG_Data!$M$2:$M$4000,0)),NA()))</f>
        <v/>
      </c>
      <c r="AD611" s="18">
        <f>IF(NOT(ISNUMBER($A611)),NA(),IFERROR(1*INDEX(BBG_Data!$P$2:$P$4000,MATCH($A611,BBG_Data!$O$2:$O$4000,0)),NA()))</f>
        <v/>
      </c>
      <c r="AE611" s="18">
        <f>IF(NOT(ISNUMBER($A611)),NA(),IFERROR(1*INDEX(BBG_Data!$R$2:$R$4000,MATCH($A611,BBG_Data!$Q$2:$Q$4000,0)),NA()))</f>
        <v/>
      </c>
      <c r="AF611" s="20">
        <f>IF(AND(ISNUMBER(B611),ISNUMBER(AC611)),(B611-AC611)*100,NA())</f>
        <v/>
      </c>
      <c r="AG611" s="20">
        <f>IF(AND(ISNUMBER(AE611),ISNUMBER(AD611)),(AE611-AD611)*100,NA())</f>
        <v/>
      </c>
      <c r="AH611" s="19">
        <f>IF(NOT(ISNUMBER($A611)),NA(),IFERROR(INDEX(BBG_Data!$T$2:$T$4000,MATCH($A611,BBG_Data!$S$2:$S$4000,0))*Settings!$B$25,NA()))</f>
        <v/>
      </c>
      <c r="AI611" s="19">
        <f>IF(NOT(ISNUMBER($A611)),NA(),IFERROR(INDEX(BBG_Data!$V$2:$V$4000,MATCH($A611,BBG_Data!$U$2:$U$4000,0))*Settings!$B$25,NA()))</f>
        <v/>
      </c>
      <c r="AJ611" s="19">
        <f>IF(NOT(ISNUMBER($A611)),NA(),IFERROR(1*INDEX(BBG_Data!$X$2:$X$4000,MATCH($A611,BBG_Data!$W$2:$W$4000,0)),NA()))</f>
        <v/>
      </c>
      <c r="AK611" s="19">
        <f>IF(NOT(ISNUMBER($A611)),NA(),IFERROR(1*INDEX(BBG_Data!$Z$2:$Z$4000,MATCH($A611,BBG_Data!$Y$2:$Y$4000,0)),NA()))</f>
        <v/>
      </c>
    </row>
    <row r="612">
      <c r="A612" s="17">
        <f>IF(ISNUMBER(BBG_Data!A612),BBG_Data!A612,"")</f>
        <v/>
      </c>
      <c r="B612" s="18">
        <f>IF(AND(ISNUMBER($A612),ISNUMBER(BBG_Data!B612)),BBG_Data!B612,NA())</f>
        <v/>
      </c>
      <c r="C612" s="18">
        <f>IF(NOT(ISNUMBER($A612)),NA(),IFERROR(1*INDEX(BBG_Data!$D$2:$D$4000,MATCH($A612,BBG_Data!$C$2:$C$4000,0)),NA()))</f>
        <v/>
      </c>
      <c r="D612" s="19">
        <f>IF(NOT(ISNUMBER($A612)),NA(),IFERROR(1*INDEX(BBG_Data!$F$2:$F$4000,MATCH($A612,BBG_Data!$E$2:$E$4000,0)),NA()))</f>
        <v/>
      </c>
      <c r="E612" s="19">
        <f>IF(NOT(ISNUMBER($A612)),NA(),IFERROR(1*INDEX(BBG_Data!$H$2:$H$4000,MATCH($A612,BBG_Data!$G$2:$G$4000,0)),NA()))</f>
        <v/>
      </c>
      <c r="F612" s="20">
        <f>IF(AND(ISNUMBER(B612),ISNUMBER(B611)),IF(B612=B611,"",(B612-B611)*100),"")</f>
        <v/>
      </c>
      <c r="G612" s="20">
        <f>IF(AND(ISNUMBER(C612),ISNUMBER(C611)),IF(C612=C611,"",(C612-C611)*100),"")</f>
        <v/>
      </c>
      <c r="H612" s="20">
        <f>IF(OR(NOT(ISNUMBER($A612)),ROW()-2&lt;Settings!$B$11),NA(),IF(COUNT(OFFSET(F612,1-Settings!$B$11,0,Settings!$B$11,1))&lt;ROUNDUP(Settings!$B$11*Settings!$B$26,0),NA(),STDEV(OFFSET(F612,1-Settings!$B$11,0,Settings!$B$11,1))*SQRT(Settings!$B$13)))</f>
        <v/>
      </c>
      <c r="I612" s="20">
        <f>IF(OR(NOT(ISNUMBER($A612)),ROW()-2&lt;Settings!$B$12),NA(),IF(COUNT(OFFSET(F612,1-Settings!$B$12,0,Settings!$B$12,1))&lt;ROUNDUP(Settings!$B$12*Settings!$B$26,0),NA(),STDEV(OFFSET(F612,1-Settings!$B$12,0,Settings!$B$12,1))*SQRT(Settings!$B$13)))</f>
        <v/>
      </c>
      <c r="J612" s="20">
        <f>IF(OR(NOT(ISNUMBER($A612)),ROW()-2&lt;Settings!$B$11),NA(),IF(COUNT(OFFSET(G612,1-Settings!$B$11,0,Settings!$B$11,1))&lt;ROUNDUP(Settings!$B$11*Settings!$B$26,0),NA(),STDEV(OFFSET(G612,1-Settings!$B$11,0,Settings!$B$11,1))*SQRT(Settings!$B$13)))</f>
        <v/>
      </c>
      <c r="K612" s="20">
        <f>IF(OR(NOT(ISNUMBER($A612)),ROW()-2&lt;Settings!$B$12),NA(),IF(COUNT(OFFSET(G612,1-Settings!$B$12,0,Settings!$B$12,1))&lt;ROUNDUP(Settings!$B$12*Settings!$B$26,0),NA(),STDEV(OFFSET(G612,1-Settings!$B$12,0,Settings!$B$12,1))*SQRT(Settings!$B$13)))</f>
        <v/>
      </c>
      <c r="L612" s="20">
        <f>IF(AND(ISNUMBER(D612),ISNUMBER(H612)),D612-H612,NA())</f>
        <v/>
      </c>
      <c r="M612" s="20">
        <f>IF(AND(ISNUMBER(E612),ISNUMBER(K612)),E612-K612,NA())</f>
        <v/>
      </c>
      <c r="N612" s="20">
        <f>IF(NOT(ISNUMBER($A612)),NA(),IF(COUNT(OFFSET(G612,1,0,Settings!$B$12,1))&lt;ROUNDUP(Settings!$B$12*Settings!$B$26,0),NA(),STDEV(OFFSET(G612,1,0,Settings!$B$12,1))*SQRT(Settings!$B$13)))</f>
        <v/>
      </c>
      <c r="O612" s="20">
        <f>IF(AND(ISNUMBER(E612),ISNUMBER(N612)),E612-N612,NA())</f>
        <v/>
      </c>
      <c r="P612" s="19">
        <f>IF(NOT(ISNUMBER($A612)),NA(),IF(OR($A612&lt;MIN(KW_TP!$A$2:$A$2501),$A612&gt;MAX(KW_TP!$A$2:$A$2501)),NA(),INDEX(KW_TP!$C$2:$C$2501,MATCH($A612,KW_TP!$A$2:$A$2501,1))))</f>
        <v/>
      </c>
      <c r="Q612" s="18">
        <f>IF(NOT(ISNUMBER($A612)),NA(),IFERROR(1*INDEX(BBG_Data!$J$2:$J$4000,MATCH($A612,BBG_Data!$I$2:$I$4000,0)),NA()))</f>
        <v/>
      </c>
      <c r="R612" s="18">
        <f>IF(NOT(ISNUMBER($A612)),NA(),IFERROR(1*INDEX(BBG_Data!$L$2:$L$4000,MATCH($A612,BBG_Data!$K$2:$K$4000,0)),NA()))</f>
        <v/>
      </c>
      <c r="S612" s="20">
        <f>IF(AND(ISNUMBER(B612),ISNUMBER(Q612),ISNUMBER(R612)),(B612-Q612-R612)*100,NA())</f>
        <v/>
      </c>
      <c r="T612" s="20">
        <f>IF(AND(ISNUMBER(B612),Settings!$B$17&gt;0),IF(ISNUMBER(INDEX($B:$B,Settings!$B$17)),(B612-INDEX($B:$B,Settings!$B$17))*100,NA()),NA())</f>
        <v/>
      </c>
      <c r="U612" s="20">
        <f>IF(AND(ISNUMBER(Q612),Settings!$B$17&gt;0),IF(ISNUMBER(INDEX($Q:$Q,Settings!$B$17)),(Q612-INDEX($Q:$Q,Settings!$B$17))*100,NA()),NA())</f>
        <v/>
      </c>
      <c r="V612" s="20">
        <f>IF(AND(ISNUMBER(R612),Settings!$B$17&gt;0),IF(ISNUMBER(INDEX($R:$R,Settings!$B$17)),(R612-INDEX($R:$R,Settings!$B$17))*100,NA()),NA())</f>
        <v/>
      </c>
      <c r="W612" s="20">
        <f>IF(AND(ISNUMBER(P612),Settings!$B$17&gt;0),IF(ISNUMBER(INDEX($P:$P,Settings!$B$17)),P612-INDEX($P:$P,Settings!$B$17),NA()),NA())</f>
        <v/>
      </c>
      <c r="X612" s="19">
        <f>IF(NOT(ISNUMBER($A612)),NA(),IF(OR($A612&lt;MIN(DKW_10Y!$A$2:$A$2918),$A612&gt;MAX(DKW_10Y!$A$2:$A$2918),Settings!$B$16&lt;MIN(DKW_10Y!$A$2:$A$2918)),NA(),(INDEX(DKW_10Y!$B$2:$B$2918,MATCH($A612,DKW_10Y!$A$2:$A$2918,1))-INDEX(DKW_10Y!$B$2:$B$2918,MATCH(Settings!$B$16,DKW_10Y!$A$2:$A$2918,1)))*100))</f>
        <v/>
      </c>
      <c r="Y612" s="19">
        <f>IF(NOT(ISNUMBER($A612)),NA(),IF(OR($A612&lt;MIN(DKW_10Y!$A$2:$A$2918),$A612&gt;MAX(DKW_10Y!$A$2:$A$2918),Settings!$B$16&lt;MIN(DKW_10Y!$A$2:$A$2918)),NA(),(INDEX(DKW_10Y!$C$2:$C$2918,MATCH($A612,DKW_10Y!$A$2:$A$2918,1))-INDEX(DKW_10Y!$C$2:$C$2918,MATCH(Settings!$B$16,DKW_10Y!$A$2:$A$2918,1)))*100))</f>
        <v/>
      </c>
      <c r="Z612" s="19">
        <f>IF(NOT(ISNUMBER($A612)),NA(),IF(OR($A612&lt;MIN(DKW_10Y!$A$2:$A$2918),$A612&gt;MAX(DKW_10Y!$A$2:$A$2918),Settings!$B$16&lt;MIN(DKW_10Y!$A$2:$A$2918)),NA(),(INDEX(DKW_10Y!$D$2:$D$2918,MATCH($A612,DKW_10Y!$A$2:$A$2918,1))-INDEX(DKW_10Y!$D$2:$D$2918,MATCH(Settings!$B$16,DKW_10Y!$A$2:$A$2918,1)))*100))</f>
        <v/>
      </c>
      <c r="AA612" s="19">
        <f>IF(NOT(ISNUMBER($A612)),NA(),IF(OR($A612&lt;MIN(DKW_10Y!$A$2:$A$2918),$A612&gt;MAX(DKW_10Y!$A$2:$A$2918),Settings!$B$16&lt;MIN(DKW_10Y!$A$2:$A$2918)),NA(),(INDEX(DKW_10Y!$E$2:$E$2918,MATCH($A612,DKW_10Y!$A$2:$A$2918,1))-INDEX(DKW_10Y!$E$2:$E$2918,MATCH(Settings!$B$16,DKW_10Y!$A$2:$A$2918,1)))*100))</f>
        <v/>
      </c>
      <c r="AB612" s="19">
        <f>IF(NOT(ISNUMBER($A612)),NA(),IF(OR($A612&lt;MIN(DKW_10Y!$A$2:$A$2918),$A612&gt;MAX(DKW_10Y!$A$2:$A$2918),Settings!$B$16&lt;MIN(DKW_10Y!$A$2:$A$2918)),NA(),(INDEX(DKW_10Y!$H$2:$H$2918,MATCH($A612,DKW_10Y!$A$2:$A$2918,1))-INDEX(DKW_10Y!$H$2:$H$2918,MATCH(Settings!$B$16,DKW_10Y!$A$2:$A$2918,1)))*100))</f>
        <v/>
      </c>
      <c r="AC612" s="18">
        <f>IF(NOT(ISNUMBER($A612)),NA(),IFERROR(1*INDEX(BBG_Data!$N$2:$N$4000,MATCH($A612,BBG_Data!$M$2:$M$4000,0)),NA()))</f>
        <v/>
      </c>
      <c r="AD612" s="18">
        <f>IF(NOT(ISNUMBER($A612)),NA(),IFERROR(1*INDEX(BBG_Data!$P$2:$P$4000,MATCH($A612,BBG_Data!$O$2:$O$4000,0)),NA()))</f>
        <v/>
      </c>
      <c r="AE612" s="18">
        <f>IF(NOT(ISNUMBER($A612)),NA(),IFERROR(1*INDEX(BBG_Data!$R$2:$R$4000,MATCH($A612,BBG_Data!$Q$2:$Q$4000,0)),NA()))</f>
        <v/>
      </c>
      <c r="AF612" s="20">
        <f>IF(AND(ISNUMBER(B612),ISNUMBER(AC612)),(B612-AC612)*100,NA())</f>
        <v/>
      </c>
      <c r="AG612" s="20">
        <f>IF(AND(ISNUMBER(AE612),ISNUMBER(AD612)),(AE612-AD612)*100,NA())</f>
        <v/>
      </c>
      <c r="AH612" s="19">
        <f>IF(NOT(ISNUMBER($A612)),NA(),IFERROR(INDEX(BBG_Data!$T$2:$T$4000,MATCH($A612,BBG_Data!$S$2:$S$4000,0))*Settings!$B$25,NA()))</f>
        <v/>
      </c>
      <c r="AI612" s="19">
        <f>IF(NOT(ISNUMBER($A612)),NA(),IFERROR(INDEX(BBG_Data!$V$2:$V$4000,MATCH($A612,BBG_Data!$U$2:$U$4000,0))*Settings!$B$25,NA()))</f>
        <v/>
      </c>
      <c r="AJ612" s="19">
        <f>IF(NOT(ISNUMBER($A612)),NA(),IFERROR(1*INDEX(BBG_Data!$X$2:$X$4000,MATCH($A612,BBG_Data!$W$2:$W$4000,0)),NA()))</f>
        <v/>
      </c>
      <c r="AK612" s="19">
        <f>IF(NOT(ISNUMBER($A612)),NA(),IFERROR(1*INDEX(BBG_Data!$Z$2:$Z$4000,MATCH($A612,BBG_Data!$Y$2:$Y$4000,0)),NA()))</f>
        <v/>
      </c>
    </row>
    <row r="613">
      <c r="A613" s="17">
        <f>IF(ISNUMBER(BBG_Data!A613),BBG_Data!A613,"")</f>
        <v/>
      </c>
      <c r="B613" s="18">
        <f>IF(AND(ISNUMBER($A613),ISNUMBER(BBG_Data!B613)),BBG_Data!B613,NA())</f>
        <v/>
      </c>
      <c r="C613" s="18">
        <f>IF(NOT(ISNUMBER($A613)),NA(),IFERROR(1*INDEX(BBG_Data!$D$2:$D$4000,MATCH($A613,BBG_Data!$C$2:$C$4000,0)),NA()))</f>
        <v/>
      </c>
      <c r="D613" s="19">
        <f>IF(NOT(ISNUMBER($A613)),NA(),IFERROR(1*INDEX(BBG_Data!$F$2:$F$4000,MATCH($A613,BBG_Data!$E$2:$E$4000,0)),NA()))</f>
        <v/>
      </c>
      <c r="E613" s="19">
        <f>IF(NOT(ISNUMBER($A613)),NA(),IFERROR(1*INDEX(BBG_Data!$H$2:$H$4000,MATCH($A613,BBG_Data!$G$2:$G$4000,0)),NA()))</f>
        <v/>
      </c>
      <c r="F613" s="20">
        <f>IF(AND(ISNUMBER(B613),ISNUMBER(B612)),IF(B613=B612,"",(B613-B612)*100),"")</f>
        <v/>
      </c>
      <c r="G613" s="20">
        <f>IF(AND(ISNUMBER(C613),ISNUMBER(C612)),IF(C613=C612,"",(C613-C612)*100),"")</f>
        <v/>
      </c>
      <c r="H613" s="20">
        <f>IF(OR(NOT(ISNUMBER($A613)),ROW()-2&lt;Settings!$B$11),NA(),IF(COUNT(OFFSET(F613,1-Settings!$B$11,0,Settings!$B$11,1))&lt;ROUNDUP(Settings!$B$11*Settings!$B$26,0),NA(),STDEV(OFFSET(F613,1-Settings!$B$11,0,Settings!$B$11,1))*SQRT(Settings!$B$13)))</f>
        <v/>
      </c>
      <c r="I613" s="20">
        <f>IF(OR(NOT(ISNUMBER($A613)),ROW()-2&lt;Settings!$B$12),NA(),IF(COUNT(OFFSET(F613,1-Settings!$B$12,0,Settings!$B$12,1))&lt;ROUNDUP(Settings!$B$12*Settings!$B$26,0),NA(),STDEV(OFFSET(F613,1-Settings!$B$12,0,Settings!$B$12,1))*SQRT(Settings!$B$13)))</f>
        <v/>
      </c>
      <c r="J613" s="20">
        <f>IF(OR(NOT(ISNUMBER($A613)),ROW()-2&lt;Settings!$B$11),NA(),IF(COUNT(OFFSET(G613,1-Settings!$B$11,0,Settings!$B$11,1))&lt;ROUNDUP(Settings!$B$11*Settings!$B$26,0),NA(),STDEV(OFFSET(G613,1-Settings!$B$11,0,Settings!$B$11,1))*SQRT(Settings!$B$13)))</f>
        <v/>
      </c>
      <c r="K613" s="20">
        <f>IF(OR(NOT(ISNUMBER($A613)),ROW()-2&lt;Settings!$B$12),NA(),IF(COUNT(OFFSET(G613,1-Settings!$B$12,0,Settings!$B$12,1))&lt;ROUNDUP(Settings!$B$12*Settings!$B$26,0),NA(),STDEV(OFFSET(G613,1-Settings!$B$12,0,Settings!$B$12,1))*SQRT(Settings!$B$13)))</f>
        <v/>
      </c>
      <c r="L613" s="20">
        <f>IF(AND(ISNUMBER(D613),ISNUMBER(H613)),D613-H613,NA())</f>
        <v/>
      </c>
      <c r="M613" s="20">
        <f>IF(AND(ISNUMBER(E613),ISNUMBER(K613)),E613-K613,NA())</f>
        <v/>
      </c>
      <c r="N613" s="20">
        <f>IF(NOT(ISNUMBER($A613)),NA(),IF(COUNT(OFFSET(G613,1,0,Settings!$B$12,1))&lt;ROUNDUP(Settings!$B$12*Settings!$B$26,0),NA(),STDEV(OFFSET(G613,1,0,Settings!$B$12,1))*SQRT(Settings!$B$13)))</f>
        <v/>
      </c>
      <c r="O613" s="20">
        <f>IF(AND(ISNUMBER(E613),ISNUMBER(N613)),E613-N613,NA())</f>
        <v/>
      </c>
      <c r="P613" s="19">
        <f>IF(NOT(ISNUMBER($A613)),NA(),IF(OR($A613&lt;MIN(KW_TP!$A$2:$A$2501),$A613&gt;MAX(KW_TP!$A$2:$A$2501)),NA(),INDEX(KW_TP!$C$2:$C$2501,MATCH($A613,KW_TP!$A$2:$A$2501,1))))</f>
        <v/>
      </c>
      <c r="Q613" s="18">
        <f>IF(NOT(ISNUMBER($A613)),NA(),IFERROR(1*INDEX(BBG_Data!$J$2:$J$4000,MATCH($A613,BBG_Data!$I$2:$I$4000,0)),NA()))</f>
        <v/>
      </c>
      <c r="R613" s="18">
        <f>IF(NOT(ISNUMBER($A613)),NA(),IFERROR(1*INDEX(BBG_Data!$L$2:$L$4000,MATCH($A613,BBG_Data!$K$2:$K$4000,0)),NA()))</f>
        <v/>
      </c>
      <c r="S613" s="20">
        <f>IF(AND(ISNUMBER(B613),ISNUMBER(Q613),ISNUMBER(R613)),(B613-Q613-R613)*100,NA())</f>
        <v/>
      </c>
      <c r="T613" s="20">
        <f>IF(AND(ISNUMBER(B613),Settings!$B$17&gt;0),IF(ISNUMBER(INDEX($B:$B,Settings!$B$17)),(B613-INDEX($B:$B,Settings!$B$17))*100,NA()),NA())</f>
        <v/>
      </c>
      <c r="U613" s="20">
        <f>IF(AND(ISNUMBER(Q613),Settings!$B$17&gt;0),IF(ISNUMBER(INDEX($Q:$Q,Settings!$B$17)),(Q613-INDEX($Q:$Q,Settings!$B$17))*100,NA()),NA())</f>
        <v/>
      </c>
      <c r="V613" s="20">
        <f>IF(AND(ISNUMBER(R613),Settings!$B$17&gt;0),IF(ISNUMBER(INDEX($R:$R,Settings!$B$17)),(R613-INDEX($R:$R,Settings!$B$17))*100,NA()),NA())</f>
        <v/>
      </c>
      <c r="W613" s="20">
        <f>IF(AND(ISNUMBER(P613),Settings!$B$17&gt;0),IF(ISNUMBER(INDEX($P:$P,Settings!$B$17)),P613-INDEX($P:$P,Settings!$B$17),NA()),NA())</f>
        <v/>
      </c>
      <c r="X613" s="19">
        <f>IF(NOT(ISNUMBER($A613)),NA(),IF(OR($A613&lt;MIN(DKW_10Y!$A$2:$A$2918),$A613&gt;MAX(DKW_10Y!$A$2:$A$2918),Settings!$B$16&lt;MIN(DKW_10Y!$A$2:$A$2918)),NA(),(INDEX(DKW_10Y!$B$2:$B$2918,MATCH($A613,DKW_10Y!$A$2:$A$2918,1))-INDEX(DKW_10Y!$B$2:$B$2918,MATCH(Settings!$B$16,DKW_10Y!$A$2:$A$2918,1)))*100))</f>
        <v/>
      </c>
      <c r="Y613" s="19">
        <f>IF(NOT(ISNUMBER($A613)),NA(),IF(OR($A613&lt;MIN(DKW_10Y!$A$2:$A$2918),$A613&gt;MAX(DKW_10Y!$A$2:$A$2918),Settings!$B$16&lt;MIN(DKW_10Y!$A$2:$A$2918)),NA(),(INDEX(DKW_10Y!$C$2:$C$2918,MATCH($A613,DKW_10Y!$A$2:$A$2918,1))-INDEX(DKW_10Y!$C$2:$C$2918,MATCH(Settings!$B$16,DKW_10Y!$A$2:$A$2918,1)))*100))</f>
        <v/>
      </c>
      <c r="Z613" s="19">
        <f>IF(NOT(ISNUMBER($A613)),NA(),IF(OR($A613&lt;MIN(DKW_10Y!$A$2:$A$2918),$A613&gt;MAX(DKW_10Y!$A$2:$A$2918),Settings!$B$16&lt;MIN(DKW_10Y!$A$2:$A$2918)),NA(),(INDEX(DKW_10Y!$D$2:$D$2918,MATCH($A613,DKW_10Y!$A$2:$A$2918,1))-INDEX(DKW_10Y!$D$2:$D$2918,MATCH(Settings!$B$16,DKW_10Y!$A$2:$A$2918,1)))*100))</f>
        <v/>
      </c>
      <c r="AA613" s="19">
        <f>IF(NOT(ISNUMBER($A613)),NA(),IF(OR($A613&lt;MIN(DKW_10Y!$A$2:$A$2918),$A613&gt;MAX(DKW_10Y!$A$2:$A$2918),Settings!$B$16&lt;MIN(DKW_10Y!$A$2:$A$2918)),NA(),(INDEX(DKW_10Y!$E$2:$E$2918,MATCH($A613,DKW_10Y!$A$2:$A$2918,1))-INDEX(DKW_10Y!$E$2:$E$2918,MATCH(Settings!$B$16,DKW_10Y!$A$2:$A$2918,1)))*100))</f>
        <v/>
      </c>
      <c r="AB613" s="19">
        <f>IF(NOT(ISNUMBER($A613)),NA(),IF(OR($A613&lt;MIN(DKW_10Y!$A$2:$A$2918),$A613&gt;MAX(DKW_10Y!$A$2:$A$2918),Settings!$B$16&lt;MIN(DKW_10Y!$A$2:$A$2918)),NA(),(INDEX(DKW_10Y!$H$2:$H$2918,MATCH($A613,DKW_10Y!$A$2:$A$2918,1))-INDEX(DKW_10Y!$H$2:$H$2918,MATCH(Settings!$B$16,DKW_10Y!$A$2:$A$2918,1)))*100))</f>
        <v/>
      </c>
      <c r="AC613" s="18">
        <f>IF(NOT(ISNUMBER($A613)),NA(),IFERROR(1*INDEX(BBG_Data!$N$2:$N$4000,MATCH($A613,BBG_Data!$M$2:$M$4000,0)),NA()))</f>
        <v/>
      </c>
      <c r="AD613" s="18">
        <f>IF(NOT(ISNUMBER($A613)),NA(),IFERROR(1*INDEX(BBG_Data!$P$2:$P$4000,MATCH($A613,BBG_Data!$O$2:$O$4000,0)),NA()))</f>
        <v/>
      </c>
      <c r="AE613" s="18">
        <f>IF(NOT(ISNUMBER($A613)),NA(),IFERROR(1*INDEX(BBG_Data!$R$2:$R$4000,MATCH($A613,BBG_Data!$Q$2:$Q$4000,0)),NA()))</f>
        <v/>
      </c>
      <c r="AF613" s="20">
        <f>IF(AND(ISNUMBER(B613),ISNUMBER(AC613)),(B613-AC613)*100,NA())</f>
        <v/>
      </c>
      <c r="AG613" s="20">
        <f>IF(AND(ISNUMBER(AE613),ISNUMBER(AD613)),(AE613-AD613)*100,NA())</f>
        <v/>
      </c>
      <c r="AH613" s="19">
        <f>IF(NOT(ISNUMBER($A613)),NA(),IFERROR(INDEX(BBG_Data!$T$2:$T$4000,MATCH($A613,BBG_Data!$S$2:$S$4000,0))*Settings!$B$25,NA()))</f>
        <v/>
      </c>
      <c r="AI613" s="19">
        <f>IF(NOT(ISNUMBER($A613)),NA(),IFERROR(INDEX(BBG_Data!$V$2:$V$4000,MATCH($A613,BBG_Data!$U$2:$U$4000,0))*Settings!$B$25,NA()))</f>
        <v/>
      </c>
      <c r="AJ613" s="19">
        <f>IF(NOT(ISNUMBER($A613)),NA(),IFERROR(1*INDEX(BBG_Data!$X$2:$X$4000,MATCH($A613,BBG_Data!$W$2:$W$4000,0)),NA()))</f>
        <v/>
      </c>
      <c r="AK613" s="19">
        <f>IF(NOT(ISNUMBER($A613)),NA(),IFERROR(1*INDEX(BBG_Data!$Z$2:$Z$4000,MATCH($A613,BBG_Data!$Y$2:$Y$4000,0)),NA()))</f>
        <v/>
      </c>
    </row>
    <row r="614">
      <c r="A614" s="17">
        <f>IF(ISNUMBER(BBG_Data!A614),BBG_Data!A614,"")</f>
        <v/>
      </c>
      <c r="B614" s="18">
        <f>IF(AND(ISNUMBER($A614),ISNUMBER(BBG_Data!B614)),BBG_Data!B614,NA())</f>
        <v/>
      </c>
      <c r="C614" s="18">
        <f>IF(NOT(ISNUMBER($A614)),NA(),IFERROR(1*INDEX(BBG_Data!$D$2:$D$4000,MATCH($A614,BBG_Data!$C$2:$C$4000,0)),NA()))</f>
        <v/>
      </c>
      <c r="D614" s="19">
        <f>IF(NOT(ISNUMBER($A614)),NA(),IFERROR(1*INDEX(BBG_Data!$F$2:$F$4000,MATCH($A614,BBG_Data!$E$2:$E$4000,0)),NA()))</f>
        <v/>
      </c>
      <c r="E614" s="19">
        <f>IF(NOT(ISNUMBER($A614)),NA(),IFERROR(1*INDEX(BBG_Data!$H$2:$H$4000,MATCH($A614,BBG_Data!$G$2:$G$4000,0)),NA()))</f>
        <v/>
      </c>
      <c r="F614" s="20">
        <f>IF(AND(ISNUMBER(B614),ISNUMBER(B613)),IF(B614=B613,"",(B614-B613)*100),"")</f>
        <v/>
      </c>
      <c r="G614" s="20">
        <f>IF(AND(ISNUMBER(C614),ISNUMBER(C613)),IF(C614=C613,"",(C614-C613)*100),"")</f>
        <v/>
      </c>
      <c r="H614" s="20">
        <f>IF(OR(NOT(ISNUMBER($A614)),ROW()-2&lt;Settings!$B$11),NA(),IF(COUNT(OFFSET(F614,1-Settings!$B$11,0,Settings!$B$11,1))&lt;ROUNDUP(Settings!$B$11*Settings!$B$26,0),NA(),STDEV(OFFSET(F614,1-Settings!$B$11,0,Settings!$B$11,1))*SQRT(Settings!$B$13)))</f>
        <v/>
      </c>
      <c r="I614" s="20">
        <f>IF(OR(NOT(ISNUMBER($A614)),ROW()-2&lt;Settings!$B$12),NA(),IF(COUNT(OFFSET(F614,1-Settings!$B$12,0,Settings!$B$12,1))&lt;ROUNDUP(Settings!$B$12*Settings!$B$26,0),NA(),STDEV(OFFSET(F614,1-Settings!$B$12,0,Settings!$B$12,1))*SQRT(Settings!$B$13)))</f>
        <v/>
      </c>
      <c r="J614" s="20">
        <f>IF(OR(NOT(ISNUMBER($A614)),ROW()-2&lt;Settings!$B$11),NA(),IF(COUNT(OFFSET(G614,1-Settings!$B$11,0,Settings!$B$11,1))&lt;ROUNDUP(Settings!$B$11*Settings!$B$26,0),NA(),STDEV(OFFSET(G614,1-Settings!$B$11,0,Settings!$B$11,1))*SQRT(Settings!$B$13)))</f>
        <v/>
      </c>
      <c r="K614" s="20">
        <f>IF(OR(NOT(ISNUMBER($A614)),ROW()-2&lt;Settings!$B$12),NA(),IF(COUNT(OFFSET(G614,1-Settings!$B$12,0,Settings!$B$12,1))&lt;ROUNDUP(Settings!$B$12*Settings!$B$26,0),NA(),STDEV(OFFSET(G614,1-Settings!$B$12,0,Settings!$B$12,1))*SQRT(Settings!$B$13)))</f>
        <v/>
      </c>
      <c r="L614" s="20">
        <f>IF(AND(ISNUMBER(D614),ISNUMBER(H614)),D614-H614,NA())</f>
        <v/>
      </c>
      <c r="M614" s="20">
        <f>IF(AND(ISNUMBER(E614),ISNUMBER(K614)),E614-K614,NA())</f>
        <v/>
      </c>
      <c r="N614" s="20">
        <f>IF(NOT(ISNUMBER($A614)),NA(),IF(COUNT(OFFSET(G614,1,0,Settings!$B$12,1))&lt;ROUNDUP(Settings!$B$12*Settings!$B$26,0),NA(),STDEV(OFFSET(G614,1,0,Settings!$B$12,1))*SQRT(Settings!$B$13)))</f>
        <v/>
      </c>
      <c r="O614" s="20">
        <f>IF(AND(ISNUMBER(E614),ISNUMBER(N614)),E614-N614,NA())</f>
        <v/>
      </c>
      <c r="P614" s="19">
        <f>IF(NOT(ISNUMBER($A614)),NA(),IF(OR($A614&lt;MIN(KW_TP!$A$2:$A$2501),$A614&gt;MAX(KW_TP!$A$2:$A$2501)),NA(),INDEX(KW_TP!$C$2:$C$2501,MATCH($A614,KW_TP!$A$2:$A$2501,1))))</f>
        <v/>
      </c>
      <c r="Q614" s="18">
        <f>IF(NOT(ISNUMBER($A614)),NA(),IFERROR(1*INDEX(BBG_Data!$J$2:$J$4000,MATCH($A614,BBG_Data!$I$2:$I$4000,0)),NA()))</f>
        <v/>
      </c>
      <c r="R614" s="18">
        <f>IF(NOT(ISNUMBER($A614)),NA(),IFERROR(1*INDEX(BBG_Data!$L$2:$L$4000,MATCH($A614,BBG_Data!$K$2:$K$4000,0)),NA()))</f>
        <v/>
      </c>
      <c r="S614" s="20">
        <f>IF(AND(ISNUMBER(B614),ISNUMBER(Q614),ISNUMBER(R614)),(B614-Q614-R614)*100,NA())</f>
        <v/>
      </c>
      <c r="T614" s="20">
        <f>IF(AND(ISNUMBER(B614),Settings!$B$17&gt;0),IF(ISNUMBER(INDEX($B:$B,Settings!$B$17)),(B614-INDEX($B:$B,Settings!$B$17))*100,NA()),NA())</f>
        <v/>
      </c>
      <c r="U614" s="20">
        <f>IF(AND(ISNUMBER(Q614),Settings!$B$17&gt;0),IF(ISNUMBER(INDEX($Q:$Q,Settings!$B$17)),(Q614-INDEX($Q:$Q,Settings!$B$17))*100,NA()),NA())</f>
        <v/>
      </c>
      <c r="V614" s="20">
        <f>IF(AND(ISNUMBER(R614),Settings!$B$17&gt;0),IF(ISNUMBER(INDEX($R:$R,Settings!$B$17)),(R614-INDEX($R:$R,Settings!$B$17))*100,NA()),NA())</f>
        <v/>
      </c>
      <c r="W614" s="20">
        <f>IF(AND(ISNUMBER(P614),Settings!$B$17&gt;0),IF(ISNUMBER(INDEX($P:$P,Settings!$B$17)),P614-INDEX($P:$P,Settings!$B$17),NA()),NA())</f>
        <v/>
      </c>
      <c r="X614" s="19">
        <f>IF(NOT(ISNUMBER($A614)),NA(),IF(OR($A614&lt;MIN(DKW_10Y!$A$2:$A$2918),$A614&gt;MAX(DKW_10Y!$A$2:$A$2918),Settings!$B$16&lt;MIN(DKW_10Y!$A$2:$A$2918)),NA(),(INDEX(DKW_10Y!$B$2:$B$2918,MATCH($A614,DKW_10Y!$A$2:$A$2918,1))-INDEX(DKW_10Y!$B$2:$B$2918,MATCH(Settings!$B$16,DKW_10Y!$A$2:$A$2918,1)))*100))</f>
        <v/>
      </c>
      <c r="Y614" s="19">
        <f>IF(NOT(ISNUMBER($A614)),NA(),IF(OR($A614&lt;MIN(DKW_10Y!$A$2:$A$2918),$A614&gt;MAX(DKW_10Y!$A$2:$A$2918),Settings!$B$16&lt;MIN(DKW_10Y!$A$2:$A$2918)),NA(),(INDEX(DKW_10Y!$C$2:$C$2918,MATCH($A614,DKW_10Y!$A$2:$A$2918,1))-INDEX(DKW_10Y!$C$2:$C$2918,MATCH(Settings!$B$16,DKW_10Y!$A$2:$A$2918,1)))*100))</f>
        <v/>
      </c>
      <c r="Z614" s="19">
        <f>IF(NOT(ISNUMBER($A614)),NA(),IF(OR($A614&lt;MIN(DKW_10Y!$A$2:$A$2918),$A614&gt;MAX(DKW_10Y!$A$2:$A$2918),Settings!$B$16&lt;MIN(DKW_10Y!$A$2:$A$2918)),NA(),(INDEX(DKW_10Y!$D$2:$D$2918,MATCH($A614,DKW_10Y!$A$2:$A$2918,1))-INDEX(DKW_10Y!$D$2:$D$2918,MATCH(Settings!$B$16,DKW_10Y!$A$2:$A$2918,1)))*100))</f>
        <v/>
      </c>
      <c r="AA614" s="19">
        <f>IF(NOT(ISNUMBER($A614)),NA(),IF(OR($A614&lt;MIN(DKW_10Y!$A$2:$A$2918),$A614&gt;MAX(DKW_10Y!$A$2:$A$2918),Settings!$B$16&lt;MIN(DKW_10Y!$A$2:$A$2918)),NA(),(INDEX(DKW_10Y!$E$2:$E$2918,MATCH($A614,DKW_10Y!$A$2:$A$2918,1))-INDEX(DKW_10Y!$E$2:$E$2918,MATCH(Settings!$B$16,DKW_10Y!$A$2:$A$2918,1)))*100))</f>
        <v/>
      </c>
      <c r="AB614" s="19">
        <f>IF(NOT(ISNUMBER($A614)),NA(),IF(OR($A614&lt;MIN(DKW_10Y!$A$2:$A$2918),$A614&gt;MAX(DKW_10Y!$A$2:$A$2918),Settings!$B$16&lt;MIN(DKW_10Y!$A$2:$A$2918)),NA(),(INDEX(DKW_10Y!$H$2:$H$2918,MATCH($A614,DKW_10Y!$A$2:$A$2918,1))-INDEX(DKW_10Y!$H$2:$H$2918,MATCH(Settings!$B$16,DKW_10Y!$A$2:$A$2918,1)))*100))</f>
        <v/>
      </c>
      <c r="AC614" s="18">
        <f>IF(NOT(ISNUMBER($A614)),NA(),IFERROR(1*INDEX(BBG_Data!$N$2:$N$4000,MATCH($A614,BBG_Data!$M$2:$M$4000,0)),NA()))</f>
        <v/>
      </c>
      <c r="AD614" s="18">
        <f>IF(NOT(ISNUMBER($A614)),NA(),IFERROR(1*INDEX(BBG_Data!$P$2:$P$4000,MATCH($A614,BBG_Data!$O$2:$O$4000,0)),NA()))</f>
        <v/>
      </c>
      <c r="AE614" s="18">
        <f>IF(NOT(ISNUMBER($A614)),NA(),IFERROR(1*INDEX(BBG_Data!$R$2:$R$4000,MATCH($A614,BBG_Data!$Q$2:$Q$4000,0)),NA()))</f>
        <v/>
      </c>
      <c r="AF614" s="20">
        <f>IF(AND(ISNUMBER(B614),ISNUMBER(AC614)),(B614-AC614)*100,NA())</f>
        <v/>
      </c>
      <c r="AG614" s="20">
        <f>IF(AND(ISNUMBER(AE614),ISNUMBER(AD614)),(AE614-AD614)*100,NA())</f>
        <v/>
      </c>
      <c r="AH614" s="19">
        <f>IF(NOT(ISNUMBER($A614)),NA(),IFERROR(INDEX(BBG_Data!$T$2:$T$4000,MATCH($A614,BBG_Data!$S$2:$S$4000,0))*Settings!$B$25,NA()))</f>
        <v/>
      </c>
      <c r="AI614" s="19">
        <f>IF(NOT(ISNUMBER($A614)),NA(),IFERROR(INDEX(BBG_Data!$V$2:$V$4000,MATCH($A614,BBG_Data!$U$2:$U$4000,0))*Settings!$B$25,NA()))</f>
        <v/>
      </c>
      <c r="AJ614" s="19">
        <f>IF(NOT(ISNUMBER($A614)),NA(),IFERROR(1*INDEX(BBG_Data!$X$2:$X$4000,MATCH($A614,BBG_Data!$W$2:$W$4000,0)),NA()))</f>
        <v/>
      </c>
      <c r="AK614" s="19">
        <f>IF(NOT(ISNUMBER($A614)),NA(),IFERROR(1*INDEX(BBG_Data!$Z$2:$Z$4000,MATCH($A614,BBG_Data!$Y$2:$Y$4000,0)),NA()))</f>
        <v/>
      </c>
    </row>
    <row r="615">
      <c r="A615" s="17">
        <f>IF(ISNUMBER(BBG_Data!A615),BBG_Data!A615,"")</f>
        <v/>
      </c>
      <c r="B615" s="18">
        <f>IF(AND(ISNUMBER($A615),ISNUMBER(BBG_Data!B615)),BBG_Data!B615,NA())</f>
        <v/>
      </c>
      <c r="C615" s="18">
        <f>IF(NOT(ISNUMBER($A615)),NA(),IFERROR(1*INDEX(BBG_Data!$D$2:$D$4000,MATCH($A615,BBG_Data!$C$2:$C$4000,0)),NA()))</f>
        <v/>
      </c>
      <c r="D615" s="19">
        <f>IF(NOT(ISNUMBER($A615)),NA(),IFERROR(1*INDEX(BBG_Data!$F$2:$F$4000,MATCH($A615,BBG_Data!$E$2:$E$4000,0)),NA()))</f>
        <v/>
      </c>
      <c r="E615" s="19">
        <f>IF(NOT(ISNUMBER($A615)),NA(),IFERROR(1*INDEX(BBG_Data!$H$2:$H$4000,MATCH($A615,BBG_Data!$G$2:$G$4000,0)),NA()))</f>
        <v/>
      </c>
      <c r="F615" s="20">
        <f>IF(AND(ISNUMBER(B615),ISNUMBER(B614)),IF(B615=B614,"",(B615-B614)*100),"")</f>
        <v/>
      </c>
      <c r="G615" s="20">
        <f>IF(AND(ISNUMBER(C615),ISNUMBER(C614)),IF(C615=C614,"",(C615-C614)*100),"")</f>
        <v/>
      </c>
      <c r="H615" s="20">
        <f>IF(OR(NOT(ISNUMBER($A615)),ROW()-2&lt;Settings!$B$11),NA(),IF(COUNT(OFFSET(F615,1-Settings!$B$11,0,Settings!$B$11,1))&lt;ROUNDUP(Settings!$B$11*Settings!$B$26,0),NA(),STDEV(OFFSET(F615,1-Settings!$B$11,0,Settings!$B$11,1))*SQRT(Settings!$B$13)))</f>
        <v/>
      </c>
      <c r="I615" s="20">
        <f>IF(OR(NOT(ISNUMBER($A615)),ROW()-2&lt;Settings!$B$12),NA(),IF(COUNT(OFFSET(F615,1-Settings!$B$12,0,Settings!$B$12,1))&lt;ROUNDUP(Settings!$B$12*Settings!$B$26,0),NA(),STDEV(OFFSET(F615,1-Settings!$B$12,0,Settings!$B$12,1))*SQRT(Settings!$B$13)))</f>
        <v/>
      </c>
      <c r="J615" s="20">
        <f>IF(OR(NOT(ISNUMBER($A615)),ROW()-2&lt;Settings!$B$11),NA(),IF(COUNT(OFFSET(G615,1-Settings!$B$11,0,Settings!$B$11,1))&lt;ROUNDUP(Settings!$B$11*Settings!$B$26,0),NA(),STDEV(OFFSET(G615,1-Settings!$B$11,0,Settings!$B$11,1))*SQRT(Settings!$B$13)))</f>
        <v/>
      </c>
      <c r="K615" s="20">
        <f>IF(OR(NOT(ISNUMBER($A615)),ROW()-2&lt;Settings!$B$12),NA(),IF(COUNT(OFFSET(G615,1-Settings!$B$12,0,Settings!$B$12,1))&lt;ROUNDUP(Settings!$B$12*Settings!$B$26,0),NA(),STDEV(OFFSET(G615,1-Settings!$B$12,0,Settings!$B$12,1))*SQRT(Settings!$B$13)))</f>
        <v/>
      </c>
      <c r="L615" s="20">
        <f>IF(AND(ISNUMBER(D615),ISNUMBER(H615)),D615-H615,NA())</f>
        <v/>
      </c>
      <c r="M615" s="20">
        <f>IF(AND(ISNUMBER(E615),ISNUMBER(K615)),E615-K615,NA())</f>
        <v/>
      </c>
      <c r="N615" s="20">
        <f>IF(NOT(ISNUMBER($A615)),NA(),IF(COUNT(OFFSET(G615,1,0,Settings!$B$12,1))&lt;ROUNDUP(Settings!$B$12*Settings!$B$26,0),NA(),STDEV(OFFSET(G615,1,0,Settings!$B$12,1))*SQRT(Settings!$B$13)))</f>
        <v/>
      </c>
      <c r="O615" s="20">
        <f>IF(AND(ISNUMBER(E615),ISNUMBER(N615)),E615-N615,NA())</f>
        <v/>
      </c>
      <c r="P615" s="19">
        <f>IF(NOT(ISNUMBER($A615)),NA(),IF(OR($A615&lt;MIN(KW_TP!$A$2:$A$2501),$A615&gt;MAX(KW_TP!$A$2:$A$2501)),NA(),INDEX(KW_TP!$C$2:$C$2501,MATCH($A615,KW_TP!$A$2:$A$2501,1))))</f>
        <v/>
      </c>
      <c r="Q615" s="18">
        <f>IF(NOT(ISNUMBER($A615)),NA(),IFERROR(1*INDEX(BBG_Data!$J$2:$J$4000,MATCH($A615,BBG_Data!$I$2:$I$4000,0)),NA()))</f>
        <v/>
      </c>
      <c r="R615" s="18">
        <f>IF(NOT(ISNUMBER($A615)),NA(),IFERROR(1*INDEX(BBG_Data!$L$2:$L$4000,MATCH($A615,BBG_Data!$K$2:$K$4000,0)),NA()))</f>
        <v/>
      </c>
      <c r="S615" s="20">
        <f>IF(AND(ISNUMBER(B615),ISNUMBER(Q615),ISNUMBER(R615)),(B615-Q615-R615)*100,NA())</f>
        <v/>
      </c>
      <c r="T615" s="20">
        <f>IF(AND(ISNUMBER(B615),Settings!$B$17&gt;0),IF(ISNUMBER(INDEX($B:$B,Settings!$B$17)),(B615-INDEX($B:$B,Settings!$B$17))*100,NA()),NA())</f>
        <v/>
      </c>
      <c r="U615" s="20">
        <f>IF(AND(ISNUMBER(Q615),Settings!$B$17&gt;0),IF(ISNUMBER(INDEX($Q:$Q,Settings!$B$17)),(Q615-INDEX($Q:$Q,Settings!$B$17))*100,NA()),NA())</f>
        <v/>
      </c>
      <c r="V615" s="20">
        <f>IF(AND(ISNUMBER(R615),Settings!$B$17&gt;0),IF(ISNUMBER(INDEX($R:$R,Settings!$B$17)),(R615-INDEX($R:$R,Settings!$B$17))*100,NA()),NA())</f>
        <v/>
      </c>
      <c r="W615" s="20">
        <f>IF(AND(ISNUMBER(P615),Settings!$B$17&gt;0),IF(ISNUMBER(INDEX($P:$P,Settings!$B$17)),P615-INDEX($P:$P,Settings!$B$17),NA()),NA())</f>
        <v/>
      </c>
      <c r="X615" s="19">
        <f>IF(NOT(ISNUMBER($A615)),NA(),IF(OR($A615&lt;MIN(DKW_10Y!$A$2:$A$2918),$A615&gt;MAX(DKW_10Y!$A$2:$A$2918),Settings!$B$16&lt;MIN(DKW_10Y!$A$2:$A$2918)),NA(),(INDEX(DKW_10Y!$B$2:$B$2918,MATCH($A615,DKW_10Y!$A$2:$A$2918,1))-INDEX(DKW_10Y!$B$2:$B$2918,MATCH(Settings!$B$16,DKW_10Y!$A$2:$A$2918,1)))*100))</f>
        <v/>
      </c>
      <c r="Y615" s="19">
        <f>IF(NOT(ISNUMBER($A615)),NA(),IF(OR($A615&lt;MIN(DKW_10Y!$A$2:$A$2918),$A615&gt;MAX(DKW_10Y!$A$2:$A$2918),Settings!$B$16&lt;MIN(DKW_10Y!$A$2:$A$2918)),NA(),(INDEX(DKW_10Y!$C$2:$C$2918,MATCH($A615,DKW_10Y!$A$2:$A$2918,1))-INDEX(DKW_10Y!$C$2:$C$2918,MATCH(Settings!$B$16,DKW_10Y!$A$2:$A$2918,1)))*100))</f>
        <v/>
      </c>
      <c r="Z615" s="19">
        <f>IF(NOT(ISNUMBER($A615)),NA(),IF(OR($A615&lt;MIN(DKW_10Y!$A$2:$A$2918),$A615&gt;MAX(DKW_10Y!$A$2:$A$2918),Settings!$B$16&lt;MIN(DKW_10Y!$A$2:$A$2918)),NA(),(INDEX(DKW_10Y!$D$2:$D$2918,MATCH($A615,DKW_10Y!$A$2:$A$2918,1))-INDEX(DKW_10Y!$D$2:$D$2918,MATCH(Settings!$B$16,DKW_10Y!$A$2:$A$2918,1)))*100))</f>
        <v/>
      </c>
      <c r="AA615" s="19">
        <f>IF(NOT(ISNUMBER($A615)),NA(),IF(OR($A615&lt;MIN(DKW_10Y!$A$2:$A$2918),$A615&gt;MAX(DKW_10Y!$A$2:$A$2918),Settings!$B$16&lt;MIN(DKW_10Y!$A$2:$A$2918)),NA(),(INDEX(DKW_10Y!$E$2:$E$2918,MATCH($A615,DKW_10Y!$A$2:$A$2918,1))-INDEX(DKW_10Y!$E$2:$E$2918,MATCH(Settings!$B$16,DKW_10Y!$A$2:$A$2918,1)))*100))</f>
        <v/>
      </c>
      <c r="AB615" s="19">
        <f>IF(NOT(ISNUMBER($A615)),NA(),IF(OR($A615&lt;MIN(DKW_10Y!$A$2:$A$2918),$A615&gt;MAX(DKW_10Y!$A$2:$A$2918),Settings!$B$16&lt;MIN(DKW_10Y!$A$2:$A$2918)),NA(),(INDEX(DKW_10Y!$H$2:$H$2918,MATCH($A615,DKW_10Y!$A$2:$A$2918,1))-INDEX(DKW_10Y!$H$2:$H$2918,MATCH(Settings!$B$16,DKW_10Y!$A$2:$A$2918,1)))*100))</f>
        <v/>
      </c>
      <c r="AC615" s="18">
        <f>IF(NOT(ISNUMBER($A615)),NA(),IFERROR(1*INDEX(BBG_Data!$N$2:$N$4000,MATCH($A615,BBG_Data!$M$2:$M$4000,0)),NA()))</f>
        <v/>
      </c>
      <c r="AD615" s="18">
        <f>IF(NOT(ISNUMBER($A615)),NA(),IFERROR(1*INDEX(BBG_Data!$P$2:$P$4000,MATCH($A615,BBG_Data!$O$2:$O$4000,0)),NA()))</f>
        <v/>
      </c>
      <c r="AE615" s="18">
        <f>IF(NOT(ISNUMBER($A615)),NA(),IFERROR(1*INDEX(BBG_Data!$R$2:$R$4000,MATCH($A615,BBG_Data!$Q$2:$Q$4000,0)),NA()))</f>
        <v/>
      </c>
      <c r="AF615" s="20">
        <f>IF(AND(ISNUMBER(B615),ISNUMBER(AC615)),(B615-AC615)*100,NA())</f>
        <v/>
      </c>
      <c r="AG615" s="20">
        <f>IF(AND(ISNUMBER(AE615),ISNUMBER(AD615)),(AE615-AD615)*100,NA())</f>
        <v/>
      </c>
      <c r="AH615" s="19">
        <f>IF(NOT(ISNUMBER($A615)),NA(),IFERROR(INDEX(BBG_Data!$T$2:$T$4000,MATCH($A615,BBG_Data!$S$2:$S$4000,0))*Settings!$B$25,NA()))</f>
        <v/>
      </c>
      <c r="AI615" s="19">
        <f>IF(NOT(ISNUMBER($A615)),NA(),IFERROR(INDEX(BBG_Data!$V$2:$V$4000,MATCH($A615,BBG_Data!$U$2:$U$4000,0))*Settings!$B$25,NA()))</f>
        <v/>
      </c>
      <c r="AJ615" s="19">
        <f>IF(NOT(ISNUMBER($A615)),NA(),IFERROR(1*INDEX(BBG_Data!$X$2:$X$4000,MATCH($A615,BBG_Data!$W$2:$W$4000,0)),NA()))</f>
        <v/>
      </c>
      <c r="AK615" s="19">
        <f>IF(NOT(ISNUMBER($A615)),NA(),IFERROR(1*INDEX(BBG_Data!$Z$2:$Z$4000,MATCH($A615,BBG_Data!$Y$2:$Y$4000,0)),NA()))</f>
        <v/>
      </c>
    </row>
    <row r="616">
      <c r="A616" s="17">
        <f>IF(ISNUMBER(BBG_Data!A616),BBG_Data!A616,"")</f>
        <v/>
      </c>
      <c r="B616" s="18">
        <f>IF(AND(ISNUMBER($A616),ISNUMBER(BBG_Data!B616)),BBG_Data!B616,NA())</f>
        <v/>
      </c>
      <c r="C616" s="18">
        <f>IF(NOT(ISNUMBER($A616)),NA(),IFERROR(1*INDEX(BBG_Data!$D$2:$D$4000,MATCH($A616,BBG_Data!$C$2:$C$4000,0)),NA()))</f>
        <v/>
      </c>
      <c r="D616" s="19">
        <f>IF(NOT(ISNUMBER($A616)),NA(),IFERROR(1*INDEX(BBG_Data!$F$2:$F$4000,MATCH($A616,BBG_Data!$E$2:$E$4000,0)),NA()))</f>
        <v/>
      </c>
      <c r="E616" s="19">
        <f>IF(NOT(ISNUMBER($A616)),NA(),IFERROR(1*INDEX(BBG_Data!$H$2:$H$4000,MATCH($A616,BBG_Data!$G$2:$G$4000,0)),NA()))</f>
        <v/>
      </c>
      <c r="F616" s="20">
        <f>IF(AND(ISNUMBER(B616),ISNUMBER(B615)),IF(B616=B615,"",(B616-B615)*100),"")</f>
        <v/>
      </c>
      <c r="G616" s="20">
        <f>IF(AND(ISNUMBER(C616),ISNUMBER(C615)),IF(C616=C615,"",(C616-C615)*100),"")</f>
        <v/>
      </c>
      <c r="H616" s="20">
        <f>IF(OR(NOT(ISNUMBER($A616)),ROW()-2&lt;Settings!$B$11),NA(),IF(COUNT(OFFSET(F616,1-Settings!$B$11,0,Settings!$B$11,1))&lt;ROUNDUP(Settings!$B$11*Settings!$B$26,0),NA(),STDEV(OFFSET(F616,1-Settings!$B$11,0,Settings!$B$11,1))*SQRT(Settings!$B$13)))</f>
        <v/>
      </c>
      <c r="I616" s="20">
        <f>IF(OR(NOT(ISNUMBER($A616)),ROW()-2&lt;Settings!$B$12),NA(),IF(COUNT(OFFSET(F616,1-Settings!$B$12,0,Settings!$B$12,1))&lt;ROUNDUP(Settings!$B$12*Settings!$B$26,0),NA(),STDEV(OFFSET(F616,1-Settings!$B$12,0,Settings!$B$12,1))*SQRT(Settings!$B$13)))</f>
        <v/>
      </c>
      <c r="J616" s="20">
        <f>IF(OR(NOT(ISNUMBER($A616)),ROW()-2&lt;Settings!$B$11),NA(),IF(COUNT(OFFSET(G616,1-Settings!$B$11,0,Settings!$B$11,1))&lt;ROUNDUP(Settings!$B$11*Settings!$B$26,0),NA(),STDEV(OFFSET(G616,1-Settings!$B$11,0,Settings!$B$11,1))*SQRT(Settings!$B$13)))</f>
        <v/>
      </c>
      <c r="K616" s="20">
        <f>IF(OR(NOT(ISNUMBER($A616)),ROW()-2&lt;Settings!$B$12),NA(),IF(COUNT(OFFSET(G616,1-Settings!$B$12,0,Settings!$B$12,1))&lt;ROUNDUP(Settings!$B$12*Settings!$B$26,0),NA(),STDEV(OFFSET(G616,1-Settings!$B$12,0,Settings!$B$12,1))*SQRT(Settings!$B$13)))</f>
        <v/>
      </c>
      <c r="L616" s="20">
        <f>IF(AND(ISNUMBER(D616),ISNUMBER(H616)),D616-H616,NA())</f>
        <v/>
      </c>
      <c r="M616" s="20">
        <f>IF(AND(ISNUMBER(E616),ISNUMBER(K616)),E616-K616,NA())</f>
        <v/>
      </c>
      <c r="N616" s="20">
        <f>IF(NOT(ISNUMBER($A616)),NA(),IF(COUNT(OFFSET(G616,1,0,Settings!$B$12,1))&lt;ROUNDUP(Settings!$B$12*Settings!$B$26,0),NA(),STDEV(OFFSET(G616,1,0,Settings!$B$12,1))*SQRT(Settings!$B$13)))</f>
        <v/>
      </c>
      <c r="O616" s="20">
        <f>IF(AND(ISNUMBER(E616),ISNUMBER(N616)),E616-N616,NA())</f>
        <v/>
      </c>
      <c r="P616" s="19">
        <f>IF(NOT(ISNUMBER($A616)),NA(),IF(OR($A616&lt;MIN(KW_TP!$A$2:$A$2501),$A616&gt;MAX(KW_TP!$A$2:$A$2501)),NA(),INDEX(KW_TP!$C$2:$C$2501,MATCH($A616,KW_TP!$A$2:$A$2501,1))))</f>
        <v/>
      </c>
      <c r="Q616" s="18">
        <f>IF(NOT(ISNUMBER($A616)),NA(),IFERROR(1*INDEX(BBG_Data!$J$2:$J$4000,MATCH($A616,BBG_Data!$I$2:$I$4000,0)),NA()))</f>
        <v/>
      </c>
      <c r="R616" s="18">
        <f>IF(NOT(ISNUMBER($A616)),NA(),IFERROR(1*INDEX(BBG_Data!$L$2:$L$4000,MATCH($A616,BBG_Data!$K$2:$K$4000,0)),NA()))</f>
        <v/>
      </c>
      <c r="S616" s="20">
        <f>IF(AND(ISNUMBER(B616),ISNUMBER(Q616),ISNUMBER(R616)),(B616-Q616-R616)*100,NA())</f>
        <v/>
      </c>
      <c r="T616" s="20">
        <f>IF(AND(ISNUMBER(B616),Settings!$B$17&gt;0),IF(ISNUMBER(INDEX($B:$B,Settings!$B$17)),(B616-INDEX($B:$B,Settings!$B$17))*100,NA()),NA())</f>
        <v/>
      </c>
      <c r="U616" s="20">
        <f>IF(AND(ISNUMBER(Q616),Settings!$B$17&gt;0),IF(ISNUMBER(INDEX($Q:$Q,Settings!$B$17)),(Q616-INDEX($Q:$Q,Settings!$B$17))*100,NA()),NA())</f>
        <v/>
      </c>
      <c r="V616" s="20">
        <f>IF(AND(ISNUMBER(R616),Settings!$B$17&gt;0),IF(ISNUMBER(INDEX($R:$R,Settings!$B$17)),(R616-INDEX($R:$R,Settings!$B$17))*100,NA()),NA())</f>
        <v/>
      </c>
      <c r="W616" s="20">
        <f>IF(AND(ISNUMBER(P616),Settings!$B$17&gt;0),IF(ISNUMBER(INDEX($P:$P,Settings!$B$17)),P616-INDEX($P:$P,Settings!$B$17),NA()),NA())</f>
        <v/>
      </c>
      <c r="X616" s="19">
        <f>IF(NOT(ISNUMBER($A616)),NA(),IF(OR($A616&lt;MIN(DKW_10Y!$A$2:$A$2918),$A616&gt;MAX(DKW_10Y!$A$2:$A$2918),Settings!$B$16&lt;MIN(DKW_10Y!$A$2:$A$2918)),NA(),(INDEX(DKW_10Y!$B$2:$B$2918,MATCH($A616,DKW_10Y!$A$2:$A$2918,1))-INDEX(DKW_10Y!$B$2:$B$2918,MATCH(Settings!$B$16,DKW_10Y!$A$2:$A$2918,1)))*100))</f>
        <v/>
      </c>
      <c r="Y616" s="19">
        <f>IF(NOT(ISNUMBER($A616)),NA(),IF(OR($A616&lt;MIN(DKW_10Y!$A$2:$A$2918),$A616&gt;MAX(DKW_10Y!$A$2:$A$2918),Settings!$B$16&lt;MIN(DKW_10Y!$A$2:$A$2918)),NA(),(INDEX(DKW_10Y!$C$2:$C$2918,MATCH($A616,DKW_10Y!$A$2:$A$2918,1))-INDEX(DKW_10Y!$C$2:$C$2918,MATCH(Settings!$B$16,DKW_10Y!$A$2:$A$2918,1)))*100))</f>
        <v/>
      </c>
      <c r="Z616" s="19">
        <f>IF(NOT(ISNUMBER($A616)),NA(),IF(OR($A616&lt;MIN(DKW_10Y!$A$2:$A$2918),$A616&gt;MAX(DKW_10Y!$A$2:$A$2918),Settings!$B$16&lt;MIN(DKW_10Y!$A$2:$A$2918)),NA(),(INDEX(DKW_10Y!$D$2:$D$2918,MATCH($A616,DKW_10Y!$A$2:$A$2918,1))-INDEX(DKW_10Y!$D$2:$D$2918,MATCH(Settings!$B$16,DKW_10Y!$A$2:$A$2918,1)))*100))</f>
        <v/>
      </c>
      <c r="AA616" s="19">
        <f>IF(NOT(ISNUMBER($A616)),NA(),IF(OR($A616&lt;MIN(DKW_10Y!$A$2:$A$2918),$A616&gt;MAX(DKW_10Y!$A$2:$A$2918),Settings!$B$16&lt;MIN(DKW_10Y!$A$2:$A$2918)),NA(),(INDEX(DKW_10Y!$E$2:$E$2918,MATCH($A616,DKW_10Y!$A$2:$A$2918,1))-INDEX(DKW_10Y!$E$2:$E$2918,MATCH(Settings!$B$16,DKW_10Y!$A$2:$A$2918,1)))*100))</f>
        <v/>
      </c>
      <c r="AB616" s="19">
        <f>IF(NOT(ISNUMBER($A616)),NA(),IF(OR($A616&lt;MIN(DKW_10Y!$A$2:$A$2918),$A616&gt;MAX(DKW_10Y!$A$2:$A$2918),Settings!$B$16&lt;MIN(DKW_10Y!$A$2:$A$2918)),NA(),(INDEX(DKW_10Y!$H$2:$H$2918,MATCH($A616,DKW_10Y!$A$2:$A$2918,1))-INDEX(DKW_10Y!$H$2:$H$2918,MATCH(Settings!$B$16,DKW_10Y!$A$2:$A$2918,1)))*100))</f>
        <v/>
      </c>
      <c r="AC616" s="18">
        <f>IF(NOT(ISNUMBER($A616)),NA(),IFERROR(1*INDEX(BBG_Data!$N$2:$N$4000,MATCH($A616,BBG_Data!$M$2:$M$4000,0)),NA()))</f>
        <v/>
      </c>
      <c r="AD616" s="18">
        <f>IF(NOT(ISNUMBER($A616)),NA(),IFERROR(1*INDEX(BBG_Data!$P$2:$P$4000,MATCH($A616,BBG_Data!$O$2:$O$4000,0)),NA()))</f>
        <v/>
      </c>
      <c r="AE616" s="18">
        <f>IF(NOT(ISNUMBER($A616)),NA(),IFERROR(1*INDEX(BBG_Data!$R$2:$R$4000,MATCH($A616,BBG_Data!$Q$2:$Q$4000,0)),NA()))</f>
        <v/>
      </c>
      <c r="AF616" s="20">
        <f>IF(AND(ISNUMBER(B616),ISNUMBER(AC616)),(B616-AC616)*100,NA())</f>
        <v/>
      </c>
      <c r="AG616" s="20">
        <f>IF(AND(ISNUMBER(AE616),ISNUMBER(AD616)),(AE616-AD616)*100,NA())</f>
        <v/>
      </c>
      <c r="AH616" s="19">
        <f>IF(NOT(ISNUMBER($A616)),NA(),IFERROR(INDEX(BBG_Data!$T$2:$T$4000,MATCH($A616,BBG_Data!$S$2:$S$4000,0))*Settings!$B$25,NA()))</f>
        <v/>
      </c>
      <c r="AI616" s="19">
        <f>IF(NOT(ISNUMBER($A616)),NA(),IFERROR(INDEX(BBG_Data!$V$2:$V$4000,MATCH($A616,BBG_Data!$U$2:$U$4000,0))*Settings!$B$25,NA()))</f>
        <v/>
      </c>
      <c r="AJ616" s="19">
        <f>IF(NOT(ISNUMBER($A616)),NA(),IFERROR(1*INDEX(BBG_Data!$X$2:$X$4000,MATCH($A616,BBG_Data!$W$2:$W$4000,0)),NA()))</f>
        <v/>
      </c>
      <c r="AK616" s="19">
        <f>IF(NOT(ISNUMBER($A616)),NA(),IFERROR(1*INDEX(BBG_Data!$Z$2:$Z$4000,MATCH($A616,BBG_Data!$Y$2:$Y$4000,0)),NA()))</f>
        <v/>
      </c>
    </row>
    <row r="617">
      <c r="A617" s="17">
        <f>IF(ISNUMBER(BBG_Data!A617),BBG_Data!A617,"")</f>
        <v/>
      </c>
      <c r="B617" s="18">
        <f>IF(AND(ISNUMBER($A617),ISNUMBER(BBG_Data!B617)),BBG_Data!B617,NA())</f>
        <v/>
      </c>
      <c r="C617" s="18">
        <f>IF(NOT(ISNUMBER($A617)),NA(),IFERROR(1*INDEX(BBG_Data!$D$2:$D$4000,MATCH($A617,BBG_Data!$C$2:$C$4000,0)),NA()))</f>
        <v/>
      </c>
      <c r="D617" s="19">
        <f>IF(NOT(ISNUMBER($A617)),NA(),IFERROR(1*INDEX(BBG_Data!$F$2:$F$4000,MATCH($A617,BBG_Data!$E$2:$E$4000,0)),NA()))</f>
        <v/>
      </c>
      <c r="E617" s="19">
        <f>IF(NOT(ISNUMBER($A617)),NA(),IFERROR(1*INDEX(BBG_Data!$H$2:$H$4000,MATCH($A617,BBG_Data!$G$2:$G$4000,0)),NA()))</f>
        <v/>
      </c>
      <c r="F617" s="20">
        <f>IF(AND(ISNUMBER(B617),ISNUMBER(B616)),IF(B617=B616,"",(B617-B616)*100),"")</f>
        <v/>
      </c>
      <c r="G617" s="20">
        <f>IF(AND(ISNUMBER(C617),ISNUMBER(C616)),IF(C617=C616,"",(C617-C616)*100),"")</f>
        <v/>
      </c>
      <c r="H617" s="20">
        <f>IF(OR(NOT(ISNUMBER($A617)),ROW()-2&lt;Settings!$B$11),NA(),IF(COUNT(OFFSET(F617,1-Settings!$B$11,0,Settings!$B$11,1))&lt;ROUNDUP(Settings!$B$11*Settings!$B$26,0),NA(),STDEV(OFFSET(F617,1-Settings!$B$11,0,Settings!$B$11,1))*SQRT(Settings!$B$13)))</f>
        <v/>
      </c>
      <c r="I617" s="20">
        <f>IF(OR(NOT(ISNUMBER($A617)),ROW()-2&lt;Settings!$B$12),NA(),IF(COUNT(OFFSET(F617,1-Settings!$B$12,0,Settings!$B$12,1))&lt;ROUNDUP(Settings!$B$12*Settings!$B$26,0),NA(),STDEV(OFFSET(F617,1-Settings!$B$12,0,Settings!$B$12,1))*SQRT(Settings!$B$13)))</f>
        <v/>
      </c>
      <c r="J617" s="20">
        <f>IF(OR(NOT(ISNUMBER($A617)),ROW()-2&lt;Settings!$B$11),NA(),IF(COUNT(OFFSET(G617,1-Settings!$B$11,0,Settings!$B$11,1))&lt;ROUNDUP(Settings!$B$11*Settings!$B$26,0),NA(),STDEV(OFFSET(G617,1-Settings!$B$11,0,Settings!$B$11,1))*SQRT(Settings!$B$13)))</f>
        <v/>
      </c>
      <c r="K617" s="20">
        <f>IF(OR(NOT(ISNUMBER($A617)),ROW()-2&lt;Settings!$B$12),NA(),IF(COUNT(OFFSET(G617,1-Settings!$B$12,0,Settings!$B$12,1))&lt;ROUNDUP(Settings!$B$12*Settings!$B$26,0),NA(),STDEV(OFFSET(G617,1-Settings!$B$12,0,Settings!$B$12,1))*SQRT(Settings!$B$13)))</f>
        <v/>
      </c>
      <c r="L617" s="20">
        <f>IF(AND(ISNUMBER(D617),ISNUMBER(H617)),D617-H617,NA())</f>
        <v/>
      </c>
      <c r="M617" s="20">
        <f>IF(AND(ISNUMBER(E617),ISNUMBER(K617)),E617-K617,NA())</f>
        <v/>
      </c>
      <c r="N617" s="20">
        <f>IF(NOT(ISNUMBER($A617)),NA(),IF(COUNT(OFFSET(G617,1,0,Settings!$B$12,1))&lt;ROUNDUP(Settings!$B$12*Settings!$B$26,0),NA(),STDEV(OFFSET(G617,1,0,Settings!$B$12,1))*SQRT(Settings!$B$13)))</f>
        <v/>
      </c>
      <c r="O617" s="20">
        <f>IF(AND(ISNUMBER(E617),ISNUMBER(N617)),E617-N617,NA())</f>
        <v/>
      </c>
      <c r="P617" s="19">
        <f>IF(NOT(ISNUMBER($A617)),NA(),IF(OR($A617&lt;MIN(KW_TP!$A$2:$A$2501),$A617&gt;MAX(KW_TP!$A$2:$A$2501)),NA(),INDEX(KW_TP!$C$2:$C$2501,MATCH($A617,KW_TP!$A$2:$A$2501,1))))</f>
        <v/>
      </c>
      <c r="Q617" s="18">
        <f>IF(NOT(ISNUMBER($A617)),NA(),IFERROR(1*INDEX(BBG_Data!$J$2:$J$4000,MATCH($A617,BBG_Data!$I$2:$I$4000,0)),NA()))</f>
        <v/>
      </c>
      <c r="R617" s="18">
        <f>IF(NOT(ISNUMBER($A617)),NA(),IFERROR(1*INDEX(BBG_Data!$L$2:$L$4000,MATCH($A617,BBG_Data!$K$2:$K$4000,0)),NA()))</f>
        <v/>
      </c>
      <c r="S617" s="20">
        <f>IF(AND(ISNUMBER(B617),ISNUMBER(Q617),ISNUMBER(R617)),(B617-Q617-R617)*100,NA())</f>
        <v/>
      </c>
      <c r="T617" s="20">
        <f>IF(AND(ISNUMBER(B617),Settings!$B$17&gt;0),IF(ISNUMBER(INDEX($B:$B,Settings!$B$17)),(B617-INDEX($B:$B,Settings!$B$17))*100,NA()),NA())</f>
        <v/>
      </c>
      <c r="U617" s="20">
        <f>IF(AND(ISNUMBER(Q617),Settings!$B$17&gt;0),IF(ISNUMBER(INDEX($Q:$Q,Settings!$B$17)),(Q617-INDEX($Q:$Q,Settings!$B$17))*100,NA()),NA())</f>
        <v/>
      </c>
      <c r="V617" s="20">
        <f>IF(AND(ISNUMBER(R617),Settings!$B$17&gt;0),IF(ISNUMBER(INDEX($R:$R,Settings!$B$17)),(R617-INDEX($R:$R,Settings!$B$17))*100,NA()),NA())</f>
        <v/>
      </c>
      <c r="W617" s="20">
        <f>IF(AND(ISNUMBER(P617),Settings!$B$17&gt;0),IF(ISNUMBER(INDEX($P:$P,Settings!$B$17)),P617-INDEX($P:$P,Settings!$B$17),NA()),NA())</f>
        <v/>
      </c>
      <c r="X617" s="19">
        <f>IF(NOT(ISNUMBER($A617)),NA(),IF(OR($A617&lt;MIN(DKW_10Y!$A$2:$A$2918),$A617&gt;MAX(DKW_10Y!$A$2:$A$2918),Settings!$B$16&lt;MIN(DKW_10Y!$A$2:$A$2918)),NA(),(INDEX(DKW_10Y!$B$2:$B$2918,MATCH($A617,DKW_10Y!$A$2:$A$2918,1))-INDEX(DKW_10Y!$B$2:$B$2918,MATCH(Settings!$B$16,DKW_10Y!$A$2:$A$2918,1)))*100))</f>
        <v/>
      </c>
      <c r="Y617" s="19">
        <f>IF(NOT(ISNUMBER($A617)),NA(),IF(OR($A617&lt;MIN(DKW_10Y!$A$2:$A$2918),$A617&gt;MAX(DKW_10Y!$A$2:$A$2918),Settings!$B$16&lt;MIN(DKW_10Y!$A$2:$A$2918)),NA(),(INDEX(DKW_10Y!$C$2:$C$2918,MATCH($A617,DKW_10Y!$A$2:$A$2918,1))-INDEX(DKW_10Y!$C$2:$C$2918,MATCH(Settings!$B$16,DKW_10Y!$A$2:$A$2918,1)))*100))</f>
        <v/>
      </c>
      <c r="Z617" s="19">
        <f>IF(NOT(ISNUMBER($A617)),NA(),IF(OR($A617&lt;MIN(DKW_10Y!$A$2:$A$2918),$A617&gt;MAX(DKW_10Y!$A$2:$A$2918),Settings!$B$16&lt;MIN(DKW_10Y!$A$2:$A$2918)),NA(),(INDEX(DKW_10Y!$D$2:$D$2918,MATCH($A617,DKW_10Y!$A$2:$A$2918,1))-INDEX(DKW_10Y!$D$2:$D$2918,MATCH(Settings!$B$16,DKW_10Y!$A$2:$A$2918,1)))*100))</f>
        <v/>
      </c>
      <c r="AA617" s="19">
        <f>IF(NOT(ISNUMBER($A617)),NA(),IF(OR($A617&lt;MIN(DKW_10Y!$A$2:$A$2918),$A617&gt;MAX(DKW_10Y!$A$2:$A$2918),Settings!$B$16&lt;MIN(DKW_10Y!$A$2:$A$2918)),NA(),(INDEX(DKW_10Y!$E$2:$E$2918,MATCH($A617,DKW_10Y!$A$2:$A$2918,1))-INDEX(DKW_10Y!$E$2:$E$2918,MATCH(Settings!$B$16,DKW_10Y!$A$2:$A$2918,1)))*100))</f>
        <v/>
      </c>
      <c r="AB617" s="19">
        <f>IF(NOT(ISNUMBER($A617)),NA(),IF(OR($A617&lt;MIN(DKW_10Y!$A$2:$A$2918),$A617&gt;MAX(DKW_10Y!$A$2:$A$2918),Settings!$B$16&lt;MIN(DKW_10Y!$A$2:$A$2918)),NA(),(INDEX(DKW_10Y!$H$2:$H$2918,MATCH($A617,DKW_10Y!$A$2:$A$2918,1))-INDEX(DKW_10Y!$H$2:$H$2918,MATCH(Settings!$B$16,DKW_10Y!$A$2:$A$2918,1)))*100))</f>
        <v/>
      </c>
      <c r="AC617" s="18">
        <f>IF(NOT(ISNUMBER($A617)),NA(),IFERROR(1*INDEX(BBG_Data!$N$2:$N$4000,MATCH($A617,BBG_Data!$M$2:$M$4000,0)),NA()))</f>
        <v/>
      </c>
      <c r="AD617" s="18">
        <f>IF(NOT(ISNUMBER($A617)),NA(),IFERROR(1*INDEX(BBG_Data!$P$2:$P$4000,MATCH($A617,BBG_Data!$O$2:$O$4000,0)),NA()))</f>
        <v/>
      </c>
      <c r="AE617" s="18">
        <f>IF(NOT(ISNUMBER($A617)),NA(),IFERROR(1*INDEX(BBG_Data!$R$2:$R$4000,MATCH($A617,BBG_Data!$Q$2:$Q$4000,0)),NA()))</f>
        <v/>
      </c>
      <c r="AF617" s="20">
        <f>IF(AND(ISNUMBER(B617),ISNUMBER(AC617)),(B617-AC617)*100,NA())</f>
        <v/>
      </c>
      <c r="AG617" s="20">
        <f>IF(AND(ISNUMBER(AE617),ISNUMBER(AD617)),(AE617-AD617)*100,NA())</f>
        <v/>
      </c>
      <c r="AH617" s="19">
        <f>IF(NOT(ISNUMBER($A617)),NA(),IFERROR(INDEX(BBG_Data!$T$2:$T$4000,MATCH($A617,BBG_Data!$S$2:$S$4000,0))*Settings!$B$25,NA()))</f>
        <v/>
      </c>
      <c r="AI617" s="19">
        <f>IF(NOT(ISNUMBER($A617)),NA(),IFERROR(INDEX(BBG_Data!$V$2:$V$4000,MATCH($A617,BBG_Data!$U$2:$U$4000,0))*Settings!$B$25,NA()))</f>
        <v/>
      </c>
      <c r="AJ617" s="19">
        <f>IF(NOT(ISNUMBER($A617)),NA(),IFERROR(1*INDEX(BBG_Data!$X$2:$X$4000,MATCH($A617,BBG_Data!$W$2:$W$4000,0)),NA()))</f>
        <v/>
      </c>
      <c r="AK617" s="19">
        <f>IF(NOT(ISNUMBER($A617)),NA(),IFERROR(1*INDEX(BBG_Data!$Z$2:$Z$4000,MATCH($A617,BBG_Data!$Y$2:$Y$4000,0)),NA()))</f>
        <v/>
      </c>
    </row>
    <row r="618">
      <c r="A618" s="17">
        <f>IF(ISNUMBER(BBG_Data!A618),BBG_Data!A618,"")</f>
        <v/>
      </c>
      <c r="B618" s="18">
        <f>IF(AND(ISNUMBER($A618),ISNUMBER(BBG_Data!B618)),BBG_Data!B618,NA())</f>
        <v/>
      </c>
      <c r="C618" s="18">
        <f>IF(NOT(ISNUMBER($A618)),NA(),IFERROR(1*INDEX(BBG_Data!$D$2:$D$4000,MATCH($A618,BBG_Data!$C$2:$C$4000,0)),NA()))</f>
        <v/>
      </c>
      <c r="D618" s="19">
        <f>IF(NOT(ISNUMBER($A618)),NA(),IFERROR(1*INDEX(BBG_Data!$F$2:$F$4000,MATCH($A618,BBG_Data!$E$2:$E$4000,0)),NA()))</f>
        <v/>
      </c>
      <c r="E618" s="19">
        <f>IF(NOT(ISNUMBER($A618)),NA(),IFERROR(1*INDEX(BBG_Data!$H$2:$H$4000,MATCH($A618,BBG_Data!$G$2:$G$4000,0)),NA()))</f>
        <v/>
      </c>
      <c r="F618" s="20">
        <f>IF(AND(ISNUMBER(B618),ISNUMBER(B617)),IF(B618=B617,"",(B618-B617)*100),"")</f>
        <v/>
      </c>
      <c r="G618" s="20">
        <f>IF(AND(ISNUMBER(C618),ISNUMBER(C617)),IF(C618=C617,"",(C618-C617)*100),"")</f>
        <v/>
      </c>
      <c r="H618" s="20">
        <f>IF(OR(NOT(ISNUMBER($A618)),ROW()-2&lt;Settings!$B$11),NA(),IF(COUNT(OFFSET(F618,1-Settings!$B$11,0,Settings!$B$11,1))&lt;ROUNDUP(Settings!$B$11*Settings!$B$26,0),NA(),STDEV(OFFSET(F618,1-Settings!$B$11,0,Settings!$B$11,1))*SQRT(Settings!$B$13)))</f>
        <v/>
      </c>
      <c r="I618" s="20">
        <f>IF(OR(NOT(ISNUMBER($A618)),ROW()-2&lt;Settings!$B$12),NA(),IF(COUNT(OFFSET(F618,1-Settings!$B$12,0,Settings!$B$12,1))&lt;ROUNDUP(Settings!$B$12*Settings!$B$26,0),NA(),STDEV(OFFSET(F618,1-Settings!$B$12,0,Settings!$B$12,1))*SQRT(Settings!$B$13)))</f>
        <v/>
      </c>
      <c r="J618" s="20">
        <f>IF(OR(NOT(ISNUMBER($A618)),ROW()-2&lt;Settings!$B$11),NA(),IF(COUNT(OFFSET(G618,1-Settings!$B$11,0,Settings!$B$11,1))&lt;ROUNDUP(Settings!$B$11*Settings!$B$26,0),NA(),STDEV(OFFSET(G618,1-Settings!$B$11,0,Settings!$B$11,1))*SQRT(Settings!$B$13)))</f>
        <v/>
      </c>
      <c r="K618" s="20">
        <f>IF(OR(NOT(ISNUMBER($A618)),ROW()-2&lt;Settings!$B$12),NA(),IF(COUNT(OFFSET(G618,1-Settings!$B$12,0,Settings!$B$12,1))&lt;ROUNDUP(Settings!$B$12*Settings!$B$26,0),NA(),STDEV(OFFSET(G618,1-Settings!$B$12,0,Settings!$B$12,1))*SQRT(Settings!$B$13)))</f>
        <v/>
      </c>
      <c r="L618" s="20">
        <f>IF(AND(ISNUMBER(D618),ISNUMBER(H618)),D618-H618,NA())</f>
        <v/>
      </c>
      <c r="M618" s="20">
        <f>IF(AND(ISNUMBER(E618),ISNUMBER(K618)),E618-K618,NA())</f>
        <v/>
      </c>
      <c r="N618" s="20">
        <f>IF(NOT(ISNUMBER($A618)),NA(),IF(COUNT(OFFSET(G618,1,0,Settings!$B$12,1))&lt;ROUNDUP(Settings!$B$12*Settings!$B$26,0),NA(),STDEV(OFFSET(G618,1,0,Settings!$B$12,1))*SQRT(Settings!$B$13)))</f>
        <v/>
      </c>
      <c r="O618" s="20">
        <f>IF(AND(ISNUMBER(E618),ISNUMBER(N618)),E618-N618,NA())</f>
        <v/>
      </c>
      <c r="P618" s="19">
        <f>IF(NOT(ISNUMBER($A618)),NA(),IF(OR($A618&lt;MIN(KW_TP!$A$2:$A$2501),$A618&gt;MAX(KW_TP!$A$2:$A$2501)),NA(),INDEX(KW_TP!$C$2:$C$2501,MATCH($A618,KW_TP!$A$2:$A$2501,1))))</f>
        <v/>
      </c>
      <c r="Q618" s="18">
        <f>IF(NOT(ISNUMBER($A618)),NA(),IFERROR(1*INDEX(BBG_Data!$J$2:$J$4000,MATCH($A618,BBG_Data!$I$2:$I$4000,0)),NA()))</f>
        <v/>
      </c>
      <c r="R618" s="18">
        <f>IF(NOT(ISNUMBER($A618)),NA(),IFERROR(1*INDEX(BBG_Data!$L$2:$L$4000,MATCH($A618,BBG_Data!$K$2:$K$4000,0)),NA()))</f>
        <v/>
      </c>
      <c r="S618" s="20">
        <f>IF(AND(ISNUMBER(B618),ISNUMBER(Q618),ISNUMBER(R618)),(B618-Q618-R618)*100,NA())</f>
        <v/>
      </c>
      <c r="T618" s="20">
        <f>IF(AND(ISNUMBER(B618),Settings!$B$17&gt;0),IF(ISNUMBER(INDEX($B:$B,Settings!$B$17)),(B618-INDEX($B:$B,Settings!$B$17))*100,NA()),NA())</f>
        <v/>
      </c>
      <c r="U618" s="20">
        <f>IF(AND(ISNUMBER(Q618),Settings!$B$17&gt;0),IF(ISNUMBER(INDEX($Q:$Q,Settings!$B$17)),(Q618-INDEX($Q:$Q,Settings!$B$17))*100,NA()),NA())</f>
        <v/>
      </c>
      <c r="V618" s="20">
        <f>IF(AND(ISNUMBER(R618),Settings!$B$17&gt;0),IF(ISNUMBER(INDEX($R:$R,Settings!$B$17)),(R618-INDEX($R:$R,Settings!$B$17))*100,NA()),NA())</f>
        <v/>
      </c>
      <c r="W618" s="20">
        <f>IF(AND(ISNUMBER(P618),Settings!$B$17&gt;0),IF(ISNUMBER(INDEX($P:$P,Settings!$B$17)),P618-INDEX($P:$P,Settings!$B$17),NA()),NA())</f>
        <v/>
      </c>
      <c r="X618" s="19">
        <f>IF(NOT(ISNUMBER($A618)),NA(),IF(OR($A618&lt;MIN(DKW_10Y!$A$2:$A$2918),$A618&gt;MAX(DKW_10Y!$A$2:$A$2918),Settings!$B$16&lt;MIN(DKW_10Y!$A$2:$A$2918)),NA(),(INDEX(DKW_10Y!$B$2:$B$2918,MATCH($A618,DKW_10Y!$A$2:$A$2918,1))-INDEX(DKW_10Y!$B$2:$B$2918,MATCH(Settings!$B$16,DKW_10Y!$A$2:$A$2918,1)))*100))</f>
        <v/>
      </c>
      <c r="Y618" s="19">
        <f>IF(NOT(ISNUMBER($A618)),NA(),IF(OR($A618&lt;MIN(DKW_10Y!$A$2:$A$2918),$A618&gt;MAX(DKW_10Y!$A$2:$A$2918),Settings!$B$16&lt;MIN(DKW_10Y!$A$2:$A$2918)),NA(),(INDEX(DKW_10Y!$C$2:$C$2918,MATCH($A618,DKW_10Y!$A$2:$A$2918,1))-INDEX(DKW_10Y!$C$2:$C$2918,MATCH(Settings!$B$16,DKW_10Y!$A$2:$A$2918,1)))*100))</f>
        <v/>
      </c>
      <c r="Z618" s="19">
        <f>IF(NOT(ISNUMBER($A618)),NA(),IF(OR($A618&lt;MIN(DKW_10Y!$A$2:$A$2918),$A618&gt;MAX(DKW_10Y!$A$2:$A$2918),Settings!$B$16&lt;MIN(DKW_10Y!$A$2:$A$2918)),NA(),(INDEX(DKW_10Y!$D$2:$D$2918,MATCH($A618,DKW_10Y!$A$2:$A$2918,1))-INDEX(DKW_10Y!$D$2:$D$2918,MATCH(Settings!$B$16,DKW_10Y!$A$2:$A$2918,1)))*100))</f>
        <v/>
      </c>
      <c r="AA618" s="19">
        <f>IF(NOT(ISNUMBER($A618)),NA(),IF(OR($A618&lt;MIN(DKW_10Y!$A$2:$A$2918),$A618&gt;MAX(DKW_10Y!$A$2:$A$2918),Settings!$B$16&lt;MIN(DKW_10Y!$A$2:$A$2918)),NA(),(INDEX(DKW_10Y!$E$2:$E$2918,MATCH($A618,DKW_10Y!$A$2:$A$2918,1))-INDEX(DKW_10Y!$E$2:$E$2918,MATCH(Settings!$B$16,DKW_10Y!$A$2:$A$2918,1)))*100))</f>
        <v/>
      </c>
      <c r="AB618" s="19">
        <f>IF(NOT(ISNUMBER($A618)),NA(),IF(OR($A618&lt;MIN(DKW_10Y!$A$2:$A$2918),$A618&gt;MAX(DKW_10Y!$A$2:$A$2918),Settings!$B$16&lt;MIN(DKW_10Y!$A$2:$A$2918)),NA(),(INDEX(DKW_10Y!$H$2:$H$2918,MATCH($A618,DKW_10Y!$A$2:$A$2918,1))-INDEX(DKW_10Y!$H$2:$H$2918,MATCH(Settings!$B$16,DKW_10Y!$A$2:$A$2918,1)))*100))</f>
        <v/>
      </c>
      <c r="AC618" s="18">
        <f>IF(NOT(ISNUMBER($A618)),NA(),IFERROR(1*INDEX(BBG_Data!$N$2:$N$4000,MATCH($A618,BBG_Data!$M$2:$M$4000,0)),NA()))</f>
        <v/>
      </c>
      <c r="AD618" s="18">
        <f>IF(NOT(ISNUMBER($A618)),NA(),IFERROR(1*INDEX(BBG_Data!$P$2:$P$4000,MATCH($A618,BBG_Data!$O$2:$O$4000,0)),NA()))</f>
        <v/>
      </c>
      <c r="AE618" s="18">
        <f>IF(NOT(ISNUMBER($A618)),NA(),IFERROR(1*INDEX(BBG_Data!$R$2:$R$4000,MATCH($A618,BBG_Data!$Q$2:$Q$4000,0)),NA()))</f>
        <v/>
      </c>
      <c r="AF618" s="20">
        <f>IF(AND(ISNUMBER(B618),ISNUMBER(AC618)),(B618-AC618)*100,NA())</f>
        <v/>
      </c>
      <c r="AG618" s="20">
        <f>IF(AND(ISNUMBER(AE618),ISNUMBER(AD618)),(AE618-AD618)*100,NA())</f>
        <v/>
      </c>
      <c r="AH618" s="19">
        <f>IF(NOT(ISNUMBER($A618)),NA(),IFERROR(INDEX(BBG_Data!$T$2:$T$4000,MATCH($A618,BBG_Data!$S$2:$S$4000,0))*Settings!$B$25,NA()))</f>
        <v/>
      </c>
      <c r="AI618" s="19">
        <f>IF(NOT(ISNUMBER($A618)),NA(),IFERROR(INDEX(BBG_Data!$V$2:$V$4000,MATCH($A618,BBG_Data!$U$2:$U$4000,0))*Settings!$B$25,NA()))</f>
        <v/>
      </c>
      <c r="AJ618" s="19">
        <f>IF(NOT(ISNUMBER($A618)),NA(),IFERROR(1*INDEX(BBG_Data!$X$2:$X$4000,MATCH($A618,BBG_Data!$W$2:$W$4000,0)),NA()))</f>
        <v/>
      </c>
      <c r="AK618" s="19">
        <f>IF(NOT(ISNUMBER($A618)),NA(),IFERROR(1*INDEX(BBG_Data!$Z$2:$Z$4000,MATCH($A618,BBG_Data!$Y$2:$Y$4000,0)),NA()))</f>
        <v/>
      </c>
    </row>
    <row r="619">
      <c r="A619" s="17">
        <f>IF(ISNUMBER(BBG_Data!A619),BBG_Data!A619,"")</f>
        <v/>
      </c>
      <c r="B619" s="18">
        <f>IF(AND(ISNUMBER($A619),ISNUMBER(BBG_Data!B619)),BBG_Data!B619,NA())</f>
        <v/>
      </c>
      <c r="C619" s="18">
        <f>IF(NOT(ISNUMBER($A619)),NA(),IFERROR(1*INDEX(BBG_Data!$D$2:$D$4000,MATCH($A619,BBG_Data!$C$2:$C$4000,0)),NA()))</f>
        <v/>
      </c>
      <c r="D619" s="19">
        <f>IF(NOT(ISNUMBER($A619)),NA(),IFERROR(1*INDEX(BBG_Data!$F$2:$F$4000,MATCH($A619,BBG_Data!$E$2:$E$4000,0)),NA()))</f>
        <v/>
      </c>
      <c r="E619" s="19">
        <f>IF(NOT(ISNUMBER($A619)),NA(),IFERROR(1*INDEX(BBG_Data!$H$2:$H$4000,MATCH($A619,BBG_Data!$G$2:$G$4000,0)),NA()))</f>
        <v/>
      </c>
      <c r="F619" s="20">
        <f>IF(AND(ISNUMBER(B619),ISNUMBER(B618)),IF(B619=B618,"",(B619-B618)*100),"")</f>
        <v/>
      </c>
      <c r="G619" s="20">
        <f>IF(AND(ISNUMBER(C619),ISNUMBER(C618)),IF(C619=C618,"",(C619-C618)*100),"")</f>
        <v/>
      </c>
      <c r="H619" s="20">
        <f>IF(OR(NOT(ISNUMBER($A619)),ROW()-2&lt;Settings!$B$11),NA(),IF(COUNT(OFFSET(F619,1-Settings!$B$11,0,Settings!$B$11,1))&lt;ROUNDUP(Settings!$B$11*Settings!$B$26,0),NA(),STDEV(OFFSET(F619,1-Settings!$B$11,0,Settings!$B$11,1))*SQRT(Settings!$B$13)))</f>
        <v/>
      </c>
      <c r="I619" s="20">
        <f>IF(OR(NOT(ISNUMBER($A619)),ROW()-2&lt;Settings!$B$12),NA(),IF(COUNT(OFFSET(F619,1-Settings!$B$12,0,Settings!$B$12,1))&lt;ROUNDUP(Settings!$B$12*Settings!$B$26,0),NA(),STDEV(OFFSET(F619,1-Settings!$B$12,0,Settings!$B$12,1))*SQRT(Settings!$B$13)))</f>
        <v/>
      </c>
      <c r="J619" s="20">
        <f>IF(OR(NOT(ISNUMBER($A619)),ROW()-2&lt;Settings!$B$11),NA(),IF(COUNT(OFFSET(G619,1-Settings!$B$11,0,Settings!$B$11,1))&lt;ROUNDUP(Settings!$B$11*Settings!$B$26,0),NA(),STDEV(OFFSET(G619,1-Settings!$B$11,0,Settings!$B$11,1))*SQRT(Settings!$B$13)))</f>
        <v/>
      </c>
      <c r="K619" s="20">
        <f>IF(OR(NOT(ISNUMBER($A619)),ROW()-2&lt;Settings!$B$12),NA(),IF(COUNT(OFFSET(G619,1-Settings!$B$12,0,Settings!$B$12,1))&lt;ROUNDUP(Settings!$B$12*Settings!$B$26,0),NA(),STDEV(OFFSET(G619,1-Settings!$B$12,0,Settings!$B$12,1))*SQRT(Settings!$B$13)))</f>
        <v/>
      </c>
      <c r="L619" s="20">
        <f>IF(AND(ISNUMBER(D619),ISNUMBER(H619)),D619-H619,NA())</f>
        <v/>
      </c>
      <c r="M619" s="20">
        <f>IF(AND(ISNUMBER(E619),ISNUMBER(K619)),E619-K619,NA())</f>
        <v/>
      </c>
      <c r="N619" s="20">
        <f>IF(NOT(ISNUMBER($A619)),NA(),IF(COUNT(OFFSET(G619,1,0,Settings!$B$12,1))&lt;ROUNDUP(Settings!$B$12*Settings!$B$26,0),NA(),STDEV(OFFSET(G619,1,0,Settings!$B$12,1))*SQRT(Settings!$B$13)))</f>
        <v/>
      </c>
      <c r="O619" s="20">
        <f>IF(AND(ISNUMBER(E619),ISNUMBER(N619)),E619-N619,NA())</f>
        <v/>
      </c>
      <c r="P619" s="19">
        <f>IF(NOT(ISNUMBER($A619)),NA(),IF(OR($A619&lt;MIN(KW_TP!$A$2:$A$2501),$A619&gt;MAX(KW_TP!$A$2:$A$2501)),NA(),INDEX(KW_TP!$C$2:$C$2501,MATCH($A619,KW_TP!$A$2:$A$2501,1))))</f>
        <v/>
      </c>
      <c r="Q619" s="18">
        <f>IF(NOT(ISNUMBER($A619)),NA(),IFERROR(1*INDEX(BBG_Data!$J$2:$J$4000,MATCH($A619,BBG_Data!$I$2:$I$4000,0)),NA()))</f>
        <v/>
      </c>
      <c r="R619" s="18">
        <f>IF(NOT(ISNUMBER($A619)),NA(),IFERROR(1*INDEX(BBG_Data!$L$2:$L$4000,MATCH($A619,BBG_Data!$K$2:$K$4000,0)),NA()))</f>
        <v/>
      </c>
      <c r="S619" s="20">
        <f>IF(AND(ISNUMBER(B619),ISNUMBER(Q619),ISNUMBER(R619)),(B619-Q619-R619)*100,NA())</f>
        <v/>
      </c>
      <c r="T619" s="20">
        <f>IF(AND(ISNUMBER(B619),Settings!$B$17&gt;0),IF(ISNUMBER(INDEX($B:$B,Settings!$B$17)),(B619-INDEX($B:$B,Settings!$B$17))*100,NA()),NA())</f>
        <v/>
      </c>
      <c r="U619" s="20">
        <f>IF(AND(ISNUMBER(Q619),Settings!$B$17&gt;0),IF(ISNUMBER(INDEX($Q:$Q,Settings!$B$17)),(Q619-INDEX($Q:$Q,Settings!$B$17))*100,NA()),NA())</f>
        <v/>
      </c>
      <c r="V619" s="20">
        <f>IF(AND(ISNUMBER(R619),Settings!$B$17&gt;0),IF(ISNUMBER(INDEX($R:$R,Settings!$B$17)),(R619-INDEX($R:$R,Settings!$B$17))*100,NA()),NA())</f>
        <v/>
      </c>
      <c r="W619" s="20">
        <f>IF(AND(ISNUMBER(P619),Settings!$B$17&gt;0),IF(ISNUMBER(INDEX($P:$P,Settings!$B$17)),P619-INDEX($P:$P,Settings!$B$17),NA()),NA())</f>
        <v/>
      </c>
      <c r="X619" s="19">
        <f>IF(NOT(ISNUMBER($A619)),NA(),IF(OR($A619&lt;MIN(DKW_10Y!$A$2:$A$2918),$A619&gt;MAX(DKW_10Y!$A$2:$A$2918),Settings!$B$16&lt;MIN(DKW_10Y!$A$2:$A$2918)),NA(),(INDEX(DKW_10Y!$B$2:$B$2918,MATCH($A619,DKW_10Y!$A$2:$A$2918,1))-INDEX(DKW_10Y!$B$2:$B$2918,MATCH(Settings!$B$16,DKW_10Y!$A$2:$A$2918,1)))*100))</f>
        <v/>
      </c>
      <c r="Y619" s="19">
        <f>IF(NOT(ISNUMBER($A619)),NA(),IF(OR($A619&lt;MIN(DKW_10Y!$A$2:$A$2918),$A619&gt;MAX(DKW_10Y!$A$2:$A$2918),Settings!$B$16&lt;MIN(DKW_10Y!$A$2:$A$2918)),NA(),(INDEX(DKW_10Y!$C$2:$C$2918,MATCH($A619,DKW_10Y!$A$2:$A$2918,1))-INDEX(DKW_10Y!$C$2:$C$2918,MATCH(Settings!$B$16,DKW_10Y!$A$2:$A$2918,1)))*100))</f>
        <v/>
      </c>
      <c r="Z619" s="19">
        <f>IF(NOT(ISNUMBER($A619)),NA(),IF(OR($A619&lt;MIN(DKW_10Y!$A$2:$A$2918),$A619&gt;MAX(DKW_10Y!$A$2:$A$2918),Settings!$B$16&lt;MIN(DKW_10Y!$A$2:$A$2918)),NA(),(INDEX(DKW_10Y!$D$2:$D$2918,MATCH($A619,DKW_10Y!$A$2:$A$2918,1))-INDEX(DKW_10Y!$D$2:$D$2918,MATCH(Settings!$B$16,DKW_10Y!$A$2:$A$2918,1)))*100))</f>
        <v/>
      </c>
      <c r="AA619" s="19">
        <f>IF(NOT(ISNUMBER($A619)),NA(),IF(OR($A619&lt;MIN(DKW_10Y!$A$2:$A$2918),$A619&gt;MAX(DKW_10Y!$A$2:$A$2918),Settings!$B$16&lt;MIN(DKW_10Y!$A$2:$A$2918)),NA(),(INDEX(DKW_10Y!$E$2:$E$2918,MATCH($A619,DKW_10Y!$A$2:$A$2918,1))-INDEX(DKW_10Y!$E$2:$E$2918,MATCH(Settings!$B$16,DKW_10Y!$A$2:$A$2918,1)))*100))</f>
        <v/>
      </c>
      <c r="AB619" s="19">
        <f>IF(NOT(ISNUMBER($A619)),NA(),IF(OR($A619&lt;MIN(DKW_10Y!$A$2:$A$2918),$A619&gt;MAX(DKW_10Y!$A$2:$A$2918),Settings!$B$16&lt;MIN(DKW_10Y!$A$2:$A$2918)),NA(),(INDEX(DKW_10Y!$H$2:$H$2918,MATCH($A619,DKW_10Y!$A$2:$A$2918,1))-INDEX(DKW_10Y!$H$2:$H$2918,MATCH(Settings!$B$16,DKW_10Y!$A$2:$A$2918,1)))*100))</f>
        <v/>
      </c>
      <c r="AC619" s="18">
        <f>IF(NOT(ISNUMBER($A619)),NA(),IFERROR(1*INDEX(BBG_Data!$N$2:$N$4000,MATCH($A619,BBG_Data!$M$2:$M$4000,0)),NA()))</f>
        <v/>
      </c>
      <c r="AD619" s="18">
        <f>IF(NOT(ISNUMBER($A619)),NA(),IFERROR(1*INDEX(BBG_Data!$P$2:$P$4000,MATCH($A619,BBG_Data!$O$2:$O$4000,0)),NA()))</f>
        <v/>
      </c>
      <c r="AE619" s="18">
        <f>IF(NOT(ISNUMBER($A619)),NA(),IFERROR(1*INDEX(BBG_Data!$R$2:$R$4000,MATCH($A619,BBG_Data!$Q$2:$Q$4000,0)),NA()))</f>
        <v/>
      </c>
      <c r="AF619" s="20">
        <f>IF(AND(ISNUMBER(B619),ISNUMBER(AC619)),(B619-AC619)*100,NA())</f>
        <v/>
      </c>
      <c r="AG619" s="20">
        <f>IF(AND(ISNUMBER(AE619),ISNUMBER(AD619)),(AE619-AD619)*100,NA())</f>
        <v/>
      </c>
      <c r="AH619" s="19">
        <f>IF(NOT(ISNUMBER($A619)),NA(),IFERROR(INDEX(BBG_Data!$T$2:$T$4000,MATCH($A619,BBG_Data!$S$2:$S$4000,0))*Settings!$B$25,NA()))</f>
        <v/>
      </c>
      <c r="AI619" s="19">
        <f>IF(NOT(ISNUMBER($A619)),NA(),IFERROR(INDEX(BBG_Data!$V$2:$V$4000,MATCH($A619,BBG_Data!$U$2:$U$4000,0))*Settings!$B$25,NA()))</f>
        <v/>
      </c>
      <c r="AJ619" s="19">
        <f>IF(NOT(ISNUMBER($A619)),NA(),IFERROR(1*INDEX(BBG_Data!$X$2:$X$4000,MATCH($A619,BBG_Data!$W$2:$W$4000,0)),NA()))</f>
        <v/>
      </c>
      <c r="AK619" s="19">
        <f>IF(NOT(ISNUMBER($A619)),NA(),IFERROR(1*INDEX(BBG_Data!$Z$2:$Z$4000,MATCH($A619,BBG_Data!$Y$2:$Y$4000,0)),NA()))</f>
        <v/>
      </c>
    </row>
    <row r="620">
      <c r="A620" s="17">
        <f>IF(ISNUMBER(BBG_Data!A620),BBG_Data!A620,"")</f>
        <v/>
      </c>
      <c r="B620" s="18">
        <f>IF(AND(ISNUMBER($A620),ISNUMBER(BBG_Data!B620)),BBG_Data!B620,NA())</f>
        <v/>
      </c>
      <c r="C620" s="18">
        <f>IF(NOT(ISNUMBER($A620)),NA(),IFERROR(1*INDEX(BBG_Data!$D$2:$D$4000,MATCH($A620,BBG_Data!$C$2:$C$4000,0)),NA()))</f>
        <v/>
      </c>
      <c r="D620" s="19">
        <f>IF(NOT(ISNUMBER($A620)),NA(),IFERROR(1*INDEX(BBG_Data!$F$2:$F$4000,MATCH($A620,BBG_Data!$E$2:$E$4000,0)),NA()))</f>
        <v/>
      </c>
      <c r="E620" s="19">
        <f>IF(NOT(ISNUMBER($A620)),NA(),IFERROR(1*INDEX(BBG_Data!$H$2:$H$4000,MATCH($A620,BBG_Data!$G$2:$G$4000,0)),NA()))</f>
        <v/>
      </c>
      <c r="F620" s="20">
        <f>IF(AND(ISNUMBER(B620),ISNUMBER(B619)),IF(B620=B619,"",(B620-B619)*100),"")</f>
        <v/>
      </c>
      <c r="G620" s="20">
        <f>IF(AND(ISNUMBER(C620),ISNUMBER(C619)),IF(C620=C619,"",(C620-C619)*100),"")</f>
        <v/>
      </c>
      <c r="H620" s="20">
        <f>IF(OR(NOT(ISNUMBER($A620)),ROW()-2&lt;Settings!$B$11),NA(),IF(COUNT(OFFSET(F620,1-Settings!$B$11,0,Settings!$B$11,1))&lt;ROUNDUP(Settings!$B$11*Settings!$B$26,0),NA(),STDEV(OFFSET(F620,1-Settings!$B$11,0,Settings!$B$11,1))*SQRT(Settings!$B$13)))</f>
        <v/>
      </c>
      <c r="I620" s="20">
        <f>IF(OR(NOT(ISNUMBER($A620)),ROW()-2&lt;Settings!$B$12),NA(),IF(COUNT(OFFSET(F620,1-Settings!$B$12,0,Settings!$B$12,1))&lt;ROUNDUP(Settings!$B$12*Settings!$B$26,0),NA(),STDEV(OFFSET(F620,1-Settings!$B$12,0,Settings!$B$12,1))*SQRT(Settings!$B$13)))</f>
        <v/>
      </c>
      <c r="J620" s="20">
        <f>IF(OR(NOT(ISNUMBER($A620)),ROW()-2&lt;Settings!$B$11),NA(),IF(COUNT(OFFSET(G620,1-Settings!$B$11,0,Settings!$B$11,1))&lt;ROUNDUP(Settings!$B$11*Settings!$B$26,0),NA(),STDEV(OFFSET(G620,1-Settings!$B$11,0,Settings!$B$11,1))*SQRT(Settings!$B$13)))</f>
        <v/>
      </c>
      <c r="K620" s="20">
        <f>IF(OR(NOT(ISNUMBER($A620)),ROW()-2&lt;Settings!$B$12),NA(),IF(COUNT(OFFSET(G620,1-Settings!$B$12,0,Settings!$B$12,1))&lt;ROUNDUP(Settings!$B$12*Settings!$B$26,0),NA(),STDEV(OFFSET(G620,1-Settings!$B$12,0,Settings!$B$12,1))*SQRT(Settings!$B$13)))</f>
        <v/>
      </c>
      <c r="L620" s="20">
        <f>IF(AND(ISNUMBER(D620),ISNUMBER(H620)),D620-H620,NA())</f>
        <v/>
      </c>
      <c r="M620" s="20">
        <f>IF(AND(ISNUMBER(E620),ISNUMBER(K620)),E620-K620,NA())</f>
        <v/>
      </c>
      <c r="N620" s="20">
        <f>IF(NOT(ISNUMBER($A620)),NA(),IF(COUNT(OFFSET(G620,1,0,Settings!$B$12,1))&lt;ROUNDUP(Settings!$B$12*Settings!$B$26,0),NA(),STDEV(OFFSET(G620,1,0,Settings!$B$12,1))*SQRT(Settings!$B$13)))</f>
        <v/>
      </c>
      <c r="O620" s="20">
        <f>IF(AND(ISNUMBER(E620),ISNUMBER(N620)),E620-N620,NA())</f>
        <v/>
      </c>
      <c r="P620" s="19">
        <f>IF(NOT(ISNUMBER($A620)),NA(),IF(OR($A620&lt;MIN(KW_TP!$A$2:$A$2501),$A620&gt;MAX(KW_TP!$A$2:$A$2501)),NA(),INDEX(KW_TP!$C$2:$C$2501,MATCH($A620,KW_TP!$A$2:$A$2501,1))))</f>
        <v/>
      </c>
      <c r="Q620" s="18">
        <f>IF(NOT(ISNUMBER($A620)),NA(),IFERROR(1*INDEX(BBG_Data!$J$2:$J$4000,MATCH($A620,BBG_Data!$I$2:$I$4000,0)),NA()))</f>
        <v/>
      </c>
      <c r="R620" s="18">
        <f>IF(NOT(ISNUMBER($A620)),NA(),IFERROR(1*INDEX(BBG_Data!$L$2:$L$4000,MATCH($A620,BBG_Data!$K$2:$K$4000,0)),NA()))</f>
        <v/>
      </c>
      <c r="S620" s="20">
        <f>IF(AND(ISNUMBER(B620),ISNUMBER(Q620),ISNUMBER(R620)),(B620-Q620-R620)*100,NA())</f>
        <v/>
      </c>
      <c r="T620" s="20">
        <f>IF(AND(ISNUMBER(B620),Settings!$B$17&gt;0),IF(ISNUMBER(INDEX($B:$B,Settings!$B$17)),(B620-INDEX($B:$B,Settings!$B$17))*100,NA()),NA())</f>
        <v/>
      </c>
      <c r="U620" s="20">
        <f>IF(AND(ISNUMBER(Q620),Settings!$B$17&gt;0),IF(ISNUMBER(INDEX($Q:$Q,Settings!$B$17)),(Q620-INDEX($Q:$Q,Settings!$B$17))*100,NA()),NA())</f>
        <v/>
      </c>
      <c r="V620" s="20">
        <f>IF(AND(ISNUMBER(R620),Settings!$B$17&gt;0),IF(ISNUMBER(INDEX($R:$R,Settings!$B$17)),(R620-INDEX($R:$R,Settings!$B$17))*100,NA()),NA())</f>
        <v/>
      </c>
      <c r="W620" s="20">
        <f>IF(AND(ISNUMBER(P620),Settings!$B$17&gt;0),IF(ISNUMBER(INDEX($P:$P,Settings!$B$17)),P620-INDEX($P:$P,Settings!$B$17),NA()),NA())</f>
        <v/>
      </c>
      <c r="X620" s="19">
        <f>IF(NOT(ISNUMBER($A620)),NA(),IF(OR($A620&lt;MIN(DKW_10Y!$A$2:$A$2918),$A620&gt;MAX(DKW_10Y!$A$2:$A$2918),Settings!$B$16&lt;MIN(DKW_10Y!$A$2:$A$2918)),NA(),(INDEX(DKW_10Y!$B$2:$B$2918,MATCH($A620,DKW_10Y!$A$2:$A$2918,1))-INDEX(DKW_10Y!$B$2:$B$2918,MATCH(Settings!$B$16,DKW_10Y!$A$2:$A$2918,1)))*100))</f>
        <v/>
      </c>
      <c r="Y620" s="19">
        <f>IF(NOT(ISNUMBER($A620)),NA(),IF(OR($A620&lt;MIN(DKW_10Y!$A$2:$A$2918),$A620&gt;MAX(DKW_10Y!$A$2:$A$2918),Settings!$B$16&lt;MIN(DKW_10Y!$A$2:$A$2918)),NA(),(INDEX(DKW_10Y!$C$2:$C$2918,MATCH($A620,DKW_10Y!$A$2:$A$2918,1))-INDEX(DKW_10Y!$C$2:$C$2918,MATCH(Settings!$B$16,DKW_10Y!$A$2:$A$2918,1)))*100))</f>
        <v/>
      </c>
      <c r="Z620" s="19">
        <f>IF(NOT(ISNUMBER($A620)),NA(),IF(OR($A620&lt;MIN(DKW_10Y!$A$2:$A$2918),$A620&gt;MAX(DKW_10Y!$A$2:$A$2918),Settings!$B$16&lt;MIN(DKW_10Y!$A$2:$A$2918)),NA(),(INDEX(DKW_10Y!$D$2:$D$2918,MATCH($A620,DKW_10Y!$A$2:$A$2918,1))-INDEX(DKW_10Y!$D$2:$D$2918,MATCH(Settings!$B$16,DKW_10Y!$A$2:$A$2918,1)))*100))</f>
        <v/>
      </c>
      <c r="AA620" s="19">
        <f>IF(NOT(ISNUMBER($A620)),NA(),IF(OR($A620&lt;MIN(DKW_10Y!$A$2:$A$2918),$A620&gt;MAX(DKW_10Y!$A$2:$A$2918),Settings!$B$16&lt;MIN(DKW_10Y!$A$2:$A$2918)),NA(),(INDEX(DKW_10Y!$E$2:$E$2918,MATCH($A620,DKW_10Y!$A$2:$A$2918,1))-INDEX(DKW_10Y!$E$2:$E$2918,MATCH(Settings!$B$16,DKW_10Y!$A$2:$A$2918,1)))*100))</f>
        <v/>
      </c>
      <c r="AB620" s="19">
        <f>IF(NOT(ISNUMBER($A620)),NA(),IF(OR($A620&lt;MIN(DKW_10Y!$A$2:$A$2918),$A620&gt;MAX(DKW_10Y!$A$2:$A$2918),Settings!$B$16&lt;MIN(DKW_10Y!$A$2:$A$2918)),NA(),(INDEX(DKW_10Y!$H$2:$H$2918,MATCH($A620,DKW_10Y!$A$2:$A$2918,1))-INDEX(DKW_10Y!$H$2:$H$2918,MATCH(Settings!$B$16,DKW_10Y!$A$2:$A$2918,1)))*100))</f>
        <v/>
      </c>
      <c r="AC620" s="18">
        <f>IF(NOT(ISNUMBER($A620)),NA(),IFERROR(1*INDEX(BBG_Data!$N$2:$N$4000,MATCH($A620,BBG_Data!$M$2:$M$4000,0)),NA()))</f>
        <v/>
      </c>
      <c r="AD620" s="18">
        <f>IF(NOT(ISNUMBER($A620)),NA(),IFERROR(1*INDEX(BBG_Data!$P$2:$P$4000,MATCH($A620,BBG_Data!$O$2:$O$4000,0)),NA()))</f>
        <v/>
      </c>
      <c r="AE620" s="18">
        <f>IF(NOT(ISNUMBER($A620)),NA(),IFERROR(1*INDEX(BBG_Data!$R$2:$R$4000,MATCH($A620,BBG_Data!$Q$2:$Q$4000,0)),NA()))</f>
        <v/>
      </c>
      <c r="AF620" s="20">
        <f>IF(AND(ISNUMBER(B620),ISNUMBER(AC620)),(B620-AC620)*100,NA())</f>
        <v/>
      </c>
      <c r="AG620" s="20">
        <f>IF(AND(ISNUMBER(AE620),ISNUMBER(AD620)),(AE620-AD620)*100,NA())</f>
        <v/>
      </c>
      <c r="AH620" s="19">
        <f>IF(NOT(ISNUMBER($A620)),NA(),IFERROR(INDEX(BBG_Data!$T$2:$T$4000,MATCH($A620,BBG_Data!$S$2:$S$4000,0))*Settings!$B$25,NA()))</f>
        <v/>
      </c>
      <c r="AI620" s="19">
        <f>IF(NOT(ISNUMBER($A620)),NA(),IFERROR(INDEX(BBG_Data!$V$2:$V$4000,MATCH($A620,BBG_Data!$U$2:$U$4000,0))*Settings!$B$25,NA()))</f>
        <v/>
      </c>
      <c r="AJ620" s="19">
        <f>IF(NOT(ISNUMBER($A620)),NA(),IFERROR(1*INDEX(BBG_Data!$X$2:$X$4000,MATCH($A620,BBG_Data!$W$2:$W$4000,0)),NA()))</f>
        <v/>
      </c>
      <c r="AK620" s="19">
        <f>IF(NOT(ISNUMBER($A620)),NA(),IFERROR(1*INDEX(BBG_Data!$Z$2:$Z$4000,MATCH($A620,BBG_Data!$Y$2:$Y$4000,0)),NA()))</f>
        <v/>
      </c>
    </row>
    <row r="621">
      <c r="A621" s="17">
        <f>IF(ISNUMBER(BBG_Data!A621),BBG_Data!A621,"")</f>
        <v/>
      </c>
      <c r="B621" s="18">
        <f>IF(AND(ISNUMBER($A621),ISNUMBER(BBG_Data!B621)),BBG_Data!B621,NA())</f>
        <v/>
      </c>
      <c r="C621" s="18">
        <f>IF(NOT(ISNUMBER($A621)),NA(),IFERROR(1*INDEX(BBG_Data!$D$2:$D$4000,MATCH($A621,BBG_Data!$C$2:$C$4000,0)),NA()))</f>
        <v/>
      </c>
      <c r="D621" s="19">
        <f>IF(NOT(ISNUMBER($A621)),NA(),IFERROR(1*INDEX(BBG_Data!$F$2:$F$4000,MATCH($A621,BBG_Data!$E$2:$E$4000,0)),NA()))</f>
        <v/>
      </c>
      <c r="E621" s="19">
        <f>IF(NOT(ISNUMBER($A621)),NA(),IFERROR(1*INDEX(BBG_Data!$H$2:$H$4000,MATCH($A621,BBG_Data!$G$2:$G$4000,0)),NA()))</f>
        <v/>
      </c>
      <c r="F621" s="20">
        <f>IF(AND(ISNUMBER(B621),ISNUMBER(B620)),IF(B621=B620,"",(B621-B620)*100),"")</f>
        <v/>
      </c>
      <c r="G621" s="20">
        <f>IF(AND(ISNUMBER(C621),ISNUMBER(C620)),IF(C621=C620,"",(C621-C620)*100),"")</f>
        <v/>
      </c>
      <c r="H621" s="20">
        <f>IF(OR(NOT(ISNUMBER($A621)),ROW()-2&lt;Settings!$B$11),NA(),IF(COUNT(OFFSET(F621,1-Settings!$B$11,0,Settings!$B$11,1))&lt;ROUNDUP(Settings!$B$11*Settings!$B$26,0),NA(),STDEV(OFFSET(F621,1-Settings!$B$11,0,Settings!$B$11,1))*SQRT(Settings!$B$13)))</f>
        <v/>
      </c>
      <c r="I621" s="20">
        <f>IF(OR(NOT(ISNUMBER($A621)),ROW()-2&lt;Settings!$B$12),NA(),IF(COUNT(OFFSET(F621,1-Settings!$B$12,0,Settings!$B$12,1))&lt;ROUNDUP(Settings!$B$12*Settings!$B$26,0),NA(),STDEV(OFFSET(F621,1-Settings!$B$12,0,Settings!$B$12,1))*SQRT(Settings!$B$13)))</f>
        <v/>
      </c>
      <c r="J621" s="20">
        <f>IF(OR(NOT(ISNUMBER($A621)),ROW()-2&lt;Settings!$B$11),NA(),IF(COUNT(OFFSET(G621,1-Settings!$B$11,0,Settings!$B$11,1))&lt;ROUNDUP(Settings!$B$11*Settings!$B$26,0),NA(),STDEV(OFFSET(G621,1-Settings!$B$11,0,Settings!$B$11,1))*SQRT(Settings!$B$13)))</f>
        <v/>
      </c>
      <c r="K621" s="20">
        <f>IF(OR(NOT(ISNUMBER($A621)),ROW()-2&lt;Settings!$B$12),NA(),IF(COUNT(OFFSET(G621,1-Settings!$B$12,0,Settings!$B$12,1))&lt;ROUNDUP(Settings!$B$12*Settings!$B$26,0),NA(),STDEV(OFFSET(G621,1-Settings!$B$12,0,Settings!$B$12,1))*SQRT(Settings!$B$13)))</f>
        <v/>
      </c>
      <c r="L621" s="20">
        <f>IF(AND(ISNUMBER(D621),ISNUMBER(H621)),D621-H621,NA())</f>
        <v/>
      </c>
      <c r="M621" s="20">
        <f>IF(AND(ISNUMBER(E621),ISNUMBER(K621)),E621-K621,NA())</f>
        <v/>
      </c>
      <c r="N621" s="20">
        <f>IF(NOT(ISNUMBER($A621)),NA(),IF(COUNT(OFFSET(G621,1,0,Settings!$B$12,1))&lt;ROUNDUP(Settings!$B$12*Settings!$B$26,0),NA(),STDEV(OFFSET(G621,1,0,Settings!$B$12,1))*SQRT(Settings!$B$13)))</f>
        <v/>
      </c>
      <c r="O621" s="20">
        <f>IF(AND(ISNUMBER(E621),ISNUMBER(N621)),E621-N621,NA())</f>
        <v/>
      </c>
      <c r="P621" s="19">
        <f>IF(NOT(ISNUMBER($A621)),NA(),IF(OR($A621&lt;MIN(KW_TP!$A$2:$A$2501),$A621&gt;MAX(KW_TP!$A$2:$A$2501)),NA(),INDEX(KW_TP!$C$2:$C$2501,MATCH($A621,KW_TP!$A$2:$A$2501,1))))</f>
        <v/>
      </c>
      <c r="Q621" s="18">
        <f>IF(NOT(ISNUMBER($A621)),NA(),IFERROR(1*INDEX(BBG_Data!$J$2:$J$4000,MATCH($A621,BBG_Data!$I$2:$I$4000,0)),NA()))</f>
        <v/>
      </c>
      <c r="R621" s="18">
        <f>IF(NOT(ISNUMBER($A621)),NA(),IFERROR(1*INDEX(BBG_Data!$L$2:$L$4000,MATCH($A621,BBG_Data!$K$2:$K$4000,0)),NA()))</f>
        <v/>
      </c>
      <c r="S621" s="20">
        <f>IF(AND(ISNUMBER(B621),ISNUMBER(Q621),ISNUMBER(R621)),(B621-Q621-R621)*100,NA())</f>
        <v/>
      </c>
      <c r="T621" s="20">
        <f>IF(AND(ISNUMBER(B621),Settings!$B$17&gt;0),IF(ISNUMBER(INDEX($B:$B,Settings!$B$17)),(B621-INDEX($B:$B,Settings!$B$17))*100,NA()),NA())</f>
        <v/>
      </c>
      <c r="U621" s="20">
        <f>IF(AND(ISNUMBER(Q621),Settings!$B$17&gt;0),IF(ISNUMBER(INDEX($Q:$Q,Settings!$B$17)),(Q621-INDEX($Q:$Q,Settings!$B$17))*100,NA()),NA())</f>
        <v/>
      </c>
      <c r="V621" s="20">
        <f>IF(AND(ISNUMBER(R621),Settings!$B$17&gt;0),IF(ISNUMBER(INDEX($R:$R,Settings!$B$17)),(R621-INDEX($R:$R,Settings!$B$17))*100,NA()),NA())</f>
        <v/>
      </c>
      <c r="W621" s="20">
        <f>IF(AND(ISNUMBER(P621),Settings!$B$17&gt;0),IF(ISNUMBER(INDEX($P:$P,Settings!$B$17)),P621-INDEX($P:$P,Settings!$B$17),NA()),NA())</f>
        <v/>
      </c>
      <c r="X621" s="19">
        <f>IF(NOT(ISNUMBER($A621)),NA(),IF(OR($A621&lt;MIN(DKW_10Y!$A$2:$A$2918),$A621&gt;MAX(DKW_10Y!$A$2:$A$2918),Settings!$B$16&lt;MIN(DKW_10Y!$A$2:$A$2918)),NA(),(INDEX(DKW_10Y!$B$2:$B$2918,MATCH($A621,DKW_10Y!$A$2:$A$2918,1))-INDEX(DKW_10Y!$B$2:$B$2918,MATCH(Settings!$B$16,DKW_10Y!$A$2:$A$2918,1)))*100))</f>
        <v/>
      </c>
      <c r="Y621" s="19">
        <f>IF(NOT(ISNUMBER($A621)),NA(),IF(OR($A621&lt;MIN(DKW_10Y!$A$2:$A$2918),$A621&gt;MAX(DKW_10Y!$A$2:$A$2918),Settings!$B$16&lt;MIN(DKW_10Y!$A$2:$A$2918)),NA(),(INDEX(DKW_10Y!$C$2:$C$2918,MATCH($A621,DKW_10Y!$A$2:$A$2918,1))-INDEX(DKW_10Y!$C$2:$C$2918,MATCH(Settings!$B$16,DKW_10Y!$A$2:$A$2918,1)))*100))</f>
        <v/>
      </c>
      <c r="Z621" s="19">
        <f>IF(NOT(ISNUMBER($A621)),NA(),IF(OR($A621&lt;MIN(DKW_10Y!$A$2:$A$2918),$A621&gt;MAX(DKW_10Y!$A$2:$A$2918),Settings!$B$16&lt;MIN(DKW_10Y!$A$2:$A$2918)),NA(),(INDEX(DKW_10Y!$D$2:$D$2918,MATCH($A621,DKW_10Y!$A$2:$A$2918,1))-INDEX(DKW_10Y!$D$2:$D$2918,MATCH(Settings!$B$16,DKW_10Y!$A$2:$A$2918,1)))*100))</f>
        <v/>
      </c>
      <c r="AA621" s="19">
        <f>IF(NOT(ISNUMBER($A621)),NA(),IF(OR($A621&lt;MIN(DKW_10Y!$A$2:$A$2918),$A621&gt;MAX(DKW_10Y!$A$2:$A$2918),Settings!$B$16&lt;MIN(DKW_10Y!$A$2:$A$2918)),NA(),(INDEX(DKW_10Y!$E$2:$E$2918,MATCH($A621,DKW_10Y!$A$2:$A$2918,1))-INDEX(DKW_10Y!$E$2:$E$2918,MATCH(Settings!$B$16,DKW_10Y!$A$2:$A$2918,1)))*100))</f>
        <v/>
      </c>
      <c r="AB621" s="19">
        <f>IF(NOT(ISNUMBER($A621)),NA(),IF(OR($A621&lt;MIN(DKW_10Y!$A$2:$A$2918),$A621&gt;MAX(DKW_10Y!$A$2:$A$2918),Settings!$B$16&lt;MIN(DKW_10Y!$A$2:$A$2918)),NA(),(INDEX(DKW_10Y!$H$2:$H$2918,MATCH($A621,DKW_10Y!$A$2:$A$2918,1))-INDEX(DKW_10Y!$H$2:$H$2918,MATCH(Settings!$B$16,DKW_10Y!$A$2:$A$2918,1)))*100))</f>
        <v/>
      </c>
      <c r="AC621" s="18">
        <f>IF(NOT(ISNUMBER($A621)),NA(),IFERROR(1*INDEX(BBG_Data!$N$2:$N$4000,MATCH($A621,BBG_Data!$M$2:$M$4000,0)),NA()))</f>
        <v/>
      </c>
      <c r="AD621" s="18">
        <f>IF(NOT(ISNUMBER($A621)),NA(),IFERROR(1*INDEX(BBG_Data!$P$2:$P$4000,MATCH($A621,BBG_Data!$O$2:$O$4000,0)),NA()))</f>
        <v/>
      </c>
      <c r="AE621" s="18">
        <f>IF(NOT(ISNUMBER($A621)),NA(),IFERROR(1*INDEX(BBG_Data!$R$2:$R$4000,MATCH($A621,BBG_Data!$Q$2:$Q$4000,0)),NA()))</f>
        <v/>
      </c>
      <c r="AF621" s="20">
        <f>IF(AND(ISNUMBER(B621),ISNUMBER(AC621)),(B621-AC621)*100,NA())</f>
        <v/>
      </c>
      <c r="AG621" s="20">
        <f>IF(AND(ISNUMBER(AE621),ISNUMBER(AD621)),(AE621-AD621)*100,NA())</f>
        <v/>
      </c>
      <c r="AH621" s="19">
        <f>IF(NOT(ISNUMBER($A621)),NA(),IFERROR(INDEX(BBG_Data!$T$2:$T$4000,MATCH($A621,BBG_Data!$S$2:$S$4000,0))*Settings!$B$25,NA()))</f>
        <v/>
      </c>
      <c r="AI621" s="19">
        <f>IF(NOT(ISNUMBER($A621)),NA(),IFERROR(INDEX(BBG_Data!$V$2:$V$4000,MATCH($A621,BBG_Data!$U$2:$U$4000,0))*Settings!$B$25,NA()))</f>
        <v/>
      </c>
      <c r="AJ621" s="19">
        <f>IF(NOT(ISNUMBER($A621)),NA(),IFERROR(1*INDEX(BBG_Data!$X$2:$X$4000,MATCH($A621,BBG_Data!$W$2:$W$4000,0)),NA()))</f>
        <v/>
      </c>
      <c r="AK621" s="19">
        <f>IF(NOT(ISNUMBER($A621)),NA(),IFERROR(1*INDEX(BBG_Data!$Z$2:$Z$4000,MATCH($A621,BBG_Data!$Y$2:$Y$4000,0)),NA()))</f>
        <v/>
      </c>
    </row>
    <row r="622">
      <c r="A622" s="17">
        <f>IF(ISNUMBER(BBG_Data!A622),BBG_Data!A622,"")</f>
        <v/>
      </c>
      <c r="B622" s="18">
        <f>IF(AND(ISNUMBER($A622),ISNUMBER(BBG_Data!B622)),BBG_Data!B622,NA())</f>
        <v/>
      </c>
      <c r="C622" s="18">
        <f>IF(NOT(ISNUMBER($A622)),NA(),IFERROR(1*INDEX(BBG_Data!$D$2:$D$4000,MATCH($A622,BBG_Data!$C$2:$C$4000,0)),NA()))</f>
        <v/>
      </c>
      <c r="D622" s="19">
        <f>IF(NOT(ISNUMBER($A622)),NA(),IFERROR(1*INDEX(BBG_Data!$F$2:$F$4000,MATCH($A622,BBG_Data!$E$2:$E$4000,0)),NA()))</f>
        <v/>
      </c>
      <c r="E622" s="19">
        <f>IF(NOT(ISNUMBER($A622)),NA(),IFERROR(1*INDEX(BBG_Data!$H$2:$H$4000,MATCH($A622,BBG_Data!$G$2:$G$4000,0)),NA()))</f>
        <v/>
      </c>
      <c r="F622" s="20">
        <f>IF(AND(ISNUMBER(B622),ISNUMBER(B621)),IF(B622=B621,"",(B622-B621)*100),"")</f>
        <v/>
      </c>
      <c r="G622" s="20">
        <f>IF(AND(ISNUMBER(C622),ISNUMBER(C621)),IF(C622=C621,"",(C622-C621)*100),"")</f>
        <v/>
      </c>
      <c r="H622" s="20">
        <f>IF(OR(NOT(ISNUMBER($A622)),ROW()-2&lt;Settings!$B$11),NA(),IF(COUNT(OFFSET(F622,1-Settings!$B$11,0,Settings!$B$11,1))&lt;ROUNDUP(Settings!$B$11*Settings!$B$26,0),NA(),STDEV(OFFSET(F622,1-Settings!$B$11,0,Settings!$B$11,1))*SQRT(Settings!$B$13)))</f>
        <v/>
      </c>
      <c r="I622" s="20">
        <f>IF(OR(NOT(ISNUMBER($A622)),ROW()-2&lt;Settings!$B$12),NA(),IF(COUNT(OFFSET(F622,1-Settings!$B$12,0,Settings!$B$12,1))&lt;ROUNDUP(Settings!$B$12*Settings!$B$26,0),NA(),STDEV(OFFSET(F622,1-Settings!$B$12,0,Settings!$B$12,1))*SQRT(Settings!$B$13)))</f>
        <v/>
      </c>
      <c r="J622" s="20">
        <f>IF(OR(NOT(ISNUMBER($A622)),ROW()-2&lt;Settings!$B$11),NA(),IF(COUNT(OFFSET(G622,1-Settings!$B$11,0,Settings!$B$11,1))&lt;ROUNDUP(Settings!$B$11*Settings!$B$26,0),NA(),STDEV(OFFSET(G622,1-Settings!$B$11,0,Settings!$B$11,1))*SQRT(Settings!$B$13)))</f>
        <v/>
      </c>
      <c r="K622" s="20">
        <f>IF(OR(NOT(ISNUMBER($A622)),ROW()-2&lt;Settings!$B$12),NA(),IF(COUNT(OFFSET(G622,1-Settings!$B$12,0,Settings!$B$12,1))&lt;ROUNDUP(Settings!$B$12*Settings!$B$26,0),NA(),STDEV(OFFSET(G622,1-Settings!$B$12,0,Settings!$B$12,1))*SQRT(Settings!$B$13)))</f>
        <v/>
      </c>
      <c r="L622" s="20">
        <f>IF(AND(ISNUMBER(D622),ISNUMBER(H622)),D622-H622,NA())</f>
        <v/>
      </c>
      <c r="M622" s="20">
        <f>IF(AND(ISNUMBER(E622),ISNUMBER(K622)),E622-K622,NA())</f>
        <v/>
      </c>
      <c r="N622" s="20">
        <f>IF(NOT(ISNUMBER($A622)),NA(),IF(COUNT(OFFSET(G622,1,0,Settings!$B$12,1))&lt;ROUNDUP(Settings!$B$12*Settings!$B$26,0),NA(),STDEV(OFFSET(G622,1,0,Settings!$B$12,1))*SQRT(Settings!$B$13)))</f>
        <v/>
      </c>
      <c r="O622" s="20">
        <f>IF(AND(ISNUMBER(E622),ISNUMBER(N622)),E622-N622,NA())</f>
        <v/>
      </c>
      <c r="P622" s="19">
        <f>IF(NOT(ISNUMBER($A622)),NA(),IF(OR($A622&lt;MIN(KW_TP!$A$2:$A$2501),$A622&gt;MAX(KW_TP!$A$2:$A$2501)),NA(),INDEX(KW_TP!$C$2:$C$2501,MATCH($A622,KW_TP!$A$2:$A$2501,1))))</f>
        <v/>
      </c>
      <c r="Q622" s="18">
        <f>IF(NOT(ISNUMBER($A622)),NA(),IFERROR(1*INDEX(BBG_Data!$J$2:$J$4000,MATCH($A622,BBG_Data!$I$2:$I$4000,0)),NA()))</f>
        <v/>
      </c>
      <c r="R622" s="18">
        <f>IF(NOT(ISNUMBER($A622)),NA(),IFERROR(1*INDEX(BBG_Data!$L$2:$L$4000,MATCH($A622,BBG_Data!$K$2:$K$4000,0)),NA()))</f>
        <v/>
      </c>
      <c r="S622" s="20">
        <f>IF(AND(ISNUMBER(B622),ISNUMBER(Q622),ISNUMBER(R622)),(B622-Q622-R622)*100,NA())</f>
        <v/>
      </c>
      <c r="T622" s="20">
        <f>IF(AND(ISNUMBER(B622),Settings!$B$17&gt;0),IF(ISNUMBER(INDEX($B:$B,Settings!$B$17)),(B622-INDEX($B:$B,Settings!$B$17))*100,NA()),NA())</f>
        <v/>
      </c>
      <c r="U622" s="20">
        <f>IF(AND(ISNUMBER(Q622),Settings!$B$17&gt;0),IF(ISNUMBER(INDEX($Q:$Q,Settings!$B$17)),(Q622-INDEX($Q:$Q,Settings!$B$17))*100,NA()),NA())</f>
        <v/>
      </c>
      <c r="V622" s="20">
        <f>IF(AND(ISNUMBER(R622),Settings!$B$17&gt;0),IF(ISNUMBER(INDEX($R:$R,Settings!$B$17)),(R622-INDEX($R:$R,Settings!$B$17))*100,NA()),NA())</f>
        <v/>
      </c>
      <c r="W622" s="20">
        <f>IF(AND(ISNUMBER(P622),Settings!$B$17&gt;0),IF(ISNUMBER(INDEX($P:$P,Settings!$B$17)),P622-INDEX($P:$P,Settings!$B$17),NA()),NA())</f>
        <v/>
      </c>
      <c r="X622" s="19">
        <f>IF(NOT(ISNUMBER($A622)),NA(),IF(OR($A622&lt;MIN(DKW_10Y!$A$2:$A$2918),$A622&gt;MAX(DKW_10Y!$A$2:$A$2918),Settings!$B$16&lt;MIN(DKW_10Y!$A$2:$A$2918)),NA(),(INDEX(DKW_10Y!$B$2:$B$2918,MATCH($A622,DKW_10Y!$A$2:$A$2918,1))-INDEX(DKW_10Y!$B$2:$B$2918,MATCH(Settings!$B$16,DKW_10Y!$A$2:$A$2918,1)))*100))</f>
        <v/>
      </c>
      <c r="Y622" s="19">
        <f>IF(NOT(ISNUMBER($A622)),NA(),IF(OR($A622&lt;MIN(DKW_10Y!$A$2:$A$2918),$A622&gt;MAX(DKW_10Y!$A$2:$A$2918),Settings!$B$16&lt;MIN(DKW_10Y!$A$2:$A$2918)),NA(),(INDEX(DKW_10Y!$C$2:$C$2918,MATCH($A622,DKW_10Y!$A$2:$A$2918,1))-INDEX(DKW_10Y!$C$2:$C$2918,MATCH(Settings!$B$16,DKW_10Y!$A$2:$A$2918,1)))*100))</f>
        <v/>
      </c>
      <c r="Z622" s="19">
        <f>IF(NOT(ISNUMBER($A622)),NA(),IF(OR($A622&lt;MIN(DKW_10Y!$A$2:$A$2918),$A622&gt;MAX(DKW_10Y!$A$2:$A$2918),Settings!$B$16&lt;MIN(DKW_10Y!$A$2:$A$2918)),NA(),(INDEX(DKW_10Y!$D$2:$D$2918,MATCH($A622,DKW_10Y!$A$2:$A$2918,1))-INDEX(DKW_10Y!$D$2:$D$2918,MATCH(Settings!$B$16,DKW_10Y!$A$2:$A$2918,1)))*100))</f>
        <v/>
      </c>
      <c r="AA622" s="19">
        <f>IF(NOT(ISNUMBER($A622)),NA(),IF(OR($A622&lt;MIN(DKW_10Y!$A$2:$A$2918),$A622&gt;MAX(DKW_10Y!$A$2:$A$2918),Settings!$B$16&lt;MIN(DKW_10Y!$A$2:$A$2918)),NA(),(INDEX(DKW_10Y!$E$2:$E$2918,MATCH($A622,DKW_10Y!$A$2:$A$2918,1))-INDEX(DKW_10Y!$E$2:$E$2918,MATCH(Settings!$B$16,DKW_10Y!$A$2:$A$2918,1)))*100))</f>
        <v/>
      </c>
      <c r="AB622" s="19">
        <f>IF(NOT(ISNUMBER($A622)),NA(),IF(OR($A622&lt;MIN(DKW_10Y!$A$2:$A$2918),$A622&gt;MAX(DKW_10Y!$A$2:$A$2918),Settings!$B$16&lt;MIN(DKW_10Y!$A$2:$A$2918)),NA(),(INDEX(DKW_10Y!$H$2:$H$2918,MATCH($A622,DKW_10Y!$A$2:$A$2918,1))-INDEX(DKW_10Y!$H$2:$H$2918,MATCH(Settings!$B$16,DKW_10Y!$A$2:$A$2918,1)))*100))</f>
        <v/>
      </c>
      <c r="AC622" s="18">
        <f>IF(NOT(ISNUMBER($A622)),NA(),IFERROR(1*INDEX(BBG_Data!$N$2:$N$4000,MATCH($A622,BBG_Data!$M$2:$M$4000,0)),NA()))</f>
        <v/>
      </c>
      <c r="AD622" s="18">
        <f>IF(NOT(ISNUMBER($A622)),NA(),IFERROR(1*INDEX(BBG_Data!$P$2:$P$4000,MATCH($A622,BBG_Data!$O$2:$O$4000,0)),NA()))</f>
        <v/>
      </c>
      <c r="AE622" s="18">
        <f>IF(NOT(ISNUMBER($A622)),NA(),IFERROR(1*INDEX(BBG_Data!$R$2:$R$4000,MATCH($A622,BBG_Data!$Q$2:$Q$4000,0)),NA()))</f>
        <v/>
      </c>
      <c r="AF622" s="20">
        <f>IF(AND(ISNUMBER(B622),ISNUMBER(AC622)),(B622-AC622)*100,NA())</f>
        <v/>
      </c>
      <c r="AG622" s="20">
        <f>IF(AND(ISNUMBER(AE622),ISNUMBER(AD622)),(AE622-AD622)*100,NA())</f>
        <v/>
      </c>
      <c r="AH622" s="19">
        <f>IF(NOT(ISNUMBER($A622)),NA(),IFERROR(INDEX(BBG_Data!$T$2:$T$4000,MATCH($A622,BBG_Data!$S$2:$S$4000,0))*Settings!$B$25,NA()))</f>
        <v/>
      </c>
      <c r="AI622" s="19">
        <f>IF(NOT(ISNUMBER($A622)),NA(),IFERROR(INDEX(BBG_Data!$V$2:$V$4000,MATCH($A622,BBG_Data!$U$2:$U$4000,0))*Settings!$B$25,NA()))</f>
        <v/>
      </c>
      <c r="AJ622" s="19">
        <f>IF(NOT(ISNUMBER($A622)),NA(),IFERROR(1*INDEX(BBG_Data!$X$2:$X$4000,MATCH($A622,BBG_Data!$W$2:$W$4000,0)),NA()))</f>
        <v/>
      </c>
      <c r="AK622" s="19">
        <f>IF(NOT(ISNUMBER($A622)),NA(),IFERROR(1*INDEX(BBG_Data!$Z$2:$Z$4000,MATCH($A622,BBG_Data!$Y$2:$Y$4000,0)),NA()))</f>
        <v/>
      </c>
    </row>
    <row r="623">
      <c r="A623" s="17">
        <f>IF(ISNUMBER(BBG_Data!A623),BBG_Data!A623,"")</f>
        <v/>
      </c>
      <c r="B623" s="18">
        <f>IF(AND(ISNUMBER($A623),ISNUMBER(BBG_Data!B623)),BBG_Data!B623,NA())</f>
        <v/>
      </c>
      <c r="C623" s="18">
        <f>IF(NOT(ISNUMBER($A623)),NA(),IFERROR(1*INDEX(BBG_Data!$D$2:$D$4000,MATCH($A623,BBG_Data!$C$2:$C$4000,0)),NA()))</f>
        <v/>
      </c>
      <c r="D623" s="19">
        <f>IF(NOT(ISNUMBER($A623)),NA(),IFERROR(1*INDEX(BBG_Data!$F$2:$F$4000,MATCH($A623,BBG_Data!$E$2:$E$4000,0)),NA()))</f>
        <v/>
      </c>
      <c r="E623" s="19">
        <f>IF(NOT(ISNUMBER($A623)),NA(),IFERROR(1*INDEX(BBG_Data!$H$2:$H$4000,MATCH($A623,BBG_Data!$G$2:$G$4000,0)),NA()))</f>
        <v/>
      </c>
      <c r="F623" s="20">
        <f>IF(AND(ISNUMBER(B623),ISNUMBER(B622)),IF(B623=B622,"",(B623-B622)*100),"")</f>
        <v/>
      </c>
      <c r="G623" s="20">
        <f>IF(AND(ISNUMBER(C623),ISNUMBER(C622)),IF(C623=C622,"",(C623-C622)*100),"")</f>
        <v/>
      </c>
      <c r="H623" s="20">
        <f>IF(OR(NOT(ISNUMBER($A623)),ROW()-2&lt;Settings!$B$11),NA(),IF(COUNT(OFFSET(F623,1-Settings!$B$11,0,Settings!$B$11,1))&lt;ROUNDUP(Settings!$B$11*Settings!$B$26,0),NA(),STDEV(OFFSET(F623,1-Settings!$B$11,0,Settings!$B$11,1))*SQRT(Settings!$B$13)))</f>
        <v/>
      </c>
      <c r="I623" s="20">
        <f>IF(OR(NOT(ISNUMBER($A623)),ROW()-2&lt;Settings!$B$12),NA(),IF(COUNT(OFFSET(F623,1-Settings!$B$12,0,Settings!$B$12,1))&lt;ROUNDUP(Settings!$B$12*Settings!$B$26,0),NA(),STDEV(OFFSET(F623,1-Settings!$B$12,0,Settings!$B$12,1))*SQRT(Settings!$B$13)))</f>
        <v/>
      </c>
      <c r="J623" s="20">
        <f>IF(OR(NOT(ISNUMBER($A623)),ROW()-2&lt;Settings!$B$11),NA(),IF(COUNT(OFFSET(G623,1-Settings!$B$11,0,Settings!$B$11,1))&lt;ROUNDUP(Settings!$B$11*Settings!$B$26,0),NA(),STDEV(OFFSET(G623,1-Settings!$B$11,0,Settings!$B$11,1))*SQRT(Settings!$B$13)))</f>
        <v/>
      </c>
      <c r="K623" s="20">
        <f>IF(OR(NOT(ISNUMBER($A623)),ROW()-2&lt;Settings!$B$12),NA(),IF(COUNT(OFFSET(G623,1-Settings!$B$12,0,Settings!$B$12,1))&lt;ROUNDUP(Settings!$B$12*Settings!$B$26,0),NA(),STDEV(OFFSET(G623,1-Settings!$B$12,0,Settings!$B$12,1))*SQRT(Settings!$B$13)))</f>
        <v/>
      </c>
      <c r="L623" s="20">
        <f>IF(AND(ISNUMBER(D623),ISNUMBER(H623)),D623-H623,NA())</f>
        <v/>
      </c>
      <c r="M623" s="20">
        <f>IF(AND(ISNUMBER(E623),ISNUMBER(K623)),E623-K623,NA())</f>
        <v/>
      </c>
      <c r="N623" s="20">
        <f>IF(NOT(ISNUMBER($A623)),NA(),IF(COUNT(OFFSET(G623,1,0,Settings!$B$12,1))&lt;ROUNDUP(Settings!$B$12*Settings!$B$26,0),NA(),STDEV(OFFSET(G623,1,0,Settings!$B$12,1))*SQRT(Settings!$B$13)))</f>
        <v/>
      </c>
      <c r="O623" s="20">
        <f>IF(AND(ISNUMBER(E623),ISNUMBER(N623)),E623-N623,NA())</f>
        <v/>
      </c>
      <c r="P623" s="19">
        <f>IF(NOT(ISNUMBER($A623)),NA(),IF(OR($A623&lt;MIN(KW_TP!$A$2:$A$2501),$A623&gt;MAX(KW_TP!$A$2:$A$2501)),NA(),INDEX(KW_TP!$C$2:$C$2501,MATCH($A623,KW_TP!$A$2:$A$2501,1))))</f>
        <v/>
      </c>
      <c r="Q623" s="18">
        <f>IF(NOT(ISNUMBER($A623)),NA(),IFERROR(1*INDEX(BBG_Data!$J$2:$J$4000,MATCH($A623,BBG_Data!$I$2:$I$4000,0)),NA()))</f>
        <v/>
      </c>
      <c r="R623" s="18">
        <f>IF(NOT(ISNUMBER($A623)),NA(),IFERROR(1*INDEX(BBG_Data!$L$2:$L$4000,MATCH($A623,BBG_Data!$K$2:$K$4000,0)),NA()))</f>
        <v/>
      </c>
      <c r="S623" s="20">
        <f>IF(AND(ISNUMBER(B623),ISNUMBER(Q623),ISNUMBER(R623)),(B623-Q623-R623)*100,NA())</f>
        <v/>
      </c>
      <c r="T623" s="20">
        <f>IF(AND(ISNUMBER(B623),Settings!$B$17&gt;0),IF(ISNUMBER(INDEX($B:$B,Settings!$B$17)),(B623-INDEX($B:$B,Settings!$B$17))*100,NA()),NA())</f>
        <v/>
      </c>
      <c r="U623" s="20">
        <f>IF(AND(ISNUMBER(Q623),Settings!$B$17&gt;0),IF(ISNUMBER(INDEX($Q:$Q,Settings!$B$17)),(Q623-INDEX($Q:$Q,Settings!$B$17))*100,NA()),NA())</f>
        <v/>
      </c>
      <c r="V623" s="20">
        <f>IF(AND(ISNUMBER(R623),Settings!$B$17&gt;0),IF(ISNUMBER(INDEX($R:$R,Settings!$B$17)),(R623-INDEX($R:$R,Settings!$B$17))*100,NA()),NA())</f>
        <v/>
      </c>
      <c r="W623" s="20">
        <f>IF(AND(ISNUMBER(P623),Settings!$B$17&gt;0),IF(ISNUMBER(INDEX($P:$P,Settings!$B$17)),P623-INDEX($P:$P,Settings!$B$17),NA()),NA())</f>
        <v/>
      </c>
      <c r="X623" s="19">
        <f>IF(NOT(ISNUMBER($A623)),NA(),IF(OR($A623&lt;MIN(DKW_10Y!$A$2:$A$2918),$A623&gt;MAX(DKW_10Y!$A$2:$A$2918),Settings!$B$16&lt;MIN(DKW_10Y!$A$2:$A$2918)),NA(),(INDEX(DKW_10Y!$B$2:$B$2918,MATCH($A623,DKW_10Y!$A$2:$A$2918,1))-INDEX(DKW_10Y!$B$2:$B$2918,MATCH(Settings!$B$16,DKW_10Y!$A$2:$A$2918,1)))*100))</f>
        <v/>
      </c>
      <c r="Y623" s="19">
        <f>IF(NOT(ISNUMBER($A623)),NA(),IF(OR($A623&lt;MIN(DKW_10Y!$A$2:$A$2918),$A623&gt;MAX(DKW_10Y!$A$2:$A$2918),Settings!$B$16&lt;MIN(DKW_10Y!$A$2:$A$2918)),NA(),(INDEX(DKW_10Y!$C$2:$C$2918,MATCH($A623,DKW_10Y!$A$2:$A$2918,1))-INDEX(DKW_10Y!$C$2:$C$2918,MATCH(Settings!$B$16,DKW_10Y!$A$2:$A$2918,1)))*100))</f>
        <v/>
      </c>
      <c r="Z623" s="19">
        <f>IF(NOT(ISNUMBER($A623)),NA(),IF(OR($A623&lt;MIN(DKW_10Y!$A$2:$A$2918),$A623&gt;MAX(DKW_10Y!$A$2:$A$2918),Settings!$B$16&lt;MIN(DKW_10Y!$A$2:$A$2918)),NA(),(INDEX(DKW_10Y!$D$2:$D$2918,MATCH($A623,DKW_10Y!$A$2:$A$2918,1))-INDEX(DKW_10Y!$D$2:$D$2918,MATCH(Settings!$B$16,DKW_10Y!$A$2:$A$2918,1)))*100))</f>
        <v/>
      </c>
      <c r="AA623" s="19">
        <f>IF(NOT(ISNUMBER($A623)),NA(),IF(OR($A623&lt;MIN(DKW_10Y!$A$2:$A$2918),$A623&gt;MAX(DKW_10Y!$A$2:$A$2918),Settings!$B$16&lt;MIN(DKW_10Y!$A$2:$A$2918)),NA(),(INDEX(DKW_10Y!$E$2:$E$2918,MATCH($A623,DKW_10Y!$A$2:$A$2918,1))-INDEX(DKW_10Y!$E$2:$E$2918,MATCH(Settings!$B$16,DKW_10Y!$A$2:$A$2918,1)))*100))</f>
        <v/>
      </c>
      <c r="AB623" s="19">
        <f>IF(NOT(ISNUMBER($A623)),NA(),IF(OR($A623&lt;MIN(DKW_10Y!$A$2:$A$2918),$A623&gt;MAX(DKW_10Y!$A$2:$A$2918),Settings!$B$16&lt;MIN(DKW_10Y!$A$2:$A$2918)),NA(),(INDEX(DKW_10Y!$H$2:$H$2918,MATCH($A623,DKW_10Y!$A$2:$A$2918,1))-INDEX(DKW_10Y!$H$2:$H$2918,MATCH(Settings!$B$16,DKW_10Y!$A$2:$A$2918,1)))*100))</f>
        <v/>
      </c>
      <c r="AC623" s="18">
        <f>IF(NOT(ISNUMBER($A623)),NA(),IFERROR(1*INDEX(BBG_Data!$N$2:$N$4000,MATCH($A623,BBG_Data!$M$2:$M$4000,0)),NA()))</f>
        <v/>
      </c>
      <c r="AD623" s="18">
        <f>IF(NOT(ISNUMBER($A623)),NA(),IFERROR(1*INDEX(BBG_Data!$P$2:$P$4000,MATCH($A623,BBG_Data!$O$2:$O$4000,0)),NA()))</f>
        <v/>
      </c>
      <c r="AE623" s="18">
        <f>IF(NOT(ISNUMBER($A623)),NA(),IFERROR(1*INDEX(BBG_Data!$R$2:$R$4000,MATCH($A623,BBG_Data!$Q$2:$Q$4000,0)),NA()))</f>
        <v/>
      </c>
      <c r="AF623" s="20">
        <f>IF(AND(ISNUMBER(B623),ISNUMBER(AC623)),(B623-AC623)*100,NA())</f>
        <v/>
      </c>
      <c r="AG623" s="20">
        <f>IF(AND(ISNUMBER(AE623),ISNUMBER(AD623)),(AE623-AD623)*100,NA())</f>
        <v/>
      </c>
      <c r="AH623" s="19">
        <f>IF(NOT(ISNUMBER($A623)),NA(),IFERROR(INDEX(BBG_Data!$T$2:$T$4000,MATCH($A623,BBG_Data!$S$2:$S$4000,0))*Settings!$B$25,NA()))</f>
        <v/>
      </c>
      <c r="AI623" s="19">
        <f>IF(NOT(ISNUMBER($A623)),NA(),IFERROR(INDEX(BBG_Data!$V$2:$V$4000,MATCH($A623,BBG_Data!$U$2:$U$4000,0))*Settings!$B$25,NA()))</f>
        <v/>
      </c>
      <c r="AJ623" s="19">
        <f>IF(NOT(ISNUMBER($A623)),NA(),IFERROR(1*INDEX(BBG_Data!$X$2:$X$4000,MATCH($A623,BBG_Data!$W$2:$W$4000,0)),NA()))</f>
        <v/>
      </c>
      <c r="AK623" s="19">
        <f>IF(NOT(ISNUMBER($A623)),NA(),IFERROR(1*INDEX(BBG_Data!$Z$2:$Z$4000,MATCH($A623,BBG_Data!$Y$2:$Y$4000,0)),NA()))</f>
        <v/>
      </c>
    </row>
    <row r="624">
      <c r="A624" s="17">
        <f>IF(ISNUMBER(BBG_Data!A624),BBG_Data!A624,"")</f>
        <v/>
      </c>
      <c r="B624" s="18">
        <f>IF(AND(ISNUMBER($A624),ISNUMBER(BBG_Data!B624)),BBG_Data!B624,NA())</f>
        <v/>
      </c>
      <c r="C624" s="18">
        <f>IF(NOT(ISNUMBER($A624)),NA(),IFERROR(1*INDEX(BBG_Data!$D$2:$D$4000,MATCH($A624,BBG_Data!$C$2:$C$4000,0)),NA()))</f>
        <v/>
      </c>
      <c r="D624" s="19">
        <f>IF(NOT(ISNUMBER($A624)),NA(),IFERROR(1*INDEX(BBG_Data!$F$2:$F$4000,MATCH($A624,BBG_Data!$E$2:$E$4000,0)),NA()))</f>
        <v/>
      </c>
      <c r="E624" s="19">
        <f>IF(NOT(ISNUMBER($A624)),NA(),IFERROR(1*INDEX(BBG_Data!$H$2:$H$4000,MATCH($A624,BBG_Data!$G$2:$G$4000,0)),NA()))</f>
        <v/>
      </c>
      <c r="F624" s="20">
        <f>IF(AND(ISNUMBER(B624),ISNUMBER(B623)),IF(B624=B623,"",(B624-B623)*100),"")</f>
        <v/>
      </c>
      <c r="G624" s="20">
        <f>IF(AND(ISNUMBER(C624),ISNUMBER(C623)),IF(C624=C623,"",(C624-C623)*100),"")</f>
        <v/>
      </c>
      <c r="H624" s="20">
        <f>IF(OR(NOT(ISNUMBER($A624)),ROW()-2&lt;Settings!$B$11),NA(),IF(COUNT(OFFSET(F624,1-Settings!$B$11,0,Settings!$B$11,1))&lt;ROUNDUP(Settings!$B$11*Settings!$B$26,0),NA(),STDEV(OFFSET(F624,1-Settings!$B$11,0,Settings!$B$11,1))*SQRT(Settings!$B$13)))</f>
        <v/>
      </c>
      <c r="I624" s="20">
        <f>IF(OR(NOT(ISNUMBER($A624)),ROW()-2&lt;Settings!$B$12),NA(),IF(COUNT(OFFSET(F624,1-Settings!$B$12,0,Settings!$B$12,1))&lt;ROUNDUP(Settings!$B$12*Settings!$B$26,0),NA(),STDEV(OFFSET(F624,1-Settings!$B$12,0,Settings!$B$12,1))*SQRT(Settings!$B$13)))</f>
        <v/>
      </c>
      <c r="J624" s="20">
        <f>IF(OR(NOT(ISNUMBER($A624)),ROW()-2&lt;Settings!$B$11),NA(),IF(COUNT(OFFSET(G624,1-Settings!$B$11,0,Settings!$B$11,1))&lt;ROUNDUP(Settings!$B$11*Settings!$B$26,0),NA(),STDEV(OFFSET(G624,1-Settings!$B$11,0,Settings!$B$11,1))*SQRT(Settings!$B$13)))</f>
        <v/>
      </c>
      <c r="K624" s="20">
        <f>IF(OR(NOT(ISNUMBER($A624)),ROW()-2&lt;Settings!$B$12),NA(),IF(COUNT(OFFSET(G624,1-Settings!$B$12,0,Settings!$B$12,1))&lt;ROUNDUP(Settings!$B$12*Settings!$B$26,0),NA(),STDEV(OFFSET(G624,1-Settings!$B$12,0,Settings!$B$12,1))*SQRT(Settings!$B$13)))</f>
        <v/>
      </c>
      <c r="L624" s="20">
        <f>IF(AND(ISNUMBER(D624),ISNUMBER(H624)),D624-H624,NA())</f>
        <v/>
      </c>
      <c r="M624" s="20">
        <f>IF(AND(ISNUMBER(E624),ISNUMBER(K624)),E624-K624,NA())</f>
        <v/>
      </c>
      <c r="N624" s="20">
        <f>IF(NOT(ISNUMBER($A624)),NA(),IF(COUNT(OFFSET(G624,1,0,Settings!$B$12,1))&lt;ROUNDUP(Settings!$B$12*Settings!$B$26,0),NA(),STDEV(OFFSET(G624,1,0,Settings!$B$12,1))*SQRT(Settings!$B$13)))</f>
        <v/>
      </c>
      <c r="O624" s="20">
        <f>IF(AND(ISNUMBER(E624),ISNUMBER(N624)),E624-N624,NA())</f>
        <v/>
      </c>
      <c r="P624" s="19">
        <f>IF(NOT(ISNUMBER($A624)),NA(),IF(OR($A624&lt;MIN(KW_TP!$A$2:$A$2501),$A624&gt;MAX(KW_TP!$A$2:$A$2501)),NA(),INDEX(KW_TP!$C$2:$C$2501,MATCH($A624,KW_TP!$A$2:$A$2501,1))))</f>
        <v/>
      </c>
      <c r="Q624" s="18">
        <f>IF(NOT(ISNUMBER($A624)),NA(),IFERROR(1*INDEX(BBG_Data!$J$2:$J$4000,MATCH($A624,BBG_Data!$I$2:$I$4000,0)),NA()))</f>
        <v/>
      </c>
      <c r="R624" s="18">
        <f>IF(NOT(ISNUMBER($A624)),NA(),IFERROR(1*INDEX(BBG_Data!$L$2:$L$4000,MATCH($A624,BBG_Data!$K$2:$K$4000,0)),NA()))</f>
        <v/>
      </c>
      <c r="S624" s="20">
        <f>IF(AND(ISNUMBER(B624),ISNUMBER(Q624),ISNUMBER(R624)),(B624-Q624-R624)*100,NA())</f>
        <v/>
      </c>
      <c r="T624" s="20">
        <f>IF(AND(ISNUMBER(B624),Settings!$B$17&gt;0),IF(ISNUMBER(INDEX($B:$B,Settings!$B$17)),(B624-INDEX($B:$B,Settings!$B$17))*100,NA()),NA())</f>
        <v/>
      </c>
      <c r="U624" s="20">
        <f>IF(AND(ISNUMBER(Q624),Settings!$B$17&gt;0),IF(ISNUMBER(INDEX($Q:$Q,Settings!$B$17)),(Q624-INDEX($Q:$Q,Settings!$B$17))*100,NA()),NA())</f>
        <v/>
      </c>
      <c r="V624" s="20">
        <f>IF(AND(ISNUMBER(R624),Settings!$B$17&gt;0),IF(ISNUMBER(INDEX($R:$R,Settings!$B$17)),(R624-INDEX($R:$R,Settings!$B$17))*100,NA()),NA())</f>
        <v/>
      </c>
      <c r="W624" s="20">
        <f>IF(AND(ISNUMBER(P624),Settings!$B$17&gt;0),IF(ISNUMBER(INDEX($P:$P,Settings!$B$17)),P624-INDEX($P:$P,Settings!$B$17),NA()),NA())</f>
        <v/>
      </c>
      <c r="X624" s="19">
        <f>IF(NOT(ISNUMBER($A624)),NA(),IF(OR($A624&lt;MIN(DKW_10Y!$A$2:$A$2918),$A624&gt;MAX(DKW_10Y!$A$2:$A$2918),Settings!$B$16&lt;MIN(DKW_10Y!$A$2:$A$2918)),NA(),(INDEX(DKW_10Y!$B$2:$B$2918,MATCH($A624,DKW_10Y!$A$2:$A$2918,1))-INDEX(DKW_10Y!$B$2:$B$2918,MATCH(Settings!$B$16,DKW_10Y!$A$2:$A$2918,1)))*100))</f>
        <v/>
      </c>
      <c r="Y624" s="19">
        <f>IF(NOT(ISNUMBER($A624)),NA(),IF(OR($A624&lt;MIN(DKW_10Y!$A$2:$A$2918),$A624&gt;MAX(DKW_10Y!$A$2:$A$2918),Settings!$B$16&lt;MIN(DKW_10Y!$A$2:$A$2918)),NA(),(INDEX(DKW_10Y!$C$2:$C$2918,MATCH($A624,DKW_10Y!$A$2:$A$2918,1))-INDEX(DKW_10Y!$C$2:$C$2918,MATCH(Settings!$B$16,DKW_10Y!$A$2:$A$2918,1)))*100))</f>
        <v/>
      </c>
      <c r="Z624" s="19">
        <f>IF(NOT(ISNUMBER($A624)),NA(),IF(OR($A624&lt;MIN(DKW_10Y!$A$2:$A$2918),$A624&gt;MAX(DKW_10Y!$A$2:$A$2918),Settings!$B$16&lt;MIN(DKW_10Y!$A$2:$A$2918)),NA(),(INDEX(DKW_10Y!$D$2:$D$2918,MATCH($A624,DKW_10Y!$A$2:$A$2918,1))-INDEX(DKW_10Y!$D$2:$D$2918,MATCH(Settings!$B$16,DKW_10Y!$A$2:$A$2918,1)))*100))</f>
        <v/>
      </c>
      <c r="AA624" s="19">
        <f>IF(NOT(ISNUMBER($A624)),NA(),IF(OR($A624&lt;MIN(DKW_10Y!$A$2:$A$2918),$A624&gt;MAX(DKW_10Y!$A$2:$A$2918),Settings!$B$16&lt;MIN(DKW_10Y!$A$2:$A$2918)),NA(),(INDEX(DKW_10Y!$E$2:$E$2918,MATCH($A624,DKW_10Y!$A$2:$A$2918,1))-INDEX(DKW_10Y!$E$2:$E$2918,MATCH(Settings!$B$16,DKW_10Y!$A$2:$A$2918,1)))*100))</f>
        <v/>
      </c>
      <c r="AB624" s="19">
        <f>IF(NOT(ISNUMBER($A624)),NA(),IF(OR($A624&lt;MIN(DKW_10Y!$A$2:$A$2918),$A624&gt;MAX(DKW_10Y!$A$2:$A$2918),Settings!$B$16&lt;MIN(DKW_10Y!$A$2:$A$2918)),NA(),(INDEX(DKW_10Y!$H$2:$H$2918,MATCH($A624,DKW_10Y!$A$2:$A$2918,1))-INDEX(DKW_10Y!$H$2:$H$2918,MATCH(Settings!$B$16,DKW_10Y!$A$2:$A$2918,1)))*100))</f>
        <v/>
      </c>
      <c r="AC624" s="18">
        <f>IF(NOT(ISNUMBER($A624)),NA(),IFERROR(1*INDEX(BBG_Data!$N$2:$N$4000,MATCH($A624,BBG_Data!$M$2:$M$4000,0)),NA()))</f>
        <v/>
      </c>
      <c r="AD624" s="18">
        <f>IF(NOT(ISNUMBER($A624)),NA(),IFERROR(1*INDEX(BBG_Data!$P$2:$P$4000,MATCH($A624,BBG_Data!$O$2:$O$4000,0)),NA()))</f>
        <v/>
      </c>
      <c r="AE624" s="18">
        <f>IF(NOT(ISNUMBER($A624)),NA(),IFERROR(1*INDEX(BBG_Data!$R$2:$R$4000,MATCH($A624,BBG_Data!$Q$2:$Q$4000,0)),NA()))</f>
        <v/>
      </c>
      <c r="AF624" s="20">
        <f>IF(AND(ISNUMBER(B624),ISNUMBER(AC624)),(B624-AC624)*100,NA())</f>
        <v/>
      </c>
      <c r="AG624" s="20">
        <f>IF(AND(ISNUMBER(AE624),ISNUMBER(AD624)),(AE624-AD624)*100,NA())</f>
        <v/>
      </c>
      <c r="AH624" s="19">
        <f>IF(NOT(ISNUMBER($A624)),NA(),IFERROR(INDEX(BBG_Data!$T$2:$T$4000,MATCH($A624,BBG_Data!$S$2:$S$4000,0))*Settings!$B$25,NA()))</f>
        <v/>
      </c>
      <c r="AI624" s="19">
        <f>IF(NOT(ISNUMBER($A624)),NA(),IFERROR(INDEX(BBG_Data!$V$2:$V$4000,MATCH($A624,BBG_Data!$U$2:$U$4000,0))*Settings!$B$25,NA()))</f>
        <v/>
      </c>
      <c r="AJ624" s="19">
        <f>IF(NOT(ISNUMBER($A624)),NA(),IFERROR(1*INDEX(BBG_Data!$X$2:$X$4000,MATCH($A624,BBG_Data!$W$2:$W$4000,0)),NA()))</f>
        <v/>
      </c>
      <c r="AK624" s="19">
        <f>IF(NOT(ISNUMBER($A624)),NA(),IFERROR(1*INDEX(BBG_Data!$Z$2:$Z$4000,MATCH($A624,BBG_Data!$Y$2:$Y$4000,0)),NA()))</f>
        <v/>
      </c>
    </row>
    <row r="625">
      <c r="A625" s="17">
        <f>IF(ISNUMBER(BBG_Data!A625),BBG_Data!A625,"")</f>
        <v/>
      </c>
      <c r="B625" s="18">
        <f>IF(AND(ISNUMBER($A625),ISNUMBER(BBG_Data!B625)),BBG_Data!B625,NA())</f>
        <v/>
      </c>
      <c r="C625" s="18">
        <f>IF(NOT(ISNUMBER($A625)),NA(),IFERROR(1*INDEX(BBG_Data!$D$2:$D$4000,MATCH($A625,BBG_Data!$C$2:$C$4000,0)),NA()))</f>
        <v/>
      </c>
      <c r="D625" s="19">
        <f>IF(NOT(ISNUMBER($A625)),NA(),IFERROR(1*INDEX(BBG_Data!$F$2:$F$4000,MATCH($A625,BBG_Data!$E$2:$E$4000,0)),NA()))</f>
        <v/>
      </c>
      <c r="E625" s="19">
        <f>IF(NOT(ISNUMBER($A625)),NA(),IFERROR(1*INDEX(BBG_Data!$H$2:$H$4000,MATCH($A625,BBG_Data!$G$2:$G$4000,0)),NA()))</f>
        <v/>
      </c>
      <c r="F625" s="20">
        <f>IF(AND(ISNUMBER(B625),ISNUMBER(B624)),IF(B625=B624,"",(B625-B624)*100),"")</f>
        <v/>
      </c>
      <c r="G625" s="20">
        <f>IF(AND(ISNUMBER(C625),ISNUMBER(C624)),IF(C625=C624,"",(C625-C624)*100),"")</f>
        <v/>
      </c>
      <c r="H625" s="20">
        <f>IF(OR(NOT(ISNUMBER($A625)),ROW()-2&lt;Settings!$B$11),NA(),IF(COUNT(OFFSET(F625,1-Settings!$B$11,0,Settings!$B$11,1))&lt;ROUNDUP(Settings!$B$11*Settings!$B$26,0),NA(),STDEV(OFFSET(F625,1-Settings!$B$11,0,Settings!$B$11,1))*SQRT(Settings!$B$13)))</f>
        <v/>
      </c>
      <c r="I625" s="20">
        <f>IF(OR(NOT(ISNUMBER($A625)),ROW()-2&lt;Settings!$B$12),NA(),IF(COUNT(OFFSET(F625,1-Settings!$B$12,0,Settings!$B$12,1))&lt;ROUNDUP(Settings!$B$12*Settings!$B$26,0),NA(),STDEV(OFFSET(F625,1-Settings!$B$12,0,Settings!$B$12,1))*SQRT(Settings!$B$13)))</f>
        <v/>
      </c>
      <c r="J625" s="20">
        <f>IF(OR(NOT(ISNUMBER($A625)),ROW()-2&lt;Settings!$B$11),NA(),IF(COUNT(OFFSET(G625,1-Settings!$B$11,0,Settings!$B$11,1))&lt;ROUNDUP(Settings!$B$11*Settings!$B$26,0),NA(),STDEV(OFFSET(G625,1-Settings!$B$11,0,Settings!$B$11,1))*SQRT(Settings!$B$13)))</f>
        <v/>
      </c>
      <c r="K625" s="20">
        <f>IF(OR(NOT(ISNUMBER($A625)),ROW()-2&lt;Settings!$B$12),NA(),IF(COUNT(OFFSET(G625,1-Settings!$B$12,0,Settings!$B$12,1))&lt;ROUNDUP(Settings!$B$12*Settings!$B$26,0),NA(),STDEV(OFFSET(G625,1-Settings!$B$12,0,Settings!$B$12,1))*SQRT(Settings!$B$13)))</f>
        <v/>
      </c>
      <c r="L625" s="20">
        <f>IF(AND(ISNUMBER(D625),ISNUMBER(H625)),D625-H625,NA())</f>
        <v/>
      </c>
      <c r="M625" s="20">
        <f>IF(AND(ISNUMBER(E625),ISNUMBER(K625)),E625-K625,NA())</f>
        <v/>
      </c>
      <c r="N625" s="20">
        <f>IF(NOT(ISNUMBER($A625)),NA(),IF(COUNT(OFFSET(G625,1,0,Settings!$B$12,1))&lt;ROUNDUP(Settings!$B$12*Settings!$B$26,0),NA(),STDEV(OFFSET(G625,1,0,Settings!$B$12,1))*SQRT(Settings!$B$13)))</f>
        <v/>
      </c>
      <c r="O625" s="20">
        <f>IF(AND(ISNUMBER(E625),ISNUMBER(N625)),E625-N625,NA())</f>
        <v/>
      </c>
      <c r="P625" s="19">
        <f>IF(NOT(ISNUMBER($A625)),NA(),IF(OR($A625&lt;MIN(KW_TP!$A$2:$A$2501),$A625&gt;MAX(KW_TP!$A$2:$A$2501)),NA(),INDEX(KW_TP!$C$2:$C$2501,MATCH($A625,KW_TP!$A$2:$A$2501,1))))</f>
        <v/>
      </c>
      <c r="Q625" s="18">
        <f>IF(NOT(ISNUMBER($A625)),NA(),IFERROR(1*INDEX(BBG_Data!$J$2:$J$4000,MATCH($A625,BBG_Data!$I$2:$I$4000,0)),NA()))</f>
        <v/>
      </c>
      <c r="R625" s="18">
        <f>IF(NOT(ISNUMBER($A625)),NA(),IFERROR(1*INDEX(BBG_Data!$L$2:$L$4000,MATCH($A625,BBG_Data!$K$2:$K$4000,0)),NA()))</f>
        <v/>
      </c>
      <c r="S625" s="20">
        <f>IF(AND(ISNUMBER(B625),ISNUMBER(Q625),ISNUMBER(R625)),(B625-Q625-R625)*100,NA())</f>
        <v/>
      </c>
      <c r="T625" s="20">
        <f>IF(AND(ISNUMBER(B625),Settings!$B$17&gt;0),IF(ISNUMBER(INDEX($B:$B,Settings!$B$17)),(B625-INDEX($B:$B,Settings!$B$17))*100,NA()),NA())</f>
        <v/>
      </c>
      <c r="U625" s="20">
        <f>IF(AND(ISNUMBER(Q625),Settings!$B$17&gt;0),IF(ISNUMBER(INDEX($Q:$Q,Settings!$B$17)),(Q625-INDEX($Q:$Q,Settings!$B$17))*100,NA()),NA())</f>
        <v/>
      </c>
      <c r="V625" s="20">
        <f>IF(AND(ISNUMBER(R625),Settings!$B$17&gt;0),IF(ISNUMBER(INDEX($R:$R,Settings!$B$17)),(R625-INDEX($R:$R,Settings!$B$17))*100,NA()),NA())</f>
        <v/>
      </c>
      <c r="W625" s="20">
        <f>IF(AND(ISNUMBER(P625),Settings!$B$17&gt;0),IF(ISNUMBER(INDEX($P:$P,Settings!$B$17)),P625-INDEX($P:$P,Settings!$B$17),NA()),NA())</f>
        <v/>
      </c>
      <c r="X625" s="19">
        <f>IF(NOT(ISNUMBER($A625)),NA(),IF(OR($A625&lt;MIN(DKW_10Y!$A$2:$A$2918),$A625&gt;MAX(DKW_10Y!$A$2:$A$2918),Settings!$B$16&lt;MIN(DKW_10Y!$A$2:$A$2918)),NA(),(INDEX(DKW_10Y!$B$2:$B$2918,MATCH($A625,DKW_10Y!$A$2:$A$2918,1))-INDEX(DKW_10Y!$B$2:$B$2918,MATCH(Settings!$B$16,DKW_10Y!$A$2:$A$2918,1)))*100))</f>
        <v/>
      </c>
      <c r="Y625" s="19">
        <f>IF(NOT(ISNUMBER($A625)),NA(),IF(OR($A625&lt;MIN(DKW_10Y!$A$2:$A$2918),$A625&gt;MAX(DKW_10Y!$A$2:$A$2918),Settings!$B$16&lt;MIN(DKW_10Y!$A$2:$A$2918)),NA(),(INDEX(DKW_10Y!$C$2:$C$2918,MATCH($A625,DKW_10Y!$A$2:$A$2918,1))-INDEX(DKW_10Y!$C$2:$C$2918,MATCH(Settings!$B$16,DKW_10Y!$A$2:$A$2918,1)))*100))</f>
        <v/>
      </c>
      <c r="Z625" s="19">
        <f>IF(NOT(ISNUMBER($A625)),NA(),IF(OR($A625&lt;MIN(DKW_10Y!$A$2:$A$2918),$A625&gt;MAX(DKW_10Y!$A$2:$A$2918),Settings!$B$16&lt;MIN(DKW_10Y!$A$2:$A$2918)),NA(),(INDEX(DKW_10Y!$D$2:$D$2918,MATCH($A625,DKW_10Y!$A$2:$A$2918,1))-INDEX(DKW_10Y!$D$2:$D$2918,MATCH(Settings!$B$16,DKW_10Y!$A$2:$A$2918,1)))*100))</f>
        <v/>
      </c>
      <c r="AA625" s="19">
        <f>IF(NOT(ISNUMBER($A625)),NA(),IF(OR($A625&lt;MIN(DKW_10Y!$A$2:$A$2918),$A625&gt;MAX(DKW_10Y!$A$2:$A$2918),Settings!$B$16&lt;MIN(DKW_10Y!$A$2:$A$2918)),NA(),(INDEX(DKW_10Y!$E$2:$E$2918,MATCH($A625,DKW_10Y!$A$2:$A$2918,1))-INDEX(DKW_10Y!$E$2:$E$2918,MATCH(Settings!$B$16,DKW_10Y!$A$2:$A$2918,1)))*100))</f>
        <v/>
      </c>
      <c r="AB625" s="19">
        <f>IF(NOT(ISNUMBER($A625)),NA(),IF(OR($A625&lt;MIN(DKW_10Y!$A$2:$A$2918),$A625&gt;MAX(DKW_10Y!$A$2:$A$2918),Settings!$B$16&lt;MIN(DKW_10Y!$A$2:$A$2918)),NA(),(INDEX(DKW_10Y!$H$2:$H$2918,MATCH($A625,DKW_10Y!$A$2:$A$2918,1))-INDEX(DKW_10Y!$H$2:$H$2918,MATCH(Settings!$B$16,DKW_10Y!$A$2:$A$2918,1)))*100))</f>
        <v/>
      </c>
      <c r="AC625" s="18">
        <f>IF(NOT(ISNUMBER($A625)),NA(),IFERROR(1*INDEX(BBG_Data!$N$2:$N$4000,MATCH($A625,BBG_Data!$M$2:$M$4000,0)),NA()))</f>
        <v/>
      </c>
      <c r="AD625" s="18">
        <f>IF(NOT(ISNUMBER($A625)),NA(),IFERROR(1*INDEX(BBG_Data!$P$2:$P$4000,MATCH($A625,BBG_Data!$O$2:$O$4000,0)),NA()))</f>
        <v/>
      </c>
      <c r="AE625" s="18">
        <f>IF(NOT(ISNUMBER($A625)),NA(),IFERROR(1*INDEX(BBG_Data!$R$2:$R$4000,MATCH($A625,BBG_Data!$Q$2:$Q$4000,0)),NA()))</f>
        <v/>
      </c>
      <c r="AF625" s="20">
        <f>IF(AND(ISNUMBER(B625),ISNUMBER(AC625)),(B625-AC625)*100,NA())</f>
        <v/>
      </c>
      <c r="AG625" s="20">
        <f>IF(AND(ISNUMBER(AE625),ISNUMBER(AD625)),(AE625-AD625)*100,NA())</f>
        <v/>
      </c>
      <c r="AH625" s="19">
        <f>IF(NOT(ISNUMBER($A625)),NA(),IFERROR(INDEX(BBG_Data!$T$2:$T$4000,MATCH($A625,BBG_Data!$S$2:$S$4000,0))*Settings!$B$25,NA()))</f>
        <v/>
      </c>
      <c r="AI625" s="19">
        <f>IF(NOT(ISNUMBER($A625)),NA(),IFERROR(INDEX(BBG_Data!$V$2:$V$4000,MATCH($A625,BBG_Data!$U$2:$U$4000,0))*Settings!$B$25,NA()))</f>
        <v/>
      </c>
      <c r="AJ625" s="19">
        <f>IF(NOT(ISNUMBER($A625)),NA(),IFERROR(1*INDEX(BBG_Data!$X$2:$X$4000,MATCH($A625,BBG_Data!$W$2:$W$4000,0)),NA()))</f>
        <v/>
      </c>
      <c r="AK625" s="19">
        <f>IF(NOT(ISNUMBER($A625)),NA(),IFERROR(1*INDEX(BBG_Data!$Z$2:$Z$4000,MATCH($A625,BBG_Data!$Y$2:$Y$4000,0)),NA()))</f>
        <v/>
      </c>
    </row>
    <row r="626">
      <c r="A626" s="17">
        <f>IF(ISNUMBER(BBG_Data!A626),BBG_Data!A626,"")</f>
        <v/>
      </c>
      <c r="B626" s="18">
        <f>IF(AND(ISNUMBER($A626),ISNUMBER(BBG_Data!B626)),BBG_Data!B626,NA())</f>
        <v/>
      </c>
      <c r="C626" s="18">
        <f>IF(NOT(ISNUMBER($A626)),NA(),IFERROR(1*INDEX(BBG_Data!$D$2:$D$4000,MATCH($A626,BBG_Data!$C$2:$C$4000,0)),NA()))</f>
        <v/>
      </c>
      <c r="D626" s="19">
        <f>IF(NOT(ISNUMBER($A626)),NA(),IFERROR(1*INDEX(BBG_Data!$F$2:$F$4000,MATCH($A626,BBG_Data!$E$2:$E$4000,0)),NA()))</f>
        <v/>
      </c>
      <c r="E626" s="19">
        <f>IF(NOT(ISNUMBER($A626)),NA(),IFERROR(1*INDEX(BBG_Data!$H$2:$H$4000,MATCH($A626,BBG_Data!$G$2:$G$4000,0)),NA()))</f>
        <v/>
      </c>
      <c r="F626" s="20">
        <f>IF(AND(ISNUMBER(B626),ISNUMBER(B625)),IF(B626=B625,"",(B626-B625)*100),"")</f>
        <v/>
      </c>
      <c r="G626" s="20">
        <f>IF(AND(ISNUMBER(C626),ISNUMBER(C625)),IF(C626=C625,"",(C626-C625)*100),"")</f>
        <v/>
      </c>
      <c r="H626" s="20">
        <f>IF(OR(NOT(ISNUMBER($A626)),ROW()-2&lt;Settings!$B$11),NA(),IF(COUNT(OFFSET(F626,1-Settings!$B$11,0,Settings!$B$11,1))&lt;ROUNDUP(Settings!$B$11*Settings!$B$26,0),NA(),STDEV(OFFSET(F626,1-Settings!$B$11,0,Settings!$B$11,1))*SQRT(Settings!$B$13)))</f>
        <v/>
      </c>
      <c r="I626" s="20">
        <f>IF(OR(NOT(ISNUMBER($A626)),ROW()-2&lt;Settings!$B$12),NA(),IF(COUNT(OFFSET(F626,1-Settings!$B$12,0,Settings!$B$12,1))&lt;ROUNDUP(Settings!$B$12*Settings!$B$26,0),NA(),STDEV(OFFSET(F626,1-Settings!$B$12,0,Settings!$B$12,1))*SQRT(Settings!$B$13)))</f>
        <v/>
      </c>
      <c r="J626" s="20">
        <f>IF(OR(NOT(ISNUMBER($A626)),ROW()-2&lt;Settings!$B$11),NA(),IF(COUNT(OFFSET(G626,1-Settings!$B$11,0,Settings!$B$11,1))&lt;ROUNDUP(Settings!$B$11*Settings!$B$26,0),NA(),STDEV(OFFSET(G626,1-Settings!$B$11,0,Settings!$B$11,1))*SQRT(Settings!$B$13)))</f>
        <v/>
      </c>
      <c r="K626" s="20">
        <f>IF(OR(NOT(ISNUMBER($A626)),ROW()-2&lt;Settings!$B$12),NA(),IF(COUNT(OFFSET(G626,1-Settings!$B$12,0,Settings!$B$12,1))&lt;ROUNDUP(Settings!$B$12*Settings!$B$26,0),NA(),STDEV(OFFSET(G626,1-Settings!$B$12,0,Settings!$B$12,1))*SQRT(Settings!$B$13)))</f>
        <v/>
      </c>
      <c r="L626" s="20">
        <f>IF(AND(ISNUMBER(D626),ISNUMBER(H626)),D626-H626,NA())</f>
        <v/>
      </c>
      <c r="M626" s="20">
        <f>IF(AND(ISNUMBER(E626),ISNUMBER(K626)),E626-K626,NA())</f>
        <v/>
      </c>
      <c r="N626" s="20">
        <f>IF(NOT(ISNUMBER($A626)),NA(),IF(COUNT(OFFSET(G626,1,0,Settings!$B$12,1))&lt;ROUNDUP(Settings!$B$12*Settings!$B$26,0),NA(),STDEV(OFFSET(G626,1,0,Settings!$B$12,1))*SQRT(Settings!$B$13)))</f>
        <v/>
      </c>
      <c r="O626" s="20">
        <f>IF(AND(ISNUMBER(E626),ISNUMBER(N626)),E626-N626,NA())</f>
        <v/>
      </c>
      <c r="P626" s="19">
        <f>IF(NOT(ISNUMBER($A626)),NA(),IF(OR($A626&lt;MIN(KW_TP!$A$2:$A$2501),$A626&gt;MAX(KW_TP!$A$2:$A$2501)),NA(),INDEX(KW_TP!$C$2:$C$2501,MATCH($A626,KW_TP!$A$2:$A$2501,1))))</f>
        <v/>
      </c>
      <c r="Q626" s="18">
        <f>IF(NOT(ISNUMBER($A626)),NA(),IFERROR(1*INDEX(BBG_Data!$J$2:$J$4000,MATCH($A626,BBG_Data!$I$2:$I$4000,0)),NA()))</f>
        <v/>
      </c>
      <c r="R626" s="18">
        <f>IF(NOT(ISNUMBER($A626)),NA(),IFERROR(1*INDEX(BBG_Data!$L$2:$L$4000,MATCH($A626,BBG_Data!$K$2:$K$4000,0)),NA()))</f>
        <v/>
      </c>
      <c r="S626" s="20">
        <f>IF(AND(ISNUMBER(B626),ISNUMBER(Q626),ISNUMBER(R626)),(B626-Q626-R626)*100,NA())</f>
        <v/>
      </c>
      <c r="T626" s="20">
        <f>IF(AND(ISNUMBER(B626),Settings!$B$17&gt;0),IF(ISNUMBER(INDEX($B:$B,Settings!$B$17)),(B626-INDEX($B:$B,Settings!$B$17))*100,NA()),NA())</f>
        <v/>
      </c>
      <c r="U626" s="20">
        <f>IF(AND(ISNUMBER(Q626),Settings!$B$17&gt;0),IF(ISNUMBER(INDEX($Q:$Q,Settings!$B$17)),(Q626-INDEX($Q:$Q,Settings!$B$17))*100,NA()),NA())</f>
        <v/>
      </c>
      <c r="V626" s="20">
        <f>IF(AND(ISNUMBER(R626),Settings!$B$17&gt;0),IF(ISNUMBER(INDEX($R:$R,Settings!$B$17)),(R626-INDEX($R:$R,Settings!$B$17))*100,NA()),NA())</f>
        <v/>
      </c>
      <c r="W626" s="20">
        <f>IF(AND(ISNUMBER(P626),Settings!$B$17&gt;0),IF(ISNUMBER(INDEX($P:$P,Settings!$B$17)),P626-INDEX($P:$P,Settings!$B$17),NA()),NA())</f>
        <v/>
      </c>
      <c r="X626" s="19">
        <f>IF(NOT(ISNUMBER($A626)),NA(),IF(OR($A626&lt;MIN(DKW_10Y!$A$2:$A$2918),$A626&gt;MAX(DKW_10Y!$A$2:$A$2918),Settings!$B$16&lt;MIN(DKW_10Y!$A$2:$A$2918)),NA(),(INDEX(DKW_10Y!$B$2:$B$2918,MATCH($A626,DKW_10Y!$A$2:$A$2918,1))-INDEX(DKW_10Y!$B$2:$B$2918,MATCH(Settings!$B$16,DKW_10Y!$A$2:$A$2918,1)))*100))</f>
        <v/>
      </c>
      <c r="Y626" s="19">
        <f>IF(NOT(ISNUMBER($A626)),NA(),IF(OR($A626&lt;MIN(DKW_10Y!$A$2:$A$2918),$A626&gt;MAX(DKW_10Y!$A$2:$A$2918),Settings!$B$16&lt;MIN(DKW_10Y!$A$2:$A$2918)),NA(),(INDEX(DKW_10Y!$C$2:$C$2918,MATCH($A626,DKW_10Y!$A$2:$A$2918,1))-INDEX(DKW_10Y!$C$2:$C$2918,MATCH(Settings!$B$16,DKW_10Y!$A$2:$A$2918,1)))*100))</f>
        <v/>
      </c>
      <c r="Z626" s="19">
        <f>IF(NOT(ISNUMBER($A626)),NA(),IF(OR($A626&lt;MIN(DKW_10Y!$A$2:$A$2918),$A626&gt;MAX(DKW_10Y!$A$2:$A$2918),Settings!$B$16&lt;MIN(DKW_10Y!$A$2:$A$2918)),NA(),(INDEX(DKW_10Y!$D$2:$D$2918,MATCH($A626,DKW_10Y!$A$2:$A$2918,1))-INDEX(DKW_10Y!$D$2:$D$2918,MATCH(Settings!$B$16,DKW_10Y!$A$2:$A$2918,1)))*100))</f>
        <v/>
      </c>
      <c r="AA626" s="19">
        <f>IF(NOT(ISNUMBER($A626)),NA(),IF(OR($A626&lt;MIN(DKW_10Y!$A$2:$A$2918),$A626&gt;MAX(DKW_10Y!$A$2:$A$2918),Settings!$B$16&lt;MIN(DKW_10Y!$A$2:$A$2918)),NA(),(INDEX(DKW_10Y!$E$2:$E$2918,MATCH($A626,DKW_10Y!$A$2:$A$2918,1))-INDEX(DKW_10Y!$E$2:$E$2918,MATCH(Settings!$B$16,DKW_10Y!$A$2:$A$2918,1)))*100))</f>
        <v/>
      </c>
      <c r="AB626" s="19">
        <f>IF(NOT(ISNUMBER($A626)),NA(),IF(OR($A626&lt;MIN(DKW_10Y!$A$2:$A$2918),$A626&gt;MAX(DKW_10Y!$A$2:$A$2918),Settings!$B$16&lt;MIN(DKW_10Y!$A$2:$A$2918)),NA(),(INDEX(DKW_10Y!$H$2:$H$2918,MATCH($A626,DKW_10Y!$A$2:$A$2918,1))-INDEX(DKW_10Y!$H$2:$H$2918,MATCH(Settings!$B$16,DKW_10Y!$A$2:$A$2918,1)))*100))</f>
        <v/>
      </c>
      <c r="AC626" s="18">
        <f>IF(NOT(ISNUMBER($A626)),NA(),IFERROR(1*INDEX(BBG_Data!$N$2:$N$4000,MATCH($A626,BBG_Data!$M$2:$M$4000,0)),NA()))</f>
        <v/>
      </c>
      <c r="AD626" s="18">
        <f>IF(NOT(ISNUMBER($A626)),NA(),IFERROR(1*INDEX(BBG_Data!$P$2:$P$4000,MATCH($A626,BBG_Data!$O$2:$O$4000,0)),NA()))</f>
        <v/>
      </c>
      <c r="AE626" s="18">
        <f>IF(NOT(ISNUMBER($A626)),NA(),IFERROR(1*INDEX(BBG_Data!$R$2:$R$4000,MATCH($A626,BBG_Data!$Q$2:$Q$4000,0)),NA()))</f>
        <v/>
      </c>
      <c r="AF626" s="20">
        <f>IF(AND(ISNUMBER(B626),ISNUMBER(AC626)),(B626-AC626)*100,NA())</f>
        <v/>
      </c>
      <c r="AG626" s="20">
        <f>IF(AND(ISNUMBER(AE626),ISNUMBER(AD626)),(AE626-AD626)*100,NA())</f>
        <v/>
      </c>
      <c r="AH626" s="19">
        <f>IF(NOT(ISNUMBER($A626)),NA(),IFERROR(INDEX(BBG_Data!$T$2:$T$4000,MATCH($A626,BBG_Data!$S$2:$S$4000,0))*Settings!$B$25,NA()))</f>
        <v/>
      </c>
      <c r="AI626" s="19">
        <f>IF(NOT(ISNUMBER($A626)),NA(),IFERROR(INDEX(BBG_Data!$V$2:$V$4000,MATCH($A626,BBG_Data!$U$2:$U$4000,0))*Settings!$B$25,NA()))</f>
        <v/>
      </c>
      <c r="AJ626" s="19">
        <f>IF(NOT(ISNUMBER($A626)),NA(),IFERROR(1*INDEX(BBG_Data!$X$2:$X$4000,MATCH($A626,BBG_Data!$W$2:$W$4000,0)),NA()))</f>
        <v/>
      </c>
      <c r="AK626" s="19">
        <f>IF(NOT(ISNUMBER($A626)),NA(),IFERROR(1*INDEX(BBG_Data!$Z$2:$Z$4000,MATCH($A626,BBG_Data!$Y$2:$Y$4000,0)),NA()))</f>
        <v/>
      </c>
    </row>
    <row r="627">
      <c r="A627" s="17">
        <f>IF(ISNUMBER(BBG_Data!A627),BBG_Data!A627,"")</f>
        <v/>
      </c>
      <c r="B627" s="18">
        <f>IF(AND(ISNUMBER($A627),ISNUMBER(BBG_Data!B627)),BBG_Data!B627,NA())</f>
        <v/>
      </c>
      <c r="C627" s="18">
        <f>IF(NOT(ISNUMBER($A627)),NA(),IFERROR(1*INDEX(BBG_Data!$D$2:$D$4000,MATCH($A627,BBG_Data!$C$2:$C$4000,0)),NA()))</f>
        <v/>
      </c>
      <c r="D627" s="19">
        <f>IF(NOT(ISNUMBER($A627)),NA(),IFERROR(1*INDEX(BBG_Data!$F$2:$F$4000,MATCH($A627,BBG_Data!$E$2:$E$4000,0)),NA()))</f>
        <v/>
      </c>
      <c r="E627" s="19">
        <f>IF(NOT(ISNUMBER($A627)),NA(),IFERROR(1*INDEX(BBG_Data!$H$2:$H$4000,MATCH($A627,BBG_Data!$G$2:$G$4000,0)),NA()))</f>
        <v/>
      </c>
      <c r="F627" s="20">
        <f>IF(AND(ISNUMBER(B627),ISNUMBER(B626)),IF(B627=B626,"",(B627-B626)*100),"")</f>
        <v/>
      </c>
      <c r="G627" s="20">
        <f>IF(AND(ISNUMBER(C627),ISNUMBER(C626)),IF(C627=C626,"",(C627-C626)*100),"")</f>
        <v/>
      </c>
      <c r="H627" s="20">
        <f>IF(OR(NOT(ISNUMBER($A627)),ROW()-2&lt;Settings!$B$11),NA(),IF(COUNT(OFFSET(F627,1-Settings!$B$11,0,Settings!$B$11,1))&lt;ROUNDUP(Settings!$B$11*Settings!$B$26,0),NA(),STDEV(OFFSET(F627,1-Settings!$B$11,0,Settings!$B$11,1))*SQRT(Settings!$B$13)))</f>
        <v/>
      </c>
      <c r="I627" s="20">
        <f>IF(OR(NOT(ISNUMBER($A627)),ROW()-2&lt;Settings!$B$12),NA(),IF(COUNT(OFFSET(F627,1-Settings!$B$12,0,Settings!$B$12,1))&lt;ROUNDUP(Settings!$B$12*Settings!$B$26,0),NA(),STDEV(OFFSET(F627,1-Settings!$B$12,0,Settings!$B$12,1))*SQRT(Settings!$B$13)))</f>
        <v/>
      </c>
      <c r="J627" s="20">
        <f>IF(OR(NOT(ISNUMBER($A627)),ROW()-2&lt;Settings!$B$11),NA(),IF(COUNT(OFFSET(G627,1-Settings!$B$11,0,Settings!$B$11,1))&lt;ROUNDUP(Settings!$B$11*Settings!$B$26,0),NA(),STDEV(OFFSET(G627,1-Settings!$B$11,0,Settings!$B$11,1))*SQRT(Settings!$B$13)))</f>
        <v/>
      </c>
      <c r="K627" s="20">
        <f>IF(OR(NOT(ISNUMBER($A627)),ROW()-2&lt;Settings!$B$12),NA(),IF(COUNT(OFFSET(G627,1-Settings!$B$12,0,Settings!$B$12,1))&lt;ROUNDUP(Settings!$B$12*Settings!$B$26,0),NA(),STDEV(OFFSET(G627,1-Settings!$B$12,0,Settings!$B$12,1))*SQRT(Settings!$B$13)))</f>
        <v/>
      </c>
      <c r="L627" s="20">
        <f>IF(AND(ISNUMBER(D627),ISNUMBER(H627)),D627-H627,NA())</f>
        <v/>
      </c>
      <c r="M627" s="20">
        <f>IF(AND(ISNUMBER(E627),ISNUMBER(K627)),E627-K627,NA())</f>
        <v/>
      </c>
      <c r="N627" s="20">
        <f>IF(NOT(ISNUMBER($A627)),NA(),IF(COUNT(OFFSET(G627,1,0,Settings!$B$12,1))&lt;ROUNDUP(Settings!$B$12*Settings!$B$26,0),NA(),STDEV(OFFSET(G627,1,0,Settings!$B$12,1))*SQRT(Settings!$B$13)))</f>
        <v/>
      </c>
      <c r="O627" s="20">
        <f>IF(AND(ISNUMBER(E627),ISNUMBER(N627)),E627-N627,NA())</f>
        <v/>
      </c>
      <c r="P627" s="19">
        <f>IF(NOT(ISNUMBER($A627)),NA(),IF(OR($A627&lt;MIN(KW_TP!$A$2:$A$2501),$A627&gt;MAX(KW_TP!$A$2:$A$2501)),NA(),INDEX(KW_TP!$C$2:$C$2501,MATCH($A627,KW_TP!$A$2:$A$2501,1))))</f>
        <v/>
      </c>
      <c r="Q627" s="18">
        <f>IF(NOT(ISNUMBER($A627)),NA(),IFERROR(1*INDEX(BBG_Data!$J$2:$J$4000,MATCH($A627,BBG_Data!$I$2:$I$4000,0)),NA()))</f>
        <v/>
      </c>
      <c r="R627" s="18">
        <f>IF(NOT(ISNUMBER($A627)),NA(),IFERROR(1*INDEX(BBG_Data!$L$2:$L$4000,MATCH($A627,BBG_Data!$K$2:$K$4000,0)),NA()))</f>
        <v/>
      </c>
      <c r="S627" s="20">
        <f>IF(AND(ISNUMBER(B627),ISNUMBER(Q627),ISNUMBER(R627)),(B627-Q627-R627)*100,NA())</f>
        <v/>
      </c>
      <c r="T627" s="20">
        <f>IF(AND(ISNUMBER(B627),Settings!$B$17&gt;0),IF(ISNUMBER(INDEX($B:$B,Settings!$B$17)),(B627-INDEX($B:$B,Settings!$B$17))*100,NA()),NA())</f>
        <v/>
      </c>
      <c r="U627" s="20">
        <f>IF(AND(ISNUMBER(Q627),Settings!$B$17&gt;0),IF(ISNUMBER(INDEX($Q:$Q,Settings!$B$17)),(Q627-INDEX($Q:$Q,Settings!$B$17))*100,NA()),NA())</f>
        <v/>
      </c>
      <c r="V627" s="20">
        <f>IF(AND(ISNUMBER(R627),Settings!$B$17&gt;0),IF(ISNUMBER(INDEX($R:$R,Settings!$B$17)),(R627-INDEX($R:$R,Settings!$B$17))*100,NA()),NA())</f>
        <v/>
      </c>
      <c r="W627" s="20">
        <f>IF(AND(ISNUMBER(P627),Settings!$B$17&gt;0),IF(ISNUMBER(INDEX($P:$P,Settings!$B$17)),P627-INDEX($P:$P,Settings!$B$17),NA()),NA())</f>
        <v/>
      </c>
      <c r="X627" s="19">
        <f>IF(NOT(ISNUMBER($A627)),NA(),IF(OR($A627&lt;MIN(DKW_10Y!$A$2:$A$2918),$A627&gt;MAX(DKW_10Y!$A$2:$A$2918),Settings!$B$16&lt;MIN(DKW_10Y!$A$2:$A$2918)),NA(),(INDEX(DKW_10Y!$B$2:$B$2918,MATCH($A627,DKW_10Y!$A$2:$A$2918,1))-INDEX(DKW_10Y!$B$2:$B$2918,MATCH(Settings!$B$16,DKW_10Y!$A$2:$A$2918,1)))*100))</f>
        <v/>
      </c>
      <c r="Y627" s="19">
        <f>IF(NOT(ISNUMBER($A627)),NA(),IF(OR($A627&lt;MIN(DKW_10Y!$A$2:$A$2918),$A627&gt;MAX(DKW_10Y!$A$2:$A$2918),Settings!$B$16&lt;MIN(DKW_10Y!$A$2:$A$2918)),NA(),(INDEX(DKW_10Y!$C$2:$C$2918,MATCH($A627,DKW_10Y!$A$2:$A$2918,1))-INDEX(DKW_10Y!$C$2:$C$2918,MATCH(Settings!$B$16,DKW_10Y!$A$2:$A$2918,1)))*100))</f>
        <v/>
      </c>
      <c r="Z627" s="19">
        <f>IF(NOT(ISNUMBER($A627)),NA(),IF(OR($A627&lt;MIN(DKW_10Y!$A$2:$A$2918),$A627&gt;MAX(DKW_10Y!$A$2:$A$2918),Settings!$B$16&lt;MIN(DKW_10Y!$A$2:$A$2918)),NA(),(INDEX(DKW_10Y!$D$2:$D$2918,MATCH($A627,DKW_10Y!$A$2:$A$2918,1))-INDEX(DKW_10Y!$D$2:$D$2918,MATCH(Settings!$B$16,DKW_10Y!$A$2:$A$2918,1)))*100))</f>
        <v/>
      </c>
      <c r="AA627" s="19">
        <f>IF(NOT(ISNUMBER($A627)),NA(),IF(OR($A627&lt;MIN(DKW_10Y!$A$2:$A$2918),$A627&gt;MAX(DKW_10Y!$A$2:$A$2918),Settings!$B$16&lt;MIN(DKW_10Y!$A$2:$A$2918)),NA(),(INDEX(DKW_10Y!$E$2:$E$2918,MATCH($A627,DKW_10Y!$A$2:$A$2918,1))-INDEX(DKW_10Y!$E$2:$E$2918,MATCH(Settings!$B$16,DKW_10Y!$A$2:$A$2918,1)))*100))</f>
        <v/>
      </c>
      <c r="AB627" s="19">
        <f>IF(NOT(ISNUMBER($A627)),NA(),IF(OR($A627&lt;MIN(DKW_10Y!$A$2:$A$2918),$A627&gt;MAX(DKW_10Y!$A$2:$A$2918),Settings!$B$16&lt;MIN(DKW_10Y!$A$2:$A$2918)),NA(),(INDEX(DKW_10Y!$H$2:$H$2918,MATCH($A627,DKW_10Y!$A$2:$A$2918,1))-INDEX(DKW_10Y!$H$2:$H$2918,MATCH(Settings!$B$16,DKW_10Y!$A$2:$A$2918,1)))*100))</f>
        <v/>
      </c>
      <c r="AC627" s="18">
        <f>IF(NOT(ISNUMBER($A627)),NA(),IFERROR(1*INDEX(BBG_Data!$N$2:$N$4000,MATCH($A627,BBG_Data!$M$2:$M$4000,0)),NA()))</f>
        <v/>
      </c>
      <c r="AD627" s="18">
        <f>IF(NOT(ISNUMBER($A627)),NA(),IFERROR(1*INDEX(BBG_Data!$P$2:$P$4000,MATCH($A627,BBG_Data!$O$2:$O$4000,0)),NA()))</f>
        <v/>
      </c>
      <c r="AE627" s="18">
        <f>IF(NOT(ISNUMBER($A627)),NA(),IFERROR(1*INDEX(BBG_Data!$R$2:$R$4000,MATCH($A627,BBG_Data!$Q$2:$Q$4000,0)),NA()))</f>
        <v/>
      </c>
      <c r="AF627" s="20">
        <f>IF(AND(ISNUMBER(B627),ISNUMBER(AC627)),(B627-AC627)*100,NA())</f>
        <v/>
      </c>
      <c r="AG627" s="20">
        <f>IF(AND(ISNUMBER(AE627),ISNUMBER(AD627)),(AE627-AD627)*100,NA())</f>
        <v/>
      </c>
      <c r="AH627" s="19">
        <f>IF(NOT(ISNUMBER($A627)),NA(),IFERROR(INDEX(BBG_Data!$T$2:$T$4000,MATCH($A627,BBG_Data!$S$2:$S$4000,0))*Settings!$B$25,NA()))</f>
        <v/>
      </c>
      <c r="AI627" s="19">
        <f>IF(NOT(ISNUMBER($A627)),NA(),IFERROR(INDEX(BBG_Data!$V$2:$V$4000,MATCH($A627,BBG_Data!$U$2:$U$4000,0))*Settings!$B$25,NA()))</f>
        <v/>
      </c>
      <c r="AJ627" s="19">
        <f>IF(NOT(ISNUMBER($A627)),NA(),IFERROR(1*INDEX(BBG_Data!$X$2:$X$4000,MATCH($A627,BBG_Data!$W$2:$W$4000,0)),NA()))</f>
        <v/>
      </c>
      <c r="AK627" s="19">
        <f>IF(NOT(ISNUMBER($A627)),NA(),IFERROR(1*INDEX(BBG_Data!$Z$2:$Z$4000,MATCH($A627,BBG_Data!$Y$2:$Y$4000,0)),NA()))</f>
        <v/>
      </c>
    </row>
    <row r="628">
      <c r="A628" s="17">
        <f>IF(ISNUMBER(BBG_Data!A628),BBG_Data!A628,"")</f>
        <v/>
      </c>
      <c r="B628" s="18">
        <f>IF(AND(ISNUMBER($A628),ISNUMBER(BBG_Data!B628)),BBG_Data!B628,NA())</f>
        <v/>
      </c>
      <c r="C628" s="18">
        <f>IF(NOT(ISNUMBER($A628)),NA(),IFERROR(1*INDEX(BBG_Data!$D$2:$D$4000,MATCH($A628,BBG_Data!$C$2:$C$4000,0)),NA()))</f>
        <v/>
      </c>
      <c r="D628" s="19">
        <f>IF(NOT(ISNUMBER($A628)),NA(),IFERROR(1*INDEX(BBG_Data!$F$2:$F$4000,MATCH($A628,BBG_Data!$E$2:$E$4000,0)),NA()))</f>
        <v/>
      </c>
      <c r="E628" s="19">
        <f>IF(NOT(ISNUMBER($A628)),NA(),IFERROR(1*INDEX(BBG_Data!$H$2:$H$4000,MATCH($A628,BBG_Data!$G$2:$G$4000,0)),NA()))</f>
        <v/>
      </c>
      <c r="F628" s="20">
        <f>IF(AND(ISNUMBER(B628),ISNUMBER(B627)),IF(B628=B627,"",(B628-B627)*100),"")</f>
        <v/>
      </c>
      <c r="G628" s="20">
        <f>IF(AND(ISNUMBER(C628),ISNUMBER(C627)),IF(C628=C627,"",(C628-C627)*100),"")</f>
        <v/>
      </c>
      <c r="H628" s="20">
        <f>IF(OR(NOT(ISNUMBER($A628)),ROW()-2&lt;Settings!$B$11),NA(),IF(COUNT(OFFSET(F628,1-Settings!$B$11,0,Settings!$B$11,1))&lt;ROUNDUP(Settings!$B$11*Settings!$B$26,0),NA(),STDEV(OFFSET(F628,1-Settings!$B$11,0,Settings!$B$11,1))*SQRT(Settings!$B$13)))</f>
        <v/>
      </c>
      <c r="I628" s="20">
        <f>IF(OR(NOT(ISNUMBER($A628)),ROW()-2&lt;Settings!$B$12),NA(),IF(COUNT(OFFSET(F628,1-Settings!$B$12,0,Settings!$B$12,1))&lt;ROUNDUP(Settings!$B$12*Settings!$B$26,0),NA(),STDEV(OFFSET(F628,1-Settings!$B$12,0,Settings!$B$12,1))*SQRT(Settings!$B$13)))</f>
        <v/>
      </c>
      <c r="J628" s="20">
        <f>IF(OR(NOT(ISNUMBER($A628)),ROW()-2&lt;Settings!$B$11),NA(),IF(COUNT(OFFSET(G628,1-Settings!$B$11,0,Settings!$B$11,1))&lt;ROUNDUP(Settings!$B$11*Settings!$B$26,0),NA(),STDEV(OFFSET(G628,1-Settings!$B$11,0,Settings!$B$11,1))*SQRT(Settings!$B$13)))</f>
        <v/>
      </c>
      <c r="K628" s="20">
        <f>IF(OR(NOT(ISNUMBER($A628)),ROW()-2&lt;Settings!$B$12),NA(),IF(COUNT(OFFSET(G628,1-Settings!$B$12,0,Settings!$B$12,1))&lt;ROUNDUP(Settings!$B$12*Settings!$B$26,0),NA(),STDEV(OFFSET(G628,1-Settings!$B$12,0,Settings!$B$12,1))*SQRT(Settings!$B$13)))</f>
        <v/>
      </c>
      <c r="L628" s="20">
        <f>IF(AND(ISNUMBER(D628),ISNUMBER(H628)),D628-H628,NA())</f>
        <v/>
      </c>
      <c r="M628" s="20">
        <f>IF(AND(ISNUMBER(E628),ISNUMBER(K628)),E628-K628,NA())</f>
        <v/>
      </c>
      <c r="N628" s="20">
        <f>IF(NOT(ISNUMBER($A628)),NA(),IF(COUNT(OFFSET(G628,1,0,Settings!$B$12,1))&lt;ROUNDUP(Settings!$B$12*Settings!$B$26,0),NA(),STDEV(OFFSET(G628,1,0,Settings!$B$12,1))*SQRT(Settings!$B$13)))</f>
        <v/>
      </c>
      <c r="O628" s="20">
        <f>IF(AND(ISNUMBER(E628),ISNUMBER(N628)),E628-N628,NA())</f>
        <v/>
      </c>
      <c r="P628" s="19">
        <f>IF(NOT(ISNUMBER($A628)),NA(),IF(OR($A628&lt;MIN(KW_TP!$A$2:$A$2501),$A628&gt;MAX(KW_TP!$A$2:$A$2501)),NA(),INDEX(KW_TP!$C$2:$C$2501,MATCH($A628,KW_TP!$A$2:$A$2501,1))))</f>
        <v/>
      </c>
      <c r="Q628" s="18">
        <f>IF(NOT(ISNUMBER($A628)),NA(),IFERROR(1*INDEX(BBG_Data!$J$2:$J$4000,MATCH($A628,BBG_Data!$I$2:$I$4000,0)),NA()))</f>
        <v/>
      </c>
      <c r="R628" s="18">
        <f>IF(NOT(ISNUMBER($A628)),NA(),IFERROR(1*INDEX(BBG_Data!$L$2:$L$4000,MATCH($A628,BBG_Data!$K$2:$K$4000,0)),NA()))</f>
        <v/>
      </c>
      <c r="S628" s="20">
        <f>IF(AND(ISNUMBER(B628),ISNUMBER(Q628),ISNUMBER(R628)),(B628-Q628-R628)*100,NA())</f>
        <v/>
      </c>
      <c r="T628" s="20">
        <f>IF(AND(ISNUMBER(B628),Settings!$B$17&gt;0),IF(ISNUMBER(INDEX($B:$B,Settings!$B$17)),(B628-INDEX($B:$B,Settings!$B$17))*100,NA()),NA())</f>
        <v/>
      </c>
      <c r="U628" s="20">
        <f>IF(AND(ISNUMBER(Q628),Settings!$B$17&gt;0),IF(ISNUMBER(INDEX($Q:$Q,Settings!$B$17)),(Q628-INDEX($Q:$Q,Settings!$B$17))*100,NA()),NA())</f>
        <v/>
      </c>
      <c r="V628" s="20">
        <f>IF(AND(ISNUMBER(R628),Settings!$B$17&gt;0),IF(ISNUMBER(INDEX($R:$R,Settings!$B$17)),(R628-INDEX($R:$R,Settings!$B$17))*100,NA()),NA())</f>
        <v/>
      </c>
      <c r="W628" s="20">
        <f>IF(AND(ISNUMBER(P628),Settings!$B$17&gt;0),IF(ISNUMBER(INDEX($P:$P,Settings!$B$17)),P628-INDEX($P:$P,Settings!$B$17),NA()),NA())</f>
        <v/>
      </c>
      <c r="X628" s="19">
        <f>IF(NOT(ISNUMBER($A628)),NA(),IF(OR($A628&lt;MIN(DKW_10Y!$A$2:$A$2918),$A628&gt;MAX(DKW_10Y!$A$2:$A$2918),Settings!$B$16&lt;MIN(DKW_10Y!$A$2:$A$2918)),NA(),(INDEX(DKW_10Y!$B$2:$B$2918,MATCH($A628,DKW_10Y!$A$2:$A$2918,1))-INDEX(DKW_10Y!$B$2:$B$2918,MATCH(Settings!$B$16,DKW_10Y!$A$2:$A$2918,1)))*100))</f>
        <v/>
      </c>
      <c r="Y628" s="19">
        <f>IF(NOT(ISNUMBER($A628)),NA(),IF(OR($A628&lt;MIN(DKW_10Y!$A$2:$A$2918),$A628&gt;MAX(DKW_10Y!$A$2:$A$2918),Settings!$B$16&lt;MIN(DKW_10Y!$A$2:$A$2918)),NA(),(INDEX(DKW_10Y!$C$2:$C$2918,MATCH($A628,DKW_10Y!$A$2:$A$2918,1))-INDEX(DKW_10Y!$C$2:$C$2918,MATCH(Settings!$B$16,DKW_10Y!$A$2:$A$2918,1)))*100))</f>
        <v/>
      </c>
      <c r="Z628" s="19">
        <f>IF(NOT(ISNUMBER($A628)),NA(),IF(OR($A628&lt;MIN(DKW_10Y!$A$2:$A$2918),$A628&gt;MAX(DKW_10Y!$A$2:$A$2918),Settings!$B$16&lt;MIN(DKW_10Y!$A$2:$A$2918)),NA(),(INDEX(DKW_10Y!$D$2:$D$2918,MATCH($A628,DKW_10Y!$A$2:$A$2918,1))-INDEX(DKW_10Y!$D$2:$D$2918,MATCH(Settings!$B$16,DKW_10Y!$A$2:$A$2918,1)))*100))</f>
        <v/>
      </c>
      <c r="AA628" s="19">
        <f>IF(NOT(ISNUMBER($A628)),NA(),IF(OR($A628&lt;MIN(DKW_10Y!$A$2:$A$2918),$A628&gt;MAX(DKW_10Y!$A$2:$A$2918),Settings!$B$16&lt;MIN(DKW_10Y!$A$2:$A$2918)),NA(),(INDEX(DKW_10Y!$E$2:$E$2918,MATCH($A628,DKW_10Y!$A$2:$A$2918,1))-INDEX(DKW_10Y!$E$2:$E$2918,MATCH(Settings!$B$16,DKW_10Y!$A$2:$A$2918,1)))*100))</f>
        <v/>
      </c>
      <c r="AB628" s="19">
        <f>IF(NOT(ISNUMBER($A628)),NA(),IF(OR($A628&lt;MIN(DKW_10Y!$A$2:$A$2918),$A628&gt;MAX(DKW_10Y!$A$2:$A$2918),Settings!$B$16&lt;MIN(DKW_10Y!$A$2:$A$2918)),NA(),(INDEX(DKW_10Y!$H$2:$H$2918,MATCH($A628,DKW_10Y!$A$2:$A$2918,1))-INDEX(DKW_10Y!$H$2:$H$2918,MATCH(Settings!$B$16,DKW_10Y!$A$2:$A$2918,1)))*100))</f>
        <v/>
      </c>
      <c r="AC628" s="18">
        <f>IF(NOT(ISNUMBER($A628)),NA(),IFERROR(1*INDEX(BBG_Data!$N$2:$N$4000,MATCH($A628,BBG_Data!$M$2:$M$4000,0)),NA()))</f>
        <v/>
      </c>
      <c r="AD628" s="18">
        <f>IF(NOT(ISNUMBER($A628)),NA(),IFERROR(1*INDEX(BBG_Data!$P$2:$P$4000,MATCH($A628,BBG_Data!$O$2:$O$4000,0)),NA()))</f>
        <v/>
      </c>
      <c r="AE628" s="18">
        <f>IF(NOT(ISNUMBER($A628)),NA(),IFERROR(1*INDEX(BBG_Data!$R$2:$R$4000,MATCH($A628,BBG_Data!$Q$2:$Q$4000,0)),NA()))</f>
        <v/>
      </c>
      <c r="AF628" s="20">
        <f>IF(AND(ISNUMBER(B628),ISNUMBER(AC628)),(B628-AC628)*100,NA())</f>
        <v/>
      </c>
      <c r="AG628" s="20">
        <f>IF(AND(ISNUMBER(AE628),ISNUMBER(AD628)),(AE628-AD628)*100,NA())</f>
        <v/>
      </c>
      <c r="AH628" s="19">
        <f>IF(NOT(ISNUMBER($A628)),NA(),IFERROR(INDEX(BBG_Data!$T$2:$T$4000,MATCH($A628,BBG_Data!$S$2:$S$4000,0))*Settings!$B$25,NA()))</f>
        <v/>
      </c>
      <c r="AI628" s="19">
        <f>IF(NOT(ISNUMBER($A628)),NA(),IFERROR(INDEX(BBG_Data!$V$2:$V$4000,MATCH($A628,BBG_Data!$U$2:$U$4000,0))*Settings!$B$25,NA()))</f>
        <v/>
      </c>
      <c r="AJ628" s="19">
        <f>IF(NOT(ISNUMBER($A628)),NA(),IFERROR(1*INDEX(BBG_Data!$X$2:$X$4000,MATCH($A628,BBG_Data!$W$2:$W$4000,0)),NA()))</f>
        <v/>
      </c>
      <c r="AK628" s="19">
        <f>IF(NOT(ISNUMBER($A628)),NA(),IFERROR(1*INDEX(BBG_Data!$Z$2:$Z$4000,MATCH($A628,BBG_Data!$Y$2:$Y$4000,0)),NA()))</f>
        <v/>
      </c>
    </row>
    <row r="629">
      <c r="A629" s="17">
        <f>IF(ISNUMBER(BBG_Data!A629),BBG_Data!A629,"")</f>
        <v/>
      </c>
      <c r="B629" s="18">
        <f>IF(AND(ISNUMBER($A629),ISNUMBER(BBG_Data!B629)),BBG_Data!B629,NA())</f>
        <v/>
      </c>
      <c r="C629" s="18">
        <f>IF(NOT(ISNUMBER($A629)),NA(),IFERROR(1*INDEX(BBG_Data!$D$2:$D$4000,MATCH($A629,BBG_Data!$C$2:$C$4000,0)),NA()))</f>
        <v/>
      </c>
      <c r="D629" s="19">
        <f>IF(NOT(ISNUMBER($A629)),NA(),IFERROR(1*INDEX(BBG_Data!$F$2:$F$4000,MATCH($A629,BBG_Data!$E$2:$E$4000,0)),NA()))</f>
        <v/>
      </c>
      <c r="E629" s="19">
        <f>IF(NOT(ISNUMBER($A629)),NA(),IFERROR(1*INDEX(BBG_Data!$H$2:$H$4000,MATCH($A629,BBG_Data!$G$2:$G$4000,0)),NA()))</f>
        <v/>
      </c>
      <c r="F629" s="20">
        <f>IF(AND(ISNUMBER(B629),ISNUMBER(B628)),IF(B629=B628,"",(B629-B628)*100),"")</f>
        <v/>
      </c>
      <c r="G629" s="20">
        <f>IF(AND(ISNUMBER(C629),ISNUMBER(C628)),IF(C629=C628,"",(C629-C628)*100),"")</f>
        <v/>
      </c>
      <c r="H629" s="20">
        <f>IF(OR(NOT(ISNUMBER($A629)),ROW()-2&lt;Settings!$B$11),NA(),IF(COUNT(OFFSET(F629,1-Settings!$B$11,0,Settings!$B$11,1))&lt;ROUNDUP(Settings!$B$11*Settings!$B$26,0),NA(),STDEV(OFFSET(F629,1-Settings!$B$11,0,Settings!$B$11,1))*SQRT(Settings!$B$13)))</f>
        <v/>
      </c>
      <c r="I629" s="20">
        <f>IF(OR(NOT(ISNUMBER($A629)),ROW()-2&lt;Settings!$B$12),NA(),IF(COUNT(OFFSET(F629,1-Settings!$B$12,0,Settings!$B$12,1))&lt;ROUNDUP(Settings!$B$12*Settings!$B$26,0),NA(),STDEV(OFFSET(F629,1-Settings!$B$12,0,Settings!$B$12,1))*SQRT(Settings!$B$13)))</f>
        <v/>
      </c>
      <c r="J629" s="20">
        <f>IF(OR(NOT(ISNUMBER($A629)),ROW()-2&lt;Settings!$B$11),NA(),IF(COUNT(OFFSET(G629,1-Settings!$B$11,0,Settings!$B$11,1))&lt;ROUNDUP(Settings!$B$11*Settings!$B$26,0),NA(),STDEV(OFFSET(G629,1-Settings!$B$11,0,Settings!$B$11,1))*SQRT(Settings!$B$13)))</f>
        <v/>
      </c>
      <c r="K629" s="20">
        <f>IF(OR(NOT(ISNUMBER($A629)),ROW()-2&lt;Settings!$B$12),NA(),IF(COUNT(OFFSET(G629,1-Settings!$B$12,0,Settings!$B$12,1))&lt;ROUNDUP(Settings!$B$12*Settings!$B$26,0),NA(),STDEV(OFFSET(G629,1-Settings!$B$12,0,Settings!$B$12,1))*SQRT(Settings!$B$13)))</f>
        <v/>
      </c>
      <c r="L629" s="20">
        <f>IF(AND(ISNUMBER(D629),ISNUMBER(H629)),D629-H629,NA())</f>
        <v/>
      </c>
      <c r="M629" s="20">
        <f>IF(AND(ISNUMBER(E629),ISNUMBER(K629)),E629-K629,NA())</f>
        <v/>
      </c>
      <c r="N629" s="20">
        <f>IF(NOT(ISNUMBER($A629)),NA(),IF(COUNT(OFFSET(G629,1,0,Settings!$B$12,1))&lt;ROUNDUP(Settings!$B$12*Settings!$B$26,0),NA(),STDEV(OFFSET(G629,1,0,Settings!$B$12,1))*SQRT(Settings!$B$13)))</f>
        <v/>
      </c>
      <c r="O629" s="20">
        <f>IF(AND(ISNUMBER(E629),ISNUMBER(N629)),E629-N629,NA())</f>
        <v/>
      </c>
      <c r="P629" s="19">
        <f>IF(NOT(ISNUMBER($A629)),NA(),IF(OR($A629&lt;MIN(KW_TP!$A$2:$A$2501),$A629&gt;MAX(KW_TP!$A$2:$A$2501)),NA(),INDEX(KW_TP!$C$2:$C$2501,MATCH($A629,KW_TP!$A$2:$A$2501,1))))</f>
        <v/>
      </c>
      <c r="Q629" s="18">
        <f>IF(NOT(ISNUMBER($A629)),NA(),IFERROR(1*INDEX(BBG_Data!$J$2:$J$4000,MATCH($A629,BBG_Data!$I$2:$I$4000,0)),NA()))</f>
        <v/>
      </c>
      <c r="R629" s="18">
        <f>IF(NOT(ISNUMBER($A629)),NA(),IFERROR(1*INDEX(BBG_Data!$L$2:$L$4000,MATCH($A629,BBG_Data!$K$2:$K$4000,0)),NA()))</f>
        <v/>
      </c>
      <c r="S629" s="20">
        <f>IF(AND(ISNUMBER(B629),ISNUMBER(Q629),ISNUMBER(R629)),(B629-Q629-R629)*100,NA())</f>
        <v/>
      </c>
      <c r="T629" s="20">
        <f>IF(AND(ISNUMBER(B629),Settings!$B$17&gt;0),IF(ISNUMBER(INDEX($B:$B,Settings!$B$17)),(B629-INDEX($B:$B,Settings!$B$17))*100,NA()),NA())</f>
        <v/>
      </c>
      <c r="U629" s="20">
        <f>IF(AND(ISNUMBER(Q629),Settings!$B$17&gt;0),IF(ISNUMBER(INDEX($Q:$Q,Settings!$B$17)),(Q629-INDEX($Q:$Q,Settings!$B$17))*100,NA()),NA())</f>
        <v/>
      </c>
      <c r="V629" s="20">
        <f>IF(AND(ISNUMBER(R629),Settings!$B$17&gt;0),IF(ISNUMBER(INDEX($R:$R,Settings!$B$17)),(R629-INDEX($R:$R,Settings!$B$17))*100,NA()),NA())</f>
        <v/>
      </c>
      <c r="W629" s="20">
        <f>IF(AND(ISNUMBER(P629),Settings!$B$17&gt;0),IF(ISNUMBER(INDEX($P:$P,Settings!$B$17)),P629-INDEX($P:$P,Settings!$B$17),NA()),NA())</f>
        <v/>
      </c>
      <c r="X629" s="19">
        <f>IF(NOT(ISNUMBER($A629)),NA(),IF(OR($A629&lt;MIN(DKW_10Y!$A$2:$A$2918),$A629&gt;MAX(DKW_10Y!$A$2:$A$2918),Settings!$B$16&lt;MIN(DKW_10Y!$A$2:$A$2918)),NA(),(INDEX(DKW_10Y!$B$2:$B$2918,MATCH($A629,DKW_10Y!$A$2:$A$2918,1))-INDEX(DKW_10Y!$B$2:$B$2918,MATCH(Settings!$B$16,DKW_10Y!$A$2:$A$2918,1)))*100))</f>
        <v/>
      </c>
      <c r="Y629" s="19">
        <f>IF(NOT(ISNUMBER($A629)),NA(),IF(OR($A629&lt;MIN(DKW_10Y!$A$2:$A$2918),$A629&gt;MAX(DKW_10Y!$A$2:$A$2918),Settings!$B$16&lt;MIN(DKW_10Y!$A$2:$A$2918)),NA(),(INDEX(DKW_10Y!$C$2:$C$2918,MATCH($A629,DKW_10Y!$A$2:$A$2918,1))-INDEX(DKW_10Y!$C$2:$C$2918,MATCH(Settings!$B$16,DKW_10Y!$A$2:$A$2918,1)))*100))</f>
        <v/>
      </c>
      <c r="Z629" s="19">
        <f>IF(NOT(ISNUMBER($A629)),NA(),IF(OR($A629&lt;MIN(DKW_10Y!$A$2:$A$2918),$A629&gt;MAX(DKW_10Y!$A$2:$A$2918),Settings!$B$16&lt;MIN(DKW_10Y!$A$2:$A$2918)),NA(),(INDEX(DKW_10Y!$D$2:$D$2918,MATCH($A629,DKW_10Y!$A$2:$A$2918,1))-INDEX(DKW_10Y!$D$2:$D$2918,MATCH(Settings!$B$16,DKW_10Y!$A$2:$A$2918,1)))*100))</f>
        <v/>
      </c>
      <c r="AA629" s="19">
        <f>IF(NOT(ISNUMBER($A629)),NA(),IF(OR($A629&lt;MIN(DKW_10Y!$A$2:$A$2918),$A629&gt;MAX(DKW_10Y!$A$2:$A$2918),Settings!$B$16&lt;MIN(DKW_10Y!$A$2:$A$2918)),NA(),(INDEX(DKW_10Y!$E$2:$E$2918,MATCH($A629,DKW_10Y!$A$2:$A$2918,1))-INDEX(DKW_10Y!$E$2:$E$2918,MATCH(Settings!$B$16,DKW_10Y!$A$2:$A$2918,1)))*100))</f>
        <v/>
      </c>
      <c r="AB629" s="19">
        <f>IF(NOT(ISNUMBER($A629)),NA(),IF(OR($A629&lt;MIN(DKW_10Y!$A$2:$A$2918),$A629&gt;MAX(DKW_10Y!$A$2:$A$2918),Settings!$B$16&lt;MIN(DKW_10Y!$A$2:$A$2918)),NA(),(INDEX(DKW_10Y!$H$2:$H$2918,MATCH($A629,DKW_10Y!$A$2:$A$2918,1))-INDEX(DKW_10Y!$H$2:$H$2918,MATCH(Settings!$B$16,DKW_10Y!$A$2:$A$2918,1)))*100))</f>
        <v/>
      </c>
      <c r="AC629" s="18">
        <f>IF(NOT(ISNUMBER($A629)),NA(),IFERROR(1*INDEX(BBG_Data!$N$2:$N$4000,MATCH($A629,BBG_Data!$M$2:$M$4000,0)),NA()))</f>
        <v/>
      </c>
      <c r="AD629" s="18">
        <f>IF(NOT(ISNUMBER($A629)),NA(),IFERROR(1*INDEX(BBG_Data!$P$2:$P$4000,MATCH($A629,BBG_Data!$O$2:$O$4000,0)),NA()))</f>
        <v/>
      </c>
      <c r="AE629" s="18">
        <f>IF(NOT(ISNUMBER($A629)),NA(),IFERROR(1*INDEX(BBG_Data!$R$2:$R$4000,MATCH($A629,BBG_Data!$Q$2:$Q$4000,0)),NA()))</f>
        <v/>
      </c>
      <c r="AF629" s="20">
        <f>IF(AND(ISNUMBER(B629),ISNUMBER(AC629)),(B629-AC629)*100,NA())</f>
        <v/>
      </c>
      <c r="AG629" s="20">
        <f>IF(AND(ISNUMBER(AE629),ISNUMBER(AD629)),(AE629-AD629)*100,NA())</f>
        <v/>
      </c>
      <c r="AH629" s="19">
        <f>IF(NOT(ISNUMBER($A629)),NA(),IFERROR(INDEX(BBG_Data!$T$2:$T$4000,MATCH($A629,BBG_Data!$S$2:$S$4000,0))*Settings!$B$25,NA()))</f>
        <v/>
      </c>
      <c r="AI629" s="19">
        <f>IF(NOT(ISNUMBER($A629)),NA(),IFERROR(INDEX(BBG_Data!$V$2:$V$4000,MATCH($A629,BBG_Data!$U$2:$U$4000,0))*Settings!$B$25,NA()))</f>
        <v/>
      </c>
      <c r="AJ629" s="19">
        <f>IF(NOT(ISNUMBER($A629)),NA(),IFERROR(1*INDEX(BBG_Data!$X$2:$X$4000,MATCH($A629,BBG_Data!$W$2:$W$4000,0)),NA()))</f>
        <v/>
      </c>
      <c r="AK629" s="19">
        <f>IF(NOT(ISNUMBER($A629)),NA(),IFERROR(1*INDEX(BBG_Data!$Z$2:$Z$4000,MATCH($A629,BBG_Data!$Y$2:$Y$4000,0)),NA()))</f>
        <v/>
      </c>
    </row>
    <row r="630">
      <c r="A630" s="17">
        <f>IF(ISNUMBER(BBG_Data!A630),BBG_Data!A630,"")</f>
        <v/>
      </c>
      <c r="B630" s="18">
        <f>IF(AND(ISNUMBER($A630),ISNUMBER(BBG_Data!B630)),BBG_Data!B630,NA())</f>
        <v/>
      </c>
      <c r="C630" s="18">
        <f>IF(NOT(ISNUMBER($A630)),NA(),IFERROR(1*INDEX(BBG_Data!$D$2:$D$4000,MATCH($A630,BBG_Data!$C$2:$C$4000,0)),NA()))</f>
        <v/>
      </c>
      <c r="D630" s="19">
        <f>IF(NOT(ISNUMBER($A630)),NA(),IFERROR(1*INDEX(BBG_Data!$F$2:$F$4000,MATCH($A630,BBG_Data!$E$2:$E$4000,0)),NA()))</f>
        <v/>
      </c>
      <c r="E630" s="19">
        <f>IF(NOT(ISNUMBER($A630)),NA(),IFERROR(1*INDEX(BBG_Data!$H$2:$H$4000,MATCH($A630,BBG_Data!$G$2:$G$4000,0)),NA()))</f>
        <v/>
      </c>
      <c r="F630" s="20">
        <f>IF(AND(ISNUMBER(B630),ISNUMBER(B629)),IF(B630=B629,"",(B630-B629)*100),"")</f>
        <v/>
      </c>
      <c r="G630" s="20">
        <f>IF(AND(ISNUMBER(C630),ISNUMBER(C629)),IF(C630=C629,"",(C630-C629)*100),"")</f>
        <v/>
      </c>
      <c r="H630" s="20">
        <f>IF(OR(NOT(ISNUMBER($A630)),ROW()-2&lt;Settings!$B$11),NA(),IF(COUNT(OFFSET(F630,1-Settings!$B$11,0,Settings!$B$11,1))&lt;ROUNDUP(Settings!$B$11*Settings!$B$26,0),NA(),STDEV(OFFSET(F630,1-Settings!$B$11,0,Settings!$B$11,1))*SQRT(Settings!$B$13)))</f>
        <v/>
      </c>
      <c r="I630" s="20">
        <f>IF(OR(NOT(ISNUMBER($A630)),ROW()-2&lt;Settings!$B$12),NA(),IF(COUNT(OFFSET(F630,1-Settings!$B$12,0,Settings!$B$12,1))&lt;ROUNDUP(Settings!$B$12*Settings!$B$26,0),NA(),STDEV(OFFSET(F630,1-Settings!$B$12,0,Settings!$B$12,1))*SQRT(Settings!$B$13)))</f>
        <v/>
      </c>
      <c r="J630" s="20">
        <f>IF(OR(NOT(ISNUMBER($A630)),ROW()-2&lt;Settings!$B$11),NA(),IF(COUNT(OFFSET(G630,1-Settings!$B$11,0,Settings!$B$11,1))&lt;ROUNDUP(Settings!$B$11*Settings!$B$26,0),NA(),STDEV(OFFSET(G630,1-Settings!$B$11,0,Settings!$B$11,1))*SQRT(Settings!$B$13)))</f>
        <v/>
      </c>
      <c r="K630" s="20">
        <f>IF(OR(NOT(ISNUMBER($A630)),ROW()-2&lt;Settings!$B$12),NA(),IF(COUNT(OFFSET(G630,1-Settings!$B$12,0,Settings!$B$12,1))&lt;ROUNDUP(Settings!$B$12*Settings!$B$26,0),NA(),STDEV(OFFSET(G630,1-Settings!$B$12,0,Settings!$B$12,1))*SQRT(Settings!$B$13)))</f>
        <v/>
      </c>
      <c r="L630" s="20">
        <f>IF(AND(ISNUMBER(D630),ISNUMBER(H630)),D630-H630,NA())</f>
        <v/>
      </c>
      <c r="M630" s="20">
        <f>IF(AND(ISNUMBER(E630),ISNUMBER(K630)),E630-K630,NA())</f>
        <v/>
      </c>
      <c r="N630" s="20">
        <f>IF(NOT(ISNUMBER($A630)),NA(),IF(COUNT(OFFSET(G630,1,0,Settings!$B$12,1))&lt;ROUNDUP(Settings!$B$12*Settings!$B$26,0),NA(),STDEV(OFFSET(G630,1,0,Settings!$B$12,1))*SQRT(Settings!$B$13)))</f>
        <v/>
      </c>
      <c r="O630" s="20">
        <f>IF(AND(ISNUMBER(E630),ISNUMBER(N630)),E630-N630,NA())</f>
        <v/>
      </c>
      <c r="P630" s="19">
        <f>IF(NOT(ISNUMBER($A630)),NA(),IF(OR($A630&lt;MIN(KW_TP!$A$2:$A$2501),$A630&gt;MAX(KW_TP!$A$2:$A$2501)),NA(),INDEX(KW_TP!$C$2:$C$2501,MATCH($A630,KW_TP!$A$2:$A$2501,1))))</f>
        <v/>
      </c>
      <c r="Q630" s="18">
        <f>IF(NOT(ISNUMBER($A630)),NA(),IFERROR(1*INDEX(BBG_Data!$J$2:$J$4000,MATCH($A630,BBG_Data!$I$2:$I$4000,0)),NA()))</f>
        <v/>
      </c>
      <c r="R630" s="18">
        <f>IF(NOT(ISNUMBER($A630)),NA(),IFERROR(1*INDEX(BBG_Data!$L$2:$L$4000,MATCH($A630,BBG_Data!$K$2:$K$4000,0)),NA()))</f>
        <v/>
      </c>
      <c r="S630" s="20">
        <f>IF(AND(ISNUMBER(B630),ISNUMBER(Q630),ISNUMBER(R630)),(B630-Q630-R630)*100,NA())</f>
        <v/>
      </c>
      <c r="T630" s="20">
        <f>IF(AND(ISNUMBER(B630),Settings!$B$17&gt;0),IF(ISNUMBER(INDEX($B:$B,Settings!$B$17)),(B630-INDEX($B:$B,Settings!$B$17))*100,NA()),NA())</f>
        <v/>
      </c>
      <c r="U630" s="20">
        <f>IF(AND(ISNUMBER(Q630),Settings!$B$17&gt;0),IF(ISNUMBER(INDEX($Q:$Q,Settings!$B$17)),(Q630-INDEX($Q:$Q,Settings!$B$17))*100,NA()),NA())</f>
        <v/>
      </c>
      <c r="V630" s="20">
        <f>IF(AND(ISNUMBER(R630),Settings!$B$17&gt;0),IF(ISNUMBER(INDEX($R:$R,Settings!$B$17)),(R630-INDEX($R:$R,Settings!$B$17))*100,NA()),NA())</f>
        <v/>
      </c>
      <c r="W630" s="20">
        <f>IF(AND(ISNUMBER(P630),Settings!$B$17&gt;0),IF(ISNUMBER(INDEX($P:$P,Settings!$B$17)),P630-INDEX($P:$P,Settings!$B$17),NA()),NA())</f>
        <v/>
      </c>
      <c r="X630" s="19">
        <f>IF(NOT(ISNUMBER($A630)),NA(),IF(OR($A630&lt;MIN(DKW_10Y!$A$2:$A$2918),$A630&gt;MAX(DKW_10Y!$A$2:$A$2918),Settings!$B$16&lt;MIN(DKW_10Y!$A$2:$A$2918)),NA(),(INDEX(DKW_10Y!$B$2:$B$2918,MATCH($A630,DKW_10Y!$A$2:$A$2918,1))-INDEX(DKW_10Y!$B$2:$B$2918,MATCH(Settings!$B$16,DKW_10Y!$A$2:$A$2918,1)))*100))</f>
        <v/>
      </c>
      <c r="Y630" s="19">
        <f>IF(NOT(ISNUMBER($A630)),NA(),IF(OR($A630&lt;MIN(DKW_10Y!$A$2:$A$2918),$A630&gt;MAX(DKW_10Y!$A$2:$A$2918),Settings!$B$16&lt;MIN(DKW_10Y!$A$2:$A$2918)),NA(),(INDEX(DKW_10Y!$C$2:$C$2918,MATCH($A630,DKW_10Y!$A$2:$A$2918,1))-INDEX(DKW_10Y!$C$2:$C$2918,MATCH(Settings!$B$16,DKW_10Y!$A$2:$A$2918,1)))*100))</f>
        <v/>
      </c>
      <c r="Z630" s="19">
        <f>IF(NOT(ISNUMBER($A630)),NA(),IF(OR($A630&lt;MIN(DKW_10Y!$A$2:$A$2918),$A630&gt;MAX(DKW_10Y!$A$2:$A$2918),Settings!$B$16&lt;MIN(DKW_10Y!$A$2:$A$2918)),NA(),(INDEX(DKW_10Y!$D$2:$D$2918,MATCH($A630,DKW_10Y!$A$2:$A$2918,1))-INDEX(DKW_10Y!$D$2:$D$2918,MATCH(Settings!$B$16,DKW_10Y!$A$2:$A$2918,1)))*100))</f>
        <v/>
      </c>
      <c r="AA630" s="19">
        <f>IF(NOT(ISNUMBER($A630)),NA(),IF(OR($A630&lt;MIN(DKW_10Y!$A$2:$A$2918),$A630&gt;MAX(DKW_10Y!$A$2:$A$2918),Settings!$B$16&lt;MIN(DKW_10Y!$A$2:$A$2918)),NA(),(INDEX(DKW_10Y!$E$2:$E$2918,MATCH($A630,DKW_10Y!$A$2:$A$2918,1))-INDEX(DKW_10Y!$E$2:$E$2918,MATCH(Settings!$B$16,DKW_10Y!$A$2:$A$2918,1)))*100))</f>
        <v/>
      </c>
      <c r="AB630" s="19">
        <f>IF(NOT(ISNUMBER($A630)),NA(),IF(OR($A630&lt;MIN(DKW_10Y!$A$2:$A$2918),$A630&gt;MAX(DKW_10Y!$A$2:$A$2918),Settings!$B$16&lt;MIN(DKW_10Y!$A$2:$A$2918)),NA(),(INDEX(DKW_10Y!$H$2:$H$2918,MATCH($A630,DKW_10Y!$A$2:$A$2918,1))-INDEX(DKW_10Y!$H$2:$H$2918,MATCH(Settings!$B$16,DKW_10Y!$A$2:$A$2918,1)))*100))</f>
        <v/>
      </c>
      <c r="AC630" s="18">
        <f>IF(NOT(ISNUMBER($A630)),NA(),IFERROR(1*INDEX(BBG_Data!$N$2:$N$4000,MATCH($A630,BBG_Data!$M$2:$M$4000,0)),NA()))</f>
        <v/>
      </c>
      <c r="AD630" s="18">
        <f>IF(NOT(ISNUMBER($A630)),NA(),IFERROR(1*INDEX(BBG_Data!$P$2:$P$4000,MATCH($A630,BBG_Data!$O$2:$O$4000,0)),NA()))</f>
        <v/>
      </c>
      <c r="AE630" s="18">
        <f>IF(NOT(ISNUMBER($A630)),NA(),IFERROR(1*INDEX(BBG_Data!$R$2:$R$4000,MATCH($A630,BBG_Data!$Q$2:$Q$4000,0)),NA()))</f>
        <v/>
      </c>
      <c r="AF630" s="20">
        <f>IF(AND(ISNUMBER(B630),ISNUMBER(AC630)),(B630-AC630)*100,NA())</f>
        <v/>
      </c>
      <c r="AG630" s="20">
        <f>IF(AND(ISNUMBER(AE630),ISNUMBER(AD630)),(AE630-AD630)*100,NA())</f>
        <v/>
      </c>
      <c r="AH630" s="19">
        <f>IF(NOT(ISNUMBER($A630)),NA(),IFERROR(INDEX(BBG_Data!$T$2:$T$4000,MATCH($A630,BBG_Data!$S$2:$S$4000,0))*Settings!$B$25,NA()))</f>
        <v/>
      </c>
      <c r="AI630" s="19">
        <f>IF(NOT(ISNUMBER($A630)),NA(),IFERROR(INDEX(BBG_Data!$V$2:$V$4000,MATCH($A630,BBG_Data!$U$2:$U$4000,0))*Settings!$B$25,NA()))</f>
        <v/>
      </c>
      <c r="AJ630" s="19">
        <f>IF(NOT(ISNUMBER($A630)),NA(),IFERROR(1*INDEX(BBG_Data!$X$2:$X$4000,MATCH($A630,BBG_Data!$W$2:$W$4000,0)),NA()))</f>
        <v/>
      </c>
      <c r="AK630" s="19">
        <f>IF(NOT(ISNUMBER($A630)),NA(),IFERROR(1*INDEX(BBG_Data!$Z$2:$Z$4000,MATCH($A630,BBG_Data!$Y$2:$Y$4000,0)),NA()))</f>
        <v/>
      </c>
    </row>
    <row r="631">
      <c r="A631" s="17">
        <f>IF(ISNUMBER(BBG_Data!A631),BBG_Data!A631,"")</f>
        <v/>
      </c>
      <c r="B631" s="18">
        <f>IF(AND(ISNUMBER($A631),ISNUMBER(BBG_Data!B631)),BBG_Data!B631,NA())</f>
        <v/>
      </c>
      <c r="C631" s="18">
        <f>IF(NOT(ISNUMBER($A631)),NA(),IFERROR(1*INDEX(BBG_Data!$D$2:$D$4000,MATCH($A631,BBG_Data!$C$2:$C$4000,0)),NA()))</f>
        <v/>
      </c>
      <c r="D631" s="19">
        <f>IF(NOT(ISNUMBER($A631)),NA(),IFERROR(1*INDEX(BBG_Data!$F$2:$F$4000,MATCH($A631,BBG_Data!$E$2:$E$4000,0)),NA()))</f>
        <v/>
      </c>
      <c r="E631" s="19">
        <f>IF(NOT(ISNUMBER($A631)),NA(),IFERROR(1*INDEX(BBG_Data!$H$2:$H$4000,MATCH($A631,BBG_Data!$G$2:$G$4000,0)),NA()))</f>
        <v/>
      </c>
      <c r="F631" s="20">
        <f>IF(AND(ISNUMBER(B631),ISNUMBER(B630)),IF(B631=B630,"",(B631-B630)*100),"")</f>
        <v/>
      </c>
      <c r="G631" s="20">
        <f>IF(AND(ISNUMBER(C631),ISNUMBER(C630)),IF(C631=C630,"",(C631-C630)*100),"")</f>
        <v/>
      </c>
      <c r="H631" s="20">
        <f>IF(OR(NOT(ISNUMBER($A631)),ROW()-2&lt;Settings!$B$11),NA(),IF(COUNT(OFFSET(F631,1-Settings!$B$11,0,Settings!$B$11,1))&lt;ROUNDUP(Settings!$B$11*Settings!$B$26,0),NA(),STDEV(OFFSET(F631,1-Settings!$B$11,0,Settings!$B$11,1))*SQRT(Settings!$B$13)))</f>
        <v/>
      </c>
      <c r="I631" s="20">
        <f>IF(OR(NOT(ISNUMBER($A631)),ROW()-2&lt;Settings!$B$12),NA(),IF(COUNT(OFFSET(F631,1-Settings!$B$12,0,Settings!$B$12,1))&lt;ROUNDUP(Settings!$B$12*Settings!$B$26,0),NA(),STDEV(OFFSET(F631,1-Settings!$B$12,0,Settings!$B$12,1))*SQRT(Settings!$B$13)))</f>
        <v/>
      </c>
      <c r="J631" s="20">
        <f>IF(OR(NOT(ISNUMBER($A631)),ROW()-2&lt;Settings!$B$11),NA(),IF(COUNT(OFFSET(G631,1-Settings!$B$11,0,Settings!$B$11,1))&lt;ROUNDUP(Settings!$B$11*Settings!$B$26,0),NA(),STDEV(OFFSET(G631,1-Settings!$B$11,0,Settings!$B$11,1))*SQRT(Settings!$B$13)))</f>
        <v/>
      </c>
      <c r="K631" s="20">
        <f>IF(OR(NOT(ISNUMBER($A631)),ROW()-2&lt;Settings!$B$12),NA(),IF(COUNT(OFFSET(G631,1-Settings!$B$12,0,Settings!$B$12,1))&lt;ROUNDUP(Settings!$B$12*Settings!$B$26,0),NA(),STDEV(OFFSET(G631,1-Settings!$B$12,0,Settings!$B$12,1))*SQRT(Settings!$B$13)))</f>
        <v/>
      </c>
      <c r="L631" s="20">
        <f>IF(AND(ISNUMBER(D631),ISNUMBER(H631)),D631-H631,NA())</f>
        <v/>
      </c>
      <c r="M631" s="20">
        <f>IF(AND(ISNUMBER(E631),ISNUMBER(K631)),E631-K631,NA())</f>
        <v/>
      </c>
      <c r="N631" s="20">
        <f>IF(NOT(ISNUMBER($A631)),NA(),IF(COUNT(OFFSET(G631,1,0,Settings!$B$12,1))&lt;ROUNDUP(Settings!$B$12*Settings!$B$26,0),NA(),STDEV(OFFSET(G631,1,0,Settings!$B$12,1))*SQRT(Settings!$B$13)))</f>
        <v/>
      </c>
      <c r="O631" s="20">
        <f>IF(AND(ISNUMBER(E631),ISNUMBER(N631)),E631-N631,NA())</f>
        <v/>
      </c>
      <c r="P631" s="19">
        <f>IF(NOT(ISNUMBER($A631)),NA(),IF(OR($A631&lt;MIN(KW_TP!$A$2:$A$2501),$A631&gt;MAX(KW_TP!$A$2:$A$2501)),NA(),INDEX(KW_TP!$C$2:$C$2501,MATCH($A631,KW_TP!$A$2:$A$2501,1))))</f>
        <v/>
      </c>
      <c r="Q631" s="18">
        <f>IF(NOT(ISNUMBER($A631)),NA(),IFERROR(1*INDEX(BBG_Data!$J$2:$J$4000,MATCH($A631,BBG_Data!$I$2:$I$4000,0)),NA()))</f>
        <v/>
      </c>
      <c r="R631" s="18">
        <f>IF(NOT(ISNUMBER($A631)),NA(),IFERROR(1*INDEX(BBG_Data!$L$2:$L$4000,MATCH($A631,BBG_Data!$K$2:$K$4000,0)),NA()))</f>
        <v/>
      </c>
      <c r="S631" s="20">
        <f>IF(AND(ISNUMBER(B631),ISNUMBER(Q631),ISNUMBER(R631)),(B631-Q631-R631)*100,NA())</f>
        <v/>
      </c>
      <c r="T631" s="20">
        <f>IF(AND(ISNUMBER(B631),Settings!$B$17&gt;0),IF(ISNUMBER(INDEX($B:$B,Settings!$B$17)),(B631-INDEX($B:$B,Settings!$B$17))*100,NA()),NA())</f>
        <v/>
      </c>
      <c r="U631" s="20">
        <f>IF(AND(ISNUMBER(Q631),Settings!$B$17&gt;0),IF(ISNUMBER(INDEX($Q:$Q,Settings!$B$17)),(Q631-INDEX($Q:$Q,Settings!$B$17))*100,NA()),NA())</f>
        <v/>
      </c>
      <c r="V631" s="20">
        <f>IF(AND(ISNUMBER(R631),Settings!$B$17&gt;0),IF(ISNUMBER(INDEX($R:$R,Settings!$B$17)),(R631-INDEX($R:$R,Settings!$B$17))*100,NA()),NA())</f>
        <v/>
      </c>
      <c r="W631" s="20">
        <f>IF(AND(ISNUMBER(P631),Settings!$B$17&gt;0),IF(ISNUMBER(INDEX($P:$P,Settings!$B$17)),P631-INDEX($P:$P,Settings!$B$17),NA()),NA())</f>
        <v/>
      </c>
      <c r="X631" s="19">
        <f>IF(NOT(ISNUMBER($A631)),NA(),IF(OR($A631&lt;MIN(DKW_10Y!$A$2:$A$2918),$A631&gt;MAX(DKW_10Y!$A$2:$A$2918),Settings!$B$16&lt;MIN(DKW_10Y!$A$2:$A$2918)),NA(),(INDEX(DKW_10Y!$B$2:$B$2918,MATCH($A631,DKW_10Y!$A$2:$A$2918,1))-INDEX(DKW_10Y!$B$2:$B$2918,MATCH(Settings!$B$16,DKW_10Y!$A$2:$A$2918,1)))*100))</f>
        <v/>
      </c>
      <c r="Y631" s="19">
        <f>IF(NOT(ISNUMBER($A631)),NA(),IF(OR($A631&lt;MIN(DKW_10Y!$A$2:$A$2918),$A631&gt;MAX(DKW_10Y!$A$2:$A$2918),Settings!$B$16&lt;MIN(DKW_10Y!$A$2:$A$2918)),NA(),(INDEX(DKW_10Y!$C$2:$C$2918,MATCH($A631,DKW_10Y!$A$2:$A$2918,1))-INDEX(DKW_10Y!$C$2:$C$2918,MATCH(Settings!$B$16,DKW_10Y!$A$2:$A$2918,1)))*100))</f>
        <v/>
      </c>
      <c r="Z631" s="19">
        <f>IF(NOT(ISNUMBER($A631)),NA(),IF(OR($A631&lt;MIN(DKW_10Y!$A$2:$A$2918),$A631&gt;MAX(DKW_10Y!$A$2:$A$2918),Settings!$B$16&lt;MIN(DKW_10Y!$A$2:$A$2918)),NA(),(INDEX(DKW_10Y!$D$2:$D$2918,MATCH($A631,DKW_10Y!$A$2:$A$2918,1))-INDEX(DKW_10Y!$D$2:$D$2918,MATCH(Settings!$B$16,DKW_10Y!$A$2:$A$2918,1)))*100))</f>
        <v/>
      </c>
      <c r="AA631" s="19">
        <f>IF(NOT(ISNUMBER($A631)),NA(),IF(OR($A631&lt;MIN(DKW_10Y!$A$2:$A$2918),$A631&gt;MAX(DKW_10Y!$A$2:$A$2918),Settings!$B$16&lt;MIN(DKW_10Y!$A$2:$A$2918)),NA(),(INDEX(DKW_10Y!$E$2:$E$2918,MATCH($A631,DKW_10Y!$A$2:$A$2918,1))-INDEX(DKW_10Y!$E$2:$E$2918,MATCH(Settings!$B$16,DKW_10Y!$A$2:$A$2918,1)))*100))</f>
        <v/>
      </c>
      <c r="AB631" s="19">
        <f>IF(NOT(ISNUMBER($A631)),NA(),IF(OR($A631&lt;MIN(DKW_10Y!$A$2:$A$2918),$A631&gt;MAX(DKW_10Y!$A$2:$A$2918),Settings!$B$16&lt;MIN(DKW_10Y!$A$2:$A$2918)),NA(),(INDEX(DKW_10Y!$H$2:$H$2918,MATCH($A631,DKW_10Y!$A$2:$A$2918,1))-INDEX(DKW_10Y!$H$2:$H$2918,MATCH(Settings!$B$16,DKW_10Y!$A$2:$A$2918,1)))*100))</f>
        <v/>
      </c>
      <c r="AC631" s="18">
        <f>IF(NOT(ISNUMBER($A631)),NA(),IFERROR(1*INDEX(BBG_Data!$N$2:$N$4000,MATCH($A631,BBG_Data!$M$2:$M$4000,0)),NA()))</f>
        <v/>
      </c>
      <c r="AD631" s="18">
        <f>IF(NOT(ISNUMBER($A631)),NA(),IFERROR(1*INDEX(BBG_Data!$P$2:$P$4000,MATCH($A631,BBG_Data!$O$2:$O$4000,0)),NA()))</f>
        <v/>
      </c>
      <c r="AE631" s="18">
        <f>IF(NOT(ISNUMBER($A631)),NA(),IFERROR(1*INDEX(BBG_Data!$R$2:$R$4000,MATCH($A631,BBG_Data!$Q$2:$Q$4000,0)),NA()))</f>
        <v/>
      </c>
      <c r="AF631" s="20">
        <f>IF(AND(ISNUMBER(B631),ISNUMBER(AC631)),(B631-AC631)*100,NA())</f>
        <v/>
      </c>
      <c r="AG631" s="20">
        <f>IF(AND(ISNUMBER(AE631),ISNUMBER(AD631)),(AE631-AD631)*100,NA())</f>
        <v/>
      </c>
      <c r="AH631" s="19">
        <f>IF(NOT(ISNUMBER($A631)),NA(),IFERROR(INDEX(BBG_Data!$T$2:$T$4000,MATCH($A631,BBG_Data!$S$2:$S$4000,0))*Settings!$B$25,NA()))</f>
        <v/>
      </c>
      <c r="AI631" s="19">
        <f>IF(NOT(ISNUMBER($A631)),NA(),IFERROR(INDEX(BBG_Data!$V$2:$V$4000,MATCH($A631,BBG_Data!$U$2:$U$4000,0))*Settings!$B$25,NA()))</f>
        <v/>
      </c>
      <c r="AJ631" s="19">
        <f>IF(NOT(ISNUMBER($A631)),NA(),IFERROR(1*INDEX(BBG_Data!$X$2:$X$4000,MATCH($A631,BBG_Data!$W$2:$W$4000,0)),NA()))</f>
        <v/>
      </c>
      <c r="AK631" s="19">
        <f>IF(NOT(ISNUMBER($A631)),NA(),IFERROR(1*INDEX(BBG_Data!$Z$2:$Z$4000,MATCH($A631,BBG_Data!$Y$2:$Y$4000,0)),NA()))</f>
        <v/>
      </c>
    </row>
    <row r="632">
      <c r="A632" s="17">
        <f>IF(ISNUMBER(BBG_Data!A632),BBG_Data!A632,"")</f>
        <v/>
      </c>
      <c r="B632" s="18">
        <f>IF(AND(ISNUMBER($A632),ISNUMBER(BBG_Data!B632)),BBG_Data!B632,NA())</f>
        <v/>
      </c>
      <c r="C632" s="18">
        <f>IF(NOT(ISNUMBER($A632)),NA(),IFERROR(1*INDEX(BBG_Data!$D$2:$D$4000,MATCH($A632,BBG_Data!$C$2:$C$4000,0)),NA()))</f>
        <v/>
      </c>
      <c r="D632" s="19">
        <f>IF(NOT(ISNUMBER($A632)),NA(),IFERROR(1*INDEX(BBG_Data!$F$2:$F$4000,MATCH($A632,BBG_Data!$E$2:$E$4000,0)),NA()))</f>
        <v/>
      </c>
      <c r="E632" s="19">
        <f>IF(NOT(ISNUMBER($A632)),NA(),IFERROR(1*INDEX(BBG_Data!$H$2:$H$4000,MATCH($A632,BBG_Data!$G$2:$G$4000,0)),NA()))</f>
        <v/>
      </c>
      <c r="F632" s="20">
        <f>IF(AND(ISNUMBER(B632),ISNUMBER(B631)),IF(B632=B631,"",(B632-B631)*100),"")</f>
        <v/>
      </c>
      <c r="G632" s="20">
        <f>IF(AND(ISNUMBER(C632),ISNUMBER(C631)),IF(C632=C631,"",(C632-C631)*100),"")</f>
        <v/>
      </c>
      <c r="H632" s="20">
        <f>IF(OR(NOT(ISNUMBER($A632)),ROW()-2&lt;Settings!$B$11),NA(),IF(COUNT(OFFSET(F632,1-Settings!$B$11,0,Settings!$B$11,1))&lt;ROUNDUP(Settings!$B$11*Settings!$B$26,0),NA(),STDEV(OFFSET(F632,1-Settings!$B$11,0,Settings!$B$11,1))*SQRT(Settings!$B$13)))</f>
        <v/>
      </c>
      <c r="I632" s="20">
        <f>IF(OR(NOT(ISNUMBER($A632)),ROW()-2&lt;Settings!$B$12),NA(),IF(COUNT(OFFSET(F632,1-Settings!$B$12,0,Settings!$B$12,1))&lt;ROUNDUP(Settings!$B$12*Settings!$B$26,0),NA(),STDEV(OFFSET(F632,1-Settings!$B$12,0,Settings!$B$12,1))*SQRT(Settings!$B$13)))</f>
        <v/>
      </c>
      <c r="J632" s="20">
        <f>IF(OR(NOT(ISNUMBER($A632)),ROW()-2&lt;Settings!$B$11),NA(),IF(COUNT(OFFSET(G632,1-Settings!$B$11,0,Settings!$B$11,1))&lt;ROUNDUP(Settings!$B$11*Settings!$B$26,0),NA(),STDEV(OFFSET(G632,1-Settings!$B$11,0,Settings!$B$11,1))*SQRT(Settings!$B$13)))</f>
        <v/>
      </c>
      <c r="K632" s="20">
        <f>IF(OR(NOT(ISNUMBER($A632)),ROW()-2&lt;Settings!$B$12),NA(),IF(COUNT(OFFSET(G632,1-Settings!$B$12,0,Settings!$B$12,1))&lt;ROUNDUP(Settings!$B$12*Settings!$B$26,0),NA(),STDEV(OFFSET(G632,1-Settings!$B$12,0,Settings!$B$12,1))*SQRT(Settings!$B$13)))</f>
        <v/>
      </c>
      <c r="L632" s="20">
        <f>IF(AND(ISNUMBER(D632),ISNUMBER(H632)),D632-H632,NA())</f>
        <v/>
      </c>
      <c r="M632" s="20">
        <f>IF(AND(ISNUMBER(E632),ISNUMBER(K632)),E632-K632,NA())</f>
        <v/>
      </c>
      <c r="N632" s="20">
        <f>IF(NOT(ISNUMBER($A632)),NA(),IF(COUNT(OFFSET(G632,1,0,Settings!$B$12,1))&lt;ROUNDUP(Settings!$B$12*Settings!$B$26,0),NA(),STDEV(OFFSET(G632,1,0,Settings!$B$12,1))*SQRT(Settings!$B$13)))</f>
        <v/>
      </c>
      <c r="O632" s="20">
        <f>IF(AND(ISNUMBER(E632),ISNUMBER(N632)),E632-N632,NA())</f>
        <v/>
      </c>
      <c r="P632" s="19">
        <f>IF(NOT(ISNUMBER($A632)),NA(),IF(OR($A632&lt;MIN(KW_TP!$A$2:$A$2501),$A632&gt;MAX(KW_TP!$A$2:$A$2501)),NA(),INDEX(KW_TP!$C$2:$C$2501,MATCH($A632,KW_TP!$A$2:$A$2501,1))))</f>
        <v/>
      </c>
      <c r="Q632" s="18">
        <f>IF(NOT(ISNUMBER($A632)),NA(),IFERROR(1*INDEX(BBG_Data!$J$2:$J$4000,MATCH($A632,BBG_Data!$I$2:$I$4000,0)),NA()))</f>
        <v/>
      </c>
      <c r="R632" s="18">
        <f>IF(NOT(ISNUMBER($A632)),NA(),IFERROR(1*INDEX(BBG_Data!$L$2:$L$4000,MATCH($A632,BBG_Data!$K$2:$K$4000,0)),NA()))</f>
        <v/>
      </c>
      <c r="S632" s="20">
        <f>IF(AND(ISNUMBER(B632),ISNUMBER(Q632),ISNUMBER(R632)),(B632-Q632-R632)*100,NA())</f>
        <v/>
      </c>
      <c r="T632" s="20">
        <f>IF(AND(ISNUMBER(B632),Settings!$B$17&gt;0),IF(ISNUMBER(INDEX($B:$B,Settings!$B$17)),(B632-INDEX($B:$B,Settings!$B$17))*100,NA()),NA())</f>
        <v/>
      </c>
      <c r="U632" s="20">
        <f>IF(AND(ISNUMBER(Q632),Settings!$B$17&gt;0),IF(ISNUMBER(INDEX($Q:$Q,Settings!$B$17)),(Q632-INDEX($Q:$Q,Settings!$B$17))*100,NA()),NA())</f>
        <v/>
      </c>
      <c r="V632" s="20">
        <f>IF(AND(ISNUMBER(R632),Settings!$B$17&gt;0),IF(ISNUMBER(INDEX($R:$R,Settings!$B$17)),(R632-INDEX($R:$R,Settings!$B$17))*100,NA()),NA())</f>
        <v/>
      </c>
      <c r="W632" s="20">
        <f>IF(AND(ISNUMBER(P632),Settings!$B$17&gt;0),IF(ISNUMBER(INDEX($P:$P,Settings!$B$17)),P632-INDEX($P:$P,Settings!$B$17),NA()),NA())</f>
        <v/>
      </c>
      <c r="X632" s="19">
        <f>IF(NOT(ISNUMBER($A632)),NA(),IF(OR($A632&lt;MIN(DKW_10Y!$A$2:$A$2918),$A632&gt;MAX(DKW_10Y!$A$2:$A$2918),Settings!$B$16&lt;MIN(DKW_10Y!$A$2:$A$2918)),NA(),(INDEX(DKW_10Y!$B$2:$B$2918,MATCH($A632,DKW_10Y!$A$2:$A$2918,1))-INDEX(DKW_10Y!$B$2:$B$2918,MATCH(Settings!$B$16,DKW_10Y!$A$2:$A$2918,1)))*100))</f>
        <v/>
      </c>
      <c r="Y632" s="19">
        <f>IF(NOT(ISNUMBER($A632)),NA(),IF(OR($A632&lt;MIN(DKW_10Y!$A$2:$A$2918),$A632&gt;MAX(DKW_10Y!$A$2:$A$2918),Settings!$B$16&lt;MIN(DKW_10Y!$A$2:$A$2918)),NA(),(INDEX(DKW_10Y!$C$2:$C$2918,MATCH($A632,DKW_10Y!$A$2:$A$2918,1))-INDEX(DKW_10Y!$C$2:$C$2918,MATCH(Settings!$B$16,DKW_10Y!$A$2:$A$2918,1)))*100))</f>
        <v/>
      </c>
      <c r="Z632" s="19">
        <f>IF(NOT(ISNUMBER($A632)),NA(),IF(OR($A632&lt;MIN(DKW_10Y!$A$2:$A$2918),$A632&gt;MAX(DKW_10Y!$A$2:$A$2918),Settings!$B$16&lt;MIN(DKW_10Y!$A$2:$A$2918)),NA(),(INDEX(DKW_10Y!$D$2:$D$2918,MATCH($A632,DKW_10Y!$A$2:$A$2918,1))-INDEX(DKW_10Y!$D$2:$D$2918,MATCH(Settings!$B$16,DKW_10Y!$A$2:$A$2918,1)))*100))</f>
        <v/>
      </c>
      <c r="AA632" s="19">
        <f>IF(NOT(ISNUMBER($A632)),NA(),IF(OR($A632&lt;MIN(DKW_10Y!$A$2:$A$2918),$A632&gt;MAX(DKW_10Y!$A$2:$A$2918),Settings!$B$16&lt;MIN(DKW_10Y!$A$2:$A$2918)),NA(),(INDEX(DKW_10Y!$E$2:$E$2918,MATCH($A632,DKW_10Y!$A$2:$A$2918,1))-INDEX(DKW_10Y!$E$2:$E$2918,MATCH(Settings!$B$16,DKW_10Y!$A$2:$A$2918,1)))*100))</f>
        <v/>
      </c>
      <c r="AB632" s="19">
        <f>IF(NOT(ISNUMBER($A632)),NA(),IF(OR($A632&lt;MIN(DKW_10Y!$A$2:$A$2918),$A632&gt;MAX(DKW_10Y!$A$2:$A$2918),Settings!$B$16&lt;MIN(DKW_10Y!$A$2:$A$2918)),NA(),(INDEX(DKW_10Y!$H$2:$H$2918,MATCH($A632,DKW_10Y!$A$2:$A$2918,1))-INDEX(DKW_10Y!$H$2:$H$2918,MATCH(Settings!$B$16,DKW_10Y!$A$2:$A$2918,1)))*100))</f>
        <v/>
      </c>
      <c r="AC632" s="18">
        <f>IF(NOT(ISNUMBER($A632)),NA(),IFERROR(1*INDEX(BBG_Data!$N$2:$N$4000,MATCH($A632,BBG_Data!$M$2:$M$4000,0)),NA()))</f>
        <v/>
      </c>
      <c r="AD632" s="18">
        <f>IF(NOT(ISNUMBER($A632)),NA(),IFERROR(1*INDEX(BBG_Data!$P$2:$P$4000,MATCH($A632,BBG_Data!$O$2:$O$4000,0)),NA()))</f>
        <v/>
      </c>
      <c r="AE632" s="18">
        <f>IF(NOT(ISNUMBER($A632)),NA(),IFERROR(1*INDEX(BBG_Data!$R$2:$R$4000,MATCH($A632,BBG_Data!$Q$2:$Q$4000,0)),NA()))</f>
        <v/>
      </c>
      <c r="AF632" s="20">
        <f>IF(AND(ISNUMBER(B632),ISNUMBER(AC632)),(B632-AC632)*100,NA())</f>
        <v/>
      </c>
      <c r="AG632" s="20">
        <f>IF(AND(ISNUMBER(AE632),ISNUMBER(AD632)),(AE632-AD632)*100,NA())</f>
        <v/>
      </c>
      <c r="AH632" s="19">
        <f>IF(NOT(ISNUMBER($A632)),NA(),IFERROR(INDEX(BBG_Data!$T$2:$T$4000,MATCH($A632,BBG_Data!$S$2:$S$4000,0))*Settings!$B$25,NA()))</f>
        <v/>
      </c>
      <c r="AI632" s="19">
        <f>IF(NOT(ISNUMBER($A632)),NA(),IFERROR(INDEX(BBG_Data!$V$2:$V$4000,MATCH($A632,BBG_Data!$U$2:$U$4000,0))*Settings!$B$25,NA()))</f>
        <v/>
      </c>
      <c r="AJ632" s="19">
        <f>IF(NOT(ISNUMBER($A632)),NA(),IFERROR(1*INDEX(BBG_Data!$X$2:$X$4000,MATCH($A632,BBG_Data!$W$2:$W$4000,0)),NA()))</f>
        <v/>
      </c>
      <c r="AK632" s="19">
        <f>IF(NOT(ISNUMBER($A632)),NA(),IFERROR(1*INDEX(BBG_Data!$Z$2:$Z$4000,MATCH($A632,BBG_Data!$Y$2:$Y$4000,0)),NA()))</f>
        <v/>
      </c>
    </row>
    <row r="633">
      <c r="A633" s="17">
        <f>IF(ISNUMBER(BBG_Data!A633),BBG_Data!A633,"")</f>
        <v/>
      </c>
      <c r="B633" s="18">
        <f>IF(AND(ISNUMBER($A633),ISNUMBER(BBG_Data!B633)),BBG_Data!B633,NA())</f>
        <v/>
      </c>
      <c r="C633" s="18">
        <f>IF(NOT(ISNUMBER($A633)),NA(),IFERROR(1*INDEX(BBG_Data!$D$2:$D$4000,MATCH($A633,BBG_Data!$C$2:$C$4000,0)),NA()))</f>
        <v/>
      </c>
      <c r="D633" s="19">
        <f>IF(NOT(ISNUMBER($A633)),NA(),IFERROR(1*INDEX(BBG_Data!$F$2:$F$4000,MATCH($A633,BBG_Data!$E$2:$E$4000,0)),NA()))</f>
        <v/>
      </c>
      <c r="E633" s="19">
        <f>IF(NOT(ISNUMBER($A633)),NA(),IFERROR(1*INDEX(BBG_Data!$H$2:$H$4000,MATCH($A633,BBG_Data!$G$2:$G$4000,0)),NA()))</f>
        <v/>
      </c>
      <c r="F633" s="20">
        <f>IF(AND(ISNUMBER(B633),ISNUMBER(B632)),IF(B633=B632,"",(B633-B632)*100),"")</f>
        <v/>
      </c>
      <c r="G633" s="20">
        <f>IF(AND(ISNUMBER(C633),ISNUMBER(C632)),IF(C633=C632,"",(C633-C632)*100),"")</f>
        <v/>
      </c>
      <c r="H633" s="20">
        <f>IF(OR(NOT(ISNUMBER($A633)),ROW()-2&lt;Settings!$B$11),NA(),IF(COUNT(OFFSET(F633,1-Settings!$B$11,0,Settings!$B$11,1))&lt;ROUNDUP(Settings!$B$11*Settings!$B$26,0),NA(),STDEV(OFFSET(F633,1-Settings!$B$11,0,Settings!$B$11,1))*SQRT(Settings!$B$13)))</f>
        <v/>
      </c>
      <c r="I633" s="20">
        <f>IF(OR(NOT(ISNUMBER($A633)),ROW()-2&lt;Settings!$B$12),NA(),IF(COUNT(OFFSET(F633,1-Settings!$B$12,0,Settings!$B$12,1))&lt;ROUNDUP(Settings!$B$12*Settings!$B$26,0),NA(),STDEV(OFFSET(F633,1-Settings!$B$12,0,Settings!$B$12,1))*SQRT(Settings!$B$13)))</f>
        <v/>
      </c>
      <c r="J633" s="20">
        <f>IF(OR(NOT(ISNUMBER($A633)),ROW()-2&lt;Settings!$B$11),NA(),IF(COUNT(OFFSET(G633,1-Settings!$B$11,0,Settings!$B$11,1))&lt;ROUNDUP(Settings!$B$11*Settings!$B$26,0),NA(),STDEV(OFFSET(G633,1-Settings!$B$11,0,Settings!$B$11,1))*SQRT(Settings!$B$13)))</f>
        <v/>
      </c>
      <c r="K633" s="20">
        <f>IF(OR(NOT(ISNUMBER($A633)),ROW()-2&lt;Settings!$B$12),NA(),IF(COUNT(OFFSET(G633,1-Settings!$B$12,0,Settings!$B$12,1))&lt;ROUNDUP(Settings!$B$12*Settings!$B$26,0),NA(),STDEV(OFFSET(G633,1-Settings!$B$12,0,Settings!$B$12,1))*SQRT(Settings!$B$13)))</f>
        <v/>
      </c>
      <c r="L633" s="20">
        <f>IF(AND(ISNUMBER(D633),ISNUMBER(H633)),D633-H633,NA())</f>
        <v/>
      </c>
      <c r="M633" s="20">
        <f>IF(AND(ISNUMBER(E633),ISNUMBER(K633)),E633-K633,NA())</f>
        <v/>
      </c>
      <c r="N633" s="20">
        <f>IF(NOT(ISNUMBER($A633)),NA(),IF(COUNT(OFFSET(G633,1,0,Settings!$B$12,1))&lt;ROUNDUP(Settings!$B$12*Settings!$B$26,0),NA(),STDEV(OFFSET(G633,1,0,Settings!$B$12,1))*SQRT(Settings!$B$13)))</f>
        <v/>
      </c>
      <c r="O633" s="20">
        <f>IF(AND(ISNUMBER(E633),ISNUMBER(N633)),E633-N633,NA())</f>
        <v/>
      </c>
      <c r="P633" s="19">
        <f>IF(NOT(ISNUMBER($A633)),NA(),IF(OR($A633&lt;MIN(KW_TP!$A$2:$A$2501),$A633&gt;MAX(KW_TP!$A$2:$A$2501)),NA(),INDEX(KW_TP!$C$2:$C$2501,MATCH($A633,KW_TP!$A$2:$A$2501,1))))</f>
        <v/>
      </c>
      <c r="Q633" s="18">
        <f>IF(NOT(ISNUMBER($A633)),NA(),IFERROR(1*INDEX(BBG_Data!$J$2:$J$4000,MATCH($A633,BBG_Data!$I$2:$I$4000,0)),NA()))</f>
        <v/>
      </c>
      <c r="R633" s="18">
        <f>IF(NOT(ISNUMBER($A633)),NA(),IFERROR(1*INDEX(BBG_Data!$L$2:$L$4000,MATCH($A633,BBG_Data!$K$2:$K$4000,0)),NA()))</f>
        <v/>
      </c>
      <c r="S633" s="20">
        <f>IF(AND(ISNUMBER(B633),ISNUMBER(Q633),ISNUMBER(R633)),(B633-Q633-R633)*100,NA())</f>
        <v/>
      </c>
      <c r="T633" s="20">
        <f>IF(AND(ISNUMBER(B633),Settings!$B$17&gt;0),IF(ISNUMBER(INDEX($B:$B,Settings!$B$17)),(B633-INDEX($B:$B,Settings!$B$17))*100,NA()),NA())</f>
        <v/>
      </c>
      <c r="U633" s="20">
        <f>IF(AND(ISNUMBER(Q633),Settings!$B$17&gt;0),IF(ISNUMBER(INDEX($Q:$Q,Settings!$B$17)),(Q633-INDEX($Q:$Q,Settings!$B$17))*100,NA()),NA())</f>
        <v/>
      </c>
      <c r="V633" s="20">
        <f>IF(AND(ISNUMBER(R633),Settings!$B$17&gt;0),IF(ISNUMBER(INDEX($R:$R,Settings!$B$17)),(R633-INDEX($R:$R,Settings!$B$17))*100,NA()),NA())</f>
        <v/>
      </c>
      <c r="W633" s="20">
        <f>IF(AND(ISNUMBER(P633),Settings!$B$17&gt;0),IF(ISNUMBER(INDEX($P:$P,Settings!$B$17)),P633-INDEX($P:$P,Settings!$B$17),NA()),NA())</f>
        <v/>
      </c>
      <c r="X633" s="19">
        <f>IF(NOT(ISNUMBER($A633)),NA(),IF(OR($A633&lt;MIN(DKW_10Y!$A$2:$A$2918),$A633&gt;MAX(DKW_10Y!$A$2:$A$2918),Settings!$B$16&lt;MIN(DKW_10Y!$A$2:$A$2918)),NA(),(INDEX(DKW_10Y!$B$2:$B$2918,MATCH($A633,DKW_10Y!$A$2:$A$2918,1))-INDEX(DKW_10Y!$B$2:$B$2918,MATCH(Settings!$B$16,DKW_10Y!$A$2:$A$2918,1)))*100))</f>
        <v/>
      </c>
      <c r="Y633" s="19">
        <f>IF(NOT(ISNUMBER($A633)),NA(),IF(OR($A633&lt;MIN(DKW_10Y!$A$2:$A$2918),$A633&gt;MAX(DKW_10Y!$A$2:$A$2918),Settings!$B$16&lt;MIN(DKW_10Y!$A$2:$A$2918)),NA(),(INDEX(DKW_10Y!$C$2:$C$2918,MATCH($A633,DKW_10Y!$A$2:$A$2918,1))-INDEX(DKW_10Y!$C$2:$C$2918,MATCH(Settings!$B$16,DKW_10Y!$A$2:$A$2918,1)))*100))</f>
        <v/>
      </c>
      <c r="Z633" s="19">
        <f>IF(NOT(ISNUMBER($A633)),NA(),IF(OR($A633&lt;MIN(DKW_10Y!$A$2:$A$2918),$A633&gt;MAX(DKW_10Y!$A$2:$A$2918),Settings!$B$16&lt;MIN(DKW_10Y!$A$2:$A$2918)),NA(),(INDEX(DKW_10Y!$D$2:$D$2918,MATCH($A633,DKW_10Y!$A$2:$A$2918,1))-INDEX(DKW_10Y!$D$2:$D$2918,MATCH(Settings!$B$16,DKW_10Y!$A$2:$A$2918,1)))*100))</f>
        <v/>
      </c>
      <c r="AA633" s="19">
        <f>IF(NOT(ISNUMBER($A633)),NA(),IF(OR($A633&lt;MIN(DKW_10Y!$A$2:$A$2918),$A633&gt;MAX(DKW_10Y!$A$2:$A$2918),Settings!$B$16&lt;MIN(DKW_10Y!$A$2:$A$2918)),NA(),(INDEX(DKW_10Y!$E$2:$E$2918,MATCH($A633,DKW_10Y!$A$2:$A$2918,1))-INDEX(DKW_10Y!$E$2:$E$2918,MATCH(Settings!$B$16,DKW_10Y!$A$2:$A$2918,1)))*100))</f>
        <v/>
      </c>
      <c r="AB633" s="19">
        <f>IF(NOT(ISNUMBER($A633)),NA(),IF(OR($A633&lt;MIN(DKW_10Y!$A$2:$A$2918),$A633&gt;MAX(DKW_10Y!$A$2:$A$2918),Settings!$B$16&lt;MIN(DKW_10Y!$A$2:$A$2918)),NA(),(INDEX(DKW_10Y!$H$2:$H$2918,MATCH($A633,DKW_10Y!$A$2:$A$2918,1))-INDEX(DKW_10Y!$H$2:$H$2918,MATCH(Settings!$B$16,DKW_10Y!$A$2:$A$2918,1)))*100))</f>
        <v/>
      </c>
      <c r="AC633" s="18">
        <f>IF(NOT(ISNUMBER($A633)),NA(),IFERROR(1*INDEX(BBG_Data!$N$2:$N$4000,MATCH($A633,BBG_Data!$M$2:$M$4000,0)),NA()))</f>
        <v/>
      </c>
      <c r="AD633" s="18">
        <f>IF(NOT(ISNUMBER($A633)),NA(),IFERROR(1*INDEX(BBG_Data!$P$2:$P$4000,MATCH($A633,BBG_Data!$O$2:$O$4000,0)),NA()))</f>
        <v/>
      </c>
      <c r="AE633" s="18">
        <f>IF(NOT(ISNUMBER($A633)),NA(),IFERROR(1*INDEX(BBG_Data!$R$2:$R$4000,MATCH($A633,BBG_Data!$Q$2:$Q$4000,0)),NA()))</f>
        <v/>
      </c>
      <c r="AF633" s="20">
        <f>IF(AND(ISNUMBER(B633),ISNUMBER(AC633)),(B633-AC633)*100,NA())</f>
        <v/>
      </c>
      <c r="AG633" s="20">
        <f>IF(AND(ISNUMBER(AE633),ISNUMBER(AD633)),(AE633-AD633)*100,NA())</f>
        <v/>
      </c>
      <c r="AH633" s="19">
        <f>IF(NOT(ISNUMBER($A633)),NA(),IFERROR(INDEX(BBG_Data!$T$2:$T$4000,MATCH($A633,BBG_Data!$S$2:$S$4000,0))*Settings!$B$25,NA()))</f>
        <v/>
      </c>
      <c r="AI633" s="19">
        <f>IF(NOT(ISNUMBER($A633)),NA(),IFERROR(INDEX(BBG_Data!$V$2:$V$4000,MATCH($A633,BBG_Data!$U$2:$U$4000,0))*Settings!$B$25,NA()))</f>
        <v/>
      </c>
      <c r="AJ633" s="19">
        <f>IF(NOT(ISNUMBER($A633)),NA(),IFERROR(1*INDEX(BBG_Data!$X$2:$X$4000,MATCH($A633,BBG_Data!$W$2:$W$4000,0)),NA()))</f>
        <v/>
      </c>
      <c r="AK633" s="19">
        <f>IF(NOT(ISNUMBER($A633)),NA(),IFERROR(1*INDEX(BBG_Data!$Z$2:$Z$4000,MATCH($A633,BBG_Data!$Y$2:$Y$4000,0)),NA()))</f>
        <v/>
      </c>
    </row>
    <row r="634">
      <c r="A634" s="17">
        <f>IF(ISNUMBER(BBG_Data!A634),BBG_Data!A634,"")</f>
        <v/>
      </c>
      <c r="B634" s="18">
        <f>IF(AND(ISNUMBER($A634),ISNUMBER(BBG_Data!B634)),BBG_Data!B634,NA())</f>
        <v/>
      </c>
      <c r="C634" s="18">
        <f>IF(NOT(ISNUMBER($A634)),NA(),IFERROR(1*INDEX(BBG_Data!$D$2:$D$4000,MATCH($A634,BBG_Data!$C$2:$C$4000,0)),NA()))</f>
        <v/>
      </c>
      <c r="D634" s="19">
        <f>IF(NOT(ISNUMBER($A634)),NA(),IFERROR(1*INDEX(BBG_Data!$F$2:$F$4000,MATCH($A634,BBG_Data!$E$2:$E$4000,0)),NA()))</f>
        <v/>
      </c>
      <c r="E634" s="19">
        <f>IF(NOT(ISNUMBER($A634)),NA(),IFERROR(1*INDEX(BBG_Data!$H$2:$H$4000,MATCH($A634,BBG_Data!$G$2:$G$4000,0)),NA()))</f>
        <v/>
      </c>
      <c r="F634" s="20">
        <f>IF(AND(ISNUMBER(B634),ISNUMBER(B633)),IF(B634=B633,"",(B634-B633)*100),"")</f>
        <v/>
      </c>
      <c r="G634" s="20">
        <f>IF(AND(ISNUMBER(C634),ISNUMBER(C633)),IF(C634=C633,"",(C634-C633)*100),"")</f>
        <v/>
      </c>
      <c r="H634" s="20">
        <f>IF(OR(NOT(ISNUMBER($A634)),ROW()-2&lt;Settings!$B$11),NA(),IF(COUNT(OFFSET(F634,1-Settings!$B$11,0,Settings!$B$11,1))&lt;ROUNDUP(Settings!$B$11*Settings!$B$26,0),NA(),STDEV(OFFSET(F634,1-Settings!$B$11,0,Settings!$B$11,1))*SQRT(Settings!$B$13)))</f>
        <v/>
      </c>
      <c r="I634" s="20">
        <f>IF(OR(NOT(ISNUMBER($A634)),ROW()-2&lt;Settings!$B$12),NA(),IF(COUNT(OFFSET(F634,1-Settings!$B$12,0,Settings!$B$12,1))&lt;ROUNDUP(Settings!$B$12*Settings!$B$26,0),NA(),STDEV(OFFSET(F634,1-Settings!$B$12,0,Settings!$B$12,1))*SQRT(Settings!$B$13)))</f>
        <v/>
      </c>
      <c r="J634" s="20">
        <f>IF(OR(NOT(ISNUMBER($A634)),ROW()-2&lt;Settings!$B$11),NA(),IF(COUNT(OFFSET(G634,1-Settings!$B$11,0,Settings!$B$11,1))&lt;ROUNDUP(Settings!$B$11*Settings!$B$26,0),NA(),STDEV(OFFSET(G634,1-Settings!$B$11,0,Settings!$B$11,1))*SQRT(Settings!$B$13)))</f>
        <v/>
      </c>
      <c r="K634" s="20">
        <f>IF(OR(NOT(ISNUMBER($A634)),ROW()-2&lt;Settings!$B$12),NA(),IF(COUNT(OFFSET(G634,1-Settings!$B$12,0,Settings!$B$12,1))&lt;ROUNDUP(Settings!$B$12*Settings!$B$26,0),NA(),STDEV(OFFSET(G634,1-Settings!$B$12,0,Settings!$B$12,1))*SQRT(Settings!$B$13)))</f>
        <v/>
      </c>
      <c r="L634" s="20">
        <f>IF(AND(ISNUMBER(D634),ISNUMBER(H634)),D634-H634,NA())</f>
        <v/>
      </c>
      <c r="M634" s="20">
        <f>IF(AND(ISNUMBER(E634),ISNUMBER(K634)),E634-K634,NA())</f>
        <v/>
      </c>
      <c r="N634" s="20">
        <f>IF(NOT(ISNUMBER($A634)),NA(),IF(COUNT(OFFSET(G634,1,0,Settings!$B$12,1))&lt;ROUNDUP(Settings!$B$12*Settings!$B$26,0),NA(),STDEV(OFFSET(G634,1,0,Settings!$B$12,1))*SQRT(Settings!$B$13)))</f>
        <v/>
      </c>
      <c r="O634" s="20">
        <f>IF(AND(ISNUMBER(E634),ISNUMBER(N634)),E634-N634,NA())</f>
        <v/>
      </c>
      <c r="P634" s="19">
        <f>IF(NOT(ISNUMBER($A634)),NA(),IF(OR($A634&lt;MIN(KW_TP!$A$2:$A$2501),$A634&gt;MAX(KW_TP!$A$2:$A$2501)),NA(),INDEX(KW_TP!$C$2:$C$2501,MATCH($A634,KW_TP!$A$2:$A$2501,1))))</f>
        <v/>
      </c>
      <c r="Q634" s="18">
        <f>IF(NOT(ISNUMBER($A634)),NA(),IFERROR(1*INDEX(BBG_Data!$J$2:$J$4000,MATCH($A634,BBG_Data!$I$2:$I$4000,0)),NA()))</f>
        <v/>
      </c>
      <c r="R634" s="18">
        <f>IF(NOT(ISNUMBER($A634)),NA(),IFERROR(1*INDEX(BBG_Data!$L$2:$L$4000,MATCH($A634,BBG_Data!$K$2:$K$4000,0)),NA()))</f>
        <v/>
      </c>
      <c r="S634" s="20">
        <f>IF(AND(ISNUMBER(B634),ISNUMBER(Q634),ISNUMBER(R634)),(B634-Q634-R634)*100,NA())</f>
        <v/>
      </c>
      <c r="T634" s="20">
        <f>IF(AND(ISNUMBER(B634),Settings!$B$17&gt;0),IF(ISNUMBER(INDEX($B:$B,Settings!$B$17)),(B634-INDEX($B:$B,Settings!$B$17))*100,NA()),NA())</f>
        <v/>
      </c>
      <c r="U634" s="20">
        <f>IF(AND(ISNUMBER(Q634),Settings!$B$17&gt;0),IF(ISNUMBER(INDEX($Q:$Q,Settings!$B$17)),(Q634-INDEX($Q:$Q,Settings!$B$17))*100,NA()),NA())</f>
        <v/>
      </c>
      <c r="V634" s="20">
        <f>IF(AND(ISNUMBER(R634),Settings!$B$17&gt;0),IF(ISNUMBER(INDEX($R:$R,Settings!$B$17)),(R634-INDEX($R:$R,Settings!$B$17))*100,NA()),NA())</f>
        <v/>
      </c>
      <c r="W634" s="20">
        <f>IF(AND(ISNUMBER(P634),Settings!$B$17&gt;0),IF(ISNUMBER(INDEX($P:$P,Settings!$B$17)),P634-INDEX($P:$P,Settings!$B$17),NA()),NA())</f>
        <v/>
      </c>
      <c r="X634" s="19">
        <f>IF(NOT(ISNUMBER($A634)),NA(),IF(OR($A634&lt;MIN(DKW_10Y!$A$2:$A$2918),$A634&gt;MAX(DKW_10Y!$A$2:$A$2918),Settings!$B$16&lt;MIN(DKW_10Y!$A$2:$A$2918)),NA(),(INDEX(DKW_10Y!$B$2:$B$2918,MATCH($A634,DKW_10Y!$A$2:$A$2918,1))-INDEX(DKW_10Y!$B$2:$B$2918,MATCH(Settings!$B$16,DKW_10Y!$A$2:$A$2918,1)))*100))</f>
        <v/>
      </c>
      <c r="Y634" s="19">
        <f>IF(NOT(ISNUMBER($A634)),NA(),IF(OR($A634&lt;MIN(DKW_10Y!$A$2:$A$2918),$A634&gt;MAX(DKW_10Y!$A$2:$A$2918),Settings!$B$16&lt;MIN(DKW_10Y!$A$2:$A$2918)),NA(),(INDEX(DKW_10Y!$C$2:$C$2918,MATCH($A634,DKW_10Y!$A$2:$A$2918,1))-INDEX(DKW_10Y!$C$2:$C$2918,MATCH(Settings!$B$16,DKW_10Y!$A$2:$A$2918,1)))*100))</f>
        <v/>
      </c>
      <c r="Z634" s="19">
        <f>IF(NOT(ISNUMBER($A634)),NA(),IF(OR($A634&lt;MIN(DKW_10Y!$A$2:$A$2918),$A634&gt;MAX(DKW_10Y!$A$2:$A$2918),Settings!$B$16&lt;MIN(DKW_10Y!$A$2:$A$2918)),NA(),(INDEX(DKW_10Y!$D$2:$D$2918,MATCH($A634,DKW_10Y!$A$2:$A$2918,1))-INDEX(DKW_10Y!$D$2:$D$2918,MATCH(Settings!$B$16,DKW_10Y!$A$2:$A$2918,1)))*100))</f>
        <v/>
      </c>
      <c r="AA634" s="19">
        <f>IF(NOT(ISNUMBER($A634)),NA(),IF(OR($A634&lt;MIN(DKW_10Y!$A$2:$A$2918),$A634&gt;MAX(DKW_10Y!$A$2:$A$2918),Settings!$B$16&lt;MIN(DKW_10Y!$A$2:$A$2918)),NA(),(INDEX(DKW_10Y!$E$2:$E$2918,MATCH($A634,DKW_10Y!$A$2:$A$2918,1))-INDEX(DKW_10Y!$E$2:$E$2918,MATCH(Settings!$B$16,DKW_10Y!$A$2:$A$2918,1)))*100))</f>
        <v/>
      </c>
      <c r="AB634" s="19">
        <f>IF(NOT(ISNUMBER($A634)),NA(),IF(OR($A634&lt;MIN(DKW_10Y!$A$2:$A$2918),$A634&gt;MAX(DKW_10Y!$A$2:$A$2918),Settings!$B$16&lt;MIN(DKW_10Y!$A$2:$A$2918)),NA(),(INDEX(DKW_10Y!$H$2:$H$2918,MATCH($A634,DKW_10Y!$A$2:$A$2918,1))-INDEX(DKW_10Y!$H$2:$H$2918,MATCH(Settings!$B$16,DKW_10Y!$A$2:$A$2918,1)))*100))</f>
        <v/>
      </c>
      <c r="AC634" s="18">
        <f>IF(NOT(ISNUMBER($A634)),NA(),IFERROR(1*INDEX(BBG_Data!$N$2:$N$4000,MATCH($A634,BBG_Data!$M$2:$M$4000,0)),NA()))</f>
        <v/>
      </c>
      <c r="AD634" s="18">
        <f>IF(NOT(ISNUMBER($A634)),NA(),IFERROR(1*INDEX(BBG_Data!$P$2:$P$4000,MATCH($A634,BBG_Data!$O$2:$O$4000,0)),NA()))</f>
        <v/>
      </c>
      <c r="AE634" s="18">
        <f>IF(NOT(ISNUMBER($A634)),NA(),IFERROR(1*INDEX(BBG_Data!$R$2:$R$4000,MATCH($A634,BBG_Data!$Q$2:$Q$4000,0)),NA()))</f>
        <v/>
      </c>
      <c r="AF634" s="20">
        <f>IF(AND(ISNUMBER(B634),ISNUMBER(AC634)),(B634-AC634)*100,NA())</f>
        <v/>
      </c>
      <c r="AG634" s="20">
        <f>IF(AND(ISNUMBER(AE634),ISNUMBER(AD634)),(AE634-AD634)*100,NA())</f>
        <v/>
      </c>
      <c r="AH634" s="19">
        <f>IF(NOT(ISNUMBER($A634)),NA(),IFERROR(INDEX(BBG_Data!$T$2:$T$4000,MATCH($A634,BBG_Data!$S$2:$S$4000,0))*Settings!$B$25,NA()))</f>
        <v/>
      </c>
      <c r="AI634" s="19">
        <f>IF(NOT(ISNUMBER($A634)),NA(),IFERROR(INDEX(BBG_Data!$V$2:$V$4000,MATCH($A634,BBG_Data!$U$2:$U$4000,0))*Settings!$B$25,NA()))</f>
        <v/>
      </c>
      <c r="AJ634" s="19">
        <f>IF(NOT(ISNUMBER($A634)),NA(),IFERROR(1*INDEX(BBG_Data!$X$2:$X$4000,MATCH($A634,BBG_Data!$W$2:$W$4000,0)),NA()))</f>
        <v/>
      </c>
      <c r="AK634" s="19">
        <f>IF(NOT(ISNUMBER($A634)),NA(),IFERROR(1*INDEX(BBG_Data!$Z$2:$Z$4000,MATCH($A634,BBG_Data!$Y$2:$Y$4000,0)),NA()))</f>
        <v/>
      </c>
    </row>
    <row r="635">
      <c r="A635" s="17">
        <f>IF(ISNUMBER(BBG_Data!A635),BBG_Data!A635,"")</f>
        <v/>
      </c>
      <c r="B635" s="18">
        <f>IF(AND(ISNUMBER($A635),ISNUMBER(BBG_Data!B635)),BBG_Data!B635,NA())</f>
        <v/>
      </c>
      <c r="C635" s="18">
        <f>IF(NOT(ISNUMBER($A635)),NA(),IFERROR(1*INDEX(BBG_Data!$D$2:$D$4000,MATCH($A635,BBG_Data!$C$2:$C$4000,0)),NA()))</f>
        <v/>
      </c>
      <c r="D635" s="19">
        <f>IF(NOT(ISNUMBER($A635)),NA(),IFERROR(1*INDEX(BBG_Data!$F$2:$F$4000,MATCH($A635,BBG_Data!$E$2:$E$4000,0)),NA()))</f>
        <v/>
      </c>
      <c r="E635" s="19">
        <f>IF(NOT(ISNUMBER($A635)),NA(),IFERROR(1*INDEX(BBG_Data!$H$2:$H$4000,MATCH($A635,BBG_Data!$G$2:$G$4000,0)),NA()))</f>
        <v/>
      </c>
      <c r="F635" s="20">
        <f>IF(AND(ISNUMBER(B635),ISNUMBER(B634)),IF(B635=B634,"",(B635-B634)*100),"")</f>
        <v/>
      </c>
      <c r="G635" s="20">
        <f>IF(AND(ISNUMBER(C635),ISNUMBER(C634)),IF(C635=C634,"",(C635-C634)*100),"")</f>
        <v/>
      </c>
      <c r="H635" s="20">
        <f>IF(OR(NOT(ISNUMBER($A635)),ROW()-2&lt;Settings!$B$11),NA(),IF(COUNT(OFFSET(F635,1-Settings!$B$11,0,Settings!$B$11,1))&lt;ROUNDUP(Settings!$B$11*Settings!$B$26,0),NA(),STDEV(OFFSET(F635,1-Settings!$B$11,0,Settings!$B$11,1))*SQRT(Settings!$B$13)))</f>
        <v/>
      </c>
      <c r="I635" s="20">
        <f>IF(OR(NOT(ISNUMBER($A635)),ROW()-2&lt;Settings!$B$12),NA(),IF(COUNT(OFFSET(F635,1-Settings!$B$12,0,Settings!$B$12,1))&lt;ROUNDUP(Settings!$B$12*Settings!$B$26,0),NA(),STDEV(OFFSET(F635,1-Settings!$B$12,0,Settings!$B$12,1))*SQRT(Settings!$B$13)))</f>
        <v/>
      </c>
      <c r="J635" s="20">
        <f>IF(OR(NOT(ISNUMBER($A635)),ROW()-2&lt;Settings!$B$11),NA(),IF(COUNT(OFFSET(G635,1-Settings!$B$11,0,Settings!$B$11,1))&lt;ROUNDUP(Settings!$B$11*Settings!$B$26,0),NA(),STDEV(OFFSET(G635,1-Settings!$B$11,0,Settings!$B$11,1))*SQRT(Settings!$B$13)))</f>
        <v/>
      </c>
      <c r="K635" s="20">
        <f>IF(OR(NOT(ISNUMBER($A635)),ROW()-2&lt;Settings!$B$12),NA(),IF(COUNT(OFFSET(G635,1-Settings!$B$12,0,Settings!$B$12,1))&lt;ROUNDUP(Settings!$B$12*Settings!$B$26,0),NA(),STDEV(OFFSET(G635,1-Settings!$B$12,0,Settings!$B$12,1))*SQRT(Settings!$B$13)))</f>
        <v/>
      </c>
      <c r="L635" s="20">
        <f>IF(AND(ISNUMBER(D635),ISNUMBER(H635)),D635-H635,NA())</f>
        <v/>
      </c>
      <c r="M635" s="20">
        <f>IF(AND(ISNUMBER(E635),ISNUMBER(K635)),E635-K635,NA())</f>
        <v/>
      </c>
      <c r="N635" s="20">
        <f>IF(NOT(ISNUMBER($A635)),NA(),IF(COUNT(OFFSET(G635,1,0,Settings!$B$12,1))&lt;ROUNDUP(Settings!$B$12*Settings!$B$26,0),NA(),STDEV(OFFSET(G635,1,0,Settings!$B$12,1))*SQRT(Settings!$B$13)))</f>
        <v/>
      </c>
      <c r="O635" s="20">
        <f>IF(AND(ISNUMBER(E635),ISNUMBER(N635)),E635-N635,NA())</f>
        <v/>
      </c>
      <c r="P635" s="19">
        <f>IF(NOT(ISNUMBER($A635)),NA(),IF(OR($A635&lt;MIN(KW_TP!$A$2:$A$2501),$A635&gt;MAX(KW_TP!$A$2:$A$2501)),NA(),INDEX(KW_TP!$C$2:$C$2501,MATCH($A635,KW_TP!$A$2:$A$2501,1))))</f>
        <v/>
      </c>
      <c r="Q635" s="18">
        <f>IF(NOT(ISNUMBER($A635)),NA(),IFERROR(1*INDEX(BBG_Data!$J$2:$J$4000,MATCH($A635,BBG_Data!$I$2:$I$4000,0)),NA()))</f>
        <v/>
      </c>
      <c r="R635" s="18">
        <f>IF(NOT(ISNUMBER($A635)),NA(),IFERROR(1*INDEX(BBG_Data!$L$2:$L$4000,MATCH($A635,BBG_Data!$K$2:$K$4000,0)),NA()))</f>
        <v/>
      </c>
      <c r="S635" s="20">
        <f>IF(AND(ISNUMBER(B635),ISNUMBER(Q635),ISNUMBER(R635)),(B635-Q635-R635)*100,NA())</f>
        <v/>
      </c>
      <c r="T635" s="20">
        <f>IF(AND(ISNUMBER(B635),Settings!$B$17&gt;0),IF(ISNUMBER(INDEX($B:$B,Settings!$B$17)),(B635-INDEX($B:$B,Settings!$B$17))*100,NA()),NA())</f>
        <v/>
      </c>
      <c r="U635" s="20">
        <f>IF(AND(ISNUMBER(Q635),Settings!$B$17&gt;0),IF(ISNUMBER(INDEX($Q:$Q,Settings!$B$17)),(Q635-INDEX($Q:$Q,Settings!$B$17))*100,NA()),NA())</f>
        <v/>
      </c>
      <c r="V635" s="20">
        <f>IF(AND(ISNUMBER(R635),Settings!$B$17&gt;0),IF(ISNUMBER(INDEX($R:$R,Settings!$B$17)),(R635-INDEX($R:$R,Settings!$B$17))*100,NA()),NA())</f>
        <v/>
      </c>
      <c r="W635" s="20">
        <f>IF(AND(ISNUMBER(P635),Settings!$B$17&gt;0),IF(ISNUMBER(INDEX($P:$P,Settings!$B$17)),P635-INDEX($P:$P,Settings!$B$17),NA()),NA())</f>
        <v/>
      </c>
      <c r="X635" s="19">
        <f>IF(NOT(ISNUMBER($A635)),NA(),IF(OR($A635&lt;MIN(DKW_10Y!$A$2:$A$2918),$A635&gt;MAX(DKW_10Y!$A$2:$A$2918),Settings!$B$16&lt;MIN(DKW_10Y!$A$2:$A$2918)),NA(),(INDEX(DKW_10Y!$B$2:$B$2918,MATCH($A635,DKW_10Y!$A$2:$A$2918,1))-INDEX(DKW_10Y!$B$2:$B$2918,MATCH(Settings!$B$16,DKW_10Y!$A$2:$A$2918,1)))*100))</f>
        <v/>
      </c>
      <c r="Y635" s="19">
        <f>IF(NOT(ISNUMBER($A635)),NA(),IF(OR($A635&lt;MIN(DKW_10Y!$A$2:$A$2918),$A635&gt;MAX(DKW_10Y!$A$2:$A$2918),Settings!$B$16&lt;MIN(DKW_10Y!$A$2:$A$2918)),NA(),(INDEX(DKW_10Y!$C$2:$C$2918,MATCH($A635,DKW_10Y!$A$2:$A$2918,1))-INDEX(DKW_10Y!$C$2:$C$2918,MATCH(Settings!$B$16,DKW_10Y!$A$2:$A$2918,1)))*100))</f>
        <v/>
      </c>
      <c r="Z635" s="19">
        <f>IF(NOT(ISNUMBER($A635)),NA(),IF(OR($A635&lt;MIN(DKW_10Y!$A$2:$A$2918),$A635&gt;MAX(DKW_10Y!$A$2:$A$2918),Settings!$B$16&lt;MIN(DKW_10Y!$A$2:$A$2918)),NA(),(INDEX(DKW_10Y!$D$2:$D$2918,MATCH($A635,DKW_10Y!$A$2:$A$2918,1))-INDEX(DKW_10Y!$D$2:$D$2918,MATCH(Settings!$B$16,DKW_10Y!$A$2:$A$2918,1)))*100))</f>
        <v/>
      </c>
      <c r="AA635" s="19">
        <f>IF(NOT(ISNUMBER($A635)),NA(),IF(OR($A635&lt;MIN(DKW_10Y!$A$2:$A$2918),$A635&gt;MAX(DKW_10Y!$A$2:$A$2918),Settings!$B$16&lt;MIN(DKW_10Y!$A$2:$A$2918)),NA(),(INDEX(DKW_10Y!$E$2:$E$2918,MATCH($A635,DKW_10Y!$A$2:$A$2918,1))-INDEX(DKW_10Y!$E$2:$E$2918,MATCH(Settings!$B$16,DKW_10Y!$A$2:$A$2918,1)))*100))</f>
        <v/>
      </c>
      <c r="AB635" s="19">
        <f>IF(NOT(ISNUMBER($A635)),NA(),IF(OR($A635&lt;MIN(DKW_10Y!$A$2:$A$2918),$A635&gt;MAX(DKW_10Y!$A$2:$A$2918),Settings!$B$16&lt;MIN(DKW_10Y!$A$2:$A$2918)),NA(),(INDEX(DKW_10Y!$H$2:$H$2918,MATCH($A635,DKW_10Y!$A$2:$A$2918,1))-INDEX(DKW_10Y!$H$2:$H$2918,MATCH(Settings!$B$16,DKW_10Y!$A$2:$A$2918,1)))*100))</f>
        <v/>
      </c>
      <c r="AC635" s="18">
        <f>IF(NOT(ISNUMBER($A635)),NA(),IFERROR(1*INDEX(BBG_Data!$N$2:$N$4000,MATCH($A635,BBG_Data!$M$2:$M$4000,0)),NA()))</f>
        <v/>
      </c>
      <c r="AD635" s="18">
        <f>IF(NOT(ISNUMBER($A635)),NA(),IFERROR(1*INDEX(BBG_Data!$P$2:$P$4000,MATCH($A635,BBG_Data!$O$2:$O$4000,0)),NA()))</f>
        <v/>
      </c>
      <c r="AE635" s="18">
        <f>IF(NOT(ISNUMBER($A635)),NA(),IFERROR(1*INDEX(BBG_Data!$R$2:$R$4000,MATCH($A635,BBG_Data!$Q$2:$Q$4000,0)),NA()))</f>
        <v/>
      </c>
      <c r="AF635" s="20">
        <f>IF(AND(ISNUMBER(B635),ISNUMBER(AC635)),(B635-AC635)*100,NA())</f>
        <v/>
      </c>
      <c r="AG635" s="20">
        <f>IF(AND(ISNUMBER(AE635),ISNUMBER(AD635)),(AE635-AD635)*100,NA())</f>
        <v/>
      </c>
      <c r="AH635" s="19">
        <f>IF(NOT(ISNUMBER($A635)),NA(),IFERROR(INDEX(BBG_Data!$T$2:$T$4000,MATCH($A635,BBG_Data!$S$2:$S$4000,0))*Settings!$B$25,NA()))</f>
        <v/>
      </c>
      <c r="AI635" s="19">
        <f>IF(NOT(ISNUMBER($A635)),NA(),IFERROR(INDEX(BBG_Data!$V$2:$V$4000,MATCH($A635,BBG_Data!$U$2:$U$4000,0))*Settings!$B$25,NA()))</f>
        <v/>
      </c>
      <c r="AJ635" s="19">
        <f>IF(NOT(ISNUMBER($A635)),NA(),IFERROR(1*INDEX(BBG_Data!$X$2:$X$4000,MATCH($A635,BBG_Data!$W$2:$W$4000,0)),NA()))</f>
        <v/>
      </c>
      <c r="AK635" s="19">
        <f>IF(NOT(ISNUMBER($A635)),NA(),IFERROR(1*INDEX(BBG_Data!$Z$2:$Z$4000,MATCH($A635,BBG_Data!$Y$2:$Y$4000,0)),NA()))</f>
        <v/>
      </c>
    </row>
    <row r="636">
      <c r="A636" s="17">
        <f>IF(ISNUMBER(BBG_Data!A636),BBG_Data!A636,"")</f>
        <v/>
      </c>
      <c r="B636" s="18">
        <f>IF(AND(ISNUMBER($A636),ISNUMBER(BBG_Data!B636)),BBG_Data!B636,NA())</f>
        <v/>
      </c>
      <c r="C636" s="18">
        <f>IF(NOT(ISNUMBER($A636)),NA(),IFERROR(1*INDEX(BBG_Data!$D$2:$D$4000,MATCH($A636,BBG_Data!$C$2:$C$4000,0)),NA()))</f>
        <v/>
      </c>
      <c r="D636" s="19">
        <f>IF(NOT(ISNUMBER($A636)),NA(),IFERROR(1*INDEX(BBG_Data!$F$2:$F$4000,MATCH($A636,BBG_Data!$E$2:$E$4000,0)),NA()))</f>
        <v/>
      </c>
      <c r="E636" s="19">
        <f>IF(NOT(ISNUMBER($A636)),NA(),IFERROR(1*INDEX(BBG_Data!$H$2:$H$4000,MATCH($A636,BBG_Data!$G$2:$G$4000,0)),NA()))</f>
        <v/>
      </c>
      <c r="F636" s="20">
        <f>IF(AND(ISNUMBER(B636),ISNUMBER(B635)),IF(B636=B635,"",(B636-B635)*100),"")</f>
        <v/>
      </c>
      <c r="G636" s="20">
        <f>IF(AND(ISNUMBER(C636),ISNUMBER(C635)),IF(C636=C635,"",(C636-C635)*100),"")</f>
        <v/>
      </c>
      <c r="H636" s="20">
        <f>IF(OR(NOT(ISNUMBER($A636)),ROW()-2&lt;Settings!$B$11),NA(),IF(COUNT(OFFSET(F636,1-Settings!$B$11,0,Settings!$B$11,1))&lt;ROUNDUP(Settings!$B$11*Settings!$B$26,0),NA(),STDEV(OFFSET(F636,1-Settings!$B$11,0,Settings!$B$11,1))*SQRT(Settings!$B$13)))</f>
        <v/>
      </c>
      <c r="I636" s="20">
        <f>IF(OR(NOT(ISNUMBER($A636)),ROW()-2&lt;Settings!$B$12),NA(),IF(COUNT(OFFSET(F636,1-Settings!$B$12,0,Settings!$B$12,1))&lt;ROUNDUP(Settings!$B$12*Settings!$B$26,0),NA(),STDEV(OFFSET(F636,1-Settings!$B$12,0,Settings!$B$12,1))*SQRT(Settings!$B$13)))</f>
        <v/>
      </c>
      <c r="J636" s="20">
        <f>IF(OR(NOT(ISNUMBER($A636)),ROW()-2&lt;Settings!$B$11),NA(),IF(COUNT(OFFSET(G636,1-Settings!$B$11,0,Settings!$B$11,1))&lt;ROUNDUP(Settings!$B$11*Settings!$B$26,0),NA(),STDEV(OFFSET(G636,1-Settings!$B$11,0,Settings!$B$11,1))*SQRT(Settings!$B$13)))</f>
        <v/>
      </c>
      <c r="K636" s="20">
        <f>IF(OR(NOT(ISNUMBER($A636)),ROW()-2&lt;Settings!$B$12),NA(),IF(COUNT(OFFSET(G636,1-Settings!$B$12,0,Settings!$B$12,1))&lt;ROUNDUP(Settings!$B$12*Settings!$B$26,0),NA(),STDEV(OFFSET(G636,1-Settings!$B$12,0,Settings!$B$12,1))*SQRT(Settings!$B$13)))</f>
        <v/>
      </c>
      <c r="L636" s="20">
        <f>IF(AND(ISNUMBER(D636),ISNUMBER(H636)),D636-H636,NA())</f>
        <v/>
      </c>
      <c r="M636" s="20">
        <f>IF(AND(ISNUMBER(E636),ISNUMBER(K636)),E636-K636,NA())</f>
        <v/>
      </c>
      <c r="N636" s="20">
        <f>IF(NOT(ISNUMBER($A636)),NA(),IF(COUNT(OFFSET(G636,1,0,Settings!$B$12,1))&lt;ROUNDUP(Settings!$B$12*Settings!$B$26,0),NA(),STDEV(OFFSET(G636,1,0,Settings!$B$12,1))*SQRT(Settings!$B$13)))</f>
        <v/>
      </c>
      <c r="O636" s="20">
        <f>IF(AND(ISNUMBER(E636),ISNUMBER(N636)),E636-N636,NA())</f>
        <v/>
      </c>
      <c r="P636" s="19">
        <f>IF(NOT(ISNUMBER($A636)),NA(),IF(OR($A636&lt;MIN(KW_TP!$A$2:$A$2501),$A636&gt;MAX(KW_TP!$A$2:$A$2501)),NA(),INDEX(KW_TP!$C$2:$C$2501,MATCH($A636,KW_TP!$A$2:$A$2501,1))))</f>
        <v/>
      </c>
      <c r="Q636" s="18">
        <f>IF(NOT(ISNUMBER($A636)),NA(),IFERROR(1*INDEX(BBG_Data!$J$2:$J$4000,MATCH($A636,BBG_Data!$I$2:$I$4000,0)),NA()))</f>
        <v/>
      </c>
      <c r="R636" s="18">
        <f>IF(NOT(ISNUMBER($A636)),NA(),IFERROR(1*INDEX(BBG_Data!$L$2:$L$4000,MATCH($A636,BBG_Data!$K$2:$K$4000,0)),NA()))</f>
        <v/>
      </c>
      <c r="S636" s="20">
        <f>IF(AND(ISNUMBER(B636),ISNUMBER(Q636),ISNUMBER(R636)),(B636-Q636-R636)*100,NA())</f>
        <v/>
      </c>
      <c r="T636" s="20">
        <f>IF(AND(ISNUMBER(B636),Settings!$B$17&gt;0),IF(ISNUMBER(INDEX($B:$B,Settings!$B$17)),(B636-INDEX($B:$B,Settings!$B$17))*100,NA()),NA())</f>
        <v/>
      </c>
      <c r="U636" s="20">
        <f>IF(AND(ISNUMBER(Q636),Settings!$B$17&gt;0),IF(ISNUMBER(INDEX($Q:$Q,Settings!$B$17)),(Q636-INDEX($Q:$Q,Settings!$B$17))*100,NA()),NA())</f>
        <v/>
      </c>
      <c r="V636" s="20">
        <f>IF(AND(ISNUMBER(R636),Settings!$B$17&gt;0),IF(ISNUMBER(INDEX($R:$R,Settings!$B$17)),(R636-INDEX($R:$R,Settings!$B$17))*100,NA()),NA())</f>
        <v/>
      </c>
      <c r="W636" s="20">
        <f>IF(AND(ISNUMBER(P636),Settings!$B$17&gt;0),IF(ISNUMBER(INDEX($P:$P,Settings!$B$17)),P636-INDEX($P:$P,Settings!$B$17),NA()),NA())</f>
        <v/>
      </c>
      <c r="X636" s="19">
        <f>IF(NOT(ISNUMBER($A636)),NA(),IF(OR($A636&lt;MIN(DKW_10Y!$A$2:$A$2918),$A636&gt;MAX(DKW_10Y!$A$2:$A$2918),Settings!$B$16&lt;MIN(DKW_10Y!$A$2:$A$2918)),NA(),(INDEX(DKW_10Y!$B$2:$B$2918,MATCH($A636,DKW_10Y!$A$2:$A$2918,1))-INDEX(DKW_10Y!$B$2:$B$2918,MATCH(Settings!$B$16,DKW_10Y!$A$2:$A$2918,1)))*100))</f>
        <v/>
      </c>
      <c r="Y636" s="19">
        <f>IF(NOT(ISNUMBER($A636)),NA(),IF(OR($A636&lt;MIN(DKW_10Y!$A$2:$A$2918),$A636&gt;MAX(DKW_10Y!$A$2:$A$2918),Settings!$B$16&lt;MIN(DKW_10Y!$A$2:$A$2918)),NA(),(INDEX(DKW_10Y!$C$2:$C$2918,MATCH($A636,DKW_10Y!$A$2:$A$2918,1))-INDEX(DKW_10Y!$C$2:$C$2918,MATCH(Settings!$B$16,DKW_10Y!$A$2:$A$2918,1)))*100))</f>
        <v/>
      </c>
      <c r="Z636" s="19">
        <f>IF(NOT(ISNUMBER($A636)),NA(),IF(OR($A636&lt;MIN(DKW_10Y!$A$2:$A$2918),$A636&gt;MAX(DKW_10Y!$A$2:$A$2918),Settings!$B$16&lt;MIN(DKW_10Y!$A$2:$A$2918)),NA(),(INDEX(DKW_10Y!$D$2:$D$2918,MATCH($A636,DKW_10Y!$A$2:$A$2918,1))-INDEX(DKW_10Y!$D$2:$D$2918,MATCH(Settings!$B$16,DKW_10Y!$A$2:$A$2918,1)))*100))</f>
        <v/>
      </c>
      <c r="AA636" s="19">
        <f>IF(NOT(ISNUMBER($A636)),NA(),IF(OR($A636&lt;MIN(DKW_10Y!$A$2:$A$2918),$A636&gt;MAX(DKW_10Y!$A$2:$A$2918),Settings!$B$16&lt;MIN(DKW_10Y!$A$2:$A$2918)),NA(),(INDEX(DKW_10Y!$E$2:$E$2918,MATCH($A636,DKW_10Y!$A$2:$A$2918,1))-INDEX(DKW_10Y!$E$2:$E$2918,MATCH(Settings!$B$16,DKW_10Y!$A$2:$A$2918,1)))*100))</f>
        <v/>
      </c>
      <c r="AB636" s="19">
        <f>IF(NOT(ISNUMBER($A636)),NA(),IF(OR($A636&lt;MIN(DKW_10Y!$A$2:$A$2918),$A636&gt;MAX(DKW_10Y!$A$2:$A$2918),Settings!$B$16&lt;MIN(DKW_10Y!$A$2:$A$2918)),NA(),(INDEX(DKW_10Y!$H$2:$H$2918,MATCH($A636,DKW_10Y!$A$2:$A$2918,1))-INDEX(DKW_10Y!$H$2:$H$2918,MATCH(Settings!$B$16,DKW_10Y!$A$2:$A$2918,1)))*100))</f>
        <v/>
      </c>
      <c r="AC636" s="18">
        <f>IF(NOT(ISNUMBER($A636)),NA(),IFERROR(1*INDEX(BBG_Data!$N$2:$N$4000,MATCH($A636,BBG_Data!$M$2:$M$4000,0)),NA()))</f>
        <v/>
      </c>
      <c r="AD636" s="18">
        <f>IF(NOT(ISNUMBER($A636)),NA(),IFERROR(1*INDEX(BBG_Data!$P$2:$P$4000,MATCH($A636,BBG_Data!$O$2:$O$4000,0)),NA()))</f>
        <v/>
      </c>
      <c r="AE636" s="18">
        <f>IF(NOT(ISNUMBER($A636)),NA(),IFERROR(1*INDEX(BBG_Data!$R$2:$R$4000,MATCH($A636,BBG_Data!$Q$2:$Q$4000,0)),NA()))</f>
        <v/>
      </c>
      <c r="AF636" s="20">
        <f>IF(AND(ISNUMBER(B636),ISNUMBER(AC636)),(B636-AC636)*100,NA())</f>
        <v/>
      </c>
      <c r="AG636" s="20">
        <f>IF(AND(ISNUMBER(AE636),ISNUMBER(AD636)),(AE636-AD636)*100,NA())</f>
        <v/>
      </c>
      <c r="AH636" s="19">
        <f>IF(NOT(ISNUMBER($A636)),NA(),IFERROR(INDEX(BBG_Data!$T$2:$T$4000,MATCH($A636,BBG_Data!$S$2:$S$4000,0))*Settings!$B$25,NA()))</f>
        <v/>
      </c>
      <c r="AI636" s="19">
        <f>IF(NOT(ISNUMBER($A636)),NA(),IFERROR(INDEX(BBG_Data!$V$2:$V$4000,MATCH($A636,BBG_Data!$U$2:$U$4000,0))*Settings!$B$25,NA()))</f>
        <v/>
      </c>
      <c r="AJ636" s="19">
        <f>IF(NOT(ISNUMBER($A636)),NA(),IFERROR(1*INDEX(BBG_Data!$X$2:$X$4000,MATCH($A636,BBG_Data!$W$2:$W$4000,0)),NA()))</f>
        <v/>
      </c>
      <c r="AK636" s="19">
        <f>IF(NOT(ISNUMBER($A636)),NA(),IFERROR(1*INDEX(BBG_Data!$Z$2:$Z$4000,MATCH($A636,BBG_Data!$Y$2:$Y$4000,0)),NA()))</f>
        <v/>
      </c>
    </row>
    <row r="637">
      <c r="A637" s="17">
        <f>IF(ISNUMBER(BBG_Data!A637),BBG_Data!A637,"")</f>
        <v/>
      </c>
      <c r="B637" s="18">
        <f>IF(AND(ISNUMBER($A637),ISNUMBER(BBG_Data!B637)),BBG_Data!B637,NA())</f>
        <v/>
      </c>
      <c r="C637" s="18">
        <f>IF(NOT(ISNUMBER($A637)),NA(),IFERROR(1*INDEX(BBG_Data!$D$2:$D$4000,MATCH($A637,BBG_Data!$C$2:$C$4000,0)),NA()))</f>
        <v/>
      </c>
      <c r="D637" s="19">
        <f>IF(NOT(ISNUMBER($A637)),NA(),IFERROR(1*INDEX(BBG_Data!$F$2:$F$4000,MATCH($A637,BBG_Data!$E$2:$E$4000,0)),NA()))</f>
        <v/>
      </c>
      <c r="E637" s="19">
        <f>IF(NOT(ISNUMBER($A637)),NA(),IFERROR(1*INDEX(BBG_Data!$H$2:$H$4000,MATCH($A637,BBG_Data!$G$2:$G$4000,0)),NA()))</f>
        <v/>
      </c>
      <c r="F637" s="20">
        <f>IF(AND(ISNUMBER(B637),ISNUMBER(B636)),IF(B637=B636,"",(B637-B636)*100),"")</f>
        <v/>
      </c>
      <c r="G637" s="20">
        <f>IF(AND(ISNUMBER(C637),ISNUMBER(C636)),IF(C637=C636,"",(C637-C636)*100),"")</f>
        <v/>
      </c>
      <c r="H637" s="20">
        <f>IF(OR(NOT(ISNUMBER($A637)),ROW()-2&lt;Settings!$B$11),NA(),IF(COUNT(OFFSET(F637,1-Settings!$B$11,0,Settings!$B$11,1))&lt;ROUNDUP(Settings!$B$11*Settings!$B$26,0),NA(),STDEV(OFFSET(F637,1-Settings!$B$11,0,Settings!$B$11,1))*SQRT(Settings!$B$13)))</f>
        <v/>
      </c>
      <c r="I637" s="20">
        <f>IF(OR(NOT(ISNUMBER($A637)),ROW()-2&lt;Settings!$B$12),NA(),IF(COUNT(OFFSET(F637,1-Settings!$B$12,0,Settings!$B$12,1))&lt;ROUNDUP(Settings!$B$12*Settings!$B$26,0),NA(),STDEV(OFFSET(F637,1-Settings!$B$12,0,Settings!$B$12,1))*SQRT(Settings!$B$13)))</f>
        <v/>
      </c>
      <c r="J637" s="20">
        <f>IF(OR(NOT(ISNUMBER($A637)),ROW()-2&lt;Settings!$B$11),NA(),IF(COUNT(OFFSET(G637,1-Settings!$B$11,0,Settings!$B$11,1))&lt;ROUNDUP(Settings!$B$11*Settings!$B$26,0),NA(),STDEV(OFFSET(G637,1-Settings!$B$11,0,Settings!$B$11,1))*SQRT(Settings!$B$13)))</f>
        <v/>
      </c>
      <c r="K637" s="20">
        <f>IF(OR(NOT(ISNUMBER($A637)),ROW()-2&lt;Settings!$B$12),NA(),IF(COUNT(OFFSET(G637,1-Settings!$B$12,0,Settings!$B$12,1))&lt;ROUNDUP(Settings!$B$12*Settings!$B$26,0),NA(),STDEV(OFFSET(G637,1-Settings!$B$12,0,Settings!$B$12,1))*SQRT(Settings!$B$13)))</f>
        <v/>
      </c>
      <c r="L637" s="20">
        <f>IF(AND(ISNUMBER(D637),ISNUMBER(H637)),D637-H637,NA())</f>
        <v/>
      </c>
      <c r="M637" s="20">
        <f>IF(AND(ISNUMBER(E637),ISNUMBER(K637)),E637-K637,NA())</f>
        <v/>
      </c>
      <c r="N637" s="20">
        <f>IF(NOT(ISNUMBER($A637)),NA(),IF(COUNT(OFFSET(G637,1,0,Settings!$B$12,1))&lt;ROUNDUP(Settings!$B$12*Settings!$B$26,0),NA(),STDEV(OFFSET(G637,1,0,Settings!$B$12,1))*SQRT(Settings!$B$13)))</f>
        <v/>
      </c>
      <c r="O637" s="20">
        <f>IF(AND(ISNUMBER(E637),ISNUMBER(N637)),E637-N637,NA())</f>
        <v/>
      </c>
      <c r="P637" s="19">
        <f>IF(NOT(ISNUMBER($A637)),NA(),IF(OR($A637&lt;MIN(KW_TP!$A$2:$A$2501),$A637&gt;MAX(KW_TP!$A$2:$A$2501)),NA(),INDEX(KW_TP!$C$2:$C$2501,MATCH($A637,KW_TP!$A$2:$A$2501,1))))</f>
        <v/>
      </c>
      <c r="Q637" s="18">
        <f>IF(NOT(ISNUMBER($A637)),NA(),IFERROR(1*INDEX(BBG_Data!$J$2:$J$4000,MATCH($A637,BBG_Data!$I$2:$I$4000,0)),NA()))</f>
        <v/>
      </c>
      <c r="R637" s="18">
        <f>IF(NOT(ISNUMBER($A637)),NA(),IFERROR(1*INDEX(BBG_Data!$L$2:$L$4000,MATCH($A637,BBG_Data!$K$2:$K$4000,0)),NA()))</f>
        <v/>
      </c>
      <c r="S637" s="20">
        <f>IF(AND(ISNUMBER(B637),ISNUMBER(Q637),ISNUMBER(R637)),(B637-Q637-R637)*100,NA())</f>
        <v/>
      </c>
      <c r="T637" s="20">
        <f>IF(AND(ISNUMBER(B637),Settings!$B$17&gt;0),IF(ISNUMBER(INDEX($B:$B,Settings!$B$17)),(B637-INDEX($B:$B,Settings!$B$17))*100,NA()),NA())</f>
        <v/>
      </c>
      <c r="U637" s="20">
        <f>IF(AND(ISNUMBER(Q637),Settings!$B$17&gt;0),IF(ISNUMBER(INDEX($Q:$Q,Settings!$B$17)),(Q637-INDEX($Q:$Q,Settings!$B$17))*100,NA()),NA())</f>
        <v/>
      </c>
      <c r="V637" s="20">
        <f>IF(AND(ISNUMBER(R637),Settings!$B$17&gt;0),IF(ISNUMBER(INDEX($R:$R,Settings!$B$17)),(R637-INDEX($R:$R,Settings!$B$17))*100,NA()),NA())</f>
        <v/>
      </c>
      <c r="W637" s="20">
        <f>IF(AND(ISNUMBER(P637),Settings!$B$17&gt;0),IF(ISNUMBER(INDEX($P:$P,Settings!$B$17)),P637-INDEX($P:$P,Settings!$B$17),NA()),NA())</f>
        <v/>
      </c>
      <c r="X637" s="19">
        <f>IF(NOT(ISNUMBER($A637)),NA(),IF(OR($A637&lt;MIN(DKW_10Y!$A$2:$A$2918),$A637&gt;MAX(DKW_10Y!$A$2:$A$2918),Settings!$B$16&lt;MIN(DKW_10Y!$A$2:$A$2918)),NA(),(INDEX(DKW_10Y!$B$2:$B$2918,MATCH($A637,DKW_10Y!$A$2:$A$2918,1))-INDEX(DKW_10Y!$B$2:$B$2918,MATCH(Settings!$B$16,DKW_10Y!$A$2:$A$2918,1)))*100))</f>
        <v/>
      </c>
      <c r="Y637" s="19">
        <f>IF(NOT(ISNUMBER($A637)),NA(),IF(OR($A637&lt;MIN(DKW_10Y!$A$2:$A$2918),$A637&gt;MAX(DKW_10Y!$A$2:$A$2918),Settings!$B$16&lt;MIN(DKW_10Y!$A$2:$A$2918)),NA(),(INDEX(DKW_10Y!$C$2:$C$2918,MATCH($A637,DKW_10Y!$A$2:$A$2918,1))-INDEX(DKW_10Y!$C$2:$C$2918,MATCH(Settings!$B$16,DKW_10Y!$A$2:$A$2918,1)))*100))</f>
        <v/>
      </c>
      <c r="Z637" s="19">
        <f>IF(NOT(ISNUMBER($A637)),NA(),IF(OR($A637&lt;MIN(DKW_10Y!$A$2:$A$2918),$A637&gt;MAX(DKW_10Y!$A$2:$A$2918),Settings!$B$16&lt;MIN(DKW_10Y!$A$2:$A$2918)),NA(),(INDEX(DKW_10Y!$D$2:$D$2918,MATCH($A637,DKW_10Y!$A$2:$A$2918,1))-INDEX(DKW_10Y!$D$2:$D$2918,MATCH(Settings!$B$16,DKW_10Y!$A$2:$A$2918,1)))*100))</f>
        <v/>
      </c>
      <c r="AA637" s="19">
        <f>IF(NOT(ISNUMBER($A637)),NA(),IF(OR($A637&lt;MIN(DKW_10Y!$A$2:$A$2918),$A637&gt;MAX(DKW_10Y!$A$2:$A$2918),Settings!$B$16&lt;MIN(DKW_10Y!$A$2:$A$2918)),NA(),(INDEX(DKW_10Y!$E$2:$E$2918,MATCH($A637,DKW_10Y!$A$2:$A$2918,1))-INDEX(DKW_10Y!$E$2:$E$2918,MATCH(Settings!$B$16,DKW_10Y!$A$2:$A$2918,1)))*100))</f>
        <v/>
      </c>
      <c r="AB637" s="19">
        <f>IF(NOT(ISNUMBER($A637)),NA(),IF(OR($A637&lt;MIN(DKW_10Y!$A$2:$A$2918),$A637&gt;MAX(DKW_10Y!$A$2:$A$2918),Settings!$B$16&lt;MIN(DKW_10Y!$A$2:$A$2918)),NA(),(INDEX(DKW_10Y!$H$2:$H$2918,MATCH($A637,DKW_10Y!$A$2:$A$2918,1))-INDEX(DKW_10Y!$H$2:$H$2918,MATCH(Settings!$B$16,DKW_10Y!$A$2:$A$2918,1)))*100))</f>
        <v/>
      </c>
      <c r="AC637" s="18">
        <f>IF(NOT(ISNUMBER($A637)),NA(),IFERROR(1*INDEX(BBG_Data!$N$2:$N$4000,MATCH($A637,BBG_Data!$M$2:$M$4000,0)),NA()))</f>
        <v/>
      </c>
      <c r="AD637" s="18">
        <f>IF(NOT(ISNUMBER($A637)),NA(),IFERROR(1*INDEX(BBG_Data!$P$2:$P$4000,MATCH($A637,BBG_Data!$O$2:$O$4000,0)),NA()))</f>
        <v/>
      </c>
      <c r="AE637" s="18">
        <f>IF(NOT(ISNUMBER($A637)),NA(),IFERROR(1*INDEX(BBG_Data!$R$2:$R$4000,MATCH($A637,BBG_Data!$Q$2:$Q$4000,0)),NA()))</f>
        <v/>
      </c>
      <c r="AF637" s="20">
        <f>IF(AND(ISNUMBER(B637),ISNUMBER(AC637)),(B637-AC637)*100,NA())</f>
        <v/>
      </c>
      <c r="AG637" s="20">
        <f>IF(AND(ISNUMBER(AE637),ISNUMBER(AD637)),(AE637-AD637)*100,NA())</f>
        <v/>
      </c>
      <c r="AH637" s="19">
        <f>IF(NOT(ISNUMBER($A637)),NA(),IFERROR(INDEX(BBG_Data!$T$2:$T$4000,MATCH($A637,BBG_Data!$S$2:$S$4000,0))*Settings!$B$25,NA()))</f>
        <v/>
      </c>
      <c r="AI637" s="19">
        <f>IF(NOT(ISNUMBER($A637)),NA(),IFERROR(INDEX(BBG_Data!$V$2:$V$4000,MATCH($A637,BBG_Data!$U$2:$U$4000,0))*Settings!$B$25,NA()))</f>
        <v/>
      </c>
      <c r="AJ637" s="19">
        <f>IF(NOT(ISNUMBER($A637)),NA(),IFERROR(1*INDEX(BBG_Data!$X$2:$X$4000,MATCH($A637,BBG_Data!$W$2:$W$4000,0)),NA()))</f>
        <v/>
      </c>
      <c r="AK637" s="19">
        <f>IF(NOT(ISNUMBER($A637)),NA(),IFERROR(1*INDEX(BBG_Data!$Z$2:$Z$4000,MATCH($A637,BBG_Data!$Y$2:$Y$4000,0)),NA()))</f>
        <v/>
      </c>
    </row>
    <row r="638">
      <c r="A638" s="17">
        <f>IF(ISNUMBER(BBG_Data!A638),BBG_Data!A638,"")</f>
        <v/>
      </c>
      <c r="B638" s="18">
        <f>IF(AND(ISNUMBER($A638),ISNUMBER(BBG_Data!B638)),BBG_Data!B638,NA())</f>
        <v/>
      </c>
      <c r="C638" s="18">
        <f>IF(NOT(ISNUMBER($A638)),NA(),IFERROR(1*INDEX(BBG_Data!$D$2:$D$4000,MATCH($A638,BBG_Data!$C$2:$C$4000,0)),NA()))</f>
        <v/>
      </c>
      <c r="D638" s="19">
        <f>IF(NOT(ISNUMBER($A638)),NA(),IFERROR(1*INDEX(BBG_Data!$F$2:$F$4000,MATCH($A638,BBG_Data!$E$2:$E$4000,0)),NA()))</f>
        <v/>
      </c>
      <c r="E638" s="19">
        <f>IF(NOT(ISNUMBER($A638)),NA(),IFERROR(1*INDEX(BBG_Data!$H$2:$H$4000,MATCH($A638,BBG_Data!$G$2:$G$4000,0)),NA()))</f>
        <v/>
      </c>
      <c r="F638" s="20">
        <f>IF(AND(ISNUMBER(B638),ISNUMBER(B637)),IF(B638=B637,"",(B638-B637)*100),"")</f>
        <v/>
      </c>
      <c r="G638" s="20">
        <f>IF(AND(ISNUMBER(C638),ISNUMBER(C637)),IF(C638=C637,"",(C638-C637)*100),"")</f>
        <v/>
      </c>
      <c r="H638" s="20">
        <f>IF(OR(NOT(ISNUMBER($A638)),ROW()-2&lt;Settings!$B$11),NA(),IF(COUNT(OFFSET(F638,1-Settings!$B$11,0,Settings!$B$11,1))&lt;ROUNDUP(Settings!$B$11*Settings!$B$26,0),NA(),STDEV(OFFSET(F638,1-Settings!$B$11,0,Settings!$B$11,1))*SQRT(Settings!$B$13)))</f>
        <v/>
      </c>
      <c r="I638" s="20">
        <f>IF(OR(NOT(ISNUMBER($A638)),ROW()-2&lt;Settings!$B$12),NA(),IF(COUNT(OFFSET(F638,1-Settings!$B$12,0,Settings!$B$12,1))&lt;ROUNDUP(Settings!$B$12*Settings!$B$26,0),NA(),STDEV(OFFSET(F638,1-Settings!$B$12,0,Settings!$B$12,1))*SQRT(Settings!$B$13)))</f>
        <v/>
      </c>
      <c r="J638" s="20">
        <f>IF(OR(NOT(ISNUMBER($A638)),ROW()-2&lt;Settings!$B$11),NA(),IF(COUNT(OFFSET(G638,1-Settings!$B$11,0,Settings!$B$11,1))&lt;ROUNDUP(Settings!$B$11*Settings!$B$26,0),NA(),STDEV(OFFSET(G638,1-Settings!$B$11,0,Settings!$B$11,1))*SQRT(Settings!$B$13)))</f>
        <v/>
      </c>
      <c r="K638" s="20">
        <f>IF(OR(NOT(ISNUMBER($A638)),ROW()-2&lt;Settings!$B$12),NA(),IF(COUNT(OFFSET(G638,1-Settings!$B$12,0,Settings!$B$12,1))&lt;ROUNDUP(Settings!$B$12*Settings!$B$26,0),NA(),STDEV(OFFSET(G638,1-Settings!$B$12,0,Settings!$B$12,1))*SQRT(Settings!$B$13)))</f>
        <v/>
      </c>
      <c r="L638" s="20">
        <f>IF(AND(ISNUMBER(D638),ISNUMBER(H638)),D638-H638,NA())</f>
        <v/>
      </c>
      <c r="M638" s="20">
        <f>IF(AND(ISNUMBER(E638),ISNUMBER(K638)),E638-K638,NA())</f>
        <v/>
      </c>
      <c r="N638" s="20">
        <f>IF(NOT(ISNUMBER($A638)),NA(),IF(COUNT(OFFSET(G638,1,0,Settings!$B$12,1))&lt;ROUNDUP(Settings!$B$12*Settings!$B$26,0),NA(),STDEV(OFFSET(G638,1,0,Settings!$B$12,1))*SQRT(Settings!$B$13)))</f>
        <v/>
      </c>
      <c r="O638" s="20">
        <f>IF(AND(ISNUMBER(E638),ISNUMBER(N638)),E638-N638,NA())</f>
        <v/>
      </c>
      <c r="P638" s="19">
        <f>IF(NOT(ISNUMBER($A638)),NA(),IF(OR($A638&lt;MIN(KW_TP!$A$2:$A$2501),$A638&gt;MAX(KW_TP!$A$2:$A$2501)),NA(),INDEX(KW_TP!$C$2:$C$2501,MATCH($A638,KW_TP!$A$2:$A$2501,1))))</f>
        <v/>
      </c>
      <c r="Q638" s="18">
        <f>IF(NOT(ISNUMBER($A638)),NA(),IFERROR(1*INDEX(BBG_Data!$J$2:$J$4000,MATCH($A638,BBG_Data!$I$2:$I$4000,0)),NA()))</f>
        <v/>
      </c>
      <c r="R638" s="18">
        <f>IF(NOT(ISNUMBER($A638)),NA(),IFERROR(1*INDEX(BBG_Data!$L$2:$L$4000,MATCH($A638,BBG_Data!$K$2:$K$4000,0)),NA()))</f>
        <v/>
      </c>
      <c r="S638" s="20">
        <f>IF(AND(ISNUMBER(B638),ISNUMBER(Q638),ISNUMBER(R638)),(B638-Q638-R638)*100,NA())</f>
        <v/>
      </c>
      <c r="T638" s="20">
        <f>IF(AND(ISNUMBER(B638),Settings!$B$17&gt;0),IF(ISNUMBER(INDEX($B:$B,Settings!$B$17)),(B638-INDEX($B:$B,Settings!$B$17))*100,NA()),NA())</f>
        <v/>
      </c>
      <c r="U638" s="20">
        <f>IF(AND(ISNUMBER(Q638),Settings!$B$17&gt;0),IF(ISNUMBER(INDEX($Q:$Q,Settings!$B$17)),(Q638-INDEX($Q:$Q,Settings!$B$17))*100,NA()),NA())</f>
        <v/>
      </c>
      <c r="V638" s="20">
        <f>IF(AND(ISNUMBER(R638),Settings!$B$17&gt;0),IF(ISNUMBER(INDEX($R:$R,Settings!$B$17)),(R638-INDEX($R:$R,Settings!$B$17))*100,NA()),NA())</f>
        <v/>
      </c>
      <c r="W638" s="20">
        <f>IF(AND(ISNUMBER(P638),Settings!$B$17&gt;0),IF(ISNUMBER(INDEX($P:$P,Settings!$B$17)),P638-INDEX($P:$P,Settings!$B$17),NA()),NA())</f>
        <v/>
      </c>
      <c r="X638" s="19">
        <f>IF(NOT(ISNUMBER($A638)),NA(),IF(OR($A638&lt;MIN(DKW_10Y!$A$2:$A$2918),$A638&gt;MAX(DKW_10Y!$A$2:$A$2918),Settings!$B$16&lt;MIN(DKW_10Y!$A$2:$A$2918)),NA(),(INDEX(DKW_10Y!$B$2:$B$2918,MATCH($A638,DKW_10Y!$A$2:$A$2918,1))-INDEX(DKW_10Y!$B$2:$B$2918,MATCH(Settings!$B$16,DKW_10Y!$A$2:$A$2918,1)))*100))</f>
        <v/>
      </c>
      <c r="Y638" s="19">
        <f>IF(NOT(ISNUMBER($A638)),NA(),IF(OR($A638&lt;MIN(DKW_10Y!$A$2:$A$2918),$A638&gt;MAX(DKW_10Y!$A$2:$A$2918),Settings!$B$16&lt;MIN(DKW_10Y!$A$2:$A$2918)),NA(),(INDEX(DKW_10Y!$C$2:$C$2918,MATCH($A638,DKW_10Y!$A$2:$A$2918,1))-INDEX(DKW_10Y!$C$2:$C$2918,MATCH(Settings!$B$16,DKW_10Y!$A$2:$A$2918,1)))*100))</f>
        <v/>
      </c>
      <c r="Z638" s="19">
        <f>IF(NOT(ISNUMBER($A638)),NA(),IF(OR($A638&lt;MIN(DKW_10Y!$A$2:$A$2918),$A638&gt;MAX(DKW_10Y!$A$2:$A$2918),Settings!$B$16&lt;MIN(DKW_10Y!$A$2:$A$2918)),NA(),(INDEX(DKW_10Y!$D$2:$D$2918,MATCH($A638,DKW_10Y!$A$2:$A$2918,1))-INDEX(DKW_10Y!$D$2:$D$2918,MATCH(Settings!$B$16,DKW_10Y!$A$2:$A$2918,1)))*100))</f>
        <v/>
      </c>
      <c r="AA638" s="19">
        <f>IF(NOT(ISNUMBER($A638)),NA(),IF(OR($A638&lt;MIN(DKW_10Y!$A$2:$A$2918),$A638&gt;MAX(DKW_10Y!$A$2:$A$2918),Settings!$B$16&lt;MIN(DKW_10Y!$A$2:$A$2918)),NA(),(INDEX(DKW_10Y!$E$2:$E$2918,MATCH($A638,DKW_10Y!$A$2:$A$2918,1))-INDEX(DKW_10Y!$E$2:$E$2918,MATCH(Settings!$B$16,DKW_10Y!$A$2:$A$2918,1)))*100))</f>
        <v/>
      </c>
      <c r="AB638" s="19">
        <f>IF(NOT(ISNUMBER($A638)),NA(),IF(OR($A638&lt;MIN(DKW_10Y!$A$2:$A$2918),$A638&gt;MAX(DKW_10Y!$A$2:$A$2918),Settings!$B$16&lt;MIN(DKW_10Y!$A$2:$A$2918)),NA(),(INDEX(DKW_10Y!$H$2:$H$2918,MATCH($A638,DKW_10Y!$A$2:$A$2918,1))-INDEX(DKW_10Y!$H$2:$H$2918,MATCH(Settings!$B$16,DKW_10Y!$A$2:$A$2918,1)))*100))</f>
        <v/>
      </c>
      <c r="AC638" s="18">
        <f>IF(NOT(ISNUMBER($A638)),NA(),IFERROR(1*INDEX(BBG_Data!$N$2:$N$4000,MATCH($A638,BBG_Data!$M$2:$M$4000,0)),NA()))</f>
        <v/>
      </c>
      <c r="AD638" s="18">
        <f>IF(NOT(ISNUMBER($A638)),NA(),IFERROR(1*INDEX(BBG_Data!$P$2:$P$4000,MATCH($A638,BBG_Data!$O$2:$O$4000,0)),NA()))</f>
        <v/>
      </c>
      <c r="AE638" s="18">
        <f>IF(NOT(ISNUMBER($A638)),NA(),IFERROR(1*INDEX(BBG_Data!$R$2:$R$4000,MATCH($A638,BBG_Data!$Q$2:$Q$4000,0)),NA()))</f>
        <v/>
      </c>
      <c r="AF638" s="20">
        <f>IF(AND(ISNUMBER(B638),ISNUMBER(AC638)),(B638-AC638)*100,NA())</f>
        <v/>
      </c>
      <c r="AG638" s="20">
        <f>IF(AND(ISNUMBER(AE638),ISNUMBER(AD638)),(AE638-AD638)*100,NA())</f>
        <v/>
      </c>
      <c r="AH638" s="19">
        <f>IF(NOT(ISNUMBER($A638)),NA(),IFERROR(INDEX(BBG_Data!$T$2:$T$4000,MATCH($A638,BBG_Data!$S$2:$S$4000,0))*Settings!$B$25,NA()))</f>
        <v/>
      </c>
      <c r="AI638" s="19">
        <f>IF(NOT(ISNUMBER($A638)),NA(),IFERROR(INDEX(BBG_Data!$V$2:$V$4000,MATCH($A638,BBG_Data!$U$2:$U$4000,0))*Settings!$B$25,NA()))</f>
        <v/>
      </c>
      <c r="AJ638" s="19">
        <f>IF(NOT(ISNUMBER($A638)),NA(),IFERROR(1*INDEX(BBG_Data!$X$2:$X$4000,MATCH($A638,BBG_Data!$W$2:$W$4000,0)),NA()))</f>
        <v/>
      </c>
      <c r="AK638" s="19">
        <f>IF(NOT(ISNUMBER($A638)),NA(),IFERROR(1*INDEX(BBG_Data!$Z$2:$Z$4000,MATCH($A638,BBG_Data!$Y$2:$Y$4000,0)),NA()))</f>
        <v/>
      </c>
    </row>
    <row r="639">
      <c r="A639" s="17">
        <f>IF(ISNUMBER(BBG_Data!A639),BBG_Data!A639,"")</f>
        <v/>
      </c>
      <c r="B639" s="18">
        <f>IF(AND(ISNUMBER($A639),ISNUMBER(BBG_Data!B639)),BBG_Data!B639,NA())</f>
        <v/>
      </c>
      <c r="C639" s="18">
        <f>IF(NOT(ISNUMBER($A639)),NA(),IFERROR(1*INDEX(BBG_Data!$D$2:$D$4000,MATCH($A639,BBG_Data!$C$2:$C$4000,0)),NA()))</f>
        <v/>
      </c>
      <c r="D639" s="19">
        <f>IF(NOT(ISNUMBER($A639)),NA(),IFERROR(1*INDEX(BBG_Data!$F$2:$F$4000,MATCH($A639,BBG_Data!$E$2:$E$4000,0)),NA()))</f>
        <v/>
      </c>
      <c r="E639" s="19">
        <f>IF(NOT(ISNUMBER($A639)),NA(),IFERROR(1*INDEX(BBG_Data!$H$2:$H$4000,MATCH($A639,BBG_Data!$G$2:$G$4000,0)),NA()))</f>
        <v/>
      </c>
      <c r="F639" s="20">
        <f>IF(AND(ISNUMBER(B639),ISNUMBER(B638)),IF(B639=B638,"",(B639-B638)*100),"")</f>
        <v/>
      </c>
      <c r="G639" s="20">
        <f>IF(AND(ISNUMBER(C639),ISNUMBER(C638)),IF(C639=C638,"",(C639-C638)*100),"")</f>
        <v/>
      </c>
      <c r="H639" s="20">
        <f>IF(OR(NOT(ISNUMBER($A639)),ROW()-2&lt;Settings!$B$11),NA(),IF(COUNT(OFFSET(F639,1-Settings!$B$11,0,Settings!$B$11,1))&lt;ROUNDUP(Settings!$B$11*Settings!$B$26,0),NA(),STDEV(OFFSET(F639,1-Settings!$B$11,0,Settings!$B$11,1))*SQRT(Settings!$B$13)))</f>
        <v/>
      </c>
      <c r="I639" s="20">
        <f>IF(OR(NOT(ISNUMBER($A639)),ROW()-2&lt;Settings!$B$12),NA(),IF(COUNT(OFFSET(F639,1-Settings!$B$12,0,Settings!$B$12,1))&lt;ROUNDUP(Settings!$B$12*Settings!$B$26,0),NA(),STDEV(OFFSET(F639,1-Settings!$B$12,0,Settings!$B$12,1))*SQRT(Settings!$B$13)))</f>
        <v/>
      </c>
      <c r="J639" s="20">
        <f>IF(OR(NOT(ISNUMBER($A639)),ROW()-2&lt;Settings!$B$11),NA(),IF(COUNT(OFFSET(G639,1-Settings!$B$11,0,Settings!$B$11,1))&lt;ROUNDUP(Settings!$B$11*Settings!$B$26,0),NA(),STDEV(OFFSET(G639,1-Settings!$B$11,0,Settings!$B$11,1))*SQRT(Settings!$B$13)))</f>
        <v/>
      </c>
      <c r="K639" s="20">
        <f>IF(OR(NOT(ISNUMBER($A639)),ROW()-2&lt;Settings!$B$12),NA(),IF(COUNT(OFFSET(G639,1-Settings!$B$12,0,Settings!$B$12,1))&lt;ROUNDUP(Settings!$B$12*Settings!$B$26,0),NA(),STDEV(OFFSET(G639,1-Settings!$B$12,0,Settings!$B$12,1))*SQRT(Settings!$B$13)))</f>
        <v/>
      </c>
      <c r="L639" s="20">
        <f>IF(AND(ISNUMBER(D639),ISNUMBER(H639)),D639-H639,NA())</f>
        <v/>
      </c>
      <c r="M639" s="20">
        <f>IF(AND(ISNUMBER(E639),ISNUMBER(K639)),E639-K639,NA())</f>
        <v/>
      </c>
      <c r="N639" s="20">
        <f>IF(NOT(ISNUMBER($A639)),NA(),IF(COUNT(OFFSET(G639,1,0,Settings!$B$12,1))&lt;ROUNDUP(Settings!$B$12*Settings!$B$26,0),NA(),STDEV(OFFSET(G639,1,0,Settings!$B$12,1))*SQRT(Settings!$B$13)))</f>
        <v/>
      </c>
      <c r="O639" s="20">
        <f>IF(AND(ISNUMBER(E639),ISNUMBER(N639)),E639-N639,NA())</f>
        <v/>
      </c>
      <c r="P639" s="19">
        <f>IF(NOT(ISNUMBER($A639)),NA(),IF(OR($A639&lt;MIN(KW_TP!$A$2:$A$2501),$A639&gt;MAX(KW_TP!$A$2:$A$2501)),NA(),INDEX(KW_TP!$C$2:$C$2501,MATCH($A639,KW_TP!$A$2:$A$2501,1))))</f>
        <v/>
      </c>
      <c r="Q639" s="18">
        <f>IF(NOT(ISNUMBER($A639)),NA(),IFERROR(1*INDEX(BBG_Data!$J$2:$J$4000,MATCH($A639,BBG_Data!$I$2:$I$4000,0)),NA()))</f>
        <v/>
      </c>
      <c r="R639" s="18">
        <f>IF(NOT(ISNUMBER($A639)),NA(),IFERROR(1*INDEX(BBG_Data!$L$2:$L$4000,MATCH($A639,BBG_Data!$K$2:$K$4000,0)),NA()))</f>
        <v/>
      </c>
      <c r="S639" s="20">
        <f>IF(AND(ISNUMBER(B639),ISNUMBER(Q639),ISNUMBER(R639)),(B639-Q639-R639)*100,NA())</f>
        <v/>
      </c>
      <c r="T639" s="20">
        <f>IF(AND(ISNUMBER(B639),Settings!$B$17&gt;0),IF(ISNUMBER(INDEX($B:$B,Settings!$B$17)),(B639-INDEX($B:$B,Settings!$B$17))*100,NA()),NA())</f>
        <v/>
      </c>
      <c r="U639" s="20">
        <f>IF(AND(ISNUMBER(Q639),Settings!$B$17&gt;0),IF(ISNUMBER(INDEX($Q:$Q,Settings!$B$17)),(Q639-INDEX($Q:$Q,Settings!$B$17))*100,NA()),NA())</f>
        <v/>
      </c>
      <c r="V639" s="20">
        <f>IF(AND(ISNUMBER(R639),Settings!$B$17&gt;0),IF(ISNUMBER(INDEX($R:$R,Settings!$B$17)),(R639-INDEX($R:$R,Settings!$B$17))*100,NA()),NA())</f>
        <v/>
      </c>
      <c r="W639" s="20">
        <f>IF(AND(ISNUMBER(P639),Settings!$B$17&gt;0),IF(ISNUMBER(INDEX($P:$P,Settings!$B$17)),P639-INDEX($P:$P,Settings!$B$17),NA()),NA())</f>
        <v/>
      </c>
      <c r="X639" s="19">
        <f>IF(NOT(ISNUMBER($A639)),NA(),IF(OR($A639&lt;MIN(DKW_10Y!$A$2:$A$2918),$A639&gt;MAX(DKW_10Y!$A$2:$A$2918),Settings!$B$16&lt;MIN(DKW_10Y!$A$2:$A$2918)),NA(),(INDEX(DKW_10Y!$B$2:$B$2918,MATCH($A639,DKW_10Y!$A$2:$A$2918,1))-INDEX(DKW_10Y!$B$2:$B$2918,MATCH(Settings!$B$16,DKW_10Y!$A$2:$A$2918,1)))*100))</f>
        <v/>
      </c>
      <c r="Y639" s="19">
        <f>IF(NOT(ISNUMBER($A639)),NA(),IF(OR($A639&lt;MIN(DKW_10Y!$A$2:$A$2918),$A639&gt;MAX(DKW_10Y!$A$2:$A$2918),Settings!$B$16&lt;MIN(DKW_10Y!$A$2:$A$2918)),NA(),(INDEX(DKW_10Y!$C$2:$C$2918,MATCH($A639,DKW_10Y!$A$2:$A$2918,1))-INDEX(DKW_10Y!$C$2:$C$2918,MATCH(Settings!$B$16,DKW_10Y!$A$2:$A$2918,1)))*100))</f>
        <v/>
      </c>
      <c r="Z639" s="19">
        <f>IF(NOT(ISNUMBER($A639)),NA(),IF(OR($A639&lt;MIN(DKW_10Y!$A$2:$A$2918),$A639&gt;MAX(DKW_10Y!$A$2:$A$2918),Settings!$B$16&lt;MIN(DKW_10Y!$A$2:$A$2918)),NA(),(INDEX(DKW_10Y!$D$2:$D$2918,MATCH($A639,DKW_10Y!$A$2:$A$2918,1))-INDEX(DKW_10Y!$D$2:$D$2918,MATCH(Settings!$B$16,DKW_10Y!$A$2:$A$2918,1)))*100))</f>
        <v/>
      </c>
      <c r="AA639" s="19">
        <f>IF(NOT(ISNUMBER($A639)),NA(),IF(OR($A639&lt;MIN(DKW_10Y!$A$2:$A$2918),$A639&gt;MAX(DKW_10Y!$A$2:$A$2918),Settings!$B$16&lt;MIN(DKW_10Y!$A$2:$A$2918)),NA(),(INDEX(DKW_10Y!$E$2:$E$2918,MATCH($A639,DKW_10Y!$A$2:$A$2918,1))-INDEX(DKW_10Y!$E$2:$E$2918,MATCH(Settings!$B$16,DKW_10Y!$A$2:$A$2918,1)))*100))</f>
        <v/>
      </c>
      <c r="AB639" s="19">
        <f>IF(NOT(ISNUMBER($A639)),NA(),IF(OR($A639&lt;MIN(DKW_10Y!$A$2:$A$2918),$A639&gt;MAX(DKW_10Y!$A$2:$A$2918),Settings!$B$16&lt;MIN(DKW_10Y!$A$2:$A$2918)),NA(),(INDEX(DKW_10Y!$H$2:$H$2918,MATCH($A639,DKW_10Y!$A$2:$A$2918,1))-INDEX(DKW_10Y!$H$2:$H$2918,MATCH(Settings!$B$16,DKW_10Y!$A$2:$A$2918,1)))*100))</f>
        <v/>
      </c>
      <c r="AC639" s="18">
        <f>IF(NOT(ISNUMBER($A639)),NA(),IFERROR(1*INDEX(BBG_Data!$N$2:$N$4000,MATCH($A639,BBG_Data!$M$2:$M$4000,0)),NA()))</f>
        <v/>
      </c>
      <c r="AD639" s="18">
        <f>IF(NOT(ISNUMBER($A639)),NA(),IFERROR(1*INDEX(BBG_Data!$P$2:$P$4000,MATCH($A639,BBG_Data!$O$2:$O$4000,0)),NA()))</f>
        <v/>
      </c>
      <c r="AE639" s="18">
        <f>IF(NOT(ISNUMBER($A639)),NA(),IFERROR(1*INDEX(BBG_Data!$R$2:$R$4000,MATCH($A639,BBG_Data!$Q$2:$Q$4000,0)),NA()))</f>
        <v/>
      </c>
      <c r="AF639" s="20">
        <f>IF(AND(ISNUMBER(B639),ISNUMBER(AC639)),(B639-AC639)*100,NA())</f>
        <v/>
      </c>
      <c r="AG639" s="20">
        <f>IF(AND(ISNUMBER(AE639),ISNUMBER(AD639)),(AE639-AD639)*100,NA())</f>
        <v/>
      </c>
      <c r="AH639" s="19">
        <f>IF(NOT(ISNUMBER($A639)),NA(),IFERROR(INDEX(BBG_Data!$T$2:$T$4000,MATCH($A639,BBG_Data!$S$2:$S$4000,0))*Settings!$B$25,NA()))</f>
        <v/>
      </c>
      <c r="AI639" s="19">
        <f>IF(NOT(ISNUMBER($A639)),NA(),IFERROR(INDEX(BBG_Data!$V$2:$V$4000,MATCH($A639,BBG_Data!$U$2:$U$4000,0))*Settings!$B$25,NA()))</f>
        <v/>
      </c>
      <c r="AJ639" s="19">
        <f>IF(NOT(ISNUMBER($A639)),NA(),IFERROR(1*INDEX(BBG_Data!$X$2:$X$4000,MATCH($A639,BBG_Data!$W$2:$W$4000,0)),NA()))</f>
        <v/>
      </c>
      <c r="AK639" s="19">
        <f>IF(NOT(ISNUMBER($A639)),NA(),IFERROR(1*INDEX(BBG_Data!$Z$2:$Z$4000,MATCH($A639,BBG_Data!$Y$2:$Y$4000,0)),NA()))</f>
        <v/>
      </c>
    </row>
    <row r="640">
      <c r="A640" s="17">
        <f>IF(ISNUMBER(BBG_Data!A640),BBG_Data!A640,"")</f>
        <v/>
      </c>
      <c r="B640" s="18">
        <f>IF(AND(ISNUMBER($A640),ISNUMBER(BBG_Data!B640)),BBG_Data!B640,NA())</f>
        <v/>
      </c>
      <c r="C640" s="18">
        <f>IF(NOT(ISNUMBER($A640)),NA(),IFERROR(1*INDEX(BBG_Data!$D$2:$D$4000,MATCH($A640,BBG_Data!$C$2:$C$4000,0)),NA()))</f>
        <v/>
      </c>
      <c r="D640" s="19">
        <f>IF(NOT(ISNUMBER($A640)),NA(),IFERROR(1*INDEX(BBG_Data!$F$2:$F$4000,MATCH($A640,BBG_Data!$E$2:$E$4000,0)),NA()))</f>
        <v/>
      </c>
      <c r="E640" s="19">
        <f>IF(NOT(ISNUMBER($A640)),NA(),IFERROR(1*INDEX(BBG_Data!$H$2:$H$4000,MATCH($A640,BBG_Data!$G$2:$G$4000,0)),NA()))</f>
        <v/>
      </c>
      <c r="F640" s="20">
        <f>IF(AND(ISNUMBER(B640),ISNUMBER(B639)),IF(B640=B639,"",(B640-B639)*100),"")</f>
        <v/>
      </c>
      <c r="G640" s="20">
        <f>IF(AND(ISNUMBER(C640),ISNUMBER(C639)),IF(C640=C639,"",(C640-C639)*100),"")</f>
        <v/>
      </c>
      <c r="H640" s="20">
        <f>IF(OR(NOT(ISNUMBER($A640)),ROW()-2&lt;Settings!$B$11),NA(),IF(COUNT(OFFSET(F640,1-Settings!$B$11,0,Settings!$B$11,1))&lt;ROUNDUP(Settings!$B$11*Settings!$B$26,0),NA(),STDEV(OFFSET(F640,1-Settings!$B$11,0,Settings!$B$11,1))*SQRT(Settings!$B$13)))</f>
        <v/>
      </c>
      <c r="I640" s="20">
        <f>IF(OR(NOT(ISNUMBER($A640)),ROW()-2&lt;Settings!$B$12),NA(),IF(COUNT(OFFSET(F640,1-Settings!$B$12,0,Settings!$B$12,1))&lt;ROUNDUP(Settings!$B$12*Settings!$B$26,0),NA(),STDEV(OFFSET(F640,1-Settings!$B$12,0,Settings!$B$12,1))*SQRT(Settings!$B$13)))</f>
        <v/>
      </c>
      <c r="J640" s="20">
        <f>IF(OR(NOT(ISNUMBER($A640)),ROW()-2&lt;Settings!$B$11),NA(),IF(COUNT(OFFSET(G640,1-Settings!$B$11,0,Settings!$B$11,1))&lt;ROUNDUP(Settings!$B$11*Settings!$B$26,0),NA(),STDEV(OFFSET(G640,1-Settings!$B$11,0,Settings!$B$11,1))*SQRT(Settings!$B$13)))</f>
        <v/>
      </c>
      <c r="K640" s="20">
        <f>IF(OR(NOT(ISNUMBER($A640)),ROW()-2&lt;Settings!$B$12),NA(),IF(COUNT(OFFSET(G640,1-Settings!$B$12,0,Settings!$B$12,1))&lt;ROUNDUP(Settings!$B$12*Settings!$B$26,0),NA(),STDEV(OFFSET(G640,1-Settings!$B$12,0,Settings!$B$12,1))*SQRT(Settings!$B$13)))</f>
        <v/>
      </c>
      <c r="L640" s="20">
        <f>IF(AND(ISNUMBER(D640),ISNUMBER(H640)),D640-H640,NA())</f>
        <v/>
      </c>
      <c r="M640" s="20">
        <f>IF(AND(ISNUMBER(E640),ISNUMBER(K640)),E640-K640,NA())</f>
        <v/>
      </c>
      <c r="N640" s="20">
        <f>IF(NOT(ISNUMBER($A640)),NA(),IF(COUNT(OFFSET(G640,1,0,Settings!$B$12,1))&lt;ROUNDUP(Settings!$B$12*Settings!$B$26,0),NA(),STDEV(OFFSET(G640,1,0,Settings!$B$12,1))*SQRT(Settings!$B$13)))</f>
        <v/>
      </c>
      <c r="O640" s="20">
        <f>IF(AND(ISNUMBER(E640),ISNUMBER(N640)),E640-N640,NA())</f>
        <v/>
      </c>
      <c r="P640" s="19">
        <f>IF(NOT(ISNUMBER($A640)),NA(),IF(OR($A640&lt;MIN(KW_TP!$A$2:$A$2501),$A640&gt;MAX(KW_TP!$A$2:$A$2501)),NA(),INDEX(KW_TP!$C$2:$C$2501,MATCH($A640,KW_TP!$A$2:$A$2501,1))))</f>
        <v/>
      </c>
      <c r="Q640" s="18">
        <f>IF(NOT(ISNUMBER($A640)),NA(),IFERROR(1*INDEX(BBG_Data!$J$2:$J$4000,MATCH($A640,BBG_Data!$I$2:$I$4000,0)),NA()))</f>
        <v/>
      </c>
      <c r="R640" s="18">
        <f>IF(NOT(ISNUMBER($A640)),NA(),IFERROR(1*INDEX(BBG_Data!$L$2:$L$4000,MATCH($A640,BBG_Data!$K$2:$K$4000,0)),NA()))</f>
        <v/>
      </c>
      <c r="S640" s="20">
        <f>IF(AND(ISNUMBER(B640),ISNUMBER(Q640),ISNUMBER(R640)),(B640-Q640-R640)*100,NA())</f>
        <v/>
      </c>
      <c r="T640" s="20">
        <f>IF(AND(ISNUMBER(B640),Settings!$B$17&gt;0),IF(ISNUMBER(INDEX($B:$B,Settings!$B$17)),(B640-INDEX($B:$B,Settings!$B$17))*100,NA()),NA())</f>
        <v/>
      </c>
      <c r="U640" s="20">
        <f>IF(AND(ISNUMBER(Q640),Settings!$B$17&gt;0),IF(ISNUMBER(INDEX($Q:$Q,Settings!$B$17)),(Q640-INDEX($Q:$Q,Settings!$B$17))*100,NA()),NA())</f>
        <v/>
      </c>
      <c r="V640" s="20">
        <f>IF(AND(ISNUMBER(R640),Settings!$B$17&gt;0),IF(ISNUMBER(INDEX($R:$R,Settings!$B$17)),(R640-INDEX($R:$R,Settings!$B$17))*100,NA()),NA())</f>
        <v/>
      </c>
      <c r="W640" s="20">
        <f>IF(AND(ISNUMBER(P640),Settings!$B$17&gt;0),IF(ISNUMBER(INDEX($P:$P,Settings!$B$17)),P640-INDEX($P:$P,Settings!$B$17),NA()),NA())</f>
        <v/>
      </c>
      <c r="X640" s="19">
        <f>IF(NOT(ISNUMBER($A640)),NA(),IF(OR($A640&lt;MIN(DKW_10Y!$A$2:$A$2918),$A640&gt;MAX(DKW_10Y!$A$2:$A$2918),Settings!$B$16&lt;MIN(DKW_10Y!$A$2:$A$2918)),NA(),(INDEX(DKW_10Y!$B$2:$B$2918,MATCH($A640,DKW_10Y!$A$2:$A$2918,1))-INDEX(DKW_10Y!$B$2:$B$2918,MATCH(Settings!$B$16,DKW_10Y!$A$2:$A$2918,1)))*100))</f>
        <v/>
      </c>
      <c r="Y640" s="19">
        <f>IF(NOT(ISNUMBER($A640)),NA(),IF(OR($A640&lt;MIN(DKW_10Y!$A$2:$A$2918),$A640&gt;MAX(DKW_10Y!$A$2:$A$2918),Settings!$B$16&lt;MIN(DKW_10Y!$A$2:$A$2918)),NA(),(INDEX(DKW_10Y!$C$2:$C$2918,MATCH($A640,DKW_10Y!$A$2:$A$2918,1))-INDEX(DKW_10Y!$C$2:$C$2918,MATCH(Settings!$B$16,DKW_10Y!$A$2:$A$2918,1)))*100))</f>
        <v/>
      </c>
      <c r="Z640" s="19">
        <f>IF(NOT(ISNUMBER($A640)),NA(),IF(OR($A640&lt;MIN(DKW_10Y!$A$2:$A$2918),$A640&gt;MAX(DKW_10Y!$A$2:$A$2918),Settings!$B$16&lt;MIN(DKW_10Y!$A$2:$A$2918)),NA(),(INDEX(DKW_10Y!$D$2:$D$2918,MATCH($A640,DKW_10Y!$A$2:$A$2918,1))-INDEX(DKW_10Y!$D$2:$D$2918,MATCH(Settings!$B$16,DKW_10Y!$A$2:$A$2918,1)))*100))</f>
        <v/>
      </c>
      <c r="AA640" s="19">
        <f>IF(NOT(ISNUMBER($A640)),NA(),IF(OR($A640&lt;MIN(DKW_10Y!$A$2:$A$2918),$A640&gt;MAX(DKW_10Y!$A$2:$A$2918),Settings!$B$16&lt;MIN(DKW_10Y!$A$2:$A$2918)),NA(),(INDEX(DKW_10Y!$E$2:$E$2918,MATCH($A640,DKW_10Y!$A$2:$A$2918,1))-INDEX(DKW_10Y!$E$2:$E$2918,MATCH(Settings!$B$16,DKW_10Y!$A$2:$A$2918,1)))*100))</f>
        <v/>
      </c>
      <c r="AB640" s="19">
        <f>IF(NOT(ISNUMBER($A640)),NA(),IF(OR($A640&lt;MIN(DKW_10Y!$A$2:$A$2918),$A640&gt;MAX(DKW_10Y!$A$2:$A$2918),Settings!$B$16&lt;MIN(DKW_10Y!$A$2:$A$2918)),NA(),(INDEX(DKW_10Y!$H$2:$H$2918,MATCH($A640,DKW_10Y!$A$2:$A$2918,1))-INDEX(DKW_10Y!$H$2:$H$2918,MATCH(Settings!$B$16,DKW_10Y!$A$2:$A$2918,1)))*100))</f>
        <v/>
      </c>
      <c r="AC640" s="18">
        <f>IF(NOT(ISNUMBER($A640)),NA(),IFERROR(1*INDEX(BBG_Data!$N$2:$N$4000,MATCH($A640,BBG_Data!$M$2:$M$4000,0)),NA()))</f>
        <v/>
      </c>
      <c r="AD640" s="18">
        <f>IF(NOT(ISNUMBER($A640)),NA(),IFERROR(1*INDEX(BBG_Data!$P$2:$P$4000,MATCH($A640,BBG_Data!$O$2:$O$4000,0)),NA()))</f>
        <v/>
      </c>
      <c r="AE640" s="18">
        <f>IF(NOT(ISNUMBER($A640)),NA(),IFERROR(1*INDEX(BBG_Data!$R$2:$R$4000,MATCH($A640,BBG_Data!$Q$2:$Q$4000,0)),NA()))</f>
        <v/>
      </c>
      <c r="AF640" s="20">
        <f>IF(AND(ISNUMBER(B640),ISNUMBER(AC640)),(B640-AC640)*100,NA())</f>
        <v/>
      </c>
      <c r="AG640" s="20">
        <f>IF(AND(ISNUMBER(AE640),ISNUMBER(AD640)),(AE640-AD640)*100,NA())</f>
        <v/>
      </c>
      <c r="AH640" s="19">
        <f>IF(NOT(ISNUMBER($A640)),NA(),IFERROR(INDEX(BBG_Data!$T$2:$T$4000,MATCH($A640,BBG_Data!$S$2:$S$4000,0))*Settings!$B$25,NA()))</f>
        <v/>
      </c>
      <c r="AI640" s="19">
        <f>IF(NOT(ISNUMBER($A640)),NA(),IFERROR(INDEX(BBG_Data!$V$2:$V$4000,MATCH($A640,BBG_Data!$U$2:$U$4000,0))*Settings!$B$25,NA()))</f>
        <v/>
      </c>
      <c r="AJ640" s="19">
        <f>IF(NOT(ISNUMBER($A640)),NA(),IFERROR(1*INDEX(BBG_Data!$X$2:$X$4000,MATCH($A640,BBG_Data!$W$2:$W$4000,0)),NA()))</f>
        <v/>
      </c>
      <c r="AK640" s="19">
        <f>IF(NOT(ISNUMBER($A640)),NA(),IFERROR(1*INDEX(BBG_Data!$Z$2:$Z$4000,MATCH($A640,BBG_Data!$Y$2:$Y$4000,0)),NA()))</f>
        <v/>
      </c>
    </row>
    <row r="641">
      <c r="A641" s="17">
        <f>IF(ISNUMBER(BBG_Data!A641),BBG_Data!A641,"")</f>
        <v/>
      </c>
      <c r="B641" s="18">
        <f>IF(AND(ISNUMBER($A641),ISNUMBER(BBG_Data!B641)),BBG_Data!B641,NA())</f>
        <v/>
      </c>
      <c r="C641" s="18">
        <f>IF(NOT(ISNUMBER($A641)),NA(),IFERROR(1*INDEX(BBG_Data!$D$2:$D$4000,MATCH($A641,BBG_Data!$C$2:$C$4000,0)),NA()))</f>
        <v/>
      </c>
      <c r="D641" s="19">
        <f>IF(NOT(ISNUMBER($A641)),NA(),IFERROR(1*INDEX(BBG_Data!$F$2:$F$4000,MATCH($A641,BBG_Data!$E$2:$E$4000,0)),NA()))</f>
        <v/>
      </c>
      <c r="E641" s="19">
        <f>IF(NOT(ISNUMBER($A641)),NA(),IFERROR(1*INDEX(BBG_Data!$H$2:$H$4000,MATCH($A641,BBG_Data!$G$2:$G$4000,0)),NA()))</f>
        <v/>
      </c>
      <c r="F641" s="20">
        <f>IF(AND(ISNUMBER(B641),ISNUMBER(B640)),IF(B641=B640,"",(B641-B640)*100),"")</f>
        <v/>
      </c>
      <c r="G641" s="20">
        <f>IF(AND(ISNUMBER(C641),ISNUMBER(C640)),IF(C641=C640,"",(C641-C640)*100),"")</f>
        <v/>
      </c>
      <c r="H641" s="20">
        <f>IF(OR(NOT(ISNUMBER($A641)),ROW()-2&lt;Settings!$B$11),NA(),IF(COUNT(OFFSET(F641,1-Settings!$B$11,0,Settings!$B$11,1))&lt;ROUNDUP(Settings!$B$11*Settings!$B$26,0),NA(),STDEV(OFFSET(F641,1-Settings!$B$11,0,Settings!$B$11,1))*SQRT(Settings!$B$13)))</f>
        <v/>
      </c>
      <c r="I641" s="20">
        <f>IF(OR(NOT(ISNUMBER($A641)),ROW()-2&lt;Settings!$B$12),NA(),IF(COUNT(OFFSET(F641,1-Settings!$B$12,0,Settings!$B$12,1))&lt;ROUNDUP(Settings!$B$12*Settings!$B$26,0),NA(),STDEV(OFFSET(F641,1-Settings!$B$12,0,Settings!$B$12,1))*SQRT(Settings!$B$13)))</f>
        <v/>
      </c>
      <c r="J641" s="20">
        <f>IF(OR(NOT(ISNUMBER($A641)),ROW()-2&lt;Settings!$B$11),NA(),IF(COUNT(OFFSET(G641,1-Settings!$B$11,0,Settings!$B$11,1))&lt;ROUNDUP(Settings!$B$11*Settings!$B$26,0),NA(),STDEV(OFFSET(G641,1-Settings!$B$11,0,Settings!$B$11,1))*SQRT(Settings!$B$13)))</f>
        <v/>
      </c>
      <c r="K641" s="20">
        <f>IF(OR(NOT(ISNUMBER($A641)),ROW()-2&lt;Settings!$B$12),NA(),IF(COUNT(OFFSET(G641,1-Settings!$B$12,0,Settings!$B$12,1))&lt;ROUNDUP(Settings!$B$12*Settings!$B$26,0),NA(),STDEV(OFFSET(G641,1-Settings!$B$12,0,Settings!$B$12,1))*SQRT(Settings!$B$13)))</f>
        <v/>
      </c>
      <c r="L641" s="20">
        <f>IF(AND(ISNUMBER(D641),ISNUMBER(H641)),D641-H641,NA())</f>
        <v/>
      </c>
      <c r="M641" s="20">
        <f>IF(AND(ISNUMBER(E641),ISNUMBER(K641)),E641-K641,NA())</f>
        <v/>
      </c>
      <c r="N641" s="20">
        <f>IF(NOT(ISNUMBER($A641)),NA(),IF(COUNT(OFFSET(G641,1,0,Settings!$B$12,1))&lt;ROUNDUP(Settings!$B$12*Settings!$B$26,0),NA(),STDEV(OFFSET(G641,1,0,Settings!$B$12,1))*SQRT(Settings!$B$13)))</f>
        <v/>
      </c>
      <c r="O641" s="20">
        <f>IF(AND(ISNUMBER(E641),ISNUMBER(N641)),E641-N641,NA())</f>
        <v/>
      </c>
      <c r="P641" s="19">
        <f>IF(NOT(ISNUMBER($A641)),NA(),IF(OR($A641&lt;MIN(KW_TP!$A$2:$A$2501),$A641&gt;MAX(KW_TP!$A$2:$A$2501)),NA(),INDEX(KW_TP!$C$2:$C$2501,MATCH($A641,KW_TP!$A$2:$A$2501,1))))</f>
        <v/>
      </c>
      <c r="Q641" s="18">
        <f>IF(NOT(ISNUMBER($A641)),NA(),IFERROR(1*INDEX(BBG_Data!$J$2:$J$4000,MATCH($A641,BBG_Data!$I$2:$I$4000,0)),NA()))</f>
        <v/>
      </c>
      <c r="R641" s="18">
        <f>IF(NOT(ISNUMBER($A641)),NA(),IFERROR(1*INDEX(BBG_Data!$L$2:$L$4000,MATCH($A641,BBG_Data!$K$2:$K$4000,0)),NA()))</f>
        <v/>
      </c>
      <c r="S641" s="20">
        <f>IF(AND(ISNUMBER(B641),ISNUMBER(Q641),ISNUMBER(R641)),(B641-Q641-R641)*100,NA())</f>
        <v/>
      </c>
      <c r="T641" s="20">
        <f>IF(AND(ISNUMBER(B641),Settings!$B$17&gt;0),IF(ISNUMBER(INDEX($B:$B,Settings!$B$17)),(B641-INDEX($B:$B,Settings!$B$17))*100,NA()),NA())</f>
        <v/>
      </c>
      <c r="U641" s="20">
        <f>IF(AND(ISNUMBER(Q641),Settings!$B$17&gt;0),IF(ISNUMBER(INDEX($Q:$Q,Settings!$B$17)),(Q641-INDEX($Q:$Q,Settings!$B$17))*100,NA()),NA())</f>
        <v/>
      </c>
      <c r="V641" s="20">
        <f>IF(AND(ISNUMBER(R641),Settings!$B$17&gt;0),IF(ISNUMBER(INDEX($R:$R,Settings!$B$17)),(R641-INDEX($R:$R,Settings!$B$17))*100,NA()),NA())</f>
        <v/>
      </c>
      <c r="W641" s="20">
        <f>IF(AND(ISNUMBER(P641),Settings!$B$17&gt;0),IF(ISNUMBER(INDEX($P:$P,Settings!$B$17)),P641-INDEX($P:$P,Settings!$B$17),NA()),NA())</f>
        <v/>
      </c>
      <c r="X641" s="19">
        <f>IF(NOT(ISNUMBER($A641)),NA(),IF(OR($A641&lt;MIN(DKW_10Y!$A$2:$A$2918),$A641&gt;MAX(DKW_10Y!$A$2:$A$2918),Settings!$B$16&lt;MIN(DKW_10Y!$A$2:$A$2918)),NA(),(INDEX(DKW_10Y!$B$2:$B$2918,MATCH($A641,DKW_10Y!$A$2:$A$2918,1))-INDEX(DKW_10Y!$B$2:$B$2918,MATCH(Settings!$B$16,DKW_10Y!$A$2:$A$2918,1)))*100))</f>
        <v/>
      </c>
      <c r="Y641" s="19">
        <f>IF(NOT(ISNUMBER($A641)),NA(),IF(OR($A641&lt;MIN(DKW_10Y!$A$2:$A$2918),$A641&gt;MAX(DKW_10Y!$A$2:$A$2918),Settings!$B$16&lt;MIN(DKW_10Y!$A$2:$A$2918)),NA(),(INDEX(DKW_10Y!$C$2:$C$2918,MATCH($A641,DKW_10Y!$A$2:$A$2918,1))-INDEX(DKW_10Y!$C$2:$C$2918,MATCH(Settings!$B$16,DKW_10Y!$A$2:$A$2918,1)))*100))</f>
        <v/>
      </c>
      <c r="Z641" s="19">
        <f>IF(NOT(ISNUMBER($A641)),NA(),IF(OR($A641&lt;MIN(DKW_10Y!$A$2:$A$2918),$A641&gt;MAX(DKW_10Y!$A$2:$A$2918),Settings!$B$16&lt;MIN(DKW_10Y!$A$2:$A$2918)),NA(),(INDEX(DKW_10Y!$D$2:$D$2918,MATCH($A641,DKW_10Y!$A$2:$A$2918,1))-INDEX(DKW_10Y!$D$2:$D$2918,MATCH(Settings!$B$16,DKW_10Y!$A$2:$A$2918,1)))*100))</f>
        <v/>
      </c>
      <c r="AA641" s="19">
        <f>IF(NOT(ISNUMBER($A641)),NA(),IF(OR($A641&lt;MIN(DKW_10Y!$A$2:$A$2918),$A641&gt;MAX(DKW_10Y!$A$2:$A$2918),Settings!$B$16&lt;MIN(DKW_10Y!$A$2:$A$2918)),NA(),(INDEX(DKW_10Y!$E$2:$E$2918,MATCH($A641,DKW_10Y!$A$2:$A$2918,1))-INDEX(DKW_10Y!$E$2:$E$2918,MATCH(Settings!$B$16,DKW_10Y!$A$2:$A$2918,1)))*100))</f>
        <v/>
      </c>
      <c r="AB641" s="19">
        <f>IF(NOT(ISNUMBER($A641)),NA(),IF(OR($A641&lt;MIN(DKW_10Y!$A$2:$A$2918),$A641&gt;MAX(DKW_10Y!$A$2:$A$2918),Settings!$B$16&lt;MIN(DKW_10Y!$A$2:$A$2918)),NA(),(INDEX(DKW_10Y!$H$2:$H$2918,MATCH($A641,DKW_10Y!$A$2:$A$2918,1))-INDEX(DKW_10Y!$H$2:$H$2918,MATCH(Settings!$B$16,DKW_10Y!$A$2:$A$2918,1)))*100))</f>
        <v/>
      </c>
      <c r="AC641" s="18">
        <f>IF(NOT(ISNUMBER($A641)),NA(),IFERROR(1*INDEX(BBG_Data!$N$2:$N$4000,MATCH($A641,BBG_Data!$M$2:$M$4000,0)),NA()))</f>
        <v/>
      </c>
      <c r="AD641" s="18">
        <f>IF(NOT(ISNUMBER($A641)),NA(),IFERROR(1*INDEX(BBG_Data!$P$2:$P$4000,MATCH($A641,BBG_Data!$O$2:$O$4000,0)),NA()))</f>
        <v/>
      </c>
      <c r="AE641" s="18">
        <f>IF(NOT(ISNUMBER($A641)),NA(),IFERROR(1*INDEX(BBG_Data!$R$2:$R$4000,MATCH($A641,BBG_Data!$Q$2:$Q$4000,0)),NA()))</f>
        <v/>
      </c>
      <c r="AF641" s="20">
        <f>IF(AND(ISNUMBER(B641),ISNUMBER(AC641)),(B641-AC641)*100,NA())</f>
        <v/>
      </c>
      <c r="AG641" s="20">
        <f>IF(AND(ISNUMBER(AE641),ISNUMBER(AD641)),(AE641-AD641)*100,NA())</f>
        <v/>
      </c>
      <c r="AH641" s="19">
        <f>IF(NOT(ISNUMBER($A641)),NA(),IFERROR(INDEX(BBG_Data!$T$2:$T$4000,MATCH($A641,BBG_Data!$S$2:$S$4000,0))*Settings!$B$25,NA()))</f>
        <v/>
      </c>
      <c r="AI641" s="19">
        <f>IF(NOT(ISNUMBER($A641)),NA(),IFERROR(INDEX(BBG_Data!$V$2:$V$4000,MATCH($A641,BBG_Data!$U$2:$U$4000,0))*Settings!$B$25,NA()))</f>
        <v/>
      </c>
      <c r="AJ641" s="19">
        <f>IF(NOT(ISNUMBER($A641)),NA(),IFERROR(1*INDEX(BBG_Data!$X$2:$X$4000,MATCH($A641,BBG_Data!$W$2:$W$4000,0)),NA()))</f>
        <v/>
      </c>
      <c r="AK641" s="19">
        <f>IF(NOT(ISNUMBER($A641)),NA(),IFERROR(1*INDEX(BBG_Data!$Z$2:$Z$4000,MATCH($A641,BBG_Data!$Y$2:$Y$4000,0)),NA()))</f>
        <v/>
      </c>
    </row>
    <row r="642">
      <c r="A642" s="17">
        <f>IF(ISNUMBER(BBG_Data!A642),BBG_Data!A642,"")</f>
        <v/>
      </c>
      <c r="B642" s="18">
        <f>IF(AND(ISNUMBER($A642),ISNUMBER(BBG_Data!B642)),BBG_Data!B642,NA())</f>
        <v/>
      </c>
      <c r="C642" s="18">
        <f>IF(NOT(ISNUMBER($A642)),NA(),IFERROR(1*INDEX(BBG_Data!$D$2:$D$4000,MATCH($A642,BBG_Data!$C$2:$C$4000,0)),NA()))</f>
        <v/>
      </c>
      <c r="D642" s="19">
        <f>IF(NOT(ISNUMBER($A642)),NA(),IFERROR(1*INDEX(BBG_Data!$F$2:$F$4000,MATCH($A642,BBG_Data!$E$2:$E$4000,0)),NA()))</f>
        <v/>
      </c>
      <c r="E642" s="19">
        <f>IF(NOT(ISNUMBER($A642)),NA(),IFERROR(1*INDEX(BBG_Data!$H$2:$H$4000,MATCH($A642,BBG_Data!$G$2:$G$4000,0)),NA()))</f>
        <v/>
      </c>
      <c r="F642" s="20">
        <f>IF(AND(ISNUMBER(B642),ISNUMBER(B641)),IF(B642=B641,"",(B642-B641)*100),"")</f>
        <v/>
      </c>
      <c r="G642" s="20">
        <f>IF(AND(ISNUMBER(C642),ISNUMBER(C641)),IF(C642=C641,"",(C642-C641)*100),"")</f>
        <v/>
      </c>
      <c r="H642" s="20">
        <f>IF(OR(NOT(ISNUMBER($A642)),ROW()-2&lt;Settings!$B$11),NA(),IF(COUNT(OFFSET(F642,1-Settings!$B$11,0,Settings!$B$11,1))&lt;ROUNDUP(Settings!$B$11*Settings!$B$26,0),NA(),STDEV(OFFSET(F642,1-Settings!$B$11,0,Settings!$B$11,1))*SQRT(Settings!$B$13)))</f>
        <v/>
      </c>
      <c r="I642" s="20">
        <f>IF(OR(NOT(ISNUMBER($A642)),ROW()-2&lt;Settings!$B$12),NA(),IF(COUNT(OFFSET(F642,1-Settings!$B$12,0,Settings!$B$12,1))&lt;ROUNDUP(Settings!$B$12*Settings!$B$26,0),NA(),STDEV(OFFSET(F642,1-Settings!$B$12,0,Settings!$B$12,1))*SQRT(Settings!$B$13)))</f>
        <v/>
      </c>
      <c r="J642" s="20">
        <f>IF(OR(NOT(ISNUMBER($A642)),ROW()-2&lt;Settings!$B$11),NA(),IF(COUNT(OFFSET(G642,1-Settings!$B$11,0,Settings!$B$11,1))&lt;ROUNDUP(Settings!$B$11*Settings!$B$26,0),NA(),STDEV(OFFSET(G642,1-Settings!$B$11,0,Settings!$B$11,1))*SQRT(Settings!$B$13)))</f>
        <v/>
      </c>
      <c r="K642" s="20">
        <f>IF(OR(NOT(ISNUMBER($A642)),ROW()-2&lt;Settings!$B$12),NA(),IF(COUNT(OFFSET(G642,1-Settings!$B$12,0,Settings!$B$12,1))&lt;ROUNDUP(Settings!$B$12*Settings!$B$26,0),NA(),STDEV(OFFSET(G642,1-Settings!$B$12,0,Settings!$B$12,1))*SQRT(Settings!$B$13)))</f>
        <v/>
      </c>
      <c r="L642" s="20">
        <f>IF(AND(ISNUMBER(D642),ISNUMBER(H642)),D642-H642,NA())</f>
        <v/>
      </c>
      <c r="M642" s="20">
        <f>IF(AND(ISNUMBER(E642),ISNUMBER(K642)),E642-K642,NA())</f>
        <v/>
      </c>
      <c r="N642" s="20">
        <f>IF(NOT(ISNUMBER($A642)),NA(),IF(COUNT(OFFSET(G642,1,0,Settings!$B$12,1))&lt;ROUNDUP(Settings!$B$12*Settings!$B$26,0),NA(),STDEV(OFFSET(G642,1,0,Settings!$B$12,1))*SQRT(Settings!$B$13)))</f>
        <v/>
      </c>
      <c r="O642" s="20">
        <f>IF(AND(ISNUMBER(E642),ISNUMBER(N642)),E642-N642,NA())</f>
        <v/>
      </c>
      <c r="P642" s="19">
        <f>IF(NOT(ISNUMBER($A642)),NA(),IF(OR($A642&lt;MIN(KW_TP!$A$2:$A$2501),$A642&gt;MAX(KW_TP!$A$2:$A$2501)),NA(),INDEX(KW_TP!$C$2:$C$2501,MATCH($A642,KW_TP!$A$2:$A$2501,1))))</f>
        <v/>
      </c>
      <c r="Q642" s="18">
        <f>IF(NOT(ISNUMBER($A642)),NA(),IFERROR(1*INDEX(BBG_Data!$J$2:$J$4000,MATCH($A642,BBG_Data!$I$2:$I$4000,0)),NA()))</f>
        <v/>
      </c>
      <c r="R642" s="18">
        <f>IF(NOT(ISNUMBER($A642)),NA(),IFERROR(1*INDEX(BBG_Data!$L$2:$L$4000,MATCH($A642,BBG_Data!$K$2:$K$4000,0)),NA()))</f>
        <v/>
      </c>
      <c r="S642" s="20">
        <f>IF(AND(ISNUMBER(B642),ISNUMBER(Q642),ISNUMBER(R642)),(B642-Q642-R642)*100,NA())</f>
        <v/>
      </c>
      <c r="T642" s="20">
        <f>IF(AND(ISNUMBER(B642),Settings!$B$17&gt;0),IF(ISNUMBER(INDEX($B:$B,Settings!$B$17)),(B642-INDEX($B:$B,Settings!$B$17))*100,NA()),NA())</f>
        <v/>
      </c>
      <c r="U642" s="20">
        <f>IF(AND(ISNUMBER(Q642),Settings!$B$17&gt;0),IF(ISNUMBER(INDEX($Q:$Q,Settings!$B$17)),(Q642-INDEX($Q:$Q,Settings!$B$17))*100,NA()),NA())</f>
        <v/>
      </c>
      <c r="V642" s="20">
        <f>IF(AND(ISNUMBER(R642),Settings!$B$17&gt;0),IF(ISNUMBER(INDEX($R:$R,Settings!$B$17)),(R642-INDEX($R:$R,Settings!$B$17))*100,NA()),NA())</f>
        <v/>
      </c>
      <c r="W642" s="20">
        <f>IF(AND(ISNUMBER(P642),Settings!$B$17&gt;0),IF(ISNUMBER(INDEX($P:$P,Settings!$B$17)),P642-INDEX($P:$P,Settings!$B$17),NA()),NA())</f>
        <v/>
      </c>
      <c r="X642" s="19">
        <f>IF(NOT(ISNUMBER($A642)),NA(),IF(OR($A642&lt;MIN(DKW_10Y!$A$2:$A$2918),$A642&gt;MAX(DKW_10Y!$A$2:$A$2918),Settings!$B$16&lt;MIN(DKW_10Y!$A$2:$A$2918)),NA(),(INDEX(DKW_10Y!$B$2:$B$2918,MATCH($A642,DKW_10Y!$A$2:$A$2918,1))-INDEX(DKW_10Y!$B$2:$B$2918,MATCH(Settings!$B$16,DKW_10Y!$A$2:$A$2918,1)))*100))</f>
        <v/>
      </c>
      <c r="Y642" s="19">
        <f>IF(NOT(ISNUMBER($A642)),NA(),IF(OR($A642&lt;MIN(DKW_10Y!$A$2:$A$2918),$A642&gt;MAX(DKW_10Y!$A$2:$A$2918),Settings!$B$16&lt;MIN(DKW_10Y!$A$2:$A$2918)),NA(),(INDEX(DKW_10Y!$C$2:$C$2918,MATCH($A642,DKW_10Y!$A$2:$A$2918,1))-INDEX(DKW_10Y!$C$2:$C$2918,MATCH(Settings!$B$16,DKW_10Y!$A$2:$A$2918,1)))*100))</f>
        <v/>
      </c>
      <c r="Z642" s="19">
        <f>IF(NOT(ISNUMBER($A642)),NA(),IF(OR($A642&lt;MIN(DKW_10Y!$A$2:$A$2918),$A642&gt;MAX(DKW_10Y!$A$2:$A$2918),Settings!$B$16&lt;MIN(DKW_10Y!$A$2:$A$2918)),NA(),(INDEX(DKW_10Y!$D$2:$D$2918,MATCH($A642,DKW_10Y!$A$2:$A$2918,1))-INDEX(DKW_10Y!$D$2:$D$2918,MATCH(Settings!$B$16,DKW_10Y!$A$2:$A$2918,1)))*100))</f>
        <v/>
      </c>
      <c r="AA642" s="19">
        <f>IF(NOT(ISNUMBER($A642)),NA(),IF(OR($A642&lt;MIN(DKW_10Y!$A$2:$A$2918),$A642&gt;MAX(DKW_10Y!$A$2:$A$2918),Settings!$B$16&lt;MIN(DKW_10Y!$A$2:$A$2918)),NA(),(INDEX(DKW_10Y!$E$2:$E$2918,MATCH($A642,DKW_10Y!$A$2:$A$2918,1))-INDEX(DKW_10Y!$E$2:$E$2918,MATCH(Settings!$B$16,DKW_10Y!$A$2:$A$2918,1)))*100))</f>
        <v/>
      </c>
      <c r="AB642" s="19">
        <f>IF(NOT(ISNUMBER($A642)),NA(),IF(OR($A642&lt;MIN(DKW_10Y!$A$2:$A$2918),$A642&gt;MAX(DKW_10Y!$A$2:$A$2918),Settings!$B$16&lt;MIN(DKW_10Y!$A$2:$A$2918)),NA(),(INDEX(DKW_10Y!$H$2:$H$2918,MATCH($A642,DKW_10Y!$A$2:$A$2918,1))-INDEX(DKW_10Y!$H$2:$H$2918,MATCH(Settings!$B$16,DKW_10Y!$A$2:$A$2918,1)))*100))</f>
        <v/>
      </c>
      <c r="AC642" s="18">
        <f>IF(NOT(ISNUMBER($A642)),NA(),IFERROR(1*INDEX(BBG_Data!$N$2:$N$4000,MATCH($A642,BBG_Data!$M$2:$M$4000,0)),NA()))</f>
        <v/>
      </c>
      <c r="AD642" s="18">
        <f>IF(NOT(ISNUMBER($A642)),NA(),IFERROR(1*INDEX(BBG_Data!$P$2:$P$4000,MATCH($A642,BBG_Data!$O$2:$O$4000,0)),NA()))</f>
        <v/>
      </c>
      <c r="AE642" s="18">
        <f>IF(NOT(ISNUMBER($A642)),NA(),IFERROR(1*INDEX(BBG_Data!$R$2:$R$4000,MATCH($A642,BBG_Data!$Q$2:$Q$4000,0)),NA()))</f>
        <v/>
      </c>
      <c r="AF642" s="20">
        <f>IF(AND(ISNUMBER(B642),ISNUMBER(AC642)),(B642-AC642)*100,NA())</f>
        <v/>
      </c>
      <c r="AG642" s="20">
        <f>IF(AND(ISNUMBER(AE642),ISNUMBER(AD642)),(AE642-AD642)*100,NA())</f>
        <v/>
      </c>
      <c r="AH642" s="19">
        <f>IF(NOT(ISNUMBER($A642)),NA(),IFERROR(INDEX(BBG_Data!$T$2:$T$4000,MATCH($A642,BBG_Data!$S$2:$S$4000,0))*Settings!$B$25,NA()))</f>
        <v/>
      </c>
      <c r="AI642" s="19">
        <f>IF(NOT(ISNUMBER($A642)),NA(),IFERROR(INDEX(BBG_Data!$V$2:$V$4000,MATCH($A642,BBG_Data!$U$2:$U$4000,0))*Settings!$B$25,NA()))</f>
        <v/>
      </c>
      <c r="AJ642" s="19">
        <f>IF(NOT(ISNUMBER($A642)),NA(),IFERROR(1*INDEX(BBG_Data!$X$2:$X$4000,MATCH($A642,BBG_Data!$W$2:$W$4000,0)),NA()))</f>
        <v/>
      </c>
      <c r="AK642" s="19">
        <f>IF(NOT(ISNUMBER($A642)),NA(),IFERROR(1*INDEX(BBG_Data!$Z$2:$Z$4000,MATCH($A642,BBG_Data!$Y$2:$Y$4000,0)),NA()))</f>
        <v/>
      </c>
    </row>
    <row r="643">
      <c r="A643" s="17">
        <f>IF(ISNUMBER(BBG_Data!A643),BBG_Data!A643,"")</f>
        <v/>
      </c>
      <c r="B643" s="18">
        <f>IF(AND(ISNUMBER($A643),ISNUMBER(BBG_Data!B643)),BBG_Data!B643,NA())</f>
        <v/>
      </c>
      <c r="C643" s="18">
        <f>IF(NOT(ISNUMBER($A643)),NA(),IFERROR(1*INDEX(BBG_Data!$D$2:$D$4000,MATCH($A643,BBG_Data!$C$2:$C$4000,0)),NA()))</f>
        <v/>
      </c>
      <c r="D643" s="19">
        <f>IF(NOT(ISNUMBER($A643)),NA(),IFERROR(1*INDEX(BBG_Data!$F$2:$F$4000,MATCH($A643,BBG_Data!$E$2:$E$4000,0)),NA()))</f>
        <v/>
      </c>
      <c r="E643" s="19">
        <f>IF(NOT(ISNUMBER($A643)),NA(),IFERROR(1*INDEX(BBG_Data!$H$2:$H$4000,MATCH($A643,BBG_Data!$G$2:$G$4000,0)),NA()))</f>
        <v/>
      </c>
      <c r="F643" s="20">
        <f>IF(AND(ISNUMBER(B643),ISNUMBER(B642)),IF(B643=B642,"",(B643-B642)*100),"")</f>
        <v/>
      </c>
      <c r="G643" s="20">
        <f>IF(AND(ISNUMBER(C643),ISNUMBER(C642)),IF(C643=C642,"",(C643-C642)*100),"")</f>
        <v/>
      </c>
      <c r="H643" s="20">
        <f>IF(OR(NOT(ISNUMBER($A643)),ROW()-2&lt;Settings!$B$11),NA(),IF(COUNT(OFFSET(F643,1-Settings!$B$11,0,Settings!$B$11,1))&lt;ROUNDUP(Settings!$B$11*Settings!$B$26,0),NA(),STDEV(OFFSET(F643,1-Settings!$B$11,0,Settings!$B$11,1))*SQRT(Settings!$B$13)))</f>
        <v/>
      </c>
      <c r="I643" s="20">
        <f>IF(OR(NOT(ISNUMBER($A643)),ROW()-2&lt;Settings!$B$12),NA(),IF(COUNT(OFFSET(F643,1-Settings!$B$12,0,Settings!$B$12,1))&lt;ROUNDUP(Settings!$B$12*Settings!$B$26,0),NA(),STDEV(OFFSET(F643,1-Settings!$B$12,0,Settings!$B$12,1))*SQRT(Settings!$B$13)))</f>
        <v/>
      </c>
      <c r="J643" s="20">
        <f>IF(OR(NOT(ISNUMBER($A643)),ROW()-2&lt;Settings!$B$11),NA(),IF(COUNT(OFFSET(G643,1-Settings!$B$11,0,Settings!$B$11,1))&lt;ROUNDUP(Settings!$B$11*Settings!$B$26,0),NA(),STDEV(OFFSET(G643,1-Settings!$B$11,0,Settings!$B$11,1))*SQRT(Settings!$B$13)))</f>
        <v/>
      </c>
      <c r="K643" s="20">
        <f>IF(OR(NOT(ISNUMBER($A643)),ROW()-2&lt;Settings!$B$12),NA(),IF(COUNT(OFFSET(G643,1-Settings!$B$12,0,Settings!$B$12,1))&lt;ROUNDUP(Settings!$B$12*Settings!$B$26,0),NA(),STDEV(OFFSET(G643,1-Settings!$B$12,0,Settings!$B$12,1))*SQRT(Settings!$B$13)))</f>
        <v/>
      </c>
      <c r="L643" s="20">
        <f>IF(AND(ISNUMBER(D643),ISNUMBER(H643)),D643-H643,NA())</f>
        <v/>
      </c>
      <c r="M643" s="20">
        <f>IF(AND(ISNUMBER(E643),ISNUMBER(K643)),E643-K643,NA())</f>
        <v/>
      </c>
      <c r="N643" s="20">
        <f>IF(NOT(ISNUMBER($A643)),NA(),IF(COUNT(OFFSET(G643,1,0,Settings!$B$12,1))&lt;ROUNDUP(Settings!$B$12*Settings!$B$26,0),NA(),STDEV(OFFSET(G643,1,0,Settings!$B$12,1))*SQRT(Settings!$B$13)))</f>
        <v/>
      </c>
      <c r="O643" s="20">
        <f>IF(AND(ISNUMBER(E643),ISNUMBER(N643)),E643-N643,NA())</f>
        <v/>
      </c>
      <c r="P643" s="19">
        <f>IF(NOT(ISNUMBER($A643)),NA(),IF(OR($A643&lt;MIN(KW_TP!$A$2:$A$2501),$A643&gt;MAX(KW_TP!$A$2:$A$2501)),NA(),INDEX(KW_TP!$C$2:$C$2501,MATCH($A643,KW_TP!$A$2:$A$2501,1))))</f>
        <v/>
      </c>
      <c r="Q643" s="18">
        <f>IF(NOT(ISNUMBER($A643)),NA(),IFERROR(1*INDEX(BBG_Data!$J$2:$J$4000,MATCH($A643,BBG_Data!$I$2:$I$4000,0)),NA()))</f>
        <v/>
      </c>
      <c r="R643" s="18">
        <f>IF(NOT(ISNUMBER($A643)),NA(),IFERROR(1*INDEX(BBG_Data!$L$2:$L$4000,MATCH($A643,BBG_Data!$K$2:$K$4000,0)),NA()))</f>
        <v/>
      </c>
      <c r="S643" s="20">
        <f>IF(AND(ISNUMBER(B643),ISNUMBER(Q643),ISNUMBER(R643)),(B643-Q643-R643)*100,NA())</f>
        <v/>
      </c>
      <c r="T643" s="20">
        <f>IF(AND(ISNUMBER(B643),Settings!$B$17&gt;0),IF(ISNUMBER(INDEX($B:$B,Settings!$B$17)),(B643-INDEX($B:$B,Settings!$B$17))*100,NA()),NA())</f>
        <v/>
      </c>
      <c r="U643" s="20">
        <f>IF(AND(ISNUMBER(Q643),Settings!$B$17&gt;0),IF(ISNUMBER(INDEX($Q:$Q,Settings!$B$17)),(Q643-INDEX($Q:$Q,Settings!$B$17))*100,NA()),NA())</f>
        <v/>
      </c>
      <c r="V643" s="20">
        <f>IF(AND(ISNUMBER(R643),Settings!$B$17&gt;0),IF(ISNUMBER(INDEX($R:$R,Settings!$B$17)),(R643-INDEX($R:$R,Settings!$B$17))*100,NA()),NA())</f>
        <v/>
      </c>
      <c r="W643" s="20">
        <f>IF(AND(ISNUMBER(P643),Settings!$B$17&gt;0),IF(ISNUMBER(INDEX($P:$P,Settings!$B$17)),P643-INDEX($P:$P,Settings!$B$17),NA()),NA())</f>
        <v/>
      </c>
      <c r="X643" s="19">
        <f>IF(NOT(ISNUMBER($A643)),NA(),IF(OR($A643&lt;MIN(DKW_10Y!$A$2:$A$2918),$A643&gt;MAX(DKW_10Y!$A$2:$A$2918),Settings!$B$16&lt;MIN(DKW_10Y!$A$2:$A$2918)),NA(),(INDEX(DKW_10Y!$B$2:$B$2918,MATCH($A643,DKW_10Y!$A$2:$A$2918,1))-INDEX(DKW_10Y!$B$2:$B$2918,MATCH(Settings!$B$16,DKW_10Y!$A$2:$A$2918,1)))*100))</f>
        <v/>
      </c>
      <c r="Y643" s="19">
        <f>IF(NOT(ISNUMBER($A643)),NA(),IF(OR($A643&lt;MIN(DKW_10Y!$A$2:$A$2918),$A643&gt;MAX(DKW_10Y!$A$2:$A$2918),Settings!$B$16&lt;MIN(DKW_10Y!$A$2:$A$2918)),NA(),(INDEX(DKW_10Y!$C$2:$C$2918,MATCH($A643,DKW_10Y!$A$2:$A$2918,1))-INDEX(DKW_10Y!$C$2:$C$2918,MATCH(Settings!$B$16,DKW_10Y!$A$2:$A$2918,1)))*100))</f>
        <v/>
      </c>
      <c r="Z643" s="19">
        <f>IF(NOT(ISNUMBER($A643)),NA(),IF(OR($A643&lt;MIN(DKW_10Y!$A$2:$A$2918),$A643&gt;MAX(DKW_10Y!$A$2:$A$2918),Settings!$B$16&lt;MIN(DKW_10Y!$A$2:$A$2918)),NA(),(INDEX(DKW_10Y!$D$2:$D$2918,MATCH($A643,DKW_10Y!$A$2:$A$2918,1))-INDEX(DKW_10Y!$D$2:$D$2918,MATCH(Settings!$B$16,DKW_10Y!$A$2:$A$2918,1)))*100))</f>
        <v/>
      </c>
      <c r="AA643" s="19">
        <f>IF(NOT(ISNUMBER($A643)),NA(),IF(OR($A643&lt;MIN(DKW_10Y!$A$2:$A$2918),$A643&gt;MAX(DKW_10Y!$A$2:$A$2918),Settings!$B$16&lt;MIN(DKW_10Y!$A$2:$A$2918)),NA(),(INDEX(DKW_10Y!$E$2:$E$2918,MATCH($A643,DKW_10Y!$A$2:$A$2918,1))-INDEX(DKW_10Y!$E$2:$E$2918,MATCH(Settings!$B$16,DKW_10Y!$A$2:$A$2918,1)))*100))</f>
        <v/>
      </c>
      <c r="AB643" s="19">
        <f>IF(NOT(ISNUMBER($A643)),NA(),IF(OR($A643&lt;MIN(DKW_10Y!$A$2:$A$2918),$A643&gt;MAX(DKW_10Y!$A$2:$A$2918),Settings!$B$16&lt;MIN(DKW_10Y!$A$2:$A$2918)),NA(),(INDEX(DKW_10Y!$H$2:$H$2918,MATCH($A643,DKW_10Y!$A$2:$A$2918,1))-INDEX(DKW_10Y!$H$2:$H$2918,MATCH(Settings!$B$16,DKW_10Y!$A$2:$A$2918,1)))*100))</f>
        <v/>
      </c>
      <c r="AC643" s="18">
        <f>IF(NOT(ISNUMBER($A643)),NA(),IFERROR(1*INDEX(BBG_Data!$N$2:$N$4000,MATCH($A643,BBG_Data!$M$2:$M$4000,0)),NA()))</f>
        <v/>
      </c>
      <c r="AD643" s="18">
        <f>IF(NOT(ISNUMBER($A643)),NA(),IFERROR(1*INDEX(BBG_Data!$P$2:$P$4000,MATCH($A643,BBG_Data!$O$2:$O$4000,0)),NA()))</f>
        <v/>
      </c>
      <c r="AE643" s="18">
        <f>IF(NOT(ISNUMBER($A643)),NA(),IFERROR(1*INDEX(BBG_Data!$R$2:$R$4000,MATCH($A643,BBG_Data!$Q$2:$Q$4000,0)),NA()))</f>
        <v/>
      </c>
      <c r="AF643" s="20">
        <f>IF(AND(ISNUMBER(B643),ISNUMBER(AC643)),(B643-AC643)*100,NA())</f>
        <v/>
      </c>
      <c r="AG643" s="20">
        <f>IF(AND(ISNUMBER(AE643),ISNUMBER(AD643)),(AE643-AD643)*100,NA())</f>
        <v/>
      </c>
      <c r="AH643" s="19">
        <f>IF(NOT(ISNUMBER($A643)),NA(),IFERROR(INDEX(BBG_Data!$T$2:$T$4000,MATCH($A643,BBG_Data!$S$2:$S$4000,0))*Settings!$B$25,NA()))</f>
        <v/>
      </c>
      <c r="AI643" s="19">
        <f>IF(NOT(ISNUMBER($A643)),NA(),IFERROR(INDEX(BBG_Data!$V$2:$V$4000,MATCH($A643,BBG_Data!$U$2:$U$4000,0))*Settings!$B$25,NA()))</f>
        <v/>
      </c>
      <c r="AJ643" s="19">
        <f>IF(NOT(ISNUMBER($A643)),NA(),IFERROR(1*INDEX(BBG_Data!$X$2:$X$4000,MATCH($A643,BBG_Data!$W$2:$W$4000,0)),NA()))</f>
        <v/>
      </c>
      <c r="AK643" s="19">
        <f>IF(NOT(ISNUMBER($A643)),NA(),IFERROR(1*INDEX(BBG_Data!$Z$2:$Z$4000,MATCH($A643,BBG_Data!$Y$2:$Y$4000,0)),NA()))</f>
        <v/>
      </c>
    </row>
    <row r="644">
      <c r="A644" s="17">
        <f>IF(ISNUMBER(BBG_Data!A644),BBG_Data!A644,"")</f>
        <v/>
      </c>
      <c r="B644" s="18">
        <f>IF(AND(ISNUMBER($A644),ISNUMBER(BBG_Data!B644)),BBG_Data!B644,NA())</f>
        <v/>
      </c>
      <c r="C644" s="18">
        <f>IF(NOT(ISNUMBER($A644)),NA(),IFERROR(1*INDEX(BBG_Data!$D$2:$D$4000,MATCH($A644,BBG_Data!$C$2:$C$4000,0)),NA()))</f>
        <v/>
      </c>
      <c r="D644" s="19">
        <f>IF(NOT(ISNUMBER($A644)),NA(),IFERROR(1*INDEX(BBG_Data!$F$2:$F$4000,MATCH($A644,BBG_Data!$E$2:$E$4000,0)),NA()))</f>
        <v/>
      </c>
      <c r="E644" s="19">
        <f>IF(NOT(ISNUMBER($A644)),NA(),IFERROR(1*INDEX(BBG_Data!$H$2:$H$4000,MATCH($A644,BBG_Data!$G$2:$G$4000,0)),NA()))</f>
        <v/>
      </c>
      <c r="F644" s="20">
        <f>IF(AND(ISNUMBER(B644),ISNUMBER(B643)),IF(B644=B643,"",(B644-B643)*100),"")</f>
        <v/>
      </c>
      <c r="G644" s="20">
        <f>IF(AND(ISNUMBER(C644),ISNUMBER(C643)),IF(C644=C643,"",(C644-C643)*100),"")</f>
        <v/>
      </c>
      <c r="H644" s="20">
        <f>IF(OR(NOT(ISNUMBER($A644)),ROW()-2&lt;Settings!$B$11),NA(),IF(COUNT(OFFSET(F644,1-Settings!$B$11,0,Settings!$B$11,1))&lt;ROUNDUP(Settings!$B$11*Settings!$B$26,0),NA(),STDEV(OFFSET(F644,1-Settings!$B$11,0,Settings!$B$11,1))*SQRT(Settings!$B$13)))</f>
        <v/>
      </c>
      <c r="I644" s="20">
        <f>IF(OR(NOT(ISNUMBER($A644)),ROW()-2&lt;Settings!$B$12),NA(),IF(COUNT(OFFSET(F644,1-Settings!$B$12,0,Settings!$B$12,1))&lt;ROUNDUP(Settings!$B$12*Settings!$B$26,0),NA(),STDEV(OFFSET(F644,1-Settings!$B$12,0,Settings!$B$12,1))*SQRT(Settings!$B$13)))</f>
        <v/>
      </c>
      <c r="J644" s="20">
        <f>IF(OR(NOT(ISNUMBER($A644)),ROW()-2&lt;Settings!$B$11),NA(),IF(COUNT(OFFSET(G644,1-Settings!$B$11,0,Settings!$B$11,1))&lt;ROUNDUP(Settings!$B$11*Settings!$B$26,0),NA(),STDEV(OFFSET(G644,1-Settings!$B$11,0,Settings!$B$11,1))*SQRT(Settings!$B$13)))</f>
        <v/>
      </c>
      <c r="K644" s="20">
        <f>IF(OR(NOT(ISNUMBER($A644)),ROW()-2&lt;Settings!$B$12),NA(),IF(COUNT(OFFSET(G644,1-Settings!$B$12,0,Settings!$B$12,1))&lt;ROUNDUP(Settings!$B$12*Settings!$B$26,0),NA(),STDEV(OFFSET(G644,1-Settings!$B$12,0,Settings!$B$12,1))*SQRT(Settings!$B$13)))</f>
        <v/>
      </c>
      <c r="L644" s="20">
        <f>IF(AND(ISNUMBER(D644),ISNUMBER(H644)),D644-H644,NA())</f>
        <v/>
      </c>
      <c r="M644" s="20">
        <f>IF(AND(ISNUMBER(E644),ISNUMBER(K644)),E644-K644,NA())</f>
        <v/>
      </c>
      <c r="N644" s="20">
        <f>IF(NOT(ISNUMBER($A644)),NA(),IF(COUNT(OFFSET(G644,1,0,Settings!$B$12,1))&lt;ROUNDUP(Settings!$B$12*Settings!$B$26,0),NA(),STDEV(OFFSET(G644,1,0,Settings!$B$12,1))*SQRT(Settings!$B$13)))</f>
        <v/>
      </c>
      <c r="O644" s="20">
        <f>IF(AND(ISNUMBER(E644),ISNUMBER(N644)),E644-N644,NA())</f>
        <v/>
      </c>
      <c r="P644" s="19">
        <f>IF(NOT(ISNUMBER($A644)),NA(),IF(OR($A644&lt;MIN(KW_TP!$A$2:$A$2501),$A644&gt;MAX(KW_TP!$A$2:$A$2501)),NA(),INDEX(KW_TP!$C$2:$C$2501,MATCH($A644,KW_TP!$A$2:$A$2501,1))))</f>
        <v/>
      </c>
      <c r="Q644" s="18">
        <f>IF(NOT(ISNUMBER($A644)),NA(),IFERROR(1*INDEX(BBG_Data!$J$2:$J$4000,MATCH($A644,BBG_Data!$I$2:$I$4000,0)),NA()))</f>
        <v/>
      </c>
      <c r="R644" s="18">
        <f>IF(NOT(ISNUMBER($A644)),NA(),IFERROR(1*INDEX(BBG_Data!$L$2:$L$4000,MATCH($A644,BBG_Data!$K$2:$K$4000,0)),NA()))</f>
        <v/>
      </c>
      <c r="S644" s="20">
        <f>IF(AND(ISNUMBER(B644),ISNUMBER(Q644),ISNUMBER(R644)),(B644-Q644-R644)*100,NA())</f>
        <v/>
      </c>
      <c r="T644" s="20">
        <f>IF(AND(ISNUMBER(B644),Settings!$B$17&gt;0),IF(ISNUMBER(INDEX($B:$B,Settings!$B$17)),(B644-INDEX($B:$B,Settings!$B$17))*100,NA()),NA())</f>
        <v/>
      </c>
      <c r="U644" s="20">
        <f>IF(AND(ISNUMBER(Q644),Settings!$B$17&gt;0),IF(ISNUMBER(INDEX($Q:$Q,Settings!$B$17)),(Q644-INDEX($Q:$Q,Settings!$B$17))*100,NA()),NA())</f>
        <v/>
      </c>
      <c r="V644" s="20">
        <f>IF(AND(ISNUMBER(R644),Settings!$B$17&gt;0),IF(ISNUMBER(INDEX($R:$R,Settings!$B$17)),(R644-INDEX($R:$R,Settings!$B$17))*100,NA()),NA())</f>
        <v/>
      </c>
      <c r="W644" s="20">
        <f>IF(AND(ISNUMBER(P644),Settings!$B$17&gt;0),IF(ISNUMBER(INDEX($P:$P,Settings!$B$17)),P644-INDEX($P:$P,Settings!$B$17),NA()),NA())</f>
        <v/>
      </c>
      <c r="X644" s="19">
        <f>IF(NOT(ISNUMBER($A644)),NA(),IF(OR($A644&lt;MIN(DKW_10Y!$A$2:$A$2918),$A644&gt;MAX(DKW_10Y!$A$2:$A$2918),Settings!$B$16&lt;MIN(DKW_10Y!$A$2:$A$2918)),NA(),(INDEX(DKW_10Y!$B$2:$B$2918,MATCH($A644,DKW_10Y!$A$2:$A$2918,1))-INDEX(DKW_10Y!$B$2:$B$2918,MATCH(Settings!$B$16,DKW_10Y!$A$2:$A$2918,1)))*100))</f>
        <v/>
      </c>
      <c r="Y644" s="19">
        <f>IF(NOT(ISNUMBER($A644)),NA(),IF(OR($A644&lt;MIN(DKW_10Y!$A$2:$A$2918),$A644&gt;MAX(DKW_10Y!$A$2:$A$2918),Settings!$B$16&lt;MIN(DKW_10Y!$A$2:$A$2918)),NA(),(INDEX(DKW_10Y!$C$2:$C$2918,MATCH($A644,DKW_10Y!$A$2:$A$2918,1))-INDEX(DKW_10Y!$C$2:$C$2918,MATCH(Settings!$B$16,DKW_10Y!$A$2:$A$2918,1)))*100))</f>
        <v/>
      </c>
      <c r="Z644" s="19">
        <f>IF(NOT(ISNUMBER($A644)),NA(),IF(OR($A644&lt;MIN(DKW_10Y!$A$2:$A$2918),$A644&gt;MAX(DKW_10Y!$A$2:$A$2918),Settings!$B$16&lt;MIN(DKW_10Y!$A$2:$A$2918)),NA(),(INDEX(DKW_10Y!$D$2:$D$2918,MATCH($A644,DKW_10Y!$A$2:$A$2918,1))-INDEX(DKW_10Y!$D$2:$D$2918,MATCH(Settings!$B$16,DKW_10Y!$A$2:$A$2918,1)))*100))</f>
        <v/>
      </c>
      <c r="AA644" s="19">
        <f>IF(NOT(ISNUMBER($A644)),NA(),IF(OR($A644&lt;MIN(DKW_10Y!$A$2:$A$2918),$A644&gt;MAX(DKW_10Y!$A$2:$A$2918),Settings!$B$16&lt;MIN(DKW_10Y!$A$2:$A$2918)),NA(),(INDEX(DKW_10Y!$E$2:$E$2918,MATCH($A644,DKW_10Y!$A$2:$A$2918,1))-INDEX(DKW_10Y!$E$2:$E$2918,MATCH(Settings!$B$16,DKW_10Y!$A$2:$A$2918,1)))*100))</f>
        <v/>
      </c>
      <c r="AB644" s="19">
        <f>IF(NOT(ISNUMBER($A644)),NA(),IF(OR($A644&lt;MIN(DKW_10Y!$A$2:$A$2918),$A644&gt;MAX(DKW_10Y!$A$2:$A$2918),Settings!$B$16&lt;MIN(DKW_10Y!$A$2:$A$2918)),NA(),(INDEX(DKW_10Y!$H$2:$H$2918,MATCH($A644,DKW_10Y!$A$2:$A$2918,1))-INDEX(DKW_10Y!$H$2:$H$2918,MATCH(Settings!$B$16,DKW_10Y!$A$2:$A$2918,1)))*100))</f>
        <v/>
      </c>
      <c r="AC644" s="18">
        <f>IF(NOT(ISNUMBER($A644)),NA(),IFERROR(1*INDEX(BBG_Data!$N$2:$N$4000,MATCH($A644,BBG_Data!$M$2:$M$4000,0)),NA()))</f>
        <v/>
      </c>
      <c r="AD644" s="18">
        <f>IF(NOT(ISNUMBER($A644)),NA(),IFERROR(1*INDEX(BBG_Data!$P$2:$P$4000,MATCH($A644,BBG_Data!$O$2:$O$4000,0)),NA()))</f>
        <v/>
      </c>
      <c r="AE644" s="18">
        <f>IF(NOT(ISNUMBER($A644)),NA(),IFERROR(1*INDEX(BBG_Data!$R$2:$R$4000,MATCH($A644,BBG_Data!$Q$2:$Q$4000,0)),NA()))</f>
        <v/>
      </c>
      <c r="AF644" s="20">
        <f>IF(AND(ISNUMBER(B644),ISNUMBER(AC644)),(B644-AC644)*100,NA())</f>
        <v/>
      </c>
      <c r="AG644" s="20">
        <f>IF(AND(ISNUMBER(AE644),ISNUMBER(AD644)),(AE644-AD644)*100,NA())</f>
        <v/>
      </c>
      <c r="AH644" s="19">
        <f>IF(NOT(ISNUMBER($A644)),NA(),IFERROR(INDEX(BBG_Data!$T$2:$T$4000,MATCH($A644,BBG_Data!$S$2:$S$4000,0))*Settings!$B$25,NA()))</f>
        <v/>
      </c>
      <c r="AI644" s="19">
        <f>IF(NOT(ISNUMBER($A644)),NA(),IFERROR(INDEX(BBG_Data!$V$2:$V$4000,MATCH($A644,BBG_Data!$U$2:$U$4000,0))*Settings!$B$25,NA()))</f>
        <v/>
      </c>
      <c r="AJ644" s="19">
        <f>IF(NOT(ISNUMBER($A644)),NA(),IFERROR(1*INDEX(BBG_Data!$X$2:$X$4000,MATCH($A644,BBG_Data!$W$2:$W$4000,0)),NA()))</f>
        <v/>
      </c>
      <c r="AK644" s="19">
        <f>IF(NOT(ISNUMBER($A644)),NA(),IFERROR(1*INDEX(BBG_Data!$Z$2:$Z$4000,MATCH($A644,BBG_Data!$Y$2:$Y$4000,0)),NA()))</f>
        <v/>
      </c>
    </row>
    <row r="645">
      <c r="A645" s="17">
        <f>IF(ISNUMBER(BBG_Data!A645),BBG_Data!A645,"")</f>
        <v/>
      </c>
      <c r="B645" s="18">
        <f>IF(AND(ISNUMBER($A645),ISNUMBER(BBG_Data!B645)),BBG_Data!B645,NA())</f>
        <v/>
      </c>
      <c r="C645" s="18">
        <f>IF(NOT(ISNUMBER($A645)),NA(),IFERROR(1*INDEX(BBG_Data!$D$2:$D$4000,MATCH($A645,BBG_Data!$C$2:$C$4000,0)),NA()))</f>
        <v/>
      </c>
      <c r="D645" s="19">
        <f>IF(NOT(ISNUMBER($A645)),NA(),IFERROR(1*INDEX(BBG_Data!$F$2:$F$4000,MATCH($A645,BBG_Data!$E$2:$E$4000,0)),NA()))</f>
        <v/>
      </c>
      <c r="E645" s="19">
        <f>IF(NOT(ISNUMBER($A645)),NA(),IFERROR(1*INDEX(BBG_Data!$H$2:$H$4000,MATCH($A645,BBG_Data!$G$2:$G$4000,0)),NA()))</f>
        <v/>
      </c>
      <c r="F645" s="20">
        <f>IF(AND(ISNUMBER(B645),ISNUMBER(B644)),IF(B645=B644,"",(B645-B644)*100),"")</f>
        <v/>
      </c>
      <c r="G645" s="20">
        <f>IF(AND(ISNUMBER(C645),ISNUMBER(C644)),IF(C645=C644,"",(C645-C644)*100),"")</f>
        <v/>
      </c>
      <c r="H645" s="20">
        <f>IF(OR(NOT(ISNUMBER($A645)),ROW()-2&lt;Settings!$B$11),NA(),IF(COUNT(OFFSET(F645,1-Settings!$B$11,0,Settings!$B$11,1))&lt;ROUNDUP(Settings!$B$11*Settings!$B$26,0),NA(),STDEV(OFFSET(F645,1-Settings!$B$11,0,Settings!$B$11,1))*SQRT(Settings!$B$13)))</f>
        <v/>
      </c>
      <c r="I645" s="20">
        <f>IF(OR(NOT(ISNUMBER($A645)),ROW()-2&lt;Settings!$B$12),NA(),IF(COUNT(OFFSET(F645,1-Settings!$B$12,0,Settings!$B$12,1))&lt;ROUNDUP(Settings!$B$12*Settings!$B$26,0),NA(),STDEV(OFFSET(F645,1-Settings!$B$12,0,Settings!$B$12,1))*SQRT(Settings!$B$13)))</f>
        <v/>
      </c>
      <c r="J645" s="20">
        <f>IF(OR(NOT(ISNUMBER($A645)),ROW()-2&lt;Settings!$B$11),NA(),IF(COUNT(OFFSET(G645,1-Settings!$B$11,0,Settings!$B$11,1))&lt;ROUNDUP(Settings!$B$11*Settings!$B$26,0),NA(),STDEV(OFFSET(G645,1-Settings!$B$11,0,Settings!$B$11,1))*SQRT(Settings!$B$13)))</f>
        <v/>
      </c>
      <c r="K645" s="20">
        <f>IF(OR(NOT(ISNUMBER($A645)),ROW()-2&lt;Settings!$B$12),NA(),IF(COUNT(OFFSET(G645,1-Settings!$B$12,0,Settings!$B$12,1))&lt;ROUNDUP(Settings!$B$12*Settings!$B$26,0),NA(),STDEV(OFFSET(G645,1-Settings!$B$12,0,Settings!$B$12,1))*SQRT(Settings!$B$13)))</f>
        <v/>
      </c>
      <c r="L645" s="20">
        <f>IF(AND(ISNUMBER(D645),ISNUMBER(H645)),D645-H645,NA())</f>
        <v/>
      </c>
      <c r="M645" s="20">
        <f>IF(AND(ISNUMBER(E645),ISNUMBER(K645)),E645-K645,NA())</f>
        <v/>
      </c>
      <c r="N645" s="20">
        <f>IF(NOT(ISNUMBER($A645)),NA(),IF(COUNT(OFFSET(G645,1,0,Settings!$B$12,1))&lt;ROUNDUP(Settings!$B$12*Settings!$B$26,0),NA(),STDEV(OFFSET(G645,1,0,Settings!$B$12,1))*SQRT(Settings!$B$13)))</f>
        <v/>
      </c>
      <c r="O645" s="20">
        <f>IF(AND(ISNUMBER(E645),ISNUMBER(N645)),E645-N645,NA())</f>
        <v/>
      </c>
      <c r="P645" s="19">
        <f>IF(NOT(ISNUMBER($A645)),NA(),IF(OR($A645&lt;MIN(KW_TP!$A$2:$A$2501),$A645&gt;MAX(KW_TP!$A$2:$A$2501)),NA(),INDEX(KW_TP!$C$2:$C$2501,MATCH($A645,KW_TP!$A$2:$A$2501,1))))</f>
        <v/>
      </c>
      <c r="Q645" s="18">
        <f>IF(NOT(ISNUMBER($A645)),NA(),IFERROR(1*INDEX(BBG_Data!$J$2:$J$4000,MATCH($A645,BBG_Data!$I$2:$I$4000,0)),NA()))</f>
        <v/>
      </c>
      <c r="R645" s="18">
        <f>IF(NOT(ISNUMBER($A645)),NA(),IFERROR(1*INDEX(BBG_Data!$L$2:$L$4000,MATCH($A645,BBG_Data!$K$2:$K$4000,0)),NA()))</f>
        <v/>
      </c>
      <c r="S645" s="20">
        <f>IF(AND(ISNUMBER(B645),ISNUMBER(Q645),ISNUMBER(R645)),(B645-Q645-R645)*100,NA())</f>
        <v/>
      </c>
      <c r="T645" s="20">
        <f>IF(AND(ISNUMBER(B645),Settings!$B$17&gt;0),IF(ISNUMBER(INDEX($B:$B,Settings!$B$17)),(B645-INDEX($B:$B,Settings!$B$17))*100,NA()),NA())</f>
        <v/>
      </c>
      <c r="U645" s="20">
        <f>IF(AND(ISNUMBER(Q645),Settings!$B$17&gt;0),IF(ISNUMBER(INDEX($Q:$Q,Settings!$B$17)),(Q645-INDEX($Q:$Q,Settings!$B$17))*100,NA()),NA())</f>
        <v/>
      </c>
      <c r="V645" s="20">
        <f>IF(AND(ISNUMBER(R645),Settings!$B$17&gt;0),IF(ISNUMBER(INDEX($R:$R,Settings!$B$17)),(R645-INDEX($R:$R,Settings!$B$17))*100,NA()),NA())</f>
        <v/>
      </c>
      <c r="W645" s="20">
        <f>IF(AND(ISNUMBER(P645),Settings!$B$17&gt;0),IF(ISNUMBER(INDEX($P:$P,Settings!$B$17)),P645-INDEX($P:$P,Settings!$B$17),NA()),NA())</f>
        <v/>
      </c>
      <c r="X645" s="19">
        <f>IF(NOT(ISNUMBER($A645)),NA(),IF(OR($A645&lt;MIN(DKW_10Y!$A$2:$A$2918),$A645&gt;MAX(DKW_10Y!$A$2:$A$2918),Settings!$B$16&lt;MIN(DKW_10Y!$A$2:$A$2918)),NA(),(INDEX(DKW_10Y!$B$2:$B$2918,MATCH($A645,DKW_10Y!$A$2:$A$2918,1))-INDEX(DKW_10Y!$B$2:$B$2918,MATCH(Settings!$B$16,DKW_10Y!$A$2:$A$2918,1)))*100))</f>
        <v/>
      </c>
      <c r="Y645" s="19">
        <f>IF(NOT(ISNUMBER($A645)),NA(),IF(OR($A645&lt;MIN(DKW_10Y!$A$2:$A$2918),$A645&gt;MAX(DKW_10Y!$A$2:$A$2918),Settings!$B$16&lt;MIN(DKW_10Y!$A$2:$A$2918)),NA(),(INDEX(DKW_10Y!$C$2:$C$2918,MATCH($A645,DKW_10Y!$A$2:$A$2918,1))-INDEX(DKW_10Y!$C$2:$C$2918,MATCH(Settings!$B$16,DKW_10Y!$A$2:$A$2918,1)))*100))</f>
        <v/>
      </c>
      <c r="Z645" s="19">
        <f>IF(NOT(ISNUMBER($A645)),NA(),IF(OR($A645&lt;MIN(DKW_10Y!$A$2:$A$2918),$A645&gt;MAX(DKW_10Y!$A$2:$A$2918),Settings!$B$16&lt;MIN(DKW_10Y!$A$2:$A$2918)),NA(),(INDEX(DKW_10Y!$D$2:$D$2918,MATCH($A645,DKW_10Y!$A$2:$A$2918,1))-INDEX(DKW_10Y!$D$2:$D$2918,MATCH(Settings!$B$16,DKW_10Y!$A$2:$A$2918,1)))*100))</f>
        <v/>
      </c>
      <c r="AA645" s="19">
        <f>IF(NOT(ISNUMBER($A645)),NA(),IF(OR($A645&lt;MIN(DKW_10Y!$A$2:$A$2918),$A645&gt;MAX(DKW_10Y!$A$2:$A$2918),Settings!$B$16&lt;MIN(DKW_10Y!$A$2:$A$2918)),NA(),(INDEX(DKW_10Y!$E$2:$E$2918,MATCH($A645,DKW_10Y!$A$2:$A$2918,1))-INDEX(DKW_10Y!$E$2:$E$2918,MATCH(Settings!$B$16,DKW_10Y!$A$2:$A$2918,1)))*100))</f>
        <v/>
      </c>
      <c r="AB645" s="19">
        <f>IF(NOT(ISNUMBER($A645)),NA(),IF(OR($A645&lt;MIN(DKW_10Y!$A$2:$A$2918),$A645&gt;MAX(DKW_10Y!$A$2:$A$2918),Settings!$B$16&lt;MIN(DKW_10Y!$A$2:$A$2918)),NA(),(INDEX(DKW_10Y!$H$2:$H$2918,MATCH($A645,DKW_10Y!$A$2:$A$2918,1))-INDEX(DKW_10Y!$H$2:$H$2918,MATCH(Settings!$B$16,DKW_10Y!$A$2:$A$2918,1)))*100))</f>
        <v/>
      </c>
      <c r="AC645" s="18">
        <f>IF(NOT(ISNUMBER($A645)),NA(),IFERROR(1*INDEX(BBG_Data!$N$2:$N$4000,MATCH($A645,BBG_Data!$M$2:$M$4000,0)),NA()))</f>
        <v/>
      </c>
      <c r="AD645" s="18">
        <f>IF(NOT(ISNUMBER($A645)),NA(),IFERROR(1*INDEX(BBG_Data!$P$2:$P$4000,MATCH($A645,BBG_Data!$O$2:$O$4000,0)),NA()))</f>
        <v/>
      </c>
      <c r="AE645" s="18">
        <f>IF(NOT(ISNUMBER($A645)),NA(),IFERROR(1*INDEX(BBG_Data!$R$2:$R$4000,MATCH($A645,BBG_Data!$Q$2:$Q$4000,0)),NA()))</f>
        <v/>
      </c>
      <c r="AF645" s="20">
        <f>IF(AND(ISNUMBER(B645),ISNUMBER(AC645)),(B645-AC645)*100,NA())</f>
        <v/>
      </c>
      <c r="AG645" s="20">
        <f>IF(AND(ISNUMBER(AE645),ISNUMBER(AD645)),(AE645-AD645)*100,NA())</f>
        <v/>
      </c>
      <c r="AH645" s="19">
        <f>IF(NOT(ISNUMBER($A645)),NA(),IFERROR(INDEX(BBG_Data!$T$2:$T$4000,MATCH($A645,BBG_Data!$S$2:$S$4000,0))*Settings!$B$25,NA()))</f>
        <v/>
      </c>
      <c r="AI645" s="19">
        <f>IF(NOT(ISNUMBER($A645)),NA(),IFERROR(INDEX(BBG_Data!$V$2:$V$4000,MATCH($A645,BBG_Data!$U$2:$U$4000,0))*Settings!$B$25,NA()))</f>
        <v/>
      </c>
      <c r="AJ645" s="19">
        <f>IF(NOT(ISNUMBER($A645)),NA(),IFERROR(1*INDEX(BBG_Data!$X$2:$X$4000,MATCH($A645,BBG_Data!$W$2:$W$4000,0)),NA()))</f>
        <v/>
      </c>
      <c r="AK645" s="19">
        <f>IF(NOT(ISNUMBER($A645)),NA(),IFERROR(1*INDEX(BBG_Data!$Z$2:$Z$4000,MATCH($A645,BBG_Data!$Y$2:$Y$4000,0)),NA()))</f>
        <v/>
      </c>
    </row>
    <row r="646">
      <c r="A646" s="17">
        <f>IF(ISNUMBER(BBG_Data!A646),BBG_Data!A646,"")</f>
        <v/>
      </c>
      <c r="B646" s="18">
        <f>IF(AND(ISNUMBER($A646),ISNUMBER(BBG_Data!B646)),BBG_Data!B646,NA())</f>
        <v/>
      </c>
      <c r="C646" s="18">
        <f>IF(NOT(ISNUMBER($A646)),NA(),IFERROR(1*INDEX(BBG_Data!$D$2:$D$4000,MATCH($A646,BBG_Data!$C$2:$C$4000,0)),NA()))</f>
        <v/>
      </c>
      <c r="D646" s="19">
        <f>IF(NOT(ISNUMBER($A646)),NA(),IFERROR(1*INDEX(BBG_Data!$F$2:$F$4000,MATCH($A646,BBG_Data!$E$2:$E$4000,0)),NA()))</f>
        <v/>
      </c>
      <c r="E646" s="19">
        <f>IF(NOT(ISNUMBER($A646)),NA(),IFERROR(1*INDEX(BBG_Data!$H$2:$H$4000,MATCH($A646,BBG_Data!$G$2:$G$4000,0)),NA()))</f>
        <v/>
      </c>
      <c r="F646" s="20">
        <f>IF(AND(ISNUMBER(B646),ISNUMBER(B645)),IF(B646=B645,"",(B646-B645)*100),"")</f>
        <v/>
      </c>
      <c r="G646" s="20">
        <f>IF(AND(ISNUMBER(C646),ISNUMBER(C645)),IF(C646=C645,"",(C646-C645)*100),"")</f>
        <v/>
      </c>
      <c r="H646" s="20">
        <f>IF(OR(NOT(ISNUMBER($A646)),ROW()-2&lt;Settings!$B$11),NA(),IF(COUNT(OFFSET(F646,1-Settings!$B$11,0,Settings!$B$11,1))&lt;ROUNDUP(Settings!$B$11*Settings!$B$26,0),NA(),STDEV(OFFSET(F646,1-Settings!$B$11,0,Settings!$B$11,1))*SQRT(Settings!$B$13)))</f>
        <v/>
      </c>
      <c r="I646" s="20">
        <f>IF(OR(NOT(ISNUMBER($A646)),ROW()-2&lt;Settings!$B$12),NA(),IF(COUNT(OFFSET(F646,1-Settings!$B$12,0,Settings!$B$12,1))&lt;ROUNDUP(Settings!$B$12*Settings!$B$26,0),NA(),STDEV(OFFSET(F646,1-Settings!$B$12,0,Settings!$B$12,1))*SQRT(Settings!$B$13)))</f>
        <v/>
      </c>
      <c r="J646" s="20">
        <f>IF(OR(NOT(ISNUMBER($A646)),ROW()-2&lt;Settings!$B$11),NA(),IF(COUNT(OFFSET(G646,1-Settings!$B$11,0,Settings!$B$11,1))&lt;ROUNDUP(Settings!$B$11*Settings!$B$26,0),NA(),STDEV(OFFSET(G646,1-Settings!$B$11,0,Settings!$B$11,1))*SQRT(Settings!$B$13)))</f>
        <v/>
      </c>
      <c r="K646" s="20">
        <f>IF(OR(NOT(ISNUMBER($A646)),ROW()-2&lt;Settings!$B$12),NA(),IF(COUNT(OFFSET(G646,1-Settings!$B$12,0,Settings!$B$12,1))&lt;ROUNDUP(Settings!$B$12*Settings!$B$26,0),NA(),STDEV(OFFSET(G646,1-Settings!$B$12,0,Settings!$B$12,1))*SQRT(Settings!$B$13)))</f>
        <v/>
      </c>
      <c r="L646" s="20">
        <f>IF(AND(ISNUMBER(D646),ISNUMBER(H646)),D646-H646,NA())</f>
        <v/>
      </c>
      <c r="M646" s="20">
        <f>IF(AND(ISNUMBER(E646),ISNUMBER(K646)),E646-K646,NA())</f>
        <v/>
      </c>
      <c r="N646" s="20">
        <f>IF(NOT(ISNUMBER($A646)),NA(),IF(COUNT(OFFSET(G646,1,0,Settings!$B$12,1))&lt;ROUNDUP(Settings!$B$12*Settings!$B$26,0),NA(),STDEV(OFFSET(G646,1,0,Settings!$B$12,1))*SQRT(Settings!$B$13)))</f>
        <v/>
      </c>
      <c r="O646" s="20">
        <f>IF(AND(ISNUMBER(E646),ISNUMBER(N646)),E646-N646,NA())</f>
        <v/>
      </c>
      <c r="P646" s="19">
        <f>IF(NOT(ISNUMBER($A646)),NA(),IF(OR($A646&lt;MIN(KW_TP!$A$2:$A$2501),$A646&gt;MAX(KW_TP!$A$2:$A$2501)),NA(),INDEX(KW_TP!$C$2:$C$2501,MATCH($A646,KW_TP!$A$2:$A$2501,1))))</f>
        <v/>
      </c>
      <c r="Q646" s="18">
        <f>IF(NOT(ISNUMBER($A646)),NA(),IFERROR(1*INDEX(BBG_Data!$J$2:$J$4000,MATCH($A646,BBG_Data!$I$2:$I$4000,0)),NA()))</f>
        <v/>
      </c>
      <c r="R646" s="18">
        <f>IF(NOT(ISNUMBER($A646)),NA(),IFERROR(1*INDEX(BBG_Data!$L$2:$L$4000,MATCH($A646,BBG_Data!$K$2:$K$4000,0)),NA()))</f>
        <v/>
      </c>
      <c r="S646" s="20">
        <f>IF(AND(ISNUMBER(B646),ISNUMBER(Q646),ISNUMBER(R646)),(B646-Q646-R646)*100,NA())</f>
        <v/>
      </c>
      <c r="T646" s="20">
        <f>IF(AND(ISNUMBER(B646),Settings!$B$17&gt;0),IF(ISNUMBER(INDEX($B:$B,Settings!$B$17)),(B646-INDEX($B:$B,Settings!$B$17))*100,NA()),NA())</f>
        <v/>
      </c>
      <c r="U646" s="20">
        <f>IF(AND(ISNUMBER(Q646),Settings!$B$17&gt;0),IF(ISNUMBER(INDEX($Q:$Q,Settings!$B$17)),(Q646-INDEX($Q:$Q,Settings!$B$17))*100,NA()),NA())</f>
        <v/>
      </c>
      <c r="V646" s="20">
        <f>IF(AND(ISNUMBER(R646),Settings!$B$17&gt;0),IF(ISNUMBER(INDEX($R:$R,Settings!$B$17)),(R646-INDEX($R:$R,Settings!$B$17))*100,NA()),NA())</f>
        <v/>
      </c>
      <c r="W646" s="20">
        <f>IF(AND(ISNUMBER(P646),Settings!$B$17&gt;0),IF(ISNUMBER(INDEX($P:$P,Settings!$B$17)),P646-INDEX($P:$P,Settings!$B$17),NA()),NA())</f>
        <v/>
      </c>
      <c r="X646" s="19">
        <f>IF(NOT(ISNUMBER($A646)),NA(),IF(OR($A646&lt;MIN(DKW_10Y!$A$2:$A$2918),$A646&gt;MAX(DKW_10Y!$A$2:$A$2918),Settings!$B$16&lt;MIN(DKW_10Y!$A$2:$A$2918)),NA(),(INDEX(DKW_10Y!$B$2:$B$2918,MATCH($A646,DKW_10Y!$A$2:$A$2918,1))-INDEX(DKW_10Y!$B$2:$B$2918,MATCH(Settings!$B$16,DKW_10Y!$A$2:$A$2918,1)))*100))</f>
        <v/>
      </c>
      <c r="Y646" s="19">
        <f>IF(NOT(ISNUMBER($A646)),NA(),IF(OR($A646&lt;MIN(DKW_10Y!$A$2:$A$2918),$A646&gt;MAX(DKW_10Y!$A$2:$A$2918),Settings!$B$16&lt;MIN(DKW_10Y!$A$2:$A$2918)),NA(),(INDEX(DKW_10Y!$C$2:$C$2918,MATCH($A646,DKW_10Y!$A$2:$A$2918,1))-INDEX(DKW_10Y!$C$2:$C$2918,MATCH(Settings!$B$16,DKW_10Y!$A$2:$A$2918,1)))*100))</f>
        <v/>
      </c>
      <c r="Z646" s="19">
        <f>IF(NOT(ISNUMBER($A646)),NA(),IF(OR($A646&lt;MIN(DKW_10Y!$A$2:$A$2918),$A646&gt;MAX(DKW_10Y!$A$2:$A$2918),Settings!$B$16&lt;MIN(DKW_10Y!$A$2:$A$2918)),NA(),(INDEX(DKW_10Y!$D$2:$D$2918,MATCH($A646,DKW_10Y!$A$2:$A$2918,1))-INDEX(DKW_10Y!$D$2:$D$2918,MATCH(Settings!$B$16,DKW_10Y!$A$2:$A$2918,1)))*100))</f>
        <v/>
      </c>
      <c r="AA646" s="19">
        <f>IF(NOT(ISNUMBER($A646)),NA(),IF(OR($A646&lt;MIN(DKW_10Y!$A$2:$A$2918),$A646&gt;MAX(DKW_10Y!$A$2:$A$2918),Settings!$B$16&lt;MIN(DKW_10Y!$A$2:$A$2918)),NA(),(INDEX(DKW_10Y!$E$2:$E$2918,MATCH($A646,DKW_10Y!$A$2:$A$2918,1))-INDEX(DKW_10Y!$E$2:$E$2918,MATCH(Settings!$B$16,DKW_10Y!$A$2:$A$2918,1)))*100))</f>
        <v/>
      </c>
      <c r="AB646" s="19">
        <f>IF(NOT(ISNUMBER($A646)),NA(),IF(OR($A646&lt;MIN(DKW_10Y!$A$2:$A$2918),$A646&gt;MAX(DKW_10Y!$A$2:$A$2918),Settings!$B$16&lt;MIN(DKW_10Y!$A$2:$A$2918)),NA(),(INDEX(DKW_10Y!$H$2:$H$2918,MATCH($A646,DKW_10Y!$A$2:$A$2918,1))-INDEX(DKW_10Y!$H$2:$H$2918,MATCH(Settings!$B$16,DKW_10Y!$A$2:$A$2918,1)))*100))</f>
        <v/>
      </c>
      <c r="AC646" s="18">
        <f>IF(NOT(ISNUMBER($A646)),NA(),IFERROR(1*INDEX(BBG_Data!$N$2:$N$4000,MATCH($A646,BBG_Data!$M$2:$M$4000,0)),NA()))</f>
        <v/>
      </c>
      <c r="AD646" s="18">
        <f>IF(NOT(ISNUMBER($A646)),NA(),IFERROR(1*INDEX(BBG_Data!$P$2:$P$4000,MATCH($A646,BBG_Data!$O$2:$O$4000,0)),NA()))</f>
        <v/>
      </c>
      <c r="AE646" s="18">
        <f>IF(NOT(ISNUMBER($A646)),NA(),IFERROR(1*INDEX(BBG_Data!$R$2:$R$4000,MATCH($A646,BBG_Data!$Q$2:$Q$4000,0)),NA()))</f>
        <v/>
      </c>
      <c r="AF646" s="20">
        <f>IF(AND(ISNUMBER(B646),ISNUMBER(AC646)),(B646-AC646)*100,NA())</f>
        <v/>
      </c>
      <c r="AG646" s="20">
        <f>IF(AND(ISNUMBER(AE646),ISNUMBER(AD646)),(AE646-AD646)*100,NA())</f>
        <v/>
      </c>
      <c r="AH646" s="19">
        <f>IF(NOT(ISNUMBER($A646)),NA(),IFERROR(INDEX(BBG_Data!$T$2:$T$4000,MATCH($A646,BBG_Data!$S$2:$S$4000,0))*Settings!$B$25,NA()))</f>
        <v/>
      </c>
      <c r="AI646" s="19">
        <f>IF(NOT(ISNUMBER($A646)),NA(),IFERROR(INDEX(BBG_Data!$V$2:$V$4000,MATCH($A646,BBG_Data!$U$2:$U$4000,0))*Settings!$B$25,NA()))</f>
        <v/>
      </c>
      <c r="AJ646" s="19">
        <f>IF(NOT(ISNUMBER($A646)),NA(),IFERROR(1*INDEX(BBG_Data!$X$2:$X$4000,MATCH($A646,BBG_Data!$W$2:$W$4000,0)),NA()))</f>
        <v/>
      </c>
      <c r="AK646" s="19">
        <f>IF(NOT(ISNUMBER($A646)),NA(),IFERROR(1*INDEX(BBG_Data!$Z$2:$Z$4000,MATCH($A646,BBG_Data!$Y$2:$Y$4000,0)),NA()))</f>
        <v/>
      </c>
    </row>
    <row r="647">
      <c r="A647" s="17">
        <f>IF(ISNUMBER(BBG_Data!A647),BBG_Data!A647,"")</f>
        <v/>
      </c>
      <c r="B647" s="18">
        <f>IF(AND(ISNUMBER($A647),ISNUMBER(BBG_Data!B647)),BBG_Data!B647,NA())</f>
        <v/>
      </c>
      <c r="C647" s="18">
        <f>IF(NOT(ISNUMBER($A647)),NA(),IFERROR(1*INDEX(BBG_Data!$D$2:$D$4000,MATCH($A647,BBG_Data!$C$2:$C$4000,0)),NA()))</f>
        <v/>
      </c>
      <c r="D647" s="19">
        <f>IF(NOT(ISNUMBER($A647)),NA(),IFERROR(1*INDEX(BBG_Data!$F$2:$F$4000,MATCH($A647,BBG_Data!$E$2:$E$4000,0)),NA()))</f>
        <v/>
      </c>
      <c r="E647" s="19">
        <f>IF(NOT(ISNUMBER($A647)),NA(),IFERROR(1*INDEX(BBG_Data!$H$2:$H$4000,MATCH($A647,BBG_Data!$G$2:$G$4000,0)),NA()))</f>
        <v/>
      </c>
      <c r="F647" s="20">
        <f>IF(AND(ISNUMBER(B647),ISNUMBER(B646)),IF(B647=B646,"",(B647-B646)*100),"")</f>
        <v/>
      </c>
      <c r="G647" s="20">
        <f>IF(AND(ISNUMBER(C647),ISNUMBER(C646)),IF(C647=C646,"",(C647-C646)*100),"")</f>
        <v/>
      </c>
      <c r="H647" s="20">
        <f>IF(OR(NOT(ISNUMBER($A647)),ROW()-2&lt;Settings!$B$11),NA(),IF(COUNT(OFFSET(F647,1-Settings!$B$11,0,Settings!$B$11,1))&lt;ROUNDUP(Settings!$B$11*Settings!$B$26,0),NA(),STDEV(OFFSET(F647,1-Settings!$B$11,0,Settings!$B$11,1))*SQRT(Settings!$B$13)))</f>
        <v/>
      </c>
      <c r="I647" s="20">
        <f>IF(OR(NOT(ISNUMBER($A647)),ROW()-2&lt;Settings!$B$12),NA(),IF(COUNT(OFFSET(F647,1-Settings!$B$12,0,Settings!$B$12,1))&lt;ROUNDUP(Settings!$B$12*Settings!$B$26,0),NA(),STDEV(OFFSET(F647,1-Settings!$B$12,0,Settings!$B$12,1))*SQRT(Settings!$B$13)))</f>
        <v/>
      </c>
      <c r="J647" s="20">
        <f>IF(OR(NOT(ISNUMBER($A647)),ROW()-2&lt;Settings!$B$11),NA(),IF(COUNT(OFFSET(G647,1-Settings!$B$11,0,Settings!$B$11,1))&lt;ROUNDUP(Settings!$B$11*Settings!$B$26,0),NA(),STDEV(OFFSET(G647,1-Settings!$B$11,0,Settings!$B$11,1))*SQRT(Settings!$B$13)))</f>
        <v/>
      </c>
      <c r="K647" s="20">
        <f>IF(OR(NOT(ISNUMBER($A647)),ROW()-2&lt;Settings!$B$12),NA(),IF(COUNT(OFFSET(G647,1-Settings!$B$12,0,Settings!$B$12,1))&lt;ROUNDUP(Settings!$B$12*Settings!$B$26,0),NA(),STDEV(OFFSET(G647,1-Settings!$B$12,0,Settings!$B$12,1))*SQRT(Settings!$B$13)))</f>
        <v/>
      </c>
      <c r="L647" s="20">
        <f>IF(AND(ISNUMBER(D647),ISNUMBER(H647)),D647-H647,NA())</f>
        <v/>
      </c>
      <c r="M647" s="20">
        <f>IF(AND(ISNUMBER(E647),ISNUMBER(K647)),E647-K647,NA())</f>
        <v/>
      </c>
      <c r="N647" s="20">
        <f>IF(NOT(ISNUMBER($A647)),NA(),IF(COUNT(OFFSET(G647,1,0,Settings!$B$12,1))&lt;ROUNDUP(Settings!$B$12*Settings!$B$26,0),NA(),STDEV(OFFSET(G647,1,0,Settings!$B$12,1))*SQRT(Settings!$B$13)))</f>
        <v/>
      </c>
      <c r="O647" s="20">
        <f>IF(AND(ISNUMBER(E647),ISNUMBER(N647)),E647-N647,NA())</f>
        <v/>
      </c>
      <c r="P647" s="19">
        <f>IF(NOT(ISNUMBER($A647)),NA(),IF(OR($A647&lt;MIN(KW_TP!$A$2:$A$2501),$A647&gt;MAX(KW_TP!$A$2:$A$2501)),NA(),INDEX(KW_TP!$C$2:$C$2501,MATCH($A647,KW_TP!$A$2:$A$2501,1))))</f>
        <v/>
      </c>
      <c r="Q647" s="18">
        <f>IF(NOT(ISNUMBER($A647)),NA(),IFERROR(1*INDEX(BBG_Data!$J$2:$J$4000,MATCH($A647,BBG_Data!$I$2:$I$4000,0)),NA()))</f>
        <v/>
      </c>
      <c r="R647" s="18">
        <f>IF(NOT(ISNUMBER($A647)),NA(),IFERROR(1*INDEX(BBG_Data!$L$2:$L$4000,MATCH($A647,BBG_Data!$K$2:$K$4000,0)),NA()))</f>
        <v/>
      </c>
      <c r="S647" s="20">
        <f>IF(AND(ISNUMBER(B647),ISNUMBER(Q647),ISNUMBER(R647)),(B647-Q647-R647)*100,NA())</f>
        <v/>
      </c>
      <c r="T647" s="20">
        <f>IF(AND(ISNUMBER(B647),Settings!$B$17&gt;0),IF(ISNUMBER(INDEX($B:$B,Settings!$B$17)),(B647-INDEX($B:$B,Settings!$B$17))*100,NA()),NA())</f>
        <v/>
      </c>
      <c r="U647" s="20">
        <f>IF(AND(ISNUMBER(Q647),Settings!$B$17&gt;0),IF(ISNUMBER(INDEX($Q:$Q,Settings!$B$17)),(Q647-INDEX($Q:$Q,Settings!$B$17))*100,NA()),NA())</f>
        <v/>
      </c>
      <c r="V647" s="20">
        <f>IF(AND(ISNUMBER(R647),Settings!$B$17&gt;0),IF(ISNUMBER(INDEX($R:$R,Settings!$B$17)),(R647-INDEX($R:$R,Settings!$B$17))*100,NA()),NA())</f>
        <v/>
      </c>
      <c r="W647" s="20">
        <f>IF(AND(ISNUMBER(P647),Settings!$B$17&gt;0),IF(ISNUMBER(INDEX($P:$P,Settings!$B$17)),P647-INDEX($P:$P,Settings!$B$17),NA()),NA())</f>
        <v/>
      </c>
      <c r="X647" s="19">
        <f>IF(NOT(ISNUMBER($A647)),NA(),IF(OR($A647&lt;MIN(DKW_10Y!$A$2:$A$2918),$A647&gt;MAX(DKW_10Y!$A$2:$A$2918),Settings!$B$16&lt;MIN(DKW_10Y!$A$2:$A$2918)),NA(),(INDEX(DKW_10Y!$B$2:$B$2918,MATCH($A647,DKW_10Y!$A$2:$A$2918,1))-INDEX(DKW_10Y!$B$2:$B$2918,MATCH(Settings!$B$16,DKW_10Y!$A$2:$A$2918,1)))*100))</f>
        <v/>
      </c>
      <c r="Y647" s="19">
        <f>IF(NOT(ISNUMBER($A647)),NA(),IF(OR($A647&lt;MIN(DKW_10Y!$A$2:$A$2918),$A647&gt;MAX(DKW_10Y!$A$2:$A$2918),Settings!$B$16&lt;MIN(DKW_10Y!$A$2:$A$2918)),NA(),(INDEX(DKW_10Y!$C$2:$C$2918,MATCH($A647,DKW_10Y!$A$2:$A$2918,1))-INDEX(DKW_10Y!$C$2:$C$2918,MATCH(Settings!$B$16,DKW_10Y!$A$2:$A$2918,1)))*100))</f>
        <v/>
      </c>
      <c r="Z647" s="19">
        <f>IF(NOT(ISNUMBER($A647)),NA(),IF(OR($A647&lt;MIN(DKW_10Y!$A$2:$A$2918),$A647&gt;MAX(DKW_10Y!$A$2:$A$2918),Settings!$B$16&lt;MIN(DKW_10Y!$A$2:$A$2918)),NA(),(INDEX(DKW_10Y!$D$2:$D$2918,MATCH($A647,DKW_10Y!$A$2:$A$2918,1))-INDEX(DKW_10Y!$D$2:$D$2918,MATCH(Settings!$B$16,DKW_10Y!$A$2:$A$2918,1)))*100))</f>
        <v/>
      </c>
      <c r="AA647" s="19">
        <f>IF(NOT(ISNUMBER($A647)),NA(),IF(OR($A647&lt;MIN(DKW_10Y!$A$2:$A$2918),$A647&gt;MAX(DKW_10Y!$A$2:$A$2918),Settings!$B$16&lt;MIN(DKW_10Y!$A$2:$A$2918)),NA(),(INDEX(DKW_10Y!$E$2:$E$2918,MATCH($A647,DKW_10Y!$A$2:$A$2918,1))-INDEX(DKW_10Y!$E$2:$E$2918,MATCH(Settings!$B$16,DKW_10Y!$A$2:$A$2918,1)))*100))</f>
        <v/>
      </c>
      <c r="AB647" s="19">
        <f>IF(NOT(ISNUMBER($A647)),NA(),IF(OR($A647&lt;MIN(DKW_10Y!$A$2:$A$2918),$A647&gt;MAX(DKW_10Y!$A$2:$A$2918),Settings!$B$16&lt;MIN(DKW_10Y!$A$2:$A$2918)),NA(),(INDEX(DKW_10Y!$H$2:$H$2918,MATCH($A647,DKW_10Y!$A$2:$A$2918,1))-INDEX(DKW_10Y!$H$2:$H$2918,MATCH(Settings!$B$16,DKW_10Y!$A$2:$A$2918,1)))*100))</f>
        <v/>
      </c>
      <c r="AC647" s="18">
        <f>IF(NOT(ISNUMBER($A647)),NA(),IFERROR(1*INDEX(BBG_Data!$N$2:$N$4000,MATCH($A647,BBG_Data!$M$2:$M$4000,0)),NA()))</f>
        <v/>
      </c>
      <c r="AD647" s="18">
        <f>IF(NOT(ISNUMBER($A647)),NA(),IFERROR(1*INDEX(BBG_Data!$P$2:$P$4000,MATCH($A647,BBG_Data!$O$2:$O$4000,0)),NA()))</f>
        <v/>
      </c>
      <c r="AE647" s="18">
        <f>IF(NOT(ISNUMBER($A647)),NA(),IFERROR(1*INDEX(BBG_Data!$R$2:$R$4000,MATCH($A647,BBG_Data!$Q$2:$Q$4000,0)),NA()))</f>
        <v/>
      </c>
      <c r="AF647" s="20">
        <f>IF(AND(ISNUMBER(B647),ISNUMBER(AC647)),(B647-AC647)*100,NA())</f>
        <v/>
      </c>
      <c r="AG647" s="20">
        <f>IF(AND(ISNUMBER(AE647),ISNUMBER(AD647)),(AE647-AD647)*100,NA())</f>
        <v/>
      </c>
      <c r="AH647" s="19">
        <f>IF(NOT(ISNUMBER($A647)),NA(),IFERROR(INDEX(BBG_Data!$T$2:$T$4000,MATCH($A647,BBG_Data!$S$2:$S$4000,0))*Settings!$B$25,NA()))</f>
        <v/>
      </c>
      <c r="AI647" s="19">
        <f>IF(NOT(ISNUMBER($A647)),NA(),IFERROR(INDEX(BBG_Data!$V$2:$V$4000,MATCH($A647,BBG_Data!$U$2:$U$4000,0))*Settings!$B$25,NA()))</f>
        <v/>
      </c>
      <c r="AJ647" s="19">
        <f>IF(NOT(ISNUMBER($A647)),NA(),IFERROR(1*INDEX(BBG_Data!$X$2:$X$4000,MATCH($A647,BBG_Data!$W$2:$W$4000,0)),NA()))</f>
        <v/>
      </c>
      <c r="AK647" s="19">
        <f>IF(NOT(ISNUMBER($A647)),NA(),IFERROR(1*INDEX(BBG_Data!$Z$2:$Z$4000,MATCH($A647,BBG_Data!$Y$2:$Y$4000,0)),NA()))</f>
        <v/>
      </c>
    </row>
    <row r="648">
      <c r="A648" s="17">
        <f>IF(ISNUMBER(BBG_Data!A648),BBG_Data!A648,"")</f>
        <v/>
      </c>
      <c r="B648" s="18">
        <f>IF(AND(ISNUMBER($A648),ISNUMBER(BBG_Data!B648)),BBG_Data!B648,NA())</f>
        <v/>
      </c>
      <c r="C648" s="18">
        <f>IF(NOT(ISNUMBER($A648)),NA(),IFERROR(1*INDEX(BBG_Data!$D$2:$D$4000,MATCH($A648,BBG_Data!$C$2:$C$4000,0)),NA()))</f>
        <v/>
      </c>
      <c r="D648" s="19">
        <f>IF(NOT(ISNUMBER($A648)),NA(),IFERROR(1*INDEX(BBG_Data!$F$2:$F$4000,MATCH($A648,BBG_Data!$E$2:$E$4000,0)),NA()))</f>
        <v/>
      </c>
      <c r="E648" s="19">
        <f>IF(NOT(ISNUMBER($A648)),NA(),IFERROR(1*INDEX(BBG_Data!$H$2:$H$4000,MATCH($A648,BBG_Data!$G$2:$G$4000,0)),NA()))</f>
        <v/>
      </c>
      <c r="F648" s="20">
        <f>IF(AND(ISNUMBER(B648),ISNUMBER(B647)),IF(B648=B647,"",(B648-B647)*100),"")</f>
        <v/>
      </c>
      <c r="G648" s="20">
        <f>IF(AND(ISNUMBER(C648),ISNUMBER(C647)),IF(C648=C647,"",(C648-C647)*100),"")</f>
        <v/>
      </c>
      <c r="H648" s="20">
        <f>IF(OR(NOT(ISNUMBER($A648)),ROW()-2&lt;Settings!$B$11),NA(),IF(COUNT(OFFSET(F648,1-Settings!$B$11,0,Settings!$B$11,1))&lt;ROUNDUP(Settings!$B$11*Settings!$B$26,0),NA(),STDEV(OFFSET(F648,1-Settings!$B$11,0,Settings!$B$11,1))*SQRT(Settings!$B$13)))</f>
        <v/>
      </c>
      <c r="I648" s="20">
        <f>IF(OR(NOT(ISNUMBER($A648)),ROW()-2&lt;Settings!$B$12),NA(),IF(COUNT(OFFSET(F648,1-Settings!$B$12,0,Settings!$B$12,1))&lt;ROUNDUP(Settings!$B$12*Settings!$B$26,0),NA(),STDEV(OFFSET(F648,1-Settings!$B$12,0,Settings!$B$12,1))*SQRT(Settings!$B$13)))</f>
        <v/>
      </c>
      <c r="J648" s="20">
        <f>IF(OR(NOT(ISNUMBER($A648)),ROW()-2&lt;Settings!$B$11),NA(),IF(COUNT(OFFSET(G648,1-Settings!$B$11,0,Settings!$B$11,1))&lt;ROUNDUP(Settings!$B$11*Settings!$B$26,0),NA(),STDEV(OFFSET(G648,1-Settings!$B$11,0,Settings!$B$11,1))*SQRT(Settings!$B$13)))</f>
        <v/>
      </c>
      <c r="K648" s="20">
        <f>IF(OR(NOT(ISNUMBER($A648)),ROW()-2&lt;Settings!$B$12),NA(),IF(COUNT(OFFSET(G648,1-Settings!$B$12,0,Settings!$B$12,1))&lt;ROUNDUP(Settings!$B$12*Settings!$B$26,0),NA(),STDEV(OFFSET(G648,1-Settings!$B$12,0,Settings!$B$12,1))*SQRT(Settings!$B$13)))</f>
        <v/>
      </c>
      <c r="L648" s="20">
        <f>IF(AND(ISNUMBER(D648),ISNUMBER(H648)),D648-H648,NA())</f>
        <v/>
      </c>
      <c r="M648" s="20">
        <f>IF(AND(ISNUMBER(E648),ISNUMBER(K648)),E648-K648,NA())</f>
        <v/>
      </c>
      <c r="N648" s="20">
        <f>IF(NOT(ISNUMBER($A648)),NA(),IF(COUNT(OFFSET(G648,1,0,Settings!$B$12,1))&lt;ROUNDUP(Settings!$B$12*Settings!$B$26,0),NA(),STDEV(OFFSET(G648,1,0,Settings!$B$12,1))*SQRT(Settings!$B$13)))</f>
        <v/>
      </c>
      <c r="O648" s="20">
        <f>IF(AND(ISNUMBER(E648),ISNUMBER(N648)),E648-N648,NA())</f>
        <v/>
      </c>
      <c r="P648" s="19">
        <f>IF(NOT(ISNUMBER($A648)),NA(),IF(OR($A648&lt;MIN(KW_TP!$A$2:$A$2501),$A648&gt;MAX(KW_TP!$A$2:$A$2501)),NA(),INDEX(KW_TP!$C$2:$C$2501,MATCH($A648,KW_TP!$A$2:$A$2501,1))))</f>
        <v/>
      </c>
      <c r="Q648" s="18">
        <f>IF(NOT(ISNUMBER($A648)),NA(),IFERROR(1*INDEX(BBG_Data!$J$2:$J$4000,MATCH($A648,BBG_Data!$I$2:$I$4000,0)),NA()))</f>
        <v/>
      </c>
      <c r="R648" s="18">
        <f>IF(NOT(ISNUMBER($A648)),NA(),IFERROR(1*INDEX(BBG_Data!$L$2:$L$4000,MATCH($A648,BBG_Data!$K$2:$K$4000,0)),NA()))</f>
        <v/>
      </c>
      <c r="S648" s="20">
        <f>IF(AND(ISNUMBER(B648),ISNUMBER(Q648),ISNUMBER(R648)),(B648-Q648-R648)*100,NA())</f>
        <v/>
      </c>
      <c r="T648" s="20">
        <f>IF(AND(ISNUMBER(B648),Settings!$B$17&gt;0),IF(ISNUMBER(INDEX($B:$B,Settings!$B$17)),(B648-INDEX($B:$B,Settings!$B$17))*100,NA()),NA())</f>
        <v/>
      </c>
      <c r="U648" s="20">
        <f>IF(AND(ISNUMBER(Q648),Settings!$B$17&gt;0),IF(ISNUMBER(INDEX($Q:$Q,Settings!$B$17)),(Q648-INDEX($Q:$Q,Settings!$B$17))*100,NA()),NA())</f>
        <v/>
      </c>
      <c r="V648" s="20">
        <f>IF(AND(ISNUMBER(R648),Settings!$B$17&gt;0),IF(ISNUMBER(INDEX($R:$R,Settings!$B$17)),(R648-INDEX($R:$R,Settings!$B$17))*100,NA()),NA())</f>
        <v/>
      </c>
      <c r="W648" s="20">
        <f>IF(AND(ISNUMBER(P648),Settings!$B$17&gt;0),IF(ISNUMBER(INDEX($P:$P,Settings!$B$17)),P648-INDEX($P:$P,Settings!$B$17),NA()),NA())</f>
        <v/>
      </c>
      <c r="X648" s="19">
        <f>IF(NOT(ISNUMBER($A648)),NA(),IF(OR($A648&lt;MIN(DKW_10Y!$A$2:$A$2918),$A648&gt;MAX(DKW_10Y!$A$2:$A$2918),Settings!$B$16&lt;MIN(DKW_10Y!$A$2:$A$2918)),NA(),(INDEX(DKW_10Y!$B$2:$B$2918,MATCH($A648,DKW_10Y!$A$2:$A$2918,1))-INDEX(DKW_10Y!$B$2:$B$2918,MATCH(Settings!$B$16,DKW_10Y!$A$2:$A$2918,1)))*100))</f>
        <v/>
      </c>
      <c r="Y648" s="19">
        <f>IF(NOT(ISNUMBER($A648)),NA(),IF(OR($A648&lt;MIN(DKW_10Y!$A$2:$A$2918),$A648&gt;MAX(DKW_10Y!$A$2:$A$2918),Settings!$B$16&lt;MIN(DKW_10Y!$A$2:$A$2918)),NA(),(INDEX(DKW_10Y!$C$2:$C$2918,MATCH($A648,DKW_10Y!$A$2:$A$2918,1))-INDEX(DKW_10Y!$C$2:$C$2918,MATCH(Settings!$B$16,DKW_10Y!$A$2:$A$2918,1)))*100))</f>
        <v/>
      </c>
      <c r="Z648" s="19">
        <f>IF(NOT(ISNUMBER($A648)),NA(),IF(OR($A648&lt;MIN(DKW_10Y!$A$2:$A$2918),$A648&gt;MAX(DKW_10Y!$A$2:$A$2918),Settings!$B$16&lt;MIN(DKW_10Y!$A$2:$A$2918)),NA(),(INDEX(DKW_10Y!$D$2:$D$2918,MATCH($A648,DKW_10Y!$A$2:$A$2918,1))-INDEX(DKW_10Y!$D$2:$D$2918,MATCH(Settings!$B$16,DKW_10Y!$A$2:$A$2918,1)))*100))</f>
        <v/>
      </c>
      <c r="AA648" s="19">
        <f>IF(NOT(ISNUMBER($A648)),NA(),IF(OR($A648&lt;MIN(DKW_10Y!$A$2:$A$2918),$A648&gt;MAX(DKW_10Y!$A$2:$A$2918),Settings!$B$16&lt;MIN(DKW_10Y!$A$2:$A$2918)),NA(),(INDEX(DKW_10Y!$E$2:$E$2918,MATCH($A648,DKW_10Y!$A$2:$A$2918,1))-INDEX(DKW_10Y!$E$2:$E$2918,MATCH(Settings!$B$16,DKW_10Y!$A$2:$A$2918,1)))*100))</f>
        <v/>
      </c>
      <c r="AB648" s="19">
        <f>IF(NOT(ISNUMBER($A648)),NA(),IF(OR($A648&lt;MIN(DKW_10Y!$A$2:$A$2918),$A648&gt;MAX(DKW_10Y!$A$2:$A$2918),Settings!$B$16&lt;MIN(DKW_10Y!$A$2:$A$2918)),NA(),(INDEX(DKW_10Y!$H$2:$H$2918,MATCH($A648,DKW_10Y!$A$2:$A$2918,1))-INDEX(DKW_10Y!$H$2:$H$2918,MATCH(Settings!$B$16,DKW_10Y!$A$2:$A$2918,1)))*100))</f>
        <v/>
      </c>
      <c r="AC648" s="18">
        <f>IF(NOT(ISNUMBER($A648)),NA(),IFERROR(1*INDEX(BBG_Data!$N$2:$N$4000,MATCH($A648,BBG_Data!$M$2:$M$4000,0)),NA()))</f>
        <v/>
      </c>
      <c r="AD648" s="18">
        <f>IF(NOT(ISNUMBER($A648)),NA(),IFERROR(1*INDEX(BBG_Data!$P$2:$P$4000,MATCH($A648,BBG_Data!$O$2:$O$4000,0)),NA()))</f>
        <v/>
      </c>
      <c r="AE648" s="18">
        <f>IF(NOT(ISNUMBER($A648)),NA(),IFERROR(1*INDEX(BBG_Data!$R$2:$R$4000,MATCH($A648,BBG_Data!$Q$2:$Q$4000,0)),NA()))</f>
        <v/>
      </c>
      <c r="AF648" s="20">
        <f>IF(AND(ISNUMBER(B648),ISNUMBER(AC648)),(B648-AC648)*100,NA())</f>
        <v/>
      </c>
      <c r="AG648" s="20">
        <f>IF(AND(ISNUMBER(AE648),ISNUMBER(AD648)),(AE648-AD648)*100,NA())</f>
        <v/>
      </c>
      <c r="AH648" s="19">
        <f>IF(NOT(ISNUMBER($A648)),NA(),IFERROR(INDEX(BBG_Data!$T$2:$T$4000,MATCH($A648,BBG_Data!$S$2:$S$4000,0))*Settings!$B$25,NA()))</f>
        <v/>
      </c>
      <c r="AI648" s="19">
        <f>IF(NOT(ISNUMBER($A648)),NA(),IFERROR(INDEX(BBG_Data!$V$2:$V$4000,MATCH($A648,BBG_Data!$U$2:$U$4000,0))*Settings!$B$25,NA()))</f>
        <v/>
      </c>
      <c r="AJ648" s="19">
        <f>IF(NOT(ISNUMBER($A648)),NA(),IFERROR(1*INDEX(BBG_Data!$X$2:$X$4000,MATCH($A648,BBG_Data!$W$2:$W$4000,0)),NA()))</f>
        <v/>
      </c>
      <c r="AK648" s="19">
        <f>IF(NOT(ISNUMBER($A648)),NA(),IFERROR(1*INDEX(BBG_Data!$Z$2:$Z$4000,MATCH($A648,BBG_Data!$Y$2:$Y$4000,0)),NA()))</f>
        <v/>
      </c>
    </row>
    <row r="649">
      <c r="A649" s="17">
        <f>IF(ISNUMBER(BBG_Data!A649),BBG_Data!A649,"")</f>
        <v/>
      </c>
      <c r="B649" s="18">
        <f>IF(AND(ISNUMBER($A649),ISNUMBER(BBG_Data!B649)),BBG_Data!B649,NA())</f>
        <v/>
      </c>
      <c r="C649" s="18">
        <f>IF(NOT(ISNUMBER($A649)),NA(),IFERROR(1*INDEX(BBG_Data!$D$2:$D$4000,MATCH($A649,BBG_Data!$C$2:$C$4000,0)),NA()))</f>
        <v/>
      </c>
      <c r="D649" s="19">
        <f>IF(NOT(ISNUMBER($A649)),NA(),IFERROR(1*INDEX(BBG_Data!$F$2:$F$4000,MATCH($A649,BBG_Data!$E$2:$E$4000,0)),NA()))</f>
        <v/>
      </c>
      <c r="E649" s="19">
        <f>IF(NOT(ISNUMBER($A649)),NA(),IFERROR(1*INDEX(BBG_Data!$H$2:$H$4000,MATCH($A649,BBG_Data!$G$2:$G$4000,0)),NA()))</f>
        <v/>
      </c>
      <c r="F649" s="20">
        <f>IF(AND(ISNUMBER(B649),ISNUMBER(B648)),IF(B649=B648,"",(B649-B648)*100),"")</f>
        <v/>
      </c>
      <c r="G649" s="20">
        <f>IF(AND(ISNUMBER(C649),ISNUMBER(C648)),IF(C649=C648,"",(C649-C648)*100),"")</f>
        <v/>
      </c>
      <c r="H649" s="20">
        <f>IF(OR(NOT(ISNUMBER($A649)),ROW()-2&lt;Settings!$B$11),NA(),IF(COUNT(OFFSET(F649,1-Settings!$B$11,0,Settings!$B$11,1))&lt;ROUNDUP(Settings!$B$11*Settings!$B$26,0),NA(),STDEV(OFFSET(F649,1-Settings!$B$11,0,Settings!$B$11,1))*SQRT(Settings!$B$13)))</f>
        <v/>
      </c>
      <c r="I649" s="20">
        <f>IF(OR(NOT(ISNUMBER($A649)),ROW()-2&lt;Settings!$B$12),NA(),IF(COUNT(OFFSET(F649,1-Settings!$B$12,0,Settings!$B$12,1))&lt;ROUNDUP(Settings!$B$12*Settings!$B$26,0),NA(),STDEV(OFFSET(F649,1-Settings!$B$12,0,Settings!$B$12,1))*SQRT(Settings!$B$13)))</f>
        <v/>
      </c>
      <c r="J649" s="20">
        <f>IF(OR(NOT(ISNUMBER($A649)),ROW()-2&lt;Settings!$B$11),NA(),IF(COUNT(OFFSET(G649,1-Settings!$B$11,0,Settings!$B$11,1))&lt;ROUNDUP(Settings!$B$11*Settings!$B$26,0),NA(),STDEV(OFFSET(G649,1-Settings!$B$11,0,Settings!$B$11,1))*SQRT(Settings!$B$13)))</f>
        <v/>
      </c>
      <c r="K649" s="20">
        <f>IF(OR(NOT(ISNUMBER($A649)),ROW()-2&lt;Settings!$B$12),NA(),IF(COUNT(OFFSET(G649,1-Settings!$B$12,0,Settings!$B$12,1))&lt;ROUNDUP(Settings!$B$12*Settings!$B$26,0),NA(),STDEV(OFFSET(G649,1-Settings!$B$12,0,Settings!$B$12,1))*SQRT(Settings!$B$13)))</f>
        <v/>
      </c>
      <c r="L649" s="20">
        <f>IF(AND(ISNUMBER(D649),ISNUMBER(H649)),D649-H649,NA())</f>
        <v/>
      </c>
      <c r="M649" s="20">
        <f>IF(AND(ISNUMBER(E649),ISNUMBER(K649)),E649-K649,NA())</f>
        <v/>
      </c>
      <c r="N649" s="20">
        <f>IF(NOT(ISNUMBER($A649)),NA(),IF(COUNT(OFFSET(G649,1,0,Settings!$B$12,1))&lt;ROUNDUP(Settings!$B$12*Settings!$B$26,0),NA(),STDEV(OFFSET(G649,1,0,Settings!$B$12,1))*SQRT(Settings!$B$13)))</f>
        <v/>
      </c>
      <c r="O649" s="20">
        <f>IF(AND(ISNUMBER(E649),ISNUMBER(N649)),E649-N649,NA())</f>
        <v/>
      </c>
      <c r="P649" s="19">
        <f>IF(NOT(ISNUMBER($A649)),NA(),IF(OR($A649&lt;MIN(KW_TP!$A$2:$A$2501),$A649&gt;MAX(KW_TP!$A$2:$A$2501)),NA(),INDEX(KW_TP!$C$2:$C$2501,MATCH($A649,KW_TP!$A$2:$A$2501,1))))</f>
        <v/>
      </c>
      <c r="Q649" s="18">
        <f>IF(NOT(ISNUMBER($A649)),NA(),IFERROR(1*INDEX(BBG_Data!$J$2:$J$4000,MATCH($A649,BBG_Data!$I$2:$I$4000,0)),NA()))</f>
        <v/>
      </c>
      <c r="R649" s="18">
        <f>IF(NOT(ISNUMBER($A649)),NA(),IFERROR(1*INDEX(BBG_Data!$L$2:$L$4000,MATCH($A649,BBG_Data!$K$2:$K$4000,0)),NA()))</f>
        <v/>
      </c>
      <c r="S649" s="20">
        <f>IF(AND(ISNUMBER(B649),ISNUMBER(Q649),ISNUMBER(R649)),(B649-Q649-R649)*100,NA())</f>
        <v/>
      </c>
      <c r="T649" s="20">
        <f>IF(AND(ISNUMBER(B649),Settings!$B$17&gt;0),IF(ISNUMBER(INDEX($B:$B,Settings!$B$17)),(B649-INDEX($B:$B,Settings!$B$17))*100,NA()),NA())</f>
        <v/>
      </c>
      <c r="U649" s="20">
        <f>IF(AND(ISNUMBER(Q649),Settings!$B$17&gt;0),IF(ISNUMBER(INDEX($Q:$Q,Settings!$B$17)),(Q649-INDEX($Q:$Q,Settings!$B$17))*100,NA()),NA())</f>
        <v/>
      </c>
      <c r="V649" s="20">
        <f>IF(AND(ISNUMBER(R649),Settings!$B$17&gt;0),IF(ISNUMBER(INDEX($R:$R,Settings!$B$17)),(R649-INDEX($R:$R,Settings!$B$17))*100,NA()),NA())</f>
        <v/>
      </c>
      <c r="W649" s="20">
        <f>IF(AND(ISNUMBER(P649),Settings!$B$17&gt;0),IF(ISNUMBER(INDEX($P:$P,Settings!$B$17)),P649-INDEX($P:$P,Settings!$B$17),NA()),NA())</f>
        <v/>
      </c>
      <c r="X649" s="19">
        <f>IF(NOT(ISNUMBER($A649)),NA(),IF(OR($A649&lt;MIN(DKW_10Y!$A$2:$A$2918),$A649&gt;MAX(DKW_10Y!$A$2:$A$2918),Settings!$B$16&lt;MIN(DKW_10Y!$A$2:$A$2918)),NA(),(INDEX(DKW_10Y!$B$2:$B$2918,MATCH($A649,DKW_10Y!$A$2:$A$2918,1))-INDEX(DKW_10Y!$B$2:$B$2918,MATCH(Settings!$B$16,DKW_10Y!$A$2:$A$2918,1)))*100))</f>
        <v/>
      </c>
      <c r="Y649" s="19">
        <f>IF(NOT(ISNUMBER($A649)),NA(),IF(OR($A649&lt;MIN(DKW_10Y!$A$2:$A$2918),$A649&gt;MAX(DKW_10Y!$A$2:$A$2918),Settings!$B$16&lt;MIN(DKW_10Y!$A$2:$A$2918)),NA(),(INDEX(DKW_10Y!$C$2:$C$2918,MATCH($A649,DKW_10Y!$A$2:$A$2918,1))-INDEX(DKW_10Y!$C$2:$C$2918,MATCH(Settings!$B$16,DKW_10Y!$A$2:$A$2918,1)))*100))</f>
        <v/>
      </c>
      <c r="Z649" s="19">
        <f>IF(NOT(ISNUMBER($A649)),NA(),IF(OR($A649&lt;MIN(DKW_10Y!$A$2:$A$2918),$A649&gt;MAX(DKW_10Y!$A$2:$A$2918),Settings!$B$16&lt;MIN(DKW_10Y!$A$2:$A$2918)),NA(),(INDEX(DKW_10Y!$D$2:$D$2918,MATCH($A649,DKW_10Y!$A$2:$A$2918,1))-INDEX(DKW_10Y!$D$2:$D$2918,MATCH(Settings!$B$16,DKW_10Y!$A$2:$A$2918,1)))*100))</f>
        <v/>
      </c>
      <c r="AA649" s="19">
        <f>IF(NOT(ISNUMBER($A649)),NA(),IF(OR($A649&lt;MIN(DKW_10Y!$A$2:$A$2918),$A649&gt;MAX(DKW_10Y!$A$2:$A$2918),Settings!$B$16&lt;MIN(DKW_10Y!$A$2:$A$2918)),NA(),(INDEX(DKW_10Y!$E$2:$E$2918,MATCH($A649,DKW_10Y!$A$2:$A$2918,1))-INDEX(DKW_10Y!$E$2:$E$2918,MATCH(Settings!$B$16,DKW_10Y!$A$2:$A$2918,1)))*100))</f>
        <v/>
      </c>
      <c r="AB649" s="19">
        <f>IF(NOT(ISNUMBER($A649)),NA(),IF(OR($A649&lt;MIN(DKW_10Y!$A$2:$A$2918),$A649&gt;MAX(DKW_10Y!$A$2:$A$2918),Settings!$B$16&lt;MIN(DKW_10Y!$A$2:$A$2918)),NA(),(INDEX(DKW_10Y!$H$2:$H$2918,MATCH($A649,DKW_10Y!$A$2:$A$2918,1))-INDEX(DKW_10Y!$H$2:$H$2918,MATCH(Settings!$B$16,DKW_10Y!$A$2:$A$2918,1)))*100))</f>
        <v/>
      </c>
      <c r="AC649" s="18">
        <f>IF(NOT(ISNUMBER($A649)),NA(),IFERROR(1*INDEX(BBG_Data!$N$2:$N$4000,MATCH($A649,BBG_Data!$M$2:$M$4000,0)),NA()))</f>
        <v/>
      </c>
      <c r="AD649" s="18">
        <f>IF(NOT(ISNUMBER($A649)),NA(),IFERROR(1*INDEX(BBG_Data!$P$2:$P$4000,MATCH($A649,BBG_Data!$O$2:$O$4000,0)),NA()))</f>
        <v/>
      </c>
      <c r="AE649" s="18">
        <f>IF(NOT(ISNUMBER($A649)),NA(),IFERROR(1*INDEX(BBG_Data!$R$2:$R$4000,MATCH($A649,BBG_Data!$Q$2:$Q$4000,0)),NA()))</f>
        <v/>
      </c>
      <c r="AF649" s="20">
        <f>IF(AND(ISNUMBER(B649),ISNUMBER(AC649)),(B649-AC649)*100,NA())</f>
        <v/>
      </c>
      <c r="AG649" s="20">
        <f>IF(AND(ISNUMBER(AE649),ISNUMBER(AD649)),(AE649-AD649)*100,NA())</f>
        <v/>
      </c>
      <c r="AH649" s="19">
        <f>IF(NOT(ISNUMBER($A649)),NA(),IFERROR(INDEX(BBG_Data!$T$2:$T$4000,MATCH($A649,BBG_Data!$S$2:$S$4000,0))*Settings!$B$25,NA()))</f>
        <v/>
      </c>
      <c r="AI649" s="19">
        <f>IF(NOT(ISNUMBER($A649)),NA(),IFERROR(INDEX(BBG_Data!$V$2:$V$4000,MATCH($A649,BBG_Data!$U$2:$U$4000,0))*Settings!$B$25,NA()))</f>
        <v/>
      </c>
      <c r="AJ649" s="19">
        <f>IF(NOT(ISNUMBER($A649)),NA(),IFERROR(1*INDEX(BBG_Data!$X$2:$X$4000,MATCH($A649,BBG_Data!$W$2:$W$4000,0)),NA()))</f>
        <v/>
      </c>
      <c r="AK649" s="19">
        <f>IF(NOT(ISNUMBER($A649)),NA(),IFERROR(1*INDEX(BBG_Data!$Z$2:$Z$4000,MATCH($A649,BBG_Data!$Y$2:$Y$4000,0)),NA()))</f>
        <v/>
      </c>
    </row>
    <row r="650">
      <c r="A650" s="17">
        <f>IF(ISNUMBER(BBG_Data!A650),BBG_Data!A650,"")</f>
        <v/>
      </c>
      <c r="B650" s="18">
        <f>IF(AND(ISNUMBER($A650),ISNUMBER(BBG_Data!B650)),BBG_Data!B650,NA())</f>
        <v/>
      </c>
      <c r="C650" s="18">
        <f>IF(NOT(ISNUMBER($A650)),NA(),IFERROR(1*INDEX(BBG_Data!$D$2:$D$4000,MATCH($A650,BBG_Data!$C$2:$C$4000,0)),NA()))</f>
        <v/>
      </c>
      <c r="D650" s="19">
        <f>IF(NOT(ISNUMBER($A650)),NA(),IFERROR(1*INDEX(BBG_Data!$F$2:$F$4000,MATCH($A650,BBG_Data!$E$2:$E$4000,0)),NA()))</f>
        <v/>
      </c>
      <c r="E650" s="19">
        <f>IF(NOT(ISNUMBER($A650)),NA(),IFERROR(1*INDEX(BBG_Data!$H$2:$H$4000,MATCH($A650,BBG_Data!$G$2:$G$4000,0)),NA()))</f>
        <v/>
      </c>
      <c r="F650" s="20">
        <f>IF(AND(ISNUMBER(B650),ISNUMBER(B649)),IF(B650=B649,"",(B650-B649)*100),"")</f>
        <v/>
      </c>
      <c r="G650" s="20">
        <f>IF(AND(ISNUMBER(C650),ISNUMBER(C649)),IF(C650=C649,"",(C650-C649)*100),"")</f>
        <v/>
      </c>
      <c r="H650" s="20">
        <f>IF(OR(NOT(ISNUMBER($A650)),ROW()-2&lt;Settings!$B$11),NA(),IF(COUNT(OFFSET(F650,1-Settings!$B$11,0,Settings!$B$11,1))&lt;ROUNDUP(Settings!$B$11*Settings!$B$26,0),NA(),STDEV(OFFSET(F650,1-Settings!$B$11,0,Settings!$B$11,1))*SQRT(Settings!$B$13)))</f>
        <v/>
      </c>
      <c r="I650" s="20">
        <f>IF(OR(NOT(ISNUMBER($A650)),ROW()-2&lt;Settings!$B$12),NA(),IF(COUNT(OFFSET(F650,1-Settings!$B$12,0,Settings!$B$12,1))&lt;ROUNDUP(Settings!$B$12*Settings!$B$26,0),NA(),STDEV(OFFSET(F650,1-Settings!$B$12,0,Settings!$B$12,1))*SQRT(Settings!$B$13)))</f>
        <v/>
      </c>
      <c r="J650" s="20">
        <f>IF(OR(NOT(ISNUMBER($A650)),ROW()-2&lt;Settings!$B$11),NA(),IF(COUNT(OFFSET(G650,1-Settings!$B$11,0,Settings!$B$11,1))&lt;ROUNDUP(Settings!$B$11*Settings!$B$26,0),NA(),STDEV(OFFSET(G650,1-Settings!$B$11,0,Settings!$B$11,1))*SQRT(Settings!$B$13)))</f>
        <v/>
      </c>
      <c r="K650" s="20">
        <f>IF(OR(NOT(ISNUMBER($A650)),ROW()-2&lt;Settings!$B$12),NA(),IF(COUNT(OFFSET(G650,1-Settings!$B$12,0,Settings!$B$12,1))&lt;ROUNDUP(Settings!$B$12*Settings!$B$26,0),NA(),STDEV(OFFSET(G650,1-Settings!$B$12,0,Settings!$B$12,1))*SQRT(Settings!$B$13)))</f>
        <v/>
      </c>
      <c r="L650" s="20">
        <f>IF(AND(ISNUMBER(D650),ISNUMBER(H650)),D650-H650,NA())</f>
        <v/>
      </c>
      <c r="M650" s="20">
        <f>IF(AND(ISNUMBER(E650),ISNUMBER(K650)),E650-K650,NA())</f>
        <v/>
      </c>
      <c r="N650" s="20">
        <f>IF(NOT(ISNUMBER($A650)),NA(),IF(COUNT(OFFSET(G650,1,0,Settings!$B$12,1))&lt;ROUNDUP(Settings!$B$12*Settings!$B$26,0),NA(),STDEV(OFFSET(G650,1,0,Settings!$B$12,1))*SQRT(Settings!$B$13)))</f>
        <v/>
      </c>
      <c r="O650" s="20">
        <f>IF(AND(ISNUMBER(E650),ISNUMBER(N650)),E650-N650,NA())</f>
        <v/>
      </c>
      <c r="P650" s="19">
        <f>IF(NOT(ISNUMBER($A650)),NA(),IF(OR($A650&lt;MIN(KW_TP!$A$2:$A$2501),$A650&gt;MAX(KW_TP!$A$2:$A$2501)),NA(),INDEX(KW_TP!$C$2:$C$2501,MATCH($A650,KW_TP!$A$2:$A$2501,1))))</f>
        <v/>
      </c>
      <c r="Q650" s="18">
        <f>IF(NOT(ISNUMBER($A650)),NA(),IFERROR(1*INDEX(BBG_Data!$J$2:$J$4000,MATCH($A650,BBG_Data!$I$2:$I$4000,0)),NA()))</f>
        <v/>
      </c>
      <c r="R650" s="18">
        <f>IF(NOT(ISNUMBER($A650)),NA(),IFERROR(1*INDEX(BBG_Data!$L$2:$L$4000,MATCH($A650,BBG_Data!$K$2:$K$4000,0)),NA()))</f>
        <v/>
      </c>
      <c r="S650" s="20">
        <f>IF(AND(ISNUMBER(B650),ISNUMBER(Q650),ISNUMBER(R650)),(B650-Q650-R650)*100,NA())</f>
        <v/>
      </c>
      <c r="T650" s="20">
        <f>IF(AND(ISNUMBER(B650),Settings!$B$17&gt;0),IF(ISNUMBER(INDEX($B:$B,Settings!$B$17)),(B650-INDEX($B:$B,Settings!$B$17))*100,NA()),NA())</f>
        <v/>
      </c>
      <c r="U650" s="20">
        <f>IF(AND(ISNUMBER(Q650),Settings!$B$17&gt;0),IF(ISNUMBER(INDEX($Q:$Q,Settings!$B$17)),(Q650-INDEX($Q:$Q,Settings!$B$17))*100,NA()),NA())</f>
        <v/>
      </c>
      <c r="V650" s="20">
        <f>IF(AND(ISNUMBER(R650),Settings!$B$17&gt;0),IF(ISNUMBER(INDEX($R:$R,Settings!$B$17)),(R650-INDEX($R:$R,Settings!$B$17))*100,NA()),NA())</f>
        <v/>
      </c>
      <c r="W650" s="20">
        <f>IF(AND(ISNUMBER(P650),Settings!$B$17&gt;0),IF(ISNUMBER(INDEX($P:$P,Settings!$B$17)),P650-INDEX($P:$P,Settings!$B$17),NA()),NA())</f>
        <v/>
      </c>
      <c r="X650" s="19">
        <f>IF(NOT(ISNUMBER($A650)),NA(),IF(OR($A650&lt;MIN(DKW_10Y!$A$2:$A$2918),$A650&gt;MAX(DKW_10Y!$A$2:$A$2918),Settings!$B$16&lt;MIN(DKW_10Y!$A$2:$A$2918)),NA(),(INDEX(DKW_10Y!$B$2:$B$2918,MATCH($A650,DKW_10Y!$A$2:$A$2918,1))-INDEX(DKW_10Y!$B$2:$B$2918,MATCH(Settings!$B$16,DKW_10Y!$A$2:$A$2918,1)))*100))</f>
        <v/>
      </c>
      <c r="Y650" s="19">
        <f>IF(NOT(ISNUMBER($A650)),NA(),IF(OR($A650&lt;MIN(DKW_10Y!$A$2:$A$2918),$A650&gt;MAX(DKW_10Y!$A$2:$A$2918),Settings!$B$16&lt;MIN(DKW_10Y!$A$2:$A$2918)),NA(),(INDEX(DKW_10Y!$C$2:$C$2918,MATCH($A650,DKW_10Y!$A$2:$A$2918,1))-INDEX(DKW_10Y!$C$2:$C$2918,MATCH(Settings!$B$16,DKW_10Y!$A$2:$A$2918,1)))*100))</f>
        <v/>
      </c>
      <c r="Z650" s="19">
        <f>IF(NOT(ISNUMBER($A650)),NA(),IF(OR($A650&lt;MIN(DKW_10Y!$A$2:$A$2918),$A650&gt;MAX(DKW_10Y!$A$2:$A$2918),Settings!$B$16&lt;MIN(DKW_10Y!$A$2:$A$2918)),NA(),(INDEX(DKW_10Y!$D$2:$D$2918,MATCH($A650,DKW_10Y!$A$2:$A$2918,1))-INDEX(DKW_10Y!$D$2:$D$2918,MATCH(Settings!$B$16,DKW_10Y!$A$2:$A$2918,1)))*100))</f>
        <v/>
      </c>
      <c r="AA650" s="19">
        <f>IF(NOT(ISNUMBER($A650)),NA(),IF(OR($A650&lt;MIN(DKW_10Y!$A$2:$A$2918),$A650&gt;MAX(DKW_10Y!$A$2:$A$2918),Settings!$B$16&lt;MIN(DKW_10Y!$A$2:$A$2918)),NA(),(INDEX(DKW_10Y!$E$2:$E$2918,MATCH($A650,DKW_10Y!$A$2:$A$2918,1))-INDEX(DKW_10Y!$E$2:$E$2918,MATCH(Settings!$B$16,DKW_10Y!$A$2:$A$2918,1)))*100))</f>
        <v/>
      </c>
      <c r="AB650" s="19">
        <f>IF(NOT(ISNUMBER($A650)),NA(),IF(OR($A650&lt;MIN(DKW_10Y!$A$2:$A$2918),$A650&gt;MAX(DKW_10Y!$A$2:$A$2918),Settings!$B$16&lt;MIN(DKW_10Y!$A$2:$A$2918)),NA(),(INDEX(DKW_10Y!$H$2:$H$2918,MATCH($A650,DKW_10Y!$A$2:$A$2918,1))-INDEX(DKW_10Y!$H$2:$H$2918,MATCH(Settings!$B$16,DKW_10Y!$A$2:$A$2918,1)))*100))</f>
        <v/>
      </c>
      <c r="AC650" s="18">
        <f>IF(NOT(ISNUMBER($A650)),NA(),IFERROR(1*INDEX(BBG_Data!$N$2:$N$4000,MATCH($A650,BBG_Data!$M$2:$M$4000,0)),NA()))</f>
        <v/>
      </c>
      <c r="AD650" s="18">
        <f>IF(NOT(ISNUMBER($A650)),NA(),IFERROR(1*INDEX(BBG_Data!$P$2:$P$4000,MATCH($A650,BBG_Data!$O$2:$O$4000,0)),NA()))</f>
        <v/>
      </c>
      <c r="AE650" s="18">
        <f>IF(NOT(ISNUMBER($A650)),NA(),IFERROR(1*INDEX(BBG_Data!$R$2:$R$4000,MATCH($A650,BBG_Data!$Q$2:$Q$4000,0)),NA()))</f>
        <v/>
      </c>
      <c r="AF650" s="20">
        <f>IF(AND(ISNUMBER(B650),ISNUMBER(AC650)),(B650-AC650)*100,NA())</f>
        <v/>
      </c>
      <c r="AG650" s="20">
        <f>IF(AND(ISNUMBER(AE650),ISNUMBER(AD650)),(AE650-AD650)*100,NA())</f>
        <v/>
      </c>
      <c r="AH650" s="19">
        <f>IF(NOT(ISNUMBER($A650)),NA(),IFERROR(INDEX(BBG_Data!$T$2:$T$4000,MATCH($A650,BBG_Data!$S$2:$S$4000,0))*Settings!$B$25,NA()))</f>
        <v/>
      </c>
      <c r="AI650" s="19">
        <f>IF(NOT(ISNUMBER($A650)),NA(),IFERROR(INDEX(BBG_Data!$V$2:$V$4000,MATCH($A650,BBG_Data!$U$2:$U$4000,0))*Settings!$B$25,NA()))</f>
        <v/>
      </c>
      <c r="AJ650" s="19">
        <f>IF(NOT(ISNUMBER($A650)),NA(),IFERROR(1*INDEX(BBG_Data!$X$2:$X$4000,MATCH($A650,BBG_Data!$W$2:$W$4000,0)),NA()))</f>
        <v/>
      </c>
      <c r="AK650" s="19">
        <f>IF(NOT(ISNUMBER($A650)),NA(),IFERROR(1*INDEX(BBG_Data!$Z$2:$Z$4000,MATCH($A650,BBG_Data!$Y$2:$Y$4000,0)),NA()))</f>
        <v/>
      </c>
    </row>
    <row r="651">
      <c r="A651" s="17">
        <f>IF(ISNUMBER(BBG_Data!A651),BBG_Data!A651,"")</f>
        <v/>
      </c>
      <c r="B651" s="18">
        <f>IF(AND(ISNUMBER($A651),ISNUMBER(BBG_Data!B651)),BBG_Data!B651,NA())</f>
        <v/>
      </c>
      <c r="C651" s="18">
        <f>IF(NOT(ISNUMBER($A651)),NA(),IFERROR(1*INDEX(BBG_Data!$D$2:$D$4000,MATCH($A651,BBG_Data!$C$2:$C$4000,0)),NA()))</f>
        <v/>
      </c>
      <c r="D651" s="19">
        <f>IF(NOT(ISNUMBER($A651)),NA(),IFERROR(1*INDEX(BBG_Data!$F$2:$F$4000,MATCH($A651,BBG_Data!$E$2:$E$4000,0)),NA()))</f>
        <v/>
      </c>
      <c r="E651" s="19">
        <f>IF(NOT(ISNUMBER($A651)),NA(),IFERROR(1*INDEX(BBG_Data!$H$2:$H$4000,MATCH($A651,BBG_Data!$G$2:$G$4000,0)),NA()))</f>
        <v/>
      </c>
      <c r="F651" s="20">
        <f>IF(AND(ISNUMBER(B651),ISNUMBER(B650)),IF(B651=B650,"",(B651-B650)*100),"")</f>
        <v/>
      </c>
      <c r="G651" s="20">
        <f>IF(AND(ISNUMBER(C651),ISNUMBER(C650)),IF(C651=C650,"",(C651-C650)*100),"")</f>
        <v/>
      </c>
      <c r="H651" s="20">
        <f>IF(OR(NOT(ISNUMBER($A651)),ROW()-2&lt;Settings!$B$11),NA(),IF(COUNT(OFFSET(F651,1-Settings!$B$11,0,Settings!$B$11,1))&lt;ROUNDUP(Settings!$B$11*Settings!$B$26,0),NA(),STDEV(OFFSET(F651,1-Settings!$B$11,0,Settings!$B$11,1))*SQRT(Settings!$B$13)))</f>
        <v/>
      </c>
      <c r="I651" s="20">
        <f>IF(OR(NOT(ISNUMBER($A651)),ROW()-2&lt;Settings!$B$12),NA(),IF(COUNT(OFFSET(F651,1-Settings!$B$12,0,Settings!$B$12,1))&lt;ROUNDUP(Settings!$B$12*Settings!$B$26,0),NA(),STDEV(OFFSET(F651,1-Settings!$B$12,0,Settings!$B$12,1))*SQRT(Settings!$B$13)))</f>
        <v/>
      </c>
      <c r="J651" s="20">
        <f>IF(OR(NOT(ISNUMBER($A651)),ROW()-2&lt;Settings!$B$11),NA(),IF(COUNT(OFFSET(G651,1-Settings!$B$11,0,Settings!$B$11,1))&lt;ROUNDUP(Settings!$B$11*Settings!$B$26,0),NA(),STDEV(OFFSET(G651,1-Settings!$B$11,0,Settings!$B$11,1))*SQRT(Settings!$B$13)))</f>
        <v/>
      </c>
      <c r="K651" s="20">
        <f>IF(OR(NOT(ISNUMBER($A651)),ROW()-2&lt;Settings!$B$12),NA(),IF(COUNT(OFFSET(G651,1-Settings!$B$12,0,Settings!$B$12,1))&lt;ROUNDUP(Settings!$B$12*Settings!$B$26,0),NA(),STDEV(OFFSET(G651,1-Settings!$B$12,0,Settings!$B$12,1))*SQRT(Settings!$B$13)))</f>
        <v/>
      </c>
      <c r="L651" s="20">
        <f>IF(AND(ISNUMBER(D651),ISNUMBER(H651)),D651-H651,NA())</f>
        <v/>
      </c>
      <c r="M651" s="20">
        <f>IF(AND(ISNUMBER(E651),ISNUMBER(K651)),E651-K651,NA())</f>
        <v/>
      </c>
      <c r="N651" s="20">
        <f>IF(NOT(ISNUMBER($A651)),NA(),IF(COUNT(OFFSET(G651,1,0,Settings!$B$12,1))&lt;ROUNDUP(Settings!$B$12*Settings!$B$26,0),NA(),STDEV(OFFSET(G651,1,0,Settings!$B$12,1))*SQRT(Settings!$B$13)))</f>
        <v/>
      </c>
      <c r="O651" s="20">
        <f>IF(AND(ISNUMBER(E651),ISNUMBER(N651)),E651-N651,NA())</f>
        <v/>
      </c>
      <c r="P651" s="19">
        <f>IF(NOT(ISNUMBER($A651)),NA(),IF(OR($A651&lt;MIN(KW_TP!$A$2:$A$2501),$A651&gt;MAX(KW_TP!$A$2:$A$2501)),NA(),INDEX(KW_TP!$C$2:$C$2501,MATCH($A651,KW_TP!$A$2:$A$2501,1))))</f>
        <v/>
      </c>
      <c r="Q651" s="18">
        <f>IF(NOT(ISNUMBER($A651)),NA(),IFERROR(1*INDEX(BBG_Data!$J$2:$J$4000,MATCH($A651,BBG_Data!$I$2:$I$4000,0)),NA()))</f>
        <v/>
      </c>
      <c r="R651" s="18">
        <f>IF(NOT(ISNUMBER($A651)),NA(),IFERROR(1*INDEX(BBG_Data!$L$2:$L$4000,MATCH($A651,BBG_Data!$K$2:$K$4000,0)),NA()))</f>
        <v/>
      </c>
      <c r="S651" s="20">
        <f>IF(AND(ISNUMBER(B651),ISNUMBER(Q651),ISNUMBER(R651)),(B651-Q651-R651)*100,NA())</f>
        <v/>
      </c>
      <c r="T651" s="20">
        <f>IF(AND(ISNUMBER(B651),Settings!$B$17&gt;0),IF(ISNUMBER(INDEX($B:$B,Settings!$B$17)),(B651-INDEX($B:$B,Settings!$B$17))*100,NA()),NA())</f>
        <v/>
      </c>
      <c r="U651" s="20">
        <f>IF(AND(ISNUMBER(Q651),Settings!$B$17&gt;0),IF(ISNUMBER(INDEX($Q:$Q,Settings!$B$17)),(Q651-INDEX($Q:$Q,Settings!$B$17))*100,NA()),NA())</f>
        <v/>
      </c>
      <c r="V651" s="20">
        <f>IF(AND(ISNUMBER(R651),Settings!$B$17&gt;0),IF(ISNUMBER(INDEX($R:$R,Settings!$B$17)),(R651-INDEX($R:$R,Settings!$B$17))*100,NA()),NA())</f>
        <v/>
      </c>
      <c r="W651" s="20">
        <f>IF(AND(ISNUMBER(P651),Settings!$B$17&gt;0),IF(ISNUMBER(INDEX($P:$P,Settings!$B$17)),P651-INDEX($P:$P,Settings!$B$17),NA()),NA())</f>
        <v/>
      </c>
      <c r="X651" s="19">
        <f>IF(NOT(ISNUMBER($A651)),NA(),IF(OR($A651&lt;MIN(DKW_10Y!$A$2:$A$2918),$A651&gt;MAX(DKW_10Y!$A$2:$A$2918),Settings!$B$16&lt;MIN(DKW_10Y!$A$2:$A$2918)),NA(),(INDEX(DKW_10Y!$B$2:$B$2918,MATCH($A651,DKW_10Y!$A$2:$A$2918,1))-INDEX(DKW_10Y!$B$2:$B$2918,MATCH(Settings!$B$16,DKW_10Y!$A$2:$A$2918,1)))*100))</f>
        <v/>
      </c>
      <c r="Y651" s="19">
        <f>IF(NOT(ISNUMBER($A651)),NA(),IF(OR($A651&lt;MIN(DKW_10Y!$A$2:$A$2918),$A651&gt;MAX(DKW_10Y!$A$2:$A$2918),Settings!$B$16&lt;MIN(DKW_10Y!$A$2:$A$2918)),NA(),(INDEX(DKW_10Y!$C$2:$C$2918,MATCH($A651,DKW_10Y!$A$2:$A$2918,1))-INDEX(DKW_10Y!$C$2:$C$2918,MATCH(Settings!$B$16,DKW_10Y!$A$2:$A$2918,1)))*100))</f>
        <v/>
      </c>
      <c r="Z651" s="19">
        <f>IF(NOT(ISNUMBER($A651)),NA(),IF(OR($A651&lt;MIN(DKW_10Y!$A$2:$A$2918),$A651&gt;MAX(DKW_10Y!$A$2:$A$2918),Settings!$B$16&lt;MIN(DKW_10Y!$A$2:$A$2918)),NA(),(INDEX(DKW_10Y!$D$2:$D$2918,MATCH($A651,DKW_10Y!$A$2:$A$2918,1))-INDEX(DKW_10Y!$D$2:$D$2918,MATCH(Settings!$B$16,DKW_10Y!$A$2:$A$2918,1)))*100))</f>
        <v/>
      </c>
      <c r="AA651" s="19">
        <f>IF(NOT(ISNUMBER($A651)),NA(),IF(OR($A651&lt;MIN(DKW_10Y!$A$2:$A$2918),$A651&gt;MAX(DKW_10Y!$A$2:$A$2918),Settings!$B$16&lt;MIN(DKW_10Y!$A$2:$A$2918)),NA(),(INDEX(DKW_10Y!$E$2:$E$2918,MATCH($A651,DKW_10Y!$A$2:$A$2918,1))-INDEX(DKW_10Y!$E$2:$E$2918,MATCH(Settings!$B$16,DKW_10Y!$A$2:$A$2918,1)))*100))</f>
        <v/>
      </c>
      <c r="AB651" s="19">
        <f>IF(NOT(ISNUMBER($A651)),NA(),IF(OR($A651&lt;MIN(DKW_10Y!$A$2:$A$2918),$A651&gt;MAX(DKW_10Y!$A$2:$A$2918),Settings!$B$16&lt;MIN(DKW_10Y!$A$2:$A$2918)),NA(),(INDEX(DKW_10Y!$H$2:$H$2918,MATCH($A651,DKW_10Y!$A$2:$A$2918,1))-INDEX(DKW_10Y!$H$2:$H$2918,MATCH(Settings!$B$16,DKW_10Y!$A$2:$A$2918,1)))*100))</f>
        <v/>
      </c>
      <c r="AC651" s="18">
        <f>IF(NOT(ISNUMBER($A651)),NA(),IFERROR(1*INDEX(BBG_Data!$N$2:$N$4000,MATCH($A651,BBG_Data!$M$2:$M$4000,0)),NA()))</f>
        <v/>
      </c>
      <c r="AD651" s="18">
        <f>IF(NOT(ISNUMBER($A651)),NA(),IFERROR(1*INDEX(BBG_Data!$P$2:$P$4000,MATCH($A651,BBG_Data!$O$2:$O$4000,0)),NA()))</f>
        <v/>
      </c>
      <c r="AE651" s="18">
        <f>IF(NOT(ISNUMBER($A651)),NA(),IFERROR(1*INDEX(BBG_Data!$R$2:$R$4000,MATCH($A651,BBG_Data!$Q$2:$Q$4000,0)),NA()))</f>
        <v/>
      </c>
      <c r="AF651" s="20">
        <f>IF(AND(ISNUMBER(B651),ISNUMBER(AC651)),(B651-AC651)*100,NA())</f>
        <v/>
      </c>
      <c r="AG651" s="20">
        <f>IF(AND(ISNUMBER(AE651),ISNUMBER(AD651)),(AE651-AD651)*100,NA())</f>
        <v/>
      </c>
      <c r="AH651" s="19">
        <f>IF(NOT(ISNUMBER($A651)),NA(),IFERROR(INDEX(BBG_Data!$T$2:$T$4000,MATCH($A651,BBG_Data!$S$2:$S$4000,0))*Settings!$B$25,NA()))</f>
        <v/>
      </c>
      <c r="AI651" s="19">
        <f>IF(NOT(ISNUMBER($A651)),NA(),IFERROR(INDEX(BBG_Data!$V$2:$V$4000,MATCH($A651,BBG_Data!$U$2:$U$4000,0))*Settings!$B$25,NA()))</f>
        <v/>
      </c>
      <c r="AJ651" s="19">
        <f>IF(NOT(ISNUMBER($A651)),NA(),IFERROR(1*INDEX(BBG_Data!$X$2:$X$4000,MATCH($A651,BBG_Data!$W$2:$W$4000,0)),NA()))</f>
        <v/>
      </c>
      <c r="AK651" s="19">
        <f>IF(NOT(ISNUMBER($A651)),NA(),IFERROR(1*INDEX(BBG_Data!$Z$2:$Z$4000,MATCH($A651,BBG_Data!$Y$2:$Y$4000,0)),NA()))</f>
        <v/>
      </c>
    </row>
    <row r="652">
      <c r="A652" s="17">
        <f>IF(ISNUMBER(BBG_Data!A652),BBG_Data!A652,"")</f>
        <v/>
      </c>
      <c r="B652" s="18">
        <f>IF(AND(ISNUMBER($A652),ISNUMBER(BBG_Data!B652)),BBG_Data!B652,NA())</f>
        <v/>
      </c>
      <c r="C652" s="18">
        <f>IF(NOT(ISNUMBER($A652)),NA(),IFERROR(1*INDEX(BBG_Data!$D$2:$D$4000,MATCH($A652,BBG_Data!$C$2:$C$4000,0)),NA()))</f>
        <v/>
      </c>
      <c r="D652" s="19">
        <f>IF(NOT(ISNUMBER($A652)),NA(),IFERROR(1*INDEX(BBG_Data!$F$2:$F$4000,MATCH($A652,BBG_Data!$E$2:$E$4000,0)),NA()))</f>
        <v/>
      </c>
      <c r="E652" s="19">
        <f>IF(NOT(ISNUMBER($A652)),NA(),IFERROR(1*INDEX(BBG_Data!$H$2:$H$4000,MATCH($A652,BBG_Data!$G$2:$G$4000,0)),NA()))</f>
        <v/>
      </c>
      <c r="F652" s="20">
        <f>IF(AND(ISNUMBER(B652),ISNUMBER(B651)),IF(B652=B651,"",(B652-B651)*100),"")</f>
        <v/>
      </c>
      <c r="G652" s="20">
        <f>IF(AND(ISNUMBER(C652),ISNUMBER(C651)),IF(C652=C651,"",(C652-C651)*100),"")</f>
        <v/>
      </c>
      <c r="H652" s="20">
        <f>IF(OR(NOT(ISNUMBER($A652)),ROW()-2&lt;Settings!$B$11),NA(),IF(COUNT(OFFSET(F652,1-Settings!$B$11,0,Settings!$B$11,1))&lt;ROUNDUP(Settings!$B$11*Settings!$B$26,0),NA(),STDEV(OFFSET(F652,1-Settings!$B$11,0,Settings!$B$11,1))*SQRT(Settings!$B$13)))</f>
        <v/>
      </c>
      <c r="I652" s="20">
        <f>IF(OR(NOT(ISNUMBER($A652)),ROW()-2&lt;Settings!$B$12),NA(),IF(COUNT(OFFSET(F652,1-Settings!$B$12,0,Settings!$B$12,1))&lt;ROUNDUP(Settings!$B$12*Settings!$B$26,0),NA(),STDEV(OFFSET(F652,1-Settings!$B$12,0,Settings!$B$12,1))*SQRT(Settings!$B$13)))</f>
        <v/>
      </c>
      <c r="J652" s="20">
        <f>IF(OR(NOT(ISNUMBER($A652)),ROW()-2&lt;Settings!$B$11),NA(),IF(COUNT(OFFSET(G652,1-Settings!$B$11,0,Settings!$B$11,1))&lt;ROUNDUP(Settings!$B$11*Settings!$B$26,0),NA(),STDEV(OFFSET(G652,1-Settings!$B$11,0,Settings!$B$11,1))*SQRT(Settings!$B$13)))</f>
        <v/>
      </c>
      <c r="K652" s="20">
        <f>IF(OR(NOT(ISNUMBER($A652)),ROW()-2&lt;Settings!$B$12),NA(),IF(COUNT(OFFSET(G652,1-Settings!$B$12,0,Settings!$B$12,1))&lt;ROUNDUP(Settings!$B$12*Settings!$B$26,0),NA(),STDEV(OFFSET(G652,1-Settings!$B$12,0,Settings!$B$12,1))*SQRT(Settings!$B$13)))</f>
        <v/>
      </c>
      <c r="L652" s="20">
        <f>IF(AND(ISNUMBER(D652),ISNUMBER(H652)),D652-H652,NA())</f>
        <v/>
      </c>
      <c r="M652" s="20">
        <f>IF(AND(ISNUMBER(E652),ISNUMBER(K652)),E652-K652,NA())</f>
        <v/>
      </c>
      <c r="N652" s="20">
        <f>IF(NOT(ISNUMBER($A652)),NA(),IF(COUNT(OFFSET(G652,1,0,Settings!$B$12,1))&lt;ROUNDUP(Settings!$B$12*Settings!$B$26,0),NA(),STDEV(OFFSET(G652,1,0,Settings!$B$12,1))*SQRT(Settings!$B$13)))</f>
        <v/>
      </c>
      <c r="O652" s="20">
        <f>IF(AND(ISNUMBER(E652),ISNUMBER(N652)),E652-N652,NA())</f>
        <v/>
      </c>
      <c r="P652" s="19">
        <f>IF(NOT(ISNUMBER($A652)),NA(),IF(OR($A652&lt;MIN(KW_TP!$A$2:$A$2501),$A652&gt;MAX(KW_TP!$A$2:$A$2501)),NA(),INDEX(KW_TP!$C$2:$C$2501,MATCH($A652,KW_TP!$A$2:$A$2501,1))))</f>
        <v/>
      </c>
      <c r="Q652" s="18">
        <f>IF(NOT(ISNUMBER($A652)),NA(),IFERROR(1*INDEX(BBG_Data!$J$2:$J$4000,MATCH($A652,BBG_Data!$I$2:$I$4000,0)),NA()))</f>
        <v/>
      </c>
      <c r="R652" s="18">
        <f>IF(NOT(ISNUMBER($A652)),NA(),IFERROR(1*INDEX(BBG_Data!$L$2:$L$4000,MATCH($A652,BBG_Data!$K$2:$K$4000,0)),NA()))</f>
        <v/>
      </c>
      <c r="S652" s="20">
        <f>IF(AND(ISNUMBER(B652),ISNUMBER(Q652),ISNUMBER(R652)),(B652-Q652-R652)*100,NA())</f>
        <v/>
      </c>
      <c r="T652" s="20">
        <f>IF(AND(ISNUMBER(B652),Settings!$B$17&gt;0),IF(ISNUMBER(INDEX($B:$B,Settings!$B$17)),(B652-INDEX($B:$B,Settings!$B$17))*100,NA()),NA())</f>
        <v/>
      </c>
      <c r="U652" s="20">
        <f>IF(AND(ISNUMBER(Q652),Settings!$B$17&gt;0),IF(ISNUMBER(INDEX($Q:$Q,Settings!$B$17)),(Q652-INDEX($Q:$Q,Settings!$B$17))*100,NA()),NA())</f>
        <v/>
      </c>
      <c r="V652" s="20">
        <f>IF(AND(ISNUMBER(R652),Settings!$B$17&gt;0),IF(ISNUMBER(INDEX($R:$R,Settings!$B$17)),(R652-INDEX($R:$R,Settings!$B$17))*100,NA()),NA())</f>
        <v/>
      </c>
      <c r="W652" s="20">
        <f>IF(AND(ISNUMBER(P652),Settings!$B$17&gt;0),IF(ISNUMBER(INDEX($P:$P,Settings!$B$17)),P652-INDEX($P:$P,Settings!$B$17),NA()),NA())</f>
        <v/>
      </c>
      <c r="X652" s="19">
        <f>IF(NOT(ISNUMBER($A652)),NA(),IF(OR($A652&lt;MIN(DKW_10Y!$A$2:$A$2918),$A652&gt;MAX(DKW_10Y!$A$2:$A$2918),Settings!$B$16&lt;MIN(DKW_10Y!$A$2:$A$2918)),NA(),(INDEX(DKW_10Y!$B$2:$B$2918,MATCH($A652,DKW_10Y!$A$2:$A$2918,1))-INDEX(DKW_10Y!$B$2:$B$2918,MATCH(Settings!$B$16,DKW_10Y!$A$2:$A$2918,1)))*100))</f>
        <v/>
      </c>
      <c r="Y652" s="19">
        <f>IF(NOT(ISNUMBER($A652)),NA(),IF(OR($A652&lt;MIN(DKW_10Y!$A$2:$A$2918),$A652&gt;MAX(DKW_10Y!$A$2:$A$2918),Settings!$B$16&lt;MIN(DKW_10Y!$A$2:$A$2918)),NA(),(INDEX(DKW_10Y!$C$2:$C$2918,MATCH($A652,DKW_10Y!$A$2:$A$2918,1))-INDEX(DKW_10Y!$C$2:$C$2918,MATCH(Settings!$B$16,DKW_10Y!$A$2:$A$2918,1)))*100))</f>
        <v/>
      </c>
      <c r="Z652" s="19">
        <f>IF(NOT(ISNUMBER($A652)),NA(),IF(OR($A652&lt;MIN(DKW_10Y!$A$2:$A$2918),$A652&gt;MAX(DKW_10Y!$A$2:$A$2918),Settings!$B$16&lt;MIN(DKW_10Y!$A$2:$A$2918)),NA(),(INDEX(DKW_10Y!$D$2:$D$2918,MATCH($A652,DKW_10Y!$A$2:$A$2918,1))-INDEX(DKW_10Y!$D$2:$D$2918,MATCH(Settings!$B$16,DKW_10Y!$A$2:$A$2918,1)))*100))</f>
        <v/>
      </c>
      <c r="AA652" s="19">
        <f>IF(NOT(ISNUMBER($A652)),NA(),IF(OR($A652&lt;MIN(DKW_10Y!$A$2:$A$2918),$A652&gt;MAX(DKW_10Y!$A$2:$A$2918),Settings!$B$16&lt;MIN(DKW_10Y!$A$2:$A$2918)),NA(),(INDEX(DKW_10Y!$E$2:$E$2918,MATCH($A652,DKW_10Y!$A$2:$A$2918,1))-INDEX(DKW_10Y!$E$2:$E$2918,MATCH(Settings!$B$16,DKW_10Y!$A$2:$A$2918,1)))*100))</f>
        <v/>
      </c>
      <c r="AB652" s="19">
        <f>IF(NOT(ISNUMBER($A652)),NA(),IF(OR($A652&lt;MIN(DKW_10Y!$A$2:$A$2918),$A652&gt;MAX(DKW_10Y!$A$2:$A$2918),Settings!$B$16&lt;MIN(DKW_10Y!$A$2:$A$2918)),NA(),(INDEX(DKW_10Y!$H$2:$H$2918,MATCH($A652,DKW_10Y!$A$2:$A$2918,1))-INDEX(DKW_10Y!$H$2:$H$2918,MATCH(Settings!$B$16,DKW_10Y!$A$2:$A$2918,1)))*100))</f>
        <v/>
      </c>
      <c r="AC652" s="18">
        <f>IF(NOT(ISNUMBER($A652)),NA(),IFERROR(1*INDEX(BBG_Data!$N$2:$N$4000,MATCH($A652,BBG_Data!$M$2:$M$4000,0)),NA()))</f>
        <v/>
      </c>
      <c r="AD652" s="18">
        <f>IF(NOT(ISNUMBER($A652)),NA(),IFERROR(1*INDEX(BBG_Data!$P$2:$P$4000,MATCH($A652,BBG_Data!$O$2:$O$4000,0)),NA()))</f>
        <v/>
      </c>
      <c r="AE652" s="18">
        <f>IF(NOT(ISNUMBER($A652)),NA(),IFERROR(1*INDEX(BBG_Data!$R$2:$R$4000,MATCH($A652,BBG_Data!$Q$2:$Q$4000,0)),NA()))</f>
        <v/>
      </c>
      <c r="AF652" s="20">
        <f>IF(AND(ISNUMBER(B652),ISNUMBER(AC652)),(B652-AC652)*100,NA())</f>
        <v/>
      </c>
      <c r="AG652" s="20">
        <f>IF(AND(ISNUMBER(AE652),ISNUMBER(AD652)),(AE652-AD652)*100,NA())</f>
        <v/>
      </c>
      <c r="AH652" s="19">
        <f>IF(NOT(ISNUMBER($A652)),NA(),IFERROR(INDEX(BBG_Data!$T$2:$T$4000,MATCH($A652,BBG_Data!$S$2:$S$4000,0))*Settings!$B$25,NA()))</f>
        <v/>
      </c>
      <c r="AI652" s="19">
        <f>IF(NOT(ISNUMBER($A652)),NA(),IFERROR(INDEX(BBG_Data!$V$2:$V$4000,MATCH($A652,BBG_Data!$U$2:$U$4000,0))*Settings!$B$25,NA()))</f>
        <v/>
      </c>
      <c r="AJ652" s="19">
        <f>IF(NOT(ISNUMBER($A652)),NA(),IFERROR(1*INDEX(BBG_Data!$X$2:$X$4000,MATCH($A652,BBG_Data!$W$2:$W$4000,0)),NA()))</f>
        <v/>
      </c>
      <c r="AK652" s="19">
        <f>IF(NOT(ISNUMBER($A652)),NA(),IFERROR(1*INDEX(BBG_Data!$Z$2:$Z$4000,MATCH($A652,BBG_Data!$Y$2:$Y$4000,0)),NA()))</f>
        <v/>
      </c>
    </row>
    <row r="653">
      <c r="A653" s="17">
        <f>IF(ISNUMBER(BBG_Data!A653),BBG_Data!A653,"")</f>
        <v/>
      </c>
      <c r="B653" s="18">
        <f>IF(AND(ISNUMBER($A653),ISNUMBER(BBG_Data!B653)),BBG_Data!B653,NA())</f>
        <v/>
      </c>
      <c r="C653" s="18">
        <f>IF(NOT(ISNUMBER($A653)),NA(),IFERROR(1*INDEX(BBG_Data!$D$2:$D$4000,MATCH($A653,BBG_Data!$C$2:$C$4000,0)),NA()))</f>
        <v/>
      </c>
      <c r="D653" s="19">
        <f>IF(NOT(ISNUMBER($A653)),NA(),IFERROR(1*INDEX(BBG_Data!$F$2:$F$4000,MATCH($A653,BBG_Data!$E$2:$E$4000,0)),NA()))</f>
        <v/>
      </c>
      <c r="E653" s="19">
        <f>IF(NOT(ISNUMBER($A653)),NA(),IFERROR(1*INDEX(BBG_Data!$H$2:$H$4000,MATCH($A653,BBG_Data!$G$2:$G$4000,0)),NA()))</f>
        <v/>
      </c>
      <c r="F653" s="20">
        <f>IF(AND(ISNUMBER(B653),ISNUMBER(B652)),IF(B653=B652,"",(B653-B652)*100),"")</f>
        <v/>
      </c>
      <c r="G653" s="20">
        <f>IF(AND(ISNUMBER(C653),ISNUMBER(C652)),IF(C653=C652,"",(C653-C652)*100),"")</f>
        <v/>
      </c>
      <c r="H653" s="20">
        <f>IF(OR(NOT(ISNUMBER($A653)),ROW()-2&lt;Settings!$B$11),NA(),IF(COUNT(OFFSET(F653,1-Settings!$B$11,0,Settings!$B$11,1))&lt;ROUNDUP(Settings!$B$11*Settings!$B$26,0),NA(),STDEV(OFFSET(F653,1-Settings!$B$11,0,Settings!$B$11,1))*SQRT(Settings!$B$13)))</f>
        <v/>
      </c>
      <c r="I653" s="20">
        <f>IF(OR(NOT(ISNUMBER($A653)),ROW()-2&lt;Settings!$B$12),NA(),IF(COUNT(OFFSET(F653,1-Settings!$B$12,0,Settings!$B$12,1))&lt;ROUNDUP(Settings!$B$12*Settings!$B$26,0),NA(),STDEV(OFFSET(F653,1-Settings!$B$12,0,Settings!$B$12,1))*SQRT(Settings!$B$13)))</f>
        <v/>
      </c>
      <c r="J653" s="20">
        <f>IF(OR(NOT(ISNUMBER($A653)),ROW()-2&lt;Settings!$B$11),NA(),IF(COUNT(OFFSET(G653,1-Settings!$B$11,0,Settings!$B$11,1))&lt;ROUNDUP(Settings!$B$11*Settings!$B$26,0),NA(),STDEV(OFFSET(G653,1-Settings!$B$11,0,Settings!$B$11,1))*SQRT(Settings!$B$13)))</f>
        <v/>
      </c>
      <c r="K653" s="20">
        <f>IF(OR(NOT(ISNUMBER($A653)),ROW()-2&lt;Settings!$B$12),NA(),IF(COUNT(OFFSET(G653,1-Settings!$B$12,0,Settings!$B$12,1))&lt;ROUNDUP(Settings!$B$12*Settings!$B$26,0),NA(),STDEV(OFFSET(G653,1-Settings!$B$12,0,Settings!$B$12,1))*SQRT(Settings!$B$13)))</f>
        <v/>
      </c>
      <c r="L653" s="20">
        <f>IF(AND(ISNUMBER(D653),ISNUMBER(H653)),D653-H653,NA())</f>
        <v/>
      </c>
      <c r="M653" s="20">
        <f>IF(AND(ISNUMBER(E653),ISNUMBER(K653)),E653-K653,NA())</f>
        <v/>
      </c>
      <c r="N653" s="20">
        <f>IF(NOT(ISNUMBER($A653)),NA(),IF(COUNT(OFFSET(G653,1,0,Settings!$B$12,1))&lt;ROUNDUP(Settings!$B$12*Settings!$B$26,0),NA(),STDEV(OFFSET(G653,1,0,Settings!$B$12,1))*SQRT(Settings!$B$13)))</f>
        <v/>
      </c>
      <c r="O653" s="20">
        <f>IF(AND(ISNUMBER(E653),ISNUMBER(N653)),E653-N653,NA())</f>
        <v/>
      </c>
      <c r="P653" s="19">
        <f>IF(NOT(ISNUMBER($A653)),NA(),IF(OR($A653&lt;MIN(KW_TP!$A$2:$A$2501),$A653&gt;MAX(KW_TP!$A$2:$A$2501)),NA(),INDEX(KW_TP!$C$2:$C$2501,MATCH($A653,KW_TP!$A$2:$A$2501,1))))</f>
        <v/>
      </c>
      <c r="Q653" s="18">
        <f>IF(NOT(ISNUMBER($A653)),NA(),IFERROR(1*INDEX(BBG_Data!$J$2:$J$4000,MATCH($A653,BBG_Data!$I$2:$I$4000,0)),NA()))</f>
        <v/>
      </c>
      <c r="R653" s="18">
        <f>IF(NOT(ISNUMBER($A653)),NA(),IFERROR(1*INDEX(BBG_Data!$L$2:$L$4000,MATCH($A653,BBG_Data!$K$2:$K$4000,0)),NA()))</f>
        <v/>
      </c>
      <c r="S653" s="20">
        <f>IF(AND(ISNUMBER(B653),ISNUMBER(Q653),ISNUMBER(R653)),(B653-Q653-R653)*100,NA())</f>
        <v/>
      </c>
      <c r="T653" s="20">
        <f>IF(AND(ISNUMBER(B653),Settings!$B$17&gt;0),IF(ISNUMBER(INDEX($B:$B,Settings!$B$17)),(B653-INDEX($B:$B,Settings!$B$17))*100,NA()),NA())</f>
        <v/>
      </c>
      <c r="U653" s="20">
        <f>IF(AND(ISNUMBER(Q653),Settings!$B$17&gt;0),IF(ISNUMBER(INDEX($Q:$Q,Settings!$B$17)),(Q653-INDEX($Q:$Q,Settings!$B$17))*100,NA()),NA())</f>
        <v/>
      </c>
      <c r="V653" s="20">
        <f>IF(AND(ISNUMBER(R653),Settings!$B$17&gt;0),IF(ISNUMBER(INDEX($R:$R,Settings!$B$17)),(R653-INDEX($R:$R,Settings!$B$17))*100,NA()),NA())</f>
        <v/>
      </c>
      <c r="W653" s="20">
        <f>IF(AND(ISNUMBER(P653),Settings!$B$17&gt;0),IF(ISNUMBER(INDEX($P:$P,Settings!$B$17)),P653-INDEX($P:$P,Settings!$B$17),NA()),NA())</f>
        <v/>
      </c>
      <c r="X653" s="19">
        <f>IF(NOT(ISNUMBER($A653)),NA(),IF(OR($A653&lt;MIN(DKW_10Y!$A$2:$A$2918),$A653&gt;MAX(DKW_10Y!$A$2:$A$2918),Settings!$B$16&lt;MIN(DKW_10Y!$A$2:$A$2918)),NA(),(INDEX(DKW_10Y!$B$2:$B$2918,MATCH($A653,DKW_10Y!$A$2:$A$2918,1))-INDEX(DKW_10Y!$B$2:$B$2918,MATCH(Settings!$B$16,DKW_10Y!$A$2:$A$2918,1)))*100))</f>
        <v/>
      </c>
      <c r="Y653" s="19">
        <f>IF(NOT(ISNUMBER($A653)),NA(),IF(OR($A653&lt;MIN(DKW_10Y!$A$2:$A$2918),$A653&gt;MAX(DKW_10Y!$A$2:$A$2918),Settings!$B$16&lt;MIN(DKW_10Y!$A$2:$A$2918)),NA(),(INDEX(DKW_10Y!$C$2:$C$2918,MATCH($A653,DKW_10Y!$A$2:$A$2918,1))-INDEX(DKW_10Y!$C$2:$C$2918,MATCH(Settings!$B$16,DKW_10Y!$A$2:$A$2918,1)))*100))</f>
        <v/>
      </c>
      <c r="Z653" s="19">
        <f>IF(NOT(ISNUMBER($A653)),NA(),IF(OR($A653&lt;MIN(DKW_10Y!$A$2:$A$2918),$A653&gt;MAX(DKW_10Y!$A$2:$A$2918),Settings!$B$16&lt;MIN(DKW_10Y!$A$2:$A$2918)),NA(),(INDEX(DKW_10Y!$D$2:$D$2918,MATCH($A653,DKW_10Y!$A$2:$A$2918,1))-INDEX(DKW_10Y!$D$2:$D$2918,MATCH(Settings!$B$16,DKW_10Y!$A$2:$A$2918,1)))*100))</f>
        <v/>
      </c>
      <c r="AA653" s="19">
        <f>IF(NOT(ISNUMBER($A653)),NA(),IF(OR($A653&lt;MIN(DKW_10Y!$A$2:$A$2918),$A653&gt;MAX(DKW_10Y!$A$2:$A$2918),Settings!$B$16&lt;MIN(DKW_10Y!$A$2:$A$2918)),NA(),(INDEX(DKW_10Y!$E$2:$E$2918,MATCH($A653,DKW_10Y!$A$2:$A$2918,1))-INDEX(DKW_10Y!$E$2:$E$2918,MATCH(Settings!$B$16,DKW_10Y!$A$2:$A$2918,1)))*100))</f>
        <v/>
      </c>
      <c r="AB653" s="19">
        <f>IF(NOT(ISNUMBER($A653)),NA(),IF(OR($A653&lt;MIN(DKW_10Y!$A$2:$A$2918),$A653&gt;MAX(DKW_10Y!$A$2:$A$2918),Settings!$B$16&lt;MIN(DKW_10Y!$A$2:$A$2918)),NA(),(INDEX(DKW_10Y!$H$2:$H$2918,MATCH($A653,DKW_10Y!$A$2:$A$2918,1))-INDEX(DKW_10Y!$H$2:$H$2918,MATCH(Settings!$B$16,DKW_10Y!$A$2:$A$2918,1)))*100))</f>
        <v/>
      </c>
      <c r="AC653" s="18">
        <f>IF(NOT(ISNUMBER($A653)),NA(),IFERROR(1*INDEX(BBG_Data!$N$2:$N$4000,MATCH($A653,BBG_Data!$M$2:$M$4000,0)),NA()))</f>
        <v/>
      </c>
      <c r="AD653" s="18">
        <f>IF(NOT(ISNUMBER($A653)),NA(),IFERROR(1*INDEX(BBG_Data!$P$2:$P$4000,MATCH($A653,BBG_Data!$O$2:$O$4000,0)),NA()))</f>
        <v/>
      </c>
      <c r="AE653" s="18">
        <f>IF(NOT(ISNUMBER($A653)),NA(),IFERROR(1*INDEX(BBG_Data!$R$2:$R$4000,MATCH($A653,BBG_Data!$Q$2:$Q$4000,0)),NA()))</f>
        <v/>
      </c>
      <c r="AF653" s="20">
        <f>IF(AND(ISNUMBER(B653),ISNUMBER(AC653)),(B653-AC653)*100,NA())</f>
        <v/>
      </c>
      <c r="AG653" s="20">
        <f>IF(AND(ISNUMBER(AE653),ISNUMBER(AD653)),(AE653-AD653)*100,NA())</f>
        <v/>
      </c>
      <c r="AH653" s="19">
        <f>IF(NOT(ISNUMBER($A653)),NA(),IFERROR(INDEX(BBG_Data!$T$2:$T$4000,MATCH($A653,BBG_Data!$S$2:$S$4000,0))*Settings!$B$25,NA()))</f>
        <v/>
      </c>
      <c r="AI653" s="19">
        <f>IF(NOT(ISNUMBER($A653)),NA(),IFERROR(INDEX(BBG_Data!$V$2:$V$4000,MATCH($A653,BBG_Data!$U$2:$U$4000,0))*Settings!$B$25,NA()))</f>
        <v/>
      </c>
      <c r="AJ653" s="19">
        <f>IF(NOT(ISNUMBER($A653)),NA(),IFERROR(1*INDEX(BBG_Data!$X$2:$X$4000,MATCH($A653,BBG_Data!$W$2:$W$4000,0)),NA()))</f>
        <v/>
      </c>
      <c r="AK653" s="19">
        <f>IF(NOT(ISNUMBER($A653)),NA(),IFERROR(1*INDEX(BBG_Data!$Z$2:$Z$4000,MATCH($A653,BBG_Data!$Y$2:$Y$4000,0)),NA()))</f>
        <v/>
      </c>
    </row>
    <row r="654">
      <c r="A654" s="17">
        <f>IF(ISNUMBER(BBG_Data!A654),BBG_Data!A654,"")</f>
        <v/>
      </c>
      <c r="B654" s="18">
        <f>IF(AND(ISNUMBER($A654),ISNUMBER(BBG_Data!B654)),BBG_Data!B654,NA())</f>
        <v/>
      </c>
      <c r="C654" s="18">
        <f>IF(NOT(ISNUMBER($A654)),NA(),IFERROR(1*INDEX(BBG_Data!$D$2:$D$4000,MATCH($A654,BBG_Data!$C$2:$C$4000,0)),NA()))</f>
        <v/>
      </c>
      <c r="D654" s="19">
        <f>IF(NOT(ISNUMBER($A654)),NA(),IFERROR(1*INDEX(BBG_Data!$F$2:$F$4000,MATCH($A654,BBG_Data!$E$2:$E$4000,0)),NA()))</f>
        <v/>
      </c>
      <c r="E654" s="19">
        <f>IF(NOT(ISNUMBER($A654)),NA(),IFERROR(1*INDEX(BBG_Data!$H$2:$H$4000,MATCH($A654,BBG_Data!$G$2:$G$4000,0)),NA()))</f>
        <v/>
      </c>
      <c r="F654" s="20">
        <f>IF(AND(ISNUMBER(B654),ISNUMBER(B653)),IF(B654=B653,"",(B654-B653)*100),"")</f>
        <v/>
      </c>
      <c r="G654" s="20">
        <f>IF(AND(ISNUMBER(C654),ISNUMBER(C653)),IF(C654=C653,"",(C654-C653)*100),"")</f>
        <v/>
      </c>
      <c r="H654" s="20">
        <f>IF(OR(NOT(ISNUMBER($A654)),ROW()-2&lt;Settings!$B$11),NA(),IF(COUNT(OFFSET(F654,1-Settings!$B$11,0,Settings!$B$11,1))&lt;ROUNDUP(Settings!$B$11*Settings!$B$26,0),NA(),STDEV(OFFSET(F654,1-Settings!$B$11,0,Settings!$B$11,1))*SQRT(Settings!$B$13)))</f>
        <v/>
      </c>
      <c r="I654" s="20">
        <f>IF(OR(NOT(ISNUMBER($A654)),ROW()-2&lt;Settings!$B$12),NA(),IF(COUNT(OFFSET(F654,1-Settings!$B$12,0,Settings!$B$12,1))&lt;ROUNDUP(Settings!$B$12*Settings!$B$26,0),NA(),STDEV(OFFSET(F654,1-Settings!$B$12,0,Settings!$B$12,1))*SQRT(Settings!$B$13)))</f>
        <v/>
      </c>
      <c r="J654" s="20">
        <f>IF(OR(NOT(ISNUMBER($A654)),ROW()-2&lt;Settings!$B$11),NA(),IF(COUNT(OFFSET(G654,1-Settings!$B$11,0,Settings!$B$11,1))&lt;ROUNDUP(Settings!$B$11*Settings!$B$26,0),NA(),STDEV(OFFSET(G654,1-Settings!$B$11,0,Settings!$B$11,1))*SQRT(Settings!$B$13)))</f>
        <v/>
      </c>
      <c r="K654" s="20">
        <f>IF(OR(NOT(ISNUMBER($A654)),ROW()-2&lt;Settings!$B$12),NA(),IF(COUNT(OFFSET(G654,1-Settings!$B$12,0,Settings!$B$12,1))&lt;ROUNDUP(Settings!$B$12*Settings!$B$26,0),NA(),STDEV(OFFSET(G654,1-Settings!$B$12,0,Settings!$B$12,1))*SQRT(Settings!$B$13)))</f>
        <v/>
      </c>
      <c r="L654" s="20">
        <f>IF(AND(ISNUMBER(D654),ISNUMBER(H654)),D654-H654,NA())</f>
        <v/>
      </c>
      <c r="M654" s="20">
        <f>IF(AND(ISNUMBER(E654),ISNUMBER(K654)),E654-K654,NA())</f>
        <v/>
      </c>
      <c r="N654" s="20">
        <f>IF(NOT(ISNUMBER($A654)),NA(),IF(COUNT(OFFSET(G654,1,0,Settings!$B$12,1))&lt;ROUNDUP(Settings!$B$12*Settings!$B$26,0),NA(),STDEV(OFFSET(G654,1,0,Settings!$B$12,1))*SQRT(Settings!$B$13)))</f>
        <v/>
      </c>
      <c r="O654" s="20">
        <f>IF(AND(ISNUMBER(E654),ISNUMBER(N654)),E654-N654,NA())</f>
        <v/>
      </c>
      <c r="P654" s="19">
        <f>IF(NOT(ISNUMBER($A654)),NA(),IF(OR($A654&lt;MIN(KW_TP!$A$2:$A$2501),$A654&gt;MAX(KW_TP!$A$2:$A$2501)),NA(),INDEX(KW_TP!$C$2:$C$2501,MATCH($A654,KW_TP!$A$2:$A$2501,1))))</f>
        <v/>
      </c>
      <c r="Q654" s="18">
        <f>IF(NOT(ISNUMBER($A654)),NA(),IFERROR(1*INDEX(BBG_Data!$J$2:$J$4000,MATCH($A654,BBG_Data!$I$2:$I$4000,0)),NA()))</f>
        <v/>
      </c>
      <c r="R654" s="18">
        <f>IF(NOT(ISNUMBER($A654)),NA(),IFERROR(1*INDEX(BBG_Data!$L$2:$L$4000,MATCH($A654,BBG_Data!$K$2:$K$4000,0)),NA()))</f>
        <v/>
      </c>
      <c r="S654" s="20">
        <f>IF(AND(ISNUMBER(B654),ISNUMBER(Q654),ISNUMBER(R654)),(B654-Q654-R654)*100,NA())</f>
        <v/>
      </c>
      <c r="T654" s="20">
        <f>IF(AND(ISNUMBER(B654),Settings!$B$17&gt;0),IF(ISNUMBER(INDEX($B:$B,Settings!$B$17)),(B654-INDEX($B:$B,Settings!$B$17))*100,NA()),NA())</f>
        <v/>
      </c>
      <c r="U654" s="20">
        <f>IF(AND(ISNUMBER(Q654),Settings!$B$17&gt;0),IF(ISNUMBER(INDEX($Q:$Q,Settings!$B$17)),(Q654-INDEX($Q:$Q,Settings!$B$17))*100,NA()),NA())</f>
        <v/>
      </c>
      <c r="V654" s="20">
        <f>IF(AND(ISNUMBER(R654),Settings!$B$17&gt;0),IF(ISNUMBER(INDEX($R:$R,Settings!$B$17)),(R654-INDEX($R:$R,Settings!$B$17))*100,NA()),NA())</f>
        <v/>
      </c>
      <c r="W654" s="20">
        <f>IF(AND(ISNUMBER(P654),Settings!$B$17&gt;0),IF(ISNUMBER(INDEX($P:$P,Settings!$B$17)),P654-INDEX($P:$P,Settings!$B$17),NA()),NA())</f>
        <v/>
      </c>
      <c r="X654" s="19">
        <f>IF(NOT(ISNUMBER($A654)),NA(),IF(OR($A654&lt;MIN(DKW_10Y!$A$2:$A$2918),$A654&gt;MAX(DKW_10Y!$A$2:$A$2918),Settings!$B$16&lt;MIN(DKW_10Y!$A$2:$A$2918)),NA(),(INDEX(DKW_10Y!$B$2:$B$2918,MATCH($A654,DKW_10Y!$A$2:$A$2918,1))-INDEX(DKW_10Y!$B$2:$B$2918,MATCH(Settings!$B$16,DKW_10Y!$A$2:$A$2918,1)))*100))</f>
        <v/>
      </c>
      <c r="Y654" s="19">
        <f>IF(NOT(ISNUMBER($A654)),NA(),IF(OR($A654&lt;MIN(DKW_10Y!$A$2:$A$2918),$A654&gt;MAX(DKW_10Y!$A$2:$A$2918),Settings!$B$16&lt;MIN(DKW_10Y!$A$2:$A$2918)),NA(),(INDEX(DKW_10Y!$C$2:$C$2918,MATCH($A654,DKW_10Y!$A$2:$A$2918,1))-INDEX(DKW_10Y!$C$2:$C$2918,MATCH(Settings!$B$16,DKW_10Y!$A$2:$A$2918,1)))*100))</f>
        <v/>
      </c>
      <c r="Z654" s="19">
        <f>IF(NOT(ISNUMBER($A654)),NA(),IF(OR($A654&lt;MIN(DKW_10Y!$A$2:$A$2918),$A654&gt;MAX(DKW_10Y!$A$2:$A$2918),Settings!$B$16&lt;MIN(DKW_10Y!$A$2:$A$2918)),NA(),(INDEX(DKW_10Y!$D$2:$D$2918,MATCH($A654,DKW_10Y!$A$2:$A$2918,1))-INDEX(DKW_10Y!$D$2:$D$2918,MATCH(Settings!$B$16,DKW_10Y!$A$2:$A$2918,1)))*100))</f>
        <v/>
      </c>
      <c r="AA654" s="19">
        <f>IF(NOT(ISNUMBER($A654)),NA(),IF(OR($A654&lt;MIN(DKW_10Y!$A$2:$A$2918),$A654&gt;MAX(DKW_10Y!$A$2:$A$2918),Settings!$B$16&lt;MIN(DKW_10Y!$A$2:$A$2918)),NA(),(INDEX(DKW_10Y!$E$2:$E$2918,MATCH($A654,DKW_10Y!$A$2:$A$2918,1))-INDEX(DKW_10Y!$E$2:$E$2918,MATCH(Settings!$B$16,DKW_10Y!$A$2:$A$2918,1)))*100))</f>
        <v/>
      </c>
      <c r="AB654" s="19">
        <f>IF(NOT(ISNUMBER($A654)),NA(),IF(OR($A654&lt;MIN(DKW_10Y!$A$2:$A$2918),$A654&gt;MAX(DKW_10Y!$A$2:$A$2918),Settings!$B$16&lt;MIN(DKW_10Y!$A$2:$A$2918)),NA(),(INDEX(DKW_10Y!$H$2:$H$2918,MATCH($A654,DKW_10Y!$A$2:$A$2918,1))-INDEX(DKW_10Y!$H$2:$H$2918,MATCH(Settings!$B$16,DKW_10Y!$A$2:$A$2918,1)))*100))</f>
        <v/>
      </c>
      <c r="AC654" s="18">
        <f>IF(NOT(ISNUMBER($A654)),NA(),IFERROR(1*INDEX(BBG_Data!$N$2:$N$4000,MATCH($A654,BBG_Data!$M$2:$M$4000,0)),NA()))</f>
        <v/>
      </c>
      <c r="AD654" s="18">
        <f>IF(NOT(ISNUMBER($A654)),NA(),IFERROR(1*INDEX(BBG_Data!$P$2:$P$4000,MATCH($A654,BBG_Data!$O$2:$O$4000,0)),NA()))</f>
        <v/>
      </c>
      <c r="AE654" s="18">
        <f>IF(NOT(ISNUMBER($A654)),NA(),IFERROR(1*INDEX(BBG_Data!$R$2:$R$4000,MATCH($A654,BBG_Data!$Q$2:$Q$4000,0)),NA()))</f>
        <v/>
      </c>
      <c r="AF654" s="20">
        <f>IF(AND(ISNUMBER(B654),ISNUMBER(AC654)),(B654-AC654)*100,NA())</f>
        <v/>
      </c>
      <c r="AG654" s="20">
        <f>IF(AND(ISNUMBER(AE654),ISNUMBER(AD654)),(AE654-AD654)*100,NA())</f>
        <v/>
      </c>
      <c r="AH654" s="19">
        <f>IF(NOT(ISNUMBER($A654)),NA(),IFERROR(INDEX(BBG_Data!$T$2:$T$4000,MATCH($A654,BBG_Data!$S$2:$S$4000,0))*Settings!$B$25,NA()))</f>
        <v/>
      </c>
      <c r="AI654" s="19">
        <f>IF(NOT(ISNUMBER($A654)),NA(),IFERROR(INDEX(BBG_Data!$V$2:$V$4000,MATCH($A654,BBG_Data!$U$2:$U$4000,0))*Settings!$B$25,NA()))</f>
        <v/>
      </c>
      <c r="AJ654" s="19">
        <f>IF(NOT(ISNUMBER($A654)),NA(),IFERROR(1*INDEX(BBG_Data!$X$2:$X$4000,MATCH($A654,BBG_Data!$W$2:$W$4000,0)),NA()))</f>
        <v/>
      </c>
      <c r="AK654" s="19">
        <f>IF(NOT(ISNUMBER($A654)),NA(),IFERROR(1*INDEX(BBG_Data!$Z$2:$Z$4000,MATCH($A654,BBG_Data!$Y$2:$Y$4000,0)),NA()))</f>
        <v/>
      </c>
    </row>
    <row r="655">
      <c r="A655" s="17">
        <f>IF(ISNUMBER(BBG_Data!A655),BBG_Data!A655,"")</f>
        <v/>
      </c>
      <c r="B655" s="18">
        <f>IF(AND(ISNUMBER($A655),ISNUMBER(BBG_Data!B655)),BBG_Data!B655,NA())</f>
        <v/>
      </c>
      <c r="C655" s="18">
        <f>IF(NOT(ISNUMBER($A655)),NA(),IFERROR(1*INDEX(BBG_Data!$D$2:$D$4000,MATCH($A655,BBG_Data!$C$2:$C$4000,0)),NA()))</f>
        <v/>
      </c>
      <c r="D655" s="19">
        <f>IF(NOT(ISNUMBER($A655)),NA(),IFERROR(1*INDEX(BBG_Data!$F$2:$F$4000,MATCH($A655,BBG_Data!$E$2:$E$4000,0)),NA()))</f>
        <v/>
      </c>
      <c r="E655" s="19">
        <f>IF(NOT(ISNUMBER($A655)),NA(),IFERROR(1*INDEX(BBG_Data!$H$2:$H$4000,MATCH($A655,BBG_Data!$G$2:$G$4000,0)),NA()))</f>
        <v/>
      </c>
      <c r="F655" s="20">
        <f>IF(AND(ISNUMBER(B655),ISNUMBER(B654)),IF(B655=B654,"",(B655-B654)*100),"")</f>
        <v/>
      </c>
      <c r="G655" s="20">
        <f>IF(AND(ISNUMBER(C655),ISNUMBER(C654)),IF(C655=C654,"",(C655-C654)*100),"")</f>
        <v/>
      </c>
      <c r="H655" s="20">
        <f>IF(OR(NOT(ISNUMBER($A655)),ROW()-2&lt;Settings!$B$11),NA(),IF(COUNT(OFFSET(F655,1-Settings!$B$11,0,Settings!$B$11,1))&lt;ROUNDUP(Settings!$B$11*Settings!$B$26,0),NA(),STDEV(OFFSET(F655,1-Settings!$B$11,0,Settings!$B$11,1))*SQRT(Settings!$B$13)))</f>
        <v/>
      </c>
      <c r="I655" s="20">
        <f>IF(OR(NOT(ISNUMBER($A655)),ROW()-2&lt;Settings!$B$12),NA(),IF(COUNT(OFFSET(F655,1-Settings!$B$12,0,Settings!$B$12,1))&lt;ROUNDUP(Settings!$B$12*Settings!$B$26,0),NA(),STDEV(OFFSET(F655,1-Settings!$B$12,0,Settings!$B$12,1))*SQRT(Settings!$B$13)))</f>
        <v/>
      </c>
      <c r="J655" s="20">
        <f>IF(OR(NOT(ISNUMBER($A655)),ROW()-2&lt;Settings!$B$11),NA(),IF(COUNT(OFFSET(G655,1-Settings!$B$11,0,Settings!$B$11,1))&lt;ROUNDUP(Settings!$B$11*Settings!$B$26,0),NA(),STDEV(OFFSET(G655,1-Settings!$B$11,0,Settings!$B$11,1))*SQRT(Settings!$B$13)))</f>
        <v/>
      </c>
      <c r="K655" s="20">
        <f>IF(OR(NOT(ISNUMBER($A655)),ROW()-2&lt;Settings!$B$12),NA(),IF(COUNT(OFFSET(G655,1-Settings!$B$12,0,Settings!$B$12,1))&lt;ROUNDUP(Settings!$B$12*Settings!$B$26,0),NA(),STDEV(OFFSET(G655,1-Settings!$B$12,0,Settings!$B$12,1))*SQRT(Settings!$B$13)))</f>
        <v/>
      </c>
      <c r="L655" s="20">
        <f>IF(AND(ISNUMBER(D655),ISNUMBER(H655)),D655-H655,NA())</f>
        <v/>
      </c>
      <c r="M655" s="20">
        <f>IF(AND(ISNUMBER(E655),ISNUMBER(K655)),E655-K655,NA())</f>
        <v/>
      </c>
      <c r="N655" s="20">
        <f>IF(NOT(ISNUMBER($A655)),NA(),IF(COUNT(OFFSET(G655,1,0,Settings!$B$12,1))&lt;ROUNDUP(Settings!$B$12*Settings!$B$26,0),NA(),STDEV(OFFSET(G655,1,0,Settings!$B$12,1))*SQRT(Settings!$B$13)))</f>
        <v/>
      </c>
      <c r="O655" s="20">
        <f>IF(AND(ISNUMBER(E655),ISNUMBER(N655)),E655-N655,NA())</f>
        <v/>
      </c>
      <c r="P655" s="19">
        <f>IF(NOT(ISNUMBER($A655)),NA(),IF(OR($A655&lt;MIN(KW_TP!$A$2:$A$2501),$A655&gt;MAX(KW_TP!$A$2:$A$2501)),NA(),INDEX(KW_TP!$C$2:$C$2501,MATCH($A655,KW_TP!$A$2:$A$2501,1))))</f>
        <v/>
      </c>
      <c r="Q655" s="18">
        <f>IF(NOT(ISNUMBER($A655)),NA(),IFERROR(1*INDEX(BBG_Data!$J$2:$J$4000,MATCH($A655,BBG_Data!$I$2:$I$4000,0)),NA()))</f>
        <v/>
      </c>
      <c r="R655" s="18">
        <f>IF(NOT(ISNUMBER($A655)),NA(),IFERROR(1*INDEX(BBG_Data!$L$2:$L$4000,MATCH($A655,BBG_Data!$K$2:$K$4000,0)),NA()))</f>
        <v/>
      </c>
      <c r="S655" s="20">
        <f>IF(AND(ISNUMBER(B655),ISNUMBER(Q655),ISNUMBER(R655)),(B655-Q655-R655)*100,NA())</f>
        <v/>
      </c>
      <c r="T655" s="20">
        <f>IF(AND(ISNUMBER(B655),Settings!$B$17&gt;0),IF(ISNUMBER(INDEX($B:$B,Settings!$B$17)),(B655-INDEX($B:$B,Settings!$B$17))*100,NA()),NA())</f>
        <v/>
      </c>
      <c r="U655" s="20">
        <f>IF(AND(ISNUMBER(Q655),Settings!$B$17&gt;0),IF(ISNUMBER(INDEX($Q:$Q,Settings!$B$17)),(Q655-INDEX($Q:$Q,Settings!$B$17))*100,NA()),NA())</f>
        <v/>
      </c>
      <c r="V655" s="20">
        <f>IF(AND(ISNUMBER(R655),Settings!$B$17&gt;0),IF(ISNUMBER(INDEX($R:$R,Settings!$B$17)),(R655-INDEX($R:$R,Settings!$B$17))*100,NA()),NA())</f>
        <v/>
      </c>
      <c r="W655" s="20">
        <f>IF(AND(ISNUMBER(P655),Settings!$B$17&gt;0),IF(ISNUMBER(INDEX($P:$P,Settings!$B$17)),P655-INDEX($P:$P,Settings!$B$17),NA()),NA())</f>
        <v/>
      </c>
      <c r="X655" s="19">
        <f>IF(NOT(ISNUMBER($A655)),NA(),IF(OR($A655&lt;MIN(DKW_10Y!$A$2:$A$2918),$A655&gt;MAX(DKW_10Y!$A$2:$A$2918),Settings!$B$16&lt;MIN(DKW_10Y!$A$2:$A$2918)),NA(),(INDEX(DKW_10Y!$B$2:$B$2918,MATCH($A655,DKW_10Y!$A$2:$A$2918,1))-INDEX(DKW_10Y!$B$2:$B$2918,MATCH(Settings!$B$16,DKW_10Y!$A$2:$A$2918,1)))*100))</f>
        <v/>
      </c>
      <c r="Y655" s="19">
        <f>IF(NOT(ISNUMBER($A655)),NA(),IF(OR($A655&lt;MIN(DKW_10Y!$A$2:$A$2918),$A655&gt;MAX(DKW_10Y!$A$2:$A$2918),Settings!$B$16&lt;MIN(DKW_10Y!$A$2:$A$2918)),NA(),(INDEX(DKW_10Y!$C$2:$C$2918,MATCH($A655,DKW_10Y!$A$2:$A$2918,1))-INDEX(DKW_10Y!$C$2:$C$2918,MATCH(Settings!$B$16,DKW_10Y!$A$2:$A$2918,1)))*100))</f>
        <v/>
      </c>
      <c r="Z655" s="19">
        <f>IF(NOT(ISNUMBER($A655)),NA(),IF(OR($A655&lt;MIN(DKW_10Y!$A$2:$A$2918),$A655&gt;MAX(DKW_10Y!$A$2:$A$2918),Settings!$B$16&lt;MIN(DKW_10Y!$A$2:$A$2918)),NA(),(INDEX(DKW_10Y!$D$2:$D$2918,MATCH($A655,DKW_10Y!$A$2:$A$2918,1))-INDEX(DKW_10Y!$D$2:$D$2918,MATCH(Settings!$B$16,DKW_10Y!$A$2:$A$2918,1)))*100))</f>
        <v/>
      </c>
      <c r="AA655" s="19">
        <f>IF(NOT(ISNUMBER($A655)),NA(),IF(OR($A655&lt;MIN(DKW_10Y!$A$2:$A$2918),$A655&gt;MAX(DKW_10Y!$A$2:$A$2918),Settings!$B$16&lt;MIN(DKW_10Y!$A$2:$A$2918)),NA(),(INDEX(DKW_10Y!$E$2:$E$2918,MATCH($A655,DKW_10Y!$A$2:$A$2918,1))-INDEX(DKW_10Y!$E$2:$E$2918,MATCH(Settings!$B$16,DKW_10Y!$A$2:$A$2918,1)))*100))</f>
        <v/>
      </c>
      <c r="AB655" s="19">
        <f>IF(NOT(ISNUMBER($A655)),NA(),IF(OR($A655&lt;MIN(DKW_10Y!$A$2:$A$2918),$A655&gt;MAX(DKW_10Y!$A$2:$A$2918),Settings!$B$16&lt;MIN(DKW_10Y!$A$2:$A$2918)),NA(),(INDEX(DKW_10Y!$H$2:$H$2918,MATCH($A655,DKW_10Y!$A$2:$A$2918,1))-INDEX(DKW_10Y!$H$2:$H$2918,MATCH(Settings!$B$16,DKW_10Y!$A$2:$A$2918,1)))*100))</f>
        <v/>
      </c>
      <c r="AC655" s="18">
        <f>IF(NOT(ISNUMBER($A655)),NA(),IFERROR(1*INDEX(BBG_Data!$N$2:$N$4000,MATCH($A655,BBG_Data!$M$2:$M$4000,0)),NA()))</f>
        <v/>
      </c>
      <c r="AD655" s="18">
        <f>IF(NOT(ISNUMBER($A655)),NA(),IFERROR(1*INDEX(BBG_Data!$P$2:$P$4000,MATCH($A655,BBG_Data!$O$2:$O$4000,0)),NA()))</f>
        <v/>
      </c>
      <c r="AE655" s="18">
        <f>IF(NOT(ISNUMBER($A655)),NA(),IFERROR(1*INDEX(BBG_Data!$R$2:$R$4000,MATCH($A655,BBG_Data!$Q$2:$Q$4000,0)),NA()))</f>
        <v/>
      </c>
      <c r="AF655" s="20">
        <f>IF(AND(ISNUMBER(B655),ISNUMBER(AC655)),(B655-AC655)*100,NA())</f>
        <v/>
      </c>
      <c r="AG655" s="20">
        <f>IF(AND(ISNUMBER(AE655),ISNUMBER(AD655)),(AE655-AD655)*100,NA())</f>
        <v/>
      </c>
      <c r="AH655" s="19">
        <f>IF(NOT(ISNUMBER($A655)),NA(),IFERROR(INDEX(BBG_Data!$T$2:$T$4000,MATCH($A655,BBG_Data!$S$2:$S$4000,0))*Settings!$B$25,NA()))</f>
        <v/>
      </c>
      <c r="AI655" s="19">
        <f>IF(NOT(ISNUMBER($A655)),NA(),IFERROR(INDEX(BBG_Data!$V$2:$V$4000,MATCH($A655,BBG_Data!$U$2:$U$4000,0))*Settings!$B$25,NA()))</f>
        <v/>
      </c>
      <c r="AJ655" s="19">
        <f>IF(NOT(ISNUMBER($A655)),NA(),IFERROR(1*INDEX(BBG_Data!$X$2:$X$4000,MATCH($A655,BBG_Data!$W$2:$W$4000,0)),NA()))</f>
        <v/>
      </c>
      <c r="AK655" s="19">
        <f>IF(NOT(ISNUMBER($A655)),NA(),IFERROR(1*INDEX(BBG_Data!$Z$2:$Z$4000,MATCH($A655,BBG_Data!$Y$2:$Y$4000,0)),NA()))</f>
        <v/>
      </c>
    </row>
    <row r="656">
      <c r="A656" s="17">
        <f>IF(ISNUMBER(BBG_Data!A656),BBG_Data!A656,"")</f>
        <v/>
      </c>
      <c r="B656" s="18">
        <f>IF(AND(ISNUMBER($A656),ISNUMBER(BBG_Data!B656)),BBG_Data!B656,NA())</f>
        <v/>
      </c>
      <c r="C656" s="18">
        <f>IF(NOT(ISNUMBER($A656)),NA(),IFERROR(1*INDEX(BBG_Data!$D$2:$D$4000,MATCH($A656,BBG_Data!$C$2:$C$4000,0)),NA()))</f>
        <v/>
      </c>
      <c r="D656" s="19">
        <f>IF(NOT(ISNUMBER($A656)),NA(),IFERROR(1*INDEX(BBG_Data!$F$2:$F$4000,MATCH($A656,BBG_Data!$E$2:$E$4000,0)),NA()))</f>
        <v/>
      </c>
      <c r="E656" s="19">
        <f>IF(NOT(ISNUMBER($A656)),NA(),IFERROR(1*INDEX(BBG_Data!$H$2:$H$4000,MATCH($A656,BBG_Data!$G$2:$G$4000,0)),NA()))</f>
        <v/>
      </c>
      <c r="F656" s="20">
        <f>IF(AND(ISNUMBER(B656),ISNUMBER(B655)),IF(B656=B655,"",(B656-B655)*100),"")</f>
        <v/>
      </c>
      <c r="G656" s="20">
        <f>IF(AND(ISNUMBER(C656),ISNUMBER(C655)),IF(C656=C655,"",(C656-C655)*100),"")</f>
        <v/>
      </c>
      <c r="H656" s="20">
        <f>IF(OR(NOT(ISNUMBER($A656)),ROW()-2&lt;Settings!$B$11),NA(),IF(COUNT(OFFSET(F656,1-Settings!$B$11,0,Settings!$B$11,1))&lt;ROUNDUP(Settings!$B$11*Settings!$B$26,0),NA(),STDEV(OFFSET(F656,1-Settings!$B$11,0,Settings!$B$11,1))*SQRT(Settings!$B$13)))</f>
        <v/>
      </c>
      <c r="I656" s="20">
        <f>IF(OR(NOT(ISNUMBER($A656)),ROW()-2&lt;Settings!$B$12),NA(),IF(COUNT(OFFSET(F656,1-Settings!$B$12,0,Settings!$B$12,1))&lt;ROUNDUP(Settings!$B$12*Settings!$B$26,0),NA(),STDEV(OFFSET(F656,1-Settings!$B$12,0,Settings!$B$12,1))*SQRT(Settings!$B$13)))</f>
        <v/>
      </c>
      <c r="J656" s="20">
        <f>IF(OR(NOT(ISNUMBER($A656)),ROW()-2&lt;Settings!$B$11),NA(),IF(COUNT(OFFSET(G656,1-Settings!$B$11,0,Settings!$B$11,1))&lt;ROUNDUP(Settings!$B$11*Settings!$B$26,0),NA(),STDEV(OFFSET(G656,1-Settings!$B$11,0,Settings!$B$11,1))*SQRT(Settings!$B$13)))</f>
        <v/>
      </c>
      <c r="K656" s="20">
        <f>IF(OR(NOT(ISNUMBER($A656)),ROW()-2&lt;Settings!$B$12),NA(),IF(COUNT(OFFSET(G656,1-Settings!$B$12,0,Settings!$B$12,1))&lt;ROUNDUP(Settings!$B$12*Settings!$B$26,0),NA(),STDEV(OFFSET(G656,1-Settings!$B$12,0,Settings!$B$12,1))*SQRT(Settings!$B$13)))</f>
        <v/>
      </c>
      <c r="L656" s="20">
        <f>IF(AND(ISNUMBER(D656),ISNUMBER(H656)),D656-H656,NA())</f>
        <v/>
      </c>
      <c r="M656" s="20">
        <f>IF(AND(ISNUMBER(E656),ISNUMBER(K656)),E656-K656,NA())</f>
        <v/>
      </c>
      <c r="N656" s="20">
        <f>IF(NOT(ISNUMBER($A656)),NA(),IF(COUNT(OFFSET(G656,1,0,Settings!$B$12,1))&lt;ROUNDUP(Settings!$B$12*Settings!$B$26,0),NA(),STDEV(OFFSET(G656,1,0,Settings!$B$12,1))*SQRT(Settings!$B$13)))</f>
        <v/>
      </c>
      <c r="O656" s="20">
        <f>IF(AND(ISNUMBER(E656),ISNUMBER(N656)),E656-N656,NA())</f>
        <v/>
      </c>
      <c r="P656" s="19">
        <f>IF(NOT(ISNUMBER($A656)),NA(),IF(OR($A656&lt;MIN(KW_TP!$A$2:$A$2501),$A656&gt;MAX(KW_TP!$A$2:$A$2501)),NA(),INDEX(KW_TP!$C$2:$C$2501,MATCH($A656,KW_TP!$A$2:$A$2501,1))))</f>
        <v/>
      </c>
      <c r="Q656" s="18">
        <f>IF(NOT(ISNUMBER($A656)),NA(),IFERROR(1*INDEX(BBG_Data!$J$2:$J$4000,MATCH($A656,BBG_Data!$I$2:$I$4000,0)),NA()))</f>
        <v/>
      </c>
      <c r="R656" s="18">
        <f>IF(NOT(ISNUMBER($A656)),NA(),IFERROR(1*INDEX(BBG_Data!$L$2:$L$4000,MATCH($A656,BBG_Data!$K$2:$K$4000,0)),NA()))</f>
        <v/>
      </c>
      <c r="S656" s="20">
        <f>IF(AND(ISNUMBER(B656),ISNUMBER(Q656),ISNUMBER(R656)),(B656-Q656-R656)*100,NA())</f>
        <v/>
      </c>
      <c r="T656" s="20">
        <f>IF(AND(ISNUMBER(B656),Settings!$B$17&gt;0),IF(ISNUMBER(INDEX($B:$B,Settings!$B$17)),(B656-INDEX($B:$B,Settings!$B$17))*100,NA()),NA())</f>
        <v/>
      </c>
      <c r="U656" s="20">
        <f>IF(AND(ISNUMBER(Q656),Settings!$B$17&gt;0),IF(ISNUMBER(INDEX($Q:$Q,Settings!$B$17)),(Q656-INDEX($Q:$Q,Settings!$B$17))*100,NA()),NA())</f>
        <v/>
      </c>
      <c r="V656" s="20">
        <f>IF(AND(ISNUMBER(R656),Settings!$B$17&gt;0),IF(ISNUMBER(INDEX($R:$R,Settings!$B$17)),(R656-INDEX($R:$R,Settings!$B$17))*100,NA()),NA())</f>
        <v/>
      </c>
      <c r="W656" s="20">
        <f>IF(AND(ISNUMBER(P656),Settings!$B$17&gt;0),IF(ISNUMBER(INDEX($P:$P,Settings!$B$17)),P656-INDEX($P:$P,Settings!$B$17),NA()),NA())</f>
        <v/>
      </c>
      <c r="X656" s="19">
        <f>IF(NOT(ISNUMBER($A656)),NA(),IF(OR($A656&lt;MIN(DKW_10Y!$A$2:$A$2918),$A656&gt;MAX(DKW_10Y!$A$2:$A$2918),Settings!$B$16&lt;MIN(DKW_10Y!$A$2:$A$2918)),NA(),(INDEX(DKW_10Y!$B$2:$B$2918,MATCH($A656,DKW_10Y!$A$2:$A$2918,1))-INDEX(DKW_10Y!$B$2:$B$2918,MATCH(Settings!$B$16,DKW_10Y!$A$2:$A$2918,1)))*100))</f>
        <v/>
      </c>
      <c r="Y656" s="19">
        <f>IF(NOT(ISNUMBER($A656)),NA(),IF(OR($A656&lt;MIN(DKW_10Y!$A$2:$A$2918),$A656&gt;MAX(DKW_10Y!$A$2:$A$2918),Settings!$B$16&lt;MIN(DKW_10Y!$A$2:$A$2918)),NA(),(INDEX(DKW_10Y!$C$2:$C$2918,MATCH($A656,DKW_10Y!$A$2:$A$2918,1))-INDEX(DKW_10Y!$C$2:$C$2918,MATCH(Settings!$B$16,DKW_10Y!$A$2:$A$2918,1)))*100))</f>
        <v/>
      </c>
      <c r="Z656" s="19">
        <f>IF(NOT(ISNUMBER($A656)),NA(),IF(OR($A656&lt;MIN(DKW_10Y!$A$2:$A$2918),$A656&gt;MAX(DKW_10Y!$A$2:$A$2918),Settings!$B$16&lt;MIN(DKW_10Y!$A$2:$A$2918)),NA(),(INDEX(DKW_10Y!$D$2:$D$2918,MATCH($A656,DKW_10Y!$A$2:$A$2918,1))-INDEX(DKW_10Y!$D$2:$D$2918,MATCH(Settings!$B$16,DKW_10Y!$A$2:$A$2918,1)))*100))</f>
        <v/>
      </c>
      <c r="AA656" s="19">
        <f>IF(NOT(ISNUMBER($A656)),NA(),IF(OR($A656&lt;MIN(DKW_10Y!$A$2:$A$2918),$A656&gt;MAX(DKW_10Y!$A$2:$A$2918),Settings!$B$16&lt;MIN(DKW_10Y!$A$2:$A$2918)),NA(),(INDEX(DKW_10Y!$E$2:$E$2918,MATCH($A656,DKW_10Y!$A$2:$A$2918,1))-INDEX(DKW_10Y!$E$2:$E$2918,MATCH(Settings!$B$16,DKW_10Y!$A$2:$A$2918,1)))*100))</f>
        <v/>
      </c>
      <c r="AB656" s="19">
        <f>IF(NOT(ISNUMBER($A656)),NA(),IF(OR($A656&lt;MIN(DKW_10Y!$A$2:$A$2918),$A656&gt;MAX(DKW_10Y!$A$2:$A$2918),Settings!$B$16&lt;MIN(DKW_10Y!$A$2:$A$2918)),NA(),(INDEX(DKW_10Y!$H$2:$H$2918,MATCH($A656,DKW_10Y!$A$2:$A$2918,1))-INDEX(DKW_10Y!$H$2:$H$2918,MATCH(Settings!$B$16,DKW_10Y!$A$2:$A$2918,1)))*100))</f>
        <v/>
      </c>
      <c r="AC656" s="18">
        <f>IF(NOT(ISNUMBER($A656)),NA(),IFERROR(1*INDEX(BBG_Data!$N$2:$N$4000,MATCH($A656,BBG_Data!$M$2:$M$4000,0)),NA()))</f>
        <v/>
      </c>
      <c r="AD656" s="18">
        <f>IF(NOT(ISNUMBER($A656)),NA(),IFERROR(1*INDEX(BBG_Data!$P$2:$P$4000,MATCH($A656,BBG_Data!$O$2:$O$4000,0)),NA()))</f>
        <v/>
      </c>
      <c r="AE656" s="18">
        <f>IF(NOT(ISNUMBER($A656)),NA(),IFERROR(1*INDEX(BBG_Data!$R$2:$R$4000,MATCH($A656,BBG_Data!$Q$2:$Q$4000,0)),NA()))</f>
        <v/>
      </c>
      <c r="AF656" s="20">
        <f>IF(AND(ISNUMBER(B656),ISNUMBER(AC656)),(B656-AC656)*100,NA())</f>
        <v/>
      </c>
      <c r="AG656" s="20">
        <f>IF(AND(ISNUMBER(AE656),ISNUMBER(AD656)),(AE656-AD656)*100,NA())</f>
        <v/>
      </c>
      <c r="AH656" s="19">
        <f>IF(NOT(ISNUMBER($A656)),NA(),IFERROR(INDEX(BBG_Data!$T$2:$T$4000,MATCH($A656,BBG_Data!$S$2:$S$4000,0))*Settings!$B$25,NA()))</f>
        <v/>
      </c>
      <c r="AI656" s="19">
        <f>IF(NOT(ISNUMBER($A656)),NA(),IFERROR(INDEX(BBG_Data!$V$2:$V$4000,MATCH($A656,BBG_Data!$U$2:$U$4000,0))*Settings!$B$25,NA()))</f>
        <v/>
      </c>
      <c r="AJ656" s="19">
        <f>IF(NOT(ISNUMBER($A656)),NA(),IFERROR(1*INDEX(BBG_Data!$X$2:$X$4000,MATCH($A656,BBG_Data!$W$2:$W$4000,0)),NA()))</f>
        <v/>
      </c>
      <c r="AK656" s="19">
        <f>IF(NOT(ISNUMBER($A656)),NA(),IFERROR(1*INDEX(BBG_Data!$Z$2:$Z$4000,MATCH($A656,BBG_Data!$Y$2:$Y$4000,0)),NA()))</f>
        <v/>
      </c>
    </row>
    <row r="657">
      <c r="A657" s="17">
        <f>IF(ISNUMBER(BBG_Data!A657),BBG_Data!A657,"")</f>
        <v/>
      </c>
      <c r="B657" s="18">
        <f>IF(AND(ISNUMBER($A657),ISNUMBER(BBG_Data!B657)),BBG_Data!B657,NA())</f>
        <v/>
      </c>
      <c r="C657" s="18">
        <f>IF(NOT(ISNUMBER($A657)),NA(),IFERROR(1*INDEX(BBG_Data!$D$2:$D$4000,MATCH($A657,BBG_Data!$C$2:$C$4000,0)),NA()))</f>
        <v/>
      </c>
      <c r="D657" s="19">
        <f>IF(NOT(ISNUMBER($A657)),NA(),IFERROR(1*INDEX(BBG_Data!$F$2:$F$4000,MATCH($A657,BBG_Data!$E$2:$E$4000,0)),NA()))</f>
        <v/>
      </c>
      <c r="E657" s="19">
        <f>IF(NOT(ISNUMBER($A657)),NA(),IFERROR(1*INDEX(BBG_Data!$H$2:$H$4000,MATCH($A657,BBG_Data!$G$2:$G$4000,0)),NA()))</f>
        <v/>
      </c>
      <c r="F657" s="20">
        <f>IF(AND(ISNUMBER(B657),ISNUMBER(B656)),IF(B657=B656,"",(B657-B656)*100),"")</f>
        <v/>
      </c>
      <c r="G657" s="20">
        <f>IF(AND(ISNUMBER(C657),ISNUMBER(C656)),IF(C657=C656,"",(C657-C656)*100),"")</f>
        <v/>
      </c>
      <c r="H657" s="20">
        <f>IF(OR(NOT(ISNUMBER($A657)),ROW()-2&lt;Settings!$B$11),NA(),IF(COUNT(OFFSET(F657,1-Settings!$B$11,0,Settings!$B$11,1))&lt;ROUNDUP(Settings!$B$11*Settings!$B$26,0),NA(),STDEV(OFFSET(F657,1-Settings!$B$11,0,Settings!$B$11,1))*SQRT(Settings!$B$13)))</f>
        <v/>
      </c>
      <c r="I657" s="20">
        <f>IF(OR(NOT(ISNUMBER($A657)),ROW()-2&lt;Settings!$B$12),NA(),IF(COUNT(OFFSET(F657,1-Settings!$B$12,0,Settings!$B$12,1))&lt;ROUNDUP(Settings!$B$12*Settings!$B$26,0),NA(),STDEV(OFFSET(F657,1-Settings!$B$12,0,Settings!$B$12,1))*SQRT(Settings!$B$13)))</f>
        <v/>
      </c>
      <c r="J657" s="20">
        <f>IF(OR(NOT(ISNUMBER($A657)),ROW()-2&lt;Settings!$B$11),NA(),IF(COUNT(OFFSET(G657,1-Settings!$B$11,0,Settings!$B$11,1))&lt;ROUNDUP(Settings!$B$11*Settings!$B$26,0),NA(),STDEV(OFFSET(G657,1-Settings!$B$11,0,Settings!$B$11,1))*SQRT(Settings!$B$13)))</f>
        <v/>
      </c>
      <c r="K657" s="20">
        <f>IF(OR(NOT(ISNUMBER($A657)),ROW()-2&lt;Settings!$B$12),NA(),IF(COUNT(OFFSET(G657,1-Settings!$B$12,0,Settings!$B$12,1))&lt;ROUNDUP(Settings!$B$12*Settings!$B$26,0),NA(),STDEV(OFFSET(G657,1-Settings!$B$12,0,Settings!$B$12,1))*SQRT(Settings!$B$13)))</f>
        <v/>
      </c>
      <c r="L657" s="20">
        <f>IF(AND(ISNUMBER(D657),ISNUMBER(H657)),D657-H657,NA())</f>
        <v/>
      </c>
      <c r="M657" s="20">
        <f>IF(AND(ISNUMBER(E657),ISNUMBER(K657)),E657-K657,NA())</f>
        <v/>
      </c>
      <c r="N657" s="20">
        <f>IF(NOT(ISNUMBER($A657)),NA(),IF(COUNT(OFFSET(G657,1,0,Settings!$B$12,1))&lt;ROUNDUP(Settings!$B$12*Settings!$B$26,0),NA(),STDEV(OFFSET(G657,1,0,Settings!$B$12,1))*SQRT(Settings!$B$13)))</f>
        <v/>
      </c>
      <c r="O657" s="20">
        <f>IF(AND(ISNUMBER(E657),ISNUMBER(N657)),E657-N657,NA())</f>
        <v/>
      </c>
      <c r="P657" s="19">
        <f>IF(NOT(ISNUMBER($A657)),NA(),IF(OR($A657&lt;MIN(KW_TP!$A$2:$A$2501),$A657&gt;MAX(KW_TP!$A$2:$A$2501)),NA(),INDEX(KW_TP!$C$2:$C$2501,MATCH($A657,KW_TP!$A$2:$A$2501,1))))</f>
        <v/>
      </c>
      <c r="Q657" s="18">
        <f>IF(NOT(ISNUMBER($A657)),NA(),IFERROR(1*INDEX(BBG_Data!$J$2:$J$4000,MATCH($A657,BBG_Data!$I$2:$I$4000,0)),NA()))</f>
        <v/>
      </c>
      <c r="R657" s="18">
        <f>IF(NOT(ISNUMBER($A657)),NA(),IFERROR(1*INDEX(BBG_Data!$L$2:$L$4000,MATCH($A657,BBG_Data!$K$2:$K$4000,0)),NA()))</f>
        <v/>
      </c>
      <c r="S657" s="20">
        <f>IF(AND(ISNUMBER(B657),ISNUMBER(Q657),ISNUMBER(R657)),(B657-Q657-R657)*100,NA())</f>
        <v/>
      </c>
      <c r="T657" s="20">
        <f>IF(AND(ISNUMBER(B657),Settings!$B$17&gt;0),IF(ISNUMBER(INDEX($B:$B,Settings!$B$17)),(B657-INDEX($B:$B,Settings!$B$17))*100,NA()),NA())</f>
        <v/>
      </c>
      <c r="U657" s="20">
        <f>IF(AND(ISNUMBER(Q657),Settings!$B$17&gt;0),IF(ISNUMBER(INDEX($Q:$Q,Settings!$B$17)),(Q657-INDEX($Q:$Q,Settings!$B$17))*100,NA()),NA())</f>
        <v/>
      </c>
      <c r="V657" s="20">
        <f>IF(AND(ISNUMBER(R657),Settings!$B$17&gt;0),IF(ISNUMBER(INDEX($R:$R,Settings!$B$17)),(R657-INDEX($R:$R,Settings!$B$17))*100,NA()),NA())</f>
        <v/>
      </c>
      <c r="W657" s="20">
        <f>IF(AND(ISNUMBER(P657),Settings!$B$17&gt;0),IF(ISNUMBER(INDEX($P:$P,Settings!$B$17)),P657-INDEX($P:$P,Settings!$B$17),NA()),NA())</f>
        <v/>
      </c>
      <c r="X657" s="19">
        <f>IF(NOT(ISNUMBER($A657)),NA(),IF(OR($A657&lt;MIN(DKW_10Y!$A$2:$A$2918),$A657&gt;MAX(DKW_10Y!$A$2:$A$2918),Settings!$B$16&lt;MIN(DKW_10Y!$A$2:$A$2918)),NA(),(INDEX(DKW_10Y!$B$2:$B$2918,MATCH($A657,DKW_10Y!$A$2:$A$2918,1))-INDEX(DKW_10Y!$B$2:$B$2918,MATCH(Settings!$B$16,DKW_10Y!$A$2:$A$2918,1)))*100))</f>
        <v/>
      </c>
      <c r="Y657" s="19">
        <f>IF(NOT(ISNUMBER($A657)),NA(),IF(OR($A657&lt;MIN(DKW_10Y!$A$2:$A$2918),$A657&gt;MAX(DKW_10Y!$A$2:$A$2918),Settings!$B$16&lt;MIN(DKW_10Y!$A$2:$A$2918)),NA(),(INDEX(DKW_10Y!$C$2:$C$2918,MATCH($A657,DKW_10Y!$A$2:$A$2918,1))-INDEX(DKW_10Y!$C$2:$C$2918,MATCH(Settings!$B$16,DKW_10Y!$A$2:$A$2918,1)))*100))</f>
        <v/>
      </c>
      <c r="Z657" s="19">
        <f>IF(NOT(ISNUMBER($A657)),NA(),IF(OR($A657&lt;MIN(DKW_10Y!$A$2:$A$2918),$A657&gt;MAX(DKW_10Y!$A$2:$A$2918),Settings!$B$16&lt;MIN(DKW_10Y!$A$2:$A$2918)),NA(),(INDEX(DKW_10Y!$D$2:$D$2918,MATCH($A657,DKW_10Y!$A$2:$A$2918,1))-INDEX(DKW_10Y!$D$2:$D$2918,MATCH(Settings!$B$16,DKW_10Y!$A$2:$A$2918,1)))*100))</f>
        <v/>
      </c>
      <c r="AA657" s="19">
        <f>IF(NOT(ISNUMBER($A657)),NA(),IF(OR($A657&lt;MIN(DKW_10Y!$A$2:$A$2918),$A657&gt;MAX(DKW_10Y!$A$2:$A$2918),Settings!$B$16&lt;MIN(DKW_10Y!$A$2:$A$2918)),NA(),(INDEX(DKW_10Y!$E$2:$E$2918,MATCH($A657,DKW_10Y!$A$2:$A$2918,1))-INDEX(DKW_10Y!$E$2:$E$2918,MATCH(Settings!$B$16,DKW_10Y!$A$2:$A$2918,1)))*100))</f>
        <v/>
      </c>
      <c r="AB657" s="19">
        <f>IF(NOT(ISNUMBER($A657)),NA(),IF(OR($A657&lt;MIN(DKW_10Y!$A$2:$A$2918),$A657&gt;MAX(DKW_10Y!$A$2:$A$2918),Settings!$B$16&lt;MIN(DKW_10Y!$A$2:$A$2918)),NA(),(INDEX(DKW_10Y!$H$2:$H$2918,MATCH($A657,DKW_10Y!$A$2:$A$2918,1))-INDEX(DKW_10Y!$H$2:$H$2918,MATCH(Settings!$B$16,DKW_10Y!$A$2:$A$2918,1)))*100))</f>
        <v/>
      </c>
      <c r="AC657" s="18">
        <f>IF(NOT(ISNUMBER($A657)),NA(),IFERROR(1*INDEX(BBG_Data!$N$2:$N$4000,MATCH($A657,BBG_Data!$M$2:$M$4000,0)),NA()))</f>
        <v/>
      </c>
      <c r="AD657" s="18">
        <f>IF(NOT(ISNUMBER($A657)),NA(),IFERROR(1*INDEX(BBG_Data!$P$2:$P$4000,MATCH($A657,BBG_Data!$O$2:$O$4000,0)),NA()))</f>
        <v/>
      </c>
      <c r="AE657" s="18">
        <f>IF(NOT(ISNUMBER($A657)),NA(),IFERROR(1*INDEX(BBG_Data!$R$2:$R$4000,MATCH($A657,BBG_Data!$Q$2:$Q$4000,0)),NA()))</f>
        <v/>
      </c>
      <c r="AF657" s="20">
        <f>IF(AND(ISNUMBER(B657),ISNUMBER(AC657)),(B657-AC657)*100,NA())</f>
        <v/>
      </c>
      <c r="AG657" s="20">
        <f>IF(AND(ISNUMBER(AE657),ISNUMBER(AD657)),(AE657-AD657)*100,NA())</f>
        <v/>
      </c>
      <c r="AH657" s="19">
        <f>IF(NOT(ISNUMBER($A657)),NA(),IFERROR(INDEX(BBG_Data!$T$2:$T$4000,MATCH($A657,BBG_Data!$S$2:$S$4000,0))*Settings!$B$25,NA()))</f>
        <v/>
      </c>
      <c r="AI657" s="19">
        <f>IF(NOT(ISNUMBER($A657)),NA(),IFERROR(INDEX(BBG_Data!$V$2:$V$4000,MATCH($A657,BBG_Data!$U$2:$U$4000,0))*Settings!$B$25,NA()))</f>
        <v/>
      </c>
      <c r="AJ657" s="19">
        <f>IF(NOT(ISNUMBER($A657)),NA(),IFERROR(1*INDEX(BBG_Data!$X$2:$X$4000,MATCH($A657,BBG_Data!$W$2:$W$4000,0)),NA()))</f>
        <v/>
      </c>
      <c r="AK657" s="19">
        <f>IF(NOT(ISNUMBER($A657)),NA(),IFERROR(1*INDEX(BBG_Data!$Z$2:$Z$4000,MATCH($A657,BBG_Data!$Y$2:$Y$4000,0)),NA()))</f>
        <v/>
      </c>
    </row>
    <row r="658">
      <c r="A658" s="17">
        <f>IF(ISNUMBER(BBG_Data!A658),BBG_Data!A658,"")</f>
        <v/>
      </c>
      <c r="B658" s="18">
        <f>IF(AND(ISNUMBER($A658),ISNUMBER(BBG_Data!B658)),BBG_Data!B658,NA())</f>
        <v/>
      </c>
      <c r="C658" s="18">
        <f>IF(NOT(ISNUMBER($A658)),NA(),IFERROR(1*INDEX(BBG_Data!$D$2:$D$4000,MATCH($A658,BBG_Data!$C$2:$C$4000,0)),NA()))</f>
        <v/>
      </c>
      <c r="D658" s="19">
        <f>IF(NOT(ISNUMBER($A658)),NA(),IFERROR(1*INDEX(BBG_Data!$F$2:$F$4000,MATCH($A658,BBG_Data!$E$2:$E$4000,0)),NA()))</f>
        <v/>
      </c>
      <c r="E658" s="19">
        <f>IF(NOT(ISNUMBER($A658)),NA(),IFERROR(1*INDEX(BBG_Data!$H$2:$H$4000,MATCH($A658,BBG_Data!$G$2:$G$4000,0)),NA()))</f>
        <v/>
      </c>
      <c r="F658" s="20">
        <f>IF(AND(ISNUMBER(B658),ISNUMBER(B657)),IF(B658=B657,"",(B658-B657)*100),"")</f>
        <v/>
      </c>
      <c r="G658" s="20">
        <f>IF(AND(ISNUMBER(C658),ISNUMBER(C657)),IF(C658=C657,"",(C658-C657)*100),"")</f>
        <v/>
      </c>
      <c r="H658" s="20">
        <f>IF(OR(NOT(ISNUMBER($A658)),ROW()-2&lt;Settings!$B$11),NA(),IF(COUNT(OFFSET(F658,1-Settings!$B$11,0,Settings!$B$11,1))&lt;ROUNDUP(Settings!$B$11*Settings!$B$26,0),NA(),STDEV(OFFSET(F658,1-Settings!$B$11,0,Settings!$B$11,1))*SQRT(Settings!$B$13)))</f>
        <v/>
      </c>
      <c r="I658" s="20">
        <f>IF(OR(NOT(ISNUMBER($A658)),ROW()-2&lt;Settings!$B$12),NA(),IF(COUNT(OFFSET(F658,1-Settings!$B$12,0,Settings!$B$12,1))&lt;ROUNDUP(Settings!$B$12*Settings!$B$26,0),NA(),STDEV(OFFSET(F658,1-Settings!$B$12,0,Settings!$B$12,1))*SQRT(Settings!$B$13)))</f>
        <v/>
      </c>
      <c r="J658" s="20">
        <f>IF(OR(NOT(ISNUMBER($A658)),ROW()-2&lt;Settings!$B$11),NA(),IF(COUNT(OFFSET(G658,1-Settings!$B$11,0,Settings!$B$11,1))&lt;ROUNDUP(Settings!$B$11*Settings!$B$26,0),NA(),STDEV(OFFSET(G658,1-Settings!$B$11,0,Settings!$B$11,1))*SQRT(Settings!$B$13)))</f>
        <v/>
      </c>
      <c r="K658" s="20">
        <f>IF(OR(NOT(ISNUMBER($A658)),ROW()-2&lt;Settings!$B$12),NA(),IF(COUNT(OFFSET(G658,1-Settings!$B$12,0,Settings!$B$12,1))&lt;ROUNDUP(Settings!$B$12*Settings!$B$26,0),NA(),STDEV(OFFSET(G658,1-Settings!$B$12,0,Settings!$B$12,1))*SQRT(Settings!$B$13)))</f>
        <v/>
      </c>
      <c r="L658" s="20">
        <f>IF(AND(ISNUMBER(D658),ISNUMBER(H658)),D658-H658,NA())</f>
        <v/>
      </c>
      <c r="M658" s="20">
        <f>IF(AND(ISNUMBER(E658),ISNUMBER(K658)),E658-K658,NA())</f>
        <v/>
      </c>
      <c r="N658" s="20">
        <f>IF(NOT(ISNUMBER($A658)),NA(),IF(COUNT(OFFSET(G658,1,0,Settings!$B$12,1))&lt;ROUNDUP(Settings!$B$12*Settings!$B$26,0),NA(),STDEV(OFFSET(G658,1,0,Settings!$B$12,1))*SQRT(Settings!$B$13)))</f>
        <v/>
      </c>
      <c r="O658" s="20">
        <f>IF(AND(ISNUMBER(E658),ISNUMBER(N658)),E658-N658,NA())</f>
        <v/>
      </c>
      <c r="P658" s="19">
        <f>IF(NOT(ISNUMBER($A658)),NA(),IF(OR($A658&lt;MIN(KW_TP!$A$2:$A$2501),$A658&gt;MAX(KW_TP!$A$2:$A$2501)),NA(),INDEX(KW_TP!$C$2:$C$2501,MATCH($A658,KW_TP!$A$2:$A$2501,1))))</f>
        <v/>
      </c>
      <c r="Q658" s="18">
        <f>IF(NOT(ISNUMBER($A658)),NA(),IFERROR(1*INDEX(BBG_Data!$J$2:$J$4000,MATCH($A658,BBG_Data!$I$2:$I$4000,0)),NA()))</f>
        <v/>
      </c>
      <c r="R658" s="18">
        <f>IF(NOT(ISNUMBER($A658)),NA(),IFERROR(1*INDEX(BBG_Data!$L$2:$L$4000,MATCH($A658,BBG_Data!$K$2:$K$4000,0)),NA()))</f>
        <v/>
      </c>
      <c r="S658" s="20">
        <f>IF(AND(ISNUMBER(B658),ISNUMBER(Q658),ISNUMBER(R658)),(B658-Q658-R658)*100,NA())</f>
        <v/>
      </c>
      <c r="T658" s="20">
        <f>IF(AND(ISNUMBER(B658),Settings!$B$17&gt;0),IF(ISNUMBER(INDEX($B:$B,Settings!$B$17)),(B658-INDEX($B:$B,Settings!$B$17))*100,NA()),NA())</f>
        <v/>
      </c>
      <c r="U658" s="20">
        <f>IF(AND(ISNUMBER(Q658),Settings!$B$17&gt;0),IF(ISNUMBER(INDEX($Q:$Q,Settings!$B$17)),(Q658-INDEX($Q:$Q,Settings!$B$17))*100,NA()),NA())</f>
        <v/>
      </c>
      <c r="V658" s="20">
        <f>IF(AND(ISNUMBER(R658),Settings!$B$17&gt;0),IF(ISNUMBER(INDEX($R:$R,Settings!$B$17)),(R658-INDEX($R:$R,Settings!$B$17))*100,NA()),NA())</f>
        <v/>
      </c>
      <c r="W658" s="20">
        <f>IF(AND(ISNUMBER(P658),Settings!$B$17&gt;0),IF(ISNUMBER(INDEX($P:$P,Settings!$B$17)),P658-INDEX($P:$P,Settings!$B$17),NA()),NA())</f>
        <v/>
      </c>
      <c r="X658" s="19">
        <f>IF(NOT(ISNUMBER($A658)),NA(),IF(OR($A658&lt;MIN(DKW_10Y!$A$2:$A$2918),$A658&gt;MAX(DKW_10Y!$A$2:$A$2918),Settings!$B$16&lt;MIN(DKW_10Y!$A$2:$A$2918)),NA(),(INDEX(DKW_10Y!$B$2:$B$2918,MATCH($A658,DKW_10Y!$A$2:$A$2918,1))-INDEX(DKW_10Y!$B$2:$B$2918,MATCH(Settings!$B$16,DKW_10Y!$A$2:$A$2918,1)))*100))</f>
        <v/>
      </c>
      <c r="Y658" s="19">
        <f>IF(NOT(ISNUMBER($A658)),NA(),IF(OR($A658&lt;MIN(DKW_10Y!$A$2:$A$2918),$A658&gt;MAX(DKW_10Y!$A$2:$A$2918),Settings!$B$16&lt;MIN(DKW_10Y!$A$2:$A$2918)),NA(),(INDEX(DKW_10Y!$C$2:$C$2918,MATCH($A658,DKW_10Y!$A$2:$A$2918,1))-INDEX(DKW_10Y!$C$2:$C$2918,MATCH(Settings!$B$16,DKW_10Y!$A$2:$A$2918,1)))*100))</f>
        <v/>
      </c>
      <c r="Z658" s="19">
        <f>IF(NOT(ISNUMBER($A658)),NA(),IF(OR($A658&lt;MIN(DKW_10Y!$A$2:$A$2918),$A658&gt;MAX(DKW_10Y!$A$2:$A$2918),Settings!$B$16&lt;MIN(DKW_10Y!$A$2:$A$2918)),NA(),(INDEX(DKW_10Y!$D$2:$D$2918,MATCH($A658,DKW_10Y!$A$2:$A$2918,1))-INDEX(DKW_10Y!$D$2:$D$2918,MATCH(Settings!$B$16,DKW_10Y!$A$2:$A$2918,1)))*100))</f>
        <v/>
      </c>
      <c r="AA658" s="19">
        <f>IF(NOT(ISNUMBER($A658)),NA(),IF(OR($A658&lt;MIN(DKW_10Y!$A$2:$A$2918),$A658&gt;MAX(DKW_10Y!$A$2:$A$2918),Settings!$B$16&lt;MIN(DKW_10Y!$A$2:$A$2918)),NA(),(INDEX(DKW_10Y!$E$2:$E$2918,MATCH($A658,DKW_10Y!$A$2:$A$2918,1))-INDEX(DKW_10Y!$E$2:$E$2918,MATCH(Settings!$B$16,DKW_10Y!$A$2:$A$2918,1)))*100))</f>
        <v/>
      </c>
      <c r="AB658" s="19">
        <f>IF(NOT(ISNUMBER($A658)),NA(),IF(OR($A658&lt;MIN(DKW_10Y!$A$2:$A$2918),$A658&gt;MAX(DKW_10Y!$A$2:$A$2918),Settings!$B$16&lt;MIN(DKW_10Y!$A$2:$A$2918)),NA(),(INDEX(DKW_10Y!$H$2:$H$2918,MATCH($A658,DKW_10Y!$A$2:$A$2918,1))-INDEX(DKW_10Y!$H$2:$H$2918,MATCH(Settings!$B$16,DKW_10Y!$A$2:$A$2918,1)))*100))</f>
        <v/>
      </c>
      <c r="AC658" s="18">
        <f>IF(NOT(ISNUMBER($A658)),NA(),IFERROR(1*INDEX(BBG_Data!$N$2:$N$4000,MATCH($A658,BBG_Data!$M$2:$M$4000,0)),NA()))</f>
        <v/>
      </c>
      <c r="AD658" s="18">
        <f>IF(NOT(ISNUMBER($A658)),NA(),IFERROR(1*INDEX(BBG_Data!$P$2:$P$4000,MATCH($A658,BBG_Data!$O$2:$O$4000,0)),NA()))</f>
        <v/>
      </c>
      <c r="AE658" s="18">
        <f>IF(NOT(ISNUMBER($A658)),NA(),IFERROR(1*INDEX(BBG_Data!$R$2:$R$4000,MATCH($A658,BBG_Data!$Q$2:$Q$4000,0)),NA()))</f>
        <v/>
      </c>
      <c r="AF658" s="20">
        <f>IF(AND(ISNUMBER(B658),ISNUMBER(AC658)),(B658-AC658)*100,NA())</f>
        <v/>
      </c>
      <c r="AG658" s="20">
        <f>IF(AND(ISNUMBER(AE658),ISNUMBER(AD658)),(AE658-AD658)*100,NA())</f>
        <v/>
      </c>
      <c r="AH658" s="19">
        <f>IF(NOT(ISNUMBER($A658)),NA(),IFERROR(INDEX(BBG_Data!$T$2:$T$4000,MATCH($A658,BBG_Data!$S$2:$S$4000,0))*Settings!$B$25,NA()))</f>
        <v/>
      </c>
      <c r="AI658" s="19">
        <f>IF(NOT(ISNUMBER($A658)),NA(),IFERROR(INDEX(BBG_Data!$V$2:$V$4000,MATCH($A658,BBG_Data!$U$2:$U$4000,0))*Settings!$B$25,NA()))</f>
        <v/>
      </c>
      <c r="AJ658" s="19">
        <f>IF(NOT(ISNUMBER($A658)),NA(),IFERROR(1*INDEX(BBG_Data!$X$2:$X$4000,MATCH($A658,BBG_Data!$W$2:$W$4000,0)),NA()))</f>
        <v/>
      </c>
      <c r="AK658" s="19">
        <f>IF(NOT(ISNUMBER($A658)),NA(),IFERROR(1*INDEX(BBG_Data!$Z$2:$Z$4000,MATCH($A658,BBG_Data!$Y$2:$Y$4000,0)),NA()))</f>
        <v/>
      </c>
    </row>
    <row r="659">
      <c r="A659" s="17">
        <f>IF(ISNUMBER(BBG_Data!A659),BBG_Data!A659,"")</f>
        <v/>
      </c>
      <c r="B659" s="18">
        <f>IF(AND(ISNUMBER($A659),ISNUMBER(BBG_Data!B659)),BBG_Data!B659,NA())</f>
        <v/>
      </c>
      <c r="C659" s="18">
        <f>IF(NOT(ISNUMBER($A659)),NA(),IFERROR(1*INDEX(BBG_Data!$D$2:$D$4000,MATCH($A659,BBG_Data!$C$2:$C$4000,0)),NA()))</f>
        <v/>
      </c>
      <c r="D659" s="19">
        <f>IF(NOT(ISNUMBER($A659)),NA(),IFERROR(1*INDEX(BBG_Data!$F$2:$F$4000,MATCH($A659,BBG_Data!$E$2:$E$4000,0)),NA()))</f>
        <v/>
      </c>
      <c r="E659" s="19">
        <f>IF(NOT(ISNUMBER($A659)),NA(),IFERROR(1*INDEX(BBG_Data!$H$2:$H$4000,MATCH($A659,BBG_Data!$G$2:$G$4000,0)),NA()))</f>
        <v/>
      </c>
      <c r="F659" s="20">
        <f>IF(AND(ISNUMBER(B659),ISNUMBER(B658)),IF(B659=B658,"",(B659-B658)*100),"")</f>
        <v/>
      </c>
      <c r="G659" s="20">
        <f>IF(AND(ISNUMBER(C659),ISNUMBER(C658)),IF(C659=C658,"",(C659-C658)*100),"")</f>
        <v/>
      </c>
      <c r="H659" s="20">
        <f>IF(OR(NOT(ISNUMBER($A659)),ROW()-2&lt;Settings!$B$11),NA(),IF(COUNT(OFFSET(F659,1-Settings!$B$11,0,Settings!$B$11,1))&lt;ROUNDUP(Settings!$B$11*Settings!$B$26,0),NA(),STDEV(OFFSET(F659,1-Settings!$B$11,0,Settings!$B$11,1))*SQRT(Settings!$B$13)))</f>
        <v/>
      </c>
      <c r="I659" s="20">
        <f>IF(OR(NOT(ISNUMBER($A659)),ROW()-2&lt;Settings!$B$12),NA(),IF(COUNT(OFFSET(F659,1-Settings!$B$12,0,Settings!$B$12,1))&lt;ROUNDUP(Settings!$B$12*Settings!$B$26,0),NA(),STDEV(OFFSET(F659,1-Settings!$B$12,0,Settings!$B$12,1))*SQRT(Settings!$B$13)))</f>
        <v/>
      </c>
      <c r="J659" s="20">
        <f>IF(OR(NOT(ISNUMBER($A659)),ROW()-2&lt;Settings!$B$11),NA(),IF(COUNT(OFFSET(G659,1-Settings!$B$11,0,Settings!$B$11,1))&lt;ROUNDUP(Settings!$B$11*Settings!$B$26,0),NA(),STDEV(OFFSET(G659,1-Settings!$B$11,0,Settings!$B$11,1))*SQRT(Settings!$B$13)))</f>
        <v/>
      </c>
      <c r="K659" s="20">
        <f>IF(OR(NOT(ISNUMBER($A659)),ROW()-2&lt;Settings!$B$12),NA(),IF(COUNT(OFFSET(G659,1-Settings!$B$12,0,Settings!$B$12,1))&lt;ROUNDUP(Settings!$B$12*Settings!$B$26,0),NA(),STDEV(OFFSET(G659,1-Settings!$B$12,0,Settings!$B$12,1))*SQRT(Settings!$B$13)))</f>
        <v/>
      </c>
      <c r="L659" s="20">
        <f>IF(AND(ISNUMBER(D659),ISNUMBER(H659)),D659-H659,NA())</f>
        <v/>
      </c>
      <c r="M659" s="20">
        <f>IF(AND(ISNUMBER(E659),ISNUMBER(K659)),E659-K659,NA())</f>
        <v/>
      </c>
      <c r="N659" s="20">
        <f>IF(NOT(ISNUMBER($A659)),NA(),IF(COUNT(OFFSET(G659,1,0,Settings!$B$12,1))&lt;ROUNDUP(Settings!$B$12*Settings!$B$26,0),NA(),STDEV(OFFSET(G659,1,0,Settings!$B$12,1))*SQRT(Settings!$B$13)))</f>
        <v/>
      </c>
      <c r="O659" s="20">
        <f>IF(AND(ISNUMBER(E659),ISNUMBER(N659)),E659-N659,NA())</f>
        <v/>
      </c>
      <c r="P659" s="19">
        <f>IF(NOT(ISNUMBER($A659)),NA(),IF(OR($A659&lt;MIN(KW_TP!$A$2:$A$2501),$A659&gt;MAX(KW_TP!$A$2:$A$2501)),NA(),INDEX(KW_TP!$C$2:$C$2501,MATCH($A659,KW_TP!$A$2:$A$2501,1))))</f>
        <v/>
      </c>
      <c r="Q659" s="18">
        <f>IF(NOT(ISNUMBER($A659)),NA(),IFERROR(1*INDEX(BBG_Data!$J$2:$J$4000,MATCH($A659,BBG_Data!$I$2:$I$4000,0)),NA()))</f>
        <v/>
      </c>
      <c r="R659" s="18">
        <f>IF(NOT(ISNUMBER($A659)),NA(),IFERROR(1*INDEX(BBG_Data!$L$2:$L$4000,MATCH($A659,BBG_Data!$K$2:$K$4000,0)),NA()))</f>
        <v/>
      </c>
      <c r="S659" s="20">
        <f>IF(AND(ISNUMBER(B659),ISNUMBER(Q659),ISNUMBER(R659)),(B659-Q659-R659)*100,NA())</f>
        <v/>
      </c>
      <c r="T659" s="20">
        <f>IF(AND(ISNUMBER(B659),Settings!$B$17&gt;0),IF(ISNUMBER(INDEX($B:$B,Settings!$B$17)),(B659-INDEX($B:$B,Settings!$B$17))*100,NA()),NA())</f>
        <v/>
      </c>
      <c r="U659" s="20">
        <f>IF(AND(ISNUMBER(Q659),Settings!$B$17&gt;0),IF(ISNUMBER(INDEX($Q:$Q,Settings!$B$17)),(Q659-INDEX($Q:$Q,Settings!$B$17))*100,NA()),NA())</f>
        <v/>
      </c>
      <c r="V659" s="20">
        <f>IF(AND(ISNUMBER(R659),Settings!$B$17&gt;0),IF(ISNUMBER(INDEX($R:$R,Settings!$B$17)),(R659-INDEX($R:$R,Settings!$B$17))*100,NA()),NA())</f>
        <v/>
      </c>
      <c r="W659" s="20">
        <f>IF(AND(ISNUMBER(P659),Settings!$B$17&gt;0),IF(ISNUMBER(INDEX($P:$P,Settings!$B$17)),P659-INDEX($P:$P,Settings!$B$17),NA()),NA())</f>
        <v/>
      </c>
      <c r="X659" s="19">
        <f>IF(NOT(ISNUMBER($A659)),NA(),IF(OR($A659&lt;MIN(DKW_10Y!$A$2:$A$2918),$A659&gt;MAX(DKW_10Y!$A$2:$A$2918),Settings!$B$16&lt;MIN(DKW_10Y!$A$2:$A$2918)),NA(),(INDEX(DKW_10Y!$B$2:$B$2918,MATCH($A659,DKW_10Y!$A$2:$A$2918,1))-INDEX(DKW_10Y!$B$2:$B$2918,MATCH(Settings!$B$16,DKW_10Y!$A$2:$A$2918,1)))*100))</f>
        <v/>
      </c>
      <c r="Y659" s="19">
        <f>IF(NOT(ISNUMBER($A659)),NA(),IF(OR($A659&lt;MIN(DKW_10Y!$A$2:$A$2918),$A659&gt;MAX(DKW_10Y!$A$2:$A$2918),Settings!$B$16&lt;MIN(DKW_10Y!$A$2:$A$2918)),NA(),(INDEX(DKW_10Y!$C$2:$C$2918,MATCH($A659,DKW_10Y!$A$2:$A$2918,1))-INDEX(DKW_10Y!$C$2:$C$2918,MATCH(Settings!$B$16,DKW_10Y!$A$2:$A$2918,1)))*100))</f>
        <v/>
      </c>
      <c r="Z659" s="19">
        <f>IF(NOT(ISNUMBER($A659)),NA(),IF(OR($A659&lt;MIN(DKW_10Y!$A$2:$A$2918),$A659&gt;MAX(DKW_10Y!$A$2:$A$2918),Settings!$B$16&lt;MIN(DKW_10Y!$A$2:$A$2918)),NA(),(INDEX(DKW_10Y!$D$2:$D$2918,MATCH($A659,DKW_10Y!$A$2:$A$2918,1))-INDEX(DKW_10Y!$D$2:$D$2918,MATCH(Settings!$B$16,DKW_10Y!$A$2:$A$2918,1)))*100))</f>
        <v/>
      </c>
      <c r="AA659" s="19">
        <f>IF(NOT(ISNUMBER($A659)),NA(),IF(OR($A659&lt;MIN(DKW_10Y!$A$2:$A$2918),$A659&gt;MAX(DKW_10Y!$A$2:$A$2918),Settings!$B$16&lt;MIN(DKW_10Y!$A$2:$A$2918)),NA(),(INDEX(DKW_10Y!$E$2:$E$2918,MATCH($A659,DKW_10Y!$A$2:$A$2918,1))-INDEX(DKW_10Y!$E$2:$E$2918,MATCH(Settings!$B$16,DKW_10Y!$A$2:$A$2918,1)))*100))</f>
        <v/>
      </c>
      <c r="AB659" s="19">
        <f>IF(NOT(ISNUMBER($A659)),NA(),IF(OR($A659&lt;MIN(DKW_10Y!$A$2:$A$2918),$A659&gt;MAX(DKW_10Y!$A$2:$A$2918),Settings!$B$16&lt;MIN(DKW_10Y!$A$2:$A$2918)),NA(),(INDEX(DKW_10Y!$H$2:$H$2918,MATCH($A659,DKW_10Y!$A$2:$A$2918,1))-INDEX(DKW_10Y!$H$2:$H$2918,MATCH(Settings!$B$16,DKW_10Y!$A$2:$A$2918,1)))*100))</f>
        <v/>
      </c>
      <c r="AC659" s="18">
        <f>IF(NOT(ISNUMBER($A659)),NA(),IFERROR(1*INDEX(BBG_Data!$N$2:$N$4000,MATCH($A659,BBG_Data!$M$2:$M$4000,0)),NA()))</f>
        <v/>
      </c>
      <c r="AD659" s="18">
        <f>IF(NOT(ISNUMBER($A659)),NA(),IFERROR(1*INDEX(BBG_Data!$P$2:$P$4000,MATCH($A659,BBG_Data!$O$2:$O$4000,0)),NA()))</f>
        <v/>
      </c>
      <c r="AE659" s="18">
        <f>IF(NOT(ISNUMBER($A659)),NA(),IFERROR(1*INDEX(BBG_Data!$R$2:$R$4000,MATCH($A659,BBG_Data!$Q$2:$Q$4000,0)),NA()))</f>
        <v/>
      </c>
      <c r="AF659" s="20">
        <f>IF(AND(ISNUMBER(B659),ISNUMBER(AC659)),(B659-AC659)*100,NA())</f>
        <v/>
      </c>
      <c r="AG659" s="20">
        <f>IF(AND(ISNUMBER(AE659),ISNUMBER(AD659)),(AE659-AD659)*100,NA())</f>
        <v/>
      </c>
      <c r="AH659" s="19">
        <f>IF(NOT(ISNUMBER($A659)),NA(),IFERROR(INDEX(BBG_Data!$T$2:$T$4000,MATCH($A659,BBG_Data!$S$2:$S$4000,0))*Settings!$B$25,NA()))</f>
        <v/>
      </c>
      <c r="AI659" s="19">
        <f>IF(NOT(ISNUMBER($A659)),NA(),IFERROR(INDEX(BBG_Data!$V$2:$V$4000,MATCH($A659,BBG_Data!$U$2:$U$4000,0))*Settings!$B$25,NA()))</f>
        <v/>
      </c>
      <c r="AJ659" s="19">
        <f>IF(NOT(ISNUMBER($A659)),NA(),IFERROR(1*INDEX(BBG_Data!$X$2:$X$4000,MATCH($A659,BBG_Data!$W$2:$W$4000,0)),NA()))</f>
        <v/>
      </c>
      <c r="AK659" s="19">
        <f>IF(NOT(ISNUMBER($A659)),NA(),IFERROR(1*INDEX(BBG_Data!$Z$2:$Z$4000,MATCH($A659,BBG_Data!$Y$2:$Y$4000,0)),NA()))</f>
        <v/>
      </c>
    </row>
    <row r="660">
      <c r="A660" s="17">
        <f>IF(ISNUMBER(BBG_Data!A660),BBG_Data!A660,"")</f>
        <v/>
      </c>
      <c r="B660" s="18">
        <f>IF(AND(ISNUMBER($A660),ISNUMBER(BBG_Data!B660)),BBG_Data!B660,NA())</f>
        <v/>
      </c>
      <c r="C660" s="18">
        <f>IF(NOT(ISNUMBER($A660)),NA(),IFERROR(1*INDEX(BBG_Data!$D$2:$D$4000,MATCH($A660,BBG_Data!$C$2:$C$4000,0)),NA()))</f>
        <v/>
      </c>
      <c r="D660" s="19">
        <f>IF(NOT(ISNUMBER($A660)),NA(),IFERROR(1*INDEX(BBG_Data!$F$2:$F$4000,MATCH($A660,BBG_Data!$E$2:$E$4000,0)),NA()))</f>
        <v/>
      </c>
      <c r="E660" s="19">
        <f>IF(NOT(ISNUMBER($A660)),NA(),IFERROR(1*INDEX(BBG_Data!$H$2:$H$4000,MATCH($A660,BBG_Data!$G$2:$G$4000,0)),NA()))</f>
        <v/>
      </c>
      <c r="F660" s="20">
        <f>IF(AND(ISNUMBER(B660),ISNUMBER(B659)),IF(B660=B659,"",(B660-B659)*100),"")</f>
        <v/>
      </c>
      <c r="G660" s="20">
        <f>IF(AND(ISNUMBER(C660),ISNUMBER(C659)),IF(C660=C659,"",(C660-C659)*100),"")</f>
        <v/>
      </c>
      <c r="H660" s="20">
        <f>IF(OR(NOT(ISNUMBER($A660)),ROW()-2&lt;Settings!$B$11),NA(),IF(COUNT(OFFSET(F660,1-Settings!$B$11,0,Settings!$B$11,1))&lt;ROUNDUP(Settings!$B$11*Settings!$B$26,0),NA(),STDEV(OFFSET(F660,1-Settings!$B$11,0,Settings!$B$11,1))*SQRT(Settings!$B$13)))</f>
        <v/>
      </c>
      <c r="I660" s="20">
        <f>IF(OR(NOT(ISNUMBER($A660)),ROW()-2&lt;Settings!$B$12),NA(),IF(COUNT(OFFSET(F660,1-Settings!$B$12,0,Settings!$B$12,1))&lt;ROUNDUP(Settings!$B$12*Settings!$B$26,0),NA(),STDEV(OFFSET(F660,1-Settings!$B$12,0,Settings!$B$12,1))*SQRT(Settings!$B$13)))</f>
        <v/>
      </c>
      <c r="J660" s="20">
        <f>IF(OR(NOT(ISNUMBER($A660)),ROW()-2&lt;Settings!$B$11),NA(),IF(COUNT(OFFSET(G660,1-Settings!$B$11,0,Settings!$B$11,1))&lt;ROUNDUP(Settings!$B$11*Settings!$B$26,0),NA(),STDEV(OFFSET(G660,1-Settings!$B$11,0,Settings!$B$11,1))*SQRT(Settings!$B$13)))</f>
        <v/>
      </c>
      <c r="K660" s="20">
        <f>IF(OR(NOT(ISNUMBER($A660)),ROW()-2&lt;Settings!$B$12),NA(),IF(COUNT(OFFSET(G660,1-Settings!$B$12,0,Settings!$B$12,1))&lt;ROUNDUP(Settings!$B$12*Settings!$B$26,0),NA(),STDEV(OFFSET(G660,1-Settings!$B$12,0,Settings!$B$12,1))*SQRT(Settings!$B$13)))</f>
        <v/>
      </c>
      <c r="L660" s="20">
        <f>IF(AND(ISNUMBER(D660),ISNUMBER(H660)),D660-H660,NA())</f>
        <v/>
      </c>
      <c r="M660" s="20">
        <f>IF(AND(ISNUMBER(E660),ISNUMBER(K660)),E660-K660,NA())</f>
        <v/>
      </c>
      <c r="N660" s="20">
        <f>IF(NOT(ISNUMBER($A660)),NA(),IF(COUNT(OFFSET(G660,1,0,Settings!$B$12,1))&lt;ROUNDUP(Settings!$B$12*Settings!$B$26,0),NA(),STDEV(OFFSET(G660,1,0,Settings!$B$12,1))*SQRT(Settings!$B$13)))</f>
        <v/>
      </c>
      <c r="O660" s="20">
        <f>IF(AND(ISNUMBER(E660),ISNUMBER(N660)),E660-N660,NA())</f>
        <v/>
      </c>
      <c r="P660" s="19">
        <f>IF(NOT(ISNUMBER($A660)),NA(),IF(OR($A660&lt;MIN(KW_TP!$A$2:$A$2501),$A660&gt;MAX(KW_TP!$A$2:$A$2501)),NA(),INDEX(KW_TP!$C$2:$C$2501,MATCH($A660,KW_TP!$A$2:$A$2501,1))))</f>
        <v/>
      </c>
      <c r="Q660" s="18">
        <f>IF(NOT(ISNUMBER($A660)),NA(),IFERROR(1*INDEX(BBG_Data!$J$2:$J$4000,MATCH($A660,BBG_Data!$I$2:$I$4000,0)),NA()))</f>
        <v/>
      </c>
      <c r="R660" s="18">
        <f>IF(NOT(ISNUMBER($A660)),NA(),IFERROR(1*INDEX(BBG_Data!$L$2:$L$4000,MATCH($A660,BBG_Data!$K$2:$K$4000,0)),NA()))</f>
        <v/>
      </c>
      <c r="S660" s="20">
        <f>IF(AND(ISNUMBER(B660),ISNUMBER(Q660),ISNUMBER(R660)),(B660-Q660-R660)*100,NA())</f>
        <v/>
      </c>
      <c r="T660" s="20">
        <f>IF(AND(ISNUMBER(B660),Settings!$B$17&gt;0),IF(ISNUMBER(INDEX($B:$B,Settings!$B$17)),(B660-INDEX($B:$B,Settings!$B$17))*100,NA()),NA())</f>
        <v/>
      </c>
      <c r="U660" s="20">
        <f>IF(AND(ISNUMBER(Q660),Settings!$B$17&gt;0),IF(ISNUMBER(INDEX($Q:$Q,Settings!$B$17)),(Q660-INDEX($Q:$Q,Settings!$B$17))*100,NA()),NA())</f>
        <v/>
      </c>
      <c r="V660" s="20">
        <f>IF(AND(ISNUMBER(R660),Settings!$B$17&gt;0),IF(ISNUMBER(INDEX($R:$R,Settings!$B$17)),(R660-INDEX($R:$R,Settings!$B$17))*100,NA()),NA())</f>
        <v/>
      </c>
      <c r="W660" s="20">
        <f>IF(AND(ISNUMBER(P660),Settings!$B$17&gt;0),IF(ISNUMBER(INDEX($P:$P,Settings!$B$17)),P660-INDEX($P:$P,Settings!$B$17),NA()),NA())</f>
        <v/>
      </c>
      <c r="X660" s="19">
        <f>IF(NOT(ISNUMBER($A660)),NA(),IF(OR($A660&lt;MIN(DKW_10Y!$A$2:$A$2918),$A660&gt;MAX(DKW_10Y!$A$2:$A$2918),Settings!$B$16&lt;MIN(DKW_10Y!$A$2:$A$2918)),NA(),(INDEX(DKW_10Y!$B$2:$B$2918,MATCH($A660,DKW_10Y!$A$2:$A$2918,1))-INDEX(DKW_10Y!$B$2:$B$2918,MATCH(Settings!$B$16,DKW_10Y!$A$2:$A$2918,1)))*100))</f>
        <v/>
      </c>
      <c r="Y660" s="19">
        <f>IF(NOT(ISNUMBER($A660)),NA(),IF(OR($A660&lt;MIN(DKW_10Y!$A$2:$A$2918),$A660&gt;MAX(DKW_10Y!$A$2:$A$2918),Settings!$B$16&lt;MIN(DKW_10Y!$A$2:$A$2918)),NA(),(INDEX(DKW_10Y!$C$2:$C$2918,MATCH($A660,DKW_10Y!$A$2:$A$2918,1))-INDEX(DKW_10Y!$C$2:$C$2918,MATCH(Settings!$B$16,DKW_10Y!$A$2:$A$2918,1)))*100))</f>
        <v/>
      </c>
      <c r="Z660" s="19">
        <f>IF(NOT(ISNUMBER($A660)),NA(),IF(OR($A660&lt;MIN(DKW_10Y!$A$2:$A$2918),$A660&gt;MAX(DKW_10Y!$A$2:$A$2918),Settings!$B$16&lt;MIN(DKW_10Y!$A$2:$A$2918)),NA(),(INDEX(DKW_10Y!$D$2:$D$2918,MATCH($A660,DKW_10Y!$A$2:$A$2918,1))-INDEX(DKW_10Y!$D$2:$D$2918,MATCH(Settings!$B$16,DKW_10Y!$A$2:$A$2918,1)))*100))</f>
        <v/>
      </c>
      <c r="AA660" s="19">
        <f>IF(NOT(ISNUMBER($A660)),NA(),IF(OR($A660&lt;MIN(DKW_10Y!$A$2:$A$2918),$A660&gt;MAX(DKW_10Y!$A$2:$A$2918),Settings!$B$16&lt;MIN(DKW_10Y!$A$2:$A$2918)),NA(),(INDEX(DKW_10Y!$E$2:$E$2918,MATCH($A660,DKW_10Y!$A$2:$A$2918,1))-INDEX(DKW_10Y!$E$2:$E$2918,MATCH(Settings!$B$16,DKW_10Y!$A$2:$A$2918,1)))*100))</f>
        <v/>
      </c>
      <c r="AB660" s="19">
        <f>IF(NOT(ISNUMBER($A660)),NA(),IF(OR($A660&lt;MIN(DKW_10Y!$A$2:$A$2918),$A660&gt;MAX(DKW_10Y!$A$2:$A$2918),Settings!$B$16&lt;MIN(DKW_10Y!$A$2:$A$2918)),NA(),(INDEX(DKW_10Y!$H$2:$H$2918,MATCH($A660,DKW_10Y!$A$2:$A$2918,1))-INDEX(DKW_10Y!$H$2:$H$2918,MATCH(Settings!$B$16,DKW_10Y!$A$2:$A$2918,1)))*100))</f>
        <v/>
      </c>
      <c r="AC660" s="18">
        <f>IF(NOT(ISNUMBER($A660)),NA(),IFERROR(1*INDEX(BBG_Data!$N$2:$N$4000,MATCH($A660,BBG_Data!$M$2:$M$4000,0)),NA()))</f>
        <v/>
      </c>
      <c r="AD660" s="18">
        <f>IF(NOT(ISNUMBER($A660)),NA(),IFERROR(1*INDEX(BBG_Data!$P$2:$P$4000,MATCH($A660,BBG_Data!$O$2:$O$4000,0)),NA()))</f>
        <v/>
      </c>
      <c r="AE660" s="18">
        <f>IF(NOT(ISNUMBER($A660)),NA(),IFERROR(1*INDEX(BBG_Data!$R$2:$R$4000,MATCH($A660,BBG_Data!$Q$2:$Q$4000,0)),NA()))</f>
        <v/>
      </c>
      <c r="AF660" s="20">
        <f>IF(AND(ISNUMBER(B660),ISNUMBER(AC660)),(B660-AC660)*100,NA())</f>
        <v/>
      </c>
      <c r="AG660" s="20">
        <f>IF(AND(ISNUMBER(AE660),ISNUMBER(AD660)),(AE660-AD660)*100,NA())</f>
        <v/>
      </c>
      <c r="AH660" s="19">
        <f>IF(NOT(ISNUMBER($A660)),NA(),IFERROR(INDEX(BBG_Data!$T$2:$T$4000,MATCH($A660,BBG_Data!$S$2:$S$4000,0))*Settings!$B$25,NA()))</f>
        <v/>
      </c>
      <c r="AI660" s="19">
        <f>IF(NOT(ISNUMBER($A660)),NA(),IFERROR(INDEX(BBG_Data!$V$2:$V$4000,MATCH($A660,BBG_Data!$U$2:$U$4000,0))*Settings!$B$25,NA()))</f>
        <v/>
      </c>
      <c r="AJ660" s="19">
        <f>IF(NOT(ISNUMBER($A660)),NA(),IFERROR(1*INDEX(BBG_Data!$X$2:$X$4000,MATCH($A660,BBG_Data!$W$2:$W$4000,0)),NA()))</f>
        <v/>
      </c>
      <c r="AK660" s="19">
        <f>IF(NOT(ISNUMBER($A660)),NA(),IFERROR(1*INDEX(BBG_Data!$Z$2:$Z$4000,MATCH($A660,BBG_Data!$Y$2:$Y$4000,0)),NA()))</f>
        <v/>
      </c>
    </row>
    <row r="661">
      <c r="A661" s="17">
        <f>IF(ISNUMBER(BBG_Data!A661),BBG_Data!A661,"")</f>
        <v/>
      </c>
      <c r="B661" s="18">
        <f>IF(AND(ISNUMBER($A661),ISNUMBER(BBG_Data!B661)),BBG_Data!B661,NA())</f>
        <v/>
      </c>
      <c r="C661" s="18">
        <f>IF(NOT(ISNUMBER($A661)),NA(),IFERROR(1*INDEX(BBG_Data!$D$2:$D$4000,MATCH($A661,BBG_Data!$C$2:$C$4000,0)),NA()))</f>
        <v/>
      </c>
      <c r="D661" s="19">
        <f>IF(NOT(ISNUMBER($A661)),NA(),IFERROR(1*INDEX(BBG_Data!$F$2:$F$4000,MATCH($A661,BBG_Data!$E$2:$E$4000,0)),NA()))</f>
        <v/>
      </c>
      <c r="E661" s="19">
        <f>IF(NOT(ISNUMBER($A661)),NA(),IFERROR(1*INDEX(BBG_Data!$H$2:$H$4000,MATCH($A661,BBG_Data!$G$2:$G$4000,0)),NA()))</f>
        <v/>
      </c>
      <c r="F661" s="20">
        <f>IF(AND(ISNUMBER(B661),ISNUMBER(B660)),IF(B661=B660,"",(B661-B660)*100),"")</f>
        <v/>
      </c>
      <c r="G661" s="20">
        <f>IF(AND(ISNUMBER(C661),ISNUMBER(C660)),IF(C661=C660,"",(C661-C660)*100),"")</f>
        <v/>
      </c>
      <c r="H661" s="20">
        <f>IF(OR(NOT(ISNUMBER($A661)),ROW()-2&lt;Settings!$B$11),NA(),IF(COUNT(OFFSET(F661,1-Settings!$B$11,0,Settings!$B$11,1))&lt;ROUNDUP(Settings!$B$11*Settings!$B$26,0),NA(),STDEV(OFFSET(F661,1-Settings!$B$11,0,Settings!$B$11,1))*SQRT(Settings!$B$13)))</f>
        <v/>
      </c>
      <c r="I661" s="20">
        <f>IF(OR(NOT(ISNUMBER($A661)),ROW()-2&lt;Settings!$B$12),NA(),IF(COUNT(OFFSET(F661,1-Settings!$B$12,0,Settings!$B$12,1))&lt;ROUNDUP(Settings!$B$12*Settings!$B$26,0),NA(),STDEV(OFFSET(F661,1-Settings!$B$12,0,Settings!$B$12,1))*SQRT(Settings!$B$13)))</f>
        <v/>
      </c>
      <c r="J661" s="20">
        <f>IF(OR(NOT(ISNUMBER($A661)),ROW()-2&lt;Settings!$B$11),NA(),IF(COUNT(OFFSET(G661,1-Settings!$B$11,0,Settings!$B$11,1))&lt;ROUNDUP(Settings!$B$11*Settings!$B$26,0),NA(),STDEV(OFFSET(G661,1-Settings!$B$11,0,Settings!$B$11,1))*SQRT(Settings!$B$13)))</f>
        <v/>
      </c>
      <c r="K661" s="20">
        <f>IF(OR(NOT(ISNUMBER($A661)),ROW()-2&lt;Settings!$B$12),NA(),IF(COUNT(OFFSET(G661,1-Settings!$B$12,0,Settings!$B$12,1))&lt;ROUNDUP(Settings!$B$12*Settings!$B$26,0),NA(),STDEV(OFFSET(G661,1-Settings!$B$12,0,Settings!$B$12,1))*SQRT(Settings!$B$13)))</f>
        <v/>
      </c>
      <c r="L661" s="20">
        <f>IF(AND(ISNUMBER(D661),ISNUMBER(H661)),D661-H661,NA())</f>
        <v/>
      </c>
      <c r="M661" s="20">
        <f>IF(AND(ISNUMBER(E661),ISNUMBER(K661)),E661-K661,NA())</f>
        <v/>
      </c>
      <c r="N661" s="20">
        <f>IF(NOT(ISNUMBER($A661)),NA(),IF(COUNT(OFFSET(G661,1,0,Settings!$B$12,1))&lt;ROUNDUP(Settings!$B$12*Settings!$B$26,0),NA(),STDEV(OFFSET(G661,1,0,Settings!$B$12,1))*SQRT(Settings!$B$13)))</f>
        <v/>
      </c>
      <c r="O661" s="20">
        <f>IF(AND(ISNUMBER(E661),ISNUMBER(N661)),E661-N661,NA())</f>
        <v/>
      </c>
      <c r="P661" s="19">
        <f>IF(NOT(ISNUMBER($A661)),NA(),IF(OR($A661&lt;MIN(KW_TP!$A$2:$A$2501),$A661&gt;MAX(KW_TP!$A$2:$A$2501)),NA(),INDEX(KW_TP!$C$2:$C$2501,MATCH($A661,KW_TP!$A$2:$A$2501,1))))</f>
        <v/>
      </c>
      <c r="Q661" s="18">
        <f>IF(NOT(ISNUMBER($A661)),NA(),IFERROR(1*INDEX(BBG_Data!$J$2:$J$4000,MATCH($A661,BBG_Data!$I$2:$I$4000,0)),NA()))</f>
        <v/>
      </c>
      <c r="R661" s="18">
        <f>IF(NOT(ISNUMBER($A661)),NA(),IFERROR(1*INDEX(BBG_Data!$L$2:$L$4000,MATCH($A661,BBG_Data!$K$2:$K$4000,0)),NA()))</f>
        <v/>
      </c>
      <c r="S661" s="20">
        <f>IF(AND(ISNUMBER(B661),ISNUMBER(Q661),ISNUMBER(R661)),(B661-Q661-R661)*100,NA())</f>
        <v/>
      </c>
      <c r="T661" s="20">
        <f>IF(AND(ISNUMBER(B661),Settings!$B$17&gt;0),IF(ISNUMBER(INDEX($B:$B,Settings!$B$17)),(B661-INDEX($B:$B,Settings!$B$17))*100,NA()),NA())</f>
        <v/>
      </c>
      <c r="U661" s="20">
        <f>IF(AND(ISNUMBER(Q661),Settings!$B$17&gt;0),IF(ISNUMBER(INDEX($Q:$Q,Settings!$B$17)),(Q661-INDEX($Q:$Q,Settings!$B$17))*100,NA()),NA())</f>
        <v/>
      </c>
      <c r="V661" s="20">
        <f>IF(AND(ISNUMBER(R661),Settings!$B$17&gt;0),IF(ISNUMBER(INDEX($R:$R,Settings!$B$17)),(R661-INDEX($R:$R,Settings!$B$17))*100,NA()),NA())</f>
        <v/>
      </c>
      <c r="W661" s="20">
        <f>IF(AND(ISNUMBER(P661),Settings!$B$17&gt;0),IF(ISNUMBER(INDEX($P:$P,Settings!$B$17)),P661-INDEX($P:$P,Settings!$B$17),NA()),NA())</f>
        <v/>
      </c>
      <c r="X661" s="19">
        <f>IF(NOT(ISNUMBER($A661)),NA(),IF(OR($A661&lt;MIN(DKW_10Y!$A$2:$A$2918),$A661&gt;MAX(DKW_10Y!$A$2:$A$2918),Settings!$B$16&lt;MIN(DKW_10Y!$A$2:$A$2918)),NA(),(INDEX(DKW_10Y!$B$2:$B$2918,MATCH($A661,DKW_10Y!$A$2:$A$2918,1))-INDEX(DKW_10Y!$B$2:$B$2918,MATCH(Settings!$B$16,DKW_10Y!$A$2:$A$2918,1)))*100))</f>
        <v/>
      </c>
      <c r="Y661" s="19">
        <f>IF(NOT(ISNUMBER($A661)),NA(),IF(OR($A661&lt;MIN(DKW_10Y!$A$2:$A$2918),$A661&gt;MAX(DKW_10Y!$A$2:$A$2918),Settings!$B$16&lt;MIN(DKW_10Y!$A$2:$A$2918)),NA(),(INDEX(DKW_10Y!$C$2:$C$2918,MATCH($A661,DKW_10Y!$A$2:$A$2918,1))-INDEX(DKW_10Y!$C$2:$C$2918,MATCH(Settings!$B$16,DKW_10Y!$A$2:$A$2918,1)))*100))</f>
        <v/>
      </c>
      <c r="Z661" s="19">
        <f>IF(NOT(ISNUMBER($A661)),NA(),IF(OR($A661&lt;MIN(DKW_10Y!$A$2:$A$2918),$A661&gt;MAX(DKW_10Y!$A$2:$A$2918),Settings!$B$16&lt;MIN(DKW_10Y!$A$2:$A$2918)),NA(),(INDEX(DKW_10Y!$D$2:$D$2918,MATCH($A661,DKW_10Y!$A$2:$A$2918,1))-INDEX(DKW_10Y!$D$2:$D$2918,MATCH(Settings!$B$16,DKW_10Y!$A$2:$A$2918,1)))*100))</f>
        <v/>
      </c>
      <c r="AA661" s="19">
        <f>IF(NOT(ISNUMBER($A661)),NA(),IF(OR($A661&lt;MIN(DKW_10Y!$A$2:$A$2918),$A661&gt;MAX(DKW_10Y!$A$2:$A$2918),Settings!$B$16&lt;MIN(DKW_10Y!$A$2:$A$2918)),NA(),(INDEX(DKW_10Y!$E$2:$E$2918,MATCH($A661,DKW_10Y!$A$2:$A$2918,1))-INDEX(DKW_10Y!$E$2:$E$2918,MATCH(Settings!$B$16,DKW_10Y!$A$2:$A$2918,1)))*100))</f>
        <v/>
      </c>
      <c r="AB661" s="19">
        <f>IF(NOT(ISNUMBER($A661)),NA(),IF(OR($A661&lt;MIN(DKW_10Y!$A$2:$A$2918),$A661&gt;MAX(DKW_10Y!$A$2:$A$2918),Settings!$B$16&lt;MIN(DKW_10Y!$A$2:$A$2918)),NA(),(INDEX(DKW_10Y!$H$2:$H$2918,MATCH($A661,DKW_10Y!$A$2:$A$2918,1))-INDEX(DKW_10Y!$H$2:$H$2918,MATCH(Settings!$B$16,DKW_10Y!$A$2:$A$2918,1)))*100))</f>
        <v/>
      </c>
      <c r="AC661" s="18">
        <f>IF(NOT(ISNUMBER($A661)),NA(),IFERROR(1*INDEX(BBG_Data!$N$2:$N$4000,MATCH($A661,BBG_Data!$M$2:$M$4000,0)),NA()))</f>
        <v/>
      </c>
      <c r="AD661" s="18">
        <f>IF(NOT(ISNUMBER($A661)),NA(),IFERROR(1*INDEX(BBG_Data!$P$2:$P$4000,MATCH($A661,BBG_Data!$O$2:$O$4000,0)),NA()))</f>
        <v/>
      </c>
      <c r="AE661" s="18">
        <f>IF(NOT(ISNUMBER($A661)),NA(),IFERROR(1*INDEX(BBG_Data!$R$2:$R$4000,MATCH($A661,BBG_Data!$Q$2:$Q$4000,0)),NA()))</f>
        <v/>
      </c>
      <c r="AF661" s="20">
        <f>IF(AND(ISNUMBER(B661),ISNUMBER(AC661)),(B661-AC661)*100,NA())</f>
        <v/>
      </c>
      <c r="AG661" s="20">
        <f>IF(AND(ISNUMBER(AE661),ISNUMBER(AD661)),(AE661-AD661)*100,NA())</f>
        <v/>
      </c>
      <c r="AH661" s="19">
        <f>IF(NOT(ISNUMBER($A661)),NA(),IFERROR(INDEX(BBG_Data!$T$2:$T$4000,MATCH($A661,BBG_Data!$S$2:$S$4000,0))*Settings!$B$25,NA()))</f>
        <v/>
      </c>
      <c r="AI661" s="19">
        <f>IF(NOT(ISNUMBER($A661)),NA(),IFERROR(INDEX(BBG_Data!$V$2:$V$4000,MATCH($A661,BBG_Data!$U$2:$U$4000,0))*Settings!$B$25,NA()))</f>
        <v/>
      </c>
      <c r="AJ661" s="19">
        <f>IF(NOT(ISNUMBER($A661)),NA(),IFERROR(1*INDEX(BBG_Data!$X$2:$X$4000,MATCH($A661,BBG_Data!$W$2:$W$4000,0)),NA()))</f>
        <v/>
      </c>
      <c r="AK661" s="19">
        <f>IF(NOT(ISNUMBER($A661)),NA(),IFERROR(1*INDEX(BBG_Data!$Z$2:$Z$4000,MATCH($A661,BBG_Data!$Y$2:$Y$4000,0)),NA()))</f>
        <v/>
      </c>
    </row>
    <row r="662">
      <c r="A662" s="17">
        <f>IF(ISNUMBER(BBG_Data!A662),BBG_Data!A662,"")</f>
        <v/>
      </c>
      <c r="B662" s="18">
        <f>IF(AND(ISNUMBER($A662),ISNUMBER(BBG_Data!B662)),BBG_Data!B662,NA())</f>
        <v/>
      </c>
      <c r="C662" s="18">
        <f>IF(NOT(ISNUMBER($A662)),NA(),IFERROR(1*INDEX(BBG_Data!$D$2:$D$4000,MATCH($A662,BBG_Data!$C$2:$C$4000,0)),NA()))</f>
        <v/>
      </c>
      <c r="D662" s="19">
        <f>IF(NOT(ISNUMBER($A662)),NA(),IFERROR(1*INDEX(BBG_Data!$F$2:$F$4000,MATCH($A662,BBG_Data!$E$2:$E$4000,0)),NA()))</f>
        <v/>
      </c>
      <c r="E662" s="19">
        <f>IF(NOT(ISNUMBER($A662)),NA(),IFERROR(1*INDEX(BBG_Data!$H$2:$H$4000,MATCH($A662,BBG_Data!$G$2:$G$4000,0)),NA()))</f>
        <v/>
      </c>
      <c r="F662" s="20">
        <f>IF(AND(ISNUMBER(B662),ISNUMBER(B661)),IF(B662=B661,"",(B662-B661)*100),"")</f>
        <v/>
      </c>
      <c r="G662" s="20">
        <f>IF(AND(ISNUMBER(C662),ISNUMBER(C661)),IF(C662=C661,"",(C662-C661)*100),"")</f>
        <v/>
      </c>
      <c r="H662" s="20">
        <f>IF(OR(NOT(ISNUMBER($A662)),ROW()-2&lt;Settings!$B$11),NA(),IF(COUNT(OFFSET(F662,1-Settings!$B$11,0,Settings!$B$11,1))&lt;ROUNDUP(Settings!$B$11*Settings!$B$26,0),NA(),STDEV(OFFSET(F662,1-Settings!$B$11,0,Settings!$B$11,1))*SQRT(Settings!$B$13)))</f>
        <v/>
      </c>
      <c r="I662" s="20">
        <f>IF(OR(NOT(ISNUMBER($A662)),ROW()-2&lt;Settings!$B$12),NA(),IF(COUNT(OFFSET(F662,1-Settings!$B$12,0,Settings!$B$12,1))&lt;ROUNDUP(Settings!$B$12*Settings!$B$26,0),NA(),STDEV(OFFSET(F662,1-Settings!$B$12,0,Settings!$B$12,1))*SQRT(Settings!$B$13)))</f>
        <v/>
      </c>
      <c r="J662" s="20">
        <f>IF(OR(NOT(ISNUMBER($A662)),ROW()-2&lt;Settings!$B$11),NA(),IF(COUNT(OFFSET(G662,1-Settings!$B$11,0,Settings!$B$11,1))&lt;ROUNDUP(Settings!$B$11*Settings!$B$26,0),NA(),STDEV(OFFSET(G662,1-Settings!$B$11,0,Settings!$B$11,1))*SQRT(Settings!$B$13)))</f>
        <v/>
      </c>
      <c r="K662" s="20">
        <f>IF(OR(NOT(ISNUMBER($A662)),ROW()-2&lt;Settings!$B$12),NA(),IF(COUNT(OFFSET(G662,1-Settings!$B$12,0,Settings!$B$12,1))&lt;ROUNDUP(Settings!$B$12*Settings!$B$26,0),NA(),STDEV(OFFSET(G662,1-Settings!$B$12,0,Settings!$B$12,1))*SQRT(Settings!$B$13)))</f>
        <v/>
      </c>
      <c r="L662" s="20">
        <f>IF(AND(ISNUMBER(D662),ISNUMBER(H662)),D662-H662,NA())</f>
        <v/>
      </c>
      <c r="M662" s="20">
        <f>IF(AND(ISNUMBER(E662),ISNUMBER(K662)),E662-K662,NA())</f>
        <v/>
      </c>
      <c r="N662" s="20">
        <f>IF(NOT(ISNUMBER($A662)),NA(),IF(COUNT(OFFSET(G662,1,0,Settings!$B$12,1))&lt;ROUNDUP(Settings!$B$12*Settings!$B$26,0),NA(),STDEV(OFFSET(G662,1,0,Settings!$B$12,1))*SQRT(Settings!$B$13)))</f>
        <v/>
      </c>
      <c r="O662" s="20">
        <f>IF(AND(ISNUMBER(E662),ISNUMBER(N662)),E662-N662,NA())</f>
        <v/>
      </c>
      <c r="P662" s="19">
        <f>IF(NOT(ISNUMBER($A662)),NA(),IF(OR($A662&lt;MIN(KW_TP!$A$2:$A$2501),$A662&gt;MAX(KW_TP!$A$2:$A$2501)),NA(),INDEX(KW_TP!$C$2:$C$2501,MATCH($A662,KW_TP!$A$2:$A$2501,1))))</f>
        <v/>
      </c>
      <c r="Q662" s="18">
        <f>IF(NOT(ISNUMBER($A662)),NA(),IFERROR(1*INDEX(BBG_Data!$J$2:$J$4000,MATCH($A662,BBG_Data!$I$2:$I$4000,0)),NA()))</f>
        <v/>
      </c>
      <c r="R662" s="18">
        <f>IF(NOT(ISNUMBER($A662)),NA(),IFERROR(1*INDEX(BBG_Data!$L$2:$L$4000,MATCH($A662,BBG_Data!$K$2:$K$4000,0)),NA()))</f>
        <v/>
      </c>
      <c r="S662" s="20">
        <f>IF(AND(ISNUMBER(B662),ISNUMBER(Q662),ISNUMBER(R662)),(B662-Q662-R662)*100,NA())</f>
        <v/>
      </c>
      <c r="T662" s="20">
        <f>IF(AND(ISNUMBER(B662),Settings!$B$17&gt;0),IF(ISNUMBER(INDEX($B:$B,Settings!$B$17)),(B662-INDEX($B:$B,Settings!$B$17))*100,NA()),NA())</f>
        <v/>
      </c>
      <c r="U662" s="20">
        <f>IF(AND(ISNUMBER(Q662),Settings!$B$17&gt;0),IF(ISNUMBER(INDEX($Q:$Q,Settings!$B$17)),(Q662-INDEX($Q:$Q,Settings!$B$17))*100,NA()),NA())</f>
        <v/>
      </c>
      <c r="V662" s="20">
        <f>IF(AND(ISNUMBER(R662),Settings!$B$17&gt;0),IF(ISNUMBER(INDEX($R:$R,Settings!$B$17)),(R662-INDEX($R:$R,Settings!$B$17))*100,NA()),NA())</f>
        <v/>
      </c>
      <c r="W662" s="20">
        <f>IF(AND(ISNUMBER(P662),Settings!$B$17&gt;0),IF(ISNUMBER(INDEX($P:$P,Settings!$B$17)),P662-INDEX($P:$P,Settings!$B$17),NA()),NA())</f>
        <v/>
      </c>
      <c r="X662" s="19">
        <f>IF(NOT(ISNUMBER($A662)),NA(),IF(OR($A662&lt;MIN(DKW_10Y!$A$2:$A$2918),$A662&gt;MAX(DKW_10Y!$A$2:$A$2918),Settings!$B$16&lt;MIN(DKW_10Y!$A$2:$A$2918)),NA(),(INDEX(DKW_10Y!$B$2:$B$2918,MATCH($A662,DKW_10Y!$A$2:$A$2918,1))-INDEX(DKW_10Y!$B$2:$B$2918,MATCH(Settings!$B$16,DKW_10Y!$A$2:$A$2918,1)))*100))</f>
        <v/>
      </c>
      <c r="Y662" s="19">
        <f>IF(NOT(ISNUMBER($A662)),NA(),IF(OR($A662&lt;MIN(DKW_10Y!$A$2:$A$2918),$A662&gt;MAX(DKW_10Y!$A$2:$A$2918),Settings!$B$16&lt;MIN(DKW_10Y!$A$2:$A$2918)),NA(),(INDEX(DKW_10Y!$C$2:$C$2918,MATCH($A662,DKW_10Y!$A$2:$A$2918,1))-INDEX(DKW_10Y!$C$2:$C$2918,MATCH(Settings!$B$16,DKW_10Y!$A$2:$A$2918,1)))*100))</f>
        <v/>
      </c>
      <c r="Z662" s="19">
        <f>IF(NOT(ISNUMBER($A662)),NA(),IF(OR($A662&lt;MIN(DKW_10Y!$A$2:$A$2918),$A662&gt;MAX(DKW_10Y!$A$2:$A$2918),Settings!$B$16&lt;MIN(DKW_10Y!$A$2:$A$2918)),NA(),(INDEX(DKW_10Y!$D$2:$D$2918,MATCH($A662,DKW_10Y!$A$2:$A$2918,1))-INDEX(DKW_10Y!$D$2:$D$2918,MATCH(Settings!$B$16,DKW_10Y!$A$2:$A$2918,1)))*100))</f>
        <v/>
      </c>
      <c r="AA662" s="19">
        <f>IF(NOT(ISNUMBER($A662)),NA(),IF(OR($A662&lt;MIN(DKW_10Y!$A$2:$A$2918),$A662&gt;MAX(DKW_10Y!$A$2:$A$2918),Settings!$B$16&lt;MIN(DKW_10Y!$A$2:$A$2918)),NA(),(INDEX(DKW_10Y!$E$2:$E$2918,MATCH($A662,DKW_10Y!$A$2:$A$2918,1))-INDEX(DKW_10Y!$E$2:$E$2918,MATCH(Settings!$B$16,DKW_10Y!$A$2:$A$2918,1)))*100))</f>
        <v/>
      </c>
      <c r="AB662" s="19">
        <f>IF(NOT(ISNUMBER($A662)),NA(),IF(OR($A662&lt;MIN(DKW_10Y!$A$2:$A$2918),$A662&gt;MAX(DKW_10Y!$A$2:$A$2918),Settings!$B$16&lt;MIN(DKW_10Y!$A$2:$A$2918)),NA(),(INDEX(DKW_10Y!$H$2:$H$2918,MATCH($A662,DKW_10Y!$A$2:$A$2918,1))-INDEX(DKW_10Y!$H$2:$H$2918,MATCH(Settings!$B$16,DKW_10Y!$A$2:$A$2918,1)))*100))</f>
        <v/>
      </c>
      <c r="AC662" s="18">
        <f>IF(NOT(ISNUMBER($A662)),NA(),IFERROR(1*INDEX(BBG_Data!$N$2:$N$4000,MATCH($A662,BBG_Data!$M$2:$M$4000,0)),NA()))</f>
        <v/>
      </c>
      <c r="AD662" s="18">
        <f>IF(NOT(ISNUMBER($A662)),NA(),IFERROR(1*INDEX(BBG_Data!$P$2:$P$4000,MATCH($A662,BBG_Data!$O$2:$O$4000,0)),NA()))</f>
        <v/>
      </c>
      <c r="AE662" s="18">
        <f>IF(NOT(ISNUMBER($A662)),NA(),IFERROR(1*INDEX(BBG_Data!$R$2:$R$4000,MATCH($A662,BBG_Data!$Q$2:$Q$4000,0)),NA()))</f>
        <v/>
      </c>
      <c r="AF662" s="20">
        <f>IF(AND(ISNUMBER(B662),ISNUMBER(AC662)),(B662-AC662)*100,NA())</f>
        <v/>
      </c>
      <c r="AG662" s="20">
        <f>IF(AND(ISNUMBER(AE662),ISNUMBER(AD662)),(AE662-AD662)*100,NA())</f>
        <v/>
      </c>
      <c r="AH662" s="19">
        <f>IF(NOT(ISNUMBER($A662)),NA(),IFERROR(INDEX(BBG_Data!$T$2:$T$4000,MATCH($A662,BBG_Data!$S$2:$S$4000,0))*Settings!$B$25,NA()))</f>
        <v/>
      </c>
      <c r="AI662" s="19">
        <f>IF(NOT(ISNUMBER($A662)),NA(),IFERROR(INDEX(BBG_Data!$V$2:$V$4000,MATCH($A662,BBG_Data!$U$2:$U$4000,0))*Settings!$B$25,NA()))</f>
        <v/>
      </c>
      <c r="AJ662" s="19">
        <f>IF(NOT(ISNUMBER($A662)),NA(),IFERROR(1*INDEX(BBG_Data!$X$2:$X$4000,MATCH($A662,BBG_Data!$W$2:$W$4000,0)),NA()))</f>
        <v/>
      </c>
      <c r="AK662" s="19">
        <f>IF(NOT(ISNUMBER($A662)),NA(),IFERROR(1*INDEX(BBG_Data!$Z$2:$Z$4000,MATCH($A662,BBG_Data!$Y$2:$Y$4000,0)),NA()))</f>
        <v/>
      </c>
    </row>
    <row r="663">
      <c r="A663" s="17">
        <f>IF(ISNUMBER(BBG_Data!A663),BBG_Data!A663,"")</f>
        <v/>
      </c>
      <c r="B663" s="18">
        <f>IF(AND(ISNUMBER($A663),ISNUMBER(BBG_Data!B663)),BBG_Data!B663,NA())</f>
        <v/>
      </c>
      <c r="C663" s="18">
        <f>IF(NOT(ISNUMBER($A663)),NA(),IFERROR(1*INDEX(BBG_Data!$D$2:$D$4000,MATCH($A663,BBG_Data!$C$2:$C$4000,0)),NA()))</f>
        <v/>
      </c>
      <c r="D663" s="19">
        <f>IF(NOT(ISNUMBER($A663)),NA(),IFERROR(1*INDEX(BBG_Data!$F$2:$F$4000,MATCH($A663,BBG_Data!$E$2:$E$4000,0)),NA()))</f>
        <v/>
      </c>
      <c r="E663" s="19">
        <f>IF(NOT(ISNUMBER($A663)),NA(),IFERROR(1*INDEX(BBG_Data!$H$2:$H$4000,MATCH($A663,BBG_Data!$G$2:$G$4000,0)),NA()))</f>
        <v/>
      </c>
      <c r="F663" s="20">
        <f>IF(AND(ISNUMBER(B663),ISNUMBER(B662)),IF(B663=B662,"",(B663-B662)*100),"")</f>
        <v/>
      </c>
      <c r="G663" s="20">
        <f>IF(AND(ISNUMBER(C663),ISNUMBER(C662)),IF(C663=C662,"",(C663-C662)*100),"")</f>
        <v/>
      </c>
      <c r="H663" s="20">
        <f>IF(OR(NOT(ISNUMBER($A663)),ROW()-2&lt;Settings!$B$11),NA(),IF(COUNT(OFFSET(F663,1-Settings!$B$11,0,Settings!$B$11,1))&lt;ROUNDUP(Settings!$B$11*Settings!$B$26,0),NA(),STDEV(OFFSET(F663,1-Settings!$B$11,0,Settings!$B$11,1))*SQRT(Settings!$B$13)))</f>
        <v/>
      </c>
      <c r="I663" s="20">
        <f>IF(OR(NOT(ISNUMBER($A663)),ROW()-2&lt;Settings!$B$12),NA(),IF(COUNT(OFFSET(F663,1-Settings!$B$12,0,Settings!$B$12,1))&lt;ROUNDUP(Settings!$B$12*Settings!$B$26,0),NA(),STDEV(OFFSET(F663,1-Settings!$B$12,0,Settings!$B$12,1))*SQRT(Settings!$B$13)))</f>
        <v/>
      </c>
      <c r="J663" s="20">
        <f>IF(OR(NOT(ISNUMBER($A663)),ROW()-2&lt;Settings!$B$11),NA(),IF(COUNT(OFFSET(G663,1-Settings!$B$11,0,Settings!$B$11,1))&lt;ROUNDUP(Settings!$B$11*Settings!$B$26,0),NA(),STDEV(OFFSET(G663,1-Settings!$B$11,0,Settings!$B$11,1))*SQRT(Settings!$B$13)))</f>
        <v/>
      </c>
      <c r="K663" s="20">
        <f>IF(OR(NOT(ISNUMBER($A663)),ROW()-2&lt;Settings!$B$12),NA(),IF(COUNT(OFFSET(G663,1-Settings!$B$12,0,Settings!$B$12,1))&lt;ROUNDUP(Settings!$B$12*Settings!$B$26,0),NA(),STDEV(OFFSET(G663,1-Settings!$B$12,0,Settings!$B$12,1))*SQRT(Settings!$B$13)))</f>
        <v/>
      </c>
      <c r="L663" s="20">
        <f>IF(AND(ISNUMBER(D663),ISNUMBER(H663)),D663-H663,NA())</f>
        <v/>
      </c>
      <c r="M663" s="20">
        <f>IF(AND(ISNUMBER(E663),ISNUMBER(K663)),E663-K663,NA())</f>
        <v/>
      </c>
      <c r="N663" s="20">
        <f>IF(NOT(ISNUMBER($A663)),NA(),IF(COUNT(OFFSET(G663,1,0,Settings!$B$12,1))&lt;ROUNDUP(Settings!$B$12*Settings!$B$26,0),NA(),STDEV(OFFSET(G663,1,0,Settings!$B$12,1))*SQRT(Settings!$B$13)))</f>
        <v/>
      </c>
      <c r="O663" s="20">
        <f>IF(AND(ISNUMBER(E663),ISNUMBER(N663)),E663-N663,NA())</f>
        <v/>
      </c>
      <c r="P663" s="19">
        <f>IF(NOT(ISNUMBER($A663)),NA(),IF(OR($A663&lt;MIN(KW_TP!$A$2:$A$2501),$A663&gt;MAX(KW_TP!$A$2:$A$2501)),NA(),INDEX(KW_TP!$C$2:$C$2501,MATCH($A663,KW_TP!$A$2:$A$2501,1))))</f>
        <v/>
      </c>
      <c r="Q663" s="18">
        <f>IF(NOT(ISNUMBER($A663)),NA(),IFERROR(1*INDEX(BBG_Data!$J$2:$J$4000,MATCH($A663,BBG_Data!$I$2:$I$4000,0)),NA()))</f>
        <v/>
      </c>
      <c r="R663" s="18">
        <f>IF(NOT(ISNUMBER($A663)),NA(),IFERROR(1*INDEX(BBG_Data!$L$2:$L$4000,MATCH($A663,BBG_Data!$K$2:$K$4000,0)),NA()))</f>
        <v/>
      </c>
      <c r="S663" s="20">
        <f>IF(AND(ISNUMBER(B663),ISNUMBER(Q663),ISNUMBER(R663)),(B663-Q663-R663)*100,NA())</f>
        <v/>
      </c>
      <c r="T663" s="20">
        <f>IF(AND(ISNUMBER(B663),Settings!$B$17&gt;0),IF(ISNUMBER(INDEX($B:$B,Settings!$B$17)),(B663-INDEX($B:$B,Settings!$B$17))*100,NA()),NA())</f>
        <v/>
      </c>
      <c r="U663" s="20">
        <f>IF(AND(ISNUMBER(Q663),Settings!$B$17&gt;0),IF(ISNUMBER(INDEX($Q:$Q,Settings!$B$17)),(Q663-INDEX($Q:$Q,Settings!$B$17))*100,NA()),NA())</f>
        <v/>
      </c>
      <c r="V663" s="20">
        <f>IF(AND(ISNUMBER(R663),Settings!$B$17&gt;0),IF(ISNUMBER(INDEX($R:$R,Settings!$B$17)),(R663-INDEX($R:$R,Settings!$B$17))*100,NA()),NA())</f>
        <v/>
      </c>
      <c r="W663" s="20">
        <f>IF(AND(ISNUMBER(P663),Settings!$B$17&gt;0),IF(ISNUMBER(INDEX($P:$P,Settings!$B$17)),P663-INDEX($P:$P,Settings!$B$17),NA()),NA())</f>
        <v/>
      </c>
      <c r="X663" s="19">
        <f>IF(NOT(ISNUMBER($A663)),NA(),IF(OR($A663&lt;MIN(DKW_10Y!$A$2:$A$2918),$A663&gt;MAX(DKW_10Y!$A$2:$A$2918),Settings!$B$16&lt;MIN(DKW_10Y!$A$2:$A$2918)),NA(),(INDEX(DKW_10Y!$B$2:$B$2918,MATCH($A663,DKW_10Y!$A$2:$A$2918,1))-INDEX(DKW_10Y!$B$2:$B$2918,MATCH(Settings!$B$16,DKW_10Y!$A$2:$A$2918,1)))*100))</f>
        <v/>
      </c>
      <c r="Y663" s="19">
        <f>IF(NOT(ISNUMBER($A663)),NA(),IF(OR($A663&lt;MIN(DKW_10Y!$A$2:$A$2918),$A663&gt;MAX(DKW_10Y!$A$2:$A$2918),Settings!$B$16&lt;MIN(DKW_10Y!$A$2:$A$2918)),NA(),(INDEX(DKW_10Y!$C$2:$C$2918,MATCH($A663,DKW_10Y!$A$2:$A$2918,1))-INDEX(DKW_10Y!$C$2:$C$2918,MATCH(Settings!$B$16,DKW_10Y!$A$2:$A$2918,1)))*100))</f>
        <v/>
      </c>
      <c r="Z663" s="19">
        <f>IF(NOT(ISNUMBER($A663)),NA(),IF(OR($A663&lt;MIN(DKW_10Y!$A$2:$A$2918),$A663&gt;MAX(DKW_10Y!$A$2:$A$2918),Settings!$B$16&lt;MIN(DKW_10Y!$A$2:$A$2918)),NA(),(INDEX(DKW_10Y!$D$2:$D$2918,MATCH($A663,DKW_10Y!$A$2:$A$2918,1))-INDEX(DKW_10Y!$D$2:$D$2918,MATCH(Settings!$B$16,DKW_10Y!$A$2:$A$2918,1)))*100))</f>
        <v/>
      </c>
      <c r="AA663" s="19">
        <f>IF(NOT(ISNUMBER($A663)),NA(),IF(OR($A663&lt;MIN(DKW_10Y!$A$2:$A$2918),$A663&gt;MAX(DKW_10Y!$A$2:$A$2918),Settings!$B$16&lt;MIN(DKW_10Y!$A$2:$A$2918)),NA(),(INDEX(DKW_10Y!$E$2:$E$2918,MATCH($A663,DKW_10Y!$A$2:$A$2918,1))-INDEX(DKW_10Y!$E$2:$E$2918,MATCH(Settings!$B$16,DKW_10Y!$A$2:$A$2918,1)))*100))</f>
        <v/>
      </c>
      <c r="AB663" s="19">
        <f>IF(NOT(ISNUMBER($A663)),NA(),IF(OR($A663&lt;MIN(DKW_10Y!$A$2:$A$2918),$A663&gt;MAX(DKW_10Y!$A$2:$A$2918),Settings!$B$16&lt;MIN(DKW_10Y!$A$2:$A$2918)),NA(),(INDEX(DKW_10Y!$H$2:$H$2918,MATCH($A663,DKW_10Y!$A$2:$A$2918,1))-INDEX(DKW_10Y!$H$2:$H$2918,MATCH(Settings!$B$16,DKW_10Y!$A$2:$A$2918,1)))*100))</f>
        <v/>
      </c>
      <c r="AC663" s="18">
        <f>IF(NOT(ISNUMBER($A663)),NA(),IFERROR(1*INDEX(BBG_Data!$N$2:$N$4000,MATCH($A663,BBG_Data!$M$2:$M$4000,0)),NA()))</f>
        <v/>
      </c>
      <c r="AD663" s="18">
        <f>IF(NOT(ISNUMBER($A663)),NA(),IFERROR(1*INDEX(BBG_Data!$P$2:$P$4000,MATCH($A663,BBG_Data!$O$2:$O$4000,0)),NA()))</f>
        <v/>
      </c>
      <c r="AE663" s="18">
        <f>IF(NOT(ISNUMBER($A663)),NA(),IFERROR(1*INDEX(BBG_Data!$R$2:$R$4000,MATCH($A663,BBG_Data!$Q$2:$Q$4000,0)),NA()))</f>
        <v/>
      </c>
      <c r="AF663" s="20">
        <f>IF(AND(ISNUMBER(B663),ISNUMBER(AC663)),(B663-AC663)*100,NA())</f>
        <v/>
      </c>
      <c r="AG663" s="20">
        <f>IF(AND(ISNUMBER(AE663),ISNUMBER(AD663)),(AE663-AD663)*100,NA())</f>
        <v/>
      </c>
      <c r="AH663" s="19">
        <f>IF(NOT(ISNUMBER($A663)),NA(),IFERROR(INDEX(BBG_Data!$T$2:$T$4000,MATCH($A663,BBG_Data!$S$2:$S$4000,0))*Settings!$B$25,NA()))</f>
        <v/>
      </c>
      <c r="AI663" s="19">
        <f>IF(NOT(ISNUMBER($A663)),NA(),IFERROR(INDEX(BBG_Data!$V$2:$V$4000,MATCH($A663,BBG_Data!$U$2:$U$4000,0))*Settings!$B$25,NA()))</f>
        <v/>
      </c>
      <c r="AJ663" s="19">
        <f>IF(NOT(ISNUMBER($A663)),NA(),IFERROR(1*INDEX(BBG_Data!$X$2:$X$4000,MATCH($A663,BBG_Data!$W$2:$W$4000,0)),NA()))</f>
        <v/>
      </c>
      <c r="AK663" s="19">
        <f>IF(NOT(ISNUMBER($A663)),NA(),IFERROR(1*INDEX(BBG_Data!$Z$2:$Z$4000,MATCH($A663,BBG_Data!$Y$2:$Y$4000,0)),NA()))</f>
        <v/>
      </c>
    </row>
    <row r="664">
      <c r="A664" s="17">
        <f>IF(ISNUMBER(BBG_Data!A664),BBG_Data!A664,"")</f>
        <v/>
      </c>
      <c r="B664" s="18">
        <f>IF(AND(ISNUMBER($A664),ISNUMBER(BBG_Data!B664)),BBG_Data!B664,NA())</f>
        <v/>
      </c>
      <c r="C664" s="18">
        <f>IF(NOT(ISNUMBER($A664)),NA(),IFERROR(1*INDEX(BBG_Data!$D$2:$D$4000,MATCH($A664,BBG_Data!$C$2:$C$4000,0)),NA()))</f>
        <v/>
      </c>
      <c r="D664" s="19">
        <f>IF(NOT(ISNUMBER($A664)),NA(),IFERROR(1*INDEX(BBG_Data!$F$2:$F$4000,MATCH($A664,BBG_Data!$E$2:$E$4000,0)),NA()))</f>
        <v/>
      </c>
      <c r="E664" s="19">
        <f>IF(NOT(ISNUMBER($A664)),NA(),IFERROR(1*INDEX(BBG_Data!$H$2:$H$4000,MATCH($A664,BBG_Data!$G$2:$G$4000,0)),NA()))</f>
        <v/>
      </c>
      <c r="F664" s="20">
        <f>IF(AND(ISNUMBER(B664),ISNUMBER(B663)),IF(B664=B663,"",(B664-B663)*100),"")</f>
        <v/>
      </c>
      <c r="G664" s="20">
        <f>IF(AND(ISNUMBER(C664),ISNUMBER(C663)),IF(C664=C663,"",(C664-C663)*100),"")</f>
        <v/>
      </c>
      <c r="H664" s="20">
        <f>IF(OR(NOT(ISNUMBER($A664)),ROW()-2&lt;Settings!$B$11),NA(),IF(COUNT(OFFSET(F664,1-Settings!$B$11,0,Settings!$B$11,1))&lt;ROUNDUP(Settings!$B$11*Settings!$B$26,0),NA(),STDEV(OFFSET(F664,1-Settings!$B$11,0,Settings!$B$11,1))*SQRT(Settings!$B$13)))</f>
        <v/>
      </c>
      <c r="I664" s="20">
        <f>IF(OR(NOT(ISNUMBER($A664)),ROW()-2&lt;Settings!$B$12),NA(),IF(COUNT(OFFSET(F664,1-Settings!$B$12,0,Settings!$B$12,1))&lt;ROUNDUP(Settings!$B$12*Settings!$B$26,0),NA(),STDEV(OFFSET(F664,1-Settings!$B$12,0,Settings!$B$12,1))*SQRT(Settings!$B$13)))</f>
        <v/>
      </c>
      <c r="J664" s="20">
        <f>IF(OR(NOT(ISNUMBER($A664)),ROW()-2&lt;Settings!$B$11),NA(),IF(COUNT(OFFSET(G664,1-Settings!$B$11,0,Settings!$B$11,1))&lt;ROUNDUP(Settings!$B$11*Settings!$B$26,0),NA(),STDEV(OFFSET(G664,1-Settings!$B$11,0,Settings!$B$11,1))*SQRT(Settings!$B$13)))</f>
        <v/>
      </c>
      <c r="K664" s="20">
        <f>IF(OR(NOT(ISNUMBER($A664)),ROW()-2&lt;Settings!$B$12),NA(),IF(COUNT(OFFSET(G664,1-Settings!$B$12,0,Settings!$B$12,1))&lt;ROUNDUP(Settings!$B$12*Settings!$B$26,0),NA(),STDEV(OFFSET(G664,1-Settings!$B$12,0,Settings!$B$12,1))*SQRT(Settings!$B$13)))</f>
        <v/>
      </c>
      <c r="L664" s="20">
        <f>IF(AND(ISNUMBER(D664),ISNUMBER(H664)),D664-H664,NA())</f>
        <v/>
      </c>
      <c r="M664" s="20">
        <f>IF(AND(ISNUMBER(E664),ISNUMBER(K664)),E664-K664,NA())</f>
        <v/>
      </c>
      <c r="N664" s="20">
        <f>IF(NOT(ISNUMBER($A664)),NA(),IF(COUNT(OFFSET(G664,1,0,Settings!$B$12,1))&lt;ROUNDUP(Settings!$B$12*Settings!$B$26,0),NA(),STDEV(OFFSET(G664,1,0,Settings!$B$12,1))*SQRT(Settings!$B$13)))</f>
        <v/>
      </c>
      <c r="O664" s="20">
        <f>IF(AND(ISNUMBER(E664),ISNUMBER(N664)),E664-N664,NA())</f>
        <v/>
      </c>
      <c r="P664" s="19">
        <f>IF(NOT(ISNUMBER($A664)),NA(),IF(OR($A664&lt;MIN(KW_TP!$A$2:$A$2501),$A664&gt;MAX(KW_TP!$A$2:$A$2501)),NA(),INDEX(KW_TP!$C$2:$C$2501,MATCH($A664,KW_TP!$A$2:$A$2501,1))))</f>
        <v/>
      </c>
      <c r="Q664" s="18">
        <f>IF(NOT(ISNUMBER($A664)),NA(),IFERROR(1*INDEX(BBG_Data!$J$2:$J$4000,MATCH($A664,BBG_Data!$I$2:$I$4000,0)),NA()))</f>
        <v/>
      </c>
      <c r="R664" s="18">
        <f>IF(NOT(ISNUMBER($A664)),NA(),IFERROR(1*INDEX(BBG_Data!$L$2:$L$4000,MATCH($A664,BBG_Data!$K$2:$K$4000,0)),NA()))</f>
        <v/>
      </c>
      <c r="S664" s="20">
        <f>IF(AND(ISNUMBER(B664),ISNUMBER(Q664),ISNUMBER(R664)),(B664-Q664-R664)*100,NA())</f>
        <v/>
      </c>
      <c r="T664" s="20">
        <f>IF(AND(ISNUMBER(B664),Settings!$B$17&gt;0),IF(ISNUMBER(INDEX($B:$B,Settings!$B$17)),(B664-INDEX($B:$B,Settings!$B$17))*100,NA()),NA())</f>
        <v/>
      </c>
      <c r="U664" s="20">
        <f>IF(AND(ISNUMBER(Q664),Settings!$B$17&gt;0),IF(ISNUMBER(INDEX($Q:$Q,Settings!$B$17)),(Q664-INDEX($Q:$Q,Settings!$B$17))*100,NA()),NA())</f>
        <v/>
      </c>
      <c r="V664" s="20">
        <f>IF(AND(ISNUMBER(R664),Settings!$B$17&gt;0),IF(ISNUMBER(INDEX($R:$R,Settings!$B$17)),(R664-INDEX($R:$R,Settings!$B$17))*100,NA()),NA())</f>
        <v/>
      </c>
      <c r="W664" s="20">
        <f>IF(AND(ISNUMBER(P664),Settings!$B$17&gt;0),IF(ISNUMBER(INDEX($P:$P,Settings!$B$17)),P664-INDEX($P:$P,Settings!$B$17),NA()),NA())</f>
        <v/>
      </c>
      <c r="X664" s="19">
        <f>IF(NOT(ISNUMBER($A664)),NA(),IF(OR($A664&lt;MIN(DKW_10Y!$A$2:$A$2918),$A664&gt;MAX(DKW_10Y!$A$2:$A$2918),Settings!$B$16&lt;MIN(DKW_10Y!$A$2:$A$2918)),NA(),(INDEX(DKW_10Y!$B$2:$B$2918,MATCH($A664,DKW_10Y!$A$2:$A$2918,1))-INDEX(DKW_10Y!$B$2:$B$2918,MATCH(Settings!$B$16,DKW_10Y!$A$2:$A$2918,1)))*100))</f>
        <v/>
      </c>
      <c r="Y664" s="19">
        <f>IF(NOT(ISNUMBER($A664)),NA(),IF(OR($A664&lt;MIN(DKW_10Y!$A$2:$A$2918),$A664&gt;MAX(DKW_10Y!$A$2:$A$2918),Settings!$B$16&lt;MIN(DKW_10Y!$A$2:$A$2918)),NA(),(INDEX(DKW_10Y!$C$2:$C$2918,MATCH($A664,DKW_10Y!$A$2:$A$2918,1))-INDEX(DKW_10Y!$C$2:$C$2918,MATCH(Settings!$B$16,DKW_10Y!$A$2:$A$2918,1)))*100))</f>
        <v/>
      </c>
      <c r="Z664" s="19">
        <f>IF(NOT(ISNUMBER($A664)),NA(),IF(OR($A664&lt;MIN(DKW_10Y!$A$2:$A$2918),$A664&gt;MAX(DKW_10Y!$A$2:$A$2918),Settings!$B$16&lt;MIN(DKW_10Y!$A$2:$A$2918)),NA(),(INDEX(DKW_10Y!$D$2:$D$2918,MATCH($A664,DKW_10Y!$A$2:$A$2918,1))-INDEX(DKW_10Y!$D$2:$D$2918,MATCH(Settings!$B$16,DKW_10Y!$A$2:$A$2918,1)))*100))</f>
        <v/>
      </c>
      <c r="AA664" s="19">
        <f>IF(NOT(ISNUMBER($A664)),NA(),IF(OR($A664&lt;MIN(DKW_10Y!$A$2:$A$2918),$A664&gt;MAX(DKW_10Y!$A$2:$A$2918),Settings!$B$16&lt;MIN(DKW_10Y!$A$2:$A$2918)),NA(),(INDEX(DKW_10Y!$E$2:$E$2918,MATCH($A664,DKW_10Y!$A$2:$A$2918,1))-INDEX(DKW_10Y!$E$2:$E$2918,MATCH(Settings!$B$16,DKW_10Y!$A$2:$A$2918,1)))*100))</f>
        <v/>
      </c>
      <c r="AB664" s="19">
        <f>IF(NOT(ISNUMBER($A664)),NA(),IF(OR($A664&lt;MIN(DKW_10Y!$A$2:$A$2918),$A664&gt;MAX(DKW_10Y!$A$2:$A$2918),Settings!$B$16&lt;MIN(DKW_10Y!$A$2:$A$2918)),NA(),(INDEX(DKW_10Y!$H$2:$H$2918,MATCH($A664,DKW_10Y!$A$2:$A$2918,1))-INDEX(DKW_10Y!$H$2:$H$2918,MATCH(Settings!$B$16,DKW_10Y!$A$2:$A$2918,1)))*100))</f>
        <v/>
      </c>
      <c r="AC664" s="18">
        <f>IF(NOT(ISNUMBER($A664)),NA(),IFERROR(1*INDEX(BBG_Data!$N$2:$N$4000,MATCH($A664,BBG_Data!$M$2:$M$4000,0)),NA()))</f>
        <v/>
      </c>
      <c r="AD664" s="18">
        <f>IF(NOT(ISNUMBER($A664)),NA(),IFERROR(1*INDEX(BBG_Data!$P$2:$P$4000,MATCH($A664,BBG_Data!$O$2:$O$4000,0)),NA()))</f>
        <v/>
      </c>
      <c r="AE664" s="18">
        <f>IF(NOT(ISNUMBER($A664)),NA(),IFERROR(1*INDEX(BBG_Data!$R$2:$R$4000,MATCH($A664,BBG_Data!$Q$2:$Q$4000,0)),NA()))</f>
        <v/>
      </c>
      <c r="AF664" s="20">
        <f>IF(AND(ISNUMBER(B664),ISNUMBER(AC664)),(B664-AC664)*100,NA())</f>
        <v/>
      </c>
      <c r="AG664" s="20">
        <f>IF(AND(ISNUMBER(AE664),ISNUMBER(AD664)),(AE664-AD664)*100,NA())</f>
        <v/>
      </c>
      <c r="AH664" s="19">
        <f>IF(NOT(ISNUMBER($A664)),NA(),IFERROR(INDEX(BBG_Data!$T$2:$T$4000,MATCH($A664,BBG_Data!$S$2:$S$4000,0))*Settings!$B$25,NA()))</f>
        <v/>
      </c>
      <c r="AI664" s="19">
        <f>IF(NOT(ISNUMBER($A664)),NA(),IFERROR(INDEX(BBG_Data!$V$2:$V$4000,MATCH($A664,BBG_Data!$U$2:$U$4000,0))*Settings!$B$25,NA()))</f>
        <v/>
      </c>
      <c r="AJ664" s="19">
        <f>IF(NOT(ISNUMBER($A664)),NA(),IFERROR(1*INDEX(BBG_Data!$X$2:$X$4000,MATCH($A664,BBG_Data!$W$2:$W$4000,0)),NA()))</f>
        <v/>
      </c>
      <c r="AK664" s="19">
        <f>IF(NOT(ISNUMBER($A664)),NA(),IFERROR(1*INDEX(BBG_Data!$Z$2:$Z$4000,MATCH($A664,BBG_Data!$Y$2:$Y$4000,0)),NA()))</f>
        <v/>
      </c>
    </row>
    <row r="665">
      <c r="A665" s="17">
        <f>IF(ISNUMBER(BBG_Data!A665),BBG_Data!A665,"")</f>
        <v/>
      </c>
      <c r="B665" s="18">
        <f>IF(AND(ISNUMBER($A665),ISNUMBER(BBG_Data!B665)),BBG_Data!B665,NA())</f>
        <v/>
      </c>
      <c r="C665" s="18">
        <f>IF(NOT(ISNUMBER($A665)),NA(),IFERROR(1*INDEX(BBG_Data!$D$2:$D$4000,MATCH($A665,BBG_Data!$C$2:$C$4000,0)),NA()))</f>
        <v/>
      </c>
      <c r="D665" s="19">
        <f>IF(NOT(ISNUMBER($A665)),NA(),IFERROR(1*INDEX(BBG_Data!$F$2:$F$4000,MATCH($A665,BBG_Data!$E$2:$E$4000,0)),NA()))</f>
        <v/>
      </c>
      <c r="E665" s="19">
        <f>IF(NOT(ISNUMBER($A665)),NA(),IFERROR(1*INDEX(BBG_Data!$H$2:$H$4000,MATCH($A665,BBG_Data!$G$2:$G$4000,0)),NA()))</f>
        <v/>
      </c>
      <c r="F665" s="20">
        <f>IF(AND(ISNUMBER(B665),ISNUMBER(B664)),IF(B665=B664,"",(B665-B664)*100),"")</f>
        <v/>
      </c>
      <c r="G665" s="20">
        <f>IF(AND(ISNUMBER(C665),ISNUMBER(C664)),IF(C665=C664,"",(C665-C664)*100),"")</f>
        <v/>
      </c>
      <c r="H665" s="20">
        <f>IF(OR(NOT(ISNUMBER($A665)),ROW()-2&lt;Settings!$B$11),NA(),IF(COUNT(OFFSET(F665,1-Settings!$B$11,0,Settings!$B$11,1))&lt;ROUNDUP(Settings!$B$11*Settings!$B$26,0),NA(),STDEV(OFFSET(F665,1-Settings!$B$11,0,Settings!$B$11,1))*SQRT(Settings!$B$13)))</f>
        <v/>
      </c>
      <c r="I665" s="20">
        <f>IF(OR(NOT(ISNUMBER($A665)),ROW()-2&lt;Settings!$B$12),NA(),IF(COUNT(OFFSET(F665,1-Settings!$B$12,0,Settings!$B$12,1))&lt;ROUNDUP(Settings!$B$12*Settings!$B$26,0),NA(),STDEV(OFFSET(F665,1-Settings!$B$12,0,Settings!$B$12,1))*SQRT(Settings!$B$13)))</f>
        <v/>
      </c>
      <c r="J665" s="20">
        <f>IF(OR(NOT(ISNUMBER($A665)),ROW()-2&lt;Settings!$B$11),NA(),IF(COUNT(OFFSET(G665,1-Settings!$B$11,0,Settings!$B$11,1))&lt;ROUNDUP(Settings!$B$11*Settings!$B$26,0),NA(),STDEV(OFFSET(G665,1-Settings!$B$11,0,Settings!$B$11,1))*SQRT(Settings!$B$13)))</f>
        <v/>
      </c>
      <c r="K665" s="20">
        <f>IF(OR(NOT(ISNUMBER($A665)),ROW()-2&lt;Settings!$B$12),NA(),IF(COUNT(OFFSET(G665,1-Settings!$B$12,0,Settings!$B$12,1))&lt;ROUNDUP(Settings!$B$12*Settings!$B$26,0),NA(),STDEV(OFFSET(G665,1-Settings!$B$12,0,Settings!$B$12,1))*SQRT(Settings!$B$13)))</f>
        <v/>
      </c>
      <c r="L665" s="20">
        <f>IF(AND(ISNUMBER(D665),ISNUMBER(H665)),D665-H665,NA())</f>
        <v/>
      </c>
      <c r="M665" s="20">
        <f>IF(AND(ISNUMBER(E665),ISNUMBER(K665)),E665-K665,NA())</f>
        <v/>
      </c>
      <c r="N665" s="20">
        <f>IF(NOT(ISNUMBER($A665)),NA(),IF(COUNT(OFFSET(G665,1,0,Settings!$B$12,1))&lt;ROUNDUP(Settings!$B$12*Settings!$B$26,0),NA(),STDEV(OFFSET(G665,1,0,Settings!$B$12,1))*SQRT(Settings!$B$13)))</f>
        <v/>
      </c>
      <c r="O665" s="20">
        <f>IF(AND(ISNUMBER(E665),ISNUMBER(N665)),E665-N665,NA())</f>
        <v/>
      </c>
      <c r="P665" s="19">
        <f>IF(NOT(ISNUMBER($A665)),NA(),IF(OR($A665&lt;MIN(KW_TP!$A$2:$A$2501),$A665&gt;MAX(KW_TP!$A$2:$A$2501)),NA(),INDEX(KW_TP!$C$2:$C$2501,MATCH($A665,KW_TP!$A$2:$A$2501,1))))</f>
        <v/>
      </c>
      <c r="Q665" s="18">
        <f>IF(NOT(ISNUMBER($A665)),NA(),IFERROR(1*INDEX(BBG_Data!$J$2:$J$4000,MATCH($A665,BBG_Data!$I$2:$I$4000,0)),NA()))</f>
        <v/>
      </c>
      <c r="R665" s="18">
        <f>IF(NOT(ISNUMBER($A665)),NA(),IFERROR(1*INDEX(BBG_Data!$L$2:$L$4000,MATCH($A665,BBG_Data!$K$2:$K$4000,0)),NA()))</f>
        <v/>
      </c>
      <c r="S665" s="20">
        <f>IF(AND(ISNUMBER(B665),ISNUMBER(Q665),ISNUMBER(R665)),(B665-Q665-R665)*100,NA())</f>
        <v/>
      </c>
      <c r="T665" s="20">
        <f>IF(AND(ISNUMBER(B665),Settings!$B$17&gt;0),IF(ISNUMBER(INDEX($B:$B,Settings!$B$17)),(B665-INDEX($B:$B,Settings!$B$17))*100,NA()),NA())</f>
        <v/>
      </c>
      <c r="U665" s="20">
        <f>IF(AND(ISNUMBER(Q665),Settings!$B$17&gt;0),IF(ISNUMBER(INDEX($Q:$Q,Settings!$B$17)),(Q665-INDEX($Q:$Q,Settings!$B$17))*100,NA()),NA())</f>
        <v/>
      </c>
      <c r="V665" s="20">
        <f>IF(AND(ISNUMBER(R665),Settings!$B$17&gt;0),IF(ISNUMBER(INDEX($R:$R,Settings!$B$17)),(R665-INDEX($R:$R,Settings!$B$17))*100,NA()),NA())</f>
        <v/>
      </c>
      <c r="W665" s="20">
        <f>IF(AND(ISNUMBER(P665),Settings!$B$17&gt;0),IF(ISNUMBER(INDEX($P:$P,Settings!$B$17)),P665-INDEX($P:$P,Settings!$B$17),NA()),NA())</f>
        <v/>
      </c>
      <c r="X665" s="19">
        <f>IF(NOT(ISNUMBER($A665)),NA(),IF(OR($A665&lt;MIN(DKW_10Y!$A$2:$A$2918),$A665&gt;MAX(DKW_10Y!$A$2:$A$2918),Settings!$B$16&lt;MIN(DKW_10Y!$A$2:$A$2918)),NA(),(INDEX(DKW_10Y!$B$2:$B$2918,MATCH($A665,DKW_10Y!$A$2:$A$2918,1))-INDEX(DKW_10Y!$B$2:$B$2918,MATCH(Settings!$B$16,DKW_10Y!$A$2:$A$2918,1)))*100))</f>
        <v/>
      </c>
      <c r="Y665" s="19">
        <f>IF(NOT(ISNUMBER($A665)),NA(),IF(OR($A665&lt;MIN(DKW_10Y!$A$2:$A$2918),$A665&gt;MAX(DKW_10Y!$A$2:$A$2918),Settings!$B$16&lt;MIN(DKW_10Y!$A$2:$A$2918)),NA(),(INDEX(DKW_10Y!$C$2:$C$2918,MATCH($A665,DKW_10Y!$A$2:$A$2918,1))-INDEX(DKW_10Y!$C$2:$C$2918,MATCH(Settings!$B$16,DKW_10Y!$A$2:$A$2918,1)))*100))</f>
        <v/>
      </c>
      <c r="Z665" s="19">
        <f>IF(NOT(ISNUMBER($A665)),NA(),IF(OR($A665&lt;MIN(DKW_10Y!$A$2:$A$2918),$A665&gt;MAX(DKW_10Y!$A$2:$A$2918),Settings!$B$16&lt;MIN(DKW_10Y!$A$2:$A$2918)),NA(),(INDEX(DKW_10Y!$D$2:$D$2918,MATCH($A665,DKW_10Y!$A$2:$A$2918,1))-INDEX(DKW_10Y!$D$2:$D$2918,MATCH(Settings!$B$16,DKW_10Y!$A$2:$A$2918,1)))*100))</f>
        <v/>
      </c>
      <c r="AA665" s="19">
        <f>IF(NOT(ISNUMBER($A665)),NA(),IF(OR($A665&lt;MIN(DKW_10Y!$A$2:$A$2918),$A665&gt;MAX(DKW_10Y!$A$2:$A$2918),Settings!$B$16&lt;MIN(DKW_10Y!$A$2:$A$2918)),NA(),(INDEX(DKW_10Y!$E$2:$E$2918,MATCH($A665,DKW_10Y!$A$2:$A$2918,1))-INDEX(DKW_10Y!$E$2:$E$2918,MATCH(Settings!$B$16,DKW_10Y!$A$2:$A$2918,1)))*100))</f>
        <v/>
      </c>
      <c r="AB665" s="19">
        <f>IF(NOT(ISNUMBER($A665)),NA(),IF(OR($A665&lt;MIN(DKW_10Y!$A$2:$A$2918),$A665&gt;MAX(DKW_10Y!$A$2:$A$2918),Settings!$B$16&lt;MIN(DKW_10Y!$A$2:$A$2918)),NA(),(INDEX(DKW_10Y!$H$2:$H$2918,MATCH($A665,DKW_10Y!$A$2:$A$2918,1))-INDEX(DKW_10Y!$H$2:$H$2918,MATCH(Settings!$B$16,DKW_10Y!$A$2:$A$2918,1)))*100))</f>
        <v/>
      </c>
      <c r="AC665" s="18">
        <f>IF(NOT(ISNUMBER($A665)),NA(),IFERROR(1*INDEX(BBG_Data!$N$2:$N$4000,MATCH($A665,BBG_Data!$M$2:$M$4000,0)),NA()))</f>
        <v/>
      </c>
      <c r="AD665" s="18">
        <f>IF(NOT(ISNUMBER($A665)),NA(),IFERROR(1*INDEX(BBG_Data!$P$2:$P$4000,MATCH($A665,BBG_Data!$O$2:$O$4000,0)),NA()))</f>
        <v/>
      </c>
      <c r="AE665" s="18">
        <f>IF(NOT(ISNUMBER($A665)),NA(),IFERROR(1*INDEX(BBG_Data!$R$2:$R$4000,MATCH($A665,BBG_Data!$Q$2:$Q$4000,0)),NA()))</f>
        <v/>
      </c>
      <c r="AF665" s="20">
        <f>IF(AND(ISNUMBER(B665),ISNUMBER(AC665)),(B665-AC665)*100,NA())</f>
        <v/>
      </c>
      <c r="AG665" s="20">
        <f>IF(AND(ISNUMBER(AE665),ISNUMBER(AD665)),(AE665-AD665)*100,NA())</f>
        <v/>
      </c>
      <c r="AH665" s="19">
        <f>IF(NOT(ISNUMBER($A665)),NA(),IFERROR(INDEX(BBG_Data!$T$2:$T$4000,MATCH($A665,BBG_Data!$S$2:$S$4000,0))*Settings!$B$25,NA()))</f>
        <v/>
      </c>
      <c r="AI665" s="19">
        <f>IF(NOT(ISNUMBER($A665)),NA(),IFERROR(INDEX(BBG_Data!$V$2:$V$4000,MATCH($A665,BBG_Data!$U$2:$U$4000,0))*Settings!$B$25,NA()))</f>
        <v/>
      </c>
      <c r="AJ665" s="19">
        <f>IF(NOT(ISNUMBER($A665)),NA(),IFERROR(1*INDEX(BBG_Data!$X$2:$X$4000,MATCH($A665,BBG_Data!$W$2:$W$4000,0)),NA()))</f>
        <v/>
      </c>
      <c r="AK665" s="19">
        <f>IF(NOT(ISNUMBER($A665)),NA(),IFERROR(1*INDEX(BBG_Data!$Z$2:$Z$4000,MATCH($A665,BBG_Data!$Y$2:$Y$4000,0)),NA()))</f>
        <v/>
      </c>
    </row>
    <row r="666">
      <c r="A666" s="17">
        <f>IF(ISNUMBER(BBG_Data!A666),BBG_Data!A666,"")</f>
        <v/>
      </c>
      <c r="B666" s="18">
        <f>IF(AND(ISNUMBER($A666),ISNUMBER(BBG_Data!B666)),BBG_Data!B666,NA())</f>
        <v/>
      </c>
      <c r="C666" s="18">
        <f>IF(NOT(ISNUMBER($A666)),NA(),IFERROR(1*INDEX(BBG_Data!$D$2:$D$4000,MATCH($A666,BBG_Data!$C$2:$C$4000,0)),NA()))</f>
        <v/>
      </c>
      <c r="D666" s="19">
        <f>IF(NOT(ISNUMBER($A666)),NA(),IFERROR(1*INDEX(BBG_Data!$F$2:$F$4000,MATCH($A666,BBG_Data!$E$2:$E$4000,0)),NA()))</f>
        <v/>
      </c>
      <c r="E666" s="19">
        <f>IF(NOT(ISNUMBER($A666)),NA(),IFERROR(1*INDEX(BBG_Data!$H$2:$H$4000,MATCH($A666,BBG_Data!$G$2:$G$4000,0)),NA()))</f>
        <v/>
      </c>
      <c r="F666" s="20">
        <f>IF(AND(ISNUMBER(B666),ISNUMBER(B665)),IF(B666=B665,"",(B666-B665)*100),"")</f>
        <v/>
      </c>
      <c r="G666" s="20">
        <f>IF(AND(ISNUMBER(C666),ISNUMBER(C665)),IF(C666=C665,"",(C666-C665)*100),"")</f>
        <v/>
      </c>
      <c r="H666" s="20">
        <f>IF(OR(NOT(ISNUMBER($A666)),ROW()-2&lt;Settings!$B$11),NA(),IF(COUNT(OFFSET(F666,1-Settings!$B$11,0,Settings!$B$11,1))&lt;ROUNDUP(Settings!$B$11*Settings!$B$26,0),NA(),STDEV(OFFSET(F666,1-Settings!$B$11,0,Settings!$B$11,1))*SQRT(Settings!$B$13)))</f>
        <v/>
      </c>
      <c r="I666" s="20">
        <f>IF(OR(NOT(ISNUMBER($A666)),ROW()-2&lt;Settings!$B$12),NA(),IF(COUNT(OFFSET(F666,1-Settings!$B$12,0,Settings!$B$12,1))&lt;ROUNDUP(Settings!$B$12*Settings!$B$26,0),NA(),STDEV(OFFSET(F666,1-Settings!$B$12,0,Settings!$B$12,1))*SQRT(Settings!$B$13)))</f>
        <v/>
      </c>
      <c r="J666" s="20">
        <f>IF(OR(NOT(ISNUMBER($A666)),ROW()-2&lt;Settings!$B$11),NA(),IF(COUNT(OFFSET(G666,1-Settings!$B$11,0,Settings!$B$11,1))&lt;ROUNDUP(Settings!$B$11*Settings!$B$26,0),NA(),STDEV(OFFSET(G666,1-Settings!$B$11,0,Settings!$B$11,1))*SQRT(Settings!$B$13)))</f>
        <v/>
      </c>
      <c r="K666" s="20">
        <f>IF(OR(NOT(ISNUMBER($A666)),ROW()-2&lt;Settings!$B$12),NA(),IF(COUNT(OFFSET(G666,1-Settings!$B$12,0,Settings!$B$12,1))&lt;ROUNDUP(Settings!$B$12*Settings!$B$26,0),NA(),STDEV(OFFSET(G666,1-Settings!$B$12,0,Settings!$B$12,1))*SQRT(Settings!$B$13)))</f>
        <v/>
      </c>
      <c r="L666" s="20">
        <f>IF(AND(ISNUMBER(D666),ISNUMBER(H666)),D666-H666,NA())</f>
        <v/>
      </c>
      <c r="M666" s="20">
        <f>IF(AND(ISNUMBER(E666),ISNUMBER(K666)),E666-K666,NA())</f>
        <v/>
      </c>
      <c r="N666" s="20">
        <f>IF(NOT(ISNUMBER($A666)),NA(),IF(COUNT(OFFSET(G666,1,0,Settings!$B$12,1))&lt;ROUNDUP(Settings!$B$12*Settings!$B$26,0),NA(),STDEV(OFFSET(G666,1,0,Settings!$B$12,1))*SQRT(Settings!$B$13)))</f>
        <v/>
      </c>
      <c r="O666" s="20">
        <f>IF(AND(ISNUMBER(E666),ISNUMBER(N666)),E666-N666,NA())</f>
        <v/>
      </c>
      <c r="P666" s="19">
        <f>IF(NOT(ISNUMBER($A666)),NA(),IF(OR($A666&lt;MIN(KW_TP!$A$2:$A$2501),$A666&gt;MAX(KW_TP!$A$2:$A$2501)),NA(),INDEX(KW_TP!$C$2:$C$2501,MATCH($A666,KW_TP!$A$2:$A$2501,1))))</f>
        <v/>
      </c>
      <c r="Q666" s="18">
        <f>IF(NOT(ISNUMBER($A666)),NA(),IFERROR(1*INDEX(BBG_Data!$J$2:$J$4000,MATCH($A666,BBG_Data!$I$2:$I$4000,0)),NA()))</f>
        <v/>
      </c>
      <c r="R666" s="18">
        <f>IF(NOT(ISNUMBER($A666)),NA(),IFERROR(1*INDEX(BBG_Data!$L$2:$L$4000,MATCH($A666,BBG_Data!$K$2:$K$4000,0)),NA()))</f>
        <v/>
      </c>
      <c r="S666" s="20">
        <f>IF(AND(ISNUMBER(B666),ISNUMBER(Q666),ISNUMBER(R666)),(B666-Q666-R666)*100,NA())</f>
        <v/>
      </c>
      <c r="T666" s="20">
        <f>IF(AND(ISNUMBER(B666),Settings!$B$17&gt;0),IF(ISNUMBER(INDEX($B:$B,Settings!$B$17)),(B666-INDEX($B:$B,Settings!$B$17))*100,NA()),NA())</f>
        <v/>
      </c>
      <c r="U666" s="20">
        <f>IF(AND(ISNUMBER(Q666),Settings!$B$17&gt;0),IF(ISNUMBER(INDEX($Q:$Q,Settings!$B$17)),(Q666-INDEX($Q:$Q,Settings!$B$17))*100,NA()),NA())</f>
        <v/>
      </c>
      <c r="V666" s="20">
        <f>IF(AND(ISNUMBER(R666),Settings!$B$17&gt;0),IF(ISNUMBER(INDEX($R:$R,Settings!$B$17)),(R666-INDEX($R:$R,Settings!$B$17))*100,NA()),NA())</f>
        <v/>
      </c>
      <c r="W666" s="20">
        <f>IF(AND(ISNUMBER(P666),Settings!$B$17&gt;0),IF(ISNUMBER(INDEX($P:$P,Settings!$B$17)),P666-INDEX($P:$P,Settings!$B$17),NA()),NA())</f>
        <v/>
      </c>
      <c r="X666" s="19">
        <f>IF(NOT(ISNUMBER($A666)),NA(),IF(OR($A666&lt;MIN(DKW_10Y!$A$2:$A$2918),$A666&gt;MAX(DKW_10Y!$A$2:$A$2918),Settings!$B$16&lt;MIN(DKW_10Y!$A$2:$A$2918)),NA(),(INDEX(DKW_10Y!$B$2:$B$2918,MATCH($A666,DKW_10Y!$A$2:$A$2918,1))-INDEX(DKW_10Y!$B$2:$B$2918,MATCH(Settings!$B$16,DKW_10Y!$A$2:$A$2918,1)))*100))</f>
        <v/>
      </c>
      <c r="Y666" s="19">
        <f>IF(NOT(ISNUMBER($A666)),NA(),IF(OR($A666&lt;MIN(DKW_10Y!$A$2:$A$2918),$A666&gt;MAX(DKW_10Y!$A$2:$A$2918),Settings!$B$16&lt;MIN(DKW_10Y!$A$2:$A$2918)),NA(),(INDEX(DKW_10Y!$C$2:$C$2918,MATCH($A666,DKW_10Y!$A$2:$A$2918,1))-INDEX(DKW_10Y!$C$2:$C$2918,MATCH(Settings!$B$16,DKW_10Y!$A$2:$A$2918,1)))*100))</f>
        <v/>
      </c>
      <c r="Z666" s="19">
        <f>IF(NOT(ISNUMBER($A666)),NA(),IF(OR($A666&lt;MIN(DKW_10Y!$A$2:$A$2918),$A666&gt;MAX(DKW_10Y!$A$2:$A$2918),Settings!$B$16&lt;MIN(DKW_10Y!$A$2:$A$2918)),NA(),(INDEX(DKW_10Y!$D$2:$D$2918,MATCH($A666,DKW_10Y!$A$2:$A$2918,1))-INDEX(DKW_10Y!$D$2:$D$2918,MATCH(Settings!$B$16,DKW_10Y!$A$2:$A$2918,1)))*100))</f>
        <v/>
      </c>
      <c r="AA666" s="19">
        <f>IF(NOT(ISNUMBER($A666)),NA(),IF(OR($A666&lt;MIN(DKW_10Y!$A$2:$A$2918),$A666&gt;MAX(DKW_10Y!$A$2:$A$2918),Settings!$B$16&lt;MIN(DKW_10Y!$A$2:$A$2918)),NA(),(INDEX(DKW_10Y!$E$2:$E$2918,MATCH($A666,DKW_10Y!$A$2:$A$2918,1))-INDEX(DKW_10Y!$E$2:$E$2918,MATCH(Settings!$B$16,DKW_10Y!$A$2:$A$2918,1)))*100))</f>
        <v/>
      </c>
      <c r="AB666" s="19">
        <f>IF(NOT(ISNUMBER($A666)),NA(),IF(OR($A666&lt;MIN(DKW_10Y!$A$2:$A$2918),$A666&gt;MAX(DKW_10Y!$A$2:$A$2918),Settings!$B$16&lt;MIN(DKW_10Y!$A$2:$A$2918)),NA(),(INDEX(DKW_10Y!$H$2:$H$2918,MATCH($A666,DKW_10Y!$A$2:$A$2918,1))-INDEX(DKW_10Y!$H$2:$H$2918,MATCH(Settings!$B$16,DKW_10Y!$A$2:$A$2918,1)))*100))</f>
        <v/>
      </c>
      <c r="AC666" s="18">
        <f>IF(NOT(ISNUMBER($A666)),NA(),IFERROR(1*INDEX(BBG_Data!$N$2:$N$4000,MATCH($A666,BBG_Data!$M$2:$M$4000,0)),NA()))</f>
        <v/>
      </c>
      <c r="AD666" s="18">
        <f>IF(NOT(ISNUMBER($A666)),NA(),IFERROR(1*INDEX(BBG_Data!$P$2:$P$4000,MATCH($A666,BBG_Data!$O$2:$O$4000,0)),NA()))</f>
        <v/>
      </c>
      <c r="AE666" s="18">
        <f>IF(NOT(ISNUMBER($A666)),NA(),IFERROR(1*INDEX(BBG_Data!$R$2:$R$4000,MATCH($A666,BBG_Data!$Q$2:$Q$4000,0)),NA()))</f>
        <v/>
      </c>
      <c r="AF666" s="20">
        <f>IF(AND(ISNUMBER(B666),ISNUMBER(AC666)),(B666-AC666)*100,NA())</f>
        <v/>
      </c>
      <c r="AG666" s="20">
        <f>IF(AND(ISNUMBER(AE666),ISNUMBER(AD666)),(AE666-AD666)*100,NA())</f>
        <v/>
      </c>
      <c r="AH666" s="19">
        <f>IF(NOT(ISNUMBER($A666)),NA(),IFERROR(INDEX(BBG_Data!$T$2:$T$4000,MATCH($A666,BBG_Data!$S$2:$S$4000,0))*Settings!$B$25,NA()))</f>
        <v/>
      </c>
      <c r="AI666" s="19">
        <f>IF(NOT(ISNUMBER($A666)),NA(),IFERROR(INDEX(BBG_Data!$V$2:$V$4000,MATCH($A666,BBG_Data!$U$2:$U$4000,0))*Settings!$B$25,NA()))</f>
        <v/>
      </c>
      <c r="AJ666" s="19">
        <f>IF(NOT(ISNUMBER($A666)),NA(),IFERROR(1*INDEX(BBG_Data!$X$2:$X$4000,MATCH($A666,BBG_Data!$W$2:$W$4000,0)),NA()))</f>
        <v/>
      </c>
      <c r="AK666" s="19">
        <f>IF(NOT(ISNUMBER($A666)),NA(),IFERROR(1*INDEX(BBG_Data!$Z$2:$Z$4000,MATCH($A666,BBG_Data!$Y$2:$Y$4000,0)),NA()))</f>
        <v/>
      </c>
    </row>
    <row r="667">
      <c r="A667" s="17">
        <f>IF(ISNUMBER(BBG_Data!A667),BBG_Data!A667,"")</f>
        <v/>
      </c>
      <c r="B667" s="18">
        <f>IF(AND(ISNUMBER($A667),ISNUMBER(BBG_Data!B667)),BBG_Data!B667,NA())</f>
        <v/>
      </c>
      <c r="C667" s="18">
        <f>IF(NOT(ISNUMBER($A667)),NA(),IFERROR(1*INDEX(BBG_Data!$D$2:$D$4000,MATCH($A667,BBG_Data!$C$2:$C$4000,0)),NA()))</f>
        <v/>
      </c>
      <c r="D667" s="19">
        <f>IF(NOT(ISNUMBER($A667)),NA(),IFERROR(1*INDEX(BBG_Data!$F$2:$F$4000,MATCH($A667,BBG_Data!$E$2:$E$4000,0)),NA()))</f>
        <v/>
      </c>
      <c r="E667" s="19">
        <f>IF(NOT(ISNUMBER($A667)),NA(),IFERROR(1*INDEX(BBG_Data!$H$2:$H$4000,MATCH($A667,BBG_Data!$G$2:$G$4000,0)),NA()))</f>
        <v/>
      </c>
      <c r="F667" s="20">
        <f>IF(AND(ISNUMBER(B667),ISNUMBER(B666)),IF(B667=B666,"",(B667-B666)*100),"")</f>
        <v/>
      </c>
      <c r="G667" s="20">
        <f>IF(AND(ISNUMBER(C667),ISNUMBER(C666)),IF(C667=C666,"",(C667-C666)*100),"")</f>
        <v/>
      </c>
      <c r="H667" s="20">
        <f>IF(OR(NOT(ISNUMBER($A667)),ROW()-2&lt;Settings!$B$11),NA(),IF(COUNT(OFFSET(F667,1-Settings!$B$11,0,Settings!$B$11,1))&lt;ROUNDUP(Settings!$B$11*Settings!$B$26,0),NA(),STDEV(OFFSET(F667,1-Settings!$B$11,0,Settings!$B$11,1))*SQRT(Settings!$B$13)))</f>
        <v/>
      </c>
      <c r="I667" s="20">
        <f>IF(OR(NOT(ISNUMBER($A667)),ROW()-2&lt;Settings!$B$12),NA(),IF(COUNT(OFFSET(F667,1-Settings!$B$12,0,Settings!$B$12,1))&lt;ROUNDUP(Settings!$B$12*Settings!$B$26,0),NA(),STDEV(OFFSET(F667,1-Settings!$B$12,0,Settings!$B$12,1))*SQRT(Settings!$B$13)))</f>
        <v/>
      </c>
      <c r="J667" s="20">
        <f>IF(OR(NOT(ISNUMBER($A667)),ROW()-2&lt;Settings!$B$11),NA(),IF(COUNT(OFFSET(G667,1-Settings!$B$11,0,Settings!$B$11,1))&lt;ROUNDUP(Settings!$B$11*Settings!$B$26,0),NA(),STDEV(OFFSET(G667,1-Settings!$B$11,0,Settings!$B$11,1))*SQRT(Settings!$B$13)))</f>
        <v/>
      </c>
      <c r="K667" s="20">
        <f>IF(OR(NOT(ISNUMBER($A667)),ROW()-2&lt;Settings!$B$12),NA(),IF(COUNT(OFFSET(G667,1-Settings!$B$12,0,Settings!$B$12,1))&lt;ROUNDUP(Settings!$B$12*Settings!$B$26,0),NA(),STDEV(OFFSET(G667,1-Settings!$B$12,0,Settings!$B$12,1))*SQRT(Settings!$B$13)))</f>
        <v/>
      </c>
      <c r="L667" s="20">
        <f>IF(AND(ISNUMBER(D667),ISNUMBER(H667)),D667-H667,NA())</f>
        <v/>
      </c>
      <c r="M667" s="20">
        <f>IF(AND(ISNUMBER(E667),ISNUMBER(K667)),E667-K667,NA())</f>
        <v/>
      </c>
      <c r="N667" s="20">
        <f>IF(NOT(ISNUMBER($A667)),NA(),IF(COUNT(OFFSET(G667,1,0,Settings!$B$12,1))&lt;ROUNDUP(Settings!$B$12*Settings!$B$26,0),NA(),STDEV(OFFSET(G667,1,0,Settings!$B$12,1))*SQRT(Settings!$B$13)))</f>
        <v/>
      </c>
      <c r="O667" s="20">
        <f>IF(AND(ISNUMBER(E667),ISNUMBER(N667)),E667-N667,NA())</f>
        <v/>
      </c>
      <c r="P667" s="19">
        <f>IF(NOT(ISNUMBER($A667)),NA(),IF(OR($A667&lt;MIN(KW_TP!$A$2:$A$2501),$A667&gt;MAX(KW_TP!$A$2:$A$2501)),NA(),INDEX(KW_TP!$C$2:$C$2501,MATCH($A667,KW_TP!$A$2:$A$2501,1))))</f>
        <v/>
      </c>
      <c r="Q667" s="18">
        <f>IF(NOT(ISNUMBER($A667)),NA(),IFERROR(1*INDEX(BBG_Data!$J$2:$J$4000,MATCH($A667,BBG_Data!$I$2:$I$4000,0)),NA()))</f>
        <v/>
      </c>
      <c r="R667" s="18">
        <f>IF(NOT(ISNUMBER($A667)),NA(),IFERROR(1*INDEX(BBG_Data!$L$2:$L$4000,MATCH($A667,BBG_Data!$K$2:$K$4000,0)),NA()))</f>
        <v/>
      </c>
      <c r="S667" s="20">
        <f>IF(AND(ISNUMBER(B667),ISNUMBER(Q667),ISNUMBER(R667)),(B667-Q667-R667)*100,NA())</f>
        <v/>
      </c>
      <c r="T667" s="20">
        <f>IF(AND(ISNUMBER(B667),Settings!$B$17&gt;0),IF(ISNUMBER(INDEX($B:$B,Settings!$B$17)),(B667-INDEX($B:$B,Settings!$B$17))*100,NA()),NA())</f>
        <v/>
      </c>
      <c r="U667" s="20">
        <f>IF(AND(ISNUMBER(Q667),Settings!$B$17&gt;0),IF(ISNUMBER(INDEX($Q:$Q,Settings!$B$17)),(Q667-INDEX($Q:$Q,Settings!$B$17))*100,NA()),NA())</f>
        <v/>
      </c>
      <c r="V667" s="20">
        <f>IF(AND(ISNUMBER(R667),Settings!$B$17&gt;0),IF(ISNUMBER(INDEX($R:$R,Settings!$B$17)),(R667-INDEX($R:$R,Settings!$B$17))*100,NA()),NA())</f>
        <v/>
      </c>
      <c r="W667" s="20">
        <f>IF(AND(ISNUMBER(P667),Settings!$B$17&gt;0),IF(ISNUMBER(INDEX($P:$P,Settings!$B$17)),P667-INDEX($P:$P,Settings!$B$17),NA()),NA())</f>
        <v/>
      </c>
      <c r="X667" s="19">
        <f>IF(NOT(ISNUMBER($A667)),NA(),IF(OR($A667&lt;MIN(DKW_10Y!$A$2:$A$2918),$A667&gt;MAX(DKW_10Y!$A$2:$A$2918),Settings!$B$16&lt;MIN(DKW_10Y!$A$2:$A$2918)),NA(),(INDEX(DKW_10Y!$B$2:$B$2918,MATCH($A667,DKW_10Y!$A$2:$A$2918,1))-INDEX(DKW_10Y!$B$2:$B$2918,MATCH(Settings!$B$16,DKW_10Y!$A$2:$A$2918,1)))*100))</f>
        <v/>
      </c>
      <c r="Y667" s="19">
        <f>IF(NOT(ISNUMBER($A667)),NA(),IF(OR($A667&lt;MIN(DKW_10Y!$A$2:$A$2918),$A667&gt;MAX(DKW_10Y!$A$2:$A$2918),Settings!$B$16&lt;MIN(DKW_10Y!$A$2:$A$2918)),NA(),(INDEX(DKW_10Y!$C$2:$C$2918,MATCH($A667,DKW_10Y!$A$2:$A$2918,1))-INDEX(DKW_10Y!$C$2:$C$2918,MATCH(Settings!$B$16,DKW_10Y!$A$2:$A$2918,1)))*100))</f>
        <v/>
      </c>
      <c r="Z667" s="19">
        <f>IF(NOT(ISNUMBER($A667)),NA(),IF(OR($A667&lt;MIN(DKW_10Y!$A$2:$A$2918),$A667&gt;MAX(DKW_10Y!$A$2:$A$2918),Settings!$B$16&lt;MIN(DKW_10Y!$A$2:$A$2918)),NA(),(INDEX(DKW_10Y!$D$2:$D$2918,MATCH($A667,DKW_10Y!$A$2:$A$2918,1))-INDEX(DKW_10Y!$D$2:$D$2918,MATCH(Settings!$B$16,DKW_10Y!$A$2:$A$2918,1)))*100))</f>
        <v/>
      </c>
      <c r="AA667" s="19">
        <f>IF(NOT(ISNUMBER($A667)),NA(),IF(OR($A667&lt;MIN(DKW_10Y!$A$2:$A$2918),$A667&gt;MAX(DKW_10Y!$A$2:$A$2918),Settings!$B$16&lt;MIN(DKW_10Y!$A$2:$A$2918)),NA(),(INDEX(DKW_10Y!$E$2:$E$2918,MATCH($A667,DKW_10Y!$A$2:$A$2918,1))-INDEX(DKW_10Y!$E$2:$E$2918,MATCH(Settings!$B$16,DKW_10Y!$A$2:$A$2918,1)))*100))</f>
        <v/>
      </c>
      <c r="AB667" s="19">
        <f>IF(NOT(ISNUMBER($A667)),NA(),IF(OR($A667&lt;MIN(DKW_10Y!$A$2:$A$2918),$A667&gt;MAX(DKW_10Y!$A$2:$A$2918),Settings!$B$16&lt;MIN(DKW_10Y!$A$2:$A$2918)),NA(),(INDEX(DKW_10Y!$H$2:$H$2918,MATCH($A667,DKW_10Y!$A$2:$A$2918,1))-INDEX(DKW_10Y!$H$2:$H$2918,MATCH(Settings!$B$16,DKW_10Y!$A$2:$A$2918,1)))*100))</f>
        <v/>
      </c>
      <c r="AC667" s="18">
        <f>IF(NOT(ISNUMBER($A667)),NA(),IFERROR(1*INDEX(BBG_Data!$N$2:$N$4000,MATCH($A667,BBG_Data!$M$2:$M$4000,0)),NA()))</f>
        <v/>
      </c>
      <c r="AD667" s="18">
        <f>IF(NOT(ISNUMBER($A667)),NA(),IFERROR(1*INDEX(BBG_Data!$P$2:$P$4000,MATCH($A667,BBG_Data!$O$2:$O$4000,0)),NA()))</f>
        <v/>
      </c>
      <c r="AE667" s="18">
        <f>IF(NOT(ISNUMBER($A667)),NA(),IFERROR(1*INDEX(BBG_Data!$R$2:$R$4000,MATCH($A667,BBG_Data!$Q$2:$Q$4000,0)),NA()))</f>
        <v/>
      </c>
      <c r="AF667" s="20">
        <f>IF(AND(ISNUMBER(B667),ISNUMBER(AC667)),(B667-AC667)*100,NA())</f>
        <v/>
      </c>
      <c r="AG667" s="20">
        <f>IF(AND(ISNUMBER(AE667),ISNUMBER(AD667)),(AE667-AD667)*100,NA())</f>
        <v/>
      </c>
      <c r="AH667" s="19">
        <f>IF(NOT(ISNUMBER($A667)),NA(),IFERROR(INDEX(BBG_Data!$T$2:$T$4000,MATCH($A667,BBG_Data!$S$2:$S$4000,0))*Settings!$B$25,NA()))</f>
        <v/>
      </c>
      <c r="AI667" s="19">
        <f>IF(NOT(ISNUMBER($A667)),NA(),IFERROR(INDEX(BBG_Data!$V$2:$V$4000,MATCH($A667,BBG_Data!$U$2:$U$4000,0))*Settings!$B$25,NA()))</f>
        <v/>
      </c>
      <c r="AJ667" s="19">
        <f>IF(NOT(ISNUMBER($A667)),NA(),IFERROR(1*INDEX(BBG_Data!$X$2:$X$4000,MATCH($A667,BBG_Data!$W$2:$W$4000,0)),NA()))</f>
        <v/>
      </c>
      <c r="AK667" s="19">
        <f>IF(NOT(ISNUMBER($A667)),NA(),IFERROR(1*INDEX(BBG_Data!$Z$2:$Z$4000,MATCH($A667,BBG_Data!$Y$2:$Y$4000,0)),NA()))</f>
        <v/>
      </c>
    </row>
    <row r="668">
      <c r="A668" s="17">
        <f>IF(ISNUMBER(BBG_Data!A668),BBG_Data!A668,"")</f>
        <v/>
      </c>
      <c r="B668" s="18">
        <f>IF(AND(ISNUMBER($A668),ISNUMBER(BBG_Data!B668)),BBG_Data!B668,NA())</f>
        <v/>
      </c>
      <c r="C668" s="18">
        <f>IF(NOT(ISNUMBER($A668)),NA(),IFERROR(1*INDEX(BBG_Data!$D$2:$D$4000,MATCH($A668,BBG_Data!$C$2:$C$4000,0)),NA()))</f>
        <v/>
      </c>
      <c r="D668" s="19">
        <f>IF(NOT(ISNUMBER($A668)),NA(),IFERROR(1*INDEX(BBG_Data!$F$2:$F$4000,MATCH($A668,BBG_Data!$E$2:$E$4000,0)),NA()))</f>
        <v/>
      </c>
      <c r="E668" s="19">
        <f>IF(NOT(ISNUMBER($A668)),NA(),IFERROR(1*INDEX(BBG_Data!$H$2:$H$4000,MATCH($A668,BBG_Data!$G$2:$G$4000,0)),NA()))</f>
        <v/>
      </c>
      <c r="F668" s="20">
        <f>IF(AND(ISNUMBER(B668),ISNUMBER(B667)),IF(B668=B667,"",(B668-B667)*100),"")</f>
        <v/>
      </c>
      <c r="G668" s="20">
        <f>IF(AND(ISNUMBER(C668),ISNUMBER(C667)),IF(C668=C667,"",(C668-C667)*100),"")</f>
        <v/>
      </c>
      <c r="H668" s="20">
        <f>IF(OR(NOT(ISNUMBER($A668)),ROW()-2&lt;Settings!$B$11),NA(),IF(COUNT(OFFSET(F668,1-Settings!$B$11,0,Settings!$B$11,1))&lt;ROUNDUP(Settings!$B$11*Settings!$B$26,0),NA(),STDEV(OFFSET(F668,1-Settings!$B$11,0,Settings!$B$11,1))*SQRT(Settings!$B$13)))</f>
        <v/>
      </c>
      <c r="I668" s="20">
        <f>IF(OR(NOT(ISNUMBER($A668)),ROW()-2&lt;Settings!$B$12),NA(),IF(COUNT(OFFSET(F668,1-Settings!$B$12,0,Settings!$B$12,1))&lt;ROUNDUP(Settings!$B$12*Settings!$B$26,0),NA(),STDEV(OFFSET(F668,1-Settings!$B$12,0,Settings!$B$12,1))*SQRT(Settings!$B$13)))</f>
        <v/>
      </c>
      <c r="J668" s="20">
        <f>IF(OR(NOT(ISNUMBER($A668)),ROW()-2&lt;Settings!$B$11),NA(),IF(COUNT(OFFSET(G668,1-Settings!$B$11,0,Settings!$B$11,1))&lt;ROUNDUP(Settings!$B$11*Settings!$B$26,0),NA(),STDEV(OFFSET(G668,1-Settings!$B$11,0,Settings!$B$11,1))*SQRT(Settings!$B$13)))</f>
        <v/>
      </c>
      <c r="K668" s="20">
        <f>IF(OR(NOT(ISNUMBER($A668)),ROW()-2&lt;Settings!$B$12),NA(),IF(COUNT(OFFSET(G668,1-Settings!$B$12,0,Settings!$B$12,1))&lt;ROUNDUP(Settings!$B$12*Settings!$B$26,0),NA(),STDEV(OFFSET(G668,1-Settings!$B$12,0,Settings!$B$12,1))*SQRT(Settings!$B$13)))</f>
        <v/>
      </c>
      <c r="L668" s="20">
        <f>IF(AND(ISNUMBER(D668),ISNUMBER(H668)),D668-H668,NA())</f>
        <v/>
      </c>
      <c r="M668" s="20">
        <f>IF(AND(ISNUMBER(E668),ISNUMBER(K668)),E668-K668,NA())</f>
        <v/>
      </c>
      <c r="N668" s="20">
        <f>IF(NOT(ISNUMBER($A668)),NA(),IF(COUNT(OFFSET(G668,1,0,Settings!$B$12,1))&lt;ROUNDUP(Settings!$B$12*Settings!$B$26,0),NA(),STDEV(OFFSET(G668,1,0,Settings!$B$12,1))*SQRT(Settings!$B$13)))</f>
        <v/>
      </c>
      <c r="O668" s="20">
        <f>IF(AND(ISNUMBER(E668),ISNUMBER(N668)),E668-N668,NA())</f>
        <v/>
      </c>
      <c r="P668" s="19">
        <f>IF(NOT(ISNUMBER($A668)),NA(),IF(OR($A668&lt;MIN(KW_TP!$A$2:$A$2501),$A668&gt;MAX(KW_TP!$A$2:$A$2501)),NA(),INDEX(KW_TP!$C$2:$C$2501,MATCH($A668,KW_TP!$A$2:$A$2501,1))))</f>
        <v/>
      </c>
      <c r="Q668" s="18">
        <f>IF(NOT(ISNUMBER($A668)),NA(),IFERROR(1*INDEX(BBG_Data!$J$2:$J$4000,MATCH($A668,BBG_Data!$I$2:$I$4000,0)),NA()))</f>
        <v/>
      </c>
      <c r="R668" s="18">
        <f>IF(NOT(ISNUMBER($A668)),NA(),IFERROR(1*INDEX(BBG_Data!$L$2:$L$4000,MATCH($A668,BBG_Data!$K$2:$K$4000,0)),NA()))</f>
        <v/>
      </c>
      <c r="S668" s="20">
        <f>IF(AND(ISNUMBER(B668),ISNUMBER(Q668),ISNUMBER(R668)),(B668-Q668-R668)*100,NA())</f>
        <v/>
      </c>
      <c r="T668" s="20">
        <f>IF(AND(ISNUMBER(B668),Settings!$B$17&gt;0),IF(ISNUMBER(INDEX($B:$B,Settings!$B$17)),(B668-INDEX($B:$B,Settings!$B$17))*100,NA()),NA())</f>
        <v/>
      </c>
      <c r="U668" s="20">
        <f>IF(AND(ISNUMBER(Q668),Settings!$B$17&gt;0),IF(ISNUMBER(INDEX($Q:$Q,Settings!$B$17)),(Q668-INDEX($Q:$Q,Settings!$B$17))*100,NA()),NA())</f>
        <v/>
      </c>
      <c r="V668" s="20">
        <f>IF(AND(ISNUMBER(R668),Settings!$B$17&gt;0),IF(ISNUMBER(INDEX($R:$R,Settings!$B$17)),(R668-INDEX($R:$R,Settings!$B$17))*100,NA()),NA())</f>
        <v/>
      </c>
      <c r="W668" s="20">
        <f>IF(AND(ISNUMBER(P668),Settings!$B$17&gt;0),IF(ISNUMBER(INDEX($P:$P,Settings!$B$17)),P668-INDEX($P:$P,Settings!$B$17),NA()),NA())</f>
        <v/>
      </c>
      <c r="X668" s="19">
        <f>IF(NOT(ISNUMBER($A668)),NA(),IF(OR($A668&lt;MIN(DKW_10Y!$A$2:$A$2918),$A668&gt;MAX(DKW_10Y!$A$2:$A$2918),Settings!$B$16&lt;MIN(DKW_10Y!$A$2:$A$2918)),NA(),(INDEX(DKW_10Y!$B$2:$B$2918,MATCH($A668,DKW_10Y!$A$2:$A$2918,1))-INDEX(DKW_10Y!$B$2:$B$2918,MATCH(Settings!$B$16,DKW_10Y!$A$2:$A$2918,1)))*100))</f>
        <v/>
      </c>
      <c r="Y668" s="19">
        <f>IF(NOT(ISNUMBER($A668)),NA(),IF(OR($A668&lt;MIN(DKW_10Y!$A$2:$A$2918),$A668&gt;MAX(DKW_10Y!$A$2:$A$2918),Settings!$B$16&lt;MIN(DKW_10Y!$A$2:$A$2918)),NA(),(INDEX(DKW_10Y!$C$2:$C$2918,MATCH($A668,DKW_10Y!$A$2:$A$2918,1))-INDEX(DKW_10Y!$C$2:$C$2918,MATCH(Settings!$B$16,DKW_10Y!$A$2:$A$2918,1)))*100))</f>
        <v/>
      </c>
      <c r="Z668" s="19">
        <f>IF(NOT(ISNUMBER($A668)),NA(),IF(OR($A668&lt;MIN(DKW_10Y!$A$2:$A$2918),$A668&gt;MAX(DKW_10Y!$A$2:$A$2918),Settings!$B$16&lt;MIN(DKW_10Y!$A$2:$A$2918)),NA(),(INDEX(DKW_10Y!$D$2:$D$2918,MATCH($A668,DKW_10Y!$A$2:$A$2918,1))-INDEX(DKW_10Y!$D$2:$D$2918,MATCH(Settings!$B$16,DKW_10Y!$A$2:$A$2918,1)))*100))</f>
        <v/>
      </c>
      <c r="AA668" s="19">
        <f>IF(NOT(ISNUMBER($A668)),NA(),IF(OR($A668&lt;MIN(DKW_10Y!$A$2:$A$2918),$A668&gt;MAX(DKW_10Y!$A$2:$A$2918),Settings!$B$16&lt;MIN(DKW_10Y!$A$2:$A$2918)),NA(),(INDEX(DKW_10Y!$E$2:$E$2918,MATCH($A668,DKW_10Y!$A$2:$A$2918,1))-INDEX(DKW_10Y!$E$2:$E$2918,MATCH(Settings!$B$16,DKW_10Y!$A$2:$A$2918,1)))*100))</f>
        <v/>
      </c>
      <c r="AB668" s="19">
        <f>IF(NOT(ISNUMBER($A668)),NA(),IF(OR($A668&lt;MIN(DKW_10Y!$A$2:$A$2918),$A668&gt;MAX(DKW_10Y!$A$2:$A$2918),Settings!$B$16&lt;MIN(DKW_10Y!$A$2:$A$2918)),NA(),(INDEX(DKW_10Y!$H$2:$H$2918,MATCH($A668,DKW_10Y!$A$2:$A$2918,1))-INDEX(DKW_10Y!$H$2:$H$2918,MATCH(Settings!$B$16,DKW_10Y!$A$2:$A$2918,1)))*100))</f>
        <v/>
      </c>
      <c r="AC668" s="18">
        <f>IF(NOT(ISNUMBER($A668)),NA(),IFERROR(1*INDEX(BBG_Data!$N$2:$N$4000,MATCH($A668,BBG_Data!$M$2:$M$4000,0)),NA()))</f>
        <v/>
      </c>
      <c r="AD668" s="18">
        <f>IF(NOT(ISNUMBER($A668)),NA(),IFERROR(1*INDEX(BBG_Data!$P$2:$P$4000,MATCH($A668,BBG_Data!$O$2:$O$4000,0)),NA()))</f>
        <v/>
      </c>
      <c r="AE668" s="18">
        <f>IF(NOT(ISNUMBER($A668)),NA(),IFERROR(1*INDEX(BBG_Data!$R$2:$R$4000,MATCH($A668,BBG_Data!$Q$2:$Q$4000,0)),NA()))</f>
        <v/>
      </c>
      <c r="AF668" s="20">
        <f>IF(AND(ISNUMBER(B668),ISNUMBER(AC668)),(B668-AC668)*100,NA())</f>
        <v/>
      </c>
      <c r="AG668" s="20">
        <f>IF(AND(ISNUMBER(AE668),ISNUMBER(AD668)),(AE668-AD668)*100,NA())</f>
        <v/>
      </c>
      <c r="AH668" s="19">
        <f>IF(NOT(ISNUMBER($A668)),NA(),IFERROR(INDEX(BBG_Data!$T$2:$T$4000,MATCH($A668,BBG_Data!$S$2:$S$4000,0))*Settings!$B$25,NA()))</f>
        <v/>
      </c>
      <c r="AI668" s="19">
        <f>IF(NOT(ISNUMBER($A668)),NA(),IFERROR(INDEX(BBG_Data!$V$2:$V$4000,MATCH($A668,BBG_Data!$U$2:$U$4000,0))*Settings!$B$25,NA()))</f>
        <v/>
      </c>
      <c r="AJ668" s="19">
        <f>IF(NOT(ISNUMBER($A668)),NA(),IFERROR(1*INDEX(BBG_Data!$X$2:$X$4000,MATCH($A668,BBG_Data!$W$2:$W$4000,0)),NA()))</f>
        <v/>
      </c>
      <c r="AK668" s="19">
        <f>IF(NOT(ISNUMBER($A668)),NA(),IFERROR(1*INDEX(BBG_Data!$Z$2:$Z$4000,MATCH($A668,BBG_Data!$Y$2:$Y$4000,0)),NA()))</f>
        <v/>
      </c>
    </row>
    <row r="669">
      <c r="A669" s="17">
        <f>IF(ISNUMBER(BBG_Data!A669),BBG_Data!A669,"")</f>
        <v/>
      </c>
      <c r="B669" s="18">
        <f>IF(AND(ISNUMBER($A669),ISNUMBER(BBG_Data!B669)),BBG_Data!B669,NA())</f>
        <v/>
      </c>
      <c r="C669" s="18">
        <f>IF(NOT(ISNUMBER($A669)),NA(),IFERROR(1*INDEX(BBG_Data!$D$2:$D$4000,MATCH($A669,BBG_Data!$C$2:$C$4000,0)),NA()))</f>
        <v/>
      </c>
      <c r="D669" s="19">
        <f>IF(NOT(ISNUMBER($A669)),NA(),IFERROR(1*INDEX(BBG_Data!$F$2:$F$4000,MATCH($A669,BBG_Data!$E$2:$E$4000,0)),NA()))</f>
        <v/>
      </c>
      <c r="E669" s="19">
        <f>IF(NOT(ISNUMBER($A669)),NA(),IFERROR(1*INDEX(BBG_Data!$H$2:$H$4000,MATCH($A669,BBG_Data!$G$2:$G$4000,0)),NA()))</f>
        <v/>
      </c>
      <c r="F669" s="20">
        <f>IF(AND(ISNUMBER(B669),ISNUMBER(B668)),IF(B669=B668,"",(B669-B668)*100),"")</f>
        <v/>
      </c>
      <c r="G669" s="20">
        <f>IF(AND(ISNUMBER(C669),ISNUMBER(C668)),IF(C669=C668,"",(C669-C668)*100),"")</f>
        <v/>
      </c>
      <c r="H669" s="20">
        <f>IF(OR(NOT(ISNUMBER($A669)),ROW()-2&lt;Settings!$B$11),NA(),IF(COUNT(OFFSET(F669,1-Settings!$B$11,0,Settings!$B$11,1))&lt;ROUNDUP(Settings!$B$11*Settings!$B$26,0),NA(),STDEV(OFFSET(F669,1-Settings!$B$11,0,Settings!$B$11,1))*SQRT(Settings!$B$13)))</f>
        <v/>
      </c>
      <c r="I669" s="20">
        <f>IF(OR(NOT(ISNUMBER($A669)),ROW()-2&lt;Settings!$B$12),NA(),IF(COUNT(OFFSET(F669,1-Settings!$B$12,0,Settings!$B$12,1))&lt;ROUNDUP(Settings!$B$12*Settings!$B$26,0),NA(),STDEV(OFFSET(F669,1-Settings!$B$12,0,Settings!$B$12,1))*SQRT(Settings!$B$13)))</f>
        <v/>
      </c>
      <c r="J669" s="20">
        <f>IF(OR(NOT(ISNUMBER($A669)),ROW()-2&lt;Settings!$B$11),NA(),IF(COUNT(OFFSET(G669,1-Settings!$B$11,0,Settings!$B$11,1))&lt;ROUNDUP(Settings!$B$11*Settings!$B$26,0),NA(),STDEV(OFFSET(G669,1-Settings!$B$11,0,Settings!$B$11,1))*SQRT(Settings!$B$13)))</f>
        <v/>
      </c>
      <c r="K669" s="20">
        <f>IF(OR(NOT(ISNUMBER($A669)),ROW()-2&lt;Settings!$B$12),NA(),IF(COUNT(OFFSET(G669,1-Settings!$B$12,0,Settings!$B$12,1))&lt;ROUNDUP(Settings!$B$12*Settings!$B$26,0),NA(),STDEV(OFFSET(G669,1-Settings!$B$12,0,Settings!$B$12,1))*SQRT(Settings!$B$13)))</f>
        <v/>
      </c>
      <c r="L669" s="20">
        <f>IF(AND(ISNUMBER(D669),ISNUMBER(H669)),D669-H669,NA())</f>
        <v/>
      </c>
      <c r="M669" s="20">
        <f>IF(AND(ISNUMBER(E669),ISNUMBER(K669)),E669-K669,NA())</f>
        <v/>
      </c>
      <c r="N669" s="20">
        <f>IF(NOT(ISNUMBER($A669)),NA(),IF(COUNT(OFFSET(G669,1,0,Settings!$B$12,1))&lt;ROUNDUP(Settings!$B$12*Settings!$B$26,0),NA(),STDEV(OFFSET(G669,1,0,Settings!$B$12,1))*SQRT(Settings!$B$13)))</f>
        <v/>
      </c>
      <c r="O669" s="20">
        <f>IF(AND(ISNUMBER(E669),ISNUMBER(N669)),E669-N669,NA())</f>
        <v/>
      </c>
      <c r="P669" s="19">
        <f>IF(NOT(ISNUMBER($A669)),NA(),IF(OR($A669&lt;MIN(KW_TP!$A$2:$A$2501),$A669&gt;MAX(KW_TP!$A$2:$A$2501)),NA(),INDEX(KW_TP!$C$2:$C$2501,MATCH($A669,KW_TP!$A$2:$A$2501,1))))</f>
        <v/>
      </c>
      <c r="Q669" s="18">
        <f>IF(NOT(ISNUMBER($A669)),NA(),IFERROR(1*INDEX(BBG_Data!$J$2:$J$4000,MATCH($A669,BBG_Data!$I$2:$I$4000,0)),NA()))</f>
        <v/>
      </c>
      <c r="R669" s="18">
        <f>IF(NOT(ISNUMBER($A669)),NA(),IFERROR(1*INDEX(BBG_Data!$L$2:$L$4000,MATCH($A669,BBG_Data!$K$2:$K$4000,0)),NA()))</f>
        <v/>
      </c>
      <c r="S669" s="20">
        <f>IF(AND(ISNUMBER(B669),ISNUMBER(Q669),ISNUMBER(R669)),(B669-Q669-R669)*100,NA())</f>
        <v/>
      </c>
      <c r="T669" s="20">
        <f>IF(AND(ISNUMBER(B669),Settings!$B$17&gt;0),IF(ISNUMBER(INDEX($B:$B,Settings!$B$17)),(B669-INDEX($B:$B,Settings!$B$17))*100,NA()),NA())</f>
        <v/>
      </c>
      <c r="U669" s="20">
        <f>IF(AND(ISNUMBER(Q669),Settings!$B$17&gt;0),IF(ISNUMBER(INDEX($Q:$Q,Settings!$B$17)),(Q669-INDEX($Q:$Q,Settings!$B$17))*100,NA()),NA())</f>
        <v/>
      </c>
      <c r="V669" s="20">
        <f>IF(AND(ISNUMBER(R669),Settings!$B$17&gt;0),IF(ISNUMBER(INDEX($R:$R,Settings!$B$17)),(R669-INDEX($R:$R,Settings!$B$17))*100,NA()),NA())</f>
        <v/>
      </c>
      <c r="W669" s="20">
        <f>IF(AND(ISNUMBER(P669),Settings!$B$17&gt;0),IF(ISNUMBER(INDEX($P:$P,Settings!$B$17)),P669-INDEX($P:$P,Settings!$B$17),NA()),NA())</f>
        <v/>
      </c>
      <c r="X669" s="19">
        <f>IF(NOT(ISNUMBER($A669)),NA(),IF(OR($A669&lt;MIN(DKW_10Y!$A$2:$A$2918),$A669&gt;MAX(DKW_10Y!$A$2:$A$2918),Settings!$B$16&lt;MIN(DKW_10Y!$A$2:$A$2918)),NA(),(INDEX(DKW_10Y!$B$2:$B$2918,MATCH($A669,DKW_10Y!$A$2:$A$2918,1))-INDEX(DKW_10Y!$B$2:$B$2918,MATCH(Settings!$B$16,DKW_10Y!$A$2:$A$2918,1)))*100))</f>
        <v/>
      </c>
      <c r="Y669" s="19">
        <f>IF(NOT(ISNUMBER($A669)),NA(),IF(OR($A669&lt;MIN(DKW_10Y!$A$2:$A$2918),$A669&gt;MAX(DKW_10Y!$A$2:$A$2918),Settings!$B$16&lt;MIN(DKW_10Y!$A$2:$A$2918)),NA(),(INDEX(DKW_10Y!$C$2:$C$2918,MATCH($A669,DKW_10Y!$A$2:$A$2918,1))-INDEX(DKW_10Y!$C$2:$C$2918,MATCH(Settings!$B$16,DKW_10Y!$A$2:$A$2918,1)))*100))</f>
        <v/>
      </c>
      <c r="Z669" s="19">
        <f>IF(NOT(ISNUMBER($A669)),NA(),IF(OR($A669&lt;MIN(DKW_10Y!$A$2:$A$2918),$A669&gt;MAX(DKW_10Y!$A$2:$A$2918),Settings!$B$16&lt;MIN(DKW_10Y!$A$2:$A$2918)),NA(),(INDEX(DKW_10Y!$D$2:$D$2918,MATCH($A669,DKW_10Y!$A$2:$A$2918,1))-INDEX(DKW_10Y!$D$2:$D$2918,MATCH(Settings!$B$16,DKW_10Y!$A$2:$A$2918,1)))*100))</f>
        <v/>
      </c>
      <c r="AA669" s="19">
        <f>IF(NOT(ISNUMBER($A669)),NA(),IF(OR($A669&lt;MIN(DKW_10Y!$A$2:$A$2918),$A669&gt;MAX(DKW_10Y!$A$2:$A$2918),Settings!$B$16&lt;MIN(DKW_10Y!$A$2:$A$2918)),NA(),(INDEX(DKW_10Y!$E$2:$E$2918,MATCH($A669,DKW_10Y!$A$2:$A$2918,1))-INDEX(DKW_10Y!$E$2:$E$2918,MATCH(Settings!$B$16,DKW_10Y!$A$2:$A$2918,1)))*100))</f>
        <v/>
      </c>
      <c r="AB669" s="19">
        <f>IF(NOT(ISNUMBER($A669)),NA(),IF(OR($A669&lt;MIN(DKW_10Y!$A$2:$A$2918),$A669&gt;MAX(DKW_10Y!$A$2:$A$2918),Settings!$B$16&lt;MIN(DKW_10Y!$A$2:$A$2918)),NA(),(INDEX(DKW_10Y!$H$2:$H$2918,MATCH($A669,DKW_10Y!$A$2:$A$2918,1))-INDEX(DKW_10Y!$H$2:$H$2918,MATCH(Settings!$B$16,DKW_10Y!$A$2:$A$2918,1)))*100))</f>
        <v/>
      </c>
      <c r="AC669" s="18">
        <f>IF(NOT(ISNUMBER($A669)),NA(),IFERROR(1*INDEX(BBG_Data!$N$2:$N$4000,MATCH($A669,BBG_Data!$M$2:$M$4000,0)),NA()))</f>
        <v/>
      </c>
      <c r="AD669" s="18">
        <f>IF(NOT(ISNUMBER($A669)),NA(),IFERROR(1*INDEX(BBG_Data!$P$2:$P$4000,MATCH($A669,BBG_Data!$O$2:$O$4000,0)),NA()))</f>
        <v/>
      </c>
      <c r="AE669" s="18">
        <f>IF(NOT(ISNUMBER($A669)),NA(),IFERROR(1*INDEX(BBG_Data!$R$2:$R$4000,MATCH($A669,BBG_Data!$Q$2:$Q$4000,0)),NA()))</f>
        <v/>
      </c>
      <c r="AF669" s="20">
        <f>IF(AND(ISNUMBER(B669),ISNUMBER(AC669)),(B669-AC669)*100,NA())</f>
        <v/>
      </c>
      <c r="AG669" s="20">
        <f>IF(AND(ISNUMBER(AE669),ISNUMBER(AD669)),(AE669-AD669)*100,NA())</f>
        <v/>
      </c>
      <c r="AH669" s="19">
        <f>IF(NOT(ISNUMBER($A669)),NA(),IFERROR(INDEX(BBG_Data!$T$2:$T$4000,MATCH($A669,BBG_Data!$S$2:$S$4000,0))*Settings!$B$25,NA()))</f>
        <v/>
      </c>
      <c r="AI669" s="19">
        <f>IF(NOT(ISNUMBER($A669)),NA(),IFERROR(INDEX(BBG_Data!$V$2:$V$4000,MATCH($A669,BBG_Data!$U$2:$U$4000,0))*Settings!$B$25,NA()))</f>
        <v/>
      </c>
      <c r="AJ669" s="19">
        <f>IF(NOT(ISNUMBER($A669)),NA(),IFERROR(1*INDEX(BBG_Data!$X$2:$X$4000,MATCH($A669,BBG_Data!$W$2:$W$4000,0)),NA()))</f>
        <v/>
      </c>
      <c r="AK669" s="19">
        <f>IF(NOT(ISNUMBER($A669)),NA(),IFERROR(1*INDEX(BBG_Data!$Z$2:$Z$4000,MATCH($A669,BBG_Data!$Y$2:$Y$4000,0)),NA()))</f>
        <v/>
      </c>
    </row>
    <row r="670">
      <c r="A670" s="17">
        <f>IF(ISNUMBER(BBG_Data!A670),BBG_Data!A670,"")</f>
        <v/>
      </c>
      <c r="B670" s="18">
        <f>IF(AND(ISNUMBER($A670),ISNUMBER(BBG_Data!B670)),BBG_Data!B670,NA())</f>
        <v/>
      </c>
      <c r="C670" s="18">
        <f>IF(NOT(ISNUMBER($A670)),NA(),IFERROR(1*INDEX(BBG_Data!$D$2:$D$4000,MATCH($A670,BBG_Data!$C$2:$C$4000,0)),NA()))</f>
        <v/>
      </c>
      <c r="D670" s="19">
        <f>IF(NOT(ISNUMBER($A670)),NA(),IFERROR(1*INDEX(BBG_Data!$F$2:$F$4000,MATCH($A670,BBG_Data!$E$2:$E$4000,0)),NA()))</f>
        <v/>
      </c>
      <c r="E670" s="19">
        <f>IF(NOT(ISNUMBER($A670)),NA(),IFERROR(1*INDEX(BBG_Data!$H$2:$H$4000,MATCH($A670,BBG_Data!$G$2:$G$4000,0)),NA()))</f>
        <v/>
      </c>
      <c r="F670" s="20">
        <f>IF(AND(ISNUMBER(B670),ISNUMBER(B669)),IF(B670=B669,"",(B670-B669)*100),"")</f>
        <v/>
      </c>
      <c r="G670" s="20">
        <f>IF(AND(ISNUMBER(C670),ISNUMBER(C669)),IF(C670=C669,"",(C670-C669)*100),"")</f>
        <v/>
      </c>
      <c r="H670" s="20">
        <f>IF(OR(NOT(ISNUMBER($A670)),ROW()-2&lt;Settings!$B$11),NA(),IF(COUNT(OFFSET(F670,1-Settings!$B$11,0,Settings!$B$11,1))&lt;ROUNDUP(Settings!$B$11*Settings!$B$26,0),NA(),STDEV(OFFSET(F670,1-Settings!$B$11,0,Settings!$B$11,1))*SQRT(Settings!$B$13)))</f>
        <v/>
      </c>
      <c r="I670" s="20">
        <f>IF(OR(NOT(ISNUMBER($A670)),ROW()-2&lt;Settings!$B$12),NA(),IF(COUNT(OFFSET(F670,1-Settings!$B$12,0,Settings!$B$12,1))&lt;ROUNDUP(Settings!$B$12*Settings!$B$26,0),NA(),STDEV(OFFSET(F670,1-Settings!$B$12,0,Settings!$B$12,1))*SQRT(Settings!$B$13)))</f>
        <v/>
      </c>
      <c r="J670" s="20">
        <f>IF(OR(NOT(ISNUMBER($A670)),ROW()-2&lt;Settings!$B$11),NA(),IF(COUNT(OFFSET(G670,1-Settings!$B$11,0,Settings!$B$11,1))&lt;ROUNDUP(Settings!$B$11*Settings!$B$26,0),NA(),STDEV(OFFSET(G670,1-Settings!$B$11,0,Settings!$B$11,1))*SQRT(Settings!$B$13)))</f>
        <v/>
      </c>
      <c r="K670" s="20">
        <f>IF(OR(NOT(ISNUMBER($A670)),ROW()-2&lt;Settings!$B$12),NA(),IF(COUNT(OFFSET(G670,1-Settings!$B$12,0,Settings!$B$12,1))&lt;ROUNDUP(Settings!$B$12*Settings!$B$26,0),NA(),STDEV(OFFSET(G670,1-Settings!$B$12,0,Settings!$B$12,1))*SQRT(Settings!$B$13)))</f>
        <v/>
      </c>
      <c r="L670" s="20">
        <f>IF(AND(ISNUMBER(D670),ISNUMBER(H670)),D670-H670,NA())</f>
        <v/>
      </c>
      <c r="M670" s="20">
        <f>IF(AND(ISNUMBER(E670),ISNUMBER(K670)),E670-K670,NA())</f>
        <v/>
      </c>
      <c r="N670" s="20">
        <f>IF(NOT(ISNUMBER($A670)),NA(),IF(COUNT(OFFSET(G670,1,0,Settings!$B$12,1))&lt;ROUNDUP(Settings!$B$12*Settings!$B$26,0),NA(),STDEV(OFFSET(G670,1,0,Settings!$B$12,1))*SQRT(Settings!$B$13)))</f>
        <v/>
      </c>
      <c r="O670" s="20">
        <f>IF(AND(ISNUMBER(E670),ISNUMBER(N670)),E670-N670,NA())</f>
        <v/>
      </c>
      <c r="P670" s="19">
        <f>IF(NOT(ISNUMBER($A670)),NA(),IF(OR($A670&lt;MIN(KW_TP!$A$2:$A$2501),$A670&gt;MAX(KW_TP!$A$2:$A$2501)),NA(),INDEX(KW_TP!$C$2:$C$2501,MATCH($A670,KW_TP!$A$2:$A$2501,1))))</f>
        <v/>
      </c>
      <c r="Q670" s="18">
        <f>IF(NOT(ISNUMBER($A670)),NA(),IFERROR(1*INDEX(BBG_Data!$J$2:$J$4000,MATCH($A670,BBG_Data!$I$2:$I$4000,0)),NA()))</f>
        <v/>
      </c>
      <c r="R670" s="18">
        <f>IF(NOT(ISNUMBER($A670)),NA(),IFERROR(1*INDEX(BBG_Data!$L$2:$L$4000,MATCH($A670,BBG_Data!$K$2:$K$4000,0)),NA()))</f>
        <v/>
      </c>
      <c r="S670" s="20">
        <f>IF(AND(ISNUMBER(B670),ISNUMBER(Q670),ISNUMBER(R670)),(B670-Q670-R670)*100,NA())</f>
        <v/>
      </c>
      <c r="T670" s="20">
        <f>IF(AND(ISNUMBER(B670),Settings!$B$17&gt;0),IF(ISNUMBER(INDEX($B:$B,Settings!$B$17)),(B670-INDEX($B:$B,Settings!$B$17))*100,NA()),NA())</f>
        <v/>
      </c>
      <c r="U670" s="20">
        <f>IF(AND(ISNUMBER(Q670),Settings!$B$17&gt;0),IF(ISNUMBER(INDEX($Q:$Q,Settings!$B$17)),(Q670-INDEX($Q:$Q,Settings!$B$17))*100,NA()),NA())</f>
        <v/>
      </c>
      <c r="V670" s="20">
        <f>IF(AND(ISNUMBER(R670),Settings!$B$17&gt;0),IF(ISNUMBER(INDEX($R:$R,Settings!$B$17)),(R670-INDEX($R:$R,Settings!$B$17))*100,NA()),NA())</f>
        <v/>
      </c>
      <c r="W670" s="20">
        <f>IF(AND(ISNUMBER(P670),Settings!$B$17&gt;0),IF(ISNUMBER(INDEX($P:$P,Settings!$B$17)),P670-INDEX($P:$P,Settings!$B$17),NA()),NA())</f>
        <v/>
      </c>
      <c r="X670" s="19">
        <f>IF(NOT(ISNUMBER($A670)),NA(),IF(OR($A670&lt;MIN(DKW_10Y!$A$2:$A$2918),$A670&gt;MAX(DKW_10Y!$A$2:$A$2918),Settings!$B$16&lt;MIN(DKW_10Y!$A$2:$A$2918)),NA(),(INDEX(DKW_10Y!$B$2:$B$2918,MATCH($A670,DKW_10Y!$A$2:$A$2918,1))-INDEX(DKW_10Y!$B$2:$B$2918,MATCH(Settings!$B$16,DKW_10Y!$A$2:$A$2918,1)))*100))</f>
        <v/>
      </c>
      <c r="Y670" s="19">
        <f>IF(NOT(ISNUMBER($A670)),NA(),IF(OR($A670&lt;MIN(DKW_10Y!$A$2:$A$2918),$A670&gt;MAX(DKW_10Y!$A$2:$A$2918),Settings!$B$16&lt;MIN(DKW_10Y!$A$2:$A$2918)),NA(),(INDEX(DKW_10Y!$C$2:$C$2918,MATCH($A670,DKW_10Y!$A$2:$A$2918,1))-INDEX(DKW_10Y!$C$2:$C$2918,MATCH(Settings!$B$16,DKW_10Y!$A$2:$A$2918,1)))*100))</f>
        <v/>
      </c>
      <c r="Z670" s="19">
        <f>IF(NOT(ISNUMBER($A670)),NA(),IF(OR($A670&lt;MIN(DKW_10Y!$A$2:$A$2918),$A670&gt;MAX(DKW_10Y!$A$2:$A$2918),Settings!$B$16&lt;MIN(DKW_10Y!$A$2:$A$2918)),NA(),(INDEX(DKW_10Y!$D$2:$D$2918,MATCH($A670,DKW_10Y!$A$2:$A$2918,1))-INDEX(DKW_10Y!$D$2:$D$2918,MATCH(Settings!$B$16,DKW_10Y!$A$2:$A$2918,1)))*100))</f>
        <v/>
      </c>
      <c r="AA670" s="19">
        <f>IF(NOT(ISNUMBER($A670)),NA(),IF(OR($A670&lt;MIN(DKW_10Y!$A$2:$A$2918),$A670&gt;MAX(DKW_10Y!$A$2:$A$2918),Settings!$B$16&lt;MIN(DKW_10Y!$A$2:$A$2918)),NA(),(INDEX(DKW_10Y!$E$2:$E$2918,MATCH($A670,DKW_10Y!$A$2:$A$2918,1))-INDEX(DKW_10Y!$E$2:$E$2918,MATCH(Settings!$B$16,DKW_10Y!$A$2:$A$2918,1)))*100))</f>
        <v/>
      </c>
      <c r="AB670" s="19">
        <f>IF(NOT(ISNUMBER($A670)),NA(),IF(OR($A670&lt;MIN(DKW_10Y!$A$2:$A$2918),$A670&gt;MAX(DKW_10Y!$A$2:$A$2918),Settings!$B$16&lt;MIN(DKW_10Y!$A$2:$A$2918)),NA(),(INDEX(DKW_10Y!$H$2:$H$2918,MATCH($A670,DKW_10Y!$A$2:$A$2918,1))-INDEX(DKW_10Y!$H$2:$H$2918,MATCH(Settings!$B$16,DKW_10Y!$A$2:$A$2918,1)))*100))</f>
        <v/>
      </c>
      <c r="AC670" s="18">
        <f>IF(NOT(ISNUMBER($A670)),NA(),IFERROR(1*INDEX(BBG_Data!$N$2:$N$4000,MATCH($A670,BBG_Data!$M$2:$M$4000,0)),NA()))</f>
        <v/>
      </c>
      <c r="AD670" s="18">
        <f>IF(NOT(ISNUMBER($A670)),NA(),IFERROR(1*INDEX(BBG_Data!$P$2:$P$4000,MATCH($A670,BBG_Data!$O$2:$O$4000,0)),NA()))</f>
        <v/>
      </c>
      <c r="AE670" s="18">
        <f>IF(NOT(ISNUMBER($A670)),NA(),IFERROR(1*INDEX(BBG_Data!$R$2:$R$4000,MATCH($A670,BBG_Data!$Q$2:$Q$4000,0)),NA()))</f>
        <v/>
      </c>
      <c r="AF670" s="20">
        <f>IF(AND(ISNUMBER(B670),ISNUMBER(AC670)),(B670-AC670)*100,NA())</f>
        <v/>
      </c>
      <c r="AG670" s="20">
        <f>IF(AND(ISNUMBER(AE670),ISNUMBER(AD670)),(AE670-AD670)*100,NA())</f>
        <v/>
      </c>
      <c r="AH670" s="19">
        <f>IF(NOT(ISNUMBER($A670)),NA(),IFERROR(INDEX(BBG_Data!$T$2:$T$4000,MATCH($A670,BBG_Data!$S$2:$S$4000,0))*Settings!$B$25,NA()))</f>
        <v/>
      </c>
      <c r="AI670" s="19">
        <f>IF(NOT(ISNUMBER($A670)),NA(),IFERROR(INDEX(BBG_Data!$V$2:$V$4000,MATCH($A670,BBG_Data!$U$2:$U$4000,0))*Settings!$B$25,NA()))</f>
        <v/>
      </c>
      <c r="AJ670" s="19">
        <f>IF(NOT(ISNUMBER($A670)),NA(),IFERROR(1*INDEX(BBG_Data!$X$2:$X$4000,MATCH($A670,BBG_Data!$W$2:$W$4000,0)),NA()))</f>
        <v/>
      </c>
      <c r="AK670" s="19">
        <f>IF(NOT(ISNUMBER($A670)),NA(),IFERROR(1*INDEX(BBG_Data!$Z$2:$Z$4000,MATCH($A670,BBG_Data!$Y$2:$Y$4000,0)),NA()))</f>
        <v/>
      </c>
    </row>
    <row r="671">
      <c r="A671" s="17">
        <f>IF(ISNUMBER(BBG_Data!A671),BBG_Data!A671,"")</f>
        <v/>
      </c>
      <c r="B671" s="18">
        <f>IF(AND(ISNUMBER($A671),ISNUMBER(BBG_Data!B671)),BBG_Data!B671,NA())</f>
        <v/>
      </c>
      <c r="C671" s="18">
        <f>IF(NOT(ISNUMBER($A671)),NA(),IFERROR(1*INDEX(BBG_Data!$D$2:$D$4000,MATCH($A671,BBG_Data!$C$2:$C$4000,0)),NA()))</f>
        <v/>
      </c>
      <c r="D671" s="19">
        <f>IF(NOT(ISNUMBER($A671)),NA(),IFERROR(1*INDEX(BBG_Data!$F$2:$F$4000,MATCH($A671,BBG_Data!$E$2:$E$4000,0)),NA()))</f>
        <v/>
      </c>
      <c r="E671" s="19">
        <f>IF(NOT(ISNUMBER($A671)),NA(),IFERROR(1*INDEX(BBG_Data!$H$2:$H$4000,MATCH($A671,BBG_Data!$G$2:$G$4000,0)),NA()))</f>
        <v/>
      </c>
      <c r="F671" s="20">
        <f>IF(AND(ISNUMBER(B671),ISNUMBER(B670)),IF(B671=B670,"",(B671-B670)*100),"")</f>
        <v/>
      </c>
      <c r="G671" s="20">
        <f>IF(AND(ISNUMBER(C671),ISNUMBER(C670)),IF(C671=C670,"",(C671-C670)*100),"")</f>
        <v/>
      </c>
      <c r="H671" s="20">
        <f>IF(OR(NOT(ISNUMBER($A671)),ROW()-2&lt;Settings!$B$11),NA(),IF(COUNT(OFFSET(F671,1-Settings!$B$11,0,Settings!$B$11,1))&lt;ROUNDUP(Settings!$B$11*Settings!$B$26,0),NA(),STDEV(OFFSET(F671,1-Settings!$B$11,0,Settings!$B$11,1))*SQRT(Settings!$B$13)))</f>
        <v/>
      </c>
      <c r="I671" s="20">
        <f>IF(OR(NOT(ISNUMBER($A671)),ROW()-2&lt;Settings!$B$12),NA(),IF(COUNT(OFFSET(F671,1-Settings!$B$12,0,Settings!$B$12,1))&lt;ROUNDUP(Settings!$B$12*Settings!$B$26,0),NA(),STDEV(OFFSET(F671,1-Settings!$B$12,0,Settings!$B$12,1))*SQRT(Settings!$B$13)))</f>
        <v/>
      </c>
      <c r="J671" s="20">
        <f>IF(OR(NOT(ISNUMBER($A671)),ROW()-2&lt;Settings!$B$11),NA(),IF(COUNT(OFFSET(G671,1-Settings!$B$11,0,Settings!$B$11,1))&lt;ROUNDUP(Settings!$B$11*Settings!$B$26,0),NA(),STDEV(OFFSET(G671,1-Settings!$B$11,0,Settings!$B$11,1))*SQRT(Settings!$B$13)))</f>
        <v/>
      </c>
      <c r="K671" s="20">
        <f>IF(OR(NOT(ISNUMBER($A671)),ROW()-2&lt;Settings!$B$12),NA(),IF(COUNT(OFFSET(G671,1-Settings!$B$12,0,Settings!$B$12,1))&lt;ROUNDUP(Settings!$B$12*Settings!$B$26,0),NA(),STDEV(OFFSET(G671,1-Settings!$B$12,0,Settings!$B$12,1))*SQRT(Settings!$B$13)))</f>
        <v/>
      </c>
      <c r="L671" s="20">
        <f>IF(AND(ISNUMBER(D671),ISNUMBER(H671)),D671-H671,NA())</f>
        <v/>
      </c>
      <c r="M671" s="20">
        <f>IF(AND(ISNUMBER(E671),ISNUMBER(K671)),E671-K671,NA())</f>
        <v/>
      </c>
      <c r="N671" s="20">
        <f>IF(NOT(ISNUMBER($A671)),NA(),IF(COUNT(OFFSET(G671,1,0,Settings!$B$12,1))&lt;ROUNDUP(Settings!$B$12*Settings!$B$26,0),NA(),STDEV(OFFSET(G671,1,0,Settings!$B$12,1))*SQRT(Settings!$B$13)))</f>
        <v/>
      </c>
      <c r="O671" s="20">
        <f>IF(AND(ISNUMBER(E671),ISNUMBER(N671)),E671-N671,NA())</f>
        <v/>
      </c>
      <c r="P671" s="19">
        <f>IF(NOT(ISNUMBER($A671)),NA(),IF(OR($A671&lt;MIN(KW_TP!$A$2:$A$2501),$A671&gt;MAX(KW_TP!$A$2:$A$2501)),NA(),INDEX(KW_TP!$C$2:$C$2501,MATCH($A671,KW_TP!$A$2:$A$2501,1))))</f>
        <v/>
      </c>
      <c r="Q671" s="18">
        <f>IF(NOT(ISNUMBER($A671)),NA(),IFERROR(1*INDEX(BBG_Data!$J$2:$J$4000,MATCH($A671,BBG_Data!$I$2:$I$4000,0)),NA()))</f>
        <v/>
      </c>
      <c r="R671" s="18">
        <f>IF(NOT(ISNUMBER($A671)),NA(),IFERROR(1*INDEX(BBG_Data!$L$2:$L$4000,MATCH($A671,BBG_Data!$K$2:$K$4000,0)),NA()))</f>
        <v/>
      </c>
      <c r="S671" s="20">
        <f>IF(AND(ISNUMBER(B671),ISNUMBER(Q671),ISNUMBER(R671)),(B671-Q671-R671)*100,NA())</f>
        <v/>
      </c>
      <c r="T671" s="20">
        <f>IF(AND(ISNUMBER(B671),Settings!$B$17&gt;0),IF(ISNUMBER(INDEX($B:$B,Settings!$B$17)),(B671-INDEX($B:$B,Settings!$B$17))*100,NA()),NA())</f>
        <v/>
      </c>
      <c r="U671" s="20">
        <f>IF(AND(ISNUMBER(Q671),Settings!$B$17&gt;0),IF(ISNUMBER(INDEX($Q:$Q,Settings!$B$17)),(Q671-INDEX($Q:$Q,Settings!$B$17))*100,NA()),NA())</f>
        <v/>
      </c>
      <c r="V671" s="20">
        <f>IF(AND(ISNUMBER(R671),Settings!$B$17&gt;0),IF(ISNUMBER(INDEX($R:$R,Settings!$B$17)),(R671-INDEX($R:$R,Settings!$B$17))*100,NA()),NA())</f>
        <v/>
      </c>
      <c r="W671" s="20">
        <f>IF(AND(ISNUMBER(P671),Settings!$B$17&gt;0),IF(ISNUMBER(INDEX($P:$P,Settings!$B$17)),P671-INDEX($P:$P,Settings!$B$17),NA()),NA())</f>
        <v/>
      </c>
      <c r="X671" s="19">
        <f>IF(NOT(ISNUMBER($A671)),NA(),IF(OR($A671&lt;MIN(DKW_10Y!$A$2:$A$2918),$A671&gt;MAX(DKW_10Y!$A$2:$A$2918),Settings!$B$16&lt;MIN(DKW_10Y!$A$2:$A$2918)),NA(),(INDEX(DKW_10Y!$B$2:$B$2918,MATCH($A671,DKW_10Y!$A$2:$A$2918,1))-INDEX(DKW_10Y!$B$2:$B$2918,MATCH(Settings!$B$16,DKW_10Y!$A$2:$A$2918,1)))*100))</f>
        <v/>
      </c>
      <c r="Y671" s="19">
        <f>IF(NOT(ISNUMBER($A671)),NA(),IF(OR($A671&lt;MIN(DKW_10Y!$A$2:$A$2918),$A671&gt;MAX(DKW_10Y!$A$2:$A$2918),Settings!$B$16&lt;MIN(DKW_10Y!$A$2:$A$2918)),NA(),(INDEX(DKW_10Y!$C$2:$C$2918,MATCH($A671,DKW_10Y!$A$2:$A$2918,1))-INDEX(DKW_10Y!$C$2:$C$2918,MATCH(Settings!$B$16,DKW_10Y!$A$2:$A$2918,1)))*100))</f>
        <v/>
      </c>
      <c r="Z671" s="19">
        <f>IF(NOT(ISNUMBER($A671)),NA(),IF(OR($A671&lt;MIN(DKW_10Y!$A$2:$A$2918),$A671&gt;MAX(DKW_10Y!$A$2:$A$2918),Settings!$B$16&lt;MIN(DKW_10Y!$A$2:$A$2918)),NA(),(INDEX(DKW_10Y!$D$2:$D$2918,MATCH($A671,DKW_10Y!$A$2:$A$2918,1))-INDEX(DKW_10Y!$D$2:$D$2918,MATCH(Settings!$B$16,DKW_10Y!$A$2:$A$2918,1)))*100))</f>
        <v/>
      </c>
      <c r="AA671" s="19">
        <f>IF(NOT(ISNUMBER($A671)),NA(),IF(OR($A671&lt;MIN(DKW_10Y!$A$2:$A$2918),$A671&gt;MAX(DKW_10Y!$A$2:$A$2918),Settings!$B$16&lt;MIN(DKW_10Y!$A$2:$A$2918)),NA(),(INDEX(DKW_10Y!$E$2:$E$2918,MATCH($A671,DKW_10Y!$A$2:$A$2918,1))-INDEX(DKW_10Y!$E$2:$E$2918,MATCH(Settings!$B$16,DKW_10Y!$A$2:$A$2918,1)))*100))</f>
        <v/>
      </c>
      <c r="AB671" s="19">
        <f>IF(NOT(ISNUMBER($A671)),NA(),IF(OR($A671&lt;MIN(DKW_10Y!$A$2:$A$2918),$A671&gt;MAX(DKW_10Y!$A$2:$A$2918),Settings!$B$16&lt;MIN(DKW_10Y!$A$2:$A$2918)),NA(),(INDEX(DKW_10Y!$H$2:$H$2918,MATCH($A671,DKW_10Y!$A$2:$A$2918,1))-INDEX(DKW_10Y!$H$2:$H$2918,MATCH(Settings!$B$16,DKW_10Y!$A$2:$A$2918,1)))*100))</f>
        <v/>
      </c>
      <c r="AC671" s="18">
        <f>IF(NOT(ISNUMBER($A671)),NA(),IFERROR(1*INDEX(BBG_Data!$N$2:$N$4000,MATCH($A671,BBG_Data!$M$2:$M$4000,0)),NA()))</f>
        <v/>
      </c>
      <c r="AD671" s="18">
        <f>IF(NOT(ISNUMBER($A671)),NA(),IFERROR(1*INDEX(BBG_Data!$P$2:$P$4000,MATCH($A671,BBG_Data!$O$2:$O$4000,0)),NA()))</f>
        <v/>
      </c>
      <c r="AE671" s="18">
        <f>IF(NOT(ISNUMBER($A671)),NA(),IFERROR(1*INDEX(BBG_Data!$R$2:$R$4000,MATCH($A671,BBG_Data!$Q$2:$Q$4000,0)),NA()))</f>
        <v/>
      </c>
      <c r="AF671" s="20">
        <f>IF(AND(ISNUMBER(B671),ISNUMBER(AC671)),(B671-AC671)*100,NA())</f>
        <v/>
      </c>
      <c r="AG671" s="20">
        <f>IF(AND(ISNUMBER(AE671),ISNUMBER(AD671)),(AE671-AD671)*100,NA())</f>
        <v/>
      </c>
      <c r="AH671" s="19">
        <f>IF(NOT(ISNUMBER($A671)),NA(),IFERROR(INDEX(BBG_Data!$T$2:$T$4000,MATCH($A671,BBG_Data!$S$2:$S$4000,0))*Settings!$B$25,NA()))</f>
        <v/>
      </c>
      <c r="AI671" s="19">
        <f>IF(NOT(ISNUMBER($A671)),NA(),IFERROR(INDEX(BBG_Data!$V$2:$V$4000,MATCH($A671,BBG_Data!$U$2:$U$4000,0))*Settings!$B$25,NA()))</f>
        <v/>
      </c>
      <c r="AJ671" s="19">
        <f>IF(NOT(ISNUMBER($A671)),NA(),IFERROR(1*INDEX(BBG_Data!$X$2:$X$4000,MATCH($A671,BBG_Data!$W$2:$W$4000,0)),NA()))</f>
        <v/>
      </c>
      <c r="AK671" s="19">
        <f>IF(NOT(ISNUMBER($A671)),NA(),IFERROR(1*INDEX(BBG_Data!$Z$2:$Z$4000,MATCH($A671,BBG_Data!$Y$2:$Y$4000,0)),NA()))</f>
        <v/>
      </c>
    </row>
    <row r="672">
      <c r="A672" s="17">
        <f>IF(ISNUMBER(BBG_Data!A672),BBG_Data!A672,"")</f>
        <v/>
      </c>
      <c r="B672" s="18">
        <f>IF(AND(ISNUMBER($A672),ISNUMBER(BBG_Data!B672)),BBG_Data!B672,NA())</f>
        <v/>
      </c>
      <c r="C672" s="18">
        <f>IF(NOT(ISNUMBER($A672)),NA(),IFERROR(1*INDEX(BBG_Data!$D$2:$D$4000,MATCH($A672,BBG_Data!$C$2:$C$4000,0)),NA()))</f>
        <v/>
      </c>
      <c r="D672" s="19">
        <f>IF(NOT(ISNUMBER($A672)),NA(),IFERROR(1*INDEX(BBG_Data!$F$2:$F$4000,MATCH($A672,BBG_Data!$E$2:$E$4000,0)),NA()))</f>
        <v/>
      </c>
      <c r="E672" s="19">
        <f>IF(NOT(ISNUMBER($A672)),NA(),IFERROR(1*INDEX(BBG_Data!$H$2:$H$4000,MATCH($A672,BBG_Data!$G$2:$G$4000,0)),NA()))</f>
        <v/>
      </c>
      <c r="F672" s="20">
        <f>IF(AND(ISNUMBER(B672),ISNUMBER(B671)),IF(B672=B671,"",(B672-B671)*100),"")</f>
        <v/>
      </c>
      <c r="G672" s="20">
        <f>IF(AND(ISNUMBER(C672),ISNUMBER(C671)),IF(C672=C671,"",(C672-C671)*100),"")</f>
        <v/>
      </c>
      <c r="H672" s="20">
        <f>IF(OR(NOT(ISNUMBER($A672)),ROW()-2&lt;Settings!$B$11),NA(),IF(COUNT(OFFSET(F672,1-Settings!$B$11,0,Settings!$B$11,1))&lt;ROUNDUP(Settings!$B$11*Settings!$B$26,0),NA(),STDEV(OFFSET(F672,1-Settings!$B$11,0,Settings!$B$11,1))*SQRT(Settings!$B$13)))</f>
        <v/>
      </c>
      <c r="I672" s="20">
        <f>IF(OR(NOT(ISNUMBER($A672)),ROW()-2&lt;Settings!$B$12),NA(),IF(COUNT(OFFSET(F672,1-Settings!$B$12,0,Settings!$B$12,1))&lt;ROUNDUP(Settings!$B$12*Settings!$B$26,0),NA(),STDEV(OFFSET(F672,1-Settings!$B$12,0,Settings!$B$12,1))*SQRT(Settings!$B$13)))</f>
        <v/>
      </c>
      <c r="J672" s="20">
        <f>IF(OR(NOT(ISNUMBER($A672)),ROW()-2&lt;Settings!$B$11),NA(),IF(COUNT(OFFSET(G672,1-Settings!$B$11,0,Settings!$B$11,1))&lt;ROUNDUP(Settings!$B$11*Settings!$B$26,0),NA(),STDEV(OFFSET(G672,1-Settings!$B$11,0,Settings!$B$11,1))*SQRT(Settings!$B$13)))</f>
        <v/>
      </c>
      <c r="K672" s="20">
        <f>IF(OR(NOT(ISNUMBER($A672)),ROW()-2&lt;Settings!$B$12),NA(),IF(COUNT(OFFSET(G672,1-Settings!$B$12,0,Settings!$B$12,1))&lt;ROUNDUP(Settings!$B$12*Settings!$B$26,0),NA(),STDEV(OFFSET(G672,1-Settings!$B$12,0,Settings!$B$12,1))*SQRT(Settings!$B$13)))</f>
        <v/>
      </c>
      <c r="L672" s="20">
        <f>IF(AND(ISNUMBER(D672),ISNUMBER(H672)),D672-H672,NA())</f>
        <v/>
      </c>
      <c r="M672" s="20">
        <f>IF(AND(ISNUMBER(E672),ISNUMBER(K672)),E672-K672,NA())</f>
        <v/>
      </c>
      <c r="N672" s="20">
        <f>IF(NOT(ISNUMBER($A672)),NA(),IF(COUNT(OFFSET(G672,1,0,Settings!$B$12,1))&lt;ROUNDUP(Settings!$B$12*Settings!$B$26,0),NA(),STDEV(OFFSET(G672,1,0,Settings!$B$12,1))*SQRT(Settings!$B$13)))</f>
        <v/>
      </c>
      <c r="O672" s="20">
        <f>IF(AND(ISNUMBER(E672),ISNUMBER(N672)),E672-N672,NA())</f>
        <v/>
      </c>
      <c r="P672" s="19">
        <f>IF(NOT(ISNUMBER($A672)),NA(),IF(OR($A672&lt;MIN(KW_TP!$A$2:$A$2501),$A672&gt;MAX(KW_TP!$A$2:$A$2501)),NA(),INDEX(KW_TP!$C$2:$C$2501,MATCH($A672,KW_TP!$A$2:$A$2501,1))))</f>
        <v/>
      </c>
      <c r="Q672" s="18">
        <f>IF(NOT(ISNUMBER($A672)),NA(),IFERROR(1*INDEX(BBG_Data!$J$2:$J$4000,MATCH($A672,BBG_Data!$I$2:$I$4000,0)),NA()))</f>
        <v/>
      </c>
      <c r="R672" s="18">
        <f>IF(NOT(ISNUMBER($A672)),NA(),IFERROR(1*INDEX(BBG_Data!$L$2:$L$4000,MATCH($A672,BBG_Data!$K$2:$K$4000,0)),NA()))</f>
        <v/>
      </c>
      <c r="S672" s="20">
        <f>IF(AND(ISNUMBER(B672),ISNUMBER(Q672),ISNUMBER(R672)),(B672-Q672-R672)*100,NA())</f>
        <v/>
      </c>
      <c r="T672" s="20">
        <f>IF(AND(ISNUMBER(B672),Settings!$B$17&gt;0),IF(ISNUMBER(INDEX($B:$B,Settings!$B$17)),(B672-INDEX($B:$B,Settings!$B$17))*100,NA()),NA())</f>
        <v/>
      </c>
      <c r="U672" s="20">
        <f>IF(AND(ISNUMBER(Q672),Settings!$B$17&gt;0),IF(ISNUMBER(INDEX($Q:$Q,Settings!$B$17)),(Q672-INDEX($Q:$Q,Settings!$B$17))*100,NA()),NA())</f>
        <v/>
      </c>
      <c r="V672" s="20">
        <f>IF(AND(ISNUMBER(R672),Settings!$B$17&gt;0),IF(ISNUMBER(INDEX($R:$R,Settings!$B$17)),(R672-INDEX($R:$R,Settings!$B$17))*100,NA()),NA())</f>
        <v/>
      </c>
      <c r="W672" s="20">
        <f>IF(AND(ISNUMBER(P672),Settings!$B$17&gt;0),IF(ISNUMBER(INDEX($P:$P,Settings!$B$17)),P672-INDEX($P:$P,Settings!$B$17),NA()),NA())</f>
        <v/>
      </c>
      <c r="X672" s="19">
        <f>IF(NOT(ISNUMBER($A672)),NA(),IF(OR($A672&lt;MIN(DKW_10Y!$A$2:$A$2918),$A672&gt;MAX(DKW_10Y!$A$2:$A$2918),Settings!$B$16&lt;MIN(DKW_10Y!$A$2:$A$2918)),NA(),(INDEX(DKW_10Y!$B$2:$B$2918,MATCH($A672,DKW_10Y!$A$2:$A$2918,1))-INDEX(DKW_10Y!$B$2:$B$2918,MATCH(Settings!$B$16,DKW_10Y!$A$2:$A$2918,1)))*100))</f>
        <v/>
      </c>
      <c r="Y672" s="19">
        <f>IF(NOT(ISNUMBER($A672)),NA(),IF(OR($A672&lt;MIN(DKW_10Y!$A$2:$A$2918),$A672&gt;MAX(DKW_10Y!$A$2:$A$2918),Settings!$B$16&lt;MIN(DKW_10Y!$A$2:$A$2918)),NA(),(INDEX(DKW_10Y!$C$2:$C$2918,MATCH($A672,DKW_10Y!$A$2:$A$2918,1))-INDEX(DKW_10Y!$C$2:$C$2918,MATCH(Settings!$B$16,DKW_10Y!$A$2:$A$2918,1)))*100))</f>
        <v/>
      </c>
      <c r="Z672" s="19">
        <f>IF(NOT(ISNUMBER($A672)),NA(),IF(OR($A672&lt;MIN(DKW_10Y!$A$2:$A$2918),$A672&gt;MAX(DKW_10Y!$A$2:$A$2918),Settings!$B$16&lt;MIN(DKW_10Y!$A$2:$A$2918)),NA(),(INDEX(DKW_10Y!$D$2:$D$2918,MATCH($A672,DKW_10Y!$A$2:$A$2918,1))-INDEX(DKW_10Y!$D$2:$D$2918,MATCH(Settings!$B$16,DKW_10Y!$A$2:$A$2918,1)))*100))</f>
        <v/>
      </c>
      <c r="AA672" s="19">
        <f>IF(NOT(ISNUMBER($A672)),NA(),IF(OR($A672&lt;MIN(DKW_10Y!$A$2:$A$2918),$A672&gt;MAX(DKW_10Y!$A$2:$A$2918),Settings!$B$16&lt;MIN(DKW_10Y!$A$2:$A$2918)),NA(),(INDEX(DKW_10Y!$E$2:$E$2918,MATCH($A672,DKW_10Y!$A$2:$A$2918,1))-INDEX(DKW_10Y!$E$2:$E$2918,MATCH(Settings!$B$16,DKW_10Y!$A$2:$A$2918,1)))*100))</f>
        <v/>
      </c>
      <c r="AB672" s="19">
        <f>IF(NOT(ISNUMBER($A672)),NA(),IF(OR($A672&lt;MIN(DKW_10Y!$A$2:$A$2918),$A672&gt;MAX(DKW_10Y!$A$2:$A$2918),Settings!$B$16&lt;MIN(DKW_10Y!$A$2:$A$2918)),NA(),(INDEX(DKW_10Y!$H$2:$H$2918,MATCH($A672,DKW_10Y!$A$2:$A$2918,1))-INDEX(DKW_10Y!$H$2:$H$2918,MATCH(Settings!$B$16,DKW_10Y!$A$2:$A$2918,1)))*100))</f>
        <v/>
      </c>
      <c r="AC672" s="18">
        <f>IF(NOT(ISNUMBER($A672)),NA(),IFERROR(1*INDEX(BBG_Data!$N$2:$N$4000,MATCH($A672,BBG_Data!$M$2:$M$4000,0)),NA()))</f>
        <v/>
      </c>
      <c r="AD672" s="18">
        <f>IF(NOT(ISNUMBER($A672)),NA(),IFERROR(1*INDEX(BBG_Data!$P$2:$P$4000,MATCH($A672,BBG_Data!$O$2:$O$4000,0)),NA()))</f>
        <v/>
      </c>
      <c r="AE672" s="18">
        <f>IF(NOT(ISNUMBER($A672)),NA(),IFERROR(1*INDEX(BBG_Data!$R$2:$R$4000,MATCH($A672,BBG_Data!$Q$2:$Q$4000,0)),NA()))</f>
        <v/>
      </c>
      <c r="AF672" s="20">
        <f>IF(AND(ISNUMBER(B672),ISNUMBER(AC672)),(B672-AC672)*100,NA())</f>
        <v/>
      </c>
      <c r="AG672" s="20">
        <f>IF(AND(ISNUMBER(AE672),ISNUMBER(AD672)),(AE672-AD672)*100,NA())</f>
        <v/>
      </c>
      <c r="AH672" s="19">
        <f>IF(NOT(ISNUMBER($A672)),NA(),IFERROR(INDEX(BBG_Data!$T$2:$T$4000,MATCH($A672,BBG_Data!$S$2:$S$4000,0))*Settings!$B$25,NA()))</f>
        <v/>
      </c>
      <c r="AI672" s="19">
        <f>IF(NOT(ISNUMBER($A672)),NA(),IFERROR(INDEX(BBG_Data!$V$2:$V$4000,MATCH($A672,BBG_Data!$U$2:$U$4000,0))*Settings!$B$25,NA()))</f>
        <v/>
      </c>
      <c r="AJ672" s="19">
        <f>IF(NOT(ISNUMBER($A672)),NA(),IFERROR(1*INDEX(BBG_Data!$X$2:$X$4000,MATCH($A672,BBG_Data!$W$2:$W$4000,0)),NA()))</f>
        <v/>
      </c>
      <c r="AK672" s="19">
        <f>IF(NOT(ISNUMBER($A672)),NA(),IFERROR(1*INDEX(BBG_Data!$Z$2:$Z$4000,MATCH($A672,BBG_Data!$Y$2:$Y$4000,0)),NA()))</f>
        <v/>
      </c>
    </row>
    <row r="673">
      <c r="A673" s="17">
        <f>IF(ISNUMBER(BBG_Data!A673),BBG_Data!A673,"")</f>
        <v/>
      </c>
      <c r="B673" s="18">
        <f>IF(AND(ISNUMBER($A673),ISNUMBER(BBG_Data!B673)),BBG_Data!B673,NA())</f>
        <v/>
      </c>
      <c r="C673" s="18">
        <f>IF(NOT(ISNUMBER($A673)),NA(),IFERROR(1*INDEX(BBG_Data!$D$2:$D$4000,MATCH($A673,BBG_Data!$C$2:$C$4000,0)),NA()))</f>
        <v/>
      </c>
      <c r="D673" s="19">
        <f>IF(NOT(ISNUMBER($A673)),NA(),IFERROR(1*INDEX(BBG_Data!$F$2:$F$4000,MATCH($A673,BBG_Data!$E$2:$E$4000,0)),NA()))</f>
        <v/>
      </c>
      <c r="E673" s="19">
        <f>IF(NOT(ISNUMBER($A673)),NA(),IFERROR(1*INDEX(BBG_Data!$H$2:$H$4000,MATCH($A673,BBG_Data!$G$2:$G$4000,0)),NA()))</f>
        <v/>
      </c>
      <c r="F673" s="20">
        <f>IF(AND(ISNUMBER(B673),ISNUMBER(B672)),IF(B673=B672,"",(B673-B672)*100),"")</f>
        <v/>
      </c>
      <c r="G673" s="20">
        <f>IF(AND(ISNUMBER(C673),ISNUMBER(C672)),IF(C673=C672,"",(C673-C672)*100),"")</f>
        <v/>
      </c>
      <c r="H673" s="20">
        <f>IF(OR(NOT(ISNUMBER($A673)),ROW()-2&lt;Settings!$B$11),NA(),IF(COUNT(OFFSET(F673,1-Settings!$B$11,0,Settings!$B$11,1))&lt;ROUNDUP(Settings!$B$11*Settings!$B$26,0),NA(),STDEV(OFFSET(F673,1-Settings!$B$11,0,Settings!$B$11,1))*SQRT(Settings!$B$13)))</f>
        <v/>
      </c>
      <c r="I673" s="20">
        <f>IF(OR(NOT(ISNUMBER($A673)),ROW()-2&lt;Settings!$B$12),NA(),IF(COUNT(OFFSET(F673,1-Settings!$B$12,0,Settings!$B$12,1))&lt;ROUNDUP(Settings!$B$12*Settings!$B$26,0),NA(),STDEV(OFFSET(F673,1-Settings!$B$12,0,Settings!$B$12,1))*SQRT(Settings!$B$13)))</f>
        <v/>
      </c>
      <c r="J673" s="20">
        <f>IF(OR(NOT(ISNUMBER($A673)),ROW()-2&lt;Settings!$B$11),NA(),IF(COUNT(OFFSET(G673,1-Settings!$B$11,0,Settings!$B$11,1))&lt;ROUNDUP(Settings!$B$11*Settings!$B$26,0),NA(),STDEV(OFFSET(G673,1-Settings!$B$11,0,Settings!$B$11,1))*SQRT(Settings!$B$13)))</f>
        <v/>
      </c>
      <c r="K673" s="20">
        <f>IF(OR(NOT(ISNUMBER($A673)),ROW()-2&lt;Settings!$B$12),NA(),IF(COUNT(OFFSET(G673,1-Settings!$B$12,0,Settings!$B$12,1))&lt;ROUNDUP(Settings!$B$12*Settings!$B$26,0),NA(),STDEV(OFFSET(G673,1-Settings!$B$12,0,Settings!$B$12,1))*SQRT(Settings!$B$13)))</f>
        <v/>
      </c>
      <c r="L673" s="20">
        <f>IF(AND(ISNUMBER(D673),ISNUMBER(H673)),D673-H673,NA())</f>
        <v/>
      </c>
      <c r="M673" s="20">
        <f>IF(AND(ISNUMBER(E673),ISNUMBER(K673)),E673-K673,NA())</f>
        <v/>
      </c>
      <c r="N673" s="20">
        <f>IF(NOT(ISNUMBER($A673)),NA(),IF(COUNT(OFFSET(G673,1,0,Settings!$B$12,1))&lt;ROUNDUP(Settings!$B$12*Settings!$B$26,0),NA(),STDEV(OFFSET(G673,1,0,Settings!$B$12,1))*SQRT(Settings!$B$13)))</f>
        <v/>
      </c>
      <c r="O673" s="20">
        <f>IF(AND(ISNUMBER(E673),ISNUMBER(N673)),E673-N673,NA())</f>
        <v/>
      </c>
      <c r="P673" s="19">
        <f>IF(NOT(ISNUMBER($A673)),NA(),IF(OR($A673&lt;MIN(KW_TP!$A$2:$A$2501),$A673&gt;MAX(KW_TP!$A$2:$A$2501)),NA(),INDEX(KW_TP!$C$2:$C$2501,MATCH($A673,KW_TP!$A$2:$A$2501,1))))</f>
        <v/>
      </c>
      <c r="Q673" s="18">
        <f>IF(NOT(ISNUMBER($A673)),NA(),IFERROR(1*INDEX(BBG_Data!$J$2:$J$4000,MATCH($A673,BBG_Data!$I$2:$I$4000,0)),NA()))</f>
        <v/>
      </c>
      <c r="R673" s="18">
        <f>IF(NOT(ISNUMBER($A673)),NA(),IFERROR(1*INDEX(BBG_Data!$L$2:$L$4000,MATCH($A673,BBG_Data!$K$2:$K$4000,0)),NA()))</f>
        <v/>
      </c>
      <c r="S673" s="20">
        <f>IF(AND(ISNUMBER(B673),ISNUMBER(Q673),ISNUMBER(R673)),(B673-Q673-R673)*100,NA())</f>
        <v/>
      </c>
      <c r="T673" s="20">
        <f>IF(AND(ISNUMBER(B673),Settings!$B$17&gt;0),IF(ISNUMBER(INDEX($B:$B,Settings!$B$17)),(B673-INDEX($B:$B,Settings!$B$17))*100,NA()),NA())</f>
        <v/>
      </c>
      <c r="U673" s="20">
        <f>IF(AND(ISNUMBER(Q673),Settings!$B$17&gt;0),IF(ISNUMBER(INDEX($Q:$Q,Settings!$B$17)),(Q673-INDEX($Q:$Q,Settings!$B$17))*100,NA()),NA())</f>
        <v/>
      </c>
      <c r="V673" s="20">
        <f>IF(AND(ISNUMBER(R673),Settings!$B$17&gt;0),IF(ISNUMBER(INDEX($R:$R,Settings!$B$17)),(R673-INDEX($R:$R,Settings!$B$17))*100,NA()),NA())</f>
        <v/>
      </c>
      <c r="W673" s="20">
        <f>IF(AND(ISNUMBER(P673),Settings!$B$17&gt;0),IF(ISNUMBER(INDEX($P:$P,Settings!$B$17)),P673-INDEX($P:$P,Settings!$B$17),NA()),NA())</f>
        <v/>
      </c>
      <c r="X673" s="19">
        <f>IF(NOT(ISNUMBER($A673)),NA(),IF(OR($A673&lt;MIN(DKW_10Y!$A$2:$A$2918),$A673&gt;MAX(DKW_10Y!$A$2:$A$2918),Settings!$B$16&lt;MIN(DKW_10Y!$A$2:$A$2918)),NA(),(INDEX(DKW_10Y!$B$2:$B$2918,MATCH($A673,DKW_10Y!$A$2:$A$2918,1))-INDEX(DKW_10Y!$B$2:$B$2918,MATCH(Settings!$B$16,DKW_10Y!$A$2:$A$2918,1)))*100))</f>
        <v/>
      </c>
      <c r="Y673" s="19">
        <f>IF(NOT(ISNUMBER($A673)),NA(),IF(OR($A673&lt;MIN(DKW_10Y!$A$2:$A$2918),$A673&gt;MAX(DKW_10Y!$A$2:$A$2918),Settings!$B$16&lt;MIN(DKW_10Y!$A$2:$A$2918)),NA(),(INDEX(DKW_10Y!$C$2:$C$2918,MATCH($A673,DKW_10Y!$A$2:$A$2918,1))-INDEX(DKW_10Y!$C$2:$C$2918,MATCH(Settings!$B$16,DKW_10Y!$A$2:$A$2918,1)))*100))</f>
        <v/>
      </c>
      <c r="Z673" s="19">
        <f>IF(NOT(ISNUMBER($A673)),NA(),IF(OR($A673&lt;MIN(DKW_10Y!$A$2:$A$2918),$A673&gt;MAX(DKW_10Y!$A$2:$A$2918),Settings!$B$16&lt;MIN(DKW_10Y!$A$2:$A$2918)),NA(),(INDEX(DKW_10Y!$D$2:$D$2918,MATCH($A673,DKW_10Y!$A$2:$A$2918,1))-INDEX(DKW_10Y!$D$2:$D$2918,MATCH(Settings!$B$16,DKW_10Y!$A$2:$A$2918,1)))*100))</f>
        <v/>
      </c>
      <c r="AA673" s="19">
        <f>IF(NOT(ISNUMBER($A673)),NA(),IF(OR($A673&lt;MIN(DKW_10Y!$A$2:$A$2918),$A673&gt;MAX(DKW_10Y!$A$2:$A$2918),Settings!$B$16&lt;MIN(DKW_10Y!$A$2:$A$2918)),NA(),(INDEX(DKW_10Y!$E$2:$E$2918,MATCH($A673,DKW_10Y!$A$2:$A$2918,1))-INDEX(DKW_10Y!$E$2:$E$2918,MATCH(Settings!$B$16,DKW_10Y!$A$2:$A$2918,1)))*100))</f>
        <v/>
      </c>
      <c r="AB673" s="19">
        <f>IF(NOT(ISNUMBER($A673)),NA(),IF(OR($A673&lt;MIN(DKW_10Y!$A$2:$A$2918),$A673&gt;MAX(DKW_10Y!$A$2:$A$2918),Settings!$B$16&lt;MIN(DKW_10Y!$A$2:$A$2918)),NA(),(INDEX(DKW_10Y!$H$2:$H$2918,MATCH($A673,DKW_10Y!$A$2:$A$2918,1))-INDEX(DKW_10Y!$H$2:$H$2918,MATCH(Settings!$B$16,DKW_10Y!$A$2:$A$2918,1)))*100))</f>
        <v/>
      </c>
      <c r="AC673" s="18">
        <f>IF(NOT(ISNUMBER($A673)),NA(),IFERROR(1*INDEX(BBG_Data!$N$2:$N$4000,MATCH($A673,BBG_Data!$M$2:$M$4000,0)),NA()))</f>
        <v/>
      </c>
      <c r="AD673" s="18">
        <f>IF(NOT(ISNUMBER($A673)),NA(),IFERROR(1*INDEX(BBG_Data!$P$2:$P$4000,MATCH($A673,BBG_Data!$O$2:$O$4000,0)),NA()))</f>
        <v/>
      </c>
      <c r="AE673" s="18">
        <f>IF(NOT(ISNUMBER($A673)),NA(),IFERROR(1*INDEX(BBG_Data!$R$2:$R$4000,MATCH($A673,BBG_Data!$Q$2:$Q$4000,0)),NA()))</f>
        <v/>
      </c>
      <c r="AF673" s="20">
        <f>IF(AND(ISNUMBER(B673),ISNUMBER(AC673)),(B673-AC673)*100,NA())</f>
        <v/>
      </c>
      <c r="AG673" s="20">
        <f>IF(AND(ISNUMBER(AE673),ISNUMBER(AD673)),(AE673-AD673)*100,NA())</f>
        <v/>
      </c>
      <c r="AH673" s="19">
        <f>IF(NOT(ISNUMBER($A673)),NA(),IFERROR(INDEX(BBG_Data!$T$2:$T$4000,MATCH($A673,BBG_Data!$S$2:$S$4000,0))*Settings!$B$25,NA()))</f>
        <v/>
      </c>
      <c r="AI673" s="19">
        <f>IF(NOT(ISNUMBER($A673)),NA(),IFERROR(INDEX(BBG_Data!$V$2:$V$4000,MATCH($A673,BBG_Data!$U$2:$U$4000,0))*Settings!$B$25,NA()))</f>
        <v/>
      </c>
      <c r="AJ673" s="19">
        <f>IF(NOT(ISNUMBER($A673)),NA(),IFERROR(1*INDEX(BBG_Data!$X$2:$X$4000,MATCH($A673,BBG_Data!$W$2:$W$4000,0)),NA()))</f>
        <v/>
      </c>
      <c r="AK673" s="19">
        <f>IF(NOT(ISNUMBER($A673)),NA(),IFERROR(1*INDEX(BBG_Data!$Z$2:$Z$4000,MATCH($A673,BBG_Data!$Y$2:$Y$4000,0)),NA()))</f>
        <v/>
      </c>
    </row>
    <row r="674">
      <c r="A674" s="17">
        <f>IF(ISNUMBER(BBG_Data!A674),BBG_Data!A674,"")</f>
        <v/>
      </c>
      <c r="B674" s="18">
        <f>IF(AND(ISNUMBER($A674),ISNUMBER(BBG_Data!B674)),BBG_Data!B674,NA())</f>
        <v/>
      </c>
      <c r="C674" s="18">
        <f>IF(NOT(ISNUMBER($A674)),NA(),IFERROR(1*INDEX(BBG_Data!$D$2:$D$4000,MATCH($A674,BBG_Data!$C$2:$C$4000,0)),NA()))</f>
        <v/>
      </c>
      <c r="D674" s="19">
        <f>IF(NOT(ISNUMBER($A674)),NA(),IFERROR(1*INDEX(BBG_Data!$F$2:$F$4000,MATCH($A674,BBG_Data!$E$2:$E$4000,0)),NA()))</f>
        <v/>
      </c>
      <c r="E674" s="19">
        <f>IF(NOT(ISNUMBER($A674)),NA(),IFERROR(1*INDEX(BBG_Data!$H$2:$H$4000,MATCH($A674,BBG_Data!$G$2:$G$4000,0)),NA()))</f>
        <v/>
      </c>
      <c r="F674" s="20">
        <f>IF(AND(ISNUMBER(B674),ISNUMBER(B673)),IF(B674=B673,"",(B674-B673)*100),"")</f>
        <v/>
      </c>
      <c r="G674" s="20">
        <f>IF(AND(ISNUMBER(C674),ISNUMBER(C673)),IF(C674=C673,"",(C674-C673)*100),"")</f>
        <v/>
      </c>
      <c r="H674" s="20">
        <f>IF(OR(NOT(ISNUMBER($A674)),ROW()-2&lt;Settings!$B$11),NA(),IF(COUNT(OFFSET(F674,1-Settings!$B$11,0,Settings!$B$11,1))&lt;ROUNDUP(Settings!$B$11*Settings!$B$26,0),NA(),STDEV(OFFSET(F674,1-Settings!$B$11,0,Settings!$B$11,1))*SQRT(Settings!$B$13)))</f>
        <v/>
      </c>
      <c r="I674" s="20">
        <f>IF(OR(NOT(ISNUMBER($A674)),ROW()-2&lt;Settings!$B$12),NA(),IF(COUNT(OFFSET(F674,1-Settings!$B$12,0,Settings!$B$12,1))&lt;ROUNDUP(Settings!$B$12*Settings!$B$26,0),NA(),STDEV(OFFSET(F674,1-Settings!$B$12,0,Settings!$B$12,1))*SQRT(Settings!$B$13)))</f>
        <v/>
      </c>
      <c r="J674" s="20">
        <f>IF(OR(NOT(ISNUMBER($A674)),ROW()-2&lt;Settings!$B$11),NA(),IF(COUNT(OFFSET(G674,1-Settings!$B$11,0,Settings!$B$11,1))&lt;ROUNDUP(Settings!$B$11*Settings!$B$26,0),NA(),STDEV(OFFSET(G674,1-Settings!$B$11,0,Settings!$B$11,1))*SQRT(Settings!$B$13)))</f>
        <v/>
      </c>
      <c r="K674" s="20">
        <f>IF(OR(NOT(ISNUMBER($A674)),ROW()-2&lt;Settings!$B$12),NA(),IF(COUNT(OFFSET(G674,1-Settings!$B$12,0,Settings!$B$12,1))&lt;ROUNDUP(Settings!$B$12*Settings!$B$26,0),NA(),STDEV(OFFSET(G674,1-Settings!$B$12,0,Settings!$B$12,1))*SQRT(Settings!$B$13)))</f>
        <v/>
      </c>
      <c r="L674" s="20">
        <f>IF(AND(ISNUMBER(D674),ISNUMBER(H674)),D674-H674,NA())</f>
        <v/>
      </c>
      <c r="M674" s="20">
        <f>IF(AND(ISNUMBER(E674),ISNUMBER(K674)),E674-K674,NA())</f>
        <v/>
      </c>
      <c r="N674" s="20">
        <f>IF(NOT(ISNUMBER($A674)),NA(),IF(COUNT(OFFSET(G674,1,0,Settings!$B$12,1))&lt;ROUNDUP(Settings!$B$12*Settings!$B$26,0),NA(),STDEV(OFFSET(G674,1,0,Settings!$B$12,1))*SQRT(Settings!$B$13)))</f>
        <v/>
      </c>
      <c r="O674" s="20">
        <f>IF(AND(ISNUMBER(E674),ISNUMBER(N674)),E674-N674,NA())</f>
        <v/>
      </c>
      <c r="P674" s="19">
        <f>IF(NOT(ISNUMBER($A674)),NA(),IF(OR($A674&lt;MIN(KW_TP!$A$2:$A$2501),$A674&gt;MAX(KW_TP!$A$2:$A$2501)),NA(),INDEX(KW_TP!$C$2:$C$2501,MATCH($A674,KW_TP!$A$2:$A$2501,1))))</f>
        <v/>
      </c>
      <c r="Q674" s="18">
        <f>IF(NOT(ISNUMBER($A674)),NA(),IFERROR(1*INDEX(BBG_Data!$J$2:$J$4000,MATCH($A674,BBG_Data!$I$2:$I$4000,0)),NA()))</f>
        <v/>
      </c>
      <c r="R674" s="18">
        <f>IF(NOT(ISNUMBER($A674)),NA(),IFERROR(1*INDEX(BBG_Data!$L$2:$L$4000,MATCH($A674,BBG_Data!$K$2:$K$4000,0)),NA()))</f>
        <v/>
      </c>
      <c r="S674" s="20">
        <f>IF(AND(ISNUMBER(B674),ISNUMBER(Q674),ISNUMBER(R674)),(B674-Q674-R674)*100,NA())</f>
        <v/>
      </c>
      <c r="T674" s="20">
        <f>IF(AND(ISNUMBER(B674),Settings!$B$17&gt;0),IF(ISNUMBER(INDEX($B:$B,Settings!$B$17)),(B674-INDEX($B:$B,Settings!$B$17))*100,NA()),NA())</f>
        <v/>
      </c>
      <c r="U674" s="20">
        <f>IF(AND(ISNUMBER(Q674),Settings!$B$17&gt;0),IF(ISNUMBER(INDEX($Q:$Q,Settings!$B$17)),(Q674-INDEX($Q:$Q,Settings!$B$17))*100,NA()),NA())</f>
        <v/>
      </c>
      <c r="V674" s="20">
        <f>IF(AND(ISNUMBER(R674),Settings!$B$17&gt;0),IF(ISNUMBER(INDEX($R:$R,Settings!$B$17)),(R674-INDEX($R:$R,Settings!$B$17))*100,NA()),NA())</f>
        <v/>
      </c>
      <c r="W674" s="20">
        <f>IF(AND(ISNUMBER(P674),Settings!$B$17&gt;0),IF(ISNUMBER(INDEX($P:$P,Settings!$B$17)),P674-INDEX($P:$P,Settings!$B$17),NA()),NA())</f>
        <v/>
      </c>
      <c r="X674" s="19">
        <f>IF(NOT(ISNUMBER($A674)),NA(),IF(OR($A674&lt;MIN(DKW_10Y!$A$2:$A$2918),$A674&gt;MAX(DKW_10Y!$A$2:$A$2918),Settings!$B$16&lt;MIN(DKW_10Y!$A$2:$A$2918)),NA(),(INDEX(DKW_10Y!$B$2:$B$2918,MATCH($A674,DKW_10Y!$A$2:$A$2918,1))-INDEX(DKW_10Y!$B$2:$B$2918,MATCH(Settings!$B$16,DKW_10Y!$A$2:$A$2918,1)))*100))</f>
        <v/>
      </c>
      <c r="Y674" s="19">
        <f>IF(NOT(ISNUMBER($A674)),NA(),IF(OR($A674&lt;MIN(DKW_10Y!$A$2:$A$2918),$A674&gt;MAX(DKW_10Y!$A$2:$A$2918),Settings!$B$16&lt;MIN(DKW_10Y!$A$2:$A$2918)),NA(),(INDEX(DKW_10Y!$C$2:$C$2918,MATCH($A674,DKW_10Y!$A$2:$A$2918,1))-INDEX(DKW_10Y!$C$2:$C$2918,MATCH(Settings!$B$16,DKW_10Y!$A$2:$A$2918,1)))*100))</f>
        <v/>
      </c>
      <c r="Z674" s="19">
        <f>IF(NOT(ISNUMBER($A674)),NA(),IF(OR($A674&lt;MIN(DKW_10Y!$A$2:$A$2918),$A674&gt;MAX(DKW_10Y!$A$2:$A$2918),Settings!$B$16&lt;MIN(DKW_10Y!$A$2:$A$2918)),NA(),(INDEX(DKW_10Y!$D$2:$D$2918,MATCH($A674,DKW_10Y!$A$2:$A$2918,1))-INDEX(DKW_10Y!$D$2:$D$2918,MATCH(Settings!$B$16,DKW_10Y!$A$2:$A$2918,1)))*100))</f>
        <v/>
      </c>
      <c r="AA674" s="19">
        <f>IF(NOT(ISNUMBER($A674)),NA(),IF(OR($A674&lt;MIN(DKW_10Y!$A$2:$A$2918),$A674&gt;MAX(DKW_10Y!$A$2:$A$2918),Settings!$B$16&lt;MIN(DKW_10Y!$A$2:$A$2918)),NA(),(INDEX(DKW_10Y!$E$2:$E$2918,MATCH($A674,DKW_10Y!$A$2:$A$2918,1))-INDEX(DKW_10Y!$E$2:$E$2918,MATCH(Settings!$B$16,DKW_10Y!$A$2:$A$2918,1)))*100))</f>
        <v/>
      </c>
      <c r="AB674" s="19">
        <f>IF(NOT(ISNUMBER($A674)),NA(),IF(OR($A674&lt;MIN(DKW_10Y!$A$2:$A$2918),$A674&gt;MAX(DKW_10Y!$A$2:$A$2918),Settings!$B$16&lt;MIN(DKW_10Y!$A$2:$A$2918)),NA(),(INDEX(DKW_10Y!$H$2:$H$2918,MATCH($A674,DKW_10Y!$A$2:$A$2918,1))-INDEX(DKW_10Y!$H$2:$H$2918,MATCH(Settings!$B$16,DKW_10Y!$A$2:$A$2918,1)))*100))</f>
        <v/>
      </c>
      <c r="AC674" s="18">
        <f>IF(NOT(ISNUMBER($A674)),NA(),IFERROR(1*INDEX(BBG_Data!$N$2:$N$4000,MATCH($A674,BBG_Data!$M$2:$M$4000,0)),NA()))</f>
        <v/>
      </c>
      <c r="AD674" s="18">
        <f>IF(NOT(ISNUMBER($A674)),NA(),IFERROR(1*INDEX(BBG_Data!$P$2:$P$4000,MATCH($A674,BBG_Data!$O$2:$O$4000,0)),NA()))</f>
        <v/>
      </c>
      <c r="AE674" s="18">
        <f>IF(NOT(ISNUMBER($A674)),NA(),IFERROR(1*INDEX(BBG_Data!$R$2:$R$4000,MATCH($A674,BBG_Data!$Q$2:$Q$4000,0)),NA()))</f>
        <v/>
      </c>
      <c r="AF674" s="20">
        <f>IF(AND(ISNUMBER(B674),ISNUMBER(AC674)),(B674-AC674)*100,NA())</f>
        <v/>
      </c>
      <c r="AG674" s="20">
        <f>IF(AND(ISNUMBER(AE674),ISNUMBER(AD674)),(AE674-AD674)*100,NA())</f>
        <v/>
      </c>
      <c r="AH674" s="19">
        <f>IF(NOT(ISNUMBER($A674)),NA(),IFERROR(INDEX(BBG_Data!$T$2:$T$4000,MATCH($A674,BBG_Data!$S$2:$S$4000,0))*Settings!$B$25,NA()))</f>
        <v/>
      </c>
      <c r="AI674" s="19">
        <f>IF(NOT(ISNUMBER($A674)),NA(),IFERROR(INDEX(BBG_Data!$V$2:$V$4000,MATCH($A674,BBG_Data!$U$2:$U$4000,0))*Settings!$B$25,NA()))</f>
        <v/>
      </c>
      <c r="AJ674" s="19">
        <f>IF(NOT(ISNUMBER($A674)),NA(),IFERROR(1*INDEX(BBG_Data!$X$2:$X$4000,MATCH($A674,BBG_Data!$W$2:$W$4000,0)),NA()))</f>
        <v/>
      </c>
      <c r="AK674" s="19">
        <f>IF(NOT(ISNUMBER($A674)),NA(),IFERROR(1*INDEX(BBG_Data!$Z$2:$Z$4000,MATCH($A674,BBG_Data!$Y$2:$Y$4000,0)),NA()))</f>
        <v/>
      </c>
    </row>
    <row r="675">
      <c r="A675" s="17">
        <f>IF(ISNUMBER(BBG_Data!A675),BBG_Data!A675,"")</f>
        <v/>
      </c>
      <c r="B675" s="18">
        <f>IF(AND(ISNUMBER($A675),ISNUMBER(BBG_Data!B675)),BBG_Data!B675,NA())</f>
        <v/>
      </c>
      <c r="C675" s="18">
        <f>IF(NOT(ISNUMBER($A675)),NA(),IFERROR(1*INDEX(BBG_Data!$D$2:$D$4000,MATCH($A675,BBG_Data!$C$2:$C$4000,0)),NA()))</f>
        <v/>
      </c>
      <c r="D675" s="19">
        <f>IF(NOT(ISNUMBER($A675)),NA(),IFERROR(1*INDEX(BBG_Data!$F$2:$F$4000,MATCH($A675,BBG_Data!$E$2:$E$4000,0)),NA()))</f>
        <v/>
      </c>
      <c r="E675" s="19">
        <f>IF(NOT(ISNUMBER($A675)),NA(),IFERROR(1*INDEX(BBG_Data!$H$2:$H$4000,MATCH($A675,BBG_Data!$G$2:$G$4000,0)),NA()))</f>
        <v/>
      </c>
      <c r="F675" s="20">
        <f>IF(AND(ISNUMBER(B675),ISNUMBER(B674)),IF(B675=B674,"",(B675-B674)*100),"")</f>
        <v/>
      </c>
      <c r="G675" s="20">
        <f>IF(AND(ISNUMBER(C675),ISNUMBER(C674)),IF(C675=C674,"",(C675-C674)*100),"")</f>
        <v/>
      </c>
      <c r="H675" s="20">
        <f>IF(OR(NOT(ISNUMBER($A675)),ROW()-2&lt;Settings!$B$11),NA(),IF(COUNT(OFFSET(F675,1-Settings!$B$11,0,Settings!$B$11,1))&lt;ROUNDUP(Settings!$B$11*Settings!$B$26,0),NA(),STDEV(OFFSET(F675,1-Settings!$B$11,0,Settings!$B$11,1))*SQRT(Settings!$B$13)))</f>
        <v/>
      </c>
      <c r="I675" s="20">
        <f>IF(OR(NOT(ISNUMBER($A675)),ROW()-2&lt;Settings!$B$12),NA(),IF(COUNT(OFFSET(F675,1-Settings!$B$12,0,Settings!$B$12,1))&lt;ROUNDUP(Settings!$B$12*Settings!$B$26,0),NA(),STDEV(OFFSET(F675,1-Settings!$B$12,0,Settings!$B$12,1))*SQRT(Settings!$B$13)))</f>
        <v/>
      </c>
      <c r="J675" s="20">
        <f>IF(OR(NOT(ISNUMBER($A675)),ROW()-2&lt;Settings!$B$11),NA(),IF(COUNT(OFFSET(G675,1-Settings!$B$11,0,Settings!$B$11,1))&lt;ROUNDUP(Settings!$B$11*Settings!$B$26,0),NA(),STDEV(OFFSET(G675,1-Settings!$B$11,0,Settings!$B$11,1))*SQRT(Settings!$B$13)))</f>
        <v/>
      </c>
      <c r="K675" s="20">
        <f>IF(OR(NOT(ISNUMBER($A675)),ROW()-2&lt;Settings!$B$12),NA(),IF(COUNT(OFFSET(G675,1-Settings!$B$12,0,Settings!$B$12,1))&lt;ROUNDUP(Settings!$B$12*Settings!$B$26,0),NA(),STDEV(OFFSET(G675,1-Settings!$B$12,0,Settings!$B$12,1))*SQRT(Settings!$B$13)))</f>
        <v/>
      </c>
      <c r="L675" s="20">
        <f>IF(AND(ISNUMBER(D675),ISNUMBER(H675)),D675-H675,NA())</f>
        <v/>
      </c>
      <c r="M675" s="20">
        <f>IF(AND(ISNUMBER(E675),ISNUMBER(K675)),E675-K675,NA())</f>
        <v/>
      </c>
      <c r="N675" s="20">
        <f>IF(NOT(ISNUMBER($A675)),NA(),IF(COUNT(OFFSET(G675,1,0,Settings!$B$12,1))&lt;ROUNDUP(Settings!$B$12*Settings!$B$26,0),NA(),STDEV(OFFSET(G675,1,0,Settings!$B$12,1))*SQRT(Settings!$B$13)))</f>
        <v/>
      </c>
      <c r="O675" s="20">
        <f>IF(AND(ISNUMBER(E675),ISNUMBER(N675)),E675-N675,NA())</f>
        <v/>
      </c>
      <c r="P675" s="19">
        <f>IF(NOT(ISNUMBER($A675)),NA(),IF(OR($A675&lt;MIN(KW_TP!$A$2:$A$2501),$A675&gt;MAX(KW_TP!$A$2:$A$2501)),NA(),INDEX(KW_TP!$C$2:$C$2501,MATCH($A675,KW_TP!$A$2:$A$2501,1))))</f>
        <v/>
      </c>
      <c r="Q675" s="18">
        <f>IF(NOT(ISNUMBER($A675)),NA(),IFERROR(1*INDEX(BBG_Data!$J$2:$J$4000,MATCH($A675,BBG_Data!$I$2:$I$4000,0)),NA()))</f>
        <v/>
      </c>
      <c r="R675" s="18">
        <f>IF(NOT(ISNUMBER($A675)),NA(),IFERROR(1*INDEX(BBG_Data!$L$2:$L$4000,MATCH($A675,BBG_Data!$K$2:$K$4000,0)),NA()))</f>
        <v/>
      </c>
      <c r="S675" s="20">
        <f>IF(AND(ISNUMBER(B675),ISNUMBER(Q675),ISNUMBER(R675)),(B675-Q675-R675)*100,NA())</f>
        <v/>
      </c>
      <c r="T675" s="20">
        <f>IF(AND(ISNUMBER(B675),Settings!$B$17&gt;0),IF(ISNUMBER(INDEX($B:$B,Settings!$B$17)),(B675-INDEX($B:$B,Settings!$B$17))*100,NA()),NA())</f>
        <v/>
      </c>
      <c r="U675" s="20">
        <f>IF(AND(ISNUMBER(Q675),Settings!$B$17&gt;0),IF(ISNUMBER(INDEX($Q:$Q,Settings!$B$17)),(Q675-INDEX($Q:$Q,Settings!$B$17))*100,NA()),NA())</f>
        <v/>
      </c>
      <c r="V675" s="20">
        <f>IF(AND(ISNUMBER(R675),Settings!$B$17&gt;0),IF(ISNUMBER(INDEX($R:$R,Settings!$B$17)),(R675-INDEX($R:$R,Settings!$B$17))*100,NA()),NA())</f>
        <v/>
      </c>
      <c r="W675" s="20">
        <f>IF(AND(ISNUMBER(P675),Settings!$B$17&gt;0),IF(ISNUMBER(INDEX($P:$P,Settings!$B$17)),P675-INDEX($P:$P,Settings!$B$17),NA()),NA())</f>
        <v/>
      </c>
      <c r="X675" s="19">
        <f>IF(NOT(ISNUMBER($A675)),NA(),IF(OR($A675&lt;MIN(DKW_10Y!$A$2:$A$2918),$A675&gt;MAX(DKW_10Y!$A$2:$A$2918),Settings!$B$16&lt;MIN(DKW_10Y!$A$2:$A$2918)),NA(),(INDEX(DKW_10Y!$B$2:$B$2918,MATCH($A675,DKW_10Y!$A$2:$A$2918,1))-INDEX(DKW_10Y!$B$2:$B$2918,MATCH(Settings!$B$16,DKW_10Y!$A$2:$A$2918,1)))*100))</f>
        <v/>
      </c>
      <c r="Y675" s="19">
        <f>IF(NOT(ISNUMBER($A675)),NA(),IF(OR($A675&lt;MIN(DKW_10Y!$A$2:$A$2918),$A675&gt;MAX(DKW_10Y!$A$2:$A$2918),Settings!$B$16&lt;MIN(DKW_10Y!$A$2:$A$2918)),NA(),(INDEX(DKW_10Y!$C$2:$C$2918,MATCH($A675,DKW_10Y!$A$2:$A$2918,1))-INDEX(DKW_10Y!$C$2:$C$2918,MATCH(Settings!$B$16,DKW_10Y!$A$2:$A$2918,1)))*100))</f>
        <v/>
      </c>
      <c r="Z675" s="19">
        <f>IF(NOT(ISNUMBER($A675)),NA(),IF(OR($A675&lt;MIN(DKW_10Y!$A$2:$A$2918),$A675&gt;MAX(DKW_10Y!$A$2:$A$2918),Settings!$B$16&lt;MIN(DKW_10Y!$A$2:$A$2918)),NA(),(INDEX(DKW_10Y!$D$2:$D$2918,MATCH($A675,DKW_10Y!$A$2:$A$2918,1))-INDEX(DKW_10Y!$D$2:$D$2918,MATCH(Settings!$B$16,DKW_10Y!$A$2:$A$2918,1)))*100))</f>
        <v/>
      </c>
      <c r="AA675" s="19">
        <f>IF(NOT(ISNUMBER($A675)),NA(),IF(OR($A675&lt;MIN(DKW_10Y!$A$2:$A$2918),$A675&gt;MAX(DKW_10Y!$A$2:$A$2918),Settings!$B$16&lt;MIN(DKW_10Y!$A$2:$A$2918)),NA(),(INDEX(DKW_10Y!$E$2:$E$2918,MATCH($A675,DKW_10Y!$A$2:$A$2918,1))-INDEX(DKW_10Y!$E$2:$E$2918,MATCH(Settings!$B$16,DKW_10Y!$A$2:$A$2918,1)))*100))</f>
        <v/>
      </c>
      <c r="AB675" s="19">
        <f>IF(NOT(ISNUMBER($A675)),NA(),IF(OR($A675&lt;MIN(DKW_10Y!$A$2:$A$2918),$A675&gt;MAX(DKW_10Y!$A$2:$A$2918),Settings!$B$16&lt;MIN(DKW_10Y!$A$2:$A$2918)),NA(),(INDEX(DKW_10Y!$H$2:$H$2918,MATCH($A675,DKW_10Y!$A$2:$A$2918,1))-INDEX(DKW_10Y!$H$2:$H$2918,MATCH(Settings!$B$16,DKW_10Y!$A$2:$A$2918,1)))*100))</f>
        <v/>
      </c>
      <c r="AC675" s="18">
        <f>IF(NOT(ISNUMBER($A675)),NA(),IFERROR(1*INDEX(BBG_Data!$N$2:$N$4000,MATCH($A675,BBG_Data!$M$2:$M$4000,0)),NA()))</f>
        <v/>
      </c>
      <c r="AD675" s="18">
        <f>IF(NOT(ISNUMBER($A675)),NA(),IFERROR(1*INDEX(BBG_Data!$P$2:$P$4000,MATCH($A675,BBG_Data!$O$2:$O$4000,0)),NA()))</f>
        <v/>
      </c>
      <c r="AE675" s="18">
        <f>IF(NOT(ISNUMBER($A675)),NA(),IFERROR(1*INDEX(BBG_Data!$R$2:$R$4000,MATCH($A675,BBG_Data!$Q$2:$Q$4000,0)),NA()))</f>
        <v/>
      </c>
      <c r="AF675" s="20">
        <f>IF(AND(ISNUMBER(B675),ISNUMBER(AC675)),(B675-AC675)*100,NA())</f>
        <v/>
      </c>
      <c r="AG675" s="20">
        <f>IF(AND(ISNUMBER(AE675),ISNUMBER(AD675)),(AE675-AD675)*100,NA())</f>
        <v/>
      </c>
      <c r="AH675" s="19">
        <f>IF(NOT(ISNUMBER($A675)),NA(),IFERROR(INDEX(BBG_Data!$T$2:$T$4000,MATCH($A675,BBG_Data!$S$2:$S$4000,0))*Settings!$B$25,NA()))</f>
        <v/>
      </c>
      <c r="AI675" s="19">
        <f>IF(NOT(ISNUMBER($A675)),NA(),IFERROR(INDEX(BBG_Data!$V$2:$V$4000,MATCH($A675,BBG_Data!$U$2:$U$4000,0))*Settings!$B$25,NA()))</f>
        <v/>
      </c>
      <c r="AJ675" s="19">
        <f>IF(NOT(ISNUMBER($A675)),NA(),IFERROR(1*INDEX(BBG_Data!$X$2:$X$4000,MATCH($A675,BBG_Data!$W$2:$W$4000,0)),NA()))</f>
        <v/>
      </c>
      <c r="AK675" s="19">
        <f>IF(NOT(ISNUMBER($A675)),NA(),IFERROR(1*INDEX(BBG_Data!$Z$2:$Z$4000,MATCH($A675,BBG_Data!$Y$2:$Y$4000,0)),NA()))</f>
        <v/>
      </c>
    </row>
    <row r="676">
      <c r="A676" s="17">
        <f>IF(ISNUMBER(BBG_Data!A676),BBG_Data!A676,"")</f>
        <v/>
      </c>
      <c r="B676" s="18">
        <f>IF(AND(ISNUMBER($A676),ISNUMBER(BBG_Data!B676)),BBG_Data!B676,NA())</f>
        <v/>
      </c>
      <c r="C676" s="18">
        <f>IF(NOT(ISNUMBER($A676)),NA(),IFERROR(1*INDEX(BBG_Data!$D$2:$D$4000,MATCH($A676,BBG_Data!$C$2:$C$4000,0)),NA()))</f>
        <v/>
      </c>
      <c r="D676" s="19">
        <f>IF(NOT(ISNUMBER($A676)),NA(),IFERROR(1*INDEX(BBG_Data!$F$2:$F$4000,MATCH($A676,BBG_Data!$E$2:$E$4000,0)),NA()))</f>
        <v/>
      </c>
      <c r="E676" s="19">
        <f>IF(NOT(ISNUMBER($A676)),NA(),IFERROR(1*INDEX(BBG_Data!$H$2:$H$4000,MATCH($A676,BBG_Data!$G$2:$G$4000,0)),NA()))</f>
        <v/>
      </c>
      <c r="F676" s="20">
        <f>IF(AND(ISNUMBER(B676),ISNUMBER(B675)),IF(B676=B675,"",(B676-B675)*100),"")</f>
        <v/>
      </c>
      <c r="G676" s="20">
        <f>IF(AND(ISNUMBER(C676),ISNUMBER(C675)),IF(C676=C675,"",(C676-C675)*100),"")</f>
        <v/>
      </c>
      <c r="H676" s="20">
        <f>IF(OR(NOT(ISNUMBER($A676)),ROW()-2&lt;Settings!$B$11),NA(),IF(COUNT(OFFSET(F676,1-Settings!$B$11,0,Settings!$B$11,1))&lt;ROUNDUP(Settings!$B$11*Settings!$B$26,0),NA(),STDEV(OFFSET(F676,1-Settings!$B$11,0,Settings!$B$11,1))*SQRT(Settings!$B$13)))</f>
        <v/>
      </c>
      <c r="I676" s="20">
        <f>IF(OR(NOT(ISNUMBER($A676)),ROW()-2&lt;Settings!$B$12),NA(),IF(COUNT(OFFSET(F676,1-Settings!$B$12,0,Settings!$B$12,1))&lt;ROUNDUP(Settings!$B$12*Settings!$B$26,0),NA(),STDEV(OFFSET(F676,1-Settings!$B$12,0,Settings!$B$12,1))*SQRT(Settings!$B$13)))</f>
        <v/>
      </c>
      <c r="J676" s="20">
        <f>IF(OR(NOT(ISNUMBER($A676)),ROW()-2&lt;Settings!$B$11),NA(),IF(COUNT(OFFSET(G676,1-Settings!$B$11,0,Settings!$B$11,1))&lt;ROUNDUP(Settings!$B$11*Settings!$B$26,0),NA(),STDEV(OFFSET(G676,1-Settings!$B$11,0,Settings!$B$11,1))*SQRT(Settings!$B$13)))</f>
        <v/>
      </c>
      <c r="K676" s="20">
        <f>IF(OR(NOT(ISNUMBER($A676)),ROW()-2&lt;Settings!$B$12),NA(),IF(COUNT(OFFSET(G676,1-Settings!$B$12,0,Settings!$B$12,1))&lt;ROUNDUP(Settings!$B$12*Settings!$B$26,0),NA(),STDEV(OFFSET(G676,1-Settings!$B$12,0,Settings!$B$12,1))*SQRT(Settings!$B$13)))</f>
        <v/>
      </c>
      <c r="L676" s="20">
        <f>IF(AND(ISNUMBER(D676),ISNUMBER(H676)),D676-H676,NA())</f>
        <v/>
      </c>
      <c r="M676" s="20">
        <f>IF(AND(ISNUMBER(E676),ISNUMBER(K676)),E676-K676,NA())</f>
        <v/>
      </c>
      <c r="N676" s="20">
        <f>IF(NOT(ISNUMBER($A676)),NA(),IF(COUNT(OFFSET(G676,1,0,Settings!$B$12,1))&lt;ROUNDUP(Settings!$B$12*Settings!$B$26,0),NA(),STDEV(OFFSET(G676,1,0,Settings!$B$12,1))*SQRT(Settings!$B$13)))</f>
        <v/>
      </c>
      <c r="O676" s="20">
        <f>IF(AND(ISNUMBER(E676),ISNUMBER(N676)),E676-N676,NA())</f>
        <v/>
      </c>
      <c r="P676" s="19">
        <f>IF(NOT(ISNUMBER($A676)),NA(),IF(OR($A676&lt;MIN(KW_TP!$A$2:$A$2501),$A676&gt;MAX(KW_TP!$A$2:$A$2501)),NA(),INDEX(KW_TP!$C$2:$C$2501,MATCH($A676,KW_TP!$A$2:$A$2501,1))))</f>
        <v/>
      </c>
      <c r="Q676" s="18">
        <f>IF(NOT(ISNUMBER($A676)),NA(),IFERROR(1*INDEX(BBG_Data!$J$2:$J$4000,MATCH($A676,BBG_Data!$I$2:$I$4000,0)),NA()))</f>
        <v/>
      </c>
      <c r="R676" s="18">
        <f>IF(NOT(ISNUMBER($A676)),NA(),IFERROR(1*INDEX(BBG_Data!$L$2:$L$4000,MATCH($A676,BBG_Data!$K$2:$K$4000,0)),NA()))</f>
        <v/>
      </c>
      <c r="S676" s="20">
        <f>IF(AND(ISNUMBER(B676),ISNUMBER(Q676),ISNUMBER(R676)),(B676-Q676-R676)*100,NA())</f>
        <v/>
      </c>
      <c r="T676" s="20">
        <f>IF(AND(ISNUMBER(B676),Settings!$B$17&gt;0),IF(ISNUMBER(INDEX($B:$B,Settings!$B$17)),(B676-INDEX($B:$B,Settings!$B$17))*100,NA()),NA())</f>
        <v/>
      </c>
      <c r="U676" s="20">
        <f>IF(AND(ISNUMBER(Q676),Settings!$B$17&gt;0),IF(ISNUMBER(INDEX($Q:$Q,Settings!$B$17)),(Q676-INDEX($Q:$Q,Settings!$B$17))*100,NA()),NA())</f>
        <v/>
      </c>
      <c r="V676" s="20">
        <f>IF(AND(ISNUMBER(R676),Settings!$B$17&gt;0),IF(ISNUMBER(INDEX($R:$R,Settings!$B$17)),(R676-INDEX($R:$R,Settings!$B$17))*100,NA()),NA())</f>
        <v/>
      </c>
      <c r="W676" s="20">
        <f>IF(AND(ISNUMBER(P676),Settings!$B$17&gt;0),IF(ISNUMBER(INDEX($P:$P,Settings!$B$17)),P676-INDEX($P:$P,Settings!$B$17),NA()),NA())</f>
        <v/>
      </c>
      <c r="X676" s="19">
        <f>IF(NOT(ISNUMBER($A676)),NA(),IF(OR($A676&lt;MIN(DKW_10Y!$A$2:$A$2918),$A676&gt;MAX(DKW_10Y!$A$2:$A$2918),Settings!$B$16&lt;MIN(DKW_10Y!$A$2:$A$2918)),NA(),(INDEX(DKW_10Y!$B$2:$B$2918,MATCH($A676,DKW_10Y!$A$2:$A$2918,1))-INDEX(DKW_10Y!$B$2:$B$2918,MATCH(Settings!$B$16,DKW_10Y!$A$2:$A$2918,1)))*100))</f>
        <v/>
      </c>
      <c r="Y676" s="19">
        <f>IF(NOT(ISNUMBER($A676)),NA(),IF(OR($A676&lt;MIN(DKW_10Y!$A$2:$A$2918),$A676&gt;MAX(DKW_10Y!$A$2:$A$2918),Settings!$B$16&lt;MIN(DKW_10Y!$A$2:$A$2918)),NA(),(INDEX(DKW_10Y!$C$2:$C$2918,MATCH($A676,DKW_10Y!$A$2:$A$2918,1))-INDEX(DKW_10Y!$C$2:$C$2918,MATCH(Settings!$B$16,DKW_10Y!$A$2:$A$2918,1)))*100))</f>
        <v/>
      </c>
      <c r="Z676" s="19">
        <f>IF(NOT(ISNUMBER($A676)),NA(),IF(OR($A676&lt;MIN(DKW_10Y!$A$2:$A$2918),$A676&gt;MAX(DKW_10Y!$A$2:$A$2918),Settings!$B$16&lt;MIN(DKW_10Y!$A$2:$A$2918)),NA(),(INDEX(DKW_10Y!$D$2:$D$2918,MATCH($A676,DKW_10Y!$A$2:$A$2918,1))-INDEX(DKW_10Y!$D$2:$D$2918,MATCH(Settings!$B$16,DKW_10Y!$A$2:$A$2918,1)))*100))</f>
        <v/>
      </c>
      <c r="AA676" s="19">
        <f>IF(NOT(ISNUMBER($A676)),NA(),IF(OR($A676&lt;MIN(DKW_10Y!$A$2:$A$2918),$A676&gt;MAX(DKW_10Y!$A$2:$A$2918),Settings!$B$16&lt;MIN(DKW_10Y!$A$2:$A$2918)),NA(),(INDEX(DKW_10Y!$E$2:$E$2918,MATCH($A676,DKW_10Y!$A$2:$A$2918,1))-INDEX(DKW_10Y!$E$2:$E$2918,MATCH(Settings!$B$16,DKW_10Y!$A$2:$A$2918,1)))*100))</f>
        <v/>
      </c>
      <c r="AB676" s="19">
        <f>IF(NOT(ISNUMBER($A676)),NA(),IF(OR($A676&lt;MIN(DKW_10Y!$A$2:$A$2918),$A676&gt;MAX(DKW_10Y!$A$2:$A$2918),Settings!$B$16&lt;MIN(DKW_10Y!$A$2:$A$2918)),NA(),(INDEX(DKW_10Y!$H$2:$H$2918,MATCH($A676,DKW_10Y!$A$2:$A$2918,1))-INDEX(DKW_10Y!$H$2:$H$2918,MATCH(Settings!$B$16,DKW_10Y!$A$2:$A$2918,1)))*100))</f>
        <v/>
      </c>
      <c r="AC676" s="18">
        <f>IF(NOT(ISNUMBER($A676)),NA(),IFERROR(1*INDEX(BBG_Data!$N$2:$N$4000,MATCH($A676,BBG_Data!$M$2:$M$4000,0)),NA()))</f>
        <v/>
      </c>
      <c r="AD676" s="18">
        <f>IF(NOT(ISNUMBER($A676)),NA(),IFERROR(1*INDEX(BBG_Data!$P$2:$P$4000,MATCH($A676,BBG_Data!$O$2:$O$4000,0)),NA()))</f>
        <v/>
      </c>
      <c r="AE676" s="18">
        <f>IF(NOT(ISNUMBER($A676)),NA(),IFERROR(1*INDEX(BBG_Data!$R$2:$R$4000,MATCH($A676,BBG_Data!$Q$2:$Q$4000,0)),NA()))</f>
        <v/>
      </c>
      <c r="AF676" s="20">
        <f>IF(AND(ISNUMBER(B676),ISNUMBER(AC676)),(B676-AC676)*100,NA())</f>
        <v/>
      </c>
      <c r="AG676" s="20">
        <f>IF(AND(ISNUMBER(AE676),ISNUMBER(AD676)),(AE676-AD676)*100,NA())</f>
        <v/>
      </c>
      <c r="AH676" s="19">
        <f>IF(NOT(ISNUMBER($A676)),NA(),IFERROR(INDEX(BBG_Data!$T$2:$T$4000,MATCH($A676,BBG_Data!$S$2:$S$4000,0))*Settings!$B$25,NA()))</f>
        <v/>
      </c>
      <c r="AI676" s="19">
        <f>IF(NOT(ISNUMBER($A676)),NA(),IFERROR(INDEX(BBG_Data!$V$2:$V$4000,MATCH($A676,BBG_Data!$U$2:$U$4000,0))*Settings!$B$25,NA()))</f>
        <v/>
      </c>
      <c r="AJ676" s="19">
        <f>IF(NOT(ISNUMBER($A676)),NA(),IFERROR(1*INDEX(BBG_Data!$X$2:$X$4000,MATCH($A676,BBG_Data!$W$2:$W$4000,0)),NA()))</f>
        <v/>
      </c>
      <c r="AK676" s="19">
        <f>IF(NOT(ISNUMBER($A676)),NA(),IFERROR(1*INDEX(BBG_Data!$Z$2:$Z$4000,MATCH($A676,BBG_Data!$Y$2:$Y$4000,0)),NA()))</f>
        <v/>
      </c>
    </row>
    <row r="677">
      <c r="A677" s="17">
        <f>IF(ISNUMBER(BBG_Data!A677),BBG_Data!A677,"")</f>
        <v/>
      </c>
      <c r="B677" s="18">
        <f>IF(AND(ISNUMBER($A677),ISNUMBER(BBG_Data!B677)),BBG_Data!B677,NA())</f>
        <v/>
      </c>
      <c r="C677" s="18">
        <f>IF(NOT(ISNUMBER($A677)),NA(),IFERROR(1*INDEX(BBG_Data!$D$2:$D$4000,MATCH($A677,BBG_Data!$C$2:$C$4000,0)),NA()))</f>
        <v/>
      </c>
      <c r="D677" s="19">
        <f>IF(NOT(ISNUMBER($A677)),NA(),IFERROR(1*INDEX(BBG_Data!$F$2:$F$4000,MATCH($A677,BBG_Data!$E$2:$E$4000,0)),NA()))</f>
        <v/>
      </c>
      <c r="E677" s="19">
        <f>IF(NOT(ISNUMBER($A677)),NA(),IFERROR(1*INDEX(BBG_Data!$H$2:$H$4000,MATCH($A677,BBG_Data!$G$2:$G$4000,0)),NA()))</f>
        <v/>
      </c>
      <c r="F677" s="20">
        <f>IF(AND(ISNUMBER(B677),ISNUMBER(B676)),IF(B677=B676,"",(B677-B676)*100),"")</f>
        <v/>
      </c>
      <c r="G677" s="20">
        <f>IF(AND(ISNUMBER(C677),ISNUMBER(C676)),IF(C677=C676,"",(C677-C676)*100),"")</f>
        <v/>
      </c>
      <c r="H677" s="20">
        <f>IF(OR(NOT(ISNUMBER($A677)),ROW()-2&lt;Settings!$B$11),NA(),IF(COUNT(OFFSET(F677,1-Settings!$B$11,0,Settings!$B$11,1))&lt;ROUNDUP(Settings!$B$11*Settings!$B$26,0),NA(),STDEV(OFFSET(F677,1-Settings!$B$11,0,Settings!$B$11,1))*SQRT(Settings!$B$13)))</f>
        <v/>
      </c>
      <c r="I677" s="20">
        <f>IF(OR(NOT(ISNUMBER($A677)),ROW()-2&lt;Settings!$B$12),NA(),IF(COUNT(OFFSET(F677,1-Settings!$B$12,0,Settings!$B$12,1))&lt;ROUNDUP(Settings!$B$12*Settings!$B$26,0),NA(),STDEV(OFFSET(F677,1-Settings!$B$12,0,Settings!$B$12,1))*SQRT(Settings!$B$13)))</f>
        <v/>
      </c>
      <c r="J677" s="20">
        <f>IF(OR(NOT(ISNUMBER($A677)),ROW()-2&lt;Settings!$B$11),NA(),IF(COUNT(OFFSET(G677,1-Settings!$B$11,0,Settings!$B$11,1))&lt;ROUNDUP(Settings!$B$11*Settings!$B$26,0),NA(),STDEV(OFFSET(G677,1-Settings!$B$11,0,Settings!$B$11,1))*SQRT(Settings!$B$13)))</f>
        <v/>
      </c>
      <c r="K677" s="20">
        <f>IF(OR(NOT(ISNUMBER($A677)),ROW()-2&lt;Settings!$B$12),NA(),IF(COUNT(OFFSET(G677,1-Settings!$B$12,0,Settings!$B$12,1))&lt;ROUNDUP(Settings!$B$12*Settings!$B$26,0),NA(),STDEV(OFFSET(G677,1-Settings!$B$12,0,Settings!$B$12,1))*SQRT(Settings!$B$13)))</f>
        <v/>
      </c>
      <c r="L677" s="20">
        <f>IF(AND(ISNUMBER(D677),ISNUMBER(H677)),D677-H677,NA())</f>
        <v/>
      </c>
      <c r="M677" s="20">
        <f>IF(AND(ISNUMBER(E677),ISNUMBER(K677)),E677-K677,NA())</f>
        <v/>
      </c>
      <c r="N677" s="20">
        <f>IF(NOT(ISNUMBER($A677)),NA(),IF(COUNT(OFFSET(G677,1,0,Settings!$B$12,1))&lt;ROUNDUP(Settings!$B$12*Settings!$B$26,0),NA(),STDEV(OFFSET(G677,1,0,Settings!$B$12,1))*SQRT(Settings!$B$13)))</f>
        <v/>
      </c>
      <c r="O677" s="20">
        <f>IF(AND(ISNUMBER(E677),ISNUMBER(N677)),E677-N677,NA())</f>
        <v/>
      </c>
      <c r="P677" s="19">
        <f>IF(NOT(ISNUMBER($A677)),NA(),IF(OR($A677&lt;MIN(KW_TP!$A$2:$A$2501),$A677&gt;MAX(KW_TP!$A$2:$A$2501)),NA(),INDEX(KW_TP!$C$2:$C$2501,MATCH($A677,KW_TP!$A$2:$A$2501,1))))</f>
        <v/>
      </c>
      <c r="Q677" s="18">
        <f>IF(NOT(ISNUMBER($A677)),NA(),IFERROR(1*INDEX(BBG_Data!$J$2:$J$4000,MATCH($A677,BBG_Data!$I$2:$I$4000,0)),NA()))</f>
        <v/>
      </c>
      <c r="R677" s="18">
        <f>IF(NOT(ISNUMBER($A677)),NA(),IFERROR(1*INDEX(BBG_Data!$L$2:$L$4000,MATCH($A677,BBG_Data!$K$2:$K$4000,0)),NA()))</f>
        <v/>
      </c>
      <c r="S677" s="20">
        <f>IF(AND(ISNUMBER(B677),ISNUMBER(Q677),ISNUMBER(R677)),(B677-Q677-R677)*100,NA())</f>
        <v/>
      </c>
      <c r="T677" s="20">
        <f>IF(AND(ISNUMBER(B677),Settings!$B$17&gt;0),IF(ISNUMBER(INDEX($B:$B,Settings!$B$17)),(B677-INDEX($B:$B,Settings!$B$17))*100,NA()),NA())</f>
        <v/>
      </c>
      <c r="U677" s="20">
        <f>IF(AND(ISNUMBER(Q677),Settings!$B$17&gt;0),IF(ISNUMBER(INDEX($Q:$Q,Settings!$B$17)),(Q677-INDEX($Q:$Q,Settings!$B$17))*100,NA()),NA())</f>
        <v/>
      </c>
      <c r="V677" s="20">
        <f>IF(AND(ISNUMBER(R677),Settings!$B$17&gt;0),IF(ISNUMBER(INDEX($R:$R,Settings!$B$17)),(R677-INDEX($R:$R,Settings!$B$17))*100,NA()),NA())</f>
        <v/>
      </c>
      <c r="W677" s="20">
        <f>IF(AND(ISNUMBER(P677),Settings!$B$17&gt;0),IF(ISNUMBER(INDEX($P:$P,Settings!$B$17)),P677-INDEX($P:$P,Settings!$B$17),NA()),NA())</f>
        <v/>
      </c>
      <c r="X677" s="19">
        <f>IF(NOT(ISNUMBER($A677)),NA(),IF(OR($A677&lt;MIN(DKW_10Y!$A$2:$A$2918),$A677&gt;MAX(DKW_10Y!$A$2:$A$2918),Settings!$B$16&lt;MIN(DKW_10Y!$A$2:$A$2918)),NA(),(INDEX(DKW_10Y!$B$2:$B$2918,MATCH($A677,DKW_10Y!$A$2:$A$2918,1))-INDEX(DKW_10Y!$B$2:$B$2918,MATCH(Settings!$B$16,DKW_10Y!$A$2:$A$2918,1)))*100))</f>
        <v/>
      </c>
      <c r="Y677" s="19">
        <f>IF(NOT(ISNUMBER($A677)),NA(),IF(OR($A677&lt;MIN(DKW_10Y!$A$2:$A$2918),$A677&gt;MAX(DKW_10Y!$A$2:$A$2918),Settings!$B$16&lt;MIN(DKW_10Y!$A$2:$A$2918)),NA(),(INDEX(DKW_10Y!$C$2:$C$2918,MATCH($A677,DKW_10Y!$A$2:$A$2918,1))-INDEX(DKW_10Y!$C$2:$C$2918,MATCH(Settings!$B$16,DKW_10Y!$A$2:$A$2918,1)))*100))</f>
        <v/>
      </c>
      <c r="Z677" s="19">
        <f>IF(NOT(ISNUMBER($A677)),NA(),IF(OR($A677&lt;MIN(DKW_10Y!$A$2:$A$2918),$A677&gt;MAX(DKW_10Y!$A$2:$A$2918),Settings!$B$16&lt;MIN(DKW_10Y!$A$2:$A$2918)),NA(),(INDEX(DKW_10Y!$D$2:$D$2918,MATCH($A677,DKW_10Y!$A$2:$A$2918,1))-INDEX(DKW_10Y!$D$2:$D$2918,MATCH(Settings!$B$16,DKW_10Y!$A$2:$A$2918,1)))*100))</f>
        <v/>
      </c>
      <c r="AA677" s="19">
        <f>IF(NOT(ISNUMBER($A677)),NA(),IF(OR($A677&lt;MIN(DKW_10Y!$A$2:$A$2918),$A677&gt;MAX(DKW_10Y!$A$2:$A$2918),Settings!$B$16&lt;MIN(DKW_10Y!$A$2:$A$2918)),NA(),(INDEX(DKW_10Y!$E$2:$E$2918,MATCH($A677,DKW_10Y!$A$2:$A$2918,1))-INDEX(DKW_10Y!$E$2:$E$2918,MATCH(Settings!$B$16,DKW_10Y!$A$2:$A$2918,1)))*100))</f>
        <v/>
      </c>
      <c r="AB677" s="19">
        <f>IF(NOT(ISNUMBER($A677)),NA(),IF(OR($A677&lt;MIN(DKW_10Y!$A$2:$A$2918),$A677&gt;MAX(DKW_10Y!$A$2:$A$2918),Settings!$B$16&lt;MIN(DKW_10Y!$A$2:$A$2918)),NA(),(INDEX(DKW_10Y!$H$2:$H$2918,MATCH($A677,DKW_10Y!$A$2:$A$2918,1))-INDEX(DKW_10Y!$H$2:$H$2918,MATCH(Settings!$B$16,DKW_10Y!$A$2:$A$2918,1)))*100))</f>
        <v/>
      </c>
      <c r="AC677" s="18">
        <f>IF(NOT(ISNUMBER($A677)),NA(),IFERROR(1*INDEX(BBG_Data!$N$2:$N$4000,MATCH($A677,BBG_Data!$M$2:$M$4000,0)),NA()))</f>
        <v/>
      </c>
      <c r="AD677" s="18">
        <f>IF(NOT(ISNUMBER($A677)),NA(),IFERROR(1*INDEX(BBG_Data!$P$2:$P$4000,MATCH($A677,BBG_Data!$O$2:$O$4000,0)),NA()))</f>
        <v/>
      </c>
      <c r="AE677" s="18">
        <f>IF(NOT(ISNUMBER($A677)),NA(),IFERROR(1*INDEX(BBG_Data!$R$2:$R$4000,MATCH($A677,BBG_Data!$Q$2:$Q$4000,0)),NA()))</f>
        <v/>
      </c>
      <c r="AF677" s="20">
        <f>IF(AND(ISNUMBER(B677),ISNUMBER(AC677)),(B677-AC677)*100,NA())</f>
        <v/>
      </c>
      <c r="AG677" s="20">
        <f>IF(AND(ISNUMBER(AE677),ISNUMBER(AD677)),(AE677-AD677)*100,NA())</f>
        <v/>
      </c>
      <c r="AH677" s="19">
        <f>IF(NOT(ISNUMBER($A677)),NA(),IFERROR(INDEX(BBG_Data!$T$2:$T$4000,MATCH($A677,BBG_Data!$S$2:$S$4000,0))*Settings!$B$25,NA()))</f>
        <v/>
      </c>
      <c r="AI677" s="19">
        <f>IF(NOT(ISNUMBER($A677)),NA(),IFERROR(INDEX(BBG_Data!$V$2:$V$4000,MATCH($A677,BBG_Data!$U$2:$U$4000,0))*Settings!$B$25,NA()))</f>
        <v/>
      </c>
      <c r="AJ677" s="19">
        <f>IF(NOT(ISNUMBER($A677)),NA(),IFERROR(1*INDEX(BBG_Data!$X$2:$X$4000,MATCH($A677,BBG_Data!$W$2:$W$4000,0)),NA()))</f>
        <v/>
      </c>
      <c r="AK677" s="19">
        <f>IF(NOT(ISNUMBER($A677)),NA(),IFERROR(1*INDEX(BBG_Data!$Z$2:$Z$4000,MATCH($A677,BBG_Data!$Y$2:$Y$4000,0)),NA()))</f>
        <v/>
      </c>
    </row>
    <row r="678">
      <c r="A678" s="17">
        <f>IF(ISNUMBER(BBG_Data!A678),BBG_Data!A678,"")</f>
        <v/>
      </c>
      <c r="B678" s="18">
        <f>IF(AND(ISNUMBER($A678),ISNUMBER(BBG_Data!B678)),BBG_Data!B678,NA())</f>
        <v/>
      </c>
      <c r="C678" s="18">
        <f>IF(NOT(ISNUMBER($A678)),NA(),IFERROR(1*INDEX(BBG_Data!$D$2:$D$4000,MATCH($A678,BBG_Data!$C$2:$C$4000,0)),NA()))</f>
        <v/>
      </c>
      <c r="D678" s="19">
        <f>IF(NOT(ISNUMBER($A678)),NA(),IFERROR(1*INDEX(BBG_Data!$F$2:$F$4000,MATCH($A678,BBG_Data!$E$2:$E$4000,0)),NA()))</f>
        <v/>
      </c>
      <c r="E678" s="19">
        <f>IF(NOT(ISNUMBER($A678)),NA(),IFERROR(1*INDEX(BBG_Data!$H$2:$H$4000,MATCH($A678,BBG_Data!$G$2:$G$4000,0)),NA()))</f>
        <v/>
      </c>
      <c r="F678" s="20">
        <f>IF(AND(ISNUMBER(B678),ISNUMBER(B677)),IF(B678=B677,"",(B678-B677)*100),"")</f>
        <v/>
      </c>
      <c r="G678" s="20">
        <f>IF(AND(ISNUMBER(C678),ISNUMBER(C677)),IF(C678=C677,"",(C678-C677)*100),"")</f>
        <v/>
      </c>
      <c r="H678" s="20">
        <f>IF(OR(NOT(ISNUMBER($A678)),ROW()-2&lt;Settings!$B$11),NA(),IF(COUNT(OFFSET(F678,1-Settings!$B$11,0,Settings!$B$11,1))&lt;ROUNDUP(Settings!$B$11*Settings!$B$26,0),NA(),STDEV(OFFSET(F678,1-Settings!$B$11,0,Settings!$B$11,1))*SQRT(Settings!$B$13)))</f>
        <v/>
      </c>
      <c r="I678" s="20">
        <f>IF(OR(NOT(ISNUMBER($A678)),ROW()-2&lt;Settings!$B$12),NA(),IF(COUNT(OFFSET(F678,1-Settings!$B$12,0,Settings!$B$12,1))&lt;ROUNDUP(Settings!$B$12*Settings!$B$26,0),NA(),STDEV(OFFSET(F678,1-Settings!$B$12,0,Settings!$B$12,1))*SQRT(Settings!$B$13)))</f>
        <v/>
      </c>
      <c r="J678" s="20">
        <f>IF(OR(NOT(ISNUMBER($A678)),ROW()-2&lt;Settings!$B$11),NA(),IF(COUNT(OFFSET(G678,1-Settings!$B$11,0,Settings!$B$11,1))&lt;ROUNDUP(Settings!$B$11*Settings!$B$26,0),NA(),STDEV(OFFSET(G678,1-Settings!$B$11,0,Settings!$B$11,1))*SQRT(Settings!$B$13)))</f>
        <v/>
      </c>
      <c r="K678" s="20">
        <f>IF(OR(NOT(ISNUMBER($A678)),ROW()-2&lt;Settings!$B$12),NA(),IF(COUNT(OFFSET(G678,1-Settings!$B$12,0,Settings!$B$12,1))&lt;ROUNDUP(Settings!$B$12*Settings!$B$26,0),NA(),STDEV(OFFSET(G678,1-Settings!$B$12,0,Settings!$B$12,1))*SQRT(Settings!$B$13)))</f>
        <v/>
      </c>
      <c r="L678" s="20">
        <f>IF(AND(ISNUMBER(D678),ISNUMBER(H678)),D678-H678,NA())</f>
        <v/>
      </c>
      <c r="M678" s="20">
        <f>IF(AND(ISNUMBER(E678),ISNUMBER(K678)),E678-K678,NA())</f>
        <v/>
      </c>
      <c r="N678" s="20">
        <f>IF(NOT(ISNUMBER($A678)),NA(),IF(COUNT(OFFSET(G678,1,0,Settings!$B$12,1))&lt;ROUNDUP(Settings!$B$12*Settings!$B$26,0),NA(),STDEV(OFFSET(G678,1,0,Settings!$B$12,1))*SQRT(Settings!$B$13)))</f>
        <v/>
      </c>
      <c r="O678" s="20">
        <f>IF(AND(ISNUMBER(E678),ISNUMBER(N678)),E678-N678,NA())</f>
        <v/>
      </c>
      <c r="P678" s="19">
        <f>IF(NOT(ISNUMBER($A678)),NA(),IF(OR($A678&lt;MIN(KW_TP!$A$2:$A$2501),$A678&gt;MAX(KW_TP!$A$2:$A$2501)),NA(),INDEX(KW_TP!$C$2:$C$2501,MATCH($A678,KW_TP!$A$2:$A$2501,1))))</f>
        <v/>
      </c>
      <c r="Q678" s="18">
        <f>IF(NOT(ISNUMBER($A678)),NA(),IFERROR(1*INDEX(BBG_Data!$J$2:$J$4000,MATCH($A678,BBG_Data!$I$2:$I$4000,0)),NA()))</f>
        <v/>
      </c>
      <c r="R678" s="18">
        <f>IF(NOT(ISNUMBER($A678)),NA(),IFERROR(1*INDEX(BBG_Data!$L$2:$L$4000,MATCH($A678,BBG_Data!$K$2:$K$4000,0)),NA()))</f>
        <v/>
      </c>
      <c r="S678" s="20">
        <f>IF(AND(ISNUMBER(B678),ISNUMBER(Q678),ISNUMBER(R678)),(B678-Q678-R678)*100,NA())</f>
        <v/>
      </c>
      <c r="T678" s="20">
        <f>IF(AND(ISNUMBER(B678),Settings!$B$17&gt;0),IF(ISNUMBER(INDEX($B:$B,Settings!$B$17)),(B678-INDEX($B:$B,Settings!$B$17))*100,NA()),NA())</f>
        <v/>
      </c>
      <c r="U678" s="20">
        <f>IF(AND(ISNUMBER(Q678),Settings!$B$17&gt;0),IF(ISNUMBER(INDEX($Q:$Q,Settings!$B$17)),(Q678-INDEX($Q:$Q,Settings!$B$17))*100,NA()),NA())</f>
        <v/>
      </c>
      <c r="V678" s="20">
        <f>IF(AND(ISNUMBER(R678),Settings!$B$17&gt;0),IF(ISNUMBER(INDEX($R:$R,Settings!$B$17)),(R678-INDEX($R:$R,Settings!$B$17))*100,NA()),NA())</f>
        <v/>
      </c>
      <c r="W678" s="20">
        <f>IF(AND(ISNUMBER(P678),Settings!$B$17&gt;0),IF(ISNUMBER(INDEX($P:$P,Settings!$B$17)),P678-INDEX($P:$P,Settings!$B$17),NA()),NA())</f>
        <v/>
      </c>
      <c r="X678" s="19">
        <f>IF(NOT(ISNUMBER($A678)),NA(),IF(OR($A678&lt;MIN(DKW_10Y!$A$2:$A$2918),$A678&gt;MAX(DKW_10Y!$A$2:$A$2918),Settings!$B$16&lt;MIN(DKW_10Y!$A$2:$A$2918)),NA(),(INDEX(DKW_10Y!$B$2:$B$2918,MATCH($A678,DKW_10Y!$A$2:$A$2918,1))-INDEX(DKW_10Y!$B$2:$B$2918,MATCH(Settings!$B$16,DKW_10Y!$A$2:$A$2918,1)))*100))</f>
        <v/>
      </c>
      <c r="Y678" s="19">
        <f>IF(NOT(ISNUMBER($A678)),NA(),IF(OR($A678&lt;MIN(DKW_10Y!$A$2:$A$2918),$A678&gt;MAX(DKW_10Y!$A$2:$A$2918),Settings!$B$16&lt;MIN(DKW_10Y!$A$2:$A$2918)),NA(),(INDEX(DKW_10Y!$C$2:$C$2918,MATCH($A678,DKW_10Y!$A$2:$A$2918,1))-INDEX(DKW_10Y!$C$2:$C$2918,MATCH(Settings!$B$16,DKW_10Y!$A$2:$A$2918,1)))*100))</f>
        <v/>
      </c>
      <c r="Z678" s="19">
        <f>IF(NOT(ISNUMBER($A678)),NA(),IF(OR($A678&lt;MIN(DKW_10Y!$A$2:$A$2918),$A678&gt;MAX(DKW_10Y!$A$2:$A$2918),Settings!$B$16&lt;MIN(DKW_10Y!$A$2:$A$2918)),NA(),(INDEX(DKW_10Y!$D$2:$D$2918,MATCH($A678,DKW_10Y!$A$2:$A$2918,1))-INDEX(DKW_10Y!$D$2:$D$2918,MATCH(Settings!$B$16,DKW_10Y!$A$2:$A$2918,1)))*100))</f>
        <v/>
      </c>
      <c r="AA678" s="19">
        <f>IF(NOT(ISNUMBER($A678)),NA(),IF(OR($A678&lt;MIN(DKW_10Y!$A$2:$A$2918),$A678&gt;MAX(DKW_10Y!$A$2:$A$2918),Settings!$B$16&lt;MIN(DKW_10Y!$A$2:$A$2918)),NA(),(INDEX(DKW_10Y!$E$2:$E$2918,MATCH($A678,DKW_10Y!$A$2:$A$2918,1))-INDEX(DKW_10Y!$E$2:$E$2918,MATCH(Settings!$B$16,DKW_10Y!$A$2:$A$2918,1)))*100))</f>
        <v/>
      </c>
      <c r="AB678" s="19">
        <f>IF(NOT(ISNUMBER($A678)),NA(),IF(OR($A678&lt;MIN(DKW_10Y!$A$2:$A$2918),$A678&gt;MAX(DKW_10Y!$A$2:$A$2918),Settings!$B$16&lt;MIN(DKW_10Y!$A$2:$A$2918)),NA(),(INDEX(DKW_10Y!$H$2:$H$2918,MATCH($A678,DKW_10Y!$A$2:$A$2918,1))-INDEX(DKW_10Y!$H$2:$H$2918,MATCH(Settings!$B$16,DKW_10Y!$A$2:$A$2918,1)))*100))</f>
        <v/>
      </c>
      <c r="AC678" s="18">
        <f>IF(NOT(ISNUMBER($A678)),NA(),IFERROR(1*INDEX(BBG_Data!$N$2:$N$4000,MATCH($A678,BBG_Data!$M$2:$M$4000,0)),NA()))</f>
        <v/>
      </c>
      <c r="AD678" s="18">
        <f>IF(NOT(ISNUMBER($A678)),NA(),IFERROR(1*INDEX(BBG_Data!$P$2:$P$4000,MATCH($A678,BBG_Data!$O$2:$O$4000,0)),NA()))</f>
        <v/>
      </c>
      <c r="AE678" s="18">
        <f>IF(NOT(ISNUMBER($A678)),NA(),IFERROR(1*INDEX(BBG_Data!$R$2:$R$4000,MATCH($A678,BBG_Data!$Q$2:$Q$4000,0)),NA()))</f>
        <v/>
      </c>
      <c r="AF678" s="20">
        <f>IF(AND(ISNUMBER(B678),ISNUMBER(AC678)),(B678-AC678)*100,NA())</f>
        <v/>
      </c>
      <c r="AG678" s="20">
        <f>IF(AND(ISNUMBER(AE678),ISNUMBER(AD678)),(AE678-AD678)*100,NA())</f>
        <v/>
      </c>
      <c r="AH678" s="19">
        <f>IF(NOT(ISNUMBER($A678)),NA(),IFERROR(INDEX(BBG_Data!$T$2:$T$4000,MATCH($A678,BBG_Data!$S$2:$S$4000,0))*Settings!$B$25,NA()))</f>
        <v/>
      </c>
      <c r="AI678" s="19">
        <f>IF(NOT(ISNUMBER($A678)),NA(),IFERROR(INDEX(BBG_Data!$V$2:$V$4000,MATCH($A678,BBG_Data!$U$2:$U$4000,0))*Settings!$B$25,NA()))</f>
        <v/>
      </c>
      <c r="AJ678" s="19">
        <f>IF(NOT(ISNUMBER($A678)),NA(),IFERROR(1*INDEX(BBG_Data!$X$2:$X$4000,MATCH($A678,BBG_Data!$W$2:$W$4000,0)),NA()))</f>
        <v/>
      </c>
      <c r="AK678" s="19">
        <f>IF(NOT(ISNUMBER($A678)),NA(),IFERROR(1*INDEX(BBG_Data!$Z$2:$Z$4000,MATCH($A678,BBG_Data!$Y$2:$Y$4000,0)),NA()))</f>
        <v/>
      </c>
    </row>
    <row r="679">
      <c r="A679" s="17">
        <f>IF(ISNUMBER(BBG_Data!A679),BBG_Data!A679,"")</f>
        <v/>
      </c>
      <c r="B679" s="18">
        <f>IF(AND(ISNUMBER($A679),ISNUMBER(BBG_Data!B679)),BBG_Data!B679,NA())</f>
        <v/>
      </c>
      <c r="C679" s="18">
        <f>IF(NOT(ISNUMBER($A679)),NA(),IFERROR(1*INDEX(BBG_Data!$D$2:$D$4000,MATCH($A679,BBG_Data!$C$2:$C$4000,0)),NA()))</f>
        <v/>
      </c>
      <c r="D679" s="19">
        <f>IF(NOT(ISNUMBER($A679)),NA(),IFERROR(1*INDEX(BBG_Data!$F$2:$F$4000,MATCH($A679,BBG_Data!$E$2:$E$4000,0)),NA()))</f>
        <v/>
      </c>
      <c r="E679" s="19">
        <f>IF(NOT(ISNUMBER($A679)),NA(),IFERROR(1*INDEX(BBG_Data!$H$2:$H$4000,MATCH($A679,BBG_Data!$G$2:$G$4000,0)),NA()))</f>
        <v/>
      </c>
      <c r="F679" s="20">
        <f>IF(AND(ISNUMBER(B679),ISNUMBER(B678)),IF(B679=B678,"",(B679-B678)*100),"")</f>
        <v/>
      </c>
      <c r="G679" s="20">
        <f>IF(AND(ISNUMBER(C679),ISNUMBER(C678)),IF(C679=C678,"",(C679-C678)*100),"")</f>
        <v/>
      </c>
      <c r="H679" s="20">
        <f>IF(OR(NOT(ISNUMBER($A679)),ROW()-2&lt;Settings!$B$11),NA(),IF(COUNT(OFFSET(F679,1-Settings!$B$11,0,Settings!$B$11,1))&lt;ROUNDUP(Settings!$B$11*Settings!$B$26,0),NA(),STDEV(OFFSET(F679,1-Settings!$B$11,0,Settings!$B$11,1))*SQRT(Settings!$B$13)))</f>
        <v/>
      </c>
      <c r="I679" s="20">
        <f>IF(OR(NOT(ISNUMBER($A679)),ROW()-2&lt;Settings!$B$12),NA(),IF(COUNT(OFFSET(F679,1-Settings!$B$12,0,Settings!$B$12,1))&lt;ROUNDUP(Settings!$B$12*Settings!$B$26,0),NA(),STDEV(OFFSET(F679,1-Settings!$B$12,0,Settings!$B$12,1))*SQRT(Settings!$B$13)))</f>
        <v/>
      </c>
      <c r="J679" s="20">
        <f>IF(OR(NOT(ISNUMBER($A679)),ROW()-2&lt;Settings!$B$11),NA(),IF(COUNT(OFFSET(G679,1-Settings!$B$11,0,Settings!$B$11,1))&lt;ROUNDUP(Settings!$B$11*Settings!$B$26,0),NA(),STDEV(OFFSET(G679,1-Settings!$B$11,0,Settings!$B$11,1))*SQRT(Settings!$B$13)))</f>
        <v/>
      </c>
      <c r="K679" s="20">
        <f>IF(OR(NOT(ISNUMBER($A679)),ROW()-2&lt;Settings!$B$12),NA(),IF(COUNT(OFFSET(G679,1-Settings!$B$12,0,Settings!$B$12,1))&lt;ROUNDUP(Settings!$B$12*Settings!$B$26,0),NA(),STDEV(OFFSET(G679,1-Settings!$B$12,0,Settings!$B$12,1))*SQRT(Settings!$B$13)))</f>
        <v/>
      </c>
      <c r="L679" s="20">
        <f>IF(AND(ISNUMBER(D679),ISNUMBER(H679)),D679-H679,NA())</f>
        <v/>
      </c>
      <c r="M679" s="20">
        <f>IF(AND(ISNUMBER(E679),ISNUMBER(K679)),E679-K679,NA())</f>
        <v/>
      </c>
      <c r="N679" s="20">
        <f>IF(NOT(ISNUMBER($A679)),NA(),IF(COUNT(OFFSET(G679,1,0,Settings!$B$12,1))&lt;ROUNDUP(Settings!$B$12*Settings!$B$26,0),NA(),STDEV(OFFSET(G679,1,0,Settings!$B$12,1))*SQRT(Settings!$B$13)))</f>
        <v/>
      </c>
      <c r="O679" s="20">
        <f>IF(AND(ISNUMBER(E679),ISNUMBER(N679)),E679-N679,NA())</f>
        <v/>
      </c>
      <c r="P679" s="19">
        <f>IF(NOT(ISNUMBER($A679)),NA(),IF(OR($A679&lt;MIN(KW_TP!$A$2:$A$2501),$A679&gt;MAX(KW_TP!$A$2:$A$2501)),NA(),INDEX(KW_TP!$C$2:$C$2501,MATCH($A679,KW_TP!$A$2:$A$2501,1))))</f>
        <v/>
      </c>
      <c r="Q679" s="18">
        <f>IF(NOT(ISNUMBER($A679)),NA(),IFERROR(1*INDEX(BBG_Data!$J$2:$J$4000,MATCH($A679,BBG_Data!$I$2:$I$4000,0)),NA()))</f>
        <v/>
      </c>
      <c r="R679" s="18">
        <f>IF(NOT(ISNUMBER($A679)),NA(),IFERROR(1*INDEX(BBG_Data!$L$2:$L$4000,MATCH($A679,BBG_Data!$K$2:$K$4000,0)),NA()))</f>
        <v/>
      </c>
      <c r="S679" s="20">
        <f>IF(AND(ISNUMBER(B679),ISNUMBER(Q679),ISNUMBER(R679)),(B679-Q679-R679)*100,NA())</f>
        <v/>
      </c>
      <c r="T679" s="20">
        <f>IF(AND(ISNUMBER(B679),Settings!$B$17&gt;0),IF(ISNUMBER(INDEX($B:$B,Settings!$B$17)),(B679-INDEX($B:$B,Settings!$B$17))*100,NA()),NA())</f>
        <v/>
      </c>
      <c r="U679" s="20">
        <f>IF(AND(ISNUMBER(Q679),Settings!$B$17&gt;0),IF(ISNUMBER(INDEX($Q:$Q,Settings!$B$17)),(Q679-INDEX($Q:$Q,Settings!$B$17))*100,NA()),NA())</f>
        <v/>
      </c>
      <c r="V679" s="20">
        <f>IF(AND(ISNUMBER(R679),Settings!$B$17&gt;0),IF(ISNUMBER(INDEX($R:$R,Settings!$B$17)),(R679-INDEX($R:$R,Settings!$B$17))*100,NA()),NA())</f>
        <v/>
      </c>
      <c r="W679" s="20">
        <f>IF(AND(ISNUMBER(P679),Settings!$B$17&gt;0),IF(ISNUMBER(INDEX($P:$P,Settings!$B$17)),P679-INDEX($P:$P,Settings!$B$17),NA()),NA())</f>
        <v/>
      </c>
      <c r="X679" s="19">
        <f>IF(NOT(ISNUMBER($A679)),NA(),IF(OR($A679&lt;MIN(DKW_10Y!$A$2:$A$2918),$A679&gt;MAX(DKW_10Y!$A$2:$A$2918),Settings!$B$16&lt;MIN(DKW_10Y!$A$2:$A$2918)),NA(),(INDEX(DKW_10Y!$B$2:$B$2918,MATCH($A679,DKW_10Y!$A$2:$A$2918,1))-INDEX(DKW_10Y!$B$2:$B$2918,MATCH(Settings!$B$16,DKW_10Y!$A$2:$A$2918,1)))*100))</f>
        <v/>
      </c>
      <c r="Y679" s="19">
        <f>IF(NOT(ISNUMBER($A679)),NA(),IF(OR($A679&lt;MIN(DKW_10Y!$A$2:$A$2918),$A679&gt;MAX(DKW_10Y!$A$2:$A$2918),Settings!$B$16&lt;MIN(DKW_10Y!$A$2:$A$2918)),NA(),(INDEX(DKW_10Y!$C$2:$C$2918,MATCH($A679,DKW_10Y!$A$2:$A$2918,1))-INDEX(DKW_10Y!$C$2:$C$2918,MATCH(Settings!$B$16,DKW_10Y!$A$2:$A$2918,1)))*100))</f>
        <v/>
      </c>
      <c r="Z679" s="19">
        <f>IF(NOT(ISNUMBER($A679)),NA(),IF(OR($A679&lt;MIN(DKW_10Y!$A$2:$A$2918),$A679&gt;MAX(DKW_10Y!$A$2:$A$2918),Settings!$B$16&lt;MIN(DKW_10Y!$A$2:$A$2918)),NA(),(INDEX(DKW_10Y!$D$2:$D$2918,MATCH($A679,DKW_10Y!$A$2:$A$2918,1))-INDEX(DKW_10Y!$D$2:$D$2918,MATCH(Settings!$B$16,DKW_10Y!$A$2:$A$2918,1)))*100))</f>
        <v/>
      </c>
      <c r="AA679" s="19">
        <f>IF(NOT(ISNUMBER($A679)),NA(),IF(OR($A679&lt;MIN(DKW_10Y!$A$2:$A$2918),$A679&gt;MAX(DKW_10Y!$A$2:$A$2918),Settings!$B$16&lt;MIN(DKW_10Y!$A$2:$A$2918)),NA(),(INDEX(DKW_10Y!$E$2:$E$2918,MATCH($A679,DKW_10Y!$A$2:$A$2918,1))-INDEX(DKW_10Y!$E$2:$E$2918,MATCH(Settings!$B$16,DKW_10Y!$A$2:$A$2918,1)))*100))</f>
        <v/>
      </c>
      <c r="AB679" s="19">
        <f>IF(NOT(ISNUMBER($A679)),NA(),IF(OR($A679&lt;MIN(DKW_10Y!$A$2:$A$2918),$A679&gt;MAX(DKW_10Y!$A$2:$A$2918),Settings!$B$16&lt;MIN(DKW_10Y!$A$2:$A$2918)),NA(),(INDEX(DKW_10Y!$H$2:$H$2918,MATCH($A679,DKW_10Y!$A$2:$A$2918,1))-INDEX(DKW_10Y!$H$2:$H$2918,MATCH(Settings!$B$16,DKW_10Y!$A$2:$A$2918,1)))*100))</f>
        <v/>
      </c>
      <c r="AC679" s="18">
        <f>IF(NOT(ISNUMBER($A679)),NA(),IFERROR(1*INDEX(BBG_Data!$N$2:$N$4000,MATCH($A679,BBG_Data!$M$2:$M$4000,0)),NA()))</f>
        <v/>
      </c>
      <c r="AD679" s="18">
        <f>IF(NOT(ISNUMBER($A679)),NA(),IFERROR(1*INDEX(BBG_Data!$P$2:$P$4000,MATCH($A679,BBG_Data!$O$2:$O$4000,0)),NA()))</f>
        <v/>
      </c>
      <c r="AE679" s="18">
        <f>IF(NOT(ISNUMBER($A679)),NA(),IFERROR(1*INDEX(BBG_Data!$R$2:$R$4000,MATCH($A679,BBG_Data!$Q$2:$Q$4000,0)),NA()))</f>
        <v/>
      </c>
      <c r="AF679" s="20">
        <f>IF(AND(ISNUMBER(B679),ISNUMBER(AC679)),(B679-AC679)*100,NA())</f>
        <v/>
      </c>
      <c r="AG679" s="20">
        <f>IF(AND(ISNUMBER(AE679),ISNUMBER(AD679)),(AE679-AD679)*100,NA())</f>
        <v/>
      </c>
      <c r="AH679" s="19">
        <f>IF(NOT(ISNUMBER($A679)),NA(),IFERROR(INDEX(BBG_Data!$T$2:$T$4000,MATCH($A679,BBG_Data!$S$2:$S$4000,0))*Settings!$B$25,NA()))</f>
        <v/>
      </c>
      <c r="AI679" s="19">
        <f>IF(NOT(ISNUMBER($A679)),NA(),IFERROR(INDEX(BBG_Data!$V$2:$V$4000,MATCH($A679,BBG_Data!$U$2:$U$4000,0))*Settings!$B$25,NA()))</f>
        <v/>
      </c>
      <c r="AJ679" s="19">
        <f>IF(NOT(ISNUMBER($A679)),NA(),IFERROR(1*INDEX(BBG_Data!$X$2:$X$4000,MATCH($A679,BBG_Data!$W$2:$W$4000,0)),NA()))</f>
        <v/>
      </c>
      <c r="AK679" s="19">
        <f>IF(NOT(ISNUMBER($A679)),NA(),IFERROR(1*INDEX(BBG_Data!$Z$2:$Z$4000,MATCH($A679,BBG_Data!$Y$2:$Y$4000,0)),NA()))</f>
        <v/>
      </c>
    </row>
    <row r="680">
      <c r="A680" s="17">
        <f>IF(ISNUMBER(BBG_Data!A680),BBG_Data!A680,"")</f>
        <v/>
      </c>
      <c r="B680" s="18">
        <f>IF(AND(ISNUMBER($A680),ISNUMBER(BBG_Data!B680)),BBG_Data!B680,NA())</f>
        <v/>
      </c>
      <c r="C680" s="18">
        <f>IF(NOT(ISNUMBER($A680)),NA(),IFERROR(1*INDEX(BBG_Data!$D$2:$D$4000,MATCH($A680,BBG_Data!$C$2:$C$4000,0)),NA()))</f>
        <v/>
      </c>
      <c r="D680" s="19">
        <f>IF(NOT(ISNUMBER($A680)),NA(),IFERROR(1*INDEX(BBG_Data!$F$2:$F$4000,MATCH($A680,BBG_Data!$E$2:$E$4000,0)),NA()))</f>
        <v/>
      </c>
      <c r="E680" s="19">
        <f>IF(NOT(ISNUMBER($A680)),NA(),IFERROR(1*INDEX(BBG_Data!$H$2:$H$4000,MATCH($A680,BBG_Data!$G$2:$G$4000,0)),NA()))</f>
        <v/>
      </c>
      <c r="F680" s="20">
        <f>IF(AND(ISNUMBER(B680),ISNUMBER(B679)),IF(B680=B679,"",(B680-B679)*100),"")</f>
        <v/>
      </c>
      <c r="G680" s="20">
        <f>IF(AND(ISNUMBER(C680),ISNUMBER(C679)),IF(C680=C679,"",(C680-C679)*100),"")</f>
        <v/>
      </c>
      <c r="H680" s="20">
        <f>IF(OR(NOT(ISNUMBER($A680)),ROW()-2&lt;Settings!$B$11),NA(),IF(COUNT(OFFSET(F680,1-Settings!$B$11,0,Settings!$B$11,1))&lt;ROUNDUP(Settings!$B$11*Settings!$B$26,0),NA(),STDEV(OFFSET(F680,1-Settings!$B$11,0,Settings!$B$11,1))*SQRT(Settings!$B$13)))</f>
        <v/>
      </c>
      <c r="I680" s="20">
        <f>IF(OR(NOT(ISNUMBER($A680)),ROW()-2&lt;Settings!$B$12),NA(),IF(COUNT(OFFSET(F680,1-Settings!$B$12,0,Settings!$B$12,1))&lt;ROUNDUP(Settings!$B$12*Settings!$B$26,0),NA(),STDEV(OFFSET(F680,1-Settings!$B$12,0,Settings!$B$12,1))*SQRT(Settings!$B$13)))</f>
        <v/>
      </c>
      <c r="J680" s="20">
        <f>IF(OR(NOT(ISNUMBER($A680)),ROW()-2&lt;Settings!$B$11),NA(),IF(COUNT(OFFSET(G680,1-Settings!$B$11,0,Settings!$B$11,1))&lt;ROUNDUP(Settings!$B$11*Settings!$B$26,0),NA(),STDEV(OFFSET(G680,1-Settings!$B$11,0,Settings!$B$11,1))*SQRT(Settings!$B$13)))</f>
        <v/>
      </c>
      <c r="K680" s="20">
        <f>IF(OR(NOT(ISNUMBER($A680)),ROW()-2&lt;Settings!$B$12),NA(),IF(COUNT(OFFSET(G680,1-Settings!$B$12,0,Settings!$B$12,1))&lt;ROUNDUP(Settings!$B$12*Settings!$B$26,0),NA(),STDEV(OFFSET(G680,1-Settings!$B$12,0,Settings!$B$12,1))*SQRT(Settings!$B$13)))</f>
        <v/>
      </c>
      <c r="L680" s="20">
        <f>IF(AND(ISNUMBER(D680),ISNUMBER(H680)),D680-H680,NA())</f>
        <v/>
      </c>
      <c r="M680" s="20">
        <f>IF(AND(ISNUMBER(E680),ISNUMBER(K680)),E680-K680,NA())</f>
        <v/>
      </c>
      <c r="N680" s="20">
        <f>IF(NOT(ISNUMBER($A680)),NA(),IF(COUNT(OFFSET(G680,1,0,Settings!$B$12,1))&lt;ROUNDUP(Settings!$B$12*Settings!$B$26,0),NA(),STDEV(OFFSET(G680,1,0,Settings!$B$12,1))*SQRT(Settings!$B$13)))</f>
        <v/>
      </c>
      <c r="O680" s="20">
        <f>IF(AND(ISNUMBER(E680),ISNUMBER(N680)),E680-N680,NA())</f>
        <v/>
      </c>
      <c r="P680" s="19">
        <f>IF(NOT(ISNUMBER($A680)),NA(),IF(OR($A680&lt;MIN(KW_TP!$A$2:$A$2501),$A680&gt;MAX(KW_TP!$A$2:$A$2501)),NA(),INDEX(KW_TP!$C$2:$C$2501,MATCH($A680,KW_TP!$A$2:$A$2501,1))))</f>
        <v/>
      </c>
      <c r="Q680" s="18">
        <f>IF(NOT(ISNUMBER($A680)),NA(),IFERROR(1*INDEX(BBG_Data!$J$2:$J$4000,MATCH($A680,BBG_Data!$I$2:$I$4000,0)),NA()))</f>
        <v/>
      </c>
      <c r="R680" s="18">
        <f>IF(NOT(ISNUMBER($A680)),NA(),IFERROR(1*INDEX(BBG_Data!$L$2:$L$4000,MATCH($A680,BBG_Data!$K$2:$K$4000,0)),NA()))</f>
        <v/>
      </c>
      <c r="S680" s="20">
        <f>IF(AND(ISNUMBER(B680),ISNUMBER(Q680),ISNUMBER(R680)),(B680-Q680-R680)*100,NA())</f>
        <v/>
      </c>
      <c r="T680" s="20">
        <f>IF(AND(ISNUMBER(B680),Settings!$B$17&gt;0),IF(ISNUMBER(INDEX($B:$B,Settings!$B$17)),(B680-INDEX($B:$B,Settings!$B$17))*100,NA()),NA())</f>
        <v/>
      </c>
      <c r="U680" s="20">
        <f>IF(AND(ISNUMBER(Q680),Settings!$B$17&gt;0),IF(ISNUMBER(INDEX($Q:$Q,Settings!$B$17)),(Q680-INDEX($Q:$Q,Settings!$B$17))*100,NA()),NA())</f>
        <v/>
      </c>
      <c r="V680" s="20">
        <f>IF(AND(ISNUMBER(R680),Settings!$B$17&gt;0),IF(ISNUMBER(INDEX($R:$R,Settings!$B$17)),(R680-INDEX($R:$R,Settings!$B$17))*100,NA()),NA())</f>
        <v/>
      </c>
      <c r="W680" s="20">
        <f>IF(AND(ISNUMBER(P680),Settings!$B$17&gt;0),IF(ISNUMBER(INDEX($P:$P,Settings!$B$17)),P680-INDEX($P:$P,Settings!$B$17),NA()),NA())</f>
        <v/>
      </c>
      <c r="X680" s="19">
        <f>IF(NOT(ISNUMBER($A680)),NA(),IF(OR($A680&lt;MIN(DKW_10Y!$A$2:$A$2918),$A680&gt;MAX(DKW_10Y!$A$2:$A$2918),Settings!$B$16&lt;MIN(DKW_10Y!$A$2:$A$2918)),NA(),(INDEX(DKW_10Y!$B$2:$B$2918,MATCH($A680,DKW_10Y!$A$2:$A$2918,1))-INDEX(DKW_10Y!$B$2:$B$2918,MATCH(Settings!$B$16,DKW_10Y!$A$2:$A$2918,1)))*100))</f>
        <v/>
      </c>
      <c r="Y680" s="19">
        <f>IF(NOT(ISNUMBER($A680)),NA(),IF(OR($A680&lt;MIN(DKW_10Y!$A$2:$A$2918),$A680&gt;MAX(DKW_10Y!$A$2:$A$2918),Settings!$B$16&lt;MIN(DKW_10Y!$A$2:$A$2918)),NA(),(INDEX(DKW_10Y!$C$2:$C$2918,MATCH($A680,DKW_10Y!$A$2:$A$2918,1))-INDEX(DKW_10Y!$C$2:$C$2918,MATCH(Settings!$B$16,DKW_10Y!$A$2:$A$2918,1)))*100))</f>
        <v/>
      </c>
      <c r="Z680" s="19">
        <f>IF(NOT(ISNUMBER($A680)),NA(),IF(OR($A680&lt;MIN(DKW_10Y!$A$2:$A$2918),$A680&gt;MAX(DKW_10Y!$A$2:$A$2918),Settings!$B$16&lt;MIN(DKW_10Y!$A$2:$A$2918)),NA(),(INDEX(DKW_10Y!$D$2:$D$2918,MATCH($A680,DKW_10Y!$A$2:$A$2918,1))-INDEX(DKW_10Y!$D$2:$D$2918,MATCH(Settings!$B$16,DKW_10Y!$A$2:$A$2918,1)))*100))</f>
        <v/>
      </c>
      <c r="AA680" s="19">
        <f>IF(NOT(ISNUMBER($A680)),NA(),IF(OR($A680&lt;MIN(DKW_10Y!$A$2:$A$2918),$A680&gt;MAX(DKW_10Y!$A$2:$A$2918),Settings!$B$16&lt;MIN(DKW_10Y!$A$2:$A$2918)),NA(),(INDEX(DKW_10Y!$E$2:$E$2918,MATCH($A680,DKW_10Y!$A$2:$A$2918,1))-INDEX(DKW_10Y!$E$2:$E$2918,MATCH(Settings!$B$16,DKW_10Y!$A$2:$A$2918,1)))*100))</f>
        <v/>
      </c>
      <c r="AB680" s="19">
        <f>IF(NOT(ISNUMBER($A680)),NA(),IF(OR($A680&lt;MIN(DKW_10Y!$A$2:$A$2918),$A680&gt;MAX(DKW_10Y!$A$2:$A$2918),Settings!$B$16&lt;MIN(DKW_10Y!$A$2:$A$2918)),NA(),(INDEX(DKW_10Y!$H$2:$H$2918,MATCH($A680,DKW_10Y!$A$2:$A$2918,1))-INDEX(DKW_10Y!$H$2:$H$2918,MATCH(Settings!$B$16,DKW_10Y!$A$2:$A$2918,1)))*100))</f>
        <v/>
      </c>
      <c r="AC680" s="18">
        <f>IF(NOT(ISNUMBER($A680)),NA(),IFERROR(1*INDEX(BBG_Data!$N$2:$N$4000,MATCH($A680,BBG_Data!$M$2:$M$4000,0)),NA()))</f>
        <v/>
      </c>
      <c r="AD680" s="18">
        <f>IF(NOT(ISNUMBER($A680)),NA(),IFERROR(1*INDEX(BBG_Data!$P$2:$P$4000,MATCH($A680,BBG_Data!$O$2:$O$4000,0)),NA()))</f>
        <v/>
      </c>
      <c r="AE680" s="18">
        <f>IF(NOT(ISNUMBER($A680)),NA(),IFERROR(1*INDEX(BBG_Data!$R$2:$R$4000,MATCH($A680,BBG_Data!$Q$2:$Q$4000,0)),NA()))</f>
        <v/>
      </c>
      <c r="AF680" s="20">
        <f>IF(AND(ISNUMBER(B680),ISNUMBER(AC680)),(B680-AC680)*100,NA())</f>
        <v/>
      </c>
      <c r="AG680" s="20">
        <f>IF(AND(ISNUMBER(AE680),ISNUMBER(AD680)),(AE680-AD680)*100,NA())</f>
        <v/>
      </c>
      <c r="AH680" s="19">
        <f>IF(NOT(ISNUMBER($A680)),NA(),IFERROR(INDEX(BBG_Data!$T$2:$T$4000,MATCH($A680,BBG_Data!$S$2:$S$4000,0))*Settings!$B$25,NA()))</f>
        <v/>
      </c>
      <c r="AI680" s="19">
        <f>IF(NOT(ISNUMBER($A680)),NA(),IFERROR(INDEX(BBG_Data!$V$2:$V$4000,MATCH($A680,BBG_Data!$U$2:$U$4000,0))*Settings!$B$25,NA()))</f>
        <v/>
      </c>
      <c r="AJ680" s="19">
        <f>IF(NOT(ISNUMBER($A680)),NA(),IFERROR(1*INDEX(BBG_Data!$X$2:$X$4000,MATCH($A680,BBG_Data!$W$2:$W$4000,0)),NA()))</f>
        <v/>
      </c>
      <c r="AK680" s="19">
        <f>IF(NOT(ISNUMBER($A680)),NA(),IFERROR(1*INDEX(BBG_Data!$Z$2:$Z$4000,MATCH($A680,BBG_Data!$Y$2:$Y$4000,0)),NA()))</f>
        <v/>
      </c>
    </row>
    <row r="681">
      <c r="A681" s="17">
        <f>IF(ISNUMBER(BBG_Data!A681),BBG_Data!A681,"")</f>
        <v/>
      </c>
      <c r="B681" s="18">
        <f>IF(AND(ISNUMBER($A681),ISNUMBER(BBG_Data!B681)),BBG_Data!B681,NA())</f>
        <v/>
      </c>
      <c r="C681" s="18">
        <f>IF(NOT(ISNUMBER($A681)),NA(),IFERROR(1*INDEX(BBG_Data!$D$2:$D$4000,MATCH($A681,BBG_Data!$C$2:$C$4000,0)),NA()))</f>
        <v/>
      </c>
      <c r="D681" s="19">
        <f>IF(NOT(ISNUMBER($A681)),NA(),IFERROR(1*INDEX(BBG_Data!$F$2:$F$4000,MATCH($A681,BBG_Data!$E$2:$E$4000,0)),NA()))</f>
        <v/>
      </c>
      <c r="E681" s="19">
        <f>IF(NOT(ISNUMBER($A681)),NA(),IFERROR(1*INDEX(BBG_Data!$H$2:$H$4000,MATCH($A681,BBG_Data!$G$2:$G$4000,0)),NA()))</f>
        <v/>
      </c>
      <c r="F681" s="20">
        <f>IF(AND(ISNUMBER(B681),ISNUMBER(B680)),IF(B681=B680,"",(B681-B680)*100),"")</f>
        <v/>
      </c>
      <c r="G681" s="20">
        <f>IF(AND(ISNUMBER(C681),ISNUMBER(C680)),IF(C681=C680,"",(C681-C680)*100),"")</f>
        <v/>
      </c>
      <c r="H681" s="20">
        <f>IF(OR(NOT(ISNUMBER($A681)),ROW()-2&lt;Settings!$B$11),NA(),IF(COUNT(OFFSET(F681,1-Settings!$B$11,0,Settings!$B$11,1))&lt;ROUNDUP(Settings!$B$11*Settings!$B$26,0),NA(),STDEV(OFFSET(F681,1-Settings!$B$11,0,Settings!$B$11,1))*SQRT(Settings!$B$13)))</f>
        <v/>
      </c>
      <c r="I681" s="20">
        <f>IF(OR(NOT(ISNUMBER($A681)),ROW()-2&lt;Settings!$B$12),NA(),IF(COUNT(OFFSET(F681,1-Settings!$B$12,0,Settings!$B$12,1))&lt;ROUNDUP(Settings!$B$12*Settings!$B$26,0),NA(),STDEV(OFFSET(F681,1-Settings!$B$12,0,Settings!$B$12,1))*SQRT(Settings!$B$13)))</f>
        <v/>
      </c>
      <c r="J681" s="20">
        <f>IF(OR(NOT(ISNUMBER($A681)),ROW()-2&lt;Settings!$B$11),NA(),IF(COUNT(OFFSET(G681,1-Settings!$B$11,0,Settings!$B$11,1))&lt;ROUNDUP(Settings!$B$11*Settings!$B$26,0),NA(),STDEV(OFFSET(G681,1-Settings!$B$11,0,Settings!$B$11,1))*SQRT(Settings!$B$13)))</f>
        <v/>
      </c>
      <c r="K681" s="20">
        <f>IF(OR(NOT(ISNUMBER($A681)),ROW()-2&lt;Settings!$B$12),NA(),IF(COUNT(OFFSET(G681,1-Settings!$B$12,0,Settings!$B$12,1))&lt;ROUNDUP(Settings!$B$12*Settings!$B$26,0),NA(),STDEV(OFFSET(G681,1-Settings!$B$12,0,Settings!$B$12,1))*SQRT(Settings!$B$13)))</f>
        <v/>
      </c>
      <c r="L681" s="20">
        <f>IF(AND(ISNUMBER(D681),ISNUMBER(H681)),D681-H681,NA())</f>
        <v/>
      </c>
      <c r="M681" s="20">
        <f>IF(AND(ISNUMBER(E681),ISNUMBER(K681)),E681-K681,NA())</f>
        <v/>
      </c>
      <c r="N681" s="20">
        <f>IF(NOT(ISNUMBER($A681)),NA(),IF(COUNT(OFFSET(G681,1,0,Settings!$B$12,1))&lt;ROUNDUP(Settings!$B$12*Settings!$B$26,0),NA(),STDEV(OFFSET(G681,1,0,Settings!$B$12,1))*SQRT(Settings!$B$13)))</f>
        <v/>
      </c>
      <c r="O681" s="20">
        <f>IF(AND(ISNUMBER(E681),ISNUMBER(N681)),E681-N681,NA())</f>
        <v/>
      </c>
      <c r="P681" s="19">
        <f>IF(NOT(ISNUMBER($A681)),NA(),IF(OR($A681&lt;MIN(KW_TP!$A$2:$A$2501),$A681&gt;MAX(KW_TP!$A$2:$A$2501)),NA(),INDEX(KW_TP!$C$2:$C$2501,MATCH($A681,KW_TP!$A$2:$A$2501,1))))</f>
        <v/>
      </c>
      <c r="Q681" s="18">
        <f>IF(NOT(ISNUMBER($A681)),NA(),IFERROR(1*INDEX(BBG_Data!$J$2:$J$4000,MATCH($A681,BBG_Data!$I$2:$I$4000,0)),NA()))</f>
        <v/>
      </c>
      <c r="R681" s="18">
        <f>IF(NOT(ISNUMBER($A681)),NA(),IFERROR(1*INDEX(BBG_Data!$L$2:$L$4000,MATCH($A681,BBG_Data!$K$2:$K$4000,0)),NA()))</f>
        <v/>
      </c>
      <c r="S681" s="20">
        <f>IF(AND(ISNUMBER(B681),ISNUMBER(Q681),ISNUMBER(R681)),(B681-Q681-R681)*100,NA())</f>
        <v/>
      </c>
      <c r="T681" s="20">
        <f>IF(AND(ISNUMBER(B681),Settings!$B$17&gt;0),IF(ISNUMBER(INDEX($B:$B,Settings!$B$17)),(B681-INDEX($B:$B,Settings!$B$17))*100,NA()),NA())</f>
        <v/>
      </c>
      <c r="U681" s="20">
        <f>IF(AND(ISNUMBER(Q681),Settings!$B$17&gt;0),IF(ISNUMBER(INDEX($Q:$Q,Settings!$B$17)),(Q681-INDEX($Q:$Q,Settings!$B$17))*100,NA()),NA())</f>
        <v/>
      </c>
      <c r="V681" s="20">
        <f>IF(AND(ISNUMBER(R681),Settings!$B$17&gt;0),IF(ISNUMBER(INDEX($R:$R,Settings!$B$17)),(R681-INDEX($R:$R,Settings!$B$17))*100,NA()),NA())</f>
        <v/>
      </c>
      <c r="W681" s="20">
        <f>IF(AND(ISNUMBER(P681),Settings!$B$17&gt;0),IF(ISNUMBER(INDEX($P:$P,Settings!$B$17)),P681-INDEX($P:$P,Settings!$B$17),NA()),NA())</f>
        <v/>
      </c>
      <c r="X681" s="19">
        <f>IF(NOT(ISNUMBER($A681)),NA(),IF(OR($A681&lt;MIN(DKW_10Y!$A$2:$A$2918),$A681&gt;MAX(DKW_10Y!$A$2:$A$2918),Settings!$B$16&lt;MIN(DKW_10Y!$A$2:$A$2918)),NA(),(INDEX(DKW_10Y!$B$2:$B$2918,MATCH($A681,DKW_10Y!$A$2:$A$2918,1))-INDEX(DKW_10Y!$B$2:$B$2918,MATCH(Settings!$B$16,DKW_10Y!$A$2:$A$2918,1)))*100))</f>
        <v/>
      </c>
      <c r="Y681" s="19">
        <f>IF(NOT(ISNUMBER($A681)),NA(),IF(OR($A681&lt;MIN(DKW_10Y!$A$2:$A$2918),$A681&gt;MAX(DKW_10Y!$A$2:$A$2918),Settings!$B$16&lt;MIN(DKW_10Y!$A$2:$A$2918)),NA(),(INDEX(DKW_10Y!$C$2:$C$2918,MATCH($A681,DKW_10Y!$A$2:$A$2918,1))-INDEX(DKW_10Y!$C$2:$C$2918,MATCH(Settings!$B$16,DKW_10Y!$A$2:$A$2918,1)))*100))</f>
        <v/>
      </c>
      <c r="Z681" s="19">
        <f>IF(NOT(ISNUMBER($A681)),NA(),IF(OR($A681&lt;MIN(DKW_10Y!$A$2:$A$2918),$A681&gt;MAX(DKW_10Y!$A$2:$A$2918),Settings!$B$16&lt;MIN(DKW_10Y!$A$2:$A$2918)),NA(),(INDEX(DKW_10Y!$D$2:$D$2918,MATCH($A681,DKW_10Y!$A$2:$A$2918,1))-INDEX(DKW_10Y!$D$2:$D$2918,MATCH(Settings!$B$16,DKW_10Y!$A$2:$A$2918,1)))*100))</f>
        <v/>
      </c>
      <c r="AA681" s="19">
        <f>IF(NOT(ISNUMBER($A681)),NA(),IF(OR($A681&lt;MIN(DKW_10Y!$A$2:$A$2918),$A681&gt;MAX(DKW_10Y!$A$2:$A$2918),Settings!$B$16&lt;MIN(DKW_10Y!$A$2:$A$2918)),NA(),(INDEX(DKW_10Y!$E$2:$E$2918,MATCH($A681,DKW_10Y!$A$2:$A$2918,1))-INDEX(DKW_10Y!$E$2:$E$2918,MATCH(Settings!$B$16,DKW_10Y!$A$2:$A$2918,1)))*100))</f>
        <v/>
      </c>
      <c r="AB681" s="19">
        <f>IF(NOT(ISNUMBER($A681)),NA(),IF(OR($A681&lt;MIN(DKW_10Y!$A$2:$A$2918),$A681&gt;MAX(DKW_10Y!$A$2:$A$2918),Settings!$B$16&lt;MIN(DKW_10Y!$A$2:$A$2918)),NA(),(INDEX(DKW_10Y!$H$2:$H$2918,MATCH($A681,DKW_10Y!$A$2:$A$2918,1))-INDEX(DKW_10Y!$H$2:$H$2918,MATCH(Settings!$B$16,DKW_10Y!$A$2:$A$2918,1)))*100))</f>
        <v/>
      </c>
      <c r="AC681" s="18">
        <f>IF(NOT(ISNUMBER($A681)),NA(),IFERROR(1*INDEX(BBG_Data!$N$2:$N$4000,MATCH($A681,BBG_Data!$M$2:$M$4000,0)),NA()))</f>
        <v/>
      </c>
      <c r="AD681" s="18">
        <f>IF(NOT(ISNUMBER($A681)),NA(),IFERROR(1*INDEX(BBG_Data!$P$2:$P$4000,MATCH($A681,BBG_Data!$O$2:$O$4000,0)),NA()))</f>
        <v/>
      </c>
      <c r="AE681" s="18">
        <f>IF(NOT(ISNUMBER($A681)),NA(),IFERROR(1*INDEX(BBG_Data!$R$2:$R$4000,MATCH($A681,BBG_Data!$Q$2:$Q$4000,0)),NA()))</f>
        <v/>
      </c>
      <c r="AF681" s="20">
        <f>IF(AND(ISNUMBER(B681),ISNUMBER(AC681)),(B681-AC681)*100,NA())</f>
        <v/>
      </c>
      <c r="AG681" s="20">
        <f>IF(AND(ISNUMBER(AE681),ISNUMBER(AD681)),(AE681-AD681)*100,NA())</f>
        <v/>
      </c>
      <c r="AH681" s="19">
        <f>IF(NOT(ISNUMBER($A681)),NA(),IFERROR(INDEX(BBG_Data!$T$2:$T$4000,MATCH($A681,BBG_Data!$S$2:$S$4000,0))*Settings!$B$25,NA()))</f>
        <v/>
      </c>
      <c r="AI681" s="19">
        <f>IF(NOT(ISNUMBER($A681)),NA(),IFERROR(INDEX(BBG_Data!$V$2:$V$4000,MATCH($A681,BBG_Data!$U$2:$U$4000,0))*Settings!$B$25,NA()))</f>
        <v/>
      </c>
      <c r="AJ681" s="19">
        <f>IF(NOT(ISNUMBER($A681)),NA(),IFERROR(1*INDEX(BBG_Data!$X$2:$X$4000,MATCH($A681,BBG_Data!$W$2:$W$4000,0)),NA()))</f>
        <v/>
      </c>
      <c r="AK681" s="19">
        <f>IF(NOT(ISNUMBER($A681)),NA(),IFERROR(1*INDEX(BBG_Data!$Z$2:$Z$4000,MATCH($A681,BBG_Data!$Y$2:$Y$4000,0)),NA()))</f>
        <v/>
      </c>
    </row>
    <row r="682">
      <c r="A682" s="17">
        <f>IF(ISNUMBER(BBG_Data!A682),BBG_Data!A682,"")</f>
        <v/>
      </c>
      <c r="B682" s="18">
        <f>IF(AND(ISNUMBER($A682),ISNUMBER(BBG_Data!B682)),BBG_Data!B682,NA())</f>
        <v/>
      </c>
      <c r="C682" s="18">
        <f>IF(NOT(ISNUMBER($A682)),NA(),IFERROR(1*INDEX(BBG_Data!$D$2:$D$4000,MATCH($A682,BBG_Data!$C$2:$C$4000,0)),NA()))</f>
        <v/>
      </c>
      <c r="D682" s="19">
        <f>IF(NOT(ISNUMBER($A682)),NA(),IFERROR(1*INDEX(BBG_Data!$F$2:$F$4000,MATCH($A682,BBG_Data!$E$2:$E$4000,0)),NA()))</f>
        <v/>
      </c>
      <c r="E682" s="19">
        <f>IF(NOT(ISNUMBER($A682)),NA(),IFERROR(1*INDEX(BBG_Data!$H$2:$H$4000,MATCH($A682,BBG_Data!$G$2:$G$4000,0)),NA()))</f>
        <v/>
      </c>
      <c r="F682" s="20">
        <f>IF(AND(ISNUMBER(B682),ISNUMBER(B681)),IF(B682=B681,"",(B682-B681)*100),"")</f>
        <v/>
      </c>
      <c r="G682" s="20">
        <f>IF(AND(ISNUMBER(C682),ISNUMBER(C681)),IF(C682=C681,"",(C682-C681)*100),"")</f>
        <v/>
      </c>
      <c r="H682" s="20">
        <f>IF(OR(NOT(ISNUMBER($A682)),ROW()-2&lt;Settings!$B$11),NA(),IF(COUNT(OFFSET(F682,1-Settings!$B$11,0,Settings!$B$11,1))&lt;ROUNDUP(Settings!$B$11*Settings!$B$26,0),NA(),STDEV(OFFSET(F682,1-Settings!$B$11,0,Settings!$B$11,1))*SQRT(Settings!$B$13)))</f>
        <v/>
      </c>
      <c r="I682" s="20">
        <f>IF(OR(NOT(ISNUMBER($A682)),ROW()-2&lt;Settings!$B$12),NA(),IF(COUNT(OFFSET(F682,1-Settings!$B$12,0,Settings!$B$12,1))&lt;ROUNDUP(Settings!$B$12*Settings!$B$26,0),NA(),STDEV(OFFSET(F682,1-Settings!$B$12,0,Settings!$B$12,1))*SQRT(Settings!$B$13)))</f>
        <v/>
      </c>
      <c r="J682" s="20">
        <f>IF(OR(NOT(ISNUMBER($A682)),ROW()-2&lt;Settings!$B$11),NA(),IF(COUNT(OFFSET(G682,1-Settings!$B$11,0,Settings!$B$11,1))&lt;ROUNDUP(Settings!$B$11*Settings!$B$26,0),NA(),STDEV(OFFSET(G682,1-Settings!$B$11,0,Settings!$B$11,1))*SQRT(Settings!$B$13)))</f>
        <v/>
      </c>
      <c r="K682" s="20">
        <f>IF(OR(NOT(ISNUMBER($A682)),ROW()-2&lt;Settings!$B$12),NA(),IF(COUNT(OFFSET(G682,1-Settings!$B$12,0,Settings!$B$12,1))&lt;ROUNDUP(Settings!$B$12*Settings!$B$26,0),NA(),STDEV(OFFSET(G682,1-Settings!$B$12,0,Settings!$B$12,1))*SQRT(Settings!$B$13)))</f>
        <v/>
      </c>
      <c r="L682" s="20">
        <f>IF(AND(ISNUMBER(D682),ISNUMBER(H682)),D682-H682,NA())</f>
        <v/>
      </c>
      <c r="M682" s="20">
        <f>IF(AND(ISNUMBER(E682),ISNUMBER(K682)),E682-K682,NA())</f>
        <v/>
      </c>
      <c r="N682" s="20">
        <f>IF(NOT(ISNUMBER($A682)),NA(),IF(COUNT(OFFSET(G682,1,0,Settings!$B$12,1))&lt;ROUNDUP(Settings!$B$12*Settings!$B$26,0),NA(),STDEV(OFFSET(G682,1,0,Settings!$B$12,1))*SQRT(Settings!$B$13)))</f>
        <v/>
      </c>
      <c r="O682" s="20">
        <f>IF(AND(ISNUMBER(E682),ISNUMBER(N682)),E682-N682,NA())</f>
        <v/>
      </c>
      <c r="P682" s="19">
        <f>IF(NOT(ISNUMBER($A682)),NA(),IF(OR($A682&lt;MIN(KW_TP!$A$2:$A$2501),$A682&gt;MAX(KW_TP!$A$2:$A$2501)),NA(),INDEX(KW_TP!$C$2:$C$2501,MATCH($A682,KW_TP!$A$2:$A$2501,1))))</f>
        <v/>
      </c>
      <c r="Q682" s="18">
        <f>IF(NOT(ISNUMBER($A682)),NA(),IFERROR(1*INDEX(BBG_Data!$J$2:$J$4000,MATCH($A682,BBG_Data!$I$2:$I$4000,0)),NA()))</f>
        <v/>
      </c>
      <c r="R682" s="18">
        <f>IF(NOT(ISNUMBER($A682)),NA(),IFERROR(1*INDEX(BBG_Data!$L$2:$L$4000,MATCH($A682,BBG_Data!$K$2:$K$4000,0)),NA()))</f>
        <v/>
      </c>
      <c r="S682" s="20">
        <f>IF(AND(ISNUMBER(B682),ISNUMBER(Q682),ISNUMBER(R682)),(B682-Q682-R682)*100,NA())</f>
        <v/>
      </c>
      <c r="T682" s="20">
        <f>IF(AND(ISNUMBER(B682),Settings!$B$17&gt;0),IF(ISNUMBER(INDEX($B:$B,Settings!$B$17)),(B682-INDEX($B:$B,Settings!$B$17))*100,NA()),NA())</f>
        <v/>
      </c>
      <c r="U682" s="20">
        <f>IF(AND(ISNUMBER(Q682),Settings!$B$17&gt;0),IF(ISNUMBER(INDEX($Q:$Q,Settings!$B$17)),(Q682-INDEX($Q:$Q,Settings!$B$17))*100,NA()),NA())</f>
        <v/>
      </c>
      <c r="V682" s="20">
        <f>IF(AND(ISNUMBER(R682),Settings!$B$17&gt;0),IF(ISNUMBER(INDEX($R:$R,Settings!$B$17)),(R682-INDEX($R:$R,Settings!$B$17))*100,NA()),NA())</f>
        <v/>
      </c>
      <c r="W682" s="20">
        <f>IF(AND(ISNUMBER(P682),Settings!$B$17&gt;0),IF(ISNUMBER(INDEX($P:$P,Settings!$B$17)),P682-INDEX($P:$P,Settings!$B$17),NA()),NA())</f>
        <v/>
      </c>
      <c r="X682" s="19">
        <f>IF(NOT(ISNUMBER($A682)),NA(),IF(OR($A682&lt;MIN(DKW_10Y!$A$2:$A$2918),$A682&gt;MAX(DKW_10Y!$A$2:$A$2918),Settings!$B$16&lt;MIN(DKW_10Y!$A$2:$A$2918)),NA(),(INDEX(DKW_10Y!$B$2:$B$2918,MATCH($A682,DKW_10Y!$A$2:$A$2918,1))-INDEX(DKW_10Y!$B$2:$B$2918,MATCH(Settings!$B$16,DKW_10Y!$A$2:$A$2918,1)))*100))</f>
        <v/>
      </c>
      <c r="Y682" s="19">
        <f>IF(NOT(ISNUMBER($A682)),NA(),IF(OR($A682&lt;MIN(DKW_10Y!$A$2:$A$2918),$A682&gt;MAX(DKW_10Y!$A$2:$A$2918),Settings!$B$16&lt;MIN(DKW_10Y!$A$2:$A$2918)),NA(),(INDEX(DKW_10Y!$C$2:$C$2918,MATCH($A682,DKW_10Y!$A$2:$A$2918,1))-INDEX(DKW_10Y!$C$2:$C$2918,MATCH(Settings!$B$16,DKW_10Y!$A$2:$A$2918,1)))*100))</f>
        <v/>
      </c>
      <c r="Z682" s="19">
        <f>IF(NOT(ISNUMBER($A682)),NA(),IF(OR($A682&lt;MIN(DKW_10Y!$A$2:$A$2918),$A682&gt;MAX(DKW_10Y!$A$2:$A$2918),Settings!$B$16&lt;MIN(DKW_10Y!$A$2:$A$2918)),NA(),(INDEX(DKW_10Y!$D$2:$D$2918,MATCH($A682,DKW_10Y!$A$2:$A$2918,1))-INDEX(DKW_10Y!$D$2:$D$2918,MATCH(Settings!$B$16,DKW_10Y!$A$2:$A$2918,1)))*100))</f>
        <v/>
      </c>
      <c r="AA682" s="19">
        <f>IF(NOT(ISNUMBER($A682)),NA(),IF(OR($A682&lt;MIN(DKW_10Y!$A$2:$A$2918),$A682&gt;MAX(DKW_10Y!$A$2:$A$2918),Settings!$B$16&lt;MIN(DKW_10Y!$A$2:$A$2918)),NA(),(INDEX(DKW_10Y!$E$2:$E$2918,MATCH($A682,DKW_10Y!$A$2:$A$2918,1))-INDEX(DKW_10Y!$E$2:$E$2918,MATCH(Settings!$B$16,DKW_10Y!$A$2:$A$2918,1)))*100))</f>
        <v/>
      </c>
      <c r="AB682" s="19">
        <f>IF(NOT(ISNUMBER($A682)),NA(),IF(OR($A682&lt;MIN(DKW_10Y!$A$2:$A$2918),$A682&gt;MAX(DKW_10Y!$A$2:$A$2918),Settings!$B$16&lt;MIN(DKW_10Y!$A$2:$A$2918)),NA(),(INDEX(DKW_10Y!$H$2:$H$2918,MATCH($A682,DKW_10Y!$A$2:$A$2918,1))-INDEX(DKW_10Y!$H$2:$H$2918,MATCH(Settings!$B$16,DKW_10Y!$A$2:$A$2918,1)))*100))</f>
        <v/>
      </c>
      <c r="AC682" s="18">
        <f>IF(NOT(ISNUMBER($A682)),NA(),IFERROR(1*INDEX(BBG_Data!$N$2:$N$4000,MATCH($A682,BBG_Data!$M$2:$M$4000,0)),NA()))</f>
        <v/>
      </c>
      <c r="AD682" s="18">
        <f>IF(NOT(ISNUMBER($A682)),NA(),IFERROR(1*INDEX(BBG_Data!$P$2:$P$4000,MATCH($A682,BBG_Data!$O$2:$O$4000,0)),NA()))</f>
        <v/>
      </c>
      <c r="AE682" s="18">
        <f>IF(NOT(ISNUMBER($A682)),NA(),IFERROR(1*INDEX(BBG_Data!$R$2:$R$4000,MATCH($A682,BBG_Data!$Q$2:$Q$4000,0)),NA()))</f>
        <v/>
      </c>
      <c r="AF682" s="20">
        <f>IF(AND(ISNUMBER(B682),ISNUMBER(AC682)),(B682-AC682)*100,NA())</f>
        <v/>
      </c>
      <c r="AG682" s="20">
        <f>IF(AND(ISNUMBER(AE682),ISNUMBER(AD682)),(AE682-AD682)*100,NA())</f>
        <v/>
      </c>
      <c r="AH682" s="19">
        <f>IF(NOT(ISNUMBER($A682)),NA(),IFERROR(INDEX(BBG_Data!$T$2:$T$4000,MATCH($A682,BBG_Data!$S$2:$S$4000,0))*Settings!$B$25,NA()))</f>
        <v/>
      </c>
      <c r="AI682" s="19">
        <f>IF(NOT(ISNUMBER($A682)),NA(),IFERROR(INDEX(BBG_Data!$V$2:$V$4000,MATCH($A682,BBG_Data!$U$2:$U$4000,0))*Settings!$B$25,NA()))</f>
        <v/>
      </c>
      <c r="AJ682" s="19">
        <f>IF(NOT(ISNUMBER($A682)),NA(),IFERROR(1*INDEX(BBG_Data!$X$2:$X$4000,MATCH($A682,BBG_Data!$W$2:$W$4000,0)),NA()))</f>
        <v/>
      </c>
      <c r="AK682" s="19">
        <f>IF(NOT(ISNUMBER($A682)),NA(),IFERROR(1*INDEX(BBG_Data!$Z$2:$Z$4000,MATCH($A682,BBG_Data!$Y$2:$Y$4000,0)),NA()))</f>
        <v/>
      </c>
    </row>
    <row r="683">
      <c r="A683" s="17">
        <f>IF(ISNUMBER(BBG_Data!A683),BBG_Data!A683,"")</f>
        <v/>
      </c>
      <c r="B683" s="18">
        <f>IF(AND(ISNUMBER($A683),ISNUMBER(BBG_Data!B683)),BBG_Data!B683,NA())</f>
        <v/>
      </c>
      <c r="C683" s="18">
        <f>IF(NOT(ISNUMBER($A683)),NA(),IFERROR(1*INDEX(BBG_Data!$D$2:$D$4000,MATCH($A683,BBG_Data!$C$2:$C$4000,0)),NA()))</f>
        <v/>
      </c>
      <c r="D683" s="19">
        <f>IF(NOT(ISNUMBER($A683)),NA(),IFERROR(1*INDEX(BBG_Data!$F$2:$F$4000,MATCH($A683,BBG_Data!$E$2:$E$4000,0)),NA()))</f>
        <v/>
      </c>
      <c r="E683" s="19">
        <f>IF(NOT(ISNUMBER($A683)),NA(),IFERROR(1*INDEX(BBG_Data!$H$2:$H$4000,MATCH($A683,BBG_Data!$G$2:$G$4000,0)),NA()))</f>
        <v/>
      </c>
      <c r="F683" s="20">
        <f>IF(AND(ISNUMBER(B683),ISNUMBER(B682)),IF(B683=B682,"",(B683-B682)*100),"")</f>
        <v/>
      </c>
      <c r="G683" s="20">
        <f>IF(AND(ISNUMBER(C683),ISNUMBER(C682)),IF(C683=C682,"",(C683-C682)*100),"")</f>
        <v/>
      </c>
      <c r="H683" s="20">
        <f>IF(OR(NOT(ISNUMBER($A683)),ROW()-2&lt;Settings!$B$11),NA(),IF(COUNT(OFFSET(F683,1-Settings!$B$11,0,Settings!$B$11,1))&lt;ROUNDUP(Settings!$B$11*Settings!$B$26,0),NA(),STDEV(OFFSET(F683,1-Settings!$B$11,0,Settings!$B$11,1))*SQRT(Settings!$B$13)))</f>
        <v/>
      </c>
      <c r="I683" s="20">
        <f>IF(OR(NOT(ISNUMBER($A683)),ROW()-2&lt;Settings!$B$12),NA(),IF(COUNT(OFFSET(F683,1-Settings!$B$12,0,Settings!$B$12,1))&lt;ROUNDUP(Settings!$B$12*Settings!$B$26,0),NA(),STDEV(OFFSET(F683,1-Settings!$B$12,0,Settings!$B$12,1))*SQRT(Settings!$B$13)))</f>
        <v/>
      </c>
      <c r="J683" s="20">
        <f>IF(OR(NOT(ISNUMBER($A683)),ROW()-2&lt;Settings!$B$11),NA(),IF(COUNT(OFFSET(G683,1-Settings!$B$11,0,Settings!$B$11,1))&lt;ROUNDUP(Settings!$B$11*Settings!$B$26,0),NA(),STDEV(OFFSET(G683,1-Settings!$B$11,0,Settings!$B$11,1))*SQRT(Settings!$B$13)))</f>
        <v/>
      </c>
      <c r="K683" s="20">
        <f>IF(OR(NOT(ISNUMBER($A683)),ROW()-2&lt;Settings!$B$12),NA(),IF(COUNT(OFFSET(G683,1-Settings!$B$12,0,Settings!$B$12,1))&lt;ROUNDUP(Settings!$B$12*Settings!$B$26,0),NA(),STDEV(OFFSET(G683,1-Settings!$B$12,0,Settings!$B$12,1))*SQRT(Settings!$B$13)))</f>
        <v/>
      </c>
      <c r="L683" s="20">
        <f>IF(AND(ISNUMBER(D683),ISNUMBER(H683)),D683-H683,NA())</f>
        <v/>
      </c>
      <c r="M683" s="20">
        <f>IF(AND(ISNUMBER(E683),ISNUMBER(K683)),E683-K683,NA())</f>
        <v/>
      </c>
      <c r="N683" s="20">
        <f>IF(NOT(ISNUMBER($A683)),NA(),IF(COUNT(OFFSET(G683,1,0,Settings!$B$12,1))&lt;ROUNDUP(Settings!$B$12*Settings!$B$26,0),NA(),STDEV(OFFSET(G683,1,0,Settings!$B$12,1))*SQRT(Settings!$B$13)))</f>
        <v/>
      </c>
      <c r="O683" s="20">
        <f>IF(AND(ISNUMBER(E683),ISNUMBER(N683)),E683-N683,NA())</f>
        <v/>
      </c>
      <c r="P683" s="19">
        <f>IF(NOT(ISNUMBER($A683)),NA(),IF(OR($A683&lt;MIN(KW_TP!$A$2:$A$2501),$A683&gt;MAX(KW_TP!$A$2:$A$2501)),NA(),INDEX(KW_TP!$C$2:$C$2501,MATCH($A683,KW_TP!$A$2:$A$2501,1))))</f>
        <v/>
      </c>
      <c r="Q683" s="18">
        <f>IF(NOT(ISNUMBER($A683)),NA(),IFERROR(1*INDEX(BBG_Data!$J$2:$J$4000,MATCH($A683,BBG_Data!$I$2:$I$4000,0)),NA()))</f>
        <v/>
      </c>
      <c r="R683" s="18">
        <f>IF(NOT(ISNUMBER($A683)),NA(),IFERROR(1*INDEX(BBG_Data!$L$2:$L$4000,MATCH($A683,BBG_Data!$K$2:$K$4000,0)),NA()))</f>
        <v/>
      </c>
      <c r="S683" s="20">
        <f>IF(AND(ISNUMBER(B683),ISNUMBER(Q683),ISNUMBER(R683)),(B683-Q683-R683)*100,NA())</f>
        <v/>
      </c>
      <c r="T683" s="20">
        <f>IF(AND(ISNUMBER(B683),Settings!$B$17&gt;0),IF(ISNUMBER(INDEX($B:$B,Settings!$B$17)),(B683-INDEX($B:$B,Settings!$B$17))*100,NA()),NA())</f>
        <v/>
      </c>
      <c r="U683" s="20">
        <f>IF(AND(ISNUMBER(Q683),Settings!$B$17&gt;0),IF(ISNUMBER(INDEX($Q:$Q,Settings!$B$17)),(Q683-INDEX($Q:$Q,Settings!$B$17))*100,NA()),NA())</f>
        <v/>
      </c>
      <c r="V683" s="20">
        <f>IF(AND(ISNUMBER(R683),Settings!$B$17&gt;0),IF(ISNUMBER(INDEX($R:$R,Settings!$B$17)),(R683-INDEX($R:$R,Settings!$B$17))*100,NA()),NA())</f>
        <v/>
      </c>
      <c r="W683" s="20">
        <f>IF(AND(ISNUMBER(P683),Settings!$B$17&gt;0),IF(ISNUMBER(INDEX($P:$P,Settings!$B$17)),P683-INDEX($P:$P,Settings!$B$17),NA()),NA())</f>
        <v/>
      </c>
      <c r="X683" s="19">
        <f>IF(NOT(ISNUMBER($A683)),NA(),IF(OR($A683&lt;MIN(DKW_10Y!$A$2:$A$2918),$A683&gt;MAX(DKW_10Y!$A$2:$A$2918),Settings!$B$16&lt;MIN(DKW_10Y!$A$2:$A$2918)),NA(),(INDEX(DKW_10Y!$B$2:$B$2918,MATCH($A683,DKW_10Y!$A$2:$A$2918,1))-INDEX(DKW_10Y!$B$2:$B$2918,MATCH(Settings!$B$16,DKW_10Y!$A$2:$A$2918,1)))*100))</f>
        <v/>
      </c>
      <c r="Y683" s="19">
        <f>IF(NOT(ISNUMBER($A683)),NA(),IF(OR($A683&lt;MIN(DKW_10Y!$A$2:$A$2918),$A683&gt;MAX(DKW_10Y!$A$2:$A$2918),Settings!$B$16&lt;MIN(DKW_10Y!$A$2:$A$2918)),NA(),(INDEX(DKW_10Y!$C$2:$C$2918,MATCH($A683,DKW_10Y!$A$2:$A$2918,1))-INDEX(DKW_10Y!$C$2:$C$2918,MATCH(Settings!$B$16,DKW_10Y!$A$2:$A$2918,1)))*100))</f>
        <v/>
      </c>
      <c r="Z683" s="19">
        <f>IF(NOT(ISNUMBER($A683)),NA(),IF(OR($A683&lt;MIN(DKW_10Y!$A$2:$A$2918),$A683&gt;MAX(DKW_10Y!$A$2:$A$2918),Settings!$B$16&lt;MIN(DKW_10Y!$A$2:$A$2918)),NA(),(INDEX(DKW_10Y!$D$2:$D$2918,MATCH($A683,DKW_10Y!$A$2:$A$2918,1))-INDEX(DKW_10Y!$D$2:$D$2918,MATCH(Settings!$B$16,DKW_10Y!$A$2:$A$2918,1)))*100))</f>
        <v/>
      </c>
      <c r="AA683" s="19">
        <f>IF(NOT(ISNUMBER($A683)),NA(),IF(OR($A683&lt;MIN(DKW_10Y!$A$2:$A$2918),$A683&gt;MAX(DKW_10Y!$A$2:$A$2918),Settings!$B$16&lt;MIN(DKW_10Y!$A$2:$A$2918)),NA(),(INDEX(DKW_10Y!$E$2:$E$2918,MATCH($A683,DKW_10Y!$A$2:$A$2918,1))-INDEX(DKW_10Y!$E$2:$E$2918,MATCH(Settings!$B$16,DKW_10Y!$A$2:$A$2918,1)))*100))</f>
        <v/>
      </c>
      <c r="AB683" s="19">
        <f>IF(NOT(ISNUMBER($A683)),NA(),IF(OR($A683&lt;MIN(DKW_10Y!$A$2:$A$2918),$A683&gt;MAX(DKW_10Y!$A$2:$A$2918),Settings!$B$16&lt;MIN(DKW_10Y!$A$2:$A$2918)),NA(),(INDEX(DKW_10Y!$H$2:$H$2918,MATCH($A683,DKW_10Y!$A$2:$A$2918,1))-INDEX(DKW_10Y!$H$2:$H$2918,MATCH(Settings!$B$16,DKW_10Y!$A$2:$A$2918,1)))*100))</f>
        <v/>
      </c>
      <c r="AC683" s="18">
        <f>IF(NOT(ISNUMBER($A683)),NA(),IFERROR(1*INDEX(BBG_Data!$N$2:$N$4000,MATCH($A683,BBG_Data!$M$2:$M$4000,0)),NA()))</f>
        <v/>
      </c>
      <c r="AD683" s="18">
        <f>IF(NOT(ISNUMBER($A683)),NA(),IFERROR(1*INDEX(BBG_Data!$P$2:$P$4000,MATCH($A683,BBG_Data!$O$2:$O$4000,0)),NA()))</f>
        <v/>
      </c>
      <c r="AE683" s="18">
        <f>IF(NOT(ISNUMBER($A683)),NA(),IFERROR(1*INDEX(BBG_Data!$R$2:$R$4000,MATCH($A683,BBG_Data!$Q$2:$Q$4000,0)),NA()))</f>
        <v/>
      </c>
      <c r="AF683" s="20">
        <f>IF(AND(ISNUMBER(B683),ISNUMBER(AC683)),(B683-AC683)*100,NA())</f>
        <v/>
      </c>
      <c r="AG683" s="20">
        <f>IF(AND(ISNUMBER(AE683),ISNUMBER(AD683)),(AE683-AD683)*100,NA())</f>
        <v/>
      </c>
      <c r="AH683" s="19">
        <f>IF(NOT(ISNUMBER($A683)),NA(),IFERROR(INDEX(BBG_Data!$T$2:$T$4000,MATCH($A683,BBG_Data!$S$2:$S$4000,0))*Settings!$B$25,NA()))</f>
        <v/>
      </c>
      <c r="AI683" s="19">
        <f>IF(NOT(ISNUMBER($A683)),NA(),IFERROR(INDEX(BBG_Data!$V$2:$V$4000,MATCH($A683,BBG_Data!$U$2:$U$4000,0))*Settings!$B$25,NA()))</f>
        <v/>
      </c>
      <c r="AJ683" s="19">
        <f>IF(NOT(ISNUMBER($A683)),NA(),IFERROR(1*INDEX(BBG_Data!$X$2:$X$4000,MATCH($A683,BBG_Data!$W$2:$W$4000,0)),NA()))</f>
        <v/>
      </c>
      <c r="AK683" s="19">
        <f>IF(NOT(ISNUMBER($A683)),NA(),IFERROR(1*INDEX(BBG_Data!$Z$2:$Z$4000,MATCH($A683,BBG_Data!$Y$2:$Y$4000,0)),NA()))</f>
        <v/>
      </c>
    </row>
    <row r="684">
      <c r="A684" s="17">
        <f>IF(ISNUMBER(BBG_Data!A684),BBG_Data!A684,"")</f>
        <v/>
      </c>
      <c r="B684" s="18">
        <f>IF(AND(ISNUMBER($A684),ISNUMBER(BBG_Data!B684)),BBG_Data!B684,NA())</f>
        <v/>
      </c>
      <c r="C684" s="18">
        <f>IF(NOT(ISNUMBER($A684)),NA(),IFERROR(1*INDEX(BBG_Data!$D$2:$D$4000,MATCH($A684,BBG_Data!$C$2:$C$4000,0)),NA()))</f>
        <v/>
      </c>
      <c r="D684" s="19">
        <f>IF(NOT(ISNUMBER($A684)),NA(),IFERROR(1*INDEX(BBG_Data!$F$2:$F$4000,MATCH($A684,BBG_Data!$E$2:$E$4000,0)),NA()))</f>
        <v/>
      </c>
      <c r="E684" s="19">
        <f>IF(NOT(ISNUMBER($A684)),NA(),IFERROR(1*INDEX(BBG_Data!$H$2:$H$4000,MATCH($A684,BBG_Data!$G$2:$G$4000,0)),NA()))</f>
        <v/>
      </c>
      <c r="F684" s="20">
        <f>IF(AND(ISNUMBER(B684),ISNUMBER(B683)),IF(B684=B683,"",(B684-B683)*100),"")</f>
        <v/>
      </c>
      <c r="G684" s="20">
        <f>IF(AND(ISNUMBER(C684),ISNUMBER(C683)),IF(C684=C683,"",(C684-C683)*100),"")</f>
        <v/>
      </c>
      <c r="H684" s="20">
        <f>IF(OR(NOT(ISNUMBER($A684)),ROW()-2&lt;Settings!$B$11),NA(),IF(COUNT(OFFSET(F684,1-Settings!$B$11,0,Settings!$B$11,1))&lt;ROUNDUP(Settings!$B$11*Settings!$B$26,0),NA(),STDEV(OFFSET(F684,1-Settings!$B$11,0,Settings!$B$11,1))*SQRT(Settings!$B$13)))</f>
        <v/>
      </c>
      <c r="I684" s="20">
        <f>IF(OR(NOT(ISNUMBER($A684)),ROW()-2&lt;Settings!$B$12),NA(),IF(COUNT(OFFSET(F684,1-Settings!$B$12,0,Settings!$B$12,1))&lt;ROUNDUP(Settings!$B$12*Settings!$B$26,0),NA(),STDEV(OFFSET(F684,1-Settings!$B$12,0,Settings!$B$12,1))*SQRT(Settings!$B$13)))</f>
        <v/>
      </c>
      <c r="J684" s="20">
        <f>IF(OR(NOT(ISNUMBER($A684)),ROW()-2&lt;Settings!$B$11),NA(),IF(COUNT(OFFSET(G684,1-Settings!$B$11,0,Settings!$B$11,1))&lt;ROUNDUP(Settings!$B$11*Settings!$B$26,0),NA(),STDEV(OFFSET(G684,1-Settings!$B$11,0,Settings!$B$11,1))*SQRT(Settings!$B$13)))</f>
        <v/>
      </c>
      <c r="K684" s="20">
        <f>IF(OR(NOT(ISNUMBER($A684)),ROW()-2&lt;Settings!$B$12),NA(),IF(COUNT(OFFSET(G684,1-Settings!$B$12,0,Settings!$B$12,1))&lt;ROUNDUP(Settings!$B$12*Settings!$B$26,0),NA(),STDEV(OFFSET(G684,1-Settings!$B$12,0,Settings!$B$12,1))*SQRT(Settings!$B$13)))</f>
        <v/>
      </c>
      <c r="L684" s="20">
        <f>IF(AND(ISNUMBER(D684),ISNUMBER(H684)),D684-H684,NA())</f>
        <v/>
      </c>
      <c r="M684" s="20">
        <f>IF(AND(ISNUMBER(E684),ISNUMBER(K684)),E684-K684,NA())</f>
        <v/>
      </c>
      <c r="N684" s="20">
        <f>IF(NOT(ISNUMBER($A684)),NA(),IF(COUNT(OFFSET(G684,1,0,Settings!$B$12,1))&lt;ROUNDUP(Settings!$B$12*Settings!$B$26,0),NA(),STDEV(OFFSET(G684,1,0,Settings!$B$12,1))*SQRT(Settings!$B$13)))</f>
        <v/>
      </c>
      <c r="O684" s="20">
        <f>IF(AND(ISNUMBER(E684),ISNUMBER(N684)),E684-N684,NA())</f>
        <v/>
      </c>
      <c r="P684" s="19">
        <f>IF(NOT(ISNUMBER($A684)),NA(),IF(OR($A684&lt;MIN(KW_TP!$A$2:$A$2501),$A684&gt;MAX(KW_TP!$A$2:$A$2501)),NA(),INDEX(KW_TP!$C$2:$C$2501,MATCH($A684,KW_TP!$A$2:$A$2501,1))))</f>
        <v/>
      </c>
      <c r="Q684" s="18">
        <f>IF(NOT(ISNUMBER($A684)),NA(),IFERROR(1*INDEX(BBG_Data!$J$2:$J$4000,MATCH($A684,BBG_Data!$I$2:$I$4000,0)),NA()))</f>
        <v/>
      </c>
      <c r="R684" s="18">
        <f>IF(NOT(ISNUMBER($A684)),NA(),IFERROR(1*INDEX(BBG_Data!$L$2:$L$4000,MATCH($A684,BBG_Data!$K$2:$K$4000,0)),NA()))</f>
        <v/>
      </c>
      <c r="S684" s="20">
        <f>IF(AND(ISNUMBER(B684),ISNUMBER(Q684),ISNUMBER(R684)),(B684-Q684-R684)*100,NA())</f>
        <v/>
      </c>
      <c r="T684" s="20">
        <f>IF(AND(ISNUMBER(B684),Settings!$B$17&gt;0),IF(ISNUMBER(INDEX($B:$B,Settings!$B$17)),(B684-INDEX($B:$B,Settings!$B$17))*100,NA()),NA())</f>
        <v/>
      </c>
      <c r="U684" s="20">
        <f>IF(AND(ISNUMBER(Q684),Settings!$B$17&gt;0),IF(ISNUMBER(INDEX($Q:$Q,Settings!$B$17)),(Q684-INDEX($Q:$Q,Settings!$B$17))*100,NA()),NA())</f>
        <v/>
      </c>
      <c r="V684" s="20">
        <f>IF(AND(ISNUMBER(R684),Settings!$B$17&gt;0),IF(ISNUMBER(INDEX($R:$R,Settings!$B$17)),(R684-INDEX($R:$R,Settings!$B$17))*100,NA()),NA())</f>
        <v/>
      </c>
      <c r="W684" s="20">
        <f>IF(AND(ISNUMBER(P684),Settings!$B$17&gt;0),IF(ISNUMBER(INDEX($P:$P,Settings!$B$17)),P684-INDEX($P:$P,Settings!$B$17),NA()),NA())</f>
        <v/>
      </c>
      <c r="X684" s="19">
        <f>IF(NOT(ISNUMBER($A684)),NA(),IF(OR($A684&lt;MIN(DKW_10Y!$A$2:$A$2918),$A684&gt;MAX(DKW_10Y!$A$2:$A$2918),Settings!$B$16&lt;MIN(DKW_10Y!$A$2:$A$2918)),NA(),(INDEX(DKW_10Y!$B$2:$B$2918,MATCH($A684,DKW_10Y!$A$2:$A$2918,1))-INDEX(DKW_10Y!$B$2:$B$2918,MATCH(Settings!$B$16,DKW_10Y!$A$2:$A$2918,1)))*100))</f>
        <v/>
      </c>
      <c r="Y684" s="19">
        <f>IF(NOT(ISNUMBER($A684)),NA(),IF(OR($A684&lt;MIN(DKW_10Y!$A$2:$A$2918),$A684&gt;MAX(DKW_10Y!$A$2:$A$2918),Settings!$B$16&lt;MIN(DKW_10Y!$A$2:$A$2918)),NA(),(INDEX(DKW_10Y!$C$2:$C$2918,MATCH($A684,DKW_10Y!$A$2:$A$2918,1))-INDEX(DKW_10Y!$C$2:$C$2918,MATCH(Settings!$B$16,DKW_10Y!$A$2:$A$2918,1)))*100))</f>
        <v/>
      </c>
      <c r="Z684" s="19">
        <f>IF(NOT(ISNUMBER($A684)),NA(),IF(OR($A684&lt;MIN(DKW_10Y!$A$2:$A$2918),$A684&gt;MAX(DKW_10Y!$A$2:$A$2918),Settings!$B$16&lt;MIN(DKW_10Y!$A$2:$A$2918)),NA(),(INDEX(DKW_10Y!$D$2:$D$2918,MATCH($A684,DKW_10Y!$A$2:$A$2918,1))-INDEX(DKW_10Y!$D$2:$D$2918,MATCH(Settings!$B$16,DKW_10Y!$A$2:$A$2918,1)))*100))</f>
        <v/>
      </c>
      <c r="AA684" s="19">
        <f>IF(NOT(ISNUMBER($A684)),NA(),IF(OR($A684&lt;MIN(DKW_10Y!$A$2:$A$2918),$A684&gt;MAX(DKW_10Y!$A$2:$A$2918),Settings!$B$16&lt;MIN(DKW_10Y!$A$2:$A$2918)),NA(),(INDEX(DKW_10Y!$E$2:$E$2918,MATCH($A684,DKW_10Y!$A$2:$A$2918,1))-INDEX(DKW_10Y!$E$2:$E$2918,MATCH(Settings!$B$16,DKW_10Y!$A$2:$A$2918,1)))*100))</f>
        <v/>
      </c>
      <c r="AB684" s="19">
        <f>IF(NOT(ISNUMBER($A684)),NA(),IF(OR($A684&lt;MIN(DKW_10Y!$A$2:$A$2918),$A684&gt;MAX(DKW_10Y!$A$2:$A$2918),Settings!$B$16&lt;MIN(DKW_10Y!$A$2:$A$2918)),NA(),(INDEX(DKW_10Y!$H$2:$H$2918,MATCH($A684,DKW_10Y!$A$2:$A$2918,1))-INDEX(DKW_10Y!$H$2:$H$2918,MATCH(Settings!$B$16,DKW_10Y!$A$2:$A$2918,1)))*100))</f>
        <v/>
      </c>
      <c r="AC684" s="18">
        <f>IF(NOT(ISNUMBER($A684)),NA(),IFERROR(1*INDEX(BBG_Data!$N$2:$N$4000,MATCH($A684,BBG_Data!$M$2:$M$4000,0)),NA()))</f>
        <v/>
      </c>
      <c r="AD684" s="18">
        <f>IF(NOT(ISNUMBER($A684)),NA(),IFERROR(1*INDEX(BBG_Data!$P$2:$P$4000,MATCH($A684,BBG_Data!$O$2:$O$4000,0)),NA()))</f>
        <v/>
      </c>
      <c r="AE684" s="18">
        <f>IF(NOT(ISNUMBER($A684)),NA(),IFERROR(1*INDEX(BBG_Data!$R$2:$R$4000,MATCH($A684,BBG_Data!$Q$2:$Q$4000,0)),NA()))</f>
        <v/>
      </c>
      <c r="AF684" s="20">
        <f>IF(AND(ISNUMBER(B684),ISNUMBER(AC684)),(B684-AC684)*100,NA())</f>
        <v/>
      </c>
      <c r="AG684" s="20">
        <f>IF(AND(ISNUMBER(AE684),ISNUMBER(AD684)),(AE684-AD684)*100,NA())</f>
        <v/>
      </c>
      <c r="AH684" s="19">
        <f>IF(NOT(ISNUMBER($A684)),NA(),IFERROR(INDEX(BBG_Data!$T$2:$T$4000,MATCH($A684,BBG_Data!$S$2:$S$4000,0))*Settings!$B$25,NA()))</f>
        <v/>
      </c>
      <c r="AI684" s="19">
        <f>IF(NOT(ISNUMBER($A684)),NA(),IFERROR(INDEX(BBG_Data!$V$2:$V$4000,MATCH($A684,BBG_Data!$U$2:$U$4000,0))*Settings!$B$25,NA()))</f>
        <v/>
      </c>
      <c r="AJ684" s="19">
        <f>IF(NOT(ISNUMBER($A684)),NA(),IFERROR(1*INDEX(BBG_Data!$X$2:$X$4000,MATCH($A684,BBG_Data!$W$2:$W$4000,0)),NA()))</f>
        <v/>
      </c>
      <c r="AK684" s="19">
        <f>IF(NOT(ISNUMBER($A684)),NA(),IFERROR(1*INDEX(BBG_Data!$Z$2:$Z$4000,MATCH($A684,BBG_Data!$Y$2:$Y$4000,0)),NA()))</f>
        <v/>
      </c>
    </row>
    <row r="685">
      <c r="A685" s="17">
        <f>IF(ISNUMBER(BBG_Data!A685),BBG_Data!A685,"")</f>
        <v/>
      </c>
      <c r="B685" s="18">
        <f>IF(AND(ISNUMBER($A685),ISNUMBER(BBG_Data!B685)),BBG_Data!B685,NA())</f>
        <v/>
      </c>
      <c r="C685" s="18">
        <f>IF(NOT(ISNUMBER($A685)),NA(),IFERROR(1*INDEX(BBG_Data!$D$2:$D$4000,MATCH($A685,BBG_Data!$C$2:$C$4000,0)),NA()))</f>
        <v/>
      </c>
      <c r="D685" s="19">
        <f>IF(NOT(ISNUMBER($A685)),NA(),IFERROR(1*INDEX(BBG_Data!$F$2:$F$4000,MATCH($A685,BBG_Data!$E$2:$E$4000,0)),NA()))</f>
        <v/>
      </c>
      <c r="E685" s="19">
        <f>IF(NOT(ISNUMBER($A685)),NA(),IFERROR(1*INDEX(BBG_Data!$H$2:$H$4000,MATCH($A685,BBG_Data!$G$2:$G$4000,0)),NA()))</f>
        <v/>
      </c>
      <c r="F685" s="20">
        <f>IF(AND(ISNUMBER(B685),ISNUMBER(B684)),IF(B685=B684,"",(B685-B684)*100),"")</f>
        <v/>
      </c>
      <c r="G685" s="20">
        <f>IF(AND(ISNUMBER(C685),ISNUMBER(C684)),IF(C685=C684,"",(C685-C684)*100),"")</f>
        <v/>
      </c>
      <c r="H685" s="20">
        <f>IF(OR(NOT(ISNUMBER($A685)),ROW()-2&lt;Settings!$B$11),NA(),IF(COUNT(OFFSET(F685,1-Settings!$B$11,0,Settings!$B$11,1))&lt;ROUNDUP(Settings!$B$11*Settings!$B$26,0),NA(),STDEV(OFFSET(F685,1-Settings!$B$11,0,Settings!$B$11,1))*SQRT(Settings!$B$13)))</f>
        <v/>
      </c>
      <c r="I685" s="20">
        <f>IF(OR(NOT(ISNUMBER($A685)),ROW()-2&lt;Settings!$B$12),NA(),IF(COUNT(OFFSET(F685,1-Settings!$B$12,0,Settings!$B$12,1))&lt;ROUNDUP(Settings!$B$12*Settings!$B$26,0),NA(),STDEV(OFFSET(F685,1-Settings!$B$12,0,Settings!$B$12,1))*SQRT(Settings!$B$13)))</f>
        <v/>
      </c>
      <c r="J685" s="20">
        <f>IF(OR(NOT(ISNUMBER($A685)),ROW()-2&lt;Settings!$B$11),NA(),IF(COUNT(OFFSET(G685,1-Settings!$B$11,0,Settings!$B$11,1))&lt;ROUNDUP(Settings!$B$11*Settings!$B$26,0),NA(),STDEV(OFFSET(G685,1-Settings!$B$11,0,Settings!$B$11,1))*SQRT(Settings!$B$13)))</f>
        <v/>
      </c>
      <c r="K685" s="20">
        <f>IF(OR(NOT(ISNUMBER($A685)),ROW()-2&lt;Settings!$B$12),NA(),IF(COUNT(OFFSET(G685,1-Settings!$B$12,0,Settings!$B$12,1))&lt;ROUNDUP(Settings!$B$12*Settings!$B$26,0),NA(),STDEV(OFFSET(G685,1-Settings!$B$12,0,Settings!$B$12,1))*SQRT(Settings!$B$13)))</f>
        <v/>
      </c>
      <c r="L685" s="20">
        <f>IF(AND(ISNUMBER(D685),ISNUMBER(H685)),D685-H685,NA())</f>
        <v/>
      </c>
      <c r="M685" s="20">
        <f>IF(AND(ISNUMBER(E685),ISNUMBER(K685)),E685-K685,NA())</f>
        <v/>
      </c>
      <c r="N685" s="20">
        <f>IF(NOT(ISNUMBER($A685)),NA(),IF(COUNT(OFFSET(G685,1,0,Settings!$B$12,1))&lt;ROUNDUP(Settings!$B$12*Settings!$B$26,0),NA(),STDEV(OFFSET(G685,1,0,Settings!$B$12,1))*SQRT(Settings!$B$13)))</f>
        <v/>
      </c>
      <c r="O685" s="20">
        <f>IF(AND(ISNUMBER(E685),ISNUMBER(N685)),E685-N685,NA())</f>
        <v/>
      </c>
      <c r="P685" s="19">
        <f>IF(NOT(ISNUMBER($A685)),NA(),IF(OR($A685&lt;MIN(KW_TP!$A$2:$A$2501),$A685&gt;MAX(KW_TP!$A$2:$A$2501)),NA(),INDEX(KW_TP!$C$2:$C$2501,MATCH($A685,KW_TP!$A$2:$A$2501,1))))</f>
        <v/>
      </c>
      <c r="Q685" s="18">
        <f>IF(NOT(ISNUMBER($A685)),NA(),IFERROR(1*INDEX(BBG_Data!$J$2:$J$4000,MATCH($A685,BBG_Data!$I$2:$I$4000,0)),NA()))</f>
        <v/>
      </c>
      <c r="R685" s="18">
        <f>IF(NOT(ISNUMBER($A685)),NA(),IFERROR(1*INDEX(BBG_Data!$L$2:$L$4000,MATCH($A685,BBG_Data!$K$2:$K$4000,0)),NA()))</f>
        <v/>
      </c>
      <c r="S685" s="20">
        <f>IF(AND(ISNUMBER(B685),ISNUMBER(Q685),ISNUMBER(R685)),(B685-Q685-R685)*100,NA())</f>
        <v/>
      </c>
      <c r="T685" s="20">
        <f>IF(AND(ISNUMBER(B685),Settings!$B$17&gt;0),IF(ISNUMBER(INDEX($B:$B,Settings!$B$17)),(B685-INDEX($B:$B,Settings!$B$17))*100,NA()),NA())</f>
        <v/>
      </c>
      <c r="U685" s="20">
        <f>IF(AND(ISNUMBER(Q685),Settings!$B$17&gt;0),IF(ISNUMBER(INDEX($Q:$Q,Settings!$B$17)),(Q685-INDEX($Q:$Q,Settings!$B$17))*100,NA()),NA())</f>
        <v/>
      </c>
      <c r="V685" s="20">
        <f>IF(AND(ISNUMBER(R685),Settings!$B$17&gt;0),IF(ISNUMBER(INDEX($R:$R,Settings!$B$17)),(R685-INDEX($R:$R,Settings!$B$17))*100,NA()),NA())</f>
        <v/>
      </c>
      <c r="W685" s="20">
        <f>IF(AND(ISNUMBER(P685),Settings!$B$17&gt;0),IF(ISNUMBER(INDEX($P:$P,Settings!$B$17)),P685-INDEX($P:$P,Settings!$B$17),NA()),NA())</f>
        <v/>
      </c>
      <c r="X685" s="19">
        <f>IF(NOT(ISNUMBER($A685)),NA(),IF(OR($A685&lt;MIN(DKW_10Y!$A$2:$A$2918),$A685&gt;MAX(DKW_10Y!$A$2:$A$2918),Settings!$B$16&lt;MIN(DKW_10Y!$A$2:$A$2918)),NA(),(INDEX(DKW_10Y!$B$2:$B$2918,MATCH($A685,DKW_10Y!$A$2:$A$2918,1))-INDEX(DKW_10Y!$B$2:$B$2918,MATCH(Settings!$B$16,DKW_10Y!$A$2:$A$2918,1)))*100))</f>
        <v/>
      </c>
      <c r="Y685" s="19">
        <f>IF(NOT(ISNUMBER($A685)),NA(),IF(OR($A685&lt;MIN(DKW_10Y!$A$2:$A$2918),$A685&gt;MAX(DKW_10Y!$A$2:$A$2918),Settings!$B$16&lt;MIN(DKW_10Y!$A$2:$A$2918)),NA(),(INDEX(DKW_10Y!$C$2:$C$2918,MATCH($A685,DKW_10Y!$A$2:$A$2918,1))-INDEX(DKW_10Y!$C$2:$C$2918,MATCH(Settings!$B$16,DKW_10Y!$A$2:$A$2918,1)))*100))</f>
        <v/>
      </c>
      <c r="Z685" s="19">
        <f>IF(NOT(ISNUMBER($A685)),NA(),IF(OR($A685&lt;MIN(DKW_10Y!$A$2:$A$2918),$A685&gt;MAX(DKW_10Y!$A$2:$A$2918),Settings!$B$16&lt;MIN(DKW_10Y!$A$2:$A$2918)),NA(),(INDEX(DKW_10Y!$D$2:$D$2918,MATCH($A685,DKW_10Y!$A$2:$A$2918,1))-INDEX(DKW_10Y!$D$2:$D$2918,MATCH(Settings!$B$16,DKW_10Y!$A$2:$A$2918,1)))*100))</f>
        <v/>
      </c>
      <c r="AA685" s="19">
        <f>IF(NOT(ISNUMBER($A685)),NA(),IF(OR($A685&lt;MIN(DKW_10Y!$A$2:$A$2918),$A685&gt;MAX(DKW_10Y!$A$2:$A$2918),Settings!$B$16&lt;MIN(DKW_10Y!$A$2:$A$2918)),NA(),(INDEX(DKW_10Y!$E$2:$E$2918,MATCH($A685,DKW_10Y!$A$2:$A$2918,1))-INDEX(DKW_10Y!$E$2:$E$2918,MATCH(Settings!$B$16,DKW_10Y!$A$2:$A$2918,1)))*100))</f>
        <v/>
      </c>
      <c r="AB685" s="19">
        <f>IF(NOT(ISNUMBER($A685)),NA(),IF(OR($A685&lt;MIN(DKW_10Y!$A$2:$A$2918),$A685&gt;MAX(DKW_10Y!$A$2:$A$2918),Settings!$B$16&lt;MIN(DKW_10Y!$A$2:$A$2918)),NA(),(INDEX(DKW_10Y!$H$2:$H$2918,MATCH($A685,DKW_10Y!$A$2:$A$2918,1))-INDEX(DKW_10Y!$H$2:$H$2918,MATCH(Settings!$B$16,DKW_10Y!$A$2:$A$2918,1)))*100))</f>
        <v/>
      </c>
      <c r="AC685" s="18">
        <f>IF(NOT(ISNUMBER($A685)),NA(),IFERROR(1*INDEX(BBG_Data!$N$2:$N$4000,MATCH($A685,BBG_Data!$M$2:$M$4000,0)),NA()))</f>
        <v/>
      </c>
      <c r="AD685" s="18">
        <f>IF(NOT(ISNUMBER($A685)),NA(),IFERROR(1*INDEX(BBG_Data!$P$2:$P$4000,MATCH($A685,BBG_Data!$O$2:$O$4000,0)),NA()))</f>
        <v/>
      </c>
      <c r="AE685" s="18">
        <f>IF(NOT(ISNUMBER($A685)),NA(),IFERROR(1*INDEX(BBG_Data!$R$2:$R$4000,MATCH($A685,BBG_Data!$Q$2:$Q$4000,0)),NA()))</f>
        <v/>
      </c>
      <c r="AF685" s="20">
        <f>IF(AND(ISNUMBER(B685),ISNUMBER(AC685)),(B685-AC685)*100,NA())</f>
        <v/>
      </c>
      <c r="AG685" s="20">
        <f>IF(AND(ISNUMBER(AE685),ISNUMBER(AD685)),(AE685-AD685)*100,NA())</f>
        <v/>
      </c>
      <c r="AH685" s="19">
        <f>IF(NOT(ISNUMBER($A685)),NA(),IFERROR(INDEX(BBG_Data!$T$2:$T$4000,MATCH($A685,BBG_Data!$S$2:$S$4000,0))*Settings!$B$25,NA()))</f>
        <v/>
      </c>
      <c r="AI685" s="19">
        <f>IF(NOT(ISNUMBER($A685)),NA(),IFERROR(INDEX(BBG_Data!$V$2:$V$4000,MATCH($A685,BBG_Data!$U$2:$U$4000,0))*Settings!$B$25,NA()))</f>
        <v/>
      </c>
      <c r="AJ685" s="19">
        <f>IF(NOT(ISNUMBER($A685)),NA(),IFERROR(1*INDEX(BBG_Data!$X$2:$X$4000,MATCH($A685,BBG_Data!$W$2:$W$4000,0)),NA()))</f>
        <v/>
      </c>
      <c r="AK685" s="19">
        <f>IF(NOT(ISNUMBER($A685)),NA(),IFERROR(1*INDEX(BBG_Data!$Z$2:$Z$4000,MATCH($A685,BBG_Data!$Y$2:$Y$4000,0)),NA()))</f>
        <v/>
      </c>
    </row>
    <row r="686">
      <c r="A686" s="17">
        <f>IF(ISNUMBER(BBG_Data!A686),BBG_Data!A686,"")</f>
        <v/>
      </c>
      <c r="B686" s="18">
        <f>IF(AND(ISNUMBER($A686),ISNUMBER(BBG_Data!B686)),BBG_Data!B686,NA())</f>
        <v/>
      </c>
      <c r="C686" s="18">
        <f>IF(NOT(ISNUMBER($A686)),NA(),IFERROR(1*INDEX(BBG_Data!$D$2:$D$4000,MATCH($A686,BBG_Data!$C$2:$C$4000,0)),NA()))</f>
        <v/>
      </c>
      <c r="D686" s="19">
        <f>IF(NOT(ISNUMBER($A686)),NA(),IFERROR(1*INDEX(BBG_Data!$F$2:$F$4000,MATCH($A686,BBG_Data!$E$2:$E$4000,0)),NA()))</f>
        <v/>
      </c>
      <c r="E686" s="19">
        <f>IF(NOT(ISNUMBER($A686)),NA(),IFERROR(1*INDEX(BBG_Data!$H$2:$H$4000,MATCH($A686,BBG_Data!$G$2:$G$4000,0)),NA()))</f>
        <v/>
      </c>
      <c r="F686" s="20">
        <f>IF(AND(ISNUMBER(B686),ISNUMBER(B685)),IF(B686=B685,"",(B686-B685)*100),"")</f>
        <v/>
      </c>
      <c r="G686" s="20">
        <f>IF(AND(ISNUMBER(C686),ISNUMBER(C685)),IF(C686=C685,"",(C686-C685)*100),"")</f>
        <v/>
      </c>
      <c r="H686" s="20">
        <f>IF(OR(NOT(ISNUMBER($A686)),ROW()-2&lt;Settings!$B$11),NA(),IF(COUNT(OFFSET(F686,1-Settings!$B$11,0,Settings!$B$11,1))&lt;ROUNDUP(Settings!$B$11*Settings!$B$26,0),NA(),STDEV(OFFSET(F686,1-Settings!$B$11,0,Settings!$B$11,1))*SQRT(Settings!$B$13)))</f>
        <v/>
      </c>
      <c r="I686" s="20">
        <f>IF(OR(NOT(ISNUMBER($A686)),ROW()-2&lt;Settings!$B$12),NA(),IF(COUNT(OFFSET(F686,1-Settings!$B$12,0,Settings!$B$12,1))&lt;ROUNDUP(Settings!$B$12*Settings!$B$26,0),NA(),STDEV(OFFSET(F686,1-Settings!$B$12,0,Settings!$B$12,1))*SQRT(Settings!$B$13)))</f>
        <v/>
      </c>
      <c r="J686" s="20">
        <f>IF(OR(NOT(ISNUMBER($A686)),ROW()-2&lt;Settings!$B$11),NA(),IF(COUNT(OFFSET(G686,1-Settings!$B$11,0,Settings!$B$11,1))&lt;ROUNDUP(Settings!$B$11*Settings!$B$26,0),NA(),STDEV(OFFSET(G686,1-Settings!$B$11,0,Settings!$B$11,1))*SQRT(Settings!$B$13)))</f>
        <v/>
      </c>
      <c r="K686" s="20">
        <f>IF(OR(NOT(ISNUMBER($A686)),ROW()-2&lt;Settings!$B$12),NA(),IF(COUNT(OFFSET(G686,1-Settings!$B$12,0,Settings!$B$12,1))&lt;ROUNDUP(Settings!$B$12*Settings!$B$26,0),NA(),STDEV(OFFSET(G686,1-Settings!$B$12,0,Settings!$B$12,1))*SQRT(Settings!$B$13)))</f>
        <v/>
      </c>
      <c r="L686" s="20">
        <f>IF(AND(ISNUMBER(D686),ISNUMBER(H686)),D686-H686,NA())</f>
        <v/>
      </c>
      <c r="M686" s="20">
        <f>IF(AND(ISNUMBER(E686),ISNUMBER(K686)),E686-K686,NA())</f>
        <v/>
      </c>
      <c r="N686" s="20">
        <f>IF(NOT(ISNUMBER($A686)),NA(),IF(COUNT(OFFSET(G686,1,0,Settings!$B$12,1))&lt;ROUNDUP(Settings!$B$12*Settings!$B$26,0),NA(),STDEV(OFFSET(G686,1,0,Settings!$B$12,1))*SQRT(Settings!$B$13)))</f>
        <v/>
      </c>
      <c r="O686" s="20">
        <f>IF(AND(ISNUMBER(E686),ISNUMBER(N686)),E686-N686,NA())</f>
        <v/>
      </c>
      <c r="P686" s="19">
        <f>IF(NOT(ISNUMBER($A686)),NA(),IF(OR($A686&lt;MIN(KW_TP!$A$2:$A$2501),$A686&gt;MAX(KW_TP!$A$2:$A$2501)),NA(),INDEX(KW_TP!$C$2:$C$2501,MATCH($A686,KW_TP!$A$2:$A$2501,1))))</f>
        <v/>
      </c>
      <c r="Q686" s="18">
        <f>IF(NOT(ISNUMBER($A686)),NA(),IFERROR(1*INDEX(BBG_Data!$J$2:$J$4000,MATCH($A686,BBG_Data!$I$2:$I$4000,0)),NA()))</f>
        <v/>
      </c>
      <c r="R686" s="18">
        <f>IF(NOT(ISNUMBER($A686)),NA(),IFERROR(1*INDEX(BBG_Data!$L$2:$L$4000,MATCH($A686,BBG_Data!$K$2:$K$4000,0)),NA()))</f>
        <v/>
      </c>
      <c r="S686" s="20">
        <f>IF(AND(ISNUMBER(B686),ISNUMBER(Q686),ISNUMBER(R686)),(B686-Q686-R686)*100,NA())</f>
        <v/>
      </c>
      <c r="T686" s="20">
        <f>IF(AND(ISNUMBER(B686),Settings!$B$17&gt;0),IF(ISNUMBER(INDEX($B:$B,Settings!$B$17)),(B686-INDEX($B:$B,Settings!$B$17))*100,NA()),NA())</f>
        <v/>
      </c>
      <c r="U686" s="20">
        <f>IF(AND(ISNUMBER(Q686),Settings!$B$17&gt;0),IF(ISNUMBER(INDEX($Q:$Q,Settings!$B$17)),(Q686-INDEX($Q:$Q,Settings!$B$17))*100,NA()),NA())</f>
        <v/>
      </c>
      <c r="V686" s="20">
        <f>IF(AND(ISNUMBER(R686),Settings!$B$17&gt;0),IF(ISNUMBER(INDEX($R:$R,Settings!$B$17)),(R686-INDEX($R:$R,Settings!$B$17))*100,NA()),NA())</f>
        <v/>
      </c>
      <c r="W686" s="20">
        <f>IF(AND(ISNUMBER(P686),Settings!$B$17&gt;0),IF(ISNUMBER(INDEX($P:$P,Settings!$B$17)),P686-INDEX($P:$P,Settings!$B$17),NA()),NA())</f>
        <v/>
      </c>
      <c r="X686" s="19">
        <f>IF(NOT(ISNUMBER($A686)),NA(),IF(OR($A686&lt;MIN(DKW_10Y!$A$2:$A$2918),$A686&gt;MAX(DKW_10Y!$A$2:$A$2918),Settings!$B$16&lt;MIN(DKW_10Y!$A$2:$A$2918)),NA(),(INDEX(DKW_10Y!$B$2:$B$2918,MATCH($A686,DKW_10Y!$A$2:$A$2918,1))-INDEX(DKW_10Y!$B$2:$B$2918,MATCH(Settings!$B$16,DKW_10Y!$A$2:$A$2918,1)))*100))</f>
        <v/>
      </c>
      <c r="Y686" s="19">
        <f>IF(NOT(ISNUMBER($A686)),NA(),IF(OR($A686&lt;MIN(DKW_10Y!$A$2:$A$2918),$A686&gt;MAX(DKW_10Y!$A$2:$A$2918),Settings!$B$16&lt;MIN(DKW_10Y!$A$2:$A$2918)),NA(),(INDEX(DKW_10Y!$C$2:$C$2918,MATCH($A686,DKW_10Y!$A$2:$A$2918,1))-INDEX(DKW_10Y!$C$2:$C$2918,MATCH(Settings!$B$16,DKW_10Y!$A$2:$A$2918,1)))*100))</f>
        <v/>
      </c>
      <c r="Z686" s="19">
        <f>IF(NOT(ISNUMBER($A686)),NA(),IF(OR($A686&lt;MIN(DKW_10Y!$A$2:$A$2918),$A686&gt;MAX(DKW_10Y!$A$2:$A$2918),Settings!$B$16&lt;MIN(DKW_10Y!$A$2:$A$2918)),NA(),(INDEX(DKW_10Y!$D$2:$D$2918,MATCH($A686,DKW_10Y!$A$2:$A$2918,1))-INDEX(DKW_10Y!$D$2:$D$2918,MATCH(Settings!$B$16,DKW_10Y!$A$2:$A$2918,1)))*100))</f>
        <v/>
      </c>
      <c r="AA686" s="19">
        <f>IF(NOT(ISNUMBER($A686)),NA(),IF(OR($A686&lt;MIN(DKW_10Y!$A$2:$A$2918),$A686&gt;MAX(DKW_10Y!$A$2:$A$2918),Settings!$B$16&lt;MIN(DKW_10Y!$A$2:$A$2918)),NA(),(INDEX(DKW_10Y!$E$2:$E$2918,MATCH($A686,DKW_10Y!$A$2:$A$2918,1))-INDEX(DKW_10Y!$E$2:$E$2918,MATCH(Settings!$B$16,DKW_10Y!$A$2:$A$2918,1)))*100))</f>
        <v/>
      </c>
      <c r="AB686" s="19">
        <f>IF(NOT(ISNUMBER($A686)),NA(),IF(OR($A686&lt;MIN(DKW_10Y!$A$2:$A$2918),$A686&gt;MAX(DKW_10Y!$A$2:$A$2918),Settings!$B$16&lt;MIN(DKW_10Y!$A$2:$A$2918)),NA(),(INDEX(DKW_10Y!$H$2:$H$2918,MATCH($A686,DKW_10Y!$A$2:$A$2918,1))-INDEX(DKW_10Y!$H$2:$H$2918,MATCH(Settings!$B$16,DKW_10Y!$A$2:$A$2918,1)))*100))</f>
        <v/>
      </c>
      <c r="AC686" s="18">
        <f>IF(NOT(ISNUMBER($A686)),NA(),IFERROR(1*INDEX(BBG_Data!$N$2:$N$4000,MATCH($A686,BBG_Data!$M$2:$M$4000,0)),NA()))</f>
        <v/>
      </c>
      <c r="AD686" s="18">
        <f>IF(NOT(ISNUMBER($A686)),NA(),IFERROR(1*INDEX(BBG_Data!$P$2:$P$4000,MATCH($A686,BBG_Data!$O$2:$O$4000,0)),NA()))</f>
        <v/>
      </c>
      <c r="AE686" s="18">
        <f>IF(NOT(ISNUMBER($A686)),NA(),IFERROR(1*INDEX(BBG_Data!$R$2:$R$4000,MATCH($A686,BBG_Data!$Q$2:$Q$4000,0)),NA()))</f>
        <v/>
      </c>
      <c r="AF686" s="20">
        <f>IF(AND(ISNUMBER(B686),ISNUMBER(AC686)),(B686-AC686)*100,NA())</f>
        <v/>
      </c>
      <c r="AG686" s="20">
        <f>IF(AND(ISNUMBER(AE686),ISNUMBER(AD686)),(AE686-AD686)*100,NA())</f>
        <v/>
      </c>
      <c r="AH686" s="19">
        <f>IF(NOT(ISNUMBER($A686)),NA(),IFERROR(INDEX(BBG_Data!$T$2:$T$4000,MATCH($A686,BBG_Data!$S$2:$S$4000,0))*Settings!$B$25,NA()))</f>
        <v/>
      </c>
      <c r="AI686" s="19">
        <f>IF(NOT(ISNUMBER($A686)),NA(),IFERROR(INDEX(BBG_Data!$V$2:$V$4000,MATCH($A686,BBG_Data!$U$2:$U$4000,0))*Settings!$B$25,NA()))</f>
        <v/>
      </c>
      <c r="AJ686" s="19">
        <f>IF(NOT(ISNUMBER($A686)),NA(),IFERROR(1*INDEX(BBG_Data!$X$2:$X$4000,MATCH($A686,BBG_Data!$W$2:$W$4000,0)),NA()))</f>
        <v/>
      </c>
      <c r="AK686" s="19">
        <f>IF(NOT(ISNUMBER($A686)),NA(),IFERROR(1*INDEX(BBG_Data!$Z$2:$Z$4000,MATCH($A686,BBG_Data!$Y$2:$Y$4000,0)),NA()))</f>
        <v/>
      </c>
    </row>
    <row r="687">
      <c r="A687" s="17">
        <f>IF(ISNUMBER(BBG_Data!A687),BBG_Data!A687,"")</f>
        <v/>
      </c>
      <c r="B687" s="18">
        <f>IF(AND(ISNUMBER($A687),ISNUMBER(BBG_Data!B687)),BBG_Data!B687,NA())</f>
        <v/>
      </c>
      <c r="C687" s="18">
        <f>IF(NOT(ISNUMBER($A687)),NA(),IFERROR(1*INDEX(BBG_Data!$D$2:$D$4000,MATCH($A687,BBG_Data!$C$2:$C$4000,0)),NA()))</f>
        <v/>
      </c>
      <c r="D687" s="19">
        <f>IF(NOT(ISNUMBER($A687)),NA(),IFERROR(1*INDEX(BBG_Data!$F$2:$F$4000,MATCH($A687,BBG_Data!$E$2:$E$4000,0)),NA()))</f>
        <v/>
      </c>
      <c r="E687" s="19">
        <f>IF(NOT(ISNUMBER($A687)),NA(),IFERROR(1*INDEX(BBG_Data!$H$2:$H$4000,MATCH($A687,BBG_Data!$G$2:$G$4000,0)),NA()))</f>
        <v/>
      </c>
      <c r="F687" s="20">
        <f>IF(AND(ISNUMBER(B687),ISNUMBER(B686)),IF(B687=B686,"",(B687-B686)*100),"")</f>
        <v/>
      </c>
      <c r="G687" s="20">
        <f>IF(AND(ISNUMBER(C687),ISNUMBER(C686)),IF(C687=C686,"",(C687-C686)*100),"")</f>
        <v/>
      </c>
      <c r="H687" s="20">
        <f>IF(OR(NOT(ISNUMBER($A687)),ROW()-2&lt;Settings!$B$11),NA(),IF(COUNT(OFFSET(F687,1-Settings!$B$11,0,Settings!$B$11,1))&lt;ROUNDUP(Settings!$B$11*Settings!$B$26,0),NA(),STDEV(OFFSET(F687,1-Settings!$B$11,0,Settings!$B$11,1))*SQRT(Settings!$B$13)))</f>
        <v/>
      </c>
      <c r="I687" s="20">
        <f>IF(OR(NOT(ISNUMBER($A687)),ROW()-2&lt;Settings!$B$12),NA(),IF(COUNT(OFFSET(F687,1-Settings!$B$12,0,Settings!$B$12,1))&lt;ROUNDUP(Settings!$B$12*Settings!$B$26,0),NA(),STDEV(OFFSET(F687,1-Settings!$B$12,0,Settings!$B$12,1))*SQRT(Settings!$B$13)))</f>
        <v/>
      </c>
      <c r="J687" s="20">
        <f>IF(OR(NOT(ISNUMBER($A687)),ROW()-2&lt;Settings!$B$11),NA(),IF(COUNT(OFFSET(G687,1-Settings!$B$11,0,Settings!$B$11,1))&lt;ROUNDUP(Settings!$B$11*Settings!$B$26,0),NA(),STDEV(OFFSET(G687,1-Settings!$B$11,0,Settings!$B$11,1))*SQRT(Settings!$B$13)))</f>
        <v/>
      </c>
      <c r="K687" s="20">
        <f>IF(OR(NOT(ISNUMBER($A687)),ROW()-2&lt;Settings!$B$12),NA(),IF(COUNT(OFFSET(G687,1-Settings!$B$12,0,Settings!$B$12,1))&lt;ROUNDUP(Settings!$B$12*Settings!$B$26,0),NA(),STDEV(OFFSET(G687,1-Settings!$B$12,0,Settings!$B$12,1))*SQRT(Settings!$B$13)))</f>
        <v/>
      </c>
      <c r="L687" s="20">
        <f>IF(AND(ISNUMBER(D687),ISNUMBER(H687)),D687-H687,NA())</f>
        <v/>
      </c>
      <c r="M687" s="20">
        <f>IF(AND(ISNUMBER(E687),ISNUMBER(K687)),E687-K687,NA())</f>
        <v/>
      </c>
      <c r="N687" s="20">
        <f>IF(NOT(ISNUMBER($A687)),NA(),IF(COUNT(OFFSET(G687,1,0,Settings!$B$12,1))&lt;ROUNDUP(Settings!$B$12*Settings!$B$26,0),NA(),STDEV(OFFSET(G687,1,0,Settings!$B$12,1))*SQRT(Settings!$B$13)))</f>
        <v/>
      </c>
      <c r="O687" s="20">
        <f>IF(AND(ISNUMBER(E687),ISNUMBER(N687)),E687-N687,NA())</f>
        <v/>
      </c>
      <c r="P687" s="19">
        <f>IF(NOT(ISNUMBER($A687)),NA(),IF(OR($A687&lt;MIN(KW_TP!$A$2:$A$2501),$A687&gt;MAX(KW_TP!$A$2:$A$2501)),NA(),INDEX(KW_TP!$C$2:$C$2501,MATCH($A687,KW_TP!$A$2:$A$2501,1))))</f>
        <v/>
      </c>
      <c r="Q687" s="18">
        <f>IF(NOT(ISNUMBER($A687)),NA(),IFERROR(1*INDEX(BBG_Data!$J$2:$J$4000,MATCH($A687,BBG_Data!$I$2:$I$4000,0)),NA()))</f>
        <v/>
      </c>
      <c r="R687" s="18">
        <f>IF(NOT(ISNUMBER($A687)),NA(),IFERROR(1*INDEX(BBG_Data!$L$2:$L$4000,MATCH($A687,BBG_Data!$K$2:$K$4000,0)),NA()))</f>
        <v/>
      </c>
      <c r="S687" s="20">
        <f>IF(AND(ISNUMBER(B687),ISNUMBER(Q687),ISNUMBER(R687)),(B687-Q687-R687)*100,NA())</f>
        <v/>
      </c>
      <c r="T687" s="20">
        <f>IF(AND(ISNUMBER(B687),Settings!$B$17&gt;0),IF(ISNUMBER(INDEX($B:$B,Settings!$B$17)),(B687-INDEX($B:$B,Settings!$B$17))*100,NA()),NA())</f>
        <v/>
      </c>
      <c r="U687" s="20">
        <f>IF(AND(ISNUMBER(Q687),Settings!$B$17&gt;0),IF(ISNUMBER(INDEX($Q:$Q,Settings!$B$17)),(Q687-INDEX($Q:$Q,Settings!$B$17))*100,NA()),NA())</f>
        <v/>
      </c>
      <c r="V687" s="20">
        <f>IF(AND(ISNUMBER(R687),Settings!$B$17&gt;0),IF(ISNUMBER(INDEX($R:$R,Settings!$B$17)),(R687-INDEX($R:$R,Settings!$B$17))*100,NA()),NA())</f>
        <v/>
      </c>
      <c r="W687" s="20">
        <f>IF(AND(ISNUMBER(P687),Settings!$B$17&gt;0),IF(ISNUMBER(INDEX($P:$P,Settings!$B$17)),P687-INDEX($P:$P,Settings!$B$17),NA()),NA())</f>
        <v/>
      </c>
      <c r="X687" s="19">
        <f>IF(NOT(ISNUMBER($A687)),NA(),IF(OR($A687&lt;MIN(DKW_10Y!$A$2:$A$2918),$A687&gt;MAX(DKW_10Y!$A$2:$A$2918),Settings!$B$16&lt;MIN(DKW_10Y!$A$2:$A$2918)),NA(),(INDEX(DKW_10Y!$B$2:$B$2918,MATCH($A687,DKW_10Y!$A$2:$A$2918,1))-INDEX(DKW_10Y!$B$2:$B$2918,MATCH(Settings!$B$16,DKW_10Y!$A$2:$A$2918,1)))*100))</f>
        <v/>
      </c>
      <c r="Y687" s="19">
        <f>IF(NOT(ISNUMBER($A687)),NA(),IF(OR($A687&lt;MIN(DKW_10Y!$A$2:$A$2918),$A687&gt;MAX(DKW_10Y!$A$2:$A$2918),Settings!$B$16&lt;MIN(DKW_10Y!$A$2:$A$2918)),NA(),(INDEX(DKW_10Y!$C$2:$C$2918,MATCH($A687,DKW_10Y!$A$2:$A$2918,1))-INDEX(DKW_10Y!$C$2:$C$2918,MATCH(Settings!$B$16,DKW_10Y!$A$2:$A$2918,1)))*100))</f>
        <v/>
      </c>
      <c r="Z687" s="19">
        <f>IF(NOT(ISNUMBER($A687)),NA(),IF(OR($A687&lt;MIN(DKW_10Y!$A$2:$A$2918),$A687&gt;MAX(DKW_10Y!$A$2:$A$2918),Settings!$B$16&lt;MIN(DKW_10Y!$A$2:$A$2918)),NA(),(INDEX(DKW_10Y!$D$2:$D$2918,MATCH($A687,DKW_10Y!$A$2:$A$2918,1))-INDEX(DKW_10Y!$D$2:$D$2918,MATCH(Settings!$B$16,DKW_10Y!$A$2:$A$2918,1)))*100))</f>
        <v/>
      </c>
      <c r="AA687" s="19">
        <f>IF(NOT(ISNUMBER($A687)),NA(),IF(OR($A687&lt;MIN(DKW_10Y!$A$2:$A$2918),$A687&gt;MAX(DKW_10Y!$A$2:$A$2918),Settings!$B$16&lt;MIN(DKW_10Y!$A$2:$A$2918)),NA(),(INDEX(DKW_10Y!$E$2:$E$2918,MATCH($A687,DKW_10Y!$A$2:$A$2918,1))-INDEX(DKW_10Y!$E$2:$E$2918,MATCH(Settings!$B$16,DKW_10Y!$A$2:$A$2918,1)))*100))</f>
        <v/>
      </c>
      <c r="AB687" s="19">
        <f>IF(NOT(ISNUMBER($A687)),NA(),IF(OR($A687&lt;MIN(DKW_10Y!$A$2:$A$2918),$A687&gt;MAX(DKW_10Y!$A$2:$A$2918),Settings!$B$16&lt;MIN(DKW_10Y!$A$2:$A$2918)),NA(),(INDEX(DKW_10Y!$H$2:$H$2918,MATCH($A687,DKW_10Y!$A$2:$A$2918,1))-INDEX(DKW_10Y!$H$2:$H$2918,MATCH(Settings!$B$16,DKW_10Y!$A$2:$A$2918,1)))*100))</f>
        <v/>
      </c>
      <c r="AC687" s="18">
        <f>IF(NOT(ISNUMBER($A687)),NA(),IFERROR(1*INDEX(BBG_Data!$N$2:$N$4000,MATCH($A687,BBG_Data!$M$2:$M$4000,0)),NA()))</f>
        <v/>
      </c>
      <c r="AD687" s="18">
        <f>IF(NOT(ISNUMBER($A687)),NA(),IFERROR(1*INDEX(BBG_Data!$P$2:$P$4000,MATCH($A687,BBG_Data!$O$2:$O$4000,0)),NA()))</f>
        <v/>
      </c>
      <c r="AE687" s="18">
        <f>IF(NOT(ISNUMBER($A687)),NA(),IFERROR(1*INDEX(BBG_Data!$R$2:$R$4000,MATCH($A687,BBG_Data!$Q$2:$Q$4000,0)),NA()))</f>
        <v/>
      </c>
      <c r="AF687" s="20">
        <f>IF(AND(ISNUMBER(B687),ISNUMBER(AC687)),(B687-AC687)*100,NA())</f>
        <v/>
      </c>
      <c r="AG687" s="20">
        <f>IF(AND(ISNUMBER(AE687),ISNUMBER(AD687)),(AE687-AD687)*100,NA())</f>
        <v/>
      </c>
      <c r="AH687" s="19">
        <f>IF(NOT(ISNUMBER($A687)),NA(),IFERROR(INDEX(BBG_Data!$T$2:$T$4000,MATCH($A687,BBG_Data!$S$2:$S$4000,0))*Settings!$B$25,NA()))</f>
        <v/>
      </c>
      <c r="AI687" s="19">
        <f>IF(NOT(ISNUMBER($A687)),NA(),IFERROR(INDEX(BBG_Data!$V$2:$V$4000,MATCH($A687,BBG_Data!$U$2:$U$4000,0))*Settings!$B$25,NA()))</f>
        <v/>
      </c>
      <c r="AJ687" s="19">
        <f>IF(NOT(ISNUMBER($A687)),NA(),IFERROR(1*INDEX(BBG_Data!$X$2:$X$4000,MATCH($A687,BBG_Data!$W$2:$W$4000,0)),NA()))</f>
        <v/>
      </c>
      <c r="AK687" s="19">
        <f>IF(NOT(ISNUMBER($A687)),NA(),IFERROR(1*INDEX(BBG_Data!$Z$2:$Z$4000,MATCH($A687,BBG_Data!$Y$2:$Y$4000,0)),NA()))</f>
        <v/>
      </c>
    </row>
    <row r="688">
      <c r="A688" s="17">
        <f>IF(ISNUMBER(BBG_Data!A688),BBG_Data!A688,"")</f>
        <v/>
      </c>
      <c r="B688" s="18">
        <f>IF(AND(ISNUMBER($A688),ISNUMBER(BBG_Data!B688)),BBG_Data!B688,NA())</f>
        <v/>
      </c>
      <c r="C688" s="18">
        <f>IF(NOT(ISNUMBER($A688)),NA(),IFERROR(1*INDEX(BBG_Data!$D$2:$D$4000,MATCH($A688,BBG_Data!$C$2:$C$4000,0)),NA()))</f>
        <v/>
      </c>
      <c r="D688" s="19">
        <f>IF(NOT(ISNUMBER($A688)),NA(),IFERROR(1*INDEX(BBG_Data!$F$2:$F$4000,MATCH($A688,BBG_Data!$E$2:$E$4000,0)),NA()))</f>
        <v/>
      </c>
      <c r="E688" s="19">
        <f>IF(NOT(ISNUMBER($A688)),NA(),IFERROR(1*INDEX(BBG_Data!$H$2:$H$4000,MATCH($A688,BBG_Data!$G$2:$G$4000,0)),NA()))</f>
        <v/>
      </c>
      <c r="F688" s="20">
        <f>IF(AND(ISNUMBER(B688),ISNUMBER(B687)),IF(B688=B687,"",(B688-B687)*100),"")</f>
        <v/>
      </c>
      <c r="G688" s="20">
        <f>IF(AND(ISNUMBER(C688),ISNUMBER(C687)),IF(C688=C687,"",(C688-C687)*100),"")</f>
        <v/>
      </c>
      <c r="H688" s="20">
        <f>IF(OR(NOT(ISNUMBER($A688)),ROW()-2&lt;Settings!$B$11),NA(),IF(COUNT(OFFSET(F688,1-Settings!$B$11,0,Settings!$B$11,1))&lt;ROUNDUP(Settings!$B$11*Settings!$B$26,0),NA(),STDEV(OFFSET(F688,1-Settings!$B$11,0,Settings!$B$11,1))*SQRT(Settings!$B$13)))</f>
        <v/>
      </c>
      <c r="I688" s="20">
        <f>IF(OR(NOT(ISNUMBER($A688)),ROW()-2&lt;Settings!$B$12),NA(),IF(COUNT(OFFSET(F688,1-Settings!$B$12,0,Settings!$B$12,1))&lt;ROUNDUP(Settings!$B$12*Settings!$B$26,0),NA(),STDEV(OFFSET(F688,1-Settings!$B$12,0,Settings!$B$12,1))*SQRT(Settings!$B$13)))</f>
        <v/>
      </c>
      <c r="J688" s="20">
        <f>IF(OR(NOT(ISNUMBER($A688)),ROW()-2&lt;Settings!$B$11),NA(),IF(COUNT(OFFSET(G688,1-Settings!$B$11,0,Settings!$B$11,1))&lt;ROUNDUP(Settings!$B$11*Settings!$B$26,0),NA(),STDEV(OFFSET(G688,1-Settings!$B$11,0,Settings!$B$11,1))*SQRT(Settings!$B$13)))</f>
        <v/>
      </c>
      <c r="K688" s="20">
        <f>IF(OR(NOT(ISNUMBER($A688)),ROW()-2&lt;Settings!$B$12),NA(),IF(COUNT(OFFSET(G688,1-Settings!$B$12,0,Settings!$B$12,1))&lt;ROUNDUP(Settings!$B$12*Settings!$B$26,0),NA(),STDEV(OFFSET(G688,1-Settings!$B$12,0,Settings!$B$12,1))*SQRT(Settings!$B$13)))</f>
        <v/>
      </c>
      <c r="L688" s="20">
        <f>IF(AND(ISNUMBER(D688),ISNUMBER(H688)),D688-H688,NA())</f>
        <v/>
      </c>
      <c r="M688" s="20">
        <f>IF(AND(ISNUMBER(E688),ISNUMBER(K688)),E688-K688,NA())</f>
        <v/>
      </c>
      <c r="N688" s="20">
        <f>IF(NOT(ISNUMBER($A688)),NA(),IF(COUNT(OFFSET(G688,1,0,Settings!$B$12,1))&lt;ROUNDUP(Settings!$B$12*Settings!$B$26,0),NA(),STDEV(OFFSET(G688,1,0,Settings!$B$12,1))*SQRT(Settings!$B$13)))</f>
        <v/>
      </c>
      <c r="O688" s="20">
        <f>IF(AND(ISNUMBER(E688),ISNUMBER(N688)),E688-N688,NA())</f>
        <v/>
      </c>
      <c r="P688" s="19">
        <f>IF(NOT(ISNUMBER($A688)),NA(),IF(OR($A688&lt;MIN(KW_TP!$A$2:$A$2501),$A688&gt;MAX(KW_TP!$A$2:$A$2501)),NA(),INDEX(KW_TP!$C$2:$C$2501,MATCH($A688,KW_TP!$A$2:$A$2501,1))))</f>
        <v/>
      </c>
      <c r="Q688" s="18">
        <f>IF(NOT(ISNUMBER($A688)),NA(),IFERROR(1*INDEX(BBG_Data!$J$2:$J$4000,MATCH($A688,BBG_Data!$I$2:$I$4000,0)),NA()))</f>
        <v/>
      </c>
      <c r="R688" s="18">
        <f>IF(NOT(ISNUMBER($A688)),NA(),IFERROR(1*INDEX(BBG_Data!$L$2:$L$4000,MATCH($A688,BBG_Data!$K$2:$K$4000,0)),NA()))</f>
        <v/>
      </c>
      <c r="S688" s="20">
        <f>IF(AND(ISNUMBER(B688),ISNUMBER(Q688),ISNUMBER(R688)),(B688-Q688-R688)*100,NA())</f>
        <v/>
      </c>
      <c r="T688" s="20">
        <f>IF(AND(ISNUMBER(B688),Settings!$B$17&gt;0),IF(ISNUMBER(INDEX($B:$B,Settings!$B$17)),(B688-INDEX($B:$B,Settings!$B$17))*100,NA()),NA())</f>
        <v/>
      </c>
      <c r="U688" s="20">
        <f>IF(AND(ISNUMBER(Q688),Settings!$B$17&gt;0),IF(ISNUMBER(INDEX($Q:$Q,Settings!$B$17)),(Q688-INDEX($Q:$Q,Settings!$B$17))*100,NA()),NA())</f>
        <v/>
      </c>
      <c r="V688" s="20">
        <f>IF(AND(ISNUMBER(R688),Settings!$B$17&gt;0),IF(ISNUMBER(INDEX($R:$R,Settings!$B$17)),(R688-INDEX($R:$R,Settings!$B$17))*100,NA()),NA())</f>
        <v/>
      </c>
      <c r="W688" s="20">
        <f>IF(AND(ISNUMBER(P688),Settings!$B$17&gt;0),IF(ISNUMBER(INDEX($P:$P,Settings!$B$17)),P688-INDEX($P:$P,Settings!$B$17),NA()),NA())</f>
        <v/>
      </c>
      <c r="X688" s="19">
        <f>IF(NOT(ISNUMBER($A688)),NA(),IF(OR($A688&lt;MIN(DKW_10Y!$A$2:$A$2918),$A688&gt;MAX(DKW_10Y!$A$2:$A$2918),Settings!$B$16&lt;MIN(DKW_10Y!$A$2:$A$2918)),NA(),(INDEX(DKW_10Y!$B$2:$B$2918,MATCH($A688,DKW_10Y!$A$2:$A$2918,1))-INDEX(DKW_10Y!$B$2:$B$2918,MATCH(Settings!$B$16,DKW_10Y!$A$2:$A$2918,1)))*100))</f>
        <v/>
      </c>
      <c r="Y688" s="19">
        <f>IF(NOT(ISNUMBER($A688)),NA(),IF(OR($A688&lt;MIN(DKW_10Y!$A$2:$A$2918),$A688&gt;MAX(DKW_10Y!$A$2:$A$2918),Settings!$B$16&lt;MIN(DKW_10Y!$A$2:$A$2918)),NA(),(INDEX(DKW_10Y!$C$2:$C$2918,MATCH($A688,DKW_10Y!$A$2:$A$2918,1))-INDEX(DKW_10Y!$C$2:$C$2918,MATCH(Settings!$B$16,DKW_10Y!$A$2:$A$2918,1)))*100))</f>
        <v/>
      </c>
      <c r="Z688" s="19">
        <f>IF(NOT(ISNUMBER($A688)),NA(),IF(OR($A688&lt;MIN(DKW_10Y!$A$2:$A$2918),$A688&gt;MAX(DKW_10Y!$A$2:$A$2918),Settings!$B$16&lt;MIN(DKW_10Y!$A$2:$A$2918)),NA(),(INDEX(DKW_10Y!$D$2:$D$2918,MATCH($A688,DKW_10Y!$A$2:$A$2918,1))-INDEX(DKW_10Y!$D$2:$D$2918,MATCH(Settings!$B$16,DKW_10Y!$A$2:$A$2918,1)))*100))</f>
        <v/>
      </c>
      <c r="AA688" s="19">
        <f>IF(NOT(ISNUMBER($A688)),NA(),IF(OR($A688&lt;MIN(DKW_10Y!$A$2:$A$2918),$A688&gt;MAX(DKW_10Y!$A$2:$A$2918),Settings!$B$16&lt;MIN(DKW_10Y!$A$2:$A$2918)),NA(),(INDEX(DKW_10Y!$E$2:$E$2918,MATCH($A688,DKW_10Y!$A$2:$A$2918,1))-INDEX(DKW_10Y!$E$2:$E$2918,MATCH(Settings!$B$16,DKW_10Y!$A$2:$A$2918,1)))*100))</f>
        <v/>
      </c>
      <c r="AB688" s="19">
        <f>IF(NOT(ISNUMBER($A688)),NA(),IF(OR($A688&lt;MIN(DKW_10Y!$A$2:$A$2918),$A688&gt;MAX(DKW_10Y!$A$2:$A$2918),Settings!$B$16&lt;MIN(DKW_10Y!$A$2:$A$2918)),NA(),(INDEX(DKW_10Y!$H$2:$H$2918,MATCH($A688,DKW_10Y!$A$2:$A$2918,1))-INDEX(DKW_10Y!$H$2:$H$2918,MATCH(Settings!$B$16,DKW_10Y!$A$2:$A$2918,1)))*100))</f>
        <v/>
      </c>
      <c r="AC688" s="18">
        <f>IF(NOT(ISNUMBER($A688)),NA(),IFERROR(1*INDEX(BBG_Data!$N$2:$N$4000,MATCH($A688,BBG_Data!$M$2:$M$4000,0)),NA()))</f>
        <v/>
      </c>
      <c r="AD688" s="18">
        <f>IF(NOT(ISNUMBER($A688)),NA(),IFERROR(1*INDEX(BBG_Data!$P$2:$P$4000,MATCH($A688,BBG_Data!$O$2:$O$4000,0)),NA()))</f>
        <v/>
      </c>
      <c r="AE688" s="18">
        <f>IF(NOT(ISNUMBER($A688)),NA(),IFERROR(1*INDEX(BBG_Data!$R$2:$R$4000,MATCH($A688,BBG_Data!$Q$2:$Q$4000,0)),NA()))</f>
        <v/>
      </c>
      <c r="AF688" s="20">
        <f>IF(AND(ISNUMBER(B688),ISNUMBER(AC688)),(B688-AC688)*100,NA())</f>
        <v/>
      </c>
      <c r="AG688" s="20">
        <f>IF(AND(ISNUMBER(AE688),ISNUMBER(AD688)),(AE688-AD688)*100,NA())</f>
        <v/>
      </c>
      <c r="AH688" s="19">
        <f>IF(NOT(ISNUMBER($A688)),NA(),IFERROR(INDEX(BBG_Data!$T$2:$T$4000,MATCH($A688,BBG_Data!$S$2:$S$4000,0))*Settings!$B$25,NA()))</f>
        <v/>
      </c>
      <c r="AI688" s="19">
        <f>IF(NOT(ISNUMBER($A688)),NA(),IFERROR(INDEX(BBG_Data!$V$2:$V$4000,MATCH($A688,BBG_Data!$U$2:$U$4000,0))*Settings!$B$25,NA()))</f>
        <v/>
      </c>
      <c r="AJ688" s="19">
        <f>IF(NOT(ISNUMBER($A688)),NA(),IFERROR(1*INDEX(BBG_Data!$X$2:$X$4000,MATCH($A688,BBG_Data!$W$2:$W$4000,0)),NA()))</f>
        <v/>
      </c>
      <c r="AK688" s="19">
        <f>IF(NOT(ISNUMBER($A688)),NA(),IFERROR(1*INDEX(BBG_Data!$Z$2:$Z$4000,MATCH($A688,BBG_Data!$Y$2:$Y$4000,0)),NA()))</f>
        <v/>
      </c>
    </row>
    <row r="689">
      <c r="A689" s="17">
        <f>IF(ISNUMBER(BBG_Data!A689),BBG_Data!A689,"")</f>
        <v/>
      </c>
      <c r="B689" s="18">
        <f>IF(AND(ISNUMBER($A689),ISNUMBER(BBG_Data!B689)),BBG_Data!B689,NA())</f>
        <v/>
      </c>
      <c r="C689" s="18">
        <f>IF(NOT(ISNUMBER($A689)),NA(),IFERROR(1*INDEX(BBG_Data!$D$2:$D$4000,MATCH($A689,BBG_Data!$C$2:$C$4000,0)),NA()))</f>
        <v/>
      </c>
      <c r="D689" s="19">
        <f>IF(NOT(ISNUMBER($A689)),NA(),IFERROR(1*INDEX(BBG_Data!$F$2:$F$4000,MATCH($A689,BBG_Data!$E$2:$E$4000,0)),NA()))</f>
        <v/>
      </c>
      <c r="E689" s="19">
        <f>IF(NOT(ISNUMBER($A689)),NA(),IFERROR(1*INDEX(BBG_Data!$H$2:$H$4000,MATCH($A689,BBG_Data!$G$2:$G$4000,0)),NA()))</f>
        <v/>
      </c>
      <c r="F689" s="20">
        <f>IF(AND(ISNUMBER(B689),ISNUMBER(B688)),IF(B689=B688,"",(B689-B688)*100),"")</f>
        <v/>
      </c>
      <c r="G689" s="20">
        <f>IF(AND(ISNUMBER(C689),ISNUMBER(C688)),IF(C689=C688,"",(C689-C688)*100),"")</f>
        <v/>
      </c>
      <c r="H689" s="20">
        <f>IF(OR(NOT(ISNUMBER($A689)),ROW()-2&lt;Settings!$B$11),NA(),IF(COUNT(OFFSET(F689,1-Settings!$B$11,0,Settings!$B$11,1))&lt;ROUNDUP(Settings!$B$11*Settings!$B$26,0),NA(),STDEV(OFFSET(F689,1-Settings!$B$11,0,Settings!$B$11,1))*SQRT(Settings!$B$13)))</f>
        <v/>
      </c>
      <c r="I689" s="20">
        <f>IF(OR(NOT(ISNUMBER($A689)),ROW()-2&lt;Settings!$B$12),NA(),IF(COUNT(OFFSET(F689,1-Settings!$B$12,0,Settings!$B$12,1))&lt;ROUNDUP(Settings!$B$12*Settings!$B$26,0),NA(),STDEV(OFFSET(F689,1-Settings!$B$12,0,Settings!$B$12,1))*SQRT(Settings!$B$13)))</f>
        <v/>
      </c>
      <c r="J689" s="20">
        <f>IF(OR(NOT(ISNUMBER($A689)),ROW()-2&lt;Settings!$B$11),NA(),IF(COUNT(OFFSET(G689,1-Settings!$B$11,0,Settings!$B$11,1))&lt;ROUNDUP(Settings!$B$11*Settings!$B$26,0),NA(),STDEV(OFFSET(G689,1-Settings!$B$11,0,Settings!$B$11,1))*SQRT(Settings!$B$13)))</f>
        <v/>
      </c>
      <c r="K689" s="20">
        <f>IF(OR(NOT(ISNUMBER($A689)),ROW()-2&lt;Settings!$B$12),NA(),IF(COUNT(OFFSET(G689,1-Settings!$B$12,0,Settings!$B$12,1))&lt;ROUNDUP(Settings!$B$12*Settings!$B$26,0),NA(),STDEV(OFFSET(G689,1-Settings!$B$12,0,Settings!$B$12,1))*SQRT(Settings!$B$13)))</f>
        <v/>
      </c>
      <c r="L689" s="20">
        <f>IF(AND(ISNUMBER(D689),ISNUMBER(H689)),D689-H689,NA())</f>
        <v/>
      </c>
      <c r="M689" s="20">
        <f>IF(AND(ISNUMBER(E689),ISNUMBER(K689)),E689-K689,NA())</f>
        <v/>
      </c>
      <c r="N689" s="20">
        <f>IF(NOT(ISNUMBER($A689)),NA(),IF(COUNT(OFFSET(G689,1,0,Settings!$B$12,1))&lt;ROUNDUP(Settings!$B$12*Settings!$B$26,0),NA(),STDEV(OFFSET(G689,1,0,Settings!$B$12,1))*SQRT(Settings!$B$13)))</f>
        <v/>
      </c>
      <c r="O689" s="20">
        <f>IF(AND(ISNUMBER(E689),ISNUMBER(N689)),E689-N689,NA())</f>
        <v/>
      </c>
      <c r="P689" s="19">
        <f>IF(NOT(ISNUMBER($A689)),NA(),IF(OR($A689&lt;MIN(KW_TP!$A$2:$A$2501),$A689&gt;MAX(KW_TP!$A$2:$A$2501)),NA(),INDEX(KW_TP!$C$2:$C$2501,MATCH($A689,KW_TP!$A$2:$A$2501,1))))</f>
        <v/>
      </c>
      <c r="Q689" s="18">
        <f>IF(NOT(ISNUMBER($A689)),NA(),IFERROR(1*INDEX(BBG_Data!$J$2:$J$4000,MATCH($A689,BBG_Data!$I$2:$I$4000,0)),NA()))</f>
        <v/>
      </c>
      <c r="R689" s="18">
        <f>IF(NOT(ISNUMBER($A689)),NA(),IFERROR(1*INDEX(BBG_Data!$L$2:$L$4000,MATCH($A689,BBG_Data!$K$2:$K$4000,0)),NA()))</f>
        <v/>
      </c>
      <c r="S689" s="20">
        <f>IF(AND(ISNUMBER(B689),ISNUMBER(Q689),ISNUMBER(R689)),(B689-Q689-R689)*100,NA())</f>
        <v/>
      </c>
      <c r="T689" s="20">
        <f>IF(AND(ISNUMBER(B689),Settings!$B$17&gt;0),IF(ISNUMBER(INDEX($B:$B,Settings!$B$17)),(B689-INDEX($B:$B,Settings!$B$17))*100,NA()),NA())</f>
        <v/>
      </c>
      <c r="U689" s="20">
        <f>IF(AND(ISNUMBER(Q689),Settings!$B$17&gt;0),IF(ISNUMBER(INDEX($Q:$Q,Settings!$B$17)),(Q689-INDEX($Q:$Q,Settings!$B$17))*100,NA()),NA())</f>
        <v/>
      </c>
      <c r="V689" s="20">
        <f>IF(AND(ISNUMBER(R689),Settings!$B$17&gt;0),IF(ISNUMBER(INDEX($R:$R,Settings!$B$17)),(R689-INDEX($R:$R,Settings!$B$17))*100,NA()),NA())</f>
        <v/>
      </c>
      <c r="W689" s="20">
        <f>IF(AND(ISNUMBER(P689),Settings!$B$17&gt;0),IF(ISNUMBER(INDEX($P:$P,Settings!$B$17)),P689-INDEX($P:$P,Settings!$B$17),NA()),NA())</f>
        <v/>
      </c>
      <c r="X689" s="19">
        <f>IF(NOT(ISNUMBER($A689)),NA(),IF(OR($A689&lt;MIN(DKW_10Y!$A$2:$A$2918),$A689&gt;MAX(DKW_10Y!$A$2:$A$2918),Settings!$B$16&lt;MIN(DKW_10Y!$A$2:$A$2918)),NA(),(INDEX(DKW_10Y!$B$2:$B$2918,MATCH($A689,DKW_10Y!$A$2:$A$2918,1))-INDEX(DKW_10Y!$B$2:$B$2918,MATCH(Settings!$B$16,DKW_10Y!$A$2:$A$2918,1)))*100))</f>
        <v/>
      </c>
      <c r="Y689" s="19">
        <f>IF(NOT(ISNUMBER($A689)),NA(),IF(OR($A689&lt;MIN(DKW_10Y!$A$2:$A$2918),$A689&gt;MAX(DKW_10Y!$A$2:$A$2918),Settings!$B$16&lt;MIN(DKW_10Y!$A$2:$A$2918)),NA(),(INDEX(DKW_10Y!$C$2:$C$2918,MATCH($A689,DKW_10Y!$A$2:$A$2918,1))-INDEX(DKW_10Y!$C$2:$C$2918,MATCH(Settings!$B$16,DKW_10Y!$A$2:$A$2918,1)))*100))</f>
        <v/>
      </c>
      <c r="Z689" s="19">
        <f>IF(NOT(ISNUMBER($A689)),NA(),IF(OR($A689&lt;MIN(DKW_10Y!$A$2:$A$2918),$A689&gt;MAX(DKW_10Y!$A$2:$A$2918),Settings!$B$16&lt;MIN(DKW_10Y!$A$2:$A$2918)),NA(),(INDEX(DKW_10Y!$D$2:$D$2918,MATCH($A689,DKW_10Y!$A$2:$A$2918,1))-INDEX(DKW_10Y!$D$2:$D$2918,MATCH(Settings!$B$16,DKW_10Y!$A$2:$A$2918,1)))*100))</f>
        <v/>
      </c>
      <c r="AA689" s="19">
        <f>IF(NOT(ISNUMBER($A689)),NA(),IF(OR($A689&lt;MIN(DKW_10Y!$A$2:$A$2918),$A689&gt;MAX(DKW_10Y!$A$2:$A$2918),Settings!$B$16&lt;MIN(DKW_10Y!$A$2:$A$2918)),NA(),(INDEX(DKW_10Y!$E$2:$E$2918,MATCH($A689,DKW_10Y!$A$2:$A$2918,1))-INDEX(DKW_10Y!$E$2:$E$2918,MATCH(Settings!$B$16,DKW_10Y!$A$2:$A$2918,1)))*100))</f>
        <v/>
      </c>
      <c r="AB689" s="19">
        <f>IF(NOT(ISNUMBER($A689)),NA(),IF(OR($A689&lt;MIN(DKW_10Y!$A$2:$A$2918),$A689&gt;MAX(DKW_10Y!$A$2:$A$2918),Settings!$B$16&lt;MIN(DKW_10Y!$A$2:$A$2918)),NA(),(INDEX(DKW_10Y!$H$2:$H$2918,MATCH($A689,DKW_10Y!$A$2:$A$2918,1))-INDEX(DKW_10Y!$H$2:$H$2918,MATCH(Settings!$B$16,DKW_10Y!$A$2:$A$2918,1)))*100))</f>
        <v/>
      </c>
      <c r="AC689" s="18">
        <f>IF(NOT(ISNUMBER($A689)),NA(),IFERROR(1*INDEX(BBG_Data!$N$2:$N$4000,MATCH($A689,BBG_Data!$M$2:$M$4000,0)),NA()))</f>
        <v/>
      </c>
      <c r="AD689" s="18">
        <f>IF(NOT(ISNUMBER($A689)),NA(),IFERROR(1*INDEX(BBG_Data!$P$2:$P$4000,MATCH($A689,BBG_Data!$O$2:$O$4000,0)),NA()))</f>
        <v/>
      </c>
      <c r="AE689" s="18">
        <f>IF(NOT(ISNUMBER($A689)),NA(),IFERROR(1*INDEX(BBG_Data!$R$2:$R$4000,MATCH($A689,BBG_Data!$Q$2:$Q$4000,0)),NA()))</f>
        <v/>
      </c>
      <c r="AF689" s="20">
        <f>IF(AND(ISNUMBER(B689),ISNUMBER(AC689)),(B689-AC689)*100,NA())</f>
        <v/>
      </c>
      <c r="AG689" s="20">
        <f>IF(AND(ISNUMBER(AE689),ISNUMBER(AD689)),(AE689-AD689)*100,NA())</f>
        <v/>
      </c>
      <c r="AH689" s="19">
        <f>IF(NOT(ISNUMBER($A689)),NA(),IFERROR(INDEX(BBG_Data!$T$2:$T$4000,MATCH($A689,BBG_Data!$S$2:$S$4000,0))*Settings!$B$25,NA()))</f>
        <v/>
      </c>
      <c r="AI689" s="19">
        <f>IF(NOT(ISNUMBER($A689)),NA(),IFERROR(INDEX(BBG_Data!$V$2:$V$4000,MATCH($A689,BBG_Data!$U$2:$U$4000,0))*Settings!$B$25,NA()))</f>
        <v/>
      </c>
      <c r="AJ689" s="19">
        <f>IF(NOT(ISNUMBER($A689)),NA(),IFERROR(1*INDEX(BBG_Data!$X$2:$X$4000,MATCH($A689,BBG_Data!$W$2:$W$4000,0)),NA()))</f>
        <v/>
      </c>
      <c r="AK689" s="19">
        <f>IF(NOT(ISNUMBER($A689)),NA(),IFERROR(1*INDEX(BBG_Data!$Z$2:$Z$4000,MATCH($A689,BBG_Data!$Y$2:$Y$4000,0)),NA()))</f>
        <v/>
      </c>
    </row>
    <row r="690">
      <c r="A690" s="17">
        <f>IF(ISNUMBER(BBG_Data!A690),BBG_Data!A690,"")</f>
        <v/>
      </c>
      <c r="B690" s="18">
        <f>IF(AND(ISNUMBER($A690),ISNUMBER(BBG_Data!B690)),BBG_Data!B690,NA())</f>
        <v/>
      </c>
      <c r="C690" s="18">
        <f>IF(NOT(ISNUMBER($A690)),NA(),IFERROR(1*INDEX(BBG_Data!$D$2:$D$4000,MATCH($A690,BBG_Data!$C$2:$C$4000,0)),NA()))</f>
        <v/>
      </c>
      <c r="D690" s="19">
        <f>IF(NOT(ISNUMBER($A690)),NA(),IFERROR(1*INDEX(BBG_Data!$F$2:$F$4000,MATCH($A690,BBG_Data!$E$2:$E$4000,0)),NA()))</f>
        <v/>
      </c>
      <c r="E690" s="19">
        <f>IF(NOT(ISNUMBER($A690)),NA(),IFERROR(1*INDEX(BBG_Data!$H$2:$H$4000,MATCH($A690,BBG_Data!$G$2:$G$4000,0)),NA()))</f>
        <v/>
      </c>
      <c r="F690" s="20">
        <f>IF(AND(ISNUMBER(B690),ISNUMBER(B689)),IF(B690=B689,"",(B690-B689)*100),"")</f>
        <v/>
      </c>
      <c r="G690" s="20">
        <f>IF(AND(ISNUMBER(C690),ISNUMBER(C689)),IF(C690=C689,"",(C690-C689)*100),"")</f>
        <v/>
      </c>
      <c r="H690" s="20">
        <f>IF(OR(NOT(ISNUMBER($A690)),ROW()-2&lt;Settings!$B$11),NA(),IF(COUNT(OFFSET(F690,1-Settings!$B$11,0,Settings!$B$11,1))&lt;ROUNDUP(Settings!$B$11*Settings!$B$26,0),NA(),STDEV(OFFSET(F690,1-Settings!$B$11,0,Settings!$B$11,1))*SQRT(Settings!$B$13)))</f>
        <v/>
      </c>
      <c r="I690" s="20">
        <f>IF(OR(NOT(ISNUMBER($A690)),ROW()-2&lt;Settings!$B$12),NA(),IF(COUNT(OFFSET(F690,1-Settings!$B$12,0,Settings!$B$12,1))&lt;ROUNDUP(Settings!$B$12*Settings!$B$26,0),NA(),STDEV(OFFSET(F690,1-Settings!$B$12,0,Settings!$B$12,1))*SQRT(Settings!$B$13)))</f>
        <v/>
      </c>
      <c r="J690" s="20">
        <f>IF(OR(NOT(ISNUMBER($A690)),ROW()-2&lt;Settings!$B$11),NA(),IF(COUNT(OFFSET(G690,1-Settings!$B$11,0,Settings!$B$11,1))&lt;ROUNDUP(Settings!$B$11*Settings!$B$26,0),NA(),STDEV(OFFSET(G690,1-Settings!$B$11,0,Settings!$B$11,1))*SQRT(Settings!$B$13)))</f>
        <v/>
      </c>
      <c r="K690" s="20">
        <f>IF(OR(NOT(ISNUMBER($A690)),ROW()-2&lt;Settings!$B$12),NA(),IF(COUNT(OFFSET(G690,1-Settings!$B$12,0,Settings!$B$12,1))&lt;ROUNDUP(Settings!$B$12*Settings!$B$26,0),NA(),STDEV(OFFSET(G690,1-Settings!$B$12,0,Settings!$B$12,1))*SQRT(Settings!$B$13)))</f>
        <v/>
      </c>
      <c r="L690" s="20">
        <f>IF(AND(ISNUMBER(D690),ISNUMBER(H690)),D690-H690,NA())</f>
        <v/>
      </c>
      <c r="M690" s="20">
        <f>IF(AND(ISNUMBER(E690),ISNUMBER(K690)),E690-K690,NA())</f>
        <v/>
      </c>
      <c r="N690" s="20">
        <f>IF(NOT(ISNUMBER($A690)),NA(),IF(COUNT(OFFSET(G690,1,0,Settings!$B$12,1))&lt;ROUNDUP(Settings!$B$12*Settings!$B$26,0),NA(),STDEV(OFFSET(G690,1,0,Settings!$B$12,1))*SQRT(Settings!$B$13)))</f>
        <v/>
      </c>
      <c r="O690" s="20">
        <f>IF(AND(ISNUMBER(E690),ISNUMBER(N690)),E690-N690,NA())</f>
        <v/>
      </c>
      <c r="P690" s="19">
        <f>IF(NOT(ISNUMBER($A690)),NA(),IF(OR($A690&lt;MIN(KW_TP!$A$2:$A$2501),$A690&gt;MAX(KW_TP!$A$2:$A$2501)),NA(),INDEX(KW_TP!$C$2:$C$2501,MATCH($A690,KW_TP!$A$2:$A$2501,1))))</f>
        <v/>
      </c>
      <c r="Q690" s="18">
        <f>IF(NOT(ISNUMBER($A690)),NA(),IFERROR(1*INDEX(BBG_Data!$J$2:$J$4000,MATCH($A690,BBG_Data!$I$2:$I$4000,0)),NA()))</f>
        <v/>
      </c>
      <c r="R690" s="18">
        <f>IF(NOT(ISNUMBER($A690)),NA(),IFERROR(1*INDEX(BBG_Data!$L$2:$L$4000,MATCH($A690,BBG_Data!$K$2:$K$4000,0)),NA()))</f>
        <v/>
      </c>
      <c r="S690" s="20">
        <f>IF(AND(ISNUMBER(B690),ISNUMBER(Q690),ISNUMBER(R690)),(B690-Q690-R690)*100,NA())</f>
        <v/>
      </c>
      <c r="T690" s="20">
        <f>IF(AND(ISNUMBER(B690),Settings!$B$17&gt;0),IF(ISNUMBER(INDEX($B:$B,Settings!$B$17)),(B690-INDEX($B:$B,Settings!$B$17))*100,NA()),NA())</f>
        <v/>
      </c>
      <c r="U690" s="20">
        <f>IF(AND(ISNUMBER(Q690),Settings!$B$17&gt;0),IF(ISNUMBER(INDEX($Q:$Q,Settings!$B$17)),(Q690-INDEX($Q:$Q,Settings!$B$17))*100,NA()),NA())</f>
        <v/>
      </c>
      <c r="V690" s="20">
        <f>IF(AND(ISNUMBER(R690),Settings!$B$17&gt;0),IF(ISNUMBER(INDEX($R:$R,Settings!$B$17)),(R690-INDEX($R:$R,Settings!$B$17))*100,NA()),NA())</f>
        <v/>
      </c>
      <c r="W690" s="20">
        <f>IF(AND(ISNUMBER(P690),Settings!$B$17&gt;0),IF(ISNUMBER(INDEX($P:$P,Settings!$B$17)),P690-INDEX($P:$P,Settings!$B$17),NA()),NA())</f>
        <v/>
      </c>
      <c r="X690" s="19">
        <f>IF(NOT(ISNUMBER($A690)),NA(),IF(OR($A690&lt;MIN(DKW_10Y!$A$2:$A$2918),$A690&gt;MAX(DKW_10Y!$A$2:$A$2918),Settings!$B$16&lt;MIN(DKW_10Y!$A$2:$A$2918)),NA(),(INDEX(DKW_10Y!$B$2:$B$2918,MATCH($A690,DKW_10Y!$A$2:$A$2918,1))-INDEX(DKW_10Y!$B$2:$B$2918,MATCH(Settings!$B$16,DKW_10Y!$A$2:$A$2918,1)))*100))</f>
        <v/>
      </c>
      <c r="Y690" s="19">
        <f>IF(NOT(ISNUMBER($A690)),NA(),IF(OR($A690&lt;MIN(DKW_10Y!$A$2:$A$2918),$A690&gt;MAX(DKW_10Y!$A$2:$A$2918),Settings!$B$16&lt;MIN(DKW_10Y!$A$2:$A$2918)),NA(),(INDEX(DKW_10Y!$C$2:$C$2918,MATCH($A690,DKW_10Y!$A$2:$A$2918,1))-INDEX(DKW_10Y!$C$2:$C$2918,MATCH(Settings!$B$16,DKW_10Y!$A$2:$A$2918,1)))*100))</f>
        <v/>
      </c>
      <c r="Z690" s="19">
        <f>IF(NOT(ISNUMBER($A690)),NA(),IF(OR($A690&lt;MIN(DKW_10Y!$A$2:$A$2918),$A690&gt;MAX(DKW_10Y!$A$2:$A$2918),Settings!$B$16&lt;MIN(DKW_10Y!$A$2:$A$2918)),NA(),(INDEX(DKW_10Y!$D$2:$D$2918,MATCH($A690,DKW_10Y!$A$2:$A$2918,1))-INDEX(DKW_10Y!$D$2:$D$2918,MATCH(Settings!$B$16,DKW_10Y!$A$2:$A$2918,1)))*100))</f>
        <v/>
      </c>
      <c r="AA690" s="19">
        <f>IF(NOT(ISNUMBER($A690)),NA(),IF(OR($A690&lt;MIN(DKW_10Y!$A$2:$A$2918),$A690&gt;MAX(DKW_10Y!$A$2:$A$2918),Settings!$B$16&lt;MIN(DKW_10Y!$A$2:$A$2918)),NA(),(INDEX(DKW_10Y!$E$2:$E$2918,MATCH($A690,DKW_10Y!$A$2:$A$2918,1))-INDEX(DKW_10Y!$E$2:$E$2918,MATCH(Settings!$B$16,DKW_10Y!$A$2:$A$2918,1)))*100))</f>
        <v/>
      </c>
      <c r="AB690" s="19">
        <f>IF(NOT(ISNUMBER($A690)),NA(),IF(OR($A690&lt;MIN(DKW_10Y!$A$2:$A$2918),$A690&gt;MAX(DKW_10Y!$A$2:$A$2918),Settings!$B$16&lt;MIN(DKW_10Y!$A$2:$A$2918)),NA(),(INDEX(DKW_10Y!$H$2:$H$2918,MATCH($A690,DKW_10Y!$A$2:$A$2918,1))-INDEX(DKW_10Y!$H$2:$H$2918,MATCH(Settings!$B$16,DKW_10Y!$A$2:$A$2918,1)))*100))</f>
        <v/>
      </c>
      <c r="AC690" s="18">
        <f>IF(NOT(ISNUMBER($A690)),NA(),IFERROR(1*INDEX(BBG_Data!$N$2:$N$4000,MATCH($A690,BBG_Data!$M$2:$M$4000,0)),NA()))</f>
        <v/>
      </c>
      <c r="AD690" s="18">
        <f>IF(NOT(ISNUMBER($A690)),NA(),IFERROR(1*INDEX(BBG_Data!$P$2:$P$4000,MATCH($A690,BBG_Data!$O$2:$O$4000,0)),NA()))</f>
        <v/>
      </c>
      <c r="AE690" s="18">
        <f>IF(NOT(ISNUMBER($A690)),NA(),IFERROR(1*INDEX(BBG_Data!$R$2:$R$4000,MATCH($A690,BBG_Data!$Q$2:$Q$4000,0)),NA()))</f>
        <v/>
      </c>
      <c r="AF690" s="20">
        <f>IF(AND(ISNUMBER(B690),ISNUMBER(AC690)),(B690-AC690)*100,NA())</f>
        <v/>
      </c>
      <c r="AG690" s="20">
        <f>IF(AND(ISNUMBER(AE690),ISNUMBER(AD690)),(AE690-AD690)*100,NA())</f>
        <v/>
      </c>
      <c r="AH690" s="19">
        <f>IF(NOT(ISNUMBER($A690)),NA(),IFERROR(INDEX(BBG_Data!$T$2:$T$4000,MATCH($A690,BBG_Data!$S$2:$S$4000,0))*Settings!$B$25,NA()))</f>
        <v/>
      </c>
      <c r="AI690" s="19">
        <f>IF(NOT(ISNUMBER($A690)),NA(),IFERROR(INDEX(BBG_Data!$V$2:$V$4000,MATCH($A690,BBG_Data!$U$2:$U$4000,0))*Settings!$B$25,NA()))</f>
        <v/>
      </c>
      <c r="AJ690" s="19">
        <f>IF(NOT(ISNUMBER($A690)),NA(),IFERROR(1*INDEX(BBG_Data!$X$2:$X$4000,MATCH($A690,BBG_Data!$W$2:$W$4000,0)),NA()))</f>
        <v/>
      </c>
      <c r="AK690" s="19">
        <f>IF(NOT(ISNUMBER($A690)),NA(),IFERROR(1*INDEX(BBG_Data!$Z$2:$Z$4000,MATCH($A690,BBG_Data!$Y$2:$Y$4000,0)),NA()))</f>
        <v/>
      </c>
    </row>
    <row r="691">
      <c r="A691" s="17">
        <f>IF(ISNUMBER(BBG_Data!A691),BBG_Data!A691,"")</f>
        <v/>
      </c>
      <c r="B691" s="18">
        <f>IF(AND(ISNUMBER($A691),ISNUMBER(BBG_Data!B691)),BBG_Data!B691,NA())</f>
        <v/>
      </c>
      <c r="C691" s="18">
        <f>IF(NOT(ISNUMBER($A691)),NA(),IFERROR(1*INDEX(BBG_Data!$D$2:$D$4000,MATCH($A691,BBG_Data!$C$2:$C$4000,0)),NA()))</f>
        <v/>
      </c>
      <c r="D691" s="19">
        <f>IF(NOT(ISNUMBER($A691)),NA(),IFERROR(1*INDEX(BBG_Data!$F$2:$F$4000,MATCH($A691,BBG_Data!$E$2:$E$4000,0)),NA()))</f>
        <v/>
      </c>
      <c r="E691" s="19">
        <f>IF(NOT(ISNUMBER($A691)),NA(),IFERROR(1*INDEX(BBG_Data!$H$2:$H$4000,MATCH($A691,BBG_Data!$G$2:$G$4000,0)),NA()))</f>
        <v/>
      </c>
      <c r="F691" s="20">
        <f>IF(AND(ISNUMBER(B691),ISNUMBER(B690)),IF(B691=B690,"",(B691-B690)*100),"")</f>
        <v/>
      </c>
      <c r="G691" s="20">
        <f>IF(AND(ISNUMBER(C691),ISNUMBER(C690)),IF(C691=C690,"",(C691-C690)*100),"")</f>
        <v/>
      </c>
      <c r="H691" s="20">
        <f>IF(OR(NOT(ISNUMBER($A691)),ROW()-2&lt;Settings!$B$11),NA(),IF(COUNT(OFFSET(F691,1-Settings!$B$11,0,Settings!$B$11,1))&lt;ROUNDUP(Settings!$B$11*Settings!$B$26,0),NA(),STDEV(OFFSET(F691,1-Settings!$B$11,0,Settings!$B$11,1))*SQRT(Settings!$B$13)))</f>
        <v/>
      </c>
      <c r="I691" s="20">
        <f>IF(OR(NOT(ISNUMBER($A691)),ROW()-2&lt;Settings!$B$12),NA(),IF(COUNT(OFFSET(F691,1-Settings!$B$12,0,Settings!$B$12,1))&lt;ROUNDUP(Settings!$B$12*Settings!$B$26,0),NA(),STDEV(OFFSET(F691,1-Settings!$B$12,0,Settings!$B$12,1))*SQRT(Settings!$B$13)))</f>
        <v/>
      </c>
      <c r="J691" s="20">
        <f>IF(OR(NOT(ISNUMBER($A691)),ROW()-2&lt;Settings!$B$11),NA(),IF(COUNT(OFFSET(G691,1-Settings!$B$11,0,Settings!$B$11,1))&lt;ROUNDUP(Settings!$B$11*Settings!$B$26,0),NA(),STDEV(OFFSET(G691,1-Settings!$B$11,0,Settings!$B$11,1))*SQRT(Settings!$B$13)))</f>
        <v/>
      </c>
      <c r="K691" s="20">
        <f>IF(OR(NOT(ISNUMBER($A691)),ROW()-2&lt;Settings!$B$12),NA(),IF(COUNT(OFFSET(G691,1-Settings!$B$12,0,Settings!$B$12,1))&lt;ROUNDUP(Settings!$B$12*Settings!$B$26,0),NA(),STDEV(OFFSET(G691,1-Settings!$B$12,0,Settings!$B$12,1))*SQRT(Settings!$B$13)))</f>
        <v/>
      </c>
      <c r="L691" s="20">
        <f>IF(AND(ISNUMBER(D691),ISNUMBER(H691)),D691-H691,NA())</f>
        <v/>
      </c>
      <c r="M691" s="20">
        <f>IF(AND(ISNUMBER(E691),ISNUMBER(K691)),E691-K691,NA())</f>
        <v/>
      </c>
      <c r="N691" s="20">
        <f>IF(NOT(ISNUMBER($A691)),NA(),IF(COUNT(OFFSET(G691,1,0,Settings!$B$12,1))&lt;ROUNDUP(Settings!$B$12*Settings!$B$26,0),NA(),STDEV(OFFSET(G691,1,0,Settings!$B$12,1))*SQRT(Settings!$B$13)))</f>
        <v/>
      </c>
      <c r="O691" s="20">
        <f>IF(AND(ISNUMBER(E691),ISNUMBER(N691)),E691-N691,NA())</f>
        <v/>
      </c>
      <c r="P691" s="19">
        <f>IF(NOT(ISNUMBER($A691)),NA(),IF(OR($A691&lt;MIN(KW_TP!$A$2:$A$2501),$A691&gt;MAX(KW_TP!$A$2:$A$2501)),NA(),INDEX(KW_TP!$C$2:$C$2501,MATCH($A691,KW_TP!$A$2:$A$2501,1))))</f>
        <v/>
      </c>
      <c r="Q691" s="18">
        <f>IF(NOT(ISNUMBER($A691)),NA(),IFERROR(1*INDEX(BBG_Data!$J$2:$J$4000,MATCH($A691,BBG_Data!$I$2:$I$4000,0)),NA()))</f>
        <v/>
      </c>
      <c r="R691" s="18">
        <f>IF(NOT(ISNUMBER($A691)),NA(),IFERROR(1*INDEX(BBG_Data!$L$2:$L$4000,MATCH($A691,BBG_Data!$K$2:$K$4000,0)),NA()))</f>
        <v/>
      </c>
      <c r="S691" s="20">
        <f>IF(AND(ISNUMBER(B691),ISNUMBER(Q691),ISNUMBER(R691)),(B691-Q691-R691)*100,NA())</f>
        <v/>
      </c>
      <c r="T691" s="20">
        <f>IF(AND(ISNUMBER(B691),Settings!$B$17&gt;0),IF(ISNUMBER(INDEX($B:$B,Settings!$B$17)),(B691-INDEX($B:$B,Settings!$B$17))*100,NA()),NA())</f>
        <v/>
      </c>
      <c r="U691" s="20">
        <f>IF(AND(ISNUMBER(Q691),Settings!$B$17&gt;0),IF(ISNUMBER(INDEX($Q:$Q,Settings!$B$17)),(Q691-INDEX($Q:$Q,Settings!$B$17))*100,NA()),NA())</f>
        <v/>
      </c>
      <c r="V691" s="20">
        <f>IF(AND(ISNUMBER(R691),Settings!$B$17&gt;0),IF(ISNUMBER(INDEX($R:$R,Settings!$B$17)),(R691-INDEX($R:$R,Settings!$B$17))*100,NA()),NA())</f>
        <v/>
      </c>
      <c r="W691" s="20">
        <f>IF(AND(ISNUMBER(P691),Settings!$B$17&gt;0),IF(ISNUMBER(INDEX($P:$P,Settings!$B$17)),P691-INDEX($P:$P,Settings!$B$17),NA()),NA())</f>
        <v/>
      </c>
      <c r="X691" s="19">
        <f>IF(NOT(ISNUMBER($A691)),NA(),IF(OR($A691&lt;MIN(DKW_10Y!$A$2:$A$2918),$A691&gt;MAX(DKW_10Y!$A$2:$A$2918),Settings!$B$16&lt;MIN(DKW_10Y!$A$2:$A$2918)),NA(),(INDEX(DKW_10Y!$B$2:$B$2918,MATCH($A691,DKW_10Y!$A$2:$A$2918,1))-INDEX(DKW_10Y!$B$2:$B$2918,MATCH(Settings!$B$16,DKW_10Y!$A$2:$A$2918,1)))*100))</f>
        <v/>
      </c>
      <c r="Y691" s="19">
        <f>IF(NOT(ISNUMBER($A691)),NA(),IF(OR($A691&lt;MIN(DKW_10Y!$A$2:$A$2918),$A691&gt;MAX(DKW_10Y!$A$2:$A$2918),Settings!$B$16&lt;MIN(DKW_10Y!$A$2:$A$2918)),NA(),(INDEX(DKW_10Y!$C$2:$C$2918,MATCH($A691,DKW_10Y!$A$2:$A$2918,1))-INDEX(DKW_10Y!$C$2:$C$2918,MATCH(Settings!$B$16,DKW_10Y!$A$2:$A$2918,1)))*100))</f>
        <v/>
      </c>
      <c r="Z691" s="19">
        <f>IF(NOT(ISNUMBER($A691)),NA(),IF(OR($A691&lt;MIN(DKW_10Y!$A$2:$A$2918),$A691&gt;MAX(DKW_10Y!$A$2:$A$2918),Settings!$B$16&lt;MIN(DKW_10Y!$A$2:$A$2918)),NA(),(INDEX(DKW_10Y!$D$2:$D$2918,MATCH($A691,DKW_10Y!$A$2:$A$2918,1))-INDEX(DKW_10Y!$D$2:$D$2918,MATCH(Settings!$B$16,DKW_10Y!$A$2:$A$2918,1)))*100))</f>
        <v/>
      </c>
      <c r="AA691" s="19">
        <f>IF(NOT(ISNUMBER($A691)),NA(),IF(OR($A691&lt;MIN(DKW_10Y!$A$2:$A$2918),$A691&gt;MAX(DKW_10Y!$A$2:$A$2918),Settings!$B$16&lt;MIN(DKW_10Y!$A$2:$A$2918)),NA(),(INDEX(DKW_10Y!$E$2:$E$2918,MATCH($A691,DKW_10Y!$A$2:$A$2918,1))-INDEX(DKW_10Y!$E$2:$E$2918,MATCH(Settings!$B$16,DKW_10Y!$A$2:$A$2918,1)))*100))</f>
        <v/>
      </c>
      <c r="AB691" s="19">
        <f>IF(NOT(ISNUMBER($A691)),NA(),IF(OR($A691&lt;MIN(DKW_10Y!$A$2:$A$2918),$A691&gt;MAX(DKW_10Y!$A$2:$A$2918),Settings!$B$16&lt;MIN(DKW_10Y!$A$2:$A$2918)),NA(),(INDEX(DKW_10Y!$H$2:$H$2918,MATCH($A691,DKW_10Y!$A$2:$A$2918,1))-INDEX(DKW_10Y!$H$2:$H$2918,MATCH(Settings!$B$16,DKW_10Y!$A$2:$A$2918,1)))*100))</f>
        <v/>
      </c>
      <c r="AC691" s="18">
        <f>IF(NOT(ISNUMBER($A691)),NA(),IFERROR(1*INDEX(BBG_Data!$N$2:$N$4000,MATCH($A691,BBG_Data!$M$2:$M$4000,0)),NA()))</f>
        <v/>
      </c>
      <c r="AD691" s="18">
        <f>IF(NOT(ISNUMBER($A691)),NA(),IFERROR(1*INDEX(BBG_Data!$P$2:$P$4000,MATCH($A691,BBG_Data!$O$2:$O$4000,0)),NA()))</f>
        <v/>
      </c>
      <c r="AE691" s="18">
        <f>IF(NOT(ISNUMBER($A691)),NA(),IFERROR(1*INDEX(BBG_Data!$R$2:$R$4000,MATCH($A691,BBG_Data!$Q$2:$Q$4000,0)),NA()))</f>
        <v/>
      </c>
      <c r="AF691" s="20">
        <f>IF(AND(ISNUMBER(B691),ISNUMBER(AC691)),(B691-AC691)*100,NA())</f>
        <v/>
      </c>
      <c r="AG691" s="20">
        <f>IF(AND(ISNUMBER(AE691),ISNUMBER(AD691)),(AE691-AD691)*100,NA())</f>
        <v/>
      </c>
      <c r="AH691" s="19">
        <f>IF(NOT(ISNUMBER($A691)),NA(),IFERROR(INDEX(BBG_Data!$T$2:$T$4000,MATCH($A691,BBG_Data!$S$2:$S$4000,0))*Settings!$B$25,NA()))</f>
        <v/>
      </c>
      <c r="AI691" s="19">
        <f>IF(NOT(ISNUMBER($A691)),NA(),IFERROR(INDEX(BBG_Data!$V$2:$V$4000,MATCH($A691,BBG_Data!$U$2:$U$4000,0))*Settings!$B$25,NA()))</f>
        <v/>
      </c>
      <c r="AJ691" s="19">
        <f>IF(NOT(ISNUMBER($A691)),NA(),IFERROR(1*INDEX(BBG_Data!$X$2:$X$4000,MATCH($A691,BBG_Data!$W$2:$W$4000,0)),NA()))</f>
        <v/>
      </c>
      <c r="AK691" s="19">
        <f>IF(NOT(ISNUMBER($A691)),NA(),IFERROR(1*INDEX(BBG_Data!$Z$2:$Z$4000,MATCH($A691,BBG_Data!$Y$2:$Y$4000,0)),NA()))</f>
        <v/>
      </c>
    </row>
    <row r="692">
      <c r="A692" s="17">
        <f>IF(ISNUMBER(BBG_Data!A692),BBG_Data!A692,"")</f>
        <v/>
      </c>
      <c r="B692" s="18">
        <f>IF(AND(ISNUMBER($A692),ISNUMBER(BBG_Data!B692)),BBG_Data!B692,NA())</f>
        <v/>
      </c>
      <c r="C692" s="18">
        <f>IF(NOT(ISNUMBER($A692)),NA(),IFERROR(1*INDEX(BBG_Data!$D$2:$D$4000,MATCH($A692,BBG_Data!$C$2:$C$4000,0)),NA()))</f>
        <v/>
      </c>
      <c r="D692" s="19">
        <f>IF(NOT(ISNUMBER($A692)),NA(),IFERROR(1*INDEX(BBG_Data!$F$2:$F$4000,MATCH($A692,BBG_Data!$E$2:$E$4000,0)),NA()))</f>
        <v/>
      </c>
      <c r="E692" s="19">
        <f>IF(NOT(ISNUMBER($A692)),NA(),IFERROR(1*INDEX(BBG_Data!$H$2:$H$4000,MATCH($A692,BBG_Data!$G$2:$G$4000,0)),NA()))</f>
        <v/>
      </c>
      <c r="F692" s="20">
        <f>IF(AND(ISNUMBER(B692),ISNUMBER(B691)),IF(B692=B691,"",(B692-B691)*100),"")</f>
        <v/>
      </c>
      <c r="G692" s="20">
        <f>IF(AND(ISNUMBER(C692),ISNUMBER(C691)),IF(C692=C691,"",(C692-C691)*100),"")</f>
        <v/>
      </c>
      <c r="H692" s="20">
        <f>IF(OR(NOT(ISNUMBER($A692)),ROW()-2&lt;Settings!$B$11),NA(),IF(COUNT(OFFSET(F692,1-Settings!$B$11,0,Settings!$B$11,1))&lt;ROUNDUP(Settings!$B$11*Settings!$B$26,0),NA(),STDEV(OFFSET(F692,1-Settings!$B$11,0,Settings!$B$11,1))*SQRT(Settings!$B$13)))</f>
        <v/>
      </c>
      <c r="I692" s="20">
        <f>IF(OR(NOT(ISNUMBER($A692)),ROW()-2&lt;Settings!$B$12),NA(),IF(COUNT(OFFSET(F692,1-Settings!$B$12,0,Settings!$B$12,1))&lt;ROUNDUP(Settings!$B$12*Settings!$B$26,0),NA(),STDEV(OFFSET(F692,1-Settings!$B$12,0,Settings!$B$12,1))*SQRT(Settings!$B$13)))</f>
        <v/>
      </c>
      <c r="J692" s="20">
        <f>IF(OR(NOT(ISNUMBER($A692)),ROW()-2&lt;Settings!$B$11),NA(),IF(COUNT(OFFSET(G692,1-Settings!$B$11,0,Settings!$B$11,1))&lt;ROUNDUP(Settings!$B$11*Settings!$B$26,0),NA(),STDEV(OFFSET(G692,1-Settings!$B$11,0,Settings!$B$11,1))*SQRT(Settings!$B$13)))</f>
        <v/>
      </c>
      <c r="K692" s="20">
        <f>IF(OR(NOT(ISNUMBER($A692)),ROW()-2&lt;Settings!$B$12),NA(),IF(COUNT(OFFSET(G692,1-Settings!$B$12,0,Settings!$B$12,1))&lt;ROUNDUP(Settings!$B$12*Settings!$B$26,0),NA(),STDEV(OFFSET(G692,1-Settings!$B$12,0,Settings!$B$12,1))*SQRT(Settings!$B$13)))</f>
        <v/>
      </c>
      <c r="L692" s="20">
        <f>IF(AND(ISNUMBER(D692),ISNUMBER(H692)),D692-H692,NA())</f>
        <v/>
      </c>
      <c r="M692" s="20">
        <f>IF(AND(ISNUMBER(E692),ISNUMBER(K692)),E692-K692,NA())</f>
        <v/>
      </c>
      <c r="N692" s="20">
        <f>IF(NOT(ISNUMBER($A692)),NA(),IF(COUNT(OFFSET(G692,1,0,Settings!$B$12,1))&lt;ROUNDUP(Settings!$B$12*Settings!$B$26,0),NA(),STDEV(OFFSET(G692,1,0,Settings!$B$12,1))*SQRT(Settings!$B$13)))</f>
        <v/>
      </c>
      <c r="O692" s="20">
        <f>IF(AND(ISNUMBER(E692),ISNUMBER(N692)),E692-N692,NA())</f>
        <v/>
      </c>
      <c r="P692" s="19">
        <f>IF(NOT(ISNUMBER($A692)),NA(),IF(OR($A692&lt;MIN(KW_TP!$A$2:$A$2501),$A692&gt;MAX(KW_TP!$A$2:$A$2501)),NA(),INDEX(KW_TP!$C$2:$C$2501,MATCH($A692,KW_TP!$A$2:$A$2501,1))))</f>
        <v/>
      </c>
      <c r="Q692" s="18">
        <f>IF(NOT(ISNUMBER($A692)),NA(),IFERROR(1*INDEX(BBG_Data!$J$2:$J$4000,MATCH($A692,BBG_Data!$I$2:$I$4000,0)),NA()))</f>
        <v/>
      </c>
      <c r="R692" s="18">
        <f>IF(NOT(ISNUMBER($A692)),NA(),IFERROR(1*INDEX(BBG_Data!$L$2:$L$4000,MATCH($A692,BBG_Data!$K$2:$K$4000,0)),NA()))</f>
        <v/>
      </c>
      <c r="S692" s="20">
        <f>IF(AND(ISNUMBER(B692),ISNUMBER(Q692),ISNUMBER(R692)),(B692-Q692-R692)*100,NA())</f>
        <v/>
      </c>
      <c r="T692" s="20">
        <f>IF(AND(ISNUMBER(B692),Settings!$B$17&gt;0),IF(ISNUMBER(INDEX($B:$B,Settings!$B$17)),(B692-INDEX($B:$B,Settings!$B$17))*100,NA()),NA())</f>
        <v/>
      </c>
      <c r="U692" s="20">
        <f>IF(AND(ISNUMBER(Q692),Settings!$B$17&gt;0),IF(ISNUMBER(INDEX($Q:$Q,Settings!$B$17)),(Q692-INDEX($Q:$Q,Settings!$B$17))*100,NA()),NA())</f>
        <v/>
      </c>
      <c r="V692" s="20">
        <f>IF(AND(ISNUMBER(R692),Settings!$B$17&gt;0),IF(ISNUMBER(INDEX($R:$R,Settings!$B$17)),(R692-INDEX($R:$R,Settings!$B$17))*100,NA()),NA())</f>
        <v/>
      </c>
      <c r="W692" s="20">
        <f>IF(AND(ISNUMBER(P692),Settings!$B$17&gt;0),IF(ISNUMBER(INDEX($P:$P,Settings!$B$17)),P692-INDEX($P:$P,Settings!$B$17),NA()),NA())</f>
        <v/>
      </c>
      <c r="X692" s="19">
        <f>IF(NOT(ISNUMBER($A692)),NA(),IF(OR($A692&lt;MIN(DKW_10Y!$A$2:$A$2918),$A692&gt;MAX(DKW_10Y!$A$2:$A$2918),Settings!$B$16&lt;MIN(DKW_10Y!$A$2:$A$2918)),NA(),(INDEX(DKW_10Y!$B$2:$B$2918,MATCH($A692,DKW_10Y!$A$2:$A$2918,1))-INDEX(DKW_10Y!$B$2:$B$2918,MATCH(Settings!$B$16,DKW_10Y!$A$2:$A$2918,1)))*100))</f>
        <v/>
      </c>
      <c r="Y692" s="19">
        <f>IF(NOT(ISNUMBER($A692)),NA(),IF(OR($A692&lt;MIN(DKW_10Y!$A$2:$A$2918),$A692&gt;MAX(DKW_10Y!$A$2:$A$2918),Settings!$B$16&lt;MIN(DKW_10Y!$A$2:$A$2918)),NA(),(INDEX(DKW_10Y!$C$2:$C$2918,MATCH($A692,DKW_10Y!$A$2:$A$2918,1))-INDEX(DKW_10Y!$C$2:$C$2918,MATCH(Settings!$B$16,DKW_10Y!$A$2:$A$2918,1)))*100))</f>
        <v/>
      </c>
      <c r="Z692" s="19">
        <f>IF(NOT(ISNUMBER($A692)),NA(),IF(OR($A692&lt;MIN(DKW_10Y!$A$2:$A$2918),$A692&gt;MAX(DKW_10Y!$A$2:$A$2918),Settings!$B$16&lt;MIN(DKW_10Y!$A$2:$A$2918)),NA(),(INDEX(DKW_10Y!$D$2:$D$2918,MATCH($A692,DKW_10Y!$A$2:$A$2918,1))-INDEX(DKW_10Y!$D$2:$D$2918,MATCH(Settings!$B$16,DKW_10Y!$A$2:$A$2918,1)))*100))</f>
        <v/>
      </c>
      <c r="AA692" s="19">
        <f>IF(NOT(ISNUMBER($A692)),NA(),IF(OR($A692&lt;MIN(DKW_10Y!$A$2:$A$2918),$A692&gt;MAX(DKW_10Y!$A$2:$A$2918),Settings!$B$16&lt;MIN(DKW_10Y!$A$2:$A$2918)),NA(),(INDEX(DKW_10Y!$E$2:$E$2918,MATCH($A692,DKW_10Y!$A$2:$A$2918,1))-INDEX(DKW_10Y!$E$2:$E$2918,MATCH(Settings!$B$16,DKW_10Y!$A$2:$A$2918,1)))*100))</f>
        <v/>
      </c>
      <c r="AB692" s="19">
        <f>IF(NOT(ISNUMBER($A692)),NA(),IF(OR($A692&lt;MIN(DKW_10Y!$A$2:$A$2918),$A692&gt;MAX(DKW_10Y!$A$2:$A$2918),Settings!$B$16&lt;MIN(DKW_10Y!$A$2:$A$2918)),NA(),(INDEX(DKW_10Y!$H$2:$H$2918,MATCH($A692,DKW_10Y!$A$2:$A$2918,1))-INDEX(DKW_10Y!$H$2:$H$2918,MATCH(Settings!$B$16,DKW_10Y!$A$2:$A$2918,1)))*100))</f>
        <v/>
      </c>
      <c r="AC692" s="18">
        <f>IF(NOT(ISNUMBER($A692)),NA(),IFERROR(1*INDEX(BBG_Data!$N$2:$N$4000,MATCH($A692,BBG_Data!$M$2:$M$4000,0)),NA()))</f>
        <v/>
      </c>
      <c r="AD692" s="18">
        <f>IF(NOT(ISNUMBER($A692)),NA(),IFERROR(1*INDEX(BBG_Data!$P$2:$P$4000,MATCH($A692,BBG_Data!$O$2:$O$4000,0)),NA()))</f>
        <v/>
      </c>
      <c r="AE692" s="18">
        <f>IF(NOT(ISNUMBER($A692)),NA(),IFERROR(1*INDEX(BBG_Data!$R$2:$R$4000,MATCH($A692,BBG_Data!$Q$2:$Q$4000,0)),NA()))</f>
        <v/>
      </c>
      <c r="AF692" s="20">
        <f>IF(AND(ISNUMBER(B692),ISNUMBER(AC692)),(B692-AC692)*100,NA())</f>
        <v/>
      </c>
      <c r="AG692" s="20">
        <f>IF(AND(ISNUMBER(AE692),ISNUMBER(AD692)),(AE692-AD692)*100,NA())</f>
        <v/>
      </c>
      <c r="AH692" s="19">
        <f>IF(NOT(ISNUMBER($A692)),NA(),IFERROR(INDEX(BBG_Data!$T$2:$T$4000,MATCH($A692,BBG_Data!$S$2:$S$4000,0))*Settings!$B$25,NA()))</f>
        <v/>
      </c>
      <c r="AI692" s="19">
        <f>IF(NOT(ISNUMBER($A692)),NA(),IFERROR(INDEX(BBG_Data!$V$2:$V$4000,MATCH($A692,BBG_Data!$U$2:$U$4000,0))*Settings!$B$25,NA()))</f>
        <v/>
      </c>
      <c r="AJ692" s="19">
        <f>IF(NOT(ISNUMBER($A692)),NA(),IFERROR(1*INDEX(BBG_Data!$X$2:$X$4000,MATCH($A692,BBG_Data!$W$2:$W$4000,0)),NA()))</f>
        <v/>
      </c>
      <c r="AK692" s="19">
        <f>IF(NOT(ISNUMBER($A692)),NA(),IFERROR(1*INDEX(BBG_Data!$Z$2:$Z$4000,MATCH($A692,BBG_Data!$Y$2:$Y$4000,0)),NA()))</f>
        <v/>
      </c>
    </row>
    <row r="693">
      <c r="A693" s="17">
        <f>IF(ISNUMBER(BBG_Data!A693),BBG_Data!A693,"")</f>
        <v/>
      </c>
      <c r="B693" s="18">
        <f>IF(AND(ISNUMBER($A693),ISNUMBER(BBG_Data!B693)),BBG_Data!B693,NA())</f>
        <v/>
      </c>
      <c r="C693" s="18">
        <f>IF(NOT(ISNUMBER($A693)),NA(),IFERROR(1*INDEX(BBG_Data!$D$2:$D$4000,MATCH($A693,BBG_Data!$C$2:$C$4000,0)),NA()))</f>
        <v/>
      </c>
      <c r="D693" s="19">
        <f>IF(NOT(ISNUMBER($A693)),NA(),IFERROR(1*INDEX(BBG_Data!$F$2:$F$4000,MATCH($A693,BBG_Data!$E$2:$E$4000,0)),NA()))</f>
        <v/>
      </c>
      <c r="E693" s="19">
        <f>IF(NOT(ISNUMBER($A693)),NA(),IFERROR(1*INDEX(BBG_Data!$H$2:$H$4000,MATCH($A693,BBG_Data!$G$2:$G$4000,0)),NA()))</f>
        <v/>
      </c>
      <c r="F693" s="20">
        <f>IF(AND(ISNUMBER(B693),ISNUMBER(B692)),IF(B693=B692,"",(B693-B692)*100),"")</f>
        <v/>
      </c>
      <c r="G693" s="20">
        <f>IF(AND(ISNUMBER(C693),ISNUMBER(C692)),IF(C693=C692,"",(C693-C692)*100),"")</f>
        <v/>
      </c>
      <c r="H693" s="20">
        <f>IF(OR(NOT(ISNUMBER($A693)),ROW()-2&lt;Settings!$B$11),NA(),IF(COUNT(OFFSET(F693,1-Settings!$B$11,0,Settings!$B$11,1))&lt;ROUNDUP(Settings!$B$11*Settings!$B$26,0),NA(),STDEV(OFFSET(F693,1-Settings!$B$11,0,Settings!$B$11,1))*SQRT(Settings!$B$13)))</f>
        <v/>
      </c>
      <c r="I693" s="20">
        <f>IF(OR(NOT(ISNUMBER($A693)),ROW()-2&lt;Settings!$B$12),NA(),IF(COUNT(OFFSET(F693,1-Settings!$B$12,0,Settings!$B$12,1))&lt;ROUNDUP(Settings!$B$12*Settings!$B$26,0),NA(),STDEV(OFFSET(F693,1-Settings!$B$12,0,Settings!$B$12,1))*SQRT(Settings!$B$13)))</f>
        <v/>
      </c>
      <c r="J693" s="20">
        <f>IF(OR(NOT(ISNUMBER($A693)),ROW()-2&lt;Settings!$B$11),NA(),IF(COUNT(OFFSET(G693,1-Settings!$B$11,0,Settings!$B$11,1))&lt;ROUNDUP(Settings!$B$11*Settings!$B$26,0),NA(),STDEV(OFFSET(G693,1-Settings!$B$11,0,Settings!$B$11,1))*SQRT(Settings!$B$13)))</f>
        <v/>
      </c>
      <c r="K693" s="20">
        <f>IF(OR(NOT(ISNUMBER($A693)),ROW()-2&lt;Settings!$B$12),NA(),IF(COUNT(OFFSET(G693,1-Settings!$B$12,0,Settings!$B$12,1))&lt;ROUNDUP(Settings!$B$12*Settings!$B$26,0),NA(),STDEV(OFFSET(G693,1-Settings!$B$12,0,Settings!$B$12,1))*SQRT(Settings!$B$13)))</f>
        <v/>
      </c>
      <c r="L693" s="20">
        <f>IF(AND(ISNUMBER(D693),ISNUMBER(H693)),D693-H693,NA())</f>
        <v/>
      </c>
      <c r="M693" s="20">
        <f>IF(AND(ISNUMBER(E693),ISNUMBER(K693)),E693-K693,NA())</f>
        <v/>
      </c>
      <c r="N693" s="20">
        <f>IF(NOT(ISNUMBER($A693)),NA(),IF(COUNT(OFFSET(G693,1,0,Settings!$B$12,1))&lt;ROUNDUP(Settings!$B$12*Settings!$B$26,0),NA(),STDEV(OFFSET(G693,1,0,Settings!$B$12,1))*SQRT(Settings!$B$13)))</f>
        <v/>
      </c>
      <c r="O693" s="20">
        <f>IF(AND(ISNUMBER(E693),ISNUMBER(N693)),E693-N693,NA())</f>
        <v/>
      </c>
      <c r="P693" s="19">
        <f>IF(NOT(ISNUMBER($A693)),NA(),IF(OR($A693&lt;MIN(KW_TP!$A$2:$A$2501),$A693&gt;MAX(KW_TP!$A$2:$A$2501)),NA(),INDEX(KW_TP!$C$2:$C$2501,MATCH($A693,KW_TP!$A$2:$A$2501,1))))</f>
        <v/>
      </c>
      <c r="Q693" s="18">
        <f>IF(NOT(ISNUMBER($A693)),NA(),IFERROR(1*INDEX(BBG_Data!$J$2:$J$4000,MATCH($A693,BBG_Data!$I$2:$I$4000,0)),NA()))</f>
        <v/>
      </c>
      <c r="R693" s="18">
        <f>IF(NOT(ISNUMBER($A693)),NA(),IFERROR(1*INDEX(BBG_Data!$L$2:$L$4000,MATCH($A693,BBG_Data!$K$2:$K$4000,0)),NA()))</f>
        <v/>
      </c>
      <c r="S693" s="20">
        <f>IF(AND(ISNUMBER(B693),ISNUMBER(Q693),ISNUMBER(R693)),(B693-Q693-R693)*100,NA())</f>
        <v/>
      </c>
      <c r="T693" s="20">
        <f>IF(AND(ISNUMBER(B693),Settings!$B$17&gt;0),IF(ISNUMBER(INDEX($B:$B,Settings!$B$17)),(B693-INDEX($B:$B,Settings!$B$17))*100,NA()),NA())</f>
        <v/>
      </c>
      <c r="U693" s="20">
        <f>IF(AND(ISNUMBER(Q693),Settings!$B$17&gt;0),IF(ISNUMBER(INDEX($Q:$Q,Settings!$B$17)),(Q693-INDEX($Q:$Q,Settings!$B$17))*100,NA()),NA())</f>
        <v/>
      </c>
      <c r="V693" s="20">
        <f>IF(AND(ISNUMBER(R693),Settings!$B$17&gt;0),IF(ISNUMBER(INDEX($R:$R,Settings!$B$17)),(R693-INDEX($R:$R,Settings!$B$17))*100,NA()),NA())</f>
        <v/>
      </c>
      <c r="W693" s="20">
        <f>IF(AND(ISNUMBER(P693),Settings!$B$17&gt;0),IF(ISNUMBER(INDEX($P:$P,Settings!$B$17)),P693-INDEX($P:$P,Settings!$B$17),NA()),NA())</f>
        <v/>
      </c>
      <c r="X693" s="19">
        <f>IF(NOT(ISNUMBER($A693)),NA(),IF(OR($A693&lt;MIN(DKW_10Y!$A$2:$A$2918),$A693&gt;MAX(DKW_10Y!$A$2:$A$2918),Settings!$B$16&lt;MIN(DKW_10Y!$A$2:$A$2918)),NA(),(INDEX(DKW_10Y!$B$2:$B$2918,MATCH($A693,DKW_10Y!$A$2:$A$2918,1))-INDEX(DKW_10Y!$B$2:$B$2918,MATCH(Settings!$B$16,DKW_10Y!$A$2:$A$2918,1)))*100))</f>
        <v/>
      </c>
      <c r="Y693" s="19">
        <f>IF(NOT(ISNUMBER($A693)),NA(),IF(OR($A693&lt;MIN(DKW_10Y!$A$2:$A$2918),$A693&gt;MAX(DKW_10Y!$A$2:$A$2918),Settings!$B$16&lt;MIN(DKW_10Y!$A$2:$A$2918)),NA(),(INDEX(DKW_10Y!$C$2:$C$2918,MATCH($A693,DKW_10Y!$A$2:$A$2918,1))-INDEX(DKW_10Y!$C$2:$C$2918,MATCH(Settings!$B$16,DKW_10Y!$A$2:$A$2918,1)))*100))</f>
        <v/>
      </c>
      <c r="Z693" s="19">
        <f>IF(NOT(ISNUMBER($A693)),NA(),IF(OR($A693&lt;MIN(DKW_10Y!$A$2:$A$2918),$A693&gt;MAX(DKW_10Y!$A$2:$A$2918),Settings!$B$16&lt;MIN(DKW_10Y!$A$2:$A$2918)),NA(),(INDEX(DKW_10Y!$D$2:$D$2918,MATCH($A693,DKW_10Y!$A$2:$A$2918,1))-INDEX(DKW_10Y!$D$2:$D$2918,MATCH(Settings!$B$16,DKW_10Y!$A$2:$A$2918,1)))*100))</f>
        <v/>
      </c>
      <c r="AA693" s="19">
        <f>IF(NOT(ISNUMBER($A693)),NA(),IF(OR($A693&lt;MIN(DKW_10Y!$A$2:$A$2918),$A693&gt;MAX(DKW_10Y!$A$2:$A$2918),Settings!$B$16&lt;MIN(DKW_10Y!$A$2:$A$2918)),NA(),(INDEX(DKW_10Y!$E$2:$E$2918,MATCH($A693,DKW_10Y!$A$2:$A$2918,1))-INDEX(DKW_10Y!$E$2:$E$2918,MATCH(Settings!$B$16,DKW_10Y!$A$2:$A$2918,1)))*100))</f>
        <v/>
      </c>
      <c r="AB693" s="19">
        <f>IF(NOT(ISNUMBER($A693)),NA(),IF(OR($A693&lt;MIN(DKW_10Y!$A$2:$A$2918),$A693&gt;MAX(DKW_10Y!$A$2:$A$2918),Settings!$B$16&lt;MIN(DKW_10Y!$A$2:$A$2918)),NA(),(INDEX(DKW_10Y!$H$2:$H$2918,MATCH($A693,DKW_10Y!$A$2:$A$2918,1))-INDEX(DKW_10Y!$H$2:$H$2918,MATCH(Settings!$B$16,DKW_10Y!$A$2:$A$2918,1)))*100))</f>
        <v/>
      </c>
      <c r="AC693" s="18">
        <f>IF(NOT(ISNUMBER($A693)),NA(),IFERROR(1*INDEX(BBG_Data!$N$2:$N$4000,MATCH($A693,BBG_Data!$M$2:$M$4000,0)),NA()))</f>
        <v/>
      </c>
      <c r="AD693" s="18">
        <f>IF(NOT(ISNUMBER($A693)),NA(),IFERROR(1*INDEX(BBG_Data!$P$2:$P$4000,MATCH($A693,BBG_Data!$O$2:$O$4000,0)),NA()))</f>
        <v/>
      </c>
      <c r="AE693" s="18">
        <f>IF(NOT(ISNUMBER($A693)),NA(),IFERROR(1*INDEX(BBG_Data!$R$2:$R$4000,MATCH($A693,BBG_Data!$Q$2:$Q$4000,0)),NA()))</f>
        <v/>
      </c>
      <c r="AF693" s="20">
        <f>IF(AND(ISNUMBER(B693),ISNUMBER(AC693)),(B693-AC693)*100,NA())</f>
        <v/>
      </c>
      <c r="AG693" s="20">
        <f>IF(AND(ISNUMBER(AE693),ISNUMBER(AD693)),(AE693-AD693)*100,NA())</f>
        <v/>
      </c>
      <c r="AH693" s="19">
        <f>IF(NOT(ISNUMBER($A693)),NA(),IFERROR(INDEX(BBG_Data!$T$2:$T$4000,MATCH($A693,BBG_Data!$S$2:$S$4000,0))*Settings!$B$25,NA()))</f>
        <v/>
      </c>
      <c r="AI693" s="19">
        <f>IF(NOT(ISNUMBER($A693)),NA(),IFERROR(INDEX(BBG_Data!$V$2:$V$4000,MATCH($A693,BBG_Data!$U$2:$U$4000,0))*Settings!$B$25,NA()))</f>
        <v/>
      </c>
      <c r="AJ693" s="19">
        <f>IF(NOT(ISNUMBER($A693)),NA(),IFERROR(1*INDEX(BBG_Data!$X$2:$X$4000,MATCH($A693,BBG_Data!$W$2:$W$4000,0)),NA()))</f>
        <v/>
      </c>
      <c r="AK693" s="19">
        <f>IF(NOT(ISNUMBER($A693)),NA(),IFERROR(1*INDEX(BBG_Data!$Z$2:$Z$4000,MATCH($A693,BBG_Data!$Y$2:$Y$4000,0)),NA()))</f>
        <v/>
      </c>
    </row>
    <row r="694">
      <c r="A694" s="17">
        <f>IF(ISNUMBER(BBG_Data!A694),BBG_Data!A694,"")</f>
        <v/>
      </c>
      <c r="B694" s="18">
        <f>IF(AND(ISNUMBER($A694),ISNUMBER(BBG_Data!B694)),BBG_Data!B694,NA())</f>
        <v/>
      </c>
      <c r="C694" s="18">
        <f>IF(NOT(ISNUMBER($A694)),NA(),IFERROR(1*INDEX(BBG_Data!$D$2:$D$4000,MATCH($A694,BBG_Data!$C$2:$C$4000,0)),NA()))</f>
        <v/>
      </c>
      <c r="D694" s="19">
        <f>IF(NOT(ISNUMBER($A694)),NA(),IFERROR(1*INDEX(BBG_Data!$F$2:$F$4000,MATCH($A694,BBG_Data!$E$2:$E$4000,0)),NA()))</f>
        <v/>
      </c>
      <c r="E694" s="19">
        <f>IF(NOT(ISNUMBER($A694)),NA(),IFERROR(1*INDEX(BBG_Data!$H$2:$H$4000,MATCH($A694,BBG_Data!$G$2:$G$4000,0)),NA()))</f>
        <v/>
      </c>
      <c r="F694" s="20">
        <f>IF(AND(ISNUMBER(B694),ISNUMBER(B693)),IF(B694=B693,"",(B694-B693)*100),"")</f>
        <v/>
      </c>
      <c r="G694" s="20">
        <f>IF(AND(ISNUMBER(C694),ISNUMBER(C693)),IF(C694=C693,"",(C694-C693)*100),"")</f>
        <v/>
      </c>
      <c r="H694" s="20">
        <f>IF(OR(NOT(ISNUMBER($A694)),ROW()-2&lt;Settings!$B$11),NA(),IF(COUNT(OFFSET(F694,1-Settings!$B$11,0,Settings!$B$11,1))&lt;ROUNDUP(Settings!$B$11*Settings!$B$26,0),NA(),STDEV(OFFSET(F694,1-Settings!$B$11,0,Settings!$B$11,1))*SQRT(Settings!$B$13)))</f>
        <v/>
      </c>
      <c r="I694" s="20">
        <f>IF(OR(NOT(ISNUMBER($A694)),ROW()-2&lt;Settings!$B$12),NA(),IF(COUNT(OFFSET(F694,1-Settings!$B$12,0,Settings!$B$12,1))&lt;ROUNDUP(Settings!$B$12*Settings!$B$26,0),NA(),STDEV(OFFSET(F694,1-Settings!$B$12,0,Settings!$B$12,1))*SQRT(Settings!$B$13)))</f>
        <v/>
      </c>
      <c r="J694" s="20">
        <f>IF(OR(NOT(ISNUMBER($A694)),ROW()-2&lt;Settings!$B$11),NA(),IF(COUNT(OFFSET(G694,1-Settings!$B$11,0,Settings!$B$11,1))&lt;ROUNDUP(Settings!$B$11*Settings!$B$26,0),NA(),STDEV(OFFSET(G694,1-Settings!$B$11,0,Settings!$B$11,1))*SQRT(Settings!$B$13)))</f>
        <v/>
      </c>
      <c r="K694" s="20">
        <f>IF(OR(NOT(ISNUMBER($A694)),ROW()-2&lt;Settings!$B$12),NA(),IF(COUNT(OFFSET(G694,1-Settings!$B$12,0,Settings!$B$12,1))&lt;ROUNDUP(Settings!$B$12*Settings!$B$26,0),NA(),STDEV(OFFSET(G694,1-Settings!$B$12,0,Settings!$B$12,1))*SQRT(Settings!$B$13)))</f>
        <v/>
      </c>
      <c r="L694" s="20">
        <f>IF(AND(ISNUMBER(D694),ISNUMBER(H694)),D694-H694,NA())</f>
        <v/>
      </c>
      <c r="M694" s="20">
        <f>IF(AND(ISNUMBER(E694),ISNUMBER(K694)),E694-K694,NA())</f>
        <v/>
      </c>
      <c r="N694" s="20">
        <f>IF(NOT(ISNUMBER($A694)),NA(),IF(COUNT(OFFSET(G694,1,0,Settings!$B$12,1))&lt;ROUNDUP(Settings!$B$12*Settings!$B$26,0),NA(),STDEV(OFFSET(G694,1,0,Settings!$B$12,1))*SQRT(Settings!$B$13)))</f>
        <v/>
      </c>
      <c r="O694" s="20">
        <f>IF(AND(ISNUMBER(E694),ISNUMBER(N694)),E694-N694,NA())</f>
        <v/>
      </c>
      <c r="P694" s="19">
        <f>IF(NOT(ISNUMBER($A694)),NA(),IF(OR($A694&lt;MIN(KW_TP!$A$2:$A$2501),$A694&gt;MAX(KW_TP!$A$2:$A$2501)),NA(),INDEX(KW_TP!$C$2:$C$2501,MATCH($A694,KW_TP!$A$2:$A$2501,1))))</f>
        <v/>
      </c>
      <c r="Q694" s="18">
        <f>IF(NOT(ISNUMBER($A694)),NA(),IFERROR(1*INDEX(BBG_Data!$J$2:$J$4000,MATCH($A694,BBG_Data!$I$2:$I$4000,0)),NA()))</f>
        <v/>
      </c>
      <c r="R694" s="18">
        <f>IF(NOT(ISNUMBER($A694)),NA(),IFERROR(1*INDEX(BBG_Data!$L$2:$L$4000,MATCH($A694,BBG_Data!$K$2:$K$4000,0)),NA()))</f>
        <v/>
      </c>
      <c r="S694" s="20">
        <f>IF(AND(ISNUMBER(B694),ISNUMBER(Q694),ISNUMBER(R694)),(B694-Q694-R694)*100,NA())</f>
        <v/>
      </c>
      <c r="T694" s="20">
        <f>IF(AND(ISNUMBER(B694),Settings!$B$17&gt;0),IF(ISNUMBER(INDEX($B:$B,Settings!$B$17)),(B694-INDEX($B:$B,Settings!$B$17))*100,NA()),NA())</f>
        <v/>
      </c>
      <c r="U694" s="20">
        <f>IF(AND(ISNUMBER(Q694),Settings!$B$17&gt;0),IF(ISNUMBER(INDEX($Q:$Q,Settings!$B$17)),(Q694-INDEX($Q:$Q,Settings!$B$17))*100,NA()),NA())</f>
        <v/>
      </c>
      <c r="V694" s="20">
        <f>IF(AND(ISNUMBER(R694),Settings!$B$17&gt;0),IF(ISNUMBER(INDEX($R:$R,Settings!$B$17)),(R694-INDEX($R:$R,Settings!$B$17))*100,NA()),NA())</f>
        <v/>
      </c>
      <c r="W694" s="20">
        <f>IF(AND(ISNUMBER(P694),Settings!$B$17&gt;0),IF(ISNUMBER(INDEX($P:$P,Settings!$B$17)),P694-INDEX($P:$P,Settings!$B$17),NA()),NA())</f>
        <v/>
      </c>
      <c r="X694" s="19">
        <f>IF(NOT(ISNUMBER($A694)),NA(),IF(OR($A694&lt;MIN(DKW_10Y!$A$2:$A$2918),$A694&gt;MAX(DKW_10Y!$A$2:$A$2918),Settings!$B$16&lt;MIN(DKW_10Y!$A$2:$A$2918)),NA(),(INDEX(DKW_10Y!$B$2:$B$2918,MATCH($A694,DKW_10Y!$A$2:$A$2918,1))-INDEX(DKW_10Y!$B$2:$B$2918,MATCH(Settings!$B$16,DKW_10Y!$A$2:$A$2918,1)))*100))</f>
        <v/>
      </c>
      <c r="Y694" s="19">
        <f>IF(NOT(ISNUMBER($A694)),NA(),IF(OR($A694&lt;MIN(DKW_10Y!$A$2:$A$2918),$A694&gt;MAX(DKW_10Y!$A$2:$A$2918),Settings!$B$16&lt;MIN(DKW_10Y!$A$2:$A$2918)),NA(),(INDEX(DKW_10Y!$C$2:$C$2918,MATCH($A694,DKW_10Y!$A$2:$A$2918,1))-INDEX(DKW_10Y!$C$2:$C$2918,MATCH(Settings!$B$16,DKW_10Y!$A$2:$A$2918,1)))*100))</f>
        <v/>
      </c>
      <c r="Z694" s="19">
        <f>IF(NOT(ISNUMBER($A694)),NA(),IF(OR($A694&lt;MIN(DKW_10Y!$A$2:$A$2918),$A694&gt;MAX(DKW_10Y!$A$2:$A$2918),Settings!$B$16&lt;MIN(DKW_10Y!$A$2:$A$2918)),NA(),(INDEX(DKW_10Y!$D$2:$D$2918,MATCH($A694,DKW_10Y!$A$2:$A$2918,1))-INDEX(DKW_10Y!$D$2:$D$2918,MATCH(Settings!$B$16,DKW_10Y!$A$2:$A$2918,1)))*100))</f>
        <v/>
      </c>
      <c r="AA694" s="19">
        <f>IF(NOT(ISNUMBER($A694)),NA(),IF(OR($A694&lt;MIN(DKW_10Y!$A$2:$A$2918),$A694&gt;MAX(DKW_10Y!$A$2:$A$2918),Settings!$B$16&lt;MIN(DKW_10Y!$A$2:$A$2918)),NA(),(INDEX(DKW_10Y!$E$2:$E$2918,MATCH($A694,DKW_10Y!$A$2:$A$2918,1))-INDEX(DKW_10Y!$E$2:$E$2918,MATCH(Settings!$B$16,DKW_10Y!$A$2:$A$2918,1)))*100))</f>
        <v/>
      </c>
      <c r="AB694" s="19">
        <f>IF(NOT(ISNUMBER($A694)),NA(),IF(OR($A694&lt;MIN(DKW_10Y!$A$2:$A$2918),$A694&gt;MAX(DKW_10Y!$A$2:$A$2918),Settings!$B$16&lt;MIN(DKW_10Y!$A$2:$A$2918)),NA(),(INDEX(DKW_10Y!$H$2:$H$2918,MATCH($A694,DKW_10Y!$A$2:$A$2918,1))-INDEX(DKW_10Y!$H$2:$H$2918,MATCH(Settings!$B$16,DKW_10Y!$A$2:$A$2918,1)))*100))</f>
        <v/>
      </c>
      <c r="AC694" s="18">
        <f>IF(NOT(ISNUMBER($A694)),NA(),IFERROR(1*INDEX(BBG_Data!$N$2:$N$4000,MATCH($A694,BBG_Data!$M$2:$M$4000,0)),NA()))</f>
        <v/>
      </c>
      <c r="AD694" s="18">
        <f>IF(NOT(ISNUMBER($A694)),NA(),IFERROR(1*INDEX(BBG_Data!$P$2:$P$4000,MATCH($A694,BBG_Data!$O$2:$O$4000,0)),NA()))</f>
        <v/>
      </c>
      <c r="AE694" s="18">
        <f>IF(NOT(ISNUMBER($A694)),NA(),IFERROR(1*INDEX(BBG_Data!$R$2:$R$4000,MATCH($A694,BBG_Data!$Q$2:$Q$4000,0)),NA()))</f>
        <v/>
      </c>
      <c r="AF694" s="20">
        <f>IF(AND(ISNUMBER(B694),ISNUMBER(AC694)),(B694-AC694)*100,NA())</f>
        <v/>
      </c>
      <c r="AG694" s="20">
        <f>IF(AND(ISNUMBER(AE694),ISNUMBER(AD694)),(AE694-AD694)*100,NA())</f>
        <v/>
      </c>
      <c r="AH694" s="19">
        <f>IF(NOT(ISNUMBER($A694)),NA(),IFERROR(INDEX(BBG_Data!$T$2:$T$4000,MATCH($A694,BBG_Data!$S$2:$S$4000,0))*Settings!$B$25,NA()))</f>
        <v/>
      </c>
      <c r="AI694" s="19">
        <f>IF(NOT(ISNUMBER($A694)),NA(),IFERROR(INDEX(BBG_Data!$V$2:$V$4000,MATCH($A694,BBG_Data!$U$2:$U$4000,0))*Settings!$B$25,NA()))</f>
        <v/>
      </c>
      <c r="AJ694" s="19">
        <f>IF(NOT(ISNUMBER($A694)),NA(),IFERROR(1*INDEX(BBG_Data!$X$2:$X$4000,MATCH($A694,BBG_Data!$W$2:$W$4000,0)),NA()))</f>
        <v/>
      </c>
      <c r="AK694" s="19">
        <f>IF(NOT(ISNUMBER($A694)),NA(),IFERROR(1*INDEX(BBG_Data!$Z$2:$Z$4000,MATCH($A694,BBG_Data!$Y$2:$Y$4000,0)),NA()))</f>
        <v/>
      </c>
    </row>
    <row r="695">
      <c r="A695" s="17">
        <f>IF(ISNUMBER(BBG_Data!A695),BBG_Data!A695,"")</f>
        <v/>
      </c>
      <c r="B695" s="18">
        <f>IF(AND(ISNUMBER($A695),ISNUMBER(BBG_Data!B695)),BBG_Data!B695,NA())</f>
        <v/>
      </c>
      <c r="C695" s="18">
        <f>IF(NOT(ISNUMBER($A695)),NA(),IFERROR(1*INDEX(BBG_Data!$D$2:$D$4000,MATCH($A695,BBG_Data!$C$2:$C$4000,0)),NA()))</f>
        <v/>
      </c>
      <c r="D695" s="19">
        <f>IF(NOT(ISNUMBER($A695)),NA(),IFERROR(1*INDEX(BBG_Data!$F$2:$F$4000,MATCH($A695,BBG_Data!$E$2:$E$4000,0)),NA()))</f>
        <v/>
      </c>
      <c r="E695" s="19">
        <f>IF(NOT(ISNUMBER($A695)),NA(),IFERROR(1*INDEX(BBG_Data!$H$2:$H$4000,MATCH($A695,BBG_Data!$G$2:$G$4000,0)),NA()))</f>
        <v/>
      </c>
      <c r="F695" s="20">
        <f>IF(AND(ISNUMBER(B695),ISNUMBER(B694)),IF(B695=B694,"",(B695-B694)*100),"")</f>
        <v/>
      </c>
      <c r="G695" s="20">
        <f>IF(AND(ISNUMBER(C695),ISNUMBER(C694)),IF(C695=C694,"",(C695-C694)*100),"")</f>
        <v/>
      </c>
      <c r="H695" s="20">
        <f>IF(OR(NOT(ISNUMBER($A695)),ROW()-2&lt;Settings!$B$11),NA(),IF(COUNT(OFFSET(F695,1-Settings!$B$11,0,Settings!$B$11,1))&lt;ROUNDUP(Settings!$B$11*Settings!$B$26,0),NA(),STDEV(OFFSET(F695,1-Settings!$B$11,0,Settings!$B$11,1))*SQRT(Settings!$B$13)))</f>
        <v/>
      </c>
      <c r="I695" s="20">
        <f>IF(OR(NOT(ISNUMBER($A695)),ROW()-2&lt;Settings!$B$12),NA(),IF(COUNT(OFFSET(F695,1-Settings!$B$12,0,Settings!$B$12,1))&lt;ROUNDUP(Settings!$B$12*Settings!$B$26,0),NA(),STDEV(OFFSET(F695,1-Settings!$B$12,0,Settings!$B$12,1))*SQRT(Settings!$B$13)))</f>
        <v/>
      </c>
      <c r="J695" s="20">
        <f>IF(OR(NOT(ISNUMBER($A695)),ROW()-2&lt;Settings!$B$11),NA(),IF(COUNT(OFFSET(G695,1-Settings!$B$11,0,Settings!$B$11,1))&lt;ROUNDUP(Settings!$B$11*Settings!$B$26,0),NA(),STDEV(OFFSET(G695,1-Settings!$B$11,0,Settings!$B$11,1))*SQRT(Settings!$B$13)))</f>
        <v/>
      </c>
      <c r="K695" s="20">
        <f>IF(OR(NOT(ISNUMBER($A695)),ROW()-2&lt;Settings!$B$12),NA(),IF(COUNT(OFFSET(G695,1-Settings!$B$12,0,Settings!$B$12,1))&lt;ROUNDUP(Settings!$B$12*Settings!$B$26,0),NA(),STDEV(OFFSET(G695,1-Settings!$B$12,0,Settings!$B$12,1))*SQRT(Settings!$B$13)))</f>
        <v/>
      </c>
      <c r="L695" s="20">
        <f>IF(AND(ISNUMBER(D695),ISNUMBER(H695)),D695-H695,NA())</f>
        <v/>
      </c>
      <c r="M695" s="20">
        <f>IF(AND(ISNUMBER(E695),ISNUMBER(K695)),E695-K695,NA())</f>
        <v/>
      </c>
      <c r="N695" s="20">
        <f>IF(NOT(ISNUMBER($A695)),NA(),IF(COUNT(OFFSET(G695,1,0,Settings!$B$12,1))&lt;ROUNDUP(Settings!$B$12*Settings!$B$26,0),NA(),STDEV(OFFSET(G695,1,0,Settings!$B$12,1))*SQRT(Settings!$B$13)))</f>
        <v/>
      </c>
      <c r="O695" s="20">
        <f>IF(AND(ISNUMBER(E695),ISNUMBER(N695)),E695-N695,NA())</f>
        <v/>
      </c>
      <c r="P695" s="19">
        <f>IF(NOT(ISNUMBER($A695)),NA(),IF(OR($A695&lt;MIN(KW_TP!$A$2:$A$2501),$A695&gt;MAX(KW_TP!$A$2:$A$2501)),NA(),INDEX(KW_TP!$C$2:$C$2501,MATCH($A695,KW_TP!$A$2:$A$2501,1))))</f>
        <v/>
      </c>
      <c r="Q695" s="18">
        <f>IF(NOT(ISNUMBER($A695)),NA(),IFERROR(1*INDEX(BBG_Data!$J$2:$J$4000,MATCH($A695,BBG_Data!$I$2:$I$4000,0)),NA()))</f>
        <v/>
      </c>
      <c r="R695" s="18">
        <f>IF(NOT(ISNUMBER($A695)),NA(),IFERROR(1*INDEX(BBG_Data!$L$2:$L$4000,MATCH($A695,BBG_Data!$K$2:$K$4000,0)),NA()))</f>
        <v/>
      </c>
      <c r="S695" s="20">
        <f>IF(AND(ISNUMBER(B695),ISNUMBER(Q695),ISNUMBER(R695)),(B695-Q695-R695)*100,NA())</f>
        <v/>
      </c>
      <c r="T695" s="20">
        <f>IF(AND(ISNUMBER(B695),Settings!$B$17&gt;0),IF(ISNUMBER(INDEX($B:$B,Settings!$B$17)),(B695-INDEX($B:$B,Settings!$B$17))*100,NA()),NA())</f>
        <v/>
      </c>
      <c r="U695" s="20">
        <f>IF(AND(ISNUMBER(Q695),Settings!$B$17&gt;0),IF(ISNUMBER(INDEX($Q:$Q,Settings!$B$17)),(Q695-INDEX($Q:$Q,Settings!$B$17))*100,NA()),NA())</f>
        <v/>
      </c>
      <c r="V695" s="20">
        <f>IF(AND(ISNUMBER(R695),Settings!$B$17&gt;0),IF(ISNUMBER(INDEX($R:$R,Settings!$B$17)),(R695-INDEX($R:$R,Settings!$B$17))*100,NA()),NA())</f>
        <v/>
      </c>
      <c r="W695" s="20">
        <f>IF(AND(ISNUMBER(P695),Settings!$B$17&gt;0),IF(ISNUMBER(INDEX($P:$P,Settings!$B$17)),P695-INDEX($P:$P,Settings!$B$17),NA()),NA())</f>
        <v/>
      </c>
      <c r="X695" s="19">
        <f>IF(NOT(ISNUMBER($A695)),NA(),IF(OR($A695&lt;MIN(DKW_10Y!$A$2:$A$2918),$A695&gt;MAX(DKW_10Y!$A$2:$A$2918),Settings!$B$16&lt;MIN(DKW_10Y!$A$2:$A$2918)),NA(),(INDEX(DKW_10Y!$B$2:$B$2918,MATCH($A695,DKW_10Y!$A$2:$A$2918,1))-INDEX(DKW_10Y!$B$2:$B$2918,MATCH(Settings!$B$16,DKW_10Y!$A$2:$A$2918,1)))*100))</f>
        <v/>
      </c>
      <c r="Y695" s="19">
        <f>IF(NOT(ISNUMBER($A695)),NA(),IF(OR($A695&lt;MIN(DKW_10Y!$A$2:$A$2918),$A695&gt;MAX(DKW_10Y!$A$2:$A$2918),Settings!$B$16&lt;MIN(DKW_10Y!$A$2:$A$2918)),NA(),(INDEX(DKW_10Y!$C$2:$C$2918,MATCH($A695,DKW_10Y!$A$2:$A$2918,1))-INDEX(DKW_10Y!$C$2:$C$2918,MATCH(Settings!$B$16,DKW_10Y!$A$2:$A$2918,1)))*100))</f>
        <v/>
      </c>
      <c r="Z695" s="19">
        <f>IF(NOT(ISNUMBER($A695)),NA(),IF(OR($A695&lt;MIN(DKW_10Y!$A$2:$A$2918),$A695&gt;MAX(DKW_10Y!$A$2:$A$2918),Settings!$B$16&lt;MIN(DKW_10Y!$A$2:$A$2918)),NA(),(INDEX(DKW_10Y!$D$2:$D$2918,MATCH($A695,DKW_10Y!$A$2:$A$2918,1))-INDEX(DKW_10Y!$D$2:$D$2918,MATCH(Settings!$B$16,DKW_10Y!$A$2:$A$2918,1)))*100))</f>
        <v/>
      </c>
      <c r="AA695" s="19">
        <f>IF(NOT(ISNUMBER($A695)),NA(),IF(OR($A695&lt;MIN(DKW_10Y!$A$2:$A$2918),$A695&gt;MAX(DKW_10Y!$A$2:$A$2918),Settings!$B$16&lt;MIN(DKW_10Y!$A$2:$A$2918)),NA(),(INDEX(DKW_10Y!$E$2:$E$2918,MATCH($A695,DKW_10Y!$A$2:$A$2918,1))-INDEX(DKW_10Y!$E$2:$E$2918,MATCH(Settings!$B$16,DKW_10Y!$A$2:$A$2918,1)))*100))</f>
        <v/>
      </c>
      <c r="AB695" s="19">
        <f>IF(NOT(ISNUMBER($A695)),NA(),IF(OR($A695&lt;MIN(DKW_10Y!$A$2:$A$2918),$A695&gt;MAX(DKW_10Y!$A$2:$A$2918),Settings!$B$16&lt;MIN(DKW_10Y!$A$2:$A$2918)),NA(),(INDEX(DKW_10Y!$H$2:$H$2918,MATCH($A695,DKW_10Y!$A$2:$A$2918,1))-INDEX(DKW_10Y!$H$2:$H$2918,MATCH(Settings!$B$16,DKW_10Y!$A$2:$A$2918,1)))*100))</f>
        <v/>
      </c>
      <c r="AC695" s="18">
        <f>IF(NOT(ISNUMBER($A695)),NA(),IFERROR(1*INDEX(BBG_Data!$N$2:$N$4000,MATCH($A695,BBG_Data!$M$2:$M$4000,0)),NA()))</f>
        <v/>
      </c>
      <c r="AD695" s="18">
        <f>IF(NOT(ISNUMBER($A695)),NA(),IFERROR(1*INDEX(BBG_Data!$P$2:$P$4000,MATCH($A695,BBG_Data!$O$2:$O$4000,0)),NA()))</f>
        <v/>
      </c>
      <c r="AE695" s="18">
        <f>IF(NOT(ISNUMBER($A695)),NA(),IFERROR(1*INDEX(BBG_Data!$R$2:$R$4000,MATCH($A695,BBG_Data!$Q$2:$Q$4000,0)),NA()))</f>
        <v/>
      </c>
      <c r="AF695" s="20">
        <f>IF(AND(ISNUMBER(B695),ISNUMBER(AC695)),(B695-AC695)*100,NA())</f>
        <v/>
      </c>
      <c r="AG695" s="20">
        <f>IF(AND(ISNUMBER(AE695),ISNUMBER(AD695)),(AE695-AD695)*100,NA())</f>
        <v/>
      </c>
      <c r="AH695" s="19">
        <f>IF(NOT(ISNUMBER($A695)),NA(),IFERROR(INDEX(BBG_Data!$T$2:$T$4000,MATCH($A695,BBG_Data!$S$2:$S$4000,0))*Settings!$B$25,NA()))</f>
        <v/>
      </c>
      <c r="AI695" s="19">
        <f>IF(NOT(ISNUMBER($A695)),NA(),IFERROR(INDEX(BBG_Data!$V$2:$V$4000,MATCH($A695,BBG_Data!$U$2:$U$4000,0))*Settings!$B$25,NA()))</f>
        <v/>
      </c>
      <c r="AJ695" s="19">
        <f>IF(NOT(ISNUMBER($A695)),NA(),IFERROR(1*INDEX(BBG_Data!$X$2:$X$4000,MATCH($A695,BBG_Data!$W$2:$W$4000,0)),NA()))</f>
        <v/>
      </c>
      <c r="AK695" s="19">
        <f>IF(NOT(ISNUMBER($A695)),NA(),IFERROR(1*INDEX(BBG_Data!$Z$2:$Z$4000,MATCH($A695,BBG_Data!$Y$2:$Y$4000,0)),NA()))</f>
        <v/>
      </c>
    </row>
    <row r="696">
      <c r="A696" s="17">
        <f>IF(ISNUMBER(BBG_Data!A696),BBG_Data!A696,"")</f>
        <v/>
      </c>
      <c r="B696" s="18">
        <f>IF(AND(ISNUMBER($A696),ISNUMBER(BBG_Data!B696)),BBG_Data!B696,NA())</f>
        <v/>
      </c>
      <c r="C696" s="18">
        <f>IF(NOT(ISNUMBER($A696)),NA(),IFERROR(1*INDEX(BBG_Data!$D$2:$D$4000,MATCH($A696,BBG_Data!$C$2:$C$4000,0)),NA()))</f>
        <v/>
      </c>
      <c r="D696" s="19">
        <f>IF(NOT(ISNUMBER($A696)),NA(),IFERROR(1*INDEX(BBG_Data!$F$2:$F$4000,MATCH($A696,BBG_Data!$E$2:$E$4000,0)),NA()))</f>
        <v/>
      </c>
      <c r="E696" s="19">
        <f>IF(NOT(ISNUMBER($A696)),NA(),IFERROR(1*INDEX(BBG_Data!$H$2:$H$4000,MATCH($A696,BBG_Data!$G$2:$G$4000,0)),NA()))</f>
        <v/>
      </c>
      <c r="F696" s="20">
        <f>IF(AND(ISNUMBER(B696),ISNUMBER(B695)),IF(B696=B695,"",(B696-B695)*100),"")</f>
        <v/>
      </c>
      <c r="G696" s="20">
        <f>IF(AND(ISNUMBER(C696),ISNUMBER(C695)),IF(C696=C695,"",(C696-C695)*100),"")</f>
        <v/>
      </c>
      <c r="H696" s="20">
        <f>IF(OR(NOT(ISNUMBER($A696)),ROW()-2&lt;Settings!$B$11),NA(),IF(COUNT(OFFSET(F696,1-Settings!$B$11,0,Settings!$B$11,1))&lt;ROUNDUP(Settings!$B$11*Settings!$B$26,0),NA(),STDEV(OFFSET(F696,1-Settings!$B$11,0,Settings!$B$11,1))*SQRT(Settings!$B$13)))</f>
        <v/>
      </c>
      <c r="I696" s="20">
        <f>IF(OR(NOT(ISNUMBER($A696)),ROW()-2&lt;Settings!$B$12),NA(),IF(COUNT(OFFSET(F696,1-Settings!$B$12,0,Settings!$B$12,1))&lt;ROUNDUP(Settings!$B$12*Settings!$B$26,0),NA(),STDEV(OFFSET(F696,1-Settings!$B$12,0,Settings!$B$12,1))*SQRT(Settings!$B$13)))</f>
        <v/>
      </c>
      <c r="J696" s="20">
        <f>IF(OR(NOT(ISNUMBER($A696)),ROW()-2&lt;Settings!$B$11),NA(),IF(COUNT(OFFSET(G696,1-Settings!$B$11,0,Settings!$B$11,1))&lt;ROUNDUP(Settings!$B$11*Settings!$B$26,0),NA(),STDEV(OFFSET(G696,1-Settings!$B$11,0,Settings!$B$11,1))*SQRT(Settings!$B$13)))</f>
        <v/>
      </c>
      <c r="K696" s="20">
        <f>IF(OR(NOT(ISNUMBER($A696)),ROW()-2&lt;Settings!$B$12),NA(),IF(COUNT(OFFSET(G696,1-Settings!$B$12,0,Settings!$B$12,1))&lt;ROUNDUP(Settings!$B$12*Settings!$B$26,0),NA(),STDEV(OFFSET(G696,1-Settings!$B$12,0,Settings!$B$12,1))*SQRT(Settings!$B$13)))</f>
        <v/>
      </c>
      <c r="L696" s="20">
        <f>IF(AND(ISNUMBER(D696),ISNUMBER(H696)),D696-H696,NA())</f>
        <v/>
      </c>
      <c r="M696" s="20">
        <f>IF(AND(ISNUMBER(E696),ISNUMBER(K696)),E696-K696,NA())</f>
        <v/>
      </c>
      <c r="N696" s="20">
        <f>IF(NOT(ISNUMBER($A696)),NA(),IF(COUNT(OFFSET(G696,1,0,Settings!$B$12,1))&lt;ROUNDUP(Settings!$B$12*Settings!$B$26,0),NA(),STDEV(OFFSET(G696,1,0,Settings!$B$12,1))*SQRT(Settings!$B$13)))</f>
        <v/>
      </c>
      <c r="O696" s="20">
        <f>IF(AND(ISNUMBER(E696),ISNUMBER(N696)),E696-N696,NA())</f>
        <v/>
      </c>
      <c r="P696" s="19">
        <f>IF(NOT(ISNUMBER($A696)),NA(),IF(OR($A696&lt;MIN(KW_TP!$A$2:$A$2501),$A696&gt;MAX(KW_TP!$A$2:$A$2501)),NA(),INDEX(KW_TP!$C$2:$C$2501,MATCH($A696,KW_TP!$A$2:$A$2501,1))))</f>
        <v/>
      </c>
      <c r="Q696" s="18">
        <f>IF(NOT(ISNUMBER($A696)),NA(),IFERROR(1*INDEX(BBG_Data!$J$2:$J$4000,MATCH($A696,BBG_Data!$I$2:$I$4000,0)),NA()))</f>
        <v/>
      </c>
      <c r="R696" s="18">
        <f>IF(NOT(ISNUMBER($A696)),NA(),IFERROR(1*INDEX(BBG_Data!$L$2:$L$4000,MATCH($A696,BBG_Data!$K$2:$K$4000,0)),NA()))</f>
        <v/>
      </c>
      <c r="S696" s="20">
        <f>IF(AND(ISNUMBER(B696),ISNUMBER(Q696),ISNUMBER(R696)),(B696-Q696-R696)*100,NA())</f>
        <v/>
      </c>
      <c r="T696" s="20">
        <f>IF(AND(ISNUMBER(B696),Settings!$B$17&gt;0),IF(ISNUMBER(INDEX($B:$B,Settings!$B$17)),(B696-INDEX($B:$B,Settings!$B$17))*100,NA()),NA())</f>
        <v/>
      </c>
      <c r="U696" s="20">
        <f>IF(AND(ISNUMBER(Q696),Settings!$B$17&gt;0),IF(ISNUMBER(INDEX($Q:$Q,Settings!$B$17)),(Q696-INDEX($Q:$Q,Settings!$B$17))*100,NA()),NA())</f>
        <v/>
      </c>
      <c r="V696" s="20">
        <f>IF(AND(ISNUMBER(R696),Settings!$B$17&gt;0),IF(ISNUMBER(INDEX($R:$R,Settings!$B$17)),(R696-INDEX($R:$R,Settings!$B$17))*100,NA()),NA())</f>
        <v/>
      </c>
      <c r="W696" s="20">
        <f>IF(AND(ISNUMBER(P696),Settings!$B$17&gt;0),IF(ISNUMBER(INDEX($P:$P,Settings!$B$17)),P696-INDEX($P:$P,Settings!$B$17),NA()),NA())</f>
        <v/>
      </c>
      <c r="X696" s="19">
        <f>IF(NOT(ISNUMBER($A696)),NA(),IF(OR($A696&lt;MIN(DKW_10Y!$A$2:$A$2918),$A696&gt;MAX(DKW_10Y!$A$2:$A$2918),Settings!$B$16&lt;MIN(DKW_10Y!$A$2:$A$2918)),NA(),(INDEX(DKW_10Y!$B$2:$B$2918,MATCH($A696,DKW_10Y!$A$2:$A$2918,1))-INDEX(DKW_10Y!$B$2:$B$2918,MATCH(Settings!$B$16,DKW_10Y!$A$2:$A$2918,1)))*100))</f>
        <v/>
      </c>
      <c r="Y696" s="19">
        <f>IF(NOT(ISNUMBER($A696)),NA(),IF(OR($A696&lt;MIN(DKW_10Y!$A$2:$A$2918),$A696&gt;MAX(DKW_10Y!$A$2:$A$2918),Settings!$B$16&lt;MIN(DKW_10Y!$A$2:$A$2918)),NA(),(INDEX(DKW_10Y!$C$2:$C$2918,MATCH($A696,DKW_10Y!$A$2:$A$2918,1))-INDEX(DKW_10Y!$C$2:$C$2918,MATCH(Settings!$B$16,DKW_10Y!$A$2:$A$2918,1)))*100))</f>
        <v/>
      </c>
      <c r="Z696" s="19">
        <f>IF(NOT(ISNUMBER($A696)),NA(),IF(OR($A696&lt;MIN(DKW_10Y!$A$2:$A$2918),$A696&gt;MAX(DKW_10Y!$A$2:$A$2918),Settings!$B$16&lt;MIN(DKW_10Y!$A$2:$A$2918)),NA(),(INDEX(DKW_10Y!$D$2:$D$2918,MATCH($A696,DKW_10Y!$A$2:$A$2918,1))-INDEX(DKW_10Y!$D$2:$D$2918,MATCH(Settings!$B$16,DKW_10Y!$A$2:$A$2918,1)))*100))</f>
        <v/>
      </c>
      <c r="AA696" s="19">
        <f>IF(NOT(ISNUMBER($A696)),NA(),IF(OR($A696&lt;MIN(DKW_10Y!$A$2:$A$2918),$A696&gt;MAX(DKW_10Y!$A$2:$A$2918),Settings!$B$16&lt;MIN(DKW_10Y!$A$2:$A$2918)),NA(),(INDEX(DKW_10Y!$E$2:$E$2918,MATCH($A696,DKW_10Y!$A$2:$A$2918,1))-INDEX(DKW_10Y!$E$2:$E$2918,MATCH(Settings!$B$16,DKW_10Y!$A$2:$A$2918,1)))*100))</f>
        <v/>
      </c>
      <c r="AB696" s="19">
        <f>IF(NOT(ISNUMBER($A696)),NA(),IF(OR($A696&lt;MIN(DKW_10Y!$A$2:$A$2918),$A696&gt;MAX(DKW_10Y!$A$2:$A$2918),Settings!$B$16&lt;MIN(DKW_10Y!$A$2:$A$2918)),NA(),(INDEX(DKW_10Y!$H$2:$H$2918,MATCH($A696,DKW_10Y!$A$2:$A$2918,1))-INDEX(DKW_10Y!$H$2:$H$2918,MATCH(Settings!$B$16,DKW_10Y!$A$2:$A$2918,1)))*100))</f>
        <v/>
      </c>
      <c r="AC696" s="18">
        <f>IF(NOT(ISNUMBER($A696)),NA(),IFERROR(1*INDEX(BBG_Data!$N$2:$N$4000,MATCH($A696,BBG_Data!$M$2:$M$4000,0)),NA()))</f>
        <v/>
      </c>
      <c r="AD696" s="18">
        <f>IF(NOT(ISNUMBER($A696)),NA(),IFERROR(1*INDEX(BBG_Data!$P$2:$P$4000,MATCH($A696,BBG_Data!$O$2:$O$4000,0)),NA()))</f>
        <v/>
      </c>
      <c r="AE696" s="18">
        <f>IF(NOT(ISNUMBER($A696)),NA(),IFERROR(1*INDEX(BBG_Data!$R$2:$R$4000,MATCH($A696,BBG_Data!$Q$2:$Q$4000,0)),NA()))</f>
        <v/>
      </c>
      <c r="AF696" s="20">
        <f>IF(AND(ISNUMBER(B696),ISNUMBER(AC696)),(B696-AC696)*100,NA())</f>
        <v/>
      </c>
      <c r="AG696" s="20">
        <f>IF(AND(ISNUMBER(AE696),ISNUMBER(AD696)),(AE696-AD696)*100,NA())</f>
        <v/>
      </c>
      <c r="AH696" s="19">
        <f>IF(NOT(ISNUMBER($A696)),NA(),IFERROR(INDEX(BBG_Data!$T$2:$T$4000,MATCH($A696,BBG_Data!$S$2:$S$4000,0))*Settings!$B$25,NA()))</f>
        <v/>
      </c>
      <c r="AI696" s="19">
        <f>IF(NOT(ISNUMBER($A696)),NA(),IFERROR(INDEX(BBG_Data!$V$2:$V$4000,MATCH($A696,BBG_Data!$U$2:$U$4000,0))*Settings!$B$25,NA()))</f>
        <v/>
      </c>
      <c r="AJ696" s="19">
        <f>IF(NOT(ISNUMBER($A696)),NA(),IFERROR(1*INDEX(BBG_Data!$X$2:$X$4000,MATCH($A696,BBG_Data!$W$2:$W$4000,0)),NA()))</f>
        <v/>
      </c>
      <c r="AK696" s="19">
        <f>IF(NOT(ISNUMBER($A696)),NA(),IFERROR(1*INDEX(BBG_Data!$Z$2:$Z$4000,MATCH($A696,BBG_Data!$Y$2:$Y$4000,0)),NA()))</f>
        <v/>
      </c>
    </row>
    <row r="697">
      <c r="A697" s="17">
        <f>IF(ISNUMBER(BBG_Data!A697),BBG_Data!A697,"")</f>
        <v/>
      </c>
      <c r="B697" s="18">
        <f>IF(AND(ISNUMBER($A697),ISNUMBER(BBG_Data!B697)),BBG_Data!B697,NA())</f>
        <v/>
      </c>
      <c r="C697" s="18">
        <f>IF(NOT(ISNUMBER($A697)),NA(),IFERROR(1*INDEX(BBG_Data!$D$2:$D$4000,MATCH($A697,BBG_Data!$C$2:$C$4000,0)),NA()))</f>
        <v/>
      </c>
      <c r="D697" s="19">
        <f>IF(NOT(ISNUMBER($A697)),NA(),IFERROR(1*INDEX(BBG_Data!$F$2:$F$4000,MATCH($A697,BBG_Data!$E$2:$E$4000,0)),NA()))</f>
        <v/>
      </c>
      <c r="E697" s="19">
        <f>IF(NOT(ISNUMBER($A697)),NA(),IFERROR(1*INDEX(BBG_Data!$H$2:$H$4000,MATCH($A697,BBG_Data!$G$2:$G$4000,0)),NA()))</f>
        <v/>
      </c>
      <c r="F697" s="20">
        <f>IF(AND(ISNUMBER(B697),ISNUMBER(B696)),IF(B697=B696,"",(B697-B696)*100),"")</f>
        <v/>
      </c>
      <c r="G697" s="20">
        <f>IF(AND(ISNUMBER(C697),ISNUMBER(C696)),IF(C697=C696,"",(C697-C696)*100),"")</f>
        <v/>
      </c>
      <c r="H697" s="20">
        <f>IF(OR(NOT(ISNUMBER($A697)),ROW()-2&lt;Settings!$B$11),NA(),IF(COUNT(OFFSET(F697,1-Settings!$B$11,0,Settings!$B$11,1))&lt;ROUNDUP(Settings!$B$11*Settings!$B$26,0),NA(),STDEV(OFFSET(F697,1-Settings!$B$11,0,Settings!$B$11,1))*SQRT(Settings!$B$13)))</f>
        <v/>
      </c>
      <c r="I697" s="20">
        <f>IF(OR(NOT(ISNUMBER($A697)),ROW()-2&lt;Settings!$B$12),NA(),IF(COUNT(OFFSET(F697,1-Settings!$B$12,0,Settings!$B$12,1))&lt;ROUNDUP(Settings!$B$12*Settings!$B$26,0),NA(),STDEV(OFFSET(F697,1-Settings!$B$12,0,Settings!$B$12,1))*SQRT(Settings!$B$13)))</f>
        <v/>
      </c>
      <c r="J697" s="20">
        <f>IF(OR(NOT(ISNUMBER($A697)),ROW()-2&lt;Settings!$B$11),NA(),IF(COUNT(OFFSET(G697,1-Settings!$B$11,0,Settings!$B$11,1))&lt;ROUNDUP(Settings!$B$11*Settings!$B$26,0),NA(),STDEV(OFFSET(G697,1-Settings!$B$11,0,Settings!$B$11,1))*SQRT(Settings!$B$13)))</f>
        <v/>
      </c>
      <c r="K697" s="20">
        <f>IF(OR(NOT(ISNUMBER($A697)),ROW()-2&lt;Settings!$B$12),NA(),IF(COUNT(OFFSET(G697,1-Settings!$B$12,0,Settings!$B$12,1))&lt;ROUNDUP(Settings!$B$12*Settings!$B$26,0),NA(),STDEV(OFFSET(G697,1-Settings!$B$12,0,Settings!$B$12,1))*SQRT(Settings!$B$13)))</f>
        <v/>
      </c>
      <c r="L697" s="20">
        <f>IF(AND(ISNUMBER(D697),ISNUMBER(H697)),D697-H697,NA())</f>
        <v/>
      </c>
      <c r="M697" s="20">
        <f>IF(AND(ISNUMBER(E697),ISNUMBER(K697)),E697-K697,NA())</f>
        <v/>
      </c>
      <c r="N697" s="20">
        <f>IF(NOT(ISNUMBER($A697)),NA(),IF(COUNT(OFFSET(G697,1,0,Settings!$B$12,1))&lt;ROUNDUP(Settings!$B$12*Settings!$B$26,0),NA(),STDEV(OFFSET(G697,1,0,Settings!$B$12,1))*SQRT(Settings!$B$13)))</f>
        <v/>
      </c>
      <c r="O697" s="20">
        <f>IF(AND(ISNUMBER(E697),ISNUMBER(N697)),E697-N697,NA())</f>
        <v/>
      </c>
      <c r="P697" s="19">
        <f>IF(NOT(ISNUMBER($A697)),NA(),IF(OR($A697&lt;MIN(KW_TP!$A$2:$A$2501),$A697&gt;MAX(KW_TP!$A$2:$A$2501)),NA(),INDEX(KW_TP!$C$2:$C$2501,MATCH($A697,KW_TP!$A$2:$A$2501,1))))</f>
        <v/>
      </c>
      <c r="Q697" s="18">
        <f>IF(NOT(ISNUMBER($A697)),NA(),IFERROR(1*INDEX(BBG_Data!$J$2:$J$4000,MATCH($A697,BBG_Data!$I$2:$I$4000,0)),NA()))</f>
        <v/>
      </c>
      <c r="R697" s="18">
        <f>IF(NOT(ISNUMBER($A697)),NA(),IFERROR(1*INDEX(BBG_Data!$L$2:$L$4000,MATCH($A697,BBG_Data!$K$2:$K$4000,0)),NA()))</f>
        <v/>
      </c>
      <c r="S697" s="20">
        <f>IF(AND(ISNUMBER(B697),ISNUMBER(Q697),ISNUMBER(R697)),(B697-Q697-R697)*100,NA())</f>
        <v/>
      </c>
      <c r="T697" s="20">
        <f>IF(AND(ISNUMBER(B697),Settings!$B$17&gt;0),IF(ISNUMBER(INDEX($B:$B,Settings!$B$17)),(B697-INDEX($B:$B,Settings!$B$17))*100,NA()),NA())</f>
        <v/>
      </c>
      <c r="U697" s="20">
        <f>IF(AND(ISNUMBER(Q697),Settings!$B$17&gt;0),IF(ISNUMBER(INDEX($Q:$Q,Settings!$B$17)),(Q697-INDEX($Q:$Q,Settings!$B$17))*100,NA()),NA())</f>
        <v/>
      </c>
      <c r="V697" s="20">
        <f>IF(AND(ISNUMBER(R697),Settings!$B$17&gt;0),IF(ISNUMBER(INDEX($R:$R,Settings!$B$17)),(R697-INDEX($R:$R,Settings!$B$17))*100,NA()),NA())</f>
        <v/>
      </c>
      <c r="W697" s="20">
        <f>IF(AND(ISNUMBER(P697),Settings!$B$17&gt;0),IF(ISNUMBER(INDEX($P:$P,Settings!$B$17)),P697-INDEX($P:$P,Settings!$B$17),NA()),NA())</f>
        <v/>
      </c>
      <c r="X697" s="19">
        <f>IF(NOT(ISNUMBER($A697)),NA(),IF(OR($A697&lt;MIN(DKW_10Y!$A$2:$A$2918),$A697&gt;MAX(DKW_10Y!$A$2:$A$2918),Settings!$B$16&lt;MIN(DKW_10Y!$A$2:$A$2918)),NA(),(INDEX(DKW_10Y!$B$2:$B$2918,MATCH($A697,DKW_10Y!$A$2:$A$2918,1))-INDEX(DKW_10Y!$B$2:$B$2918,MATCH(Settings!$B$16,DKW_10Y!$A$2:$A$2918,1)))*100))</f>
        <v/>
      </c>
      <c r="Y697" s="19">
        <f>IF(NOT(ISNUMBER($A697)),NA(),IF(OR($A697&lt;MIN(DKW_10Y!$A$2:$A$2918),$A697&gt;MAX(DKW_10Y!$A$2:$A$2918),Settings!$B$16&lt;MIN(DKW_10Y!$A$2:$A$2918)),NA(),(INDEX(DKW_10Y!$C$2:$C$2918,MATCH($A697,DKW_10Y!$A$2:$A$2918,1))-INDEX(DKW_10Y!$C$2:$C$2918,MATCH(Settings!$B$16,DKW_10Y!$A$2:$A$2918,1)))*100))</f>
        <v/>
      </c>
      <c r="Z697" s="19">
        <f>IF(NOT(ISNUMBER($A697)),NA(),IF(OR($A697&lt;MIN(DKW_10Y!$A$2:$A$2918),$A697&gt;MAX(DKW_10Y!$A$2:$A$2918),Settings!$B$16&lt;MIN(DKW_10Y!$A$2:$A$2918)),NA(),(INDEX(DKW_10Y!$D$2:$D$2918,MATCH($A697,DKW_10Y!$A$2:$A$2918,1))-INDEX(DKW_10Y!$D$2:$D$2918,MATCH(Settings!$B$16,DKW_10Y!$A$2:$A$2918,1)))*100))</f>
        <v/>
      </c>
      <c r="AA697" s="19">
        <f>IF(NOT(ISNUMBER($A697)),NA(),IF(OR($A697&lt;MIN(DKW_10Y!$A$2:$A$2918),$A697&gt;MAX(DKW_10Y!$A$2:$A$2918),Settings!$B$16&lt;MIN(DKW_10Y!$A$2:$A$2918)),NA(),(INDEX(DKW_10Y!$E$2:$E$2918,MATCH($A697,DKW_10Y!$A$2:$A$2918,1))-INDEX(DKW_10Y!$E$2:$E$2918,MATCH(Settings!$B$16,DKW_10Y!$A$2:$A$2918,1)))*100))</f>
        <v/>
      </c>
      <c r="AB697" s="19">
        <f>IF(NOT(ISNUMBER($A697)),NA(),IF(OR($A697&lt;MIN(DKW_10Y!$A$2:$A$2918),$A697&gt;MAX(DKW_10Y!$A$2:$A$2918),Settings!$B$16&lt;MIN(DKW_10Y!$A$2:$A$2918)),NA(),(INDEX(DKW_10Y!$H$2:$H$2918,MATCH($A697,DKW_10Y!$A$2:$A$2918,1))-INDEX(DKW_10Y!$H$2:$H$2918,MATCH(Settings!$B$16,DKW_10Y!$A$2:$A$2918,1)))*100))</f>
        <v/>
      </c>
      <c r="AC697" s="18">
        <f>IF(NOT(ISNUMBER($A697)),NA(),IFERROR(1*INDEX(BBG_Data!$N$2:$N$4000,MATCH($A697,BBG_Data!$M$2:$M$4000,0)),NA()))</f>
        <v/>
      </c>
      <c r="AD697" s="18">
        <f>IF(NOT(ISNUMBER($A697)),NA(),IFERROR(1*INDEX(BBG_Data!$P$2:$P$4000,MATCH($A697,BBG_Data!$O$2:$O$4000,0)),NA()))</f>
        <v/>
      </c>
      <c r="AE697" s="18">
        <f>IF(NOT(ISNUMBER($A697)),NA(),IFERROR(1*INDEX(BBG_Data!$R$2:$R$4000,MATCH($A697,BBG_Data!$Q$2:$Q$4000,0)),NA()))</f>
        <v/>
      </c>
      <c r="AF697" s="20">
        <f>IF(AND(ISNUMBER(B697),ISNUMBER(AC697)),(B697-AC697)*100,NA())</f>
        <v/>
      </c>
      <c r="AG697" s="20">
        <f>IF(AND(ISNUMBER(AE697),ISNUMBER(AD697)),(AE697-AD697)*100,NA())</f>
        <v/>
      </c>
      <c r="AH697" s="19">
        <f>IF(NOT(ISNUMBER($A697)),NA(),IFERROR(INDEX(BBG_Data!$T$2:$T$4000,MATCH($A697,BBG_Data!$S$2:$S$4000,0))*Settings!$B$25,NA()))</f>
        <v/>
      </c>
      <c r="AI697" s="19">
        <f>IF(NOT(ISNUMBER($A697)),NA(),IFERROR(INDEX(BBG_Data!$V$2:$V$4000,MATCH($A697,BBG_Data!$U$2:$U$4000,0))*Settings!$B$25,NA()))</f>
        <v/>
      </c>
      <c r="AJ697" s="19">
        <f>IF(NOT(ISNUMBER($A697)),NA(),IFERROR(1*INDEX(BBG_Data!$X$2:$X$4000,MATCH($A697,BBG_Data!$W$2:$W$4000,0)),NA()))</f>
        <v/>
      </c>
      <c r="AK697" s="19">
        <f>IF(NOT(ISNUMBER($A697)),NA(),IFERROR(1*INDEX(BBG_Data!$Z$2:$Z$4000,MATCH($A697,BBG_Data!$Y$2:$Y$4000,0)),NA()))</f>
        <v/>
      </c>
    </row>
    <row r="698">
      <c r="A698" s="17">
        <f>IF(ISNUMBER(BBG_Data!A698),BBG_Data!A698,"")</f>
        <v/>
      </c>
      <c r="B698" s="18">
        <f>IF(AND(ISNUMBER($A698),ISNUMBER(BBG_Data!B698)),BBG_Data!B698,NA())</f>
        <v/>
      </c>
      <c r="C698" s="18">
        <f>IF(NOT(ISNUMBER($A698)),NA(),IFERROR(1*INDEX(BBG_Data!$D$2:$D$4000,MATCH($A698,BBG_Data!$C$2:$C$4000,0)),NA()))</f>
        <v/>
      </c>
      <c r="D698" s="19">
        <f>IF(NOT(ISNUMBER($A698)),NA(),IFERROR(1*INDEX(BBG_Data!$F$2:$F$4000,MATCH($A698,BBG_Data!$E$2:$E$4000,0)),NA()))</f>
        <v/>
      </c>
      <c r="E698" s="19">
        <f>IF(NOT(ISNUMBER($A698)),NA(),IFERROR(1*INDEX(BBG_Data!$H$2:$H$4000,MATCH($A698,BBG_Data!$G$2:$G$4000,0)),NA()))</f>
        <v/>
      </c>
      <c r="F698" s="20">
        <f>IF(AND(ISNUMBER(B698),ISNUMBER(B697)),IF(B698=B697,"",(B698-B697)*100),"")</f>
        <v/>
      </c>
      <c r="G698" s="20">
        <f>IF(AND(ISNUMBER(C698),ISNUMBER(C697)),IF(C698=C697,"",(C698-C697)*100),"")</f>
        <v/>
      </c>
      <c r="H698" s="20">
        <f>IF(OR(NOT(ISNUMBER($A698)),ROW()-2&lt;Settings!$B$11),NA(),IF(COUNT(OFFSET(F698,1-Settings!$B$11,0,Settings!$B$11,1))&lt;ROUNDUP(Settings!$B$11*Settings!$B$26,0),NA(),STDEV(OFFSET(F698,1-Settings!$B$11,0,Settings!$B$11,1))*SQRT(Settings!$B$13)))</f>
        <v/>
      </c>
      <c r="I698" s="20">
        <f>IF(OR(NOT(ISNUMBER($A698)),ROW()-2&lt;Settings!$B$12),NA(),IF(COUNT(OFFSET(F698,1-Settings!$B$12,0,Settings!$B$12,1))&lt;ROUNDUP(Settings!$B$12*Settings!$B$26,0),NA(),STDEV(OFFSET(F698,1-Settings!$B$12,0,Settings!$B$12,1))*SQRT(Settings!$B$13)))</f>
        <v/>
      </c>
      <c r="J698" s="20">
        <f>IF(OR(NOT(ISNUMBER($A698)),ROW()-2&lt;Settings!$B$11),NA(),IF(COUNT(OFFSET(G698,1-Settings!$B$11,0,Settings!$B$11,1))&lt;ROUNDUP(Settings!$B$11*Settings!$B$26,0),NA(),STDEV(OFFSET(G698,1-Settings!$B$11,0,Settings!$B$11,1))*SQRT(Settings!$B$13)))</f>
        <v/>
      </c>
      <c r="K698" s="20">
        <f>IF(OR(NOT(ISNUMBER($A698)),ROW()-2&lt;Settings!$B$12),NA(),IF(COUNT(OFFSET(G698,1-Settings!$B$12,0,Settings!$B$12,1))&lt;ROUNDUP(Settings!$B$12*Settings!$B$26,0),NA(),STDEV(OFFSET(G698,1-Settings!$B$12,0,Settings!$B$12,1))*SQRT(Settings!$B$13)))</f>
        <v/>
      </c>
      <c r="L698" s="20">
        <f>IF(AND(ISNUMBER(D698),ISNUMBER(H698)),D698-H698,NA())</f>
        <v/>
      </c>
      <c r="M698" s="20">
        <f>IF(AND(ISNUMBER(E698),ISNUMBER(K698)),E698-K698,NA())</f>
        <v/>
      </c>
      <c r="N698" s="20">
        <f>IF(NOT(ISNUMBER($A698)),NA(),IF(COUNT(OFFSET(G698,1,0,Settings!$B$12,1))&lt;ROUNDUP(Settings!$B$12*Settings!$B$26,0),NA(),STDEV(OFFSET(G698,1,0,Settings!$B$12,1))*SQRT(Settings!$B$13)))</f>
        <v/>
      </c>
      <c r="O698" s="20">
        <f>IF(AND(ISNUMBER(E698),ISNUMBER(N698)),E698-N698,NA())</f>
        <v/>
      </c>
      <c r="P698" s="19">
        <f>IF(NOT(ISNUMBER($A698)),NA(),IF(OR($A698&lt;MIN(KW_TP!$A$2:$A$2501),$A698&gt;MAX(KW_TP!$A$2:$A$2501)),NA(),INDEX(KW_TP!$C$2:$C$2501,MATCH($A698,KW_TP!$A$2:$A$2501,1))))</f>
        <v/>
      </c>
      <c r="Q698" s="18">
        <f>IF(NOT(ISNUMBER($A698)),NA(),IFERROR(1*INDEX(BBG_Data!$J$2:$J$4000,MATCH($A698,BBG_Data!$I$2:$I$4000,0)),NA()))</f>
        <v/>
      </c>
      <c r="R698" s="18">
        <f>IF(NOT(ISNUMBER($A698)),NA(),IFERROR(1*INDEX(BBG_Data!$L$2:$L$4000,MATCH($A698,BBG_Data!$K$2:$K$4000,0)),NA()))</f>
        <v/>
      </c>
      <c r="S698" s="20">
        <f>IF(AND(ISNUMBER(B698),ISNUMBER(Q698),ISNUMBER(R698)),(B698-Q698-R698)*100,NA())</f>
        <v/>
      </c>
      <c r="T698" s="20">
        <f>IF(AND(ISNUMBER(B698),Settings!$B$17&gt;0),IF(ISNUMBER(INDEX($B:$B,Settings!$B$17)),(B698-INDEX($B:$B,Settings!$B$17))*100,NA()),NA())</f>
        <v/>
      </c>
      <c r="U698" s="20">
        <f>IF(AND(ISNUMBER(Q698),Settings!$B$17&gt;0),IF(ISNUMBER(INDEX($Q:$Q,Settings!$B$17)),(Q698-INDEX($Q:$Q,Settings!$B$17))*100,NA()),NA())</f>
        <v/>
      </c>
      <c r="V698" s="20">
        <f>IF(AND(ISNUMBER(R698),Settings!$B$17&gt;0),IF(ISNUMBER(INDEX($R:$R,Settings!$B$17)),(R698-INDEX($R:$R,Settings!$B$17))*100,NA()),NA())</f>
        <v/>
      </c>
      <c r="W698" s="20">
        <f>IF(AND(ISNUMBER(P698),Settings!$B$17&gt;0),IF(ISNUMBER(INDEX($P:$P,Settings!$B$17)),P698-INDEX($P:$P,Settings!$B$17),NA()),NA())</f>
        <v/>
      </c>
      <c r="X698" s="19">
        <f>IF(NOT(ISNUMBER($A698)),NA(),IF(OR($A698&lt;MIN(DKW_10Y!$A$2:$A$2918),$A698&gt;MAX(DKW_10Y!$A$2:$A$2918),Settings!$B$16&lt;MIN(DKW_10Y!$A$2:$A$2918)),NA(),(INDEX(DKW_10Y!$B$2:$B$2918,MATCH($A698,DKW_10Y!$A$2:$A$2918,1))-INDEX(DKW_10Y!$B$2:$B$2918,MATCH(Settings!$B$16,DKW_10Y!$A$2:$A$2918,1)))*100))</f>
        <v/>
      </c>
      <c r="Y698" s="19">
        <f>IF(NOT(ISNUMBER($A698)),NA(),IF(OR($A698&lt;MIN(DKW_10Y!$A$2:$A$2918),$A698&gt;MAX(DKW_10Y!$A$2:$A$2918),Settings!$B$16&lt;MIN(DKW_10Y!$A$2:$A$2918)),NA(),(INDEX(DKW_10Y!$C$2:$C$2918,MATCH($A698,DKW_10Y!$A$2:$A$2918,1))-INDEX(DKW_10Y!$C$2:$C$2918,MATCH(Settings!$B$16,DKW_10Y!$A$2:$A$2918,1)))*100))</f>
        <v/>
      </c>
      <c r="Z698" s="19">
        <f>IF(NOT(ISNUMBER($A698)),NA(),IF(OR($A698&lt;MIN(DKW_10Y!$A$2:$A$2918),$A698&gt;MAX(DKW_10Y!$A$2:$A$2918),Settings!$B$16&lt;MIN(DKW_10Y!$A$2:$A$2918)),NA(),(INDEX(DKW_10Y!$D$2:$D$2918,MATCH($A698,DKW_10Y!$A$2:$A$2918,1))-INDEX(DKW_10Y!$D$2:$D$2918,MATCH(Settings!$B$16,DKW_10Y!$A$2:$A$2918,1)))*100))</f>
        <v/>
      </c>
      <c r="AA698" s="19">
        <f>IF(NOT(ISNUMBER($A698)),NA(),IF(OR($A698&lt;MIN(DKW_10Y!$A$2:$A$2918),$A698&gt;MAX(DKW_10Y!$A$2:$A$2918),Settings!$B$16&lt;MIN(DKW_10Y!$A$2:$A$2918)),NA(),(INDEX(DKW_10Y!$E$2:$E$2918,MATCH($A698,DKW_10Y!$A$2:$A$2918,1))-INDEX(DKW_10Y!$E$2:$E$2918,MATCH(Settings!$B$16,DKW_10Y!$A$2:$A$2918,1)))*100))</f>
        <v/>
      </c>
      <c r="AB698" s="19">
        <f>IF(NOT(ISNUMBER($A698)),NA(),IF(OR($A698&lt;MIN(DKW_10Y!$A$2:$A$2918),$A698&gt;MAX(DKW_10Y!$A$2:$A$2918),Settings!$B$16&lt;MIN(DKW_10Y!$A$2:$A$2918)),NA(),(INDEX(DKW_10Y!$H$2:$H$2918,MATCH($A698,DKW_10Y!$A$2:$A$2918,1))-INDEX(DKW_10Y!$H$2:$H$2918,MATCH(Settings!$B$16,DKW_10Y!$A$2:$A$2918,1)))*100))</f>
        <v/>
      </c>
      <c r="AC698" s="18">
        <f>IF(NOT(ISNUMBER($A698)),NA(),IFERROR(1*INDEX(BBG_Data!$N$2:$N$4000,MATCH($A698,BBG_Data!$M$2:$M$4000,0)),NA()))</f>
        <v/>
      </c>
      <c r="AD698" s="18">
        <f>IF(NOT(ISNUMBER($A698)),NA(),IFERROR(1*INDEX(BBG_Data!$P$2:$P$4000,MATCH($A698,BBG_Data!$O$2:$O$4000,0)),NA()))</f>
        <v/>
      </c>
      <c r="AE698" s="18">
        <f>IF(NOT(ISNUMBER($A698)),NA(),IFERROR(1*INDEX(BBG_Data!$R$2:$R$4000,MATCH($A698,BBG_Data!$Q$2:$Q$4000,0)),NA()))</f>
        <v/>
      </c>
      <c r="AF698" s="20">
        <f>IF(AND(ISNUMBER(B698),ISNUMBER(AC698)),(B698-AC698)*100,NA())</f>
        <v/>
      </c>
      <c r="AG698" s="20">
        <f>IF(AND(ISNUMBER(AE698),ISNUMBER(AD698)),(AE698-AD698)*100,NA())</f>
        <v/>
      </c>
      <c r="AH698" s="19">
        <f>IF(NOT(ISNUMBER($A698)),NA(),IFERROR(INDEX(BBG_Data!$T$2:$T$4000,MATCH($A698,BBG_Data!$S$2:$S$4000,0))*Settings!$B$25,NA()))</f>
        <v/>
      </c>
      <c r="AI698" s="19">
        <f>IF(NOT(ISNUMBER($A698)),NA(),IFERROR(INDEX(BBG_Data!$V$2:$V$4000,MATCH($A698,BBG_Data!$U$2:$U$4000,0))*Settings!$B$25,NA()))</f>
        <v/>
      </c>
      <c r="AJ698" s="19">
        <f>IF(NOT(ISNUMBER($A698)),NA(),IFERROR(1*INDEX(BBG_Data!$X$2:$X$4000,MATCH($A698,BBG_Data!$W$2:$W$4000,0)),NA()))</f>
        <v/>
      </c>
      <c r="AK698" s="19">
        <f>IF(NOT(ISNUMBER($A698)),NA(),IFERROR(1*INDEX(BBG_Data!$Z$2:$Z$4000,MATCH($A698,BBG_Data!$Y$2:$Y$4000,0)),NA()))</f>
        <v/>
      </c>
    </row>
    <row r="699">
      <c r="A699" s="17">
        <f>IF(ISNUMBER(BBG_Data!A699),BBG_Data!A699,"")</f>
        <v/>
      </c>
      <c r="B699" s="18">
        <f>IF(AND(ISNUMBER($A699),ISNUMBER(BBG_Data!B699)),BBG_Data!B699,NA())</f>
        <v/>
      </c>
      <c r="C699" s="18">
        <f>IF(NOT(ISNUMBER($A699)),NA(),IFERROR(1*INDEX(BBG_Data!$D$2:$D$4000,MATCH($A699,BBG_Data!$C$2:$C$4000,0)),NA()))</f>
        <v/>
      </c>
      <c r="D699" s="19">
        <f>IF(NOT(ISNUMBER($A699)),NA(),IFERROR(1*INDEX(BBG_Data!$F$2:$F$4000,MATCH($A699,BBG_Data!$E$2:$E$4000,0)),NA()))</f>
        <v/>
      </c>
      <c r="E699" s="19">
        <f>IF(NOT(ISNUMBER($A699)),NA(),IFERROR(1*INDEX(BBG_Data!$H$2:$H$4000,MATCH($A699,BBG_Data!$G$2:$G$4000,0)),NA()))</f>
        <v/>
      </c>
      <c r="F699" s="20">
        <f>IF(AND(ISNUMBER(B699),ISNUMBER(B698)),IF(B699=B698,"",(B699-B698)*100),"")</f>
        <v/>
      </c>
      <c r="G699" s="20">
        <f>IF(AND(ISNUMBER(C699),ISNUMBER(C698)),IF(C699=C698,"",(C699-C698)*100),"")</f>
        <v/>
      </c>
      <c r="H699" s="20">
        <f>IF(OR(NOT(ISNUMBER($A699)),ROW()-2&lt;Settings!$B$11),NA(),IF(COUNT(OFFSET(F699,1-Settings!$B$11,0,Settings!$B$11,1))&lt;ROUNDUP(Settings!$B$11*Settings!$B$26,0),NA(),STDEV(OFFSET(F699,1-Settings!$B$11,0,Settings!$B$11,1))*SQRT(Settings!$B$13)))</f>
        <v/>
      </c>
      <c r="I699" s="20">
        <f>IF(OR(NOT(ISNUMBER($A699)),ROW()-2&lt;Settings!$B$12),NA(),IF(COUNT(OFFSET(F699,1-Settings!$B$12,0,Settings!$B$12,1))&lt;ROUNDUP(Settings!$B$12*Settings!$B$26,0),NA(),STDEV(OFFSET(F699,1-Settings!$B$12,0,Settings!$B$12,1))*SQRT(Settings!$B$13)))</f>
        <v/>
      </c>
      <c r="J699" s="20">
        <f>IF(OR(NOT(ISNUMBER($A699)),ROW()-2&lt;Settings!$B$11),NA(),IF(COUNT(OFFSET(G699,1-Settings!$B$11,0,Settings!$B$11,1))&lt;ROUNDUP(Settings!$B$11*Settings!$B$26,0),NA(),STDEV(OFFSET(G699,1-Settings!$B$11,0,Settings!$B$11,1))*SQRT(Settings!$B$13)))</f>
        <v/>
      </c>
      <c r="K699" s="20">
        <f>IF(OR(NOT(ISNUMBER($A699)),ROW()-2&lt;Settings!$B$12),NA(),IF(COUNT(OFFSET(G699,1-Settings!$B$12,0,Settings!$B$12,1))&lt;ROUNDUP(Settings!$B$12*Settings!$B$26,0),NA(),STDEV(OFFSET(G699,1-Settings!$B$12,0,Settings!$B$12,1))*SQRT(Settings!$B$13)))</f>
        <v/>
      </c>
      <c r="L699" s="20">
        <f>IF(AND(ISNUMBER(D699),ISNUMBER(H699)),D699-H699,NA())</f>
        <v/>
      </c>
      <c r="M699" s="20">
        <f>IF(AND(ISNUMBER(E699),ISNUMBER(K699)),E699-K699,NA())</f>
        <v/>
      </c>
      <c r="N699" s="20">
        <f>IF(NOT(ISNUMBER($A699)),NA(),IF(COUNT(OFFSET(G699,1,0,Settings!$B$12,1))&lt;ROUNDUP(Settings!$B$12*Settings!$B$26,0),NA(),STDEV(OFFSET(G699,1,0,Settings!$B$12,1))*SQRT(Settings!$B$13)))</f>
        <v/>
      </c>
      <c r="O699" s="20">
        <f>IF(AND(ISNUMBER(E699),ISNUMBER(N699)),E699-N699,NA())</f>
        <v/>
      </c>
      <c r="P699" s="19">
        <f>IF(NOT(ISNUMBER($A699)),NA(),IF(OR($A699&lt;MIN(KW_TP!$A$2:$A$2501),$A699&gt;MAX(KW_TP!$A$2:$A$2501)),NA(),INDEX(KW_TP!$C$2:$C$2501,MATCH($A699,KW_TP!$A$2:$A$2501,1))))</f>
        <v/>
      </c>
      <c r="Q699" s="18">
        <f>IF(NOT(ISNUMBER($A699)),NA(),IFERROR(1*INDEX(BBG_Data!$J$2:$J$4000,MATCH($A699,BBG_Data!$I$2:$I$4000,0)),NA()))</f>
        <v/>
      </c>
      <c r="R699" s="18">
        <f>IF(NOT(ISNUMBER($A699)),NA(),IFERROR(1*INDEX(BBG_Data!$L$2:$L$4000,MATCH($A699,BBG_Data!$K$2:$K$4000,0)),NA()))</f>
        <v/>
      </c>
      <c r="S699" s="20">
        <f>IF(AND(ISNUMBER(B699),ISNUMBER(Q699),ISNUMBER(R699)),(B699-Q699-R699)*100,NA())</f>
        <v/>
      </c>
      <c r="T699" s="20">
        <f>IF(AND(ISNUMBER(B699),Settings!$B$17&gt;0),IF(ISNUMBER(INDEX($B:$B,Settings!$B$17)),(B699-INDEX($B:$B,Settings!$B$17))*100,NA()),NA())</f>
        <v/>
      </c>
      <c r="U699" s="20">
        <f>IF(AND(ISNUMBER(Q699),Settings!$B$17&gt;0),IF(ISNUMBER(INDEX($Q:$Q,Settings!$B$17)),(Q699-INDEX($Q:$Q,Settings!$B$17))*100,NA()),NA())</f>
        <v/>
      </c>
      <c r="V699" s="20">
        <f>IF(AND(ISNUMBER(R699),Settings!$B$17&gt;0),IF(ISNUMBER(INDEX($R:$R,Settings!$B$17)),(R699-INDEX($R:$R,Settings!$B$17))*100,NA()),NA())</f>
        <v/>
      </c>
      <c r="W699" s="20">
        <f>IF(AND(ISNUMBER(P699),Settings!$B$17&gt;0),IF(ISNUMBER(INDEX($P:$P,Settings!$B$17)),P699-INDEX($P:$P,Settings!$B$17),NA()),NA())</f>
        <v/>
      </c>
      <c r="X699" s="19">
        <f>IF(NOT(ISNUMBER($A699)),NA(),IF(OR($A699&lt;MIN(DKW_10Y!$A$2:$A$2918),$A699&gt;MAX(DKW_10Y!$A$2:$A$2918),Settings!$B$16&lt;MIN(DKW_10Y!$A$2:$A$2918)),NA(),(INDEX(DKW_10Y!$B$2:$B$2918,MATCH($A699,DKW_10Y!$A$2:$A$2918,1))-INDEX(DKW_10Y!$B$2:$B$2918,MATCH(Settings!$B$16,DKW_10Y!$A$2:$A$2918,1)))*100))</f>
        <v/>
      </c>
      <c r="Y699" s="19">
        <f>IF(NOT(ISNUMBER($A699)),NA(),IF(OR($A699&lt;MIN(DKW_10Y!$A$2:$A$2918),$A699&gt;MAX(DKW_10Y!$A$2:$A$2918),Settings!$B$16&lt;MIN(DKW_10Y!$A$2:$A$2918)),NA(),(INDEX(DKW_10Y!$C$2:$C$2918,MATCH($A699,DKW_10Y!$A$2:$A$2918,1))-INDEX(DKW_10Y!$C$2:$C$2918,MATCH(Settings!$B$16,DKW_10Y!$A$2:$A$2918,1)))*100))</f>
        <v/>
      </c>
      <c r="Z699" s="19">
        <f>IF(NOT(ISNUMBER($A699)),NA(),IF(OR($A699&lt;MIN(DKW_10Y!$A$2:$A$2918),$A699&gt;MAX(DKW_10Y!$A$2:$A$2918),Settings!$B$16&lt;MIN(DKW_10Y!$A$2:$A$2918)),NA(),(INDEX(DKW_10Y!$D$2:$D$2918,MATCH($A699,DKW_10Y!$A$2:$A$2918,1))-INDEX(DKW_10Y!$D$2:$D$2918,MATCH(Settings!$B$16,DKW_10Y!$A$2:$A$2918,1)))*100))</f>
        <v/>
      </c>
      <c r="AA699" s="19">
        <f>IF(NOT(ISNUMBER($A699)),NA(),IF(OR($A699&lt;MIN(DKW_10Y!$A$2:$A$2918),$A699&gt;MAX(DKW_10Y!$A$2:$A$2918),Settings!$B$16&lt;MIN(DKW_10Y!$A$2:$A$2918)),NA(),(INDEX(DKW_10Y!$E$2:$E$2918,MATCH($A699,DKW_10Y!$A$2:$A$2918,1))-INDEX(DKW_10Y!$E$2:$E$2918,MATCH(Settings!$B$16,DKW_10Y!$A$2:$A$2918,1)))*100))</f>
        <v/>
      </c>
      <c r="AB699" s="19">
        <f>IF(NOT(ISNUMBER($A699)),NA(),IF(OR($A699&lt;MIN(DKW_10Y!$A$2:$A$2918),$A699&gt;MAX(DKW_10Y!$A$2:$A$2918),Settings!$B$16&lt;MIN(DKW_10Y!$A$2:$A$2918)),NA(),(INDEX(DKW_10Y!$H$2:$H$2918,MATCH($A699,DKW_10Y!$A$2:$A$2918,1))-INDEX(DKW_10Y!$H$2:$H$2918,MATCH(Settings!$B$16,DKW_10Y!$A$2:$A$2918,1)))*100))</f>
        <v/>
      </c>
      <c r="AC699" s="18">
        <f>IF(NOT(ISNUMBER($A699)),NA(),IFERROR(1*INDEX(BBG_Data!$N$2:$N$4000,MATCH($A699,BBG_Data!$M$2:$M$4000,0)),NA()))</f>
        <v/>
      </c>
      <c r="AD699" s="18">
        <f>IF(NOT(ISNUMBER($A699)),NA(),IFERROR(1*INDEX(BBG_Data!$P$2:$P$4000,MATCH($A699,BBG_Data!$O$2:$O$4000,0)),NA()))</f>
        <v/>
      </c>
      <c r="AE699" s="18">
        <f>IF(NOT(ISNUMBER($A699)),NA(),IFERROR(1*INDEX(BBG_Data!$R$2:$R$4000,MATCH($A699,BBG_Data!$Q$2:$Q$4000,0)),NA()))</f>
        <v/>
      </c>
      <c r="AF699" s="20">
        <f>IF(AND(ISNUMBER(B699),ISNUMBER(AC699)),(B699-AC699)*100,NA())</f>
        <v/>
      </c>
      <c r="AG699" s="20">
        <f>IF(AND(ISNUMBER(AE699),ISNUMBER(AD699)),(AE699-AD699)*100,NA())</f>
        <v/>
      </c>
      <c r="AH699" s="19">
        <f>IF(NOT(ISNUMBER($A699)),NA(),IFERROR(INDEX(BBG_Data!$T$2:$T$4000,MATCH($A699,BBG_Data!$S$2:$S$4000,0))*Settings!$B$25,NA()))</f>
        <v/>
      </c>
      <c r="AI699" s="19">
        <f>IF(NOT(ISNUMBER($A699)),NA(),IFERROR(INDEX(BBG_Data!$V$2:$V$4000,MATCH($A699,BBG_Data!$U$2:$U$4000,0))*Settings!$B$25,NA()))</f>
        <v/>
      </c>
      <c r="AJ699" s="19">
        <f>IF(NOT(ISNUMBER($A699)),NA(),IFERROR(1*INDEX(BBG_Data!$X$2:$X$4000,MATCH($A699,BBG_Data!$W$2:$W$4000,0)),NA()))</f>
        <v/>
      </c>
      <c r="AK699" s="19">
        <f>IF(NOT(ISNUMBER($A699)),NA(),IFERROR(1*INDEX(BBG_Data!$Z$2:$Z$4000,MATCH($A699,BBG_Data!$Y$2:$Y$4000,0)),NA()))</f>
        <v/>
      </c>
    </row>
    <row r="700">
      <c r="A700" s="17">
        <f>IF(ISNUMBER(BBG_Data!A700),BBG_Data!A700,"")</f>
        <v/>
      </c>
      <c r="B700" s="18">
        <f>IF(AND(ISNUMBER($A700),ISNUMBER(BBG_Data!B700)),BBG_Data!B700,NA())</f>
        <v/>
      </c>
      <c r="C700" s="18">
        <f>IF(NOT(ISNUMBER($A700)),NA(),IFERROR(1*INDEX(BBG_Data!$D$2:$D$4000,MATCH($A700,BBG_Data!$C$2:$C$4000,0)),NA()))</f>
        <v/>
      </c>
      <c r="D700" s="19">
        <f>IF(NOT(ISNUMBER($A700)),NA(),IFERROR(1*INDEX(BBG_Data!$F$2:$F$4000,MATCH($A700,BBG_Data!$E$2:$E$4000,0)),NA()))</f>
        <v/>
      </c>
      <c r="E700" s="19">
        <f>IF(NOT(ISNUMBER($A700)),NA(),IFERROR(1*INDEX(BBG_Data!$H$2:$H$4000,MATCH($A700,BBG_Data!$G$2:$G$4000,0)),NA()))</f>
        <v/>
      </c>
      <c r="F700" s="20">
        <f>IF(AND(ISNUMBER(B700),ISNUMBER(B699)),IF(B700=B699,"",(B700-B699)*100),"")</f>
        <v/>
      </c>
      <c r="G700" s="20">
        <f>IF(AND(ISNUMBER(C700),ISNUMBER(C699)),IF(C700=C699,"",(C700-C699)*100),"")</f>
        <v/>
      </c>
      <c r="H700" s="20">
        <f>IF(OR(NOT(ISNUMBER($A700)),ROW()-2&lt;Settings!$B$11),NA(),IF(COUNT(OFFSET(F700,1-Settings!$B$11,0,Settings!$B$11,1))&lt;ROUNDUP(Settings!$B$11*Settings!$B$26,0),NA(),STDEV(OFFSET(F700,1-Settings!$B$11,0,Settings!$B$11,1))*SQRT(Settings!$B$13)))</f>
        <v/>
      </c>
      <c r="I700" s="20">
        <f>IF(OR(NOT(ISNUMBER($A700)),ROW()-2&lt;Settings!$B$12),NA(),IF(COUNT(OFFSET(F700,1-Settings!$B$12,0,Settings!$B$12,1))&lt;ROUNDUP(Settings!$B$12*Settings!$B$26,0),NA(),STDEV(OFFSET(F700,1-Settings!$B$12,0,Settings!$B$12,1))*SQRT(Settings!$B$13)))</f>
        <v/>
      </c>
      <c r="J700" s="20">
        <f>IF(OR(NOT(ISNUMBER($A700)),ROW()-2&lt;Settings!$B$11),NA(),IF(COUNT(OFFSET(G700,1-Settings!$B$11,0,Settings!$B$11,1))&lt;ROUNDUP(Settings!$B$11*Settings!$B$26,0),NA(),STDEV(OFFSET(G700,1-Settings!$B$11,0,Settings!$B$11,1))*SQRT(Settings!$B$13)))</f>
        <v/>
      </c>
      <c r="K700" s="20">
        <f>IF(OR(NOT(ISNUMBER($A700)),ROW()-2&lt;Settings!$B$12),NA(),IF(COUNT(OFFSET(G700,1-Settings!$B$12,0,Settings!$B$12,1))&lt;ROUNDUP(Settings!$B$12*Settings!$B$26,0),NA(),STDEV(OFFSET(G700,1-Settings!$B$12,0,Settings!$B$12,1))*SQRT(Settings!$B$13)))</f>
        <v/>
      </c>
      <c r="L700" s="20">
        <f>IF(AND(ISNUMBER(D700),ISNUMBER(H700)),D700-H700,NA())</f>
        <v/>
      </c>
      <c r="M700" s="20">
        <f>IF(AND(ISNUMBER(E700),ISNUMBER(K700)),E700-K700,NA())</f>
        <v/>
      </c>
      <c r="N700" s="20">
        <f>IF(NOT(ISNUMBER($A700)),NA(),IF(COUNT(OFFSET(G700,1,0,Settings!$B$12,1))&lt;ROUNDUP(Settings!$B$12*Settings!$B$26,0),NA(),STDEV(OFFSET(G700,1,0,Settings!$B$12,1))*SQRT(Settings!$B$13)))</f>
        <v/>
      </c>
      <c r="O700" s="20">
        <f>IF(AND(ISNUMBER(E700),ISNUMBER(N700)),E700-N700,NA())</f>
        <v/>
      </c>
      <c r="P700" s="19">
        <f>IF(NOT(ISNUMBER($A700)),NA(),IF(OR($A700&lt;MIN(KW_TP!$A$2:$A$2501),$A700&gt;MAX(KW_TP!$A$2:$A$2501)),NA(),INDEX(KW_TP!$C$2:$C$2501,MATCH($A700,KW_TP!$A$2:$A$2501,1))))</f>
        <v/>
      </c>
      <c r="Q700" s="18">
        <f>IF(NOT(ISNUMBER($A700)),NA(),IFERROR(1*INDEX(BBG_Data!$J$2:$J$4000,MATCH($A700,BBG_Data!$I$2:$I$4000,0)),NA()))</f>
        <v/>
      </c>
      <c r="R700" s="18">
        <f>IF(NOT(ISNUMBER($A700)),NA(),IFERROR(1*INDEX(BBG_Data!$L$2:$L$4000,MATCH($A700,BBG_Data!$K$2:$K$4000,0)),NA()))</f>
        <v/>
      </c>
      <c r="S700" s="20">
        <f>IF(AND(ISNUMBER(B700),ISNUMBER(Q700),ISNUMBER(R700)),(B700-Q700-R700)*100,NA())</f>
        <v/>
      </c>
      <c r="T700" s="20">
        <f>IF(AND(ISNUMBER(B700),Settings!$B$17&gt;0),IF(ISNUMBER(INDEX($B:$B,Settings!$B$17)),(B700-INDEX($B:$B,Settings!$B$17))*100,NA()),NA())</f>
        <v/>
      </c>
      <c r="U700" s="20">
        <f>IF(AND(ISNUMBER(Q700),Settings!$B$17&gt;0),IF(ISNUMBER(INDEX($Q:$Q,Settings!$B$17)),(Q700-INDEX($Q:$Q,Settings!$B$17))*100,NA()),NA())</f>
        <v/>
      </c>
      <c r="V700" s="20">
        <f>IF(AND(ISNUMBER(R700),Settings!$B$17&gt;0),IF(ISNUMBER(INDEX($R:$R,Settings!$B$17)),(R700-INDEX($R:$R,Settings!$B$17))*100,NA()),NA())</f>
        <v/>
      </c>
      <c r="W700" s="20">
        <f>IF(AND(ISNUMBER(P700),Settings!$B$17&gt;0),IF(ISNUMBER(INDEX($P:$P,Settings!$B$17)),P700-INDEX($P:$P,Settings!$B$17),NA()),NA())</f>
        <v/>
      </c>
      <c r="X700" s="19">
        <f>IF(NOT(ISNUMBER($A700)),NA(),IF(OR($A700&lt;MIN(DKW_10Y!$A$2:$A$2918),$A700&gt;MAX(DKW_10Y!$A$2:$A$2918),Settings!$B$16&lt;MIN(DKW_10Y!$A$2:$A$2918)),NA(),(INDEX(DKW_10Y!$B$2:$B$2918,MATCH($A700,DKW_10Y!$A$2:$A$2918,1))-INDEX(DKW_10Y!$B$2:$B$2918,MATCH(Settings!$B$16,DKW_10Y!$A$2:$A$2918,1)))*100))</f>
        <v/>
      </c>
      <c r="Y700" s="19">
        <f>IF(NOT(ISNUMBER($A700)),NA(),IF(OR($A700&lt;MIN(DKW_10Y!$A$2:$A$2918),$A700&gt;MAX(DKW_10Y!$A$2:$A$2918),Settings!$B$16&lt;MIN(DKW_10Y!$A$2:$A$2918)),NA(),(INDEX(DKW_10Y!$C$2:$C$2918,MATCH($A700,DKW_10Y!$A$2:$A$2918,1))-INDEX(DKW_10Y!$C$2:$C$2918,MATCH(Settings!$B$16,DKW_10Y!$A$2:$A$2918,1)))*100))</f>
        <v/>
      </c>
      <c r="Z700" s="19">
        <f>IF(NOT(ISNUMBER($A700)),NA(),IF(OR($A700&lt;MIN(DKW_10Y!$A$2:$A$2918),$A700&gt;MAX(DKW_10Y!$A$2:$A$2918),Settings!$B$16&lt;MIN(DKW_10Y!$A$2:$A$2918)),NA(),(INDEX(DKW_10Y!$D$2:$D$2918,MATCH($A700,DKW_10Y!$A$2:$A$2918,1))-INDEX(DKW_10Y!$D$2:$D$2918,MATCH(Settings!$B$16,DKW_10Y!$A$2:$A$2918,1)))*100))</f>
        <v/>
      </c>
      <c r="AA700" s="19">
        <f>IF(NOT(ISNUMBER($A700)),NA(),IF(OR($A700&lt;MIN(DKW_10Y!$A$2:$A$2918),$A700&gt;MAX(DKW_10Y!$A$2:$A$2918),Settings!$B$16&lt;MIN(DKW_10Y!$A$2:$A$2918)),NA(),(INDEX(DKW_10Y!$E$2:$E$2918,MATCH($A700,DKW_10Y!$A$2:$A$2918,1))-INDEX(DKW_10Y!$E$2:$E$2918,MATCH(Settings!$B$16,DKW_10Y!$A$2:$A$2918,1)))*100))</f>
        <v/>
      </c>
      <c r="AB700" s="19">
        <f>IF(NOT(ISNUMBER($A700)),NA(),IF(OR($A700&lt;MIN(DKW_10Y!$A$2:$A$2918),$A700&gt;MAX(DKW_10Y!$A$2:$A$2918),Settings!$B$16&lt;MIN(DKW_10Y!$A$2:$A$2918)),NA(),(INDEX(DKW_10Y!$H$2:$H$2918,MATCH($A700,DKW_10Y!$A$2:$A$2918,1))-INDEX(DKW_10Y!$H$2:$H$2918,MATCH(Settings!$B$16,DKW_10Y!$A$2:$A$2918,1)))*100))</f>
        <v/>
      </c>
      <c r="AC700" s="18">
        <f>IF(NOT(ISNUMBER($A700)),NA(),IFERROR(1*INDEX(BBG_Data!$N$2:$N$4000,MATCH($A700,BBG_Data!$M$2:$M$4000,0)),NA()))</f>
        <v/>
      </c>
      <c r="AD700" s="18">
        <f>IF(NOT(ISNUMBER($A700)),NA(),IFERROR(1*INDEX(BBG_Data!$P$2:$P$4000,MATCH($A700,BBG_Data!$O$2:$O$4000,0)),NA()))</f>
        <v/>
      </c>
      <c r="AE700" s="18">
        <f>IF(NOT(ISNUMBER($A700)),NA(),IFERROR(1*INDEX(BBG_Data!$R$2:$R$4000,MATCH($A700,BBG_Data!$Q$2:$Q$4000,0)),NA()))</f>
        <v/>
      </c>
      <c r="AF700" s="20">
        <f>IF(AND(ISNUMBER(B700),ISNUMBER(AC700)),(B700-AC700)*100,NA())</f>
        <v/>
      </c>
      <c r="AG700" s="20">
        <f>IF(AND(ISNUMBER(AE700),ISNUMBER(AD700)),(AE700-AD700)*100,NA())</f>
        <v/>
      </c>
      <c r="AH700" s="19">
        <f>IF(NOT(ISNUMBER($A700)),NA(),IFERROR(INDEX(BBG_Data!$T$2:$T$4000,MATCH($A700,BBG_Data!$S$2:$S$4000,0))*Settings!$B$25,NA()))</f>
        <v/>
      </c>
      <c r="AI700" s="19">
        <f>IF(NOT(ISNUMBER($A700)),NA(),IFERROR(INDEX(BBG_Data!$V$2:$V$4000,MATCH($A700,BBG_Data!$U$2:$U$4000,0))*Settings!$B$25,NA()))</f>
        <v/>
      </c>
      <c r="AJ700" s="19">
        <f>IF(NOT(ISNUMBER($A700)),NA(),IFERROR(1*INDEX(BBG_Data!$X$2:$X$4000,MATCH($A700,BBG_Data!$W$2:$W$4000,0)),NA()))</f>
        <v/>
      </c>
      <c r="AK700" s="19">
        <f>IF(NOT(ISNUMBER($A700)),NA(),IFERROR(1*INDEX(BBG_Data!$Z$2:$Z$4000,MATCH($A700,BBG_Data!$Y$2:$Y$4000,0)),NA()))</f>
        <v/>
      </c>
    </row>
    <row r="701">
      <c r="A701" s="17">
        <f>IF(ISNUMBER(BBG_Data!A701),BBG_Data!A701,"")</f>
        <v/>
      </c>
      <c r="B701" s="18">
        <f>IF(AND(ISNUMBER($A701),ISNUMBER(BBG_Data!B701)),BBG_Data!B701,NA())</f>
        <v/>
      </c>
      <c r="C701" s="18">
        <f>IF(NOT(ISNUMBER($A701)),NA(),IFERROR(1*INDEX(BBG_Data!$D$2:$D$4000,MATCH($A701,BBG_Data!$C$2:$C$4000,0)),NA()))</f>
        <v/>
      </c>
      <c r="D701" s="19">
        <f>IF(NOT(ISNUMBER($A701)),NA(),IFERROR(1*INDEX(BBG_Data!$F$2:$F$4000,MATCH($A701,BBG_Data!$E$2:$E$4000,0)),NA()))</f>
        <v/>
      </c>
      <c r="E701" s="19">
        <f>IF(NOT(ISNUMBER($A701)),NA(),IFERROR(1*INDEX(BBG_Data!$H$2:$H$4000,MATCH($A701,BBG_Data!$G$2:$G$4000,0)),NA()))</f>
        <v/>
      </c>
      <c r="F701" s="20">
        <f>IF(AND(ISNUMBER(B701),ISNUMBER(B700)),IF(B701=B700,"",(B701-B700)*100),"")</f>
        <v/>
      </c>
      <c r="G701" s="20">
        <f>IF(AND(ISNUMBER(C701),ISNUMBER(C700)),IF(C701=C700,"",(C701-C700)*100),"")</f>
        <v/>
      </c>
      <c r="H701" s="20">
        <f>IF(OR(NOT(ISNUMBER($A701)),ROW()-2&lt;Settings!$B$11),NA(),IF(COUNT(OFFSET(F701,1-Settings!$B$11,0,Settings!$B$11,1))&lt;ROUNDUP(Settings!$B$11*Settings!$B$26,0),NA(),STDEV(OFFSET(F701,1-Settings!$B$11,0,Settings!$B$11,1))*SQRT(Settings!$B$13)))</f>
        <v/>
      </c>
      <c r="I701" s="20">
        <f>IF(OR(NOT(ISNUMBER($A701)),ROW()-2&lt;Settings!$B$12),NA(),IF(COUNT(OFFSET(F701,1-Settings!$B$12,0,Settings!$B$12,1))&lt;ROUNDUP(Settings!$B$12*Settings!$B$26,0),NA(),STDEV(OFFSET(F701,1-Settings!$B$12,0,Settings!$B$12,1))*SQRT(Settings!$B$13)))</f>
        <v/>
      </c>
      <c r="J701" s="20">
        <f>IF(OR(NOT(ISNUMBER($A701)),ROW()-2&lt;Settings!$B$11),NA(),IF(COUNT(OFFSET(G701,1-Settings!$B$11,0,Settings!$B$11,1))&lt;ROUNDUP(Settings!$B$11*Settings!$B$26,0),NA(),STDEV(OFFSET(G701,1-Settings!$B$11,0,Settings!$B$11,1))*SQRT(Settings!$B$13)))</f>
        <v/>
      </c>
      <c r="K701" s="20">
        <f>IF(OR(NOT(ISNUMBER($A701)),ROW()-2&lt;Settings!$B$12),NA(),IF(COUNT(OFFSET(G701,1-Settings!$B$12,0,Settings!$B$12,1))&lt;ROUNDUP(Settings!$B$12*Settings!$B$26,0),NA(),STDEV(OFFSET(G701,1-Settings!$B$12,0,Settings!$B$12,1))*SQRT(Settings!$B$13)))</f>
        <v/>
      </c>
      <c r="L701" s="20">
        <f>IF(AND(ISNUMBER(D701),ISNUMBER(H701)),D701-H701,NA())</f>
        <v/>
      </c>
      <c r="M701" s="20">
        <f>IF(AND(ISNUMBER(E701),ISNUMBER(K701)),E701-K701,NA())</f>
        <v/>
      </c>
      <c r="N701" s="20">
        <f>IF(NOT(ISNUMBER($A701)),NA(),IF(COUNT(OFFSET(G701,1,0,Settings!$B$12,1))&lt;ROUNDUP(Settings!$B$12*Settings!$B$26,0),NA(),STDEV(OFFSET(G701,1,0,Settings!$B$12,1))*SQRT(Settings!$B$13)))</f>
        <v/>
      </c>
      <c r="O701" s="20">
        <f>IF(AND(ISNUMBER(E701),ISNUMBER(N701)),E701-N701,NA())</f>
        <v/>
      </c>
      <c r="P701" s="19">
        <f>IF(NOT(ISNUMBER($A701)),NA(),IF(OR($A701&lt;MIN(KW_TP!$A$2:$A$2501),$A701&gt;MAX(KW_TP!$A$2:$A$2501)),NA(),INDEX(KW_TP!$C$2:$C$2501,MATCH($A701,KW_TP!$A$2:$A$2501,1))))</f>
        <v/>
      </c>
      <c r="Q701" s="18">
        <f>IF(NOT(ISNUMBER($A701)),NA(),IFERROR(1*INDEX(BBG_Data!$J$2:$J$4000,MATCH($A701,BBG_Data!$I$2:$I$4000,0)),NA()))</f>
        <v/>
      </c>
      <c r="R701" s="18">
        <f>IF(NOT(ISNUMBER($A701)),NA(),IFERROR(1*INDEX(BBG_Data!$L$2:$L$4000,MATCH($A701,BBG_Data!$K$2:$K$4000,0)),NA()))</f>
        <v/>
      </c>
      <c r="S701" s="20">
        <f>IF(AND(ISNUMBER(B701),ISNUMBER(Q701),ISNUMBER(R701)),(B701-Q701-R701)*100,NA())</f>
        <v/>
      </c>
      <c r="T701" s="20">
        <f>IF(AND(ISNUMBER(B701),Settings!$B$17&gt;0),IF(ISNUMBER(INDEX($B:$B,Settings!$B$17)),(B701-INDEX($B:$B,Settings!$B$17))*100,NA()),NA())</f>
        <v/>
      </c>
      <c r="U701" s="20">
        <f>IF(AND(ISNUMBER(Q701),Settings!$B$17&gt;0),IF(ISNUMBER(INDEX($Q:$Q,Settings!$B$17)),(Q701-INDEX($Q:$Q,Settings!$B$17))*100,NA()),NA())</f>
        <v/>
      </c>
      <c r="V701" s="20">
        <f>IF(AND(ISNUMBER(R701),Settings!$B$17&gt;0),IF(ISNUMBER(INDEX($R:$R,Settings!$B$17)),(R701-INDEX($R:$R,Settings!$B$17))*100,NA()),NA())</f>
        <v/>
      </c>
      <c r="W701" s="20">
        <f>IF(AND(ISNUMBER(P701),Settings!$B$17&gt;0),IF(ISNUMBER(INDEX($P:$P,Settings!$B$17)),P701-INDEX($P:$P,Settings!$B$17),NA()),NA())</f>
        <v/>
      </c>
      <c r="X701" s="19">
        <f>IF(NOT(ISNUMBER($A701)),NA(),IF(OR($A701&lt;MIN(DKW_10Y!$A$2:$A$2918),$A701&gt;MAX(DKW_10Y!$A$2:$A$2918),Settings!$B$16&lt;MIN(DKW_10Y!$A$2:$A$2918)),NA(),(INDEX(DKW_10Y!$B$2:$B$2918,MATCH($A701,DKW_10Y!$A$2:$A$2918,1))-INDEX(DKW_10Y!$B$2:$B$2918,MATCH(Settings!$B$16,DKW_10Y!$A$2:$A$2918,1)))*100))</f>
        <v/>
      </c>
      <c r="Y701" s="19">
        <f>IF(NOT(ISNUMBER($A701)),NA(),IF(OR($A701&lt;MIN(DKW_10Y!$A$2:$A$2918),$A701&gt;MAX(DKW_10Y!$A$2:$A$2918),Settings!$B$16&lt;MIN(DKW_10Y!$A$2:$A$2918)),NA(),(INDEX(DKW_10Y!$C$2:$C$2918,MATCH($A701,DKW_10Y!$A$2:$A$2918,1))-INDEX(DKW_10Y!$C$2:$C$2918,MATCH(Settings!$B$16,DKW_10Y!$A$2:$A$2918,1)))*100))</f>
        <v/>
      </c>
      <c r="Z701" s="19">
        <f>IF(NOT(ISNUMBER($A701)),NA(),IF(OR($A701&lt;MIN(DKW_10Y!$A$2:$A$2918),$A701&gt;MAX(DKW_10Y!$A$2:$A$2918),Settings!$B$16&lt;MIN(DKW_10Y!$A$2:$A$2918)),NA(),(INDEX(DKW_10Y!$D$2:$D$2918,MATCH($A701,DKW_10Y!$A$2:$A$2918,1))-INDEX(DKW_10Y!$D$2:$D$2918,MATCH(Settings!$B$16,DKW_10Y!$A$2:$A$2918,1)))*100))</f>
        <v/>
      </c>
      <c r="AA701" s="19">
        <f>IF(NOT(ISNUMBER($A701)),NA(),IF(OR($A701&lt;MIN(DKW_10Y!$A$2:$A$2918),$A701&gt;MAX(DKW_10Y!$A$2:$A$2918),Settings!$B$16&lt;MIN(DKW_10Y!$A$2:$A$2918)),NA(),(INDEX(DKW_10Y!$E$2:$E$2918,MATCH($A701,DKW_10Y!$A$2:$A$2918,1))-INDEX(DKW_10Y!$E$2:$E$2918,MATCH(Settings!$B$16,DKW_10Y!$A$2:$A$2918,1)))*100))</f>
        <v/>
      </c>
      <c r="AB701" s="19">
        <f>IF(NOT(ISNUMBER($A701)),NA(),IF(OR($A701&lt;MIN(DKW_10Y!$A$2:$A$2918),$A701&gt;MAX(DKW_10Y!$A$2:$A$2918),Settings!$B$16&lt;MIN(DKW_10Y!$A$2:$A$2918)),NA(),(INDEX(DKW_10Y!$H$2:$H$2918,MATCH($A701,DKW_10Y!$A$2:$A$2918,1))-INDEX(DKW_10Y!$H$2:$H$2918,MATCH(Settings!$B$16,DKW_10Y!$A$2:$A$2918,1)))*100))</f>
        <v/>
      </c>
      <c r="AC701" s="18">
        <f>IF(NOT(ISNUMBER($A701)),NA(),IFERROR(1*INDEX(BBG_Data!$N$2:$N$4000,MATCH($A701,BBG_Data!$M$2:$M$4000,0)),NA()))</f>
        <v/>
      </c>
      <c r="AD701" s="18">
        <f>IF(NOT(ISNUMBER($A701)),NA(),IFERROR(1*INDEX(BBG_Data!$P$2:$P$4000,MATCH($A701,BBG_Data!$O$2:$O$4000,0)),NA()))</f>
        <v/>
      </c>
      <c r="AE701" s="18">
        <f>IF(NOT(ISNUMBER($A701)),NA(),IFERROR(1*INDEX(BBG_Data!$R$2:$R$4000,MATCH($A701,BBG_Data!$Q$2:$Q$4000,0)),NA()))</f>
        <v/>
      </c>
      <c r="AF701" s="20">
        <f>IF(AND(ISNUMBER(B701),ISNUMBER(AC701)),(B701-AC701)*100,NA())</f>
        <v/>
      </c>
      <c r="AG701" s="20">
        <f>IF(AND(ISNUMBER(AE701),ISNUMBER(AD701)),(AE701-AD701)*100,NA())</f>
        <v/>
      </c>
      <c r="AH701" s="19">
        <f>IF(NOT(ISNUMBER($A701)),NA(),IFERROR(INDEX(BBG_Data!$T$2:$T$4000,MATCH($A701,BBG_Data!$S$2:$S$4000,0))*Settings!$B$25,NA()))</f>
        <v/>
      </c>
      <c r="AI701" s="19">
        <f>IF(NOT(ISNUMBER($A701)),NA(),IFERROR(INDEX(BBG_Data!$V$2:$V$4000,MATCH($A701,BBG_Data!$U$2:$U$4000,0))*Settings!$B$25,NA()))</f>
        <v/>
      </c>
      <c r="AJ701" s="19">
        <f>IF(NOT(ISNUMBER($A701)),NA(),IFERROR(1*INDEX(BBG_Data!$X$2:$X$4000,MATCH($A701,BBG_Data!$W$2:$W$4000,0)),NA()))</f>
        <v/>
      </c>
      <c r="AK701" s="19">
        <f>IF(NOT(ISNUMBER($A701)),NA(),IFERROR(1*INDEX(BBG_Data!$Z$2:$Z$4000,MATCH($A701,BBG_Data!$Y$2:$Y$4000,0)),NA()))</f>
        <v/>
      </c>
    </row>
    <row r="702">
      <c r="A702" s="17">
        <f>IF(ISNUMBER(BBG_Data!A702),BBG_Data!A702,"")</f>
        <v/>
      </c>
      <c r="B702" s="18">
        <f>IF(AND(ISNUMBER($A702),ISNUMBER(BBG_Data!B702)),BBG_Data!B702,NA())</f>
        <v/>
      </c>
      <c r="C702" s="18">
        <f>IF(NOT(ISNUMBER($A702)),NA(),IFERROR(1*INDEX(BBG_Data!$D$2:$D$4000,MATCH($A702,BBG_Data!$C$2:$C$4000,0)),NA()))</f>
        <v/>
      </c>
      <c r="D702" s="19">
        <f>IF(NOT(ISNUMBER($A702)),NA(),IFERROR(1*INDEX(BBG_Data!$F$2:$F$4000,MATCH($A702,BBG_Data!$E$2:$E$4000,0)),NA()))</f>
        <v/>
      </c>
      <c r="E702" s="19">
        <f>IF(NOT(ISNUMBER($A702)),NA(),IFERROR(1*INDEX(BBG_Data!$H$2:$H$4000,MATCH($A702,BBG_Data!$G$2:$G$4000,0)),NA()))</f>
        <v/>
      </c>
      <c r="F702" s="20">
        <f>IF(AND(ISNUMBER(B702),ISNUMBER(B701)),IF(B702=B701,"",(B702-B701)*100),"")</f>
        <v/>
      </c>
      <c r="G702" s="20">
        <f>IF(AND(ISNUMBER(C702),ISNUMBER(C701)),IF(C702=C701,"",(C702-C701)*100),"")</f>
        <v/>
      </c>
      <c r="H702" s="20">
        <f>IF(OR(NOT(ISNUMBER($A702)),ROW()-2&lt;Settings!$B$11),NA(),IF(COUNT(OFFSET(F702,1-Settings!$B$11,0,Settings!$B$11,1))&lt;ROUNDUP(Settings!$B$11*Settings!$B$26,0),NA(),STDEV(OFFSET(F702,1-Settings!$B$11,0,Settings!$B$11,1))*SQRT(Settings!$B$13)))</f>
        <v/>
      </c>
      <c r="I702" s="20">
        <f>IF(OR(NOT(ISNUMBER($A702)),ROW()-2&lt;Settings!$B$12),NA(),IF(COUNT(OFFSET(F702,1-Settings!$B$12,0,Settings!$B$12,1))&lt;ROUNDUP(Settings!$B$12*Settings!$B$26,0),NA(),STDEV(OFFSET(F702,1-Settings!$B$12,0,Settings!$B$12,1))*SQRT(Settings!$B$13)))</f>
        <v/>
      </c>
      <c r="J702" s="20">
        <f>IF(OR(NOT(ISNUMBER($A702)),ROW()-2&lt;Settings!$B$11),NA(),IF(COUNT(OFFSET(G702,1-Settings!$B$11,0,Settings!$B$11,1))&lt;ROUNDUP(Settings!$B$11*Settings!$B$26,0),NA(),STDEV(OFFSET(G702,1-Settings!$B$11,0,Settings!$B$11,1))*SQRT(Settings!$B$13)))</f>
        <v/>
      </c>
      <c r="K702" s="20">
        <f>IF(OR(NOT(ISNUMBER($A702)),ROW()-2&lt;Settings!$B$12),NA(),IF(COUNT(OFFSET(G702,1-Settings!$B$12,0,Settings!$B$12,1))&lt;ROUNDUP(Settings!$B$12*Settings!$B$26,0),NA(),STDEV(OFFSET(G702,1-Settings!$B$12,0,Settings!$B$12,1))*SQRT(Settings!$B$13)))</f>
        <v/>
      </c>
      <c r="L702" s="20">
        <f>IF(AND(ISNUMBER(D702),ISNUMBER(H702)),D702-H702,NA())</f>
        <v/>
      </c>
      <c r="M702" s="20">
        <f>IF(AND(ISNUMBER(E702),ISNUMBER(K702)),E702-K702,NA())</f>
        <v/>
      </c>
      <c r="N702" s="20">
        <f>IF(NOT(ISNUMBER($A702)),NA(),IF(COUNT(OFFSET(G702,1,0,Settings!$B$12,1))&lt;ROUNDUP(Settings!$B$12*Settings!$B$26,0),NA(),STDEV(OFFSET(G702,1,0,Settings!$B$12,1))*SQRT(Settings!$B$13)))</f>
        <v/>
      </c>
      <c r="O702" s="20">
        <f>IF(AND(ISNUMBER(E702),ISNUMBER(N702)),E702-N702,NA())</f>
        <v/>
      </c>
      <c r="P702" s="19">
        <f>IF(NOT(ISNUMBER($A702)),NA(),IF(OR($A702&lt;MIN(KW_TP!$A$2:$A$2501),$A702&gt;MAX(KW_TP!$A$2:$A$2501)),NA(),INDEX(KW_TP!$C$2:$C$2501,MATCH($A702,KW_TP!$A$2:$A$2501,1))))</f>
        <v/>
      </c>
      <c r="Q702" s="18">
        <f>IF(NOT(ISNUMBER($A702)),NA(),IFERROR(1*INDEX(BBG_Data!$J$2:$J$4000,MATCH($A702,BBG_Data!$I$2:$I$4000,0)),NA()))</f>
        <v/>
      </c>
      <c r="R702" s="18">
        <f>IF(NOT(ISNUMBER($A702)),NA(),IFERROR(1*INDEX(BBG_Data!$L$2:$L$4000,MATCH($A702,BBG_Data!$K$2:$K$4000,0)),NA()))</f>
        <v/>
      </c>
      <c r="S702" s="20">
        <f>IF(AND(ISNUMBER(B702),ISNUMBER(Q702),ISNUMBER(R702)),(B702-Q702-R702)*100,NA())</f>
        <v/>
      </c>
      <c r="T702" s="20">
        <f>IF(AND(ISNUMBER(B702),Settings!$B$17&gt;0),IF(ISNUMBER(INDEX($B:$B,Settings!$B$17)),(B702-INDEX($B:$B,Settings!$B$17))*100,NA()),NA())</f>
        <v/>
      </c>
      <c r="U702" s="20">
        <f>IF(AND(ISNUMBER(Q702),Settings!$B$17&gt;0),IF(ISNUMBER(INDEX($Q:$Q,Settings!$B$17)),(Q702-INDEX($Q:$Q,Settings!$B$17))*100,NA()),NA())</f>
        <v/>
      </c>
      <c r="V702" s="20">
        <f>IF(AND(ISNUMBER(R702),Settings!$B$17&gt;0),IF(ISNUMBER(INDEX($R:$R,Settings!$B$17)),(R702-INDEX($R:$R,Settings!$B$17))*100,NA()),NA())</f>
        <v/>
      </c>
      <c r="W702" s="20">
        <f>IF(AND(ISNUMBER(P702),Settings!$B$17&gt;0),IF(ISNUMBER(INDEX($P:$P,Settings!$B$17)),P702-INDEX($P:$P,Settings!$B$17),NA()),NA())</f>
        <v/>
      </c>
      <c r="X702" s="19">
        <f>IF(NOT(ISNUMBER($A702)),NA(),IF(OR($A702&lt;MIN(DKW_10Y!$A$2:$A$2918),$A702&gt;MAX(DKW_10Y!$A$2:$A$2918),Settings!$B$16&lt;MIN(DKW_10Y!$A$2:$A$2918)),NA(),(INDEX(DKW_10Y!$B$2:$B$2918,MATCH($A702,DKW_10Y!$A$2:$A$2918,1))-INDEX(DKW_10Y!$B$2:$B$2918,MATCH(Settings!$B$16,DKW_10Y!$A$2:$A$2918,1)))*100))</f>
        <v/>
      </c>
      <c r="Y702" s="19">
        <f>IF(NOT(ISNUMBER($A702)),NA(),IF(OR($A702&lt;MIN(DKW_10Y!$A$2:$A$2918),$A702&gt;MAX(DKW_10Y!$A$2:$A$2918),Settings!$B$16&lt;MIN(DKW_10Y!$A$2:$A$2918)),NA(),(INDEX(DKW_10Y!$C$2:$C$2918,MATCH($A702,DKW_10Y!$A$2:$A$2918,1))-INDEX(DKW_10Y!$C$2:$C$2918,MATCH(Settings!$B$16,DKW_10Y!$A$2:$A$2918,1)))*100))</f>
        <v/>
      </c>
      <c r="Z702" s="19">
        <f>IF(NOT(ISNUMBER($A702)),NA(),IF(OR($A702&lt;MIN(DKW_10Y!$A$2:$A$2918),$A702&gt;MAX(DKW_10Y!$A$2:$A$2918),Settings!$B$16&lt;MIN(DKW_10Y!$A$2:$A$2918)),NA(),(INDEX(DKW_10Y!$D$2:$D$2918,MATCH($A702,DKW_10Y!$A$2:$A$2918,1))-INDEX(DKW_10Y!$D$2:$D$2918,MATCH(Settings!$B$16,DKW_10Y!$A$2:$A$2918,1)))*100))</f>
        <v/>
      </c>
      <c r="AA702" s="19">
        <f>IF(NOT(ISNUMBER($A702)),NA(),IF(OR($A702&lt;MIN(DKW_10Y!$A$2:$A$2918),$A702&gt;MAX(DKW_10Y!$A$2:$A$2918),Settings!$B$16&lt;MIN(DKW_10Y!$A$2:$A$2918)),NA(),(INDEX(DKW_10Y!$E$2:$E$2918,MATCH($A702,DKW_10Y!$A$2:$A$2918,1))-INDEX(DKW_10Y!$E$2:$E$2918,MATCH(Settings!$B$16,DKW_10Y!$A$2:$A$2918,1)))*100))</f>
        <v/>
      </c>
      <c r="AB702" s="19">
        <f>IF(NOT(ISNUMBER($A702)),NA(),IF(OR($A702&lt;MIN(DKW_10Y!$A$2:$A$2918),$A702&gt;MAX(DKW_10Y!$A$2:$A$2918),Settings!$B$16&lt;MIN(DKW_10Y!$A$2:$A$2918)),NA(),(INDEX(DKW_10Y!$H$2:$H$2918,MATCH($A702,DKW_10Y!$A$2:$A$2918,1))-INDEX(DKW_10Y!$H$2:$H$2918,MATCH(Settings!$B$16,DKW_10Y!$A$2:$A$2918,1)))*100))</f>
        <v/>
      </c>
      <c r="AC702" s="18">
        <f>IF(NOT(ISNUMBER($A702)),NA(),IFERROR(1*INDEX(BBG_Data!$N$2:$N$4000,MATCH($A702,BBG_Data!$M$2:$M$4000,0)),NA()))</f>
        <v/>
      </c>
      <c r="AD702" s="18">
        <f>IF(NOT(ISNUMBER($A702)),NA(),IFERROR(1*INDEX(BBG_Data!$P$2:$P$4000,MATCH($A702,BBG_Data!$O$2:$O$4000,0)),NA()))</f>
        <v/>
      </c>
      <c r="AE702" s="18">
        <f>IF(NOT(ISNUMBER($A702)),NA(),IFERROR(1*INDEX(BBG_Data!$R$2:$R$4000,MATCH($A702,BBG_Data!$Q$2:$Q$4000,0)),NA()))</f>
        <v/>
      </c>
      <c r="AF702" s="20">
        <f>IF(AND(ISNUMBER(B702),ISNUMBER(AC702)),(B702-AC702)*100,NA())</f>
        <v/>
      </c>
      <c r="AG702" s="20">
        <f>IF(AND(ISNUMBER(AE702),ISNUMBER(AD702)),(AE702-AD702)*100,NA())</f>
        <v/>
      </c>
      <c r="AH702" s="19">
        <f>IF(NOT(ISNUMBER($A702)),NA(),IFERROR(INDEX(BBG_Data!$T$2:$T$4000,MATCH($A702,BBG_Data!$S$2:$S$4000,0))*Settings!$B$25,NA()))</f>
        <v/>
      </c>
      <c r="AI702" s="19">
        <f>IF(NOT(ISNUMBER($A702)),NA(),IFERROR(INDEX(BBG_Data!$V$2:$V$4000,MATCH($A702,BBG_Data!$U$2:$U$4000,0))*Settings!$B$25,NA()))</f>
        <v/>
      </c>
      <c r="AJ702" s="19">
        <f>IF(NOT(ISNUMBER($A702)),NA(),IFERROR(1*INDEX(BBG_Data!$X$2:$X$4000,MATCH($A702,BBG_Data!$W$2:$W$4000,0)),NA()))</f>
        <v/>
      </c>
      <c r="AK702" s="19">
        <f>IF(NOT(ISNUMBER($A702)),NA(),IFERROR(1*INDEX(BBG_Data!$Z$2:$Z$4000,MATCH($A702,BBG_Data!$Y$2:$Y$4000,0)),NA()))</f>
        <v/>
      </c>
    </row>
    <row r="703">
      <c r="A703" s="17">
        <f>IF(ISNUMBER(BBG_Data!A703),BBG_Data!A703,"")</f>
        <v/>
      </c>
      <c r="B703" s="18">
        <f>IF(AND(ISNUMBER($A703),ISNUMBER(BBG_Data!B703)),BBG_Data!B703,NA())</f>
        <v/>
      </c>
      <c r="C703" s="18">
        <f>IF(NOT(ISNUMBER($A703)),NA(),IFERROR(1*INDEX(BBG_Data!$D$2:$D$4000,MATCH($A703,BBG_Data!$C$2:$C$4000,0)),NA()))</f>
        <v/>
      </c>
      <c r="D703" s="19">
        <f>IF(NOT(ISNUMBER($A703)),NA(),IFERROR(1*INDEX(BBG_Data!$F$2:$F$4000,MATCH($A703,BBG_Data!$E$2:$E$4000,0)),NA()))</f>
        <v/>
      </c>
      <c r="E703" s="19">
        <f>IF(NOT(ISNUMBER($A703)),NA(),IFERROR(1*INDEX(BBG_Data!$H$2:$H$4000,MATCH($A703,BBG_Data!$G$2:$G$4000,0)),NA()))</f>
        <v/>
      </c>
      <c r="F703" s="20">
        <f>IF(AND(ISNUMBER(B703),ISNUMBER(B702)),IF(B703=B702,"",(B703-B702)*100),"")</f>
        <v/>
      </c>
      <c r="G703" s="20">
        <f>IF(AND(ISNUMBER(C703),ISNUMBER(C702)),IF(C703=C702,"",(C703-C702)*100),"")</f>
        <v/>
      </c>
      <c r="H703" s="20">
        <f>IF(OR(NOT(ISNUMBER($A703)),ROW()-2&lt;Settings!$B$11),NA(),IF(COUNT(OFFSET(F703,1-Settings!$B$11,0,Settings!$B$11,1))&lt;ROUNDUP(Settings!$B$11*Settings!$B$26,0),NA(),STDEV(OFFSET(F703,1-Settings!$B$11,0,Settings!$B$11,1))*SQRT(Settings!$B$13)))</f>
        <v/>
      </c>
      <c r="I703" s="20">
        <f>IF(OR(NOT(ISNUMBER($A703)),ROW()-2&lt;Settings!$B$12),NA(),IF(COUNT(OFFSET(F703,1-Settings!$B$12,0,Settings!$B$12,1))&lt;ROUNDUP(Settings!$B$12*Settings!$B$26,0),NA(),STDEV(OFFSET(F703,1-Settings!$B$12,0,Settings!$B$12,1))*SQRT(Settings!$B$13)))</f>
        <v/>
      </c>
      <c r="J703" s="20">
        <f>IF(OR(NOT(ISNUMBER($A703)),ROW()-2&lt;Settings!$B$11),NA(),IF(COUNT(OFFSET(G703,1-Settings!$B$11,0,Settings!$B$11,1))&lt;ROUNDUP(Settings!$B$11*Settings!$B$26,0),NA(),STDEV(OFFSET(G703,1-Settings!$B$11,0,Settings!$B$11,1))*SQRT(Settings!$B$13)))</f>
        <v/>
      </c>
      <c r="K703" s="20">
        <f>IF(OR(NOT(ISNUMBER($A703)),ROW()-2&lt;Settings!$B$12),NA(),IF(COUNT(OFFSET(G703,1-Settings!$B$12,0,Settings!$B$12,1))&lt;ROUNDUP(Settings!$B$12*Settings!$B$26,0),NA(),STDEV(OFFSET(G703,1-Settings!$B$12,0,Settings!$B$12,1))*SQRT(Settings!$B$13)))</f>
        <v/>
      </c>
      <c r="L703" s="20">
        <f>IF(AND(ISNUMBER(D703),ISNUMBER(H703)),D703-H703,NA())</f>
        <v/>
      </c>
      <c r="M703" s="20">
        <f>IF(AND(ISNUMBER(E703),ISNUMBER(K703)),E703-K703,NA())</f>
        <v/>
      </c>
      <c r="N703" s="20">
        <f>IF(NOT(ISNUMBER($A703)),NA(),IF(COUNT(OFFSET(G703,1,0,Settings!$B$12,1))&lt;ROUNDUP(Settings!$B$12*Settings!$B$26,0),NA(),STDEV(OFFSET(G703,1,0,Settings!$B$12,1))*SQRT(Settings!$B$13)))</f>
        <v/>
      </c>
      <c r="O703" s="20">
        <f>IF(AND(ISNUMBER(E703),ISNUMBER(N703)),E703-N703,NA())</f>
        <v/>
      </c>
      <c r="P703" s="19">
        <f>IF(NOT(ISNUMBER($A703)),NA(),IF(OR($A703&lt;MIN(KW_TP!$A$2:$A$2501),$A703&gt;MAX(KW_TP!$A$2:$A$2501)),NA(),INDEX(KW_TP!$C$2:$C$2501,MATCH($A703,KW_TP!$A$2:$A$2501,1))))</f>
        <v/>
      </c>
      <c r="Q703" s="18">
        <f>IF(NOT(ISNUMBER($A703)),NA(),IFERROR(1*INDEX(BBG_Data!$J$2:$J$4000,MATCH($A703,BBG_Data!$I$2:$I$4000,0)),NA()))</f>
        <v/>
      </c>
      <c r="R703" s="18">
        <f>IF(NOT(ISNUMBER($A703)),NA(),IFERROR(1*INDEX(BBG_Data!$L$2:$L$4000,MATCH($A703,BBG_Data!$K$2:$K$4000,0)),NA()))</f>
        <v/>
      </c>
      <c r="S703" s="20">
        <f>IF(AND(ISNUMBER(B703),ISNUMBER(Q703),ISNUMBER(R703)),(B703-Q703-R703)*100,NA())</f>
        <v/>
      </c>
      <c r="T703" s="20">
        <f>IF(AND(ISNUMBER(B703),Settings!$B$17&gt;0),IF(ISNUMBER(INDEX($B:$B,Settings!$B$17)),(B703-INDEX($B:$B,Settings!$B$17))*100,NA()),NA())</f>
        <v/>
      </c>
      <c r="U703" s="20">
        <f>IF(AND(ISNUMBER(Q703),Settings!$B$17&gt;0),IF(ISNUMBER(INDEX($Q:$Q,Settings!$B$17)),(Q703-INDEX($Q:$Q,Settings!$B$17))*100,NA()),NA())</f>
        <v/>
      </c>
      <c r="V703" s="20">
        <f>IF(AND(ISNUMBER(R703),Settings!$B$17&gt;0),IF(ISNUMBER(INDEX($R:$R,Settings!$B$17)),(R703-INDEX($R:$R,Settings!$B$17))*100,NA()),NA())</f>
        <v/>
      </c>
      <c r="W703" s="20">
        <f>IF(AND(ISNUMBER(P703),Settings!$B$17&gt;0),IF(ISNUMBER(INDEX($P:$P,Settings!$B$17)),P703-INDEX($P:$P,Settings!$B$17),NA()),NA())</f>
        <v/>
      </c>
      <c r="X703" s="19">
        <f>IF(NOT(ISNUMBER($A703)),NA(),IF(OR($A703&lt;MIN(DKW_10Y!$A$2:$A$2918),$A703&gt;MAX(DKW_10Y!$A$2:$A$2918),Settings!$B$16&lt;MIN(DKW_10Y!$A$2:$A$2918)),NA(),(INDEX(DKW_10Y!$B$2:$B$2918,MATCH($A703,DKW_10Y!$A$2:$A$2918,1))-INDEX(DKW_10Y!$B$2:$B$2918,MATCH(Settings!$B$16,DKW_10Y!$A$2:$A$2918,1)))*100))</f>
        <v/>
      </c>
      <c r="Y703" s="19">
        <f>IF(NOT(ISNUMBER($A703)),NA(),IF(OR($A703&lt;MIN(DKW_10Y!$A$2:$A$2918),$A703&gt;MAX(DKW_10Y!$A$2:$A$2918),Settings!$B$16&lt;MIN(DKW_10Y!$A$2:$A$2918)),NA(),(INDEX(DKW_10Y!$C$2:$C$2918,MATCH($A703,DKW_10Y!$A$2:$A$2918,1))-INDEX(DKW_10Y!$C$2:$C$2918,MATCH(Settings!$B$16,DKW_10Y!$A$2:$A$2918,1)))*100))</f>
        <v/>
      </c>
      <c r="Z703" s="19">
        <f>IF(NOT(ISNUMBER($A703)),NA(),IF(OR($A703&lt;MIN(DKW_10Y!$A$2:$A$2918),$A703&gt;MAX(DKW_10Y!$A$2:$A$2918),Settings!$B$16&lt;MIN(DKW_10Y!$A$2:$A$2918)),NA(),(INDEX(DKW_10Y!$D$2:$D$2918,MATCH($A703,DKW_10Y!$A$2:$A$2918,1))-INDEX(DKW_10Y!$D$2:$D$2918,MATCH(Settings!$B$16,DKW_10Y!$A$2:$A$2918,1)))*100))</f>
        <v/>
      </c>
      <c r="AA703" s="19">
        <f>IF(NOT(ISNUMBER($A703)),NA(),IF(OR($A703&lt;MIN(DKW_10Y!$A$2:$A$2918),$A703&gt;MAX(DKW_10Y!$A$2:$A$2918),Settings!$B$16&lt;MIN(DKW_10Y!$A$2:$A$2918)),NA(),(INDEX(DKW_10Y!$E$2:$E$2918,MATCH($A703,DKW_10Y!$A$2:$A$2918,1))-INDEX(DKW_10Y!$E$2:$E$2918,MATCH(Settings!$B$16,DKW_10Y!$A$2:$A$2918,1)))*100))</f>
        <v/>
      </c>
      <c r="AB703" s="19">
        <f>IF(NOT(ISNUMBER($A703)),NA(),IF(OR($A703&lt;MIN(DKW_10Y!$A$2:$A$2918),$A703&gt;MAX(DKW_10Y!$A$2:$A$2918),Settings!$B$16&lt;MIN(DKW_10Y!$A$2:$A$2918)),NA(),(INDEX(DKW_10Y!$H$2:$H$2918,MATCH($A703,DKW_10Y!$A$2:$A$2918,1))-INDEX(DKW_10Y!$H$2:$H$2918,MATCH(Settings!$B$16,DKW_10Y!$A$2:$A$2918,1)))*100))</f>
        <v/>
      </c>
      <c r="AC703" s="18">
        <f>IF(NOT(ISNUMBER($A703)),NA(),IFERROR(1*INDEX(BBG_Data!$N$2:$N$4000,MATCH($A703,BBG_Data!$M$2:$M$4000,0)),NA()))</f>
        <v/>
      </c>
      <c r="AD703" s="18">
        <f>IF(NOT(ISNUMBER($A703)),NA(),IFERROR(1*INDEX(BBG_Data!$P$2:$P$4000,MATCH($A703,BBG_Data!$O$2:$O$4000,0)),NA()))</f>
        <v/>
      </c>
      <c r="AE703" s="18">
        <f>IF(NOT(ISNUMBER($A703)),NA(),IFERROR(1*INDEX(BBG_Data!$R$2:$R$4000,MATCH($A703,BBG_Data!$Q$2:$Q$4000,0)),NA()))</f>
        <v/>
      </c>
      <c r="AF703" s="20">
        <f>IF(AND(ISNUMBER(B703),ISNUMBER(AC703)),(B703-AC703)*100,NA())</f>
        <v/>
      </c>
      <c r="AG703" s="20">
        <f>IF(AND(ISNUMBER(AE703),ISNUMBER(AD703)),(AE703-AD703)*100,NA())</f>
        <v/>
      </c>
      <c r="AH703" s="19">
        <f>IF(NOT(ISNUMBER($A703)),NA(),IFERROR(INDEX(BBG_Data!$T$2:$T$4000,MATCH($A703,BBG_Data!$S$2:$S$4000,0))*Settings!$B$25,NA()))</f>
        <v/>
      </c>
      <c r="AI703" s="19">
        <f>IF(NOT(ISNUMBER($A703)),NA(),IFERROR(INDEX(BBG_Data!$V$2:$V$4000,MATCH($A703,BBG_Data!$U$2:$U$4000,0))*Settings!$B$25,NA()))</f>
        <v/>
      </c>
      <c r="AJ703" s="19">
        <f>IF(NOT(ISNUMBER($A703)),NA(),IFERROR(1*INDEX(BBG_Data!$X$2:$X$4000,MATCH($A703,BBG_Data!$W$2:$W$4000,0)),NA()))</f>
        <v/>
      </c>
      <c r="AK703" s="19">
        <f>IF(NOT(ISNUMBER($A703)),NA(),IFERROR(1*INDEX(BBG_Data!$Z$2:$Z$4000,MATCH($A703,BBG_Data!$Y$2:$Y$4000,0)),NA()))</f>
        <v/>
      </c>
    </row>
    <row r="704">
      <c r="A704" s="17">
        <f>IF(ISNUMBER(BBG_Data!A704),BBG_Data!A704,"")</f>
        <v/>
      </c>
      <c r="B704" s="18">
        <f>IF(AND(ISNUMBER($A704),ISNUMBER(BBG_Data!B704)),BBG_Data!B704,NA())</f>
        <v/>
      </c>
      <c r="C704" s="18">
        <f>IF(NOT(ISNUMBER($A704)),NA(),IFERROR(1*INDEX(BBG_Data!$D$2:$D$4000,MATCH($A704,BBG_Data!$C$2:$C$4000,0)),NA()))</f>
        <v/>
      </c>
      <c r="D704" s="19">
        <f>IF(NOT(ISNUMBER($A704)),NA(),IFERROR(1*INDEX(BBG_Data!$F$2:$F$4000,MATCH($A704,BBG_Data!$E$2:$E$4000,0)),NA()))</f>
        <v/>
      </c>
      <c r="E704" s="19">
        <f>IF(NOT(ISNUMBER($A704)),NA(),IFERROR(1*INDEX(BBG_Data!$H$2:$H$4000,MATCH($A704,BBG_Data!$G$2:$G$4000,0)),NA()))</f>
        <v/>
      </c>
      <c r="F704" s="20">
        <f>IF(AND(ISNUMBER(B704),ISNUMBER(B703)),IF(B704=B703,"",(B704-B703)*100),"")</f>
        <v/>
      </c>
      <c r="G704" s="20">
        <f>IF(AND(ISNUMBER(C704),ISNUMBER(C703)),IF(C704=C703,"",(C704-C703)*100),"")</f>
        <v/>
      </c>
      <c r="H704" s="20">
        <f>IF(OR(NOT(ISNUMBER($A704)),ROW()-2&lt;Settings!$B$11),NA(),IF(COUNT(OFFSET(F704,1-Settings!$B$11,0,Settings!$B$11,1))&lt;ROUNDUP(Settings!$B$11*Settings!$B$26,0),NA(),STDEV(OFFSET(F704,1-Settings!$B$11,0,Settings!$B$11,1))*SQRT(Settings!$B$13)))</f>
        <v/>
      </c>
      <c r="I704" s="20">
        <f>IF(OR(NOT(ISNUMBER($A704)),ROW()-2&lt;Settings!$B$12),NA(),IF(COUNT(OFFSET(F704,1-Settings!$B$12,0,Settings!$B$12,1))&lt;ROUNDUP(Settings!$B$12*Settings!$B$26,0),NA(),STDEV(OFFSET(F704,1-Settings!$B$12,0,Settings!$B$12,1))*SQRT(Settings!$B$13)))</f>
        <v/>
      </c>
      <c r="J704" s="20">
        <f>IF(OR(NOT(ISNUMBER($A704)),ROW()-2&lt;Settings!$B$11),NA(),IF(COUNT(OFFSET(G704,1-Settings!$B$11,0,Settings!$B$11,1))&lt;ROUNDUP(Settings!$B$11*Settings!$B$26,0),NA(),STDEV(OFFSET(G704,1-Settings!$B$11,0,Settings!$B$11,1))*SQRT(Settings!$B$13)))</f>
        <v/>
      </c>
      <c r="K704" s="20">
        <f>IF(OR(NOT(ISNUMBER($A704)),ROW()-2&lt;Settings!$B$12),NA(),IF(COUNT(OFFSET(G704,1-Settings!$B$12,0,Settings!$B$12,1))&lt;ROUNDUP(Settings!$B$12*Settings!$B$26,0),NA(),STDEV(OFFSET(G704,1-Settings!$B$12,0,Settings!$B$12,1))*SQRT(Settings!$B$13)))</f>
        <v/>
      </c>
      <c r="L704" s="20">
        <f>IF(AND(ISNUMBER(D704),ISNUMBER(H704)),D704-H704,NA())</f>
        <v/>
      </c>
      <c r="M704" s="20">
        <f>IF(AND(ISNUMBER(E704),ISNUMBER(K704)),E704-K704,NA())</f>
        <v/>
      </c>
      <c r="N704" s="20">
        <f>IF(NOT(ISNUMBER($A704)),NA(),IF(COUNT(OFFSET(G704,1,0,Settings!$B$12,1))&lt;ROUNDUP(Settings!$B$12*Settings!$B$26,0),NA(),STDEV(OFFSET(G704,1,0,Settings!$B$12,1))*SQRT(Settings!$B$13)))</f>
        <v/>
      </c>
      <c r="O704" s="20">
        <f>IF(AND(ISNUMBER(E704),ISNUMBER(N704)),E704-N704,NA())</f>
        <v/>
      </c>
      <c r="P704" s="19">
        <f>IF(NOT(ISNUMBER($A704)),NA(),IF(OR($A704&lt;MIN(KW_TP!$A$2:$A$2501),$A704&gt;MAX(KW_TP!$A$2:$A$2501)),NA(),INDEX(KW_TP!$C$2:$C$2501,MATCH($A704,KW_TP!$A$2:$A$2501,1))))</f>
        <v/>
      </c>
      <c r="Q704" s="18">
        <f>IF(NOT(ISNUMBER($A704)),NA(),IFERROR(1*INDEX(BBG_Data!$J$2:$J$4000,MATCH($A704,BBG_Data!$I$2:$I$4000,0)),NA()))</f>
        <v/>
      </c>
      <c r="R704" s="18">
        <f>IF(NOT(ISNUMBER($A704)),NA(),IFERROR(1*INDEX(BBG_Data!$L$2:$L$4000,MATCH($A704,BBG_Data!$K$2:$K$4000,0)),NA()))</f>
        <v/>
      </c>
      <c r="S704" s="20">
        <f>IF(AND(ISNUMBER(B704),ISNUMBER(Q704),ISNUMBER(R704)),(B704-Q704-R704)*100,NA())</f>
        <v/>
      </c>
      <c r="T704" s="20">
        <f>IF(AND(ISNUMBER(B704),Settings!$B$17&gt;0),IF(ISNUMBER(INDEX($B:$B,Settings!$B$17)),(B704-INDEX($B:$B,Settings!$B$17))*100,NA()),NA())</f>
        <v/>
      </c>
      <c r="U704" s="20">
        <f>IF(AND(ISNUMBER(Q704),Settings!$B$17&gt;0),IF(ISNUMBER(INDEX($Q:$Q,Settings!$B$17)),(Q704-INDEX($Q:$Q,Settings!$B$17))*100,NA()),NA())</f>
        <v/>
      </c>
      <c r="V704" s="20">
        <f>IF(AND(ISNUMBER(R704),Settings!$B$17&gt;0),IF(ISNUMBER(INDEX($R:$R,Settings!$B$17)),(R704-INDEX($R:$R,Settings!$B$17))*100,NA()),NA())</f>
        <v/>
      </c>
      <c r="W704" s="20">
        <f>IF(AND(ISNUMBER(P704),Settings!$B$17&gt;0),IF(ISNUMBER(INDEX($P:$P,Settings!$B$17)),P704-INDEX($P:$P,Settings!$B$17),NA()),NA())</f>
        <v/>
      </c>
      <c r="X704" s="19">
        <f>IF(NOT(ISNUMBER($A704)),NA(),IF(OR($A704&lt;MIN(DKW_10Y!$A$2:$A$2918),$A704&gt;MAX(DKW_10Y!$A$2:$A$2918),Settings!$B$16&lt;MIN(DKW_10Y!$A$2:$A$2918)),NA(),(INDEX(DKW_10Y!$B$2:$B$2918,MATCH($A704,DKW_10Y!$A$2:$A$2918,1))-INDEX(DKW_10Y!$B$2:$B$2918,MATCH(Settings!$B$16,DKW_10Y!$A$2:$A$2918,1)))*100))</f>
        <v/>
      </c>
      <c r="Y704" s="19">
        <f>IF(NOT(ISNUMBER($A704)),NA(),IF(OR($A704&lt;MIN(DKW_10Y!$A$2:$A$2918),$A704&gt;MAX(DKW_10Y!$A$2:$A$2918),Settings!$B$16&lt;MIN(DKW_10Y!$A$2:$A$2918)),NA(),(INDEX(DKW_10Y!$C$2:$C$2918,MATCH($A704,DKW_10Y!$A$2:$A$2918,1))-INDEX(DKW_10Y!$C$2:$C$2918,MATCH(Settings!$B$16,DKW_10Y!$A$2:$A$2918,1)))*100))</f>
        <v/>
      </c>
      <c r="Z704" s="19">
        <f>IF(NOT(ISNUMBER($A704)),NA(),IF(OR($A704&lt;MIN(DKW_10Y!$A$2:$A$2918),$A704&gt;MAX(DKW_10Y!$A$2:$A$2918),Settings!$B$16&lt;MIN(DKW_10Y!$A$2:$A$2918)),NA(),(INDEX(DKW_10Y!$D$2:$D$2918,MATCH($A704,DKW_10Y!$A$2:$A$2918,1))-INDEX(DKW_10Y!$D$2:$D$2918,MATCH(Settings!$B$16,DKW_10Y!$A$2:$A$2918,1)))*100))</f>
        <v/>
      </c>
      <c r="AA704" s="19">
        <f>IF(NOT(ISNUMBER($A704)),NA(),IF(OR($A704&lt;MIN(DKW_10Y!$A$2:$A$2918),$A704&gt;MAX(DKW_10Y!$A$2:$A$2918),Settings!$B$16&lt;MIN(DKW_10Y!$A$2:$A$2918)),NA(),(INDEX(DKW_10Y!$E$2:$E$2918,MATCH($A704,DKW_10Y!$A$2:$A$2918,1))-INDEX(DKW_10Y!$E$2:$E$2918,MATCH(Settings!$B$16,DKW_10Y!$A$2:$A$2918,1)))*100))</f>
        <v/>
      </c>
      <c r="AB704" s="19">
        <f>IF(NOT(ISNUMBER($A704)),NA(),IF(OR($A704&lt;MIN(DKW_10Y!$A$2:$A$2918),$A704&gt;MAX(DKW_10Y!$A$2:$A$2918),Settings!$B$16&lt;MIN(DKW_10Y!$A$2:$A$2918)),NA(),(INDEX(DKW_10Y!$H$2:$H$2918,MATCH($A704,DKW_10Y!$A$2:$A$2918,1))-INDEX(DKW_10Y!$H$2:$H$2918,MATCH(Settings!$B$16,DKW_10Y!$A$2:$A$2918,1)))*100))</f>
        <v/>
      </c>
      <c r="AC704" s="18">
        <f>IF(NOT(ISNUMBER($A704)),NA(),IFERROR(1*INDEX(BBG_Data!$N$2:$N$4000,MATCH($A704,BBG_Data!$M$2:$M$4000,0)),NA()))</f>
        <v/>
      </c>
      <c r="AD704" s="18">
        <f>IF(NOT(ISNUMBER($A704)),NA(),IFERROR(1*INDEX(BBG_Data!$P$2:$P$4000,MATCH($A704,BBG_Data!$O$2:$O$4000,0)),NA()))</f>
        <v/>
      </c>
      <c r="AE704" s="18">
        <f>IF(NOT(ISNUMBER($A704)),NA(),IFERROR(1*INDEX(BBG_Data!$R$2:$R$4000,MATCH($A704,BBG_Data!$Q$2:$Q$4000,0)),NA()))</f>
        <v/>
      </c>
      <c r="AF704" s="20">
        <f>IF(AND(ISNUMBER(B704),ISNUMBER(AC704)),(B704-AC704)*100,NA())</f>
        <v/>
      </c>
      <c r="AG704" s="20">
        <f>IF(AND(ISNUMBER(AE704),ISNUMBER(AD704)),(AE704-AD704)*100,NA())</f>
        <v/>
      </c>
      <c r="AH704" s="19">
        <f>IF(NOT(ISNUMBER($A704)),NA(),IFERROR(INDEX(BBG_Data!$T$2:$T$4000,MATCH($A704,BBG_Data!$S$2:$S$4000,0))*Settings!$B$25,NA()))</f>
        <v/>
      </c>
      <c r="AI704" s="19">
        <f>IF(NOT(ISNUMBER($A704)),NA(),IFERROR(INDEX(BBG_Data!$V$2:$V$4000,MATCH($A704,BBG_Data!$U$2:$U$4000,0))*Settings!$B$25,NA()))</f>
        <v/>
      </c>
      <c r="AJ704" s="19">
        <f>IF(NOT(ISNUMBER($A704)),NA(),IFERROR(1*INDEX(BBG_Data!$X$2:$X$4000,MATCH($A704,BBG_Data!$W$2:$W$4000,0)),NA()))</f>
        <v/>
      </c>
      <c r="AK704" s="19">
        <f>IF(NOT(ISNUMBER($A704)),NA(),IFERROR(1*INDEX(BBG_Data!$Z$2:$Z$4000,MATCH($A704,BBG_Data!$Y$2:$Y$4000,0)),NA()))</f>
        <v/>
      </c>
    </row>
    <row r="705">
      <c r="A705" s="17">
        <f>IF(ISNUMBER(BBG_Data!A705),BBG_Data!A705,"")</f>
        <v/>
      </c>
      <c r="B705" s="18">
        <f>IF(AND(ISNUMBER($A705),ISNUMBER(BBG_Data!B705)),BBG_Data!B705,NA())</f>
        <v/>
      </c>
      <c r="C705" s="18">
        <f>IF(NOT(ISNUMBER($A705)),NA(),IFERROR(1*INDEX(BBG_Data!$D$2:$D$4000,MATCH($A705,BBG_Data!$C$2:$C$4000,0)),NA()))</f>
        <v/>
      </c>
      <c r="D705" s="19">
        <f>IF(NOT(ISNUMBER($A705)),NA(),IFERROR(1*INDEX(BBG_Data!$F$2:$F$4000,MATCH($A705,BBG_Data!$E$2:$E$4000,0)),NA()))</f>
        <v/>
      </c>
      <c r="E705" s="19">
        <f>IF(NOT(ISNUMBER($A705)),NA(),IFERROR(1*INDEX(BBG_Data!$H$2:$H$4000,MATCH($A705,BBG_Data!$G$2:$G$4000,0)),NA()))</f>
        <v/>
      </c>
      <c r="F705" s="20">
        <f>IF(AND(ISNUMBER(B705),ISNUMBER(B704)),IF(B705=B704,"",(B705-B704)*100),"")</f>
        <v/>
      </c>
      <c r="G705" s="20">
        <f>IF(AND(ISNUMBER(C705),ISNUMBER(C704)),IF(C705=C704,"",(C705-C704)*100),"")</f>
        <v/>
      </c>
      <c r="H705" s="20">
        <f>IF(OR(NOT(ISNUMBER($A705)),ROW()-2&lt;Settings!$B$11),NA(),IF(COUNT(OFFSET(F705,1-Settings!$B$11,0,Settings!$B$11,1))&lt;ROUNDUP(Settings!$B$11*Settings!$B$26,0),NA(),STDEV(OFFSET(F705,1-Settings!$B$11,0,Settings!$B$11,1))*SQRT(Settings!$B$13)))</f>
        <v/>
      </c>
      <c r="I705" s="20">
        <f>IF(OR(NOT(ISNUMBER($A705)),ROW()-2&lt;Settings!$B$12),NA(),IF(COUNT(OFFSET(F705,1-Settings!$B$12,0,Settings!$B$12,1))&lt;ROUNDUP(Settings!$B$12*Settings!$B$26,0),NA(),STDEV(OFFSET(F705,1-Settings!$B$12,0,Settings!$B$12,1))*SQRT(Settings!$B$13)))</f>
        <v/>
      </c>
      <c r="J705" s="20">
        <f>IF(OR(NOT(ISNUMBER($A705)),ROW()-2&lt;Settings!$B$11),NA(),IF(COUNT(OFFSET(G705,1-Settings!$B$11,0,Settings!$B$11,1))&lt;ROUNDUP(Settings!$B$11*Settings!$B$26,0),NA(),STDEV(OFFSET(G705,1-Settings!$B$11,0,Settings!$B$11,1))*SQRT(Settings!$B$13)))</f>
        <v/>
      </c>
      <c r="K705" s="20">
        <f>IF(OR(NOT(ISNUMBER($A705)),ROW()-2&lt;Settings!$B$12),NA(),IF(COUNT(OFFSET(G705,1-Settings!$B$12,0,Settings!$B$12,1))&lt;ROUNDUP(Settings!$B$12*Settings!$B$26,0),NA(),STDEV(OFFSET(G705,1-Settings!$B$12,0,Settings!$B$12,1))*SQRT(Settings!$B$13)))</f>
        <v/>
      </c>
      <c r="L705" s="20">
        <f>IF(AND(ISNUMBER(D705),ISNUMBER(H705)),D705-H705,NA())</f>
        <v/>
      </c>
      <c r="M705" s="20">
        <f>IF(AND(ISNUMBER(E705),ISNUMBER(K705)),E705-K705,NA())</f>
        <v/>
      </c>
      <c r="N705" s="20">
        <f>IF(NOT(ISNUMBER($A705)),NA(),IF(COUNT(OFFSET(G705,1,0,Settings!$B$12,1))&lt;ROUNDUP(Settings!$B$12*Settings!$B$26,0),NA(),STDEV(OFFSET(G705,1,0,Settings!$B$12,1))*SQRT(Settings!$B$13)))</f>
        <v/>
      </c>
      <c r="O705" s="20">
        <f>IF(AND(ISNUMBER(E705),ISNUMBER(N705)),E705-N705,NA())</f>
        <v/>
      </c>
      <c r="P705" s="19">
        <f>IF(NOT(ISNUMBER($A705)),NA(),IF(OR($A705&lt;MIN(KW_TP!$A$2:$A$2501),$A705&gt;MAX(KW_TP!$A$2:$A$2501)),NA(),INDEX(KW_TP!$C$2:$C$2501,MATCH($A705,KW_TP!$A$2:$A$2501,1))))</f>
        <v/>
      </c>
      <c r="Q705" s="18">
        <f>IF(NOT(ISNUMBER($A705)),NA(),IFERROR(1*INDEX(BBG_Data!$J$2:$J$4000,MATCH($A705,BBG_Data!$I$2:$I$4000,0)),NA()))</f>
        <v/>
      </c>
      <c r="R705" s="18">
        <f>IF(NOT(ISNUMBER($A705)),NA(),IFERROR(1*INDEX(BBG_Data!$L$2:$L$4000,MATCH($A705,BBG_Data!$K$2:$K$4000,0)),NA()))</f>
        <v/>
      </c>
      <c r="S705" s="20">
        <f>IF(AND(ISNUMBER(B705),ISNUMBER(Q705),ISNUMBER(R705)),(B705-Q705-R705)*100,NA())</f>
        <v/>
      </c>
      <c r="T705" s="20">
        <f>IF(AND(ISNUMBER(B705),Settings!$B$17&gt;0),IF(ISNUMBER(INDEX($B:$B,Settings!$B$17)),(B705-INDEX($B:$B,Settings!$B$17))*100,NA()),NA())</f>
        <v/>
      </c>
      <c r="U705" s="20">
        <f>IF(AND(ISNUMBER(Q705),Settings!$B$17&gt;0),IF(ISNUMBER(INDEX($Q:$Q,Settings!$B$17)),(Q705-INDEX($Q:$Q,Settings!$B$17))*100,NA()),NA())</f>
        <v/>
      </c>
      <c r="V705" s="20">
        <f>IF(AND(ISNUMBER(R705),Settings!$B$17&gt;0),IF(ISNUMBER(INDEX($R:$R,Settings!$B$17)),(R705-INDEX($R:$R,Settings!$B$17))*100,NA()),NA())</f>
        <v/>
      </c>
      <c r="W705" s="20">
        <f>IF(AND(ISNUMBER(P705),Settings!$B$17&gt;0),IF(ISNUMBER(INDEX($P:$P,Settings!$B$17)),P705-INDEX($P:$P,Settings!$B$17),NA()),NA())</f>
        <v/>
      </c>
      <c r="X705" s="19">
        <f>IF(NOT(ISNUMBER($A705)),NA(),IF(OR($A705&lt;MIN(DKW_10Y!$A$2:$A$2918),$A705&gt;MAX(DKW_10Y!$A$2:$A$2918),Settings!$B$16&lt;MIN(DKW_10Y!$A$2:$A$2918)),NA(),(INDEX(DKW_10Y!$B$2:$B$2918,MATCH($A705,DKW_10Y!$A$2:$A$2918,1))-INDEX(DKW_10Y!$B$2:$B$2918,MATCH(Settings!$B$16,DKW_10Y!$A$2:$A$2918,1)))*100))</f>
        <v/>
      </c>
      <c r="Y705" s="19">
        <f>IF(NOT(ISNUMBER($A705)),NA(),IF(OR($A705&lt;MIN(DKW_10Y!$A$2:$A$2918),$A705&gt;MAX(DKW_10Y!$A$2:$A$2918),Settings!$B$16&lt;MIN(DKW_10Y!$A$2:$A$2918)),NA(),(INDEX(DKW_10Y!$C$2:$C$2918,MATCH($A705,DKW_10Y!$A$2:$A$2918,1))-INDEX(DKW_10Y!$C$2:$C$2918,MATCH(Settings!$B$16,DKW_10Y!$A$2:$A$2918,1)))*100))</f>
        <v/>
      </c>
      <c r="Z705" s="19">
        <f>IF(NOT(ISNUMBER($A705)),NA(),IF(OR($A705&lt;MIN(DKW_10Y!$A$2:$A$2918),$A705&gt;MAX(DKW_10Y!$A$2:$A$2918),Settings!$B$16&lt;MIN(DKW_10Y!$A$2:$A$2918)),NA(),(INDEX(DKW_10Y!$D$2:$D$2918,MATCH($A705,DKW_10Y!$A$2:$A$2918,1))-INDEX(DKW_10Y!$D$2:$D$2918,MATCH(Settings!$B$16,DKW_10Y!$A$2:$A$2918,1)))*100))</f>
        <v/>
      </c>
      <c r="AA705" s="19">
        <f>IF(NOT(ISNUMBER($A705)),NA(),IF(OR($A705&lt;MIN(DKW_10Y!$A$2:$A$2918),$A705&gt;MAX(DKW_10Y!$A$2:$A$2918),Settings!$B$16&lt;MIN(DKW_10Y!$A$2:$A$2918)),NA(),(INDEX(DKW_10Y!$E$2:$E$2918,MATCH($A705,DKW_10Y!$A$2:$A$2918,1))-INDEX(DKW_10Y!$E$2:$E$2918,MATCH(Settings!$B$16,DKW_10Y!$A$2:$A$2918,1)))*100))</f>
        <v/>
      </c>
      <c r="AB705" s="19">
        <f>IF(NOT(ISNUMBER($A705)),NA(),IF(OR($A705&lt;MIN(DKW_10Y!$A$2:$A$2918),$A705&gt;MAX(DKW_10Y!$A$2:$A$2918),Settings!$B$16&lt;MIN(DKW_10Y!$A$2:$A$2918)),NA(),(INDEX(DKW_10Y!$H$2:$H$2918,MATCH($A705,DKW_10Y!$A$2:$A$2918,1))-INDEX(DKW_10Y!$H$2:$H$2918,MATCH(Settings!$B$16,DKW_10Y!$A$2:$A$2918,1)))*100))</f>
        <v/>
      </c>
      <c r="AC705" s="18">
        <f>IF(NOT(ISNUMBER($A705)),NA(),IFERROR(1*INDEX(BBG_Data!$N$2:$N$4000,MATCH($A705,BBG_Data!$M$2:$M$4000,0)),NA()))</f>
        <v/>
      </c>
      <c r="AD705" s="18">
        <f>IF(NOT(ISNUMBER($A705)),NA(),IFERROR(1*INDEX(BBG_Data!$P$2:$P$4000,MATCH($A705,BBG_Data!$O$2:$O$4000,0)),NA()))</f>
        <v/>
      </c>
      <c r="AE705" s="18">
        <f>IF(NOT(ISNUMBER($A705)),NA(),IFERROR(1*INDEX(BBG_Data!$R$2:$R$4000,MATCH($A705,BBG_Data!$Q$2:$Q$4000,0)),NA()))</f>
        <v/>
      </c>
      <c r="AF705" s="20">
        <f>IF(AND(ISNUMBER(B705),ISNUMBER(AC705)),(B705-AC705)*100,NA())</f>
        <v/>
      </c>
      <c r="AG705" s="20">
        <f>IF(AND(ISNUMBER(AE705),ISNUMBER(AD705)),(AE705-AD705)*100,NA())</f>
        <v/>
      </c>
      <c r="AH705" s="19">
        <f>IF(NOT(ISNUMBER($A705)),NA(),IFERROR(INDEX(BBG_Data!$T$2:$T$4000,MATCH($A705,BBG_Data!$S$2:$S$4000,0))*Settings!$B$25,NA()))</f>
        <v/>
      </c>
      <c r="AI705" s="19">
        <f>IF(NOT(ISNUMBER($A705)),NA(),IFERROR(INDEX(BBG_Data!$V$2:$V$4000,MATCH($A705,BBG_Data!$U$2:$U$4000,0))*Settings!$B$25,NA()))</f>
        <v/>
      </c>
      <c r="AJ705" s="19">
        <f>IF(NOT(ISNUMBER($A705)),NA(),IFERROR(1*INDEX(BBG_Data!$X$2:$X$4000,MATCH($A705,BBG_Data!$W$2:$W$4000,0)),NA()))</f>
        <v/>
      </c>
      <c r="AK705" s="19">
        <f>IF(NOT(ISNUMBER($A705)),NA(),IFERROR(1*INDEX(BBG_Data!$Z$2:$Z$4000,MATCH($A705,BBG_Data!$Y$2:$Y$4000,0)),NA()))</f>
        <v/>
      </c>
    </row>
    <row r="706">
      <c r="A706" s="17">
        <f>IF(ISNUMBER(BBG_Data!A706),BBG_Data!A706,"")</f>
        <v/>
      </c>
      <c r="B706" s="18">
        <f>IF(AND(ISNUMBER($A706),ISNUMBER(BBG_Data!B706)),BBG_Data!B706,NA())</f>
        <v/>
      </c>
      <c r="C706" s="18">
        <f>IF(NOT(ISNUMBER($A706)),NA(),IFERROR(1*INDEX(BBG_Data!$D$2:$D$4000,MATCH($A706,BBG_Data!$C$2:$C$4000,0)),NA()))</f>
        <v/>
      </c>
      <c r="D706" s="19">
        <f>IF(NOT(ISNUMBER($A706)),NA(),IFERROR(1*INDEX(BBG_Data!$F$2:$F$4000,MATCH($A706,BBG_Data!$E$2:$E$4000,0)),NA()))</f>
        <v/>
      </c>
      <c r="E706" s="19">
        <f>IF(NOT(ISNUMBER($A706)),NA(),IFERROR(1*INDEX(BBG_Data!$H$2:$H$4000,MATCH($A706,BBG_Data!$G$2:$G$4000,0)),NA()))</f>
        <v/>
      </c>
      <c r="F706" s="20">
        <f>IF(AND(ISNUMBER(B706),ISNUMBER(B705)),IF(B706=B705,"",(B706-B705)*100),"")</f>
        <v/>
      </c>
      <c r="G706" s="20">
        <f>IF(AND(ISNUMBER(C706),ISNUMBER(C705)),IF(C706=C705,"",(C706-C705)*100),"")</f>
        <v/>
      </c>
      <c r="H706" s="20">
        <f>IF(OR(NOT(ISNUMBER($A706)),ROW()-2&lt;Settings!$B$11),NA(),IF(COUNT(OFFSET(F706,1-Settings!$B$11,0,Settings!$B$11,1))&lt;ROUNDUP(Settings!$B$11*Settings!$B$26,0),NA(),STDEV(OFFSET(F706,1-Settings!$B$11,0,Settings!$B$11,1))*SQRT(Settings!$B$13)))</f>
        <v/>
      </c>
      <c r="I706" s="20">
        <f>IF(OR(NOT(ISNUMBER($A706)),ROW()-2&lt;Settings!$B$12),NA(),IF(COUNT(OFFSET(F706,1-Settings!$B$12,0,Settings!$B$12,1))&lt;ROUNDUP(Settings!$B$12*Settings!$B$26,0),NA(),STDEV(OFFSET(F706,1-Settings!$B$12,0,Settings!$B$12,1))*SQRT(Settings!$B$13)))</f>
        <v/>
      </c>
      <c r="J706" s="20">
        <f>IF(OR(NOT(ISNUMBER($A706)),ROW()-2&lt;Settings!$B$11),NA(),IF(COUNT(OFFSET(G706,1-Settings!$B$11,0,Settings!$B$11,1))&lt;ROUNDUP(Settings!$B$11*Settings!$B$26,0),NA(),STDEV(OFFSET(G706,1-Settings!$B$11,0,Settings!$B$11,1))*SQRT(Settings!$B$13)))</f>
        <v/>
      </c>
      <c r="K706" s="20">
        <f>IF(OR(NOT(ISNUMBER($A706)),ROW()-2&lt;Settings!$B$12),NA(),IF(COUNT(OFFSET(G706,1-Settings!$B$12,0,Settings!$B$12,1))&lt;ROUNDUP(Settings!$B$12*Settings!$B$26,0),NA(),STDEV(OFFSET(G706,1-Settings!$B$12,0,Settings!$B$12,1))*SQRT(Settings!$B$13)))</f>
        <v/>
      </c>
      <c r="L706" s="20">
        <f>IF(AND(ISNUMBER(D706),ISNUMBER(H706)),D706-H706,NA())</f>
        <v/>
      </c>
      <c r="M706" s="20">
        <f>IF(AND(ISNUMBER(E706),ISNUMBER(K706)),E706-K706,NA())</f>
        <v/>
      </c>
      <c r="N706" s="20">
        <f>IF(NOT(ISNUMBER($A706)),NA(),IF(COUNT(OFFSET(G706,1,0,Settings!$B$12,1))&lt;ROUNDUP(Settings!$B$12*Settings!$B$26,0),NA(),STDEV(OFFSET(G706,1,0,Settings!$B$12,1))*SQRT(Settings!$B$13)))</f>
        <v/>
      </c>
      <c r="O706" s="20">
        <f>IF(AND(ISNUMBER(E706),ISNUMBER(N706)),E706-N706,NA())</f>
        <v/>
      </c>
      <c r="P706" s="19">
        <f>IF(NOT(ISNUMBER($A706)),NA(),IF(OR($A706&lt;MIN(KW_TP!$A$2:$A$2501),$A706&gt;MAX(KW_TP!$A$2:$A$2501)),NA(),INDEX(KW_TP!$C$2:$C$2501,MATCH($A706,KW_TP!$A$2:$A$2501,1))))</f>
        <v/>
      </c>
      <c r="Q706" s="18">
        <f>IF(NOT(ISNUMBER($A706)),NA(),IFERROR(1*INDEX(BBG_Data!$J$2:$J$4000,MATCH($A706,BBG_Data!$I$2:$I$4000,0)),NA()))</f>
        <v/>
      </c>
      <c r="R706" s="18">
        <f>IF(NOT(ISNUMBER($A706)),NA(),IFERROR(1*INDEX(BBG_Data!$L$2:$L$4000,MATCH($A706,BBG_Data!$K$2:$K$4000,0)),NA()))</f>
        <v/>
      </c>
      <c r="S706" s="20">
        <f>IF(AND(ISNUMBER(B706),ISNUMBER(Q706),ISNUMBER(R706)),(B706-Q706-R706)*100,NA())</f>
        <v/>
      </c>
      <c r="T706" s="20">
        <f>IF(AND(ISNUMBER(B706),Settings!$B$17&gt;0),IF(ISNUMBER(INDEX($B:$B,Settings!$B$17)),(B706-INDEX($B:$B,Settings!$B$17))*100,NA()),NA())</f>
        <v/>
      </c>
      <c r="U706" s="20">
        <f>IF(AND(ISNUMBER(Q706),Settings!$B$17&gt;0),IF(ISNUMBER(INDEX($Q:$Q,Settings!$B$17)),(Q706-INDEX($Q:$Q,Settings!$B$17))*100,NA()),NA())</f>
        <v/>
      </c>
      <c r="V706" s="20">
        <f>IF(AND(ISNUMBER(R706),Settings!$B$17&gt;0),IF(ISNUMBER(INDEX($R:$R,Settings!$B$17)),(R706-INDEX($R:$R,Settings!$B$17))*100,NA()),NA())</f>
        <v/>
      </c>
      <c r="W706" s="20">
        <f>IF(AND(ISNUMBER(P706),Settings!$B$17&gt;0),IF(ISNUMBER(INDEX($P:$P,Settings!$B$17)),P706-INDEX($P:$P,Settings!$B$17),NA()),NA())</f>
        <v/>
      </c>
      <c r="X706" s="19">
        <f>IF(NOT(ISNUMBER($A706)),NA(),IF(OR($A706&lt;MIN(DKW_10Y!$A$2:$A$2918),$A706&gt;MAX(DKW_10Y!$A$2:$A$2918),Settings!$B$16&lt;MIN(DKW_10Y!$A$2:$A$2918)),NA(),(INDEX(DKW_10Y!$B$2:$B$2918,MATCH($A706,DKW_10Y!$A$2:$A$2918,1))-INDEX(DKW_10Y!$B$2:$B$2918,MATCH(Settings!$B$16,DKW_10Y!$A$2:$A$2918,1)))*100))</f>
        <v/>
      </c>
      <c r="Y706" s="19">
        <f>IF(NOT(ISNUMBER($A706)),NA(),IF(OR($A706&lt;MIN(DKW_10Y!$A$2:$A$2918),$A706&gt;MAX(DKW_10Y!$A$2:$A$2918),Settings!$B$16&lt;MIN(DKW_10Y!$A$2:$A$2918)),NA(),(INDEX(DKW_10Y!$C$2:$C$2918,MATCH($A706,DKW_10Y!$A$2:$A$2918,1))-INDEX(DKW_10Y!$C$2:$C$2918,MATCH(Settings!$B$16,DKW_10Y!$A$2:$A$2918,1)))*100))</f>
        <v/>
      </c>
      <c r="Z706" s="19">
        <f>IF(NOT(ISNUMBER($A706)),NA(),IF(OR($A706&lt;MIN(DKW_10Y!$A$2:$A$2918),$A706&gt;MAX(DKW_10Y!$A$2:$A$2918),Settings!$B$16&lt;MIN(DKW_10Y!$A$2:$A$2918)),NA(),(INDEX(DKW_10Y!$D$2:$D$2918,MATCH($A706,DKW_10Y!$A$2:$A$2918,1))-INDEX(DKW_10Y!$D$2:$D$2918,MATCH(Settings!$B$16,DKW_10Y!$A$2:$A$2918,1)))*100))</f>
        <v/>
      </c>
      <c r="AA706" s="19">
        <f>IF(NOT(ISNUMBER($A706)),NA(),IF(OR($A706&lt;MIN(DKW_10Y!$A$2:$A$2918),$A706&gt;MAX(DKW_10Y!$A$2:$A$2918),Settings!$B$16&lt;MIN(DKW_10Y!$A$2:$A$2918)),NA(),(INDEX(DKW_10Y!$E$2:$E$2918,MATCH($A706,DKW_10Y!$A$2:$A$2918,1))-INDEX(DKW_10Y!$E$2:$E$2918,MATCH(Settings!$B$16,DKW_10Y!$A$2:$A$2918,1)))*100))</f>
        <v/>
      </c>
      <c r="AB706" s="19">
        <f>IF(NOT(ISNUMBER($A706)),NA(),IF(OR($A706&lt;MIN(DKW_10Y!$A$2:$A$2918),$A706&gt;MAX(DKW_10Y!$A$2:$A$2918),Settings!$B$16&lt;MIN(DKW_10Y!$A$2:$A$2918)),NA(),(INDEX(DKW_10Y!$H$2:$H$2918,MATCH($A706,DKW_10Y!$A$2:$A$2918,1))-INDEX(DKW_10Y!$H$2:$H$2918,MATCH(Settings!$B$16,DKW_10Y!$A$2:$A$2918,1)))*100))</f>
        <v/>
      </c>
      <c r="AC706" s="18">
        <f>IF(NOT(ISNUMBER($A706)),NA(),IFERROR(1*INDEX(BBG_Data!$N$2:$N$4000,MATCH($A706,BBG_Data!$M$2:$M$4000,0)),NA()))</f>
        <v/>
      </c>
      <c r="AD706" s="18">
        <f>IF(NOT(ISNUMBER($A706)),NA(),IFERROR(1*INDEX(BBG_Data!$P$2:$P$4000,MATCH($A706,BBG_Data!$O$2:$O$4000,0)),NA()))</f>
        <v/>
      </c>
      <c r="AE706" s="18">
        <f>IF(NOT(ISNUMBER($A706)),NA(),IFERROR(1*INDEX(BBG_Data!$R$2:$R$4000,MATCH($A706,BBG_Data!$Q$2:$Q$4000,0)),NA()))</f>
        <v/>
      </c>
      <c r="AF706" s="20">
        <f>IF(AND(ISNUMBER(B706),ISNUMBER(AC706)),(B706-AC706)*100,NA())</f>
        <v/>
      </c>
      <c r="AG706" s="20">
        <f>IF(AND(ISNUMBER(AE706),ISNUMBER(AD706)),(AE706-AD706)*100,NA())</f>
        <v/>
      </c>
      <c r="AH706" s="19">
        <f>IF(NOT(ISNUMBER($A706)),NA(),IFERROR(INDEX(BBG_Data!$T$2:$T$4000,MATCH($A706,BBG_Data!$S$2:$S$4000,0))*Settings!$B$25,NA()))</f>
        <v/>
      </c>
      <c r="AI706" s="19">
        <f>IF(NOT(ISNUMBER($A706)),NA(),IFERROR(INDEX(BBG_Data!$V$2:$V$4000,MATCH($A706,BBG_Data!$U$2:$U$4000,0))*Settings!$B$25,NA()))</f>
        <v/>
      </c>
      <c r="AJ706" s="19">
        <f>IF(NOT(ISNUMBER($A706)),NA(),IFERROR(1*INDEX(BBG_Data!$X$2:$X$4000,MATCH($A706,BBG_Data!$W$2:$W$4000,0)),NA()))</f>
        <v/>
      </c>
      <c r="AK706" s="19">
        <f>IF(NOT(ISNUMBER($A706)),NA(),IFERROR(1*INDEX(BBG_Data!$Z$2:$Z$4000,MATCH($A706,BBG_Data!$Y$2:$Y$4000,0)),NA()))</f>
        <v/>
      </c>
    </row>
    <row r="707">
      <c r="A707" s="17">
        <f>IF(ISNUMBER(BBG_Data!A707),BBG_Data!A707,"")</f>
        <v/>
      </c>
      <c r="B707" s="18">
        <f>IF(AND(ISNUMBER($A707),ISNUMBER(BBG_Data!B707)),BBG_Data!B707,NA())</f>
        <v/>
      </c>
      <c r="C707" s="18">
        <f>IF(NOT(ISNUMBER($A707)),NA(),IFERROR(1*INDEX(BBG_Data!$D$2:$D$4000,MATCH($A707,BBG_Data!$C$2:$C$4000,0)),NA()))</f>
        <v/>
      </c>
      <c r="D707" s="19">
        <f>IF(NOT(ISNUMBER($A707)),NA(),IFERROR(1*INDEX(BBG_Data!$F$2:$F$4000,MATCH($A707,BBG_Data!$E$2:$E$4000,0)),NA()))</f>
        <v/>
      </c>
      <c r="E707" s="19">
        <f>IF(NOT(ISNUMBER($A707)),NA(),IFERROR(1*INDEX(BBG_Data!$H$2:$H$4000,MATCH($A707,BBG_Data!$G$2:$G$4000,0)),NA()))</f>
        <v/>
      </c>
      <c r="F707" s="20">
        <f>IF(AND(ISNUMBER(B707),ISNUMBER(B706)),IF(B707=B706,"",(B707-B706)*100),"")</f>
        <v/>
      </c>
      <c r="G707" s="20">
        <f>IF(AND(ISNUMBER(C707),ISNUMBER(C706)),IF(C707=C706,"",(C707-C706)*100),"")</f>
        <v/>
      </c>
      <c r="H707" s="20">
        <f>IF(OR(NOT(ISNUMBER($A707)),ROW()-2&lt;Settings!$B$11),NA(),IF(COUNT(OFFSET(F707,1-Settings!$B$11,0,Settings!$B$11,1))&lt;ROUNDUP(Settings!$B$11*Settings!$B$26,0),NA(),STDEV(OFFSET(F707,1-Settings!$B$11,0,Settings!$B$11,1))*SQRT(Settings!$B$13)))</f>
        <v/>
      </c>
      <c r="I707" s="20">
        <f>IF(OR(NOT(ISNUMBER($A707)),ROW()-2&lt;Settings!$B$12),NA(),IF(COUNT(OFFSET(F707,1-Settings!$B$12,0,Settings!$B$12,1))&lt;ROUNDUP(Settings!$B$12*Settings!$B$26,0),NA(),STDEV(OFFSET(F707,1-Settings!$B$12,0,Settings!$B$12,1))*SQRT(Settings!$B$13)))</f>
        <v/>
      </c>
      <c r="J707" s="20">
        <f>IF(OR(NOT(ISNUMBER($A707)),ROW()-2&lt;Settings!$B$11),NA(),IF(COUNT(OFFSET(G707,1-Settings!$B$11,0,Settings!$B$11,1))&lt;ROUNDUP(Settings!$B$11*Settings!$B$26,0),NA(),STDEV(OFFSET(G707,1-Settings!$B$11,0,Settings!$B$11,1))*SQRT(Settings!$B$13)))</f>
        <v/>
      </c>
      <c r="K707" s="20">
        <f>IF(OR(NOT(ISNUMBER($A707)),ROW()-2&lt;Settings!$B$12),NA(),IF(COUNT(OFFSET(G707,1-Settings!$B$12,0,Settings!$B$12,1))&lt;ROUNDUP(Settings!$B$12*Settings!$B$26,0),NA(),STDEV(OFFSET(G707,1-Settings!$B$12,0,Settings!$B$12,1))*SQRT(Settings!$B$13)))</f>
        <v/>
      </c>
      <c r="L707" s="20">
        <f>IF(AND(ISNUMBER(D707),ISNUMBER(H707)),D707-H707,NA())</f>
        <v/>
      </c>
      <c r="M707" s="20">
        <f>IF(AND(ISNUMBER(E707),ISNUMBER(K707)),E707-K707,NA())</f>
        <v/>
      </c>
      <c r="N707" s="20">
        <f>IF(NOT(ISNUMBER($A707)),NA(),IF(COUNT(OFFSET(G707,1,0,Settings!$B$12,1))&lt;ROUNDUP(Settings!$B$12*Settings!$B$26,0),NA(),STDEV(OFFSET(G707,1,0,Settings!$B$12,1))*SQRT(Settings!$B$13)))</f>
        <v/>
      </c>
      <c r="O707" s="20">
        <f>IF(AND(ISNUMBER(E707),ISNUMBER(N707)),E707-N707,NA())</f>
        <v/>
      </c>
      <c r="P707" s="19">
        <f>IF(NOT(ISNUMBER($A707)),NA(),IF(OR($A707&lt;MIN(KW_TP!$A$2:$A$2501),$A707&gt;MAX(KW_TP!$A$2:$A$2501)),NA(),INDEX(KW_TP!$C$2:$C$2501,MATCH($A707,KW_TP!$A$2:$A$2501,1))))</f>
        <v/>
      </c>
      <c r="Q707" s="18">
        <f>IF(NOT(ISNUMBER($A707)),NA(),IFERROR(1*INDEX(BBG_Data!$J$2:$J$4000,MATCH($A707,BBG_Data!$I$2:$I$4000,0)),NA()))</f>
        <v/>
      </c>
      <c r="R707" s="18">
        <f>IF(NOT(ISNUMBER($A707)),NA(),IFERROR(1*INDEX(BBG_Data!$L$2:$L$4000,MATCH($A707,BBG_Data!$K$2:$K$4000,0)),NA()))</f>
        <v/>
      </c>
      <c r="S707" s="20">
        <f>IF(AND(ISNUMBER(B707),ISNUMBER(Q707),ISNUMBER(R707)),(B707-Q707-R707)*100,NA())</f>
        <v/>
      </c>
      <c r="T707" s="20">
        <f>IF(AND(ISNUMBER(B707),Settings!$B$17&gt;0),IF(ISNUMBER(INDEX($B:$B,Settings!$B$17)),(B707-INDEX($B:$B,Settings!$B$17))*100,NA()),NA())</f>
        <v/>
      </c>
      <c r="U707" s="20">
        <f>IF(AND(ISNUMBER(Q707),Settings!$B$17&gt;0),IF(ISNUMBER(INDEX($Q:$Q,Settings!$B$17)),(Q707-INDEX($Q:$Q,Settings!$B$17))*100,NA()),NA())</f>
        <v/>
      </c>
      <c r="V707" s="20">
        <f>IF(AND(ISNUMBER(R707),Settings!$B$17&gt;0),IF(ISNUMBER(INDEX($R:$R,Settings!$B$17)),(R707-INDEX($R:$R,Settings!$B$17))*100,NA()),NA())</f>
        <v/>
      </c>
      <c r="W707" s="20">
        <f>IF(AND(ISNUMBER(P707),Settings!$B$17&gt;0),IF(ISNUMBER(INDEX($P:$P,Settings!$B$17)),P707-INDEX($P:$P,Settings!$B$17),NA()),NA())</f>
        <v/>
      </c>
      <c r="X707" s="19">
        <f>IF(NOT(ISNUMBER($A707)),NA(),IF(OR($A707&lt;MIN(DKW_10Y!$A$2:$A$2918),$A707&gt;MAX(DKW_10Y!$A$2:$A$2918),Settings!$B$16&lt;MIN(DKW_10Y!$A$2:$A$2918)),NA(),(INDEX(DKW_10Y!$B$2:$B$2918,MATCH($A707,DKW_10Y!$A$2:$A$2918,1))-INDEX(DKW_10Y!$B$2:$B$2918,MATCH(Settings!$B$16,DKW_10Y!$A$2:$A$2918,1)))*100))</f>
        <v/>
      </c>
      <c r="Y707" s="19">
        <f>IF(NOT(ISNUMBER($A707)),NA(),IF(OR($A707&lt;MIN(DKW_10Y!$A$2:$A$2918),$A707&gt;MAX(DKW_10Y!$A$2:$A$2918),Settings!$B$16&lt;MIN(DKW_10Y!$A$2:$A$2918)),NA(),(INDEX(DKW_10Y!$C$2:$C$2918,MATCH($A707,DKW_10Y!$A$2:$A$2918,1))-INDEX(DKW_10Y!$C$2:$C$2918,MATCH(Settings!$B$16,DKW_10Y!$A$2:$A$2918,1)))*100))</f>
        <v/>
      </c>
      <c r="Z707" s="19">
        <f>IF(NOT(ISNUMBER($A707)),NA(),IF(OR($A707&lt;MIN(DKW_10Y!$A$2:$A$2918),$A707&gt;MAX(DKW_10Y!$A$2:$A$2918),Settings!$B$16&lt;MIN(DKW_10Y!$A$2:$A$2918)),NA(),(INDEX(DKW_10Y!$D$2:$D$2918,MATCH($A707,DKW_10Y!$A$2:$A$2918,1))-INDEX(DKW_10Y!$D$2:$D$2918,MATCH(Settings!$B$16,DKW_10Y!$A$2:$A$2918,1)))*100))</f>
        <v/>
      </c>
      <c r="AA707" s="19">
        <f>IF(NOT(ISNUMBER($A707)),NA(),IF(OR($A707&lt;MIN(DKW_10Y!$A$2:$A$2918),$A707&gt;MAX(DKW_10Y!$A$2:$A$2918),Settings!$B$16&lt;MIN(DKW_10Y!$A$2:$A$2918)),NA(),(INDEX(DKW_10Y!$E$2:$E$2918,MATCH($A707,DKW_10Y!$A$2:$A$2918,1))-INDEX(DKW_10Y!$E$2:$E$2918,MATCH(Settings!$B$16,DKW_10Y!$A$2:$A$2918,1)))*100))</f>
        <v/>
      </c>
      <c r="AB707" s="19">
        <f>IF(NOT(ISNUMBER($A707)),NA(),IF(OR($A707&lt;MIN(DKW_10Y!$A$2:$A$2918),$A707&gt;MAX(DKW_10Y!$A$2:$A$2918),Settings!$B$16&lt;MIN(DKW_10Y!$A$2:$A$2918)),NA(),(INDEX(DKW_10Y!$H$2:$H$2918,MATCH($A707,DKW_10Y!$A$2:$A$2918,1))-INDEX(DKW_10Y!$H$2:$H$2918,MATCH(Settings!$B$16,DKW_10Y!$A$2:$A$2918,1)))*100))</f>
        <v/>
      </c>
      <c r="AC707" s="18">
        <f>IF(NOT(ISNUMBER($A707)),NA(),IFERROR(1*INDEX(BBG_Data!$N$2:$N$4000,MATCH($A707,BBG_Data!$M$2:$M$4000,0)),NA()))</f>
        <v/>
      </c>
      <c r="AD707" s="18">
        <f>IF(NOT(ISNUMBER($A707)),NA(),IFERROR(1*INDEX(BBG_Data!$P$2:$P$4000,MATCH($A707,BBG_Data!$O$2:$O$4000,0)),NA()))</f>
        <v/>
      </c>
      <c r="AE707" s="18">
        <f>IF(NOT(ISNUMBER($A707)),NA(),IFERROR(1*INDEX(BBG_Data!$R$2:$R$4000,MATCH($A707,BBG_Data!$Q$2:$Q$4000,0)),NA()))</f>
        <v/>
      </c>
      <c r="AF707" s="20">
        <f>IF(AND(ISNUMBER(B707),ISNUMBER(AC707)),(B707-AC707)*100,NA())</f>
        <v/>
      </c>
      <c r="AG707" s="20">
        <f>IF(AND(ISNUMBER(AE707),ISNUMBER(AD707)),(AE707-AD707)*100,NA())</f>
        <v/>
      </c>
      <c r="AH707" s="19">
        <f>IF(NOT(ISNUMBER($A707)),NA(),IFERROR(INDEX(BBG_Data!$T$2:$T$4000,MATCH($A707,BBG_Data!$S$2:$S$4000,0))*Settings!$B$25,NA()))</f>
        <v/>
      </c>
      <c r="AI707" s="19">
        <f>IF(NOT(ISNUMBER($A707)),NA(),IFERROR(INDEX(BBG_Data!$V$2:$V$4000,MATCH($A707,BBG_Data!$U$2:$U$4000,0))*Settings!$B$25,NA()))</f>
        <v/>
      </c>
      <c r="AJ707" s="19">
        <f>IF(NOT(ISNUMBER($A707)),NA(),IFERROR(1*INDEX(BBG_Data!$X$2:$X$4000,MATCH($A707,BBG_Data!$W$2:$W$4000,0)),NA()))</f>
        <v/>
      </c>
      <c r="AK707" s="19">
        <f>IF(NOT(ISNUMBER($A707)),NA(),IFERROR(1*INDEX(BBG_Data!$Z$2:$Z$4000,MATCH($A707,BBG_Data!$Y$2:$Y$4000,0)),NA()))</f>
        <v/>
      </c>
    </row>
    <row r="708">
      <c r="A708" s="17">
        <f>IF(ISNUMBER(BBG_Data!A708),BBG_Data!A708,"")</f>
        <v/>
      </c>
      <c r="B708" s="18">
        <f>IF(AND(ISNUMBER($A708),ISNUMBER(BBG_Data!B708)),BBG_Data!B708,NA())</f>
        <v/>
      </c>
      <c r="C708" s="18">
        <f>IF(NOT(ISNUMBER($A708)),NA(),IFERROR(1*INDEX(BBG_Data!$D$2:$D$4000,MATCH($A708,BBG_Data!$C$2:$C$4000,0)),NA()))</f>
        <v/>
      </c>
      <c r="D708" s="19">
        <f>IF(NOT(ISNUMBER($A708)),NA(),IFERROR(1*INDEX(BBG_Data!$F$2:$F$4000,MATCH($A708,BBG_Data!$E$2:$E$4000,0)),NA()))</f>
        <v/>
      </c>
      <c r="E708" s="19">
        <f>IF(NOT(ISNUMBER($A708)),NA(),IFERROR(1*INDEX(BBG_Data!$H$2:$H$4000,MATCH($A708,BBG_Data!$G$2:$G$4000,0)),NA()))</f>
        <v/>
      </c>
      <c r="F708" s="20">
        <f>IF(AND(ISNUMBER(B708),ISNUMBER(B707)),IF(B708=B707,"",(B708-B707)*100),"")</f>
        <v/>
      </c>
      <c r="G708" s="20">
        <f>IF(AND(ISNUMBER(C708),ISNUMBER(C707)),IF(C708=C707,"",(C708-C707)*100),"")</f>
        <v/>
      </c>
      <c r="H708" s="20">
        <f>IF(OR(NOT(ISNUMBER($A708)),ROW()-2&lt;Settings!$B$11),NA(),IF(COUNT(OFFSET(F708,1-Settings!$B$11,0,Settings!$B$11,1))&lt;ROUNDUP(Settings!$B$11*Settings!$B$26,0),NA(),STDEV(OFFSET(F708,1-Settings!$B$11,0,Settings!$B$11,1))*SQRT(Settings!$B$13)))</f>
        <v/>
      </c>
      <c r="I708" s="20">
        <f>IF(OR(NOT(ISNUMBER($A708)),ROW()-2&lt;Settings!$B$12),NA(),IF(COUNT(OFFSET(F708,1-Settings!$B$12,0,Settings!$B$12,1))&lt;ROUNDUP(Settings!$B$12*Settings!$B$26,0),NA(),STDEV(OFFSET(F708,1-Settings!$B$12,0,Settings!$B$12,1))*SQRT(Settings!$B$13)))</f>
        <v/>
      </c>
      <c r="J708" s="20">
        <f>IF(OR(NOT(ISNUMBER($A708)),ROW()-2&lt;Settings!$B$11),NA(),IF(COUNT(OFFSET(G708,1-Settings!$B$11,0,Settings!$B$11,1))&lt;ROUNDUP(Settings!$B$11*Settings!$B$26,0),NA(),STDEV(OFFSET(G708,1-Settings!$B$11,0,Settings!$B$11,1))*SQRT(Settings!$B$13)))</f>
        <v/>
      </c>
      <c r="K708" s="20">
        <f>IF(OR(NOT(ISNUMBER($A708)),ROW()-2&lt;Settings!$B$12),NA(),IF(COUNT(OFFSET(G708,1-Settings!$B$12,0,Settings!$B$12,1))&lt;ROUNDUP(Settings!$B$12*Settings!$B$26,0),NA(),STDEV(OFFSET(G708,1-Settings!$B$12,0,Settings!$B$12,1))*SQRT(Settings!$B$13)))</f>
        <v/>
      </c>
      <c r="L708" s="20">
        <f>IF(AND(ISNUMBER(D708),ISNUMBER(H708)),D708-H708,NA())</f>
        <v/>
      </c>
      <c r="M708" s="20">
        <f>IF(AND(ISNUMBER(E708),ISNUMBER(K708)),E708-K708,NA())</f>
        <v/>
      </c>
      <c r="N708" s="20">
        <f>IF(NOT(ISNUMBER($A708)),NA(),IF(COUNT(OFFSET(G708,1,0,Settings!$B$12,1))&lt;ROUNDUP(Settings!$B$12*Settings!$B$26,0),NA(),STDEV(OFFSET(G708,1,0,Settings!$B$12,1))*SQRT(Settings!$B$13)))</f>
        <v/>
      </c>
      <c r="O708" s="20">
        <f>IF(AND(ISNUMBER(E708),ISNUMBER(N708)),E708-N708,NA())</f>
        <v/>
      </c>
      <c r="P708" s="19">
        <f>IF(NOT(ISNUMBER($A708)),NA(),IF(OR($A708&lt;MIN(KW_TP!$A$2:$A$2501),$A708&gt;MAX(KW_TP!$A$2:$A$2501)),NA(),INDEX(KW_TP!$C$2:$C$2501,MATCH($A708,KW_TP!$A$2:$A$2501,1))))</f>
        <v/>
      </c>
      <c r="Q708" s="18">
        <f>IF(NOT(ISNUMBER($A708)),NA(),IFERROR(1*INDEX(BBG_Data!$J$2:$J$4000,MATCH($A708,BBG_Data!$I$2:$I$4000,0)),NA()))</f>
        <v/>
      </c>
      <c r="R708" s="18">
        <f>IF(NOT(ISNUMBER($A708)),NA(),IFERROR(1*INDEX(BBG_Data!$L$2:$L$4000,MATCH($A708,BBG_Data!$K$2:$K$4000,0)),NA()))</f>
        <v/>
      </c>
      <c r="S708" s="20">
        <f>IF(AND(ISNUMBER(B708),ISNUMBER(Q708),ISNUMBER(R708)),(B708-Q708-R708)*100,NA())</f>
        <v/>
      </c>
      <c r="T708" s="20">
        <f>IF(AND(ISNUMBER(B708),Settings!$B$17&gt;0),IF(ISNUMBER(INDEX($B:$B,Settings!$B$17)),(B708-INDEX($B:$B,Settings!$B$17))*100,NA()),NA())</f>
        <v/>
      </c>
      <c r="U708" s="20">
        <f>IF(AND(ISNUMBER(Q708),Settings!$B$17&gt;0),IF(ISNUMBER(INDEX($Q:$Q,Settings!$B$17)),(Q708-INDEX($Q:$Q,Settings!$B$17))*100,NA()),NA())</f>
        <v/>
      </c>
      <c r="V708" s="20">
        <f>IF(AND(ISNUMBER(R708),Settings!$B$17&gt;0),IF(ISNUMBER(INDEX($R:$R,Settings!$B$17)),(R708-INDEX($R:$R,Settings!$B$17))*100,NA()),NA())</f>
        <v/>
      </c>
      <c r="W708" s="20">
        <f>IF(AND(ISNUMBER(P708),Settings!$B$17&gt;0),IF(ISNUMBER(INDEX($P:$P,Settings!$B$17)),P708-INDEX($P:$P,Settings!$B$17),NA()),NA())</f>
        <v/>
      </c>
      <c r="X708" s="19">
        <f>IF(NOT(ISNUMBER($A708)),NA(),IF(OR($A708&lt;MIN(DKW_10Y!$A$2:$A$2918),$A708&gt;MAX(DKW_10Y!$A$2:$A$2918),Settings!$B$16&lt;MIN(DKW_10Y!$A$2:$A$2918)),NA(),(INDEX(DKW_10Y!$B$2:$B$2918,MATCH($A708,DKW_10Y!$A$2:$A$2918,1))-INDEX(DKW_10Y!$B$2:$B$2918,MATCH(Settings!$B$16,DKW_10Y!$A$2:$A$2918,1)))*100))</f>
        <v/>
      </c>
      <c r="Y708" s="19">
        <f>IF(NOT(ISNUMBER($A708)),NA(),IF(OR($A708&lt;MIN(DKW_10Y!$A$2:$A$2918),$A708&gt;MAX(DKW_10Y!$A$2:$A$2918),Settings!$B$16&lt;MIN(DKW_10Y!$A$2:$A$2918)),NA(),(INDEX(DKW_10Y!$C$2:$C$2918,MATCH($A708,DKW_10Y!$A$2:$A$2918,1))-INDEX(DKW_10Y!$C$2:$C$2918,MATCH(Settings!$B$16,DKW_10Y!$A$2:$A$2918,1)))*100))</f>
        <v/>
      </c>
      <c r="Z708" s="19">
        <f>IF(NOT(ISNUMBER($A708)),NA(),IF(OR($A708&lt;MIN(DKW_10Y!$A$2:$A$2918),$A708&gt;MAX(DKW_10Y!$A$2:$A$2918),Settings!$B$16&lt;MIN(DKW_10Y!$A$2:$A$2918)),NA(),(INDEX(DKW_10Y!$D$2:$D$2918,MATCH($A708,DKW_10Y!$A$2:$A$2918,1))-INDEX(DKW_10Y!$D$2:$D$2918,MATCH(Settings!$B$16,DKW_10Y!$A$2:$A$2918,1)))*100))</f>
        <v/>
      </c>
      <c r="AA708" s="19">
        <f>IF(NOT(ISNUMBER($A708)),NA(),IF(OR($A708&lt;MIN(DKW_10Y!$A$2:$A$2918),$A708&gt;MAX(DKW_10Y!$A$2:$A$2918),Settings!$B$16&lt;MIN(DKW_10Y!$A$2:$A$2918)),NA(),(INDEX(DKW_10Y!$E$2:$E$2918,MATCH($A708,DKW_10Y!$A$2:$A$2918,1))-INDEX(DKW_10Y!$E$2:$E$2918,MATCH(Settings!$B$16,DKW_10Y!$A$2:$A$2918,1)))*100))</f>
        <v/>
      </c>
      <c r="AB708" s="19">
        <f>IF(NOT(ISNUMBER($A708)),NA(),IF(OR($A708&lt;MIN(DKW_10Y!$A$2:$A$2918),$A708&gt;MAX(DKW_10Y!$A$2:$A$2918),Settings!$B$16&lt;MIN(DKW_10Y!$A$2:$A$2918)),NA(),(INDEX(DKW_10Y!$H$2:$H$2918,MATCH($A708,DKW_10Y!$A$2:$A$2918,1))-INDEX(DKW_10Y!$H$2:$H$2918,MATCH(Settings!$B$16,DKW_10Y!$A$2:$A$2918,1)))*100))</f>
        <v/>
      </c>
      <c r="AC708" s="18">
        <f>IF(NOT(ISNUMBER($A708)),NA(),IFERROR(1*INDEX(BBG_Data!$N$2:$N$4000,MATCH($A708,BBG_Data!$M$2:$M$4000,0)),NA()))</f>
        <v/>
      </c>
      <c r="AD708" s="18">
        <f>IF(NOT(ISNUMBER($A708)),NA(),IFERROR(1*INDEX(BBG_Data!$P$2:$P$4000,MATCH($A708,BBG_Data!$O$2:$O$4000,0)),NA()))</f>
        <v/>
      </c>
      <c r="AE708" s="18">
        <f>IF(NOT(ISNUMBER($A708)),NA(),IFERROR(1*INDEX(BBG_Data!$R$2:$R$4000,MATCH($A708,BBG_Data!$Q$2:$Q$4000,0)),NA()))</f>
        <v/>
      </c>
      <c r="AF708" s="20">
        <f>IF(AND(ISNUMBER(B708),ISNUMBER(AC708)),(B708-AC708)*100,NA())</f>
        <v/>
      </c>
      <c r="AG708" s="20">
        <f>IF(AND(ISNUMBER(AE708),ISNUMBER(AD708)),(AE708-AD708)*100,NA())</f>
        <v/>
      </c>
      <c r="AH708" s="19">
        <f>IF(NOT(ISNUMBER($A708)),NA(),IFERROR(INDEX(BBG_Data!$T$2:$T$4000,MATCH($A708,BBG_Data!$S$2:$S$4000,0))*Settings!$B$25,NA()))</f>
        <v/>
      </c>
      <c r="AI708" s="19">
        <f>IF(NOT(ISNUMBER($A708)),NA(),IFERROR(INDEX(BBG_Data!$V$2:$V$4000,MATCH($A708,BBG_Data!$U$2:$U$4000,0))*Settings!$B$25,NA()))</f>
        <v/>
      </c>
      <c r="AJ708" s="19">
        <f>IF(NOT(ISNUMBER($A708)),NA(),IFERROR(1*INDEX(BBG_Data!$X$2:$X$4000,MATCH($A708,BBG_Data!$W$2:$W$4000,0)),NA()))</f>
        <v/>
      </c>
      <c r="AK708" s="19">
        <f>IF(NOT(ISNUMBER($A708)),NA(),IFERROR(1*INDEX(BBG_Data!$Z$2:$Z$4000,MATCH($A708,BBG_Data!$Y$2:$Y$4000,0)),NA()))</f>
        <v/>
      </c>
    </row>
    <row r="709">
      <c r="A709" s="17">
        <f>IF(ISNUMBER(BBG_Data!A709),BBG_Data!A709,"")</f>
        <v/>
      </c>
      <c r="B709" s="18">
        <f>IF(AND(ISNUMBER($A709),ISNUMBER(BBG_Data!B709)),BBG_Data!B709,NA())</f>
        <v/>
      </c>
      <c r="C709" s="18">
        <f>IF(NOT(ISNUMBER($A709)),NA(),IFERROR(1*INDEX(BBG_Data!$D$2:$D$4000,MATCH($A709,BBG_Data!$C$2:$C$4000,0)),NA()))</f>
        <v/>
      </c>
      <c r="D709" s="19">
        <f>IF(NOT(ISNUMBER($A709)),NA(),IFERROR(1*INDEX(BBG_Data!$F$2:$F$4000,MATCH($A709,BBG_Data!$E$2:$E$4000,0)),NA()))</f>
        <v/>
      </c>
      <c r="E709" s="19">
        <f>IF(NOT(ISNUMBER($A709)),NA(),IFERROR(1*INDEX(BBG_Data!$H$2:$H$4000,MATCH($A709,BBG_Data!$G$2:$G$4000,0)),NA()))</f>
        <v/>
      </c>
      <c r="F709" s="20">
        <f>IF(AND(ISNUMBER(B709),ISNUMBER(B708)),IF(B709=B708,"",(B709-B708)*100),"")</f>
        <v/>
      </c>
      <c r="G709" s="20">
        <f>IF(AND(ISNUMBER(C709),ISNUMBER(C708)),IF(C709=C708,"",(C709-C708)*100),"")</f>
        <v/>
      </c>
      <c r="H709" s="20">
        <f>IF(OR(NOT(ISNUMBER($A709)),ROW()-2&lt;Settings!$B$11),NA(),IF(COUNT(OFFSET(F709,1-Settings!$B$11,0,Settings!$B$11,1))&lt;ROUNDUP(Settings!$B$11*Settings!$B$26,0),NA(),STDEV(OFFSET(F709,1-Settings!$B$11,0,Settings!$B$11,1))*SQRT(Settings!$B$13)))</f>
        <v/>
      </c>
      <c r="I709" s="20">
        <f>IF(OR(NOT(ISNUMBER($A709)),ROW()-2&lt;Settings!$B$12),NA(),IF(COUNT(OFFSET(F709,1-Settings!$B$12,0,Settings!$B$12,1))&lt;ROUNDUP(Settings!$B$12*Settings!$B$26,0),NA(),STDEV(OFFSET(F709,1-Settings!$B$12,0,Settings!$B$12,1))*SQRT(Settings!$B$13)))</f>
        <v/>
      </c>
      <c r="J709" s="20">
        <f>IF(OR(NOT(ISNUMBER($A709)),ROW()-2&lt;Settings!$B$11),NA(),IF(COUNT(OFFSET(G709,1-Settings!$B$11,0,Settings!$B$11,1))&lt;ROUNDUP(Settings!$B$11*Settings!$B$26,0),NA(),STDEV(OFFSET(G709,1-Settings!$B$11,0,Settings!$B$11,1))*SQRT(Settings!$B$13)))</f>
        <v/>
      </c>
      <c r="K709" s="20">
        <f>IF(OR(NOT(ISNUMBER($A709)),ROW()-2&lt;Settings!$B$12),NA(),IF(COUNT(OFFSET(G709,1-Settings!$B$12,0,Settings!$B$12,1))&lt;ROUNDUP(Settings!$B$12*Settings!$B$26,0),NA(),STDEV(OFFSET(G709,1-Settings!$B$12,0,Settings!$B$12,1))*SQRT(Settings!$B$13)))</f>
        <v/>
      </c>
      <c r="L709" s="20">
        <f>IF(AND(ISNUMBER(D709),ISNUMBER(H709)),D709-H709,NA())</f>
        <v/>
      </c>
      <c r="M709" s="20">
        <f>IF(AND(ISNUMBER(E709),ISNUMBER(K709)),E709-K709,NA())</f>
        <v/>
      </c>
      <c r="N709" s="20">
        <f>IF(NOT(ISNUMBER($A709)),NA(),IF(COUNT(OFFSET(G709,1,0,Settings!$B$12,1))&lt;ROUNDUP(Settings!$B$12*Settings!$B$26,0),NA(),STDEV(OFFSET(G709,1,0,Settings!$B$12,1))*SQRT(Settings!$B$13)))</f>
        <v/>
      </c>
      <c r="O709" s="20">
        <f>IF(AND(ISNUMBER(E709),ISNUMBER(N709)),E709-N709,NA())</f>
        <v/>
      </c>
      <c r="P709" s="19">
        <f>IF(NOT(ISNUMBER($A709)),NA(),IF(OR($A709&lt;MIN(KW_TP!$A$2:$A$2501),$A709&gt;MAX(KW_TP!$A$2:$A$2501)),NA(),INDEX(KW_TP!$C$2:$C$2501,MATCH($A709,KW_TP!$A$2:$A$2501,1))))</f>
        <v/>
      </c>
      <c r="Q709" s="18">
        <f>IF(NOT(ISNUMBER($A709)),NA(),IFERROR(1*INDEX(BBG_Data!$J$2:$J$4000,MATCH($A709,BBG_Data!$I$2:$I$4000,0)),NA()))</f>
        <v/>
      </c>
      <c r="R709" s="18">
        <f>IF(NOT(ISNUMBER($A709)),NA(),IFERROR(1*INDEX(BBG_Data!$L$2:$L$4000,MATCH($A709,BBG_Data!$K$2:$K$4000,0)),NA()))</f>
        <v/>
      </c>
      <c r="S709" s="20">
        <f>IF(AND(ISNUMBER(B709),ISNUMBER(Q709),ISNUMBER(R709)),(B709-Q709-R709)*100,NA())</f>
        <v/>
      </c>
      <c r="T709" s="20">
        <f>IF(AND(ISNUMBER(B709),Settings!$B$17&gt;0),IF(ISNUMBER(INDEX($B:$B,Settings!$B$17)),(B709-INDEX($B:$B,Settings!$B$17))*100,NA()),NA())</f>
        <v/>
      </c>
      <c r="U709" s="20">
        <f>IF(AND(ISNUMBER(Q709),Settings!$B$17&gt;0),IF(ISNUMBER(INDEX($Q:$Q,Settings!$B$17)),(Q709-INDEX($Q:$Q,Settings!$B$17))*100,NA()),NA())</f>
        <v/>
      </c>
      <c r="V709" s="20">
        <f>IF(AND(ISNUMBER(R709),Settings!$B$17&gt;0),IF(ISNUMBER(INDEX($R:$R,Settings!$B$17)),(R709-INDEX($R:$R,Settings!$B$17))*100,NA()),NA())</f>
        <v/>
      </c>
      <c r="W709" s="20">
        <f>IF(AND(ISNUMBER(P709),Settings!$B$17&gt;0),IF(ISNUMBER(INDEX($P:$P,Settings!$B$17)),P709-INDEX($P:$P,Settings!$B$17),NA()),NA())</f>
        <v/>
      </c>
      <c r="X709" s="19">
        <f>IF(NOT(ISNUMBER($A709)),NA(),IF(OR($A709&lt;MIN(DKW_10Y!$A$2:$A$2918),$A709&gt;MAX(DKW_10Y!$A$2:$A$2918),Settings!$B$16&lt;MIN(DKW_10Y!$A$2:$A$2918)),NA(),(INDEX(DKW_10Y!$B$2:$B$2918,MATCH($A709,DKW_10Y!$A$2:$A$2918,1))-INDEX(DKW_10Y!$B$2:$B$2918,MATCH(Settings!$B$16,DKW_10Y!$A$2:$A$2918,1)))*100))</f>
        <v/>
      </c>
      <c r="Y709" s="19">
        <f>IF(NOT(ISNUMBER($A709)),NA(),IF(OR($A709&lt;MIN(DKW_10Y!$A$2:$A$2918),$A709&gt;MAX(DKW_10Y!$A$2:$A$2918),Settings!$B$16&lt;MIN(DKW_10Y!$A$2:$A$2918)),NA(),(INDEX(DKW_10Y!$C$2:$C$2918,MATCH($A709,DKW_10Y!$A$2:$A$2918,1))-INDEX(DKW_10Y!$C$2:$C$2918,MATCH(Settings!$B$16,DKW_10Y!$A$2:$A$2918,1)))*100))</f>
        <v/>
      </c>
      <c r="Z709" s="19">
        <f>IF(NOT(ISNUMBER($A709)),NA(),IF(OR($A709&lt;MIN(DKW_10Y!$A$2:$A$2918),$A709&gt;MAX(DKW_10Y!$A$2:$A$2918),Settings!$B$16&lt;MIN(DKW_10Y!$A$2:$A$2918)),NA(),(INDEX(DKW_10Y!$D$2:$D$2918,MATCH($A709,DKW_10Y!$A$2:$A$2918,1))-INDEX(DKW_10Y!$D$2:$D$2918,MATCH(Settings!$B$16,DKW_10Y!$A$2:$A$2918,1)))*100))</f>
        <v/>
      </c>
      <c r="AA709" s="19">
        <f>IF(NOT(ISNUMBER($A709)),NA(),IF(OR($A709&lt;MIN(DKW_10Y!$A$2:$A$2918),$A709&gt;MAX(DKW_10Y!$A$2:$A$2918),Settings!$B$16&lt;MIN(DKW_10Y!$A$2:$A$2918)),NA(),(INDEX(DKW_10Y!$E$2:$E$2918,MATCH($A709,DKW_10Y!$A$2:$A$2918,1))-INDEX(DKW_10Y!$E$2:$E$2918,MATCH(Settings!$B$16,DKW_10Y!$A$2:$A$2918,1)))*100))</f>
        <v/>
      </c>
      <c r="AB709" s="19">
        <f>IF(NOT(ISNUMBER($A709)),NA(),IF(OR($A709&lt;MIN(DKW_10Y!$A$2:$A$2918),$A709&gt;MAX(DKW_10Y!$A$2:$A$2918),Settings!$B$16&lt;MIN(DKW_10Y!$A$2:$A$2918)),NA(),(INDEX(DKW_10Y!$H$2:$H$2918,MATCH($A709,DKW_10Y!$A$2:$A$2918,1))-INDEX(DKW_10Y!$H$2:$H$2918,MATCH(Settings!$B$16,DKW_10Y!$A$2:$A$2918,1)))*100))</f>
        <v/>
      </c>
      <c r="AC709" s="18">
        <f>IF(NOT(ISNUMBER($A709)),NA(),IFERROR(1*INDEX(BBG_Data!$N$2:$N$4000,MATCH($A709,BBG_Data!$M$2:$M$4000,0)),NA()))</f>
        <v/>
      </c>
      <c r="AD709" s="18">
        <f>IF(NOT(ISNUMBER($A709)),NA(),IFERROR(1*INDEX(BBG_Data!$P$2:$P$4000,MATCH($A709,BBG_Data!$O$2:$O$4000,0)),NA()))</f>
        <v/>
      </c>
      <c r="AE709" s="18">
        <f>IF(NOT(ISNUMBER($A709)),NA(),IFERROR(1*INDEX(BBG_Data!$R$2:$R$4000,MATCH($A709,BBG_Data!$Q$2:$Q$4000,0)),NA()))</f>
        <v/>
      </c>
      <c r="AF709" s="20">
        <f>IF(AND(ISNUMBER(B709),ISNUMBER(AC709)),(B709-AC709)*100,NA())</f>
        <v/>
      </c>
      <c r="AG709" s="20">
        <f>IF(AND(ISNUMBER(AE709),ISNUMBER(AD709)),(AE709-AD709)*100,NA())</f>
        <v/>
      </c>
      <c r="AH709" s="19">
        <f>IF(NOT(ISNUMBER($A709)),NA(),IFERROR(INDEX(BBG_Data!$T$2:$T$4000,MATCH($A709,BBG_Data!$S$2:$S$4000,0))*Settings!$B$25,NA()))</f>
        <v/>
      </c>
      <c r="AI709" s="19">
        <f>IF(NOT(ISNUMBER($A709)),NA(),IFERROR(INDEX(BBG_Data!$V$2:$V$4000,MATCH($A709,BBG_Data!$U$2:$U$4000,0))*Settings!$B$25,NA()))</f>
        <v/>
      </c>
      <c r="AJ709" s="19">
        <f>IF(NOT(ISNUMBER($A709)),NA(),IFERROR(1*INDEX(BBG_Data!$X$2:$X$4000,MATCH($A709,BBG_Data!$W$2:$W$4000,0)),NA()))</f>
        <v/>
      </c>
      <c r="AK709" s="19">
        <f>IF(NOT(ISNUMBER($A709)),NA(),IFERROR(1*INDEX(BBG_Data!$Z$2:$Z$4000,MATCH($A709,BBG_Data!$Y$2:$Y$4000,0)),NA()))</f>
        <v/>
      </c>
    </row>
    <row r="710">
      <c r="A710" s="17">
        <f>IF(ISNUMBER(BBG_Data!A710),BBG_Data!A710,"")</f>
        <v/>
      </c>
      <c r="B710" s="18">
        <f>IF(AND(ISNUMBER($A710),ISNUMBER(BBG_Data!B710)),BBG_Data!B710,NA())</f>
        <v/>
      </c>
      <c r="C710" s="18">
        <f>IF(NOT(ISNUMBER($A710)),NA(),IFERROR(1*INDEX(BBG_Data!$D$2:$D$4000,MATCH($A710,BBG_Data!$C$2:$C$4000,0)),NA()))</f>
        <v/>
      </c>
      <c r="D710" s="19">
        <f>IF(NOT(ISNUMBER($A710)),NA(),IFERROR(1*INDEX(BBG_Data!$F$2:$F$4000,MATCH($A710,BBG_Data!$E$2:$E$4000,0)),NA()))</f>
        <v/>
      </c>
      <c r="E710" s="19">
        <f>IF(NOT(ISNUMBER($A710)),NA(),IFERROR(1*INDEX(BBG_Data!$H$2:$H$4000,MATCH($A710,BBG_Data!$G$2:$G$4000,0)),NA()))</f>
        <v/>
      </c>
      <c r="F710" s="20">
        <f>IF(AND(ISNUMBER(B710),ISNUMBER(B709)),IF(B710=B709,"",(B710-B709)*100),"")</f>
        <v/>
      </c>
      <c r="G710" s="20">
        <f>IF(AND(ISNUMBER(C710),ISNUMBER(C709)),IF(C710=C709,"",(C710-C709)*100),"")</f>
        <v/>
      </c>
      <c r="H710" s="20">
        <f>IF(OR(NOT(ISNUMBER($A710)),ROW()-2&lt;Settings!$B$11),NA(),IF(COUNT(OFFSET(F710,1-Settings!$B$11,0,Settings!$B$11,1))&lt;ROUNDUP(Settings!$B$11*Settings!$B$26,0),NA(),STDEV(OFFSET(F710,1-Settings!$B$11,0,Settings!$B$11,1))*SQRT(Settings!$B$13)))</f>
        <v/>
      </c>
      <c r="I710" s="20">
        <f>IF(OR(NOT(ISNUMBER($A710)),ROW()-2&lt;Settings!$B$12),NA(),IF(COUNT(OFFSET(F710,1-Settings!$B$12,0,Settings!$B$12,1))&lt;ROUNDUP(Settings!$B$12*Settings!$B$26,0),NA(),STDEV(OFFSET(F710,1-Settings!$B$12,0,Settings!$B$12,1))*SQRT(Settings!$B$13)))</f>
        <v/>
      </c>
      <c r="J710" s="20">
        <f>IF(OR(NOT(ISNUMBER($A710)),ROW()-2&lt;Settings!$B$11),NA(),IF(COUNT(OFFSET(G710,1-Settings!$B$11,0,Settings!$B$11,1))&lt;ROUNDUP(Settings!$B$11*Settings!$B$26,0),NA(),STDEV(OFFSET(G710,1-Settings!$B$11,0,Settings!$B$11,1))*SQRT(Settings!$B$13)))</f>
        <v/>
      </c>
      <c r="K710" s="20">
        <f>IF(OR(NOT(ISNUMBER($A710)),ROW()-2&lt;Settings!$B$12),NA(),IF(COUNT(OFFSET(G710,1-Settings!$B$12,0,Settings!$B$12,1))&lt;ROUNDUP(Settings!$B$12*Settings!$B$26,0),NA(),STDEV(OFFSET(G710,1-Settings!$B$12,0,Settings!$B$12,1))*SQRT(Settings!$B$13)))</f>
        <v/>
      </c>
      <c r="L710" s="20">
        <f>IF(AND(ISNUMBER(D710),ISNUMBER(H710)),D710-H710,NA())</f>
        <v/>
      </c>
      <c r="M710" s="20">
        <f>IF(AND(ISNUMBER(E710),ISNUMBER(K710)),E710-K710,NA())</f>
        <v/>
      </c>
      <c r="N710" s="20">
        <f>IF(NOT(ISNUMBER($A710)),NA(),IF(COUNT(OFFSET(G710,1,0,Settings!$B$12,1))&lt;ROUNDUP(Settings!$B$12*Settings!$B$26,0),NA(),STDEV(OFFSET(G710,1,0,Settings!$B$12,1))*SQRT(Settings!$B$13)))</f>
        <v/>
      </c>
      <c r="O710" s="20">
        <f>IF(AND(ISNUMBER(E710),ISNUMBER(N710)),E710-N710,NA())</f>
        <v/>
      </c>
      <c r="P710" s="19">
        <f>IF(NOT(ISNUMBER($A710)),NA(),IF(OR($A710&lt;MIN(KW_TP!$A$2:$A$2501),$A710&gt;MAX(KW_TP!$A$2:$A$2501)),NA(),INDEX(KW_TP!$C$2:$C$2501,MATCH($A710,KW_TP!$A$2:$A$2501,1))))</f>
        <v/>
      </c>
      <c r="Q710" s="18">
        <f>IF(NOT(ISNUMBER($A710)),NA(),IFERROR(1*INDEX(BBG_Data!$J$2:$J$4000,MATCH($A710,BBG_Data!$I$2:$I$4000,0)),NA()))</f>
        <v/>
      </c>
      <c r="R710" s="18">
        <f>IF(NOT(ISNUMBER($A710)),NA(),IFERROR(1*INDEX(BBG_Data!$L$2:$L$4000,MATCH($A710,BBG_Data!$K$2:$K$4000,0)),NA()))</f>
        <v/>
      </c>
      <c r="S710" s="20">
        <f>IF(AND(ISNUMBER(B710),ISNUMBER(Q710),ISNUMBER(R710)),(B710-Q710-R710)*100,NA())</f>
        <v/>
      </c>
      <c r="T710" s="20">
        <f>IF(AND(ISNUMBER(B710),Settings!$B$17&gt;0),IF(ISNUMBER(INDEX($B:$B,Settings!$B$17)),(B710-INDEX($B:$B,Settings!$B$17))*100,NA()),NA())</f>
        <v/>
      </c>
      <c r="U710" s="20">
        <f>IF(AND(ISNUMBER(Q710),Settings!$B$17&gt;0),IF(ISNUMBER(INDEX($Q:$Q,Settings!$B$17)),(Q710-INDEX($Q:$Q,Settings!$B$17))*100,NA()),NA())</f>
        <v/>
      </c>
      <c r="V710" s="20">
        <f>IF(AND(ISNUMBER(R710),Settings!$B$17&gt;0),IF(ISNUMBER(INDEX($R:$R,Settings!$B$17)),(R710-INDEX($R:$R,Settings!$B$17))*100,NA()),NA())</f>
        <v/>
      </c>
      <c r="W710" s="20">
        <f>IF(AND(ISNUMBER(P710),Settings!$B$17&gt;0),IF(ISNUMBER(INDEX($P:$P,Settings!$B$17)),P710-INDEX($P:$P,Settings!$B$17),NA()),NA())</f>
        <v/>
      </c>
      <c r="X710" s="19">
        <f>IF(NOT(ISNUMBER($A710)),NA(),IF(OR($A710&lt;MIN(DKW_10Y!$A$2:$A$2918),$A710&gt;MAX(DKW_10Y!$A$2:$A$2918),Settings!$B$16&lt;MIN(DKW_10Y!$A$2:$A$2918)),NA(),(INDEX(DKW_10Y!$B$2:$B$2918,MATCH($A710,DKW_10Y!$A$2:$A$2918,1))-INDEX(DKW_10Y!$B$2:$B$2918,MATCH(Settings!$B$16,DKW_10Y!$A$2:$A$2918,1)))*100))</f>
        <v/>
      </c>
      <c r="Y710" s="19">
        <f>IF(NOT(ISNUMBER($A710)),NA(),IF(OR($A710&lt;MIN(DKW_10Y!$A$2:$A$2918),$A710&gt;MAX(DKW_10Y!$A$2:$A$2918),Settings!$B$16&lt;MIN(DKW_10Y!$A$2:$A$2918)),NA(),(INDEX(DKW_10Y!$C$2:$C$2918,MATCH($A710,DKW_10Y!$A$2:$A$2918,1))-INDEX(DKW_10Y!$C$2:$C$2918,MATCH(Settings!$B$16,DKW_10Y!$A$2:$A$2918,1)))*100))</f>
        <v/>
      </c>
      <c r="Z710" s="19">
        <f>IF(NOT(ISNUMBER($A710)),NA(),IF(OR($A710&lt;MIN(DKW_10Y!$A$2:$A$2918),$A710&gt;MAX(DKW_10Y!$A$2:$A$2918),Settings!$B$16&lt;MIN(DKW_10Y!$A$2:$A$2918)),NA(),(INDEX(DKW_10Y!$D$2:$D$2918,MATCH($A710,DKW_10Y!$A$2:$A$2918,1))-INDEX(DKW_10Y!$D$2:$D$2918,MATCH(Settings!$B$16,DKW_10Y!$A$2:$A$2918,1)))*100))</f>
        <v/>
      </c>
      <c r="AA710" s="19">
        <f>IF(NOT(ISNUMBER($A710)),NA(),IF(OR($A710&lt;MIN(DKW_10Y!$A$2:$A$2918),$A710&gt;MAX(DKW_10Y!$A$2:$A$2918),Settings!$B$16&lt;MIN(DKW_10Y!$A$2:$A$2918)),NA(),(INDEX(DKW_10Y!$E$2:$E$2918,MATCH($A710,DKW_10Y!$A$2:$A$2918,1))-INDEX(DKW_10Y!$E$2:$E$2918,MATCH(Settings!$B$16,DKW_10Y!$A$2:$A$2918,1)))*100))</f>
        <v/>
      </c>
      <c r="AB710" s="19">
        <f>IF(NOT(ISNUMBER($A710)),NA(),IF(OR($A710&lt;MIN(DKW_10Y!$A$2:$A$2918),$A710&gt;MAX(DKW_10Y!$A$2:$A$2918),Settings!$B$16&lt;MIN(DKW_10Y!$A$2:$A$2918)),NA(),(INDEX(DKW_10Y!$H$2:$H$2918,MATCH($A710,DKW_10Y!$A$2:$A$2918,1))-INDEX(DKW_10Y!$H$2:$H$2918,MATCH(Settings!$B$16,DKW_10Y!$A$2:$A$2918,1)))*100))</f>
        <v/>
      </c>
      <c r="AC710" s="18">
        <f>IF(NOT(ISNUMBER($A710)),NA(),IFERROR(1*INDEX(BBG_Data!$N$2:$N$4000,MATCH($A710,BBG_Data!$M$2:$M$4000,0)),NA()))</f>
        <v/>
      </c>
      <c r="AD710" s="18">
        <f>IF(NOT(ISNUMBER($A710)),NA(),IFERROR(1*INDEX(BBG_Data!$P$2:$P$4000,MATCH($A710,BBG_Data!$O$2:$O$4000,0)),NA()))</f>
        <v/>
      </c>
      <c r="AE710" s="18">
        <f>IF(NOT(ISNUMBER($A710)),NA(),IFERROR(1*INDEX(BBG_Data!$R$2:$R$4000,MATCH($A710,BBG_Data!$Q$2:$Q$4000,0)),NA()))</f>
        <v/>
      </c>
      <c r="AF710" s="20">
        <f>IF(AND(ISNUMBER(B710),ISNUMBER(AC710)),(B710-AC710)*100,NA())</f>
        <v/>
      </c>
      <c r="AG710" s="20">
        <f>IF(AND(ISNUMBER(AE710),ISNUMBER(AD710)),(AE710-AD710)*100,NA())</f>
        <v/>
      </c>
      <c r="AH710" s="19">
        <f>IF(NOT(ISNUMBER($A710)),NA(),IFERROR(INDEX(BBG_Data!$T$2:$T$4000,MATCH($A710,BBG_Data!$S$2:$S$4000,0))*Settings!$B$25,NA()))</f>
        <v/>
      </c>
      <c r="AI710" s="19">
        <f>IF(NOT(ISNUMBER($A710)),NA(),IFERROR(INDEX(BBG_Data!$V$2:$V$4000,MATCH($A710,BBG_Data!$U$2:$U$4000,0))*Settings!$B$25,NA()))</f>
        <v/>
      </c>
      <c r="AJ710" s="19">
        <f>IF(NOT(ISNUMBER($A710)),NA(),IFERROR(1*INDEX(BBG_Data!$X$2:$X$4000,MATCH($A710,BBG_Data!$W$2:$W$4000,0)),NA()))</f>
        <v/>
      </c>
      <c r="AK710" s="19">
        <f>IF(NOT(ISNUMBER($A710)),NA(),IFERROR(1*INDEX(BBG_Data!$Z$2:$Z$4000,MATCH($A710,BBG_Data!$Y$2:$Y$4000,0)),NA()))</f>
        <v/>
      </c>
    </row>
    <row r="711">
      <c r="A711" s="17">
        <f>IF(ISNUMBER(BBG_Data!A711),BBG_Data!A711,"")</f>
        <v/>
      </c>
      <c r="B711" s="18">
        <f>IF(AND(ISNUMBER($A711),ISNUMBER(BBG_Data!B711)),BBG_Data!B711,NA())</f>
        <v/>
      </c>
      <c r="C711" s="18">
        <f>IF(NOT(ISNUMBER($A711)),NA(),IFERROR(1*INDEX(BBG_Data!$D$2:$D$4000,MATCH($A711,BBG_Data!$C$2:$C$4000,0)),NA()))</f>
        <v/>
      </c>
      <c r="D711" s="19">
        <f>IF(NOT(ISNUMBER($A711)),NA(),IFERROR(1*INDEX(BBG_Data!$F$2:$F$4000,MATCH($A711,BBG_Data!$E$2:$E$4000,0)),NA()))</f>
        <v/>
      </c>
      <c r="E711" s="19">
        <f>IF(NOT(ISNUMBER($A711)),NA(),IFERROR(1*INDEX(BBG_Data!$H$2:$H$4000,MATCH($A711,BBG_Data!$G$2:$G$4000,0)),NA()))</f>
        <v/>
      </c>
      <c r="F711" s="20">
        <f>IF(AND(ISNUMBER(B711),ISNUMBER(B710)),IF(B711=B710,"",(B711-B710)*100),"")</f>
        <v/>
      </c>
      <c r="G711" s="20">
        <f>IF(AND(ISNUMBER(C711),ISNUMBER(C710)),IF(C711=C710,"",(C711-C710)*100),"")</f>
        <v/>
      </c>
      <c r="H711" s="20">
        <f>IF(OR(NOT(ISNUMBER($A711)),ROW()-2&lt;Settings!$B$11),NA(),IF(COUNT(OFFSET(F711,1-Settings!$B$11,0,Settings!$B$11,1))&lt;ROUNDUP(Settings!$B$11*Settings!$B$26,0),NA(),STDEV(OFFSET(F711,1-Settings!$B$11,0,Settings!$B$11,1))*SQRT(Settings!$B$13)))</f>
        <v/>
      </c>
      <c r="I711" s="20">
        <f>IF(OR(NOT(ISNUMBER($A711)),ROW()-2&lt;Settings!$B$12),NA(),IF(COUNT(OFFSET(F711,1-Settings!$B$12,0,Settings!$B$12,1))&lt;ROUNDUP(Settings!$B$12*Settings!$B$26,0),NA(),STDEV(OFFSET(F711,1-Settings!$B$12,0,Settings!$B$12,1))*SQRT(Settings!$B$13)))</f>
        <v/>
      </c>
      <c r="J711" s="20">
        <f>IF(OR(NOT(ISNUMBER($A711)),ROW()-2&lt;Settings!$B$11),NA(),IF(COUNT(OFFSET(G711,1-Settings!$B$11,0,Settings!$B$11,1))&lt;ROUNDUP(Settings!$B$11*Settings!$B$26,0),NA(),STDEV(OFFSET(G711,1-Settings!$B$11,0,Settings!$B$11,1))*SQRT(Settings!$B$13)))</f>
        <v/>
      </c>
      <c r="K711" s="20">
        <f>IF(OR(NOT(ISNUMBER($A711)),ROW()-2&lt;Settings!$B$12),NA(),IF(COUNT(OFFSET(G711,1-Settings!$B$12,0,Settings!$B$12,1))&lt;ROUNDUP(Settings!$B$12*Settings!$B$26,0),NA(),STDEV(OFFSET(G711,1-Settings!$B$12,0,Settings!$B$12,1))*SQRT(Settings!$B$13)))</f>
        <v/>
      </c>
      <c r="L711" s="20">
        <f>IF(AND(ISNUMBER(D711),ISNUMBER(H711)),D711-H711,NA())</f>
        <v/>
      </c>
      <c r="M711" s="20">
        <f>IF(AND(ISNUMBER(E711),ISNUMBER(K711)),E711-K711,NA())</f>
        <v/>
      </c>
      <c r="N711" s="20">
        <f>IF(NOT(ISNUMBER($A711)),NA(),IF(COUNT(OFFSET(G711,1,0,Settings!$B$12,1))&lt;ROUNDUP(Settings!$B$12*Settings!$B$26,0),NA(),STDEV(OFFSET(G711,1,0,Settings!$B$12,1))*SQRT(Settings!$B$13)))</f>
        <v/>
      </c>
      <c r="O711" s="20">
        <f>IF(AND(ISNUMBER(E711),ISNUMBER(N711)),E711-N711,NA())</f>
        <v/>
      </c>
      <c r="P711" s="19">
        <f>IF(NOT(ISNUMBER($A711)),NA(),IF(OR($A711&lt;MIN(KW_TP!$A$2:$A$2501),$A711&gt;MAX(KW_TP!$A$2:$A$2501)),NA(),INDEX(KW_TP!$C$2:$C$2501,MATCH($A711,KW_TP!$A$2:$A$2501,1))))</f>
        <v/>
      </c>
      <c r="Q711" s="18">
        <f>IF(NOT(ISNUMBER($A711)),NA(),IFERROR(1*INDEX(BBG_Data!$J$2:$J$4000,MATCH($A711,BBG_Data!$I$2:$I$4000,0)),NA()))</f>
        <v/>
      </c>
      <c r="R711" s="18">
        <f>IF(NOT(ISNUMBER($A711)),NA(),IFERROR(1*INDEX(BBG_Data!$L$2:$L$4000,MATCH($A711,BBG_Data!$K$2:$K$4000,0)),NA()))</f>
        <v/>
      </c>
      <c r="S711" s="20">
        <f>IF(AND(ISNUMBER(B711),ISNUMBER(Q711),ISNUMBER(R711)),(B711-Q711-R711)*100,NA())</f>
        <v/>
      </c>
      <c r="T711" s="20">
        <f>IF(AND(ISNUMBER(B711),Settings!$B$17&gt;0),IF(ISNUMBER(INDEX($B:$B,Settings!$B$17)),(B711-INDEX($B:$B,Settings!$B$17))*100,NA()),NA())</f>
        <v/>
      </c>
      <c r="U711" s="20">
        <f>IF(AND(ISNUMBER(Q711),Settings!$B$17&gt;0),IF(ISNUMBER(INDEX($Q:$Q,Settings!$B$17)),(Q711-INDEX($Q:$Q,Settings!$B$17))*100,NA()),NA())</f>
        <v/>
      </c>
      <c r="V711" s="20">
        <f>IF(AND(ISNUMBER(R711),Settings!$B$17&gt;0),IF(ISNUMBER(INDEX($R:$R,Settings!$B$17)),(R711-INDEX($R:$R,Settings!$B$17))*100,NA()),NA())</f>
        <v/>
      </c>
      <c r="W711" s="20">
        <f>IF(AND(ISNUMBER(P711),Settings!$B$17&gt;0),IF(ISNUMBER(INDEX($P:$P,Settings!$B$17)),P711-INDEX($P:$P,Settings!$B$17),NA()),NA())</f>
        <v/>
      </c>
      <c r="X711" s="19">
        <f>IF(NOT(ISNUMBER($A711)),NA(),IF(OR($A711&lt;MIN(DKW_10Y!$A$2:$A$2918),$A711&gt;MAX(DKW_10Y!$A$2:$A$2918),Settings!$B$16&lt;MIN(DKW_10Y!$A$2:$A$2918)),NA(),(INDEX(DKW_10Y!$B$2:$B$2918,MATCH($A711,DKW_10Y!$A$2:$A$2918,1))-INDEX(DKW_10Y!$B$2:$B$2918,MATCH(Settings!$B$16,DKW_10Y!$A$2:$A$2918,1)))*100))</f>
        <v/>
      </c>
      <c r="Y711" s="19">
        <f>IF(NOT(ISNUMBER($A711)),NA(),IF(OR($A711&lt;MIN(DKW_10Y!$A$2:$A$2918),$A711&gt;MAX(DKW_10Y!$A$2:$A$2918),Settings!$B$16&lt;MIN(DKW_10Y!$A$2:$A$2918)),NA(),(INDEX(DKW_10Y!$C$2:$C$2918,MATCH($A711,DKW_10Y!$A$2:$A$2918,1))-INDEX(DKW_10Y!$C$2:$C$2918,MATCH(Settings!$B$16,DKW_10Y!$A$2:$A$2918,1)))*100))</f>
        <v/>
      </c>
      <c r="Z711" s="19">
        <f>IF(NOT(ISNUMBER($A711)),NA(),IF(OR($A711&lt;MIN(DKW_10Y!$A$2:$A$2918),$A711&gt;MAX(DKW_10Y!$A$2:$A$2918),Settings!$B$16&lt;MIN(DKW_10Y!$A$2:$A$2918)),NA(),(INDEX(DKW_10Y!$D$2:$D$2918,MATCH($A711,DKW_10Y!$A$2:$A$2918,1))-INDEX(DKW_10Y!$D$2:$D$2918,MATCH(Settings!$B$16,DKW_10Y!$A$2:$A$2918,1)))*100))</f>
        <v/>
      </c>
      <c r="AA711" s="19">
        <f>IF(NOT(ISNUMBER($A711)),NA(),IF(OR($A711&lt;MIN(DKW_10Y!$A$2:$A$2918),$A711&gt;MAX(DKW_10Y!$A$2:$A$2918),Settings!$B$16&lt;MIN(DKW_10Y!$A$2:$A$2918)),NA(),(INDEX(DKW_10Y!$E$2:$E$2918,MATCH($A711,DKW_10Y!$A$2:$A$2918,1))-INDEX(DKW_10Y!$E$2:$E$2918,MATCH(Settings!$B$16,DKW_10Y!$A$2:$A$2918,1)))*100))</f>
        <v/>
      </c>
      <c r="AB711" s="19">
        <f>IF(NOT(ISNUMBER($A711)),NA(),IF(OR($A711&lt;MIN(DKW_10Y!$A$2:$A$2918),$A711&gt;MAX(DKW_10Y!$A$2:$A$2918),Settings!$B$16&lt;MIN(DKW_10Y!$A$2:$A$2918)),NA(),(INDEX(DKW_10Y!$H$2:$H$2918,MATCH($A711,DKW_10Y!$A$2:$A$2918,1))-INDEX(DKW_10Y!$H$2:$H$2918,MATCH(Settings!$B$16,DKW_10Y!$A$2:$A$2918,1)))*100))</f>
        <v/>
      </c>
      <c r="AC711" s="18">
        <f>IF(NOT(ISNUMBER($A711)),NA(),IFERROR(1*INDEX(BBG_Data!$N$2:$N$4000,MATCH($A711,BBG_Data!$M$2:$M$4000,0)),NA()))</f>
        <v/>
      </c>
      <c r="AD711" s="18">
        <f>IF(NOT(ISNUMBER($A711)),NA(),IFERROR(1*INDEX(BBG_Data!$P$2:$P$4000,MATCH($A711,BBG_Data!$O$2:$O$4000,0)),NA()))</f>
        <v/>
      </c>
      <c r="AE711" s="18">
        <f>IF(NOT(ISNUMBER($A711)),NA(),IFERROR(1*INDEX(BBG_Data!$R$2:$R$4000,MATCH($A711,BBG_Data!$Q$2:$Q$4000,0)),NA()))</f>
        <v/>
      </c>
      <c r="AF711" s="20">
        <f>IF(AND(ISNUMBER(B711),ISNUMBER(AC711)),(B711-AC711)*100,NA())</f>
        <v/>
      </c>
      <c r="AG711" s="20">
        <f>IF(AND(ISNUMBER(AE711),ISNUMBER(AD711)),(AE711-AD711)*100,NA())</f>
        <v/>
      </c>
      <c r="AH711" s="19">
        <f>IF(NOT(ISNUMBER($A711)),NA(),IFERROR(INDEX(BBG_Data!$T$2:$T$4000,MATCH($A711,BBG_Data!$S$2:$S$4000,0))*Settings!$B$25,NA()))</f>
        <v/>
      </c>
      <c r="AI711" s="19">
        <f>IF(NOT(ISNUMBER($A711)),NA(),IFERROR(INDEX(BBG_Data!$V$2:$V$4000,MATCH($A711,BBG_Data!$U$2:$U$4000,0))*Settings!$B$25,NA()))</f>
        <v/>
      </c>
      <c r="AJ711" s="19">
        <f>IF(NOT(ISNUMBER($A711)),NA(),IFERROR(1*INDEX(BBG_Data!$X$2:$X$4000,MATCH($A711,BBG_Data!$W$2:$W$4000,0)),NA()))</f>
        <v/>
      </c>
      <c r="AK711" s="19">
        <f>IF(NOT(ISNUMBER($A711)),NA(),IFERROR(1*INDEX(BBG_Data!$Z$2:$Z$4000,MATCH($A711,BBG_Data!$Y$2:$Y$4000,0)),NA()))</f>
        <v/>
      </c>
    </row>
    <row r="712">
      <c r="A712" s="17">
        <f>IF(ISNUMBER(BBG_Data!A712),BBG_Data!A712,"")</f>
        <v/>
      </c>
      <c r="B712" s="18">
        <f>IF(AND(ISNUMBER($A712),ISNUMBER(BBG_Data!B712)),BBG_Data!B712,NA())</f>
        <v/>
      </c>
      <c r="C712" s="18">
        <f>IF(NOT(ISNUMBER($A712)),NA(),IFERROR(1*INDEX(BBG_Data!$D$2:$D$4000,MATCH($A712,BBG_Data!$C$2:$C$4000,0)),NA()))</f>
        <v/>
      </c>
      <c r="D712" s="19">
        <f>IF(NOT(ISNUMBER($A712)),NA(),IFERROR(1*INDEX(BBG_Data!$F$2:$F$4000,MATCH($A712,BBG_Data!$E$2:$E$4000,0)),NA()))</f>
        <v/>
      </c>
      <c r="E712" s="19">
        <f>IF(NOT(ISNUMBER($A712)),NA(),IFERROR(1*INDEX(BBG_Data!$H$2:$H$4000,MATCH($A712,BBG_Data!$G$2:$G$4000,0)),NA()))</f>
        <v/>
      </c>
      <c r="F712" s="20">
        <f>IF(AND(ISNUMBER(B712),ISNUMBER(B711)),IF(B712=B711,"",(B712-B711)*100),"")</f>
        <v/>
      </c>
      <c r="G712" s="20">
        <f>IF(AND(ISNUMBER(C712),ISNUMBER(C711)),IF(C712=C711,"",(C712-C711)*100),"")</f>
        <v/>
      </c>
      <c r="H712" s="20">
        <f>IF(OR(NOT(ISNUMBER($A712)),ROW()-2&lt;Settings!$B$11),NA(),IF(COUNT(OFFSET(F712,1-Settings!$B$11,0,Settings!$B$11,1))&lt;ROUNDUP(Settings!$B$11*Settings!$B$26,0),NA(),STDEV(OFFSET(F712,1-Settings!$B$11,0,Settings!$B$11,1))*SQRT(Settings!$B$13)))</f>
        <v/>
      </c>
      <c r="I712" s="20">
        <f>IF(OR(NOT(ISNUMBER($A712)),ROW()-2&lt;Settings!$B$12),NA(),IF(COUNT(OFFSET(F712,1-Settings!$B$12,0,Settings!$B$12,1))&lt;ROUNDUP(Settings!$B$12*Settings!$B$26,0),NA(),STDEV(OFFSET(F712,1-Settings!$B$12,0,Settings!$B$12,1))*SQRT(Settings!$B$13)))</f>
        <v/>
      </c>
      <c r="J712" s="20">
        <f>IF(OR(NOT(ISNUMBER($A712)),ROW()-2&lt;Settings!$B$11),NA(),IF(COUNT(OFFSET(G712,1-Settings!$B$11,0,Settings!$B$11,1))&lt;ROUNDUP(Settings!$B$11*Settings!$B$26,0),NA(),STDEV(OFFSET(G712,1-Settings!$B$11,0,Settings!$B$11,1))*SQRT(Settings!$B$13)))</f>
        <v/>
      </c>
      <c r="K712" s="20">
        <f>IF(OR(NOT(ISNUMBER($A712)),ROW()-2&lt;Settings!$B$12),NA(),IF(COUNT(OFFSET(G712,1-Settings!$B$12,0,Settings!$B$12,1))&lt;ROUNDUP(Settings!$B$12*Settings!$B$26,0),NA(),STDEV(OFFSET(G712,1-Settings!$B$12,0,Settings!$B$12,1))*SQRT(Settings!$B$13)))</f>
        <v/>
      </c>
      <c r="L712" s="20">
        <f>IF(AND(ISNUMBER(D712),ISNUMBER(H712)),D712-H712,NA())</f>
        <v/>
      </c>
      <c r="M712" s="20">
        <f>IF(AND(ISNUMBER(E712),ISNUMBER(K712)),E712-K712,NA())</f>
        <v/>
      </c>
      <c r="N712" s="20">
        <f>IF(NOT(ISNUMBER($A712)),NA(),IF(COUNT(OFFSET(G712,1,0,Settings!$B$12,1))&lt;ROUNDUP(Settings!$B$12*Settings!$B$26,0),NA(),STDEV(OFFSET(G712,1,0,Settings!$B$12,1))*SQRT(Settings!$B$13)))</f>
        <v/>
      </c>
      <c r="O712" s="20">
        <f>IF(AND(ISNUMBER(E712),ISNUMBER(N712)),E712-N712,NA())</f>
        <v/>
      </c>
      <c r="P712" s="19">
        <f>IF(NOT(ISNUMBER($A712)),NA(),IF(OR($A712&lt;MIN(KW_TP!$A$2:$A$2501),$A712&gt;MAX(KW_TP!$A$2:$A$2501)),NA(),INDEX(KW_TP!$C$2:$C$2501,MATCH($A712,KW_TP!$A$2:$A$2501,1))))</f>
        <v/>
      </c>
      <c r="Q712" s="18">
        <f>IF(NOT(ISNUMBER($A712)),NA(),IFERROR(1*INDEX(BBG_Data!$J$2:$J$4000,MATCH($A712,BBG_Data!$I$2:$I$4000,0)),NA()))</f>
        <v/>
      </c>
      <c r="R712" s="18">
        <f>IF(NOT(ISNUMBER($A712)),NA(),IFERROR(1*INDEX(BBG_Data!$L$2:$L$4000,MATCH($A712,BBG_Data!$K$2:$K$4000,0)),NA()))</f>
        <v/>
      </c>
      <c r="S712" s="20">
        <f>IF(AND(ISNUMBER(B712),ISNUMBER(Q712),ISNUMBER(R712)),(B712-Q712-R712)*100,NA())</f>
        <v/>
      </c>
      <c r="T712" s="20">
        <f>IF(AND(ISNUMBER(B712),Settings!$B$17&gt;0),IF(ISNUMBER(INDEX($B:$B,Settings!$B$17)),(B712-INDEX($B:$B,Settings!$B$17))*100,NA()),NA())</f>
        <v/>
      </c>
      <c r="U712" s="20">
        <f>IF(AND(ISNUMBER(Q712),Settings!$B$17&gt;0),IF(ISNUMBER(INDEX($Q:$Q,Settings!$B$17)),(Q712-INDEX($Q:$Q,Settings!$B$17))*100,NA()),NA())</f>
        <v/>
      </c>
      <c r="V712" s="20">
        <f>IF(AND(ISNUMBER(R712),Settings!$B$17&gt;0),IF(ISNUMBER(INDEX($R:$R,Settings!$B$17)),(R712-INDEX($R:$R,Settings!$B$17))*100,NA()),NA())</f>
        <v/>
      </c>
      <c r="W712" s="20">
        <f>IF(AND(ISNUMBER(P712),Settings!$B$17&gt;0),IF(ISNUMBER(INDEX($P:$P,Settings!$B$17)),P712-INDEX($P:$P,Settings!$B$17),NA()),NA())</f>
        <v/>
      </c>
      <c r="X712" s="19">
        <f>IF(NOT(ISNUMBER($A712)),NA(),IF(OR($A712&lt;MIN(DKW_10Y!$A$2:$A$2918),$A712&gt;MAX(DKW_10Y!$A$2:$A$2918),Settings!$B$16&lt;MIN(DKW_10Y!$A$2:$A$2918)),NA(),(INDEX(DKW_10Y!$B$2:$B$2918,MATCH($A712,DKW_10Y!$A$2:$A$2918,1))-INDEX(DKW_10Y!$B$2:$B$2918,MATCH(Settings!$B$16,DKW_10Y!$A$2:$A$2918,1)))*100))</f>
        <v/>
      </c>
      <c r="Y712" s="19">
        <f>IF(NOT(ISNUMBER($A712)),NA(),IF(OR($A712&lt;MIN(DKW_10Y!$A$2:$A$2918),$A712&gt;MAX(DKW_10Y!$A$2:$A$2918),Settings!$B$16&lt;MIN(DKW_10Y!$A$2:$A$2918)),NA(),(INDEX(DKW_10Y!$C$2:$C$2918,MATCH($A712,DKW_10Y!$A$2:$A$2918,1))-INDEX(DKW_10Y!$C$2:$C$2918,MATCH(Settings!$B$16,DKW_10Y!$A$2:$A$2918,1)))*100))</f>
        <v/>
      </c>
      <c r="Z712" s="19">
        <f>IF(NOT(ISNUMBER($A712)),NA(),IF(OR($A712&lt;MIN(DKW_10Y!$A$2:$A$2918),$A712&gt;MAX(DKW_10Y!$A$2:$A$2918),Settings!$B$16&lt;MIN(DKW_10Y!$A$2:$A$2918)),NA(),(INDEX(DKW_10Y!$D$2:$D$2918,MATCH($A712,DKW_10Y!$A$2:$A$2918,1))-INDEX(DKW_10Y!$D$2:$D$2918,MATCH(Settings!$B$16,DKW_10Y!$A$2:$A$2918,1)))*100))</f>
        <v/>
      </c>
      <c r="AA712" s="19">
        <f>IF(NOT(ISNUMBER($A712)),NA(),IF(OR($A712&lt;MIN(DKW_10Y!$A$2:$A$2918),$A712&gt;MAX(DKW_10Y!$A$2:$A$2918),Settings!$B$16&lt;MIN(DKW_10Y!$A$2:$A$2918)),NA(),(INDEX(DKW_10Y!$E$2:$E$2918,MATCH($A712,DKW_10Y!$A$2:$A$2918,1))-INDEX(DKW_10Y!$E$2:$E$2918,MATCH(Settings!$B$16,DKW_10Y!$A$2:$A$2918,1)))*100))</f>
        <v/>
      </c>
      <c r="AB712" s="19">
        <f>IF(NOT(ISNUMBER($A712)),NA(),IF(OR($A712&lt;MIN(DKW_10Y!$A$2:$A$2918),$A712&gt;MAX(DKW_10Y!$A$2:$A$2918),Settings!$B$16&lt;MIN(DKW_10Y!$A$2:$A$2918)),NA(),(INDEX(DKW_10Y!$H$2:$H$2918,MATCH($A712,DKW_10Y!$A$2:$A$2918,1))-INDEX(DKW_10Y!$H$2:$H$2918,MATCH(Settings!$B$16,DKW_10Y!$A$2:$A$2918,1)))*100))</f>
        <v/>
      </c>
      <c r="AC712" s="18">
        <f>IF(NOT(ISNUMBER($A712)),NA(),IFERROR(1*INDEX(BBG_Data!$N$2:$N$4000,MATCH($A712,BBG_Data!$M$2:$M$4000,0)),NA()))</f>
        <v/>
      </c>
      <c r="AD712" s="18">
        <f>IF(NOT(ISNUMBER($A712)),NA(),IFERROR(1*INDEX(BBG_Data!$P$2:$P$4000,MATCH($A712,BBG_Data!$O$2:$O$4000,0)),NA()))</f>
        <v/>
      </c>
      <c r="AE712" s="18">
        <f>IF(NOT(ISNUMBER($A712)),NA(),IFERROR(1*INDEX(BBG_Data!$R$2:$R$4000,MATCH($A712,BBG_Data!$Q$2:$Q$4000,0)),NA()))</f>
        <v/>
      </c>
      <c r="AF712" s="20">
        <f>IF(AND(ISNUMBER(B712),ISNUMBER(AC712)),(B712-AC712)*100,NA())</f>
        <v/>
      </c>
      <c r="AG712" s="20">
        <f>IF(AND(ISNUMBER(AE712),ISNUMBER(AD712)),(AE712-AD712)*100,NA())</f>
        <v/>
      </c>
      <c r="AH712" s="19">
        <f>IF(NOT(ISNUMBER($A712)),NA(),IFERROR(INDEX(BBG_Data!$T$2:$T$4000,MATCH($A712,BBG_Data!$S$2:$S$4000,0))*Settings!$B$25,NA()))</f>
        <v/>
      </c>
      <c r="AI712" s="19">
        <f>IF(NOT(ISNUMBER($A712)),NA(),IFERROR(INDEX(BBG_Data!$V$2:$V$4000,MATCH($A712,BBG_Data!$U$2:$U$4000,0))*Settings!$B$25,NA()))</f>
        <v/>
      </c>
      <c r="AJ712" s="19">
        <f>IF(NOT(ISNUMBER($A712)),NA(),IFERROR(1*INDEX(BBG_Data!$X$2:$X$4000,MATCH($A712,BBG_Data!$W$2:$W$4000,0)),NA()))</f>
        <v/>
      </c>
      <c r="AK712" s="19">
        <f>IF(NOT(ISNUMBER($A712)),NA(),IFERROR(1*INDEX(BBG_Data!$Z$2:$Z$4000,MATCH($A712,BBG_Data!$Y$2:$Y$4000,0)),NA()))</f>
        <v/>
      </c>
    </row>
    <row r="713">
      <c r="A713" s="17">
        <f>IF(ISNUMBER(BBG_Data!A713),BBG_Data!A713,"")</f>
        <v/>
      </c>
      <c r="B713" s="18">
        <f>IF(AND(ISNUMBER($A713),ISNUMBER(BBG_Data!B713)),BBG_Data!B713,NA())</f>
        <v/>
      </c>
      <c r="C713" s="18">
        <f>IF(NOT(ISNUMBER($A713)),NA(),IFERROR(1*INDEX(BBG_Data!$D$2:$D$4000,MATCH($A713,BBG_Data!$C$2:$C$4000,0)),NA()))</f>
        <v/>
      </c>
      <c r="D713" s="19">
        <f>IF(NOT(ISNUMBER($A713)),NA(),IFERROR(1*INDEX(BBG_Data!$F$2:$F$4000,MATCH($A713,BBG_Data!$E$2:$E$4000,0)),NA()))</f>
        <v/>
      </c>
      <c r="E713" s="19">
        <f>IF(NOT(ISNUMBER($A713)),NA(),IFERROR(1*INDEX(BBG_Data!$H$2:$H$4000,MATCH($A713,BBG_Data!$G$2:$G$4000,0)),NA()))</f>
        <v/>
      </c>
      <c r="F713" s="20">
        <f>IF(AND(ISNUMBER(B713),ISNUMBER(B712)),IF(B713=B712,"",(B713-B712)*100),"")</f>
        <v/>
      </c>
      <c r="G713" s="20">
        <f>IF(AND(ISNUMBER(C713),ISNUMBER(C712)),IF(C713=C712,"",(C713-C712)*100),"")</f>
        <v/>
      </c>
      <c r="H713" s="20">
        <f>IF(OR(NOT(ISNUMBER($A713)),ROW()-2&lt;Settings!$B$11),NA(),IF(COUNT(OFFSET(F713,1-Settings!$B$11,0,Settings!$B$11,1))&lt;ROUNDUP(Settings!$B$11*Settings!$B$26,0),NA(),STDEV(OFFSET(F713,1-Settings!$B$11,0,Settings!$B$11,1))*SQRT(Settings!$B$13)))</f>
        <v/>
      </c>
      <c r="I713" s="20">
        <f>IF(OR(NOT(ISNUMBER($A713)),ROW()-2&lt;Settings!$B$12),NA(),IF(COUNT(OFFSET(F713,1-Settings!$B$12,0,Settings!$B$12,1))&lt;ROUNDUP(Settings!$B$12*Settings!$B$26,0),NA(),STDEV(OFFSET(F713,1-Settings!$B$12,0,Settings!$B$12,1))*SQRT(Settings!$B$13)))</f>
        <v/>
      </c>
      <c r="J713" s="20">
        <f>IF(OR(NOT(ISNUMBER($A713)),ROW()-2&lt;Settings!$B$11),NA(),IF(COUNT(OFFSET(G713,1-Settings!$B$11,0,Settings!$B$11,1))&lt;ROUNDUP(Settings!$B$11*Settings!$B$26,0),NA(),STDEV(OFFSET(G713,1-Settings!$B$11,0,Settings!$B$11,1))*SQRT(Settings!$B$13)))</f>
        <v/>
      </c>
      <c r="K713" s="20">
        <f>IF(OR(NOT(ISNUMBER($A713)),ROW()-2&lt;Settings!$B$12),NA(),IF(COUNT(OFFSET(G713,1-Settings!$B$12,0,Settings!$B$12,1))&lt;ROUNDUP(Settings!$B$12*Settings!$B$26,0),NA(),STDEV(OFFSET(G713,1-Settings!$B$12,0,Settings!$B$12,1))*SQRT(Settings!$B$13)))</f>
        <v/>
      </c>
      <c r="L713" s="20">
        <f>IF(AND(ISNUMBER(D713),ISNUMBER(H713)),D713-H713,NA())</f>
        <v/>
      </c>
      <c r="M713" s="20">
        <f>IF(AND(ISNUMBER(E713),ISNUMBER(K713)),E713-K713,NA())</f>
        <v/>
      </c>
      <c r="N713" s="20">
        <f>IF(NOT(ISNUMBER($A713)),NA(),IF(COUNT(OFFSET(G713,1,0,Settings!$B$12,1))&lt;ROUNDUP(Settings!$B$12*Settings!$B$26,0),NA(),STDEV(OFFSET(G713,1,0,Settings!$B$12,1))*SQRT(Settings!$B$13)))</f>
        <v/>
      </c>
      <c r="O713" s="20">
        <f>IF(AND(ISNUMBER(E713),ISNUMBER(N713)),E713-N713,NA())</f>
        <v/>
      </c>
      <c r="P713" s="19">
        <f>IF(NOT(ISNUMBER($A713)),NA(),IF(OR($A713&lt;MIN(KW_TP!$A$2:$A$2501),$A713&gt;MAX(KW_TP!$A$2:$A$2501)),NA(),INDEX(KW_TP!$C$2:$C$2501,MATCH($A713,KW_TP!$A$2:$A$2501,1))))</f>
        <v/>
      </c>
      <c r="Q713" s="18">
        <f>IF(NOT(ISNUMBER($A713)),NA(),IFERROR(1*INDEX(BBG_Data!$J$2:$J$4000,MATCH($A713,BBG_Data!$I$2:$I$4000,0)),NA()))</f>
        <v/>
      </c>
      <c r="R713" s="18">
        <f>IF(NOT(ISNUMBER($A713)),NA(),IFERROR(1*INDEX(BBG_Data!$L$2:$L$4000,MATCH($A713,BBG_Data!$K$2:$K$4000,0)),NA()))</f>
        <v/>
      </c>
      <c r="S713" s="20">
        <f>IF(AND(ISNUMBER(B713),ISNUMBER(Q713),ISNUMBER(R713)),(B713-Q713-R713)*100,NA())</f>
        <v/>
      </c>
      <c r="T713" s="20">
        <f>IF(AND(ISNUMBER(B713),Settings!$B$17&gt;0),IF(ISNUMBER(INDEX($B:$B,Settings!$B$17)),(B713-INDEX($B:$B,Settings!$B$17))*100,NA()),NA())</f>
        <v/>
      </c>
      <c r="U713" s="20">
        <f>IF(AND(ISNUMBER(Q713),Settings!$B$17&gt;0),IF(ISNUMBER(INDEX($Q:$Q,Settings!$B$17)),(Q713-INDEX($Q:$Q,Settings!$B$17))*100,NA()),NA())</f>
        <v/>
      </c>
      <c r="V713" s="20">
        <f>IF(AND(ISNUMBER(R713),Settings!$B$17&gt;0),IF(ISNUMBER(INDEX($R:$R,Settings!$B$17)),(R713-INDEX($R:$R,Settings!$B$17))*100,NA()),NA())</f>
        <v/>
      </c>
      <c r="W713" s="20">
        <f>IF(AND(ISNUMBER(P713),Settings!$B$17&gt;0),IF(ISNUMBER(INDEX($P:$P,Settings!$B$17)),P713-INDEX($P:$P,Settings!$B$17),NA()),NA())</f>
        <v/>
      </c>
      <c r="X713" s="19">
        <f>IF(NOT(ISNUMBER($A713)),NA(),IF(OR($A713&lt;MIN(DKW_10Y!$A$2:$A$2918),$A713&gt;MAX(DKW_10Y!$A$2:$A$2918),Settings!$B$16&lt;MIN(DKW_10Y!$A$2:$A$2918)),NA(),(INDEX(DKW_10Y!$B$2:$B$2918,MATCH($A713,DKW_10Y!$A$2:$A$2918,1))-INDEX(DKW_10Y!$B$2:$B$2918,MATCH(Settings!$B$16,DKW_10Y!$A$2:$A$2918,1)))*100))</f>
        <v/>
      </c>
      <c r="Y713" s="19">
        <f>IF(NOT(ISNUMBER($A713)),NA(),IF(OR($A713&lt;MIN(DKW_10Y!$A$2:$A$2918),$A713&gt;MAX(DKW_10Y!$A$2:$A$2918),Settings!$B$16&lt;MIN(DKW_10Y!$A$2:$A$2918)),NA(),(INDEX(DKW_10Y!$C$2:$C$2918,MATCH($A713,DKW_10Y!$A$2:$A$2918,1))-INDEX(DKW_10Y!$C$2:$C$2918,MATCH(Settings!$B$16,DKW_10Y!$A$2:$A$2918,1)))*100))</f>
        <v/>
      </c>
      <c r="Z713" s="19">
        <f>IF(NOT(ISNUMBER($A713)),NA(),IF(OR($A713&lt;MIN(DKW_10Y!$A$2:$A$2918),$A713&gt;MAX(DKW_10Y!$A$2:$A$2918),Settings!$B$16&lt;MIN(DKW_10Y!$A$2:$A$2918)),NA(),(INDEX(DKW_10Y!$D$2:$D$2918,MATCH($A713,DKW_10Y!$A$2:$A$2918,1))-INDEX(DKW_10Y!$D$2:$D$2918,MATCH(Settings!$B$16,DKW_10Y!$A$2:$A$2918,1)))*100))</f>
        <v/>
      </c>
      <c r="AA713" s="19">
        <f>IF(NOT(ISNUMBER($A713)),NA(),IF(OR($A713&lt;MIN(DKW_10Y!$A$2:$A$2918),$A713&gt;MAX(DKW_10Y!$A$2:$A$2918),Settings!$B$16&lt;MIN(DKW_10Y!$A$2:$A$2918)),NA(),(INDEX(DKW_10Y!$E$2:$E$2918,MATCH($A713,DKW_10Y!$A$2:$A$2918,1))-INDEX(DKW_10Y!$E$2:$E$2918,MATCH(Settings!$B$16,DKW_10Y!$A$2:$A$2918,1)))*100))</f>
        <v/>
      </c>
      <c r="AB713" s="19">
        <f>IF(NOT(ISNUMBER($A713)),NA(),IF(OR($A713&lt;MIN(DKW_10Y!$A$2:$A$2918),$A713&gt;MAX(DKW_10Y!$A$2:$A$2918),Settings!$B$16&lt;MIN(DKW_10Y!$A$2:$A$2918)),NA(),(INDEX(DKW_10Y!$H$2:$H$2918,MATCH($A713,DKW_10Y!$A$2:$A$2918,1))-INDEX(DKW_10Y!$H$2:$H$2918,MATCH(Settings!$B$16,DKW_10Y!$A$2:$A$2918,1)))*100))</f>
        <v/>
      </c>
      <c r="AC713" s="18">
        <f>IF(NOT(ISNUMBER($A713)),NA(),IFERROR(1*INDEX(BBG_Data!$N$2:$N$4000,MATCH($A713,BBG_Data!$M$2:$M$4000,0)),NA()))</f>
        <v/>
      </c>
      <c r="AD713" s="18">
        <f>IF(NOT(ISNUMBER($A713)),NA(),IFERROR(1*INDEX(BBG_Data!$P$2:$P$4000,MATCH($A713,BBG_Data!$O$2:$O$4000,0)),NA()))</f>
        <v/>
      </c>
      <c r="AE713" s="18">
        <f>IF(NOT(ISNUMBER($A713)),NA(),IFERROR(1*INDEX(BBG_Data!$R$2:$R$4000,MATCH($A713,BBG_Data!$Q$2:$Q$4000,0)),NA()))</f>
        <v/>
      </c>
      <c r="AF713" s="20">
        <f>IF(AND(ISNUMBER(B713),ISNUMBER(AC713)),(B713-AC713)*100,NA())</f>
        <v/>
      </c>
      <c r="AG713" s="20">
        <f>IF(AND(ISNUMBER(AE713),ISNUMBER(AD713)),(AE713-AD713)*100,NA())</f>
        <v/>
      </c>
      <c r="AH713" s="19">
        <f>IF(NOT(ISNUMBER($A713)),NA(),IFERROR(INDEX(BBG_Data!$T$2:$T$4000,MATCH($A713,BBG_Data!$S$2:$S$4000,0))*Settings!$B$25,NA()))</f>
        <v/>
      </c>
      <c r="AI713" s="19">
        <f>IF(NOT(ISNUMBER($A713)),NA(),IFERROR(INDEX(BBG_Data!$V$2:$V$4000,MATCH($A713,BBG_Data!$U$2:$U$4000,0))*Settings!$B$25,NA()))</f>
        <v/>
      </c>
      <c r="AJ713" s="19">
        <f>IF(NOT(ISNUMBER($A713)),NA(),IFERROR(1*INDEX(BBG_Data!$X$2:$X$4000,MATCH($A713,BBG_Data!$W$2:$W$4000,0)),NA()))</f>
        <v/>
      </c>
      <c r="AK713" s="19">
        <f>IF(NOT(ISNUMBER($A713)),NA(),IFERROR(1*INDEX(BBG_Data!$Z$2:$Z$4000,MATCH($A713,BBG_Data!$Y$2:$Y$4000,0)),NA()))</f>
        <v/>
      </c>
    </row>
    <row r="714">
      <c r="A714" s="17">
        <f>IF(ISNUMBER(BBG_Data!A714),BBG_Data!A714,"")</f>
        <v/>
      </c>
      <c r="B714" s="18">
        <f>IF(AND(ISNUMBER($A714),ISNUMBER(BBG_Data!B714)),BBG_Data!B714,NA())</f>
        <v/>
      </c>
      <c r="C714" s="18">
        <f>IF(NOT(ISNUMBER($A714)),NA(),IFERROR(1*INDEX(BBG_Data!$D$2:$D$4000,MATCH($A714,BBG_Data!$C$2:$C$4000,0)),NA()))</f>
        <v/>
      </c>
      <c r="D714" s="19">
        <f>IF(NOT(ISNUMBER($A714)),NA(),IFERROR(1*INDEX(BBG_Data!$F$2:$F$4000,MATCH($A714,BBG_Data!$E$2:$E$4000,0)),NA()))</f>
        <v/>
      </c>
      <c r="E714" s="19">
        <f>IF(NOT(ISNUMBER($A714)),NA(),IFERROR(1*INDEX(BBG_Data!$H$2:$H$4000,MATCH($A714,BBG_Data!$G$2:$G$4000,0)),NA()))</f>
        <v/>
      </c>
      <c r="F714" s="20">
        <f>IF(AND(ISNUMBER(B714),ISNUMBER(B713)),IF(B714=B713,"",(B714-B713)*100),"")</f>
        <v/>
      </c>
      <c r="G714" s="20">
        <f>IF(AND(ISNUMBER(C714),ISNUMBER(C713)),IF(C714=C713,"",(C714-C713)*100),"")</f>
        <v/>
      </c>
      <c r="H714" s="20">
        <f>IF(OR(NOT(ISNUMBER($A714)),ROW()-2&lt;Settings!$B$11),NA(),IF(COUNT(OFFSET(F714,1-Settings!$B$11,0,Settings!$B$11,1))&lt;ROUNDUP(Settings!$B$11*Settings!$B$26,0),NA(),STDEV(OFFSET(F714,1-Settings!$B$11,0,Settings!$B$11,1))*SQRT(Settings!$B$13)))</f>
        <v/>
      </c>
      <c r="I714" s="20">
        <f>IF(OR(NOT(ISNUMBER($A714)),ROW()-2&lt;Settings!$B$12),NA(),IF(COUNT(OFFSET(F714,1-Settings!$B$12,0,Settings!$B$12,1))&lt;ROUNDUP(Settings!$B$12*Settings!$B$26,0),NA(),STDEV(OFFSET(F714,1-Settings!$B$12,0,Settings!$B$12,1))*SQRT(Settings!$B$13)))</f>
        <v/>
      </c>
      <c r="J714" s="20">
        <f>IF(OR(NOT(ISNUMBER($A714)),ROW()-2&lt;Settings!$B$11),NA(),IF(COUNT(OFFSET(G714,1-Settings!$B$11,0,Settings!$B$11,1))&lt;ROUNDUP(Settings!$B$11*Settings!$B$26,0),NA(),STDEV(OFFSET(G714,1-Settings!$B$11,0,Settings!$B$11,1))*SQRT(Settings!$B$13)))</f>
        <v/>
      </c>
      <c r="K714" s="20">
        <f>IF(OR(NOT(ISNUMBER($A714)),ROW()-2&lt;Settings!$B$12),NA(),IF(COUNT(OFFSET(G714,1-Settings!$B$12,0,Settings!$B$12,1))&lt;ROUNDUP(Settings!$B$12*Settings!$B$26,0),NA(),STDEV(OFFSET(G714,1-Settings!$B$12,0,Settings!$B$12,1))*SQRT(Settings!$B$13)))</f>
        <v/>
      </c>
      <c r="L714" s="20">
        <f>IF(AND(ISNUMBER(D714),ISNUMBER(H714)),D714-H714,NA())</f>
        <v/>
      </c>
      <c r="M714" s="20">
        <f>IF(AND(ISNUMBER(E714),ISNUMBER(K714)),E714-K714,NA())</f>
        <v/>
      </c>
      <c r="N714" s="20">
        <f>IF(NOT(ISNUMBER($A714)),NA(),IF(COUNT(OFFSET(G714,1,0,Settings!$B$12,1))&lt;ROUNDUP(Settings!$B$12*Settings!$B$26,0),NA(),STDEV(OFFSET(G714,1,0,Settings!$B$12,1))*SQRT(Settings!$B$13)))</f>
        <v/>
      </c>
      <c r="O714" s="20">
        <f>IF(AND(ISNUMBER(E714),ISNUMBER(N714)),E714-N714,NA())</f>
        <v/>
      </c>
      <c r="P714" s="19">
        <f>IF(NOT(ISNUMBER($A714)),NA(),IF(OR($A714&lt;MIN(KW_TP!$A$2:$A$2501),$A714&gt;MAX(KW_TP!$A$2:$A$2501)),NA(),INDEX(KW_TP!$C$2:$C$2501,MATCH($A714,KW_TP!$A$2:$A$2501,1))))</f>
        <v/>
      </c>
      <c r="Q714" s="18">
        <f>IF(NOT(ISNUMBER($A714)),NA(),IFERROR(1*INDEX(BBG_Data!$J$2:$J$4000,MATCH($A714,BBG_Data!$I$2:$I$4000,0)),NA()))</f>
        <v/>
      </c>
      <c r="R714" s="18">
        <f>IF(NOT(ISNUMBER($A714)),NA(),IFERROR(1*INDEX(BBG_Data!$L$2:$L$4000,MATCH($A714,BBG_Data!$K$2:$K$4000,0)),NA()))</f>
        <v/>
      </c>
      <c r="S714" s="20">
        <f>IF(AND(ISNUMBER(B714),ISNUMBER(Q714),ISNUMBER(R714)),(B714-Q714-R714)*100,NA())</f>
        <v/>
      </c>
      <c r="T714" s="20">
        <f>IF(AND(ISNUMBER(B714),Settings!$B$17&gt;0),IF(ISNUMBER(INDEX($B:$B,Settings!$B$17)),(B714-INDEX($B:$B,Settings!$B$17))*100,NA()),NA())</f>
        <v/>
      </c>
      <c r="U714" s="20">
        <f>IF(AND(ISNUMBER(Q714),Settings!$B$17&gt;0),IF(ISNUMBER(INDEX($Q:$Q,Settings!$B$17)),(Q714-INDEX($Q:$Q,Settings!$B$17))*100,NA()),NA())</f>
        <v/>
      </c>
      <c r="V714" s="20">
        <f>IF(AND(ISNUMBER(R714),Settings!$B$17&gt;0),IF(ISNUMBER(INDEX($R:$R,Settings!$B$17)),(R714-INDEX($R:$R,Settings!$B$17))*100,NA()),NA())</f>
        <v/>
      </c>
      <c r="W714" s="20">
        <f>IF(AND(ISNUMBER(P714),Settings!$B$17&gt;0),IF(ISNUMBER(INDEX($P:$P,Settings!$B$17)),P714-INDEX($P:$P,Settings!$B$17),NA()),NA())</f>
        <v/>
      </c>
      <c r="X714" s="19">
        <f>IF(NOT(ISNUMBER($A714)),NA(),IF(OR($A714&lt;MIN(DKW_10Y!$A$2:$A$2918),$A714&gt;MAX(DKW_10Y!$A$2:$A$2918),Settings!$B$16&lt;MIN(DKW_10Y!$A$2:$A$2918)),NA(),(INDEX(DKW_10Y!$B$2:$B$2918,MATCH($A714,DKW_10Y!$A$2:$A$2918,1))-INDEX(DKW_10Y!$B$2:$B$2918,MATCH(Settings!$B$16,DKW_10Y!$A$2:$A$2918,1)))*100))</f>
        <v/>
      </c>
      <c r="Y714" s="19">
        <f>IF(NOT(ISNUMBER($A714)),NA(),IF(OR($A714&lt;MIN(DKW_10Y!$A$2:$A$2918),$A714&gt;MAX(DKW_10Y!$A$2:$A$2918),Settings!$B$16&lt;MIN(DKW_10Y!$A$2:$A$2918)),NA(),(INDEX(DKW_10Y!$C$2:$C$2918,MATCH($A714,DKW_10Y!$A$2:$A$2918,1))-INDEX(DKW_10Y!$C$2:$C$2918,MATCH(Settings!$B$16,DKW_10Y!$A$2:$A$2918,1)))*100))</f>
        <v/>
      </c>
      <c r="Z714" s="19">
        <f>IF(NOT(ISNUMBER($A714)),NA(),IF(OR($A714&lt;MIN(DKW_10Y!$A$2:$A$2918),$A714&gt;MAX(DKW_10Y!$A$2:$A$2918),Settings!$B$16&lt;MIN(DKW_10Y!$A$2:$A$2918)),NA(),(INDEX(DKW_10Y!$D$2:$D$2918,MATCH($A714,DKW_10Y!$A$2:$A$2918,1))-INDEX(DKW_10Y!$D$2:$D$2918,MATCH(Settings!$B$16,DKW_10Y!$A$2:$A$2918,1)))*100))</f>
        <v/>
      </c>
      <c r="AA714" s="19">
        <f>IF(NOT(ISNUMBER($A714)),NA(),IF(OR($A714&lt;MIN(DKW_10Y!$A$2:$A$2918),$A714&gt;MAX(DKW_10Y!$A$2:$A$2918),Settings!$B$16&lt;MIN(DKW_10Y!$A$2:$A$2918)),NA(),(INDEX(DKW_10Y!$E$2:$E$2918,MATCH($A714,DKW_10Y!$A$2:$A$2918,1))-INDEX(DKW_10Y!$E$2:$E$2918,MATCH(Settings!$B$16,DKW_10Y!$A$2:$A$2918,1)))*100))</f>
        <v/>
      </c>
      <c r="AB714" s="19">
        <f>IF(NOT(ISNUMBER($A714)),NA(),IF(OR($A714&lt;MIN(DKW_10Y!$A$2:$A$2918),$A714&gt;MAX(DKW_10Y!$A$2:$A$2918),Settings!$B$16&lt;MIN(DKW_10Y!$A$2:$A$2918)),NA(),(INDEX(DKW_10Y!$H$2:$H$2918,MATCH($A714,DKW_10Y!$A$2:$A$2918,1))-INDEX(DKW_10Y!$H$2:$H$2918,MATCH(Settings!$B$16,DKW_10Y!$A$2:$A$2918,1)))*100))</f>
        <v/>
      </c>
      <c r="AC714" s="18">
        <f>IF(NOT(ISNUMBER($A714)),NA(),IFERROR(1*INDEX(BBG_Data!$N$2:$N$4000,MATCH($A714,BBG_Data!$M$2:$M$4000,0)),NA()))</f>
        <v/>
      </c>
      <c r="AD714" s="18">
        <f>IF(NOT(ISNUMBER($A714)),NA(),IFERROR(1*INDEX(BBG_Data!$P$2:$P$4000,MATCH($A714,BBG_Data!$O$2:$O$4000,0)),NA()))</f>
        <v/>
      </c>
      <c r="AE714" s="18">
        <f>IF(NOT(ISNUMBER($A714)),NA(),IFERROR(1*INDEX(BBG_Data!$R$2:$R$4000,MATCH($A714,BBG_Data!$Q$2:$Q$4000,0)),NA()))</f>
        <v/>
      </c>
      <c r="AF714" s="20">
        <f>IF(AND(ISNUMBER(B714),ISNUMBER(AC714)),(B714-AC714)*100,NA())</f>
        <v/>
      </c>
      <c r="AG714" s="20">
        <f>IF(AND(ISNUMBER(AE714),ISNUMBER(AD714)),(AE714-AD714)*100,NA())</f>
        <v/>
      </c>
      <c r="AH714" s="19">
        <f>IF(NOT(ISNUMBER($A714)),NA(),IFERROR(INDEX(BBG_Data!$T$2:$T$4000,MATCH($A714,BBG_Data!$S$2:$S$4000,0))*Settings!$B$25,NA()))</f>
        <v/>
      </c>
      <c r="AI714" s="19">
        <f>IF(NOT(ISNUMBER($A714)),NA(),IFERROR(INDEX(BBG_Data!$V$2:$V$4000,MATCH($A714,BBG_Data!$U$2:$U$4000,0))*Settings!$B$25,NA()))</f>
        <v/>
      </c>
      <c r="AJ714" s="19">
        <f>IF(NOT(ISNUMBER($A714)),NA(),IFERROR(1*INDEX(BBG_Data!$X$2:$X$4000,MATCH($A714,BBG_Data!$W$2:$W$4000,0)),NA()))</f>
        <v/>
      </c>
      <c r="AK714" s="19">
        <f>IF(NOT(ISNUMBER($A714)),NA(),IFERROR(1*INDEX(BBG_Data!$Z$2:$Z$4000,MATCH($A714,BBG_Data!$Y$2:$Y$4000,0)),NA()))</f>
        <v/>
      </c>
    </row>
    <row r="715">
      <c r="A715" s="17">
        <f>IF(ISNUMBER(BBG_Data!A715),BBG_Data!A715,"")</f>
        <v/>
      </c>
      <c r="B715" s="18">
        <f>IF(AND(ISNUMBER($A715),ISNUMBER(BBG_Data!B715)),BBG_Data!B715,NA())</f>
        <v/>
      </c>
      <c r="C715" s="18">
        <f>IF(NOT(ISNUMBER($A715)),NA(),IFERROR(1*INDEX(BBG_Data!$D$2:$D$4000,MATCH($A715,BBG_Data!$C$2:$C$4000,0)),NA()))</f>
        <v/>
      </c>
      <c r="D715" s="19">
        <f>IF(NOT(ISNUMBER($A715)),NA(),IFERROR(1*INDEX(BBG_Data!$F$2:$F$4000,MATCH($A715,BBG_Data!$E$2:$E$4000,0)),NA()))</f>
        <v/>
      </c>
      <c r="E715" s="19">
        <f>IF(NOT(ISNUMBER($A715)),NA(),IFERROR(1*INDEX(BBG_Data!$H$2:$H$4000,MATCH($A715,BBG_Data!$G$2:$G$4000,0)),NA()))</f>
        <v/>
      </c>
      <c r="F715" s="20">
        <f>IF(AND(ISNUMBER(B715),ISNUMBER(B714)),IF(B715=B714,"",(B715-B714)*100),"")</f>
        <v/>
      </c>
      <c r="G715" s="20">
        <f>IF(AND(ISNUMBER(C715),ISNUMBER(C714)),IF(C715=C714,"",(C715-C714)*100),"")</f>
        <v/>
      </c>
      <c r="H715" s="20">
        <f>IF(OR(NOT(ISNUMBER($A715)),ROW()-2&lt;Settings!$B$11),NA(),IF(COUNT(OFFSET(F715,1-Settings!$B$11,0,Settings!$B$11,1))&lt;ROUNDUP(Settings!$B$11*Settings!$B$26,0),NA(),STDEV(OFFSET(F715,1-Settings!$B$11,0,Settings!$B$11,1))*SQRT(Settings!$B$13)))</f>
        <v/>
      </c>
      <c r="I715" s="20">
        <f>IF(OR(NOT(ISNUMBER($A715)),ROW()-2&lt;Settings!$B$12),NA(),IF(COUNT(OFFSET(F715,1-Settings!$B$12,0,Settings!$B$12,1))&lt;ROUNDUP(Settings!$B$12*Settings!$B$26,0),NA(),STDEV(OFFSET(F715,1-Settings!$B$12,0,Settings!$B$12,1))*SQRT(Settings!$B$13)))</f>
        <v/>
      </c>
      <c r="J715" s="20">
        <f>IF(OR(NOT(ISNUMBER($A715)),ROW()-2&lt;Settings!$B$11),NA(),IF(COUNT(OFFSET(G715,1-Settings!$B$11,0,Settings!$B$11,1))&lt;ROUNDUP(Settings!$B$11*Settings!$B$26,0),NA(),STDEV(OFFSET(G715,1-Settings!$B$11,0,Settings!$B$11,1))*SQRT(Settings!$B$13)))</f>
        <v/>
      </c>
      <c r="K715" s="20">
        <f>IF(OR(NOT(ISNUMBER($A715)),ROW()-2&lt;Settings!$B$12),NA(),IF(COUNT(OFFSET(G715,1-Settings!$B$12,0,Settings!$B$12,1))&lt;ROUNDUP(Settings!$B$12*Settings!$B$26,0),NA(),STDEV(OFFSET(G715,1-Settings!$B$12,0,Settings!$B$12,1))*SQRT(Settings!$B$13)))</f>
        <v/>
      </c>
      <c r="L715" s="20">
        <f>IF(AND(ISNUMBER(D715),ISNUMBER(H715)),D715-H715,NA())</f>
        <v/>
      </c>
      <c r="M715" s="20">
        <f>IF(AND(ISNUMBER(E715),ISNUMBER(K715)),E715-K715,NA())</f>
        <v/>
      </c>
      <c r="N715" s="20">
        <f>IF(NOT(ISNUMBER($A715)),NA(),IF(COUNT(OFFSET(G715,1,0,Settings!$B$12,1))&lt;ROUNDUP(Settings!$B$12*Settings!$B$26,0),NA(),STDEV(OFFSET(G715,1,0,Settings!$B$12,1))*SQRT(Settings!$B$13)))</f>
        <v/>
      </c>
      <c r="O715" s="20">
        <f>IF(AND(ISNUMBER(E715),ISNUMBER(N715)),E715-N715,NA())</f>
        <v/>
      </c>
      <c r="P715" s="19">
        <f>IF(NOT(ISNUMBER($A715)),NA(),IF(OR($A715&lt;MIN(KW_TP!$A$2:$A$2501),$A715&gt;MAX(KW_TP!$A$2:$A$2501)),NA(),INDEX(KW_TP!$C$2:$C$2501,MATCH($A715,KW_TP!$A$2:$A$2501,1))))</f>
        <v/>
      </c>
      <c r="Q715" s="18">
        <f>IF(NOT(ISNUMBER($A715)),NA(),IFERROR(1*INDEX(BBG_Data!$J$2:$J$4000,MATCH($A715,BBG_Data!$I$2:$I$4000,0)),NA()))</f>
        <v/>
      </c>
      <c r="R715" s="18">
        <f>IF(NOT(ISNUMBER($A715)),NA(),IFERROR(1*INDEX(BBG_Data!$L$2:$L$4000,MATCH($A715,BBG_Data!$K$2:$K$4000,0)),NA()))</f>
        <v/>
      </c>
      <c r="S715" s="20">
        <f>IF(AND(ISNUMBER(B715),ISNUMBER(Q715),ISNUMBER(R715)),(B715-Q715-R715)*100,NA())</f>
        <v/>
      </c>
      <c r="T715" s="20">
        <f>IF(AND(ISNUMBER(B715),Settings!$B$17&gt;0),IF(ISNUMBER(INDEX($B:$B,Settings!$B$17)),(B715-INDEX($B:$B,Settings!$B$17))*100,NA()),NA())</f>
        <v/>
      </c>
      <c r="U715" s="20">
        <f>IF(AND(ISNUMBER(Q715),Settings!$B$17&gt;0),IF(ISNUMBER(INDEX($Q:$Q,Settings!$B$17)),(Q715-INDEX($Q:$Q,Settings!$B$17))*100,NA()),NA())</f>
        <v/>
      </c>
      <c r="V715" s="20">
        <f>IF(AND(ISNUMBER(R715),Settings!$B$17&gt;0),IF(ISNUMBER(INDEX($R:$R,Settings!$B$17)),(R715-INDEX($R:$R,Settings!$B$17))*100,NA()),NA())</f>
        <v/>
      </c>
      <c r="W715" s="20">
        <f>IF(AND(ISNUMBER(P715),Settings!$B$17&gt;0),IF(ISNUMBER(INDEX($P:$P,Settings!$B$17)),P715-INDEX($P:$P,Settings!$B$17),NA()),NA())</f>
        <v/>
      </c>
      <c r="X715" s="19">
        <f>IF(NOT(ISNUMBER($A715)),NA(),IF(OR($A715&lt;MIN(DKW_10Y!$A$2:$A$2918),$A715&gt;MAX(DKW_10Y!$A$2:$A$2918),Settings!$B$16&lt;MIN(DKW_10Y!$A$2:$A$2918)),NA(),(INDEX(DKW_10Y!$B$2:$B$2918,MATCH($A715,DKW_10Y!$A$2:$A$2918,1))-INDEX(DKW_10Y!$B$2:$B$2918,MATCH(Settings!$B$16,DKW_10Y!$A$2:$A$2918,1)))*100))</f>
        <v/>
      </c>
      <c r="Y715" s="19">
        <f>IF(NOT(ISNUMBER($A715)),NA(),IF(OR($A715&lt;MIN(DKW_10Y!$A$2:$A$2918),$A715&gt;MAX(DKW_10Y!$A$2:$A$2918),Settings!$B$16&lt;MIN(DKW_10Y!$A$2:$A$2918)),NA(),(INDEX(DKW_10Y!$C$2:$C$2918,MATCH($A715,DKW_10Y!$A$2:$A$2918,1))-INDEX(DKW_10Y!$C$2:$C$2918,MATCH(Settings!$B$16,DKW_10Y!$A$2:$A$2918,1)))*100))</f>
        <v/>
      </c>
      <c r="Z715" s="19">
        <f>IF(NOT(ISNUMBER($A715)),NA(),IF(OR($A715&lt;MIN(DKW_10Y!$A$2:$A$2918),$A715&gt;MAX(DKW_10Y!$A$2:$A$2918),Settings!$B$16&lt;MIN(DKW_10Y!$A$2:$A$2918)),NA(),(INDEX(DKW_10Y!$D$2:$D$2918,MATCH($A715,DKW_10Y!$A$2:$A$2918,1))-INDEX(DKW_10Y!$D$2:$D$2918,MATCH(Settings!$B$16,DKW_10Y!$A$2:$A$2918,1)))*100))</f>
        <v/>
      </c>
      <c r="AA715" s="19">
        <f>IF(NOT(ISNUMBER($A715)),NA(),IF(OR($A715&lt;MIN(DKW_10Y!$A$2:$A$2918),$A715&gt;MAX(DKW_10Y!$A$2:$A$2918),Settings!$B$16&lt;MIN(DKW_10Y!$A$2:$A$2918)),NA(),(INDEX(DKW_10Y!$E$2:$E$2918,MATCH($A715,DKW_10Y!$A$2:$A$2918,1))-INDEX(DKW_10Y!$E$2:$E$2918,MATCH(Settings!$B$16,DKW_10Y!$A$2:$A$2918,1)))*100))</f>
        <v/>
      </c>
      <c r="AB715" s="19">
        <f>IF(NOT(ISNUMBER($A715)),NA(),IF(OR($A715&lt;MIN(DKW_10Y!$A$2:$A$2918),$A715&gt;MAX(DKW_10Y!$A$2:$A$2918),Settings!$B$16&lt;MIN(DKW_10Y!$A$2:$A$2918)),NA(),(INDEX(DKW_10Y!$H$2:$H$2918,MATCH($A715,DKW_10Y!$A$2:$A$2918,1))-INDEX(DKW_10Y!$H$2:$H$2918,MATCH(Settings!$B$16,DKW_10Y!$A$2:$A$2918,1)))*100))</f>
        <v/>
      </c>
      <c r="AC715" s="18">
        <f>IF(NOT(ISNUMBER($A715)),NA(),IFERROR(1*INDEX(BBG_Data!$N$2:$N$4000,MATCH($A715,BBG_Data!$M$2:$M$4000,0)),NA()))</f>
        <v/>
      </c>
      <c r="AD715" s="18">
        <f>IF(NOT(ISNUMBER($A715)),NA(),IFERROR(1*INDEX(BBG_Data!$P$2:$P$4000,MATCH($A715,BBG_Data!$O$2:$O$4000,0)),NA()))</f>
        <v/>
      </c>
      <c r="AE715" s="18">
        <f>IF(NOT(ISNUMBER($A715)),NA(),IFERROR(1*INDEX(BBG_Data!$R$2:$R$4000,MATCH($A715,BBG_Data!$Q$2:$Q$4000,0)),NA()))</f>
        <v/>
      </c>
      <c r="AF715" s="20">
        <f>IF(AND(ISNUMBER(B715),ISNUMBER(AC715)),(B715-AC715)*100,NA())</f>
        <v/>
      </c>
      <c r="AG715" s="20">
        <f>IF(AND(ISNUMBER(AE715),ISNUMBER(AD715)),(AE715-AD715)*100,NA())</f>
        <v/>
      </c>
      <c r="AH715" s="19">
        <f>IF(NOT(ISNUMBER($A715)),NA(),IFERROR(INDEX(BBG_Data!$T$2:$T$4000,MATCH($A715,BBG_Data!$S$2:$S$4000,0))*Settings!$B$25,NA()))</f>
        <v/>
      </c>
      <c r="AI715" s="19">
        <f>IF(NOT(ISNUMBER($A715)),NA(),IFERROR(INDEX(BBG_Data!$V$2:$V$4000,MATCH($A715,BBG_Data!$U$2:$U$4000,0))*Settings!$B$25,NA()))</f>
        <v/>
      </c>
      <c r="AJ715" s="19">
        <f>IF(NOT(ISNUMBER($A715)),NA(),IFERROR(1*INDEX(BBG_Data!$X$2:$X$4000,MATCH($A715,BBG_Data!$W$2:$W$4000,0)),NA()))</f>
        <v/>
      </c>
      <c r="AK715" s="19">
        <f>IF(NOT(ISNUMBER($A715)),NA(),IFERROR(1*INDEX(BBG_Data!$Z$2:$Z$4000,MATCH($A715,BBG_Data!$Y$2:$Y$4000,0)),NA()))</f>
        <v/>
      </c>
    </row>
    <row r="716">
      <c r="A716" s="17">
        <f>IF(ISNUMBER(BBG_Data!A716),BBG_Data!A716,"")</f>
        <v/>
      </c>
      <c r="B716" s="18">
        <f>IF(AND(ISNUMBER($A716),ISNUMBER(BBG_Data!B716)),BBG_Data!B716,NA())</f>
        <v/>
      </c>
      <c r="C716" s="18">
        <f>IF(NOT(ISNUMBER($A716)),NA(),IFERROR(1*INDEX(BBG_Data!$D$2:$D$4000,MATCH($A716,BBG_Data!$C$2:$C$4000,0)),NA()))</f>
        <v/>
      </c>
      <c r="D716" s="19">
        <f>IF(NOT(ISNUMBER($A716)),NA(),IFERROR(1*INDEX(BBG_Data!$F$2:$F$4000,MATCH($A716,BBG_Data!$E$2:$E$4000,0)),NA()))</f>
        <v/>
      </c>
      <c r="E716" s="19">
        <f>IF(NOT(ISNUMBER($A716)),NA(),IFERROR(1*INDEX(BBG_Data!$H$2:$H$4000,MATCH($A716,BBG_Data!$G$2:$G$4000,0)),NA()))</f>
        <v/>
      </c>
      <c r="F716" s="20">
        <f>IF(AND(ISNUMBER(B716),ISNUMBER(B715)),IF(B716=B715,"",(B716-B715)*100),"")</f>
        <v/>
      </c>
      <c r="G716" s="20">
        <f>IF(AND(ISNUMBER(C716),ISNUMBER(C715)),IF(C716=C715,"",(C716-C715)*100),"")</f>
        <v/>
      </c>
      <c r="H716" s="20">
        <f>IF(OR(NOT(ISNUMBER($A716)),ROW()-2&lt;Settings!$B$11),NA(),IF(COUNT(OFFSET(F716,1-Settings!$B$11,0,Settings!$B$11,1))&lt;ROUNDUP(Settings!$B$11*Settings!$B$26,0),NA(),STDEV(OFFSET(F716,1-Settings!$B$11,0,Settings!$B$11,1))*SQRT(Settings!$B$13)))</f>
        <v/>
      </c>
      <c r="I716" s="20">
        <f>IF(OR(NOT(ISNUMBER($A716)),ROW()-2&lt;Settings!$B$12),NA(),IF(COUNT(OFFSET(F716,1-Settings!$B$12,0,Settings!$B$12,1))&lt;ROUNDUP(Settings!$B$12*Settings!$B$26,0),NA(),STDEV(OFFSET(F716,1-Settings!$B$12,0,Settings!$B$12,1))*SQRT(Settings!$B$13)))</f>
        <v/>
      </c>
      <c r="J716" s="20">
        <f>IF(OR(NOT(ISNUMBER($A716)),ROW()-2&lt;Settings!$B$11),NA(),IF(COUNT(OFFSET(G716,1-Settings!$B$11,0,Settings!$B$11,1))&lt;ROUNDUP(Settings!$B$11*Settings!$B$26,0),NA(),STDEV(OFFSET(G716,1-Settings!$B$11,0,Settings!$B$11,1))*SQRT(Settings!$B$13)))</f>
        <v/>
      </c>
      <c r="K716" s="20">
        <f>IF(OR(NOT(ISNUMBER($A716)),ROW()-2&lt;Settings!$B$12),NA(),IF(COUNT(OFFSET(G716,1-Settings!$B$12,0,Settings!$B$12,1))&lt;ROUNDUP(Settings!$B$12*Settings!$B$26,0),NA(),STDEV(OFFSET(G716,1-Settings!$B$12,0,Settings!$B$12,1))*SQRT(Settings!$B$13)))</f>
        <v/>
      </c>
      <c r="L716" s="20">
        <f>IF(AND(ISNUMBER(D716),ISNUMBER(H716)),D716-H716,NA())</f>
        <v/>
      </c>
      <c r="M716" s="20">
        <f>IF(AND(ISNUMBER(E716),ISNUMBER(K716)),E716-K716,NA())</f>
        <v/>
      </c>
      <c r="N716" s="20">
        <f>IF(NOT(ISNUMBER($A716)),NA(),IF(COUNT(OFFSET(G716,1,0,Settings!$B$12,1))&lt;ROUNDUP(Settings!$B$12*Settings!$B$26,0),NA(),STDEV(OFFSET(G716,1,0,Settings!$B$12,1))*SQRT(Settings!$B$13)))</f>
        <v/>
      </c>
      <c r="O716" s="20">
        <f>IF(AND(ISNUMBER(E716),ISNUMBER(N716)),E716-N716,NA())</f>
        <v/>
      </c>
      <c r="P716" s="19">
        <f>IF(NOT(ISNUMBER($A716)),NA(),IF(OR($A716&lt;MIN(KW_TP!$A$2:$A$2501),$A716&gt;MAX(KW_TP!$A$2:$A$2501)),NA(),INDEX(KW_TP!$C$2:$C$2501,MATCH($A716,KW_TP!$A$2:$A$2501,1))))</f>
        <v/>
      </c>
      <c r="Q716" s="18">
        <f>IF(NOT(ISNUMBER($A716)),NA(),IFERROR(1*INDEX(BBG_Data!$J$2:$J$4000,MATCH($A716,BBG_Data!$I$2:$I$4000,0)),NA()))</f>
        <v/>
      </c>
      <c r="R716" s="18">
        <f>IF(NOT(ISNUMBER($A716)),NA(),IFERROR(1*INDEX(BBG_Data!$L$2:$L$4000,MATCH($A716,BBG_Data!$K$2:$K$4000,0)),NA()))</f>
        <v/>
      </c>
      <c r="S716" s="20">
        <f>IF(AND(ISNUMBER(B716),ISNUMBER(Q716),ISNUMBER(R716)),(B716-Q716-R716)*100,NA())</f>
        <v/>
      </c>
      <c r="T716" s="20">
        <f>IF(AND(ISNUMBER(B716),Settings!$B$17&gt;0),IF(ISNUMBER(INDEX($B:$B,Settings!$B$17)),(B716-INDEX($B:$B,Settings!$B$17))*100,NA()),NA())</f>
        <v/>
      </c>
      <c r="U716" s="20">
        <f>IF(AND(ISNUMBER(Q716),Settings!$B$17&gt;0),IF(ISNUMBER(INDEX($Q:$Q,Settings!$B$17)),(Q716-INDEX($Q:$Q,Settings!$B$17))*100,NA()),NA())</f>
        <v/>
      </c>
      <c r="V716" s="20">
        <f>IF(AND(ISNUMBER(R716),Settings!$B$17&gt;0),IF(ISNUMBER(INDEX($R:$R,Settings!$B$17)),(R716-INDEX($R:$R,Settings!$B$17))*100,NA()),NA())</f>
        <v/>
      </c>
      <c r="W716" s="20">
        <f>IF(AND(ISNUMBER(P716),Settings!$B$17&gt;0),IF(ISNUMBER(INDEX($P:$P,Settings!$B$17)),P716-INDEX($P:$P,Settings!$B$17),NA()),NA())</f>
        <v/>
      </c>
      <c r="X716" s="19">
        <f>IF(NOT(ISNUMBER($A716)),NA(),IF(OR($A716&lt;MIN(DKW_10Y!$A$2:$A$2918),$A716&gt;MAX(DKW_10Y!$A$2:$A$2918),Settings!$B$16&lt;MIN(DKW_10Y!$A$2:$A$2918)),NA(),(INDEX(DKW_10Y!$B$2:$B$2918,MATCH($A716,DKW_10Y!$A$2:$A$2918,1))-INDEX(DKW_10Y!$B$2:$B$2918,MATCH(Settings!$B$16,DKW_10Y!$A$2:$A$2918,1)))*100))</f>
        <v/>
      </c>
      <c r="Y716" s="19">
        <f>IF(NOT(ISNUMBER($A716)),NA(),IF(OR($A716&lt;MIN(DKW_10Y!$A$2:$A$2918),$A716&gt;MAX(DKW_10Y!$A$2:$A$2918),Settings!$B$16&lt;MIN(DKW_10Y!$A$2:$A$2918)),NA(),(INDEX(DKW_10Y!$C$2:$C$2918,MATCH($A716,DKW_10Y!$A$2:$A$2918,1))-INDEX(DKW_10Y!$C$2:$C$2918,MATCH(Settings!$B$16,DKW_10Y!$A$2:$A$2918,1)))*100))</f>
        <v/>
      </c>
      <c r="Z716" s="19">
        <f>IF(NOT(ISNUMBER($A716)),NA(),IF(OR($A716&lt;MIN(DKW_10Y!$A$2:$A$2918),$A716&gt;MAX(DKW_10Y!$A$2:$A$2918),Settings!$B$16&lt;MIN(DKW_10Y!$A$2:$A$2918)),NA(),(INDEX(DKW_10Y!$D$2:$D$2918,MATCH($A716,DKW_10Y!$A$2:$A$2918,1))-INDEX(DKW_10Y!$D$2:$D$2918,MATCH(Settings!$B$16,DKW_10Y!$A$2:$A$2918,1)))*100))</f>
        <v/>
      </c>
      <c r="AA716" s="19">
        <f>IF(NOT(ISNUMBER($A716)),NA(),IF(OR($A716&lt;MIN(DKW_10Y!$A$2:$A$2918),$A716&gt;MAX(DKW_10Y!$A$2:$A$2918),Settings!$B$16&lt;MIN(DKW_10Y!$A$2:$A$2918)),NA(),(INDEX(DKW_10Y!$E$2:$E$2918,MATCH($A716,DKW_10Y!$A$2:$A$2918,1))-INDEX(DKW_10Y!$E$2:$E$2918,MATCH(Settings!$B$16,DKW_10Y!$A$2:$A$2918,1)))*100))</f>
        <v/>
      </c>
      <c r="AB716" s="19">
        <f>IF(NOT(ISNUMBER($A716)),NA(),IF(OR($A716&lt;MIN(DKW_10Y!$A$2:$A$2918),$A716&gt;MAX(DKW_10Y!$A$2:$A$2918),Settings!$B$16&lt;MIN(DKW_10Y!$A$2:$A$2918)),NA(),(INDEX(DKW_10Y!$H$2:$H$2918,MATCH($A716,DKW_10Y!$A$2:$A$2918,1))-INDEX(DKW_10Y!$H$2:$H$2918,MATCH(Settings!$B$16,DKW_10Y!$A$2:$A$2918,1)))*100))</f>
        <v/>
      </c>
      <c r="AC716" s="18">
        <f>IF(NOT(ISNUMBER($A716)),NA(),IFERROR(1*INDEX(BBG_Data!$N$2:$N$4000,MATCH($A716,BBG_Data!$M$2:$M$4000,0)),NA()))</f>
        <v/>
      </c>
      <c r="AD716" s="18">
        <f>IF(NOT(ISNUMBER($A716)),NA(),IFERROR(1*INDEX(BBG_Data!$P$2:$P$4000,MATCH($A716,BBG_Data!$O$2:$O$4000,0)),NA()))</f>
        <v/>
      </c>
      <c r="AE716" s="18">
        <f>IF(NOT(ISNUMBER($A716)),NA(),IFERROR(1*INDEX(BBG_Data!$R$2:$R$4000,MATCH($A716,BBG_Data!$Q$2:$Q$4000,0)),NA()))</f>
        <v/>
      </c>
      <c r="AF716" s="20">
        <f>IF(AND(ISNUMBER(B716),ISNUMBER(AC716)),(B716-AC716)*100,NA())</f>
        <v/>
      </c>
      <c r="AG716" s="20">
        <f>IF(AND(ISNUMBER(AE716),ISNUMBER(AD716)),(AE716-AD716)*100,NA())</f>
        <v/>
      </c>
      <c r="AH716" s="19">
        <f>IF(NOT(ISNUMBER($A716)),NA(),IFERROR(INDEX(BBG_Data!$T$2:$T$4000,MATCH($A716,BBG_Data!$S$2:$S$4000,0))*Settings!$B$25,NA()))</f>
        <v/>
      </c>
      <c r="AI716" s="19">
        <f>IF(NOT(ISNUMBER($A716)),NA(),IFERROR(INDEX(BBG_Data!$V$2:$V$4000,MATCH($A716,BBG_Data!$U$2:$U$4000,0))*Settings!$B$25,NA()))</f>
        <v/>
      </c>
      <c r="AJ716" s="19">
        <f>IF(NOT(ISNUMBER($A716)),NA(),IFERROR(1*INDEX(BBG_Data!$X$2:$X$4000,MATCH($A716,BBG_Data!$W$2:$W$4000,0)),NA()))</f>
        <v/>
      </c>
      <c r="AK716" s="19">
        <f>IF(NOT(ISNUMBER($A716)),NA(),IFERROR(1*INDEX(BBG_Data!$Z$2:$Z$4000,MATCH($A716,BBG_Data!$Y$2:$Y$4000,0)),NA()))</f>
        <v/>
      </c>
    </row>
    <row r="717">
      <c r="A717" s="17">
        <f>IF(ISNUMBER(BBG_Data!A717),BBG_Data!A717,"")</f>
        <v/>
      </c>
      <c r="B717" s="18">
        <f>IF(AND(ISNUMBER($A717),ISNUMBER(BBG_Data!B717)),BBG_Data!B717,NA())</f>
        <v/>
      </c>
      <c r="C717" s="18">
        <f>IF(NOT(ISNUMBER($A717)),NA(),IFERROR(1*INDEX(BBG_Data!$D$2:$D$4000,MATCH($A717,BBG_Data!$C$2:$C$4000,0)),NA()))</f>
        <v/>
      </c>
      <c r="D717" s="19">
        <f>IF(NOT(ISNUMBER($A717)),NA(),IFERROR(1*INDEX(BBG_Data!$F$2:$F$4000,MATCH($A717,BBG_Data!$E$2:$E$4000,0)),NA()))</f>
        <v/>
      </c>
      <c r="E717" s="19">
        <f>IF(NOT(ISNUMBER($A717)),NA(),IFERROR(1*INDEX(BBG_Data!$H$2:$H$4000,MATCH($A717,BBG_Data!$G$2:$G$4000,0)),NA()))</f>
        <v/>
      </c>
      <c r="F717" s="20">
        <f>IF(AND(ISNUMBER(B717),ISNUMBER(B716)),IF(B717=B716,"",(B717-B716)*100),"")</f>
        <v/>
      </c>
      <c r="G717" s="20">
        <f>IF(AND(ISNUMBER(C717),ISNUMBER(C716)),IF(C717=C716,"",(C717-C716)*100),"")</f>
        <v/>
      </c>
      <c r="H717" s="20">
        <f>IF(OR(NOT(ISNUMBER($A717)),ROW()-2&lt;Settings!$B$11),NA(),IF(COUNT(OFFSET(F717,1-Settings!$B$11,0,Settings!$B$11,1))&lt;ROUNDUP(Settings!$B$11*Settings!$B$26,0),NA(),STDEV(OFFSET(F717,1-Settings!$B$11,0,Settings!$B$11,1))*SQRT(Settings!$B$13)))</f>
        <v/>
      </c>
      <c r="I717" s="20">
        <f>IF(OR(NOT(ISNUMBER($A717)),ROW()-2&lt;Settings!$B$12),NA(),IF(COUNT(OFFSET(F717,1-Settings!$B$12,0,Settings!$B$12,1))&lt;ROUNDUP(Settings!$B$12*Settings!$B$26,0),NA(),STDEV(OFFSET(F717,1-Settings!$B$12,0,Settings!$B$12,1))*SQRT(Settings!$B$13)))</f>
        <v/>
      </c>
      <c r="J717" s="20">
        <f>IF(OR(NOT(ISNUMBER($A717)),ROW()-2&lt;Settings!$B$11),NA(),IF(COUNT(OFFSET(G717,1-Settings!$B$11,0,Settings!$B$11,1))&lt;ROUNDUP(Settings!$B$11*Settings!$B$26,0),NA(),STDEV(OFFSET(G717,1-Settings!$B$11,0,Settings!$B$11,1))*SQRT(Settings!$B$13)))</f>
        <v/>
      </c>
      <c r="K717" s="20">
        <f>IF(OR(NOT(ISNUMBER($A717)),ROW()-2&lt;Settings!$B$12),NA(),IF(COUNT(OFFSET(G717,1-Settings!$B$12,0,Settings!$B$12,1))&lt;ROUNDUP(Settings!$B$12*Settings!$B$26,0),NA(),STDEV(OFFSET(G717,1-Settings!$B$12,0,Settings!$B$12,1))*SQRT(Settings!$B$13)))</f>
        <v/>
      </c>
      <c r="L717" s="20">
        <f>IF(AND(ISNUMBER(D717),ISNUMBER(H717)),D717-H717,NA())</f>
        <v/>
      </c>
      <c r="M717" s="20">
        <f>IF(AND(ISNUMBER(E717),ISNUMBER(K717)),E717-K717,NA())</f>
        <v/>
      </c>
      <c r="N717" s="20">
        <f>IF(NOT(ISNUMBER($A717)),NA(),IF(COUNT(OFFSET(G717,1,0,Settings!$B$12,1))&lt;ROUNDUP(Settings!$B$12*Settings!$B$26,0),NA(),STDEV(OFFSET(G717,1,0,Settings!$B$12,1))*SQRT(Settings!$B$13)))</f>
        <v/>
      </c>
      <c r="O717" s="20">
        <f>IF(AND(ISNUMBER(E717),ISNUMBER(N717)),E717-N717,NA())</f>
        <v/>
      </c>
      <c r="P717" s="19">
        <f>IF(NOT(ISNUMBER($A717)),NA(),IF(OR($A717&lt;MIN(KW_TP!$A$2:$A$2501),$A717&gt;MAX(KW_TP!$A$2:$A$2501)),NA(),INDEX(KW_TP!$C$2:$C$2501,MATCH($A717,KW_TP!$A$2:$A$2501,1))))</f>
        <v/>
      </c>
      <c r="Q717" s="18">
        <f>IF(NOT(ISNUMBER($A717)),NA(),IFERROR(1*INDEX(BBG_Data!$J$2:$J$4000,MATCH($A717,BBG_Data!$I$2:$I$4000,0)),NA()))</f>
        <v/>
      </c>
      <c r="R717" s="18">
        <f>IF(NOT(ISNUMBER($A717)),NA(),IFERROR(1*INDEX(BBG_Data!$L$2:$L$4000,MATCH($A717,BBG_Data!$K$2:$K$4000,0)),NA()))</f>
        <v/>
      </c>
      <c r="S717" s="20">
        <f>IF(AND(ISNUMBER(B717),ISNUMBER(Q717),ISNUMBER(R717)),(B717-Q717-R717)*100,NA())</f>
        <v/>
      </c>
      <c r="T717" s="20">
        <f>IF(AND(ISNUMBER(B717),Settings!$B$17&gt;0),IF(ISNUMBER(INDEX($B:$B,Settings!$B$17)),(B717-INDEX($B:$B,Settings!$B$17))*100,NA()),NA())</f>
        <v/>
      </c>
      <c r="U717" s="20">
        <f>IF(AND(ISNUMBER(Q717),Settings!$B$17&gt;0),IF(ISNUMBER(INDEX($Q:$Q,Settings!$B$17)),(Q717-INDEX($Q:$Q,Settings!$B$17))*100,NA()),NA())</f>
        <v/>
      </c>
      <c r="V717" s="20">
        <f>IF(AND(ISNUMBER(R717),Settings!$B$17&gt;0),IF(ISNUMBER(INDEX($R:$R,Settings!$B$17)),(R717-INDEX($R:$R,Settings!$B$17))*100,NA()),NA())</f>
        <v/>
      </c>
      <c r="W717" s="20">
        <f>IF(AND(ISNUMBER(P717),Settings!$B$17&gt;0),IF(ISNUMBER(INDEX($P:$P,Settings!$B$17)),P717-INDEX($P:$P,Settings!$B$17),NA()),NA())</f>
        <v/>
      </c>
      <c r="X717" s="19">
        <f>IF(NOT(ISNUMBER($A717)),NA(),IF(OR($A717&lt;MIN(DKW_10Y!$A$2:$A$2918),$A717&gt;MAX(DKW_10Y!$A$2:$A$2918),Settings!$B$16&lt;MIN(DKW_10Y!$A$2:$A$2918)),NA(),(INDEX(DKW_10Y!$B$2:$B$2918,MATCH($A717,DKW_10Y!$A$2:$A$2918,1))-INDEX(DKW_10Y!$B$2:$B$2918,MATCH(Settings!$B$16,DKW_10Y!$A$2:$A$2918,1)))*100))</f>
        <v/>
      </c>
      <c r="Y717" s="19">
        <f>IF(NOT(ISNUMBER($A717)),NA(),IF(OR($A717&lt;MIN(DKW_10Y!$A$2:$A$2918),$A717&gt;MAX(DKW_10Y!$A$2:$A$2918),Settings!$B$16&lt;MIN(DKW_10Y!$A$2:$A$2918)),NA(),(INDEX(DKW_10Y!$C$2:$C$2918,MATCH($A717,DKW_10Y!$A$2:$A$2918,1))-INDEX(DKW_10Y!$C$2:$C$2918,MATCH(Settings!$B$16,DKW_10Y!$A$2:$A$2918,1)))*100))</f>
        <v/>
      </c>
      <c r="Z717" s="19">
        <f>IF(NOT(ISNUMBER($A717)),NA(),IF(OR($A717&lt;MIN(DKW_10Y!$A$2:$A$2918),$A717&gt;MAX(DKW_10Y!$A$2:$A$2918),Settings!$B$16&lt;MIN(DKW_10Y!$A$2:$A$2918)),NA(),(INDEX(DKW_10Y!$D$2:$D$2918,MATCH($A717,DKW_10Y!$A$2:$A$2918,1))-INDEX(DKW_10Y!$D$2:$D$2918,MATCH(Settings!$B$16,DKW_10Y!$A$2:$A$2918,1)))*100))</f>
        <v/>
      </c>
      <c r="AA717" s="19">
        <f>IF(NOT(ISNUMBER($A717)),NA(),IF(OR($A717&lt;MIN(DKW_10Y!$A$2:$A$2918),$A717&gt;MAX(DKW_10Y!$A$2:$A$2918),Settings!$B$16&lt;MIN(DKW_10Y!$A$2:$A$2918)),NA(),(INDEX(DKW_10Y!$E$2:$E$2918,MATCH($A717,DKW_10Y!$A$2:$A$2918,1))-INDEX(DKW_10Y!$E$2:$E$2918,MATCH(Settings!$B$16,DKW_10Y!$A$2:$A$2918,1)))*100))</f>
        <v/>
      </c>
      <c r="AB717" s="19">
        <f>IF(NOT(ISNUMBER($A717)),NA(),IF(OR($A717&lt;MIN(DKW_10Y!$A$2:$A$2918),$A717&gt;MAX(DKW_10Y!$A$2:$A$2918),Settings!$B$16&lt;MIN(DKW_10Y!$A$2:$A$2918)),NA(),(INDEX(DKW_10Y!$H$2:$H$2918,MATCH($A717,DKW_10Y!$A$2:$A$2918,1))-INDEX(DKW_10Y!$H$2:$H$2918,MATCH(Settings!$B$16,DKW_10Y!$A$2:$A$2918,1)))*100))</f>
        <v/>
      </c>
      <c r="AC717" s="18">
        <f>IF(NOT(ISNUMBER($A717)),NA(),IFERROR(1*INDEX(BBG_Data!$N$2:$N$4000,MATCH($A717,BBG_Data!$M$2:$M$4000,0)),NA()))</f>
        <v/>
      </c>
      <c r="AD717" s="18">
        <f>IF(NOT(ISNUMBER($A717)),NA(),IFERROR(1*INDEX(BBG_Data!$P$2:$P$4000,MATCH($A717,BBG_Data!$O$2:$O$4000,0)),NA()))</f>
        <v/>
      </c>
      <c r="AE717" s="18">
        <f>IF(NOT(ISNUMBER($A717)),NA(),IFERROR(1*INDEX(BBG_Data!$R$2:$R$4000,MATCH($A717,BBG_Data!$Q$2:$Q$4000,0)),NA()))</f>
        <v/>
      </c>
      <c r="AF717" s="20">
        <f>IF(AND(ISNUMBER(B717),ISNUMBER(AC717)),(B717-AC717)*100,NA())</f>
        <v/>
      </c>
      <c r="AG717" s="20">
        <f>IF(AND(ISNUMBER(AE717),ISNUMBER(AD717)),(AE717-AD717)*100,NA())</f>
        <v/>
      </c>
      <c r="AH717" s="19">
        <f>IF(NOT(ISNUMBER($A717)),NA(),IFERROR(INDEX(BBG_Data!$T$2:$T$4000,MATCH($A717,BBG_Data!$S$2:$S$4000,0))*Settings!$B$25,NA()))</f>
        <v/>
      </c>
      <c r="AI717" s="19">
        <f>IF(NOT(ISNUMBER($A717)),NA(),IFERROR(INDEX(BBG_Data!$V$2:$V$4000,MATCH($A717,BBG_Data!$U$2:$U$4000,0))*Settings!$B$25,NA()))</f>
        <v/>
      </c>
      <c r="AJ717" s="19">
        <f>IF(NOT(ISNUMBER($A717)),NA(),IFERROR(1*INDEX(BBG_Data!$X$2:$X$4000,MATCH($A717,BBG_Data!$W$2:$W$4000,0)),NA()))</f>
        <v/>
      </c>
      <c r="AK717" s="19">
        <f>IF(NOT(ISNUMBER($A717)),NA(),IFERROR(1*INDEX(BBG_Data!$Z$2:$Z$4000,MATCH($A717,BBG_Data!$Y$2:$Y$4000,0)),NA()))</f>
        <v/>
      </c>
    </row>
    <row r="718">
      <c r="A718" s="17">
        <f>IF(ISNUMBER(BBG_Data!A718),BBG_Data!A718,"")</f>
        <v/>
      </c>
      <c r="B718" s="18">
        <f>IF(AND(ISNUMBER($A718),ISNUMBER(BBG_Data!B718)),BBG_Data!B718,NA())</f>
        <v/>
      </c>
      <c r="C718" s="18">
        <f>IF(NOT(ISNUMBER($A718)),NA(),IFERROR(1*INDEX(BBG_Data!$D$2:$D$4000,MATCH($A718,BBG_Data!$C$2:$C$4000,0)),NA()))</f>
        <v/>
      </c>
      <c r="D718" s="19">
        <f>IF(NOT(ISNUMBER($A718)),NA(),IFERROR(1*INDEX(BBG_Data!$F$2:$F$4000,MATCH($A718,BBG_Data!$E$2:$E$4000,0)),NA()))</f>
        <v/>
      </c>
      <c r="E718" s="19">
        <f>IF(NOT(ISNUMBER($A718)),NA(),IFERROR(1*INDEX(BBG_Data!$H$2:$H$4000,MATCH($A718,BBG_Data!$G$2:$G$4000,0)),NA()))</f>
        <v/>
      </c>
      <c r="F718" s="20">
        <f>IF(AND(ISNUMBER(B718),ISNUMBER(B717)),IF(B718=B717,"",(B718-B717)*100),"")</f>
        <v/>
      </c>
      <c r="G718" s="20">
        <f>IF(AND(ISNUMBER(C718),ISNUMBER(C717)),IF(C718=C717,"",(C718-C717)*100),"")</f>
        <v/>
      </c>
      <c r="H718" s="20">
        <f>IF(OR(NOT(ISNUMBER($A718)),ROW()-2&lt;Settings!$B$11),NA(),IF(COUNT(OFFSET(F718,1-Settings!$B$11,0,Settings!$B$11,1))&lt;ROUNDUP(Settings!$B$11*Settings!$B$26,0),NA(),STDEV(OFFSET(F718,1-Settings!$B$11,0,Settings!$B$11,1))*SQRT(Settings!$B$13)))</f>
        <v/>
      </c>
      <c r="I718" s="20">
        <f>IF(OR(NOT(ISNUMBER($A718)),ROW()-2&lt;Settings!$B$12),NA(),IF(COUNT(OFFSET(F718,1-Settings!$B$12,0,Settings!$B$12,1))&lt;ROUNDUP(Settings!$B$12*Settings!$B$26,0),NA(),STDEV(OFFSET(F718,1-Settings!$B$12,0,Settings!$B$12,1))*SQRT(Settings!$B$13)))</f>
        <v/>
      </c>
      <c r="J718" s="20">
        <f>IF(OR(NOT(ISNUMBER($A718)),ROW()-2&lt;Settings!$B$11),NA(),IF(COUNT(OFFSET(G718,1-Settings!$B$11,0,Settings!$B$11,1))&lt;ROUNDUP(Settings!$B$11*Settings!$B$26,0),NA(),STDEV(OFFSET(G718,1-Settings!$B$11,0,Settings!$B$11,1))*SQRT(Settings!$B$13)))</f>
        <v/>
      </c>
      <c r="K718" s="20">
        <f>IF(OR(NOT(ISNUMBER($A718)),ROW()-2&lt;Settings!$B$12),NA(),IF(COUNT(OFFSET(G718,1-Settings!$B$12,0,Settings!$B$12,1))&lt;ROUNDUP(Settings!$B$12*Settings!$B$26,0),NA(),STDEV(OFFSET(G718,1-Settings!$B$12,0,Settings!$B$12,1))*SQRT(Settings!$B$13)))</f>
        <v/>
      </c>
      <c r="L718" s="20">
        <f>IF(AND(ISNUMBER(D718),ISNUMBER(H718)),D718-H718,NA())</f>
        <v/>
      </c>
      <c r="M718" s="20">
        <f>IF(AND(ISNUMBER(E718),ISNUMBER(K718)),E718-K718,NA())</f>
        <v/>
      </c>
      <c r="N718" s="20">
        <f>IF(NOT(ISNUMBER($A718)),NA(),IF(COUNT(OFFSET(G718,1,0,Settings!$B$12,1))&lt;ROUNDUP(Settings!$B$12*Settings!$B$26,0),NA(),STDEV(OFFSET(G718,1,0,Settings!$B$12,1))*SQRT(Settings!$B$13)))</f>
        <v/>
      </c>
      <c r="O718" s="20">
        <f>IF(AND(ISNUMBER(E718),ISNUMBER(N718)),E718-N718,NA())</f>
        <v/>
      </c>
      <c r="P718" s="19">
        <f>IF(NOT(ISNUMBER($A718)),NA(),IF(OR($A718&lt;MIN(KW_TP!$A$2:$A$2501),$A718&gt;MAX(KW_TP!$A$2:$A$2501)),NA(),INDEX(KW_TP!$C$2:$C$2501,MATCH($A718,KW_TP!$A$2:$A$2501,1))))</f>
        <v/>
      </c>
      <c r="Q718" s="18">
        <f>IF(NOT(ISNUMBER($A718)),NA(),IFERROR(1*INDEX(BBG_Data!$J$2:$J$4000,MATCH($A718,BBG_Data!$I$2:$I$4000,0)),NA()))</f>
        <v/>
      </c>
      <c r="R718" s="18">
        <f>IF(NOT(ISNUMBER($A718)),NA(),IFERROR(1*INDEX(BBG_Data!$L$2:$L$4000,MATCH($A718,BBG_Data!$K$2:$K$4000,0)),NA()))</f>
        <v/>
      </c>
      <c r="S718" s="20">
        <f>IF(AND(ISNUMBER(B718),ISNUMBER(Q718),ISNUMBER(R718)),(B718-Q718-R718)*100,NA())</f>
        <v/>
      </c>
      <c r="T718" s="20">
        <f>IF(AND(ISNUMBER(B718),Settings!$B$17&gt;0),IF(ISNUMBER(INDEX($B:$B,Settings!$B$17)),(B718-INDEX($B:$B,Settings!$B$17))*100,NA()),NA())</f>
        <v/>
      </c>
      <c r="U718" s="20">
        <f>IF(AND(ISNUMBER(Q718),Settings!$B$17&gt;0),IF(ISNUMBER(INDEX($Q:$Q,Settings!$B$17)),(Q718-INDEX($Q:$Q,Settings!$B$17))*100,NA()),NA())</f>
        <v/>
      </c>
      <c r="V718" s="20">
        <f>IF(AND(ISNUMBER(R718),Settings!$B$17&gt;0),IF(ISNUMBER(INDEX($R:$R,Settings!$B$17)),(R718-INDEX($R:$R,Settings!$B$17))*100,NA()),NA())</f>
        <v/>
      </c>
      <c r="W718" s="20">
        <f>IF(AND(ISNUMBER(P718),Settings!$B$17&gt;0),IF(ISNUMBER(INDEX($P:$P,Settings!$B$17)),P718-INDEX($P:$P,Settings!$B$17),NA()),NA())</f>
        <v/>
      </c>
      <c r="X718" s="19">
        <f>IF(NOT(ISNUMBER($A718)),NA(),IF(OR($A718&lt;MIN(DKW_10Y!$A$2:$A$2918),$A718&gt;MAX(DKW_10Y!$A$2:$A$2918),Settings!$B$16&lt;MIN(DKW_10Y!$A$2:$A$2918)),NA(),(INDEX(DKW_10Y!$B$2:$B$2918,MATCH($A718,DKW_10Y!$A$2:$A$2918,1))-INDEX(DKW_10Y!$B$2:$B$2918,MATCH(Settings!$B$16,DKW_10Y!$A$2:$A$2918,1)))*100))</f>
        <v/>
      </c>
      <c r="Y718" s="19">
        <f>IF(NOT(ISNUMBER($A718)),NA(),IF(OR($A718&lt;MIN(DKW_10Y!$A$2:$A$2918),$A718&gt;MAX(DKW_10Y!$A$2:$A$2918),Settings!$B$16&lt;MIN(DKW_10Y!$A$2:$A$2918)),NA(),(INDEX(DKW_10Y!$C$2:$C$2918,MATCH($A718,DKW_10Y!$A$2:$A$2918,1))-INDEX(DKW_10Y!$C$2:$C$2918,MATCH(Settings!$B$16,DKW_10Y!$A$2:$A$2918,1)))*100))</f>
        <v/>
      </c>
      <c r="Z718" s="19">
        <f>IF(NOT(ISNUMBER($A718)),NA(),IF(OR($A718&lt;MIN(DKW_10Y!$A$2:$A$2918),$A718&gt;MAX(DKW_10Y!$A$2:$A$2918),Settings!$B$16&lt;MIN(DKW_10Y!$A$2:$A$2918)),NA(),(INDEX(DKW_10Y!$D$2:$D$2918,MATCH($A718,DKW_10Y!$A$2:$A$2918,1))-INDEX(DKW_10Y!$D$2:$D$2918,MATCH(Settings!$B$16,DKW_10Y!$A$2:$A$2918,1)))*100))</f>
        <v/>
      </c>
      <c r="AA718" s="19">
        <f>IF(NOT(ISNUMBER($A718)),NA(),IF(OR($A718&lt;MIN(DKW_10Y!$A$2:$A$2918),$A718&gt;MAX(DKW_10Y!$A$2:$A$2918),Settings!$B$16&lt;MIN(DKW_10Y!$A$2:$A$2918)),NA(),(INDEX(DKW_10Y!$E$2:$E$2918,MATCH($A718,DKW_10Y!$A$2:$A$2918,1))-INDEX(DKW_10Y!$E$2:$E$2918,MATCH(Settings!$B$16,DKW_10Y!$A$2:$A$2918,1)))*100))</f>
        <v/>
      </c>
      <c r="AB718" s="19">
        <f>IF(NOT(ISNUMBER($A718)),NA(),IF(OR($A718&lt;MIN(DKW_10Y!$A$2:$A$2918),$A718&gt;MAX(DKW_10Y!$A$2:$A$2918),Settings!$B$16&lt;MIN(DKW_10Y!$A$2:$A$2918)),NA(),(INDEX(DKW_10Y!$H$2:$H$2918,MATCH($A718,DKW_10Y!$A$2:$A$2918,1))-INDEX(DKW_10Y!$H$2:$H$2918,MATCH(Settings!$B$16,DKW_10Y!$A$2:$A$2918,1)))*100))</f>
        <v/>
      </c>
      <c r="AC718" s="18">
        <f>IF(NOT(ISNUMBER($A718)),NA(),IFERROR(1*INDEX(BBG_Data!$N$2:$N$4000,MATCH($A718,BBG_Data!$M$2:$M$4000,0)),NA()))</f>
        <v/>
      </c>
      <c r="AD718" s="18">
        <f>IF(NOT(ISNUMBER($A718)),NA(),IFERROR(1*INDEX(BBG_Data!$P$2:$P$4000,MATCH($A718,BBG_Data!$O$2:$O$4000,0)),NA()))</f>
        <v/>
      </c>
      <c r="AE718" s="18">
        <f>IF(NOT(ISNUMBER($A718)),NA(),IFERROR(1*INDEX(BBG_Data!$R$2:$R$4000,MATCH($A718,BBG_Data!$Q$2:$Q$4000,0)),NA()))</f>
        <v/>
      </c>
      <c r="AF718" s="20">
        <f>IF(AND(ISNUMBER(B718),ISNUMBER(AC718)),(B718-AC718)*100,NA())</f>
        <v/>
      </c>
      <c r="AG718" s="20">
        <f>IF(AND(ISNUMBER(AE718),ISNUMBER(AD718)),(AE718-AD718)*100,NA())</f>
        <v/>
      </c>
      <c r="AH718" s="19">
        <f>IF(NOT(ISNUMBER($A718)),NA(),IFERROR(INDEX(BBG_Data!$T$2:$T$4000,MATCH($A718,BBG_Data!$S$2:$S$4000,0))*Settings!$B$25,NA()))</f>
        <v/>
      </c>
      <c r="AI718" s="19">
        <f>IF(NOT(ISNUMBER($A718)),NA(),IFERROR(INDEX(BBG_Data!$V$2:$V$4000,MATCH($A718,BBG_Data!$U$2:$U$4000,0))*Settings!$B$25,NA()))</f>
        <v/>
      </c>
      <c r="AJ718" s="19">
        <f>IF(NOT(ISNUMBER($A718)),NA(),IFERROR(1*INDEX(BBG_Data!$X$2:$X$4000,MATCH($A718,BBG_Data!$W$2:$W$4000,0)),NA()))</f>
        <v/>
      </c>
      <c r="AK718" s="19">
        <f>IF(NOT(ISNUMBER($A718)),NA(),IFERROR(1*INDEX(BBG_Data!$Z$2:$Z$4000,MATCH($A718,BBG_Data!$Y$2:$Y$4000,0)),NA()))</f>
        <v/>
      </c>
    </row>
    <row r="719">
      <c r="A719" s="17">
        <f>IF(ISNUMBER(BBG_Data!A719),BBG_Data!A719,"")</f>
        <v/>
      </c>
      <c r="B719" s="18">
        <f>IF(AND(ISNUMBER($A719),ISNUMBER(BBG_Data!B719)),BBG_Data!B719,NA())</f>
        <v/>
      </c>
      <c r="C719" s="18">
        <f>IF(NOT(ISNUMBER($A719)),NA(),IFERROR(1*INDEX(BBG_Data!$D$2:$D$4000,MATCH($A719,BBG_Data!$C$2:$C$4000,0)),NA()))</f>
        <v/>
      </c>
      <c r="D719" s="19">
        <f>IF(NOT(ISNUMBER($A719)),NA(),IFERROR(1*INDEX(BBG_Data!$F$2:$F$4000,MATCH($A719,BBG_Data!$E$2:$E$4000,0)),NA()))</f>
        <v/>
      </c>
      <c r="E719" s="19">
        <f>IF(NOT(ISNUMBER($A719)),NA(),IFERROR(1*INDEX(BBG_Data!$H$2:$H$4000,MATCH($A719,BBG_Data!$G$2:$G$4000,0)),NA()))</f>
        <v/>
      </c>
      <c r="F719" s="20">
        <f>IF(AND(ISNUMBER(B719),ISNUMBER(B718)),IF(B719=B718,"",(B719-B718)*100),"")</f>
        <v/>
      </c>
      <c r="G719" s="20">
        <f>IF(AND(ISNUMBER(C719),ISNUMBER(C718)),IF(C719=C718,"",(C719-C718)*100),"")</f>
        <v/>
      </c>
      <c r="H719" s="20">
        <f>IF(OR(NOT(ISNUMBER($A719)),ROW()-2&lt;Settings!$B$11),NA(),IF(COUNT(OFFSET(F719,1-Settings!$B$11,0,Settings!$B$11,1))&lt;ROUNDUP(Settings!$B$11*Settings!$B$26,0),NA(),STDEV(OFFSET(F719,1-Settings!$B$11,0,Settings!$B$11,1))*SQRT(Settings!$B$13)))</f>
        <v/>
      </c>
      <c r="I719" s="20">
        <f>IF(OR(NOT(ISNUMBER($A719)),ROW()-2&lt;Settings!$B$12),NA(),IF(COUNT(OFFSET(F719,1-Settings!$B$12,0,Settings!$B$12,1))&lt;ROUNDUP(Settings!$B$12*Settings!$B$26,0),NA(),STDEV(OFFSET(F719,1-Settings!$B$12,0,Settings!$B$12,1))*SQRT(Settings!$B$13)))</f>
        <v/>
      </c>
      <c r="J719" s="20">
        <f>IF(OR(NOT(ISNUMBER($A719)),ROW()-2&lt;Settings!$B$11),NA(),IF(COUNT(OFFSET(G719,1-Settings!$B$11,0,Settings!$B$11,1))&lt;ROUNDUP(Settings!$B$11*Settings!$B$26,0),NA(),STDEV(OFFSET(G719,1-Settings!$B$11,0,Settings!$B$11,1))*SQRT(Settings!$B$13)))</f>
        <v/>
      </c>
      <c r="K719" s="20">
        <f>IF(OR(NOT(ISNUMBER($A719)),ROW()-2&lt;Settings!$B$12),NA(),IF(COUNT(OFFSET(G719,1-Settings!$B$12,0,Settings!$B$12,1))&lt;ROUNDUP(Settings!$B$12*Settings!$B$26,0),NA(),STDEV(OFFSET(G719,1-Settings!$B$12,0,Settings!$B$12,1))*SQRT(Settings!$B$13)))</f>
        <v/>
      </c>
      <c r="L719" s="20">
        <f>IF(AND(ISNUMBER(D719),ISNUMBER(H719)),D719-H719,NA())</f>
        <v/>
      </c>
      <c r="M719" s="20">
        <f>IF(AND(ISNUMBER(E719),ISNUMBER(K719)),E719-K719,NA())</f>
        <v/>
      </c>
      <c r="N719" s="20">
        <f>IF(NOT(ISNUMBER($A719)),NA(),IF(COUNT(OFFSET(G719,1,0,Settings!$B$12,1))&lt;ROUNDUP(Settings!$B$12*Settings!$B$26,0),NA(),STDEV(OFFSET(G719,1,0,Settings!$B$12,1))*SQRT(Settings!$B$13)))</f>
        <v/>
      </c>
      <c r="O719" s="20">
        <f>IF(AND(ISNUMBER(E719),ISNUMBER(N719)),E719-N719,NA())</f>
        <v/>
      </c>
      <c r="P719" s="19">
        <f>IF(NOT(ISNUMBER($A719)),NA(),IF(OR($A719&lt;MIN(KW_TP!$A$2:$A$2501),$A719&gt;MAX(KW_TP!$A$2:$A$2501)),NA(),INDEX(KW_TP!$C$2:$C$2501,MATCH($A719,KW_TP!$A$2:$A$2501,1))))</f>
        <v/>
      </c>
      <c r="Q719" s="18">
        <f>IF(NOT(ISNUMBER($A719)),NA(),IFERROR(1*INDEX(BBG_Data!$J$2:$J$4000,MATCH($A719,BBG_Data!$I$2:$I$4000,0)),NA()))</f>
        <v/>
      </c>
      <c r="R719" s="18">
        <f>IF(NOT(ISNUMBER($A719)),NA(),IFERROR(1*INDEX(BBG_Data!$L$2:$L$4000,MATCH($A719,BBG_Data!$K$2:$K$4000,0)),NA()))</f>
        <v/>
      </c>
      <c r="S719" s="20">
        <f>IF(AND(ISNUMBER(B719),ISNUMBER(Q719),ISNUMBER(R719)),(B719-Q719-R719)*100,NA())</f>
        <v/>
      </c>
      <c r="T719" s="20">
        <f>IF(AND(ISNUMBER(B719),Settings!$B$17&gt;0),IF(ISNUMBER(INDEX($B:$B,Settings!$B$17)),(B719-INDEX($B:$B,Settings!$B$17))*100,NA()),NA())</f>
        <v/>
      </c>
      <c r="U719" s="20">
        <f>IF(AND(ISNUMBER(Q719),Settings!$B$17&gt;0),IF(ISNUMBER(INDEX($Q:$Q,Settings!$B$17)),(Q719-INDEX($Q:$Q,Settings!$B$17))*100,NA()),NA())</f>
        <v/>
      </c>
      <c r="V719" s="20">
        <f>IF(AND(ISNUMBER(R719),Settings!$B$17&gt;0),IF(ISNUMBER(INDEX($R:$R,Settings!$B$17)),(R719-INDEX($R:$R,Settings!$B$17))*100,NA()),NA())</f>
        <v/>
      </c>
      <c r="W719" s="20">
        <f>IF(AND(ISNUMBER(P719),Settings!$B$17&gt;0),IF(ISNUMBER(INDEX($P:$P,Settings!$B$17)),P719-INDEX($P:$P,Settings!$B$17),NA()),NA())</f>
        <v/>
      </c>
      <c r="X719" s="19">
        <f>IF(NOT(ISNUMBER($A719)),NA(),IF(OR($A719&lt;MIN(DKW_10Y!$A$2:$A$2918),$A719&gt;MAX(DKW_10Y!$A$2:$A$2918),Settings!$B$16&lt;MIN(DKW_10Y!$A$2:$A$2918)),NA(),(INDEX(DKW_10Y!$B$2:$B$2918,MATCH($A719,DKW_10Y!$A$2:$A$2918,1))-INDEX(DKW_10Y!$B$2:$B$2918,MATCH(Settings!$B$16,DKW_10Y!$A$2:$A$2918,1)))*100))</f>
        <v/>
      </c>
      <c r="Y719" s="19">
        <f>IF(NOT(ISNUMBER($A719)),NA(),IF(OR($A719&lt;MIN(DKW_10Y!$A$2:$A$2918),$A719&gt;MAX(DKW_10Y!$A$2:$A$2918),Settings!$B$16&lt;MIN(DKW_10Y!$A$2:$A$2918)),NA(),(INDEX(DKW_10Y!$C$2:$C$2918,MATCH($A719,DKW_10Y!$A$2:$A$2918,1))-INDEX(DKW_10Y!$C$2:$C$2918,MATCH(Settings!$B$16,DKW_10Y!$A$2:$A$2918,1)))*100))</f>
        <v/>
      </c>
      <c r="Z719" s="19">
        <f>IF(NOT(ISNUMBER($A719)),NA(),IF(OR($A719&lt;MIN(DKW_10Y!$A$2:$A$2918),$A719&gt;MAX(DKW_10Y!$A$2:$A$2918),Settings!$B$16&lt;MIN(DKW_10Y!$A$2:$A$2918)),NA(),(INDEX(DKW_10Y!$D$2:$D$2918,MATCH($A719,DKW_10Y!$A$2:$A$2918,1))-INDEX(DKW_10Y!$D$2:$D$2918,MATCH(Settings!$B$16,DKW_10Y!$A$2:$A$2918,1)))*100))</f>
        <v/>
      </c>
      <c r="AA719" s="19">
        <f>IF(NOT(ISNUMBER($A719)),NA(),IF(OR($A719&lt;MIN(DKW_10Y!$A$2:$A$2918),$A719&gt;MAX(DKW_10Y!$A$2:$A$2918),Settings!$B$16&lt;MIN(DKW_10Y!$A$2:$A$2918)),NA(),(INDEX(DKW_10Y!$E$2:$E$2918,MATCH($A719,DKW_10Y!$A$2:$A$2918,1))-INDEX(DKW_10Y!$E$2:$E$2918,MATCH(Settings!$B$16,DKW_10Y!$A$2:$A$2918,1)))*100))</f>
        <v/>
      </c>
      <c r="AB719" s="19">
        <f>IF(NOT(ISNUMBER($A719)),NA(),IF(OR($A719&lt;MIN(DKW_10Y!$A$2:$A$2918),$A719&gt;MAX(DKW_10Y!$A$2:$A$2918),Settings!$B$16&lt;MIN(DKW_10Y!$A$2:$A$2918)),NA(),(INDEX(DKW_10Y!$H$2:$H$2918,MATCH($A719,DKW_10Y!$A$2:$A$2918,1))-INDEX(DKW_10Y!$H$2:$H$2918,MATCH(Settings!$B$16,DKW_10Y!$A$2:$A$2918,1)))*100))</f>
        <v/>
      </c>
      <c r="AC719" s="18">
        <f>IF(NOT(ISNUMBER($A719)),NA(),IFERROR(1*INDEX(BBG_Data!$N$2:$N$4000,MATCH($A719,BBG_Data!$M$2:$M$4000,0)),NA()))</f>
        <v/>
      </c>
      <c r="AD719" s="18">
        <f>IF(NOT(ISNUMBER($A719)),NA(),IFERROR(1*INDEX(BBG_Data!$P$2:$P$4000,MATCH($A719,BBG_Data!$O$2:$O$4000,0)),NA()))</f>
        <v/>
      </c>
      <c r="AE719" s="18">
        <f>IF(NOT(ISNUMBER($A719)),NA(),IFERROR(1*INDEX(BBG_Data!$R$2:$R$4000,MATCH($A719,BBG_Data!$Q$2:$Q$4000,0)),NA()))</f>
        <v/>
      </c>
      <c r="AF719" s="20">
        <f>IF(AND(ISNUMBER(B719),ISNUMBER(AC719)),(B719-AC719)*100,NA())</f>
        <v/>
      </c>
      <c r="AG719" s="20">
        <f>IF(AND(ISNUMBER(AE719),ISNUMBER(AD719)),(AE719-AD719)*100,NA())</f>
        <v/>
      </c>
      <c r="AH719" s="19">
        <f>IF(NOT(ISNUMBER($A719)),NA(),IFERROR(INDEX(BBG_Data!$T$2:$T$4000,MATCH($A719,BBG_Data!$S$2:$S$4000,0))*Settings!$B$25,NA()))</f>
        <v/>
      </c>
      <c r="AI719" s="19">
        <f>IF(NOT(ISNUMBER($A719)),NA(),IFERROR(INDEX(BBG_Data!$V$2:$V$4000,MATCH($A719,BBG_Data!$U$2:$U$4000,0))*Settings!$B$25,NA()))</f>
        <v/>
      </c>
      <c r="AJ719" s="19">
        <f>IF(NOT(ISNUMBER($A719)),NA(),IFERROR(1*INDEX(BBG_Data!$X$2:$X$4000,MATCH($A719,BBG_Data!$W$2:$W$4000,0)),NA()))</f>
        <v/>
      </c>
      <c r="AK719" s="19">
        <f>IF(NOT(ISNUMBER($A719)),NA(),IFERROR(1*INDEX(BBG_Data!$Z$2:$Z$4000,MATCH($A719,BBG_Data!$Y$2:$Y$4000,0)),NA()))</f>
        <v/>
      </c>
    </row>
    <row r="720">
      <c r="A720" s="17">
        <f>IF(ISNUMBER(BBG_Data!A720),BBG_Data!A720,"")</f>
        <v/>
      </c>
      <c r="B720" s="18">
        <f>IF(AND(ISNUMBER($A720),ISNUMBER(BBG_Data!B720)),BBG_Data!B720,NA())</f>
        <v/>
      </c>
      <c r="C720" s="18">
        <f>IF(NOT(ISNUMBER($A720)),NA(),IFERROR(1*INDEX(BBG_Data!$D$2:$D$4000,MATCH($A720,BBG_Data!$C$2:$C$4000,0)),NA()))</f>
        <v/>
      </c>
      <c r="D720" s="19">
        <f>IF(NOT(ISNUMBER($A720)),NA(),IFERROR(1*INDEX(BBG_Data!$F$2:$F$4000,MATCH($A720,BBG_Data!$E$2:$E$4000,0)),NA()))</f>
        <v/>
      </c>
      <c r="E720" s="19">
        <f>IF(NOT(ISNUMBER($A720)),NA(),IFERROR(1*INDEX(BBG_Data!$H$2:$H$4000,MATCH($A720,BBG_Data!$G$2:$G$4000,0)),NA()))</f>
        <v/>
      </c>
      <c r="F720" s="20">
        <f>IF(AND(ISNUMBER(B720),ISNUMBER(B719)),IF(B720=B719,"",(B720-B719)*100),"")</f>
        <v/>
      </c>
      <c r="G720" s="20">
        <f>IF(AND(ISNUMBER(C720),ISNUMBER(C719)),IF(C720=C719,"",(C720-C719)*100),"")</f>
        <v/>
      </c>
      <c r="H720" s="20">
        <f>IF(OR(NOT(ISNUMBER($A720)),ROW()-2&lt;Settings!$B$11),NA(),IF(COUNT(OFFSET(F720,1-Settings!$B$11,0,Settings!$B$11,1))&lt;ROUNDUP(Settings!$B$11*Settings!$B$26,0),NA(),STDEV(OFFSET(F720,1-Settings!$B$11,0,Settings!$B$11,1))*SQRT(Settings!$B$13)))</f>
        <v/>
      </c>
      <c r="I720" s="20">
        <f>IF(OR(NOT(ISNUMBER($A720)),ROW()-2&lt;Settings!$B$12),NA(),IF(COUNT(OFFSET(F720,1-Settings!$B$12,0,Settings!$B$12,1))&lt;ROUNDUP(Settings!$B$12*Settings!$B$26,0),NA(),STDEV(OFFSET(F720,1-Settings!$B$12,0,Settings!$B$12,1))*SQRT(Settings!$B$13)))</f>
        <v/>
      </c>
      <c r="J720" s="20">
        <f>IF(OR(NOT(ISNUMBER($A720)),ROW()-2&lt;Settings!$B$11),NA(),IF(COUNT(OFFSET(G720,1-Settings!$B$11,0,Settings!$B$11,1))&lt;ROUNDUP(Settings!$B$11*Settings!$B$26,0),NA(),STDEV(OFFSET(G720,1-Settings!$B$11,0,Settings!$B$11,1))*SQRT(Settings!$B$13)))</f>
        <v/>
      </c>
      <c r="K720" s="20">
        <f>IF(OR(NOT(ISNUMBER($A720)),ROW()-2&lt;Settings!$B$12),NA(),IF(COUNT(OFFSET(G720,1-Settings!$B$12,0,Settings!$B$12,1))&lt;ROUNDUP(Settings!$B$12*Settings!$B$26,0),NA(),STDEV(OFFSET(G720,1-Settings!$B$12,0,Settings!$B$12,1))*SQRT(Settings!$B$13)))</f>
        <v/>
      </c>
      <c r="L720" s="20">
        <f>IF(AND(ISNUMBER(D720),ISNUMBER(H720)),D720-H720,NA())</f>
        <v/>
      </c>
      <c r="M720" s="20">
        <f>IF(AND(ISNUMBER(E720),ISNUMBER(K720)),E720-K720,NA())</f>
        <v/>
      </c>
      <c r="N720" s="20">
        <f>IF(NOT(ISNUMBER($A720)),NA(),IF(COUNT(OFFSET(G720,1,0,Settings!$B$12,1))&lt;ROUNDUP(Settings!$B$12*Settings!$B$26,0),NA(),STDEV(OFFSET(G720,1,0,Settings!$B$12,1))*SQRT(Settings!$B$13)))</f>
        <v/>
      </c>
      <c r="O720" s="20">
        <f>IF(AND(ISNUMBER(E720),ISNUMBER(N720)),E720-N720,NA())</f>
        <v/>
      </c>
      <c r="P720" s="19">
        <f>IF(NOT(ISNUMBER($A720)),NA(),IF(OR($A720&lt;MIN(KW_TP!$A$2:$A$2501),$A720&gt;MAX(KW_TP!$A$2:$A$2501)),NA(),INDEX(KW_TP!$C$2:$C$2501,MATCH($A720,KW_TP!$A$2:$A$2501,1))))</f>
        <v/>
      </c>
      <c r="Q720" s="18">
        <f>IF(NOT(ISNUMBER($A720)),NA(),IFERROR(1*INDEX(BBG_Data!$J$2:$J$4000,MATCH($A720,BBG_Data!$I$2:$I$4000,0)),NA()))</f>
        <v/>
      </c>
      <c r="R720" s="18">
        <f>IF(NOT(ISNUMBER($A720)),NA(),IFERROR(1*INDEX(BBG_Data!$L$2:$L$4000,MATCH($A720,BBG_Data!$K$2:$K$4000,0)),NA()))</f>
        <v/>
      </c>
      <c r="S720" s="20">
        <f>IF(AND(ISNUMBER(B720),ISNUMBER(Q720),ISNUMBER(R720)),(B720-Q720-R720)*100,NA())</f>
        <v/>
      </c>
      <c r="T720" s="20">
        <f>IF(AND(ISNUMBER(B720),Settings!$B$17&gt;0),IF(ISNUMBER(INDEX($B:$B,Settings!$B$17)),(B720-INDEX($B:$B,Settings!$B$17))*100,NA()),NA())</f>
        <v/>
      </c>
      <c r="U720" s="20">
        <f>IF(AND(ISNUMBER(Q720),Settings!$B$17&gt;0),IF(ISNUMBER(INDEX($Q:$Q,Settings!$B$17)),(Q720-INDEX($Q:$Q,Settings!$B$17))*100,NA()),NA())</f>
        <v/>
      </c>
      <c r="V720" s="20">
        <f>IF(AND(ISNUMBER(R720),Settings!$B$17&gt;0),IF(ISNUMBER(INDEX($R:$R,Settings!$B$17)),(R720-INDEX($R:$R,Settings!$B$17))*100,NA()),NA())</f>
        <v/>
      </c>
      <c r="W720" s="20">
        <f>IF(AND(ISNUMBER(P720),Settings!$B$17&gt;0),IF(ISNUMBER(INDEX($P:$P,Settings!$B$17)),P720-INDEX($P:$P,Settings!$B$17),NA()),NA())</f>
        <v/>
      </c>
      <c r="X720" s="19">
        <f>IF(NOT(ISNUMBER($A720)),NA(),IF(OR($A720&lt;MIN(DKW_10Y!$A$2:$A$2918),$A720&gt;MAX(DKW_10Y!$A$2:$A$2918),Settings!$B$16&lt;MIN(DKW_10Y!$A$2:$A$2918)),NA(),(INDEX(DKW_10Y!$B$2:$B$2918,MATCH($A720,DKW_10Y!$A$2:$A$2918,1))-INDEX(DKW_10Y!$B$2:$B$2918,MATCH(Settings!$B$16,DKW_10Y!$A$2:$A$2918,1)))*100))</f>
        <v/>
      </c>
      <c r="Y720" s="19">
        <f>IF(NOT(ISNUMBER($A720)),NA(),IF(OR($A720&lt;MIN(DKW_10Y!$A$2:$A$2918),$A720&gt;MAX(DKW_10Y!$A$2:$A$2918),Settings!$B$16&lt;MIN(DKW_10Y!$A$2:$A$2918)),NA(),(INDEX(DKW_10Y!$C$2:$C$2918,MATCH($A720,DKW_10Y!$A$2:$A$2918,1))-INDEX(DKW_10Y!$C$2:$C$2918,MATCH(Settings!$B$16,DKW_10Y!$A$2:$A$2918,1)))*100))</f>
        <v/>
      </c>
      <c r="Z720" s="19">
        <f>IF(NOT(ISNUMBER($A720)),NA(),IF(OR($A720&lt;MIN(DKW_10Y!$A$2:$A$2918),$A720&gt;MAX(DKW_10Y!$A$2:$A$2918),Settings!$B$16&lt;MIN(DKW_10Y!$A$2:$A$2918)),NA(),(INDEX(DKW_10Y!$D$2:$D$2918,MATCH($A720,DKW_10Y!$A$2:$A$2918,1))-INDEX(DKW_10Y!$D$2:$D$2918,MATCH(Settings!$B$16,DKW_10Y!$A$2:$A$2918,1)))*100))</f>
        <v/>
      </c>
      <c r="AA720" s="19">
        <f>IF(NOT(ISNUMBER($A720)),NA(),IF(OR($A720&lt;MIN(DKW_10Y!$A$2:$A$2918),$A720&gt;MAX(DKW_10Y!$A$2:$A$2918),Settings!$B$16&lt;MIN(DKW_10Y!$A$2:$A$2918)),NA(),(INDEX(DKW_10Y!$E$2:$E$2918,MATCH($A720,DKW_10Y!$A$2:$A$2918,1))-INDEX(DKW_10Y!$E$2:$E$2918,MATCH(Settings!$B$16,DKW_10Y!$A$2:$A$2918,1)))*100))</f>
        <v/>
      </c>
      <c r="AB720" s="19">
        <f>IF(NOT(ISNUMBER($A720)),NA(),IF(OR($A720&lt;MIN(DKW_10Y!$A$2:$A$2918),$A720&gt;MAX(DKW_10Y!$A$2:$A$2918),Settings!$B$16&lt;MIN(DKW_10Y!$A$2:$A$2918)),NA(),(INDEX(DKW_10Y!$H$2:$H$2918,MATCH($A720,DKW_10Y!$A$2:$A$2918,1))-INDEX(DKW_10Y!$H$2:$H$2918,MATCH(Settings!$B$16,DKW_10Y!$A$2:$A$2918,1)))*100))</f>
        <v/>
      </c>
      <c r="AC720" s="18">
        <f>IF(NOT(ISNUMBER($A720)),NA(),IFERROR(1*INDEX(BBG_Data!$N$2:$N$4000,MATCH($A720,BBG_Data!$M$2:$M$4000,0)),NA()))</f>
        <v/>
      </c>
      <c r="AD720" s="18">
        <f>IF(NOT(ISNUMBER($A720)),NA(),IFERROR(1*INDEX(BBG_Data!$P$2:$P$4000,MATCH($A720,BBG_Data!$O$2:$O$4000,0)),NA()))</f>
        <v/>
      </c>
      <c r="AE720" s="18">
        <f>IF(NOT(ISNUMBER($A720)),NA(),IFERROR(1*INDEX(BBG_Data!$R$2:$R$4000,MATCH($A720,BBG_Data!$Q$2:$Q$4000,0)),NA()))</f>
        <v/>
      </c>
      <c r="AF720" s="20">
        <f>IF(AND(ISNUMBER(B720),ISNUMBER(AC720)),(B720-AC720)*100,NA())</f>
        <v/>
      </c>
      <c r="AG720" s="20">
        <f>IF(AND(ISNUMBER(AE720),ISNUMBER(AD720)),(AE720-AD720)*100,NA())</f>
        <v/>
      </c>
      <c r="AH720" s="19">
        <f>IF(NOT(ISNUMBER($A720)),NA(),IFERROR(INDEX(BBG_Data!$T$2:$T$4000,MATCH($A720,BBG_Data!$S$2:$S$4000,0))*Settings!$B$25,NA()))</f>
        <v/>
      </c>
      <c r="AI720" s="19">
        <f>IF(NOT(ISNUMBER($A720)),NA(),IFERROR(INDEX(BBG_Data!$V$2:$V$4000,MATCH($A720,BBG_Data!$U$2:$U$4000,0))*Settings!$B$25,NA()))</f>
        <v/>
      </c>
      <c r="AJ720" s="19">
        <f>IF(NOT(ISNUMBER($A720)),NA(),IFERROR(1*INDEX(BBG_Data!$X$2:$X$4000,MATCH($A720,BBG_Data!$W$2:$W$4000,0)),NA()))</f>
        <v/>
      </c>
      <c r="AK720" s="19">
        <f>IF(NOT(ISNUMBER($A720)),NA(),IFERROR(1*INDEX(BBG_Data!$Z$2:$Z$4000,MATCH($A720,BBG_Data!$Y$2:$Y$4000,0)),NA()))</f>
        <v/>
      </c>
    </row>
    <row r="721">
      <c r="A721" s="17">
        <f>IF(ISNUMBER(BBG_Data!A721),BBG_Data!A721,"")</f>
        <v/>
      </c>
      <c r="B721" s="18">
        <f>IF(AND(ISNUMBER($A721),ISNUMBER(BBG_Data!B721)),BBG_Data!B721,NA())</f>
        <v/>
      </c>
      <c r="C721" s="18">
        <f>IF(NOT(ISNUMBER($A721)),NA(),IFERROR(1*INDEX(BBG_Data!$D$2:$D$4000,MATCH($A721,BBG_Data!$C$2:$C$4000,0)),NA()))</f>
        <v/>
      </c>
      <c r="D721" s="19">
        <f>IF(NOT(ISNUMBER($A721)),NA(),IFERROR(1*INDEX(BBG_Data!$F$2:$F$4000,MATCH($A721,BBG_Data!$E$2:$E$4000,0)),NA()))</f>
        <v/>
      </c>
      <c r="E721" s="19">
        <f>IF(NOT(ISNUMBER($A721)),NA(),IFERROR(1*INDEX(BBG_Data!$H$2:$H$4000,MATCH($A721,BBG_Data!$G$2:$G$4000,0)),NA()))</f>
        <v/>
      </c>
      <c r="F721" s="20">
        <f>IF(AND(ISNUMBER(B721),ISNUMBER(B720)),IF(B721=B720,"",(B721-B720)*100),"")</f>
        <v/>
      </c>
      <c r="G721" s="20">
        <f>IF(AND(ISNUMBER(C721),ISNUMBER(C720)),IF(C721=C720,"",(C721-C720)*100),"")</f>
        <v/>
      </c>
      <c r="H721" s="20">
        <f>IF(OR(NOT(ISNUMBER($A721)),ROW()-2&lt;Settings!$B$11),NA(),IF(COUNT(OFFSET(F721,1-Settings!$B$11,0,Settings!$B$11,1))&lt;ROUNDUP(Settings!$B$11*Settings!$B$26,0),NA(),STDEV(OFFSET(F721,1-Settings!$B$11,0,Settings!$B$11,1))*SQRT(Settings!$B$13)))</f>
        <v/>
      </c>
      <c r="I721" s="20">
        <f>IF(OR(NOT(ISNUMBER($A721)),ROW()-2&lt;Settings!$B$12),NA(),IF(COUNT(OFFSET(F721,1-Settings!$B$12,0,Settings!$B$12,1))&lt;ROUNDUP(Settings!$B$12*Settings!$B$26,0),NA(),STDEV(OFFSET(F721,1-Settings!$B$12,0,Settings!$B$12,1))*SQRT(Settings!$B$13)))</f>
        <v/>
      </c>
      <c r="J721" s="20">
        <f>IF(OR(NOT(ISNUMBER($A721)),ROW()-2&lt;Settings!$B$11),NA(),IF(COUNT(OFFSET(G721,1-Settings!$B$11,0,Settings!$B$11,1))&lt;ROUNDUP(Settings!$B$11*Settings!$B$26,0),NA(),STDEV(OFFSET(G721,1-Settings!$B$11,0,Settings!$B$11,1))*SQRT(Settings!$B$13)))</f>
        <v/>
      </c>
      <c r="K721" s="20">
        <f>IF(OR(NOT(ISNUMBER($A721)),ROW()-2&lt;Settings!$B$12),NA(),IF(COUNT(OFFSET(G721,1-Settings!$B$12,0,Settings!$B$12,1))&lt;ROUNDUP(Settings!$B$12*Settings!$B$26,0),NA(),STDEV(OFFSET(G721,1-Settings!$B$12,0,Settings!$B$12,1))*SQRT(Settings!$B$13)))</f>
        <v/>
      </c>
      <c r="L721" s="20">
        <f>IF(AND(ISNUMBER(D721),ISNUMBER(H721)),D721-H721,NA())</f>
        <v/>
      </c>
      <c r="M721" s="20">
        <f>IF(AND(ISNUMBER(E721),ISNUMBER(K721)),E721-K721,NA())</f>
        <v/>
      </c>
      <c r="N721" s="20">
        <f>IF(NOT(ISNUMBER($A721)),NA(),IF(COUNT(OFFSET(G721,1,0,Settings!$B$12,1))&lt;ROUNDUP(Settings!$B$12*Settings!$B$26,0),NA(),STDEV(OFFSET(G721,1,0,Settings!$B$12,1))*SQRT(Settings!$B$13)))</f>
        <v/>
      </c>
      <c r="O721" s="20">
        <f>IF(AND(ISNUMBER(E721),ISNUMBER(N721)),E721-N721,NA())</f>
        <v/>
      </c>
      <c r="P721" s="19">
        <f>IF(NOT(ISNUMBER($A721)),NA(),IF(OR($A721&lt;MIN(KW_TP!$A$2:$A$2501),$A721&gt;MAX(KW_TP!$A$2:$A$2501)),NA(),INDEX(KW_TP!$C$2:$C$2501,MATCH($A721,KW_TP!$A$2:$A$2501,1))))</f>
        <v/>
      </c>
      <c r="Q721" s="18">
        <f>IF(NOT(ISNUMBER($A721)),NA(),IFERROR(1*INDEX(BBG_Data!$J$2:$J$4000,MATCH($A721,BBG_Data!$I$2:$I$4000,0)),NA()))</f>
        <v/>
      </c>
      <c r="R721" s="18">
        <f>IF(NOT(ISNUMBER($A721)),NA(),IFERROR(1*INDEX(BBG_Data!$L$2:$L$4000,MATCH($A721,BBG_Data!$K$2:$K$4000,0)),NA()))</f>
        <v/>
      </c>
      <c r="S721" s="20">
        <f>IF(AND(ISNUMBER(B721),ISNUMBER(Q721),ISNUMBER(R721)),(B721-Q721-R721)*100,NA())</f>
        <v/>
      </c>
      <c r="T721" s="20">
        <f>IF(AND(ISNUMBER(B721),Settings!$B$17&gt;0),IF(ISNUMBER(INDEX($B:$B,Settings!$B$17)),(B721-INDEX($B:$B,Settings!$B$17))*100,NA()),NA())</f>
        <v/>
      </c>
      <c r="U721" s="20">
        <f>IF(AND(ISNUMBER(Q721),Settings!$B$17&gt;0),IF(ISNUMBER(INDEX($Q:$Q,Settings!$B$17)),(Q721-INDEX($Q:$Q,Settings!$B$17))*100,NA()),NA())</f>
        <v/>
      </c>
      <c r="V721" s="20">
        <f>IF(AND(ISNUMBER(R721),Settings!$B$17&gt;0),IF(ISNUMBER(INDEX($R:$R,Settings!$B$17)),(R721-INDEX($R:$R,Settings!$B$17))*100,NA()),NA())</f>
        <v/>
      </c>
      <c r="W721" s="20">
        <f>IF(AND(ISNUMBER(P721),Settings!$B$17&gt;0),IF(ISNUMBER(INDEX($P:$P,Settings!$B$17)),P721-INDEX($P:$P,Settings!$B$17),NA()),NA())</f>
        <v/>
      </c>
      <c r="X721" s="19">
        <f>IF(NOT(ISNUMBER($A721)),NA(),IF(OR($A721&lt;MIN(DKW_10Y!$A$2:$A$2918),$A721&gt;MAX(DKW_10Y!$A$2:$A$2918),Settings!$B$16&lt;MIN(DKW_10Y!$A$2:$A$2918)),NA(),(INDEX(DKW_10Y!$B$2:$B$2918,MATCH($A721,DKW_10Y!$A$2:$A$2918,1))-INDEX(DKW_10Y!$B$2:$B$2918,MATCH(Settings!$B$16,DKW_10Y!$A$2:$A$2918,1)))*100))</f>
        <v/>
      </c>
      <c r="Y721" s="19">
        <f>IF(NOT(ISNUMBER($A721)),NA(),IF(OR($A721&lt;MIN(DKW_10Y!$A$2:$A$2918),$A721&gt;MAX(DKW_10Y!$A$2:$A$2918),Settings!$B$16&lt;MIN(DKW_10Y!$A$2:$A$2918)),NA(),(INDEX(DKW_10Y!$C$2:$C$2918,MATCH($A721,DKW_10Y!$A$2:$A$2918,1))-INDEX(DKW_10Y!$C$2:$C$2918,MATCH(Settings!$B$16,DKW_10Y!$A$2:$A$2918,1)))*100))</f>
        <v/>
      </c>
      <c r="Z721" s="19">
        <f>IF(NOT(ISNUMBER($A721)),NA(),IF(OR($A721&lt;MIN(DKW_10Y!$A$2:$A$2918),$A721&gt;MAX(DKW_10Y!$A$2:$A$2918),Settings!$B$16&lt;MIN(DKW_10Y!$A$2:$A$2918)),NA(),(INDEX(DKW_10Y!$D$2:$D$2918,MATCH($A721,DKW_10Y!$A$2:$A$2918,1))-INDEX(DKW_10Y!$D$2:$D$2918,MATCH(Settings!$B$16,DKW_10Y!$A$2:$A$2918,1)))*100))</f>
        <v/>
      </c>
      <c r="AA721" s="19">
        <f>IF(NOT(ISNUMBER($A721)),NA(),IF(OR($A721&lt;MIN(DKW_10Y!$A$2:$A$2918),$A721&gt;MAX(DKW_10Y!$A$2:$A$2918),Settings!$B$16&lt;MIN(DKW_10Y!$A$2:$A$2918)),NA(),(INDEX(DKW_10Y!$E$2:$E$2918,MATCH($A721,DKW_10Y!$A$2:$A$2918,1))-INDEX(DKW_10Y!$E$2:$E$2918,MATCH(Settings!$B$16,DKW_10Y!$A$2:$A$2918,1)))*100))</f>
        <v/>
      </c>
      <c r="AB721" s="19">
        <f>IF(NOT(ISNUMBER($A721)),NA(),IF(OR($A721&lt;MIN(DKW_10Y!$A$2:$A$2918),$A721&gt;MAX(DKW_10Y!$A$2:$A$2918),Settings!$B$16&lt;MIN(DKW_10Y!$A$2:$A$2918)),NA(),(INDEX(DKW_10Y!$H$2:$H$2918,MATCH($A721,DKW_10Y!$A$2:$A$2918,1))-INDEX(DKW_10Y!$H$2:$H$2918,MATCH(Settings!$B$16,DKW_10Y!$A$2:$A$2918,1)))*100))</f>
        <v/>
      </c>
      <c r="AC721" s="18">
        <f>IF(NOT(ISNUMBER($A721)),NA(),IFERROR(1*INDEX(BBG_Data!$N$2:$N$4000,MATCH($A721,BBG_Data!$M$2:$M$4000,0)),NA()))</f>
        <v/>
      </c>
      <c r="AD721" s="18">
        <f>IF(NOT(ISNUMBER($A721)),NA(),IFERROR(1*INDEX(BBG_Data!$P$2:$P$4000,MATCH($A721,BBG_Data!$O$2:$O$4000,0)),NA()))</f>
        <v/>
      </c>
      <c r="AE721" s="18">
        <f>IF(NOT(ISNUMBER($A721)),NA(),IFERROR(1*INDEX(BBG_Data!$R$2:$R$4000,MATCH($A721,BBG_Data!$Q$2:$Q$4000,0)),NA()))</f>
        <v/>
      </c>
      <c r="AF721" s="20">
        <f>IF(AND(ISNUMBER(B721),ISNUMBER(AC721)),(B721-AC721)*100,NA())</f>
        <v/>
      </c>
      <c r="AG721" s="20">
        <f>IF(AND(ISNUMBER(AE721),ISNUMBER(AD721)),(AE721-AD721)*100,NA())</f>
        <v/>
      </c>
      <c r="AH721" s="19">
        <f>IF(NOT(ISNUMBER($A721)),NA(),IFERROR(INDEX(BBG_Data!$T$2:$T$4000,MATCH($A721,BBG_Data!$S$2:$S$4000,0))*Settings!$B$25,NA()))</f>
        <v/>
      </c>
      <c r="AI721" s="19">
        <f>IF(NOT(ISNUMBER($A721)),NA(),IFERROR(INDEX(BBG_Data!$V$2:$V$4000,MATCH($A721,BBG_Data!$U$2:$U$4000,0))*Settings!$B$25,NA()))</f>
        <v/>
      </c>
      <c r="AJ721" s="19">
        <f>IF(NOT(ISNUMBER($A721)),NA(),IFERROR(1*INDEX(BBG_Data!$X$2:$X$4000,MATCH($A721,BBG_Data!$W$2:$W$4000,0)),NA()))</f>
        <v/>
      </c>
      <c r="AK721" s="19">
        <f>IF(NOT(ISNUMBER($A721)),NA(),IFERROR(1*INDEX(BBG_Data!$Z$2:$Z$4000,MATCH($A721,BBG_Data!$Y$2:$Y$4000,0)),NA()))</f>
        <v/>
      </c>
    </row>
    <row r="722">
      <c r="A722" s="17">
        <f>IF(ISNUMBER(BBG_Data!A722),BBG_Data!A722,"")</f>
        <v/>
      </c>
      <c r="B722" s="18">
        <f>IF(AND(ISNUMBER($A722),ISNUMBER(BBG_Data!B722)),BBG_Data!B722,NA())</f>
        <v/>
      </c>
      <c r="C722" s="18">
        <f>IF(NOT(ISNUMBER($A722)),NA(),IFERROR(1*INDEX(BBG_Data!$D$2:$D$4000,MATCH($A722,BBG_Data!$C$2:$C$4000,0)),NA()))</f>
        <v/>
      </c>
      <c r="D722" s="19">
        <f>IF(NOT(ISNUMBER($A722)),NA(),IFERROR(1*INDEX(BBG_Data!$F$2:$F$4000,MATCH($A722,BBG_Data!$E$2:$E$4000,0)),NA()))</f>
        <v/>
      </c>
      <c r="E722" s="19">
        <f>IF(NOT(ISNUMBER($A722)),NA(),IFERROR(1*INDEX(BBG_Data!$H$2:$H$4000,MATCH($A722,BBG_Data!$G$2:$G$4000,0)),NA()))</f>
        <v/>
      </c>
      <c r="F722" s="20">
        <f>IF(AND(ISNUMBER(B722),ISNUMBER(B721)),IF(B722=B721,"",(B722-B721)*100),"")</f>
        <v/>
      </c>
      <c r="G722" s="20">
        <f>IF(AND(ISNUMBER(C722),ISNUMBER(C721)),IF(C722=C721,"",(C722-C721)*100),"")</f>
        <v/>
      </c>
      <c r="H722" s="20">
        <f>IF(OR(NOT(ISNUMBER($A722)),ROW()-2&lt;Settings!$B$11),NA(),IF(COUNT(OFFSET(F722,1-Settings!$B$11,0,Settings!$B$11,1))&lt;ROUNDUP(Settings!$B$11*Settings!$B$26,0),NA(),STDEV(OFFSET(F722,1-Settings!$B$11,0,Settings!$B$11,1))*SQRT(Settings!$B$13)))</f>
        <v/>
      </c>
      <c r="I722" s="20">
        <f>IF(OR(NOT(ISNUMBER($A722)),ROW()-2&lt;Settings!$B$12),NA(),IF(COUNT(OFFSET(F722,1-Settings!$B$12,0,Settings!$B$12,1))&lt;ROUNDUP(Settings!$B$12*Settings!$B$26,0),NA(),STDEV(OFFSET(F722,1-Settings!$B$12,0,Settings!$B$12,1))*SQRT(Settings!$B$13)))</f>
        <v/>
      </c>
      <c r="J722" s="20">
        <f>IF(OR(NOT(ISNUMBER($A722)),ROW()-2&lt;Settings!$B$11),NA(),IF(COUNT(OFFSET(G722,1-Settings!$B$11,0,Settings!$B$11,1))&lt;ROUNDUP(Settings!$B$11*Settings!$B$26,0),NA(),STDEV(OFFSET(G722,1-Settings!$B$11,0,Settings!$B$11,1))*SQRT(Settings!$B$13)))</f>
        <v/>
      </c>
      <c r="K722" s="20">
        <f>IF(OR(NOT(ISNUMBER($A722)),ROW()-2&lt;Settings!$B$12),NA(),IF(COUNT(OFFSET(G722,1-Settings!$B$12,0,Settings!$B$12,1))&lt;ROUNDUP(Settings!$B$12*Settings!$B$26,0),NA(),STDEV(OFFSET(G722,1-Settings!$B$12,0,Settings!$B$12,1))*SQRT(Settings!$B$13)))</f>
        <v/>
      </c>
      <c r="L722" s="20">
        <f>IF(AND(ISNUMBER(D722),ISNUMBER(H722)),D722-H722,NA())</f>
        <v/>
      </c>
      <c r="M722" s="20">
        <f>IF(AND(ISNUMBER(E722),ISNUMBER(K722)),E722-K722,NA())</f>
        <v/>
      </c>
      <c r="N722" s="20">
        <f>IF(NOT(ISNUMBER($A722)),NA(),IF(COUNT(OFFSET(G722,1,0,Settings!$B$12,1))&lt;ROUNDUP(Settings!$B$12*Settings!$B$26,0),NA(),STDEV(OFFSET(G722,1,0,Settings!$B$12,1))*SQRT(Settings!$B$13)))</f>
        <v/>
      </c>
      <c r="O722" s="20">
        <f>IF(AND(ISNUMBER(E722),ISNUMBER(N722)),E722-N722,NA())</f>
        <v/>
      </c>
      <c r="P722" s="19">
        <f>IF(NOT(ISNUMBER($A722)),NA(),IF(OR($A722&lt;MIN(KW_TP!$A$2:$A$2501),$A722&gt;MAX(KW_TP!$A$2:$A$2501)),NA(),INDEX(KW_TP!$C$2:$C$2501,MATCH($A722,KW_TP!$A$2:$A$2501,1))))</f>
        <v/>
      </c>
      <c r="Q722" s="18">
        <f>IF(NOT(ISNUMBER($A722)),NA(),IFERROR(1*INDEX(BBG_Data!$J$2:$J$4000,MATCH($A722,BBG_Data!$I$2:$I$4000,0)),NA()))</f>
        <v/>
      </c>
      <c r="R722" s="18">
        <f>IF(NOT(ISNUMBER($A722)),NA(),IFERROR(1*INDEX(BBG_Data!$L$2:$L$4000,MATCH($A722,BBG_Data!$K$2:$K$4000,0)),NA()))</f>
        <v/>
      </c>
      <c r="S722" s="20">
        <f>IF(AND(ISNUMBER(B722),ISNUMBER(Q722),ISNUMBER(R722)),(B722-Q722-R722)*100,NA())</f>
        <v/>
      </c>
      <c r="T722" s="20">
        <f>IF(AND(ISNUMBER(B722),Settings!$B$17&gt;0),IF(ISNUMBER(INDEX($B:$B,Settings!$B$17)),(B722-INDEX($B:$B,Settings!$B$17))*100,NA()),NA())</f>
        <v/>
      </c>
      <c r="U722" s="20">
        <f>IF(AND(ISNUMBER(Q722),Settings!$B$17&gt;0),IF(ISNUMBER(INDEX($Q:$Q,Settings!$B$17)),(Q722-INDEX($Q:$Q,Settings!$B$17))*100,NA()),NA())</f>
        <v/>
      </c>
      <c r="V722" s="20">
        <f>IF(AND(ISNUMBER(R722),Settings!$B$17&gt;0),IF(ISNUMBER(INDEX($R:$R,Settings!$B$17)),(R722-INDEX($R:$R,Settings!$B$17))*100,NA()),NA())</f>
        <v/>
      </c>
      <c r="W722" s="20">
        <f>IF(AND(ISNUMBER(P722),Settings!$B$17&gt;0),IF(ISNUMBER(INDEX($P:$P,Settings!$B$17)),P722-INDEX($P:$P,Settings!$B$17),NA()),NA())</f>
        <v/>
      </c>
      <c r="X722" s="19">
        <f>IF(NOT(ISNUMBER($A722)),NA(),IF(OR($A722&lt;MIN(DKW_10Y!$A$2:$A$2918),$A722&gt;MAX(DKW_10Y!$A$2:$A$2918),Settings!$B$16&lt;MIN(DKW_10Y!$A$2:$A$2918)),NA(),(INDEX(DKW_10Y!$B$2:$B$2918,MATCH($A722,DKW_10Y!$A$2:$A$2918,1))-INDEX(DKW_10Y!$B$2:$B$2918,MATCH(Settings!$B$16,DKW_10Y!$A$2:$A$2918,1)))*100))</f>
        <v/>
      </c>
      <c r="Y722" s="19">
        <f>IF(NOT(ISNUMBER($A722)),NA(),IF(OR($A722&lt;MIN(DKW_10Y!$A$2:$A$2918),$A722&gt;MAX(DKW_10Y!$A$2:$A$2918),Settings!$B$16&lt;MIN(DKW_10Y!$A$2:$A$2918)),NA(),(INDEX(DKW_10Y!$C$2:$C$2918,MATCH($A722,DKW_10Y!$A$2:$A$2918,1))-INDEX(DKW_10Y!$C$2:$C$2918,MATCH(Settings!$B$16,DKW_10Y!$A$2:$A$2918,1)))*100))</f>
        <v/>
      </c>
      <c r="Z722" s="19">
        <f>IF(NOT(ISNUMBER($A722)),NA(),IF(OR($A722&lt;MIN(DKW_10Y!$A$2:$A$2918),$A722&gt;MAX(DKW_10Y!$A$2:$A$2918),Settings!$B$16&lt;MIN(DKW_10Y!$A$2:$A$2918)),NA(),(INDEX(DKW_10Y!$D$2:$D$2918,MATCH($A722,DKW_10Y!$A$2:$A$2918,1))-INDEX(DKW_10Y!$D$2:$D$2918,MATCH(Settings!$B$16,DKW_10Y!$A$2:$A$2918,1)))*100))</f>
        <v/>
      </c>
      <c r="AA722" s="19">
        <f>IF(NOT(ISNUMBER($A722)),NA(),IF(OR($A722&lt;MIN(DKW_10Y!$A$2:$A$2918),$A722&gt;MAX(DKW_10Y!$A$2:$A$2918),Settings!$B$16&lt;MIN(DKW_10Y!$A$2:$A$2918)),NA(),(INDEX(DKW_10Y!$E$2:$E$2918,MATCH($A722,DKW_10Y!$A$2:$A$2918,1))-INDEX(DKW_10Y!$E$2:$E$2918,MATCH(Settings!$B$16,DKW_10Y!$A$2:$A$2918,1)))*100))</f>
        <v/>
      </c>
      <c r="AB722" s="19">
        <f>IF(NOT(ISNUMBER($A722)),NA(),IF(OR($A722&lt;MIN(DKW_10Y!$A$2:$A$2918),$A722&gt;MAX(DKW_10Y!$A$2:$A$2918),Settings!$B$16&lt;MIN(DKW_10Y!$A$2:$A$2918)),NA(),(INDEX(DKW_10Y!$H$2:$H$2918,MATCH($A722,DKW_10Y!$A$2:$A$2918,1))-INDEX(DKW_10Y!$H$2:$H$2918,MATCH(Settings!$B$16,DKW_10Y!$A$2:$A$2918,1)))*100))</f>
        <v/>
      </c>
      <c r="AC722" s="18">
        <f>IF(NOT(ISNUMBER($A722)),NA(),IFERROR(1*INDEX(BBG_Data!$N$2:$N$4000,MATCH($A722,BBG_Data!$M$2:$M$4000,0)),NA()))</f>
        <v/>
      </c>
      <c r="AD722" s="18">
        <f>IF(NOT(ISNUMBER($A722)),NA(),IFERROR(1*INDEX(BBG_Data!$P$2:$P$4000,MATCH($A722,BBG_Data!$O$2:$O$4000,0)),NA()))</f>
        <v/>
      </c>
      <c r="AE722" s="18">
        <f>IF(NOT(ISNUMBER($A722)),NA(),IFERROR(1*INDEX(BBG_Data!$R$2:$R$4000,MATCH($A722,BBG_Data!$Q$2:$Q$4000,0)),NA()))</f>
        <v/>
      </c>
      <c r="AF722" s="20">
        <f>IF(AND(ISNUMBER(B722),ISNUMBER(AC722)),(B722-AC722)*100,NA())</f>
        <v/>
      </c>
      <c r="AG722" s="20">
        <f>IF(AND(ISNUMBER(AE722),ISNUMBER(AD722)),(AE722-AD722)*100,NA())</f>
        <v/>
      </c>
      <c r="AH722" s="19">
        <f>IF(NOT(ISNUMBER($A722)),NA(),IFERROR(INDEX(BBG_Data!$T$2:$T$4000,MATCH($A722,BBG_Data!$S$2:$S$4000,0))*Settings!$B$25,NA()))</f>
        <v/>
      </c>
      <c r="AI722" s="19">
        <f>IF(NOT(ISNUMBER($A722)),NA(),IFERROR(INDEX(BBG_Data!$V$2:$V$4000,MATCH($A722,BBG_Data!$U$2:$U$4000,0))*Settings!$B$25,NA()))</f>
        <v/>
      </c>
      <c r="AJ722" s="19">
        <f>IF(NOT(ISNUMBER($A722)),NA(),IFERROR(1*INDEX(BBG_Data!$X$2:$X$4000,MATCH($A722,BBG_Data!$W$2:$W$4000,0)),NA()))</f>
        <v/>
      </c>
      <c r="AK722" s="19">
        <f>IF(NOT(ISNUMBER($A722)),NA(),IFERROR(1*INDEX(BBG_Data!$Z$2:$Z$4000,MATCH($A722,BBG_Data!$Y$2:$Y$4000,0)),NA()))</f>
        <v/>
      </c>
    </row>
    <row r="723">
      <c r="A723" s="17">
        <f>IF(ISNUMBER(BBG_Data!A723),BBG_Data!A723,"")</f>
        <v/>
      </c>
      <c r="B723" s="18">
        <f>IF(AND(ISNUMBER($A723),ISNUMBER(BBG_Data!B723)),BBG_Data!B723,NA())</f>
        <v/>
      </c>
      <c r="C723" s="18">
        <f>IF(NOT(ISNUMBER($A723)),NA(),IFERROR(1*INDEX(BBG_Data!$D$2:$D$4000,MATCH($A723,BBG_Data!$C$2:$C$4000,0)),NA()))</f>
        <v/>
      </c>
      <c r="D723" s="19">
        <f>IF(NOT(ISNUMBER($A723)),NA(),IFERROR(1*INDEX(BBG_Data!$F$2:$F$4000,MATCH($A723,BBG_Data!$E$2:$E$4000,0)),NA()))</f>
        <v/>
      </c>
      <c r="E723" s="19">
        <f>IF(NOT(ISNUMBER($A723)),NA(),IFERROR(1*INDEX(BBG_Data!$H$2:$H$4000,MATCH($A723,BBG_Data!$G$2:$G$4000,0)),NA()))</f>
        <v/>
      </c>
      <c r="F723" s="20">
        <f>IF(AND(ISNUMBER(B723),ISNUMBER(B722)),IF(B723=B722,"",(B723-B722)*100),"")</f>
        <v/>
      </c>
      <c r="G723" s="20">
        <f>IF(AND(ISNUMBER(C723),ISNUMBER(C722)),IF(C723=C722,"",(C723-C722)*100),"")</f>
        <v/>
      </c>
      <c r="H723" s="20">
        <f>IF(OR(NOT(ISNUMBER($A723)),ROW()-2&lt;Settings!$B$11),NA(),IF(COUNT(OFFSET(F723,1-Settings!$B$11,0,Settings!$B$11,1))&lt;ROUNDUP(Settings!$B$11*Settings!$B$26,0),NA(),STDEV(OFFSET(F723,1-Settings!$B$11,0,Settings!$B$11,1))*SQRT(Settings!$B$13)))</f>
        <v/>
      </c>
      <c r="I723" s="20">
        <f>IF(OR(NOT(ISNUMBER($A723)),ROW()-2&lt;Settings!$B$12),NA(),IF(COUNT(OFFSET(F723,1-Settings!$B$12,0,Settings!$B$12,1))&lt;ROUNDUP(Settings!$B$12*Settings!$B$26,0),NA(),STDEV(OFFSET(F723,1-Settings!$B$12,0,Settings!$B$12,1))*SQRT(Settings!$B$13)))</f>
        <v/>
      </c>
      <c r="J723" s="20">
        <f>IF(OR(NOT(ISNUMBER($A723)),ROW()-2&lt;Settings!$B$11),NA(),IF(COUNT(OFFSET(G723,1-Settings!$B$11,0,Settings!$B$11,1))&lt;ROUNDUP(Settings!$B$11*Settings!$B$26,0),NA(),STDEV(OFFSET(G723,1-Settings!$B$11,0,Settings!$B$11,1))*SQRT(Settings!$B$13)))</f>
        <v/>
      </c>
      <c r="K723" s="20">
        <f>IF(OR(NOT(ISNUMBER($A723)),ROW()-2&lt;Settings!$B$12),NA(),IF(COUNT(OFFSET(G723,1-Settings!$B$12,0,Settings!$B$12,1))&lt;ROUNDUP(Settings!$B$12*Settings!$B$26,0),NA(),STDEV(OFFSET(G723,1-Settings!$B$12,0,Settings!$B$12,1))*SQRT(Settings!$B$13)))</f>
        <v/>
      </c>
      <c r="L723" s="20">
        <f>IF(AND(ISNUMBER(D723),ISNUMBER(H723)),D723-H723,NA())</f>
        <v/>
      </c>
      <c r="M723" s="20">
        <f>IF(AND(ISNUMBER(E723),ISNUMBER(K723)),E723-K723,NA())</f>
        <v/>
      </c>
      <c r="N723" s="20">
        <f>IF(NOT(ISNUMBER($A723)),NA(),IF(COUNT(OFFSET(G723,1,0,Settings!$B$12,1))&lt;ROUNDUP(Settings!$B$12*Settings!$B$26,0),NA(),STDEV(OFFSET(G723,1,0,Settings!$B$12,1))*SQRT(Settings!$B$13)))</f>
        <v/>
      </c>
      <c r="O723" s="20">
        <f>IF(AND(ISNUMBER(E723),ISNUMBER(N723)),E723-N723,NA())</f>
        <v/>
      </c>
      <c r="P723" s="19">
        <f>IF(NOT(ISNUMBER($A723)),NA(),IF(OR($A723&lt;MIN(KW_TP!$A$2:$A$2501),$A723&gt;MAX(KW_TP!$A$2:$A$2501)),NA(),INDEX(KW_TP!$C$2:$C$2501,MATCH($A723,KW_TP!$A$2:$A$2501,1))))</f>
        <v/>
      </c>
      <c r="Q723" s="18">
        <f>IF(NOT(ISNUMBER($A723)),NA(),IFERROR(1*INDEX(BBG_Data!$J$2:$J$4000,MATCH($A723,BBG_Data!$I$2:$I$4000,0)),NA()))</f>
        <v/>
      </c>
      <c r="R723" s="18">
        <f>IF(NOT(ISNUMBER($A723)),NA(),IFERROR(1*INDEX(BBG_Data!$L$2:$L$4000,MATCH($A723,BBG_Data!$K$2:$K$4000,0)),NA()))</f>
        <v/>
      </c>
      <c r="S723" s="20">
        <f>IF(AND(ISNUMBER(B723),ISNUMBER(Q723),ISNUMBER(R723)),(B723-Q723-R723)*100,NA())</f>
        <v/>
      </c>
      <c r="T723" s="20">
        <f>IF(AND(ISNUMBER(B723),Settings!$B$17&gt;0),IF(ISNUMBER(INDEX($B:$B,Settings!$B$17)),(B723-INDEX($B:$B,Settings!$B$17))*100,NA()),NA())</f>
        <v/>
      </c>
      <c r="U723" s="20">
        <f>IF(AND(ISNUMBER(Q723),Settings!$B$17&gt;0),IF(ISNUMBER(INDEX($Q:$Q,Settings!$B$17)),(Q723-INDEX($Q:$Q,Settings!$B$17))*100,NA()),NA())</f>
        <v/>
      </c>
      <c r="V723" s="20">
        <f>IF(AND(ISNUMBER(R723),Settings!$B$17&gt;0),IF(ISNUMBER(INDEX($R:$R,Settings!$B$17)),(R723-INDEX($R:$R,Settings!$B$17))*100,NA()),NA())</f>
        <v/>
      </c>
      <c r="W723" s="20">
        <f>IF(AND(ISNUMBER(P723),Settings!$B$17&gt;0),IF(ISNUMBER(INDEX($P:$P,Settings!$B$17)),P723-INDEX($P:$P,Settings!$B$17),NA()),NA())</f>
        <v/>
      </c>
      <c r="X723" s="19">
        <f>IF(NOT(ISNUMBER($A723)),NA(),IF(OR($A723&lt;MIN(DKW_10Y!$A$2:$A$2918),$A723&gt;MAX(DKW_10Y!$A$2:$A$2918),Settings!$B$16&lt;MIN(DKW_10Y!$A$2:$A$2918)),NA(),(INDEX(DKW_10Y!$B$2:$B$2918,MATCH($A723,DKW_10Y!$A$2:$A$2918,1))-INDEX(DKW_10Y!$B$2:$B$2918,MATCH(Settings!$B$16,DKW_10Y!$A$2:$A$2918,1)))*100))</f>
        <v/>
      </c>
      <c r="Y723" s="19">
        <f>IF(NOT(ISNUMBER($A723)),NA(),IF(OR($A723&lt;MIN(DKW_10Y!$A$2:$A$2918),$A723&gt;MAX(DKW_10Y!$A$2:$A$2918),Settings!$B$16&lt;MIN(DKW_10Y!$A$2:$A$2918)),NA(),(INDEX(DKW_10Y!$C$2:$C$2918,MATCH($A723,DKW_10Y!$A$2:$A$2918,1))-INDEX(DKW_10Y!$C$2:$C$2918,MATCH(Settings!$B$16,DKW_10Y!$A$2:$A$2918,1)))*100))</f>
        <v/>
      </c>
      <c r="Z723" s="19">
        <f>IF(NOT(ISNUMBER($A723)),NA(),IF(OR($A723&lt;MIN(DKW_10Y!$A$2:$A$2918),$A723&gt;MAX(DKW_10Y!$A$2:$A$2918),Settings!$B$16&lt;MIN(DKW_10Y!$A$2:$A$2918)),NA(),(INDEX(DKW_10Y!$D$2:$D$2918,MATCH($A723,DKW_10Y!$A$2:$A$2918,1))-INDEX(DKW_10Y!$D$2:$D$2918,MATCH(Settings!$B$16,DKW_10Y!$A$2:$A$2918,1)))*100))</f>
        <v/>
      </c>
      <c r="AA723" s="19">
        <f>IF(NOT(ISNUMBER($A723)),NA(),IF(OR($A723&lt;MIN(DKW_10Y!$A$2:$A$2918),$A723&gt;MAX(DKW_10Y!$A$2:$A$2918),Settings!$B$16&lt;MIN(DKW_10Y!$A$2:$A$2918)),NA(),(INDEX(DKW_10Y!$E$2:$E$2918,MATCH($A723,DKW_10Y!$A$2:$A$2918,1))-INDEX(DKW_10Y!$E$2:$E$2918,MATCH(Settings!$B$16,DKW_10Y!$A$2:$A$2918,1)))*100))</f>
        <v/>
      </c>
      <c r="AB723" s="19">
        <f>IF(NOT(ISNUMBER($A723)),NA(),IF(OR($A723&lt;MIN(DKW_10Y!$A$2:$A$2918),$A723&gt;MAX(DKW_10Y!$A$2:$A$2918),Settings!$B$16&lt;MIN(DKW_10Y!$A$2:$A$2918)),NA(),(INDEX(DKW_10Y!$H$2:$H$2918,MATCH($A723,DKW_10Y!$A$2:$A$2918,1))-INDEX(DKW_10Y!$H$2:$H$2918,MATCH(Settings!$B$16,DKW_10Y!$A$2:$A$2918,1)))*100))</f>
        <v/>
      </c>
      <c r="AC723" s="18">
        <f>IF(NOT(ISNUMBER($A723)),NA(),IFERROR(1*INDEX(BBG_Data!$N$2:$N$4000,MATCH($A723,BBG_Data!$M$2:$M$4000,0)),NA()))</f>
        <v/>
      </c>
      <c r="AD723" s="18">
        <f>IF(NOT(ISNUMBER($A723)),NA(),IFERROR(1*INDEX(BBG_Data!$P$2:$P$4000,MATCH($A723,BBG_Data!$O$2:$O$4000,0)),NA()))</f>
        <v/>
      </c>
      <c r="AE723" s="18">
        <f>IF(NOT(ISNUMBER($A723)),NA(),IFERROR(1*INDEX(BBG_Data!$R$2:$R$4000,MATCH($A723,BBG_Data!$Q$2:$Q$4000,0)),NA()))</f>
        <v/>
      </c>
      <c r="AF723" s="20">
        <f>IF(AND(ISNUMBER(B723),ISNUMBER(AC723)),(B723-AC723)*100,NA())</f>
        <v/>
      </c>
      <c r="AG723" s="20">
        <f>IF(AND(ISNUMBER(AE723),ISNUMBER(AD723)),(AE723-AD723)*100,NA())</f>
        <v/>
      </c>
      <c r="AH723" s="19">
        <f>IF(NOT(ISNUMBER($A723)),NA(),IFERROR(INDEX(BBG_Data!$T$2:$T$4000,MATCH($A723,BBG_Data!$S$2:$S$4000,0))*Settings!$B$25,NA()))</f>
        <v/>
      </c>
      <c r="AI723" s="19">
        <f>IF(NOT(ISNUMBER($A723)),NA(),IFERROR(INDEX(BBG_Data!$V$2:$V$4000,MATCH($A723,BBG_Data!$U$2:$U$4000,0))*Settings!$B$25,NA()))</f>
        <v/>
      </c>
      <c r="AJ723" s="19">
        <f>IF(NOT(ISNUMBER($A723)),NA(),IFERROR(1*INDEX(BBG_Data!$X$2:$X$4000,MATCH($A723,BBG_Data!$W$2:$W$4000,0)),NA()))</f>
        <v/>
      </c>
      <c r="AK723" s="19">
        <f>IF(NOT(ISNUMBER($A723)),NA(),IFERROR(1*INDEX(BBG_Data!$Z$2:$Z$4000,MATCH($A723,BBG_Data!$Y$2:$Y$4000,0)),NA()))</f>
        <v/>
      </c>
    </row>
    <row r="724">
      <c r="A724" s="17">
        <f>IF(ISNUMBER(BBG_Data!A724),BBG_Data!A724,"")</f>
        <v/>
      </c>
      <c r="B724" s="18">
        <f>IF(AND(ISNUMBER($A724),ISNUMBER(BBG_Data!B724)),BBG_Data!B724,NA())</f>
        <v/>
      </c>
      <c r="C724" s="18">
        <f>IF(NOT(ISNUMBER($A724)),NA(),IFERROR(1*INDEX(BBG_Data!$D$2:$D$4000,MATCH($A724,BBG_Data!$C$2:$C$4000,0)),NA()))</f>
        <v/>
      </c>
      <c r="D724" s="19">
        <f>IF(NOT(ISNUMBER($A724)),NA(),IFERROR(1*INDEX(BBG_Data!$F$2:$F$4000,MATCH($A724,BBG_Data!$E$2:$E$4000,0)),NA()))</f>
        <v/>
      </c>
      <c r="E724" s="19">
        <f>IF(NOT(ISNUMBER($A724)),NA(),IFERROR(1*INDEX(BBG_Data!$H$2:$H$4000,MATCH($A724,BBG_Data!$G$2:$G$4000,0)),NA()))</f>
        <v/>
      </c>
      <c r="F724" s="20">
        <f>IF(AND(ISNUMBER(B724),ISNUMBER(B723)),IF(B724=B723,"",(B724-B723)*100),"")</f>
        <v/>
      </c>
      <c r="G724" s="20">
        <f>IF(AND(ISNUMBER(C724),ISNUMBER(C723)),IF(C724=C723,"",(C724-C723)*100),"")</f>
        <v/>
      </c>
      <c r="H724" s="20">
        <f>IF(OR(NOT(ISNUMBER($A724)),ROW()-2&lt;Settings!$B$11),NA(),IF(COUNT(OFFSET(F724,1-Settings!$B$11,0,Settings!$B$11,1))&lt;ROUNDUP(Settings!$B$11*Settings!$B$26,0),NA(),STDEV(OFFSET(F724,1-Settings!$B$11,0,Settings!$B$11,1))*SQRT(Settings!$B$13)))</f>
        <v/>
      </c>
      <c r="I724" s="20">
        <f>IF(OR(NOT(ISNUMBER($A724)),ROW()-2&lt;Settings!$B$12),NA(),IF(COUNT(OFFSET(F724,1-Settings!$B$12,0,Settings!$B$12,1))&lt;ROUNDUP(Settings!$B$12*Settings!$B$26,0),NA(),STDEV(OFFSET(F724,1-Settings!$B$12,0,Settings!$B$12,1))*SQRT(Settings!$B$13)))</f>
        <v/>
      </c>
      <c r="J724" s="20">
        <f>IF(OR(NOT(ISNUMBER($A724)),ROW()-2&lt;Settings!$B$11),NA(),IF(COUNT(OFFSET(G724,1-Settings!$B$11,0,Settings!$B$11,1))&lt;ROUNDUP(Settings!$B$11*Settings!$B$26,0),NA(),STDEV(OFFSET(G724,1-Settings!$B$11,0,Settings!$B$11,1))*SQRT(Settings!$B$13)))</f>
        <v/>
      </c>
      <c r="K724" s="20">
        <f>IF(OR(NOT(ISNUMBER($A724)),ROW()-2&lt;Settings!$B$12),NA(),IF(COUNT(OFFSET(G724,1-Settings!$B$12,0,Settings!$B$12,1))&lt;ROUNDUP(Settings!$B$12*Settings!$B$26,0),NA(),STDEV(OFFSET(G724,1-Settings!$B$12,0,Settings!$B$12,1))*SQRT(Settings!$B$13)))</f>
        <v/>
      </c>
      <c r="L724" s="20">
        <f>IF(AND(ISNUMBER(D724),ISNUMBER(H724)),D724-H724,NA())</f>
        <v/>
      </c>
      <c r="M724" s="20">
        <f>IF(AND(ISNUMBER(E724),ISNUMBER(K724)),E724-K724,NA())</f>
        <v/>
      </c>
      <c r="N724" s="20">
        <f>IF(NOT(ISNUMBER($A724)),NA(),IF(COUNT(OFFSET(G724,1,0,Settings!$B$12,1))&lt;ROUNDUP(Settings!$B$12*Settings!$B$26,0),NA(),STDEV(OFFSET(G724,1,0,Settings!$B$12,1))*SQRT(Settings!$B$13)))</f>
        <v/>
      </c>
      <c r="O724" s="20">
        <f>IF(AND(ISNUMBER(E724),ISNUMBER(N724)),E724-N724,NA())</f>
        <v/>
      </c>
      <c r="P724" s="19">
        <f>IF(NOT(ISNUMBER($A724)),NA(),IF(OR($A724&lt;MIN(KW_TP!$A$2:$A$2501),$A724&gt;MAX(KW_TP!$A$2:$A$2501)),NA(),INDEX(KW_TP!$C$2:$C$2501,MATCH($A724,KW_TP!$A$2:$A$2501,1))))</f>
        <v/>
      </c>
      <c r="Q724" s="18">
        <f>IF(NOT(ISNUMBER($A724)),NA(),IFERROR(1*INDEX(BBG_Data!$J$2:$J$4000,MATCH($A724,BBG_Data!$I$2:$I$4000,0)),NA()))</f>
        <v/>
      </c>
      <c r="R724" s="18">
        <f>IF(NOT(ISNUMBER($A724)),NA(),IFERROR(1*INDEX(BBG_Data!$L$2:$L$4000,MATCH($A724,BBG_Data!$K$2:$K$4000,0)),NA()))</f>
        <v/>
      </c>
      <c r="S724" s="20">
        <f>IF(AND(ISNUMBER(B724),ISNUMBER(Q724),ISNUMBER(R724)),(B724-Q724-R724)*100,NA())</f>
        <v/>
      </c>
      <c r="T724" s="20">
        <f>IF(AND(ISNUMBER(B724),Settings!$B$17&gt;0),IF(ISNUMBER(INDEX($B:$B,Settings!$B$17)),(B724-INDEX($B:$B,Settings!$B$17))*100,NA()),NA())</f>
        <v/>
      </c>
      <c r="U724" s="20">
        <f>IF(AND(ISNUMBER(Q724),Settings!$B$17&gt;0),IF(ISNUMBER(INDEX($Q:$Q,Settings!$B$17)),(Q724-INDEX($Q:$Q,Settings!$B$17))*100,NA()),NA())</f>
        <v/>
      </c>
      <c r="V724" s="20">
        <f>IF(AND(ISNUMBER(R724),Settings!$B$17&gt;0),IF(ISNUMBER(INDEX($R:$R,Settings!$B$17)),(R724-INDEX($R:$R,Settings!$B$17))*100,NA()),NA())</f>
        <v/>
      </c>
      <c r="W724" s="20">
        <f>IF(AND(ISNUMBER(P724),Settings!$B$17&gt;0),IF(ISNUMBER(INDEX($P:$P,Settings!$B$17)),P724-INDEX($P:$P,Settings!$B$17),NA()),NA())</f>
        <v/>
      </c>
      <c r="X724" s="19">
        <f>IF(NOT(ISNUMBER($A724)),NA(),IF(OR($A724&lt;MIN(DKW_10Y!$A$2:$A$2918),$A724&gt;MAX(DKW_10Y!$A$2:$A$2918),Settings!$B$16&lt;MIN(DKW_10Y!$A$2:$A$2918)),NA(),(INDEX(DKW_10Y!$B$2:$B$2918,MATCH($A724,DKW_10Y!$A$2:$A$2918,1))-INDEX(DKW_10Y!$B$2:$B$2918,MATCH(Settings!$B$16,DKW_10Y!$A$2:$A$2918,1)))*100))</f>
        <v/>
      </c>
      <c r="Y724" s="19">
        <f>IF(NOT(ISNUMBER($A724)),NA(),IF(OR($A724&lt;MIN(DKW_10Y!$A$2:$A$2918),$A724&gt;MAX(DKW_10Y!$A$2:$A$2918),Settings!$B$16&lt;MIN(DKW_10Y!$A$2:$A$2918)),NA(),(INDEX(DKW_10Y!$C$2:$C$2918,MATCH($A724,DKW_10Y!$A$2:$A$2918,1))-INDEX(DKW_10Y!$C$2:$C$2918,MATCH(Settings!$B$16,DKW_10Y!$A$2:$A$2918,1)))*100))</f>
        <v/>
      </c>
      <c r="Z724" s="19">
        <f>IF(NOT(ISNUMBER($A724)),NA(),IF(OR($A724&lt;MIN(DKW_10Y!$A$2:$A$2918),$A724&gt;MAX(DKW_10Y!$A$2:$A$2918),Settings!$B$16&lt;MIN(DKW_10Y!$A$2:$A$2918)),NA(),(INDEX(DKW_10Y!$D$2:$D$2918,MATCH($A724,DKW_10Y!$A$2:$A$2918,1))-INDEX(DKW_10Y!$D$2:$D$2918,MATCH(Settings!$B$16,DKW_10Y!$A$2:$A$2918,1)))*100))</f>
        <v/>
      </c>
      <c r="AA724" s="19">
        <f>IF(NOT(ISNUMBER($A724)),NA(),IF(OR($A724&lt;MIN(DKW_10Y!$A$2:$A$2918),$A724&gt;MAX(DKW_10Y!$A$2:$A$2918),Settings!$B$16&lt;MIN(DKW_10Y!$A$2:$A$2918)),NA(),(INDEX(DKW_10Y!$E$2:$E$2918,MATCH($A724,DKW_10Y!$A$2:$A$2918,1))-INDEX(DKW_10Y!$E$2:$E$2918,MATCH(Settings!$B$16,DKW_10Y!$A$2:$A$2918,1)))*100))</f>
        <v/>
      </c>
      <c r="AB724" s="19">
        <f>IF(NOT(ISNUMBER($A724)),NA(),IF(OR($A724&lt;MIN(DKW_10Y!$A$2:$A$2918),$A724&gt;MAX(DKW_10Y!$A$2:$A$2918),Settings!$B$16&lt;MIN(DKW_10Y!$A$2:$A$2918)),NA(),(INDEX(DKW_10Y!$H$2:$H$2918,MATCH($A724,DKW_10Y!$A$2:$A$2918,1))-INDEX(DKW_10Y!$H$2:$H$2918,MATCH(Settings!$B$16,DKW_10Y!$A$2:$A$2918,1)))*100))</f>
        <v/>
      </c>
      <c r="AC724" s="18">
        <f>IF(NOT(ISNUMBER($A724)),NA(),IFERROR(1*INDEX(BBG_Data!$N$2:$N$4000,MATCH($A724,BBG_Data!$M$2:$M$4000,0)),NA()))</f>
        <v/>
      </c>
      <c r="AD724" s="18">
        <f>IF(NOT(ISNUMBER($A724)),NA(),IFERROR(1*INDEX(BBG_Data!$P$2:$P$4000,MATCH($A724,BBG_Data!$O$2:$O$4000,0)),NA()))</f>
        <v/>
      </c>
      <c r="AE724" s="18">
        <f>IF(NOT(ISNUMBER($A724)),NA(),IFERROR(1*INDEX(BBG_Data!$R$2:$R$4000,MATCH($A724,BBG_Data!$Q$2:$Q$4000,0)),NA()))</f>
        <v/>
      </c>
      <c r="AF724" s="20">
        <f>IF(AND(ISNUMBER(B724),ISNUMBER(AC724)),(B724-AC724)*100,NA())</f>
        <v/>
      </c>
      <c r="AG724" s="20">
        <f>IF(AND(ISNUMBER(AE724),ISNUMBER(AD724)),(AE724-AD724)*100,NA())</f>
        <v/>
      </c>
      <c r="AH724" s="19">
        <f>IF(NOT(ISNUMBER($A724)),NA(),IFERROR(INDEX(BBG_Data!$T$2:$T$4000,MATCH($A724,BBG_Data!$S$2:$S$4000,0))*Settings!$B$25,NA()))</f>
        <v/>
      </c>
      <c r="AI724" s="19">
        <f>IF(NOT(ISNUMBER($A724)),NA(),IFERROR(INDEX(BBG_Data!$V$2:$V$4000,MATCH($A724,BBG_Data!$U$2:$U$4000,0))*Settings!$B$25,NA()))</f>
        <v/>
      </c>
      <c r="AJ724" s="19">
        <f>IF(NOT(ISNUMBER($A724)),NA(),IFERROR(1*INDEX(BBG_Data!$X$2:$X$4000,MATCH($A724,BBG_Data!$W$2:$W$4000,0)),NA()))</f>
        <v/>
      </c>
      <c r="AK724" s="19">
        <f>IF(NOT(ISNUMBER($A724)),NA(),IFERROR(1*INDEX(BBG_Data!$Z$2:$Z$4000,MATCH($A724,BBG_Data!$Y$2:$Y$4000,0)),NA()))</f>
        <v/>
      </c>
    </row>
    <row r="725">
      <c r="A725" s="17">
        <f>IF(ISNUMBER(BBG_Data!A725),BBG_Data!A725,"")</f>
        <v/>
      </c>
      <c r="B725" s="18">
        <f>IF(AND(ISNUMBER($A725),ISNUMBER(BBG_Data!B725)),BBG_Data!B725,NA())</f>
        <v/>
      </c>
      <c r="C725" s="18">
        <f>IF(NOT(ISNUMBER($A725)),NA(),IFERROR(1*INDEX(BBG_Data!$D$2:$D$4000,MATCH($A725,BBG_Data!$C$2:$C$4000,0)),NA()))</f>
        <v/>
      </c>
      <c r="D725" s="19">
        <f>IF(NOT(ISNUMBER($A725)),NA(),IFERROR(1*INDEX(BBG_Data!$F$2:$F$4000,MATCH($A725,BBG_Data!$E$2:$E$4000,0)),NA()))</f>
        <v/>
      </c>
      <c r="E725" s="19">
        <f>IF(NOT(ISNUMBER($A725)),NA(),IFERROR(1*INDEX(BBG_Data!$H$2:$H$4000,MATCH($A725,BBG_Data!$G$2:$G$4000,0)),NA()))</f>
        <v/>
      </c>
      <c r="F725" s="20">
        <f>IF(AND(ISNUMBER(B725),ISNUMBER(B724)),IF(B725=B724,"",(B725-B724)*100),"")</f>
        <v/>
      </c>
      <c r="G725" s="20">
        <f>IF(AND(ISNUMBER(C725),ISNUMBER(C724)),IF(C725=C724,"",(C725-C724)*100),"")</f>
        <v/>
      </c>
      <c r="H725" s="20">
        <f>IF(OR(NOT(ISNUMBER($A725)),ROW()-2&lt;Settings!$B$11),NA(),IF(COUNT(OFFSET(F725,1-Settings!$B$11,0,Settings!$B$11,1))&lt;ROUNDUP(Settings!$B$11*Settings!$B$26,0),NA(),STDEV(OFFSET(F725,1-Settings!$B$11,0,Settings!$B$11,1))*SQRT(Settings!$B$13)))</f>
        <v/>
      </c>
      <c r="I725" s="20">
        <f>IF(OR(NOT(ISNUMBER($A725)),ROW()-2&lt;Settings!$B$12),NA(),IF(COUNT(OFFSET(F725,1-Settings!$B$12,0,Settings!$B$12,1))&lt;ROUNDUP(Settings!$B$12*Settings!$B$26,0),NA(),STDEV(OFFSET(F725,1-Settings!$B$12,0,Settings!$B$12,1))*SQRT(Settings!$B$13)))</f>
        <v/>
      </c>
      <c r="J725" s="20">
        <f>IF(OR(NOT(ISNUMBER($A725)),ROW()-2&lt;Settings!$B$11),NA(),IF(COUNT(OFFSET(G725,1-Settings!$B$11,0,Settings!$B$11,1))&lt;ROUNDUP(Settings!$B$11*Settings!$B$26,0),NA(),STDEV(OFFSET(G725,1-Settings!$B$11,0,Settings!$B$11,1))*SQRT(Settings!$B$13)))</f>
        <v/>
      </c>
      <c r="K725" s="20">
        <f>IF(OR(NOT(ISNUMBER($A725)),ROW()-2&lt;Settings!$B$12),NA(),IF(COUNT(OFFSET(G725,1-Settings!$B$12,0,Settings!$B$12,1))&lt;ROUNDUP(Settings!$B$12*Settings!$B$26,0),NA(),STDEV(OFFSET(G725,1-Settings!$B$12,0,Settings!$B$12,1))*SQRT(Settings!$B$13)))</f>
        <v/>
      </c>
      <c r="L725" s="20">
        <f>IF(AND(ISNUMBER(D725),ISNUMBER(H725)),D725-H725,NA())</f>
        <v/>
      </c>
      <c r="M725" s="20">
        <f>IF(AND(ISNUMBER(E725),ISNUMBER(K725)),E725-K725,NA())</f>
        <v/>
      </c>
      <c r="N725" s="20">
        <f>IF(NOT(ISNUMBER($A725)),NA(),IF(COUNT(OFFSET(G725,1,0,Settings!$B$12,1))&lt;ROUNDUP(Settings!$B$12*Settings!$B$26,0),NA(),STDEV(OFFSET(G725,1,0,Settings!$B$12,1))*SQRT(Settings!$B$13)))</f>
        <v/>
      </c>
      <c r="O725" s="20">
        <f>IF(AND(ISNUMBER(E725),ISNUMBER(N725)),E725-N725,NA())</f>
        <v/>
      </c>
      <c r="P725" s="19">
        <f>IF(NOT(ISNUMBER($A725)),NA(),IF(OR($A725&lt;MIN(KW_TP!$A$2:$A$2501),$A725&gt;MAX(KW_TP!$A$2:$A$2501)),NA(),INDEX(KW_TP!$C$2:$C$2501,MATCH($A725,KW_TP!$A$2:$A$2501,1))))</f>
        <v/>
      </c>
      <c r="Q725" s="18">
        <f>IF(NOT(ISNUMBER($A725)),NA(),IFERROR(1*INDEX(BBG_Data!$J$2:$J$4000,MATCH($A725,BBG_Data!$I$2:$I$4000,0)),NA()))</f>
        <v/>
      </c>
      <c r="R725" s="18">
        <f>IF(NOT(ISNUMBER($A725)),NA(),IFERROR(1*INDEX(BBG_Data!$L$2:$L$4000,MATCH($A725,BBG_Data!$K$2:$K$4000,0)),NA()))</f>
        <v/>
      </c>
      <c r="S725" s="20">
        <f>IF(AND(ISNUMBER(B725),ISNUMBER(Q725),ISNUMBER(R725)),(B725-Q725-R725)*100,NA())</f>
        <v/>
      </c>
      <c r="T725" s="20">
        <f>IF(AND(ISNUMBER(B725),Settings!$B$17&gt;0),IF(ISNUMBER(INDEX($B:$B,Settings!$B$17)),(B725-INDEX($B:$B,Settings!$B$17))*100,NA()),NA())</f>
        <v/>
      </c>
      <c r="U725" s="20">
        <f>IF(AND(ISNUMBER(Q725),Settings!$B$17&gt;0),IF(ISNUMBER(INDEX($Q:$Q,Settings!$B$17)),(Q725-INDEX($Q:$Q,Settings!$B$17))*100,NA()),NA())</f>
        <v/>
      </c>
      <c r="V725" s="20">
        <f>IF(AND(ISNUMBER(R725),Settings!$B$17&gt;0),IF(ISNUMBER(INDEX($R:$R,Settings!$B$17)),(R725-INDEX($R:$R,Settings!$B$17))*100,NA()),NA())</f>
        <v/>
      </c>
      <c r="W725" s="20">
        <f>IF(AND(ISNUMBER(P725),Settings!$B$17&gt;0),IF(ISNUMBER(INDEX($P:$P,Settings!$B$17)),P725-INDEX($P:$P,Settings!$B$17),NA()),NA())</f>
        <v/>
      </c>
      <c r="X725" s="19">
        <f>IF(NOT(ISNUMBER($A725)),NA(),IF(OR($A725&lt;MIN(DKW_10Y!$A$2:$A$2918),$A725&gt;MAX(DKW_10Y!$A$2:$A$2918),Settings!$B$16&lt;MIN(DKW_10Y!$A$2:$A$2918)),NA(),(INDEX(DKW_10Y!$B$2:$B$2918,MATCH($A725,DKW_10Y!$A$2:$A$2918,1))-INDEX(DKW_10Y!$B$2:$B$2918,MATCH(Settings!$B$16,DKW_10Y!$A$2:$A$2918,1)))*100))</f>
        <v/>
      </c>
      <c r="Y725" s="19">
        <f>IF(NOT(ISNUMBER($A725)),NA(),IF(OR($A725&lt;MIN(DKW_10Y!$A$2:$A$2918),$A725&gt;MAX(DKW_10Y!$A$2:$A$2918),Settings!$B$16&lt;MIN(DKW_10Y!$A$2:$A$2918)),NA(),(INDEX(DKW_10Y!$C$2:$C$2918,MATCH($A725,DKW_10Y!$A$2:$A$2918,1))-INDEX(DKW_10Y!$C$2:$C$2918,MATCH(Settings!$B$16,DKW_10Y!$A$2:$A$2918,1)))*100))</f>
        <v/>
      </c>
      <c r="Z725" s="19">
        <f>IF(NOT(ISNUMBER($A725)),NA(),IF(OR($A725&lt;MIN(DKW_10Y!$A$2:$A$2918),$A725&gt;MAX(DKW_10Y!$A$2:$A$2918),Settings!$B$16&lt;MIN(DKW_10Y!$A$2:$A$2918)),NA(),(INDEX(DKW_10Y!$D$2:$D$2918,MATCH($A725,DKW_10Y!$A$2:$A$2918,1))-INDEX(DKW_10Y!$D$2:$D$2918,MATCH(Settings!$B$16,DKW_10Y!$A$2:$A$2918,1)))*100))</f>
        <v/>
      </c>
      <c r="AA725" s="19">
        <f>IF(NOT(ISNUMBER($A725)),NA(),IF(OR($A725&lt;MIN(DKW_10Y!$A$2:$A$2918),$A725&gt;MAX(DKW_10Y!$A$2:$A$2918),Settings!$B$16&lt;MIN(DKW_10Y!$A$2:$A$2918)),NA(),(INDEX(DKW_10Y!$E$2:$E$2918,MATCH($A725,DKW_10Y!$A$2:$A$2918,1))-INDEX(DKW_10Y!$E$2:$E$2918,MATCH(Settings!$B$16,DKW_10Y!$A$2:$A$2918,1)))*100))</f>
        <v/>
      </c>
      <c r="AB725" s="19">
        <f>IF(NOT(ISNUMBER($A725)),NA(),IF(OR($A725&lt;MIN(DKW_10Y!$A$2:$A$2918),$A725&gt;MAX(DKW_10Y!$A$2:$A$2918),Settings!$B$16&lt;MIN(DKW_10Y!$A$2:$A$2918)),NA(),(INDEX(DKW_10Y!$H$2:$H$2918,MATCH($A725,DKW_10Y!$A$2:$A$2918,1))-INDEX(DKW_10Y!$H$2:$H$2918,MATCH(Settings!$B$16,DKW_10Y!$A$2:$A$2918,1)))*100))</f>
        <v/>
      </c>
      <c r="AC725" s="18">
        <f>IF(NOT(ISNUMBER($A725)),NA(),IFERROR(1*INDEX(BBG_Data!$N$2:$N$4000,MATCH($A725,BBG_Data!$M$2:$M$4000,0)),NA()))</f>
        <v/>
      </c>
      <c r="AD725" s="18">
        <f>IF(NOT(ISNUMBER($A725)),NA(),IFERROR(1*INDEX(BBG_Data!$P$2:$P$4000,MATCH($A725,BBG_Data!$O$2:$O$4000,0)),NA()))</f>
        <v/>
      </c>
      <c r="AE725" s="18">
        <f>IF(NOT(ISNUMBER($A725)),NA(),IFERROR(1*INDEX(BBG_Data!$R$2:$R$4000,MATCH($A725,BBG_Data!$Q$2:$Q$4000,0)),NA()))</f>
        <v/>
      </c>
      <c r="AF725" s="20">
        <f>IF(AND(ISNUMBER(B725),ISNUMBER(AC725)),(B725-AC725)*100,NA())</f>
        <v/>
      </c>
      <c r="AG725" s="20">
        <f>IF(AND(ISNUMBER(AE725),ISNUMBER(AD725)),(AE725-AD725)*100,NA())</f>
        <v/>
      </c>
      <c r="AH725" s="19">
        <f>IF(NOT(ISNUMBER($A725)),NA(),IFERROR(INDEX(BBG_Data!$T$2:$T$4000,MATCH($A725,BBG_Data!$S$2:$S$4000,0))*Settings!$B$25,NA()))</f>
        <v/>
      </c>
      <c r="AI725" s="19">
        <f>IF(NOT(ISNUMBER($A725)),NA(),IFERROR(INDEX(BBG_Data!$V$2:$V$4000,MATCH($A725,BBG_Data!$U$2:$U$4000,0))*Settings!$B$25,NA()))</f>
        <v/>
      </c>
      <c r="AJ725" s="19">
        <f>IF(NOT(ISNUMBER($A725)),NA(),IFERROR(1*INDEX(BBG_Data!$X$2:$X$4000,MATCH($A725,BBG_Data!$W$2:$W$4000,0)),NA()))</f>
        <v/>
      </c>
      <c r="AK725" s="19">
        <f>IF(NOT(ISNUMBER($A725)),NA(),IFERROR(1*INDEX(BBG_Data!$Z$2:$Z$4000,MATCH($A725,BBG_Data!$Y$2:$Y$4000,0)),NA()))</f>
        <v/>
      </c>
    </row>
    <row r="726">
      <c r="A726" s="17">
        <f>IF(ISNUMBER(BBG_Data!A726),BBG_Data!A726,"")</f>
        <v/>
      </c>
      <c r="B726" s="18">
        <f>IF(AND(ISNUMBER($A726),ISNUMBER(BBG_Data!B726)),BBG_Data!B726,NA())</f>
        <v/>
      </c>
      <c r="C726" s="18">
        <f>IF(NOT(ISNUMBER($A726)),NA(),IFERROR(1*INDEX(BBG_Data!$D$2:$D$4000,MATCH($A726,BBG_Data!$C$2:$C$4000,0)),NA()))</f>
        <v/>
      </c>
      <c r="D726" s="19">
        <f>IF(NOT(ISNUMBER($A726)),NA(),IFERROR(1*INDEX(BBG_Data!$F$2:$F$4000,MATCH($A726,BBG_Data!$E$2:$E$4000,0)),NA()))</f>
        <v/>
      </c>
      <c r="E726" s="19">
        <f>IF(NOT(ISNUMBER($A726)),NA(),IFERROR(1*INDEX(BBG_Data!$H$2:$H$4000,MATCH($A726,BBG_Data!$G$2:$G$4000,0)),NA()))</f>
        <v/>
      </c>
      <c r="F726" s="20">
        <f>IF(AND(ISNUMBER(B726),ISNUMBER(B725)),IF(B726=B725,"",(B726-B725)*100),"")</f>
        <v/>
      </c>
      <c r="G726" s="20">
        <f>IF(AND(ISNUMBER(C726),ISNUMBER(C725)),IF(C726=C725,"",(C726-C725)*100),"")</f>
        <v/>
      </c>
      <c r="H726" s="20">
        <f>IF(OR(NOT(ISNUMBER($A726)),ROW()-2&lt;Settings!$B$11),NA(),IF(COUNT(OFFSET(F726,1-Settings!$B$11,0,Settings!$B$11,1))&lt;ROUNDUP(Settings!$B$11*Settings!$B$26,0),NA(),STDEV(OFFSET(F726,1-Settings!$B$11,0,Settings!$B$11,1))*SQRT(Settings!$B$13)))</f>
        <v/>
      </c>
      <c r="I726" s="20">
        <f>IF(OR(NOT(ISNUMBER($A726)),ROW()-2&lt;Settings!$B$12),NA(),IF(COUNT(OFFSET(F726,1-Settings!$B$12,0,Settings!$B$12,1))&lt;ROUNDUP(Settings!$B$12*Settings!$B$26,0),NA(),STDEV(OFFSET(F726,1-Settings!$B$12,0,Settings!$B$12,1))*SQRT(Settings!$B$13)))</f>
        <v/>
      </c>
      <c r="J726" s="20">
        <f>IF(OR(NOT(ISNUMBER($A726)),ROW()-2&lt;Settings!$B$11),NA(),IF(COUNT(OFFSET(G726,1-Settings!$B$11,0,Settings!$B$11,1))&lt;ROUNDUP(Settings!$B$11*Settings!$B$26,0),NA(),STDEV(OFFSET(G726,1-Settings!$B$11,0,Settings!$B$11,1))*SQRT(Settings!$B$13)))</f>
        <v/>
      </c>
      <c r="K726" s="20">
        <f>IF(OR(NOT(ISNUMBER($A726)),ROW()-2&lt;Settings!$B$12),NA(),IF(COUNT(OFFSET(G726,1-Settings!$B$12,0,Settings!$B$12,1))&lt;ROUNDUP(Settings!$B$12*Settings!$B$26,0),NA(),STDEV(OFFSET(G726,1-Settings!$B$12,0,Settings!$B$12,1))*SQRT(Settings!$B$13)))</f>
        <v/>
      </c>
      <c r="L726" s="20">
        <f>IF(AND(ISNUMBER(D726),ISNUMBER(H726)),D726-H726,NA())</f>
        <v/>
      </c>
      <c r="M726" s="20">
        <f>IF(AND(ISNUMBER(E726),ISNUMBER(K726)),E726-K726,NA())</f>
        <v/>
      </c>
      <c r="N726" s="20">
        <f>IF(NOT(ISNUMBER($A726)),NA(),IF(COUNT(OFFSET(G726,1,0,Settings!$B$12,1))&lt;ROUNDUP(Settings!$B$12*Settings!$B$26,0),NA(),STDEV(OFFSET(G726,1,0,Settings!$B$12,1))*SQRT(Settings!$B$13)))</f>
        <v/>
      </c>
      <c r="O726" s="20">
        <f>IF(AND(ISNUMBER(E726),ISNUMBER(N726)),E726-N726,NA())</f>
        <v/>
      </c>
      <c r="P726" s="19">
        <f>IF(NOT(ISNUMBER($A726)),NA(),IF(OR($A726&lt;MIN(KW_TP!$A$2:$A$2501),$A726&gt;MAX(KW_TP!$A$2:$A$2501)),NA(),INDEX(KW_TP!$C$2:$C$2501,MATCH($A726,KW_TP!$A$2:$A$2501,1))))</f>
        <v/>
      </c>
      <c r="Q726" s="18">
        <f>IF(NOT(ISNUMBER($A726)),NA(),IFERROR(1*INDEX(BBG_Data!$J$2:$J$4000,MATCH($A726,BBG_Data!$I$2:$I$4000,0)),NA()))</f>
        <v/>
      </c>
      <c r="R726" s="18">
        <f>IF(NOT(ISNUMBER($A726)),NA(),IFERROR(1*INDEX(BBG_Data!$L$2:$L$4000,MATCH($A726,BBG_Data!$K$2:$K$4000,0)),NA()))</f>
        <v/>
      </c>
      <c r="S726" s="20">
        <f>IF(AND(ISNUMBER(B726),ISNUMBER(Q726),ISNUMBER(R726)),(B726-Q726-R726)*100,NA())</f>
        <v/>
      </c>
      <c r="T726" s="20">
        <f>IF(AND(ISNUMBER(B726),Settings!$B$17&gt;0),IF(ISNUMBER(INDEX($B:$B,Settings!$B$17)),(B726-INDEX($B:$B,Settings!$B$17))*100,NA()),NA())</f>
        <v/>
      </c>
      <c r="U726" s="20">
        <f>IF(AND(ISNUMBER(Q726),Settings!$B$17&gt;0),IF(ISNUMBER(INDEX($Q:$Q,Settings!$B$17)),(Q726-INDEX($Q:$Q,Settings!$B$17))*100,NA()),NA())</f>
        <v/>
      </c>
      <c r="V726" s="20">
        <f>IF(AND(ISNUMBER(R726),Settings!$B$17&gt;0),IF(ISNUMBER(INDEX($R:$R,Settings!$B$17)),(R726-INDEX($R:$R,Settings!$B$17))*100,NA()),NA())</f>
        <v/>
      </c>
      <c r="W726" s="20">
        <f>IF(AND(ISNUMBER(P726),Settings!$B$17&gt;0),IF(ISNUMBER(INDEX($P:$P,Settings!$B$17)),P726-INDEX($P:$P,Settings!$B$17),NA()),NA())</f>
        <v/>
      </c>
      <c r="X726" s="19">
        <f>IF(NOT(ISNUMBER($A726)),NA(),IF(OR($A726&lt;MIN(DKW_10Y!$A$2:$A$2918),$A726&gt;MAX(DKW_10Y!$A$2:$A$2918),Settings!$B$16&lt;MIN(DKW_10Y!$A$2:$A$2918)),NA(),(INDEX(DKW_10Y!$B$2:$B$2918,MATCH($A726,DKW_10Y!$A$2:$A$2918,1))-INDEX(DKW_10Y!$B$2:$B$2918,MATCH(Settings!$B$16,DKW_10Y!$A$2:$A$2918,1)))*100))</f>
        <v/>
      </c>
      <c r="Y726" s="19">
        <f>IF(NOT(ISNUMBER($A726)),NA(),IF(OR($A726&lt;MIN(DKW_10Y!$A$2:$A$2918),$A726&gt;MAX(DKW_10Y!$A$2:$A$2918),Settings!$B$16&lt;MIN(DKW_10Y!$A$2:$A$2918)),NA(),(INDEX(DKW_10Y!$C$2:$C$2918,MATCH($A726,DKW_10Y!$A$2:$A$2918,1))-INDEX(DKW_10Y!$C$2:$C$2918,MATCH(Settings!$B$16,DKW_10Y!$A$2:$A$2918,1)))*100))</f>
        <v/>
      </c>
      <c r="Z726" s="19">
        <f>IF(NOT(ISNUMBER($A726)),NA(),IF(OR($A726&lt;MIN(DKW_10Y!$A$2:$A$2918),$A726&gt;MAX(DKW_10Y!$A$2:$A$2918),Settings!$B$16&lt;MIN(DKW_10Y!$A$2:$A$2918)),NA(),(INDEX(DKW_10Y!$D$2:$D$2918,MATCH($A726,DKW_10Y!$A$2:$A$2918,1))-INDEX(DKW_10Y!$D$2:$D$2918,MATCH(Settings!$B$16,DKW_10Y!$A$2:$A$2918,1)))*100))</f>
        <v/>
      </c>
      <c r="AA726" s="19">
        <f>IF(NOT(ISNUMBER($A726)),NA(),IF(OR($A726&lt;MIN(DKW_10Y!$A$2:$A$2918),$A726&gt;MAX(DKW_10Y!$A$2:$A$2918),Settings!$B$16&lt;MIN(DKW_10Y!$A$2:$A$2918)),NA(),(INDEX(DKW_10Y!$E$2:$E$2918,MATCH($A726,DKW_10Y!$A$2:$A$2918,1))-INDEX(DKW_10Y!$E$2:$E$2918,MATCH(Settings!$B$16,DKW_10Y!$A$2:$A$2918,1)))*100))</f>
        <v/>
      </c>
      <c r="AB726" s="19">
        <f>IF(NOT(ISNUMBER($A726)),NA(),IF(OR($A726&lt;MIN(DKW_10Y!$A$2:$A$2918),$A726&gt;MAX(DKW_10Y!$A$2:$A$2918),Settings!$B$16&lt;MIN(DKW_10Y!$A$2:$A$2918)),NA(),(INDEX(DKW_10Y!$H$2:$H$2918,MATCH($A726,DKW_10Y!$A$2:$A$2918,1))-INDEX(DKW_10Y!$H$2:$H$2918,MATCH(Settings!$B$16,DKW_10Y!$A$2:$A$2918,1)))*100))</f>
        <v/>
      </c>
      <c r="AC726" s="18">
        <f>IF(NOT(ISNUMBER($A726)),NA(),IFERROR(1*INDEX(BBG_Data!$N$2:$N$4000,MATCH($A726,BBG_Data!$M$2:$M$4000,0)),NA()))</f>
        <v/>
      </c>
      <c r="AD726" s="18">
        <f>IF(NOT(ISNUMBER($A726)),NA(),IFERROR(1*INDEX(BBG_Data!$P$2:$P$4000,MATCH($A726,BBG_Data!$O$2:$O$4000,0)),NA()))</f>
        <v/>
      </c>
      <c r="AE726" s="18">
        <f>IF(NOT(ISNUMBER($A726)),NA(),IFERROR(1*INDEX(BBG_Data!$R$2:$R$4000,MATCH($A726,BBG_Data!$Q$2:$Q$4000,0)),NA()))</f>
        <v/>
      </c>
      <c r="AF726" s="20">
        <f>IF(AND(ISNUMBER(B726),ISNUMBER(AC726)),(B726-AC726)*100,NA())</f>
        <v/>
      </c>
      <c r="AG726" s="20">
        <f>IF(AND(ISNUMBER(AE726),ISNUMBER(AD726)),(AE726-AD726)*100,NA())</f>
        <v/>
      </c>
      <c r="AH726" s="19">
        <f>IF(NOT(ISNUMBER($A726)),NA(),IFERROR(INDEX(BBG_Data!$T$2:$T$4000,MATCH($A726,BBG_Data!$S$2:$S$4000,0))*Settings!$B$25,NA()))</f>
        <v/>
      </c>
      <c r="AI726" s="19">
        <f>IF(NOT(ISNUMBER($A726)),NA(),IFERROR(INDEX(BBG_Data!$V$2:$V$4000,MATCH($A726,BBG_Data!$U$2:$U$4000,0))*Settings!$B$25,NA()))</f>
        <v/>
      </c>
      <c r="AJ726" s="19">
        <f>IF(NOT(ISNUMBER($A726)),NA(),IFERROR(1*INDEX(BBG_Data!$X$2:$X$4000,MATCH($A726,BBG_Data!$W$2:$W$4000,0)),NA()))</f>
        <v/>
      </c>
      <c r="AK726" s="19">
        <f>IF(NOT(ISNUMBER($A726)),NA(),IFERROR(1*INDEX(BBG_Data!$Z$2:$Z$4000,MATCH($A726,BBG_Data!$Y$2:$Y$4000,0)),NA()))</f>
        <v/>
      </c>
    </row>
    <row r="727">
      <c r="A727" s="17">
        <f>IF(ISNUMBER(BBG_Data!A727),BBG_Data!A727,"")</f>
        <v/>
      </c>
      <c r="B727" s="18">
        <f>IF(AND(ISNUMBER($A727),ISNUMBER(BBG_Data!B727)),BBG_Data!B727,NA())</f>
        <v/>
      </c>
      <c r="C727" s="18">
        <f>IF(NOT(ISNUMBER($A727)),NA(),IFERROR(1*INDEX(BBG_Data!$D$2:$D$4000,MATCH($A727,BBG_Data!$C$2:$C$4000,0)),NA()))</f>
        <v/>
      </c>
      <c r="D727" s="19">
        <f>IF(NOT(ISNUMBER($A727)),NA(),IFERROR(1*INDEX(BBG_Data!$F$2:$F$4000,MATCH($A727,BBG_Data!$E$2:$E$4000,0)),NA()))</f>
        <v/>
      </c>
      <c r="E727" s="19">
        <f>IF(NOT(ISNUMBER($A727)),NA(),IFERROR(1*INDEX(BBG_Data!$H$2:$H$4000,MATCH($A727,BBG_Data!$G$2:$G$4000,0)),NA()))</f>
        <v/>
      </c>
      <c r="F727" s="20">
        <f>IF(AND(ISNUMBER(B727),ISNUMBER(B726)),IF(B727=B726,"",(B727-B726)*100),"")</f>
        <v/>
      </c>
      <c r="G727" s="20">
        <f>IF(AND(ISNUMBER(C727),ISNUMBER(C726)),IF(C727=C726,"",(C727-C726)*100),"")</f>
        <v/>
      </c>
      <c r="H727" s="20">
        <f>IF(OR(NOT(ISNUMBER($A727)),ROW()-2&lt;Settings!$B$11),NA(),IF(COUNT(OFFSET(F727,1-Settings!$B$11,0,Settings!$B$11,1))&lt;ROUNDUP(Settings!$B$11*Settings!$B$26,0),NA(),STDEV(OFFSET(F727,1-Settings!$B$11,0,Settings!$B$11,1))*SQRT(Settings!$B$13)))</f>
        <v/>
      </c>
      <c r="I727" s="20">
        <f>IF(OR(NOT(ISNUMBER($A727)),ROW()-2&lt;Settings!$B$12),NA(),IF(COUNT(OFFSET(F727,1-Settings!$B$12,0,Settings!$B$12,1))&lt;ROUNDUP(Settings!$B$12*Settings!$B$26,0),NA(),STDEV(OFFSET(F727,1-Settings!$B$12,0,Settings!$B$12,1))*SQRT(Settings!$B$13)))</f>
        <v/>
      </c>
      <c r="J727" s="20">
        <f>IF(OR(NOT(ISNUMBER($A727)),ROW()-2&lt;Settings!$B$11),NA(),IF(COUNT(OFFSET(G727,1-Settings!$B$11,0,Settings!$B$11,1))&lt;ROUNDUP(Settings!$B$11*Settings!$B$26,0),NA(),STDEV(OFFSET(G727,1-Settings!$B$11,0,Settings!$B$11,1))*SQRT(Settings!$B$13)))</f>
        <v/>
      </c>
      <c r="K727" s="20">
        <f>IF(OR(NOT(ISNUMBER($A727)),ROW()-2&lt;Settings!$B$12),NA(),IF(COUNT(OFFSET(G727,1-Settings!$B$12,0,Settings!$B$12,1))&lt;ROUNDUP(Settings!$B$12*Settings!$B$26,0),NA(),STDEV(OFFSET(G727,1-Settings!$B$12,0,Settings!$B$12,1))*SQRT(Settings!$B$13)))</f>
        <v/>
      </c>
      <c r="L727" s="20">
        <f>IF(AND(ISNUMBER(D727),ISNUMBER(H727)),D727-H727,NA())</f>
        <v/>
      </c>
      <c r="M727" s="20">
        <f>IF(AND(ISNUMBER(E727),ISNUMBER(K727)),E727-K727,NA())</f>
        <v/>
      </c>
      <c r="N727" s="20">
        <f>IF(NOT(ISNUMBER($A727)),NA(),IF(COUNT(OFFSET(G727,1,0,Settings!$B$12,1))&lt;ROUNDUP(Settings!$B$12*Settings!$B$26,0),NA(),STDEV(OFFSET(G727,1,0,Settings!$B$12,1))*SQRT(Settings!$B$13)))</f>
        <v/>
      </c>
      <c r="O727" s="20">
        <f>IF(AND(ISNUMBER(E727),ISNUMBER(N727)),E727-N727,NA())</f>
        <v/>
      </c>
      <c r="P727" s="19">
        <f>IF(NOT(ISNUMBER($A727)),NA(),IF(OR($A727&lt;MIN(KW_TP!$A$2:$A$2501),$A727&gt;MAX(KW_TP!$A$2:$A$2501)),NA(),INDEX(KW_TP!$C$2:$C$2501,MATCH($A727,KW_TP!$A$2:$A$2501,1))))</f>
        <v/>
      </c>
      <c r="Q727" s="18">
        <f>IF(NOT(ISNUMBER($A727)),NA(),IFERROR(1*INDEX(BBG_Data!$J$2:$J$4000,MATCH($A727,BBG_Data!$I$2:$I$4000,0)),NA()))</f>
        <v/>
      </c>
      <c r="R727" s="18">
        <f>IF(NOT(ISNUMBER($A727)),NA(),IFERROR(1*INDEX(BBG_Data!$L$2:$L$4000,MATCH($A727,BBG_Data!$K$2:$K$4000,0)),NA()))</f>
        <v/>
      </c>
      <c r="S727" s="20">
        <f>IF(AND(ISNUMBER(B727),ISNUMBER(Q727),ISNUMBER(R727)),(B727-Q727-R727)*100,NA())</f>
        <v/>
      </c>
      <c r="T727" s="20">
        <f>IF(AND(ISNUMBER(B727),Settings!$B$17&gt;0),IF(ISNUMBER(INDEX($B:$B,Settings!$B$17)),(B727-INDEX($B:$B,Settings!$B$17))*100,NA()),NA())</f>
        <v/>
      </c>
      <c r="U727" s="20">
        <f>IF(AND(ISNUMBER(Q727),Settings!$B$17&gt;0),IF(ISNUMBER(INDEX($Q:$Q,Settings!$B$17)),(Q727-INDEX($Q:$Q,Settings!$B$17))*100,NA()),NA())</f>
        <v/>
      </c>
      <c r="V727" s="20">
        <f>IF(AND(ISNUMBER(R727),Settings!$B$17&gt;0),IF(ISNUMBER(INDEX($R:$R,Settings!$B$17)),(R727-INDEX($R:$R,Settings!$B$17))*100,NA()),NA())</f>
        <v/>
      </c>
      <c r="W727" s="20">
        <f>IF(AND(ISNUMBER(P727),Settings!$B$17&gt;0),IF(ISNUMBER(INDEX($P:$P,Settings!$B$17)),P727-INDEX($P:$P,Settings!$B$17),NA()),NA())</f>
        <v/>
      </c>
      <c r="X727" s="19">
        <f>IF(NOT(ISNUMBER($A727)),NA(),IF(OR($A727&lt;MIN(DKW_10Y!$A$2:$A$2918),$A727&gt;MAX(DKW_10Y!$A$2:$A$2918),Settings!$B$16&lt;MIN(DKW_10Y!$A$2:$A$2918)),NA(),(INDEX(DKW_10Y!$B$2:$B$2918,MATCH($A727,DKW_10Y!$A$2:$A$2918,1))-INDEX(DKW_10Y!$B$2:$B$2918,MATCH(Settings!$B$16,DKW_10Y!$A$2:$A$2918,1)))*100))</f>
        <v/>
      </c>
      <c r="Y727" s="19">
        <f>IF(NOT(ISNUMBER($A727)),NA(),IF(OR($A727&lt;MIN(DKW_10Y!$A$2:$A$2918),$A727&gt;MAX(DKW_10Y!$A$2:$A$2918),Settings!$B$16&lt;MIN(DKW_10Y!$A$2:$A$2918)),NA(),(INDEX(DKW_10Y!$C$2:$C$2918,MATCH($A727,DKW_10Y!$A$2:$A$2918,1))-INDEX(DKW_10Y!$C$2:$C$2918,MATCH(Settings!$B$16,DKW_10Y!$A$2:$A$2918,1)))*100))</f>
        <v/>
      </c>
      <c r="Z727" s="19">
        <f>IF(NOT(ISNUMBER($A727)),NA(),IF(OR($A727&lt;MIN(DKW_10Y!$A$2:$A$2918),$A727&gt;MAX(DKW_10Y!$A$2:$A$2918),Settings!$B$16&lt;MIN(DKW_10Y!$A$2:$A$2918)),NA(),(INDEX(DKW_10Y!$D$2:$D$2918,MATCH($A727,DKW_10Y!$A$2:$A$2918,1))-INDEX(DKW_10Y!$D$2:$D$2918,MATCH(Settings!$B$16,DKW_10Y!$A$2:$A$2918,1)))*100))</f>
        <v/>
      </c>
      <c r="AA727" s="19">
        <f>IF(NOT(ISNUMBER($A727)),NA(),IF(OR($A727&lt;MIN(DKW_10Y!$A$2:$A$2918),$A727&gt;MAX(DKW_10Y!$A$2:$A$2918),Settings!$B$16&lt;MIN(DKW_10Y!$A$2:$A$2918)),NA(),(INDEX(DKW_10Y!$E$2:$E$2918,MATCH($A727,DKW_10Y!$A$2:$A$2918,1))-INDEX(DKW_10Y!$E$2:$E$2918,MATCH(Settings!$B$16,DKW_10Y!$A$2:$A$2918,1)))*100))</f>
        <v/>
      </c>
      <c r="AB727" s="19">
        <f>IF(NOT(ISNUMBER($A727)),NA(),IF(OR($A727&lt;MIN(DKW_10Y!$A$2:$A$2918),$A727&gt;MAX(DKW_10Y!$A$2:$A$2918),Settings!$B$16&lt;MIN(DKW_10Y!$A$2:$A$2918)),NA(),(INDEX(DKW_10Y!$H$2:$H$2918,MATCH($A727,DKW_10Y!$A$2:$A$2918,1))-INDEX(DKW_10Y!$H$2:$H$2918,MATCH(Settings!$B$16,DKW_10Y!$A$2:$A$2918,1)))*100))</f>
        <v/>
      </c>
      <c r="AC727" s="18">
        <f>IF(NOT(ISNUMBER($A727)),NA(),IFERROR(1*INDEX(BBG_Data!$N$2:$N$4000,MATCH($A727,BBG_Data!$M$2:$M$4000,0)),NA()))</f>
        <v/>
      </c>
      <c r="AD727" s="18">
        <f>IF(NOT(ISNUMBER($A727)),NA(),IFERROR(1*INDEX(BBG_Data!$P$2:$P$4000,MATCH($A727,BBG_Data!$O$2:$O$4000,0)),NA()))</f>
        <v/>
      </c>
      <c r="AE727" s="18">
        <f>IF(NOT(ISNUMBER($A727)),NA(),IFERROR(1*INDEX(BBG_Data!$R$2:$R$4000,MATCH($A727,BBG_Data!$Q$2:$Q$4000,0)),NA()))</f>
        <v/>
      </c>
      <c r="AF727" s="20">
        <f>IF(AND(ISNUMBER(B727),ISNUMBER(AC727)),(B727-AC727)*100,NA())</f>
        <v/>
      </c>
      <c r="AG727" s="20">
        <f>IF(AND(ISNUMBER(AE727),ISNUMBER(AD727)),(AE727-AD727)*100,NA())</f>
        <v/>
      </c>
      <c r="AH727" s="19">
        <f>IF(NOT(ISNUMBER($A727)),NA(),IFERROR(INDEX(BBG_Data!$T$2:$T$4000,MATCH($A727,BBG_Data!$S$2:$S$4000,0))*Settings!$B$25,NA()))</f>
        <v/>
      </c>
      <c r="AI727" s="19">
        <f>IF(NOT(ISNUMBER($A727)),NA(),IFERROR(INDEX(BBG_Data!$V$2:$V$4000,MATCH($A727,BBG_Data!$U$2:$U$4000,0))*Settings!$B$25,NA()))</f>
        <v/>
      </c>
      <c r="AJ727" s="19">
        <f>IF(NOT(ISNUMBER($A727)),NA(),IFERROR(1*INDEX(BBG_Data!$X$2:$X$4000,MATCH($A727,BBG_Data!$W$2:$W$4000,0)),NA()))</f>
        <v/>
      </c>
      <c r="AK727" s="19">
        <f>IF(NOT(ISNUMBER($A727)),NA(),IFERROR(1*INDEX(BBG_Data!$Z$2:$Z$4000,MATCH($A727,BBG_Data!$Y$2:$Y$4000,0)),NA()))</f>
        <v/>
      </c>
    </row>
    <row r="728">
      <c r="A728" s="17">
        <f>IF(ISNUMBER(BBG_Data!A728),BBG_Data!A728,"")</f>
        <v/>
      </c>
      <c r="B728" s="18">
        <f>IF(AND(ISNUMBER($A728),ISNUMBER(BBG_Data!B728)),BBG_Data!B728,NA())</f>
        <v/>
      </c>
      <c r="C728" s="18">
        <f>IF(NOT(ISNUMBER($A728)),NA(),IFERROR(1*INDEX(BBG_Data!$D$2:$D$4000,MATCH($A728,BBG_Data!$C$2:$C$4000,0)),NA()))</f>
        <v/>
      </c>
      <c r="D728" s="19">
        <f>IF(NOT(ISNUMBER($A728)),NA(),IFERROR(1*INDEX(BBG_Data!$F$2:$F$4000,MATCH($A728,BBG_Data!$E$2:$E$4000,0)),NA()))</f>
        <v/>
      </c>
      <c r="E728" s="19">
        <f>IF(NOT(ISNUMBER($A728)),NA(),IFERROR(1*INDEX(BBG_Data!$H$2:$H$4000,MATCH($A728,BBG_Data!$G$2:$G$4000,0)),NA()))</f>
        <v/>
      </c>
      <c r="F728" s="20">
        <f>IF(AND(ISNUMBER(B728),ISNUMBER(B727)),IF(B728=B727,"",(B728-B727)*100),"")</f>
        <v/>
      </c>
      <c r="G728" s="20">
        <f>IF(AND(ISNUMBER(C728),ISNUMBER(C727)),IF(C728=C727,"",(C728-C727)*100),"")</f>
        <v/>
      </c>
      <c r="H728" s="20">
        <f>IF(OR(NOT(ISNUMBER($A728)),ROW()-2&lt;Settings!$B$11),NA(),IF(COUNT(OFFSET(F728,1-Settings!$B$11,0,Settings!$B$11,1))&lt;ROUNDUP(Settings!$B$11*Settings!$B$26,0),NA(),STDEV(OFFSET(F728,1-Settings!$B$11,0,Settings!$B$11,1))*SQRT(Settings!$B$13)))</f>
        <v/>
      </c>
      <c r="I728" s="20">
        <f>IF(OR(NOT(ISNUMBER($A728)),ROW()-2&lt;Settings!$B$12),NA(),IF(COUNT(OFFSET(F728,1-Settings!$B$12,0,Settings!$B$12,1))&lt;ROUNDUP(Settings!$B$12*Settings!$B$26,0),NA(),STDEV(OFFSET(F728,1-Settings!$B$12,0,Settings!$B$12,1))*SQRT(Settings!$B$13)))</f>
        <v/>
      </c>
      <c r="J728" s="20">
        <f>IF(OR(NOT(ISNUMBER($A728)),ROW()-2&lt;Settings!$B$11),NA(),IF(COUNT(OFFSET(G728,1-Settings!$B$11,0,Settings!$B$11,1))&lt;ROUNDUP(Settings!$B$11*Settings!$B$26,0),NA(),STDEV(OFFSET(G728,1-Settings!$B$11,0,Settings!$B$11,1))*SQRT(Settings!$B$13)))</f>
        <v/>
      </c>
      <c r="K728" s="20">
        <f>IF(OR(NOT(ISNUMBER($A728)),ROW()-2&lt;Settings!$B$12),NA(),IF(COUNT(OFFSET(G728,1-Settings!$B$12,0,Settings!$B$12,1))&lt;ROUNDUP(Settings!$B$12*Settings!$B$26,0),NA(),STDEV(OFFSET(G728,1-Settings!$B$12,0,Settings!$B$12,1))*SQRT(Settings!$B$13)))</f>
        <v/>
      </c>
      <c r="L728" s="20">
        <f>IF(AND(ISNUMBER(D728),ISNUMBER(H728)),D728-H728,NA())</f>
        <v/>
      </c>
      <c r="M728" s="20">
        <f>IF(AND(ISNUMBER(E728),ISNUMBER(K728)),E728-K728,NA())</f>
        <v/>
      </c>
      <c r="N728" s="20">
        <f>IF(NOT(ISNUMBER($A728)),NA(),IF(COUNT(OFFSET(G728,1,0,Settings!$B$12,1))&lt;ROUNDUP(Settings!$B$12*Settings!$B$26,0),NA(),STDEV(OFFSET(G728,1,0,Settings!$B$12,1))*SQRT(Settings!$B$13)))</f>
        <v/>
      </c>
      <c r="O728" s="20">
        <f>IF(AND(ISNUMBER(E728),ISNUMBER(N728)),E728-N728,NA())</f>
        <v/>
      </c>
      <c r="P728" s="19">
        <f>IF(NOT(ISNUMBER($A728)),NA(),IF(OR($A728&lt;MIN(KW_TP!$A$2:$A$2501),$A728&gt;MAX(KW_TP!$A$2:$A$2501)),NA(),INDEX(KW_TP!$C$2:$C$2501,MATCH($A728,KW_TP!$A$2:$A$2501,1))))</f>
        <v/>
      </c>
      <c r="Q728" s="18">
        <f>IF(NOT(ISNUMBER($A728)),NA(),IFERROR(1*INDEX(BBG_Data!$J$2:$J$4000,MATCH($A728,BBG_Data!$I$2:$I$4000,0)),NA()))</f>
        <v/>
      </c>
      <c r="R728" s="18">
        <f>IF(NOT(ISNUMBER($A728)),NA(),IFERROR(1*INDEX(BBG_Data!$L$2:$L$4000,MATCH($A728,BBG_Data!$K$2:$K$4000,0)),NA()))</f>
        <v/>
      </c>
      <c r="S728" s="20">
        <f>IF(AND(ISNUMBER(B728),ISNUMBER(Q728),ISNUMBER(R728)),(B728-Q728-R728)*100,NA())</f>
        <v/>
      </c>
      <c r="T728" s="20">
        <f>IF(AND(ISNUMBER(B728),Settings!$B$17&gt;0),IF(ISNUMBER(INDEX($B:$B,Settings!$B$17)),(B728-INDEX($B:$B,Settings!$B$17))*100,NA()),NA())</f>
        <v/>
      </c>
      <c r="U728" s="20">
        <f>IF(AND(ISNUMBER(Q728),Settings!$B$17&gt;0),IF(ISNUMBER(INDEX($Q:$Q,Settings!$B$17)),(Q728-INDEX($Q:$Q,Settings!$B$17))*100,NA()),NA())</f>
        <v/>
      </c>
      <c r="V728" s="20">
        <f>IF(AND(ISNUMBER(R728),Settings!$B$17&gt;0),IF(ISNUMBER(INDEX($R:$R,Settings!$B$17)),(R728-INDEX($R:$R,Settings!$B$17))*100,NA()),NA())</f>
        <v/>
      </c>
      <c r="W728" s="20">
        <f>IF(AND(ISNUMBER(P728),Settings!$B$17&gt;0),IF(ISNUMBER(INDEX($P:$P,Settings!$B$17)),P728-INDEX($P:$P,Settings!$B$17),NA()),NA())</f>
        <v/>
      </c>
      <c r="X728" s="19">
        <f>IF(NOT(ISNUMBER($A728)),NA(),IF(OR($A728&lt;MIN(DKW_10Y!$A$2:$A$2918),$A728&gt;MAX(DKW_10Y!$A$2:$A$2918),Settings!$B$16&lt;MIN(DKW_10Y!$A$2:$A$2918)),NA(),(INDEX(DKW_10Y!$B$2:$B$2918,MATCH($A728,DKW_10Y!$A$2:$A$2918,1))-INDEX(DKW_10Y!$B$2:$B$2918,MATCH(Settings!$B$16,DKW_10Y!$A$2:$A$2918,1)))*100))</f>
        <v/>
      </c>
      <c r="Y728" s="19">
        <f>IF(NOT(ISNUMBER($A728)),NA(),IF(OR($A728&lt;MIN(DKW_10Y!$A$2:$A$2918),$A728&gt;MAX(DKW_10Y!$A$2:$A$2918),Settings!$B$16&lt;MIN(DKW_10Y!$A$2:$A$2918)),NA(),(INDEX(DKW_10Y!$C$2:$C$2918,MATCH($A728,DKW_10Y!$A$2:$A$2918,1))-INDEX(DKW_10Y!$C$2:$C$2918,MATCH(Settings!$B$16,DKW_10Y!$A$2:$A$2918,1)))*100))</f>
        <v/>
      </c>
      <c r="Z728" s="19">
        <f>IF(NOT(ISNUMBER($A728)),NA(),IF(OR($A728&lt;MIN(DKW_10Y!$A$2:$A$2918),$A728&gt;MAX(DKW_10Y!$A$2:$A$2918),Settings!$B$16&lt;MIN(DKW_10Y!$A$2:$A$2918)),NA(),(INDEX(DKW_10Y!$D$2:$D$2918,MATCH($A728,DKW_10Y!$A$2:$A$2918,1))-INDEX(DKW_10Y!$D$2:$D$2918,MATCH(Settings!$B$16,DKW_10Y!$A$2:$A$2918,1)))*100))</f>
        <v/>
      </c>
      <c r="AA728" s="19">
        <f>IF(NOT(ISNUMBER($A728)),NA(),IF(OR($A728&lt;MIN(DKW_10Y!$A$2:$A$2918),$A728&gt;MAX(DKW_10Y!$A$2:$A$2918),Settings!$B$16&lt;MIN(DKW_10Y!$A$2:$A$2918)),NA(),(INDEX(DKW_10Y!$E$2:$E$2918,MATCH($A728,DKW_10Y!$A$2:$A$2918,1))-INDEX(DKW_10Y!$E$2:$E$2918,MATCH(Settings!$B$16,DKW_10Y!$A$2:$A$2918,1)))*100))</f>
        <v/>
      </c>
      <c r="AB728" s="19">
        <f>IF(NOT(ISNUMBER($A728)),NA(),IF(OR($A728&lt;MIN(DKW_10Y!$A$2:$A$2918),$A728&gt;MAX(DKW_10Y!$A$2:$A$2918),Settings!$B$16&lt;MIN(DKW_10Y!$A$2:$A$2918)),NA(),(INDEX(DKW_10Y!$H$2:$H$2918,MATCH($A728,DKW_10Y!$A$2:$A$2918,1))-INDEX(DKW_10Y!$H$2:$H$2918,MATCH(Settings!$B$16,DKW_10Y!$A$2:$A$2918,1)))*100))</f>
        <v/>
      </c>
      <c r="AC728" s="18">
        <f>IF(NOT(ISNUMBER($A728)),NA(),IFERROR(1*INDEX(BBG_Data!$N$2:$N$4000,MATCH($A728,BBG_Data!$M$2:$M$4000,0)),NA()))</f>
        <v/>
      </c>
      <c r="AD728" s="18">
        <f>IF(NOT(ISNUMBER($A728)),NA(),IFERROR(1*INDEX(BBG_Data!$P$2:$P$4000,MATCH($A728,BBG_Data!$O$2:$O$4000,0)),NA()))</f>
        <v/>
      </c>
      <c r="AE728" s="18">
        <f>IF(NOT(ISNUMBER($A728)),NA(),IFERROR(1*INDEX(BBG_Data!$R$2:$R$4000,MATCH($A728,BBG_Data!$Q$2:$Q$4000,0)),NA()))</f>
        <v/>
      </c>
      <c r="AF728" s="20">
        <f>IF(AND(ISNUMBER(B728),ISNUMBER(AC728)),(B728-AC728)*100,NA())</f>
        <v/>
      </c>
      <c r="AG728" s="20">
        <f>IF(AND(ISNUMBER(AE728),ISNUMBER(AD728)),(AE728-AD728)*100,NA())</f>
        <v/>
      </c>
      <c r="AH728" s="19">
        <f>IF(NOT(ISNUMBER($A728)),NA(),IFERROR(INDEX(BBG_Data!$T$2:$T$4000,MATCH($A728,BBG_Data!$S$2:$S$4000,0))*Settings!$B$25,NA()))</f>
        <v/>
      </c>
      <c r="AI728" s="19">
        <f>IF(NOT(ISNUMBER($A728)),NA(),IFERROR(INDEX(BBG_Data!$V$2:$V$4000,MATCH($A728,BBG_Data!$U$2:$U$4000,0))*Settings!$B$25,NA()))</f>
        <v/>
      </c>
      <c r="AJ728" s="19">
        <f>IF(NOT(ISNUMBER($A728)),NA(),IFERROR(1*INDEX(BBG_Data!$X$2:$X$4000,MATCH($A728,BBG_Data!$W$2:$W$4000,0)),NA()))</f>
        <v/>
      </c>
      <c r="AK728" s="19">
        <f>IF(NOT(ISNUMBER($A728)),NA(),IFERROR(1*INDEX(BBG_Data!$Z$2:$Z$4000,MATCH($A728,BBG_Data!$Y$2:$Y$4000,0)),NA()))</f>
        <v/>
      </c>
    </row>
    <row r="729">
      <c r="A729" s="17">
        <f>IF(ISNUMBER(BBG_Data!A729),BBG_Data!A729,"")</f>
        <v/>
      </c>
      <c r="B729" s="18">
        <f>IF(AND(ISNUMBER($A729),ISNUMBER(BBG_Data!B729)),BBG_Data!B729,NA())</f>
        <v/>
      </c>
      <c r="C729" s="18">
        <f>IF(NOT(ISNUMBER($A729)),NA(),IFERROR(1*INDEX(BBG_Data!$D$2:$D$4000,MATCH($A729,BBG_Data!$C$2:$C$4000,0)),NA()))</f>
        <v/>
      </c>
      <c r="D729" s="19">
        <f>IF(NOT(ISNUMBER($A729)),NA(),IFERROR(1*INDEX(BBG_Data!$F$2:$F$4000,MATCH($A729,BBG_Data!$E$2:$E$4000,0)),NA()))</f>
        <v/>
      </c>
      <c r="E729" s="19">
        <f>IF(NOT(ISNUMBER($A729)),NA(),IFERROR(1*INDEX(BBG_Data!$H$2:$H$4000,MATCH($A729,BBG_Data!$G$2:$G$4000,0)),NA()))</f>
        <v/>
      </c>
      <c r="F729" s="20">
        <f>IF(AND(ISNUMBER(B729),ISNUMBER(B728)),IF(B729=B728,"",(B729-B728)*100),"")</f>
        <v/>
      </c>
      <c r="G729" s="20">
        <f>IF(AND(ISNUMBER(C729),ISNUMBER(C728)),IF(C729=C728,"",(C729-C728)*100),"")</f>
        <v/>
      </c>
      <c r="H729" s="20">
        <f>IF(OR(NOT(ISNUMBER($A729)),ROW()-2&lt;Settings!$B$11),NA(),IF(COUNT(OFFSET(F729,1-Settings!$B$11,0,Settings!$B$11,1))&lt;ROUNDUP(Settings!$B$11*Settings!$B$26,0),NA(),STDEV(OFFSET(F729,1-Settings!$B$11,0,Settings!$B$11,1))*SQRT(Settings!$B$13)))</f>
        <v/>
      </c>
      <c r="I729" s="20">
        <f>IF(OR(NOT(ISNUMBER($A729)),ROW()-2&lt;Settings!$B$12),NA(),IF(COUNT(OFFSET(F729,1-Settings!$B$12,0,Settings!$B$12,1))&lt;ROUNDUP(Settings!$B$12*Settings!$B$26,0),NA(),STDEV(OFFSET(F729,1-Settings!$B$12,0,Settings!$B$12,1))*SQRT(Settings!$B$13)))</f>
        <v/>
      </c>
      <c r="J729" s="20">
        <f>IF(OR(NOT(ISNUMBER($A729)),ROW()-2&lt;Settings!$B$11),NA(),IF(COUNT(OFFSET(G729,1-Settings!$B$11,0,Settings!$B$11,1))&lt;ROUNDUP(Settings!$B$11*Settings!$B$26,0),NA(),STDEV(OFFSET(G729,1-Settings!$B$11,0,Settings!$B$11,1))*SQRT(Settings!$B$13)))</f>
        <v/>
      </c>
      <c r="K729" s="20">
        <f>IF(OR(NOT(ISNUMBER($A729)),ROW()-2&lt;Settings!$B$12),NA(),IF(COUNT(OFFSET(G729,1-Settings!$B$12,0,Settings!$B$12,1))&lt;ROUNDUP(Settings!$B$12*Settings!$B$26,0),NA(),STDEV(OFFSET(G729,1-Settings!$B$12,0,Settings!$B$12,1))*SQRT(Settings!$B$13)))</f>
        <v/>
      </c>
      <c r="L729" s="20">
        <f>IF(AND(ISNUMBER(D729),ISNUMBER(H729)),D729-H729,NA())</f>
        <v/>
      </c>
      <c r="M729" s="20">
        <f>IF(AND(ISNUMBER(E729),ISNUMBER(K729)),E729-K729,NA())</f>
        <v/>
      </c>
      <c r="N729" s="20">
        <f>IF(NOT(ISNUMBER($A729)),NA(),IF(COUNT(OFFSET(G729,1,0,Settings!$B$12,1))&lt;ROUNDUP(Settings!$B$12*Settings!$B$26,0),NA(),STDEV(OFFSET(G729,1,0,Settings!$B$12,1))*SQRT(Settings!$B$13)))</f>
        <v/>
      </c>
      <c r="O729" s="20">
        <f>IF(AND(ISNUMBER(E729),ISNUMBER(N729)),E729-N729,NA())</f>
        <v/>
      </c>
      <c r="P729" s="19">
        <f>IF(NOT(ISNUMBER($A729)),NA(),IF(OR($A729&lt;MIN(KW_TP!$A$2:$A$2501),$A729&gt;MAX(KW_TP!$A$2:$A$2501)),NA(),INDEX(KW_TP!$C$2:$C$2501,MATCH($A729,KW_TP!$A$2:$A$2501,1))))</f>
        <v/>
      </c>
      <c r="Q729" s="18">
        <f>IF(NOT(ISNUMBER($A729)),NA(),IFERROR(1*INDEX(BBG_Data!$J$2:$J$4000,MATCH($A729,BBG_Data!$I$2:$I$4000,0)),NA()))</f>
        <v/>
      </c>
      <c r="R729" s="18">
        <f>IF(NOT(ISNUMBER($A729)),NA(),IFERROR(1*INDEX(BBG_Data!$L$2:$L$4000,MATCH($A729,BBG_Data!$K$2:$K$4000,0)),NA()))</f>
        <v/>
      </c>
      <c r="S729" s="20">
        <f>IF(AND(ISNUMBER(B729),ISNUMBER(Q729),ISNUMBER(R729)),(B729-Q729-R729)*100,NA())</f>
        <v/>
      </c>
      <c r="T729" s="20">
        <f>IF(AND(ISNUMBER(B729),Settings!$B$17&gt;0),IF(ISNUMBER(INDEX($B:$B,Settings!$B$17)),(B729-INDEX($B:$B,Settings!$B$17))*100,NA()),NA())</f>
        <v/>
      </c>
      <c r="U729" s="20">
        <f>IF(AND(ISNUMBER(Q729),Settings!$B$17&gt;0),IF(ISNUMBER(INDEX($Q:$Q,Settings!$B$17)),(Q729-INDEX($Q:$Q,Settings!$B$17))*100,NA()),NA())</f>
        <v/>
      </c>
      <c r="V729" s="20">
        <f>IF(AND(ISNUMBER(R729),Settings!$B$17&gt;0),IF(ISNUMBER(INDEX($R:$R,Settings!$B$17)),(R729-INDEX($R:$R,Settings!$B$17))*100,NA()),NA())</f>
        <v/>
      </c>
      <c r="W729" s="20">
        <f>IF(AND(ISNUMBER(P729),Settings!$B$17&gt;0),IF(ISNUMBER(INDEX($P:$P,Settings!$B$17)),P729-INDEX($P:$P,Settings!$B$17),NA()),NA())</f>
        <v/>
      </c>
      <c r="X729" s="19">
        <f>IF(NOT(ISNUMBER($A729)),NA(),IF(OR($A729&lt;MIN(DKW_10Y!$A$2:$A$2918),$A729&gt;MAX(DKW_10Y!$A$2:$A$2918),Settings!$B$16&lt;MIN(DKW_10Y!$A$2:$A$2918)),NA(),(INDEX(DKW_10Y!$B$2:$B$2918,MATCH($A729,DKW_10Y!$A$2:$A$2918,1))-INDEX(DKW_10Y!$B$2:$B$2918,MATCH(Settings!$B$16,DKW_10Y!$A$2:$A$2918,1)))*100))</f>
        <v/>
      </c>
      <c r="Y729" s="19">
        <f>IF(NOT(ISNUMBER($A729)),NA(),IF(OR($A729&lt;MIN(DKW_10Y!$A$2:$A$2918),$A729&gt;MAX(DKW_10Y!$A$2:$A$2918),Settings!$B$16&lt;MIN(DKW_10Y!$A$2:$A$2918)),NA(),(INDEX(DKW_10Y!$C$2:$C$2918,MATCH($A729,DKW_10Y!$A$2:$A$2918,1))-INDEX(DKW_10Y!$C$2:$C$2918,MATCH(Settings!$B$16,DKW_10Y!$A$2:$A$2918,1)))*100))</f>
        <v/>
      </c>
      <c r="Z729" s="19">
        <f>IF(NOT(ISNUMBER($A729)),NA(),IF(OR($A729&lt;MIN(DKW_10Y!$A$2:$A$2918),$A729&gt;MAX(DKW_10Y!$A$2:$A$2918),Settings!$B$16&lt;MIN(DKW_10Y!$A$2:$A$2918)),NA(),(INDEX(DKW_10Y!$D$2:$D$2918,MATCH($A729,DKW_10Y!$A$2:$A$2918,1))-INDEX(DKW_10Y!$D$2:$D$2918,MATCH(Settings!$B$16,DKW_10Y!$A$2:$A$2918,1)))*100))</f>
        <v/>
      </c>
      <c r="AA729" s="19">
        <f>IF(NOT(ISNUMBER($A729)),NA(),IF(OR($A729&lt;MIN(DKW_10Y!$A$2:$A$2918),$A729&gt;MAX(DKW_10Y!$A$2:$A$2918),Settings!$B$16&lt;MIN(DKW_10Y!$A$2:$A$2918)),NA(),(INDEX(DKW_10Y!$E$2:$E$2918,MATCH($A729,DKW_10Y!$A$2:$A$2918,1))-INDEX(DKW_10Y!$E$2:$E$2918,MATCH(Settings!$B$16,DKW_10Y!$A$2:$A$2918,1)))*100))</f>
        <v/>
      </c>
      <c r="AB729" s="19">
        <f>IF(NOT(ISNUMBER($A729)),NA(),IF(OR($A729&lt;MIN(DKW_10Y!$A$2:$A$2918),$A729&gt;MAX(DKW_10Y!$A$2:$A$2918),Settings!$B$16&lt;MIN(DKW_10Y!$A$2:$A$2918)),NA(),(INDEX(DKW_10Y!$H$2:$H$2918,MATCH($A729,DKW_10Y!$A$2:$A$2918,1))-INDEX(DKW_10Y!$H$2:$H$2918,MATCH(Settings!$B$16,DKW_10Y!$A$2:$A$2918,1)))*100))</f>
        <v/>
      </c>
      <c r="AC729" s="18">
        <f>IF(NOT(ISNUMBER($A729)),NA(),IFERROR(1*INDEX(BBG_Data!$N$2:$N$4000,MATCH($A729,BBG_Data!$M$2:$M$4000,0)),NA()))</f>
        <v/>
      </c>
      <c r="AD729" s="18">
        <f>IF(NOT(ISNUMBER($A729)),NA(),IFERROR(1*INDEX(BBG_Data!$P$2:$P$4000,MATCH($A729,BBG_Data!$O$2:$O$4000,0)),NA()))</f>
        <v/>
      </c>
      <c r="AE729" s="18">
        <f>IF(NOT(ISNUMBER($A729)),NA(),IFERROR(1*INDEX(BBG_Data!$R$2:$R$4000,MATCH($A729,BBG_Data!$Q$2:$Q$4000,0)),NA()))</f>
        <v/>
      </c>
      <c r="AF729" s="20">
        <f>IF(AND(ISNUMBER(B729),ISNUMBER(AC729)),(B729-AC729)*100,NA())</f>
        <v/>
      </c>
      <c r="AG729" s="20">
        <f>IF(AND(ISNUMBER(AE729),ISNUMBER(AD729)),(AE729-AD729)*100,NA())</f>
        <v/>
      </c>
      <c r="AH729" s="19">
        <f>IF(NOT(ISNUMBER($A729)),NA(),IFERROR(INDEX(BBG_Data!$T$2:$T$4000,MATCH($A729,BBG_Data!$S$2:$S$4000,0))*Settings!$B$25,NA()))</f>
        <v/>
      </c>
      <c r="AI729" s="19">
        <f>IF(NOT(ISNUMBER($A729)),NA(),IFERROR(INDEX(BBG_Data!$V$2:$V$4000,MATCH($A729,BBG_Data!$U$2:$U$4000,0))*Settings!$B$25,NA()))</f>
        <v/>
      </c>
      <c r="AJ729" s="19">
        <f>IF(NOT(ISNUMBER($A729)),NA(),IFERROR(1*INDEX(BBG_Data!$X$2:$X$4000,MATCH($A729,BBG_Data!$W$2:$W$4000,0)),NA()))</f>
        <v/>
      </c>
      <c r="AK729" s="19">
        <f>IF(NOT(ISNUMBER($A729)),NA(),IFERROR(1*INDEX(BBG_Data!$Z$2:$Z$4000,MATCH($A729,BBG_Data!$Y$2:$Y$4000,0)),NA()))</f>
        <v/>
      </c>
    </row>
    <row r="730">
      <c r="A730" s="17">
        <f>IF(ISNUMBER(BBG_Data!A730),BBG_Data!A730,"")</f>
        <v/>
      </c>
      <c r="B730" s="18">
        <f>IF(AND(ISNUMBER($A730),ISNUMBER(BBG_Data!B730)),BBG_Data!B730,NA())</f>
        <v/>
      </c>
      <c r="C730" s="18">
        <f>IF(NOT(ISNUMBER($A730)),NA(),IFERROR(1*INDEX(BBG_Data!$D$2:$D$4000,MATCH($A730,BBG_Data!$C$2:$C$4000,0)),NA()))</f>
        <v/>
      </c>
      <c r="D730" s="19">
        <f>IF(NOT(ISNUMBER($A730)),NA(),IFERROR(1*INDEX(BBG_Data!$F$2:$F$4000,MATCH($A730,BBG_Data!$E$2:$E$4000,0)),NA()))</f>
        <v/>
      </c>
      <c r="E730" s="19">
        <f>IF(NOT(ISNUMBER($A730)),NA(),IFERROR(1*INDEX(BBG_Data!$H$2:$H$4000,MATCH($A730,BBG_Data!$G$2:$G$4000,0)),NA()))</f>
        <v/>
      </c>
      <c r="F730" s="20">
        <f>IF(AND(ISNUMBER(B730),ISNUMBER(B729)),IF(B730=B729,"",(B730-B729)*100),"")</f>
        <v/>
      </c>
      <c r="G730" s="20">
        <f>IF(AND(ISNUMBER(C730),ISNUMBER(C729)),IF(C730=C729,"",(C730-C729)*100),"")</f>
        <v/>
      </c>
      <c r="H730" s="20">
        <f>IF(OR(NOT(ISNUMBER($A730)),ROW()-2&lt;Settings!$B$11),NA(),IF(COUNT(OFFSET(F730,1-Settings!$B$11,0,Settings!$B$11,1))&lt;ROUNDUP(Settings!$B$11*Settings!$B$26,0),NA(),STDEV(OFFSET(F730,1-Settings!$B$11,0,Settings!$B$11,1))*SQRT(Settings!$B$13)))</f>
        <v/>
      </c>
      <c r="I730" s="20">
        <f>IF(OR(NOT(ISNUMBER($A730)),ROW()-2&lt;Settings!$B$12),NA(),IF(COUNT(OFFSET(F730,1-Settings!$B$12,0,Settings!$B$12,1))&lt;ROUNDUP(Settings!$B$12*Settings!$B$26,0),NA(),STDEV(OFFSET(F730,1-Settings!$B$12,0,Settings!$B$12,1))*SQRT(Settings!$B$13)))</f>
        <v/>
      </c>
      <c r="J730" s="20">
        <f>IF(OR(NOT(ISNUMBER($A730)),ROW()-2&lt;Settings!$B$11),NA(),IF(COUNT(OFFSET(G730,1-Settings!$B$11,0,Settings!$B$11,1))&lt;ROUNDUP(Settings!$B$11*Settings!$B$26,0),NA(),STDEV(OFFSET(G730,1-Settings!$B$11,0,Settings!$B$11,1))*SQRT(Settings!$B$13)))</f>
        <v/>
      </c>
      <c r="K730" s="20">
        <f>IF(OR(NOT(ISNUMBER($A730)),ROW()-2&lt;Settings!$B$12),NA(),IF(COUNT(OFFSET(G730,1-Settings!$B$12,0,Settings!$B$12,1))&lt;ROUNDUP(Settings!$B$12*Settings!$B$26,0),NA(),STDEV(OFFSET(G730,1-Settings!$B$12,0,Settings!$B$12,1))*SQRT(Settings!$B$13)))</f>
        <v/>
      </c>
      <c r="L730" s="20">
        <f>IF(AND(ISNUMBER(D730),ISNUMBER(H730)),D730-H730,NA())</f>
        <v/>
      </c>
      <c r="M730" s="20">
        <f>IF(AND(ISNUMBER(E730),ISNUMBER(K730)),E730-K730,NA())</f>
        <v/>
      </c>
      <c r="N730" s="20">
        <f>IF(NOT(ISNUMBER($A730)),NA(),IF(COUNT(OFFSET(G730,1,0,Settings!$B$12,1))&lt;ROUNDUP(Settings!$B$12*Settings!$B$26,0),NA(),STDEV(OFFSET(G730,1,0,Settings!$B$12,1))*SQRT(Settings!$B$13)))</f>
        <v/>
      </c>
      <c r="O730" s="20">
        <f>IF(AND(ISNUMBER(E730),ISNUMBER(N730)),E730-N730,NA())</f>
        <v/>
      </c>
      <c r="P730" s="19">
        <f>IF(NOT(ISNUMBER($A730)),NA(),IF(OR($A730&lt;MIN(KW_TP!$A$2:$A$2501),$A730&gt;MAX(KW_TP!$A$2:$A$2501)),NA(),INDEX(KW_TP!$C$2:$C$2501,MATCH($A730,KW_TP!$A$2:$A$2501,1))))</f>
        <v/>
      </c>
      <c r="Q730" s="18">
        <f>IF(NOT(ISNUMBER($A730)),NA(),IFERROR(1*INDEX(BBG_Data!$J$2:$J$4000,MATCH($A730,BBG_Data!$I$2:$I$4000,0)),NA()))</f>
        <v/>
      </c>
      <c r="R730" s="18">
        <f>IF(NOT(ISNUMBER($A730)),NA(),IFERROR(1*INDEX(BBG_Data!$L$2:$L$4000,MATCH($A730,BBG_Data!$K$2:$K$4000,0)),NA()))</f>
        <v/>
      </c>
      <c r="S730" s="20">
        <f>IF(AND(ISNUMBER(B730),ISNUMBER(Q730),ISNUMBER(R730)),(B730-Q730-R730)*100,NA())</f>
        <v/>
      </c>
      <c r="T730" s="20">
        <f>IF(AND(ISNUMBER(B730),Settings!$B$17&gt;0),IF(ISNUMBER(INDEX($B:$B,Settings!$B$17)),(B730-INDEX($B:$B,Settings!$B$17))*100,NA()),NA())</f>
        <v/>
      </c>
      <c r="U730" s="20">
        <f>IF(AND(ISNUMBER(Q730),Settings!$B$17&gt;0),IF(ISNUMBER(INDEX($Q:$Q,Settings!$B$17)),(Q730-INDEX($Q:$Q,Settings!$B$17))*100,NA()),NA())</f>
        <v/>
      </c>
      <c r="V730" s="20">
        <f>IF(AND(ISNUMBER(R730),Settings!$B$17&gt;0),IF(ISNUMBER(INDEX($R:$R,Settings!$B$17)),(R730-INDEX($R:$R,Settings!$B$17))*100,NA()),NA())</f>
        <v/>
      </c>
      <c r="W730" s="20">
        <f>IF(AND(ISNUMBER(P730),Settings!$B$17&gt;0),IF(ISNUMBER(INDEX($P:$P,Settings!$B$17)),P730-INDEX($P:$P,Settings!$B$17),NA()),NA())</f>
        <v/>
      </c>
      <c r="X730" s="19">
        <f>IF(NOT(ISNUMBER($A730)),NA(),IF(OR($A730&lt;MIN(DKW_10Y!$A$2:$A$2918),$A730&gt;MAX(DKW_10Y!$A$2:$A$2918),Settings!$B$16&lt;MIN(DKW_10Y!$A$2:$A$2918)),NA(),(INDEX(DKW_10Y!$B$2:$B$2918,MATCH($A730,DKW_10Y!$A$2:$A$2918,1))-INDEX(DKW_10Y!$B$2:$B$2918,MATCH(Settings!$B$16,DKW_10Y!$A$2:$A$2918,1)))*100))</f>
        <v/>
      </c>
      <c r="Y730" s="19">
        <f>IF(NOT(ISNUMBER($A730)),NA(),IF(OR($A730&lt;MIN(DKW_10Y!$A$2:$A$2918),$A730&gt;MAX(DKW_10Y!$A$2:$A$2918),Settings!$B$16&lt;MIN(DKW_10Y!$A$2:$A$2918)),NA(),(INDEX(DKW_10Y!$C$2:$C$2918,MATCH($A730,DKW_10Y!$A$2:$A$2918,1))-INDEX(DKW_10Y!$C$2:$C$2918,MATCH(Settings!$B$16,DKW_10Y!$A$2:$A$2918,1)))*100))</f>
        <v/>
      </c>
      <c r="Z730" s="19">
        <f>IF(NOT(ISNUMBER($A730)),NA(),IF(OR($A730&lt;MIN(DKW_10Y!$A$2:$A$2918),$A730&gt;MAX(DKW_10Y!$A$2:$A$2918),Settings!$B$16&lt;MIN(DKW_10Y!$A$2:$A$2918)),NA(),(INDEX(DKW_10Y!$D$2:$D$2918,MATCH($A730,DKW_10Y!$A$2:$A$2918,1))-INDEX(DKW_10Y!$D$2:$D$2918,MATCH(Settings!$B$16,DKW_10Y!$A$2:$A$2918,1)))*100))</f>
        <v/>
      </c>
      <c r="AA730" s="19">
        <f>IF(NOT(ISNUMBER($A730)),NA(),IF(OR($A730&lt;MIN(DKW_10Y!$A$2:$A$2918),$A730&gt;MAX(DKW_10Y!$A$2:$A$2918),Settings!$B$16&lt;MIN(DKW_10Y!$A$2:$A$2918)),NA(),(INDEX(DKW_10Y!$E$2:$E$2918,MATCH($A730,DKW_10Y!$A$2:$A$2918,1))-INDEX(DKW_10Y!$E$2:$E$2918,MATCH(Settings!$B$16,DKW_10Y!$A$2:$A$2918,1)))*100))</f>
        <v/>
      </c>
      <c r="AB730" s="19">
        <f>IF(NOT(ISNUMBER($A730)),NA(),IF(OR($A730&lt;MIN(DKW_10Y!$A$2:$A$2918),$A730&gt;MAX(DKW_10Y!$A$2:$A$2918),Settings!$B$16&lt;MIN(DKW_10Y!$A$2:$A$2918)),NA(),(INDEX(DKW_10Y!$H$2:$H$2918,MATCH($A730,DKW_10Y!$A$2:$A$2918,1))-INDEX(DKW_10Y!$H$2:$H$2918,MATCH(Settings!$B$16,DKW_10Y!$A$2:$A$2918,1)))*100))</f>
        <v/>
      </c>
      <c r="AC730" s="18">
        <f>IF(NOT(ISNUMBER($A730)),NA(),IFERROR(1*INDEX(BBG_Data!$N$2:$N$4000,MATCH($A730,BBG_Data!$M$2:$M$4000,0)),NA()))</f>
        <v/>
      </c>
      <c r="AD730" s="18">
        <f>IF(NOT(ISNUMBER($A730)),NA(),IFERROR(1*INDEX(BBG_Data!$P$2:$P$4000,MATCH($A730,BBG_Data!$O$2:$O$4000,0)),NA()))</f>
        <v/>
      </c>
      <c r="AE730" s="18">
        <f>IF(NOT(ISNUMBER($A730)),NA(),IFERROR(1*INDEX(BBG_Data!$R$2:$R$4000,MATCH($A730,BBG_Data!$Q$2:$Q$4000,0)),NA()))</f>
        <v/>
      </c>
      <c r="AF730" s="20">
        <f>IF(AND(ISNUMBER(B730),ISNUMBER(AC730)),(B730-AC730)*100,NA())</f>
        <v/>
      </c>
      <c r="AG730" s="20">
        <f>IF(AND(ISNUMBER(AE730),ISNUMBER(AD730)),(AE730-AD730)*100,NA())</f>
        <v/>
      </c>
      <c r="AH730" s="19">
        <f>IF(NOT(ISNUMBER($A730)),NA(),IFERROR(INDEX(BBG_Data!$T$2:$T$4000,MATCH($A730,BBG_Data!$S$2:$S$4000,0))*Settings!$B$25,NA()))</f>
        <v/>
      </c>
      <c r="AI730" s="19">
        <f>IF(NOT(ISNUMBER($A730)),NA(),IFERROR(INDEX(BBG_Data!$V$2:$V$4000,MATCH($A730,BBG_Data!$U$2:$U$4000,0))*Settings!$B$25,NA()))</f>
        <v/>
      </c>
      <c r="AJ730" s="19">
        <f>IF(NOT(ISNUMBER($A730)),NA(),IFERROR(1*INDEX(BBG_Data!$X$2:$X$4000,MATCH($A730,BBG_Data!$W$2:$W$4000,0)),NA()))</f>
        <v/>
      </c>
      <c r="AK730" s="19">
        <f>IF(NOT(ISNUMBER($A730)),NA(),IFERROR(1*INDEX(BBG_Data!$Z$2:$Z$4000,MATCH($A730,BBG_Data!$Y$2:$Y$4000,0)),NA()))</f>
        <v/>
      </c>
    </row>
    <row r="731">
      <c r="A731" s="17">
        <f>IF(ISNUMBER(BBG_Data!A731),BBG_Data!A731,"")</f>
        <v/>
      </c>
      <c r="B731" s="18">
        <f>IF(AND(ISNUMBER($A731),ISNUMBER(BBG_Data!B731)),BBG_Data!B731,NA())</f>
        <v/>
      </c>
      <c r="C731" s="18">
        <f>IF(NOT(ISNUMBER($A731)),NA(),IFERROR(1*INDEX(BBG_Data!$D$2:$D$4000,MATCH($A731,BBG_Data!$C$2:$C$4000,0)),NA()))</f>
        <v/>
      </c>
      <c r="D731" s="19">
        <f>IF(NOT(ISNUMBER($A731)),NA(),IFERROR(1*INDEX(BBG_Data!$F$2:$F$4000,MATCH($A731,BBG_Data!$E$2:$E$4000,0)),NA()))</f>
        <v/>
      </c>
      <c r="E731" s="19">
        <f>IF(NOT(ISNUMBER($A731)),NA(),IFERROR(1*INDEX(BBG_Data!$H$2:$H$4000,MATCH($A731,BBG_Data!$G$2:$G$4000,0)),NA()))</f>
        <v/>
      </c>
      <c r="F731" s="20">
        <f>IF(AND(ISNUMBER(B731),ISNUMBER(B730)),IF(B731=B730,"",(B731-B730)*100),"")</f>
        <v/>
      </c>
      <c r="G731" s="20">
        <f>IF(AND(ISNUMBER(C731),ISNUMBER(C730)),IF(C731=C730,"",(C731-C730)*100),"")</f>
        <v/>
      </c>
      <c r="H731" s="20">
        <f>IF(OR(NOT(ISNUMBER($A731)),ROW()-2&lt;Settings!$B$11),NA(),IF(COUNT(OFFSET(F731,1-Settings!$B$11,0,Settings!$B$11,1))&lt;ROUNDUP(Settings!$B$11*Settings!$B$26,0),NA(),STDEV(OFFSET(F731,1-Settings!$B$11,0,Settings!$B$11,1))*SQRT(Settings!$B$13)))</f>
        <v/>
      </c>
      <c r="I731" s="20">
        <f>IF(OR(NOT(ISNUMBER($A731)),ROW()-2&lt;Settings!$B$12),NA(),IF(COUNT(OFFSET(F731,1-Settings!$B$12,0,Settings!$B$12,1))&lt;ROUNDUP(Settings!$B$12*Settings!$B$26,0),NA(),STDEV(OFFSET(F731,1-Settings!$B$12,0,Settings!$B$12,1))*SQRT(Settings!$B$13)))</f>
        <v/>
      </c>
      <c r="J731" s="20">
        <f>IF(OR(NOT(ISNUMBER($A731)),ROW()-2&lt;Settings!$B$11),NA(),IF(COUNT(OFFSET(G731,1-Settings!$B$11,0,Settings!$B$11,1))&lt;ROUNDUP(Settings!$B$11*Settings!$B$26,0),NA(),STDEV(OFFSET(G731,1-Settings!$B$11,0,Settings!$B$11,1))*SQRT(Settings!$B$13)))</f>
        <v/>
      </c>
      <c r="K731" s="20">
        <f>IF(OR(NOT(ISNUMBER($A731)),ROW()-2&lt;Settings!$B$12),NA(),IF(COUNT(OFFSET(G731,1-Settings!$B$12,0,Settings!$B$12,1))&lt;ROUNDUP(Settings!$B$12*Settings!$B$26,0),NA(),STDEV(OFFSET(G731,1-Settings!$B$12,0,Settings!$B$12,1))*SQRT(Settings!$B$13)))</f>
        <v/>
      </c>
      <c r="L731" s="20">
        <f>IF(AND(ISNUMBER(D731),ISNUMBER(H731)),D731-H731,NA())</f>
        <v/>
      </c>
      <c r="M731" s="20">
        <f>IF(AND(ISNUMBER(E731),ISNUMBER(K731)),E731-K731,NA())</f>
        <v/>
      </c>
      <c r="N731" s="20">
        <f>IF(NOT(ISNUMBER($A731)),NA(),IF(COUNT(OFFSET(G731,1,0,Settings!$B$12,1))&lt;ROUNDUP(Settings!$B$12*Settings!$B$26,0),NA(),STDEV(OFFSET(G731,1,0,Settings!$B$12,1))*SQRT(Settings!$B$13)))</f>
        <v/>
      </c>
      <c r="O731" s="20">
        <f>IF(AND(ISNUMBER(E731),ISNUMBER(N731)),E731-N731,NA())</f>
        <v/>
      </c>
      <c r="P731" s="19">
        <f>IF(NOT(ISNUMBER($A731)),NA(),IF(OR($A731&lt;MIN(KW_TP!$A$2:$A$2501),$A731&gt;MAX(KW_TP!$A$2:$A$2501)),NA(),INDEX(KW_TP!$C$2:$C$2501,MATCH($A731,KW_TP!$A$2:$A$2501,1))))</f>
        <v/>
      </c>
      <c r="Q731" s="18">
        <f>IF(NOT(ISNUMBER($A731)),NA(),IFERROR(1*INDEX(BBG_Data!$J$2:$J$4000,MATCH($A731,BBG_Data!$I$2:$I$4000,0)),NA()))</f>
        <v/>
      </c>
      <c r="R731" s="18">
        <f>IF(NOT(ISNUMBER($A731)),NA(),IFERROR(1*INDEX(BBG_Data!$L$2:$L$4000,MATCH($A731,BBG_Data!$K$2:$K$4000,0)),NA()))</f>
        <v/>
      </c>
      <c r="S731" s="20">
        <f>IF(AND(ISNUMBER(B731),ISNUMBER(Q731),ISNUMBER(R731)),(B731-Q731-R731)*100,NA())</f>
        <v/>
      </c>
      <c r="T731" s="20">
        <f>IF(AND(ISNUMBER(B731),Settings!$B$17&gt;0),IF(ISNUMBER(INDEX($B:$B,Settings!$B$17)),(B731-INDEX($B:$B,Settings!$B$17))*100,NA()),NA())</f>
        <v/>
      </c>
      <c r="U731" s="20">
        <f>IF(AND(ISNUMBER(Q731),Settings!$B$17&gt;0),IF(ISNUMBER(INDEX($Q:$Q,Settings!$B$17)),(Q731-INDEX($Q:$Q,Settings!$B$17))*100,NA()),NA())</f>
        <v/>
      </c>
      <c r="V731" s="20">
        <f>IF(AND(ISNUMBER(R731),Settings!$B$17&gt;0),IF(ISNUMBER(INDEX($R:$R,Settings!$B$17)),(R731-INDEX($R:$R,Settings!$B$17))*100,NA()),NA())</f>
        <v/>
      </c>
      <c r="W731" s="20">
        <f>IF(AND(ISNUMBER(P731),Settings!$B$17&gt;0),IF(ISNUMBER(INDEX($P:$P,Settings!$B$17)),P731-INDEX($P:$P,Settings!$B$17),NA()),NA())</f>
        <v/>
      </c>
      <c r="X731" s="19">
        <f>IF(NOT(ISNUMBER($A731)),NA(),IF(OR($A731&lt;MIN(DKW_10Y!$A$2:$A$2918),$A731&gt;MAX(DKW_10Y!$A$2:$A$2918),Settings!$B$16&lt;MIN(DKW_10Y!$A$2:$A$2918)),NA(),(INDEX(DKW_10Y!$B$2:$B$2918,MATCH($A731,DKW_10Y!$A$2:$A$2918,1))-INDEX(DKW_10Y!$B$2:$B$2918,MATCH(Settings!$B$16,DKW_10Y!$A$2:$A$2918,1)))*100))</f>
        <v/>
      </c>
      <c r="Y731" s="19">
        <f>IF(NOT(ISNUMBER($A731)),NA(),IF(OR($A731&lt;MIN(DKW_10Y!$A$2:$A$2918),$A731&gt;MAX(DKW_10Y!$A$2:$A$2918),Settings!$B$16&lt;MIN(DKW_10Y!$A$2:$A$2918)),NA(),(INDEX(DKW_10Y!$C$2:$C$2918,MATCH($A731,DKW_10Y!$A$2:$A$2918,1))-INDEX(DKW_10Y!$C$2:$C$2918,MATCH(Settings!$B$16,DKW_10Y!$A$2:$A$2918,1)))*100))</f>
        <v/>
      </c>
      <c r="Z731" s="19">
        <f>IF(NOT(ISNUMBER($A731)),NA(),IF(OR($A731&lt;MIN(DKW_10Y!$A$2:$A$2918),$A731&gt;MAX(DKW_10Y!$A$2:$A$2918),Settings!$B$16&lt;MIN(DKW_10Y!$A$2:$A$2918)),NA(),(INDEX(DKW_10Y!$D$2:$D$2918,MATCH($A731,DKW_10Y!$A$2:$A$2918,1))-INDEX(DKW_10Y!$D$2:$D$2918,MATCH(Settings!$B$16,DKW_10Y!$A$2:$A$2918,1)))*100))</f>
        <v/>
      </c>
      <c r="AA731" s="19">
        <f>IF(NOT(ISNUMBER($A731)),NA(),IF(OR($A731&lt;MIN(DKW_10Y!$A$2:$A$2918),$A731&gt;MAX(DKW_10Y!$A$2:$A$2918),Settings!$B$16&lt;MIN(DKW_10Y!$A$2:$A$2918)),NA(),(INDEX(DKW_10Y!$E$2:$E$2918,MATCH($A731,DKW_10Y!$A$2:$A$2918,1))-INDEX(DKW_10Y!$E$2:$E$2918,MATCH(Settings!$B$16,DKW_10Y!$A$2:$A$2918,1)))*100))</f>
        <v/>
      </c>
      <c r="AB731" s="19">
        <f>IF(NOT(ISNUMBER($A731)),NA(),IF(OR($A731&lt;MIN(DKW_10Y!$A$2:$A$2918),$A731&gt;MAX(DKW_10Y!$A$2:$A$2918),Settings!$B$16&lt;MIN(DKW_10Y!$A$2:$A$2918)),NA(),(INDEX(DKW_10Y!$H$2:$H$2918,MATCH($A731,DKW_10Y!$A$2:$A$2918,1))-INDEX(DKW_10Y!$H$2:$H$2918,MATCH(Settings!$B$16,DKW_10Y!$A$2:$A$2918,1)))*100))</f>
        <v/>
      </c>
      <c r="AC731" s="18">
        <f>IF(NOT(ISNUMBER($A731)),NA(),IFERROR(1*INDEX(BBG_Data!$N$2:$N$4000,MATCH($A731,BBG_Data!$M$2:$M$4000,0)),NA()))</f>
        <v/>
      </c>
      <c r="AD731" s="18">
        <f>IF(NOT(ISNUMBER($A731)),NA(),IFERROR(1*INDEX(BBG_Data!$P$2:$P$4000,MATCH($A731,BBG_Data!$O$2:$O$4000,0)),NA()))</f>
        <v/>
      </c>
      <c r="AE731" s="18">
        <f>IF(NOT(ISNUMBER($A731)),NA(),IFERROR(1*INDEX(BBG_Data!$R$2:$R$4000,MATCH($A731,BBG_Data!$Q$2:$Q$4000,0)),NA()))</f>
        <v/>
      </c>
      <c r="AF731" s="20">
        <f>IF(AND(ISNUMBER(B731),ISNUMBER(AC731)),(B731-AC731)*100,NA())</f>
        <v/>
      </c>
      <c r="AG731" s="20">
        <f>IF(AND(ISNUMBER(AE731),ISNUMBER(AD731)),(AE731-AD731)*100,NA())</f>
        <v/>
      </c>
      <c r="AH731" s="19">
        <f>IF(NOT(ISNUMBER($A731)),NA(),IFERROR(INDEX(BBG_Data!$T$2:$T$4000,MATCH($A731,BBG_Data!$S$2:$S$4000,0))*Settings!$B$25,NA()))</f>
        <v/>
      </c>
      <c r="AI731" s="19">
        <f>IF(NOT(ISNUMBER($A731)),NA(),IFERROR(INDEX(BBG_Data!$V$2:$V$4000,MATCH($A731,BBG_Data!$U$2:$U$4000,0))*Settings!$B$25,NA()))</f>
        <v/>
      </c>
      <c r="AJ731" s="19">
        <f>IF(NOT(ISNUMBER($A731)),NA(),IFERROR(1*INDEX(BBG_Data!$X$2:$X$4000,MATCH($A731,BBG_Data!$W$2:$W$4000,0)),NA()))</f>
        <v/>
      </c>
      <c r="AK731" s="19">
        <f>IF(NOT(ISNUMBER($A731)),NA(),IFERROR(1*INDEX(BBG_Data!$Z$2:$Z$4000,MATCH($A731,BBG_Data!$Y$2:$Y$4000,0)),NA()))</f>
        <v/>
      </c>
    </row>
    <row r="732">
      <c r="A732" s="17">
        <f>IF(ISNUMBER(BBG_Data!A732),BBG_Data!A732,"")</f>
        <v/>
      </c>
      <c r="B732" s="18">
        <f>IF(AND(ISNUMBER($A732),ISNUMBER(BBG_Data!B732)),BBG_Data!B732,NA())</f>
        <v/>
      </c>
      <c r="C732" s="18">
        <f>IF(NOT(ISNUMBER($A732)),NA(),IFERROR(1*INDEX(BBG_Data!$D$2:$D$4000,MATCH($A732,BBG_Data!$C$2:$C$4000,0)),NA()))</f>
        <v/>
      </c>
      <c r="D732" s="19">
        <f>IF(NOT(ISNUMBER($A732)),NA(),IFERROR(1*INDEX(BBG_Data!$F$2:$F$4000,MATCH($A732,BBG_Data!$E$2:$E$4000,0)),NA()))</f>
        <v/>
      </c>
      <c r="E732" s="19">
        <f>IF(NOT(ISNUMBER($A732)),NA(),IFERROR(1*INDEX(BBG_Data!$H$2:$H$4000,MATCH($A732,BBG_Data!$G$2:$G$4000,0)),NA()))</f>
        <v/>
      </c>
      <c r="F732" s="20">
        <f>IF(AND(ISNUMBER(B732),ISNUMBER(B731)),IF(B732=B731,"",(B732-B731)*100),"")</f>
        <v/>
      </c>
      <c r="G732" s="20">
        <f>IF(AND(ISNUMBER(C732),ISNUMBER(C731)),IF(C732=C731,"",(C732-C731)*100),"")</f>
        <v/>
      </c>
      <c r="H732" s="20">
        <f>IF(OR(NOT(ISNUMBER($A732)),ROW()-2&lt;Settings!$B$11),NA(),IF(COUNT(OFFSET(F732,1-Settings!$B$11,0,Settings!$B$11,1))&lt;ROUNDUP(Settings!$B$11*Settings!$B$26,0),NA(),STDEV(OFFSET(F732,1-Settings!$B$11,0,Settings!$B$11,1))*SQRT(Settings!$B$13)))</f>
        <v/>
      </c>
      <c r="I732" s="20">
        <f>IF(OR(NOT(ISNUMBER($A732)),ROW()-2&lt;Settings!$B$12),NA(),IF(COUNT(OFFSET(F732,1-Settings!$B$12,0,Settings!$B$12,1))&lt;ROUNDUP(Settings!$B$12*Settings!$B$26,0),NA(),STDEV(OFFSET(F732,1-Settings!$B$12,0,Settings!$B$12,1))*SQRT(Settings!$B$13)))</f>
        <v/>
      </c>
      <c r="J732" s="20">
        <f>IF(OR(NOT(ISNUMBER($A732)),ROW()-2&lt;Settings!$B$11),NA(),IF(COUNT(OFFSET(G732,1-Settings!$B$11,0,Settings!$B$11,1))&lt;ROUNDUP(Settings!$B$11*Settings!$B$26,0),NA(),STDEV(OFFSET(G732,1-Settings!$B$11,0,Settings!$B$11,1))*SQRT(Settings!$B$13)))</f>
        <v/>
      </c>
      <c r="K732" s="20">
        <f>IF(OR(NOT(ISNUMBER($A732)),ROW()-2&lt;Settings!$B$12),NA(),IF(COUNT(OFFSET(G732,1-Settings!$B$12,0,Settings!$B$12,1))&lt;ROUNDUP(Settings!$B$12*Settings!$B$26,0),NA(),STDEV(OFFSET(G732,1-Settings!$B$12,0,Settings!$B$12,1))*SQRT(Settings!$B$13)))</f>
        <v/>
      </c>
      <c r="L732" s="20">
        <f>IF(AND(ISNUMBER(D732),ISNUMBER(H732)),D732-H732,NA())</f>
        <v/>
      </c>
      <c r="M732" s="20">
        <f>IF(AND(ISNUMBER(E732),ISNUMBER(K732)),E732-K732,NA())</f>
        <v/>
      </c>
      <c r="N732" s="20">
        <f>IF(NOT(ISNUMBER($A732)),NA(),IF(COUNT(OFFSET(G732,1,0,Settings!$B$12,1))&lt;ROUNDUP(Settings!$B$12*Settings!$B$26,0),NA(),STDEV(OFFSET(G732,1,0,Settings!$B$12,1))*SQRT(Settings!$B$13)))</f>
        <v/>
      </c>
      <c r="O732" s="20">
        <f>IF(AND(ISNUMBER(E732),ISNUMBER(N732)),E732-N732,NA())</f>
        <v/>
      </c>
      <c r="P732" s="19">
        <f>IF(NOT(ISNUMBER($A732)),NA(),IF(OR($A732&lt;MIN(KW_TP!$A$2:$A$2501),$A732&gt;MAX(KW_TP!$A$2:$A$2501)),NA(),INDEX(KW_TP!$C$2:$C$2501,MATCH($A732,KW_TP!$A$2:$A$2501,1))))</f>
        <v/>
      </c>
      <c r="Q732" s="18">
        <f>IF(NOT(ISNUMBER($A732)),NA(),IFERROR(1*INDEX(BBG_Data!$J$2:$J$4000,MATCH($A732,BBG_Data!$I$2:$I$4000,0)),NA()))</f>
        <v/>
      </c>
      <c r="R732" s="18">
        <f>IF(NOT(ISNUMBER($A732)),NA(),IFERROR(1*INDEX(BBG_Data!$L$2:$L$4000,MATCH($A732,BBG_Data!$K$2:$K$4000,0)),NA()))</f>
        <v/>
      </c>
      <c r="S732" s="20">
        <f>IF(AND(ISNUMBER(B732),ISNUMBER(Q732),ISNUMBER(R732)),(B732-Q732-R732)*100,NA())</f>
        <v/>
      </c>
      <c r="T732" s="20">
        <f>IF(AND(ISNUMBER(B732),Settings!$B$17&gt;0),IF(ISNUMBER(INDEX($B:$B,Settings!$B$17)),(B732-INDEX($B:$B,Settings!$B$17))*100,NA()),NA())</f>
        <v/>
      </c>
      <c r="U732" s="20">
        <f>IF(AND(ISNUMBER(Q732),Settings!$B$17&gt;0),IF(ISNUMBER(INDEX($Q:$Q,Settings!$B$17)),(Q732-INDEX($Q:$Q,Settings!$B$17))*100,NA()),NA())</f>
        <v/>
      </c>
      <c r="V732" s="20">
        <f>IF(AND(ISNUMBER(R732),Settings!$B$17&gt;0),IF(ISNUMBER(INDEX($R:$R,Settings!$B$17)),(R732-INDEX($R:$R,Settings!$B$17))*100,NA()),NA())</f>
        <v/>
      </c>
      <c r="W732" s="20">
        <f>IF(AND(ISNUMBER(P732),Settings!$B$17&gt;0),IF(ISNUMBER(INDEX($P:$P,Settings!$B$17)),P732-INDEX($P:$P,Settings!$B$17),NA()),NA())</f>
        <v/>
      </c>
      <c r="X732" s="19">
        <f>IF(NOT(ISNUMBER($A732)),NA(),IF(OR($A732&lt;MIN(DKW_10Y!$A$2:$A$2918),$A732&gt;MAX(DKW_10Y!$A$2:$A$2918),Settings!$B$16&lt;MIN(DKW_10Y!$A$2:$A$2918)),NA(),(INDEX(DKW_10Y!$B$2:$B$2918,MATCH($A732,DKW_10Y!$A$2:$A$2918,1))-INDEX(DKW_10Y!$B$2:$B$2918,MATCH(Settings!$B$16,DKW_10Y!$A$2:$A$2918,1)))*100))</f>
        <v/>
      </c>
      <c r="Y732" s="19">
        <f>IF(NOT(ISNUMBER($A732)),NA(),IF(OR($A732&lt;MIN(DKW_10Y!$A$2:$A$2918),$A732&gt;MAX(DKW_10Y!$A$2:$A$2918),Settings!$B$16&lt;MIN(DKW_10Y!$A$2:$A$2918)),NA(),(INDEX(DKW_10Y!$C$2:$C$2918,MATCH($A732,DKW_10Y!$A$2:$A$2918,1))-INDEX(DKW_10Y!$C$2:$C$2918,MATCH(Settings!$B$16,DKW_10Y!$A$2:$A$2918,1)))*100))</f>
        <v/>
      </c>
      <c r="Z732" s="19">
        <f>IF(NOT(ISNUMBER($A732)),NA(),IF(OR($A732&lt;MIN(DKW_10Y!$A$2:$A$2918),$A732&gt;MAX(DKW_10Y!$A$2:$A$2918),Settings!$B$16&lt;MIN(DKW_10Y!$A$2:$A$2918)),NA(),(INDEX(DKW_10Y!$D$2:$D$2918,MATCH($A732,DKW_10Y!$A$2:$A$2918,1))-INDEX(DKW_10Y!$D$2:$D$2918,MATCH(Settings!$B$16,DKW_10Y!$A$2:$A$2918,1)))*100))</f>
        <v/>
      </c>
      <c r="AA732" s="19">
        <f>IF(NOT(ISNUMBER($A732)),NA(),IF(OR($A732&lt;MIN(DKW_10Y!$A$2:$A$2918),$A732&gt;MAX(DKW_10Y!$A$2:$A$2918),Settings!$B$16&lt;MIN(DKW_10Y!$A$2:$A$2918)),NA(),(INDEX(DKW_10Y!$E$2:$E$2918,MATCH($A732,DKW_10Y!$A$2:$A$2918,1))-INDEX(DKW_10Y!$E$2:$E$2918,MATCH(Settings!$B$16,DKW_10Y!$A$2:$A$2918,1)))*100))</f>
        <v/>
      </c>
      <c r="AB732" s="19">
        <f>IF(NOT(ISNUMBER($A732)),NA(),IF(OR($A732&lt;MIN(DKW_10Y!$A$2:$A$2918),$A732&gt;MAX(DKW_10Y!$A$2:$A$2918),Settings!$B$16&lt;MIN(DKW_10Y!$A$2:$A$2918)),NA(),(INDEX(DKW_10Y!$H$2:$H$2918,MATCH($A732,DKW_10Y!$A$2:$A$2918,1))-INDEX(DKW_10Y!$H$2:$H$2918,MATCH(Settings!$B$16,DKW_10Y!$A$2:$A$2918,1)))*100))</f>
        <v/>
      </c>
      <c r="AC732" s="18">
        <f>IF(NOT(ISNUMBER($A732)),NA(),IFERROR(1*INDEX(BBG_Data!$N$2:$N$4000,MATCH($A732,BBG_Data!$M$2:$M$4000,0)),NA()))</f>
        <v/>
      </c>
      <c r="AD732" s="18">
        <f>IF(NOT(ISNUMBER($A732)),NA(),IFERROR(1*INDEX(BBG_Data!$P$2:$P$4000,MATCH($A732,BBG_Data!$O$2:$O$4000,0)),NA()))</f>
        <v/>
      </c>
      <c r="AE732" s="18">
        <f>IF(NOT(ISNUMBER($A732)),NA(),IFERROR(1*INDEX(BBG_Data!$R$2:$R$4000,MATCH($A732,BBG_Data!$Q$2:$Q$4000,0)),NA()))</f>
        <v/>
      </c>
      <c r="AF732" s="20">
        <f>IF(AND(ISNUMBER(B732),ISNUMBER(AC732)),(B732-AC732)*100,NA())</f>
        <v/>
      </c>
      <c r="AG732" s="20">
        <f>IF(AND(ISNUMBER(AE732),ISNUMBER(AD732)),(AE732-AD732)*100,NA())</f>
        <v/>
      </c>
      <c r="AH732" s="19">
        <f>IF(NOT(ISNUMBER($A732)),NA(),IFERROR(INDEX(BBG_Data!$T$2:$T$4000,MATCH($A732,BBG_Data!$S$2:$S$4000,0))*Settings!$B$25,NA()))</f>
        <v/>
      </c>
      <c r="AI732" s="19">
        <f>IF(NOT(ISNUMBER($A732)),NA(),IFERROR(INDEX(BBG_Data!$V$2:$V$4000,MATCH($A732,BBG_Data!$U$2:$U$4000,0))*Settings!$B$25,NA()))</f>
        <v/>
      </c>
      <c r="AJ732" s="19">
        <f>IF(NOT(ISNUMBER($A732)),NA(),IFERROR(1*INDEX(BBG_Data!$X$2:$X$4000,MATCH($A732,BBG_Data!$W$2:$W$4000,0)),NA()))</f>
        <v/>
      </c>
      <c r="AK732" s="19">
        <f>IF(NOT(ISNUMBER($A732)),NA(),IFERROR(1*INDEX(BBG_Data!$Z$2:$Z$4000,MATCH($A732,BBG_Data!$Y$2:$Y$4000,0)),NA()))</f>
        <v/>
      </c>
    </row>
    <row r="733">
      <c r="A733" s="17">
        <f>IF(ISNUMBER(BBG_Data!A733),BBG_Data!A733,"")</f>
        <v/>
      </c>
      <c r="B733" s="18">
        <f>IF(AND(ISNUMBER($A733),ISNUMBER(BBG_Data!B733)),BBG_Data!B733,NA())</f>
        <v/>
      </c>
      <c r="C733" s="18">
        <f>IF(NOT(ISNUMBER($A733)),NA(),IFERROR(1*INDEX(BBG_Data!$D$2:$D$4000,MATCH($A733,BBG_Data!$C$2:$C$4000,0)),NA()))</f>
        <v/>
      </c>
      <c r="D733" s="19">
        <f>IF(NOT(ISNUMBER($A733)),NA(),IFERROR(1*INDEX(BBG_Data!$F$2:$F$4000,MATCH($A733,BBG_Data!$E$2:$E$4000,0)),NA()))</f>
        <v/>
      </c>
      <c r="E733" s="19">
        <f>IF(NOT(ISNUMBER($A733)),NA(),IFERROR(1*INDEX(BBG_Data!$H$2:$H$4000,MATCH($A733,BBG_Data!$G$2:$G$4000,0)),NA()))</f>
        <v/>
      </c>
      <c r="F733" s="20">
        <f>IF(AND(ISNUMBER(B733),ISNUMBER(B732)),IF(B733=B732,"",(B733-B732)*100),"")</f>
        <v/>
      </c>
      <c r="G733" s="20">
        <f>IF(AND(ISNUMBER(C733),ISNUMBER(C732)),IF(C733=C732,"",(C733-C732)*100),"")</f>
        <v/>
      </c>
      <c r="H733" s="20">
        <f>IF(OR(NOT(ISNUMBER($A733)),ROW()-2&lt;Settings!$B$11),NA(),IF(COUNT(OFFSET(F733,1-Settings!$B$11,0,Settings!$B$11,1))&lt;ROUNDUP(Settings!$B$11*Settings!$B$26,0),NA(),STDEV(OFFSET(F733,1-Settings!$B$11,0,Settings!$B$11,1))*SQRT(Settings!$B$13)))</f>
        <v/>
      </c>
      <c r="I733" s="20">
        <f>IF(OR(NOT(ISNUMBER($A733)),ROW()-2&lt;Settings!$B$12),NA(),IF(COUNT(OFFSET(F733,1-Settings!$B$12,0,Settings!$B$12,1))&lt;ROUNDUP(Settings!$B$12*Settings!$B$26,0),NA(),STDEV(OFFSET(F733,1-Settings!$B$12,0,Settings!$B$12,1))*SQRT(Settings!$B$13)))</f>
        <v/>
      </c>
      <c r="J733" s="20">
        <f>IF(OR(NOT(ISNUMBER($A733)),ROW()-2&lt;Settings!$B$11),NA(),IF(COUNT(OFFSET(G733,1-Settings!$B$11,0,Settings!$B$11,1))&lt;ROUNDUP(Settings!$B$11*Settings!$B$26,0),NA(),STDEV(OFFSET(G733,1-Settings!$B$11,0,Settings!$B$11,1))*SQRT(Settings!$B$13)))</f>
        <v/>
      </c>
      <c r="K733" s="20">
        <f>IF(OR(NOT(ISNUMBER($A733)),ROW()-2&lt;Settings!$B$12),NA(),IF(COUNT(OFFSET(G733,1-Settings!$B$12,0,Settings!$B$12,1))&lt;ROUNDUP(Settings!$B$12*Settings!$B$26,0),NA(),STDEV(OFFSET(G733,1-Settings!$B$12,0,Settings!$B$12,1))*SQRT(Settings!$B$13)))</f>
        <v/>
      </c>
      <c r="L733" s="20">
        <f>IF(AND(ISNUMBER(D733),ISNUMBER(H733)),D733-H733,NA())</f>
        <v/>
      </c>
      <c r="M733" s="20">
        <f>IF(AND(ISNUMBER(E733),ISNUMBER(K733)),E733-K733,NA())</f>
        <v/>
      </c>
      <c r="N733" s="20">
        <f>IF(NOT(ISNUMBER($A733)),NA(),IF(COUNT(OFFSET(G733,1,0,Settings!$B$12,1))&lt;ROUNDUP(Settings!$B$12*Settings!$B$26,0),NA(),STDEV(OFFSET(G733,1,0,Settings!$B$12,1))*SQRT(Settings!$B$13)))</f>
        <v/>
      </c>
      <c r="O733" s="20">
        <f>IF(AND(ISNUMBER(E733),ISNUMBER(N733)),E733-N733,NA())</f>
        <v/>
      </c>
      <c r="P733" s="19">
        <f>IF(NOT(ISNUMBER($A733)),NA(),IF(OR($A733&lt;MIN(KW_TP!$A$2:$A$2501),$A733&gt;MAX(KW_TP!$A$2:$A$2501)),NA(),INDEX(KW_TP!$C$2:$C$2501,MATCH($A733,KW_TP!$A$2:$A$2501,1))))</f>
        <v/>
      </c>
      <c r="Q733" s="18">
        <f>IF(NOT(ISNUMBER($A733)),NA(),IFERROR(1*INDEX(BBG_Data!$J$2:$J$4000,MATCH($A733,BBG_Data!$I$2:$I$4000,0)),NA()))</f>
        <v/>
      </c>
      <c r="R733" s="18">
        <f>IF(NOT(ISNUMBER($A733)),NA(),IFERROR(1*INDEX(BBG_Data!$L$2:$L$4000,MATCH($A733,BBG_Data!$K$2:$K$4000,0)),NA()))</f>
        <v/>
      </c>
      <c r="S733" s="20">
        <f>IF(AND(ISNUMBER(B733),ISNUMBER(Q733),ISNUMBER(R733)),(B733-Q733-R733)*100,NA())</f>
        <v/>
      </c>
      <c r="T733" s="20">
        <f>IF(AND(ISNUMBER(B733),Settings!$B$17&gt;0),IF(ISNUMBER(INDEX($B:$B,Settings!$B$17)),(B733-INDEX($B:$B,Settings!$B$17))*100,NA()),NA())</f>
        <v/>
      </c>
      <c r="U733" s="20">
        <f>IF(AND(ISNUMBER(Q733),Settings!$B$17&gt;0),IF(ISNUMBER(INDEX($Q:$Q,Settings!$B$17)),(Q733-INDEX($Q:$Q,Settings!$B$17))*100,NA()),NA())</f>
        <v/>
      </c>
      <c r="V733" s="20">
        <f>IF(AND(ISNUMBER(R733),Settings!$B$17&gt;0),IF(ISNUMBER(INDEX($R:$R,Settings!$B$17)),(R733-INDEX($R:$R,Settings!$B$17))*100,NA()),NA())</f>
        <v/>
      </c>
      <c r="W733" s="20">
        <f>IF(AND(ISNUMBER(P733),Settings!$B$17&gt;0),IF(ISNUMBER(INDEX($P:$P,Settings!$B$17)),P733-INDEX($P:$P,Settings!$B$17),NA()),NA())</f>
        <v/>
      </c>
      <c r="X733" s="19">
        <f>IF(NOT(ISNUMBER($A733)),NA(),IF(OR($A733&lt;MIN(DKW_10Y!$A$2:$A$2918),$A733&gt;MAX(DKW_10Y!$A$2:$A$2918),Settings!$B$16&lt;MIN(DKW_10Y!$A$2:$A$2918)),NA(),(INDEX(DKW_10Y!$B$2:$B$2918,MATCH($A733,DKW_10Y!$A$2:$A$2918,1))-INDEX(DKW_10Y!$B$2:$B$2918,MATCH(Settings!$B$16,DKW_10Y!$A$2:$A$2918,1)))*100))</f>
        <v/>
      </c>
      <c r="Y733" s="19">
        <f>IF(NOT(ISNUMBER($A733)),NA(),IF(OR($A733&lt;MIN(DKW_10Y!$A$2:$A$2918),$A733&gt;MAX(DKW_10Y!$A$2:$A$2918),Settings!$B$16&lt;MIN(DKW_10Y!$A$2:$A$2918)),NA(),(INDEX(DKW_10Y!$C$2:$C$2918,MATCH($A733,DKW_10Y!$A$2:$A$2918,1))-INDEX(DKW_10Y!$C$2:$C$2918,MATCH(Settings!$B$16,DKW_10Y!$A$2:$A$2918,1)))*100))</f>
        <v/>
      </c>
      <c r="Z733" s="19">
        <f>IF(NOT(ISNUMBER($A733)),NA(),IF(OR($A733&lt;MIN(DKW_10Y!$A$2:$A$2918),$A733&gt;MAX(DKW_10Y!$A$2:$A$2918),Settings!$B$16&lt;MIN(DKW_10Y!$A$2:$A$2918)),NA(),(INDEX(DKW_10Y!$D$2:$D$2918,MATCH($A733,DKW_10Y!$A$2:$A$2918,1))-INDEX(DKW_10Y!$D$2:$D$2918,MATCH(Settings!$B$16,DKW_10Y!$A$2:$A$2918,1)))*100))</f>
        <v/>
      </c>
      <c r="AA733" s="19">
        <f>IF(NOT(ISNUMBER($A733)),NA(),IF(OR($A733&lt;MIN(DKW_10Y!$A$2:$A$2918),$A733&gt;MAX(DKW_10Y!$A$2:$A$2918),Settings!$B$16&lt;MIN(DKW_10Y!$A$2:$A$2918)),NA(),(INDEX(DKW_10Y!$E$2:$E$2918,MATCH($A733,DKW_10Y!$A$2:$A$2918,1))-INDEX(DKW_10Y!$E$2:$E$2918,MATCH(Settings!$B$16,DKW_10Y!$A$2:$A$2918,1)))*100))</f>
        <v/>
      </c>
      <c r="AB733" s="19">
        <f>IF(NOT(ISNUMBER($A733)),NA(),IF(OR($A733&lt;MIN(DKW_10Y!$A$2:$A$2918),$A733&gt;MAX(DKW_10Y!$A$2:$A$2918),Settings!$B$16&lt;MIN(DKW_10Y!$A$2:$A$2918)),NA(),(INDEX(DKW_10Y!$H$2:$H$2918,MATCH($A733,DKW_10Y!$A$2:$A$2918,1))-INDEX(DKW_10Y!$H$2:$H$2918,MATCH(Settings!$B$16,DKW_10Y!$A$2:$A$2918,1)))*100))</f>
        <v/>
      </c>
      <c r="AC733" s="18">
        <f>IF(NOT(ISNUMBER($A733)),NA(),IFERROR(1*INDEX(BBG_Data!$N$2:$N$4000,MATCH($A733,BBG_Data!$M$2:$M$4000,0)),NA()))</f>
        <v/>
      </c>
      <c r="AD733" s="18">
        <f>IF(NOT(ISNUMBER($A733)),NA(),IFERROR(1*INDEX(BBG_Data!$P$2:$P$4000,MATCH($A733,BBG_Data!$O$2:$O$4000,0)),NA()))</f>
        <v/>
      </c>
      <c r="AE733" s="18">
        <f>IF(NOT(ISNUMBER($A733)),NA(),IFERROR(1*INDEX(BBG_Data!$R$2:$R$4000,MATCH($A733,BBG_Data!$Q$2:$Q$4000,0)),NA()))</f>
        <v/>
      </c>
      <c r="AF733" s="20">
        <f>IF(AND(ISNUMBER(B733),ISNUMBER(AC733)),(B733-AC733)*100,NA())</f>
        <v/>
      </c>
      <c r="AG733" s="20">
        <f>IF(AND(ISNUMBER(AE733),ISNUMBER(AD733)),(AE733-AD733)*100,NA())</f>
        <v/>
      </c>
      <c r="AH733" s="19">
        <f>IF(NOT(ISNUMBER($A733)),NA(),IFERROR(INDEX(BBG_Data!$T$2:$T$4000,MATCH($A733,BBG_Data!$S$2:$S$4000,0))*Settings!$B$25,NA()))</f>
        <v/>
      </c>
      <c r="AI733" s="19">
        <f>IF(NOT(ISNUMBER($A733)),NA(),IFERROR(INDEX(BBG_Data!$V$2:$V$4000,MATCH($A733,BBG_Data!$U$2:$U$4000,0))*Settings!$B$25,NA()))</f>
        <v/>
      </c>
      <c r="AJ733" s="19">
        <f>IF(NOT(ISNUMBER($A733)),NA(),IFERROR(1*INDEX(BBG_Data!$X$2:$X$4000,MATCH($A733,BBG_Data!$W$2:$W$4000,0)),NA()))</f>
        <v/>
      </c>
      <c r="AK733" s="19">
        <f>IF(NOT(ISNUMBER($A733)),NA(),IFERROR(1*INDEX(BBG_Data!$Z$2:$Z$4000,MATCH($A733,BBG_Data!$Y$2:$Y$4000,0)),NA()))</f>
        <v/>
      </c>
    </row>
    <row r="734">
      <c r="A734" s="17">
        <f>IF(ISNUMBER(BBG_Data!A734),BBG_Data!A734,"")</f>
        <v/>
      </c>
      <c r="B734" s="18">
        <f>IF(AND(ISNUMBER($A734),ISNUMBER(BBG_Data!B734)),BBG_Data!B734,NA())</f>
        <v/>
      </c>
      <c r="C734" s="18">
        <f>IF(NOT(ISNUMBER($A734)),NA(),IFERROR(1*INDEX(BBG_Data!$D$2:$D$4000,MATCH($A734,BBG_Data!$C$2:$C$4000,0)),NA()))</f>
        <v/>
      </c>
      <c r="D734" s="19">
        <f>IF(NOT(ISNUMBER($A734)),NA(),IFERROR(1*INDEX(BBG_Data!$F$2:$F$4000,MATCH($A734,BBG_Data!$E$2:$E$4000,0)),NA()))</f>
        <v/>
      </c>
      <c r="E734" s="19">
        <f>IF(NOT(ISNUMBER($A734)),NA(),IFERROR(1*INDEX(BBG_Data!$H$2:$H$4000,MATCH($A734,BBG_Data!$G$2:$G$4000,0)),NA()))</f>
        <v/>
      </c>
      <c r="F734" s="20">
        <f>IF(AND(ISNUMBER(B734),ISNUMBER(B733)),IF(B734=B733,"",(B734-B733)*100),"")</f>
        <v/>
      </c>
      <c r="G734" s="20">
        <f>IF(AND(ISNUMBER(C734),ISNUMBER(C733)),IF(C734=C733,"",(C734-C733)*100),"")</f>
        <v/>
      </c>
      <c r="H734" s="20">
        <f>IF(OR(NOT(ISNUMBER($A734)),ROW()-2&lt;Settings!$B$11),NA(),IF(COUNT(OFFSET(F734,1-Settings!$B$11,0,Settings!$B$11,1))&lt;ROUNDUP(Settings!$B$11*Settings!$B$26,0),NA(),STDEV(OFFSET(F734,1-Settings!$B$11,0,Settings!$B$11,1))*SQRT(Settings!$B$13)))</f>
        <v/>
      </c>
      <c r="I734" s="20">
        <f>IF(OR(NOT(ISNUMBER($A734)),ROW()-2&lt;Settings!$B$12),NA(),IF(COUNT(OFFSET(F734,1-Settings!$B$12,0,Settings!$B$12,1))&lt;ROUNDUP(Settings!$B$12*Settings!$B$26,0),NA(),STDEV(OFFSET(F734,1-Settings!$B$12,0,Settings!$B$12,1))*SQRT(Settings!$B$13)))</f>
        <v/>
      </c>
      <c r="J734" s="20">
        <f>IF(OR(NOT(ISNUMBER($A734)),ROW()-2&lt;Settings!$B$11),NA(),IF(COUNT(OFFSET(G734,1-Settings!$B$11,0,Settings!$B$11,1))&lt;ROUNDUP(Settings!$B$11*Settings!$B$26,0),NA(),STDEV(OFFSET(G734,1-Settings!$B$11,0,Settings!$B$11,1))*SQRT(Settings!$B$13)))</f>
        <v/>
      </c>
      <c r="K734" s="20">
        <f>IF(OR(NOT(ISNUMBER($A734)),ROW()-2&lt;Settings!$B$12),NA(),IF(COUNT(OFFSET(G734,1-Settings!$B$12,0,Settings!$B$12,1))&lt;ROUNDUP(Settings!$B$12*Settings!$B$26,0),NA(),STDEV(OFFSET(G734,1-Settings!$B$12,0,Settings!$B$12,1))*SQRT(Settings!$B$13)))</f>
        <v/>
      </c>
      <c r="L734" s="20">
        <f>IF(AND(ISNUMBER(D734),ISNUMBER(H734)),D734-H734,NA())</f>
        <v/>
      </c>
      <c r="M734" s="20">
        <f>IF(AND(ISNUMBER(E734),ISNUMBER(K734)),E734-K734,NA())</f>
        <v/>
      </c>
      <c r="N734" s="20">
        <f>IF(NOT(ISNUMBER($A734)),NA(),IF(COUNT(OFFSET(G734,1,0,Settings!$B$12,1))&lt;ROUNDUP(Settings!$B$12*Settings!$B$26,0),NA(),STDEV(OFFSET(G734,1,0,Settings!$B$12,1))*SQRT(Settings!$B$13)))</f>
        <v/>
      </c>
      <c r="O734" s="20">
        <f>IF(AND(ISNUMBER(E734),ISNUMBER(N734)),E734-N734,NA())</f>
        <v/>
      </c>
      <c r="P734" s="19">
        <f>IF(NOT(ISNUMBER($A734)),NA(),IF(OR($A734&lt;MIN(KW_TP!$A$2:$A$2501),$A734&gt;MAX(KW_TP!$A$2:$A$2501)),NA(),INDEX(KW_TP!$C$2:$C$2501,MATCH($A734,KW_TP!$A$2:$A$2501,1))))</f>
        <v/>
      </c>
      <c r="Q734" s="18">
        <f>IF(NOT(ISNUMBER($A734)),NA(),IFERROR(1*INDEX(BBG_Data!$J$2:$J$4000,MATCH($A734,BBG_Data!$I$2:$I$4000,0)),NA()))</f>
        <v/>
      </c>
      <c r="R734" s="18">
        <f>IF(NOT(ISNUMBER($A734)),NA(),IFERROR(1*INDEX(BBG_Data!$L$2:$L$4000,MATCH($A734,BBG_Data!$K$2:$K$4000,0)),NA()))</f>
        <v/>
      </c>
      <c r="S734" s="20">
        <f>IF(AND(ISNUMBER(B734),ISNUMBER(Q734),ISNUMBER(R734)),(B734-Q734-R734)*100,NA())</f>
        <v/>
      </c>
      <c r="T734" s="20">
        <f>IF(AND(ISNUMBER(B734),Settings!$B$17&gt;0),IF(ISNUMBER(INDEX($B:$B,Settings!$B$17)),(B734-INDEX($B:$B,Settings!$B$17))*100,NA()),NA())</f>
        <v/>
      </c>
      <c r="U734" s="20">
        <f>IF(AND(ISNUMBER(Q734),Settings!$B$17&gt;0),IF(ISNUMBER(INDEX($Q:$Q,Settings!$B$17)),(Q734-INDEX($Q:$Q,Settings!$B$17))*100,NA()),NA())</f>
        <v/>
      </c>
      <c r="V734" s="20">
        <f>IF(AND(ISNUMBER(R734),Settings!$B$17&gt;0),IF(ISNUMBER(INDEX($R:$R,Settings!$B$17)),(R734-INDEX($R:$R,Settings!$B$17))*100,NA()),NA())</f>
        <v/>
      </c>
      <c r="W734" s="20">
        <f>IF(AND(ISNUMBER(P734),Settings!$B$17&gt;0),IF(ISNUMBER(INDEX($P:$P,Settings!$B$17)),P734-INDEX($P:$P,Settings!$B$17),NA()),NA())</f>
        <v/>
      </c>
      <c r="X734" s="19">
        <f>IF(NOT(ISNUMBER($A734)),NA(),IF(OR($A734&lt;MIN(DKW_10Y!$A$2:$A$2918),$A734&gt;MAX(DKW_10Y!$A$2:$A$2918),Settings!$B$16&lt;MIN(DKW_10Y!$A$2:$A$2918)),NA(),(INDEX(DKW_10Y!$B$2:$B$2918,MATCH($A734,DKW_10Y!$A$2:$A$2918,1))-INDEX(DKW_10Y!$B$2:$B$2918,MATCH(Settings!$B$16,DKW_10Y!$A$2:$A$2918,1)))*100))</f>
        <v/>
      </c>
      <c r="Y734" s="19">
        <f>IF(NOT(ISNUMBER($A734)),NA(),IF(OR($A734&lt;MIN(DKW_10Y!$A$2:$A$2918),$A734&gt;MAX(DKW_10Y!$A$2:$A$2918),Settings!$B$16&lt;MIN(DKW_10Y!$A$2:$A$2918)),NA(),(INDEX(DKW_10Y!$C$2:$C$2918,MATCH($A734,DKW_10Y!$A$2:$A$2918,1))-INDEX(DKW_10Y!$C$2:$C$2918,MATCH(Settings!$B$16,DKW_10Y!$A$2:$A$2918,1)))*100))</f>
        <v/>
      </c>
      <c r="Z734" s="19">
        <f>IF(NOT(ISNUMBER($A734)),NA(),IF(OR($A734&lt;MIN(DKW_10Y!$A$2:$A$2918),$A734&gt;MAX(DKW_10Y!$A$2:$A$2918),Settings!$B$16&lt;MIN(DKW_10Y!$A$2:$A$2918)),NA(),(INDEX(DKW_10Y!$D$2:$D$2918,MATCH($A734,DKW_10Y!$A$2:$A$2918,1))-INDEX(DKW_10Y!$D$2:$D$2918,MATCH(Settings!$B$16,DKW_10Y!$A$2:$A$2918,1)))*100))</f>
        <v/>
      </c>
      <c r="AA734" s="19">
        <f>IF(NOT(ISNUMBER($A734)),NA(),IF(OR($A734&lt;MIN(DKW_10Y!$A$2:$A$2918),$A734&gt;MAX(DKW_10Y!$A$2:$A$2918),Settings!$B$16&lt;MIN(DKW_10Y!$A$2:$A$2918)),NA(),(INDEX(DKW_10Y!$E$2:$E$2918,MATCH($A734,DKW_10Y!$A$2:$A$2918,1))-INDEX(DKW_10Y!$E$2:$E$2918,MATCH(Settings!$B$16,DKW_10Y!$A$2:$A$2918,1)))*100))</f>
        <v/>
      </c>
      <c r="AB734" s="19">
        <f>IF(NOT(ISNUMBER($A734)),NA(),IF(OR($A734&lt;MIN(DKW_10Y!$A$2:$A$2918),$A734&gt;MAX(DKW_10Y!$A$2:$A$2918),Settings!$B$16&lt;MIN(DKW_10Y!$A$2:$A$2918)),NA(),(INDEX(DKW_10Y!$H$2:$H$2918,MATCH($A734,DKW_10Y!$A$2:$A$2918,1))-INDEX(DKW_10Y!$H$2:$H$2918,MATCH(Settings!$B$16,DKW_10Y!$A$2:$A$2918,1)))*100))</f>
        <v/>
      </c>
      <c r="AC734" s="18">
        <f>IF(NOT(ISNUMBER($A734)),NA(),IFERROR(1*INDEX(BBG_Data!$N$2:$N$4000,MATCH($A734,BBG_Data!$M$2:$M$4000,0)),NA()))</f>
        <v/>
      </c>
      <c r="AD734" s="18">
        <f>IF(NOT(ISNUMBER($A734)),NA(),IFERROR(1*INDEX(BBG_Data!$P$2:$P$4000,MATCH($A734,BBG_Data!$O$2:$O$4000,0)),NA()))</f>
        <v/>
      </c>
      <c r="AE734" s="18">
        <f>IF(NOT(ISNUMBER($A734)),NA(),IFERROR(1*INDEX(BBG_Data!$R$2:$R$4000,MATCH($A734,BBG_Data!$Q$2:$Q$4000,0)),NA()))</f>
        <v/>
      </c>
      <c r="AF734" s="20">
        <f>IF(AND(ISNUMBER(B734),ISNUMBER(AC734)),(B734-AC734)*100,NA())</f>
        <v/>
      </c>
      <c r="AG734" s="20">
        <f>IF(AND(ISNUMBER(AE734),ISNUMBER(AD734)),(AE734-AD734)*100,NA())</f>
        <v/>
      </c>
      <c r="AH734" s="19">
        <f>IF(NOT(ISNUMBER($A734)),NA(),IFERROR(INDEX(BBG_Data!$T$2:$T$4000,MATCH($A734,BBG_Data!$S$2:$S$4000,0))*Settings!$B$25,NA()))</f>
        <v/>
      </c>
      <c r="AI734" s="19">
        <f>IF(NOT(ISNUMBER($A734)),NA(),IFERROR(INDEX(BBG_Data!$V$2:$V$4000,MATCH($A734,BBG_Data!$U$2:$U$4000,0))*Settings!$B$25,NA()))</f>
        <v/>
      </c>
      <c r="AJ734" s="19">
        <f>IF(NOT(ISNUMBER($A734)),NA(),IFERROR(1*INDEX(BBG_Data!$X$2:$X$4000,MATCH($A734,BBG_Data!$W$2:$W$4000,0)),NA()))</f>
        <v/>
      </c>
      <c r="AK734" s="19">
        <f>IF(NOT(ISNUMBER($A734)),NA(),IFERROR(1*INDEX(BBG_Data!$Z$2:$Z$4000,MATCH($A734,BBG_Data!$Y$2:$Y$4000,0)),NA()))</f>
        <v/>
      </c>
    </row>
    <row r="735">
      <c r="A735" s="17">
        <f>IF(ISNUMBER(BBG_Data!A735),BBG_Data!A735,"")</f>
        <v/>
      </c>
      <c r="B735" s="18">
        <f>IF(AND(ISNUMBER($A735),ISNUMBER(BBG_Data!B735)),BBG_Data!B735,NA())</f>
        <v/>
      </c>
      <c r="C735" s="18">
        <f>IF(NOT(ISNUMBER($A735)),NA(),IFERROR(1*INDEX(BBG_Data!$D$2:$D$4000,MATCH($A735,BBG_Data!$C$2:$C$4000,0)),NA()))</f>
        <v/>
      </c>
      <c r="D735" s="19">
        <f>IF(NOT(ISNUMBER($A735)),NA(),IFERROR(1*INDEX(BBG_Data!$F$2:$F$4000,MATCH($A735,BBG_Data!$E$2:$E$4000,0)),NA()))</f>
        <v/>
      </c>
      <c r="E735" s="19">
        <f>IF(NOT(ISNUMBER($A735)),NA(),IFERROR(1*INDEX(BBG_Data!$H$2:$H$4000,MATCH($A735,BBG_Data!$G$2:$G$4000,0)),NA()))</f>
        <v/>
      </c>
      <c r="F735" s="20">
        <f>IF(AND(ISNUMBER(B735),ISNUMBER(B734)),IF(B735=B734,"",(B735-B734)*100),"")</f>
        <v/>
      </c>
      <c r="G735" s="20">
        <f>IF(AND(ISNUMBER(C735),ISNUMBER(C734)),IF(C735=C734,"",(C735-C734)*100),"")</f>
        <v/>
      </c>
      <c r="H735" s="20">
        <f>IF(OR(NOT(ISNUMBER($A735)),ROW()-2&lt;Settings!$B$11),NA(),IF(COUNT(OFFSET(F735,1-Settings!$B$11,0,Settings!$B$11,1))&lt;ROUNDUP(Settings!$B$11*Settings!$B$26,0),NA(),STDEV(OFFSET(F735,1-Settings!$B$11,0,Settings!$B$11,1))*SQRT(Settings!$B$13)))</f>
        <v/>
      </c>
      <c r="I735" s="20">
        <f>IF(OR(NOT(ISNUMBER($A735)),ROW()-2&lt;Settings!$B$12),NA(),IF(COUNT(OFFSET(F735,1-Settings!$B$12,0,Settings!$B$12,1))&lt;ROUNDUP(Settings!$B$12*Settings!$B$26,0),NA(),STDEV(OFFSET(F735,1-Settings!$B$12,0,Settings!$B$12,1))*SQRT(Settings!$B$13)))</f>
        <v/>
      </c>
      <c r="J735" s="20">
        <f>IF(OR(NOT(ISNUMBER($A735)),ROW()-2&lt;Settings!$B$11),NA(),IF(COUNT(OFFSET(G735,1-Settings!$B$11,0,Settings!$B$11,1))&lt;ROUNDUP(Settings!$B$11*Settings!$B$26,0),NA(),STDEV(OFFSET(G735,1-Settings!$B$11,0,Settings!$B$11,1))*SQRT(Settings!$B$13)))</f>
        <v/>
      </c>
      <c r="K735" s="20">
        <f>IF(OR(NOT(ISNUMBER($A735)),ROW()-2&lt;Settings!$B$12),NA(),IF(COUNT(OFFSET(G735,1-Settings!$B$12,0,Settings!$B$12,1))&lt;ROUNDUP(Settings!$B$12*Settings!$B$26,0),NA(),STDEV(OFFSET(G735,1-Settings!$B$12,0,Settings!$B$12,1))*SQRT(Settings!$B$13)))</f>
        <v/>
      </c>
      <c r="L735" s="20">
        <f>IF(AND(ISNUMBER(D735),ISNUMBER(H735)),D735-H735,NA())</f>
        <v/>
      </c>
      <c r="M735" s="20">
        <f>IF(AND(ISNUMBER(E735),ISNUMBER(K735)),E735-K735,NA())</f>
        <v/>
      </c>
      <c r="N735" s="20">
        <f>IF(NOT(ISNUMBER($A735)),NA(),IF(COUNT(OFFSET(G735,1,0,Settings!$B$12,1))&lt;ROUNDUP(Settings!$B$12*Settings!$B$26,0),NA(),STDEV(OFFSET(G735,1,0,Settings!$B$12,1))*SQRT(Settings!$B$13)))</f>
        <v/>
      </c>
      <c r="O735" s="20">
        <f>IF(AND(ISNUMBER(E735),ISNUMBER(N735)),E735-N735,NA())</f>
        <v/>
      </c>
      <c r="P735" s="19">
        <f>IF(NOT(ISNUMBER($A735)),NA(),IF(OR($A735&lt;MIN(KW_TP!$A$2:$A$2501),$A735&gt;MAX(KW_TP!$A$2:$A$2501)),NA(),INDEX(KW_TP!$C$2:$C$2501,MATCH($A735,KW_TP!$A$2:$A$2501,1))))</f>
        <v/>
      </c>
      <c r="Q735" s="18">
        <f>IF(NOT(ISNUMBER($A735)),NA(),IFERROR(1*INDEX(BBG_Data!$J$2:$J$4000,MATCH($A735,BBG_Data!$I$2:$I$4000,0)),NA()))</f>
        <v/>
      </c>
      <c r="R735" s="18">
        <f>IF(NOT(ISNUMBER($A735)),NA(),IFERROR(1*INDEX(BBG_Data!$L$2:$L$4000,MATCH($A735,BBG_Data!$K$2:$K$4000,0)),NA()))</f>
        <v/>
      </c>
      <c r="S735" s="20">
        <f>IF(AND(ISNUMBER(B735),ISNUMBER(Q735),ISNUMBER(R735)),(B735-Q735-R735)*100,NA())</f>
        <v/>
      </c>
      <c r="T735" s="20">
        <f>IF(AND(ISNUMBER(B735),Settings!$B$17&gt;0),IF(ISNUMBER(INDEX($B:$B,Settings!$B$17)),(B735-INDEX($B:$B,Settings!$B$17))*100,NA()),NA())</f>
        <v/>
      </c>
      <c r="U735" s="20">
        <f>IF(AND(ISNUMBER(Q735),Settings!$B$17&gt;0),IF(ISNUMBER(INDEX($Q:$Q,Settings!$B$17)),(Q735-INDEX($Q:$Q,Settings!$B$17))*100,NA()),NA())</f>
        <v/>
      </c>
      <c r="V735" s="20">
        <f>IF(AND(ISNUMBER(R735),Settings!$B$17&gt;0),IF(ISNUMBER(INDEX($R:$R,Settings!$B$17)),(R735-INDEX($R:$R,Settings!$B$17))*100,NA()),NA())</f>
        <v/>
      </c>
      <c r="W735" s="20">
        <f>IF(AND(ISNUMBER(P735),Settings!$B$17&gt;0),IF(ISNUMBER(INDEX($P:$P,Settings!$B$17)),P735-INDEX($P:$P,Settings!$B$17),NA()),NA())</f>
        <v/>
      </c>
      <c r="X735" s="19">
        <f>IF(NOT(ISNUMBER($A735)),NA(),IF(OR($A735&lt;MIN(DKW_10Y!$A$2:$A$2918),$A735&gt;MAX(DKW_10Y!$A$2:$A$2918),Settings!$B$16&lt;MIN(DKW_10Y!$A$2:$A$2918)),NA(),(INDEX(DKW_10Y!$B$2:$B$2918,MATCH($A735,DKW_10Y!$A$2:$A$2918,1))-INDEX(DKW_10Y!$B$2:$B$2918,MATCH(Settings!$B$16,DKW_10Y!$A$2:$A$2918,1)))*100))</f>
        <v/>
      </c>
      <c r="Y735" s="19">
        <f>IF(NOT(ISNUMBER($A735)),NA(),IF(OR($A735&lt;MIN(DKW_10Y!$A$2:$A$2918),$A735&gt;MAX(DKW_10Y!$A$2:$A$2918),Settings!$B$16&lt;MIN(DKW_10Y!$A$2:$A$2918)),NA(),(INDEX(DKW_10Y!$C$2:$C$2918,MATCH($A735,DKW_10Y!$A$2:$A$2918,1))-INDEX(DKW_10Y!$C$2:$C$2918,MATCH(Settings!$B$16,DKW_10Y!$A$2:$A$2918,1)))*100))</f>
        <v/>
      </c>
      <c r="Z735" s="19">
        <f>IF(NOT(ISNUMBER($A735)),NA(),IF(OR($A735&lt;MIN(DKW_10Y!$A$2:$A$2918),$A735&gt;MAX(DKW_10Y!$A$2:$A$2918),Settings!$B$16&lt;MIN(DKW_10Y!$A$2:$A$2918)),NA(),(INDEX(DKW_10Y!$D$2:$D$2918,MATCH($A735,DKW_10Y!$A$2:$A$2918,1))-INDEX(DKW_10Y!$D$2:$D$2918,MATCH(Settings!$B$16,DKW_10Y!$A$2:$A$2918,1)))*100))</f>
        <v/>
      </c>
      <c r="AA735" s="19">
        <f>IF(NOT(ISNUMBER($A735)),NA(),IF(OR($A735&lt;MIN(DKW_10Y!$A$2:$A$2918),$A735&gt;MAX(DKW_10Y!$A$2:$A$2918),Settings!$B$16&lt;MIN(DKW_10Y!$A$2:$A$2918)),NA(),(INDEX(DKW_10Y!$E$2:$E$2918,MATCH($A735,DKW_10Y!$A$2:$A$2918,1))-INDEX(DKW_10Y!$E$2:$E$2918,MATCH(Settings!$B$16,DKW_10Y!$A$2:$A$2918,1)))*100))</f>
        <v/>
      </c>
      <c r="AB735" s="19">
        <f>IF(NOT(ISNUMBER($A735)),NA(),IF(OR($A735&lt;MIN(DKW_10Y!$A$2:$A$2918),$A735&gt;MAX(DKW_10Y!$A$2:$A$2918),Settings!$B$16&lt;MIN(DKW_10Y!$A$2:$A$2918)),NA(),(INDEX(DKW_10Y!$H$2:$H$2918,MATCH($A735,DKW_10Y!$A$2:$A$2918,1))-INDEX(DKW_10Y!$H$2:$H$2918,MATCH(Settings!$B$16,DKW_10Y!$A$2:$A$2918,1)))*100))</f>
        <v/>
      </c>
      <c r="AC735" s="18">
        <f>IF(NOT(ISNUMBER($A735)),NA(),IFERROR(1*INDEX(BBG_Data!$N$2:$N$4000,MATCH($A735,BBG_Data!$M$2:$M$4000,0)),NA()))</f>
        <v/>
      </c>
      <c r="AD735" s="18">
        <f>IF(NOT(ISNUMBER($A735)),NA(),IFERROR(1*INDEX(BBG_Data!$P$2:$P$4000,MATCH($A735,BBG_Data!$O$2:$O$4000,0)),NA()))</f>
        <v/>
      </c>
      <c r="AE735" s="18">
        <f>IF(NOT(ISNUMBER($A735)),NA(),IFERROR(1*INDEX(BBG_Data!$R$2:$R$4000,MATCH($A735,BBG_Data!$Q$2:$Q$4000,0)),NA()))</f>
        <v/>
      </c>
      <c r="AF735" s="20">
        <f>IF(AND(ISNUMBER(B735),ISNUMBER(AC735)),(B735-AC735)*100,NA())</f>
        <v/>
      </c>
      <c r="AG735" s="20">
        <f>IF(AND(ISNUMBER(AE735),ISNUMBER(AD735)),(AE735-AD735)*100,NA())</f>
        <v/>
      </c>
      <c r="AH735" s="19">
        <f>IF(NOT(ISNUMBER($A735)),NA(),IFERROR(INDEX(BBG_Data!$T$2:$T$4000,MATCH($A735,BBG_Data!$S$2:$S$4000,0))*Settings!$B$25,NA()))</f>
        <v/>
      </c>
      <c r="AI735" s="19">
        <f>IF(NOT(ISNUMBER($A735)),NA(),IFERROR(INDEX(BBG_Data!$V$2:$V$4000,MATCH($A735,BBG_Data!$U$2:$U$4000,0))*Settings!$B$25,NA()))</f>
        <v/>
      </c>
      <c r="AJ735" s="19">
        <f>IF(NOT(ISNUMBER($A735)),NA(),IFERROR(1*INDEX(BBG_Data!$X$2:$X$4000,MATCH($A735,BBG_Data!$W$2:$W$4000,0)),NA()))</f>
        <v/>
      </c>
      <c r="AK735" s="19">
        <f>IF(NOT(ISNUMBER($A735)),NA(),IFERROR(1*INDEX(BBG_Data!$Z$2:$Z$4000,MATCH($A735,BBG_Data!$Y$2:$Y$4000,0)),NA()))</f>
        <v/>
      </c>
    </row>
    <row r="736">
      <c r="A736" s="17">
        <f>IF(ISNUMBER(BBG_Data!A736),BBG_Data!A736,"")</f>
        <v/>
      </c>
      <c r="B736" s="18">
        <f>IF(AND(ISNUMBER($A736),ISNUMBER(BBG_Data!B736)),BBG_Data!B736,NA())</f>
        <v/>
      </c>
      <c r="C736" s="18">
        <f>IF(NOT(ISNUMBER($A736)),NA(),IFERROR(1*INDEX(BBG_Data!$D$2:$D$4000,MATCH($A736,BBG_Data!$C$2:$C$4000,0)),NA()))</f>
        <v/>
      </c>
      <c r="D736" s="19">
        <f>IF(NOT(ISNUMBER($A736)),NA(),IFERROR(1*INDEX(BBG_Data!$F$2:$F$4000,MATCH($A736,BBG_Data!$E$2:$E$4000,0)),NA()))</f>
        <v/>
      </c>
      <c r="E736" s="19">
        <f>IF(NOT(ISNUMBER($A736)),NA(),IFERROR(1*INDEX(BBG_Data!$H$2:$H$4000,MATCH($A736,BBG_Data!$G$2:$G$4000,0)),NA()))</f>
        <v/>
      </c>
      <c r="F736" s="20">
        <f>IF(AND(ISNUMBER(B736),ISNUMBER(B735)),IF(B736=B735,"",(B736-B735)*100),"")</f>
        <v/>
      </c>
      <c r="G736" s="20">
        <f>IF(AND(ISNUMBER(C736),ISNUMBER(C735)),IF(C736=C735,"",(C736-C735)*100),"")</f>
        <v/>
      </c>
      <c r="H736" s="20">
        <f>IF(OR(NOT(ISNUMBER($A736)),ROW()-2&lt;Settings!$B$11),NA(),IF(COUNT(OFFSET(F736,1-Settings!$B$11,0,Settings!$B$11,1))&lt;ROUNDUP(Settings!$B$11*Settings!$B$26,0),NA(),STDEV(OFFSET(F736,1-Settings!$B$11,0,Settings!$B$11,1))*SQRT(Settings!$B$13)))</f>
        <v/>
      </c>
      <c r="I736" s="20">
        <f>IF(OR(NOT(ISNUMBER($A736)),ROW()-2&lt;Settings!$B$12),NA(),IF(COUNT(OFFSET(F736,1-Settings!$B$12,0,Settings!$B$12,1))&lt;ROUNDUP(Settings!$B$12*Settings!$B$26,0),NA(),STDEV(OFFSET(F736,1-Settings!$B$12,0,Settings!$B$12,1))*SQRT(Settings!$B$13)))</f>
        <v/>
      </c>
      <c r="J736" s="20">
        <f>IF(OR(NOT(ISNUMBER($A736)),ROW()-2&lt;Settings!$B$11),NA(),IF(COUNT(OFFSET(G736,1-Settings!$B$11,0,Settings!$B$11,1))&lt;ROUNDUP(Settings!$B$11*Settings!$B$26,0),NA(),STDEV(OFFSET(G736,1-Settings!$B$11,0,Settings!$B$11,1))*SQRT(Settings!$B$13)))</f>
        <v/>
      </c>
      <c r="K736" s="20">
        <f>IF(OR(NOT(ISNUMBER($A736)),ROW()-2&lt;Settings!$B$12),NA(),IF(COUNT(OFFSET(G736,1-Settings!$B$12,0,Settings!$B$12,1))&lt;ROUNDUP(Settings!$B$12*Settings!$B$26,0),NA(),STDEV(OFFSET(G736,1-Settings!$B$12,0,Settings!$B$12,1))*SQRT(Settings!$B$13)))</f>
        <v/>
      </c>
      <c r="L736" s="20">
        <f>IF(AND(ISNUMBER(D736),ISNUMBER(H736)),D736-H736,NA())</f>
        <v/>
      </c>
      <c r="M736" s="20">
        <f>IF(AND(ISNUMBER(E736),ISNUMBER(K736)),E736-K736,NA())</f>
        <v/>
      </c>
      <c r="N736" s="20">
        <f>IF(NOT(ISNUMBER($A736)),NA(),IF(COUNT(OFFSET(G736,1,0,Settings!$B$12,1))&lt;ROUNDUP(Settings!$B$12*Settings!$B$26,0),NA(),STDEV(OFFSET(G736,1,0,Settings!$B$12,1))*SQRT(Settings!$B$13)))</f>
        <v/>
      </c>
      <c r="O736" s="20">
        <f>IF(AND(ISNUMBER(E736),ISNUMBER(N736)),E736-N736,NA())</f>
        <v/>
      </c>
      <c r="P736" s="19">
        <f>IF(NOT(ISNUMBER($A736)),NA(),IF(OR($A736&lt;MIN(KW_TP!$A$2:$A$2501),$A736&gt;MAX(KW_TP!$A$2:$A$2501)),NA(),INDEX(KW_TP!$C$2:$C$2501,MATCH($A736,KW_TP!$A$2:$A$2501,1))))</f>
        <v/>
      </c>
      <c r="Q736" s="18">
        <f>IF(NOT(ISNUMBER($A736)),NA(),IFERROR(1*INDEX(BBG_Data!$J$2:$J$4000,MATCH($A736,BBG_Data!$I$2:$I$4000,0)),NA()))</f>
        <v/>
      </c>
      <c r="R736" s="18">
        <f>IF(NOT(ISNUMBER($A736)),NA(),IFERROR(1*INDEX(BBG_Data!$L$2:$L$4000,MATCH($A736,BBG_Data!$K$2:$K$4000,0)),NA()))</f>
        <v/>
      </c>
      <c r="S736" s="20">
        <f>IF(AND(ISNUMBER(B736),ISNUMBER(Q736),ISNUMBER(R736)),(B736-Q736-R736)*100,NA())</f>
        <v/>
      </c>
      <c r="T736" s="20">
        <f>IF(AND(ISNUMBER(B736),Settings!$B$17&gt;0),IF(ISNUMBER(INDEX($B:$B,Settings!$B$17)),(B736-INDEX($B:$B,Settings!$B$17))*100,NA()),NA())</f>
        <v/>
      </c>
      <c r="U736" s="20">
        <f>IF(AND(ISNUMBER(Q736),Settings!$B$17&gt;0),IF(ISNUMBER(INDEX($Q:$Q,Settings!$B$17)),(Q736-INDEX($Q:$Q,Settings!$B$17))*100,NA()),NA())</f>
        <v/>
      </c>
      <c r="V736" s="20">
        <f>IF(AND(ISNUMBER(R736),Settings!$B$17&gt;0),IF(ISNUMBER(INDEX($R:$R,Settings!$B$17)),(R736-INDEX($R:$R,Settings!$B$17))*100,NA()),NA())</f>
        <v/>
      </c>
      <c r="W736" s="20">
        <f>IF(AND(ISNUMBER(P736),Settings!$B$17&gt;0),IF(ISNUMBER(INDEX($P:$P,Settings!$B$17)),P736-INDEX($P:$P,Settings!$B$17),NA()),NA())</f>
        <v/>
      </c>
      <c r="X736" s="19">
        <f>IF(NOT(ISNUMBER($A736)),NA(),IF(OR($A736&lt;MIN(DKW_10Y!$A$2:$A$2918),$A736&gt;MAX(DKW_10Y!$A$2:$A$2918),Settings!$B$16&lt;MIN(DKW_10Y!$A$2:$A$2918)),NA(),(INDEX(DKW_10Y!$B$2:$B$2918,MATCH($A736,DKW_10Y!$A$2:$A$2918,1))-INDEX(DKW_10Y!$B$2:$B$2918,MATCH(Settings!$B$16,DKW_10Y!$A$2:$A$2918,1)))*100))</f>
        <v/>
      </c>
      <c r="Y736" s="19">
        <f>IF(NOT(ISNUMBER($A736)),NA(),IF(OR($A736&lt;MIN(DKW_10Y!$A$2:$A$2918),$A736&gt;MAX(DKW_10Y!$A$2:$A$2918),Settings!$B$16&lt;MIN(DKW_10Y!$A$2:$A$2918)),NA(),(INDEX(DKW_10Y!$C$2:$C$2918,MATCH($A736,DKW_10Y!$A$2:$A$2918,1))-INDEX(DKW_10Y!$C$2:$C$2918,MATCH(Settings!$B$16,DKW_10Y!$A$2:$A$2918,1)))*100))</f>
        <v/>
      </c>
      <c r="Z736" s="19">
        <f>IF(NOT(ISNUMBER($A736)),NA(),IF(OR($A736&lt;MIN(DKW_10Y!$A$2:$A$2918),$A736&gt;MAX(DKW_10Y!$A$2:$A$2918),Settings!$B$16&lt;MIN(DKW_10Y!$A$2:$A$2918)),NA(),(INDEX(DKW_10Y!$D$2:$D$2918,MATCH($A736,DKW_10Y!$A$2:$A$2918,1))-INDEX(DKW_10Y!$D$2:$D$2918,MATCH(Settings!$B$16,DKW_10Y!$A$2:$A$2918,1)))*100))</f>
        <v/>
      </c>
      <c r="AA736" s="19">
        <f>IF(NOT(ISNUMBER($A736)),NA(),IF(OR($A736&lt;MIN(DKW_10Y!$A$2:$A$2918),$A736&gt;MAX(DKW_10Y!$A$2:$A$2918),Settings!$B$16&lt;MIN(DKW_10Y!$A$2:$A$2918)),NA(),(INDEX(DKW_10Y!$E$2:$E$2918,MATCH($A736,DKW_10Y!$A$2:$A$2918,1))-INDEX(DKW_10Y!$E$2:$E$2918,MATCH(Settings!$B$16,DKW_10Y!$A$2:$A$2918,1)))*100))</f>
        <v/>
      </c>
      <c r="AB736" s="19">
        <f>IF(NOT(ISNUMBER($A736)),NA(),IF(OR($A736&lt;MIN(DKW_10Y!$A$2:$A$2918),$A736&gt;MAX(DKW_10Y!$A$2:$A$2918),Settings!$B$16&lt;MIN(DKW_10Y!$A$2:$A$2918)),NA(),(INDEX(DKW_10Y!$H$2:$H$2918,MATCH($A736,DKW_10Y!$A$2:$A$2918,1))-INDEX(DKW_10Y!$H$2:$H$2918,MATCH(Settings!$B$16,DKW_10Y!$A$2:$A$2918,1)))*100))</f>
        <v/>
      </c>
      <c r="AC736" s="18">
        <f>IF(NOT(ISNUMBER($A736)),NA(),IFERROR(1*INDEX(BBG_Data!$N$2:$N$4000,MATCH($A736,BBG_Data!$M$2:$M$4000,0)),NA()))</f>
        <v/>
      </c>
      <c r="AD736" s="18">
        <f>IF(NOT(ISNUMBER($A736)),NA(),IFERROR(1*INDEX(BBG_Data!$P$2:$P$4000,MATCH($A736,BBG_Data!$O$2:$O$4000,0)),NA()))</f>
        <v/>
      </c>
      <c r="AE736" s="18">
        <f>IF(NOT(ISNUMBER($A736)),NA(),IFERROR(1*INDEX(BBG_Data!$R$2:$R$4000,MATCH($A736,BBG_Data!$Q$2:$Q$4000,0)),NA()))</f>
        <v/>
      </c>
      <c r="AF736" s="20">
        <f>IF(AND(ISNUMBER(B736),ISNUMBER(AC736)),(B736-AC736)*100,NA())</f>
        <v/>
      </c>
      <c r="AG736" s="20">
        <f>IF(AND(ISNUMBER(AE736),ISNUMBER(AD736)),(AE736-AD736)*100,NA())</f>
        <v/>
      </c>
      <c r="AH736" s="19">
        <f>IF(NOT(ISNUMBER($A736)),NA(),IFERROR(INDEX(BBG_Data!$T$2:$T$4000,MATCH($A736,BBG_Data!$S$2:$S$4000,0))*Settings!$B$25,NA()))</f>
        <v/>
      </c>
      <c r="AI736" s="19">
        <f>IF(NOT(ISNUMBER($A736)),NA(),IFERROR(INDEX(BBG_Data!$V$2:$V$4000,MATCH($A736,BBG_Data!$U$2:$U$4000,0))*Settings!$B$25,NA()))</f>
        <v/>
      </c>
      <c r="AJ736" s="19">
        <f>IF(NOT(ISNUMBER($A736)),NA(),IFERROR(1*INDEX(BBG_Data!$X$2:$X$4000,MATCH($A736,BBG_Data!$W$2:$W$4000,0)),NA()))</f>
        <v/>
      </c>
      <c r="AK736" s="19">
        <f>IF(NOT(ISNUMBER($A736)),NA(),IFERROR(1*INDEX(BBG_Data!$Z$2:$Z$4000,MATCH($A736,BBG_Data!$Y$2:$Y$4000,0)),NA()))</f>
        <v/>
      </c>
    </row>
    <row r="737">
      <c r="A737" s="17">
        <f>IF(ISNUMBER(BBG_Data!A737),BBG_Data!A737,"")</f>
        <v/>
      </c>
      <c r="B737" s="18">
        <f>IF(AND(ISNUMBER($A737),ISNUMBER(BBG_Data!B737)),BBG_Data!B737,NA())</f>
        <v/>
      </c>
      <c r="C737" s="18">
        <f>IF(NOT(ISNUMBER($A737)),NA(),IFERROR(1*INDEX(BBG_Data!$D$2:$D$4000,MATCH($A737,BBG_Data!$C$2:$C$4000,0)),NA()))</f>
        <v/>
      </c>
      <c r="D737" s="19">
        <f>IF(NOT(ISNUMBER($A737)),NA(),IFERROR(1*INDEX(BBG_Data!$F$2:$F$4000,MATCH($A737,BBG_Data!$E$2:$E$4000,0)),NA()))</f>
        <v/>
      </c>
      <c r="E737" s="19">
        <f>IF(NOT(ISNUMBER($A737)),NA(),IFERROR(1*INDEX(BBG_Data!$H$2:$H$4000,MATCH($A737,BBG_Data!$G$2:$G$4000,0)),NA()))</f>
        <v/>
      </c>
      <c r="F737" s="20">
        <f>IF(AND(ISNUMBER(B737),ISNUMBER(B736)),IF(B737=B736,"",(B737-B736)*100),"")</f>
        <v/>
      </c>
      <c r="G737" s="20">
        <f>IF(AND(ISNUMBER(C737),ISNUMBER(C736)),IF(C737=C736,"",(C737-C736)*100),"")</f>
        <v/>
      </c>
      <c r="H737" s="20">
        <f>IF(OR(NOT(ISNUMBER($A737)),ROW()-2&lt;Settings!$B$11),NA(),IF(COUNT(OFFSET(F737,1-Settings!$B$11,0,Settings!$B$11,1))&lt;ROUNDUP(Settings!$B$11*Settings!$B$26,0),NA(),STDEV(OFFSET(F737,1-Settings!$B$11,0,Settings!$B$11,1))*SQRT(Settings!$B$13)))</f>
        <v/>
      </c>
      <c r="I737" s="20">
        <f>IF(OR(NOT(ISNUMBER($A737)),ROW()-2&lt;Settings!$B$12),NA(),IF(COUNT(OFFSET(F737,1-Settings!$B$12,0,Settings!$B$12,1))&lt;ROUNDUP(Settings!$B$12*Settings!$B$26,0),NA(),STDEV(OFFSET(F737,1-Settings!$B$12,0,Settings!$B$12,1))*SQRT(Settings!$B$13)))</f>
        <v/>
      </c>
      <c r="J737" s="20">
        <f>IF(OR(NOT(ISNUMBER($A737)),ROW()-2&lt;Settings!$B$11),NA(),IF(COUNT(OFFSET(G737,1-Settings!$B$11,0,Settings!$B$11,1))&lt;ROUNDUP(Settings!$B$11*Settings!$B$26,0),NA(),STDEV(OFFSET(G737,1-Settings!$B$11,0,Settings!$B$11,1))*SQRT(Settings!$B$13)))</f>
        <v/>
      </c>
      <c r="K737" s="20">
        <f>IF(OR(NOT(ISNUMBER($A737)),ROW()-2&lt;Settings!$B$12),NA(),IF(COUNT(OFFSET(G737,1-Settings!$B$12,0,Settings!$B$12,1))&lt;ROUNDUP(Settings!$B$12*Settings!$B$26,0),NA(),STDEV(OFFSET(G737,1-Settings!$B$12,0,Settings!$B$12,1))*SQRT(Settings!$B$13)))</f>
        <v/>
      </c>
      <c r="L737" s="20">
        <f>IF(AND(ISNUMBER(D737),ISNUMBER(H737)),D737-H737,NA())</f>
        <v/>
      </c>
      <c r="M737" s="20">
        <f>IF(AND(ISNUMBER(E737),ISNUMBER(K737)),E737-K737,NA())</f>
        <v/>
      </c>
      <c r="N737" s="20">
        <f>IF(NOT(ISNUMBER($A737)),NA(),IF(COUNT(OFFSET(G737,1,0,Settings!$B$12,1))&lt;ROUNDUP(Settings!$B$12*Settings!$B$26,0),NA(),STDEV(OFFSET(G737,1,0,Settings!$B$12,1))*SQRT(Settings!$B$13)))</f>
        <v/>
      </c>
      <c r="O737" s="20">
        <f>IF(AND(ISNUMBER(E737),ISNUMBER(N737)),E737-N737,NA())</f>
        <v/>
      </c>
      <c r="P737" s="19">
        <f>IF(NOT(ISNUMBER($A737)),NA(),IF(OR($A737&lt;MIN(KW_TP!$A$2:$A$2501),$A737&gt;MAX(KW_TP!$A$2:$A$2501)),NA(),INDEX(KW_TP!$C$2:$C$2501,MATCH($A737,KW_TP!$A$2:$A$2501,1))))</f>
        <v/>
      </c>
      <c r="Q737" s="18">
        <f>IF(NOT(ISNUMBER($A737)),NA(),IFERROR(1*INDEX(BBG_Data!$J$2:$J$4000,MATCH($A737,BBG_Data!$I$2:$I$4000,0)),NA()))</f>
        <v/>
      </c>
      <c r="R737" s="18">
        <f>IF(NOT(ISNUMBER($A737)),NA(),IFERROR(1*INDEX(BBG_Data!$L$2:$L$4000,MATCH($A737,BBG_Data!$K$2:$K$4000,0)),NA()))</f>
        <v/>
      </c>
      <c r="S737" s="20">
        <f>IF(AND(ISNUMBER(B737),ISNUMBER(Q737),ISNUMBER(R737)),(B737-Q737-R737)*100,NA())</f>
        <v/>
      </c>
      <c r="T737" s="20">
        <f>IF(AND(ISNUMBER(B737),Settings!$B$17&gt;0),IF(ISNUMBER(INDEX($B:$B,Settings!$B$17)),(B737-INDEX($B:$B,Settings!$B$17))*100,NA()),NA())</f>
        <v/>
      </c>
      <c r="U737" s="20">
        <f>IF(AND(ISNUMBER(Q737),Settings!$B$17&gt;0),IF(ISNUMBER(INDEX($Q:$Q,Settings!$B$17)),(Q737-INDEX($Q:$Q,Settings!$B$17))*100,NA()),NA())</f>
        <v/>
      </c>
      <c r="V737" s="20">
        <f>IF(AND(ISNUMBER(R737),Settings!$B$17&gt;0),IF(ISNUMBER(INDEX($R:$R,Settings!$B$17)),(R737-INDEX($R:$R,Settings!$B$17))*100,NA()),NA())</f>
        <v/>
      </c>
      <c r="W737" s="20">
        <f>IF(AND(ISNUMBER(P737),Settings!$B$17&gt;0),IF(ISNUMBER(INDEX($P:$P,Settings!$B$17)),P737-INDEX($P:$P,Settings!$B$17),NA()),NA())</f>
        <v/>
      </c>
      <c r="X737" s="19">
        <f>IF(NOT(ISNUMBER($A737)),NA(),IF(OR($A737&lt;MIN(DKW_10Y!$A$2:$A$2918),$A737&gt;MAX(DKW_10Y!$A$2:$A$2918),Settings!$B$16&lt;MIN(DKW_10Y!$A$2:$A$2918)),NA(),(INDEX(DKW_10Y!$B$2:$B$2918,MATCH($A737,DKW_10Y!$A$2:$A$2918,1))-INDEX(DKW_10Y!$B$2:$B$2918,MATCH(Settings!$B$16,DKW_10Y!$A$2:$A$2918,1)))*100))</f>
        <v/>
      </c>
      <c r="Y737" s="19">
        <f>IF(NOT(ISNUMBER($A737)),NA(),IF(OR($A737&lt;MIN(DKW_10Y!$A$2:$A$2918),$A737&gt;MAX(DKW_10Y!$A$2:$A$2918),Settings!$B$16&lt;MIN(DKW_10Y!$A$2:$A$2918)),NA(),(INDEX(DKW_10Y!$C$2:$C$2918,MATCH($A737,DKW_10Y!$A$2:$A$2918,1))-INDEX(DKW_10Y!$C$2:$C$2918,MATCH(Settings!$B$16,DKW_10Y!$A$2:$A$2918,1)))*100))</f>
        <v/>
      </c>
      <c r="Z737" s="19">
        <f>IF(NOT(ISNUMBER($A737)),NA(),IF(OR($A737&lt;MIN(DKW_10Y!$A$2:$A$2918),$A737&gt;MAX(DKW_10Y!$A$2:$A$2918),Settings!$B$16&lt;MIN(DKW_10Y!$A$2:$A$2918)),NA(),(INDEX(DKW_10Y!$D$2:$D$2918,MATCH($A737,DKW_10Y!$A$2:$A$2918,1))-INDEX(DKW_10Y!$D$2:$D$2918,MATCH(Settings!$B$16,DKW_10Y!$A$2:$A$2918,1)))*100))</f>
        <v/>
      </c>
      <c r="AA737" s="19">
        <f>IF(NOT(ISNUMBER($A737)),NA(),IF(OR($A737&lt;MIN(DKW_10Y!$A$2:$A$2918),$A737&gt;MAX(DKW_10Y!$A$2:$A$2918),Settings!$B$16&lt;MIN(DKW_10Y!$A$2:$A$2918)),NA(),(INDEX(DKW_10Y!$E$2:$E$2918,MATCH($A737,DKW_10Y!$A$2:$A$2918,1))-INDEX(DKW_10Y!$E$2:$E$2918,MATCH(Settings!$B$16,DKW_10Y!$A$2:$A$2918,1)))*100))</f>
        <v/>
      </c>
      <c r="AB737" s="19">
        <f>IF(NOT(ISNUMBER($A737)),NA(),IF(OR($A737&lt;MIN(DKW_10Y!$A$2:$A$2918),$A737&gt;MAX(DKW_10Y!$A$2:$A$2918),Settings!$B$16&lt;MIN(DKW_10Y!$A$2:$A$2918)),NA(),(INDEX(DKW_10Y!$H$2:$H$2918,MATCH($A737,DKW_10Y!$A$2:$A$2918,1))-INDEX(DKW_10Y!$H$2:$H$2918,MATCH(Settings!$B$16,DKW_10Y!$A$2:$A$2918,1)))*100))</f>
        <v/>
      </c>
      <c r="AC737" s="18">
        <f>IF(NOT(ISNUMBER($A737)),NA(),IFERROR(1*INDEX(BBG_Data!$N$2:$N$4000,MATCH($A737,BBG_Data!$M$2:$M$4000,0)),NA()))</f>
        <v/>
      </c>
      <c r="AD737" s="18">
        <f>IF(NOT(ISNUMBER($A737)),NA(),IFERROR(1*INDEX(BBG_Data!$P$2:$P$4000,MATCH($A737,BBG_Data!$O$2:$O$4000,0)),NA()))</f>
        <v/>
      </c>
      <c r="AE737" s="18">
        <f>IF(NOT(ISNUMBER($A737)),NA(),IFERROR(1*INDEX(BBG_Data!$R$2:$R$4000,MATCH($A737,BBG_Data!$Q$2:$Q$4000,0)),NA()))</f>
        <v/>
      </c>
      <c r="AF737" s="20">
        <f>IF(AND(ISNUMBER(B737),ISNUMBER(AC737)),(B737-AC737)*100,NA())</f>
        <v/>
      </c>
      <c r="AG737" s="20">
        <f>IF(AND(ISNUMBER(AE737),ISNUMBER(AD737)),(AE737-AD737)*100,NA())</f>
        <v/>
      </c>
      <c r="AH737" s="19">
        <f>IF(NOT(ISNUMBER($A737)),NA(),IFERROR(INDEX(BBG_Data!$T$2:$T$4000,MATCH($A737,BBG_Data!$S$2:$S$4000,0))*Settings!$B$25,NA()))</f>
        <v/>
      </c>
      <c r="AI737" s="19">
        <f>IF(NOT(ISNUMBER($A737)),NA(),IFERROR(INDEX(BBG_Data!$V$2:$V$4000,MATCH($A737,BBG_Data!$U$2:$U$4000,0))*Settings!$B$25,NA()))</f>
        <v/>
      </c>
      <c r="AJ737" s="19">
        <f>IF(NOT(ISNUMBER($A737)),NA(),IFERROR(1*INDEX(BBG_Data!$X$2:$X$4000,MATCH($A737,BBG_Data!$W$2:$W$4000,0)),NA()))</f>
        <v/>
      </c>
      <c r="AK737" s="19">
        <f>IF(NOT(ISNUMBER($A737)),NA(),IFERROR(1*INDEX(BBG_Data!$Z$2:$Z$4000,MATCH($A737,BBG_Data!$Y$2:$Y$4000,0)),NA()))</f>
        <v/>
      </c>
    </row>
    <row r="738">
      <c r="A738" s="17">
        <f>IF(ISNUMBER(BBG_Data!A738),BBG_Data!A738,"")</f>
        <v/>
      </c>
      <c r="B738" s="18">
        <f>IF(AND(ISNUMBER($A738),ISNUMBER(BBG_Data!B738)),BBG_Data!B738,NA())</f>
        <v/>
      </c>
      <c r="C738" s="18">
        <f>IF(NOT(ISNUMBER($A738)),NA(),IFERROR(1*INDEX(BBG_Data!$D$2:$D$4000,MATCH($A738,BBG_Data!$C$2:$C$4000,0)),NA()))</f>
        <v/>
      </c>
      <c r="D738" s="19">
        <f>IF(NOT(ISNUMBER($A738)),NA(),IFERROR(1*INDEX(BBG_Data!$F$2:$F$4000,MATCH($A738,BBG_Data!$E$2:$E$4000,0)),NA()))</f>
        <v/>
      </c>
      <c r="E738" s="19">
        <f>IF(NOT(ISNUMBER($A738)),NA(),IFERROR(1*INDEX(BBG_Data!$H$2:$H$4000,MATCH($A738,BBG_Data!$G$2:$G$4000,0)),NA()))</f>
        <v/>
      </c>
      <c r="F738" s="20">
        <f>IF(AND(ISNUMBER(B738),ISNUMBER(B737)),IF(B738=B737,"",(B738-B737)*100),"")</f>
        <v/>
      </c>
      <c r="G738" s="20">
        <f>IF(AND(ISNUMBER(C738),ISNUMBER(C737)),IF(C738=C737,"",(C738-C737)*100),"")</f>
        <v/>
      </c>
      <c r="H738" s="20">
        <f>IF(OR(NOT(ISNUMBER($A738)),ROW()-2&lt;Settings!$B$11),NA(),IF(COUNT(OFFSET(F738,1-Settings!$B$11,0,Settings!$B$11,1))&lt;ROUNDUP(Settings!$B$11*Settings!$B$26,0),NA(),STDEV(OFFSET(F738,1-Settings!$B$11,0,Settings!$B$11,1))*SQRT(Settings!$B$13)))</f>
        <v/>
      </c>
      <c r="I738" s="20">
        <f>IF(OR(NOT(ISNUMBER($A738)),ROW()-2&lt;Settings!$B$12),NA(),IF(COUNT(OFFSET(F738,1-Settings!$B$12,0,Settings!$B$12,1))&lt;ROUNDUP(Settings!$B$12*Settings!$B$26,0),NA(),STDEV(OFFSET(F738,1-Settings!$B$12,0,Settings!$B$12,1))*SQRT(Settings!$B$13)))</f>
        <v/>
      </c>
      <c r="J738" s="20">
        <f>IF(OR(NOT(ISNUMBER($A738)),ROW()-2&lt;Settings!$B$11),NA(),IF(COUNT(OFFSET(G738,1-Settings!$B$11,0,Settings!$B$11,1))&lt;ROUNDUP(Settings!$B$11*Settings!$B$26,0),NA(),STDEV(OFFSET(G738,1-Settings!$B$11,0,Settings!$B$11,1))*SQRT(Settings!$B$13)))</f>
        <v/>
      </c>
      <c r="K738" s="20">
        <f>IF(OR(NOT(ISNUMBER($A738)),ROW()-2&lt;Settings!$B$12),NA(),IF(COUNT(OFFSET(G738,1-Settings!$B$12,0,Settings!$B$12,1))&lt;ROUNDUP(Settings!$B$12*Settings!$B$26,0),NA(),STDEV(OFFSET(G738,1-Settings!$B$12,0,Settings!$B$12,1))*SQRT(Settings!$B$13)))</f>
        <v/>
      </c>
      <c r="L738" s="20">
        <f>IF(AND(ISNUMBER(D738),ISNUMBER(H738)),D738-H738,NA())</f>
        <v/>
      </c>
      <c r="M738" s="20">
        <f>IF(AND(ISNUMBER(E738),ISNUMBER(K738)),E738-K738,NA())</f>
        <v/>
      </c>
      <c r="N738" s="20">
        <f>IF(NOT(ISNUMBER($A738)),NA(),IF(COUNT(OFFSET(G738,1,0,Settings!$B$12,1))&lt;ROUNDUP(Settings!$B$12*Settings!$B$26,0),NA(),STDEV(OFFSET(G738,1,0,Settings!$B$12,1))*SQRT(Settings!$B$13)))</f>
        <v/>
      </c>
      <c r="O738" s="20">
        <f>IF(AND(ISNUMBER(E738),ISNUMBER(N738)),E738-N738,NA())</f>
        <v/>
      </c>
      <c r="P738" s="19">
        <f>IF(NOT(ISNUMBER($A738)),NA(),IF(OR($A738&lt;MIN(KW_TP!$A$2:$A$2501),$A738&gt;MAX(KW_TP!$A$2:$A$2501)),NA(),INDEX(KW_TP!$C$2:$C$2501,MATCH($A738,KW_TP!$A$2:$A$2501,1))))</f>
        <v/>
      </c>
      <c r="Q738" s="18">
        <f>IF(NOT(ISNUMBER($A738)),NA(),IFERROR(1*INDEX(BBG_Data!$J$2:$J$4000,MATCH($A738,BBG_Data!$I$2:$I$4000,0)),NA()))</f>
        <v/>
      </c>
      <c r="R738" s="18">
        <f>IF(NOT(ISNUMBER($A738)),NA(),IFERROR(1*INDEX(BBG_Data!$L$2:$L$4000,MATCH($A738,BBG_Data!$K$2:$K$4000,0)),NA()))</f>
        <v/>
      </c>
      <c r="S738" s="20">
        <f>IF(AND(ISNUMBER(B738),ISNUMBER(Q738),ISNUMBER(R738)),(B738-Q738-R738)*100,NA())</f>
        <v/>
      </c>
      <c r="T738" s="20">
        <f>IF(AND(ISNUMBER(B738),Settings!$B$17&gt;0),IF(ISNUMBER(INDEX($B:$B,Settings!$B$17)),(B738-INDEX($B:$B,Settings!$B$17))*100,NA()),NA())</f>
        <v/>
      </c>
      <c r="U738" s="20">
        <f>IF(AND(ISNUMBER(Q738),Settings!$B$17&gt;0),IF(ISNUMBER(INDEX($Q:$Q,Settings!$B$17)),(Q738-INDEX($Q:$Q,Settings!$B$17))*100,NA()),NA())</f>
        <v/>
      </c>
      <c r="V738" s="20">
        <f>IF(AND(ISNUMBER(R738),Settings!$B$17&gt;0),IF(ISNUMBER(INDEX($R:$R,Settings!$B$17)),(R738-INDEX($R:$R,Settings!$B$17))*100,NA()),NA())</f>
        <v/>
      </c>
      <c r="W738" s="20">
        <f>IF(AND(ISNUMBER(P738),Settings!$B$17&gt;0),IF(ISNUMBER(INDEX($P:$P,Settings!$B$17)),P738-INDEX($P:$P,Settings!$B$17),NA()),NA())</f>
        <v/>
      </c>
      <c r="X738" s="19">
        <f>IF(NOT(ISNUMBER($A738)),NA(),IF(OR($A738&lt;MIN(DKW_10Y!$A$2:$A$2918),$A738&gt;MAX(DKW_10Y!$A$2:$A$2918),Settings!$B$16&lt;MIN(DKW_10Y!$A$2:$A$2918)),NA(),(INDEX(DKW_10Y!$B$2:$B$2918,MATCH($A738,DKW_10Y!$A$2:$A$2918,1))-INDEX(DKW_10Y!$B$2:$B$2918,MATCH(Settings!$B$16,DKW_10Y!$A$2:$A$2918,1)))*100))</f>
        <v/>
      </c>
      <c r="Y738" s="19">
        <f>IF(NOT(ISNUMBER($A738)),NA(),IF(OR($A738&lt;MIN(DKW_10Y!$A$2:$A$2918),$A738&gt;MAX(DKW_10Y!$A$2:$A$2918),Settings!$B$16&lt;MIN(DKW_10Y!$A$2:$A$2918)),NA(),(INDEX(DKW_10Y!$C$2:$C$2918,MATCH($A738,DKW_10Y!$A$2:$A$2918,1))-INDEX(DKW_10Y!$C$2:$C$2918,MATCH(Settings!$B$16,DKW_10Y!$A$2:$A$2918,1)))*100))</f>
        <v/>
      </c>
      <c r="Z738" s="19">
        <f>IF(NOT(ISNUMBER($A738)),NA(),IF(OR($A738&lt;MIN(DKW_10Y!$A$2:$A$2918),$A738&gt;MAX(DKW_10Y!$A$2:$A$2918),Settings!$B$16&lt;MIN(DKW_10Y!$A$2:$A$2918)),NA(),(INDEX(DKW_10Y!$D$2:$D$2918,MATCH($A738,DKW_10Y!$A$2:$A$2918,1))-INDEX(DKW_10Y!$D$2:$D$2918,MATCH(Settings!$B$16,DKW_10Y!$A$2:$A$2918,1)))*100))</f>
        <v/>
      </c>
      <c r="AA738" s="19">
        <f>IF(NOT(ISNUMBER($A738)),NA(),IF(OR($A738&lt;MIN(DKW_10Y!$A$2:$A$2918),$A738&gt;MAX(DKW_10Y!$A$2:$A$2918),Settings!$B$16&lt;MIN(DKW_10Y!$A$2:$A$2918)),NA(),(INDEX(DKW_10Y!$E$2:$E$2918,MATCH($A738,DKW_10Y!$A$2:$A$2918,1))-INDEX(DKW_10Y!$E$2:$E$2918,MATCH(Settings!$B$16,DKW_10Y!$A$2:$A$2918,1)))*100))</f>
        <v/>
      </c>
      <c r="AB738" s="19">
        <f>IF(NOT(ISNUMBER($A738)),NA(),IF(OR($A738&lt;MIN(DKW_10Y!$A$2:$A$2918),$A738&gt;MAX(DKW_10Y!$A$2:$A$2918),Settings!$B$16&lt;MIN(DKW_10Y!$A$2:$A$2918)),NA(),(INDEX(DKW_10Y!$H$2:$H$2918,MATCH($A738,DKW_10Y!$A$2:$A$2918,1))-INDEX(DKW_10Y!$H$2:$H$2918,MATCH(Settings!$B$16,DKW_10Y!$A$2:$A$2918,1)))*100))</f>
        <v/>
      </c>
      <c r="AC738" s="18">
        <f>IF(NOT(ISNUMBER($A738)),NA(),IFERROR(1*INDEX(BBG_Data!$N$2:$N$4000,MATCH($A738,BBG_Data!$M$2:$M$4000,0)),NA()))</f>
        <v/>
      </c>
      <c r="AD738" s="18">
        <f>IF(NOT(ISNUMBER($A738)),NA(),IFERROR(1*INDEX(BBG_Data!$P$2:$P$4000,MATCH($A738,BBG_Data!$O$2:$O$4000,0)),NA()))</f>
        <v/>
      </c>
      <c r="AE738" s="18">
        <f>IF(NOT(ISNUMBER($A738)),NA(),IFERROR(1*INDEX(BBG_Data!$R$2:$R$4000,MATCH($A738,BBG_Data!$Q$2:$Q$4000,0)),NA()))</f>
        <v/>
      </c>
      <c r="AF738" s="20">
        <f>IF(AND(ISNUMBER(B738),ISNUMBER(AC738)),(B738-AC738)*100,NA())</f>
        <v/>
      </c>
      <c r="AG738" s="20">
        <f>IF(AND(ISNUMBER(AE738),ISNUMBER(AD738)),(AE738-AD738)*100,NA())</f>
        <v/>
      </c>
      <c r="AH738" s="19">
        <f>IF(NOT(ISNUMBER($A738)),NA(),IFERROR(INDEX(BBG_Data!$T$2:$T$4000,MATCH($A738,BBG_Data!$S$2:$S$4000,0))*Settings!$B$25,NA()))</f>
        <v/>
      </c>
      <c r="AI738" s="19">
        <f>IF(NOT(ISNUMBER($A738)),NA(),IFERROR(INDEX(BBG_Data!$V$2:$V$4000,MATCH($A738,BBG_Data!$U$2:$U$4000,0))*Settings!$B$25,NA()))</f>
        <v/>
      </c>
      <c r="AJ738" s="19">
        <f>IF(NOT(ISNUMBER($A738)),NA(),IFERROR(1*INDEX(BBG_Data!$X$2:$X$4000,MATCH($A738,BBG_Data!$W$2:$W$4000,0)),NA()))</f>
        <v/>
      </c>
      <c r="AK738" s="19">
        <f>IF(NOT(ISNUMBER($A738)),NA(),IFERROR(1*INDEX(BBG_Data!$Z$2:$Z$4000,MATCH($A738,BBG_Data!$Y$2:$Y$4000,0)),NA()))</f>
        <v/>
      </c>
    </row>
    <row r="739">
      <c r="A739" s="17">
        <f>IF(ISNUMBER(BBG_Data!A739),BBG_Data!A739,"")</f>
        <v/>
      </c>
      <c r="B739" s="18">
        <f>IF(AND(ISNUMBER($A739),ISNUMBER(BBG_Data!B739)),BBG_Data!B739,NA())</f>
        <v/>
      </c>
      <c r="C739" s="18">
        <f>IF(NOT(ISNUMBER($A739)),NA(),IFERROR(1*INDEX(BBG_Data!$D$2:$D$4000,MATCH($A739,BBG_Data!$C$2:$C$4000,0)),NA()))</f>
        <v/>
      </c>
      <c r="D739" s="19">
        <f>IF(NOT(ISNUMBER($A739)),NA(),IFERROR(1*INDEX(BBG_Data!$F$2:$F$4000,MATCH($A739,BBG_Data!$E$2:$E$4000,0)),NA()))</f>
        <v/>
      </c>
      <c r="E739" s="19">
        <f>IF(NOT(ISNUMBER($A739)),NA(),IFERROR(1*INDEX(BBG_Data!$H$2:$H$4000,MATCH($A739,BBG_Data!$G$2:$G$4000,0)),NA()))</f>
        <v/>
      </c>
      <c r="F739" s="20">
        <f>IF(AND(ISNUMBER(B739),ISNUMBER(B738)),IF(B739=B738,"",(B739-B738)*100),"")</f>
        <v/>
      </c>
      <c r="G739" s="20">
        <f>IF(AND(ISNUMBER(C739),ISNUMBER(C738)),IF(C739=C738,"",(C739-C738)*100),"")</f>
        <v/>
      </c>
      <c r="H739" s="20">
        <f>IF(OR(NOT(ISNUMBER($A739)),ROW()-2&lt;Settings!$B$11),NA(),IF(COUNT(OFFSET(F739,1-Settings!$B$11,0,Settings!$B$11,1))&lt;ROUNDUP(Settings!$B$11*Settings!$B$26,0),NA(),STDEV(OFFSET(F739,1-Settings!$B$11,0,Settings!$B$11,1))*SQRT(Settings!$B$13)))</f>
        <v/>
      </c>
      <c r="I739" s="20">
        <f>IF(OR(NOT(ISNUMBER($A739)),ROW()-2&lt;Settings!$B$12),NA(),IF(COUNT(OFFSET(F739,1-Settings!$B$12,0,Settings!$B$12,1))&lt;ROUNDUP(Settings!$B$12*Settings!$B$26,0),NA(),STDEV(OFFSET(F739,1-Settings!$B$12,0,Settings!$B$12,1))*SQRT(Settings!$B$13)))</f>
        <v/>
      </c>
      <c r="J739" s="20">
        <f>IF(OR(NOT(ISNUMBER($A739)),ROW()-2&lt;Settings!$B$11),NA(),IF(COUNT(OFFSET(G739,1-Settings!$B$11,0,Settings!$B$11,1))&lt;ROUNDUP(Settings!$B$11*Settings!$B$26,0),NA(),STDEV(OFFSET(G739,1-Settings!$B$11,0,Settings!$B$11,1))*SQRT(Settings!$B$13)))</f>
        <v/>
      </c>
      <c r="K739" s="20">
        <f>IF(OR(NOT(ISNUMBER($A739)),ROW()-2&lt;Settings!$B$12),NA(),IF(COUNT(OFFSET(G739,1-Settings!$B$12,0,Settings!$B$12,1))&lt;ROUNDUP(Settings!$B$12*Settings!$B$26,0),NA(),STDEV(OFFSET(G739,1-Settings!$B$12,0,Settings!$B$12,1))*SQRT(Settings!$B$13)))</f>
        <v/>
      </c>
      <c r="L739" s="20">
        <f>IF(AND(ISNUMBER(D739),ISNUMBER(H739)),D739-H739,NA())</f>
        <v/>
      </c>
      <c r="M739" s="20">
        <f>IF(AND(ISNUMBER(E739),ISNUMBER(K739)),E739-K739,NA())</f>
        <v/>
      </c>
      <c r="N739" s="20">
        <f>IF(NOT(ISNUMBER($A739)),NA(),IF(COUNT(OFFSET(G739,1,0,Settings!$B$12,1))&lt;ROUNDUP(Settings!$B$12*Settings!$B$26,0),NA(),STDEV(OFFSET(G739,1,0,Settings!$B$12,1))*SQRT(Settings!$B$13)))</f>
        <v/>
      </c>
      <c r="O739" s="20">
        <f>IF(AND(ISNUMBER(E739),ISNUMBER(N739)),E739-N739,NA())</f>
        <v/>
      </c>
      <c r="P739" s="19">
        <f>IF(NOT(ISNUMBER($A739)),NA(),IF(OR($A739&lt;MIN(KW_TP!$A$2:$A$2501),$A739&gt;MAX(KW_TP!$A$2:$A$2501)),NA(),INDEX(KW_TP!$C$2:$C$2501,MATCH($A739,KW_TP!$A$2:$A$2501,1))))</f>
        <v/>
      </c>
      <c r="Q739" s="18">
        <f>IF(NOT(ISNUMBER($A739)),NA(),IFERROR(1*INDEX(BBG_Data!$J$2:$J$4000,MATCH($A739,BBG_Data!$I$2:$I$4000,0)),NA()))</f>
        <v/>
      </c>
      <c r="R739" s="18">
        <f>IF(NOT(ISNUMBER($A739)),NA(),IFERROR(1*INDEX(BBG_Data!$L$2:$L$4000,MATCH($A739,BBG_Data!$K$2:$K$4000,0)),NA()))</f>
        <v/>
      </c>
      <c r="S739" s="20">
        <f>IF(AND(ISNUMBER(B739),ISNUMBER(Q739),ISNUMBER(R739)),(B739-Q739-R739)*100,NA())</f>
        <v/>
      </c>
      <c r="T739" s="20">
        <f>IF(AND(ISNUMBER(B739),Settings!$B$17&gt;0),IF(ISNUMBER(INDEX($B:$B,Settings!$B$17)),(B739-INDEX($B:$B,Settings!$B$17))*100,NA()),NA())</f>
        <v/>
      </c>
      <c r="U739" s="20">
        <f>IF(AND(ISNUMBER(Q739),Settings!$B$17&gt;0),IF(ISNUMBER(INDEX($Q:$Q,Settings!$B$17)),(Q739-INDEX($Q:$Q,Settings!$B$17))*100,NA()),NA())</f>
        <v/>
      </c>
      <c r="V739" s="20">
        <f>IF(AND(ISNUMBER(R739),Settings!$B$17&gt;0),IF(ISNUMBER(INDEX($R:$R,Settings!$B$17)),(R739-INDEX($R:$R,Settings!$B$17))*100,NA()),NA())</f>
        <v/>
      </c>
      <c r="W739" s="20">
        <f>IF(AND(ISNUMBER(P739),Settings!$B$17&gt;0),IF(ISNUMBER(INDEX($P:$P,Settings!$B$17)),P739-INDEX($P:$P,Settings!$B$17),NA()),NA())</f>
        <v/>
      </c>
      <c r="X739" s="19">
        <f>IF(NOT(ISNUMBER($A739)),NA(),IF(OR($A739&lt;MIN(DKW_10Y!$A$2:$A$2918),$A739&gt;MAX(DKW_10Y!$A$2:$A$2918),Settings!$B$16&lt;MIN(DKW_10Y!$A$2:$A$2918)),NA(),(INDEX(DKW_10Y!$B$2:$B$2918,MATCH($A739,DKW_10Y!$A$2:$A$2918,1))-INDEX(DKW_10Y!$B$2:$B$2918,MATCH(Settings!$B$16,DKW_10Y!$A$2:$A$2918,1)))*100))</f>
        <v/>
      </c>
      <c r="Y739" s="19">
        <f>IF(NOT(ISNUMBER($A739)),NA(),IF(OR($A739&lt;MIN(DKW_10Y!$A$2:$A$2918),$A739&gt;MAX(DKW_10Y!$A$2:$A$2918),Settings!$B$16&lt;MIN(DKW_10Y!$A$2:$A$2918)),NA(),(INDEX(DKW_10Y!$C$2:$C$2918,MATCH($A739,DKW_10Y!$A$2:$A$2918,1))-INDEX(DKW_10Y!$C$2:$C$2918,MATCH(Settings!$B$16,DKW_10Y!$A$2:$A$2918,1)))*100))</f>
        <v/>
      </c>
      <c r="Z739" s="19">
        <f>IF(NOT(ISNUMBER($A739)),NA(),IF(OR($A739&lt;MIN(DKW_10Y!$A$2:$A$2918),$A739&gt;MAX(DKW_10Y!$A$2:$A$2918),Settings!$B$16&lt;MIN(DKW_10Y!$A$2:$A$2918)),NA(),(INDEX(DKW_10Y!$D$2:$D$2918,MATCH($A739,DKW_10Y!$A$2:$A$2918,1))-INDEX(DKW_10Y!$D$2:$D$2918,MATCH(Settings!$B$16,DKW_10Y!$A$2:$A$2918,1)))*100))</f>
        <v/>
      </c>
      <c r="AA739" s="19">
        <f>IF(NOT(ISNUMBER($A739)),NA(),IF(OR($A739&lt;MIN(DKW_10Y!$A$2:$A$2918),$A739&gt;MAX(DKW_10Y!$A$2:$A$2918),Settings!$B$16&lt;MIN(DKW_10Y!$A$2:$A$2918)),NA(),(INDEX(DKW_10Y!$E$2:$E$2918,MATCH($A739,DKW_10Y!$A$2:$A$2918,1))-INDEX(DKW_10Y!$E$2:$E$2918,MATCH(Settings!$B$16,DKW_10Y!$A$2:$A$2918,1)))*100))</f>
        <v/>
      </c>
      <c r="AB739" s="19">
        <f>IF(NOT(ISNUMBER($A739)),NA(),IF(OR($A739&lt;MIN(DKW_10Y!$A$2:$A$2918),$A739&gt;MAX(DKW_10Y!$A$2:$A$2918),Settings!$B$16&lt;MIN(DKW_10Y!$A$2:$A$2918)),NA(),(INDEX(DKW_10Y!$H$2:$H$2918,MATCH($A739,DKW_10Y!$A$2:$A$2918,1))-INDEX(DKW_10Y!$H$2:$H$2918,MATCH(Settings!$B$16,DKW_10Y!$A$2:$A$2918,1)))*100))</f>
        <v/>
      </c>
      <c r="AC739" s="18">
        <f>IF(NOT(ISNUMBER($A739)),NA(),IFERROR(1*INDEX(BBG_Data!$N$2:$N$4000,MATCH($A739,BBG_Data!$M$2:$M$4000,0)),NA()))</f>
        <v/>
      </c>
      <c r="AD739" s="18">
        <f>IF(NOT(ISNUMBER($A739)),NA(),IFERROR(1*INDEX(BBG_Data!$P$2:$P$4000,MATCH($A739,BBG_Data!$O$2:$O$4000,0)),NA()))</f>
        <v/>
      </c>
      <c r="AE739" s="18">
        <f>IF(NOT(ISNUMBER($A739)),NA(),IFERROR(1*INDEX(BBG_Data!$R$2:$R$4000,MATCH($A739,BBG_Data!$Q$2:$Q$4000,0)),NA()))</f>
        <v/>
      </c>
      <c r="AF739" s="20">
        <f>IF(AND(ISNUMBER(B739),ISNUMBER(AC739)),(B739-AC739)*100,NA())</f>
        <v/>
      </c>
      <c r="AG739" s="20">
        <f>IF(AND(ISNUMBER(AE739),ISNUMBER(AD739)),(AE739-AD739)*100,NA())</f>
        <v/>
      </c>
      <c r="AH739" s="19">
        <f>IF(NOT(ISNUMBER($A739)),NA(),IFERROR(INDEX(BBG_Data!$T$2:$T$4000,MATCH($A739,BBG_Data!$S$2:$S$4000,0))*Settings!$B$25,NA()))</f>
        <v/>
      </c>
      <c r="AI739" s="19">
        <f>IF(NOT(ISNUMBER($A739)),NA(),IFERROR(INDEX(BBG_Data!$V$2:$V$4000,MATCH($A739,BBG_Data!$U$2:$U$4000,0))*Settings!$B$25,NA()))</f>
        <v/>
      </c>
      <c r="AJ739" s="19">
        <f>IF(NOT(ISNUMBER($A739)),NA(),IFERROR(1*INDEX(BBG_Data!$X$2:$X$4000,MATCH($A739,BBG_Data!$W$2:$W$4000,0)),NA()))</f>
        <v/>
      </c>
      <c r="AK739" s="19">
        <f>IF(NOT(ISNUMBER($A739)),NA(),IFERROR(1*INDEX(BBG_Data!$Z$2:$Z$4000,MATCH($A739,BBG_Data!$Y$2:$Y$4000,0)),NA()))</f>
        <v/>
      </c>
    </row>
    <row r="740">
      <c r="A740" s="17">
        <f>IF(ISNUMBER(BBG_Data!A740),BBG_Data!A740,"")</f>
        <v/>
      </c>
      <c r="B740" s="18">
        <f>IF(AND(ISNUMBER($A740),ISNUMBER(BBG_Data!B740)),BBG_Data!B740,NA())</f>
        <v/>
      </c>
      <c r="C740" s="18">
        <f>IF(NOT(ISNUMBER($A740)),NA(),IFERROR(1*INDEX(BBG_Data!$D$2:$D$4000,MATCH($A740,BBG_Data!$C$2:$C$4000,0)),NA()))</f>
        <v/>
      </c>
      <c r="D740" s="19">
        <f>IF(NOT(ISNUMBER($A740)),NA(),IFERROR(1*INDEX(BBG_Data!$F$2:$F$4000,MATCH($A740,BBG_Data!$E$2:$E$4000,0)),NA()))</f>
        <v/>
      </c>
      <c r="E740" s="19">
        <f>IF(NOT(ISNUMBER($A740)),NA(),IFERROR(1*INDEX(BBG_Data!$H$2:$H$4000,MATCH($A740,BBG_Data!$G$2:$G$4000,0)),NA()))</f>
        <v/>
      </c>
      <c r="F740" s="20">
        <f>IF(AND(ISNUMBER(B740),ISNUMBER(B739)),IF(B740=B739,"",(B740-B739)*100),"")</f>
        <v/>
      </c>
      <c r="G740" s="20">
        <f>IF(AND(ISNUMBER(C740),ISNUMBER(C739)),IF(C740=C739,"",(C740-C739)*100),"")</f>
        <v/>
      </c>
      <c r="H740" s="20">
        <f>IF(OR(NOT(ISNUMBER($A740)),ROW()-2&lt;Settings!$B$11),NA(),IF(COUNT(OFFSET(F740,1-Settings!$B$11,0,Settings!$B$11,1))&lt;ROUNDUP(Settings!$B$11*Settings!$B$26,0),NA(),STDEV(OFFSET(F740,1-Settings!$B$11,0,Settings!$B$11,1))*SQRT(Settings!$B$13)))</f>
        <v/>
      </c>
      <c r="I740" s="20">
        <f>IF(OR(NOT(ISNUMBER($A740)),ROW()-2&lt;Settings!$B$12),NA(),IF(COUNT(OFFSET(F740,1-Settings!$B$12,0,Settings!$B$12,1))&lt;ROUNDUP(Settings!$B$12*Settings!$B$26,0),NA(),STDEV(OFFSET(F740,1-Settings!$B$12,0,Settings!$B$12,1))*SQRT(Settings!$B$13)))</f>
        <v/>
      </c>
      <c r="J740" s="20">
        <f>IF(OR(NOT(ISNUMBER($A740)),ROW()-2&lt;Settings!$B$11),NA(),IF(COUNT(OFFSET(G740,1-Settings!$B$11,0,Settings!$B$11,1))&lt;ROUNDUP(Settings!$B$11*Settings!$B$26,0),NA(),STDEV(OFFSET(G740,1-Settings!$B$11,0,Settings!$B$11,1))*SQRT(Settings!$B$13)))</f>
        <v/>
      </c>
      <c r="K740" s="20">
        <f>IF(OR(NOT(ISNUMBER($A740)),ROW()-2&lt;Settings!$B$12),NA(),IF(COUNT(OFFSET(G740,1-Settings!$B$12,0,Settings!$B$12,1))&lt;ROUNDUP(Settings!$B$12*Settings!$B$26,0),NA(),STDEV(OFFSET(G740,1-Settings!$B$12,0,Settings!$B$12,1))*SQRT(Settings!$B$13)))</f>
        <v/>
      </c>
      <c r="L740" s="20">
        <f>IF(AND(ISNUMBER(D740),ISNUMBER(H740)),D740-H740,NA())</f>
        <v/>
      </c>
      <c r="M740" s="20">
        <f>IF(AND(ISNUMBER(E740),ISNUMBER(K740)),E740-K740,NA())</f>
        <v/>
      </c>
      <c r="N740" s="20">
        <f>IF(NOT(ISNUMBER($A740)),NA(),IF(COUNT(OFFSET(G740,1,0,Settings!$B$12,1))&lt;ROUNDUP(Settings!$B$12*Settings!$B$26,0),NA(),STDEV(OFFSET(G740,1,0,Settings!$B$12,1))*SQRT(Settings!$B$13)))</f>
        <v/>
      </c>
      <c r="O740" s="20">
        <f>IF(AND(ISNUMBER(E740),ISNUMBER(N740)),E740-N740,NA())</f>
        <v/>
      </c>
      <c r="P740" s="19">
        <f>IF(NOT(ISNUMBER($A740)),NA(),IF(OR($A740&lt;MIN(KW_TP!$A$2:$A$2501),$A740&gt;MAX(KW_TP!$A$2:$A$2501)),NA(),INDEX(KW_TP!$C$2:$C$2501,MATCH($A740,KW_TP!$A$2:$A$2501,1))))</f>
        <v/>
      </c>
      <c r="Q740" s="18">
        <f>IF(NOT(ISNUMBER($A740)),NA(),IFERROR(1*INDEX(BBG_Data!$J$2:$J$4000,MATCH($A740,BBG_Data!$I$2:$I$4000,0)),NA()))</f>
        <v/>
      </c>
      <c r="R740" s="18">
        <f>IF(NOT(ISNUMBER($A740)),NA(),IFERROR(1*INDEX(BBG_Data!$L$2:$L$4000,MATCH($A740,BBG_Data!$K$2:$K$4000,0)),NA()))</f>
        <v/>
      </c>
      <c r="S740" s="20">
        <f>IF(AND(ISNUMBER(B740),ISNUMBER(Q740),ISNUMBER(R740)),(B740-Q740-R740)*100,NA())</f>
        <v/>
      </c>
      <c r="T740" s="20">
        <f>IF(AND(ISNUMBER(B740),Settings!$B$17&gt;0),IF(ISNUMBER(INDEX($B:$B,Settings!$B$17)),(B740-INDEX($B:$B,Settings!$B$17))*100,NA()),NA())</f>
        <v/>
      </c>
      <c r="U740" s="20">
        <f>IF(AND(ISNUMBER(Q740),Settings!$B$17&gt;0),IF(ISNUMBER(INDEX($Q:$Q,Settings!$B$17)),(Q740-INDEX($Q:$Q,Settings!$B$17))*100,NA()),NA())</f>
        <v/>
      </c>
      <c r="V740" s="20">
        <f>IF(AND(ISNUMBER(R740),Settings!$B$17&gt;0),IF(ISNUMBER(INDEX($R:$R,Settings!$B$17)),(R740-INDEX($R:$R,Settings!$B$17))*100,NA()),NA())</f>
        <v/>
      </c>
      <c r="W740" s="20">
        <f>IF(AND(ISNUMBER(P740),Settings!$B$17&gt;0),IF(ISNUMBER(INDEX($P:$P,Settings!$B$17)),P740-INDEX($P:$P,Settings!$B$17),NA()),NA())</f>
        <v/>
      </c>
      <c r="X740" s="19">
        <f>IF(NOT(ISNUMBER($A740)),NA(),IF(OR($A740&lt;MIN(DKW_10Y!$A$2:$A$2918),$A740&gt;MAX(DKW_10Y!$A$2:$A$2918),Settings!$B$16&lt;MIN(DKW_10Y!$A$2:$A$2918)),NA(),(INDEX(DKW_10Y!$B$2:$B$2918,MATCH($A740,DKW_10Y!$A$2:$A$2918,1))-INDEX(DKW_10Y!$B$2:$B$2918,MATCH(Settings!$B$16,DKW_10Y!$A$2:$A$2918,1)))*100))</f>
        <v/>
      </c>
      <c r="Y740" s="19">
        <f>IF(NOT(ISNUMBER($A740)),NA(),IF(OR($A740&lt;MIN(DKW_10Y!$A$2:$A$2918),$A740&gt;MAX(DKW_10Y!$A$2:$A$2918),Settings!$B$16&lt;MIN(DKW_10Y!$A$2:$A$2918)),NA(),(INDEX(DKW_10Y!$C$2:$C$2918,MATCH($A740,DKW_10Y!$A$2:$A$2918,1))-INDEX(DKW_10Y!$C$2:$C$2918,MATCH(Settings!$B$16,DKW_10Y!$A$2:$A$2918,1)))*100))</f>
        <v/>
      </c>
      <c r="Z740" s="19">
        <f>IF(NOT(ISNUMBER($A740)),NA(),IF(OR($A740&lt;MIN(DKW_10Y!$A$2:$A$2918),$A740&gt;MAX(DKW_10Y!$A$2:$A$2918),Settings!$B$16&lt;MIN(DKW_10Y!$A$2:$A$2918)),NA(),(INDEX(DKW_10Y!$D$2:$D$2918,MATCH($A740,DKW_10Y!$A$2:$A$2918,1))-INDEX(DKW_10Y!$D$2:$D$2918,MATCH(Settings!$B$16,DKW_10Y!$A$2:$A$2918,1)))*100))</f>
        <v/>
      </c>
      <c r="AA740" s="19">
        <f>IF(NOT(ISNUMBER($A740)),NA(),IF(OR($A740&lt;MIN(DKW_10Y!$A$2:$A$2918),$A740&gt;MAX(DKW_10Y!$A$2:$A$2918),Settings!$B$16&lt;MIN(DKW_10Y!$A$2:$A$2918)),NA(),(INDEX(DKW_10Y!$E$2:$E$2918,MATCH($A740,DKW_10Y!$A$2:$A$2918,1))-INDEX(DKW_10Y!$E$2:$E$2918,MATCH(Settings!$B$16,DKW_10Y!$A$2:$A$2918,1)))*100))</f>
        <v/>
      </c>
      <c r="AB740" s="19">
        <f>IF(NOT(ISNUMBER($A740)),NA(),IF(OR($A740&lt;MIN(DKW_10Y!$A$2:$A$2918),$A740&gt;MAX(DKW_10Y!$A$2:$A$2918),Settings!$B$16&lt;MIN(DKW_10Y!$A$2:$A$2918)),NA(),(INDEX(DKW_10Y!$H$2:$H$2918,MATCH($A740,DKW_10Y!$A$2:$A$2918,1))-INDEX(DKW_10Y!$H$2:$H$2918,MATCH(Settings!$B$16,DKW_10Y!$A$2:$A$2918,1)))*100))</f>
        <v/>
      </c>
      <c r="AC740" s="18">
        <f>IF(NOT(ISNUMBER($A740)),NA(),IFERROR(1*INDEX(BBG_Data!$N$2:$N$4000,MATCH($A740,BBG_Data!$M$2:$M$4000,0)),NA()))</f>
        <v/>
      </c>
      <c r="AD740" s="18">
        <f>IF(NOT(ISNUMBER($A740)),NA(),IFERROR(1*INDEX(BBG_Data!$P$2:$P$4000,MATCH($A740,BBG_Data!$O$2:$O$4000,0)),NA()))</f>
        <v/>
      </c>
      <c r="AE740" s="18">
        <f>IF(NOT(ISNUMBER($A740)),NA(),IFERROR(1*INDEX(BBG_Data!$R$2:$R$4000,MATCH($A740,BBG_Data!$Q$2:$Q$4000,0)),NA()))</f>
        <v/>
      </c>
      <c r="AF740" s="20">
        <f>IF(AND(ISNUMBER(B740),ISNUMBER(AC740)),(B740-AC740)*100,NA())</f>
        <v/>
      </c>
      <c r="AG740" s="20">
        <f>IF(AND(ISNUMBER(AE740),ISNUMBER(AD740)),(AE740-AD740)*100,NA())</f>
        <v/>
      </c>
      <c r="AH740" s="19">
        <f>IF(NOT(ISNUMBER($A740)),NA(),IFERROR(INDEX(BBG_Data!$T$2:$T$4000,MATCH($A740,BBG_Data!$S$2:$S$4000,0))*Settings!$B$25,NA()))</f>
        <v/>
      </c>
      <c r="AI740" s="19">
        <f>IF(NOT(ISNUMBER($A740)),NA(),IFERROR(INDEX(BBG_Data!$V$2:$V$4000,MATCH($A740,BBG_Data!$U$2:$U$4000,0))*Settings!$B$25,NA()))</f>
        <v/>
      </c>
      <c r="AJ740" s="19">
        <f>IF(NOT(ISNUMBER($A740)),NA(),IFERROR(1*INDEX(BBG_Data!$X$2:$X$4000,MATCH($A740,BBG_Data!$W$2:$W$4000,0)),NA()))</f>
        <v/>
      </c>
      <c r="AK740" s="19">
        <f>IF(NOT(ISNUMBER($A740)),NA(),IFERROR(1*INDEX(BBG_Data!$Z$2:$Z$4000,MATCH($A740,BBG_Data!$Y$2:$Y$4000,0)),NA()))</f>
        <v/>
      </c>
    </row>
    <row r="741">
      <c r="A741" s="17">
        <f>IF(ISNUMBER(BBG_Data!A741),BBG_Data!A741,"")</f>
        <v/>
      </c>
      <c r="B741" s="18">
        <f>IF(AND(ISNUMBER($A741),ISNUMBER(BBG_Data!B741)),BBG_Data!B741,NA())</f>
        <v/>
      </c>
      <c r="C741" s="18">
        <f>IF(NOT(ISNUMBER($A741)),NA(),IFERROR(1*INDEX(BBG_Data!$D$2:$D$4000,MATCH($A741,BBG_Data!$C$2:$C$4000,0)),NA()))</f>
        <v/>
      </c>
      <c r="D741" s="19">
        <f>IF(NOT(ISNUMBER($A741)),NA(),IFERROR(1*INDEX(BBG_Data!$F$2:$F$4000,MATCH($A741,BBG_Data!$E$2:$E$4000,0)),NA()))</f>
        <v/>
      </c>
      <c r="E741" s="19">
        <f>IF(NOT(ISNUMBER($A741)),NA(),IFERROR(1*INDEX(BBG_Data!$H$2:$H$4000,MATCH($A741,BBG_Data!$G$2:$G$4000,0)),NA()))</f>
        <v/>
      </c>
      <c r="F741" s="20">
        <f>IF(AND(ISNUMBER(B741),ISNUMBER(B740)),IF(B741=B740,"",(B741-B740)*100),"")</f>
        <v/>
      </c>
      <c r="G741" s="20">
        <f>IF(AND(ISNUMBER(C741),ISNUMBER(C740)),IF(C741=C740,"",(C741-C740)*100),"")</f>
        <v/>
      </c>
      <c r="H741" s="20">
        <f>IF(OR(NOT(ISNUMBER($A741)),ROW()-2&lt;Settings!$B$11),NA(),IF(COUNT(OFFSET(F741,1-Settings!$B$11,0,Settings!$B$11,1))&lt;ROUNDUP(Settings!$B$11*Settings!$B$26,0),NA(),STDEV(OFFSET(F741,1-Settings!$B$11,0,Settings!$B$11,1))*SQRT(Settings!$B$13)))</f>
        <v/>
      </c>
      <c r="I741" s="20">
        <f>IF(OR(NOT(ISNUMBER($A741)),ROW()-2&lt;Settings!$B$12),NA(),IF(COUNT(OFFSET(F741,1-Settings!$B$12,0,Settings!$B$12,1))&lt;ROUNDUP(Settings!$B$12*Settings!$B$26,0),NA(),STDEV(OFFSET(F741,1-Settings!$B$12,0,Settings!$B$12,1))*SQRT(Settings!$B$13)))</f>
        <v/>
      </c>
      <c r="J741" s="20">
        <f>IF(OR(NOT(ISNUMBER($A741)),ROW()-2&lt;Settings!$B$11),NA(),IF(COUNT(OFFSET(G741,1-Settings!$B$11,0,Settings!$B$11,1))&lt;ROUNDUP(Settings!$B$11*Settings!$B$26,0),NA(),STDEV(OFFSET(G741,1-Settings!$B$11,0,Settings!$B$11,1))*SQRT(Settings!$B$13)))</f>
        <v/>
      </c>
      <c r="K741" s="20">
        <f>IF(OR(NOT(ISNUMBER($A741)),ROW()-2&lt;Settings!$B$12),NA(),IF(COUNT(OFFSET(G741,1-Settings!$B$12,0,Settings!$B$12,1))&lt;ROUNDUP(Settings!$B$12*Settings!$B$26,0),NA(),STDEV(OFFSET(G741,1-Settings!$B$12,0,Settings!$B$12,1))*SQRT(Settings!$B$13)))</f>
        <v/>
      </c>
      <c r="L741" s="20">
        <f>IF(AND(ISNUMBER(D741),ISNUMBER(H741)),D741-H741,NA())</f>
        <v/>
      </c>
      <c r="M741" s="20">
        <f>IF(AND(ISNUMBER(E741),ISNUMBER(K741)),E741-K741,NA())</f>
        <v/>
      </c>
      <c r="N741" s="20">
        <f>IF(NOT(ISNUMBER($A741)),NA(),IF(COUNT(OFFSET(G741,1,0,Settings!$B$12,1))&lt;ROUNDUP(Settings!$B$12*Settings!$B$26,0),NA(),STDEV(OFFSET(G741,1,0,Settings!$B$12,1))*SQRT(Settings!$B$13)))</f>
        <v/>
      </c>
      <c r="O741" s="20">
        <f>IF(AND(ISNUMBER(E741),ISNUMBER(N741)),E741-N741,NA())</f>
        <v/>
      </c>
      <c r="P741" s="19">
        <f>IF(NOT(ISNUMBER($A741)),NA(),IF(OR($A741&lt;MIN(KW_TP!$A$2:$A$2501),$A741&gt;MAX(KW_TP!$A$2:$A$2501)),NA(),INDEX(KW_TP!$C$2:$C$2501,MATCH($A741,KW_TP!$A$2:$A$2501,1))))</f>
        <v/>
      </c>
      <c r="Q741" s="18">
        <f>IF(NOT(ISNUMBER($A741)),NA(),IFERROR(1*INDEX(BBG_Data!$J$2:$J$4000,MATCH($A741,BBG_Data!$I$2:$I$4000,0)),NA()))</f>
        <v/>
      </c>
      <c r="R741" s="18">
        <f>IF(NOT(ISNUMBER($A741)),NA(),IFERROR(1*INDEX(BBG_Data!$L$2:$L$4000,MATCH($A741,BBG_Data!$K$2:$K$4000,0)),NA()))</f>
        <v/>
      </c>
      <c r="S741" s="20">
        <f>IF(AND(ISNUMBER(B741),ISNUMBER(Q741),ISNUMBER(R741)),(B741-Q741-R741)*100,NA())</f>
        <v/>
      </c>
      <c r="T741" s="20">
        <f>IF(AND(ISNUMBER(B741),Settings!$B$17&gt;0),IF(ISNUMBER(INDEX($B:$B,Settings!$B$17)),(B741-INDEX($B:$B,Settings!$B$17))*100,NA()),NA())</f>
        <v/>
      </c>
      <c r="U741" s="20">
        <f>IF(AND(ISNUMBER(Q741),Settings!$B$17&gt;0),IF(ISNUMBER(INDEX($Q:$Q,Settings!$B$17)),(Q741-INDEX($Q:$Q,Settings!$B$17))*100,NA()),NA())</f>
        <v/>
      </c>
      <c r="V741" s="20">
        <f>IF(AND(ISNUMBER(R741),Settings!$B$17&gt;0),IF(ISNUMBER(INDEX($R:$R,Settings!$B$17)),(R741-INDEX($R:$R,Settings!$B$17))*100,NA()),NA())</f>
        <v/>
      </c>
      <c r="W741" s="20">
        <f>IF(AND(ISNUMBER(P741),Settings!$B$17&gt;0),IF(ISNUMBER(INDEX($P:$P,Settings!$B$17)),P741-INDEX($P:$P,Settings!$B$17),NA()),NA())</f>
        <v/>
      </c>
      <c r="X741" s="19">
        <f>IF(NOT(ISNUMBER($A741)),NA(),IF(OR($A741&lt;MIN(DKW_10Y!$A$2:$A$2918),$A741&gt;MAX(DKW_10Y!$A$2:$A$2918),Settings!$B$16&lt;MIN(DKW_10Y!$A$2:$A$2918)),NA(),(INDEX(DKW_10Y!$B$2:$B$2918,MATCH($A741,DKW_10Y!$A$2:$A$2918,1))-INDEX(DKW_10Y!$B$2:$B$2918,MATCH(Settings!$B$16,DKW_10Y!$A$2:$A$2918,1)))*100))</f>
        <v/>
      </c>
      <c r="Y741" s="19">
        <f>IF(NOT(ISNUMBER($A741)),NA(),IF(OR($A741&lt;MIN(DKW_10Y!$A$2:$A$2918),$A741&gt;MAX(DKW_10Y!$A$2:$A$2918),Settings!$B$16&lt;MIN(DKW_10Y!$A$2:$A$2918)),NA(),(INDEX(DKW_10Y!$C$2:$C$2918,MATCH($A741,DKW_10Y!$A$2:$A$2918,1))-INDEX(DKW_10Y!$C$2:$C$2918,MATCH(Settings!$B$16,DKW_10Y!$A$2:$A$2918,1)))*100))</f>
        <v/>
      </c>
      <c r="Z741" s="19">
        <f>IF(NOT(ISNUMBER($A741)),NA(),IF(OR($A741&lt;MIN(DKW_10Y!$A$2:$A$2918),$A741&gt;MAX(DKW_10Y!$A$2:$A$2918),Settings!$B$16&lt;MIN(DKW_10Y!$A$2:$A$2918)),NA(),(INDEX(DKW_10Y!$D$2:$D$2918,MATCH($A741,DKW_10Y!$A$2:$A$2918,1))-INDEX(DKW_10Y!$D$2:$D$2918,MATCH(Settings!$B$16,DKW_10Y!$A$2:$A$2918,1)))*100))</f>
        <v/>
      </c>
      <c r="AA741" s="19">
        <f>IF(NOT(ISNUMBER($A741)),NA(),IF(OR($A741&lt;MIN(DKW_10Y!$A$2:$A$2918),$A741&gt;MAX(DKW_10Y!$A$2:$A$2918),Settings!$B$16&lt;MIN(DKW_10Y!$A$2:$A$2918)),NA(),(INDEX(DKW_10Y!$E$2:$E$2918,MATCH($A741,DKW_10Y!$A$2:$A$2918,1))-INDEX(DKW_10Y!$E$2:$E$2918,MATCH(Settings!$B$16,DKW_10Y!$A$2:$A$2918,1)))*100))</f>
        <v/>
      </c>
      <c r="AB741" s="19">
        <f>IF(NOT(ISNUMBER($A741)),NA(),IF(OR($A741&lt;MIN(DKW_10Y!$A$2:$A$2918),$A741&gt;MAX(DKW_10Y!$A$2:$A$2918),Settings!$B$16&lt;MIN(DKW_10Y!$A$2:$A$2918)),NA(),(INDEX(DKW_10Y!$H$2:$H$2918,MATCH($A741,DKW_10Y!$A$2:$A$2918,1))-INDEX(DKW_10Y!$H$2:$H$2918,MATCH(Settings!$B$16,DKW_10Y!$A$2:$A$2918,1)))*100))</f>
        <v/>
      </c>
      <c r="AC741" s="18">
        <f>IF(NOT(ISNUMBER($A741)),NA(),IFERROR(1*INDEX(BBG_Data!$N$2:$N$4000,MATCH($A741,BBG_Data!$M$2:$M$4000,0)),NA()))</f>
        <v/>
      </c>
      <c r="AD741" s="18">
        <f>IF(NOT(ISNUMBER($A741)),NA(),IFERROR(1*INDEX(BBG_Data!$P$2:$P$4000,MATCH($A741,BBG_Data!$O$2:$O$4000,0)),NA()))</f>
        <v/>
      </c>
      <c r="AE741" s="18">
        <f>IF(NOT(ISNUMBER($A741)),NA(),IFERROR(1*INDEX(BBG_Data!$R$2:$R$4000,MATCH($A741,BBG_Data!$Q$2:$Q$4000,0)),NA()))</f>
        <v/>
      </c>
      <c r="AF741" s="20">
        <f>IF(AND(ISNUMBER(B741),ISNUMBER(AC741)),(B741-AC741)*100,NA())</f>
        <v/>
      </c>
      <c r="AG741" s="20">
        <f>IF(AND(ISNUMBER(AE741),ISNUMBER(AD741)),(AE741-AD741)*100,NA())</f>
        <v/>
      </c>
      <c r="AH741" s="19">
        <f>IF(NOT(ISNUMBER($A741)),NA(),IFERROR(INDEX(BBG_Data!$T$2:$T$4000,MATCH($A741,BBG_Data!$S$2:$S$4000,0))*Settings!$B$25,NA()))</f>
        <v/>
      </c>
      <c r="AI741" s="19">
        <f>IF(NOT(ISNUMBER($A741)),NA(),IFERROR(INDEX(BBG_Data!$V$2:$V$4000,MATCH($A741,BBG_Data!$U$2:$U$4000,0))*Settings!$B$25,NA()))</f>
        <v/>
      </c>
      <c r="AJ741" s="19">
        <f>IF(NOT(ISNUMBER($A741)),NA(),IFERROR(1*INDEX(BBG_Data!$X$2:$X$4000,MATCH($A741,BBG_Data!$W$2:$W$4000,0)),NA()))</f>
        <v/>
      </c>
      <c r="AK741" s="19">
        <f>IF(NOT(ISNUMBER($A741)),NA(),IFERROR(1*INDEX(BBG_Data!$Z$2:$Z$4000,MATCH($A741,BBG_Data!$Y$2:$Y$4000,0)),NA()))</f>
        <v/>
      </c>
    </row>
    <row r="742">
      <c r="A742" s="17">
        <f>IF(ISNUMBER(BBG_Data!A742),BBG_Data!A742,"")</f>
        <v/>
      </c>
      <c r="B742" s="18">
        <f>IF(AND(ISNUMBER($A742),ISNUMBER(BBG_Data!B742)),BBG_Data!B742,NA())</f>
        <v/>
      </c>
      <c r="C742" s="18">
        <f>IF(NOT(ISNUMBER($A742)),NA(),IFERROR(1*INDEX(BBG_Data!$D$2:$D$4000,MATCH($A742,BBG_Data!$C$2:$C$4000,0)),NA()))</f>
        <v/>
      </c>
      <c r="D742" s="19">
        <f>IF(NOT(ISNUMBER($A742)),NA(),IFERROR(1*INDEX(BBG_Data!$F$2:$F$4000,MATCH($A742,BBG_Data!$E$2:$E$4000,0)),NA()))</f>
        <v/>
      </c>
      <c r="E742" s="19">
        <f>IF(NOT(ISNUMBER($A742)),NA(),IFERROR(1*INDEX(BBG_Data!$H$2:$H$4000,MATCH($A742,BBG_Data!$G$2:$G$4000,0)),NA()))</f>
        <v/>
      </c>
      <c r="F742" s="20">
        <f>IF(AND(ISNUMBER(B742),ISNUMBER(B741)),IF(B742=B741,"",(B742-B741)*100),"")</f>
        <v/>
      </c>
      <c r="G742" s="20">
        <f>IF(AND(ISNUMBER(C742),ISNUMBER(C741)),IF(C742=C741,"",(C742-C741)*100),"")</f>
        <v/>
      </c>
      <c r="H742" s="20">
        <f>IF(OR(NOT(ISNUMBER($A742)),ROW()-2&lt;Settings!$B$11),NA(),IF(COUNT(OFFSET(F742,1-Settings!$B$11,0,Settings!$B$11,1))&lt;ROUNDUP(Settings!$B$11*Settings!$B$26,0),NA(),STDEV(OFFSET(F742,1-Settings!$B$11,0,Settings!$B$11,1))*SQRT(Settings!$B$13)))</f>
        <v/>
      </c>
      <c r="I742" s="20">
        <f>IF(OR(NOT(ISNUMBER($A742)),ROW()-2&lt;Settings!$B$12),NA(),IF(COUNT(OFFSET(F742,1-Settings!$B$12,0,Settings!$B$12,1))&lt;ROUNDUP(Settings!$B$12*Settings!$B$26,0),NA(),STDEV(OFFSET(F742,1-Settings!$B$12,0,Settings!$B$12,1))*SQRT(Settings!$B$13)))</f>
        <v/>
      </c>
      <c r="J742" s="20">
        <f>IF(OR(NOT(ISNUMBER($A742)),ROW()-2&lt;Settings!$B$11),NA(),IF(COUNT(OFFSET(G742,1-Settings!$B$11,0,Settings!$B$11,1))&lt;ROUNDUP(Settings!$B$11*Settings!$B$26,0),NA(),STDEV(OFFSET(G742,1-Settings!$B$11,0,Settings!$B$11,1))*SQRT(Settings!$B$13)))</f>
        <v/>
      </c>
      <c r="K742" s="20">
        <f>IF(OR(NOT(ISNUMBER($A742)),ROW()-2&lt;Settings!$B$12),NA(),IF(COUNT(OFFSET(G742,1-Settings!$B$12,0,Settings!$B$12,1))&lt;ROUNDUP(Settings!$B$12*Settings!$B$26,0),NA(),STDEV(OFFSET(G742,1-Settings!$B$12,0,Settings!$B$12,1))*SQRT(Settings!$B$13)))</f>
        <v/>
      </c>
      <c r="L742" s="20">
        <f>IF(AND(ISNUMBER(D742),ISNUMBER(H742)),D742-H742,NA())</f>
        <v/>
      </c>
      <c r="M742" s="20">
        <f>IF(AND(ISNUMBER(E742),ISNUMBER(K742)),E742-K742,NA())</f>
        <v/>
      </c>
      <c r="N742" s="20">
        <f>IF(NOT(ISNUMBER($A742)),NA(),IF(COUNT(OFFSET(G742,1,0,Settings!$B$12,1))&lt;ROUNDUP(Settings!$B$12*Settings!$B$26,0),NA(),STDEV(OFFSET(G742,1,0,Settings!$B$12,1))*SQRT(Settings!$B$13)))</f>
        <v/>
      </c>
      <c r="O742" s="20">
        <f>IF(AND(ISNUMBER(E742),ISNUMBER(N742)),E742-N742,NA())</f>
        <v/>
      </c>
      <c r="P742" s="19">
        <f>IF(NOT(ISNUMBER($A742)),NA(),IF(OR($A742&lt;MIN(KW_TP!$A$2:$A$2501),$A742&gt;MAX(KW_TP!$A$2:$A$2501)),NA(),INDEX(KW_TP!$C$2:$C$2501,MATCH($A742,KW_TP!$A$2:$A$2501,1))))</f>
        <v/>
      </c>
      <c r="Q742" s="18">
        <f>IF(NOT(ISNUMBER($A742)),NA(),IFERROR(1*INDEX(BBG_Data!$J$2:$J$4000,MATCH($A742,BBG_Data!$I$2:$I$4000,0)),NA()))</f>
        <v/>
      </c>
      <c r="R742" s="18">
        <f>IF(NOT(ISNUMBER($A742)),NA(),IFERROR(1*INDEX(BBG_Data!$L$2:$L$4000,MATCH($A742,BBG_Data!$K$2:$K$4000,0)),NA()))</f>
        <v/>
      </c>
      <c r="S742" s="20">
        <f>IF(AND(ISNUMBER(B742),ISNUMBER(Q742),ISNUMBER(R742)),(B742-Q742-R742)*100,NA())</f>
        <v/>
      </c>
      <c r="T742" s="20">
        <f>IF(AND(ISNUMBER(B742),Settings!$B$17&gt;0),IF(ISNUMBER(INDEX($B:$B,Settings!$B$17)),(B742-INDEX($B:$B,Settings!$B$17))*100,NA()),NA())</f>
        <v/>
      </c>
      <c r="U742" s="20">
        <f>IF(AND(ISNUMBER(Q742),Settings!$B$17&gt;0),IF(ISNUMBER(INDEX($Q:$Q,Settings!$B$17)),(Q742-INDEX($Q:$Q,Settings!$B$17))*100,NA()),NA())</f>
        <v/>
      </c>
      <c r="V742" s="20">
        <f>IF(AND(ISNUMBER(R742),Settings!$B$17&gt;0),IF(ISNUMBER(INDEX($R:$R,Settings!$B$17)),(R742-INDEX($R:$R,Settings!$B$17))*100,NA()),NA())</f>
        <v/>
      </c>
      <c r="W742" s="20">
        <f>IF(AND(ISNUMBER(P742),Settings!$B$17&gt;0),IF(ISNUMBER(INDEX($P:$P,Settings!$B$17)),P742-INDEX($P:$P,Settings!$B$17),NA()),NA())</f>
        <v/>
      </c>
      <c r="X742" s="19">
        <f>IF(NOT(ISNUMBER($A742)),NA(),IF(OR($A742&lt;MIN(DKW_10Y!$A$2:$A$2918),$A742&gt;MAX(DKW_10Y!$A$2:$A$2918),Settings!$B$16&lt;MIN(DKW_10Y!$A$2:$A$2918)),NA(),(INDEX(DKW_10Y!$B$2:$B$2918,MATCH($A742,DKW_10Y!$A$2:$A$2918,1))-INDEX(DKW_10Y!$B$2:$B$2918,MATCH(Settings!$B$16,DKW_10Y!$A$2:$A$2918,1)))*100))</f>
        <v/>
      </c>
      <c r="Y742" s="19">
        <f>IF(NOT(ISNUMBER($A742)),NA(),IF(OR($A742&lt;MIN(DKW_10Y!$A$2:$A$2918),$A742&gt;MAX(DKW_10Y!$A$2:$A$2918),Settings!$B$16&lt;MIN(DKW_10Y!$A$2:$A$2918)),NA(),(INDEX(DKW_10Y!$C$2:$C$2918,MATCH($A742,DKW_10Y!$A$2:$A$2918,1))-INDEX(DKW_10Y!$C$2:$C$2918,MATCH(Settings!$B$16,DKW_10Y!$A$2:$A$2918,1)))*100))</f>
        <v/>
      </c>
      <c r="Z742" s="19">
        <f>IF(NOT(ISNUMBER($A742)),NA(),IF(OR($A742&lt;MIN(DKW_10Y!$A$2:$A$2918),$A742&gt;MAX(DKW_10Y!$A$2:$A$2918),Settings!$B$16&lt;MIN(DKW_10Y!$A$2:$A$2918)),NA(),(INDEX(DKW_10Y!$D$2:$D$2918,MATCH($A742,DKW_10Y!$A$2:$A$2918,1))-INDEX(DKW_10Y!$D$2:$D$2918,MATCH(Settings!$B$16,DKW_10Y!$A$2:$A$2918,1)))*100))</f>
        <v/>
      </c>
      <c r="AA742" s="19">
        <f>IF(NOT(ISNUMBER($A742)),NA(),IF(OR($A742&lt;MIN(DKW_10Y!$A$2:$A$2918),$A742&gt;MAX(DKW_10Y!$A$2:$A$2918),Settings!$B$16&lt;MIN(DKW_10Y!$A$2:$A$2918)),NA(),(INDEX(DKW_10Y!$E$2:$E$2918,MATCH($A742,DKW_10Y!$A$2:$A$2918,1))-INDEX(DKW_10Y!$E$2:$E$2918,MATCH(Settings!$B$16,DKW_10Y!$A$2:$A$2918,1)))*100))</f>
        <v/>
      </c>
      <c r="AB742" s="19">
        <f>IF(NOT(ISNUMBER($A742)),NA(),IF(OR($A742&lt;MIN(DKW_10Y!$A$2:$A$2918),$A742&gt;MAX(DKW_10Y!$A$2:$A$2918),Settings!$B$16&lt;MIN(DKW_10Y!$A$2:$A$2918)),NA(),(INDEX(DKW_10Y!$H$2:$H$2918,MATCH($A742,DKW_10Y!$A$2:$A$2918,1))-INDEX(DKW_10Y!$H$2:$H$2918,MATCH(Settings!$B$16,DKW_10Y!$A$2:$A$2918,1)))*100))</f>
        <v/>
      </c>
      <c r="AC742" s="18">
        <f>IF(NOT(ISNUMBER($A742)),NA(),IFERROR(1*INDEX(BBG_Data!$N$2:$N$4000,MATCH($A742,BBG_Data!$M$2:$M$4000,0)),NA()))</f>
        <v/>
      </c>
      <c r="AD742" s="18">
        <f>IF(NOT(ISNUMBER($A742)),NA(),IFERROR(1*INDEX(BBG_Data!$P$2:$P$4000,MATCH($A742,BBG_Data!$O$2:$O$4000,0)),NA()))</f>
        <v/>
      </c>
      <c r="AE742" s="18">
        <f>IF(NOT(ISNUMBER($A742)),NA(),IFERROR(1*INDEX(BBG_Data!$R$2:$R$4000,MATCH($A742,BBG_Data!$Q$2:$Q$4000,0)),NA()))</f>
        <v/>
      </c>
      <c r="AF742" s="20">
        <f>IF(AND(ISNUMBER(B742),ISNUMBER(AC742)),(B742-AC742)*100,NA())</f>
        <v/>
      </c>
      <c r="AG742" s="20">
        <f>IF(AND(ISNUMBER(AE742),ISNUMBER(AD742)),(AE742-AD742)*100,NA())</f>
        <v/>
      </c>
      <c r="AH742" s="19">
        <f>IF(NOT(ISNUMBER($A742)),NA(),IFERROR(INDEX(BBG_Data!$T$2:$T$4000,MATCH($A742,BBG_Data!$S$2:$S$4000,0))*Settings!$B$25,NA()))</f>
        <v/>
      </c>
      <c r="AI742" s="19">
        <f>IF(NOT(ISNUMBER($A742)),NA(),IFERROR(INDEX(BBG_Data!$V$2:$V$4000,MATCH($A742,BBG_Data!$U$2:$U$4000,0))*Settings!$B$25,NA()))</f>
        <v/>
      </c>
      <c r="AJ742" s="19">
        <f>IF(NOT(ISNUMBER($A742)),NA(),IFERROR(1*INDEX(BBG_Data!$X$2:$X$4000,MATCH($A742,BBG_Data!$W$2:$W$4000,0)),NA()))</f>
        <v/>
      </c>
      <c r="AK742" s="19">
        <f>IF(NOT(ISNUMBER($A742)),NA(),IFERROR(1*INDEX(BBG_Data!$Z$2:$Z$4000,MATCH($A742,BBG_Data!$Y$2:$Y$4000,0)),NA()))</f>
        <v/>
      </c>
    </row>
    <row r="743">
      <c r="A743" s="17">
        <f>IF(ISNUMBER(BBG_Data!A743),BBG_Data!A743,"")</f>
        <v/>
      </c>
      <c r="B743" s="18">
        <f>IF(AND(ISNUMBER($A743),ISNUMBER(BBG_Data!B743)),BBG_Data!B743,NA())</f>
        <v/>
      </c>
      <c r="C743" s="18">
        <f>IF(NOT(ISNUMBER($A743)),NA(),IFERROR(1*INDEX(BBG_Data!$D$2:$D$4000,MATCH($A743,BBG_Data!$C$2:$C$4000,0)),NA()))</f>
        <v/>
      </c>
      <c r="D743" s="19">
        <f>IF(NOT(ISNUMBER($A743)),NA(),IFERROR(1*INDEX(BBG_Data!$F$2:$F$4000,MATCH($A743,BBG_Data!$E$2:$E$4000,0)),NA()))</f>
        <v/>
      </c>
      <c r="E743" s="19">
        <f>IF(NOT(ISNUMBER($A743)),NA(),IFERROR(1*INDEX(BBG_Data!$H$2:$H$4000,MATCH($A743,BBG_Data!$G$2:$G$4000,0)),NA()))</f>
        <v/>
      </c>
      <c r="F743" s="20">
        <f>IF(AND(ISNUMBER(B743),ISNUMBER(B742)),IF(B743=B742,"",(B743-B742)*100),"")</f>
        <v/>
      </c>
      <c r="G743" s="20">
        <f>IF(AND(ISNUMBER(C743),ISNUMBER(C742)),IF(C743=C742,"",(C743-C742)*100),"")</f>
        <v/>
      </c>
      <c r="H743" s="20">
        <f>IF(OR(NOT(ISNUMBER($A743)),ROW()-2&lt;Settings!$B$11),NA(),IF(COUNT(OFFSET(F743,1-Settings!$B$11,0,Settings!$B$11,1))&lt;ROUNDUP(Settings!$B$11*Settings!$B$26,0),NA(),STDEV(OFFSET(F743,1-Settings!$B$11,0,Settings!$B$11,1))*SQRT(Settings!$B$13)))</f>
        <v/>
      </c>
      <c r="I743" s="20">
        <f>IF(OR(NOT(ISNUMBER($A743)),ROW()-2&lt;Settings!$B$12),NA(),IF(COUNT(OFFSET(F743,1-Settings!$B$12,0,Settings!$B$12,1))&lt;ROUNDUP(Settings!$B$12*Settings!$B$26,0),NA(),STDEV(OFFSET(F743,1-Settings!$B$12,0,Settings!$B$12,1))*SQRT(Settings!$B$13)))</f>
        <v/>
      </c>
      <c r="J743" s="20">
        <f>IF(OR(NOT(ISNUMBER($A743)),ROW()-2&lt;Settings!$B$11),NA(),IF(COUNT(OFFSET(G743,1-Settings!$B$11,0,Settings!$B$11,1))&lt;ROUNDUP(Settings!$B$11*Settings!$B$26,0),NA(),STDEV(OFFSET(G743,1-Settings!$B$11,0,Settings!$B$11,1))*SQRT(Settings!$B$13)))</f>
        <v/>
      </c>
      <c r="K743" s="20">
        <f>IF(OR(NOT(ISNUMBER($A743)),ROW()-2&lt;Settings!$B$12),NA(),IF(COUNT(OFFSET(G743,1-Settings!$B$12,0,Settings!$B$12,1))&lt;ROUNDUP(Settings!$B$12*Settings!$B$26,0),NA(),STDEV(OFFSET(G743,1-Settings!$B$12,0,Settings!$B$12,1))*SQRT(Settings!$B$13)))</f>
        <v/>
      </c>
      <c r="L743" s="20">
        <f>IF(AND(ISNUMBER(D743),ISNUMBER(H743)),D743-H743,NA())</f>
        <v/>
      </c>
      <c r="M743" s="20">
        <f>IF(AND(ISNUMBER(E743),ISNUMBER(K743)),E743-K743,NA())</f>
        <v/>
      </c>
      <c r="N743" s="20">
        <f>IF(NOT(ISNUMBER($A743)),NA(),IF(COUNT(OFFSET(G743,1,0,Settings!$B$12,1))&lt;ROUNDUP(Settings!$B$12*Settings!$B$26,0),NA(),STDEV(OFFSET(G743,1,0,Settings!$B$12,1))*SQRT(Settings!$B$13)))</f>
        <v/>
      </c>
      <c r="O743" s="20">
        <f>IF(AND(ISNUMBER(E743),ISNUMBER(N743)),E743-N743,NA())</f>
        <v/>
      </c>
      <c r="P743" s="19">
        <f>IF(NOT(ISNUMBER($A743)),NA(),IF(OR($A743&lt;MIN(KW_TP!$A$2:$A$2501),$A743&gt;MAX(KW_TP!$A$2:$A$2501)),NA(),INDEX(KW_TP!$C$2:$C$2501,MATCH($A743,KW_TP!$A$2:$A$2501,1))))</f>
        <v/>
      </c>
      <c r="Q743" s="18">
        <f>IF(NOT(ISNUMBER($A743)),NA(),IFERROR(1*INDEX(BBG_Data!$J$2:$J$4000,MATCH($A743,BBG_Data!$I$2:$I$4000,0)),NA()))</f>
        <v/>
      </c>
      <c r="R743" s="18">
        <f>IF(NOT(ISNUMBER($A743)),NA(),IFERROR(1*INDEX(BBG_Data!$L$2:$L$4000,MATCH($A743,BBG_Data!$K$2:$K$4000,0)),NA()))</f>
        <v/>
      </c>
      <c r="S743" s="20">
        <f>IF(AND(ISNUMBER(B743),ISNUMBER(Q743),ISNUMBER(R743)),(B743-Q743-R743)*100,NA())</f>
        <v/>
      </c>
      <c r="T743" s="20">
        <f>IF(AND(ISNUMBER(B743),Settings!$B$17&gt;0),IF(ISNUMBER(INDEX($B:$B,Settings!$B$17)),(B743-INDEX($B:$B,Settings!$B$17))*100,NA()),NA())</f>
        <v/>
      </c>
      <c r="U743" s="20">
        <f>IF(AND(ISNUMBER(Q743),Settings!$B$17&gt;0),IF(ISNUMBER(INDEX($Q:$Q,Settings!$B$17)),(Q743-INDEX($Q:$Q,Settings!$B$17))*100,NA()),NA())</f>
        <v/>
      </c>
      <c r="V743" s="20">
        <f>IF(AND(ISNUMBER(R743),Settings!$B$17&gt;0),IF(ISNUMBER(INDEX($R:$R,Settings!$B$17)),(R743-INDEX($R:$R,Settings!$B$17))*100,NA()),NA())</f>
        <v/>
      </c>
      <c r="W743" s="20">
        <f>IF(AND(ISNUMBER(P743),Settings!$B$17&gt;0),IF(ISNUMBER(INDEX($P:$P,Settings!$B$17)),P743-INDEX($P:$P,Settings!$B$17),NA()),NA())</f>
        <v/>
      </c>
      <c r="X743" s="19">
        <f>IF(NOT(ISNUMBER($A743)),NA(),IF(OR($A743&lt;MIN(DKW_10Y!$A$2:$A$2918),$A743&gt;MAX(DKW_10Y!$A$2:$A$2918),Settings!$B$16&lt;MIN(DKW_10Y!$A$2:$A$2918)),NA(),(INDEX(DKW_10Y!$B$2:$B$2918,MATCH($A743,DKW_10Y!$A$2:$A$2918,1))-INDEX(DKW_10Y!$B$2:$B$2918,MATCH(Settings!$B$16,DKW_10Y!$A$2:$A$2918,1)))*100))</f>
        <v/>
      </c>
      <c r="Y743" s="19">
        <f>IF(NOT(ISNUMBER($A743)),NA(),IF(OR($A743&lt;MIN(DKW_10Y!$A$2:$A$2918),$A743&gt;MAX(DKW_10Y!$A$2:$A$2918),Settings!$B$16&lt;MIN(DKW_10Y!$A$2:$A$2918)),NA(),(INDEX(DKW_10Y!$C$2:$C$2918,MATCH($A743,DKW_10Y!$A$2:$A$2918,1))-INDEX(DKW_10Y!$C$2:$C$2918,MATCH(Settings!$B$16,DKW_10Y!$A$2:$A$2918,1)))*100))</f>
        <v/>
      </c>
      <c r="Z743" s="19">
        <f>IF(NOT(ISNUMBER($A743)),NA(),IF(OR($A743&lt;MIN(DKW_10Y!$A$2:$A$2918),$A743&gt;MAX(DKW_10Y!$A$2:$A$2918),Settings!$B$16&lt;MIN(DKW_10Y!$A$2:$A$2918)),NA(),(INDEX(DKW_10Y!$D$2:$D$2918,MATCH($A743,DKW_10Y!$A$2:$A$2918,1))-INDEX(DKW_10Y!$D$2:$D$2918,MATCH(Settings!$B$16,DKW_10Y!$A$2:$A$2918,1)))*100))</f>
        <v/>
      </c>
      <c r="AA743" s="19">
        <f>IF(NOT(ISNUMBER($A743)),NA(),IF(OR($A743&lt;MIN(DKW_10Y!$A$2:$A$2918),$A743&gt;MAX(DKW_10Y!$A$2:$A$2918),Settings!$B$16&lt;MIN(DKW_10Y!$A$2:$A$2918)),NA(),(INDEX(DKW_10Y!$E$2:$E$2918,MATCH($A743,DKW_10Y!$A$2:$A$2918,1))-INDEX(DKW_10Y!$E$2:$E$2918,MATCH(Settings!$B$16,DKW_10Y!$A$2:$A$2918,1)))*100))</f>
        <v/>
      </c>
      <c r="AB743" s="19">
        <f>IF(NOT(ISNUMBER($A743)),NA(),IF(OR($A743&lt;MIN(DKW_10Y!$A$2:$A$2918),$A743&gt;MAX(DKW_10Y!$A$2:$A$2918),Settings!$B$16&lt;MIN(DKW_10Y!$A$2:$A$2918)),NA(),(INDEX(DKW_10Y!$H$2:$H$2918,MATCH($A743,DKW_10Y!$A$2:$A$2918,1))-INDEX(DKW_10Y!$H$2:$H$2918,MATCH(Settings!$B$16,DKW_10Y!$A$2:$A$2918,1)))*100))</f>
        <v/>
      </c>
      <c r="AC743" s="18">
        <f>IF(NOT(ISNUMBER($A743)),NA(),IFERROR(1*INDEX(BBG_Data!$N$2:$N$4000,MATCH($A743,BBG_Data!$M$2:$M$4000,0)),NA()))</f>
        <v/>
      </c>
      <c r="AD743" s="18">
        <f>IF(NOT(ISNUMBER($A743)),NA(),IFERROR(1*INDEX(BBG_Data!$P$2:$P$4000,MATCH($A743,BBG_Data!$O$2:$O$4000,0)),NA()))</f>
        <v/>
      </c>
      <c r="AE743" s="18">
        <f>IF(NOT(ISNUMBER($A743)),NA(),IFERROR(1*INDEX(BBG_Data!$R$2:$R$4000,MATCH($A743,BBG_Data!$Q$2:$Q$4000,0)),NA()))</f>
        <v/>
      </c>
      <c r="AF743" s="20">
        <f>IF(AND(ISNUMBER(B743),ISNUMBER(AC743)),(B743-AC743)*100,NA())</f>
        <v/>
      </c>
      <c r="AG743" s="20">
        <f>IF(AND(ISNUMBER(AE743),ISNUMBER(AD743)),(AE743-AD743)*100,NA())</f>
        <v/>
      </c>
      <c r="AH743" s="19">
        <f>IF(NOT(ISNUMBER($A743)),NA(),IFERROR(INDEX(BBG_Data!$T$2:$T$4000,MATCH($A743,BBG_Data!$S$2:$S$4000,0))*Settings!$B$25,NA()))</f>
        <v/>
      </c>
      <c r="AI743" s="19">
        <f>IF(NOT(ISNUMBER($A743)),NA(),IFERROR(INDEX(BBG_Data!$V$2:$V$4000,MATCH($A743,BBG_Data!$U$2:$U$4000,0))*Settings!$B$25,NA()))</f>
        <v/>
      </c>
      <c r="AJ743" s="19">
        <f>IF(NOT(ISNUMBER($A743)),NA(),IFERROR(1*INDEX(BBG_Data!$X$2:$X$4000,MATCH($A743,BBG_Data!$W$2:$W$4000,0)),NA()))</f>
        <v/>
      </c>
      <c r="AK743" s="19">
        <f>IF(NOT(ISNUMBER($A743)),NA(),IFERROR(1*INDEX(BBG_Data!$Z$2:$Z$4000,MATCH($A743,BBG_Data!$Y$2:$Y$4000,0)),NA()))</f>
        <v/>
      </c>
    </row>
    <row r="744">
      <c r="A744" s="17">
        <f>IF(ISNUMBER(BBG_Data!A744),BBG_Data!A744,"")</f>
        <v/>
      </c>
      <c r="B744" s="18">
        <f>IF(AND(ISNUMBER($A744),ISNUMBER(BBG_Data!B744)),BBG_Data!B744,NA())</f>
        <v/>
      </c>
      <c r="C744" s="18">
        <f>IF(NOT(ISNUMBER($A744)),NA(),IFERROR(1*INDEX(BBG_Data!$D$2:$D$4000,MATCH($A744,BBG_Data!$C$2:$C$4000,0)),NA()))</f>
        <v/>
      </c>
      <c r="D744" s="19">
        <f>IF(NOT(ISNUMBER($A744)),NA(),IFERROR(1*INDEX(BBG_Data!$F$2:$F$4000,MATCH($A744,BBG_Data!$E$2:$E$4000,0)),NA()))</f>
        <v/>
      </c>
      <c r="E744" s="19">
        <f>IF(NOT(ISNUMBER($A744)),NA(),IFERROR(1*INDEX(BBG_Data!$H$2:$H$4000,MATCH($A744,BBG_Data!$G$2:$G$4000,0)),NA()))</f>
        <v/>
      </c>
      <c r="F744" s="20">
        <f>IF(AND(ISNUMBER(B744),ISNUMBER(B743)),IF(B744=B743,"",(B744-B743)*100),"")</f>
        <v/>
      </c>
      <c r="G744" s="20">
        <f>IF(AND(ISNUMBER(C744),ISNUMBER(C743)),IF(C744=C743,"",(C744-C743)*100),"")</f>
        <v/>
      </c>
      <c r="H744" s="20">
        <f>IF(OR(NOT(ISNUMBER($A744)),ROW()-2&lt;Settings!$B$11),NA(),IF(COUNT(OFFSET(F744,1-Settings!$B$11,0,Settings!$B$11,1))&lt;ROUNDUP(Settings!$B$11*Settings!$B$26,0),NA(),STDEV(OFFSET(F744,1-Settings!$B$11,0,Settings!$B$11,1))*SQRT(Settings!$B$13)))</f>
        <v/>
      </c>
      <c r="I744" s="20">
        <f>IF(OR(NOT(ISNUMBER($A744)),ROW()-2&lt;Settings!$B$12),NA(),IF(COUNT(OFFSET(F744,1-Settings!$B$12,0,Settings!$B$12,1))&lt;ROUNDUP(Settings!$B$12*Settings!$B$26,0),NA(),STDEV(OFFSET(F744,1-Settings!$B$12,0,Settings!$B$12,1))*SQRT(Settings!$B$13)))</f>
        <v/>
      </c>
      <c r="J744" s="20">
        <f>IF(OR(NOT(ISNUMBER($A744)),ROW()-2&lt;Settings!$B$11),NA(),IF(COUNT(OFFSET(G744,1-Settings!$B$11,0,Settings!$B$11,1))&lt;ROUNDUP(Settings!$B$11*Settings!$B$26,0),NA(),STDEV(OFFSET(G744,1-Settings!$B$11,0,Settings!$B$11,1))*SQRT(Settings!$B$13)))</f>
        <v/>
      </c>
      <c r="K744" s="20">
        <f>IF(OR(NOT(ISNUMBER($A744)),ROW()-2&lt;Settings!$B$12),NA(),IF(COUNT(OFFSET(G744,1-Settings!$B$12,0,Settings!$B$12,1))&lt;ROUNDUP(Settings!$B$12*Settings!$B$26,0),NA(),STDEV(OFFSET(G744,1-Settings!$B$12,0,Settings!$B$12,1))*SQRT(Settings!$B$13)))</f>
        <v/>
      </c>
      <c r="L744" s="20">
        <f>IF(AND(ISNUMBER(D744),ISNUMBER(H744)),D744-H744,NA())</f>
        <v/>
      </c>
      <c r="M744" s="20">
        <f>IF(AND(ISNUMBER(E744),ISNUMBER(K744)),E744-K744,NA())</f>
        <v/>
      </c>
      <c r="N744" s="20">
        <f>IF(NOT(ISNUMBER($A744)),NA(),IF(COUNT(OFFSET(G744,1,0,Settings!$B$12,1))&lt;ROUNDUP(Settings!$B$12*Settings!$B$26,0),NA(),STDEV(OFFSET(G744,1,0,Settings!$B$12,1))*SQRT(Settings!$B$13)))</f>
        <v/>
      </c>
      <c r="O744" s="20">
        <f>IF(AND(ISNUMBER(E744),ISNUMBER(N744)),E744-N744,NA())</f>
        <v/>
      </c>
      <c r="P744" s="19">
        <f>IF(NOT(ISNUMBER($A744)),NA(),IF(OR($A744&lt;MIN(KW_TP!$A$2:$A$2501),$A744&gt;MAX(KW_TP!$A$2:$A$2501)),NA(),INDEX(KW_TP!$C$2:$C$2501,MATCH($A744,KW_TP!$A$2:$A$2501,1))))</f>
        <v/>
      </c>
      <c r="Q744" s="18">
        <f>IF(NOT(ISNUMBER($A744)),NA(),IFERROR(1*INDEX(BBG_Data!$J$2:$J$4000,MATCH($A744,BBG_Data!$I$2:$I$4000,0)),NA()))</f>
        <v/>
      </c>
      <c r="R744" s="18">
        <f>IF(NOT(ISNUMBER($A744)),NA(),IFERROR(1*INDEX(BBG_Data!$L$2:$L$4000,MATCH($A744,BBG_Data!$K$2:$K$4000,0)),NA()))</f>
        <v/>
      </c>
      <c r="S744" s="20">
        <f>IF(AND(ISNUMBER(B744),ISNUMBER(Q744),ISNUMBER(R744)),(B744-Q744-R744)*100,NA())</f>
        <v/>
      </c>
      <c r="T744" s="20">
        <f>IF(AND(ISNUMBER(B744),Settings!$B$17&gt;0),IF(ISNUMBER(INDEX($B:$B,Settings!$B$17)),(B744-INDEX($B:$B,Settings!$B$17))*100,NA()),NA())</f>
        <v/>
      </c>
      <c r="U744" s="20">
        <f>IF(AND(ISNUMBER(Q744),Settings!$B$17&gt;0),IF(ISNUMBER(INDEX($Q:$Q,Settings!$B$17)),(Q744-INDEX($Q:$Q,Settings!$B$17))*100,NA()),NA())</f>
        <v/>
      </c>
      <c r="V744" s="20">
        <f>IF(AND(ISNUMBER(R744),Settings!$B$17&gt;0),IF(ISNUMBER(INDEX($R:$R,Settings!$B$17)),(R744-INDEX($R:$R,Settings!$B$17))*100,NA()),NA())</f>
        <v/>
      </c>
      <c r="W744" s="20">
        <f>IF(AND(ISNUMBER(P744),Settings!$B$17&gt;0),IF(ISNUMBER(INDEX($P:$P,Settings!$B$17)),P744-INDEX($P:$P,Settings!$B$17),NA()),NA())</f>
        <v/>
      </c>
      <c r="X744" s="19">
        <f>IF(NOT(ISNUMBER($A744)),NA(),IF(OR($A744&lt;MIN(DKW_10Y!$A$2:$A$2918),$A744&gt;MAX(DKW_10Y!$A$2:$A$2918),Settings!$B$16&lt;MIN(DKW_10Y!$A$2:$A$2918)),NA(),(INDEX(DKW_10Y!$B$2:$B$2918,MATCH($A744,DKW_10Y!$A$2:$A$2918,1))-INDEX(DKW_10Y!$B$2:$B$2918,MATCH(Settings!$B$16,DKW_10Y!$A$2:$A$2918,1)))*100))</f>
        <v/>
      </c>
      <c r="Y744" s="19">
        <f>IF(NOT(ISNUMBER($A744)),NA(),IF(OR($A744&lt;MIN(DKW_10Y!$A$2:$A$2918),$A744&gt;MAX(DKW_10Y!$A$2:$A$2918),Settings!$B$16&lt;MIN(DKW_10Y!$A$2:$A$2918)),NA(),(INDEX(DKW_10Y!$C$2:$C$2918,MATCH($A744,DKW_10Y!$A$2:$A$2918,1))-INDEX(DKW_10Y!$C$2:$C$2918,MATCH(Settings!$B$16,DKW_10Y!$A$2:$A$2918,1)))*100))</f>
        <v/>
      </c>
      <c r="Z744" s="19">
        <f>IF(NOT(ISNUMBER($A744)),NA(),IF(OR($A744&lt;MIN(DKW_10Y!$A$2:$A$2918),$A744&gt;MAX(DKW_10Y!$A$2:$A$2918),Settings!$B$16&lt;MIN(DKW_10Y!$A$2:$A$2918)),NA(),(INDEX(DKW_10Y!$D$2:$D$2918,MATCH($A744,DKW_10Y!$A$2:$A$2918,1))-INDEX(DKW_10Y!$D$2:$D$2918,MATCH(Settings!$B$16,DKW_10Y!$A$2:$A$2918,1)))*100))</f>
        <v/>
      </c>
      <c r="AA744" s="19">
        <f>IF(NOT(ISNUMBER($A744)),NA(),IF(OR($A744&lt;MIN(DKW_10Y!$A$2:$A$2918),$A744&gt;MAX(DKW_10Y!$A$2:$A$2918),Settings!$B$16&lt;MIN(DKW_10Y!$A$2:$A$2918)),NA(),(INDEX(DKW_10Y!$E$2:$E$2918,MATCH($A744,DKW_10Y!$A$2:$A$2918,1))-INDEX(DKW_10Y!$E$2:$E$2918,MATCH(Settings!$B$16,DKW_10Y!$A$2:$A$2918,1)))*100))</f>
        <v/>
      </c>
      <c r="AB744" s="19">
        <f>IF(NOT(ISNUMBER($A744)),NA(),IF(OR($A744&lt;MIN(DKW_10Y!$A$2:$A$2918),$A744&gt;MAX(DKW_10Y!$A$2:$A$2918),Settings!$B$16&lt;MIN(DKW_10Y!$A$2:$A$2918)),NA(),(INDEX(DKW_10Y!$H$2:$H$2918,MATCH($A744,DKW_10Y!$A$2:$A$2918,1))-INDEX(DKW_10Y!$H$2:$H$2918,MATCH(Settings!$B$16,DKW_10Y!$A$2:$A$2918,1)))*100))</f>
        <v/>
      </c>
      <c r="AC744" s="18">
        <f>IF(NOT(ISNUMBER($A744)),NA(),IFERROR(1*INDEX(BBG_Data!$N$2:$N$4000,MATCH($A744,BBG_Data!$M$2:$M$4000,0)),NA()))</f>
        <v/>
      </c>
      <c r="AD744" s="18">
        <f>IF(NOT(ISNUMBER($A744)),NA(),IFERROR(1*INDEX(BBG_Data!$P$2:$P$4000,MATCH($A744,BBG_Data!$O$2:$O$4000,0)),NA()))</f>
        <v/>
      </c>
      <c r="AE744" s="18">
        <f>IF(NOT(ISNUMBER($A744)),NA(),IFERROR(1*INDEX(BBG_Data!$R$2:$R$4000,MATCH($A744,BBG_Data!$Q$2:$Q$4000,0)),NA()))</f>
        <v/>
      </c>
      <c r="AF744" s="20">
        <f>IF(AND(ISNUMBER(B744),ISNUMBER(AC744)),(B744-AC744)*100,NA())</f>
        <v/>
      </c>
      <c r="AG744" s="20">
        <f>IF(AND(ISNUMBER(AE744),ISNUMBER(AD744)),(AE744-AD744)*100,NA())</f>
        <v/>
      </c>
      <c r="AH744" s="19">
        <f>IF(NOT(ISNUMBER($A744)),NA(),IFERROR(INDEX(BBG_Data!$T$2:$T$4000,MATCH($A744,BBG_Data!$S$2:$S$4000,0))*Settings!$B$25,NA()))</f>
        <v/>
      </c>
      <c r="AI744" s="19">
        <f>IF(NOT(ISNUMBER($A744)),NA(),IFERROR(INDEX(BBG_Data!$V$2:$V$4000,MATCH($A744,BBG_Data!$U$2:$U$4000,0))*Settings!$B$25,NA()))</f>
        <v/>
      </c>
      <c r="AJ744" s="19">
        <f>IF(NOT(ISNUMBER($A744)),NA(),IFERROR(1*INDEX(BBG_Data!$X$2:$X$4000,MATCH($A744,BBG_Data!$W$2:$W$4000,0)),NA()))</f>
        <v/>
      </c>
      <c r="AK744" s="19">
        <f>IF(NOT(ISNUMBER($A744)),NA(),IFERROR(1*INDEX(BBG_Data!$Z$2:$Z$4000,MATCH($A744,BBG_Data!$Y$2:$Y$4000,0)),NA()))</f>
        <v/>
      </c>
    </row>
    <row r="745">
      <c r="A745" s="17">
        <f>IF(ISNUMBER(BBG_Data!A745),BBG_Data!A745,"")</f>
        <v/>
      </c>
      <c r="B745" s="18">
        <f>IF(AND(ISNUMBER($A745),ISNUMBER(BBG_Data!B745)),BBG_Data!B745,NA())</f>
        <v/>
      </c>
      <c r="C745" s="18">
        <f>IF(NOT(ISNUMBER($A745)),NA(),IFERROR(1*INDEX(BBG_Data!$D$2:$D$4000,MATCH($A745,BBG_Data!$C$2:$C$4000,0)),NA()))</f>
        <v/>
      </c>
      <c r="D745" s="19">
        <f>IF(NOT(ISNUMBER($A745)),NA(),IFERROR(1*INDEX(BBG_Data!$F$2:$F$4000,MATCH($A745,BBG_Data!$E$2:$E$4000,0)),NA()))</f>
        <v/>
      </c>
      <c r="E745" s="19">
        <f>IF(NOT(ISNUMBER($A745)),NA(),IFERROR(1*INDEX(BBG_Data!$H$2:$H$4000,MATCH($A745,BBG_Data!$G$2:$G$4000,0)),NA()))</f>
        <v/>
      </c>
      <c r="F745" s="20">
        <f>IF(AND(ISNUMBER(B745),ISNUMBER(B744)),IF(B745=B744,"",(B745-B744)*100),"")</f>
        <v/>
      </c>
      <c r="G745" s="20">
        <f>IF(AND(ISNUMBER(C745),ISNUMBER(C744)),IF(C745=C744,"",(C745-C744)*100),"")</f>
        <v/>
      </c>
      <c r="H745" s="20">
        <f>IF(OR(NOT(ISNUMBER($A745)),ROW()-2&lt;Settings!$B$11),NA(),IF(COUNT(OFFSET(F745,1-Settings!$B$11,0,Settings!$B$11,1))&lt;ROUNDUP(Settings!$B$11*Settings!$B$26,0),NA(),STDEV(OFFSET(F745,1-Settings!$B$11,0,Settings!$B$11,1))*SQRT(Settings!$B$13)))</f>
        <v/>
      </c>
      <c r="I745" s="20">
        <f>IF(OR(NOT(ISNUMBER($A745)),ROW()-2&lt;Settings!$B$12),NA(),IF(COUNT(OFFSET(F745,1-Settings!$B$12,0,Settings!$B$12,1))&lt;ROUNDUP(Settings!$B$12*Settings!$B$26,0),NA(),STDEV(OFFSET(F745,1-Settings!$B$12,0,Settings!$B$12,1))*SQRT(Settings!$B$13)))</f>
        <v/>
      </c>
      <c r="J745" s="20">
        <f>IF(OR(NOT(ISNUMBER($A745)),ROW()-2&lt;Settings!$B$11),NA(),IF(COUNT(OFFSET(G745,1-Settings!$B$11,0,Settings!$B$11,1))&lt;ROUNDUP(Settings!$B$11*Settings!$B$26,0),NA(),STDEV(OFFSET(G745,1-Settings!$B$11,0,Settings!$B$11,1))*SQRT(Settings!$B$13)))</f>
        <v/>
      </c>
      <c r="K745" s="20">
        <f>IF(OR(NOT(ISNUMBER($A745)),ROW()-2&lt;Settings!$B$12),NA(),IF(COUNT(OFFSET(G745,1-Settings!$B$12,0,Settings!$B$12,1))&lt;ROUNDUP(Settings!$B$12*Settings!$B$26,0),NA(),STDEV(OFFSET(G745,1-Settings!$B$12,0,Settings!$B$12,1))*SQRT(Settings!$B$13)))</f>
        <v/>
      </c>
      <c r="L745" s="20">
        <f>IF(AND(ISNUMBER(D745),ISNUMBER(H745)),D745-H745,NA())</f>
        <v/>
      </c>
      <c r="M745" s="20">
        <f>IF(AND(ISNUMBER(E745),ISNUMBER(K745)),E745-K745,NA())</f>
        <v/>
      </c>
      <c r="N745" s="20">
        <f>IF(NOT(ISNUMBER($A745)),NA(),IF(COUNT(OFFSET(G745,1,0,Settings!$B$12,1))&lt;ROUNDUP(Settings!$B$12*Settings!$B$26,0),NA(),STDEV(OFFSET(G745,1,0,Settings!$B$12,1))*SQRT(Settings!$B$13)))</f>
        <v/>
      </c>
      <c r="O745" s="20">
        <f>IF(AND(ISNUMBER(E745),ISNUMBER(N745)),E745-N745,NA())</f>
        <v/>
      </c>
      <c r="P745" s="19">
        <f>IF(NOT(ISNUMBER($A745)),NA(),IF(OR($A745&lt;MIN(KW_TP!$A$2:$A$2501),$A745&gt;MAX(KW_TP!$A$2:$A$2501)),NA(),INDEX(KW_TP!$C$2:$C$2501,MATCH($A745,KW_TP!$A$2:$A$2501,1))))</f>
        <v/>
      </c>
      <c r="Q745" s="18">
        <f>IF(NOT(ISNUMBER($A745)),NA(),IFERROR(1*INDEX(BBG_Data!$J$2:$J$4000,MATCH($A745,BBG_Data!$I$2:$I$4000,0)),NA()))</f>
        <v/>
      </c>
      <c r="R745" s="18">
        <f>IF(NOT(ISNUMBER($A745)),NA(),IFERROR(1*INDEX(BBG_Data!$L$2:$L$4000,MATCH($A745,BBG_Data!$K$2:$K$4000,0)),NA()))</f>
        <v/>
      </c>
      <c r="S745" s="20">
        <f>IF(AND(ISNUMBER(B745),ISNUMBER(Q745),ISNUMBER(R745)),(B745-Q745-R745)*100,NA())</f>
        <v/>
      </c>
      <c r="T745" s="20">
        <f>IF(AND(ISNUMBER(B745),Settings!$B$17&gt;0),IF(ISNUMBER(INDEX($B:$B,Settings!$B$17)),(B745-INDEX($B:$B,Settings!$B$17))*100,NA()),NA())</f>
        <v/>
      </c>
      <c r="U745" s="20">
        <f>IF(AND(ISNUMBER(Q745),Settings!$B$17&gt;0),IF(ISNUMBER(INDEX($Q:$Q,Settings!$B$17)),(Q745-INDEX($Q:$Q,Settings!$B$17))*100,NA()),NA())</f>
        <v/>
      </c>
      <c r="V745" s="20">
        <f>IF(AND(ISNUMBER(R745),Settings!$B$17&gt;0),IF(ISNUMBER(INDEX($R:$R,Settings!$B$17)),(R745-INDEX($R:$R,Settings!$B$17))*100,NA()),NA())</f>
        <v/>
      </c>
      <c r="W745" s="20">
        <f>IF(AND(ISNUMBER(P745),Settings!$B$17&gt;0),IF(ISNUMBER(INDEX($P:$P,Settings!$B$17)),P745-INDEX($P:$P,Settings!$B$17),NA()),NA())</f>
        <v/>
      </c>
      <c r="X745" s="19">
        <f>IF(NOT(ISNUMBER($A745)),NA(),IF(OR($A745&lt;MIN(DKW_10Y!$A$2:$A$2918),$A745&gt;MAX(DKW_10Y!$A$2:$A$2918),Settings!$B$16&lt;MIN(DKW_10Y!$A$2:$A$2918)),NA(),(INDEX(DKW_10Y!$B$2:$B$2918,MATCH($A745,DKW_10Y!$A$2:$A$2918,1))-INDEX(DKW_10Y!$B$2:$B$2918,MATCH(Settings!$B$16,DKW_10Y!$A$2:$A$2918,1)))*100))</f>
        <v/>
      </c>
      <c r="Y745" s="19">
        <f>IF(NOT(ISNUMBER($A745)),NA(),IF(OR($A745&lt;MIN(DKW_10Y!$A$2:$A$2918),$A745&gt;MAX(DKW_10Y!$A$2:$A$2918),Settings!$B$16&lt;MIN(DKW_10Y!$A$2:$A$2918)),NA(),(INDEX(DKW_10Y!$C$2:$C$2918,MATCH($A745,DKW_10Y!$A$2:$A$2918,1))-INDEX(DKW_10Y!$C$2:$C$2918,MATCH(Settings!$B$16,DKW_10Y!$A$2:$A$2918,1)))*100))</f>
        <v/>
      </c>
      <c r="Z745" s="19">
        <f>IF(NOT(ISNUMBER($A745)),NA(),IF(OR($A745&lt;MIN(DKW_10Y!$A$2:$A$2918),$A745&gt;MAX(DKW_10Y!$A$2:$A$2918),Settings!$B$16&lt;MIN(DKW_10Y!$A$2:$A$2918)),NA(),(INDEX(DKW_10Y!$D$2:$D$2918,MATCH($A745,DKW_10Y!$A$2:$A$2918,1))-INDEX(DKW_10Y!$D$2:$D$2918,MATCH(Settings!$B$16,DKW_10Y!$A$2:$A$2918,1)))*100))</f>
        <v/>
      </c>
      <c r="AA745" s="19">
        <f>IF(NOT(ISNUMBER($A745)),NA(),IF(OR($A745&lt;MIN(DKW_10Y!$A$2:$A$2918),$A745&gt;MAX(DKW_10Y!$A$2:$A$2918),Settings!$B$16&lt;MIN(DKW_10Y!$A$2:$A$2918)),NA(),(INDEX(DKW_10Y!$E$2:$E$2918,MATCH($A745,DKW_10Y!$A$2:$A$2918,1))-INDEX(DKW_10Y!$E$2:$E$2918,MATCH(Settings!$B$16,DKW_10Y!$A$2:$A$2918,1)))*100))</f>
        <v/>
      </c>
      <c r="AB745" s="19">
        <f>IF(NOT(ISNUMBER($A745)),NA(),IF(OR($A745&lt;MIN(DKW_10Y!$A$2:$A$2918),$A745&gt;MAX(DKW_10Y!$A$2:$A$2918),Settings!$B$16&lt;MIN(DKW_10Y!$A$2:$A$2918)),NA(),(INDEX(DKW_10Y!$H$2:$H$2918,MATCH($A745,DKW_10Y!$A$2:$A$2918,1))-INDEX(DKW_10Y!$H$2:$H$2918,MATCH(Settings!$B$16,DKW_10Y!$A$2:$A$2918,1)))*100))</f>
        <v/>
      </c>
      <c r="AC745" s="18">
        <f>IF(NOT(ISNUMBER($A745)),NA(),IFERROR(1*INDEX(BBG_Data!$N$2:$N$4000,MATCH($A745,BBG_Data!$M$2:$M$4000,0)),NA()))</f>
        <v/>
      </c>
      <c r="AD745" s="18">
        <f>IF(NOT(ISNUMBER($A745)),NA(),IFERROR(1*INDEX(BBG_Data!$P$2:$P$4000,MATCH($A745,BBG_Data!$O$2:$O$4000,0)),NA()))</f>
        <v/>
      </c>
      <c r="AE745" s="18">
        <f>IF(NOT(ISNUMBER($A745)),NA(),IFERROR(1*INDEX(BBG_Data!$R$2:$R$4000,MATCH($A745,BBG_Data!$Q$2:$Q$4000,0)),NA()))</f>
        <v/>
      </c>
      <c r="AF745" s="20">
        <f>IF(AND(ISNUMBER(B745),ISNUMBER(AC745)),(B745-AC745)*100,NA())</f>
        <v/>
      </c>
      <c r="AG745" s="20">
        <f>IF(AND(ISNUMBER(AE745),ISNUMBER(AD745)),(AE745-AD745)*100,NA())</f>
        <v/>
      </c>
      <c r="AH745" s="19">
        <f>IF(NOT(ISNUMBER($A745)),NA(),IFERROR(INDEX(BBG_Data!$T$2:$T$4000,MATCH($A745,BBG_Data!$S$2:$S$4000,0))*Settings!$B$25,NA()))</f>
        <v/>
      </c>
      <c r="AI745" s="19">
        <f>IF(NOT(ISNUMBER($A745)),NA(),IFERROR(INDEX(BBG_Data!$V$2:$V$4000,MATCH($A745,BBG_Data!$U$2:$U$4000,0))*Settings!$B$25,NA()))</f>
        <v/>
      </c>
      <c r="AJ745" s="19">
        <f>IF(NOT(ISNUMBER($A745)),NA(),IFERROR(1*INDEX(BBG_Data!$X$2:$X$4000,MATCH($A745,BBG_Data!$W$2:$W$4000,0)),NA()))</f>
        <v/>
      </c>
      <c r="AK745" s="19">
        <f>IF(NOT(ISNUMBER($A745)),NA(),IFERROR(1*INDEX(BBG_Data!$Z$2:$Z$4000,MATCH($A745,BBG_Data!$Y$2:$Y$4000,0)),NA()))</f>
        <v/>
      </c>
    </row>
    <row r="746">
      <c r="A746" s="17">
        <f>IF(ISNUMBER(BBG_Data!A746),BBG_Data!A746,"")</f>
        <v/>
      </c>
      <c r="B746" s="18">
        <f>IF(AND(ISNUMBER($A746),ISNUMBER(BBG_Data!B746)),BBG_Data!B746,NA())</f>
        <v/>
      </c>
      <c r="C746" s="18">
        <f>IF(NOT(ISNUMBER($A746)),NA(),IFERROR(1*INDEX(BBG_Data!$D$2:$D$4000,MATCH($A746,BBG_Data!$C$2:$C$4000,0)),NA()))</f>
        <v/>
      </c>
      <c r="D746" s="19">
        <f>IF(NOT(ISNUMBER($A746)),NA(),IFERROR(1*INDEX(BBG_Data!$F$2:$F$4000,MATCH($A746,BBG_Data!$E$2:$E$4000,0)),NA()))</f>
        <v/>
      </c>
      <c r="E746" s="19">
        <f>IF(NOT(ISNUMBER($A746)),NA(),IFERROR(1*INDEX(BBG_Data!$H$2:$H$4000,MATCH($A746,BBG_Data!$G$2:$G$4000,0)),NA()))</f>
        <v/>
      </c>
      <c r="F746" s="20">
        <f>IF(AND(ISNUMBER(B746),ISNUMBER(B745)),IF(B746=B745,"",(B746-B745)*100),"")</f>
        <v/>
      </c>
      <c r="G746" s="20">
        <f>IF(AND(ISNUMBER(C746),ISNUMBER(C745)),IF(C746=C745,"",(C746-C745)*100),"")</f>
        <v/>
      </c>
      <c r="H746" s="20">
        <f>IF(OR(NOT(ISNUMBER($A746)),ROW()-2&lt;Settings!$B$11),NA(),IF(COUNT(OFFSET(F746,1-Settings!$B$11,0,Settings!$B$11,1))&lt;ROUNDUP(Settings!$B$11*Settings!$B$26,0),NA(),STDEV(OFFSET(F746,1-Settings!$B$11,0,Settings!$B$11,1))*SQRT(Settings!$B$13)))</f>
        <v/>
      </c>
      <c r="I746" s="20">
        <f>IF(OR(NOT(ISNUMBER($A746)),ROW()-2&lt;Settings!$B$12),NA(),IF(COUNT(OFFSET(F746,1-Settings!$B$12,0,Settings!$B$12,1))&lt;ROUNDUP(Settings!$B$12*Settings!$B$26,0),NA(),STDEV(OFFSET(F746,1-Settings!$B$12,0,Settings!$B$12,1))*SQRT(Settings!$B$13)))</f>
        <v/>
      </c>
      <c r="J746" s="20">
        <f>IF(OR(NOT(ISNUMBER($A746)),ROW()-2&lt;Settings!$B$11),NA(),IF(COUNT(OFFSET(G746,1-Settings!$B$11,0,Settings!$B$11,1))&lt;ROUNDUP(Settings!$B$11*Settings!$B$26,0),NA(),STDEV(OFFSET(G746,1-Settings!$B$11,0,Settings!$B$11,1))*SQRT(Settings!$B$13)))</f>
        <v/>
      </c>
      <c r="K746" s="20">
        <f>IF(OR(NOT(ISNUMBER($A746)),ROW()-2&lt;Settings!$B$12),NA(),IF(COUNT(OFFSET(G746,1-Settings!$B$12,0,Settings!$B$12,1))&lt;ROUNDUP(Settings!$B$12*Settings!$B$26,0),NA(),STDEV(OFFSET(G746,1-Settings!$B$12,0,Settings!$B$12,1))*SQRT(Settings!$B$13)))</f>
        <v/>
      </c>
      <c r="L746" s="20">
        <f>IF(AND(ISNUMBER(D746),ISNUMBER(H746)),D746-H746,NA())</f>
        <v/>
      </c>
      <c r="M746" s="20">
        <f>IF(AND(ISNUMBER(E746),ISNUMBER(K746)),E746-K746,NA())</f>
        <v/>
      </c>
      <c r="N746" s="20">
        <f>IF(NOT(ISNUMBER($A746)),NA(),IF(COUNT(OFFSET(G746,1,0,Settings!$B$12,1))&lt;ROUNDUP(Settings!$B$12*Settings!$B$26,0),NA(),STDEV(OFFSET(G746,1,0,Settings!$B$12,1))*SQRT(Settings!$B$13)))</f>
        <v/>
      </c>
      <c r="O746" s="20">
        <f>IF(AND(ISNUMBER(E746),ISNUMBER(N746)),E746-N746,NA())</f>
        <v/>
      </c>
      <c r="P746" s="19">
        <f>IF(NOT(ISNUMBER($A746)),NA(),IF(OR($A746&lt;MIN(KW_TP!$A$2:$A$2501),$A746&gt;MAX(KW_TP!$A$2:$A$2501)),NA(),INDEX(KW_TP!$C$2:$C$2501,MATCH($A746,KW_TP!$A$2:$A$2501,1))))</f>
        <v/>
      </c>
      <c r="Q746" s="18">
        <f>IF(NOT(ISNUMBER($A746)),NA(),IFERROR(1*INDEX(BBG_Data!$J$2:$J$4000,MATCH($A746,BBG_Data!$I$2:$I$4000,0)),NA()))</f>
        <v/>
      </c>
      <c r="R746" s="18">
        <f>IF(NOT(ISNUMBER($A746)),NA(),IFERROR(1*INDEX(BBG_Data!$L$2:$L$4000,MATCH($A746,BBG_Data!$K$2:$K$4000,0)),NA()))</f>
        <v/>
      </c>
      <c r="S746" s="20">
        <f>IF(AND(ISNUMBER(B746),ISNUMBER(Q746),ISNUMBER(R746)),(B746-Q746-R746)*100,NA())</f>
        <v/>
      </c>
      <c r="T746" s="20">
        <f>IF(AND(ISNUMBER(B746),Settings!$B$17&gt;0),IF(ISNUMBER(INDEX($B:$B,Settings!$B$17)),(B746-INDEX($B:$B,Settings!$B$17))*100,NA()),NA())</f>
        <v/>
      </c>
      <c r="U746" s="20">
        <f>IF(AND(ISNUMBER(Q746),Settings!$B$17&gt;0),IF(ISNUMBER(INDEX($Q:$Q,Settings!$B$17)),(Q746-INDEX($Q:$Q,Settings!$B$17))*100,NA()),NA())</f>
        <v/>
      </c>
      <c r="V746" s="20">
        <f>IF(AND(ISNUMBER(R746),Settings!$B$17&gt;0),IF(ISNUMBER(INDEX($R:$R,Settings!$B$17)),(R746-INDEX($R:$R,Settings!$B$17))*100,NA()),NA())</f>
        <v/>
      </c>
      <c r="W746" s="20">
        <f>IF(AND(ISNUMBER(P746),Settings!$B$17&gt;0),IF(ISNUMBER(INDEX($P:$P,Settings!$B$17)),P746-INDEX($P:$P,Settings!$B$17),NA()),NA())</f>
        <v/>
      </c>
      <c r="X746" s="19">
        <f>IF(NOT(ISNUMBER($A746)),NA(),IF(OR($A746&lt;MIN(DKW_10Y!$A$2:$A$2918),$A746&gt;MAX(DKW_10Y!$A$2:$A$2918),Settings!$B$16&lt;MIN(DKW_10Y!$A$2:$A$2918)),NA(),(INDEX(DKW_10Y!$B$2:$B$2918,MATCH($A746,DKW_10Y!$A$2:$A$2918,1))-INDEX(DKW_10Y!$B$2:$B$2918,MATCH(Settings!$B$16,DKW_10Y!$A$2:$A$2918,1)))*100))</f>
        <v/>
      </c>
      <c r="Y746" s="19">
        <f>IF(NOT(ISNUMBER($A746)),NA(),IF(OR($A746&lt;MIN(DKW_10Y!$A$2:$A$2918),$A746&gt;MAX(DKW_10Y!$A$2:$A$2918),Settings!$B$16&lt;MIN(DKW_10Y!$A$2:$A$2918)),NA(),(INDEX(DKW_10Y!$C$2:$C$2918,MATCH($A746,DKW_10Y!$A$2:$A$2918,1))-INDEX(DKW_10Y!$C$2:$C$2918,MATCH(Settings!$B$16,DKW_10Y!$A$2:$A$2918,1)))*100))</f>
        <v/>
      </c>
      <c r="Z746" s="19">
        <f>IF(NOT(ISNUMBER($A746)),NA(),IF(OR($A746&lt;MIN(DKW_10Y!$A$2:$A$2918),$A746&gt;MAX(DKW_10Y!$A$2:$A$2918),Settings!$B$16&lt;MIN(DKW_10Y!$A$2:$A$2918)),NA(),(INDEX(DKW_10Y!$D$2:$D$2918,MATCH($A746,DKW_10Y!$A$2:$A$2918,1))-INDEX(DKW_10Y!$D$2:$D$2918,MATCH(Settings!$B$16,DKW_10Y!$A$2:$A$2918,1)))*100))</f>
        <v/>
      </c>
      <c r="AA746" s="19">
        <f>IF(NOT(ISNUMBER($A746)),NA(),IF(OR($A746&lt;MIN(DKW_10Y!$A$2:$A$2918),$A746&gt;MAX(DKW_10Y!$A$2:$A$2918),Settings!$B$16&lt;MIN(DKW_10Y!$A$2:$A$2918)),NA(),(INDEX(DKW_10Y!$E$2:$E$2918,MATCH($A746,DKW_10Y!$A$2:$A$2918,1))-INDEX(DKW_10Y!$E$2:$E$2918,MATCH(Settings!$B$16,DKW_10Y!$A$2:$A$2918,1)))*100))</f>
        <v/>
      </c>
      <c r="AB746" s="19">
        <f>IF(NOT(ISNUMBER($A746)),NA(),IF(OR($A746&lt;MIN(DKW_10Y!$A$2:$A$2918),$A746&gt;MAX(DKW_10Y!$A$2:$A$2918),Settings!$B$16&lt;MIN(DKW_10Y!$A$2:$A$2918)),NA(),(INDEX(DKW_10Y!$H$2:$H$2918,MATCH($A746,DKW_10Y!$A$2:$A$2918,1))-INDEX(DKW_10Y!$H$2:$H$2918,MATCH(Settings!$B$16,DKW_10Y!$A$2:$A$2918,1)))*100))</f>
        <v/>
      </c>
      <c r="AC746" s="18">
        <f>IF(NOT(ISNUMBER($A746)),NA(),IFERROR(1*INDEX(BBG_Data!$N$2:$N$4000,MATCH($A746,BBG_Data!$M$2:$M$4000,0)),NA()))</f>
        <v/>
      </c>
      <c r="AD746" s="18">
        <f>IF(NOT(ISNUMBER($A746)),NA(),IFERROR(1*INDEX(BBG_Data!$P$2:$P$4000,MATCH($A746,BBG_Data!$O$2:$O$4000,0)),NA()))</f>
        <v/>
      </c>
      <c r="AE746" s="18">
        <f>IF(NOT(ISNUMBER($A746)),NA(),IFERROR(1*INDEX(BBG_Data!$R$2:$R$4000,MATCH($A746,BBG_Data!$Q$2:$Q$4000,0)),NA()))</f>
        <v/>
      </c>
      <c r="AF746" s="20">
        <f>IF(AND(ISNUMBER(B746),ISNUMBER(AC746)),(B746-AC746)*100,NA())</f>
        <v/>
      </c>
      <c r="AG746" s="20">
        <f>IF(AND(ISNUMBER(AE746),ISNUMBER(AD746)),(AE746-AD746)*100,NA())</f>
        <v/>
      </c>
      <c r="AH746" s="19">
        <f>IF(NOT(ISNUMBER($A746)),NA(),IFERROR(INDEX(BBG_Data!$T$2:$T$4000,MATCH($A746,BBG_Data!$S$2:$S$4000,0))*Settings!$B$25,NA()))</f>
        <v/>
      </c>
      <c r="AI746" s="19">
        <f>IF(NOT(ISNUMBER($A746)),NA(),IFERROR(INDEX(BBG_Data!$V$2:$V$4000,MATCH($A746,BBG_Data!$U$2:$U$4000,0))*Settings!$B$25,NA()))</f>
        <v/>
      </c>
      <c r="AJ746" s="19">
        <f>IF(NOT(ISNUMBER($A746)),NA(),IFERROR(1*INDEX(BBG_Data!$X$2:$X$4000,MATCH($A746,BBG_Data!$W$2:$W$4000,0)),NA()))</f>
        <v/>
      </c>
      <c r="AK746" s="19">
        <f>IF(NOT(ISNUMBER($A746)),NA(),IFERROR(1*INDEX(BBG_Data!$Z$2:$Z$4000,MATCH($A746,BBG_Data!$Y$2:$Y$4000,0)),NA()))</f>
        <v/>
      </c>
    </row>
    <row r="747">
      <c r="A747" s="17">
        <f>IF(ISNUMBER(BBG_Data!A747),BBG_Data!A747,"")</f>
        <v/>
      </c>
      <c r="B747" s="18">
        <f>IF(AND(ISNUMBER($A747),ISNUMBER(BBG_Data!B747)),BBG_Data!B747,NA())</f>
        <v/>
      </c>
      <c r="C747" s="18">
        <f>IF(NOT(ISNUMBER($A747)),NA(),IFERROR(1*INDEX(BBG_Data!$D$2:$D$4000,MATCH($A747,BBG_Data!$C$2:$C$4000,0)),NA()))</f>
        <v/>
      </c>
      <c r="D747" s="19">
        <f>IF(NOT(ISNUMBER($A747)),NA(),IFERROR(1*INDEX(BBG_Data!$F$2:$F$4000,MATCH($A747,BBG_Data!$E$2:$E$4000,0)),NA()))</f>
        <v/>
      </c>
      <c r="E747" s="19">
        <f>IF(NOT(ISNUMBER($A747)),NA(),IFERROR(1*INDEX(BBG_Data!$H$2:$H$4000,MATCH($A747,BBG_Data!$G$2:$G$4000,0)),NA()))</f>
        <v/>
      </c>
      <c r="F747" s="20">
        <f>IF(AND(ISNUMBER(B747),ISNUMBER(B746)),IF(B747=B746,"",(B747-B746)*100),"")</f>
        <v/>
      </c>
      <c r="G747" s="20">
        <f>IF(AND(ISNUMBER(C747),ISNUMBER(C746)),IF(C747=C746,"",(C747-C746)*100),"")</f>
        <v/>
      </c>
      <c r="H747" s="20">
        <f>IF(OR(NOT(ISNUMBER($A747)),ROW()-2&lt;Settings!$B$11),NA(),IF(COUNT(OFFSET(F747,1-Settings!$B$11,0,Settings!$B$11,1))&lt;ROUNDUP(Settings!$B$11*Settings!$B$26,0),NA(),STDEV(OFFSET(F747,1-Settings!$B$11,0,Settings!$B$11,1))*SQRT(Settings!$B$13)))</f>
        <v/>
      </c>
      <c r="I747" s="20">
        <f>IF(OR(NOT(ISNUMBER($A747)),ROW()-2&lt;Settings!$B$12),NA(),IF(COUNT(OFFSET(F747,1-Settings!$B$12,0,Settings!$B$12,1))&lt;ROUNDUP(Settings!$B$12*Settings!$B$26,0),NA(),STDEV(OFFSET(F747,1-Settings!$B$12,0,Settings!$B$12,1))*SQRT(Settings!$B$13)))</f>
        <v/>
      </c>
      <c r="J747" s="20">
        <f>IF(OR(NOT(ISNUMBER($A747)),ROW()-2&lt;Settings!$B$11),NA(),IF(COUNT(OFFSET(G747,1-Settings!$B$11,0,Settings!$B$11,1))&lt;ROUNDUP(Settings!$B$11*Settings!$B$26,0),NA(),STDEV(OFFSET(G747,1-Settings!$B$11,0,Settings!$B$11,1))*SQRT(Settings!$B$13)))</f>
        <v/>
      </c>
      <c r="K747" s="20">
        <f>IF(OR(NOT(ISNUMBER($A747)),ROW()-2&lt;Settings!$B$12),NA(),IF(COUNT(OFFSET(G747,1-Settings!$B$12,0,Settings!$B$12,1))&lt;ROUNDUP(Settings!$B$12*Settings!$B$26,0),NA(),STDEV(OFFSET(G747,1-Settings!$B$12,0,Settings!$B$12,1))*SQRT(Settings!$B$13)))</f>
        <v/>
      </c>
      <c r="L747" s="20">
        <f>IF(AND(ISNUMBER(D747),ISNUMBER(H747)),D747-H747,NA())</f>
        <v/>
      </c>
      <c r="M747" s="20">
        <f>IF(AND(ISNUMBER(E747),ISNUMBER(K747)),E747-K747,NA())</f>
        <v/>
      </c>
      <c r="N747" s="20">
        <f>IF(NOT(ISNUMBER($A747)),NA(),IF(COUNT(OFFSET(G747,1,0,Settings!$B$12,1))&lt;ROUNDUP(Settings!$B$12*Settings!$B$26,0),NA(),STDEV(OFFSET(G747,1,0,Settings!$B$12,1))*SQRT(Settings!$B$13)))</f>
        <v/>
      </c>
      <c r="O747" s="20">
        <f>IF(AND(ISNUMBER(E747),ISNUMBER(N747)),E747-N747,NA())</f>
        <v/>
      </c>
      <c r="P747" s="19">
        <f>IF(NOT(ISNUMBER($A747)),NA(),IF(OR($A747&lt;MIN(KW_TP!$A$2:$A$2501),$A747&gt;MAX(KW_TP!$A$2:$A$2501)),NA(),INDEX(KW_TP!$C$2:$C$2501,MATCH($A747,KW_TP!$A$2:$A$2501,1))))</f>
        <v/>
      </c>
      <c r="Q747" s="18">
        <f>IF(NOT(ISNUMBER($A747)),NA(),IFERROR(1*INDEX(BBG_Data!$J$2:$J$4000,MATCH($A747,BBG_Data!$I$2:$I$4000,0)),NA()))</f>
        <v/>
      </c>
      <c r="R747" s="18">
        <f>IF(NOT(ISNUMBER($A747)),NA(),IFERROR(1*INDEX(BBG_Data!$L$2:$L$4000,MATCH($A747,BBG_Data!$K$2:$K$4000,0)),NA()))</f>
        <v/>
      </c>
      <c r="S747" s="20">
        <f>IF(AND(ISNUMBER(B747),ISNUMBER(Q747),ISNUMBER(R747)),(B747-Q747-R747)*100,NA())</f>
        <v/>
      </c>
      <c r="T747" s="20">
        <f>IF(AND(ISNUMBER(B747),Settings!$B$17&gt;0),IF(ISNUMBER(INDEX($B:$B,Settings!$B$17)),(B747-INDEX($B:$B,Settings!$B$17))*100,NA()),NA())</f>
        <v/>
      </c>
      <c r="U747" s="20">
        <f>IF(AND(ISNUMBER(Q747),Settings!$B$17&gt;0),IF(ISNUMBER(INDEX($Q:$Q,Settings!$B$17)),(Q747-INDEX($Q:$Q,Settings!$B$17))*100,NA()),NA())</f>
        <v/>
      </c>
      <c r="V747" s="20">
        <f>IF(AND(ISNUMBER(R747),Settings!$B$17&gt;0),IF(ISNUMBER(INDEX($R:$R,Settings!$B$17)),(R747-INDEX($R:$R,Settings!$B$17))*100,NA()),NA())</f>
        <v/>
      </c>
      <c r="W747" s="20">
        <f>IF(AND(ISNUMBER(P747),Settings!$B$17&gt;0),IF(ISNUMBER(INDEX($P:$P,Settings!$B$17)),P747-INDEX($P:$P,Settings!$B$17),NA()),NA())</f>
        <v/>
      </c>
      <c r="X747" s="19">
        <f>IF(NOT(ISNUMBER($A747)),NA(),IF(OR($A747&lt;MIN(DKW_10Y!$A$2:$A$2918),$A747&gt;MAX(DKW_10Y!$A$2:$A$2918),Settings!$B$16&lt;MIN(DKW_10Y!$A$2:$A$2918)),NA(),(INDEX(DKW_10Y!$B$2:$B$2918,MATCH($A747,DKW_10Y!$A$2:$A$2918,1))-INDEX(DKW_10Y!$B$2:$B$2918,MATCH(Settings!$B$16,DKW_10Y!$A$2:$A$2918,1)))*100))</f>
        <v/>
      </c>
      <c r="Y747" s="19">
        <f>IF(NOT(ISNUMBER($A747)),NA(),IF(OR($A747&lt;MIN(DKW_10Y!$A$2:$A$2918),$A747&gt;MAX(DKW_10Y!$A$2:$A$2918),Settings!$B$16&lt;MIN(DKW_10Y!$A$2:$A$2918)),NA(),(INDEX(DKW_10Y!$C$2:$C$2918,MATCH($A747,DKW_10Y!$A$2:$A$2918,1))-INDEX(DKW_10Y!$C$2:$C$2918,MATCH(Settings!$B$16,DKW_10Y!$A$2:$A$2918,1)))*100))</f>
        <v/>
      </c>
      <c r="Z747" s="19">
        <f>IF(NOT(ISNUMBER($A747)),NA(),IF(OR($A747&lt;MIN(DKW_10Y!$A$2:$A$2918),$A747&gt;MAX(DKW_10Y!$A$2:$A$2918),Settings!$B$16&lt;MIN(DKW_10Y!$A$2:$A$2918)),NA(),(INDEX(DKW_10Y!$D$2:$D$2918,MATCH($A747,DKW_10Y!$A$2:$A$2918,1))-INDEX(DKW_10Y!$D$2:$D$2918,MATCH(Settings!$B$16,DKW_10Y!$A$2:$A$2918,1)))*100))</f>
        <v/>
      </c>
      <c r="AA747" s="19">
        <f>IF(NOT(ISNUMBER($A747)),NA(),IF(OR($A747&lt;MIN(DKW_10Y!$A$2:$A$2918),$A747&gt;MAX(DKW_10Y!$A$2:$A$2918),Settings!$B$16&lt;MIN(DKW_10Y!$A$2:$A$2918)),NA(),(INDEX(DKW_10Y!$E$2:$E$2918,MATCH($A747,DKW_10Y!$A$2:$A$2918,1))-INDEX(DKW_10Y!$E$2:$E$2918,MATCH(Settings!$B$16,DKW_10Y!$A$2:$A$2918,1)))*100))</f>
        <v/>
      </c>
      <c r="AB747" s="19">
        <f>IF(NOT(ISNUMBER($A747)),NA(),IF(OR($A747&lt;MIN(DKW_10Y!$A$2:$A$2918),$A747&gt;MAX(DKW_10Y!$A$2:$A$2918),Settings!$B$16&lt;MIN(DKW_10Y!$A$2:$A$2918)),NA(),(INDEX(DKW_10Y!$H$2:$H$2918,MATCH($A747,DKW_10Y!$A$2:$A$2918,1))-INDEX(DKW_10Y!$H$2:$H$2918,MATCH(Settings!$B$16,DKW_10Y!$A$2:$A$2918,1)))*100))</f>
        <v/>
      </c>
      <c r="AC747" s="18">
        <f>IF(NOT(ISNUMBER($A747)),NA(),IFERROR(1*INDEX(BBG_Data!$N$2:$N$4000,MATCH($A747,BBG_Data!$M$2:$M$4000,0)),NA()))</f>
        <v/>
      </c>
      <c r="AD747" s="18">
        <f>IF(NOT(ISNUMBER($A747)),NA(),IFERROR(1*INDEX(BBG_Data!$P$2:$P$4000,MATCH($A747,BBG_Data!$O$2:$O$4000,0)),NA()))</f>
        <v/>
      </c>
      <c r="AE747" s="18">
        <f>IF(NOT(ISNUMBER($A747)),NA(),IFERROR(1*INDEX(BBG_Data!$R$2:$R$4000,MATCH($A747,BBG_Data!$Q$2:$Q$4000,0)),NA()))</f>
        <v/>
      </c>
      <c r="AF747" s="20">
        <f>IF(AND(ISNUMBER(B747),ISNUMBER(AC747)),(B747-AC747)*100,NA())</f>
        <v/>
      </c>
      <c r="AG747" s="20">
        <f>IF(AND(ISNUMBER(AE747),ISNUMBER(AD747)),(AE747-AD747)*100,NA())</f>
        <v/>
      </c>
      <c r="AH747" s="19">
        <f>IF(NOT(ISNUMBER($A747)),NA(),IFERROR(INDEX(BBG_Data!$T$2:$T$4000,MATCH($A747,BBG_Data!$S$2:$S$4000,0))*Settings!$B$25,NA()))</f>
        <v/>
      </c>
      <c r="AI747" s="19">
        <f>IF(NOT(ISNUMBER($A747)),NA(),IFERROR(INDEX(BBG_Data!$V$2:$V$4000,MATCH($A747,BBG_Data!$U$2:$U$4000,0))*Settings!$B$25,NA()))</f>
        <v/>
      </c>
      <c r="AJ747" s="19">
        <f>IF(NOT(ISNUMBER($A747)),NA(),IFERROR(1*INDEX(BBG_Data!$X$2:$X$4000,MATCH($A747,BBG_Data!$W$2:$W$4000,0)),NA()))</f>
        <v/>
      </c>
      <c r="AK747" s="19">
        <f>IF(NOT(ISNUMBER($A747)),NA(),IFERROR(1*INDEX(BBG_Data!$Z$2:$Z$4000,MATCH($A747,BBG_Data!$Y$2:$Y$4000,0)),NA()))</f>
        <v/>
      </c>
    </row>
    <row r="748">
      <c r="A748" s="17">
        <f>IF(ISNUMBER(BBG_Data!A748),BBG_Data!A748,"")</f>
        <v/>
      </c>
      <c r="B748" s="18">
        <f>IF(AND(ISNUMBER($A748),ISNUMBER(BBG_Data!B748)),BBG_Data!B748,NA())</f>
        <v/>
      </c>
      <c r="C748" s="18">
        <f>IF(NOT(ISNUMBER($A748)),NA(),IFERROR(1*INDEX(BBG_Data!$D$2:$D$4000,MATCH($A748,BBG_Data!$C$2:$C$4000,0)),NA()))</f>
        <v/>
      </c>
      <c r="D748" s="19">
        <f>IF(NOT(ISNUMBER($A748)),NA(),IFERROR(1*INDEX(BBG_Data!$F$2:$F$4000,MATCH($A748,BBG_Data!$E$2:$E$4000,0)),NA()))</f>
        <v/>
      </c>
      <c r="E748" s="19">
        <f>IF(NOT(ISNUMBER($A748)),NA(),IFERROR(1*INDEX(BBG_Data!$H$2:$H$4000,MATCH($A748,BBG_Data!$G$2:$G$4000,0)),NA()))</f>
        <v/>
      </c>
      <c r="F748" s="20">
        <f>IF(AND(ISNUMBER(B748),ISNUMBER(B747)),IF(B748=B747,"",(B748-B747)*100),"")</f>
        <v/>
      </c>
      <c r="G748" s="20">
        <f>IF(AND(ISNUMBER(C748),ISNUMBER(C747)),IF(C748=C747,"",(C748-C747)*100),"")</f>
        <v/>
      </c>
      <c r="H748" s="20">
        <f>IF(OR(NOT(ISNUMBER($A748)),ROW()-2&lt;Settings!$B$11),NA(),IF(COUNT(OFFSET(F748,1-Settings!$B$11,0,Settings!$B$11,1))&lt;ROUNDUP(Settings!$B$11*Settings!$B$26,0),NA(),STDEV(OFFSET(F748,1-Settings!$B$11,0,Settings!$B$11,1))*SQRT(Settings!$B$13)))</f>
        <v/>
      </c>
      <c r="I748" s="20">
        <f>IF(OR(NOT(ISNUMBER($A748)),ROW()-2&lt;Settings!$B$12),NA(),IF(COUNT(OFFSET(F748,1-Settings!$B$12,0,Settings!$B$12,1))&lt;ROUNDUP(Settings!$B$12*Settings!$B$26,0),NA(),STDEV(OFFSET(F748,1-Settings!$B$12,0,Settings!$B$12,1))*SQRT(Settings!$B$13)))</f>
        <v/>
      </c>
      <c r="J748" s="20">
        <f>IF(OR(NOT(ISNUMBER($A748)),ROW()-2&lt;Settings!$B$11),NA(),IF(COUNT(OFFSET(G748,1-Settings!$B$11,0,Settings!$B$11,1))&lt;ROUNDUP(Settings!$B$11*Settings!$B$26,0),NA(),STDEV(OFFSET(G748,1-Settings!$B$11,0,Settings!$B$11,1))*SQRT(Settings!$B$13)))</f>
        <v/>
      </c>
      <c r="K748" s="20">
        <f>IF(OR(NOT(ISNUMBER($A748)),ROW()-2&lt;Settings!$B$12),NA(),IF(COUNT(OFFSET(G748,1-Settings!$B$12,0,Settings!$B$12,1))&lt;ROUNDUP(Settings!$B$12*Settings!$B$26,0),NA(),STDEV(OFFSET(G748,1-Settings!$B$12,0,Settings!$B$12,1))*SQRT(Settings!$B$13)))</f>
        <v/>
      </c>
      <c r="L748" s="20">
        <f>IF(AND(ISNUMBER(D748),ISNUMBER(H748)),D748-H748,NA())</f>
        <v/>
      </c>
      <c r="M748" s="20">
        <f>IF(AND(ISNUMBER(E748),ISNUMBER(K748)),E748-K748,NA())</f>
        <v/>
      </c>
      <c r="N748" s="20">
        <f>IF(NOT(ISNUMBER($A748)),NA(),IF(COUNT(OFFSET(G748,1,0,Settings!$B$12,1))&lt;ROUNDUP(Settings!$B$12*Settings!$B$26,0),NA(),STDEV(OFFSET(G748,1,0,Settings!$B$12,1))*SQRT(Settings!$B$13)))</f>
        <v/>
      </c>
      <c r="O748" s="20">
        <f>IF(AND(ISNUMBER(E748),ISNUMBER(N748)),E748-N748,NA())</f>
        <v/>
      </c>
      <c r="P748" s="19">
        <f>IF(NOT(ISNUMBER($A748)),NA(),IF(OR($A748&lt;MIN(KW_TP!$A$2:$A$2501),$A748&gt;MAX(KW_TP!$A$2:$A$2501)),NA(),INDEX(KW_TP!$C$2:$C$2501,MATCH($A748,KW_TP!$A$2:$A$2501,1))))</f>
        <v/>
      </c>
      <c r="Q748" s="18">
        <f>IF(NOT(ISNUMBER($A748)),NA(),IFERROR(1*INDEX(BBG_Data!$J$2:$J$4000,MATCH($A748,BBG_Data!$I$2:$I$4000,0)),NA()))</f>
        <v/>
      </c>
      <c r="R748" s="18">
        <f>IF(NOT(ISNUMBER($A748)),NA(),IFERROR(1*INDEX(BBG_Data!$L$2:$L$4000,MATCH($A748,BBG_Data!$K$2:$K$4000,0)),NA()))</f>
        <v/>
      </c>
      <c r="S748" s="20">
        <f>IF(AND(ISNUMBER(B748),ISNUMBER(Q748),ISNUMBER(R748)),(B748-Q748-R748)*100,NA())</f>
        <v/>
      </c>
      <c r="T748" s="20">
        <f>IF(AND(ISNUMBER(B748),Settings!$B$17&gt;0),IF(ISNUMBER(INDEX($B:$B,Settings!$B$17)),(B748-INDEX($B:$B,Settings!$B$17))*100,NA()),NA())</f>
        <v/>
      </c>
      <c r="U748" s="20">
        <f>IF(AND(ISNUMBER(Q748),Settings!$B$17&gt;0),IF(ISNUMBER(INDEX($Q:$Q,Settings!$B$17)),(Q748-INDEX($Q:$Q,Settings!$B$17))*100,NA()),NA())</f>
        <v/>
      </c>
      <c r="V748" s="20">
        <f>IF(AND(ISNUMBER(R748),Settings!$B$17&gt;0),IF(ISNUMBER(INDEX($R:$R,Settings!$B$17)),(R748-INDEX($R:$R,Settings!$B$17))*100,NA()),NA())</f>
        <v/>
      </c>
      <c r="W748" s="20">
        <f>IF(AND(ISNUMBER(P748),Settings!$B$17&gt;0),IF(ISNUMBER(INDEX($P:$P,Settings!$B$17)),P748-INDEX($P:$P,Settings!$B$17),NA()),NA())</f>
        <v/>
      </c>
      <c r="X748" s="19">
        <f>IF(NOT(ISNUMBER($A748)),NA(),IF(OR($A748&lt;MIN(DKW_10Y!$A$2:$A$2918),$A748&gt;MAX(DKW_10Y!$A$2:$A$2918),Settings!$B$16&lt;MIN(DKW_10Y!$A$2:$A$2918)),NA(),(INDEX(DKW_10Y!$B$2:$B$2918,MATCH($A748,DKW_10Y!$A$2:$A$2918,1))-INDEX(DKW_10Y!$B$2:$B$2918,MATCH(Settings!$B$16,DKW_10Y!$A$2:$A$2918,1)))*100))</f>
        <v/>
      </c>
      <c r="Y748" s="19">
        <f>IF(NOT(ISNUMBER($A748)),NA(),IF(OR($A748&lt;MIN(DKW_10Y!$A$2:$A$2918),$A748&gt;MAX(DKW_10Y!$A$2:$A$2918),Settings!$B$16&lt;MIN(DKW_10Y!$A$2:$A$2918)),NA(),(INDEX(DKW_10Y!$C$2:$C$2918,MATCH($A748,DKW_10Y!$A$2:$A$2918,1))-INDEX(DKW_10Y!$C$2:$C$2918,MATCH(Settings!$B$16,DKW_10Y!$A$2:$A$2918,1)))*100))</f>
        <v/>
      </c>
      <c r="Z748" s="19">
        <f>IF(NOT(ISNUMBER($A748)),NA(),IF(OR($A748&lt;MIN(DKW_10Y!$A$2:$A$2918),$A748&gt;MAX(DKW_10Y!$A$2:$A$2918),Settings!$B$16&lt;MIN(DKW_10Y!$A$2:$A$2918)),NA(),(INDEX(DKW_10Y!$D$2:$D$2918,MATCH($A748,DKW_10Y!$A$2:$A$2918,1))-INDEX(DKW_10Y!$D$2:$D$2918,MATCH(Settings!$B$16,DKW_10Y!$A$2:$A$2918,1)))*100))</f>
        <v/>
      </c>
      <c r="AA748" s="19">
        <f>IF(NOT(ISNUMBER($A748)),NA(),IF(OR($A748&lt;MIN(DKW_10Y!$A$2:$A$2918),$A748&gt;MAX(DKW_10Y!$A$2:$A$2918),Settings!$B$16&lt;MIN(DKW_10Y!$A$2:$A$2918)),NA(),(INDEX(DKW_10Y!$E$2:$E$2918,MATCH($A748,DKW_10Y!$A$2:$A$2918,1))-INDEX(DKW_10Y!$E$2:$E$2918,MATCH(Settings!$B$16,DKW_10Y!$A$2:$A$2918,1)))*100))</f>
        <v/>
      </c>
      <c r="AB748" s="19">
        <f>IF(NOT(ISNUMBER($A748)),NA(),IF(OR($A748&lt;MIN(DKW_10Y!$A$2:$A$2918),$A748&gt;MAX(DKW_10Y!$A$2:$A$2918),Settings!$B$16&lt;MIN(DKW_10Y!$A$2:$A$2918)),NA(),(INDEX(DKW_10Y!$H$2:$H$2918,MATCH($A748,DKW_10Y!$A$2:$A$2918,1))-INDEX(DKW_10Y!$H$2:$H$2918,MATCH(Settings!$B$16,DKW_10Y!$A$2:$A$2918,1)))*100))</f>
        <v/>
      </c>
      <c r="AC748" s="18">
        <f>IF(NOT(ISNUMBER($A748)),NA(),IFERROR(1*INDEX(BBG_Data!$N$2:$N$4000,MATCH($A748,BBG_Data!$M$2:$M$4000,0)),NA()))</f>
        <v/>
      </c>
      <c r="AD748" s="18">
        <f>IF(NOT(ISNUMBER($A748)),NA(),IFERROR(1*INDEX(BBG_Data!$P$2:$P$4000,MATCH($A748,BBG_Data!$O$2:$O$4000,0)),NA()))</f>
        <v/>
      </c>
      <c r="AE748" s="18">
        <f>IF(NOT(ISNUMBER($A748)),NA(),IFERROR(1*INDEX(BBG_Data!$R$2:$R$4000,MATCH($A748,BBG_Data!$Q$2:$Q$4000,0)),NA()))</f>
        <v/>
      </c>
      <c r="AF748" s="20">
        <f>IF(AND(ISNUMBER(B748),ISNUMBER(AC748)),(B748-AC748)*100,NA())</f>
        <v/>
      </c>
      <c r="AG748" s="20">
        <f>IF(AND(ISNUMBER(AE748),ISNUMBER(AD748)),(AE748-AD748)*100,NA())</f>
        <v/>
      </c>
      <c r="AH748" s="19">
        <f>IF(NOT(ISNUMBER($A748)),NA(),IFERROR(INDEX(BBG_Data!$T$2:$T$4000,MATCH($A748,BBG_Data!$S$2:$S$4000,0))*Settings!$B$25,NA()))</f>
        <v/>
      </c>
      <c r="AI748" s="19">
        <f>IF(NOT(ISNUMBER($A748)),NA(),IFERROR(INDEX(BBG_Data!$V$2:$V$4000,MATCH($A748,BBG_Data!$U$2:$U$4000,0))*Settings!$B$25,NA()))</f>
        <v/>
      </c>
      <c r="AJ748" s="19">
        <f>IF(NOT(ISNUMBER($A748)),NA(),IFERROR(1*INDEX(BBG_Data!$X$2:$X$4000,MATCH($A748,BBG_Data!$W$2:$W$4000,0)),NA()))</f>
        <v/>
      </c>
      <c r="AK748" s="19">
        <f>IF(NOT(ISNUMBER($A748)),NA(),IFERROR(1*INDEX(BBG_Data!$Z$2:$Z$4000,MATCH($A748,BBG_Data!$Y$2:$Y$4000,0)),NA()))</f>
        <v/>
      </c>
    </row>
    <row r="749">
      <c r="A749" s="17">
        <f>IF(ISNUMBER(BBG_Data!A749),BBG_Data!A749,"")</f>
        <v/>
      </c>
      <c r="B749" s="18">
        <f>IF(AND(ISNUMBER($A749),ISNUMBER(BBG_Data!B749)),BBG_Data!B749,NA())</f>
        <v/>
      </c>
      <c r="C749" s="18">
        <f>IF(NOT(ISNUMBER($A749)),NA(),IFERROR(1*INDEX(BBG_Data!$D$2:$D$4000,MATCH($A749,BBG_Data!$C$2:$C$4000,0)),NA()))</f>
        <v/>
      </c>
      <c r="D749" s="19">
        <f>IF(NOT(ISNUMBER($A749)),NA(),IFERROR(1*INDEX(BBG_Data!$F$2:$F$4000,MATCH($A749,BBG_Data!$E$2:$E$4000,0)),NA()))</f>
        <v/>
      </c>
      <c r="E749" s="19">
        <f>IF(NOT(ISNUMBER($A749)),NA(),IFERROR(1*INDEX(BBG_Data!$H$2:$H$4000,MATCH($A749,BBG_Data!$G$2:$G$4000,0)),NA()))</f>
        <v/>
      </c>
      <c r="F749" s="20">
        <f>IF(AND(ISNUMBER(B749),ISNUMBER(B748)),IF(B749=B748,"",(B749-B748)*100),"")</f>
        <v/>
      </c>
      <c r="G749" s="20">
        <f>IF(AND(ISNUMBER(C749),ISNUMBER(C748)),IF(C749=C748,"",(C749-C748)*100),"")</f>
        <v/>
      </c>
      <c r="H749" s="20">
        <f>IF(OR(NOT(ISNUMBER($A749)),ROW()-2&lt;Settings!$B$11),NA(),IF(COUNT(OFFSET(F749,1-Settings!$B$11,0,Settings!$B$11,1))&lt;ROUNDUP(Settings!$B$11*Settings!$B$26,0),NA(),STDEV(OFFSET(F749,1-Settings!$B$11,0,Settings!$B$11,1))*SQRT(Settings!$B$13)))</f>
        <v/>
      </c>
      <c r="I749" s="20">
        <f>IF(OR(NOT(ISNUMBER($A749)),ROW()-2&lt;Settings!$B$12),NA(),IF(COUNT(OFFSET(F749,1-Settings!$B$12,0,Settings!$B$12,1))&lt;ROUNDUP(Settings!$B$12*Settings!$B$26,0),NA(),STDEV(OFFSET(F749,1-Settings!$B$12,0,Settings!$B$12,1))*SQRT(Settings!$B$13)))</f>
        <v/>
      </c>
      <c r="J749" s="20">
        <f>IF(OR(NOT(ISNUMBER($A749)),ROW()-2&lt;Settings!$B$11),NA(),IF(COUNT(OFFSET(G749,1-Settings!$B$11,0,Settings!$B$11,1))&lt;ROUNDUP(Settings!$B$11*Settings!$B$26,0),NA(),STDEV(OFFSET(G749,1-Settings!$B$11,0,Settings!$B$11,1))*SQRT(Settings!$B$13)))</f>
        <v/>
      </c>
      <c r="K749" s="20">
        <f>IF(OR(NOT(ISNUMBER($A749)),ROW()-2&lt;Settings!$B$12),NA(),IF(COUNT(OFFSET(G749,1-Settings!$B$12,0,Settings!$B$12,1))&lt;ROUNDUP(Settings!$B$12*Settings!$B$26,0),NA(),STDEV(OFFSET(G749,1-Settings!$B$12,0,Settings!$B$12,1))*SQRT(Settings!$B$13)))</f>
        <v/>
      </c>
      <c r="L749" s="20">
        <f>IF(AND(ISNUMBER(D749),ISNUMBER(H749)),D749-H749,NA())</f>
        <v/>
      </c>
      <c r="M749" s="20">
        <f>IF(AND(ISNUMBER(E749),ISNUMBER(K749)),E749-K749,NA())</f>
        <v/>
      </c>
      <c r="N749" s="20">
        <f>IF(NOT(ISNUMBER($A749)),NA(),IF(COUNT(OFFSET(G749,1,0,Settings!$B$12,1))&lt;ROUNDUP(Settings!$B$12*Settings!$B$26,0),NA(),STDEV(OFFSET(G749,1,0,Settings!$B$12,1))*SQRT(Settings!$B$13)))</f>
        <v/>
      </c>
      <c r="O749" s="20">
        <f>IF(AND(ISNUMBER(E749),ISNUMBER(N749)),E749-N749,NA())</f>
        <v/>
      </c>
      <c r="P749" s="19">
        <f>IF(NOT(ISNUMBER($A749)),NA(),IF(OR($A749&lt;MIN(KW_TP!$A$2:$A$2501),$A749&gt;MAX(KW_TP!$A$2:$A$2501)),NA(),INDEX(KW_TP!$C$2:$C$2501,MATCH($A749,KW_TP!$A$2:$A$2501,1))))</f>
        <v/>
      </c>
      <c r="Q749" s="18">
        <f>IF(NOT(ISNUMBER($A749)),NA(),IFERROR(1*INDEX(BBG_Data!$J$2:$J$4000,MATCH($A749,BBG_Data!$I$2:$I$4000,0)),NA()))</f>
        <v/>
      </c>
      <c r="R749" s="18">
        <f>IF(NOT(ISNUMBER($A749)),NA(),IFERROR(1*INDEX(BBG_Data!$L$2:$L$4000,MATCH($A749,BBG_Data!$K$2:$K$4000,0)),NA()))</f>
        <v/>
      </c>
      <c r="S749" s="20">
        <f>IF(AND(ISNUMBER(B749),ISNUMBER(Q749),ISNUMBER(R749)),(B749-Q749-R749)*100,NA())</f>
        <v/>
      </c>
      <c r="T749" s="20">
        <f>IF(AND(ISNUMBER(B749),Settings!$B$17&gt;0),IF(ISNUMBER(INDEX($B:$B,Settings!$B$17)),(B749-INDEX($B:$B,Settings!$B$17))*100,NA()),NA())</f>
        <v/>
      </c>
      <c r="U749" s="20">
        <f>IF(AND(ISNUMBER(Q749),Settings!$B$17&gt;0),IF(ISNUMBER(INDEX($Q:$Q,Settings!$B$17)),(Q749-INDEX($Q:$Q,Settings!$B$17))*100,NA()),NA())</f>
        <v/>
      </c>
      <c r="V749" s="20">
        <f>IF(AND(ISNUMBER(R749),Settings!$B$17&gt;0),IF(ISNUMBER(INDEX($R:$R,Settings!$B$17)),(R749-INDEX($R:$R,Settings!$B$17))*100,NA()),NA())</f>
        <v/>
      </c>
      <c r="W749" s="20">
        <f>IF(AND(ISNUMBER(P749),Settings!$B$17&gt;0),IF(ISNUMBER(INDEX($P:$P,Settings!$B$17)),P749-INDEX($P:$P,Settings!$B$17),NA()),NA())</f>
        <v/>
      </c>
      <c r="X749" s="19">
        <f>IF(NOT(ISNUMBER($A749)),NA(),IF(OR($A749&lt;MIN(DKW_10Y!$A$2:$A$2918),$A749&gt;MAX(DKW_10Y!$A$2:$A$2918),Settings!$B$16&lt;MIN(DKW_10Y!$A$2:$A$2918)),NA(),(INDEX(DKW_10Y!$B$2:$B$2918,MATCH($A749,DKW_10Y!$A$2:$A$2918,1))-INDEX(DKW_10Y!$B$2:$B$2918,MATCH(Settings!$B$16,DKW_10Y!$A$2:$A$2918,1)))*100))</f>
        <v/>
      </c>
      <c r="Y749" s="19">
        <f>IF(NOT(ISNUMBER($A749)),NA(),IF(OR($A749&lt;MIN(DKW_10Y!$A$2:$A$2918),$A749&gt;MAX(DKW_10Y!$A$2:$A$2918),Settings!$B$16&lt;MIN(DKW_10Y!$A$2:$A$2918)),NA(),(INDEX(DKW_10Y!$C$2:$C$2918,MATCH($A749,DKW_10Y!$A$2:$A$2918,1))-INDEX(DKW_10Y!$C$2:$C$2918,MATCH(Settings!$B$16,DKW_10Y!$A$2:$A$2918,1)))*100))</f>
        <v/>
      </c>
      <c r="Z749" s="19">
        <f>IF(NOT(ISNUMBER($A749)),NA(),IF(OR($A749&lt;MIN(DKW_10Y!$A$2:$A$2918),$A749&gt;MAX(DKW_10Y!$A$2:$A$2918),Settings!$B$16&lt;MIN(DKW_10Y!$A$2:$A$2918)),NA(),(INDEX(DKW_10Y!$D$2:$D$2918,MATCH($A749,DKW_10Y!$A$2:$A$2918,1))-INDEX(DKW_10Y!$D$2:$D$2918,MATCH(Settings!$B$16,DKW_10Y!$A$2:$A$2918,1)))*100))</f>
        <v/>
      </c>
      <c r="AA749" s="19">
        <f>IF(NOT(ISNUMBER($A749)),NA(),IF(OR($A749&lt;MIN(DKW_10Y!$A$2:$A$2918),$A749&gt;MAX(DKW_10Y!$A$2:$A$2918),Settings!$B$16&lt;MIN(DKW_10Y!$A$2:$A$2918)),NA(),(INDEX(DKW_10Y!$E$2:$E$2918,MATCH($A749,DKW_10Y!$A$2:$A$2918,1))-INDEX(DKW_10Y!$E$2:$E$2918,MATCH(Settings!$B$16,DKW_10Y!$A$2:$A$2918,1)))*100))</f>
        <v/>
      </c>
      <c r="AB749" s="19">
        <f>IF(NOT(ISNUMBER($A749)),NA(),IF(OR($A749&lt;MIN(DKW_10Y!$A$2:$A$2918),$A749&gt;MAX(DKW_10Y!$A$2:$A$2918),Settings!$B$16&lt;MIN(DKW_10Y!$A$2:$A$2918)),NA(),(INDEX(DKW_10Y!$H$2:$H$2918,MATCH($A749,DKW_10Y!$A$2:$A$2918,1))-INDEX(DKW_10Y!$H$2:$H$2918,MATCH(Settings!$B$16,DKW_10Y!$A$2:$A$2918,1)))*100))</f>
        <v/>
      </c>
      <c r="AC749" s="18">
        <f>IF(NOT(ISNUMBER($A749)),NA(),IFERROR(1*INDEX(BBG_Data!$N$2:$N$4000,MATCH($A749,BBG_Data!$M$2:$M$4000,0)),NA()))</f>
        <v/>
      </c>
      <c r="AD749" s="18">
        <f>IF(NOT(ISNUMBER($A749)),NA(),IFERROR(1*INDEX(BBG_Data!$P$2:$P$4000,MATCH($A749,BBG_Data!$O$2:$O$4000,0)),NA()))</f>
        <v/>
      </c>
      <c r="AE749" s="18">
        <f>IF(NOT(ISNUMBER($A749)),NA(),IFERROR(1*INDEX(BBG_Data!$R$2:$R$4000,MATCH($A749,BBG_Data!$Q$2:$Q$4000,0)),NA()))</f>
        <v/>
      </c>
      <c r="AF749" s="20">
        <f>IF(AND(ISNUMBER(B749),ISNUMBER(AC749)),(B749-AC749)*100,NA())</f>
        <v/>
      </c>
      <c r="AG749" s="20">
        <f>IF(AND(ISNUMBER(AE749),ISNUMBER(AD749)),(AE749-AD749)*100,NA())</f>
        <v/>
      </c>
      <c r="AH749" s="19">
        <f>IF(NOT(ISNUMBER($A749)),NA(),IFERROR(INDEX(BBG_Data!$T$2:$T$4000,MATCH($A749,BBG_Data!$S$2:$S$4000,0))*Settings!$B$25,NA()))</f>
        <v/>
      </c>
      <c r="AI749" s="19">
        <f>IF(NOT(ISNUMBER($A749)),NA(),IFERROR(INDEX(BBG_Data!$V$2:$V$4000,MATCH($A749,BBG_Data!$U$2:$U$4000,0))*Settings!$B$25,NA()))</f>
        <v/>
      </c>
      <c r="AJ749" s="19">
        <f>IF(NOT(ISNUMBER($A749)),NA(),IFERROR(1*INDEX(BBG_Data!$X$2:$X$4000,MATCH($A749,BBG_Data!$W$2:$W$4000,0)),NA()))</f>
        <v/>
      </c>
      <c r="AK749" s="19">
        <f>IF(NOT(ISNUMBER($A749)),NA(),IFERROR(1*INDEX(BBG_Data!$Z$2:$Z$4000,MATCH($A749,BBG_Data!$Y$2:$Y$4000,0)),NA()))</f>
        <v/>
      </c>
    </row>
    <row r="750">
      <c r="A750" s="17">
        <f>IF(ISNUMBER(BBG_Data!A750),BBG_Data!A750,"")</f>
        <v/>
      </c>
      <c r="B750" s="18">
        <f>IF(AND(ISNUMBER($A750),ISNUMBER(BBG_Data!B750)),BBG_Data!B750,NA())</f>
        <v/>
      </c>
      <c r="C750" s="18">
        <f>IF(NOT(ISNUMBER($A750)),NA(),IFERROR(1*INDEX(BBG_Data!$D$2:$D$4000,MATCH($A750,BBG_Data!$C$2:$C$4000,0)),NA()))</f>
        <v/>
      </c>
      <c r="D750" s="19">
        <f>IF(NOT(ISNUMBER($A750)),NA(),IFERROR(1*INDEX(BBG_Data!$F$2:$F$4000,MATCH($A750,BBG_Data!$E$2:$E$4000,0)),NA()))</f>
        <v/>
      </c>
      <c r="E750" s="19">
        <f>IF(NOT(ISNUMBER($A750)),NA(),IFERROR(1*INDEX(BBG_Data!$H$2:$H$4000,MATCH($A750,BBG_Data!$G$2:$G$4000,0)),NA()))</f>
        <v/>
      </c>
      <c r="F750" s="20">
        <f>IF(AND(ISNUMBER(B750),ISNUMBER(B749)),IF(B750=B749,"",(B750-B749)*100),"")</f>
        <v/>
      </c>
      <c r="G750" s="20">
        <f>IF(AND(ISNUMBER(C750),ISNUMBER(C749)),IF(C750=C749,"",(C750-C749)*100),"")</f>
        <v/>
      </c>
      <c r="H750" s="20">
        <f>IF(OR(NOT(ISNUMBER($A750)),ROW()-2&lt;Settings!$B$11),NA(),IF(COUNT(OFFSET(F750,1-Settings!$B$11,0,Settings!$B$11,1))&lt;ROUNDUP(Settings!$B$11*Settings!$B$26,0),NA(),STDEV(OFFSET(F750,1-Settings!$B$11,0,Settings!$B$11,1))*SQRT(Settings!$B$13)))</f>
        <v/>
      </c>
      <c r="I750" s="20">
        <f>IF(OR(NOT(ISNUMBER($A750)),ROW()-2&lt;Settings!$B$12),NA(),IF(COUNT(OFFSET(F750,1-Settings!$B$12,0,Settings!$B$12,1))&lt;ROUNDUP(Settings!$B$12*Settings!$B$26,0),NA(),STDEV(OFFSET(F750,1-Settings!$B$12,0,Settings!$B$12,1))*SQRT(Settings!$B$13)))</f>
        <v/>
      </c>
      <c r="J750" s="20">
        <f>IF(OR(NOT(ISNUMBER($A750)),ROW()-2&lt;Settings!$B$11),NA(),IF(COUNT(OFFSET(G750,1-Settings!$B$11,0,Settings!$B$11,1))&lt;ROUNDUP(Settings!$B$11*Settings!$B$26,0),NA(),STDEV(OFFSET(G750,1-Settings!$B$11,0,Settings!$B$11,1))*SQRT(Settings!$B$13)))</f>
        <v/>
      </c>
      <c r="K750" s="20">
        <f>IF(OR(NOT(ISNUMBER($A750)),ROW()-2&lt;Settings!$B$12),NA(),IF(COUNT(OFFSET(G750,1-Settings!$B$12,0,Settings!$B$12,1))&lt;ROUNDUP(Settings!$B$12*Settings!$B$26,0),NA(),STDEV(OFFSET(G750,1-Settings!$B$12,0,Settings!$B$12,1))*SQRT(Settings!$B$13)))</f>
        <v/>
      </c>
      <c r="L750" s="20">
        <f>IF(AND(ISNUMBER(D750),ISNUMBER(H750)),D750-H750,NA())</f>
        <v/>
      </c>
      <c r="M750" s="20">
        <f>IF(AND(ISNUMBER(E750),ISNUMBER(K750)),E750-K750,NA())</f>
        <v/>
      </c>
      <c r="N750" s="20">
        <f>IF(NOT(ISNUMBER($A750)),NA(),IF(COUNT(OFFSET(G750,1,0,Settings!$B$12,1))&lt;ROUNDUP(Settings!$B$12*Settings!$B$26,0),NA(),STDEV(OFFSET(G750,1,0,Settings!$B$12,1))*SQRT(Settings!$B$13)))</f>
        <v/>
      </c>
      <c r="O750" s="20">
        <f>IF(AND(ISNUMBER(E750),ISNUMBER(N750)),E750-N750,NA())</f>
        <v/>
      </c>
      <c r="P750" s="19">
        <f>IF(NOT(ISNUMBER($A750)),NA(),IF(OR($A750&lt;MIN(KW_TP!$A$2:$A$2501),$A750&gt;MAX(KW_TP!$A$2:$A$2501)),NA(),INDEX(KW_TP!$C$2:$C$2501,MATCH($A750,KW_TP!$A$2:$A$2501,1))))</f>
        <v/>
      </c>
      <c r="Q750" s="18">
        <f>IF(NOT(ISNUMBER($A750)),NA(),IFERROR(1*INDEX(BBG_Data!$J$2:$J$4000,MATCH($A750,BBG_Data!$I$2:$I$4000,0)),NA()))</f>
        <v/>
      </c>
      <c r="R750" s="18">
        <f>IF(NOT(ISNUMBER($A750)),NA(),IFERROR(1*INDEX(BBG_Data!$L$2:$L$4000,MATCH($A750,BBG_Data!$K$2:$K$4000,0)),NA()))</f>
        <v/>
      </c>
      <c r="S750" s="20">
        <f>IF(AND(ISNUMBER(B750),ISNUMBER(Q750),ISNUMBER(R750)),(B750-Q750-R750)*100,NA())</f>
        <v/>
      </c>
      <c r="T750" s="20">
        <f>IF(AND(ISNUMBER(B750),Settings!$B$17&gt;0),IF(ISNUMBER(INDEX($B:$B,Settings!$B$17)),(B750-INDEX($B:$B,Settings!$B$17))*100,NA()),NA())</f>
        <v/>
      </c>
      <c r="U750" s="20">
        <f>IF(AND(ISNUMBER(Q750),Settings!$B$17&gt;0),IF(ISNUMBER(INDEX($Q:$Q,Settings!$B$17)),(Q750-INDEX($Q:$Q,Settings!$B$17))*100,NA()),NA())</f>
        <v/>
      </c>
      <c r="V750" s="20">
        <f>IF(AND(ISNUMBER(R750),Settings!$B$17&gt;0),IF(ISNUMBER(INDEX($R:$R,Settings!$B$17)),(R750-INDEX($R:$R,Settings!$B$17))*100,NA()),NA())</f>
        <v/>
      </c>
      <c r="W750" s="20">
        <f>IF(AND(ISNUMBER(P750),Settings!$B$17&gt;0),IF(ISNUMBER(INDEX($P:$P,Settings!$B$17)),P750-INDEX($P:$P,Settings!$B$17),NA()),NA())</f>
        <v/>
      </c>
      <c r="X750" s="19">
        <f>IF(NOT(ISNUMBER($A750)),NA(),IF(OR($A750&lt;MIN(DKW_10Y!$A$2:$A$2918),$A750&gt;MAX(DKW_10Y!$A$2:$A$2918),Settings!$B$16&lt;MIN(DKW_10Y!$A$2:$A$2918)),NA(),(INDEX(DKW_10Y!$B$2:$B$2918,MATCH($A750,DKW_10Y!$A$2:$A$2918,1))-INDEX(DKW_10Y!$B$2:$B$2918,MATCH(Settings!$B$16,DKW_10Y!$A$2:$A$2918,1)))*100))</f>
        <v/>
      </c>
      <c r="Y750" s="19">
        <f>IF(NOT(ISNUMBER($A750)),NA(),IF(OR($A750&lt;MIN(DKW_10Y!$A$2:$A$2918),$A750&gt;MAX(DKW_10Y!$A$2:$A$2918),Settings!$B$16&lt;MIN(DKW_10Y!$A$2:$A$2918)),NA(),(INDEX(DKW_10Y!$C$2:$C$2918,MATCH($A750,DKW_10Y!$A$2:$A$2918,1))-INDEX(DKW_10Y!$C$2:$C$2918,MATCH(Settings!$B$16,DKW_10Y!$A$2:$A$2918,1)))*100))</f>
        <v/>
      </c>
      <c r="Z750" s="19">
        <f>IF(NOT(ISNUMBER($A750)),NA(),IF(OR($A750&lt;MIN(DKW_10Y!$A$2:$A$2918),$A750&gt;MAX(DKW_10Y!$A$2:$A$2918),Settings!$B$16&lt;MIN(DKW_10Y!$A$2:$A$2918)),NA(),(INDEX(DKW_10Y!$D$2:$D$2918,MATCH($A750,DKW_10Y!$A$2:$A$2918,1))-INDEX(DKW_10Y!$D$2:$D$2918,MATCH(Settings!$B$16,DKW_10Y!$A$2:$A$2918,1)))*100))</f>
        <v/>
      </c>
      <c r="AA750" s="19">
        <f>IF(NOT(ISNUMBER($A750)),NA(),IF(OR($A750&lt;MIN(DKW_10Y!$A$2:$A$2918),$A750&gt;MAX(DKW_10Y!$A$2:$A$2918),Settings!$B$16&lt;MIN(DKW_10Y!$A$2:$A$2918)),NA(),(INDEX(DKW_10Y!$E$2:$E$2918,MATCH($A750,DKW_10Y!$A$2:$A$2918,1))-INDEX(DKW_10Y!$E$2:$E$2918,MATCH(Settings!$B$16,DKW_10Y!$A$2:$A$2918,1)))*100))</f>
        <v/>
      </c>
      <c r="AB750" s="19">
        <f>IF(NOT(ISNUMBER($A750)),NA(),IF(OR($A750&lt;MIN(DKW_10Y!$A$2:$A$2918),$A750&gt;MAX(DKW_10Y!$A$2:$A$2918),Settings!$B$16&lt;MIN(DKW_10Y!$A$2:$A$2918)),NA(),(INDEX(DKW_10Y!$H$2:$H$2918,MATCH($A750,DKW_10Y!$A$2:$A$2918,1))-INDEX(DKW_10Y!$H$2:$H$2918,MATCH(Settings!$B$16,DKW_10Y!$A$2:$A$2918,1)))*100))</f>
        <v/>
      </c>
      <c r="AC750" s="18">
        <f>IF(NOT(ISNUMBER($A750)),NA(),IFERROR(1*INDEX(BBG_Data!$N$2:$N$4000,MATCH($A750,BBG_Data!$M$2:$M$4000,0)),NA()))</f>
        <v/>
      </c>
      <c r="AD750" s="18">
        <f>IF(NOT(ISNUMBER($A750)),NA(),IFERROR(1*INDEX(BBG_Data!$P$2:$P$4000,MATCH($A750,BBG_Data!$O$2:$O$4000,0)),NA()))</f>
        <v/>
      </c>
      <c r="AE750" s="18">
        <f>IF(NOT(ISNUMBER($A750)),NA(),IFERROR(1*INDEX(BBG_Data!$R$2:$R$4000,MATCH($A750,BBG_Data!$Q$2:$Q$4000,0)),NA()))</f>
        <v/>
      </c>
      <c r="AF750" s="20">
        <f>IF(AND(ISNUMBER(B750),ISNUMBER(AC750)),(B750-AC750)*100,NA())</f>
        <v/>
      </c>
      <c r="AG750" s="20">
        <f>IF(AND(ISNUMBER(AE750),ISNUMBER(AD750)),(AE750-AD750)*100,NA())</f>
        <v/>
      </c>
      <c r="AH750" s="19">
        <f>IF(NOT(ISNUMBER($A750)),NA(),IFERROR(INDEX(BBG_Data!$T$2:$T$4000,MATCH($A750,BBG_Data!$S$2:$S$4000,0))*Settings!$B$25,NA()))</f>
        <v/>
      </c>
      <c r="AI750" s="19">
        <f>IF(NOT(ISNUMBER($A750)),NA(),IFERROR(INDEX(BBG_Data!$V$2:$V$4000,MATCH($A750,BBG_Data!$U$2:$U$4000,0))*Settings!$B$25,NA()))</f>
        <v/>
      </c>
      <c r="AJ750" s="19">
        <f>IF(NOT(ISNUMBER($A750)),NA(),IFERROR(1*INDEX(BBG_Data!$X$2:$X$4000,MATCH($A750,BBG_Data!$W$2:$W$4000,0)),NA()))</f>
        <v/>
      </c>
      <c r="AK750" s="19">
        <f>IF(NOT(ISNUMBER($A750)),NA(),IFERROR(1*INDEX(BBG_Data!$Z$2:$Z$4000,MATCH($A750,BBG_Data!$Y$2:$Y$4000,0)),NA()))</f>
        <v/>
      </c>
    </row>
    <row r="751">
      <c r="A751" s="17">
        <f>IF(ISNUMBER(BBG_Data!A751),BBG_Data!A751,"")</f>
        <v/>
      </c>
      <c r="B751" s="18">
        <f>IF(AND(ISNUMBER($A751),ISNUMBER(BBG_Data!B751)),BBG_Data!B751,NA())</f>
        <v/>
      </c>
      <c r="C751" s="18">
        <f>IF(NOT(ISNUMBER($A751)),NA(),IFERROR(1*INDEX(BBG_Data!$D$2:$D$4000,MATCH($A751,BBG_Data!$C$2:$C$4000,0)),NA()))</f>
        <v/>
      </c>
      <c r="D751" s="19">
        <f>IF(NOT(ISNUMBER($A751)),NA(),IFERROR(1*INDEX(BBG_Data!$F$2:$F$4000,MATCH($A751,BBG_Data!$E$2:$E$4000,0)),NA()))</f>
        <v/>
      </c>
      <c r="E751" s="19">
        <f>IF(NOT(ISNUMBER($A751)),NA(),IFERROR(1*INDEX(BBG_Data!$H$2:$H$4000,MATCH($A751,BBG_Data!$G$2:$G$4000,0)),NA()))</f>
        <v/>
      </c>
      <c r="F751" s="20">
        <f>IF(AND(ISNUMBER(B751),ISNUMBER(B750)),IF(B751=B750,"",(B751-B750)*100),"")</f>
        <v/>
      </c>
      <c r="G751" s="20">
        <f>IF(AND(ISNUMBER(C751),ISNUMBER(C750)),IF(C751=C750,"",(C751-C750)*100),"")</f>
        <v/>
      </c>
      <c r="H751" s="20">
        <f>IF(OR(NOT(ISNUMBER($A751)),ROW()-2&lt;Settings!$B$11),NA(),IF(COUNT(OFFSET(F751,1-Settings!$B$11,0,Settings!$B$11,1))&lt;ROUNDUP(Settings!$B$11*Settings!$B$26,0),NA(),STDEV(OFFSET(F751,1-Settings!$B$11,0,Settings!$B$11,1))*SQRT(Settings!$B$13)))</f>
        <v/>
      </c>
      <c r="I751" s="20">
        <f>IF(OR(NOT(ISNUMBER($A751)),ROW()-2&lt;Settings!$B$12),NA(),IF(COUNT(OFFSET(F751,1-Settings!$B$12,0,Settings!$B$12,1))&lt;ROUNDUP(Settings!$B$12*Settings!$B$26,0),NA(),STDEV(OFFSET(F751,1-Settings!$B$12,0,Settings!$B$12,1))*SQRT(Settings!$B$13)))</f>
        <v/>
      </c>
      <c r="J751" s="20">
        <f>IF(OR(NOT(ISNUMBER($A751)),ROW()-2&lt;Settings!$B$11),NA(),IF(COUNT(OFFSET(G751,1-Settings!$B$11,0,Settings!$B$11,1))&lt;ROUNDUP(Settings!$B$11*Settings!$B$26,0),NA(),STDEV(OFFSET(G751,1-Settings!$B$11,0,Settings!$B$11,1))*SQRT(Settings!$B$13)))</f>
        <v/>
      </c>
      <c r="K751" s="20">
        <f>IF(OR(NOT(ISNUMBER($A751)),ROW()-2&lt;Settings!$B$12),NA(),IF(COUNT(OFFSET(G751,1-Settings!$B$12,0,Settings!$B$12,1))&lt;ROUNDUP(Settings!$B$12*Settings!$B$26,0),NA(),STDEV(OFFSET(G751,1-Settings!$B$12,0,Settings!$B$12,1))*SQRT(Settings!$B$13)))</f>
        <v/>
      </c>
      <c r="L751" s="20">
        <f>IF(AND(ISNUMBER(D751),ISNUMBER(H751)),D751-H751,NA())</f>
        <v/>
      </c>
      <c r="M751" s="20">
        <f>IF(AND(ISNUMBER(E751),ISNUMBER(K751)),E751-K751,NA())</f>
        <v/>
      </c>
      <c r="N751" s="20">
        <f>IF(NOT(ISNUMBER($A751)),NA(),IF(COUNT(OFFSET(G751,1,0,Settings!$B$12,1))&lt;ROUNDUP(Settings!$B$12*Settings!$B$26,0),NA(),STDEV(OFFSET(G751,1,0,Settings!$B$12,1))*SQRT(Settings!$B$13)))</f>
        <v/>
      </c>
      <c r="O751" s="20">
        <f>IF(AND(ISNUMBER(E751),ISNUMBER(N751)),E751-N751,NA())</f>
        <v/>
      </c>
      <c r="P751" s="19">
        <f>IF(NOT(ISNUMBER($A751)),NA(),IF(OR($A751&lt;MIN(KW_TP!$A$2:$A$2501),$A751&gt;MAX(KW_TP!$A$2:$A$2501)),NA(),INDEX(KW_TP!$C$2:$C$2501,MATCH($A751,KW_TP!$A$2:$A$2501,1))))</f>
        <v/>
      </c>
      <c r="Q751" s="18">
        <f>IF(NOT(ISNUMBER($A751)),NA(),IFERROR(1*INDEX(BBG_Data!$J$2:$J$4000,MATCH($A751,BBG_Data!$I$2:$I$4000,0)),NA()))</f>
        <v/>
      </c>
      <c r="R751" s="18">
        <f>IF(NOT(ISNUMBER($A751)),NA(),IFERROR(1*INDEX(BBG_Data!$L$2:$L$4000,MATCH($A751,BBG_Data!$K$2:$K$4000,0)),NA()))</f>
        <v/>
      </c>
      <c r="S751" s="20">
        <f>IF(AND(ISNUMBER(B751),ISNUMBER(Q751),ISNUMBER(R751)),(B751-Q751-R751)*100,NA())</f>
        <v/>
      </c>
      <c r="T751" s="20">
        <f>IF(AND(ISNUMBER(B751),Settings!$B$17&gt;0),IF(ISNUMBER(INDEX($B:$B,Settings!$B$17)),(B751-INDEX($B:$B,Settings!$B$17))*100,NA()),NA())</f>
        <v/>
      </c>
      <c r="U751" s="20">
        <f>IF(AND(ISNUMBER(Q751),Settings!$B$17&gt;0),IF(ISNUMBER(INDEX($Q:$Q,Settings!$B$17)),(Q751-INDEX($Q:$Q,Settings!$B$17))*100,NA()),NA())</f>
        <v/>
      </c>
      <c r="V751" s="20">
        <f>IF(AND(ISNUMBER(R751),Settings!$B$17&gt;0),IF(ISNUMBER(INDEX($R:$R,Settings!$B$17)),(R751-INDEX($R:$R,Settings!$B$17))*100,NA()),NA())</f>
        <v/>
      </c>
      <c r="W751" s="20">
        <f>IF(AND(ISNUMBER(P751),Settings!$B$17&gt;0),IF(ISNUMBER(INDEX($P:$P,Settings!$B$17)),P751-INDEX($P:$P,Settings!$B$17),NA()),NA())</f>
        <v/>
      </c>
      <c r="X751" s="19">
        <f>IF(NOT(ISNUMBER($A751)),NA(),IF(OR($A751&lt;MIN(DKW_10Y!$A$2:$A$2918),$A751&gt;MAX(DKW_10Y!$A$2:$A$2918),Settings!$B$16&lt;MIN(DKW_10Y!$A$2:$A$2918)),NA(),(INDEX(DKW_10Y!$B$2:$B$2918,MATCH($A751,DKW_10Y!$A$2:$A$2918,1))-INDEX(DKW_10Y!$B$2:$B$2918,MATCH(Settings!$B$16,DKW_10Y!$A$2:$A$2918,1)))*100))</f>
        <v/>
      </c>
      <c r="Y751" s="19">
        <f>IF(NOT(ISNUMBER($A751)),NA(),IF(OR($A751&lt;MIN(DKW_10Y!$A$2:$A$2918),$A751&gt;MAX(DKW_10Y!$A$2:$A$2918),Settings!$B$16&lt;MIN(DKW_10Y!$A$2:$A$2918)),NA(),(INDEX(DKW_10Y!$C$2:$C$2918,MATCH($A751,DKW_10Y!$A$2:$A$2918,1))-INDEX(DKW_10Y!$C$2:$C$2918,MATCH(Settings!$B$16,DKW_10Y!$A$2:$A$2918,1)))*100))</f>
        <v/>
      </c>
      <c r="Z751" s="19">
        <f>IF(NOT(ISNUMBER($A751)),NA(),IF(OR($A751&lt;MIN(DKW_10Y!$A$2:$A$2918),$A751&gt;MAX(DKW_10Y!$A$2:$A$2918),Settings!$B$16&lt;MIN(DKW_10Y!$A$2:$A$2918)),NA(),(INDEX(DKW_10Y!$D$2:$D$2918,MATCH($A751,DKW_10Y!$A$2:$A$2918,1))-INDEX(DKW_10Y!$D$2:$D$2918,MATCH(Settings!$B$16,DKW_10Y!$A$2:$A$2918,1)))*100))</f>
        <v/>
      </c>
      <c r="AA751" s="19">
        <f>IF(NOT(ISNUMBER($A751)),NA(),IF(OR($A751&lt;MIN(DKW_10Y!$A$2:$A$2918),$A751&gt;MAX(DKW_10Y!$A$2:$A$2918),Settings!$B$16&lt;MIN(DKW_10Y!$A$2:$A$2918)),NA(),(INDEX(DKW_10Y!$E$2:$E$2918,MATCH($A751,DKW_10Y!$A$2:$A$2918,1))-INDEX(DKW_10Y!$E$2:$E$2918,MATCH(Settings!$B$16,DKW_10Y!$A$2:$A$2918,1)))*100))</f>
        <v/>
      </c>
      <c r="AB751" s="19">
        <f>IF(NOT(ISNUMBER($A751)),NA(),IF(OR($A751&lt;MIN(DKW_10Y!$A$2:$A$2918),$A751&gt;MAX(DKW_10Y!$A$2:$A$2918),Settings!$B$16&lt;MIN(DKW_10Y!$A$2:$A$2918)),NA(),(INDEX(DKW_10Y!$H$2:$H$2918,MATCH($A751,DKW_10Y!$A$2:$A$2918,1))-INDEX(DKW_10Y!$H$2:$H$2918,MATCH(Settings!$B$16,DKW_10Y!$A$2:$A$2918,1)))*100))</f>
        <v/>
      </c>
      <c r="AC751" s="18">
        <f>IF(NOT(ISNUMBER($A751)),NA(),IFERROR(1*INDEX(BBG_Data!$N$2:$N$4000,MATCH($A751,BBG_Data!$M$2:$M$4000,0)),NA()))</f>
        <v/>
      </c>
      <c r="AD751" s="18">
        <f>IF(NOT(ISNUMBER($A751)),NA(),IFERROR(1*INDEX(BBG_Data!$P$2:$P$4000,MATCH($A751,BBG_Data!$O$2:$O$4000,0)),NA()))</f>
        <v/>
      </c>
      <c r="AE751" s="18">
        <f>IF(NOT(ISNUMBER($A751)),NA(),IFERROR(1*INDEX(BBG_Data!$R$2:$R$4000,MATCH($A751,BBG_Data!$Q$2:$Q$4000,0)),NA()))</f>
        <v/>
      </c>
      <c r="AF751" s="20">
        <f>IF(AND(ISNUMBER(B751),ISNUMBER(AC751)),(B751-AC751)*100,NA())</f>
        <v/>
      </c>
      <c r="AG751" s="20">
        <f>IF(AND(ISNUMBER(AE751),ISNUMBER(AD751)),(AE751-AD751)*100,NA())</f>
        <v/>
      </c>
      <c r="AH751" s="19">
        <f>IF(NOT(ISNUMBER($A751)),NA(),IFERROR(INDEX(BBG_Data!$T$2:$T$4000,MATCH($A751,BBG_Data!$S$2:$S$4000,0))*Settings!$B$25,NA()))</f>
        <v/>
      </c>
      <c r="AI751" s="19">
        <f>IF(NOT(ISNUMBER($A751)),NA(),IFERROR(INDEX(BBG_Data!$V$2:$V$4000,MATCH($A751,BBG_Data!$U$2:$U$4000,0))*Settings!$B$25,NA()))</f>
        <v/>
      </c>
      <c r="AJ751" s="19">
        <f>IF(NOT(ISNUMBER($A751)),NA(),IFERROR(1*INDEX(BBG_Data!$X$2:$X$4000,MATCH($A751,BBG_Data!$W$2:$W$4000,0)),NA()))</f>
        <v/>
      </c>
      <c r="AK751" s="19">
        <f>IF(NOT(ISNUMBER($A751)),NA(),IFERROR(1*INDEX(BBG_Data!$Z$2:$Z$4000,MATCH($A751,BBG_Data!$Y$2:$Y$4000,0)),NA()))</f>
        <v/>
      </c>
    </row>
    <row r="752">
      <c r="A752" s="17">
        <f>IF(ISNUMBER(BBG_Data!A752),BBG_Data!A752,"")</f>
        <v/>
      </c>
      <c r="B752" s="18">
        <f>IF(AND(ISNUMBER($A752),ISNUMBER(BBG_Data!B752)),BBG_Data!B752,NA())</f>
        <v/>
      </c>
      <c r="C752" s="18">
        <f>IF(NOT(ISNUMBER($A752)),NA(),IFERROR(1*INDEX(BBG_Data!$D$2:$D$4000,MATCH($A752,BBG_Data!$C$2:$C$4000,0)),NA()))</f>
        <v/>
      </c>
      <c r="D752" s="19">
        <f>IF(NOT(ISNUMBER($A752)),NA(),IFERROR(1*INDEX(BBG_Data!$F$2:$F$4000,MATCH($A752,BBG_Data!$E$2:$E$4000,0)),NA()))</f>
        <v/>
      </c>
      <c r="E752" s="19">
        <f>IF(NOT(ISNUMBER($A752)),NA(),IFERROR(1*INDEX(BBG_Data!$H$2:$H$4000,MATCH($A752,BBG_Data!$G$2:$G$4000,0)),NA()))</f>
        <v/>
      </c>
      <c r="F752" s="20">
        <f>IF(AND(ISNUMBER(B752),ISNUMBER(B751)),IF(B752=B751,"",(B752-B751)*100),"")</f>
        <v/>
      </c>
      <c r="G752" s="20">
        <f>IF(AND(ISNUMBER(C752),ISNUMBER(C751)),IF(C752=C751,"",(C752-C751)*100),"")</f>
        <v/>
      </c>
      <c r="H752" s="20">
        <f>IF(OR(NOT(ISNUMBER($A752)),ROW()-2&lt;Settings!$B$11),NA(),IF(COUNT(OFFSET(F752,1-Settings!$B$11,0,Settings!$B$11,1))&lt;ROUNDUP(Settings!$B$11*Settings!$B$26,0),NA(),STDEV(OFFSET(F752,1-Settings!$B$11,0,Settings!$B$11,1))*SQRT(Settings!$B$13)))</f>
        <v/>
      </c>
      <c r="I752" s="20">
        <f>IF(OR(NOT(ISNUMBER($A752)),ROW()-2&lt;Settings!$B$12),NA(),IF(COUNT(OFFSET(F752,1-Settings!$B$12,0,Settings!$B$12,1))&lt;ROUNDUP(Settings!$B$12*Settings!$B$26,0),NA(),STDEV(OFFSET(F752,1-Settings!$B$12,0,Settings!$B$12,1))*SQRT(Settings!$B$13)))</f>
        <v/>
      </c>
      <c r="J752" s="20">
        <f>IF(OR(NOT(ISNUMBER($A752)),ROW()-2&lt;Settings!$B$11),NA(),IF(COUNT(OFFSET(G752,1-Settings!$B$11,0,Settings!$B$11,1))&lt;ROUNDUP(Settings!$B$11*Settings!$B$26,0),NA(),STDEV(OFFSET(G752,1-Settings!$B$11,0,Settings!$B$11,1))*SQRT(Settings!$B$13)))</f>
        <v/>
      </c>
      <c r="K752" s="20">
        <f>IF(OR(NOT(ISNUMBER($A752)),ROW()-2&lt;Settings!$B$12),NA(),IF(COUNT(OFFSET(G752,1-Settings!$B$12,0,Settings!$B$12,1))&lt;ROUNDUP(Settings!$B$12*Settings!$B$26,0),NA(),STDEV(OFFSET(G752,1-Settings!$B$12,0,Settings!$B$12,1))*SQRT(Settings!$B$13)))</f>
        <v/>
      </c>
      <c r="L752" s="20">
        <f>IF(AND(ISNUMBER(D752),ISNUMBER(H752)),D752-H752,NA())</f>
        <v/>
      </c>
      <c r="M752" s="20">
        <f>IF(AND(ISNUMBER(E752),ISNUMBER(K752)),E752-K752,NA())</f>
        <v/>
      </c>
      <c r="N752" s="20">
        <f>IF(NOT(ISNUMBER($A752)),NA(),IF(COUNT(OFFSET(G752,1,0,Settings!$B$12,1))&lt;ROUNDUP(Settings!$B$12*Settings!$B$26,0),NA(),STDEV(OFFSET(G752,1,0,Settings!$B$12,1))*SQRT(Settings!$B$13)))</f>
        <v/>
      </c>
      <c r="O752" s="20">
        <f>IF(AND(ISNUMBER(E752),ISNUMBER(N752)),E752-N752,NA())</f>
        <v/>
      </c>
      <c r="P752" s="19">
        <f>IF(NOT(ISNUMBER($A752)),NA(),IF(OR($A752&lt;MIN(KW_TP!$A$2:$A$2501),$A752&gt;MAX(KW_TP!$A$2:$A$2501)),NA(),INDEX(KW_TP!$C$2:$C$2501,MATCH($A752,KW_TP!$A$2:$A$2501,1))))</f>
        <v/>
      </c>
      <c r="Q752" s="18">
        <f>IF(NOT(ISNUMBER($A752)),NA(),IFERROR(1*INDEX(BBG_Data!$J$2:$J$4000,MATCH($A752,BBG_Data!$I$2:$I$4000,0)),NA()))</f>
        <v/>
      </c>
      <c r="R752" s="18">
        <f>IF(NOT(ISNUMBER($A752)),NA(),IFERROR(1*INDEX(BBG_Data!$L$2:$L$4000,MATCH($A752,BBG_Data!$K$2:$K$4000,0)),NA()))</f>
        <v/>
      </c>
      <c r="S752" s="20">
        <f>IF(AND(ISNUMBER(B752),ISNUMBER(Q752),ISNUMBER(R752)),(B752-Q752-R752)*100,NA())</f>
        <v/>
      </c>
      <c r="T752" s="20">
        <f>IF(AND(ISNUMBER(B752),Settings!$B$17&gt;0),IF(ISNUMBER(INDEX($B:$B,Settings!$B$17)),(B752-INDEX($B:$B,Settings!$B$17))*100,NA()),NA())</f>
        <v/>
      </c>
      <c r="U752" s="20">
        <f>IF(AND(ISNUMBER(Q752),Settings!$B$17&gt;0),IF(ISNUMBER(INDEX($Q:$Q,Settings!$B$17)),(Q752-INDEX($Q:$Q,Settings!$B$17))*100,NA()),NA())</f>
        <v/>
      </c>
      <c r="V752" s="20">
        <f>IF(AND(ISNUMBER(R752),Settings!$B$17&gt;0),IF(ISNUMBER(INDEX($R:$R,Settings!$B$17)),(R752-INDEX($R:$R,Settings!$B$17))*100,NA()),NA())</f>
        <v/>
      </c>
      <c r="W752" s="20">
        <f>IF(AND(ISNUMBER(P752),Settings!$B$17&gt;0),IF(ISNUMBER(INDEX($P:$P,Settings!$B$17)),P752-INDEX($P:$P,Settings!$B$17),NA()),NA())</f>
        <v/>
      </c>
      <c r="X752" s="19">
        <f>IF(NOT(ISNUMBER($A752)),NA(),IF(OR($A752&lt;MIN(DKW_10Y!$A$2:$A$2918),$A752&gt;MAX(DKW_10Y!$A$2:$A$2918),Settings!$B$16&lt;MIN(DKW_10Y!$A$2:$A$2918)),NA(),(INDEX(DKW_10Y!$B$2:$B$2918,MATCH($A752,DKW_10Y!$A$2:$A$2918,1))-INDEX(DKW_10Y!$B$2:$B$2918,MATCH(Settings!$B$16,DKW_10Y!$A$2:$A$2918,1)))*100))</f>
        <v/>
      </c>
      <c r="Y752" s="19">
        <f>IF(NOT(ISNUMBER($A752)),NA(),IF(OR($A752&lt;MIN(DKW_10Y!$A$2:$A$2918),$A752&gt;MAX(DKW_10Y!$A$2:$A$2918),Settings!$B$16&lt;MIN(DKW_10Y!$A$2:$A$2918)),NA(),(INDEX(DKW_10Y!$C$2:$C$2918,MATCH($A752,DKW_10Y!$A$2:$A$2918,1))-INDEX(DKW_10Y!$C$2:$C$2918,MATCH(Settings!$B$16,DKW_10Y!$A$2:$A$2918,1)))*100))</f>
        <v/>
      </c>
      <c r="Z752" s="19">
        <f>IF(NOT(ISNUMBER($A752)),NA(),IF(OR($A752&lt;MIN(DKW_10Y!$A$2:$A$2918),$A752&gt;MAX(DKW_10Y!$A$2:$A$2918),Settings!$B$16&lt;MIN(DKW_10Y!$A$2:$A$2918)),NA(),(INDEX(DKW_10Y!$D$2:$D$2918,MATCH($A752,DKW_10Y!$A$2:$A$2918,1))-INDEX(DKW_10Y!$D$2:$D$2918,MATCH(Settings!$B$16,DKW_10Y!$A$2:$A$2918,1)))*100))</f>
        <v/>
      </c>
      <c r="AA752" s="19">
        <f>IF(NOT(ISNUMBER($A752)),NA(),IF(OR($A752&lt;MIN(DKW_10Y!$A$2:$A$2918),$A752&gt;MAX(DKW_10Y!$A$2:$A$2918),Settings!$B$16&lt;MIN(DKW_10Y!$A$2:$A$2918)),NA(),(INDEX(DKW_10Y!$E$2:$E$2918,MATCH($A752,DKW_10Y!$A$2:$A$2918,1))-INDEX(DKW_10Y!$E$2:$E$2918,MATCH(Settings!$B$16,DKW_10Y!$A$2:$A$2918,1)))*100))</f>
        <v/>
      </c>
      <c r="AB752" s="19">
        <f>IF(NOT(ISNUMBER($A752)),NA(),IF(OR($A752&lt;MIN(DKW_10Y!$A$2:$A$2918),$A752&gt;MAX(DKW_10Y!$A$2:$A$2918),Settings!$B$16&lt;MIN(DKW_10Y!$A$2:$A$2918)),NA(),(INDEX(DKW_10Y!$H$2:$H$2918,MATCH($A752,DKW_10Y!$A$2:$A$2918,1))-INDEX(DKW_10Y!$H$2:$H$2918,MATCH(Settings!$B$16,DKW_10Y!$A$2:$A$2918,1)))*100))</f>
        <v/>
      </c>
      <c r="AC752" s="18">
        <f>IF(NOT(ISNUMBER($A752)),NA(),IFERROR(1*INDEX(BBG_Data!$N$2:$N$4000,MATCH($A752,BBG_Data!$M$2:$M$4000,0)),NA()))</f>
        <v/>
      </c>
      <c r="AD752" s="18">
        <f>IF(NOT(ISNUMBER($A752)),NA(),IFERROR(1*INDEX(BBG_Data!$P$2:$P$4000,MATCH($A752,BBG_Data!$O$2:$O$4000,0)),NA()))</f>
        <v/>
      </c>
      <c r="AE752" s="18">
        <f>IF(NOT(ISNUMBER($A752)),NA(),IFERROR(1*INDEX(BBG_Data!$R$2:$R$4000,MATCH($A752,BBG_Data!$Q$2:$Q$4000,0)),NA()))</f>
        <v/>
      </c>
      <c r="AF752" s="20">
        <f>IF(AND(ISNUMBER(B752),ISNUMBER(AC752)),(B752-AC752)*100,NA())</f>
        <v/>
      </c>
      <c r="AG752" s="20">
        <f>IF(AND(ISNUMBER(AE752),ISNUMBER(AD752)),(AE752-AD752)*100,NA())</f>
        <v/>
      </c>
      <c r="AH752" s="19">
        <f>IF(NOT(ISNUMBER($A752)),NA(),IFERROR(INDEX(BBG_Data!$T$2:$T$4000,MATCH($A752,BBG_Data!$S$2:$S$4000,0))*Settings!$B$25,NA()))</f>
        <v/>
      </c>
      <c r="AI752" s="19">
        <f>IF(NOT(ISNUMBER($A752)),NA(),IFERROR(INDEX(BBG_Data!$V$2:$V$4000,MATCH($A752,BBG_Data!$U$2:$U$4000,0))*Settings!$B$25,NA()))</f>
        <v/>
      </c>
      <c r="AJ752" s="19">
        <f>IF(NOT(ISNUMBER($A752)),NA(),IFERROR(1*INDEX(BBG_Data!$X$2:$X$4000,MATCH($A752,BBG_Data!$W$2:$W$4000,0)),NA()))</f>
        <v/>
      </c>
      <c r="AK752" s="19">
        <f>IF(NOT(ISNUMBER($A752)),NA(),IFERROR(1*INDEX(BBG_Data!$Z$2:$Z$4000,MATCH($A752,BBG_Data!$Y$2:$Y$4000,0)),NA()))</f>
        <v/>
      </c>
    </row>
    <row r="753">
      <c r="A753" s="17">
        <f>IF(ISNUMBER(BBG_Data!A753),BBG_Data!A753,"")</f>
        <v/>
      </c>
      <c r="B753" s="18">
        <f>IF(AND(ISNUMBER($A753),ISNUMBER(BBG_Data!B753)),BBG_Data!B753,NA())</f>
        <v/>
      </c>
      <c r="C753" s="18">
        <f>IF(NOT(ISNUMBER($A753)),NA(),IFERROR(1*INDEX(BBG_Data!$D$2:$D$4000,MATCH($A753,BBG_Data!$C$2:$C$4000,0)),NA()))</f>
        <v/>
      </c>
      <c r="D753" s="19">
        <f>IF(NOT(ISNUMBER($A753)),NA(),IFERROR(1*INDEX(BBG_Data!$F$2:$F$4000,MATCH($A753,BBG_Data!$E$2:$E$4000,0)),NA()))</f>
        <v/>
      </c>
      <c r="E753" s="19">
        <f>IF(NOT(ISNUMBER($A753)),NA(),IFERROR(1*INDEX(BBG_Data!$H$2:$H$4000,MATCH($A753,BBG_Data!$G$2:$G$4000,0)),NA()))</f>
        <v/>
      </c>
      <c r="F753" s="20">
        <f>IF(AND(ISNUMBER(B753),ISNUMBER(B752)),IF(B753=B752,"",(B753-B752)*100),"")</f>
        <v/>
      </c>
      <c r="G753" s="20">
        <f>IF(AND(ISNUMBER(C753),ISNUMBER(C752)),IF(C753=C752,"",(C753-C752)*100),"")</f>
        <v/>
      </c>
      <c r="H753" s="20">
        <f>IF(OR(NOT(ISNUMBER($A753)),ROW()-2&lt;Settings!$B$11),NA(),IF(COUNT(OFFSET(F753,1-Settings!$B$11,0,Settings!$B$11,1))&lt;ROUNDUP(Settings!$B$11*Settings!$B$26,0),NA(),STDEV(OFFSET(F753,1-Settings!$B$11,0,Settings!$B$11,1))*SQRT(Settings!$B$13)))</f>
        <v/>
      </c>
      <c r="I753" s="20">
        <f>IF(OR(NOT(ISNUMBER($A753)),ROW()-2&lt;Settings!$B$12),NA(),IF(COUNT(OFFSET(F753,1-Settings!$B$12,0,Settings!$B$12,1))&lt;ROUNDUP(Settings!$B$12*Settings!$B$26,0),NA(),STDEV(OFFSET(F753,1-Settings!$B$12,0,Settings!$B$12,1))*SQRT(Settings!$B$13)))</f>
        <v/>
      </c>
      <c r="J753" s="20">
        <f>IF(OR(NOT(ISNUMBER($A753)),ROW()-2&lt;Settings!$B$11),NA(),IF(COUNT(OFFSET(G753,1-Settings!$B$11,0,Settings!$B$11,1))&lt;ROUNDUP(Settings!$B$11*Settings!$B$26,0),NA(),STDEV(OFFSET(G753,1-Settings!$B$11,0,Settings!$B$11,1))*SQRT(Settings!$B$13)))</f>
        <v/>
      </c>
      <c r="K753" s="20">
        <f>IF(OR(NOT(ISNUMBER($A753)),ROW()-2&lt;Settings!$B$12),NA(),IF(COUNT(OFFSET(G753,1-Settings!$B$12,0,Settings!$B$12,1))&lt;ROUNDUP(Settings!$B$12*Settings!$B$26,0),NA(),STDEV(OFFSET(G753,1-Settings!$B$12,0,Settings!$B$12,1))*SQRT(Settings!$B$13)))</f>
        <v/>
      </c>
      <c r="L753" s="20">
        <f>IF(AND(ISNUMBER(D753),ISNUMBER(H753)),D753-H753,NA())</f>
        <v/>
      </c>
      <c r="M753" s="20">
        <f>IF(AND(ISNUMBER(E753),ISNUMBER(K753)),E753-K753,NA())</f>
        <v/>
      </c>
      <c r="N753" s="20">
        <f>IF(NOT(ISNUMBER($A753)),NA(),IF(COUNT(OFFSET(G753,1,0,Settings!$B$12,1))&lt;ROUNDUP(Settings!$B$12*Settings!$B$26,0),NA(),STDEV(OFFSET(G753,1,0,Settings!$B$12,1))*SQRT(Settings!$B$13)))</f>
        <v/>
      </c>
      <c r="O753" s="20">
        <f>IF(AND(ISNUMBER(E753),ISNUMBER(N753)),E753-N753,NA())</f>
        <v/>
      </c>
      <c r="P753" s="19">
        <f>IF(NOT(ISNUMBER($A753)),NA(),IF(OR($A753&lt;MIN(KW_TP!$A$2:$A$2501),$A753&gt;MAX(KW_TP!$A$2:$A$2501)),NA(),INDEX(KW_TP!$C$2:$C$2501,MATCH($A753,KW_TP!$A$2:$A$2501,1))))</f>
        <v/>
      </c>
      <c r="Q753" s="18">
        <f>IF(NOT(ISNUMBER($A753)),NA(),IFERROR(1*INDEX(BBG_Data!$J$2:$J$4000,MATCH($A753,BBG_Data!$I$2:$I$4000,0)),NA()))</f>
        <v/>
      </c>
      <c r="R753" s="18">
        <f>IF(NOT(ISNUMBER($A753)),NA(),IFERROR(1*INDEX(BBG_Data!$L$2:$L$4000,MATCH($A753,BBG_Data!$K$2:$K$4000,0)),NA()))</f>
        <v/>
      </c>
      <c r="S753" s="20">
        <f>IF(AND(ISNUMBER(B753),ISNUMBER(Q753),ISNUMBER(R753)),(B753-Q753-R753)*100,NA())</f>
        <v/>
      </c>
      <c r="T753" s="20">
        <f>IF(AND(ISNUMBER(B753),Settings!$B$17&gt;0),IF(ISNUMBER(INDEX($B:$B,Settings!$B$17)),(B753-INDEX($B:$B,Settings!$B$17))*100,NA()),NA())</f>
        <v/>
      </c>
      <c r="U753" s="20">
        <f>IF(AND(ISNUMBER(Q753),Settings!$B$17&gt;0),IF(ISNUMBER(INDEX($Q:$Q,Settings!$B$17)),(Q753-INDEX($Q:$Q,Settings!$B$17))*100,NA()),NA())</f>
        <v/>
      </c>
      <c r="V753" s="20">
        <f>IF(AND(ISNUMBER(R753),Settings!$B$17&gt;0),IF(ISNUMBER(INDEX($R:$R,Settings!$B$17)),(R753-INDEX($R:$R,Settings!$B$17))*100,NA()),NA())</f>
        <v/>
      </c>
      <c r="W753" s="20">
        <f>IF(AND(ISNUMBER(P753),Settings!$B$17&gt;0),IF(ISNUMBER(INDEX($P:$P,Settings!$B$17)),P753-INDEX($P:$P,Settings!$B$17),NA()),NA())</f>
        <v/>
      </c>
      <c r="X753" s="19">
        <f>IF(NOT(ISNUMBER($A753)),NA(),IF(OR($A753&lt;MIN(DKW_10Y!$A$2:$A$2918),$A753&gt;MAX(DKW_10Y!$A$2:$A$2918),Settings!$B$16&lt;MIN(DKW_10Y!$A$2:$A$2918)),NA(),(INDEX(DKW_10Y!$B$2:$B$2918,MATCH($A753,DKW_10Y!$A$2:$A$2918,1))-INDEX(DKW_10Y!$B$2:$B$2918,MATCH(Settings!$B$16,DKW_10Y!$A$2:$A$2918,1)))*100))</f>
        <v/>
      </c>
      <c r="Y753" s="19">
        <f>IF(NOT(ISNUMBER($A753)),NA(),IF(OR($A753&lt;MIN(DKW_10Y!$A$2:$A$2918),$A753&gt;MAX(DKW_10Y!$A$2:$A$2918),Settings!$B$16&lt;MIN(DKW_10Y!$A$2:$A$2918)),NA(),(INDEX(DKW_10Y!$C$2:$C$2918,MATCH($A753,DKW_10Y!$A$2:$A$2918,1))-INDEX(DKW_10Y!$C$2:$C$2918,MATCH(Settings!$B$16,DKW_10Y!$A$2:$A$2918,1)))*100))</f>
        <v/>
      </c>
      <c r="Z753" s="19">
        <f>IF(NOT(ISNUMBER($A753)),NA(),IF(OR($A753&lt;MIN(DKW_10Y!$A$2:$A$2918),$A753&gt;MAX(DKW_10Y!$A$2:$A$2918),Settings!$B$16&lt;MIN(DKW_10Y!$A$2:$A$2918)),NA(),(INDEX(DKW_10Y!$D$2:$D$2918,MATCH($A753,DKW_10Y!$A$2:$A$2918,1))-INDEX(DKW_10Y!$D$2:$D$2918,MATCH(Settings!$B$16,DKW_10Y!$A$2:$A$2918,1)))*100))</f>
        <v/>
      </c>
      <c r="AA753" s="19">
        <f>IF(NOT(ISNUMBER($A753)),NA(),IF(OR($A753&lt;MIN(DKW_10Y!$A$2:$A$2918),$A753&gt;MAX(DKW_10Y!$A$2:$A$2918),Settings!$B$16&lt;MIN(DKW_10Y!$A$2:$A$2918)),NA(),(INDEX(DKW_10Y!$E$2:$E$2918,MATCH($A753,DKW_10Y!$A$2:$A$2918,1))-INDEX(DKW_10Y!$E$2:$E$2918,MATCH(Settings!$B$16,DKW_10Y!$A$2:$A$2918,1)))*100))</f>
        <v/>
      </c>
      <c r="AB753" s="19">
        <f>IF(NOT(ISNUMBER($A753)),NA(),IF(OR($A753&lt;MIN(DKW_10Y!$A$2:$A$2918),$A753&gt;MAX(DKW_10Y!$A$2:$A$2918),Settings!$B$16&lt;MIN(DKW_10Y!$A$2:$A$2918)),NA(),(INDEX(DKW_10Y!$H$2:$H$2918,MATCH($A753,DKW_10Y!$A$2:$A$2918,1))-INDEX(DKW_10Y!$H$2:$H$2918,MATCH(Settings!$B$16,DKW_10Y!$A$2:$A$2918,1)))*100))</f>
        <v/>
      </c>
      <c r="AC753" s="18">
        <f>IF(NOT(ISNUMBER($A753)),NA(),IFERROR(1*INDEX(BBG_Data!$N$2:$N$4000,MATCH($A753,BBG_Data!$M$2:$M$4000,0)),NA()))</f>
        <v/>
      </c>
      <c r="AD753" s="18">
        <f>IF(NOT(ISNUMBER($A753)),NA(),IFERROR(1*INDEX(BBG_Data!$P$2:$P$4000,MATCH($A753,BBG_Data!$O$2:$O$4000,0)),NA()))</f>
        <v/>
      </c>
      <c r="AE753" s="18">
        <f>IF(NOT(ISNUMBER($A753)),NA(),IFERROR(1*INDEX(BBG_Data!$R$2:$R$4000,MATCH($A753,BBG_Data!$Q$2:$Q$4000,0)),NA()))</f>
        <v/>
      </c>
      <c r="AF753" s="20">
        <f>IF(AND(ISNUMBER(B753),ISNUMBER(AC753)),(B753-AC753)*100,NA())</f>
        <v/>
      </c>
      <c r="AG753" s="20">
        <f>IF(AND(ISNUMBER(AE753),ISNUMBER(AD753)),(AE753-AD753)*100,NA())</f>
        <v/>
      </c>
      <c r="AH753" s="19">
        <f>IF(NOT(ISNUMBER($A753)),NA(),IFERROR(INDEX(BBG_Data!$T$2:$T$4000,MATCH($A753,BBG_Data!$S$2:$S$4000,0))*Settings!$B$25,NA()))</f>
        <v/>
      </c>
      <c r="AI753" s="19">
        <f>IF(NOT(ISNUMBER($A753)),NA(),IFERROR(INDEX(BBG_Data!$V$2:$V$4000,MATCH($A753,BBG_Data!$U$2:$U$4000,0))*Settings!$B$25,NA()))</f>
        <v/>
      </c>
      <c r="AJ753" s="19">
        <f>IF(NOT(ISNUMBER($A753)),NA(),IFERROR(1*INDEX(BBG_Data!$X$2:$X$4000,MATCH($A753,BBG_Data!$W$2:$W$4000,0)),NA()))</f>
        <v/>
      </c>
      <c r="AK753" s="19">
        <f>IF(NOT(ISNUMBER($A753)),NA(),IFERROR(1*INDEX(BBG_Data!$Z$2:$Z$4000,MATCH($A753,BBG_Data!$Y$2:$Y$4000,0)),NA()))</f>
        <v/>
      </c>
    </row>
    <row r="754">
      <c r="A754" s="17">
        <f>IF(ISNUMBER(BBG_Data!A754),BBG_Data!A754,"")</f>
        <v/>
      </c>
      <c r="B754" s="18">
        <f>IF(AND(ISNUMBER($A754),ISNUMBER(BBG_Data!B754)),BBG_Data!B754,NA())</f>
        <v/>
      </c>
      <c r="C754" s="18">
        <f>IF(NOT(ISNUMBER($A754)),NA(),IFERROR(1*INDEX(BBG_Data!$D$2:$D$4000,MATCH($A754,BBG_Data!$C$2:$C$4000,0)),NA()))</f>
        <v/>
      </c>
      <c r="D754" s="19">
        <f>IF(NOT(ISNUMBER($A754)),NA(),IFERROR(1*INDEX(BBG_Data!$F$2:$F$4000,MATCH($A754,BBG_Data!$E$2:$E$4000,0)),NA()))</f>
        <v/>
      </c>
      <c r="E754" s="19">
        <f>IF(NOT(ISNUMBER($A754)),NA(),IFERROR(1*INDEX(BBG_Data!$H$2:$H$4000,MATCH($A754,BBG_Data!$G$2:$G$4000,0)),NA()))</f>
        <v/>
      </c>
      <c r="F754" s="20">
        <f>IF(AND(ISNUMBER(B754),ISNUMBER(B753)),IF(B754=B753,"",(B754-B753)*100),"")</f>
        <v/>
      </c>
      <c r="G754" s="20">
        <f>IF(AND(ISNUMBER(C754),ISNUMBER(C753)),IF(C754=C753,"",(C754-C753)*100),"")</f>
        <v/>
      </c>
      <c r="H754" s="20">
        <f>IF(OR(NOT(ISNUMBER($A754)),ROW()-2&lt;Settings!$B$11),NA(),IF(COUNT(OFFSET(F754,1-Settings!$B$11,0,Settings!$B$11,1))&lt;ROUNDUP(Settings!$B$11*Settings!$B$26,0),NA(),STDEV(OFFSET(F754,1-Settings!$B$11,0,Settings!$B$11,1))*SQRT(Settings!$B$13)))</f>
        <v/>
      </c>
      <c r="I754" s="20">
        <f>IF(OR(NOT(ISNUMBER($A754)),ROW()-2&lt;Settings!$B$12),NA(),IF(COUNT(OFFSET(F754,1-Settings!$B$12,0,Settings!$B$12,1))&lt;ROUNDUP(Settings!$B$12*Settings!$B$26,0),NA(),STDEV(OFFSET(F754,1-Settings!$B$12,0,Settings!$B$12,1))*SQRT(Settings!$B$13)))</f>
        <v/>
      </c>
      <c r="J754" s="20">
        <f>IF(OR(NOT(ISNUMBER($A754)),ROW()-2&lt;Settings!$B$11),NA(),IF(COUNT(OFFSET(G754,1-Settings!$B$11,0,Settings!$B$11,1))&lt;ROUNDUP(Settings!$B$11*Settings!$B$26,0),NA(),STDEV(OFFSET(G754,1-Settings!$B$11,0,Settings!$B$11,1))*SQRT(Settings!$B$13)))</f>
        <v/>
      </c>
      <c r="K754" s="20">
        <f>IF(OR(NOT(ISNUMBER($A754)),ROW()-2&lt;Settings!$B$12),NA(),IF(COUNT(OFFSET(G754,1-Settings!$B$12,0,Settings!$B$12,1))&lt;ROUNDUP(Settings!$B$12*Settings!$B$26,0),NA(),STDEV(OFFSET(G754,1-Settings!$B$12,0,Settings!$B$12,1))*SQRT(Settings!$B$13)))</f>
        <v/>
      </c>
      <c r="L754" s="20">
        <f>IF(AND(ISNUMBER(D754),ISNUMBER(H754)),D754-H754,NA())</f>
        <v/>
      </c>
      <c r="M754" s="20">
        <f>IF(AND(ISNUMBER(E754),ISNUMBER(K754)),E754-K754,NA())</f>
        <v/>
      </c>
      <c r="N754" s="20">
        <f>IF(NOT(ISNUMBER($A754)),NA(),IF(COUNT(OFFSET(G754,1,0,Settings!$B$12,1))&lt;ROUNDUP(Settings!$B$12*Settings!$B$26,0),NA(),STDEV(OFFSET(G754,1,0,Settings!$B$12,1))*SQRT(Settings!$B$13)))</f>
        <v/>
      </c>
      <c r="O754" s="20">
        <f>IF(AND(ISNUMBER(E754),ISNUMBER(N754)),E754-N754,NA())</f>
        <v/>
      </c>
      <c r="P754" s="19">
        <f>IF(NOT(ISNUMBER($A754)),NA(),IF(OR($A754&lt;MIN(KW_TP!$A$2:$A$2501),$A754&gt;MAX(KW_TP!$A$2:$A$2501)),NA(),INDEX(KW_TP!$C$2:$C$2501,MATCH($A754,KW_TP!$A$2:$A$2501,1))))</f>
        <v/>
      </c>
      <c r="Q754" s="18">
        <f>IF(NOT(ISNUMBER($A754)),NA(),IFERROR(1*INDEX(BBG_Data!$J$2:$J$4000,MATCH($A754,BBG_Data!$I$2:$I$4000,0)),NA()))</f>
        <v/>
      </c>
      <c r="R754" s="18">
        <f>IF(NOT(ISNUMBER($A754)),NA(),IFERROR(1*INDEX(BBG_Data!$L$2:$L$4000,MATCH($A754,BBG_Data!$K$2:$K$4000,0)),NA()))</f>
        <v/>
      </c>
      <c r="S754" s="20">
        <f>IF(AND(ISNUMBER(B754),ISNUMBER(Q754),ISNUMBER(R754)),(B754-Q754-R754)*100,NA())</f>
        <v/>
      </c>
      <c r="T754" s="20">
        <f>IF(AND(ISNUMBER(B754),Settings!$B$17&gt;0),IF(ISNUMBER(INDEX($B:$B,Settings!$B$17)),(B754-INDEX($B:$B,Settings!$B$17))*100,NA()),NA())</f>
        <v/>
      </c>
      <c r="U754" s="20">
        <f>IF(AND(ISNUMBER(Q754),Settings!$B$17&gt;0),IF(ISNUMBER(INDEX($Q:$Q,Settings!$B$17)),(Q754-INDEX($Q:$Q,Settings!$B$17))*100,NA()),NA())</f>
        <v/>
      </c>
      <c r="V754" s="20">
        <f>IF(AND(ISNUMBER(R754),Settings!$B$17&gt;0),IF(ISNUMBER(INDEX($R:$R,Settings!$B$17)),(R754-INDEX($R:$R,Settings!$B$17))*100,NA()),NA())</f>
        <v/>
      </c>
      <c r="W754" s="20">
        <f>IF(AND(ISNUMBER(P754),Settings!$B$17&gt;0),IF(ISNUMBER(INDEX($P:$P,Settings!$B$17)),P754-INDEX($P:$P,Settings!$B$17),NA()),NA())</f>
        <v/>
      </c>
      <c r="X754" s="19">
        <f>IF(NOT(ISNUMBER($A754)),NA(),IF(OR($A754&lt;MIN(DKW_10Y!$A$2:$A$2918),$A754&gt;MAX(DKW_10Y!$A$2:$A$2918),Settings!$B$16&lt;MIN(DKW_10Y!$A$2:$A$2918)),NA(),(INDEX(DKW_10Y!$B$2:$B$2918,MATCH($A754,DKW_10Y!$A$2:$A$2918,1))-INDEX(DKW_10Y!$B$2:$B$2918,MATCH(Settings!$B$16,DKW_10Y!$A$2:$A$2918,1)))*100))</f>
        <v/>
      </c>
      <c r="Y754" s="19">
        <f>IF(NOT(ISNUMBER($A754)),NA(),IF(OR($A754&lt;MIN(DKW_10Y!$A$2:$A$2918),$A754&gt;MAX(DKW_10Y!$A$2:$A$2918),Settings!$B$16&lt;MIN(DKW_10Y!$A$2:$A$2918)),NA(),(INDEX(DKW_10Y!$C$2:$C$2918,MATCH($A754,DKW_10Y!$A$2:$A$2918,1))-INDEX(DKW_10Y!$C$2:$C$2918,MATCH(Settings!$B$16,DKW_10Y!$A$2:$A$2918,1)))*100))</f>
        <v/>
      </c>
      <c r="Z754" s="19">
        <f>IF(NOT(ISNUMBER($A754)),NA(),IF(OR($A754&lt;MIN(DKW_10Y!$A$2:$A$2918),$A754&gt;MAX(DKW_10Y!$A$2:$A$2918),Settings!$B$16&lt;MIN(DKW_10Y!$A$2:$A$2918)),NA(),(INDEX(DKW_10Y!$D$2:$D$2918,MATCH($A754,DKW_10Y!$A$2:$A$2918,1))-INDEX(DKW_10Y!$D$2:$D$2918,MATCH(Settings!$B$16,DKW_10Y!$A$2:$A$2918,1)))*100))</f>
        <v/>
      </c>
      <c r="AA754" s="19">
        <f>IF(NOT(ISNUMBER($A754)),NA(),IF(OR($A754&lt;MIN(DKW_10Y!$A$2:$A$2918),$A754&gt;MAX(DKW_10Y!$A$2:$A$2918),Settings!$B$16&lt;MIN(DKW_10Y!$A$2:$A$2918)),NA(),(INDEX(DKW_10Y!$E$2:$E$2918,MATCH($A754,DKW_10Y!$A$2:$A$2918,1))-INDEX(DKW_10Y!$E$2:$E$2918,MATCH(Settings!$B$16,DKW_10Y!$A$2:$A$2918,1)))*100))</f>
        <v/>
      </c>
      <c r="AB754" s="19">
        <f>IF(NOT(ISNUMBER($A754)),NA(),IF(OR($A754&lt;MIN(DKW_10Y!$A$2:$A$2918),$A754&gt;MAX(DKW_10Y!$A$2:$A$2918),Settings!$B$16&lt;MIN(DKW_10Y!$A$2:$A$2918)),NA(),(INDEX(DKW_10Y!$H$2:$H$2918,MATCH($A754,DKW_10Y!$A$2:$A$2918,1))-INDEX(DKW_10Y!$H$2:$H$2918,MATCH(Settings!$B$16,DKW_10Y!$A$2:$A$2918,1)))*100))</f>
        <v/>
      </c>
      <c r="AC754" s="18">
        <f>IF(NOT(ISNUMBER($A754)),NA(),IFERROR(1*INDEX(BBG_Data!$N$2:$N$4000,MATCH($A754,BBG_Data!$M$2:$M$4000,0)),NA()))</f>
        <v/>
      </c>
      <c r="AD754" s="18">
        <f>IF(NOT(ISNUMBER($A754)),NA(),IFERROR(1*INDEX(BBG_Data!$P$2:$P$4000,MATCH($A754,BBG_Data!$O$2:$O$4000,0)),NA()))</f>
        <v/>
      </c>
      <c r="AE754" s="18">
        <f>IF(NOT(ISNUMBER($A754)),NA(),IFERROR(1*INDEX(BBG_Data!$R$2:$R$4000,MATCH($A754,BBG_Data!$Q$2:$Q$4000,0)),NA()))</f>
        <v/>
      </c>
      <c r="AF754" s="20">
        <f>IF(AND(ISNUMBER(B754),ISNUMBER(AC754)),(B754-AC754)*100,NA())</f>
        <v/>
      </c>
      <c r="AG754" s="20">
        <f>IF(AND(ISNUMBER(AE754),ISNUMBER(AD754)),(AE754-AD754)*100,NA())</f>
        <v/>
      </c>
      <c r="AH754" s="19">
        <f>IF(NOT(ISNUMBER($A754)),NA(),IFERROR(INDEX(BBG_Data!$T$2:$T$4000,MATCH($A754,BBG_Data!$S$2:$S$4000,0))*Settings!$B$25,NA()))</f>
        <v/>
      </c>
      <c r="AI754" s="19">
        <f>IF(NOT(ISNUMBER($A754)),NA(),IFERROR(INDEX(BBG_Data!$V$2:$V$4000,MATCH($A754,BBG_Data!$U$2:$U$4000,0))*Settings!$B$25,NA()))</f>
        <v/>
      </c>
      <c r="AJ754" s="19">
        <f>IF(NOT(ISNUMBER($A754)),NA(),IFERROR(1*INDEX(BBG_Data!$X$2:$X$4000,MATCH($A754,BBG_Data!$W$2:$W$4000,0)),NA()))</f>
        <v/>
      </c>
      <c r="AK754" s="19">
        <f>IF(NOT(ISNUMBER($A754)),NA(),IFERROR(1*INDEX(BBG_Data!$Z$2:$Z$4000,MATCH($A754,BBG_Data!$Y$2:$Y$4000,0)),NA()))</f>
        <v/>
      </c>
    </row>
    <row r="755">
      <c r="A755" s="17">
        <f>IF(ISNUMBER(BBG_Data!A755),BBG_Data!A755,"")</f>
        <v/>
      </c>
      <c r="B755" s="18">
        <f>IF(AND(ISNUMBER($A755),ISNUMBER(BBG_Data!B755)),BBG_Data!B755,NA())</f>
        <v/>
      </c>
      <c r="C755" s="18">
        <f>IF(NOT(ISNUMBER($A755)),NA(),IFERROR(1*INDEX(BBG_Data!$D$2:$D$4000,MATCH($A755,BBG_Data!$C$2:$C$4000,0)),NA()))</f>
        <v/>
      </c>
      <c r="D755" s="19">
        <f>IF(NOT(ISNUMBER($A755)),NA(),IFERROR(1*INDEX(BBG_Data!$F$2:$F$4000,MATCH($A755,BBG_Data!$E$2:$E$4000,0)),NA()))</f>
        <v/>
      </c>
      <c r="E755" s="19">
        <f>IF(NOT(ISNUMBER($A755)),NA(),IFERROR(1*INDEX(BBG_Data!$H$2:$H$4000,MATCH($A755,BBG_Data!$G$2:$G$4000,0)),NA()))</f>
        <v/>
      </c>
      <c r="F755" s="20">
        <f>IF(AND(ISNUMBER(B755),ISNUMBER(B754)),IF(B755=B754,"",(B755-B754)*100),"")</f>
        <v/>
      </c>
      <c r="G755" s="20">
        <f>IF(AND(ISNUMBER(C755),ISNUMBER(C754)),IF(C755=C754,"",(C755-C754)*100),"")</f>
        <v/>
      </c>
      <c r="H755" s="20">
        <f>IF(OR(NOT(ISNUMBER($A755)),ROW()-2&lt;Settings!$B$11),NA(),IF(COUNT(OFFSET(F755,1-Settings!$B$11,0,Settings!$B$11,1))&lt;ROUNDUP(Settings!$B$11*Settings!$B$26,0),NA(),STDEV(OFFSET(F755,1-Settings!$B$11,0,Settings!$B$11,1))*SQRT(Settings!$B$13)))</f>
        <v/>
      </c>
      <c r="I755" s="20">
        <f>IF(OR(NOT(ISNUMBER($A755)),ROW()-2&lt;Settings!$B$12),NA(),IF(COUNT(OFFSET(F755,1-Settings!$B$12,0,Settings!$B$12,1))&lt;ROUNDUP(Settings!$B$12*Settings!$B$26,0),NA(),STDEV(OFFSET(F755,1-Settings!$B$12,0,Settings!$B$12,1))*SQRT(Settings!$B$13)))</f>
        <v/>
      </c>
      <c r="J755" s="20">
        <f>IF(OR(NOT(ISNUMBER($A755)),ROW()-2&lt;Settings!$B$11),NA(),IF(COUNT(OFFSET(G755,1-Settings!$B$11,0,Settings!$B$11,1))&lt;ROUNDUP(Settings!$B$11*Settings!$B$26,0),NA(),STDEV(OFFSET(G755,1-Settings!$B$11,0,Settings!$B$11,1))*SQRT(Settings!$B$13)))</f>
        <v/>
      </c>
      <c r="K755" s="20">
        <f>IF(OR(NOT(ISNUMBER($A755)),ROW()-2&lt;Settings!$B$12),NA(),IF(COUNT(OFFSET(G755,1-Settings!$B$12,0,Settings!$B$12,1))&lt;ROUNDUP(Settings!$B$12*Settings!$B$26,0),NA(),STDEV(OFFSET(G755,1-Settings!$B$12,0,Settings!$B$12,1))*SQRT(Settings!$B$13)))</f>
        <v/>
      </c>
      <c r="L755" s="20">
        <f>IF(AND(ISNUMBER(D755),ISNUMBER(H755)),D755-H755,NA())</f>
        <v/>
      </c>
      <c r="M755" s="20">
        <f>IF(AND(ISNUMBER(E755),ISNUMBER(K755)),E755-K755,NA())</f>
        <v/>
      </c>
      <c r="N755" s="20">
        <f>IF(NOT(ISNUMBER($A755)),NA(),IF(COUNT(OFFSET(G755,1,0,Settings!$B$12,1))&lt;ROUNDUP(Settings!$B$12*Settings!$B$26,0),NA(),STDEV(OFFSET(G755,1,0,Settings!$B$12,1))*SQRT(Settings!$B$13)))</f>
        <v/>
      </c>
      <c r="O755" s="20">
        <f>IF(AND(ISNUMBER(E755),ISNUMBER(N755)),E755-N755,NA())</f>
        <v/>
      </c>
      <c r="P755" s="19">
        <f>IF(NOT(ISNUMBER($A755)),NA(),IF(OR($A755&lt;MIN(KW_TP!$A$2:$A$2501),$A755&gt;MAX(KW_TP!$A$2:$A$2501)),NA(),INDEX(KW_TP!$C$2:$C$2501,MATCH($A755,KW_TP!$A$2:$A$2501,1))))</f>
        <v/>
      </c>
      <c r="Q755" s="18">
        <f>IF(NOT(ISNUMBER($A755)),NA(),IFERROR(1*INDEX(BBG_Data!$J$2:$J$4000,MATCH($A755,BBG_Data!$I$2:$I$4000,0)),NA()))</f>
        <v/>
      </c>
      <c r="R755" s="18">
        <f>IF(NOT(ISNUMBER($A755)),NA(),IFERROR(1*INDEX(BBG_Data!$L$2:$L$4000,MATCH($A755,BBG_Data!$K$2:$K$4000,0)),NA()))</f>
        <v/>
      </c>
      <c r="S755" s="20">
        <f>IF(AND(ISNUMBER(B755),ISNUMBER(Q755),ISNUMBER(R755)),(B755-Q755-R755)*100,NA())</f>
        <v/>
      </c>
      <c r="T755" s="20">
        <f>IF(AND(ISNUMBER(B755),Settings!$B$17&gt;0),IF(ISNUMBER(INDEX($B:$B,Settings!$B$17)),(B755-INDEX($B:$B,Settings!$B$17))*100,NA()),NA())</f>
        <v/>
      </c>
      <c r="U755" s="20">
        <f>IF(AND(ISNUMBER(Q755),Settings!$B$17&gt;0),IF(ISNUMBER(INDEX($Q:$Q,Settings!$B$17)),(Q755-INDEX($Q:$Q,Settings!$B$17))*100,NA()),NA())</f>
        <v/>
      </c>
      <c r="V755" s="20">
        <f>IF(AND(ISNUMBER(R755),Settings!$B$17&gt;0),IF(ISNUMBER(INDEX($R:$R,Settings!$B$17)),(R755-INDEX($R:$R,Settings!$B$17))*100,NA()),NA())</f>
        <v/>
      </c>
      <c r="W755" s="20">
        <f>IF(AND(ISNUMBER(P755),Settings!$B$17&gt;0),IF(ISNUMBER(INDEX($P:$P,Settings!$B$17)),P755-INDEX($P:$P,Settings!$B$17),NA()),NA())</f>
        <v/>
      </c>
      <c r="X755" s="19">
        <f>IF(NOT(ISNUMBER($A755)),NA(),IF(OR($A755&lt;MIN(DKW_10Y!$A$2:$A$2918),$A755&gt;MAX(DKW_10Y!$A$2:$A$2918),Settings!$B$16&lt;MIN(DKW_10Y!$A$2:$A$2918)),NA(),(INDEX(DKW_10Y!$B$2:$B$2918,MATCH($A755,DKW_10Y!$A$2:$A$2918,1))-INDEX(DKW_10Y!$B$2:$B$2918,MATCH(Settings!$B$16,DKW_10Y!$A$2:$A$2918,1)))*100))</f>
        <v/>
      </c>
      <c r="Y755" s="19">
        <f>IF(NOT(ISNUMBER($A755)),NA(),IF(OR($A755&lt;MIN(DKW_10Y!$A$2:$A$2918),$A755&gt;MAX(DKW_10Y!$A$2:$A$2918),Settings!$B$16&lt;MIN(DKW_10Y!$A$2:$A$2918)),NA(),(INDEX(DKW_10Y!$C$2:$C$2918,MATCH($A755,DKW_10Y!$A$2:$A$2918,1))-INDEX(DKW_10Y!$C$2:$C$2918,MATCH(Settings!$B$16,DKW_10Y!$A$2:$A$2918,1)))*100))</f>
        <v/>
      </c>
      <c r="Z755" s="19">
        <f>IF(NOT(ISNUMBER($A755)),NA(),IF(OR($A755&lt;MIN(DKW_10Y!$A$2:$A$2918),$A755&gt;MAX(DKW_10Y!$A$2:$A$2918),Settings!$B$16&lt;MIN(DKW_10Y!$A$2:$A$2918)),NA(),(INDEX(DKW_10Y!$D$2:$D$2918,MATCH($A755,DKW_10Y!$A$2:$A$2918,1))-INDEX(DKW_10Y!$D$2:$D$2918,MATCH(Settings!$B$16,DKW_10Y!$A$2:$A$2918,1)))*100))</f>
        <v/>
      </c>
      <c r="AA755" s="19">
        <f>IF(NOT(ISNUMBER($A755)),NA(),IF(OR($A755&lt;MIN(DKW_10Y!$A$2:$A$2918),$A755&gt;MAX(DKW_10Y!$A$2:$A$2918),Settings!$B$16&lt;MIN(DKW_10Y!$A$2:$A$2918)),NA(),(INDEX(DKW_10Y!$E$2:$E$2918,MATCH($A755,DKW_10Y!$A$2:$A$2918,1))-INDEX(DKW_10Y!$E$2:$E$2918,MATCH(Settings!$B$16,DKW_10Y!$A$2:$A$2918,1)))*100))</f>
        <v/>
      </c>
      <c r="AB755" s="19">
        <f>IF(NOT(ISNUMBER($A755)),NA(),IF(OR($A755&lt;MIN(DKW_10Y!$A$2:$A$2918),$A755&gt;MAX(DKW_10Y!$A$2:$A$2918),Settings!$B$16&lt;MIN(DKW_10Y!$A$2:$A$2918)),NA(),(INDEX(DKW_10Y!$H$2:$H$2918,MATCH($A755,DKW_10Y!$A$2:$A$2918,1))-INDEX(DKW_10Y!$H$2:$H$2918,MATCH(Settings!$B$16,DKW_10Y!$A$2:$A$2918,1)))*100))</f>
        <v/>
      </c>
      <c r="AC755" s="18">
        <f>IF(NOT(ISNUMBER($A755)),NA(),IFERROR(1*INDEX(BBG_Data!$N$2:$N$4000,MATCH($A755,BBG_Data!$M$2:$M$4000,0)),NA()))</f>
        <v/>
      </c>
      <c r="AD755" s="18">
        <f>IF(NOT(ISNUMBER($A755)),NA(),IFERROR(1*INDEX(BBG_Data!$P$2:$P$4000,MATCH($A755,BBG_Data!$O$2:$O$4000,0)),NA()))</f>
        <v/>
      </c>
      <c r="AE755" s="18">
        <f>IF(NOT(ISNUMBER($A755)),NA(),IFERROR(1*INDEX(BBG_Data!$R$2:$R$4000,MATCH($A755,BBG_Data!$Q$2:$Q$4000,0)),NA()))</f>
        <v/>
      </c>
      <c r="AF755" s="20">
        <f>IF(AND(ISNUMBER(B755),ISNUMBER(AC755)),(B755-AC755)*100,NA())</f>
        <v/>
      </c>
      <c r="AG755" s="20">
        <f>IF(AND(ISNUMBER(AE755),ISNUMBER(AD755)),(AE755-AD755)*100,NA())</f>
        <v/>
      </c>
      <c r="AH755" s="19">
        <f>IF(NOT(ISNUMBER($A755)),NA(),IFERROR(INDEX(BBG_Data!$T$2:$T$4000,MATCH($A755,BBG_Data!$S$2:$S$4000,0))*Settings!$B$25,NA()))</f>
        <v/>
      </c>
      <c r="AI755" s="19">
        <f>IF(NOT(ISNUMBER($A755)),NA(),IFERROR(INDEX(BBG_Data!$V$2:$V$4000,MATCH($A755,BBG_Data!$U$2:$U$4000,0))*Settings!$B$25,NA()))</f>
        <v/>
      </c>
      <c r="AJ755" s="19">
        <f>IF(NOT(ISNUMBER($A755)),NA(),IFERROR(1*INDEX(BBG_Data!$X$2:$X$4000,MATCH($A755,BBG_Data!$W$2:$W$4000,0)),NA()))</f>
        <v/>
      </c>
      <c r="AK755" s="19">
        <f>IF(NOT(ISNUMBER($A755)),NA(),IFERROR(1*INDEX(BBG_Data!$Z$2:$Z$4000,MATCH($A755,BBG_Data!$Y$2:$Y$4000,0)),NA()))</f>
        <v/>
      </c>
    </row>
    <row r="756">
      <c r="A756" s="17">
        <f>IF(ISNUMBER(BBG_Data!A756),BBG_Data!A756,"")</f>
        <v/>
      </c>
      <c r="B756" s="18">
        <f>IF(AND(ISNUMBER($A756),ISNUMBER(BBG_Data!B756)),BBG_Data!B756,NA())</f>
        <v/>
      </c>
      <c r="C756" s="18">
        <f>IF(NOT(ISNUMBER($A756)),NA(),IFERROR(1*INDEX(BBG_Data!$D$2:$D$4000,MATCH($A756,BBG_Data!$C$2:$C$4000,0)),NA()))</f>
        <v/>
      </c>
      <c r="D756" s="19">
        <f>IF(NOT(ISNUMBER($A756)),NA(),IFERROR(1*INDEX(BBG_Data!$F$2:$F$4000,MATCH($A756,BBG_Data!$E$2:$E$4000,0)),NA()))</f>
        <v/>
      </c>
      <c r="E756" s="19">
        <f>IF(NOT(ISNUMBER($A756)),NA(),IFERROR(1*INDEX(BBG_Data!$H$2:$H$4000,MATCH($A756,BBG_Data!$G$2:$G$4000,0)),NA()))</f>
        <v/>
      </c>
      <c r="F756" s="20">
        <f>IF(AND(ISNUMBER(B756),ISNUMBER(B755)),IF(B756=B755,"",(B756-B755)*100),"")</f>
        <v/>
      </c>
      <c r="G756" s="20">
        <f>IF(AND(ISNUMBER(C756),ISNUMBER(C755)),IF(C756=C755,"",(C756-C755)*100),"")</f>
        <v/>
      </c>
      <c r="H756" s="20">
        <f>IF(OR(NOT(ISNUMBER($A756)),ROW()-2&lt;Settings!$B$11),NA(),IF(COUNT(OFFSET(F756,1-Settings!$B$11,0,Settings!$B$11,1))&lt;ROUNDUP(Settings!$B$11*Settings!$B$26,0),NA(),STDEV(OFFSET(F756,1-Settings!$B$11,0,Settings!$B$11,1))*SQRT(Settings!$B$13)))</f>
        <v/>
      </c>
      <c r="I756" s="20">
        <f>IF(OR(NOT(ISNUMBER($A756)),ROW()-2&lt;Settings!$B$12),NA(),IF(COUNT(OFFSET(F756,1-Settings!$B$12,0,Settings!$B$12,1))&lt;ROUNDUP(Settings!$B$12*Settings!$B$26,0),NA(),STDEV(OFFSET(F756,1-Settings!$B$12,0,Settings!$B$12,1))*SQRT(Settings!$B$13)))</f>
        <v/>
      </c>
      <c r="J756" s="20">
        <f>IF(OR(NOT(ISNUMBER($A756)),ROW()-2&lt;Settings!$B$11),NA(),IF(COUNT(OFFSET(G756,1-Settings!$B$11,0,Settings!$B$11,1))&lt;ROUNDUP(Settings!$B$11*Settings!$B$26,0),NA(),STDEV(OFFSET(G756,1-Settings!$B$11,0,Settings!$B$11,1))*SQRT(Settings!$B$13)))</f>
        <v/>
      </c>
      <c r="K756" s="20">
        <f>IF(OR(NOT(ISNUMBER($A756)),ROW()-2&lt;Settings!$B$12),NA(),IF(COUNT(OFFSET(G756,1-Settings!$B$12,0,Settings!$B$12,1))&lt;ROUNDUP(Settings!$B$12*Settings!$B$26,0),NA(),STDEV(OFFSET(G756,1-Settings!$B$12,0,Settings!$B$12,1))*SQRT(Settings!$B$13)))</f>
        <v/>
      </c>
      <c r="L756" s="20">
        <f>IF(AND(ISNUMBER(D756),ISNUMBER(H756)),D756-H756,NA())</f>
        <v/>
      </c>
      <c r="M756" s="20">
        <f>IF(AND(ISNUMBER(E756),ISNUMBER(K756)),E756-K756,NA())</f>
        <v/>
      </c>
      <c r="N756" s="20">
        <f>IF(NOT(ISNUMBER($A756)),NA(),IF(COUNT(OFFSET(G756,1,0,Settings!$B$12,1))&lt;ROUNDUP(Settings!$B$12*Settings!$B$26,0),NA(),STDEV(OFFSET(G756,1,0,Settings!$B$12,1))*SQRT(Settings!$B$13)))</f>
        <v/>
      </c>
      <c r="O756" s="20">
        <f>IF(AND(ISNUMBER(E756),ISNUMBER(N756)),E756-N756,NA())</f>
        <v/>
      </c>
      <c r="P756" s="19">
        <f>IF(NOT(ISNUMBER($A756)),NA(),IF(OR($A756&lt;MIN(KW_TP!$A$2:$A$2501),$A756&gt;MAX(KW_TP!$A$2:$A$2501)),NA(),INDEX(KW_TP!$C$2:$C$2501,MATCH($A756,KW_TP!$A$2:$A$2501,1))))</f>
        <v/>
      </c>
      <c r="Q756" s="18">
        <f>IF(NOT(ISNUMBER($A756)),NA(),IFERROR(1*INDEX(BBG_Data!$J$2:$J$4000,MATCH($A756,BBG_Data!$I$2:$I$4000,0)),NA()))</f>
        <v/>
      </c>
      <c r="R756" s="18">
        <f>IF(NOT(ISNUMBER($A756)),NA(),IFERROR(1*INDEX(BBG_Data!$L$2:$L$4000,MATCH($A756,BBG_Data!$K$2:$K$4000,0)),NA()))</f>
        <v/>
      </c>
      <c r="S756" s="20">
        <f>IF(AND(ISNUMBER(B756),ISNUMBER(Q756),ISNUMBER(R756)),(B756-Q756-R756)*100,NA())</f>
        <v/>
      </c>
      <c r="T756" s="20">
        <f>IF(AND(ISNUMBER(B756),Settings!$B$17&gt;0),IF(ISNUMBER(INDEX($B:$B,Settings!$B$17)),(B756-INDEX($B:$B,Settings!$B$17))*100,NA()),NA())</f>
        <v/>
      </c>
      <c r="U756" s="20">
        <f>IF(AND(ISNUMBER(Q756),Settings!$B$17&gt;0),IF(ISNUMBER(INDEX($Q:$Q,Settings!$B$17)),(Q756-INDEX($Q:$Q,Settings!$B$17))*100,NA()),NA())</f>
        <v/>
      </c>
      <c r="V756" s="20">
        <f>IF(AND(ISNUMBER(R756),Settings!$B$17&gt;0),IF(ISNUMBER(INDEX($R:$R,Settings!$B$17)),(R756-INDEX($R:$R,Settings!$B$17))*100,NA()),NA())</f>
        <v/>
      </c>
      <c r="W756" s="20">
        <f>IF(AND(ISNUMBER(P756),Settings!$B$17&gt;0),IF(ISNUMBER(INDEX($P:$P,Settings!$B$17)),P756-INDEX($P:$P,Settings!$B$17),NA()),NA())</f>
        <v/>
      </c>
      <c r="X756" s="19">
        <f>IF(NOT(ISNUMBER($A756)),NA(),IF(OR($A756&lt;MIN(DKW_10Y!$A$2:$A$2918),$A756&gt;MAX(DKW_10Y!$A$2:$A$2918),Settings!$B$16&lt;MIN(DKW_10Y!$A$2:$A$2918)),NA(),(INDEX(DKW_10Y!$B$2:$B$2918,MATCH($A756,DKW_10Y!$A$2:$A$2918,1))-INDEX(DKW_10Y!$B$2:$B$2918,MATCH(Settings!$B$16,DKW_10Y!$A$2:$A$2918,1)))*100))</f>
        <v/>
      </c>
      <c r="Y756" s="19">
        <f>IF(NOT(ISNUMBER($A756)),NA(),IF(OR($A756&lt;MIN(DKW_10Y!$A$2:$A$2918),$A756&gt;MAX(DKW_10Y!$A$2:$A$2918),Settings!$B$16&lt;MIN(DKW_10Y!$A$2:$A$2918)),NA(),(INDEX(DKW_10Y!$C$2:$C$2918,MATCH($A756,DKW_10Y!$A$2:$A$2918,1))-INDEX(DKW_10Y!$C$2:$C$2918,MATCH(Settings!$B$16,DKW_10Y!$A$2:$A$2918,1)))*100))</f>
        <v/>
      </c>
      <c r="Z756" s="19">
        <f>IF(NOT(ISNUMBER($A756)),NA(),IF(OR($A756&lt;MIN(DKW_10Y!$A$2:$A$2918),$A756&gt;MAX(DKW_10Y!$A$2:$A$2918),Settings!$B$16&lt;MIN(DKW_10Y!$A$2:$A$2918)),NA(),(INDEX(DKW_10Y!$D$2:$D$2918,MATCH($A756,DKW_10Y!$A$2:$A$2918,1))-INDEX(DKW_10Y!$D$2:$D$2918,MATCH(Settings!$B$16,DKW_10Y!$A$2:$A$2918,1)))*100))</f>
        <v/>
      </c>
      <c r="AA756" s="19">
        <f>IF(NOT(ISNUMBER($A756)),NA(),IF(OR($A756&lt;MIN(DKW_10Y!$A$2:$A$2918),$A756&gt;MAX(DKW_10Y!$A$2:$A$2918),Settings!$B$16&lt;MIN(DKW_10Y!$A$2:$A$2918)),NA(),(INDEX(DKW_10Y!$E$2:$E$2918,MATCH($A756,DKW_10Y!$A$2:$A$2918,1))-INDEX(DKW_10Y!$E$2:$E$2918,MATCH(Settings!$B$16,DKW_10Y!$A$2:$A$2918,1)))*100))</f>
        <v/>
      </c>
      <c r="AB756" s="19">
        <f>IF(NOT(ISNUMBER($A756)),NA(),IF(OR($A756&lt;MIN(DKW_10Y!$A$2:$A$2918),$A756&gt;MAX(DKW_10Y!$A$2:$A$2918),Settings!$B$16&lt;MIN(DKW_10Y!$A$2:$A$2918)),NA(),(INDEX(DKW_10Y!$H$2:$H$2918,MATCH($A756,DKW_10Y!$A$2:$A$2918,1))-INDEX(DKW_10Y!$H$2:$H$2918,MATCH(Settings!$B$16,DKW_10Y!$A$2:$A$2918,1)))*100))</f>
        <v/>
      </c>
      <c r="AC756" s="18">
        <f>IF(NOT(ISNUMBER($A756)),NA(),IFERROR(1*INDEX(BBG_Data!$N$2:$N$4000,MATCH($A756,BBG_Data!$M$2:$M$4000,0)),NA()))</f>
        <v/>
      </c>
      <c r="AD756" s="18">
        <f>IF(NOT(ISNUMBER($A756)),NA(),IFERROR(1*INDEX(BBG_Data!$P$2:$P$4000,MATCH($A756,BBG_Data!$O$2:$O$4000,0)),NA()))</f>
        <v/>
      </c>
      <c r="AE756" s="18">
        <f>IF(NOT(ISNUMBER($A756)),NA(),IFERROR(1*INDEX(BBG_Data!$R$2:$R$4000,MATCH($A756,BBG_Data!$Q$2:$Q$4000,0)),NA()))</f>
        <v/>
      </c>
      <c r="AF756" s="20">
        <f>IF(AND(ISNUMBER(B756),ISNUMBER(AC756)),(B756-AC756)*100,NA())</f>
        <v/>
      </c>
      <c r="AG756" s="20">
        <f>IF(AND(ISNUMBER(AE756),ISNUMBER(AD756)),(AE756-AD756)*100,NA())</f>
        <v/>
      </c>
      <c r="AH756" s="19">
        <f>IF(NOT(ISNUMBER($A756)),NA(),IFERROR(INDEX(BBG_Data!$T$2:$T$4000,MATCH($A756,BBG_Data!$S$2:$S$4000,0))*Settings!$B$25,NA()))</f>
        <v/>
      </c>
      <c r="AI756" s="19">
        <f>IF(NOT(ISNUMBER($A756)),NA(),IFERROR(INDEX(BBG_Data!$V$2:$V$4000,MATCH($A756,BBG_Data!$U$2:$U$4000,0))*Settings!$B$25,NA()))</f>
        <v/>
      </c>
      <c r="AJ756" s="19">
        <f>IF(NOT(ISNUMBER($A756)),NA(),IFERROR(1*INDEX(BBG_Data!$X$2:$X$4000,MATCH($A756,BBG_Data!$W$2:$W$4000,0)),NA()))</f>
        <v/>
      </c>
      <c r="AK756" s="19">
        <f>IF(NOT(ISNUMBER($A756)),NA(),IFERROR(1*INDEX(BBG_Data!$Z$2:$Z$4000,MATCH($A756,BBG_Data!$Y$2:$Y$4000,0)),NA()))</f>
        <v/>
      </c>
    </row>
    <row r="757">
      <c r="A757" s="17">
        <f>IF(ISNUMBER(BBG_Data!A757),BBG_Data!A757,"")</f>
        <v/>
      </c>
      <c r="B757" s="18">
        <f>IF(AND(ISNUMBER($A757),ISNUMBER(BBG_Data!B757)),BBG_Data!B757,NA())</f>
        <v/>
      </c>
      <c r="C757" s="18">
        <f>IF(NOT(ISNUMBER($A757)),NA(),IFERROR(1*INDEX(BBG_Data!$D$2:$D$4000,MATCH($A757,BBG_Data!$C$2:$C$4000,0)),NA()))</f>
        <v/>
      </c>
      <c r="D757" s="19">
        <f>IF(NOT(ISNUMBER($A757)),NA(),IFERROR(1*INDEX(BBG_Data!$F$2:$F$4000,MATCH($A757,BBG_Data!$E$2:$E$4000,0)),NA()))</f>
        <v/>
      </c>
      <c r="E757" s="19">
        <f>IF(NOT(ISNUMBER($A757)),NA(),IFERROR(1*INDEX(BBG_Data!$H$2:$H$4000,MATCH($A757,BBG_Data!$G$2:$G$4000,0)),NA()))</f>
        <v/>
      </c>
      <c r="F757" s="20">
        <f>IF(AND(ISNUMBER(B757),ISNUMBER(B756)),IF(B757=B756,"",(B757-B756)*100),"")</f>
        <v/>
      </c>
      <c r="G757" s="20">
        <f>IF(AND(ISNUMBER(C757),ISNUMBER(C756)),IF(C757=C756,"",(C757-C756)*100),"")</f>
        <v/>
      </c>
      <c r="H757" s="20">
        <f>IF(OR(NOT(ISNUMBER($A757)),ROW()-2&lt;Settings!$B$11),NA(),IF(COUNT(OFFSET(F757,1-Settings!$B$11,0,Settings!$B$11,1))&lt;ROUNDUP(Settings!$B$11*Settings!$B$26,0),NA(),STDEV(OFFSET(F757,1-Settings!$B$11,0,Settings!$B$11,1))*SQRT(Settings!$B$13)))</f>
        <v/>
      </c>
      <c r="I757" s="20">
        <f>IF(OR(NOT(ISNUMBER($A757)),ROW()-2&lt;Settings!$B$12),NA(),IF(COUNT(OFFSET(F757,1-Settings!$B$12,0,Settings!$B$12,1))&lt;ROUNDUP(Settings!$B$12*Settings!$B$26,0),NA(),STDEV(OFFSET(F757,1-Settings!$B$12,0,Settings!$B$12,1))*SQRT(Settings!$B$13)))</f>
        <v/>
      </c>
      <c r="J757" s="20">
        <f>IF(OR(NOT(ISNUMBER($A757)),ROW()-2&lt;Settings!$B$11),NA(),IF(COUNT(OFFSET(G757,1-Settings!$B$11,0,Settings!$B$11,1))&lt;ROUNDUP(Settings!$B$11*Settings!$B$26,0),NA(),STDEV(OFFSET(G757,1-Settings!$B$11,0,Settings!$B$11,1))*SQRT(Settings!$B$13)))</f>
        <v/>
      </c>
      <c r="K757" s="20">
        <f>IF(OR(NOT(ISNUMBER($A757)),ROW()-2&lt;Settings!$B$12),NA(),IF(COUNT(OFFSET(G757,1-Settings!$B$12,0,Settings!$B$12,1))&lt;ROUNDUP(Settings!$B$12*Settings!$B$26,0),NA(),STDEV(OFFSET(G757,1-Settings!$B$12,0,Settings!$B$12,1))*SQRT(Settings!$B$13)))</f>
        <v/>
      </c>
      <c r="L757" s="20">
        <f>IF(AND(ISNUMBER(D757),ISNUMBER(H757)),D757-H757,NA())</f>
        <v/>
      </c>
      <c r="M757" s="20">
        <f>IF(AND(ISNUMBER(E757),ISNUMBER(K757)),E757-K757,NA())</f>
        <v/>
      </c>
      <c r="N757" s="20">
        <f>IF(NOT(ISNUMBER($A757)),NA(),IF(COUNT(OFFSET(G757,1,0,Settings!$B$12,1))&lt;ROUNDUP(Settings!$B$12*Settings!$B$26,0),NA(),STDEV(OFFSET(G757,1,0,Settings!$B$12,1))*SQRT(Settings!$B$13)))</f>
        <v/>
      </c>
      <c r="O757" s="20">
        <f>IF(AND(ISNUMBER(E757),ISNUMBER(N757)),E757-N757,NA())</f>
        <v/>
      </c>
      <c r="P757" s="19">
        <f>IF(NOT(ISNUMBER($A757)),NA(),IF(OR($A757&lt;MIN(KW_TP!$A$2:$A$2501),$A757&gt;MAX(KW_TP!$A$2:$A$2501)),NA(),INDEX(KW_TP!$C$2:$C$2501,MATCH($A757,KW_TP!$A$2:$A$2501,1))))</f>
        <v/>
      </c>
      <c r="Q757" s="18">
        <f>IF(NOT(ISNUMBER($A757)),NA(),IFERROR(1*INDEX(BBG_Data!$J$2:$J$4000,MATCH($A757,BBG_Data!$I$2:$I$4000,0)),NA()))</f>
        <v/>
      </c>
      <c r="R757" s="18">
        <f>IF(NOT(ISNUMBER($A757)),NA(),IFERROR(1*INDEX(BBG_Data!$L$2:$L$4000,MATCH($A757,BBG_Data!$K$2:$K$4000,0)),NA()))</f>
        <v/>
      </c>
      <c r="S757" s="20">
        <f>IF(AND(ISNUMBER(B757),ISNUMBER(Q757),ISNUMBER(R757)),(B757-Q757-R757)*100,NA())</f>
        <v/>
      </c>
      <c r="T757" s="20">
        <f>IF(AND(ISNUMBER(B757),Settings!$B$17&gt;0),IF(ISNUMBER(INDEX($B:$B,Settings!$B$17)),(B757-INDEX($B:$B,Settings!$B$17))*100,NA()),NA())</f>
        <v/>
      </c>
      <c r="U757" s="20">
        <f>IF(AND(ISNUMBER(Q757),Settings!$B$17&gt;0),IF(ISNUMBER(INDEX($Q:$Q,Settings!$B$17)),(Q757-INDEX($Q:$Q,Settings!$B$17))*100,NA()),NA())</f>
        <v/>
      </c>
      <c r="V757" s="20">
        <f>IF(AND(ISNUMBER(R757),Settings!$B$17&gt;0),IF(ISNUMBER(INDEX($R:$R,Settings!$B$17)),(R757-INDEX($R:$R,Settings!$B$17))*100,NA()),NA())</f>
        <v/>
      </c>
      <c r="W757" s="20">
        <f>IF(AND(ISNUMBER(P757),Settings!$B$17&gt;0),IF(ISNUMBER(INDEX($P:$P,Settings!$B$17)),P757-INDEX($P:$P,Settings!$B$17),NA()),NA())</f>
        <v/>
      </c>
      <c r="X757" s="19">
        <f>IF(NOT(ISNUMBER($A757)),NA(),IF(OR($A757&lt;MIN(DKW_10Y!$A$2:$A$2918),$A757&gt;MAX(DKW_10Y!$A$2:$A$2918),Settings!$B$16&lt;MIN(DKW_10Y!$A$2:$A$2918)),NA(),(INDEX(DKW_10Y!$B$2:$B$2918,MATCH($A757,DKW_10Y!$A$2:$A$2918,1))-INDEX(DKW_10Y!$B$2:$B$2918,MATCH(Settings!$B$16,DKW_10Y!$A$2:$A$2918,1)))*100))</f>
        <v/>
      </c>
      <c r="Y757" s="19">
        <f>IF(NOT(ISNUMBER($A757)),NA(),IF(OR($A757&lt;MIN(DKW_10Y!$A$2:$A$2918),$A757&gt;MAX(DKW_10Y!$A$2:$A$2918),Settings!$B$16&lt;MIN(DKW_10Y!$A$2:$A$2918)),NA(),(INDEX(DKW_10Y!$C$2:$C$2918,MATCH($A757,DKW_10Y!$A$2:$A$2918,1))-INDEX(DKW_10Y!$C$2:$C$2918,MATCH(Settings!$B$16,DKW_10Y!$A$2:$A$2918,1)))*100))</f>
        <v/>
      </c>
      <c r="Z757" s="19">
        <f>IF(NOT(ISNUMBER($A757)),NA(),IF(OR($A757&lt;MIN(DKW_10Y!$A$2:$A$2918),$A757&gt;MAX(DKW_10Y!$A$2:$A$2918),Settings!$B$16&lt;MIN(DKW_10Y!$A$2:$A$2918)),NA(),(INDEX(DKW_10Y!$D$2:$D$2918,MATCH($A757,DKW_10Y!$A$2:$A$2918,1))-INDEX(DKW_10Y!$D$2:$D$2918,MATCH(Settings!$B$16,DKW_10Y!$A$2:$A$2918,1)))*100))</f>
        <v/>
      </c>
      <c r="AA757" s="19">
        <f>IF(NOT(ISNUMBER($A757)),NA(),IF(OR($A757&lt;MIN(DKW_10Y!$A$2:$A$2918),$A757&gt;MAX(DKW_10Y!$A$2:$A$2918),Settings!$B$16&lt;MIN(DKW_10Y!$A$2:$A$2918)),NA(),(INDEX(DKW_10Y!$E$2:$E$2918,MATCH($A757,DKW_10Y!$A$2:$A$2918,1))-INDEX(DKW_10Y!$E$2:$E$2918,MATCH(Settings!$B$16,DKW_10Y!$A$2:$A$2918,1)))*100))</f>
        <v/>
      </c>
      <c r="AB757" s="19">
        <f>IF(NOT(ISNUMBER($A757)),NA(),IF(OR($A757&lt;MIN(DKW_10Y!$A$2:$A$2918),$A757&gt;MAX(DKW_10Y!$A$2:$A$2918),Settings!$B$16&lt;MIN(DKW_10Y!$A$2:$A$2918)),NA(),(INDEX(DKW_10Y!$H$2:$H$2918,MATCH($A757,DKW_10Y!$A$2:$A$2918,1))-INDEX(DKW_10Y!$H$2:$H$2918,MATCH(Settings!$B$16,DKW_10Y!$A$2:$A$2918,1)))*100))</f>
        <v/>
      </c>
      <c r="AC757" s="18">
        <f>IF(NOT(ISNUMBER($A757)),NA(),IFERROR(1*INDEX(BBG_Data!$N$2:$N$4000,MATCH($A757,BBG_Data!$M$2:$M$4000,0)),NA()))</f>
        <v/>
      </c>
      <c r="AD757" s="18">
        <f>IF(NOT(ISNUMBER($A757)),NA(),IFERROR(1*INDEX(BBG_Data!$P$2:$P$4000,MATCH($A757,BBG_Data!$O$2:$O$4000,0)),NA()))</f>
        <v/>
      </c>
      <c r="AE757" s="18">
        <f>IF(NOT(ISNUMBER($A757)),NA(),IFERROR(1*INDEX(BBG_Data!$R$2:$R$4000,MATCH($A757,BBG_Data!$Q$2:$Q$4000,0)),NA()))</f>
        <v/>
      </c>
      <c r="AF757" s="20">
        <f>IF(AND(ISNUMBER(B757),ISNUMBER(AC757)),(B757-AC757)*100,NA())</f>
        <v/>
      </c>
      <c r="AG757" s="20">
        <f>IF(AND(ISNUMBER(AE757),ISNUMBER(AD757)),(AE757-AD757)*100,NA())</f>
        <v/>
      </c>
      <c r="AH757" s="19">
        <f>IF(NOT(ISNUMBER($A757)),NA(),IFERROR(INDEX(BBG_Data!$T$2:$T$4000,MATCH($A757,BBG_Data!$S$2:$S$4000,0))*Settings!$B$25,NA()))</f>
        <v/>
      </c>
      <c r="AI757" s="19">
        <f>IF(NOT(ISNUMBER($A757)),NA(),IFERROR(INDEX(BBG_Data!$V$2:$V$4000,MATCH($A757,BBG_Data!$U$2:$U$4000,0))*Settings!$B$25,NA()))</f>
        <v/>
      </c>
      <c r="AJ757" s="19">
        <f>IF(NOT(ISNUMBER($A757)),NA(),IFERROR(1*INDEX(BBG_Data!$X$2:$X$4000,MATCH($A757,BBG_Data!$W$2:$W$4000,0)),NA()))</f>
        <v/>
      </c>
      <c r="AK757" s="19">
        <f>IF(NOT(ISNUMBER($A757)),NA(),IFERROR(1*INDEX(BBG_Data!$Z$2:$Z$4000,MATCH($A757,BBG_Data!$Y$2:$Y$4000,0)),NA()))</f>
        <v/>
      </c>
    </row>
    <row r="758">
      <c r="A758" s="17">
        <f>IF(ISNUMBER(BBG_Data!A758),BBG_Data!A758,"")</f>
        <v/>
      </c>
      <c r="B758" s="18">
        <f>IF(AND(ISNUMBER($A758),ISNUMBER(BBG_Data!B758)),BBG_Data!B758,NA())</f>
        <v/>
      </c>
      <c r="C758" s="18">
        <f>IF(NOT(ISNUMBER($A758)),NA(),IFERROR(1*INDEX(BBG_Data!$D$2:$D$4000,MATCH($A758,BBG_Data!$C$2:$C$4000,0)),NA()))</f>
        <v/>
      </c>
      <c r="D758" s="19">
        <f>IF(NOT(ISNUMBER($A758)),NA(),IFERROR(1*INDEX(BBG_Data!$F$2:$F$4000,MATCH($A758,BBG_Data!$E$2:$E$4000,0)),NA()))</f>
        <v/>
      </c>
      <c r="E758" s="19">
        <f>IF(NOT(ISNUMBER($A758)),NA(),IFERROR(1*INDEX(BBG_Data!$H$2:$H$4000,MATCH($A758,BBG_Data!$G$2:$G$4000,0)),NA()))</f>
        <v/>
      </c>
      <c r="F758" s="20">
        <f>IF(AND(ISNUMBER(B758),ISNUMBER(B757)),IF(B758=B757,"",(B758-B757)*100),"")</f>
        <v/>
      </c>
      <c r="G758" s="20">
        <f>IF(AND(ISNUMBER(C758),ISNUMBER(C757)),IF(C758=C757,"",(C758-C757)*100),"")</f>
        <v/>
      </c>
      <c r="H758" s="20">
        <f>IF(OR(NOT(ISNUMBER($A758)),ROW()-2&lt;Settings!$B$11),NA(),IF(COUNT(OFFSET(F758,1-Settings!$B$11,0,Settings!$B$11,1))&lt;ROUNDUP(Settings!$B$11*Settings!$B$26,0),NA(),STDEV(OFFSET(F758,1-Settings!$B$11,0,Settings!$B$11,1))*SQRT(Settings!$B$13)))</f>
        <v/>
      </c>
      <c r="I758" s="20">
        <f>IF(OR(NOT(ISNUMBER($A758)),ROW()-2&lt;Settings!$B$12),NA(),IF(COUNT(OFFSET(F758,1-Settings!$B$12,0,Settings!$B$12,1))&lt;ROUNDUP(Settings!$B$12*Settings!$B$26,0),NA(),STDEV(OFFSET(F758,1-Settings!$B$12,0,Settings!$B$12,1))*SQRT(Settings!$B$13)))</f>
        <v/>
      </c>
      <c r="J758" s="20">
        <f>IF(OR(NOT(ISNUMBER($A758)),ROW()-2&lt;Settings!$B$11),NA(),IF(COUNT(OFFSET(G758,1-Settings!$B$11,0,Settings!$B$11,1))&lt;ROUNDUP(Settings!$B$11*Settings!$B$26,0),NA(),STDEV(OFFSET(G758,1-Settings!$B$11,0,Settings!$B$11,1))*SQRT(Settings!$B$13)))</f>
        <v/>
      </c>
      <c r="K758" s="20">
        <f>IF(OR(NOT(ISNUMBER($A758)),ROW()-2&lt;Settings!$B$12),NA(),IF(COUNT(OFFSET(G758,1-Settings!$B$12,0,Settings!$B$12,1))&lt;ROUNDUP(Settings!$B$12*Settings!$B$26,0),NA(),STDEV(OFFSET(G758,1-Settings!$B$12,0,Settings!$B$12,1))*SQRT(Settings!$B$13)))</f>
        <v/>
      </c>
      <c r="L758" s="20">
        <f>IF(AND(ISNUMBER(D758),ISNUMBER(H758)),D758-H758,NA())</f>
        <v/>
      </c>
      <c r="M758" s="20">
        <f>IF(AND(ISNUMBER(E758),ISNUMBER(K758)),E758-K758,NA())</f>
        <v/>
      </c>
      <c r="N758" s="20">
        <f>IF(NOT(ISNUMBER($A758)),NA(),IF(COUNT(OFFSET(G758,1,0,Settings!$B$12,1))&lt;ROUNDUP(Settings!$B$12*Settings!$B$26,0),NA(),STDEV(OFFSET(G758,1,0,Settings!$B$12,1))*SQRT(Settings!$B$13)))</f>
        <v/>
      </c>
      <c r="O758" s="20">
        <f>IF(AND(ISNUMBER(E758),ISNUMBER(N758)),E758-N758,NA())</f>
        <v/>
      </c>
      <c r="P758" s="19">
        <f>IF(NOT(ISNUMBER($A758)),NA(),IF(OR($A758&lt;MIN(KW_TP!$A$2:$A$2501),$A758&gt;MAX(KW_TP!$A$2:$A$2501)),NA(),INDEX(KW_TP!$C$2:$C$2501,MATCH($A758,KW_TP!$A$2:$A$2501,1))))</f>
        <v/>
      </c>
      <c r="Q758" s="18">
        <f>IF(NOT(ISNUMBER($A758)),NA(),IFERROR(1*INDEX(BBG_Data!$J$2:$J$4000,MATCH($A758,BBG_Data!$I$2:$I$4000,0)),NA()))</f>
        <v/>
      </c>
      <c r="R758" s="18">
        <f>IF(NOT(ISNUMBER($A758)),NA(),IFERROR(1*INDEX(BBG_Data!$L$2:$L$4000,MATCH($A758,BBG_Data!$K$2:$K$4000,0)),NA()))</f>
        <v/>
      </c>
      <c r="S758" s="20">
        <f>IF(AND(ISNUMBER(B758),ISNUMBER(Q758),ISNUMBER(R758)),(B758-Q758-R758)*100,NA())</f>
        <v/>
      </c>
      <c r="T758" s="20">
        <f>IF(AND(ISNUMBER(B758),Settings!$B$17&gt;0),IF(ISNUMBER(INDEX($B:$B,Settings!$B$17)),(B758-INDEX($B:$B,Settings!$B$17))*100,NA()),NA())</f>
        <v/>
      </c>
      <c r="U758" s="20">
        <f>IF(AND(ISNUMBER(Q758),Settings!$B$17&gt;0),IF(ISNUMBER(INDEX($Q:$Q,Settings!$B$17)),(Q758-INDEX($Q:$Q,Settings!$B$17))*100,NA()),NA())</f>
        <v/>
      </c>
      <c r="V758" s="20">
        <f>IF(AND(ISNUMBER(R758),Settings!$B$17&gt;0),IF(ISNUMBER(INDEX($R:$R,Settings!$B$17)),(R758-INDEX($R:$R,Settings!$B$17))*100,NA()),NA())</f>
        <v/>
      </c>
      <c r="W758" s="20">
        <f>IF(AND(ISNUMBER(P758),Settings!$B$17&gt;0),IF(ISNUMBER(INDEX($P:$P,Settings!$B$17)),P758-INDEX($P:$P,Settings!$B$17),NA()),NA())</f>
        <v/>
      </c>
      <c r="X758" s="19">
        <f>IF(NOT(ISNUMBER($A758)),NA(),IF(OR($A758&lt;MIN(DKW_10Y!$A$2:$A$2918),$A758&gt;MAX(DKW_10Y!$A$2:$A$2918),Settings!$B$16&lt;MIN(DKW_10Y!$A$2:$A$2918)),NA(),(INDEX(DKW_10Y!$B$2:$B$2918,MATCH($A758,DKW_10Y!$A$2:$A$2918,1))-INDEX(DKW_10Y!$B$2:$B$2918,MATCH(Settings!$B$16,DKW_10Y!$A$2:$A$2918,1)))*100))</f>
        <v/>
      </c>
      <c r="Y758" s="19">
        <f>IF(NOT(ISNUMBER($A758)),NA(),IF(OR($A758&lt;MIN(DKW_10Y!$A$2:$A$2918),$A758&gt;MAX(DKW_10Y!$A$2:$A$2918),Settings!$B$16&lt;MIN(DKW_10Y!$A$2:$A$2918)),NA(),(INDEX(DKW_10Y!$C$2:$C$2918,MATCH($A758,DKW_10Y!$A$2:$A$2918,1))-INDEX(DKW_10Y!$C$2:$C$2918,MATCH(Settings!$B$16,DKW_10Y!$A$2:$A$2918,1)))*100))</f>
        <v/>
      </c>
      <c r="Z758" s="19">
        <f>IF(NOT(ISNUMBER($A758)),NA(),IF(OR($A758&lt;MIN(DKW_10Y!$A$2:$A$2918),$A758&gt;MAX(DKW_10Y!$A$2:$A$2918),Settings!$B$16&lt;MIN(DKW_10Y!$A$2:$A$2918)),NA(),(INDEX(DKW_10Y!$D$2:$D$2918,MATCH($A758,DKW_10Y!$A$2:$A$2918,1))-INDEX(DKW_10Y!$D$2:$D$2918,MATCH(Settings!$B$16,DKW_10Y!$A$2:$A$2918,1)))*100))</f>
        <v/>
      </c>
      <c r="AA758" s="19">
        <f>IF(NOT(ISNUMBER($A758)),NA(),IF(OR($A758&lt;MIN(DKW_10Y!$A$2:$A$2918),$A758&gt;MAX(DKW_10Y!$A$2:$A$2918),Settings!$B$16&lt;MIN(DKW_10Y!$A$2:$A$2918)),NA(),(INDEX(DKW_10Y!$E$2:$E$2918,MATCH($A758,DKW_10Y!$A$2:$A$2918,1))-INDEX(DKW_10Y!$E$2:$E$2918,MATCH(Settings!$B$16,DKW_10Y!$A$2:$A$2918,1)))*100))</f>
        <v/>
      </c>
      <c r="AB758" s="19">
        <f>IF(NOT(ISNUMBER($A758)),NA(),IF(OR($A758&lt;MIN(DKW_10Y!$A$2:$A$2918),$A758&gt;MAX(DKW_10Y!$A$2:$A$2918),Settings!$B$16&lt;MIN(DKW_10Y!$A$2:$A$2918)),NA(),(INDEX(DKW_10Y!$H$2:$H$2918,MATCH($A758,DKW_10Y!$A$2:$A$2918,1))-INDEX(DKW_10Y!$H$2:$H$2918,MATCH(Settings!$B$16,DKW_10Y!$A$2:$A$2918,1)))*100))</f>
        <v/>
      </c>
      <c r="AC758" s="18">
        <f>IF(NOT(ISNUMBER($A758)),NA(),IFERROR(1*INDEX(BBG_Data!$N$2:$N$4000,MATCH($A758,BBG_Data!$M$2:$M$4000,0)),NA()))</f>
        <v/>
      </c>
      <c r="AD758" s="18">
        <f>IF(NOT(ISNUMBER($A758)),NA(),IFERROR(1*INDEX(BBG_Data!$P$2:$P$4000,MATCH($A758,BBG_Data!$O$2:$O$4000,0)),NA()))</f>
        <v/>
      </c>
      <c r="AE758" s="18">
        <f>IF(NOT(ISNUMBER($A758)),NA(),IFERROR(1*INDEX(BBG_Data!$R$2:$R$4000,MATCH($A758,BBG_Data!$Q$2:$Q$4000,0)),NA()))</f>
        <v/>
      </c>
      <c r="AF758" s="20">
        <f>IF(AND(ISNUMBER(B758),ISNUMBER(AC758)),(B758-AC758)*100,NA())</f>
        <v/>
      </c>
      <c r="AG758" s="20">
        <f>IF(AND(ISNUMBER(AE758),ISNUMBER(AD758)),(AE758-AD758)*100,NA())</f>
        <v/>
      </c>
      <c r="AH758" s="19">
        <f>IF(NOT(ISNUMBER($A758)),NA(),IFERROR(INDEX(BBG_Data!$T$2:$T$4000,MATCH($A758,BBG_Data!$S$2:$S$4000,0))*Settings!$B$25,NA()))</f>
        <v/>
      </c>
      <c r="AI758" s="19">
        <f>IF(NOT(ISNUMBER($A758)),NA(),IFERROR(INDEX(BBG_Data!$V$2:$V$4000,MATCH($A758,BBG_Data!$U$2:$U$4000,0))*Settings!$B$25,NA()))</f>
        <v/>
      </c>
      <c r="AJ758" s="19">
        <f>IF(NOT(ISNUMBER($A758)),NA(),IFERROR(1*INDEX(BBG_Data!$X$2:$X$4000,MATCH($A758,BBG_Data!$W$2:$W$4000,0)),NA()))</f>
        <v/>
      </c>
      <c r="AK758" s="19">
        <f>IF(NOT(ISNUMBER($A758)),NA(),IFERROR(1*INDEX(BBG_Data!$Z$2:$Z$4000,MATCH($A758,BBG_Data!$Y$2:$Y$4000,0)),NA()))</f>
        <v/>
      </c>
    </row>
    <row r="759">
      <c r="A759" s="17">
        <f>IF(ISNUMBER(BBG_Data!A759),BBG_Data!A759,"")</f>
        <v/>
      </c>
      <c r="B759" s="18">
        <f>IF(AND(ISNUMBER($A759),ISNUMBER(BBG_Data!B759)),BBG_Data!B759,NA())</f>
        <v/>
      </c>
      <c r="C759" s="18">
        <f>IF(NOT(ISNUMBER($A759)),NA(),IFERROR(1*INDEX(BBG_Data!$D$2:$D$4000,MATCH($A759,BBG_Data!$C$2:$C$4000,0)),NA()))</f>
        <v/>
      </c>
      <c r="D759" s="19">
        <f>IF(NOT(ISNUMBER($A759)),NA(),IFERROR(1*INDEX(BBG_Data!$F$2:$F$4000,MATCH($A759,BBG_Data!$E$2:$E$4000,0)),NA()))</f>
        <v/>
      </c>
      <c r="E759" s="19">
        <f>IF(NOT(ISNUMBER($A759)),NA(),IFERROR(1*INDEX(BBG_Data!$H$2:$H$4000,MATCH($A759,BBG_Data!$G$2:$G$4000,0)),NA()))</f>
        <v/>
      </c>
      <c r="F759" s="20">
        <f>IF(AND(ISNUMBER(B759),ISNUMBER(B758)),IF(B759=B758,"",(B759-B758)*100),"")</f>
        <v/>
      </c>
      <c r="G759" s="20">
        <f>IF(AND(ISNUMBER(C759),ISNUMBER(C758)),IF(C759=C758,"",(C759-C758)*100),"")</f>
        <v/>
      </c>
      <c r="H759" s="20">
        <f>IF(OR(NOT(ISNUMBER($A759)),ROW()-2&lt;Settings!$B$11),NA(),IF(COUNT(OFFSET(F759,1-Settings!$B$11,0,Settings!$B$11,1))&lt;ROUNDUP(Settings!$B$11*Settings!$B$26,0),NA(),STDEV(OFFSET(F759,1-Settings!$B$11,0,Settings!$B$11,1))*SQRT(Settings!$B$13)))</f>
        <v/>
      </c>
      <c r="I759" s="20">
        <f>IF(OR(NOT(ISNUMBER($A759)),ROW()-2&lt;Settings!$B$12),NA(),IF(COUNT(OFFSET(F759,1-Settings!$B$12,0,Settings!$B$12,1))&lt;ROUNDUP(Settings!$B$12*Settings!$B$26,0),NA(),STDEV(OFFSET(F759,1-Settings!$B$12,0,Settings!$B$12,1))*SQRT(Settings!$B$13)))</f>
        <v/>
      </c>
      <c r="J759" s="20">
        <f>IF(OR(NOT(ISNUMBER($A759)),ROW()-2&lt;Settings!$B$11),NA(),IF(COUNT(OFFSET(G759,1-Settings!$B$11,0,Settings!$B$11,1))&lt;ROUNDUP(Settings!$B$11*Settings!$B$26,0),NA(),STDEV(OFFSET(G759,1-Settings!$B$11,0,Settings!$B$11,1))*SQRT(Settings!$B$13)))</f>
        <v/>
      </c>
      <c r="K759" s="20">
        <f>IF(OR(NOT(ISNUMBER($A759)),ROW()-2&lt;Settings!$B$12),NA(),IF(COUNT(OFFSET(G759,1-Settings!$B$12,0,Settings!$B$12,1))&lt;ROUNDUP(Settings!$B$12*Settings!$B$26,0),NA(),STDEV(OFFSET(G759,1-Settings!$B$12,0,Settings!$B$12,1))*SQRT(Settings!$B$13)))</f>
        <v/>
      </c>
      <c r="L759" s="20">
        <f>IF(AND(ISNUMBER(D759),ISNUMBER(H759)),D759-H759,NA())</f>
        <v/>
      </c>
      <c r="M759" s="20">
        <f>IF(AND(ISNUMBER(E759),ISNUMBER(K759)),E759-K759,NA())</f>
        <v/>
      </c>
      <c r="N759" s="20">
        <f>IF(NOT(ISNUMBER($A759)),NA(),IF(COUNT(OFFSET(G759,1,0,Settings!$B$12,1))&lt;ROUNDUP(Settings!$B$12*Settings!$B$26,0),NA(),STDEV(OFFSET(G759,1,0,Settings!$B$12,1))*SQRT(Settings!$B$13)))</f>
        <v/>
      </c>
      <c r="O759" s="20">
        <f>IF(AND(ISNUMBER(E759),ISNUMBER(N759)),E759-N759,NA())</f>
        <v/>
      </c>
      <c r="P759" s="19">
        <f>IF(NOT(ISNUMBER($A759)),NA(),IF(OR($A759&lt;MIN(KW_TP!$A$2:$A$2501),$A759&gt;MAX(KW_TP!$A$2:$A$2501)),NA(),INDEX(KW_TP!$C$2:$C$2501,MATCH($A759,KW_TP!$A$2:$A$2501,1))))</f>
        <v/>
      </c>
      <c r="Q759" s="18">
        <f>IF(NOT(ISNUMBER($A759)),NA(),IFERROR(1*INDEX(BBG_Data!$J$2:$J$4000,MATCH($A759,BBG_Data!$I$2:$I$4000,0)),NA()))</f>
        <v/>
      </c>
      <c r="R759" s="18">
        <f>IF(NOT(ISNUMBER($A759)),NA(),IFERROR(1*INDEX(BBG_Data!$L$2:$L$4000,MATCH($A759,BBG_Data!$K$2:$K$4000,0)),NA()))</f>
        <v/>
      </c>
      <c r="S759" s="20">
        <f>IF(AND(ISNUMBER(B759),ISNUMBER(Q759),ISNUMBER(R759)),(B759-Q759-R759)*100,NA())</f>
        <v/>
      </c>
      <c r="T759" s="20">
        <f>IF(AND(ISNUMBER(B759),Settings!$B$17&gt;0),IF(ISNUMBER(INDEX($B:$B,Settings!$B$17)),(B759-INDEX($B:$B,Settings!$B$17))*100,NA()),NA())</f>
        <v/>
      </c>
      <c r="U759" s="20">
        <f>IF(AND(ISNUMBER(Q759),Settings!$B$17&gt;0),IF(ISNUMBER(INDEX($Q:$Q,Settings!$B$17)),(Q759-INDEX($Q:$Q,Settings!$B$17))*100,NA()),NA())</f>
        <v/>
      </c>
      <c r="V759" s="20">
        <f>IF(AND(ISNUMBER(R759),Settings!$B$17&gt;0),IF(ISNUMBER(INDEX($R:$R,Settings!$B$17)),(R759-INDEX($R:$R,Settings!$B$17))*100,NA()),NA())</f>
        <v/>
      </c>
      <c r="W759" s="20">
        <f>IF(AND(ISNUMBER(P759),Settings!$B$17&gt;0),IF(ISNUMBER(INDEX($P:$P,Settings!$B$17)),P759-INDEX($P:$P,Settings!$B$17),NA()),NA())</f>
        <v/>
      </c>
      <c r="X759" s="19">
        <f>IF(NOT(ISNUMBER($A759)),NA(),IF(OR($A759&lt;MIN(DKW_10Y!$A$2:$A$2918),$A759&gt;MAX(DKW_10Y!$A$2:$A$2918),Settings!$B$16&lt;MIN(DKW_10Y!$A$2:$A$2918)),NA(),(INDEX(DKW_10Y!$B$2:$B$2918,MATCH($A759,DKW_10Y!$A$2:$A$2918,1))-INDEX(DKW_10Y!$B$2:$B$2918,MATCH(Settings!$B$16,DKW_10Y!$A$2:$A$2918,1)))*100))</f>
        <v/>
      </c>
      <c r="Y759" s="19">
        <f>IF(NOT(ISNUMBER($A759)),NA(),IF(OR($A759&lt;MIN(DKW_10Y!$A$2:$A$2918),$A759&gt;MAX(DKW_10Y!$A$2:$A$2918),Settings!$B$16&lt;MIN(DKW_10Y!$A$2:$A$2918)),NA(),(INDEX(DKW_10Y!$C$2:$C$2918,MATCH($A759,DKW_10Y!$A$2:$A$2918,1))-INDEX(DKW_10Y!$C$2:$C$2918,MATCH(Settings!$B$16,DKW_10Y!$A$2:$A$2918,1)))*100))</f>
        <v/>
      </c>
      <c r="Z759" s="19">
        <f>IF(NOT(ISNUMBER($A759)),NA(),IF(OR($A759&lt;MIN(DKW_10Y!$A$2:$A$2918),$A759&gt;MAX(DKW_10Y!$A$2:$A$2918),Settings!$B$16&lt;MIN(DKW_10Y!$A$2:$A$2918)),NA(),(INDEX(DKW_10Y!$D$2:$D$2918,MATCH($A759,DKW_10Y!$A$2:$A$2918,1))-INDEX(DKW_10Y!$D$2:$D$2918,MATCH(Settings!$B$16,DKW_10Y!$A$2:$A$2918,1)))*100))</f>
        <v/>
      </c>
      <c r="AA759" s="19">
        <f>IF(NOT(ISNUMBER($A759)),NA(),IF(OR($A759&lt;MIN(DKW_10Y!$A$2:$A$2918),$A759&gt;MAX(DKW_10Y!$A$2:$A$2918),Settings!$B$16&lt;MIN(DKW_10Y!$A$2:$A$2918)),NA(),(INDEX(DKW_10Y!$E$2:$E$2918,MATCH($A759,DKW_10Y!$A$2:$A$2918,1))-INDEX(DKW_10Y!$E$2:$E$2918,MATCH(Settings!$B$16,DKW_10Y!$A$2:$A$2918,1)))*100))</f>
        <v/>
      </c>
      <c r="AB759" s="19">
        <f>IF(NOT(ISNUMBER($A759)),NA(),IF(OR($A759&lt;MIN(DKW_10Y!$A$2:$A$2918),$A759&gt;MAX(DKW_10Y!$A$2:$A$2918),Settings!$B$16&lt;MIN(DKW_10Y!$A$2:$A$2918)),NA(),(INDEX(DKW_10Y!$H$2:$H$2918,MATCH($A759,DKW_10Y!$A$2:$A$2918,1))-INDEX(DKW_10Y!$H$2:$H$2918,MATCH(Settings!$B$16,DKW_10Y!$A$2:$A$2918,1)))*100))</f>
        <v/>
      </c>
      <c r="AC759" s="18">
        <f>IF(NOT(ISNUMBER($A759)),NA(),IFERROR(1*INDEX(BBG_Data!$N$2:$N$4000,MATCH($A759,BBG_Data!$M$2:$M$4000,0)),NA()))</f>
        <v/>
      </c>
      <c r="AD759" s="18">
        <f>IF(NOT(ISNUMBER($A759)),NA(),IFERROR(1*INDEX(BBG_Data!$P$2:$P$4000,MATCH($A759,BBG_Data!$O$2:$O$4000,0)),NA()))</f>
        <v/>
      </c>
      <c r="AE759" s="18">
        <f>IF(NOT(ISNUMBER($A759)),NA(),IFERROR(1*INDEX(BBG_Data!$R$2:$R$4000,MATCH($A759,BBG_Data!$Q$2:$Q$4000,0)),NA()))</f>
        <v/>
      </c>
      <c r="AF759" s="20">
        <f>IF(AND(ISNUMBER(B759),ISNUMBER(AC759)),(B759-AC759)*100,NA())</f>
        <v/>
      </c>
      <c r="AG759" s="20">
        <f>IF(AND(ISNUMBER(AE759),ISNUMBER(AD759)),(AE759-AD759)*100,NA())</f>
        <v/>
      </c>
      <c r="AH759" s="19">
        <f>IF(NOT(ISNUMBER($A759)),NA(),IFERROR(INDEX(BBG_Data!$T$2:$T$4000,MATCH($A759,BBG_Data!$S$2:$S$4000,0))*Settings!$B$25,NA()))</f>
        <v/>
      </c>
      <c r="AI759" s="19">
        <f>IF(NOT(ISNUMBER($A759)),NA(),IFERROR(INDEX(BBG_Data!$V$2:$V$4000,MATCH($A759,BBG_Data!$U$2:$U$4000,0))*Settings!$B$25,NA()))</f>
        <v/>
      </c>
      <c r="AJ759" s="19">
        <f>IF(NOT(ISNUMBER($A759)),NA(),IFERROR(1*INDEX(BBG_Data!$X$2:$X$4000,MATCH($A759,BBG_Data!$W$2:$W$4000,0)),NA()))</f>
        <v/>
      </c>
      <c r="AK759" s="19">
        <f>IF(NOT(ISNUMBER($A759)),NA(),IFERROR(1*INDEX(BBG_Data!$Z$2:$Z$4000,MATCH($A759,BBG_Data!$Y$2:$Y$4000,0)),NA()))</f>
        <v/>
      </c>
    </row>
    <row r="760">
      <c r="A760" s="17">
        <f>IF(ISNUMBER(BBG_Data!A760),BBG_Data!A760,"")</f>
        <v/>
      </c>
      <c r="B760" s="18">
        <f>IF(AND(ISNUMBER($A760),ISNUMBER(BBG_Data!B760)),BBG_Data!B760,NA())</f>
        <v/>
      </c>
      <c r="C760" s="18">
        <f>IF(NOT(ISNUMBER($A760)),NA(),IFERROR(1*INDEX(BBG_Data!$D$2:$D$4000,MATCH($A760,BBG_Data!$C$2:$C$4000,0)),NA()))</f>
        <v/>
      </c>
      <c r="D760" s="19">
        <f>IF(NOT(ISNUMBER($A760)),NA(),IFERROR(1*INDEX(BBG_Data!$F$2:$F$4000,MATCH($A760,BBG_Data!$E$2:$E$4000,0)),NA()))</f>
        <v/>
      </c>
      <c r="E760" s="19">
        <f>IF(NOT(ISNUMBER($A760)),NA(),IFERROR(1*INDEX(BBG_Data!$H$2:$H$4000,MATCH($A760,BBG_Data!$G$2:$G$4000,0)),NA()))</f>
        <v/>
      </c>
      <c r="F760" s="20">
        <f>IF(AND(ISNUMBER(B760),ISNUMBER(B759)),IF(B760=B759,"",(B760-B759)*100),"")</f>
        <v/>
      </c>
      <c r="G760" s="20">
        <f>IF(AND(ISNUMBER(C760),ISNUMBER(C759)),IF(C760=C759,"",(C760-C759)*100),"")</f>
        <v/>
      </c>
      <c r="H760" s="20">
        <f>IF(OR(NOT(ISNUMBER($A760)),ROW()-2&lt;Settings!$B$11),NA(),IF(COUNT(OFFSET(F760,1-Settings!$B$11,0,Settings!$B$11,1))&lt;ROUNDUP(Settings!$B$11*Settings!$B$26,0),NA(),STDEV(OFFSET(F760,1-Settings!$B$11,0,Settings!$B$11,1))*SQRT(Settings!$B$13)))</f>
        <v/>
      </c>
      <c r="I760" s="20">
        <f>IF(OR(NOT(ISNUMBER($A760)),ROW()-2&lt;Settings!$B$12),NA(),IF(COUNT(OFFSET(F760,1-Settings!$B$12,0,Settings!$B$12,1))&lt;ROUNDUP(Settings!$B$12*Settings!$B$26,0),NA(),STDEV(OFFSET(F760,1-Settings!$B$12,0,Settings!$B$12,1))*SQRT(Settings!$B$13)))</f>
        <v/>
      </c>
      <c r="J760" s="20">
        <f>IF(OR(NOT(ISNUMBER($A760)),ROW()-2&lt;Settings!$B$11),NA(),IF(COUNT(OFFSET(G760,1-Settings!$B$11,0,Settings!$B$11,1))&lt;ROUNDUP(Settings!$B$11*Settings!$B$26,0),NA(),STDEV(OFFSET(G760,1-Settings!$B$11,0,Settings!$B$11,1))*SQRT(Settings!$B$13)))</f>
        <v/>
      </c>
      <c r="K760" s="20">
        <f>IF(OR(NOT(ISNUMBER($A760)),ROW()-2&lt;Settings!$B$12),NA(),IF(COUNT(OFFSET(G760,1-Settings!$B$12,0,Settings!$B$12,1))&lt;ROUNDUP(Settings!$B$12*Settings!$B$26,0),NA(),STDEV(OFFSET(G760,1-Settings!$B$12,0,Settings!$B$12,1))*SQRT(Settings!$B$13)))</f>
        <v/>
      </c>
      <c r="L760" s="20">
        <f>IF(AND(ISNUMBER(D760),ISNUMBER(H760)),D760-H760,NA())</f>
        <v/>
      </c>
      <c r="M760" s="20">
        <f>IF(AND(ISNUMBER(E760),ISNUMBER(K760)),E760-K760,NA())</f>
        <v/>
      </c>
      <c r="N760" s="20">
        <f>IF(NOT(ISNUMBER($A760)),NA(),IF(COUNT(OFFSET(G760,1,0,Settings!$B$12,1))&lt;ROUNDUP(Settings!$B$12*Settings!$B$26,0),NA(),STDEV(OFFSET(G760,1,0,Settings!$B$12,1))*SQRT(Settings!$B$13)))</f>
        <v/>
      </c>
      <c r="O760" s="20">
        <f>IF(AND(ISNUMBER(E760),ISNUMBER(N760)),E760-N760,NA())</f>
        <v/>
      </c>
      <c r="P760" s="19">
        <f>IF(NOT(ISNUMBER($A760)),NA(),IF(OR($A760&lt;MIN(KW_TP!$A$2:$A$2501),$A760&gt;MAX(KW_TP!$A$2:$A$2501)),NA(),INDEX(KW_TP!$C$2:$C$2501,MATCH($A760,KW_TP!$A$2:$A$2501,1))))</f>
        <v/>
      </c>
      <c r="Q760" s="18">
        <f>IF(NOT(ISNUMBER($A760)),NA(),IFERROR(1*INDEX(BBG_Data!$J$2:$J$4000,MATCH($A760,BBG_Data!$I$2:$I$4000,0)),NA()))</f>
        <v/>
      </c>
      <c r="R760" s="18">
        <f>IF(NOT(ISNUMBER($A760)),NA(),IFERROR(1*INDEX(BBG_Data!$L$2:$L$4000,MATCH($A760,BBG_Data!$K$2:$K$4000,0)),NA()))</f>
        <v/>
      </c>
      <c r="S760" s="20">
        <f>IF(AND(ISNUMBER(B760),ISNUMBER(Q760),ISNUMBER(R760)),(B760-Q760-R760)*100,NA())</f>
        <v/>
      </c>
      <c r="T760" s="20">
        <f>IF(AND(ISNUMBER(B760),Settings!$B$17&gt;0),IF(ISNUMBER(INDEX($B:$B,Settings!$B$17)),(B760-INDEX($B:$B,Settings!$B$17))*100,NA()),NA())</f>
        <v/>
      </c>
      <c r="U760" s="20">
        <f>IF(AND(ISNUMBER(Q760),Settings!$B$17&gt;0),IF(ISNUMBER(INDEX($Q:$Q,Settings!$B$17)),(Q760-INDEX($Q:$Q,Settings!$B$17))*100,NA()),NA())</f>
        <v/>
      </c>
      <c r="V760" s="20">
        <f>IF(AND(ISNUMBER(R760),Settings!$B$17&gt;0),IF(ISNUMBER(INDEX($R:$R,Settings!$B$17)),(R760-INDEX($R:$R,Settings!$B$17))*100,NA()),NA())</f>
        <v/>
      </c>
      <c r="W760" s="20">
        <f>IF(AND(ISNUMBER(P760),Settings!$B$17&gt;0),IF(ISNUMBER(INDEX($P:$P,Settings!$B$17)),P760-INDEX($P:$P,Settings!$B$17),NA()),NA())</f>
        <v/>
      </c>
      <c r="X760" s="19">
        <f>IF(NOT(ISNUMBER($A760)),NA(),IF(OR($A760&lt;MIN(DKW_10Y!$A$2:$A$2918),$A760&gt;MAX(DKW_10Y!$A$2:$A$2918),Settings!$B$16&lt;MIN(DKW_10Y!$A$2:$A$2918)),NA(),(INDEX(DKW_10Y!$B$2:$B$2918,MATCH($A760,DKW_10Y!$A$2:$A$2918,1))-INDEX(DKW_10Y!$B$2:$B$2918,MATCH(Settings!$B$16,DKW_10Y!$A$2:$A$2918,1)))*100))</f>
        <v/>
      </c>
      <c r="Y760" s="19">
        <f>IF(NOT(ISNUMBER($A760)),NA(),IF(OR($A760&lt;MIN(DKW_10Y!$A$2:$A$2918),$A760&gt;MAX(DKW_10Y!$A$2:$A$2918),Settings!$B$16&lt;MIN(DKW_10Y!$A$2:$A$2918)),NA(),(INDEX(DKW_10Y!$C$2:$C$2918,MATCH($A760,DKW_10Y!$A$2:$A$2918,1))-INDEX(DKW_10Y!$C$2:$C$2918,MATCH(Settings!$B$16,DKW_10Y!$A$2:$A$2918,1)))*100))</f>
        <v/>
      </c>
      <c r="Z760" s="19">
        <f>IF(NOT(ISNUMBER($A760)),NA(),IF(OR($A760&lt;MIN(DKW_10Y!$A$2:$A$2918),$A760&gt;MAX(DKW_10Y!$A$2:$A$2918),Settings!$B$16&lt;MIN(DKW_10Y!$A$2:$A$2918)),NA(),(INDEX(DKW_10Y!$D$2:$D$2918,MATCH($A760,DKW_10Y!$A$2:$A$2918,1))-INDEX(DKW_10Y!$D$2:$D$2918,MATCH(Settings!$B$16,DKW_10Y!$A$2:$A$2918,1)))*100))</f>
        <v/>
      </c>
      <c r="AA760" s="19">
        <f>IF(NOT(ISNUMBER($A760)),NA(),IF(OR($A760&lt;MIN(DKW_10Y!$A$2:$A$2918),$A760&gt;MAX(DKW_10Y!$A$2:$A$2918),Settings!$B$16&lt;MIN(DKW_10Y!$A$2:$A$2918)),NA(),(INDEX(DKW_10Y!$E$2:$E$2918,MATCH($A760,DKW_10Y!$A$2:$A$2918,1))-INDEX(DKW_10Y!$E$2:$E$2918,MATCH(Settings!$B$16,DKW_10Y!$A$2:$A$2918,1)))*100))</f>
        <v/>
      </c>
      <c r="AB760" s="19">
        <f>IF(NOT(ISNUMBER($A760)),NA(),IF(OR($A760&lt;MIN(DKW_10Y!$A$2:$A$2918),$A760&gt;MAX(DKW_10Y!$A$2:$A$2918),Settings!$B$16&lt;MIN(DKW_10Y!$A$2:$A$2918)),NA(),(INDEX(DKW_10Y!$H$2:$H$2918,MATCH($A760,DKW_10Y!$A$2:$A$2918,1))-INDEX(DKW_10Y!$H$2:$H$2918,MATCH(Settings!$B$16,DKW_10Y!$A$2:$A$2918,1)))*100))</f>
        <v/>
      </c>
      <c r="AC760" s="18">
        <f>IF(NOT(ISNUMBER($A760)),NA(),IFERROR(1*INDEX(BBG_Data!$N$2:$N$4000,MATCH($A760,BBG_Data!$M$2:$M$4000,0)),NA()))</f>
        <v/>
      </c>
      <c r="AD760" s="18">
        <f>IF(NOT(ISNUMBER($A760)),NA(),IFERROR(1*INDEX(BBG_Data!$P$2:$P$4000,MATCH($A760,BBG_Data!$O$2:$O$4000,0)),NA()))</f>
        <v/>
      </c>
      <c r="AE760" s="18">
        <f>IF(NOT(ISNUMBER($A760)),NA(),IFERROR(1*INDEX(BBG_Data!$R$2:$R$4000,MATCH($A760,BBG_Data!$Q$2:$Q$4000,0)),NA()))</f>
        <v/>
      </c>
      <c r="AF760" s="20">
        <f>IF(AND(ISNUMBER(B760),ISNUMBER(AC760)),(B760-AC760)*100,NA())</f>
        <v/>
      </c>
      <c r="AG760" s="20">
        <f>IF(AND(ISNUMBER(AE760),ISNUMBER(AD760)),(AE760-AD760)*100,NA())</f>
        <v/>
      </c>
      <c r="AH760" s="19">
        <f>IF(NOT(ISNUMBER($A760)),NA(),IFERROR(INDEX(BBG_Data!$T$2:$T$4000,MATCH($A760,BBG_Data!$S$2:$S$4000,0))*Settings!$B$25,NA()))</f>
        <v/>
      </c>
      <c r="AI760" s="19">
        <f>IF(NOT(ISNUMBER($A760)),NA(),IFERROR(INDEX(BBG_Data!$V$2:$V$4000,MATCH($A760,BBG_Data!$U$2:$U$4000,0))*Settings!$B$25,NA()))</f>
        <v/>
      </c>
      <c r="AJ760" s="19">
        <f>IF(NOT(ISNUMBER($A760)),NA(),IFERROR(1*INDEX(BBG_Data!$X$2:$X$4000,MATCH($A760,BBG_Data!$W$2:$W$4000,0)),NA()))</f>
        <v/>
      </c>
      <c r="AK760" s="19">
        <f>IF(NOT(ISNUMBER($A760)),NA(),IFERROR(1*INDEX(BBG_Data!$Z$2:$Z$4000,MATCH($A760,BBG_Data!$Y$2:$Y$4000,0)),NA()))</f>
        <v/>
      </c>
    </row>
    <row r="761">
      <c r="A761" s="17">
        <f>IF(ISNUMBER(BBG_Data!A761),BBG_Data!A761,"")</f>
        <v/>
      </c>
      <c r="B761" s="18">
        <f>IF(AND(ISNUMBER($A761),ISNUMBER(BBG_Data!B761)),BBG_Data!B761,NA())</f>
        <v/>
      </c>
      <c r="C761" s="18">
        <f>IF(NOT(ISNUMBER($A761)),NA(),IFERROR(1*INDEX(BBG_Data!$D$2:$D$4000,MATCH($A761,BBG_Data!$C$2:$C$4000,0)),NA()))</f>
        <v/>
      </c>
      <c r="D761" s="19">
        <f>IF(NOT(ISNUMBER($A761)),NA(),IFERROR(1*INDEX(BBG_Data!$F$2:$F$4000,MATCH($A761,BBG_Data!$E$2:$E$4000,0)),NA()))</f>
        <v/>
      </c>
      <c r="E761" s="19">
        <f>IF(NOT(ISNUMBER($A761)),NA(),IFERROR(1*INDEX(BBG_Data!$H$2:$H$4000,MATCH($A761,BBG_Data!$G$2:$G$4000,0)),NA()))</f>
        <v/>
      </c>
      <c r="F761" s="20">
        <f>IF(AND(ISNUMBER(B761),ISNUMBER(B760)),IF(B761=B760,"",(B761-B760)*100),"")</f>
        <v/>
      </c>
      <c r="G761" s="20">
        <f>IF(AND(ISNUMBER(C761),ISNUMBER(C760)),IF(C761=C760,"",(C761-C760)*100),"")</f>
        <v/>
      </c>
      <c r="H761" s="20">
        <f>IF(OR(NOT(ISNUMBER($A761)),ROW()-2&lt;Settings!$B$11),NA(),IF(COUNT(OFFSET(F761,1-Settings!$B$11,0,Settings!$B$11,1))&lt;ROUNDUP(Settings!$B$11*Settings!$B$26,0),NA(),STDEV(OFFSET(F761,1-Settings!$B$11,0,Settings!$B$11,1))*SQRT(Settings!$B$13)))</f>
        <v/>
      </c>
      <c r="I761" s="20">
        <f>IF(OR(NOT(ISNUMBER($A761)),ROW()-2&lt;Settings!$B$12),NA(),IF(COUNT(OFFSET(F761,1-Settings!$B$12,0,Settings!$B$12,1))&lt;ROUNDUP(Settings!$B$12*Settings!$B$26,0),NA(),STDEV(OFFSET(F761,1-Settings!$B$12,0,Settings!$B$12,1))*SQRT(Settings!$B$13)))</f>
        <v/>
      </c>
      <c r="J761" s="20">
        <f>IF(OR(NOT(ISNUMBER($A761)),ROW()-2&lt;Settings!$B$11),NA(),IF(COUNT(OFFSET(G761,1-Settings!$B$11,0,Settings!$B$11,1))&lt;ROUNDUP(Settings!$B$11*Settings!$B$26,0),NA(),STDEV(OFFSET(G761,1-Settings!$B$11,0,Settings!$B$11,1))*SQRT(Settings!$B$13)))</f>
        <v/>
      </c>
      <c r="K761" s="20">
        <f>IF(OR(NOT(ISNUMBER($A761)),ROW()-2&lt;Settings!$B$12),NA(),IF(COUNT(OFFSET(G761,1-Settings!$B$12,0,Settings!$B$12,1))&lt;ROUNDUP(Settings!$B$12*Settings!$B$26,0),NA(),STDEV(OFFSET(G761,1-Settings!$B$12,0,Settings!$B$12,1))*SQRT(Settings!$B$13)))</f>
        <v/>
      </c>
      <c r="L761" s="20">
        <f>IF(AND(ISNUMBER(D761),ISNUMBER(H761)),D761-H761,NA())</f>
        <v/>
      </c>
      <c r="M761" s="20">
        <f>IF(AND(ISNUMBER(E761),ISNUMBER(K761)),E761-K761,NA())</f>
        <v/>
      </c>
      <c r="N761" s="20">
        <f>IF(NOT(ISNUMBER($A761)),NA(),IF(COUNT(OFFSET(G761,1,0,Settings!$B$12,1))&lt;ROUNDUP(Settings!$B$12*Settings!$B$26,0),NA(),STDEV(OFFSET(G761,1,0,Settings!$B$12,1))*SQRT(Settings!$B$13)))</f>
        <v/>
      </c>
      <c r="O761" s="20">
        <f>IF(AND(ISNUMBER(E761),ISNUMBER(N761)),E761-N761,NA())</f>
        <v/>
      </c>
      <c r="P761" s="19">
        <f>IF(NOT(ISNUMBER($A761)),NA(),IF(OR($A761&lt;MIN(KW_TP!$A$2:$A$2501),$A761&gt;MAX(KW_TP!$A$2:$A$2501)),NA(),INDEX(KW_TP!$C$2:$C$2501,MATCH($A761,KW_TP!$A$2:$A$2501,1))))</f>
        <v/>
      </c>
      <c r="Q761" s="18">
        <f>IF(NOT(ISNUMBER($A761)),NA(),IFERROR(1*INDEX(BBG_Data!$J$2:$J$4000,MATCH($A761,BBG_Data!$I$2:$I$4000,0)),NA()))</f>
        <v/>
      </c>
      <c r="R761" s="18">
        <f>IF(NOT(ISNUMBER($A761)),NA(),IFERROR(1*INDEX(BBG_Data!$L$2:$L$4000,MATCH($A761,BBG_Data!$K$2:$K$4000,0)),NA()))</f>
        <v/>
      </c>
      <c r="S761" s="20">
        <f>IF(AND(ISNUMBER(B761),ISNUMBER(Q761),ISNUMBER(R761)),(B761-Q761-R761)*100,NA())</f>
        <v/>
      </c>
      <c r="T761" s="20">
        <f>IF(AND(ISNUMBER(B761),Settings!$B$17&gt;0),IF(ISNUMBER(INDEX($B:$B,Settings!$B$17)),(B761-INDEX($B:$B,Settings!$B$17))*100,NA()),NA())</f>
        <v/>
      </c>
      <c r="U761" s="20">
        <f>IF(AND(ISNUMBER(Q761),Settings!$B$17&gt;0),IF(ISNUMBER(INDEX($Q:$Q,Settings!$B$17)),(Q761-INDEX($Q:$Q,Settings!$B$17))*100,NA()),NA())</f>
        <v/>
      </c>
      <c r="V761" s="20">
        <f>IF(AND(ISNUMBER(R761),Settings!$B$17&gt;0),IF(ISNUMBER(INDEX($R:$R,Settings!$B$17)),(R761-INDEX($R:$R,Settings!$B$17))*100,NA()),NA())</f>
        <v/>
      </c>
      <c r="W761" s="20">
        <f>IF(AND(ISNUMBER(P761),Settings!$B$17&gt;0),IF(ISNUMBER(INDEX($P:$P,Settings!$B$17)),P761-INDEX($P:$P,Settings!$B$17),NA()),NA())</f>
        <v/>
      </c>
      <c r="X761" s="19">
        <f>IF(NOT(ISNUMBER($A761)),NA(),IF(OR($A761&lt;MIN(DKW_10Y!$A$2:$A$2918),$A761&gt;MAX(DKW_10Y!$A$2:$A$2918),Settings!$B$16&lt;MIN(DKW_10Y!$A$2:$A$2918)),NA(),(INDEX(DKW_10Y!$B$2:$B$2918,MATCH($A761,DKW_10Y!$A$2:$A$2918,1))-INDEX(DKW_10Y!$B$2:$B$2918,MATCH(Settings!$B$16,DKW_10Y!$A$2:$A$2918,1)))*100))</f>
        <v/>
      </c>
      <c r="Y761" s="19">
        <f>IF(NOT(ISNUMBER($A761)),NA(),IF(OR($A761&lt;MIN(DKW_10Y!$A$2:$A$2918),$A761&gt;MAX(DKW_10Y!$A$2:$A$2918),Settings!$B$16&lt;MIN(DKW_10Y!$A$2:$A$2918)),NA(),(INDEX(DKW_10Y!$C$2:$C$2918,MATCH($A761,DKW_10Y!$A$2:$A$2918,1))-INDEX(DKW_10Y!$C$2:$C$2918,MATCH(Settings!$B$16,DKW_10Y!$A$2:$A$2918,1)))*100))</f>
        <v/>
      </c>
      <c r="Z761" s="19">
        <f>IF(NOT(ISNUMBER($A761)),NA(),IF(OR($A761&lt;MIN(DKW_10Y!$A$2:$A$2918),$A761&gt;MAX(DKW_10Y!$A$2:$A$2918),Settings!$B$16&lt;MIN(DKW_10Y!$A$2:$A$2918)),NA(),(INDEX(DKW_10Y!$D$2:$D$2918,MATCH($A761,DKW_10Y!$A$2:$A$2918,1))-INDEX(DKW_10Y!$D$2:$D$2918,MATCH(Settings!$B$16,DKW_10Y!$A$2:$A$2918,1)))*100))</f>
        <v/>
      </c>
      <c r="AA761" s="19">
        <f>IF(NOT(ISNUMBER($A761)),NA(),IF(OR($A761&lt;MIN(DKW_10Y!$A$2:$A$2918),$A761&gt;MAX(DKW_10Y!$A$2:$A$2918),Settings!$B$16&lt;MIN(DKW_10Y!$A$2:$A$2918)),NA(),(INDEX(DKW_10Y!$E$2:$E$2918,MATCH($A761,DKW_10Y!$A$2:$A$2918,1))-INDEX(DKW_10Y!$E$2:$E$2918,MATCH(Settings!$B$16,DKW_10Y!$A$2:$A$2918,1)))*100))</f>
        <v/>
      </c>
      <c r="AB761" s="19">
        <f>IF(NOT(ISNUMBER($A761)),NA(),IF(OR($A761&lt;MIN(DKW_10Y!$A$2:$A$2918),$A761&gt;MAX(DKW_10Y!$A$2:$A$2918),Settings!$B$16&lt;MIN(DKW_10Y!$A$2:$A$2918)),NA(),(INDEX(DKW_10Y!$H$2:$H$2918,MATCH($A761,DKW_10Y!$A$2:$A$2918,1))-INDEX(DKW_10Y!$H$2:$H$2918,MATCH(Settings!$B$16,DKW_10Y!$A$2:$A$2918,1)))*100))</f>
        <v/>
      </c>
      <c r="AC761" s="18">
        <f>IF(NOT(ISNUMBER($A761)),NA(),IFERROR(1*INDEX(BBG_Data!$N$2:$N$4000,MATCH($A761,BBG_Data!$M$2:$M$4000,0)),NA()))</f>
        <v/>
      </c>
      <c r="AD761" s="18">
        <f>IF(NOT(ISNUMBER($A761)),NA(),IFERROR(1*INDEX(BBG_Data!$P$2:$P$4000,MATCH($A761,BBG_Data!$O$2:$O$4000,0)),NA()))</f>
        <v/>
      </c>
      <c r="AE761" s="18">
        <f>IF(NOT(ISNUMBER($A761)),NA(),IFERROR(1*INDEX(BBG_Data!$R$2:$R$4000,MATCH($A761,BBG_Data!$Q$2:$Q$4000,0)),NA()))</f>
        <v/>
      </c>
      <c r="AF761" s="20">
        <f>IF(AND(ISNUMBER(B761),ISNUMBER(AC761)),(B761-AC761)*100,NA())</f>
        <v/>
      </c>
      <c r="AG761" s="20">
        <f>IF(AND(ISNUMBER(AE761),ISNUMBER(AD761)),(AE761-AD761)*100,NA())</f>
        <v/>
      </c>
      <c r="AH761" s="19">
        <f>IF(NOT(ISNUMBER($A761)),NA(),IFERROR(INDEX(BBG_Data!$T$2:$T$4000,MATCH($A761,BBG_Data!$S$2:$S$4000,0))*Settings!$B$25,NA()))</f>
        <v/>
      </c>
      <c r="AI761" s="19">
        <f>IF(NOT(ISNUMBER($A761)),NA(),IFERROR(INDEX(BBG_Data!$V$2:$V$4000,MATCH($A761,BBG_Data!$U$2:$U$4000,0))*Settings!$B$25,NA()))</f>
        <v/>
      </c>
      <c r="AJ761" s="19">
        <f>IF(NOT(ISNUMBER($A761)),NA(),IFERROR(1*INDEX(BBG_Data!$X$2:$X$4000,MATCH($A761,BBG_Data!$W$2:$W$4000,0)),NA()))</f>
        <v/>
      </c>
      <c r="AK761" s="19">
        <f>IF(NOT(ISNUMBER($A761)),NA(),IFERROR(1*INDEX(BBG_Data!$Z$2:$Z$4000,MATCH($A761,BBG_Data!$Y$2:$Y$4000,0)),NA()))</f>
        <v/>
      </c>
    </row>
    <row r="762">
      <c r="A762" s="17">
        <f>IF(ISNUMBER(BBG_Data!A762),BBG_Data!A762,"")</f>
        <v/>
      </c>
      <c r="B762" s="18">
        <f>IF(AND(ISNUMBER($A762),ISNUMBER(BBG_Data!B762)),BBG_Data!B762,NA())</f>
        <v/>
      </c>
      <c r="C762" s="18">
        <f>IF(NOT(ISNUMBER($A762)),NA(),IFERROR(1*INDEX(BBG_Data!$D$2:$D$4000,MATCH($A762,BBG_Data!$C$2:$C$4000,0)),NA()))</f>
        <v/>
      </c>
      <c r="D762" s="19">
        <f>IF(NOT(ISNUMBER($A762)),NA(),IFERROR(1*INDEX(BBG_Data!$F$2:$F$4000,MATCH($A762,BBG_Data!$E$2:$E$4000,0)),NA()))</f>
        <v/>
      </c>
      <c r="E762" s="19">
        <f>IF(NOT(ISNUMBER($A762)),NA(),IFERROR(1*INDEX(BBG_Data!$H$2:$H$4000,MATCH($A762,BBG_Data!$G$2:$G$4000,0)),NA()))</f>
        <v/>
      </c>
      <c r="F762" s="20">
        <f>IF(AND(ISNUMBER(B762),ISNUMBER(B761)),IF(B762=B761,"",(B762-B761)*100),"")</f>
        <v/>
      </c>
      <c r="G762" s="20">
        <f>IF(AND(ISNUMBER(C762),ISNUMBER(C761)),IF(C762=C761,"",(C762-C761)*100),"")</f>
        <v/>
      </c>
      <c r="H762" s="20">
        <f>IF(OR(NOT(ISNUMBER($A762)),ROW()-2&lt;Settings!$B$11),NA(),IF(COUNT(OFFSET(F762,1-Settings!$B$11,0,Settings!$B$11,1))&lt;ROUNDUP(Settings!$B$11*Settings!$B$26,0),NA(),STDEV(OFFSET(F762,1-Settings!$B$11,0,Settings!$B$11,1))*SQRT(Settings!$B$13)))</f>
        <v/>
      </c>
      <c r="I762" s="20">
        <f>IF(OR(NOT(ISNUMBER($A762)),ROW()-2&lt;Settings!$B$12),NA(),IF(COUNT(OFFSET(F762,1-Settings!$B$12,0,Settings!$B$12,1))&lt;ROUNDUP(Settings!$B$12*Settings!$B$26,0),NA(),STDEV(OFFSET(F762,1-Settings!$B$12,0,Settings!$B$12,1))*SQRT(Settings!$B$13)))</f>
        <v/>
      </c>
      <c r="J762" s="20">
        <f>IF(OR(NOT(ISNUMBER($A762)),ROW()-2&lt;Settings!$B$11),NA(),IF(COUNT(OFFSET(G762,1-Settings!$B$11,0,Settings!$B$11,1))&lt;ROUNDUP(Settings!$B$11*Settings!$B$26,0),NA(),STDEV(OFFSET(G762,1-Settings!$B$11,0,Settings!$B$11,1))*SQRT(Settings!$B$13)))</f>
        <v/>
      </c>
      <c r="K762" s="20">
        <f>IF(OR(NOT(ISNUMBER($A762)),ROW()-2&lt;Settings!$B$12),NA(),IF(COUNT(OFFSET(G762,1-Settings!$B$12,0,Settings!$B$12,1))&lt;ROUNDUP(Settings!$B$12*Settings!$B$26,0),NA(),STDEV(OFFSET(G762,1-Settings!$B$12,0,Settings!$B$12,1))*SQRT(Settings!$B$13)))</f>
        <v/>
      </c>
      <c r="L762" s="20">
        <f>IF(AND(ISNUMBER(D762),ISNUMBER(H762)),D762-H762,NA())</f>
        <v/>
      </c>
      <c r="M762" s="20">
        <f>IF(AND(ISNUMBER(E762),ISNUMBER(K762)),E762-K762,NA())</f>
        <v/>
      </c>
      <c r="N762" s="20">
        <f>IF(NOT(ISNUMBER($A762)),NA(),IF(COUNT(OFFSET(G762,1,0,Settings!$B$12,1))&lt;ROUNDUP(Settings!$B$12*Settings!$B$26,0),NA(),STDEV(OFFSET(G762,1,0,Settings!$B$12,1))*SQRT(Settings!$B$13)))</f>
        <v/>
      </c>
      <c r="O762" s="20">
        <f>IF(AND(ISNUMBER(E762),ISNUMBER(N762)),E762-N762,NA())</f>
        <v/>
      </c>
      <c r="P762" s="19">
        <f>IF(NOT(ISNUMBER($A762)),NA(),IF(OR($A762&lt;MIN(KW_TP!$A$2:$A$2501),$A762&gt;MAX(KW_TP!$A$2:$A$2501)),NA(),INDEX(KW_TP!$C$2:$C$2501,MATCH($A762,KW_TP!$A$2:$A$2501,1))))</f>
        <v/>
      </c>
      <c r="Q762" s="18">
        <f>IF(NOT(ISNUMBER($A762)),NA(),IFERROR(1*INDEX(BBG_Data!$J$2:$J$4000,MATCH($A762,BBG_Data!$I$2:$I$4000,0)),NA()))</f>
        <v/>
      </c>
      <c r="R762" s="18">
        <f>IF(NOT(ISNUMBER($A762)),NA(),IFERROR(1*INDEX(BBG_Data!$L$2:$L$4000,MATCH($A762,BBG_Data!$K$2:$K$4000,0)),NA()))</f>
        <v/>
      </c>
      <c r="S762" s="20">
        <f>IF(AND(ISNUMBER(B762),ISNUMBER(Q762),ISNUMBER(R762)),(B762-Q762-R762)*100,NA())</f>
        <v/>
      </c>
      <c r="T762" s="20">
        <f>IF(AND(ISNUMBER(B762),Settings!$B$17&gt;0),IF(ISNUMBER(INDEX($B:$B,Settings!$B$17)),(B762-INDEX($B:$B,Settings!$B$17))*100,NA()),NA())</f>
        <v/>
      </c>
      <c r="U762" s="20">
        <f>IF(AND(ISNUMBER(Q762),Settings!$B$17&gt;0),IF(ISNUMBER(INDEX($Q:$Q,Settings!$B$17)),(Q762-INDEX($Q:$Q,Settings!$B$17))*100,NA()),NA())</f>
        <v/>
      </c>
      <c r="V762" s="20">
        <f>IF(AND(ISNUMBER(R762),Settings!$B$17&gt;0),IF(ISNUMBER(INDEX($R:$R,Settings!$B$17)),(R762-INDEX($R:$R,Settings!$B$17))*100,NA()),NA())</f>
        <v/>
      </c>
      <c r="W762" s="20">
        <f>IF(AND(ISNUMBER(P762),Settings!$B$17&gt;0),IF(ISNUMBER(INDEX($P:$P,Settings!$B$17)),P762-INDEX($P:$P,Settings!$B$17),NA()),NA())</f>
        <v/>
      </c>
      <c r="X762" s="19">
        <f>IF(NOT(ISNUMBER($A762)),NA(),IF(OR($A762&lt;MIN(DKW_10Y!$A$2:$A$2918),$A762&gt;MAX(DKW_10Y!$A$2:$A$2918),Settings!$B$16&lt;MIN(DKW_10Y!$A$2:$A$2918)),NA(),(INDEX(DKW_10Y!$B$2:$B$2918,MATCH($A762,DKW_10Y!$A$2:$A$2918,1))-INDEX(DKW_10Y!$B$2:$B$2918,MATCH(Settings!$B$16,DKW_10Y!$A$2:$A$2918,1)))*100))</f>
        <v/>
      </c>
      <c r="Y762" s="19">
        <f>IF(NOT(ISNUMBER($A762)),NA(),IF(OR($A762&lt;MIN(DKW_10Y!$A$2:$A$2918),$A762&gt;MAX(DKW_10Y!$A$2:$A$2918),Settings!$B$16&lt;MIN(DKW_10Y!$A$2:$A$2918)),NA(),(INDEX(DKW_10Y!$C$2:$C$2918,MATCH($A762,DKW_10Y!$A$2:$A$2918,1))-INDEX(DKW_10Y!$C$2:$C$2918,MATCH(Settings!$B$16,DKW_10Y!$A$2:$A$2918,1)))*100))</f>
        <v/>
      </c>
      <c r="Z762" s="19">
        <f>IF(NOT(ISNUMBER($A762)),NA(),IF(OR($A762&lt;MIN(DKW_10Y!$A$2:$A$2918),$A762&gt;MAX(DKW_10Y!$A$2:$A$2918),Settings!$B$16&lt;MIN(DKW_10Y!$A$2:$A$2918)),NA(),(INDEX(DKW_10Y!$D$2:$D$2918,MATCH($A762,DKW_10Y!$A$2:$A$2918,1))-INDEX(DKW_10Y!$D$2:$D$2918,MATCH(Settings!$B$16,DKW_10Y!$A$2:$A$2918,1)))*100))</f>
        <v/>
      </c>
      <c r="AA762" s="19">
        <f>IF(NOT(ISNUMBER($A762)),NA(),IF(OR($A762&lt;MIN(DKW_10Y!$A$2:$A$2918),$A762&gt;MAX(DKW_10Y!$A$2:$A$2918),Settings!$B$16&lt;MIN(DKW_10Y!$A$2:$A$2918)),NA(),(INDEX(DKW_10Y!$E$2:$E$2918,MATCH($A762,DKW_10Y!$A$2:$A$2918,1))-INDEX(DKW_10Y!$E$2:$E$2918,MATCH(Settings!$B$16,DKW_10Y!$A$2:$A$2918,1)))*100))</f>
        <v/>
      </c>
      <c r="AB762" s="19">
        <f>IF(NOT(ISNUMBER($A762)),NA(),IF(OR($A762&lt;MIN(DKW_10Y!$A$2:$A$2918),$A762&gt;MAX(DKW_10Y!$A$2:$A$2918),Settings!$B$16&lt;MIN(DKW_10Y!$A$2:$A$2918)),NA(),(INDEX(DKW_10Y!$H$2:$H$2918,MATCH($A762,DKW_10Y!$A$2:$A$2918,1))-INDEX(DKW_10Y!$H$2:$H$2918,MATCH(Settings!$B$16,DKW_10Y!$A$2:$A$2918,1)))*100))</f>
        <v/>
      </c>
      <c r="AC762" s="18">
        <f>IF(NOT(ISNUMBER($A762)),NA(),IFERROR(1*INDEX(BBG_Data!$N$2:$N$4000,MATCH($A762,BBG_Data!$M$2:$M$4000,0)),NA()))</f>
        <v/>
      </c>
      <c r="AD762" s="18">
        <f>IF(NOT(ISNUMBER($A762)),NA(),IFERROR(1*INDEX(BBG_Data!$P$2:$P$4000,MATCH($A762,BBG_Data!$O$2:$O$4000,0)),NA()))</f>
        <v/>
      </c>
      <c r="AE762" s="18">
        <f>IF(NOT(ISNUMBER($A762)),NA(),IFERROR(1*INDEX(BBG_Data!$R$2:$R$4000,MATCH($A762,BBG_Data!$Q$2:$Q$4000,0)),NA()))</f>
        <v/>
      </c>
      <c r="AF762" s="20">
        <f>IF(AND(ISNUMBER(B762),ISNUMBER(AC762)),(B762-AC762)*100,NA())</f>
        <v/>
      </c>
      <c r="AG762" s="20">
        <f>IF(AND(ISNUMBER(AE762),ISNUMBER(AD762)),(AE762-AD762)*100,NA())</f>
        <v/>
      </c>
      <c r="AH762" s="19">
        <f>IF(NOT(ISNUMBER($A762)),NA(),IFERROR(INDEX(BBG_Data!$T$2:$T$4000,MATCH($A762,BBG_Data!$S$2:$S$4000,0))*Settings!$B$25,NA()))</f>
        <v/>
      </c>
      <c r="AI762" s="19">
        <f>IF(NOT(ISNUMBER($A762)),NA(),IFERROR(INDEX(BBG_Data!$V$2:$V$4000,MATCH($A762,BBG_Data!$U$2:$U$4000,0))*Settings!$B$25,NA()))</f>
        <v/>
      </c>
      <c r="AJ762" s="19">
        <f>IF(NOT(ISNUMBER($A762)),NA(),IFERROR(1*INDEX(BBG_Data!$X$2:$X$4000,MATCH($A762,BBG_Data!$W$2:$W$4000,0)),NA()))</f>
        <v/>
      </c>
      <c r="AK762" s="19">
        <f>IF(NOT(ISNUMBER($A762)),NA(),IFERROR(1*INDEX(BBG_Data!$Z$2:$Z$4000,MATCH($A762,BBG_Data!$Y$2:$Y$4000,0)),NA()))</f>
        <v/>
      </c>
    </row>
    <row r="763">
      <c r="A763" s="17">
        <f>IF(ISNUMBER(BBG_Data!A763),BBG_Data!A763,"")</f>
        <v/>
      </c>
      <c r="B763" s="18">
        <f>IF(AND(ISNUMBER($A763),ISNUMBER(BBG_Data!B763)),BBG_Data!B763,NA())</f>
        <v/>
      </c>
      <c r="C763" s="18">
        <f>IF(NOT(ISNUMBER($A763)),NA(),IFERROR(1*INDEX(BBG_Data!$D$2:$D$4000,MATCH($A763,BBG_Data!$C$2:$C$4000,0)),NA()))</f>
        <v/>
      </c>
      <c r="D763" s="19">
        <f>IF(NOT(ISNUMBER($A763)),NA(),IFERROR(1*INDEX(BBG_Data!$F$2:$F$4000,MATCH($A763,BBG_Data!$E$2:$E$4000,0)),NA()))</f>
        <v/>
      </c>
      <c r="E763" s="19">
        <f>IF(NOT(ISNUMBER($A763)),NA(),IFERROR(1*INDEX(BBG_Data!$H$2:$H$4000,MATCH($A763,BBG_Data!$G$2:$G$4000,0)),NA()))</f>
        <v/>
      </c>
      <c r="F763" s="20">
        <f>IF(AND(ISNUMBER(B763),ISNUMBER(B762)),IF(B763=B762,"",(B763-B762)*100),"")</f>
        <v/>
      </c>
      <c r="G763" s="20">
        <f>IF(AND(ISNUMBER(C763),ISNUMBER(C762)),IF(C763=C762,"",(C763-C762)*100),"")</f>
        <v/>
      </c>
      <c r="H763" s="20">
        <f>IF(OR(NOT(ISNUMBER($A763)),ROW()-2&lt;Settings!$B$11),NA(),IF(COUNT(OFFSET(F763,1-Settings!$B$11,0,Settings!$B$11,1))&lt;ROUNDUP(Settings!$B$11*Settings!$B$26,0),NA(),STDEV(OFFSET(F763,1-Settings!$B$11,0,Settings!$B$11,1))*SQRT(Settings!$B$13)))</f>
        <v/>
      </c>
      <c r="I763" s="20">
        <f>IF(OR(NOT(ISNUMBER($A763)),ROW()-2&lt;Settings!$B$12),NA(),IF(COUNT(OFFSET(F763,1-Settings!$B$12,0,Settings!$B$12,1))&lt;ROUNDUP(Settings!$B$12*Settings!$B$26,0),NA(),STDEV(OFFSET(F763,1-Settings!$B$12,0,Settings!$B$12,1))*SQRT(Settings!$B$13)))</f>
        <v/>
      </c>
      <c r="J763" s="20">
        <f>IF(OR(NOT(ISNUMBER($A763)),ROW()-2&lt;Settings!$B$11),NA(),IF(COUNT(OFFSET(G763,1-Settings!$B$11,0,Settings!$B$11,1))&lt;ROUNDUP(Settings!$B$11*Settings!$B$26,0),NA(),STDEV(OFFSET(G763,1-Settings!$B$11,0,Settings!$B$11,1))*SQRT(Settings!$B$13)))</f>
        <v/>
      </c>
      <c r="K763" s="20">
        <f>IF(OR(NOT(ISNUMBER($A763)),ROW()-2&lt;Settings!$B$12),NA(),IF(COUNT(OFFSET(G763,1-Settings!$B$12,0,Settings!$B$12,1))&lt;ROUNDUP(Settings!$B$12*Settings!$B$26,0),NA(),STDEV(OFFSET(G763,1-Settings!$B$12,0,Settings!$B$12,1))*SQRT(Settings!$B$13)))</f>
        <v/>
      </c>
      <c r="L763" s="20">
        <f>IF(AND(ISNUMBER(D763),ISNUMBER(H763)),D763-H763,NA())</f>
        <v/>
      </c>
      <c r="M763" s="20">
        <f>IF(AND(ISNUMBER(E763),ISNUMBER(K763)),E763-K763,NA())</f>
        <v/>
      </c>
      <c r="N763" s="20">
        <f>IF(NOT(ISNUMBER($A763)),NA(),IF(COUNT(OFFSET(G763,1,0,Settings!$B$12,1))&lt;ROUNDUP(Settings!$B$12*Settings!$B$26,0),NA(),STDEV(OFFSET(G763,1,0,Settings!$B$12,1))*SQRT(Settings!$B$13)))</f>
        <v/>
      </c>
      <c r="O763" s="20">
        <f>IF(AND(ISNUMBER(E763),ISNUMBER(N763)),E763-N763,NA())</f>
        <v/>
      </c>
      <c r="P763" s="19">
        <f>IF(NOT(ISNUMBER($A763)),NA(),IF(OR($A763&lt;MIN(KW_TP!$A$2:$A$2501),$A763&gt;MAX(KW_TP!$A$2:$A$2501)),NA(),INDEX(KW_TP!$C$2:$C$2501,MATCH($A763,KW_TP!$A$2:$A$2501,1))))</f>
        <v/>
      </c>
      <c r="Q763" s="18">
        <f>IF(NOT(ISNUMBER($A763)),NA(),IFERROR(1*INDEX(BBG_Data!$J$2:$J$4000,MATCH($A763,BBG_Data!$I$2:$I$4000,0)),NA()))</f>
        <v/>
      </c>
      <c r="R763" s="18">
        <f>IF(NOT(ISNUMBER($A763)),NA(),IFERROR(1*INDEX(BBG_Data!$L$2:$L$4000,MATCH($A763,BBG_Data!$K$2:$K$4000,0)),NA()))</f>
        <v/>
      </c>
      <c r="S763" s="20">
        <f>IF(AND(ISNUMBER(B763),ISNUMBER(Q763),ISNUMBER(R763)),(B763-Q763-R763)*100,NA())</f>
        <v/>
      </c>
      <c r="T763" s="20">
        <f>IF(AND(ISNUMBER(B763),Settings!$B$17&gt;0),IF(ISNUMBER(INDEX($B:$B,Settings!$B$17)),(B763-INDEX($B:$B,Settings!$B$17))*100,NA()),NA())</f>
        <v/>
      </c>
      <c r="U763" s="20">
        <f>IF(AND(ISNUMBER(Q763),Settings!$B$17&gt;0),IF(ISNUMBER(INDEX($Q:$Q,Settings!$B$17)),(Q763-INDEX($Q:$Q,Settings!$B$17))*100,NA()),NA())</f>
        <v/>
      </c>
      <c r="V763" s="20">
        <f>IF(AND(ISNUMBER(R763),Settings!$B$17&gt;0),IF(ISNUMBER(INDEX($R:$R,Settings!$B$17)),(R763-INDEX($R:$R,Settings!$B$17))*100,NA()),NA())</f>
        <v/>
      </c>
      <c r="W763" s="20">
        <f>IF(AND(ISNUMBER(P763),Settings!$B$17&gt;0),IF(ISNUMBER(INDEX($P:$P,Settings!$B$17)),P763-INDEX($P:$P,Settings!$B$17),NA()),NA())</f>
        <v/>
      </c>
      <c r="X763" s="19">
        <f>IF(NOT(ISNUMBER($A763)),NA(),IF(OR($A763&lt;MIN(DKW_10Y!$A$2:$A$2918),$A763&gt;MAX(DKW_10Y!$A$2:$A$2918),Settings!$B$16&lt;MIN(DKW_10Y!$A$2:$A$2918)),NA(),(INDEX(DKW_10Y!$B$2:$B$2918,MATCH($A763,DKW_10Y!$A$2:$A$2918,1))-INDEX(DKW_10Y!$B$2:$B$2918,MATCH(Settings!$B$16,DKW_10Y!$A$2:$A$2918,1)))*100))</f>
        <v/>
      </c>
      <c r="Y763" s="19">
        <f>IF(NOT(ISNUMBER($A763)),NA(),IF(OR($A763&lt;MIN(DKW_10Y!$A$2:$A$2918),$A763&gt;MAX(DKW_10Y!$A$2:$A$2918),Settings!$B$16&lt;MIN(DKW_10Y!$A$2:$A$2918)),NA(),(INDEX(DKW_10Y!$C$2:$C$2918,MATCH($A763,DKW_10Y!$A$2:$A$2918,1))-INDEX(DKW_10Y!$C$2:$C$2918,MATCH(Settings!$B$16,DKW_10Y!$A$2:$A$2918,1)))*100))</f>
        <v/>
      </c>
      <c r="Z763" s="19">
        <f>IF(NOT(ISNUMBER($A763)),NA(),IF(OR($A763&lt;MIN(DKW_10Y!$A$2:$A$2918),$A763&gt;MAX(DKW_10Y!$A$2:$A$2918),Settings!$B$16&lt;MIN(DKW_10Y!$A$2:$A$2918)),NA(),(INDEX(DKW_10Y!$D$2:$D$2918,MATCH($A763,DKW_10Y!$A$2:$A$2918,1))-INDEX(DKW_10Y!$D$2:$D$2918,MATCH(Settings!$B$16,DKW_10Y!$A$2:$A$2918,1)))*100))</f>
        <v/>
      </c>
      <c r="AA763" s="19">
        <f>IF(NOT(ISNUMBER($A763)),NA(),IF(OR($A763&lt;MIN(DKW_10Y!$A$2:$A$2918),$A763&gt;MAX(DKW_10Y!$A$2:$A$2918),Settings!$B$16&lt;MIN(DKW_10Y!$A$2:$A$2918)),NA(),(INDEX(DKW_10Y!$E$2:$E$2918,MATCH($A763,DKW_10Y!$A$2:$A$2918,1))-INDEX(DKW_10Y!$E$2:$E$2918,MATCH(Settings!$B$16,DKW_10Y!$A$2:$A$2918,1)))*100))</f>
        <v/>
      </c>
      <c r="AB763" s="19">
        <f>IF(NOT(ISNUMBER($A763)),NA(),IF(OR($A763&lt;MIN(DKW_10Y!$A$2:$A$2918),$A763&gt;MAX(DKW_10Y!$A$2:$A$2918),Settings!$B$16&lt;MIN(DKW_10Y!$A$2:$A$2918)),NA(),(INDEX(DKW_10Y!$H$2:$H$2918,MATCH($A763,DKW_10Y!$A$2:$A$2918,1))-INDEX(DKW_10Y!$H$2:$H$2918,MATCH(Settings!$B$16,DKW_10Y!$A$2:$A$2918,1)))*100))</f>
        <v/>
      </c>
      <c r="AC763" s="18">
        <f>IF(NOT(ISNUMBER($A763)),NA(),IFERROR(1*INDEX(BBG_Data!$N$2:$N$4000,MATCH($A763,BBG_Data!$M$2:$M$4000,0)),NA()))</f>
        <v/>
      </c>
      <c r="AD763" s="18">
        <f>IF(NOT(ISNUMBER($A763)),NA(),IFERROR(1*INDEX(BBG_Data!$P$2:$P$4000,MATCH($A763,BBG_Data!$O$2:$O$4000,0)),NA()))</f>
        <v/>
      </c>
      <c r="AE763" s="18">
        <f>IF(NOT(ISNUMBER($A763)),NA(),IFERROR(1*INDEX(BBG_Data!$R$2:$R$4000,MATCH($A763,BBG_Data!$Q$2:$Q$4000,0)),NA()))</f>
        <v/>
      </c>
      <c r="AF763" s="20">
        <f>IF(AND(ISNUMBER(B763),ISNUMBER(AC763)),(B763-AC763)*100,NA())</f>
        <v/>
      </c>
      <c r="AG763" s="20">
        <f>IF(AND(ISNUMBER(AE763),ISNUMBER(AD763)),(AE763-AD763)*100,NA())</f>
        <v/>
      </c>
      <c r="AH763" s="19">
        <f>IF(NOT(ISNUMBER($A763)),NA(),IFERROR(INDEX(BBG_Data!$T$2:$T$4000,MATCH($A763,BBG_Data!$S$2:$S$4000,0))*Settings!$B$25,NA()))</f>
        <v/>
      </c>
      <c r="AI763" s="19">
        <f>IF(NOT(ISNUMBER($A763)),NA(),IFERROR(INDEX(BBG_Data!$V$2:$V$4000,MATCH($A763,BBG_Data!$U$2:$U$4000,0))*Settings!$B$25,NA()))</f>
        <v/>
      </c>
      <c r="AJ763" s="19">
        <f>IF(NOT(ISNUMBER($A763)),NA(),IFERROR(1*INDEX(BBG_Data!$X$2:$X$4000,MATCH($A763,BBG_Data!$W$2:$W$4000,0)),NA()))</f>
        <v/>
      </c>
      <c r="AK763" s="19">
        <f>IF(NOT(ISNUMBER($A763)),NA(),IFERROR(1*INDEX(BBG_Data!$Z$2:$Z$4000,MATCH($A763,BBG_Data!$Y$2:$Y$4000,0)),NA()))</f>
        <v/>
      </c>
    </row>
    <row r="764">
      <c r="A764" s="17">
        <f>IF(ISNUMBER(BBG_Data!A764),BBG_Data!A764,"")</f>
        <v/>
      </c>
      <c r="B764" s="18">
        <f>IF(AND(ISNUMBER($A764),ISNUMBER(BBG_Data!B764)),BBG_Data!B764,NA())</f>
        <v/>
      </c>
      <c r="C764" s="18">
        <f>IF(NOT(ISNUMBER($A764)),NA(),IFERROR(1*INDEX(BBG_Data!$D$2:$D$4000,MATCH($A764,BBG_Data!$C$2:$C$4000,0)),NA()))</f>
        <v/>
      </c>
      <c r="D764" s="19">
        <f>IF(NOT(ISNUMBER($A764)),NA(),IFERROR(1*INDEX(BBG_Data!$F$2:$F$4000,MATCH($A764,BBG_Data!$E$2:$E$4000,0)),NA()))</f>
        <v/>
      </c>
      <c r="E764" s="19">
        <f>IF(NOT(ISNUMBER($A764)),NA(),IFERROR(1*INDEX(BBG_Data!$H$2:$H$4000,MATCH($A764,BBG_Data!$G$2:$G$4000,0)),NA()))</f>
        <v/>
      </c>
      <c r="F764" s="20">
        <f>IF(AND(ISNUMBER(B764),ISNUMBER(B763)),IF(B764=B763,"",(B764-B763)*100),"")</f>
        <v/>
      </c>
      <c r="G764" s="20">
        <f>IF(AND(ISNUMBER(C764),ISNUMBER(C763)),IF(C764=C763,"",(C764-C763)*100),"")</f>
        <v/>
      </c>
      <c r="H764" s="20">
        <f>IF(OR(NOT(ISNUMBER($A764)),ROW()-2&lt;Settings!$B$11),NA(),IF(COUNT(OFFSET(F764,1-Settings!$B$11,0,Settings!$B$11,1))&lt;ROUNDUP(Settings!$B$11*Settings!$B$26,0),NA(),STDEV(OFFSET(F764,1-Settings!$B$11,0,Settings!$B$11,1))*SQRT(Settings!$B$13)))</f>
        <v/>
      </c>
      <c r="I764" s="20">
        <f>IF(OR(NOT(ISNUMBER($A764)),ROW()-2&lt;Settings!$B$12),NA(),IF(COUNT(OFFSET(F764,1-Settings!$B$12,0,Settings!$B$12,1))&lt;ROUNDUP(Settings!$B$12*Settings!$B$26,0),NA(),STDEV(OFFSET(F764,1-Settings!$B$12,0,Settings!$B$12,1))*SQRT(Settings!$B$13)))</f>
        <v/>
      </c>
      <c r="J764" s="20">
        <f>IF(OR(NOT(ISNUMBER($A764)),ROW()-2&lt;Settings!$B$11),NA(),IF(COUNT(OFFSET(G764,1-Settings!$B$11,0,Settings!$B$11,1))&lt;ROUNDUP(Settings!$B$11*Settings!$B$26,0),NA(),STDEV(OFFSET(G764,1-Settings!$B$11,0,Settings!$B$11,1))*SQRT(Settings!$B$13)))</f>
        <v/>
      </c>
      <c r="K764" s="20">
        <f>IF(OR(NOT(ISNUMBER($A764)),ROW()-2&lt;Settings!$B$12),NA(),IF(COUNT(OFFSET(G764,1-Settings!$B$12,0,Settings!$B$12,1))&lt;ROUNDUP(Settings!$B$12*Settings!$B$26,0),NA(),STDEV(OFFSET(G764,1-Settings!$B$12,0,Settings!$B$12,1))*SQRT(Settings!$B$13)))</f>
        <v/>
      </c>
      <c r="L764" s="20">
        <f>IF(AND(ISNUMBER(D764),ISNUMBER(H764)),D764-H764,NA())</f>
        <v/>
      </c>
      <c r="M764" s="20">
        <f>IF(AND(ISNUMBER(E764),ISNUMBER(K764)),E764-K764,NA())</f>
        <v/>
      </c>
      <c r="N764" s="20">
        <f>IF(NOT(ISNUMBER($A764)),NA(),IF(COUNT(OFFSET(G764,1,0,Settings!$B$12,1))&lt;ROUNDUP(Settings!$B$12*Settings!$B$26,0),NA(),STDEV(OFFSET(G764,1,0,Settings!$B$12,1))*SQRT(Settings!$B$13)))</f>
        <v/>
      </c>
      <c r="O764" s="20">
        <f>IF(AND(ISNUMBER(E764),ISNUMBER(N764)),E764-N764,NA())</f>
        <v/>
      </c>
      <c r="P764" s="19">
        <f>IF(NOT(ISNUMBER($A764)),NA(),IF(OR($A764&lt;MIN(KW_TP!$A$2:$A$2501),$A764&gt;MAX(KW_TP!$A$2:$A$2501)),NA(),INDEX(KW_TP!$C$2:$C$2501,MATCH($A764,KW_TP!$A$2:$A$2501,1))))</f>
        <v/>
      </c>
      <c r="Q764" s="18">
        <f>IF(NOT(ISNUMBER($A764)),NA(),IFERROR(1*INDEX(BBG_Data!$J$2:$J$4000,MATCH($A764,BBG_Data!$I$2:$I$4000,0)),NA()))</f>
        <v/>
      </c>
      <c r="R764" s="18">
        <f>IF(NOT(ISNUMBER($A764)),NA(),IFERROR(1*INDEX(BBG_Data!$L$2:$L$4000,MATCH($A764,BBG_Data!$K$2:$K$4000,0)),NA()))</f>
        <v/>
      </c>
      <c r="S764" s="20">
        <f>IF(AND(ISNUMBER(B764),ISNUMBER(Q764),ISNUMBER(R764)),(B764-Q764-R764)*100,NA())</f>
        <v/>
      </c>
      <c r="T764" s="20">
        <f>IF(AND(ISNUMBER(B764),Settings!$B$17&gt;0),IF(ISNUMBER(INDEX($B:$B,Settings!$B$17)),(B764-INDEX($B:$B,Settings!$B$17))*100,NA()),NA())</f>
        <v/>
      </c>
      <c r="U764" s="20">
        <f>IF(AND(ISNUMBER(Q764),Settings!$B$17&gt;0),IF(ISNUMBER(INDEX($Q:$Q,Settings!$B$17)),(Q764-INDEX($Q:$Q,Settings!$B$17))*100,NA()),NA())</f>
        <v/>
      </c>
      <c r="V764" s="20">
        <f>IF(AND(ISNUMBER(R764),Settings!$B$17&gt;0),IF(ISNUMBER(INDEX($R:$R,Settings!$B$17)),(R764-INDEX($R:$R,Settings!$B$17))*100,NA()),NA())</f>
        <v/>
      </c>
      <c r="W764" s="20">
        <f>IF(AND(ISNUMBER(P764),Settings!$B$17&gt;0),IF(ISNUMBER(INDEX($P:$P,Settings!$B$17)),P764-INDEX($P:$P,Settings!$B$17),NA()),NA())</f>
        <v/>
      </c>
      <c r="X764" s="19">
        <f>IF(NOT(ISNUMBER($A764)),NA(),IF(OR($A764&lt;MIN(DKW_10Y!$A$2:$A$2918),$A764&gt;MAX(DKW_10Y!$A$2:$A$2918),Settings!$B$16&lt;MIN(DKW_10Y!$A$2:$A$2918)),NA(),(INDEX(DKW_10Y!$B$2:$B$2918,MATCH($A764,DKW_10Y!$A$2:$A$2918,1))-INDEX(DKW_10Y!$B$2:$B$2918,MATCH(Settings!$B$16,DKW_10Y!$A$2:$A$2918,1)))*100))</f>
        <v/>
      </c>
      <c r="Y764" s="19">
        <f>IF(NOT(ISNUMBER($A764)),NA(),IF(OR($A764&lt;MIN(DKW_10Y!$A$2:$A$2918),$A764&gt;MAX(DKW_10Y!$A$2:$A$2918),Settings!$B$16&lt;MIN(DKW_10Y!$A$2:$A$2918)),NA(),(INDEX(DKW_10Y!$C$2:$C$2918,MATCH($A764,DKW_10Y!$A$2:$A$2918,1))-INDEX(DKW_10Y!$C$2:$C$2918,MATCH(Settings!$B$16,DKW_10Y!$A$2:$A$2918,1)))*100))</f>
        <v/>
      </c>
      <c r="Z764" s="19">
        <f>IF(NOT(ISNUMBER($A764)),NA(),IF(OR($A764&lt;MIN(DKW_10Y!$A$2:$A$2918),$A764&gt;MAX(DKW_10Y!$A$2:$A$2918),Settings!$B$16&lt;MIN(DKW_10Y!$A$2:$A$2918)),NA(),(INDEX(DKW_10Y!$D$2:$D$2918,MATCH($A764,DKW_10Y!$A$2:$A$2918,1))-INDEX(DKW_10Y!$D$2:$D$2918,MATCH(Settings!$B$16,DKW_10Y!$A$2:$A$2918,1)))*100))</f>
        <v/>
      </c>
      <c r="AA764" s="19">
        <f>IF(NOT(ISNUMBER($A764)),NA(),IF(OR($A764&lt;MIN(DKW_10Y!$A$2:$A$2918),$A764&gt;MAX(DKW_10Y!$A$2:$A$2918),Settings!$B$16&lt;MIN(DKW_10Y!$A$2:$A$2918)),NA(),(INDEX(DKW_10Y!$E$2:$E$2918,MATCH($A764,DKW_10Y!$A$2:$A$2918,1))-INDEX(DKW_10Y!$E$2:$E$2918,MATCH(Settings!$B$16,DKW_10Y!$A$2:$A$2918,1)))*100))</f>
        <v/>
      </c>
      <c r="AB764" s="19">
        <f>IF(NOT(ISNUMBER($A764)),NA(),IF(OR($A764&lt;MIN(DKW_10Y!$A$2:$A$2918),$A764&gt;MAX(DKW_10Y!$A$2:$A$2918),Settings!$B$16&lt;MIN(DKW_10Y!$A$2:$A$2918)),NA(),(INDEX(DKW_10Y!$H$2:$H$2918,MATCH($A764,DKW_10Y!$A$2:$A$2918,1))-INDEX(DKW_10Y!$H$2:$H$2918,MATCH(Settings!$B$16,DKW_10Y!$A$2:$A$2918,1)))*100))</f>
        <v/>
      </c>
      <c r="AC764" s="18">
        <f>IF(NOT(ISNUMBER($A764)),NA(),IFERROR(1*INDEX(BBG_Data!$N$2:$N$4000,MATCH($A764,BBG_Data!$M$2:$M$4000,0)),NA()))</f>
        <v/>
      </c>
      <c r="AD764" s="18">
        <f>IF(NOT(ISNUMBER($A764)),NA(),IFERROR(1*INDEX(BBG_Data!$P$2:$P$4000,MATCH($A764,BBG_Data!$O$2:$O$4000,0)),NA()))</f>
        <v/>
      </c>
      <c r="AE764" s="18">
        <f>IF(NOT(ISNUMBER($A764)),NA(),IFERROR(1*INDEX(BBG_Data!$R$2:$R$4000,MATCH($A764,BBG_Data!$Q$2:$Q$4000,0)),NA()))</f>
        <v/>
      </c>
      <c r="AF764" s="20">
        <f>IF(AND(ISNUMBER(B764),ISNUMBER(AC764)),(B764-AC764)*100,NA())</f>
        <v/>
      </c>
      <c r="AG764" s="20">
        <f>IF(AND(ISNUMBER(AE764),ISNUMBER(AD764)),(AE764-AD764)*100,NA())</f>
        <v/>
      </c>
      <c r="AH764" s="19">
        <f>IF(NOT(ISNUMBER($A764)),NA(),IFERROR(INDEX(BBG_Data!$T$2:$T$4000,MATCH($A764,BBG_Data!$S$2:$S$4000,0))*Settings!$B$25,NA()))</f>
        <v/>
      </c>
      <c r="AI764" s="19">
        <f>IF(NOT(ISNUMBER($A764)),NA(),IFERROR(INDEX(BBG_Data!$V$2:$V$4000,MATCH($A764,BBG_Data!$U$2:$U$4000,0))*Settings!$B$25,NA()))</f>
        <v/>
      </c>
      <c r="AJ764" s="19">
        <f>IF(NOT(ISNUMBER($A764)),NA(),IFERROR(1*INDEX(BBG_Data!$X$2:$X$4000,MATCH($A764,BBG_Data!$W$2:$W$4000,0)),NA()))</f>
        <v/>
      </c>
      <c r="AK764" s="19">
        <f>IF(NOT(ISNUMBER($A764)),NA(),IFERROR(1*INDEX(BBG_Data!$Z$2:$Z$4000,MATCH($A764,BBG_Data!$Y$2:$Y$4000,0)),NA()))</f>
        <v/>
      </c>
    </row>
    <row r="765">
      <c r="A765" s="17">
        <f>IF(ISNUMBER(BBG_Data!A765),BBG_Data!A765,"")</f>
        <v/>
      </c>
      <c r="B765" s="18">
        <f>IF(AND(ISNUMBER($A765),ISNUMBER(BBG_Data!B765)),BBG_Data!B765,NA())</f>
        <v/>
      </c>
      <c r="C765" s="18">
        <f>IF(NOT(ISNUMBER($A765)),NA(),IFERROR(1*INDEX(BBG_Data!$D$2:$D$4000,MATCH($A765,BBG_Data!$C$2:$C$4000,0)),NA()))</f>
        <v/>
      </c>
      <c r="D765" s="19">
        <f>IF(NOT(ISNUMBER($A765)),NA(),IFERROR(1*INDEX(BBG_Data!$F$2:$F$4000,MATCH($A765,BBG_Data!$E$2:$E$4000,0)),NA()))</f>
        <v/>
      </c>
      <c r="E765" s="19">
        <f>IF(NOT(ISNUMBER($A765)),NA(),IFERROR(1*INDEX(BBG_Data!$H$2:$H$4000,MATCH($A765,BBG_Data!$G$2:$G$4000,0)),NA()))</f>
        <v/>
      </c>
      <c r="F765" s="20">
        <f>IF(AND(ISNUMBER(B765),ISNUMBER(B764)),IF(B765=B764,"",(B765-B764)*100),"")</f>
        <v/>
      </c>
      <c r="G765" s="20">
        <f>IF(AND(ISNUMBER(C765),ISNUMBER(C764)),IF(C765=C764,"",(C765-C764)*100),"")</f>
        <v/>
      </c>
      <c r="H765" s="20">
        <f>IF(OR(NOT(ISNUMBER($A765)),ROW()-2&lt;Settings!$B$11),NA(),IF(COUNT(OFFSET(F765,1-Settings!$B$11,0,Settings!$B$11,1))&lt;ROUNDUP(Settings!$B$11*Settings!$B$26,0),NA(),STDEV(OFFSET(F765,1-Settings!$B$11,0,Settings!$B$11,1))*SQRT(Settings!$B$13)))</f>
        <v/>
      </c>
      <c r="I765" s="20">
        <f>IF(OR(NOT(ISNUMBER($A765)),ROW()-2&lt;Settings!$B$12),NA(),IF(COUNT(OFFSET(F765,1-Settings!$B$12,0,Settings!$B$12,1))&lt;ROUNDUP(Settings!$B$12*Settings!$B$26,0),NA(),STDEV(OFFSET(F765,1-Settings!$B$12,0,Settings!$B$12,1))*SQRT(Settings!$B$13)))</f>
        <v/>
      </c>
      <c r="J765" s="20">
        <f>IF(OR(NOT(ISNUMBER($A765)),ROW()-2&lt;Settings!$B$11),NA(),IF(COUNT(OFFSET(G765,1-Settings!$B$11,0,Settings!$B$11,1))&lt;ROUNDUP(Settings!$B$11*Settings!$B$26,0),NA(),STDEV(OFFSET(G765,1-Settings!$B$11,0,Settings!$B$11,1))*SQRT(Settings!$B$13)))</f>
        <v/>
      </c>
      <c r="K765" s="20">
        <f>IF(OR(NOT(ISNUMBER($A765)),ROW()-2&lt;Settings!$B$12),NA(),IF(COUNT(OFFSET(G765,1-Settings!$B$12,0,Settings!$B$12,1))&lt;ROUNDUP(Settings!$B$12*Settings!$B$26,0),NA(),STDEV(OFFSET(G765,1-Settings!$B$12,0,Settings!$B$12,1))*SQRT(Settings!$B$13)))</f>
        <v/>
      </c>
      <c r="L765" s="20">
        <f>IF(AND(ISNUMBER(D765),ISNUMBER(H765)),D765-H765,NA())</f>
        <v/>
      </c>
      <c r="M765" s="20">
        <f>IF(AND(ISNUMBER(E765),ISNUMBER(K765)),E765-K765,NA())</f>
        <v/>
      </c>
      <c r="N765" s="20">
        <f>IF(NOT(ISNUMBER($A765)),NA(),IF(COUNT(OFFSET(G765,1,0,Settings!$B$12,1))&lt;ROUNDUP(Settings!$B$12*Settings!$B$26,0),NA(),STDEV(OFFSET(G765,1,0,Settings!$B$12,1))*SQRT(Settings!$B$13)))</f>
        <v/>
      </c>
      <c r="O765" s="20">
        <f>IF(AND(ISNUMBER(E765),ISNUMBER(N765)),E765-N765,NA())</f>
        <v/>
      </c>
      <c r="P765" s="19">
        <f>IF(NOT(ISNUMBER($A765)),NA(),IF(OR($A765&lt;MIN(KW_TP!$A$2:$A$2501),$A765&gt;MAX(KW_TP!$A$2:$A$2501)),NA(),INDEX(KW_TP!$C$2:$C$2501,MATCH($A765,KW_TP!$A$2:$A$2501,1))))</f>
        <v/>
      </c>
      <c r="Q765" s="18">
        <f>IF(NOT(ISNUMBER($A765)),NA(),IFERROR(1*INDEX(BBG_Data!$J$2:$J$4000,MATCH($A765,BBG_Data!$I$2:$I$4000,0)),NA()))</f>
        <v/>
      </c>
      <c r="R765" s="18">
        <f>IF(NOT(ISNUMBER($A765)),NA(),IFERROR(1*INDEX(BBG_Data!$L$2:$L$4000,MATCH($A765,BBG_Data!$K$2:$K$4000,0)),NA()))</f>
        <v/>
      </c>
      <c r="S765" s="20">
        <f>IF(AND(ISNUMBER(B765),ISNUMBER(Q765),ISNUMBER(R765)),(B765-Q765-R765)*100,NA())</f>
        <v/>
      </c>
      <c r="T765" s="20">
        <f>IF(AND(ISNUMBER(B765),Settings!$B$17&gt;0),IF(ISNUMBER(INDEX($B:$B,Settings!$B$17)),(B765-INDEX($B:$B,Settings!$B$17))*100,NA()),NA())</f>
        <v/>
      </c>
      <c r="U765" s="20">
        <f>IF(AND(ISNUMBER(Q765),Settings!$B$17&gt;0),IF(ISNUMBER(INDEX($Q:$Q,Settings!$B$17)),(Q765-INDEX($Q:$Q,Settings!$B$17))*100,NA()),NA())</f>
        <v/>
      </c>
      <c r="V765" s="20">
        <f>IF(AND(ISNUMBER(R765),Settings!$B$17&gt;0),IF(ISNUMBER(INDEX($R:$R,Settings!$B$17)),(R765-INDEX($R:$R,Settings!$B$17))*100,NA()),NA())</f>
        <v/>
      </c>
      <c r="W765" s="20">
        <f>IF(AND(ISNUMBER(P765),Settings!$B$17&gt;0),IF(ISNUMBER(INDEX($P:$P,Settings!$B$17)),P765-INDEX($P:$P,Settings!$B$17),NA()),NA())</f>
        <v/>
      </c>
      <c r="X765" s="19">
        <f>IF(NOT(ISNUMBER($A765)),NA(),IF(OR($A765&lt;MIN(DKW_10Y!$A$2:$A$2918),$A765&gt;MAX(DKW_10Y!$A$2:$A$2918),Settings!$B$16&lt;MIN(DKW_10Y!$A$2:$A$2918)),NA(),(INDEX(DKW_10Y!$B$2:$B$2918,MATCH($A765,DKW_10Y!$A$2:$A$2918,1))-INDEX(DKW_10Y!$B$2:$B$2918,MATCH(Settings!$B$16,DKW_10Y!$A$2:$A$2918,1)))*100))</f>
        <v/>
      </c>
      <c r="Y765" s="19">
        <f>IF(NOT(ISNUMBER($A765)),NA(),IF(OR($A765&lt;MIN(DKW_10Y!$A$2:$A$2918),$A765&gt;MAX(DKW_10Y!$A$2:$A$2918),Settings!$B$16&lt;MIN(DKW_10Y!$A$2:$A$2918)),NA(),(INDEX(DKW_10Y!$C$2:$C$2918,MATCH($A765,DKW_10Y!$A$2:$A$2918,1))-INDEX(DKW_10Y!$C$2:$C$2918,MATCH(Settings!$B$16,DKW_10Y!$A$2:$A$2918,1)))*100))</f>
        <v/>
      </c>
      <c r="Z765" s="19">
        <f>IF(NOT(ISNUMBER($A765)),NA(),IF(OR($A765&lt;MIN(DKW_10Y!$A$2:$A$2918),$A765&gt;MAX(DKW_10Y!$A$2:$A$2918),Settings!$B$16&lt;MIN(DKW_10Y!$A$2:$A$2918)),NA(),(INDEX(DKW_10Y!$D$2:$D$2918,MATCH($A765,DKW_10Y!$A$2:$A$2918,1))-INDEX(DKW_10Y!$D$2:$D$2918,MATCH(Settings!$B$16,DKW_10Y!$A$2:$A$2918,1)))*100))</f>
        <v/>
      </c>
      <c r="AA765" s="19">
        <f>IF(NOT(ISNUMBER($A765)),NA(),IF(OR($A765&lt;MIN(DKW_10Y!$A$2:$A$2918),$A765&gt;MAX(DKW_10Y!$A$2:$A$2918),Settings!$B$16&lt;MIN(DKW_10Y!$A$2:$A$2918)),NA(),(INDEX(DKW_10Y!$E$2:$E$2918,MATCH($A765,DKW_10Y!$A$2:$A$2918,1))-INDEX(DKW_10Y!$E$2:$E$2918,MATCH(Settings!$B$16,DKW_10Y!$A$2:$A$2918,1)))*100))</f>
        <v/>
      </c>
      <c r="AB765" s="19">
        <f>IF(NOT(ISNUMBER($A765)),NA(),IF(OR($A765&lt;MIN(DKW_10Y!$A$2:$A$2918),$A765&gt;MAX(DKW_10Y!$A$2:$A$2918),Settings!$B$16&lt;MIN(DKW_10Y!$A$2:$A$2918)),NA(),(INDEX(DKW_10Y!$H$2:$H$2918,MATCH($A765,DKW_10Y!$A$2:$A$2918,1))-INDEX(DKW_10Y!$H$2:$H$2918,MATCH(Settings!$B$16,DKW_10Y!$A$2:$A$2918,1)))*100))</f>
        <v/>
      </c>
      <c r="AC765" s="18">
        <f>IF(NOT(ISNUMBER($A765)),NA(),IFERROR(1*INDEX(BBG_Data!$N$2:$N$4000,MATCH($A765,BBG_Data!$M$2:$M$4000,0)),NA()))</f>
        <v/>
      </c>
      <c r="AD765" s="18">
        <f>IF(NOT(ISNUMBER($A765)),NA(),IFERROR(1*INDEX(BBG_Data!$P$2:$P$4000,MATCH($A765,BBG_Data!$O$2:$O$4000,0)),NA()))</f>
        <v/>
      </c>
      <c r="AE765" s="18">
        <f>IF(NOT(ISNUMBER($A765)),NA(),IFERROR(1*INDEX(BBG_Data!$R$2:$R$4000,MATCH($A765,BBG_Data!$Q$2:$Q$4000,0)),NA()))</f>
        <v/>
      </c>
      <c r="AF765" s="20">
        <f>IF(AND(ISNUMBER(B765),ISNUMBER(AC765)),(B765-AC765)*100,NA())</f>
        <v/>
      </c>
      <c r="AG765" s="20">
        <f>IF(AND(ISNUMBER(AE765),ISNUMBER(AD765)),(AE765-AD765)*100,NA())</f>
        <v/>
      </c>
      <c r="AH765" s="19">
        <f>IF(NOT(ISNUMBER($A765)),NA(),IFERROR(INDEX(BBG_Data!$T$2:$T$4000,MATCH($A765,BBG_Data!$S$2:$S$4000,0))*Settings!$B$25,NA()))</f>
        <v/>
      </c>
      <c r="AI765" s="19">
        <f>IF(NOT(ISNUMBER($A765)),NA(),IFERROR(INDEX(BBG_Data!$V$2:$V$4000,MATCH($A765,BBG_Data!$U$2:$U$4000,0))*Settings!$B$25,NA()))</f>
        <v/>
      </c>
      <c r="AJ765" s="19">
        <f>IF(NOT(ISNUMBER($A765)),NA(),IFERROR(1*INDEX(BBG_Data!$X$2:$X$4000,MATCH($A765,BBG_Data!$W$2:$W$4000,0)),NA()))</f>
        <v/>
      </c>
      <c r="AK765" s="19">
        <f>IF(NOT(ISNUMBER($A765)),NA(),IFERROR(1*INDEX(BBG_Data!$Z$2:$Z$4000,MATCH($A765,BBG_Data!$Y$2:$Y$4000,0)),NA()))</f>
        <v/>
      </c>
    </row>
    <row r="766">
      <c r="A766" s="17">
        <f>IF(ISNUMBER(BBG_Data!A766),BBG_Data!A766,"")</f>
        <v/>
      </c>
      <c r="B766" s="18">
        <f>IF(AND(ISNUMBER($A766),ISNUMBER(BBG_Data!B766)),BBG_Data!B766,NA())</f>
        <v/>
      </c>
      <c r="C766" s="18">
        <f>IF(NOT(ISNUMBER($A766)),NA(),IFERROR(1*INDEX(BBG_Data!$D$2:$D$4000,MATCH($A766,BBG_Data!$C$2:$C$4000,0)),NA()))</f>
        <v/>
      </c>
      <c r="D766" s="19">
        <f>IF(NOT(ISNUMBER($A766)),NA(),IFERROR(1*INDEX(BBG_Data!$F$2:$F$4000,MATCH($A766,BBG_Data!$E$2:$E$4000,0)),NA()))</f>
        <v/>
      </c>
      <c r="E766" s="19">
        <f>IF(NOT(ISNUMBER($A766)),NA(),IFERROR(1*INDEX(BBG_Data!$H$2:$H$4000,MATCH($A766,BBG_Data!$G$2:$G$4000,0)),NA()))</f>
        <v/>
      </c>
      <c r="F766" s="20">
        <f>IF(AND(ISNUMBER(B766),ISNUMBER(B765)),IF(B766=B765,"",(B766-B765)*100),"")</f>
        <v/>
      </c>
      <c r="G766" s="20">
        <f>IF(AND(ISNUMBER(C766),ISNUMBER(C765)),IF(C766=C765,"",(C766-C765)*100),"")</f>
        <v/>
      </c>
      <c r="H766" s="20">
        <f>IF(OR(NOT(ISNUMBER($A766)),ROW()-2&lt;Settings!$B$11),NA(),IF(COUNT(OFFSET(F766,1-Settings!$B$11,0,Settings!$B$11,1))&lt;ROUNDUP(Settings!$B$11*Settings!$B$26,0),NA(),STDEV(OFFSET(F766,1-Settings!$B$11,0,Settings!$B$11,1))*SQRT(Settings!$B$13)))</f>
        <v/>
      </c>
      <c r="I766" s="20">
        <f>IF(OR(NOT(ISNUMBER($A766)),ROW()-2&lt;Settings!$B$12),NA(),IF(COUNT(OFFSET(F766,1-Settings!$B$12,0,Settings!$B$12,1))&lt;ROUNDUP(Settings!$B$12*Settings!$B$26,0),NA(),STDEV(OFFSET(F766,1-Settings!$B$12,0,Settings!$B$12,1))*SQRT(Settings!$B$13)))</f>
        <v/>
      </c>
      <c r="J766" s="20">
        <f>IF(OR(NOT(ISNUMBER($A766)),ROW()-2&lt;Settings!$B$11),NA(),IF(COUNT(OFFSET(G766,1-Settings!$B$11,0,Settings!$B$11,1))&lt;ROUNDUP(Settings!$B$11*Settings!$B$26,0),NA(),STDEV(OFFSET(G766,1-Settings!$B$11,0,Settings!$B$11,1))*SQRT(Settings!$B$13)))</f>
        <v/>
      </c>
      <c r="K766" s="20">
        <f>IF(OR(NOT(ISNUMBER($A766)),ROW()-2&lt;Settings!$B$12),NA(),IF(COUNT(OFFSET(G766,1-Settings!$B$12,0,Settings!$B$12,1))&lt;ROUNDUP(Settings!$B$12*Settings!$B$26,0),NA(),STDEV(OFFSET(G766,1-Settings!$B$12,0,Settings!$B$12,1))*SQRT(Settings!$B$13)))</f>
        <v/>
      </c>
      <c r="L766" s="20">
        <f>IF(AND(ISNUMBER(D766),ISNUMBER(H766)),D766-H766,NA())</f>
        <v/>
      </c>
      <c r="M766" s="20">
        <f>IF(AND(ISNUMBER(E766),ISNUMBER(K766)),E766-K766,NA())</f>
        <v/>
      </c>
      <c r="N766" s="20">
        <f>IF(NOT(ISNUMBER($A766)),NA(),IF(COUNT(OFFSET(G766,1,0,Settings!$B$12,1))&lt;ROUNDUP(Settings!$B$12*Settings!$B$26,0),NA(),STDEV(OFFSET(G766,1,0,Settings!$B$12,1))*SQRT(Settings!$B$13)))</f>
        <v/>
      </c>
      <c r="O766" s="20">
        <f>IF(AND(ISNUMBER(E766),ISNUMBER(N766)),E766-N766,NA())</f>
        <v/>
      </c>
      <c r="P766" s="19">
        <f>IF(NOT(ISNUMBER($A766)),NA(),IF(OR($A766&lt;MIN(KW_TP!$A$2:$A$2501),$A766&gt;MAX(KW_TP!$A$2:$A$2501)),NA(),INDEX(KW_TP!$C$2:$C$2501,MATCH($A766,KW_TP!$A$2:$A$2501,1))))</f>
        <v/>
      </c>
      <c r="Q766" s="18">
        <f>IF(NOT(ISNUMBER($A766)),NA(),IFERROR(1*INDEX(BBG_Data!$J$2:$J$4000,MATCH($A766,BBG_Data!$I$2:$I$4000,0)),NA()))</f>
        <v/>
      </c>
      <c r="R766" s="18">
        <f>IF(NOT(ISNUMBER($A766)),NA(),IFERROR(1*INDEX(BBG_Data!$L$2:$L$4000,MATCH($A766,BBG_Data!$K$2:$K$4000,0)),NA()))</f>
        <v/>
      </c>
      <c r="S766" s="20">
        <f>IF(AND(ISNUMBER(B766),ISNUMBER(Q766),ISNUMBER(R766)),(B766-Q766-R766)*100,NA())</f>
        <v/>
      </c>
      <c r="T766" s="20">
        <f>IF(AND(ISNUMBER(B766),Settings!$B$17&gt;0),IF(ISNUMBER(INDEX($B:$B,Settings!$B$17)),(B766-INDEX($B:$B,Settings!$B$17))*100,NA()),NA())</f>
        <v/>
      </c>
      <c r="U766" s="20">
        <f>IF(AND(ISNUMBER(Q766),Settings!$B$17&gt;0),IF(ISNUMBER(INDEX($Q:$Q,Settings!$B$17)),(Q766-INDEX($Q:$Q,Settings!$B$17))*100,NA()),NA())</f>
        <v/>
      </c>
      <c r="V766" s="20">
        <f>IF(AND(ISNUMBER(R766),Settings!$B$17&gt;0),IF(ISNUMBER(INDEX($R:$R,Settings!$B$17)),(R766-INDEX($R:$R,Settings!$B$17))*100,NA()),NA())</f>
        <v/>
      </c>
      <c r="W766" s="20">
        <f>IF(AND(ISNUMBER(P766),Settings!$B$17&gt;0),IF(ISNUMBER(INDEX($P:$P,Settings!$B$17)),P766-INDEX($P:$P,Settings!$B$17),NA()),NA())</f>
        <v/>
      </c>
      <c r="X766" s="19">
        <f>IF(NOT(ISNUMBER($A766)),NA(),IF(OR($A766&lt;MIN(DKW_10Y!$A$2:$A$2918),$A766&gt;MAX(DKW_10Y!$A$2:$A$2918),Settings!$B$16&lt;MIN(DKW_10Y!$A$2:$A$2918)),NA(),(INDEX(DKW_10Y!$B$2:$B$2918,MATCH($A766,DKW_10Y!$A$2:$A$2918,1))-INDEX(DKW_10Y!$B$2:$B$2918,MATCH(Settings!$B$16,DKW_10Y!$A$2:$A$2918,1)))*100))</f>
        <v/>
      </c>
      <c r="Y766" s="19">
        <f>IF(NOT(ISNUMBER($A766)),NA(),IF(OR($A766&lt;MIN(DKW_10Y!$A$2:$A$2918),$A766&gt;MAX(DKW_10Y!$A$2:$A$2918),Settings!$B$16&lt;MIN(DKW_10Y!$A$2:$A$2918)),NA(),(INDEX(DKW_10Y!$C$2:$C$2918,MATCH($A766,DKW_10Y!$A$2:$A$2918,1))-INDEX(DKW_10Y!$C$2:$C$2918,MATCH(Settings!$B$16,DKW_10Y!$A$2:$A$2918,1)))*100))</f>
        <v/>
      </c>
      <c r="Z766" s="19">
        <f>IF(NOT(ISNUMBER($A766)),NA(),IF(OR($A766&lt;MIN(DKW_10Y!$A$2:$A$2918),$A766&gt;MAX(DKW_10Y!$A$2:$A$2918),Settings!$B$16&lt;MIN(DKW_10Y!$A$2:$A$2918)),NA(),(INDEX(DKW_10Y!$D$2:$D$2918,MATCH($A766,DKW_10Y!$A$2:$A$2918,1))-INDEX(DKW_10Y!$D$2:$D$2918,MATCH(Settings!$B$16,DKW_10Y!$A$2:$A$2918,1)))*100))</f>
        <v/>
      </c>
      <c r="AA766" s="19">
        <f>IF(NOT(ISNUMBER($A766)),NA(),IF(OR($A766&lt;MIN(DKW_10Y!$A$2:$A$2918),$A766&gt;MAX(DKW_10Y!$A$2:$A$2918),Settings!$B$16&lt;MIN(DKW_10Y!$A$2:$A$2918)),NA(),(INDEX(DKW_10Y!$E$2:$E$2918,MATCH($A766,DKW_10Y!$A$2:$A$2918,1))-INDEX(DKW_10Y!$E$2:$E$2918,MATCH(Settings!$B$16,DKW_10Y!$A$2:$A$2918,1)))*100))</f>
        <v/>
      </c>
      <c r="AB766" s="19">
        <f>IF(NOT(ISNUMBER($A766)),NA(),IF(OR($A766&lt;MIN(DKW_10Y!$A$2:$A$2918),$A766&gt;MAX(DKW_10Y!$A$2:$A$2918),Settings!$B$16&lt;MIN(DKW_10Y!$A$2:$A$2918)),NA(),(INDEX(DKW_10Y!$H$2:$H$2918,MATCH($A766,DKW_10Y!$A$2:$A$2918,1))-INDEX(DKW_10Y!$H$2:$H$2918,MATCH(Settings!$B$16,DKW_10Y!$A$2:$A$2918,1)))*100))</f>
        <v/>
      </c>
      <c r="AC766" s="18">
        <f>IF(NOT(ISNUMBER($A766)),NA(),IFERROR(1*INDEX(BBG_Data!$N$2:$N$4000,MATCH($A766,BBG_Data!$M$2:$M$4000,0)),NA()))</f>
        <v/>
      </c>
      <c r="AD766" s="18">
        <f>IF(NOT(ISNUMBER($A766)),NA(),IFERROR(1*INDEX(BBG_Data!$P$2:$P$4000,MATCH($A766,BBG_Data!$O$2:$O$4000,0)),NA()))</f>
        <v/>
      </c>
      <c r="AE766" s="18">
        <f>IF(NOT(ISNUMBER($A766)),NA(),IFERROR(1*INDEX(BBG_Data!$R$2:$R$4000,MATCH($A766,BBG_Data!$Q$2:$Q$4000,0)),NA()))</f>
        <v/>
      </c>
      <c r="AF766" s="20">
        <f>IF(AND(ISNUMBER(B766),ISNUMBER(AC766)),(B766-AC766)*100,NA())</f>
        <v/>
      </c>
      <c r="AG766" s="20">
        <f>IF(AND(ISNUMBER(AE766),ISNUMBER(AD766)),(AE766-AD766)*100,NA())</f>
        <v/>
      </c>
      <c r="AH766" s="19">
        <f>IF(NOT(ISNUMBER($A766)),NA(),IFERROR(INDEX(BBG_Data!$T$2:$T$4000,MATCH($A766,BBG_Data!$S$2:$S$4000,0))*Settings!$B$25,NA()))</f>
        <v/>
      </c>
      <c r="AI766" s="19">
        <f>IF(NOT(ISNUMBER($A766)),NA(),IFERROR(INDEX(BBG_Data!$V$2:$V$4000,MATCH($A766,BBG_Data!$U$2:$U$4000,0))*Settings!$B$25,NA()))</f>
        <v/>
      </c>
      <c r="AJ766" s="19">
        <f>IF(NOT(ISNUMBER($A766)),NA(),IFERROR(1*INDEX(BBG_Data!$X$2:$X$4000,MATCH($A766,BBG_Data!$W$2:$W$4000,0)),NA()))</f>
        <v/>
      </c>
      <c r="AK766" s="19">
        <f>IF(NOT(ISNUMBER($A766)),NA(),IFERROR(1*INDEX(BBG_Data!$Z$2:$Z$4000,MATCH($A766,BBG_Data!$Y$2:$Y$4000,0)),NA()))</f>
        <v/>
      </c>
    </row>
    <row r="767">
      <c r="A767" s="17">
        <f>IF(ISNUMBER(BBG_Data!A767),BBG_Data!A767,"")</f>
        <v/>
      </c>
      <c r="B767" s="18">
        <f>IF(AND(ISNUMBER($A767),ISNUMBER(BBG_Data!B767)),BBG_Data!B767,NA())</f>
        <v/>
      </c>
      <c r="C767" s="18">
        <f>IF(NOT(ISNUMBER($A767)),NA(),IFERROR(1*INDEX(BBG_Data!$D$2:$D$4000,MATCH($A767,BBG_Data!$C$2:$C$4000,0)),NA()))</f>
        <v/>
      </c>
      <c r="D767" s="19">
        <f>IF(NOT(ISNUMBER($A767)),NA(),IFERROR(1*INDEX(BBG_Data!$F$2:$F$4000,MATCH($A767,BBG_Data!$E$2:$E$4000,0)),NA()))</f>
        <v/>
      </c>
      <c r="E767" s="19">
        <f>IF(NOT(ISNUMBER($A767)),NA(),IFERROR(1*INDEX(BBG_Data!$H$2:$H$4000,MATCH($A767,BBG_Data!$G$2:$G$4000,0)),NA()))</f>
        <v/>
      </c>
      <c r="F767" s="20">
        <f>IF(AND(ISNUMBER(B767),ISNUMBER(B766)),IF(B767=B766,"",(B767-B766)*100),"")</f>
        <v/>
      </c>
      <c r="G767" s="20">
        <f>IF(AND(ISNUMBER(C767),ISNUMBER(C766)),IF(C767=C766,"",(C767-C766)*100),"")</f>
        <v/>
      </c>
      <c r="H767" s="20">
        <f>IF(OR(NOT(ISNUMBER($A767)),ROW()-2&lt;Settings!$B$11),NA(),IF(COUNT(OFFSET(F767,1-Settings!$B$11,0,Settings!$B$11,1))&lt;ROUNDUP(Settings!$B$11*Settings!$B$26,0),NA(),STDEV(OFFSET(F767,1-Settings!$B$11,0,Settings!$B$11,1))*SQRT(Settings!$B$13)))</f>
        <v/>
      </c>
      <c r="I767" s="20">
        <f>IF(OR(NOT(ISNUMBER($A767)),ROW()-2&lt;Settings!$B$12),NA(),IF(COUNT(OFFSET(F767,1-Settings!$B$12,0,Settings!$B$12,1))&lt;ROUNDUP(Settings!$B$12*Settings!$B$26,0),NA(),STDEV(OFFSET(F767,1-Settings!$B$12,0,Settings!$B$12,1))*SQRT(Settings!$B$13)))</f>
        <v/>
      </c>
      <c r="J767" s="20">
        <f>IF(OR(NOT(ISNUMBER($A767)),ROW()-2&lt;Settings!$B$11),NA(),IF(COUNT(OFFSET(G767,1-Settings!$B$11,0,Settings!$B$11,1))&lt;ROUNDUP(Settings!$B$11*Settings!$B$26,0),NA(),STDEV(OFFSET(G767,1-Settings!$B$11,0,Settings!$B$11,1))*SQRT(Settings!$B$13)))</f>
        <v/>
      </c>
      <c r="K767" s="20">
        <f>IF(OR(NOT(ISNUMBER($A767)),ROW()-2&lt;Settings!$B$12),NA(),IF(COUNT(OFFSET(G767,1-Settings!$B$12,0,Settings!$B$12,1))&lt;ROUNDUP(Settings!$B$12*Settings!$B$26,0),NA(),STDEV(OFFSET(G767,1-Settings!$B$12,0,Settings!$B$12,1))*SQRT(Settings!$B$13)))</f>
        <v/>
      </c>
      <c r="L767" s="20">
        <f>IF(AND(ISNUMBER(D767),ISNUMBER(H767)),D767-H767,NA())</f>
        <v/>
      </c>
      <c r="M767" s="20">
        <f>IF(AND(ISNUMBER(E767),ISNUMBER(K767)),E767-K767,NA())</f>
        <v/>
      </c>
      <c r="N767" s="20">
        <f>IF(NOT(ISNUMBER($A767)),NA(),IF(COUNT(OFFSET(G767,1,0,Settings!$B$12,1))&lt;ROUNDUP(Settings!$B$12*Settings!$B$26,0),NA(),STDEV(OFFSET(G767,1,0,Settings!$B$12,1))*SQRT(Settings!$B$13)))</f>
        <v/>
      </c>
      <c r="O767" s="20">
        <f>IF(AND(ISNUMBER(E767),ISNUMBER(N767)),E767-N767,NA())</f>
        <v/>
      </c>
      <c r="P767" s="19">
        <f>IF(NOT(ISNUMBER($A767)),NA(),IF(OR($A767&lt;MIN(KW_TP!$A$2:$A$2501),$A767&gt;MAX(KW_TP!$A$2:$A$2501)),NA(),INDEX(KW_TP!$C$2:$C$2501,MATCH($A767,KW_TP!$A$2:$A$2501,1))))</f>
        <v/>
      </c>
      <c r="Q767" s="18">
        <f>IF(NOT(ISNUMBER($A767)),NA(),IFERROR(1*INDEX(BBG_Data!$J$2:$J$4000,MATCH($A767,BBG_Data!$I$2:$I$4000,0)),NA()))</f>
        <v/>
      </c>
      <c r="R767" s="18">
        <f>IF(NOT(ISNUMBER($A767)),NA(),IFERROR(1*INDEX(BBG_Data!$L$2:$L$4000,MATCH($A767,BBG_Data!$K$2:$K$4000,0)),NA()))</f>
        <v/>
      </c>
      <c r="S767" s="20">
        <f>IF(AND(ISNUMBER(B767),ISNUMBER(Q767),ISNUMBER(R767)),(B767-Q767-R767)*100,NA())</f>
        <v/>
      </c>
      <c r="T767" s="20">
        <f>IF(AND(ISNUMBER(B767),Settings!$B$17&gt;0),IF(ISNUMBER(INDEX($B:$B,Settings!$B$17)),(B767-INDEX($B:$B,Settings!$B$17))*100,NA()),NA())</f>
        <v/>
      </c>
      <c r="U767" s="20">
        <f>IF(AND(ISNUMBER(Q767),Settings!$B$17&gt;0),IF(ISNUMBER(INDEX($Q:$Q,Settings!$B$17)),(Q767-INDEX($Q:$Q,Settings!$B$17))*100,NA()),NA())</f>
        <v/>
      </c>
      <c r="V767" s="20">
        <f>IF(AND(ISNUMBER(R767),Settings!$B$17&gt;0),IF(ISNUMBER(INDEX($R:$R,Settings!$B$17)),(R767-INDEX($R:$R,Settings!$B$17))*100,NA()),NA())</f>
        <v/>
      </c>
      <c r="W767" s="20">
        <f>IF(AND(ISNUMBER(P767),Settings!$B$17&gt;0),IF(ISNUMBER(INDEX($P:$P,Settings!$B$17)),P767-INDEX($P:$P,Settings!$B$17),NA()),NA())</f>
        <v/>
      </c>
      <c r="X767" s="19">
        <f>IF(NOT(ISNUMBER($A767)),NA(),IF(OR($A767&lt;MIN(DKW_10Y!$A$2:$A$2918),$A767&gt;MAX(DKW_10Y!$A$2:$A$2918),Settings!$B$16&lt;MIN(DKW_10Y!$A$2:$A$2918)),NA(),(INDEX(DKW_10Y!$B$2:$B$2918,MATCH($A767,DKW_10Y!$A$2:$A$2918,1))-INDEX(DKW_10Y!$B$2:$B$2918,MATCH(Settings!$B$16,DKW_10Y!$A$2:$A$2918,1)))*100))</f>
        <v/>
      </c>
      <c r="Y767" s="19">
        <f>IF(NOT(ISNUMBER($A767)),NA(),IF(OR($A767&lt;MIN(DKW_10Y!$A$2:$A$2918),$A767&gt;MAX(DKW_10Y!$A$2:$A$2918),Settings!$B$16&lt;MIN(DKW_10Y!$A$2:$A$2918)),NA(),(INDEX(DKW_10Y!$C$2:$C$2918,MATCH($A767,DKW_10Y!$A$2:$A$2918,1))-INDEX(DKW_10Y!$C$2:$C$2918,MATCH(Settings!$B$16,DKW_10Y!$A$2:$A$2918,1)))*100))</f>
        <v/>
      </c>
      <c r="Z767" s="19">
        <f>IF(NOT(ISNUMBER($A767)),NA(),IF(OR($A767&lt;MIN(DKW_10Y!$A$2:$A$2918),$A767&gt;MAX(DKW_10Y!$A$2:$A$2918),Settings!$B$16&lt;MIN(DKW_10Y!$A$2:$A$2918)),NA(),(INDEX(DKW_10Y!$D$2:$D$2918,MATCH($A767,DKW_10Y!$A$2:$A$2918,1))-INDEX(DKW_10Y!$D$2:$D$2918,MATCH(Settings!$B$16,DKW_10Y!$A$2:$A$2918,1)))*100))</f>
        <v/>
      </c>
      <c r="AA767" s="19">
        <f>IF(NOT(ISNUMBER($A767)),NA(),IF(OR($A767&lt;MIN(DKW_10Y!$A$2:$A$2918),$A767&gt;MAX(DKW_10Y!$A$2:$A$2918),Settings!$B$16&lt;MIN(DKW_10Y!$A$2:$A$2918)),NA(),(INDEX(DKW_10Y!$E$2:$E$2918,MATCH($A767,DKW_10Y!$A$2:$A$2918,1))-INDEX(DKW_10Y!$E$2:$E$2918,MATCH(Settings!$B$16,DKW_10Y!$A$2:$A$2918,1)))*100))</f>
        <v/>
      </c>
      <c r="AB767" s="19">
        <f>IF(NOT(ISNUMBER($A767)),NA(),IF(OR($A767&lt;MIN(DKW_10Y!$A$2:$A$2918),$A767&gt;MAX(DKW_10Y!$A$2:$A$2918),Settings!$B$16&lt;MIN(DKW_10Y!$A$2:$A$2918)),NA(),(INDEX(DKW_10Y!$H$2:$H$2918,MATCH($A767,DKW_10Y!$A$2:$A$2918,1))-INDEX(DKW_10Y!$H$2:$H$2918,MATCH(Settings!$B$16,DKW_10Y!$A$2:$A$2918,1)))*100))</f>
        <v/>
      </c>
      <c r="AC767" s="18">
        <f>IF(NOT(ISNUMBER($A767)),NA(),IFERROR(1*INDEX(BBG_Data!$N$2:$N$4000,MATCH($A767,BBG_Data!$M$2:$M$4000,0)),NA()))</f>
        <v/>
      </c>
      <c r="AD767" s="18">
        <f>IF(NOT(ISNUMBER($A767)),NA(),IFERROR(1*INDEX(BBG_Data!$P$2:$P$4000,MATCH($A767,BBG_Data!$O$2:$O$4000,0)),NA()))</f>
        <v/>
      </c>
      <c r="AE767" s="18">
        <f>IF(NOT(ISNUMBER($A767)),NA(),IFERROR(1*INDEX(BBG_Data!$R$2:$R$4000,MATCH($A767,BBG_Data!$Q$2:$Q$4000,0)),NA()))</f>
        <v/>
      </c>
      <c r="AF767" s="20">
        <f>IF(AND(ISNUMBER(B767),ISNUMBER(AC767)),(B767-AC767)*100,NA())</f>
        <v/>
      </c>
      <c r="AG767" s="20">
        <f>IF(AND(ISNUMBER(AE767),ISNUMBER(AD767)),(AE767-AD767)*100,NA())</f>
        <v/>
      </c>
      <c r="AH767" s="19">
        <f>IF(NOT(ISNUMBER($A767)),NA(),IFERROR(INDEX(BBG_Data!$T$2:$T$4000,MATCH($A767,BBG_Data!$S$2:$S$4000,0))*Settings!$B$25,NA()))</f>
        <v/>
      </c>
      <c r="AI767" s="19">
        <f>IF(NOT(ISNUMBER($A767)),NA(),IFERROR(INDEX(BBG_Data!$V$2:$V$4000,MATCH($A767,BBG_Data!$U$2:$U$4000,0))*Settings!$B$25,NA()))</f>
        <v/>
      </c>
      <c r="AJ767" s="19">
        <f>IF(NOT(ISNUMBER($A767)),NA(),IFERROR(1*INDEX(BBG_Data!$X$2:$X$4000,MATCH($A767,BBG_Data!$W$2:$W$4000,0)),NA()))</f>
        <v/>
      </c>
      <c r="AK767" s="19">
        <f>IF(NOT(ISNUMBER($A767)),NA(),IFERROR(1*INDEX(BBG_Data!$Z$2:$Z$4000,MATCH($A767,BBG_Data!$Y$2:$Y$4000,0)),NA()))</f>
        <v/>
      </c>
    </row>
    <row r="768">
      <c r="A768" s="17">
        <f>IF(ISNUMBER(BBG_Data!A768),BBG_Data!A768,"")</f>
        <v/>
      </c>
      <c r="B768" s="18">
        <f>IF(AND(ISNUMBER($A768),ISNUMBER(BBG_Data!B768)),BBG_Data!B768,NA())</f>
        <v/>
      </c>
      <c r="C768" s="18">
        <f>IF(NOT(ISNUMBER($A768)),NA(),IFERROR(1*INDEX(BBG_Data!$D$2:$D$4000,MATCH($A768,BBG_Data!$C$2:$C$4000,0)),NA()))</f>
        <v/>
      </c>
      <c r="D768" s="19">
        <f>IF(NOT(ISNUMBER($A768)),NA(),IFERROR(1*INDEX(BBG_Data!$F$2:$F$4000,MATCH($A768,BBG_Data!$E$2:$E$4000,0)),NA()))</f>
        <v/>
      </c>
      <c r="E768" s="19">
        <f>IF(NOT(ISNUMBER($A768)),NA(),IFERROR(1*INDEX(BBG_Data!$H$2:$H$4000,MATCH($A768,BBG_Data!$G$2:$G$4000,0)),NA()))</f>
        <v/>
      </c>
      <c r="F768" s="20">
        <f>IF(AND(ISNUMBER(B768),ISNUMBER(B767)),IF(B768=B767,"",(B768-B767)*100),"")</f>
        <v/>
      </c>
      <c r="G768" s="20">
        <f>IF(AND(ISNUMBER(C768),ISNUMBER(C767)),IF(C768=C767,"",(C768-C767)*100),"")</f>
        <v/>
      </c>
      <c r="H768" s="20">
        <f>IF(OR(NOT(ISNUMBER($A768)),ROW()-2&lt;Settings!$B$11),NA(),IF(COUNT(OFFSET(F768,1-Settings!$B$11,0,Settings!$B$11,1))&lt;ROUNDUP(Settings!$B$11*Settings!$B$26,0),NA(),STDEV(OFFSET(F768,1-Settings!$B$11,0,Settings!$B$11,1))*SQRT(Settings!$B$13)))</f>
        <v/>
      </c>
      <c r="I768" s="20">
        <f>IF(OR(NOT(ISNUMBER($A768)),ROW()-2&lt;Settings!$B$12),NA(),IF(COUNT(OFFSET(F768,1-Settings!$B$12,0,Settings!$B$12,1))&lt;ROUNDUP(Settings!$B$12*Settings!$B$26,0),NA(),STDEV(OFFSET(F768,1-Settings!$B$12,0,Settings!$B$12,1))*SQRT(Settings!$B$13)))</f>
        <v/>
      </c>
      <c r="J768" s="20">
        <f>IF(OR(NOT(ISNUMBER($A768)),ROW()-2&lt;Settings!$B$11),NA(),IF(COUNT(OFFSET(G768,1-Settings!$B$11,0,Settings!$B$11,1))&lt;ROUNDUP(Settings!$B$11*Settings!$B$26,0),NA(),STDEV(OFFSET(G768,1-Settings!$B$11,0,Settings!$B$11,1))*SQRT(Settings!$B$13)))</f>
        <v/>
      </c>
      <c r="K768" s="20">
        <f>IF(OR(NOT(ISNUMBER($A768)),ROW()-2&lt;Settings!$B$12),NA(),IF(COUNT(OFFSET(G768,1-Settings!$B$12,0,Settings!$B$12,1))&lt;ROUNDUP(Settings!$B$12*Settings!$B$26,0),NA(),STDEV(OFFSET(G768,1-Settings!$B$12,0,Settings!$B$12,1))*SQRT(Settings!$B$13)))</f>
        <v/>
      </c>
      <c r="L768" s="20">
        <f>IF(AND(ISNUMBER(D768),ISNUMBER(H768)),D768-H768,NA())</f>
        <v/>
      </c>
      <c r="M768" s="20">
        <f>IF(AND(ISNUMBER(E768),ISNUMBER(K768)),E768-K768,NA())</f>
        <v/>
      </c>
      <c r="N768" s="20">
        <f>IF(NOT(ISNUMBER($A768)),NA(),IF(COUNT(OFFSET(G768,1,0,Settings!$B$12,1))&lt;ROUNDUP(Settings!$B$12*Settings!$B$26,0),NA(),STDEV(OFFSET(G768,1,0,Settings!$B$12,1))*SQRT(Settings!$B$13)))</f>
        <v/>
      </c>
      <c r="O768" s="20">
        <f>IF(AND(ISNUMBER(E768),ISNUMBER(N768)),E768-N768,NA())</f>
        <v/>
      </c>
      <c r="P768" s="19">
        <f>IF(NOT(ISNUMBER($A768)),NA(),IF(OR($A768&lt;MIN(KW_TP!$A$2:$A$2501),$A768&gt;MAX(KW_TP!$A$2:$A$2501)),NA(),INDEX(KW_TP!$C$2:$C$2501,MATCH($A768,KW_TP!$A$2:$A$2501,1))))</f>
        <v/>
      </c>
      <c r="Q768" s="18">
        <f>IF(NOT(ISNUMBER($A768)),NA(),IFERROR(1*INDEX(BBG_Data!$J$2:$J$4000,MATCH($A768,BBG_Data!$I$2:$I$4000,0)),NA()))</f>
        <v/>
      </c>
      <c r="R768" s="18">
        <f>IF(NOT(ISNUMBER($A768)),NA(),IFERROR(1*INDEX(BBG_Data!$L$2:$L$4000,MATCH($A768,BBG_Data!$K$2:$K$4000,0)),NA()))</f>
        <v/>
      </c>
      <c r="S768" s="20">
        <f>IF(AND(ISNUMBER(B768),ISNUMBER(Q768),ISNUMBER(R768)),(B768-Q768-R768)*100,NA())</f>
        <v/>
      </c>
      <c r="T768" s="20">
        <f>IF(AND(ISNUMBER(B768),Settings!$B$17&gt;0),IF(ISNUMBER(INDEX($B:$B,Settings!$B$17)),(B768-INDEX($B:$B,Settings!$B$17))*100,NA()),NA())</f>
        <v/>
      </c>
      <c r="U768" s="20">
        <f>IF(AND(ISNUMBER(Q768),Settings!$B$17&gt;0),IF(ISNUMBER(INDEX($Q:$Q,Settings!$B$17)),(Q768-INDEX($Q:$Q,Settings!$B$17))*100,NA()),NA())</f>
        <v/>
      </c>
      <c r="V768" s="20">
        <f>IF(AND(ISNUMBER(R768),Settings!$B$17&gt;0),IF(ISNUMBER(INDEX($R:$R,Settings!$B$17)),(R768-INDEX($R:$R,Settings!$B$17))*100,NA()),NA())</f>
        <v/>
      </c>
      <c r="W768" s="20">
        <f>IF(AND(ISNUMBER(P768),Settings!$B$17&gt;0),IF(ISNUMBER(INDEX($P:$P,Settings!$B$17)),P768-INDEX($P:$P,Settings!$B$17),NA()),NA())</f>
        <v/>
      </c>
      <c r="X768" s="19">
        <f>IF(NOT(ISNUMBER($A768)),NA(),IF(OR($A768&lt;MIN(DKW_10Y!$A$2:$A$2918),$A768&gt;MAX(DKW_10Y!$A$2:$A$2918),Settings!$B$16&lt;MIN(DKW_10Y!$A$2:$A$2918)),NA(),(INDEX(DKW_10Y!$B$2:$B$2918,MATCH($A768,DKW_10Y!$A$2:$A$2918,1))-INDEX(DKW_10Y!$B$2:$B$2918,MATCH(Settings!$B$16,DKW_10Y!$A$2:$A$2918,1)))*100))</f>
        <v/>
      </c>
      <c r="Y768" s="19">
        <f>IF(NOT(ISNUMBER($A768)),NA(),IF(OR($A768&lt;MIN(DKW_10Y!$A$2:$A$2918),$A768&gt;MAX(DKW_10Y!$A$2:$A$2918),Settings!$B$16&lt;MIN(DKW_10Y!$A$2:$A$2918)),NA(),(INDEX(DKW_10Y!$C$2:$C$2918,MATCH($A768,DKW_10Y!$A$2:$A$2918,1))-INDEX(DKW_10Y!$C$2:$C$2918,MATCH(Settings!$B$16,DKW_10Y!$A$2:$A$2918,1)))*100))</f>
        <v/>
      </c>
      <c r="Z768" s="19">
        <f>IF(NOT(ISNUMBER($A768)),NA(),IF(OR($A768&lt;MIN(DKW_10Y!$A$2:$A$2918),$A768&gt;MAX(DKW_10Y!$A$2:$A$2918),Settings!$B$16&lt;MIN(DKW_10Y!$A$2:$A$2918)),NA(),(INDEX(DKW_10Y!$D$2:$D$2918,MATCH($A768,DKW_10Y!$A$2:$A$2918,1))-INDEX(DKW_10Y!$D$2:$D$2918,MATCH(Settings!$B$16,DKW_10Y!$A$2:$A$2918,1)))*100))</f>
        <v/>
      </c>
      <c r="AA768" s="19">
        <f>IF(NOT(ISNUMBER($A768)),NA(),IF(OR($A768&lt;MIN(DKW_10Y!$A$2:$A$2918),$A768&gt;MAX(DKW_10Y!$A$2:$A$2918),Settings!$B$16&lt;MIN(DKW_10Y!$A$2:$A$2918)),NA(),(INDEX(DKW_10Y!$E$2:$E$2918,MATCH($A768,DKW_10Y!$A$2:$A$2918,1))-INDEX(DKW_10Y!$E$2:$E$2918,MATCH(Settings!$B$16,DKW_10Y!$A$2:$A$2918,1)))*100))</f>
        <v/>
      </c>
      <c r="AB768" s="19">
        <f>IF(NOT(ISNUMBER($A768)),NA(),IF(OR($A768&lt;MIN(DKW_10Y!$A$2:$A$2918),$A768&gt;MAX(DKW_10Y!$A$2:$A$2918),Settings!$B$16&lt;MIN(DKW_10Y!$A$2:$A$2918)),NA(),(INDEX(DKW_10Y!$H$2:$H$2918,MATCH($A768,DKW_10Y!$A$2:$A$2918,1))-INDEX(DKW_10Y!$H$2:$H$2918,MATCH(Settings!$B$16,DKW_10Y!$A$2:$A$2918,1)))*100))</f>
        <v/>
      </c>
      <c r="AC768" s="18">
        <f>IF(NOT(ISNUMBER($A768)),NA(),IFERROR(1*INDEX(BBG_Data!$N$2:$N$4000,MATCH($A768,BBG_Data!$M$2:$M$4000,0)),NA()))</f>
        <v/>
      </c>
      <c r="AD768" s="18">
        <f>IF(NOT(ISNUMBER($A768)),NA(),IFERROR(1*INDEX(BBG_Data!$P$2:$P$4000,MATCH($A768,BBG_Data!$O$2:$O$4000,0)),NA()))</f>
        <v/>
      </c>
      <c r="AE768" s="18">
        <f>IF(NOT(ISNUMBER($A768)),NA(),IFERROR(1*INDEX(BBG_Data!$R$2:$R$4000,MATCH($A768,BBG_Data!$Q$2:$Q$4000,0)),NA()))</f>
        <v/>
      </c>
      <c r="AF768" s="20">
        <f>IF(AND(ISNUMBER(B768),ISNUMBER(AC768)),(B768-AC768)*100,NA())</f>
        <v/>
      </c>
      <c r="AG768" s="20">
        <f>IF(AND(ISNUMBER(AE768),ISNUMBER(AD768)),(AE768-AD768)*100,NA())</f>
        <v/>
      </c>
      <c r="AH768" s="19">
        <f>IF(NOT(ISNUMBER($A768)),NA(),IFERROR(INDEX(BBG_Data!$T$2:$T$4000,MATCH($A768,BBG_Data!$S$2:$S$4000,0))*Settings!$B$25,NA()))</f>
        <v/>
      </c>
      <c r="AI768" s="19">
        <f>IF(NOT(ISNUMBER($A768)),NA(),IFERROR(INDEX(BBG_Data!$V$2:$V$4000,MATCH($A768,BBG_Data!$U$2:$U$4000,0))*Settings!$B$25,NA()))</f>
        <v/>
      </c>
      <c r="AJ768" s="19">
        <f>IF(NOT(ISNUMBER($A768)),NA(),IFERROR(1*INDEX(BBG_Data!$X$2:$X$4000,MATCH($A768,BBG_Data!$W$2:$W$4000,0)),NA()))</f>
        <v/>
      </c>
      <c r="AK768" s="19">
        <f>IF(NOT(ISNUMBER($A768)),NA(),IFERROR(1*INDEX(BBG_Data!$Z$2:$Z$4000,MATCH($A768,BBG_Data!$Y$2:$Y$4000,0)),NA()))</f>
        <v/>
      </c>
    </row>
    <row r="769">
      <c r="A769" s="17">
        <f>IF(ISNUMBER(BBG_Data!A769),BBG_Data!A769,"")</f>
        <v/>
      </c>
      <c r="B769" s="18">
        <f>IF(AND(ISNUMBER($A769),ISNUMBER(BBG_Data!B769)),BBG_Data!B769,NA())</f>
        <v/>
      </c>
      <c r="C769" s="18">
        <f>IF(NOT(ISNUMBER($A769)),NA(),IFERROR(1*INDEX(BBG_Data!$D$2:$D$4000,MATCH($A769,BBG_Data!$C$2:$C$4000,0)),NA()))</f>
        <v/>
      </c>
      <c r="D769" s="19">
        <f>IF(NOT(ISNUMBER($A769)),NA(),IFERROR(1*INDEX(BBG_Data!$F$2:$F$4000,MATCH($A769,BBG_Data!$E$2:$E$4000,0)),NA()))</f>
        <v/>
      </c>
      <c r="E769" s="19">
        <f>IF(NOT(ISNUMBER($A769)),NA(),IFERROR(1*INDEX(BBG_Data!$H$2:$H$4000,MATCH($A769,BBG_Data!$G$2:$G$4000,0)),NA()))</f>
        <v/>
      </c>
      <c r="F769" s="20">
        <f>IF(AND(ISNUMBER(B769),ISNUMBER(B768)),IF(B769=B768,"",(B769-B768)*100),"")</f>
        <v/>
      </c>
      <c r="G769" s="20">
        <f>IF(AND(ISNUMBER(C769),ISNUMBER(C768)),IF(C769=C768,"",(C769-C768)*100),"")</f>
        <v/>
      </c>
      <c r="H769" s="20">
        <f>IF(OR(NOT(ISNUMBER($A769)),ROW()-2&lt;Settings!$B$11),NA(),IF(COUNT(OFFSET(F769,1-Settings!$B$11,0,Settings!$B$11,1))&lt;ROUNDUP(Settings!$B$11*Settings!$B$26,0),NA(),STDEV(OFFSET(F769,1-Settings!$B$11,0,Settings!$B$11,1))*SQRT(Settings!$B$13)))</f>
        <v/>
      </c>
      <c r="I769" s="20">
        <f>IF(OR(NOT(ISNUMBER($A769)),ROW()-2&lt;Settings!$B$12),NA(),IF(COUNT(OFFSET(F769,1-Settings!$B$12,0,Settings!$B$12,1))&lt;ROUNDUP(Settings!$B$12*Settings!$B$26,0),NA(),STDEV(OFFSET(F769,1-Settings!$B$12,0,Settings!$B$12,1))*SQRT(Settings!$B$13)))</f>
        <v/>
      </c>
      <c r="J769" s="20">
        <f>IF(OR(NOT(ISNUMBER($A769)),ROW()-2&lt;Settings!$B$11),NA(),IF(COUNT(OFFSET(G769,1-Settings!$B$11,0,Settings!$B$11,1))&lt;ROUNDUP(Settings!$B$11*Settings!$B$26,0),NA(),STDEV(OFFSET(G769,1-Settings!$B$11,0,Settings!$B$11,1))*SQRT(Settings!$B$13)))</f>
        <v/>
      </c>
      <c r="K769" s="20">
        <f>IF(OR(NOT(ISNUMBER($A769)),ROW()-2&lt;Settings!$B$12),NA(),IF(COUNT(OFFSET(G769,1-Settings!$B$12,0,Settings!$B$12,1))&lt;ROUNDUP(Settings!$B$12*Settings!$B$26,0),NA(),STDEV(OFFSET(G769,1-Settings!$B$12,0,Settings!$B$12,1))*SQRT(Settings!$B$13)))</f>
        <v/>
      </c>
      <c r="L769" s="20">
        <f>IF(AND(ISNUMBER(D769),ISNUMBER(H769)),D769-H769,NA())</f>
        <v/>
      </c>
      <c r="M769" s="20">
        <f>IF(AND(ISNUMBER(E769),ISNUMBER(K769)),E769-K769,NA())</f>
        <v/>
      </c>
      <c r="N769" s="20">
        <f>IF(NOT(ISNUMBER($A769)),NA(),IF(COUNT(OFFSET(G769,1,0,Settings!$B$12,1))&lt;ROUNDUP(Settings!$B$12*Settings!$B$26,0),NA(),STDEV(OFFSET(G769,1,0,Settings!$B$12,1))*SQRT(Settings!$B$13)))</f>
        <v/>
      </c>
      <c r="O769" s="20">
        <f>IF(AND(ISNUMBER(E769),ISNUMBER(N769)),E769-N769,NA())</f>
        <v/>
      </c>
      <c r="P769" s="19">
        <f>IF(NOT(ISNUMBER($A769)),NA(),IF(OR($A769&lt;MIN(KW_TP!$A$2:$A$2501),$A769&gt;MAX(KW_TP!$A$2:$A$2501)),NA(),INDEX(KW_TP!$C$2:$C$2501,MATCH($A769,KW_TP!$A$2:$A$2501,1))))</f>
        <v/>
      </c>
      <c r="Q769" s="18">
        <f>IF(NOT(ISNUMBER($A769)),NA(),IFERROR(1*INDEX(BBG_Data!$J$2:$J$4000,MATCH($A769,BBG_Data!$I$2:$I$4000,0)),NA()))</f>
        <v/>
      </c>
      <c r="R769" s="18">
        <f>IF(NOT(ISNUMBER($A769)),NA(),IFERROR(1*INDEX(BBG_Data!$L$2:$L$4000,MATCH($A769,BBG_Data!$K$2:$K$4000,0)),NA()))</f>
        <v/>
      </c>
      <c r="S769" s="20">
        <f>IF(AND(ISNUMBER(B769),ISNUMBER(Q769),ISNUMBER(R769)),(B769-Q769-R769)*100,NA())</f>
        <v/>
      </c>
      <c r="T769" s="20">
        <f>IF(AND(ISNUMBER(B769),Settings!$B$17&gt;0),IF(ISNUMBER(INDEX($B:$B,Settings!$B$17)),(B769-INDEX($B:$B,Settings!$B$17))*100,NA()),NA())</f>
        <v/>
      </c>
      <c r="U769" s="20">
        <f>IF(AND(ISNUMBER(Q769),Settings!$B$17&gt;0),IF(ISNUMBER(INDEX($Q:$Q,Settings!$B$17)),(Q769-INDEX($Q:$Q,Settings!$B$17))*100,NA()),NA())</f>
        <v/>
      </c>
      <c r="V769" s="20">
        <f>IF(AND(ISNUMBER(R769),Settings!$B$17&gt;0),IF(ISNUMBER(INDEX($R:$R,Settings!$B$17)),(R769-INDEX($R:$R,Settings!$B$17))*100,NA()),NA())</f>
        <v/>
      </c>
      <c r="W769" s="20">
        <f>IF(AND(ISNUMBER(P769),Settings!$B$17&gt;0),IF(ISNUMBER(INDEX($P:$P,Settings!$B$17)),P769-INDEX($P:$P,Settings!$B$17),NA()),NA())</f>
        <v/>
      </c>
      <c r="X769" s="19">
        <f>IF(NOT(ISNUMBER($A769)),NA(),IF(OR($A769&lt;MIN(DKW_10Y!$A$2:$A$2918),$A769&gt;MAX(DKW_10Y!$A$2:$A$2918),Settings!$B$16&lt;MIN(DKW_10Y!$A$2:$A$2918)),NA(),(INDEX(DKW_10Y!$B$2:$B$2918,MATCH($A769,DKW_10Y!$A$2:$A$2918,1))-INDEX(DKW_10Y!$B$2:$B$2918,MATCH(Settings!$B$16,DKW_10Y!$A$2:$A$2918,1)))*100))</f>
        <v/>
      </c>
      <c r="Y769" s="19">
        <f>IF(NOT(ISNUMBER($A769)),NA(),IF(OR($A769&lt;MIN(DKW_10Y!$A$2:$A$2918),$A769&gt;MAX(DKW_10Y!$A$2:$A$2918),Settings!$B$16&lt;MIN(DKW_10Y!$A$2:$A$2918)),NA(),(INDEX(DKW_10Y!$C$2:$C$2918,MATCH($A769,DKW_10Y!$A$2:$A$2918,1))-INDEX(DKW_10Y!$C$2:$C$2918,MATCH(Settings!$B$16,DKW_10Y!$A$2:$A$2918,1)))*100))</f>
        <v/>
      </c>
      <c r="Z769" s="19">
        <f>IF(NOT(ISNUMBER($A769)),NA(),IF(OR($A769&lt;MIN(DKW_10Y!$A$2:$A$2918),$A769&gt;MAX(DKW_10Y!$A$2:$A$2918),Settings!$B$16&lt;MIN(DKW_10Y!$A$2:$A$2918)),NA(),(INDEX(DKW_10Y!$D$2:$D$2918,MATCH($A769,DKW_10Y!$A$2:$A$2918,1))-INDEX(DKW_10Y!$D$2:$D$2918,MATCH(Settings!$B$16,DKW_10Y!$A$2:$A$2918,1)))*100))</f>
        <v/>
      </c>
      <c r="AA769" s="19">
        <f>IF(NOT(ISNUMBER($A769)),NA(),IF(OR($A769&lt;MIN(DKW_10Y!$A$2:$A$2918),$A769&gt;MAX(DKW_10Y!$A$2:$A$2918),Settings!$B$16&lt;MIN(DKW_10Y!$A$2:$A$2918)),NA(),(INDEX(DKW_10Y!$E$2:$E$2918,MATCH($A769,DKW_10Y!$A$2:$A$2918,1))-INDEX(DKW_10Y!$E$2:$E$2918,MATCH(Settings!$B$16,DKW_10Y!$A$2:$A$2918,1)))*100))</f>
        <v/>
      </c>
      <c r="AB769" s="19">
        <f>IF(NOT(ISNUMBER($A769)),NA(),IF(OR($A769&lt;MIN(DKW_10Y!$A$2:$A$2918),$A769&gt;MAX(DKW_10Y!$A$2:$A$2918),Settings!$B$16&lt;MIN(DKW_10Y!$A$2:$A$2918)),NA(),(INDEX(DKW_10Y!$H$2:$H$2918,MATCH($A769,DKW_10Y!$A$2:$A$2918,1))-INDEX(DKW_10Y!$H$2:$H$2918,MATCH(Settings!$B$16,DKW_10Y!$A$2:$A$2918,1)))*100))</f>
        <v/>
      </c>
      <c r="AC769" s="18">
        <f>IF(NOT(ISNUMBER($A769)),NA(),IFERROR(1*INDEX(BBG_Data!$N$2:$N$4000,MATCH($A769,BBG_Data!$M$2:$M$4000,0)),NA()))</f>
        <v/>
      </c>
      <c r="AD769" s="18">
        <f>IF(NOT(ISNUMBER($A769)),NA(),IFERROR(1*INDEX(BBG_Data!$P$2:$P$4000,MATCH($A769,BBG_Data!$O$2:$O$4000,0)),NA()))</f>
        <v/>
      </c>
      <c r="AE769" s="18">
        <f>IF(NOT(ISNUMBER($A769)),NA(),IFERROR(1*INDEX(BBG_Data!$R$2:$R$4000,MATCH($A769,BBG_Data!$Q$2:$Q$4000,0)),NA()))</f>
        <v/>
      </c>
      <c r="AF769" s="20">
        <f>IF(AND(ISNUMBER(B769),ISNUMBER(AC769)),(B769-AC769)*100,NA())</f>
        <v/>
      </c>
      <c r="AG769" s="20">
        <f>IF(AND(ISNUMBER(AE769),ISNUMBER(AD769)),(AE769-AD769)*100,NA())</f>
        <v/>
      </c>
      <c r="AH769" s="19">
        <f>IF(NOT(ISNUMBER($A769)),NA(),IFERROR(INDEX(BBG_Data!$T$2:$T$4000,MATCH($A769,BBG_Data!$S$2:$S$4000,0))*Settings!$B$25,NA()))</f>
        <v/>
      </c>
      <c r="AI769" s="19">
        <f>IF(NOT(ISNUMBER($A769)),NA(),IFERROR(INDEX(BBG_Data!$V$2:$V$4000,MATCH($A769,BBG_Data!$U$2:$U$4000,0))*Settings!$B$25,NA()))</f>
        <v/>
      </c>
      <c r="AJ769" s="19">
        <f>IF(NOT(ISNUMBER($A769)),NA(),IFERROR(1*INDEX(BBG_Data!$X$2:$X$4000,MATCH($A769,BBG_Data!$W$2:$W$4000,0)),NA()))</f>
        <v/>
      </c>
      <c r="AK769" s="19">
        <f>IF(NOT(ISNUMBER($A769)),NA(),IFERROR(1*INDEX(BBG_Data!$Z$2:$Z$4000,MATCH($A769,BBG_Data!$Y$2:$Y$4000,0)),NA()))</f>
        <v/>
      </c>
    </row>
    <row r="770">
      <c r="A770" s="17">
        <f>IF(ISNUMBER(BBG_Data!A770),BBG_Data!A770,"")</f>
        <v/>
      </c>
      <c r="B770" s="18">
        <f>IF(AND(ISNUMBER($A770),ISNUMBER(BBG_Data!B770)),BBG_Data!B770,NA())</f>
        <v/>
      </c>
      <c r="C770" s="18">
        <f>IF(NOT(ISNUMBER($A770)),NA(),IFERROR(1*INDEX(BBG_Data!$D$2:$D$4000,MATCH($A770,BBG_Data!$C$2:$C$4000,0)),NA()))</f>
        <v/>
      </c>
      <c r="D770" s="19">
        <f>IF(NOT(ISNUMBER($A770)),NA(),IFERROR(1*INDEX(BBG_Data!$F$2:$F$4000,MATCH($A770,BBG_Data!$E$2:$E$4000,0)),NA()))</f>
        <v/>
      </c>
      <c r="E770" s="19">
        <f>IF(NOT(ISNUMBER($A770)),NA(),IFERROR(1*INDEX(BBG_Data!$H$2:$H$4000,MATCH($A770,BBG_Data!$G$2:$G$4000,0)),NA()))</f>
        <v/>
      </c>
      <c r="F770" s="20">
        <f>IF(AND(ISNUMBER(B770),ISNUMBER(B769)),IF(B770=B769,"",(B770-B769)*100),"")</f>
        <v/>
      </c>
      <c r="G770" s="20">
        <f>IF(AND(ISNUMBER(C770),ISNUMBER(C769)),IF(C770=C769,"",(C770-C769)*100),"")</f>
        <v/>
      </c>
      <c r="H770" s="20">
        <f>IF(OR(NOT(ISNUMBER($A770)),ROW()-2&lt;Settings!$B$11),NA(),IF(COUNT(OFFSET(F770,1-Settings!$B$11,0,Settings!$B$11,1))&lt;ROUNDUP(Settings!$B$11*Settings!$B$26,0),NA(),STDEV(OFFSET(F770,1-Settings!$B$11,0,Settings!$B$11,1))*SQRT(Settings!$B$13)))</f>
        <v/>
      </c>
      <c r="I770" s="20">
        <f>IF(OR(NOT(ISNUMBER($A770)),ROW()-2&lt;Settings!$B$12),NA(),IF(COUNT(OFFSET(F770,1-Settings!$B$12,0,Settings!$B$12,1))&lt;ROUNDUP(Settings!$B$12*Settings!$B$26,0),NA(),STDEV(OFFSET(F770,1-Settings!$B$12,0,Settings!$B$12,1))*SQRT(Settings!$B$13)))</f>
        <v/>
      </c>
      <c r="J770" s="20">
        <f>IF(OR(NOT(ISNUMBER($A770)),ROW()-2&lt;Settings!$B$11),NA(),IF(COUNT(OFFSET(G770,1-Settings!$B$11,0,Settings!$B$11,1))&lt;ROUNDUP(Settings!$B$11*Settings!$B$26,0),NA(),STDEV(OFFSET(G770,1-Settings!$B$11,0,Settings!$B$11,1))*SQRT(Settings!$B$13)))</f>
        <v/>
      </c>
      <c r="K770" s="20">
        <f>IF(OR(NOT(ISNUMBER($A770)),ROW()-2&lt;Settings!$B$12),NA(),IF(COUNT(OFFSET(G770,1-Settings!$B$12,0,Settings!$B$12,1))&lt;ROUNDUP(Settings!$B$12*Settings!$B$26,0),NA(),STDEV(OFFSET(G770,1-Settings!$B$12,0,Settings!$B$12,1))*SQRT(Settings!$B$13)))</f>
        <v/>
      </c>
      <c r="L770" s="20">
        <f>IF(AND(ISNUMBER(D770),ISNUMBER(H770)),D770-H770,NA())</f>
        <v/>
      </c>
      <c r="M770" s="20">
        <f>IF(AND(ISNUMBER(E770),ISNUMBER(K770)),E770-K770,NA())</f>
        <v/>
      </c>
      <c r="N770" s="20">
        <f>IF(NOT(ISNUMBER($A770)),NA(),IF(COUNT(OFFSET(G770,1,0,Settings!$B$12,1))&lt;ROUNDUP(Settings!$B$12*Settings!$B$26,0),NA(),STDEV(OFFSET(G770,1,0,Settings!$B$12,1))*SQRT(Settings!$B$13)))</f>
        <v/>
      </c>
      <c r="O770" s="20">
        <f>IF(AND(ISNUMBER(E770),ISNUMBER(N770)),E770-N770,NA())</f>
        <v/>
      </c>
      <c r="P770" s="19">
        <f>IF(NOT(ISNUMBER($A770)),NA(),IF(OR($A770&lt;MIN(KW_TP!$A$2:$A$2501),$A770&gt;MAX(KW_TP!$A$2:$A$2501)),NA(),INDEX(KW_TP!$C$2:$C$2501,MATCH($A770,KW_TP!$A$2:$A$2501,1))))</f>
        <v/>
      </c>
      <c r="Q770" s="18">
        <f>IF(NOT(ISNUMBER($A770)),NA(),IFERROR(1*INDEX(BBG_Data!$J$2:$J$4000,MATCH($A770,BBG_Data!$I$2:$I$4000,0)),NA()))</f>
        <v/>
      </c>
      <c r="R770" s="18">
        <f>IF(NOT(ISNUMBER($A770)),NA(),IFERROR(1*INDEX(BBG_Data!$L$2:$L$4000,MATCH($A770,BBG_Data!$K$2:$K$4000,0)),NA()))</f>
        <v/>
      </c>
      <c r="S770" s="20">
        <f>IF(AND(ISNUMBER(B770),ISNUMBER(Q770),ISNUMBER(R770)),(B770-Q770-R770)*100,NA())</f>
        <v/>
      </c>
      <c r="T770" s="20">
        <f>IF(AND(ISNUMBER(B770),Settings!$B$17&gt;0),IF(ISNUMBER(INDEX($B:$B,Settings!$B$17)),(B770-INDEX($B:$B,Settings!$B$17))*100,NA()),NA())</f>
        <v/>
      </c>
      <c r="U770" s="20">
        <f>IF(AND(ISNUMBER(Q770),Settings!$B$17&gt;0),IF(ISNUMBER(INDEX($Q:$Q,Settings!$B$17)),(Q770-INDEX($Q:$Q,Settings!$B$17))*100,NA()),NA())</f>
        <v/>
      </c>
      <c r="V770" s="20">
        <f>IF(AND(ISNUMBER(R770),Settings!$B$17&gt;0),IF(ISNUMBER(INDEX($R:$R,Settings!$B$17)),(R770-INDEX($R:$R,Settings!$B$17))*100,NA()),NA())</f>
        <v/>
      </c>
      <c r="W770" s="20">
        <f>IF(AND(ISNUMBER(P770),Settings!$B$17&gt;0),IF(ISNUMBER(INDEX($P:$P,Settings!$B$17)),P770-INDEX($P:$P,Settings!$B$17),NA()),NA())</f>
        <v/>
      </c>
      <c r="X770" s="19">
        <f>IF(NOT(ISNUMBER($A770)),NA(),IF(OR($A770&lt;MIN(DKW_10Y!$A$2:$A$2918),$A770&gt;MAX(DKW_10Y!$A$2:$A$2918),Settings!$B$16&lt;MIN(DKW_10Y!$A$2:$A$2918)),NA(),(INDEX(DKW_10Y!$B$2:$B$2918,MATCH($A770,DKW_10Y!$A$2:$A$2918,1))-INDEX(DKW_10Y!$B$2:$B$2918,MATCH(Settings!$B$16,DKW_10Y!$A$2:$A$2918,1)))*100))</f>
        <v/>
      </c>
      <c r="Y770" s="19">
        <f>IF(NOT(ISNUMBER($A770)),NA(),IF(OR($A770&lt;MIN(DKW_10Y!$A$2:$A$2918),$A770&gt;MAX(DKW_10Y!$A$2:$A$2918),Settings!$B$16&lt;MIN(DKW_10Y!$A$2:$A$2918)),NA(),(INDEX(DKW_10Y!$C$2:$C$2918,MATCH($A770,DKW_10Y!$A$2:$A$2918,1))-INDEX(DKW_10Y!$C$2:$C$2918,MATCH(Settings!$B$16,DKW_10Y!$A$2:$A$2918,1)))*100))</f>
        <v/>
      </c>
      <c r="Z770" s="19">
        <f>IF(NOT(ISNUMBER($A770)),NA(),IF(OR($A770&lt;MIN(DKW_10Y!$A$2:$A$2918),$A770&gt;MAX(DKW_10Y!$A$2:$A$2918),Settings!$B$16&lt;MIN(DKW_10Y!$A$2:$A$2918)),NA(),(INDEX(DKW_10Y!$D$2:$D$2918,MATCH($A770,DKW_10Y!$A$2:$A$2918,1))-INDEX(DKW_10Y!$D$2:$D$2918,MATCH(Settings!$B$16,DKW_10Y!$A$2:$A$2918,1)))*100))</f>
        <v/>
      </c>
      <c r="AA770" s="19">
        <f>IF(NOT(ISNUMBER($A770)),NA(),IF(OR($A770&lt;MIN(DKW_10Y!$A$2:$A$2918),$A770&gt;MAX(DKW_10Y!$A$2:$A$2918),Settings!$B$16&lt;MIN(DKW_10Y!$A$2:$A$2918)),NA(),(INDEX(DKW_10Y!$E$2:$E$2918,MATCH($A770,DKW_10Y!$A$2:$A$2918,1))-INDEX(DKW_10Y!$E$2:$E$2918,MATCH(Settings!$B$16,DKW_10Y!$A$2:$A$2918,1)))*100))</f>
        <v/>
      </c>
      <c r="AB770" s="19">
        <f>IF(NOT(ISNUMBER($A770)),NA(),IF(OR($A770&lt;MIN(DKW_10Y!$A$2:$A$2918),$A770&gt;MAX(DKW_10Y!$A$2:$A$2918),Settings!$B$16&lt;MIN(DKW_10Y!$A$2:$A$2918)),NA(),(INDEX(DKW_10Y!$H$2:$H$2918,MATCH($A770,DKW_10Y!$A$2:$A$2918,1))-INDEX(DKW_10Y!$H$2:$H$2918,MATCH(Settings!$B$16,DKW_10Y!$A$2:$A$2918,1)))*100))</f>
        <v/>
      </c>
      <c r="AC770" s="18">
        <f>IF(NOT(ISNUMBER($A770)),NA(),IFERROR(1*INDEX(BBG_Data!$N$2:$N$4000,MATCH($A770,BBG_Data!$M$2:$M$4000,0)),NA()))</f>
        <v/>
      </c>
      <c r="AD770" s="18">
        <f>IF(NOT(ISNUMBER($A770)),NA(),IFERROR(1*INDEX(BBG_Data!$P$2:$P$4000,MATCH($A770,BBG_Data!$O$2:$O$4000,0)),NA()))</f>
        <v/>
      </c>
      <c r="AE770" s="18">
        <f>IF(NOT(ISNUMBER($A770)),NA(),IFERROR(1*INDEX(BBG_Data!$R$2:$R$4000,MATCH($A770,BBG_Data!$Q$2:$Q$4000,0)),NA()))</f>
        <v/>
      </c>
      <c r="AF770" s="20">
        <f>IF(AND(ISNUMBER(B770),ISNUMBER(AC770)),(B770-AC770)*100,NA())</f>
        <v/>
      </c>
      <c r="AG770" s="20">
        <f>IF(AND(ISNUMBER(AE770),ISNUMBER(AD770)),(AE770-AD770)*100,NA())</f>
        <v/>
      </c>
      <c r="AH770" s="19">
        <f>IF(NOT(ISNUMBER($A770)),NA(),IFERROR(INDEX(BBG_Data!$T$2:$T$4000,MATCH($A770,BBG_Data!$S$2:$S$4000,0))*Settings!$B$25,NA()))</f>
        <v/>
      </c>
      <c r="AI770" s="19">
        <f>IF(NOT(ISNUMBER($A770)),NA(),IFERROR(INDEX(BBG_Data!$V$2:$V$4000,MATCH($A770,BBG_Data!$U$2:$U$4000,0))*Settings!$B$25,NA()))</f>
        <v/>
      </c>
      <c r="AJ770" s="19">
        <f>IF(NOT(ISNUMBER($A770)),NA(),IFERROR(1*INDEX(BBG_Data!$X$2:$X$4000,MATCH($A770,BBG_Data!$W$2:$W$4000,0)),NA()))</f>
        <v/>
      </c>
      <c r="AK770" s="19">
        <f>IF(NOT(ISNUMBER($A770)),NA(),IFERROR(1*INDEX(BBG_Data!$Z$2:$Z$4000,MATCH($A770,BBG_Data!$Y$2:$Y$4000,0)),NA()))</f>
        <v/>
      </c>
    </row>
    <row r="771">
      <c r="A771" s="17">
        <f>IF(ISNUMBER(BBG_Data!A771),BBG_Data!A771,"")</f>
        <v/>
      </c>
      <c r="B771" s="18">
        <f>IF(AND(ISNUMBER($A771),ISNUMBER(BBG_Data!B771)),BBG_Data!B771,NA())</f>
        <v/>
      </c>
      <c r="C771" s="18">
        <f>IF(NOT(ISNUMBER($A771)),NA(),IFERROR(1*INDEX(BBG_Data!$D$2:$D$4000,MATCH($A771,BBG_Data!$C$2:$C$4000,0)),NA()))</f>
        <v/>
      </c>
      <c r="D771" s="19">
        <f>IF(NOT(ISNUMBER($A771)),NA(),IFERROR(1*INDEX(BBG_Data!$F$2:$F$4000,MATCH($A771,BBG_Data!$E$2:$E$4000,0)),NA()))</f>
        <v/>
      </c>
      <c r="E771" s="19">
        <f>IF(NOT(ISNUMBER($A771)),NA(),IFERROR(1*INDEX(BBG_Data!$H$2:$H$4000,MATCH($A771,BBG_Data!$G$2:$G$4000,0)),NA()))</f>
        <v/>
      </c>
      <c r="F771" s="20">
        <f>IF(AND(ISNUMBER(B771),ISNUMBER(B770)),IF(B771=B770,"",(B771-B770)*100),"")</f>
        <v/>
      </c>
      <c r="G771" s="20">
        <f>IF(AND(ISNUMBER(C771),ISNUMBER(C770)),IF(C771=C770,"",(C771-C770)*100),"")</f>
        <v/>
      </c>
      <c r="H771" s="20">
        <f>IF(OR(NOT(ISNUMBER($A771)),ROW()-2&lt;Settings!$B$11),NA(),IF(COUNT(OFFSET(F771,1-Settings!$B$11,0,Settings!$B$11,1))&lt;ROUNDUP(Settings!$B$11*Settings!$B$26,0),NA(),STDEV(OFFSET(F771,1-Settings!$B$11,0,Settings!$B$11,1))*SQRT(Settings!$B$13)))</f>
        <v/>
      </c>
      <c r="I771" s="20">
        <f>IF(OR(NOT(ISNUMBER($A771)),ROW()-2&lt;Settings!$B$12),NA(),IF(COUNT(OFFSET(F771,1-Settings!$B$12,0,Settings!$B$12,1))&lt;ROUNDUP(Settings!$B$12*Settings!$B$26,0),NA(),STDEV(OFFSET(F771,1-Settings!$B$12,0,Settings!$B$12,1))*SQRT(Settings!$B$13)))</f>
        <v/>
      </c>
      <c r="J771" s="20">
        <f>IF(OR(NOT(ISNUMBER($A771)),ROW()-2&lt;Settings!$B$11),NA(),IF(COUNT(OFFSET(G771,1-Settings!$B$11,0,Settings!$B$11,1))&lt;ROUNDUP(Settings!$B$11*Settings!$B$26,0),NA(),STDEV(OFFSET(G771,1-Settings!$B$11,0,Settings!$B$11,1))*SQRT(Settings!$B$13)))</f>
        <v/>
      </c>
      <c r="K771" s="20">
        <f>IF(OR(NOT(ISNUMBER($A771)),ROW()-2&lt;Settings!$B$12),NA(),IF(COUNT(OFFSET(G771,1-Settings!$B$12,0,Settings!$B$12,1))&lt;ROUNDUP(Settings!$B$12*Settings!$B$26,0),NA(),STDEV(OFFSET(G771,1-Settings!$B$12,0,Settings!$B$12,1))*SQRT(Settings!$B$13)))</f>
        <v/>
      </c>
      <c r="L771" s="20">
        <f>IF(AND(ISNUMBER(D771),ISNUMBER(H771)),D771-H771,NA())</f>
        <v/>
      </c>
      <c r="M771" s="20">
        <f>IF(AND(ISNUMBER(E771),ISNUMBER(K771)),E771-K771,NA())</f>
        <v/>
      </c>
      <c r="N771" s="20">
        <f>IF(NOT(ISNUMBER($A771)),NA(),IF(COUNT(OFFSET(G771,1,0,Settings!$B$12,1))&lt;ROUNDUP(Settings!$B$12*Settings!$B$26,0),NA(),STDEV(OFFSET(G771,1,0,Settings!$B$12,1))*SQRT(Settings!$B$13)))</f>
        <v/>
      </c>
      <c r="O771" s="20">
        <f>IF(AND(ISNUMBER(E771),ISNUMBER(N771)),E771-N771,NA())</f>
        <v/>
      </c>
      <c r="P771" s="19">
        <f>IF(NOT(ISNUMBER($A771)),NA(),IF(OR($A771&lt;MIN(KW_TP!$A$2:$A$2501),$A771&gt;MAX(KW_TP!$A$2:$A$2501)),NA(),INDEX(KW_TP!$C$2:$C$2501,MATCH($A771,KW_TP!$A$2:$A$2501,1))))</f>
        <v/>
      </c>
      <c r="Q771" s="18">
        <f>IF(NOT(ISNUMBER($A771)),NA(),IFERROR(1*INDEX(BBG_Data!$J$2:$J$4000,MATCH($A771,BBG_Data!$I$2:$I$4000,0)),NA()))</f>
        <v/>
      </c>
      <c r="R771" s="18">
        <f>IF(NOT(ISNUMBER($A771)),NA(),IFERROR(1*INDEX(BBG_Data!$L$2:$L$4000,MATCH($A771,BBG_Data!$K$2:$K$4000,0)),NA()))</f>
        <v/>
      </c>
      <c r="S771" s="20">
        <f>IF(AND(ISNUMBER(B771),ISNUMBER(Q771),ISNUMBER(R771)),(B771-Q771-R771)*100,NA())</f>
        <v/>
      </c>
      <c r="T771" s="20">
        <f>IF(AND(ISNUMBER(B771),Settings!$B$17&gt;0),IF(ISNUMBER(INDEX($B:$B,Settings!$B$17)),(B771-INDEX($B:$B,Settings!$B$17))*100,NA()),NA())</f>
        <v/>
      </c>
      <c r="U771" s="20">
        <f>IF(AND(ISNUMBER(Q771),Settings!$B$17&gt;0),IF(ISNUMBER(INDEX($Q:$Q,Settings!$B$17)),(Q771-INDEX($Q:$Q,Settings!$B$17))*100,NA()),NA())</f>
        <v/>
      </c>
      <c r="V771" s="20">
        <f>IF(AND(ISNUMBER(R771),Settings!$B$17&gt;0),IF(ISNUMBER(INDEX($R:$R,Settings!$B$17)),(R771-INDEX($R:$R,Settings!$B$17))*100,NA()),NA())</f>
        <v/>
      </c>
      <c r="W771" s="20">
        <f>IF(AND(ISNUMBER(P771),Settings!$B$17&gt;0),IF(ISNUMBER(INDEX($P:$P,Settings!$B$17)),P771-INDEX($P:$P,Settings!$B$17),NA()),NA())</f>
        <v/>
      </c>
      <c r="X771" s="19">
        <f>IF(NOT(ISNUMBER($A771)),NA(),IF(OR($A771&lt;MIN(DKW_10Y!$A$2:$A$2918),$A771&gt;MAX(DKW_10Y!$A$2:$A$2918),Settings!$B$16&lt;MIN(DKW_10Y!$A$2:$A$2918)),NA(),(INDEX(DKW_10Y!$B$2:$B$2918,MATCH($A771,DKW_10Y!$A$2:$A$2918,1))-INDEX(DKW_10Y!$B$2:$B$2918,MATCH(Settings!$B$16,DKW_10Y!$A$2:$A$2918,1)))*100))</f>
        <v/>
      </c>
      <c r="Y771" s="19">
        <f>IF(NOT(ISNUMBER($A771)),NA(),IF(OR($A771&lt;MIN(DKW_10Y!$A$2:$A$2918),$A771&gt;MAX(DKW_10Y!$A$2:$A$2918),Settings!$B$16&lt;MIN(DKW_10Y!$A$2:$A$2918)),NA(),(INDEX(DKW_10Y!$C$2:$C$2918,MATCH($A771,DKW_10Y!$A$2:$A$2918,1))-INDEX(DKW_10Y!$C$2:$C$2918,MATCH(Settings!$B$16,DKW_10Y!$A$2:$A$2918,1)))*100))</f>
        <v/>
      </c>
      <c r="Z771" s="19">
        <f>IF(NOT(ISNUMBER($A771)),NA(),IF(OR($A771&lt;MIN(DKW_10Y!$A$2:$A$2918),$A771&gt;MAX(DKW_10Y!$A$2:$A$2918),Settings!$B$16&lt;MIN(DKW_10Y!$A$2:$A$2918)),NA(),(INDEX(DKW_10Y!$D$2:$D$2918,MATCH($A771,DKW_10Y!$A$2:$A$2918,1))-INDEX(DKW_10Y!$D$2:$D$2918,MATCH(Settings!$B$16,DKW_10Y!$A$2:$A$2918,1)))*100))</f>
        <v/>
      </c>
      <c r="AA771" s="19">
        <f>IF(NOT(ISNUMBER($A771)),NA(),IF(OR($A771&lt;MIN(DKW_10Y!$A$2:$A$2918),$A771&gt;MAX(DKW_10Y!$A$2:$A$2918),Settings!$B$16&lt;MIN(DKW_10Y!$A$2:$A$2918)),NA(),(INDEX(DKW_10Y!$E$2:$E$2918,MATCH($A771,DKW_10Y!$A$2:$A$2918,1))-INDEX(DKW_10Y!$E$2:$E$2918,MATCH(Settings!$B$16,DKW_10Y!$A$2:$A$2918,1)))*100))</f>
        <v/>
      </c>
      <c r="AB771" s="19">
        <f>IF(NOT(ISNUMBER($A771)),NA(),IF(OR($A771&lt;MIN(DKW_10Y!$A$2:$A$2918),$A771&gt;MAX(DKW_10Y!$A$2:$A$2918),Settings!$B$16&lt;MIN(DKW_10Y!$A$2:$A$2918)),NA(),(INDEX(DKW_10Y!$H$2:$H$2918,MATCH($A771,DKW_10Y!$A$2:$A$2918,1))-INDEX(DKW_10Y!$H$2:$H$2918,MATCH(Settings!$B$16,DKW_10Y!$A$2:$A$2918,1)))*100))</f>
        <v/>
      </c>
      <c r="AC771" s="18">
        <f>IF(NOT(ISNUMBER($A771)),NA(),IFERROR(1*INDEX(BBG_Data!$N$2:$N$4000,MATCH($A771,BBG_Data!$M$2:$M$4000,0)),NA()))</f>
        <v/>
      </c>
      <c r="AD771" s="18">
        <f>IF(NOT(ISNUMBER($A771)),NA(),IFERROR(1*INDEX(BBG_Data!$P$2:$P$4000,MATCH($A771,BBG_Data!$O$2:$O$4000,0)),NA()))</f>
        <v/>
      </c>
      <c r="AE771" s="18">
        <f>IF(NOT(ISNUMBER($A771)),NA(),IFERROR(1*INDEX(BBG_Data!$R$2:$R$4000,MATCH($A771,BBG_Data!$Q$2:$Q$4000,0)),NA()))</f>
        <v/>
      </c>
      <c r="AF771" s="20">
        <f>IF(AND(ISNUMBER(B771),ISNUMBER(AC771)),(B771-AC771)*100,NA())</f>
        <v/>
      </c>
      <c r="AG771" s="20">
        <f>IF(AND(ISNUMBER(AE771),ISNUMBER(AD771)),(AE771-AD771)*100,NA())</f>
        <v/>
      </c>
      <c r="AH771" s="19">
        <f>IF(NOT(ISNUMBER($A771)),NA(),IFERROR(INDEX(BBG_Data!$T$2:$T$4000,MATCH($A771,BBG_Data!$S$2:$S$4000,0))*Settings!$B$25,NA()))</f>
        <v/>
      </c>
      <c r="AI771" s="19">
        <f>IF(NOT(ISNUMBER($A771)),NA(),IFERROR(INDEX(BBG_Data!$V$2:$V$4000,MATCH($A771,BBG_Data!$U$2:$U$4000,0))*Settings!$B$25,NA()))</f>
        <v/>
      </c>
      <c r="AJ771" s="19">
        <f>IF(NOT(ISNUMBER($A771)),NA(),IFERROR(1*INDEX(BBG_Data!$X$2:$X$4000,MATCH($A771,BBG_Data!$W$2:$W$4000,0)),NA()))</f>
        <v/>
      </c>
      <c r="AK771" s="19">
        <f>IF(NOT(ISNUMBER($A771)),NA(),IFERROR(1*INDEX(BBG_Data!$Z$2:$Z$4000,MATCH($A771,BBG_Data!$Y$2:$Y$4000,0)),NA()))</f>
        <v/>
      </c>
    </row>
    <row r="772">
      <c r="A772" s="17">
        <f>IF(ISNUMBER(BBG_Data!A772),BBG_Data!A772,"")</f>
        <v/>
      </c>
      <c r="B772" s="18">
        <f>IF(AND(ISNUMBER($A772),ISNUMBER(BBG_Data!B772)),BBG_Data!B772,NA())</f>
        <v/>
      </c>
      <c r="C772" s="18">
        <f>IF(NOT(ISNUMBER($A772)),NA(),IFERROR(1*INDEX(BBG_Data!$D$2:$D$4000,MATCH($A772,BBG_Data!$C$2:$C$4000,0)),NA()))</f>
        <v/>
      </c>
      <c r="D772" s="19">
        <f>IF(NOT(ISNUMBER($A772)),NA(),IFERROR(1*INDEX(BBG_Data!$F$2:$F$4000,MATCH($A772,BBG_Data!$E$2:$E$4000,0)),NA()))</f>
        <v/>
      </c>
      <c r="E772" s="19">
        <f>IF(NOT(ISNUMBER($A772)),NA(),IFERROR(1*INDEX(BBG_Data!$H$2:$H$4000,MATCH($A772,BBG_Data!$G$2:$G$4000,0)),NA()))</f>
        <v/>
      </c>
      <c r="F772" s="20">
        <f>IF(AND(ISNUMBER(B772),ISNUMBER(B771)),IF(B772=B771,"",(B772-B771)*100),"")</f>
        <v/>
      </c>
      <c r="G772" s="20">
        <f>IF(AND(ISNUMBER(C772),ISNUMBER(C771)),IF(C772=C771,"",(C772-C771)*100),"")</f>
        <v/>
      </c>
      <c r="H772" s="20">
        <f>IF(OR(NOT(ISNUMBER($A772)),ROW()-2&lt;Settings!$B$11),NA(),IF(COUNT(OFFSET(F772,1-Settings!$B$11,0,Settings!$B$11,1))&lt;ROUNDUP(Settings!$B$11*Settings!$B$26,0),NA(),STDEV(OFFSET(F772,1-Settings!$B$11,0,Settings!$B$11,1))*SQRT(Settings!$B$13)))</f>
        <v/>
      </c>
      <c r="I772" s="20">
        <f>IF(OR(NOT(ISNUMBER($A772)),ROW()-2&lt;Settings!$B$12),NA(),IF(COUNT(OFFSET(F772,1-Settings!$B$12,0,Settings!$B$12,1))&lt;ROUNDUP(Settings!$B$12*Settings!$B$26,0),NA(),STDEV(OFFSET(F772,1-Settings!$B$12,0,Settings!$B$12,1))*SQRT(Settings!$B$13)))</f>
        <v/>
      </c>
      <c r="J772" s="20">
        <f>IF(OR(NOT(ISNUMBER($A772)),ROW()-2&lt;Settings!$B$11),NA(),IF(COUNT(OFFSET(G772,1-Settings!$B$11,0,Settings!$B$11,1))&lt;ROUNDUP(Settings!$B$11*Settings!$B$26,0),NA(),STDEV(OFFSET(G772,1-Settings!$B$11,0,Settings!$B$11,1))*SQRT(Settings!$B$13)))</f>
        <v/>
      </c>
      <c r="K772" s="20">
        <f>IF(OR(NOT(ISNUMBER($A772)),ROW()-2&lt;Settings!$B$12),NA(),IF(COUNT(OFFSET(G772,1-Settings!$B$12,0,Settings!$B$12,1))&lt;ROUNDUP(Settings!$B$12*Settings!$B$26,0),NA(),STDEV(OFFSET(G772,1-Settings!$B$12,0,Settings!$B$12,1))*SQRT(Settings!$B$13)))</f>
        <v/>
      </c>
      <c r="L772" s="20">
        <f>IF(AND(ISNUMBER(D772),ISNUMBER(H772)),D772-H772,NA())</f>
        <v/>
      </c>
      <c r="M772" s="20">
        <f>IF(AND(ISNUMBER(E772),ISNUMBER(K772)),E772-K772,NA())</f>
        <v/>
      </c>
      <c r="N772" s="20">
        <f>IF(NOT(ISNUMBER($A772)),NA(),IF(COUNT(OFFSET(G772,1,0,Settings!$B$12,1))&lt;ROUNDUP(Settings!$B$12*Settings!$B$26,0),NA(),STDEV(OFFSET(G772,1,0,Settings!$B$12,1))*SQRT(Settings!$B$13)))</f>
        <v/>
      </c>
      <c r="O772" s="20">
        <f>IF(AND(ISNUMBER(E772),ISNUMBER(N772)),E772-N772,NA())</f>
        <v/>
      </c>
      <c r="P772" s="19">
        <f>IF(NOT(ISNUMBER($A772)),NA(),IF(OR($A772&lt;MIN(KW_TP!$A$2:$A$2501),$A772&gt;MAX(KW_TP!$A$2:$A$2501)),NA(),INDEX(KW_TP!$C$2:$C$2501,MATCH($A772,KW_TP!$A$2:$A$2501,1))))</f>
        <v/>
      </c>
      <c r="Q772" s="18">
        <f>IF(NOT(ISNUMBER($A772)),NA(),IFERROR(1*INDEX(BBG_Data!$J$2:$J$4000,MATCH($A772,BBG_Data!$I$2:$I$4000,0)),NA()))</f>
        <v/>
      </c>
      <c r="R772" s="18">
        <f>IF(NOT(ISNUMBER($A772)),NA(),IFERROR(1*INDEX(BBG_Data!$L$2:$L$4000,MATCH($A772,BBG_Data!$K$2:$K$4000,0)),NA()))</f>
        <v/>
      </c>
      <c r="S772" s="20">
        <f>IF(AND(ISNUMBER(B772),ISNUMBER(Q772),ISNUMBER(R772)),(B772-Q772-R772)*100,NA())</f>
        <v/>
      </c>
      <c r="T772" s="20">
        <f>IF(AND(ISNUMBER(B772),Settings!$B$17&gt;0),IF(ISNUMBER(INDEX($B:$B,Settings!$B$17)),(B772-INDEX($B:$B,Settings!$B$17))*100,NA()),NA())</f>
        <v/>
      </c>
      <c r="U772" s="20">
        <f>IF(AND(ISNUMBER(Q772),Settings!$B$17&gt;0),IF(ISNUMBER(INDEX($Q:$Q,Settings!$B$17)),(Q772-INDEX($Q:$Q,Settings!$B$17))*100,NA()),NA())</f>
        <v/>
      </c>
      <c r="V772" s="20">
        <f>IF(AND(ISNUMBER(R772),Settings!$B$17&gt;0),IF(ISNUMBER(INDEX($R:$R,Settings!$B$17)),(R772-INDEX($R:$R,Settings!$B$17))*100,NA()),NA())</f>
        <v/>
      </c>
      <c r="W772" s="20">
        <f>IF(AND(ISNUMBER(P772),Settings!$B$17&gt;0),IF(ISNUMBER(INDEX($P:$P,Settings!$B$17)),P772-INDEX($P:$P,Settings!$B$17),NA()),NA())</f>
        <v/>
      </c>
      <c r="X772" s="19">
        <f>IF(NOT(ISNUMBER($A772)),NA(),IF(OR($A772&lt;MIN(DKW_10Y!$A$2:$A$2918),$A772&gt;MAX(DKW_10Y!$A$2:$A$2918),Settings!$B$16&lt;MIN(DKW_10Y!$A$2:$A$2918)),NA(),(INDEX(DKW_10Y!$B$2:$B$2918,MATCH($A772,DKW_10Y!$A$2:$A$2918,1))-INDEX(DKW_10Y!$B$2:$B$2918,MATCH(Settings!$B$16,DKW_10Y!$A$2:$A$2918,1)))*100))</f>
        <v/>
      </c>
      <c r="Y772" s="19">
        <f>IF(NOT(ISNUMBER($A772)),NA(),IF(OR($A772&lt;MIN(DKW_10Y!$A$2:$A$2918),$A772&gt;MAX(DKW_10Y!$A$2:$A$2918),Settings!$B$16&lt;MIN(DKW_10Y!$A$2:$A$2918)),NA(),(INDEX(DKW_10Y!$C$2:$C$2918,MATCH($A772,DKW_10Y!$A$2:$A$2918,1))-INDEX(DKW_10Y!$C$2:$C$2918,MATCH(Settings!$B$16,DKW_10Y!$A$2:$A$2918,1)))*100))</f>
        <v/>
      </c>
      <c r="Z772" s="19">
        <f>IF(NOT(ISNUMBER($A772)),NA(),IF(OR($A772&lt;MIN(DKW_10Y!$A$2:$A$2918),$A772&gt;MAX(DKW_10Y!$A$2:$A$2918),Settings!$B$16&lt;MIN(DKW_10Y!$A$2:$A$2918)),NA(),(INDEX(DKW_10Y!$D$2:$D$2918,MATCH($A772,DKW_10Y!$A$2:$A$2918,1))-INDEX(DKW_10Y!$D$2:$D$2918,MATCH(Settings!$B$16,DKW_10Y!$A$2:$A$2918,1)))*100))</f>
        <v/>
      </c>
      <c r="AA772" s="19">
        <f>IF(NOT(ISNUMBER($A772)),NA(),IF(OR($A772&lt;MIN(DKW_10Y!$A$2:$A$2918),$A772&gt;MAX(DKW_10Y!$A$2:$A$2918),Settings!$B$16&lt;MIN(DKW_10Y!$A$2:$A$2918)),NA(),(INDEX(DKW_10Y!$E$2:$E$2918,MATCH($A772,DKW_10Y!$A$2:$A$2918,1))-INDEX(DKW_10Y!$E$2:$E$2918,MATCH(Settings!$B$16,DKW_10Y!$A$2:$A$2918,1)))*100))</f>
        <v/>
      </c>
      <c r="AB772" s="19">
        <f>IF(NOT(ISNUMBER($A772)),NA(),IF(OR($A772&lt;MIN(DKW_10Y!$A$2:$A$2918),$A772&gt;MAX(DKW_10Y!$A$2:$A$2918),Settings!$B$16&lt;MIN(DKW_10Y!$A$2:$A$2918)),NA(),(INDEX(DKW_10Y!$H$2:$H$2918,MATCH($A772,DKW_10Y!$A$2:$A$2918,1))-INDEX(DKW_10Y!$H$2:$H$2918,MATCH(Settings!$B$16,DKW_10Y!$A$2:$A$2918,1)))*100))</f>
        <v/>
      </c>
      <c r="AC772" s="18">
        <f>IF(NOT(ISNUMBER($A772)),NA(),IFERROR(1*INDEX(BBG_Data!$N$2:$N$4000,MATCH($A772,BBG_Data!$M$2:$M$4000,0)),NA()))</f>
        <v/>
      </c>
      <c r="AD772" s="18">
        <f>IF(NOT(ISNUMBER($A772)),NA(),IFERROR(1*INDEX(BBG_Data!$P$2:$P$4000,MATCH($A772,BBG_Data!$O$2:$O$4000,0)),NA()))</f>
        <v/>
      </c>
      <c r="AE772" s="18">
        <f>IF(NOT(ISNUMBER($A772)),NA(),IFERROR(1*INDEX(BBG_Data!$R$2:$R$4000,MATCH($A772,BBG_Data!$Q$2:$Q$4000,0)),NA()))</f>
        <v/>
      </c>
      <c r="AF772" s="20">
        <f>IF(AND(ISNUMBER(B772),ISNUMBER(AC772)),(B772-AC772)*100,NA())</f>
        <v/>
      </c>
      <c r="AG772" s="20">
        <f>IF(AND(ISNUMBER(AE772),ISNUMBER(AD772)),(AE772-AD772)*100,NA())</f>
        <v/>
      </c>
      <c r="AH772" s="19">
        <f>IF(NOT(ISNUMBER($A772)),NA(),IFERROR(INDEX(BBG_Data!$T$2:$T$4000,MATCH($A772,BBG_Data!$S$2:$S$4000,0))*Settings!$B$25,NA()))</f>
        <v/>
      </c>
      <c r="AI772" s="19">
        <f>IF(NOT(ISNUMBER($A772)),NA(),IFERROR(INDEX(BBG_Data!$V$2:$V$4000,MATCH($A772,BBG_Data!$U$2:$U$4000,0))*Settings!$B$25,NA()))</f>
        <v/>
      </c>
      <c r="AJ772" s="19">
        <f>IF(NOT(ISNUMBER($A772)),NA(),IFERROR(1*INDEX(BBG_Data!$X$2:$X$4000,MATCH($A772,BBG_Data!$W$2:$W$4000,0)),NA()))</f>
        <v/>
      </c>
      <c r="AK772" s="19">
        <f>IF(NOT(ISNUMBER($A772)),NA(),IFERROR(1*INDEX(BBG_Data!$Z$2:$Z$4000,MATCH($A772,BBG_Data!$Y$2:$Y$4000,0)),NA()))</f>
        <v/>
      </c>
    </row>
    <row r="773">
      <c r="A773" s="17">
        <f>IF(ISNUMBER(BBG_Data!A773),BBG_Data!A773,"")</f>
        <v/>
      </c>
      <c r="B773" s="18">
        <f>IF(AND(ISNUMBER($A773),ISNUMBER(BBG_Data!B773)),BBG_Data!B773,NA())</f>
        <v/>
      </c>
      <c r="C773" s="18">
        <f>IF(NOT(ISNUMBER($A773)),NA(),IFERROR(1*INDEX(BBG_Data!$D$2:$D$4000,MATCH($A773,BBG_Data!$C$2:$C$4000,0)),NA()))</f>
        <v/>
      </c>
      <c r="D773" s="19">
        <f>IF(NOT(ISNUMBER($A773)),NA(),IFERROR(1*INDEX(BBG_Data!$F$2:$F$4000,MATCH($A773,BBG_Data!$E$2:$E$4000,0)),NA()))</f>
        <v/>
      </c>
      <c r="E773" s="19">
        <f>IF(NOT(ISNUMBER($A773)),NA(),IFERROR(1*INDEX(BBG_Data!$H$2:$H$4000,MATCH($A773,BBG_Data!$G$2:$G$4000,0)),NA()))</f>
        <v/>
      </c>
      <c r="F773" s="20">
        <f>IF(AND(ISNUMBER(B773),ISNUMBER(B772)),IF(B773=B772,"",(B773-B772)*100),"")</f>
        <v/>
      </c>
      <c r="G773" s="20">
        <f>IF(AND(ISNUMBER(C773),ISNUMBER(C772)),IF(C773=C772,"",(C773-C772)*100),"")</f>
        <v/>
      </c>
      <c r="H773" s="20">
        <f>IF(OR(NOT(ISNUMBER($A773)),ROW()-2&lt;Settings!$B$11),NA(),IF(COUNT(OFFSET(F773,1-Settings!$B$11,0,Settings!$B$11,1))&lt;ROUNDUP(Settings!$B$11*Settings!$B$26,0),NA(),STDEV(OFFSET(F773,1-Settings!$B$11,0,Settings!$B$11,1))*SQRT(Settings!$B$13)))</f>
        <v/>
      </c>
      <c r="I773" s="20">
        <f>IF(OR(NOT(ISNUMBER($A773)),ROW()-2&lt;Settings!$B$12),NA(),IF(COUNT(OFFSET(F773,1-Settings!$B$12,0,Settings!$B$12,1))&lt;ROUNDUP(Settings!$B$12*Settings!$B$26,0),NA(),STDEV(OFFSET(F773,1-Settings!$B$12,0,Settings!$B$12,1))*SQRT(Settings!$B$13)))</f>
        <v/>
      </c>
      <c r="J773" s="20">
        <f>IF(OR(NOT(ISNUMBER($A773)),ROW()-2&lt;Settings!$B$11),NA(),IF(COUNT(OFFSET(G773,1-Settings!$B$11,0,Settings!$B$11,1))&lt;ROUNDUP(Settings!$B$11*Settings!$B$26,0),NA(),STDEV(OFFSET(G773,1-Settings!$B$11,0,Settings!$B$11,1))*SQRT(Settings!$B$13)))</f>
        <v/>
      </c>
      <c r="K773" s="20">
        <f>IF(OR(NOT(ISNUMBER($A773)),ROW()-2&lt;Settings!$B$12),NA(),IF(COUNT(OFFSET(G773,1-Settings!$B$12,0,Settings!$B$12,1))&lt;ROUNDUP(Settings!$B$12*Settings!$B$26,0),NA(),STDEV(OFFSET(G773,1-Settings!$B$12,0,Settings!$B$12,1))*SQRT(Settings!$B$13)))</f>
        <v/>
      </c>
      <c r="L773" s="20">
        <f>IF(AND(ISNUMBER(D773),ISNUMBER(H773)),D773-H773,NA())</f>
        <v/>
      </c>
      <c r="M773" s="20">
        <f>IF(AND(ISNUMBER(E773),ISNUMBER(K773)),E773-K773,NA())</f>
        <v/>
      </c>
      <c r="N773" s="20">
        <f>IF(NOT(ISNUMBER($A773)),NA(),IF(COUNT(OFFSET(G773,1,0,Settings!$B$12,1))&lt;ROUNDUP(Settings!$B$12*Settings!$B$26,0),NA(),STDEV(OFFSET(G773,1,0,Settings!$B$12,1))*SQRT(Settings!$B$13)))</f>
        <v/>
      </c>
      <c r="O773" s="20">
        <f>IF(AND(ISNUMBER(E773),ISNUMBER(N773)),E773-N773,NA())</f>
        <v/>
      </c>
      <c r="P773" s="19">
        <f>IF(NOT(ISNUMBER($A773)),NA(),IF(OR($A773&lt;MIN(KW_TP!$A$2:$A$2501),$A773&gt;MAX(KW_TP!$A$2:$A$2501)),NA(),INDEX(KW_TP!$C$2:$C$2501,MATCH($A773,KW_TP!$A$2:$A$2501,1))))</f>
        <v/>
      </c>
      <c r="Q773" s="18">
        <f>IF(NOT(ISNUMBER($A773)),NA(),IFERROR(1*INDEX(BBG_Data!$J$2:$J$4000,MATCH($A773,BBG_Data!$I$2:$I$4000,0)),NA()))</f>
        <v/>
      </c>
      <c r="R773" s="18">
        <f>IF(NOT(ISNUMBER($A773)),NA(),IFERROR(1*INDEX(BBG_Data!$L$2:$L$4000,MATCH($A773,BBG_Data!$K$2:$K$4000,0)),NA()))</f>
        <v/>
      </c>
      <c r="S773" s="20">
        <f>IF(AND(ISNUMBER(B773),ISNUMBER(Q773),ISNUMBER(R773)),(B773-Q773-R773)*100,NA())</f>
        <v/>
      </c>
      <c r="T773" s="20">
        <f>IF(AND(ISNUMBER(B773),Settings!$B$17&gt;0),IF(ISNUMBER(INDEX($B:$B,Settings!$B$17)),(B773-INDEX($B:$B,Settings!$B$17))*100,NA()),NA())</f>
        <v/>
      </c>
      <c r="U773" s="20">
        <f>IF(AND(ISNUMBER(Q773),Settings!$B$17&gt;0),IF(ISNUMBER(INDEX($Q:$Q,Settings!$B$17)),(Q773-INDEX($Q:$Q,Settings!$B$17))*100,NA()),NA())</f>
        <v/>
      </c>
      <c r="V773" s="20">
        <f>IF(AND(ISNUMBER(R773),Settings!$B$17&gt;0),IF(ISNUMBER(INDEX($R:$R,Settings!$B$17)),(R773-INDEX($R:$R,Settings!$B$17))*100,NA()),NA())</f>
        <v/>
      </c>
      <c r="W773" s="20">
        <f>IF(AND(ISNUMBER(P773),Settings!$B$17&gt;0),IF(ISNUMBER(INDEX($P:$P,Settings!$B$17)),P773-INDEX($P:$P,Settings!$B$17),NA()),NA())</f>
        <v/>
      </c>
      <c r="X773" s="19">
        <f>IF(NOT(ISNUMBER($A773)),NA(),IF(OR($A773&lt;MIN(DKW_10Y!$A$2:$A$2918),$A773&gt;MAX(DKW_10Y!$A$2:$A$2918),Settings!$B$16&lt;MIN(DKW_10Y!$A$2:$A$2918)),NA(),(INDEX(DKW_10Y!$B$2:$B$2918,MATCH($A773,DKW_10Y!$A$2:$A$2918,1))-INDEX(DKW_10Y!$B$2:$B$2918,MATCH(Settings!$B$16,DKW_10Y!$A$2:$A$2918,1)))*100))</f>
        <v/>
      </c>
      <c r="Y773" s="19">
        <f>IF(NOT(ISNUMBER($A773)),NA(),IF(OR($A773&lt;MIN(DKW_10Y!$A$2:$A$2918),$A773&gt;MAX(DKW_10Y!$A$2:$A$2918),Settings!$B$16&lt;MIN(DKW_10Y!$A$2:$A$2918)),NA(),(INDEX(DKW_10Y!$C$2:$C$2918,MATCH($A773,DKW_10Y!$A$2:$A$2918,1))-INDEX(DKW_10Y!$C$2:$C$2918,MATCH(Settings!$B$16,DKW_10Y!$A$2:$A$2918,1)))*100))</f>
        <v/>
      </c>
      <c r="Z773" s="19">
        <f>IF(NOT(ISNUMBER($A773)),NA(),IF(OR($A773&lt;MIN(DKW_10Y!$A$2:$A$2918),$A773&gt;MAX(DKW_10Y!$A$2:$A$2918),Settings!$B$16&lt;MIN(DKW_10Y!$A$2:$A$2918)),NA(),(INDEX(DKW_10Y!$D$2:$D$2918,MATCH($A773,DKW_10Y!$A$2:$A$2918,1))-INDEX(DKW_10Y!$D$2:$D$2918,MATCH(Settings!$B$16,DKW_10Y!$A$2:$A$2918,1)))*100))</f>
        <v/>
      </c>
      <c r="AA773" s="19">
        <f>IF(NOT(ISNUMBER($A773)),NA(),IF(OR($A773&lt;MIN(DKW_10Y!$A$2:$A$2918),$A773&gt;MAX(DKW_10Y!$A$2:$A$2918),Settings!$B$16&lt;MIN(DKW_10Y!$A$2:$A$2918)),NA(),(INDEX(DKW_10Y!$E$2:$E$2918,MATCH($A773,DKW_10Y!$A$2:$A$2918,1))-INDEX(DKW_10Y!$E$2:$E$2918,MATCH(Settings!$B$16,DKW_10Y!$A$2:$A$2918,1)))*100))</f>
        <v/>
      </c>
      <c r="AB773" s="19">
        <f>IF(NOT(ISNUMBER($A773)),NA(),IF(OR($A773&lt;MIN(DKW_10Y!$A$2:$A$2918),$A773&gt;MAX(DKW_10Y!$A$2:$A$2918),Settings!$B$16&lt;MIN(DKW_10Y!$A$2:$A$2918)),NA(),(INDEX(DKW_10Y!$H$2:$H$2918,MATCH($A773,DKW_10Y!$A$2:$A$2918,1))-INDEX(DKW_10Y!$H$2:$H$2918,MATCH(Settings!$B$16,DKW_10Y!$A$2:$A$2918,1)))*100))</f>
        <v/>
      </c>
      <c r="AC773" s="18">
        <f>IF(NOT(ISNUMBER($A773)),NA(),IFERROR(1*INDEX(BBG_Data!$N$2:$N$4000,MATCH($A773,BBG_Data!$M$2:$M$4000,0)),NA()))</f>
        <v/>
      </c>
      <c r="AD773" s="18">
        <f>IF(NOT(ISNUMBER($A773)),NA(),IFERROR(1*INDEX(BBG_Data!$P$2:$P$4000,MATCH($A773,BBG_Data!$O$2:$O$4000,0)),NA()))</f>
        <v/>
      </c>
      <c r="AE773" s="18">
        <f>IF(NOT(ISNUMBER($A773)),NA(),IFERROR(1*INDEX(BBG_Data!$R$2:$R$4000,MATCH($A773,BBG_Data!$Q$2:$Q$4000,0)),NA()))</f>
        <v/>
      </c>
      <c r="AF773" s="20">
        <f>IF(AND(ISNUMBER(B773),ISNUMBER(AC773)),(B773-AC773)*100,NA())</f>
        <v/>
      </c>
      <c r="AG773" s="20">
        <f>IF(AND(ISNUMBER(AE773),ISNUMBER(AD773)),(AE773-AD773)*100,NA())</f>
        <v/>
      </c>
      <c r="AH773" s="19">
        <f>IF(NOT(ISNUMBER($A773)),NA(),IFERROR(INDEX(BBG_Data!$T$2:$T$4000,MATCH($A773,BBG_Data!$S$2:$S$4000,0))*Settings!$B$25,NA()))</f>
        <v/>
      </c>
      <c r="AI773" s="19">
        <f>IF(NOT(ISNUMBER($A773)),NA(),IFERROR(INDEX(BBG_Data!$V$2:$V$4000,MATCH($A773,BBG_Data!$U$2:$U$4000,0))*Settings!$B$25,NA()))</f>
        <v/>
      </c>
      <c r="AJ773" s="19">
        <f>IF(NOT(ISNUMBER($A773)),NA(),IFERROR(1*INDEX(BBG_Data!$X$2:$X$4000,MATCH($A773,BBG_Data!$W$2:$W$4000,0)),NA()))</f>
        <v/>
      </c>
      <c r="AK773" s="19">
        <f>IF(NOT(ISNUMBER($A773)),NA(),IFERROR(1*INDEX(BBG_Data!$Z$2:$Z$4000,MATCH($A773,BBG_Data!$Y$2:$Y$4000,0)),NA()))</f>
        <v/>
      </c>
    </row>
    <row r="774">
      <c r="A774" s="17">
        <f>IF(ISNUMBER(BBG_Data!A774),BBG_Data!A774,"")</f>
        <v/>
      </c>
      <c r="B774" s="18">
        <f>IF(AND(ISNUMBER($A774),ISNUMBER(BBG_Data!B774)),BBG_Data!B774,NA())</f>
        <v/>
      </c>
      <c r="C774" s="18">
        <f>IF(NOT(ISNUMBER($A774)),NA(),IFERROR(1*INDEX(BBG_Data!$D$2:$D$4000,MATCH($A774,BBG_Data!$C$2:$C$4000,0)),NA()))</f>
        <v/>
      </c>
      <c r="D774" s="19">
        <f>IF(NOT(ISNUMBER($A774)),NA(),IFERROR(1*INDEX(BBG_Data!$F$2:$F$4000,MATCH($A774,BBG_Data!$E$2:$E$4000,0)),NA()))</f>
        <v/>
      </c>
      <c r="E774" s="19">
        <f>IF(NOT(ISNUMBER($A774)),NA(),IFERROR(1*INDEX(BBG_Data!$H$2:$H$4000,MATCH($A774,BBG_Data!$G$2:$G$4000,0)),NA()))</f>
        <v/>
      </c>
      <c r="F774" s="20">
        <f>IF(AND(ISNUMBER(B774),ISNUMBER(B773)),IF(B774=B773,"",(B774-B773)*100),"")</f>
        <v/>
      </c>
      <c r="G774" s="20">
        <f>IF(AND(ISNUMBER(C774),ISNUMBER(C773)),IF(C774=C773,"",(C774-C773)*100),"")</f>
        <v/>
      </c>
      <c r="H774" s="20">
        <f>IF(OR(NOT(ISNUMBER($A774)),ROW()-2&lt;Settings!$B$11),NA(),IF(COUNT(OFFSET(F774,1-Settings!$B$11,0,Settings!$B$11,1))&lt;ROUNDUP(Settings!$B$11*Settings!$B$26,0),NA(),STDEV(OFFSET(F774,1-Settings!$B$11,0,Settings!$B$11,1))*SQRT(Settings!$B$13)))</f>
        <v/>
      </c>
      <c r="I774" s="20">
        <f>IF(OR(NOT(ISNUMBER($A774)),ROW()-2&lt;Settings!$B$12),NA(),IF(COUNT(OFFSET(F774,1-Settings!$B$12,0,Settings!$B$12,1))&lt;ROUNDUP(Settings!$B$12*Settings!$B$26,0),NA(),STDEV(OFFSET(F774,1-Settings!$B$12,0,Settings!$B$12,1))*SQRT(Settings!$B$13)))</f>
        <v/>
      </c>
      <c r="J774" s="20">
        <f>IF(OR(NOT(ISNUMBER($A774)),ROW()-2&lt;Settings!$B$11),NA(),IF(COUNT(OFFSET(G774,1-Settings!$B$11,0,Settings!$B$11,1))&lt;ROUNDUP(Settings!$B$11*Settings!$B$26,0),NA(),STDEV(OFFSET(G774,1-Settings!$B$11,0,Settings!$B$11,1))*SQRT(Settings!$B$13)))</f>
        <v/>
      </c>
      <c r="K774" s="20">
        <f>IF(OR(NOT(ISNUMBER($A774)),ROW()-2&lt;Settings!$B$12),NA(),IF(COUNT(OFFSET(G774,1-Settings!$B$12,0,Settings!$B$12,1))&lt;ROUNDUP(Settings!$B$12*Settings!$B$26,0),NA(),STDEV(OFFSET(G774,1-Settings!$B$12,0,Settings!$B$12,1))*SQRT(Settings!$B$13)))</f>
        <v/>
      </c>
      <c r="L774" s="20">
        <f>IF(AND(ISNUMBER(D774),ISNUMBER(H774)),D774-H774,NA())</f>
        <v/>
      </c>
      <c r="M774" s="20">
        <f>IF(AND(ISNUMBER(E774),ISNUMBER(K774)),E774-K774,NA())</f>
        <v/>
      </c>
      <c r="N774" s="20">
        <f>IF(NOT(ISNUMBER($A774)),NA(),IF(COUNT(OFFSET(G774,1,0,Settings!$B$12,1))&lt;ROUNDUP(Settings!$B$12*Settings!$B$26,0),NA(),STDEV(OFFSET(G774,1,0,Settings!$B$12,1))*SQRT(Settings!$B$13)))</f>
        <v/>
      </c>
      <c r="O774" s="20">
        <f>IF(AND(ISNUMBER(E774),ISNUMBER(N774)),E774-N774,NA())</f>
        <v/>
      </c>
      <c r="P774" s="19">
        <f>IF(NOT(ISNUMBER($A774)),NA(),IF(OR($A774&lt;MIN(KW_TP!$A$2:$A$2501),$A774&gt;MAX(KW_TP!$A$2:$A$2501)),NA(),INDEX(KW_TP!$C$2:$C$2501,MATCH($A774,KW_TP!$A$2:$A$2501,1))))</f>
        <v/>
      </c>
      <c r="Q774" s="18">
        <f>IF(NOT(ISNUMBER($A774)),NA(),IFERROR(1*INDEX(BBG_Data!$J$2:$J$4000,MATCH($A774,BBG_Data!$I$2:$I$4000,0)),NA()))</f>
        <v/>
      </c>
      <c r="R774" s="18">
        <f>IF(NOT(ISNUMBER($A774)),NA(),IFERROR(1*INDEX(BBG_Data!$L$2:$L$4000,MATCH($A774,BBG_Data!$K$2:$K$4000,0)),NA()))</f>
        <v/>
      </c>
      <c r="S774" s="20">
        <f>IF(AND(ISNUMBER(B774),ISNUMBER(Q774),ISNUMBER(R774)),(B774-Q774-R774)*100,NA())</f>
        <v/>
      </c>
      <c r="T774" s="20">
        <f>IF(AND(ISNUMBER(B774),Settings!$B$17&gt;0),IF(ISNUMBER(INDEX($B:$B,Settings!$B$17)),(B774-INDEX($B:$B,Settings!$B$17))*100,NA()),NA())</f>
        <v/>
      </c>
      <c r="U774" s="20">
        <f>IF(AND(ISNUMBER(Q774),Settings!$B$17&gt;0),IF(ISNUMBER(INDEX($Q:$Q,Settings!$B$17)),(Q774-INDEX($Q:$Q,Settings!$B$17))*100,NA()),NA())</f>
        <v/>
      </c>
      <c r="V774" s="20">
        <f>IF(AND(ISNUMBER(R774),Settings!$B$17&gt;0),IF(ISNUMBER(INDEX($R:$R,Settings!$B$17)),(R774-INDEX($R:$R,Settings!$B$17))*100,NA()),NA())</f>
        <v/>
      </c>
      <c r="W774" s="20">
        <f>IF(AND(ISNUMBER(P774),Settings!$B$17&gt;0),IF(ISNUMBER(INDEX($P:$P,Settings!$B$17)),P774-INDEX($P:$P,Settings!$B$17),NA()),NA())</f>
        <v/>
      </c>
      <c r="X774" s="19">
        <f>IF(NOT(ISNUMBER($A774)),NA(),IF(OR($A774&lt;MIN(DKW_10Y!$A$2:$A$2918),$A774&gt;MAX(DKW_10Y!$A$2:$A$2918),Settings!$B$16&lt;MIN(DKW_10Y!$A$2:$A$2918)),NA(),(INDEX(DKW_10Y!$B$2:$B$2918,MATCH($A774,DKW_10Y!$A$2:$A$2918,1))-INDEX(DKW_10Y!$B$2:$B$2918,MATCH(Settings!$B$16,DKW_10Y!$A$2:$A$2918,1)))*100))</f>
        <v/>
      </c>
      <c r="Y774" s="19">
        <f>IF(NOT(ISNUMBER($A774)),NA(),IF(OR($A774&lt;MIN(DKW_10Y!$A$2:$A$2918),$A774&gt;MAX(DKW_10Y!$A$2:$A$2918),Settings!$B$16&lt;MIN(DKW_10Y!$A$2:$A$2918)),NA(),(INDEX(DKW_10Y!$C$2:$C$2918,MATCH($A774,DKW_10Y!$A$2:$A$2918,1))-INDEX(DKW_10Y!$C$2:$C$2918,MATCH(Settings!$B$16,DKW_10Y!$A$2:$A$2918,1)))*100))</f>
        <v/>
      </c>
      <c r="Z774" s="19">
        <f>IF(NOT(ISNUMBER($A774)),NA(),IF(OR($A774&lt;MIN(DKW_10Y!$A$2:$A$2918),$A774&gt;MAX(DKW_10Y!$A$2:$A$2918),Settings!$B$16&lt;MIN(DKW_10Y!$A$2:$A$2918)),NA(),(INDEX(DKW_10Y!$D$2:$D$2918,MATCH($A774,DKW_10Y!$A$2:$A$2918,1))-INDEX(DKW_10Y!$D$2:$D$2918,MATCH(Settings!$B$16,DKW_10Y!$A$2:$A$2918,1)))*100))</f>
        <v/>
      </c>
      <c r="AA774" s="19">
        <f>IF(NOT(ISNUMBER($A774)),NA(),IF(OR($A774&lt;MIN(DKW_10Y!$A$2:$A$2918),$A774&gt;MAX(DKW_10Y!$A$2:$A$2918),Settings!$B$16&lt;MIN(DKW_10Y!$A$2:$A$2918)),NA(),(INDEX(DKW_10Y!$E$2:$E$2918,MATCH($A774,DKW_10Y!$A$2:$A$2918,1))-INDEX(DKW_10Y!$E$2:$E$2918,MATCH(Settings!$B$16,DKW_10Y!$A$2:$A$2918,1)))*100))</f>
        <v/>
      </c>
      <c r="AB774" s="19">
        <f>IF(NOT(ISNUMBER($A774)),NA(),IF(OR($A774&lt;MIN(DKW_10Y!$A$2:$A$2918),$A774&gt;MAX(DKW_10Y!$A$2:$A$2918),Settings!$B$16&lt;MIN(DKW_10Y!$A$2:$A$2918)),NA(),(INDEX(DKW_10Y!$H$2:$H$2918,MATCH($A774,DKW_10Y!$A$2:$A$2918,1))-INDEX(DKW_10Y!$H$2:$H$2918,MATCH(Settings!$B$16,DKW_10Y!$A$2:$A$2918,1)))*100))</f>
        <v/>
      </c>
      <c r="AC774" s="18">
        <f>IF(NOT(ISNUMBER($A774)),NA(),IFERROR(1*INDEX(BBG_Data!$N$2:$N$4000,MATCH($A774,BBG_Data!$M$2:$M$4000,0)),NA()))</f>
        <v/>
      </c>
      <c r="AD774" s="18">
        <f>IF(NOT(ISNUMBER($A774)),NA(),IFERROR(1*INDEX(BBG_Data!$P$2:$P$4000,MATCH($A774,BBG_Data!$O$2:$O$4000,0)),NA()))</f>
        <v/>
      </c>
      <c r="AE774" s="18">
        <f>IF(NOT(ISNUMBER($A774)),NA(),IFERROR(1*INDEX(BBG_Data!$R$2:$R$4000,MATCH($A774,BBG_Data!$Q$2:$Q$4000,0)),NA()))</f>
        <v/>
      </c>
      <c r="AF774" s="20">
        <f>IF(AND(ISNUMBER(B774),ISNUMBER(AC774)),(B774-AC774)*100,NA())</f>
        <v/>
      </c>
      <c r="AG774" s="20">
        <f>IF(AND(ISNUMBER(AE774),ISNUMBER(AD774)),(AE774-AD774)*100,NA())</f>
        <v/>
      </c>
      <c r="AH774" s="19">
        <f>IF(NOT(ISNUMBER($A774)),NA(),IFERROR(INDEX(BBG_Data!$T$2:$T$4000,MATCH($A774,BBG_Data!$S$2:$S$4000,0))*Settings!$B$25,NA()))</f>
        <v/>
      </c>
      <c r="AI774" s="19">
        <f>IF(NOT(ISNUMBER($A774)),NA(),IFERROR(INDEX(BBG_Data!$V$2:$V$4000,MATCH($A774,BBG_Data!$U$2:$U$4000,0))*Settings!$B$25,NA()))</f>
        <v/>
      </c>
      <c r="AJ774" s="19">
        <f>IF(NOT(ISNUMBER($A774)),NA(),IFERROR(1*INDEX(BBG_Data!$X$2:$X$4000,MATCH($A774,BBG_Data!$W$2:$W$4000,0)),NA()))</f>
        <v/>
      </c>
      <c r="AK774" s="19">
        <f>IF(NOT(ISNUMBER($A774)),NA(),IFERROR(1*INDEX(BBG_Data!$Z$2:$Z$4000,MATCH($A774,BBG_Data!$Y$2:$Y$4000,0)),NA()))</f>
        <v/>
      </c>
    </row>
    <row r="775">
      <c r="A775" s="17">
        <f>IF(ISNUMBER(BBG_Data!A775),BBG_Data!A775,"")</f>
        <v/>
      </c>
      <c r="B775" s="18">
        <f>IF(AND(ISNUMBER($A775),ISNUMBER(BBG_Data!B775)),BBG_Data!B775,NA())</f>
        <v/>
      </c>
      <c r="C775" s="18">
        <f>IF(NOT(ISNUMBER($A775)),NA(),IFERROR(1*INDEX(BBG_Data!$D$2:$D$4000,MATCH($A775,BBG_Data!$C$2:$C$4000,0)),NA()))</f>
        <v/>
      </c>
      <c r="D775" s="19">
        <f>IF(NOT(ISNUMBER($A775)),NA(),IFERROR(1*INDEX(BBG_Data!$F$2:$F$4000,MATCH($A775,BBG_Data!$E$2:$E$4000,0)),NA()))</f>
        <v/>
      </c>
      <c r="E775" s="19">
        <f>IF(NOT(ISNUMBER($A775)),NA(),IFERROR(1*INDEX(BBG_Data!$H$2:$H$4000,MATCH($A775,BBG_Data!$G$2:$G$4000,0)),NA()))</f>
        <v/>
      </c>
      <c r="F775" s="20">
        <f>IF(AND(ISNUMBER(B775),ISNUMBER(B774)),IF(B775=B774,"",(B775-B774)*100),"")</f>
        <v/>
      </c>
      <c r="G775" s="20">
        <f>IF(AND(ISNUMBER(C775),ISNUMBER(C774)),IF(C775=C774,"",(C775-C774)*100),"")</f>
        <v/>
      </c>
      <c r="H775" s="20">
        <f>IF(OR(NOT(ISNUMBER($A775)),ROW()-2&lt;Settings!$B$11),NA(),IF(COUNT(OFFSET(F775,1-Settings!$B$11,0,Settings!$B$11,1))&lt;ROUNDUP(Settings!$B$11*Settings!$B$26,0),NA(),STDEV(OFFSET(F775,1-Settings!$B$11,0,Settings!$B$11,1))*SQRT(Settings!$B$13)))</f>
        <v/>
      </c>
      <c r="I775" s="20">
        <f>IF(OR(NOT(ISNUMBER($A775)),ROW()-2&lt;Settings!$B$12),NA(),IF(COUNT(OFFSET(F775,1-Settings!$B$12,0,Settings!$B$12,1))&lt;ROUNDUP(Settings!$B$12*Settings!$B$26,0),NA(),STDEV(OFFSET(F775,1-Settings!$B$12,0,Settings!$B$12,1))*SQRT(Settings!$B$13)))</f>
        <v/>
      </c>
      <c r="J775" s="20">
        <f>IF(OR(NOT(ISNUMBER($A775)),ROW()-2&lt;Settings!$B$11),NA(),IF(COUNT(OFFSET(G775,1-Settings!$B$11,0,Settings!$B$11,1))&lt;ROUNDUP(Settings!$B$11*Settings!$B$26,0),NA(),STDEV(OFFSET(G775,1-Settings!$B$11,0,Settings!$B$11,1))*SQRT(Settings!$B$13)))</f>
        <v/>
      </c>
      <c r="K775" s="20">
        <f>IF(OR(NOT(ISNUMBER($A775)),ROW()-2&lt;Settings!$B$12),NA(),IF(COUNT(OFFSET(G775,1-Settings!$B$12,0,Settings!$B$12,1))&lt;ROUNDUP(Settings!$B$12*Settings!$B$26,0),NA(),STDEV(OFFSET(G775,1-Settings!$B$12,0,Settings!$B$12,1))*SQRT(Settings!$B$13)))</f>
        <v/>
      </c>
      <c r="L775" s="20">
        <f>IF(AND(ISNUMBER(D775),ISNUMBER(H775)),D775-H775,NA())</f>
        <v/>
      </c>
      <c r="M775" s="20">
        <f>IF(AND(ISNUMBER(E775),ISNUMBER(K775)),E775-K775,NA())</f>
        <v/>
      </c>
      <c r="N775" s="20">
        <f>IF(NOT(ISNUMBER($A775)),NA(),IF(COUNT(OFFSET(G775,1,0,Settings!$B$12,1))&lt;ROUNDUP(Settings!$B$12*Settings!$B$26,0),NA(),STDEV(OFFSET(G775,1,0,Settings!$B$12,1))*SQRT(Settings!$B$13)))</f>
        <v/>
      </c>
      <c r="O775" s="20">
        <f>IF(AND(ISNUMBER(E775),ISNUMBER(N775)),E775-N775,NA())</f>
        <v/>
      </c>
      <c r="P775" s="19">
        <f>IF(NOT(ISNUMBER($A775)),NA(),IF(OR($A775&lt;MIN(KW_TP!$A$2:$A$2501),$A775&gt;MAX(KW_TP!$A$2:$A$2501)),NA(),INDEX(KW_TP!$C$2:$C$2501,MATCH($A775,KW_TP!$A$2:$A$2501,1))))</f>
        <v/>
      </c>
      <c r="Q775" s="18">
        <f>IF(NOT(ISNUMBER($A775)),NA(),IFERROR(1*INDEX(BBG_Data!$J$2:$J$4000,MATCH($A775,BBG_Data!$I$2:$I$4000,0)),NA()))</f>
        <v/>
      </c>
      <c r="R775" s="18">
        <f>IF(NOT(ISNUMBER($A775)),NA(),IFERROR(1*INDEX(BBG_Data!$L$2:$L$4000,MATCH($A775,BBG_Data!$K$2:$K$4000,0)),NA()))</f>
        <v/>
      </c>
      <c r="S775" s="20">
        <f>IF(AND(ISNUMBER(B775),ISNUMBER(Q775),ISNUMBER(R775)),(B775-Q775-R775)*100,NA())</f>
        <v/>
      </c>
      <c r="T775" s="20">
        <f>IF(AND(ISNUMBER(B775),Settings!$B$17&gt;0),IF(ISNUMBER(INDEX($B:$B,Settings!$B$17)),(B775-INDEX($B:$B,Settings!$B$17))*100,NA()),NA())</f>
        <v/>
      </c>
      <c r="U775" s="20">
        <f>IF(AND(ISNUMBER(Q775),Settings!$B$17&gt;0),IF(ISNUMBER(INDEX($Q:$Q,Settings!$B$17)),(Q775-INDEX($Q:$Q,Settings!$B$17))*100,NA()),NA())</f>
        <v/>
      </c>
      <c r="V775" s="20">
        <f>IF(AND(ISNUMBER(R775),Settings!$B$17&gt;0),IF(ISNUMBER(INDEX($R:$R,Settings!$B$17)),(R775-INDEX($R:$R,Settings!$B$17))*100,NA()),NA())</f>
        <v/>
      </c>
      <c r="W775" s="20">
        <f>IF(AND(ISNUMBER(P775),Settings!$B$17&gt;0),IF(ISNUMBER(INDEX($P:$P,Settings!$B$17)),P775-INDEX($P:$P,Settings!$B$17),NA()),NA())</f>
        <v/>
      </c>
      <c r="X775" s="19">
        <f>IF(NOT(ISNUMBER($A775)),NA(),IF(OR($A775&lt;MIN(DKW_10Y!$A$2:$A$2918),$A775&gt;MAX(DKW_10Y!$A$2:$A$2918),Settings!$B$16&lt;MIN(DKW_10Y!$A$2:$A$2918)),NA(),(INDEX(DKW_10Y!$B$2:$B$2918,MATCH($A775,DKW_10Y!$A$2:$A$2918,1))-INDEX(DKW_10Y!$B$2:$B$2918,MATCH(Settings!$B$16,DKW_10Y!$A$2:$A$2918,1)))*100))</f>
        <v/>
      </c>
      <c r="Y775" s="19">
        <f>IF(NOT(ISNUMBER($A775)),NA(),IF(OR($A775&lt;MIN(DKW_10Y!$A$2:$A$2918),$A775&gt;MAX(DKW_10Y!$A$2:$A$2918),Settings!$B$16&lt;MIN(DKW_10Y!$A$2:$A$2918)),NA(),(INDEX(DKW_10Y!$C$2:$C$2918,MATCH($A775,DKW_10Y!$A$2:$A$2918,1))-INDEX(DKW_10Y!$C$2:$C$2918,MATCH(Settings!$B$16,DKW_10Y!$A$2:$A$2918,1)))*100))</f>
        <v/>
      </c>
      <c r="Z775" s="19">
        <f>IF(NOT(ISNUMBER($A775)),NA(),IF(OR($A775&lt;MIN(DKW_10Y!$A$2:$A$2918),$A775&gt;MAX(DKW_10Y!$A$2:$A$2918),Settings!$B$16&lt;MIN(DKW_10Y!$A$2:$A$2918)),NA(),(INDEX(DKW_10Y!$D$2:$D$2918,MATCH($A775,DKW_10Y!$A$2:$A$2918,1))-INDEX(DKW_10Y!$D$2:$D$2918,MATCH(Settings!$B$16,DKW_10Y!$A$2:$A$2918,1)))*100))</f>
        <v/>
      </c>
      <c r="AA775" s="19">
        <f>IF(NOT(ISNUMBER($A775)),NA(),IF(OR($A775&lt;MIN(DKW_10Y!$A$2:$A$2918),$A775&gt;MAX(DKW_10Y!$A$2:$A$2918),Settings!$B$16&lt;MIN(DKW_10Y!$A$2:$A$2918)),NA(),(INDEX(DKW_10Y!$E$2:$E$2918,MATCH($A775,DKW_10Y!$A$2:$A$2918,1))-INDEX(DKW_10Y!$E$2:$E$2918,MATCH(Settings!$B$16,DKW_10Y!$A$2:$A$2918,1)))*100))</f>
        <v/>
      </c>
      <c r="AB775" s="19">
        <f>IF(NOT(ISNUMBER($A775)),NA(),IF(OR($A775&lt;MIN(DKW_10Y!$A$2:$A$2918),$A775&gt;MAX(DKW_10Y!$A$2:$A$2918),Settings!$B$16&lt;MIN(DKW_10Y!$A$2:$A$2918)),NA(),(INDEX(DKW_10Y!$H$2:$H$2918,MATCH($A775,DKW_10Y!$A$2:$A$2918,1))-INDEX(DKW_10Y!$H$2:$H$2918,MATCH(Settings!$B$16,DKW_10Y!$A$2:$A$2918,1)))*100))</f>
        <v/>
      </c>
      <c r="AC775" s="18">
        <f>IF(NOT(ISNUMBER($A775)),NA(),IFERROR(1*INDEX(BBG_Data!$N$2:$N$4000,MATCH($A775,BBG_Data!$M$2:$M$4000,0)),NA()))</f>
        <v/>
      </c>
      <c r="AD775" s="18">
        <f>IF(NOT(ISNUMBER($A775)),NA(),IFERROR(1*INDEX(BBG_Data!$P$2:$P$4000,MATCH($A775,BBG_Data!$O$2:$O$4000,0)),NA()))</f>
        <v/>
      </c>
      <c r="AE775" s="18">
        <f>IF(NOT(ISNUMBER($A775)),NA(),IFERROR(1*INDEX(BBG_Data!$R$2:$R$4000,MATCH($A775,BBG_Data!$Q$2:$Q$4000,0)),NA()))</f>
        <v/>
      </c>
      <c r="AF775" s="20">
        <f>IF(AND(ISNUMBER(B775),ISNUMBER(AC775)),(B775-AC775)*100,NA())</f>
        <v/>
      </c>
      <c r="AG775" s="20">
        <f>IF(AND(ISNUMBER(AE775),ISNUMBER(AD775)),(AE775-AD775)*100,NA())</f>
        <v/>
      </c>
      <c r="AH775" s="19">
        <f>IF(NOT(ISNUMBER($A775)),NA(),IFERROR(INDEX(BBG_Data!$T$2:$T$4000,MATCH($A775,BBG_Data!$S$2:$S$4000,0))*Settings!$B$25,NA()))</f>
        <v/>
      </c>
      <c r="AI775" s="19">
        <f>IF(NOT(ISNUMBER($A775)),NA(),IFERROR(INDEX(BBG_Data!$V$2:$V$4000,MATCH($A775,BBG_Data!$U$2:$U$4000,0))*Settings!$B$25,NA()))</f>
        <v/>
      </c>
      <c r="AJ775" s="19">
        <f>IF(NOT(ISNUMBER($A775)),NA(),IFERROR(1*INDEX(BBG_Data!$X$2:$X$4000,MATCH($A775,BBG_Data!$W$2:$W$4000,0)),NA()))</f>
        <v/>
      </c>
      <c r="AK775" s="19">
        <f>IF(NOT(ISNUMBER($A775)),NA(),IFERROR(1*INDEX(BBG_Data!$Z$2:$Z$4000,MATCH($A775,BBG_Data!$Y$2:$Y$4000,0)),NA()))</f>
        <v/>
      </c>
    </row>
    <row r="776">
      <c r="A776" s="17">
        <f>IF(ISNUMBER(BBG_Data!A776),BBG_Data!A776,"")</f>
        <v/>
      </c>
      <c r="B776" s="18">
        <f>IF(AND(ISNUMBER($A776),ISNUMBER(BBG_Data!B776)),BBG_Data!B776,NA())</f>
        <v/>
      </c>
      <c r="C776" s="18">
        <f>IF(NOT(ISNUMBER($A776)),NA(),IFERROR(1*INDEX(BBG_Data!$D$2:$D$4000,MATCH($A776,BBG_Data!$C$2:$C$4000,0)),NA()))</f>
        <v/>
      </c>
      <c r="D776" s="19">
        <f>IF(NOT(ISNUMBER($A776)),NA(),IFERROR(1*INDEX(BBG_Data!$F$2:$F$4000,MATCH($A776,BBG_Data!$E$2:$E$4000,0)),NA()))</f>
        <v/>
      </c>
      <c r="E776" s="19">
        <f>IF(NOT(ISNUMBER($A776)),NA(),IFERROR(1*INDEX(BBG_Data!$H$2:$H$4000,MATCH($A776,BBG_Data!$G$2:$G$4000,0)),NA()))</f>
        <v/>
      </c>
      <c r="F776" s="20">
        <f>IF(AND(ISNUMBER(B776),ISNUMBER(B775)),IF(B776=B775,"",(B776-B775)*100),"")</f>
        <v/>
      </c>
      <c r="G776" s="20">
        <f>IF(AND(ISNUMBER(C776),ISNUMBER(C775)),IF(C776=C775,"",(C776-C775)*100),"")</f>
        <v/>
      </c>
      <c r="H776" s="20">
        <f>IF(OR(NOT(ISNUMBER($A776)),ROW()-2&lt;Settings!$B$11),NA(),IF(COUNT(OFFSET(F776,1-Settings!$B$11,0,Settings!$B$11,1))&lt;ROUNDUP(Settings!$B$11*Settings!$B$26,0),NA(),STDEV(OFFSET(F776,1-Settings!$B$11,0,Settings!$B$11,1))*SQRT(Settings!$B$13)))</f>
        <v/>
      </c>
      <c r="I776" s="20">
        <f>IF(OR(NOT(ISNUMBER($A776)),ROW()-2&lt;Settings!$B$12),NA(),IF(COUNT(OFFSET(F776,1-Settings!$B$12,0,Settings!$B$12,1))&lt;ROUNDUP(Settings!$B$12*Settings!$B$26,0),NA(),STDEV(OFFSET(F776,1-Settings!$B$12,0,Settings!$B$12,1))*SQRT(Settings!$B$13)))</f>
        <v/>
      </c>
      <c r="J776" s="20">
        <f>IF(OR(NOT(ISNUMBER($A776)),ROW()-2&lt;Settings!$B$11),NA(),IF(COUNT(OFFSET(G776,1-Settings!$B$11,0,Settings!$B$11,1))&lt;ROUNDUP(Settings!$B$11*Settings!$B$26,0),NA(),STDEV(OFFSET(G776,1-Settings!$B$11,0,Settings!$B$11,1))*SQRT(Settings!$B$13)))</f>
        <v/>
      </c>
      <c r="K776" s="20">
        <f>IF(OR(NOT(ISNUMBER($A776)),ROW()-2&lt;Settings!$B$12),NA(),IF(COUNT(OFFSET(G776,1-Settings!$B$12,0,Settings!$B$12,1))&lt;ROUNDUP(Settings!$B$12*Settings!$B$26,0),NA(),STDEV(OFFSET(G776,1-Settings!$B$12,0,Settings!$B$12,1))*SQRT(Settings!$B$13)))</f>
        <v/>
      </c>
      <c r="L776" s="20">
        <f>IF(AND(ISNUMBER(D776),ISNUMBER(H776)),D776-H776,NA())</f>
        <v/>
      </c>
      <c r="M776" s="20">
        <f>IF(AND(ISNUMBER(E776),ISNUMBER(K776)),E776-K776,NA())</f>
        <v/>
      </c>
      <c r="N776" s="20">
        <f>IF(NOT(ISNUMBER($A776)),NA(),IF(COUNT(OFFSET(G776,1,0,Settings!$B$12,1))&lt;ROUNDUP(Settings!$B$12*Settings!$B$26,0),NA(),STDEV(OFFSET(G776,1,0,Settings!$B$12,1))*SQRT(Settings!$B$13)))</f>
        <v/>
      </c>
      <c r="O776" s="20">
        <f>IF(AND(ISNUMBER(E776),ISNUMBER(N776)),E776-N776,NA())</f>
        <v/>
      </c>
      <c r="P776" s="19">
        <f>IF(NOT(ISNUMBER($A776)),NA(),IF(OR($A776&lt;MIN(KW_TP!$A$2:$A$2501),$A776&gt;MAX(KW_TP!$A$2:$A$2501)),NA(),INDEX(KW_TP!$C$2:$C$2501,MATCH($A776,KW_TP!$A$2:$A$2501,1))))</f>
        <v/>
      </c>
      <c r="Q776" s="18">
        <f>IF(NOT(ISNUMBER($A776)),NA(),IFERROR(1*INDEX(BBG_Data!$J$2:$J$4000,MATCH($A776,BBG_Data!$I$2:$I$4000,0)),NA()))</f>
        <v/>
      </c>
      <c r="R776" s="18">
        <f>IF(NOT(ISNUMBER($A776)),NA(),IFERROR(1*INDEX(BBG_Data!$L$2:$L$4000,MATCH($A776,BBG_Data!$K$2:$K$4000,0)),NA()))</f>
        <v/>
      </c>
      <c r="S776" s="20">
        <f>IF(AND(ISNUMBER(B776),ISNUMBER(Q776),ISNUMBER(R776)),(B776-Q776-R776)*100,NA())</f>
        <v/>
      </c>
      <c r="T776" s="20">
        <f>IF(AND(ISNUMBER(B776),Settings!$B$17&gt;0),IF(ISNUMBER(INDEX($B:$B,Settings!$B$17)),(B776-INDEX($B:$B,Settings!$B$17))*100,NA()),NA())</f>
        <v/>
      </c>
      <c r="U776" s="20">
        <f>IF(AND(ISNUMBER(Q776),Settings!$B$17&gt;0),IF(ISNUMBER(INDEX($Q:$Q,Settings!$B$17)),(Q776-INDEX($Q:$Q,Settings!$B$17))*100,NA()),NA())</f>
        <v/>
      </c>
      <c r="V776" s="20">
        <f>IF(AND(ISNUMBER(R776),Settings!$B$17&gt;0),IF(ISNUMBER(INDEX($R:$R,Settings!$B$17)),(R776-INDEX($R:$R,Settings!$B$17))*100,NA()),NA())</f>
        <v/>
      </c>
      <c r="W776" s="20">
        <f>IF(AND(ISNUMBER(P776),Settings!$B$17&gt;0),IF(ISNUMBER(INDEX($P:$P,Settings!$B$17)),P776-INDEX($P:$P,Settings!$B$17),NA()),NA())</f>
        <v/>
      </c>
      <c r="X776" s="19">
        <f>IF(NOT(ISNUMBER($A776)),NA(),IF(OR($A776&lt;MIN(DKW_10Y!$A$2:$A$2918),$A776&gt;MAX(DKW_10Y!$A$2:$A$2918),Settings!$B$16&lt;MIN(DKW_10Y!$A$2:$A$2918)),NA(),(INDEX(DKW_10Y!$B$2:$B$2918,MATCH($A776,DKW_10Y!$A$2:$A$2918,1))-INDEX(DKW_10Y!$B$2:$B$2918,MATCH(Settings!$B$16,DKW_10Y!$A$2:$A$2918,1)))*100))</f>
        <v/>
      </c>
      <c r="Y776" s="19">
        <f>IF(NOT(ISNUMBER($A776)),NA(),IF(OR($A776&lt;MIN(DKW_10Y!$A$2:$A$2918),$A776&gt;MAX(DKW_10Y!$A$2:$A$2918),Settings!$B$16&lt;MIN(DKW_10Y!$A$2:$A$2918)),NA(),(INDEX(DKW_10Y!$C$2:$C$2918,MATCH($A776,DKW_10Y!$A$2:$A$2918,1))-INDEX(DKW_10Y!$C$2:$C$2918,MATCH(Settings!$B$16,DKW_10Y!$A$2:$A$2918,1)))*100))</f>
        <v/>
      </c>
      <c r="Z776" s="19">
        <f>IF(NOT(ISNUMBER($A776)),NA(),IF(OR($A776&lt;MIN(DKW_10Y!$A$2:$A$2918),$A776&gt;MAX(DKW_10Y!$A$2:$A$2918),Settings!$B$16&lt;MIN(DKW_10Y!$A$2:$A$2918)),NA(),(INDEX(DKW_10Y!$D$2:$D$2918,MATCH($A776,DKW_10Y!$A$2:$A$2918,1))-INDEX(DKW_10Y!$D$2:$D$2918,MATCH(Settings!$B$16,DKW_10Y!$A$2:$A$2918,1)))*100))</f>
        <v/>
      </c>
      <c r="AA776" s="19">
        <f>IF(NOT(ISNUMBER($A776)),NA(),IF(OR($A776&lt;MIN(DKW_10Y!$A$2:$A$2918),$A776&gt;MAX(DKW_10Y!$A$2:$A$2918),Settings!$B$16&lt;MIN(DKW_10Y!$A$2:$A$2918)),NA(),(INDEX(DKW_10Y!$E$2:$E$2918,MATCH($A776,DKW_10Y!$A$2:$A$2918,1))-INDEX(DKW_10Y!$E$2:$E$2918,MATCH(Settings!$B$16,DKW_10Y!$A$2:$A$2918,1)))*100))</f>
        <v/>
      </c>
      <c r="AB776" s="19">
        <f>IF(NOT(ISNUMBER($A776)),NA(),IF(OR($A776&lt;MIN(DKW_10Y!$A$2:$A$2918),$A776&gt;MAX(DKW_10Y!$A$2:$A$2918),Settings!$B$16&lt;MIN(DKW_10Y!$A$2:$A$2918)),NA(),(INDEX(DKW_10Y!$H$2:$H$2918,MATCH($A776,DKW_10Y!$A$2:$A$2918,1))-INDEX(DKW_10Y!$H$2:$H$2918,MATCH(Settings!$B$16,DKW_10Y!$A$2:$A$2918,1)))*100))</f>
        <v/>
      </c>
      <c r="AC776" s="18">
        <f>IF(NOT(ISNUMBER($A776)),NA(),IFERROR(1*INDEX(BBG_Data!$N$2:$N$4000,MATCH($A776,BBG_Data!$M$2:$M$4000,0)),NA()))</f>
        <v/>
      </c>
      <c r="AD776" s="18">
        <f>IF(NOT(ISNUMBER($A776)),NA(),IFERROR(1*INDEX(BBG_Data!$P$2:$P$4000,MATCH($A776,BBG_Data!$O$2:$O$4000,0)),NA()))</f>
        <v/>
      </c>
      <c r="AE776" s="18">
        <f>IF(NOT(ISNUMBER($A776)),NA(),IFERROR(1*INDEX(BBG_Data!$R$2:$R$4000,MATCH($A776,BBG_Data!$Q$2:$Q$4000,0)),NA()))</f>
        <v/>
      </c>
      <c r="AF776" s="20">
        <f>IF(AND(ISNUMBER(B776),ISNUMBER(AC776)),(B776-AC776)*100,NA())</f>
        <v/>
      </c>
      <c r="AG776" s="20">
        <f>IF(AND(ISNUMBER(AE776),ISNUMBER(AD776)),(AE776-AD776)*100,NA())</f>
        <v/>
      </c>
      <c r="AH776" s="19">
        <f>IF(NOT(ISNUMBER($A776)),NA(),IFERROR(INDEX(BBG_Data!$T$2:$T$4000,MATCH($A776,BBG_Data!$S$2:$S$4000,0))*Settings!$B$25,NA()))</f>
        <v/>
      </c>
      <c r="AI776" s="19">
        <f>IF(NOT(ISNUMBER($A776)),NA(),IFERROR(INDEX(BBG_Data!$V$2:$V$4000,MATCH($A776,BBG_Data!$U$2:$U$4000,0))*Settings!$B$25,NA()))</f>
        <v/>
      </c>
      <c r="AJ776" s="19">
        <f>IF(NOT(ISNUMBER($A776)),NA(),IFERROR(1*INDEX(BBG_Data!$X$2:$X$4000,MATCH($A776,BBG_Data!$W$2:$W$4000,0)),NA()))</f>
        <v/>
      </c>
      <c r="AK776" s="19">
        <f>IF(NOT(ISNUMBER($A776)),NA(),IFERROR(1*INDEX(BBG_Data!$Z$2:$Z$4000,MATCH($A776,BBG_Data!$Y$2:$Y$4000,0)),NA()))</f>
        <v/>
      </c>
    </row>
    <row r="777">
      <c r="A777" s="17">
        <f>IF(ISNUMBER(BBG_Data!A777),BBG_Data!A777,"")</f>
        <v/>
      </c>
      <c r="B777" s="18">
        <f>IF(AND(ISNUMBER($A777),ISNUMBER(BBG_Data!B777)),BBG_Data!B777,NA())</f>
        <v/>
      </c>
      <c r="C777" s="18">
        <f>IF(NOT(ISNUMBER($A777)),NA(),IFERROR(1*INDEX(BBG_Data!$D$2:$D$4000,MATCH($A777,BBG_Data!$C$2:$C$4000,0)),NA()))</f>
        <v/>
      </c>
      <c r="D777" s="19">
        <f>IF(NOT(ISNUMBER($A777)),NA(),IFERROR(1*INDEX(BBG_Data!$F$2:$F$4000,MATCH($A777,BBG_Data!$E$2:$E$4000,0)),NA()))</f>
        <v/>
      </c>
      <c r="E777" s="19">
        <f>IF(NOT(ISNUMBER($A777)),NA(),IFERROR(1*INDEX(BBG_Data!$H$2:$H$4000,MATCH($A777,BBG_Data!$G$2:$G$4000,0)),NA()))</f>
        <v/>
      </c>
      <c r="F777" s="20">
        <f>IF(AND(ISNUMBER(B777),ISNUMBER(B776)),IF(B777=B776,"",(B777-B776)*100),"")</f>
        <v/>
      </c>
      <c r="G777" s="20">
        <f>IF(AND(ISNUMBER(C777),ISNUMBER(C776)),IF(C777=C776,"",(C777-C776)*100),"")</f>
        <v/>
      </c>
      <c r="H777" s="20">
        <f>IF(OR(NOT(ISNUMBER($A777)),ROW()-2&lt;Settings!$B$11),NA(),IF(COUNT(OFFSET(F777,1-Settings!$B$11,0,Settings!$B$11,1))&lt;ROUNDUP(Settings!$B$11*Settings!$B$26,0),NA(),STDEV(OFFSET(F777,1-Settings!$B$11,0,Settings!$B$11,1))*SQRT(Settings!$B$13)))</f>
        <v/>
      </c>
      <c r="I777" s="20">
        <f>IF(OR(NOT(ISNUMBER($A777)),ROW()-2&lt;Settings!$B$12),NA(),IF(COUNT(OFFSET(F777,1-Settings!$B$12,0,Settings!$B$12,1))&lt;ROUNDUP(Settings!$B$12*Settings!$B$26,0),NA(),STDEV(OFFSET(F777,1-Settings!$B$12,0,Settings!$B$12,1))*SQRT(Settings!$B$13)))</f>
        <v/>
      </c>
      <c r="J777" s="20">
        <f>IF(OR(NOT(ISNUMBER($A777)),ROW()-2&lt;Settings!$B$11),NA(),IF(COUNT(OFFSET(G777,1-Settings!$B$11,0,Settings!$B$11,1))&lt;ROUNDUP(Settings!$B$11*Settings!$B$26,0),NA(),STDEV(OFFSET(G777,1-Settings!$B$11,0,Settings!$B$11,1))*SQRT(Settings!$B$13)))</f>
        <v/>
      </c>
      <c r="K777" s="20">
        <f>IF(OR(NOT(ISNUMBER($A777)),ROW()-2&lt;Settings!$B$12),NA(),IF(COUNT(OFFSET(G777,1-Settings!$B$12,0,Settings!$B$12,1))&lt;ROUNDUP(Settings!$B$12*Settings!$B$26,0),NA(),STDEV(OFFSET(G777,1-Settings!$B$12,0,Settings!$B$12,1))*SQRT(Settings!$B$13)))</f>
        <v/>
      </c>
      <c r="L777" s="20">
        <f>IF(AND(ISNUMBER(D777),ISNUMBER(H777)),D777-H777,NA())</f>
        <v/>
      </c>
      <c r="M777" s="20">
        <f>IF(AND(ISNUMBER(E777),ISNUMBER(K777)),E777-K777,NA())</f>
        <v/>
      </c>
      <c r="N777" s="20">
        <f>IF(NOT(ISNUMBER($A777)),NA(),IF(COUNT(OFFSET(G777,1,0,Settings!$B$12,1))&lt;ROUNDUP(Settings!$B$12*Settings!$B$26,0),NA(),STDEV(OFFSET(G777,1,0,Settings!$B$12,1))*SQRT(Settings!$B$13)))</f>
        <v/>
      </c>
      <c r="O777" s="20">
        <f>IF(AND(ISNUMBER(E777),ISNUMBER(N777)),E777-N777,NA())</f>
        <v/>
      </c>
      <c r="P777" s="19">
        <f>IF(NOT(ISNUMBER($A777)),NA(),IF(OR($A777&lt;MIN(KW_TP!$A$2:$A$2501),$A777&gt;MAX(KW_TP!$A$2:$A$2501)),NA(),INDEX(KW_TP!$C$2:$C$2501,MATCH($A777,KW_TP!$A$2:$A$2501,1))))</f>
        <v/>
      </c>
      <c r="Q777" s="18">
        <f>IF(NOT(ISNUMBER($A777)),NA(),IFERROR(1*INDEX(BBG_Data!$J$2:$J$4000,MATCH($A777,BBG_Data!$I$2:$I$4000,0)),NA()))</f>
        <v/>
      </c>
      <c r="R777" s="18">
        <f>IF(NOT(ISNUMBER($A777)),NA(),IFERROR(1*INDEX(BBG_Data!$L$2:$L$4000,MATCH($A777,BBG_Data!$K$2:$K$4000,0)),NA()))</f>
        <v/>
      </c>
      <c r="S777" s="20">
        <f>IF(AND(ISNUMBER(B777),ISNUMBER(Q777),ISNUMBER(R777)),(B777-Q777-R777)*100,NA())</f>
        <v/>
      </c>
      <c r="T777" s="20">
        <f>IF(AND(ISNUMBER(B777),Settings!$B$17&gt;0),IF(ISNUMBER(INDEX($B:$B,Settings!$B$17)),(B777-INDEX($B:$B,Settings!$B$17))*100,NA()),NA())</f>
        <v/>
      </c>
      <c r="U777" s="20">
        <f>IF(AND(ISNUMBER(Q777),Settings!$B$17&gt;0),IF(ISNUMBER(INDEX($Q:$Q,Settings!$B$17)),(Q777-INDEX($Q:$Q,Settings!$B$17))*100,NA()),NA())</f>
        <v/>
      </c>
      <c r="V777" s="20">
        <f>IF(AND(ISNUMBER(R777),Settings!$B$17&gt;0),IF(ISNUMBER(INDEX($R:$R,Settings!$B$17)),(R777-INDEX($R:$R,Settings!$B$17))*100,NA()),NA())</f>
        <v/>
      </c>
      <c r="W777" s="20">
        <f>IF(AND(ISNUMBER(P777),Settings!$B$17&gt;0),IF(ISNUMBER(INDEX($P:$P,Settings!$B$17)),P777-INDEX($P:$P,Settings!$B$17),NA()),NA())</f>
        <v/>
      </c>
      <c r="X777" s="19">
        <f>IF(NOT(ISNUMBER($A777)),NA(),IF(OR($A777&lt;MIN(DKW_10Y!$A$2:$A$2918),$A777&gt;MAX(DKW_10Y!$A$2:$A$2918),Settings!$B$16&lt;MIN(DKW_10Y!$A$2:$A$2918)),NA(),(INDEX(DKW_10Y!$B$2:$B$2918,MATCH($A777,DKW_10Y!$A$2:$A$2918,1))-INDEX(DKW_10Y!$B$2:$B$2918,MATCH(Settings!$B$16,DKW_10Y!$A$2:$A$2918,1)))*100))</f>
        <v/>
      </c>
      <c r="Y777" s="19">
        <f>IF(NOT(ISNUMBER($A777)),NA(),IF(OR($A777&lt;MIN(DKW_10Y!$A$2:$A$2918),$A777&gt;MAX(DKW_10Y!$A$2:$A$2918),Settings!$B$16&lt;MIN(DKW_10Y!$A$2:$A$2918)),NA(),(INDEX(DKW_10Y!$C$2:$C$2918,MATCH($A777,DKW_10Y!$A$2:$A$2918,1))-INDEX(DKW_10Y!$C$2:$C$2918,MATCH(Settings!$B$16,DKW_10Y!$A$2:$A$2918,1)))*100))</f>
        <v/>
      </c>
      <c r="Z777" s="19">
        <f>IF(NOT(ISNUMBER($A777)),NA(),IF(OR($A777&lt;MIN(DKW_10Y!$A$2:$A$2918),$A777&gt;MAX(DKW_10Y!$A$2:$A$2918),Settings!$B$16&lt;MIN(DKW_10Y!$A$2:$A$2918)),NA(),(INDEX(DKW_10Y!$D$2:$D$2918,MATCH($A777,DKW_10Y!$A$2:$A$2918,1))-INDEX(DKW_10Y!$D$2:$D$2918,MATCH(Settings!$B$16,DKW_10Y!$A$2:$A$2918,1)))*100))</f>
        <v/>
      </c>
      <c r="AA777" s="19">
        <f>IF(NOT(ISNUMBER($A777)),NA(),IF(OR($A777&lt;MIN(DKW_10Y!$A$2:$A$2918),$A777&gt;MAX(DKW_10Y!$A$2:$A$2918),Settings!$B$16&lt;MIN(DKW_10Y!$A$2:$A$2918)),NA(),(INDEX(DKW_10Y!$E$2:$E$2918,MATCH($A777,DKW_10Y!$A$2:$A$2918,1))-INDEX(DKW_10Y!$E$2:$E$2918,MATCH(Settings!$B$16,DKW_10Y!$A$2:$A$2918,1)))*100))</f>
        <v/>
      </c>
      <c r="AB777" s="19">
        <f>IF(NOT(ISNUMBER($A777)),NA(),IF(OR($A777&lt;MIN(DKW_10Y!$A$2:$A$2918),$A777&gt;MAX(DKW_10Y!$A$2:$A$2918),Settings!$B$16&lt;MIN(DKW_10Y!$A$2:$A$2918)),NA(),(INDEX(DKW_10Y!$H$2:$H$2918,MATCH($A777,DKW_10Y!$A$2:$A$2918,1))-INDEX(DKW_10Y!$H$2:$H$2918,MATCH(Settings!$B$16,DKW_10Y!$A$2:$A$2918,1)))*100))</f>
        <v/>
      </c>
      <c r="AC777" s="18">
        <f>IF(NOT(ISNUMBER($A777)),NA(),IFERROR(1*INDEX(BBG_Data!$N$2:$N$4000,MATCH($A777,BBG_Data!$M$2:$M$4000,0)),NA()))</f>
        <v/>
      </c>
      <c r="AD777" s="18">
        <f>IF(NOT(ISNUMBER($A777)),NA(),IFERROR(1*INDEX(BBG_Data!$P$2:$P$4000,MATCH($A777,BBG_Data!$O$2:$O$4000,0)),NA()))</f>
        <v/>
      </c>
      <c r="AE777" s="18">
        <f>IF(NOT(ISNUMBER($A777)),NA(),IFERROR(1*INDEX(BBG_Data!$R$2:$R$4000,MATCH($A777,BBG_Data!$Q$2:$Q$4000,0)),NA()))</f>
        <v/>
      </c>
      <c r="AF777" s="20">
        <f>IF(AND(ISNUMBER(B777),ISNUMBER(AC777)),(B777-AC777)*100,NA())</f>
        <v/>
      </c>
      <c r="AG777" s="20">
        <f>IF(AND(ISNUMBER(AE777),ISNUMBER(AD777)),(AE777-AD777)*100,NA())</f>
        <v/>
      </c>
      <c r="AH777" s="19">
        <f>IF(NOT(ISNUMBER($A777)),NA(),IFERROR(INDEX(BBG_Data!$T$2:$T$4000,MATCH($A777,BBG_Data!$S$2:$S$4000,0))*Settings!$B$25,NA()))</f>
        <v/>
      </c>
      <c r="AI777" s="19">
        <f>IF(NOT(ISNUMBER($A777)),NA(),IFERROR(INDEX(BBG_Data!$V$2:$V$4000,MATCH($A777,BBG_Data!$U$2:$U$4000,0))*Settings!$B$25,NA()))</f>
        <v/>
      </c>
      <c r="AJ777" s="19">
        <f>IF(NOT(ISNUMBER($A777)),NA(),IFERROR(1*INDEX(BBG_Data!$X$2:$X$4000,MATCH($A777,BBG_Data!$W$2:$W$4000,0)),NA()))</f>
        <v/>
      </c>
      <c r="AK777" s="19">
        <f>IF(NOT(ISNUMBER($A777)),NA(),IFERROR(1*INDEX(BBG_Data!$Z$2:$Z$4000,MATCH($A777,BBG_Data!$Y$2:$Y$4000,0)),NA()))</f>
        <v/>
      </c>
    </row>
    <row r="778">
      <c r="A778" s="17">
        <f>IF(ISNUMBER(BBG_Data!A778),BBG_Data!A778,"")</f>
        <v/>
      </c>
      <c r="B778" s="18">
        <f>IF(AND(ISNUMBER($A778),ISNUMBER(BBG_Data!B778)),BBG_Data!B778,NA())</f>
        <v/>
      </c>
      <c r="C778" s="18">
        <f>IF(NOT(ISNUMBER($A778)),NA(),IFERROR(1*INDEX(BBG_Data!$D$2:$D$4000,MATCH($A778,BBG_Data!$C$2:$C$4000,0)),NA()))</f>
        <v/>
      </c>
      <c r="D778" s="19">
        <f>IF(NOT(ISNUMBER($A778)),NA(),IFERROR(1*INDEX(BBG_Data!$F$2:$F$4000,MATCH($A778,BBG_Data!$E$2:$E$4000,0)),NA()))</f>
        <v/>
      </c>
      <c r="E778" s="19">
        <f>IF(NOT(ISNUMBER($A778)),NA(),IFERROR(1*INDEX(BBG_Data!$H$2:$H$4000,MATCH($A778,BBG_Data!$G$2:$G$4000,0)),NA()))</f>
        <v/>
      </c>
      <c r="F778" s="20">
        <f>IF(AND(ISNUMBER(B778),ISNUMBER(B777)),IF(B778=B777,"",(B778-B777)*100),"")</f>
        <v/>
      </c>
      <c r="G778" s="20">
        <f>IF(AND(ISNUMBER(C778),ISNUMBER(C777)),IF(C778=C777,"",(C778-C777)*100),"")</f>
        <v/>
      </c>
      <c r="H778" s="20">
        <f>IF(OR(NOT(ISNUMBER($A778)),ROW()-2&lt;Settings!$B$11),NA(),IF(COUNT(OFFSET(F778,1-Settings!$B$11,0,Settings!$B$11,1))&lt;ROUNDUP(Settings!$B$11*Settings!$B$26,0),NA(),STDEV(OFFSET(F778,1-Settings!$B$11,0,Settings!$B$11,1))*SQRT(Settings!$B$13)))</f>
        <v/>
      </c>
      <c r="I778" s="20">
        <f>IF(OR(NOT(ISNUMBER($A778)),ROW()-2&lt;Settings!$B$12),NA(),IF(COUNT(OFFSET(F778,1-Settings!$B$12,0,Settings!$B$12,1))&lt;ROUNDUP(Settings!$B$12*Settings!$B$26,0),NA(),STDEV(OFFSET(F778,1-Settings!$B$12,0,Settings!$B$12,1))*SQRT(Settings!$B$13)))</f>
        <v/>
      </c>
      <c r="J778" s="20">
        <f>IF(OR(NOT(ISNUMBER($A778)),ROW()-2&lt;Settings!$B$11),NA(),IF(COUNT(OFFSET(G778,1-Settings!$B$11,0,Settings!$B$11,1))&lt;ROUNDUP(Settings!$B$11*Settings!$B$26,0),NA(),STDEV(OFFSET(G778,1-Settings!$B$11,0,Settings!$B$11,1))*SQRT(Settings!$B$13)))</f>
        <v/>
      </c>
      <c r="K778" s="20">
        <f>IF(OR(NOT(ISNUMBER($A778)),ROW()-2&lt;Settings!$B$12),NA(),IF(COUNT(OFFSET(G778,1-Settings!$B$12,0,Settings!$B$12,1))&lt;ROUNDUP(Settings!$B$12*Settings!$B$26,0),NA(),STDEV(OFFSET(G778,1-Settings!$B$12,0,Settings!$B$12,1))*SQRT(Settings!$B$13)))</f>
        <v/>
      </c>
      <c r="L778" s="20">
        <f>IF(AND(ISNUMBER(D778),ISNUMBER(H778)),D778-H778,NA())</f>
        <v/>
      </c>
      <c r="M778" s="20">
        <f>IF(AND(ISNUMBER(E778),ISNUMBER(K778)),E778-K778,NA())</f>
        <v/>
      </c>
      <c r="N778" s="20">
        <f>IF(NOT(ISNUMBER($A778)),NA(),IF(COUNT(OFFSET(G778,1,0,Settings!$B$12,1))&lt;ROUNDUP(Settings!$B$12*Settings!$B$26,0),NA(),STDEV(OFFSET(G778,1,0,Settings!$B$12,1))*SQRT(Settings!$B$13)))</f>
        <v/>
      </c>
      <c r="O778" s="20">
        <f>IF(AND(ISNUMBER(E778),ISNUMBER(N778)),E778-N778,NA())</f>
        <v/>
      </c>
      <c r="P778" s="19">
        <f>IF(NOT(ISNUMBER($A778)),NA(),IF(OR($A778&lt;MIN(KW_TP!$A$2:$A$2501),$A778&gt;MAX(KW_TP!$A$2:$A$2501)),NA(),INDEX(KW_TP!$C$2:$C$2501,MATCH($A778,KW_TP!$A$2:$A$2501,1))))</f>
        <v/>
      </c>
      <c r="Q778" s="18">
        <f>IF(NOT(ISNUMBER($A778)),NA(),IFERROR(1*INDEX(BBG_Data!$J$2:$J$4000,MATCH($A778,BBG_Data!$I$2:$I$4000,0)),NA()))</f>
        <v/>
      </c>
      <c r="R778" s="18">
        <f>IF(NOT(ISNUMBER($A778)),NA(),IFERROR(1*INDEX(BBG_Data!$L$2:$L$4000,MATCH($A778,BBG_Data!$K$2:$K$4000,0)),NA()))</f>
        <v/>
      </c>
      <c r="S778" s="20">
        <f>IF(AND(ISNUMBER(B778),ISNUMBER(Q778),ISNUMBER(R778)),(B778-Q778-R778)*100,NA())</f>
        <v/>
      </c>
      <c r="T778" s="20">
        <f>IF(AND(ISNUMBER(B778),Settings!$B$17&gt;0),IF(ISNUMBER(INDEX($B:$B,Settings!$B$17)),(B778-INDEX($B:$B,Settings!$B$17))*100,NA()),NA())</f>
        <v/>
      </c>
      <c r="U778" s="20">
        <f>IF(AND(ISNUMBER(Q778),Settings!$B$17&gt;0),IF(ISNUMBER(INDEX($Q:$Q,Settings!$B$17)),(Q778-INDEX($Q:$Q,Settings!$B$17))*100,NA()),NA())</f>
        <v/>
      </c>
      <c r="V778" s="20">
        <f>IF(AND(ISNUMBER(R778),Settings!$B$17&gt;0),IF(ISNUMBER(INDEX($R:$R,Settings!$B$17)),(R778-INDEX($R:$R,Settings!$B$17))*100,NA()),NA())</f>
        <v/>
      </c>
      <c r="W778" s="20">
        <f>IF(AND(ISNUMBER(P778),Settings!$B$17&gt;0),IF(ISNUMBER(INDEX($P:$P,Settings!$B$17)),P778-INDEX($P:$P,Settings!$B$17),NA()),NA())</f>
        <v/>
      </c>
      <c r="X778" s="19">
        <f>IF(NOT(ISNUMBER($A778)),NA(),IF(OR($A778&lt;MIN(DKW_10Y!$A$2:$A$2918),$A778&gt;MAX(DKW_10Y!$A$2:$A$2918),Settings!$B$16&lt;MIN(DKW_10Y!$A$2:$A$2918)),NA(),(INDEX(DKW_10Y!$B$2:$B$2918,MATCH($A778,DKW_10Y!$A$2:$A$2918,1))-INDEX(DKW_10Y!$B$2:$B$2918,MATCH(Settings!$B$16,DKW_10Y!$A$2:$A$2918,1)))*100))</f>
        <v/>
      </c>
      <c r="Y778" s="19">
        <f>IF(NOT(ISNUMBER($A778)),NA(),IF(OR($A778&lt;MIN(DKW_10Y!$A$2:$A$2918),$A778&gt;MAX(DKW_10Y!$A$2:$A$2918),Settings!$B$16&lt;MIN(DKW_10Y!$A$2:$A$2918)),NA(),(INDEX(DKW_10Y!$C$2:$C$2918,MATCH($A778,DKW_10Y!$A$2:$A$2918,1))-INDEX(DKW_10Y!$C$2:$C$2918,MATCH(Settings!$B$16,DKW_10Y!$A$2:$A$2918,1)))*100))</f>
        <v/>
      </c>
      <c r="Z778" s="19">
        <f>IF(NOT(ISNUMBER($A778)),NA(),IF(OR($A778&lt;MIN(DKW_10Y!$A$2:$A$2918),$A778&gt;MAX(DKW_10Y!$A$2:$A$2918),Settings!$B$16&lt;MIN(DKW_10Y!$A$2:$A$2918)),NA(),(INDEX(DKW_10Y!$D$2:$D$2918,MATCH($A778,DKW_10Y!$A$2:$A$2918,1))-INDEX(DKW_10Y!$D$2:$D$2918,MATCH(Settings!$B$16,DKW_10Y!$A$2:$A$2918,1)))*100))</f>
        <v/>
      </c>
      <c r="AA778" s="19">
        <f>IF(NOT(ISNUMBER($A778)),NA(),IF(OR($A778&lt;MIN(DKW_10Y!$A$2:$A$2918),$A778&gt;MAX(DKW_10Y!$A$2:$A$2918),Settings!$B$16&lt;MIN(DKW_10Y!$A$2:$A$2918)),NA(),(INDEX(DKW_10Y!$E$2:$E$2918,MATCH($A778,DKW_10Y!$A$2:$A$2918,1))-INDEX(DKW_10Y!$E$2:$E$2918,MATCH(Settings!$B$16,DKW_10Y!$A$2:$A$2918,1)))*100))</f>
        <v/>
      </c>
      <c r="AB778" s="19">
        <f>IF(NOT(ISNUMBER($A778)),NA(),IF(OR($A778&lt;MIN(DKW_10Y!$A$2:$A$2918),$A778&gt;MAX(DKW_10Y!$A$2:$A$2918),Settings!$B$16&lt;MIN(DKW_10Y!$A$2:$A$2918)),NA(),(INDEX(DKW_10Y!$H$2:$H$2918,MATCH($A778,DKW_10Y!$A$2:$A$2918,1))-INDEX(DKW_10Y!$H$2:$H$2918,MATCH(Settings!$B$16,DKW_10Y!$A$2:$A$2918,1)))*100))</f>
        <v/>
      </c>
      <c r="AC778" s="18">
        <f>IF(NOT(ISNUMBER($A778)),NA(),IFERROR(1*INDEX(BBG_Data!$N$2:$N$4000,MATCH($A778,BBG_Data!$M$2:$M$4000,0)),NA()))</f>
        <v/>
      </c>
      <c r="AD778" s="18">
        <f>IF(NOT(ISNUMBER($A778)),NA(),IFERROR(1*INDEX(BBG_Data!$P$2:$P$4000,MATCH($A778,BBG_Data!$O$2:$O$4000,0)),NA()))</f>
        <v/>
      </c>
      <c r="AE778" s="18">
        <f>IF(NOT(ISNUMBER($A778)),NA(),IFERROR(1*INDEX(BBG_Data!$R$2:$R$4000,MATCH($A778,BBG_Data!$Q$2:$Q$4000,0)),NA()))</f>
        <v/>
      </c>
      <c r="AF778" s="20">
        <f>IF(AND(ISNUMBER(B778),ISNUMBER(AC778)),(B778-AC778)*100,NA())</f>
        <v/>
      </c>
      <c r="AG778" s="20">
        <f>IF(AND(ISNUMBER(AE778),ISNUMBER(AD778)),(AE778-AD778)*100,NA())</f>
        <v/>
      </c>
      <c r="AH778" s="19">
        <f>IF(NOT(ISNUMBER($A778)),NA(),IFERROR(INDEX(BBG_Data!$T$2:$T$4000,MATCH($A778,BBG_Data!$S$2:$S$4000,0))*Settings!$B$25,NA()))</f>
        <v/>
      </c>
      <c r="AI778" s="19">
        <f>IF(NOT(ISNUMBER($A778)),NA(),IFERROR(INDEX(BBG_Data!$V$2:$V$4000,MATCH($A778,BBG_Data!$U$2:$U$4000,0))*Settings!$B$25,NA()))</f>
        <v/>
      </c>
      <c r="AJ778" s="19">
        <f>IF(NOT(ISNUMBER($A778)),NA(),IFERROR(1*INDEX(BBG_Data!$X$2:$X$4000,MATCH($A778,BBG_Data!$W$2:$W$4000,0)),NA()))</f>
        <v/>
      </c>
      <c r="AK778" s="19">
        <f>IF(NOT(ISNUMBER($A778)),NA(),IFERROR(1*INDEX(BBG_Data!$Z$2:$Z$4000,MATCH($A778,BBG_Data!$Y$2:$Y$4000,0)),NA()))</f>
        <v/>
      </c>
    </row>
    <row r="779">
      <c r="A779" s="17">
        <f>IF(ISNUMBER(BBG_Data!A779),BBG_Data!A779,"")</f>
        <v/>
      </c>
      <c r="B779" s="18">
        <f>IF(AND(ISNUMBER($A779),ISNUMBER(BBG_Data!B779)),BBG_Data!B779,NA())</f>
        <v/>
      </c>
      <c r="C779" s="18">
        <f>IF(NOT(ISNUMBER($A779)),NA(),IFERROR(1*INDEX(BBG_Data!$D$2:$D$4000,MATCH($A779,BBG_Data!$C$2:$C$4000,0)),NA()))</f>
        <v/>
      </c>
      <c r="D779" s="19">
        <f>IF(NOT(ISNUMBER($A779)),NA(),IFERROR(1*INDEX(BBG_Data!$F$2:$F$4000,MATCH($A779,BBG_Data!$E$2:$E$4000,0)),NA()))</f>
        <v/>
      </c>
      <c r="E779" s="19">
        <f>IF(NOT(ISNUMBER($A779)),NA(),IFERROR(1*INDEX(BBG_Data!$H$2:$H$4000,MATCH($A779,BBG_Data!$G$2:$G$4000,0)),NA()))</f>
        <v/>
      </c>
      <c r="F779" s="20">
        <f>IF(AND(ISNUMBER(B779),ISNUMBER(B778)),IF(B779=B778,"",(B779-B778)*100),"")</f>
        <v/>
      </c>
      <c r="G779" s="20">
        <f>IF(AND(ISNUMBER(C779),ISNUMBER(C778)),IF(C779=C778,"",(C779-C778)*100),"")</f>
        <v/>
      </c>
      <c r="H779" s="20">
        <f>IF(OR(NOT(ISNUMBER($A779)),ROW()-2&lt;Settings!$B$11),NA(),IF(COUNT(OFFSET(F779,1-Settings!$B$11,0,Settings!$B$11,1))&lt;ROUNDUP(Settings!$B$11*Settings!$B$26,0),NA(),STDEV(OFFSET(F779,1-Settings!$B$11,0,Settings!$B$11,1))*SQRT(Settings!$B$13)))</f>
        <v/>
      </c>
      <c r="I779" s="20">
        <f>IF(OR(NOT(ISNUMBER($A779)),ROW()-2&lt;Settings!$B$12),NA(),IF(COUNT(OFFSET(F779,1-Settings!$B$12,0,Settings!$B$12,1))&lt;ROUNDUP(Settings!$B$12*Settings!$B$26,0),NA(),STDEV(OFFSET(F779,1-Settings!$B$12,0,Settings!$B$12,1))*SQRT(Settings!$B$13)))</f>
        <v/>
      </c>
      <c r="J779" s="20">
        <f>IF(OR(NOT(ISNUMBER($A779)),ROW()-2&lt;Settings!$B$11),NA(),IF(COUNT(OFFSET(G779,1-Settings!$B$11,0,Settings!$B$11,1))&lt;ROUNDUP(Settings!$B$11*Settings!$B$26,0),NA(),STDEV(OFFSET(G779,1-Settings!$B$11,0,Settings!$B$11,1))*SQRT(Settings!$B$13)))</f>
        <v/>
      </c>
      <c r="K779" s="20">
        <f>IF(OR(NOT(ISNUMBER($A779)),ROW()-2&lt;Settings!$B$12),NA(),IF(COUNT(OFFSET(G779,1-Settings!$B$12,0,Settings!$B$12,1))&lt;ROUNDUP(Settings!$B$12*Settings!$B$26,0),NA(),STDEV(OFFSET(G779,1-Settings!$B$12,0,Settings!$B$12,1))*SQRT(Settings!$B$13)))</f>
        <v/>
      </c>
      <c r="L779" s="20">
        <f>IF(AND(ISNUMBER(D779),ISNUMBER(H779)),D779-H779,NA())</f>
        <v/>
      </c>
      <c r="M779" s="20">
        <f>IF(AND(ISNUMBER(E779),ISNUMBER(K779)),E779-K779,NA())</f>
        <v/>
      </c>
      <c r="N779" s="20">
        <f>IF(NOT(ISNUMBER($A779)),NA(),IF(COUNT(OFFSET(G779,1,0,Settings!$B$12,1))&lt;ROUNDUP(Settings!$B$12*Settings!$B$26,0),NA(),STDEV(OFFSET(G779,1,0,Settings!$B$12,1))*SQRT(Settings!$B$13)))</f>
        <v/>
      </c>
      <c r="O779" s="20">
        <f>IF(AND(ISNUMBER(E779),ISNUMBER(N779)),E779-N779,NA())</f>
        <v/>
      </c>
      <c r="P779" s="19">
        <f>IF(NOT(ISNUMBER($A779)),NA(),IF(OR($A779&lt;MIN(KW_TP!$A$2:$A$2501),$A779&gt;MAX(KW_TP!$A$2:$A$2501)),NA(),INDEX(KW_TP!$C$2:$C$2501,MATCH($A779,KW_TP!$A$2:$A$2501,1))))</f>
        <v/>
      </c>
      <c r="Q779" s="18">
        <f>IF(NOT(ISNUMBER($A779)),NA(),IFERROR(1*INDEX(BBG_Data!$J$2:$J$4000,MATCH($A779,BBG_Data!$I$2:$I$4000,0)),NA()))</f>
        <v/>
      </c>
      <c r="R779" s="18">
        <f>IF(NOT(ISNUMBER($A779)),NA(),IFERROR(1*INDEX(BBG_Data!$L$2:$L$4000,MATCH($A779,BBG_Data!$K$2:$K$4000,0)),NA()))</f>
        <v/>
      </c>
      <c r="S779" s="20">
        <f>IF(AND(ISNUMBER(B779),ISNUMBER(Q779),ISNUMBER(R779)),(B779-Q779-R779)*100,NA())</f>
        <v/>
      </c>
      <c r="T779" s="20">
        <f>IF(AND(ISNUMBER(B779),Settings!$B$17&gt;0),IF(ISNUMBER(INDEX($B:$B,Settings!$B$17)),(B779-INDEX($B:$B,Settings!$B$17))*100,NA()),NA())</f>
        <v/>
      </c>
      <c r="U779" s="20">
        <f>IF(AND(ISNUMBER(Q779),Settings!$B$17&gt;0),IF(ISNUMBER(INDEX($Q:$Q,Settings!$B$17)),(Q779-INDEX($Q:$Q,Settings!$B$17))*100,NA()),NA())</f>
        <v/>
      </c>
      <c r="V779" s="20">
        <f>IF(AND(ISNUMBER(R779),Settings!$B$17&gt;0),IF(ISNUMBER(INDEX($R:$R,Settings!$B$17)),(R779-INDEX($R:$R,Settings!$B$17))*100,NA()),NA())</f>
        <v/>
      </c>
      <c r="W779" s="20">
        <f>IF(AND(ISNUMBER(P779),Settings!$B$17&gt;0),IF(ISNUMBER(INDEX($P:$P,Settings!$B$17)),P779-INDEX($P:$P,Settings!$B$17),NA()),NA())</f>
        <v/>
      </c>
      <c r="X779" s="19">
        <f>IF(NOT(ISNUMBER($A779)),NA(),IF(OR($A779&lt;MIN(DKW_10Y!$A$2:$A$2918),$A779&gt;MAX(DKW_10Y!$A$2:$A$2918),Settings!$B$16&lt;MIN(DKW_10Y!$A$2:$A$2918)),NA(),(INDEX(DKW_10Y!$B$2:$B$2918,MATCH($A779,DKW_10Y!$A$2:$A$2918,1))-INDEX(DKW_10Y!$B$2:$B$2918,MATCH(Settings!$B$16,DKW_10Y!$A$2:$A$2918,1)))*100))</f>
        <v/>
      </c>
      <c r="Y779" s="19">
        <f>IF(NOT(ISNUMBER($A779)),NA(),IF(OR($A779&lt;MIN(DKW_10Y!$A$2:$A$2918),$A779&gt;MAX(DKW_10Y!$A$2:$A$2918),Settings!$B$16&lt;MIN(DKW_10Y!$A$2:$A$2918)),NA(),(INDEX(DKW_10Y!$C$2:$C$2918,MATCH($A779,DKW_10Y!$A$2:$A$2918,1))-INDEX(DKW_10Y!$C$2:$C$2918,MATCH(Settings!$B$16,DKW_10Y!$A$2:$A$2918,1)))*100))</f>
        <v/>
      </c>
      <c r="Z779" s="19">
        <f>IF(NOT(ISNUMBER($A779)),NA(),IF(OR($A779&lt;MIN(DKW_10Y!$A$2:$A$2918),$A779&gt;MAX(DKW_10Y!$A$2:$A$2918),Settings!$B$16&lt;MIN(DKW_10Y!$A$2:$A$2918)),NA(),(INDEX(DKW_10Y!$D$2:$D$2918,MATCH($A779,DKW_10Y!$A$2:$A$2918,1))-INDEX(DKW_10Y!$D$2:$D$2918,MATCH(Settings!$B$16,DKW_10Y!$A$2:$A$2918,1)))*100))</f>
        <v/>
      </c>
      <c r="AA779" s="19">
        <f>IF(NOT(ISNUMBER($A779)),NA(),IF(OR($A779&lt;MIN(DKW_10Y!$A$2:$A$2918),$A779&gt;MAX(DKW_10Y!$A$2:$A$2918),Settings!$B$16&lt;MIN(DKW_10Y!$A$2:$A$2918)),NA(),(INDEX(DKW_10Y!$E$2:$E$2918,MATCH($A779,DKW_10Y!$A$2:$A$2918,1))-INDEX(DKW_10Y!$E$2:$E$2918,MATCH(Settings!$B$16,DKW_10Y!$A$2:$A$2918,1)))*100))</f>
        <v/>
      </c>
      <c r="AB779" s="19">
        <f>IF(NOT(ISNUMBER($A779)),NA(),IF(OR($A779&lt;MIN(DKW_10Y!$A$2:$A$2918),$A779&gt;MAX(DKW_10Y!$A$2:$A$2918),Settings!$B$16&lt;MIN(DKW_10Y!$A$2:$A$2918)),NA(),(INDEX(DKW_10Y!$H$2:$H$2918,MATCH($A779,DKW_10Y!$A$2:$A$2918,1))-INDEX(DKW_10Y!$H$2:$H$2918,MATCH(Settings!$B$16,DKW_10Y!$A$2:$A$2918,1)))*100))</f>
        <v/>
      </c>
      <c r="AC779" s="18">
        <f>IF(NOT(ISNUMBER($A779)),NA(),IFERROR(1*INDEX(BBG_Data!$N$2:$N$4000,MATCH($A779,BBG_Data!$M$2:$M$4000,0)),NA()))</f>
        <v/>
      </c>
      <c r="AD779" s="18">
        <f>IF(NOT(ISNUMBER($A779)),NA(),IFERROR(1*INDEX(BBG_Data!$P$2:$P$4000,MATCH($A779,BBG_Data!$O$2:$O$4000,0)),NA()))</f>
        <v/>
      </c>
      <c r="AE779" s="18">
        <f>IF(NOT(ISNUMBER($A779)),NA(),IFERROR(1*INDEX(BBG_Data!$R$2:$R$4000,MATCH($A779,BBG_Data!$Q$2:$Q$4000,0)),NA()))</f>
        <v/>
      </c>
      <c r="AF779" s="20">
        <f>IF(AND(ISNUMBER(B779),ISNUMBER(AC779)),(B779-AC779)*100,NA())</f>
        <v/>
      </c>
      <c r="AG779" s="20">
        <f>IF(AND(ISNUMBER(AE779),ISNUMBER(AD779)),(AE779-AD779)*100,NA())</f>
        <v/>
      </c>
      <c r="AH779" s="19">
        <f>IF(NOT(ISNUMBER($A779)),NA(),IFERROR(INDEX(BBG_Data!$T$2:$T$4000,MATCH($A779,BBG_Data!$S$2:$S$4000,0))*Settings!$B$25,NA()))</f>
        <v/>
      </c>
      <c r="AI779" s="19">
        <f>IF(NOT(ISNUMBER($A779)),NA(),IFERROR(INDEX(BBG_Data!$V$2:$V$4000,MATCH($A779,BBG_Data!$U$2:$U$4000,0))*Settings!$B$25,NA()))</f>
        <v/>
      </c>
      <c r="AJ779" s="19">
        <f>IF(NOT(ISNUMBER($A779)),NA(),IFERROR(1*INDEX(BBG_Data!$X$2:$X$4000,MATCH($A779,BBG_Data!$W$2:$W$4000,0)),NA()))</f>
        <v/>
      </c>
      <c r="AK779" s="19">
        <f>IF(NOT(ISNUMBER($A779)),NA(),IFERROR(1*INDEX(BBG_Data!$Z$2:$Z$4000,MATCH($A779,BBG_Data!$Y$2:$Y$4000,0)),NA()))</f>
        <v/>
      </c>
    </row>
    <row r="780">
      <c r="A780" s="17">
        <f>IF(ISNUMBER(BBG_Data!A780),BBG_Data!A780,"")</f>
        <v/>
      </c>
      <c r="B780" s="18">
        <f>IF(AND(ISNUMBER($A780),ISNUMBER(BBG_Data!B780)),BBG_Data!B780,NA())</f>
        <v/>
      </c>
      <c r="C780" s="18">
        <f>IF(NOT(ISNUMBER($A780)),NA(),IFERROR(1*INDEX(BBG_Data!$D$2:$D$4000,MATCH($A780,BBG_Data!$C$2:$C$4000,0)),NA()))</f>
        <v/>
      </c>
      <c r="D780" s="19">
        <f>IF(NOT(ISNUMBER($A780)),NA(),IFERROR(1*INDEX(BBG_Data!$F$2:$F$4000,MATCH($A780,BBG_Data!$E$2:$E$4000,0)),NA()))</f>
        <v/>
      </c>
      <c r="E780" s="19">
        <f>IF(NOT(ISNUMBER($A780)),NA(),IFERROR(1*INDEX(BBG_Data!$H$2:$H$4000,MATCH($A780,BBG_Data!$G$2:$G$4000,0)),NA()))</f>
        <v/>
      </c>
      <c r="F780" s="20">
        <f>IF(AND(ISNUMBER(B780),ISNUMBER(B779)),IF(B780=B779,"",(B780-B779)*100),"")</f>
        <v/>
      </c>
      <c r="G780" s="20">
        <f>IF(AND(ISNUMBER(C780),ISNUMBER(C779)),IF(C780=C779,"",(C780-C779)*100),"")</f>
        <v/>
      </c>
      <c r="H780" s="20">
        <f>IF(OR(NOT(ISNUMBER($A780)),ROW()-2&lt;Settings!$B$11),NA(),IF(COUNT(OFFSET(F780,1-Settings!$B$11,0,Settings!$B$11,1))&lt;ROUNDUP(Settings!$B$11*Settings!$B$26,0),NA(),STDEV(OFFSET(F780,1-Settings!$B$11,0,Settings!$B$11,1))*SQRT(Settings!$B$13)))</f>
        <v/>
      </c>
      <c r="I780" s="20">
        <f>IF(OR(NOT(ISNUMBER($A780)),ROW()-2&lt;Settings!$B$12),NA(),IF(COUNT(OFFSET(F780,1-Settings!$B$12,0,Settings!$B$12,1))&lt;ROUNDUP(Settings!$B$12*Settings!$B$26,0),NA(),STDEV(OFFSET(F780,1-Settings!$B$12,0,Settings!$B$12,1))*SQRT(Settings!$B$13)))</f>
        <v/>
      </c>
      <c r="J780" s="20">
        <f>IF(OR(NOT(ISNUMBER($A780)),ROW()-2&lt;Settings!$B$11),NA(),IF(COUNT(OFFSET(G780,1-Settings!$B$11,0,Settings!$B$11,1))&lt;ROUNDUP(Settings!$B$11*Settings!$B$26,0),NA(),STDEV(OFFSET(G780,1-Settings!$B$11,0,Settings!$B$11,1))*SQRT(Settings!$B$13)))</f>
        <v/>
      </c>
      <c r="K780" s="20">
        <f>IF(OR(NOT(ISNUMBER($A780)),ROW()-2&lt;Settings!$B$12),NA(),IF(COUNT(OFFSET(G780,1-Settings!$B$12,0,Settings!$B$12,1))&lt;ROUNDUP(Settings!$B$12*Settings!$B$26,0),NA(),STDEV(OFFSET(G780,1-Settings!$B$12,0,Settings!$B$12,1))*SQRT(Settings!$B$13)))</f>
        <v/>
      </c>
      <c r="L780" s="20">
        <f>IF(AND(ISNUMBER(D780),ISNUMBER(H780)),D780-H780,NA())</f>
        <v/>
      </c>
      <c r="M780" s="20">
        <f>IF(AND(ISNUMBER(E780),ISNUMBER(K780)),E780-K780,NA())</f>
        <v/>
      </c>
      <c r="N780" s="20">
        <f>IF(NOT(ISNUMBER($A780)),NA(),IF(COUNT(OFFSET(G780,1,0,Settings!$B$12,1))&lt;ROUNDUP(Settings!$B$12*Settings!$B$26,0),NA(),STDEV(OFFSET(G780,1,0,Settings!$B$12,1))*SQRT(Settings!$B$13)))</f>
        <v/>
      </c>
      <c r="O780" s="20">
        <f>IF(AND(ISNUMBER(E780),ISNUMBER(N780)),E780-N780,NA())</f>
        <v/>
      </c>
      <c r="P780" s="19">
        <f>IF(NOT(ISNUMBER($A780)),NA(),IF(OR($A780&lt;MIN(KW_TP!$A$2:$A$2501),$A780&gt;MAX(KW_TP!$A$2:$A$2501)),NA(),INDEX(KW_TP!$C$2:$C$2501,MATCH($A780,KW_TP!$A$2:$A$2501,1))))</f>
        <v/>
      </c>
      <c r="Q780" s="18">
        <f>IF(NOT(ISNUMBER($A780)),NA(),IFERROR(1*INDEX(BBG_Data!$J$2:$J$4000,MATCH($A780,BBG_Data!$I$2:$I$4000,0)),NA()))</f>
        <v/>
      </c>
      <c r="R780" s="18">
        <f>IF(NOT(ISNUMBER($A780)),NA(),IFERROR(1*INDEX(BBG_Data!$L$2:$L$4000,MATCH($A780,BBG_Data!$K$2:$K$4000,0)),NA()))</f>
        <v/>
      </c>
      <c r="S780" s="20">
        <f>IF(AND(ISNUMBER(B780),ISNUMBER(Q780),ISNUMBER(R780)),(B780-Q780-R780)*100,NA())</f>
        <v/>
      </c>
      <c r="T780" s="20">
        <f>IF(AND(ISNUMBER(B780),Settings!$B$17&gt;0),IF(ISNUMBER(INDEX($B:$B,Settings!$B$17)),(B780-INDEX($B:$B,Settings!$B$17))*100,NA()),NA())</f>
        <v/>
      </c>
      <c r="U780" s="20">
        <f>IF(AND(ISNUMBER(Q780),Settings!$B$17&gt;0),IF(ISNUMBER(INDEX($Q:$Q,Settings!$B$17)),(Q780-INDEX($Q:$Q,Settings!$B$17))*100,NA()),NA())</f>
        <v/>
      </c>
      <c r="V780" s="20">
        <f>IF(AND(ISNUMBER(R780),Settings!$B$17&gt;0),IF(ISNUMBER(INDEX($R:$R,Settings!$B$17)),(R780-INDEX($R:$R,Settings!$B$17))*100,NA()),NA())</f>
        <v/>
      </c>
      <c r="W780" s="20">
        <f>IF(AND(ISNUMBER(P780),Settings!$B$17&gt;0),IF(ISNUMBER(INDEX($P:$P,Settings!$B$17)),P780-INDEX($P:$P,Settings!$B$17),NA()),NA())</f>
        <v/>
      </c>
      <c r="X780" s="19">
        <f>IF(NOT(ISNUMBER($A780)),NA(),IF(OR($A780&lt;MIN(DKW_10Y!$A$2:$A$2918),$A780&gt;MAX(DKW_10Y!$A$2:$A$2918),Settings!$B$16&lt;MIN(DKW_10Y!$A$2:$A$2918)),NA(),(INDEX(DKW_10Y!$B$2:$B$2918,MATCH($A780,DKW_10Y!$A$2:$A$2918,1))-INDEX(DKW_10Y!$B$2:$B$2918,MATCH(Settings!$B$16,DKW_10Y!$A$2:$A$2918,1)))*100))</f>
        <v/>
      </c>
      <c r="Y780" s="19">
        <f>IF(NOT(ISNUMBER($A780)),NA(),IF(OR($A780&lt;MIN(DKW_10Y!$A$2:$A$2918),$A780&gt;MAX(DKW_10Y!$A$2:$A$2918),Settings!$B$16&lt;MIN(DKW_10Y!$A$2:$A$2918)),NA(),(INDEX(DKW_10Y!$C$2:$C$2918,MATCH($A780,DKW_10Y!$A$2:$A$2918,1))-INDEX(DKW_10Y!$C$2:$C$2918,MATCH(Settings!$B$16,DKW_10Y!$A$2:$A$2918,1)))*100))</f>
        <v/>
      </c>
      <c r="Z780" s="19">
        <f>IF(NOT(ISNUMBER($A780)),NA(),IF(OR($A780&lt;MIN(DKW_10Y!$A$2:$A$2918),$A780&gt;MAX(DKW_10Y!$A$2:$A$2918),Settings!$B$16&lt;MIN(DKW_10Y!$A$2:$A$2918)),NA(),(INDEX(DKW_10Y!$D$2:$D$2918,MATCH($A780,DKW_10Y!$A$2:$A$2918,1))-INDEX(DKW_10Y!$D$2:$D$2918,MATCH(Settings!$B$16,DKW_10Y!$A$2:$A$2918,1)))*100))</f>
        <v/>
      </c>
      <c r="AA780" s="19">
        <f>IF(NOT(ISNUMBER($A780)),NA(),IF(OR($A780&lt;MIN(DKW_10Y!$A$2:$A$2918),$A780&gt;MAX(DKW_10Y!$A$2:$A$2918),Settings!$B$16&lt;MIN(DKW_10Y!$A$2:$A$2918)),NA(),(INDEX(DKW_10Y!$E$2:$E$2918,MATCH($A780,DKW_10Y!$A$2:$A$2918,1))-INDEX(DKW_10Y!$E$2:$E$2918,MATCH(Settings!$B$16,DKW_10Y!$A$2:$A$2918,1)))*100))</f>
        <v/>
      </c>
      <c r="AB780" s="19">
        <f>IF(NOT(ISNUMBER($A780)),NA(),IF(OR($A780&lt;MIN(DKW_10Y!$A$2:$A$2918),$A780&gt;MAX(DKW_10Y!$A$2:$A$2918),Settings!$B$16&lt;MIN(DKW_10Y!$A$2:$A$2918)),NA(),(INDEX(DKW_10Y!$H$2:$H$2918,MATCH($A780,DKW_10Y!$A$2:$A$2918,1))-INDEX(DKW_10Y!$H$2:$H$2918,MATCH(Settings!$B$16,DKW_10Y!$A$2:$A$2918,1)))*100))</f>
        <v/>
      </c>
      <c r="AC780" s="18">
        <f>IF(NOT(ISNUMBER($A780)),NA(),IFERROR(1*INDEX(BBG_Data!$N$2:$N$4000,MATCH($A780,BBG_Data!$M$2:$M$4000,0)),NA()))</f>
        <v/>
      </c>
      <c r="AD780" s="18">
        <f>IF(NOT(ISNUMBER($A780)),NA(),IFERROR(1*INDEX(BBG_Data!$P$2:$P$4000,MATCH($A780,BBG_Data!$O$2:$O$4000,0)),NA()))</f>
        <v/>
      </c>
      <c r="AE780" s="18">
        <f>IF(NOT(ISNUMBER($A780)),NA(),IFERROR(1*INDEX(BBG_Data!$R$2:$R$4000,MATCH($A780,BBG_Data!$Q$2:$Q$4000,0)),NA()))</f>
        <v/>
      </c>
      <c r="AF780" s="20">
        <f>IF(AND(ISNUMBER(B780),ISNUMBER(AC780)),(B780-AC780)*100,NA())</f>
        <v/>
      </c>
      <c r="AG780" s="20">
        <f>IF(AND(ISNUMBER(AE780),ISNUMBER(AD780)),(AE780-AD780)*100,NA())</f>
        <v/>
      </c>
      <c r="AH780" s="19">
        <f>IF(NOT(ISNUMBER($A780)),NA(),IFERROR(INDEX(BBG_Data!$T$2:$T$4000,MATCH($A780,BBG_Data!$S$2:$S$4000,0))*Settings!$B$25,NA()))</f>
        <v/>
      </c>
      <c r="AI780" s="19">
        <f>IF(NOT(ISNUMBER($A780)),NA(),IFERROR(INDEX(BBG_Data!$V$2:$V$4000,MATCH($A780,BBG_Data!$U$2:$U$4000,0))*Settings!$B$25,NA()))</f>
        <v/>
      </c>
      <c r="AJ780" s="19">
        <f>IF(NOT(ISNUMBER($A780)),NA(),IFERROR(1*INDEX(BBG_Data!$X$2:$X$4000,MATCH($A780,BBG_Data!$W$2:$W$4000,0)),NA()))</f>
        <v/>
      </c>
      <c r="AK780" s="19">
        <f>IF(NOT(ISNUMBER($A780)),NA(),IFERROR(1*INDEX(BBG_Data!$Z$2:$Z$4000,MATCH($A780,BBG_Data!$Y$2:$Y$4000,0)),NA()))</f>
        <v/>
      </c>
    </row>
    <row r="781">
      <c r="A781" s="17">
        <f>IF(ISNUMBER(BBG_Data!A781),BBG_Data!A781,"")</f>
        <v/>
      </c>
      <c r="B781" s="18">
        <f>IF(AND(ISNUMBER($A781),ISNUMBER(BBG_Data!B781)),BBG_Data!B781,NA())</f>
        <v/>
      </c>
      <c r="C781" s="18">
        <f>IF(NOT(ISNUMBER($A781)),NA(),IFERROR(1*INDEX(BBG_Data!$D$2:$D$4000,MATCH($A781,BBG_Data!$C$2:$C$4000,0)),NA()))</f>
        <v/>
      </c>
      <c r="D781" s="19">
        <f>IF(NOT(ISNUMBER($A781)),NA(),IFERROR(1*INDEX(BBG_Data!$F$2:$F$4000,MATCH($A781,BBG_Data!$E$2:$E$4000,0)),NA()))</f>
        <v/>
      </c>
      <c r="E781" s="19">
        <f>IF(NOT(ISNUMBER($A781)),NA(),IFERROR(1*INDEX(BBG_Data!$H$2:$H$4000,MATCH($A781,BBG_Data!$G$2:$G$4000,0)),NA()))</f>
        <v/>
      </c>
      <c r="F781" s="20">
        <f>IF(AND(ISNUMBER(B781),ISNUMBER(B780)),IF(B781=B780,"",(B781-B780)*100),"")</f>
        <v/>
      </c>
      <c r="G781" s="20">
        <f>IF(AND(ISNUMBER(C781),ISNUMBER(C780)),IF(C781=C780,"",(C781-C780)*100),"")</f>
        <v/>
      </c>
      <c r="H781" s="20">
        <f>IF(OR(NOT(ISNUMBER($A781)),ROW()-2&lt;Settings!$B$11),NA(),IF(COUNT(OFFSET(F781,1-Settings!$B$11,0,Settings!$B$11,1))&lt;ROUNDUP(Settings!$B$11*Settings!$B$26,0),NA(),STDEV(OFFSET(F781,1-Settings!$B$11,0,Settings!$B$11,1))*SQRT(Settings!$B$13)))</f>
        <v/>
      </c>
      <c r="I781" s="20">
        <f>IF(OR(NOT(ISNUMBER($A781)),ROW()-2&lt;Settings!$B$12),NA(),IF(COUNT(OFFSET(F781,1-Settings!$B$12,0,Settings!$B$12,1))&lt;ROUNDUP(Settings!$B$12*Settings!$B$26,0),NA(),STDEV(OFFSET(F781,1-Settings!$B$12,0,Settings!$B$12,1))*SQRT(Settings!$B$13)))</f>
        <v/>
      </c>
      <c r="J781" s="20">
        <f>IF(OR(NOT(ISNUMBER($A781)),ROW()-2&lt;Settings!$B$11),NA(),IF(COUNT(OFFSET(G781,1-Settings!$B$11,0,Settings!$B$11,1))&lt;ROUNDUP(Settings!$B$11*Settings!$B$26,0),NA(),STDEV(OFFSET(G781,1-Settings!$B$11,0,Settings!$B$11,1))*SQRT(Settings!$B$13)))</f>
        <v/>
      </c>
      <c r="K781" s="20">
        <f>IF(OR(NOT(ISNUMBER($A781)),ROW()-2&lt;Settings!$B$12),NA(),IF(COUNT(OFFSET(G781,1-Settings!$B$12,0,Settings!$B$12,1))&lt;ROUNDUP(Settings!$B$12*Settings!$B$26,0),NA(),STDEV(OFFSET(G781,1-Settings!$B$12,0,Settings!$B$12,1))*SQRT(Settings!$B$13)))</f>
        <v/>
      </c>
      <c r="L781" s="20">
        <f>IF(AND(ISNUMBER(D781),ISNUMBER(H781)),D781-H781,NA())</f>
        <v/>
      </c>
      <c r="M781" s="20">
        <f>IF(AND(ISNUMBER(E781),ISNUMBER(K781)),E781-K781,NA())</f>
        <v/>
      </c>
      <c r="N781" s="20">
        <f>IF(NOT(ISNUMBER($A781)),NA(),IF(COUNT(OFFSET(G781,1,0,Settings!$B$12,1))&lt;ROUNDUP(Settings!$B$12*Settings!$B$26,0),NA(),STDEV(OFFSET(G781,1,0,Settings!$B$12,1))*SQRT(Settings!$B$13)))</f>
        <v/>
      </c>
      <c r="O781" s="20">
        <f>IF(AND(ISNUMBER(E781),ISNUMBER(N781)),E781-N781,NA())</f>
        <v/>
      </c>
      <c r="P781" s="19">
        <f>IF(NOT(ISNUMBER($A781)),NA(),IF(OR($A781&lt;MIN(KW_TP!$A$2:$A$2501),$A781&gt;MAX(KW_TP!$A$2:$A$2501)),NA(),INDEX(KW_TP!$C$2:$C$2501,MATCH($A781,KW_TP!$A$2:$A$2501,1))))</f>
        <v/>
      </c>
      <c r="Q781" s="18">
        <f>IF(NOT(ISNUMBER($A781)),NA(),IFERROR(1*INDEX(BBG_Data!$J$2:$J$4000,MATCH($A781,BBG_Data!$I$2:$I$4000,0)),NA()))</f>
        <v/>
      </c>
      <c r="R781" s="18">
        <f>IF(NOT(ISNUMBER($A781)),NA(),IFERROR(1*INDEX(BBG_Data!$L$2:$L$4000,MATCH($A781,BBG_Data!$K$2:$K$4000,0)),NA()))</f>
        <v/>
      </c>
      <c r="S781" s="20">
        <f>IF(AND(ISNUMBER(B781),ISNUMBER(Q781),ISNUMBER(R781)),(B781-Q781-R781)*100,NA())</f>
        <v/>
      </c>
      <c r="T781" s="20">
        <f>IF(AND(ISNUMBER(B781),Settings!$B$17&gt;0),IF(ISNUMBER(INDEX($B:$B,Settings!$B$17)),(B781-INDEX($B:$B,Settings!$B$17))*100,NA()),NA())</f>
        <v/>
      </c>
      <c r="U781" s="20">
        <f>IF(AND(ISNUMBER(Q781),Settings!$B$17&gt;0),IF(ISNUMBER(INDEX($Q:$Q,Settings!$B$17)),(Q781-INDEX($Q:$Q,Settings!$B$17))*100,NA()),NA())</f>
        <v/>
      </c>
      <c r="V781" s="20">
        <f>IF(AND(ISNUMBER(R781),Settings!$B$17&gt;0),IF(ISNUMBER(INDEX($R:$R,Settings!$B$17)),(R781-INDEX($R:$R,Settings!$B$17))*100,NA()),NA())</f>
        <v/>
      </c>
      <c r="W781" s="20">
        <f>IF(AND(ISNUMBER(P781),Settings!$B$17&gt;0),IF(ISNUMBER(INDEX($P:$P,Settings!$B$17)),P781-INDEX($P:$P,Settings!$B$17),NA()),NA())</f>
        <v/>
      </c>
      <c r="X781" s="19">
        <f>IF(NOT(ISNUMBER($A781)),NA(),IF(OR($A781&lt;MIN(DKW_10Y!$A$2:$A$2918),$A781&gt;MAX(DKW_10Y!$A$2:$A$2918),Settings!$B$16&lt;MIN(DKW_10Y!$A$2:$A$2918)),NA(),(INDEX(DKW_10Y!$B$2:$B$2918,MATCH($A781,DKW_10Y!$A$2:$A$2918,1))-INDEX(DKW_10Y!$B$2:$B$2918,MATCH(Settings!$B$16,DKW_10Y!$A$2:$A$2918,1)))*100))</f>
        <v/>
      </c>
      <c r="Y781" s="19">
        <f>IF(NOT(ISNUMBER($A781)),NA(),IF(OR($A781&lt;MIN(DKW_10Y!$A$2:$A$2918),$A781&gt;MAX(DKW_10Y!$A$2:$A$2918),Settings!$B$16&lt;MIN(DKW_10Y!$A$2:$A$2918)),NA(),(INDEX(DKW_10Y!$C$2:$C$2918,MATCH($A781,DKW_10Y!$A$2:$A$2918,1))-INDEX(DKW_10Y!$C$2:$C$2918,MATCH(Settings!$B$16,DKW_10Y!$A$2:$A$2918,1)))*100))</f>
        <v/>
      </c>
      <c r="Z781" s="19">
        <f>IF(NOT(ISNUMBER($A781)),NA(),IF(OR($A781&lt;MIN(DKW_10Y!$A$2:$A$2918),$A781&gt;MAX(DKW_10Y!$A$2:$A$2918),Settings!$B$16&lt;MIN(DKW_10Y!$A$2:$A$2918)),NA(),(INDEX(DKW_10Y!$D$2:$D$2918,MATCH($A781,DKW_10Y!$A$2:$A$2918,1))-INDEX(DKW_10Y!$D$2:$D$2918,MATCH(Settings!$B$16,DKW_10Y!$A$2:$A$2918,1)))*100))</f>
        <v/>
      </c>
      <c r="AA781" s="19">
        <f>IF(NOT(ISNUMBER($A781)),NA(),IF(OR($A781&lt;MIN(DKW_10Y!$A$2:$A$2918),$A781&gt;MAX(DKW_10Y!$A$2:$A$2918),Settings!$B$16&lt;MIN(DKW_10Y!$A$2:$A$2918)),NA(),(INDEX(DKW_10Y!$E$2:$E$2918,MATCH($A781,DKW_10Y!$A$2:$A$2918,1))-INDEX(DKW_10Y!$E$2:$E$2918,MATCH(Settings!$B$16,DKW_10Y!$A$2:$A$2918,1)))*100))</f>
        <v/>
      </c>
      <c r="AB781" s="19">
        <f>IF(NOT(ISNUMBER($A781)),NA(),IF(OR($A781&lt;MIN(DKW_10Y!$A$2:$A$2918),$A781&gt;MAX(DKW_10Y!$A$2:$A$2918),Settings!$B$16&lt;MIN(DKW_10Y!$A$2:$A$2918)),NA(),(INDEX(DKW_10Y!$H$2:$H$2918,MATCH($A781,DKW_10Y!$A$2:$A$2918,1))-INDEX(DKW_10Y!$H$2:$H$2918,MATCH(Settings!$B$16,DKW_10Y!$A$2:$A$2918,1)))*100))</f>
        <v/>
      </c>
      <c r="AC781" s="18">
        <f>IF(NOT(ISNUMBER($A781)),NA(),IFERROR(1*INDEX(BBG_Data!$N$2:$N$4000,MATCH($A781,BBG_Data!$M$2:$M$4000,0)),NA()))</f>
        <v/>
      </c>
      <c r="AD781" s="18">
        <f>IF(NOT(ISNUMBER($A781)),NA(),IFERROR(1*INDEX(BBG_Data!$P$2:$P$4000,MATCH($A781,BBG_Data!$O$2:$O$4000,0)),NA()))</f>
        <v/>
      </c>
      <c r="AE781" s="18">
        <f>IF(NOT(ISNUMBER($A781)),NA(),IFERROR(1*INDEX(BBG_Data!$R$2:$R$4000,MATCH($A781,BBG_Data!$Q$2:$Q$4000,0)),NA()))</f>
        <v/>
      </c>
      <c r="AF781" s="20">
        <f>IF(AND(ISNUMBER(B781),ISNUMBER(AC781)),(B781-AC781)*100,NA())</f>
        <v/>
      </c>
      <c r="AG781" s="20">
        <f>IF(AND(ISNUMBER(AE781),ISNUMBER(AD781)),(AE781-AD781)*100,NA())</f>
        <v/>
      </c>
      <c r="AH781" s="19">
        <f>IF(NOT(ISNUMBER($A781)),NA(),IFERROR(INDEX(BBG_Data!$T$2:$T$4000,MATCH($A781,BBG_Data!$S$2:$S$4000,0))*Settings!$B$25,NA()))</f>
        <v/>
      </c>
      <c r="AI781" s="19">
        <f>IF(NOT(ISNUMBER($A781)),NA(),IFERROR(INDEX(BBG_Data!$V$2:$V$4000,MATCH($A781,BBG_Data!$U$2:$U$4000,0))*Settings!$B$25,NA()))</f>
        <v/>
      </c>
      <c r="AJ781" s="19">
        <f>IF(NOT(ISNUMBER($A781)),NA(),IFERROR(1*INDEX(BBG_Data!$X$2:$X$4000,MATCH($A781,BBG_Data!$W$2:$W$4000,0)),NA()))</f>
        <v/>
      </c>
      <c r="AK781" s="19">
        <f>IF(NOT(ISNUMBER($A781)),NA(),IFERROR(1*INDEX(BBG_Data!$Z$2:$Z$4000,MATCH($A781,BBG_Data!$Y$2:$Y$4000,0)),NA()))</f>
        <v/>
      </c>
    </row>
    <row r="782">
      <c r="A782" s="17">
        <f>IF(ISNUMBER(BBG_Data!A782),BBG_Data!A782,"")</f>
        <v/>
      </c>
      <c r="B782" s="18">
        <f>IF(AND(ISNUMBER($A782),ISNUMBER(BBG_Data!B782)),BBG_Data!B782,NA())</f>
        <v/>
      </c>
      <c r="C782" s="18">
        <f>IF(NOT(ISNUMBER($A782)),NA(),IFERROR(1*INDEX(BBG_Data!$D$2:$D$4000,MATCH($A782,BBG_Data!$C$2:$C$4000,0)),NA()))</f>
        <v/>
      </c>
      <c r="D782" s="19">
        <f>IF(NOT(ISNUMBER($A782)),NA(),IFERROR(1*INDEX(BBG_Data!$F$2:$F$4000,MATCH($A782,BBG_Data!$E$2:$E$4000,0)),NA()))</f>
        <v/>
      </c>
      <c r="E782" s="19">
        <f>IF(NOT(ISNUMBER($A782)),NA(),IFERROR(1*INDEX(BBG_Data!$H$2:$H$4000,MATCH($A782,BBG_Data!$G$2:$G$4000,0)),NA()))</f>
        <v/>
      </c>
      <c r="F782" s="20">
        <f>IF(AND(ISNUMBER(B782),ISNUMBER(B781)),IF(B782=B781,"",(B782-B781)*100),"")</f>
        <v/>
      </c>
      <c r="G782" s="20">
        <f>IF(AND(ISNUMBER(C782),ISNUMBER(C781)),IF(C782=C781,"",(C782-C781)*100),"")</f>
        <v/>
      </c>
      <c r="H782" s="20">
        <f>IF(OR(NOT(ISNUMBER($A782)),ROW()-2&lt;Settings!$B$11),NA(),IF(COUNT(OFFSET(F782,1-Settings!$B$11,0,Settings!$B$11,1))&lt;ROUNDUP(Settings!$B$11*Settings!$B$26,0),NA(),STDEV(OFFSET(F782,1-Settings!$B$11,0,Settings!$B$11,1))*SQRT(Settings!$B$13)))</f>
        <v/>
      </c>
      <c r="I782" s="20">
        <f>IF(OR(NOT(ISNUMBER($A782)),ROW()-2&lt;Settings!$B$12),NA(),IF(COUNT(OFFSET(F782,1-Settings!$B$12,0,Settings!$B$12,1))&lt;ROUNDUP(Settings!$B$12*Settings!$B$26,0),NA(),STDEV(OFFSET(F782,1-Settings!$B$12,0,Settings!$B$12,1))*SQRT(Settings!$B$13)))</f>
        <v/>
      </c>
      <c r="J782" s="20">
        <f>IF(OR(NOT(ISNUMBER($A782)),ROW()-2&lt;Settings!$B$11),NA(),IF(COUNT(OFFSET(G782,1-Settings!$B$11,0,Settings!$B$11,1))&lt;ROUNDUP(Settings!$B$11*Settings!$B$26,0),NA(),STDEV(OFFSET(G782,1-Settings!$B$11,0,Settings!$B$11,1))*SQRT(Settings!$B$13)))</f>
        <v/>
      </c>
      <c r="K782" s="20">
        <f>IF(OR(NOT(ISNUMBER($A782)),ROW()-2&lt;Settings!$B$12),NA(),IF(COUNT(OFFSET(G782,1-Settings!$B$12,0,Settings!$B$12,1))&lt;ROUNDUP(Settings!$B$12*Settings!$B$26,0),NA(),STDEV(OFFSET(G782,1-Settings!$B$12,0,Settings!$B$12,1))*SQRT(Settings!$B$13)))</f>
        <v/>
      </c>
      <c r="L782" s="20">
        <f>IF(AND(ISNUMBER(D782),ISNUMBER(H782)),D782-H782,NA())</f>
        <v/>
      </c>
      <c r="M782" s="20">
        <f>IF(AND(ISNUMBER(E782),ISNUMBER(K782)),E782-K782,NA())</f>
        <v/>
      </c>
      <c r="N782" s="20">
        <f>IF(NOT(ISNUMBER($A782)),NA(),IF(COUNT(OFFSET(G782,1,0,Settings!$B$12,1))&lt;ROUNDUP(Settings!$B$12*Settings!$B$26,0),NA(),STDEV(OFFSET(G782,1,0,Settings!$B$12,1))*SQRT(Settings!$B$13)))</f>
        <v/>
      </c>
      <c r="O782" s="20">
        <f>IF(AND(ISNUMBER(E782),ISNUMBER(N782)),E782-N782,NA())</f>
        <v/>
      </c>
      <c r="P782" s="19">
        <f>IF(NOT(ISNUMBER($A782)),NA(),IF(OR($A782&lt;MIN(KW_TP!$A$2:$A$2501),$A782&gt;MAX(KW_TP!$A$2:$A$2501)),NA(),INDEX(KW_TP!$C$2:$C$2501,MATCH($A782,KW_TP!$A$2:$A$2501,1))))</f>
        <v/>
      </c>
      <c r="Q782" s="18">
        <f>IF(NOT(ISNUMBER($A782)),NA(),IFERROR(1*INDEX(BBG_Data!$J$2:$J$4000,MATCH($A782,BBG_Data!$I$2:$I$4000,0)),NA()))</f>
        <v/>
      </c>
      <c r="R782" s="18">
        <f>IF(NOT(ISNUMBER($A782)),NA(),IFERROR(1*INDEX(BBG_Data!$L$2:$L$4000,MATCH($A782,BBG_Data!$K$2:$K$4000,0)),NA()))</f>
        <v/>
      </c>
      <c r="S782" s="20">
        <f>IF(AND(ISNUMBER(B782),ISNUMBER(Q782),ISNUMBER(R782)),(B782-Q782-R782)*100,NA())</f>
        <v/>
      </c>
      <c r="T782" s="20">
        <f>IF(AND(ISNUMBER(B782),Settings!$B$17&gt;0),IF(ISNUMBER(INDEX($B:$B,Settings!$B$17)),(B782-INDEX($B:$B,Settings!$B$17))*100,NA()),NA())</f>
        <v/>
      </c>
      <c r="U782" s="20">
        <f>IF(AND(ISNUMBER(Q782),Settings!$B$17&gt;0),IF(ISNUMBER(INDEX($Q:$Q,Settings!$B$17)),(Q782-INDEX($Q:$Q,Settings!$B$17))*100,NA()),NA())</f>
        <v/>
      </c>
      <c r="V782" s="20">
        <f>IF(AND(ISNUMBER(R782),Settings!$B$17&gt;0),IF(ISNUMBER(INDEX($R:$R,Settings!$B$17)),(R782-INDEX($R:$R,Settings!$B$17))*100,NA()),NA())</f>
        <v/>
      </c>
      <c r="W782" s="20">
        <f>IF(AND(ISNUMBER(P782),Settings!$B$17&gt;0),IF(ISNUMBER(INDEX($P:$P,Settings!$B$17)),P782-INDEX($P:$P,Settings!$B$17),NA()),NA())</f>
        <v/>
      </c>
      <c r="X782" s="19">
        <f>IF(NOT(ISNUMBER($A782)),NA(),IF(OR($A782&lt;MIN(DKW_10Y!$A$2:$A$2918),$A782&gt;MAX(DKW_10Y!$A$2:$A$2918),Settings!$B$16&lt;MIN(DKW_10Y!$A$2:$A$2918)),NA(),(INDEX(DKW_10Y!$B$2:$B$2918,MATCH($A782,DKW_10Y!$A$2:$A$2918,1))-INDEX(DKW_10Y!$B$2:$B$2918,MATCH(Settings!$B$16,DKW_10Y!$A$2:$A$2918,1)))*100))</f>
        <v/>
      </c>
      <c r="Y782" s="19">
        <f>IF(NOT(ISNUMBER($A782)),NA(),IF(OR($A782&lt;MIN(DKW_10Y!$A$2:$A$2918),$A782&gt;MAX(DKW_10Y!$A$2:$A$2918),Settings!$B$16&lt;MIN(DKW_10Y!$A$2:$A$2918)),NA(),(INDEX(DKW_10Y!$C$2:$C$2918,MATCH($A782,DKW_10Y!$A$2:$A$2918,1))-INDEX(DKW_10Y!$C$2:$C$2918,MATCH(Settings!$B$16,DKW_10Y!$A$2:$A$2918,1)))*100))</f>
        <v/>
      </c>
      <c r="Z782" s="19">
        <f>IF(NOT(ISNUMBER($A782)),NA(),IF(OR($A782&lt;MIN(DKW_10Y!$A$2:$A$2918),$A782&gt;MAX(DKW_10Y!$A$2:$A$2918),Settings!$B$16&lt;MIN(DKW_10Y!$A$2:$A$2918)),NA(),(INDEX(DKW_10Y!$D$2:$D$2918,MATCH($A782,DKW_10Y!$A$2:$A$2918,1))-INDEX(DKW_10Y!$D$2:$D$2918,MATCH(Settings!$B$16,DKW_10Y!$A$2:$A$2918,1)))*100))</f>
        <v/>
      </c>
      <c r="AA782" s="19">
        <f>IF(NOT(ISNUMBER($A782)),NA(),IF(OR($A782&lt;MIN(DKW_10Y!$A$2:$A$2918),$A782&gt;MAX(DKW_10Y!$A$2:$A$2918),Settings!$B$16&lt;MIN(DKW_10Y!$A$2:$A$2918)),NA(),(INDEX(DKW_10Y!$E$2:$E$2918,MATCH($A782,DKW_10Y!$A$2:$A$2918,1))-INDEX(DKW_10Y!$E$2:$E$2918,MATCH(Settings!$B$16,DKW_10Y!$A$2:$A$2918,1)))*100))</f>
        <v/>
      </c>
      <c r="AB782" s="19">
        <f>IF(NOT(ISNUMBER($A782)),NA(),IF(OR($A782&lt;MIN(DKW_10Y!$A$2:$A$2918),$A782&gt;MAX(DKW_10Y!$A$2:$A$2918),Settings!$B$16&lt;MIN(DKW_10Y!$A$2:$A$2918)),NA(),(INDEX(DKW_10Y!$H$2:$H$2918,MATCH($A782,DKW_10Y!$A$2:$A$2918,1))-INDEX(DKW_10Y!$H$2:$H$2918,MATCH(Settings!$B$16,DKW_10Y!$A$2:$A$2918,1)))*100))</f>
        <v/>
      </c>
      <c r="AC782" s="18">
        <f>IF(NOT(ISNUMBER($A782)),NA(),IFERROR(1*INDEX(BBG_Data!$N$2:$N$4000,MATCH($A782,BBG_Data!$M$2:$M$4000,0)),NA()))</f>
        <v/>
      </c>
      <c r="AD782" s="18">
        <f>IF(NOT(ISNUMBER($A782)),NA(),IFERROR(1*INDEX(BBG_Data!$P$2:$P$4000,MATCH($A782,BBG_Data!$O$2:$O$4000,0)),NA()))</f>
        <v/>
      </c>
      <c r="AE782" s="18">
        <f>IF(NOT(ISNUMBER($A782)),NA(),IFERROR(1*INDEX(BBG_Data!$R$2:$R$4000,MATCH($A782,BBG_Data!$Q$2:$Q$4000,0)),NA()))</f>
        <v/>
      </c>
      <c r="AF782" s="20">
        <f>IF(AND(ISNUMBER(B782),ISNUMBER(AC782)),(B782-AC782)*100,NA())</f>
        <v/>
      </c>
      <c r="AG782" s="20">
        <f>IF(AND(ISNUMBER(AE782),ISNUMBER(AD782)),(AE782-AD782)*100,NA())</f>
        <v/>
      </c>
      <c r="AH782" s="19">
        <f>IF(NOT(ISNUMBER($A782)),NA(),IFERROR(INDEX(BBG_Data!$T$2:$T$4000,MATCH($A782,BBG_Data!$S$2:$S$4000,0))*Settings!$B$25,NA()))</f>
        <v/>
      </c>
      <c r="AI782" s="19">
        <f>IF(NOT(ISNUMBER($A782)),NA(),IFERROR(INDEX(BBG_Data!$V$2:$V$4000,MATCH($A782,BBG_Data!$U$2:$U$4000,0))*Settings!$B$25,NA()))</f>
        <v/>
      </c>
      <c r="AJ782" s="19">
        <f>IF(NOT(ISNUMBER($A782)),NA(),IFERROR(1*INDEX(BBG_Data!$X$2:$X$4000,MATCH($A782,BBG_Data!$W$2:$W$4000,0)),NA()))</f>
        <v/>
      </c>
      <c r="AK782" s="19">
        <f>IF(NOT(ISNUMBER($A782)),NA(),IFERROR(1*INDEX(BBG_Data!$Z$2:$Z$4000,MATCH($A782,BBG_Data!$Y$2:$Y$4000,0)),NA()))</f>
        <v/>
      </c>
    </row>
    <row r="783">
      <c r="A783" s="17">
        <f>IF(ISNUMBER(BBG_Data!A783),BBG_Data!A783,"")</f>
        <v/>
      </c>
      <c r="B783" s="18">
        <f>IF(AND(ISNUMBER($A783),ISNUMBER(BBG_Data!B783)),BBG_Data!B783,NA())</f>
        <v/>
      </c>
      <c r="C783" s="18">
        <f>IF(NOT(ISNUMBER($A783)),NA(),IFERROR(1*INDEX(BBG_Data!$D$2:$D$4000,MATCH($A783,BBG_Data!$C$2:$C$4000,0)),NA()))</f>
        <v/>
      </c>
      <c r="D783" s="19">
        <f>IF(NOT(ISNUMBER($A783)),NA(),IFERROR(1*INDEX(BBG_Data!$F$2:$F$4000,MATCH($A783,BBG_Data!$E$2:$E$4000,0)),NA()))</f>
        <v/>
      </c>
      <c r="E783" s="19">
        <f>IF(NOT(ISNUMBER($A783)),NA(),IFERROR(1*INDEX(BBG_Data!$H$2:$H$4000,MATCH($A783,BBG_Data!$G$2:$G$4000,0)),NA()))</f>
        <v/>
      </c>
      <c r="F783" s="20">
        <f>IF(AND(ISNUMBER(B783),ISNUMBER(B782)),IF(B783=B782,"",(B783-B782)*100),"")</f>
        <v/>
      </c>
      <c r="G783" s="20">
        <f>IF(AND(ISNUMBER(C783),ISNUMBER(C782)),IF(C783=C782,"",(C783-C782)*100),"")</f>
        <v/>
      </c>
      <c r="H783" s="20">
        <f>IF(OR(NOT(ISNUMBER($A783)),ROW()-2&lt;Settings!$B$11),NA(),IF(COUNT(OFFSET(F783,1-Settings!$B$11,0,Settings!$B$11,1))&lt;ROUNDUP(Settings!$B$11*Settings!$B$26,0),NA(),STDEV(OFFSET(F783,1-Settings!$B$11,0,Settings!$B$11,1))*SQRT(Settings!$B$13)))</f>
        <v/>
      </c>
      <c r="I783" s="20">
        <f>IF(OR(NOT(ISNUMBER($A783)),ROW()-2&lt;Settings!$B$12),NA(),IF(COUNT(OFFSET(F783,1-Settings!$B$12,0,Settings!$B$12,1))&lt;ROUNDUP(Settings!$B$12*Settings!$B$26,0),NA(),STDEV(OFFSET(F783,1-Settings!$B$12,0,Settings!$B$12,1))*SQRT(Settings!$B$13)))</f>
        <v/>
      </c>
      <c r="J783" s="20">
        <f>IF(OR(NOT(ISNUMBER($A783)),ROW()-2&lt;Settings!$B$11),NA(),IF(COUNT(OFFSET(G783,1-Settings!$B$11,0,Settings!$B$11,1))&lt;ROUNDUP(Settings!$B$11*Settings!$B$26,0),NA(),STDEV(OFFSET(G783,1-Settings!$B$11,0,Settings!$B$11,1))*SQRT(Settings!$B$13)))</f>
        <v/>
      </c>
      <c r="K783" s="20">
        <f>IF(OR(NOT(ISNUMBER($A783)),ROW()-2&lt;Settings!$B$12),NA(),IF(COUNT(OFFSET(G783,1-Settings!$B$12,0,Settings!$B$12,1))&lt;ROUNDUP(Settings!$B$12*Settings!$B$26,0),NA(),STDEV(OFFSET(G783,1-Settings!$B$12,0,Settings!$B$12,1))*SQRT(Settings!$B$13)))</f>
        <v/>
      </c>
      <c r="L783" s="20">
        <f>IF(AND(ISNUMBER(D783),ISNUMBER(H783)),D783-H783,NA())</f>
        <v/>
      </c>
      <c r="M783" s="20">
        <f>IF(AND(ISNUMBER(E783),ISNUMBER(K783)),E783-K783,NA())</f>
        <v/>
      </c>
      <c r="N783" s="20">
        <f>IF(NOT(ISNUMBER($A783)),NA(),IF(COUNT(OFFSET(G783,1,0,Settings!$B$12,1))&lt;ROUNDUP(Settings!$B$12*Settings!$B$26,0),NA(),STDEV(OFFSET(G783,1,0,Settings!$B$12,1))*SQRT(Settings!$B$13)))</f>
        <v/>
      </c>
      <c r="O783" s="20">
        <f>IF(AND(ISNUMBER(E783),ISNUMBER(N783)),E783-N783,NA())</f>
        <v/>
      </c>
      <c r="P783" s="19">
        <f>IF(NOT(ISNUMBER($A783)),NA(),IF(OR($A783&lt;MIN(KW_TP!$A$2:$A$2501),$A783&gt;MAX(KW_TP!$A$2:$A$2501)),NA(),INDEX(KW_TP!$C$2:$C$2501,MATCH($A783,KW_TP!$A$2:$A$2501,1))))</f>
        <v/>
      </c>
      <c r="Q783" s="18">
        <f>IF(NOT(ISNUMBER($A783)),NA(),IFERROR(1*INDEX(BBG_Data!$J$2:$J$4000,MATCH($A783,BBG_Data!$I$2:$I$4000,0)),NA()))</f>
        <v/>
      </c>
      <c r="R783" s="18">
        <f>IF(NOT(ISNUMBER($A783)),NA(),IFERROR(1*INDEX(BBG_Data!$L$2:$L$4000,MATCH($A783,BBG_Data!$K$2:$K$4000,0)),NA()))</f>
        <v/>
      </c>
      <c r="S783" s="20">
        <f>IF(AND(ISNUMBER(B783),ISNUMBER(Q783),ISNUMBER(R783)),(B783-Q783-R783)*100,NA())</f>
        <v/>
      </c>
      <c r="T783" s="20">
        <f>IF(AND(ISNUMBER(B783),Settings!$B$17&gt;0),IF(ISNUMBER(INDEX($B:$B,Settings!$B$17)),(B783-INDEX($B:$B,Settings!$B$17))*100,NA()),NA())</f>
        <v/>
      </c>
      <c r="U783" s="20">
        <f>IF(AND(ISNUMBER(Q783),Settings!$B$17&gt;0),IF(ISNUMBER(INDEX($Q:$Q,Settings!$B$17)),(Q783-INDEX($Q:$Q,Settings!$B$17))*100,NA()),NA())</f>
        <v/>
      </c>
      <c r="V783" s="20">
        <f>IF(AND(ISNUMBER(R783),Settings!$B$17&gt;0),IF(ISNUMBER(INDEX($R:$R,Settings!$B$17)),(R783-INDEX($R:$R,Settings!$B$17))*100,NA()),NA())</f>
        <v/>
      </c>
      <c r="W783" s="20">
        <f>IF(AND(ISNUMBER(P783),Settings!$B$17&gt;0),IF(ISNUMBER(INDEX($P:$P,Settings!$B$17)),P783-INDEX($P:$P,Settings!$B$17),NA()),NA())</f>
        <v/>
      </c>
      <c r="X783" s="19">
        <f>IF(NOT(ISNUMBER($A783)),NA(),IF(OR($A783&lt;MIN(DKW_10Y!$A$2:$A$2918),$A783&gt;MAX(DKW_10Y!$A$2:$A$2918),Settings!$B$16&lt;MIN(DKW_10Y!$A$2:$A$2918)),NA(),(INDEX(DKW_10Y!$B$2:$B$2918,MATCH($A783,DKW_10Y!$A$2:$A$2918,1))-INDEX(DKW_10Y!$B$2:$B$2918,MATCH(Settings!$B$16,DKW_10Y!$A$2:$A$2918,1)))*100))</f>
        <v/>
      </c>
      <c r="Y783" s="19">
        <f>IF(NOT(ISNUMBER($A783)),NA(),IF(OR($A783&lt;MIN(DKW_10Y!$A$2:$A$2918),$A783&gt;MAX(DKW_10Y!$A$2:$A$2918),Settings!$B$16&lt;MIN(DKW_10Y!$A$2:$A$2918)),NA(),(INDEX(DKW_10Y!$C$2:$C$2918,MATCH($A783,DKW_10Y!$A$2:$A$2918,1))-INDEX(DKW_10Y!$C$2:$C$2918,MATCH(Settings!$B$16,DKW_10Y!$A$2:$A$2918,1)))*100))</f>
        <v/>
      </c>
      <c r="Z783" s="19">
        <f>IF(NOT(ISNUMBER($A783)),NA(),IF(OR($A783&lt;MIN(DKW_10Y!$A$2:$A$2918),$A783&gt;MAX(DKW_10Y!$A$2:$A$2918),Settings!$B$16&lt;MIN(DKW_10Y!$A$2:$A$2918)),NA(),(INDEX(DKW_10Y!$D$2:$D$2918,MATCH($A783,DKW_10Y!$A$2:$A$2918,1))-INDEX(DKW_10Y!$D$2:$D$2918,MATCH(Settings!$B$16,DKW_10Y!$A$2:$A$2918,1)))*100))</f>
        <v/>
      </c>
      <c r="AA783" s="19">
        <f>IF(NOT(ISNUMBER($A783)),NA(),IF(OR($A783&lt;MIN(DKW_10Y!$A$2:$A$2918),$A783&gt;MAX(DKW_10Y!$A$2:$A$2918),Settings!$B$16&lt;MIN(DKW_10Y!$A$2:$A$2918)),NA(),(INDEX(DKW_10Y!$E$2:$E$2918,MATCH($A783,DKW_10Y!$A$2:$A$2918,1))-INDEX(DKW_10Y!$E$2:$E$2918,MATCH(Settings!$B$16,DKW_10Y!$A$2:$A$2918,1)))*100))</f>
        <v/>
      </c>
      <c r="AB783" s="19">
        <f>IF(NOT(ISNUMBER($A783)),NA(),IF(OR($A783&lt;MIN(DKW_10Y!$A$2:$A$2918),$A783&gt;MAX(DKW_10Y!$A$2:$A$2918),Settings!$B$16&lt;MIN(DKW_10Y!$A$2:$A$2918)),NA(),(INDEX(DKW_10Y!$H$2:$H$2918,MATCH($A783,DKW_10Y!$A$2:$A$2918,1))-INDEX(DKW_10Y!$H$2:$H$2918,MATCH(Settings!$B$16,DKW_10Y!$A$2:$A$2918,1)))*100))</f>
        <v/>
      </c>
      <c r="AC783" s="18">
        <f>IF(NOT(ISNUMBER($A783)),NA(),IFERROR(1*INDEX(BBG_Data!$N$2:$N$4000,MATCH($A783,BBG_Data!$M$2:$M$4000,0)),NA()))</f>
        <v/>
      </c>
      <c r="AD783" s="18">
        <f>IF(NOT(ISNUMBER($A783)),NA(),IFERROR(1*INDEX(BBG_Data!$P$2:$P$4000,MATCH($A783,BBG_Data!$O$2:$O$4000,0)),NA()))</f>
        <v/>
      </c>
      <c r="AE783" s="18">
        <f>IF(NOT(ISNUMBER($A783)),NA(),IFERROR(1*INDEX(BBG_Data!$R$2:$R$4000,MATCH($A783,BBG_Data!$Q$2:$Q$4000,0)),NA()))</f>
        <v/>
      </c>
      <c r="AF783" s="20">
        <f>IF(AND(ISNUMBER(B783),ISNUMBER(AC783)),(B783-AC783)*100,NA())</f>
        <v/>
      </c>
      <c r="AG783" s="20">
        <f>IF(AND(ISNUMBER(AE783),ISNUMBER(AD783)),(AE783-AD783)*100,NA())</f>
        <v/>
      </c>
      <c r="AH783" s="19">
        <f>IF(NOT(ISNUMBER($A783)),NA(),IFERROR(INDEX(BBG_Data!$T$2:$T$4000,MATCH($A783,BBG_Data!$S$2:$S$4000,0))*Settings!$B$25,NA()))</f>
        <v/>
      </c>
      <c r="AI783" s="19">
        <f>IF(NOT(ISNUMBER($A783)),NA(),IFERROR(INDEX(BBG_Data!$V$2:$V$4000,MATCH($A783,BBG_Data!$U$2:$U$4000,0))*Settings!$B$25,NA()))</f>
        <v/>
      </c>
      <c r="AJ783" s="19">
        <f>IF(NOT(ISNUMBER($A783)),NA(),IFERROR(1*INDEX(BBG_Data!$X$2:$X$4000,MATCH($A783,BBG_Data!$W$2:$W$4000,0)),NA()))</f>
        <v/>
      </c>
      <c r="AK783" s="19">
        <f>IF(NOT(ISNUMBER($A783)),NA(),IFERROR(1*INDEX(BBG_Data!$Z$2:$Z$4000,MATCH($A783,BBG_Data!$Y$2:$Y$4000,0)),NA()))</f>
        <v/>
      </c>
    </row>
    <row r="784">
      <c r="A784" s="17">
        <f>IF(ISNUMBER(BBG_Data!A784),BBG_Data!A784,"")</f>
        <v/>
      </c>
      <c r="B784" s="18">
        <f>IF(AND(ISNUMBER($A784),ISNUMBER(BBG_Data!B784)),BBG_Data!B784,NA())</f>
        <v/>
      </c>
      <c r="C784" s="18">
        <f>IF(NOT(ISNUMBER($A784)),NA(),IFERROR(1*INDEX(BBG_Data!$D$2:$D$4000,MATCH($A784,BBG_Data!$C$2:$C$4000,0)),NA()))</f>
        <v/>
      </c>
      <c r="D784" s="19">
        <f>IF(NOT(ISNUMBER($A784)),NA(),IFERROR(1*INDEX(BBG_Data!$F$2:$F$4000,MATCH($A784,BBG_Data!$E$2:$E$4000,0)),NA()))</f>
        <v/>
      </c>
      <c r="E784" s="19">
        <f>IF(NOT(ISNUMBER($A784)),NA(),IFERROR(1*INDEX(BBG_Data!$H$2:$H$4000,MATCH($A784,BBG_Data!$G$2:$G$4000,0)),NA()))</f>
        <v/>
      </c>
      <c r="F784" s="20">
        <f>IF(AND(ISNUMBER(B784),ISNUMBER(B783)),IF(B784=B783,"",(B784-B783)*100),"")</f>
        <v/>
      </c>
      <c r="G784" s="20">
        <f>IF(AND(ISNUMBER(C784),ISNUMBER(C783)),IF(C784=C783,"",(C784-C783)*100),"")</f>
        <v/>
      </c>
      <c r="H784" s="20">
        <f>IF(OR(NOT(ISNUMBER($A784)),ROW()-2&lt;Settings!$B$11),NA(),IF(COUNT(OFFSET(F784,1-Settings!$B$11,0,Settings!$B$11,1))&lt;ROUNDUP(Settings!$B$11*Settings!$B$26,0),NA(),STDEV(OFFSET(F784,1-Settings!$B$11,0,Settings!$B$11,1))*SQRT(Settings!$B$13)))</f>
        <v/>
      </c>
      <c r="I784" s="20">
        <f>IF(OR(NOT(ISNUMBER($A784)),ROW()-2&lt;Settings!$B$12),NA(),IF(COUNT(OFFSET(F784,1-Settings!$B$12,0,Settings!$B$12,1))&lt;ROUNDUP(Settings!$B$12*Settings!$B$26,0),NA(),STDEV(OFFSET(F784,1-Settings!$B$12,0,Settings!$B$12,1))*SQRT(Settings!$B$13)))</f>
        <v/>
      </c>
      <c r="J784" s="20">
        <f>IF(OR(NOT(ISNUMBER($A784)),ROW()-2&lt;Settings!$B$11),NA(),IF(COUNT(OFFSET(G784,1-Settings!$B$11,0,Settings!$B$11,1))&lt;ROUNDUP(Settings!$B$11*Settings!$B$26,0),NA(),STDEV(OFFSET(G784,1-Settings!$B$11,0,Settings!$B$11,1))*SQRT(Settings!$B$13)))</f>
        <v/>
      </c>
      <c r="K784" s="20">
        <f>IF(OR(NOT(ISNUMBER($A784)),ROW()-2&lt;Settings!$B$12),NA(),IF(COUNT(OFFSET(G784,1-Settings!$B$12,0,Settings!$B$12,1))&lt;ROUNDUP(Settings!$B$12*Settings!$B$26,0),NA(),STDEV(OFFSET(G784,1-Settings!$B$12,0,Settings!$B$12,1))*SQRT(Settings!$B$13)))</f>
        <v/>
      </c>
      <c r="L784" s="20">
        <f>IF(AND(ISNUMBER(D784),ISNUMBER(H784)),D784-H784,NA())</f>
        <v/>
      </c>
      <c r="M784" s="20">
        <f>IF(AND(ISNUMBER(E784),ISNUMBER(K784)),E784-K784,NA())</f>
        <v/>
      </c>
      <c r="N784" s="20">
        <f>IF(NOT(ISNUMBER($A784)),NA(),IF(COUNT(OFFSET(G784,1,0,Settings!$B$12,1))&lt;ROUNDUP(Settings!$B$12*Settings!$B$26,0),NA(),STDEV(OFFSET(G784,1,0,Settings!$B$12,1))*SQRT(Settings!$B$13)))</f>
        <v/>
      </c>
      <c r="O784" s="20">
        <f>IF(AND(ISNUMBER(E784),ISNUMBER(N784)),E784-N784,NA())</f>
        <v/>
      </c>
      <c r="P784" s="19">
        <f>IF(NOT(ISNUMBER($A784)),NA(),IF(OR($A784&lt;MIN(KW_TP!$A$2:$A$2501),$A784&gt;MAX(KW_TP!$A$2:$A$2501)),NA(),INDEX(KW_TP!$C$2:$C$2501,MATCH($A784,KW_TP!$A$2:$A$2501,1))))</f>
        <v/>
      </c>
      <c r="Q784" s="18">
        <f>IF(NOT(ISNUMBER($A784)),NA(),IFERROR(1*INDEX(BBG_Data!$J$2:$J$4000,MATCH($A784,BBG_Data!$I$2:$I$4000,0)),NA()))</f>
        <v/>
      </c>
      <c r="R784" s="18">
        <f>IF(NOT(ISNUMBER($A784)),NA(),IFERROR(1*INDEX(BBG_Data!$L$2:$L$4000,MATCH($A784,BBG_Data!$K$2:$K$4000,0)),NA()))</f>
        <v/>
      </c>
      <c r="S784" s="20">
        <f>IF(AND(ISNUMBER(B784),ISNUMBER(Q784),ISNUMBER(R784)),(B784-Q784-R784)*100,NA())</f>
        <v/>
      </c>
      <c r="T784" s="20">
        <f>IF(AND(ISNUMBER(B784),Settings!$B$17&gt;0),IF(ISNUMBER(INDEX($B:$B,Settings!$B$17)),(B784-INDEX($B:$B,Settings!$B$17))*100,NA()),NA())</f>
        <v/>
      </c>
      <c r="U784" s="20">
        <f>IF(AND(ISNUMBER(Q784),Settings!$B$17&gt;0),IF(ISNUMBER(INDEX($Q:$Q,Settings!$B$17)),(Q784-INDEX($Q:$Q,Settings!$B$17))*100,NA()),NA())</f>
        <v/>
      </c>
      <c r="V784" s="20">
        <f>IF(AND(ISNUMBER(R784),Settings!$B$17&gt;0),IF(ISNUMBER(INDEX($R:$R,Settings!$B$17)),(R784-INDEX($R:$R,Settings!$B$17))*100,NA()),NA())</f>
        <v/>
      </c>
      <c r="W784" s="20">
        <f>IF(AND(ISNUMBER(P784),Settings!$B$17&gt;0),IF(ISNUMBER(INDEX($P:$P,Settings!$B$17)),P784-INDEX($P:$P,Settings!$B$17),NA()),NA())</f>
        <v/>
      </c>
      <c r="X784" s="19">
        <f>IF(NOT(ISNUMBER($A784)),NA(),IF(OR($A784&lt;MIN(DKW_10Y!$A$2:$A$2918),$A784&gt;MAX(DKW_10Y!$A$2:$A$2918),Settings!$B$16&lt;MIN(DKW_10Y!$A$2:$A$2918)),NA(),(INDEX(DKW_10Y!$B$2:$B$2918,MATCH($A784,DKW_10Y!$A$2:$A$2918,1))-INDEX(DKW_10Y!$B$2:$B$2918,MATCH(Settings!$B$16,DKW_10Y!$A$2:$A$2918,1)))*100))</f>
        <v/>
      </c>
      <c r="Y784" s="19">
        <f>IF(NOT(ISNUMBER($A784)),NA(),IF(OR($A784&lt;MIN(DKW_10Y!$A$2:$A$2918),$A784&gt;MAX(DKW_10Y!$A$2:$A$2918),Settings!$B$16&lt;MIN(DKW_10Y!$A$2:$A$2918)),NA(),(INDEX(DKW_10Y!$C$2:$C$2918,MATCH($A784,DKW_10Y!$A$2:$A$2918,1))-INDEX(DKW_10Y!$C$2:$C$2918,MATCH(Settings!$B$16,DKW_10Y!$A$2:$A$2918,1)))*100))</f>
        <v/>
      </c>
      <c r="Z784" s="19">
        <f>IF(NOT(ISNUMBER($A784)),NA(),IF(OR($A784&lt;MIN(DKW_10Y!$A$2:$A$2918),$A784&gt;MAX(DKW_10Y!$A$2:$A$2918),Settings!$B$16&lt;MIN(DKW_10Y!$A$2:$A$2918)),NA(),(INDEX(DKW_10Y!$D$2:$D$2918,MATCH($A784,DKW_10Y!$A$2:$A$2918,1))-INDEX(DKW_10Y!$D$2:$D$2918,MATCH(Settings!$B$16,DKW_10Y!$A$2:$A$2918,1)))*100))</f>
        <v/>
      </c>
      <c r="AA784" s="19">
        <f>IF(NOT(ISNUMBER($A784)),NA(),IF(OR($A784&lt;MIN(DKW_10Y!$A$2:$A$2918),$A784&gt;MAX(DKW_10Y!$A$2:$A$2918),Settings!$B$16&lt;MIN(DKW_10Y!$A$2:$A$2918)),NA(),(INDEX(DKW_10Y!$E$2:$E$2918,MATCH($A784,DKW_10Y!$A$2:$A$2918,1))-INDEX(DKW_10Y!$E$2:$E$2918,MATCH(Settings!$B$16,DKW_10Y!$A$2:$A$2918,1)))*100))</f>
        <v/>
      </c>
      <c r="AB784" s="19">
        <f>IF(NOT(ISNUMBER($A784)),NA(),IF(OR($A784&lt;MIN(DKW_10Y!$A$2:$A$2918),$A784&gt;MAX(DKW_10Y!$A$2:$A$2918),Settings!$B$16&lt;MIN(DKW_10Y!$A$2:$A$2918)),NA(),(INDEX(DKW_10Y!$H$2:$H$2918,MATCH($A784,DKW_10Y!$A$2:$A$2918,1))-INDEX(DKW_10Y!$H$2:$H$2918,MATCH(Settings!$B$16,DKW_10Y!$A$2:$A$2918,1)))*100))</f>
        <v/>
      </c>
      <c r="AC784" s="18">
        <f>IF(NOT(ISNUMBER($A784)),NA(),IFERROR(1*INDEX(BBG_Data!$N$2:$N$4000,MATCH($A784,BBG_Data!$M$2:$M$4000,0)),NA()))</f>
        <v/>
      </c>
      <c r="AD784" s="18">
        <f>IF(NOT(ISNUMBER($A784)),NA(),IFERROR(1*INDEX(BBG_Data!$P$2:$P$4000,MATCH($A784,BBG_Data!$O$2:$O$4000,0)),NA()))</f>
        <v/>
      </c>
      <c r="AE784" s="18">
        <f>IF(NOT(ISNUMBER($A784)),NA(),IFERROR(1*INDEX(BBG_Data!$R$2:$R$4000,MATCH($A784,BBG_Data!$Q$2:$Q$4000,0)),NA()))</f>
        <v/>
      </c>
      <c r="AF784" s="20">
        <f>IF(AND(ISNUMBER(B784),ISNUMBER(AC784)),(B784-AC784)*100,NA())</f>
        <v/>
      </c>
      <c r="AG784" s="20">
        <f>IF(AND(ISNUMBER(AE784),ISNUMBER(AD784)),(AE784-AD784)*100,NA())</f>
        <v/>
      </c>
      <c r="AH784" s="19">
        <f>IF(NOT(ISNUMBER($A784)),NA(),IFERROR(INDEX(BBG_Data!$T$2:$T$4000,MATCH($A784,BBG_Data!$S$2:$S$4000,0))*Settings!$B$25,NA()))</f>
        <v/>
      </c>
      <c r="AI784" s="19">
        <f>IF(NOT(ISNUMBER($A784)),NA(),IFERROR(INDEX(BBG_Data!$V$2:$V$4000,MATCH($A784,BBG_Data!$U$2:$U$4000,0))*Settings!$B$25,NA()))</f>
        <v/>
      </c>
      <c r="AJ784" s="19">
        <f>IF(NOT(ISNUMBER($A784)),NA(),IFERROR(1*INDEX(BBG_Data!$X$2:$X$4000,MATCH($A784,BBG_Data!$W$2:$W$4000,0)),NA()))</f>
        <v/>
      </c>
      <c r="AK784" s="19">
        <f>IF(NOT(ISNUMBER($A784)),NA(),IFERROR(1*INDEX(BBG_Data!$Z$2:$Z$4000,MATCH($A784,BBG_Data!$Y$2:$Y$4000,0)),NA()))</f>
        <v/>
      </c>
    </row>
    <row r="785">
      <c r="A785" s="17">
        <f>IF(ISNUMBER(BBG_Data!A785),BBG_Data!A785,"")</f>
        <v/>
      </c>
      <c r="B785" s="18">
        <f>IF(AND(ISNUMBER($A785),ISNUMBER(BBG_Data!B785)),BBG_Data!B785,NA())</f>
        <v/>
      </c>
      <c r="C785" s="18">
        <f>IF(NOT(ISNUMBER($A785)),NA(),IFERROR(1*INDEX(BBG_Data!$D$2:$D$4000,MATCH($A785,BBG_Data!$C$2:$C$4000,0)),NA()))</f>
        <v/>
      </c>
      <c r="D785" s="19">
        <f>IF(NOT(ISNUMBER($A785)),NA(),IFERROR(1*INDEX(BBG_Data!$F$2:$F$4000,MATCH($A785,BBG_Data!$E$2:$E$4000,0)),NA()))</f>
        <v/>
      </c>
      <c r="E785" s="19">
        <f>IF(NOT(ISNUMBER($A785)),NA(),IFERROR(1*INDEX(BBG_Data!$H$2:$H$4000,MATCH($A785,BBG_Data!$G$2:$G$4000,0)),NA()))</f>
        <v/>
      </c>
      <c r="F785" s="20">
        <f>IF(AND(ISNUMBER(B785),ISNUMBER(B784)),IF(B785=B784,"",(B785-B784)*100),"")</f>
        <v/>
      </c>
      <c r="G785" s="20">
        <f>IF(AND(ISNUMBER(C785),ISNUMBER(C784)),IF(C785=C784,"",(C785-C784)*100),"")</f>
        <v/>
      </c>
      <c r="H785" s="20">
        <f>IF(OR(NOT(ISNUMBER($A785)),ROW()-2&lt;Settings!$B$11),NA(),IF(COUNT(OFFSET(F785,1-Settings!$B$11,0,Settings!$B$11,1))&lt;ROUNDUP(Settings!$B$11*Settings!$B$26,0),NA(),STDEV(OFFSET(F785,1-Settings!$B$11,0,Settings!$B$11,1))*SQRT(Settings!$B$13)))</f>
        <v/>
      </c>
      <c r="I785" s="20">
        <f>IF(OR(NOT(ISNUMBER($A785)),ROW()-2&lt;Settings!$B$12),NA(),IF(COUNT(OFFSET(F785,1-Settings!$B$12,0,Settings!$B$12,1))&lt;ROUNDUP(Settings!$B$12*Settings!$B$26,0),NA(),STDEV(OFFSET(F785,1-Settings!$B$12,0,Settings!$B$12,1))*SQRT(Settings!$B$13)))</f>
        <v/>
      </c>
      <c r="J785" s="20">
        <f>IF(OR(NOT(ISNUMBER($A785)),ROW()-2&lt;Settings!$B$11),NA(),IF(COUNT(OFFSET(G785,1-Settings!$B$11,0,Settings!$B$11,1))&lt;ROUNDUP(Settings!$B$11*Settings!$B$26,0),NA(),STDEV(OFFSET(G785,1-Settings!$B$11,0,Settings!$B$11,1))*SQRT(Settings!$B$13)))</f>
        <v/>
      </c>
      <c r="K785" s="20">
        <f>IF(OR(NOT(ISNUMBER($A785)),ROW()-2&lt;Settings!$B$12),NA(),IF(COUNT(OFFSET(G785,1-Settings!$B$12,0,Settings!$B$12,1))&lt;ROUNDUP(Settings!$B$12*Settings!$B$26,0),NA(),STDEV(OFFSET(G785,1-Settings!$B$12,0,Settings!$B$12,1))*SQRT(Settings!$B$13)))</f>
        <v/>
      </c>
      <c r="L785" s="20">
        <f>IF(AND(ISNUMBER(D785),ISNUMBER(H785)),D785-H785,NA())</f>
        <v/>
      </c>
      <c r="M785" s="20">
        <f>IF(AND(ISNUMBER(E785),ISNUMBER(K785)),E785-K785,NA())</f>
        <v/>
      </c>
      <c r="N785" s="20">
        <f>IF(NOT(ISNUMBER($A785)),NA(),IF(COUNT(OFFSET(G785,1,0,Settings!$B$12,1))&lt;ROUNDUP(Settings!$B$12*Settings!$B$26,0),NA(),STDEV(OFFSET(G785,1,0,Settings!$B$12,1))*SQRT(Settings!$B$13)))</f>
        <v/>
      </c>
      <c r="O785" s="20">
        <f>IF(AND(ISNUMBER(E785),ISNUMBER(N785)),E785-N785,NA())</f>
        <v/>
      </c>
      <c r="P785" s="19">
        <f>IF(NOT(ISNUMBER($A785)),NA(),IF(OR($A785&lt;MIN(KW_TP!$A$2:$A$2501),$A785&gt;MAX(KW_TP!$A$2:$A$2501)),NA(),INDEX(KW_TP!$C$2:$C$2501,MATCH($A785,KW_TP!$A$2:$A$2501,1))))</f>
        <v/>
      </c>
      <c r="Q785" s="18">
        <f>IF(NOT(ISNUMBER($A785)),NA(),IFERROR(1*INDEX(BBG_Data!$J$2:$J$4000,MATCH($A785,BBG_Data!$I$2:$I$4000,0)),NA()))</f>
        <v/>
      </c>
      <c r="R785" s="18">
        <f>IF(NOT(ISNUMBER($A785)),NA(),IFERROR(1*INDEX(BBG_Data!$L$2:$L$4000,MATCH($A785,BBG_Data!$K$2:$K$4000,0)),NA()))</f>
        <v/>
      </c>
      <c r="S785" s="20">
        <f>IF(AND(ISNUMBER(B785),ISNUMBER(Q785),ISNUMBER(R785)),(B785-Q785-R785)*100,NA())</f>
        <v/>
      </c>
      <c r="T785" s="20">
        <f>IF(AND(ISNUMBER(B785),Settings!$B$17&gt;0),IF(ISNUMBER(INDEX($B:$B,Settings!$B$17)),(B785-INDEX($B:$B,Settings!$B$17))*100,NA()),NA())</f>
        <v/>
      </c>
      <c r="U785" s="20">
        <f>IF(AND(ISNUMBER(Q785),Settings!$B$17&gt;0),IF(ISNUMBER(INDEX($Q:$Q,Settings!$B$17)),(Q785-INDEX($Q:$Q,Settings!$B$17))*100,NA()),NA())</f>
        <v/>
      </c>
      <c r="V785" s="20">
        <f>IF(AND(ISNUMBER(R785),Settings!$B$17&gt;0),IF(ISNUMBER(INDEX($R:$R,Settings!$B$17)),(R785-INDEX($R:$R,Settings!$B$17))*100,NA()),NA())</f>
        <v/>
      </c>
      <c r="W785" s="20">
        <f>IF(AND(ISNUMBER(P785),Settings!$B$17&gt;0),IF(ISNUMBER(INDEX($P:$P,Settings!$B$17)),P785-INDEX($P:$P,Settings!$B$17),NA()),NA())</f>
        <v/>
      </c>
      <c r="X785" s="19">
        <f>IF(NOT(ISNUMBER($A785)),NA(),IF(OR($A785&lt;MIN(DKW_10Y!$A$2:$A$2918),$A785&gt;MAX(DKW_10Y!$A$2:$A$2918),Settings!$B$16&lt;MIN(DKW_10Y!$A$2:$A$2918)),NA(),(INDEX(DKW_10Y!$B$2:$B$2918,MATCH($A785,DKW_10Y!$A$2:$A$2918,1))-INDEX(DKW_10Y!$B$2:$B$2918,MATCH(Settings!$B$16,DKW_10Y!$A$2:$A$2918,1)))*100))</f>
        <v/>
      </c>
      <c r="Y785" s="19">
        <f>IF(NOT(ISNUMBER($A785)),NA(),IF(OR($A785&lt;MIN(DKW_10Y!$A$2:$A$2918),$A785&gt;MAX(DKW_10Y!$A$2:$A$2918),Settings!$B$16&lt;MIN(DKW_10Y!$A$2:$A$2918)),NA(),(INDEX(DKW_10Y!$C$2:$C$2918,MATCH($A785,DKW_10Y!$A$2:$A$2918,1))-INDEX(DKW_10Y!$C$2:$C$2918,MATCH(Settings!$B$16,DKW_10Y!$A$2:$A$2918,1)))*100))</f>
        <v/>
      </c>
      <c r="Z785" s="19">
        <f>IF(NOT(ISNUMBER($A785)),NA(),IF(OR($A785&lt;MIN(DKW_10Y!$A$2:$A$2918),$A785&gt;MAX(DKW_10Y!$A$2:$A$2918),Settings!$B$16&lt;MIN(DKW_10Y!$A$2:$A$2918)),NA(),(INDEX(DKW_10Y!$D$2:$D$2918,MATCH($A785,DKW_10Y!$A$2:$A$2918,1))-INDEX(DKW_10Y!$D$2:$D$2918,MATCH(Settings!$B$16,DKW_10Y!$A$2:$A$2918,1)))*100))</f>
        <v/>
      </c>
      <c r="AA785" s="19">
        <f>IF(NOT(ISNUMBER($A785)),NA(),IF(OR($A785&lt;MIN(DKW_10Y!$A$2:$A$2918),$A785&gt;MAX(DKW_10Y!$A$2:$A$2918),Settings!$B$16&lt;MIN(DKW_10Y!$A$2:$A$2918)),NA(),(INDEX(DKW_10Y!$E$2:$E$2918,MATCH($A785,DKW_10Y!$A$2:$A$2918,1))-INDEX(DKW_10Y!$E$2:$E$2918,MATCH(Settings!$B$16,DKW_10Y!$A$2:$A$2918,1)))*100))</f>
        <v/>
      </c>
      <c r="AB785" s="19">
        <f>IF(NOT(ISNUMBER($A785)),NA(),IF(OR($A785&lt;MIN(DKW_10Y!$A$2:$A$2918),$A785&gt;MAX(DKW_10Y!$A$2:$A$2918),Settings!$B$16&lt;MIN(DKW_10Y!$A$2:$A$2918)),NA(),(INDEX(DKW_10Y!$H$2:$H$2918,MATCH($A785,DKW_10Y!$A$2:$A$2918,1))-INDEX(DKW_10Y!$H$2:$H$2918,MATCH(Settings!$B$16,DKW_10Y!$A$2:$A$2918,1)))*100))</f>
        <v/>
      </c>
      <c r="AC785" s="18">
        <f>IF(NOT(ISNUMBER($A785)),NA(),IFERROR(1*INDEX(BBG_Data!$N$2:$N$4000,MATCH($A785,BBG_Data!$M$2:$M$4000,0)),NA()))</f>
        <v/>
      </c>
      <c r="AD785" s="18">
        <f>IF(NOT(ISNUMBER($A785)),NA(),IFERROR(1*INDEX(BBG_Data!$P$2:$P$4000,MATCH($A785,BBG_Data!$O$2:$O$4000,0)),NA()))</f>
        <v/>
      </c>
      <c r="AE785" s="18">
        <f>IF(NOT(ISNUMBER($A785)),NA(),IFERROR(1*INDEX(BBG_Data!$R$2:$R$4000,MATCH($A785,BBG_Data!$Q$2:$Q$4000,0)),NA()))</f>
        <v/>
      </c>
      <c r="AF785" s="20">
        <f>IF(AND(ISNUMBER(B785),ISNUMBER(AC785)),(B785-AC785)*100,NA())</f>
        <v/>
      </c>
      <c r="AG785" s="20">
        <f>IF(AND(ISNUMBER(AE785),ISNUMBER(AD785)),(AE785-AD785)*100,NA())</f>
        <v/>
      </c>
      <c r="AH785" s="19">
        <f>IF(NOT(ISNUMBER($A785)),NA(),IFERROR(INDEX(BBG_Data!$T$2:$T$4000,MATCH($A785,BBG_Data!$S$2:$S$4000,0))*Settings!$B$25,NA()))</f>
        <v/>
      </c>
      <c r="AI785" s="19">
        <f>IF(NOT(ISNUMBER($A785)),NA(),IFERROR(INDEX(BBG_Data!$V$2:$V$4000,MATCH($A785,BBG_Data!$U$2:$U$4000,0))*Settings!$B$25,NA()))</f>
        <v/>
      </c>
      <c r="AJ785" s="19">
        <f>IF(NOT(ISNUMBER($A785)),NA(),IFERROR(1*INDEX(BBG_Data!$X$2:$X$4000,MATCH($A785,BBG_Data!$W$2:$W$4000,0)),NA()))</f>
        <v/>
      </c>
      <c r="AK785" s="19">
        <f>IF(NOT(ISNUMBER($A785)),NA(),IFERROR(1*INDEX(BBG_Data!$Z$2:$Z$4000,MATCH($A785,BBG_Data!$Y$2:$Y$4000,0)),NA()))</f>
        <v/>
      </c>
    </row>
    <row r="786">
      <c r="A786" s="17">
        <f>IF(ISNUMBER(BBG_Data!A786),BBG_Data!A786,"")</f>
        <v/>
      </c>
      <c r="B786" s="18">
        <f>IF(AND(ISNUMBER($A786),ISNUMBER(BBG_Data!B786)),BBG_Data!B786,NA())</f>
        <v/>
      </c>
      <c r="C786" s="18">
        <f>IF(NOT(ISNUMBER($A786)),NA(),IFERROR(1*INDEX(BBG_Data!$D$2:$D$4000,MATCH($A786,BBG_Data!$C$2:$C$4000,0)),NA()))</f>
        <v/>
      </c>
      <c r="D786" s="19">
        <f>IF(NOT(ISNUMBER($A786)),NA(),IFERROR(1*INDEX(BBG_Data!$F$2:$F$4000,MATCH($A786,BBG_Data!$E$2:$E$4000,0)),NA()))</f>
        <v/>
      </c>
      <c r="E786" s="19">
        <f>IF(NOT(ISNUMBER($A786)),NA(),IFERROR(1*INDEX(BBG_Data!$H$2:$H$4000,MATCH($A786,BBG_Data!$G$2:$G$4000,0)),NA()))</f>
        <v/>
      </c>
      <c r="F786" s="20">
        <f>IF(AND(ISNUMBER(B786),ISNUMBER(B785)),IF(B786=B785,"",(B786-B785)*100),"")</f>
        <v/>
      </c>
      <c r="G786" s="20">
        <f>IF(AND(ISNUMBER(C786),ISNUMBER(C785)),IF(C786=C785,"",(C786-C785)*100),"")</f>
        <v/>
      </c>
      <c r="H786" s="20">
        <f>IF(OR(NOT(ISNUMBER($A786)),ROW()-2&lt;Settings!$B$11),NA(),IF(COUNT(OFFSET(F786,1-Settings!$B$11,0,Settings!$B$11,1))&lt;ROUNDUP(Settings!$B$11*Settings!$B$26,0),NA(),STDEV(OFFSET(F786,1-Settings!$B$11,0,Settings!$B$11,1))*SQRT(Settings!$B$13)))</f>
        <v/>
      </c>
      <c r="I786" s="20">
        <f>IF(OR(NOT(ISNUMBER($A786)),ROW()-2&lt;Settings!$B$12),NA(),IF(COUNT(OFFSET(F786,1-Settings!$B$12,0,Settings!$B$12,1))&lt;ROUNDUP(Settings!$B$12*Settings!$B$26,0),NA(),STDEV(OFFSET(F786,1-Settings!$B$12,0,Settings!$B$12,1))*SQRT(Settings!$B$13)))</f>
        <v/>
      </c>
      <c r="J786" s="20">
        <f>IF(OR(NOT(ISNUMBER($A786)),ROW()-2&lt;Settings!$B$11),NA(),IF(COUNT(OFFSET(G786,1-Settings!$B$11,0,Settings!$B$11,1))&lt;ROUNDUP(Settings!$B$11*Settings!$B$26,0),NA(),STDEV(OFFSET(G786,1-Settings!$B$11,0,Settings!$B$11,1))*SQRT(Settings!$B$13)))</f>
        <v/>
      </c>
      <c r="K786" s="20">
        <f>IF(OR(NOT(ISNUMBER($A786)),ROW()-2&lt;Settings!$B$12),NA(),IF(COUNT(OFFSET(G786,1-Settings!$B$12,0,Settings!$B$12,1))&lt;ROUNDUP(Settings!$B$12*Settings!$B$26,0),NA(),STDEV(OFFSET(G786,1-Settings!$B$12,0,Settings!$B$12,1))*SQRT(Settings!$B$13)))</f>
        <v/>
      </c>
      <c r="L786" s="20">
        <f>IF(AND(ISNUMBER(D786),ISNUMBER(H786)),D786-H786,NA())</f>
        <v/>
      </c>
      <c r="M786" s="20">
        <f>IF(AND(ISNUMBER(E786),ISNUMBER(K786)),E786-K786,NA())</f>
        <v/>
      </c>
      <c r="N786" s="20">
        <f>IF(NOT(ISNUMBER($A786)),NA(),IF(COUNT(OFFSET(G786,1,0,Settings!$B$12,1))&lt;ROUNDUP(Settings!$B$12*Settings!$B$26,0),NA(),STDEV(OFFSET(G786,1,0,Settings!$B$12,1))*SQRT(Settings!$B$13)))</f>
        <v/>
      </c>
      <c r="O786" s="20">
        <f>IF(AND(ISNUMBER(E786),ISNUMBER(N786)),E786-N786,NA())</f>
        <v/>
      </c>
      <c r="P786" s="19">
        <f>IF(NOT(ISNUMBER($A786)),NA(),IF(OR($A786&lt;MIN(KW_TP!$A$2:$A$2501),$A786&gt;MAX(KW_TP!$A$2:$A$2501)),NA(),INDEX(KW_TP!$C$2:$C$2501,MATCH($A786,KW_TP!$A$2:$A$2501,1))))</f>
        <v/>
      </c>
      <c r="Q786" s="18">
        <f>IF(NOT(ISNUMBER($A786)),NA(),IFERROR(1*INDEX(BBG_Data!$J$2:$J$4000,MATCH($A786,BBG_Data!$I$2:$I$4000,0)),NA()))</f>
        <v/>
      </c>
      <c r="R786" s="18">
        <f>IF(NOT(ISNUMBER($A786)),NA(),IFERROR(1*INDEX(BBG_Data!$L$2:$L$4000,MATCH($A786,BBG_Data!$K$2:$K$4000,0)),NA()))</f>
        <v/>
      </c>
      <c r="S786" s="20">
        <f>IF(AND(ISNUMBER(B786),ISNUMBER(Q786),ISNUMBER(R786)),(B786-Q786-R786)*100,NA())</f>
        <v/>
      </c>
      <c r="T786" s="20">
        <f>IF(AND(ISNUMBER(B786),Settings!$B$17&gt;0),IF(ISNUMBER(INDEX($B:$B,Settings!$B$17)),(B786-INDEX($B:$B,Settings!$B$17))*100,NA()),NA())</f>
        <v/>
      </c>
      <c r="U786" s="20">
        <f>IF(AND(ISNUMBER(Q786),Settings!$B$17&gt;0),IF(ISNUMBER(INDEX($Q:$Q,Settings!$B$17)),(Q786-INDEX($Q:$Q,Settings!$B$17))*100,NA()),NA())</f>
        <v/>
      </c>
      <c r="V786" s="20">
        <f>IF(AND(ISNUMBER(R786),Settings!$B$17&gt;0),IF(ISNUMBER(INDEX($R:$R,Settings!$B$17)),(R786-INDEX($R:$R,Settings!$B$17))*100,NA()),NA())</f>
        <v/>
      </c>
      <c r="W786" s="20">
        <f>IF(AND(ISNUMBER(P786),Settings!$B$17&gt;0),IF(ISNUMBER(INDEX($P:$P,Settings!$B$17)),P786-INDEX($P:$P,Settings!$B$17),NA()),NA())</f>
        <v/>
      </c>
      <c r="X786" s="19">
        <f>IF(NOT(ISNUMBER($A786)),NA(),IF(OR($A786&lt;MIN(DKW_10Y!$A$2:$A$2918),$A786&gt;MAX(DKW_10Y!$A$2:$A$2918),Settings!$B$16&lt;MIN(DKW_10Y!$A$2:$A$2918)),NA(),(INDEX(DKW_10Y!$B$2:$B$2918,MATCH($A786,DKW_10Y!$A$2:$A$2918,1))-INDEX(DKW_10Y!$B$2:$B$2918,MATCH(Settings!$B$16,DKW_10Y!$A$2:$A$2918,1)))*100))</f>
        <v/>
      </c>
      <c r="Y786" s="19">
        <f>IF(NOT(ISNUMBER($A786)),NA(),IF(OR($A786&lt;MIN(DKW_10Y!$A$2:$A$2918),$A786&gt;MAX(DKW_10Y!$A$2:$A$2918),Settings!$B$16&lt;MIN(DKW_10Y!$A$2:$A$2918)),NA(),(INDEX(DKW_10Y!$C$2:$C$2918,MATCH($A786,DKW_10Y!$A$2:$A$2918,1))-INDEX(DKW_10Y!$C$2:$C$2918,MATCH(Settings!$B$16,DKW_10Y!$A$2:$A$2918,1)))*100))</f>
        <v/>
      </c>
      <c r="Z786" s="19">
        <f>IF(NOT(ISNUMBER($A786)),NA(),IF(OR($A786&lt;MIN(DKW_10Y!$A$2:$A$2918),$A786&gt;MAX(DKW_10Y!$A$2:$A$2918),Settings!$B$16&lt;MIN(DKW_10Y!$A$2:$A$2918)),NA(),(INDEX(DKW_10Y!$D$2:$D$2918,MATCH($A786,DKW_10Y!$A$2:$A$2918,1))-INDEX(DKW_10Y!$D$2:$D$2918,MATCH(Settings!$B$16,DKW_10Y!$A$2:$A$2918,1)))*100))</f>
        <v/>
      </c>
      <c r="AA786" s="19">
        <f>IF(NOT(ISNUMBER($A786)),NA(),IF(OR($A786&lt;MIN(DKW_10Y!$A$2:$A$2918),$A786&gt;MAX(DKW_10Y!$A$2:$A$2918),Settings!$B$16&lt;MIN(DKW_10Y!$A$2:$A$2918)),NA(),(INDEX(DKW_10Y!$E$2:$E$2918,MATCH($A786,DKW_10Y!$A$2:$A$2918,1))-INDEX(DKW_10Y!$E$2:$E$2918,MATCH(Settings!$B$16,DKW_10Y!$A$2:$A$2918,1)))*100))</f>
        <v/>
      </c>
      <c r="AB786" s="19">
        <f>IF(NOT(ISNUMBER($A786)),NA(),IF(OR($A786&lt;MIN(DKW_10Y!$A$2:$A$2918),$A786&gt;MAX(DKW_10Y!$A$2:$A$2918),Settings!$B$16&lt;MIN(DKW_10Y!$A$2:$A$2918)),NA(),(INDEX(DKW_10Y!$H$2:$H$2918,MATCH($A786,DKW_10Y!$A$2:$A$2918,1))-INDEX(DKW_10Y!$H$2:$H$2918,MATCH(Settings!$B$16,DKW_10Y!$A$2:$A$2918,1)))*100))</f>
        <v/>
      </c>
      <c r="AC786" s="18">
        <f>IF(NOT(ISNUMBER($A786)),NA(),IFERROR(1*INDEX(BBG_Data!$N$2:$N$4000,MATCH($A786,BBG_Data!$M$2:$M$4000,0)),NA()))</f>
        <v/>
      </c>
      <c r="AD786" s="18">
        <f>IF(NOT(ISNUMBER($A786)),NA(),IFERROR(1*INDEX(BBG_Data!$P$2:$P$4000,MATCH($A786,BBG_Data!$O$2:$O$4000,0)),NA()))</f>
        <v/>
      </c>
      <c r="AE786" s="18">
        <f>IF(NOT(ISNUMBER($A786)),NA(),IFERROR(1*INDEX(BBG_Data!$R$2:$R$4000,MATCH($A786,BBG_Data!$Q$2:$Q$4000,0)),NA()))</f>
        <v/>
      </c>
      <c r="AF786" s="20">
        <f>IF(AND(ISNUMBER(B786),ISNUMBER(AC786)),(B786-AC786)*100,NA())</f>
        <v/>
      </c>
      <c r="AG786" s="20">
        <f>IF(AND(ISNUMBER(AE786),ISNUMBER(AD786)),(AE786-AD786)*100,NA())</f>
        <v/>
      </c>
      <c r="AH786" s="19">
        <f>IF(NOT(ISNUMBER($A786)),NA(),IFERROR(INDEX(BBG_Data!$T$2:$T$4000,MATCH($A786,BBG_Data!$S$2:$S$4000,0))*Settings!$B$25,NA()))</f>
        <v/>
      </c>
      <c r="AI786" s="19">
        <f>IF(NOT(ISNUMBER($A786)),NA(),IFERROR(INDEX(BBG_Data!$V$2:$V$4000,MATCH($A786,BBG_Data!$U$2:$U$4000,0))*Settings!$B$25,NA()))</f>
        <v/>
      </c>
      <c r="AJ786" s="19">
        <f>IF(NOT(ISNUMBER($A786)),NA(),IFERROR(1*INDEX(BBG_Data!$X$2:$X$4000,MATCH($A786,BBG_Data!$W$2:$W$4000,0)),NA()))</f>
        <v/>
      </c>
      <c r="AK786" s="19">
        <f>IF(NOT(ISNUMBER($A786)),NA(),IFERROR(1*INDEX(BBG_Data!$Z$2:$Z$4000,MATCH($A786,BBG_Data!$Y$2:$Y$4000,0)),NA()))</f>
        <v/>
      </c>
    </row>
    <row r="787">
      <c r="A787" s="17">
        <f>IF(ISNUMBER(BBG_Data!A787),BBG_Data!A787,"")</f>
        <v/>
      </c>
      <c r="B787" s="18">
        <f>IF(AND(ISNUMBER($A787),ISNUMBER(BBG_Data!B787)),BBG_Data!B787,NA())</f>
        <v/>
      </c>
      <c r="C787" s="18">
        <f>IF(NOT(ISNUMBER($A787)),NA(),IFERROR(1*INDEX(BBG_Data!$D$2:$D$4000,MATCH($A787,BBG_Data!$C$2:$C$4000,0)),NA()))</f>
        <v/>
      </c>
      <c r="D787" s="19">
        <f>IF(NOT(ISNUMBER($A787)),NA(),IFERROR(1*INDEX(BBG_Data!$F$2:$F$4000,MATCH($A787,BBG_Data!$E$2:$E$4000,0)),NA()))</f>
        <v/>
      </c>
      <c r="E787" s="19">
        <f>IF(NOT(ISNUMBER($A787)),NA(),IFERROR(1*INDEX(BBG_Data!$H$2:$H$4000,MATCH($A787,BBG_Data!$G$2:$G$4000,0)),NA()))</f>
        <v/>
      </c>
      <c r="F787" s="20">
        <f>IF(AND(ISNUMBER(B787),ISNUMBER(B786)),IF(B787=B786,"",(B787-B786)*100),"")</f>
        <v/>
      </c>
      <c r="G787" s="20">
        <f>IF(AND(ISNUMBER(C787),ISNUMBER(C786)),IF(C787=C786,"",(C787-C786)*100),"")</f>
        <v/>
      </c>
      <c r="H787" s="20">
        <f>IF(OR(NOT(ISNUMBER($A787)),ROW()-2&lt;Settings!$B$11),NA(),IF(COUNT(OFFSET(F787,1-Settings!$B$11,0,Settings!$B$11,1))&lt;ROUNDUP(Settings!$B$11*Settings!$B$26,0),NA(),STDEV(OFFSET(F787,1-Settings!$B$11,0,Settings!$B$11,1))*SQRT(Settings!$B$13)))</f>
        <v/>
      </c>
      <c r="I787" s="20">
        <f>IF(OR(NOT(ISNUMBER($A787)),ROW()-2&lt;Settings!$B$12),NA(),IF(COUNT(OFFSET(F787,1-Settings!$B$12,0,Settings!$B$12,1))&lt;ROUNDUP(Settings!$B$12*Settings!$B$26,0),NA(),STDEV(OFFSET(F787,1-Settings!$B$12,0,Settings!$B$12,1))*SQRT(Settings!$B$13)))</f>
        <v/>
      </c>
      <c r="J787" s="20">
        <f>IF(OR(NOT(ISNUMBER($A787)),ROW()-2&lt;Settings!$B$11),NA(),IF(COUNT(OFFSET(G787,1-Settings!$B$11,0,Settings!$B$11,1))&lt;ROUNDUP(Settings!$B$11*Settings!$B$26,0),NA(),STDEV(OFFSET(G787,1-Settings!$B$11,0,Settings!$B$11,1))*SQRT(Settings!$B$13)))</f>
        <v/>
      </c>
      <c r="K787" s="20">
        <f>IF(OR(NOT(ISNUMBER($A787)),ROW()-2&lt;Settings!$B$12),NA(),IF(COUNT(OFFSET(G787,1-Settings!$B$12,0,Settings!$B$12,1))&lt;ROUNDUP(Settings!$B$12*Settings!$B$26,0),NA(),STDEV(OFFSET(G787,1-Settings!$B$12,0,Settings!$B$12,1))*SQRT(Settings!$B$13)))</f>
        <v/>
      </c>
      <c r="L787" s="20">
        <f>IF(AND(ISNUMBER(D787),ISNUMBER(H787)),D787-H787,NA())</f>
        <v/>
      </c>
      <c r="M787" s="20">
        <f>IF(AND(ISNUMBER(E787),ISNUMBER(K787)),E787-K787,NA())</f>
        <v/>
      </c>
      <c r="N787" s="20">
        <f>IF(NOT(ISNUMBER($A787)),NA(),IF(COUNT(OFFSET(G787,1,0,Settings!$B$12,1))&lt;ROUNDUP(Settings!$B$12*Settings!$B$26,0),NA(),STDEV(OFFSET(G787,1,0,Settings!$B$12,1))*SQRT(Settings!$B$13)))</f>
        <v/>
      </c>
      <c r="O787" s="20">
        <f>IF(AND(ISNUMBER(E787),ISNUMBER(N787)),E787-N787,NA())</f>
        <v/>
      </c>
      <c r="P787" s="19">
        <f>IF(NOT(ISNUMBER($A787)),NA(),IF(OR($A787&lt;MIN(KW_TP!$A$2:$A$2501),$A787&gt;MAX(KW_TP!$A$2:$A$2501)),NA(),INDEX(KW_TP!$C$2:$C$2501,MATCH($A787,KW_TP!$A$2:$A$2501,1))))</f>
        <v/>
      </c>
      <c r="Q787" s="18">
        <f>IF(NOT(ISNUMBER($A787)),NA(),IFERROR(1*INDEX(BBG_Data!$J$2:$J$4000,MATCH($A787,BBG_Data!$I$2:$I$4000,0)),NA()))</f>
        <v/>
      </c>
      <c r="R787" s="18">
        <f>IF(NOT(ISNUMBER($A787)),NA(),IFERROR(1*INDEX(BBG_Data!$L$2:$L$4000,MATCH($A787,BBG_Data!$K$2:$K$4000,0)),NA()))</f>
        <v/>
      </c>
      <c r="S787" s="20">
        <f>IF(AND(ISNUMBER(B787),ISNUMBER(Q787),ISNUMBER(R787)),(B787-Q787-R787)*100,NA())</f>
        <v/>
      </c>
      <c r="T787" s="20">
        <f>IF(AND(ISNUMBER(B787),Settings!$B$17&gt;0),IF(ISNUMBER(INDEX($B:$B,Settings!$B$17)),(B787-INDEX($B:$B,Settings!$B$17))*100,NA()),NA())</f>
        <v/>
      </c>
      <c r="U787" s="20">
        <f>IF(AND(ISNUMBER(Q787),Settings!$B$17&gt;0),IF(ISNUMBER(INDEX($Q:$Q,Settings!$B$17)),(Q787-INDEX($Q:$Q,Settings!$B$17))*100,NA()),NA())</f>
        <v/>
      </c>
      <c r="V787" s="20">
        <f>IF(AND(ISNUMBER(R787),Settings!$B$17&gt;0),IF(ISNUMBER(INDEX($R:$R,Settings!$B$17)),(R787-INDEX($R:$R,Settings!$B$17))*100,NA()),NA())</f>
        <v/>
      </c>
      <c r="W787" s="20">
        <f>IF(AND(ISNUMBER(P787),Settings!$B$17&gt;0),IF(ISNUMBER(INDEX($P:$P,Settings!$B$17)),P787-INDEX($P:$P,Settings!$B$17),NA()),NA())</f>
        <v/>
      </c>
      <c r="X787" s="19">
        <f>IF(NOT(ISNUMBER($A787)),NA(),IF(OR($A787&lt;MIN(DKW_10Y!$A$2:$A$2918),$A787&gt;MAX(DKW_10Y!$A$2:$A$2918),Settings!$B$16&lt;MIN(DKW_10Y!$A$2:$A$2918)),NA(),(INDEX(DKW_10Y!$B$2:$B$2918,MATCH($A787,DKW_10Y!$A$2:$A$2918,1))-INDEX(DKW_10Y!$B$2:$B$2918,MATCH(Settings!$B$16,DKW_10Y!$A$2:$A$2918,1)))*100))</f>
        <v/>
      </c>
      <c r="Y787" s="19">
        <f>IF(NOT(ISNUMBER($A787)),NA(),IF(OR($A787&lt;MIN(DKW_10Y!$A$2:$A$2918),$A787&gt;MAX(DKW_10Y!$A$2:$A$2918),Settings!$B$16&lt;MIN(DKW_10Y!$A$2:$A$2918)),NA(),(INDEX(DKW_10Y!$C$2:$C$2918,MATCH($A787,DKW_10Y!$A$2:$A$2918,1))-INDEX(DKW_10Y!$C$2:$C$2918,MATCH(Settings!$B$16,DKW_10Y!$A$2:$A$2918,1)))*100))</f>
        <v/>
      </c>
      <c r="Z787" s="19">
        <f>IF(NOT(ISNUMBER($A787)),NA(),IF(OR($A787&lt;MIN(DKW_10Y!$A$2:$A$2918),$A787&gt;MAX(DKW_10Y!$A$2:$A$2918),Settings!$B$16&lt;MIN(DKW_10Y!$A$2:$A$2918)),NA(),(INDEX(DKW_10Y!$D$2:$D$2918,MATCH($A787,DKW_10Y!$A$2:$A$2918,1))-INDEX(DKW_10Y!$D$2:$D$2918,MATCH(Settings!$B$16,DKW_10Y!$A$2:$A$2918,1)))*100))</f>
        <v/>
      </c>
      <c r="AA787" s="19">
        <f>IF(NOT(ISNUMBER($A787)),NA(),IF(OR($A787&lt;MIN(DKW_10Y!$A$2:$A$2918),$A787&gt;MAX(DKW_10Y!$A$2:$A$2918),Settings!$B$16&lt;MIN(DKW_10Y!$A$2:$A$2918)),NA(),(INDEX(DKW_10Y!$E$2:$E$2918,MATCH($A787,DKW_10Y!$A$2:$A$2918,1))-INDEX(DKW_10Y!$E$2:$E$2918,MATCH(Settings!$B$16,DKW_10Y!$A$2:$A$2918,1)))*100))</f>
        <v/>
      </c>
      <c r="AB787" s="19">
        <f>IF(NOT(ISNUMBER($A787)),NA(),IF(OR($A787&lt;MIN(DKW_10Y!$A$2:$A$2918),$A787&gt;MAX(DKW_10Y!$A$2:$A$2918),Settings!$B$16&lt;MIN(DKW_10Y!$A$2:$A$2918)),NA(),(INDEX(DKW_10Y!$H$2:$H$2918,MATCH($A787,DKW_10Y!$A$2:$A$2918,1))-INDEX(DKW_10Y!$H$2:$H$2918,MATCH(Settings!$B$16,DKW_10Y!$A$2:$A$2918,1)))*100))</f>
        <v/>
      </c>
      <c r="AC787" s="18">
        <f>IF(NOT(ISNUMBER($A787)),NA(),IFERROR(1*INDEX(BBG_Data!$N$2:$N$4000,MATCH($A787,BBG_Data!$M$2:$M$4000,0)),NA()))</f>
        <v/>
      </c>
      <c r="AD787" s="18">
        <f>IF(NOT(ISNUMBER($A787)),NA(),IFERROR(1*INDEX(BBG_Data!$P$2:$P$4000,MATCH($A787,BBG_Data!$O$2:$O$4000,0)),NA()))</f>
        <v/>
      </c>
      <c r="AE787" s="18">
        <f>IF(NOT(ISNUMBER($A787)),NA(),IFERROR(1*INDEX(BBG_Data!$R$2:$R$4000,MATCH($A787,BBG_Data!$Q$2:$Q$4000,0)),NA()))</f>
        <v/>
      </c>
      <c r="AF787" s="20">
        <f>IF(AND(ISNUMBER(B787),ISNUMBER(AC787)),(B787-AC787)*100,NA())</f>
        <v/>
      </c>
      <c r="AG787" s="20">
        <f>IF(AND(ISNUMBER(AE787),ISNUMBER(AD787)),(AE787-AD787)*100,NA())</f>
        <v/>
      </c>
      <c r="AH787" s="19">
        <f>IF(NOT(ISNUMBER($A787)),NA(),IFERROR(INDEX(BBG_Data!$T$2:$T$4000,MATCH($A787,BBG_Data!$S$2:$S$4000,0))*Settings!$B$25,NA()))</f>
        <v/>
      </c>
      <c r="AI787" s="19">
        <f>IF(NOT(ISNUMBER($A787)),NA(),IFERROR(INDEX(BBG_Data!$V$2:$V$4000,MATCH($A787,BBG_Data!$U$2:$U$4000,0))*Settings!$B$25,NA()))</f>
        <v/>
      </c>
      <c r="AJ787" s="19">
        <f>IF(NOT(ISNUMBER($A787)),NA(),IFERROR(1*INDEX(BBG_Data!$X$2:$X$4000,MATCH($A787,BBG_Data!$W$2:$W$4000,0)),NA()))</f>
        <v/>
      </c>
      <c r="AK787" s="19">
        <f>IF(NOT(ISNUMBER($A787)),NA(),IFERROR(1*INDEX(BBG_Data!$Z$2:$Z$4000,MATCH($A787,BBG_Data!$Y$2:$Y$4000,0)),NA()))</f>
        <v/>
      </c>
    </row>
    <row r="788">
      <c r="A788" s="17">
        <f>IF(ISNUMBER(BBG_Data!A788),BBG_Data!A788,"")</f>
        <v/>
      </c>
      <c r="B788" s="18">
        <f>IF(AND(ISNUMBER($A788),ISNUMBER(BBG_Data!B788)),BBG_Data!B788,NA())</f>
        <v/>
      </c>
      <c r="C788" s="18">
        <f>IF(NOT(ISNUMBER($A788)),NA(),IFERROR(1*INDEX(BBG_Data!$D$2:$D$4000,MATCH($A788,BBG_Data!$C$2:$C$4000,0)),NA()))</f>
        <v/>
      </c>
      <c r="D788" s="19">
        <f>IF(NOT(ISNUMBER($A788)),NA(),IFERROR(1*INDEX(BBG_Data!$F$2:$F$4000,MATCH($A788,BBG_Data!$E$2:$E$4000,0)),NA()))</f>
        <v/>
      </c>
      <c r="E788" s="19">
        <f>IF(NOT(ISNUMBER($A788)),NA(),IFERROR(1*INDEX(BBG_Data!$H$2:$H$4000,MATCH($A788,BBG_Data!$G$2:$G$4000,0)),NA()))</f>
        <v/>
      </c>
      <c r="F788" s="20">
        <f>IF(AND(ISNUMBER(B788),ISNUMBER(B787)),IF(B788=B787,"",(B788-B787)*100),"")</f>
        <v/>
      </c>
      <c r="G788" s="20">
        <f>IF(AND(ISNUMBER(C788),ISNUMBER(C787)),IF(C788=C787,"",(C788-C787)*100),"")</f>
        <v/>
      </c>
      <c r="H788" s="20">
        <f>IF(OR(NOT(ISNUMBER($A788)),ROW()-2&lt;Settings!$B$11),NA(),IF(COUNT(OFFSET(F788,1-Settings!$B$11,0,Settings!$B$11,1))&lt;ROUNDUP(Settings!$B$11*Settings!$B$26,0),NA(),STDEV(OFFSET(F788,1-Settings!$B$11,0,Settings!$B$11,1))*SQRT(Settings!$B$13)))</f>
        <v/>
      </c>
      <c r="I788" s="20">
        <f>IF(OR(NOT(ISNUMBER($A788)),ROW()-2&lt;Settings!$B$12),NA(),IF(COUNT(OFFSET(F788,1-Settings!$B$12,0,Settings!$B$12,1))&lt;ROUNDUP(Settings!$B$12*Settings!$B$26,0),NA(),STDEV(OFFSET(F788,1-Settings!$B$12,0,Settings!$B$12,1))*SQRT(Settings!$B$13)))</f>
        <v/>
      </c>
      <c r="J788" s="20">
        <f>IF(OR(NOT(ISNUMBER($A788)),ROW()-2&lt;Settings!$B$11),NA(),IF(COUNT(OFFSET(G788,1-Settings!$B$11,0,Settings!$B$11,1))&lt;ROUNDUP(Settings!$B$11*Settings!$B$26,0),NA(),STDEV(OFFSET(G788,1-Settings!$B$11,0,Settings!$B$11,1))*SQRT(Settings!$B$13)))</f>
        <v/>
      </c>
      <c r="K788" s="20">
        <f>IF(OR(NOT(ISNUMBER($A788)),ROW()-2&lt;Settings!$B$12),NA(),IF(COUNT(OFFSET(G788,1-Settings!$B$12,0,Settings!$B$12,1))&lt;ROUNDUP(Settings!$B$12*Settings!$B$26,0),NA(),STDEV(OFFSET(G788,1-Settings!$B$12,0,Settings!$B$12,1))*SQRT(Settings!$B$13)))</f>
        <v/>
      </c>
      <c r="L788" s="20">
        <f>IF(AND(ISNUMBER(D788),ISNUMBER(H788)),D788-H788,NA())</f>
        <v/>
      </c>
      <c r="M788" s="20">
        <f>IF(AND(ISNUMBER(E788),ISNUMBER(K788)),E788-K788,NA())</f>
        <v/>
      </c>
      <c r="N788" s="20">
        <f>IF(NOT(ISNUMBER($A788)),NA(),IF(COUNT(OFFSET(G788,1,0,Settings!$B$12,1))&lt;ROUNDUP(Settings!$B$12*Settings!$B$26,0),NA(),STDEV(OFFSET(G788,1,0,Settings!$B$12,1))*SQRT(Settings!$B$13)))</f>
        <v/>
      </c>
      <c r="O788" s="20">
        <f>IF(AND(ISNUMBER(E788),ISNUMBER(N788)),E788-N788,NA())</f>
        <v/>
      </c>
      <c r="P788" s="19">
        <f>IF(NOT(ISNUMBER($A788)),NA(),IF(OR($A788&lt;MIN(KW_TP!$A$2:$A$2501),$A788&gt;MAX(KW_TP!$A$2:$A$2501)),NA(),INDEX(KW_TP!$C$2:$C$2501,MATCH($A788,KW_TP!$A$2:$A$2501,1))))</f>
        <v/>
      </c>
      <c r="Q788" s="18">
        <f>IF(NOT(ISNUMBER($A788)),NA(),IFERROR(1*INDEX(BBG_Data!$J$2:$J$4000,MATCH($A788,BBG_Data!$I$2:$I$4000,0)),NA()))</f>
        <v/>
      </c>
      <c r="R788" s="18">
        <f>IF(NOT(ISNUMBER($A788)),NA(),IFERROR(1*INDEX(BBG_Data!$L$2:$L$4000,MATCH($A788,BBG_Data!$K$2:$K$4000,0)),NA()))</f>
        <v/>
      </c>
      <c r="S788" s="20">
        <f>IF(AND(ISNUMBER(B788),ISNUMBER(Q788),ISNUMBER(R788)),(B788-Q788-R788)*100,NA())</f>
        <v/>
      </c>
      <c r="T788" s="20">
        <f>IF(AND(ISNUMBER(B788),Settings!$B$17&gt;0),IF(ISNUMBER(INDEX($B:$B,Settings!$B$17)),(B788-INDEX($B:$B,Settings!$B$17))*100,NA()),NA())</f>
        <v/>
      </c>
      <c r="U788" s="20">
        <f>IF(AND(ISNUMBER(Q788),Settings!$B$17&gt;0),IF(ISNUMBER(INDEX($Q:$Q,Settings!$B$17)),(Q788-INDEX($Q:$Q,Settings!$B$17))*100,NA()),NA())</f>
        <v/>
      </c>
      <c r="V788" s="20">
        <f>IF(AND(ISNUMBER(R788),Settings!$B$17&gt;0),IF(ISNUMBER(INDEX($R:$R,Settings!$B$17)),(R788-INDEX($R:$R,Settings!$B$17))*100,NA()),NA())</f>
        <v/>
      </c>
      <c r="W788" s="20">
        <f>IF(AND(ISNUMBER(P788),Settings!$B$17&gt;0),IF(ISNUMBER(INDEX($P:$P,Settings!$B$17)),P788-INDEX($P:$P,Settings!$B$17),NA()),NA())</f>
        <v/>
      </c>
      <c r="X788" s="19">
        <f>IF(NOT(ISNUMBER($A788)),NA(),IF(OR($A788&lt;MIN(DKW_10Y!$A$2:$A$2918),$A788&gt;MAX(DKW_10Y!$A$2:$A$2918),Settings!$B$16&lt;MIN(DKW_10Y!$A$2:$A$2918)),NA(),(INDEX(DKW_10Y!$B$2:$B$2918,MATCH($A788,DKW_10Y!$A$2:$A$2918,1))-INDEX(DKW_10Y!$B$2:$B$2918,MATCH(Settings!$B$16,DKW_10Y!$A$2:$A$2918,1)))*100))</f>
        <v/>
      </c>
      <c r="Y788" s="19">
        <f>IF(NOT(ISNUMBER($A788)),NA(),IF(OR($A788&lt;MIN(DKW_10Y!$A$2:$A$2918),$A788&gt;MAX(DKW_10Y!$A$2:$A$2918),Settings!$B$16&lt;MIN(DKW_10Y!$A$2:$A$2918)),NA(),(INDEX(DKW_10Y!$C$2:$C$2918,MATCH($A788,DKW_10Y!$A$2:$A$2918,1))-INDEX(DKW_10Y!$C$2:$C$2918,MATCH(Settings!$B$16,DKW_10Y!$A$2:$A$2918,1)))*100))</f>
        <v/>
      </c>
      <c r="Z788" s="19">
        <f>IF(NOT(ISNUMBER($A788)),NA(),IF(OR($A788&lt;MIN(DKW_10Y!$A$2:$A$2918),$A788&gt;MAX(DKW_10Y!$A$2:$A$2918),Settings!$B$16&lt;MIN(DKW_10Y!$A$2:$A$2918)),NA(),(INDEX(DKW_10Y!$D$2:$D$2918,MATCH($A788,DKW_10Y!$A$2:$A$2918,1))-INDEX(DKW_10Y!$D$2:$D$2918,MATCH(Settings!$B$16,DKW_10Y!$A$2:$A$2918,1)))*100))</f>
        <v/>
      </c>
      <c r="AA788" s="19">
        <f>IF(NOT(ISNUMBER($A788)),NA(),IF(OR($A788&lt;MIN(DKW_10Y!$A$2:$A$2918),$A788&gt;MAX(DKW_10Y!$A$2:$A$2918),Settings!$B$16&lt;MIN(DKW_10Y!$A$2:$A$2918)),NA(),(INDEX(DKW_10Y!$E$2:$E$2918,MATCH($A788,DKW_10Y!$A$2:$A$2918,1))-INDEX(DKW_10Y!$E$2:$E$2918,MATCH(Settings!$B$16,DKW_10Y!$A$2:$A$2918,1)))*100))</f>
        <v/>
      </c>
      <c r="AB788" s="19">
        <f>IF(NOT(ISNUMBER($A788)),NA(),IF(OR($A788&lt;MIN(DKW_10Y!$A$2:$A$2918),$A788&gt;MAX(DKW_10Y!$A$2:$A$2918),Settings!$B$16&lt;MIN(DKW_10Y!$A$2:$A$2918)),NA(),(INDEX(DKW_10Y!$H$2:$H$2918,MATCH($A788,DKW_10Y!$A$2:$A$2918,1))-INDEX(DKW_10Y!$H$2:$H$2918,MATCH(Settings!$B$16,DKW_10Y!$A$2:$A$2918,1)))*100))</f>
        <v/>
      </c>
      <c r="AC788" s="18">
        <f>IF(NOT(ISNUMBER($A788)),NA(),IFERROR(1*INDEX(BBG_Data!$N$2:$N$4000,MATCH($A788,BBG_Data!$M$2:$M$4000,0)),NA()))</f>
        <v/>
      </c>
      <c r="AD788" s="18">
        <f>IF(NOT(ISNUMBER($A788)),NA(),IFERROR(1*INDEX(BBG_Data!$P$2:$P$4000,MATCH($A788,BBG_Data!$O$2:$O$4000,0)),NA()))</f>
        <v/>
      </c>
      <c r="AE788" s="18">
        <f>IF(NOT(ISNUMBER($A788)),NA(),IFERROR(1*INDEX(BBG_Data!$R$2:$R$4000,MATCH($A788,BBG_Data!$Q$2:$Q$4000,0)),NA()))</f>
        <v/>
      </c>
      <c r="AF788" s="20">
        <f>IF(AND(ISNUMBER(B788),ISNUMBER(AC788)),(B788-AC788)*100,NA())</f>
        <v/>
      </c>
      <c r="AG788" s="20">
        <f>IF(AND(ISNUMBER(AE788),ISNUMBER(AD788)),(AE788-AD788)*100,NA())</f>
        <v/>
      </c>
      <c r="AH788" s="19">
        <f>IF(NOT(ISNUMBER($A788)),NA(),IFERROR(INDEX(BBG_Data!$T$2:$T$4000,MATCH($A788,BBG_Data!$S$2:$S$4000,0))*Settings!$B$25,NA()))</f>
        <v/>
      </c>
      <c r="AI788" s="19">
        <f>IF(NOT(ISNUMBER($A788)),NA(),IFERROR(INDEX(BBG_Data!$V$2:$V$4000,MATCH($A788,BBG_Data!$U$2:$U$4000,0))*Settings!$B$25,NA()))</f>
        <v/>
      </c>
      <c r="AJ788" s="19">
        <f>IF(NOT(ISNUMBER($A788)),NA(),IFERROR(1*INDEX(BBG_Data!$X$2:$X$4000,MATCH($A788,BBG_Data!$W$2:$W$4000,0)),NA()))</f>
        <v/>
      </c>
      <c r="AK788" s="19">
        <f>IF(NOT(ISNUMBER($A788)),NA(),IFERROR(1*INDEX(BBG_Data!$Z$2:$Z$4000,MATCH($A788,BBG_Data!$Y$2:$Y$4000,0)),NA()))</f>
        <v/>
      </c>
    </row>
    <row r="789">
      <c r="A789" s="17">
        <f>IF(ISNUMBER(BBG_Data!A789),BBG_Data!A789,"")</f>
        <v/>
      </c>
      <c r="B789" s="18">
        <f>IF(AND(ISNUMBER($A789),ISNUMBER(BBG_Data!B789)),BBG_Data!B789,NA())</f>
        <v/>
      </c>
      <c r="C789" s="18">
        <f>IF(NOT(ISNUMBER($A789)),NA(),IFERROR(1*INDEX(BBG_Data!$D$2:$D$4000,MATCH($A789,BBG_Data!$C$2:$C$4000,0)),NA()))</f>
        <v/>
      </c>
      <c r="D789" s="19">
        <f>IF(NOT(ISNUMBER($A789)),NA(),IFERROR(1*INDEX(BBG_Data!$F$2:$F$4000,MATCH($A789,BBG_Data!$E$2:$E$4000,0)),NA()))</f>
        <v/>
      </c>
      <c r="E789" s="19">
        <f>IF(NOT(ISNUMBER($A789)),NA(),IFERROR(1*INDEX(BBG_Data!$H$2:$H$4000,MATCH($A789,BBG_Data!$G$2:$G$4000,0)),NA()))</f>
        <v/>
      </c>
      <c r="F789" s="20">
        <f>IF(AND(ISNUMBER(B789),ISNUMBER(B788)),IF(B789=B788,"",(B789-B788)*100),"")</f>
        <v/>
      </c>
      <c r="G789" s="20">
        <f>IF(AND(ISNUMBER(C789),ISNUMBER(C788)),IF(C789=C788,"",(C789-C788)*100),"")</f>
        <v/>
      </c>
      <c r="H789" s="20">
        <f>IF(OR(NOT(ISNUMBER($A789)),ROW()-2&lt;Settings!$B$11),NA(),IF(COUNT(OFFSET(F789,1-Settings!$B$11,0,Settings!$B$11,1))&lt;ROUNDUP(Settings!$B$11*Settings!$B$26,0),NA(),STDEV(OFFSET(F789,1-Settings!$B$11,0,Settings!$B$11,1))*SQRT(Settings!$B$13)))</f>
        <v/>
      </c>
      <c r="I789" s="20">
        <f>IF(OR(NOT(ISNUMBER($A789)),ROW()-2&lt;Settings!$B$12),NA(),IF(COUNT(OFFSET(F789,1-Settings!$B$12,0,Settings!$B$12,1))&lt;ROUNDUP(Settings!$B$12*Settings!$B$26,0),NA(),STDEV(OFFSET(F789,1-Settings!$B$12,0,Settings!$B$12,1))*SQRT(Settings!$B$13)))</f>
        <v/>
      </c>
      <c r="J789" s="20">
        <f>IF(OR(NOT(ISNUMBER($A789)),ROW()-2&lt;Settings!$B$11),NA(),IF(COUNT(OFFSET(G789,1-Settings!$B$11,0,Settings!$B$11,1))&lt;ROUNDUP(Settings!$B$11*Settings!$B$26,0),NA(),STDEV(OFFSET(G789,1-Settings!$B$11,0,Settings!$B$11,1))*SQRT(Settings!$B$13)))</f>
        <v/>
      </c>
      <c r="K789" s="20">
        <f>IF(OR(NOT(ISNUMBER($A789)),ROW()-2&lt;Settings!$B$12),NA(),IF(COUNT(OFFSET(G789,1-Settings!$B$12,0,Settings!$B$12,1))&lt;ROUNDUP(Settings!$B$12*Settings!$B$26,0),NA(),STDEV(OFFSET(G789,1-Settings!$B$12,0,Settings!$B$12,1))*SQRT(Settings!$B$13)))</f>
        <v/>
      </c>
      <c r="L789" s="20">
        <f>IF(AND(ISNUMBER(D789),ISNUMBER(H789)),D789-H789,NA())</f>
        <v/>
      </c>
      <c r="M789" s="20">
        <f>IF(AND(ISNUMBER(E789),ISNUMBER(K789)),E789-K789,NA())</f>
        <v/>
      </c>
      <c r="N789" s="20">
        <f>IF(NOT(ISNUMBER($A789)),NA(),IF(COUNT(OFFSET(G789,1,0,Settings!$B$12,1))&lt;ROUNDUP(Settings!$B$12*Settings!$B$26,0),NA(),STDEV(OFFSET(G789,1,0,Settings!$B$12,1))*SQRT(Settings!$B$13)))</f>
        <v/>
      </c>
      <c r="O789" s="20">
        <f>IF(AND(ISNUMBER(E789),ISNUMBER(N789)),E789-N789,NA())</f>
        <v/>
      </c>
      <c r="P789" s="19">
        <f>IF(NOT(ISNUMBER($A789)),NA(),IF(OR($A789&lt;MIN(KW_TP!$A$2:$A$2501),$A789&gt;MAX(KW_TP!$A$2:$A$2501)),NA(),INDEX(KW_TP!$C$2:$C$2501,MATCH($A789,KW_TP!$A$2:$A$2501,1))))</f>
        <v/>
      </c>
      <c r="Q789" s="18">
        <f>IF(NOT(ISNUMBER($A789)),NA(),IFERROR(1*INDEX(BBG_Data!$J$2:$J$4000,MATCH($A789,BBG_Data!$I$2:$I$4000,0)),NA()))</f>
        <v/>
      </c>
      <c r="R789" s="18">
        <f>IF(NOT(ISNUMBER($A789)),NA(),IFERROR(1*INDEX(BBG_Data!$L$2:$L$4000,MATCH($A789,BBG_Data!$K$2:$K$4000,0)),NA()))</f>
        <v/>
      </c>
      <c r="S789" s="20">
        <f>IF(AND(ISNUMBER(B789),ISNUMBER(Q789),ISNUMBER(R789)),(B789-Q789-R789)*100,NA())</f>
        <v/>
      </c>
      <c r="T789" s="20">
        <f>IF(AND(ISNUMBER(B789),Settings!$B$17&gt;0),IF(ISNUMBER(INDEX($B:$B,Settings!$B$17)),(B789-INDEX($B:$B,Settings!$B$17))*100,NA()),NA())</f>
        <v/>
      </c>
      <c r="U789" s="20">
        <f>IF(AND(ISNUMBER(Q789),Settings!$B$17&gt;0),IF(ISNUMBER(INDEX($Q:$Q,Settings!$B$17)),(Q789-INDEX($Q:$Q,Settings!$B$17))*100,NA()),NA())</f>
        <v/>
      </c>
      <c r="V789" s="20">
        <f>IF(AND(ISNUMBER(R789),Settings!$B$17&gt;0),IF(ISNUMBER(INDEX($R:$R,Settings!$B$17)),(R789-INDEX($R:$R,Settings!$B$17))*100,NA()),NA())</f>
        <v/>
      </c>
      <c r="W789" s="20">
        <f>IF(AND(ISNUMBER(P789),Settings!$B$17&gt;0),IF(ISNUMBER(INDEX($P:$P,Settings!$B$17)),P789-INDEX($P:$P,Settings!$B$17),NA()),NA())</f>
        <v/>
      </c>
      <c r="X789" s="19">
        <f>IF(NOT(ISNUMBER($A789)),NA(),IF(OR($A789&lt;MIN(DKW_10Y!$A$2:$A$2918),$A789&gt;MAX(DKW_10Y!$A$2:$A$2918),Settings!$B$16&lt;MIN(DKW_10Y!$A$2:$A$2918)),NA(),(INDEX(DKW_10Y!$B$2:$B$2918,MATCH($A789,DKW_10Y!$A$2:$A$2918,1))-INDEX(DKW_10Y!$B$2:$B$2918,MATCH(Settings!$B$16,DKW_10Y!$A$2:$A$2918,1)))*100))</f>
        <v/>
      </c>
      <c r="Y789" s="19">
        <f>IF(NOT(ISNUMBER($A789)),NA(),IF(OR($A789&lt;MIN(DKW_10Y!$A$2:$A$2918),$A789&gt;MAX(DKW_10Y!$A$2:$A$2918),Settings!$B$16&lt;MIN(DKW_10Y!$A$2:$A$2918)),NA(),(INDEX(DKW_10Y!$C$2:$C$2918,MATCH($A789,DKW_10Y!$A$2:$A$2918,1))-INDEX(DKW_10Y!$C$2:$C$2918,MATCH(Settings!$B$16,DKW_10Y!$A$2:$A$2918,1)))*100))</f>
        <v/>
      </c>
      <c r="Z789" s="19">
        <f>IF(NOT(ISNUMBER($A789)),NA(),IF(OR($A789&lt;MIN(DKW_10Y!$A$2:$A$2918),$A789&gt;MAX(DKW_10Y!$A$2:$A$2918),Settings!$B$16&lt;MIN(DKW_10Y!$A$2:$A$2918)),NA(),(INDEX(DKW_10Y!$D$2:$D$2918,MATCH($A789,DKW_10Y!$A$2:$A$2918,1))-INDEX(DKW_10Y!$D$2:$D$2918,MATCH(Settings!$B$16,DKW_10Y!$A$2:$A$2918,1)))*100))</f>
        <v/>
      </c>
      <c r="AA789" s="19">
        <f>IF(NOT(ISNUMBER($A789)),NA(),IF(OR($A789&lt;MIN(DKW_10Y!$A$2:$A$2918),$A789&gt;MAX(DKW_10Y!$A$2:$A$2918),Settings!$B$16&lt;MIN(DKW_10Y!$A$2:$A$2918)),NA(),(INDEX(DKW_10Y!$E$2:$E$2918,MATCH($A789,DKW_10Y!$A$2:$A$2918,1))-INDEX(DKW_10Y!$E$2:$E$2918,MATCH(Settings!$B$16,DKW_10Y!$A$2:$A$2918,1)))*100))</f>
        <v/>
      </c>
      <c r="AB789" s="19">
        <f>IF(NOT(ISNUMBER($A789)),NA(),IF(OR($A789&lt;MIN(DKW_10Y!$A$2:$A$2918),$A789&gt;MAX(DKW_10Y!$A$2:$A$2918),Settings!$B$16&lt;MIN(DKW_10Y!$A$2:$A$2918)),NA(),(INDEX(DKW_10Y!$H$2:$H$2918,MATCH($A789,DKW_10Y!$A$2:$A$2918,1))-INDEX(DKW_10Y!$H$2:$H$2918,MATCH(Settings!$B$16,DKW_10Y!$A$2:$A$2918,1)))*100))</f>
        <v/>
      </c>
      <c r="AC789" s="18">
        <f>IF(NOT(ISNUMBER($A789)),NA(),IFERROR(1*INDEX(BBG_Data!$N$2:$N$4000,MATCH($A789,BBG_Data!$M$2:$M$4000,0)),NA()))</f>
        <v/>
      </c>
      <c r="AD789" s="18">
        <f>IF(NOT(ISNUMBER($A789)),NA(),IFERROR(1*INDEX(BBG_Data!$P$2:$P$4000,MATCH($A789,BBG_Data!$O$2:$O$4000,0)),NA()))</f>
        <v/>
      </c>
      <c r="AE789" s="18">
        <f>IF(NOT(ISNUMBER($A789)),NA(),IFERROR(1*INDEX(BBG_Data!$R$2:$R$4000,MATCH($A789,BBG_Data!$Q$2:$Q$4000,0)),NA()))</f>
        <v/>
      </c>
      <c r="AF789" s="20">
        <f>IF(AND(ISNUMBER(B789),ISNUMBER(AC789)),(B789-AC789)*100,NA())</f>
        <v/>
      </c>
      <c r="AG789" s="20">
        <f>IF(AND(ISNUMBER(AE789),ISNUMBER(AD789)),(AE789-AD789)*100,NA())</f>
        <v/>
      </c>
      <c r="AH789" s="19">
        <f>IF(NOT(ISNUMBER($A789)),NA(),IFERROR(INDEX(BBG_Data!$T$2:$T$4000,MATCH($A789,BBG_Data!$S$2:$S$4000,0))*Settings!$B$25,NA()))</f>
        <v/>
      </c>
      <c r="AI789" s="19">
        <f>IF(NOT(ISNUMBER($A789)),NA(),IFERROR(INDEX(BBG_Data!$V$2:$V$4000,MATCH($A789,BBG_Data!$U$2:$U$4000,0))*Settings!$B$25,NA()))</f>
        <v/>
      </c>
      <c r="AJ789" s="19">
        <f>IF(NOT(ISNUMBER($A789)),NA(),IFERROR(1*INDEX(BBG_Data!$X$2:$X$4000,MATCH($A789,BBG_Data!$W$2:$W$4000,0)),NA()))</f>
        <v/>
      </c>
      <c r="AK789" s="19">
        <f>IF(NOT(ISNUMBER($A789)),NA(),IFERROR(1*INDEX(BBG_Data!$Z$2:$Z$4000,MATCH($A789,BBG_Data!$Y$2:$Y$4000,0)),NA()))</f>
        <v/>
      </c>
    </row>
    <row r="790">
      <c r="A790" s="17">
        <f>IF(ISNUMBER(BBG_Data!A790),BBG_Data!A790,"")</f>
        <v/>
      </c>
      <c r="B790" s="18">
        <f>IF(AND(ISNUMBER($A790),ISNUMBER(BBG_Data!B790)),BBG_Data!B790,NA())</f>
        <v/>
      </c>
      <c r="C790" s="18">
        <f>IF(NOT(ISNUMBER($A790)),NA(),IFERROR(1*INDEX(BBG_Data!$D$2:$D$4000,MATCH($A790,BBG_Data!$C$2:$C$4000,0)),NA()))</f>
        <v/>
      </c>
      <c r="D790" s="19">
        <f>IF(NOT(ISNUMBER($A790)),NA(),IFERROR(1*INDEX(BBG_Data!$F$2:$F$4000,MATCH($A790,BBG_Data!$E$2:$E$4000,0)),NA()))</f>
        <v/>
      </c>
      <c r="E790" s="19">
        <f>IF(NOT(ISNUMBER($A790)),NA(),IFERROR(1*INDEX(BBG_Data!$H$2:$H$4000,MATCH($A790,BBG_Data!$G$2:$G$4000,0)),NA()))</f>
        <v/>
      </c>
      <c r="F790" s="20">
        <f>IF(AND(ISNUMBER(B790),ISNUMBER(B789)),IF(B790=B789,"",(B790-B789)*100),"")</f>
        <v/>
      </c>
      <c r="G790" s="20">
        <f>IF(AND(ISNUMBER(C790),ISNUMBER(C789)),IF(C790=C789,"",(C790-C789)*100),"")</f>
        <v/>
      </c>
      <c r="H790" s="20">
        <f>IF(OR(NOT(ISNUMBER($A790)),ROW()-2&lt;Settings!$B$11),NA(),IF(COUNT(OFFSET(F790,1-Settings!$B$11,0,Settings!$B$11,1))&lt;ROUNDUP(Settings!$B$11*Settings!$B$26,0),NA(),STDEV(OFFSET(F790,1-Settings!$B$11,0,Settings!$B$11,1))*SQRT(Settings!$B$13)))</f>
        <v/>
      </c>
      <c r="I790" s="20">
        <f>IF(OR(NOT(ISNUMBER($A790)),ROW()-2&lt;Settings!$B$12),NA(),IF(COUNT(OFFSET(F790,1-Settings!$B$12,0,Settings!$B$12,1))&lt;ROUNDUP(Settings!$B$12*Settings!$B$26,0),NA(),STDEV(OFFSET(F790,1-Settings!$B$12,0,Settings!$B$12,1))*SQRT(Settings!$B$13)))</f>
        <v/>
      </c>
      <c r="J790" s="20">
        <f>IF(OR(NOT(ISNUMBER($A790)),ROW()-2&lt;Settings!$B$11),NA(),IF(COUNT(OFFSET(G790,1-Settings!$B$11,0,Settings!$B$11,1))&lt;ROUNDUP(Settings!$B$11*Settings!$B$26,0),NA(),STDEV(OFFSET(G790,1-Settings!$B$11,0,Settings!$B$11,1))*SQRT(Settings!$B$13)))</f>
        <v/>
      </c>
      <c r="K790" s="20">
        <f>IF(OR(NOT(ISNUMBER($A790)),ROW()-2&lt;Settings!$B$12),NA(),IF(COUNT(OFFSET(G790,1-Settings!$B$12,0,Settings!$B$12,1))&lt;ROUNDUP(Settings!$B$12*Settings!$B$26,0),NA(),STDEV(OFFSET(G790,1-Settings!$B$12,0,Settings!$B$12,1))*SQRT(Settings!$B$13)))</f>
        <v/>
      </c>
      <c r="L790" s="20">
        <f>IF(AND(ISNUMBER(D790),ISNUMBER(H790)),D790-H790,NA())</f>
        <v/>
      </c>
      <c r="M790" s="20">
        <f>IF(AND(ISNUMBER(E790),ISNUMBER(K790)),E790-K790,NA())</f>
        <v/>
      </c>
      <c r="N790" s="20">
        <f>IF(NOT(ISNUMBER($A790)),NA(),IF(COUNT(OFFSET(G790,1,0,Settings!$B$12,1))&lt;ROUNDUP(Settings!$B$12*Settings!$B$26,0),NA(),STDEV(OFFSET(G790,1,0,Settings!$B$12,1))*SQRT(Settings!$B$13)))</f>
        <v/>
      </c>
      <c r="O790" s="20">
        <f>IF(AND(ISNUMBER(E790),ISNUMBER(N790)),E790-N790,NA())</f>
        <v/>
      </c>
      <c r="P790" s="19">
        <f>IF(NOT(ISNUMBER($A790)),NA(),IF(OR($A790&lt;MIN(KW_TP!$A$2:$A$2501),$A790&gt;MAX(KW_TP!$A$2:$A$2501)),NA(),INDEX(KW_TP!$C$2:$C$2501,MATCH($A790,KW_TP!$A$2:$A$2501,1))))</f>
        <v/>
      </c>
      <c r="Q790" s="18">
        <f>IF(NOT(ISNUMBER($A790)),NA(),IFERROR(1*INDEX(BBG_Data!$J$2:$J$4000,MATCH($A790,BBG_Data!$I$2:$I$4000,0)),NA()))</f>
        <v/>
      </c>
      <c r="R790" s="18">
        <f>IF(NOT(ISNUMBER($A790)),NA(),IFERROR(1*INDEX(BBG_Data!$L$2:$L$4000,MATCH($A790,BBG_Data!$K$2:$K$4000,0)),NA()))</f>
        <v/>
      </c>
      <c r="S790" s="20">
        <f>IF(AND(ISNUMBER(B790),ISNUMBER(Q790),ISNUMBER(R790)),(B790-Q790-R790)*100,NA())</f>
        <v/>
      </c>
      <c r="T790" s="20">
        <f>IF(AND(ISNUMBER(B790),Settings!$B$17&gt;0),IF(ISNUMBER(INDEX($B:$B,Settings!$B$17)),(B790-INDEX($B:$B,Settings!$B$17))*100,NA()),NA())</f>
        <v/>
      </c>
      <c r="U790" s="20">
        <f>IF(AND(ISNUMBER(Q790),Settings!$B$17&gt;0),IF(ISNUMBER(INDEX($Q:$Q,Settings!$B$17)),(Q790-INDEX($Q:$Q,Settings!$B$17))*100,NA()),NA())</f>
        <v/>
      </c>
      <c r="V790" s="20">
        <f>IF(AND(ISNUMBER(R790),Settings!$B$17&gt;0),IF(ISNUMBER(INDEX($R:$R,Settings!$B$17)),(R790-INDEX($R:$R,Settings!$B$17))*100,NA()),NA())</f>
        <v/>
      </c>
      <c r="W790" s="20">
        <f>IF(AND(ISNUMBER(P790),Settings!$B$17&gt;0),IF(ISNUMBER(INDEX($P:$P,Settings!$B$17)),P790-INDEX($P:$P,Settings!$B$17),NA()),NA())</f>
        <v/>
      </c>
      <c r="X790" s="19">
        <f>IF(NOT(ISNUMBER($A790)),NA(),IF(OR($A790&lt;MIN(DKW_10Y!$A$2:$A$2918),$A790&gt;MAX(DKW_10Y!$A$2:$A$2918),Settings!$B$16&lt;MIN(DKW_10Y!$A$2:$A$2918)),NA(),(INDEX(DKW_10Y!$B$2:$B$2918,MATCH($A790,DKW_10Y!$A$2:$A$2918,1))-INDEX(DKW_10Y!$B$2:$B$2918,MATCH(Settings!$B$16,DKW_10Y!$A$2:$A$2918,1)))*100))</f>
        <v/>
      </c>
      <c r="Y790" s="19">
        <f>IF(NOT(ISNUMBER($A790)),NA(),IF(OR($A790&lt;MIN(DKW_10Y!$A$2:$A$2918),$A790&gt;MAX(DKW_10Y!$A$2:$A$2918),Settings!$B$16&lt;MIN(DKW_10Y!$A$2:$A$2918)),NA(),(INDEX(DKW_10Y!$C$2:$C$2918,MATCH($A790,DKW_10Y!$A$2:$A$2918,1))-INDEX(DKW_10Y!$C$2:$C$2918,MATCH(Settings!$B$16,DKW_10Y!$A$2:$A$2918,1)))*100))</f>
        <v/>
      </c>
      <c r="Z790" s="19">
        <f>IF(NOT(ISNUMBER($A790)),NA(),IF(OR($A790&lt;MIN(DKW_10Y!$A$2:$A$2918),$A790&gt;MAX(DKW_10Y!$A$2:$A$2918),Settings!$B$16&lt;MIN(DKW_10Y!$A$2:$A$2918)),NA(),(INDEX(DKW_10Y!$D$2:$D$2918,MATCH($A790,DKW_10Y!$A$2:$A$2918,1))-INDEX(DKW_10Y!$D$2:$D$2918,MATCH(Settings!$B$16,DKW_10Y!$A$2:$A$2918,1)))*100))</f>
        <v/>
      </c>
      <c r="AA790" s="19">
        <f>IF(NOT(ISNUMBER($A790)),NA(),IF(OR($A790&lt;MIN(DKW_10Y!$A$2:$A$2918),$A790&gt;MAX(DKW_10Y!$A$2:$A$2918),Settings!$B$16&lt;MIN(DKW_10Y!$A$2:$A$2918)),NA(),(INDEX(DKW_10Y!$E$2:$E$2918,MATCH($A790,DKW_10Y!$A$2:$A$2918,1))-INDEX(DKW_10Y!$E$2:$E$2918,MATCH(Settings!$B$16,DKW_10Y!$A$2:$A$2918,1)))*100))</f>
        <v/>
      </c>
      <c r="AB790" s="19">
        <f>IF(NOT(ISNUMBER($A790)),NA(),IF(OR($A790&lt;MIN(DKW_10Y!$A$2:$A$2918),$A790&gt;MAX(DKW_10Y!$A$2:$A$2918),Settings!$B$16&lt;MIN(DKW_10Y!$A$2:$A$2918)),NA(),(INDEX(DKW_10Y!$H$2:$H$2918,MATCH($A790,DKW_10Y!$A$2:$A$2918,1))-INDEX(DKW_10Y!$H$2:$H$2918,MATCH(Settings!$B$16,DKW_10Y!$A$2:$A$2918,1)))*100))</f>
        <v/>
      </c>
      <c r="AC790" s="18">
        <f>IF(NOT(ISNUMBER($A790)),NA(),IFERROR(1*INDEX(BBG_Data!$N$2:$N$4000,MATCH($A790,BBG_Data!$M$2:$M$4000,0)),NA()))</f>
        <v/>
      </c>
      <c r="AD790" s="18">
        <f>IF(NOT(ISNUMBER($A790)),NA(),IFERROR(1*INDEX(BBG_Data!$P$2:$P$4000,MATCH($A790,BBG_Data!$O$2:$O$4000,0)),NA()))</f>
        <v/>
      </c>
      <c r="AE790" s="18">
        <f>IF(NOT(ISNUMBER($A790)),NA(),IFERROR(1*INDEX(BBG_Data!$R$2:$R$4000,MATCH($A790,BBG_Data!$Q$2:$Q$4000,0)),NA()))</f>
        <v/>
      </c>
      <c r="AF790" s="20">
        <f>IF(AND(ISNUMBER(B790),ISNUMBER(AC790)),(B790-AC790)*100,NA())</f>
        <v/>
      </c>
      <c r="AG790" s="20">
        <f>IF(AND(ISNUMBER(AE790),ISNUMBER(AD790)),(AE790-AD790)*100,NA())</f>
        <v/>
      </c>
      <c r="AH790" s="19">
        <f>IF(NOT(ISNUMBER($A790)),NA(),IFERROR(INDEX(BBG_Data!$T$2:$T$4000,MATCH($A790,BBG_Data!$S$2:$S$4000,0))*Settings!$B$25,NA()))</f>
        <v/>
      </c>
      <c r="AI790" s="19">
        <f>IF(NOT(ISNUMBER($A790)),NA(),IFERROR(INDEX(BBG_Data!$V$2:$V$4000,MATCH($A790,BBG_Data!$U$2:$U$4000,0))*Settings!$B$25,NA()))</f>
        <v/>
      </c>
      <c r="AJ790" s="19">
        <f>IF(NOT(ISNUMBER($A790)),NA(),IFERROR(1*INDEX(BBG_Data!$X$2:$X$4000,MATCH($A790,BBG_Data!$W$2:$W$4000,0)),NA()))</f>
        <v/>
      </c>
      <c r="AK790" s="19">
        <f>IF(NOT(ISNUMBER($A790)),NA(),IFERROR(1*INDEX(BBG_Data!$Z$2:$Z$4000,MATCH($A790,BBG_Data!$Y$2:$Y$4000,0)),NA()))</f>
        <v/>
      </c>
    </row>
    <row r="791">
      <c r="A791" s="17">
        <f>IF(ISNUMBER(BBG_Data!A791),BBG_Data!A791,"")</f>
        <v/>
      </c>
      <c r="B791" s="18">
        <f>IF(AND(ISNUMBER($A791),ISNUMBER(BBG_Data!B791)),BBG_Data!B791,NA())</f>
        <v/>
      </c>
      <c r="C791" s="18">
        <f>IF(NOT(ISNUMBER($A791)),NA(),IFERROR(1*INDEX(BBG_Data!$D$2:$D$4000,MATCH($A791,BBG_Data!$C$2:$C$4000,0)),NA()))</f>
        <v/>
      </c>
      <c r="D791" s="19">
        <f>IF(NOT(ISNUMBER($A791)),NA(),IFERROR(1*INDEX(BBG_Data!$F$2:$F$4000,MATCH($A791,BBG_Data!$E$2:$E$4000,0)),NA()))</f>
        <v/>
      </c>
      <c r="E791" s="19">
        <f>IF(NOT(ISNUMBER($A791)),NA(),IFERROR(1*INDEX(BBG_Data!$H$2:$H$4000,MATCH($A791,BBG_Data!$G$2:$G$4000,0)),NA()))</f>
        <v/>
      </c>
      <c r="F791" s="20">
        <f>IF(AND(ISNUMBER(B791),ISNUMBER(B790)),IF(B791=B790,"",(B791-B790)*100),"")</f>
        <v/>
      </c>
      <c r="G791" s="20">
        <f>IF(AND(ISNUMBER(C791),ISNUMBER(C790)),IF(C791=C790,"",(C791-C790)*100),"")</f>
        <v/>
      </c>
      <c r="H791" s="20">
        <f>IF(OR(NOT(ISNUMBER($A791)),ROW()-2&lt;Settings!$B$11),NA(),IF(COUNT(OFFSET(F791,1-Settings!$B$11,0,Settings!$B$11,1))&lt;ROUNDUP(Settings!$B$11*Settings!$B$26,0),NA(),STDEV(OFFSET(F791,1-Settings!$B$11,0,Settings!$B$11,1))*SQRT(Settings!$B$13)))</f>
        <v/>
      </c>
      <c r="I791" s="20">
        <f>IF(OR(NOT(ISNUMBER($A791)),ROW()-2&lt;Settings!$B$12),NA(),IF(COUNT(OFFSET(F791,1-Settings!$B$12,0,Settings!$B$12,1))&lt;ROUNDUP(Settings!$B$12*Settings!$B$26,0),NA(),STDEV(OFFSET(F791,1-Settings!$B$12,0,Settings!$B$12,1))*SQRT(Settings!$B$13)))</f>
        <v/>
      </c>
      <c r="J791" s="20">
        <f>IF(OR(NOT(ISNUMBER($A791)),ROW()-2&lt;Settings!$B$11),NA(),IF(COUNT(OFFSET(G791,1-Settings!$B$11,0,Settings!$B$11,1))&lt;ROUNDUP(Settings!$B$11*Settings!$B$26,0),NA(),STDEV(OFFSET(G791,1-Settings!$B$11,0,Settings!$B$11,1))*SQRT(Settings!$B$13)))</f>
        <v/>
      </c>
      <c r="K791" s="20">
        <f>IF(OR(NOT(ISNUMBER($A791)),ROW()-2&lt;Settings!$B$12),NA(),IF(COUNT(OFFSET(G791,1-Settings!$B$12,0,Settings!$B$12,1))&lt;ROUNDUP(Settings!$B$12*Settings!$B$26,0),NA(),STDEV(OFFSET(G791,1-Settings!$B$12,0,Settings!$B$12,1))*SQRT(Settings!$B$13)))</f>
        <v/>
      </c>
      <c r="L791" s="20">
        <f>IF(AND(ISNUMBER(D791),ISNUMBER(H791)),D791-H791,NA())</f>
        <v/>
      </c>
      <c r="M791" s="20">
        <f>IF(AND(ISNUMBER(E791),ISNUMBER(K791)),E791-K791,NA())</f>
        <v/>
      </c>
      <c r="N791" s="20">
        <f>IF(NOT(ISNUMBER($A791)),NA(),IF(COUNT(OFFSET(G791,1,0,Settings!$B$12,1))&lt;ROUNDUP(Settings!$B$12*Settings!$B$26,0),NA(),STDEV(OFFSET(G791,1,0,Settings!$B$12,1))*SQRT(Settings!$B$13)))</f>
        <v/>
      </c>
      <c r="O791" s="20">
        <f>IF(AND(ISNUMBER(E791),ISNUMBER(N791)),E791-N791,NA())</f>
        <v/>
      </c>
      <c r="P791" s="19">
        <f>IF(NOT(ISNUMBER($A791)),NA(),IF(OR($A791&lt;MIN(KW_TP!$A$2:$A$2501),$A791&gt;MAX(KW_TP!$A$2:$A$2501)),NA(),INDEX(KW_TP!$C$2:$C$2501,MATCH($A791,KW_TP!$A$2:$A$2501,1))))</f>
        <v/>
      </c>
      <c r="Q791" s="18">
        <f>IF(NOT(ISNUMBER($A791)),NA(),IFERROR(1*INDEX(BBG_Data!$J$2:$J$4000,MATCH($A791,BBG_Data!$I$2:$I$4000,0)),NA()))</f>
        <v/>
      </c>
      <c r="R791" s="18">
        <f>IF(NOT(ISNUMBER($A791)),NA(),IFERROR(1*INDEX(BBG_Data!$L$2:$L$4000,MATCH($A791,BBG_Data!$K$2:$K$4000,0)),NA()))</f>
        <v/>
      </c>
      <c r="S791" s="20">
        <f>IF(AND(ISNUMBER(B791),ISNUMBER(Q791),ISNUMBER(R791)),(B791-Q791-R791)*100,NA())</f>
        <v/>
      </c>
      <c r="T791" s="20">
        <f>IF(AND(ISNUMBER(B791),Settings!$B$17&gt;0),IF(ISNUMBER(INDEX($B:$B,Settings!$B$17)),(B791-INDEX($B:$B,Settings!$B$17))*100,NA()),NA())</f>
        <v/>
      </c>
      <c r="U791" s="20">
        <f>IF(AND(ISNUMBER(Q791),Settings!$B$17&gt;0),IF(ISNUMBER(INDEX($Q:$Q,Settings!$B$17)),(Q791-INDEX($Q:$Q,Settings!$B$17))*100,NA()),NA())</f>
        <v/>
      </c>
      <c r="V791" s="20">
        <f>IF(AND(ISNUMBER(R791),Settings!$B$17&gt;0),IF(ISNUMBER(INDEX($R:$R,Settings!$B$17)),(R791-INDEX($R:$R,Settings!$B$17))*100,NA()),NA())</f>
        <v/>
      </c>
      <c r="W791" s="20">
        <f>IF(AND(ISNUMBER(P791),Settings!$B$17&gt;0),IF(ISNUMBER(INDEX($P:$P,Settings!$B$17)),P791-INDEX($P:$P,Settings!$B$17),NA()),NA())</f>
        <v/>
      </c>
      <c r="X791" s="19">
        <f>IF(NOT(ISNUMBER($A791)),NA(),IF(OR($A791&lt;MIN(DKW_10Y!$A$2:$A$2918),$A791&gt;MAX(DKW_10Y!$A$2:$A$2918),Settings!$B$16&lt;MIN(DKW_10Y!$A$2:$A$2918)),NA(),(INDEX(DKW_10Y!$B$2:$B$2918,MATCH($A791,DKW_10Y!$A$2:$A$2918,1))-INDEX(DKW_10Y!$B$2:$B$2918,MATCH(Settings!$B$16,DKW_10Y!$A$2:$A$2918,1)))*100))</f>
        <v/>
      </c>
      <c r="Y791" s="19">
        <f>IF(NOT(ISNUMBER($A791)),NA(),IF(OR($A791&lt;MIN(DKW_10Y!$A$2:$A$2918),$A791&gt;MAX(DKW_10Y!$A$2:$A$2918),Settings!$B$16&lt;MIN(DKW_10Y!$A$2:$A$2918)),NA(),(INDEX(DKW_10Y!$C$2:$C$2918,MATCH($A791,DKW_10Y!$A$2:$A$2918,1))-INDEX(DKW_10Y!$C$2:$C$2918,MATCH(Settings!$B$16,DKW_10Y!$A$2:$A$2918,1)))*100))</f>
        <v/>
      </c>
      <c r="Z791" s="19">
        <f>IF(NOT(ISNUMBER($A791)),NA(),IF(OR($A791&lt;MIN(DKW_10Y!$A$2:$A$2918),$A791&gt;MAX(DKW_10Y!$A$2:$A$2918),Settings!$B$16&lt;MIN(DKW_10Y!$A$2:$A$2918)),NA(),(INDEX(DKW_10Y!$D$2:$D$2918,MATCH($A791,DKW_10Y!$A$2:$A$2918,1))-INDEX(DKW_10Y!$D$2:$D$2918,MATCH(Settings!$B$16,DKW_10Y!$A$2:$A$2918,1)))*100))</f>
        <v/>
      </c>
      <c r="AA791" s="19">
        <f>IF(NOT(ISNUMBER($A791)),NA(),IF(OR($A791&lt;MIN(DKW_10Y!$A$2:$A$2918),$A791&gt;MAX(DKW_10Y!$A$2:$A$2918),Settings!$B$16&lt;MIN(DKW_10Y!$A$2:$A$2918)),NA(),(INDEX(DKW_10Y!$E$2:$E$2918,MATCH($A791,DKW_10Y!$A$2:$A$2918,1))-INDEX(DKW_10Y!$E$2:$E$2918,MATCH(Settings!$B$16,DKW_10Y!$A$2:$A$2918,1)))*100))</f>
        <v/>
      </c>
      <c r="AB791" s="19">
        <f>IF(NOT(ISNUMBER($A791)),NA(),IF(OR($A791&lt;MIN(DKW_10Y!$A$2:$A$2918),$A791&gt;MAX(DKW_10Y!$A$2:$A$2918),Settings!$B$16&lt;MIN(DKW_10Y!$A$2:$A$2918)),NA(),(INDEX(DKW_10Y!$H$2:$H$2918,MATCH($A791,DKW_10Y!$A$2:$A$2918,1))-INDEX(DKW_10Y!$H$2:$H$2918,MATCH(Settings!$B$16,DKW_10Y!$A$2:$A$2918,1)))*100))</f>
        <v/>
      </c>
      <c r="AC791" s="18">
        <f>IF(NOT(ISNUMBER($A791)),NA(),IFERROR(1*INDEX(BBG_Data!$N$2:$N$4000,MATCH($A791,BBG_Data!$M$2:$M$4000,0)),NA()))</f>
        <v/>
      </c>
      <c r="AD791" s="18">
        <f>IF(NOT(ISNUMBER($A791)),NA(),IFERROR(1*INDEX(BBG_Data!$P$2:$P$4000,MATCH($A791,BBG_Data!$O$2:$O$4000,0)),NA()))</f>
        <v/>
      </c>
      <c r="AE791" s="18">
        <f>IF(NOT(ISNUMBER($A791)),NA(),IFERROR(1*INDEX(BBG_Data!$R$2:$R$4000,MATCH($A791,BBG_Data!$Q$2:$Q$4000,0)),NA()))</f>
        <v/>
      </c>
      <c r="AF791" s="20">
        <f>IF(AND(ISNUMBER(B791),ISNUMBER(AC791)),(B791-AC791)*100,NA())</f>
        <v/>
      </c>
      <c r="AG791" s="20">
        <f>IF(AND(ISNUMBER(AE791),ISNUMBER(AD791)),(AE791-AD791)*100,NA())</f>
        <v/>
      </c>
      <c r="AH791" s="19">
        <f>IF(NOT(ISNUMBER($A791)),NA(),IFERROR(INDEX(BBG_Data!$T$2:$T$4000,MATCH($A791,BBG_Data!$S$2:$S$4000,0))*Settings!$B$25,NA()))</f>
        <v/>
      </c>
      <c r="AI791" s="19">
        <f>IF(NOT(ISNUMBER($A791)),NA(),IFERROR(INDEX(BBG_Data!$V$2:$V$4000,MATCH($A791,BBG_Data!$U$2:$U$4000,0))*Settings!$B$25,NA()))</f>
        <v/>
      </c>
      <c r="AJ791" s="19">
        <f>IF(NOT(ISNUMBER($A791)),NA(),IFERROR(1*INDEX(BBG_Data!$X$2:$X$4000,MATCH($A791,BBG_Data!$W$2:$W$4000,0)),NA()))</f>
        <v/>
      </c>
      <c r="AK791" s="19">
        <f>IF(NOT(ISNUMBER($A791)),NA(),IFERROR(1*INDEX(BBG_Data!$Z$2:$Z$4000,MATCH($A791,BBG_Data!$Y$2:$Y$4000,0)),NA()))</f>
        <v/>
      </c>
    </row>
    <row r="792">
      <c r="A792" s="17">
        <f>IF(ISNUMBER(BBG_Data!A792),BBG_Data!A792,"")</f>
        <v/>
      </c>
      <c r="B792" s="18">
        <f>IF(AND(ISNUMBER($A792),ISNUMBER(BBG_Data!B792)),BBG_Data!B792,NA())</f>
        <v/>
      </c>
      <c r="C792" s="18">
        <f>IF(NOT(ISNUMBER($A792)),NA(),IFERROR(1*INDEX(BBG_Data!$D$2:$D$4000,MATCH($A792,BBG_Data!$C$2:$C$4000,0)),NA()))</f>
        <v/>
      </c>
      <c r="D792" s="19">
        <f>IF(NOT(ISNUMBER($A792)),NA(),IFERROR(1*INDEX(BBG_Data!$F$2:$F$4000,MATCH($A792,BBG_Data!$E$2:$E$4000,0)),NA()))</f>
        <v/>
      </c>
      <c r="E792" s="19">
        <f>IF(NOT(ISNUMBER($A792)),NA(),IFERROR(1*INDEX(BBG_Data!$H$2:$H$4000,MATCH($A792,BBG_Data!$G$2:$G$4000,0)),NA()))</f>
        <v/>
      </c>
      <c r="F792" s="20">
        <f>IF(AND(ISNUMBER(B792),ISNUMBER(B791)),IF(B792=B791,"",(B792-B791)*100),"")</f>
        <v/>
      </c>
      <c r="G792" s="20">
        <f>IF(AND(ISNUMBER(C792),ISNUMBER(C791)),IF(C792=C791,"",(C792-C791)*100),"")</f>
        <v/>
      </c>
      <c r="H792" s="20">
        <f>IF(OR(NOT(ISNUMBER($A792)),ROW()-2&lt;Settings!$B$11),NA(),IF(COUNT(OFFSET(F792,1-Settings!$B$11,0,Settings!$B$11,1))&lt;ROUNDUP(Settings!$B$11*Settings!$B$26,0),NA(),STDEV(OFFSET(F792,1-Settings!$B$11,0,Settings!$B$11,1))*SQRT(Settings!$B$13)))</f>
        <v/>
      </c>
      <c r="I792" s="20">
        <f>IF(OR(NOT(ISNUMBER($A792)),ROW()-2&lt;Settings!$B$12),NA(),IF(COUNT(OFFSET(F792,1-Settings!$B$12,0,Settings!$B$12,1))&lt;ROUNDUP(Settings!$B$12*Settings!$B$26,0),NA(),STDEV(OFFSET(F792,1-Settings!$B$12,0,Settings!$B$12,1))*SQRT(Settings!$B$13)))</f>
        <v/>
      </c>
      <c r="J792" s="20">
        <f>IF(OR(NOT(ISNUMBER($A792)),ROW()-2&lt;Settings!$B$11),NA(),IF(COUNT(OFFSET(G792,1-Settings!$B$11,0,Settings!$B$11,1))&lt;ROUNDUP(Settings!$B$11*Settings!$B$26,0),NA(),STDEV(OFFSET(G792,1-Settings!$B$11,0,Settings!$B$11,1))*SQRT(Settings!$B$13)))</f>
        <v/>
      </c>
      <c r="K792" s="20">
        <f>IF(OR(NOT(ISNUMBER($A792)),ROW()-2&lt;Settings!$B$12),NA(),IF(COUNT(OFFSET(G792,1-Settings!$B$12,0,Settings!$B$12,1))&lt;ROUNDUP(Settings!$B$12*Settings!$B$26,0),NA(),STDEV(OFFSET(G792,1-Settings!$B$12,0,Settings!$B$12,1))*SQRT(Settings!$B$13)))</f>
        <v/>
      </c>
      <c r="L792" s="20">
        <f>IF(AND(ISNUMBER(D792),ISNUMBER(H792)),D792-H792,NA())</f>
        <v/>
      </c>
      <c r="M792" s="20">
        <f>IF(AND(ISNUMBER(E792),ISNUMBER(K792)),E792-K792,NA())</f>
        <v/>
      </c>
      <c r="N792" s="20">
        <f>IF(NOT(ISNUMBER($A792)),NA(),IF(COUNT(OFFSET(G792,1,0,Settings!$B$12,1))&lt;ROUNDUP(Settings!$B$12*Settings!$B$26,0),NA(),STDEV(OFFSET(G792,1,0,Settings!$B$12,1))*SQRT(Settings!$B$13)))</f>
        <v/>
      </c>
      <c r="O792" s="20">
        <f>IF(AND(ISNUMBER(E792),ISNUMBER(N792)),E792-N792,NA())</f>
        <v/>
      </c>
      <c r="P792" s="19">
        <f>IF(NOT(ISNUMBER($A792)),NA(),IF(OR($A792&lt;MIN(KW_TP!$A$2:$A$2501),$A792&gt;MAX(KW_TP!$A$2:$A$2501)),NA(),INDEX(KW_TP!$C$2:$C$2501,MATCH($A792,KW_TP!$A$2:$A$2501,1))))</f>
        <v/>
      </c>
      <c r="Q792" s="18">
        <f>IF(NOT(ISNUMBER($A792)),NA(),IFERROR(1*INDEX(BBG_Data!$J$2:$J$4000,MATCH($A792,BBG_Data!$I$2:$I$4000,0)),NA()))</f>
        <v/>
      </c>
      <c r="R792" s="18">
        <f>IF(NOT(ISNUMBER($A792)),NA(),IFERROR(1*INDEX(BBG_Data!$L$2:$L$4000,MATCH($A792,BBG_Data!$K$2:$K$4000,0)),NA()))</f>
        <v/>
      </c>
      <c r="S792" s="20">
        <f>IF(AND(ISNUMBER(B792),ISNUMBER(Q792),ISNUMBER(R792)),(B792-Q792-R792)*100,NA())</f>
        <v/>
      </c>
      <c r="T792" s="20">
        <f>IF(AND(ISNUMBER(B792),Settings!$B$17&gt;0),IF(ISNUMBER(INDEX($B:$B,Settings!$B$17)),(B792-INDEX($B:$B,Settings!$B$17))*100,NA()),NA())</f>
        <v/>
      </c>
      <c r="U792" s="20">
        <f>IF(AND(ISNUMBER(Q792),Settings!$B$17&gt;0),IF(ISNUMBER(INDEX($Q:$Q,Settings!$B$17)),(Q792-INDEX($Q:$Q,Settings!$B$17))*100,NA()),NA())</f>
        <v/>
      </c>
      <c r="V792" s="20">
        <f>IF(AND(ISNUMBER(R792),Settings!$B$17&gt;0),IF(ISNUMBER(INDEX($R:$R,Settings!$B$17)),(R792-INDEX($R:$R,Settings!$B$17))*100,NA()),NA())</f>
        <v/>
      </c>
      <c r="W792" s="20">
        <f>IF(AND(ISNUMBER(P792),Settings!$B$17&gt;0),IF(ISNUMBER(INDEX($P:$P,Settings!$B$17)),P792-INDEX($P:$P,Settings!$B$17),NA()),NA())</f>
        <v/>
      </c>
      <c r="X792" s="19">
        <f>IF(NOT(ISNUMBER($A792)),NA(),IF(OR($A792&lt;MIN(DKW_10Y!$A$2:$A$2918),$A792&gt;MAX(DKW_10Y!$A$2:$A$2918),Settings!$B$16&lt;MIN(DKW_10Y!$A$2:$A$2918)),NA(),(INDEX(DKW_10Y!$B$2:$B$2918,MATCH($A792,DKW_10Y!$A$2:$A$2918,1))-INDEX(DKW_10Y!$B$2:$B$2918,MATCH(Settings!$B$16,DKW_10Y!$A$2:$A$2918,1)))*100))</f>
        <v/>
      </c>
      <c r="Y792" s="19">
        <f>IF(NOT(ISNUMBER($A792)),NA(),IF(OR($A792&lt;MIN(DKW_10Y!$A$2:$A$2918),$A792&gt;MAX(DKW_10Y!$A$2:$A$2918),Settings!$B$16&lt;MIN(DKW_10Y!$A$2:$A$2918)),NA(),(INDEX(DKW_10Y!$C$2:$C$2918,MATCH($A792,DKW_10Y!$A$2:$A$2918,1))-INDEX(DKW_10Y!$C$2:$C$2918,MATCH(Settings!$B$16,DKW_10Y!$A$2:$A$2918,1)))*100))</f>
        <v/>
      </c>
      <c r="Z792" s="19">
        <f>IF(NOT(ISNUMBER($A792)),NA(),IF(OR($A792&lt;MIN(DKW_10Y!$A$2:$A$2918),$A792&gt;MAX(DKW_10Y!$A$2:$A$2918),Settings!$B$16&lt;MIN(DKW_10Y!$A$2:$A$2918)),NA(),(INDEX(DKW_10Y!$D$2:$D$2918,MATCH($A792,DKW_10Y!$A$2:$A$2918,1))-INDEX(DKW_10Y!$D$2:$D$2918,MATCH(Settings!$B$16,DKW_10Y!$A$2:$A$2918,1)))*100))</f>
        <v/>
      </c>
      <c r="AA792" s="19">
        <f>IF(NOT(ISNUMBER($A792)),NA(),IF(OR($A792&lt;MIN(DKW_10Y!$A$2:$A$2918),$A792&gt;MAX(DKW_10Y!$A$2:$A$2918),Settings!$B$16&lt;MIN(DKW_10Y!$A$2:$A$2918)),NA(),(INDEX(DKW_10Y!$E$2:$E$2918,MATCH($A792,DKW_10Y!$A$2:$A$2918,1))-INDEX(DKW_10Y!$E$2:$E$2918,MATCH(Settings!$B$16,DKW_10Y!$A$2:$A$2918,1)))*100))</f>
        <v/>
      </c>
      <c r="AB792" s="19">
        <f>IF(NOT(ISNUMBER($A792)),NA(),IF(OR($A792&lt;MIN(DKW_10Y!$A$2:$A$2918),$A792&gt;MAX(DKW_10Y!$A$2:$A$2918),Settings!$B$16&lt;MIN(DKW_10Y!$A$2:$A$2918)),NA(),(INDEX(DKW_10Y!$H$2:$H$2918,MATCH($A792,DKW_10Y!$A$2:$A$2918,1))-INDEX(DKW_10Y!$H$2:$H$2918,MATCH(Settings!$B$16,DKW_10Y!$A$2:$A$2918,1)))*100))</f>
        <v/>
      </c>
      <c r="AC792" s="18">
        <f>IF(NOT(ISNUMBER($A792)),NA(),IFERROR(1*INDEX(BBG_Data!$N$2:$N$4000,MATCH($A792,BBG_Data!$M$2:$M$4000,0)),NA()))</f>
        <v/>
      </c>
      <c r="AD792" s="18">
        <f>IF(NOT(ISNUMBER($A792)),NA(),IFERROR(1*INDEX(BBG_Data!$P$2:$P$4000,MATCH($A792,BBG_Data!$O$2:$O$4000,0)),NA()))</f>
        <v/>
      </c>
      <c r="AE792" s="18">
        <f>IF(NOT(ISNUMBER($A792)),NA(),IFERROR(1*INDEX(BBG_Data!$R$2:$R$4000,MATCH($A792,BBG_Data!$Q$2:$Q$4000,0)),NA()))</f>
        <v/>
      </c>
      <c r="AF792" s="20">
        <f>IF(AND(ISNUMBER(B792),ISNUMBER(AC792)),(B792-AC792)*100,NA())</f>
        <v/>
      </c>
      <c r="AG792" s="20">
        <f>IF(AND(ISNUMBER(AE792),ISNUMBER(AD792)),(AE792-AD792)*100,NA())</f>
        <v/>
      </c>
      <c r="AH792" s="19">
        <f>IF(NOT(ISNUMBER($A792)),NA(),IFERROR(INDEX(BBG_Data!$T$2:$T$4000,MATCH($A792,BBG_Data!$S$2:$S$4000,0))*Settings!$B$25,NA()))</f>
        <v/>
      </c>
      <c r="AI792" s="19">
        <f>IF(NOT(ISNUMBER($A792)),NA(),IFERROR(INDEX(BBG_Data!$V$2:$V$4000,MATCH($A792,BBG_Data!$U$2:$U$4000,0))*Settings!$B$25,NA()))</f>
        <v/>
      </c>
      <c r="AJ792" s="19">
        <f>IF(NOT(ISNUMBER($A792)),NA(),IFERROR(1*INDEX(BBG_Data!$X$2:$X$4000,MATCH($A792,BBG_Data!$W$2:$W$4000,0)),NA()))</f>
        <v/>
      </c>
      <c r="AK792" s="19">
        <f>IF(NOT(ISNUMBER($A792)),NA(),IFERROR(1*INDEX(BBG_Data!$Z$2:$Z$4000,MATCH($A792,BBG_Data!$Y$2:$Y$4000,0)),NA()))</f>
        <v/>
      </c>
    </row>
    <row r="793">
      <c r="A793" s="17">
        <f>IF(ISNUMBER(BBG_Data!A793),BBG_Data!A793,"")</f>
        <v/>
      </c>
      <c r="B793" s="18">
        <f>IF(AND(ISNUMBER($A793),ISNUMBER(BBG_Data!B793)),BBG_Data!B793,NA())</f>
        <v/>
      </c>
      <c r="C793" s="18">
        <f>IF(NOT(ISNUMBER($A793)),NA(),IFERROR(1*INDEX(BBG_Data!$D$2:$D$4000,MATCH($A793,BBG_Data!$C$2:$C$4000,0)),NA()))</f>
        <v/>
      </c>
      <c r="D793" s="19">
        <f>IF(NOT(ISNUMBER($A793)),NA(),IFERROR(1*INDEX(BBG_Data!$F$2:$F$4000,MATCH($A793,BBG_Data!$E$2:$E$4000,0)),NA()))</f>
        <v/>
      </c>
      <c r="E793" s="19">
        <f>IF(NOT(ISNUMBER($A793)),NA(),IFERROR(1*INDEX(BBG_Data!$H$2:$H$4000,MATCH($A793,BBG_Data!$G$2:$G$4000,0)),NA()))</f>
        <v/>
      </c>
      <c r="F793" s="20">
        <f>IF(AND(ISNUMBER(B793),ISNUMBER(B792)),IF(B793=B792,"",(B793-B792)*100),"")</f>
        <v/>
      </c>
      <c r="G793" s="20">
        <f>IF(AND(ISNUMBER(C793),ISNUMBER(C792)),IF(C793=C792,"",(C793-C792)*100),"")</f>
        <v/>
      </c>
      <c r="H793" s="20">
        <f>IF(OR(NOT(ISNUMBER($A793)),ROW()-2&lt;Settings!$B$11),NA(),IF(COUNT(OFFSET(F793,1-Settings!$B$11,0,Settings!$B$11,1))&lt;ROUNDUP(Settings!$B$11*Settings!$B$26,0),NA(),STDEV(OFFSET(F793,1-Settings!$B$11,0,Settings!$B$11,1))*SQRT(Settings!$B$13)))</f>
        <v/>
      </c>
      <c r="I793" s="20">
        <f>IF(OR(NOT(ISNUMBER($A793)),ROW()-2&lt;Settings!$B$12),NA(),IF(COUNT(OFFSET(F793,1-Settings!$B$12,0,Settings!$B$12,1))&lt;ROUNDUP(Settings!$B$12*Settings!$B$26,0),NA(),STDEV(OFFSET(F793,1-Settings!$B$12,0,Settings!$B$12,1))*SQRT(Settings!$B$13)))</f>
        <v/>
      </c>
      <c r="J793" s="20">
        <f>IF(OR(NOT(ISNUMBER($A793)),ROW()-2&lt;Settings!$B$11),NA(),IF(COUNT(OFFSET(G793,1-Settings!$B$11,0,Settings!$B$11,1))&lt;ROUNDUP(Settings!$B$11*Settings!$B$26,0),NA(),STDEV(OFFSET(G793,1-Settings!$B$11,0,Settings!$B$11,1))*SQRT(Settings!$B$13)))</f>
        <v/>
      </c>
      <c r="K793" s="20">
        <f>IF(OR(NOT(ISNUMBER($A793)),ROW()-2&lt;Settings!$B$12),NA(),IF(COUNT(OFFSET(G793,1-Settings!$B$12,0,Settings!$B$12,1))&lt;ROUNDUP(Settings!$B$12*Settings!$B$26,0),NA(),STDEV(OFFSET(G793,1-Settings!$B$12,0,Settings!$B$12,1))*SQRT(Settings!$B$13)))</f>
        <v/>
      </c>
      <c r="L793" s="20">
        <f>IF(AND(ISNUMBER(D793),ISNUMBER(H793)),D793-H793,NA())</f>
        <v/>
      </c>
      <c r="M793" s="20">
        <f>IF(AND(ISNUMBER(E793),ISNUMBER(K793)),E793-K793,NA())</f>
        <v/>
      </c>
      <c r="N793" s="20">
        <f>IF(NOT(ISNUMBER($A793)),NA(),IF(COUNT(OFFSET(G793,1,0,Settings!$B$12,1))&lt;ROUNDUP(Settings!$B$12*Settings!$B$26,0),NA(),STDEV(OFFSET(G793,1,0,Settings!$B$12,1))*SQRT(Settings!$B$13)))</f>
        <v/>
      </c>
      <c r="O793" s="20">
        <f>IF(AND(ISNUMBER(E793),ISNUMBER(N793)),E793-N793,NA())</f>
        <v/>
      </c>
      <c r="P793" s="19">
        <f>IF(NOT(ISNUMBER($A793)),NA(),IF(OR($A793&lt;MIN(KW_TP!$A$2:$A$2501),$A793&gt;MAX(KW_TP!$A$2:$A$2501)),NA(),INDEX(KW_TP!$C$2:$C$2501,MATCH($A793,KW_TP!$A$2:$A$2501,1))))</f>
        <v/>
      </c>
      <c r="Q793" s="18">
        <f>IF(NOT(ISNUMBER($A793)),NA(),IFERROR(1*INDEX(BBG_Data!$J$2:$J$4000,MATCH($A793,BBG_Data!$I$2:$I$4000,0)),NA()))</f>
        <v/>
      </c>
      <c r="R793" s="18">
        <f>IF(NOT(ISNUMBER($A793)),NA(),IFERROR(1*INDEX(BBG_Data!$L$2:$L$4000,MATCH($A793,BBG_Data!$K$2:$K$4000,0)),NA()))</f>
        <v/>
      </c>
      <c r="S793" s="20">
        <f>IF(AND(ISNUMBER(B793),ISNUMBER(Q793),ISNUMBER(R793)),(B793-Q793-R793)*100,NA())</f>
        <v/>
      </c>
      <c r="T793" s="20">
        <f>IF(AND(ISNUMBER(B793),Settings!$B$17&gt;0),IF(ISNUMBER(INDEX($B:$B,Settings!$B$17)),(B793-INDEX($B:$B,Settings!$B$17))*100,NA()),NA())</f>
        <v/>
      </c>
      <c r="U793" s="20">
        <f>IF(AND(ISNUMBER(Q793),Settings!$B$17&gt;0),IF(ISNUMBER(INDEX($Q:$Q,Settings!$B$17)),(Q793-INDEX($Q:$Q,Settings!$B$17))*100,NA()),NA())</f>
        <v/>
      </c>
      <c r="V793" s="20">
        <f>IF(AND(ISNUMBER(R793),Settings!$B$17&gt;0),IF(ISNUMBER(INDEX($R:$R,Settings!$B$17)),(R793-INDEX($R:$R,Settings!$B$17))*100,NA()),NA())</f>
        <v/>
      </c>
      <c r="W793" s="20">
        <f>IF(AND(ISNUMBER(P793),Settings!$B$17&gt;0),IF(ISNUMBER(INDEX($P:$P,Settings!$B$17)),P793-INDEX($P:$P,Settings!$B$17),NA()),NA())</f>
        <v/>
      </c>
      <c r="X793" s="19">
        <f>IF(NOT(ISNUMBER($A793)),NA(),IF(OR($A793&lt;MIN(DKW_10Y!$A$2:$A$2918),$A793&gt;MAX(DKW_10Y!$A$2:$A$2918),Settings!$B$16&lt;MIN(DKW_10Y!$A$2:$A$2918)),NA(),(INDEX(DKW_10Y!$B$2:$B$2918,MATCH($A793,DKW_10Y!$A$2:$A$2918,1))-INDEX(DKW_10Y!$B$2:$B$2918,MATCH(Settings!$B$16,DKW_10Y!$A$2:$A$2918,1)))*100))</f>
        <v/>
      </c>
      <c r="Y793" s="19">
        <f>IF(NOT(ISNUMBER($A793)),NA(),IF(OR($A793&lt;MIN(DKW_10Y!$A$2:$A$2918),$A793&gt;MAX(DKW_10Y!$A$2:$A$2918),Settings!$B$16&lt;MIN(DKW_10Y!$A$2:$A$2918)),NA(),(INDEX(DKW_10Y!$C$2:$C$2918,MATCH($A793,DKW_10Y!$A$2:$A$2918,1))-INDEX(DKW_10Y!$C$2:$C$2918,MATCH(Settings!$B$16,DKW_10Y!$A$2:$A$2918,1)))*100))</f>
        <v/>
      </c>
      <c r="Z793" s="19">
        <f>IF(NOT(ISNUMBER($A793)),NA(),IF(OR($A793&lt;MIN(DKW_10Y!$A$2:$A$2918),$A793&gt;MAX(DKW_10Y!$A$2:$A$2918),Settings!$B$16&lt;MIN(DKW_10Y!$A$2:$A$2918)),NA(),(INDEX(DKW_10Y!$D$2:$D$2918,MATCH($A793,DKW_10Y!$A$2:$A$2918,1))-INDEX(DKW_10Y!$D$2:$D$2918,MATCH(Settings!$B$16,DKW_10Y!$A$2:$A$2918,1)))*100))</f>
        <v/>
      </c>
      <c r="AA793" s="19">
        <f>IF(NOT(ISNUMBER($A793)),NA(),IF(OR($A793&lt;MIN(DKW_10Y!$A$2:$A$2918),$A793&gt;MAX(DKW_10Y!$A$2:$A$2918),Settings!$B$16&lt;MIN(DKW_10Y!$A$2:$A$2918)),NA(),(INDEX(DKW_10Y!$E$2:$E$2918,MATCH($A793,DKW_10Y!$A$2:$A$2918,1))-INDEX(DKW_10Y!$E$2:$E$2918,MATCH(Settings!$B$16,DKW_10Y!$A$2:$A$2918,1)))*100))</f>
        <v/>
      </c>
      <c r="AB793" s="19">
        <f>IF(NOT(ISNUMBER($A793)),NA(),IF(OR($A793&lt;MIN(DKW_10Y!$A$2:$A$2918),$A793&gt;MAX(DKW_10Y!$A$2:$A$2918),Settings!$B$16&lt;MIN(DKW_10Y!$A$2:$A$2918)),NA(),(INDEX(DKW_10Y!$H$2:$H$2918,MATCH($A793,DKW_10Y!$A$2:$A$2918,1))-INDEX(DKW_10Y!$H$2:$H$2918,MATCH(Settings!$B$16,DKW_10Y!$A$2:$A$2918,1)))*100))</f>
        <v/>
      </c>
      <c r="AC793" s="18">
        <f>IF(NOT(ISNUMBER($A793)),NA(),IFERROR(1*INDEX(BBG_Data!$N$2:$N$4000,MATCH($A793,BBG_Data!$M$2:$M$4000,0)),NA()))</f>
        <v/>
      </c>
      <c r="AD793" s="18">
        <f>IF(NOT(ISNUMBER($A793)),NA(),IFERROR(1*INDEX(BBG_Data!$P$2:$P$4000,MATCH($A793,BBG_Data!$O$2:$O$4000,0)),NA()))</f>
        <v/>
      </c>
      <c r="AE793" s="18">
        <f>IF(NOT(ISNUMBER($A793)),NA(),IFERROR(1*INDEX(BBG_Data!$R$2:$R$4000,MATCH($A793,BBG_Data!$Q$2:$Q$4000,0)),NA()))</f>
        <v/>
      </c>
      <c r="AF793" s="20">
        <f>IF(AND(ISNUMBER(B793),ISNUMBER(AC793)),(B793-AC793)*100,NA())</f>
        <v/>
      </c>
      <c r="AG793" s="20">
        <f>IF(AND(ISNUMBER(AE793),ISNUMBER(AD793)),(AE793-AD793)*100,NA())</f>
        <v/>
      </c>
      <c r="AH793" s="19">
        <f>IF(NOT(ISNUMBER($A793)),NA(),IFERROR(INDEX(BBG_Data!$T$2:$T$4000,MATCH($A793,BBG_Data!$S$2:$S$4000,0))*Settings!$B$25,NA()))</f>
        <v/>
      </c>
      <c r="AI793" s="19">
        <f>IF(NOT(ISNUMBER($A793)),NA(),IFERROR(INDEX(BBG_Data!$V$2:$V$4000,MATCH($A793,BBG_Data!$U$2:$U$4000,0))*Settings!$B$25,NA()))</f>
        <v/>
      </c>
      <c r="AJ793" s="19">
        <f>IF(NOT(ISNUMBER($A793)),NA(),IFERROR(1*INDEX(BBG_Data!$X$2:$X$4000,MATCH($A793,BBG_Data!$W$2:$W$4000,0)),NA()))</f>
        <v/>
      </c>
      <c r="AK793" s="19">
        <f>IF(NOT(ISNUMBER($A793)),NA(),IFERROR(1*INDEX(BBG_Data!$Z$2:$Z$4000,MATCH($A793,BBG_Data!$Y$2:$Y$4000,0)),NA()))</f>
        <v/>
      </c>
    </row>
    <row r="794">
      <c r="A794" s="17">
        <f>IF(ISNUMBER(BBG_Data!A794),BBG_Data!A794,"")</f>
        <v/>
      </c>
      <c r="B794" s="18">
        <f>IF(AND(ISNUMBER($A794),ISNUMBER(BBG_Data!B794)),BBG_Data!B794,NA())</f>
        <v/>
      </c>
      <c r="C794" s="18">
        <f>IF(NOT(ISNUMBER($A794)),NA(),IFERROR(1*INDEX(BBG_Data!$D$2:$D$4000,MATCH($A794,BBG_Data!$C$2:$C$4000,0)),NA()))</f>
        <v/>
      </c>
      <c r="D794" s="19">
        <f>IF(NOT(ISNUMBER($A794)),NA(),IFERROR(1*INDEX(BBG_Data!$F$2:$F$4000,MATCH($A794,BBG_Data!$E$2:$E$4000,0)),NA()))</f>
        <v/>
      </c>
      <c r="E794" s="19">
        <f>IF(NOT(ISNUMBER($A794)),NA(),IFERROR(1*INDEX(BBG_Data!$H$2:$H$4000,MATCH($A794,BBG_Data!$G$2:$G$4000,0)),NA()))</f>
        <v/>
      </c>
      <c r="F794" s="20">
        <f>IF(AND(ISNUMBER(B794),ISNUMBER(B793)),IF(B794=B793,"",(B794-B793)*100),"")</f>
        <v/>
      </c>
      <c r="G794" s="20">
        <f>IF(AND(ISNUMBER(C794),ISNUMBER(C793)),IF(C794=C793,"",(C794-C793)*100),"")</f>
        <v/>
      </c>
      <c r="H794" s="20">
        <f>IF(OR(NOT(ISNUMBER($A794)),ROW()-2&lt;Settings!$B$11),NA(),IF(COUNT(OFFSET(F794,1-Settings!$B$11,0,Settings!$B$11,1))&lt;ROUNDUP(Settings!$B$11*Settings!$B$26,0),NA(),STDEV(OFFSET(F794,1-Settings!$B$11,0,Settings!$B$11,1))*SQRT(Settings!$B$13)))</f>
        <v/>
      </c>
      <c r="I794" s="20">
        <f>IF(OR(NOT(ISNUMBER($A794)),ROW()-2&lt;Settings!$B$12),NA(),IF(COUNT(OFFSET(F794,1-Settings!$B$12,0,Settings!$B$12,1))&lt;ROUNDUP(Settings!$B$12*Settings!$B$26,0),NA(),STDEV(OFFSET(F794,1-Settings!$B$12,0,Settings!$B$12,1))*SQRT(Settings!$B$13)))</f>
        <v/>
      </c>
      <c r="J794" s="20">
        <f>IF(OR(NOT(ISNUMBER($A794)),ROW()-2&lt;Settings!$B$11),NA(),IF(COUNT(OFFSET(G794,1-Settings!$B$11,0,Settings!$B$11,1))&lt;ROUNDUP(Settings!$B$11*Settings!$B$26,0),NA(),STDEV(OFFSET(G794,1-Settings!$B$11,0,Settings!$B$11,1))*SQRT(Settings!$B$13)))</f>
        <v/>
      </c>
      <c r="K794" s="20">
        <f>IF(OR(NOT(ISNUMBER($A794)),ROW()-2&lt;Settings!$B$12),NA(),IF(COUNT(OFFSET(G794,1-Settings!$B$12,0,Settings!$B$12,1))&lt;ROUNDUP(Settings!$B$12*Settings!$B$26,0),NA(),STDEV(OFFSET(G794,1-Settings!$B$12,0,Settings!$B$12,1))*SQRT(Settings!$B$13)))</f>
        <v/>
      </c>
      <c r="L794" s="20">
        <f>IF(AND(ISNUMBER(D794),ISNUMBER(H794)),D794-H794,NA())</f>
        <v/>
      </c>
      <c r="M794" s="20">
        <f>IF(AND(ISNUMBER(E794),ISNUMBER(K794)),E794-K794,NA())</f>
        <v/>
      </c>
      <c r="N794" s="20">
        <f>IF(NOT(ISNUMBER($A794)),NA(),IF(COUNT(OFFSET(G794,1,0,Settings!$B$12,1))&lt;ROUNDUP(Settings!$B$12*Settings!$B$26,0),NA(),STDEV(OFFSET(G794,1,0,Settings!$B$12,1))*SQRT(Settings!$B$13)))</f>
        <v/>
      </c>
      <c r="O794" s="20">
        <f>IF(AND(ISNUMBER(E794),ISNUMBER(N794)),E794-N794,NA())</f>
        <v/>
      </c>
      <c r="P794" s="19">
        <f>IF(NOT(ISNUMBER($A794)),NA(),IF(OR($A794&lt;MIN(KW_TP!$A$2:$A$2501),$A794&gt;MAX(KW_TP!$A$2:$A$2501)),NA(),INDEX(KW_TP!$C$2:$C$2501,MATCH($A794,KW_TP!$A$2:$A$2501,1))))</f>
        <v/>
      </c>
      <c r="Q794" s="18">
        <f>IF(NOT(ISNUMBER($A794)),NA(),IFERROR(1*INDEX(BBG_Data!$J$2:$J$4000,MATCH($A794,BBG_Data!$I$2:$I$4000,0)),NA()))</f>
        <v/>
      </c>
      <c r="R794" s="18">
        <f>IF(NOT(ISNUMBER($A794)),NA(),IFERROR(1*INDEX(BBG_Data!$L$2:$L$4000,MATCH($A794,BBG_Data!$K$2:$K$4000,0)),NA()))</f>
        <v/>
      </c>
      <c r="S794" s="20">
        <f>IF(AND(ISNUMBER(B794),ISNUMBER(Q794),ISNUMBER(R794)),(B794-Q794-R794)*100,NA())</f>
        <v/>
      </c>
      <c r="T794" s="20">
        <f>IF(AND(ISNUMBER(B794),Settings!$B$17&gt;0),IF(ISNUMBER(INDEX($B:$B,Settings!$B$17)),(B794-INDEX($B:$B,Settings!$B$17))*100,NA()),NA())</f>
        <v/>
      </c>
      <c r="U794" s="20">
        <f>IF(AND(ISNUMBER(Q794),Settings!$B$17&gt;0),IF(ISNUMBER(INDEX($Q:$Q,Settings!$B$17)),(Q794-INDEX($Q:$Q,Settings!$B$17))*100,NA()),NA())</f>
        <v/>
      </c>
      <c r="V794" s="20">
        <f>IF(AND(ISNUMBER(R794),Settings!$B$17&gt;0),IF(ISNUMBER(INDEX($R:$R,Settings!$B$17)),(R794-INDEX($R:$R,Settings!$B$17))*100,NA()),NA())</f>
        <v/>
      </c>
      <c r="W794" s="20">
        <f>IF(AND(ISNUMBER(P794),Settings!$B$17&gt;0),IF(ISNUMBER(INDEX($P:$P,Settings!$B$17)),P794-INDEX($P:$P,Settings!$B$17),NA()),NA())</f>
        <v/>
      </c>
      <c r="X794" s="19">
        <f>IF(NOT(ISNUMBER($A794)),NA(),IF(OR($A794&lt;MIN(DKW_10Y!$A$2:$A$2918),$A794&gt;MAX(DKW_10Y!$A$2:$A$2918),Settings!$B$16&lt;MIN(DKW_10Y!$A$2:$A$2918)),NA(),(INDEX(DKW_10Y!$B$2:$B$2918,MATCH($A794,DKW_10Y!$A$2:$A$2918,1))-INDEX(DKW_10Y!$B$2:$B$2918,MATCH(Settings!$B$16,DKW_10Y!$A$2:$A$2918,1)))*100))</f>
        <v/>
      </c>
      <c r="Y794" s="19">
        <f>IF(NOT(ISNUMBER($A794)),NA(),IF(OR($A794&lt;MIN(DKW_10Y!$A$2:$A$2918),$A794&gt;MAX(DKW_10Y!$A$2:$A$2918),Settings!$B$16&lt;MIN(DKW_10Y!$A$2:$A$2918)),NA(),(INDEX(DKW_10Y!$C$2:$C$2918,MATCH($A794,DKW_10Y!$A$2:$A$2918,1))-INDEX(DKW_10Y!$C$2:$C$2918,MATCH(Settings!$B$16,DKW_10Y!$A$2:$A$2918,1)))*100))</f>
        <v/>
      </c>
      <c r="Z794" s="19">
        <f>IF(NOT(ISNUMBER($A794)),NA(),IF(OR($A794&lt;MIN(DKW_10Y!$A$2:$A$2918),$A794&gt;MAX(DKW_10Y!$A$2:$A$2918),Settings!$B$16&lt;MIN(DKW_10Y!$A$2:$A$2918)),NA(),(INDEX(DKW_10Y!$D$2:$D$2918,MATCH($A794,DKW_10Y!$A$2:$A$2918,1))-INDEX(DKW_10Y!$D$2:$D$2918,MATCH(Settings!$B$16,DKW_10Y!$A$2:$A$2918,1)))*100))</f>
        <v/>
      </c>
      <c r="AA794" s="19">
        <f>IF(NOT(ISNUMBER($A794)),NA(),IF(OR($A794&lt;MIN(DKW_10Y!$A$2:$A$2918),$A794&gt;MAX(DKW_10Y!$A$2:$A$2918),Settings!$B$16&lt;MIN(DKW_10Y!$A$2:$A$2918)),NA(),(INDEX(DKW_10Y!$E$2:$E$2918,MATCH($A794,DKW_10Y!$A$2:$A$2918,1))-INDEX(DKW_10Y!$E$2:$E$2918,MATCH(Settings!$B$16,DKW_10Y!$A$2:$A$2918,1)))*100))</f>
        <v/>
      </c>
      <c r="AB794" s="19">
        <f>IF(NOT(ISNUMBER($A794)),NA(),IF(OR($A794&lt;MIN(DKW_10Y!$A$2:$A$2918),$A794&gt;MAX(DKW_10Y!$A$2:$A$2918),Settings!$B$16&lt;MIN(DKW_10Y!$A$2:$A$2918)),NA(),(INDEX(DKW_10Y!$H$2:$H$2918,MATCH($A794,DKW_10Y!$A$2:$A$2918,1))-INDEX(DKW_10Y!$H$2:$H$2918,MATCH(Settings!$B$16,DKW_10Y!$A$2:$A$2918,1)))*100))</f>
        <v/>
      </c>
      <c r="AC794" s="18">
        <f>IF(NOT(ISNUMBER($A794)),NA(),IFERROR(1*INDEX(BBG_Data!$N$2:$N$4000,MATCH($A794,BBG_Data!$M$2:$M$4000,0)),NA()))</f>
        <v/>
      </c>
      <c r="AD794" s="18">
        <f>IF(NOT(ISNUMBER($A794)),NA(),IFERROR(1*INDEX(BBG_Data!$P$2:$P$4000,MATCH($A794,BBG_Data!$O$2:$O$4000,0)),NA()))</f>
        <v/>
      </c>
      <c r="AE794" s="18">
        <f>IF(NOT(ISNUMBER($A794)),NA(),IFERROR(1*INDEX(BBG_Data!$R$2:$R$4000,MATCH($A794,BBG_Data!$Q$2:$Q$4000,0)),NA()))</f>
        <v/>
      </c>
      <c r="AF794" s="20">
        <f>IF(AND(ISNUMBER(B794),ISNUMBER(AC794)),(B794-AC794)*100,NA())</f>
        <v/>
      </c>
      <c r="AG794" s="20">
        <f>IF(AND(ISNUMBER(AE794),ISNUMBER(AD794)),(AE794-AD794)*100,NA())</f>
        <v/>
      </c>
      <c r="AH794" s="19">
        <f>IF(NOT(ISNUMBER($A794)),NA(),IFERROR(INDEX(BBG_Data!$T$2:$T$4000,MATCH($A794,BBG_Data!$S$2:$S$4000,0))*Settings!$B$25,NA()))</f>
        <v/>
      </c>
      <c r="AI794" s="19">
        <f>IF(NOT(ISNUMBER($A794)),NA(),IFERROR(INDEX(BBG_Data!$V$2:$V$4000,MATCH($A794,BBG_Data!$U$2:$U$4000,0))*Settings!$B$25,NA()))</f>
        <v/>
      </c>
      <c r="AJ794" s="19">
        <f>IF(NOT(ISNUMBER($A794)),NA(),IFERROR(1*INDEX(BBG_Data!$X$2:$X$4000,MATCH($A794,BBG_Data!$W$2:$W$4000,0)),NA()))</f>
        <v/>
      </c>
      <c r="AK794" s="19">
        <f>IF(NOT(ISNUMBER($A794)),NA(),IFERROR(1*INDEX(BBG_Data!$Z$2:$Z$4000,MATCH($A794,BBG_Data!$Y$2:$Y$4000,0)),NA()))</f>
        <v/>
      </c>
    </row>
    <row r="795">
      <c r="A795" s="17">
        <f>IF(ISNUMBER(BBG_Data!A795),BBG_Data!A795,"")</f>
        <v/>
      </c>
      <c r="B795" s="18">
        <f>IF(AND(ISNUMBER($A795),ISNUMBER(BBG_Data!B795)),BBG_Data!B795,NA())</f>
        <v/>
      </c>
      <c r="C795" s="18">
        <f>IF(NOT(ISNUMBER($A795)),NA(),IFERROR(1*INDEX(BBG_Data!$D$2:$D$4000,MATCH($A795,BBG_Data!$C$2:$C$4000,0)),NA()))</f>
        <v/>
      </c>
      <c r="D795" s="19">
        <f>IF(NOT(ISNUMBER($A795)),NA(),IFERROR(1*INDEX(BBG_Data!$F$2:$F$4000,MATCH($A795,BBG_Data!$E$2:$E$4000,0)),NA()))</f>
        <v/>
      </c>
      <c r="E795" s="19">
        <f>IF(NOT(ISNUMBER($A795)),NA(),IFERROR(1*INDEX(BBG_Data!$H$2:$H$4000,MATCH($A795,BBG_Data!$G$2:$G$4000,0)),NA()))</f>
        <v/>
      </c>
      <c r="F795" s="20">
        <f>IF(AND(ISNUMBER(B795),ISNUMBER(B794)),IF(B795=B794,"",(B795-B794)*100),"")</f>
        <v/>
      </c>
      <c r="G795" s="20">
        <f>IF(AND(ISNUMBER(C795),ISNUMBER(C794)),IF(C795=C794,"",(C795-C794)*100),"")</f>
        <v/>
      </c>
      <c r="H795" s="20">
        <f>IF(OR(NOT(ISNUMBER($A795)),ROW()-2&lt;Settings!$B$11),NA(),IF(COUNT(OFFSET(F795,1-Settings!$B$11,0,Settings!$B$11,1))&lt;ROUNDUP(Settings!$B$11*Settings!$B$26,0),NA(),STDEV(OFFSET(F795,1-Settings!$B$11,0,Settings!$B$11,1))*SQRT(Settings!$B$13)))</f>
        <v/>
      </c>
      <c r="I795" s="20">
        <f>IF(OR(NOT(ISNUMBER($A795)),ROW()-2&lt;Settings!$B$12),NA(),IF(COUNT(OFFSET(F795,1-Settings!$B$12,0,Settings!$B$12,1))&lt;ROUNDUP(Settings!$B$12*Settings!$B$26,0),NA(),STDEV(OFFSET(F795,1-Settings!$B$12,0,Settings!$B$12,1))*SQRT(Settings!$B$13)))</f>
        <v/>
      </c>
      <c r="J795" s="20">
        <f>IF(OR(NOT(ISNUMBER($A795)),ROW()-2&lt;Settings!$B$11),NA(),IF(COUNT(OFFSET(G795,1-Settings!$B$11,0,Settings!$B$11,1))&lt;ROUNDUP(Settings!$B$11*Settings!$B$26,0),NA(),STDEV(OFFSET(G795,1-Settings!$B$11,0,Settings!$B$11,1))*SQRT(Settings!$B$13)))</f>
        <v/>
      </c>
      <c r="K795" s="20">
        <f>IF(OR(NOT(ISNUMBER($A795)),ROW()-2&lt;Settings!$B$12),NA(),IF(COUNT(OFFSET(G795,1-Settings!$B$12,0,Settings!$B$12,1))&lt;ROUNDUP(Settings!$B$12*Settings!$B$26,0),NA(),STDEV(OFFSET(G795,1-Settings!$B$12,0,Settings!$B$12,1))*SQRT(Settings!$B$13)))</f>
        <v/>
      </c>
      <c r="L795" s="20">
        <f>IF(AND(ISNUMBER(D795),ISNUMBER(H795)),D795-H795,NA())</f>
        <v/>
      </c>
      <c r="M795" s="20">
        <f>IF(AND(ISNUMBER(E795),ISNUMBER(K795)),E795-K795,NA())</f>
        <v/>
      </c>
      <c r="N795" s="20">
        <f>IF(NOT(ISNUMBER($A795)),NA(),IF(COUNT(OFFSET(G795,1,0,Settings!$B$12,1))&lt;ROUNDUP(Settings!$B$12*Settings!$B$26,0),NA(),STDEV(OFFSET(G795,1,0,Settings!$B$12,1))*SQRT(Settings!$B$13)))</f>
        <v/>
      </c>
      <c r="O795" s="20">
        <f>IF(AND(ISNUMBER(E795),ISNUMBER(N795)),E795-N795,NA())</f>
        <v/>
      </c>
      <c r="P795" s="19">
        <f>IF(NOT(ISNUMBER($A795)),NA(),IF(OR($A795&lt;MIN(KW_TP!$A$2:$A$2501),$A795&gt;MAX(KW_TP!$A$2:$A$2501)),NA(),INDEX(KW_TP!$C$2:$C$2501,MATCH($A795,KW_TP!$A$2:$A$2501,1))))</f>
        <v/>
      </c>
      <c r="Q795" s="18">
        <f>IF(NOT(ISNUMBER($A795)),NA(),IFERROR(1*INDEX(BBG_Data!$J$2:$J$4000,MATCH($A795,BBG_Data!$I$2:$I$4000,0)),NA()))</f>
        <v/>
      </c>
      <c r="R795" s="18">
        <f>IF(NOT(ISNUMBER($A795)),NA(),IFERROR(1*INDEX(BBG_Data!$L$2:$L$4000,MATCH($A795,BBG_Data!$K$2:$K$4000,0)),NA()))</f>
        <v/>
      </c>
      <c r="S795" s="20">
        <f>IF(AND(ISNUMBER(B795),ISNUMBER(Q795),ISNUMBER(R795)),(B795-Q795-R795)*100,NA())</f>
        <v/>
      </c>
      <c r="T795" s="20">
        <f>IF(AND(ISNUMBER(B795),Settings!$B$17&gt;0),IF(ISNUMBER(INDEX($B:$B,Settings!$B$17)),(B795-INDEX($B:$B,Settings!$B$17))*100,NA()),NA())</f>
        <v/>
      </c>
      <c r="U795" s="20">
        <f>IF(AND(ISNUMBER(Q795),Settings!$B$17&gt;0),IF(ISNUMBER(INDEX($Q:$Q,Settings!$B$17)),(Q795-INDEX($Q:$Q,Settings!$B$17))*100,NA()),NA())</f>
        <v/>
      </c>
      <c r="V795" s="20">
        <f>IF(AND(ISNUMBER(R795),Settings!$B$17&gt;0),IF(ISNUMBER(INDEX($R:$R,Settings!$B$17)),(R795-INDEX($R:$R,Settings!$B$17))*100,NA()),NA())</f>
        <v/>
      </c>
      <c r="W795" s="20">
        <f>IF(AND(ISNUMBER(P795),Settings!$B$17&gt;0),IF(ISNUMBER(INDEX($P:$P,Settings!$B$17)),P795-INDEX($P:$P,Settings!$B$17),NA()),NA())</f>
        <v/>
      </c>
      <c r="X795" s="19">
        <f>IF(NOT(ISNUMBER($A795)),NA(),IF(OR($A795&lt;MIN(DKW_10Y!$A$2:$A$2918),$A795&gt;MAX(DKW_10Y!$A$2:$A$2918),Settings!$B$16&lt;MIN(DKW_10Y!$A$2:$A$2918)),NA(),(INDEX(DKW_10Y!$B$2:$B$2918,MATCH($A795,DKW_10Y!$A$2:$A$2918,1))-INDEX(DKW_10Y!$B$2:$B$2918,MATCH(Settings!$B$16,DKW_10Y!$A$2:$A$2918,1)))*100))</f>
        <v/>
      </c>
      <c r="Y795" s="19">
        <f>IF(NOT(ISNUMBER($A795)),NA(),IF(OR($A795&lt;MIN(DKW_10Y!$A$2:$A$2918),$A795&gt;MAX(DKW_10Y!$A$2:$A$2918),Settings!$B$16&lt;MIN(DKW_10Y!$A$2:$A$2918)),NA(),(INDEX(DKW_10Y!$C$2:$C$2918,MATCH($A795,DKW_10Y!$A$2:$A$2918,1))-INDEX(DKW_10Y!$C$2:$C$2918,MATCH(Settings!$B$16,DKW_10Y!$A$2:$A$2918,1)))*100))</f>
        <v/>
      </c>
      <c r="Z795" s="19">
        <f>IF(NOT(ISNUMBER($A795)),NA(),IF(OR($A795&lt;MIN(DKW_10Y!$A$2:$A$2918),$A795&gt;MAX(DKW_10Y!$A$2:$A$2918),Settings!$B$16&lt;MIN(DKW_10Y!$A$2:$A$2918)),NA(),(INDEX(DKW_10Y!$D$2:$D$2918,MATCH($A795,DKW_10Y!$A$2:$A$2918,1))-INDEX(DKW_10Y!$D$2:$D$2918,MATCH(Settings!$B$16,DKW_10Y!$A$2:$A$2918,1)))*100))</f>
        <v/>
      </c>
      <c r="AA795" s="19">
        <f>IF(NOT(ISNUMBER($A795)),NA(),IF(OR($A795&lt;MIN(DKW_10Y!$A$2:$A$2918),$A795&gt;MAX(DKW_10Y!$A$2:$A$2918),Settings!$B$16&lt;MIN(DKW_10Y!$A$2:$A$2918)),NA(),(INDEX(DKW_10Y!$E$2:$E$2918,MATCH($A795,DKW_10Y!$A$2:$A$2918,1))-INDEX(DKW_10Y!$E$2:$E$2918,MATCH(Settings!$B$16,DKW_10Y!$A$2:$A$2918,1)))*100))</f>
        <v/>
      </c>
      <c r="AB795" s="19">
        <f>IF(NOT(ISNUMBER($A795)),NA(),IF(OR($A795&lt;MIN(DKW_10Y!$A$2:$A$2918),$A795&gt;MAX(DKW_10Y!$A$2:$A$2918),Settings!$B$16&lt;MIN(DKW_10Y!$A$2:$A$2918)),NA(),(INDEX(DKW_10Y!$H$2:$H$2918,MATCH($A795,DKW_10Y!$A$2:$A$2918,1))-INDEX(DKW_10Y!$H$2:$H$2918,MATCH(Settings!$B$16,DKW_10Y!$A$2:$A$2918,1)))*100))</f>
        <v/>
      </c>
      <c r="AC795" s="18">
        <f>IF(NOT(ISNUMBER($A795)),NA(),IFERROR(1*INDEX(BBG_Data!$N$2:$N$4000,MATCH($A795,BBG_Data!$M$2:$M$4000,0)),NA()))</f>
        <v/>
      </c>
      <c r="AD795" s="18">
        <f>IF(NOT(ISNUMBER($A795)),NA(),IFERROR(1*INDEX(BBG_Data!$P$2:$P$4000,MATCH($A795,BBG_Data!$O$2:$O$4000,0)),NA()))</f>
        <v/>
      </c>
      <c r="AE795" s="18">
        <f>IF(NOT(ISNUMBER($A795)),NA(),IFERROR(1*INDEX(BBG_Data!$R$2:$R$4000,MATCH($A795,BBG_Data!$Q$2:$Q$4000,0)),NA()))</f>
        <v/>
      </c>
      <c r="AF795" s="20">
        <f>IF(AND(ISNUMBER(B795),ISNUMBER(AC795)),(B795-AC795)*100,NA())</f>
        <v/>
      </c>
      <c r="AG795" s="20">
        <f>IF(AND(ISNUMBER(AE795),ISNUMBER(AD795)),(AE795-AD795)*100,NA())</f>
        <v/>
      </c>
      <c r="AH795" s="19">
        <f>IF(NOT(ISNUMBER($A795)),NA(),IFERROR(INDEX(BBG_Data!$T$2:$T$4000,MATCH($A795,BBG_Data!$S$2:$S$4000,0))*Settings!$B$25,NA()))</f>
        <v/>
      </c>
      <c r="AI795" s="19">
        <f>IF(NOT(ISNUMBER($A795)),NA(),IFERROR(INDEX(BBG_Data!$V$2:$V$4000,MATCH($A795,BBG_Data!$U$2:$U$4000,0))*Settings!$B$25,NA()))</f>
        <v/>
      </c>
      <c r="AJ795" s="19">
        <f>IF(NOT(ISNUMBER($A795)),NA(),IFERROR(1*INDEX(BBG_Data!$X$2:$X$4000,MATCH($A795,BBG_Data!$W$2:$W$4000,0)),NA()))</f>
        <v/>
      </c>
      <c r="AK795" s="19">
        <f>IF(NOT(ISNUMBER($A795)),NA(),IFERROR(1*INDEX(BBG_Data!$Z$2:$Z$4000,MATCH($A795,BBG_Data!$Y$2:$Y$4000,0)),NA()))</f>
        <v/>
      </c>
    </row>
    <row r="796">
      <c r="A796" s="17">
        <f>IF(ISNUMBER(BBG_Data!A796),BBG_Data!A796,"")</f>
        <v/>
      </c>
      <c r="B796" s="18">
        <f>IF(AND(ISNUMBER($A796),ISNUMBER(BBG_Data!B796)),BBG_Data!B796,NA())</f>
        <v/>
      </c>
      <c r="C796" s="18">
        <f>IF(NOT(ISNUMBER($A796)),NA(),IFERROR(1*INDEX(BBG_Data!$D$2:$D$4000,MATCH($A796,BBG_Data!$C$2:$C$4000,0)),NA()))</f>
        <v/>
      </c>
      <c r="D796" s="19">
        <f>IF(NOT(ISNUMBER($A796)),NA(),IFERROR(1*INDEX(BBG_Data!$F$2:$F$4000,MATCH($A796,BBG_Data!$E$2:$E$4000,0)),NA()))</f>
        <v/>
      </c>
      <c r="E796" s="19">
        <f>IF(NOT(ISNUMBER($A796)),NA(),IFERROR(1*INDEX(BBG_Data!$H$2:$H$4000,MATCH($A796,BBG_Data!$G$2:$G$4000,0)),NA()))</f>
        <v/>
      </c>
      <c r="F796" s="20">
        <f>IF(AND(ISNUMBER(B796),ISNUMBER(B795)),IF(B796=B795,"",(B796-B795)*100),"")</f>
        <v/>
      </c>
      <c r="G796" s="20">
        <f>IF(AND(ISNUMBER(C796),ISNUMBER(C795)),IF(C796=C795,"",(C796-C795)*100),"")</f>
        <v/>
      </c>
      <c r="H796" s="20">
        <f>IF(OR(NOT(ISNUMBER($A796)),ROW()-2&lt;Settings!$B$11),NA(),IF(COUNT(OFFSET(F796,1-Settings!$B$11,0,Settings!$B$11,1))&lt;ROUNDUP(Settings!$B$11*Settings!$B$26,0),NA(),STDEV(OFFSET(F796,1-Settings!$B$11,0,Settings!$B$11,1))*SQRT(Settings!$B$13)))</f>
        <v/>
      </c>
      <c r="I796" s="20">
        <f>IF(OR(NOT(ISNUMBER($A796)),ROW()-2&lt;Settings!$B$12),NA(),IF(COUNT(OFFSET(F796,1-Settings!$B$12,0,Settings!$B$12,1))&lt;ROUNDUP(Settings!$B$12*Settings!$B$26,0),NA(),STDEV(OFFSET(F796,1-Settings!$B$12,0,Settings!$B$12,1))*SQRT(Settings!$B$13)))</f>
        <v/>
      </c>
      <c r="J796" s="20">
        <f>IF(OR(NOT(ISNUMBER($A796)),ROW()-2&lt;Settings!$B$11),NA(),IF(COUNT(OFFSET(G796,1-Settings!$B$11,0,Settings!$B$11,1))&lt;ROUNDUP(Settings!$B$11*Settings!$B$26,0),NA(),STDEV(OFFSET(G796,1-Settings!$B$11,0,Settings!$B$11,1))*SQRT(Settings!$B$13)))</f>
        <v/>
      </c>
      <c r="K796" s="20">
        <f>IF(OR(NOT(ISNUMBER($A796)),ROW()-2&lt;Settings!$B$12),NA(),IF(COUNT(OFFSET(G796,1-Settings!$B$12,0,Settings!$B$12,1))&lt;ROUNDUP(Settings!$B$12*Settings!$B$26,0),NA(),STDEV(OFFSET(G796,1-Settings!$B$12,0,Settings!$B$12,1))*SQRT(Settings!$B$13)))</f>
        <v/>
      </c>
      <c r="L796" s="20">
        <f>IF(AND(ISNUMBER(D796),ISNUMBER(H796)),D796-H796,NA())</f>
        <v/>
      </c>
      <c r="M796" s="20">
        <f>IF(AND(ISNUMBER(E796),ISNUMBER(K796)),E796-K796,NA())</f>
        <v/>
      </c>
      <c r="N796" s="20">
        <f>IF(NOT(ISNUMBER($A796)),NA(),IF(COUNT(OFFSET(G796,1,0,Settings!$B$12,1))&lt;ROUNDUP(Settings!$B$12*Settings!$B$26,0),NA(),STDEV(OFFSET(G796,1,0,Settings!$B$12,1))*SQRT(Settings!$B$13)))</f>
        <v/>
      </c>
      <c r="O796" s="20">
        <f>IF(AND(ISNUMBER(E796),ISNUMBER(N796)),E796-N796,NA())</f>
        <v/>
      </c>
      <c r="P796" s="19">
        <f>IF(NOT(ISNUMBER($A796)),NA(),IF(OR($A796&lt;MIN(KW_TP!$A$2:$A$2501),$A796&gt;MAX(KW_TP!$A$2:$A$2501)),NA(),INDEX(KW_TP!$C$2:$C$2501,MATCH($A796,KW_TP!$A$2:$A$2501,1))))</f>
        <v/>
      </c>
      <c r="Q796" s="18">
        <f>IF(NOT(ISNUMBER($A796)),NA(),IFERROR(1*INDEX(BBG_Data!$J$2:$J$4000,MATCH($A796,BBG_Data!$I$2:$I$4000,0)),NA()))</f>
        <v/>
      </c>
      <c r="R796" s="18">
        <f>IF(NOT(ISNUMBER($A796)),NA(),IFERROR(1*INDEX(BBG_Data!$L$2:$L$4000,MATCH($A796,BBG_Data!$K$2:$K$4000,0)),NA()))</f>
        <v/>
      </c>
      <c r="S796" s="20">
        <f>IF(AND(ISNUMBER(B796),ISNUMBER(Q796),ISNUMBER(R796)),(B796-Q796-R796)*100,NA())</f>
        <v/>
      </c>
      <c r="T796" s="20">
        <f>IF(AND(ISNUMBER(B796),Settings!$B$17&gt;0),IF(ISNUMBER(INDEX($B:$B,Settings!$B$17)),(B796-INDEX($B:$B,Settings!$B$17))*100,NA()),NA())</f>
        <v/>
      </c>
      <c r="U796" s="20">
        <f>IF(AND(ISNUMBER(Q796),Settings!$B$17&gt;0),IF(ISNUMBER(INDEX($Q:$Q,Settings!$B$17)),(Q796-INDEX($Q:$Q,Settings!$B$17))*100,NA()),NA())</f>
        <v/>
      </c>
      <c r="V796" s="20">
        <f>IF(AND(ISNUMBER(R796),Settings!$B$17&gt;0),IF(ISNUMBER(INDEX($R:$R,Settings!$B$17)),(R796-INDEX($R:$R,Settings!$B$17))*100,NA()),NA())</f>
        <v/>
      </c>
      <c r="W796" s="20">
        <f>IF(AND(ISNUMBER(P796),Settings!$B$17&gt;0),IF(ISNUMBER(INDEX($P:$P,Settings!$B$17)),P796-INDEX($P:$P,Settings!$B$17),NA()),NA())</f>
        <v/>
      </c>
      <c r="X796" s="19">
        <f>IF(NOT(ISNUMBER($A796)),NA(),IF(OR($A796&lt;MIN(DKW_10Y!$A$2:$A$2918),$A796&gt;MAX(DKW_10Y!$A$2:$A$2918),Settings!$B$16&lt;MIN(DKW_10Y!$A$2:$A$2918)),NA(),(INDEX(DKW_10Y!$B$2:$B$2918,MATCH($A796,DKW_10Y!$A$2:$A$2918,1))-INDEX(DKW_10Y!$B$2:$B$2918,MATCH(Settings!$B$16,DKW_10Y!$A$2:$A$2918,1)))*100))</f>
        <v/>
      </c>
      <c r="Y796" s="19">
        <f>IF(NOT(ISNUMBER($A796)),NA(),IF(OR($A796&lt;MIN(DKW_10Y!$A$2:$A$2918),$A796&gt;MAX(DKW_10Y!$A$2:$A$2918),Settings!$B$16&lt;MIN(DKW_10Y!$A$2:$A$2918)),NA(),(INDEX(DKW_10Y!$C$2:$C$2918,MATCH($A796,DKW_10Y!$A$2:$A$2918,1))-INDEX(DKW_10Y!$C$2:$C$2918,MATCH(Settings!$B$16,DKW_10Y!$A$2:$A$2918,1)))*100))</f>
        <v/>
      </c>
      <c r="Z796" s="19">
        <f>IF(NOT(ISNUMBER($A796)),NA(),IF(OR($A796&lt;MIN(DKW_10Y!$A$2:$A$2918),$A796&gt;MAX(DKW_10Y!$A$2:$A$2918),Settings!$B$16&lt;MIN(DKW_10Y!$A$2:$A$2918)),NA(),(INDEX(DKW_10Y!$D$2:$D$2918,MATCH($A796,DKW_10Y!$A$2:$A$2918,1))-INDEX(DKW_10Y!$D$2:$D$2918,MATCH(Settings!$B$16,DKW_10Y!$A$2:$A$2918,1)))*100))</f>
        <v/>
      </c>
      <c r="AA796" s="19">
        <f>IF(NOT(ISNUMBER($A796)),NA(),IF(OR($A796&lt;MIN(DKW_10Y!$A$2:$A$2918),$A796&gt;MAX(DKW_10Y!$A$2:$A$2918),Settings!$B$16&lt;MIN(DKW_10Y!$A$2:$A$2918)),NA(),(INDEX(DKW_10Y!$E$2:$E$2918,MATCH($A796,DKW_10Y!$A$2:$A$2918,1))-INDEX(DKW_10Y!$E$2:$E$2918,MATCH(Settings!$B$16,DKW_10Y!$A$2:$A$2918,1)))*100))</f>
        <v/>
      </c>
      <c r="AB796" s="19">
        <f>IF(NOT(ISNUMBER($A796)),NA(),IF(OR($A796&lt;MIN(DKW_10Y!$A$2:$A$2918),$A796&gt;MAX(DKW_10Y!$A$2:$A$2918),Settings!$B$16&lt;MIN(DKW_10Y!$A$2:$A$2918)),NA(),(INDEX(DKW_10Y!$H$2:$H$2918,MATCH($A796,DKW_10Y!$A$2:$A$2918,1))-INDEX(DKW_10Y!$H$2:$H$2918,MATCH(Settings!$B$16,DKW_10Y!$A$2:$A$2918,1)))*100))</f>
        <v/>
      </c>
      <c r="AC796" s="18">
        <f>IF(NOT(ISNUMBER($A796)),NA(),IFERROR(1*INDEX(BBG_Data!$N$2:$N$4000,MATCH($A796,BBG_Data!$M$2:$M$4000,0)),NA()))</f>
        <v/>
      </c>
      <c r="AD796" s="18">
        <f>IF(NOT(ISNUMBER($A796)),NA(),IFERROR(1*INDEX(BBG_Data!$P$2:$P$4000,MATCH($A796,BBG_Data!$O$2:$O$4000,0)),NA()))</f>
        <v/>
      </c>
      <c r="AE796" s="18">
        <f>IF(NOT(ISNUMBER($A796)),NA(),IFERROR(1*INDEX(BBG_Data!$R$2:$R$4000,MATCH($A796,BBG_Data!$Q$2:$Q$4000,0)),NA()))</f>
        <v/>
      </c>
      <c r="AF796" s="20">
        <f>IF(AND(ISNUMBER(B796),ISNUMBER(AC796)),(B796-AC796)*100,NA())</f>
        <v/>
      </c>
      <c r="AG796" s="20">
        <f>IF(AND(ISNUMBER(AE796),ISNUMBER(AD796)),(AE796-AD796)*100,NA())</f>
        <v/>
      </c>
      <c r="AH796" s="19">
        <f>IF(NOT(ISNUMBER($A796)),NA(),IFERROR(INDEX(BBG_Data!$T$2:$T$4000,MATCH($A796,BBG_Data!$S$2:$S$4000,0))*Settings!$B$25,NA()))</f>
        <v/>
      </c>
      <c r="AI796" s="19">
        <f>IF(NOT(ISNUMBER($A796)),NA(),IFERROR(INDEX(BBG_Data!$V$2:$V$4000,MATCH($A796,BBG_Data!$U$2:$U$4000,0))*Settings!$B$25,NA()))</f>
        <v/>
      </c>
      <c r="AJ796" s="19">
        <f>IF(NOT(ISNUMBER($A796)),NA(),IFERROR(1*INDEX(BBG_Data!$X$2:$X$4000,MATCH($A796,BBG_Data!$W$2:$W$4000,0)),NA()))</f>
        <v/>
      </c>
      <c r="AK796" s="19">
        <f>IF(NOT(ISNUMBER($A796)),NA(),IFERROR(1*INDEX(BBG_Data!$Z$2:$Z$4000,MATCH($A796,BBG_Data!$Y$2:$Y$4000,0)),NA()))</f>
        <v/>
      </c>
    </row>
    <row r="797">
      <c r="A797" s="17">
        <f>IF(ISNUMBER(BBG_Data!A797),BBG_Data!A797,"")</f>
        <v/>
      </c>
      <c r="B797" s="18">
        <f>IF(AND(ISNUMBER($A797),ISNUMBER(BBG_Data!B797)),BBG_Data!B797,NA())</f>
        <v/>
      </c>
      <c r="C797" s="18">
        <f>IF(NOT(ISNUMBER($A797)),NA(),IFERROR(1*INDEX(BBG_Data!$D$2:$D$4000,MATCH($A797,BBG_Data!$C$2:$C$4000,0)),NA()))</f>
        <v/>
      </c>
      <c r="D797" s="19">
        <f>IF(NOT(ISNUMBER($A797)),NA(),IFERROR(1*INDEX(BBG_Data!$F$2:$F$4000,MATCH($A797,BBG_Data!$E$2:$E$4000,0)),NA()))</f>
        <v/>
      </c>
      <c r="E797" s="19">
        <f>IF(NOT(ISNUMBER($A797)),NA(),IFERROR(1*INDEX(BBG_Data!$H$2:$H$4000,MATCH($A797,BBG_Data!$G$2:$G$4000,0)),NA()))</f>
        <v/>
      </c>
      <c r="F797" s="20">
        <f>IF(AND(ISNUMBER(B797),ISNUMBER(B796)),IF(B797=B796,"",(B797-B796)*100),"")</f>
        <v/>
      </c>
      <c r="G797" s="20">
        <f>IF(AND(ISNUMBER(C797),ISNUMBER(C796)),IF(C797=C796,"",(C797-C796)*100),"")</f>
        <v/>
      </c>
      <c r="H797" s="20">
        <f>IF(OR(NOT(ISNUMBER($A797)),ROW()-2&lt;Settings!$B$11),NA(),IF(COUNT(OFFSET(F797,1-Settings!$B$11,0,Settings!$B$11,1))&lt;ROUNDUP(Settings!$B$11*Settings!$B$26,0),NA(),STDEV(OFFSET(F797,1-Settings!$B$11,0,Settings!$B$11,1))*SQRT(Settings!$B$13)))</f>
        <v/>
      </c>
      <c r="I797" s="20">
        <f>IF(OR(NOT(ISNUMBER($A797)),ROW()-2&lt;Settings!$B$12),NA(),IF(COUNT(OFFSET(F797,1-Settings!$B$12,0,Settings!$B$12,1))&lt;ROUNDUP(Settings!$B$12*Settings!$B$26,0),NA(),STDEV(OFFSET(F797,1-Settings!$B$12,0,Settings!$B$12,1))*SQRT(Settings!$B$13)))</f>
        <v/>
      </c>
      <c r="J797" s="20">
        <f>IF(OR(NOT(ISNUMBER($A797)),ROW()-2&lt;Settings!$B$11),NA(),IF(COUNT(OFFSET(G797,1-Settings!$B$11,0,Settings!$B$11,1))&lt;ROUNDUP(Settings!$B$11*Settings!$B$26,0),NA(),STDEV(OFFSET(G797,1-Settings!$B$11,0,Settings!$B$11,1))*SQRT(Settings!$B$13)))</f>
        <v/>
      </c>
      <c r="K797" s="20">
        <f>IF(OR(NOT(ISNUMBER($A797)),ROW()-2&lt;Settings!$B$12),NA(),IF(COUNT(OFFSET(G797,1-Settings!$B$12,0,Settings!$B$12,1))&lt;ROUNDUP(Settings!$B$12*Settings!$B$26,0),NA(),STDEV(OFFSET(G797,1-Settings!$B$12,0,Settings!$B$12,1))*SQRT(Settings!$B$13)))</f>
        <v/>
      </c>
      <c r="L797" s="20">
        <f>IF(AND(ISNUMBER(D797),ISNUMBER(H797)),D797-H797,NA())</f>
        <v/>
      </c>
      <c r="M797" s="20">
        <f>IF(AND(ISNUMBER(E797),ISNUMBER(K797)),E797-K797,NA())</f>
        <v/>
      </c>
      <c r="N797" s="20">
        <f>IF(NOT(ISNUMBER($A797)),NA(),IF(COUNT(OFFSET(G797,1,0,Settings!$B$12,1))&lt;ROUNDUP(Settings!$B$12*Settings!$B$26,0),NA(),STDEV(OFFSET(G797,1,0,Settings!$B$12,1))*SQRT(Settings!$B$13)))</f>
        <v/>
      </c>
      <c r="O797" s="20">
        <f>IF(AND(ISNUMBER(E797),ISNUMBER(N797)),E797-N797,NA())</f>
        <v/>
      </c>
      <c r="P797" s="19">
        <f>IF(NOT(ISNUMBER($A797)),NA(),IF(OR($A797&lt;MIN(KW_TP!$A$2:$A$2501),$A797&gt;MAX(KW_TP!$A$2:$A$2501)),NA(),INDEX(KW_TP!$C$2:$C$2501,MATCH($A797,KW_TP!$A$2:$A$2501,1))))</f>
        <v/>
      </c>
      <c r="Q797" s="18">
        <f>IF(NOT(ISNUMBER($A797)),NA(),IFERROR(1*INDEX(BBG_Data!$J$2:$J$4000,MATCH($A797,BBG_Data!$I$2:$I$4000,0)),NA()))</f>
        <v/>
      </c>
      <c r="R797" s="18">
        <f>IF(NOT(ISNUMBER($A797)),NA(),IFERROR(1*INDEX(BBG_Data!$L$2:$L$4000,MATCH($A797,BBG_Data!$K$2:$K$4000,0)),NA()))</f>
        <v/>
      </c>
      <c r="S797" s="20">
        <f>IF(AND(ISNUMBER(B797),ISNUMBER(Q797),ISNUMBER(R797)),(B797-Q797-R797)*100,NA())</f>
        <v/>
      </c>
      <c r="T797" s="20">
        <f>IF(AND(ISNUMBER(B797),Settings!$B$17&gt;0),IF(ISNUMBER(INDEX($B:$B,Settings!$B$17)),(B797-INDEX($B:$B,Settings!$B$17))*100,NA()),NA())</f>
        <v/>
      </c>
      <c r="U797" s="20">
        <f>IF(AND(ISNUMBER(Q797),Settings!$B$17&gt;0),IF(ISNUMBER(INDEX($Q:$Q,Settings!$B$17)),(Q797-INDEX($Q:$Q,Settings!$B$17))*100,NA()),NA())</f>
        <v/>
      </c>
      <c r="V797" s="20">
        <f>IF(AND(ISNUMBER(R797),Settings!$B$17&gt;0),IF(ISNUMBER(INDEX($R:$R,Settings!$B$17)),(R797-INDEX($R:$R,Settings!$B$17))*100,NA()),NA())</f>
        <v/>
      </c>
      <c r="W797" s="20">
        <f>IF(AND(ISNUMBER(P797),Settings!$B$17&gt;0),IF(ISNUMBER(INDEX($P:$P,Settings!$B$17)),P797-INDEX($P:$P,Settings!$B$17),NA()),NA())</f>
        <v/>
      </c>
      <c r="X797" s="19">
        <f>IF(NOT(ISNUMBER($A797)),NA(),IF(OR($A797&lt;MIN(DKW_10Y!$A$2:$A$2918),$A797&gt;MAX(DKW_10Y!$A$2:$A$2918),Settings!$B$16&lt;MIN(DKW_10Y!$A$2:$A$2918)),NA(),(INDEX(DKW_10Y!$B$2:$B$2918,MATCH($A797,DKW_10Y!$A$2:$A$2918,1))-INDEX(DKW_10Y!$B$2:$B$2918,MATCH(Settings!$B$16,DKW_10Y!$A$2:$A$2918,1)))*100))</f>
        <v/>
      </c>
      <c r="Y797" s="19">
        <f>IF(NOT(ISNUMBER($A797)),NA(),IF(OR($A797&lt;MIN(DKW_10Y!$A$2:$A$2918),$A797&gt;MAX(DKW_10Y!$A$2:$A$2918),Settings!$B$16&lt;MIN(DKW_10Y!$A$2:$A$2918)),NA(),(INDEX(DKW_10Y!$C$2:$C$2918,MATCH($A797,DKW_10Y!$A$2:$A$2918,1))-INDEX(DKW_10Y!$C$2:$C$2918,MATCH(Settings!$B$16,DKW_10Y!$A$2:$A$2918,1)))*100))</f>
        <v/>
      </c>
      <c r="Z797" s="19">
        <f>IF(NOT(ISNUMBER($A797)),NA(),IF(OR($A797&lt;MIN(DKW_10Y!$A$2:$A$2918),$A797&gt;MAX(DKW_10Y!$A$2:$A$2918),Settings!$B$16&lt;MIN(DKW_10Y!$A$2:$A$2918)),NA(),(INDEX(DKW_10Y!$D$2:$D$2918,MATCH($A797,DKW_10Y!$A$2:$A$2918,1))-INDEX(DKW_10Y!$D$2:$D$2918,MATCH(Settings!$B$16,DKW_10Y!$A$2:$A$2918,1)))*100))</f>
        <v/>
      </c>
      <c r="AA797" s="19">
        <f>IF(NOT(ISNUMBER($A797)),NA(),IF(OR($A797&lt;MIN(DKW_10Y!$A$2:$A$2918),$A797&gt;MAX(DKW_10Y!$A$2:$A$2918),Settings!$B$16&lt;MIN(DKW_10Y!$A$2:$A$2918)),NA(),(INDEX(DKW_10Y!$E$2:$E$2918,MATCH($A797,DKW_10Y!$A$2:$A$2918,1))-INDEX(DKW_10Y!$E$2:$E$2918,MATCH(Settings!$B$16,DKW_10Y!$A$2:$A$2918,1)))*100))</f>
        <v/>
      </c>
      <c r="AB797" s="19">
        <f>IF(NOT(ISNUMBER($A797)),NA(),IF(OR($A797&lt;MIN(DKW_10Y!$A$2:$A$2918),$A797&gt;MAX(DKW_10Y!$A$2:$A$2918),Settings!$B$16&lt;MIN(DKW_10Y!$A$2:$A$2918)),NA(),(INDEX(DKW_10Y!$H$2:$H$2918,MATCH($A797,DKW_10Y!$A$2:$A$2918,1))-INDEX(DKW_10Y!$H$2:$H$2918,MATCH(Settings!$B$16,DKW_10Y!$A$2:$A$2918,1)))*100))</f>
        <v/>
      </c>
      <c r="AC797" s="18">
        <f>IF(NOT(ISNUMBER($A797)),NA(),IFERROR(1*INDEX(BBG_Data!$N$2:$N$4000,MATCH($A797,BBG_Data!$M$2:$M$4000,0)),NA()))</f>
        <v/>
      </c>
      <c r="AD797" s="18">
        <f>IF(NOT(ISNUMBER($A797)),NA(),IFERROR(1*INDEX(BBG_Data!$P$2:$P$4000,MATCH($A797,BBG_Data!$O$2:$O$4000,0)),NA()))</f>
        <v/>
      </c>
      <c r="AE797" s="18">
        <f>IF(NOT(ISNUMBER($A797)),NA(),IFERROR(1*INDEX(BBG_Data!$R$2:$R$4000,MATCH($A797,BBG_Data!$Q$2:$Q$4000,0)),NA()))</f>
        <v/>
      </c>
      <c r="AF797" s="20">
        <f>IF(AND(ISNUMBER(B797),ISNUMBER(AC797)),(B797-AC797)*100,NA())</f>
        <v/>
      </c>
      <c r="AG797" s="20">
        <f>IF(AND(ISNUMBER(AE797),ISNUMBER(AD797)),(AE797-AD797)*100,NA())</f>
        <v/>
      </c>
      <c r="AH797" s="19">
        <f>IF(NOT(ISNUMBER($A797)),NA(),IFERROR(INDEX(BBG_Data!$T$2:$T$4000,MATCH($A797,BBG_Data!$S$2:$S$4000,0))*Settings!$B$25,NA()))</f>
        <v/>
      </c>
      <c r="AI797" s="19">
        <f>IF(NOT(ISNUMBER($A797)),NA(),IFERROR(INDEX(BBG_Data!$V$2:$V$4000,MATCH($A797,BBG_Data!$U$2:$U$4000,0))*Settings!$B$25,NA()))</f>
        <v/>
      </c>
      <c r="AJ797" s="19">
        <f>IF(NOT(ISNUMBER($A797)),NA(),IFERROR(1*INDEX(BBG_Data!$X$2:$X$4000,MATCH($A797,BBG_Data!$W$2:$W$4000,0)),NA()))</f>
        <v/>
      </c>
      <c r="AK797" s="19">
        <f>IF(NOT(ISNUMBER($A797)),NA(),IFERROR(1*INDEX(BBG_Data!$Z$2:$Z$4000,MATCH($A797,BBG_Data!$Y$2:$Y$4000,0)),NA()))</f>
        <v/>
      </c>
    </row>
    <row r="798">
      <c r="A798" s="17">
        <f>IF(ISNUMBER(BBG_Data!A798),BBG_Data!A798,"")</f>
        <v/>
      </c>
      <c r="B798" s="18">
        <f>IF(AND(ISNUMBER($A798),ISNUMBER(BBG_Data!B798)),BBG_Data!B798,NA())</f>
        <v/>
      </c>
      <c r="C798" s="18">
        <f>IF(NOT(ISNUMBER($A798)),NA(),IFERROR(1*INDEX(BBG_Data!$D$2:$D$4000,MATCH($A798,BBG_Data!$C$2:$C$4000,0)),NA()))</f>
        <v/>
      </c>
      <c r="D798" s="19">
        <f>IF(NOT(ISNUMBER($A798)),NA(),IFERROR(1*INDEX(BBG_Data!$F$2:$F$4000,MATCH($A798,BBG_Data!$E$2:$E$4000,0)),NA()))</f>
        <v/>
      </c>
      <c r="E798" s="19">
        <f>IF(NOT(ISNUMBER($A798)),NA(),IFERROR(1*INDEX(BBG_Data!$H$2:$H$4000,MATCH($A798,BBG_Data!$G$2:$G$4000,0)),NA()))</f>
        <v/>
      </c>
      <c r="F798" s="20">
        <f>IF(AND(ISNUMBER(B798),ISNUMBER(B797)),IF(B798=B797,"",(B798-B797)*100),"")</f>
        <v/>
      </c>
      <c r="G798" s="20">
        <f>IF(AND(ISNUMBER(C798),ISNUMBER(C797)),IF(C798=C797,"",(C798-C797)*100),"")</f>
        <v/>
      </c>
      <c r="H798" s="20">
        <f>IF(OR(NOT(ISNUMBER($A798)),ROW()-2&lt;Settings!$B$11),NA(),IF(COUNT(OFFSET(F798,1-Settings!$B$11,0,Settings!$B$11,1))&lt;ROUNDUP(Settings!$B$11*Settings!$B$26,0),NA(),STDEV(OFFSET(F798,1-Settings!$B$11,0,Settings!$B$11,1))*SQRT(Settings!$B$13)))</f>
        <v/>
      </c>
      <c r="I798" s="20">
        <f>IF(OR(NOT(ISNUMBER($A798)),ROW()-2&lt;Settings!$B$12),NA(),IF(COUNT(OFFSET(F798,1-Settings!$B$12,0,Settings!$B$12,1))&lt;ROUNDUP(Settings!$B$12*Settings!$B$26,0),NA(),STDEV(OFFSET(F798,1-Settings!$B$12,0,Settings!$B$12,1))*SQRT(Settings!$B$13)))</f>
        <v/>
      </c>
      <c r="J798" s="20">
        <f>IF(OR(NOT(ISNUMBER($A798)),ROW()-2&lt;Settings!$B$11),NA(),IF(COUNT(OFFSET(G798,1-Settings!$B$11,0,Settings!$B$11,1))&lt;ROUNDUP(Settings!$B$11*Settings!$B$26,0),NA(),STDEV(OFFSET(G798,1-Settings!$B$11,0,Settings!$B$11,1))*SQRT(Settings!$B$13)))</f>
        <v/>
      </c>
      <c r="K798" s="20">
        <f>IF(OR(NOT(ISNUMBER($A798)),ROW()-2&lt;Settings!$B$12),NA(),IF(COUNT(OFFSET(G798,1-Settings!$B$12,0,Settings!$B$12,1))&lt;ROUNDUP(Settings!$B$12*Settings!$B$26,0),NA(),STDEV(OFFSET(G798,1-Settings!$B$12,0,Settings!$B$12,1))*SQRT(Settings!$B$13)))</f>
        <v/>
      </c>
      <c r="L798" s="20">
        <f>IF(AND(ISNUMBER(D798),ISNUMBER(H798)),D798-H798,NA())</f>
        <v/>
      </c>
      <c r="M798" s="20">
        <f>IF(AND(ISNUMBER(E798),ISNUMBER(K798)),E798-K798,NA())</f>
        <v/>
      </c>
      <c r="N798" s="20">
        <f>IF(NOT(ISNUMBER($A798)),NA(),IF(COUNT(OFFSET(G798,1,0,Settings!$B$12,1))&lt;ROUNDUP(Settings!$B$12*Settings!$B$26,0),NA(),STDEV(OFFSET(G798,1,0,Settings!$B$12,1))*SQRT(Settings!$B$13)))</f>
        <v/>
      </c>
      <c r="O798" s="20">
        <f>IF(AND(ISNUMBER(E798),ISNUMBER(N798)),E798-N798,NA())</f>
        <v/>
      </c>
      <c r="P798" s="19">
        <f>IF(NOT(ISNUMBER($A798)),NA(),IF(OR($A798&lt;MIN(KW_TP!$A$2:$A$2501),$A798&gt;MAX(KW_TP!$A$2:$A$2501)),NA(),INDEX(KW_TP!$C$2:$C$2501,MATCH($A798,KW_TP!$A$2:$A$2501,1))))</f>
        <v/>
      </c>
      <c r="Q798" s="18">
        <f>IF(NOT(ISNUMBER($A798)),NA(),IFERROR(1*INDEX(BBG_Data!$J$2:$J$4000,MATCH($A798,BBG_Data!$I$2:$I$4000,0)),NA()))</f>
        <v/>
      </c>
      <c r="R798" s="18">
        <f>IF(NOT(ISNUMBER($A798)),NA(),IFERROR(1*INDEX(BBG_Data!$L$2:$L$4000,MATCH($A798,BBG_Data!$K$2:$K$4000,0)),NA()))</f>
        <v/>
      </c>
      <c r="S798" s="20">
        <f>IF(AND(ISNUMBER(B798),ISNUMBER(Q798),ISNUMBER(R798)),(B798-Q798-R798)*100,NA())</f>
        <v/>
      </c>
      <c r="T798" s="20">
        <f>IF(AND(ISNUMBER(B798),Settings!$B$17&gt;0),IF(ISNUMBER(INDEX($B:$B,Settings!$B$17)),(B798-INDEX($B:$B,Settings!$B$17))*100,NA()),NA())</f>
        <v/>
      </c>
      <c r="U798" s="20">
        <f>IF(AND(ISNUMBER(Q798),Settings!$B$17&gt;0),IF(ISNUMBER(INDEX($Q:$Q,Settings!$B$17)),(Q798-INDEX($Q:$Q,Settings!$B$17))*100,NA()),NA())</f>
        <v/>
      </c>
      <c r="V798" s="20">
        <f>IF(AND(ISNUMBER(R798),Settings!$B$17&gt;0),IF(ISNUMBER(INDEX($R:$R,Settings!$B$17)),(R798-INDEX($R:$R,Settings!$B$17))*100,NA()),NA())</f>
        <v/>
      </c>
      <c r="W798" s="20">
        <f>IF(AND(ISNUMBER(P798),Settings!$B$17&gt;0),IF(ISNUMBER(INDEX($P:$P,Settings!$B$17)),P798-INDEX($P:$P,Settings!$B$17),NA()),NA())</f>
        <v/>
      </c>
      <c r="X798" s="19">
        <f>IF(NOT(ISNUMBER($A798)),NA(),IF(OR($A798&lt;MIN(DKW_10Y!$A$2:$A$2918),$A798&gt;MAX(DKW_10Y!$A$2:$A$2918),Settings!$B$16&lt;MIN(DKW_10Y!$A$2:$A$2918)),NA(),(INDEX(DKW_10Y!$B$2:$B$2918,MATCH($A798,DKW_10Y!$A$2:$A$2918,1))-INDEX(DKW_10Y!$B$2:$B$2918,MATCH(Settings!$B$16,DKW_10Y!$A$2:$A$2918,1)))*100))</f>
        <v/>
      </c>
      <c r="Y798" s="19">
        <f>IF(NOT(ISNUMBER($A798)),NA(),IF(OR($A798&lt;MIN(DKW_10Y!$A$2:$A$2918),$A798&gt;MAX(DKW_10Y!$A$2:$A$2918),Settings!$B$16&lt;MIN(DKW_10Y!$A$2:$A$2918)),NA(),(INDEX(DKW_10Y!$C$2:$C$2918,MATCH($A798,DKW_10Y!$A$2:$A$2918,1))-INDEX(DKW_10Y!$C$2:$C$2918,MATCH(Settings!$B$16,DKW_10Y!$A$2:$A$2918,1)))*100))</f>
        <v/>
      </c>
      <c r="Z798" s="19">
        <f>IF(NOT(ISNUMBER($A798)),NA(),IF(OR($A798&lt;MIN(DKW_10Y!$A$2:$A$2918),$A798&gt;MAX(DKW_10Y!$A$2:$A$2918),Settings!$B$16&lt;MIN(DKW_10Y!$A$2:$A$2918)),NA(),(INDEX(DKW_10Y!$D$2:$D$2918,MATCH($A798,DKW_10Y!$A$2:$A$2918,1))-INDEX(DKW_10Y!$D$2:$D$2918,MATCH(Settings!$B$16,DKW_10Y!$A$2:$A$2918,1)))*100))</f>
        <v/>
      </c>
      <c r="AA798" s="19">
        <f>IF(NOT(ISNUMBER($A798)),NA(),IF(OR($A798&lt;MIN(DKW_10Y!$A$2:$A$2918),$A798&gt;MAX(DKW_10Y!$A$2:$A$2918),Settings!$B$16&lt;MIN(DKW_10Y!$A$2:$A$2918)),NA(),(INDEX(DKW_10Y!$E$2:$E$2918,MATCH($A798,DKW_10Y!$A$2:$A$2918,1))-INDEX(DKW_10Y!$E$2:$E$2918,MATCH(Settings!$B$16,DKW_10Y!$A$2:$A$2918,1)))*100))</f>
        <v/>
      </c>
      <c r="AB798" s="19">
        <f>IF(NOT(ISNUMBER($A798)),NA(),IF(OR($A798&lt;MIN(DKW_10Y!$A$2:$A$2918),$A798&gt;MAX(DKW_10Y!$A$2:$A$2918),Settings!$B$16&lt;MIN(DKW_10Y!$A$2:$A$2918)),NA(),(INDEX(DKW_10Y!$H$2:$H$2918,MATCH($A798,DKW_10Y!$A$2:$A$2918,1))-INDEX(DKW_10Y!$H$2:$H$2918,MATCH(Settings!$B$16,DKW_10Y!$A$2:$A$2918,1)))*100))</f>
        <v/>
      </c>
      <c r="AC798" s="18">
        <f>IF(NOT(ISNUMBER($A798)),NA(),IFERROR(1*INDEX(BBG_Data!$N$2:$N$4000,MATCH($A798,BBG_Data!$M$2:$M$4000,0)),NA()))</f>
        <v/>
      </c>
      <c r="AD798" s="18">
        <f>IF(NOT(ISNUMBER($A798)),NA(),IFERROR(1*INDEX(BBG_Data!$P$2:$P$4000,MATCH($A798,BBG_Data!$O$2:$O$4000,0)),NA()))</f>
        <v/>
      </c>
      <c r="AE798" s="18">
        <f>IF(NOT(ISNUMBER($A798)),NA(),IFERROR(1*INDEX(BBG_Data!$R$2:$R$4000,MATCH($A798,BBG_Data!$Q$2:$Q$4000,0)),NA()))</f>
        <v/>
      </c>
      <c r="AF798" s="20">
        <f>IF(AND(ISNUMBER(B798),ISNUMBER(AC798)),(B798-AC798)*100,NA())</f>
        <v/>
      </c>
      <c r="AG798" s="20">
        <f>IF(AND(ISNUMBER(AE798),ISNUMBER(AD798)),(AE798-AD798)*100,NA())</f>
        <v/>
      </c>
      <c r="AH798" s="19">
        <f>IF(NOT(ISNUMBER($A798)),NA(),IFERROR(INDEX(BBG_Data!$T$2:$T$4000,MATCH($A798,BBG_Data!$S$2:$S$4000,0))*Settings!$B$25,NA()))</f>
        <v/>
      </c>
      <c r="AI798" s="19">
        <f>IF(NOT(ISNUMBER($A798)),NA(),IFERROR(INDEX(BBG_Data!$V$2:$V$4000,MATCH($A798,BBG_Data!$U$2:$U$4000,0))*Settings!$B$25,NA()))</f>
        <v/>
      </c>
      <c r="AJ798" s="19">
        <f>IF(NOT(ISNUMBER($A798)),NA(),IFERROR(1*INDEX(BBG_Data!$X$2:$X$4000,MATCH($A798,BBG_Data!$W$2:$W$4000,0)),NA()))</f>
        <v/>
      </c>
      <c r="AK798" s="19">
        <f>IF(NOT(ISNUMBER($A798)),NA(),IFERROR(1*INDEX(BBG_Data!$Z$2:$Z$4000,MATCH($A798,BBG_Data!$Y$2:$Y$4000,0)),NA()))</f>
        <v/>
      </c>
    </row>
    <row r="799">
      <c r="A799" s="17">
        <f>IF(ISNUMBER(BBG_Data!A799),BBG_Data!A799,"")</f>
        <v/>
      </c>
      <c r="B799" s="18">
        <f>IF(AND(ISNUMBER($A799),ISNUMBER(BBG_Data!B799)),BBG_Data!B799,NA())</f>
        <v/>
      </c>
      <c r="C799" s="18">
        <f>IF(NOT(ISNUMBER($A799)),NA(),IFERROR(1*INDEX(BBG_Data!$D$2:$D$4000,MATCH($A799,BBG_Data!$C$2:$C$4000,0)),NA()))</f>
        <v/>
      </c>
      <c r="D799" s="19">
        <f>IF(NOT(ISNUMBER($A799)),NA(),IFERROR(1*INDEX(BBG_Data!$F$2:$F$4000,MATCH($A799,BBG_Data!$E$2:$E$4000,0)),NA()))</f>
        <v/>
      </c>
      <c r="E799" s="19">
        <f>IF(NOT(ISNUMBER($A799)),NA(),IFERROR(1*INDEX(BBG_Data!$H$2:$H$4000,MATCH($A799,BBG_Data!$G$2:$G$4000,0)),NA()))</f>
        <v/>
      </c>
      <c r="F799" s="20">
        <f>IF(AND(ISNUMBER(B799),ISNUMBER(B798)),IF(B799=B798,"",(B799-B798)*100),"")</f>
        <v/>
      </c>
      <c r="G799" s="20">
        <f>IF(AND(ISNUMBER(C799),ISNUMBER(C798)),IF(C799=C798,"",(C799-C798)*100),"")</f>
        <v/>
      </c>
      <c r="H799" s="20">
        <f>IF(OR(NOT(ISNUMBER($A799)),ROW()-2&lt;Settings!$B$11),NA(),IF(COUNT(OFFSET(F799,1-Settings!$B$11,0,Settings!$B$11,1))&lt;ROUNDUP(Settings!$B$11*Settings!$B$26,0),NA(),STDEV(OFFSET(F799,1-Settings!$B$11,0,Settings!$B$11,1))*SQRT(Settings!$B$13)))</f>
        <v/>
      </c>
      <c r="I799" s="20">
        <f>IF(OR(NOT(ISNUMBER($A799)),ROW()-2&lt;Settings!$B$12),NA(),IF(COUNT(OFFSET(F799,1-Settings!$B$12,0,Settings!$B$12,1))&lt;ROUNDUP(Settings!$B$12*Settings!$B$26,0),NA(),STDEV(OFFSET(F799,1-Settings!$B$12,0,Settings!$B$12,1))*SQRT(Settings!$B$13)))</f>
        <v/>
      </c>
      <c r="J799" s="20">
        <f>IF(OR(NOT(ISNUMBER($A799)),ROW()-2&lt;Settings!$B$11),NA(),IF(COUNT(OFFSET(G799,1-Settings!$B$11,0,Settings!$B$11,1))&lt;ROUNDUP(Settings!$B$11*Settings!$B$26,0),NA(),STDEV(OFFSET(G799,1-Settings!$B$11,0,Settings!$B$11,1))*SQRT(Settings!$B$13)))</f>
        <v/>
      </c>
      <c r="K799" s="20">
        <f>IF(OR(NOT(ISNUMBER($A799)),ROW()-2&lt;Settings!$B$12),NA(),IF(COUNT(OFFSET(G799,1-Settings!$B$12,0,Settings!$B$12,1))&lt;ROUNDUP(Settings!$B$12*Settings!$B$26,0),NA(),STDEV(OFFSET(G799,1-Settings!$B$12,0,Settings!$B$12,1))*SQRT(Settings!$B$13)))</f>
        <v/>
      </c>
      <c r="L799" s="20">
        <f>IF(AND(ISNUMBER(D799),ISNUMBER(H799)),D799-H799,NA())</f>
        <v/>
      </c>
      <c r="M799" s="20">
        <f>IF(AND(ISNUMBER(E799),ISNUMBER(K799)),E799-K799,NA())</f>
        <v/>
      </c>
      <c r="N799" s="20">
        <f>IF(NOT(ISNUMBER($A799)),NA(),IF(COUNT(OFFSET(G799,1,0,Settings!$B$12,1))&lt;ROUNDUP(Settings!$B$12*Settings!$B$26,0),NA(),STDEV(OFFSET(G799,1,0,Settings!$B$12,1))*SQRT(Settings!$B$13)))</f>
        <v/>
      </c>
      <c r="O799" s="20">
        <f>IF(AND(ISNUMBER(E799),ISNUMBER(N799)),E799-N799,NA())</f>
        <v/>
      </c>
      <c r="P799" s="19">
        <f>IF(NOT(ISNUMBER($A799)),NA(),IF(OR($A799&lt;MIN(KW_TP!$A$2:$A$2501),$A799&gt;MAX(KW_TP!$A$2:$A$2501)),NA(),INDEX(KW_TP!$C$2:$C$2501,MATCH($A799,KW_TP!$A$2:$A$2501,1))))</f>
        <v/>
      </c>
      <c r="Q799" s="18">
        <f>IF(NOT(ISNUMBER($A799)),NA(),IFERROR(1*INDEX(BBG_Data!$J$2:$J$4000,MATCH($A799,BBG_Data!$I$2:$I$4000,0)),NA()))</f>
        <v/>
      </c>
      <c r="R799" s="18">
        <f>IF(NOT(ISNUMBER($A799)),NA(),IFERROR(1*INDEX(BBG_Data!$L$2:$L$4000,MATCH($A799,BBG_Data!$K$2:$K$4000,0)),NA()))</f>
        <v/>
      </c>
      <c r="S799" s="20">
        <f>IF(AND(ISNUMBER(B799),ISNUMBER(Q799),ISNUMBER(R799)),(B799-Q799-R799)*100,NA())</f>
        <v/>
      </c>
      <c r="T799" s="20">
        <f>IF(AND(ISNUMBER(B799),Settings!$B$17&gt;0),IF(ISNUMBER(INDEX($B:$B,Settings!$B$17)),(B799-INDEX($B:$B,Settings!$B$17))*100,NA()),NA())</f>
        <v/>
      </c>
      <c r="U799" s="20">
        <f>IF(AND(ISNUMBER(Q799),Settings!$B$17&gt;0),IF(ISNUMBER(INDEX($Q:$Q,Settings!$B$17)),(Q799-INDEX($Q:$Q,Settings!$B$17))*100,NA()),NA())</f>
        <v/>
      </c>
      <c r="V799" s="20">
        <f>IF(AND(ISNUMBER(R799),Settings!$B$17&gt;0),IF(ISNUMBER(INDEX($R:$R,Settings!$B$17)),(R799-INDEX($R:$R,Settings!$B$17))*100,NA()),NA())</f>
        <v/>
      </c>
      <c r="W799" s="20">
        <f>IF(AND(ISNUMBER(P799),Settings!$B$17&gt;0),IF(ISNUMBER(INDEX($P:$P,Settings!$B$17)),P799-INDEX($P:$P,Settings!$B$17),NA()),NA())</f>
        <v/>
      </c>
      <c r="X799" s="19">
        <f>IF(NOT(ISNUMBER($A799)),NA(),IF(OR($A799&lt;MIN(DKW_10Y!$A$2:$A$2918),$A799&gt;MAX(DKW_10Y!$A$2:$A$2918),Settings!$B$16&lt;MIN(DKW_10Y!$A$2:$A$2918)),NA(),(INDEX(DKW_10Y!$B$2:$B$2918,MATCH($A799,DKW_10Y!$A$2:$A$2918,1))-INDEX(DKW_10Y!$B$2:$B$2918,MATCH(Settings!$B$16,DKW_10Y!$A$2:$A$2918,1)))*100))</f>
        <v/>
      </c>
      <c r="Y799" s="19">
        <f>IF(NOT(ISNUMBER($A799)),NA(),IF(OR($A799&lt;MIN(DKW_10Y!$A$2:$A$2918),$A799&gt;MAX(DKW_10Y!$A$2:$A$2918),Settings!$B$16&lt;MIN(DKW_10Y!$A$2:$A$2918)),NA(),(INDEX(DKW_10Y!$C$2:$C$2918,MATCH($A799,DKW_10Y!$A$2:$A$2918,1))-INDEX(DKW_10Y!$C$2:$C$2918,MATCH(Settings!$B$16,DKW_10Y!$A$2:$A$2918,1)))*100))</f>
        <v/>
      </c>
      <c r="Z799" s="19">
        <f>IF(NOT(ISNUMBER($A799)),NA(),IF(OR($A799&lt;MIN(DKW_10Y!$A$2:$A$2918),$A799&gt;MAX(DKW_10Y!$A$2:$A$2918),Settings!$B$16&lt;MIN(DKW_10Y!$A$2:$A$2918)),NA(),(INDEX(DKW_10Y!$D$2:$D$2918,MATCH($A799,DKW_10Y!$A$2:$A$2918,1))-INDEX(DKW_10Y!$D$2:$D$2918,MATCH(Settings!$B$16,DKW_10Y!$A$2:$A$2918,1)))*100))</f>
        <v/>
      </c>
      <c r="AA799" s="19">
        <f>IF(NOT(ISNUMBER($A799)),NA(),IF(OR($A799&lt;MIN(DKW_10Y!$A$2:$A$2918),$A799&gt;MAX(DKW_10Y!$A$2:$A$2918),Settings!$B$16&lt;MIN(DKW_10Y!$A$2:$A$2918)),NA(),(INDEX(DKW_10Y!$E$2:$E$2918,MATCH($A799,DKW_10Y!$A$2:$A$2918,1))-INDEX(DKW_10Y!$E$2:$E$2918,MATCH(Settings!$B$16,DKW_10Y!$A$2:$A$2918,1)))*100))</f>
        <v/>
      </c>
      <c r="AB799" s="19">
        <f>IF(NOT(ISNUMBER($A799)),NA(),IF(OR($A799&lt;MIN(DKW_10Y!$A$2:$A$2918),$A799&gt;MAX(DKW_10Y!$A$2:$A$2918),Settings!$B$16&lt;MIN(DKW_10Y!$A$2:$A$2918)),NA(),(INDEX(DKW_10Y!$H$2:$H$2918,MATCH($A799,DKW_10Y!$A$2:$A$2918,1))-INDEX(DKW_10Y!$H$2:$H$2918,MATCH(Settings!$B$16,DKW_10Y!$A$2:$A$2918,1)))*100))</f>
        <v/>
      </c>
      <c r="AC799" s="18">
        <f>IF(NOT(ISNUMBER($A799)),NA(),IFERROR(1*INDEX(BBG_Data!$N$2:$N$4000,MATCH($A799,BBG_Data!$M$2:$M$4000,0)),NA()))</f>
        <v/>
      </c>
      <c r="AD799" s="18">
        <f>IF(NOT(ISNUMBER($A799)),NA(),IFERROR(1*INDEX(BBG_Data!$P$2:$P$4000,MATCH($A799,BBG_Data!$O$2:$O$4000,0)),NA()))</f>
        <v/>
      </c>
      <c r="AE799" s="18">
        <f>IF(NOT(ISNUMBER($A799)),NA(),IFERROR(1*INDEX(BBG_Data!$R$2:$R$4000,MATCH($A799,BBG_Data!$Q$2:$Q$4000,0)),NA()))</f>
        <v/>
      </c>
      <c r="AF799" s="20">
        <f>IF(AND(ISNUMBER(B799),ISNUMBER(AC799)),(B799-AC799)*100,NA())</f>
        <v/>
      </c>
      <c r="AG799" s="20">
        <f>IF(AND(ISNUMBER(AE799),ISNUMBER(AD799)),(AE799-AD799)*100,NA())</f>
        <v/>
      </c>
      <c r="AH799" s="19">
        <f>IF(NOT(ISNUMBER($A799)),NA(),IFERROR(INDEX(BBG_Data!$T$2:$T$4000,MATCH($A799,BBG_Data!$S$2:$S$4000,0))*Settings!$B$25,NA()))</f>
        <v/>
      </c>
      <c r="AI799" s="19">
        <f>IF(NOT(ISNUMBER($A799)),NA(),IFERROR(INDEX(BBG_Data!$V$2:$V$4000,MATCH($A799,BBG_Data!$U$2:$U$4000,0))*Settings!$B$25,NA()))</f>
        <v/>
      </c>
      <c r="AJ799" s="19">
        <f>IF(NOT(ISNUMBER($A799)),NA(),IFERROR(1*INDEX(BBG_Data!$X$2:$X$4000,MATCH($A799,BBG_Data!$W$2:$W$4000,0)),NA()))</f>
        <v/>
      </c>
      <c r="AK799" s="19">
        <f>IF(NOT(ISNUMBER($A799)),NA(),IFERROR(1*INDEX(BBG_Data!$Z$2:$Z$4000,MATCH($A799,BBG_Data!$Y$2:$Y$4000,0)),NA()))</f>
        <v/>
      </c>
    </row>
    <row r="800">
      <c r="A800" s="17">
        <f>IF(ISNUMBER(BBG_Data!A800),BBG_Data!A800,"")</f>
        <v/>
      </c>
      <c r="B800" s="18">
        <f>IF(AND(ISNUMBER($A800),ISNUMBER(BBG_Data!B800)),BBG_Data!B800,NA())</f>
        <v/>
      </c>
      <c r="C800" s="18">
        <f>IF(NOT(ISNUMBER($A800)),NA(),IFERROR(1*INDEX(BBG_Data!$D$2:$D$4000,MATCH($A800,BBG_Data!$C$2:$C$4000,0)),NA()))</f>
        <v/>
      </c>
      <c r="D800" s="19">
        <f>IF(NOT(ISNUMBER($A800)),NA(),IFERROR(1*INDEX(BBG_Data!$F$2:$F$4000,MATCH($A800,BBG_Data!$E$2:$E$4000,0)),NA()))</f>
        <v/>
      </c>
      <c r="E800" s="19">
        <f>IF(NOT(ISNUMBER($A800)),NA(),IFERROR(1*INDEX(BBG_Data!$H$2:$H$4000,MATCH($A800,BBG_Data!$G$2:$G$4000,0)),NA()))</f>
        <v/>
      </c>
      <c r="F800" s="20">
        <f>IF(AND(ISNUMBER(B800),ISNUMBER(B799)),IF(B800=B799,"",(B800-B799)*100),"")</f>
        <v/>
      </c>
      <c r="G800" s="20">
        <f>IF(AND(ISNUMBER(C800),ISNUMBER(C799)),IF(C800=C799,"",(C800-C799)*100),"")</f>
        <v/>
      </c>
      <c r="H800" s="20">
        <f>IF(OR(NOT(ISNUMBER($A800)),ROW()-2&lt;Settings!$B$11),NA(),IF(COUNT(OFFSET(F800,1-Settings!$B$11,0,Settings!$B$11,1))&lt;ROUNDUP(Settings!$B$11*Settings!$B$26,0),NA(),STDEV(OFFSET(F800,1-Settings!$B$11,0,Settings!$B$11,1))*SQRT(Settings!$B$13)))</f>
        <v/>
      </c>
      <c r="I800" s="20">
        <f>IF(OR(NOT(ISNUMBER($A800)),ROW()-2&lt;Settings!$B$12),NA(),IF(COUNT(OFFSET(F800,1-Settings!$B$12,0,Settings!$B$12,1))&lt;ROUNDUP(Settings!$B$12*Settings!$B$26,0),NA(),STDEV(OFFSET(F800,1-Settings!$B$12,0,Settings!$B$12,1))*SQRT(Settings!$B$13)))</f>
        <v/>
      </c>
      <c r="J800" s="20">
        <f>IF(OR(NOT(ISNUMBER($A800)),ROW()-2&lt;Settings!$B$11),NA(),IF(COUNT(OFFSET(G800,1-Settings!$B$11,0,Settings!$B$11,1))&lt;ROUNDUP(Settings!$B$11*Settings!$B$26,0),NA(),STDEV(OFFSET(G800,1-Settings!$B$11,0,Settings!$B$11,1))*SQRT(Settings!$B$13)))</f>
        <v/>
      </c>
      <c r="K800" s="20">
        <f>IF(OR(NOT(ISNUMBER($A800)),ROW()-2&lt;Settings!$B$12),NA(),IF(COUNT(OFFSET(G800,1-Settings!$B$12,0,Settings!$B$12,1))&lt;ROUNDUP(Settings!$B$12*Settings!$B$26,0),NA(),STDEV(OFFSET(G800,1-Settings!$B$12,0,Settings!$B$12,1))*SQRT(Settings!$B$13)))</f>
        <v/>
      </c>
      <c r="L800" s="20">
        <f>IF(AND(ISNUMBER(D800),ISNUMBER(H800)),D800-H800,NA())</f>
        <v/>
      </c>
      <c r="M800" s="20">
        <f>IF(AND(ISNUMBER(E800),ISNUMBER(K800)),E800-K800,NA())</f>
        <v/>
      </c>
      <c r="N800" s="20">
        <f>IF(NOT(ISNUMBER($A800)),NA(),IF(COUNT(OFFSET(G800,1,0,Settings!$B$12,1))&lt;ROUNDUP(Settings!$B$12*Settings!$B$26,0),NA(),STDEV(OFFSET(G800,1,0,Settings!$B$12,1))*SQRT(Settings!$B$13)))</f>
        <v/>
      </c>
      <c r="O800" s="20">
        <f>IF(AND(ISNUMBER(E800),ISNUMBER(N800)),E800-N800,NA())</f>
        <v/>
      </c>
      <c r="P800" s="19">
        <f>IF(NOT(ISNUMBER($A800)),NA(),IF(OR($A800&lt;MIN(KW_TP!$A$2:$A$2501),$A800&gt;MAX(KW_TP!$A$2:$A$2501)),NA(),INDEX(KW_TP!$C$2:$C$2501,MATCH($A800,KW_TP!$A$2:$A$2501,1))))</f>
        <v/>
      </c>
      <c r="Q800" s="18">
        <f>IF(NOT(ISNUMBER($A800)),NA(),IFERROR(1*INDEX(BBG_Data!$J$2:$J$4000,MATCH($A800,BBG_Data!$I$2:$I$4000,0)),NA()))</f>
        <v/>
      </c>
      <c r="R800" s="18">
        <f>IF(NOT(ISNUMBER($A800)),NA(),IFERROR(1*INDEX(BBG_Data!$L$2:$L$4000,MATCH($A800,BBG_Data!$K$2:$K$4000,0)),NA()))</f>
        <v/>
      </c>
      <c r="S800" s="20">
        <f>IF(AND(ISNUMBER(B800),ISNUMBER(Q800),ISNUMBER(R800)),(B800-Q800-R800)*100,NA())</f>
        <v/>
      </c>
      <c r="T800" s="20">
        <f>IF(AND(ISNUMBER(B800),Settings!$B$17&gt;0),IF(ISNUMBER(INDEX($B:$B,Settings!$B$17)),(B800-INDEX($B:$B,Settings!$B$17))*100,NA()),NA())</f>
        <v/>
      </c>
      <c r="U800" s="20">
        <f>IF(AND(ISNUMBER(Q800),Settings!$B$17&gt;0),IF(ISNUMBER(INDEX($Q:$Q,Settings!$B$17)),(Q800-INDEX($Q:$Q,Settings!$B$17))*100,NA()),NA())</f>
        <v/>
      </c>
      <c r="V800" s="20">
        <f>IF(AND(ISNUMBER(R800),Settings!$B$17&gt;0),IF(ISNUMBER(INDEX($R:$R,Settings!$B$17)),(R800-INDEX($R:$R,Settings!$B$17))*100,NA()),NA())</f>
        <v/>
      </c>
      <c r="W800" s="20">
        <f>IF(AND(ISNUMBER(P800),Settings!$B$17&gt;0),IF(ISNUMBER(INDEX($P:$P,Settings!$B$17)),P800-INDEX($P:$P,Settings!$B$17),NA()),NA())</f>
        <v/>
      </c>
      <c r="X800" s="19">
        <f>IF(NOT(ISNUMBER($A800)),NA(),IF(OR($A800&lt;MIN(DKW_10Y!$A$2:$A$2918),$A800&gt;MAX(DKW_10Y!$A$2:$A$2918),Settings!$B$16&lt;MIN(DKW_10Y!$A$2:$A$2918)),NA(),(INDEX(DKW_10Y!$B$2:$B$2918,MATCH($A800,DKW_10Y!$A$2:$A$2918,1))-INDEX(DKW_10Y!$B$2:$B$2918,MATCH(Settings!$B$16,DKW_10Y!$A$2:$A$2918,1)))*100))</f>
        <v/>
      </c>
      <c r="Y800" s="19">
        <f>IF(NOT(ISNUMBER($A800)),NA(),IF(OR($A800&lt;MIN(DKW_10Y!$A$2:$A$2918),$A800&gt;MAX(DKW_10Y!$A$2:$A$2918),Settings!$B$16&lt;MIN(DKW_10Y!$A$2:$A$2918)),NA(),(INDEX(DKW_10Y!$C$2:$C$2918,MATCH($A800,DKW_10Y!$A$2:$A$2918,1))-INDEX(DKW_10Y!$C$2:$C$2918,MATCH(Settings!$B$16,DKW_10Y!$A$2:$A$2918,1)))*100))</f>
        <v/>
      </c>
      <c r="Z800" s="19">
        <f>IF(NOT(ISNUMBER($A800)),NA(),IF(OR($A800&lt;MIN(DKW_10Y!$A$2:$A$2918),$A800&gt;MAX(DKW_10Y!$A$2:$A$2918),Settings!$B$16&lt;MIN(DKW_10Y!$A$2:$A$2918)),NA(),(INDEX(DKW_10Y!$D$2:$D$2918,MATCH($A800,DKW_10Y!$A$2:$A$2918,1))-INDEX(DKW_10Y!$D$2:$D$2918,MATCH(Settings!$B$16,DKW_10Y!$A$2:$A$2918,1)))*100))</f>
        <v/>
      </c>
      <c r="AA800" s="19">
        <f>IF(NOT(ISNUMBER($A800)),NA(),IF(OR($A800&lt;MIN(DKW_10Y!$A$2:$A$2918),$A800&gt;MAX(DKW_10Y!$A$2:$A$2918),Settings!$B$16&lt;MIN(DKW_10Y!$A$2:$A$2918)),NA(),(INDEX(DKW_10Y!$E$2:$E$2918,MATCH($A800,DKW_10Y!$A$2:$A$2918,1))-INDEX(DKW_10Y!$E$2:$E$2918,MATCH(Settings!$B$16,DKW_10Y!$A$2:$A$2918,1)))*100))</f>
        <v/>
      </c>
      <c r="AB800" s="19">
        <f>IF(NOT(ISNUMBER($A800)),NA(),IF(OR($A800&lt;MIN(DKW_10Y!$A$2:$A$2918),$A800&gt;MAX(DKW_10Y!$A$2:$A$2918),Settings!$B$16&lt;MIN(DKW_10Y!$A$2:$A$2918)),NA(),(INDEX(DKW_10Y!$H$2:$H$2918,MATCH($A800,DKW_10Y!$A$2:$A$2918,1))-INDEX(DKW_10Y!$H$2:$H$2918,MATCH(Settings!$B$16,DKW_10Y!$A$2:$A$2918,1)))*100))</f>
        <v/>
      </c>
      <c r="AC800" s="18">
        <f>IF(NOT(ISNUMBER($A800)),NA(),IFERROR(1*INDEX(BBG_Data!$N$2:$N$4000,MATCH($A800,BBG_Data!$M$2:$M$4000,0)),NA()))</f>
        <v/>
      </c>
      <c r="AD800" s="18">
        <f>IF(NOT(ISNUMBER($A800)),NA(),IFERROR(1*INDEX(BBG_Data!$P$2:$P$4000,MATCH($A800,BBG_Data!$O$2:$O$4000,0)),NA()))</f>
        <v/>
      </c>
      <c r="AE800" s="18">
        <f>IF(NOT(ISNUMBER($A800)),NA(),IFERROR(1*INDEX(BBG_Data!$R$2:$R$4000,MATCH($A800,BBG_Data!$Q$2:$Q$4000,0)),NA()))</f>
        <v/>
      </c>
      <c r="AF800" s="20">
        <f>IF(AND(ISNUMBER(B800),ISNUMBER(AC800)),(B800-AC800)*100,NA())</f>
        <v/>
      </c>
      <c r="AG800" s="20">
        <f>IF(AND(ISNUMBER(AE800),ISNUMBER(AD800)),(AE800-AD800)*100,NA())</f>
        <v/>
      </c>
      <c r="AH800" s="19">
        <f>IF(NOT(ISNUMBER($A800)),NA(),IFERROR(INDEX(BBG_Data!$T$2:$T$4000,MATCH($A800,BBG_Data!$S$2:$S$4000,0))*Settings!$B$25,NA()))</f>
        <v/>
      </c>
      <c r="AI800" s="19">
        <f>IF(NOT(ISNUMBER($A800)),NA(),IFERROR(INDEX(BBG_Data!$V$2:$V$4000,MATCH($A800,BBG_Data!$U$2:$U$4000,0))*Settings!$B$25,NA()))</f>
        <v/>
      </c>
      <c r="AJ800" s="19">
        <f>IF(NOT(ISNUMBER($A800)),NA(),IFERROR(1*INDEX(BBG_Data!$X$2:$X$4000,MATCH($A800,BBG_Data!$W$2:$W$4000,0)),NA()))</f>
        <v/>
      </c>
      <c r="AK800" s="19">
        <f>IF(NOT(ISNUMBER($A800)),NA(),IFERROR(1*INDEX(BBG_Data!$Z$2:$Z$4000,MATCH($A800,BBG_Data!$Y$2:$Y$4000,0)),NA()))</f>
        <v/>
      </c>
    </row>
    <row r="801">
      <c r="A801" s="17">
        <f>IF(ISNUMBER(BBG_Data!A801),BBG_Data!A801,"")</f>
        <v/>
      </c>
      <c r="B801" s="18">
        <f>IF(AND(ISNUMBER($A801),ISNUMBER(BBG_Data!B801)),BBG_Data!B801,NA())</f>
        <v/>
      </c>
      <c r="C801" s="18">
        <f>IF(NOT(ISNUMBER($A801)),NA(),IFERROR(1*INDEX(BBG_Data!$D$2:$D$4000,MATCH($A801,BBG_Data!$C$2:$C$4000,0)),NA()))</f>
        <v/>
      </c>
      <c r="D801" s="19">
        <f>IF(NOT(ISNUMBER($A801)),NA(),IFERROR(1*INDEX(BBG_Data!$F$2:$F$4000,MATCH($A801,BBG_Data!$E$2:$E$4000,0)),NA()))</f>
        <v/>
      </c>
      <c r="E801" s="19">
        <f>IF(NOT(ISNUMBER($A801)),NA(),IFERROR(1*INDEX(BBG_Data!$H$2:$H$4000,MATCH($A801,BBG_Data!$G$2:$G$4000,0)),NA()))</f>
        <v/>
      </c>
      <c r="F801" s="20">
        <f>IF(AND(ISNUMBER(B801),ISNUMBER(B800)),IF(B801=B800,"",(B801-B800)*100),"")</f>
        <v/>
      </c>
      <c r="G801" s="20">
        <f>IF(AND(ISNUMBER(C801),ISNUMBER(C800)),IF(C801=C800,"",(C801-C800)*100),"")</f>
        <v/>
      </c>
      <c r="H801" s="20">
        <f>IF(OR(NOT(ISNUMBER($A801)),ROW()-2&lt;Settings!$B$11),NA(),IF(COUNT(OFFSET(F801,1-Settings!$B$11,0,Settings!$B$11,1))&lt;ROUNDUP(Settings!$B$11*Settings!$B$26,0),NA(),STDEV(OFFSET(F801,1-Settings!$B$11,0,Settings!$B$11,1))*SQRT(Settings!$B$13)))</f>
        <v/>
      </c>
      <c r="I801" s="20">
        <f>IF(OR(NOT(ISNUMBER($A801)),ROW()-2&lt;Settings!$B$12),NA(),IF(COUNT(OFFSET(F801,1-Settings!$B$12,0,Settings!$B$12,1))&lt;ROUNDUP(Settings!$B$12*Settings!$B$26,0),NA(),STDEV(OFFSET(F801,1-Settings!$B$12,0,Settings!$B$12,1))*SQRT(Settings!$B$13)))</f>
        <v/>
      </c>
      <c r="J801" s="20">
        <f>IF(OR(NOT(ISNUMBER($A801)),ROW()-2&lt;Settings!$B$11),NA(),IF(COUNT(OFFSET(G801,1-Settings!$B$11,0,Settings!$B$11,1))&lt;ROUNDUP(Settings!$B$11*Settings!$B$26,0),NA(),STDEV(OFFSET(G801,1-Settings!$B$11,0,Settings!$B$11,1))*SQRT(Settings!$B$13)))</f>
        <v/>
      </c>
      <c r="K801" s="20">
        <f>IF(OR(NOT(ISNUMBER($A801)),ROW()-2&lt;Settings!$B$12),NA(),IF(COUNT(OFFSET(G801,1-Settings!$B$12,0,Settings!$B$12,1))&lt;ROUNDUP(Settings!$B$12*Settings!$B$26,0),NA(),STDEV(OFFSET(G801,1-Settings!$B$12,0,Settings!$B$12,1))*SQRT(Settings!$B$13)))</f>
        <v/>
      </c>
      <c r="L801" s="20">
        <f>IF(AND(ISNUMBER(D801),ISNUMBER(H801)),D801-H801,NA())</f>
        <v/>
      </c>
      <c r="M801" s="20">
        <f>IF(AND(ISNUMBER(E801),ISNUMBER(K801)),E801-K801,NA())</f>
        <v/>
      </c>
      <c r="N801" s="20">
        <f>IF(NOT(ISNUMBER($A801)),NA(),IF(COUNT(OFFSET(G801,1,0,Settings!$B$12,1))&lt;ROUNDUP(Settings!$B$12*Settings!$B$26,0),NA(),STDEV(OFFSET(G801,1,0,Settings!$B$12,1))*SQRT(Settings!$B$13)))</f>
        <v/>
      </c>
      <c r="O801" s="20">
        <f>IF(AND(ISNUMBER(E801),ISNUMBER(N801)),E801-N801,NA())</f>
        <v/>
      </c>
      <c r="P801" s="19">
        <f>IF(NOT(ISNUMBER($A801)),NA(),IF(OR($A801&lt;MIN(KW_TP!$A$2:$A$2501),$A801&gt;MAX(KW_TP!$A$2:$A$2501)),NA(),INDEX(KW_TP!$C$2:$C$2501,MATCH($A801,KW_TP!$A$2:$A$2501,1))))</f>
        <v/>
      </c>
      <c r="Q801" s="18">
        <f>IF(NOT(ISNUMBER($A801)),NA(),IFERROR(1*INDEX(BBG_Data!$J$2:$J$4000,MATCH($A801,BBG_Data!$I$2:$I$4000,0)),NA()))</f>
        <v/>
      </c>
      <c r="R801" s="18">
        <f>IF(NOT(ISNUMBER($A801)),NA(),IFERROR(1*INDEX(BBG_Data!$L$2:$L$4000,MATCH($A801,BBG_Data!$K$2:$K$4000,0)),NA()))</f>
        <v/>
      </c>
      <c r="S801" s="20">
        <f>IF(AND(ISNUMBER(B801),ISNUMBER(Q801),ISNUMBER(R801)),(B801-Q801-R801)*100,NA())</f>
        <v/>
      </c>
      <c r="T801" s="20">
        <f>IF(AND(ISNUMBER(B801),Settings!$B$17&gt;0),IF(ISNUMBER(INDEX($B:$B,Settings!$B$17)),(B801-INDEX($B:$B,Settings!$B$17))*100,NA()),NA())</f>
        <v/>
      </c>
      <c r="U801" s="20">
        <f>IF(AND(ISNUMBER(Q801),Settings!$B$17&gt;0),IF(ISNUMBER(INDEX($Q:$Q,Settings!$B$17)),(Q801-INDEX($Q:$Q,Settings!$B$17))*100,NA()),NA())</f>
        <v/>
      </c>
      <c r="V801" s="20">
        <f>IF(AND(ISNUMBER(R801),Settings!$B$17&gt;0),IF(ISNUMBER(INDEX($R:$R,Settings!$B$17)),(R801-INDEX($R:$R,Settings!$B$17))*100,NA()),NA())</f>
        <v/>
      </c>
      <c r="W801" s="20">
        <f>IF(AND(ISNUMBER(P801),Settings!$B$17&gt;0),IF(ISNUMBER(INDEX($P:$P,Settings!$B$17)),P801-INDEX($P:$P,Settings!$B$17),NA()),NA())</f>
        <v/>
      </c>
      <c r="X801" s="19">
        <f>IF(NOT(ISNUMBER($A801)),NA(),IF(OR($A801&lt;MIN(DKW_10Y!$A$2:$A$2918),$A801&gt;MAX(DKW_10Y!$A$2:$A$2918),Settings!$B$16&lt;MIN(DKW_10Y!$A$2:$A$2918)),NA(),(INDEX(DKW_10Y!$B$2:$B$2918,MATCH($A801,DKW_10Y!$A$2:$A$2918,1))-INDEX(DKW_10Y!$B$2:$B$2918,MATCH(Settings!$B$16,DKW_10Y!$A$2:$A$2918,1)))*100))</f>
        <v/>
      </c>
      <c r="Y801" s="19">
        <f>IF(NOT(ISNUMBER($A801)),NA(),IF(OR($A801&lt;MIN(DKW_10Y!$A$2:$A$2918),$A801&gt;MAX(DKW_10Y!$A$2:$A$2918),Settings!$B$16&lt;MIN(DKW_10Y!$A$2:$A$2918)),NA(),(INDEX(DKW_10Y!$C$2:$C$2918,MATCH($A801,DKW_10Y!$A$2:$A$2918,1))-INDEX(DKW_10Y!$C$2:$C$2918,MATCH(Settings!$B$16,DKW_10Y!$A$2:$A$2918,1)))*100))</f>
        <v/>
      </c>
      <c r="Z801" s="19">
        <f>IF(NOT(ISNUMBER($A801)),NA(),IF(OR($A801&lt;MIN(DKW_10Y!$A$2:$A$2918),$A801&gt;MAX(DKW_10Y!$A$2:$A$2918),Settings!$B$16&lt;MIN(DKW_10Y!$A$2:$A$2918)),NA(),(INDEX(DKW_10Y!$D$2:$D$2918,MATCH($A801,DKW_10Y!$A$2:$A$2918,1))-INDEX(DKW_10Y!$D$2:$D$2918,MATCH(Settings!$B$16,DKW_10Y!$A$2:$A$2918,1)))*100))</f>
        <v/>
      </c>
      <c r="AA801" s="19">
        <f>IF(NOT(ISNUMBER($A801)),NA(),IF(OR($A801&lt;MIN(DKW_10Y!$A$2:$A$2918),$A801&gt;MAX(DKW_10Y!$A$2:$A$2918),Settings!$B$16&lt;MIN(DKW_10Y!$A$2:$A$2918)),NA(),(INDEX(DKW_10Y!$E$2:$E$2918,MATCH($A801,DKW_10Y!$A$2:$A$2918,1))-INDEX(DKW_10Y!$E$2:$E$2918,MATCH(Settings!$B$16,DKW_10Y!$A$2:$A$2918,1)))*100))</f>
        <v/>
      </c>
      <c r="AB801" s="19">
        <f>IF(NOT(ISNUMBER($A801)),NA(),IF(OR($A801&lt;MIN(DKW_10Y!$A$2:$A$2918),$A801&gt;MAX(DKW_10Y!$A$2:$A$2918),Settings!$B$16&lt;MIN(DKW_10Y!$A$2:$A$2918)),NA(),(INDEX(DKW_10Y!$H$2:$H$2918,MATCH($A801,DKW_10Y!$A$2:$A$2918,1))-INDEX(DKW_10Y!$H$2:$H$2918,MATCH(Settings!$B$16,DKW_10Y!$A$2:$A$2918,1)))*100))</f>
        <v/>
      </c>
      <c r="AC801" s="18">
        <f>IF(NOT(ISNUMBER($A801)),NA(),IFERROR(1*INDEX(BBG_Data!$N$2:$N$4000,MATCH($A801,BBG_Data!$M$2:$M$4000,0)),NA()))</f>
        <v/>
      </c>
      <c r="AD801" s="18">
        <f>IF(NOT(ISNUMBER($A801)),NA(),IFERROR(1*INDEX(BBG_Data!$P$2:$P$4000,MATCH($A801,BBG_Data!$O$2:$O$4000,0)),NA()))</f>
        <v/>
      </c>
      <c r="AE801" s="18">
        <f>IF(NOT(ISNUMBER($A801)),NA(),IFERROR(1*INDEX(BBG_Data!$R$2:$R$4000,MATCH($A801,BBG_Data!$Q$2:$Q$4000,0)),NA()))</f>
        <v/>
      </c>
      <c r="AF801" s="20">
        <f>IF(AND(ISNUMBER(B801),ISNUMBER(AC801)),(B801-AC801)*100,NA())</f>
        <v/>
      </c>
      <c r="AG801" s="20">
        <f>IF(AND(ISNUMBER(AE801),ISNUMBER(AD801)),(AE801-AD801)*100,NA())</f>
        <v/>
      </c>
      <c r="AH801" s="19">
        <f>IF(NOT(ISNUMBER($A801)),NA(),IFERROR(INDEX(BBG_Data!$T$2:$T$4000,MATCH($A801,BBG_Data!$S$2:$S$4000,0))*Settings!$B$25,NA()))</f>
        <v/>
      </c>
      <c r="AI801" s="19">
        <f>IF(NOT(ISNUMBER($A801)),NA(),IFERROR(INDEX(BBG_Data!$V$2:$V$4000,MATCH($A801,BBG_Data!$U$2:$U$4000,0))*Settings!$B$25,NA()))</f>
        <v/>
      </c>
      <c r="AJ801" s="19">
        <f>IF(NOT(ISNUMBER($A801)),NA(),IFERROR(1*INDEX(BBG_Data!$X$2:$X$4000,MATCH($A801,BBG_Data!$W$2:$W$4000,0)),NA()))</f>
        <v/>
      </c>
      <c r="AK801" s="19">
        <f>IF(NOT(ISNUMBER($A801)),NA(),IFERROR(1*INDEX(BBG_Data!$Z$2:$Z$4000,MATCH($A801,BBG_Data!$Y$2:$Y$4000,0)),NA()))</f>
        <v/>
      </c>
    </row>
    <row r="802">
      <c r="A802" s="17">
        <f>IF(ISNUMBER(BBG_Data!A802),BBG_Data!A802,"")</f>
        <v/>
      </c>
      <c r="B802" s="18">
        <f>IF(AND(ISNUMBER($A802),ISNUMBER(BBG_Data!B802)),BBG_Data!B802,NA())</f>
        <v/>
      </c>
      <c r="C802" s="18">
        <f>IF(NOT(ISNUMBER($A802)),NA(),IFERROR(1*INDEX(BBG_Data!$D$2:$D$4000,MATCH($A802,BBG_Data!$C$2:$C$4000,0)),NA()))</f>
        <v/>
      </c>
      <c r="D802" s="19">
        <f>IF(NOT(ISNUMBER($A802)),NA(),IFERROR(1*INDEX(BBG_Data!$F$2:$F$4000,MATCH($A802,BBG_Data!$E$2:$E$4000,0)),NA()))</f>
        <v/>
      </c>
      <c r="E802" s="19">
        <f>IF(NOT(ISNUMBER($A802)),NA(),IFERROR(1*INDEX(BBG_Data!$H$2:$H$4000,MATCH($A802,BBG_Data!$G$2:$G$4000,0)),NA()))</f>
        <v/>
      </c>
      <c r="F802" s="20">
        <f>IF(AND(ISNUMBER(B802),ISNUMBER(B801)),IF(B802=B801,"",(B802-B801)*100),"")</f>
        <v/>
      </c>
      <c r="G802" s="20">
        <f>IF(AND(ISNUMBER(C802),ISNUMBER(C801)),IF(C802=C801,"",(C802-C801)*100),"")</f>
        <v/>
      </c>
      <c r="H802" s="20">
        <f>IF(OR(NOT(ISNUMBER($A802)),ROW()-2&lt;Settings!$B$11),NA(),IF(COUNT(OFFSET(F802,1-Settings!$B$11,0,Settings!$B$11,1))&lt;ROUNDUP(Settings!$B$11*Settings!$B$26,0),NA(),STDEV(OFFSET(F802,1-Settings!$B$11,0,Settings!$B$11,1))*SQRT(Settings!$B$13)))</f>
        <v/>
      </c>
      <c r="I802" s="20">
        <f>IF(OR(NOT(ISNUMBER($A802)),ROW()-2&lt;Settings!$B$12),NA(),IF(COUNT(OFFSET(F802,1-Settings!$B$12,0,Settings!$B$12,1))&lt;ROUNDUP(Settings!$B$12*Settings!$B$26,0),NA(),STDEV(OFFSET(F802,1-Settings!$B$12,0,Settings!$B$12,1))*SQRT(Settings!$B$13)))</f>
        <v/>
      </c>
      <c r="J802" s="20">
        <f>IF(OR(NOT(ISNUMBER($A802)),ROW()-2&lt;Settings!$B$11),NA(),IF(COUNT(OFFSET(G802,1-Settings!$B$11,0,Settings!$B$11,1))&lt;ROUNDUP(Settings!$B$11*Settings!$B$26,0),NA(),STDEV(OFFSET(G802,1-Settings!$B$11,0,Settings!$B$11,1))*SQRT(Settings!$B$13)))</f>
        <v/>
      </c>
      <c r="K802" s="20">
        <f>IF(OR(NOT(ISNUMBER($A802)),ROW()-2&lt;Settings!$B$12),NA(),IF(COUNT(OFFSET(G802,1-Settings!$B$12,0,Settings!$B$12,1))&lt;ROUNDUP(Settings!$B$12*Settings!$B$26,0),NA(),STDEV(OFFSET(G802,1-Settings!$B$12,0,Settings!$B$12,1))*SQRT(Settings!$B$13)))</f>
        <v/>
      </c>
      <c r="L802" s="20">
        <f>IF(AND(ISNUMBER(D802),ISNUMBER(H802)),D802-H802,NA())</f>
        <v/>
      </c>
      <c r="M802" s="20">
        <f>IF(AND(ISNUMBER(E802),ISNUMBER(K802)),E802-K802,NA())</f>
        <v/>
      </c>
      <c r="N802" s="20">
        <f>IF(NOT(ISNUMBER($A802)),NA(),IF(COUNT(OFFSET(G802,1,0,Settings!$B$12,1))&lt;ROUNDUP(Settings!$B$12*Settings!$B$26,0),NA(),STDEV(OFFSET(G802,1,0,Settings!$B$12,1))*SQRT(Settings!$B$13)))</f>
        <v/>
      </c>
      <c r="O802" s="20">
        <f>IF(AND(ISNUMBER(E802),ISNUMBER(N802)),E802-N802,NA())</f>
        <v/>
      </c>
      <c r="P802" s="19">
        <f>IF(NOT(ISNUMBER($A802)),NA(),IF(OR($A802&lt;MIN(KW_TP!$A$2:$A$2501),$A802&gt;MAX(KW_TP!$A$2:$A$2501)),NA(),INDEX(KW_TP!$C$2:$C$2501,MATCH($A802,KW_TP!$A$2:$A$2501,1))))</f>
        <v/>
      </c>
      <c r="Q802" s="18">
        <f>IF(NOT(ISNUMBER($A802)),NA(),IFERROR(1*INDEX(BBG_Data!$J$2:$J$4000,MATCH($A802,BBG_Data!$I$2:$I$4000,0)),NA()))</f>
        <v/>
      </c>
      <c r="R802" s="18">
        <f>IF(NOT(ISNUMBER($A802)),NA(),IFERROR(1*INDEX(BBG_Data!$L$2:$L$4000,MATCH($A802,BBG_Data!$K$2:$K$4000,0)),NA()))</f>
        <v/>
      </c>
      <c r="S802" s="20">
        <f>IF(AND(ISNUMBER(B802),ISNUMBER(Q802),ISNUMBER(R802)),(B802-Q802-R802)*100,NA())</f>
        <v/>
      </c>
      <c r="T802" s="20">
        <f>IF(AND(ISNUMBER(B802),Settings!$B$17&gt;0),IF(ISNUMBER(INDEX($B:$B,Settings!$B$17)),(B802-INDEX($B:$B,Settings!$B$17))*100,NA()),NA())</f>
        <v/>
      </c>
      <c r="U802" s="20">
        <f>IF(AND(ISNUMBER(Q802),Settings!$B$17&gt;0),IF(ISNUMBER(INDEX($Q:$Q,Settings!$B$17)),(Q802-INDEX($Q:$Q,Settings!$B$17))*100,NA()),NA())</f>
        <v/>
      </c>
      <c r="V802" s="20">
        <f>IF(AND(ISNUMBER(R802),Settings!$B$17&gt;0),IF(ISNUMBER(INDEX($R:$R,Settings!$B$17)),(R802-INDEX($R:$R,Settings!$B$17))*100,NA()),NA())</f>
        <v/>
      </c>
      <c r="W802" s="20">
        <f>IF(AND(ISNUMBER(P802),Settings!$B$17&gt;0),IF(ISNUMBER(INDEX($P:$P,Settings!$B$17)),P802-INDEX($P:$P,Settings!$B$17),NA()),NA())</f>
        <v/>
      </c>
      <c r="X802" s="19">
        <f>IF(NOT(ISNUMBER($A802)),NA(),IF(OR($A802&lt;MIN(DKW_10Y!$A$2:$A$2918),$A802&gt;MAX(DKW_10Y!$A$2:$A$2918),Settings!$B$16&lt;MIN(DKW_10Y!$A$2:$A$2918)),NA(),(INDEX(DKW_10Y!$B$2:$B$2918,MATCH($A802,DKW_10Y!$A$2:$A$2918,1))-INDEX(DKW_10Y!$B$2:$B$2918,MATCH(Settings!$B$16,DKW_10Y!$A$2:$A$2918,1)))*100))</f>
        <v/>
      </c>
      <c r="Y802" s="19">
        <f>IF(NOT(ISNUMBER($A802)),NA(),IF(OR($A802&lt;MIN(DKW_10Y!$A$2:$A$2918),$A802&gt;MAX(DKW_10Y!$A$2:$A$2918),Settings!$B$16&lt;MIN(DKW_10Y!$A$2:$A$2918)),NA(),(INDEX(DKW_10Y!$C$2:$C$2918,MATCH($A802,DKW_10Y!$A$2:$A$2918,1))-INDEX(DKW_10Y!$C$2:$C$2918,MATCH(Settings!$B$16,DKW_10Y!$A$2:$A$2918,1)))*100))</f>
        <v/>
      </c>
      <c r="Z802" s="19">
        <f>IF(NOT(ISNUMBER($A802)),NA(),IF(OR($A802&lt;MIN(DKW_10Y!$A$2:$A$2918),$A802&gt;MAX(DKW_10Y!$A$2:$A$2918),Settings!$B$16&lt;MIN(DKW_10Y!$A$2:$A$2918)),NA(),(INDEX(DKW_10Y!$D$2:$D$2918,MATCH($A802,DKW_10Y!$A$2:$A$2918,1))-INDEX(DKW_10Y!$D$2:$D$2918,MATCH(Settings!$B$16,DKW_10Y!$A$2:$A$2918,1)))*100))</f>
        <v/>
      </c>
      <c r="AA802" s="19">
        <f>IF(NOT(ISNUMBER($A802)),NA(),IF(OR($A802&lt;MIN(DKW_10Y!$A$2:$A$2918),$A802&gt;MAX(DKW_10Y!$A$2:$A$2918),Settings!$B$16&lt;MIN(DKW_10Y!$A$2:$A$2918)),NA(),(INDEX(DKW_10Y!$E$2:$E$2918,MATCH($A802,DKW_10Y!$A$2:$A$2918,1))-INDEX(DKW_10Y!$E$2:$E$2918,MATCH(Settings!$B$16,DKW_10Y!$A$2:$A$2918,1)))*100))</f>
        <v/>
      </c>
      <c r="AB802" s="19">
        <f>IF(NOT(ISNUMBER($A802)),NA(),IF(OR($A802&lt;MIN(DKW_10Y!$A$2:$A$2918),$A802&gt;MAX(DKW_10Y!$A$2:$A$2918),Settings!$B$16&lt;MIN(DKW_10Y!$A$2:$A$2918)),NA(),(INDEX(DKW_10Y!$H$2:$H$2918,MATCH($A802,DKW_10Y!$A$2:$A$2918,1))-INDEX(DKW_10Y!$H$2:$H$2918,MATCH(Settings!$B$16,DKW_10Y!$A$2:$A$2918,1)))*100))</f>
        <v/>
      </c>
      <c r="AC802" s="18">
        <f>IF(NOT(ISNUMBER($A802)),NA(),IFERROR(1*INDEX(BBG_Data!$N$2:$N$4000,MATCH($A802,BBG_Data!$M$2:$M$4000,0)),NA()))</f>
        <v/>
      </c>
      <c r="AD802" s="18">
        <f>IF(NOT(ISNUMBER($A802)),NA(),IFERROR(1*INDEX(BBG_Data!$P$2:$P$4000,MATCH($A802,BBG_Data!$O$2:$O$4000,0)),NA()))</f>
        <v/>
      </c>
      <c r="AE802" s="18">
        <f>IF(NOT(ISNUMBER($A802)),NA(),IFERROR(1*INDEX(BBG_Data!$R$2:$R$4000,MATCH($A802,BBG_Data!$Q$2:$Q$4000,0)),NA()))</f>
        <v/>
      </c>
      <c r="AF802" s="20">
        <f>IF(AND(ISNUMBER(B802),ISNUMBER(AC802)),(B802-AC802)*100,NA())</f>
        <v/>
      </c>
      <c r="AG802" s="20">
        <f>IF(AND(ISNUMBER(AE802),ISNUMBER(AD802)),(AE802-AD802)*100,NA())</f>
        <v/>
      </c>
      <c r="AH802" s="19">
        <f>IF(NOT(ISNUMBER($A802)),NA(),IFERROR(INDEX(BBG_Data!$T$2:$T$4000,MATCH($A802,BBG_Data!$S$2:$S$4000,0))*Settings!$B$25,NA()))</f>
        <v/>
      </c>
      <c r="AI802" s="19">
        <f>IF(NOT(ISNUMBER($A802)),NA(),IFERROR(INDEX(BBG_Data!$V$2:$V$4000,MATCH($A802,BBG_Data!$U$2:$U$4000,0))*Settings!$B$25,NA()))</f>
        <v/>
      </c>
      <c r="AJ802" s="19">
        <f>IF(NOT(ISNUMBER($A802)),NA(),IFERROR(1*INDEX(BBG_Data!$X$2:$X$4000,MATCH($A802,BBG_Data!$W$2:$W$4000,0)),NA()))</f>
        <v/>
      </c>
      <c r="AK802" s="19">
        <f>IF(NOT(ISNUMBER($A802)),NA(),IFERROR(1*INDEX(BBG_Data!$Z$2:$Z$4000,MATCH($A802,BBG_Data!$Y$2:$Y$4000,0)),NA()))</f>
        <v/>
      </c>
    </row>
    <row r="803">
      <c r="A803" s="17">
        <f>IF(ISNUMBER(BBG_Data!A803),BBG_Data!A803,"")</f>
        <v/>
      </c>
      <c r="B803" s="18">
        <f>IF(AND(ISNUMBER($A803),ISNUMBER(BBG_Data!B803)),BBG_Data!B803,NA())</f>
        <v/>
      </c>
      <c r="C803" s="18">
        <f>IF(NOT(ISNUMBER($A803)),NA(),IFERROR(1*INDEX(BBG_Data!$D$2:$D$4000,MATCH($A803,BBG_Data!$C$2:$C$4000,0)),NA()))</f>
        <v/>
      </c>
      <c r="D803" s="19">
        <f>IF(NOT(ISNUMBER($A803)),NA(),IFERROR(1*INDEX(BBG_Data!$F$2:$F$4000,MATCH($A803,BBG_Data!$E$2:$E$4000,0)),NA()))</f>
        <v/>
      </c>
      <c r="E803" s="19">
        <f>IF(NOT(ISNUMBER($A803)),NA(),IFERROR(1*INDEX(BBG_Data!$H$2:$H$4000,MATCH($A803,BBG_Data!$G$2:$G$4000,0)),NA()))</f>
        <v/>
      </c>
      <c r="F803" s="20">
        <f>IF(AND(ISNUMBER(B803),ISNUMBER(B802)),IF(B803=B802,"",(B803-B802)*100),"")</f>
        <v/>
      </c>
      <c r="G803" s="20">
        <f>IF(AND(ISNUMBER(C803),ISNUMBER(C802)),IF(C803=C802,"",(C803-C802)*100),"")</f>
        <v/>
      </c>
      <c r="H803" s="20">
        <f>IF(OR(NOT(ISNUMBER($A803)),ROW()-2&lt;Settings!$B$11),NA(),IF(COUNT(OFFSET(F803,1-Settings!$B$11,0,Settings!$B$11,1))&lt;ROUNDUP(Settings!$B$11*Settings!$B$26,0),NA(),STDEV(OFFSET(F803,1-Settings!$B$11,0,Settings!$B$11,1))*SQRT(Settings!$B$13)))</f>
        <v/>
      </c>
      <c r="I803" s="20">
        <f>IF(OR(NOT(ISNUMBER($A803)),ROW()-2&lt;Settings!$B$12),NA(),IF(COUNT(OFFSET(F803,1-Settings!$B$12,0,Settings!$B$12,1))&lt;ROUNDUP(Settings!$B$12*Settings!$B$26,0),NA(),STDEV(OFFSET(F803,1-Settings!$B$12,0,Settings!$B$12,1))*SQRT(Settings!$B$13)))</f>
        <v/>
      </c>
      <c r="J803" s="20">
        <f>IF(OR(NOT(ISNUMBER($A803)),ROW()-2&lt;Settings!$B$11),NA(),IF(COUNT(OFFSET(G803,1-Settings!$B$11,0,Settings!$B$11,1))&lt;ROUNDUP(Settings!$B$11*Settings!$B$26,0),NA(),STDEV(OFFSET(G803,1-Settings!$B$11,0,Settings!$B$11,1))*SQRT(Settings!$B$13)))</f>
        <v/>
      </c>
      <c r="K803" s="20">
        <f>IF(OR(NOT(ISNUMBER($A803)),ROW()-2&lt;Settings!$B$12),NA(),IF(COUNT(OFFSET(G803,1-Settings!$B$12,0,Settings!$B$12,1))&lt;ROUNDUP(Settings!$B$12*Settings!$B$26,0),NA(),STDEV(OFFSET(G803,1-Settings!$B$12,0,Settings!$B$12,1))*SQRT(Settings!$B$13)))</f>
        <v/>
      </c>
      <c r="L803" s="20">
        <f>IF(AND(ISNUMBER(D803),ISNUMBER(H803)),D803-H803,NA())</f>
        <v/>
      </c>
      <c r="M803" s="20">
        <f>IF(AND(ISNUMBER(E803),ISNUMBER(K803)),E803-K803,NA())</f>
        <v/>
      </c>
      <c r="N803" s="20">
        <f>IF(NOT(ISNUMBER($A803)),NA(),IF(COUNT(OFFSET(G803,1,0,Settings!$B$12,1))&lt;ROUNDUP(Settings!$B$12*Settings!$B$26,0),NA(),STDEV(OFFSET(G803,1,0,Settings!$B$12,1))*SQRT(Settings!$B$13)))</f>
        <v/>
      </c>
      <c r="O803" s="20">
        <f>IF(AND(ISNUMBER(E803),ISNUMBER(N803)),E803-N803,NA())</f>
        <v/>
      </c>
      <c r="P803" s="19">
        <f>IF(NOT(ISNUMBER($A803)),NA(),IF(OR($A803&lt;MIN(KW_TP!$A$2:$A$2501),$A803&gt;MAX(KW_TP!$A$2:$A$2501)),NA(),INDEX(KW_TP!$C$2:$C$2501,MATCH($A803,KW_TP!$A$2:$A$2501,1))))</f>
        <v/>
      </c>
      <c r="Q803" s="18">
        <f>IF(NOT(ISNUMBER($A803)),NA(),IFERROR(1*INDEX(BBG_Data!$J$2:$J$4000,MATCH($A803,BBG_Data!$I$2:$I$4000,0)),NA()))</f>
        <v/>
      </c>
      <c r="R803" s="18">
        <f>IF(NOT(ISNUMBER($A803)),NA(),IFERROR(1*INDEX(BBG_Data!$L$2:$L$4000,MATCH($A803,BBG_Data!$K$2:$K$4000,0)),NA()))</f>
        <v/>
      </c>
      <c r="S803" s="20">
        <f>IF(AND(ISNUMBER(B803),ISNUMBER(Q803),ISNUMBER(R803)),(B803-Q803-R803)*100,NA())</f>
        <v/>
      </c>
      <c r="T803" s="20">
        <f>IF(AND(ISNUMBER(B803),Settings!$B$17&gt;0),IF(ISNUMBER(INDEX($B:$B,Settings!$B$17)),(B803-INDEX($B:$B,Settings!$B$17))*100,NA()),NA())</f>
        <v/>
      </c>
      <c r="U803" s="20">
        <f>IF(AND(ISNUMBER(Q803),Settings!$B$17&gt;0),IF(ISNUMBER(INDEX($Q:$Q,Settings!$B$17)),(Q803-INDEX($Q:$Q,Settings!$B$17))*100,NA()),NA())</f>
        <v/>
      </c>
      <c r="V803" s="20">
        <f>IF(AND(ISNUMBER(R803),Settings!$B$17&gt;0),IF(ISNUMBER(INDEX($R:$R,Settings!$B$17)),(R803-INDEX($R:$R,Settings!$B$17))*100,NA()),NA())</f>
        <v/>
      </c>
      <c r="W803" s="20">
        <f>IF(AND(ISNUMBER(P803),Settings!$B$17&gt;0),IF(ISNUMBER(INDEX($P:$P,Settings!$B$17)),P803-INDEX($P:$P,Settings!$B$17),NA()),NA())</f>
        <v/>
      </c>
      <c r="X803" s="19">
        <f>IF(NOT(ISNUMBER($A803)),NA(),IF(OR($A803&lt;MIN(DKW_10Y!$A$2:$A$2918),$A803&gt;MAX(DKW_10Y!$A$2:$A$2918),Settings!$B$16&lt;MIN(DKW_10Y!$A$2:$A$2918)),NA(),(INDEX(DKW_10Y!$B$2:$B$2918,MATCH($A803,DKW_10Y!$A$2:$A$2918,1))-INDEX(DKW_10Y!$B$2:$B$2918,MATCH(Settings!$B$16,DKW_10Y!$A$2:$A$2918,1)))*100))</f>
        <v/>
      </c>
      <c r="Y803" s="19">
        <f>IF(NOT(ISNUMBER($A803)),NA(),IF(OR($A803&lt;MIN(DKW_10Y!$A$2:$A$2918),$A803&gt;MAX(DKW_10Y!$A$2:$A$2918),Settings!$B$16&lt;MIN(DKW_10Y!$A$2:$A$2918)),NA(),(INDEX(DKW_10Y!$C$2:$C$2918,MATCH($A803,DKW_10Y!$A$2:$A$2918,1))-INDEX(DKW_10Y!$C$2:$C$2918,MATCH(Settings!$B$16,DKW_10Y!$A$2:$A$2918,1)))*100))</f>
        <v/>
      </c>
      <c r="Z803" s="19">
        <f>IF(NOT(ISNUMBER($A803)),NA(),IF(OR($A803&lt;MIN(DKW_10Y!$A$2:$A$2918),$A803&gt;MAX(DKW_10Y!$A$2:$A$2918),Settings!$B$16&lt;MIN(DKW_10Y!$A$2:$A$2918)),NA(),(INDEX(DKW_10Y!$D$2:$D$2918,MATCH($A803,DKW_10Y!$A$2:$A$2918,1))-INDEX(DKW_10Y!$D$2:$D$2918,MATCH(Settings!$B$16,DKW_10Y!$A$2:$A$2918,1)))*100))</f>
        <v/>
      </c>
      <c r="AA803" s="19">
        <f>IF(NOT(ISNUMBER($A803)),NA(),IF(OR($A803&lt;MIN(DKW_10Y!$A$2:$A$2918),$A803&gt;MAX(DKW_10Y!$A$2:$A$2918),Settings!$B$16&lt;MIN(DKW_10Y!$A$2:$A$2918)),NA(),(INDEX(DKW_10Y!$E$2:$E$2918,MATCH($A803,DKW_10Y!$A$2:$A$2918,1))-INDEX(DKW_10Y!$E$2:$E$2918,MATCH(Settings!$B$16,DKW_10Y!$A$2:$A$2918,1)))*100))</f>
        <v/>
      </c>
      <c r="AB803" s="19">
        <f>IF(NOT(ISNUMBER($A803)),NA(),IF(OR($A803&lt;MIN(DKW_10Y!$A$2:$A$2918),$A803&gt;MAX(DKW_10Y!$A$2:$A$2918),Settings!$B$16&lt;MIN(DKW_10Y!$A$2:$A$2918)),NA(),(INDEX(DKW_10Y!$H$2:$H$2918,MATCH($A803,DKW_10Y!$A$2:$A$2918,1))-INDEX(DKW_10Y!$H$2:$H$2918,MATCH(Settings!$B$16,DKW_10Y!$A$2:$A$2918,1)))*100))</f>
        <v/>
      </c>
      <c r="AC803" s="18">
        <f>IF(NOT(ISNUMBER($A803)),NA(),IFERROR(1*INDEX(BBG_Data!$N$2:$N$4000,MATCH($A803,BBG_Data!$M$2:$M$4000,0)),NA()))</f>
        <v/>
      </c>
      <c r="AD803" s="18">
        <f>IF(NOT(ISNUMBER($A803)),NA(),IFERROR(1*INDEX(BBG_Data!$P$2:$P$4000,MATCH($A803,BBG_Data!$O$2:$O$4000,0)),NA()))</f>
        <v/>
      </c>
      <c r="AE803" s="18">
        <f>IF(NOT(ISNUMBER($A803)),NA(),IFERROR(1*INDEX(BBG_Data!$R$2:$R$4000,MATCH($A803,BBG_Data!$Q$2:$Q$4000,0)),NA()))</f>
        <v/>
      </c>
      <c r="AF803" s="20">
        <f>IF(AND(ISNUMBER(B803),ISNUMBER(AC803)),(B803-AC803)*100,NA())</f>
        <v/>
      </c>
      <c r="AG803" s="20">
        <f>IF(AND(ISNUMBER(AE803),ISNUMBER(AD803)),(AE803-AD803)*100,NA())</f>
        <v/>
      </c>
      <c r="AH803" s="19">
        <f>IF(NOT(ISNUMBER($A803)),NA(),IFERROR(INDEX(BBG_Data!$T$2:$T$4000,MATCH($A803,BBG_Data!$S$2:$S$4000,0))*Settings!$B$25,NA()))</f>
        <v/>
      </c>
      <c r="AI803" s="19">
        <f>IF(NOT(ISNUMBER($A803)),NA(),IFERROR(INDEX(BBG_Data!$V$2:$V$4000,MATCH($A803,BBG_Data!$U$2:$U$4000,0))*Settings!$B$25,NA()))</f>
        <v/>
      </c>
      <c r="AJ803" s="19">
        <f>IF(NOT(ISNUMBER($A803)),NA(),IFERROR(1*INDEX(BBG_Data!$X$2:$X$4000,MATCH($A803,BBG_Data!$W$2:$W$4000,0)),NA()))</f>
        <v/>
      </c>
      <c r="AK803" s="19">
        <f>IF(NOT(ISNUMBER($A803)),NA(),IFERROR(1*INDEX(BBG_Data!$Z$2:$Z$4000,MATCH($A803,BBG_Data!$Y$2:$Y$4000,0)),NA()))</f>
        <v/>
      </c>
    </row>
    <row r="804">
      <c r="A804" s="17">
        <f>IF(ISNUMBER(BBG_Data!A804),BBG_Data!A804,"")</f>
        <v/>
      </c>
      <c r="B804" s="18">
        <f>IF(AND(ISNUMBER($A804),ISNUMBER(BBG_Data!B804)),BBG_Data!B804,NA())</f>
        <v/>
      </c>
      <c r="C804" s="18">
        <f>IF(NOT(ISNUMBER($A804)),NA(),IFERROR(1*INDEX(BBG_Data!$D$2:$D$4000,MATCH($A804,BBG_Data!$C$2:$C$4000,0)),NA()))</f>
        <v/>
      </c>
      <c r="D804" s="19">
        <f>IF(NOT(ISNUMBER($A804)),NA(),IFERROR(1*INDEX(BBG_Data!$F$2:$F$4000,MATCH($A804,BBG_Data!$E$2:$E$4000,0)),NA()))</f>
        <v/>
      </c>
      <c r="E804" s="19">
        <f>IF(NOT(ISNUMBER($A804)),NA(),IFERROR(1*INDEX(BBG_Data!$H$2:$H$4000,MATCH($A804,BBG_Data!$G$2:$G$4000,0)),NA()))</f>
        <v/>
      </c>
      <c r="F804" s="20">
        <f>IF(AND(ISNUMBER(B804),ISNUMBER(B803)),IF(B804=B803,"",(B804-B803)*100),"")</f>
        <v/>
      </c>
      <c r="G804" s="20">
        <f>IF(AND(ISNUMBER(C804),ISNUMBER(C803)),IF(C804=C803,"",(C804-C803)*100),"")</f>
        <v/>
      </c>
      <c r="H804" s="20">
        <f>IF(OR(NOT(ISNUMBER($A804)),ROW()-2&lt;Settings!$B$11),NA(),IF(COUNT(OFFSET(F804,1-Settings!$B$11,0,Settings!$B$11,1))&lt;ROUNDUP(Settings!$B$11*Settings!$B$26,0),NA(),STDEV(OFFSET(F804,1-Settings!$B$11,0,Settings!$B$11,1))*SQRT(Settings!$B$13)))</f>
        <v/>
      </c>
      <c r="I804" s="20">
        <f>IF(OR(NOT(ISNUMBER($A804)),ROW()-2&lt;Settings!$B$12),NA(),IF(COUNT(OFFSET(F804,1-Settings!$B$12,0,Settings!$B$12,1))&lt;ROUNDUP(Settings!$B$12*Settings!$B$26,0),NA(),STDEV(OFFSET(F804,1-Settings!$B$12,0,Settings!$B$12,1))*SQRT(Settings!$B$13)))</f>
        <v/>
      </c>
      <c r="J804" s="20">
        <f>IF(OR(NOT(ISNUMBER($A804)),ROW()-2&lt;Settings!$B$11),NA(),IF(COUNT(OFFSET(G804,1-Settings!$B$11,0,Settings!$B$11,1))&lt;ROUNDUP(Settings!$B$11*Settings!$B$26,0),NA(),STDEV(OFFSET(G804,1-Settings!$B$11,0,Settings!$B$11,1))*SQRT(Settings!$B$13)))</f>
        <v/>
      </c>
      <c r="K804" s="20">
        <f>IF(OR(NOT(ISNUMBER($A804)),ROW()-2&lt;Settings!$B$12),NA(),IF(COUNT(OFFSET(G804,1-Settings!$B$12,0,Settings!$B$12,1))&lt;ROUNDUP(Settings!$B$12*Settings!$B$26,0),NA(),STDEV(OFFSET(G804,1-Settings!$B$12,0,Settings!$B$12,1))*SQRT(Settings!$B$13)))</f>
        <v/>
      </c>
      <c r="L804" s="20">
        <f>IF(AND(ISNUMBER(D804),ISNUMBER(H804)),D804-H804,NA())</f>
        <v/>
      </c>
      <c r="M804" s="20">
        <f>IF(AND(ISNUMBER(E804),ISNUMBER(K804)),E804-K804,NA())</f>
        <v/>
      </c>
      <c r="N804" s="20">
        <f>IF(NOT(ISNUMBER($A804)),NA(),IF(COUNT(OFFSET(G804,1,0,Settings!$B$12,1))&lt;ROUNDUP(Settings!$B$12*Settings!$B$26,0),NA(),STDEV(OFFSET(G804,1,0,Settings!$B$12,1))*SQRT(Settings!$B$13)))</f>
        <v/>
      </c>
      <c r="O804" s="20">
        <f>IF(AND(ISNUMBER(E804),ISNUMBER(N804)),E804-N804,NA())</f>
        <v/>
      </c>
      <c r="P804" s="19">
        <f>IF(NOT(ISNUMBER($A804)),NA(),IF(OR($A804&lt;MIN(KW_TP!$A$2:$A$2501),$A804&gt;MAX(KW_TP!$A$2:$A$2501)),NA(),INDEX(KW_TP!$C$2:$C$2501,MATCH($A804,KW_TP!$A$2:$A$2501,1))))</f>
        <v/>
      </c>
      <c r="Q804" s="18">
        <f>IF(NOT(ISNUMBER($A804)),NA(),IFERROR(1*INDEX(BBG_Data!$J$2:$J$4000,MATCH($A804,BBG_Data!$I$2:$I$4000,0)),NA()))</f>
        <v/>
      </c>
      <c r="R804" s="18">
        <f>IF(NOT(ISNUMBER($A804)),NA(),IFERROR(1*INDEX(BBG_Data!$L$2:$L$4000,MATCH($A804,BBG_Data!$K$2:$K$4000,0)),NA()))</f>
        <v/>
      </c>
      <c r="S804" s="20">
        <f>IF(AND(ISNUMBER(B804),ISNUMBER(Q804),ISNUMBER(R804)),(B804-Q804-R804)*100,NA())</f>
        <v/>
      </c>
      <c r="T804" s="20">
        <f>IF(AND(ISNUMBER(B804),Settings!$B$17&gt;0),IF(ISNUMBER(INDEX($B:$B,Settings!$B$17)),(B804-INDEX($B:$B,Settings!$B$17))*100,NA()),NA())</f>
        <v/>
      </c>
      <c r="U804" s="20">
        <f>IF(AND(ISNUMBER(Q804),Settings!$B$17&gt;0),IF(ISNUMBER(INDEX($Q:$Q,Settings!$B$17)),(Q804-INDEX($Q:$Q,Settings!$B$17))*100,NA()),NA())</f>
        <v/>
      </c>
      <c r="V804" s="20">
        <f>IF(AND(ISNUMBER(R804),Settings!$B$17&gt;0),IF(ISNUMBER(INDEX($R:$R,Settings!$B$17)),(R804-INDEX($R:$R,Settings!$B$17))*100,NA()),NA())</f>
        <v/>
      </c>
      <c r="W804" s="20">
        <f>IF(AND(ISNUMBER(P804),Settings!$B$17&gt;0),IF(ISNUMBER(INDEX($P:$P,Settings!$B$17)),P804-INDEX($P:$P,Settings!$B$17),NA()),NA())</f>
        <v/>
      </c>
      <c r="X804" s="19">
        <f>IF(NOT(ISNUMBER($A804)),NA(),IF(OR($A804&lt;MIN(DKW_10Y!$A$2:$A$2918),$A804&gt;MAX(DKW_10Y!$A$2:$A$2918),Settings!$B$16&lt;MIN(DKW_10Y!$A$2:$A$2918)),NA(),(INDEX(DKW_10Y!$B$2:$B$2918,MATCH($A804,DKW_10Y!$A$2:$A$2918,1))-INDEX(DKW_10Y!$B$2:$B$2918,MATCH(Settings!$B$16,DKW_10Y!$A$2:$A$2918,1)))*100))</f>
        <v/>
      </c>
      <c r="Y804" s="19">
        <f>IF(NOT(ISNUMBER($A804)),NA(),IF(OR($A804&lt;MIN(DKW_10Y!$A$2:$A$2918),$A804&gt;MAX(DKW_10Y!$A$2:$A$2918),Settings!$B$16&lt;MIN(DKW_10Y!$A$2:$A$2918)),NA(),(INDEX(DKW_10Y!$C$2:$C$2918,MATCH($A804,DKW_10Y!$A$2:$A$2918,1))-INDEX(DKW_10Y!$C$2:$C$2918,MATCH(Settings!$B$16,DKW_10Y!$A$2:$A$2918,1)))*100))</f>
        <v/>
      </c>
      <c r="Z804" s="19">
        <f>IF(NOT(ISNUMBER($A804)),NA(),IF(OR($A804&lt;MIN(DKW_10Y!$A$2:$A$2918),$A804&gt;MAX(DKW_10Y!$A$2:$A$2918),Settings!$B$16&lt;MIN(DKW_10Y!$A$2:$A$2918)),NA(),(INDEX(DKW_10Y!$D$2:$D$2918,MATCH($A804,DKW_10Y!$A$2:$A$2918,1))-INDEX(DKW_10Y!$D$2:$D$2918,MATCH(Settings!$B$16,DKW_10Y!$A$2:$A$2918,1)))*100))</f>
        <v/>
      </c>
      <c r="AA804" s="19">
        <f>IF(NOT(ISNUMBER($A804)),NA(),IF(OR($A804&lt;MIN(DKW_10Y!$A$2:$A$2918),$A804&gt;MAX(DKW_10Y!$A$2:$A$2918),Settings!$B$16&lt;MIN(DKW_10Y!$A$2:$A$2918)),NA(),(INDEX(DKW_10Y!$E$2:$E$2918,MATCH($A804,DKW_10Y!$A$2:$A$2918,1))-INDEX(DKW_10Y!$E$2:$E$2918,MATCH(Settings!$B$16,DKW_10Y!$A$2:$A$2918,1)))*100))</f>
        <v/>
      </c>
      <c r="AB804" s="19">
        <f>IF(NOT(ISNUMBER($A804)),NA(),IF(OR($A804&lt;MIN(DKW_10Y!$A$2:$A$2918),$A804&gt;MAX(DKW_10Y!$A$2:$A$2918),Settings!$B$16&lt;MIN(DKW_10Y!$A$2:$A$2918)),NA(),(INDEX(DKW_10Y!$H$2:$H$2918,MATCH($A804,DKW_10Y!$A$2:$A$2918,1))-INDEX(DKW_10Y!$H$2:$H$2918,MATCH(Settings!$B$16,DKW_10Y!$A$2:$A$2918,1)))*100))</f>
        <v/>
      </c>
      <c r="AC804" s="18">
        <f>IF(NOT(ISNUMBER($A804)),NA(),IFERROR(1*INDEX(BBG_Data!$N$2:$N$4000,MATCH($A804,BBG_Data!$M$2:$M$4000,0)),NA()))</f>
        <v/>
      </c>
      <c r="AD804" s="18">
        <f>IF(NOT(ISNUMBER($A804)),NA(),IFERROR(1*INDEX(BBG_Data!$P$2:$P$4000,MATCH($A804,BBG_Data!$O$2:$O$4000,0)),NA()))</f>
        <v/>
      </c>
      <c r="AE804" s="18">
        <f>IF(NOT(ISNUMBER($A804)),NA(),IFERROR(1*INDEX(BBG_Data!$R$2:$R$4000,MATCH($A804,BBG_Data!$Q$2:$Q$4000,0)),NA()))</f>
        <v/>
      </c>
      <c r="AF804" s="20">
        <f>IF(AND(ISNUMBER(B804),ISNUMBER(AC804)),(B804-AC804)*100,NA())</f>
        <v/>
      </c>
      <c r="AG804" s="20">
        <f>IF(AND(ISNUMBER(AE804),ISNUMBER(AD804)),(AE804-AD804)*100,NA())</f>
        <v/>
      </c>
      <c r="AH804" s="19">
        <f>IF(NOT(ISNUMBER($A804)),NA(),IFERROR(INDEX(BBG_Data!$T$2:$T$4000,MATCH($A804,BBG_Data!$S$2:$S$4000,0))*Settings!$B$25,NA()))</f>
        <v/>
      </c>
      <c r="AI804" s="19">
        <f>IF(NOT(ISNUMBER($A804)),NA(),IFERROR(INDEX(BBG_Data!$V$2:$V$4000,MATCH($A804,BBG_Data!$U$2:$U$4000,0))*Settings!$B$25,NA()))</f>
        <v/>
      </c>
      <c r="AJ804" s="19">
        <f>IF(NOT(ISNUMBER($A804)),NA(),IFERROR(1*INDEX(BBG_Data!$X$2:$X$4000,MATCH($A804,BBG_Data!$W$2:$W$4000,0)),NA()))</f>
        <v/>
      </c>
      <c r="AK804" s="19">
        <f>IF(NOT(ISNUMBER($A804)),NA(),IFERROR(1*INDEX(BBG_Data!$Z$2:$Z$4000,MATCH($A804,BBG_Data!$Y$2:$Y$4000,0)),NA()))</f>
        <v/>
      </c>
    </row>
    <row r="805">
      <c r="A805" s="17">
        <f>IF(ISNUMBER(BBG_Data!A805),BBG_Data!A805,"")</f>
        <v/>
      </c>
      <c r="B805" s="18">
        <f>IF(AND(ISNUMBER($A805),ISNUMBER(BBG_Data!B805)),BBG_Data!B805,NA())</f>
        <v/>
      </c>
      <c r="C805" s="18">
        <f>IF(NOT(ISNUMBER($A805)),NA(),IFERROR(1*INDEX(BBG_Data!$D$2:$D$4000,MATCH($A805,BBG_Data!$C$2:$C$4000,0)),NA()))</f>
        <v/>
      </c>
      <c r="D805" s="19">
        <f>IF(NOT(ISNUMBER($A805)),NA(),IFERROR(1*INDEX(BBG_Data!$F$2:$F$4000,MATCH($A805,BBG_Data!$E$2:$E$4000,0)),NA()))</f>
        <v/>
      </c>
      <c r="E805" s="19">
        <f>IF(NOT(ISNUMBER($A805)),NA(),IFERROR(1*INDEX(BBG_Data!$H$2:$H$4000,MATCH($A805,BBG_Data!$G$2:$G$4000,0)),NA()))</f>
        <v/>
      </c>
      <c r="F805" s="20">
        <f>IF(AND(ISNUMBER(B805),ISNUMBER(B804)),IF(B805=B804,"",(B805-B804)*100),"")</f>
        <v/>
      </c>
      <c r="G805" s="20">
        <f>IF(AND(ISNUMBER(C805),ISNUMBER(C804)),IF(C805=C804,"",(C805-C804)*100),"")</f>
        <v/>
      </c>
      <c r="H805" s="20">
        <f>IF(OR(NOT(ISNUMBER($A805)),ROW()-2&lt;Settings!$B$11),NA(),IF(COUNT(OFFSET(F805,1-Settings!$B$11,0,Settings!$B$11,1))&lt;ROUNDUP(Settings!$B$11*Settings!$B$26,0),NA(),STDEV(OFFSET(F805,1-Settings!$B$11,0,Settings!$B$11,1))*SQRT(Settings!$B$13)))</f>
        <v/>
      </c>
      <c r="I805" s="20">
        <f>IF(OR(NOT(ISNUMBER($A805)),ROW()-2&lt;Settings!$B$12),NA(),IF(COUNT(OFFSET(F805,1-Settings!$B$12,0,Settings!$B$12,1))&lt;ROUNDUP(Settings!$B$12*Settings!$B$26,0),NA(),STDEV(OFFSET(F805,1-Settings!$B$12,0,Settings!$B$12,1))*SQRT(Settings!$B$13)))</f>
        <v/>
      </c>
      <c r="J805" s="20">
        <f>IF(OR(NOT(ISNUMBER($A805)),ROW()-2&lt;Settings!$B$11),NA(),IF(COUNT(OFFSET(G805,1-Settings!$B$11,0,Settings!$B$11,1))&lt;ROUNDUP(Settings!$B$11*Settings!$B$26,0),NA(),STDEV(OFFSET(G805,1-Settings!$B$11,0,Settings!$B$11,1))*SQRT(Settings!$B$13)))</f>
        <v/>
      </c>
      <c r="K805" s="20">
        <f>IF(OR(NOT(ISNUMBER($A805)),ROW()-2&lt;Settings!$B$12),NA(),IF(COUNT(OFFSET(G805,1-Settings!$B$12,0,Settings!$B$12,1))&lt;ROUNDUP(Settings!$B$12*Settings!$B$26,0),NA(),STDEV(OFFSET(G805,1-Settings!$B$12,0,Settings!$B$12,1))*SQRT(Settings!$B$13)))</f>
        <v/>
      </c>
      <c r="L805" s="20">
        <f>IF(AND(ISNUMBER(D805),ISNUMBER(H805)),D805-H805,NA())</f>
        <v/>
      </c>
      <c r="M805" s="20">
        <f>IF(AND(ISNUMBER(E805),ISNUMBER(K805)),E805-K805,NA())</f>
        <v/>
      </c>
      <c r="N805" s="20">
        <f>IF(NOT(ISNUMBER($A805)),NA(),IF(COUNT(OFFSET(G805,1,0,Settings!$B$12,1))&lt;ROUNDUP(Settings!$B$12*Settings!$B$26,0),NA(),STDEV(OFFSET(G805,1,0,Settings!$B$12,1))*SQRT(Settings!$B$13)))</f>
        <v/>
      </c>
      <c r="O805" s="20">
        <f>IF(AND(ISNUMBER(E805),ISNUMBER(N805)),E805-N805,NA())</f>
        <v/>
      </c>
      <c r="P805" s="19">
        <f>IF(NOT(ISNUMBER($A805)),NA(),IF(OR($A805&lt;MIN(KW_TP!$A$2:$A$2501),$A805&gt;MAX(KW_TP!$A$2:$A$2501)),NA(),INDEX(KW_TP!$C$2:$C$2501,MATCH($A805,KW_TP!$A$2:$A$2501,1))))</f>
        <v/>
      </c>
      <c r="Q805" s="18">
        <f>IF(NOT(ISNUMBER($A805)),NA(),IFERROR(1*INDEX(BBG_Data!$J$2:$J$4000,MATCH($A805,BBG_Data!$I$2:$I$4000,0)),NA()))</f>
        <v/>
      </c>
      <c r="R805" s="18">
        <f>IF(NOT(ISNUMBER($A805)),NA(),IFERROR(1*INDEX(BBG_Data!$L$2:$L$4000,MATCH($A805,BBG_Data!$K$2:$K$4000,0)),NA()))</f>
        <v/>
      </c>
      <c r="S805" s="20">
        <f>IF(AND(ISNUMBER(B805),ISNUMBER(Q805),ISNUMBER(R805)),(B805-Q805-R805)*100,NA())</f>
        <v/>
      </c>
      <c r="T805" s="20">
        <f>IF(AND(ISNUMBER(B805),Settings!$B$17&gt;0),IF(ISNUMBER(INDEX($B:$B,Settings!$B$17)),(B805-INDEX($B:$B,Settings!$B$17))*100,NA()),NA())</f>
        <v/>
      </c>
      <c r="U805" s="20">
        <f>IF(AND(ISNUMBER(Q805),Settings!$B$17&gt;0),IF(ISNUMBER(INDEX($Q:$Q,Settings!$B$17)),(Q805-INDEX($Q:$Q,Settings!$B$17))*100,NA()),NA())</f>
        <v/>
      </c>
      <c r="V805" s="20">
        <f>IF(AND(ISNUMBER(R805),Settings!$B$17&gt;0),IF(ISNUMBER(INDEX($R:$R,Settings!$B$17)),(R805-INDEX($R:$R,Settings!$B$17))*100,NA()),NA())</f>
        <v/>
      </c>
      <c r="W805" s="20">
        <f>IF(AND(ISNUMBER(P805),Settings!$B$17&gt;0),IF(ISNUMBER(INDEX($P:$P,Settings!$B$17)),P805-INDEX($P:$P,Settings!$B$17),NA()),NA())</f>
        <v/>
      </c>
      <c r="X805" s="19">
        <f>IF(NOT(ISNUMBER($A805)),NA(),IF(OR($A805&lt;MIN(DKW_10Y!$A$2:$A$2918),$A805&gt;MAX(DKW_10Y!$A$2:$A$2918),Settings!$B$16&lt;MIN(DKW_10Y!$A$2:$A$2918)),NA(),(INDEX(DKW_10Y!$B$2:$B$2918,MATCH($A805,DKW_10Y!$A$2:$A$2918,1))-INDEX(DKW_10Y!$B$2:$B$2918,MATCH(Settings!$B$16,DKW_10Y!$A$2:$A$2918,1)))*100))</f>
        <v/>
      </c>
      <c r="Y805" s="19">
        <f>IF(NOT(ISNUMBER($A805)),NA(),IF(OR($A805&lt;MIN(DKW_10Y!$A$2:$A$2918),$A805&gt;MAX(DKW_10Y!$A$2:$A$2918),Settings!$B$16&lt;MIN(DKW_10Y!$A$2:$A$2918)),NA(),(INDEX(DKW_10Y!$C$2:$C$2918,MATCH($A805,DKW_10Y!$A$2:$A$2918,1))-INDEX(DKW_10Y!$C$2:$C$2918,MATCH(Settings!$B$16,DKW_10Y!$A$2:$A$2918,1)))*100))</f>
        <v/>
      </c>
      <c r="Z805" s="19">
        <f>IF(NOT(ISNUMBER($A805)),NA(),IF(OR($A805&lt;MIN(DKW_10Y!$A$2:$A$2918),$A805&gt;MAX(DKW_10Y!$A$2:$A$2918),Settings!$B$16&lt;MIN(DKW_10Y!$A$2:$A$2918)),NA(),(INDEX(DKW_10Y!$D$2:$D$2918,MATCH($A805,DKW_10Y!$A$2:$A$2918,1))-INDEX(DKW_10Y!$D$2:$D$2918,MATCH(Settings!$B$16,DKW_10Y!$A$2:$A$2918,1)))*100))</f>
        <v/>
      </c>
      <c r="AA805" s="19">
        <f>IF(NOT(ISNUMBER($A805)),NA(),IF(OR($A805&lt;MIN(DKW_10Y!$A$2:$A$2918),$A805&gt;MAX(DKW_10Y!$A$2:$A$2918),Settings!$B$16&lt;MIN(DKW_10Y!$A$2:$A$2918)),NA(),(INDEX(DKW_10Y!$E$2:$E$2918,MATCH($A805,DKW_10Y!$A$2:$A$2918,1))-INDEX(DKW_10Y!$E$2:$E$2918,MATCH(Settings!$B$16,DKW_10Y!$A$2:$A$2918,1)))*100))</f>
        <v/>
      </c>
      <c r="AB805" s="19">
        <f>IF(NOT(ISNUMBER($A805)),NA(),IF(OR($A805&lt;MIN(DKW_10Y!$A$2:$A$2918),$A805&gt;MAX(DKW_10Y!$A$2:$A$2918),Settings!$B$16&lt;MIN(DKW_10Y!$A$2:$A$2918)),NA(),(INDEX(DKW_10Y!$H$2:$H$2918,MATCH($A805,DKW_10Y!$A$2:$A$2918,1))-INDEX(DKW_10Y!$H$2:$H$2918,MATCH(Settings!$B$16,DKW_10Y!$A$2:$A$2918,1)))*100))</f>
        <v/>
      </c>
      <c r="AC805" s="18">
        <f>IF(NOT(ISNUMBER($A805)),NA(),IFERROR(1*INDEX(BBG_Data!$N$2:$N$4000,MATCH($A805,BBG_Data!$M$2:$M$4000,0)),NA()))</f>
        <v/>
      </c>
      <c r="AD805" s="18">
        <f>IF(NOT(ISNUMBER($A805)),NA(),IFERROR(1*INDEX(BBG_Data!$P$2:$P$4000,MATCH($A805,BBG_Data!$O$2:$O$4000,0)),NA()))</f>
        <v/>
      </c>
      <c r="AE805" s="18">
        <f>IF(NOT(ISNUMBER($A805)),NA(),IFERROR(1*INDEX(BBG_Data!$R$2:$R$4000,MATCH($A805,BBG_Data!$Q$2:$Q$4000,0)),NA()))</f>
        <v/>
      </c>
      <c r="AF805" s="20">
        <f>IF(AND(ISNUMBER(B805),ISNUMBER(AC805)),(B805-AC805)*100,NA())</f>
        <v/>
      </c>
      <c r="AG805" s="20">
        <f>IF(AND(ISNUMBER(AE805),ISNUMBER(AD805)),(AE805-AD805)*100,NA())</f>
        <v/>
      </c>
      <c r="AH805" s="19">
        <f>IF(NOT(ISNUMBER($A805)),NA(),IFERROR(INDEX(BBG_Data!$T$2:$T$4000,MATCH($A805,BBG_Data!$S$2:$S$4000,0))*Settings!$B$25,NA()))</f>
        <v/>
      </c>
      <c r="AI805" s="19">
        <f>IF(NOT(ISNUMBER($A805)),NA(),IFERROR(INDEX(BBG_Data!$V$2:$V$4000,MATCH($A805,BBG_Data!$U$2:$U$4000,0))*Settings!$B$25,NA()))</f>
        <v/>
      </c>
      <c r="AJ805" s="19">
        <f>IF(NOT(ISNUMBER($A805)),NA(),IFERROR(1*INDEX(BBG_Data!$X$2:$X$4000,MATCH($A805,BBG_Data!$W$2:$W$4000,0)),NA()))</f>
        <v/>
      </c>
      <c r="AK805" s="19">
        <f>IF(NOT(ISNUMBER($A805)),NA(),IFERROR(1*INDEX(BBG_Data!$Z$2:$Z$4000,MATCH($A805,BBG_Data!$Y$2:$Y$4000,0)),NA()))</f>
        <v/>
      </c>
    </row>
    <row r="806">
      <c r="A806" s="17">
        <f>IF(ISNUMBER(BBG_Data!A806),BBG_Data!A806,"")</f>
        <v/>
      </c>
      <c r="B806" s="18">
        <f>IF(AND(ISNUMBER($A806),ISNUMBER(BBG_Data!B806)),BBG_Data!B806,NA())</f>
        <v/>
      </c>
      <c r="C806" s="18">
        <f>IF(NOT(ISNUMBER($A806)),NA(),IFERROR(1*INDEX(BBG_Data!$D$2:$D$4000,MATCH($A806,BBG_Data!$C$2:$C$4000,0)),NA()))</f>
        <v/>
      </c>
      <c r="D806" s="19">
        <f>IF(NOT(ISNUMBER($A806)),NA(),IFERROR(1*INDEX(BBG_Data!$F$2:$F$4000,MATCH($A806,BBG_Data!$E$2:$E$4000,0)),NA()))</f>
        <v/>
      </c>
      <c r="E806" s="19">
        <f>IF(NOT(ISNUMBER($A806)),NA(),IFERROR(1*INDEX(BBG_Data!$H$2:$H$4000,MATCH($A806,BBG_Data!$G$2:$G$4000,0)),NA()))</f>
        <v/>
      </c>
      <c r="F806" s="20">
        <f>IF(AND(ISNUMBER(B806),ISNUMBER(B805)),IF(B806=B805,"",(B806-B805)*100),"")</f>
        <v/>
      </c>
      <c r="G806" s="20">
        <f>IF(AND(ISNUMBER(C806),ISNUMBER(C805)),IF(C806=C805,"",(C806-C805)*100),"")</f>
        <v/>
      </c>
      <c r="H806" s="20">
        <f>IF(OR(NOT(ISNUMBER($A806)),ROW()-2&lt;Settings!$B$11),NA(),IF(COUNT(OFFSET(F806,1-Settings!$B$11,0,Settings!$B$11,1))&lt;ROUNDUP(Settings!$B$11*Settings!$B$26,0),NA(),STDEV(OFFSET(F806,1-Settings!$B$11,0,Settings!$B$11,1))*SQRT(Settings!$B$13)))</f>
        <v/>
      </c>
      <c r="I806" s="20">
        <f>IF(OR(NOT(ISNUMBER($A806)),ROW()-2&lt;Settings!$B$12),NA(),IF(COUNT(OFFSET(F806,1-Settings!$B$12,0,Settings!$B$12,1))&lt;ROUNDUP(Settings!$B$12*Settings!$B$26,0),NA(),STDEV(OFFSET(F806,1-Settings!$B$12,0,Settings!$B$12,1))*SQRT(Settings!$B$13)))</f>
        <v/>
      </c>
      <c r="J806" s="20">
        <f>IF(OR(NOT(ISNUMBER($A806)),ROW()-2&lt;Settings!$B$11),NA(),IF(COUNT(OFFSET(G806,1-Settings!$B$11,0,Settings!$B$11,1))&lt;ROUNDUP(Settings!$B$11*Settings!$B$26,0),NA(),STDEV(OFFSET(G806,1-Settings!$B$11,0,Settings!$B$11,1))*SQRT(Settings!$B$13)))</f>
        <v/>
      </c>
      <c r="K806" s="20">
        <f>IF(OR(NOT(ISNUMBER($A806)),ROW()-2&lt;Settings!$B$12),NA(),IF(COUNT(OFFSET(G806,1-Settings!$B$12,0,Settings!$B$12,1))&lt;ROUNDUP(Settings!$B$12*Settings!$B$26,0),NA(),STDEV(OFFSET(G806,1-Settings!$B$12,0,Settings!$B$12,1))*SQRT(Settings!$B$13)))</f>
        <v/>
      </c>
      <c r="L806" s="20">
        <f>IF(AND(ISNUMBER(D806),ISNUMBER(H806)),D806-H806,NA())</f>
        <v/>
      </c>
      <c r="M806" s="20">
        <f>IF(AND(ISNUMBER(E806),ISNUMBER(K806)),E806-K806,NA())</f>
        <v/>
      </c>
      <c r="N806" s="20">
        <f>IF(NOT(ISNUMBER($A806)),NA(),IF(COUNT(OFFSET(G806,1,0,Settings!$B$12,1))&lt;ROUNDUP(Settings!$B$12*Settings!$B$26,0),NA(),STDEV(OFFSET(G806,1,0,Settings!$B$12,1))*SQRT(Settings!$B$13)))</f>
        <v/>
      </c>
      <c r="O806" s="20">
        <f>IF(AND(ISNUMBER(E806),ISNUMBER(N806)),E806-N806,NA())</f>
        <v/>
      </c>
      <c r="P806" s="19">
        <f>IF(NOT(ISNUMBER($A806)),NA(),IF(OR($A806&lt;MIN(KW_TP!$A$2:$A$2501),$A806&gt;MAX(KW_TP!$A$2:$A$2501)),NA(),INDEX(KW_TP!$C$2:$C$2501,MATCH($A806,KW_TP!$A$2:$A$2501,1))))</f>
        <v/>
      </c>
      <c r="Q806" s="18">
        <f>IF(NOT(ISNUMBER($A806)),NA(),IFERROR(1*INDEX(BBG_Data!$J$2:$J$4000,MATCH($A806,BBG_Data!$I$2:$I$4000,0)),NA()))</f>
        <v/>
      </c>
      <c r="R806" s="18">
        <f>IF(NOT(ISNUMBER($A806)),NA(),IFERROR(1*INDEX(BBG_Data!$L$2:$L$4000,MATCH($A806,BBG_Data!$K$2:$K$4000,0)),NA()))</f>
        <v/>
      </c>
      <c r="S806" s="20">
        <f>IF(AND(ISNUMBER(B806),ISNUMBER(Q806),ISNUMBER(R806)),(B806-Q806-R806)*100,NA())</f>
        <v/>
      </c>
      <c r="T806" s="20">
        <f>IF(AND(ISNUMBER(B806),Settings!$B$17&gt;0),IF(ISNUMBER(INDEX($B:$B,Settings!$B$17)),(B806-INDEX($B:$B,Settings!$B$17))*100,NA()),NA())</f>
        <v/>
      </c>
      <c r="U806" s="20">
        <f>IF(AND(ISNUMBER(Q806),Settings!$B$17&gt;0),IF(ISNUMBER(INDEX($Q:$Q,Settings!$B$17)),(Q806-INDEX($Q:$Q,Settings!$B$17))*100,NA()),NA())</f>
        <v/>
      </c>
      <c r="V806" s="20">
        <f>IF(AND(ISNUMBER(R806),Settings!$B$17&gt;0),IF(ISNUMBER(INDEX($R:$R,Settings!$B$17)),(R806-INDEX($R:$R,Settings!$B$17))*100,NA()),NA())</f>
        <v/>
      </c>
      <c r="W806" s="20">
        <f>IF(AND(ISNUMBER(P806),Settings!$B$17&gt;0),IF(ISNUMBER(INDEX($P:$P,Settings!$B$17)),P806-INDEX($P:$P,Settings!$B$17),NA()),NA())</f>
        <v/>
      </c>
      <c r="X806" s="19">
        <f>IF(NOT(ISNUMBER($A806)),NA(),IF(OR($A806&lt;MIN(DKW_10Y!$A$2:$A$2918),$A806&gt;MAX(DKW_10Y!$A$2:$A$2918),Settings!$B$16&lt;MIN(DKW_10Y!$A$2:$A$2918)),NA(),(INDEX(DKW_10Y!$B$2:$B$2918,MATCH($A806,DKW_10Y!$A$2:$A$2918,1))-INDEX(DKW_10Y!$B$2:$B$2918,MATCH(Settings!$B$16,DKW_10Y!$A$2:$A$2918,1)))*100))</f>
        <v/>
      </c>
      <c r="Y806" s="19">
        <f>IF(NOT(ISNUMBER($A806)),NA(),IF(OR($A806&lt;MIN(DKW_10Y!$A$2:$A$2918),$A806&gt;MAX(DKW_10Y!$A$2:$A$2918),Settings!$B$16&lt;MIN(DKW_10Y!$A$2:$A$2918)),NA(),(INDEX(DKW_10Y!$C$2:$C$2918,MATCH($A806,DKW_10Y!$A$2:$A$2918,1))-INDEX(DKW_10Y!$C$2:$C$2918,MATCH(Settings!$B$16,DKW_10Y!$A$2:$A$2918,1)))*100))</f>
        <v/>
      </c>
      <c r="Z806" s="19">
        <f>IF(NOT(ISNUMBER($A806)),NA(),IF(OR($A806&lt;MIN(DKW_10Y!$A$2:$A$2918),$A806&gt;MAX(DKW_10Y!$A$2:$A$2918),Settings!$B$16&lt;MIN(DKW_10Y!$A$2:$A$2918)),NA(),(INDEX(DKW_10Y!$D$2:$D$2918,MATCH($A806,DKW_10Y!$A$2:$A$2918,1))-INDEX(DKW_10Y!$D$2:$D$2918,MATCH(Settings!$B$16,DKW_10Y!$A$2:$A$2918,1)))*100))</f>
        <v/>
      </c>
      <c r="AA806" s="19">
        <f>IF(NOT(ISNUMBER($A806)),NA(),IF(OR($A806&lt;MIN(DKW_10Y!$A$2:$A$2918),$A806&gt;MAX(DKW_10Y!$A$2:$A$2918),Settings!$B$16&lt;MIN(DKW_10Y!$A$2:$A$2918)),NA(),(INDEX(DKW_10Y!$E$2:$E$2918,MATCH($A806,DKW_10Y!$A$2:$A$2918,1))-INDEX(DKW_10Y!$E$2:$E$2918,MATCH(Settings!$B$16,DKW_10Y!$A$2:$A$2918,1)))*100))</f>
        <v/>
      </c>
      <c r="AB806" s="19">
        <f>IF(NOT(ISNUMBER($A806)),NA(),IF(OR($A806&lt;MIN(DKW_10Y!$A$2:$A$2918),$A806&gt;MAX(DKW_10Y!$A$2:$A$2918),Settings!$B$16&lt;MIN(DKW_10Y!$A$2:$A$2918)),NA(),(INDEX(DKW_10Y!$H$2:$H$2918,MATCH($A806,DKW_10Y!$A$2:$A$2918,1))-INDEX(DKW_10Y!$H$2:$H$2918,MATCH(Settings!$B$16,DKW_10Y!$A$2:$A$2918,1)))*100))</f>
        <v/>
      </c>
      <c r="AC806" s="18">
        <f>IF(NOT(ISNUMBER($A806)),NA(),IFERROR(1*INDEX(BBG_Data!$N$2:$N$4000,MATCH($A806,BBG_Data!$M$2:$M$4000,0)),NA()))</f>
        <v/>
      </c>
      <c r="AD806" s="18">
        <f>IF(NOT(ISNUMBER($A806)),NA(),IFERROR(1*INDEX(BBG_Data!$P$2:$P$4000,MATCH($A806,BBG_Data!$O$2:$O$4000,0)),NA()))</f>
        <v/>
      </c>
      <c r="AE806" s="18">
        <f>IF(NOT(ISNUMBER($A806)),NA(),IFERROR(1*INDEX(BBG_Data!$R$2:$R$4000,MATCH($A806,BBG_Data!$Q$2:$Q$4000,0)),NA()))</f>
        <v/>
      </c>
      <c r="AF806" s="20">
        <f>IF(AND(ISNUMBER(B806),ISNUMBER(AC806)),(B806-AC806)*100,NA())</f>
        <v/>
      </c>
      <c r="AG806" s="20">
        <f>IF(AND(ISNUMBER(AE806),ISNUMBER(AD806)),(AE806-AD806)*100,NA())</f>
        <v/>
      </c>
      <c r="AH806" s="19">
        <f>IF(NOT(ISNUMBER($A806)),NA(),IFERROR(INDEX(BBG_Data!$T$2:$T$4000,MATCH($A806,BBG_Data!$S$2:$S$4000,0))*Settings!$B$25,NA()))</f>
        <v/>
      </c>
      <c r="AI806" s="19">
        <f>IF(NOT(ISNUMBER($A806)),NA(),IFERROR(INDEX(BBG_Data!$V$2:$V$4000,MATCH($A806,BBG_Data!$U$2:$U$4000,0))*Settings!$B$25,NA()))</f>
        <v/>
      </c>
      <c r="AJ806" s="19">
        <f>IF(NOT(ISNUMBER($A806)),NA(),IFERROR(1*INDEX(BBG_Data!$X$2:$X$4000,MATCH($A806,BBG_Data!$W$2:$W$4000,0)),NA()))</f>
        <v/>
      </c>
      <c r="AK806" s="19">
        <f>IF(NOT(ISNUMBER($A806)),NA(),IFERROR(1*INDEX(BBG_Data!$Z$2:$Z$4000,MATCH($A806,BBG_Data!$Y$2:$Y$4000,0)),NA()))</f>
        <v/>
      </c>
    </row>
    <row r="807">
      <c r="A807" s="17">
        <f>IF(ISNUMBER(BBG_Data!A807),BBG_Data!A807,"")</f>
        <v/>
      </c>
      <c r="B807" s="18">
        <f>IF(AND(ISNUMBER($A807),ISNUMBER(BBG_Data!B807)),BBG_Data!B807,NA())</f>
        <v/>
      </c>
      <c r="C807" s="18">
        <f>IF(NOT(ISNUMBER($A807)),NA(),IFERROR(1*INDEX(BBG_Data!$D$2:$D$4000,MATCH($A807,BBG_Data!$C$2:$C$4000,0)),NA()))</f>
        <v/>
      </c>
      <c r="D807" s="19">
        <f>IF(NOT(ISNUMBER($A807)),NA(),IFERROR(1*INDEX(BBG_Data!$F$2:$F$4000,MATCH($A807,BBG_Data!$E$2:$E$4000,0)),NA()))</f>
        <v/>
      </c>
      <c r="E807" s="19">
        <f>IF(NOT(ISNUMBER($A807)),NA(),IFERROR(1*INDEX(BBG_Data!$H$2:$H$4000,MATCH($A807,BBG_Data!$G$2:$G$4000,0)),NA()))</f>
        <v/>
      </c>
      <c r="F807" s="20">
        <f>IF(AND(ISNUMBER(B807),ISNUMBER(B806)),IF(B807=B806,"",(B807-B806)*100),"")</f>
        <v/>
      </c>
      <c r="G807" s="20">
        <f>IF(AND(ISNUMBER(C807),ISNUMBER(C806)),IF(C807=C806,"",(C807-C806)*100),"")</f>
        <v/>
      </c>
      <c r="H807" s="20">
        <f>IF(OR(NOT(ISNUMBER($A807)),ROW()-2&lt;Settings!$B$11),NA(),IF(COUNT(OFFSET(F807,1-Settings!$B$11,0,Settings!$B$11,1))&lt;ROUNDUP(Settings!$B$11*Settings!$B$26,0),NA(),STDEV(OFFSET(F807,1-Settings!$B$11,0,Settings!$B$11,1))*SQRT(Settings!$B$13)))</f>
        <v/>
      </c>
      <c r="I807" s="20">
        <f>IF(OR(NOT(ISNUMBER($A807)),ROW()-2&lt;Settings!$B$12),NA(),IF(COUNT(OFFSET(F807,1-Settings!$B$12,0,Settings!$B$12,1))&lt;ROUNDUP(Settings!$B$12*Settings!$B$26,0),NA(),STDEV(OFFSET(F807,1-Settings!$B$12,0,Settings!$B$12,1))*SQRT(Settings!$B$13)))</f>
        <v/>
      </c>
      <c r="J807" s="20">
        <f>IF(OR(NOT(ISNUMBER($A807)),ROW()-2&lt;Settings!$B$11),NA(),IF(COUNT(OFFSET(G807,1-Settings!$B$11,0,Settings!$B$11,1))&lt;ROUNDUP(Settings!$B$11*Settings!$B$26,0),NA(),STDEV(OFFSET(G807,1-Settings!$B$11,0,Settings!$B$11,1))*SQRT(Settings!$B$13)))</f>
        <v/>
      </c>
      <c r="K807" s="20">
        <f>IF(OR(NOT(ISNUMBER($A807)),ROW()-2&lt;Settings!$B$12),NA(),IF(COUNT(OFFSET(G807,1-Settings!$B$12,0,Settings!$B$12,1))&lt;ROUNDUP(Settings!$B$12*Settings!$B$26,0),NA(),STDEV(OFFSET(G807,1-Settings!$B$12,0,Settings!$B$12,1))*SQRT(Settings!$B$13)))</f>
        <v/>
      </c>
      <c r="L807" s="20">
        <f>IF(AND(ISNUMBER(D807),ISNUMBER(H807)),D807-H807,NA())</f>
        <v/>
      </c>
      <c r="M807" s="20">
        <f>IF(AND(ISNUMBER(E807),ISNUMBER(K807)),E807-K807,NA())</f>
        <v/>
      </c>
      <c r="N807" s="20">
        <f>IF(NOT(ISNUMBER($A807)),NA(),IF(COUNT(OFFSET(G807,1,0,Settings!$B$12,1))&lt;ROUNDUP(Settings!$B$12*Settings!$B$26,0),NA(),STDEV(OFFSET(G807,1,0,Settings!$B$12,1))*SQRT(Settings!$B$13)))</f>
        <v/>
      </c>
      <c r="O807" s="20">
        <f>IF(AND(ISNUMBER(E807),ISNUMBER(N807)),E807-N807,NA())</f>
        <v/>
      </c>
      <c r="P807" s="19">
        <f>IF(NOT(ISNUMBER($A807)),NA(),IF(OR($A807&lt;MIN(KW_TP!$A$2:$A$2501),$A807&gt;MAX(KW_TP!$A$2:$A$2501)),NA(),INDEX(KW_TP!$C$2:$C$2501,MATCH($A807,KW_TP!$A$2:$A$2501,1))))</f>
        <v/>
      </c>
      <c r="Q807" s="18">
        <f>IF(NOT(ISNUMBER($A807)),NA(),IFERROR(1*INDEX(BBG_Data!$J$2:$J$4000,MATCH($A807,BBG_Data!$I$2:$I$4000,0)),NA()))</f>
        <v/>
      </c>
      <c r="R807" s="18">
        <f>IF(NOT(ISNUMBER($A807)),NA(),IFERROR(1*INDEX(BBG_Data!$L$2:$L$4000,MATCH($A807,BBG_Data!$K$2:$K$4000,0)),NA()))</f>
        <v/>
      </c>
      <c r="S807" s="20">
        <f>IF(AND(ISNUMBER(B807),ISNUMBER(Q807),ISNUMBER(R807)),(B807-Q807-R807)*100,NA())</f>
        <v/>
      </c>
      <c r="T807" s="20">
        <f>IF(AND(ISNUMBER(B807),Settings!$B$17&gt;0),IF(ISNUMBER(INDEX($B:$B,Settings!$B$17)),(B807-INDEX($B:$B,Settings!$B$17))*100,NA()),NA())</f>
        <v/>
      </c>
      <c r="U807" s="20">
        <f>IF(AND(ISNUMBER(Q807),Settings!$B$17&gt;0),IF(ISNUMBER(INDEX($Q:$Q,Settings!$B$17)),(Q807-INDEX($Q:$Q,Settings!$B$17))*100,NA()),NA())</f>
        <v/>
      </c>
      <c r="V807" s="20">
        <f>IF(AND(ISNUMBER(R807),Settings!$B$17&gt;0),IF(ISNUMBER(INDEX($R:$R,Settings!$B$17)),(R807-INDEX($R:$R,Settings!$B$17))*100,NA()),NA())</f>
        <v/>
      </c>
      <c r="W807" s="20">
        <f>IF(AND(ISNUMBER(P807),Settings!$B$17&gt;0),IF(ISNUMBER(INDEX($P:$P,Settings!$B$17)),P807-INDEX($P:$P,Settings!$B$17),NA()),NA())</f>
        <v/>
      </c>
      <c r="X807" s="19">
        <f>IF(NOT(ISNUMBER($A807)),NA(),IF(OR($A807&lt;MIN(DKW_10Y!$A$2:$A$2918),$A807&gt;MAX(DKW_10Y!$A$2:$A$2918),Settings!$B$16&lt;MIN(DKW_10Y!$A$2:$A$2918)),NA(),(INDEX(DKW_10Y!$B$2:$B$2918,MATCH($A807,DKW_10Y!$A$2:$A$2918,1))-INDEX(DKW_10Y!$B$2:$B$2918,MATCH(Settings!$B$16,DKW_10Y!$A$2:$A$2918,1)))*100))</f>
        <v/>
      </c>
      <c r="Y807" s="19">
        <f>IF(NOT(ISNUMBER($A807)),NA(),IF(OR($A807&lt;MIN(DKW_10Y!$A$2:$A$2918),$A807&gt;MAX(DKW_10Y!$A$2:$A$2918),Settings!$B$16&lt;MIN(DKW_10Y!$A$2:$A$2918)),NA(),(INDEX(DKW_10Y!$C$2:$C$2918,MATCH($A807,DKW_10Y!$A$2:$A$2918,1))-INDEX(DKW_10Y!$C$2:$C$2918,MATCH(Settings!$B$16,DKW_10Y!$A$2:$A$2918,1)))*100))</f>
        <v/>
      </c>
      <c r="Z807" s="19">
        <f>IF(NOT(ISNUMBER($A807)),NA(),IF(OR($A807&lt;MIN(DKW_10Y!$A$2:$A$2918),$A807&gt;MAX(DKW_10Y!$A$2:$A$2918),Settings!$B$16&lt;MIN(DKW_10Y!$A$2:$A$2918)),NA(),(INDEX(DKW_10Y!$D$2:$D$2918,MATCH($A807,DKW_10Y!$A$2:$A$2918,1))-INDEX(DKW_10Y!$D$2:$D$2918,MATCH(Settings!$B$16,DKW_10Y!$A$2:$A$2918,1)))*100))</f>
        <v/>
      </c>
      <c r="AA807" s="19">
        <f>IF(NOT(ISNUMBER($A807)),NA(),IF(OR($A807&lt;MIN(DKW_10Y!$A$2:$A$2918),$A807&gt;MAX(DKW_10Y!$A$2:$A$2918),Settings!$B$16&lt;MIN(DKW_10Y!$A$2:$A$2918)),NA(),(INDEX(DKW_10Y!$E$2:$E$2918,MATCH($A807,DKW_10Y!$A$2:$A$2918,1))-INDEX(DKW_10Y!$E$2:$E$2918,MATCH(Settings!$B$16,DKW_10Y!$A$2:$A$2918,1)))*100))</f>
        <v/>
      </c>
      <c r="AB807" s="19">
        <f>IF(NOT(ISNUMBER($A807)),NA(),IF(OR($A807&lt;MIN(DKW_10Y!$A$2:$A$2918),$A807&gt;MAX(DKW_10Y!$A$2:$A$2918),Settings!$B$16&lt;MIN(DKW_10Y!$A$2:$A$2918)),NA(),(INDEX(DKW_10Y!$H$2:$H$2918,MATCH($A807,DKW_10Y!$A$2:$A$2918,1))-INDEX(DKW_10Y!$H$2:$H$2918,MATCH(Settings!$B$16,DKW_10Y!$A$2:$A$2918,1)))*100))</f>
        <v/>
      </c>
      <c r="AC807" s="18">
        <f>IF(NOT(ISNUMBER($A807)),NA(),IFERROR(1*INDEX(BBG_Data!$N$2:$N$4000,MATCH($A807,BBG_Data!$M$2:$M$4000,0)),NA()))</f>
        <v/>
      </c>
      <c r="AD807" s="18">
        <f>IF(NOT(ISNUMBER($A807)),NA(),IFERROR(1*INDEX(BBG_Data!$P$2:$P$4000,MATCH($A807,BBG_Data!$O$2:$O$4000,0)),NA()))</f>
        <v/>
      </c>
      <c r="AE807" s="18">
        <f>IF(NOT(ISNUMBER($A807)),NA(),IFERROR(1*INDEX(BBG_Data!$R$2:$R$4000,MATCH($A807,BBG_Data!$Q$2:$Q$4000,0)),NA()))</f>
        <v/>
      </c>
      <c r="AF807" s="20">
        <f>IF(AND(ISNUMBER(B807),ISNUMBER(AC807)),(B807-AC807)*100,NA())</f>
        <v/>
      </c>
      <c r="AG807" s="20">
        <f>IF(AND(ISNUMBER(AE807),ISNUMBER(AD807)),(AE807-AD807)*100,NA())</f>
        <v/>
      </c>
      <c r="AH807" s="19">
        <f>IF(NOT(ISNUMBER($A807)),NA(),IFERROR(INDEX(BBG_Data!$T$2:$T$4000,MATCH($A807,BBG_Data!$S$2:$S$4000,0))*Settings!$B$25,NA()))</f>
        <v/>
      </c>
      <c r="AI807" s="19">
        <f>IF(NOT(ISNUMBER($A807)),NA(),IFERROR(INDEX(BBG_Data!$V$2:$V$4000,MATCH($A807,BBG_Data!$U$2:$U$4000,0))*Settings!$B$25,NA()))</f>
        <v/>
      </c>
      <c r="AJ807" s="19">
        <f>IF(NOT(ISNUMBER($A807)),NA(),IFERROR(1*INDEX(BBG_Data!$X$2:$X$4000,MATCH($A807,BBG_Data!$W$2:$W$4000,0)),NA()))</f>
        <v/>
      </c>
      <c r="AK807" s="19">
        <f>IF(NOT(ISNUMBER($A807)),NA(),IFERROR(1*INDEX(BBG_Data!$Z$2:$Z$4000,MATCH($A807,BBG_Data!$Y$2:$Y$4000,0)),NA()))</f>
        <v/>
      </c>
    </row>
    <row r="808">
      <c r="A808" s="17">
        <f>IF(ISNUMBER(BBG_Data!A808),BBG_Data!A808,"")</f>
        <v/>
      </c>
      <c r="B808" s="18">
        <f>IF(AND(ISNUMBER($A808),ISNUMBER(BBG_Data!B808)),BBG_Data!B808,NA())</f>
        <v/>
      </c>
      <c r="C808" s="18">
        <f>IF(NOT(ISNUMBER($A808)),NA(),IFERROR(1*INDEX(BBG_Data!$D$2:$D$4000,MATCH($A808,BBG_Data!$C$2:$C$4000,0)),NA()))</f>
        <v/>
      </c>
      <c r="D808" s="19">
        <f>IF(NOT(ISNUMBER($A808)),NA(),IFERROR(1*INDEX(BBG_Data!$F$2:$F$4000,MATCH($A808,BBG_Data!$E$2:$E$4000,0)),NA()))</f>
        <v/>
      </c>
      <c r="E808" s="19">
        <f>IF(NOT(ISNUMBER($A808)),NA(),IFERROR(1*INDEX(BBG_Data!$H$2:$H$4000,MATCH($A808,BBG_Data!$G$2:$G$4000,0)),NA()))</f>
        <v/>
      </c>
      <c r="F808" s="20">
        <f>IF(AND(ISNUMBER(B808),ISNUMBER(B807)),IF(B808=B807,"",(B808-B807)*100),"")</f>
        <v/>
      </c>
      <c r="G808" s="20">
        <f>IF(AND(ISNUMBER(C808),ISNUMBER(C807)),IF(C808=C807,"",(C808-C807)*100),"")</f>
        <v/>
      </c>
      <c r="H808" s="20">
        <f>IF(OR(NOT(ISNUMBER($A808)),ROW()-2&lt;Settings!$B$11),NA(),IF(COUNT(OFFSET(F808,1-Settings!$B$11,0,Settings!$B$11,1))&lt;ROUNDUP(Settings!$B$11*Settings!$B$26,0),NA(),STDEV(OFFSET(F808,1-Settings!$B$11,0,Settings!$B$11,1))*SQRT(Settings!$B$13)))</f>
        <v/>
      </c>
      <c r="I808" s="20">
        <f>IF(OR(NOT(ISNUMBER($A808)),ROW()-2&lt;Settings!$B$12),NA(),IF(COUNT(OFFSET(F808,1-Settings!$B$12,0,Settings!$B$12,1))&lt;ROUNDUP(Settings!$B$12*Settings!$B$26,0),NA(),STDEV(OFFSET(F808,1-Settings!$B$12,0,Settings!$B$12,1))*SQRT(Settings!$B$13)))</f>
        <v/>
      </c>
      <c r="J808" s="20">
        <f>IF(OR(NOT(ISNUMBER($A808)),ROW()-2&lt;Settings!$B$11),NA(),IF(COUNT(OFFSET(G808,1-Settings!$B$11,0,Settings!$B$11,1))&lt;ROUNDUP(Settings!$B$11*Settings!$B$26,0),NA(),STDEV(OFFSET(G808,1-Settings!$B$11,0,Settings!$B$11,1))*SQRT(Settings!$B$13)))</f>
        <v/>
      </c>
      <c r="K808" s="20">
        <f>IF(OR(NOT(ISNUMBER($A808)),ROW()-2&lt;Settings!$B$12),NA(),IF(COUNT(OFFSET(G808,1-Settings!$B$12,0,Settings!$B$12,1))&lt;ROUNDUP(Settings!$B$12*Settings!$B$26,0),NA(),STDEV(OFFSET(G808,1-Settings!$B$12,0,Settings!$B$12,1))*SQRT(Settings!$B$13)))</f>
        <v/>
      </c>
      <c r="L808" s="20">
        <f>IF(AND(ISNUMBER(D808),ISNUMBER(H808)),D808-H808,NA())</f>
        <v/>
      </c>
      <c r="M808" s="20">
        <f>IF(AND(ISNUMBER(E808),ISNUMBER(K808)),E808-K808,NA())</f>
        <v/>
      </c>
      <c r="N808" s="20">
        <f>IF(NOT(ISNUMBER($A808)),NA(),IF(COUNT(OFFSET(G808,1,0,Settings!$B$12,1))&lt;ROUNDUP(Settings!$B$12*Settings!$B$26,0),NA(),STDEV(OFFSET(G808,1,0,Settings!$B$12,1))*SQRT(Settings!$B$13)))</f>
        <v/>
      </c>
      <c r="O808" s="20">
        <f>IF(AND(ISNUMBER(E808),ISNUMBER(N808)),E808-N808,NA())</f>
        <v/>
      </c>
      <c r="P808" s="19">
        <f>IF(NOT(ISNUMBER($A808)),NA(),IF(OR($A808&lt;MIN(KW_TP!$A$2:$A$2501),$A808&gt;MAX(KW_TP!$A$2:$A$2501)),NA(),INDEX(KW_TP!$C$2:$C$2501,MATCH($A808,KW_TP!$A$2:$A$2501,1))))</f>
        <v/>
      </c>
      <c r="Q808" s="18">
        <f>IF(NOT(ISNUMBER($A808)),NA(),IFERROR(1*INDEX(BBG_Data!$J$2:$J$4000,MATCH($A808,BBG_Data!$I$2:$I$4000,0)),NA()))</f>
        <v/>
      </c>
      <c r="R808" s="18">
        <f>IF(NOT(ISNUMBER($A808)),NA(),IFERROR(1*INDEX(BBG_Data!$L$2:$L$4000,MATCH($A808,BBG_Data!$K$2:$K$4000,0)),NA()))</f>
        <v/>
      </c>
      <c r="S808" s="20">
        <f>IF(AND(ISNUMBER(B808),ISNUMBER(Q808),ISNUMBER(R808)),(B808-Q808-R808)*100,NA())</f>
        <v/>
      </c>
      <c r="T808" s="20">
        <f>IF(AND(ISNUMBER(B808),Settings!$B$17&gt;0),IF(ISNUMBER(INDEX($B:$B,Settings!$B$17)),(B808-INDEX($B:$B,Settings!$B$17))*100,NA()),NA())</f>
        <v/>
      </c>
      <c r="U808" s="20">
        <f>IF(AND(ISNUMBER(Q808),Settings!$B$17&gt;0),IF(ISNUMBER(INDEX($Q:$Q,Settings!$B$17)),(Q808-INDEX($Q:$Q,Settings!$B$17))*100,NA()),NA())</f>
        <v/>
      </c>
      <c r="V808" s="20">
        <f>IF(AND(ISNUMBER(R808),Settings!$B$17&gt;0),IF(ISNUMBER(INDEX($R:$R,Settings!$B$17)),(R808-INDEX($R:$R,Settings!$B$17))*100,NA()),NA())</f>
        <v/>
      </c>
      <c r="W808" s="20">
        <f>IF(AND(ISNUMBER(P808),Settings!$B$17&gt;0),IF(ISNUMBER(INDEX($P:$P,Settings!$B$17)),P808-INDEX($P:$P,Settings!$B$17),NA()),NA())</f>
        <v/>
      </c>
      <c r="X808" s="19">
        <f>IF(NOT(ISNUMBER($A808)),NA(),IF(OR($A808&lt;MIN(DKW_10Y!$A$2:$A$2918),$A808&gt;MAX(DKW_10Y!$A$2:$A$2918),Settings!$B$16&lt;MIN(DKW_10Y!$A$2:$A$2918)),NA(),(INDEX(DKW_10Y!$B$2:$B$2918,MATCH($A808,DKW_10Y!$A$2:$A$2918,1))-INDEX(DKW_10Y!$B$2:$B$2918,MATCH(Settings!$B$16,DKW_10Y!$A$2:$A$2918,1)))*100))</f>
        <v/>
      </c>
      <c r="Y808" s="19">
        <f>IF(NOT(ISNUMBER($A808)),NA(),IF(OR($A808&lt;MIN(DKW_10Y!$A$2:$A$2918),$A808&gt;MAX(DKW_10Y!$A$2:$A$2918),Settings!$B$16&lt;MIN(DKW_10Y!$A$2:$A$2918)),NA(),(INDEX(DKW_10Y!$C$2:$C$2918,MATCH($A808,DKW_10Y!$A$2:$A$2918,1))-INDEX(DKW_10Y!$C$2:$C$2918,MATCH(Settings!$B$16,DKW_10Y!$A$2:$A$2918,1)))*100))</f>
        <v/>
      </c>
      <c r="Z808" s="19">
        <f>IF(NOT(ISNUMBER($A808)),NA(),IF(OR($A808&lt;MIN(DKW_10Y!$A$2:$A$2918),$A808&gt;MAX(DKW_10Y!$A$2:$A$2918),Settings!$B$16&lt;MIN(DKW_10Y!$A$2:$A$2918)),NA(),(INDEX(DKW_10Y!$D$2:$D$2918,MATCH($A808,DKW_10Y!$A$2:$A$2918,1))-INDEX(DKW_10Y!$D$2:$D$2918,MATCH(Settings!$B$16,DKW_10Y!$A$2:$A$2918,1)))*100))</f>
        <v/>
      </c>
      <c r="AA808" s="19">
        <f>IF(NOT(ISNUMBER($A808)),NA(),IF(OR($A808&lt;MIN(DKW_10Y!$A$2:$A$2918),$A808&gt;MAX(DKW_10Y!$A$2:$A$2918),Settings!$B$16&lt;MIN(DKW_10Y!$A$2:$A$2918)),NA(),(INDEX(DKW_10Y!$E$2:$E$2918,MATCH($A808,DKW_10Y!$A$2:$A$2918,1))-INDEX(DKW_10Y!$E$2:$E$2918,MATCH(Settings!$B$16,DKW_10Y!$A$2:$A$2918,1)))*100))</f>
        <v/>
      </c>
      <c r="AB808" s="19">
        <f>IF(NOT(ISNUMBER($A808)),NA(),IF(OR($A808&lt;MIN(DKW_10Y!$A$2:$A$2918),$A808&gt;MAX(DKW_10Y!$A$2:$A$2918),Settings!$B$16&lt;MIN(DKW_10Y!$A$2:$A$2918)),NA(),(INDEX(DKW_10Y!$H$2:$H$2918,MATCH($A808,DKW_10Y!$A$2:$A$2918,1))-INDEX(DKW_10Y!$H$2:$H$2918,MATCH(Settings!$B$16,DKW_10Y!$A$2:$A$2918,1)))*100))</f>
        <v/>
      </c>
      <c r="AC808" s="18">
        <f>IF(NOT(ISNUMBER($A808)),NA(),IFERROR(1*INDEX(BBG_Data!$N$2:$N$4000,MATCH($A808,BBG_Data!$M$2:$M$4000,0)),NA()))</f>
        <v/>
      </c>
      <c r="AD808" s="18">
        <f>IF(NOT(ISNUMBER($A808)),NA(),IFERROR(1*INDEX(BBG_Data!$P$2:$P$4000,MATCH($A808,BBG_Data!$O$2:$O$4000,0)),NA()))</f>
        <v/>
      </c>
      <c r="AE808" s="18">
        <f>IF(NOT(ISNUMBER($A808)),NA(),IFERROR(1*INDEX(BBG_Data!$R$2:$R$4000,MATCH($A808,BBG_Data!$Q$2:$Q$4000,0)),NA()))</f>
        <v/>
      </c>
      <c r="AF808" s="20">
        <f>IF(AND(ISNUMBER(B808),ISNUMBER(AC808)),(B808-AC808)*100,NA())</f>
        <v/>
      </c>
      <c r="AG808" s="20">
        <f>IF(AND(ISNUMBER(AE808),ISNUMBER(AD808)),(AE808-AD808)*100,NA())</f>
        <v/>
      </c>
      <c r="AH808" s="19">
        <f>IF(NOT(ISNUMBER($A808)),NA(),IFERROR(INDEX(BBG_Data!$T$2:$T$4000,MATCH($A808,BBG_Data!$S$2:$S$4000,0))*Settings!$B$25,NA()))</f>
        <v/>
      </c>
      <c r="AI808" s="19">
        <f>IF(NOT(ISNUMBER($A808)),NA(),IFERROR(INDEX(BBG_Data!$V$2:$V$4000,MATCH($A808,BBG_Data!$U$2:$U$4000,0))*Settings!$B$25,NA()))</f>
        <v/>
      </c>
      <c r="AJ808" s="19">
        <f>IF(NOT(ISNUMBER($A808)),NA(),IFERROR(1*INDEX(BBG_Data!$X$2:$X$4000,MATCH($A808,BBG_Data!$W$2:$W$4000,0)),NA()))</f>
        <v/>
      </c>
      <c r="AK808" s="19">
        <f>IF(NOT(ISNUMBER($A808)),NA(),IFERROR(1*INDEX(BBG_Data!$Z$2:$Z$4000,MATCH($A808,BBG_Data!$Y$2:$Y$4000,0)),NA()))</f>
        <v/>
      </c>
    </row>
    <row r="809">
      <c r="A809" s="17">
        <f>IF(ISNUMBER(BBG_Data!A809),BBG_Data!A809,"")</f>
        <v/>
      </c>
      <c r="B809" s="18">
        <f>IF(AND(ISNUMBER($A809),ISNUMBER(BBG_Data!B809)),BBG_Data!B809,NA())</f>
        <v/>
      </c>
      <c r="C809" s="18">
        <f>IF(NOT(ISNUMBER($A809)),NA(),IFERROR(1*INDEX(BBG_Data!$D$2:$D$4000,MATCH($A809,BBG_Data!$C$2:$C$4000,0)),NA()))</f>
        <v/>
      </c>
      <c r="D809" s="19">
        <f>IF(NOT(ISNUMBER($A809)),NA(),IFERROR(1*INDEX(BBG_Data!$F$2:$F$4000,MATCH($A809,BBG_Data!$E$2:$E$4000,0)),NA()))</f>
        <v/>
      </c>
      <c r="E809" s="19">
        <f>IF(NOT(ISNUMBER($A809)),NA(),IFERROR(1*INDEX(BBG_Data!$H$2:$H$4000,MATCH($A809,BBG_Data!$G$2:$G$4000,0)),NA()))</f>
        <v/>
      </c>
      <c r="F809" s="20">
        <f>IF(AND(ISNUMBER(B809),ISNUMBER(B808)),IF(B809=B808,"",(B809-B808)*100),"")</f>
        <v/>
      </c>
      <c r="G809" s="20">
        <f>IF(AND(ISNUMBER(C809),ISNUMBER(C808)),IF(C809=C808,"",(C809-C808)*100),"")</f>
        <v/>
      </c>
      <c r="H809" s="20">
        <f>IF(OR(NOT(ISNUMBER($A809)),ROW()-2&lt;Settings!$B$11),NA(),IF(COUNT(OFFSET(F809,1-Settings!$B$11,0,Settings!$B$11,1))&lt;ROUNDUP(Settings!$B$11*Settings!$B$26,0),NA(),STDEV(OFFSET(F809,1-Settings!$B$11,0,Settings!$B$11,1))*SQRT(Settings!$B$13)))</f>
        <v/>
      </c>
      <c r="I809" s="20">
        <f>IF(OR(NOT(ISNUMBER($A809)),ROW()-2&lt;Settings!$B$12),NA(),IF(COUNT(OFFSET(F809,1-Settings!$B$12,0,Settings!$B$12,1))&lt;ROUNDUP(Settings!$B$12*Settings!$B$26,0),NA(),STDEV(OFFSET(F809,1-Settings!$B$12,0,Settings!$B$12,1))*SQRT(Settings!$B$13)))</f>
        <v/>
      </c>
      <c r="J809" s="20">
        <f>IF(OR(NOT(ISNUMBER($A809)),ROW()-2&lt;Settings!$B$11),NA(),IF(COUNT(OFFSET(G809,1-Settings!$B$11,0,Settings!$B$11,1))&lt;ROUNDUP(Settings!$B$11*Settings!$B$26,0),NA(),STDEV(OFFSET(G809,1-Settings!$B$11,0,Settings!$B$11,1))*SQRT(Settings!$B$13)))</f>
        <v/>
      </c>
      <c r="K809" s="20">
        <f>IF(OR(NOT(ISNUMBER($A809)),ROW()-2&lt;Settings!$B$12),NA(),IF(COUNT(OFFSET(G809,1-Settings!$B$12,0,Settings!$B$12,1))&lt;ROUNDUP(Settings!$B$12*Settings!$B$26,0),NA(),STDEV(OFFSET(G809,1-Settings!$B$12,0,Settings!$B$12,1))*SQRT(Settings!$B$13)))</f>
        <v/>
      </c>
      <c r="L809" s="20">
        <f>IF(AND(ISNUMBER(D809),ISNUMBER(H809)),D809-H809,NA())</f>
        <v/>
      </c>
      <c r="M809" s="20">
        <f>IF(AND(ISNUMBER(E809),ISNUMBER(K809)),E809-K809,NA())</f>
        <v/>
      </c>
      <c r="N809" s="20">
        <f>IF(NOT(ISNUMBER($A809)),NA(),IF(COUNT(OFFSET(G809,1,0,Settings!$B$12,1))&lt;ROUNDUP(Settings!$B$12*Settings!$B$26,0),NA(),STDEV(OFFSET(G809,1,0,Settings!$B$12,1))*SQRT(Settings!$B$13)))</f>
        <v/>
      </c>
      <c r="O809" s="20">
        <f>IF(AND(ISNUMBER(E809),ISNUMBER(N809)),E809-N809,NA())</f>
        <v/>
      </c>
      <c r="P809" s="19">
        <f>IF(NOT(ISNUMBER($A809)),NA(),IF(OR($A809&lt;MIN(KW_TP!$A$2:$A$2501),$A809&gt;MAX(KW_TP!$A$2:$A$2501)),NA(),INDEX(KW_TP!$C$2:$C$2501,MATCH($A809,KW_TP!$A$2:$A$2501,1))))</f>
        <v/>
      </c>
      <c r="Q809" s="18">
        <f>IF(NOT(ISNUMBER($A809)),NA(),IFERROR(1*INDEX(BBG_Data!$J$2:$J$4000,MATCH($A809,BBG_Data!$I$2:$I$4000,0)),NA()))</f>
        <v/>
      </c>
      <c r="R809" s="18">
        <f>IF(NOT(ISNUMBER($A809)),NA(),IFERROR(1*INDEX(BBG_Data!$L$2:$L$4000,MATCH($A809,BBG_Data!$K$2:$K$4000,0)),NA()))</f>
        <v/>
      </c>
      <c r="S809" s="20">
        <f>IF(AND(ISNUMBER(B809),ISNUMBER(Q809),ISNUMBER(R809)),(B809-Q809-R809)*100,NA())</f>
        <v/>
      </c>
      <c r="T809" s="20">
        <f>IF(AND(ISNUMBER(B809),Settings!$B$17&gt;0),IF(ISNUMBER(INDEX($B:$B,Settings!$B$17)),(B809-INDEX($B:$B,Settings!$B$17))*100,NA()),NA())</f>
        <v/>
      </c>
      <c r="U809" s="20">
        <f>IF(AND(ISNUMBER(Q809),Settings!$B$17&gt;0),IF(ISNUMBER(INDEX($Q:$Q,Settings!$B$17)),(Q809-INDEX($Q:$Q,Settings!$B$17))*100,NA()),NA())</f>
        <v/>
      </c>
      <c r="V809" s="20">
        <f>IF(AND(ISNUMBER(R809),Settings!$B$17&gt;0),IF(ISNUMBER(INDEX($R:$R,Settings!$B$17)),(R809-INDEX($R:$R,Settings!$B$17))*100,NA()),NA())</f>
        <v/>
      </c>
      <c r="W809" s="20">
        <f>IF(AND(ISNUMBER(P809),Settings!$B$17&gt;0),IF(ISNUMBER(INDEX($P:$P,Settings!$B$17)),P809-INDEX($P:$P,Settings!$B$17),NA()),NA())</f>
        <v/>
      </c>
      <c r="X809" s="19">
        <f>IF(NOT(ISNUMBER($A809)),NA(),IF(OR($A809&lt;MIN(DKW_10Y!$A$2:$A$2918),$A809&gt;MAX(DKW_10Y!$A$2:$A$2918),Settings!$B$16&lt;MIN(DKW_10Y!$A$2:$A$2918)),NA(),(INDEX(DKW_10Y!$B$2:$B$2918,MATCH($A809,DKW_10Y!$A$2:$A$2918,1))-INDEX(DKW_10Y!$B$2:$B$2918,MATCH(Settings!$B$16,DKW_10Y!$A$2:$A$2918,1)))*100))</f>
        <v/>
      </c>
      <c r="Y809" s="19">
        <f>IF(NOT(ISNUMBER($A809)),NA(),IF(OR($A809&lt;MIN(DKW_10Y!$A$2:$A$2918),$A809&gt;MAX(DKW_10Y!$A$2:$A$2918),Settings!$B$16&lt;MIN(DKW_10Y!$A$2:$A$2918)),NA(),(INDEX(DKW_10Y!$C$2:$C$2918,MATCH($A809,DKW_10Y!$A$2:$A$2918,1))-INDEX(DKW_10Y!$C$2:$C$2918,MATCH(Settings!$B$16,DKW_10Y!$A$2:$A$2918,1)))*100))</f>
        <v/>
      </c>
      <c r="Z809" s="19">
        <f>IF(NOT(ISNUMBER($A809)),NA(),IF(OR($A809&lt;MIN(DKW_10Y!$A$2:$A$2918),$A809&gt;MAX(DKW_10Y!$A$2:$A$2918),Settings!$B$16&lt;MIN(DKW_10Y!$A$2:$A$2918)),NA(),(INDEX(DKW_10Y!$D$2:$D$2918,MATCH($A809,DKW_10Y!$A$2:$A$2918,1))-INDEX(DKW_10Y!$D$2:$D$2918,MATCH(Settings!$B$16,DKW_10Y!$A$2:$A$2918,1)))*100))</f>
        <v/>
      </c>
      <c r="AA809" s="19">
        <f>IF(NOT(ISNUMBER($A809)),NA(),IF(OR($A809&lt;MIN(DKW_10Y!$A$2:$A$2918),$A809&gt;MAX(DKW_10Y!$A$2:$A$2918),Settings!$B$16&lt;MIN(DKW_10Y!$A$2:$A$2918)),NA(),(INDEX(DKW_10Y!$E$2:$E$2918,MATCH($A809,DKW_10Y!$A$2:$A$2918,1))-INDEX(DKW_10Y!$E$2:$E$2918,MATCH(Settings!$B$16,DKW_10Y!$A$2:$A$2918,1)))*100))</f>
        <v/>
      </c>
      <c r="AB809" s="19">
        <f>IF(NOT(ISNUMBER($A809)),NA(),IF(OR($A809&lt;MIN(DKW_10Y!$A$2:$A$2918),$A809&gt;MAX(DKW_10Y!$A$2:$A$2918),Settings!$B$16&lt;MIN(DKW_10Y!$A$2:$A$2918)),NA(),(INDEX(DKW_10Y!$H$2:$H$2918,MATCH($A809,DKW_10Y!$A$2:$A$2918,1))-INDEX(DKW_10Y!$H$2:$H$2918,MATCH(Settings!$B$16,DKW_10Y!$A$2:$A$2918,1)))*100))</f>
        <v/>
      </c>
      <c r="AC809" s="18">
        <f>IF(NOT(ISNUMBER($A809)),NA(),IFERROR(1*INDEX(BBG_Data!$N$2:$N$4000,MATCH($A809,BBG_Data!$M$2:$M$4000,0)),NA()))</f>
        <v/>
      </c>
      <c r="AD809" s="18">
        <f>IF(NOT(ISNUMBER($A809)),NA(),IFERROR(1*INDEX(BBG_Data!$P$2:$P$4000,MATCH($A809,BBG_Data!$O$2:$O$4000,0)),NA()))</f>
        <v/>
      </c>
      <c r="AE809" s="18">
        <f>IF(NOT(ISNUMBER($A809)),NA(),IFERROR(1*INDEX(BBG_Data!$R$2:$R$4000,MATCH($A809,BBG_Data!$Q$2:$Q$4000,0)),NA()))</f>
        <v/>
      </c>
      <c r="AF809" s="20">
        <f>IF(AND(ISNUMBER(B809),ISNUMBER(AC809)),(B809-AC809)*100,NA())</f>
        <v/>
      </c>
      <c r="AG809" s="20">
        <f>IF(AND(ISNUMBER(AE809),ISNUMBER(AD809)),(AE809-AD809)*100,NA())</f>
        <v/>
      </c>
      <c r="AH809" s="19">
        <f>IF(NOT(ISNUMBER($A809)),NA(),IFERROR(INDEX(BBG_Data!$T$2:$T$4000,MATCH($A809,BBG_Data!$S$2:$S$4000,0))*Settings!$B$25,NA()))</f>
        <v/>
      </c>
      <c r="AI809" s="19">
        <f>IF(NOT(ISNUMBER($A809)),NA(),IFERROR(INDEX(BBG_Data!$V$2:$V$4000,MATCH($A809,BBG_Data!$U$2:$U$4000,0))*Settings!$B$25,NA()))</f>
        <v/>
      </c>
      <c r="AJ809" s="19">
        <f>IF(NOT(ISNUMBER($A809)),NA(),IFERROR(1*INDEX(BBG_Data!$X$2:$X$4000,MATCH($A809,BBG_Data!$W$2:$W$4000,0)),NA()))</f>
        <v/>
      </c>
      <c r="AK809" s="19">
        <f>IF(NOT(ISNUMBER($A809)),NA(),IFERROR(1*INDEX(BBG_Data!$Z$2:$Z$4000,MATCH($A809,BBG_Data!$Y$2:$Y$4000,0)),NA()))</f>
        <v/>
      </c>
    </row>
    <row r="810">
      <c r="A810" s="17">
        <f>IF(ISNUMBER(BBG_Data!A810),BBG_Data!A810,"")</f>
        <v/>
      </c>
      <c r="B810" s="18">
        <f>IF(AND(ISNUMBER($A810),ISNUMBER(BBG_Data!B810)),BBG_Data!B810,NA())</f>
        <v/>
      </c>
      <c r="C810" s="18">
        <f>IF(NOT(ISNUMBER($A810)),NA(),IFERROR(1*INDEX(BBG_Data!$D$2:$D$4000,MATCH($A810,BBG_Data!$C$2:$C$4000,0)),NA()))</f>
        <v/>
      </c>
      <c r="D810" s="19">
        <f>IF(NOT(ISNUMBER($A810)),NA(),IFERROR(1*INDEX(BBG_Data!$F$2:$F$4000,MATCH($A810,BBG_Data!$E$2:$E$4000,0)),NA()))</f>
        <v/>
      </c>
      <c r="E810" s="19">
        <f>IF(NOT(ISNUMBER($A810)),NA(),IFERROR(1*INDEX(BBG_Data!$H$2:$H$4000,MATCH($A810,BBG_Data!$G$2:$G$4000,0)),NA()))</f>
        <v/>
      </c>
      <c r="F810" s="20">
        <f>IF(AND(ISNUMBER(B810),ISNUMBER(B809)),IF(B810=B809,"",(B810-B809)*100),"")</f>
        <v/>
      </c>
      <c r="G810" s="20">
        <f>IF(AND(ISNUMBER(C810),ISNUMBER(C809)),IF(C810=C809,"",(C810-C809)*100),"")</f>
        <v/>
      </c>
      <c r="H810" s="20">
        <f>IF(OR(NOT(ISNUMBER($A810)),ROW()-2&lt;Settings!$B$11),NA(),IF(COUNT(OFFSET(F810,1-Settings!$B$11,0,Settings!$B$11,1))&lt;ROUNDUP(Settings!$B$11*Settings!$B$26,0),NA(),STDEV(OFFSET(F810,1-Settings!$B$11,0,Settings!$B$11,1))*SQRT(Settings!$B$13)))</f>
        <v/>
      </c>
      <c r="I810" s="20">
        <f>IF(OR(NOT(ISNUMBER($A810)),ROW()-2&lt;Settings!$B$12),NA(),IF(COUNT(OFFSET(F810,1-Settings!$B$12,0,Settings!$B$12,1))&lt;ROUNDUP(Settings!$B$12*Settings!$B$26,0),NA(),STDEV(OFFSET(F810,1-Settings!$B$12,0,Settings!$B$12,1))*SQRT(Settings!$B$13)))</f>
        <v/>
      </c>
      <c r="J810" s="20">
        <f>IF(OR(NOT(ISNUMBER($A810)),ROW()-2&lt;Settings!$B$11),NA(),IF(COUNT(OFFSET(G810,1-Settings!$B$11,0,Settings!$B$11,1))&lt;ROUNDUP(Settings!$B$11*Settings!$B$26,0),NA(),STDEV(OFFSET(G810,1-Settings!$B$11,0,Settings!$B$11,1))*SQRT(Settings!$B$13)))</f>
        <v/>
      </c>
      <c r="K810" s="20">
        <f>IF(OR(NOT(ISNUMBER($A810)),ROW()-2&lt;Settings!$B$12),NA(),IF(COUNT(OFFSET(G810,1-Settings!$B$12,0,Settings!$B$12,1))&lt;ROUNDUP(Settings!$B$12*Settings!$B$26,0),NA(),STDEV(OFFSET(G810,1-Settings!$B$12,0,Settings!$B$12,1))*SQRT(Settings!$B$13)))</f>
        <v/>
      </c>
      <c r="L810" s="20">
        <f>IF(AND(ISNUMBER(D810),ISNUMBER(H810)),D810-H810,NA())</f>
        <v/>
      </c>
      <c r="M810" s="20">
        <f>IF(AND(ISNUMBER(E810),ISNUMBER(K810)),E810-K810,NA())</f>
        <v/>
      </c>
      <c r="N810" s="20">
        <f>IF(NOT(ISNUMBER($A810)),NA(),IF(COUNT(OFFSET(G810,1,0,Settings!$B$12,1))&lt;ROUNDUP(Settings!$B$12*Settings!$B$26,0),NA(),STDEV(OFFSET(G810,1,0,Settings!$B$12,1))*SQRT(Settings!$B$13)))</f>
        <v/>
      </c>
      <c r="O810" s="20">
        <f>IF(AND(ISNUMBER(E810),ISNUMBER(N810)),E810-N810,NA())</f>
        <v/>
      </c>
      <c r="P810" s="19">
        <f>IF(NOT(ISNUMBER($A810)),NA(),IF(OR($A810&lt;MIN(KW_TP!$A$2:$A$2501),$A810&gt;MAX(KW_TP!$A$2:$A$2501)),NA(),INDEX(KW_TP!$C$2:$C$2501,MATCH($A810,KW_TP!$A$2:$A$2501,1))))</f>
        <v/>
      </c>
      <c r="Q810" s="18">
        <f>IF(NOT(ISNUMBER($A810)),NA(),IFERROR(1*INDEX(BBG_Data!$J$2:$J$4000,MATCH($A810,BBG_Data!$I$2:$I$4000,0)),NA()))</f>
        <v/>
      </c>
      <c r="R810" s="18">
        <f>IF(NOT(ISNUMBER($A810)),NA(),IFERROR(1*INDEX(BBG_Data!$L$2:$L$4000,MATCH($A810,BBG_Data!$K$2:$K$4000,0)),NA()))</f>
        <v/>
      </c>
      <c r="S810" s="20">
        <f>IF(AND(ISNUMBER(B810),ISNUMBER(Q810),ISNUMBER(R810)),(B810-Q810-R810)*100,NA())</f>
        <v/>
      </c>
      <c r="T810" s="20">
        <f>IF(AND(ISNUMBER(B810),Settings!$B$17&gt;0),IF(ISNUMBER(INDEX($B:$B,Settings!$B$17)),(B810-INDEX($B:$B,Settings!$B$17))*100,NA()),NA())</f>
        <v/>
      </c>
      <c r="U810" s="20">
        <f>IF(AND(ISNUMBER(Q810),Settings!$B$17&gt;0),IF(ISNUMBER(INDEX($Q:$Q,Settings!$B$17)),(Q810-INDEX($Q:$Q,Settings!$B$17))*100,NA()),NA())</f>
        <v/>
      </c>
      <c r="V810" s="20">
        <f>IF(AND(ISNUMBER(R810),Settings!$B$17&gt;0),IF(ISNUMBER(INDEX($R:$R,Settings!$B$17)),(R810-INDEX($R:$R,Settings!$B$17))*100,NA()),NA())</f>
        <v/>
      </c>
      <c r="W810" s="20">
        <f>IF(AND(ISNUMBER(P810),Settings!$B$17&gt;0),IF(ISNUMBER(INDEX($P:$P,Settings!$B$17)),P810-INDEX($P:$P,Settings!$B$17),NA()),NA())</f>
        <v/>
      </c>
      <c r="X810" s="19">
        <f>IF(NOT(ISNUMBER($A810)),NA(),IF(OR($A810&lt;MIN(DKW_10Y!$A$2:$A$2918),$A810&gt;MAX(DKW_10Y!$A$2:$A$2918),Settings!$B$16&lt;MIN(DKW_10Y!$A$2:$A$2918)),NA(),(INDEX(DKW_10Y!$B$2:$B$2918,MATCH($A810,DKW_10Y!$A$2:$A$2918,1))-INDEX(DKW_10Y!$B$2:$B$2918,MATCH(Settings!$B$16,DKW_10Y!$A$2:$A$2918,1)))*100))</f>
        <v/>
      </c>
      <c r="Y810" s="19">
        <f>IF(NOT(ISNUMBER($A810)),NA(),IF(OR($A810&lt;MIN(DKW_10Y!$A$2:$A$2918),$A810&gt;MAX(DKW_10Y!$A$2:$A$2918),Settings!$B$16&lt;MIN(DKW_10Y!$A$2:$A$2918)),NA(),(INDEX(DKW_10Y!$C$2:$C$2918,MATCH($A810,DKW_10Y!$A$2:$A$2918,1))-INDEX(DKW_10Y!$C$2:$C$2918,MATCH(Settings!$B$16,DKW_10Y!$A$2:$A$2918,1)))*100))</f>
        <v/>
      </c>
      <c r="Z810" s="19">
        <f>IF(NOT(ISNUMBER($A810)),NA(),IF(OR($A810&lt;MIN(DKW_10Y!$A$2:$A$2918),$A810&gt;MAX(DKW_10Y!$A$2:$A$2918),Settings!$B$16&lt;MIN(DKW_10Y!$A$2:$A$2918)),NA(),(INDEX(DKW_10Y!$D$2:$D$2918,MATCH($A810,DKW_10Y!$A$2:$A$2918,1))-INDEX(DKW_10Y!$D$2:$D$2918,MATCH(Settings!$B$16,DKW_10Y!$A$2:$A$2918,1)))*100))</f>
        <v/>
      </c>
      <c r="AA810" s="19">
        <f>IF(NOT(ISNUMBER($A810)),NA(),IF(OR($A810&lt;MIN(DKW_10Y!$A$2:$A$2918),$A810&gt;MAX(DKW_10Y!$A$2:$A$2918),Settings!$B$16&lt;MIN(DKW_10Y!$A$2:$A$2918)),NA(),(INDEX(DKW_10Y!$E$2:$E$2918,MATCH($A810,DKW_10Y!$A$2:$A$2918,1))-INDEX(DKW_10Y!$E$2:$E$2918,MATCH(Settings!$B$16,DKW_10Y!$A$2:$A$2918,1)))*100))</f>
        <v/>
      </c>
      <c r="AB810" s="19">
        <f>IF(NOT(ISNUMBER($A810)),NA(),IF(OR($A810&lt;MIN(DKW_10Y!$A$2:$A$2918),$A810&gt;MAX(DKW_10Y!$A$2:$A$2918),Settings!$B$16&lt;MIN(DKW_10Y!$A$2:$A$2918)),NA(),(INDEX(DKW_10Y!$H$2:$H$2918,MATCH($A810,DKW_10Y!$A$2:$A$2918,1))-INDEX(DKW_10Y!$H$2:$H$2918,MATCH(Settings!$B$16,DKW_10Y!$A$2:$A$2918,1)))*100))</f>
        <v/>
      </c>
      <c r="AC810" s="18">
        <f>IF(NOT(ISNUMBER($A810)),NA(),IFERROR(1*INDEX(BBG_Data!$N$2:$N$4000,MATCH($A810,BBG_Data!$M$2:$M$4000,0)),NA()))</f>
        <v/>
      </c>
      <c r="AD810" s="18">
        <f>IF(NOT(ISNUMBER($A810)),NA(),IFERROR(1*INDEX(BBG_Data!$P$2:$P$4000,MATCH($A810,BBG_Data!$O$2:$O$4000,0)),NA()))</f>
        <v/>
      </c>
      <c r="AE810" s="18">
        <f>IF(NOT(ISNUMBER($A810)),NA(),IFERROR(1*INDEX(BBG_Data!$R$2:$R$4000,MATCH($A810,BBG_Data!$Q$2:$Q$4000,0)),NA()))</f>
        <v/>
      </c>
      <c r="AF810" s="20">
        <f>IF(AND(ISNUMBER(B810),ISNUMBER(AC810)),(B810-AC810)*100,NA())</f>
        <v/>
      </c>
      <c r="AG810" s="20">
        <f>IF(AND(ISNUMBER(AE810),ISNUMBER(AD810)),(AE810-AD810)*100,NA())</f>
        <v/>
      </c>
      <c r="AH810" s="19">
        <f>IF(NOT(ISNUMBER($A810)),NA(),IFERROR(INDEX(BBG_Data!$T$2:$T$4000,MATCH($A810,BBG_Data!$S$2:$S$4000,0))*Settings!$B$25,NA()))</f>
        <v/>
      </c>
      <c r="AI810" s="19">
        <f>IF(NOT(ISNUMBER($A810)),NA(),IFERROR(INDEX(BBG_Data!$V$2:$V$4000,MATCH($A810,BBG_Data!$U$2:$U$4000,0))*Settings!$B$25,NA()))</f>
        <v/>
      </c>
      <c r="AJ810" s="19">
        <f>IF(NOT(ISNUMBER($A810)),NA(),IFERROR(1*INDEX(BBG_Data!$X$2:$X$4000,MATCH($A810,BBG_Data!$W$2:$W$4000,0)),NA()))</f>
        <v/>
      </c>
      <c r="AK810" s="19">
        <f>IF(NOT(ISNUMBER($A810)),NA(),IFERROR(1*INDEX(BBG_Data!$Z$2:$Z$4000,MATCH($A810,BBG_Data!$Y$2:$Y$4000,0)),NA()))</f>
        <v/>
      </c>
    </row>
    <row r="811">
      <c r="A811" s="17">
        <f>IF(ISNUMBER(BBG_Data!A811),BBG_Data!A811,"")</f>
        <v/>
      </c>
      <c r="B811" s="18">
        <f>IF(AND(ISNUMBER($A811),ISNUMBER(BBG_Data!B811)),BBG_Data!B811,NA())</f>
        <v/>
      </c>
      <c r="C811" s="18">
        <f>IF(NOT(ISNUMBER($A811)),NA(),IFERROR(1*INDEX(BBG_Data!$D$2:$D$4000,MATCH($A811,BBG_Data!$C$2:$C$4000,0)),NA()))</f>
        <v/>
      </c>
      <c r="D811" s="19">
        <f>IF(NOT(ISNUMBER($A811)),NA(),IFERROR(1*INDEX(BBG_Data!$F$2:$F$4000,MATCH($A811,BBG_Data!$E$2:$E$4000,0)),NA()))</f>
        <v/>
      </c>
      <c r="E811" s="19">
        <f>IF(NOT(ISNUMBER($A811)),NA(),IFERROR(1*INDEX(BBG_Data!$H$2:$H$4000,MATCH($A811,BBG_Data!$G$2:$G$4000,0)),NA()))</f>
        <v/>
      </c>
      <c r="F811" s="20">
        <f>IF(AND(ISNUMBER(B811),ISNUMBER(B810)),IF(B811=B810,"",(B811-B810)*100),"")</f>
        <v/>
      </c>
      <c r="G811" s="20">
        <f>IF(AND(ISNUMBER(C811),ISNUMBER(C810)),IF(C811=C810,"",(C811-C810)*100),"")</f>
        <v/>
      </c>
      <c r="H811" s="20">
        <f>IF(OR(NOT(ISNUMBER($A811)),ROW()-2&lt;Settings!$B$11),NA(),IF(COUNT(OFFSET(F811,1-Settings!$B$11,0,Settings!$B$11,1))&lt;ROUNDUP(Settings!$B$11*Settings!$B$26,0),NA(),STDEV(OFFSET(F811,1-Settings!$B$11,0,Settings!$B$11,1))*SQRT(Settings!$B$13)))</f>
        <v/>
      </c>
      <c r="I811" s="20">
        <f>IF(OR(NOT(ISNUMBER($A811)),ROW()-2&lt;Settings!$B$12),NA(),IF(COUNT(OFFSET(F811,1-Settings!$B$12,0,Settings!$B$12,1))&lt;ROUNDUP(Settings!$B$12*Settings!$B$26,0),NA(),STDEV(OFFSET(F811,1-Settings!$B$12,0,Settings!$B$12,1))*SQRT(Settings!$B$13)))</f>
        <v/>
      </c>
      <c r="J811" s="20">
        <f>IF(OR(NOT(ISNUMBER($A811)),ROW()-2&lt;Settings!$B$11),NA(),IF(COUNT(OFFSET(G811,1-Settings!$B$11,0,Settings!$B$11,1))&lt;ROUNDUP(Settings!$B$11*Settings!$B$26,0),NA(),STDEV(OFFSET(G811,1-Settings!$B$11,0,Settings!$B$11,1))*SQRT(Settings!$B$13)))</f>
        <v/>
      </c>
      <c r="K811" s="20">
        <f>IF(OR(NOT(ISNUMBER($A811)),ROW()-2&lt;Settings!$B$12),NA(),IF(COUNT(OFFSET(G811,1-Settings!$B$12,0,Settings!$B$12,1))&lt;ROUNDUP(Settings!$B$12*Settings!$B$26,0),NA(),STDEV(OFFSET(G811,1-Settings!$B$12,0,Settings!$B$12,1))*SQRT(Settings!$B$13)))</f>
        <v/>
      </c>
      <c r="L811" s="20">
        <f>IF(AND(ISNUMBER(D811),ISNUMBER(H811)),D811-H811,NA())</f>
        <v/>
      </c>
      <c r="M811" s="20">
        <f>IF(AND(ISNUMBER(E811),ISNUMBER(K811)),E811-K811,NA())</f>
        <v/>
      </c>
      <c r="N811" s="20">
        <f>IF(NOT(ISNUMBER($A811)),NA(),IF(COUNT(OFFSET(G811,1,0,Settings!$B$12,1))&lt;ROUNDUP(Settings!$B$12*Settings!$B$26,0),NA(),STDEV(OFFSET(G811,1,0,Settings!$B$12,1))*SQRT(Settings!$B$13)))</f>
        <v/>
      </c>
      <c r="O811" s="20">
        <f>IF(AND(ISNUMBER(E811),ISNUMBER(N811)),E811-N811,NA())</f>
        <v/>
      </c>
      <c r="P811" s="19">
        <f>IF(NOT(ISNUMBER($A811)),NA(),IF(OR($A811&lt;MIN(KW_TP!$A$2:$A$2501),$A811&gt;MAX(KW_TP!$A$2:$A$2501)),NA(),INDEX(KW_TP!$C$2:$C$2501,MATCH($A811,KW_TP!$A$2:$A$2501,1))))</f>
        <v/>
      </c>
      <c r="Q811" s="18">
        <f>IF(NOT(ISNUMBER($A811)),NA(),IFERROR(1*INDEX(BBG_Data!$J$2:$J$4000,MATCH($A811,BBG_Data!$I$2:$I$4000,0)),NA()))</f>
        <v/>
      </c>
      <c r="R811" s="18">
        <f>IF(NOT(ISNUMBER($A811)),NA(),IFERROR(1*INDEX(BBG_Data!$L$2:$L$4000,MATCH($A811,BBG_Data!$K$2:$K$4000,0)),NA()))</f>
        <v/>
      </c>
      <c r="S811" s="20">
        <f>IF(AND(ISNUMBER(B811),ISNUMBER(Q811),ISNUMBER(R811)),(B811-Q811-R811)*100,NA())</f>
        <v/>
      </c>
      <c r="T811" s="20">
        <f>IF(AND(ISNUMBER(B811),Settings!$B$17&gt;0),IF(ISNUMBER(INDEX($B:$B,Settings!$B$17)),(B811-INDEX($B:$B,Settings!$B$17))*100,NA()),NA())</f>
        <v/>
      </c>
      <c r="U811" s="20">
        <f>IF(AND(ISNUMBER(Q811),Settings!$B$17&gt;0),IF(ISNUMBER(INDEX($Q:$Q,Settings!$B$17)),(Q811-INDEX($Q:$Q,Settings!$B$17))*100,NA()),NA())</f>
        <v/>
      </c>
      <c r="V811" s="20">
        <f>IF(AND(ISNUMBER(R811),Settings!$B$17&gt;0),IF(ISNUMBER(INDEX($R:$R,Settings!$B$17)),(R811-INDEX($R:$R,Settings!$B$17))*100,NA()),NA())</f>
        <v/>
      </c>
      <c r="W811" s="20">
        <f>IF(AND(ISNUMBER(P811),Settings!$B$17&gt;0),IF(ISNUMBER(INDEX($P:$P,Settings!$B$17)),P811-INDEX($P:$P,Settings!$B$17),NA()),NA())</f>
        <v/>
      </c>
      <c r="X811" s="19">
        <f>IF(NOT(ISNUMBER($A811)),NA(),IF(OR($A811&lt;MIN(DKW_10Y!$A$2:$A$2918),$A811&gt;MAX(DKW_10Y!$A$2:$A$2918),Settings!$B$16&lt;MIN(DKW_10Y!$A$2:$A$2918)),NA(),(INDEX(DKW_10Y!$B$2:$B$2918,MATCH($A811,DKW_10Y!$A$2:$A$2918,1))-INDEX(DKW_10Y!$B$2:$B$2918,MATCH(Settings!$B$16,DKW_10Y!$A$2:$A$2918,1)))*100))</f>
        <v/>
      </c>
      <c r="Y811" s="19">
        <f>IF(NOT(ISNUMBER($A811)),NA(),IF(OR($A811&lt;MIN(DKW_10Y!$A$2:$A$2918),$A811&gt;MAX(DKW_10Y!$A$2:$A$2918),Settings!$B$16&lt;MIN(DKW_10Y!$A$2:$A$2918)),NA(),(INDEX(DKW_10Y!$C$2:$C$2918,MATCH($A811,DKW_10Y!$A$2:$A$2918,1))-INDEX(DKW_10Y!$C$2:$C$2918,MATCH(Settings!$B$16,DKW_10Y!$A$2:$A$2918,1)))*100))</f>
        <v/>
      </c>
      <c r="Z811" s="19">
        <f>IF(NOT(ISNUMBER($A811)),NA(),IF(OR($A811&lt;MIN(DKW_10Y!$A$2:$A$2918),$A811&gt;MAX(DKW_10Y!$A$2:$A$2918),Settings!$B$16&lt;MIN(DKW_10Y!$A$2:$A$2918)),NA(),(INDEX(DKW_10Y!$D$2:$D$2918,MATCH($A811,DKW_10Y!$A$2:$A$2918,1))-INDEX(DKW_10Y!$D$2:$D$2918,MATCH(Settings!$B$16,DKW_10Y!$A$2:$A$2918,1)))*100))</f>
        <v/>
      </c>
      <c r="AA811" s="19">
        <f>IF(NOT(ISNUMBER($A811)),NA(),IF(OR($A811&lt;MIN(DKW_10Y!$A$2:$A$2918),$A811&gt;MAX(DKW_10Y!$A$2:$A$2918),Settings!$B$16&lt;MIN(DKW_10Y!$A$2:$A$2918)),NA(),(INDEX(DKW_10Y!$E$2:$E$2918,MATCH($A811,DKW_10Y!$A$2:$A$2918,1))-INDEX(DKW_10Y!$E$2:$E$2918,MATCH(Settings!$B$16,DKW_10Y!$A$2:$A$2918,1)))*100))</f>
        <v/>
      </c>
      <c r="AB811" s="19">
        <f>IF(NOT(ISNUMBER($A811)),NA(),IF(OR($A811&lt;MIN(DKW_10Y!$A$2:$A$2918),$A811&gt;MAX(DKW_10Y!$A$2:$A$2918),Settings!$B$16&lt;MIN(DKW_10Y!$A$2:$A$2918)),NA(),(INDEX(DKW_10Y!$H$2:$H$2918,MATCH($A811,DKW_10Y!$A$2:$A$2918,1))-INDEX(DKW_10Y!$H$2:$H$2918,MATCH(Settings!$B$16,DKW_10Y!$A$2:$A$2918,1)))*100))</f>
        <v/>
      </c>
      <c r="AC811" s="18">
        <f>IF(NOT(ISNUMBER($A811)),NA(),IFERROR(1*INDEX(BBG_Data!$N$2:$N$4000,MATCH($A811,BBG_Data!$M$2:$M$4000,0)),NA()))</f>
        <v/>
      </c>
      <c r="AD811" s="18">
        <f>IF(NOT(ISNUMBER($A811)),NA(),IFERROR(1*INDEX(BBG_Data!$P$2:$P$4000,MATCH($A811,BBG_Data!$O$2:$O$4000,0)),NA()))</f>
        <v/>
      </c>
      <c r="AE811" s="18">
        <f>IF(NOT(ISNUMBER($A811)),NA(),IFERROR(1*INDEX(BBG_Data!$R$2:$R$4000,MATCH($A811,BBG_Data!$Q$2:$Q$4000,0)),NA()))</f>
        <v/>
      </c>
      <c r="AF811" s="20">
        <f>IF(AND(ISNUMBER(B811),ISNUMBER(AC811)),(B811-AC811)*100,NA())</f>
        <v/>
      </c>
      <c r="AG811" s="20">
        <f>IF(AND(ISNUMBER(AE811),ISNUMBER(AD811)),(AE811-AD811)*100,NA())</f>
        <v/>
      </c>
      <c r="AH811" s="19">
        <f>IF(NOT(ISNUMBER($A811)),NA(),IFERROR(INDEX(BBG_Data!$T$2:$T$4000,MATCH($A811,BBG_Data!$S$2:$S$4000,0))*Settings!$B$25,NA()))</f>
        <v/>
      </c>
      <c r="AI811" s="19">
        <f>IF(NOT(ISNUMBER($A811)),NA(),IFERROR(INDEX(BBG_Data!$V$2:$V$4000,MATCH($A811,BBG_Data!$U$2:$U$4000,0))*Settings!$B$25,NA()))</f>
        <v/>
      </c>
      <c r="AJ811" s="19">
        <f>IF(NOT(ISNUMBER($A811)),NA(),IFERROR(1*INDEX(BBG_Data!$X$2:$X$4000,MATCH($A811,BBG_Data!$W$2:$W$4000,0)),NA()))</f>
        <v/>
      </c>
      <c r="AK811" s="19">
        <f>IF(NOT(ISNUMBER($A811)),NA(),IFERROR(1*INDEX(BBG_Data!$Z$2:$Z$4000,MATCH($A811,BBG_Data!$Y$2:$Y$4000,0)),NA()))</f>
        <v/>
      </c>
    </row>
    <row r="812">
      <c r="A812" s="17">
        <f>IF(ISNUMBER(BBG_Data!A812),BBG_Data!A812,"")</f>
        <v/>
      </c>
      <c r="B812" s="18">
        <f>IF(AND(ISNUMBER($A812),ISNUMBER(BBG_Data!B812)),BBG_Data!B812,NA())</f>
        <v/>
      </c>
      <c r="C812" s="18">
        <f>IF(NOT(ISNUMBER($A812)),NA(),IFERROR(1*INDEX(BBG_Data!$D$2:$D$4000,MATCH($A812,BBG_Data!$C$2:$C$4000,0)),NA()))</f>
        <v/>
      </c>
      <c r="D812" s="19">
        <f>IF(NOT(ISNUMBER($A812)),NA(),IFERROR(1*INDEX(BBG_Data!$F$2:$F$4000,MATCH($A812,BBG_Data!$E$2:$E$4000,0)),NA()))</f>
        <v/>
      </c>
      <c r="E812" s="19">
        <f>IF(NOT(ISNUMBER($A812)),NA(),IFERROR(1*INDEX(BBG_Data!$H$2:$H$4000,MATCH($A812,BBG_Data!$G$2:$G$4000,0)),NA()))</f>
        <v/>
      </c>
      <c r="F812" s="20">
        <f>IF(AND(ISNUMBER(B812),ISNUMBER(B811)),IF(B812=B811,"",(B812-B811)*100),"")</f>
        <v/>
      </c>
      <c r="G812" s="20">
        <f>IF(AND(ISNUMBER(C812),ISNUMBER(C811)),IF(C812=C811,"",(C812-C811)*100),"")</f>
        <v/>
      </c>
      <c r="H812" s="20">
        <f>IF(OR(NOT(ISNUMBER($A812)),ROW()-2&lt;Settings!$B$11),NA(),IF(COUNT(OFFSET(F812,1-Settings!$B$11,0,Settings!$B$11,1))&lt;ROUNDUP(Settings!$B$11*Settings!$B$26,0),NA(),STDEV(OFFSET(F812,1-Settings!$B$11,0,Settings!$B$11,1))*SQRT(Settings!$B$13)))</f>
        <v/>
      </c>
      <c r="I812" s="20">
        <f>IF(OR(NOT(ISNUMBER($A812)),ROW()-2&lt;Settings!$B$12),NA(),IF(COUNT(OFFSET(F812,1-Settings!$B$12,0,Settings!$B$12,1))&lt;ROUNDUP(Settings!$B$12*Settings!$B$26,0),NA(),STDEV(OFFSET(F812,1-Settings!$B$12,0,Settings!$B$12,1))*SQRT(Settings!$B$13)))</f>
        <v/>
      </c>
      <c r="J812" s="20">
        <f>IF(OR(NOT(ISNUMBER($A812)),ROW()-2&lt;Settings!$B$11),NA(),IF(COUNT(OFFSET(G812,1-Settings!$B$11,0,Settings!$B$11,1))&lt;ROUNDUP(Settings!$B$11*Settings!$B$26,0),NA(),STDEV(OFFSET(G812,1-Settings!$B$11,0,Settings!$B$11,1))*SQRT(Settings!$B$13)))</f>
        <v/>
      </c>
      <c r="K812" s="20">
        <f>IF(OR(NOT(ISNUMBER($A812)),ROW()-2&lt;Settings!$B$12),NA(),IF(COUNT(OFFSET(G812,1-Settings!$B$12,0,Settings!$B$12,1))&lt;ROUNDUP(Settings!$B$12*Settings!$B$26,0),NA(),STDEV(OFFSET(G812,1-Settings!$B$12,0,Settings!$B$12,1))*SQRT(Settings!$B$13)))</f>
        <v/>
      </c>
      <c r="L812" s="20">
        <f>IF(AND(ISNUMBER(D812),ISNUMBER(H812)),D812-H812,NA())</f>
        <v/>
      </c>
      <c r="M812" s="20">
        <f>IF(AND(ISNUMBER(E812),ISNUMBER(K812)),E812-K812,NA())</f>
        <v/>
      </c>
      <c r="N812" s="20">
        <f>IF(NOT(ISNUMBER($A812)),NA(),IF(COUNT(OFFSET(G812,1,0,Settings!$B$12,1))&lt;ROUNDUP(Settings!$B$12*Settings!$B$26,0),NA(),STDEV(OFFSET(G812,1,0,Settings!$B$12,1))*SQRT(Settings!$B$13)))</f>
        <v/>
      </c>
      <c r="O812" s="20">
        <f>IF(AND(ISNUMBER(E812),ISNUMBER(N812)),E812-N812,NA())</f>
        <v/>
      </c>
      <c r="P812" s="19">
        <f>IF(NOT(ISNUMBER($A812)),NA(),IF(OR($A812&lt;MIN(KW_TP!$A$2:$A$2501),$A812&gt;MAX(KW_TP!$A$2:$A$2501)),NA(),INDEX(KW_TP!$C$2:$C$2501,MATCH($A812,KW_TP!$A$2:$A$2501,1))))</f>
        <v/>
      </c>
      <c r="Q812" s="18">
        <f>IF(NOT(ISNUMBER($A812)),NA(),IFERROR(1*INDEX(BBG_Data!$J$2:$J$4000,MATCH($A812,BBG_Data!$I$2:$I$4000,0)),NA()))</f>
        <v/>
      </c>
      <c r="R812" s="18">
        <f>IF(NOT(ISNUMBER($A812)),NA(),IFERROR(1*INDEX(BBG_Data!$L$2:$L$4000,MATCH($A812,BBG_Data!$K$2:$K$4000,0)),NA()))</f>
        <v/>
      </c>
      <c r="S812" s="20">
        <f>IF(AND(ISNUMBER(B812),ISNUMBER(Q812),ISNUMBER(R812)),(B812-Q812-R812)*100,NA())</f>
        <v/>
      </c>
      <c r="T812" s="20">
        <f>IF(AND(ISNUMBER(B812),Settings!$B$17&gt;0),IF(ISNUMBER(INDEX($B:$B,Settings!$B$17)),(B812-INDEX($B:$B,Settings!$B$17))*100,NA()),NA())</f>
        <v/>
      </c>
      <c r="U812" s="20">
        <f>IF(AND(ISNUMBER(Q812),Settings!$B$17&gt;0),IF(ISNUMBER(INDEX($Q:$Q,Settings!$B$17)),(Q812-INDEX($Q:$Q,Settings!$B$17))*100,NA()),NA())</f>
        <v/>
      </c>
      <c r="V812" s="20">
        <f>IF(AND(ISNUMBER(R812),Settings!$B$17&gt;0),IF(ISNUMBER(INDEX($R:$R,Settings!$B$17)),(R812-INDEX($R:$R,Settings!$B$17))*100,NA()),NA())</f>
        <v/>
      </c>
      <c r="W812" s="20">
        <f>IF(AND(ISNUMBER(P812),Settings!$B$17&gt;0),IF(ISNUMBER(INDEX($P:$P,Settings!$B$17)),P812-INDEX($P:$P,Settings!$B$17),NA()),NA())</f>
        <v/>
      </c>
      <c r="X812" s="19">
        <f>IF(NOT(ISNUMBER($A812)),NA(),IF(OR($A812&lt;MIN(DKW_10Y!$A$2:$A$2918),$A812&gt;MAX(DKW_10Y!$A$2:$A$2918),Settings!$B$16&lt;MIN(DKW_10Y!$A$2:$A$2918)),NA(),(INDEX(DKW_10Y!$B$2:$B$2918,MATCH($A812,DKW_10Y!$A$2:$A$2918,1))-INDEX(DKW_10Y!$B$2:$B$2918,MATCH(Settings!$B$16,DKW_10Y!$A$2:$A$2918,1)))*100))</f>
        <v/>
      </c>
      <c r="Y812" s="19">
        <f>IF(NOT(ISNUMBER($A812)),NA(),IF(OR($A812&lt;MIN(DKW_10Y!$A$2:$A$2918),$A812&gt;MAX(DKW_10Y!$A$2:$A$2918),Settings!$B$16&lt;MIN(DKW_10Y!$A$2:$A$2918)),NA(),(INDEX(DKW_10Y!$C$2:$C$2918,MATCH($A812,DKW_10Y!$A$2:$A$2918,1))-INDEX(DKW_10Y!$C$2:$C$2918,MATCH(Settings!$B$16,DKW_10Y!$A$2:$A$2918,1)))*100))</f>
        <v/>
      </c>
      <c r="Z812" s="19">
        <f>IF(NOT(ISNUMBER($A812)),NA(),IF(OR($A812&lt;MIN(DKW_10Y!$A$2:$A$2918),$A812&gt;MAX(DKW_10Y!$A$2:$A$2918),Settings!$B$16&lt;MIN(DKW_10Y!$A$2:$A$2918)),NA(),(INDEX(DKW_10Y!$D$2:$D$2918,MATCH($A812,DKW_10Y!$A$2:$A$2918,1))-INDEX(DKW_10Y!$D$2:$D$2918,MATCH(Settings!$B$16,DKW_10Y!$A$2:$A$2918,1)))*100))</f>
        <v/>
      </c>
      <c r="AA812" s="19">
        <f>IF(NOT(ISNUMBER($A812)),NA(),IF(OR($A812&lt;MIN(DKW_10Y!$A$2:$A$2918),$A812&gt;MAX(DKW_10Y!$A$2:$A$2918),Settings!$B$16&lt;MIN(DKW_10Y!$A$2:$A$2918)),NA(),(INDEX(DKW_10Y!$E$2:$E$2918,MATCH($A812,DKW_10Y!$A$2:$A$2918,1))-INDEX(DKW_10Y!$E$2:$E$2918,MATCH(Settings!$B$16,DKW_10Y!$A$2:$A$2918,1)))*100))</f>
        <v/>
      </c>
      <c r="AB812" s="19">
        <f>IF(NOT(ISNUMBER($A812)),NA(),IF(OR($A812&lt;MIN(DKW_10Y!$A$2:$A$2918),$A812&gt;MAX(DKW_10Y!$A$2:$A$2918),Settings!$B$16&lt;MIN(DKW_10Y!$A$2:$A$2918)),NA(),(INDEX(DKW_10Y!$H$2:$H$2918,MATCH($A812,DKW_10Y!$A$2:$A$2918,1))-INDEX(DKW_10Y!$H$2:$H$2918,MATCH(Settings!$B$16,DKW_10Y!$A$2:$A$2918,1)))*100))</f>
        <v/>
      </c>
      <c r="AC812" s="18">
        <f>IF(NOT(ISNUMBER($A812)),NA(),IFERROR(1*INDEX(BBG_Data!$N$2:$N$4000,MATCH($A812,BBG_Data!$M$2:$M$4000,0)),NA()))</f>
        <v/>
      </c>
      <c r="AD812" s="18">
        <f>IF(NOT(ISNUMBER($A812)),NA(),IFERROR(1*INDEX(BBG_Data!$P$2:$P$4000,MATCH($A812,BBG_Data!$O$2:$O$4000,0)),NA()))</f>
        <v/>
      </c>
      <c r="AE812" s="18">
        <f>IF(NOT(ISNUMBER($A812)),NA(),IFERROR(1*INDEX(BBG_Data!$R$2:$R$4000,MATCH($A812,BBG_Data!$Q$2:$Q$4000,0)),NA()))</f>
        <v/>
      </c>
      <c r="AF812" s="20">
        <f>IF(AND(ISNUMBER(B812),ISNUMBER(AC812)),(B812-AC812)*100,NA())</f>
        <v/>
      </c>
      <c r="AG812" s="20">
        <f>IF(AND(ISNUMBER(AE812),ISNUMBER(AD812)),(AE812-AD812)*100,NA())</f>
        <v/>
      </c>
      <c r="AH812" s="19">
        <f>IF(NOT(ISNUMBER($A812)),NA(),IFERROR(INDEX(BBG_Data!$T$2:$T$4000,MATCH($A812,BBG_Data!$S$2:$S$4000,0))*Settings!$B$25,NA()))</f>
        <v/>
      </c>
      <c r="AI812" s="19">
        <f>IF(NOT(ISNUMBER($A812)),NA(),IFERROR(INDEX(BBG_Data!$V$2:$V$4000,MATCH($A812,BBG_Data!$U$2:$U$4000,0))*Settings!$B$25,NA()))</f>
        <v/>
      </c>
      <c r="AJ812" s="19">
        <f>IF(NOT(ISNUMBER($A812)),NA(),IFERROR(1*INDEX(BBG_Data!$X$2:$X$4000,MATCH($A812,BBG_Data!$W$2:$W$4000,0)),NA()))</f>
        <v/>
      </c>
      <c r="AK812" s="19">
        <f>IF(NOT(ISNUMBER($A812)),NA(),IFERROR(1*INDEX(BBG_Data!$Z$2:$Z$4000,MATCH($A812,BBG_Data!$Y$2:$Y$4000,0)),NA()))</f>
        <v/>
      </c>
    </row>
    <row r="813">
      <c r="A813" s="17">
        <f>IF(ISNUMBER(BBG_Data!A813),BBG_Data!A813,"")</f>
        <v/>
      </c>
      <c r="B813" s="18">
        <f>IF(AND(ISNUMBER($A813),ISNUMBER(BBG_Data!B813)),BBG_Data!B813,NA())</f>
        <v/>
      </c>
      <c r="C813" s="18">
        <f>IF(NOT(ISNUMBER($A813)),NA(),IFERROR(1*INDEX(BBG_Data!$D$2:$D$4000,MATCH($A813,BBG_Data!$C$2:$C$4000,0)),NA()))</f>
        <v/>
      </c>
      <c r="D813" s="19">
        <f>IF(NOT(ISNUMBER($A813)),NA(),IFERROR(1*INDEX(BBG_Data!$F$2:$F$4000,MATCH($A813,BBG_Data!$E$2:$E$4000,0)),NA()))</f>
        <v/>
      </c>
      <c r="E813" s="19">
        <f>IF(NOT(ISNUMBER($A813)),NA(),IFERROR(1*INDEX(BBG_Data!$H$2:$H$4000,MATCH($A813,BBG_Data!$G$2:$G$4000,0)),NA()))</f>
        <v/>
      </c>
      <c r="F813" s="20">
        <f>IF(AND(ISNUMBER(B813),ISNUMBER(B812)),IF(B813=B812,"",(B813-B812)*100),"")</f>
        <v/>
      </c>
      <c r="G813" s="20">
        <f>IF(AND(ISNUMBER(C813),ISNUMBER(C812)),IF(C813=C812,"",(C813-C812)*100),"")</f>
        <v/>
      </c>
      <c r="H813" s="20">
        <f>IF(OR(NOT(ISNUMBER($A813)),ROW()-2&lt;Settings!$B$11),NA(),IF(COUNT(OFFSET(F813,1-Settings!$B$11,0,Settings!$B$11,1))&lt;ROUNDUP(Settings!$B$11*Settings!$B$26,0),NA(),STDEV(OFFSET(F813,1-Settings!$B$11,0,Settings!$B$11,1))*SQRT(Settings!$B$13)))</f>
        <v/>
      </c>
      <c r="I813" s="20">
        <f>IF(OR(NOT(ISNUMBER($A813)),ROW()-2&lt;Settings!$B$12),NA(),IF(COUNT(OFFSET(F813,1-Settings!$B$12,0,Settings!$B$12,1))&lt;ROUNDUP(Settings!$B$12*Settings!$B$26,0),NA(),STDEV(OFFSET(F813,1-Settings!$B$12,0,Settings!$B$12,1))*SQRT(Settings!$B$13)))</f>
        <v/>
      </c>
      <c r="J813" s="20">
        <f>IF(OR(NOT(ISNUMBER($A813)),ROW()-2&lt;Settings!$B$11),NA(),IF(COUNT(OFFSET(G813,1-Settings!$B$11,0,Settings!$B$11,1))&lt;ROUNDUP(Settings!$B$11*Settings!$B$26,0),NA(),STDEV(OFFSET(G813,1-Settings!$B$11,0,Settings!$B$11,1))*SQRT(Settings!$B$13)))</f>
        <v/>
      </c>
      <c r="K813" s="20">
        <f>IF(OR(NOT(ISNUMBER($A813)),ROW()-2&lt;Settings!$B$12),NA(),IF(COUNT(OFFSET(G813,1-Settings!$B$12,0,Settings!$B$12,1))&lt;ROUNDUP(Settings!$B$12*Settings!$B$26,0),NA(),STDEV(OFFSET(G813,1-Settings!$B$12,0,Settings!$B$12,1))*SQRT(Settings!$B$13)))</f>
        <v/>
      </c>
      <c r="L813" s="20">
        <f>IF(AND(ISNUMBER(D813),ISNUMBER(H813)),D813-H813,NA())</f>
        <v/>
      </c>
      <c r="M813" s="20">
        <f>IF(AND(ISNUMBER(E813),ISNUMBER(K813)),E813-K813,NA())</f>
        <v/>
      </c>
      <c r="N813" s="20">
        <f>IF(NOT(ISNUMBER($A813)),NA(),IF(COUNT(OFFSET(G813,1,0,Settings!$B$12,1))&lt;ROUNDUP(Settings!$B$12*Settings!$B$26,0),NA(),STDEV(OFFSET(G813,1,0,Settings!$B$12,1))*SQRT(Settings!$B$13)))</f>
        <v/>
      </c>
      <c r="O813" s="20">
        <f>IF(AND(ISNUMBER(E813),ISNUMBER(N813)),E813-N813,NA())</f>
        <v/>
      </c>
      <c r="P813" s="19">
        <f>IF(NOT(ISNUMBER($A813)),NA(),IF(OR($A813&lt;MIN(KW_TP!$A$2:$A$2501),$A813&gt;MAX(KW_TP!$A$2:$A$2501)),NA(),INDEX(KW_TP!$C$2:$C$2501,MATCH($A813,KW_TP!$A$2:$A$2501,1))))</f>
        <v/>
      </c>
      <c r="Q813" s="18">
        <f>IF(NOT(ISNUMBER($A813)),NA(),IFERROR(1*INDEX(BBG_Data!$J$2:$J$4000,MATCH($A813,BBG_Data!$I$2:$I$4000,0)),NA()))</f>
        <v/>
      </c>
      <c r="R813" s="18">
        <f>IF(NOT(ISNUMBER($A813)),NA(),IFERROR(1*INDEX(BBG_Data!$L$2:$L$4000,MATCH($A813,BBG_Data!$K$2:$K$4000,0)),NA()))</f>
        <v/>
      </c>
      <c r="S813" s="20">
        <f>IF(AND(ISNUMBER(B813),ISNUMBER(Q813),ISNUMBER(R813)),(B813-Q813-R813)*100,NA())</f>
        <v/>
      </c>
      <c r="T813" s="20">
        <f>IF(AND(ISNUMBER(B813),Settings!$B$17&gt;0),IF(ISNUMBER(INDEX($B:$B,Settings!$B$17)),(B813-INDEX($B:$B,Settings!$B$17))*100,NA()),NA())</f>
        <v/>
      </c>
      <c r="U813" s="20">
        <f>IF(AND(ISNUMBER(Q813),Settings!$B$17&gt;0),IF(ISNUMBER(INDEX($Q:$Q,Settings!$B$17)),(Q813-INDEX($Q:$Q,Settings!$B$17))*100,NA()),NA())</f>
        <v/>
      </c>
      <c r="V813" s="20">
        <f>IF(AND(ISNUMBER(R813),Settings!$B$17&gt;0),IF(ISNUMBER(INDEX($R:$R,Settings!$B$17)),(R813-INDEX($R:$R,Settings!$B$17))*100,NA()),NA())</f>
        <v/>
      </c>
      <c r="W813" s="20">
        <f>IF(AND(ISNUMBER(P813),Settings!$B$17&gt;0),IF(ISNUMBER(INDEX($P:$P,Settings!$B$17)),P813-INDEX($P:$P,Settings!$B$17),NA()),NA())</f>
        <v/>
      </c>
      <c r="X813" s="19">
        <f>IF(NOT(ISNUMBER($A813)),NA(),IF(OR($A813&lt;MIN(DKW_10Y!$A$2:$A$2918),$A813&gt;MAX(DKW_10Y!$A$2:$A$2918),Settings!$B$16&lt;MIN(DKW_10Y!$A$2:$A$2918)),NA(),(INDEX(DKW_10Y!$B$2:$B$2918,MATCH($A813,DKW_10Y!$A$2:$A$2918,1))-INDEX(DKW_10Y!$B$2:$B$2918,MATCH(Settings!$B$16,DKW_10Y!$A$2:$A$2918,1)))*100))</f>
        <v/>
      </c>
      <c r="Y813" s="19">
        <f>IF(NOT(ISNUMBER($A813)),NA(),IF(OR($A813&lt;MIN(DKW_10Y!$A$2:$A$2918),$A813&gt;MAX(DKW_10Y!$A$2:$A$2918),Settings!$B$16&lt;MIN(DKW_10Y!$A$2:$A$2918)),NA(),(INDEX(DKW_10Y!$C$2:$C$2918,MATCH($A813,DKW_10Y!$A$2:$A$2918,1))-INDEX(DKW_10Y!$C$2:$C$2918,MATCH(Settings!$B$16,DKW_10Y!$A$2:$A$2918,1)))*100))</f>
        <v/>
      </c>
      <c r="Z813" s="19">
        <f>IF(NOT(ISNUMBER($A813)),NA(),IF(OR($A813&lt;MIN(DKW_10Y!$A$2:$A$2918),$A813&gt;MAX(DKW_10Y!$A$2:$A$2918),Settings!$B$16&lt;MIN(DKW_10Y!$A$2:$A$2918)),NA(),(INDEX(DKW_10Y!$D$2:$D$2918,MATCH($A813,DKW_10Y!$A$2:$A$2918,1))-INDEX(DKW_10Y!$D$2:$D$2918,MATCH(Settings!$B$16,DKW_10Y!$A$2:$A$2918,1)))*100))</f>
        <v/>
      </c>
      <c r="AA813" s="19">
        <f>IF(NOT(ISNUMBER($A813)),NA(),IF(OR($A813&lt;MIN(DKW_10Y!$A$2:$A$2918),$A813&gt;MAX(DKW_10Y!$A$2:$A$2918),Settings!$B$16&lt;MIN(DKW_10Y!$A$2:$A$2918)),NA(),(INDEX(DKW_10Y!$E$2:$E$2918,MATCH($A813,DKW_10Y!$A$2:$A$2918,1))-INDEX(DKW_10Y!$E$2:$E$2918,MATCH(Settings!$B$16,DKW_10Y!$A$2:$A$2918,1)))*100))</f>
        <v/>
      </c>
      <c r="AB813" s="19">
        <f>IF(NOT(ISNUMBER($A813)),NA(),IF(OR($A813&lt;MIN(DKW_10Y!$A$2:$A$2918),$A813&gt;MAX(DKW_10Y!$A$2:$A$2918),Settings!$B$16&lt;MIN(DKW_10Y!$A$2:$A$2918)),NA(),(INDEX(DKW_10Y!$H$2:$H$2918,MATCH($A813,DKW_10Y!$A$2:$A$2918,1))-INDEX(DKW_10Y!$H$2:$H$2918,MATCH(Settings!$B$16,DKW_10Y!$A$2:$A$2918,1)))*100))</f>
        <v/>
      </c>
      <c r="AC813" s="18">
        <f>IF(NOT(ISNUMBER($A813)),NA(),IFERROR(1*INDEX(BBG_Data!$N$2:$N$4000,MATCH($A813,BBG_Data!$M$2:$M$4000,0)),NA()))</f>
        <v/>
      </c>
      <c r="AD813" s="18">
        <f>IF(NOT(ISNUMBER($A813)),NA(),IFERROR(1*INDEX(BBG_Data!$P$2:$P$4000,MATCH($A813,BBG_Data!$O$2:$O$4000,0)),NA()))</f>
        <v/>
      </c>
      <c r="AE813" s="18">
        <f>IF(NOT(ISNUMBER($A813)),NA(),IFERROR(1*INDEX(BBG_Data!$R$2:$R$4000,MATCH($A813,BBG_Data!$Q$2:$Q$4000,0)),NA()))</f>
        <v/>
      </c>
      <c r="AF813" s="20">
        <f>IF(AND(ISNUMBER(B813),ISNUMBER(AC813)),(B813-AC813)*100,NA())</f>
        <v/>
      </c>
      <c r="AG813" s="20">
        <f>IF(AND(ISNUMBER(AE813),ISNUMBER(AD813)),(AE813-AD813)*100,NA())</f>
        <v/>
      </c>
      <c r="AH813" s="19">
        <f>IF(NOT(ISNUMBER($A813)),NA(),IFERROR(INDEX(BBG_Data!$T$2:$T$4000,MATCH($A813,BBG_Data!$S$2:$S$4000,0))*Settings!$B$25,NA()))</f>
        <v/>
      </c>
      <c r="AI813" s="19">
        <f>IF(NOT(ISNUMBER($A813)),NA(),IFERROR(INDEX(BBG_Data!$V$2:$V$4000,MATCH($A813,BBG_Data!$U$2:$U$4000,0))*Settings!$B$25,NA()))</f>
        <v/>
      </c>
      <c r="AJ813" s="19">
        <f>IF(NOT(ISNUMBER($A813)),NA(),IFERROR(1*INDEX(BBG_Data!$X$2:$X$4000,MATCH($A813,BBG_Data!$W$2:$W$4000,0)),NA()))</f>
        <v/>
      </c>
      <c r="AK813" s="19">
        <f>IF(NOT(ISNUMBER($A813)),NA(),IFERROR(1*INDEX(BBG_Data!$Z$2:$Z$4000,MATCH($A813,BBG_Data!$Y$2:$Y$4000,0)),NA()))</f>
        <v/>
      </c>
    </row>
    <row r="814">
      <c r="A814" s="17">
        <f>IF(ISNUMBER(BBG_Data!A814),BBG_Data!A814,"")</f>
        <v/>
      </c>
      <c r="B814" s="18">
        <f>IF(AND(ISNUMBER($A814),ISNUMBER(BBG_Data!B814)),BBG_Data!B814,NA())</f>
        <v/>
      </c>
      <c r="C814" s="18">
        <f>IF(NOT(ISNUMBER($A814)),NA(),IFERROR(1*INDEX(BBG_Data!$D$2:$D$4000,MATCH($A814,BBG_Data!$C$2:$C$4000,0)),NA()))</f>
        <v/>
      </c>
      <c r="D814" s="19">
        <f>IF(NOT(ISNUMBER($A814)),NA(),IFERROR(1*INDEX(BBG_Data!$F$2:$F$4000,MATCH($A814,BBG_Data!$E$2:$E$4000,0)),NA()))</f>
        <v/>
      </c>
      <c r="E814" s="19">
        <f>IF(NOT(ISNUMBER($A814)),NA(),IFERROR(1*INDEX(BBG_Data!$H$2:$H$4000,MATCH($A814,BBG_Data!$G$2:$G$4000,0)),NA()))</f>
        <v/>
      </c>
      <c r="F814" s="20">
        <f>IF(AND(ISNUMBER(B814),ISNUMBER(B813)),IF(B814=B813,"",(B814-B813)*100),"")</f>
        <v/>
      </c>
      <c r="G814" s="20">
        <f>IF(AND(ISNUMBER(C814),ISNUMBER(C813)),IF(C814=C813,"",(C814-C813)*100),"")</f>
        <v/>
      </c>
      <c r="H814" s="20">
        <f>IF(OR(NOT(ISNUMBER($A814)),ROW()-2&lt;Settings!$B$11),NA(),IF(COUNT(OFFSET(F814,1-Settings!$B$11,0,Settings!$B$11,1))&lt;ROUNDUP(Settings!$B$11*Settings!$B$26,0),NA(),STDEV(OFFSET(F814,1-Settings!$B$11,0,Settings!$B$11,1))*SQRT(Settings!$B$13)))</f>
        <v/>
      </c>
      <c r="I814" s="20">
        <f>IF(OR(NOT(ISNUMBER($A814)),ROW()-2&lt;Settings!$B$12),NA(),IF(COUNT(OFFSET(F814,1-Settings!$B$12,0,Settings!$B$12,1))&lt;ROUNDUP(Settings!$B$12*Settings!$B$26,0),NA(),STDEV(OFFSET(F814,1-Settings!$B$12,0,Settings!$B$12,1))*SQRT(Settings!$B$13)))</f>
        <v/>
      </c>
      <c r="J814" s="20">
        <f>IF(OR(NOT(ISNUMBER($A814)),ROW()-2&lt;Settings!$B$11),NA(),IF(COUNT(OFFSET(G814,1-Settings!$B$11,0,Settings!$B$11,1))&lt;ROUNDUP(Settings!$B$11*Settings!$B$26,0),NA(),STDEV(OFFSET(G814,1-Settings!$B$11,0,Settings!$B$11,1))*SQRT(Settings!$B$13)))</f>
        <v/>
      </c>
      <c r="K814" s="20">
        <f>IF(OR(NOT(ISNUMBER($A814)),ROW()-2&lt;Settings!$B$12),NA(),IF(COUNT(OFFSET(G814,1-Settings!$B$12,0,Settings!$B$12,1))&lt;ROUNDUP(Settings!$B$12*Settings!$B$26,0),NA(),STDEV(OFFSET(G814,1-Settings!$B$12,0,Settings!$B$12,1))*SQRT(Settings!$B$13)))</f>
        <v/>
      </c>
      <c r="L814" s="20">
        <f>IF(AND(ISNUMBER(D814),ISNUMBER(H814)),D814-H814,NA())</f>
        <v/>
      </c>
      <c r="M814" s="20">
        <f>IF(AND(ISNUMBER(E814),ISNUMBER(K814)),E814-K814,NA())</f>
        <v/>
      </c>
      <c r="N814" s="20">
        <f>IF(NOT(ISNUMBER($A814)),NA(),IF(COUNT(OFFSET(G814,1,0,Settings!$B$12,1))&lt;ROUNDUP(Settings!$B$12*Settings!$B$26,0),NA(),STDEV(OFFSET(G814,1,0,Settings!$B$12,1))*SQRT(Settings!$B$13)))</f>
        <v/>
      </c>
      <c r="O814" s="20">
        <f>IF(AND(ISNUMBER(E814),ISNUMBER(N814)),E814-N814,NA())</f>
        <v/>
      </c>
      <c r="P814" s="19">
        <f>IF(NOT(ISNUMBER($A814)),NA(),IF(OR($A814&lt;MIN(KW_TP!$A$2:$A$2501),$A814&gt;MAX(KW_TP!$A$2:$A$2501)),NA(),INDEX(KW_TP!$C$2:$C$2501,MATCH($A814,KW_TP!$A$2:$A$2501,1))))</f>
        <v/>
      </c>
      <c r="Q814" s="18">
        <f>IF(NOT(ISNUMBER($A814)),NA(),IFERROR(1*INDEX(BBG_Data!$J$2:$J$4000,MATCH($A814,BBG_Data!$I$2:$I$4000,0)),NA()))</f>
        <v/>
      </c>
      <c r="R814" s="18">
        <f>IF(NOT(ISNUMBER($A814)),NA(),IFERROR(1*INDEX(BBG_Data!$L$2:$L$4000,MATCH($A814,BBG_Data!$K$2:$K$4000,0)),NA()))</f>
        <v/>
      </c>
      <c r="S814" s="20">
        <f>IF(AND(ISNUMBER(B814),ISNUMBER(Q814),ISNUMBER(R814)),(B814-Q814-R814)*100,NA())</f>
        <v/>
      </c>
      <c r="T814" s="20">
        <f>IF(AND(ISNUMBER(B814),Settings!$B$17&gt;0),IF(ISNUMBER(INDEX($B:$B,Settings!$B$17)),(B814-INDEX($B:$B,Settings!$B$17))*100,NA()),NA())</f>
        <v/>
      </c>
      <c r="U814" s="20">
        <f>IF(AND(ISNUMBER(Q814),Settings!$B$17&gt;0),IF(ISNUMBER(INDEX($Q:$Q,Settings!$B$17)),(Q814-INDEX($Q:$Q,Settings!$B$17))*100,NA()),NA())</f>
        <v/>
      </c>
      <c r="V814" s="20">
        <f>IF(AND(ISNUMBER(R814),Settings!$B$17&gt;0),IF(ISNUMBER(INDEX($R:$R,Settings!$B$17)),(R814-INDEX($R:$R,Settings!$B$17))*100,NA()),NA())</f>
        <v/>
      </c>
      <c r="W814" s="20">
        <f>IF(AND(ISNUMBER(P814),Settings!$B$17&gt;0),IF(ISNUMBER(INDEX($P:$P,Settings!$B$17)),P814-INDEX($P:$P,Settings!$B$17),NA()),NA())</f>
        <v/>
      </c>
      <c r="X814" s="19">
        <f>IF(NOT(ISNUMBER($A814)),NA(),IF(OR($A814&lt;MIN(DKW_10Y!$A$2:$A$2918),$A814&gt;MAX(DKW_10Y!$A$2:$A$2918),Settings!$B$16&lt;MIN(DKW_10Y!$A$2:$A$2918)),NA(),(INDEX(DKW_10Y!$B$2:$B$2918,MATCH($A814,DKW_10Y!$A$2:$A$2918,1))-INDEX(DKW_10Y!$B$2:$B$2918,MATCH(Settings!$B$16,DKW_10Y!$A$2:$A$2918,1)))*100))</f>
        <v/>
      </c>
      <c r="Y814" s="19">
        <f>IF(NOT(ISNUMBER($A814)),NA(),IF(OR($A814&lt;MIN(DKW_10Y!$A$2:$A$2918),$A814&gt;MAX(DKW_10Y!$A$2:$A$2918),Settings!$B$16&lt;MIN(DKW_10Y!$A$2:$A$2918)),NA(),(INDEX(DKW_10Y!$C$2:$C$2918,MATCH($A814,DKW_10Y!$A$2:$A$2918,1))-INDEX(DKW_10Y!$C$2:$C$2918,MATCH(Settings!$B$16,DKW_10Y!$A$2:$A$2918,1)))*100))</f>
        <v/>
      </c>
      <c r="Z814" s="19">
        <f>IF(NOT(ISNUMBER($A814)),NA(),IF(OR($A814&lt;MIN(DKW_10Y!$A$2:$A$2918),$A814&gt;MAX(DKW_10Y!$A$2:$A$2918),Settings!$B$16&lt;MIN(DKW_10Y!$A$2:$A$2918)),NA(),(INDEX(DKW_10Y!$D$2:$D$2918,MATCH($A814,DKW_10Y!$A$2:$A$2918,1))-INDEX(DKW_10Y!$D$2:$D$2918,MATCH(Settings!$B$16,DKW_10Y!$A$2:$A$2918,1)))*100))</f>
        <v/>
      </c>
      <c r="AA814" s="19">
        <f>IF(NOT(ISNUMBER($A814)),NA(),IF(OR($A814&lt;MIN(DKW_10Y!$A$2:$A$2918),$A814&gt;MAX(DKW_10Y!$A$2:$A$2918),Settings!$B$16&lt;MIN(DKW_10Y!$A$2:$A$2918)),NA(),(INDEX(DKW_10Y!$E$2:$E$2918,MATCH($A814,DKW_10Y!$A$2:$A$2918,1))-INDEX(DKW_10Y!$E$2:$E$2918,MATCH(Settings!$B$16,DKW_10Y!$A$2:$A$2918,1)))*100))</f>
        <v/>
      </c>
      <c r="AB814" s="19">
        <f>IF(NOT(ISNUMBER($A814)),NA(),IF(OR($A814&lt;MIN(DKW_10Y!$A$2:$A$2918),$A814&gt;MAX(DKW_10Y!$A$2:$A$2918),Settings!$B$16&lt;MIN(DKW_10Y!$A$2:$A$2918)),NA(),(INDEX(DKW_10Y!$H$2:$H$2918,MATCH($A814,DKW_10Y!$A$2:$A$2918,1))-INDEX(DKW_10Y!$H$2:$H$2918,MATCH(Settings!$B$16,DKW_10Y!$A$2:$A$2918,1)))*100))</f>
        <v/>
      </c>
      <c r="AC814" s="18">
        <f>IF(NOT(ISNUMBER($A814)),NA(),IFERROR(1*INDEX(BBG_Data!$N$2:$N$4000,MATCH($A814,BBG_Data!$M$2:$M$4000,0)),NA()))</f>
        <v/>
      </c>
      <c r="AD814" s="18">
        <f>IF(NOT(ISNUMBER($A814)),NA(),IFERROR(1*INDEX(BBG_Data!$P$2:$P$4000,MATCH($A814,BBG_Data!$O$2:$O$4000,0)),NA()))</f>
        <v/>
      </c>
      <c r="AE814" s="18">
        <f>IF(NOT(ISNUMBER($A814)),NA(),IFERROR(1*INDEX(BBG_Data!$R$2:$R$4000,MATCH($A814,BBG_Data!$Q$2:$Q$4000,0)),NA()))</f>
        <v/>
      </c>
      <c r="AF814" s="20">
        <f>IF(AND(ISNUMBER(B814),ISNUMBER(AC814)),(B814-AC814)*100,NA())</f>
        <v/>
      </c>
      <c r="AG814" s="20">
        <f>IF(AND(ISNUMBER(AE814),ISNUMBER(AD814)),(AE814-AD814)*100,NA())</f>
        <v/>
      </c>
      <c r="AH814" s="19">
        <f>IF(NOT(ISNUMBER($A814)),NA(),IFERROR(INDEX(BBG_Data!$T$2:$T$4000,MATCH($A814,BBG_Data!$S$2:$S$4000,0))*Settings!$B$25,NA()))</f>
        <v/>
      </c>
      <c r="AI814" s="19">
        <f>IF(NOT(ISNUMBER($A814)),NA(),IFERROR(INDEX(BBG_Data!$V$2:$V$4000,MATCH($A814,BBG_Data!$U$2:$U$4000,0))*Settings!$B$25,NA()))</f>
        <v/>
      </c>
      <c r="AJ814" s="19">
        <f>IF(NOT(ISNUMBER($A814)),NA(),IFERROR(1*INDEX(BBG_Data!$X$2:$X$4000,MATCH($A814,BBG_Data!$W$2:$W$4000,0)),NA()))</f>
        <v/>
      </c>
      <c r="AK814" s="19">
        <f>IF(NOT(ISNUMBER($A814)),NA(),IFERROR(1*INDEX(BBG_Data!$Z$2:$Z$4000,MATCH($A814,BBG_Data!$Y$2:$Y$4000,0)),NA()))</f>
        <v/>
      </c>
    </row>
    <row r="815">
      <c r="A815" s="17">
        <f>IF(ISNUMBER(BBG_Data!A815),BBG_Data!A815,"")</f>
        <v/>
      </c>
      <c r="B815" s="18">
        <f>IF(AND(ISNUMBER($A815),ISNUMBER(BBG_Data!B815)),BBG_Data!B815,NA())</f>
        <v/>
      </c>
      <c r="C815" s="18">
        <f>IF(NOT(ISNUMBER($A815)),NA(),IFERROR(1*INDEX(BBG_Data!$D$2:$D$4000,MATCH($A815,BBG_Data!$C$2:$C$4000,0)),NA()))</f>
        <v/>
      </c>
      <c r="D815" s="19">
        <f>IF(NOT(ISNUMBER($A815)),NA(),IFERROR(1*INDEX(BBG_Data!$F$2:$F$4000,MATCH($A815,BBG_Data!$E$2:$E$4000,0)),NA()))</f>
        <v/>
      </c>
      <c r="E815" s="19">
        <f>IF(NOT(ISNUMBER($A815)),NA(),IFERROR(1*INDEX(BBG_Data!$H$2:$H$4000,MATCH($A815,BBG_Data!$G$2:$G$4000,0)),NA()))</f>
        <v/>
      </c>
      <c r="F815" s="20">
        <f>IF(AND(ISNUMBER(B815),ISNUMBER(B814)),IF(B815=B814,"",(B815-B814)*100),"")</f>
        <v/>
      </c>
      <c r="G815" s="20">
        <f>IF(AND(ISNUMBER(C815),ISNUMBER(C814)),IF(C815=C814,"",(C815-C814)*100),"")</f>
        <v/>
      </c>
      <c r="H815" s="20">
        <f>IF(OR(NOT(ISNUMBER($A815)),ROW()-2&lt;Settings!$B$11),NA(),IF(COUNT(OFFSET(F815,1-Settings!$B$11,0,Settings!$B$11,1))&lt;ROUNDUP(Settings!$B$11*Settings!$B$26,0),NA(),STDEV(OFFSET(F815,1-Settings!$B$11,0,Settings!$B$11,1))*SQRT(Settings!$B$13)))</f>
        <v/>
      </c>
      <c r="I815" s="20">
        <f>IF(OR(NOT(ISNUMBER($A815)),ROW()-2&lt;Settings!$B$12),NA(),IF(COUNT(OFFSET(F815,1-Settings!$B$12,0,Settings!$B$12,1))&lt;ROUNDUP(Settings!$B$12*Settings!$B$26,0),NA(),STDEV(OFFSET(F815,1-Settings!$B$12,0,Settings!$B$12,1))*SQRT(Settings!$B$13)))</f>
        <v/>
      </c>
      <c r="J815" s="20">
        <f>IF(OR(NOT(ISNUMBER($A815)),ROW()-2&lt;Settings!$B$11),NA(),IF(COUNT(OFFSET(G815,1-Settings!$B$11,0,Settings!$B$11,1))&lt;ROUNDUP(Settings!$B$11*Settings!$B$26,0),NA(),STDEV(OFFSET(G815,1-Settings!$B$11,0,Settings!$B$11,1))*SQRT(Settings!$B$13)))</f>
        <v/>
      </c>
      <c r="K815" s="20">
        <f>IF(OR(NOT(ISNUMBER($A815)),ROW()-2&lt;Settings!$B$12),NA(),IF(COUNT(OFFSET(G815,1-Settings!$B$12,0,Settings!$B$12,1))&lt;ROUNDUP(Settings!$B$12*Settings!$B$26,0),NA(),STDEV(OFFSET(G815,1-Settings!$B$12,0,Settings!$B$12,1))*SQRT(Settings!$B$13)))</f>
        <v/>
      </c>
      <c r="L815" s="20">
        <f>IF(AND(ISNUMBER(D815),ISNUMBER(H815)),D815-H815,NA())</f>
        <v/>
      </c>
      <c r="M815" s="20">
        <f>IF(AND(ISNUMBER(E815),ISNUMBER(K815)),E815-K815,NA())</f>
        <v/>
      </c>
      <c r="N815" s="20">
        <f>IF(NOT(ISNUMBER($A815)),NA(),IF(COUNT(OFFSET(G815,1,0,Settings!$B$12,1))&lt;ROUNDUP(Settings!$B$12*Settings!$B$26,0),NA(),STDEV(OFFSET(G815,1,0,Settings!$B$12,1))*SQRT(Settings!$B$13)))</f>
        <v/>
      </c>
      <c r="O815" s="20">
        <f>IF(AND(ISNUMBER(E815),ISNUMBER(N815)),E815-N815,NA())</f>
        <v/>
      </c>
      <c r="P815" s="19">
        <f>IF(NOT(ISNUMBER($A815)),NA(),IF(OR($A815&lt;MIN(KW_TP!$A$2:$A$2501),$A815&gt;MAX(KW_TP!$A$2:$A$2501)),NA(),INDEX(KW_TP!$C$2:$C$2501,MATCH($A815,KW_TP!$A$2:$A$2501,1))))</f>
        <v/>
      </c>
      <c r="Q815" s="18">
        <f>IF(NOT(ISNUMBER($A815)),NA(),IFERROR(1*INDEX(BBG_Data!$J$2:$J$4000,MATCH($A815,BBG_Data!$I$2:$I$4000,0)),NA()))</f>
        <v/>
      </c>
      <c r="R815" s="18">
        <f>IF(NOT(ISNUMBER($A815)),NA(),IFERROR(1*INDEX(BBG_Data!$L$2:$L$4000,MATCH($A815,BBG_Data!$K$2:$K$4000,0)),NA()))</f>
        <v/>
      </c>
      <c r="S815" s="20">
        <f>IF(AND(ISNUMBER(B815),ISNUMBER(Q815),ISNUMBER(R815)),(B815-Q815-R815)*100,NA())</f>
        <v/>
      </c>
      <c r="T815" s="20">
        <f>IF(AND(ISNUMBER(B815),Settings!$B$17&gt;0),IF(ISNUMBER(INDEX($B:$B,Settings!$B$17)),(B815-INDEX($B:$B,Settings!$B$17))*100,NA()),NA())</f>
        <v/>
      </c>
      <c r="U815" s="20">
        <f>IF(AND(ISNUMBER(Q815),Settings!$B$17&gt;0),IF(ISNUMBER(INDEX($Q:$Q,Settings!$B$17)),(Q815-INDEX($Q:$Q,Settings!$B$17))*100,NA()),NA())</f>
        <v/>
      </c>
      <c r="V815" s="20">
        <f>IF(AND(ISNUMBER(R815),Settings!$B$17&gt;0),IF(ISNUMBER(INDEX($R:$R,Settings!$B$17)),(R815-INDEX($R:$R,Settings!$B$17))*100,NA()),NA())</f>
        <v/>
      </c>
      <c r="W815" s="20">
        <f>IF(AND(ISNUMBER(P815),Settings!$B$17&gt;0),IF(ISNUMBER(INDEX($P:$P,Settings!$B$17)),P815-INDEX($P:$P,Settings!$B$17),NA()),NA())</f>
        <v/>
      </c>
      <c r="X815" s="19">
        <f>IF(NOT(ISNUMBER($A815)),NA(),IF(OR($A815&lt;MIN(DKW_10Y!$A$2:$A$2918),$A815&gt;MAX(DKW_10Y!$A$2:$A$2918),Settings!$B$16&lt;MIN(DKW_10Y!$A$2:$A$2918)),NA(),(INDEX(DKW_10Y!$B$2:$B$2918,MATCH($A815,DKW_10Y!$A$2:$A$2918,1))-INDEX(DKW_10Y!$B$2:$B$2918,MATCH(Settings!$B$16,DKW_10Y!$A$2:$A$2918,1)))*100))</f>
        <v/>
      </c>
      <c r="Y815" s="19">
        <f>IF(NOT(ISNUMBER($A815)),NA(),IF(OR($A815&lt;MIN(DKW_10Y!$A$2:$A$2918),$A815&gt;MAX(DKW_10Y!$A$2:$A$2918),Settings!$B$16&lt;MIN(DKW_10Y!$A$2:$A$2918)),NA(),(INDEX(DKW_10Y!$C$2:$C$2918,MATCH($A815,DKW_10Y!$A$2:$A$2918,1))-INDEX(DKW_10Y!$C$2:$C$2918,MATCH(Settings!$B$16,DKW_10Y!$A$2:$A$2918,1)))*100))</f>
        <v/>
      </c>
      <c r="Z815" s="19">
        <f>IF(NOT(ISNUMBER($A815)),NA(),IF(OR($A815&lt;MIN(DKW_10Y!$A$2:$A$2918),$A815&gt;MAX(DKW_10Y!$A$2:$A$2918),Settings!$B$16&lt;MIN(DKW_10Y!$A$2:$A$2918)),NA(),(INDEX(DKW_10Y!$D$2:$D$2918,MATCH($A815,DKW_10Y!$A$2:$A$2918,1))-INDEX(DKW_10Y!$D$2:$D$2918,MATCH(Settings!$B$16,DKW_10Y!$A$2:$A$2918,1)))*100))</f>
        <v/>
      </c>
      <c r="AA815" s="19">
        <f>IF(NOT(ISNUMBER($A815)),NA(),IF(OR($A815&lt;MIN(DKW_10Y!$A$2:$A$2918),$A815&gt;MAX(DKW_10Y!$A$2:$A$2918),Settings!$B$16&lt;MIN(DKW_10Y!$A$2:$A$2918)),NA(),(INDEX(DKW_10Y!$E$2:$E$2918,MATCH($A815,DKW_10Y!$A$2:$A$2918,1))-INDEX(DKW_10Y!$E$2:$E$2918,MATCH(Settings!$B$16,DKW_10Y!$A$2:$A$2918,1)))*100))</f>
        <v/>
      </c>
      <c r="AB815" s="19">
        <f>IF(NOT(ISNUMBER($A815)),NA(),IF(OR($A815&lt;MIN(DKW_10Y!$A$2:$A$2918),$A815&gt;MAX(DKW_10Y!$A$2:$A$2918),Settings!$B$16&lt;MIN(DKW_10Y!$A$2:$A$2918)),NA(),(INDEX(DKW_10Y!$H$2:$H$2918,MATCH($A815,DKW_10Y!$A$2:$A$2918,1))-INDEX(DKW_10Y!$H$2:$H$2918,MATCH(Settings!$B$16,DKW_10Y!$A$2:$A$2918,1)))*100))</f>
        <v/>
      </c>
      <c r="AC815" s="18">
        <f>IF(NOT(ISNUMBER($A815)),NA(),IFERROR(1*INDEX(BBG_Data!$N$2:$N$4000,MATCH($A815,BBG_Data!$M$2:$M$4000,0)),NA()))</f>
        <v/>
      </c>
      <c r="AD815" s="18">
        <f>IF(NOT(ISNUMBER($A815)),NA(),IFERROR(1*INDEX(BBG_Data!$P$2:$P$4000,MATCH($A815,BBG_Data!$O$2:$O$4000,0)),NA()))</f>
        <v/>
      </c>
      <c r="AE815" s="18">
        <f>IF(NOT(ISNUMBER($A815)),NA(),IFERROR(1*INDEX(BBG_Data!$R$2:$R$4000,MATCH($A815,BBG_Data!$Q$2:$Q$4000,0)),NA()))</f>
        <v/>
      </c>
      <c r="AF815" s="20">
        <f>IF(AND(ISNUMBER(B815),ISNUMBER(AC815)),(B815-AC815)*100,NA())</f>
        <v/>
      </c>
      <c r="AG815" s="20">
        <f>IF(AND(ISNUMBER(AE815),ISNUMBER(AD815)),(AE815-AD815)*100,NA())</f>
        <v/>
      </c>
      <c r="AH815" s="19">
        <f>IF(NOT(ISNUMBER($A815)),NA(),IFERROR(INDEX(BBG_Data!$T$2:$T$4000,MATCH($A815,BBG_Data!$S$2:$S$4000,0))*Settings!$B$25,NA()))</f>
        <v/>
      </c>
      <c r="AI815" s="19">
        <f>IF(NOT(ISNUMBER($A815)),NA(),IFERROR(INDEX(BBG_Data!$V$2:$V$4000,MATCH($A815,BBG_Data!$U$2:$U$4000,0))*Settings!$B$25,NA()))</f>
        <v/>
      </c>
      <c r="AJ815" s="19">
        <f>IF(NOT(ISNUMBER($A815)),NA(),IFERROR(1*INDEX(BBG_Data!$X$2:$X$4000,MATCH($A815,BBG_Data!$W$2:$W$4000,0)),NA()))</f>
        <v/>
      </c>
      <c r="AK815" s="19">
        <f>IF(NOT(ISNUMBER($A815)),NA(),IFERROR(1*INDEX(BBG_Data!$Z$2:$Z$4000,MATCH($A815,BBG_Data!$Y$2:$Y$4000,0)),NA()))</f>
        <v/>
      </c>
    </row>
    <row r="816">
      <c r="A816" s="17">
        <f>IF(ISNUMBER(BBG_Data!A816),BBG_Data!A816,"")</f>
        <v/>
      </c>
      <c r="B816" s="18">
        <f>IF(AND(ISNUMBER($A816),ISNUMBER(BBG_Data!B816)),BBG_Data!B816,NA())</f>
        <v/>
      </c>
      <c r="C816" s="18">
        <f>IF(NOT(ISNUMBER($A816)),NA(),IFERROR(1*INDEX(BBG_Data!$D$2:$D$4000,MATCH($A816,BBG_Data!$C$2:$C$4000,0)),NA()))</f>
        <v/>
      </c>
      <c r="D816" s="19">
        <f>IF(NOT(ISNUMBER($A816)),NA(),IFERROR(1*INDEX(BBG_Data!$F$2:$F$4000,MATCH($A816,BBG_Data!$E$2:$E$4000,0)),NA()))</f>
        <v/>
      </c>
      <c r="E816" s="19">
        <f>IF(NOT(ISNUMBER($A816)),NA(),IFERROR(1*INDEX(BBG_Data!$H$2:$H$4000,MATCH($A816,BBG_Data!$G$2:$G$4000,0)),NA()))</f>
        <v/>
      </c>
      <c r="F816" s="20">
        <f>IF(AND(ISNUMBER(B816),ISNUMBER(B815)),IF(B816=B815,"",(B816-B815)*100),"")</f>
        <v/>
      </c>
      <c r="G816" s="20">
        <f>IF(AND(ISNUMBER(C816),ISNUMBER(C815)),IF(C816=C815,"",(C816-C815)*100),"")</f>
        <v/>
      </c>
      <c r="H816" s="20">
        <f>IF(OR(NOT(ISNUMBER($A816)),ROW()-2&lt;Settings!$B$11),NA(),IF(COUNT(OFFSET(F816,1-Settings!$B$11,0,Settings!$B$11,1))&lt;ROUNDUP(Settings!$B$11*Settings!$B$26,0),NA(),STDEV(OFFSET(F816,1-Settings!$B$11,0,Settings!$B$11,1))*SQRT(Settings!$B$13)))</f>
        <v/>
      </c>
      <c r="I816" s="20">
        <f>IF(OR(NOT(ISNUMBER($A816)),ROW()-2&lt;Settings!$B$12),NA(),IF(COUNT(OFFSET(F816,1-Settings!$B$12,0,Settings!$B$12,1))&lt;ROUNDUP(Settings!$B$12*Settings!$B$26,0),NA(),STDEV(OFFSET(F816,1-Settings!$B$12,0,Settings!$B$12,1))*SQRT(Settings!$B$13)))</f>
        <v/>
      </c>
      <c r="J816" s="20">
        <f>IF(OR(NOT(ISNUMBER($A816)),ROW()-2&lt;Settings!$B$11),NA(),IF(COUNT(OFFSET(G816,1-Settings!$B$11,0,Settings!$B$11,1))&lt;ROUNDUP(Settings!$B$11*Settings!$B$26,0),NA(),STDEV(OFFSET(G816,1-Settings!$B$11,0,Settings!$B$11,1))*SQRT(Settings!$B$13)))</f>
        <v/>
      </c>
      <c r="K816" s="20">
        <f>IF(OR(NOT(ISNUMBER($A816)),ROW()-2&lt;Settings!$B$12),NA(),IF(COUNT(OFFSET(G816,1-Settings!$B$12,0,Settings!$B$12,1))&lt;ROUNDUP(Settings!$B$12*Settings!$B$26,0),NA(),STDEV(OFFSET(G816,1-Settings!$B$12,0,Settings!$B$12,1))*SQRT(Settings!$B$13)))</f>
        <v/>
      </c>
      <c r="L816" s="20">
        <f>IF(AND(ISNUMBER(D816),ISNUMBER(H816)),D816-H816,NA())</f>
        <v/>
      </c>
      <c r="M816" s="20">
        <f>IF(AND(ISNUMBER(E816),ISNUMBER(K816)),E816-K816,NA())</f>
        <v/>
      </c>
      <c r="N816" s="20">
        <f>IF(NOT(ISNUMBER($A816)),NA(),IF(COUNT(OFFSET(G816,1,0,Settings!$B$12,1))&lt;ROUNDUP(Settings!$B$12*Settings!$B$26,0),NA(),STDEV(OFFSET(G816,1,0,Settings!$B$12,1))*SQRT(Settings!$B$13)))</f>
        <v/>
      </c>
      <c r="O816" s="20">
        <f>IF(AND(ISNUMBER(E816),ISNUMBER(N816)),E816-N816,NA())</f>
        <v/>
      </c>
      <c r="P816" s="19">
        <f>IF(NOT(ISNUMBER($A816)),NA(),IF(OR($A816&lt;MIN(KW_TP!$A$2:$A$2501),$A816&gt;MAX(KW_TP!$A$2:$A$2501)),NA(),INDEX(KW_TP!$C$2:$C$2501,MATCH($A816,KW_TP!$A$2:$A$2501,1))))</f>
        <v/>
      </c>
      <c r="Q816" s="18">
        <f>IF(NOT(ISNUMBER($A816)),NA(),IFERROR(1*INDEX(BBG_Data!$J$2:$J$4000,MATCH($A816,BBG_Data!$I$2:$I$4000,0)),NA()))</f>
        <v/>
      </c>
      <c r="R816" s="18">
        <f>IF(NOT(ISNUMBER($A816)),NA(),IFERROR(1*INDEX(BBG_Data!$L$2:$L$4000,MATCH($A816,BBG_Data!$K$2:$K$4000,0)),NA()))</f>
        <v/>
      </c>
      <c r="S816" s="20">
        <f>IF(AND(ISNUMBER(B816),ISNUMBER(Q816),ISNUMBER(R816)),(B816-Q816-R816)*100,NA())</f>
        <v/>
      </c>
      <c r="T816" s="20">
        <f>IF(AND(ISNUMBER(B816),Settings!$B$17&gt;0),IF(ISNUMBER(INDEX($B:$B,Settings!$B$17)),(B816-INDEX($B:$B,Settings!$B$17))*100,NA()),NA())</f>
        <v/>
      </c>
      <c r="U816" s="20">
        <f>IF(AND(ISNUMBER(Q816),Settings!$B$17&gt;0),IF(ISNUMBER(INDEX($Q:$Q,Settings!$B$17)),(Q816-INDEX($Q:$Q,Settings!$B$17))*100,NA()),NA())</f>
        <v/>
      </c>
      <c r="V816" s="20">
        <f>IF(AND(ISNUMBER(R816),Settings!$B$17&gt;0),IF(ISNUMBER(INDEX($R:$R,Settings!$B$17)),(R816-INDEX($R:$R,Settings!$B$17))*100,NA()),NA())</f>
        <v/>
      </c>
      <c r="W816" s="20">
        <f>IF(AND(ISNUMBER(P816),Settings!$B$17&gt;0),IF(ISNUMBER(INDEX($P:$P,Settings!$B$17)),P816-INDEX($P:$P,Settings!$B$17),NA()),NA())</f>
        <v/>
      </c>
      <c r="X816" s="19">
        <f>IF(NOT(ISNUMBER($A816)),NA(),IF(OR($A816&lt;MIN(DKW_10Y!$A$2:$A$2918),$A816&gt;MAX(DKW_10Y!$A$2:$A$2918),Settings!$B$16&lt;MIN(DKW_10Y!$A$2:$A$2918)),NA(),(INDEX(DKW_10Y!$B$2:$B$2918,MATCH($A816,DKW_10Y!$A$2:$A$2918,1))-INDEX(DKW_10Y!$B$2:$B$2918,MATCH(Settings!$B$16,DKW_10Y!$A$2:$A$2918,1)))*100))</f>
        <v/>
      </c>
      <c r="Y816" s="19">
        <f>IF(NOT(ISNUMBER($A816)),NA(),IF(OR($A816&lt;MIN(DKW_10Y!$A$2:$A$2918),$A816&gt;MAX(DKW_10Y!$A$2:$A$2918),Settings!$B$16&lt;MIN(DKW_10Y!$A$2:$A$2918)),NA(),(INDEX(DKW_10Y!$C$2:$C$2918,MATCH($A816,DKW_10Y!$A$2:$A$2918,1))-INDEX(DKW_10Y!$C$2:$C$2918,MATCH(Settings!$B$16,DKW_10Y!$A$2:$A$2918,1)))*100))</f>
        <v/>
      </c>
      <c r="Z816" s="19">
        <f>IF(NOT(ISNUMBER($A816)),NA(),IF(OR($A816&lt;MIN(DKW_10Y!$A$2:$A$2918),$A816&gt;MAX(DKW_10Y!$A$2:$A$2918),Settings!$B$16&lt;MIN(DKW_10Y!$A$2:$A$2918)),NA(),(INDEX(DKW_10Y!$D$2:$D$2918,MATCH($A816,DKW_10Y!$A$2:$A$2918,1))-INDEX(DKW_10Y!$D$2:$D$2918,MATCH(Settings!$B$16,DKW_10Y!$A$2:$A$2918,1)))*100))</f>
        <v/>
      </c>
      <c r="AA816" s="19">
        <f>IF(NOT(ISNUMBER($A816)),NA(),IF(OR($A816&lt;MIN(DKW_10Y!$A$2:$A$2918),$A816&gt;MAX(DKW_10Y!$A$2:$A$2918),Settings!$B$16&lt;MIN(DKW_10Y!$A$2:$A$2918)),NA(),(INDEX(DKW_10Y!$E$2:$E$2918,MATCH($A816,DKW_10Y!$A$2:$A$2918,1))-INDEX(DKW_10Y!$E$2:$E$2918,MATCH(Settings!$B$16,DKW_10Y!$A$2:$A$2918,1)))*100))</f>
        <v/>
      </c>
      <c r="AB816" s="19">
        <f>IF(NOT(ISNUMBER($A816)),NA(),IF(OR($A816&lt;MIN(DKW_10Y!$A$2:$A$2918),$A816&gt;MAX(DKW_10Y!$A$2:$A$2918),Settings!$B$16&lt;MIN(DKW_10Y!$A$2:$A$2918)),NA(),(INDEX(DKW_10Y!$H$2:$H$2918,MATCH($A816,DKW_10Y!$A$2:$A$2918,1))-INDEX(DKW_10Y!$H$2:$H$2918,MATCH(Settings!$B$16,DKW_10Y!$A$2:$A$2918,1)))*100))</f>
        <v/>
      </c>
      <c r="AC816" s="18">
        <f>IF(NOT(ISNUMBER($A816)),NA(),IFERROR(1*INDEX(BBG_Data!$N$2:$N$4000,MATCH($A816,BBG_Data!$M$2:$M$4000,0)),NA()))</f>
        <v/>
      </c>
      <c r="AD816" s="18">
        <f>IF(NOT(ISNUMBER($A816)),NA(),IFERROR(1*INDEX(BBG_Data!$P$2:$P$4000,MATCH($A816,BBG_Data!$O$2:$O$4000,0)),NA()))</f>
        <v/>
      </c>
      <c r="AE816" s="18">
        <f>IF(NOT(ISNUMBER($A816)),NA(),IFERROR(1*INDEX(BBG_Data!$R$2:$R$4000,MATCH($A816,BBG_Data!$Q$2:$Q$4000,0)),NA()))</f>
        <v/>
      </c>
      <c r="AF816" s="20">
        <f>IF(AND(ISNUMBER(B816),ISNUMBER(AC816)),(B816-AC816)*100,NA())</f>
        <v/>
      </c>
      <c r="AG816" s="20">
        <f>IF(AND(ISNUMBER(AE816),ISNUMBER(AD816)),(AE816-AD816)*100,NA())</f>
        <v/>
      </c>
      <c r="AH816" s="19">
        <f>IF(NOT(ISNUMBER($A816)),NA(),IFERROR(INDEX(BBG_Data!$T$2:$T$4000,MATCH($A816,BBG_Data!$S$2:$S$4000,0))*Settings!$B$25,NA()))</f>
        <v/>
      </c>
      <c r="AI816" s="19">
        <f>IF(NOT(ISNUMBER($A816)),NA(),IFERROR(INDEX(BBG_Data!$V$2:$V$4000,MATCH($A816,BBG_Data!$U$2:$U$4000,0))*Settings!$B$25,NA()))</f>
        <v/>
      </c>
      <c r="AJ816" s="19">
        <f>IF(NOT(ISNUMBER($A816)),NA(),IFERROR(1*INDEX(BBG_Data!$X$2:$X$4000,MATCH($A816,BBG_Data!$W$2:$W$4000,0)),NA()))</f>
        <v/>
      </c>
      <c r="AK816" s="19">
        <f>IF(NOT(ISNUMBER($A816)),NA(),IFERROR(1*INDEX(BBG_Data!$Z$2:$Z$4000,MATCH($A816,BBG_Data!$Y$2:$Y$4000,0)),NA()))</f>
        <v/>
      </c>
    </row>
    <row r="817">
      <c r="A817" s="17">
        <f>IF(ISNUMBER(BBG_Data!A817),BBG_Data!A817,"")</f>
        <v/>
      </c>
      <c r="B817" s="18">
        <f>IF(AND(ISNUMBER($A817),ISNUMBER(BBG_Data!B817)),BBG_Data!B817,NA())</f>
        <v/>
      </c>
      <c r="C817" s="18">
        <f>IF(NOT(ISNUMBER($A817)),NA(),IFERROR(1*INDEX(BBG_Data!$D$2:$D$4000,MATCH($A817,BBG_Data!$C$2:$C$4000,0)),NA()))</f>
        <v/>
      </c>
      <c r="D817" s="19">
        <f>IF(NOT(ISNUMBER($A817)),NA(),IFERROR(1*INDEX(BBG_Data!$F$2:$F$4000,MATCH($A817,BBG_Data!$E$2:$E$4000,0)),NA()))</f>
        <v/>
      </c>
      <c r="E817" s="19">
        <f>IF(NOT(ISNUMBER($A817)),NA(),IFERROR(1*INDEX(BBG_Data!$H$2:$H$4000,MATCH($A817,BBG_Data!$G$2:$G$4000,0)),NA()))</f>
        <v/>
      </c>
      <c r="F817" s="20">
        <f>IF(AND(ISNUMBER(B817),ISNUMBER(B816)),IF(B817=B816,"",(B817-B816)*100),"")</f>
        <v/>
      </c>
      <c r="G817" s="20">
        <f>IF(AND(ISNUMBER(C817),ISNUMBER(C816)),IF(C817=C816,"",(C817-C816)*100),"")</f>
        <v/>
      </c>
      <c r="H817" s="20">
        <f>IF(OR(NOT(ISNUMBER($A817)),ROW()-2&lt;Settings!$B$11),NA(),IF(COUNT(OFFSET(F817,1-Settings!$B$11,0,Settings!$B$11,1))&lt;ROUNDUP(Settings!$B$11*Settings!$B$26,0),NA(),STDEV(OFFSET(F817,1-Settings!$B$11,0,Settings!$B$11,1))*SQRT(Settings!$B$13)))</f>
        <v/>
      </c>
      <c r="I817" s="20">
        <f>IF(OR(NOT(ISNUMBER($A817)),ROW()-2&lt;Settings!$B$12),NA(),IF(COUNT(OFFSET(F817,1-Settings!$B$12,0,Settings!$B$12,1))&lt;ROUNDUP(Settings!$B$12*Settings!$B$26,0),NA(),STDEV(OFFSET(F817,1-Settings!$B$12,0,Settings!$B$12,1))*SQRT(Settings!$B$13)))</f>
        <v/>
      </c>
      <c r="J817" s="20">
        <f>IF(OR(NOT(ISNUMBER($A817)),ROW()-2&lt;Settings!$B$11),NA(),IF(COUNT(OFFSET(G817,1-Settings!$B$11,0,Settings!$B$11,1))&lt;ROUNDUP(Settings!$B$11*Settings!$B$26,0),NA(),STDEV(OFFSET(G817,1-Settings!$B$11,0,Settings!$B$11,1))*SQRT(Settings!$B$13)))</f>
        <v/>
      </c>
      <c r="K817" s="20">
        <f>IF(OR(NOT(ISNUMBER($A817)),ROW()-2&lt;Settings!$B$12),NA(),IF(COUNT(OFFSET(G817,1-Settings!$B$12,0,Settings!$B$12,1))&lt;ROUNDUP(Settings!$B$12*Settings!$B$26,0),NA(),STDEV(OFFSET(G817,1-Settings!$B$12,0,Settings!$B$12,1))*SQRT(Settings!$B$13)))</f>
        <v/>
      </c>
      <c r="L817" s="20">
        <f>IF(AND(ISNUMBER(D817),ISNUMBER(H817)),D817-H817,NA())</f>
        <v/>
      </c>
      <c r="M817" s="20">
        <f>IF(AND(ISNUMBER(E817),ISNUMBER(K817)),E817-K817,NA())</f>
        <v/>
      </c>
      <c r="N817" s="20">
        <f>IF(NOT(ISNUMBER($A817)),NA(),IF(COUNT(OFFSET(G817,1,0,Settings!$B$12,1))&lt;ROUNDUP(Settings!$B$12*Settings!$B$26,0),NA(),STDEV(OFFSET(G817,1,0,Settings!$B$12,1))*SQRT(Settings!$B$13)))</f>
        <v/>
      </c>
      <c r="O817" s="20">
        <f>IF(AND(ISNUMBER(E817),ISNUMBER(N817)),E817-N817,NA())</f>
        <v/>
      </c>
      <c r="P817" s="19">
        <f>IF(NOT(ISNUMBER($A817)),NA(),IF(OR($A817&lt;MIN(KW_TP!$A$2:$A$2501),$A817&gt;MAX(KW_TP!$A$2:$A$2501)),NA(),INDEX(KW_TP!$C$2:$C$2501,MATCH($A817,KW_TP!$A$2:$A$2501,1))))</f>
        <v/>
      </c>
      <c r="Q817" s="18">
        <f>IF(NOT(ISNUMBER($A817)),NA(),IFERROR(1*INDEX(BBG_Data!$J$2:$J$4000,MATCH($A817,BBG_Data!$I$2:$I$4000,0)),NA()))</f>
        <v/>
      </c>
      <c r="R817" s="18">
        <f>IF(NOT(ISNUMBER($A817)),NA(),IFERROR(1*INDEX(BBG_Data!$L$2:$L$4000,MATCH($A817,BBG_Data!$K$2:$K$4000,0)),NA()))</f>
        <v/>
      </c>
      <c r="S817" s="20">
        <f>IF(AND(ISNUMBER(B817),ISNUMBER(Q817),ISNUMBER(R817)),(B817-Q817-R817)*100,NA())</f>
        <v/>
      </c>
      <c r="T817" s="20">
        <f>IF(AND(ISNUMBER(B817),Settings!$B$17&gt;0),IF(ISNUMBER(INDEX($B:$B,Settings!$B$17)),(B817-INDEX($B:$B,Settings!$B$17))*100,NA()),NA())</f>
        <v/>
      </c>
      <c r="U817" s="20">
        <f>IF(AND(ISNUMBER(Q817),Settings!$B$17&gt;0),IF(ISNUMBER(INDEX($Q:$Q,Settings!$B$17)),(Q817-INDEX($Q:$Q,Settings!$B$17))*100,NA()),NA())</f>
        <v/>
      </c>
      <c r="V817" s="20">
        <f>IF(AND(ISNUMBER(R817),Settings!$B$17&gt;0),IF(ISNUMBER(INDEX($R:$R,Settings!$B$17)),(R817-INDEX($R:$R,Settings!$B$17))*100,NA()),NA())</f>
        <v/>
      </c>
      <c r="W817" s="20">
        <f>IF(AND(ISNUMBER(P817),Settings!$B$17&gt;0),IF(ISNUMBER(INDEX($P:$P,Settings!$B$17)),P817-INDEX($P:$P,Settings!$B$17),NA()),NA())</f>
        <v/>
      </c>
      <c r="X817" s="19">
        <f>IF(NOT(ISNUMBER($A817)),NA(),IF(OR($A817&lt;MIN(DKW_10Y!$A$2:$A$2918),$A817&gt;MAX(DKW_10Y!$A$2:$A$2918),Settings!$B$16&lt;MIN(DKW_10Y!$A$2:$A$2918)),NA(),(INDEX(DKW_10Y!$B$2:$B$2918,MATCH($A817,DKW_10Y!$A$2:$A$2918,1))-INDEX(DKW_10Y!$B$2:$B$2918,MATCH(Settings!$B$16,DKW_10Y!$A$2:$A$2918,1)))*100))</f>
        <v/>
      </c>
      <c r="Y817" s="19">
        <f>IF(NOT(ISNUMBER($A817)),NA(),IF(OR($A817&lt;MIN(DKW_10Y!$A$2:$A$2918),$A817&gt;MAX(DKW_10Y!$A$2:$A$2918),Settings!$B$16&lt;MIN(DKW_10Y!$A$2:$A$2918)),NA(),(INDEX(DKW_10Y!$C$2:$C$2918,MATCH($A817,DKW_10Y!$A$2:$A$2918,1))-INDEX(DKW_10Y!$C$2:$C$2918,MATCH(Settings!$B$16,DKW_10Y!$A$2:$A$2918,1)))*100))</f>
        <v/>
      </c>
      <c r="Z817" s="19">
        <f>IF(NOT(ISNUMBER($A817)),NA(),IF(OR($A817&lt;MIN(DKW_10Y!$A$2:$A$2918),$A817&gt;MAX(DKW_10Y!$A$2:$A$2918),Settings!$B$16&lt;MIN(DKW_10Y!$A$2:$A$2918)),NA(),(INDEX(DKW_10Y!$D$2:$D$2918,MATCH($A817,DKW_10Y!$A$2:$A$2918,1))-INDEX(DKW_10Y!$D$2:$D$2918,MATCH(Settings!$B$16,DKW_10Y!$A$2:$A$2918,1)))*100))</f>
        <v/>
      </c>
      <c r="AA817" s="19">
        <f>IF(NOT(ISNUMBER($A817)),NA(),IF(OR($A817&lt;MIN(DKW_10Y!$A$2:$A$2918),$A817&gt;MAX(DKW_10Y!$A$2:$A$2918),Settings!$B$16&lt;MIN(DKW_10Y!$A$2:$A$2918)),NA(),(INDEX(DKW_10Y!$E$2:$E$2918,MATCH($A817,DKW_10Y!$A$2:$A$2918,1))-INDEX(DKW_10Y!$E$2:$E$2918,MATCH(Settings!$B$16,DKW_10Y!$A$2:$A$2918,1)))*100))</f>
        <v/>
      </c>
      <c r="AB817" s="19">
        <f>IF(NOT(ISNUMBER($A817)),NA(),IF(OR($A817&lt;MIN(DKW_10Y!$A$2:$A$2918),$A817&gt;MAX(DKW_10Y!$A$2:$A$2918),Settings!$B$16&lt;MIN(DKW_10Y!$A$2:$A$2918)),NA(),(INDEX(DKW_10Y!$H$2:$H$2918,MATCH($A817,DKW_10Y!$A$2:$A$2918,1))-INDEX(DKW_10Y!$H$2:$H$2918,MATCH(Settings!$B$16,DKW_10Y!$A$2:$A$2918,1)))*100))</f>
        <v/>
      </c>
      <c r="AC817" s="18">
        <f>IF(NOT(ISNUMBER($A817)),NA(),IFERROR(1*INDEX(BBG_Data!$N$2:$N$4000,MATCH($A817,BBG_Data!$M$2:$M$4000,0)),NA()))</f>
        <v/>
      </c>
      <c r="AD817" s="18">
        <f>IF(NOT(ISNUMBER($A817)),NA(),IFERROR(1*INDEX(BBG_Data!$P$2:$P$4000,MATCH($A817,BBG_Data!$O$2:$O$4000,0)),NA()))</f>
        <v/>
      </c>
      <c r="AE817" s="18">
        <f>IF(NOT(ISNUMBER($A817)),NA(),IFERROR(1*INDEX(BBG_Data!$R$2:$R$4000,MATCH($A817,BBG_Data!$Q$2:$Q$4000,0)),NA()))</f>
        <v/>
      </c>
      <c r="AF817" s="20">
        <f>IF(AND(ISNUMBER(B817),ISNUMBER(AC817)),(B817-AC817)*100,NA())</f>
        <v/>
      </c>
      <c r="AG817" s="20">
        <f>IF(AND(ISNUMBER(AE817),ISNUMBER(AD817)),(AE817-AD817)*100,NA())</f>
        <v/>
      </c>
      <c r="AH817" s="19">
        <f>IF(NOT(ISNUMBER($A817)),NA(),IFERROR(INDEX(BBG_Data!$T$2:$T$4000,MATCH($A817,BBG_Data!$S$2:$S$4000,0))*Settings!$B$25,NA()))</f>
        <v/>
      </c>
      <c r="AI817" s="19">
        <f>IF(NOT(ISNUMBER($A817)),NA(),IFERROR(INDEX(BBG_Data!$V$2:$V$4000,MATCH($A817,BBG_Data!$U$2:$U$4000,0))*Settings!$B$25,NA()))</f>
        <v/>
      </c>
      <c r="AJ817" s="19">
        <f>IF(NOT(ISNUMBER($A817)),NA(),IFERROR(1*INDEX(BBG_Data!$X$2:$X$4000,MATCH($A817,BBG_Data!$W$2:$W$4000,0)),NA()))</f>
        <v/>
      </c>
      <c r="AK817" s="19">
        <f>IF(NOT(ISNUMBER($A817)),NA(),IFERROR(1*INDEX(BBG_Data!$Z$2:$Z$4000,MATCH($A817,BBG_Data!$Y$2:$Y$4000,0)),NA()))</f>
        <v/>
      </c>
    </row>
    <row r="818">
      <c r="A818" s="17">
        <f>IF(ISNUMBER(BBG_Data!A818),BBG_Data!A818,"")</f>
        <v/>
      </c>
      <c r="B818" s="18">
        <f>IF(AND(ISNUMBER($A818),ISNUMBER(BBG_Data!B818)),BBG_Data!B818,NA())</f>
        <v/>
      </c>
      <c r="C818" s="18">
        <f>IF(NOT(ISNUMBER($A818)),NA(),IFERROR(1*INDEX(BBG_Data!$D$2:$D$4000,MATCH($A818,BBG_Data!$C$2:$C$4000,0)),NA()))</f>
        <v/>
      </c>
      <c r="D818" s="19">
        <f>IF(NOT(ISNUMBER($A818)),NA(),IFERROR(1*INDEX(BBG_Data!$F$2:$F$4000,MATCH($A818,BBG_Data!$E$2:$E$4000,0)),NA()))</f>
        <v/>
      </c>
      <c r="E818" s="19">
        <f>IF(NOT(ISNUMBER($A818)),NA(),IFERROR(1*INDEX(BBG_Data!$H$2:$H$4000,MATCH($A818,BBG_Data!$G$2:$G$4000,0)),NA()))</f>
        <v/>
      </c>
      <c r="F818" s="20">
        <f>IF(AND(ISNUMBER(B818),ISNUMBER(B817)),IF(B818=B817,"",(B818-B817)*100),"")</f>
        <v/>
      </c>
      <c r="G818" s="20">
        <f>IF(AND(ISNUMBER(C818),ISNUMBER(C817)),IF(C818=C817,"",(C818-C817)*100),"")</f>
        <v/>
      </c>
      <c r="H818" s="20">
        <f>IF(OR(NOT(ISNUMBER($A818)),ROW()-2&lt;Settings!$B$11),NA(),IF(COUNT(OFFSET(F818,1-Settings!$B$11,0,Settings!$B$11,1))&lt;ROUNDUP(Settings!$B$11*Settings!$B$26,0),NA(),STDEV(OFFSET(F818,1-Settings!$B$11,0,Settings!$B$11,1))*SQRT(Settings!$B$13)))</f>
        <v/>
      </c>
      <c r="I818" s="20">
        <f>IF(OR(NOT(ISNUMBER($A818)),ROW()-2&lt;Settings!$B$12),NA(),IF(COUNT(OFFSET(F818,1-Settings!$B$12,0,Settings!$B$12,1))&lt;ROUNDUP(Settings!$B$12*Settings!$B$26,0),NA(),STDEV(OFFSET(F818,1-Settings!$B$12,0,Settings!$B$12,1))*SQRT(Settings!$B$13)))</f>
        <v/>
      </c>
      <c r="J818" s="20">
        <f>IF(OR(NOT(ISNUMBER($A818)),ROW()-2&lt;Settings!$B$11),NA(),IF(COUNT(OFFSET(G818,1-Settings!$B$11,0,Settings!$B$11,1))&lt;ROUNDUP(Settings!$B$11*Settings!$B$26,0),NA(),STDEV(OFFSET(G818,1-Settings!$B$11,0,Settings!$B$11,1))*SQRT(Settings!$B$13)))</f>
        <v/>
      </c>
      <c r="K818" s="20">
        <f>IF(OR(NOT(ISNUMBER($A818)),ROW()-2&lt;Settings!$B$12),NA(),IF(COUNT(OFFSET(G818,1-Settings!$B$12,0,Settings!$B$12,1))&lt;ROUNDUP(Settings!$B$12*Settings!$B$26,0),NA(),STDEV(OFFSET(G818,1-Settings!$B$12,0,Settings!$B$12,1))*SQRT(Settings!$B$13)))</f>
        <v/>
      </c>
      <c r="L818" s="20">
        <f>IF(AND(ISNUMBER(D818),ISNUMBER(H818)),D818-H818,NA())</f>
        <v/>
      </c>
      <c r="M818" s="20">
        <f>IF(AND(ISNUMBER(E818),ISNUMBER(K818)),E818-K818,NA())</f>
        <v/>
      </c>
      <c r="N818" s="20">
        <f>IF(NOT(ISNUMBER($A818)),NA(),IF(COUNT(OFFSET(G818,1,0,Settings!$B$12,1))&lt;ROUNDUP(Settings!$B$12*Settings!$B$26,0),NA(),STDEV(OFFSET(G818,1,0,Settings!$B$12,1))*SQRT(Settings!$B$13)))</f>
        <v/>
      </c>
      <c r="O818" s="20">
        <f>IF(AND(ISNUMBER(E818),ISNUMBER(N818)),E818-N818,NA())</f>
        <v/>
      </c>
      <c r="P818" s="19">
        <f>IF(NOT(ISNUMBER($A818)),NA(),IF(OR($A818&lt;MIN(KW_TP!$A$2:$A$2501),$A818&gt;MAX(KW_TP!$A$2:$A$2501)),NA(),INDEX(KW_TP!$C$2:$C$2501,MATCH($A818,KW_TP!$A$2:$A$2501,1))))</f>
        <v/>
      </c>
      <c r="Q818" s="18">
        <f>IF(NOT(ISNUMBER($A818)),NA(),IFERROR(1*INDEX(BBG_Data!$J$2:$J$4000,MATCH($A818,BBG_Data!$I$2:$I$4000,0)),NA()))</f>
        <v/>
      </c>
      <c r="R818" s="18">
        <f>IF(NOT(ISNUMBER($A818)),NA(),IFERROR(1*INDEX(BBG_Data!$L$2:$L$4000,MATCH($A818,BBG_Data!$K$2:$K$4000,0)),NA()))</f>
        <v/>
      </c>
      <c r="S818" s="20">
        <f>IF(AND(ISNUMBER(B818),ISNUMBER(Q818),ISNUMBER(R818)),(B818-Q818-R818)*100,NA())</f>
        <v/>
      </c>
      <c r="T818" s="20">
        <f>IF(AND(ISNUMBER(B818),Settings!$B$17&gt;0),IF(ISNUMBER(INDEX($B:$B,Settings!$B$17)),(B818-INDEX($B:$B,Settings!$B$17))*100,NA()),NA())</f>
        <v/>
      </c>
      <c r="U818" s="20">
        <f>IF(AND(ISNUMBER(Q818),Settings!$B$17&gt;0),IF(ISNUMBER(INDEX($Q:$Q,Settings!$B$17)),(Q818-INDEX($Q:$Q,Settings!$B$17))*100,NA()),NA())</f>
        <v/>
      </c>
      <c r="V818" s="20">
        <f>IF(AND(ISNUMBER(R818),Settings!$B$17&gt;0),IF(ISNUMBER(INDEX($R:$R,Settings!$B$17)),(R818-INDEX($R:$R,Settings!$B$17))*100,NA()),NA())</f>
        <v/>
      </c>
      <c r="W818" s="20">
        <f>IF(AND(ISNUMBER(P818),Settings!$B$17&gt;0),IF(ISNUMBER(INDEX($P:$P,Settings!$B$17)),P818-INDEX($P:$P,Settings!$B$17),NA()),NA())</f>
        <v/>
      </c>
      <c r="X818" s="19">
        <f>IF(NOT(ISNUMBER($A818)),NA(),IF(OR($A818&lt;MIN(DKW_10Y!$A$2:$A$2918),$A818&gt;MAX(DKW_10Y!$A$2:$A$2918),Settings!$B$16&lt;MIN(DKW_10Y!$A$2:$A$2918)),NA(),(INDEX(DKW_10Y!$B$2:$B$2918,MATCH($A818,DKW_10Y!$A$2:$A$2918,1))-INDEX(DKW_10Y!$B$2:$B$2918,MATCH(Settings!$B$16,DKW_10Y!$A$2:$A$2918,1)))*100))</f>
        <v/>
      </c>
      <c r="Y818" s="19">
        <f>IF(NOT(ISNUMBER($A818)),NA(),IF(OR($A818&lt;MIN(DKW_10Y!$A$2:$A$2918),$A818&gt;MAX(DKW_10Y!$A$2:$A$2918),Settings!$B$16&lt;MIN(DKW_10Y!$A$2:$A$2918)),NA(),(INDEX(DKW_10Y!$C$2:$C$2918,MATCH($A818,DKW_10Y!$A$2:$A$2918,1))-INDEX(DKW_10Y!$C$2:$C$2918,MATCH(Settings!$B$16,DKW_10Y!$A$2:$A$2918,1)))*100))</f>
        <v/>
      </c>
      <c r="Z818" s="19">
        <f>IF(NOT(ISNUMBER($A818)),NA(),IF(OR($A818&lt;MIN(DKW_10Y!$A$2:$A$2918),$A818&gt;MAX(DKW_10Y!$A$2:$A$2918),Settings!$B$16&lt;MIN(DKW_10Y!$A$2:$A$2918)),NA(),(INDEX(DKW_10Y!$D$2:$D$2918,MATCH($A818,DKW_10Y!$A$2:$A$2918,1))-INDEX(DKW_10Y!$D$2:$D$2918,MATCH(Settings!$B$16,DKW_10Y!$A$2:$A$2918,1)))*100))</f>
        <v/>
      </c>
      <c r="AA818" s="19">
        <f>IF(NOT(ISNUMBER($A818)),NA(),IF(OR($A818&lt;MIN(DKW_10Y!$A$2:$A$2918),$A818&gt;MAX(DKW_10Y!$A$2:$A$2918),Settings!$B$16&lt;MIN(DKW_10Y!$A$2:$A$2918)),NA(),(INDEX(DKW_10Y!$E$2:$E$2918,MATCH($A818,DKW_10Y!$A$2:$A$2918,1))-INDEX(DKW_10Y!$E$2:$E$2918,MATCH(Settings!$B$16,DKW_10Y!$A$2:$A$2918,1)))*100))</f>
        <v/>
      </c>
      <c r="AB818" s="19">
        <f>IF(NOT(ISNUMBER($A818)),NA(),IF(OR($A818&lt;MIN(DKW_10Y!$A$2:$A$2918),$A818&gt;MAX(DKW_10Y!$A$2:$A$2918),Settings!$B$16&lt;MIN(DKW_10Y!$A$2:$A$2918)),NA(),(INDEX(DKW_10Y!$H$2:$H$2918,MATCH($A818,DKW_10Y!$A$2:$A$2918,1))-INDEX(DKW_10Y!$H$2:$H$2918,MATCH(Settings!$B$16,DKW_10Y!$A$2:$A$2918,1)))*100))</f>
        <v/>
      </c>
      <c r="AC818" s="18">
        <f>IF(NOT(ISNUMBER($A818)),NA(),IFERROR(1*INDEX(BBG_Data!$N$2:$N$4000,MATCH($A818,BBG_Data!$M$2:$M$4000,0)),NA()))</f>
        <v/>
      </c>
      <c r="AD818" s="18">
        <f>IF(NOT(ISNUMBER($A818)),NA(),IFERROR(1*INDEX(BBG_Data!$P$2:$P$4000,MATCH($A818,BBG_Data!$O$2:$O$4000,0)),NA()))</f>
        <v/>
      </c>
      <c r="AE818" s="18">
        <f>IF(NOT(ISNUMBER($A818)),NA(),IFERROR(1*INDEX(BBG_Data!$R$2:$R$4000,MATCH($A818,BBG_Data!$Q$2:$Q$4000,0)),NA()))</f>
        <v/>
      </c>
      <c r="AF818" s="20">
        <f>IF(AND(ISNUMBER(B818),ISNUMBER(AC818)),(B818-AC818)*100,NA())</f>
        <v/>
      </c>
      <c r="AG818" s="20">
        <f>IF(AND(ISNUMBER(AE818),ISNUMBER(AD818)),(AE818-AD818)*100,NA())</f>
        <v/>
      </c>
      <c r="AH818" s="19">
        <f>IF(NOT(ISNUMBER($A818)),NA(),IFERROR(INDEX(BBG_Data!$T$2:$T$4000,MATCH($A818,BBG_Data!$S$2:$S$4000,0))*Settings!$B$25,NA()))</f>
        <v/>
      </c>
      <c r="AI818" s="19">
        <f>IF(NOT(ISNUMBER($A818)),NA(),IFERROR(INDEX(BBG_Data!$V$2:$V$4000,MATCH($A818,BBG_Data!$U$2:$U$4000,0))*Settings!$B$25,NA()))</f>
        <v/>
      </c>
      <c r="AJ818" s="19">
        <f>IF(NOT(ISNUMBER($A818)),NA(),IFERROR(1*INDEX(BBG_Data!$X$2:$X$4000,MATCH($A818,BBG_Data!$W$2:$W$4000,0)),NA()))</f>
        <v/>
      </c>
      <c r="AK818" s="19">
        <f>IF(NOT(ISNUMBER($A818)),NA(),IFERROR(1*INDEX(BBG_Data!$Z$2:$Z$4000,MATCH($A818,BBG_Data!$Y$2:$Y$4000,0)),NA()))</f>
        <v/>
      </c>
    </row>
    <row r="819">
      <c r="A819" s="17">
        <f>IF(ISNUMBER(BBG_Data!A819),BBG_Data!A819,"")</f>
        <v/>
      </c>
      <c r="B819" s="18">
        <f>IF(AND(ISNUMBER($A819),ISNUMBER(BBG_Data!B819)),BBG_Data!B819,NA())</f>
        <v/>
      </c>
      <c r="C819" s="18">
        <f>IF(NOT(ISNUMBER($A819)),NA(),IFERROR(1*INDEX(BBG_Data!$D$2:$D$4000,MATCH($A819,BBG_Data!$C$2:$C$4000,0)),NA()))</f>
        <v/>
      </c>
      <c r="D819" s="19">
        <f>IF(NOT(ISNUMBER($A819)),NA(),IFERROR(1*INDEX(BBG_Data!$F$2:$F$4000,MATCH($A819,BBG_Data!$E$2:$E$4000,0)),NA()))</f>
        <v/>
      </c>
      <c r="E819" s="19">
        <f>IF(NOT(ISNUMBER($A819)),NA(),IFERROR(1*INDEX(BBG_Data!$H$2:$H$4000,MATCH($A819,BBG_Data!$G$2:$G$4000,0)),NA()))</f>
        <v/>
      </c>
      <c r="F819" s="20">
        <f>IF(AND(ISNUMBER(B819),ISNUMBER(B818)),IF(B819=B818,"",(B819-B818)*100),"")</f>
        <v/>
      </c>
      <c r="G819" s="20">
        <f>IF(AND(ISNUMBER(C819),ISNUMBER(C818)),IF(C819=C818,"",(C819-C818)*100),"")</f>
        <v/>
      </c>
      <c r="H819" s="20">
        <f>IF(OR(NOT(ISNUMBER($A819)),ROW()-2&lt;Settings!$B$11),NA(),IF(COUNT(OFFSET(F819,1-Settings!$B$11,0,Settings!$B$11,1))&lt;ROUNDUP(Settings!$B$11*Settings!$B$26,0),NA(),STDEV(OFFSET(F819,1-Settings!$B$11,0,Settings!$B$11,1))*SQRT(Settings!$B$13)))</f>
        <v/>
      </c>
      <c r="I819" s="20">
        <f>IF(OR(NOT(ISNUMBER($A819)),ROW()-2&lt;Settings!$B$12),NA(),IF(COUNT(OFFSET(F819,1-Settings!$B$12,0,Settings!$B$12,1))&lt;ROUNDUP(Settings!$B$12*Settings!$B$26,0),NA(),STDEV(OFFSET(F819,1-Settings!$B$12,0,Settings!$B$12,1))*SQRT(Settings!$B$13)))</f>
        <v/>
      </c>
      <c r="J819" s="20">
        <f>IF(OR(NOT(ISNUMBER($A819)),ROW()-2&lt;Settings!$B$11),NA(),IF(COUNT(OFFSET(G819,1-Settings!$B$11,0,Settings!$B$11,1))&lt;ROUNDUP(Settings!$B$11*Settings!$B$26,0),NA(),STDEV(OFFSET(G819,1-Settings!$B$11,0,Settings!$B$11,1))*SQRT(Settings!$B$13)))</f>
        <v/>
      </c>
      <c r="K819" s="20">
        <f>IF(OR(NOT(ISNUMBER($A819)),ROW()-2&lt;Settings!$B$12),NA(),IF(COUNT(OFFSET(G819,1-Settings!$B$12,0,Settings!$B$12,1))&lt;ROUNDUP(Settings!$B$12*Settings!$B$26,0),NA(),STDEV(OFFSET(G819,1-Settings!$B$12,0,Settings!$B$12,1))*SQRT(Settings!$B$13)))</f>
        <v/>
      </c>
      <c r="L819" s="20">
        <f>IF(AND(ISNUMBER(D819),ISNUMBER(H819)),D819-H819,NA())</f>
        <v/>
      </c>
      <c r="M819" s="20">
        <f>IF(AND(ISNUMBER(E819),ISNUMBER(K819)),E819-K819,NA())</f>
        <v/>
      </c>
      <c r="N819" s="20">
        <f>IF(NOT(ISNUMBER($A819)),NA(),IF(COUNT(OFFSET(G819,1,0,Settings!$B$12,1))&lt;ROUNDUP(Settings!$B$12*Settings!$B$26,0),NA(),STDEV(OFFSET(G819,1,0,Settings!$B$12,1))*SQRT(Settings!$B$13)))</f>
        <v/>
      </c>
      <c r="O819" s="20">
        <f>IF(AND(ISNUMBER(E819),ISNUMBER(N819)),E819-N819,NA())</f>
        <v/>
      </c>
      <c r="P819" s="19">
        <f>IF(NOT(ISNUMBER($A819)),NA(),IF(OR($A819&lt;MIN(KW_TP!$A$2:$A$2501),$A819&gt;MAX(KW_TP!$A$2:$A$2501)),NA(),INDEX(KW_TP!$C$2:$C$2501,MATCH($A819,KW_TP!$A$2:$A$2501,1))))</f>
        <v/>
      </c>
      <c r="Q819" s="18">
        <f>IF(NOT(ISNUMBER($A819)),NA(),IFERROR(1*INDEX(BBG_Data!$J$2:$J$4000,MATCH($A819,BBG_Data!$I$2:$I$4000,0)),NA()))</f>
        <v/>
      </c>
      <c r="R819" s="18">
        <f>IF(NOT(ISNUMBER($A819)),NA(),IFERROR(1*INDEX(BBG_Data!$L$2:$L$4000,MATCH($A819,BBG_Data!$K$2:$K$4000,0)),NA()))</f>
        <v/>
      </c>
      <c r="S819" s="20">
        <f>IF(AND(ISNUMBER(B819),ISNUMBER(Q819),ISNUMBER(R819)),(B819-Q819-R819)*100,NA())</f>
        <v/>
      </c>
      <c r="T819" s="20">
        <f>IF(AND(ISNUMBER(B819),Settings!$B$17&gt;0),IF(ISNUMBER(INDEX($B:$B,Settings!$B$17)),(B819-INDEX($B:$B,Settings!$B$17))*100,NA()),NA())</f>
        <v/>
      </c>
      <c r="U819" s="20">
        <f>IF(AND(ISNUMBER(Q819),Settings!$B$17&gt;0),IF(ISNUMBER(INDEX($Q:$Q,Settings!$B$17)),(Q819-INDEX($Q:$Q,Settings!$B$17))*100,NA()),NA())</f>
        <v/>
      </c>
      <c r="V819" s="20">
        <f>IF(AND(ISNUMBER(R819),Settings!$B$17&gt;0),IF(ISNUMBER(INDEX($R:$R,Settings!$B$17)),(R819-INDEX($R:$R,Settings!$B$17))*100,NA()),NA())</f>
        <v/>
      </c>
      <c r="W819" s="20">
        <f>IF(AND(ISNUMBER(P819),Settings!$B$17&gt;0),IF(ISNUMBER(INDEX($P:$P,Settings!$B$17)),P819-INDEX($P:$P,Settings!$B$17),NA()),NA())</f>
        <v/>
      </c>
      <c r="X819" s="19">
        <f>IF(NOT(ISNUMBER($A819)),NA(),IF(OR($A819&lt;MIN(DKW_10Y!$A$2:$A$2918),$A819&gt;MAX(DKW_10Y!$A$2:$A$2918),Settings!$B$16&lt;MIN(DKW_10Y!$A$2:$A$2918)),NA(),(INDEX(DKW_10Y!$B$2:$B$2918,MATCH($A819,DKW_10Y!$A$2:$A$2918,1))-INDEX(DKW_10Y!$B$2:$B$2918,MATCH(Settings!$B$16,DKW_10Y!$A$2:$A$2918,1)))*100))</f>
        <v/>
      </c>
      <c r="Y819" s="19">
        <f>IF(NOT(ISNUMBER($A819)),NA(),IF(OR($A819&lt;MIN(DKW_10Y!$A$2:$A$2918),$A819&gt;MAX(DKW_10Y!$A$2:$A$2918),Settings!$B$16&lt;MIN(DKW_10Y!$A$2:$A$2918)),NA(),(INDEX(DKW_10Y!$C$2:$C$2918,MATCH($A819,DKW_10Y!$A$2:$A$2918,1))-INDEX(DKW_10Y!$C$2:$C$2918,MATCH(Settings!$B$16,DKW_10Y!$A$2:$A$2918,1)))*100))</f>
        <v/>
      </c>
      <c r="Z819" s="19">
        <f>IF(NOT(ISNUMBER($A819)),NA(),IF(OR($A819&lt;MIN(DKW_10Y!$A$2:$A$2918),$A819&gt;MAX(DKW_10Y!$A$2:$A$2918),Settings!$B$16&lt;MIN(DKW_10Y!$A$2:$A$2918)),NA(),(INDEX(DKW_10Y!$D$2:$D$2918,MATCH($A819,DKW_10Y!$A$2:$A$2918,1))-INDEX(DKW_10Y!$D$2:$D$2918,MATCH(Settings!$B$16,DKW_10Y!$A$2:$A$2918,1)))*100))</f>
        <v/>
      </c>
      <c r="AA819" s="19">
        <f>IF(NOT(ISNUMBER($A819)),NA(),IF(OR($A819&lt;MIN(DKW_10Y!$A$2:$A$2918),$A819&gt;MAX(DKW_10Y!$A$2:$A$2918),Settings!$B$16&lt;MIN(DKW_10Y!$A$2:$A$2918)),NA(),(INDEX(DKW_10Y!$E$2:$E$2918,MATCH($A819,DKW_10Y!$A$2:$A$2918,1))-INDEX(DKW_10Y!$E$2:$E$2918,MATCH(Settings!$B$16,DKW_10Y!$A$2:$A$2918,1)))*100))</f>
        <v/>
      </c>
      <c r="AB819" s="19">
        <f>IF(NOT(ISNUMBER($A819)),NA(),IF(OR($A819&lt;MIN(DKW_10Y!$A$2:$A$2918),$A819&gt;MAX(DKW_10Y!$A$2:$A$2918),Settings!$B$16&lt;MIN(DKW_10Y!$A$2:$A$2918)),NA(),(INDEX(DKW_10Y!$H$2:$H$2918,MATCH($A819,DKW_10Y!$A$2:$A$2918,1))-INDEX(DKW_10Y!$H$2:$H$2918,MATCH(Settings!$B$16,DKW_10Y!$A$2:$A$2918,1)))*100))</f>
        <v/>
      </c>
      <c r="AC819" s="18">
        <f>IF(NOT(ISNUMBER($A819)),NA(),IFERROR(1*INDEX(BBG_Data!$N$2:$N$4000,MATCH($A819,BBG_Data!$M$2:$M$4000,0)),NA()))</f>
        <v/>
      </c>
      <c r="AD819" s="18">
        <f>IF(NOT(ISNUMBER($A819)),NA(),IFERROR(1*INDEX(BBG_Data!$P$2:$P$4000,MATCH($A819,BBG_Data!$O$2:$O$4000,0)),NA()))</f>
        <v/>
      </c>
      <c r="AE819" s="18">
        <f>IF(NOT(ISNUMBER($A819)),NA(),IFERROR(1*INDEX(BBG_Data!$R$2:$R$4000,MATCH($A819,BBG_Data!$Q$2:$Q$4000,0)),NA()))</f>
        <v/>
      </c>
      <c r="AF819" s="20">
        <f>IF(AND(ISNUMBER(B819),ISNUMBER(AC819)),(B819-AC819)*100,NA())</f>
        <v/>
      </c>
      <c r="AG819" s="20">
        <f>IF(AND(ISNUMBER(AE819),ISNUMBER(AD819)),(AE819-AD819)*100,NA())</f>
        <v/>
      </c>
      <c r="AH819" s="19">
        <f>IF(NOT(ISNUMBER($A819)),NA(),IFERROR(INDEX(BBG_Data!$T$2:$T$4000,MATCH($A819,BBG_Data!$S$2:$S$4000,0))*Settings!$B$25,NA()))</f>
        <v/>
      </c>
      <c r="AI819" s="19">
        <f>IF(NOT(ISNUMBER($A819)),NA(),IFERROR(INDEX(BBG_Data!$V$2:$V$4000,MATCH($A819,BBG_Data!$U$2:$U$4000,0))*Settings!$B$25,NA()))</f>
        <v/>
      </c>
      <c r="AJ819" s="19">
        <f>IF(NOT(ISNUMBER($A819)),NA(),IFERROR(1*INDEX(BBG_Data!$X$2:$X$4000,MATCH($A819,BBG_Data!$W$2:$W$4000,0)),NA()))</f>
        <v/>
      </c>
      <c r="AK819" s="19">
        <f>IF(NOT(ISNUMBER($A819)),NA(),IFERROR(1*INDEX(BBG_Data!$Z$2:$Z$4000,MATCH($A819,BBG_Data!$Y$2:$Y$4000,0)),NA()))</f>
        <v/>
      </c>
    </row>
    <row r="820">
      <c r="A820" s="17">
        <f>IF(ISNUMBER(BBG_Data!A820),BBG_Data!A820,"")</f>
        <v/>
      </c>
      <c r="B820" s="18">
        <f>IF(AND(ISNUMBER($A820),ISNUMBER(BBG_Data!B820)),BBG_Data!B820,NA())</f>
        <v/>
      </c>
      <c r="C820" s="18">
        <f>IF(NOT(ISNUMBER($A820)),NA(),IFERROR(1*INDEX(BBG_Data!$D$2:$D$4000,MATCH($A820,BBG_Data!$C$2:$C$4000,0)),NA()))</f>
        <v/>
      </c>
      <c r="D820" s="19">
        <f>IF(NOT(ISNUMBER($A820)),NA(),IFERROR(1*INDEX(BBG_Data!$F$2:$F$4000,MATCH($A820,BBG_Data!$E$2:$E$4000,0)),NA()))</f>
        <v/>
      </c>
      <c r="E820" s="19">
        <f>IF(NOT(ISNUMBER($A820)),NA(),IFERROR(1*INDEX(BBG_Data!$H$2:$H$4000,MATCH($A820,BBG_Data!$G$2:$G$4000,0)),NA()))</f>
        <v/>
      </c>
      <c r="F820" s="20">
        <f>IF(AND(ISNUMBER(B820),ISNUMBER(B819)),IF(B820=B819,"",(B820-B819)*100),"")</f>
        <v/>
      </c>
      <c r="G820" s="20">
        <f>IF(AND(ISNUMBER(C820),ISNUMBER(C819)),IF(C820=C819,"",(C820-C819)*100),"")</f>
        <v/>
      </c>
      <c r="H820" s="20">
        <f>IF(OR(NOT(ISNUMBER($A820)),ROW()-2&lt;Settings!$B$11),NA(),IF(COUNT(OFFSET(F820,1-Settings!$B$11,0,Settings!$B$11,1))&lt;ROUNDUP(Settings!$B$11*Settings!$B$26,0),NA(),STDEV(OFFSET(F820,1-Settings!$B$11,0,Settings!$B$11,1))*SQRT(Settings!$B$13)))</f>
        <v/>
      </c>
      <c r="I820" s="20">
        <f>IF(OR(NOT(ISNUMBER($A820)),ROW()-2&lt;Settings!$B$12),NA(),IF(COUNT(OFFSET(F820,1-Settings!$B$12,0,Settings!$B$12,1))&lt;ROUNDUP(Settings!$B$12*Settings!$B$26,0),NA(),STDEV(OFFSET(F820,1-Settings!$B$12,0,Settings!$B$12,1))*SQRT(Settings!$B$13)))</f>
        <v/>
      </c>
      <c r="J820" s="20">
        <f>IF(OR(NOT(ISNUMBER($A820)),ROW()-2&lt;Settings!$B$11),NA(),IF(COUNT(OFFSET(G820,1-Settings!$B$11,0,Settings!$B$11,1))&lt;ROUNDUP(Settings!$B$11*Settings!$B$26,0),NA(),STDEV(OFFSET(G820,1-Settings!$B$11,0,Settings!$B$11,1))*SQRT(Settings!$B$13)))</f>
        <v/>
      </c>
      <c r="K820" s="20">
        <f>IF(OR(NOT(ISNUMBER($A820)),ROW()-2&lt;Settings!$B$12),NA(),IF(COUNT(OFFSET(G820,1-Settings!$B$12,0,Settings!$B$12,1))&lt;ROUNDUP(Settings!$B$12*Settings!$B$26,0),NA(),STDEV(OFFSET(G820,1-Settings!$B$12,0,Settings!$B$12,1))*SQRT(Settings!$B$13)))</f>
        <v/>
      </c>
      <c r="L820" s="20">
        <f>IF(AND(ISNUMBER(D820),ISNUMBER(H820)),D820-H820,NA())</f>
        <v/>
      </c>
      <c r="M820" s="20">
        <f>IF(AND(ISNUMBER(E820),ISNUMBER(K820)),E820-K820,NA())</f>
        <v/>
      </c>
      <c r="N820" s="20">
        <f>IF(NOT(ISNUMBER($A820)),NA(),IF(COUNT(OFFSET(G820,1,0,Settings!$B$12,1))&lt;ROUNDUP(Settings!$B$12*Settings!$B$26,0),NA(),STDEV(OFFSET(G820,1,0,Settings!$B$12,1))*SQRT(Settings!$B$13)))</f>
        <v/>
      </c>
      <c r="O820" s="20">
        <f>IF(AND(ISNUMBER(E820),ISNUMBER(N820)),E820-N820,NA())</f>
        <v/>
      </c>
      <c r="P820" s="19">
        <f>IF(NOT(ISNUMBER($A820)),NA(),IF(OR($A820&lt;MIN(KW_TP!$A$2:$A$2501),$A820&gt;MAX(KW_TP!$A$2:$A$2501)),NA(),INDEX(KW_TP!$C$2:$C$2501,MATCH($A820,KW_TP!$A$2:$A$2501,1))))</f>
        <v/>
      </c>
      <c r="Q820" s="18">
        <f>IF(NOT(ISNUMBER($A820)),NA(),IFERROR(1*INDEX(BBG_Data!$J$2:$J$4000,MATCH($A820,BBG_Data!$I$2:$I$4000,0)),NA()))</f>
        <v/>
      </c>
      <c r="R820" s="18">
        <f>IF(NOT(ISNUMBER($A820)),NA(),IFERROR(1*INDEX(BBG_Data!$L$2:$L$4000,MATCH($A820,BBG_Data!$K$2:$K$4000,0)),NA()))</f>
        <v/>
      </c>
      <c r="S820" s="20">
        <f>IF(AND(ISNUMBER(B820),ISNUMBER(Q820),ISNUMBER(R820)),(B820-Q820-R820)*100,NA())</f>
        <v/>
      </c>
      <c r="T820" s="20">
        <f>IF(AND(ISNUMBER(B820),Settings!$B$17&gt;0),IF(ISNUMBER(INDEX($B:$B,Settings!$B$17)),(B820-INDEX($B:$B,Settings!$B$17))*100,NA()),NA())</f>
        <v/>
      </c>
      <c r="U820" s="20">
        <f>IF(AND(ISNUMBER(Q820),Settings!$B$17&gt;0),IF(ISNUMBER(INDEX($Q:$Q,Settings!$B$17)),(Q820-INDEX($Q:$Q,Settings!$B$17))*100,NA()),NA())</f>
        <v/>
      </c>
      <c r="V820" s="20">
        <f>IF(AND(ISNUMBER(R820),Settings!$B$17&gt;0),IF(ISNUMBER(INDEX($R:$R,Settings!$B$17)),(R820-INDEX($R:$R,Settings!$B$17))*100,NA()),NA())</f>
        <v/>
      </c>
      <c r="W820" s="20">
        <f>IF(AND(ISNUMBER(P820),Settings!$B$17&gt;0),IF(ISNUMBER(INDEX($P:$P,Settings!$B$17)),P820-INDEX($P:$P,Settings!$B$17),NA()),NA())</f>
        <v/>
      </c>
      <c r="X820" s="19">
        <f>IF(NOT(ISNUMBER($A820)),NA(),IF(OR($A820&lt;MIN(DKW_10Y!$A$2:$A$2918),$A820&gt;MAX(DKW_10Y!$A$2:$A$2918),Settings!$B$16&lt;MIN(DKW_10Y!$A$2:$A$2918)),NA(),(INDEX(DKW_10Y!$B$2:$B$2918,MATCH($A820,DKW_10Y!$A$2:$A$2918,1))-INDEX(DKW_10Y!$B$2:$B$2918,MATCH(Settings!$B$16,DKW_10Y!$A$2:$A$2918,1)))*100))</f>
        <v/>
      </c>
      <c r="Y820" s="19">
        <f>IF(NOT(ISNUMBER($A820)),NA(),IF(OR($A820&lt;MIN(DKW_10Y!$A$2:$A$2918),$A820&gt;MAX(DKW_10Y!$A$2:$A$2918),Settings!$B$16&lt;MIN(DKW_10Y!$A$2:$A$2918)),NA(),(INDEX(DKW_10Y!$C$2:$C$2918,MATCH($A820,DKW_10Y!$A$2:$A$2918,1))-INDEX(DKW_10Y!$C$2:$C$2918,MATCH(Settings!$B$16,DKW_10Y!$A$2:$A$2918,1)))*100))</f>
        <v/>
      </c>
      <c r="Z820" s="19">
        <f>IF(NOT(ISNUMBER($A820)),NA(),IF(OR($A820&lt;MIN(DKW_10Y!$A$2:$A$2918),$A820&gt;MAX(DKW_10Y!$A$2:$A$2918),Settings!$B$16&lt;MIN(DKW_10Y!$A$2:$A$2918)),NA(),(INDEX(DKW_10Y!$D$2:$D$2918,MATCH($A820,DKW_10Y!$A$2:$A$2918,1))-INDEX(DKW_10Y!$D$2:$D$2918,MATCH(Settings!$B$16,DKW_10Y!$A$2:$A$2918,1)))*100))</f>
        <v/>
      </c>
      <c r="AA820" s="19">
        <f>IF(NOT(ISNUMBER($A820)),NA(),IF(OR($A820&lt;MIN(DKW_10Y!$A$2:$A$2918),$A820&gt;MAX(DKW_10Y!$A$2:$A$2918),Settings!$B$16&lt;MIN(DKW_10Y!$A$2:$A$2918)),NA(),(INDEX(DKW_10Y!$E$2:$E$2918,MATCH($A820,DKW_10Y!$A$2:$A$2918,1))-INDEX(DKW_10Y!$E$2:$E$2918,MATCH(Settings!$B$16,DKW_10Y!$A$2:$A$2918,1)))*100))</f>
        <v/>
      </c>
      <c r="AB820" s="19">
        <f>IF(NOT(ISNUMBER($A820)),NA(),IF(OR($A820&lt;MIN(DKW_10Y!$A$2:$A$2918),$A820&gt;MAX(DKW_10Y!$A$2:$A$2918),Settings!$B$16&lt;MIN(DKW_10Y!$A$2:$A$2918)),NA(),(INDEX(DKW_10Y!$H$2:$H$2918,MATCH($A820,DKW_10Y!$A$2:$A$2918,1))-INDEX(DKW_10Y!$H$2:$H$2918,MATCH(Settings!$B$16,DKW_10Y!$A$2:$A$2918,1)))*100))</f>
        <v/>
      </c>
      <c r="AC820" s="18">
        <f>IF(NOT(ISNUMBER($A820)),NA(),IFERROR(1*INDEX(BBG_Data!$N$2:$N$4000,MATCH($A820,BBG_Data!$M$2:$M$4000,0)),NA()))</f>
        <v/>
      </c>
      <c r="AD820" s="18">
        <f>IF(NOT(ISNUMBER($A820)),NA(),IFERROR(1*INDEX(BBG_Data!$P$2:$P$4000,MATCH($A820,BBG_Data!$O$2:$O$4000,0)),NA()))</f>
        <v/>
      </c>
      <c r="AE820" s="18">
        <f>IF(NOT(ISNUMBER($A820)),NA(),IFERROR(1*INDEX(BBG_Data!$R$2:$R$4000,MATCH($A820,BBG_Data!$Q$2:$Q$4000,0)),NA()))</f>
        <v/>
      </c>
      <c r="AF820" s="20">
        <f>IF(AND(ISNUMBER(B820),ISNUMBER(AC820)),(B820-AC820)*100,NA())</f>
        <v/>
      </c>
      <c r="AG820" s="20">
        <f>IF(AND(ISNUMBER(AE820),ISNUMBER(AD820)),(AE820-AD820)*100,NA())</f>
        <v/>
      </c>
      <c r="AH820" s="19">
        <f>IF(NOT(ISNUMBER($A820)),NA(),IFERROR(INDEX(BBG_Data!$T$2:$T$4000,MATCH($A820,BBG_Data!$S$2:$S$4000,0))*Settings!$B$25,NA()))</f>
        <v/>
      </c>
      <c r="AI820" s="19">
        <f>IF(NOT(ISNUMBER($A820)),NA(),IFERROR(INDEX(BBG_Data!$V$2:$V$4000,MATCH($A820,BBG_Data!$U$2:$U$4000,0))*Settings!$B$25,NA()))</f>
        <v/>
      </c>
      <c r="AJ820" s="19">
        <f>IF(NOT(ISNUMBER($A820)),NA(),IFERROR(1*INDEX(BBG_Data!$X$2:$X$4000,MATCH($A820,BBG_Data!$W$2:$W$4000,0)),NA()))</f>
        <v/>
      </c>
      <c r="AK820" s="19">
        <f>IF(NOT(ISNUMBER($A820)),NA(),IFERROR(1*INDEX(BBG_Data!$Z$2:$Z$4000,MATCH($A820,BBG_Data!$Y$2:$Y$4000,0)),NA()))</f>
        <v/>
      </c>
    </row>
    <row r="821">
      <c r="A821" s="17">
        <f>IF(ISNUMBER(BBG_Data!A821),BBG_Data!A821,"")</f>
        <v/>
      </c>
      <c r="B821" s="18">
        <f>IF(AND(ISNUMBER($A821),ISNUMBER(BBG_Data!B821)),BBG_Data!B821,NA())</f>
        <v/>
      </c>
      <c r="C821" s="18">
        <f>IF(NOT(ISNUMBER($A821)),NA(),IFERROR(1*INDEX(BBG_Data!$D$2:$D$4000,MATCH($A821,BBG_Data!$C$2:$C$4000,0)),NA()))</f>
        <v/>
      </c>
      <c r="D821" s="19">
        <f>IF(NOT(ISNUMBER($A821)),NA(),IFERROR(1*INDEX(BBG_Data!$F$2:$F$4000,MATCH($A821,BBG_Data!$E$2:$E$4000,0)),NA()))</f>
        <v/>
      </c>
      <c r="E821" s="19">
        <f>IF(NOT(ISNUMBER($A821)),NA(),IFERROR(1*INDEX(BBG_Data!$H$2:$H$4000,MATCH($A821,BBG_Data!$G$2:$G$4000,0)),NA()))</f>
        <v/>
      </c>
      <c r="F821" s="20">
        <f>IF(AND(ISNUMBER(B821),ISNUMBER(B820)),IF(B821=B820,"",(B821-B820)*100),"")</f>
        <v/>
      </c>
      <c r="G821" s="20">
        <f>IF(AND(ISNUMBER(C821),ISNUMBER(C820)),IF(C821=C820,"",(C821-C820)*100),"")</f>
        <v/>
      </c>
      <c r="H821" s="20">
        <f>IF(OR(NOT(ISNUMBER($A821)),ROW()-2&lt;Settings!$B$11),NA(),IF(COUNT(OFFSET(F821,1-Settings!$B$11,0,Settings!$B$11,1))&lt;ROUNDUP(Settings!$B$11*Settings!$B$26,0),NA(),STDEV(OFFSET(F821,1-Settings!$B$11,0,Settings!$B$11,1))*SQRT(Settings!$B$13)))</f>
        <v/>
      </c>
      <c r="I821" s="20">
        <f>IF(OR(NOT(ISNUMBER($A821)),ROW()-2&lt;Settings!$B$12),NA(),IF(COUNT(OFFSET(F821,1-Settings!$B$12,0,Settings!$B$12,1))&lt;ROUNDUP(Settings!$B$12*Settings!$B$26,0),NA(),STDEV(OFFSET(F821,1-Settings!$B$12,0,Settings!$B$12,1))*SQRT(Settings!$B$13)))</f>
        <v/>
      </c>
      <c r="J821" s="20">
        <f>IF(OR(NOT(ISNUMBER($A821)),ROW()-2&lt;Settings!$B$11),NA(),IF(COUNT(OFFSET(G821,1-Settings!$B$11,0,Settings!$B$11,1))&lt;ROUNDUP(Settings!$B$11*Settings!$B$26,0),NA(),STDEV(OFFSET(G821,1-Settings!$B$11,0,Settings!$B$11,1))*SQRT(Settings!$B$13)))</f>
        <v/>
      </c>
      <c r="K821" s="20">
        <f>IF(OR(NOT(ISNUMBER($A821)),ROW()-2&lt;Settings!$B$12),NA(),IF(COUNT(OFFSET(G821,1-Settings!$B$12,0,Settings!$B$12,1))&lt;ROUNDUP(Settings!$B$12*Settings!$B$26,0),NA(),STDEV(OFFSET(G821,1-Settings!$B$12,0,Settings!$B$12,1))*SQRT(Settings!$B$13)))</f>
        <v/>
      </c>
      <c r="L821" s="20">
        <f>IF(AND(ISNUMBER(D821),ISNUMBER(H821)),D821-H821,NA())</f>
        <v/>
      </c>
      <c r="M821" s="20">
        <f>IF(AND(ISNUMBER(E821),ISNUMBER(K821)),E821-K821,NA())</f>
        <v/>
      </c>
      <c r="N821" s="20">
        <f>IF(NOT(ISNUMBER($A821)),NA(),IF(COUNT(OFFSET(G821,1,0,Settings!$B$12,1))&lt;ROUNDUP(Settings!$B$12*Settings!$B$26,0),NA(),STDEV(OFFSET(G821,1,0,Settings!$B$12,1))*SQRT(Settings!$B$13)))</f>
        <v/>
      </c>
      <c r="O821" s="20">
        <f>IF(AND(ISNUMBER(E821),ISNUMBER(N821)),E821-N821,NA())</f>
        <v/>
      </c>
      <c r="P821" s="19">
        <f>IF(NOT(ISNUMBER($A821)),NA(),IF(OR($A821&lt;MIN(KW_TP!$A$2:$A$2501),$A821&gt;MAX(KW_TP!$A$2:$A$2501)),NA(),INDEX(KW_TP!$C$2:$C$2501,MATCH($A821,KW_TP!$A$2:$A$2501,1))))</f>
        <v/>
      </c>
      <c r="Q821" s="18">
        <f>IF(NOT(ISNUMBER($A821)),NA(),IFERROR(1*INDEX(BBG_Data!$J$2:$J$4000,MATCH($A821,BBG_Data!$I$2:$I$4000,0)),NA()))</f>
        <v/>
      </c>
      <c r="R821" s="18">
        <f>IF(NOT(ISNUMBER($A821)),NA(),IFERROR(1*INDEX(BBG_Data!$L$2:$L$4000,MATCH($A821,BBG_Data!$K$2:$K$4000,0)),NA()))</f>
        <v/>
      </c>
      <c r="S821" s="20">
        <f>IF(AND(ISNUMBER(B821),ISNUMBER(Q821),ISNUMBER(R821)),(B821-Q821-R821)*100,NA())</f>
        <v/>
      </c>
      <c r="T821" s="20">
        <f>IF(AND(ISNUMBER(B821),Settings!$B$17&gt;0),IF(ISNUMBER(INDEX($B:$B,Settings!$B$17)),(B821-INDEX($B:$B,Settings!$B$17))*100,NA()),NA())</f>
        <v/>
      </c>
      <c r="U821" s="20">
        <f>IF(AND(ISNUMBER(Q821),Settings!$B$17&gt;0),IF(ISNUMBER(INDEX($Q:$Q,Settings!$B$17)),(Q821-INDEX($Q:$Q,Settings!$B$17))*100,NA()),NA())</f>
        <v/>
      </c>
      <c r="V821" s="20">
        <f>IF(AND(ISNUMBER(R821),Settings!$B$17&gt;0),IF(ISNUMBER(INDEX($R:$R,Settings!$B$17)),(R821-INDEX($R:$R,Settings!$B$17))*100,NA()),NA())</f>
        <v/>
      </c>
      <c r="W821" s="20">
        <f>IF(AND(ISNUMBER(P821),Settings!$B$17&gt;0),IF(ISNUMBER(INDEX($P:$P,Settings!$B$17)),P821-INDEX($P:$P,Settings!$B$17),NA()),NA())</f>
        <v/>
      </c>
      <c r="X821" s="19">
        <f>IF(NOT(ISNUMBER($A821)),NA(),IF(OR($A821&lt;MIN(DKW_10Y!$A$2:$A$2918),$A821&gt;MAX(DKW_10Y!$A$2:$A$2918),Settings!$B$16&lt;MIN(DKW_10Y!$A$2:$A$2918)),NA(),(INDEX(DKW_10Y!$B$2:$B$2918,MATCH($A821,DKW_10Y!$A$2:$A$2918,1))-INDEX(DKW_10Y!$B$2:$B$2918,MATCH(Settings!$B$16,DKW_10Y!$A$2:$A$2918,1)))*100))</f>
        <v/>
      </c>
      <c r="Y821" s="19">
        <f>IF(NOT(ISNUMBER($A821)),NA(),IF(OR($A821&lt;MIN(DKW_10Y!$A$2:$A$2918),$A821&gt;MAX(DKW_10Y!$A$2:$A$2918),Settings!$B$16&lt;MIN(DKW_10Y!$A$2:$A$2918)),NA(),(INDEX(DKW_10Y!$C$2:$C$2918,MATCH($A821,DKW_10Y!$A$2:$A$2918,1))-INDEX(DKW_10Y!$C$2:$C$2918,MATCH(Settings!$B$16,DKW_10Y!$A$2:$A$2918,1)))*100))</f>
        <v/>
      </c>
      <c r="Z821" s="19">
        <f>IF(NOT(ISNUMBER($A821)),NA(),IF(OR($A821&lt;MIN(DKW_10Y!$A$2:$A$2918),$A821&gt;MAX(DKW_10Y!$A$2:$A$2918),Settings!$B$16&lt;MIN(DKW_10Y!$A$2:$A$2918)),NA(),(INDEX(DKW_10Y!$D$2:$D$2918,MATCH($A821,DKW_10Y!$A$2:$A$2918,1))-INDEX(DKW_10Y!$D$2:$D$2918,MATCH(Settings!$B$16,DKW_10Y!$A$2:$A$2918,1)))*100))</f>
        <v/>
      </c>
      <c r="AA821" s="19">
        <f>IF(NOT(ISNUMBER($A821)),NA(),IF(OR($A821&lt;MIN(DKW_10Y!$A$2:$A$2918),$A821&gt;MAX(DKW_10Y!$A$2:$A$2918),Settings!$B$16&lt;MIN(DKW_10Y!$A$2:$A$2918)),NA(),(INDEX(DKW_10Y!$E$2:$E$2918,MATCH($A821,DKW_10Y!$A$2:$A$2918,1))-INDEX(DKW_10Y!$E$2:$E$2918,MATCH(Settings!$B$16,DKW_10Y!$A$2:$A$2918,1)))*100))</f>
        <v/>
      </c>
      <c r="AB821" s="19">
        <f>IF(NOT(ISNUMBER($A821)),NA(),IF(OR($A821&lt;MIN(DKW_10Y!$A$2:$A$2918),$A821&gt;MAX(DKW_10Y!$A$2:$A$2918),Settings!$B$16&lt;MIN(DKW_10Y!$A$2:$A$2918)),NA(),(INDEX(DKW_10Y!$H$2:$H$2918,MATCH($A821,DKW_10Y!$A$2:$A$2918,1))-INDEX(DKW_10Y!$H$2:$H$2918,MATCH(Settings!$B$16,DKW_10Y!$A$2:$A$2918,1)))*100))</f>
        <v/>
      </c>
      <c r="AC821" s="18">
        <f>IF(NOT(ISNUMBER($A821)),NA(),IFERROR(1*INDEX(BBG_Data!$N$2:$N$4000,MATCH($A821,BBG_Data!$M$2:$M$4000,0)),NA()))</f>
        <v/>
      </c>
      <c r="AD821" s="18">
        <f>IF(NOT(ISNUMBER($A821)),NA(),IFERROR(1*INDEX(BBG_Data!$P$2:$P$4000,MATCH($A821,BBG_Data!$O$2:$O$4000,0)),NA()))</f>
        <v/>
      </c>
      <c r="AE821" s="18">
        <f>IF(NOT(ISNUMBER($A821)),NA(),IFERROR(1*INDEX(BBG_Data!$R$2:$R$4000,MATCH($A821,BBG_Data!$Q$2:$Q$4000,0)),NA()))</f>
        <v/>
      </c>
      <c r="AF821" s="20">
        <f>IF(AND(ISNUMBER(B821),ISNUMBER(AC821)),(B821-AC821)*100,NA())</f>
        <v/>
      </c>
      <c r="AG821" s="20">
        <f>IF(AND(ISNUMBER(AE821),ISNUMBER(AD821)),(AE821-AD821)*100,NA())</f>
        <v/>
      </c>
      <c r="AH821" s="19">
        <f>IF(NOT(ISNUMBER($A821)),NA(),IFERROR(INDEX(BBG_Data!$T$2:$T$4000,MATCH($A821,BBG_Data!$S$2:$S$4000,0))*Settings!$B$25,NA()))</f>
        <v/>
      </c>
      <c r="AI821" s="19">
        <f>IF(NOT(ISNUMBER($A821)),NA(),IFERROR(INDEX(BBG_Data!$V$2:$V$4000,MATCH($A821,BBG_Data!$U$2:$U$4000,0))*Settings!$B$25,NA()))</f>
        <v/>
      </c>
      <c r="AJ821" s="19">
        <f>IF(NOT(ISNUMBER($A821)),NA(),IFERROR(1*INDEX(BBG_Data!$X$2:$X$4000,MATCH($A821,BBG_Data!$W$2:$W$4000,0)),NA()))</f>
        <v/>
      </c>
      <c r="AK821" s="19">
        <f>IF(NOT(ISNUMBER($A821)),NA(),IFERROR(1*INDEX(BBG_Data!$Z$2:$Z$4000,MATCH($A821,BBG_Data!$Y$2:$Y$4000,0)),NA()))</f>
        <v/>
      </c>
    </row>
    <row r="822">
      <c r="A822" s="17">
        <f>IF(ISNUMBER(BBG_Data!A822),BBG_Data!A822,"")</f>
        <v/>
      </c>
      <c r="B822" s="18">
        <f>IF(AND(ISNUMBER($A822),ISNUMBER(BBG_Data!B822)),BBG_Data!B822,NA())</f>
        <v/>
      </c>
      <c r="C822" s="18">
        <f>IF(NOT(ISNUMBER($A822)),NA(),IFERROR(1*INDEX(BBG_Data!$D$2:$D$4000,MATCH($A822,BBG_Data!$C$2:$C$4000,0)),NA()))</f>
        <v/>
      </c>
      <c r="D822" s="19">
        <f>IF(NOT(ISNUMBER($A822)),NA(),IFERROR(1*INDEX(BBG_Data!$F$2:$F$4000,MATCH($A822,BBG_Data!$E$2:$E$4000,0)),NA()))</f>
        <v/>
      </c>
      <c r="E822" s="19">
        <f>IF(NOT(ISNUMBER($A822)),NA(),IFERROR(1*INDEX(BBG_Data!$H$2:$H$4000,MATCH($A822,BBG_Data!$G$2:$G$4000,0)),NA()))</f>
        <v/>
      </c>
      <c r="F822" s="20">
        <f>IF(AND(ISNUMBER(B822),ISNUMBER(B821)),IF(B822=B821,"",(B822-B821)*100),"")</f>
        <v/>
      </c>
      <c r="G822" s="20">
        <f>IF(AND(ISNUMBER(C822),ISNUMBER(C821)),IF(C822=C821,"",(C822-C821)*100),"")</f>
        <v/>
      </c>
      <c r="H822" s="20">
        <f>IF(OR(NOT(ISNUMBER($A822)),ROW()-2&lt;Settings!$B$11),NA(),IF(COUNT(OFFSET(F822,1-Settings!$B$11,0,Settings!$B$11,1))&lt;ROUNDUP(Settings!$B$11*Settings!$B$26,0),NA(),STDEV(OFFSET(F822,1-Settings!$B$11,0,Settings!$B$11,1))*SQRT(Settings!$B$13)))</f>
        <v/>
      </c>
      <c r="I822" s="20">
        <f>IF(OR(NOT(ISNUMBER($A822)),ROW()-2&lt;Settings!$B$12),NA(),IF(COUNT(OFFSET(F822,1-Settings!$B$12,0,Settings!$B$12,1))&lt;ROUNDUP(Settings!$B$12*Settings!$B$26,0),NA(),STDEV(OFFSET(F822,1-Settings!$B$12,0,Settings!$B$12,1))*SQRT(Settings!$B$13)))</f>
        <v/>
      </c>
      <c r="J822" s="20">
        <f>IF(OR(NOT(ISNUMBER($A822)),ROW()-2&lt;Settings!$B$11),NA(),IF(COUNT(OFFSET(G822,1-Settings!$B$11,0,Settings!$B$11,1))&lt;ROUNDUP(Settings!$B$11*Settings!$B$26,0),NA(),STDEV(OFFSET(G822,1-Settings!$B$11,0,Settings!$B$11,1))*SQRT(Settings!$B$13)))</f>
        <v/>
      </c>
      <c r="K822" s="20">
        <f>IF(OR(NOT(ISNUMBER($A822)),ROW()-2&lt;Settings!$B$12),NA(),IF(COUNT(OFFSET(G822,1-Settings!$B$12,0,Settings!$B$12,1))&lt;ROUNDUP(Settings!$B$12*Settings!$B$26,0),NA(),STDEV(OFFSET(G822,1-Settings!$B$12,0,Settings!$B$12,1))*SQRT(Settings!$B$13)))</f>
        <v/>
      </c>
      <c r="L822" s="20">
        <f>IF(AND(ISNUMBER(D822),ISNUMBER(H822)),D822-H822,NA())</f>
        <v/>
      </c>
      <c r="M822" s="20">
        <f>IF(AND(ISNUMBER(E822),ISNUMBER(K822)),E822-K822,NA())</f>
        <v/>
      </c>
      <c r="N822" s="20">
        <f>IF(NOT(ISNUMBER($A822)),NA(),IF(COUNT(OFFSET(G822,1,0,Settings!$B$12,1))&lt;ROUNDUP(Settings!$B$12*Settings!$B$26,0),NA(),STDEV(OFFSET(G822,1,0,Settings!$B$12,1))*SQRT(Settings!$B$13)))</f>
        <v/>
      </c>
      <c r="O822" s="20">
        <f>IF(AND(ISNUMBER(E822),ISNUMBER(N822)),E822-N822,NA())</f>
        <v/>
      </c>
      <c r="P822" s="19">
        <f>IF(NOT(ISNUMBER($A822)),NA(),IF(OR($A822&lt;MIN(KW_TP!$A$2:$A$2501),$A822&gt;MAX(KW_TP!$A$2:$A$2501)),NA(),INDEX(KW_TP!$C$2:$C$2501,MATCH($A822,KW_TP!$A$2:$A$2501,1))))</f>
        <v/>
      </c>
      <c r="Q822" s="18">
        <f>IF(NOT(ISNUMBER($A822)),NA(),IFERROR(1*INDEX(BBG_Data!$J$2:$J$4000,MATCH($A822,BBG_Data!$I$2:$I$4000,0)),NA()))</f>
        <v/>
      </c>
      <c r="R822" s="18">
        <f>IF(NOT(ISNUMBER($A822)),NA(),IFERROR(1*INDEX(BBG_Data!$L$2:$L$4000,MATCH($A822,BBG_Data!$K$2:$K$4000,0)),NA()))</f>
        <v/>
      </c>
      <c r="S822" s="20">
        <f>IF(AND(ISNUMBER(B822),ISNUMBER(Q822),ISNUMBER(R822)),(B822-Q822-R822)*100,NA())</f>
        <v/>
      </c>
      <c r="T822" s="20">
        <f>IF(AND(ISNUMBER(B822),Settings!$B$17&gt;0),IF(ISNUMBER(INDEX($B:$B,Settings!$B$17)),(B822-INDEX($B:$B,Settings!$B$17))*100,NA()),NA())</f>
        <v/>
      </c>
      <c r="U822" s="20">
        <f>IF(AND(ISNUMBER(Q822),Settings!$B$17&gt;0),IF(ISNUMBER(INDEX($Q:$Q,Settings!$B$17)),(Q822-INDEX($Q:$Q,Settings!$B$17))*100,NA()),NA())</f>
        <v/>
      </c>
      <c r="V822" s="20">
        <f>IF(AND(ISNUMBER(R822),Settings!$B$17&gt;0),IF(ISNUMBER(INDEX($R:$R,Settings!$B$17)),(R822-INDEX($R:$R,Settings!$B$17))*100,NA()),NA())</f>
        <v/>
      </c>
      <c r="W822" s="20">
        <f>IF(AND(ISNUMBER(P822),Settings!$B$17&gt;0),IF(ISNUMBER(INDEX($P:$P,Settings!$B$17)),P822-INDEX($P:$P,Settings!$B$17),NA()),NA())</f>
        <v/>
      </c>
      <c r="X822" s="19">
        <f>IF(NOT(ISNUMBER($A822)),NA(),IF(OR($A822&lt;MIN(DKW_10Y!$A$2:$A$2918),$A822&gt;MAX(DKW_10Y!$A$2:$A$2918),Settings!$B$16&lt;MIN(DKW_10Y!$A$2:$A$2918)),NA(),(INDEX(DKW_10Y!$B$2:$B$2918,MATCH($A822,DKW_10Y!$A$2:$A$2918,1))-INDEX(DKW_10Y!$B$2:$B$2918,MATCH(Settings!$B$16,DKW_10Y!$A$2:$A$2918,1)))*100))</f>
        <v/>
      </c>
      <c r="Y822" s="19">
        <f>IF(NOT(ISNUMBER($A822)),NA(),IF(OR($A822&lt;MIN(DKW_10Y!$A$2:$A$2918),$A822&gt;MAX(DKW_10Y!$A$2:$A$2918),Settings!$B$16&lt;MIN(DKW_10Y!$A$2:$A$2918)),NA(),(INDEX(DKW_10Y!$C$2:$C$2918,MATCH($A822,DKW_10Y!$A$2:$A$2918,1))-INDEX(DKW_10Y!$C$2:$C$2918,MATCH(Settings!$B$16,DKW_10Y!$A$2:$A$2918,1)))*100))</f>
        <v/>
      </c>
      <c r="Z822" s="19">
        <f>IF(NOT(ISNUMBER($A822)),NA(),IF(OR($A822&lt;MIN(DKW_10Y!$A$2:$A$2918),$A822&gt;MAX(DKW_10Y!$A$2:$A$2918),Settings!$B$16&lt;MIN(DKW_10Y!$A$2:$A$2918)),NA(),(INDEX(DKW_10Y!$D$2:$D$2918,MATCH($A822,DKW_10Y!$A$2:$A$2918,1))-INDEX(DKW_10Y!$D$2:$D$2918,MATCH(Settings!$B$16,DKW_10Y!$A$2:$A$2918,1)))*100))</f>
        <v/>
      </c>
      <c r="AA822" s="19">
        <f>IF(NOT(ISNUMBER($A822)),NA(),IF(OR($A822&lt;MIN(DKW_10Y!$A$2:$A$2918),$A822&gt;MAX(DKW_10Y!$A$2:$A$2918),Settings!$B$16&lt;MIN(DKW_10Y!$A$2:$A$2918)),NA(),(INDEX(DKW_10Y!$E$2:$E$2918,MATCH($A822,DKW_10Y!$A$2:$A$2918,1))-INDEX(DKW_10Y!$E$2:$E$2918,MATCH(Settings!$B$16,DKW_10Y!$A$2:$A$2918,1)))*100))</f>
        <v/>
      </c>
      <c r="AB822" s="19">
        <f>IF(NOT(ISNUMBER($A822)),NA(),IF(OR($A822&lt;MIN(DKW_10Y!$A$2:$A$2918),$A822&gt;MAX(DKW_10Y!$A$2:$A$2918),Settings!$B$16&lt;MIN(DKW_10Y!$A$2:$A$2918)),NA(),(INDEX(DKW_10Y!$H$2:$H$2918,MATCH($A822,DKW_10Y!$A$2:$A$2918,1))-INDEX(DKW_10Y!$H$2:$H$2918,MATCH(Settings!$B$16,DKW_10Y!$A$2:$A$2918,1)))*100))</f>
        <v/>
      </c>
      <c r="AC822" s="18">
        <f>IF(NOT(ISNUMBER($A822)),NA(),IFERROR(1*INDEX(BBG_Data!$N$2:$N$4000,MATCH($A822,BBG_Data!$M$2:$M$4000,0)),NA()))</f>
        <v/>
      </c>
      <c r="AD822" s="18">
        <f>IF(NOT(ISNUMBER($A822)),NA(),IFERROR(1*INDEX(BBG_Data!$P$2:$P$4000,MATCH($A822,BBG_Data!$O$2:$O$4000,0)),NA()))</f>
        <v/>
      </c>
      <c r="AE822" s="18">
        <f>IF(NOT(ISNUMBER($A822)),NA(),IFERROR(1*INDEX(BBG_Data!$R$2:$R$4000,MATCH($A822,BBG_Data!$Q$2:$Q$4000,0)),NA()))</f>
        <v/>
      </c>
      <c r="AF822" s="20">
        <f>IF(AND(ISNUMBER(B822),ISNUMBER(AC822)),(B822-AC822)*100,NA())</f>
        <v/>
      </c>
      <c r="AG822" s="20">
        <f>IF(AND(ISNUMBER(AE822),ISNUMBER(AD822)),(AE822-AD822)*100,NA())</f>
        <v/>
      </c>
      <c r="AH822" s="19">
        <f>IF(NOT(ISNUMBER($A822)),NA(),IFERROR(INDEX(BBG_Data!$T$2:$T$4000,MATCH($A822,BBG_Data!$S$2:$S$4000,0))*Settings!$B$25,NA()))</f>
        <v/>
      </c>
      <c r="AI822" s="19">
        <f>IF(NOT(ISNUMBER($A822)),NA(),IFERROR(INDEX(BBG_Data!$V$2:$V$4000,MATCH($A822,BBG_Data!$U$2:$U$4000,0))*Settings!$B$25,NA()))</f>
        <v/>
      </c>
      <c r="AJ822" s="19">
        <f>IF(NOT(ISNUMBER($A822)),NA(),IFERROR(1*INDEX(BBG_Data!$X$2:$X$4000,MATCH($A822,BBG_Data!$W$2:$W$4000,0)),NA()))</f>
        <v/>
      </c>
      <c r="AK822" s="19">
        <f>IF(NOT(ISNUMBER($A822)),NA(),IFERROR(1*INDEX(BBG_Data!$Z$2:$Z$4000,MATCH($A822,BBG_Data!$Y$2:$Y$4000,0)),NA()))</f>
        <v/>
      </c>
    </row>
    <row r="823">
      <c r="A823" s="17">
        <f>IF(ISNUMBER(BBG_Data!A823),BBG_Data!A823,"")</f>
        <v/>
      </c>
      <c r="B823" s="18">
        <f>IF(AND(ISNUMBER($A823),ISNUMBER(BBG_Data!B823)),BBG_Data!B823,NA())</f>
        <v/>
      </c>
      <c r="C823" s="18">
        <f>IF(NOT(ISNUMBER($A823)),NA(),IFERROR(1*INDEX(BBG_Data!$D$2:$D$4000,MATCH($A823,BBG_Data!$C$2:$C$4000,0)),NA()))</f>
        <v/>
      </c>
      <c r="D823" s="19">
        <f>IF(NOT(ISNUMBER($A823)),NA(),IFERROR(1*INDEX(BBG_Data!$F$2:$F$4000,MATCH($A823,BBG_Data!$E$2:$E$4000,0)),NA()))</f>
        <v/>
      </c>
      <c r="E823" s="19">
        <f>IF(NOT(ISNUMBER($A823)),NA(),IFERROR(1*INDEX(BBG_Data!$H$2:$H$4000,MATCH($A823,BBG_Data!$G$2:$G$4000,0)),NA()))</f>
        <v/>
      </c>
      <c r="F823" s="20">
        <f>IF(AND(ISNUMBER(B823),ISNUMBER(B822)),IF(B823=B822,"",(B823-B822)*100),"")</f>
        <v/>
      </c>
      <c r="G823" s="20">
        <f>IF(AND(ISNUMBER(C823),ISNUMBER(C822)),IF(C823=C822,"",(C823-C822)*100),"")</f>
        <v/>
      </c>
      <c r="H823" s="20">
        <f>IF(OR(NOT(ISNUMBER($A823)),ROW()-2&lt;Settings!$B$11),NA(),IF(COUNT(OFFSET(F823,1-Settings!$B$11,0,Settings!$B$11,1))&lt;ROUNDUP(Settings!$B$11*Settings!$B$26,0),NA(),STDEV(OFFSET(F823,1-Settings!$B$11,0,Settings!$B$11,1))*SQRT(Settings!$B$13)))</f>
        <v/>
      </c>
      <c r="I823" s="20">
        <f>IF(OR(NOT(ISNUMBER($A823)),ROW()-2&lt;Settings!$B$12),NA(),IF(COUNT(OFFSET(F823,1-Settings!$B$12,0,Settings!$B$12,1))&lt;ROUNDUP(Settings!$B$12*Settings!$B$26,0),NA(),STDEV(OFFSET(F823,1-Settings!$B$12,0,Settings!$B$12,1))*SQRT(Settings!$B$13)))</f>
        <v/>
      </c>
      <c r="J823" s="20">
        <f>IF(OR(NOT(ISNUMBER($A823)),ROW()-2&lt;Settings!$B$11),NA(),IF(COUNT(OFFSET(G823,1-Settings!$B$11,0,Settings!$B$11,1))&lt;ROUNDUP(Settings!$B$11*Settings!$B$26,0),NA(),STDEV(OFFSET(G823,1-Settings!$B$11,0,Settings!$B$11,1))*SQRT(Settings!$B$13)))</f>
        <v/>
      </c>
      <c r="K823" s="20">
        <f>IF(OR(NOT(ISNUMBER($A823)),ROW()-2&lt;Settings!$B$12),NA(),IF(COUNT(OFFSET(G823,1-Settings!$B$12,0,Settings!$B$12,1))&lt;ROUNDUP(Settings!$B$12*Settings!$B$26,0),NA(),STDEV(OFFSET(G823,1-Settings!$B$12,0,Settings!$B$12,1))*SQRT(Settings!$B$13)))</f>
        <v/>
      </c>
      <c r="L823" s="20">
        <f>IF(AND(ISNUMBER(D823),ISNUMBER(H823)),D823-H823,NA())</f>
        <v/>
      </c>
      <c r="M823" s="20">
        <f>IF(AND(ISNUMBER(E823),ISNUMBER(K823)),E823-K823,NA())</f>
        <v/>
      </c>
      <c r="N823" s="20">
        <f>IF(NOT(ISNUMBER($A823)),NA(),IF(COUNT(OFFSET(G823,1,0,Settings!$B$12,1))&lt;ROUNDUP(Settings!$B$12*Settings!$B$26,0),NA(),STDEV(OFFSET(G823,1,0,Settings!$B$12,1))*SQRT(Settings!$B$13)))</f>
        <v/>
      </c>
      <c r="O823" s="20">
        <f>IF(AND(ISNUMBER(E823),ISNUMBER(N823)),E823-N823,NA())</f>
        <v/>
      </c>
      <c r="P823" s="19">
        <f>IF(NOT(ISNUMBER($A823)),NA(),IF(OR($A823&lt;MIN(KW_TP!$A$2:$A$2501),$A823&gt;MAX(KW_TP!$A$2:$A$2501)),NA(),INDEX(KW_TP!$C$2:$C$2501,MATCH($A823,KW_TP!$A$2:$A$2501,1))))</f>
        <v/>
      </c>
      <c r="Q823" s="18">
        <f>IF(NOT(ISNUMBER($A823)),NA(),IFERROR(1*INDEX(BBG_Data!$J$2:$J$4000,MATCH($A823,BBG_Data!$I$2:$I$4000,0)),NA()))</f>
        <v/>
      </c>
      <c r="R823" s="18">
        <f>IF(NOT(ISNUMBER($A823)),NA(),IFERROR(1*INDEX(BBG_Data!$L$2:$L$4000,MATCH($A823,BBG_Data!$K$2:$K$4000,0)),NA()))</f>
        <v/>
      </c>
      <c r="S823" s="20">
        <f>IF(AND(ISNUMBER(B823),ISNUMBER(Q823),ISNUMBER(R823)),(B823-Q823-R823)*100,NA())</f>
        <v/>
      </c>
      <c r="T823" s="20">
        <f>IF(AND(ISNUMBER(B823),Settings!$B$17&gt;0),IF(ISNUMBER(INDEX($B:$B,Settings!$B$17)),(B823-INDEX($B:$B,Settings!$B$17))*100,NA()),NA())</f>
        <v/>
      </c>
      <c r="U823" s="20">
        <f>IF(AND(ISNUMBER(Q823),Settings!$B$17&gt;0),IF(ISNUMBER(INDEX($Q:$Q,Settings!$B$17)),(Q823-INDEX($Q:$Q,Settings!$B$17))*100,NA()),NA())</f>
        <v/>
      </c>
      <c r="V823" s="20">
        <f>IF(AND(ISNUMBER(R823),Settings!$B$17&gt;0),IF(ISNUMBER(INDEX($R:$R,Settings!$B$17)),(R823-INDEX($R:$R,Settings!$B$17))*100,NA()),NA())</f>
        <v/>
      </c>
      <c r="W823" s="20">
        <f>IF(AND(ISNUMBER(P823),Settings!$B$17&gt;0),IF(ISNUMBER(INDEX($P:$P,Settings!$B$17)),P823-INDEX($P:$P,Settings!$B$17),NA()),NA())</f>
        <v/>
      </c>
      <c r="X823" s="19">
        <f>IF(NOT(ISNUMBER($A823)),NA(),IF(OR($A823&lt;MIN(DKW_10Y!$A$2:$A$2918),$A823&gt;MAX(DKW_10Y!$A$2:$A$2918),Settings!$B$16&lt;MIN(DKW_10Y!$A$2:$A$2918)),NA(),(INDEX(DKW_10Y!$B$2:$B$2918,MATCH($A823,DKW_10Y!$A$2:$A$2918,1))-INDEX(DKW_10Y!$B$2:$B$2918,MATCH(Settings!$B$16,DKW_10Y!$A$2:$A$2918,1)))*100))</f>
        <v/>
      </c>
      <c r="Y823" s="19">
        <f>IF(NOT(ISNUMBER($A823)),NA(),IF(OR($A823&lt;MIN(DKW_10Y!$A$2:$A$2918),$A823&gt;MAX(DKW_10Y!$A$2:$A$2918),Settings!$B$16&lt;MIN(DKW_10Y!$A$2:$A$2918)),NA(),(INDEX(DKW_10Y!$C$2:$C$2918,MATCH($A823,DKW_10Y!$A$2:$A$2918,1))-INDEX(DKW_10Y!$C$2:$C$2918,MATCH(Settings!$B$16,DKW_10Y!$A$2:$A$2918,1)))*100))</f>
        <v/>
      </c>
      <c r="Z823" s="19">
        <f>IF(NOT(ISNUMBER($A823)),NA(),IF(OR($A823&lt;MIN(DKW_10Y!$A$2:$A$2918),$A823&gt;MAX(DKW_10Y!$A$2:$A$2918),Settings!$B$16&lt;MIN(DKW_10Y!$A$2:$A$2918)),NA(),(INDEX(DKW_10Y!$D$2:$D$2918,MATCH($A823,DKW_10Y!$A$2:$A$2918,1))-INDEX(DKW_10Y!$D$2:$D$2918,MATCH(Settings!$B$16,DKW_10Y!$A$2:$A$2918,1)))*100))</f>
        <v/>
      </c>
      <c r="AA823" s="19">
        <f>IF(NOT(ISNUMBER($A823)),NA(),IF(OR($A823&lt;MIN(DKW_10Y!$A$2:$A$2918),$A823&gt;MAX(DKW_10Y!$A$2:$A$2918),Settings!$B$16&lt;MIN(DKW_10Y!$A$2:$A$2918)),NA(),(INDEX(DKW_10Y!$E$2:$E$2918,MATCH($A823,DKW_10Y!$A$2:$A$2918,1))-INDEX(DKW_10Y!$E$2:$E$2918,MATCH(Settings!$B$16,DKW_10Y!$A$2:$A$2918,1)))*100))</f>
        <v/>
      </c>
      <c r="AB823" s="19">
        <f>IF(NOT(ISNUMBER($A823)),NA(),IF(OR($A823&lt;MIN(DKW_10Y!$A$2:$A$2918),$A823&gt;MAX(DKW_10Y!$A$2:$A$2918),Settings!$B$16&lt;MIN(DKW_10Y!$A$2:$A$2918)),NA(),(INDEX(DKW_10Y!$H$2:$H$2918,MATCH($A823,DKW_10Y!$A$2:$A$2918,1))-INDEX(DKW_10Y!$H$2:$H$2918,MATCH(Settings!$B$16,DKW_10Y!$A$2:$A$2918,1)))*100))</f>
        <v/>
      </c>
      <c r="AC823" s="18">
        <f>IF(NOT(ISNUMBER($A823)),NA(),IFERROR(1*INDEX(BBG_Data!$N$2:$N$4000,MATCH($A823,BBG_Data!$M$2:$M$4000,0)),NA()))</f>
        <v/>
      </c>
      <c r="AD823" s="18">
        <f>IF(NOT(ISNUMBER($A823)),NA(),IFERROR(1*INDEX(BBG_Data!$P$2:$P$4000,MATCH($A823,BBG_Data!$O$2:$O$4000,0)),NA()))</f>
        <v/>
      </c>
      <c r="AE823" s="18">
        <f>IF(NOT(ISNUMBER($A823)),NA(),IFERROR(1*INDEX(BBG_Data!$R$2:$R$4000,MATCH($A823,BBG_Data!$Q$2:$Q$4000,0)),NA()))</f>
        <v/>
      </c>
      <c r="AF823" s="20">
        <f>IF(AND(ISNUMBER(B823),ISNUMBER(AC823)),(B823-AC823)*100,NA())</f>
        <v/>
      </c>
      <c r="AG823" s="20">
        <f>IF(AND(ISNUMBER(AE823),ISNUMBER(AD823)),(AE823-AD823)*100,NA())</f>
        <v/>
      </c>
      <c r="AH823" s="19">
        <f>IF(NOT(ISNUMBER($A823)),NA(),IFERROR(INDEX(BBG_Data!$T$2:$T$4000,MATCH($A823,BBG_Data!$S$2:$S$4000,0))*Settings!$B$25,NA()))</f>
        <v/>
      </c>
      <c r="AI823" s="19">
        <f>IF(NOT(ISNUMBER($A823)),NA(),IFERROR(INDEX(BBG_Data!$V$2:$V$4000,MATCH($A823,BBG_Data!$U$2:$U$4000,0))*Settings!$B$25,NA()))</f>
        <v/>
      </c>
      <c r="AJ823" s="19">
        <f>IF(NOT(ISNUMBER($A823)),NA(),IFERROR(1*INDEX(BBG_Data!$X$2:$X$4000,MATCH($A823,BBG_Data!$W$2:$W$4000,0)),NA()))</f>
        <v/>
      </c>
      <c r="AK823" s="19">
        <f>IF(NOT(ISNUMBER($A823)),NA(),IFERROR(1*INDEX(BBG_Data!$Z$2:$Z$4000,MATCH($A823,BBG_Data!$Y$2:$Y$4000,0)),NA()))</f>
        <v/>
      </c>
    </row>
    <row r="824">
      <c r="A824" s="17">
        <f>IF(ISNUMBER(BBG_Data!A824),BBG_Data!A824,"")</f>
        <v/>
      </c>
      <c r="B824" s="18">
        <f>IF(AND(ISNUMBER($A824),ISNUMBER(BBG_Data!B824)),BBG_Data!B824,NA())</f>
        <v/>
      </c>
      <c r="C824" s="18">
        <f>IF(NOT(ISNUMBER($A824)),NA(),IFERROR(1*INDEX(BBG_Data!$D$2:$D$4000,MATCH($A824,BBG_Data!$C$2:$C$4000,0)),NA()))</f>
        <v/>
      </c>
      <c r="D824" s="19">
        <f>IF(NOT(ISNUMBER($A824)),NA(),IFERROR(1*INDEX(BBG_Data!$F$2:$F$4000,MATCH($A824,BBG_Data!$E$2:$E$4000,0)),NA()))</f>
        <v/>
      </c>
      <c r="E824" s="19">
        <f>IF(NOT(ISNUMBER($A824)),NA(),IFERROR(1*INDEX(BBG_Data!$H$2:$H$4000,MATCH($A824,BBG_Data!$G$2:$G$4000,0)),NA()))</f>
        <v/>
      </c>
      <c r="F824" s="20">
        <f>IF(AND(ISNUMBER(B824),ISNUMBER(B823)),IF(B824=B823,"",(B824-B823)*100),"")</f>
        <v/>
      </c>
      <c r="G824" s="20">
        <f>IF(AND(ISNUMBER(C824),ISNUMBER(C823)),IF(C824=C823,"",(C824-C823)*100),"")</f>
        <v/>
      </c>
      <c r="H824" s="20">
        <f>IF(OR(NOT(ISNUMBER($A824)),ROW()-2&lt;Settings!$B$11),NA(),IF(COUNT(OFFSET(F824,1-Settings!$B$11,0,Settings!$B$11,1))&lt;ROUNDUP(Settings!$B$11*Settings!$B$26,0),NA(),STDEV(OFFSET(F824,1-Settings!$B$11,0,Settings!$B$11,1))*SQRT(Settings!$B$13)))</f>
        <v/>
      </c>
      <c r="I824" s="20">
        <f>IF(OR(NOT(ISNUMBER($A824)),ROW()-2&lt;Settings!$B$12),NA(),IF(COUNT(OFFSET(F824,1-Settings!$B$12,0,Settings!$B$12,1))&lt;ROUNDUP(Settings!$B$12*Settings!$B$26,0),NA(),STDEV(OFFSET(F824,1-Settings!$B$12,0,Settings!$B$12,1))*SQRT(Settings!$B$13)))</f>
        <v/>
      </c>
      <c r="J824" s="20">
        <f>IF(OR(NOT(ISNUMBER($A824)),ROW()-2&lt;Settings!$B$11),NA(),IF(COUNT(OFFSET(G824,1-Settings!$B$11,0,Settings!$B$11,1))&lt;ROUNDUP(Settings!$B$11*Settings!$B$26,0),NA(),STDEV(OFFSET(G824,1-Settings!$B$11,0,Settings!$B$11,1))*SQRT(Settings!$B$13)))</f>
        <v/>
      </c>
      <c r="K824" s="20">
        <f>IF(OR(NOT(ISNUMBER($A824)),ROW()-2&lt;Settings!$B$12),NA(),IF(COUNT(OFFSET(G824,1-Settings!$B$12,0,Settings!$B$12,1))&lt;ROUNDUP(Settings!$B$12*Settings!$B$26,0),NA(),STDEV(OFFSET(G824,1-Settings!$B$12,0,Settings!$B$12,1))*SQRT(Settings!$B$13)))</f>
        <v/>
      </c>
      <c r="L824" s="20">
        <f>IF(AND(ISNUMBER(D824),ISNUMBER(H824)),D824-H824,NA())</f>
        <v/>
      </c>
      <c r="M824" s="20">
        <f>IF(AND(ISNUMBER(E824),ISNUMBER(K824)),E824-K824,NA())</f>
        <v/>
      </c>
      <c r="N824" s="20">
        <f>IF(NOT(ISNUMBER($A824)),NA(),IF(COUNT(OFFSET(G824,1,0,Settings!$B$12,1))&lt;ROUNDUP(Settings!$B$12*Settings!$B$26,0),NA(),STDEV(OFFSET(G824,1,0,Settings!$B$12,1))*SQRT(Settings!$B$13)))</f>
        <v/>
      </c>
      <c r="O824" s="20">
        <f>IF(AND(ISNUMBER(E824),ISNUMBER(N824)),E824-N824,NA())</f>
        <v/>
      </c>
      <c r="P824" s="19">
        <f>IF(NOT(ISNUMBER($A824)),NA(),IF(OR($A824&lt;MIN(KW_TP!$A$2:$A$2501),$A824&gt;MAX(KW_TP!$A$2:$A$2501)),NA(),INDEX(KW_TP!$C$2:$C$2501,MATCH($A824,KW_TP!$A$2:$A$2501,1))))</f>
        <v/>
      </c>
      <c r="Q824" s="18">
        <f>IF(NOT(ISNUMBER($A824)),NA(),IFERROR(1*INDEX(BBG_Data!$J$2:$J$4000,MATCH($A824,BBG_Data!$I$2:$I$4000,0)),NA()))</f>
        <v/>
      </c>
      <c r="R824" s="18">
        <f>IF(NOT(ISNUMBER($A824)),NA(),IFERROR(1*INDEX(BBG_Data!$L$2:$L$4000,MATCH($A824,BBG_Data!$K$2:$K$4000,0)),NA()))</f>
        <v/>
      </c>
      <c r="S824" s="20">
        <f>IF(AND(ISNUMBER(B824),ISNUMBER(Q824),ISNUMBER(R824)),(B824-Q824-R824)*100,NA())</f>
        <v/>
      </c>
      <c r="T824" s="20">
        <f>IF(AND(ISNUMBER(B824),Settings!$B$17&gt;0),IF(ISNUMBER(INDEX($B:$B,Settings!$B$17)),(B824-INDEX($B:$B,Settings!$B$17))*100,NA()),NA())</f>
        <v/>
      </c>
      <c r="U824" s="20">
        <f>IF(AND(ISNUMBER(Q824),Settings!$B$17&gt;0),IF(ISNUMBER(INDEX($Q:$Q,Settings!$B$17)),(Q824-INDEX($Q:$Q,Settings!$B$17))*100,NA()),NA())</f>
        <v/>
      </c>
      <c r="V824" s="20">
        <f>IF(AND(ISNUMBER(R824),Settings!$B$17&gt;0),IF(ISNUMBER(INDEX($R:$R,Settings!$B$17)),(R824-INDEX($R:$R,Settings!$B$17))*100,NA()),NA())</f>
        <v/>
      </c>
      <c r="W824" s="20">
        <f>IF(AND(ISNUMBER(P824),Settings!$B$17&gt;0),IF(ISNUMBER(INDEX($P:$P,Settings!$B$17)),P824-INDEX($P:$P,Settings!$B$17),NA()),NA())</f>
        <v/>
      </c>
      <c r="X824" s="19">
        <f>IF(NOT(ISNUMBER($A824)),NA(),IF(OR($A824&lt;MIN(DKW_10Y!$A$2:$A$2918),$A824&gt;MAX(DKW_10Y!$A$2:$A$2918),Settings!$B$16&lt;MIN(DKW_10Y!$A$2:$A$2918)),NA(),(INDEX(DKW_10Y!$B$2:$B$2918,MATCH($A824,DKW_10Y!$A$2:$A$2918,1))-INDEX(DKW_10Y!$B$2:$B$2918,MATCH(Settings!$B$16,DKW_10Y!$A$2:$A$2918,1)))*100))</f>
        <v/>
      </c>
      <c r="Y824" s="19">
        <f>IF(NOT(ISNUMBER($A824)),NA(),IF(OR($A824&lt;MIN(DKW_10Y!$A$2:$A$2918),$A824&gt;MAX(DKW_10Y!$A$2:$A$2918),Settings!$B$16&lt;MIN(DKW_10Y!$A$2:$A$2918)),NA(),(INDEX(DKW_10Y!$C$2:$C$2918,MATCH($A824,DKW_10Y!$A$2:$A$2918,1))-INDEX(DKW_10Y!$C$2:$C$2918,MATCH(Settings!$B$16,DKW_10Y!$A$2:$A$2918,1)))*100))</f>
        <v/>
      </c>
      <c r="Z824" s="19">
        <f>IF(NOT(ISNUMBER($A824)),NA(),IF(OR($A824&lt;MIN(DKW_10Y!$A$2:$A$2918),$A824&gt;MAX(DKW_10Y!$A$2:$A$2918),Settings!$B$16&lt;MIN(DKW_10Y!$A$2:$A$2918)),NA(),(INDEX(DKW_10Y!$D$2:$D$2918,MATCH($A824,DKW_10Y!$A$2:$A$2918,1))-INDEX(DKW_10Y!$D$2:$D$2918,MATCH(Settings!$B$16,DKW_10Y!$A$2:$A$2918,1)))*100))</f>
        <v/>
      </c>
      <c r="AA824" s="19">
        <f>IF(NOT(ISNUMBER($A824)),NA(),IF(OR($A824&lt;MIN(DKW_10Y!$A$2:$A$2918),$A824&gt;MAX(DKW_10Y!$A$2:$A$2918),Settings!$B$16&lt;MIN(DKW_10Y!$A$2:$A$2918)),NA(),(INDEX(DKW_10Y!$E$2:$E$2918,MATCH($A824,DKW_10Y!$A$2:$A$2918,1))-INDEX(DKW_10Y!$E$2:$E$2918,MATCH(Settings!$B$16,DKW_10Y!$A$2:$A$2918,1)))*100))</f>
        <v/>
      </c>
      <c r="AB824" s="19">
        <f>IF(NOT(ISNUMBER($A824)),NA(),IF(OR($A824&lt;MIN(DKW_10Y!$A$2:$A$2918),$A824&gt;MAX(DKW_10Y!$A$2:$A$2918),Settings!$B$16&lt;MIN(DKW_10Y!$A$2:$A$2918)),NA(),(INDEX(DKW_10Y!$H$2:$H$2918,MATCH($A824,DKW_10Y!$A$2:$A$2918,1))-INDEX(DKW_10Y!$H$2:$H$2918,MATCH(Settings!$B$16,DKW_10Y!$A$2:$A$2918,1)))*100))</f>
        <v/>
      </c>
      <c r="AC824" s="18">
        <f>IF(NOT(ISNUMBER($A824)),NA(),IFERROR(1*INDEX(BBG_Data!$N$2:$N$4000,MATCH($A824,BBG_Data!$M$2:$M$4000,0)),NA()))</f>
        <v/>
      </c>
      <c r="AD824" s="18">
        <f>IF(NOT(ISNUMBER($A824)),NA(),IFERROR(1*INDEX(BBG_Data!$P$2:$P$4000,MATCH($A824,BBG_Data!$O$2:$O$4000,0)),NA()))</f>
        <v/>
      </c>
      <c r="AE824" s="18">
        <f>IF(NOT(ISNUMBER($A824)),NA(),IFERROR(1*INDEX(BBG_Data!$R$2:$R$4000,MATCH($A824,BBG_Data!$Q$2:$Q$4000,0)),NA()))</f>
        <v/>
      </c>
      <c r="AF824" s="20">
        <f>IF(AND(ISNUMBER(B824),ISNUMBER(AC824)),(B824-AC824)*100,NA())</f>
        <v/>
      </c>
      <c r="AG824" s="20">
        <f>IF(AND(ISNUMBER(AE824),ISNUMBER(AD824)),(AE824-AD824)*100,NA())</f>
        <v/>
      </c>
      <c r="AH824" s="19">
        <f>IF(NOT(ISNUMBER($A824)),NA(),IFERROR(INDEX(BBG_Data!$T$2:$T$4000,MATCH($A824,BBG_Data!$S$2:$S$4000,0))*Settings!$B$25,NA()))</f>
        <v/>
      </c>
      <c r="AI824" s="19">
        <f>IF(NOT(ISNUMBER($A824)),NA(),IFERROR(INDEX(BBG_Data!$V$2:$V$4000,MATCH($A824,BBG_Data!$U$2:$U$4000,0))*Settings!$B$25,NA()))</f>
        <v/>
      </c>
      <c r="AJ824" s="19">
        <f>IF(NOT(ISNUMBER($A824)),NA(),IFERROR(1*INDEX(BBG_Data!$X$2:$X$4000,MATCH($A824,BBG_Data!$W$2:$W$4000,0)),NA()))</f>
        <v/>
      </c>
      <c r="AK824" s="19">
        <f>IF(NOT(ISNUMBER($A824)),NA(),IFERROR(1*INDEX(BBG_Data!$Z$2:$Z$4000,MATCH($A824,BBG_Data!$Y$2:$Y$4000,0)),NA()))</f>
        <v/>
      </c>
    </row>
    <row r="825">
      <c r="A825" s="17">
        <f>IF(ISNUMBER(BBG_Data!A825),BBG_Data!A825,"")</f>
        <v/>
      </c>
      <c r="B825" s="18">
        <f>IF(AND(ISNUMBER($A825),ISNUMBER(BBG_Data!B825)),BBG_Data!B825,NA())</f>
        <v/>
      </c>
      <c r="C825" s="18">
        <f>IF(NOT(ISNUMBER($A825)),NA(),IFERROR(1*INDEX(BBG_Data!$D$2:$D$4000,MATCH($A825,BBG_Data!$C$2:$C$4000,0)),NA()))</f>
        <v/>
      </c>
      <c r="D825" s="19">
        <f>IF(NOT(ISNUMBER($A825)),NA(),IFERROR(1*INDEX(BBG_Data!$F$2:$F$4000,MATCH($A825,BBG_Data!$E$2:$E$4000,0)),NA()))</f>
        <v/>
      </c>
      <c r="E825" s="19">
        <f>IF(NOT(ISNUMBER($A825)),NA(),IFERROR(1*INDEX(BBG_Data!$H$2:$H$4000,MATCH($A825,BBG_Data!$G$2:$G$4000,0)),NA()))</f>
        <v/>
      </c>
      <c r="F825" s="20">
        <f>IF(AND(ISNUMBER(B825),ISNUMBER(B824)),IF(B825=B824,"",(B825-B824)*100),"")</f>
        <v/>
      </c>
      <c r="G825" s="20">
        <f>IF(AND(ISNUMBER(C825),ISNUMBER(C824)),IF(C825=C824,"",(C825-C824)*100),"")</f>
        <v/>
      </c>
      <c r="H825" s="20">
        <f>IF(OR(NOT(ISNUMBER($A825)),ROW()-2&lt;Settings!$B$11),NA(),IF(COUNT(OFFSET(F825,1-Settings!$B$11,0,Settings!$B$11,1))&lt;ROUNDUP(Settings!$B$11*Settings!$B$26,0),NA(),STDEV(OFFSET(F825,1-Settings!$B$11,0,Settings!$B$11,1))*SQRT(Settings!$B$13)))</f>
        <v/>
      </c>
      <c r="I825" s="20">
        <f>IF(OR(NOT(ISNUMBER($A825)),ROW()-2&lt;Settings!$B$12),NA(),IF(COUNT(OFFSET(F825,1-Settings!$B$12,0,Settings!$B$12,1))&lt;ROUNDUP(Settings!$B$12*Settings!$B$26,0),NA(),STDEV(OFFSET(F825,1-Settings!$B$12,0,Settings!$B$12,1))*SQRT(Settings!$B$13)))</f>
        <v/>
      </c>
      <c r="J825" s="20">
        <f>IF(OR(NOT(ISNUMBER($A825)),ROW()-2&lt;Settings!$B$11),NA(),IF(COUNT(OFFSET(G825,1-Settings!$B$11,0,Settings!$B$11,1))&lt;ROUNDUP(Settings!$B$11*Settings!$B$26,0),NA(),STDEV(OFFSET(G825,1-Settings!$B$11,0,Settings!$B$11,1))*SQRT(Settings!$B$13)))</f>
        <v/>
      </c>
      <c r="K825" s="20">
        <f>IF(OR(NOT(ISNUMBER($A825)),ROW()-2&lt;Settings!$B$12),NA(),IF(COUNT(OFFSET(G825,1-Settings!$B$12,0,Settings!$B$12,1))&lt;ROUNDUP(Settings!$B$12*Settings!$B$26,0),NA(),STDEV(OFFSET(G825,1-Settings!$B$12,0,Settings!$B$12,1))*SQRT(Settings!$B$13)))</f>
        <v/>
      </c>
      <c r="L825" s="20">
        <f>IF(AND(ISNUMBER(D825),ISNUMBER(H825)),D825-H825,NA())</f>
        <v/>
      </c>
      <c r="M825" s="20">
        <f>IF(AND(ISNUMBER(E825),ISNUMBER(K825)),E825-K825,NA())</f>
        <v/>
      </c>
      <c r="N825" s="20">
        <f>IF(NOT(ISNUMBER($A825)),NA(),IF(COUNT(OFFSET(G825,1,0,Settings!$B$12,1))&lt;ROUNDUP(Settings!$B$12*Settings!$B$26,0),NA(),STDEV(OFFSET(G825,1,0,Settings!$B$12,1))*SQRT(Settings!$B$13)))</f>
        <v/>
      </c>
      <c r="O825" s="20">
        <f>IF(AND(ISNUMBER(E825),ISNUMBER(N825)),E825-N825,NA())</f>
        <v/>
      </c>
      <c r="P825" s="19">
        <f>IF(NOT(ISNUMBER($A825)),NA(),IF(OR($A825&lt;MIN(KW_TP!$A$2:$A$2501),$A825&gt;MAX(KW_TP!$A$2:$A$2501)),NA(),INDEX(KW_TP!$C$2:$C$2501,MATCH($A825,KW_TP!$A$2:$A$2501,1))))</f>
        <v/>
      </c>
      <c r="Q825" s="18">
        <f>IF(NOT(ISNUMBER($A825)),NA(),IFERROR(1*INDEX(BBG_Data!$J$2:$J$4000,MATCH($A825,BBG_Data!$I$2:$I$4000,0)),NA()))</f>
        <v/>
      </c>
      <c r="R825" s="18">
        <f>IF(NOT(ISNUMBER($A825)),NA(),IFERROR(1*INDEX(BBG_Data!$L$2:$L$4000,MATCH($A825,BBG_Data!$K$2:$K$4000,0)),NA()))</f>
        <v/>
      </c>
      <c r="S825" s="20">
        <f>IF(AND(ISNUMBER(B825),ISNUMBER(Q825),ISNUMBER(R825)),(B825-Q825-R825)*100,NA())</f>
        <v/>
      </c>
      <c r="T825" s="20">
        <f>IF(AND(ISNUMBER(B825),Settings!$B$17&gt;0),IF(ISNUMBER(INDEX($B:$B,Settings!$B$17)),(B825-INDEX($B:$B,Settings!$B$17))*100,NA()),NA())</f>
        <v/>
      </c>
      <c r="U825" s="20">
        <f>IF(AND(ISNUMBER(Q825),Settings!$B$17&gt;0),IF(ISNUMBER(INDEX($Q:$Q,Settings!$B$17)),(Q825-INDEX($Q:$Q,Settings!$B$17))*100,NA()),NA())</f>
        <v/>
      </c>
      <c r="V825" s="20">
        <f>IF(AND(ISNUMBER(R825),Settings!$B$17&gt;0),IF(ISNUMBER(INDEX($R:$R,Settings!$B$17)),(R825-INDEX($R:$R,Settings!$B$17))*100,NA()),NA())</f>
        <v/>
      </c>
      <c r="W825" s="20">
        <f>IF(AND(ISNUMBER(P825),Settings!$B$17&gt;0),IF(ISNUMBER(INDEX($P:$P,Settings!$B$17)),P825-INDEX($P:$P,Settings!$B$17),NA()),NA())</f>
        <v/>
      </c>
      <c r="X825" s="19">
        <f>IF(NOT(ISNUMBER($A825)),NA(),IF(OR($A825&lt;MIN(DKW_10Y!$A$2:$A$2918),$A825&gt;MAX(DKW_10Y!$A$2:$A$2918),Settings!$B$16&lt;MIN(DKW_10Y!$A$2:$A$2918)),NA(),(INDEX(DKW_10Y!$B$2:$B$2918,MATCH($A825,DKW_10Y!$A$2:$A$2918,1))-INDEX(DKW_10Y!$B$2:$B$2918,MATCH(Settings!$B$16,DKW_10Y!$A$2:$A$2918,1)))*100))</f>
        <v/>
      </c>
      <c r="Y825" s="19">
        <f>IF(NOT(ISNUMBER($A825)),NA(),IF(OR($A825&lt;MIN(DKW_10Y!$A$2:$A$2918),$A825&gt;MAX(DKW_10Y!$A$2:$A$2918),Settings!$B$16&lt;MIN(DKW_10Y!$A$2:$A$2918)),NA(),(INDEX(DKW_10Y!$C$2:$C$2918,MATCH($A825,DKW_10Y!$A$2:$A$2918,1))-INDEX(DKW_10Y!$C$2:$C$2918,MATCH(Settings!$B$16,DKW_10Y!$A$2:$A$2918,1)))*100))</f>
        <v/>
      </c>
      <c r="Z825" s="19">
        <f>IF(NOT(ISNUMBER($A825)),NA(),IF(OR($A825&lt;MIN(DKW_10Y!$A$2:$A$2918),$A825&gt;MAX(DKW_10Y!$A$2:$A$2918),Settings!$B$16&lt;MIN(DKW_10Y!$A$2:$A$2918)),NA(),(INDEX(DKW_10Y!$D$2:$D$2918,MATCH($A825,DKW_10Y!$A$2:$A$2918,1))-INDEX(DKW_10Y!$D$2:$D$2918,MATCH(Settings!$B$16,DKW_10Y!$A$2:$A$2918,1)))*100))</f>
        <v/>
      </c>
      <c r="AA825" s="19">
        <f>IF(NOT(ISNUMBER($A825)),NA(),IF(OR($A825&lt;MIN(DKW_10Y!$A$2:$A$2918),$A825&gt;MAX(DKW_10Y!$A$2:$A$2918),Settings!$B$16&lt;MIN(DKW_10Y!$A$2:$A$2918)),NA(),(INDEX(DKW_10Y!$E$2:$E$2918,MATCH($A825,DKW_10Y!$A$2:$A$2918,1))-INDEX(DKW_10Y!$E$2:$E$2918,MATCH(Settings!$B$16,DKW_10Y!$A$2:$A$2918,1)))*100))</f>
        <v/>
      </c>
      <c r="AB825" s="19">
        <f>IF(NOT(ISNUMBER($A825)),NA(),IF(OR($A825&lt;MIN(DKW_10Y!$A$2:$A$2918),$A825&gt;MAX(DKW_10Y!$A$2:$A$2918),Settings!$B$16&lt;MIN(DKW_10Y!$A$2:$A$2918)),NA(),(INDEX(DKW_10Y!$H$2:$H$2918,MATCH($A825,DKW_10Y!$A$2:$A$2918,1))-INDEX(DKW_10Y!$H$2:$H$2918,MATCH(Settings!$B$16,DKW_10Y!$A$2:$A$2918,1)))*100))</f>
        <v/>
      </c>
      <c r="AC825" s="18">
        <f>IF(NOT(ISNUMBER($A825)),NA(),IFERROR(1*INDEX(BBG_Data!$N$2:$N$4000,MATCH($A825,BBG_Data!$M$2:$M$4000,0)),NA()))</f>
        <v/>
      </c>
      <c r="AD825" s="18">
        <f>IF(NOT(ISNUMBER($A825)),NA(),IFERROR(1*INDEX(BBG_Data!$P$2:$P$4000,MATCH($A825,BBG_Data!$O$2:$O$4000,0)),NA()))</f>
        <v/>
      </c>
      <c r="AE825" s="18">
        <f>IF(NOT(ISNUMBER($A825)),NA(),IFERROR(1*INDEX(BBG_Data!$R$2:$R$4000,MATCH($A825,BBG_Data!$Q$2:$Q$4000,0)),NA()))</f>
        <v/>
      </c>
      <c r="AF825" s="20">
        <f>IF(AND(ISNUMBER(B825),ISNUMBER(AC825)),(B825-AC825)*100,NA())</f>
        <v/>
      </c>
      <c r="AG825" s="20">
        <f>IF(AND(ISNUMBER(AE825),ISNUMBER(AD825)),(AE825-AD825)*100,NA())</f>
        <v/>
      </c>
      <c r="AH825" s="19">
        <f>IF(NOT(ISNUMBER($A825)),NA(),IFERROR(INDEX(BBG_Data!$T$2:$T$4000,MATCH($A825,BBG_Data!$S$2:$S$4000,0))*Settings!$B$25,NA()))</f>
        <v/>
      </c>
      <c r="AI825" s="19">
        <f>IF(NOT(ISNUMBER($A825)),NA(),IFERROR(INDEX(BBG_Data!$V$2:$V$4000,MATCH($A825,BBG_Data!$U$2:$U$4000,0))*Settings!$B$25,NA()))</f>
        <v/>
      </c>
      <c r="AJ825" s="19">
        <f>IF(NOT(ISNUMBER($A825)),NA(),IFERROR(1*INDEX(BBG_Data!$X$2:$X$4000,MATCH($A825,BBG_Data!$W$2:$W$4000,0)),NA()))</f>
        <v/>
      </c>
      <c r="AK825" s="19">
        <f>IF(NOT(ISNUMBER($A825)),NA(),IFERROR(1*INDEX(BBG_Data!$Z$2:$Z$4000,MATCH($A825,BBG_Data!$Y$2:$Y$4000,0)),NA()))</f>
        <v/>
      </c>
    </row>
    <row r="826">
      <c r="A826" s="17">
        <f>IF(ISNUMBER(BBG_Data!A826),BBG_Data!A826,"")</f>
        <v/>
      </c>
      <c r="B826" s="18">
        <f>IF(AND(ISNUMBER($A826),ISNUMBER(BBG_Data!B826)),BBG_Data!B826,NA())</f>
        <v/>
      </c>
      <c r="C826" s="18">
        <f>IF(NOT(ISNUMBER($A826)),NA(),IFERROR(1*INDEX(BBG_Data!$D$2:$D$4000,MATCH($A826,BBG_Data!$C$2:$C$4000,0)),NA()))</f>
        <v/>
      </c>
      <c r="D826" s="19">
        <f>IF(NOT(ISNUMBER($A826)),NA(),IFERROR(1*INDEX(BBG_Data!$F$2:$F$4000,MATCH($A826,BBG_Data!$E$2:$E$4000,0)),NA()))</f>
        <v/>
      </c>
      <c r="E826" s="19">
        <f>IF(NOT(ISNUMBER($A826)),NA(),IFERROR(1*INDEX(BBG_Data!$H$2:$H$4000,MATCH($A826,BBG_Data!$G$2:$G$4000,0)),NA()))</f>
        <v/>
      </c>
      <c r="F826" s="20">
        <f>IF(AND(ISNUMBER(B826),ISNUMBER(B825)),IF(B826=B825,"",(B826-B825)*100),"")</f>
        <v/>
      </c>
      <c r="G826" s="20">
        <f>IF(AND(ISNUMBER(C826),ISNUMBER(C825)),IF(C826=C825,"",(C826-C825)*100),"")</f>
        <v/>
      </c>
      <c r="H826" s="20">
        <f>IF(OR(NOT(ISNUMBER($A826)),ROW()-2&lt;Settings!$B$11),NA(),IF(COUNT(OFFSET(F826,1-Settings!$B$11,0,Settings!$B$11,1))&lt;ROUNDUP(Settings!$B$11*Settings!$B$26,0),NA(),STDEV(OFFSET(F826,1-Settings!$B$11,0,Settings!$B$11,1))*SQRT(Settings!$B$13)))</f>
        <v/>
      </c>
      <c r="I826" s="20">
        <f>IF(OR(NOT(ISNUMBER($A826)),ROW()-2&lt;Settings!$B$12),NA(),IF(COUNT(OFFSET(F826,1-Settings!$B$12,0,Settings!$B$12,1))&lt;ROUNDUP(Settings!$B$12*Settings!$B$26,0),NA(),STDEV(OFFSET(F826,1-Settings!$B$12,0,Settings!$B$12,1))*SQRT(Settings!$B$13)))</f>
        <v/>
      </c>
      <c r="J826" s="20">
        <f>IF(OR(NOT(ISNUMBER($A826)),ROW()-2&lt;Settings!$B$11),NA(),IF(COUNT(OFFSET(G826,1-Settings!$B$11,0,Settings!$B$11,1))&lt;ROUNDUP(Settings!$B$11*Settings!$B$26,0),NA(),STDEV(OFFSET(G826,1-Settings!$B$11,0,Settings!$B$11,1))*SQRT(Settings!$B$13)))</f>
        <v/>
      </c>
      <c r="K826" s="20">
        <f>IF(OR(NOT(ISNUMBER($A826)),ROW()-2&lt;Settings!$B$12),NA(),IF(COUNT(OFFSET(G826,1-Settings!$B$12,0,Settings!$B$12,1))&lt;ROUNDUP(Settings!$B$12*Settings!$B$26,0),NA(),STDEV(OFFSET(G826,1-Settings!$B$12,0,Settings!$B$12,1))*SQRT(Settings!$B$13)))</f>
        <v/>
      </c>
      <c r="L826" s="20">
        <f>IF(AND(ISNUMBER(D826),ISNUMBER(H826)),D826-H826,NA())</f>
        <v/>
      </c>
      <c r="M826" s="20">
        <f>IF(AND(ISNUMBER(E826),ISNUMBER(K826)),E826-K826,NA())</f>
        <v/>
      </c>
      <c r="N826" s="20">
        <f>IF(NOT(ISNUMBER($A826)),NA(),IF(COUNT(OFFSET(G826,1,0,Settings!$B$12,1))&lt;ROUNDUP(Settings!$B$12*Settings!$B$26,0),NA(),STDEV(OFFSET(G826,1,0,Settings!$B$12,1))*SQRT(Settings!$B$13)))</f>
        <v/>
      </c>
      <c r="O826" s="20">
        <f>IF(AND(ISNUMBER(E826),ISNUMBER(N826)),E826-N826,NA())</f>
        <v/>
      </c>
      <c r="P826" s="19">
        <f>IF(NOT(ISNUMBER($A826)),NA(),IF(OR($A826&lt;MIN(KW_TP!$A$2:$A$2501),$A826&gt;MAX(KW_TP!$A$2:$A$2501)),NA(),INDEX(KW_TP!$C$2:$C$2501,MATCH($A826,KW_TP!$A$2:$A$2501,1))))</f>
        <v/>
      </c>
      <c r="Q826" s="18">
        <f>IF(NOT(ISNUMBER($A826)),NA(),IFERROR(1*INDEX(BBG_Data!$J$2:$J$4000,MATCH($A826,BBG_Data!$I$2:$I$4000,0)),NA()))</f>
        <v/>
      </c>
      <c r="R826" s="18">
        <f>IF(NOT(ISNUMBER($A826)),NA(),IFERROR(1*INDEX(BBG_Data!$L$2:$L$4000,MATCH($A826,BBG_Data!$K$2:$K$4000,0)),NA()))</f>
        <v/>
      </c>
      <c r="S826" s="20">
        <f>IF(AND(ISNUMBER(B826),ISNUMBER(Q826),ISNUMBER(R826)),(B826-Q826-R826)*100,NA())</f>
        <v/>
      </c>
      <c r="T826" s="20">
        <f>IF(AND(ISNUMBER(B826),Settings!$B$17&gt;0),IF(ISNUMBER(INDEX($B:$B,Settings!$B$17)),(B826-INDEX($B:$B,Settings!$B$17))*100,NA()),NA())</f>
        <v/>
      </c>
      <c r="U826" s="20">
        <f>IF(AND(ISNUMBER(Q826),Settings!$B$17&gt;0),IF(ISNUMBER(INDEX($Q:$Q,Settings!$B$17)),(Q826-INDEX($Q:$Q,Settings!$B$17))*100,NA()),NA())</f>
        <v/>
      </c>
      <c r="V826" s="20">
        <f>IF(AND(ISNUMBER(R826),Settings!$B$17&gt;0),IF(ISNUMBER(INDEX($R:$R,Settings!$B$17)),(R826-INDEX($R:$R,Settings!$B$17))*100,NA()),NA())</f>
        <v/>
      </c>
      <c r="W826" s="20">
        <f>IF(AND(ISNUMBER(P826),Settings!$B$17&gt;0),IF(ISNUMBER(INDEX($P:$P,Settings!$B$17)),P826-INDEX($P:$P,Settings!$B$17),NA()),NA())</f>
        <v/>
      </c>
      <c r="X826" s="19">
        <f>IF(NOT(ISNUMBER($A826)),NA(),IF(OR($A826&lt;MIN(DKW_10Y!$A$2:$A$2918),$A826&gt;MAX(DKW_10Y!$A$2:$A$2918),Settings!$B$16&lt;MIN(DKW_10Y!$A$2:$A$2918)),NA(),(INDEX(DKW_10Y!$B$2:$B$2918,MATCH($A826,DKW_10Y!$A$2:$A$2918,1))-INDEX(DKW_10Y!$B$2:$B$2918,MATCH(Settings!$B$16,DKW_10Y!$A$2:$A$2918,1)))*100))</f>
        <v/>
      </c>
      <c r="Y826" s="19">
        <f>IF(NOT(ISNUMBER($A826)),NA(),IF(OR($A826&lt;MIN(DKW_10Y!$A$2:$A$2918),$A826&gt;MAX(DKW_10Y!$A$2:$A$2918),Settings!$B$16&lt;MIN(DKW_10Y!$A$2:$A$2918)),NA(),(INDEX(DKW_10Y!$C$2:$C$2918,MATCH($A826,DKW_10Y!$A$2:$A$2918,1))-INDEX(DKW_10Y!$C$2:$C$2918,MATCH(Settings!$B$16,DKW_10Y!$A$2:$A$2918,1)))*100))</f>
        <v/>
      </c>
      <c r="Z826" s="19">
        <f>IF(NOT(ISNUMBER($A826)),NA(),IF(OR($A826&lt;MIN(DKW_10Y!$A$2:$A$2918),$A826&gt;MAX(DKW_10Y!$A$2:$A$2918),Settings!$B$16&lt;MIN(DKW_10Y!$A$2:$A$2918)),NA(),(INDEX(DKW_10Y!$D$2:$D$2918,MATCH($A826,DKW_10Y!$A$2:$A$2918,1))-INDEX(DKW_10Y!$D$2:$D$2918,MATCH(Settings!$B$16,DKW_10Y!$A$2:$A$2918,1)))*100))</f>
        <v/>
      </c>
      <c r="AA826" s="19">
        <f>IF(NOT(ISNUMBER($A826)),NA(),IF(OR($A826&lt;MIN(DKW_10Y!$A$2:$A$2918),$A826&gt;MAX(DKW_10Y!$A$2:$A$2918),Settings!$B$16&lt;MIN(DKW_10Y!$A$2:$A$2918)),NA(),(INDEX(DKW_10Y!$E$2:$E$2918,MATCH($A826,DKW_10Y!$A$2:$A$2918,1))-INDEX(DKW_10Y!$E$2:$E$2918,MATCH(Settings!$B$16,DKW_10Y!$A$2:$A$2918,1)))*100))</f>
        <v/>
      </c>
      <c r="AB826" s="19">
        <f>IF(NOT(ISNUMBER($A826)),NA(),IF(OR($A826&lt;MIN(DKW_10Y!$A$2:$A$2918),$A826&gt;MAX(DKW_10Y!$A$2:$A$2918),Settings!$B$16&lt;MIN(DKW_10Y!$A$2:$A$2918)),NA(),(INDEX(DKW_10Y!$H$2:$H$2918,MATCH($A826,DKW_10Y!$A$2:$A$2918,1))-INDEX(DKW_10Y!$H$2:$H$2918,MATCH(Settings!$B$16,DKW_10Y!$A$2:$A$2918,1)))*100))</f>
        <v/>
      </c>
      <c r="AC826" s="18">
        <f>IF(NOT(ISNUMBER($A826)),NA(),IFERROR(1*INDEX(BBG_Data!$N$2:$N$4000,MATCH($A826,BBG_Data!$M$2:$M$4000,0)),NA()))</f>
        <v/>
      </c>
      <c r="AD826" s="18">
        <f>IF(NOT(ISNUMBER($A826)),NA(),IFERROR(1*INDEX(BBG_Data!$P$2:$P$4000,MATCH($A826,BBG_Data!$O$2:$O$4000,0)),NA()))</f>
        <v/>
      </c>
      <c r="AE826" s="18">
        <f>IF(NOT(ISNUMBER($A826)),NA(),IFERROR(1*INDEX(BBG_Data!$R$2:$R$4000,MATCH($A826,BBG_Data!$Q$2:$Q$4000,0)),NA()))</f>
        <v/>
      </c>
      <c r="AF826" s="20">
        <f>IF(AND(ISNUMBER(B826),ISNUMBER(AC826)),(B826-AC826)*100,NA())</f>
        <v/>
      </c>
      <c r="AG826" s="20">
        <f>IF(AND(ISNUMBER(AE826),ISNUMBER(AD826)),(AE826-AD826)*100,NA())</f>
        <v/>
      </c>
      <c r="AH826" s="19">
        <f>IF(NOT(ISNUMBER($A826)),NA(),IFERROR(INDEX(BBG_Data!$T$2:$T$4000,MATCH($A826,BBG_Data!$S$2:$S$4000,0))*Settings!$B$25,NA()))</f>
        <v/>
      </c>
      <c r="AI826" s="19">
        <f>IF(NOT(ISNUMBER($A826)),NA(),IFERROR(INDEX(BBG_Data!$V$2:$V$4000,MATCH($A826,BBG_Data!$U$2:$U$4000,0))*Settings!$B$25,NA()))</f>
        <v/>
      </c>
      <c r="AJ826" s="19">
        <f>IF(NOT(ISNUMBER($A826)),NA(),IFERROR(1*INDEX(BBG_Data!$X$2:$X$4000,MATCH($A826,BBG_Data!$W$2:$W$4000,0)),NA()))</f>
        <v/>
      </c>
      <c r="AK826" s="19">
        <f>IF(NOT(ISNUMBER($A826)),NA(),IFERROR(1*INDEX(BBG_Data!$Z$2:$Z$4000,MATCH($A826,BBG_Data!$Y$2:$Y$4000,0)),NA()))</f>
        <v/>
      </c>
    </row>
    <row r="827">
      <c r="A827" s="17">
        <f>IF(ISNUMBER(BBG_Data!A827),BBG_Data!A827,"")</f>
        <v/>
      </c>
      <c r="B827" s="18">
        <f>IF(AND(ISNUMBER($A827),ISNUMBER(BBG_Data!B827)),BBG_Data!B827,NA())</f>
        <v/>
      </c>
      <c r="C827" s="18">
        <f>IF(NOT(ISNUMBER($A827)),NA(),IFERROR(1*INDEX(BBG_Data!$D$2:$D$4000,MATCH($A827,BBG_Data!$C$2:$C$4000,0)),NA()))</f>
        <v/>
      </c>
      <c r="D827" s="19">
        <f>IF(NOT(ISNUMBER($A827)),NA(),IFERROR(1*INDEX(BBG_Data!$F$2:$F$4000,MATCH($A827,BBG_Data!$E$2:$E$4000,0)),NA()))</f>
        <v/>
      </c>
      <c r="E827" s="19">
        <f>IF(NOT(ISNUMBER($A827)),NA(),IFERROR(1*INDEX(BBG_Data!$H$2:$H$4000,MATCH($A827,BBG_Data!$G$2:$G$4000,0)),NA()))</f>
        <v/>
      </c>
      <c r="F827" s="20">
        <f>IF(AND(ISNUMBER(B827),ISNUMBER(B826)),IF(B827=B826,"",(B827-B826)*100),"")</f>
        <v/>
      </c>
      <c r="G827" s="20">
        <f>IF(AND(ISNUMBER(C827),ISNUMBER(C826)),IF(C827=C826,"",(C827-C826)*100),"")</f>
        <v/>
      </c>
      <c r="H827" s="20">
        <f>IF(OR(NOT(ISNUMBER($A827)),ROW()-2&lt;Settings!$B$11),NA(),IF(COUNT(OFFSET(F827,1-Settings!$B$11,0,Settings!$B$11,1))&lt;ROUNDUP(Settings!$B$11*Settings!$B$26,0),NA(),STDEV(OFFSET(F827,1-Settings!$B$11,0,Settings!$B$11,1))*SQRT(Settings!$B$13)))</f>
        <v/>
      </c>
      <c r="I827" s="20">
        <f>IF(OR(NOT(ISNUMBER($A827)),ROW()-2&lt;Settings!$B$12),NA(),IF(COUNT(OFFSET(F827,1-Settings!$B$12,0,Settings!$B$12,1))&lt;ROUNDUP(Settings!$B$12*Settings!$B$26,0),NA(),STDEV(OFFSET(F827,1-Settings!$B$12,0,Settings!$B$12,1))*SQRT(Settings!$B$13)))</f>
        <v/>
      </c>
      <c r="J827" s="20">
        <f>IF(OR(NOT(ISNUMBER($A827)),ROW()-2&lt;Settings!$B$11),NA(),IF(COUNT(OFFSET(G827,1-Settings!$B$11,0,Settings!$B$11,1))&lt;ROUNDUP(Settings!$B$11*Settings!$B$26,0),NA(),STDEV(OFFSET(G827,1-Settings!$B$11,0,Settings!$B$11,1))*SQRT(Settings!$B$13)))</f>
        <v/>
      </c>
      <c r="K827" s="20">
        <f>IF(OR(NOT(ISNUMBER($A827)),ROW()-2&lt;Settings!$B$12),NA(),IF(COUNT(OFFSET(G827,1-Settings!$B$12,0,Settings!$B$12,1))&lt;ROUNDUP(Settings!$B$12*Settings!$B$26,0),NA(),STDEV(OFFSET(G827,1-Settings!$B$12,0,Settings!$B$12,1))*SQRT(Settings!$B$13)))</f>
        <v/>
      </c>
      <c r="L827" s="20">
        <f>IF(AND(ISNUMBER(D827),ISNUMBER(H827)),D827-H827,NA())</f>
        <v/>
      </c>
      <c r="M827" s="20">
        <f>IF(AND(ISNUMBER(E827),ISNUMBER(K827)),E827-K827,NA())</f>
        <v/>
      </c>
      <c r="N827" s="20">
        <f>IF(NOT(ISNUMBER($A827)),NA(),IF(COUNT(OFFSET(G827,1,0,Settings!$B$12,1))&lt;ROUNDUP(Settings!$B$12*Settings!$B$26,0),NA(),STDEV(OFFSET(G827,1,0,Settings!$B$12,1))*SQRT(Settings!$B$13)))</f>
        <v/>
      </c>
      <c r="O827" s="20">
        <f>IF(AND(ISNUMBER(E827),ISNUMBER(N827)),E827-N827,NA())</f>
        <v/>
      </c>
      <c r="P827" s="19">
        <f>IF(NOT(ISNUMBER($A827)),NA(),IF(OR($A827&lt;MIN(KW_TP!$A$2:$A$2501),$A827&gt;MAX(KW_TP!$A$2:$A$2501)),NA(),INDEX(KW_TP!$C$2:$C$2501,MATCH($A827,KW_TP!$A$2:$A$2501,1))))</f>
        <v/>
      </c>
      <c r="Q827" s="18">
        <f>IF(NOT(ISNUMBER($A827)),NA(),IFERROR(1*INDEX(BBG_Data!$J$2:$J$4000,MATCH($A827,BBG_Data!$I$2:$I$4000,0)),NA()))</f>
        <v/>
      </c>
      <c r="R827" s="18">
        <f>IF(NOT(ISNUMBER($A827)),NA(),IFERROR(1*INDEX(BBG_Data!$L$2:$L$4000,MATCH($A827,BBG_Data!$K$2:$K$4000,0)),NA()))</f>
        <v/>
      </c>
      <c r="S827" s="20">
        <f>IF(AND(ISNUMBER(B827),ISNUMBER(Q827),ISNUMBER(R827)),(B827-Q827-R827)*100,NA())</f>
        <v/>
      </c>
      <c r="T827" s="20">
        <f>IF(AND(ISNUMBER(B827),Settings!$B$17&gt;0),IF(ISNUMBER(INDEX($B:$B,Settings!$B$17)),(B827-INDEX($B:$B,Settings!$B$17))*100,NA()),NA())</f>
        <v/>
      </c>
      <c r="U827" s="20">
        <f>IF(AND(ISNUMBER(Q827),Settings!$B$17&gt;0),IF(ISNUMBER(INDEX($Q:$Q,Settings!$B$17)),(Q827-INDEX($Q:$Q,Settings!$B$17))*100,NA()),NA())</f>
        <v/>
      </c>
      <c r="V827" s="20">
        <f>IF(AND(ISNUMBER(R827),Settings!$B$17&gt;0),IF(ISNUMBER(INDEX($R:$R,Settings!$B$17)),(R827-INDEX($R:$R,Settings!$B$17))*100,NA()),NA())</f>
        <v/>
      </c>
      <c r="W827" s="20">
        <f>IF(AND(ISNUMBER(P827),Settings!$B$17&gt;0),IF(ISNUMBER(INDEX($P:$P,Settings!$B$17)),P827-INDEX($P:$P,Settings!$B$17),NA()),NA())</f>
        <v/>
      </c>
      <c r="X827" s="19">
        <f>IF(NOT(ISNUMBER($A827)),NA(),IF(OR($A827&lt;MIN(DKW_10Y!$A$2:$A$2918),$A827&gt;MAX(DKW_10Y!$A$2:$A$2918),Settings!$B$16&lt;MIN(DKW_10Y!$A$2:$A$2918)),NA(),(INDEX(DKW_10Y!$B$2:$B$2918,MATCH($A827,DKW_10Y!$A$2:$A$2918,1))-INDEX(DKW_10Y!$B$2:$B$2918,MATCH(Settings!$B$16,DKW_10Y!$A$2:$A$2918,1)))*100))</f>
        <v/>
      </c>
      <c r="Y827" s="19">
        <f>IF(NOT(ISNUMBER($A827)),NA(),IF(OR($A827&lt;MIN(DKW_10Y!$A$2:$A$2918),$A827&gt;MAX(DKW_10Y!$A$2:$A$2918),Settings!$B$16&lt;MIN(DKW_10Y!$A$2:$A$2918)),NA(),(INDEX(DKW_10Y!$C$2:$C$2918,MATCH($A827,DKW_10Y!$A$2:$A$2918,1))-INDEX(DKW_10Y!$C$2:$C$2918,MATCH(Settings!$B$16,DKW_10Y!$A$2:$A$2918,1)))*100))</f>
        <v/>
      </c>
      <c r="Z827" s="19">
        <f>IF(NOT(ISNUMBER($A827)),NA(),IF(OR($A827&lt;MIN(DKW_10Y!$A$2:$A$2918),$A827&gt;MAX(DKW_10Y!$A$2:$A$2918),Settings!$B$16&lt;MIN(DKW_10Y!$A$2:$A$2918)),NA(),(INDEX(DKW_10Y!$D$2:$D$2918,MATCH($A827,DKW_10Y!$A$2:$A$2918,1))-INDEX(DKW_10Y!$D$2:$D$2918,MATCH(Settings!$B$16,DKW_10Y!$A$2:$A$2918,1)))*100))</f>
        <v/>
      </c>
      <c r="AA827" s="19">
        <f>IF(NOT(ISNUMBER($A827)),NA(),IF(OR($A827&lt;MIN(DKW_10Y!$A$2:$A$2918),$A827&gt;MAX(DKW_10Y!$A$2:$A$2918),Settings!$B$16&lt;MIN(DKW_10Y!$A$2:$A$2918)),NA(),(INDEX(DKW_10Y!$E$2:$E$2918,MATCH($A827,DKW_10Y!$A$2:$A$2918,1))-INDEX(DKW_10Y!$E$2:$E$2918,MATCH(Settings!$B$16,DKW_10Y!$A$2:$A$2918,1)))*100))</f>
        <v/>
      </c>
      <c r="AB827" s="19">
        <f>IF(NOT(ISNUMBER($A827)),NA(),IF(OR($A827&lt;MIN(DKW_10Y!$A$2:$A$2918),$A827&gt;MAX(DKW_10Y!$A$2:$A$2918),Settings!$B$16&lt;MIN(DKW_10Y!$A$2:$A$2918)),NA(),(INDEX(DKW_10Y!$H$2:$H$2918,MATCH($A827,DKW_10Y!$A$2:$A$2918,1))-INDEX(DKW_10Y!$H$2:$H$2918,MATCH(Settings!$B$16,DKW_10Y!$A$2:$A$2918,1)))*100))</f>
        <v/>
      </c>
      <c r="AC827" s="18">
        <f>IF(NOT(ISNUMBER($A827)),NA(),IFERROR(1*INDEX(BBG_Data!$N$2:$N$4000,MATCH($A827,BBG_Data!$M$2:$M$4000,0)),NA()))</f>
        <v/>
      </c>
      <c r="AD827" s="18">
        <f>IF(NOT(ISNUMBER($A827)),NA(),IFERROR(1*INDEX(BBG_Data!$P$2:$P$4000,MATCH($A827,BBG_Data!$O$2:$O$4000,0)),NA()))</f>
        <v/>
      </c>
      <c r="AE827" s="18">
        <f>IF(NOT(ISNUMBER($A827)),NA(),IFERROR(1*INDEX(BBG_Data!$R$2:$R$4000,MATCH($A827,BBG_Data!$Q$2:$Q$4000,0)),NA()))</f>
        <v/>
      </c>
      <c r="AF827" s="20">
        <f>IF(AND(ISNUMBER(B827),ISNUMBER(AC827)),(B827-AC827)*100,NA())</f>
        <v/>
      </c>
      <c r="AG827" s="20">
        <f>IF(AND(ISNUMBER(AE827),ISNUMBER(AD827)),(AE827-AD827)*100,NA())</f>
        <v/>
      </c>
      <c r="AH827" s="19">
        <f>IF(NOT(ISNUMBER($A827)),NA(),IFERROR(INDEX(BBG_Data!$T$2:$T$4000,MATCH($A827,BBG_Data!$S$2:$S$4000,0))*Settings!$B$25,NA()))</f>
        <v/>
      </c>
      <c r="AI827" s="19">
        <f>IF(NOT(ISNUMBER($A827)),NA(),IFERROR(INDEX(BBG_Data!$V$2:$V$4000,MATCH($A827,BBG_Data!$U$2:$U$4000,0))*Settings!$B$25,NA()))</f>
        <v/>
      </c>
      <c r="AJ827" s="19">
        <f>IF(NOT(ISNUMBER($A827)),NA(),IFERROR(1*INDEX(BBG_Data!$X$2:$X$4000,MATCH($A827,BBG_Data!$W$2:$W$4000,0)),NA()))</f>
        <v/>
      </c>
      <c r="AK827" s="19">
        <f>IF(NOT(ISNUMBER($A827)),NA(),IFERROR(1*INDEX(BBG_Data!$Z$2:$Z$4000,MATCH($A827,BBG_Data!$Y$2:$Y$4000,0)),NA()))</f>
        <v/>
      </c>
    </row>
    <row r="828">
      <c r="A828" s="17">
        <f>IF(ISNUMBER(BBG_Data!A828),BBG_Data!A828,"")</f>
        <v/>
      </c>
      <c r="B828" s="18">
        <f>IF(AND(ISNUMBER($A828),ISNUMBER(BBG_Data!B828)),BBG_Data!B828,NA())</f>
        <v/>
      </c>
      <c r="C828" s="18">
        <f>IF(NOT(ISNUMBER($A828)),NA(),IFERROR(1*INDEX(BBG_Data!$D$2:$D$4000,MATCH($A828,BBG_Data!$C$2:$C$4000,0)),NA()))</f>
        <v/>
      </c>
      <c r="D828" s="19">
        <f>IF(NOT(ISNUMBER($A828)),NA(),IFERROR(1*INDEX(BBG_Data!$F$2:$F$4000,MATCH($A828,BBG_Data!$E$2:$E$4000,0)),NA()))</f>
        <v/>
      </c>
      <c r="E828" s="19">
        <f>IF(NOT(ISNUMBER($A828)),NA(),IFERROR(1*INDEX(BBG_Data!$H$2:$H$4000,MATCH($A828,BBG_Data!$G$2:$G$4000,0)),NA()))</f>
        <v/>
      </c>
      <c r="F828" s="20">
        <f>IF(AND(ISNUMBER(B828),ISNUMBER(B827)),IF(B828=B827,"",(B828-B827)*100),"")</f>
        <v/>
      </c>
      <c r="G828" s="20">
        <f>IF(AND(ISNUMBER(C828),ISNUMBER(C827)),IF(C828=C827,"",(C828-C827)*100),"")</f>
        <v/>
      </c>
      <c r="H828" s="20">
        <f>IF(OR(NOT(ISNUMBER($A828)),ROW()-2&lt;Settings!$B$11),NA(),IF(COUNT(OFFSET(F828,1-Settings!$B$11,0,Settings!$B$11,1))&lt;ROUNDUP(Settings!$B$11*Settings!$B$26,0),NA(),STDEV(OFFSET(F828,1-Settings!$B$11,0,Settings!$B$11,1))*SQRT(Settings!$B$13)))</f>
        <v/>
      </c>
      <c r="I828" s="20">
        <f>IF(OR(NOT(ISNUMBER($A828)),ROW()-2&lt;Settings!$B$12),NA(),IF(COUNT(OFFSET(F828,1-Settings!$B$12,0,Settings!$B$12,1))&lt;ROUNDUP(Settings!$B$12*Settings!$B$26,0),NA(),STDEV(OFFSET(F828,1-Settings!$B$12,0,Settings!$B$12,1))*SQRT(Settings!$B$13)))</f>
        <v/>
      </c>
      <c r="J828" s="20">
        <f>IF(OR(NOT(ISNUMBER($A828)),ROW()-2&lt;Settings!$B$11),NA(),IF(COUNT(OFFSET(G828,1-Settings!$B$11,0,Settings!$B$11,1))&lt;ROUNDUP(Settings!$B$11*Settings!$B$26,0),NA(),STDEV(OFFSET(G828,1-Settings!$B$11,0,Settings!$B$11,1))*SQRT(Settings!$B$13)))</f>
        <v/>
      </c>
      <c r="K828" s="20">
        <f>IF(OR(NOT(ISNUMBER($A828)),ROW()-2&lt;Settings!$B$12),NA(),IF(COUNT(OFFSET(G828,1-Settings!$B$12,0,Settings!$B$12,1))&lt;ROUNDUP(Settings!$B$12*Settings!$B$26,0),NA(),STDEV(OFFSET(G828,1-Settings!$B$12,0,Settings!$B$12,1))*SQRT(Settings!$B$13)))</f>
        <v/>
      </c>
      <c r="L828" s="20">
        <f>IF(AND(ISNUMBER(D828),ISNUMBER(H828)),D828-H828,NA())</f>
        <v/>
      </c>
      <c r="M828" s="20">
        <f>IF(AND(ISNUMBER(E828),ISNUMBER(K828)),E828-K828,NA())</f>
        <v/>
      </c>
      <c r="N828" s="20">
        <f>IF(NOT(ISNUMBER($A828)),NA(),IF(COUNT(OFFSET(G828,1,0,Settings!$B$12,1))&lt;ROUNDUP(Settings!$B$12*Settings!$B$26,0),NA(),STDEV(OFFSET(G828,1,0,Settings!$B$12,1))*SQRT(Settings!$B$13)))</f>
        <v/>
      </c>
      <c r="O828" s="20">
        <f>IF(AND(ISNUMBER(E828),ISNUMBER(N828)),E828-N828,NA())</f>
        <v/>
      </c>
      <c r="P828" s="19">
        <f>IF(NOT(ISNUMBER($A828)),NA(),IF(OR($A828&lt;MIN(KW_TP!$A$2:$A$2501),$A828&gt;MAX(KW_TP!$A$2:$A$2501)),NA(),INDEX(KW_TP!$C$2:$C$2501,MATCH($A828,KW_TP!$A$2:$A$2501,1))))</f>
        <v/>
      </c>
      <c r="Q828" s="18">
        <f>IF(NOT(ISNUMBER($A828)),NA(),IFERROR(1*INDEX(BBG_Data!$J$2:$J$4000,MATCH($A828,BBG_Data!$I$2:$I$4000,0)),NA()))</f>
        <v/>
      </c>
      <c r="R828" s="18">
        <f>IF(NOT(ISNUMBER($A828)),NA(),IFERROR(1*INDEX(BBG_Data!$L$2:$L$4000,MATCH($A828,BBG_Data!$K$2:$K$4000,0)),NA()))</f>
        <v/>
      </c>
      <c r="S828" s="20">
        <f>IF(AND(ISNUMBER(B828),ISNUMBER(Q828),ISNUMBER(R828)),(B828-Q828-R828)*100,NA())</f>
        <v/>
      </c>
      <c r="T828" s="20">
        <f>IF(AND(ISNUMBER(B828),Settings!$B$17&gt;0),IF(ISNUMBER(INDEX($B:$B,Settings!$B$17)),(B828-INDEX($B:$B,Settings!$B$17))*100,NA()),NA())</f>
        <v/>
      </c>
      <c r="U828" s="20">
        <f>IF(AND(ISNUMBER(Q828),Settings!$B$17&gt;0),IF(ISNUMBER(INDEX($Q:$Q,Settings!$B$17)),(Q828-INDEX($Q:$Q,Settings!$B$17))*100,NA()),NA())</f>
        <v/>
      </c>
      <c r="V828" s="20">
        <f>IF(AND(ISNUMBER(R828),Settings!$B$17&gt;0),IF(ISNUMBER(INDEX($R:$R,Settings!$B$17)),(R828-INDEX($R:$R,Settings!$B$17))*100,NA()),NA())</f>
        <v/>
      </c>
      <c r="W828" s="20">
        <f>IF(AND(ISNUMBER(P828),Settings!$B$17&gt;0),IF(ISNUMBER(INDEX($P:$P,Settings!$B$17)),P828-INDEX($P:$P,Settings!$B$17),NA()),NA())</f>
        <v/>
      </c>
      <c r="X828" s="19">
        <f>IF(NOT(ISNUMBER($A828)),NA(),IF(OR($A828&lt;MIN(DKW_10Y!$A$2:$A$2918),$A828&gt;MAX(DKW_10Y!$A$2:$A$2918),Settings!$B$16&lt;MIN(DKW_10Y!$A$2:$A$2918)),NA(),(INDEX(DKW_10Y!$B$2:$B$2918,MATCH($A828,DKW_10Y!$A$2:$A$2918,1))-INDEX(DKW_10Y!$B$2:$B$2918,MATCH(Settings!$B$16,DKW_10Y!$A$2:$A$2918,1)))*100))</f>
        <v/>
      </c>
      <c r="Y828" s="19">
        <f>IF(NOT(ISNUMBER($A828)),NA(),IF(OR($A828&lt;MIN(DKW_10Y!$A$2:$A$2918),$A828&gt;MAX(DKW_10Y!$A$2:$A$2918),Settings!$B$16&lt;MIN(DKW_10Y!$A$2:$A$2918)),NA(),(INDEX(DKW_10Y!$C$2:$C$2918,MATCH($A828,DKW_10Y!$A$2:$A$2918,1))-INDEX(DKW_10Y!$C$2:$C$2918,MATCH(Settings!$B$16,DKW_10Y!$A$2:$A$2918,1)))*100))</f>
        <v/>
      </c>
      <c r="Z828" s="19">
        <f>IF(NOT(ISNUMBER($A828)),NA(),IF(OR($A828&lt;MIN(DKW_10Y!$A$2:$A$2918),$A828&gt;MAX(DKW_10Y!$A$2:$A$2918),Settings!$B$16&lt;MIN(DKW_10Y!$A$2:$A$2918)),NA(),(INDEX(DKW_10Y!$D$2:$D$2918,MATCH($A828,DKW_10Y!$A$2:$A$2918,1))-INDEX(DKW_10Y!$D$2:$D$2918,MATCH(Settings!$B$16,DKW_10Y!$A$2:$A$2918,1)))*100))</f>
        <v/>
      </c>
      <c r="AA828" s="19">
        <f>IF(NOT(ISNUMBER($A828)),NA(),IF(OR($A828&lt;MIN(DKW_10Y!$A$2:$A$2918),$A828&gt;MAX(DKW_10Y!$A$2:$A$2918),Settings!$B$16&lt;MIN(DKW_10Y!$A$2:$A$2918)),NA(),(INDEX(DKW_10Y!$E$2:$E$2918,MATCH($A828,DKW_10Y!$A$2:$A$2918,1))-INDEX(DKW_10Y!$E$2:$E$2918,MATCH(Settings!$B$16,DKW_10Y!$A$2:$A$2918,1)))*100))</f>
        <v/>
      </c>
      <c r="AB828" s="19">
        <f>IF(NOT(ISNUMBER($A828)),NA(),IF(OR($A828&lt;MIN(DKW_10Y!$A$2:$A$2918),$A828&gt;MAX(DKW_10Y!$A$2:$A$2918),Settings!$B$16&lt;MIN(DKW_10Y!$A$2:$A$2918)),NA(),(INDEX(DKW_10Y!$H$2:$H$2918,MATCH($A828,DKW_10Y!$A$2:$A$2918,1))-INDEX(DKW_10Y!$H$2:$H$2918,MATCH(Settings!$B$16,DKW_10Y!$A$2:$A$2918,1)))*100))</f>
        <v/>
      </c>
      <c r="AC828" s="18">
        <f>IF(NOT(ISNUMBER($A828)),NA(),IFERROR(1*INDEX(BBG_Data!$N$2:$N$4000,MATCH($A828,BBG_Data!$M$2:$M$4000,0)),NA()))</f>
        <v/>
      </c>
      <c r="AD828" s="18">
        <f>IF(NOT(ISNUMBER($A828)),NA(),IFERROR(1*INDEX(BBG_Data!$P$2:$P$4000,MATCH($A828,BBG_Data!$O$2:$O$4000,0)),NA()))</f>
        <v/>
      </c>
      <c r="AE828" s="18">
        <f>IF(NOT(ISNUMBER($A828)),NA(),IFERROR(1*INDEX(BBG_Data!$R$2:$R$4000,MATCH($A828,BBG_Data!$Q$2:$Q$4000,0)),NA()))</f>
        <v/>
      </c>
      <c r="AF828" s="20">
        <f>IF(AND(ISNUMBER(B828),ISNUMBER(AC828)),(B828-AC828)*100,NA())</f>
        <v/>
      </c>
      <c r="AG828" s="20">
        <f>IF(AND(ISNUMBER(AE828),ISNUMBER(AD828)),(AE828-AD828)*100,NA())</f>
        <v/>
      </c>
      <c r="AH828" s="19">
        <f>IF(NOT(ISNUMBER($A828)),NA(),IFERROR(INDEX(BBG_Data!$T$2:$T$4000,MATCH($A828,BBG_Data!$S$2:$S$4000,0))*Settings!$B$25,NA()))</f>
        <v/>
      </c>
      <c r="AI828" s="19">
        <f>IF(NOT(ISNUMBER($A828)),NA(),IFERROR(INDEX(BBG_Data!$V$2:$V$4000,MATCH($A828,BBG_Data!$U$2:$U$4000,0))*Settings!$B$25,NA()))</f>
        <v/>
      </c>
      <c r="AJ828" s="19">
        <f>IF(NOT(ISNUMBER($A828)),NA(),IFERROR(1*INDEX(BBG_Data!$X$2:$X$4000,MATCH($A828,BBG_Data!$W$2:$W$4000,0)),NA()))</f>
        <v/>
      </c>
      <c r="AK828" s="19">
        <f>IF(NOT(ISNUMBER($A828)),NA(),IFERROR(1*INDEX(BBG_Data!$Z$2:$Z$4000,MATCH($A828,BBG_Data!$Y$2:$Y$4000,0)),NA()))</f>
        <v/>
      </c>
    </row>
    <row r="829">
      <c r="A829" s="17">
        <f>IF(ISNUMBER(BBG_Data!A829),BBG_Data!A829,"")</f>
        <v/>
      </c>
      <c r="B829" s="18">
        <f>IF(AND(ISNUMBER($A829),ISNUMBER(BBG_Data!B829)),BBG_Data!B829,NA())</f>
        <v/>
      </c>
      <c r="C829" s="18">
        <f>IF(NOT(ISNUMBER($A829)),NA(),IFERROR(1*INDEX(BBG_Data!$D$2:$D$4000,MATCH($A829,BBG_Data!$C$2:$C$4000,0)),NA()))</f>
        <v/>
      </c>
      <c r="D829" s="19">
        <f>IF(NOT(ISNUMBER($A829)),NA(),IFERROR(1*INDEX(BBG_Data!$F$2:$F$4000,MATCH($A829,BBG_Data!$E$2:$E$4000,0)),NA()))</f>
        <v/>
      </c>
      <c r="E829" s="19">
        <f>IF(NOT(ISNUMBER($A829)),NA(),IFERROR(1*INDEX(BBG_Data!$H$2:$H$4000,MATCH($A829,BBG_Data!$G$2:$G$4000,0)),NA()))</f>
        <v/>
      </c>
      <c r="F829" s="20">
        <f>IF(AND(ISNUMBER(B829),ISNUMBER(B828)),IF(B829=B828,"",(B829-B828)*100),"")</f>
        <v/>
      </c>
      <c r="G829" s="20">
        <f>IF(AND(ISNUMBER(C829),ISNUMBER(C828)),IF(C829=C828,"",(C829-C828)*100),"")</f>
        <v/>
      </c>
      <c r="H829" s="20">
        <f>IF(OR(NOT(ISNUMBER($A829)),ROW()-2&lt;Settings!$B$11),NA(),IF(COUNT(OFFSET(F829,1-Settings!$B$11,0,Settings!$B$11,1))&lt;ROUNDUP(Settings!$B$11*Settings!$B$26,0),NA(),STDEV(OFFSET(F829,1-Settings!$B$11,0,Settings!$B$11,1))*SQRT(Settings!$B$13)))</f>
        <v/>
      </c>
      <c r="I829" s="20">
        <f>IF(OR(NOT(ISNUMBER($A829)),ROW()-2&lt;Settings!$B$12),NA(),IF(COUNT(OFFSET(F829,1-Settings!$B$12,0,Settings!$B$12,1))&lt;ROUNDUP(Settings!$B$12*Settings!$B$26,0),NA(),STDEV(OFFSET(F829,1-Settings!$B$12,0,Settings!$B$12,1))*SQRT(Settings!$B$13)))</f>
        <v/>
      </c>
      <c r="J829" s="20">
        <f>IF(OR(NOT(ISNUMBER($A829)),ROW()-2&lt;Settings!$B$11),NA(),IF(COUNT(OFFSET(G829,1-Settings!$B$11,0,Settings!$B$11,1))&lt;ROUNDUP(Settings!$B$11*Settings!$B$26,0),NA(),STDEV(OFFSET(G829,1-Settings!$B$11,0,Settings!$B$11,1))*SQRT(Settings!$B$13)))</f>
        <v/>
      </c>
      <c r="K829" s="20">
        <f>IF(OR(NOT(ISNUMBER($A829)),ROW()-2&lt;Settings!$B$12),NA(),IF(COUNT(OFFSET(G829,1-Settings!$B$12,0,Settings!$B$12,1))&lt;ROUNDUP(Settings!$B$12*Settings!$B$26,0),NA(),STDEV(OFFSET(G829,1-Settings!$B$12,0,Settings!$B$12,1))*SQRT(Settings!$B$13)))</f>
        <v/>
      </c>
      <c r="L829" s="20">
        <f>IF(AND(ISNUMBER(D829),ISNUMBER(H829)),D829-H829,NA())</f>
        <v/>
      </c>
      <c r="M829" s="20">
        <f>IF(AND(ISNUMBER(E829),ISNUMBER(K829)),E829-K829,NA())</f>
        <v/>
      </c>
      <c r="N829" s="20">
        <f>IF(NOT(ISNUMBER($A829)),NA(),IF(COUNT(OFFSET(G829,1,0,Settings!$B$12,1))&lt;ROUNDUP(Settings!$B$12*Settings!$B$26,0),NA(),STDEV(OFFSET(G829,1,0,Settings!$B$12,1))*SQRT(Settings!$B$13)))</f>
        <v/>
      </c>
      <c r="O829" s="20">
        <f>IF(AND(ISNUMBER(E829),ISNUMBER(N829)),E829-N829,NA())</f>
        <v/>
      </c>
      <c r="P829" s="19">
        <f>IF(NOT(ISNUMBER($A829)),NA(),IF(OR($A829&lt;MIN(KW_TP!$A$2:$A$2501),$A829&gt;MAX(KW_TP!$A$2:$A$2501)),NA(),INDEX(KW_TP!$C$2:$C$2501,MATCH($A829,KW_TP!$A$2:$A$2501,1))))</f>
        <v/>
      </c>
      <c r="Q829" s="18">
        <f>IF(NOT(ISNUMBER($A829)),NA(),IFERROR(1*INDEX(BBG_Data!$J$2:$J$4000,MATCH($A829,BBG_Data!$I$2:$I$4000,0)),NA()))</f>
        <v/>
      </c>
      <c r="R829" s="18">
        <f>IF(NOT(ISNUMBER($A829)),NA(),IFERROR(1*INDEX(BBG_Data!$L$2:$L$4000,MATCH($A829,BBG_Data!$K$2:$K$4000,0)),NA()))</f>
        <v/>
      </c>
      <c r="S829" s="20">
        <f>IF(AND(ISNUMBER(B829),ISNUMBER(Q829),ISNUMBER(R829)),(B829-Q829-R829)*100,NA())</f>
        <v/>
      </c>
      <c r="T829" s="20">
        <f>IF(AND(ISNUMBER(B829),Settings!$B$17&gt;0),IF(ISNUMBER(INDEX($B:$B,Settings!$B$17)),(B829-INDEX($B:$B,Settings!$B$17))*100,NA()),NA())</f>
        <v/>
      </c>
      <c r="U829" s="20">
        <f>IF(AND(ISNUMBER(Q829),Settings!$B$17&gt;0),IF(ISNUMBER(INDEX($Q:$Q,Settings!$B$17)),(Q829-INDEX($Q:$Q,Settings!$B$17))*100,NA()),NA())</f>
        <v/>
      </c>
      <c r="V829" s="20">
        <f>IF(AND(ISNUMBER(R829),Settings!$B$17&gt;0),IF(ISNUMBER(INDEX($R:$R,Settings!$B$17)),(R829-INDEX($R:$R,Settings!$B$17))*100,NA()),NA())</f>
        <v/>
      </c>
      <c r="W829" s="20">
        <f>IF(AND(ISNUMBER(P829),Settings!$B$17&gt;0),IF(ISNUMBER(INDEX($P:$P,Settings!$B$17)),P829-INDEX($P:$P,Settings!$B$17),NA()),NA())</f>
        <v/>
      </c>
      <c r="X829" s="19">
        <f>IF(NOT(ISNUMBER($A829)),NA(),IF(OR($A829&lt;MIN(DKW_10Y!$A$2:$A$2918),$A829&gt;MAX(DKW_10Y!$A$2:$A$2918),Settings!$B$16&lt;MIN(DKW_10Y!$A$2:$A$2918)),NA(),(INDEX(DKW_10Y!$B$2:$B$2918,MATCH($A829,DKW_10Y!$A$2:$A$2918,1))-INDEX(DKW_10Y!$B$2:$B$2918,MATCH(Settings!$B$16,DKW_10Y!$A$2:$A$2918,1)))*100))</f>
        <v/>
      </c>
      <c r="Y829" s="19">
        <f>IF(NOT(ISNUMBER($A829)),NA(),IF(OR($A829&lt;MIN(DKW_10Y!$A$2:$A$2918),$A829&gt;MAX(DKW_10Y!$A$2:$A$2918),Settings!$B$16&lt;MIN(DKW_10Y!$A$2:$A$2918)),NA(),(INDEX(DKW_10Y!$C$2:$C$2918,MATCH($A829,DKW_10Y!$A$2:$A$2918,1))-INDEX(DKW_10Y!$C$2:$C$2918,MATCH(Settings!$B$16,DKW_10Y!$A$2:$A$2918,1)))*100))</f>
        <v/>
      </c>
      <c r="Z829" s="19">
        <f>IF(NOT(ISNUMBER($A829)),NA(),IF(OR($A829&lt;MIN(DKW_10Y!$A$2:$A$2918),$A829&gt;MAX(DKW_10Y!$A$2:$A$2918),Settings!$B$16&lt;MIN(DKW_10Y!$A$2:$A$2918)),NA(),(INDEX(DKW_10Y!$D$2:$D$2918,MATCH($A829,DKW_10Y!$A$2:$A$2918,1))-INDEX(DKW_10Y!$D$2:$D$2918,MATCH(Settings!$B$16,DKW_10Y!$A$2:$A$2918,1)))*100))</f>
        <v/>
      </c>
      <c r="AA829" s="19">
        <f>IF(NOT(ISNUMBER($A829)),NA(),IF(OR($A829&lt;MIN(DKW_10Y!$A$2:$A$2918),$A829&gt;MAX(DKW_10Y!$A$2:$A$2918),Settings!$B$16&lt;MIN(DKW_10Y!$A$2:$A$2918)),NA(),(INDEX(DKW_10Y!$E$2:$E$2918,MATCH($A829,DKW_10Y!$A$2:$A$2918,1))-INDEX(DKW_10Y!$E$2:$E$2918,MATCH(Settings!$B$16,DKW_10Y!$A$2:$A$2918,1)))*100))</f>
        <v/>
      </c>
      <c r="AB829" s="19">
        <f>IF(NOT(ISNUMBER($A829)),NA(),IF(OR($A829&lt;MIN(DKW_10Y!$A$2:$A$2918),$A829&gt;MAX(DKW_10Y!$A$2:$A$2918),Settings!$B$16&lt;MIN(DKW_10Y!$A$2:$A$2918)),NA(),(INDEX(DKW_10Y!$H$2:$H$2918,MATCH($A829,DKW_10Y!$A$2:$A$2918,1))-INDEX(DKW_10Y!$H$2:$H$2918,MATCH(Settings!$B$16,DKW_10Y!$A$2:$A$2918,1)))*100))</f>
        <v/>
      </c>
      <c r="AC829" s="18">
        <f>IF(NOT(ISNUMBER($A829)),NA(),IFERROR(1*INDEX(BBG_Data!$N$2:$N$4000,MATCH($A829,BBG_Data!$M$2:$M$4000,0)),NA()))</f>
        <v/>
      </c>
      <c r="AD829" s="18">
        <f>IF(NOT(ISNUMBER($A829)),NA(),IFERROR(1*INDEX(BBG_Data!$P$2:$P$4000,MATCH($A829,BBG_Data!$O$2:$O$4000,0)),NA()))</f>
        <v/>
      </c>
      <c r="AE829" s="18">
        <f>IF(NOT(ISNUMBER($A829)),NA(),IFERROR(1*INDEX(BBG_Data!$R$2:$R$4000,MATCH($A829,BBG_Data!$Q$2:$Q$4000,0)),NA()))</f>
        <v/>
      </c>
      <c r="AF829" s="20">
        <f>IF(AND(ISNUMBER(B829),ISNUMBER(AC829)),(B829-AC829)*100,NA())</f>
        <v/>
      </c>
      <c r="AG829" s="20">
        <f>IF(AND(ISNUMBER(AE829),ISNUMBER(AD829)),(AE829-AD829)*100,NA())</f>
        <v/>
      </c>
      <c r="AH829" s="19">
        <f>IF(NOT(ISNUMBER($A829)),NA(),IFERROR(INDEX(BBG_Data!$T$2:$T$4000,MATCH($A829,BBG_Data!$S$2:$S$4000,0))*Settings!$B$25,NA()))</f>
        <v/>
      </c>
      <c r="AI829" s="19">
        <f>IF(NOT(ISNUMBER($A829)),NA(),IFERROR(INDEX(BBG_Data!$V$2:$V$4000,MATCH($A829,BBG_Data!$U$2:$U$4000,0))*Settings!$B$25,NA()))</f>
        <v/>
      </c>
      <c r="AJ829" s="19">
        <f>IF(NOT(ISNUMBER($A829)),NA(),IFERROR(1*INDEX(BBG_Data!$X$2:$X$4000,MATCH($A829,BBG_Data!$W$2:$W$4000,0)),NA()))</f>
        <v/>
      </c>
      <c r="AK829" s="19">
        <f>IF(NOT(ISNUMBER($A829)),NA(),IFERROR(1*INDEX(BBG_Data!$Z$2:$Z$4000,MATCH($A829,BBG_Data!$Y$2:$Y$4000,0)),NA()))</f>
        <v/>
      </c>
    </row>
    <row r="830">
      <c r="A830" s="17">
        <f>IF(ISNUMBER(BBG_Data!A830),BBG_Data!A830,"")</f>
        <v/>
      </c>
      <c r="B830" s="18">
        <f>IF(AND(ISNUMBER($A830),ISNUMBER(BBG_Data!B830)),BBG_Data!B830,NA())</f>
        <v/>
      </c>
      <c r="C830" s="18">
        <f>IF(NOT(ISNUMBER($A830)),NA(),IFERROR(1*INDEX(BBG_Data!$D$2:$D$4000,MATCH($A830,BBG_Data!$C$2:$C$4000,0)),NA()))</f>
        <v/>
      </c>
      <c r="D830" s="19">
        <f>IF(NOT(ISNUMBER($A830)),NA(),IFERROR(1*INDEX(BBG_Data!$F$2:$F$4000,MATCH($A830,BBG_Data!$E$2:$E$4000,0)),NA()))</f>
        <v/>
      </c>
      <c r="E830" s="19">
        <f>IF(NOT(ISNUMBER($A830)),NA(),IFERROR(1*INDEX(BBG_Data!$H$2:$H$4000,MATCH($A830,BBG_Data!$G$2:$G$4000,0)),NA()))</f>
        <v/>
      </c>
      <c r="F830" s="20">
        <f>IF(AND(ISNUMBER(B830),ISNUMBER(B829)),IF(B830=B829,"",(B830-B829)*100),"")</f>
        <v/>
      </c>
      <c r="G830" s="20">
        <f>IF(AND(ISNUMBER(C830),ISNUMBER(C829)),IF(C830=C829,"",(C830-C829)*100),"")</f>
        <v/>
      </c>
      <c r="H830" s="20">
        <f>IF(OR(NOT(ISNUMBER($A830)),ROW()-2&lt;Settings!$B$11),NA(),IF(COUNT(OFFSET(F830,1-Settings!$B$11,0,Settings!$B$11,1))&lt;ROUNDUP(Settings!$B$11*Settings!$B$26,0),NA(),STDEV(OFFSET(F830,1-Settings!$B$11,0,Settings!$B$11,1))*SQRT(Settings!$B$13)))</f>
        <v/>
      </c>
      <c r="I830" s="20">
        <f>IF(OR(NOT(ISNUMBER($A830)),ROW()-2&lt;Settings!$B$12),NA(),IF(COUNT(OFFSET(F830,1-Settings!$B$12,0,Settings!$B$12,1))&lt;ROUNDUP(Settings!$B$12*Settings!$B$26,0),NA(),STDEV(OFFSET(F830,1-Settings!$B$12,0,Settings!$B$12,1))*SQRT(Settings!$B$13)))</f>
        <v/>
      </c>
      <c r="J830" s="20">
        <f>IF(OR(NOT(ISNUMBER($A830)),ROW()-2&lt;Settings!$B$11),NA(),IF(COUNT(OFFSET(G830,1-Settings!$B$11,0,Settings!$B$11,1))&lt;ROUNDUP(Settings!$B$11*Settings!$B$26,0),NA(),STDEV(OFFSET(G830,1-Settings!$B$11,0,Settings!$B$11,1))*SQRT(Settings!$B$13)))</f>
        <v/>
      </c>
      <c r="K830" s="20">
        <f>IF(OR(NOT(ISNUMBER($A830)),ROW()-2&lt;Settings!$B$12),NA(),IF(COUNT(OFFSET(G830,1-Settings!$B$12,0,Settings!$B$12,1))&lt;ROUNDUP(Settings!$B$12*Settings!$B$26,0),NA(),STDEV(OFFSET(G830,1-Settings!$B$12,0,Settings!$B$12,1))*SQRT(Settings!$B$13)))</f>
        <v/>
      </c>
      <c r="L830" s="20">
        <f>IF(AND(ISNUMBER(D830),ISNUMBER(H830)),D830-H830,NA())</f>
        <v/>
      </c>
      <c r="M830" s="20">
        <f>IF(AND(ISNUMBER(E830),ISNUMBER(K830)),E830-K830,NA())</f>
        <v/>
      </c>
      <c r="N830" s="20">
        <f>IF(NOT(ISNUMBER($A830)),NA(),IF(COUNT(OFFSET(G830,1,0,Settings!$B$12,1))&lt;ROUNDUP(Settings!$B$12*Settings!$B$26,0),NA(),STDEV(OFFSET(G830,1,0,Settings!$B$12,1))*SQRT(Settings!$B$13)))</f>
        <v/>
      </c>
      <c r="O830" s="20">
        <f>IF(AND(ISNUMBER(E830),ISNUMBER(N830)),E830-N830,NA())</f>
        <v/>
      </c>
      <c r="P830" s="19">
        <f>IF(NOT(ISNUMBER($A830)),NA(),IF(OR($A830&lt;MIN(KW_TP!$A$2:$A$2501),$A830&gt;MAX(KW_TP!$A$2:$A$2501)),NA(),INDEX(KW_TP!$C$2:$C$2501,MATCH($A830,KW_TP!$A$2:$A$2501,1))))</f>
        <v/>
      </c>
      <c r="Q830" s="18">
        <f>IF(NOT(ISNUMBER($A830)),NA(),IFERROR(1*INDEX(BBG_Data!$J$2:$J$4000,MATCH($A830,BBG_Data!$I$2:$I$4000,0)),NA()))</f>
        <v/>
      </c>
      <c r="R830" s="18">
        <f>IF(NOT(ISNUMBER($A830)),NA(),IFERROR(1*INDEX(BBG_Data!$L$2:$L$4000,MATCH($A830,BBG_Data!$K$2:$K$4000,0)),NA()))</f>
        <v/>
      </c>
      <c r="S830" s="20">
        <f>IF(AND(ISNUMBER(B830),ISNUMBER(Q830),ISNUMBER(R830)),(B830-Q830-R830)*100,NA())</f>
        <v/>
      </c>
      <c r="T830" s="20">
        <f>IF(AND(ISNUMBER(B830),Settings!$B$17&gt;0),IF(ISNUMBER(INDEX($B:$B,Settings!$B$17)),(B830-INDEX($B:$B,Settings!$B$17))*100,NA()),NA())</f>
        <v/>
      </c>
      <c r="U830" s="20">
        <f>IF(AND(ISNUMBER(Q830),Settings!$B$17&gt;0),IF(ISNUMBER(INDEX($Q:$Q,Settings!$B$17)),(Q830-INDEX($Q:$Q,Settings!$B$17))*100,NA()),NA())</f>
        <v/>
      </c>
      <c r="V830" s="20">
        <f>IF(AND(ISNUMBER(R830),Settings!$B$17&gt;0),IF(ISNUMBER(INDEX($R:$R,Settings!$B$17)),(R830-INDEX($R:$R,Settings!$B$17))*100,NA()),NA())</f>
        <v/>
      </c>
      <c r="W830" s="20">
        <f>IF(AND(ISNUMBER(P830),Settings!$B$17&gt;0),IF(ISNUMBER(INDEX($P:$P,Settings!$B$17)),P830-INDEX($P:$P,Settings!$B$17),NA()),NA())</f>
        <v/>
      </c>
      <c r="X830" s="19">
        <f>IF(NOT(ISNUMBER($A830)),NA(),IF(OR($A830&lt;MIN(DKW_10Y!$A$2:$A$2918),$A830&gt;MAX(DKW_10Y!$A$2:$A$2918),Settings!$B$16&lt;MIN(DKW_10Y!$A$2:$A$2918)),NA(),(INDEX(DKW_10Y!$B$2:$B$2918,MATCH($A830,DKW_10Y!$A$2:$A$2918,1))-INDEX(DKW_10Y!$B$2:$B$2918,MATCH(Settings!$B$16,DKW_10Y!$A$2:$A$2918,1)))*100))</f>
        <v/>
      </c>
      <c r="Y830" s="19">
        <f>IF(NOT(ISNUMBER($A830)),NA(),IF(OR($A830&lt;MIN(DKW_10Y!$A$2:$A$2918),$A830&gt;MAX(DKW_10Y!$A$2:$A$2918),Settings!$B$16&lt;MIN(DKW_10Y!$A$2:$A$2918)),NA(),(INDEX(DKW_10Y!$C$2:$C$2918,MATCH($A830,DKW_10Y!$A$2:$A$2918,1))-INDEX(DKW_10Y!$C$2:$C$2918,MATCH(Settings!$B$16,DKW_10Y!$A$2:$A$2918,1)))*100))</f>
        <v/>
      </c>
      <c r="Z830" s="19">
        <f>IF(NOT(ISNUMBER($A830)),NA(),IF(OR($A830&lt;MIN(DKW_10Y!$A$2:$A$2918),$A830&gt;MAX(DKW_10Y!$A$2:$A$2918),Settings!$B$16&lt;MIN(DKW_10Y!$A$2:$A$2918)),NA(),(INDEX(DKW_10Y!$D$2:$D$2918,MATCH($A830,DKW_10Y!$A$2:$A$2918,1))-INDEX(DKW_10Y!$D$2:$D$2918,MATCH(Settings!$B$16,DKW_10Y!$A$2:$A$2918,1)))*100))</f>
        <v/>
      </c>
      <c r="AA830" s="19">
        <f>IF(NOT(ISNUMBER($A830)),NA(),IF(OR($A830&lt;MIN(DKW_10Y!$A$2:$A$2918),$A830&gt;MAX(DKW_10Y!$A$2:$A$2918),Settings!$B$16&lt;MIN(DKW_10Y!$A$2:$A$2918)),NA(),(INDEX(DKW_10Y!$E$2:$E$2918,MATCH($A830,DKW_10Y!$A$2:$A$2918,1))-INDEX(DKW_10Y!$E$2:$E$2918,MATCH(Settings!$B$16,DKW_10Y!$A$2:$A$2918,1)))*100))</f>
        <v/>
      </c>
      <c r="AB830" s="19">
        <f>IF(NOT(ISNUMBER($A830)),NA(),IF(OR($A830&lt;MIN(DKW_10Y!$A$2:$A$2918),$A830&gt;MAX(DKW_10Y!$A$2:$A$2918),Settings!$B$16&lt;MIN(DKW_10Y!$A$2:$A$2918)),NA(),(INDEX(DKW_10Y!$H$2:$H$2918,MATCH($A830,DKW_10Y!$A$2:$A$2918,1))-INDEX(DKW_10Y!$H$2:$H$2918,MATCH(Settings!$B$16,DKW_10Y!$A$2:$A$2918,1)))*100))</f>
        <v/>
      </c>
      <c r="AC830" s="18">
        <f>IF(NOT(ISNUMBER($A830)),NA(),IFERROR(1*INDEX(BBG_Data!$N$2:$N$4000,MATCH($A830,BBG_Data!$M$2:$M$4000,0)),NA()))</f>
        <v/>
      </c>
      <c r="AD830" s="18">
        <f>IF(NOT(ISNUMBER($A830)),NA(),IFERROR(1*INDEX(BBG_Data!$P$2:$P$4000,MATCH($A830,BBG_Data!$O$2:$O$4000,0)),NA()))</f>
        <v/>
      </c>
      <c r="AE830" s="18">
        <f>IF(NOT(ISNUMBER($A830)),NA(),IFERROR(1*INDEX(BBG_Data!$R$2:$R$4000,MATCH($A830,BBG_Data!$Q$2:$Q$4000,0)),NA()))</f>
        <v/>
      </c>
      <c r="AF830" s="20">
        <f>IF(AND(ISNUMBER(B830),ISNUMBER(AC830)),(B830-AC830)*100,NA())</f>
        <v/>
      </c>
      <c r="AG830" s="20">
        <f>IF(AND(ISNUMBER(AE830),ISNUMBER(AD830)),(AE830-AD830)*100,NA())</f>
        <v/>
      </c>
      <c r="AH830" s="19">
        <f>IF(NOT(ISNUMBER($A830)),NA(),IFERROR(INDEX(BBG_Data!$T$2:$T$4000,MATCH($A830,BBG_Data!$S$2:$S$4000,0))*Settings!$B$25,NA()))</f>
        <v/>
      </c>
      <c r="AI830" s="19">
        <f>IF(NOT(ISNUMBER($A830)),NA(),IFERROR(INDEX(BBG_Data!$V$2:$V$4000,MATCH($A830,BBG_Data!$U$2:$U$4000,0))*Settings!$B$25,NA()))</f>
        <v/>
      </c>
      <c r="AJ830" s="19">
        <f>IF(NOT(ISNUMBER($A830)),NA(),IFERROR(1*INDEX(BBG_Data!$X$2:$X$4000,MATCH($A830,BBG_Data!$W$2:$W$4000,0)),NA()))</f>
        <v/>
      </c>
      <c r="AK830" s="19">
        <f>IF(NOT(ISNUMBER($A830)),NA(),IFERROR(1*INDEX(BBG_Data!$Z$2:$Z$4000,MATCH($A830,BBG_Data!$Y$2:$Y$4000,0)),NA()))</f>
        <v/>
      </c>
    </row>
    <row r="831">
      <c r="A831" s="17">
        <f>IF(ISNUMBER(BBG_Data!A831),BBG_Data!A831,"")</f>
        <v/>
      </c>
      <c r="B831" s="18">
        <f>IF(AND(ISNUMBER($A831),ISNUMBER(BBG_Data!B831)),BBG_Data!B831,NA())</f>
        <v/>
      </c>
      <c r="C831" s="18">
        <f>IF(NOT(ISNUMBER($A831)),NA(),IFERROR(1*INDEX(BBG_Data!$D$2:$D$4000,MATCH($A831,BBG_Data!$C$2:$C$4000,0)),NA()))</f>
        <v/>
      </c>
      <c r="D831" s="19">
        <f>IF(NOT(ISNUMBER($A831)),NA(),IFERROR(1*INDEX(BBG_Data!$F$2:$F$4000,MATCH($A831,BBG_Data!$E$2:$E$4000,0)),NA()))</f>
        <v/>
      </c>
      <c r="E831" s="19">
        <f>IF(NOT(ISNUMBER($A831)),NA(),IFERROR(1*INDEX(BBG_Data!$H$2:$H$4000,MATCH($A831,BBG_Data!$G$2:$G$4000,0)),NA()))</f>
        <v/>
      </c>
      <c r="F831" s="20">
        <f>IF(AND(ISNUMBER(B831),ISNUMBER(B830)),IF(B831=B830,"",(B831-B830)*100),"")</f>
        <v/>
      </c>
      <c r="G831" s="20">
        <f>IF(AND(ISNUMBER(C831),ISNUMBER(C830)),IF(C831=C830,"",(C831-C830)*100),"")</f>
        <v/>
      </c>
      <c r="H831" s="20">
        <f>IF(OR(NOT(ISNUMBER($A831)),ROW()-2&lt;Settings!$B$11),NA(),IF(COUNT(OFFSET(F831,1-Settings!$B$11,0,Settings!$B$11,1))&lt;ROUNDUP(Settings!$B$11*Settings!$B$26,0),NA(),STDEV(OFFSET(F831,1-Settings!$B$11,0,Settings!$B$11,1))*SQRT(Settings!$B$13)))</f>
        <v/>
      </c>
      <c r="I831" s="20">
        <f>IF(OR(NOT(ISNUMBER($A831)),ROW()-2&lt;Settings!$B$12),NA(),IF(COUNT(OFFSET(F831,1-Settings!$B$12,0,Settings!$B$12,1))&lt;ROUNDUP(Settings!$B$12*Settings!$B$26,0),NA(),STDEV(OFFSET(F831,1-Settings!$B$12,0,Settings!$B$12,1))*SQRT(Settings!$B$13)))</f>
        <v/>
      </c>
      <c r="J831" s="20">
        <f>IF(OR(NOT(ISNUMBER($A831)),ROW()-2&lt;Settings!$B$11),NA(),IF(COUNT(OFFSET(G831,1-Settings!$B$11,0,Settings!$B$11,1))&lt;ROUNDUP(Settings!$B$11*Settings!$B$26,0),NA(),STDEV(OFFSET(G831,1-Settings!$B$11,0,Settings!$B$11,1))*SQRT(Settings!$B$13)))</f>
        <v/>
      </c>
      <c r="K831" s="20">
        <f>IF(OR(NOT(ISNUMBER($A831)),ROW()-2&lt;Settings!$B$12),NA(),IF(COUNT(OFFSET(G831,1-Settings!$B$12,0,Settings!$B$12,1))&lt;ROUNDUP(Settings!$B$12*Settings!$B$26,0),NA(),STDEV(OFFSET(G831,1-Settings!$B$12,0,Settings!$B$12,1))*SQRT(Settings!$B$13)))</f>
        <v/>
      </c>
      <c r="L831" s="20">
        <f>IF(AND(ISNUMBER(D831),ISNUMBER(H831)),D831-H831,NA())</f>
        <v/>
      </c>
      <c r="M831" s="20">
        <f>IF(AND(ISNUMBER(E831),ISNUMBER(K831)),E831-K831,NA())</f>
        <v/>
      </c>
      <c r="N831" s="20">
        <f>IF(NOT(ISNUMBER($A831)),NA(),IF(COUNT(OFFSET(G831,1,0,Settings!$B$12,1))&lt;ROUNDUP(Settings!$B$12*Settings!$B$26,0),NA(),STDEV(OFFSET(G831,1,0,Settings!$B$12,1))*SQRT(Settings!$B$13)))</f>
        <v/>
      </c>
      <c r="O831" s="20">
        <f>IF(AND(ISNUMBER(E831),ISNUMBER(N831)),E831-N831,NA())</f>
        <v/>
      </c>
      <c r="P831" s="19">
        <f>IF(NOT(ISNUMBER($A831)),NA(),IF(OR($A831&lt;MIN(KW_TP!$A$2:$A$2501),$A831&gt;MAX(KW_TP!$A$2:$A$2501)),NA(),INDEX(KW_TP!$C$2:$C$2501,MATCH($A831,KW_TP!$A$2:$A$2501,1))))</f>
        <v/>
      </c>
      <c r="Q831" s="18">
        <f>IF(NOT(ISNUMBER($A831)),NA(),IFERROR(1*INDEX(BBG_Data!$J$2:$J$4000,MATCH($A831,BBG_Data!$I$2:$I$4000,0)),NA()))</f>
        <v/>
      </c>
      <c r="R831" s="18">
        <f>IF(NOT(ISNUMBER($A831)),NA(),IFERROR(1*INDEX(BBG_Data!$L$2:$L$4000,MATCH($A831,BBG_Data!$K$2:$K$4000,0)),NA()))</f>
        <v/>
      </c>
      <c r="S831" s="20">
        <f>IF(AND(ISNUMBER(B831),ISNUMBER(Q831),ISNUMBER(R831)),(B831-Q831-R831)*100,NA())</f>
        <v/>
      </c>
      <c r="T831" s="20">
        <f>IF(AND(ISNUMBER(B831),Settings!$B$17&gt;0),IF(ISNUMBER(INDEX($B:$B,Settings!$B$17)),(B831-INDEX($B:$B,Settings!$B$17))*100,NA()),NA())</f>
        <v/>
      </c>
      <c r="U831" s="20">
        <f>IF(AND(ISNUMBER(Q831),Settings!$B$17&gt;0),IF(ISNUMBER(INDEX($Q:$Q,Settings!$B$17)),(Q831-INDEX($Q:$Q,Settings!$B$17))*100,NA()),NA())</f>
        <v/>
      </c>
      <c r="V831" s="20">
        <f>IF(AND(ISNUMBER(R831),Settings!$B$17&gt;0),IF(ISNUMBER(INDEX($R:$R,Settings!$B$17)),(R831-INDEX($R:$R,Settings!$B$17))*100,NA()),NA())</f>
        <v/>
      </c>
      <c r="W831" s="20">
        <f>IF(AND(ISNUMBER(P831),Settings!$B$17&gt;0),IF(ISNUMBER(INDEX($P:$P,Settings!$B$17)),P831-INDEX($P:$P,Settings!$B$17),NA()),NA())</f>
        <v/>
      </c>
      <c r="X831" s="19">
        <f>IF(NOT(ISNUMBER($A831)),NA(),IF(OR($A831&lt;MIN(DKW_10Y!$A$2:$A$2918),$A831&gt;MAX(DKW_10Y!$A$2:$A$2918),Settings!$B$16&lt;MIN(DKW_10Y!$A$2:$A$2918)),NA(),(INDEX(DKW_10Y!$B$2:$B$2918,MATCH($A831,DKW_10Y!$A$2:$A$2918,1))-INDEX(DKW_10Y!$B$2:$B$2918,MATCH(Settings!$B$16,DKW_10Y!$A$2:$A$2918,1)))*100))</f>
        <v/>
      </c>
      <c r="Y831" s="19">
        <f>IF(NOT(ISNUMBER($A831)),NA(),IF(OR($A831&lt;MIN(DKW_10Y!$A$2:$A$2918),$A831&gt;MAX(DKW_10Y!$A$2:$A$2918),Settings!$B$16&lt;MIN(DKW_10Y!$A$2:$A$2918)),NA(),(INDEX(DKW_10Y!$C$2:$C$2918,MATCH($A831,DKW_10Y!$A$2:$A$2918,1))-INDEX(DKW_10Y!$C$2:$C$2918,MATCH(Settings!$B$16,DKW_10Y!$A$2:$A$2918,1)))*100))</f>
        <v/>
      </c>
      <c r="Z831" s="19">
        <f>IF(NOT(ISNUMBER($A831)),NA(),IF(OR($A831&lt;MIN(DKW_10Y!$A$2:$A$2918),$A831&gt;MAX(DKW_10Y!$A$2:$A$2918),Settings!$B$16&lt;MIN(DKW_10Y!$A$2:$A$2918)),NA(),(INDEX(DKW_10Y!$D$2:$D$2918,MATCH($A831,DKW_10Y!$A$2:$A$2918,1))-INDEX(DKW_10Y!$D$2:$D$2918,MATCH(Settings!$B$16,DKW_10Y!$A$2:$A$2918,1)))*100))</f>
        <v/>
      </c>
      <c r="AA831" s="19">
        <f>IF(NOT(ISNUMBER($A831)),NA(),IF(OR($A831&lt;MIN(DKW_10Y!$A$2:$A$2918),$A831&gt;MAX(DKW_10Y!$A$2:$A$2918),Settings!$B$16&lt;MIN(DKW_10Y!$A$2:$A$2918)),NA(),(INDEX(DKW_10Y!$E$2:$E$2918,MATCH($A831,DKW_10Y!$A$2:$A$2918,1))-INDEX(DKW_10Y!$E$2:$E$2918,MATCH(Settings!$B$16,DKW_10Y!$A$2:$A$2918,1)))*100))</f>
        <v/>
      </c>
      <c r="AB831" s="19">
        <f>IF(NOT(ISNUMBER($A831)),NA(),IF(OR($A831&lt;MIN(DKW_10Y!$A$2:$A$2918),$A831&gt;MAX(DKW_10Y!$A$2:$A$2918),Settings!$B$16&lt;MIN(DKW_10Y!$A$2:$A$2918)),NA(),(INDEX(DKW_10Y!$H$2:$H$2918,MATCH($A831,DKW_10Y!$A$2:$A$2918,1))-INDEX(DKW_10Y!$H$2:$H$2918,MATCH(Settings!$B$16,DKW_10Y!$A$2:$A$2918,1)))*100))</f>
        <v/>
      </c>
      <c r="AC831" s="18">
        <f>IF(NOT(ISNUMBER($A831)),NA(),IFERROR(1*INDEX(BBG_Data!$N$2:$N$4000,MATCH($A831,BBG_Data!$M$2:$M$4000,0)),NA()))</f>
        <v/>
      </c>
      <c r="AD831" s="18">
        <f>IF(NOT(ISNUMBER($A831)),NA(),IFERROR(1*INDEX(BBG_Data!$P$2:$P$4000,MATCH($A831,BBG_Data!$O$2:$O$4000,0)),NA()))</f>
        <v/>
      </c>
      <c r="AE831" s="18">
        <f>IF(NOT(ISNUMBER($A831)),NA(),IFERROR(1*INDEX(BBG_Data!$R$2:$R$4000,MATCH($A831,BBG_Data!$Q$2:$Q$4000,0)),NA()))</f>
        <v/>
      </c>
      <c r="AF831" s="20">
        <f>IF(AND(ISNUMBER(B831),ISNUMBER(AC831)),(B831-AC831)*100,NA())</f>
        <v/>
      </c>
      <c r="AG831" s="20">
        <f>IF(AND(ISNUMBER(AE831),ISNUMBER(AD831)),(AE831-AD831)*100,NA())</f>
        <v/>
      </c>
      <c r="AH831" s="19">
        <f>IF(NOT(ISNUMBER($A831)),NA(),IFERROR(INDEX(BBG_Data!$T$2:$T$4000,MATCH($A831,BBG_Data!$S$2:$S$4000,0))*Settings!$B$25,NA()))</f>
        <v/>
      </c>
      <c r="AI831" s="19">
        <f>IF(NOT(ISNUMBER($A831)),NA(),IFERROR(INDEX(BBG_Data!$V$2:$V$4000,MATCH($A831,BBG_Data!$U$2:$U$4000,0))*Settings!$B$25,NA()))</f>
        <v/>
      </c>
      <c r="AJ831" s="19">
        <f>IF(NOT(ISNUMBER($A831)),NA(),IFERROR(1*INDEX(BBG_Data!$X$2:$X$4000,MATCH($A831,BBG_Data!$W$2:$W$4000,0)),NA()))</f>
        <v/>
      </c>
      <c r="AK831" s="19">
        <f>IF(NOT(ISNUMBER($A831)),NA(),IFERROR(1*INDEX(BBG_Data!$Z$2:$Z$4000,MATCH($A831,BBG_Data!$Y$2:$Y$4000,0)),NA()))</f>
        <v/>
      </c>
    </row>
    <row r="832">
      <c r="A832" s="17">
        <f>IF(ISNUMBER(BBG_Data!A832),BBG_Data!A832,"")</f>
        <v/>
      </c>
      <c r="B832" s="18">
        <f>IF(AND(ISNUMBER($A832),ISNUMBER(BBG_Data!B832)),BBG_Data!B832,NA())</f>
        <v/>
      </c>
      <c r="C832" s="18">
        <f>IF(NOT(ISNUMBER($A832)),NA(),IFERROR(1*INDEX(BBG_Data!$D$2:$D$4000,MATCH($A832,BBG_Data!$C$2:$C$4000,0)),NA()))</f>
        <v/>
      </c>
      <c r="D832" s="19">
        <f>IF(NOT(ISNUMBER($A832)),NA(),IFERROR(1*INDEX(BBG_Data!$F$2:$F$4000,MATCH($A832,BBG_Data!$E$2:$E$4000,0)),NA()))</f>
        <v/>
      </c>
      <c r="E832" s="19">
        <f>IF(NOT(ISNUMBER($A832)),NA(),IFERROR(1*INDEX(BBG_Data!$H$2:$H$4000,MATCH($A832,BBG_Data!$G$2:$G$4000,0)),NA()))</f>
        <v/>
      </c>
      <c r="F832" s="20">
        <f>IF(AND(ISNUMBER(B832),ISNUMBER(B831)),IF(B832=B831,"",(B832-B831)*100),"")</f>
        <v/>
      </c>
      <c r="G832" s="20">
        <f>IF(AND(ISNUMBER(C832),ISNUMBER(C831)),IF(C832=C831,"",(C832-C831)*100),"")</f>
        <v/>
      </c>
      <c r="H832" s="20">
        <f>IF(OR(NOT(ISNUMBER($A832)),ROW()-2&lt;Settings!$B$11),NA(),IF(COUNT(OFFSET(F832,1-Settings!$B$11,0,Settings!$B$11,1))&lt;ROUNDUP(Settings!$B$11*Settings!$B$26,0),NA(),STDEV(OFFSET(F832,1-Settings!$B$11,0,Settings!$B$11,1))*SQRT(Settings!$B$13)))</f>
        <v/>
      </c>
      <c r="I832" s="20">
        <f>IF(OR(NOT(ISNUMBER($A832)),ROW()-2&lt;Settings!$B$12),NA(),IF(COUNT(OFFSET(F832,1-Settings!$B$12,0,Settings!$B$12,1))&lt;ROUNDUP(Settings!$B$12*Settings!$B$26,0),NA(),STDEV(OFFSET(F832,1-Settings!$B$12,0,Settings!$B$12,1))*SQRT(Settings!$B$13)))</f>
        <v/>
      </c>
      <c r="J832" s="20">
        <f>IF(OR(NOT(ISNUMBER($A832)),ROW()-2&lt;Settings!$B$11),NA(),IF(COUNT(OFFSET(G832,1-Settings!$B$11,0,Settings!$B$11,1))&lt;ROUNDUP(Settings!$B$11*Settings!$B$26,0),NA(),STDEV(OFFSET(G832,1-Settings!$B$11,0,Settings!$B$11,1))*SQRT(Settings!$B$13)))</f>
        <v/>
      </c>
      <c r="K832" s="20">
        <f>IF(OR(NOT(ISNUMBER($A832)),ROW()-2&lt;Settings!$B$12),NA(),IF(COUNT(OFFSET(G832,1-Settings!$B$12,0,Settings!$B$12,1))&lt;ROUNDUP(Settings!$B$12*Settings!$B$26,0),NA(),STDEV(OFFSET(G832,1-Settings!$B$12,0,Settings!$B$12,1))*SQRT(Settings!$B$13)))</f>
        <v/>
      </c>
      <c r="L832" s="20">
        <f>IF(AND(ISNUMBER(D832),ISNUMBER(H832)),D832-H832,NA())</f>
        <v/>
      </c>
      <c r="M832" s="20">
        <f>IF(AND(ISNUMBER(E832),ISNUMBER(K832)),E832-K832,NA())</f>
        <v/>
      </c>
      <c r="N832" s="20">
        <f>IF(NOT(ISNUMBER($A832)),NA(),IF(COUNT(OFFSET(G832,1,0,Settings!$B$12,1))&lt;ROUNDUP(Settings!$B$12*Settings!$B$26,0),NA(),STDEV(OFFSET(G832,1,0,Settings!$B$12,1))*SQRT(Settings!$B$13)))</f>
        <v/>
      </c>
      <c r="O832" s="20">
        <f>IF(AND(ISNUMBER(E832),ISNUMBER(N832)),E832-N832,NA())</f>
        <v/>
      </c>
      <c r="P832" s="19">
        <f>IF(NOT(ISNUMBER($A832)),NA(),IF(OR($A832&lt;MIN(KW_TP!$A$2:$A$2501),$A832&gt;MAX(KW_TP!$A$2:$A$2501)),NA(),INDEX(KW_TP!$C$2:$C$2501,MATCH($A832,KW_TP!$A$2:$A$2501,1))))</f>
        <v/>
      </c>
      <c r="Q832" s="18">
        <f>IF(NOT(ISNUMBER($A832)),NA(),IFERROR(1*INDEX(BBG_Data!$J$2:$J$4000,MATCH($A832,BBG_Data!$I$2:$I$4000,0)),NA()))</f>
        <v/>
      </c>
      <c r="R832" s="18">
        <f>IF(NOT(ISNUMBER($A832)),NA(),IFERROR(1*INDEX(BBG_Data!$L$2:$L$4000,MATCH($A832,BBG_Data!$K$2:$K$4000,0)),NA()))</f>
        <v/>
      </c>
      <c r="S832" s="20">
        <f>IF(AND(ISNUMBER(B832),ISNUMBER(Q832),ISNUMBER(R832)),(B832-Q832-R832)*100,NA())</f>
        <v/>
      </c>
      <c r="T832" s="20">
        <f>IF(AND(ISNUMBER(B832),Settings!$B$17&gt;0),IF(ISNUMBER(INDEX($B:$B,Settings!$B$17)),(B832-INDEX($B:$B,Settings!$B$17))*100,NA()),NA())</f>
        <v/>
      </c>
      <c r="U832" s="20">
        <f>IF(AND(ISNUMBER(Q832),Settings!$B$17&gt;0),IF(ISNUMBER(INDEX($Q:$Q,Settings!$B$17)),(Q832-INDEX($Q:$Q,Settings!$B$17))*100,NA()),NA())</f>
        <v/>
      </c>
      <c r="V832" s="20">
        <f>IF(AND(ISNUMBER(R832),Settings!$B$17&gt;0),IF(ISNUMBER(INDEX($R:$R,Settings!$B$17)),(R832-INDEX($R:$R,Settings!$B$17))*100,NA()),NA())</f>
        <v/>
      </c>
      <c r="W832" s="20">
        <f>IF(AND(ISNUMBER(P832),Settings!$B$17&gt;0),IF(ISNUMBER(INDEX($P:$P,Settings!$B$17)),P832-INDEX($P:$P,Settings!$B$17),NA()),NA())</f>
        <v/>
      </c>
      <c r="X832" s="19">
        <f>IF(NOT(ISNUMBER($A832)),NA(),IF(OR($A832&lt;MIN(DKW_10Y!$A$2:$A$2918),$A832&gt;MAX(DKW_10Y!$A$2:$A$2918),Settings!$B$16&lt;MIN(DKW_10Y!$A$2:$A$2918)),NA(),(INDEX(DKW_10Y!$B$2:$B$2918,MATCH($A832,DKW_10Y!$A$2:$A$2918,1))-INDEX(DKW_10Y!$B$2:$B$2918,MATCH(Settings!$B$16,DKW_10Y!$A$2:$A$2918,1)))*100))</f>
        <v/>
      </c>
      <c r="Y832" s="19">
        <f>IF(NOT(ISNUMBER($A832)),NA(),IF(OR($A832&lt;MIN(DKW_10Y!$A$2:$A$2918),$A832&gt;MAX(DKW_10Y!$A$2:$A$2918),Settings!$B$16&lt;MIN(DKW_10Y!$A$2:$A$2918)),NA(),(INDEX(DKW_10Y!$C$2:$C$2918,MATCH($A832,DKW_10Y!$A$2:$A$2918,1))-INDEX(DKW_10Y!$C$2:$C$2918,MATCH(Settings!$B$16,DKW_10Y!$A$2:$A$2918,1)))*100))</f>
        <v/>
      </c>
      <c r="Z832" s="19">
        <f>IF(NOT(ISNUMBER($A832)),NA(),IF(OR($A832&lt;MIN(DKW_10Y!$A$2:$A$2918),$A832&gt;MAX(DKW_10Y!$A$2:$A$2918),Settings!$B$16&lt;MIN(DKW_10Y!$A$2:$A$2918)),NA(),(INDEX(DKW_10Y!$D$2:$D$2918,MATCH($A832,DKW_10Y!$A$2:$A$2918,1))-INDEX(DKW_10Y!$D$2:$D$2918,MATCH(Settings!$B$16,DKW_10Y!$A$2:$A$2918,1)))*100))</f>
        <v/>
      </c>
      <c r="AA832" s="19">
        <f>IF(NOT(ISNUMBER($A832)),NA(),IF(OR($A832&lt;MIN(DKW_10Y!$A$2:$A$2918),$A832&gt;MAX(DKW_10Y!$A$2:$A$2918),Settings!$B$16&lt;MIN(DKW_10Y!$A$2:$A$2918)),NA(),(INDEX(DKW_10Y!$E$2:$E$2918,MATCH($A832,DKW_10Y!$A$2:$A$2918,1))-INDEX(DKW_10Y!$E$2:$E$2918,MATCH(Settings!$B$16,DKW_10Y!$A$2:$A$2918,1)))*100))</f>
        <v/>
      </c>
      <c r="AB832" s="19">
        <f>IF(NOT(ISNUMBER($A832)),NA(),IF(OR($A832&lt;MIN(DKW_10Y!$A$2:$A$2918),$A832&gt;MAX(DKW_10Y!$A$2:$A$2918),Settings!$B$16&lt;MIN(DKW_10Y!$A$2:$A$2918)),NA(),(INDEX(DKW_10Y!$H$2:$H$2918,MATCH($A832,DKW_10Y!$A$2:$A$2918,1))-INDEX(DKW_10Y!$H$2:$H$2918,MATCH(Settings!$B$16,DKW_10Y!$A$2:$A$2918,1)))*100))</f>
        <v/>
      </c>
      <c r="AC832" s="18">
        <f>IF(NOT(ISNUMBER($A832)),NA(),IFERROR(1*INDEX(BBG_Data!$N$2:$N$4000,MATCH($A832,BBG_Data!$M$2:$M$4000,0)),NA()))</f>
        <v/>
      </c>
      <c r="AD832" s="18">
        <f>IF(NOT(ISNUMBER($A832)),NA(),IFERROR(1*INDEX(BBG_Data!$P$2:$P$4000,MATCH($A832,BBG_Data!$O$2:$O$4000,0)),NA()))</f>
        <v/>
      </c>
      <c r="AE832" s="18">
        <f>IF(NOT(ISNUMBER($A832)),NA(),IFERROR(1*INDEX(BBG_Data!$R$2:$R$4000,MATCH($A832,BBG_Data!$Q$2:$Q$4000,0)),NA()))</f>
        <v/>
      </c>
      <c r="AF832" s="20">
        <f>IF(AND(ISNUMBER(B832),ISNUMBER(AC832)),(B832-AC832)*100,NA())</f>
        <v/>
      </c>
      <c r="AG832" s="20">
        <f>IF(AND(ISNUMBER(AE832),ISNUMBER(AD832)),(AE832-AD832)*100,NA())</f>
        <v/>
      </c>
      <c r="AH832" s="19">
        <f>IF(NOT(ISNUMBER($A832)),NA(),IFERROR(INDEX(BBG_Data!$T$2:$T$4000,MATCH($A832,BBG_Data!$S$2:$S$4000,0))*Settings!$B$25,NA()))</f>
        <v/>
      </c>
      <c r="AI832" s="19">
        <f>IF(NOT(ISNUMBER($A832)),NA(),IFERROR(INDEX(BBG_Data!$V$2:$V$4000,MATCH($A832,BBG_Data!$U$2:$U$4000,0))*Settings!$B$25,NA()))</f>
        <v/>
      </c>
      <c r="AJ832" s="19">
        <f>IF(NOT(ISNUMBER($A832)),NA(),IFERROR(1*INDEX(BBG_Data!$X$2:$X$4000,MATCH($A832,BBG_Data!$W$2:$W$4000,0)),NA()))</f>
        <v/>
      </c>
      <c r="AK832" s="19">
        <f>IF(NOT(ISNUMBER($A832)),NA(),IFERROR(1*INDEX(BBG_Data!$Z$2:$Z$4000,MATCH($A832,BBG_Data!$Y$2:$Y$4000,0)),NA()))</f>
        <v/>
      </c>
    </row>
    <row r="833">
      <c r="A833" s="17">
        <f>IF(ISNUMBER(BBG_Data!A833),BBG_Data!A833,"")</f>
        <v/>
      </c>
      <c r="B833" s="18">
        <f>IF(AND(ISNUMBER($A833),ISNUMBER(BBG_Data!B833)),BBG_Data!B833,NA())</f>
        <v/>
      </c>
      <c r="C833" s="18">
        <f>IF(NOT(ISNUMBER($A833)),NA(),IFERROR(1*INDEX(BBG_Data!$D$2:$D$4000,MATCH($A833,BBG_Data!$C$2:$C$4000,0)),NA()))</f>
        <v/>
      </c>
      <c r="D833" s="19">
        <f>IF(NOT(ISNUMBER($A833)),NA(),IFERROR(1*INDEX(BBG_Data!$F$2:$F$4000,MATCH($A833,BBG_Data!$E$2:$E$4000,0)),NA()))</f>
        <v/>
      </c>
      <c r="E833" s="19">
        <f>IF(NOT(ISNUMBER($A833)),NA(),IFERROR(1*INDEX(BBG_Data!$H$2:$H$4000,MATCH($A833,BBG_Data!$G$2:$G$4000,0)),NA()))</f>
        <v/>
      </c>
      <c r="F833" s="20">
        <f>IF(AND(ISNUMBER(B833),ISNUMBER(B832)),IF(B833=B832,"",(B833-B832)*100),"")</f>
        <v/>
      </c>
      <c r="G833" s="20">
        <f>IF(AND(ISNUMBER(C833),ISNUMBER(C832)),IF(C833=C832,"",(C833-C832)*100),"")</f>
        <v/>
      </c>
      <c r="H833" s="20">
        <f>IF(OR(NOT(ISNUMBER($A833)),ROW()-2&lt;Settings!$B$11),NA(),IF(COUNT(OFFSET(F833,1-Settings!$B$11,0,Settings!$B$11,1))&lt;ROUNDUP(Settings!$B$11*Settings!$B$26,0),NA(),STDEV(OFFSET(F833,1-Settings!$B$11,0,Settings!$B$11,1))*SQRT(Settings!$B$13)))</f>
        <v/>
      </c>
      <c r="I833" s="20">
        <f>IF(OR(NOT(ISNUMBER($A833)),ROW()-2&lt;Settings!$B$12),NA(),IF(COUNT(OFFSET(F833,1-Settings!$B$12,0,Settings!$B$12,1))&lt;ROUNDUP(Settings!$B$12*Settings!$B$26,0),NA(),STDEV(OFFSET(F833,1-Settings!$B$12,0,Settings!$B$12,1))*SQRT(Settings!$B$13)))</f>
        <v/>
      </c>
      <c r="J833" s="20">
        <f>IF(OR(NOT(ISNUMBER($A833)),ROW()-2&lt;Settings!$B$11),NA(),IF(COUNT(OFFSET(G833,1-Settings!$B$11,0,Settings!$B$11,1))&lt;ROUNDUP(Settings!$B$11*Settings!$B$26,0),NA(),STDEV(OFFSET(G833,1-Settings!$B$11,0,Settings!$B$11,1))*SQRT(Settings!$B$13)))</f>
        <v/>
      </c>
      <c r="K833" s="20">
        <f>IF(OR(NOT(ISNUMBER($A833)),ROW()-2&lt;Settings!$B$12),NA(),IF(COUNT(OFFSET(G833,1-Settings!$B$12,0,Settings!$B$12,1))&lt;ROUNDUP(Settings!$B$12*Settings!$B$26,0),NA(),STDEV(OFFSET(G833,1-Settings!$B$12,0,Settings!$B$12,1))*SQRT(Settings!$B$13)))</f>
        <v/>
      </c>
      <c r="L833" s="20">
        <f>IF(AND(ISNUMBER(D833),ISNUMBER(H833)),D833-H833,NA())</f>
        <v/>
      </c>
      <c r="M833" s="20">
        <f>IF(AND(ISNUMBER(E833),ISNUMBER(K833)),E833-K833,NA())</f>
        <v/>
      </c>
      <c r="N833" s="20">
        <f>IF(NOT(ISNUMBER($A833)),NA(),IF(COUNT(OFFSET(G833,1,0,Settings!$B$12,1))&lt;ROUNDUP(Settings!$B$12*Settings!$B$26,0),NA(),STDEV(OFFSET(G833,1,0,Settings!$B$12,1))*SQRT(Settings!$B$13)))</f>
        <v/>
      </c>
      <c r="O833" s="20">
        <f>IF(AND(ISNUMBER(E833),ISNUMBER(N833)),E833-N833,NA())</f>
        <v/>
      </c>
      <c r="P833" s="19">
        <f>IF(NOT(ISNUMBER($A833)),NA(),IF(OR($A833&lt;MIN(KW_TP!$A$2:$A$2501),$A833&gt;MAX(KW_TP!$A$2:$A$2501)),NA(),INDEX(KW_TP!$C$2:$C$2501,MATCH($A833,KW_TP!$A$2:$A$2501,1))))</f>
        <v/>
      </c>
      <c r="Q833" s="18">
        <f>IF(NOT(ISNUMBER($A833)),NA(),IFERROR(1*INDEX(BBG_Data!$J$2:$J$4000,MATCH($A833,BBG_Data!$I$2:$I$4000,0)),NA()))</f>
        <v/>
      </c>
      <c r="R833" s="18">
        <f>IF(NOT(ISNUMBER($A833)),NA(),IFERROR(1*INDEX(BBG_Data!$L$2:$L$4000,MATCH($A833,BBG_Data!$K$2:$K$4000,0)),NA()))</f>
        <v/>
      </c>
      <c r="S833" s="20">
        <f>IF(AND(ISNUMBER(B833),ISNUMBER(Q833),ISNUMBER(R833)),(B833-Q833-R833)*100,NA())</f>
        <v/>
      </c>
      <c r="T833" s="20">
        <f>IF(AND(ISNUMBER(B833),Settings!$B$17&gt;0),IF(ISNUMBER(INDEX($B:$B,Settings!$B$17)),(B833-INDEX($B:$B,Settings!$B$17))*100,NA()),NA())</f>
        <v/>
      </c>
      <c r="U833" s="20">
        <f>IF(AND(ISNUMBER(Q833),Settings!$B$17&gt;0),IF(ISNUMBER(INDEX($Q:$Q,Settings!$B$17)),(Q833-INDEX($Q:$Q,Settings!$B$17))*100,NA()),NA())</f>
        <v/>
      </c>
      <c r="V833" s="20">
        <f>IF(AND(ISNUMBER(R833),Settings!$B$17&gt;0),IF(ISNUMBER(INDEX($R:$R,Settings!$B$17)),(R833-INDEX($R:$R,Settings!$B$17))*100,NA()),NA())</f>
        <v/>
      </c>
      <c r="W833" s="20">
        <f>IF(AND(ISNUMBER(P833),Settings!$B$17&gt;0),IF(ISNUMBER(INDEX($P:$P,Settings!$B$17)),P833-INDEX($P:$P,Settings!$B$17),NA()),NA())</f>
        <v/>
      </c>
      <c r="X833" s="19">
        <f>IF(NOT(ISNUMBER($A833)),NA(),IF(OR($A833&lt;MIN(DKW_10Y!$A$2:$A$2918),$A833&gt;MAX(DKW_10Y!$A$2:$A$2918),Settings!$B$16&lt;MIN(DKW_10Y!$A$2:$A$2918)),NA(),(INDEX(DKW_10Y!$B$2:$B$2918,MATCH($A833,DKW_10Y!$A$2:$A$2918,1))-INDEX(DKW_10Y!$B$2:$B$2918,MATCH(Settings!$B$16,DKW_10Y!$A$2:$A$2918,1)))*100))</f>
        <v/>
      </c>
      <c r="Y833" s="19">
        <f>IF(NOT(ISNUMBER($A833)),NA(),IF(OR($A833&lt;MIN(DKW_10Y!$A$2:$A$2918),$A833&gt;MAX(DKW_10Y!$A$2:$A$2918),Settings!$B$16&lt;MIN(DKW_10Y!$A$2:$A$2918)),NA(),(INDEX(DKW_10Y!$C$2:$C$2918,MATCH($A833,DKW_10Y!$A$2:$A$2918,1))-INDEX(DKW_10Y!$C$2:$C$2918,MATCH(Settings!$B$16,DKW_10Y!$A$2:$A$2918,1)))*100))</f>
        <v/>
      </c>
      <c r="Z833" s="19">
        <f>IF(NOT(ISNUMBER($A833)),NA(),IF(OR($A833&lt;MIN(DKW_10Y!$A$2:$A$2918),$A833&gt;MAX(DKW_10Y!$A$2:$A$2918),Settings!$B$16&lt;MIN(DKW_10Y!$A$2:$A$2918)),NA(),(INDEX(DKW_10Y!$D$2:$D$2918,MATCH($A833,DKW_10Y!$A$2:$A$2918,1))-INDEX(DKW_10Y!$D$2:$D$2918,MATCH(Settings!$B$16,DKW_10Y!$A$2:$A$2918,1)))*100))</f>
        <v/>
      </c>
      <c r="AA833" s="19">
        <f>IF(NOT(ISNUMBER($A833)),NA(),IF(OR($A833&lt;MIN(DKW_10Y!$A$2:$A$2918),$A833&gt;MAX(DKW_10Y!$A$2:$A$2918),Settings!$B$16&lt;MIN(DKW_10Y!$A$2:$A$2918)),NA(),(INDEX(DKW_10Y!$E$2:$E$2918,MATCH($A833,DKW_10Y!$A$2:$A$2918,1))-INDEX(DKW_10Y!$E$2:$E$2918,MATCH(Settings!$B$16,DKW_10Y!$A$2:$A$2918,1)))*100))</f>
        <v/>
      </c>
      <c r="AB833" s="19">
        <f>IF(NOT(ISNUMBER($A833)),NA(),IF(OR($A833&lt;MIN(DKW_10Y!$A$2:$A$2918),$A833&gt;MAX(DKW_10Y!$A$2:$A$2918),Settings!$B$16&lt;MIN(DKW_10Y!$A$2:$A$2918)),NA(),(INDEX(DKW_10Y!$H$2:$H$2918,MATCH($A833,DKW_10Y!$A$2:$A$2918,1))-INDEX(DKW_10Y!$H$2:$H$2918,MATCH(Settings!$B$16,DKW_10Y!$A$2:$A$2918,1)))*100))</f>
        <v/>
      </c>
      <c r="AC833" s="18">
        <f>IF(NOT(ISNUMBER($A833)),NA(),IFERROR(1*INDEX(BBG_Data!$N$2:$N$4000,MATCH($A833,BBG_Data!$M$2:$M$4000,0)),NA()))</f>
        <v/>
      </c>
      <c r="AD833" s="18">
        <f>IF(NOT(ISNUMBER($A833)),NA(),IFERROR(1*INDEX(BBG_Data!$P$2:$P$4000,MATCH($A833,BBG_Data!$O$2:$O$4000,0)),NA()))</f>
        <v/>
      </c>
      <c r="AE833" s="18">
        <f>IF(NOT(ISNUMBER($A833)),NA(),IFERROR(1*INDEX(BBG_Data!$R$2:$R$4000,MATCH($A833,BBG_Data!$Q$2:$Q$4000,0)),NA()))</f>
        <v/>
      </c>
      <c r="AF833" s="20">
        <f>IF(AND(ISNUMBER(B833),ISNUMBER(AC833)),(B833-AC833)*100,NA())</f>
        <v/>
      </c>
      <c r="AG833" s="20">
        <f>IF(AND(ISNUMBER(AE833),ISNUMBER(AD833)),(AE833-AD833)*100,NA())</f>
        <v/>
      </c>
      <c r="AH833" s="19">
        <f>IF(NOT(ISNUMBER($A833)),NA(),IFERROR(INDEX(BBG_Data!$T$2:$T$4000,MATCH($A833,BBG_Data!$S$2:$S$4000,0))*Settings!$B$25,NA()))</f>
        <v/>
      </c>
      <c r="AI833" s="19">
        <f>IF(NOT(ISNUMBER($A833)),NA(),IFERROR(INDEX(BBG_Data!$V$2:$V$4000,MATCH($A833,BBG_Data!$U$2:$U$4000,0))*Settings!$B$25,NA()))</f>
        <v/>
      </c>
      <c r="AJ833" s="19">
        <f>IF(NOT(ISNUMBER($A833)),NA(),IFERROR(1*INDEX(BBG_Data!$X$2:$X$4000,MATCH($A833,BBG_Data!$W$2:$W$4000,0)),NA()))</f>
        <v/>
      </c>
      <c r="AK833" s="19">
        <f>IF(NOT(ISNUMBER($A833)),NA(),IFERROR(1*INDEX(BBG_Data!$Z$2:$Z$4000,MATCH($A833,BBG_Data!$Y$2:$Y$4000,0)),NA()))</f>
        <v/>
      </c>
    </row>
    <row r="834">
      <c r="A834" s="17">
        <f>IF(ISNUMBER(BBG_Data!A834),BBG_Data!A834,"")</f>
        <v/>
      </c>
      <c r="B834" s="18">
        <f>IF(AND(ISNUMBER($A834),ISNUMBER(BBG_Data!B834)),BBG_Data!B834,NA())</f>
        <v/>
      </c>
      <c r="C834" s="18">
        <f>IF(NOT(ISNUMBER($A834)),NA(),IFERROR(1*INDEX(BBG_Data!$D$2:$D$4000,MATCH($A834,BBG_Data!$C$2:$C$4000,0)),NA()))</f>
        <v/>
      </c>
      <c r="D834" s="19">
        <f>IF(NOT(ISNUMBER($A834)),NA(),IFERROR(1*INDEX(BBG_Data!$F$2:$F$4000,MATCH($A834,BBG_Data!$E$2:$E$4000,0)),NA()))</f>
        <v/>
      </c>
      <c r="E834" s="19">
        <f>IF(NOT(ISNUMBER($A834)),NA(),IFERROR(1*INDEX(BBG_Data!$H$2:$H$4000,MATCH($A834,BBG_Data!$G$2:$G$4000,0)),NA()))</f>
        <v/>
      </c>
      <c r="F834" s="20">
        <f>IF(AND(ISNUMBER(B834),ISNUMBER(B833)),IF(B834=B833,"",(B834-B833)*100),"")</f>
        <v/>
      </c>
      <c r="G834" s="20">
        <f>IF(AND(ISNUMBER(C834),ISNUMBER(C833)),IF(C834=C833,"",(C834-C833)*100),"")</f>
        <v/>
      </c>
      <c r="H834" s="20">
        <f>IF(OR(NOT(ISNUMBER($A834)),ROW()-2&lt;Settings!$B$11),NA(),IF(COUNT(OFFSET(F834,1-Settings!$B$11,0,Settings!$B$11,1))&lt;ROUNDUP(Settings!$B$11*Settings!$B$26,0),NA(),STDEV(OFFSET(F834,1-Settings!$B$11,0,Settings!$B$11,1))*SQRT(Settings!$B$13)))</f>
        <v/>
      </c>
      <c r="I834" s="20">
        <f>IF(OR(NOT(ISNUMBER($A834)),ROW()-2&lt;Settings!$B$12),NA(),IF(COUNT(OFFSET(F834,1-Settings!$B$12,0,Settings!$B$12,1))&lt;ROUNDUP(Settings!$B$12*Settings!$B$26,0),NA(),STDEV(OFFSET(F834,1-Settings!$B$12,0,Settings!$B$12,1))*SQRT(Settings!$B$13)))</f>
        <v/>
      </c>
      <c r="J834" s="20">
        <f>IF(OR(NOT(ISNUMBER($A834)),ROW()-2&lt;Settings!$B$11),NA(),IF(COUNT(OFFSET(G834,1-Settings!$B$11,0,Settings!$B$11,1))&lt;ROUNDUP(Settings!$B$11*Settings!$B$26,0),NA(),STDEV(OFFSET(G834,1-Settings!$B$11,0,Settings!$B$11,1))*SQRT(Settings!$B$13)))</f>
        <v/>
      </c>
      <c r="K834" s="20">
        <f>IF(OR(NOT(ISNUMBER($A834)),ROW()-2&lt;Settings!$B$12),NA(),IF(COUNT(OFFSET(G834,1-Settings!$B$12,0,Settings!$B$12,1))&lt;ROUNDUP(Settings!$B$12*Settings!$B$26,0),NA(),STDEV(OFFSET(G834,1-Settings!$B$12,0,Settings!$B$12,1))*SQRT(Settings!$B$13)))</f>
        <v/>
      </c>
      <c r="L834" s="20">
        <f>IF(AND(ISNUMBER(D834),ISNUMBER(H834)),D834-H834,NA())</f>
        <v/>
      </c>
      <c r="M834" s="20">
        <f>IF(AND(ISNUMBER(E834),ISNUMBER(K834)),E834-K834,NA())</f>
        <v/>
      </c>
      <c r="N834" s="20">
        <f>IF(NOT(ISNUMBER($A834)),NA(),IF(COUNT(OFFSET(G834,1,0,Settings!$B$12,1))&lt;ROUNDUP(Settings!$B$12*Settings!$B$26,0),NA(),STDEV(OFFSET(G834,1,0,Settings!$B$12,1))*SQRT(Settings!$B$13)))</f>
        <v/>
      </c>
      <c r="O834" s="20">
        <f>IF(AND(ISNUMBER(E834),ISNUMBER(N834)),E834-N834,NA())</f>
        <v/>
      </c>
      <c r="P834" s="19">
        <f>IF(NOT(ISNUMBER($A834)),NA(),IF(OR($A834&lt;MIN(KW_TP!$A$2:$A$2501),$A834&gt;MAX(KW_TP!$A$2:$A$2501)),NA(),INDEX(KW_TP!$C$2:$C$2501,MATCH($A834,KW_TP!$A$2:$A$2501,1))))</f>
        <v/>
      </c>
      <c r="Q834" s="18">
        <f>IF(NOT(ISNUMBER($A834)),NA(),IFERROR(1*INDEX(BBG_Data!$J$2:$J$4000,MATCH($A834,BBG_Data!$I$2:$I$4000,0)),NA()))</f>
        <v/>
      </c>
      <c r="R834" s="18">
        <f>IF(NOT(ISNUMBER($A834)),NA(),IFERROR(1*INDEX(BBG_Data!$L$2:$L$4000,MATCH($A834,BBG_Data!$K$2:$K$4000,0)),NA()))</f>
        <v/>
      </c>
      <c r="S834" s="20">
        <f>IF(AND(ISNUMBER(B834),ISNUMBER(Q834),ISNUMBER(R834)),(B834-Q834-R834)*100,NA())</f>
        <v/>
      </c>
      <c r="T834" s="20">
        <f>IF(AND(ISNUMBER(B834),Settings!$B$17&gt;0),IF(ISNUMBER(INDEX($B:$B,Settings!$B$17)),(B834-INDEX($B:$B,Settings!$B$17))*100,NA()),NA())</f>
        <v/>
      </c>
      <c r="U834" s="20">
        <f>IF(AND(ISNUMBER(Q834),Settings!$B$17&gt;0),IF(ISNUMBER(INDEX($Q:$Q,Settings!$B$17)),(Q834-INDEX($Q:$Q,Settings!$B$17))*100,NA()),NA())</f>
        <v/>
      </c>
      <c r="V834" s="20">
        <f>IF(AND(ISNUMBER(R834),Settings!$B$17&gt;0),IF(ISNUMBER(INDEX($R:$R,Settings!$B$17)),(R834-INDEX($R:$R,Settings!$B$17))*100,NA()),NA())</f>
        <v/>
      </c>
      <c r="W834" s="20">
        <f>IF(AND(ISNUMBER(P834),Settings!$B$17&gt;0),IF(ISNUMBER(INDEX($P:$P,Settings!$B$17)),P834-INDEX($P:$P,Settings!$B$17),NA()),NA())</f>
        <v/>
      </c>
      <c r="X834" s="19">
        <f>IF(NOT(ISNUMBER($A834)),NA(),IF(OR($A834&lt;MIN(DKW_10Y!$A$2:$A$2918),$A834&gt;MAX(DKW_10Y!$A$2:$A$2918),Settings!$B$16&lt;MIN(DKW_10Y!$A$2:$A$2918)),NA(),(INDEX(DKW_10Y!$B$2:$B$2918,MATCH($A834,DKW_10Y!$A$2:$A$2918,1))-INDEX(DKW_10Y!$B$2:$B$2918,MATCH(Settings!$B$16,DKW_10Y!$A$2:$A$2918,1)))*100))</f>
        <v/>
      </c>
      <c r="Y834" s="19">
        <f>IF(NOT(ISNUMBER($A834)),NA(),IF(OR($A834&lt;MIN(DKW_10Y!$A$2:$A$2918),$A834&gt;MAX(DKW_10Y!$A$2:$A$2918),Settings!$B$16&lt;MIN(DKW_10Y!$A$2:$A$2918)),NA(),(INDEX(DKW_10Y!$C$2:$C$2918,MATCH($A834,DKW_10Y!$A$2:$A$2918,1))-INDEX(DKW_10Y!$C$2:$C$2918,MATCH(Settings!$B$16,DKW_10Y!$A$2:$A$2918,1)))*100))</f>
        <v/>
      </c>
      <c r="Z834" s="19">
        <f>IF(NOT(ISNUMBER($A834)),NA(),IF(OR($A834&lt;MIN(DKW_10Y!$A$2:$A$2918),$A834&gt;MAX(DKW_10Y!$A$2:$A$2918),Settings!$B$16&lt;MIN(DKW_10Y!$A$2:$A$2918)),NA(),(INDEX(DKW_10Y!$D$2:$D$2918,MATCH($A834,DKW_10Y!$A$2:$A$2918,1))-INDEX(DKW_10Y!$D$2:$D$2918,MATCH(Settings!$B$16,DKW_10Y!$A$2:$A$2918,1)))*100))</f>
        <v/>
      </c>
      <c r="AA834" s="19">
        <f>IF(NOT(ISNUMBER($A834)),NA(),IF(OR($A834&lt;MIN(DKW_10Y!$A$2:$A$2918),$A834&gt;MAX(DKW_10Y!$A$2:$A$2918),Settings!$B$16&lt;MIN(DKW_10Y!$A$2:$A$2918)),NA(),(INDEX(DKW_10Y!$E$2:$E$2918,MATCH($A834,DKW_10Y!$A$2:$A$2918,1))-INDEX(DKW_10Y!$E$2:$E$2918,MATCH(Settings!$B$16,DKW_10Y!$A$2:$A$2918,1)))*100))</f>
        <v/>
      </c>
      <c r="AB834" s="19">
        <f>IF(NOT(ISNUMBER($A834)),NA(),IF(OR($A834&lt;MIN(DKW_10Y!$A$2:$A$2918),$A834&gt;MAX(DKW_10Y!$A$2:$A$2918),Settings!$B$16&lt;MIN(DKW_10Y!$A$2:$A$2918)),NA(),(INDEX(DKW_10Y!$H$2:$H$2918,MATCH($A834,DKW_10Y!$A$2:$A$2918,1))-INDEX(DKW_10Y!$H$2:$H$2918,MATCH(Settings!$B$16,DKW_10Y!$A$2:$A$2918,1)))*100))</f>
        <v/>
      </c>
      <c r="AC834" s="18">
        <f>IF(NOT(ISNUMBER($A834)),NA(),IFERROR(1*INDEX(BBG_Data!$N$2:$N$4000,MATCH($A834,BBG_Data!$M$2:$M$4000,0)),NA()))</f>
        <v/>
      </c>
      <c r="AD834" s="18">
        <f>IF(NOT(ISNUMBER($A834)),NA(),IFERROR(1*INDEX(BBG_Data!$P$2:$P$4000,MATCH($A834,BBG_Data!$O$2:$O$4000,0)),NA()))</f>
        <v/>
      </c>
      <c r="AE834" s="18">
        <f>IF(NOT(ISNUMBER($A834)),NA(),IFERROR(1*INDEX(BBG_Data!$R$2:$R$4000,MATCH($A834,BBG_Data!$Q$2:$Q$4000,0)),NA()))</f>
        <v/>
      </c>
      <c r="AF834" s="20">
        <f>IF(AND(ISNUMBER(B834),ISNUMBER(AC834)),(B834-AC834)*100,NA())</f>
        <v/>
      </c>
      <c r="AG834" s="20">
        <f>IF(AND(ISNUMBER(AE834),ISNUMBER(AD834)),(AE834-AD834)*100,NA())</f>
        <v/>
      </c>
      <c r="AH834" s="19">
        <f>IF(NOT(ISNUMBER($A834)),NA(),IFERROR(INDEX(BBG_Data!$T$2:$T$4000,MATCH($A834,BBG_Data!$S$2:$S$4000,0))*Settings!$B$25,NA()))</f>
        <v/>
      </c>
      <c r="AI834" s="19">
        <f>IF(NOT(ISNUMBER($A834)),NA(),IFERROR(INDEX(BBG_Data!$V$2:$V$4000,MATCH($A834,BBG_Data!$U$2:$U$4000,0))*Settings!$B$25,NA()))</f>
        <v/>
      </c>
      <c r="AJ834" s="19">
        <f>IF(NOT(ISNUMBER($A834)),NA(),IFERROR(1*INDEX(BBG_Data!$X$2:$X$4000,MATCH($A834,BBG_Data!$W$2:$W$4000,0)),NA()))</f>
        <v/>
      </c>
      <c r="AK834" s="19">
        <f>IF(NOT(ISNUMBER($A834)),NA(),IFERROR(1*INDEX(BBG_Data!$Z$2:$Z$4000,MATCH($A834,BBG_Data!$Y$2:$Y$4000,0)),NA()))</f>
        <v/>
      </c>
    </row>
    <row r="835">
      <c r="A835" s="17">
        <f>IF(ISNUMBER(BBG_Data!A835),BBG_Data!A835,"")</f>
        <v/>
      </c>
      <c r="B835" s="18">
        <f>IF(AND(ISNUMBER($A835),ISNUMBER(BBG_Data!B835)),BBG_Data!B835,NA())</f>
        <v/>
      </c>
      <c r="C835" s="18">
        <f>IF(NOT(ISNUMBER($A835)),NA(),IFERROR(1*INDEX(BBG_Data!$D$2:$D$4000,MATCH($A835,BBG_Data!$C$2:$C$4000,0)),NA()))</f>
        <v/>
      </c>
      <c r="D835" s="19">
        <f>IF(NOT(ISNUMBER($A835)),NA(),IFERROR(1*INDEX(BBG_Data!$F$2:$F$4000,MATCH($A835,BBG_Data!$E$2:$E$4000,0)),NA()))</f>
        <v/>
      </c>
      <c r="E835" s="19">
        <f>IF(NOT(ISNUMBER($A835)),NA(),IFERROR(1*INDEX(BBG_Data!$H$2:$H$4000,MATCH($A835,BBG_Data!$G$2:$G$4000,0)),NA()))</f>
        <v/>
      </c>
      <c r="F835" s="20">
        <f>IF(AND(ISNUMBER(B835),ISNUMBER(B834)),IF(B835=B834,"",(B835-B834)*100),"")</f>
        <v/>
      </c>
      <c r="G835" s="20">
        <f>IF(AND(ISNUMBER(C835),ISNUMBER(C834)),IF(C835=C834,"",(C835-C834)*100),"")</f>
        <v/>
      </c>
      <c r="H835" s="20">
        <f>IF(OR(NOT(ISNUMBER($A835)),ROW()-2&lt;Settings!$B$11),NA(),IF(COUNT(OFFSET(F835,1-Settings!$B$11,0,Settings!$B$11,1))&lt;ROUNDUP(Settings!$B$11*Settings!$B$26,0),NA(),STDEV(OFFSET(F835,1-Settings!$B$11,0,Settings!$B$11,1))*SQRT(Settings!$B$13)))</f>
        <v/>
      </c>
      <c r="I835" s="20">
        <f>IF(OR(NOT(ISNUMBER($A835)),ROW()-2&lt;Settings!$B$12),NA(),IF(COUNT(OFFSET(F835,1-Settings!$B$12,0,Settings!$B$12,1))&lt;ROUNDUP(Settings!$B$12*Settings!$B$26,0),NA(),STDEV(OFFSET(F835,1-Settings!$B$12,0,Settings!$B$12,1))*SQRT(Settings!$B$13)))</f>
        <v/>
      </c>
      <c r="J835" s="20">
        <f>IF(OR(NOT(ISNUMBER($A835)),ROW()-2&lt;Settings!$B$11),NA(),IF(COUNT(OFFSET(G835,1-Settings!$B$11,0,Settings!$B$11,1))&lt;ROUNDUP(Settings!$B$11*Settings!$B$26,0),NA(),STDEV(OFFSET(G835,1-Settings!$B$11,0,Settings!$B$11,1))*SQRT(Settings!$B$13)))</f>
        <v/>
      </c>
      <c r="K835" s="20">
        <f>IF(OR(NOT(ISNUMBER($A835)),ROW()-2&lt;Settings!$B$12),NA(),IF(COUNT(OFFSET(G835,1-Settings!$B$12,0,Settings!$B$12,1))&lt;ROUNDUP(Settings!$B$12*Settings!$B$26,0),NA(),STDEV(OFFSET(G835,1-Settings!$B$12,0,Settings!$B$12,1))*SQRT(Settings!$B$13)))</f>
        <v/>
      </c>
      <c r="L835" s="20">
        <f>IF(AND(ISNUMBER(D835),ISNUMBER(H835)),D835-H835,NA())</f>
        <v/>
      </c>
      <c r="M835" s="20">
        <f>IF(AND(ISNUMBER(E835),ISNUMBER(K835)),E835-K835,NA())</f>
        <v/>
      </c>
      <c r="N835" s="20">
        <f>IF(NOT(ISNUMBER($A835)),NA(),IF(COUNT(OFFSET(G835,1,0,Settings!$B$12,1))&lt;ROUNDUP(Settings!$B$12*Settings!$B$26,0),NA(),STDEV(OFFSET(G835,1,0,Settings!$B$12,1))*SQRT(Settings!$B$13)))</f>
        <v/>
      </c>
      <c r="O835" s="20">
        <f>IF(AND(ISNUMBER(E835),ISNUMBER(N835)),E835-N835,NA())</f>
        <v/>
      </c>
      <c r="P835" s="19">
        <f>IF(NOT(ISNUMBER($A835)),NA(),IF(OR($A835&lt;MIN(KW_TP!$A$2:$A$2501),$A835&gt;MAX(KW_TP!$A$2:$A$2501)),NA(),INDEX(KW_TP!$C$2:$C$2501,MATCH($A835,KW_TP!$A$2:$A$2501,1))))</f>
        <v/>
      </c>
      <c r="Q835" s="18">
        <f>IF(NOT(ISNUMBER($A835)),NA(),IFERROR(1*INDEX(BBG_Data!$J$2:$J$4000,MATCH($A835,BBG_Data!$I$2:$I$4000,0)),NA()))</f>
        <v/>
      </c>
      <c r="R835" s="18">
        <f>IF(NOT(ISNUMBER($A835)),NA(),IFERROR(1*INDEX(BBG_Data!$L$2:$L$4000,MATCH($A835,BBG_Data!$K$2:$K$4000,0)),NA()))</f>
        <v/>
      </c>
      <c r="S835" s="20">
        <f>IF(AND(ISNUMBER(B835),ISNUMBER(Q835),ISNUMBER(R835)),(B835-Q835-R835)*100,NA())</f>
        <v/>
      </c>
      <c r="T835" s="20">
        <f>IF(AND(ISNUMBER(B835),Settings!$B$17&gt;0),IF(ISNUMBER(INDEX($B:$B,Settings!$B$17)),(B835-INDEX($B:$B,Settings!$B$17))*100,NA()),NA())</f>
        <v/>
      </c>
      <c r="U835" s="20">
        <f>IF(AND(ISNUMBER(Q835),Settings!$B$17&gt;0),IF(ISNUMBER(INDEX($Q:$Q,Settings!$B$17)),(Q835-INDEX($Q:$Q,Settings!$B$17))*100,NA()),NA())</f>
        <v/>
      </c>
      <c r="V835" s="20">
        <f>IF(AND(ISNUMBER(R835),Settings!$B$17&gt;0),IF(ISNUMBER(INDEX($R:$R,Settings!$B$17)),(R835-INDEX($R:$R,Settings!$B$17))*100,NA()),NA())</f>
        <v/>
      </c>
      <c r="W835" s="20">
        <f>IF(AND(ISNUMBER(P835),Settings!$B$17&gt;0),IF(ISNUMBER(INDEX($P:$P,Settings!$B$17)),P835-INDEX($P:$P,Settings!$B$17),NA()),NA())</f>
        <v/>
      </c>
      <c r="X835" s="19">
        <f>IF(NOT(ISNUMBER($A835)),NA(),IF(OR($A835&lt;MIN(DKW_10Y!$A$2:$A$2918),$A835&gt;MAX(DKW_10Y!$A$2:$A$2918),Settings!$B$16&lt;MIN(DKW_10Y!$A$2:$A$2918)),NA(),(INDEX(DKW_10Y!$B$2:$B$2918,MATCH($A835,DKW_10Y!$A$2:$A$2918,1))-INDEX(DKW_10Y!$B$2:$B$2918,MATCH(Settings!$B$16,DKW_10Y!$A$2:$A$2918,1)))*100))</f>
        <v/>
      </c>
      <c r="Y835" s="19">
        <f>IF(NOT(ISNUMBER($A835)),NA(),IF(OR($A835&lt;MIN(DKW_10Y!$A$2:$A$2918),$A835&gt;MAX(DKW_10Y!$A$2:$A$2918),Settings!$B$16&lt;MIN(DKW_10Y!$A$2:$A$2918)),NA(),(INDEX(DKW_10Y!$C$2:$C$2918,MATCH($A835,DKW_10Y!$A$2:$A$2918,1))-INDEX(DKW_10Y!$C$2:$C$2918,MATCH(Settings!$B$16,DKW_10Y!$A$2:$A$2918,1)))*100))</f>
        <v/>
      </c>
      <c r="Z835" s="19">
        <f>IF(NOT(ISNUMBER($A835)),NA(),IF(OR($A835&lt;MIN(DKW_10Y!$A$2:$A$2918),$A835&gt;MAX(DKW_10Y!$A$2:$A$2918),Settings!$B$16&lt;MIN(DKW_10Y!$A$2:$A$2918)),NA(),(INDEX(DKW_10Y!$D$2:$D$2918,MATCH($A835,DKW_10Y!$A$2:$A$2918,1))-INDEX(DKW_10Y!$D$2:$D$2918,MATCH(Settings!$B$16,DKW_10Y!$A$2:$A$2918,1)))*100))</f>
        <v/>
      </c>
      <c r="AA835" s="19">
        <f>IF(NOT(ISNUMBER($A835)),NA(),IF(OR($A835&lt;MIN(DKW_10Y!$A$2:$A$2918),$A835&gt;MAX(DKW_10Y!$A$2:$A$2918),Settings!$B$16&lt;MIN(DKW_10Y!$A$2:$A$2918)),NA(),(INDEX(DKW_10Y!$E$2:$E$2918,MATCH($A835,DKW_10Y!$A$2:$A$2918,1))-INDEX(DKW_10Y!$E$2:$E$2918,MATCH(Settings!$B$16,DKW_10Y!$A$2:$A$2918,1)))*100))</f>
        <v/>
      </c>
      <c r="AB835" s="19">
        <f>IF(NOT(ISNUMBER($A835)),NA(),IF(OR($A835&lt;MIN(DKW_10Y!$A$2:$A$2918),$A835&gt;MAX(DKW_10Y!$A$2:$A$2918),Settings!$B$16&lt;MIN(DKW_10Y!$A$2:$A$2918)),NA(),(INDEX(DKW_10Y!$H$2:$H$2918,MATCH($A835,DKW_10Y!$A$2:$A$2918,1))-INDEX(DKW_10Y!$H$2:$H$2918,MATCH(Settings!$B$16,DKW_10Y!$A$2:$A$2918,1)))*100))</f>
        <v/>
      </c>
      <c r="AC835" s="18">
        <f>IF(NOT(ISNUMBER($A835)),NA(),IFERROR(1*INDEX(BBG_Data!$N$2:$N$4000,MATCH($A835,BBG_Data!$M$2:$M$4000,0)),NA()))</f>
        <v/>
      </c>
      <c r="AD835" s="18">
        <f>IF(NOT(ISNUMBER($A835)),NA(),IFERROR(1*INDEX(BBG_Data!$P$2:$P$4000,MATCH($A835,BBG_Data!$O$2:$O$4000,0)),NA()))</f>
        <v/>
      </c>
      <c r="AE835" s="18">
        <f>IF(NOT(ISNUMBER($A835)),NA(),IFERROR(1*INDEX(BBG_Data!$R$2:$R$4000,MATCH($A835,BBG_Data!$Q$2:$Q$4000,0)),NA()))</f>
        <v/>
      </c>
      <c r="AF835" s="20">
        <f>IF(AND(ISNUMBER(B835),ISNUMBER(AC835)),(B835-AC835)*100,NA())</f>
        <v/>
      </c>
      <c r="AG835" s="20">
        <f>IF(AND(ISNUMBER(AE835),ISNUMBER(AD835)),(AE835-AD835)*100,NA())</f>
        <v/>
      </c>
      <c r="AH835" s="19">
        <f>IF(NOT(ISNUMBER($A835)),NA(),IFERROR(INDEX(BBG_Data!$T$2:$T$4000,MATCH($A835,BBG_Data!$S$2:$S$4000,0))*Settings!$B$25,NA()))</f>
        <v/>
      </c>
      <c r="AI835" s="19">
        <f>IF(NOT(ISNUMBER($A835)),NA(),IFERROR(INDEX(BBG_Data!$V$2:$V$4000,MATCH($A835,BBG_Data!$U$2:$U$4000,0))*Settings!$B$25,NA()))</f>
        <v/>
      </c>
      <c r="AJ835" s="19">
        <f>IF(NOT(ISNUMBER($A835)),NA(),IFERROR(1*INDEX(BBG_Data!$X$2:$X$4000,MATCH($A835,BBG_Data!$W$2:$W$4000,0)),NA()))</f>
        <v/>
      </c>
      <c r="AK835" s="19">
        <f>IF(NOT(ISNUMBER($A835)),NA(),IFERROR(1*INDEX(BBG_Data!$Z$2:$Z$4000,MATCH($A835,BBG_Data!$Y$2:$Y$4000,0)),NA()))</f>
        <v/>
      </c>
    </row>
    <row r="836">
      <c r="A836" s="17">
        <f>IF(ISNUMBER(BBG_Data!A836),BBG_Data!A836,"")</f>
        <v/>
      </c>
      <c r="B836" s="18">
        <f>IF(AND(ISNUMBER($A836),ISNUMBER(BBG_Data!B836)),BBG_Data!B836,NA())</f>
        <v/>
      </c>
      <c r="C836" s="18">
        <f>IF(NOT(ISNUMBER($A836)),NA(),IFERROR(1*INDEX(BBG_Data!$D$2:$D$4000,MATCH($A836,BBG_Data!$C$2:$C$4000,0)),NA()))</f>
        <v/>
      </c>
      <c r="D836" s="19">
        <f>IF(NOT(ISNUMBER($A836)),NA(),IFERROR(1*INDEX(BBG_Data!$F$2:$F$4000,MATCH($A836,BBG_Data!$E$2:$E$4000,0)),NA()))</f>
        <v/>
      </c>
      <c r="E836" s="19">
        <f>IF(NOT(ISNUMBER($A836)),NA(),IFERROR(1*INDEX(BBG_Data!$H$2:$H$4000,MATCH($A836,BBG_Data!$G$2:$G$4000,0)),NA()))</f>
        <v/>
      </c>
      <c r="F836" s="20">
        <f>IF(AND(ISNUMBER(B836),ISNUMBER(B835)),IF(B836=B835,"",(B836-B835)*100),"")</f>
        <v/>
      </c>
      <c r="G836" s="20">
        <f>IF(AND(ISNUMBER(C836),ISNUMBER(C835)),IF(C836=C835,"",(C836-C835)*100),"")</f>
        <v/>
      </c>
      <c r="H836" s="20">
        <f>IF(OR(NOT(ISNUMBER($A836)),ROW()-2&lt;Settings!$B$11),NA(),IF(COUNT(OFFSET(F836,1-Settings!$B$11,0,Settings!$B$11,1))&lt;ROUNDUP(Settings!$B$11*Settings!$B$26,0),NA(),STDEV(OFFSET(F836,1-Settings!$B$11,0,Settings!$B$11,1))*SQRT(Settings!$B$13)))</f>
        <v/>
      </c>
      <c r="I836" s="20">
        <f>IF(OR(NOT(ISNUMBER($A836)),ROW()-2&lt;Settings!$B$12),NA(),IF(COUNT(OFFSET(F836,1-Settings!$B$12,0,Settings!$B$12,1))&lt;ROUNDUP(Settings!$B$12*Settings!$B$26,0),NA(),STDEV(OFFSET(F836,1-Settings!$B$12,0,Settings!$B$12,1))*SQRT(Settings!$B$13)))</f>
        <v/>
      </c>
      <c r="J836" s="20">
        <f>IF(OR(NOT(ISNUMBER($A836)),ROW()-2&lt;Settings!$B$11),NA(),IF(COUNT(OFFSET(G836,1-Settings!$B$11,0,Settings!$B$11,1))&lt;ROUNDUP(Settings!$B$11*Settings!$B$26,0),NA(),STDEV(OFFSET(G836,1-Settings!$B$11,0,Settings!$B$11,1))*SQRT(Settings!$B$13)))</f>
        <v/>
      </c>
      <c r="K836" s="20">
        <f>IF(OR(NOT(ISNUMBER($A836)),ROW()-2&lt;Settings!$B$12),NA(),IF(COUNT(OFFSET(G836,1-Settings!$B$12,0,Settings!$B$12,1))&lt;ROUNDUP(Settings!$B$12*Settings!$B$26,0),NA(),STDEV(OFFSET(G836,1-Settings!$B$12,0,Settings!$B$12,1))*SQRT(Settings!$B$13)))</f>
        <v/>
      </c>
      <c r="L836" s="20">
        <f>IF(AND(ISNUMBER(D836),ISNUMBER(H836)),D836-H836,NA())</f>
        <v/>
      </c>
      <c r="M836" s="20">
        <f>IF(AND(ISNUMBER(E836),ISNUMBER(K836)),E836-K836,NA())</f>
        <v/>
      </c>
      <c r="N836" s="20">
        <f>IF(NOT(ISNUMBER($A836)),NA(),IF(COUNT(OFFSET(G836,1,0,Settings!$B$12,1))&lt;ROUNDUP(Settings!$B$12*Settings!$B$26,0),NA(),STDEV(OFFSET(G836,1,0,Settings!$B$12,1))*SQRT(Settings!$B$13)))</f>
        <v/>
      </c>
      <c r="O836" s="20">
        <f>IF(AND(ISNUMBER(E836),ISNUMBER(N836)),E836-N836,NA())</f>
        <v/>
      </c>
      <c r="P836" s="19">
        <f>IF(NOT(ISNUMBER($A836)),NA(),IF(OR($A836&lt;MIN(KW_TP!$A$2:$A$2501),$A836&gt;MAX(KW_TP!$A$2:$A$2501)),NA(),INDEX(KW_TP!$C$2:$C$2501,MATCH($A836,KW_TP!$A$2:$A$2501,1))))</f>
        <v/>
      </c>
      <c r="Q836" s="18">
        <f>IF(NOT(ISNUMBER($A836)),NA(),IFERROR(1*INDEX(BBG_Data!$J$2:$J$4000,MATCH($A836,BBG_Data!$I$2:$I$4000,0)),NA()))</f>
        <v/>
      </c>
      <c r="R836" s="18">
        <f>IF(NOT(ISNUMBER($A836)),NA(),IFERROR(1*INDEX(BBG_Data!$L$2:$L$4000,MATCH($A836,BBG_Data!$K$2:$K$4000,0)),NA()))</f>
        <v/>
      </c>
      <c r="S836" s="20">
        <f>IF(AND(ISNUMBER(B836),ISNUMBER(Q836),ISNUMBER(R836)),(B836-Q836-R836)*100,NA())</f>
        <v/>
      </c>
      <c r="T836" s="20">
        <f>IF(AND(ISNUMBER(B836),Settings!$B$17&gt;0),IF(ISNUMBER(INDEX($B:$B,Settings!$B$17)),(B836-INDEX($B:$B,Settings!$B$17))*100,NA()),NA())</f>
        <v/>
      </c>
      <c r="U836" s="20">
        <f>IF(AND(ISNUMBER(Q836),Settings!$B$17&gt;0),IF(ISNUMBER(INDEX($Q:$Q,Settings!$B$17)),(Q836-INDEX($Q:$Q,Settings!$B$17))*100,NA()),NA())</f>
        <v/>
      </c>
      <c r="V836" s="20">
        <f>IF(AND(ISNUMBER(R836),Settings!$B$17&gt;0),IF(ISNUMBER(INDEX($R:$R,Settings!$B$17)),(R836-INDEX($R:$R,Settings!$B$17))*100,NA()),NA())</f>
        <v/>
      </c>
      <c r="W836" s="20">
        <f>IF(AND(ISNUMBER(P836),Settings!$B$17&gt;0),IF(ISNUMBER(INDEX($P:$P,Settings!$B$17)),P836-INDEX($P:$P,Settings!$B$17),NA()),NA())</f>
        <v/>
      </c>
      <c r="X836" s="19">
        <f>IF(NOT(ISNUMBER($A836)),NA(),IF(OR($A836&lt;MIN(DKW_10Y!$A$2:$A$2918),$A836&gt;MAX(DKW_10Y!$A$2:$A$2918),Settings!$B$16&lt;MIN(DKW_10Y!$A$2:$A$2918)),NA(),(INDEX(DKW_10Y!$B$2:$B$2918,MATCH($A836,DKW_10Y!$A$2:$A$2918,1))-INDEX(DKW_10Y!$B$2:$B$2918,MATCH(Settings!$B$16,DKW_10Y!$A$2:$A$2918,1)))*100))</f>
        <v/>
      </c>
      <c r="Y836" s="19">
        <f>IF(NOT(ISNUMBER($A836)),NA(),IF(OR($A836&lt;MIN(DKW_10Y!$A$2:$A$2918),$A836&gt;MAX(DKW_10Y!$A$2:$A$2918),Settings!$B$16&lt;MIN(DKW_10Y!$A$2:$A$2918)),NA(),(INDEX(DKW_10Y!$C$2:$C$2918,MATCH($A836,DKW_10Y!$A$2:$A$2918,1))-INDEX(DKW_10Y!$C$2:$C$2918,MATCH(Settings!$B$16,DKW_10Y!$A$2:$A$2918,1)))*100))</f>
        <v/>
      </c>
      <c r="Z836" s="19">
        <f>IF(NOT(ISNUMBER($A836)),NA(),IF(OR($A836&lt;MIN(DKW_10Y!$A$2:$A$2918),$A836&gt;MAX(DKW_10Y!$A$2:$A$2918),Settings!$B$16&lt;MIN(DKW_10Y!$A$2:$A$2918)),NA(),(INDEX(DKW_10Y!$D$2:$D$2918,MATCH($A836,DKW_10Y!$A$2:$A$2918,1))-INDEX(DKW_10Y!$D$2:$D$2918,MATCH(Settings!$B$16,DKW_10Y!$A$2:$A$2918,1)))*100))</f>
        <v/>
      </c>
      <c r="AA836" s="19">
        <f>IF(NOT(ISNUMBER($A836)),NA(),IF(OR($A836&lt;MIN(DKW_10Y!$A$2:$A$2918),$A836&gt;MAX(DKW_10Y!$A$2:$A$2918),Settings!$B$16&lt;MIN(DKW_10Y!$A$2:$A$2918)),NA(),(INDEX(DKW_10Y!$E$2:$E$2918,MATCH($A836,DKW_10Y!$A$2:$A$2918,1))-INDEX(DKW_10Y!$E$2:$E$2918,MATCH(Settings!$B$16,DKW_10Y!$A$2:$A$2918,1)))*100))</f>
        <v/>
      </c>
      <c r="AB836" s="19">
        <f>IF(NOT(ISNUMBER($A836)),NA(),IF(OR($A836&lt;MIN(DKW_10Y!$A$2:$A$2918),$A836&gt;MAX(DKW_10Y!$A$2:$A$2918),Settings!$B$16&lt;MIN(DKW_10Y!$A$2:$A$2918)),NA(),(INDEX(DKW_10Y!$H$2:$H$2918,MATCH($A836,DKW_10Y!$A$2:$A$2918,1))-INDEX(DKW_10Y!$H$2:$H$2918,MATCH(Settings!$B$16,DKW_10Y!$A$2:$A$2918,1)))*100))</f>
        <v/>
      </c>
      <c r="AC836" s="18">
        <f>IF(NOT(ISNUMBER($A836)),NA(),IFERROR(1*INDEX(BBG_Data!$N$2:$N$4000,MATCH($A836,BBG_Data!$M$2:$M$4000,0)),NA()))</f>
        <v/>
      </c>
      <c r="AD836" s="18">
        <f>IF(NOT(ISNUMBER($A836)),NA(),IFERROR(1*INDEX(BBG_Data!$P$2:$P$4000,MATCH($A836,BBG_Data!$O$2:$O$4000,0)),NA()))</f>
        <v/>
      </c>
      <c r="AE836" s="18">
        <f>IF(NOT(ISNUMBER($A836)),NA(),IFERROR(1*INDEX(BBG_Data!$R$2:$R$4000,MATCH($A836,BBG_Data!$Q$2:$Q$4000,0)),NA()))</f>
        <v/>
      </c>
      <c r="AF836" s="20">
        <f>IF(AND(ISNUMBER(B836),ISNUMBER(AC836)),(B836-AC836)*100,NA())</f>
        <v/>
      </c>
      <c r="AG836" s="20">
        <f>IF(AND(ISNUMBER(AE836),ISNUMBER(AD836)),(AE836-AD836)*100,NA())</f>
        <v/>
      </c>
      <c r="AH836" s="19">
        <f>IF(NOT(ISNUMBER($A836)),NA(),IFERROR(INDEX(BBG_Data!$T$2:$T$4000,MATCH($A836,BBG_Data!$S$2:$S$4000,0))*Settings!$B$25,NA()))</f>
        <v/>
      </c>
      <c r="AI836" s="19">
        <f>IF(NOT(ISNUMBER($A836)),NA(),IFERROR(INDEX(BBG_Data!$V$2:$V$4000,MATCH($A836,BBG_Data!$U$2:$U$4000,0))*Settings!$B$25,NA()))</f>
        <v/>
      </c>
      <c r="AJ836" s="19">
        <f>IF(NOT(ISNUMBER($A836)),NA(),IFERROR(1*INDEX(BBG_Data!$X$2:$X$4000,MATCH($A836,BBG_Data!$W$2:$W$4000,0)),NA()))</f>
        <v/>
      </c>
      <c r="AK836" s="19">
        <f>IF(NOT(ISNUMBER($A836)),NA(),IFERROR(1*INDEX(BBG_Data!$Z$2:$Z$4000,MATCH($A836,BBG_Data!$Y$2:$Y$4000,0)),NA()))</f>
        <v/>
      </c>
    </row>
    <row r="837">
      <c r="A837" s="17">
        <f>IF(ISNUMBER(BBG_Data!A837),BBG_Data!A837,"")</f>
        <v/>
      </c>
      <c r="B837" s="18">
        <f>IF(AND(ISNUMBER($A837),ISNUMBER(BBG_Data!B837)),BBG_Data!B837,NA())</f>
        <v/>
      </c>
      <c r="C837" s="18">
        <f>IF(NOT(ISNUMBER($A837)),NA(),IFERROR(1*INDEX(BBG_Data!$D$2:$D$4000,MATCH($A837,BBG_Data!$C$2:$C$4000,0)),NA()))</f>
        <v/>
      </c>
      <c r="D837" s="19">
        <f>IF(NOT(ISNUMBER($A837)),NA(),IFERROR(1*INDEX(BBG_Data!$F$2:$F$4000,MATCH($A837,BBG_Data!$E$2:$E$4000,0)),NA()))</f>
        <v/>
      </c>
      <c r="E837" s="19">
        <f>IF(NOT(ISNUMBER($A837)),NA(),IFERROR(1*INDEX(BBG_Data!$H$2:$H$4000,MATCH($A837,BBG_Data!$G$2:$G$4000,0)),NA()))</f>
        <v/>
      </c>
      <c r="F837" s="20">
        <f>IF(AND(ISNUMBER(B837),ISNUMBER(B836)),IF(B837=B836,"",(B837-B836)*100),"")</f>
        <v/>
      </c>
      <c r="G837" s="20">
        <f>IF(AND(ISNUMBER(C837),ISNUMBER(C836)),IF(C837=C836,"",(C837-C836)*100),"")</f>
        <v/>
      </c>
      <c r="H837" s="20">
        <f>IF(OR(NOT(ISNUMBER($A837)),ROW()-2&lt;Settings!$B$11),NA(),IF(COUNT(OFFSET(F837,1-Settings!$B$11,0,Settings!$B$11,1))&lt;ROUNDUP(Settings!$B$11*Settings!$B$26,0),NA(),STDEV(OFFSET(F837,1-Settings!$B$11,0,Settings!$B$11,1))*SQRT(Settings!$B$13)))</f>
        <v/>
      </c>
      <c r="I837" s="20">
        <f>IF(OR(NOT(ISNUMBER($A837)),ROW()-2&lt;Settings!$B$12),NA(),IF(COUNT(OFFSET(F837,1-Settings!$B$12,0,Settings!$B$12,1))&lt;ROUNDUP(Settings!$B$12*Settings!$B$26,0),NA(),STDEV(OFFSET(F837,1-Settings!$B$12,0,Settings!$B$12,1))*SQRT(Settings!$B$13)))</f>
        <v/>
      </c>
      <c r="J837" s="20">
        <f>IF(OR(NOT(ISNUMBER($A837)),ROW()-2&lt;Settings!$B$11),NA(),IF(COUNT(OFFSET(G837,1-Settings!$B$11,0,Settings!$B$11,1))&lt;ROUNDUP(Settings!$B$11*Settings!$B$26,0),NA(),STDEV(OFFSET(G837,1-Settings!$B$11,0,Settings!$B$11,1))*SQRT(Settings!$B$13)))</f>
        <v/>
      </c>
      <c r="K837" s="20">
        <f>IF(OR(NOT(ISNUMBER($A837)),ROW()-2&lt;Settings!$B$12),NA(),IF(COUNT(OFFSET(G837,1-Settings!$B$12,0,Settings!$B$12,1))&lt;ROUNDUP(Settings!$B$12*Settings!$B$26,0),NA(),STDEV(OFFSET(G837,1-Settings!$B$12,0,Settings!$B$12,1))*SQRT(Settings!$B$13)))</f>
        <v/>
      </c>
      <c r="L837" s="20">
        <f>IF(AND(ISNUMBER(D837),ISNUMBER(H837)),D837-H837,NA())</f>
        <v/>
      </c>
      <c r="M837" s="20">
        <f>IF(AND(ISNUMBER(E837),ISNUMBER(K837)),E837-K837,NA())</f>
        <v/>
      </c>
      <c r="N837" s="20">
        <f>IF(NOT(ISNUMBER($A837)),NA(),IF(COUNT(OFFSET(G837,1,0,Settings!$B$12,1))&lt;ROUNDUP(Settings!$B$12*Settings!$B$26,0),NA(),STDEV(OFFSET(G837,1,0,Settings!$B$12,1))*SQRT(Settings!$B$13)))</f>
        <v/>
      </c>
      <c r="O837" s="20">
        <f>IF(AND(ISNUMBER(E837),ISNUMBER(N837)),E837-N837,NA())</f>
        <v/>
      </c>
      <c r="P837" s="19">
        <f>IF(NOT(ISNUMBER($A837)),NA(),IF(OR($A837&lt;MIN(KW_TP!$A$2:$A$2501),$A837&gt;MAX(KW_TP!$A$2:$A$2501)),NA(),INDEX(KW_TP!$C$2:$C$2501,MATCH($A837,KW_TP!$A$2:$A$2501,1))))</f>
        <v/>
      </c>
      <c r="Q837" s="18">
        <f>IF(NOT(ISNUMBER($A837)),NA(),IFERROR(1*INDEX(BBG_Data!$J$2:$J$4000,MATCH($A837,BBG_Data!$I$2:$I$4000,0)),NA()))</f>
        <v/>
      </c>
      <c r="R837" s="18">
        <f>IF(NOT(ISNUMBER($A837)),NA(),IFERROR(1*INDEX(BBG_Data!$L$2:$L$4000,MATCH($A837,BBG_Data!$K$2:$K$4000,0)),NA()))</f>
        <v/>
      </c>
      <c r="S837" s="20">
        <f>IF(AND(ISNUMBER(B837),ISNUMBER(Q837),ISNUMBER(R837)),(B837-Q837-R837)*100,NA())</f>
        <v/>
      </c>
      <c r="T837" s="20">
        <f>IF(AND(ISNUMBER(B837),Settings!$B$17&gt;0),IF(ISNUMBER(INDEX($B:$B,Settings!$B$17)),(B837-INDEX($B:$B,Settings!$B$17))*100,NA()),NA())</f>
        <v/>
      </c>
      <c r="U837" s="20">
        <f>IF(AND(ISNUMBER(Q837),Settings!$B$17&gt;0),IF(ISNUMBER(INDEX($Q:$Q,Settings!$B$17)),(Q837-INDEX($Q:$Q,Settings!$B$17))*100,NA()),NA())</f>
        <v/>
      </c>
      <c r="V837" s="20">
        <f>IF(AND(ISNUMBER(R837),Settings!$B$17&gt;0),IF(ISNUMBER(INDEX($R:$R,Settings!$B$17)),(R837-INDEX($R:$R,Settings!$B$17))*100,NA()),NA())</f>
        <v/>
      </c>
      <c r="W837" s="20">
        <f>IF(AND(ISNUMBER(P837),Settings!$B$17&gt;0),IF(ISNUMBER(INDEX($P:$P,Settings!$B$17)),P837-INDEX($P:$P,Settings!$B$17),NA()),NA())</f>
        <v/>
      </c>
      <c r="X837" s="19">
        <f>IF(NOT(ISNUMBER($A837)),NA(),IF(OR($A837&lt;MIN(DKW_10Y!$A$2:$A$2918),$A837&gt;MAX(DKW_10Y!$A$2:$A$2918),Settings!$B$16&lt;MIN(DKW_10Y!$A$2:$A$2918)),NA(),(INDEX(DKW_10Y!$B$2:$B$2918,MATCH($A837,DKW_10Y!$A$2:$A$2918,1))-INDEX(DKW_10Y!$B$2:$B$2918,MATCH(Settings!$B$16,DKW_10Y!$A$2:$A$2918,1)))*100))</f>
        <v/>
      </c>
      <c r="Y837" s="19">
        <f>IF(NOT(ISNUMBER($A837)),NA(),IF(OR($A837&lt;MIN(DKW_10Y!$A$2:$A$2918),$A837&gt;MAX(DKW_10Y!$A$2:$A$2918),Settings!$B$16&lt;MIN(DKW_10Y!$A$2:$A$2918)),NA(),(INDEX(DKW_10Y!$C$2:$C$2918,MATCH($A837,DKW_10Y!$A$2:$A$2918,1))-INDEX(DKW_10Y!$C$2:$C$2918,MATCH(Settings!$B$16,DKW_10Y!$A$2:$A$2918,1)))*100))</f>
        <v/>
      </c>
      <c r="Z837" s="19">
        <f>IF(NOT(ISNUMBER($A837)),NA(),IF(OR($A837&lt;MIN(DKW_10Y!$A$2:$A$2918),$A837&gt;MAX(DKW_10Y!$A$2:$A$2918),Settings!$B$16&lt;MIN(DKW_10Y!$A$2:$A$2918)),NA(),(INDEX(DKW_10Y!$D$2:$D$2918,MATCH($A837,DKW_10Y!$A$2:$A$2918,1))-INDEX(DKW_10Y!$D$2:$D$2918,MATCH(Settings!$B$16,DKW_10Y!$A$2:$A$2918,1)))*100))</f>
        <v/>
      </c>
      <c r="AA837" s="19">
        <f>IF(NOT(ISNUMBER($A837)),NA(),IF(OR($A837&lt;MIN(DKW_10Y!$A$2:$A$2918),$A837&gt;MAX(DKW_10Y!$A$2:$A$2918),Settings!$B$16&lt;MIN(DKW_10Y!$A$2:$A$2918)),NA(),(INDEX(DKW_10Y!$E$2:$E$2918,MATCH($A837,DKW_10Y!$A$2:$A$2918,1))-INDEX(DKW_10Y!$E$2:$E$2918,MATCH(Settings!$B$16,DKW_10Y!$A$2:$A$2918,1)))*100))</f>
        <v/>
      </c>
      <c r="AB837" s="19">
        <f>IF(NOT(ISNUMBER($A837)),NA(),IF(OR($A837&lt;MIN(DKW_10Y!$A$2:$A$2918),$A837&gt;MAX(DKW_10Y!$A$2:$A$2918),Settings!$B$16&lt;MIN(DKW_10Y!$A$2:$A$2918)),NA(),(INDEX(DKW_10Y!$H$2:$H$2918,MATCH($A837,DKW_10Y!$A$2:$A$2918,1))-INDEX(DKW_10Y!$H$2:$H$2918,MATCH(Settings!$B$16,DKW_10Y!$A$2:$A$2918,1)))*100))</f>
        <v/>
      </c>
      <c r="AC837" s="18">
        <f>IF(NOT(ISNUMBER($A837)),NA(),IFERROR(1*INDEX(BBG_Data!$N$2:$N$4000,MATCH($A837,BBG_Data!$M$2:$M$4000,0)),NA()))</f>
        <v/>
      </c>
      <c r="AD837" s="18">
        <f>IF(NOT(ISNUMBER($A837)),NA(),IFERROR(1*INDEX(BBG_Data!$P$2:$P$4000,MATCH($A837,BBG_Data!$O$2:$O$4000,0)),NA()))</f>
        <v/>
      </c>
      <c r="AE837" s="18">
        <f>IF(NOT(ISNUMBER($A837)),NA(),IFERROR(1*INDEX(BBG_Data!$R$2:$R$4000,MATCH($A837,BBG_Data!$Q$2:$Q$4000,0)),NA()))</f>
        <v/>
      </c>
      <c r="AF837" s="20">
        <f>IF(AND(ISNUMBER(B837),ISNUMBER(AC837)),(B837-AC837)*100,NA())</f>
        <v/>
      </c>
      <c r="AG837" s="20">
        <f>IF(AND(ISNUMBER(AE837),ISNUMBER(AD837)),(AE837-AD837)*100,NA())</f>
        <v/>
      </c>
      <c r="AH837" s="19">
        <f>IF(NOT(ISNUMBER($A837)),NA(),IFERROR(INDEX(BBG_Data!$T$2:$T$4000,MATCH($A837,BBG_Data!$S$2:$S$4000,0))*Settings!$B$25,NA()))</f>
        <v/>
      </c>
      <c r="AI837" s="19">
        <f>IF(NOT(ISNUMBER($A837)),NA(),IFERROR(INDEX(BBG_Data!$V$2:$V$4000,MATCH($A837,BBG_Data!$U$2:$U$4000,0))*Settings!$B$25,NA()))</f>
        <v/>
      </c>
      <c r="AJ837" s="19">
        <f>IF(NOT(ISNUMBER($A837)),NA(),IFERROR(1*INDEX(BBG_Data!$X$2:$X$4000,MATCH($A837,BBG_Data!$W$2:$W$4000,0)),NA()))</f>
        <v/>
      </c>
      <c r="AK837" s="19">
        <f>IF(NOT(ISNUMBER($A837)),NA(),IFERROR(1*INDEX(BBG_Data!$Z$2:$Z$4000,MATCH($A837,BBG_Data!$Y$2:$Y$4000,0)),NA()))</f>
        <v/>
      </c>
    </row>
    <row r="838">
      <c r="A838" s="17">
        <f>IF(ISNUMBER(BBG_Data!A838),BBG_Data!A838,"")</f>
        <v/>
      </c>
      <c r="B838" s="18">
        <f>IF(AND(ISNUMBER($A838),ISNUMBER(BBG_Data!B838)),BBG_Data!B838,NA())</f>
        <v/>
      </c>
      <c r="C838" s="18">
        <f>IF(NOT(ISNUMBER($A838)),NA(),IFERROR(1*INDEX(BBG_Data!$D$2:$D$4000,MATCH($A838,BBG_Data!$C$2:$C$4000,0)),NA()))</f>
        <v/>
      </c>
      <c r="D838" s="19">
        <f>IF(NOT(ISNUMBER($A838)),NA(),IFERROR(1*INDEX(BBG_Data!$F$2:$F$4000,MATCH($A838,BBG_Data!$E$2:$E$4000,0)),NA()))</f>
        <v/>
      </c>
      <c r="E838" s="19">
        <f>IF(NOT(ISNUMBER($A838)),NA(),IFERROR(1*INDEX(BBG_Data!$H$2:$H$4000,MATCH($A838,BBG_Data!$G$2:$G$4000,0)),NA()))</f>
        <v/>
      </c>
      <c r="F838" s="20">
        <f>IF(AND(ISNUMBER(B838),ISNUMBER(B837)),IF(B838=B837,"",(B838-B837)*100),"")</f>
        <v/>
      </c>
      <c r="G838" s="20">
        <f>IF(AND(ISNUMBER(C838),ISNUMBER(C837)),IF(C838=C837,"",(C838-C837)*100),"")</f>
        <v/>
      </c>
      <c r="H838" s="20">
        <f>IF(OR(NOT(ISNUMBER($A838)),ROW()-2&lt;Settings!$B$11),NA(),IF(COUNT(OFFSET(F838,1-Settings!$B$11,0,Settings!$B$11,1))&lt;ROUNDUP(Settings!$B$11*Settings!$B$26,0),NA(),STDEV(OFFSET(F838,1-Settings!$B$11,0,Settings!$B$11,1))*SQRT(Settings!$B$13)))</f>
        <v/>
      </c>
      <c r="I838" s="20">
        <f>IF(OR(NOT(ISNUMBER($A838)),ROW()-2&lt;Settings!$B$12),NA(),IF(COUNT(OFFSET(F838,1-Settings!$B$12,0,Settings!$B$12,1))&lt;ROUNDUP(Settings!$B$12*Settings!$B$26,0),NA(),STDEV(OFFSET(F838,1-Settings!$B$12,0,Settings!$B$12,1))*SQRT(Settings!$B$13)))</f>
        <v/>
      </c>
      <c r="J838" s="20">
        <f>IF(OR(NOT(ISNUMBER($A838)),ROW()-2&lt;Settings!$B$11),NA(),IF(COUNT(OFFSET(G838,1-Settings!$B$11,0,Settings!$B$11,1))&lt;ROUNDUP(Settings!$B$11*Settings!$B$26,0),NA(),STDEV(OFFSET(G838,1-Settings!$B$11,0,Settings!$B$11,1))*SQRT(Settings!$B$13)))</f>
        <v/>
      </c>
      <c r="K838" s="20">
        <f>IF(OR(NOT(ISNUMBER($A838)),ROW()-2&lt;Settings!$B$12),NA(),IF(COUNT(OFFSET(G838,1-Settings!$B$12,0,Settings!$B$12,1))&lt;ROUNDUP(Settings!$B$12*Settings!$B$26,0),NA(),STDEV(OFFSET(G838,1-Settings!$B$12,0,Settings!$B$12,1))*SQRT(Settings!$B$13)))</f>
        <v/>
      </c>
      <c r="L838" s="20">
        <f>IF(AND(ISNUMBER(D838),ISNUMBER(H838)),D838-H838,NA())</f>
        <v/>
      </c>
      <c r="M838" s="20">
        <f>IF(AND(ISNUMBER(E838),ISNUMBER(K838)),E838-K838,NA())</f>
        <v/>
      </c>
      <c r="N838" s="20">
        <f>IF(NOT(ISNUMBER($A838)),NA(),IF(COUNT(OFFSET(G838,1,0,Settings!$B$12,1))&lt;ROUNDUP(Settings!$B$12*Settings!$B$26,0),NA(),STDEV(OFFSET(G838,1,0,Settings!$B$12,1))*SQRT(Settings!$B$13)))</f>
        <v/>
      </c>
      <c r="O838" s="20">
        <f>IF(AND(ISNUMBER(E838),ISNUMBER(N838)),E838-N838,NA())</f>
        <v/>
      </c>
      <c r="P838" s="19">
        <f>IF(NOT(ISNUMBER($A838)),NA(),IF(OR($A838&lt;MIN(KW_TP!$A$2:$A$2501),$A838&gt;MAX(KW_TP!$A$2:$A$2501)),NA(),INDEX(KW_TP!$C$2:$C$2501,MATCH($A838,KW_TP!$A$2:$A$2501,1))))</f>
        <v/>
      </c>
      <c r="Q838" s="18">
        <f>IF(NOT(ISNUMBER($A838)),NA(),IFERROR(1*INDEX(BBG_Data!$J$2:$J$4000,MATCH($A838,BBG_Data!$I$2:$I$4000,0)),NA()))</f>
        <v/>
      </c>
      <c r="R838" s="18">
        <f>IF(NOT(ISNUMBER($A838)),NA(),IFERROR(1*INDEX(BBG_Data!$L$2:$L$4000,MATCH($A838,BBG_Data!$K$2:$K$4000,0)),NA()))</f>
        <v/>
      </c>
      <c r="S838" s="20">
        <f>IF(AND(ISNUMBER(B838),ISNUMBER(Q838),ISNUMBER(R838)),(B838-Q838-R838)*100,NA())</f>
        <v/>
      </c>
      <c r="T838" s="20">
        <f>IF(AND(ISNUMBER(B838),Settings!$B$17&gt;0),IF(ISNUMBER(INDEX($B:$B,Settings!$B$17)),(B838-INDEX($B:$B,Settings!$B$17))*100,NA()),NA())</f>
        <v/>
      </c>
      <c r="U838" s="20">
        <f>IF(AND(ISNUMBER(Q838),Settings!$B$17&gt;0),IF(ISNUMBER(INDEX($Q:$Q,Settings!$B$17)),(Q838-INDEX($Q:$Q,Settings!$B$17))*100,NA()),NA())</f>
        <v/>
      </c>
      <c r="V838" s="20">
        <f>IF(AND(ISNUMBER(R838),Settings!$B$17&gt;0),IF(ISNUMBER(INDEX($R:$R,Settings!$B$17)),(R838-INDEX($R:$R,Settings!$B$17))*100,NA()),NA())</f>
        <v/>
      </c>
      <c r="W838" s="20">
        <f>IF(AND(ISNUMBER(P838),Settings!$B$17&gt;0),IF(ISNUMBER(INDEX($P:$P,Settings!$B$17)),P838-INDEX($P:$P,Settings!$B$17),NA()),NA())</f>
        <v/>
      </c>
      <c r="X838" s="19">
        <f>IF(NOT(ISNUMBER($A838)),NA(),IF(OR($A838&lt;MIN(DKW_10Y!$A$2:$A$2918),$A838&gt;MAX(DKW_10Y!$A$2:$A$2918),Settings!$B$16&lt;MIN(DKW_10Y!$A$2:$A$2918)),NA(),(INDEX(DKW_10Y!$B$2:$B$2918,MATCH($A838,DKW_10Y!$A$2:$A$2918,1))-INDEX(DKW_10Y!$B$2:$B$2918,MATCH(Settings!$B$16,DKW_10Y!$A$2:$A$2918,1)))*100))</f>
        <v/>
      </c>
      <c r="Y838" s="19">
        <f>IF(NOT(ISNUMBER($A838)),NA(),IF(OR($A838&lt;MIN(DKW_10Y!$A$2:$A$2918),$A838&gt;MAX(DKW_10Y!$A$2:$A$2918),Settings!$B$16&lt;MIN(DKW_10Y!$A$2:$A$2918)),NA(),(INDEX(DKW_10Y!$C$2:$C$2918,MATCH($A838,DKW_10Y!$A$2:$A$2918,1))-INDEX(DKW_10Y!$C$2:$C$2918,MATCH(Settings!$B$16,DKW_10Y!$A$2:$A$2918,1)))*100))</f>
        <v/>
      </c>
      <c r="Z838" s="19">
        <f>IF(NOT(ISNUMBER($A838)),NA(),IF(OR($A838&lt;MIN(DKW_10Y!$A$2:$A$2918),$A838&gt;MAX(DKW_10Y!$A$2:$A$2918),Settings!$B$16&lt;MIN(DKW_10Y!$A$2:$A$2918)),NA(),(INDEX(DKW_10Y!$D$2:$D$2918,MATCH($A838,DKW_10Y!$A$2:$A$2918,1))-INDEX(DKW_10Y!$D$2:$D$2918,MATCH(Settings!$B$16,DKW_10Y!$A$2:$A$2918,1)))*100))</f>
        <v/>
      </c>
      <c r="AA838" s="19">
        <f>IF(NOT(ISNUMBER($A838)),NA(),IF(OR($A838&lt;MIN(DKW_10Y!$A$2:$A$2918),$A838&gt;MAX(DKW_10Y!$A$2:$A$2918),Settings!$B$16&lt;MIN(DKW_10Y!$A$2:$A$2918)),NA(),(INDEX(DKW_10Y!$E$2:$E$2918,MATCH($A838,DKW_10Y!$A$2:$A$2918,1))-INDEX(DKW_10Y!$E$2:$E$2918,MATCH(Settings!$B$16,DKW_10Y!$A$2:$A$2918,1)))*100))</f>
        <v/>
      </c>
      <c r="AB838" s="19">
        <f>IF(NOT(ISNUMBER($A838)),NA(),IF(OR($A838&lt;MIN(DKW_10Y!$A$2:$A$2918),$A838&gt;MAX(DKW_10Y!$A$2:$A$2918),Settings!$B$16&lt;MIN(DKW_10Y!$A$2:$A$2918)),NA(),(INDEX(DKW_10Y!$H$2:$H$2918,MATCH($A838,DKW_10Y!$A$2:$A$2918,1))-INDEX(DKW_10Y!$H$2:$H$2918,MATCH(Settings!$B$16,DKW_10Y!$A$2:$A$2918,1)))*100))</f>
        <v/>
      </c>
      <c r="AC838" s="18">
        <f>IF(NOT(ISNUMBER($A838)),NA(),IFERROR(1*INDEX(BBG_Data!$N$2:$N$4000,MATCH($A838,BBG_Data!$M$2:$M$4000,0)),NA()))</f>
        <v/>
      </c>
      <c r="AD838" s="18">
        <f>IF(NOT(ISNUMBER($A838)),NA(),IFERROR(1*INDEX(BBG_Data!$P$2:$P$4000,MATCH($A838,BBG_Data!$O$2:$O$4000,0)),NA()))</f>
        <v/>
      </c>
      <c r="AE838" s="18">
        <f>IF(NOT(ISNUMBER($A838)),NA(),IFERROR(1*INDEX(BBG_Data!$R$2:$R$4000,MATCH($A838,BBG_Data!$Q$2:$Q$4000,0)),NA()))</f>
        <v/>
      </c>
      <c r="AF838" s="20">
        <f>IF(AND(ISNUMBER(B838),ISNUMBER(AC838)),(B838-AC838)*100,NA())</f>
        <v/>
      </c>
      <c r="AG838" s="20">
        <f>IF(AND(ISNUMBER(AE838),ISNUMBER(AD838)),(AE838-AD838)*100,NA())</f>
        <v/>
      </c>
      <c r="AH838" s="19">
        <f>IF(NOT(ISNUMBER($A838)),NA(),IFERROR(INDEX(BBG_Data!$T$2:$T$4000,MATCH($A838,BBG_Data!$S$2:$S$4000,0))*Settings!$B$25,NA()))</f>
        <v/>
      </c>
      <c r="AI838" s="19">
        <f>IF(NOT(ISNUMBER($A838)),NA(),IFERROR(INDEX(BBG_Data!$V$2:$V$4000,MATCH($A838,BBG_Data!$U$2:$U$4000,0))*Settings!$B$25,NA()))</f>
        <v/>
      </c>
      <c r="AJ838" s="19">
        <f>IF(NOT(ISNUMBER($A838)),NA(),IFERROR(1*INDEX(BBG_Data!$X$2:$X$4000,MATCH($A838,BBG_Data!$W$2:$W$4000,0)),NA()))</f>
        <v/>
      </c>
      <c r="AK838" s="19">
        <f>IF(NOT(ISNUMBER($A838)),NA(),IFERROR(1*INDEX(BBG_Data!$Z$2:$Z$4000,MATCH($A838,BBG_Data!$Y$2:$Y$4000,0)),NA()))</f>
        <v/>
      </c>
    </row>
    <row r="839">
      <c r="A839" s="17">
        <f>IF(ISNUMBER(BBG_Data!A839),BBG_Data!A839,"")</f>
        <v/>
      </c>
      <c r="B839" s="18">
        <f>IF(AND(ISNUMBER($A839),ISNUMBER(BBG_Data!B839)),BBG_Data!B839,NA())</f>
        <v/>
      </c>
      <c r="C839" s="18">
        <f>IF(NOT(ISNUMBER($A839)),NA(),IFERROR(1*INDEX(BBG_Data!$D$2:$D$4000,MATCH($A839,BBG_Data!$C$2:$C$4000,0)),NA()))</f>
        <v/>
      </c>
      <c r="D839" s="19">
        <f>IF(NOT(ISNUMBER($A839)),NA(),IFERROR(1*INDEX(BBG_Data!$F$2:$F$4000,MATCH($A839,BBG_Data!$E$2:$E$4000,0)),NA()))</f>
        <v/>
      </c>
      <c r="E839" s="19">
        <f>IF(NOT(ISNUMBER($A839)),NA(),IFERROR(1*INDEX(BBG_Data!$H$2:$H$4000,MATCH($A839,BBG_Data!$G$2:$G$4000,0)),NA()))</f>
        <v/>
      </c>
      <c r="F839" s="20">
        <f>IF(AND(ISNUMBER(B839),ISNUMBER(B838)),IF(B839=B838,"",(B839-B838)*100),"")</f>
        <v/>
      </c>
      <c r="G839" s="20">
        <f>IF(AND(ISNUMBER(C839),ISNUMBER(C838)),IF(C839=C838,"",(C839-C838)*100),"")</f>
        <v/>
      </c>
      <c r="H839" s="20">
        <f>IF(OR(NOT(ISNUMBER($A839)),ROW()-2&lt;Settings!$B$11),NA(),IF(COUNT(OFFSET(F839,1-Settings!$B$11,0,Settings!$B$11,1))&lt;ROUNDUP(Settings!$B$11*Settings!$B$26,0),NA(),STDEV(OFFSET(F839,1-Settings!$B$11,0,Settings!$B$11,1))*SQRT(Settings!$B$13)))</f>
        <v/>
      </c>
      <c r="I839" s="20">
        <f>IF(OR(NOT(ISNUMBER($A839)),ROW()-2&lt;Settings!$B$12),NA(),IF(COUNT(OFFSET(F839,1-Settings!$B$12,0,Settings!$B$12,1))&lt;ROUNDUP(Settings!$B$12*Settings!$B$26,0),NA(),STDEV(OFFSET(F839,1-Settings!$B$12,0,Settings!$B$12,1))*SQRT(Settings!$B$13)))</f>
        <v/>
      </c>
      <c r="J839" s="20">
        <f>IF(OR(NOT(ISNUMBER($A839)),ROW()-2&lt;Settings!$B$11),NA(),IF(COUNT(OFFSET(G839,1-Settings!$B$11,0,Settings!$B$11,1))&lt;ROUNDUP(Settings!$B$11*Settings!$B$26,0),NA(),STDEV(OFFSET(G839,1-Settings!$B$11,0,Settings!$B$11,1))*SQRT(Settings!$B$13)))</f>
        <v/>
      </c>
      <c r="K839" s="20">
        <f>IF(OR(NOT(ISNUMBER($A839)),ROW()-2&lt;Settings!$B$12),NA(),IF(COUNT(OFFSET(G839,1-Settings!$B$12,0,Settings!$B$12,1))&lt;ROUNDUP(Settings!$B$12*Settings!$B$26,0),NA(),STDEV(OFFSET(G839,1-Settings!$B$12,0,Settings!$B$12,1))*SQRT(Settings!$B$13)))</f>
        <v/>
      </c>
      <c r="L839" s="20">
        <f>IF(AND(ISNUMBER(D839),ISNUMBER(H839)),D839-H839,NA())</f>
        <v/>
      </c>
      <c r="M839" s="20">
        <f>IF(AND(ISNUMBER(E839),ISNUMBER(K839)),E839-K839,NA())</f>
        <v/>
      </c>
      <c r="N839" s="20">
        <f>IF(NOT(ISNUMBER($A839)),NA(),IF(COUNT(OFFSET(G839,1,0,Settings!$B$12,1))&lt;ROUNDUP(Settings!$B$12*Settings!$B$26,0),NA(),STDEV(OFFSET(G839,1,0,Settings!$B$12,1))*SQRT(Settings!$B$13)))</f>
        <v/>
      </c>
      <c r="O839" s="20">
        <f>IF(AND(ISNUMBER(E839),ISNUMBER(N839)),E839-N839,NA())</f>
        <v/>
      </c>
      <c r="P839" s="19">
        <f>IF(NOT(ISNUMBER($A839)),NA(),IF(OR($A839&lt;MIN(KW_TP!$A$2:$A$2501),$A839&gt;MAX(KW_TP!$A$2:$A$2501)),NA(),INDEX(KW_TP!$C$2:$C$2501,MATCH($A839,KW_TP!$A$2:$A$2501,1))))</f>
        <v/>
      </c>
      <c r="Q839" s="18">
        <f>IF(NOT(ISNUMBER($A839)),NA(),IFERROR(1*INDEX(BBG_Data!$J$2:$J$4000,MATCH($A839,BBG_Data!$I$2:$I$4000,0)),NA()))</f>
        <v/>
      </c>
      <c r="R839" s="18">
        <f>IF(NOT(ISNUMBER($A839)),NA(),IFERROR(1*INDEX(BBG_Data!$L$2:$L$4000,MATCH($A839,BBG_Data!$K$2:$K$4000,0)),NA()))</f>
        <v/>
      </c>
      <c r="S839" s="20">
        <f>IF(AND(ISNUMBER(B839),ISNUMBER(Q839),ISNUMBER(R839)),(B839-Q839-R839)*100,NA())</f>
        <v/>
      </c>
      <c r="T839" s="20">
        <f>IF(AND(ISNUMBER(B839),Settings!$B$17&gt;0),IF(ISNUMBER(INDEX($B:$B,Settings!$B$17)),(B839-INDEX($B:$B,Settings!$B$17))*100,NA()),NA())</f>
        <v/>
      </c>
      <c r="U839" s="20">
        <f>IF(AND(ISNUMBER(Q839),Settings!$B$17&gt;0),IF(ISNUMBER(INDEX($Q:$Q,Settings!$B$17)),(Q839-INDEX($Q:$Q,Settings!$B$17))*100,NA()),NA())</f>
        <v/>
      </c>
      <c r="V839" s="20">
        <f>IF(AND(ISNUMBER(R839),Settings!$B$17&gt;0),IF(ISNUMBER(INDEX($R:$R,Settings!$B$17)),(R839-INDEX($R:$R,Settings!$B$17))*100,NA()),NA())</f>
        <v/>
      </c>
      <c r="W839" s="20">
        <f>IF(AND(ISNUMBER(P839),Settings!$B$17&gt;0),IF(ISNUMBER(INDEX($P:$P,Settings!$B$17)),P839-INDEX($P:$P,Settings!$B$17),NA()),NA())</f>
        <v/>
      </c>
      <c r="X839" s="19">
        <f>IF(NOT(ISNUMBER($A839)),NA(),IF(OR($A839&lt;MIN(DKW_10Y!$A$2:$A$2918),$A839&gt;MAX(DKW_10Y!$A$2:$A$2918),Settings!$B$16&lt;MIN(DKW_10Y!$A$2:$A$2918)),NA(),(INDEX(DKW_10Y!$B$2:$B$2918,MATCH($A839,DKW_10Y!$A$2:$A$2918,1))-INDEX(DKW_10Y!$B$2:$B$2918,MATCH(Settings!$B$16,DKW_10Y!$A$2:$A$2918,1)))*100))</f>
        <v/>
      </c>
      <c r="Y839" s="19">
        <f>IF(NOT(ISNUMBER($A839)),NA(),IF(OR($A839&lt;MIN(DKW_10Y!$A$2:$A$2918),$A839&gt;MAX(DKW_10Y!$A$2:$A$2918),Settings!$B$16&lt;MIN(DKW_10Y!$A$2:$A$2918)),NA(),(INDEX(DKW_10Y!$C$2:$C$2918,MATCH($A839,DKW_10Y!$A$2:$A$2918,1))-INDEX(DKW_10Y!$C$2:$C$2918,MATCH(Settings!$B$16,DKW_10Y!$A$2:$A$2918,1)))*100))</f>
        <v/>
      </c>
      <c r="Z839" s="19">
        <f>IF(NOT(ISNUMBER($A839)),NA(),IF(OR($A839&lt;MIN(DKW_10Y!$A$2:$A$2918),$A839&gt;MAX(DKW_10Y!$A$2:$A$2918),Settings!$B$16&lt;MIN(DKW_10Y!$A$2:$A$2918)),NA(),(INDEX(DKW_10Y!$D$2:$D$2918,MATCH($A839,DKW_10Y!$A$2:$A$2918,1))-INDEX(DKW_10Y!$D$2:$D$2918,MATCH(Settings!$B$16,DKW_10Y!$A$2:$A$2918,1)))*100))</f>
        <v/>
      </c>
      <c r="AA839" s="19">
        <f>IF(NOT(ISNUMBER($A839)),NA(),IF(OR($A839&lt;MIN(DKW_10Y!$A$2:$A$2918),$A839&gt;MAX(DKW_10Y!$A$2:$A$2918),Settings!$B$16&lt;MIN(DKW_10Y!$A$2:$A$2918)),NA(),(INDEX(DKW_10Y!$E$2:$E$2918,MATCH($A839,DKW_10Y!$A$2:$A$2918,1))-INDEX(DKW_10Y!$E$2:$E$2918,MATCH(Settings!$B$16,DKW_10Y!$A$2:$A$2918,1)))*100))</f>
        <v/>
      </c>
      <c r="AB839" s="19">
        <f>IF(NOT(ISNUMBER($A839)),NA(),IF(OR($A839&lt;MIN(DKW_10Y!$A$2:$A$2918),$A839&gt;MAX(DKW_10Y!$A$2:$A$2918),Settings!$B$16&lt;MIN(DKW_10Y!$A$2:$A$2918)),NA(),(INDEX(DKW_10Y!$H$2:$H$2918,MATCH($A839,DKW_10Y!$A$2:$A$2918,1))-INDEX(DKW_10Y!$H$2:$H$2918,MATCH(Settings!$B$16,DKW_10Y!$A$2:$A$2918,1)))*100))</f>
        <v/>
      </c>
      <c r="AC839" s="18">
        <f>IF(NOT(ISNUMBER($A839)),NA(),IFERROR(1*INDEX(BBG_Data!$N$2:$N$4000,MATCH($A839,BBG_Data!$M$2:$M$4000,0)),NA()))</f>
        <v/>
      </c>
      <c r="AD839" s="18">
        <f>IF(NOT(ISNUMBER($A839)),NA(),IFERROR(1*INDEX(BBG_Data!$P$2:$P$4000,MATCH($A839,BBG_Data!$O$2:$O$4000,0)),NA()))</f>
        <v/>
      </c>
      <c r="AE839" s="18">
        <f>IF(NOT(ISNUMBER($A839)),NA(),IFERROR(1*INDEX(BBG_Data!$R$2:$R$4000,MATCH($A839,BBG_Data!$Q$2:$Q$4000,0)),NA()))</f>
        <v/>
      </c>
      <c r="AF839" s="20">
        <f>IF(AND(ISNUMBER(B839),ISNUMBER(AC839)),(B839-AC839)*100,NA())</f>
        <v/>
      </c>
      <c r="AG839" s="20">
        <f>IF(AND(ISNUMBER(AE839),ISNUMBER(AD839)),(AE839-AD839)*100,NA())</f>
        <v/>
      </c>
      <c r="AH839" s="19">
        <f>IF(NOT(ISNUMBER($A839)),NA(),IFERROR(INDEX(BBG_Data!$T$2:$T$4000,MATCH($A839,BBG_Data!$S$2:$S$4000,0))*Settings!$B$25,NA()))</f>
        <v/>
      </c>
      <c r="AI839" s="19">
        <f>IF(NOT(ISNUMBER($A839)),NA(),IFERROR(INDEX(BBG_Data!$V$2:$V$4000,MATCH($A839,BBG_Data!$U$2:$U$4000,0))*Settings!$B$25,NA()))</f>
        <v/>
      </c>
      <c r="AJ839" s="19">
        <f>IF(NOT(ISNUMBER($A839)),NA(),IFERROR(1*INDEX(BBG_Data!$X$2:$X$4000,MATCH($A839,BBG_Data!$W$2:$W$4000,0)),NA()))</f>
        <v/>
      </c>
      <c r="AK839" s="19">
        <f>IF(NOT(ISNUMBER($A839)),NA(),IFERROR(1*INDEX(BBG_Data!$Z$2:$Z$4000,MATCH($A839,BBG_Data!$Y$2:$Y$4000,0)),NA()))</f>
        <v/>
      </c>
    </row>
    <row r="840">
      <c r="A840" s="17">
        <f>IF(ISNUMBER(BBG_Data!A840),BBG_Data!A840,"")</f>
        <v/>
      </c>
      <c r="B840" s="18">
        <f>IF(AND(ISNUMBER($A840),ISNUMBER(BBG_Data!B840)),BBG_Data!B840,NA())</f>
        <v/>
      </c>
      <c r="C840" s="18">
        <f>IF(NOT(ISNUMBER($A840)),NA(),IFERROR(1*INDEX(BBG_Data!$D$2:$D$4000,MATCH($A840,BBG_Data!$C$2:$C$4000,0)),NA()))</f>
        <v/>
      </c>
      <c r="D840" s="19">
        <f>IF(NOT(ISNUMBER($A840)),NA(),IFERROR(1*INDEX(BBG_Data!$F$2:$F$4000,MATCH($A840,BBG_Data!$E$2:$E$4000,0)),NA()))</f>
        <v/>
      </c>
      <c r="E840" s="19">
        <f>IF(NOT(ISNUMBER($A840)),NA(),IFERROR(1*INDEX(BBG_Data!$H$2:$H$4000,MATCH($A840,BBG_Data!$G$2:$G$4000,0)),NA()))</f>
        <v/>
      </c>
      <c r="F840" s="20">
        <f>IF(AND(ISNUMBER(B840),ISNUMBER(B839)),IF(B840=B839,"",(B840-B839)*100),"")</f>
        <v/>
      </c>
      <c r="G840" s="20">
        <f>IF(AND(ISNUMBER(C840),ISNUMBER(C839)),IF(C840=C839,"",(C840-C839)*100),"")</f>
        <v/>
      </c>
      <c r="H840" s="20">
        <f>IF(OR(NOT(ISNUMBER($A840)),ROW()-2&lt;Settings!$B$11),NA(),IF(COUNT(OFFSET(F840,1-Settings!$B$11,0,Settings!$B$11,1))&lt;ROUNDUP(Settings!$B$11*Settings!$B$26,0),NA(),STDEV(OFFSET(F840,1-Settings!$B$11,0,Settings!$B$11,1))*SQRT(Settings!$B$13)))</f>
        <v/>
      </c>
      <c r="I840" s="20">
        <f>IF(OR(NOT(ISNUMBER($A840)),ROW()-2&lt;Settings!$B$12),NA(),IF(COUNT(OFFSET(F840,1-Settings!$B$12,0,Settings!$B$12,1))&lt;ROUNDUP(Settings!$B$12*Settings!$B$26,0),NA(),STDEV(OFFSET(F840,1-Settings!$B$12,0,Settings!$B$12,1))*SQRT(Settings!$B$13)))</f>
        <v/>
      </c>
      <c r="J840" s="20">
        <f>IF(OR(NOT(ISNUMBER($A840)),ROW()-2&lt;Settings!$B$11),NA(),IF(COUNT(OFFSET(G840,1-Settings!$B$11,0,Settings!$B$11,1))&lt;ROUNDUP(Settings!$B$11*Settings!$B$26,0),NA(),STDEV(OFFSET(G840,1-Settings!$B$11,0,Settings!$B$11,1))*SQRT(Settings!$B$13)))</f>
        <v/>
      </c>
      <c r="K840" s="20">
        <f>IF(OR(NOT(ISNUMBER($A840)),ROW()-2&lt;Settings!$B$12),NA(),IF(COUNT(OFFSET(G840,1-Settings!$B$12,0,Settings!$B$12,1))&lt;ROUNDUP(Settings!$B$12*Settings!$B$26,0),NA(),STDEV(OFFSET(G840,1-Settings!$B$12,0,Settings!$B$12,1))*SQRT(Settings!$B$13)))</f>
        <v/>
      </c>
      <c r="L840" s="20">
        <f>IF(AND(ISNUMBER(D840),ISNUMBER(H840)),D840-H840,NA())</f>
        <v/>
      </c>
      <c r="M840" s="20">
        <f>IF(AND(ISNUMBER(E840),ISNUMBER(K840)),E840-K840,NA())</f>
        <v/>
      </c>
      <c r="N840" s="20">
        <f>IF(NOT(ISNUMBER($A840)),NA(),IF(COUNT(OFFSET(G840,1,0,Settings!$B$12,1))&lt;ROUNDUP(Settings!$B$12*Settings!$B$26,0),NA(),STDEV(OFFSET(G840,1,0,Settings!$B$12,1))*SQRT(Settings!$B$13)))</f>
        <v/>
      </c>
      <c r="O840" s="20">
        <f>IF(AND(ISNUMBER(E840),ISNUMBER(N840)),E840-N840,NA())</f>
        <v/>
      </c>
      <c r="P840" s="19">
        <f>IF(NOT(ISNUMBER($A840)),NA(),IF(OR($A840&lt;MIN(KW_TP!$A$2:$A$2501),$A840&gt;MAX(KW_TP!$A$2:$A$2501)),NA(),INDEX(KW_TP!$C$2:$C$2501,MATCH($A840,KW_TP!$A$2:$A$2501,1))))</f>
        <v/>
      </c>
      <c r="Q840" s="18">
        <f>IF(NOT(ISNUMBER($A840)),NA(),IFERROR(1*INDEX(BBG_Data!$J$2:$J$4000,MATCH($A840,BBG_Data!$I$2:$I$4000,0)),NA()))</f>
        <v/>
      </c>
      <c r="R840" s="18">
        <f>IF(NOT(ISNUMBER($A840)),NA(),IFERROR(1*INDEX(BBG_Data!$L$2:$L$4000,MATCH($A840,BBG_Data!$K$2:$K$4000,0)),NA()))</f>
        <v/>
      </c>
      <c r="S840" s="20">
        <f>IF(AND(ISNUMBER(B840),ISNUMBER(Q840),ISNUMBER(R840)),(B840-Q840-R840)*100,NA())</f>
        <v/>
      </c>
      <c r="T840" s="20">
        <f>IF(AND(ISNUMBER(B840),Settings!$B$17&gt;0),IF(ISNUMBER(INDEX($B:$B,Settings!$B$17)),(B840-INDEX($B:$B,Settings!$B$17))*100,NA()),NA())</f>
        <v/>
      </c>
      <c r="U840" s="20">
        <f>IF(AND(ISNUMBER(Q840),Settings!$B$17&gt;0),IF(ISNUMBER(INDEX($Q:$Q,Settings!$B$17)),(Q840-INDEX($Q:$Q,Settings!$B$17))*100,NA()),NA())</f>
        <v/>
      </c>
      <c r="V840" s="20">
        <f>IF(AND(ISNUMBER(R840),Settings!$B$17&gt;0),IF(ISNUMBER(INDEX($R:$R,Settings!$B$17)),(R840-INDEX($R:$R,Settings!$B$17))*100,NA()),NA())</f>
        <v/>
      </c>
      <c r="W840" s="20">
        <f>IF(AND(ISNUMBER(P840),Settings!$B$17&gt;0),IF(ISNUMBER(INDEX($P:$P,Settings!$B$17)),P840-INDEX($P:$P,Settings!$B$17),NA()),NA())</f>
        <v/>
      </c>
      <c r="X840" s="19">
        <f>IF(NOT(ISNUMBER($A840)),NA(),IF(OR($A840&lt;MIN(DKW_10Y!$A$2:$A$2918),$A840&gt;MAX(DKW_10Y!$A$2:$A$2918),Settings!$B$16&lt;MIN(DKW_10Y!$A$2:$A$2918)),NA(),(INDEX(DKW_10Y!$B$2:$B$2918,MATCH($A840,DKW_10Y!$A$2:$A$2918,1))-INDEX(DKW_10Y!$B$2:$B$2918,MATCH(Settings!$B$16,DKW_10Y!$A$2:$A$2918,1)))*100))</f>
        <v/>
      </c>
      <c r="Y840" s="19">
        <f>IF(NOT(ISNUMBER($A840)),NA(),IF(OR($A840&lt;MIN(DKW_10Y!$A$2:$A$2918),$A840&gt;MAX(DKW_10Y!$A$2:$A$2918),Settings!$B$16&lt;MIN(DKW_10Y!$A$2:$A$2918)),NA(),(INDEX(DKW_10Y!$C$2:$C$2918,MATCH($A840,DKW_10Y!$A$2:$A$2918,1))-INDEX(DKW_10Y!$C$2:$C$2918,MATCH(Settings!$B$16,DKW_10Y!$A$2:$A$2918,1)))*100))</f>
        <v/>
      </c>
      <c r="Z840" s="19">
        <f>IF(NOT(ISNUMBER($A840)),NA(),IF(OR($A840&lt;MIN(DKW_10Y!$A$2:$A$2918),$A840&gt;MAX(DKW_10Y!$A$2:$A$2918),Settings!$B$16&lt;MIN(DKW_10Y!$A$2:$A$2918)),NA(),(INDEX(DKW_10Y!$D$2:$D$2918,MATCH($A840,DKW_10Y!$A$2:$A$2918,1))-INDEX(DKW_10Y!$D$2:$D$2918,MATCH(Settings!$B$16,DKW_10Y!$A$2:$A$2918,1)))*100))</f>
        <v/>
      </c>
      <c r="AA840" s="19">
        <f>IF(NOT(ISNUMBER($A840)),NA(),IF(OR($A840&lt;MIN(DKW_10Y!$A$2:$A$2918),$A840&gt;MAX(DKW_10Y!$A$2:$A$2918),Settings!$B$16&lt;MIN(DKW_10Y!$A$2:$A$2918)),NA(),(INDEX(DKW_10Y!$E$2:$E$2918,MATCH($A840,DKW_10Y!$A$2:$A$2918,1))-INDEX(DKW_10Y!$E$2:$E$2918,MATCH(Settings!$B$16,DKW_10Y!$A$2:$A$2918,1)))*100))</f>
        <v/>
      </c>
      <c r="AB840" s="19">
        <f>IF(NOT(ISNUMBER($A840)),NA(),IF(OR($A840&lt;MIN(DKW_10Y!$A$2:$A$2918),$A840&gt;MAX(DKW_10Y!$A$2:$A$2918),Settings!$B$16&lt;MIN(DKW_10Y!$A$2:$A$2918)),NA(),(INDEX(DKW_10Y!$H$2:$H$2918,MATCH($A840,DKW_10Y!$A$2:$A$2918,1))-INDEX(DKW_10Y!$H$2:$H$2918,MATCH(Settings!$B$16,DKW_10Y!$A$2:$A$2918,1)))*100))</f>
        <v/>
      </c>
      <c r="AC840" s="18">
        <f>IF(NOT(ISNUMBER($A840)),NA(),IFERROR(1*INDEX(BBG_Data!$N$2:$N$4000,MATCH($A840,BBG_Data!$M$2:$M$4000,0)),NA()))</f>
        <v/>
      </c>
      <c r="AD840" s="18">
        <f>IF(NOT(ISNUMBER($A840)),NA(),IFERROR(1*INDEX(BBG_Data!$P$2:$P$4000,MATCH($A840,BBG_Data!$O$2:$O$4000,0)),NA()))</f>
        <v/>
      </c>
      <c r="AE840" s="18">
        <f>IF(NOT(ISNUMBER($A840)),NA(),IFERROR(1*INDEX(BBG_Data!$R$2:$R$4000,MATCH($A840,BBG_Data!$Q$2:$Q$4000,0)),NA()))</f>
        <v/>
      </c>
      <c r="AF840" s="20">
        <f>IF(AND(ISNUMBER(B840),ISNUMBER(AC840)),(B840-AC840)*100,NA())</f>
        <v/>
      </c>
      <c r="AG840" s="20">
        <f>IF(AND(ISNUMBER(AE840),ISNUMBER(AD840)),(AE840-AD840)*100,NA())</f>
        <v/>
      </c>
      <c r="AH840" s="19">
        <f>IF(NOT(ISNUMBER($A840)),NA(),IFERROR(INDEX(BBG_Data!$T$2:$T$4000,MATCH($A840,BBG_Data!$S$2:$S$4000,0))*Settings!$B$25,NA()))</f>
        <v/>
      </c>
      <c r="AI840" s="19">
        <f>IF(NOT(ISNUMBER($A840)),NA(),IFERROR(INDEX(BBG_Data!$V$2:$V$4000,MATCH($A840,BBG_Data!$U$2:$U$4000,0))*Settings!$B$25,NA()))</f>
        <v/>
      </c>
      <c r="AJ840" s="19">
        <f>IF(NOT(ISNUMBER($A840)),NA(),IFERROR(1*INDEX(BBG_Data!$X$2:$X$4000,MATCH($A840,BBG_Data!$W$2:$W$4000,0)),NA()))</f>
        <v/>
      </c>
      <c r="AK840" s="19">
        <f>IF(NOT(ISNUMBER($A840)),NA(),IFERROR(1*INDEX(BBG_Data!$Z$2:$Z$4000,MATCH($A840,BBG_Data!$Y$2:$Y$4000,0)),NA()))</f>
        <v/>
      </c>
    </row>
    <row r="841">
      <c r="A841" s="17">
        <f>IF(ISNUMBER(BBG_Data!A841),BBG_Data!A841,"")</f>
        <v/>
      </c>
      <c r="B841" s="18">
        <f>IF(AND(ISNUMBER($A841),ISNUMBER(BBG_Data!B841)),BBG_Data!B841,NA())</f>
        <v/>
      </c>
      <c r="C841" s="18">
        <f>IF(NOT(ISNUMBER($A841)),NA(),IFERROR(1*INDEX(BBG_Data!$D$2:$D$4000,MATCH($A841,BBG_Data!$C$2:$C$4000,0)),NA()))</f>
        <v/>
      </c>
      <c r="D841" s="19">
        <f>IF(NOT(ISNUMBER($A841)),NA(),IFERROR(1*INDEX(BBG_Data!$F$2:$F$4000,MATCH($A841,BBG_Data!$E$2:$E$4000,0)),NA()))</f>
        <v/>
      </c>
      <c r="E841" s="19">
        <f>IF(NOT(ISNUMBER($A841)),NA(),IFERROR(1*INDEX(BBG_Data!$H$2:$H$4000,MATCH($A841,BBG_Data!$G$2:$G$4000,0)),NA()))</f>
        <v/>
      </c>
      <c r="F841" s="20">
        <f>IF(AND(ISNUMBER(B841),ISNUMBER(B840)),IF(B841=B840,"",(B841-B840)*100),"")</f>
        <v/>
      </c>
      <c r="G841" s="20">
        <f>IF(AND(ISNUMBER(C841),ISNUMBER(C840)),IF(C841=C840,"",(C841-C840)*100),"")</f>
        <v/>
      </c>
      <c r="H841" s="20">
        <f>IF(OR(NOT(ISNUMBER($A841)),ROW()-2&lt;Settings!$B$11),NA(),IF(COUNT(OFFSET(F841,1-Settings!$B$11,0,Settings!$B$11,1))&lt;ROUNDUP(Settings!$B$11*Settings!$B$26,0),NA(),STDEV(OFFSET(F841,1-Settings!$B$11,0,Settings!$B$11,1))*SQRT(Settings!$B$13)))</f>
        <v/>
      </c>
      <c r="I841" s="20">
        <f>IF(OR(NOT(ISNUMBER($A841)),ROW()-2&lt;Settings!$B$12),NA(),IF(COUNT(OFFSET(F841,1-Settings!$B$12,0,Settings!$B$12,1))&lt;ROUNDUP(Settings!$B$12*Settings!$B$26,0),NA(),STDEV(OFFSET(F841,1-Settings!$B$12,0,Settings!$B$12,1))*SQRT(Settings!$B$13)))</f>
        <v/>
      </c>
      <c r="J841" s="20">
        <f>IF(OR(NOT(ISNUMBER($A841)),ROW()-2&lt;Settings!$B$11),NA(),IF(COUNT(OFFSET(G841,1-Settings!$B$11,0,Settings!$B$11,1))&lt;ROUNDUP(Settings!$B$11*Settings!$B$26,0),NA(),STDEV(OFFSET(G841,1-Settings!$B$11,0,Settings!$B$11,1))*SQRT(Settings!$B$13)))</f>
        <v/>
      </c>
      <c r="K841" s="20">
        <f>IF(OR(NOT(ISNUMBER($A841)),ROW()-2&lt;Settings!$B$12),NA(),IF(COUNT(OFFSET(G841,1-Settings!$B$12,0,Settings!$B$12,1))&lt;ROUNDUP(Settings!$B$12*Settings!$B$26,0),NA(),STDEV(OFFSET(G841,1-Settings!$B$12,0,Settings!$B$12,1))*SQRT(Settings!$B$13)))</f>
        <v/>
      </c>
      <c r="L841" s="20">
        <f>IF(AND(ISNUMBER(D841),ISNUMBER(H841)),D841-H841,NA())</f>
        <v/>
      </c>
      <c r="M841" s="20">
        <f>IF(AND(ISNUMBER(E841),ISNUMBER(K841)),E841-K841,NA())</f>
        <v/>
      </c>
      <c r="N841" s="20">
        <f>IF(NOT(ISNUMBER($A841)),NA(),IF(COUNT(OFFSET(G841,1,0,Settings!$B$12,1))&lt;ROUNDUP(Settings!$B$12*Settings!$B$26,0),NA(),STDEV(OFFSET(G841,1,0,Settings!$B$12,1))*SQRT(Settings!$B$13)))</f>
        <v/>
      </c>
      <c r="O841" s="20">
        <f>IF(AND(ISNUMBER(E841),ISNUMBER(N841)),E841-N841,NA())</f>
        <v/>
      </c>
      <c r="P841" s="19">
        <f>IF(NOT(ISNUMBER($A841)),NA(),IF(OR($A841&lt;MIN(KW_TP!$A$2:$A$2501),$A841&gt;MAX(KW_TP!$A$2:$A$2501)),NA(),INDEX(KW_TP!$C$2:$C$2501,MATCH($A841,KW_TP!$A$2:$A$2501,1))))</f>
        <v/>
      </c>
      <c r="Q841" s="18">
        <f>IF(NOT(ISNUMBER($A841)),NA(),IFERROR(1*INDEX(BBG_Data!$J$2:$J$4000,MATCH($A841,BBG_Data!$I$2:$I$4000,0)),NA()))</f>
        <v/>
      </c>
      <c r="R841" s="18">
        <f>IF(NOT(ISNUMBER($A841)),NA(),IFERROR(1*INDEX(BBG_Data!$L$2:$L$4000,MATCH($A841,BBG_Data!$K$2:$K$4000,0)),NA()))</f>
        <v/>
      </c>
      <c r="S841" s="20">
        <f>IF(AND(ISNUMBER(B841),ISNUMBER(Q841),ISNUMBER(R841)),(B841-Q841-R841)*100,NA())</f>
        <v/>
      </c>
      <c r="T841" s="20">
        <f>IF(AND(ISNUMBER(B841),Settings!$B$17&gt;0),IF(ISNUMBER(INDEX($B:$B,Settings!$B$17)),(B841-INDEX($B:$B,Settings!$B$17))*100,NA()),NA())</f>
        <v/>
      </c>
      <c r="U841" s="20">
        <f>IF(AND(ISNUMBER(Q841),Settings!$B$17&gt;0),IF(ISNUMBER(INDEX($Q:$Q,Settings!$B$17)),(Q841-INDEX($Q:$Q,Settings!$B$17))*100,NA()),NA())</f>
        <v/>
      </c>
      <c r="V841" s="20">
        <f>IF(AND(ISNUMBER(R841),Settings!$B$17&gt;0),IF(ISNUMBER(INDEX($R:$R,Settings!$B$17)),(R841-INDEX($R:$R,Settings!$B$17))*100,NA()),NA())</f>
        <v/>
      </c>
      <c r="W841" s="20">
        <f>IF(AND(ISNUMBER(P841),Settings!$B$17&gt;0),IF(ISNUMBER(INDEX($P:$P,Settings!$B$17)),P841-INDEX($P:$P,Settings!$B$17),NA()),NA())</f>
        <v/>
      </c>
      <c r="X841" s="19">
        <f>IF(NOT(ISNUMBER($A841)),NA(),IF(OR($A841&lt;MIN(DKW_10Y!$A$2:$A$2918),$A841&gt;MAX(DKW_10Y!$A$2:$A$2918),Settings!$B$16&lt;MIN(DKW_10Y!$A$2:$A$2918)),NA(),(INDEX(DKW_10Y!$B$2:$B$2918,MATCH($A841,DKW_10Y!$A$2:$A$2918,1))-INDEX(DKW_10Y!$B$2:$B$2918,MATCH(Settings!$B$16,DKW_10Y!$A$2:$A$2918,1)))*100))</f>
        <v/>
      </c>
      <c r="Y841" s="19">
        <f>IF(NOT(ISNUMBER($A841)),NA(),IF(OR($A841&lt;MIN(DKW_10Y!$A$2:$A$2918),$A841&gt;MAX(DKW_10Y!$A$2:$A$2918),Settings!$B$16&lt;MIN(DKW_10Y!$A$2:$A$2918)),NA(),(INDEX(DKW_10Y!$C$2:$C$2918,MATCH($A841,DKW_10Y!$A$2:$A$2918,1))-INDEX(DKW_10Y!$C$2:$C$2918,MATCH(Settings!$B$16,DKW_10Y!$A$2:$A$2918,1)))*100))</f>
        <v/>
      </c>
      <c r="Z841" s="19">
        <f>IF(NOT(ISNUMBER($A841)),NA(),IF(OR($A841&lt;MIN(DKW_10Y!$A$2:$A$2918),$A841&gt;MAX(DKW_10Y!$A$2:$A$2918),Settings!$B$16&lt;MIN(DKW_10Y!$A$2:$A$2918)),NA(),(INDEX(DKW_10Y!$D$2:$D$2918,MATCH($A841,DKW_10Y!$A$2:$A$2918,1))-INDEX(DKW_10Y!$D$2:$D$2918,MATCH(Settings!$B$16,DKW_10Y!$A$2:$A$2918,1)))*100))</f>
        <v/>
      </c>
      <c r="AA841" s="19">
        <f>IF(NOT(ISNUMBER($A841)),NA(),IF(OR($A841&lt;MIN(DKW_10Y!$A$2:$A$2918),$A841&gt;MAX(DKW_10Y!$A$2:$A$2918),Settings!$B$16&lt;MIN(DKW_10Y!$A$2:$A$2918)),NA(),(INDEX(DKW_10Y!$E$2:$E$2918,MATCH($A841,DKW_10Y!$A$2:$A$2918,1))-INDEX(DKW_10Y!$E$2:$E$2918,MATCH(Settings!$B$16,DKW_10Y!$A$2:$A$2918,1)))*100))</f>
        <v/>
      </c>
      <c r="AB841" s="19">
        <f>IF(NOT(ISNUMBER($A841)),NA(),IF(OR($A841&lt;MIN(DKW_10Y!$A$2:$A$2918),$A841&gt;MAX(DKW_10Y!$A$2:$A$2918),Settings!$B$16&lt;MIN(DKW_10Y!$A$2:$A$2918)),NA(),(INDEX(DKW_10Y!$H$2:$H$2918,MATCH($A841,DKW_10Y!$A$2:$A$2918,1))-INDEX(DKW_10Y!$H$2:$H$2918,MATCH(Settings!$B$16,DKW_10Y!$A$2:$A$2918,1)))*100))</f>
        <v/>
      </c>
      <c r="AC841" s="18">
        <f>IF(NOT(ISNUMBER($A841)),NA(),IFERROR(1*INDEX(BBG_Data!$N$2:$N$4000,MATCH($A841,BBG_Data!$M$2:$M$4000,0)),NA()))</f>
        <v/>
      </c>
      <c r="AD841" s="18">
        <f>IF(NOT(ISNUMBER($A841)),NA(),IFERROR(1*INDEX(BBG_Data!$P$2:$P$4000,MATCH($A841,BBG_Data!$O$2:$O$4000,0)),NA()))</f>
        <v/>
      </c>
      <c r="AE841" s="18">
        <f>IF(NOT(ISNUMBER($A841)),NA(),IFERROR(1*INDEX(BBG_Data!$R$2:$R$4000,MATCH($A841,BBG_Data!$Q$2:$Q$4000,0)),NA()))</f>
        <v/>
      </c>
      <c r="AF841" s="20">
        <f>IF(AND(ISNUMBER(B841),ISNUMBER(AC841)),(B841-AC841)*100,NA())</f>
        <v/>
      </c>
      <c r="AG841" s="20">
        <f>IF(AND(ISNUMBER(AE841),ISNUMBER(AD841)),(AE841-AD841)*100,NA())</f>
        <v/>
      </c>
      <c r="AH841" s="19">
        <f>IF(NOT(ISNUMBER($A841)),NA(),IFERROR(INDEX(BBG_Data!$T$2:$T$4000,MATCH($A841,BBG_Data!$S$2:$S$4000,0))*Settings!$B$25,NA()))</f>
        <v/>
      </c>
      <c r="AI841" s="19">
        <f>IF(NOT(ISNUMBER($A841)),NA(),IFERROR(INDEX(BBG_Data!$V$2:$V$4000,MATCH($A841,BBG_Data!$U$2:$U$4000,0))*Settings!$B$25,NA()))</f>
        <v/>
      </c>
      <c r="AJ841" s="19">
        <f>IF(NOT(ISNUMBER($A841)),NA(),IFERROR(1*INDEX(BBG_Data!$X$2:$X$4000,MATCH($A841,BBG_Data!$W$2:$W$4000,0)),NA()))</f>
        <v/>
      </c>
      <c r="AK841" s="19">
        <f>IF(NOT(ISNUMBER($A841)),NA(),IFERROR(1*INDEX(BBG_Data!$Z$2:$Z$4000,MATCH($A841,BBG_Data!$Y$2:$Y$4000,0)),NA()))</f>
        <v/>
      </c>
    </row>
    <row r="842">
      <c r="A842" s="17">
        <f>IF(ISNUMBER(BBG_Data!A842),BBG_Data!A842,"")</f>
        <v/>
      </c>
      <c r="B842" s="18">
        <f>IF(AND(ISNUMBER($A842),ISNUMBER(BBG_Data!B842)),BBG_Data!B842,NA())</f>
        <v/>
      </c>
      <c r="C842" s="18">
        <f>IF(NOT(ISNUMBER($A842)),NA(),IFERROR(1*INDEX(BBG_Data!$D$2:$D$4000,MATCH($A842,BBG_Data!$C$2:$C$4000,0)),NA()))</f>
        <v/>
      </c>
      <c r="D842" s="19">
        <f>IF(NOT(ISNUMBER($A842)),NA(),IFERROR(1*INDEX(BBG_Data!$F$2:$F$4000,MATCH($A842,BBG_Data!$E$2:$E$4000,0)),NA()))</f>
        <v/>
      </c>
      <c r="E842" s="19">
        <f>IF(NOT(ISNUMBER($A842)),NA(),IFERROR(1*INDEX(BBG_Data!$H$2:$H$4000,MATCH($A842,BBG_Data!$G$2:$G$4000,0)),NA()))</f>
        <v/>
      </c>
      <c r="F842" s="20">
        <f>IF(AND(ISNUMBER(B842),ISNUMBER(B841)),IF(B842=B841,"",(B842-B841)*100),"")</f>
        <v/>
      </c>
      <c r="G842" s="20">
        <f>IF(AND(ISNUMBER(C842),ISNUMBER(C841)),IF(C842=C841,"",(C842-C841)*100),"")</f>
        <v/>
      </c>
      <c r="H842" s="20">
        <f>IF(OR(NOT(ISNUMBER($A842)),ROW()-2&lt;Settings!$B$11),NA(),IF(COUNT(OFFSET(F842,1-Settings!$B$11,0,Settings!$B$11,1))&lt;ROUNDUP(Settings!$B$11*Settings!$B$26,0),NA(),STDEV(OFFSET(F842,1-Settings!$B$11,0,Settings!$B$11,1))*SQRT(Settings!$B$13)))</f>
        <v/>
      </c>
      <c r="I842" s="20">
        <f>IF(OR(NOT(ISNUMBER($A842)),ROW()-2&lt;Settings!$B$12),NA(),IF(COUNT(OFFSET(F842,1-Settings!$B$12,0,Settings!$B$12,1))&lt;ROUNDUP(Settings!$B$12*Settings!$B$26,0),NA(),STDEV(OFFSET(F842,1-Settings!$B$12,0,Settings!$B$12,1))*SQRT(Settings!$B$13)))</f>
        <v/>
      </c>
      <c r="J842" s="20">
        <f>IF(OR(NOT(ISNUMBER($A842)),ROW()-2&lt;Settings!$B$11),NA(),IF(COUNT(OFFSET(G842,1-Settings!$B$11,0,Settings!$B$11,1))&lt;ROUNDUP(Settings!$B$11*Settings!$B$26,0),NA(),STDEV(OFFSET(G842,1-Settings!$B$11,0,Settings!$B$11,1))*SQRT(Settings!$B$13)))</f>
        <v/>
      </c>
      <c r="K842" s="20">
        <f>IF(OR(NOT(ISNUMBER($A842)),ROW()-2&lt;Settings!$B$12),NA(),IF(COUNT(OFFSET(G842,1-Settings!$B$12,0,Settings!$B$12,1))&lt;ROUNDUP(Settings!$B$12*Settings!$B$26,0),NA(),STDEV(OFFSET(G842,1-Settings!$B$12,0,Settings!$B$12,1))*SQRT(Settings!$B$13)))</f>
        <v/>
      </c>
      <c r="L842" s="20">
        <f>IF(AND(ISNUMBER(D842),ISNUMBER(H842)),D842-H842,NA())</f>
        <v/>
      </c>
      <c r="M842" s="20">
        <f>IF(AND(ISNUMBER(E842),ISNUMBER(K842)),E842-K842,NA())</f>
        <v/>
      </c>
      <c r="N842" s="20">
        <f>IF(NOT(ISNUMBER($A842)),NA(),IF(COUNT(OFFSET(G842,1,0,Settings!$B$12,1))&lt;ROUNDUP(Settings!$B$12*Settings!$B$26,0),NA(),STDEV(OFFSET(G842,1,0,Settings!$B$12,1))*SQRT(Settings!$B$13)))</f>
        <v/>
      </c>
      <c r="O842" s="20">
        <f>IF(AND(ISNUMBER(E842),ISNUMBER(N842)),E842-N842,NA())</f>
        <v/>
      </c>
      <c r="P842" s="19">
        <f>IF(NOT(ISNUMBER($A842)),NA(),IF(OR($A842&lt;MIN(KW_TP!$A$2:$A$2501),$A842&gt;MAX(KW_TP!$A$2:$A$2501)),NA(),INDEX(KW_TP!$C$2:$C$2501,MATCH($A842,KW_TP!$A$2:$A$2501,1))))</f>
        <v/>
      </c>
      <c r="Q842" s="18">
        <f>IF(NOT(ISNUMBER($A842)),NA(),IFERROR(1*INDEX(BBG_Data!$J$2:$J$4000,MATCH($A842,BBG_Data!$I$2:$I$4000,0)),NA()))</f>
        <v/>
      </c>
      <c r="R842" s="18">
        <f>IF(NOT(ISNUMBER($A842)),NA(),IFERROR(1*INDEX(BBG_Data!$L$2:$L$4000,MATCH($A842,BBG_Data!$K$2:$K$4000,0)),NA()))</f>
        <v/>
      </c>
      <c r="S842" s="20">
        <f>IF(AND(ISNUMBER(B842),ISNUMBER(Q842),ISNUMBER(R842)),(B842-Q842-R842)*100,NA())</f>
        <v/>
      </c>
      <c r="T842" s="20">
        <f>IF(AND(ISNUMBER(B842),Settings!$B$17&gt;0),IF(ISNUMBER(INDEX($B:$B,Settings!$B$17)),(B842-INDEX($B:$B,Settings!$B$17))*100,NA()),NA())</f>
        <v/>
      </c>
      <c r="U842" s="20">
        <f>IF(AND(ISNUMBER(Q842),Settings!$B$17&gt;0),IF(ISNUMBER(INDEX($Q:$Q,Settings!$B$17)),(Q842-INDEX($Q:$Q,Settings!$B$17))*100,NA()),NA())</f>
        <v/>
      </c>
      <c r="V842" s="20">
        <f>IF(AND(ISNUMBER(R842),Settings!$B$17&gt;0),IF(ISNUMBER(INDEX($R:$R,Settings!$B$17)),(R842-INDEX($R:$R,Settings!$B$17))*100,NA()),NA())</f>
        <v/>
      </c>
      <c r="W842" s="20">
        <f>IF(AND(ISNUMBER(P842),Settings!$B$17&gt;0),IF(ISNUMBER(INDEX($P:$P,Settings!$B$17)),P842-INDEX($P:$P,Settings!$B$17),NA()),NA())</f>
        <v/>
      </c>
      <c r="X842" s="19">
        <f>IF(NOT(ISNUMBER($A842)),NA(),IF(OR($A842&lt;MIN(DKW_10Y!$A$2:$A$2918),$A842&gt;MAX(DKW_10Y!$A$2:$A$2918),Settings!$B$16&lt;MIN(DKW_10Y!$A$2:$A$2918)),NA(),(INDEX(DKW_10Y!$B$2:$B$2918,MATCH($A842,DKW_10Y!$A$2:$A$2918,1))-INDEX(DKW_10Y!$B$2:$B$2918,MATCH(Settings!$B$16,DKW_10Y!$A$2:$A$2918,1)))*100))</f>
        <v/>
      </c>
      <c r="Y842" s="19">
        <f>IF(NOT(ISNUMBER($A842)),NA(),IF(OR($A842&lt;MIN(DKW_10Y!$A$2:$A$2918),$A842&gt;MAX(DKW_10Y!$A$2:$A$2918),Settings!$B$16&lt;MIN(DKW_10Y!$A$2:$A$2918)),NA(),(INDEX(DKW_10Y!$C$2:$C$2918,MATCH($A842,DKW_10Y!$A$2:$A$2918,1))-INDEX(DKW_10Y!$C$2:$C$2918,MATCH(Settings!$B$16,DKW_10Y!$A$2:$A$2918,1)))*100))</f>
        <v/>
      </c>
      <c r="Z842" s="19">
        <f>IF(NOT(ISNUMBER($A842)),NA(),IF(OR($A842&lt;MIN(DKW_10Y!$A$2:$A$2918),$A842&gt;MAX(DKW_10Y!$A$2:$A$2918),Settings!$B$16&lt;MIN(DKW_10Y!$A$2:$A$2918)),NA(),(INDEX(DKW_10Y!$D$2:$D$2918,MATCH($A842,DKW_10Y!$A$2:$A$2918,1))-INDEX(DKW_10Y!$D$2:$D$2918,MATCH(Settings!$B$16,DKW_10Y!$A$2:$A$2918,1)))*100))</f>
        <v/>
      </c>
      <c r="AA842" s="19">
        <f>IF(NOT(ISNUMBER($A842)),NA(),IF(OR($A842&lt;MIN(DKW_10Y!$A$2:$A$2918),$A842&gt;MAX(DKW_10Y!$A$2:$A$2918),Settings!$B$16&lt;MIN(DKW_10Y!$A$2:$A$2918)),NA(),(INDEX(DKW_10Y!$E$2:$E$2918,MATCH($A842,DKW_10Y!$A$2:$A$2918,1))-INDEX(DKW_10Y!$E$2:$E$2918,MATCH(Settings!$B$16,DKW_10Y!$A$2:$A$2918,1)))*100))</f>
        <v/>
      </c>
      <c r="AB842" s="19">
        <f>IF(NOT(ISNUMBER($A842)),NA(),IF(OR($A842&lt;MIN(DKW_10Y!$A$2:$A$2918),$A842&gt;MAX(DKW_10Y!$A$2:$A$2918),Settings!$B$16&lt;MIN(DKW_10Y!$A$2:$A$2918)),NA(),(INDEX(DKW_10Y!$H$2:$H$2918,MATCH($A842,DKW_10Y!$A$2:$A$2918,1))-INDEX(DKW_10Y!$H$2:$H$2918,MATCH(Settings!$B$16,DKW_10Y!$A$2:$A$2918,1)))*100))</f>
        <v/>
      </c>
      <c r="AC842" s="18">
        <f>IF(NOT(ISNUMBER($A842)),NA(),IFERROR(1*INDEX(BBG_Data!$N$2:$N$4000,MATCH($A842,BBG_Data!$M$2:$M$4000,0)),NA()))</f>
        <v/>
      </c>
      <c r="AD842" s="18">
        <f>IF(NOT(ISNUMBER($A842)),NA(),IFERROR(1*INDEX(BBG_Data!$P$2:$P$4000,MATCH($A842,BBG_Data!$O$2:$O$4000,0)),NA()))</f>
        <v/>
      </c>
      <c r="AE842" s="18">
        <f>IF(NOT(ISNUMBER($A842)),NA(),IFERROR(1*INDEX(BBG_Data!$R$2:$R$4000,MATCH($A842,BBG_Data!$Q$2:$Q$4000,0)),NA()))</f>
        <v/>
      </c>
      <c r="AF842" s="20">
        <f>IF(AND(ISNUMBER(B842),ISNUMBER(AC842)),(B842-AC842)*100,NA())</f>
        <v/>
      </c>
      <c r="AG842" s="20">
        <f>IF(AND(ISNUMBER(AE842),ISNUMBER(AD842)),(AE842-AD842)*100,NA())</f>
        <v/>
      </c>
      <c r="AH842" s="19">
        <f>IF(NOT(ISNUMBER($A842)),NA(),IFERROR(INDEX(BBG_Data!$T$2:$T$4000,MATCH($A842,BBG_Data!$S$2:$S$4000,0))*Settings!$B$25,NA()))</f>
        <v/>
      </c>
      <c r="AI842" s="19">
        <f>IF(NOT(ISNUMBER($A842)),NA(),IFERROR(INDEX(BBG_Data!$V$2:$V$4000,MATCH($A842,BBG_Data!$U$2:$U$4000,0))*Settings!$B$25,NA()))</f>
        <v/>
      </c>
      <c r="AJ842" s="19">
        <f>IF(NOT(ISNUMBER($A842)),NA(),IFERROR(1*INDEX(BBG_Data!$X$2:$X$4000,MATCH($A842,BBG_Data!$W$2:$W$4000,0)),NA()))</f>
        <v/>
      </c>
      <c r="AK842" s="19">
        <f>IF(NOT(ISNUMBER($A842)),NA(),IFERROR(1*INDEX(BBG_Data!$Z$2:$Z$4000,MATCH($A842,BBG_Data!$Y$2:$Y$4000,0)),NA()))</f>
        <v/>
      </c>
    </row>
    <row r="843">
      <c r="A843" s="17">
        <f>IF(ISNUMBER(BBG_Data!A843),BBG_Data!A843,"")</f>
        <v/>
      </c>
      <c r="B843" s="18">
        <f>IF(AND(ISNUMBER($A843),ISNUMBER(BBG_Data!B843)),BBG_Data!B843,NA())</f>
        <v/>
      </c>
      <c r="C843" s="18">
        <f>IF(NOT(ISNUMBER($A843)),NA(),IFERROR(1*INDEX(BBG_Data!$D$2:$D$4000,MATCH($A843,BBG_Data!$C$2:$C$4000,0)),NA()))</f>
        <v/>
      </c>
      <c r="D843" s="19">
        <f>IF(NOT(ISNUMBER($A843)),NA(),IFERROR(1*INDEX(BBG_Data!$F$2:$F$4000,MATCH($A843,BBG_Data!$E$2:$E$4000,0)),NA()))</f>
        <v/>
      </c>
      <c r="E843" s="19">
        <f>IF(NOT(ISNUMBER($A843)),NA(),IFERROR(1*INDEX(BBG_Data!$H$2:$H$4000,MATCH($A843,BBG_Data!$G$2:$G$4000,0)),NA()))</f>
        <v/>
      </c>
      <c r="F843" s="20">
        <f>IF(AND(ISNUMBER(B843),ISNUMBER(B842)),IF(B843=B842,"",(B843-B842)*100),"")</f>
        <v/>
      </c>
      <c r="G843" s="20">
        <f>IF(AND(ISNUMBER(C843),ISNUMBER(C842)),IF(C843=C842,"",(C843-C842)*100),"")</f>
        <v/>
      </c>
      <c r="H843" s="20">
        <f>IF(OR(NOT(ISNUMBER($A843)),ROW()-2&lt;Settings!$B$11),NA(),IF(COUNT(OFFSET(F843,1-Settings!$B$11,0,Settings!$B$11,1))&lt;ROUNDUP(Settings!$B$11*Settings!$B$26,0),NA(),STDEV(OFFSET(F843,1-Settings!$B$11,0,Settings!$B$11,1))*SQRT(Settings!$B$13)))</f>
        <v/>
      </c>
      <c r="I843" s="20">
        <f>IF(OR(NOT(ISNUMBER($A843)),ROW()-2&lt;Settings!$B$12),NA(),IF(COUNT(OFFSET(F843,1-Settings!$B$12,0,Settings!$B$12,1))&lt;ROUNDUP(Settings!$B$12*Settings!$B$26,0),NA(),STDEV(OFFSET(F843,1-Settings!$B$12,0,Settings!$B$12,1))*SQRT(Settings!$B$13)))</f>
        <v/>
      </c>
      <c r="J843" s="20">
        <f>IF(OR(NOT(ISNUMBER($A843)),ROW()-2&lt;Settings!$B$11),NA(),IF(COUNT(OFFSET(G843,1-Settings!$B$11,0,Settings!$B$11,1))&lt;ROUNDUP(Settings!$B$11*Settings!$B$26,0),NA(),STDEV(OFFSET(G843,1-Settings!$B$11,0,Settings!$B$11,1))*SQRT(Settings!$B$13)))</f>
        <v/>
      </c>
      <c r="K843" s="20">
        <f>IF(OR(NOT(ISNUMBER($A843)),ROW()-2&lt;Settings!$B$12),NA(),IF(COUNT(OFFSET(G843,1-Settings!$B$12,0,Settings!$B$12,1))&lt;ROUNDUP(Settings!$B$12*Settings!$B$26,0),NA(),STDEV(OFFSET(G843,1-Settings!$B$12,0,Settings!$B$12,1))*SQRT(Settings!$B$13)))</f>
        <v/>
      </c>
      <c r="L843" s="20">
        <f>IF(AND(ISNUMBER(D843),ISNUMBER(H843)),D843-H843,NA())</f>
        <v/>
      </c>
      <c r="M843" s="20">
        <f>IF(AND(ISNUMBER(E843),ISNUMBER(K843)),E843-K843,NA())</f>
        <v/>
      </c>
      <c r="N843" s="20">
        <f>IF(NOT(ISNUMBER($A843)),NA(),IF(COUNT(OFFSET(G843,1,0,Settings!$B$12,1))&lt;ROUNDUP(Settings!$B$12*Settings!$B$26,0),NA(),STDEV(OFFSET(G843,1,0,Settings!$B$12,1))*SQRT(Settings!$B$13)))</f>
        <v/>
      </c>
      <c r="O843" s="20">
        <f>IF(AND(ISNUMBER(E843),ISNUMBER(N843)),E843-N843,NA())</f>
        <v/>
      </c>
      <c r="P843" s="19">
        <f>IF(NOT(ISNUMBER($A843)),NA(),IF(OR($A843&lt;MIN(KW_TP!$A$2:$A$2501),$A843&gt;MAX(KW_TP!$A$2:$A$2501)),NA(),INDEX(KW_TP!$C$2:$C$2501,MATCH($A843,KW_TP!$A$2:$A$2501,1))))</f>
        <v/>
      </c>
      <c r="Q843" s="18">
        <f>IF(NOT(ISNUMBER($A843)),NA(),IFERROR(1*INDEX(BBG_Data!$J$2:$J$4000,MATCH($A843,BBG_Data!$I$2:$I$4000,0)),NA()))</f>
        <v/>
      </c>
      <c r="R843" s="18">
        <f>IF(NOT(ISNUMBER($A843)),NA(),IFERROR(1*INDEX(BBG_Data!$L$2:$L$4000,MATCH($A843,BBG_Data!$K$2:$K$4000,0)),NA()))</f>
        <v/>
      </c>
      <c r="S843" s="20">
        <f>IF(AND(ISNUMBER(B843),ISNUMBER(Q843),ISNUMBER(R843)),(B843-Q843-R843)*100,NA())</f>
        <v/>
      </c>
      <c r="T843" s="20">
        <f>IF(AND(ISNUMBER(B843),Settings!$B$17&gt;0),IF(ISNUMBER(INDEX($B:$B,Settings!$B$17)),(B843-INDEX($B:$B,Settings!$B$17))*100,NA()),NA())</f>
        <v/>
      </c>
      <c r="U843" s="20">
        <f>IF(AND(ISNUMBER(Q843),Settings!$B$17&gt;0),IF(ISNUMBER(INDEX($Q:$Q,Settings!$B$17)),(Q843-INDEX($Q:$Q,Settings!$B$17))*100,NA()),NA())</f>
        <v/>
      </c>
      <c r="V843" s="20">
        <f>IF(AND(ISNUMBER(R843),Settings!$B$17&gt;0),IF(ISNUMBER(INDEX($R:$R,Settings!$B$17)),(R843-INDEX($R:$R,Settings!$B$17))*100,NA()),NA())</f>
        <v/>
      </c>
      <c r="W843" s="20">
        <f>IF(AND(ISNUMBER(P843),Settings!$B$17&gt;0),IF(ISNUMBER(INDEX($P:$P,Settings!$B$17)),P843-INDEX($P:$P,Settings!$B$17),NA()),NA())</f>
        <v/>
      </c>
      <c r="X843" s="19">
        <f>IF(NOT(ISNUMBER($A843)),NA(),IF(OR($A843&lt;MIN(DKW_10Y!$A$2:$A$2918),$A843&gt;MAX(DKW_10Y!$A$2:$A$2918),Settings!$B$16&lt;MIN(DKW_10Y!$A$2:$A$2918)),NA(),(INDEX(DKW_10Y!$B$2:$B$2918,MATCH($A843,DKW_10Y!$A$2:$A$2918,1))-INDEX(DKW_10Y!$B$2:$B$2918,MATCH(Settings!$B$16,DKW_10Y!$A$2:$A$2918,1)))*100))</f>
        <v/>
      </c>
      <c r="Y843" s="19">
        <f>IF(NOT(ISNUMBER($A843)),NA(),IF(OR($A843&lt;MIN(DKW_10Y!$A$2:$A$2918),$A843&gt;MAX(DKW_10Y!$A$2:$A$2918),Settings!$B$16&lt;MIN(DKW_10Y!$A$2:$A$2918)),NA(),(INDEX(DKW_10Y!$C$2:$C$2918,MATCH($A843,DKW_10Y!$A$2:$A$2918,1))-INDEX(DKW_10Y!$C$2:$C$2918,MATCH(Settings!$B$16,DKW_10Y!$A$2:$A$2918,1)))*100))</f>
        <v/>
      </c>
      <c r="Z843" s="19">
        <f>IF(NOT(ISNUMBER($A843)),NA(),IF(OR($A843&lt;MIN(DKW_10Y!$A$2:$A$2918),$A843&gt;MAX(DKW_10Y!$A$2:$A$2918),Settings!$B$16&lt;MIN(DKW_10Y!$A$2:$A$2918)),NA(),(INDEX(DKW_10Y!$D$2:$D$2918,MATCH($A843,DKW_10Y!$A$2:$A$2918,1))-INDEX(DKW_10Y!$D$2:$D$2918,MATCH(Settings!$B$16,DKW_10Y!$A$2:$A$2918,1)))*100))</f>
        <v/>
      </c>
      <c r="AA843" s="19">
        <f>IF(NOT(ISNUMBER($A843)),NA(),IF(OR($A843&lt;MIN(DKW_10Y!$A$2:$A$2918),$A843&gt;MAX(DKW_10Y!$A$2:$A$2918),Settings!$B$16&lt;MIN(DKW_10Y!$A$2:$A$2918)),NA(),(INDEX(DKW_10Y!$E$2:$E$2918,MATCH($A843,DKW_10Y!$A$2:$A$2918,1))-INDEX(DKW_10Y!$E$2:$E$2918,MATCH(Settings!$B$16,DKW_10Y!$A$2:$A$2918,1)))*100))</f>
        <v/>
      </c>
      <c r="AB843" s="19">
        <f>IF(NOT(ISNUMBER($A843)),NA(),IF(OR($A843&lt;MIN(DKW_10Y!$A$2:$A$2918),$A843&gt;MAX(DKW_10Y!$A$2:$A$2918),Settings!$B$16&lt;MIN(DKW_10Y!$A$2:$A$2918)),NA(),(INDEX(DKW_10Y!$H$2:$H$2918,MATCH($A843,DKW_10Y!$A$2:$A$2918,1))-INDEX(DKW_10Y!$H$2:$H$2918,MATCH(Settings!$B$16,DKW_10Y!$A$2:$A$2918,1)))*100))</f>
        <v/>
      </c>
      <c r="AC843" s="18">
        <f>IF(NOT(ISNUMBER($A843)),NA(),IFERROR(1*INDEX(BBG_Data!$N$2:$N$4000,MATCH($A843,BBG_Data!$M$2:$M$4000,0)),NA()))</f>
        <v/>
      </c>
      <c r="AD843" s="18">
        <f>IF(NOT(ISNUMBER($A843)),NA(),IFERROR(1*INDEX(BBG_Data!$P$2:$P$4000,MATCH($A843,BBG_Data!$O$2:$O$4000,0)),NA()))</f>
        <v/>
      </c>
      <c r="AE843" s="18">
        <f>IF(NOT(ISNUMBER($A843)),NA(),IFERROR(1*INDEX(BBG_Data!$R$2:$R$4000,MATCH($A843,BBG_Data!$Q$2:$Q$4000,0)),NA()))</f>
        <v/>
      </c>
      <c r="AF843" s="20">
        <f>IF(AND(ISNUMBER(B843),ISNUMBER(AC843)),(B843-AC843)*100,NA())</f>
        <v/>
      </c>
      <c r="AG843" s="20">
        <f>IF(AND(ISNUMBER(AE843),ISNUMBER(AD843)),(AE843-AD843)*100,NA())</f>
        <v/>
      </c>
      <c r="AH843" s="19">
        <f>IF(NOT(ISNUMBER($A843)),NA(),IFERROR(INDEX(BBG_Data!$T$2:$T$4000,MATCH($A843,BBG_Data!$S$2:$S$4000,0))*Settings!$B$25,NA()))</f>
        <v/>
      </c>
      <c r="AI843" s="19">
        <f>IF(NOT(ISNUMBER($A843)),NA(),IFERROR(INDEX(BBG_Data!$V$2:$V$4000,MATCH($A843,BBG_Data!$U$2:$U$4000,0))*Settings!$B$25,NA()))</f>
        <v/>
      </c>
      <c r="AJ843" s="19">
        <f>IF(NOT(ISNUMBER($A843)),NA(),IFERROR(1*INDEX(BBG_Data!$X$2:$X$4000,MATCH($A843,BBG_Data!$W$2:$W$4000,0)),NA()))</f>
        <v/>
      </c>
      <c r="AK843" s="19">
        <f>IF(NOT(ISNUMBER($A843)),NA(),IFERROR(1*INDEX(BBG_Data!$Z$2:$Z$4000,MATCH($A843,BBG_Data!$Y$2:$Y$4000,0)),NA()))</f>
        <v/>
      </c>
    </row>
    <row r="844">
      <c r="A844" s="17">
        <f>IF(ISNUMBER(BBG_Data!A844),BBG_Data!A844,"")</f>
        <v/>
      </c>
      <c r="B844" s="18">
        <f>IF(AND(ISNUMBER($A844),ISNUMBER(BBG_Data!B844)),BBG_Data!B844,NA())</f>
        <v/>
      </c>
      <c r="C844" s="18">
        <f>IF(NOT(ISNUMBER($A844)),NA(),IFERROR(1*INDEX(BBG_Data!$D$2:$D$4000,MATCH($A844,BBG_Data!$C$2:$C$4000,0)),NA()))</f>
        <v/>
      </c>
      <c r="D844" s="19">
        <f>IF(NOT(ISNUMBER($A844)),NA(),IFERROR(1*INDEX(BBG_Data!$F$2:$F$4000,MATCH($A844,BBG_Data!$E$2:$E$4000,0)),NA()))</f>
        <v/>
      </c>
      <c r="E844" s="19">
        <f>IF(NOT(ISNUMBER($A844)),NA(),IFERROR(1*INDEX(BBG_Data!$H$2:$H$4000,MATCH($A844,BBG_Data!$G$2:$G$4000,0)),NA()))</f>
        <v/>
      </c>
      <c r="F844" s="20">
        <f>IF(AND(ISNUMBER(B844),ISNUMBER(B843)),IF(B844=B843,"",(B844-B843)*100),"")</f>
        <v/>
      </c>
      <c r="G844" s="20">
        <f>IF(AND(ISNUMBER(C844),ISNUMBER(C843)),IF(C844=C843,"",(C844-C843)*100),"")</f>
        <v/>
      </c>
      <c r="H844" s="20">
        <f>IF(OR(NOT(ISNUMBER($A844)),ROW()-2&lt;Settings!$B$11),NA(),IF(COUNT(OFFSET(F844,1-Settings!$B$11,0,Settings!$B$11,1))&lt;ROUNDUP(Settings!$B$11*Settings!$B$26,0),NA(),STDEV(OFFSET(F844,1-Settings!$B$11,0,Settings!$B$11,1))*SQRT(Settings!$B$13)))</f>
        <v/>
      </c>
      <c r="I844" s="20">
        <f>IF(OR(NOT(ISNUMBER($A844)),ROW()-2&lt;Settings!$B$12),NA(),IF(COUNT(OFFSET(F844,1-Settings!$B$12,0,Settings!$B$12,1))&lt;ROUNDUP(Settings!$B$12*Settings!$B$26,0),NA(),STDEV(OFFSET(F844,1-Settings!$B$12,0,Settings!$B$12,1))*SQRT(Settings!$B$13)))</f>
        <v/>
      </c>
      <c r="J844" s="20">
        <f>IF(OR(NOT(ISNUMBER($A844)),ROW()-2&lt;Settings!$B$11),NA(),IF(COUNT(OFFSET(G844,1-Settings!$B$11,0,Settings!$B$11,1))&lt;ROUNDUP(Settings!$B$11*Settings!$B$26,0),NA(),STDEV(OFFSET(G844,1-Settings!$B$11,0,Settings!$B$11,1))*SQRT(Settings!$B$13)))</f>
        <v/>
      </c>
      <c r="K844" s="20">
        <f>IF(OR(NOT(ISNUMBER($A844)),ROW()-2&lt;Settings!$B$12),NA(),IF(COUNT(OFFSET(G844,1-Settings!$B$12,0,Settings!$B$12,1))&lt;ROUNDUP(Settings!$B$12*Settings!$B$26,0),NA(),STDEV(OFFSET(G844,1-Settings!$B$12,0,Settings!$B$12,1))*SQRT(Settings!$B$13)))</f>
        <v/>
      </c>
      <c r="L844" s="20">
        <f>IF(AND(ISNUMBER(D844),ISNUMBER(H844)),D844-H844,NA())</f>
        <v/>
      </c>
      <c r="M844" s="20">
        <f>IF(AND(ISNUMBER(E844),ISNUMBER(K844)),E844-K844,NA())</f>
        <v/>
      </c>
      <c r="N844" s="20">
        <f>IF(NOT(ISNUMBER($A844)),NA(),IF(COUNT(OFFSET(G844,1,0,Settings!$B$12,1))&lt;ROUNDUP(Settings!$B$12*Settings!$B$26,0),NA(),STDEV(OFFSET(G844,1,0,Settings!$B$12,1))*SQRT(Settings!$B$13)))</f>
        <v/>
      </c>
      <c r="O844" s="20">
        <f>IF(AND(ISNUMBER(E844),ISNUMBER(N844)),E844-N844,NA())</f>
        <v/>
      </c>
      <c r="P844" s="19">
        <f>IF(NOT(ISNUMBER($A844)),NA(),IF(OR($A844&lt;MIN(KW_TP!$A$2:$A$2501),$A844&gt;MAX(KW_TP!$A$2:$A$2501)),NA(),INDEX(KW_TP!$C$2:$C$2501,MATCH($A844,KW_TP!$A$2:$A$2501,1))))</f>
        <v/>
      </c>
      <c r="Q844" s="18">
        <f>IF(NOT(ISNUMBER($A844)),NA(),IFERROR(1*INDEX(BBG_Data!$J$2:$J$4000,MATCH($A844,BBG_Data!$I$2:$I$4000,0)),NA()))</f>
        <v/>
      </c>
      <c r="R844" s="18">
        <f>IF(NOT(ISNUMBER($A844)),NA(),IFERROR(1*INDEX(BBG_Data!$L$2:$L$4000,MATCH($A844,BBG_Data!$K$2:$K$4000,0)),NA()))</f>
        <v/>
      </c>
      <c r="S844" s="20">
        <f>IF(AND(ISNUMBER(B844),ISNUMBER(Q844),ISNUMBER(R844)),(B844-Q844-R844)*100,NA())</f>
        <v/>
      </c>
      <c r="T844" s="20">
        <f>IF(AND(ISNUMBER(B844),Settings!$B$17&gt;0),IF(ISNUMBER(INDEX($B:$B,Settings!$B$17)),(B844-INDEX($B:$B,Settings!$B$17))*100,NA()),NA())</f>
        <v/>
      </c>
      <c r="U844" s="20">
        <f>IF(AND(ISNUMBER(Q844),Settings!$B$17&gt;0),IF(ISNUMBER(INDEX($Q:$Q,Settings!$B$17)),(Q844-INDEX($Q:$Q,Settings!$B$17))*100,NA()),NA())</f>
        <v/>
      </c>
      <c r="V844" s="20">
        <f>IF(AND(ISNUMBER(R844),Settings!$B$17&gt;0),IF(ISNUMBER(INDEX($R:$R,Settings!$B$17)),(R844-INDEX($R:$R,Settings!$B$17))*100,NA()),NA())</f>
        <v/>
      </c>
      <c r="W844" s="20">
        <f>IF(AND(ISNUMBER(P844),Settings!$B$17&gt;0),IF(ISNUMBER(INDEX($P:$P,Settings!$B$17)),P844-INDEX($P:$P,Settings!$B$17),NA()),NA())</f>
        <v/>
      </c>
      <c r="X844" s="19">
        <f>IF(NOT(ISNUMBER($A844)),NA(),IF(OR($A844&lt;MIN(DKW_10Y!$A$2:$A$2918),$A844&gt;MAX(DKW_10Y!$A$2:$A$2918),Settings!$B$16&lt;MIN(DKW_10Y!$A$2:$A$2918)),NA(),(INDEX(DKW_10Y!$B$2:$B$2918,MATCH($A844,DKW_10Y!$A$2:$A$2918,1))-INDEX(DKW_10Y!$B$2:$B$2918,MATCH(Settings!$B$16,DKW_10Y!$A$2:$A$2918,1)))*100))</f>
        <v/>
      </c>
      <c r="Y844" s="19">
        <f>IF(NOT(ISNUMBER($A844)),NA(),IF(OR($A844&lt;MIN(DKW_10Y!$A$2:$A$2918),$A844&gt;MAX(DKW_10Y!$A$2:$A$2918),Settings!$B$16&lt;MIN(DKW_10Y!$A$2:$A$2918)),NA(),(INDEX(DKW_10Y!$C$2:$C$2918,MATCH($A844,DKW_10Y!$A$2:$A$2918,1))-INDEX(DKW_10Y!$C$2:$C$2918,MATCH(Settings!$B$16,DKW_10Y!$A$2:$A$2918,1)))*100))</f>
        <v/>
      </c>
      <c r="Z844" s="19">
        <f>IF(NOT(ISNUMBER($A844)),NA(),IF(OR($A844&lt;MIN(DKW_10Y!$A$2:$A$2918),$A844&gt;MAX(DKW_10Y!$A$2:$A$2918),Settings!$B$16&lt;MIN(DKW_10Y!$A$2:$A$2918)),NA(),(INDEX(DKW_10Y!$D$2:$D$2918,MATCH($A844,DKW_10Y!$A$2:$A$2918,1))-INDEX(DKW_10Y!$D$2:$D$2918,MATCH(Settings!$B$16,DKW_10Y!$A$2:$A$2918,1)))*100))</f>
        <v/>
      </c>
      <c r="AA844" s="19">
        <f>IF(NOT(ISNUMBER($A844)),NA(),IF(OR($A844&lt;MIN(DKW_10Y!$A$2:$A$2918),$A844&gt;MAX(DKW_10Y!$A$2:$A$2918),Settings!$B$16&lt;MIN(DKW_10Y!$A$2:$A$2918)),NA(),(INDEX(DKW_10Y!$E$2:$E$2918,MATCH($A844,DKW_10Y!$A$2:$A$2918,1))-INDEX(DKW_10Y!$E$2:$E$2918,MATCH(Settings!$B$16,DKW_10Y!$A$2:$A$2918,1)))*100))</f>
        <v/>
      </c>
      <c r="AB844" s="19">
        <f>IF(NOT(ISNUMBER($A844)),NA(),IF(OR($A844&lt;MIN(DKW_10Y!$A$2:$A$2918),$A844&gt;MAX(DKW_10Y!$A$2:$A$2918),Settings!$B$16&lt;MIN(DKW_10Y!$A$2:$A$2918)),NA(),(INDEX(DKW_10Y!$H$2:$H$2918,MATCH($A844,DKW_10Y!$A$2:$A$2918,1))-INDEX(DKW_10Y!$H$2:$H$2918,MATCH(Settings!$B$16,DKW_10Y!$A$2:$A$2918,1)))*100))</f>
        <v/>
      </c>
      <c r="AC844" s="18">
        <f>IF(NOT(ISNUMBER($A844)),NA(),IFERROR(1*INDEX(BBG_Data!$N$2:$N$4000,MATCH($A844,BBG_Data!$M$2:$M$4000,0)),NA()))</f>
        <v/>
      </c>
      <c r="AD844" s="18">
        <f>IF(NOT(ISNUMBER($A844)),NA(),IFERROR(1*INDEX(BBG_Data!$P$2:$P$4000,MATCH($A844,BBG_Data!$O$2:$O$4000,0)),NA()))</f>
        <v/>
      </c>
      <c r="AE844" s="18">
        <f>IF(NOT(ISNUMBER($A844)),NA(),IFERROR(1*INDEX(BBG_Data!$R$2:$R$4000,MATCH($A844,BBG_Data!$Q$2:$Q$4000,0)),NA()))</f>
        <v/>
      </c>
      <c r="AF844" s="20">
        <f>IF(AND(ISNUMBER(B844),ISNUMBER(AC844)),(B844-AC844)*100,NA())</f>
        <v/>
      </c>
      <c r="AG844" s="20">
        <f>IF(AND(ISNUMBER(AE844),ISNUMBER(AD844)),(AE844-AD844)*100,NA())</f>
        <v/>
      </c>
      <c r="AH844" s="19">
        <f>IF(NOT(ISNUMBER($A844)),NA(),IFERROR(INDEX(BBG_Data!$T$2:$T$4000,MATCH($A844,BBG_Data!$S$2:$S$4000,0))*Settings!$B$25,NA()))</f>
        <v/>
      </c>
      <c r="AI844" s="19">
        <f>IF(NOT(ISNUMBER($A844)),NA(),IFERROR(INDEX(BBG_Data!$V$2:$V$4000,MATCH($A844,BBG_Data!$U$2:$U$4000,0))*Settings!$B$25,NA()))</f>
        <v/>
      </c>
      <c r="AJ844" s="19">
        <f>IF(NOT(ISNUMBER($A844)),NA(),IFERROR(1*INDEX(BBG_Data!$X$2:$X$4000,MATCH($A844,BBG_Data!$W$2:$W$4000,0)),NA()))</f>
        <v/>
      </c>
      <c r="AK844" s="19">
        <f>IF(NOT(ISNUMBER($A844)),NA(),IFERROR(1*INDEX(BBG_Data!$Z$2:$Z$4000,MATCH($A844,BBG_Data!$Y$2:$Y$4000,0)),NA()))</f>
        <v/>
      </c>
    </row>
    <row r="845">
      <c r="A845" s="17">
        <f>IF(ISNUMBER(BBG_Data!A845),BBG_Data!A845,"")</f>
        <v/>
      </c>
      <c r="B845" s="18">
        <f>IF(AND(ISNUMBER($A845),ISNUMBER(BBG_Data!B845)),BBG_Data!B845,NA())</f>
        <v/>
      </c>
      <c r="C845" s="18">
        <f>IF(NOT(ISNUMBER($A845)),NA(),IFERROR(1*INDEX(BBG_Data!$D$2:$D$4000,MATCH($A845,BBG_Data!$C$2:$C$4000,0)),NA()))</f>
        <v/>
      </c>
      <c r="D845" s="19">
        <f>IF(NOT(ISNUMBER($A845)),NA(),IFERROR(1*INDEX(BBG_Data!$F$2:$F$4000,MATCH($A845,BBG_Data!$E$2:$E$4000,0)),NA()))</f>
        <v/>
      </c>
      <c r="E845" s="19">
        <f>IF(NOT(ISNUMBER($A845)),NA(),IFERROR(1*INDEX(BBG_Data!$H$2:$H$4000,MATCH($A845,BBG_Data!$G$2:$G$4000,0)),NA()))</f>
        <v/>
      </c>
      <c r="F845" s="20">
        <f>IF(AND(ISNUMBER(B845),ISNUMBER(B844)),IF(B845=B844,"",(B845-B844)*100),"")</f>
        <v/>
      </c>
      <c r="G845" s="20">
        <f>IF(AND(ISNUMBER(C845),ISNUMBER(C844)),IF(C845=C844,"",(C845-C844)*100),"")</f>
        <v/>
      </c>
      <c r="H845" s="20">
        <f>IF(OR(NOT(ISNUMBER($A845)),ROW()-2&lt;Settings!$B$11),NA(),IF(COUNT(OFFSET(F845,1-Settings!$B$11,0,Settings!$B$11,1))&lt;ROUNDUP(Settings!$B$11*Settings!$B$26,0),NA(),STDEV(OFFSET(F845,1-Settings!$B$11,0,Settings!$B$11,1))*SQRT(Settings!$B$13)))</f>
        <v/>
      </c>
      <c r="I845" s="20">
        <f>IF(OR(NOT(ISNUMBER($A845)),ROW()-2&lt;Settings!$B$12),NA(),IF(COUNT(OFFSET(F845,1-Settings!$B$12,0,Settings!$B$12,1))&lt;ROUNDUP(Settings!$B$12*Settings!$B$26,0),NA(),STDEV(OFFSET(F845,1-Settings!$B$12,0,Settings!$B$12,1))*SQRT(Settings!$B$13)))</f>
        <v/>
      </c>
      <c r="J845" s="20">
        <f>IF(OR(NOT(ISNUMBER($A845)),ROW()-2&lt;Settings!$B$11),NA(),IF(COUNT(OFFSET(G845,1-Settings!$B$11,0,Settings!$B$11,1))&lt;ROUNDUP(Settings!$B$11*Settings!$B$26,0),NA(),STDEV(OFFSET(G845,1-Settings!$B$11,0,Settings!$B$11,1))*SQRT(Settings!$B$13)))</f>
        <v/>
      </c>
      <c r="K845" s="20">
        <f>IF(OR(NOT(ISNUMBER($A845)),ROW()-2&lt;Settings!$B$12),NA(),IF(COUNT(OFFSET(G845,1-Settings!$B$12,0,Settings!$B$12,1))&lt;ROUNDUP(Settings!$B$12*Settings!$B$26,0),NA(),STDEV(OFFSET(G845,1-Settings!$B$12,0,Settings!$B$12,1))*SQRT(Settings!$B$13)))</f>
        <v/>
      </c>
      <c r="L845" s="20">
        <f>IF(AND(ISNUMBER(D845),ISNUMBER(H845)),D845-H845,NA())</f>
        <v/>
      </c>
      <c r="M845" s="20">
        <f>IF(AND(ISNUMBER(E845),ISNUMBER(K845)),E845-K845,NA())</f>
        <v/>
      </c>
      <c r="N845" s="20">
        <f>IF(NOT(ISNUMBER($A845)),NA(),IF(COUNT(OFFSET(G845,1,0,Settings!$B$12,1))&lt;ROUNDUP(Settings!$B$12*Settings!$B$26,0),NA(),STDEV(OFFSET(G845,1,0,Settings!$B$12,1))*SQRT(Settings!$B$13)))</f>
        <v/>
      </c>
      <c r="O845" s="20">
        <f>IF(AND(ISNUMBER(E845),ISNUMBER(N845)),E845-N845,NA())</f>
        <v/>
      </c>
      <c r="P845" s="19">
        <f>IF(NOT(ISNUMBER($A845)),NA(),IF(OR($A845&lt;MIN(KW_TP!$A$2:$A$2501),$A845&gt;MAX(KW_TP!$A$2:$A$2501)),NA(),INDEX(KW_TP!$C$2:$C$2501,MATCH($A845,KW_TP!$A$2:$A$2501,1))))</f>
        <v/>
      </c>
      <c r="Q845" s="18">
        <f>IF(NOT(ISNUMBER($A845)),NA(),IFERROR(1*INDEX(BBG_Data!$J$2:$J$4000,MATCH($A845,BBG_Data!$I$2:$I$4000,0)),NA()))</f>
        <v/>
      </c>
      <c r="R845" s="18">
        <f>IF(NOT(ISNUMBER($A845)),NA(),IFERROR(1*INDEX(BBG_Data!$L$2:$L$4000,MATCH($A845,BBG_Data!$K$2:$K$4000,0)),NA()))</f>
        <v/>
      </c>
      <c r="S845" s="20">
        <f>IF(AND(ISNUMBER(B845),ISNUMBER(Q845),ISNUMBER(R845)),(B845-Q845-R845)*100,NA())</f>
        <v/>
      </c>
      <c r="T845" s="20">
        <f>IF(AND(ISNUMBER(B845),Settings!$B$17&gt;0),IF(ISNUMBER(INDEX($B:$B,Settings!$B$17)),(B845-INDEX($B:$B,Settings!$B$17))*100,NA()),NA())</f>
        <v/>
      </c>
      <c r="U845" s="20">
        <f>IF(AND(ISNUMBER(Q845),Settings!$B$17&gt;0),IF(ISNUMBER(INDEX($Q:$Q,Settings!$B$17)),(Q845-INDEX($Q:$Q,Settings!$B$17))*100,NA()),NA())</f>
        <v/>
      </c>
      <c r="V845" s="20">
        <f>IF(AND(ISNUMBER(R845),Settings!$B$17&gt;0),IF(ISNUMBER(INDEX($R:$R,Settings!$B$17)),(R845-INDEX($R:$R,Settings!$B$17))*100,NA()),NA())</f>
        <v/>
      </c>
      <c r="W845" s="20">
        <f>IF(AND(ISNUMBER(P845),Settings!$B$17&gt;0),IF(ISNUMBER(INDEX($P:$P,Settings!$B$17)),P845-INDEX($P:$P,Settings!$B$17),NA()),NA())</f>
        <v/>
      </c>
      <c r="X845" s="19">
        <f>IF(NOT(ISNUMBER($A845)),NA(),IF(OR($A845&lt;MIN(DKW_10Y!$A$2:$A$2918),$A845&gt;MAX(DKW_10Y!$A$2:$A$2918),Settings!$B$16&lt;MIN(DKW_10Y!$A$2:$A$2918)),NA(),(INDEX(DKW_10Y!$B$2:$B$2918,MATCH($A845,DKW_10Y!$A$2:$A$2918,1))-INDEX(DKW_10Y!$B$2:$B$2918,MATCH(Settings!$B$16,DKW_10Y!$A$2:$A$2918,1)))*100))</f>
        <v/>
      </c>
      <c r="Y845" s="19">
        <f>IF(NOT(ISNUMBER($A845)),NA(),IF(OR($A845&lt;MIN(DKW_10Y!$A$2:$A$2918),$A845&gt;MAX(DKW_10Y!$A$2:$A$2918),Settings!$B$16&lt;MIN(DKW_10Y!$A$2:$A$2918)),NA(),(INDEX(DKW_10Y!$C$2:$C$2918,MATCH($A845,DKW_10Y!$A$2:$A$2918,1))-INDEX(DKW_10Y!$C$2:$C$2918,MATCH(Settings!$B$16,DKW_10Y!$A$2:$A$2918,1)))*100))</f>
        <v/>
      </c>
      <c r="Z845" s="19">
        <f>IF(NOT(ISNUMBER($A845)),NA(),IF(OR($A845&lt;MIN(DKW_10Y!$A$2:$A$2918),$A845&gt;MAX(DKW_10Y!$A$2:$A$2918),Settings!$B$16&lt;MIN(DKW_10Y!$A$2:$A$2918)),NA(),(INDEX(DKW_10Y!$D$2:$D$2918,MATCH($A845,DKW_10Y!$A$2:$A$2918,1))-INDEX(DKW_10Y!$D$2:$D$2918,MATCH(Settings!$B$16,DKW_10Y!$A$2:$A$2918,1)))*100))</f>
        <v/>
      </c>
      <c r="AA845" s="19">
        <f>IF(NOT(ISNUMBER($A845)),NA(),IF(OR($A845&lt;MIN(DKW_10Y!$A$2:$A$2918),$A845&gt;MAX(DKW_10Y!$A$2:$A$2918),Settings!$B$16&lt;MIN(DKW_10Y!$A$2:$A$2918)),NA(),(INDEX(DKW_10Y!$E$2:$E$2918,MATCH($A845,DKW_10Y!$A$2:$A$2918,1))-INDEX(DKW_10Y!$E$2:$E$2918,MATCH(Settings!$B$16,DKW_10Y!$A$2:$A$2918,1)))*100))</f>
        <v/>
      </c>
      <c r="AB845" s="19">
        <f>IF(NOT(ISNUMBER($A845)),NA(),IF(OR($A845&lt;MIN(DKW_10Y!$A$2:$A$2918),$A845&gt;MAX(DKW_10Y!$A$2:$A$2918),Settings!$B$16&lt;MIN(DKW_10Y!$A$2:$A$2918)),NA(),(INDEX(DKW_10Y!$H$2:$H$2918,MATCH($A845,DKW_10Y!$A$2:$A$2918,1))-INDEX(DKW_10Y!$H$2:$H$2918,MATCH(Settings!$B$16,DKW_10Y!$A$2:$A$2918,1)))*100))</f>
        <v/>
      </c>
      <c r="AC845" s="18">
        <f>IF(NOT(ISNUMBER($A845)),NA(),IFERROR(1*INDEX(BBG_Data!$N$2:$N$4000,MATCH($A845,BBG_Data!$M$2:$M$4000,0)),NA()))</f>
        <v/>
      </c>
      <c r="AD845" s="18">
        <f>IF(NOT(ISNUMBER($A845)),NA(),IFERROR(1*INDEX(BBG_Data!$P$2:$P$4000,MATCH($A845,BBG_Data!$O$2:$O$4000,0)),NA()))</f>
        <v/>
      </c>
      <c r="AE845" s="18">
        <f>IF(NOT(ISNUMBER($A845)),NA(),IFERROR(1*INDEX(BBG_Data!$R$2:$R$4000,MATCH($A845,BBG_Data!$Q$2:$Q$4000,0)),NA()))</f>
        <v/>
      </c>
      <c r="AF845" s="20">
        <f>IF(AND(ISNUMBER(B845),ISNUMBER(AC845)),(B845-AC845)*100,NA())</f>
        <v/>
      </c>
      <c r="AG845" s="20">
        <f>IF(AND(ISNUMBER(AE845),ISNUMBER(AD845)),(AE845-AD845)*100,NA())</f>
        <v/>
      </c>
      <c r="AH845" s="19">
        <f>IF(NOT(ISNUMBER($A845)),NA(),IFERROR(INDEX(BBG_Data!$T$2:$T$4000,MATCH($A845,BBG_Data!$S$2:$S$4000,0))*Settings!$B$25,NA()))</f>
        <v/>
      </c>
      <c r="AI845" s="19">
        <f>IF(NOT(ISNUMBER($A845)),NA(),IFERROR(INDEX(BBG_Data!$V$2:$V$4000,MATCH($A845,BBG_Data!$U$2:$U$4000,0))*Settings!$B$25,NA()))</f>
        <v/>
      </c>
      <c r="AJ845" s="19">
        <f>IF(NOT(ISNUMBER($A845)),NA(),IFERROR(1*INDEX(BBG_Data!$X$2:$X$4000,MATCH($A845,BBG_Data!$W$2:$W$4000,0)),NA()))</f>
        <v/>
      </c>
      <c r="AK845" s="19">
        <f>IF(NOT(ISNUMBER($A845)),NA(),IFERROR(1*INDEX(BBG_Data!$Z$2:$Z$4000,MATCH($A845,BBG_Data!$Y$2:$Y$4000,0)),NA()))</f>
        <v/>
      </c>
    </row>
    <row r="846">
      <c r="A846" s="17">
        <f>IF(ISNUMBER(BBG_Data!A846),BBG_Data!A846,"")</f>
        <v/>
      </c>
      <c r="B846" s="18">
        <f>IF(AND(ISNUMBER($A846),ISNUMBER(BBG_Data!B846)),BBG_Data!B846,NA())</f>
        <v/>
      </c>
      <c r="C846" s="18">
        <f>IF(NOT(ISNUMBER($A846)),NA(),IFERROR(1*INDEX(BBG_Data!$D$2:$D$4000,MATCH($A846,BBG_Data!$C$2:$C$4000,0)),NA()))</f>
        <v/>
      </c>
      <c r="D846" s="19">
        <f>IF(NOT(ISNUMBER($A846)),NA(),IFERROR(1*INDEX(BBG_Data!$F$2:$F$4000,MATCH($A846,BBG_Data!$E$2:$E$4000,0)),NA()))</f>
        <v/>
      </c>
      <c r="E846" s="19">
        <f>IF(NOT(ISNUMBER($A846)),NA(),IFERROR(1*INDEX(BBG_Data!$H$2:$H$4000,MATCH($A846,BBG_Data!$G$2:$G$4000,0)),NA()))</f>
        <v/>
      </c>
      <c r="F846" s="20">
        <f>IF(AND(ISNUMBER(B846),ISNUMBER(B845)),IF(B846=B845,"",(B846-B845)*100),"")</f>
        <v/>
      </c>
      <c r="G846" s="20">
        <f>IF(AND(ISNUMBER(C846),ISNUMBER(C845)),IF(C846=C845,"",(C846-C845)*100),"")</f>
        <v/>
      </c>
      <c r="H846" s="20">
        <f>IF(OR(NOT(ISNUMBER($A846)),ROW()-2&lt;Settings!$B$11),NA(),IF(COUNT(OFFSET(F846,1-Settings!$B$11,0,Settings!$B$11,1))&lt;ROUNDUP(Settings!$B$11*Settings!$B$26,0),NA(),STDEV(OFFSET(F846,1-Settings!$B$11,0,Settings!$B$11,1))*SQRT(Settings!$B$13)))</f>
        <v/>
      </c>
      <c r="I846" s="20">
        <f>IF(OR(NOT(ISNUMBER($A846)),ROW()-2&lt;Settings!$B$12),NA(),IF(COUNT(OFFSET(F846,1-Settings!$B$12,0,Settings!$B$12,1))&lt;ROUNDUP(Settings!$B$12*Settings!$B$26,0),NA(),STDEV(OFFSET(F846,1-Settings!$B$12,0,Settings!$B$12,1))*SQRT(Settings!$B$13)))</f>
        <v/>
      </c>
      <c r="J846" s="20">
        <f>IF(OR(NOT(ISNUMBER($A846)),ROW()-2&lt;Settings!$B$11),NA(),IF(COUNT(OFFSET(G846,1-Settings!$B$11,0,Settings!$B$11,1))&lt;ROUNDUP(Settings!$B$11*Settings!$B$26,0),NA(),STDEV(OFFSET(G846,1-Settings!$B$11,0,Settings!$B$11,1))*SQRT(Settings!$B$13)))</f>
        <v/>
      </c>
      <c r="K846" s="20">
        <f>IF(OR(NOT(ISNUMBER($A846)),ROW()-2&lt;Settings!$B$12),NA(),IF(COUNT(OFFSET(G846,1-Settings!$B$12,0,Settings!$B$12,1))&lt;ROUNDUP(Settings!$B$12*Settings!$B$26,0),NA(),STDEV(OFFSET(G846,1-Settings!$B$12,0,Settings!$B$12,1))*SQRT(Settings!$B$13)))</f>
        <v/>
      </c>
      <c r="L846" s="20">
        <f>IF(AND(ISNUMBER(D846),ISNUMBER(H846)),D846-H846,NA())</f>
        <v/>
      </c>
      <c r="M846" s="20">
        <f>IF(AND(ISNUMBER(E846),ISNUMBER(K846)),E846-K846,NA())</f>
        <v/>
      </c>
      <c r="N846" s="20">
        <f>IF(NOT(ISNUMBER($A846)),NA(),IF(COUNT(OFFSET(G846,1,0,Settings!$B$12,1))&lt;ROUNDUP(Settings!$B$12*Settings!$B$26,0),NA(),STDEV(OFFSET(G846,1,0,Settings!$B$12,1))*SQRT(Settings!$B$13)))</f>
        <v/>
      </c>
      <c r="O846" s="20">
        <f>IF(AND(ISNUMBER(E846),ISNUMBER(N846)),E846-N846,NA())</f>
        <v/>
      </c>
      <c r="P846" s="19">
        <f>IF(NOT(ISNUMBER($A846)),NA(),IF(OR($A846&lt;MIN(KW_TP!$A$2:$A$2501),$A846&gt;MAX(KW_TP!$A$2:$A$2501)),NA(),INDEX(KW_TP!$C$2:$C$2501,MATCH($A846,KW_TP!$A$2:$A$2501,1))))</f>
        <v/>
      </c>
      <c r="Q846" s="18">
        <f>IF(NOT(ISNUMBER($A846)),NA(),IFERROR(1*INDEX(BBG_Data!$J$2:$J$4000,MATCH($A846,BBG_Data!$I$2:$I$4000,0)),NA()))</f>
        <v/>
      </c>
      <c r="R846" s="18">
        <f>IF(NOT(ISNUMBER($A846)),NA(),IFERROR(1*INDEX(BBG_Data!$L$2:$L$4000,MATCH($A846,BBG_Data!$K$2:$K$4000,0)),NA()))</f>
        <v/>
      </c>
      <c r="S846" s="20">
        <f>IF(AND(ISNUMBER(B846),ISNUMBER(Q846),ISNUMBER(R846)),(B846-Q846-R846)*100,NA())</f>
        <v/>
      </c>
      <c r="T846" s="20">
        <f>IF(AND(ISNUMBER(B846),Settings!$B$17&gt;0),IF(ISNUMBER(INDEX($B:$B,Settings!$B$17)),(B846-INDEX($B:$B,Settings!$B$17))*100,NA()),NA())</f>
        <v/>
      </c>
      <c r="U846" s="20">
        <f>IF(AND(ISNUMBER(Q846),Settings!$B$17&gt;0),IF(ISNUMBER(INDEX($Q:$Q,Settings!$B$17)),(Q846-INDEX($Q:$Q,Settings!$B$17))*100,NA()),NA())</f>
        <v/>
      </c>
      <c r="V846" s="20">
        <f>IF(AND(ISNUMBER(R846),Settings!$B$17&gt;0),IF(ISNUMBER(INDEX($R:$R,Settings!$B$17)),(R846-INDEX($R:$R,Settings!$B$17))*100,NA()),NA())</f>
        <v/>
      </c>
      <c r="W846" s="20">
        <f>IF(AND(ISNUMBER(P846),Settings!$B$17&gt;0),IF(ISNUMBER(INDEX($P:$P,Settings!$B$17)),P846-INDEX($P:$P,Settings!$B$17),NA()),NA())</f>
        <v/>
      </c>
      <c r="X846" s="19">
        <f>IF(NOT(ISNUMBER($A846)),NA(),IF(OR($A846&lt;MIN(DKW_10Y!$A$2:$A$2918),$A846&gt;MAX(DKW_10Y!$A$2:$A$2918),Settings!$B$16&lt;MIN(DKW_10Y!$A$2:$A$2918)),NA(),(INDEX(DKW_10Y!$B$2:$B$2918,MATCH($A846,DKW_10Y!$A$2:$A$2918,1))-INDEX(DKW_10Y!$B$2:$B$2918,MATCH(Settings!$B$16,DKW_10Y!$A$2:$A$2918,1)))*100))</f>
        <v/>
      </c>
      <c r="Y846" s="19">
        <f>IF(NOT(ISNUMBER($A846)),NA(),IF(OR($A846&lt;MIN(DKW_10Y!$A$2:$A$2918),$A846&gt;MAX(DKW_10Y!$A$2:$A$2918),Settings!$B$16&lt;MIN(DKW_10Y!$A$2:$A$2918)),NA(),(INDEX(DKW_10Y!$C$2:$C$2918,MATCH($A846,DKW_10Y!$A$2:$A$2918,1))-INDEX(DKW_10Y!$C$2:$C$2918,MATCH(Settings!$B$16,DKW_10Y!$A$2:$A$2918,1)))*100))</f>
        <v/>
      </c>
      <c r="Z846" s="19">
        <f>IF(NOT(ISNUMBER($A846)),NA(),IF(OR($A846&lt;MIN(DKW_10Y!$A$2:$A$2918),$A846&gt;MAX(DKW_10Y!$A$2:$A$2918),Settings!$B$16&lt;MIN(DKW_10Y!$A$2:$A$2918)),NA(),(INDEX(DKW_10Y!$D$2:$D$2918,MATCH($A846,DKW_10Y!$A$2:$A$2918,1))-INDEX(DKW_10Y!$D$2:$D$2918,MATCH(Settings!$B$16,DKW_10Y!$A$2:$A$2918,1)))*100))</f>
        <v/>
      </c>
      <c r="AA846" s="19">
        <f>IF(NOT(ISNUMBER($A846)),NA(),IF(OR($A846&lt;MIN(DKW_10Y!$A$2:$A$2918),$A846&gt;MAX(DKW_10Y!$A$2:$A$2918),Settings!$B$16&lt;MIN(DKW_10Y!$A$2:$A$2918)),NA(),(INDEX(DKW_10Y!$E$2:$E$2918,MATCH($A846,DKW_10Y!$A$2:$A$2918,1))-INDEX(DKW_10Y!$E$2:$E$2918,MATCH(Settings!$B$16,DKW_10Y!$A$2:$A$2918,1)))*100))</f>
        <v/>
      </c>
      <c r="AB846" s="19">
        <f>IF(NOT(ISNUMBER($A846)),NA(),IF(OR($A846&lt;MIN(DKW_10Y!$A$2:$A$2918),$A846&gt;MAX(DKW_10Y!$A$2:$A$2918),Settings!$B$16&lt;MIN(DKW_10Y!$A$2:$A$2918)),NA(),(INDEX(DKW_10Y!$H$2:$H$2918,MATCH($A846,DKW_10Y!$A$2:$A$2918,1))-INDEX(DKW_10Y!$H$2:$H$2918,MATCH(Settings!$B$16,DKW_10Y!$A$2:$A$2918,1)))*100))</f>
        <v/>
      </c>
      <c r="AC846" s="18">
        <f>IF(NOT(ISNUMBER($A846)),NA(),IFERROR(1*INDEX(BBG_Data!$N$2:$N$4000,MATCH($A846,BBG_Data!$M$2:$M$4000,0)),NA()))</f>
        <v/>
      </c>
      <c r="AD846" s="18">
        <f>IF(NOT(ISNUMBER($A846)),NA(),IFERROR(1*INDEX(BBG_Data!$P$2:$P$4000,MATCH($A846,BBG_Data!$O$2:$O$4000,0)),NA()))</f>
        <v/>
      </c>
      <c r="AE846" s="18">
        <f>IF(NOT(ISNUMBER($A846)),NA(),IFERROR(1*INDEX(BBG_Data!$R$2:$R$4000,MATCH($A846,BBG_Data!$Q$2:$Q$4000,0)),NA()))</f>
        <v/>
      </c>
      <c r="AF846" s="20">
        <f>IF(AND(ISNUMBER(B846),ISNUMBER(AC846)),(B846-AC846)*100,NA())</f>
        <v/>
      </c>
      <c r="AG846" s="20">
        <f>IF(AND(ISNUMBER(AE846),ISNUMBER(AD846)),(AE846-AD846)*100,NA())</f>
        <v/>
      </c>
      <c r="AH846" s="19">
        <f>IF(NOT(ISNUMBER($A846)),NA(),IFERROR(INDEX(BBG_Data!$T$2:$T$4000,MATCH($A846,BBG_Data!$S$2:$S$4000,0))*Settings!$B$25,NA()))</f>
        <v/>
      </c>
      <c r="AI846" s="19">
        <f>IF(NOT(ISNUMBER($A846)),NA(),IFERROR(INDEX(BBG_Data!$V$2:$V$4000,MATCH($A846,BBG_Data!$U$2:$U$4000,0))*Settings!$B$25,NA()))</f>
        <v/>
      </c>
      <c r="AJ846" s="19">
        <f>IF(NOT(ISNUMBER($A846)),NA(),IFERROR(1*INDEX(BBG_Data!$X$2:$X$4000,MATCH($A846,BBG_Data!$W$2:$W$4000,0)),NA()))</f>
        <v/>
      </c>
      <c r="AK846" s="19">
        <f>IF(NOT(ISNUMBER($A846)),NA(),IFERROR(1*INDEX(BBG_Data!$Z$2:$Z$4000,MATCH($A846,BBG_Data!$Y$2:$Y$4000,0)),NA()))</f>
        <v/>
      </c>
    </row>
    <row r="847">
      <c r="A847" s="17">
        <f>IF(ISNUMBER(BBG_Data!A847),BBG_Data!A847,"")</f>
        <v/>
      </c>
      <c r="B847" s="18">
        <f>IF(AND(ISNUMBER($A847),ISNUMBER(BBG_Data!B847)),BBG_Data!B847,NA())</f>
        <v/>
      </c>
      <c r="C847" s="18">
        <f>IF(NOT(ISNUMBER($A847)),NA(),IFERROR(1*INDEX(BBG_Data!$D$2:$D$4000,MATCH($A847,BBG_Data!$C$2:$C$4000,0)),NA()))</f>
        <v/>
      </c>
      <c r="D847" s="19">
        <f>IF(NOT(ISNUMBER($A847)),NA(),IFERROR(1*INDEX(BBG_Data!$F$2:$F$4000,MATCH($A847,BBG_Data!$E$2:$E$4000,0)),NA()))</f>
        <v/>
      </c>
      <c r="E847" s="19">
        <f>IF(NOT(ISNUMBER($A847)),NA(),IFERROR(1*INDEX(BBG_Data!$H$2:$H$4000,MATCH($A847,BBG_Data!$G$2:$G$4000,0)),NA()))</f>
        <v/>
      </c>
      <c r="F847" s="20">
        <f>IF(AND(ISNUMBER(B847),ISNUMBER(B846)),IF(B847=B846,"",(B847-B846)*100),"")</f>
        <v/>
      </c>
      <c r="G847" s="20">
        <f>IF(AND(ISNUMBER(C847),ISNUMBER(C846)),IF(C847=C846,"",(C847-C846)*100),"")</f>
        <v/>
      </c>
      <c r="H847" s="20">
        <f>IF(OR(NOT(ISNUMBER($A847)),ROW()-2&lt;Settings!$B$11),NA(),IF(COUNT(OFFSET(F847,1-Settings!$B$11,0,Settings!$B$11,1))&lt;ROUNDUP(Settings!$B$11*Settings!$B$26,0),NA(),STDEV(OFFSET(F847,1-Settings!$B$11,0,Settings!$B$11,1))*SQRT(Settings!$B$13)))</f>
        <v/>
      </c>
      <c r="I847" s="20">
        <f>IF(OR(NOT(ISNUMBER($A847)),ROW()-2&lt;Settings!$B$12),NA(),IF(COUNT(OFFSET(F847,1-Settings!$B$12,0,Settings!$B$12,1))&lt;ROUNDUP(Settings!$B$12*Settings!$B$26,0),NA(),STDEV(OFFSET(F847,1-Settings!$B$12,0,Settings!$B$12,1))*SQRT(Settings!$B$13)))</f>
        <v/>
      </c>
      <c r="J847" s="20">
        <f>IF(OR(NOT(ISNUMBER($A847)),ROW()-2&lt;Settings!$B$11),NA(),IF(COUNT(OFFSET(G847,1-Settings!$B$11,0,Settings!$B$11,1))&lt;ROUNDUP(Settings!$B$11*Settings!$B$26,0),NA(),STDEV(OFFSET(G847,1-Settings!$B$11,0,Settings!$B$11,1))*SQRT(Settings!$B$13)))</f>
        <v/>
      </c>
      <c r="K847" s="20">
        <f>IF(OR(NOT(ISNUMBER($A847)),ROW()-2&lt;Settings!$B$12),NA(),IF(COUNT(OFFSET(G847,1-Settings!$B$12,0,Settings!$B$12,1))&lt;ROUNDUP(Settings!$B$12*Settings!$B$26,0),NA(),STDEV(OFFSET(G847,1-Settings!$B$12,0,Settings!$B$12,1))*SQRT(Settings!$B$13)))</f>
        <v/>
      </c>
      <c r="L847" s="20">
        <f>IF(AND(ISNUMBER(D847),ISNUMBER(H847)),D847-H847,NA())</f>
        <v/>
      </c>
      <c r="M847" s="20">
        <f>IF(AND(ISNUMBER(E847),ISNUMBER(K847)),E847-K847,NA())</f>
        <v/>
      </c>
      <c r="N847" s="20">
        <f>IF(NOT(ISNUMBER($A847)),NA(),IF(COUNT(OFFSET(G847,1,0,Settings!$B$12,1))&lt;ROUNDUP(Settings!$B$12*Settings!$B$26,0),NA(),STDEV(OFFSET(G847,1,0,Settings!$B$12,1))*SQRT(Settings!$B$13)))</f>
        <v/>
      </c>
      <c r="O847" s="20">
        <f>IF(AND(ISNUMBER(E847),ISNUMBER(N847)),E847-N847,NA())</f>
        <v/>
      </c>
      <c r="P847" s="19">
        <f>IF(NOT(ISNUMBER($A847)),NA(),IF(OR($A847&lt;MIN(KW_TP!$A$2:$A$2501),$A847&gt;MAX(KW_TP!$A$2:$A$2501)),NA(),INDEX(KW_TP!$C$2:$C$2501,MATCH($A847,KW_TP!$A$2:$A$2501,1))))</f>
        <v/>
      </c>
      <c r="Q847" s="18">
        <f>IF(NOT(ISNUMBER($A847)),NA(),IFERROR(1*INDEX(BBG_Data!$J$2:$J$4000,MATCH($A847,BBG_Data!$I$2:$I$4000,0)),NA()))</f>
        <v/>
      </c>
      <c r="R847" s="18">
        <f>IF(NOT(ISNUMBER($A847)),NA(),IFERROR(1*INDEX(BBG_Data!$L$2:$L$4000,MATCH($A847,BBG_Data!$K$2:$K$4000,0)),NA()))</f>
        <v/>
      </c>
      <c r="S847" s="20">
        <f>IF(AND(ISNUMBER(B847),ISNUMBER(Q847),ISNUMBER(R847)),(B847-Q847-R847)*100,NA())</f>
        <v/>
      </c>
      <c r="T847" s="20">
        <f>IF(AND(ISNUMBER(B847),Settings!$B$17&gt;0),IF(ISNUMBER(INDEX($B:$B,Settings!$B$17)),(B847-INDEX($B:$B,Settings!$B$17))*100,NA()),NA())</f>
        <v/>
      </c>
      <c r="U847" s="20">
        <f>IF(AND(ISNUMBER(Q847),Settings!$B$17&gt;0),IF(ISNUMBER(INDEX($Q:$Q,Settings!$B$17)),(Q847-INDEX($Q:$Q,Settings!$B$17))*100,NA()),NA())</f>
        <v/>
      </c>
      <c r="V847" s="20">
        <f>IF(AND(ISNUMBER(R847),Settings!$B$17&gt;0),IF(ISNUMBER(INDEX($R:$R,Settings!$B$17)),(R847-INDEX($R:$R,Settings!$B$17))*100,NA()),NA())</f>
        <v/>
      </c>
      <c r="W847" s="20">
        <f>IF(AND(ISNUMBER(P847),Settings!$B$17&gt;0),IF(ISNUMBER(INDEX($P:$P,Settings!$B$17)),P847-INDEX($P:$P,Settings!$B$17),NA()),NA())</f>
        <v/>
      </c>
      <c r="X847" s="19">
        <f>IF(NOT(ISNUMBER($A847)),NA(),IF(OR($A847&lt;MIN(DKW_10Y!$A$2:$A$2918),$A847&gt;MAX(DKW_10Y!$A$2:$A$2918),Settings!$B$16&lt;MIN(DKW_10Y!$A$2:$A$2918)),NA(),(INDEX(DKW_10Y!$B$2:$B$2918,MATCH($A847,DKW_10Y!$A$2:$A$2918,1))-INDEX(DKW_10Y!$B$2:$B$2918,MATCH(Settings!$B$16,DKW_10Y!$A$2:$A$2918,1)))*100))</f>
        <v/>
      </c>
      <c r="Y847" s="19">
        <f>IF(NOT(ISNUMBER($A847)),NA(),IF(OR($A847&lt;MIN(DKW_10Y!$A$2:$A$2918),$A847&gt;MAX(DKW_10Y!$A$2:$A$2918),Settings!$B$16&lt;MIN(DKW_10Y!$A$2:$A$2918)),NA(),(INDEX(DKW_10Y!$C$2:$C$2918,MATCH($A847,DKW_10Y!$A$2:$A$2918,1))-INDEX(DKW_10Y!$C$2:$C$2918,MATCH(Settings!$B$16,DKW_10Y!$A$2:$A$2918,1)))*100))</f>
        <v/>
      </c>
      <c r="Z847" s="19">
        <f>IF(NOT(ISNUMBER($A847)),NA(),IF(OR($A847&lt;MIN(DKW_10Y!$A$2:$A$2918),$A847&gt;MAX(DKW_10Y!$A$2:$A$2918),Settings!$B$16&lt;MIN(DKW_10Y!$A$2:$A$2918)),NA(),(INDEX(DKW_10Y!$D$2:$D$2918,MATCH($A847,DKW_10Y!$A$2:$A$2918,1))-INDEX(DKW_10Y!$D$2:$D$2918,MATCH(Settings!$B$16,DKW_10Y!$A$2:$A$2918,1)))*100))</f>
        <v/>
      </c>
      <c r="AA847" s="19">
        <f>IF(NOT(ISNUMBER($A847)),NA(),IF(OR($A847&lt;MIN(DKW_10Y!$A$2:$A$2918),$A847&gt;MAX(DKW_10Y!$A$2:$A$2918),Settings!$B$16&lt;MIN(DKW_10Y!$A$2:$A$2918)),NA(),(INDEX(DKW_10Y!$E$2:$E$2918,MATCH($A847,DKW_10Y!$A$2:$A$2918,1))-INDEX(DKW_10Y!$E$2:$E$2918,MATCH(Settings!$B$16,DKW_10Y!$A$2:$A$2918,1)))*100))</f>
        <v/>
      </c>
      <c r="AB847" s="19">
        <f>IF(NOT(ISNUMBER($A847)),NA(),IF(OR($A847&lt;MIN(DKW_10Y!$A$2:$A$2918),$A847&gt;MAX(DKW_10Y!$A$2:$A$2918),Settings!$B$16&lt;MIN(DKW_10Y!$A$2:$A$2918)),NA(),(INDEX(DKW_10Y!$H$2:$H$2918,MATCH($A847,DKW_10Y!$A$2:$A$2918,1))-INDEX(DKW_10Y!$H$2:$H$2918,MATCH(Settings!$B$16,DKW_10Y!$A$2:$A$2918,1)))*100))</f>
        <v/>
      </c>
      <c r="AC847" s="18">
        <f>IF(NOT(ISNUMBER($A847)),NA(),IFERROR(1*INDEX(BBG_Data!$N$2:$N$4000,MATCH($A847,BBG_Data!$M$2:$M$4000,0)),NA()))</f>
        <v/>
      </c>
      <c r="AD847" s="18">
        <f>IF(NOT(ISNUMBER($A847)),NA(),IFERROR(1*INDEX(BBG_Data!$P$2:$P$4000,MATCH($A847,BBG_Data!$O$2:$O$4000,0)),NA()))</f>
        <v/>
      </c>
      <c r="AE847" s="18">
        <f>IF(NOT(ISNUMBER($A847)),NA(),IFERROR(1*INDEX(BBG_Data!$R$2:$R$4000,MATCH($A847,BBG_Data!$Q$2:$Q$4000,0)),NA()))</f>
        <v/>
      </c>
      <c r="AF847" s="20">
        <f>IF(AND(ISNUMBER(B847),ISNUMBER(AC847)),(B847-AC847)*100,NA())</f>
        <v/>
      </c>
      <c r="AG847" s="20">
        <f>IF(AND(ISNUMBER(AE847),ISNUMBER(AD847)),(AE847-AD847)*100,NA())</f>
        <v/>
      </c>
      <c r="AH847" s="19">
        <f>IF(NOT(ISNUMBER($A847)),NA(),IFERROR(INDEX(BBG_Data!$T$2:$T$4000,MATCH($A847,BBG_Data!$S$2:$S$4000,0))*Settings!$B$25,NA()))</f>
        <v/>
      </c>
      <c r="AI847" s="19">
        <f>IF(NOT(ISNUMBER($A847)),NA(),IFERROR(INDEX(BBG_Data!$V$2:$V$4000,MATCH($A847,BBG_Data!$U$2:$U$4000,0))*Settings!$B$25,NA()))</f>
        <v/>
      </c>
      <c r="AJ847" s="19">
        <f>IF(NOT(ISNUMBER($A847)),NA(),IFERROR(1*INDEX(BBG_Data!$X$2:$X$4000,MATCH($A847,BBG_Data!$W$2:$W$4000,0)),NA()))</f>
        <v/>
      </c>
      <c r="AK847" s="19">
        <f>IF(NOT(ISNUMBER($A847)),NA(),IFERROR(1*INDEX(BBG_Data!$Z$2:$Z$4000,MATCH($A847,BBG_Data!$Y$2:$Y$4000,0)),NA()))</f>
        <v/>
      </c>
    </row>
    <row r="848">
      <c r="A848" s="17">
        <f>IF(ISNUMBER(BBG_Data!A848),BBG_Data!A848,"")</f>
        <v/>
      </c>
      <c r="B848" s="18">
        <f>IF(AND(ISNUMBER($A848),ISNUMBER(BBG_Data!B848)),BBG_Data!B848,NA())</f>
        <v/>
      </c>
      <c r="C848" s="18">
        <f>IF(NOT(ISNUMBER($A848)),NA(),IFERROR(1*INDEX(BBG_Data!$D$2:$D$4000,MATCH($A848,BBG_Data!$C$2:$C$4000,0)),NA()))</f>
        <v/>
      </c>
      <c r="D848" s="19">
        <f>IF(NOT(ISNUMBER($A848)),NA(),IFERROR(1*INDEX(BBG_Data!$F$2:$F$4000,MATCH($A848,BBG_Data!$E$2:$E$4000,0)),NA()))</f>
        <v/>
      </c>
      <c r="E848" s="19">
        <f>IF(NOT(ISNUMBER($A848)),NA(),IFERROR(1*INDEX(BBG_Data!$H$2:$H$4000,MATCH($A848,BBG_Data!$G$2:$G$4000,0)),NA()))</f>
        <v/>
      </c>
      <c r="F848" s="20">
        <f>IF(AND(ISNUMBER(B848),ISNUMBER(B847)),IF(B848=B847,"",(B848-B847)*100),"")</f>
        <v/>
      </c>
      <c r="G848" s="20">
        <f>IF(AND(ISNUMBER(C848),ISNUMBER(C847)),IF(C848=C847,"",(C848-C847)*100),"")</f>
        <v/>
      </c>
      <c r="H848" s="20">
        <f>IF(OR(NOT(ISNUMBER($A848)),ROW()-2&lt;Settings!$B$11),NA(),IF(COUNT(OFFSET(F848,1-Settings!$B$11,0,Settings!$B$11,1))&lt;ROUNDUP(Settings!$B$11*Settings!$B$26,0),NA(),STDEV(OFFSET(F848,1-Settings!$B$11,0,Settings!$B$11,1))*SQRT(Settings!$B$13)))</f>
        <v/>
      </c>
      <c r="I848" s="20">
        <f>IF(OR(NOT(ISNUMBER($A848)),ROW()-2&lt;Settings!$B$12),NA(),IF(COUNT(OFFSET(F848,1-Settings!$B$12,0,Settings!$B$12,1))&lt;ROUNDUP(Settings!$B$12*Settings!$B$26,0),NA(),STDEV(OFFSET(F848,1-Settings!$B$12,0,Settings!$B$12,1))*SQRT(Settings!$B$13)))</f>
        <v/>
      </c>
      <c r="J848" s="20">
        <f>IF(OR(NOT(ISNUMBER($A848)),ROW()-2&lt;Settings!$B$11),NA(),IF(COUNT(OFFSET(G848,1-Settings!$B$11,0,Settings!$B$11,1))&lt;ROUNDUP(Settings!$B$11*Settings!$B$26,0),NA(),STDEV(OFFSET(G848,1-Settings!$B$11,0,Settings!$B$11,1))*SQRT(Settings!$B$13)))</f>
        <v/>
      </c>
      <c r="K848" s="20">
        <f>IF(OR(NOT(ISNUMBER($A848)),ROW()-2&lt;Settings!$B$12),NA(),IF(COUNT(OFFSET(G848,1-Settings!$B$12,0,Settings!$B$12,1))&lt;ROUNDUP(Settings!$B$12*Settings!$B$26,0),NA(),STDEV(OFFSET(G848,1-Settings!$B$12,0,Settings!$B$12,1))*SQRT(Settings!$B$13)))</f>
        <v/>
      </c>
      <c r="L848" s="20">
        <f>IF(AND(ISNUMBER(D848),ISNUMBER(H848)),D848-H848,NA())</f>
        <v/>
      </c>
      <c r="M848" s="20">
        <f>IF(AND(ISNUMBER(E848),ISNUMBER(K848)),E848-K848,NA())</f>
        <v/>
      </c>
      <c r="N848" s="20">
        <f>IF(NOT(ISNUMBER($A848)),NA(),IF(COUNT(OFFSET(G848,1,0,Settings!$B$12,1))&lt;ROUNDUP(Settings!$B$12*Settings!$B$26,0),NA(),STDEV(OFFSET(G848,1,0,Settings!$B$12,1))*SQRT(Settings!$B$13)))</f>
        <v/>
      </c>
      <c r="O848" s="20">
        <f>IF(AND(ISNUMBER(E848),ISNUMBER(N848)),E848-N848,NA())</f>
        <v/>
      </c>
      <c r="P848" s="19">
        <f>IF(NOT(ISNUMBER($A848)),NA(),IF(OR($A848&lt;MIN(KW_TP!$A$2:$A$2501),$A848&gt;MAX(KW_TP!$A$2:$A$2501)),NA(),INDEX(KW_TP!$C$2:$C$2501,MATCH($A848,KW_TP!$A$2:$A$2501,1))))</f>
        <v/>
      </c>
      <c r="Q848" s="18">
        <f>IF(NOT(ISNUMBER($A848)),NA(),IFERROR(1*INDEX(BBG_Data!$J$2:$J$4000,MATCH($A848,BBG_Data!$I$2:$I$4000,0)),NA()))</f>
        <v/>
      </c>
      <c r="R848" s="18">
        <f>IF(NOT(ISNUMBER($A848)),NA(),IFERROR(1*INDEX(BBG_Data!$L$2:$L$4000,MATCH($A848,BBG_Data!$K$2:$K$4000,0)),NA()))</f>
        <v/>
      </c>
      <c r="S848" s="20">
        <f>IF(AND(ISNUMBER(B848),ISNUMBER(Q848),ISNUMBER(R848)),(B848-Q848-R848)*100,NA())</f>
        <v/>
      </c>
      <c r="T848" s="20">
        <f>IF(AND(ISNUMBER(B848),Settings!$B$17&gt;0),IF(ISNUMBER(INDEX($B:$B,Settings!$B$17)),(B848-INDEX($B:$B,Settings!$B$17))*100,NA()),NA())</f>
        <v/>
      </c>
      <c r="U848" s="20">
        <f>IF(AND(ISNUMBER(Q848),Settings!$B$17&gt;0),IF(ISNUMBER(INDEX($Q:$Q,Settings!$B$17)),(Q848-INDEX($Q:$Q,Settings!$B$17))*100,NA()),NA())</f>
        <v/>
      </c>
      <c r="V848" s="20">
        <f>IF(AND(ISNUMBER(R848),Settings!$B$17&gt;0),IF(ISNUMBER(INDEX($R:$R,Settings!$B$17)),(R848-INDEX($R:$R,Settings!$B$17))*100,NA()),NA())</f>
        <v/>
      </c>
      <c r="W848" s="20">
        <f>IF(AND(ISNUMBER(P848),Settings!$B$17&gt;0),IF(ISNUMBER(INDEX($P:$P,Settings!$B$17)),P848-INDEX($P:$P,Settings!$B$17),NA()),NA())</f>
        <v/>
      </c>
      <c r="X848" s="19">
        <f>IF(NOT(ISNUMBER($A848)),NA(),IF(OR($A848&lt;MIN(DKW_10Y!$A$2:$A$2918),$A848&gt;MAX(DKW_10Y!$A$2:$A$2918),Settings!$B$16&lt;MIN(DKW_10Y!$A$2:$A$2918)),NA(),(INDEX(DKW_10Y!$B$2:$B$2918,MATCH($A848,DKW_10Y!$A$2:$A$2918,1))-INDEX(DKW_10Y!$B$2:$B$2918,MATCH(Settings!$B$16,DKW_10Y!$A$2:$A$2918,1)))*100))</f>
        <v/>
      </c>
      <c r="Y848" s="19">
        <f>IF(NOT(ISNUMBER($A848)),NA(),IF(OR($A848&lt;MIN(DKW_10Y!$A$2:$A$2918),$A848&gt;MAX(DKW_10Y!$A$2:$A$2918),Settings!$B$16&lt;MIN(DKW_10Y!$A$2:$A$2918)),NA(),(INDEX(DKW_10Y!$C$2:$C$2918,MATCH($A848,DKW_10Y!$A$2:$A$2918,1))-INDEX(DKW_10Y!$C$2:$C$2918,MATCH(Settings!$B$16,DKW_10Y!$A$2:$A$2918,1)))*100))</f>
        <v/>
      </c>
      <c r="Z848" s="19">
        <f>IF(NOT(ISNUMBER($A848)),NA(),IF(OR($A848&lt;MIN(DKW_10Y!$A$2:$A$2918),$A848&gt;MAX(DKW_10Y!$A$2:$A$2918),Settings!$B$16&lt;MIN(DKW_10Y!$A$2:$A$2918)),NA(),(INDEX(DKW_10Y!$D$2:$D$2918,MATCH($A848,DKW_10Y!$A$2:$A$2918,1))-INDEX(DKW_10Y!$D$2:$D$2918,MATCH(Settings!$B$16,DKW_10Y!$A$2:$A$2918,1)))*100))</f>
        <v/>
      </c>
      <c r="AA848" s="19">
        <f>IF(NOT(ISNUMBER($A848)),NA(),IF(OR($A848&lt;MIN(DKW_10Y!$A$2:$A$2918),$A848&gt;MAX(DKW_10Y!$A$2:$A$2918),Settings!$B$16&lt;MIN(DKW_10Y!$A$2:$A$2918)),NA(),(INDEX(DKW_10Y!$E$2:$E$2918,MATCH($A848,DKW_10Y!$A$2:$A$2918,1))-INDEX(DKW_10Y!$E$2:$E$2918,MATCH(Settings!$B$16,DKW_10Y!$A$2:$A$2918,1)))*100))</f>
        <v/>
      </c>
      <c r="AB848" s="19">
        <f>IF(NOT(ISNUMBER($A848)),NA(),IF(OR($A848&lt;MIN(DKW_10Y!$A$2:$A$2918),$A848&gt;MAX(DKW_10Y!$A$2:$A$2918),Settings!$B$16&lt;MIN(DKW_10Y!$A$2:$A$2918)),NA(),(INDEX(DKW_10Y!$H$2:$H$2918,MATCH($A848,DKW_10Y!$A$2:$A$2918,1))-INDEX(DKW_10Y!$H$2:$H$2918,MATCH(Settings!$B$16,DKW_10Y!$A$2:$A$2918,1)))*100))</f>
        <v/>
      </c>
      <c r="AC848" s="18">
        <f>IF(NOT(ISNUMBER($A848)),NA(),IFERROR(1*INDEX(BBG_Data!$N$2:$N$4000,MATCH($A848,BBG_Data!$M$2:$M$4000,0)),NA()))</f>
        <v/>
      </c>
      <c r="AD848" s="18">
        <f>IF(NOT(ISNUMBER($A848)),NA(),IFERROR(1*INDEX(BBG_Data!$P$2:$P$4000,MATCH($A848,BBG_Data!$O$2:$O$4000,0)),NA()))</f>
        <v/>
      </c>
      <c r="AE848" s="18">
        <f>IF(NOT(ISNUMBER($A848)),NA(),IFERROR(1*INDEX(BBG_Data!$R$2:$R$4000,MATCH($A848,BBG_Data!$Q$2:$Q$4000,0)),NA()))</f>
        <v/>
      </c>
      <c r="AF848" s="20">
        <f>IF(AND(ISNUMBER(B848),ISNUMBER(AC848)),(B848-AC848)*100,NA())</f>
        <v/>
      </c>
      <c r="AG848" s="20">
        <f>IF(AND(ISNUMBER(AE848),ISNUMBER(AD848)),(AE848-AD848)*100,NA())</f>
        <v/>
      </c>
      <c r="AH848" s="19">
        <f>IF(NOT(ISNUMBER($A848)),NA(),IFERROR(INDEX(BBG_Data!$T$2:$T$4000,MATCH($A848,BBG_Data!$S$2:$S$4000,0))*Settings!$B$25,NA()))</f>
        <v/>
      </c>
      <c r="AI848" s="19">
        <f>IF(NOT(ISNUMBER($A848)),NA(),IFERROR(INDEX(BBG_Data!$V$2:$V$4000,MATCH($A848,BBG_Data!$U$2:$U$4000,0))*Settings!$B$25,NA()))</f>
        <v/>
      </c>
      <c r="AJ848" s="19">
        <f>IF(NOT(ISNUMBER($A848)),NA(),IFERROR(1*INDEX(BBG_Data!$X$2:$X$4000,MATCH($A848,BBG_Data!$W$2:$W$4000,0)),NA()))</f>
        <v/>
      </c>
      <c r="AK848" s="19">
        <f>IF(NOT(ISNUMBER($A848)),NA(),IFERROR(1*INDEX(BBG_Data!$Z$2:$Z$4000,MATCH($A848,BBG_Data!$Y$2:$Y$4000,0)),NA()))</f>
        <v/>
      </c>
    </row>
    <row r="849">
      <c r="A849" s="17">
        <f>IF(ISNUMBER(BBG_Data!A849),BBG_Data!A849,"")</f>
        <v/>
      </c>
      <c r="B849" s="18">
        <f>IF(AND(ISNUMBER($A849),ISNUMBER(BBG_Data!B849)),BBG_Data!B849,NA())</f>
        <v/>
      </c>
      <c r="C849" s="18">
        <f>IF(NOT(ISNUMBER($A849)),NA(),IFERROR(1*INDEX(BBG_Data!$D$2:$D$4000,MATCH($A849,BBG_Data!$C$2:$C$4000,0)),NA()))</f>
        <v/>
      </c>
      <c r="D849" s="19">
        <f>IF(NOT(ISNUMBER($A849)),NA(),IFERROR(1*INDEX(BBG_Data!$F$2:$F$4000,MATCH($A849,BBG_Data!$E$2:$E$4000,0)),NA()))</f>
        <v/>
      </c>
      <c r="E849" s="19">
        <f>IF(NOT(ISNUMBER($A849)),NA(),IFERROR(1*INDEX(BBG_Data!$H$2:$H$4000,MATCH($A849,BBG_Data!$G$2:$G$4000,0)),NA()))</f>
        <v/>
      </c>
      <c r="F849" s="20">
        <f>IF(AND(ISNUMBER(B849),ISNUMBER(B848)),IF(B849=B848,"",(B849-B848)*100),"")</f>
        <v/>
      </c>
      <c r="G849" s="20">
        <f>IF(AND(ISNUMBER(C849),ISNUMBER(C848)),IF(C849=C848,"",(C849-C848)*100),"")</f>
        <v/>
      </c>
      <c r="H849" s="20">
        <f>IF(OR(NOT(ISNUMBER($A849)),ROW()-2&lt;Settings!$B$11),NA(),IF(COUNT(OFFSET(F849,1-Settings!$B$11,0,Settings!$B$11,1))&lt;ROUNDUP(Settings!$B$11*Settings!$B$26,0),NA(),STDEV(OFFSET(F849,1-Settings!$B$11,0,Settings!$B$11,1))*SQRT(Settings!$B$13)))</f>
        <v/>
      </c>
      <c r="I849" s="20">
        <f>IF(OR(NOT(ISNUMBER($A849)),ROW()-2&lt;Settings!$B$12),NA(),IF(COUNT(OFFSET(F849,1-Settings!$B$12,0,Settings!$B$12,1))&lt;ROUNDUP(Settings!$B$12*Settings!$B$26,0),NA(),STDEV(OFFSET(F849,1-Settings!$B$12,0,Settings!$B$12,1))*SQRT(Settings!$B$13)))</f>
        <v/>
      </c>
      <c r="J849" s="20">
        <f>IF(OR(NOT(ISNUMBER($A849)),ROW()-2&lt;Settings!$B$11),NA(),IF(COUNT(OFFSET(G849,1-Settings!$B$11,0,Settings!$B$11,1))&lt;ROUNDUP(Settings!$B$11*Settings!$B$26,0),NA(),STDEV(OFFSET(G849,1-Settings!$B$11,0,Settings!$B$11,1))*SQRT(Settings!$B$13)))</f>
        <v/>
      </c>
      <c r="K849" s="20">
        <f>IF(OR(NOT(ISNUMBER($A849)),ROW()-2&lt;Settings!$B$12),NA(),IF(COUNT(OFFSET(G849,1-Settings!$B$12,0,Settings!$B$12,1))&lt;ROUNDUP(Settings!$B$12*Settings!$B$26,0),NA(),STDEV(OFFSET(G849,1-Settings!$B$12,0,Settings!$B$12,1))*SQRT(Settings!$B$13)))</f>
        <v/>
      </c>
      <c r="L849" s="20">
        <f>IF(AND(ISNUMBER(D849),ISNUMBER(H849)),D849-H849,NA())</f>
        <v/>
      </c>
      <c r="M849" s="20">
        <f>IF(AND(ISNUMBER(E849),ISNUMBER(K849)),E849-K849,NA())</f>
        <v/>
      </c>
      <c r="N849" s="20">
        <f>IF(NOT(ISNUMBER($A849)),NA(),IF(COUNT(OFFSET(G849,1,0,Settings!$B$12,1))&lt;ROUNDUP(Settings!$B$12*Settings!$B$26,0),NA(),STDEV(OFFSET(G849,1,0,Settings!$B$12,1))*SQRT(Settings!$B$13)))</f>
        <v/>
      </c>
      <c r="O849" s="20">
        <f>IF(AND(ISNUMBER(E849),ISNUMBER(N849)),E849-N849,NA())</f>
        <v/>
      </c>
      <c r="P849" s="19">
        <f>IF(NOT(ISNUMBER($A849)),NA(),IF(OR($A849&lt;MIN(KW_TP!$A$2:$A$2501),$A849&gt;MAX(KW_TP!$A$2:$A$2501)),NA(),INDEX(KW_TP!$C$2:$C$2501,MATCH($A849,KW_TP!$A$2:$A$2501,1))))</f>
        <v/>
      </c>
      <c r="Q849" s="18">
        <f>IF(NOT(ISNUMBER($A849)),NA(),IFERROR(1*INDEX(BBG_Data!$J$2:$J$4000,MATCH($A849,BBG_Data!$I$2:$I$4000,0)),NA()))</f>
        <v/>
      </c>
      <c r="R849" s="18">
        <f>IF(NOT(ISNUMBER($A849)),NA(),IFERROR(1*INDEX(BBG_Data!$L$2:$L$4000,MATCH($A849,BBG_Data!$K$2:$K$4000,0)),NA()))</f>
        <v/>
      </c>
      <c r="S849" s="20">
        <f>IF(AND(ISNUMBER(B849),ISNUMBER(Q849),ISNUMBER(R849)),(B849-Q849-R849)*100,NA())</f>
        <v/>
      </c>
      <c r="T849" s="20">
        <f>IF(AND(ISNUMBER(B849),Settings!$B$17&gt;0),IF(ISNUMBER(INDEX($B:$B,Settings!$B$17)),(B849-INDEX($B:$B,Settings!$B$17))*100,NA()),NA())</f>
        <v/>
      </c>
      <c r="U849" s="20">
        <f>IF(AND(ISNUMBER(Q849),Settings!$B$17&gt;0),IF(ISNUMBER(INDEX($Q:$Q,Settings!$B$17)),(Q849-INDEX($Q:$Q,Settings!$B$17))*100,NA()),NA())</f>
        <v/>
      </c>
      <c r="V849" s="20">
        <f>IF(AND(ISNUMBER(R849),Settings!$B$17&gt;0),IF(ISNUMBER(INDEX($R:$R,Settings!$B$17)),(R849-INDEX($R:$R,Settings!$B$17))*100,NA()),NA())</f>
        <v/>
      </c>
      <c r="W849" s="20">
        <f>IF(AND(ISNUMBER(P849),Settings!$B$17&gt;0),IF(ISNUMBER(INDEX($P:$P,Settings!$B$17)),P849-INDEX($P:$P,Settings!$B$17),NA()),NA())</f>
        <v/>
      </c>
      <c r="X849" s="19">
        <f>IF(NOT(ISNUMBER($A849)),NA(),IF(OR($A849&lt;MIN(DKW_10Y!$A$2:$A$2918),$A849&gt;MAX(DKW_10Y!$A$2:$A$2918),Settings!$B$16&lt;MIN(DKW_10Y!$A$2:$A$2918)),NA(),(INDEX(DKW_10Y!$B$2:$B$2918,MATCH($A849,DKW_10Y!$A$2:$A$2918,1))-INDEX(DKW_10Y!$B$2:$B$2918,MATCH(Settings!$B$16,DKW_10Y!$A$2:$A$2918,1)))*100))</f>
        <v/>
      </c>
      <c r="Y849" s="19">
        <f>IF(NOT(ISNUMBER($A849)),NA(),IF(OR($A849&lt;MIN(DKW_10Y!$A$2:$A$2918),$A849&gt;MAX(DKW_10Y!$A$2:$A$2918),Settings!$B$16&lt;MIN(DKW_10Y!$A$2:$A$2918)),NA(),(INDEX(DKW_10Y!$C$2:$C$2918,MATCH($A849,DKW_10Y!$A$2:$A$2918,1))-INDEX(DKW_10Y!$C$2:$C$2918,MATCH(Settings!$B$16,DKW_10Y!$A$2:$A$2918,1)))*100))</f>
        <v/>
      </c>
      <c r="Z849" s="19">
        <f>IF(NOT(ISNUMBER($A849)),NA(),IF(OR($A849&lt;MIN(DKW_10Y!$A$2:$A$2918),$A849&gt;MAX(DKW_10Y!$A$2:$A$2918),Settings!$B$16&lt;MIN(DKW_10Y!$A$2:$A$2918)),NA(),(INDEX(DKW_10Y!$D$2:$D$2918,MATCH($A849,DKW_10Y!$A$2:$A$2918,1))-INDEX(DKW_10Y!$D$2:$D$2918,MATCH(Settings!$B$16,DKW_10Y!$A$2:$A$2918,1)))*100))</f>
        <v/>
      </c>
      <c r="AA849" s="19">
        <f>IF(NOT(ISNUMBER($A849)),NA(),IF(OR($A849&lt;MIN(DKW_10Y!$A$2:$A$2918),$A849&gt;MAX(DKW_10Y!$A$2:$A$2918),Settings!$B$16&lt;MIN(DKW_10Y!$A$2:$A$2918)),NA(),(INDEX(DKW_10Y!$E$2:$E$2918,MATCH($A849,DKW_10Y!$A$2:$A$2918,1))-INDEX(DKW_10Y!$E$2:$E$2918,MATCH(Settings!$B$16,DKW_10Y!$A$2:$A$2918,1)))*100))</f>
        <v/>
      </c>
      <c r="AB849" s="19">
        <f>IF(NOT(ISNUMBER($A849)),NA(),IF(OR($A849&lt;MIN(DKW_10Y!$A$2:$A$2918),$A849&gt;MAX(DKW_10Y!$A$2:$A$2918),Settings!$B$16&lt;MIN(DKW_10Y!$A$2:$A$2918)),NA(),(INDEX(DKW_10Y!$H$2:$H$2918,MATCH($A849,DKW_10Y!$A$2:$A$2918,1))-INDEX(DKW_10Y!$H$2:$H$2918,MATCH(Settings!$B$16,DKW_10Y!$A$2:$A$2918,1)))*100))</f>
        <v/>
      </c>
      <c r="AC849" s="18">
        <f>IF(NOT(ISNUMBER($A849)),NA(),IFERROR(1*INDEX(BBG_Data!$N$2:$N$4000,MATCH($A849,BBG_Data!$M$2:$M$4000,0)),NA()))</f>
        <v/>
      </c>
      <c r="AD849" s="18">
        <f>IF(NOT(ISNUMBER($A849)),NA(),IFERROR(1*INDEX(BBG_Data!$P$2:$P$4000,MATCH($A849,BBG_Data!$O$2:$O$4000,0)),NA()))</f>
        <v/>
      </c>
      <c r="AE849" s="18">
        <f>IF(NOT(ISNUMBER($A849)),NA(),IFERROR(1*INDEX(BBG_Data!$R$2:$R$4000,MATCH($A849,BBG_Data!$Q$2:$Q$4000,0)),NA()))</f>
        <v/>
      </c>
      <c r="AF849" s="20">
        <f>IF(AND(ISNUMBER(B849),ISNUMBER(AC849)),(B849-AC849)*100,NA())</f>
        <v/>
      </c>
      <c r="AG849" s="20">
        <f>IF(AND(ISNUMBER(AE849),ISNUMBER(AD849)),(AE849-AD849)*100,NA())</f>
        <v/>
      </c>
      <c r="AH849" s="19">
        <f>IF(NOT(ISNUMBER($A849)),NA(),IFERROR(INDEX(BBG_Data!$T$2:$T$4000,MATCH($A849,BBG_Data!$S$2:$S$4000,0))*Settings!$B$25,NA()))</f>
        <v/>
      </c>
      <c r="AI849" s="19">
        <f>IF(NOT(ISNUMBER($A849)),NA(),IFERROR(INDEX(BBG_Data!$V$2:$V$4000,MATCH($A849,BBG_Data!$U$2:$U$4000,0))*Settings!$B$25,NA()))</f>
        <v/>
      </c>
      <c r="AJ849" s="19">
        <f>IF(NOT(ISNUMBER($A849)),NA(),IFERROR(1*INDEX(BBG_Data!$X$2:$X$4000,MATCH($A849,BBG_Data!$W$2:$W$4000,0)),NA()))</f>
        <v/>
      </c>
      <c r="AK849" s="19">
        <f>IF(NOT(ISNUMBER($A849)),NA(),IFERROR(1*INDEX(BBG_Data!$Z$2:$Z$4000,MATCH($A849,BBG_Data!$Y$2:$Y$4000,0)),NA()))</f>
        <v/>
      </c>
    </row>
    <row r="850">
      <c r="A850" s="17">
        <f>IF(ISNUMBER(BBG_Data!A850),BBG_Data!A850,"")</f>
        <v/>
      </c>
      <c r="B850" s="18">
        <f>IF(AND(ISNUMBER($A850),ISNUMBER(BBG_Data!B850)),BBG_Data!B850,NA())</f>
        <v/>
      </c>
      <c r="C850" s="18">
        <f>IF(NOT(ISNUMBER($A850)),NA(),IFERROR(1*INDEX(BBG_Data!$D$2:$D$4000,MATCH($A850,BBG_Data!$C$2:$C$4000,0)),NA()))</f>
        <v/>
      </c>
      <c r="D850" s="19">
        <f>IF(NOT(ISNUMBER($A850)),NA(),IFERROR(1*INDEX(BBG_Data!$F$2:$F$4000,MATCH($A850,BBG_Data!$E$2:$E$4000,0)),NA()))</f>
        <v/>
      </c>
      <c r="E850" s="19">
        <f>IF(NOT(ISNUMBER($A850)),NA(),IFERROR(1*INDEX(BBG_Data!$H$2:$H$4000,MATCH($A850,BBG_Data!$G$2:$G$4000,0)),NA()))</f>
        <v/>
      </c>
      <c r="F850" s="20">
        <f>IF(AND(ISNUMBER(B850),ISNUMBER(B849)),IF(B850=B849,"",(B850-B849)*100),"")</f>
        <v/>
      </c>
      <c r="G850" s="20">
        <f>IF(AND(ISNUMBER(C850),ISNUMBER(C849)),IF(C850=C849,"",(C850-C849)*100),"")</f>
        <v/>
      </c>
      <c r="H850" s="20">
        <f>IF(OR(NOT(ISNUMBER($A850)),ROW()-2&lt;Settings!$B$11),NA(),IF(COUNT(OFFSET(F850,1-Settings!$B$11,0,Settings!$B$11,1))&lt;ROUNDUP(Settings!$B$11*Settings!$B$26,0),NA(),STDEV(OFFSET(F850,1-Settings!$B$11,0,Settings!$B$11,1))*SQRT(Settings!$B$13)))</f>
        <v/>
      </c>
      <c r="I850" s="20">
        <f>IF(OR(NOT(ISNUMBER($A850)),ROW()-2&lt;Settings!$B$12),NA(),IF(COUNT(OFFSET(F850,1-Settings!$B$12,0,Settings!$B$12,1))&lt;ROUNDUP(Settings!$B$12*Settings!$B$26,0),NA(),STDEV(OFFSET(F850,1-Settings!$B$12,0,Settings!$B$12,1))*SQRT(Settings!$B$13)))</f>
        <v/>
      </c>
      <c r="J850" s="20">
        <f>IF(OR(NOT(ISNUMBER($A850)),ROW()-2&lt;Settings!$B$11),NA(),IF(COUNT(OFFSET(G850,1-Settings!$B$11,0,Settings!$B$11,1))&lt;ROUNDUP(Settings!$B$11*Settings!$B$26,0),NA(),STDEV(OFFSET(G850,1-Settings!$B$11,0,Settings!$B$11,1))*SQRT(Settings!$B$13)))</f>
        <v/>
      </c>
      <c r="K850" s="20">
        <f>IF(OR(NOT(ISNUMBER($A850)),ROW()-2&lt;Settings!$B$12),NA(),IF(COUNT(OFFSET(G850,1-Settings!$B$12,0,Settings!$B$12,1))&lt;ROUNDUP(Settings!$B$12*Settings!$B$26,0),NA(),STDEV(OFFSET(G850,1-Settings!$B$12,0,Settings!$B$12,1))*SQRT(Settings!$B$13)))</f>
        <v/>
      </c>
      <c r="L850" s="20">
        <f>IF(AND(ISNUMBER(D850),ISNUMBER(H850)),D850-H850,NA())</f>
        <v/>
      </c>
      <c r="M850" s="20">
        <f>IF(AND(ISNUMBER(E850),ISNUMBER(K850)),E850-K850,NA())</f>
        <v/>
      </c>
      <c r="N850" s="20">
        <f>IF(NOT(ISNUMBER($A850)),NA(),IF(COUNT(OFFSET(G850,1,0,Settings!$B$12,1))&lt;ROUNDUP(Settings!$B$12*Settings!$B$26,0),NA(),STDEV(OFFSET(G850,1,0,Settings!$B$12,1))*SQRT(Settings!$B$13)))</f>
        <v/>
      </c>
      <c r="O850" s="20">
        <f>IF(AND(ISNUMBER(E850),ISNUMBER(N850)),E850-N850,NA())</f>
        <v/>
      </c>
      <c r="P850" s="19">
        <f>IF(NOT(ISNUMBER($A850)),NA(),IF(OR($A850&lt;MIN(KW_TP!$A$2:$A$2501),$A850&gt;MAX(KW_TP!$A$2:$A$2501)),NA(),INDEX(KW_TP!$C$2:$C$2501,MATCH($A850,KW_TP!$A$2:$A$2501,1))))</f>
        <v/>
      </c>
      <c r="Q850" s="18">
        <f>IF(NOT(ISNUMBER($A850)),NA(),IFERROR(1*INDEX(BBG_Data!$J$2:$J$4000,MATCH($A850,BBG_Data!$I$2:$I$4000,0)),NA()))</f>
        <v/>
      </c>
      <c r="R850" s="18">
        <f>IF(NOT(ISNUMBER($A850)),NA(),IFERROR(1*INDEX(BBG_Data!$L$2:$L$4000,MATCH($A850,BBG_Data!$K$2:$K$4000,0)),NA()))</f>
        <v/>
      </c>
      <c r="S850" s="20">
        <f>IF(AND(ISNUMBER(B850),ISNUMBER(Q850),ISNUMBER(R850)),(B850-Q850-R850)*100,NA())</f>
        <v/>
      </c>
      <c r="T850" s="20">
        <f>IF(AND(ISNUMBER(B850),Settings!$B$17&gt;0),IF(ISNUMBER(INDEX($B:$B,Settings!$B$17)),(B850-INDEX($B:$B,Settings!$B$17))*100,NA()),NA())</f>
        <v/>
      </c>
      <c r="U850" s="20">
        <f>IF(AND(ISNUMBER(Q850),Settings!$B$17&gt;0),IF(ISNUMBER(INDEX($Q:$Q,Settings!$B$17)),(Q850-INDEX($Q:$Q,Settings!$B$17))*100,NA()),NA())</f>
        <v/>
      </c>
      <c r="V850" s="20">
        <f>IF(AND(ISNUMBER(R850),Settings!$B$17&gt;0),IF(ISNUMBER(INDEX($R:$R,Settings!$B$17)),(R850-INDEX($R:$R,Settings!$B$17))*100,NA()),NA())</f>
        <v/>
      </c>
      <c r="W850" s="20">
        <f>IF(AND(ISNUMBER(P850),Settings!$B$17&gt;0),IF(ISNUMBER(INDEX($P:$P,Settings!$B$17)),P850-INDEX($P:$P,Settings!$B$17),NA()),NA())</f>
        <v/>
      </c>
      <c r="X850" s="19">
        <f>IF(NOT(ISNUMBER($A850)),NA(),IF(OR($A850&lt;MIN(DKW_10Y!$A$2:$A$2918),$A850&gt;MAX(DKW_10Y!$A$2:$A$2918),Settings!$B$16&lt;MIN(DKW_10Y!$A$2:$A$2918)),NA(),(INDEX(DKW_10Y!$B$2:$B$2918,MATCH($A850,DKW_10Y!$A$2:$A$2918,1))-INDEX(DKW_10Y!$B$2:$B$2918,MATCH(Settings!$B$16,DKW_10Y!$A$2:$A$2918,1)))*100))</f>
        <v/>
      </c>
      <c r="Y850" s="19">
        <f>IF(NOT(ISNUMBER($A850)),NA(),IF(OR($A850&lt;MIN(DKW_10Y!$A$2:$A$2918),$A850&gt;MAX(DKW_10Y!$A$2:$A$2918),Settings!$B$16&lt;MIN(DKW_10Y!$A$2:$A$2918)),NA(),(INDEX(DKW_10Y!$C$2:$C$2918,MATCH($A850,DKW_10Y!$A$2:$A$2918,1))-INDEX(DKW_10Y!$C$2:$C$2918,MATCH(Settings!$B$16,DKW_10Y!$A$2:$A$2918,1)))*100))</f>
        <v/>
      </c>
      <c r="Z850" s="19">
        <f>IF(NOT(ISNUMBER($A850)),NA(),IF(OR($A850&lt;MIN(DKW_10Y!$A$2:$A$2918),$A850&gt;MAX(DKW_10Y!$A$2:$A$2918),Settings!$B$16&lt;MIN(DKW_10Y!$A$2:$A$2918)),NA(),(INDEX(DKW_10Y!$D$2:$D$2918,MATCH($A850,DKW_10Y!$A$2:$A$2918,1))-INDEX(DKW_10Y!$D$2:$D$2918,MATCH(Settings!$B$16,DKW_10Y!$A$2:$A$2918,1)))*100))</f>
        <v/>
      </c>
      <c r="AA850" s="19">
        <f>IF(NOT(ISNUMBER($A850)),NA(),IF(OR($A850&lt;MIN(DKW_10Y!$A$2:$A$2918),$A850&gt;MAX(DKW_10Y!$A$2:$A$2918),Settings!$B$16&lt;MIN(DKW_10Y!$A$2:$A$2918)),NA(),(INDEX(DKW_10Y!$E$2:$E$2918,MATCH($A850,DKW_10Y!$A$2:$A$2918,1))-INDEX(DKW_10Y!$E$2:$E$2918,MATCH(Settings!$B$16,DKW_10Y!$A$2:$A$2918,1)))*100))</f>
        <v/>
      </c>
      <c r="AB850" s="19">
        <f>IF(NOT(ISNUMBER($A850)),NA(),IF(OR($A850&lt;MIN(DKW_10Y!$A$2:$A$2918),$A850&gt;MAX(DKW_10Y!$A$2:$A$2918),Settings!$B$16&lt;MIN(DKW_10Y!$A$2:$A$2918)),NA(),(INDEX(DKW_10Y!$H$2:$H$2918,MATCH($A850,DKW_10Y!$A$2:$A$2918,1))-INDEX(DKW_10Y!$H$2:$H$2918,MATCH(Settings!$B$16,DKW_10Y!$A$2:$A$2918,1)))*100))</f>
        <v/>
      </c>
      <c r="AC850" s="18">
        <f>IF(NOT(ISNUMBER($A850)),NA(),IFERROR(1*INDEX(BBG_Data!$N$2:$N$4000,MATCH($A850,BBG_Data!$M$2:$M$4000,0)),NA()))</f>
        <v/>
      </c>
      <c r="AD850" s="18">
        <f>IF(NOT(ISNUMBER($A850)),NA(),IFERROR(1*INDEX(BBG_Data!$P$2:$P$4000,MATCH($A850,BBG_Data!$O$2:$O$4000,0)),NA()))</f>
        <v/>
      </c>
      <c r="AE850" s="18">
        <f>IF(NOT(ISNUMBER($A850)),NA(),IFERROR(1*INDEX(BBG_Data!$R$2:$R$4000,MATCH($A850,BBG_Data!$Q$2:$Q$4000,0)),NA()))</f>
        <v/>
      </c>
      <c r="AF850" s="20">
        <f>IF(AND(ISNUMBER(B850),ISNUMBER(AC850)),(B850-AC850)*100,NA())</f>
        <v/>
      </c>
      <c r="AG850" s="20">
        <f>IF(AND(ISNUMBER(AE850),ISNUMBER(AD850)),(AE850-AD850)*100,NA())</f>
        <v/>
      </c>
      <c r="AH850" s="19">
        <f>IF(NOT(ISNUMBER($A850)),NA(),IFERROR(INDEX(BBG_Data!$T$2:$T$4000,MATCH($A850,BBG_Data!$S$2:$S$4000,0))*Settings!$B$25,NA()))</f>
        <v/>
      </c>
      <c r="AI850" s="19">
        <f>IF(NOT(ISNUMBER($A850)),NA(),IFERROR(INDEX(BBG_Data!$V$2:$V$4000,MATCH($A850,BBG_Data!$U$2:$U$4000,0))*Settings!$B$25,NA()))</f>
        <v/>
      </c>
      <c r="AJ850" s="19">
        <f>IF(NOT(ISNUMBER($A850)),NA(),IFERROR(1*INDEX(BBG_Data!$X$2:$X$4000,MATCH($A850,BBG_Data!$W$2:$W$4000,0)),NA()))</f>
        <v/>
      </c>
      <c r="AK850" s="19">
        <f>IF(NOT(ISNUMBER($A850)),NA(),IFERROR(1*INDEX(BBG_Data!$Z$2:$Z$4000,MATCH($A850,BBG_Data!$Y$2:$Y$4000,0)),NA()))</f>
        <v/>
      </c>
    </row>
    <row r="851">
      <c r="A851" s="17">
        <f>IF(ISNUMBER(BBG_Data!A851),BBG_Data!A851,"")</f>
        <v/>
      </c>
      <c r="B851" s="18">
        <f>IF(AND(ISNUMBER($A851),ISNUMBER(BBG_Data!B851)),BBG_Data!B851,NA())</f>
        <v/>
      </c>
      <c r="C851" s="18">
        <f>IF(NOT(ISNUMBER($A851)),NA(),IFERROR(1*INDEX(BBG_Data!$D$2:$D$4000,MATCH($A851,BBG_Data!$C$2:$C$4000,0)),NA()))</f>
        <v/>
      </c>
      <c r="D851" s="19">
        <f>IF(NOT(ISNUMBER($A851)),NA(),IFERROR(1*INDEX(BBG_Data!$F$2:$F$4000,MATCH($A851,BBG_Data!$E$2:$E$4000,0)),NA()))</f>
        <v/>
      </c>
      <c r="E851" s="19">
        <f>IF(NOT(ISNUMBER($A851)),NA(),IFERROR(1*INDEX(BBG_Data!$H$2:$H$4000,MATCH($A851,BBG_Data!$G$2:$G$4000,0)),NA()))</f>
        <v/>
      </c>
      <c r="F851" s="20">
        <f>IF(AND(ISNUMBER(B851),ISNUMBER(B850)),IF(B851=B850,"",(B851-B850)*100),"")</f>
        <v/>
      </c>
      <c r="G851" s="20">
        <f>IF(AND(ISNUMBER(C851),ISNUMBER(C850)),IF(C851=C850,"",(C851-C850)*100),"")</f>
        <v/>
      </c>
      <c r="H851" s="20">
        <f>IF(OR(NOT(ISNUMBER($A851)),ROW()-2&lt;Settings!$B$11),NA(),IF(COUNT(OFFSET(F851,1-Settings!$B$11,0,Settings!$B$11,1))&lt;ROUNDUP(Settings!$B$11*Settings!$B$26,0),NA(),STDEV(OFFSET(F851,1-Settings!$B$11,0,Settings!$B$11,1))*SQRT(Settings!$B$13)))</f>
        <v/>
      </c>
      <c r="I851" s="20">
        <f>IF(OR(NOT(ISNUMBER($A851)),ROW()-2&lt;Settings!$B$12),NA(),IF(COUNT(OFFSET(F851,1-Settings!$B$12,0,Settings!$B$12,1))&lt;ROUNDUP(Settings!$B$12*Settings!$B$26,0),NA(),STDEV(OFFSET(F851,1-Settings!$B$12,0,Settings!$B$12,1))*SQRT(Settings!$B$13)))</f>
        <v/>
      </c>
      <c r="J851" s="20">
        <f>IF(OR(NOT(ISNUMBER($A851)),ROW()-2&lt;Settings!$B$11),NA(),IF(COUNT(OFFSET(G851,1-Settings!$B$11,0,Settings!$B$11,1))&lt;ROUNDUP(Settings!$B$11*Settings!$B$26,0),NA(),STDEV(OFFSET(G851,1-Settings!$B$11,0,Settings!$B$11,1))*SQRT(Settings!$B$13)))</f>
        <v/>
      </c>
      <c r="K851" s="20">
        <f>IF(OR(NOT(ISNUMBER($A851)),ROW()-2&lt;Settings!$B$12),NA(),IF(COUNT(OFFSET(G851,1-Settings!$B$12,0,Settings!$B$12,1))&lt;ROUNDUP(Settings!$B$12*Settings!$B$26,0),NA(),STDEV(OFFSET(G851,1-Settings!$B$12,0,Settings!$B$12,1))*SQRT(Settings!$B$13)))</f>
        <v/>
      </c>
      <c r="L851" s="20">
        <f>IF(AND(ISNUMBER(D851),ISNUMBER(H851)),D851-H851,NA())</f>
        <v/>
      </c>
      <c r="M851" s="20">
        <f>IF(AND(ISNUMBER(E851),ISNUMBER(K851)),E851-K851,NA())</f>
        <v/>
      </c>
      <c r="N851" s="20">
        <f>IF(NOT(ISNUMBER($A851)),NA(),IF(COUNT(OFFSET(G851,1,0,Settings!$B$12,1))&lt;ROUNDUP(Settings!$B$12*Settings!$B$26,0),NA(),STDEV(OFFSET(G851,1,0,Settings!$B$12,1))*SQRT(Settings!$B$13)))</f>
        <v/>
      </c>
      <c r="O851" s="20">
        <f>IF(AND(ISNUMBER(E851),ISNUMBER(N851)),E851-N851,NA())</f>
        <v/>
      </c>
      <c r="P851" s="19">
        <f>IF(NOT(ISNUMBER($A851)),NA(),IF(OR($A851&lt;MIN(KW_TP!$A$2:$A$2501),$A851&gt;MAX(KW_TP!$A$2:$A$2501)),NA(),INDEX(KW_TP!$C$2:$C$2501,MATCH($A851,KW_TP!$A$2:$A$2501,1))))</f>
        <v/>
      </c>
      <c r="Q851" s="18">
        <f>IF(NOT(ISNUMBER($A851)),NA(),IFERROR(1*INDEX(BBG_Data!$J$2:$J$4000,MATCH($A851,BBG_Data!$I$2:$I$4000,0)),NA()))</f>
        <v/>
      </c>
      <c r="R851" s="18">
        <f>IF(NOT(ISNUMBER($A851)),NA(),IFERROR(1*INDEX(BBG_Data!$L$2:$L$4000,MATCH($A851,BBG_Data!$K$2:$K$4000,0)),NA()))</f>
        <v/>
      </c>
      <c r="S851" s="20">
        <f>IF(AND(ISNUMBER(B851),ISNUMBER(Q851),ISNUMBER(R851)),(B851-Q851-R851)*100,NA())</f>
        <v/>
      </c>
      <c r="T851" s="20">
        <f>IF(AND(ISNUMBER(B851),Settings!$B$17&gt;0),IF(ISNUMBER(INDEX($B:$B,Settings!$B$17)),(B851-INDEX($B:$B,Settings!$B$17))*100,NA()),NA())</f>
        <v/>
      </c>
      <c r="U851" s="20">
        <f>IF(AND(ISNUMBER(Q851),Settings!$B$17&gt;0),IF(ISNUMBER(INDEX($Q:$Q,Settings!$B$17)),(Q851-INDEX($Q:$Q,Settings!$B$17))*100,NA()),NA())</f>
        <v/>
      </c>
      <c r="V851" s="20">
        <f>IF(AND(ISNUMBER(R851),Settings!$B$17&gt;0),IF(ISNUMBER(INDEX($R:$R,Settings!$B$17)),(R851-INDEX($R:$R,Settings!$B$17))*100,NA()),NA())</f>
        <v/>
      </c>
      <c r="W851" s="20">
        <f>IF(AND(ISNUMBER(P851),Settings!$B$17&gt;0),IF(ISNUMBER(INDEX($P:$P,Settings!$B$17)),P851-INDEX($P:$P,Settings!$B$17),NA()),NA())</f>
        <v/>
      </c>
      <c r="X851" s="19">
        <f>IF(NOT(ISNUMBER($A851)),NA(),IF(OR($A851&lt;MIN(DKW_10Y!$A$2:$A$2918),$A851&gt;MAX(DKW_10Y!$A$2:$A$2918),Settings!$B$16&lt;MIN(DKW_10Y!$A$2:$A$2918)),NA(),(INDEX(DKW_10Y!$B$2:$B$2918,MATCH($A851,DKW_10Y!$A$2:$A$2918,1))-INDEX(DKW_10Y!$B$2:$B$2918,MATCH(Settings!$B$16,DKW_10Y!$A$2:$A$2918,1)))*100))</f>
        <v/>
      </c>
      <c r="Y851" s="19">
        <f>IF(NOT(ISNUMBER($A851)),NA(),IF(OR($A851&lt;MIN(DKW_10Y!$A$2:$A$2918),$A851&gt;MAX(DKW_10Y!$A$2:$A$2918),Settings!$B$16&lt;MIN(DKW_10Y!$A$2:$A$2918)),NA(),(INDEX(DKW_10Y!$C$2:$C$2918,MATCH($A851,DKW_10Y!$A$2:$A$2918,1))-INDEX(DKW_10Y!$C$2:$C$2918,MATCH(Settings!$B$16,DKW_10Y!$A$2:$A$2918,1)))*100))</f>
        <v/>
      </c>
      <c r="Z851" s="19">
        <f>IF(NOT(ISNUMBER($A851)),NA(),IF(OR($A851&lt;MIN(DKW_10Y!$A$2:$A$2918),$A851&gt;MAX(DKW_10Y!$A$2:$A$2918),Settings!$B$16&lt;MIN(DKW_10Y!$A$2:$A$2918)),NA(),(INDEX(DKW_10Y!$D$2:$D$2918,MATCH($A851,DKW_10Y!$A$2:$A$2918,1))-INDEX(DKW_10Y!$D$2:$D$2918,MATCH(Settings!$B$16,DKW_10Y!$A$2:$A$2918,1)))*100))</f>
        <v/>
      </c>
      <c r="AA851" s="19">
        <f>IF(NOT(ISNUMBER($A851)),NA(),IF(OR($A851&lt;MIN(DKW_10Y!$A$2:$A$2918),$A851&gt;MAX(DKW_10Y!$A$2:$A$2918),Settings!$B$16&lt;MIN(DKW_10Y!$A$2:$A$2918)),NA(),(INDEX(DKW_10Y!$E$2:$E$2918,MATCH($A851,DKW_10Y!$A$2:$A$2918,1))-INDEX(DKW_10Y!$E$2:$E$2918,MATCH(Settings!$B$16,DKW_10Y!$A$2:$A$2918,1)))*100))</f>
        <v/>
      </c>
      <c r="AB851" s="19">
        <f>IF(NOT(ISNUMBER($A851)),NA(),IF(OR($A851&lt;MIN(DKW_10Y!$A$2:$A$2918),$A851&gt;MAX(DKW_10Y!$A$2:$A$2918),Settings!$B$16&lt;MIN(DKW_10Y!$A$2:$A$2918)),NA(),(INDEX(DKW_10Y!$H$2:$H$2918,MATCH($A851,DKW_10Y!$A$2:$A$2918,1))-INDEX(DKW_10Y!$H$2:$H$2918,MATCH(Settings!$B$16,DKW_10Y!$A$2:$A$2918,1)))*100))</f>
        <v/>
      </c>
      <c r="AC851" s="18">
        <f>IF(NOT(ISNUMBER($A851)),NA(),IFERROR(1*INDEX(BBG_Data!$N$2:$N$4000,MATCH($A851,BBG_Data!$M$2:$M$4000,0)),NA()))</f>
        <v/>
      </c>
      <c r="AD851" s="18">
        <f>IF(NOT(ISNUMBER($A851)),NA(),IFERROR(1*INDEX(BBG_Data!$P$2:$P$4000,MATCH($A851,BBG_Data!$O$2:$O$4000,0)),NA()))</f>
        <v/>
      </c>
      <c r="AE851" s="18">
        <f>IF(NOT(ISNUMBER($A851)),NA(),IFERROR(1*INDEX(BBG_Data!$R$2:$R$4000,MATCH($A851,BBG_Data!$Q$2:$Q$4000,0)),NA()))</f>
        <v/>
      </c>
      <c r="AF851" s="20">
        <f>IF(AND(ISNUMBER(B851),ISNUMBER(AC851)),(B851-AC851)*100,NA())</f>
        <v/>
      </c>
      <c r="AG851" s="20">
        <f>IF(AND(ISNUMBER(AE851),ISNUMBER(AD851)),(AE851-AD851)*100,NA())</f>
        <v/>
      </c>
      <c r="AH851" s="19">
        <f>IF(NOT(ISNUMBER($A851)),NA(),IFERROR(INDEX(BBG_Data!$T$2:$T$4000,MATCH($A851,BBG_Data!$S$2:$S$4000,0))*Settings!$B$25,NA()))</f>
        <v/>
      </c>
      <c r="AI851" s="19">
        <f>IF(NOT(ISNUMBER($A851)),NA(),IFERROR(INDEX(BBG_Data!$V$2:$V$4000,MATCH($A851,BBG_Data!$U$2:$U$4000,0))*Settings!$B$25,NA()))</f>
        <v/>
      </c>
      <c r="AJ851" s="19">
        <f>IF(NOT(ISNUMBER($A851)),NA(),IFERROR(1*INDEX(BBG_Data!$X$2:$X$4000,MATCH($A851,BBG_Data!$W$2:$W$4000,0)),NA()))</f>
        <v/>
      </c>
      <c r="AK851" s="19">
        <f>IF(NOT(ISNUMBER($A851)),NA(),IFERROR(1*INDEX(BBG_Data!$Z$2:$Z$4000,MATCH($A851,BBG_Data!$Y$2:$Y$4000,0)),NA()))</f>
        <v/>
      </c>
    </row>
    <row r="852">
      <c r="A852" s="17">
        <f>IF(ISNUMBER(BBG_Data!A852),BBG_Data!A852,"")</f>
        <v/>
      </c>
      <c r="B852" s="18">
        <f>IF(AND(ISNUMBER($A852),ISNUMBER(BBG_Data!B852)),BBG_Data!B852,NA())</f>
        <v/>
      </c>
      <c r="C852" s="18">
        <f>IF(NOT(ISNUMBER($A852)),NA(),IFERROR(1*INDEX(BBG_Data!$D$2:$D$4000,MATCH($A852,BBG_Data!$C$2:$C$4000,0)),NA()))</f>
        <v/>
      </c>
      <c r="D852" s="19">
        <f>IF(NOT(ISNUMBER($A852)),NA(),IFERROR(1*INDEX(BBG_Data!$F$2:$F$4000,MATCH($A852,BBG_Data!$E$2:$E$4000,0)),NA()))</f>
        <v/>
      </c>
      <c r="E852" s="19">
        <f>IF(NOT(ISNUMBER($A852)),NA(),IFERROR(1*INDEX(BBG_Data!$H$2:$H$4000,MATCH($A852,BBG_Data!$G$2:$G$4000,0)),NA()))</f>
        <v/>
      </c>
      <c r="F852" s="20">
        <f>IF(AND(ISNUMBER(B852),ISNUMBER(B851)),IF(B852=B851,"",(B852-B851)*100),"")</f>
        <v/>
      </c>
      <c r="G852" s="20">
        <f>IF(AND(ISNUMBER(C852),ISNUMBER(C851)),IF(C852=C851,"",(C852-C851)*100),"")</f>
        <v/>
      </c>
      <c r="H852" s="20">
        <f>IF(OR(NOT(ISNUMBER($A852)),ROW()-2&lt;Settings!$B$11),NA(),IF(COUNT(OFFSET(F852,1-Settings!$B$11,0,Settings!$B$11,1))&lt;ROUNDUP(Settings!$B$11*Settings!$B$26,0),NA(),STDEV(OFFSET(F852,1-Settings!$B$11,0,Settings!$B$11,1))*SQRT(Settings!$B$13)))</f>
        <v/>
      </c>
      <c r="I852" s="20">
        <f>IF(OR(NOT(ISNUMBER($A852)),ROW()-2&lt;Settings!$B$12),NA(),IF(COUNT(OFFSET(F852,1-Settings!$B$12,0,Settings!$B$12,1))&lt;ROUNDUP(Settings!$B$12*Settings!$B$26,0),NA(),STDEV(OFFSET(F852,1-Settings!$B$12,0,Settings!$B$12,1))*SQRT(Settings!$B$13)))</f>
        <v/>
      </c>
      <c r="J852" s="20">
        <f>IF(OR(NOT(ISNUMBER($A852)),ROW()-2&lt;Settings!$B$11),NA(),IF(COUNT(OFFSET(G852,1-Settings!$B$11,0,Settings!$B$11,1))&lt;ROUNDUP(Settings!$B$11*Settings!$B$26,0),NA(),STDEV(OFFSET(G852,1-Settings!$B$11,0,Settings!$B$11,1))*SQRT(Settings!$B$13)))</f>
        <v/>
      </c>
      <c r="K852" s="20">
        <f>IF(OR(NOT(ISNUMBER($A852)),ROW()-2&lt;Settings!$B$12),NA(),IF(COUNT(OFFSET(G852,1-Settings!$B$12,0,Settings!$B$12,1))&lt;ROUNDUP(Settings!$B$12*Settings!$B$26,0),NA(),STDEV(OFFSET(G852,1-Settings!$B$12,0,Settings!$B$12,1))*SQRT(Settings!$B$13)))</f>
        <v/>
      </c>
      <c r="L852" s="20">
        <f>IF(AND(ISNUMBER(D852),ISNUMBER(H852)),D852-H852,NA())</f>
        <v/>
      </c>
      <c r="M852" s="20">
        <f>IF(AND(ISNUMBER(E852),ISNUMBER(K852)),E852-K852,NA())</f>
        <v/>
      </c>
      <c r="N852" s="20">
        <f>IF(NOT(ISNUMBER($A852)),NA(),IF(COUNT(OFFSET(G852,1,0,Settings!$B$12,1))&lt;ROUNDUP(Settings!$B$12*Settings!$B$26,0),NA(),STDEV(OFFSET(G852,1,0,Settings!$B$12,1))*SQRT(Settings!$B$13)))</f>
        <v/>
      </c>
      <c r="O852" s="20">
        <f>IF(AND(ISNUMBER(E852),ISNUMBER(N852)),E852-N852,NA())</f>
        <v/>
      </c>
      <c r="P852" s="19">
        <f>IF(NOT(ISNUMBER($A852)),NA(),IF(OR($A852&lt;MIN(KW_TP!$A$2:$A$2501),$A852&gt;MAX(KW_TP!$A$2:$A$2501)),NA(),INDEX(KW_TP!$C$2:$C$2501,MATCH($A852,KW_TP!$A$2:$A$2501,1))))</f>
        <v/>
      </c>
      <c r="Q852" s="18">
        <f>IF(NOT(ISNUMBER($A852)),NA(),IFERROR(1*INDEX(BBG_Data!$J$2:$J$4000,MATCH($A852,BBG_Data!$I$2:$I$4000,0)),NA()))</f>
        <v/>
      </c>
      <c r="R852" s="18">
        <f>IF(NOT(ISNUMBER($A852)),NA(),IFERROR(1*INDEX(BBG_Data!$L$2:$L$4000,MATCH($A852,BBG_Data!$K$2:$K$4000,0)),NA()))</f>
        <v/>
      </c>
      <c r="S852" s="20">
        <f>IF(AND(ISNUMBER(B852),ISNUMBER(Q852),ISNUMBER(R852)),(B852-Q852-R852)*100,NA())</f>
        <v/>
      </c>
      <c r="T852" s="20">
        <f>IF(AND(ISNUMBER(B852),Settings!$B$17&gt;0),IF(ISNUMBER(INDEX($B:$B,Settings!$B$17)),(B852-INDEX($B:$B,Settings!$B$17))*100,NA()),NA())</f>
        <v/>
      </c>
      <c r="U852" s="20">
        <f>IF(AND(ISNUMBER(Q852),Settings!$B$17&gt;0),IF(ISNUMBER(INDEX($Q:$Q,Settings!$B$17)),(Q852-INDEX($Q:$Q,Settings!$B$17))*100,NA()),NA())</f>
        <v/>
      </c>
      <c r="V852" s="20">
        <f>IF(AND(ISNUMBER(R852),Settings!$B$17&gt;0),IF(ISNUMBER(INDEX($R:$R,Settings!$B$17)),(R852-INDEX($R:$R,Settings!$B$17))*100,NA()),NA())</f>
        <v/>
      </c>
      <c r="W852" s="20">
        <f>IF(AND(ISNUMBER(P852),Settings!$B$17&gt;0),IF(ISNUMBER(INDEX($P:$P,Settings!$B$17)),P852-INDEX($P:$P,Settings!$B$17),NA()),NA())</f>
        <v/>
      </c>
      <c r="X852" s="19">
        <f>IF(NOT(ISNUMBER($A852)),NA(),IF(OR($A852&lt;MIN(DKW_10Y!$A$2:$A$2918),$A852&gt;MAX(DKW_10Y!$A$2:$A$2918),Settings!$B$16&lt;MIN(DKW_10Y!$A$2:$A$2918)),NA(),(INDEX(DKW_10Y!$B$2:$B$2918,MATCH($A852,DKW_10Y!$A$2:$A$2918,1))-INDEX(DKW_10Y!$B$2:$B$2918,MATCH(Settings!$B$16,DKW_10Y!$A$2:$A$2918,1)))*100))</f>
        <v/>
      </c>
      <c r="Y852" s="19">
        <f>IF(NOT(ISNUMBER($A852)),NA(),IF(OR($A852&lt;MIN(DKW_10Y!$A$2:$A$2918),$A852&gt;MAX(DKW_10Y!$A$2:$A$2918),Settings!$B$16&lt;MIN(DKW_10Y!$A$2:$A$2918)),NA(),(INDEX(DKW_10Y!$C$2:$C$2918,MATCH($A852,DKW_10Y!$A$2:$A$2918,1))-INDEX(DKW_10Y!$C$2:$C$2918,MATCH(Settings!$B$16,DKW_10Y!$A$2:$A$2918,1)))*100))</f>
        <v/>
      </c>
      <c r="Z852" s="19">
        <f>IF(NOT(ISNUMBER($A852)),NA(),IF(OR($A852&lt;MIN(DKW_10Y!$A$2:$A$2918),$A852&gt;MAX(DKW_10Y!$A$2:$A$2918),Settings!$B$16&lt;MIN(DKW_10Y!$A$2:$A$2918)),NA(),(INDEX(DKW_10Y!$D$2:$D$2918,MATCH($A852,DKW_10Y!$A$2:$A$2918,1))-INDEX(DKW_10Y!$D$2:$D$2918,MATCH(Settings!$B$16,DKW_10Y!$A$2:$A$2918,1)))*100))</f>
        <v/>
      </c>
      <c r="AA852" s="19">
        <f>IF(NOT(ISNUMBER($A852)),NA(),IF(OR($A852&lt;MIN(DKW_10Y!$A$2:$A$2918),$A852&gt;MAX(DKW_10Y!$A$2:$A$2918),Settings!$B$16&lt;MIN(DKW_10Y!$A$2:$A$2918)),NA(),(INDEX(DKW_10Y!$E$2:$E$2918,MATCH($A852,DKW_10Y!$A$2:$A$2918,1))-INDEX(DKW_10Y!$E$2:$E$2918,MATCH(Settings!$B$16,DKW_10Y!$A$2:$A$2918,1)))*100))</f>
        <v/>
      </c>
      <c r="AB852" s="19">
        <f>IF(NOT(ISNUMBER($A852)),NA(),IF(OR($A852&lt;MIN(DKW_10Y!$A$2:$A$2918),$A852&gt;MAX(DKW_10Y!$A$2:$A$2918),Settings!$B$16&lt;MIN(DKW_10Y!$A$2:$A$2918)),NA(),(INDEX(DKW_10Y!$H$2:$H$2918,MATCH($A852,DKW_10Y!$A$2:$A$2918,1))-INDEX(DKW_10Y!$H$2:$H$2918,MATCH(Settings!$B$16,DKW_10Y!$A$2:$A$2918,1)))*100))</f>
        <v/>
      </c>
      <c r="AC852" s="18">
        <f>IF(NOT(ISNUMBER($A852)),NA(),IFERROR(1*INDEX(BBG_Data!$N$2:$N$4000,MATCH($A852,BBG_Data!$M$2:$M$4000,0)),NA()))</f>
        <v/>
      </c>
      <c r="AD852" s="18">
        <f>IF(NOT(ISNUMBER($A852)),NA(),IFERROR(1*INDEX(BBG_Data!$P$2:$P$4000,MATCH($A852,BBG_Data!$O$2:$O$4000,0)),NA()))</f>
        <v/>
      </c>
      <c r="AE852" s="18">
        <f>IF(NOT(ISNUMBER($A852)),NA(),IFERROR(1*INDEX(BBG_Data!$R$2:$R$4000,MATCH($A852,BBG_Data!$Q$2:$Q$4000,0)),NA()))</f>
        <v/>
      </c>
      <c r="AF852" s="20">
        <f>IF(AND(ISNUMBER(B852),ISNUMBER(AC852)),(B852-AC852)*100,NA())</f>
        <v/>
      </c>
      <c r="AG852" s="20">
        <f>IF(AND(ISNUMBER(AE852),ISNUMBER(AD852)),(AE852-AD852)*100,NA())</f>
        <v/>
      </c>
      <c r="AH852" s="19">
        <f>IF(NOT(ISNUMBER($A852)),NA(),IFERROR(INDEX(BBG_Data!$T$2:$T$4000,MATCH($A852,BBG_Data!$S$2:$S$4000,0))*Settings!$B$25,NA()))</f>
        <v/>
      </c>
      <c r="AI852" s="19">
        <f>IF(NOT(ISNUMBER($A852)),NA(),IFERROR(INDEX(BBG_Data!$V$2:$V$4000,MATCH($A852,BBG_Data!$U$2:$U$4000,0))*Settings!$B$25,NA()))</f>
        <v/>
      </c>
      <c r="AJ852" s="19">
        <f>IF(NOT(ISNUMBER($A852)),NA(),IFERROR(1*INDEX(BBG_Data!$X$2:$X$4000,MATCH($A852,BBG_Data!$W$2:$W$4000,0)),NA()))</f>
        <v/>
      </c>
      <c r="AK852" s="19">
        <f>IF(NOT(ISNUMBER($A852)),NA(),IFERROR(1*INDEX(BBG_Data!$Z$2:$Z$4000,MATCH($A852,BBG_Data!$Y$2:$Y$4000,0)),NA()))</f>
        <v/>
      </c>
    </row>
    <row r="853">
      <c r="A853" s="17">
        <f>IF(ISNUMBER(BBG_Data!A853),BBG_Data!A853,"")</f>
        <v/>
      </c>
      <c r="B853" s="18">
        <f>IF(AND(ISNUMBER($A853),ISNUMBER(BBG_Data!B853)),BBG_Data!B853,NA())</f>
        <v/>
      </c>
      <c r="C853" s="18">
        <f>IF(NOT(ISNUMBER($A853)),NA(),IFERROR(1*INDEX(BBG_Data!$D$2:$D$4000,MATCH($A853,BBG_Data!$C$2:$C$4000,0)),NA()))</f>
        <v/>
      </c>
      <c r="D853" s="19">
        <f>IF(NOT(ISNUMBER($A853)),NA(),IFERROR(1*INDEX(BBG_Data!$F$2:$F$4000,MATCH($A853,BBG_Data!$E$2:$E$4000,0)),NA()))</f>
        <v/>
      </c>
      <c r="E853" s="19">
        <f>IF(NOT(ISNUMBER($A853)),NA(),IFERROR(1*INDEX(BBG_Data!$H$2:$H$4000,MATCH($A853,BBG_Data!$G$2:$G$4000,0)),NA()))</f>
        <v/>
      </c>
      <c r="F853" s="20">
        <f>IF(AND(ISNUMBER(B853),ISNUMBER(B852)),IF(B853=B852,"",(B853-B852)*100),"")</f>
        <v/>
      </c>
      <c r="G853" s="20">
        <f>IF(AND(ISNUMBER(C853),ISNUMBER(C852)),IF(C853=C852,"",(C853-C852)*100),"")</f>
        <v/>
      </c>
      <c r="H853" s="20">
        <f>IF(OR(NOT(ISNUMBER($A853)),ROW()-2&lt;Settings!$B$11),NA(),IF(COUNT(OFFSET(F853,1-Settings!$B$11,0,Settings!$B$11,1))&lt;ROUNDUP(Settings!$B$11*Settings!$B$26,0),NA(),STDEV(OFFSET(F853,1-Settings!$B$11,0,Settings!$B$11,1))*SQRT(Settings!$B$13)))</f>
        <v/>
      </c>
      <c r="I853" s="20">
        <f>IF(OR(NOT(ISNUMBER($A853)),ROW()-2&lt;Settings!$B$12),NA(),IF(COUNT(OFFSET(F853,1-Settings!$B$12,0,Settings!$B$12,1))&lt;ROUNDUP(Settings!$B$12*Settings!$B$26,0),NA(),STDEV(OFFSET(F853,1-Settings!$B$12,0,Settings!$B$12,1))*SQRT(Settings!$B$13)))</f>
        <v/>
      </c>
      <c r="J853" s="20">
        <f>IF(OR(NOT(ISNUMBER($A853)),ROW()-2&lt;Settings!$B$11),NA(),IF(COUNT(OFFSET(G853,1-Settings!$B$11,0,Settings!$B$11,1))&lt;ROUNDUP(Settings!$B$11*Settings!$B$26,0),NA(),STDEV(OFFSET(G853,1-Settings!$B$11,0,Settings!$B$11,1))*SQRT(Settings!$B$13)))</f>
        <v/>
      </c>
      <c r="K853" s="20">
        <f>IF(OR(NOT(ISNUMBER($A853)),ROW()-2&lt;Settings!$B$12),NA(),IF(COUNT(OFFSET(G853,1-Settings!$B$12,0,Settings!$B$12,1))&lt;ROUNDUP(Settings!$B$12*Settings!$B$26,0),NA(),STDEV(OFFSET(G853,1-Settings!$B$12,0,Settings!$B$12,1))*SQRT(Settings!$B$13)))</f>
        <v/>
      </c>
      <c r="L853" s="20">
        <f>IF(AND(ISNUMBER(D853),ISNUMBER(H853)),D853-H853,NA())</f>
        <v/>
      </c>
      <c r="M853" s="20">
        <f>IF(AND(ISNUMBER(E853),ISNUMBER(K853)),E853-K853,NA())</f>
        <v/>
      </c>
      <c r="N853" s="20">
        <f>IF(NOT(ISNUMBER($A853)),NA(),IF(COUNT(OFFSET(G853,1,0,Settings!$B$12,1))&lt;ROUNDUP(Settings!$B$12*Settings!$B$26,0),NA(),STDEV(OFFSET(G853,1,0,Settings!$B$12,1))*SQRT(Settings!$B$13)))</f>
        <v/>
      </c>
      <c r="O853" s="20">
        <f>IF(AND(ISNUMBER(E853),ISNUMBER(N853)),E853-N853,NA())</f>
        <v/>
      </c>
      <c r="P853" s="19">
        <f>IF(NOT(ISNUMBER($A853)),NA(),IF(OR($A853&lt;MIN(KW_TP!$A$2:$A$2501),$A853&gt;MAX(KW_TP!$A$2:$A$2501)),NA(),INDEX(KW_TP!$C$2:$C$2501,MATCH($A853,KW_TP!$A$2:$A$2501,1))))</f>
        <v/>
      </c>
      <c r="Q853" s="18">
        <f>IF(NOT(ISNUMBER($A853)),NA(),IFERROR(1*INDEX(BBG_Data!$J$2:$J$4000,MATCH($A853,BBG_Data!$I$2:$I$4000,0)),NA()))</f>
        <v/>
      </c>
      <c r="R853" s="18">
        <f>IF(NOT(ISNUMBER($A853)),NA(),IFERROR(1*INDEX(BBG_Data!$L$2:$L$4000,MATCH($A853,BBG_Data!$K$2:$K$4000,0)),NA()))</f>
        <v/>
      </c>
      <c r="S853" s="20">
        <f>IF(AND(ISNUMBER(B853),ISNUMBER(Q853),ISNUMBER(R853)),(B853-Q853-R853)*100,NA())</f>
        <v/>
      </c>
      <c r="T853" s="20">
        <f>IF(AND(ISNUMBER(B853),Settings!$B$17&gt;0),IF(ISNUMBER(INDEX($B:$B,Settings!$B$17)),(B853-INDEX($B:$B,Settings!$B$17))*100,NA()),NA())</f>
        <v/>
      </c>
      <c r="U853" s="20">
        <f>IF(AND(ISNUMBER(Q853),Settings!$B$17&gt;0),IF(ISNUMBER(INDEX($Q:$Q,Settings!$B$17)),(Q853-INDEX($Q:$Q,Settings!$B$17))*100,NA()),NA())</f>
        <v/>
      </c>
      <c r="V853" s="20">
        <f>IF(AND(ISNUMBER(R853),Settings!$B$17&gt;0),IF(ISNUMBER(INDEX($R:$R,Settings!$B$17)),(R853-INDEX($R:$R,Settings!$B$17))*100,NA()),NA())</f>
        <v/>
      </c>
      <c r="W853" s="20">
        <f>IF(AND(ISNUMBER(P853),Settings!$B$17&gt;0),IF(ISNUMBER(INDEX($P:$P,Settings!$B$17)),P853-INDEX($P:$P,Settings!$B$17),NA()),NA())</f>
        <v/>
      </c>
      <c r="X853" s="19">
        <f>IF(NOT(ISNUMBER($A853)),NA(),IF(OR($A853&lt;MIN(DKW_10Y!$A$2:$A$2918),$A853&gt;MAX(DKW_10Y!$A$2:$A$2918),Settings!$B$16&lt;MIN(DKW_10Y!$A$2:$A$2918)),NA(),(INDEX(DKW_10Y!$B$2:$B$2918,MATCH($A853,DKW_10Y!$A$2:$A$2918,1))-INDEX(DKW_10Y!$B$2:$B$2918,MATCH(Settings!$B$16,DKW_10Y!$A$2:$A$2918,1)))*100))</f>
        <v/>
      </c>
      <c r="Y853" s="19">
        <f>IF(NOT(ISNUMBER($A853)),NA(),IF(OR($A853&lt;MIN(DKW_10Y!$A$2:$A$2918),$A853&gt;MAX(DKW_10Y!$A$2:$A$2918),Settings!$B$16&lt;MIN(DKW_10Y!$A$2:$A$2918)),NA(),(INDEX(DKW_10Y!$C$2:$C$2918,MATCH($A853,DKW_10Y!$A$2:$A$2918,1))-INDEX(DKW_10Y!$C$2:$C$2918,MATCH(Settings!$B$16,DKW_10Y!$A$2:$A$2918,1)))*100))</f>
        <v/>
      </c>
      <c r="Z853" s="19">
        <f>IF(NOT(ISNUMBER($A853)),NA(),IF(OR($A853&lt;MIN(DKW_10Y!$A$2:$A$2918),$A853&gt;MAX(DKW_10Y!$A$2:$A$2918),Settings!$B$16&lt;MIN(DKW_10Y!$A$2:$A$2918)),NA(),(INDEX(DKW_10Y!$D$2:$D$2918,MATCH($A853,DKW_10Y!$A$2:$A$2918,1))-INDEX(DKW_10Y!$D$2:$D$2918,MATCH(Settings!$B$16,DKW_10Y!$A$2:$A$2918,1)))*100))</f>
        <v/>
      </c>
      <c r="AA853" s="19">
        <f>IF(NOT(ISNUMBER($A853)),NA(),IF(OR($A853&lt;MIN(DKW_10Y!$A$2:$A$2918),$A853&gt;MAX(DKW_10Y!$A$2:$A$2918),Settings!$B$16&lt;MIN(DKW_10Y!$A$2:$A$2918)),NA(),(INDEX(DKW_10Y!$E$2:$E$2918,MATCH($A853,DKW_10Y!$A$2:$A$2918,1))-INDEX(DKW_10Y!$E$2:$E$2918,MATCH(Settings!$B$16,DKW_10Y!$A$2:$A$2918,1)))*100))</f>
        <v/>
      </c>
      <c r="AB853" s="19">
        <f>IF(NOT(ISNUMBER($A853)),NA(),IF(OR($A853&lt;MIN(DKW_10Y!$A$2:$A$2918),$A853&gt;MAX(DKW_10Y!$A$2:$A$2918),Settings!$B$16&lt;MIN(DKW_10Y!$A$2:$A$2918)),NA(),(INDEX(DKW_10Y!$H$2:$H$2918,MATCH($A853,DKW_10Y!$A$2:$A$2918,1))-INDEX(DKW_10Y!$H$2:$H$2918,MATCH(Settings!$B$16,DKW_10Y!$A$2:$A$2918,1)))*100))</f>
        <v/>
      </c>
      <c r="AC853" s="18">
        <f>IF(NOT(ISNUMBER($A853)),NA(),IFERROR(1*INDEX(BBG_Data!$N$2:$N$4000,MATCH($A853,BBG_Data!$M$2:$M$4000,0)),NA()))</f>
        <v/>
      </c>
      <c r="AD853" s="18">
        <f>IF(NOT(ISNUMBER($A853)),NA(),IFERROR(1*INDEX(BBG_Data!$P$2:$P$4000,MATCH($A853,BBG_Data!$O$2:$O$4000,0)),NA()))</f>
        <v/>
      </c>
      <c r="AE853" s="18">
        <f>IF(NOT(ISNUMBER($A853)),NA(),IFERROR(1*INDEX(BBG_Data!$R$2:$R$4000,MATCH($A853,BBG_Data!$Q$2:$Q$4000,0)),NA()))</f>
        <v/>
      </c>
      <c r="AF853" s="20">
        <f>IF(AND(ISNUMBER(B853),ISNUMBER(AC853)),(B853-AC853)*100,NA())</f>
        <v/>
      </c>
      <c r="AG853" s="20">
        <f>IF(AND(ISNUMBER(AE853),ISNUMBER(AD853)),(AE853-AD853)*100,NA())</f>
        <v/>
      </c>
      <c r="AH853" s="19">
        <f>IF(NOT(ISNUMBER($A853)),NA(),IFERROR(INDEX(BBG_Data!$T$2:$T$4000,MATCH($A853,BBG_Data!$S$2:$S$4000,0))*Settings!$B$25,NA()))</f>
        <v/>
      </c>
      <c r="AI853" s="19">
        <f>IF(NOT(ISNUMBER($A853)),NA(),IFERROR(INDEX(BBG_Data!$V$2:$V$4000,MATCH($A853,BBG_Data!$U$2:$U$4000,0))*Settings!$B$25,NA()))</f>
        <v/>
      </c>
      <c r="AJ853" s="19">
        <f>IF(NOT(ISNUMBER($A853)),NA(),IFERROR(1*INDEX(BBG_Data!$X$2:$X$4000,MATCH($A853,BBG_Data!$W$2:$W$4000,0)),NA()))</f>
        <v/>
      </c>
      <c r="AK853" s="19">
        <f>IF(NOT(ISNUMBER($A853)),NA(),IFERROR(1*INDEX(BBG_Data!$Z$2:$Z$4000,MATCH($A853,BBG_Data!$Y$2:$Y$4000,0)),NA()))</f>
        <v/>
      </c>
    </row>
    <row r="854">
      <c r="A854" s="17">
        <f>IF(ISNUMBER(BBG_Data!A854),BBG_Data!A854,"")</f>
        <v/>
      </c>
      <c r="B854" s="18">
        <f>IF(AND(ISNUMBER($A854),ISNUMBER(BBG_Data!B854)),BBG_Data!B854,NA())</f>
        <v/>
      </c>
      <c r="C854" s="18">
        <f>IF(NOT(ISNUMBER($A854)),NA(),IFERROR(1*INDEX(BBG_Data!$D$2:$D$4000,MATCH($A854,BBG_Data!$C$2:$C$4000,0)),NA()))</f>
        <v/>
      </c>
      <c r="D854" s="19">
        <f>IF(NOT(ISNUMBER($A854)),NA(),IFERROR(1*INDEX(BBG_Data!$F$2:$F$4000,MATCH($A854,BBG_Data!$E$2:$E$4000,0)),NA()))</f>
        <v/>
      </c>
      <c r="E854" s="19">
        <f>IF(NOT(ISNUMBER($A854)),NA(),IFERROR(1*INDEX(BBG_Data!$H$2:$H$4000,MATCH($A854,BBG_Data!$G$2:$G$4000,0)),NA()))</f>
        <v/>
      </c>
      <c r="F854" s="20">
        <f>IF(AND(ISNUMBER(B854),ISNUMBER(B853)),IF(B854=B853,"",(B854-B853)*100),"")</f>
        <v/>
      </c>
      <c r="G854" s="20">
        <f>IF(AND(ISNUMBER(C854),ISNUMBER(C853)),IF(C854=C853,"",(C854-C853)*100),"")</f>
        <v/>
      </c>
      <c r="H854" s="20">
        <f>IF(OR(NOT(ISNUMBER($A854)),ROW()-2&lt;Settings!$B$11),NA(),IF(COUNT(OFFSET(F854,1-Settings!$B$11,0,Settings!$B$11,1))&lt;ROUNDUP(Settings!$B$11*Settings!$B$26,0),NA(),STDEV(OFFSET(F854,1-Settings!$B$11,0,Settings!$B$11,1))*SQRT(Settings!$B$13)))</f>
        <v/>
      </c>
      <c r="I854" s="20">
        <f>IF(OR(NOT(ISNUMBER($A854)),ROW()-2&lt;Settings!$B$12),NA(),IF(COUNT(OFFSET(F854,1-Settings!$B$12,0,Settings!$B$12,1))&lt;ROUNDUP(Settings!$B$12*Settings!$B$26,0),NA(),STDEV(OFFSET(F854,1-Settings!$B$12,0,Settings!$B$12,1))*SQRT(Settings!$B$13)))</f>
        <v/>
      </c>
      <c r="J854" s="20">
        <f>IF(OR(NOT(ISNUMBER($A854)),ROW()-2&lt;Settings!$B$11),NA(),IF(COUNT(OFFSET(G854,1-Settings!$B$11,0,Settings!$B$11,1))&lt;ROUNDUP(Settings!$B$11*Settings!$B$26,0),NA(),STDEV(OFFSET(G854,1-Settings!$B$11,0,Settings!$B$11,1))*SQRT(Settings!$B$13)))</f>
        <v/>
      </c>
      <c r="K854" s="20">
        <f>IF(OR(NOT(ISNUMBER($A854)),ROW()-2&lt;Settings!$B$12),NA(),IF(COUNT(OFFSET(G854,1-Settings!$B$12,0,Settings!$B$12,1))&lt;ROUNDUP(Settings!$B$12*Settings!$B$26,0),NA(),STDEV(OFFSET(G854,1-Settings!$B$12,0,Settings!$B$12,1))*SQRT(Settings!$B$13)))</f>
        <v/>
      </c>
      <c r="L854" s="20">
        <f>IF(AND(ISNUMBER(D854),ISNUMBER(H854)),D854-H854,NA())</f>
        <v/>
      </c>
      <c r="M854" s="20">
        <f>IF(AND(ISNUMBER(E854),ISNUMBER(K854)),E854-K854,NA())</f>
        <v/>
      </c>
      <c r="N854" s="20">
        <f>IF(NOT(ISNUMBER($A854)),NA(),IF(COUNT(OFFSET(G854,1,0,Settings!$B$12,1))&lt;ROUNDUP(Settings!$B$12*Settings!$B$26,0),NA(),STDEV(OFFSET(G854,1,0,Settings!$B$12,1))*SQRT(Settings!$B$13)))</f>
        <v/>
      </c>
      <c r="O854" s="20">
        <f>IF(AND(ISNUMBER(E854),ISNUMBER(N854)),E854-N854,NA())</f>
        <v/>
      </c>
      <c r="P854" s="19">
        <f>IF(NOT(ISNUMBER($A854)),NA(),IF(OR($A854&lt;MIN(KW_TP!$A$2:$A$2501),$A854&gt;MAX(KW_TP!$A$2:$A$2501)),NA(),INDEX(KW_TP!$C$2:$C$2501,MATCH($A854,KW_TP!$A$2:$A$2501,1))))</f>
        <v/>
      </c>
      <c r="Q854" s="18">
        <f>IF(NOT(ISNUMBER($A854)),NA(),IFERROR(1*INDEX(BBG_Data!$J$2:$J$4000,MATCH($A854,BBG_Data!$I$2:$I$4000,0)),NA()))</f>
        <v/>
      </c>
      <c r="R854" s="18">
        <f>IF(NOT(ISNUMBER($A854)),NA(),IFERROR(1*INDEX(BBG_Data!$L$2:$L$4000,MATCH($A854,BBG_Data!$K$2:$K$4000,0)),NA()))</f>
        <v/>
      </c>
      <c r="S854" s="20">
        <f>IF(AND(ISNUMBER(B854),ISNUMBER(Q854),ISNUMBER(R854)),(B854-Q854-R854)*100,NA())</f>
        <v/>
      </c>
      <c r="T854" s="20">
        <f>IF(AND(ISNUMBER(B854),Settings!$B$17&gt;0),IF(ISNUMBER(INDEX($B:$B,Settings!$B$17)),(B854-INDEX($B:$B,Settings!$B$17))*100,NA()),NA())</f>
        <v/>
      </c>
      <c r="U854" s="20">
        <f>IF(AND(ISNUMBER(Q854),Settings!$B$17&gt;0),IF(ISNUMBER(INDEX($Q:$Q,Settings!$B$17)),(Q854-INDEX($Q:$Q,Settings!$B$17))*100,NA()),NA())</f>
        <v/>
      </c>
      <c r="V854" s="20">
        <f>IF(AND(ISNUMBER(R854),Settings!$B$17&gt;0),IF(ISNUMBER(INDEX($R:$R,Settings!$B$17)),(R854-INDEX($R:$R,Settings!$B$17))*100,NA()),NA())</f>
        <v/>
      </c>
      <c r="W854" s="20">
        <f>IF(AND(ISNUMBER(P854),Settings!$B$17&gt;0),IF(ISNUMBER(INDEX($P:$P,Settings!$B$17)),P854-INDEX($P:$P,Settings!$B$17),NA()),NA())</f>
        <v/>
      </c>
      <c r="X854" s="19">
        <f>IF(NOT(ISNUMBER($A854)),NA(),IF(OR($A854&lt;MIN(DKW_10Y!$A$2:$A$2918),$A854&gt;MAX(DKW_10Y!$A$2:$A$2918),Settings!$B$16&lt;MIN(DKW_10Y!$A$2:$A$2918)),NA(),(INDEX(DKW_10Y!$B$2:$B$2918,MATCH($A854,DKW_10Y!$A$2:$A$2918,1))-INDEX(DKW_10Y!$B$2:$B$2918,MATCH(Settings!$B$16,DKW_10Y!$A$2:$A$2918,1)))*100))</f>
        <v/>
      </c>
      <c r="Y854" s="19">
        <f>IF(NOT(ISNUMBER($A854)),NA(),IF(OR($A854&lt;MIN(DKW_10Y!$A$2:$A$2918),$A854&gt;MAX(DKW_10Y!$A$2:$A$2918),Settings!$B$16&lt;MIN(DKW_10Y!$A$2:$A$2918)),NA(),(INDEX(DKW_10Y!$C$2:$C$2918,MATCH($A854,DKW_10Y!$A$2:$A$2918,1))-INDEX(DKW_10Y!$C$2:$C$2918,MATCH(Settings!$B$16,DKW_10Y!$A$2:$A$2918,1)))*100))</f>
        <v/>
      </c>
      <c r="Z854" s="19">
        <f>IF(NOT(ISNUMBER($A854)),NA(),IF(OR($A854&lt;MIN(DKW_10Y!$A$2:$A$2918),$A854&gt;MAX(DKW_10Y!$A$2:$A$2918),Settings!$B$16&lt;MIN(DKW_10Y!$A$2:$A$2918)),NA(),(INDEX(DKW_10Y!$D$2:$D$2918,MATCH($A854,DKW_10Y!$A$2:$A$2918,1))-INDEX(DKW_10Y!$D$2:$D$2918,MATCH(Settings!$B$16,DKW_10Y!$A$2:$A$2918,1)))*100))</f>
        <v/>
      </c>
      <c r="AA854" s="19">
        <f>IF(NOT(ISNUMBER($A854)),NA(),IF(OR($A854&lt;MIN(DKW_10Y!$A$2:$A$2918),$A854&gt;MAX(DKW_10Y!$A$2:$A$2918),Settings!$B$16&lt;MIN(DKW_10Y!$A$2:$A$2918)),NA(),(INDEX(DKW_10Y!$E$2:$E$2918,MATCH($A854,DKW_10Y!$A$2:$A$2918,1))-INDEX(DKW_10Y!$E$2:$E$2918,MATCH(Settings!$B$16,DKW_10Y!$A$2:$A$2918,1)))*100))</f>
        <v/>
      </c>
      <c r="AB854" s="19">
        <f>IF(NOT(ISNUMBER($A854)),NA(),IF(OR($A854&lt;MIN(DKW_10Y!$A$2:$A$2918),$A854&gt;MAX(DKW_10Y!$A$2:$A$2918),Settings!$B$16&lt;MIN(DKW_10Y!$A$2:$A$2918)),NA(),(INDEX(DKW_10Y!$H$2:$H$2918,MATCH($A854,DKW_10Y!$A$2:$A$2918,1))-INDEX(DKW_10Y!$H$2:$H$2918,MATCH(Settings!$B$16,DKW_10Y!$A$2:$A$2918,1)))*100))</f>
        <v/>
      </c>
      <c r="AC854" s="18">
        <f>IF(NOT(ISNUMBER($A854)),NA(),IFERROR(1*INDEX(BBG_Data!$N$2:$N$4000,MATCH($A854,BBG_Data!$M$2:$M$4000,0)),NA()))</f>
        <v/>
      </c>
      <c r="AD854" s="18">
        <f>IF(NOT(ISNUMBER($A854)),NA(),IFERROR(1*INDEX(BBG_Data!$P$2:$P$4000,MATCH($A854,BBG_Data!$O$2:$O$4000,0)),NA()))</f>
        <v/>
      </c>
      <c r="AE854" s="18">
        <f>IF(NOT(ISNUMBER($A854)),NA(),IFERROR(1*INDEX(BBG_Data!$R$2:$R$4000,MATCH($A854,BBG_Data!$Q$2:$Q$4000,0)),NA()))</f>
        <v/>
      </c>
      <c r="AF854" s="20">
        <f>IF(AND(ISNUMBER(B854),ISNUMBER(AC854)),(B854-AC854)*100,NA())</f>
        <v/>
      </c>
      <c r="AG854" s="20">
        <f>IF(AND(ISNUMBER(AE854),ISNUMBER(AD854)),(AE854-AD854)*100,NA())</f>
        <v/>
      </c>
      <c r="AH854" s="19">
        <f>IF(NOT(ISNUMBER($A854)),NA(),IFERROR(INDEX(BBG_Data!$T$2:$T$4000,MATCH($A854,BBG_Data!$S$2:$S$4000,0))*Settings!$B$25,NA()))</f>
        <v/>
      </c>
      <c r="AI854" s="19">
        <f>IF(NOT(ISNUMBER($A854)),NA(),IFERROR(INDEX(BBG_Data!$V$2:$V$4000,MATCH($A854,BBG_Data!$U$2:$U$4000,0))*Settings!$B$25,NA()))</f>
        <v/>
      </c>
      <c r="AJ854" s="19">
        <f>IF(NOT(ISNUMBER($A854)),NA(),IFERROR(1*INDEX(BBG_Data!$X$2:$X$4000,MATCH($A854,BBG_Data!$W$2:$W$4000,0)),NA()))</f>
        <v/>
      </c>
      <c r="AK854" s="19">
        <f>IF(NOT(ISNUMBER($A854)),NA(),IFERROR(1*INDEX(BBG_Data!$Z$2:$Z$4000,MATCH($A854,BBG_Data!$Y$2:$Y$4000,0)),NA()))</f>
        <v/>
      </c>
    </row>
    <row r="855">
      <c r="A855" s="17">
        <f>IF(ISNUMBER(BBG_Data!A855),BBG_Data!A855,"")</f>
        <v/>
      </c>
      <c r="B855" s="18">
        <f>IF(AND(ISNUMBER($A855),ISNUMBER(BBG_Data!B855)),BBG_Data!B855,NA())</f>
        <v/>
      </c>
      <c r="C855" s="18">
        <f>IF(NOT(ISNUMBER($A855)),NA(),IFERROR(1*INDEX(BBG_Data!$D$2:$D$4000,MATCH($A855,BBG_Data!$C$2:$C$4000,0)),NA()))</f>
        <v/>
      </c>
      <c r="D855" s="19">
        <f>IF(NOT(ISNUMBER($A855)),NA(),IFERROR(1*INDEX(BBG_Data!$F$2:$F$4000,MATCH($A855,BBG_Data!$E$2:$E$4000,0)),NA()))</f>
        <v/>
      </c>
      <c r="E855" s="19">
        <f>IF(NOT(ISNUMBER($A855)),NA(),IFERROR(1*INDEX(BBG_Data!$H$2:$H$4000,MATCH($A855,BBG_Data!$G$2:$G$4000,0)),NA()))</f>
        <v/>
      </c>
      <c r="F855" s="20">
        <f>IF(AND(ISNUMBER(B855),ISNUMBER(B854)),IF(B855=B854,"",(B855-B854)*100),"")</f>
        <v/>
      </c>
      <c r="G855" s="20">
        <f>IF(AND(ISNUMBER(C855),ISNUMBER(C854)),IF(C855=C854,"",(C855-C854)*100),"")</f>
        <v/>
      </c>
      <c r="H855" s="20">
        <f>IF(OR(NOT(ISNUMBER($A855)),ROW()-2&lt;Settings!$B$11),NA(),IF(COUNT(OFFSET(F855,1-Settings!$B$11,0,Settings!$B$11,1))&lt;ROUNDUP(Settings!$B$11*Settings!$B$26,0),NA(),STDEV(OFFSET(F855,1-Settings!$B$11,0,Settings!$B$11,1))*SQRT(Settings!$B$13)))</f>
        <v/>
      </c>
      <c r="I855" s="20">
        <f>IF(OR(NOT(ISNUMBER($A855)),ROW()-2&lt;Settings!$B$12),NA(),IF(COUNT(OFFSET(F855,1-Settings!$B$12,0,Settings!$B$12,1))&lt;ROUNDUP(Settings!$B$12*Settings!$B$26,0),NA(),STDEV(OFFSET(F855,1-Settings!$B$12,0,Settings!$B$12,1))*SQRT(Settings!$B$13)))</f>
        <v/>
      </c>
      <c r="J855" s="20">
        <f>IF(OR(NOT(ISNUMBER($A855)),ROW()-2&lt;Settings!$B$11),NA(),IF(COUNT(OFFSET(G855,1-Settings!$B$11,0,Settings!$B$11,1))&lt;ROUNDUP(Settings!$B$11*Settings!$B$26,0),NA(),STDEV(OFFSET(G855,1-Settings!$B$11,0,Settings!$B$11,1))*SQRT(Settings!$B$13)))</f>
        <v/>
      </c>
      <c r="K855" s="20">
        <f>IF(OR(NOT(ISNUMBER($A855)),ROW()-2&lt;Settings!$B$12),NA(),IF(COUNT(OFFSET(G855,1-Settings!$B$12,0,Settings!$B$12,1))&lt;ROUNDUP(Settings!$B$12*Settings!$B$26,0),NA(),STDEV(OFFSET(G855,1-Settings!$B$12,0,Settings!$B$12,1))*SQRT(Settings!$B$13)))</f>
        <v/>
      </c>
      <c r="L855" s="20">
        <f>IF(AND(ISNUMBER(D855),ISNUMBER(H855)),D855-H855,NA())</f>
        <v/>
      </c>
      <c r="M855" s="20">
        <f>IF(AND(ISNUMBER(E855),ISNUMBER(K855)),E855-K855,NA())</f>
        <v/>
      </c>
      <c r="N855" s="20">
        <f>IF(NOT(ISNUMBER($A855)),NA(),IF(COUNT(OFFSET(G855,1,0,Settings!$B$12,1))&lt;ROUNDUP(Settings!$B$12*Settings!$B$26,0),NA(),STDEV(OFFSET(G855,1,0,Settings!$B$12,1))*SQRT(Settings!$B$13)))</f>
        <v/>
      </c>
      <c r="O855" s="20">
        <f>IF(AND(ISNUMBER(E855),ISNUMBER(N855)),E855-N855,NA())</f>
        <v/>
      </c>
      <c r="P855" s="19">
        <f>IF(NOT(ISNUMBER($A855)),NA(),IF(OR($A855&lt;MIN(KW_TP!$A$2:$A$2501),$A855&gt;MAX(KW_TP!$A$2:$A$2501)),NA(),INDEX(KW_TP!$C$2:$C$2501,MATCH($A855,KW_TP!$A$2:$A$2501,1))))</f>
        <v/>
      </c>
      <c r="Q855" s="18">
        <f>IF(NOT(ISNUMBER($A855)),NA(),IFERROR(1*INDEX(BBG_Data!$J$2:$J$4000,MATCH($A855,BBG_Data!$I$2:$I$4000,0)),NA()))</f>
        <v/>
      </c>
      <c r="R855" s="18">
        <f>IF(NOT(ISNUMBER($A855)),NA(),IFERROR(1*INDEX(BBG_Data!$L$2:$L$4000,MATCH($A855,BBG_Data!$K$2:$K$4000,0)),NA()))</f>
        <v/>
      </c>
      <c r="S855" s="20">
        <f>IF(AND(ISNUMBER(B855),ISNUMBER(Q855),ISNUMBER(R855)),(B855-Q855-R855)*100,NA())</f>
        <v/>
      </c>
      <c r="T855" s="20">
        <f>IF(AND(ISNUMBER(B855),Settings!$B$17&gt;0),IF(ISNUMBER(INDEX($B:$B,Settings!$B$17)),(B855-INDEX($B:$B,Settings!$B$17))*100,NA()),NA())</f>
        <v/>
      </c>
      <c r="U855" s="20">
        <f>IF(AND(ISNUMBER(Q855),Settings!$B$17&gt;0),IF(ISNUMBER(INDEX($Q:$Q,Settings!$B$17)),(Q855-INDEX($Q:$Q,Settings!$B$17))*100,NA()),NA())</f>
        <v/>
      </c>
      <c r="V855" s="20">
        <f>IF(AND(ISNUMBER(R855),Settings!$B$17&gt;0),IF(ISNUMBER(INDEX($R:$R,Settings!$B$17)),(R855-INDEX($R:$R,Settings!$B$17))*100,NA()),NA())</f>
        <v/>
      </c>
      <c r="W855" s="20">
        <f>IF(AND(ISNUMBER(P855),Settings!$B$17&gt;0),IF(ISNUMBER(INDEX($P:$P,Settings!$B$17)),P855-INDEX($P:$P,Settings!$B$17),NA()),NA())</f>
        <v/>
      </c>
      <c r="X855" s="19">
        <f>IF(NOT(ISNUMBER($A855)),NA(),IF(OR($A855&lt;MIN(DKW_10Y!$A$2:$A$2918),$A855&gt;MAX(DKW_10Y!$A$2:$A$2918),Settings!$B$16&lt;MIN(DKW_10Y!$A$2:$A$2918)),NA(),(INDEX(DKW_10Y!$B$2:$B$2918,MATCH($A855,DKW_10Y!$A$2:$A$2918,1))-INDEX(DKW_10Y!$B$2:$B$2918,MATCH(Settings!$B$16,DKW_10Y!$A$2:$A$2918,1)))*100))</f>
        <v/>
      </c>
      <c r="Y855" s="19">
        <f>IF(NOT(ISNUMBER($A855)),NA(),IF(OR($A855&lt;MIN(DKW_10Y!$A$2:$A$2918),$A855&gt;MAX(DKW_10Y!$A$2:$A$2918),Settings!$B$16&lt;MIN(DKW_10Y!$A$2:$A$2918)),NA(),(INDEX(DKW_10Y!$C$2:$C$2918,MATCH($A855,DKW_10Y!$A$2:$A$2918,1))-INDEX(DKW_10Y!$C$2:$C$2918,MATCH(Settings!$B$16,DKW_10Y!$A$2:$A$2918,1)))*100))</f>
        <v/>
      </c>
      <c r="Z855" s="19">
        <f>IF(NOT(ISNUMBER($A855)),NA(),IF(OR($A855&lt;MIN(DKW_10Y!$A$2:$A$2918),$A855&gt;MAX(DKW_10Y!$A$2:$A$2918),Settings!$B$16&lt;MIN(DKW_10Y!$A$2:$A$2918)),NA(),(INDEX(DKW_10Y!$D$2:$D$2918,MATCH($A855,DKW_10Y!$A$2:$A$2918,1))-INDEX(DKW_10Y!$D$2:$D$2918,MATCH(Settings!$B$16,DKW_10Y!$A$2:$A$2918,1)))*100))</f>
        <v/>
      </c>
      <c r="AA855" s="19">
        <f>IF(NOT(ISNUMBER($A855)),NA(),IF(OR($A855&lt;MIN(DKW_10Y!$A$2:$A$2918),$A855&gt;MAX(DKW_10Y!$A$2:$A$2918),Settings!$B$16&lt;MIN(DKW_10Y!$A$2:$A$2918)),NA(),(INDEX(DKW_10Y!$E$2:$E$2918,MATCH($A855,DKW_10Y!$A$2:$A$2918,1))-INDEX(DKW_10Y!$E$2:$E$2918,MATCH(Settings!$B$16,DKW_10Y!$A$2:$A$2918,1)))*100))</f>
        <v/>
      </c>
      <c r="AB855" s="19">
        <f>IF(NOT(ISNUMBER($A855)),NA(),IF(OR($A855&lt;MIN(DKW_10Y!$A$2:$A$2918),$A855&gt;MAX(DKW_10Y!$A$2:$A$2918),Settings!$B$16&lt;MIN(DKW_10Y!$A$2:$A$2918)),NA(),(INDEX(DKW_10Y!$H$2:$H$2918,MATCH($A855,DKW_10Y!$A$2:$A$2918,1))-INDEX(DKW_10Y!$H$2:$H$2918,MATCH(Settings!$B$16,DKW_10Y!$A$2:$A$2918,1)))*100))</f>
        <v/>
      </c>
      <c r="AC855" s="18">
        <f>IF(NOT(ISNUMBER($A855)),NA(),IFERROR(1*INDEX(BBG_Data!$N$2:$N$4000,MATCH($A855,BBG_Data!$M$2:$M$4000,0)),NA()))</f>
        <v/>
      </c>
      <c r="AD855" s="18">
        <f>IF(NOT(ISNUMBER($A855)),NA(),IFERROR(1*INDEX(BBG_Data!$P$2:$P$4000,MATCH($A855,BBG_Data!$O$2:$O$4000,0)),NA()))</f>
        <v/>
      </c>
      <c r="AE855" s="18">
        <f>IF(NOT(ISNUMBER($A855)),NA(),IFERROR(1*INDEX(BBG_Data!$R$2:$R$4000,MATCH($A855,BBG_Data!$Q$2:$Q$4000,0)),NA()))</f>
        <v/>
      </c>
      <c r="AF855" s="20">
        <f>IF(AND(ISNUMBER(B855),ISNUMBER(AC855)),(B855-AC855)*100,NA())</f>
        <v/>
      </c>
      <c r="AG855" s="20">
        <f>IF(AND(ISNUMBER(AE855),ISNUMBER(AD855)),(AE855-AD855)*100,NA())</f>
        <v/>
      </c>
      <c r="AH855" s="19">
        <f>IF(NOT(ISNUMBER($A855)),NA(),IFERROR(INDEX(BBG_Data!$T$2:$T$4000,MATCH($A855,BBG_Data!$S$2:$S$4000,0))*Settings!$B$25,NA()))</f>
        <v/>
      </c>
      <c r="AI855" s="19">
        <f>IF(NOT(ISNUMBER($A855)),NA(),IFERROR(INDEX(BBG_Data!$V$2:$V$4000,MATCH($A855,BBG_Data!$U$2:$U$4000,0))*Settings!$B$25,NA()))</f>
        <v/>
      </c>
      <c r="AJ855" s="19">
        <f>IF(NOT(ISNUMBER($A855)),NA(),IFERROR(1*INDEX(BBG_Data!$X$2:$X$4000,MATCH($A855,BBG_Data!$W$2:$W$4000,0)),NA()))</f>
        <v/>
      </c>
      <c r="AK855" s="19">
        <f>IF(NOT(ISNUMBER($A855)),NA(),IFERROR(1*INDEX(BBG_Data!$Z$2:$Z$4000,MATCH($A855,BBG_Data!$Y$2:$Y$4000,0)),NA()))</f>
        <v/>
      </c>
    </row>
    <row r="856">
      <c r="A856" s="17">
        <f>IF(ISNUMBER(BBG_Data!A856),BBG_Data!A856,"")</f>
        <v/>
      </c>
      <c r="B856" s="18">
        <f>IF(AND(ISNUMBER($A856),ISNUMBER(BBG_Data!B856)),BBG_Data!B856,NA())</f>
        <v/>
      </c>
      <c r="C856" s="18">
        <f>IF(NOT(ISNUMBER($A856)),NA(),IFERROR(1*INDEX(BBG_Data!$D$2:$D$4000,MATCH($A856,BBG_Data!$C$2:$C$4000,0)),NA()))</f>
        <v/>
      </c>
      <c r="D856" s="19">
        <f>IF(NOT(ISNUMBER($A856)),NA(),IFERROR(1*INDEX(BBG_Data!$F$2:$F$4000,MATCH($A856,BBG_Data!$E$2:$E$4000,0)),NA()))</f>
        <v/>
      </c>
      <c r="E856" s="19">
        <f>IF(NOT(ISNUMBER($A856)),NA(),IFERROR(1*INDEX(BBG_Data!$H$2:$H$4000,MATCH($A856,BBG_Data!$G$2:$G$4000,0)),NA()))</f>
        <v/>
      </c>
      <c r="F856" s="20">
        <f>IF(AND(ISNUMBER(B856),ISNUMBER(B855)),IF(B856=B855,"",(B856-B855)*100),"")</f>
        <v/>
      </c>
      <c r="G856" s="20">
        <f>IF(AND(ISNUMBER(C856),ISNUMBER(C855)),IF(C856=C855,"",(C856-C855)*100),"")</f>
        <v/>
      </c>
      <c r="H856" s="20">
        <f>IF(OR(NOT(ISNUMBER($A856)),ROW()-2&lt;Settings!$B$11),NA(),IF(COUNT(OFFSET(F856,1-Settings!$B$11,0,Settings!$B$11,1))&lt;ROUNDUP(Settings!$B$11*Settings!$B$26,0),NA(),STDEV(OFFSET(F856,1-Settings!$B$11,0,Settings!$B$11,1))*SQRT(Settings!$B$13)))</f>
        <v/>
      </c>
      <c r="I856" s="20">
        <f>IF(OR(NOT(ISNUMBER($A856)),ROW()-2&lt;Settings!$B$12),NA(),IF(COUNT(OFFSET(F856,1-Settings!$B$12,0,Settings!$B$12,1))&lt;ROUNDUP(Settings!$B$12*Settings!$B$26,0),NA(),STDEV(OFFSET(F856,1-Settings!$B$12,0,Settings!$B$12,1))*SQRT(Settings!$B$13)))</f>
        <v/>
      </c>
      <c r="J856" s="20">
        <f>IF(OR(NOT(ISNUMBER($A856)),ROW()-2&lt;Settings!$B$11),NA(),IF(COUNT(OFFSET(G856,1-Settings!$B$11,0,Settings!$B$11,1))&lt;ROUNDUP(Settings!$B$11*Settings!$B$26,0),NA(),STDEV(OFFSET(G856,1-Settings!$B$11,0,Settings!$B$11,1))*SQRT(Settings!$B$13)))</f>
        <v/>
      </c>
      <c r="K856" s="20">
        <f>IF(OR(NOT(ISNUMBER($A856)),ROW()-2&lt;Settings!$B$12),NA(),IF(COUNT(OFFSET(G856,1-Settings!$B$12,0,Settings!$B$12,1))&lt;ROUNDUP(Settings!$B$12*Settings!$B$26,0),NA(),STDEV(OFFSET(G856,1-Settings!$B$12,0,Settings!$B$12,1))*SQRT(Settings!$B$13)))</f>
        <v/>
      </c>
      <c r="L856" s="20">
        <f>IF(AND(ISNUMBER(D856),ISNUMBER(H856)),D856-H856,NA())</f>
        <v/>
      </c>
      <c r="M856" s="20">
        <f>IF(AND(ISNUMBER(E856),ISNUMBER(K856)),E856-K856,NA())</f>
        <v/>
      </c>
      <c r="N856" s="20">
        <f>IF(NOT(ISNUMBER($A856)),NA(),IF(COUNT(OFFSET(G856,1,0,Settings!$B$12,1))&lt;ROUNDUP(Settings!$B$12*Settings!$B$26,0),NA(),STDEV(OFFSET(G856,1,0,Settings!$B$12,1))*SQRT(Settings!$B$13)))</f>
        <v/>
      </c>
      <c r="O856" s="20">
        <f>IF(AND(ISNUMBER(E856),ISNUMBER(N856)),E856-N856,NA())</f>
        <v/>
      </c>
      <c r="P856" s="19">
        <f>IF(NOT(ISNUMBER($A856)),NA(),IF(OR($A856&lt;MIN(KW_TP!$A$2:$A$2501),$A856&gt;MAX(KW_TP!$A$2:$A$2501)),NA(),INDEX(KW_TP!$C$2:$C$2501,MATCH($A856,KW_TP!$A$2:$A$2501,1))))</f>
        <v/>
      </c>
      <c r="Q856" s="18">
        <f>IF(NOT(ISNUMBER($A856)),NA(),IFERROR(1*INDEX(BBG_Data!$J$2:$J$4000,MATCH($A856,BBG_Data!$I$2:$I$4000,0)),NA()))</f>
        <v/>
      </c>
      <c r="R856" s="18">
        <f>IF(NOT(ISNUMBER($A856)),NA(),IFERROR(1*INDEX(BBG_Data!$L$2:$L$4000,MATCH($A856,BBG_Data!$K$2:$K$4000,0)),NA()))</f>
        <v/>
      </c>
      <c r="S856" s="20">
        <f>IF(AND(ISNUMBER(B856),ISNUMBER(Q856),ISNUMBER(R856)),(B856-Q856-R856)*100,NA())</f>
        <v/>
      </c>
      <c r="T856" s="20">
        <f>IF(AND(ISNUMBER(B856),Settings!$B$17&gt;0),IF(ISNUMBER(INDEX($B:$B,Settings!$B$17)),(B856-INDEX($B:$B,Settings!$B$17))*100,NA()),NA())</f>
        <v/>
      </c>
      <c r="U856" s="20">
        <f>IF(AND(ISNUMBER(Q856),Settings!$B$17&gt;0),IF(ISNUMBER(INDEX($Q:$Q,Settings!$B$17)),(Q856-INDEX($Q:$Q,Settings!$B$17))*100,NA()),NA())</f>
        <v/>
      </c>
      <c r="V856" s="20">
        <f>IF(AND(ISNUMBER(R856),Settings!$B$17&gt;0),IF(ISNUMBER(INDEX($R:$R,Settings!$B$17)),(R856-INDEX($R:$R,Settings!$B$17))*100,NA()),NA())</f>
        <v/>
      </c>
      <c r="W856" s="20">
        <f>IF(AND(ISNUMBER(P856),Settings!$B$17&gt;0),IF(ISNUMBER(INDEX($P:$P,Settings!$B$17)),P856-INDEX($P:$P,Settings!$B$17),NA()),NA())</f>
        <v/>
      </c>
      <c r="X856" s="19">
        <f>IF(NOT(ISNUMBER($A856)),NA(),IF(OR($A856&lt;MIN(DKW_10Y!$A$2:$A$2918),$A856&gt;MAX(DKW_10Y!$A$2:$A$2918),Settings!$B$16&lt;MIN(DKW_10Y!$A$2:$A$2918)),NA(),(INDEX(DKW_10Y!$B$2:$B$2918,MATCH($A856,DKW_10Y!$A$2:$A$2918,1))-INDEX(DKW_10Y!$B$2:$B$2918,MATCH(Settings!$B$16,DKW_10Y!$A$2:$A$2918,1)))*100))</f>
        <v/>
      </c>
      <c r="Y856" s="19">
        <f>IF(NOT(ISNUMBER($A856)),NA(),IF(OR($A856&lt;MIN(DKW_10Y!$A$2:$A$2918),$A856&gt;MAX(DKW_10Y!$A$2:$A$2918),Settings!$B$16&lt;MIN(DKW_10Y!$A$2:$A$2918)),NA(),(INDEX(DKW_10Y!$C$2:$C$2918,MATCH($A856,DKW_10Y!$A$2:$A$2918,1))-INDEX(DKW_10Y!$C$2:$C$2918,MATCH(Settings!$B$16,DKW_10Y!$A$2:$A$2918,1)))*100))</f>
        <v/>
      </c>
      <c r="Z856" s="19">
        <f>IF(NOT(ISNUMBER($A856)),NA(),IF(OR($A856&lt;MIN(DKW_10Y!$A$2:$A$2918),$A856&gt;MAX(DKW_10Y!$A$2:$A$2918),Settings!$B$16&lt;MIN(DKW_10Y!$A$2:$A$2918)),NA(),(INDEX(DKW_10Y!$D$2:$D$2918,MATCH($A856,DKW_10Y!$A$2:$A$2918,1))-INDEX(DKW_10Y!$D$2:$D$2918,MATCH(Settings!$B$16,DKW_10Y!$A$2:$A$2918,1)))*100))</f>
        <v/>
      </c>
      <c r="AA856" s="19">
        <f>IF(NOT(ISNUMBER($A856)),NA(),IF(OR($A856&lt;MIN(DKW_10Y!$A$2:$A$2918),$A856&gt;MAX(DKW_10Y!$A$2:$A$2918),Settings!$B$16&lt;MIN(DKW_10Y!$A$2:$A$2918)),NA(),(INDEX(DKW_10Y!$E$2:$E$2918,MATCH($A856,DKW_10Y!$A$2:$A$2918,1))-INDEX(DKW_10Y!$E$2:$E$2918,MATCH(Settings!$B$16,DKW_10Y!$A$2:$A$2918,1)))*100))</f>
        <v/>
      </c>
      <c r="AB856" s="19">
        <f>IF(NOT(ISNUMBER($A856)),NA(),IF(OR($A856&lt;MIN(DKW_10Y!$A$2:$A$2918),$A856&gt;MAX(DKW_10Y!$A$2:$A$2918),Settings!$B$16&lt;MIN(DKW_10Y!$A$2:$A$2918)),NA(),(INDEX(DKW_10Y!$H$2:$H$2918,MATCH($A856,DKW_10Y!$A$2:$A$2918,1))-INDEX(DKW_10Y!$H$2:$H$2918,MATCH(Settings!$B$16,DKW_10Y!$A$2:$A$2918,1)))*100))</f>
        <v/>
      </c>
      <c r="AC856" s="18">
        <f>IF(NOT(ISNUMBER($A856)),NA(),IFERROR(1*INDEX(BBG_Data!$N$2:$N$4000,MATCH($A856,BBG_Data!$M$2:$M$4000,0)),NA()))</f>
        <v/>
      </c>
      <c r="AD856" s="18">
        <f>IF(NOT(ISNUMBER($A856)),NA(),IFERROR(1*INDEX(BBG_Data!$P$2:$P$4000,MATCH($A856,BBG_Data!$O$2:$O$4000,0)),NA()))</f>
        <v/>
      </c>
      <c r="AE856" s="18">
        <f>IF(NOT(ISNUMBER($A856)),NA(),IFERROR(1*INDEX(BBG_Data!$R$2:$R$4000,MATCH($A856,BBG_Data!$Q$2:$Q$4000,0)),NA()))</f>
        <v/>
      </c>
      <c r="AF856" s="20">
        <f>IF(AND(ISNUMBER(B856),ISNUMBER(AC856)),(B856-AC856)*100,NA())</f>
        <v/>
      </c>
      <c r="AG856" s="20">
        <f>IF(AND(ISNUMBER(AE856),ISNUMBER(AD856)),(AE856-AD856)*100,NA())</f>
        <v/>
      </c>
      <c r="AH856" s="19">
        <f>IF(NOT(ISNUMBER($A856)),NA(),IFERROR(INDEX(BBG_Data!$T$2:$T$4000,MATCH($A856,BBG_Data!$S$2:$S$4000,0))*Settings!$B$25,NA()))</f>
        <v/>
      </c>
      <c r="AI856" s="19">
        <f>IF(NOT(ISNUMBER($A856)),NA(),IFERROR(INDEX(BBG_Data!$V$2:$V$4000,MATCH($A856,BBG_Data!$U$2:$U$4000,0))*Settings!$B$25,NA()))</f>
        <v/>
      </c>
      <c r="AJ856" s="19">
        <f>IF(NOT(ISNUMBER($A856)),NA(),IFERROR(1*INDEX(BBG_Data!$X$2:$X$4000,MATCH($A856,BBG_Data!$W$2:$W$4000,0)),NA()))</f>
        <v/>
      </c>
      <c r="AK856" s="19">
        <f>IF(NOT(ISNUMBER($A856)),NA(),IFERROR(1*INDEX(BBG_Data!$Z$2:$Z$4000,MATCH($A856,BBG_Data!$Y$2:$Y$4000,0)),NA()))</f>
        <v/>
      </c>
    </row>
    <row r="857">
      <c r="A857" s="17">
        <f>IF(ISNUMBER(BBG_Data!A857),BBG_Data!A857,"")</f>
        <v/>
      </c>
      <c r="B857" s="18">
        <f>IF(AND(ISNUMBER($A857),ISNUMBER(BBG_Data!B857)),BBG_Data!B857,NA())</f>
        <v/>
      </c>
      <c r="C857" s="18">
        <f>IF(NOT(ISNUMBER($A857)),NA(),IFERROR(1*INDEX(BBG_Data!$D$2:$D$4000,MATCH($A857,BBG_Data!$C$2:$C$4000,0)),NA()))</f>
        <v/>
      </c>
      <c r="D857" s="19">
        <f>IF(NOT(ISNUMBER($A857)),NA(),IFERROR(1*INDEX(BBG_Data!$F$2:$F$4000,MATCH($A857,BBG_Data!$E$2:$E$4000,0)),NA()))</f>
        <v/>
      </c>
      <c r="E857" s="19">
        <f>IF(NOT(ISNUMBER($A857)),NA(),IFERROR(1*INDEX(BBG_Data!$H$2:$H$4000,MATCH($A857,BBG_Data!$G$2:$G$4000,0)),NA()))</f>
        <v/>
      </c>
      <c r="F857" s="20">
        <f>IF(AND(ISNUMBER(B857),ISNUMBER(B856)),IF(B857=B856,"",(B857-B856)*100),"")</f>
        <v/>
      </c>
      <c r="G857" s="20">
        <f>IF(AND(ISNUMBER(C857),ISNUMBER(C856)),IF(C857=C856,"",(C857-C856)*100),"")</f>
        <v/>
      </c>
      <c r="H857" s="20">
        <f>IF(OR(NOT(ISNUMBER($A857)),ROW()-2&lt;Settings!$B$11),NA(),IF(COUNT(OFFSET(F857,1-Settings!$B$11,0,Settings!$B$11,1))&lt;ROUNDUP(Settings!$B$11*Settings!$B$26,0),NA(),STDEV(OFFSET(F857,1-Settings!$B$11,0,Settings!$B$11,1))*SQRT(Settings!$B$13)))</f>
        <v/>
      </c>
      <c r="I857" s="20">
        <f>IF(OR(NOT(ISNUMBER($A857)),ROW()-2&lt;Settings!$B$12),NA(),IF(COUNT(OFFSET(F857,1-Settings!$B$12,0,Settings!$B$12,1))&lt;ROUNDUP(Settings!$B$12*Settings!$B$26,0),NA(),STDEV(OFFSET(F857,1-Settings!$B$12,0,Settings!$B$12,1))*SQRT(Settings!$B$13)))</f>
        <v/>
      </c>
      <c r="J857" s="20">
        <f>IF(OR(NOT(ISNUMBER($A857)),ROW()-2&lt;Settings!$B$11),NA(),IF(COUNT(OFFSET(G857,1-Settings!$B$11,0,Settings!$B$11,1))&lt;ROUNDUP(Settings!$B$11*Settings!$B$26,0),NA(),STDEV(OFFSET(G857,1-Settings!$B$11,0,Settings!$B$11,1))*SQRT(Settings!$B$13)))</f>
        <v/>
      </c>
      <c r="K857" s="20">
        <f>IF(OR(NOT(ISNUMBER($A857)),ROW()-2&lt;Settings!$B$12),NA(),IF(COUNT(OFFSET(G857,1-Settings!$B$12,0,Settings!$B$12,1))&lt;ROUNDUP(Settings!$B$12*Settings!$B$26,0),NA(),STDEV(OFFSET(G857,1-Settings!$B$12,0,Settings!$B$12,1))*SQRT(Settings!$B$13)))</f>
        <v/>
      </c>
      <c r="L857" s="20">
        <f>IF(AND(ISNUMBER(D857),ISNUMBER(H857)),D857-H857,NA())</f>
        <v/>
      </c>
      <c r="M857" s="20">
        <f>IF(AND(ISNUMBER(E857),ISNUMBER(K857)),E857-K857,NA())</f>
        <v/>
      </c>
      <c r="N857" s="20">
        <f>IF(NOT(ISNUMBER($A857)),NA(),IF(COUNT(OFFSET(G857,1,0,Settings!$B$12,1))&lt;ROUNDUP(Settings!$B$12*Settings!$B$26,0),NA(),STDEV(OFFSET(G857,1,0,Settings!$B$12,1))*SQRT(Settings!$B$13)))</f>
        <v/>
      </c>
      <c r="O857" s="20">
        <f>IF(AND(ISNUMBER(E857),ISNUMBER(N857)),E857-N857,NA())</f>
        <v/>
      </c>
      <c r="P857" s="19">
        <f>IF(NOT(ISNUMBER($A857)),NA(),IF(OR($A857&lt;MIN(KW_TP!$A$2:$A$2501),$A857&gt;MAX(KW_TP!$A$2:$A$2501)),NA(),INDEX(KW_TP!$C$2:$C$2501,MATCH($A857,KW_TP!$A$2:$A$2501,1))))</f>
        <v/>
      </c>
      <c r="Q857" s="18">
        <f>IF(NOT(ISNUMBER($A857)),NA(),IFERROR(1*INDEX(BBG_Data!$J$2:$J$4000,MATCH($A857,BBG_Data!$I$2:$I$4000,0)),NA()))</f>
        <v/>
      </c>
      <c r="R857" s="18">
        <f>IF(NOT(ISNUMBER($A857)),NA(),IFERROR(1*INDEX(BBG_Data!$L$2:$L$4000,MATCH($A857,BBG_Data!$K$2:$K$4000,0)),NA()))</f>
        <v/>
      </c>
      <c r="S857" s="20">
        <f>IF(AND(ISNUMBER(B857),ISNUMBER(Q857),ISNUMBER(R857)),(B857-Q857-R857)*100,NA())</f>
        <v/>
      </c>
      <c r="T857" s="20">
        <f>IF(AND(ISNUMBER(B857),Settings!$B$17&gt;0),IF(ISNUMBER(INDEX($B:$B,Settings!$B$17)),(B857-INDEX($B:$B,Settings!$B$17))*100,NA()),NA())</f>
        <v/>
      </c>
      <c r="U857" s="20">
        <f>IF(AND(ISNUMBER(Q857),Settings!$B$17&gt;0),IF(ISNUMBER(INDEX($Q:$Q,Settings!$B$17)),(Q857-INDEX($Q:$Q,Settings!$B$17))*100,NA()),NA())</f>
        <v/>
      </c>
      <c r="V857" s="20">
        <f>IF(AND(ISNUMBER(R857),Settings!$B$17&gt;0),IF(ISNUMBER(INDEX($R:$R,Settings!$B$17)),(R857-INDEX($R:$R,Settings!$B$17))*100,NA()),NA())</f>
        <v/>
      </c>
      <c r="W857" s="20">
        <f>IF(AND(ISNUMBER(P857),Settings!$B$17&gt;0),IF(ISNUMBER(INDEX($P:$P,Settings!$B$17)),P857-INDEX($P:$P,Settings!$B$17),NA()),NA())</f>
        <v/>
      </c>
      <c r="X857" s="19">
        <f>IF(NOT(ISNUMBER($A857)),NA(),IF(OR($A857&lt;MIN(DKW_10Y!$A$2:$A$2918),$A857&gt;MAX(DKW_10Y!$A$2:$A$2918),Settings!$B$16&lt;MIN(DKW_10Y!$A$2:$A$2918)),NA(),(INDEX(DKW_10Y!$B$2:$B$2918,MATCH($A857,DKW_10Y!$A$2:$A$2918,1))-INDEX(DKW_10Y!$B$2:$B$2918,MATCH(Settings!$B$16,DKW_10Y!$A$2:$A$2918,1)))*100))</f>
        <v/>
      </c>
      <c r="Y857" s="19">
        <f>IF(NOT(ISNUMBER($A857)),NA(),IF(OR($A857&lt;MIN(DKW_10Y!$A$2:$A$2918),$A857&gt;MAX(DKW_10Y!$A$2:$A$2918),Settings!$B$16&lt;MIN(DKW_10Y!$A$2:$A$2918)),NA(),(INDEX(DKW_10Y!$C$2:$C$2918,MATCH($A857,DKW_10Y!$A$2:$A$2918,1))-INDEX(DKW_10Y!$C$2:$C$2918,MATCH(Settings!$B$16,DKW_10Y!$A$2:$A$2918,1)))*100))</f>
        <v/>
      </c>
      <c r="Z857" s="19">
        <f>IF(NOT(ISNUMBER($A857)),NA(),IF(OR($A857&lt;MIN(DKW_10Y!$A$2:$A$2918),$A857&gt;MAX(DKW_10Y!$A$2:$A$2918),Settings!$B$16&lt;MIN(DKW_10Y!$A$2:$A$2918)),NA(),(INDEX(DKW_10Y!$D$2:$D$2918,MATCH($A857,DKW_10Y!$A$2:$A$2918,1))-INDEX(DKW_10Y!$D$2:$D$2918,MATCH(Settings!$B$16,DKW_10Y!$A$2:$A$2918,1)))*100))</f>
        <v/>
      </c>
      <c r="AA857" s="19">
        <f>IF(NOT(ISNUMBER($A857)),NA(),IF(OR($A857&lt;MIN(DKW_10Y!$A$2:$A$2918),$A857&gt;MAX(DKW_10Y!$A$2:$A$2918),Settings!$B$16&lt;MIN(DKW_10Y!$A$2:$A$2918)),NA(),(INDEX(DKW_10Y!$E$2:$E$2918,MATCH($A857,DKW_10Y!$A$2:$A$2918,1))-INDEX(DKW_10Y!$E$2:$E$2918,MATCH(Settings!$B$16,DKW_10Y!$A$2:$A$2918,1)))*100))</f>
        <v/>
      </c>
      <c r="AB857" s="19">
        <f>IF(NOT(ISNUMBER($A857)),NA(),IF(OR($A857&lt;MIN(DKW_10Y!$A$2:$A$2918),$A857&gt;MAX(DKW_10Y!$A$2:$A$2918),Settings!$B$16&lt;MIN(DKW_10Y!$A$2:$A$2918)),NA(),(INDEX(DKW_10Y!$H$2:$H$2918,MATCH($A857,DKW_10Y!$A$2:$A$2918,1))-INDEX(DKW_10Y!$H$2:$H$2918,MATCH(Settings!$B$16,DKW_10Y!$A$2:$A$2918,1)))*100))</f>
        <v/>
      </c>
      <c r="AC857" s="18">
        <f>IF(NOT(ISNUMBER($A857)),NA(),IFERROR(1*INDEX(BBG_Data!$N$2:$N$4000,MATCH($A857,BBG_Data!$M$2:$M$4000,0)),NA()))</f>
        <v/>
      </c>
      <c r="AD857" s="18">
        <f>IF(NOT(ISNUMBER($A857)),NA(),IFERROR(1*INDEX(BBG_Data!$P$2:$P$4000,MATCH($A857,BBG_Data!$O$2:$O$4000,0)),NA()))</f>
        <v/>
      </c>
      <c r="AE857" s="18">
        <f>IF(NOT(ISNUMBER($A857)),NA(),IFERROR(1*INDEX(BBG_Data!$R$2:$R$4000,MATCH($A857,BBG_Data!$Q$2:$Q$4000,0)),NA()))</f>
        <v/>
      </c>
      <c r="AF857" s="20">
        <f>IF(AND(ISNUMBER(B857),ISNUMBER(AC857)),(B857-AC857)*100,NA())</f>
        <v/>
      </c>
      <c r="AG857" s="20">
        <f>IF(AND(ISNUMBER(AE857),ISNUMBER(AD857)),(AE857-AD857)*100,NA())</f>
        <v/>
      </c>
      <c r="AH857" s="19">
        <f>IF(NOT(ISNUMBER($A857)),NA(),IFERROR(INDEX(BBG_Data!$T$2:$T$4000,MATCH($A857,BBG_Data!$S$2:$S$4000,0))*Settings!$B$25,NA()))</f>
        <v/>
      </c>
      <c r="AI857" s="19">
        <f>IF(NOT(ISNUMBER($A857)),NA(),IFERROR(INDEX(BBG_Data!$V$2:$V$4000,MATCH($A857,BBG_Data!$U$2:$U$4000,0))*Settings!$B$25,NA()))</f>
        <v/>
      </c>
      <c r="AJ857" s="19">
        <f>IF(NOT(ISNUMBER($A857)),NA(),IFERROR(1*INDEX(BBG_Data!$X$2:$X$4000,MATCH($A857,BBG_Data!$W$2:$W$4000,0)),NA()))</f>
        <v/>
      </c>
      <c r="AK857" s="19">
        <f>IF(NOT(ISNUMBER($A857)),NA(),IFERROR(1*INDEX(BBG_Data!$Z$2:$Z$4000,MATCH($A857,BBG_Data!$Y$2:$Y$4000,0)),NA()))</f>
        <v/>
      </c>
    </row>
    <row r="858">
      <c r="A858" s="17">
        <f>IF(ISNUMBER(BBG_Data!A858),BBG_Data!A858,"")</f>
        <v/>
      </c>
      <c r="B858" s="18">
        <f>IF(AND(ISNUMBER($A858),ISNUMBER(BBG_Data!B858)),BBG_Data!B858,NA())</f>
        <v/>
      </c>
      <c r="C858" s="18">
        <f>IF(NOT(ISNUMBER($A858)),NA(),IFERROR(1*INDEX(BBG_Data!$D$2:$D$4000,MATCH($A858,BBG_Data!$C$2:$C$4000,0)),NA()))</f>
        <v/>
      </c>
      <c r="D858" s="19">
        <f>IF(NOT(ISNUMBER($A858)),NA(),IFERROR(1*INDEX(BBG_Data!$F$2:$F$4000,MATCH($A858,BBG_Data!$E$2:$E$4000,0)),NA()))</f>
        <v/>
      </c>
      <c r="E858" s="19">
        <f>IF(NOT(ISNUMBER($A858)),NA(),IFERROR(1*INDEX(BBG_Data!$H$2:$H$4000,MATCH($A858,BBG_Data!$G$2:$G$4000,0)),NA()))</f>
        <v/>
      </c>
      <c r="F858" s="20">
        <f>IF(AND(ISNUMBER(B858),ISNUMBER(B857)),IF(B858=B857,"",(B858-B857)*100),"")</f>
        <v/>
      </c>
      <c r="G858" s="20">
        <f>IF(AND(ISNUMBER(C858),ISNUMBER(C857)),IF(C858=C857,"",(C858-C857)*100),"")</f>
        <v/>
      </c>
      <c r="H858" s="20">
        <f>IF(OR(NOT(ISNUMBER($A858)),ROW()-2&lt;Settings!$B$11),NA(),IF(COUNT(OFFSET(F858,1-Settings!$B$11,0,Settings!$B$11,1))&lt;ROUNDUP(Settings!$B$11*Settings!$B$26,0),NA(),STDEV(OFFSET(F858,1-Settings!$B$11,0,Settings!$B$11,1))*SQRT(Settings!$B$13)))</f>
        <v/>
      </c>
      <c r="I858" s="20">
        <f>IF(OR(NOT(ISNUMBER($A858)),ROW()-2&lt;Settings!$B$12),NA(),IF(COUNT(OFFSET(F858,1-Settings!$B$12,0,Settings!$B$12,1))&lt;ROUNDUP(Settings!$B$12*Settings!$B$26,0),NA(),STDEV(OFFSET(F858,1-Settings!$B$12,0,Settings!$B$12,1))*SQRT(Settings!$B$13)))</f>
        <v/>
      </c>
      <c r="J858" s="20">
        <f>IF(OR(NOT(ISNUMBER($A858)),ROW()-2&lt;Settings!$B$11),NA(),IF(COUNT(OFFSET(G858,1-Settings!$B$11,0,Settings!$B$11,1))&lt;ROUNDUP(Settings!$B$11*Settings!$B$26,0),NA(),STDEV(OFFSET(G858,1-Settings!$B$11,0,Settings!$B$11,1))*SQRT(Settings!$B$13)))</f>
        <v/>
      </c>
      <c r="K858" s="20">
        <f>IF(OR(NOT(ISNUMBER($A858)),ROW()-2&lt;Settings!$B$12),NA(),IF(COUNT(OFFSET(G858,1-Settings!$B$12,0,Settings!$B$12,1))&lt;ROUNDUP(Settings!$B$12*Settings!$B$26,0),NA(),STDEV(OFFSET(G858,1-Settings!$B$12,0,Settings!$B$12,1))*SQRT(Settings!$B$13)))</f>
        <v/>
      </c>
      <c r="L858" s="20">
        <f>IF(AND(ISNUMBER(D858),ISNUMBER(H858)),D858-H858,NA())</f>
        <v/>
      </c>
      <c r="M858" s="20">
        <f>IF(AND(ISNUMBER(E858),ISNUMBER(K858)),E858-K858,NA())</f>
        <v/>
      </c>
      <c r="N858" s="20">
        <f>IF(NOT(ISNUMBER($A858)),NA(),IF(COUNT(OFFSET(G858,1,0,Settings!$B$12,1))&lt;ROUNDUP(Settings!$B$12*Settings!$B$26,0),NA(),STDEV(OFFSET(G858,1,0,Settings!$B$12,1))*SQRT(Settings!$B$13)))</f>
        <v/>
      </c>
      <c r="O858" s="20">
        <f>IF(AND(ISNUMBER(E858),ISNUMBER(N858)),E858-N858,NA())</f>
        <v/>
      </c>
      <c r="P858" s="19">
        <f>IF(NOT(ISNUMBER($A858)),NA(),IF(OR($A858&lt;MIN(KW_TP!$A$2:$A$2501),$A858&gt;MAX(KW_TP!$A$2:$A$2501)),NA(),INDEX(KW_TP!$C$2:$C$2501,MATCH($A858,KW_TP!$A$2:$A$2501,1))))</f>
        <v/>
      </c>
      <c r="Q858" s="18">
        <f>IF(NOT(ISNUMBER($A858)),NA(),IFERROR(1*INDEX(BBG_Data!$J$2:$J$4000,MATCH($A858,BBG_Data!$I$2:$I$4000,0)),NA()))</f>
        <v/>
      </c>
      <c r="R858" s="18">
        <f>IF(NOT(ISNUMBER($A858)),NA(),IFERROR(1*INDEX(BBG_Data!$L$2:$L$4000,MATCH($A858,BBG_Data!$K$2:$K$4000,0)),NA()))</f>
        <v/>
      </c>
      <c r="S858" s="20">
        <f>IF(AND(ISNUMBER(B858),ISNUMBER(Q858),ISNUMBER(R858)),(B858-Q858-R858)*100,NA())</f>
        <v/>
      </c>
      <c r="T858" s="20">
        <f>IF(AND(ISNUMBER(B858),Settings!$B$17&gt;0),IF(ISNUMBER(INDEX($B:$B,Settings!$B$17)),(B858-INDEX($B:$B,Settings!$B$17))*100,NA()),NA())</f>
        <v/>
      </c>
      <c r="U858" s="20">
        <f>IF(AND(ISNUMBER(Q858),Settings!$B$17&gt;0),IF(ISNUMBER(INDEX($Q:$Q,Settings!$B$17)),(Q858-INDEX($Q:$Q,Settings!$B$17))*100,NA()),NA())</f>
        <v/>
      </c>
      <c r="V858" s="20">
        <f>IF(AND(ISNUMBER(R858),Settings!$B$17&gt;0),IF(ISNUMBER(INDEX($R:$R,Settings!$B$17)),(R858-INDEX($R:$R,Settings!$B$17))*100,NA()),NA())</f>
        <v/>
      </c>
      <c r="W858" s="20">
        <f>IF(AND(ISNUMBER(P858),Settings!$B$17&gt;0),IF(ISNUMBER(INDEX($P:$P,Settings!$B$17)),P858-INDEX($P:$P,Settings!$B$17),NA()),NA())</f>
        <v/>
      </c>
      <c r="X858" s="19">
        <f>IF(NOT(ISNUMBER($A858)),NA(),IF(OR($A858&lt;MIN(DKW_10Y!$A$2:$A$2918),$A858&gt;MAX(DKW_10Y!$A$2:$A$2918),Settings!$B$16&lt;MIN(DKW_10Y!$A$2:$A$2918)),NA(),(INDEX(DKW_10Y!$B$2:$B$2918,MATCH($A858,DKW_10Y!$A$2:$A$2918,1))-INDEX(DKW_10Y!$B$2:$B$2918,MATCH(Settings!$B$16,DKW_10Y!$A$2:$A$2918,1)))*100))</f>
        <v/>
      </c>
      <c r="Y858" s="19">
        <f>IF(NOT(ISNUMBER($A858)),NA(),IF(OR($A858&lt;MIN(DKW_10Y!$A$2:$A$2918),$A858&gt;MAX(DKW_10Y!$A$2:$A$2918),Settings!$B$16&lt;MIN(DKW_10Y!$A$2:$A$2918)),NA(),(INDEX(DKW_10Y!$C$2:$C$2918,MATCH($A858,DKW_10Y!$A$2:$A$2918,1))-INDEX(DKW_10Y!$C$2:$C$2918,MATCH(Settings!$B$16,DKW_10Y!$A$2:$A$2918,1)))*100))</f>
        <v/>
      </c>
      <c r="Z858" s="19">
        <f>IF(NOT(ISNUMBER($A858)),NA(),IF(OR($A858&lt;MIN(DKW_10Y!$A$2:$A$2918),$A858&gt;MAX(DKW_10Y!$A$2:$A$2918),Settings!$B$16&lt;MIN(DKW_10Y!$A$2:$A$2918)),NA(),(INDEX(DKW_10Y!$D$2:$D$2918,MATCH($A858,DKW_10Y!$A$2:$A$2918,1))-INDEX(DKW_10Y!$D$2:$D$2918,MATCH(Settings!$B$16,DKW_10Y!$A$2:$A$2918,1)))*100))</f>
        <v/>
      </c>
      <c r="AA858" s="19">
        <f>IF(NOT(ISNUMBER($A858)),NA(),IF(OR($A858&lt;MIN(DKW_10Y!$A$2:$A$2918),$A858&gt;MAX(DKW_10Y!$A$2:$A$2918),Settings!$B$16&lt;MIN(DKW_10Y!$A$2:$A$2918)),NA(),(INDEX(DKW_10Y!$E$2:$E$2918,MATCH($A858,DKW_10Y!$A$2:$A$2918,1))-INDEX(DKW_10Y!$E$2:$E$2918,MATCH(Settings!$B$16,DKW_10Y!$A$2:$A$2918,1)))*100))</f>
        <v/>
      </c>
      <c r="AB858" s="19">
        <f>IF(NOT(ISNUMBER($A858)),NA(),IF(OR($A858&lt;MIN(DKW_10Y!$A$2:$A$2918),$A858&gt;MAX(DKW_10Y!$A$2:$A$2918),Settings!$B$16&lt;MIN(DKW_10Y!$A$2:$A$2918)),NA(),(INDEX(DKW_10Y!$H$2:$H$2918,MATCH($A858,DKW_10Y!$A$2:$A$2918,1))-INDEX(DKW_10Y!$H$2:$H$2918,MATCH(Settings!$B$16,DKW_10Y!$A$2:$A$2918,1)))*100))</f>
        <v/>
      </c>
      <c r="AC858" s="18">
        <f>IF(NOT(ISNUMBER($A858)),NA(),IFERROR(1*INDEX(BBG_Data!$N$2:$N$4000,MATCH($A858,BBG_Data!$M$2:$M$4000,0)),NA()))</f>
        <v/>
      </c>
      <c r="AD858" s="18">
        <f>IF(NOT(ISNUMBER($A858)),NA(),IFERROR(1*INDEX(BBG_Data!$P$2:$P$4000,MATCH($A858,BBG_Data!$O$2:$O$4000,0)),NA()))</f>
        <v/>
      </c>
      <c r="AE858" s="18">
        <f>IF(NOT(ISNUMBER($A858)),NA(),IFERROR(1*INDEX(BBG_Data!$R$2:$R$4000,MATCH($A858,BBG_Data!$Q$2:$Q$4000,0)),NA()))</f>
        <v/>
      </c>
      <c r="AF858" s="20">
        <f>IF(AND(ISNUMBER(B858),ISNUMBER(AC858)),(B858-AC858)*100,NA())</f>
        <v/>
      </c>
      <c r="AG858" s="20">
        <f>IF(AND(ISNUMBER(AE858),ISNUMBER(AD858)),(AE858-AD858)*100,NA())</f>
        <v/>
      </c>
      <c r="AH858" s="19">
        <f>IF(NOT(ISNUMBER($A858)),NA(),IFERROR(INDEX(BBG_Data!$T$2:$T$4000,MATCH($A858,BBG_Data!$S$2:$S$4000,0))*Settings!$B$25,NA()))</f>
        <v/>
      </c>
      <c r="AI858" s="19">
        <f>IF(NOT(ISNUMBER($A858)),NA(),IFERROR(INDEX(BBG_Data!$V$2:$V$4000,MATCH($A858,BBG_Data!$U$2:$U$4000,0))*Settings!$B$25,NA()))</f>
        <v/>
      </c>
      <c r="AJ858" s="19">
        <f>IF(NOT(ISNUMBER($A858)),NA(),IFERROR(1*INDEX(BBG_Data!$X$2:$X$4000,MATCH($A858,BBG_Data!$W$2:$W$4000,0)),NA()))</f>
        <v/>
      </c>
      <c r="AK858" s="19">
        <f>IF(NOT(ISNUMBER($A858)),NA(),IFERROR(1*INDEX(BBG_Data!$Z$2:$Z$4000,MATCH($A858,BBG_Data!$Y$2:$Y$4000,0)),NA()))</f>
        <v/>
      </c>
    </row>
    <row r="859">
      <c r="A859" s="17">
        <f>IF(ISNUMBER(BBG_Data!A859),BBG_Data!A859,"")</f>
        <v/>
      </c>
      <c r="B859" s="18">
        <f>IF(AND(ISNUMBER($A859),ISNUMBER(BBG_Data!B859)),BBG_Data!B859,NA())</f>
        <v/>
      </c>
      <c r="C859" s="18">
        <f>IF(NOT(ISNUMBER($A859)),NA(),IFERROR(1*INDEX(BBG_Data!$D$2:$D$4000,MATCH($A859,BBG_Data!$C$2:$C$4000,0)),NA()))</f>
        <v/>
      </c>
      <c r="D859" s="19">
        <f>IF(NOT(ISNUMBER($A859)),NA(),IFERROR(1*INDEX(BBG_Data!$F$2:$F$4000,MATCH($A859,BBG_Data!$E$2:$E$4000,0)),NA()))</f>
        <v/>
      </c>
      <c r="E859" s="19">
        <f>IF(NOT(ISNUMBER($A859)),NA(),IFERROR(1*INDEX(BBG_Data!$H$2:$H$4000,MATCH($A859,BBG_Data!$G$2:$G$4000,0)),NA()))</f>
        <v/>
      </c>
      <c r="F859" s="20">
        <f>IF(AND(ISNUMBER(B859),ISNUMBER(B858)),IF(B859=B858,"",(B859-B858)*100),"")</f>
        <v/>
      </c>
      <c r="G859" s="20">
        <f>IF(AND(ISNUMBER(C859),ISNUMBER(C858)),IF(C859=C858,"",(C859-C858)*100),"")</f>
        <v/>
      </c>
      <c r="H859" s="20">
        <f>IF(OR(NOT(ISNUMBER($A859)),ROW()-2&lt;Settings!$B$11),NA(),IF(COUNT(OFFSET(F859,1-Settings!$B$11,0,Settings!$B$11,1))&lt;ROUNDUP(Settings!$B$11*Settings!$B$26,0),NA(),STDEV(OFFSET(F859,1-Settings!$B$11,0,Settings!$B$11,1))*SQRT(Settings!$B$13)))</f>
        <v/>
      </c>
      <c r="I859" s="20">
        <f>IF(OR(NOT(ISNUMBER($A859)),ROW()-2&lt;Settings!$B$12),NA(),IF(COUNT(OFFSET(F859,1-Settings!$B$12,0,Settings!$B$12,1))&lt;ROUNDUP(Settings!$B$12*Settings!$B$26,0),NA(),STDEV(OFFSET(F859,1-Settings!$B$12,0,Settings!$B$12,1))*SQRT(Settings!$B$13)))</f>
        <v/>
      </c>
      <c r="J859" s="20">
        <f>IF(OR(NOT(ISNUMBER($A859)),ROW()-2&lt;Settings!$B$11),NA(),IF(COUNT(OFFSET(G859,1-Settings!$B$11,0,Settings!$B$11,1))&lt;ROUNDUP(Settings!$B$11*Settings!$B$26,0),NA(),STDEV(OFFSET(G859,1-Settings!$B$11,0,Settings!$B$11,1))*SQRT(Settings!$B$13)))</f>
        <v/>
      </c>
      <c r="K859" s="20">
        <f>IF(OR(NOT(ISNUMBER($A859)),ROW()-2&lt;Settings!$B$12),NA(),IF(COUNT(OFFSET(G859,1-Settings!$B$12,0,Settings!$B$12,1))&lt;ROUNDUP(Settings!$B$12*Settings!$B$26,0),NA(),STDEV(OFFSET(G859,1-Settings!$B$12,0,Settings!$B$12,1))*SQRT(Settings!$B$13)))</f>
        <v/>
      </c>
      <c r="L859" s="20">
        <f>IF(AND(ISNUMBER(D859),ISNUMBER(H859)),D859-H859,NA())</f>
        <v/>
      </c>
      <c r="M859" s="20">
        <f>IF(AND(ISNUMBER(E859),ISNUMBER(K859)),E859-K859,NA())</f>
        <v/>
      </c>
      <c r="N859" s="20">
        <f>IF(NOT(ISNUMBER($A859)),NA(),IF(COUNT(OFFSET(G859,1,0,Settings!$B$12,1))&lt;ROUNDUP(Settings!$B$12*Settings!$B$26,0),NA(),STDEV(OFFSET(G859,1,0,Settings!$B$12,1))*SQRT(Settings!$B$13)))</f>
        <v/>
      </c>
      <c r="O859" s="20">
        <f>IF(AND(ISNUMBER(E859),ISNUMBER(N859)),E859-N859,NA())</f>
        <v/>
      </c>
      <c r="P859" s="19">
        <f>IF(NOT(ISNUMBER($A859)),NA(),IF(OR($A859&lt;MIN(KW_TP!$A$2:$A$2501),$A859&gt;MAX(KW_TP!$A$2:$A$2501)),NA(),INDEX(KW_TP!$C$2:$C$2501,MATCH($A859,KW_TP!$A$2:$A$2501,1))))</f>
        <v/>
      </c>
      <c r="Q859" s="18">
        <f>IF(NOT(ISNUMBER($A859)),NA(),IFERROR(1*INDEX(BBG_Data!$J$2:$J$4000,MATCH($A859,BBG_Data!$I$2:$I$4000,0)),NA()))</f>
        <v/>
      </c>
      <c r="R859" s="18">
        <f>IF(NOT(ISNUMBER($A859)),NA(),IFERROR(1*INDEX(BBG_Data!$L$2:$L$4000,MATCH($A859,BBG_Data!$K$2:$K$4000,0)),NA()))</f>
        <v/>
      </c>
      <c r="S859" s="20">
        <f>IF(AND(ISNUMBER(B859),ISNUMBER(Q859),ISNUMBER(R859)),(B859-Q859-R859)*100,NA())</f>
        <v/>
      </c>
      <c r="T859" s="20">
        <f>IF(AND(ISNUMBER(B859),Settings!$B$17&gt;0),IF(ISNUMBER(INDEX($B:$B,Settings!$B$17)),(B859-INDEX($B:$B,Settings!$B$17))*100,NA()),NA())</f>
        <v/>
      </c>
      <c r="U859" s="20">
        <f>IF(AND(ISNUMBER(Q859),Settings!$B$17&gt;0),IF(ISNUMBER(INDEX($Q:$Q,Settings!$B$17)),(Q859-INDEX($Q:$Q,Settings!$B$17))*100,NA()),NA())</f>
        <v/>
      </c>
      <c r="V859" s="20">
        <f>IF(AND(ISNUMBER(R859),Settings!$B$17&gt;0),IF(ISNUMBER(INDEX($R:$R,Settings!$B$17)),(R859-INDEX($R:$R,Settings!$B$17))*100,NA()),NA())</f>
        <v/>
      </c>
      <c r="W859" s="20">
        <f>IF(AND(ISNUMBER(P859),Settings!$B$17&gt;0),IF(ISNUMBER(INDEX($P:$P,Settings!$B$17)),P859-INDEX($P:$P,Settings!$B$17),NA()),NA())</f>
        <v/>
      </c>
      <c r="X859" s="19">
        <f>IF(NOT(ISNUMBER($A859)),NA(),IF(OR($A859&lt;MIN(DKW_10Y!$A$2:$A$2918),$A859&gt;MAX(DKW_10Y!$A$2:$A$2918),Settings!$B$16&lt;MIN(DKW_10Y!$A$2:$A$2918)),NA(),(INDEX(DKW_10Y!$B$2:$B$2918,MATCH($A859,DKW_10Y!$A$2:$A$2918,1))-INDEX(DKW_10Y!$B$2:$B$2918,MATCH(Settings!$B$16,DKW_10Y!$A$2:$A$2918,1)))*100))</f>
        <v/>
      </c>
      <c r="Y859" s="19">
        <f>IF(NOT(ISNUMBER($A859)),NA(),IF(OR($A859&lt;MIN(DKW_10Y!$A$2:$A$2918),$A859&gt;MAX(DKW_10Y!$A$2:$A$2918),Settings!$B$16&lt;MIN(DKW_10Y!$A$2:$A$2918)),NA(),(INDEX(DKW_10Y!$C$2:$C$2918,MATCH($A859,DKW_10Y!$A$2:$A$2918,1))-INDEX(DKW_10Y!$C$2:$C$2918,MATCH(Settings!$B$16,DKW_10Y!$A$2:$A$2918,1)))*100))</f>
        <v/>
      </c>
      <c r="Z859" s="19">
        <f>IF(NOT(ISNUMBER($A859)),NA(),IF(OR($A859&lt;MIN(DKW_10Y!$A$2:$A$2918),$A859&gt;MAX(DKW_10Y!$A$2:$A$2918),Settings!$B$16&lt;MIN(DKW_10Y!$A$2:$A$2918)),NA(),(INDEX(DKW_10Y!$D$2:$D$2918,MATCH($A859,DKW_10Y!$A$2:$A$2918,1))-INDEX(DKW_10Y!$D$2:$D$2918,MATCH(Settings!$B$16,DKW_10Y!$A$2:$A$2918,1)))*100))</f>
        <v/>
      </c>
      <c r="AA859" s="19">
        <f>IF(NOT(ISNUMBER($A859)),NA(),IF(OR($A859&lt;MIN(DKW_10Y!$A$2:$A$2918),$A859&gt;MAX(DKW_10Y!$A$2:$A$2918),Settings!$B$16&lt;MIN(DKW_10Y!$A$2:$A$2918)),NA(),(INDEX(DKW_10Y!$E$2:$E$2918,MATCH($A859,DKW_10Y!$A$2:$A$2918,1))-INDEX(DKW_10Y!$E$2:$E$2918,MATCH(Settings!$B$16,DKW_10Y!$A$2:$A$2918,1)))*100))</f>
        <v/>
      </c>
      <c r="AB859" s="19">
        <f>IF(NOT(ISNUMBER($A859)),NA(),IF(OR($A859&lt;MIN(DKW_10Y!$A$2:$A$2918),$A859&gt;MAX(DKW_10Y!$A$2:$A$2918),Settings!$B$16&lt;MIN(DKW_10Y!$A$2:$A$2918)),NA(),(INDEX(DKW_10Y!$H$2:$H$2918,MATCH($A859,DKW_10Y!$A$2:$A$2918,1))-INDEX(DKW_10Y!$H$2:$H$2918,MATCH(Settings!$B$16,DKW_10Y!$A$2:$A$2918,1)))*100))</f>
        <v/>
      </c>
      <c r="AC859" s="18">
        <f>IF(NOT(ISNUMBER($A859)),NA(),IFERROR(1*INDEX(BBG_Data!$N$2:$N$4000,MATCH($A859,BBG_Data!$M$2:$M$4000,0)),NA()))</f>
        <v/>
      </c>
      <c r="AD859" s="18">
        <f>IF(NOT(ISNUMBER($A859)),NA(),IFERROR(1*INDEX(BBG_Data!$P$2:$P$4000,MATCH($A859,BBG_Data!$O$2:$O$4000,0)),NA()))</f>
        <v/>
      </c>
      <c r="AE859" s="18">
        <f>IF(NOT(ISNUMBER($A859)),NA(),IFERROR(1*INDEX(BBG_Data!$R$2:$R$4000,MATCH($A859,BBG_Data!$Q$2:$Q$4000,0)),NA()))</f>
        <v/>
      </c>
      <c r="AF859" s="20">
        <f>IF(AND(ISNUMBER(B859),ISNUMBER(AC859)),(B859-AC859)*100,NA())</f>
        <v/>
      </c>
      <c r="AG859" s="20">
        <f>IF(AND(ISNUMBER(AE859),ISNUMBER(AD859)),(AE859-AD859)*100,NA())</f>
        <v/>
      </c>
      <c r="AH859" s="19">
        <f>IF(NOT(ISNUMBER($A859)),NA(),IFERROR(INDEX(BBG_Data!$T$2:$T$4000,MATCH($A859,BBG_Data!$S$2:$S$4000,0))*Settings!$B$25,NA()))</f>
        <v/>
      </c>
      <c r="AI859" s="19">
        <f>IF(NOT(ISNUMBER($A859)),NA(),IFERROR(INDEX(BBG_Data!$V$2:$V$4000,MATCH($A859,BBG_Data!$U$2:$U$4000,0))*Settings!$B$25,NA()))</f>
        <v/>
      </c>
      <c r="AJ859" s="19">
        <f>IF(NOT(ISNUMBER($A859)),NA(),IFERROR(1*INDEX(BBG_Data!$X$2:$X$4000,MATCH($A859,BBG_Data!$W$2:$W$4000,0)),NA()))</f>
        <v/>
      </c>
      <c r="AK859" s="19">
        <f>IF(NOT(ISNUMBER($A859)),NA(),IFERROR(1*INDEX(BBG_Data!$Z$2:$Z$4000,MATCH($A859,BBG_Data!$Y$2:$Y$4000,0)),NA()))</f>
        <v/>
      </c>
    </row>
    <row r="860">
      <c r="A860" s="17">
        <f>IF(ISNUMBER(BBG_Data!A860),BBG_Data!A860,"")</f>
        <v/>
      </c>
      <c r="B860" s="18">
        <f>IF(AND(ISNUMBER($A860),ISNUMBER(BBG_Data!B860)),BBG_Data!B860,NA())</f>
        <v/>
      </c>
      <c r="C860" s="18">
        <f>IF(NOT(ISNUMBER($A860)),NA(),IFERROR(1*INDEX(BBG_Data!$D$2:$D$4000,MATCH($A860,BBG_Data!$C$2:$C$4000,0)),NA()))</f>
        <v/>
      </c>
      <c r="D860" s="19">
        <f>IF(NOT(ISNUMBER($A860)),NA(),IFERROR(1*INDEX(BBG_Data!$F$2:$F$4000,MATCH($A860,BBG_Data!$E$2:$E$4000,0)),NA()))</f>
        <v/>
      </c>
      <c r="E860" s="19">
        <f>IF(NOT(ISNUMBER($A860)),NA(),IFERROR(1*INDEX(BBG_Data!$H$2:$H$4000,MATCH($A860,BBG_Data!$G$2:$G$4000,0)),NA()))</f>
        <v/>
      </c>
      <c r="F860" s="20">
        <f>IF(AND(ISNUMBER(B860),ISNUMBER(B859)),IF(B860=B859,"",(B860-B859)*100),"")</f>
        <v/>
      </c>
      <c r="G860" s="20">
        <f>IF(AND(ISNUMBER(C860),ISNUMBER(C859)),IF(C860=C859,"",(C860-C859)*100),"")</f>
        <v/>
      </c>
      <c r="H860" s="20">
        <f>IF(OR(NOT(ISNUMBER($A860)),ROW()-2&lt;Settings!$B$11),NA(),IF(COUNT(OFFSET(F860,1-Settings!$B$11,0,Settings!$B$11,1))&lt;ROUNDUP(Settings!$B$11*Settings!$B$26,0),NA(),STDEV(OFFSET(F860,1-Settings!$B$11,0,Settings!$B$11,1))*SQRT(Settings!$B$13)))</f>
        <v/>
      </c>
      <c r="I860" s="20">
        <f>IF(OR(NOT(ISNUMBER($A860)),ROW()-2&lt;Settings!$B$12),NA(),IF(COUNT(OFFSET(F860,1-Settings!$B$12,0,Settings!$B$12,1))&lt;ROUNDUP(Settings!$B$12*Settings!$B$26,0),NA(),STDEV(OFFSET(F860,1-Settings!$B$12,0,Settings!$B$12,1))*SQRT(Settings!$B$13)))</f>
        <v/>
      </c>
      <c r="J860" s="20">
        <f>IF(OR(NOT(ISNUMBER($A860)),ROW()-2&lt;Settings!$B$11),NA(),IF(COUNT(OFFSET(G860,1-Settings!$B$11,0,Settings!$B$11,1))&lt;ROUNDUP(Settings!$B$11*Settings!$B$26,0),NA(),STDEV(OFFSET(G860,1-Settings!$B$11,0,Settings!$B$11,1))*SQRT(Settings!$B$13)))</f>
        <v/>
      </c>
      <c r="K860" s="20">
        <f>IF(OR(NOT(ISNUMBER($A860)),ROW()-2&lt;Settings!$B$12),NA(),IF(COUNT(OFFSET(G860,1-Settings!$B$12,0,Settings!$B$12,1))&lt;ROUNDUP(Settings!$B$12*Settings!$B$26,0),NA(),STDEV(OFFSET(G860,1-Settings!$B$12,0,Settings!$B$12,1))*SQRT(Settings!$B$13)))</f>
        <v/>
      </c>
      <c r="L860" s="20">
        <f>IF(AND(ISNUMBER(D860),ISNUMBER(H860)),D860-H860,NA())</f>
        <v/>
      </c>
      <c r="M860" s="20">
        <f>IF(AND(ISNUMBER(E860),ISNUMBER(K860)),E860-K860,NA())</f>
        <v/>
      </c>
      <c r="N860" s="20">
        <f>IF(NOT(ISNUMBER($A860)),NA(),IF(COUNT(OFFSET(G860,1,0,Settings!$B$12,1))&lt;ROUNDUP(Settings!$B$12*Settings!$B$26,0),NA(),STDEV(OFFSET(G860,1,0,Settings!$B$12,1))*SQRT(Settings!$B$13)))</f>
        <v/>
      </c>
      <c r="O860" s="20">
        <f>IF(AND(ISNUMBER(E860),ISNUMBER(N860)),E860-N860,NA())</f>
        <v/>
      </c>
      <c r="P860" s="19">
        <f>IF(NOT(ISNUMBER($A860)),NA(),IF(OR($A860&lt;MIN(KW_TP!$A$2:$A$2501),$A860&gt;MAX(KW_TP!$A$2:$A$2501)),NA(),INDEX(KW_TP!$C$2:$C$2501,MATCH($A860,KW_TP!$A$2:$A$2501,1))))</f>
        <v/>
      </c>
      <c r="Q860" s="18">
        <f>IF(NOT(ISNUMBER($A860)),NA(),IFERROR(1*INDEX(BBG_Data!$J$2:$J$4000,MATCH($A860,BBG_Data!$I$2:$I$4000,0)),NA()))</f>
        <v/>
      </c>
      <c r="R860" s="18">
        <f>IF(NOT(ISNUMBER($A860)),NA(),IFERROR(1*INDEX(BBG_Data!$L$2:$L$4000,MATCH($A860,BBG_Data!$K$2:$K$4000,0)),NA()))</f>
        <v/>
      </c>
      <c r="S860" s="20">
        <f>IF(AND(ISNUMBER(B860),ISNUMBER(Q860),ISNUMBER(R860)),(B860-Q860-R860)*100,NA())</f>
        <v/>
      </c>
      <c r="T860" s="20">
        <f>IF(AND(ISNUMBER(B860),Settings!$B$17&gt;0),IF(ISNUMBER(INDEX($B:$B,Settings!$B$17)),(B860-INDEX($B:$B,Settings!$B$17))*100,NA()),NA())</f>
        <v/>
      </c>
      <c r="U860" s="20">
        <f>IF(AND(ISNUMBER(Q860),Settings!$B$17&gt;0),IF(ISNUMBER(INDEX($Q:$Q,Settings!$B$17)),(Q860-INDEX($Q:$Q,Settings!$B$17))*100,NA()),NA())</f>
        <v/>
      </c>
      <c r="V860" s="20">
        <f>IF(AND(ISNUMBER(R860),Settings!$B$17&gt;0),IF(ISNUMBER(INDEX($R:$R,Settings!$B$17)),(R860-INDEX($R:$R,Settings!$B$17))*100,NA()),NA())</f>
        <v/>
      </c>
      <c r="W860" s="20">
        <f>IF(AND(ISNUMBER(P860),Settings!$B$17&gt;0),IF(ISNUMBER(INDEX($P:$P,Settings!$B$17)),P860-INDEX($P:$P,Settings!$B$17),NA()),NA())</f>
        <v/>
      </c>
      <c r="X860" s="19">
        <f>IF(NOT(ISNUMBER($A860)),NA(),IF(OR($A860&lt;MIN(DKW_10Y!$A$2:$A$2918),$A860&gt;MAX(DKW_10Y!$A$2:$A$2918),Settings!$B$16&lt;MIN(DKW_10Y!$A$2:$A$2918)),NA(),(INDEX(DKW_10Y!$B$2:$B$2918,MATCH($A860,DKW_10Y!$A$2:$A$2918,1))-INDEX(DKW_10Y!$B$2:$B$2918,MATCH(Settings!$B$16,DKW_10Y!$A$2:$A$2918,1)))*100))</f>
        <v/>
      </c>
      <c r="Y860" s="19">
        <f>IF(NOT(ISNUMBER($A860)),NA(),IF(OR($A860&lt;MIN(DKW_10Y!$A$2:$A$2918),$A860&gt;MAX(DKW_10Y!$A$2:$A$2918),Settings!$B$16&lt;MIN(DKW_10Y!$A$2:$A$2918)),NA(),(INDEX(DKW_10Y!$C$2:$C$2918,MATCH($A860,DKW_10Y!$A$2:$A$2918,1))-INDEX(DKW_10Y!$C$2:$C$2918,MATCH(Settings!$B$16,DKW_10Y!$A$2:$A$2918,1)))*100))</f>
        <v/>
      </c>
      <c r="Z860" s="19">
        <f>IF(NOT(ISNUMBER($A860)),NA(),IF(OR($A860&lt;MIN(DKW_10Y!$A$2:$A$2918),$A860&gt;MAX(DKW_10Y!$A$2:$A$2918),Settings!$B$16&lt;MIN(DKW_10Y!$A$2:$A$2918)),NA(),(INDEX(DKW_10Y!$D$2:$D$2918,MATCH($A860,DKW_10Y!$A$2:$A$2918,1))-INDEX(DKW_10Y!$D$2:$D$2918,MATCH(Settings!$B$16,DKW_10Y!$A$2:$A$2918,1)))*100))</f>
        <v/>
      </c>
      <c r="AA860" s="19">
        <f>IF(NOT(ISNUMBER($A860)),NA(),IF(OR($A860&lt;MIN(DKW_10Y!$A$2:$A$2918),$A860&gt;MAX(DKW_10Y!$A$2:$A$2918),Settings!$B$16&lt;MIN(DKW_10Y!$A$2:$A$2918)),NA(),(INDEX(DKW_10Y!$E$2:$E$2918,MATCH($A860,DKW_10Y!$A$2:$A$2918,1))-INDEX(DKW_10Y!$E$2:$E$2918,MATCH(Settings!$B$16,DKW_10Y!$A$2:$A$2918,1)))*100))</f>
        <v/>
      </c>
      <c r="AB860" s="19">
        <f>IF(NOT(ISNUMBER($A860)),NA(),IF(OR($A860&lt;MIN(DKW_10Y!$A$2:$A$2918),$A860&gt;MAX(DKW_10Y!$A$2:$A$2918),Settings!$B$16&lt;MIN(DKW_10Y!$A$2:$A$2918)),NA(),(INDEX(DKW_10Y!$H$2:$H$2918,MATCH($A860,DKW_10Y!$A$2:$A$2918,1))-INDEX(DKW_10Y!$H$2:$H$2918,MATCH(Settings!$B$16,DKW_10Y!$A$2:$A$2918,1)))*100))</f>
        <v/>
      </c>
      <c r="AC860" s="18">
        <f>IF(NOT(ISNUMBER($A860)),NA(),IFERROR(1*INDEX(BBG_Data!$N$2:$N$4000,MATCH($A860,BBG_Data!$M$2:$M$4000,0)),NA()))</f>
        <v/>
      </c>
      <c r="AD860" s="18">
        <f>IF(NOT(ISNUMBER($A860)),NA(),IFERROR(1*INDEX(BBG_Data!$P$2:$P$4000,MATCH($A860,BBG_Data!$O$2:$O$4000,0)),NA()))</f>
        <v/>
      </c>
      <c r="AE860" s="18">
        <f>IF(NOT(ISNUMBER($A860)),NA(),IFERROR(1*INDEX(BBG_Data!$R$2:$R$4000,MATCH($A860,BBG_Data!$Q$2:$Q$4000,0)),NA()))</f>
        <v/>
      </c>
      <c r="AF860" s="20">
        <f>IF(AND(ISNUMBER(B860),ISNUMBER(AC860)),(B860-AC860)*100,NA())</f>
        <v/>
      </c>
      <c r="AG860" s="20">
        <f>IF(AND(ISNUMBER(AE860),ISNUMBER(AD860)),(AE860-AD860)*100,NA())</f>
        <v/>
      </c>
      <c r="AH860" s="19">
        <f>IF(NOT(ISNUMBER($A860)),NA(),IFERROR(INDEX(BBG_Data!$T$2:$T$4000,MATCH($A860,BBG_Data!$S$2:$S$4000,0))*Settings!$B$25,NA()))</f>
        <v/>
      </c>
      <c r="AI860" s="19">
        <f>IF(NOT(ISNUMBER($A860)),NA(),IFERROR(INDEX(BBG_Data!$V$2:$V$4000,MATCH($A860,BBG_Data!$U$2:$U$4000,0))*Settings!$B$25,NA()))</f>
        <v/>
      </c>
      <c r="AJ860" s="19">
        <f>IF(NOT(ISNUMBER($A860)),NA(),IFERROR(1*INDEX(BBG_Data!$X$2:$X$4000,MATCH($A860,BBG_Data!$W$2:$W$4000,0)),NA()))</f>
        <v/>
      </c>
      <c r="AK860" s="19">
        <f>IF(NOT(ISNUMBER($A860)),NA(),IFERROR(1*INDEX(BBG_Data!$Z$2:$Z$4000,MATCH($A860,BBG_Data!$Y$2:$Y$4000,0)),NA()))</f>
        <v/>
      </c>
    </row>
    <row r="861">
      <c r="A861" s="17">
        <f>IF(ISNUMBER(BBG_Data!A861),BBG_Data!A861,"")</f>
        <v/>
      </c>
      <c r="B861" s="18">
        <f>IF(AND(ISNUMBER($A861),ISNUMBER(BBG_Data!B861)),BBG_Data!B861,NA())</f>
        <v/>
      </c>
      <c r="C861" s="18">
        <f>IF(NOT(ISNUMBER($A861)),NA(),IFERROR(1*INDEX(BBG_Data!$D$2:$D$4000,MATCH($A861,BBG_Data!$C$2:$C$4000,0)),NA()))</f>
        <v/>
      </c>
      <c r="D861" s="19">
        <f>IF(NOT(ISNUMBER($A861)),NA(),IFERROR(1*INDEX(BBG_Data!$F$2:$F$4000,MATCH($A861,BBG_Data!$E$2:$E$4000,0)),NA()))</f>
        <v/>
      </c>
      <c r="E861" s="19">
        <f>IF(NOT(ISNUMBER($A861)),NA(),IFERROR(1*INDEX(BBG_Data!$H$2:$H$4000,MATCH($A861,BBG_Data!$G$2:$G$4000,0)),NA()))</f>
        <v/>
      </c>
      <c r="F861" s="20">
        <f>IF(AND(ISNUMBER(B861),ISNUMBER(B860)),IF(B861=B860,"",(B861-B860)*100),"")</f>
        <v/>
      </c>
      <c r="G861" s="20">
        <f>IF(AND(ISNUMBER(C861),ISNUMBER(C860)),IF(C861=C860,"",(C861-C860)*100),"")</f>
        <v/>
      </c>
      <c r="H861" s="20">
        <f>IF(OR(NOT(ISNUMBER($A861)),ROW()-2&lt;Settings!$B$11),NA(),IF(COUNT(OFFSET(F861,1-Settings!$B$11,0,Settings!$B$11,1))&lt;ROUNDUP(Settings!$B$11*Settings!$B$26,0),NA(),STDEV(OFFSET(F861,1-Settings!$B$11,0,Settings!$B$11,1))*SQRT(Settings!$B$13)))</f>
        <v/>
      </c>
      <c r="I861" s="20">
        <f>IF(OR(NOT(ISNUMBER($A861)),ROW()-2&lt;Settings!$B$12),NA(),IF(COUNT(OFFSET(F861,1-Settings!$B$12,0,Settings!$B$12,1))&lt;ROUNDUP(Settings!$B$12*Settings!$B$26,0),NA(),STDEV(OFFSET(F861,1-Settings!$B$12,0,Settings!$B$12,1))*SQRT(Settings!$B$13)))</f>
        <v/>
      </c>
      <c r="J861" s="20">
        <f>IF(OR(NOT(ISNUMBER($A861)),ROW()-2&lt;Settings!$B$11),NA(),IF(COUNT(OFFSET(G861,1-Settings!$B$11,0,Settings!$B$11,1))&lt;ROUNDUP(Settings!$B$11*Settings!$B$26,0),NA(),STDEV(OFFSET(G861,1-Settings!$B$11,0,Settings!$B$11,1))*SQRT(Settings!$B$13)))</f>
        <v/>
      </c>
      <c r="K861" s="20">
        <f>IF(OR(NOT(ISNUMBER($A861)),ROW()-2&lt;Settings!$B$12),NA(),IF(COUNT(OFFSET(G861,1-Settings!$B$12,0,Settings!$B$12,1))&lt;ROUNDUP(Settings!$B$12*Settings!$B$26,0),NA(),STDEV(OFFSET(G861,1-Settings!$B$12,0,Settings!$B$12,1))*SQRT(Settings!$B$13)))</f>
        <v/>
      </c>
      <c r="L861" s="20">
        <f>IF(AND(ISNUMBER(D861),ISNUMBER(H861)),D861-H861,NA())</f>
        <v/>
      </c>
      <c r="M861" s="20">
        <f>IF(AND(ISNUMBER(E861),ISNUMBER(K861)),E861-K861,NA())</f>
        <v/>
      </c>
      <c r="N861" s="20">
        <f>IF(NOT(ISNUMBER($A861)),NA(),IF(COUNT(OFFSET(G861,1,0,Settings!$B$12,1))&lt;ROUNDUP(Settings!$B$12*Settings!$B$26,0),NA(),STDEV(OFFSET(G861,1,0,Settings!$B$12,1))*SQRT(Settings!$B$13)))</f>
        <v/>
      </c>
      <c r="O861" s="20">
        <f>IF(AND(ISNUMBER(E861),ISNUMBER(N861)),E861-N861,NA())</f>
        <v/>
      </c>
      <c r="P861" s="19">
        <f>IF(NOT(ISNUMBER($A861)),NA(),IF(OR($A861&lt;MIN(KW_TP!$A$2:$A$2501),$A861&gt;MAX(KW_TP!$A$2:$A$2501)),NA(),INDEX(KW_TP!$C$2:$C$2501,MATCH($A861,KW_TP!$A$2:$A$2501,1))))</f>
        <v/>
      </c>
      <c r="Q861" s="18">
        <f>IF(NOT(ISNUMBER($A861)),NA(),IFERROR(1*INDEX(BBG_Data!$J$2:$J$4000,MATCH($A861,BBG_Data!$I$2:$I$4000,0)),NA()))</f>
        <v/>
      </c>
      <c r="R861" s="18">
        <f>IF(NOT(ISNUMBER($A861)),NA(),IFERROR(1*INDEX(BBG_Data!$L$2:$L$4000,MATCH($A861,BBG_Data!$K$2:$K$4000,0)),NA()))</f>
        <v/>
      </c>
      <c r="S861" s="20">
        <f>IF(AND(ISNUMBER(B861),ISNUMBER(Q861),ISNUMBER(R861)),(B861-Q861-R861)*100,NA())</f>
        <v/>
      </c>
      <c r="T861" s="20">
        <f>IF(AND(ISNUMBER(B861),Settings!$B$17&gt;0),IF(ISNUMBER(INDEX($B:$B,Settings!$B$17)),(B861-INDEX($B:$B,Settings!$B$17))*100,NA()),NA())</f>
        <v/>
      </c>
      <c r="U861" s="20">
        <f>IF(AND(ISNUMBER(Q861),Settings!$B$17&gt;0),IF(ISNUMBER(INDEX($Q:$Q,Settings!$B$17)),(Q861-INDEX($Q:$Q,Settings!$B$17))*100,NA()),NA())</f>
        <v/>
      </c>
      <c r="V861" s="20">
        <f>IF(AND(ISNUMBER(R861),Settings!$B$17&gt;0),IF(ISNUMBER(INDEX($R:$R,Settings!$B$17)),(R861-INDEX($R:$R,Settings!$B$17))*100,NA()),NA())</f>
        <v/>
      </c>
      <c r="W861" s="20">
        <f>IF(AND(ISNUMBER(P861),Settings!$B$17&gt;0),IF(ISNUMBER(INDEX($P:$P,Settings!$B$17)),P861-INDEX($P:$P,Settings!$B$17),NA()),NA())</f>
        <v/>
      </c>
      <c r="X861" s="19">
        <f>IF(NOT(ISNUMBER($A861)),NA(),IF(OR($A861&lt;MIN(DKW_10Y!$A$2:$A$2918),$A861&gt;MAX(DKW_10Y!$A$2:$A$2918),Settings!$B$16&lt;MIN(DKW_10Y!$A$2:$A$2918)),NA(),(INDEX(DKW_10Y!$B$2:$B$2918,MATCH($A861,DKW_10Y!$A$2:$A$2918,1))-INDEX(DKW_10Y!$B$2:$B$2918,MATCH(Settings!$B$16,DKW_10Y!$A$2:$A$2918,1)))*100))</f>
        <v/>
      </c>
      <c r="Y861" s="19">
        <f>IF(NOT(ISNUMBER($A861)),NA(),IF(OR($A861&lt;MIN(DKW_10Y!$A$2:$A$2918),$A861&gt;MAX(DKW_10Y!$A$2:$A$2918),Settings!$B$16&lt;MIN(DKW_10Y!$A$2:$A$2918)),NA(),(INDEX(DKW_10Y!$C$2:$C$2918,MATCH($A861,DKW_10Y!$A$2:$A$2918,1))-INDEX(DKW_10Y!$C$2:$C$2918,MATCH(Settings!$B$16,DKW_10Y!$A$2:$A$2918,1)))*100))</f>
        <v/>
      </c>
      <c r="Z861" s="19">
        <f>IF(NOT(ISNUMBER($A861)),NA(),IF(OR($A861&lt;MIN(DKW_10Y!$A$2:$A$2918),$A861&gt;MAX(DKW_10Y!$A$2:$A$2918),Settings!$B$16&lt;MIN(DKW_10Y!$A$2:$A$2918)),NA(),(INDEX(DKW_10Y!$D$2:$D$2918,MATCH($A861,DKW_10Y!$A$2:$A$2918,1))-INDEX(DKW_10Y!$D$2:$D$2918,MATCH(Settings!$B$16,DKW_10Y!$A$2:$A$2918,1)))*100))</f>
        <v/>
      </c>
      <c r="AA861" s="19">
        <f>IF(NOT(ISNUMBER($A861)),NA(),IF(OR($A861&lt;MIN(DKW_10Y!$A$2:$A$2918),$A861&gt;MAX(DKW_10Y!$A$2:$A$2918),Settings!$B$16&lt;MIN(DKW_10Y!$A$2:$A$2918)),NA(),(INDEX(DKW_10Y!$E$2:$E$2918,MATCH($A861,DKW_10Y!$A$2:$A$2918,1))-INDEX(DKW_10Y!$E$2:$E$2918,MATCH(Settings!$B$16,DKW_10Y!$A$2:$A$2918,1)))*100))</f>
        <v/>
      </c>
      <c r="AB861" s="19">
        <f>IF(NOT(ISNUMBER($A861)),NA(),IF(OR($A861&lt;MIN(DKW_10Y!$A$2:$A$2918),$A861&gt;MAX(DKW_10Y!$A$2:$A$2918),Settings!$B$16&lt;MIN(DKW_10Y!$A$2:$A$2918)),NA(),(INDEX(DKW_10Y!$H$2:$H$2918,MATCH($A861,DKW_10Y!$A$2:$A$2918,1))-INDEX(DKW_10Y!$H$2:$H$2918,MATCH(Settings!$B$16,DKW_10Y!$A$2:$A$2918,1)))*100))</f>
        <v/>
      </c>
      <c r="AC861" s="18">
        <f>IF(NOT(ISNUMBER($A861)),NA(),IFERROR(1*INDEX(BBG_Data!$N$2:$N$4000,MATCH($A861,BBG_Data!$M$2:$M$4000,0)),NA()))</f>
        <v/>
      </c>
      <c r="AD861" s="18">
        <f>IF(NOT(ISNUMBER($A861)),NA(),IFERROR(1*INDEX(BBG_Data!$P$2:$P$4000,MATCH($A861,BBG_Data!$O$2:$O$4000,0)),NA()))</f>
        <v/>
      </c>
      <c r="AE861" s="18">
        <f>IF(NOT(ISNUMBER($A861)),NA(),IFERROR(1*INDEX(BBG_Data!$R$2:$R$4000,MATCH($A861,BBG_Data!$Q$2:$Q$4000,0)),NA()))</f>
        <v/>
      </c>
      <c r="AF861" s="20">
        <f>IF(AND(ISNUMBER(B861),ISNUMBER(AC861)),(B861-AC861)*100,NA())</f>
        <v/>
      </c>
      <c r="AG861" s="20">
        <f>IF(AND(ISNUMBER(AE861),ISNUMBER(AD861)),(AE861-AD861)*100,NA())</f>
        <v/>
      </c>
      <c r="AH861" s="19">
        <f>IF(NOT(ISNUMBER($A861)),NA(),IFERROR(INDEX(BBG_Data!$T$2:$T$4000,MATCH($A861,BBG_Data!$S$2:$S$4000,0))*Settings!$B$25,NA()))</f>
        <v/>
      </c>
      <c r="AI861" s="19">
        <f>IF(NOT(ISNUMBER($A861)),NA(),IFERROR(INDEX(BBG_Data!$V$2:$V$4000,MATCH($A861,BBG_Data!$U$2:$U$4000,0))*Settings!$B$25,NA()))</f>
        <v/>
      </c>
      <c r="AJ861" s="19">
        <f>IF(NOT(ISNUMBER($A861)),NA(),IFERROR(1*INDEX(BBG_Data!$X$2:$X$4000,MATCH($A861,BBG_Data!$W$2:$W$4000,0)),NA()))</f>
        <v/>
      </c>
      <c r="AK861" s="19">
        <f>IF(NOT(ISNUMBER($A861)),NA(),IFERROR(1*INDEX(BBG_Data!$Z$2:$Z$4000,MATCH($A861,BBG_Data!$Y$2:$Y$4000,0)),NA()))</f>
        <v/>
      </c>
    </row>
    <row r="862">
      <c r="A862" s="17">
        <f>IF(ISNUMBER(BBG_Data!A862),BBG_Data!A862,"")</f>
        <v/>
      </c>
      <c r="B862" s="18">
        <f>IF(AND(ISNUMBER($A862),ISNUMBER(BBG_Data!B862)),BBG_Data!B862,NA())</f>
        <v/>
      </c>
      <c r="C862" s="18">
        <f>IF(NOT(ISNUMBER($A862)),NA(),IFERROR(1*INDEX(BBG_Data!$D$2:$D$4000,MATCH($A862,BBG_Data!$C$2:$C$4000,0)),NA()))</f>
        <v/>
      </c>
      <c r="D862" s="19">
        <f>IF(NOT(ISNUMBER($A862)),NA(),IFERROR(1*INDEX(BBG_Data!$F$2:$F$4000,MATCH($A862,BBG_Data!$E$2:$E$4000,0)),NA()))</f>
        <v/>
      </c>
      <c r="E862" s="19">
        <f>IF(NOT(ISNUMBER($A862)),NA(),IFERROR(1*INDEX(BBG_Data!$H$2:$H$4000,MATCH($A862,BBG_Data!$G$2:$G$4000,0)),NA()))</f>
        <v/>
      </c>
      <c r="F862" s="20">
        <f>IF(AND(ISNUMBER(B862),ISNUMBER(B861)),IF(B862=B861,"",(B862-B861)*100),"")</f>
        <v/>
      </c>
      <c r="G862" s="20">
        <f>IF(AND(ISNUMBER(C862),ISNUMBER(C861)),IF(C862=C861,"",(C862-C861)*100),"")</f>
        <v/>
      </c>
      <c r="H862" s="20">
        <f>IF(OR(NOT(ISNUMBER($A862)),ROW()-2&lt;Settings!$B$11),NA(),IF(COUNT(OFFSET(F862,1-Settings!$B$11,0,Settings!$B$11,1))&lt;ROUNDUP(Settings!$B$11*Settings!$B$26,0),NA(),STDEV(OFFSET(F862,1-Settings!$B$11,0,Settings!$B$11,1))*SQRT(Settings!$B$13)))</f>
        <v/>
      </c>
      <c r="I862" s="20">
        <f>IF(OR(NOT(ISNUMBER($A862)),ROW()-2&lt;Settings!$B$12),NA(),IF(COUNT(OFFSET(F862,1-Settings!$B$12,0,Settings!$B$12,1))&lt;ROUNDUP(Settings!$B$12*Settings!$B$26,0),NA(),STDEV(OFFSET(F862,1-Settings!$B$12,0,Settings!$B$12,1))*SQRT(Settings!$B$13)))</f>
        <v/>
      </c>
      <c r="J862" s="20">
        <f>IF(OR(NOT(ISNUMBER($A862)),ROW()-2&lt;Settings!$B$11),NA(),IF(COUNT(OFFSET(G862,1-Settings!$B$11,0,Settings!$B$11,1))&lt;ROUNDUP(Settings!$B$11*Settings!$B$26,0),NA(),STDEV(OFFSET(G862,1-Settings!$B$11,0,Settings!$B$11,1))*SQRT(Settings!$B$13)))</f>
        <v/>
      </c>
      <c r="K862" s="20">
        <f>IF(OR(NOT(ISNUMBER($A862)),ROW()-2&lt;Settings!$B$12),NA(),IF(COUNT(OFFSET(G862,1-Settings!$B$12,0,Settings!$B$12,1))&lt;ROUNDUP(Settings!$B$12*Settings!$B$26,0),NA(),STDEV(OFFSET(G862,1-Settings!$B$12,0,Settings!$B$12,1))*SQRT(Settings!$B$13)))</f>
        <v/>
      </c>
      <c r="L862" s="20">
        <f>IF(AND(ISNUMBER(D862),ISNUMBER(H862)),D862-H862,NA())</f>
        <v/>
      </c>
      <c r="M862" s="20">
        <f>IF(AND(ISNUMBER(E862),ISNUMBER(K862)),E862-K862,NA())</f>
        <v/>
      </c>
      <c r="N862" s="20">
        <f>IF(NOT(ISNUMBER($A862)),NA(),IF(COUNT(OFFSET(G862,1,0,Settings!$B$12,1))&lt;ROUNDUP(Settings!$B$12*Settings!$B$26,0),NA(),STDEV(OFFSET(G862,1,0,Settings!$B$12,1))*SQRT(Settings!$B$13)))</f>
        <v/>
      </c>
      <c r="O862" s="20">
        <f>IF(AND(ISNUMBER(E862),ISNUMBER(N862)),E862-N862,NA())</f>
        <v/>
      </c>
      <c r="P862" s="19">
        <f>IF(NOT(ISNUMBER($A862)),NA(),IF(OR($A862&lt;MIN(KW_TP!$A$2:$A$2501),$A862&gt;MAX(KW_TP!$A$2:$A$2501)),NA(),INDEX(KW_TP!$C$2:$C$2501,MATCH($A862,KW_TP!$A$2:$A$2501,1))))</f>
        <v/>
      </c>
      <c r="Q862" s="18">
        <f>IF(NOT(ISNUMBER($A862)),NA(),IFERROR(1*INDEX(BBG_Data!$J$2:$J$4000,MATCH($A862,BBG_Data!$I$2:$I$4000,0)),NA()))</f>
        <v/>
      </c>
      <c r="R862" s="18">
        <f>IF(NOT(ISNUMBER($A862)),NA(),IFERROR(1*INDEX(BBG_Data!$L$2:$L$4000,MATCH($A862,BBG_Data!$K$2:$K$4000,0)),NA()))</f>
        <v/>
      </c>
      <c r="S862" s="20">
        <f>IF(AND(ISNUMBER(B862),ISNUMBER(Q862),ISNUMBER(R862)),(B862-Q862-R862)*100,NA())</f>
        <v/>
      </c>
      <c r="T862" s="20">
        <f>IF(AND(ISNUMBER(B862),Settings!$B$17&gt;0),IF(ISNUMBER(INDEX($B:$B,Settings!$B$17)),(B862-INDEX($B:$B,Settings!$B$17))*100,NA()),NA())</f>
        <v/>
      </c>
      <c r="U862" s="20">
        <f>IF(AND(ISNUMBER(Q862),Settings!$B$17&gt;0),IF(ISNUMBER(INDEX($Q:$Q,Settings!$B$17)),(Q862-INDEX($Q:$Q,Settings!$B$17))*100,NA()),NA())</f>
        <v/>
      </c>
      <c r="V862" s="20">
        <f>IF(AND(ISNUMBER(R862),Settings!$B$17&gt;0),IF(ISNUMBER(INDEX($R:$R,Settings!$B$17)),(R862-INDEX($R:$R,Settings!$B$17))*100,NA()),NA())</f>
        <v/>
      </c>
      <c r="W862" s="20">
        <f>IF(AND(ISNUMBER(P862),Settings!$B$17&gt;0),IF(ISNUMBER(INDEX($P:$P,Settings!$B$17)),P862-INDEX($P:$P,Settings!$B$17),NA()),NA())</f>
        <v/>
      </c>
      <c r="X862" s="19">
        <f>IF(NOT(ISNUMBER($A862)),NA(),IF(OR($A862&lt;MIN(DKW_10Y!$A$2:$A$2918),$A862&gt;MAX(DKW_10Y!$A$2:$A$2918),Settings!$B$16&lt;MIN(DKW_10Y!$A$2:$A$2918)),NA(),(INDEX(DKW_10Y!$B$2:$B$2918,MATCH($A862,DKW_10Y!$A$2:$A$2918,1))-INDEX(DKW_10Y!$B$2:$B$2918,MATCH(Settings!$B$16,DKW_10Y!$A$2:$A$2918,1)))*100))</f>
        <v/>
      </c>
      <c r="Y862" s="19">
        <f>IF(NOT(ISNUMBER($A862)),NA(),IF(OR($A862&lt;MIN(DKW_10Y!$A$2:$A$2918),$A862&gt;MAX(DKW_10Y!$A$2:$A$2918),Settings!$B$16&lt;MIN(DKW_10Y!$A$2:$A$2918)),NA(),(INDEX(DKW_10Y!$C$2:$C$2918,MATCH($A862,DKW_10Y!$A$2:$A$2918,1))-INDEX(DKW_10Y!$C$2:$C$2918,MATCH(Settings!$B$16,DKW_10Y!$A$2:$A$2918,1)))*100))</f>
        <v/>
      </c>
      <c r="Z862" s="19">
        <f>IF(NOT(ISNUMBER($A862)),NA(),IF(OR($A862&lt;MIN(DKW_10Y!$A$2:$A$2918),$A862&gt;MAX(DKW_10Y!$A$2:$A$2918),Settings!$B$16&lt;MIN(DKW_10Y!$A$2:$A$2918)),NA(),(INDEX(DKW_10Y!$D$2:$D$2918,MATCH($A862,DKW_10Y!$A$2:$A$2918,1))-INDEX(DKW_10Y!$D$2:$D$2918,MATCH(Settings!$B$16,DKW_10Y!$A$2:$A$2918,1)))*100))</f>
        <v/>
      </c>
      <c r="AA862" s="19">
        <f>IF(NOT(ISNUMBER($A862)),NA(),IF(OR($A862&lt;MIN(DKW_10Y!$A$2:$A$2918),$A862&gt;MAX(DKW_10Y!$A$2:$A$2918),Settings!$B$16&lt;MIN(DKW_10Y!$A$2:$A$2918)),NA(),(INDEX(DKW_10Y!$E$2:$E$2918,MATCH($A862,DKW_10Y!$A$2:$A$2918,1))-INDEX(DKW_10Y!$E$2:$E$2918,MATCH(Settings!$B$16,DKW_10Y!$A$2:$A$2918,1)))*100))</f>
        <v/>
      </c>
      <c r="AB862" s="19">
        <f>IF(NOT(ISNUMBER($A862)),NA(),IF(OR($A862&lt;MIN(DKW_10Y!$A$2:$A$2918),$A862&gt;MAX(DKW_10Y!$A$2:$A$2918),Settings!$B$16&lt;MIN(DKW_10Y!$A$2:$A$2918)),NA(),(INDEX(DKW_10Y!$H$2:$H$2918,MATCH($A862,DKW_10Y!$A$2:$A$2918,1))-INDEX(DKW_10Y!$H$2:$H$2918,MATCH(Settings!$B$16,DKW_10Y!$A$2:$A$2918,1)))*100))</f>
        <v/>
      </c>
      <c r="AC862" s="18">
        <f>IF(NOT(ISNUMBER($A862)),NA(),IFERROR(1*INDEX(BBG_Data!$N$2:$N$4000,MATCH($A862,BBG_Data!$M$2:$M$4000,0)),NA()))</f>
        <v/>
      </c>
      <c r="AD862" s="18">
        <f>IF(NOT(ISNUMBER($A862)),NA(),IFERROR(1*INDEX(BBG_Data!$P$2:$P$4000,MATCH($A862,BBG_Data!$O$2:$O$4000,0)),NA()))</f>
        <v/>
      </c>
      <c r="AE862" s="18">
        <f>IF(NOT(ISNUMBER($A862)),NA(),IFERROR(1*INDEX(BBG_Data!$R$2:$R$4000,MATCH($A862,BBG_Data!$Q$2:$Q$4000,0)),NA()))</f>
        <v/>
      </c>
      <c r="AF862" s="20">
        <f>IF(AND(ISNUMBER(B862),ISNUMBER(AC862)),(B862-AC862)*100,NA())</f>
        <v/>
      </c>
      <c r="AG862" s="20">
        <f>IF(AND(ISNUMBER(AE862),ISNUMBER(AD862)),(AE862-AD862)*100,NA())</f>
        <v/>
      </c>
      <c r="AH862" s="19">
        <f>IF(NOT(ISNUMBER($A862)),NA(),IFERROR(INDEX(BBG_Data!$T$2:$T$4000,MATCH($A862,BBG_Data!$S$2:$S$4000,0))*Settings!$B$25,NA()))</f>
        <v/>
      </c>
      <c r="AI862" s="19">
        <f>IF(NOT(ISNUMBER($A862)),NA(),IFERROR(INDEX(BBG_Data!$V$2:$V$4000,MATCH($A862,BBG_Data!$U$2:$U$4000,0))*Settings!$B$25,NA()))</f>
        <v/>
      </c>
      <c r="AJ862" s="19">
        <f>IF(NOT(ISNUMBER($A862)),NA(),IFERROR(1*INDEX(BBG_Data!$X$2:$X$4000,MATCH($A862,BBG_Data!$W$2:$W$4000,0)),NA()))</f>
        <v/>
      </c>
      <c r="AK862" s="19">
        <f>IF(NOT(ISNUMBER($A862)),NA(),IFERROR(1*INDEX(BBG_Data!$Z$2:$Z$4000,MATCH($A862,BBG_Data!$Y$2:$Y$4000,0)),NA()))</f>
        <v/>
      </c>
    </row>
    <row r="863">
      <c r="A863" s="17">
        <f>IF(ISNUMBER(BBG_Data!A863),BBG_Data!A863,"")</f>
        <v/>
      </c>
      <c r="B863" s="18">
        <f>IF(AND(ISNUMBER($A863),ISNUMBER(BBG_Data!B863)),BBG_Data!B863,NA())</f>
        <v/>
      </c>
      <c r="C863" s="18">
        <f>IF(NOT(ISNUMBER($A863)),NA(),IFERROR(1*INDEX(BBG_Data!$D$2:$D$4000,MATCH($A863,BBG_Data!$C$2:$C$4000,0)),NA()))</f>
        <v/>
      </c>
      <c r="D863" s="19">
        <f>IF(NOT(ISNUMBER($A863)),NA(),IFERROR(1*INDEX(BBG_Data!$F$2:$F$4000,MATCH($A863,BBG_Data!$E$2:$E$4000,0)),NA()))</f>
        <v/>
      </c>
      <c r="E863" s="19">
        <f>IF(NOT(ISNUMBER($A863)),NA(),IFERROR(1*INDEX(BBG_Data!$H$2:$H$4000,MATCH($A863,BBG_Data!$G$2:$G$4000,0)),NA()))</f>
        <v/>
      </c>
      <c r="F863" s="20">
        <f>IF(AND(ISNUMBER(B863),ISNUMBER(B862)),IF(B863=B862,"",(B863-B862)*100),"")</f>
        <v/>
      </c>
      <c r="G863" s="20">
        <f>IF(AND(ISNUMBER(C863),ISNUMBER(C862)),IF(C863=C862,"",(C863-C862)*100),"")</f>
        <v/>
      </c>
      <c r="H863" s="20">
        <f>IF(OR(NOT(ISNUMBER($A863)),ROW()-2&lt;Settings!$B$11),NA(),IF(COUNT(OFFSET(F863,1-Settings!$B$11,0,Settings!$B$11,1))&lt;ROUNDUP(Settings!$B$11*Settings!$B$26,0),NA(),STDEV(OFFSET(F863,1-Settings!$B$11,0,Settings!$B$11,1))*SQRT(Settings!$B$13)))</f>
        <v/>
      </c>
      <c r="I863" s="20">
        <f>IF(OR(NOT(ISNUMBER($A863)),ROW()-2&lt;Settings!$B$12),NA(),IF(COUNT(OFFSET(F863,1-Settings!$B$12,0,Settings!$B$12,1))&lt;ROUNDUP(Settings!$B$12*Settings!$B$26,0),NA(),STDEV(OFFSET(F863,1-Settings!$B$12,0,Settings!$B$12,1))*SQRT(Settings!$B$13)))</f>
        <v/>
      </c>
      <c r="J863" s="20">
        <f>IF(OR(NOT(ISNUMBER($A863)),ROW()-2&lt;Settings!$B$11),NA(),IF(COUNT(OFFSET(G863,1-Settings!$B$11,0,Settings!$B$11,1))&lt;ROUNDUP(Settings!$B$11*Settings!$B$26,0),NA(),STDEV(OFFSET(G863,1-Settings!$B$11,0,Settings!$B$11,1))*SQRT(Settings!$B$13)))</f>
        <v/>
      </c>
      <c r="K863" s="20">
        <f>IF(OR(NOT(ISNUMBER($A863)),ROW()-2&lt;Settings!$B$12),NA(),IF(COUNT(OFFSET(G863,1-Settings!$B$12,0,Settings!$B$12,1))&lt;ROUNDUP(Settings!$B$12*Settings!$B$26,0),NA(),STDEV(OFFSET(G863,1-Settings!$B$12,0,Settings!$B$12,1))*SQRT(Settings!$B$13)))</f>
        <v/>
      </c>
      <c r="L863" s="20">
        <f>IF(AND(ISNUMBER(D863),ISNUMBER(H863)),D863-H863,NA())</f>
        <v/>
      </c>
      <c r="M863" s="20">
        <f>IF(AND(ISNUMBER(E863),ISNUMBER(K863)),E863-K863,NA())</f>
        <v/>
      </c>
      <c r="N863" s="20">
        <f>IF(NOT(ISNUMBER($A863)),NA(),IF(COUNT(OFFSET(G863,1,0,Settings!$B$12,1))&lt;ROUNDUP(Settings!$B$12*Settings!$B$26,0),NA(),STDEV(OFFSET(G863,1,0,Settings!$B$12,1))*SQRT(Settings!$B$13)))</f>
        <v/>
      </c>
      <c r="O863" s="20">
        <f>IF(AND(ISNUMBER(E863),ISNUMBER(N863)),E863-N863,NA())</f>
        <v/>
      </c>
      <c r="P863" s="19">
        <f>IF(NOT(ISNUMBER($A863)),NA(),IF(OR($A863&lt;MIN(KW_TP!$A$2:$A$2501),$A863&gt;MAX(KW_TP!$A$2:$A$2501)),NA(),INDEX(KW_TP!$C$2:$C$2501,MATCH($A863,KW_TP!$A$2:$A$2501,1))))</f>
        <v/>
      </c>
      <c r="Q863" s="18">
        <f>IF(NOT(ISNUMBER($A863)),NA(),IFERROR(1*INDEX(BBG_Data!$J$2:$J$4000,MATCH($A863,BBG_Data!$I$2:$I$4000,0)),NA()))</f>
        <v/>
      </c>
      <c r="R863" s="18">
        <f>IF(NOT(ISNUMBER($A863)),NA(),IFERROR(1*INDEX(BBG_Data!$L$2:$L$4000,MATCH($A863,BBG_Data!$K$2:$K$4000,0)),NA()))</f>
        <v/>
      </c>
      <c r="S863" s="20">
        <f>IF(AND(ISNUMBER(B863),ISNUMBER(Q863),ISNUMBER(R863)),(B863-Q863-R863)*100,NA())</f>
        <v/>
      </c>
      <c r="T863" s="20">
        <f>IF(AND(ISNUMBER(B863),Settings!$B$17&gt;0),IF(ISNUMBER(INDEX($B:$B,Settings!$B$17)),(B863-INDEX($B:$B,Settings!$B$17))*100,NA()),NA())</f>
        <v/>
      </c>
      <c r="U863" s="20">
        <f>IF(AND(ISNUMBER(Q863),Settings!$B$17&gt;0),IF(ISNUMBER(INDEX($Q:$Q,Settings!$B$17)),(Q863-INDEX($Q:$Q,Settings!$B$17))*100,NA()),NA())</f>
        <v/>
      </c>
      <c r="V863" s="20">
        <f>IF(AND(ISNUMBER(R863),Settings!$B$17&gt;0),IF(ISNUMBER(INDEX($R:$R,Settings!$B$17)),(R863-INDEX($R:$R,Settings!$B$17))*100,NA()),NA())</f>
        <v/>
      </c>
      <c r="W863" s="20">
        <f>IF(AND(ISNUMBER(P863),Settings!$B$17&gt;0),IF(ISNUMBER(INDEX($P:$P,Settings!$B$17)),P863-INDEX($P:$P,Settings!$B$17),NA()),NA())</f>
        <v/>
      </c>
      <c r="X863" s="19">
        <f>IF(NOT(ISNUMBER($A863)),NA(),IF(OR($A863&lt;MIN(DKW_10Y!$A$2:$A$2918),$A863&gt;MAX(DKW_10Y!$A$2:$A$2918),Settings!$B$16&lt;MIN(DKW_10Y!$A$2:$A$2918)),NA(),(INDEX(DKW_10Y!$B$2:$B$2918,MATCH($A863,DKW_10Y!$A$2:$A$2918,1))-INDEX(DKW_10Y!$B$2:$B$2918,MATCH(Settings!$B$16,DKW_10Y!$A$2:$A$2918,1)))*100))</f>
        <v/>
      </c>
      <c r="Y863" s="19">
        <f>IF(NOT(ISNUMBER($A863)),NA(),IF(OR($A863&lt;MIN(DKW_10Y!$A$2:$A$2918),$A863&gt;MAX(DKW_10Y!$A$2:$A$2918),Settings!$B$16&lt;MIN(DKW_10Y!$A$2:$A$2918)),NA(),(INDEX(DKW_10Y!$C$2:$C$2918,MATCH($A863,DKW_10Y!$A$2:$A$2918,1))-INDEX(DKW_10Y!$C$2:$C$2918,MATCH(Settings!$B$16,DKW_10Y!$A$2:$A$2918,1)))*100))</f>
        <v/>
      </c>
      <c r="Z863" s="19">
        <f>IF(NOT(ISNUMBER($A863)),NA(),IF(OR($A863&lt;MIN(DKW_10Y!$A$2:$A$2918),$A863&gt;MAX(DKW_10Y!$A$2:$A$2918),Settings!$B$16&lt;MIN(DKW_10Y!$A$2:$A$2918)),NA(),(INDEX(DKW_10Y!$D$2:$D$2918,MATCH($A863,DKW_10Y!$A$2:$A$2918,1))-INDEX(DKW_10Y!$D$2:$D$2918,MATCH(Settings!$B$16,DKW_10Y!$A$2:$A$2918,1)))*100))</f>
        <v/>
      </c>
      <c r="AA863" s="19">
        <f>IF(NOT(ISNUMBER($A863)),NA(),IF(OR($A863&lt;MIN(DKW_10Y!$A$2:$A$2918),$A863&gt;MAX(DKW_10Y!$A$2:$A$2918),Settings!$B$16&lt;MIN(DKW_10Y!$A$2:$A$2918)),NA(),(INDEX(DKW_10Y!$E$2:$E$2918,MATCH($A863,DKW_10Y!$A$2:$A$2918,1))-INDEX(DKW_10Y!$E$2:$E$2918,MATCH(Settings!$B$16,DKW_10Y!$A$2:$A$2918,1)))*100))</f>
        <v/>
      </c>
      <c r="AB863" s="19">
        <f>IF(NOT(ISNUMBER($A863)),NA(),IF(OR($A863&lt;MIN(DKW_10Y!$A$2:$A$2918),$A863&gt;MAX(DKW_10Y!$A$2:$A$2918),Settings!$B$16&lt;MIN(DKW_10Y!$A$2:$A$2918)),NA(),(INDEX(DKW_10Y!$H$2:$H$2918,MATCH($A863,DKW_10Y!$A$2:$A$2918,1))-INDEX(DKW_10Y!$H$2:$H$2918,MATCH(Settings!$B$16,DKW_10Y!$A$2:$A$2918,1)))*100))</f>
        <v/>
      </c>
      <c r="AC863" s="18">
        <f>IF(NOT(ISNUMBER($A863)),NA(),IFERROR(1*INDEX(BBG_Data!$N$2:$N$4000,MATCH($A863,BBG_Data!$M$2:$M$4000,0)),NA()))</f>
        <v/>
      </c>
      <c r="AD863" s="18">
        <f>IF(NOT(ISNUMBER($A863)),NA(),IFERROR(1*INDEX(BBG_Data!$P$2:$P$4000,MATCH($A863,BBG_Data!$O$2:$O$4000,0)),NA()))</f>
        <v/>
      </c>
      <c r="AE863" s="18">
        <f>IF(NOT(ISNUMBER($A863)),NA(),IFERROR(1*INDEX(BBG_Data!$R$2:$R$4000,MATCH($A863,BBG_Data!$Q$2:$Q$4000,0)),NA()))</f>
        <v/>
      </c>
      <c r="AF863" s="20">
        <f>IF(AND(ISNUMBER(B863),ISNUMBER(AC863)),(B863-AC863)*100,NA())</f>
        <v/>
      </c>
      <c r="AG863" s="20">
        <f>IF(AND(ISNUMBER(AE863),ISNUMBER(AD863)),(AE863-AD863)*100,NA())</f>
        <v/>
      </c>
      <c r="AH863" s="19">
        <f>IF(NOT(ISNUMBER($A863)),NA(),IFERROR(INDEX(BBG_Data!$T$2:$T$4000,MATCH($A863,BBG_Data!$S$2:$S$4000,0))*Settings!$B$25,NA()))</f>
        <v/>
      </c>
      <c r="AI863" s="19">
        <f>IF(NOT(ISNUMBER($A863)),NA(),IFERROR(INDEX(BBG_Data!$V$2:$V$4000,MATCH($A863,BBG_Data!$U$2:$U$4000,0))*Settings!$B$25,NA()))</f>
        <v/>
      </c>
      <c r="AJ863" s="19">
        <f>IF(NOT(ISNUMBER($A863)),NA(),IFERROR(1*INDEX(BBG_Data!$X$2:$X$4000,MATCH($A863,BBG_Data!$W$2:$W$4000,0)),NA()))</f>
        <v/>
      </c>
      <c r="AK863" s="19">
        <f>IF(NOT(ISNUMBER($A863)),NA(),IFERROR(1*INDEX(BBG_Data!$Z$2:$Z$4000,MATCH($A863,BBG_Data!$Y$2:$Y$4000,0)),NA()))</f>
        <v/>
      </c>
    </row>
    <row r="864">
      <c r="A864" s="17">
        <f>IF(ISNUMBER(BBG_Data!A864),BBG_Data!A864,"")</f>
        <v/>
      </c>
      <c r="B864" s="18">
        <f>IF(AND(ISNUMBER($A864),ISNUMBER(BBG_Data!B864)),BBG_Data!B864,NA())</f>
        <v/>
      </c>
      <c r="C864" s="18">
        <f>IF(NOT(ISNUMBER($A864)),NA(),IFERROR(1*INDEX(BBG_Data!$D$2:$D$4000,MATCH($A864,BBG_Data!$C$2:$C$4000,0)),NA()))</f>
        <v/>
      </c>
      <c r="D864" s="19">
        <f>IF(NOT(ISNUMBER($A864)),NA(),IFERROR(1*INDEX(BBG_Data!$F$2:$F$4000,MATCH($A864,BBG_Data!$E$2:$E$4000,0)),NA()))</f>
        <v/>
      </c>
      <c r="E864" s="19">
        <f>IF(NOT(ISNUMBER($A864)),NA(),IFERROR(1*INDEX(BBG_Data!$H$2:$H$4000,MATCH($A864,BBG_Data!$G$2:$G$4000,0)),NA()))</f>
        <v/>
      </c>
      <c r="F864" s="20">
        <f>IF(AND(ISNUMBER(B864),ISNUMBER(B863)),IF(B864=B863,"",(B864-B863)*100),"")</f>
        <v/>
      </c>
      <c r="G864" s="20">
        <f>IF(AND(ISNUMBER(C864),ISNUMBER(C863)),IF(C864=C863,"",(C864-C863)*100),"")</f>
        <v/>
      </c>
      <c r="H864" s="20">
        <f>IF(OR(NOT(ISNUMBER($A864)),ROW()-2&lt;Settings!$B$11),NA(),IF(COUNT(OFFSET(F864,1-Settings!$B$11,0,Settings!$B$11,1))&lt;ROUNDUP(Settings!$B$11*Settings!$B$26,0),NA(),STDEV(OFFSET(F864,1-Settings!$B$11,0,Settings!$B$11,1))*SQRT(Settings!$B$13)))</f>
        <v/>
      </c>
      <c r="I864" s="20">
        <f>IF(OR(NOT(ISNUMBER($A864)),ROW()-2&lt;Settings!$B$12),NA(),IF(COUNT(OFFSET(F864,1-Settings!$B$12,0,Settings!$B$12,1))&lt;ROUNDUP(Settings!$B$12*Settings!$B$26,0),NA(),STDEV(OFFSET(F864,1-Settings!$B$12,0,Settings!$B$12,1))*SQRT(Settings!$B$13)))</f>
        <v/>
      </c>
      <c r="J864" s="20">
        <f>IF(OR(NOT(ISNUMBER($A864)),ROW()-2&lt;Settings!$B$11),NA(),IF(COUNT(OFFSET(G864,1-Settings!$B$11,0,Settings!$B$11,1))&lt;ROUNDUP(Settings!$B$11*Settings!$B$26,0),NA(),STDEV(OFFSET(G864,1-Settings!$B$11,0,Settings!$B$11,1))*SQRT(Settings!$B$13)))</f>
        <v/>
      </c>
      <c r="K864" s="20">
        <f>IF(OR(NOT(ISNUMBER($A864)),ROW()-2&lt;Settings!$B$12),NA(),IF(COUNT(OFFSET(G864,1-Settings!$B$12,0,Settings!$B$12,1))&lt;ROUNDUP(Settings!$B$12*Settings!$B$26,0),NA(),STDEV(OFFSET(G864,1-Settings!$B$12,0,Settings!$B$12,1))*SQRT(Settings!$B$13)))</f>
        <v/>
      </c>
      <c r="L864" s="20">
        <f>IF(AND(ISNUMBER(D864),ISNUMBER(H864)),D864-H864,NA())</f>
        <v/>
      </c>
      <c r="M864" s="20">
        <f>IF(AND(ISNUMBER(E864),ISNUMBER(K864)),E864-K864,NA())</f>
        <v/>
      </c>
      <c r="N864" s="20">
        <f>IF(NOT(ISNUMBER($A864)),NA(),IF(COUNT(OFFSET(G864,1,0,Settings!$B$12,1))&lt;ROUNDUP(Settings!$B$12*Settings!$B$26,0),NA(),STDEV(OFFSET(G864,1,0,Settings!$B$12,1))*SQRT(Settings!$B$13)))</f>
        <v/>
      </c>
      <c r="O864" s="20">
        <f>IF(AND(ISNUMBER(E864),ISNUMBER(N864)),E864-N864,NA())</f>
        <v/>
      </c>
      <c r="P864" s="19">
        <f>IF(NOT(ISNUMBER($A864)),NA(),IF(OR($A864&lt;MIN(KW_TP!$A$2:$A$2501),$A864&gt;MAX(KW_TP!$A$2:$A$2501)),NA(),INDEX(KW_TP!$C$2:$C$2501,MATCH($A864,KW_TP!$A$2:$A$2501,1))))</f>
        <v/>
      </c>
      <c r="Q864" s="18">
        <f>IF(NOT(ISNUMBER($A864)),NA(),IFERROR(1*INDEX(BBG_Data!$J$2:$J$4000,MATCH($A864,BBG_Data!$I$2:$I$4000,0)),NA()))</f>
        <v/>
      </c>
      <c r="R864" s="18">
        <f>IF(NOT(ISNUMBER($A864)),NA(),IFERROR(1*INDEX(BBG_Data!$L$2:$L$4000,MATCH($A864,BBG_Data!$K$2:$K$4000,0)),NA()))</f>
        <v/>
      </c>
      <c r="S864" s="20">
        <f>IF(AND(ISNUMBER(B864),ISNUMBER(Q864),ISNUMBER(R864)),(B864-Q864-R864)*100,NA())</f>
        <v/>
      </c>
      <c r="T864" s="20">
        <f>IF(AND(ISNUMBER(B864),Settings!$B$17&gt;0),IF(ISNUMBER(INDEX($B:$B,Settings!$B$17)),(B864-INDEX($B:$B,Settings!$B$17))*100,NA()),NA())</f>
        <v/>
      </c>
      <c r="U864" s="20">
        <f>IF(AND(ISNUMBER(Q864),Settings!$B$17&gt;0),IF(ISNUMBER(INDEX($Q:$Q,Settings!$B$17)),(Q864-INDEX($Q:$Q,Settings!$B$17))*100,NA()),NA())</f>
        <v/>
      </c>
      <c r="V864" s="20">
        <f>IF(AND(ISNUMBER(R864),Settings!$B$17&gt;0),IF(ISNUMBER(INDEX($R:$R,Settings!$B$17)),(R864-INDEX($R:$R,Settings!$B$17))*100,NA()),NA())</f>
        <v/>
      </c>
      <c r="W864" s="20">
        <f>IF(AND(ISNUMBER(P864),Settings!$B$17&gt;0),IF(ISNUMBER(INDEX($P:$P,Settings!$B$17)),P864-INDEX($P:$P,Settings!$B$17),NA()),NA())</f>
        <v/>
      </c>
      <c r="X864" s="19">
        <f>IF(NOT(ISNUMBER($A864)),NA(),IF(OR($A864&lt;MIN(DKW_10Y!$A$2:$A$2918),$A864&gt;MAX(DKW_10Y!$A$2:$A$2918),Settings!$B$16&lt;MIN(DKW_10Y!$A$2:$A$2918)),NA(),(INDEX(DKW_10Y!$B$2:$B$2918,MATCH($A864,DKW_10Y!$A$2:$A$2918,1))-INDEX(DKW_10Y!$B$2:$B$2918,MATCH(Settings!$B$16,DKW_10Y!$A$2:$A$2918,1)))*100))</f>
        <v/>
      </c>
      <c r="Y864" s="19">
        <f>IF(NOT(ISNUMBER($A864)),NA(),IF(OR($A864&lt;MIN(DKW_10Y!$A$2:$A$2918),$A864&gt;MAX(DKW_10Y!$A$2:$A$2918),Settings!$B$16&lt;MIN(DKW_10Y!$A$2:$A$2918)),NA(),(INDEX(DKW_10Y!$C$2:$C$2918,MATCH($A864,DKW_10Y!$A$2:$A$2918,1))-INDEX(DKW_10Y!$C$2:$C$2918,MATCH(Settings!$B$16,DKW_10Y!$A$2:$A$2918,1)))*100))</f>
        <v/>
      </c>
      <c r="Z864" s="19">
        <f>IF(NOT(ISNUMBER($A864)),NA(),IF(OR($A864&lt;MIN(DKW_10Y!$A$2:$A$2918),$A864&gt;MAX(DKW_10Y!$A$2:$A$2918),Settings!$B$16&lt;MIN(DKW_10Y!$A$2:$A$2918)),NA(),(INDEX(DKW_10Y!$D$2:$D$2918,MATCH($A864,DKW_10Y!$A$2:$A$2918,1))-INDEX(DKW_10Y!$D$2:$D$2918,MATCH(Settings!$B$16,DKW_10Y!$A$2:$A$2918,1)))*100))</f>
        <v/>
      </c>
      <c r="AA864" s="19">
        <f>IF(NOT(ISNUMBER($A864)),NA(),IF(OR($A864&lt;MIN(DKW_10Y!$A$2:$A$2918),$A864&gt;MAX(DKW_10Y!$A$2:$A$2918),Settings!$B$16&lt;MIN(DKW_10Y!$A$2:$A$2918)),NA(),(INDEX(DKW_10Y!$E$2:$E$2918,MATCH($A864,DKW_10Y!$A$2:$A$2918,1))-INDEX(DKW_10Y!$E$2:$E$2918,MATCH(Settings!$B$16,DKW_10Y!$A$2:$A$2918,1)))*100))</f>
        <v/>
      </c>
      <c r="AB864" s="19">
        <f>IF(NOT(ISNUMBER($A864)),NA(),IF(OR($A864&lt;MIN(DKW_10Y!$A$2:$A$2918),$A864&gt;MAX(DKW_10Y!$A$2:$A$2918),Settings!$B$16&lt;MIN(DKW_10Y!$A$2:$A$2918)),NA(),(INDEX(DKW_10Y!$H$2:$H$2918,MATCH($A864,DKW_10Y!$A$2:$A$2918,1))-INDEX(DKW_10Y!$H$2:$H$2918,MATCH(Settings!$B$16,DKW_10Y!$A$2:$A$2918,1)))*100))</f>
        <v/>
      </c>
      <c r="AC864" s="18">
        <f>IF(NOT(ISNUMBER($A864)),NA(),IFERROR(1*INDEX(BBG_Data!$N$2:$N$4000,MATCH($A864,BBG_Data!$M$2:$M$4000,0)),NA()))</f>
        <v/>
      </c>
      <c r="AD864" s="18">
        <f>IF(NOT(ISNUMBER($A864)),NA(),IFERROR(1*INDEX(BBG_Data!$P$2:$P$4000,MATCH($A864,BBG_Data!$O$2:$O$4000,0)),NA()))</f>
        <v/>
      </c>
      <c r="AE864" s="18">
        <f>IF(NOT(ISNUMBER($A864)),NA(),IFERROR(1*INDEX(BBG_Data!$R$2:$R$4000,MATCH($A864,BBG_Data!$Q$2:$Q$4000,0)),NA()))</f>
        <v/>
      </c>
      <c r="AF864" s="20">
        <f>IF(AND(ISNUMBER(B864),ISNUMBER(AC864)),(B864-AC864)*100,NA())</f>
        <v/>
      </c>
      <c r="AG864" s="20">
        <f>IF(AND(ISNUMBER(AE864),ISNUMBER(AD864)),(AE864-AD864)*100,NA())</f>
        <v/>
      </c>
      <c r="AH864" s="19">
        <f>IF(NOT(ISNUMBER($A864)),NA(),IFERROR(INDEX(BBG_Data!$T$2:$T$4000,MATCH($A864,BBG_Data!$S$2:$S$4000,0))*Settings!$B$25,NA()))</f>
        <v/>
      </c>
      <c r="AI864" s="19">
        <f>IF(NOT(ISNUMBER($A864)),NA(),IFERROR(INDEX(BBG_Data!$V$2:$V$4000,MATCH($A864,BBG_Data!$U$2:$U$4000,0))*Settings!$B$25,NA()))</f>
        <v/>
      </c>
      <c r="AJ864" s="19">
        <f>IF(NOT(ISNUMBER($A864)),NA(),IFERROR(1*INDEX(BBG_Data!$X$2:$X$4000,MATCH($A864,BBG_Data!$W$2:$W$4000,0)),NA()))</f>
        <v/>
      </c>
      <c r="AK864" s="19">
        <f>IF(NOT(ISNUMBER($A864)),NA(),IFERROR(1*INDEX(BBG_Data!$Z$2:$Z$4000,MATCH($A864,BBG_Data!$Y$2:$Y$4000,0)),NA()))</f>
        <v/>
      </c>
    </row>
    <row r="865">
      <c r="A865" s="17">
        <f>IF(ISNUMBER(BBG_Data!A865),BBG_Data!A865,"")</f>
        <v/>
      </c>
      <c r="B865" s="18">
        <f>IF(AND(ISNUMBER($A865),ISNUMBER(BBG_Data!B865)),BBG_Data!B865,NA())</f>
        <v/>
      </c>
      <c r="C865" s="18">
        <f>IF(NOT(ISNUMBER($A865)),NA(),IFERROR(1*INDEX(BBG_Data!$D$2:$D$4000,MATCH($A865,BBG_Data!$C$2:$C$4000,0)),NA()))</f>
        <v/>
      </c>
      <c r="D865" s="19">
        <f>IF(NOT(ISNUMBER($A865)),NA(),IFERROR(1*INDEX(BBG_Data!$F$2:$F$4000,MATCH($A865,BBG_Data!$E$2:$E$4000,0)),NA()))</f>
        <v/>
      </c>
      <c r="E865" s="19">
        <f>IF(NOT(ISNUMBER($A865)),NA(),IFERROR(1*INDEX(BBG_Data!$H$2:$H$4000,MATCH($A865,BBG_Data!$G$2:$G$4000,0)),NA()))</f>
        <v/>
      </c>
      <c r="F865" s="20">
        <f>IF(AND(ISNUMBER(B865),ISNUMBER(B864)),IF(B865=B864,"",(B865-B864)*100),"")</f>
        <v/>
      </c>
      <c r="G865" s="20">
        <f>IF(AND(ISNUMBER(C865),ISNUMBER(C864)),IF(C865=C864,"",(C865-C864)*100),"")</f>
        <v/>
      </c>
      <c r="H865" s="20">
        <f>IF(OR(NOT(ISNUMBER($A865)),ROW()-2&lt;Settings!$B$11),NA(),IF(COUNT(OFFSET(F865,1-Settings!$B$11,0,Settings!$B$11,1))&lt;ROUNDUP(Settings!$B$11*Settings!$B$26,0),NA(),STDEV(OFFSET(F865,1-Settings!$B$11,0,Settings!$B$11,1))*SQRT(Settings!$B$13)))</f>
        <v/>
      </c>
      <c r="I865" s="20">
        <f>IF(OR(NOT(ISNUMBER($A865)),ROW()-2&lt;Settings!$B$12),NA(),IF(COUNT(OFFSET(F865,1-Settings!$B$12,0,Settings!$B$12,1))&lt;ROUNDUP(Settings!$B$12*Settings!$B$26,0),NA(),STDEV(OFFSET(F865,1-Settings!$B$12,0,Settings!$B$12,1))*SQRT(Settings!$B$13)))</f>
        <v/>
      </c>
      <c r="J865" s="20">
        <f>IF(OR(NOT(ISNUMBER($A865)),ROW()-2&lt;Settings!$B$11),NA(),IF(COUNT(OFFSET(G865,1-Settings!$B$11,0,Settings!$B$11,1))&lt;ROUNDUP(Settings!$B$11*Settings!$B$26,0),NA(),STDEV(OFFSET(G865,1-Settings!$B$11,0,Settings!$B$11,1))*SQRT(Settings!$B$13)))</f>
        <v/>
      </c>
      <c r="K865" s="20">
        <f>IF(OR(NOT(ISNUMBER($A865)),ROW()-2&lt;Settings!$B$12),NA(),IF(COUNT(OFFSET(G865,1-Settings!$B$12,0,Settings!$B$12,1))&lt;ROUNDUP(Settings!$B$12*Settings!$B$26,0),NA(),STDEV(OFFSET(G865,1-Settings!$B$12,0,Settings!$B$12,1))*SQRT(Settings!$B$13)))</f>
        <v/>
      </c>
      <c r="L865" s="20">
        <f>IF(AND(ISNUMBER(D865),ISNUMBER(H865)),D865-H865,NA())</f>
        <v/>
      </c>
      <c r="M865" s="20">
        <f>IF(AND(ISNUMBER(E865),ISNUMBER(K865)),E865-K865,NA())</f>
        <v/>
      </c>
      <c r="N865" s="20">
        <f>IF(NOT(ISNUMBER($A865)),NA(),IF(COUNT(OFFSET(G865,1,0,Settings!$B$12,1))&lt;ROUNDUP(Settings!$B$12*Settings!$B$26,0),NA(),STDEV(OFFSET(G865,1,0,Settings!$B$12,1))*SQRT(Settings!$B$13)))</f>
        <v/>
      </c>
      <c r="O865" s="20">
        <f>IF(AND(ISNUMBER(E865),ISNUMBER(N865)),E865-N865,NA())</f>
        <v/>
      </c>
      <c r="P865" s="19">
        <f>IF(NOT(ISNUMBER($A865)),NA(),IF(OR($A865&lt;MIN(KW_TP!$A$2:$A$2501),$A865&gt;MAX(KW_TP!$A$2:$A$2501)),NA(),INDEX(KW_TP!$C$2:$C$2501,MATCH($A865,KW_TP!$A$2:$A$2501,1))))</f>
        <v/>
      </c>
      <c r="Q865" s="18">
        <f>IF(NOT(ISNUMBER($A865)),NA(),IFERROR(1*INDEX(BBG_Data!$J$2:$J$4000,MATCH($A865,BBG_Data!$I$2:$I$4000,0)),NA()))</f>
        <v/>
      </c>
      <c r="R865" s="18">
        <f>IF(NOT(ISNUMBER($A865)),NA(),IFERROR(1*INDEX(BBG_Data!$L$2:$L$4000,MATCH($A865,BBG_Data!$K$2:$K$4000,0)),NA()))</f>
        <v/>
      </c>
      <c r="S865" s="20">
        <f>IF(AND(ISNUMBER(B865),ISNUMBER(Q865),ISNUMBER(R865)),(B865-Q865-R865)*100,NA())</f>
        <v/>
      </c>
      <c r="T865" s="20">
        <f>IF(AND(ISNUMBER(B865),Settings!$B$17&gt;0),IF(ISNUMBER(INDEX($B:$B,Settings!$B$17)),(B865-INDEX($B:$B,Settings!$B$17))*100,NA()),NA())</f>
        <v/>
      </c>
      <c r="U865" s="20">
        <f>IF(AND(ISNUMBER(Q865),Settings!$B$17&gt;0),IF(ISNUMBER(INDEX($Q:$Q,Settings!$B$17)),(Q865-INDEX($Q:$Q,Settings!$B$17))*100,NA()),NA())</f>
        <v/>
      </c>
      <c r="V865" s="20">
        <f>IF(AND(ISNUMBER(R865),Settings!$B$17&gt;0),IF(ISNUMBER(INDEX($R:$R,Settings!$B$17)),(R865-INDEX($R:$R,Settings!$B$17))*100,NA()),NA())</f>
        <v/>
      </c>
      <c r="W865" s="20">
        <f>IF(AND(ISNUMBER(P865),Settings!$B$17&gt;0),IF(ISNUMBER(INDEX($P:$P,Settings!$B$17)),P865-INDEX($P:$P,Settings!$B$17),NA()),NA())</f>
        <v/>
      </c>
      <c r="X865" s="19">
        <f>IF(NOT(ISNUMBER($A865)),NA(),IF(OR($A865&lt;MIN(DKW_10Y!$A$2:$A$2918),$A865&gt;MAX(DKW_10Y!$A$2:$A$2918),Settings!$B$16&lt;MIN(DKW_10Y!$A$2:$A$2918)),NA(),(INDEX(DKW_10Y!$B$2:$B$2918,MATCH($A865,DKW_10Y!$A$2:$A$2918,1))-INDEX(DKW_10Y!$B$2:$B$2918,MATCH(Settings!$B$16,DKW_10Y!$A$2:$A$2918,1)))*100))</f>
        <v/>
      </c>
      <c r="Y865" s="19">
        <f>IF(NOT(ISNUMBER($A865)),NA(),IF(OR($A865&lt;MIN(DKW_10Y!$A$2:$A$2918),$A865&gt;MAX(DKW_10Y!$A$2:$A$2918),Settings!$B$16&lt;MIN(DKW_10Y!$A$2:$A$2918)),NA(),(INDEX(DKW_10Y!$C$2:$C$2918,MATCH($A865,DKW_10Y!$A$2:$A$2918,1))-INDEX(DKW_10Y!$C$2:$C$2918,MATCH(Settings!$B$16,DKW_10Y!$A$2:$A$2918,1)))*100))</f>
        <v/>
      </c>
      <c r="Z865" s="19">
        <f>IF(NOT(ISNUMBER($A865)),NA(),IF(OR($A865&lt;MIN(DKW_10Y!$A$2:$A$2918),$A865&gt;MAX(DKW_10Y!$A$2:$A$2918),Settings!$B$16&lt;MIN(DKW_10Y!$A$2:$A$2918)),NA(),(INDEX(DKW_10Y!$D$2:$D$2918,MATCH($A865,DKW_10Y!$A$2:$A$2918,1))-INDEX(DKW_10Y!$D$2:$D$2918,MATCH(Settings!$B$16,DKW_10Y!$A$2:$A$2918,1)))*100))</f>
        <v/>
      </c>
      <c r="AA865" s="19">
        <f>IF(NOT(ISNUMBER($A865)),NA(),IF(OR($A865&lt;MIN(DKW_10Y!$A$2:$A$2918),$A865&gt;MAX(DKW_10Y!$A$2:$A$2918),Settings!$B$16&lt;MIN(DKW_10Y!$A$2:$A$2918)),NA(),(INDEX(DKW_10Y!$E$2:$E$2918,MATCH($A865,DKW_10Y!$A$2:$A$2918,1))-INDEX(DKW_10Y!$E$2:$E$2918,MATCH(Settings!$B$16,DKW_10Y!$A$2:$A$2918,1)))*100))</f>
        <v/>
      </c>
      <c r="AB865" s="19">
        <f>IF(NOT(ISNUMBER($A865)),NA(),IF(OR($A865&lt;MIN(DKW_10Y!$A$2:$A$2918),$A865&gt;MAX(DKW_10Y!$A$2:$A$2918),Settings!$B$16&lt;MIN(DKW_10Y!$A$2:$A$2918)),NA(),(INDEX(DKW_10Y!$H$2:$H$2918,MATCH($A865,DKW_10Y!$A$2:$A$2918,1))-INDEX(DKW_10Y!$H$2:$H$2918,MATCH(Settings!$B$16,DKW_10Y!$A$2:$A$2918,1)))*100))</f>
        <v/>
      </c>
      <c r="AC865" s="18">
        <f>IF(NOT(ISNUMBER($A865)),NA(),IFERROR(1*INDEX(BBG_Data!$N$2:$N$4000,MATCH($A865,BBG_Data!$M$2:$M$4000,0)),NA()))</f>
        <v/>
      </c>
      <c r="AD865" s="18">
        <f>IF(NOT(ISNUMBER($A865)),NA(),IFERROR(1*INDEX(BBG_Data!$P$2:$P$4000,MATCH($A865,BBG_Data!$O$2:$O$4000,0)),NA()))</f>
        <v/>
      </c>
      <c r="AE865" s="18">
        <f>IF(NOT(ISNUMBER($A865)),NA(),IFERROR(1*INDEX(BBG_Data!$R$2:$R$4000,MATCH($A865,BBG_Data!$Q$2:$Q$4000,0)),NA()))</f>
        <v/>
      </c>
      <c r="AF865" s="20">
        <f>IF(AND(ISNUMBER(B865),ISNUMBER(AC865)),(B865-AC865)*100,NA())</f>
        <v/>
      </c>
      <c r="AG865" s="20">
        <f>IF(AND(ISNUMBER(AE865),ISNUMBER(AD865)),(AE865-AD865)*100,NA())</f>
        <v/>
      </c>
      <c r="AH865" s="19">
        <f>IF(NOT(ISNUMBER($A865)),NA(),IFERROR(INDEX(BBG_Data!$T$2:$T$4000,MATCH($A865,BBG_Data!$S$2:$S$4000,0))*Settings!$B$25,NA()))</f>
        <v/>
      </c>
      <c r="AI865" s="19">
        <f>IF(NOT(ISNUMBER($A865)),NA(),IFERROR(INDEX(BBG_Data!$V$2:$V$4000,MATCH($A865,BBG_Data!$U$2:$U$4000,0))*Settings!$B$25,NA()))</f>
        <v/>
      </c>
      <c r="AJ865" s="19">
        <f>IF(NOT(ISNUMBER($A865)),NA(),IFERROR(1*INDEX(BBG_Data!$X$2:$X$4000,MATCH($A865,BBG_Data!$W$2:$W$4000,0)),NA()))</f>
        <v/>
      </c>
      <c r="AK865" s="19">
        <f>IF(NOT(ISNUMBER($A865)),NA(),IFERROR(1*INDEX(BBG_Data!$Z$2:$Z$4000,MATCH($A865,BBG_Data!$Y$2:$Y$4000,0)),NA()))</f>
        <v/>
      </c>
    </row>
    <row r="866">
      <c r="A866" s="17">
        <f>IF(ISNUMBER(BBG_Data!A866),BBG_Data!A866,"")</f>
        <v/>
      </c>
      <c r="B866" s="18">
        <f>IF(AND(ISNUMBER($A866),ISNUMBER(BBG_Data!B866)),BBG_Data!B866,NA())</f>
        <v/>
      </c>
      <c r="C866" s="18">
        <f>IF(NOT(ISNUMBER($A866)),NA(),IFERROR(1*INDEX(BBG_Data!$D$2:$D$4000,MATCH($A866,BBG_Data!$C$2:$C$4000,0)),NA()))</f>
        <v/>
      </c>
      <c r="D866" s="19">
        <f>IF(NOT(ISNUMBER($A866)),NA(),IFERROR(1*INDEX(BBG_Data!$F$2:$F$4000,MATCH($A866,BBG_Data!$E$2:$E$4000,0)),NA()))</f>
        <v/>
      </c>
      <c r="E866" s="19">
        <f>IF(NOT(ISNUMBER($A866)),NA(),IFERROR(1*INDEX(BBG_Data!$H$2:$H$4000,MATCH($A866,BBG_Data!$G$2:$G$4000,0)),NA()))</f>
        <v/>
      </c>
      <c r="F866" s="20">
        <f>IF(AND(ISNUMBER(B866),ISNUMBER(B865)),IF(B866=B865,"",(B866-B865)*100),"")</f>
        <v/>
      </c>
      <c r="G866" s="20">
        <f>IF(AND(ISNUMBER(C866),ISNUMBER(C865)),IF(C866=C865,"",(C866-C865)*100),"")</f>
        <v/>
      </c>
      <c r="H866" s="20">
        <f>IF(OR(NOT(ISNUMBER($A866)),ROW()-2&lt;Settings!$B$11),NA(),IF(COUNT(OFFSET(F866,1-Settings!$B$11,0,Settings!$B$11,1))&lt;ROUNDUP(Settings!$B$11*Settings!$B$26,0),NA(),STDEV(OFFSET(F866,1-Settings!$B$11,0,Settings!$B$11,1))*SQRT(Settings!$B$13)))</f>
        <v/>
      </c>
      <c r="I866" s="20">
        <f>IF(OR(NOT(ISNUMBER($A866)),ROW()-2&lt;Settings!$B$12),NA(),IF(COUNT(OFFSET(F866,1-Settings!$B$12,0,Settings!$B$12,1))&lt;ROUNDUP(Settings!$B$12*Settings!$B$26,0),NA(),STDEV(OFFSET(F866,1-Settings!$B$12,0,Settings!$B$12,1))*SQRT(Settings!$B$13)))</f>
        <v/>
      </c>
      <c r="J866" s="20">
        <f>IF(OR(NOT(ISNUMBER($A866)),ROW()-2&lt;Settings!$B$11),NA(),IF(COUNT(OFFSET(G866,1-Settings!$B$11,0,Settings!$B$11,1))&lt;ROUNDUP(Settings!$B$11*Settings!$B$26,0),NA(),STDEV(OFFSET(G866,1-Settings!$B$11,0,Settings!$B$11,1))*SQRT(Settings!$B$13)))</f>
        <v/>
      </c>
      <c r="K866" s="20">
        <f>IF(OR(NOT(ISNUMBER($A866)),ROW()-2&lt;Settings!$B$12),NA(),IF(COUNT(OFFSET(G866,1-Settings!$B$12,0,Settings!$B$12,1))&lt;ROUNDUP(Settings!$B$12*Settings!$B$26,0),NA(),STDEV(OFFSET(G866,1-Settings!$B$12,0,Settings!$B$12,1))*SQRT(Settings!$B$13)))</f>
        <v/>
      </c>
      <c r="L866" s="20">
        <f>IF(AND(ISNUMBER(D866),ISNUMBER(H866)),D866-H866,NA())</f>
        <v/>
      </c>
      <c r="M866" s="20">
        <f>IF(AND(ISNUMBER(E866),ISNUMBER(K866)),E866-K866,NA())</f>
        <v/>
      </c>
      <c r="N866" s="20">
        <f>IF(NOT(ISNUMBER($A866)),NA(),IF(COUNT(OFFSET(G866,1,0,Settings!$B$12,1))&lt;ROUNDUP(Settings!$B$12*Settings!$B$26,0),NA(),STDEV(OFFSET(G866,1,0,Settings!$B$12,1))*SQRT(Settings!$B$13)))</f>
        <v/>
      </c>
      <c r="O866" s="20">
        <f>IF(AND(ISNUMBER(E866),ISNUMBER(N866)),E866-N866,NA())</f>
        <v/>
      </c>
      <c r="P866" s="19">
        <f>IF(NOT(ISNUMBER($A866)),NA(),IF(OR($A866&lt;MIN(KW_TP!$A$2:$A$2501),$A866&gt;MAX(KW_TP!$A$2:$A$2501)),NA(),INDEX(KW_TP!$C$2:$C$2501,MATCH($A866,KW_TP!$A$2:$A$2501,1))))</f>
        <v/>
      </c>
      <c r="Q866" s="18">
        <f>IF(NOT(ISNUMBER($A866)),NA(),IFERROR(1*INDEX(BBG_Data!$J$2:$J$4000,MATCH($A866,BBG_Data!$I$2:$I$4000,0)),NA()))</f>
        <v/>
      </c>
      <c r="R866" s="18">
        <f>IF(NOT(ISNUMBER($A866)),NA(),IFERROR(1*INDEX(BBG_Data!$L$2:$L$4000,MATCH($A866,BBG_Data!$K$2:$K$4000,0)),NA()))</f>
        <v/>
      </c>
      <c r="S866" s="20">
        <f>IF(AND(ISNUMBER(B866),ISNUMBER(Q866),ISNUMBER(R866)),(B866-Q866-R866)*100,NA())</f>
        <v/>
      </c>
      <c r="T866" s="20">
        <f>IF(AND(ISNUMBER(B866),Settings!$B$17&gt;0),IF(ISNUMBER(INDEX($B:$B,Settings!$B$17)),(B866-INDEX($B:$B,Settings!$B$17))*100,NA()),NA())</f>
        <v/>
      </c>
      <c r="U866" s="20">
        <f>IF(AND(ISNUMBER(Q866),Settings!$B$17&gt;0),IF(ISNUMBER(INDEX($Q:$Q,Settings!$B$17)),(Q866-INDEX($Q:$Q,Settings!$B$17))*100,NA()),NA())</f>
        <v/>
      </c>
      <c r="V866" s="20">
        <f>IF(AND(ISNUMBER(R866),Settings!$B$17&gt;0),IF(ISNUMBER(INDEX($R:$R,Settings!$B$17)),(R866-INDEX($R:$R,Settings!$B$17))*100,NA()),NA())</f>
        <v/>
      </c>
      <c r="W866" s="20">
        <f>IF(AND(ISNUMBER(P866),Settings!$B$17&gt;0),IF(ISNUMBER(INDEX($P:$P,Settings!$B$17)),P866-INDEX($P:$P,Settings!$B$17),NA()),NA())</f>
        <v/>
      </c>
      <c r="X866" s="19">
        <f>IF(NOT(ISNUMBER($A866)),NA(),IF(OR($A866&lt;MIN(DKW_10Y!$A$2:$A$2918),$A866&gt;MAX(DKW_10Y!$A$2:$A$2918),Settings!$B$16&lt;MIN(DKW_10Y!$A$2:$A$2918)),NA(),(INDEX(DKW_10Y!$B$2:$B$2918,MATCH($A866,DKW_10Y!$A$2:$A$2918,1))-INDEX(DKW_10Y!$B$2:$B$2918,MATCH(Settings!$B$16,DKW_10Y!$A$2:$A$2918,1)))*100))</f>
        <v/>
      </c>
      <c r="Y866" s="19">
        <f>IF(NOT(ISNUMBER($A866)),NA(),IF(OR($A866&lt;MIN(DKW_10Y!$A$2:$A$2918),$A866&gt;MAX(DKW_10Y!$A$2:$A$2918),Settings!$B$16&lt;MIN(DKW_10Y!$A$2:$A$2918)),NA(),(INDEX(DKW_10Y!$C$2:$C$2918,MATCH($A866,DKW_10Y!$A$2:$A$2918,1))-INDEX(DKW_10Y!$C$2:$C$2918,MATCH(Settings!$B$16,DKW_10Y!$A$2:$A$2918,1)))*100))</f>
        <v/>
      </c>
      <c r="Z866" s="19">
        <f>IF(NOT(ISNUMBER($A866)),NA(),IF(OR($A866&lt;MIN(DKW_10Y!$A$2:$A$2918),$A866&gt;MAX(DKW_10Y!$A$2:$A$2918),Settings!$B$16&lt;MIN(DKW_10Y!$A$2:$A$2918)),NA(),(INDEX(DKW_10Y!$D$2:$D$2918,MATCH($A866,DKW_10Y!$A$2:$A$2918,1))-INDEX(DKW_10Y!$D$2:$D$2918,MATCH(Settings!$B$16,DKW_10Y!$A$2:$A$2918,1)))*100))</f>
        <v/>
      </c>
      <c r="AA866" s="19">
        <f>IF(NOT(ISNUMBER($A866)),NA(),IF(OR($A866&lt;MIN(DKW_10Y!$A$2:$A$2918),$A866&gt;MAX(DKW_10Y!$A$2:$A$2918),Settings!$B$16&lt;MIN(DKW_10Y!$A$2:$A$2918)),NA(),(INDEX(DKW_10Y!$E$2:$E$2918,MATCH($A866,DKW_10Y!$A$2:$A$2918,1))-INDEX(DKW_10Y!$E$2:$E$2918,MATCH(Settings!$B$16,DKW_10Y!$A$2:$A$2918,1)))*100))</f>
        <v/>
      </c>
      <c r="AB866" s="19">
        <f>IF(NOT(ISNUMBER($A866)),NA(),IF(OR($A866&lt;MIN(DKW_10Y!$A$2:$A$2918),$A866&gt;MAX(DKW_10Y!$A$2:$A$2918),Settings!$B$16&lt;MIN(DKW_10Y!$A$2:$A$2918)),NA(),(INDEX(DKW_10Y!$H$2:$H$2918,MATCH($A866,DKW_10Y!$A$2:$A$2918,1))-INDEX(DKW_10Y!$H$2:$H$2918,MATCH(Settings!$B$16,DKW_10Y!$A$2:$A$2918,1)))*100))</f>
        <v/>
      </c>
      <c r="AC866" s="18">
        <f>IF(NOT(ISNUMBER($A866)),NA(),IFERROR(1*INDEX(BBG_Data!$N$2:$N$4000,MATCH($A866,BBG_Data!$M$2:$M$4000,0)),NA()))</f>
        <v/>
      </c>
      <c r="AD866" s="18">
        <f>IF(NOT(ISNUMBER($A866)),NA(),IFERROR(1*INDEX(BBG_Data!$P$2:$P$4000,MATCH($A866,BBG_Data!$O$2:$O$4000,0)),NA()))</f>
        <v/>
      </c>
      <c r="AE866" s="18">
        <f>IF(NOT(ISNUMBER($A866)),NA(),IFERROR(1*INDEX(BBG_Data!$R$2:$R$4000,MATCH($A866,BBG_Data!$Q$2:$Q$4000,0)),NA()))</f>
        <v/>
      </c>
      <c r="AF866" s="20">
        <f>IF(AND(ISNUMBER(B866),ISNUMBER(AC866)),(B866-AC866)*100,NA())</f>
        <v/>
      </c>
      <c r="AG866" s="20">
        <f>IF(AND(ISNUMBER(AE866),ISNUMBER(AD866)),(AE866-AD866)*100,NA())</f>
        <v/>
      </c>
      <c r="AH866" s="19">
        <f>IF(NOT(ISNUMBER($A866)),NA(),IFERROR(INDEX(BBG_Data!$T$2:$T$4000,MATCH($A866,BBG_Data!$S$2:$S$4000,0))*Settings!$B$25,NA()))</f>
        <v/>
      </c>
      <c r="AI866" s="19">
        <f>IF(NOT(ISNUMBER($A866)),NA(),IFERROR(INDEX(BBG_Data!$V$2:$V$4000,MATCH($A866,BBG_Data!$U$2:$U$4000,0))*Settings!$B$25,NA()))</f>
        <v/>
      </c>
      <c r="AJ866" s="19">
        <f>IF(NOT(ISNUMBER($A866)),NA(),IFERROR(1*INDEX(BBG_Data!$X$2:$X$4000,MATCH($A866,BBG_Data!$W$2:$W$4000,0)),NA()))</f>
        <v/>
      </c>
      <c r="AK866" s="19">
        <f>IF(NOT(ISNUMBER($A866)),NA(),IFERROR(1*INDEX(BBG_Data!$Z$2:$Z$4000,MATCH($A866,BBG_Data!$Y$2:$Y$4000,0)),NA()))</f>
        <v/>
      </c>
    </row>
    <row r="867">
      <c r="A867" s="17">
        <f>IF(ISNUMBER(BBG_Data!A867),BBG_Data!A867,"")</f>
        <v/>
      </c>
      <c r="B867" s="18">
        <f>IF(AND(ISNUMBER($A867),ISNUMBER(BBG_Data!B867)),BBG_Data!B867,NA())</f>
        <v/>
      </c>
      <c r="C867" s="18">
        <f>IF(NOT(ISNUMBER($A867)),NA(),IFERROR(1*INDEX(BBG_Data!$D$2:$D$4000,MATCH($A867,BBG_Data!$C$2:$C$4000,0)),NA()))</f>
        <v/>
      </c>
      <c r="D867" s="19">
        <f>IF(NOT(ISNUMBER($A867)),NA(),IFERROR(1*INDEX(BBG_Data!$F$2:$F$4000,MATCH($A867,BBG_Data!$E$2:$E$4000,0)),NA()))</f>
        <v/>
      </c>
      <c r="E867" s="19">
        <f>IF(NOT(ISNUMBER($A867)),NA(),IFERROR(1*INDEX(BBG_Data!$H$2:$H$4000,MATCH($A867,BBG_Data!$G$2:$G$4000,0)),NA()))</f>
        <v/>
      </c>
      <c r="F867" s="20">
        <f>IF(AND(ISNUMBER(B867),ISNUMBER(B866)),IF(B867=B866,"",(B867-B866)*100),"")</f>
        <v/>
      </c>
      <c r="G867" s="20">
        <f>IF(AND(ISNUMBER(C867),ISNUMBER(C866)),IF(C867=C866,"",(C867-C866)*100),"")</f>
        <v/>
      </c>
      <c r="H867" s="20">
        <f>IF(OR(NOT(ISNUMBER($A867)),ROW()-2&lt;Settings!$B$11),NA(),IF(COUNT(OFFSET(F867,1-Settings!$B$11,0,Settings!$B$11,1))&lt;ROUNDUP(Settings!$B$11*Settings!$B$26,0),NA(),STDEV(OFFSET(F867,1-Settings!$B$11,0,Settings!$B$11,1))*SQRT(Settings!$B$13)))</f>
        <v/>
      </c>
      <c r="I867" s="20">
        <f>IF(OR(NOT(ISNUMBER($A867)),ROW()-2&lt;Settings!$B$12),NA(),IF(COUNT(OFFSET(F867,1-Settings!$B$12,0,Settings!$B$12,1))&lt;ROUNDUP(Settings!$B$12*Settings!$B$26,0),NA(),STDEV(OFFSET(F867,1-Settings!$B$12,0,Settings!$B$12,1))*SQRT(Settings!$B$13)))</f>
        <v/>
      </c>
      <c r="J867" s="20">
        <f>IF(OR(NOT(ISNUMBER($A867)),ROW()-2&lt;Settings!$B$11),NA(),IF(COUNT(OFFSET(G867,1-Settings!$B$11,0,Settings!$B$11,1))&lt;ROUNDUP(Settings!$B$11*Settings!$B$26,0),NA(),STDEV(OFFSET(G867,1-Settings!$B$11,0,Settings!$B$11,1))*SQRT(Settings!$B$13)))</f>
        <v/>
      </c>
      <c r="K867" s="20">
        <f>IF(OR(NOT(ISNUMBER($A867)),ROW()-2&lt;Settings!$B$12),NA(),IF(COUNT(OFFSET(G867,1-Settings!$B$12,0,Settings!$B$12,1))&lt;ROUNDUP(Settings!$B$12*Settings!$B$26,0),NA(),STDEV(OFFSET(G867,1-Settings!$B$12,0,Settings!$B$12,1))*SQRT(Settings!$B$13)))</f>
        <v/>
      </c>
      <c r="L867" s="20">
        <f>IF(AND(ISNUMBER(D867),ISNUMBER(H867)),D867-H867,NA())</f>
        <v/>
      </c>
      <c r="M867" s="20">
        <f>IF(AND(ISNUMBER(E867),ISNUMBER(K867)),E867-K867,NA())</f>
        <v/>
      </c>
      <c r="N867" s="20">
        <f>IF(NOT(ISNUMBER($A867)),NA(),IF(COUNT(OFFSET(G867,1,0,Settings!$B$12,1))&lt;ROUNDUP(Settings!$B$12*Settings!$B$26,0),NA(),STDEV(OFFSET(G867,1,0,Settings!$B$12,1))*SQRT(Settings!$B$13)))</f>
        <v/>
      </c>
      <c r="O867" s="20">
        <f>IF(AND(ISNUMBER(E867),ISNUMBER(N867)),E867-N867,NA())</f>
        <v/>
      </c>
      <c r="P867" s="19">
        <f>IF(NOT(ISNUMBER($A867)),NA(),IF(OR($A867&lt;MIN(KW_TP!$A$2:$A$2501),$A867&gt;MAX(KW_TP!$A$2:$A$2501)),NA(),INDEX(KW_TP!$C$2:$C$2501,MATCH($A867,KW_TP!$A$2:$A$2501,1))))</f>
        <v/>
      </c>
      <c r="Q867" s="18">
        <f>IF(NOT(ISNUMBER($A867)),NA(),IFERROR(1*INDEX(BBG_Data!$J$2:$J$4000,MATCH($A867,BBG_Data!$I$2:$I$4000,0)),NA()))</f>
        <v/>
      </c>
      <c r="R867" s="18">
        <f>IF(NOT(ISNUMBER($A867)),NA(),IFERROR(1*INDEX(BBG_Data!$L$2:$L$4000,MATCH($A867,BBG_Data!$K$2:$K$4000,0)),NA()))</f>
        <v/>
      </c>
      <c r="S867" s="20">
        <f>IF(AND(ISNUMBER(B867),ISNUMBER(Q867),ISNUMBER(R867)),(B867-Q867-R867)*100,NA())</f>
        <v/>
      </c>
      <c r="T867" s="20">
        <f>IF(AND(ISNUMBER(B867),Settings!$B$17&gt;0),IF(ISNUMBER(INDEX($B:$B,Settings!$B$17)),(B867-INDEX($B:$B,Settings!$B$17))*100,NA()),NA())</f>
        <v/>
      </c>
      <c r="U867" s="20">
        <f>IF(AND(ISNUMBER(Q867),Settings!$B$17&gt;0),IF(ISNUMBER(INDEX($Q:$Q,Settings!$B$17)),(Q867-INDEX($Q:$Q,Settings!$B$17))*100,NA()),NA())</f>
        <v/>
      </c>
      <c r="V867" s="20">
        <f>IF(AND(ISNUMBER(R867),Settings!$B$17&gt;0),IF(ISNUMBER(INDEX($R:$R,Settings!$B$17)),(R867-INDEX($R:$R,Settings!$B$17))*100,NA()),NA())</f>
        <v/>
      </c>
      <c r="W867" s="20">
        <f>IF(AND(ISNUMBER(P867),Settings!$B$17&gt;0),IF(ISNUMBER(INDEX($P:$P,Settings!$B$17)),P867-INDEX($P:$P,Settings!$B$17),NA()),NA())</f>
        <v/>
      </c>
      <c r="X867" s="19">
        <f>IF(NOT(ISNUMBER($A867)),NA(),IF(OR($A867&lt;MIN(DKW_10Y!$A$2:$A$2918),$A867&gt;MAX(DKW_10Y!$A$2:$A$2918),Settings!$B$16&lt;MIN(DKW_10Y!$A$2:$A$2918)),NA(),(INDEX(DKW_10Y!$B$2:$B$2918,MATCH($A867,DKW_10Y!$A$2:$A$2918,1))-INDEX(DKW_10Y!$B$2:$B$2918,MATCH(Settings!$B$16,DKW_10Y!$A$2:$A$2918,1)))*100))</f>
        <v/>
      </c>
      <c r="Y867" s="19">
        <f>IF(NOT(ISNUMBER($A867)),NA(),IF(OR($A867&lt;MIN(DKW_10Y!$A$2:$A$2918),$A867&gt;MAX(DKW_10Y!$A$2:$A$2918),Settings!$B$16&lt;MIN(DKW_10Y!$A$2:$A$2918)),NA(),(INDEX(DKW_10Y!$C$2:$C$2918,MATCH($A867,DKW_10Y!$A$2:$A$2918,1))-INDEX(DKW_10Y!$C$2:$C$2918,MATCH(Settings!$B$16,DKW_10Y!$A$2:$A$2918,1)))*100))</f>
        <v/>
      </c>
      <c r="Z867" s="19">
        <f>IF(NOT(ISNUMBER($A867)),NA(),IF(OR($A867&lt;MIN(DKW_10Y!$A$2:$A$2918),$A867&gt;MAX(DKW_10Y!$A$2:$A$2918),Settings!$B$16&lt;MIN(DKW_10Y!$A$2:$A$2918)),NA(),(INDEX(DKW_10Y!$D$2:$D$2918,MATCH($A867,DKW_10Y!$A$2:$A$2918,1))-INDEX(DKW_10Y!$D$2:$D$2918,MATCH(Settings!$B$16,DKW_10Y!$A$2:$A$2918,1)))*100))</f>
        <v/>
      </c>
      <c r="AA867" s="19">
        <f>IF(NOT(ISNUMBER($A867)),NA(),IF(OR($A867&lt;MIN(DKW_10Y!$A$2:$A$2918),$A867&gt;MAX(DKW_10Y!$A$2:$A$2918),Settings!$B$16&lt;MIN(DKW_10Y!$A$2:$A$2918)),NA(),(INDEX(DKW_10Y!$E$2:$E$2918,MATCH($A867,DKW_10Y!$A$2:$A$2918,1))-INDEX(DKW_10Y!$E$2:$E$2918,MATCH(Settings!$B$16,DKW_10Y!$A$2:$A$2918,1)))*100))</f>
        <v/>
      </c>
      <c r="AB867" s="19">
        <f>IF(NOT(ISNUMBER($A867)),NA(),IF(OR($A867&lt;MIN(DKW_10Y!$A$2:$A$2918),$A867&gt;MAX(DKW_10Y!$A$2:$A$2918),Settings!$B$16&lt;MIN(DKW_10Y!$A$2:$A$2918)),NA(),(INDEX(DKW_10Y!$H$2:$H$2918,MATCH($A867,DKW_10Y!$A$2:$A$2918,1))-INDEX(DKW_10Y!$H$2:$H$2918,MATCH(Settings!$B$16,DKW_10Y!$A$2:$A$2918,1)))*100))</f>
        <v/>
      </c>
      <c r="AC867" s="18">
        <f>IF(NOT(ISNUMBER($A867)),NA(),IFERROR(1*INDEX(BBG_Data!$N$2:$N$4000,MATCH($A867,BBG_Data!$M$2:$M$4000,0)),NA()))</f>
        <v/>
      </c>
      <c r="AD867" s="18">
        <f>IF(NOT(ISNUMBER($A867)),NA(),IFERROR(1*INDEX(BBG_Data!$P$2:$P$4000,MATCH($A867,BBG_Data!$O$2:$O$4000,0)),NA()))</f>
        <v/>
      </c>
      <c r="AE867" s="18">
        <f>IF(NOT(ISNUMBER($A867)),NA(),IFERROR(1*INDEX(BBG_Data!$R$2:$R$4000,MATCH($A867,BBG_Data!$Q$2:$Q$4000,0)),NA()))</f>
        <v/>
      </c>
      <c r="AF867" s="20">
        <f>IF(AND(ISNUMBER(B867),ISNUMBER(AC867)),(B867-AC867)*100,NA())</f>
        <v/>
      </c>
      <c r="AG867" s="20">
        <f>IF(AND(ISNUMBER(AE867),ISNUMBER(AD867)),(AE867-AD867)*100,NA())</f>
        <v/>
      </c>
      <c r="AH867" s="19">
        <f>IF(NOT(ISNUMBER($A867)),NA(),IFERROR(INDEX(BBG_Data!$T$2:$T$4000,MATCH($A867,BBG_Data!$S$2:$S$4000,0))*Settings!$B$25,NA()))</f>
        <v/>
      </c>
      <c r="AI867" s="19">
        <f>IF(NOT(ISNUMBER($A867)),NA(),IFERROR(INDEX(BBG_Data!$V$2:$V$4000,MATCH($A867,BBG_Data!$U$2:$U$4000,0))*Settings!$B$25,NA()))</f>
        <v/>
      </c>
      <c r="AJ867" s="19">
        <f>IF(NOT(ISNUMBER($A867)),NA(),IFERROR(1*INDEX(BBG_Data!$X$2:$X$4000,MATCH($A867,BBG_Data!$W$2:$W$4000,0)),NA()))</f>
        <v/>
      </c>
      <c r="AK867" s="19">
        <f>IF(NOT(ISNUMBER($A867)),NA(),IFERROR(1*INDEX(BBG_Data!$Z$2:$Z$4000,MATCH($A867,BBG_Data!$Y$2:$Y$4000,0)),NA()))</f>
        <v/>
      </c>
    </row>
    <row r="868">
      <c r="A868" s="17">
        <f>IF(ISNUMBER(BBG_Data!A868),BBG_Data!A868,"")</f>
        <v/>
      </c>
      <c r="B868" s="18">
        <f>IF(AND(ISNUMBER($A868),ISNUMBER(BBG_Data!B868)),BBG_Data!B868,NA())</f>
        <v/>
      </c>
      <c r="C868" s="18">
        <f>IF(NOT(ISNUMBER($A868)),NA(),IFERROR(1*INDEX(BBG_Data!$D$2:$D$4000,MATCH($A868,BBG_Data!$C$2:$C$4000,0)),NA()))</f>
        <v/>
      </c>
      <c r="D868" s="19">
        <f>IF(NOT(ISNUMBER($A868)),NA(),IFERROR(1*INDEX(BBG_Data!$F$2:$F$4000,MATCH($A868,BBG_Data!$E$2:$E$4000,0)),NA()))</f>
        <v/>
      </c>
      <c r="E868" s="19">
        <f>IF(NOT(ISNUMBER($A868)),NA(),IFERROR(1*INDEX(BBG_Data!$H$2:$H$4000,MATCH($A868,BBG_Data!$G$2:$G$4000,0)),NA()))</f>
        <v/>
      </c>
      <c r="F868" s="20">
        <f>IF(AND(ISNUMBER(B868),ISNUMBER(B867)),IF(B868=B867,"",(B868-B867)*100),"")</f>
        <v/>
      </c>
      <c r="G868" s="20">
        <f>IF(AND(ISNUMBER(C868),ISNUMBER(C867)),IF(C868=C867,"",(C868-C867)*100),"")</f>
        <v/>
      </c>
      <c r="H868" s="20">
        <f>IF(OR(NOT(ISNUMBER($A868)),ROW()-2&lt;Settings!$B$11),NA(),IF(COUNT(OFFSET(F868,1-Settings!$B$11,0,Settings!$B$11,1))&lt;ROUNDUP(Settings!$B$11*Settings!$B$26,0),NA(),STDEV(OFFSET(F868,1-Settings!$B$11,0,Settings!$B$11,1))*SQRT(Settings!$B$13)))</f>
        <v/>
      </c>
      <c r="I868" s="20">
        <f>IF(OR(NOT(ISNUMBER($A868)),ROW()-2&lt;Settings!$B$12),NA(),IF(COUNT(OFFSET(F868,1-Settings!$B$12,0,Settings!$B$12,1))&lt;ROUNDUP(Settings!$B$12*Settings!$B$26,0),NA(),STDEV(OFFSET(F868,1-Settings!$B$12,0,Settings!$B$12,1))*SQRT(Settings!$B$13)))</f>
        <v/>
      </c>
      <c r="J868" s="20">
        <f>IF(OR(NOT(ISNUMBER($A868)),ROW()-2&lt;Settings!$B$11),NA(),IF(COUNT(OFFSET(G868,1-Settings!$B$11,0,Settings!$B$11,1))&lt;ROUNDUP(Settings!$B$11*Settings!$B$26,0),NA(),STDEV(OFFSET(G868,1-Settings!$B$11,0,Settings!$B$11,1))*SQRT(Settings!$B$13)))</f>
        <v/>
      </c>
      <c r="K868" s="20">
        <f>IF(OR(NOT(ISNUMBER($A868)),ROW()-2&lt;Settings!$B$12),NA(),IF(COUNT(OFFSET(G868,1-Settings!$B$12,0,Settings!$B$12,1))&lt;ROUNDUP(Settings!$B$12*Settings!$B$26,0),NA(),STDEV(OFFSET(G868,1-Settings!$B$12,0,Settings!$B$12,1))*SQRT(Settings!$B$13)))</f>
        <v/>
      </c>
      <c r="L868" s="20">
        <f>IF(AND(ISNUMBER(D868),ISNUMBER(H868)),D868-H868,NA())</f>
        <v/>
      </c>
      <c r="M868" s="20">
        <f>IF(AND(ISNUMBER(E868),ISNUMBER(K868)),E868-K868,NA())</f>
        <v/>
      </c>
      <c r="N868" s="20">
        <f>IF(NOT(ISNUMBER($A868)),NA(),IF(COUNT(OFFSET(G868,1,0,Settings!$B$12,1))&lt;ROUNDUP(Settings!$B$12*Settings!$B$26,0),NA(),STDEV(OFFSET(G868,1,0,Settings!$B$12,1))*SQRT(Settings!$B$13)))</f>
        <v/>
      </c>
      <c r="O868" s="20">
        <f>IF(AND(ISNUMBER(E868),ISNUMBER(N868)),E868-N868,NA())</f>
        <v/>
      </c>
      <c r="P868" s="19">
        <f>IF(NOT(ISNUMBER($A868)),NA(),IF(OR($A868&lt;MIN(KW_TP!$A$2:$A$2501),$A868&gt;MAX(KW_TP!$A$2:$A$2501)),NA(),INDEX(KW_TP!$C$2:$C$2501,MATCH($A868,KW_TP!$A$2:$A$2501,1))))</f>
        <v/>
      </c>
      <c r="Q868" s="18">
        <f>IF(NOT(ISNUMBER($A868)),NA(),IFERROR(1*INDEX(BBG_Data!$J$2:$J$4000,MATCH($A868,BBG_Data!$I$2:$I$4000,0)),NA()))</f>
        <v/>
      </c>
      <c r="R868" s="18">
        <f>IF(NOT(ISNUMBER($A868)),NA(),IFERROR(1*INDEX(BBG_Data!$L$2:$L$4000,MATCH($A868,BBG_Data!$K$2:$K$4000,0)),NA()))</f>
        <v/>
      </c>
      <c r="S868" s="20">
        <f>IF(AND(ISNUMBER(B868),ISNUMBER(Q868),ISNUMBER(R868)),(B868-Q868-R868)*100,NA())</f>
        <v/>
      </c>
      <c r="T868" s="20">
        <f>IF(AND(ISNUMBER(B868),Settings!$B$17&gt;0),IF(ISNUMBER(INDEX($B:$B,Settings!$B$17)),(B868-INDEX($B:$B,Settings!$B$17))*100,NA()),NA())</f>
        <v/>
      </c>
      <c r="U868" s="20">
        <f>IF(AND(ISNUMBER(Q868),Settings!$B$17&gt;0),IF(ISNUMBER(INDEX($Q:$Q,Settings!$B$17)),(Q868-INDEX($Q:$Q,Settings!$B$17))*100,NA()),NA())</f>
        <v/>
      </c>
      <c r="V868" s="20">
        <f>IF(AND(ISNUMBER(R868),Settings!$B$17&gt;0),IF(ISNUMBER(INDEX($R:$R,Settings!$B$17)),(R868-INDEX($R:$R,Settings!$B$17))*100,NA()),NA())</f>
        <v/>
      </c>
      <c r="W868" s="20">
        <f>IF(AND(ISNUMBER(P868),Settings!$B$17&gt;0),IF(ISNUMBER(INDEX($P:$P,Settings!$B$17)),P868-INDEX($P:$P,Settings!$B$17),NA()),NA())</f>
        <v/>
      </c>
      <c r="X868" s="19">
        <f>IF(NOT(ISNUMBER($A868)),NA(),IF(OR($A868&lt;MIN(DKW_10Y!$A$2:$A$2918),$A868&gt;MAX(DKW_10Y!$A$2:$A$2918),Settings!$B$16&lt;MIN(DKW_10Y!$A$2:$A$2918)),NA(),(INDEX(DKW_10Y!$B$2:$B$2918,MATCH($A868,DKW_10Y!$A$2:$A$2918,1))-INDEX(DKW_10Y!$B$2:$B$2918,MATCH(Settings!$B$16,DKW_10Y!$A$2:$A$2918,1)))*100))</f>
        <v/>
      </c>
      <c r="Y868" s="19">
        <f>IF(NOT(ISNUMBER($A868)),NA(),IF(OR($A868&lt;MIN(DKW_10Y!$A$2:$A$2918),$A868&gt;MAX(DKW_10Y!$A$2:$A$2918),Settings!$B$16&lt;MIN(DKW_10Y!$A$2:$A$2918)),NA(),(INDEX(DKW_10Y!$C$2:$C$2918,MATCH($A868,DKW_10Y!$A$2:$A$2918,1))-INDEX(DKW_10Y!$C$2:$C$2918,MATCH(Settings!$B$16,DKW_10Y!$A$2:$A$2918,1)))*100))</f>
        <v/>
      </c>
      <c r="Z868" s="19">
        <f>IF(NOT(ISNUMBER($A868)),NA(),IF(OR($A868&lt;MIN(DKW_10Y!$A$2:$A$2918),$A868&gt;MAX(DKW_10Y!$A$2:$A$2918),Settings!$B$16&lt;MIN(DKW_10Y!$A$2:$A$2918)),NA(),(INDEX(DKW_10Y!$D$2:$D$2918,MATCH($A868,DKW_10Y!$A$2:$A$2918,1))-INDEX(DKW_10Y!$D$2:$D$2918,MATCH(Settings!$B$16,DKW_10Y!$A$2:$A$2918,1)))*100))</f>
        <v/>
      </c>
      <c r="AA868" s="19">
        <f>IF(NOT(ISNUMBER($A868)),NA(),IF(OR($A868&lt;MIN(DKW_10Y!$A$2:$A$2918),$A868&gt;MAX(DKW_10Y!$A$2:$A$2918),Settings!$B$16&lt;MIN(DKW_10Y!$A$2:$A$2918)),NA(),(INDEX(DKW_10Y!$E$2:$E$2918,MATCH($A868,DKW_10Y!$A$2:$A$2918,1))-INDEX(DKW_10Y!$E$2:$E$2918,MATCH(Settings!$B$16,DKW_10Y!$A$2:$A$2918,1)))*100))</f>
        <v/>
      </c>
      <c r="AB868" s="19">
        <f>IF(NOT(ISNUMBER($A868)),NA(),IF(OR($A868&lt;MIN(DKW_10Y!$A$2:$A$2918),$A868&gt;MAX(DKW_10Y!$A$2:$A$2918),Settings!$B$16&lt;MIN(DKW_10Y!$A$2:$A$2918)),NA(),(INDEX(DKW_10Y!$H$2:$H$2918,MATCH($A868,DKW_10Y!$A$2:$A$2918,1))-INDEX(DKW_10Y!$H$2:$H$2918,MATCH(Settings!$B$16,DKW_10Y!$A$2:$A$2918,1)))*100))</f>
        <v/>
      </c>
      <c r="AC868" s="18">
        <f>IF(NOT(ISNUMBER($A868)),NA(),IFERROR(1*INDEX(BBG_Data!$N$2:$N$4000,MATCH($A868,BBG_Data!$M$2:$M$4000,0)),NA()))</f>
        <v/>
      </c>
      <c r="AD868" s="18">
        <f>IF(NOT(ISNUMBER($A868)),NA(),IFERROR(1*INDEX(BBG_Data!$P$2:$P$4000,MATCH($A868,BBG_Data!$O$2:$O$4000,0)),NA()))</f>
        <v/>
      </c>
      <c r="AE868" s="18">
        <f>IF(NOT(ISNUMBER($A868)),NA(),IFERROR(1*INDEX(BBG_Data!$R$2:$R$4000,MATCH($A868,BBG_Data!$Q$2:$Q$4000,0)),NA()))</f>
        <v/>
      </c>
      <c r="AF868" s="20">
        <f>IF(AND(ISNUMBER(B868),ISNUMBER(AC868)),(B868-AC868)*100,NA())</f>
        <v/>
      </c>
      <c r="AG868" s="20">
        <f>IF(AND(ISNUMBER(AE868),ISNUMBER(AD868)),(AE868-AD868)*100,NA())</f>
        <v/>
      </c>
      <c r="AH868" s="19">
        <f>IF(NOT(ISNUMBER($A868)),NA(),IFERROR(INDEX(BBG_Data!$T$2:$T$4000,MATCH($A868,BBG_Data!$S$2:$S$4000,0))*Settings!$B$25,NA()))</f>
        <v/>
      </c>
      <c r="AI868" s="19">
        <f>IF(NOT(ISNUMBER($A868)),NA(),IFERROR(INDEX(BBG_Data!$V$2:$V$4000,MATCH($A868,BBG_Data!$U$2:$U$4000,0))*Settings!$B$25,NA()))</f>
        <v/>
      </c>
      <c r="AJ868" s="19">
        <f>IF(NOT(ISNUMBER($A868)),NA(),IFERROR(1*INDEX(BBG_Data!$X$2:$X$4000,MATCH($A868,BBG_Data!$W$2:$W$4000,0)),NA()))</f>
        <v/>
      </c>
      <c r="AK868" s="19">
        <f>IF(NOT(ISNUMBER($A868)),NA(),IFERROR(1*INDEX(BBG_Data!$Z$2:$Z$4000,MATCH($A868,BBG_Data!$Y$2:$Y$4000,0)),NA()))</f>
        <v/>
      </c>
    </row>
    <row r="869">
      <c r="A869" s="17">
        <f>IF(ISNUMBER(BBG_Data!A869),BBG_Data!A869,"")</f>
        <v/>
      </c>
      <c r="B869" s="18">
        <f>IF(AND(ISNUMBER($A869),ISNUMBER(BBG_Data!B869)),BBG_Data!B869,NA())</f>
        <v/>
      </c>
      <c r="C869" s="18">
        <f>IF(NOT(ISNUMBER($A869)),NA(),IFERROR(1*INDEX(BBG_Data!$D$2:$D$4000,MATCH($A869,BBG_Data!$C$2:$C$4000,0)),NA()))</f>
        <v/>
      </c>
      <c r="D869" s="19">
        <f>IF(NOT(ISNUMBER($A869)),NA(),IFERROR(1*INDEX(BBG_Data!$F$2:$F$4000,MATCH($A869,BBG_Data!$E$2:$E$4000,0)),NA()))</f>
        <v/>
      </c>
      <c r="E869" s="19">
        <f>IF(NOT(ISNUMBER($A869)),NA(),IFERROR(1*INDEX(BBG_Data!$H$2:$H$4000,MATCH($A869,BBG_Data!$G$2:$G$4000,0)),NA()))</f>
        <v/>
      </c>
      <c r="F869" s="20">
        <f>IF(AND(ISNUMBER(B869),ISNUMBER(B868)),IF(B869=B868,"",(B869-B868)*100),"")</f>
        <v/>
      </c>
      <c r="G869" s="20">
        <f>IF(AND(ISNUMBER(C869),ISNUMBER(C868)),IF(C869=C868,"",(C869-C868)*100),"")</f>
        <v/>
      </c>
      <c r="H869" s="20">
        <f>IF(OR(NOT(ISNUMBER($A869)),ROW()-2&lt;Settings!$B$11),NA(),IF(COUNT(OFFSET(F869,1-Settings!$B$11,0,Settings!$B$11,1))&lt;ROUNDUP(Settings!$B$11*Settings!$B$26,0),NA(),STDEV(OFFSET(F869,1-Settings!$B$11,0,Settings!$B$11,1))*SQRT(Settings!$B$13)))</f>
        <v/>
      </c>
      <c r="I869" s="20">
        <f>IF(OR(NOT(ISNUMBER($A869)),ROW()-2&lt;Settings!$B$12),NA(),IF(COUNT(OFFSET(F869,1-Settings!$B$12,0,Settings!$B$12,1))&lt;ROUNDUP(Settings!$B$12*Settings!$B$26,0),NA(),STDEV(OFFSET(F869,1-Settings!$B$12,0,Settings!$B$12,1))*SQRT(Settings!$B$13)))</f>
        <v/>
      </c>
      <c r="J869" s="20">
        <f>IF(OR(NOT(ISNUMBER($A869)),ROW()-2&lt;Settings!$B$11),NA(),IF(COUNT(OFFSET(G869,1-Settings!$B$11,0,Settings!$B$11,1))&lt;ROUNDUP(Settings!$B$11*Settings!$B$26,0),NA(),STDEV(OFFSET(G869,1-Settings!$B$11,0,Settings!$B$11,1))*SQRT(Settings!$B$13)))</f>
        <v/>
      </c>
      <c r="K869" s="20">
        <f>IF(OR(NOT(ISNUMBER($A869)),ROW()-2&lt;Settings!$B$12),NA(),IF(COUNT(OFFSET(G869,1-Settings!$B$12,0,Settings!$B$12,1))&lt;ROUNDUP(Settings!$B$12*Settings!$B$26,0),NA(),STDEV(OFFSET(G869,1-Settings!$B$12,0,Settings!$B$12,1))*SQRT(Settings!$B$13)))</f>
        <v/>
      </c>
      <c r="L869" s="20">
        <f>IF(AND(ISNUMBER(D869),ISNUMBER(H869)),D869-H869,NA())</f>
        <v/>
      </c>
      <c r="M869" s="20">
        <f>IF(AND(ISNUMBER(E869),ISNUMBER(K869)),E869-K869,NA())</f>
        <v/>
      </c>
      <c r="N869" s="20">
        <f>IF(NOT(ISNUMBER($A869)),NA(),IF(COUNT(OFFSET(G869,1,0,Settings!$B$12,1))&lt;ROUNDUP(Settings!$B$12*Settings!$B$26,0),NA(),STDEV(OFFSET(G869,1,0,Settings!$B$12,1))*SQRT(Settings!$B$13)))</f>
        <v/>
      </c>
      <c r="O869" s="20">
        <f>IF(AND(ISNUMBER(E869),ISNUMBER(N869)),E869-N869,NA())</f>
        <v/>
      </c>
      <c r="P869" s="19">
        <f>IF(NOT(ISNUMBER($A869)),NA(),IF(OR($A869&lt;MIN(KW_TP!$A$2:$A$2501),$A869&gt;MAX(KW_TP!$A$2:$A$2501)),NA(),INDEX(KW_TP!$C$2:$C$2501,MATCH($A869,KW_TP!$A$2:$A$2501,1))))</f>
        <v/>
      </c>
      <c r="Q869" s="18">
        <f>IF(NOT(ISNUMBER($A869)),NA(),IFERROR(1*INDEX(BBG_Data!$J$2:$J$4000,MATCH($A869,BBG_Data!$I$2:$I$4000,0)),NA()))</f>
        <v/>
      </c>
      <c r="R869" s="18">
        <f>IF(NOT(ISNUMBER($A869)),NA(),IFERROR(1*INDEX(BBG_Data!$L$2:$L$4000,MATCH($A869,BBG_Data!$K$2:$K$4000,0)),NA()))</f>
        <v/>
      </c>
      <c r="S869" s="20">
        <f>IF(AND(ISNUMBER(B869),ISNUMBER(Q869),ISNUMBER(R869)),(B869-Q869-R869)*100,NA())</f>
        <v/>
      </c>
      <c r="T869" s="20">
        <f>IF(AND(ISNUMBER(B869),Settings!$B$17&gt;0),IF(ISNUMBER(INDEX($B:$B,Settings!$B$17)),(B869-INDEX($B:$B,Settings!$B$17))*100,NA()),NA())</f>
        <v/>
      </c>
      <c r="U869" s="20">
        <f>IF(AND(ISNUMBER(Q869),Settings!$B$17&gt;0),IF(ISNUMBER(INDEX($Q:$Q,Settings!$B$17)),(Q869-INDEX($Q:$Q,Settings!$B$17))*100,NA()),NA())</f>
        <v/>
      </c>
      <c r="V869" s="20">
        <f>IF(AND(ISNUMBER(R869),Settings!$B$17&gt;0),IF(ISNUMBER(INDEX($R:$R,Settings!$B$17)),(R869-INDEX($R:$R,Settings!$B$17))*100,NA()),NA())</f>
        <v/>
      </c>
      <c r="W869" s="20">
        <f>IF(AND(ISNUMBER(P869),Settings!$B$17&gt;0),IF(ISNUMBER(INDEX($P:$P,Settings!$B$17)),P869-INDEX($P:$P,Settings!$B$17),NA()),NA())</f>
        <v/>
      </c>
      <c r="X869" s="19">
        <f>IF(NOT(ISNUMBER($A869)),NA(),IF(OR($A869&lt;MIN(DKW_10Y!$A$2:$A$2918),$A869&gt;MAX(DKW_10Y!$A$2:$A$2918),Settings!$B$16&lt;MIN(DKW_10Y!$A$2:$A$2918)),NA(),(INDEX(DKW_10Y!$B$2:$B$2918,MATCH($A869,DKW_10Y!$A$2:$A$2918,1))-INDEX(DKW_10Y!$B$2:$B$2918,MATCH(Settings!$B$16,DKW_10Y!$A$2:$A$2918,1)))*100))</f>
        <v/>
      </c>
      <c r="Y869" s="19">
        <f>IF(NOT(ISNUMBER($A869)),NA(),IF(OR($A869&lt;MIN(DKW_10Y!$A$2:$A$2918),$A869&gt;MAX(DKW_10Y!$A$2:$A$2918),Settings!$B$16&lt;MIN(DKW_10Y!$A$2:$A$2918)),NA(),(INDEX(DKW_10Y!$C$2:$C$2918,MATCH($A869,DKW_10Y!$A$2:$A$2918,1))-INDEX(DKW_10Y!$C$2:$C$2918,MATCH(Settings!$B$16,DKW_10Y!$A$2:$A$2918,1)))*100))</f>
        <v/>
      </c>
      <c r="Z869" s="19">
        <f>IF(NOT(ISNUMBER($A869)),NA(),IF(OR($A869&lt;MIN(DKW_10Y!$A$2:$A$2918),$A869&gt;MAX(DKW_10Y!$A$2:$A$2918),Settings!$B$16&lt;MIN(DKW_10Y!$A$2:$A$2918)),NA(),(INDEX(DKW_10Y!$D$2:$D$2918,MATCH($A869,DKW_10Y!$A$2:$A$2918,1))-INDEX(DKW_10Y!$D$2:$D$2918,MATCH(Settings!$B$16,DKW_10Y!$A$2:$A$2918,1)))*100))</f>
        <v/>
      </c>
      <c r="AA869" s="19">
        <f>IF(NOT(ISNUMBER($A869)),NA(),IF(OR($A869&lt;MIN(DKW_10Y!$A$2:$A$2918),$A869&gt;MAX(DKW_10Y!$A$2:$A$2918),Settings!$B$16&lt;MIN(DKW_10Y!$A$2:$A$2918)),NA(),(INDEX(DKW_10Y!$E$2:$E$2918,MATCH($A869,DKW_10Y!$A$2:$A$2918,1))-INDEX(DKW_10Y!$E$2:$E$2918,MATCH(Settings!$B$16,DKW_10Y!$A$2:$A$2918,1)))*100))</f>
        <v/>
      </c>
      <c r="AB869" s="19">
        <f>IF(NOT(ISNUMBER($A869)),NA(),IF(OR($A869&lt;MIN(DKW_10Y!$A$2:$A$2918),$A869&gt;MAX(DKW_10Y!$A$2:$A$2918),Settings!$B$16&lt;MIN(DKW_10Y!$A$2:$A$2918)),NA(),(INDEX(DKW_10Y!$H$2:$H$2918,MATCH($A869,DKW_10Y!$A$2:$A$2918,1))-INDEX(DKW_10Y!$H$2:$H$2918,MATCH(Settings!$B$16,DKW_10Y!$A$2:$A$2918,1)))*100))</f>
        <v/>
      </c>
      <c r="AC869" s="18">
        <f>IF(NOT(ISNUMBER($A869)),NA(),IFERROR(1*INDEX(BBG_Data!$N$2:$N$4000,MATCH($A869,BBG_Data!$M$2:$M$4000,0)),NA()))</f>
        <v/>
      </c>
      <c r="AD869" s="18">
        <f>IF(NOT(ISNUMBER($A869)),NA(),IFERROR(1*INDEX(BBG_Data!$P$2:$P$4000,MATCH($A869,BBG_Data!$O$2:$O$4000,0)),NA()))</f>
        <v/>
      </c>
      <c r="AE869" s="18">
        <f>IF(NOT(ISNUMBER($A869)),NA(),IFERROR(1*INDEX(BBG_Data!$R$2:$R$4000,MATCH($A869,BBG_Data!$Q$2:$Q$4000,0)),NA()))</f>
        <v/>
      </c>
      <c r="AF869" s="20">
        <f>IF(AND(ISNUMBER(B869),ISNUMBER(AC869)),(B869-AC869)*100,NA())</f>
        <v/>
      </c>
      <c r="AG869" s="20">
        <f>IF(AND(ISNUMBER(AE869),ISNUMBER(AD869)),(AE869-AD869)*100,NA())</f>
        <v/>
      </c>
      <c r="AH869" s="19">
        <f>IF(NOT(ISNUMBER($A869)),NA(),IFERROR(INDEX(BBG_Data!$T$2:$T$4000,MATCH($A869,BBG_Data!$S$2:$S$4000,0))*Settings!$B$25,NA()))</f>
        <v/>
      </c>
      <c r="AI869" s="19">
        <f>IF(NOT(ISNUMBER($A869)),NA(),IFERROR(INDEX(BBG_Data!$V$2:$V$4000,MATCH($A869,BBG_Data!$U$2:$U$4000,0))*Settings!$B$25,NA()))</f>
        <v/>
      </c>
      <c r="AJ869" s="19">
        <f>IF(NOT(ISNUMBER($A869)),NA(),IFERROR(1*INDEX(BBG_Data!$X$2:$X$4000,MATCH($A869,BBG_Data!$W$2:$W$4000,0)),NA()))</f>
        <v/>
      </c>
      <c r="AK869" s="19">
        <f>IF(NOT(ISNUMBER($A869)),NA(),IFERROR(1*INDEX(BBG_Data!$Z$2:$Z$4000,MATCH($A869,BBG_Data!$Y$2:$Y$4000,0)),NA()))</f>
        <v/>
      </c>
    </row>
    <row r="870">
      <c r="A870" s="17">
        <f>IF(ISNUMBER(BBG_Data!A870),BBG_Data!A870,"")</f>
        <v/>
      </c>
      <c r="B870" s="18">
        <f>IF(AND(ISNUMBER($A870),ISNUMBER(BBG_Data!B870)),BBG_Data!B870,NA())</f>
        <v/>
      </c>
      <c r="C870" s="18">
        <f>IF(NOT(ISNUMBER($A870)),NA(),IFERROR(1*INDEX(BBG_Data!$D$2:$D$4000,MATCH($A870,BBG_Data!$C$2:$C$4000,0)),NA()))</f>
        <v/>
      </c>
      <c r="D870" s="19">
        <f>IF(NOT(ISNUMBER($A870)),NA(),IFERROR(1*INDEX(BBG_Data!$F$2:$F$4000,MATCH($A870,BBG_Data!$E$2:$E$4000,0)),NA()))</f>
        <v/>
      </c>
      <c r="E870" s="19">
        <f>IF(NOT(ISNUMBER($A870)),NA(),IFERROR(1*INDEX(BBG_Data!$H$2:$H$4000,MATCH($A870,BBG_Data!$G$2:$G$4000,0)),NA()))</f>
        <v/>
      </c>
      <c r="F870" s="20">
        <f>IF(AND(ISNUMBER(B870),ISNUMBER(B869)),IF(B870=B869,"",(B870-B869)*100),"")</f>
        <v/>
      </c>
      <c r="G870" s="20">
        <f>IF(AND(ISNUMBER(C870),ISNUMBER(C869)),IF(C870=C869,"",(C870-C869)*100),"")</f>
        <v/>
      </c>
      <c r="H870" s="20">
        <f>IF(OR(NOT(ISNUMBER($A870)),ROW()-2&lt;Settings!$B$11),NA(),IF(COUNT(OFFSET(F870,1-Settings!$B$11,0,Settings!$B$11,1))&lt;ROUNDUP(Settings!$B$11*Settings!$B$26,0),NA(),STDEV(OFFSET(F870,1-Settings!$B$11,0,Settings!$B$11,1))*SQRT(Settings!$B$13)))</f>
        <v/>
      </c>
      <c r="I870" s="20">
        <f>IF(OR(NOT(ISNUMBER($A870)),ROW()-2&lt;Settings!$B$12),NA(),IF(COUNT(OFFSET(F870,1-Settings!$B$12,0,Settings!$B$12,1))&lt;ROUNDUP(Settings!$B$12*Settings!$B$26,0),NA(),STDEV(OFFSET(F870,1-Settings!$B$12,0,Settings!$B$12,1))*SQRT(Settings!$B$13)))</f>
        <v/>
      </c>
      <c r="J870" s="20">
        <f>IF(OR(NOT(ISNUMBER($A870)),ROW()-2&lt;Settings!$B$11),NA(),IF(COUNT(OFFSET(G870,1-Settings!$B$11,0,Settings!$B$11,1))&lt;ROUNDUP(Settings!$B$11*Settings!$B$26,0),NA(),STDEV(OFFSET(G870,1-Settings!$B$11,0,Settings!$B$11,1))*SQRT(Settings!$B$13)))</f>
        <v/>
      </c>
      <c r="K870" s="20">
        <f>IF(OR(NOT(ISNUMBER($A870)),ROW()-2&lt;Settings!$B$12),NA(),IF(COUNT(OFFSET(G870,1-Settings!$B$12,0,Settings!$B$12,1))&lt;ROUNDUP(Settings!$B$12*Settings!$B$26,0),NA(),STDEV(OFFSET(G870,1-Settings!$B$12,0,Settings!$B$12,1))*SQRT(Settings!$B$13)))</f>
        <v/>
      </c>
      <c r="L870" s="20">
        <f>IF(AND(ISNUMBER(D870),ISNUMBER(H870)),D870-H870,NA())</f>
        <v/>
      </c>
      <c r="M870" s="20">
        <f>IF(AND(ISNUMBER(E870),ISNUMBER(K870)),E870-K870,NA())</f>
        <v/>
      </c>
      <c r="N870" s="20">
        <f>IF(NOT(ISNUMBER($A870)),NA(),IF(COUNT(OFFSET(G870,1,0,Settings!$B$12,1))&lt;ROUNDUP(Settings!$B$12*Settings!$B$26,0),NA(),STDEV(OFFSET(G870,1,0,Settings!$B$12,1))*SQRT(Settings!$B$13)))</f>
        <v/>
      </c>
      <c r="O870" s="20">
        <f>IF(AND(ISNUMBER(E870),ISNUMBER(N870)),E870-N870,NA())</f>
        <v/>
      </c>
      <c r="P870" s="19">
        <f>IF(NOT(ISNUMBER($A870)),NA(),IF(OR($A870&lt;MIN(KW_TP!$A$2:$A$2501),$A870&gt;MAX(KW_TP!$A$2:$A$2501)),NA(),INDEX(KW_TP!$C$2:$C$2501,MATCH($A870,KW_TP!$A$2:$A$2501,1))))</f>
        <v/>
      </c>
      <c r="Q870" s="18">
        <f>IF(NOT(ISNUMBER($A870)),NA(),IFERROR(1*INDEX(BBG_Data!$J$2:$J$4000,MATCH($A870,BBG_Data!$I$2:$I$4000,0)),NA()))</f>
        <v/>
      </c>
      <c r="R870" s="18">
        <f>IF(NOT(ISNUMBER($A870)),NA(),IFERROR(1*INDEX(BBG_Data!$L$2:$L$4000,MATCH($A870,BBG_Data!$K$2:$K$4000,0)),NA()))</f>
        <v/>
      </c>
      <c r="S870" s="20">
        <f>IF(AND(ISNUMBER(B870),ISNUMBER(Q870),ISNUMBER(R870)),(B870-Q870-R870)*100,NA())</f>
        <v/>
      </c>
      <c r="T870" s="20">
        <f>IF(AND(ISNUMBER(B870),Settings!$B$17&gt;0),IF(ISNUMBER(INDEX($B:$B,Settings!$B$17)),(B870-INDEX($B:$B,Settings!$B$17))*100,NA()),NA())</f>
        <v/>
      </c>
      <c r="U870" s="20">
        <f>IF(AND(ISNUMBER(Q870),Settings!$B$17&gt;0),IF(ISNUMBER(INDEX($Q:$Q,Settings!$B$17)),(Q870-INDEX($Q:$Q,Settings!$B$17))*100,NA()),NA())</f>
        <v/>
      </c>
      <c r="V870" s="20">
        <f>IF(AND(ISNUMBER(R870),Settings!$B$17&gt;0),IF(ISNUMBER(INDEX($R:$R,Settings!$B$17)),(R870-INDEX($R:$R,Settings!$B$17))*100,NA()),NA())</f>
        <v/>
      </c>
      <c r="W870" s="20">
        <f>IF(AND(ISNUMBER(P870),Settings!$B$17&gt;0),IF(ISNUMBER(INDEX($P:$P,Settings!$B$17)),P870-INDEX($P:$P,Settings!$B$17),NA()),NA())</f>
        <v/>
      </c>
      <c r="X870" s="19">
        <f>IF(NOT(ISNUMBER($A870)),NA(),IF(OR($A870&lt;MIN(DKW_10Y!$A$2:$A$2918),$A870&gt;MAX(DKW_10Y!$A$2:$A$2918),Settings!$B$16&lt;MIN(DKW_10Y!$A$2:$A$2918)),NA(),(INDEX(DKW_10Y!$B$2:$B$2918,MATCH($A870,DKW_10Y!$A$2:$A$2918,1))-INDEX(DKW_10Y!$B$2:$B$2918,MATCH(Settings!$B$16,DKW_10Y!$A$2:$A$2918,1)))*100))</f>
        <v/>
      </c>
      <c r="Y870" s="19">
        <f>IF(NOT(ISNUMBER($A870)),NA(),IF(OR($A870&lt;MIN(DKW_10Y!$A$2:$A$2918),$A870&gt;MAX(DKW_10Y!$A$2:$A$2918),Settings!$B$16&lt;MIN(DKW_10Y!$A$2:$A$2918)),NA(),(INDEX(DKW_10Y!$C$2:$C$2918,MATCH($A870,DKW_10Y!$A$2:$A$2918,1))-INDEX(DKW_10Y!$C$2:$C$2918,MATCH(Settings!$B$16,DKW_10Y!$A$2:$A$2918,1)))*100))</f>
        <v/>
      </c>
      <c r="Z870" s="19">
        <f>IF(NOT(ISNUMBER($A870)),NA(),IF(OR($A870&lt;MIN(DKW_10Y!$A$2:$A$2918),$A870&gt;MAX(DKW_10Y!$A$2:$A$2918),Settings!$B$16&lt;MIN(DKW_10Y!$A$2:$A$2918)),NA(),(INDEX(DKW_10Y!$D$2:$D$2918,MATCH($A870,DKW_10Y!$A$2:$A$2918,1))-INDEX(DKW_10Y!$D$2:$D$2918,MATCH(Settings!$B$16,DKW_10Y!$A$2:$A$2918,1)))*100))</f>
        <v/>
      </c>
      <c r="AA870" s="19">
        <f>IF(NOT(ISNUMBER($A870)),NA(),IF(OR($A870&lt;MIN(DKW_10Y!$A$2:$A$2918),$A870&gt;MAX(DKW_10Y!$A$2:$A$2918),Settings!$B$16&lt;MIN(DKW_10Y!$A$2:$A$2918)),NA(),(INDEX(DKW_10Y!$E$2:$E$2918,MATCH($A870,DKW_10Y!$A$2:$A$2918,1))-INDEX(DKW_10Y!$E$2:$E$2918,MATCH(Settings!$B$16,DKW_10Y!$A$2:$A$2918,1)))*100))</f>
        <v/>
      </c>
      <c r="AB870" s="19">
        <f>IF(NOT(ISNUMBER($A870)),NA(),IF(OR($A870&lt;MIN(DKW_10Y!$A$2:$A$2918),$A870&gt;MAX(DKW_10Y!$A$2:$A$2918),Settings!$B$16&lt;MIN(DKW_10Y!$A$2:$A$2918)),NA(),(INDEX(DKW_10Y!$H$2:$H$2918,MATCH($A870,DKW_10Y!$A$2:$A$2918,1))-INDEX(DKW_10Y!$H$2:$H$2918,MATCH(Settings!$B$16,DKW_10Y!$A$2:$A$2918,1)))*100))</f>
        <v/>
      </c>
      <c r="AC870" s="18">
        <f>IF(NOT(ISNUMBER($A870)),NA(),IFERROR(1*INDEX(BBG_Data!$N$2:$N$4000,MATCH($A870,BBG_Data!$M$2:$M$4000,0)),NA()))</f>
        <v/>
      </c>
      <c r="AD870" s="18">
        <f>IF(NOT(ISNUMBER($A870)),NA(),IFERROR(1*INDEX(BBG_Data!$P$2:$P$4000,MATCH($A870,BBG_Data!$O$2:$O$4000,0)),NA()))</f>
        <v/>
      </c>
      <c r="AE870" s="18">
        <f>IF(NOT(ISNUMBER($A870)),NA(),IFERROR(1*INDEX(BBG_Data!$R$2:$R$4000,MATCH($A870,BBG_Data!$Q$2:$Q$4000,0)),NA()))</f>
        <v/>
      </c>
      <c r="AF870" s="20">
        <f>IF(AND(ISNUMBER(B870),ISNUMBER(AC870)),(B870-AC870)*100,NA())</f>
        <v/>
      </c>
      <c r="AG870" s="20">
        <f>IF(AND(ISNUMBER(AE870),ISNUMBER(AD870)),(AE870-AD870)*100,NA())</f>
        <v/>
      </c>
      <c r="AH870" s="19">
        <f>IF(NOT(ISNUMBER($A870)),NA(),IFERROR(INDEX(BBG_Data!$T$2:$T$4000,MATCH($A870,BBG_Data!$S$2:$S$4000,0))*Settings!$B$25,NA()))</f>
        <v/>
      </c>
      <c r="AI870" s="19">
        <f>IF(NOT(ISNUMBER($A870)),NA(),IFERROR(INDEX(BBG_Data!$V$2:$V$4000,MATCH($A870,BBG_Data!$U$2:$U$4000,0))*Settings!$B$25,NA()))</f>
        <v/>
      </c>
      <c r="AJ870" s="19">
        <f>IF(NOT(ISNUMBER($A870)),NA(),IFERROR(1*INDEX(BBG_Data!$X$2:$X$4000,MATCH($A870,BBG_Data!$W$2:$W$4000,0)),NA()))</f>
        <v/>
      </c>
      <c r="AK870" s="19">
        <f>IF(NOT(ISNUMBER($A870)),NA(),IFERROR(1*INDEX(BBG_Data!$Z$2:$Z$4000,MATCH($A870,BBG_Data!$Y$2:$Y$4000,0)),NA()))</f>
        <v/>
      </c>
    </row>
    <row r="871">
      <c r="A871" s="17">
        <f>IF(ISNUMBER(BBG_Data!A871),BBG_Data!A871,"")</f>
        <v/>
      </c>
      <c r="B871" s="18">
        <f>IF(AND(ISNUMBER($A871),ISNUMBER(BBG_Data!B871)),BBG_Data!B871,NA())</f>
        <v/>
      </c>
      <c r="C871" s="18">
        <f>IF(NOT(ISNUMBER($A871)),NA(),IFERROR(1*INDEX(BBG_Data!$D$2:$D$4000,MATCH($A871,BBG_Data!$C$2:$C$4000,0)),NA()))</f>
        <v/>
      </c>
      <c r="D871" s="19">
        <f>IF(NOT(ISNUMBER($A871)),NA(),IFERROR(1*INDEX(BBG_Data!$F$2:$F$4000,MATCH($A871,BBG_Data!$E$2:$E$4000,0)),NA()))</f>
        <v/>
      </c>
      <c r="E871" s="19">
        <f>IF(NOT(ISNUMBER($A871)),NA(),IFERROR(1*INDEX(BBG_Data!$H$2:$H$4000,MATCH($A871,BBG_Data!$G$2:$G$4000,0)),NA()))</f>
        <v/>
      </c>
      <c r="F871" s="20">
        <f>IF(AND(ISNUMBER(B871),ISNUMBER(B870)),IF(B871=B870,"",(B871-B870)*100),"")</f>
        <v/>
      </c>
      <c r="G871" s="20">
        <f>IF(AND(ISNUMBER(C871),ISNUMBER(C870)),IF(C871=C870,"",(C871-C870)*100),"")</f>
        <v/>
      </c>
      <c r="H871" s="20">
        <f>IF(OR(NOT(ISNUMBER($A871)),ROW()-2&lt;Settings!$B$11),NA(),IF(COUNT(OFFSET(F871,1-Settings!$B$11,0,Settings!$B$11,1))&lt;ROUNDUP(Settings!$B$11*Settings!$B$26,0),NA(),STDEV(OFFSET(F871,1-Settings!$B$11,0,Settings!$B$11,1))*SQRT(Settings!$B$13)))</f>
        <v/>
      </c>
      <c r="I871" s="20">
        <f>IF(OR(NOT(ISNUMBER($A871)),ROW()-2&lt;Settings!$B$12),NA(),IF(COUNT(OFFSET(F871,1-Settings!$B$12,0,Settings!$B$12,1))&lt;ROUNDUP(Settings!$B$12*Settings!$B$26,0),NA(),STDEV(OFFSET(F871,1-Settings!$B$12,0,Settings!$B$12,1))*SQRT(Settings!$B$13)))</f>
        <v/>
      </c>
      <c r="J871" s="20">
        <f>IF(OR(NOT(ISNUMBER($A871)),ROW()-2&lt;Settings!$B$11),NA(),IF(COUNT(OFFSET(G871,1-Settings!$B$11,0,Settings!$B$11,1))&lt;ROUNDUP(Settings!$B$11*Settings!$B$26,0),NA(),STDEV(OFFSET(G871,1-Settings!$B$11,0,Settings!$B$11,1))*SQRT(Settings!$B$13)))</f>
        <v/>
      </c>
      <c r="K871" s="20">
        <f>IF(OR(NOT(ISNUMBER($A871)),ROW()-2&lt;Settings!$B$12),NA(),IF(COUNT(OFFSET(G871,1-Settings!$B$12,0,Settings!$B$12,1))&lt;ROUNDUP(Settings!$B$12*Settings!$B$26,0),NA(),STDEV(OFFSET(G871,1-Settings!$B$12,0,Settings!$B$12,1))*SQRT(Settings!$B$13)))</f>
        <v/>
      </c>
      <c r="L871" s="20">
        <f>IF(AND(ISNUMBER(D871),ISNUMBER(H871)),D871-H871,NA())</f>
        <v/>
      </c>
      <c r="M871" s="20">
        <f>IF(AND(ISNUMBER(E871),ISNUMBER(K871)),E871-K871,NA())</f>
        <v/>
      </c>
      <c r="N871" s="20">
        <f>IF(NOT(ISNUMBER($A871)),NA(),IF(COUNT(OFFSET(G871,1,0,Settings!$B$12,1))&lt;ROUNDUP(Settings!$B$12*Settings!$B$26,0),NA(),STDEV(OFFSET(G871,1,0,Settings!$B$12,1))*SQRT(Settings!$B$13)))</f>
        <v/>
      </c>
      <c r="O871" s="20">
        <f>IF(AND(ISNUMBER(E871),ISNUMBER(N871)),E871-N871,NA())</f>
        <v/>
      </c>
      <c r="P871" s="19">
        <f>IF(NOT(ISNUMBER($A871)),NA(),IF(OR($A871&lt;MIN(KW_TP!$A$2:$A$2501),$A871&gt;MAX(KW_TP!$A$2:$A$2501)),NA(),INDEX(KW_TP!$C$2:$C$2501,MATCH($A871,KW_TP!$A$2:$A$2501,1))))</f>
        <v/>
      </c>
      <c r="Q871" s="18">
        <f>IF(NOT(ISNUMBER($A871)),NA(),IFERROR(1*INDEX(BBG_Data!$J$2:$J$4000,MATCH($A871,BBG_Data!$I$2:$I$4000,0)),NA()))</f>
        <v/>
      </c>
      <c r="R871" s="18">
        <f>IF(NOT(ISNUMBER($A871)),NA(),IFERROR(1*INDEX(BBG_Data!$L$2:$L$4000,MATCH($A871,BBG_Data!$K$2:$K$4000,0)),NA()))</f>
        <v/>
      </c>
      <c r="S871" s="20">
        <f>IF(AND(ISNUMBER(B871),ISNUMBER(Q871),ISNUMBER(R871)),(B871-Q871-R871)*100,NA())</f>
        <v/>
      </c>
      <c r="T871" s="20">
        <f>IF(AND(ISNUMBER(B871),Settings!$B$17&gt;0),IF(ISNUMBER(INDEX($B:$B,Settings!$B$17)),(B871-INDEX($B:$B,Settings!$B$17))*100,NA()),NA())</f>
        <v/>
      </c>
      <c r="U871" s="20">
        <f>IF(AND(ISNUMBER(Q871),Settings!$B$17&gt;0),IF(ISNUMBER(INDEX($Q:$Q,Settings!$B$17)),(Q871-INDEX($Q:$Q,Settings!$B$17))*100,NA()),NA())</f>
        <v/>
      </c>
      <c r="V871" s="20">
        <f>IF(AND(ISNUMBER(R871),Settings!$B$17&gt;0),IF(ISNUMBER(INDEX($R:$R,Settings!$B$17)),(R871-INDEX($R:$R,Settings!$B$17))*100,NA()),NA())</f>
        <v/>
      </c>
      <c r="W871" s="20">
        <f>IF(AND(ISNUMBER(P871),Settings!$B$17&gt;0),IF(ISNUMBER(INDEX($P:$P,Settings!$B$17)),P871-INDEX($P:$P,Settings!$B$17),NA()),NA())</f>
        <v/>
      </c>
      <c r="X871" s="19">
        <f>IF(NOT(ISNUMBER($A871)),NA(),IF(OR($A871&lt;MIN(DKW_10Y!$A$2:$A$2918),$A871&gt;MAX(DKW_10Y!$A$2:$A$2918),Settings!$B$16&lt;MIN(DKW_10Y!$A$2:$A$2918)),NA(),(INDEX(DKW_10Y!$B$2:$B$2918,MATCH($A871,DKW_10Y!$A$2:$A$2918,1))-INDEX(DKW_10Y!$B$2:$B$2918,MATCH(Settings!$B$16,DKW_10Y!$A$2:$A$2918,1)))*100))</f>
        <v/>
      </c>
      <c r="Y871" s="19">
        <f>IF(NOT(ISNUMBER($A871)),NA(),IF(OR($A871&lt;MIN(DKW_10Y!$A$2:$A$2918),$A871&gt;MAX(DKW_10Y!$A$2:$A$2918),Settings!$B$16&lt;MIN(DKW_10Y!$A$2:$A$2918)),NA(),(INDEX(DKW_10Y!$C$2:$C$2918,MATCH($A871,DKW_10Y!$A$2:$A$2918,1))-INDEX(DKW_10Y!$C$2:$C$2918,MATCH(Settings!$B$16,DKW_10Y!$A$2:$A$2918,1)))*100))</f>
        <v/>
      </c>
      <c r="Z871" s="19">
        <f>IF(NOT(ISNUMBER($A871)),NA(),IF(OR($A871&lt;MIN(DKW_10Y!$A$2:$A$2918),$A871&gt;MAX(DKW_10Y!$A$2:$A$2918),Settings!$B$16&lt;MIN(DKW_10Y!$A$2:$A$2918)),NA(),(INDEX(DKW_10Y!$D$2:$D$2918,MATCH($A871,DKW_10Y!$A$2:$A$2918,1))-INDEX(DKW_10Y!$D$2:$D$2918,MATCH(Settings!$B$16,DKW_10Y!$A$2:$A$2918,1)))*100))</f>
        <v/>
      </c>
      <c r="AA871" s="19">
        <f>IF(NOT(ISNUMBER($A871)),NA(),IF(OR($A871&lt;MIN(DKW_10Y!$A$2:$A$2918),$A871&gt;MAX(DKW_10Y!$A$2:$A$2918),Settings!$B$16&lt;MIN(DKW_10Y!$A$2:$A$2918)),NA(),(INDEX(DKW_10Y!$E$2:$E$2918,MATCH($A871,DKW_10Y!$A$2:$A$2918,1))-INDEX(DKW_10Y!$E$2:$E$2918,MATCH(Settings!$B$16,DKW_10Y!$A$2:$A$2918,1)))*100))</f>
        <v/>
      </c>
      <c r="AB871" s="19">
        <f>IF(NOT(ISNUMBER($A871)),NA(),IF(OR($A871&lt;MIN(DKW_10Y!$A$2:$A$2918),$A871&gt;MAX(DKW_10Y!$A$2:$A$2918),Settings!$B$16&lt;MIN(DKW_10Y!$A$2:$A$2918)),NA(),(INDEX(DKW_10Y!$H$2:$H$2918,MATCH($A871,DKW_10Y!$A$2:$A$2918,1))-INDEX(DKW_10Y!$H$2:$H$2918,MATCH(Settings!$B$16,DKW_10Y!$A$2:$A$2918,1)))*100))</f>
        <v/>
      </c>
      <c r="AC871" s="18">
        <f>IF(NOT(ISNUMBER($A871)),NA(),IFERROR(1*INDEX(BBG_Data!$N$2:$N$4000,MATCH($A871,BBG_Data!$M$2:$M$4000,0)),NA()))</f>
        <v/>
      </c>
      <c r="AD871" s="18">
        <f>IF(NOT(ISNUMBER($A871)),NA(),IFERROR(1*INDEX(BBG_Data!$P$2:$P$4000,MATCH($A871,BBG_Data!$O$2:$O$4000,0)),NA()))</f>
        <v/>
      </c>
      <c r="AE871" s="18">
        <f>IF(NOT(ISNUMBER($A871)),NA(),IFERROR(1*INDEX(BBG_Data!$R$2:$R$4000,MATCH($A871,BBG_Data!$Q$2:$Q$4000,0)),NA()))</f>
        <v/>
      </c>
      <c r="AF871" s="20">
        <f>IF(AND(ISNUMBER(B871),ISNUMBER(AC871)),(B871-AC871)*100,NA())</f>
        <v/>
      </c>
      <c r="AG871" s="20">
        <f>IF(AND(ISNUMBER(AE871),ISNUMBER(AD871)),(AE871-AD871)*100,NA())</f>
        <v/>
      </c>
      <c r="AH871" s="19">
        <f>IF(NOT(ISNUMBER($A871)),NA(),IFERROR(INDEX(BBG_Data!$T$2:$T$4000,MATCH($A871,BBG_Data!$S$2:$S$4000,0))*Settings!$B$25,NA()))</f>
        <v/>
      </c>
      <c r="AI871" s="19">
        <f>IF(NOT(ISNUMBER($A871)),NA(),IFERROR(INDEX(BBG_Data!$V$2:$V$4000,MATCH($A871,BBG_Data!$U$2:$U$4000,0))*Settings!$B$25,NA()))</f>
        <v/>
      </c>
      <c r="AJ871" s="19">
        <f>IF(NOT(ISNUMBER($A871)),NA(),IFERROR(1*INDEX(BBG_Data!$X$2:$X$4000,MATCH($A871,BBG_Data!$W$2:$W$4000,0)),NA()))</f>
        <v/>
      </c>
      <c r="AK871" s="19">
        <f>IF(NOT(ISNUMBER($A871)),NA(),IFERROR(1*INDEX(BBG_Data!$Z$2:$Z$4000,MATCH($A871,BBG_Data!$Y$2:$Y$4000,0)),NA()))</f>
        <v/>
      </c>
    </row>
    <row r="872">
      <c r="A872" s="17">
        <f>IF(ISNUMBER(BBG_Data!A872),BBG_Data!A872,"")</f>
        <v/>
      </c>
      <c r="B872" s="18">
        <f>IF(AND(ISNUMBER($A872),ISNUMBER(BBG_Data!B872)),BBG_Data!B872,NA())</f>
        <v/>
      </c>
      <c r="C872" s="18">
        <f>IF(NOT(ISNUMBER($A872)),NA(),IFERROR(1*INDEX(BBG_Data!$D$2:$D$4000,MATCH($A872,BBG_Data!$C$2:$C$4000,0)),NA()))</f>
        <v/>
      </c>
      <c r="D872" s="19">
        <f>IF(NOT(ISNUMBER($A872)),NA(),IFERROR(1*INDEX(BBG_Data!$F$2:$F$4000,MATCH($A872,BBG_Data!$E$2:$E$4000,0)),NA()))</f>
        <v/>
      </c>
      <c r="E872" s="19">
        <f>IF(NOT(ISNUMBER($A872)),NA(),IFERROR(1*INDEX(BBG_Data!$H$2:$H$4000,MATCH($A872,BBG_Data!$G$2:$G$4000,0)),NA()))</f>
        <v/>
      </c>
      <c r="F872" s="20">
        <f>IF(AND(ISNUMBER(B872),ISNUMBER(B871)),IF(B872=B871,"",(B872-B871)*100),"")</f>
        <v/>
      </c>
      <c r="G872" s="20">
        <f>IF(AND(ISNUMBER(C872),ISNUMBER(C871)),IF(C872=C871,"",(C872-C871)*100),"")</f>
        <v/>
      </c>
      <c r="H872" s="20">
        <f>IF(OR(NOT(ISNUMBER($A872)),ROW()-2&lt;Settings!$B$11),NA(),IF(COUNT(OFFSET(F872,1-Settings!$B$11,0,Settings!$B$11,1))&lt;ROUNDUP(Settings!$B$11*Settings!$B$26,0),NA(),STDEV(OFFSET(F872,1-Settings!$B$11,0,Settings!$B$11,1))*SQRT(Settings!$B$13)))</f>
        <v/>
      </c>
      <c r="I872" s="20">
        <f>IF(OR(NOT(ISNUMBER($A872)),ROW()-2&lt;Settings!$B$12),NA(),IF(COUNT(OFFSET(F872,1-Settings!$B$12,0,Settings!$B$12,1))&lt;ROUNDUP(Settings!$B$12*Settings!$B$26,0),NA(),STDEV(OFFSET(F872,1-Settings!$B$12,0,Settings!$B$12,1))*SQRT(Settings!$B$13)))</f>
        <v/>
      </c>
      <c r="J872" s="20">
        <f>IF(OR(NOT(ISNUMBER($A872)),ROW()-2&lt;Settings!$B$11),NA(),IF(COUNT(OFFSET(G872,1-Settings!$B$11,0,Settings!$B$11,1))&lt;ROUNDUP(Settings!$B$11*Settings!$B$26,0),NA(),STDEV(OFFSET(G872,1-Settings!$B$11,0,Settings!$B$11,1))*SQRT(Settings!$B$13)))</f>
        <v/>
      </c>
      <c r="K872" s="20">
        <f>IF(OR(NOT(ISNUMBER($A872)),ROW()-2&lt;Settings!$B$12),NA(),IF(COUNT(OFFSET(G872,1-Settings!$B$12,0,Settings!$B$12,1))&lt;ROUNDUP(Settings!$B$12*Settings!$B$26,0),NA(),STDEV(OFFSET(G872,1-Settings!$B$12,0,Settings!$B$12,1))*SQRT(Settings!$B$13)))</f>
        <v/>
      </c>
      <c r="L872" s="20">
        <f>IF(AND(ISNUMBER(D872),ISNUMBER(H872)),D872-H872,NA())</f>
        <v/>
      </c>
      <c r="M872" s="20">
        <f>IF(AND(ISNUMBER(E872),ISNUMBER(K872)),E872-K872,NA())</f>
        <v/>
      </c>
      <c r="N872" s="20">
        <f>IF(NOT(ISNUMBER($A872)),NA(),IF(COUNT(OFFSET(G872,1,0,Settings!$B$12,1))&lt;ROUNDUP(Settings!$B$12*Settings!$B$26,0),NA(),STDEV(OFFSET(G872,1,0,Settings!$B$12,1))*SQRT(Settings!$B$13)))</f>
        <v/>
      </c>
      <c r="O872" s="20">
        <f>IF(AND(ISNUMBER(E872),ISNUMBER(N872)),E872-N872,NA())</f>
        <v/>
      </c>
      <c r="P872" s="19">
        <f>IF(NOT(ISNUMBER($A872)),NA(),IF(OR($A872&lt;MIN(KW_TP!$A$2:$A$2501),$A872&gt;MAX(KW_TP!$A$2:$A$2501)),NA(),INDEX(KW_TP!$C$2:$C$2501,MATCH($A872,KW_TP!$A$2:$A$2501,1))))</f>
        <v/>
      </c>
      <c r="Q872" s="18">
        <f>IF(NOT(ISNUMBER($A872)),NA(),IFERROR(1*INDEX(BBG_Data!$J$2:$J$4000,MATCH($A872,BBG_Data!$I$2:$I$4000,0)),NA()))</f>
        <v/>
      </c>
      <c r="R872" s="18">
        <f>IF(NOT(ISNUMBER($A872)),NA(),IFERROR(1*INDEX(BBG_Data!$L$2:$L$4000,MATCH($A872,BBG_Data!$K$2:$K$4000,0)),NA()))</f>
        <v/>
      </c>
      <c r="S872" s="20">
        <f>IF(AND(ISNUMBER(B872),ISNUMBER(Q872),ISNUMBER(R872)),(B872-Q872-R872)*100,NA())</f>
        <v/>
      </c>
      <c r="T872" s="20">
        <f>IF(AND(ISNUMBER(B872),Settings!$B$17&gt;0),IF(ISNUMBER(INDEX($B:$B,Settings!$B$17)),(B872-INDEX($B:$B,Settings!$B$17))*100,NA()),NA())</f>
        <v/>
      </c>
      <c r="U872" s="20">
        <f>IF(AND(ISNUMBER(Q872),Settings!$B$17&gt;0),IF(ISNUMBER(INDEX($Q:$Q,Settings!$B$17)),(Q872-INDEX($Q:$Q,Settings!$B$17))*100,NA()),NA())</f>
        <v/>
      </c>
      <c r="V872" s="20">
        <f>IF(AND(ISNUMBER(R872),Settings!$B$17&gt;0),IF(ISNUMBER(INDEX($R:$R,Settings!$B$17)),(R872-INDEX($R:$R,Settings!$B$17))*100,NA()),NA())</f>
        <v/>
      </c>
      <c r="W872" s="20">
        <f>IF(AND(ISNUMBER(P872),Settings!$B$17&gt;0),IF(ISNUMBER(INDEX($P:$P,Settings!$B$17)),P872-INDEX($P:$P,Settings!$B$17),NA()),NA())</f>
        <v/>
      </c>
      <c r="X872" s="19">
        <f>IF(NOT(ISNUMBER($A872)),NA(),IF(OR($A872&lt;MIN(DKW_10Y!$A$2:$A$2918),$A872&gt;MAX(DKW_10Y!$A$2:$A$2918),Settings!$B$16&lt;MIN(DKW_10Y!$A$2:$A$2918)),NA(),(INDEX(DKW_10Y!$B$2:$B$2918,MATCH($A872,DKW_10Y!$A$2:$A$2918,1))-INDEX(DKW_10Y!$B$2:$B$2918,MATCH(Settings!$B$16,DKW_10Y!$A$2:$A$2918,1)))*100))</f>
        <v/>
      </c>
      <c r="Y872" s="19">
        <f>IF(NOT(ISNUMBER($A872)),NA(),IF(OR($A872&lt;MIN(DKW_10Y!$A$2:$A$2918),$A872&gt;MAX(DKW_10Y!$A$2:$A$2918),Settings!$B$16&lt;MIN(DKW_10Y!$A$2:$A$2918)),NA(),(INDEX(DKW_10Y!$C$2:$C$2918,MATCH($A872,DKW_10Y!$A$2:$A$2918,1))-INDEX(DKW_10Y!$C$2:$C$2918,MATCH(Settings!$B$16,DKW_10Y!$A$2:$A$2918,1)))*100))</f>
        <v/>
      </c>
      <c r="Z872" s="19">
        <f>IF(NOT(ISNUMBER($A872)),NA(),IF(OR($A872&lt;MIN(DKW_10Y!$A$2:$A$2918),$A872&gt;MAX(DKW_10Y!$A$2:$A$2918),Settings!$B$16&lt;MIN(DKW_10Y!$A$2:$A$2918)),NA(),(INDEX(DKW_10Y!$D$2:$D$2918,MATCH($A872,DKW_10Y!$A$2:$A$2918,1))-INDEX(DKW_10Y!$D$2:$D$2918,MATCH(Settings!$B$16,DKW_10Y!$A$2:$A$2918,1)))*100))</f>
        <v/>
      </c>
      <c r="AA872" s="19">
        <f>IF(NOT(ISNUMBER($A872)),NA(),IF(OR($A872&lt;MIN(DKW_10Y!$A$2:$A$2918),$A872&gt;MAX(DKW_10Y!$A$2:$A$2918),Settings!$B$16&lt;MIN(DKW_10Y!$A$2:$A$2918)),NA(),(INDEX(DKW_10Y!$E$2:$E$2918,MATCH($A872,DKW_10Y!$A$2:$A$2918,1))-INDEX(DKW_10Y!$E$2:$E$2918,MATCH(Settings!$B$16,DKW_10Y!$A$2:$A$2918,1)))*100))</f>
        <v/>
      </c>
      <c r="AB872" s="19">
        <f>IF(NOT(ISNUMBER($A872)),NA(),IF(OR($A872&lt;MIN(DKW_10Y!$A$2:$A$2918),$A872&gt;MAX(DKW_10Y!$A$2:$A$2918),Settings!$B$16&lt;MIN(DKW_10Y!$A$2:$A$2918)),NA(),(INDEX(DKW_10Y!$H$2:$H$2918,MATCH($A872,DKW_10Y!$A$2:$A$2918,1))-INDEX(DKW_10Y!$H$2:$H$2918,MATCH(Settings!$B$16,DKW_10Y!$A$2:$A$2918,1)))*100))</f>
        <v/>
      </c>
      <c r="AC872" s="18">
        <f>IF(NOT(ISNUMBER($A872)),NA(),IFERROR(1*INDEX(BBG_Data!$N$2:$N$4000,MATCH($A872,BBG_Data!$M$2:$M$4000,0)),NA()))</f>
        <v/>
      </c>
      <c r="AD872" s="18">
        <f>IF(NOT(ISNUMBER($A872)),NA(),IFERROR(1*INDEX(BBG_Data!$P$2:$P$4000,MATCH($A872,BBG_Data!$O$2:$O$4000,0)),NA()))</f>
        <v/>
      </c>
      <c r="AE872" s="18">
        <f>IF(NOT(ISNUMBER($A872)),NA(),IFERROR(1*INDEX(BBG_Data!$R$2:$R$4000,MATCH($A872,BBG_Data!$Q$2:$Q$4000,0)),NA()))</f>
        <v/>
      </c>
      <c r="AF872" s="20">
        <f>IF(AND(ISNUMBER(B872),ISNUMBER(AC872)),(B872-AC872)*100,NA())</f>
        <v/>
      </c>
      <c r="AG872" s="20">
        <f>IF(AND(ISNUMBER(AE872),ISNUMBER(AD872)),(AE872-AD872)*100,NA())</f>
        <v/>
      </c>
      <c r="AH872" s="19">
        <f>IF(NOT(ISNUMBER($A872)),NA(),IFERROR(INDEX(BBG_Data!$T$2:$T$4000,MATCH($A872,BBG_Data!$S$2:$S$4000,0))*Settings!$B$25,NA()))</f>
        <v/>
      </c>
      <c r="AI872" s="19">
        <f>IF(NOT(ISNUMBER($A872)),NA(),IFERROR(INDEX(BBG_Data!$V$2:$V$4000,MATCH($A872,BBG_Data!$U$2:$U$4000,0))*Settings!$B$25,NA()))</f>
        <v/>
      </c>
      <c r="AJ872" s="19">
        <f>IF(NOT(ISNUMBER($A872)),NA(),IFERROR(1*INDEX(BBG_Data!$X$2:$X$4000,MATCH($A872,BBG_Data!$W$2:$W$4000,0)),NA()))</f>
        <v/>
      </c>
      <c r="AK872" s="19">
        <f>IF(NOT(ISNUMBER($A872)),NA(),IFERROR(1*INDEX(BBG_Data!$Z$2:$Z$4000,MATCH($A872,BBG_Data!$Y$2:$Y$4000,0)),NA()))</f>
        <v/>
      </c>
    </row>
    <row r="873">
      <c r="A873" s="17">
        <f>IF(ISNUMBER(BBG_Data!A873),BBG_Data!A873,"")</f>
        <v/>
      </c>
      <c r="B873" s="18">
        <f>IF(AND(ISNUMBER($A873),ISNUMBER(BBG_Data!B873)),BBG_Data!B873,NA())</f>
        <v/>
      </c>
      <c r="C873" s="18">
        <f>IF(NOT(ISNUMBER($A873)),NA(),IFERROR(1*INDEX(BBG_Data!$D$2:$D$4000,MATCH($A873,BBG_Data!$C$2:$C$4000,0)),NA()))</f>
        <v/>
      </c>
      <c r="D873" s="19">
        <f>IF(NOT(ISNUMBER($A873)),NA(),IFERROR(1*INDEX(BBG_Data!$F$2:$F$4000,MATCH($A873,BBG_Data!$E$2:$E$4000,0)),NA()))</f>
        <v/>
      </c>
      <c r="E873" s="19">
        <f>IF(NOT(ISNUMBER($A873)),NA(),IFERROR(1*INDEX(BBG_Data!$H$2:$H$4000,MATCH($A873,BBG_Data!$G$2:$G$4000,0)),NA()))</f>
        <v/>
      </c>
      <c r="F873" s="20">
        <f>IF(AND(ISNUMBER(B873),ISNUMBER(B872)),IF(B873=B872,"",(B873-B872)*100),"")</f>
        <v/>
      </c>
      <c r="G873" s="20">
        <f>IF(AND(ISNUMBER(C873),ISNUMBER(C872)),IF(C873=C872,"",(C873-C872)*100),"")</f>
        <v/>
      </c>
      <c r="H873" s="20">
        <f>IF(OR(NOT(ISNUMBER($A873)),ROW()-2&lt;Settings!$B$11),NA(),IF(COUNT(OFFSET(F873,1-Settings!$B$11,0,Settings!$B$11,1))&lt;ROUNDUP(Settings!$B$11*Settings!$B$26,0),NA(),STDEV(OFFSET(F873,1-Settings!$B$11,0,Settings!$B$11,1))*SQRT(Settings!$B$13)))</f>
        <v/>
      </c>
      <c r="I873" s="20">
        <f>IF(OR(NOT(ISNUMBER($A873)),ROW()-2&lt;Settings!$B$12),NA(),IF(COUNT(OFFSET(F873,1-Settings!$B$12,0,Settings!$B$12,1))&lt;ROUNDUP(Settings!$B$12*Settings!$B$26,0),NA(),STDEV(OFFSET(F873,1-Settings!$B$12,0,Settings!$B$12,1))*SQRT(Settings!$B$13)))</f>
        <v/>
      </c>
      <c r="J873" s="20">
        <f>IF(OR(NOT(ISNUMBER($A873)),ROW()-2&lt;Settings!$B$11),NA(),IF(COUNT(OFFSET(G873,1-Settings!$B$11,0,Settings!$B$11,1))&lt;ROUNDUP(Settings!$B$11*Settings!$B$26,0),NA(),STDEV(OFFSET(G873,1-Settings!$B$11,0,Settings!$B$11,1))*SQRT(Settings!$B$13)))</f>
        <v/>
      </c>
      <c r="K873" s="20">
        <f>IF(OR(NOT(ISNUMBER($A873)),ROW()-2&lt;Settings!$B$12),NA(),IF(COUNT(OFFSET(G873,1-Settings!$B$12,0,Settings!$B$12,1))&lt;ROUNDUP(Settings!$B$12*Settings!$B$26,0),NA(),STDEV(OFFSET(G873,1-Settings!$B$12,0,Settings!$B$12,1))*SQRT(Settings!$B$13)))</f>
        <v/>
      </c>
      <c r="L873" s="20">
        <f>IF(AND(ISNUMBER(D873),ISNUMBER(H873)),D873-H873,NA())</f>
        <v/>
      </c>
      <c r="M873" s="20">
        <f>IF(AND(ISNUMBER(E873),ISNUMBER(K873)),E873-K873,NA())</f>
        <v/>
      </c>
      <c r="N873" s="20">
        <f>IF(NOT(ISNUMBER($A873)),NA(),IF(COUNT(OFFSET(G873,1,0,Settings!$B$12,1))&lt;ROUNDUP(Settings!$B$12*Settings!$B$26,0),NA(),STDEV(OFFSET(G873,1,0,Settings!$B$12,1))*SQRT(Settings!$B$13)))</f>
        <v/>
      </c>
      <c r="O873" s="20">
        <f>IF(AND(ISNUMBER(E873),ISNUMBER(N873)),E873-N873,NA())</f>
        <v/>
      </c>
      <c r="P873" s="19">
        <f>IF(NOT(ISNUMBER($A873)),NA(),IF(OR($A873&lt;MIN(KW_TP!$A$2:$A$2501),$A873&gt;MAX(KW_TP!$A$2:$A$2501)),NA(),INDEX(KW_TP!$C$2:$C$2501,MATCH($A873,KW_TP!$A$2:$A$2501,1))))</f>
        <v/>
      </c>
      <c r="Q873" s="18">
        <f>IF(NOT(ISNUMBER($A873)),NA(),IFERROR(1*INDEX(BBG_Data!$J$2:$J$4000,MATCH($A873,BBG_Data!$I$2:$I$4000,0)),NA()))</f>
        <v/>
      </c>
      <c r="R873" s="18">
        <f>IF(NOT(ISNUMBER($A873)),NA(),IFERROR(1*INDEX(BBG_Data!$L$2:$L$4000,MATCH($A873,BBG_Data!$K$2:$K$4000,0)),NA()))</f>
        <v/>
      </c>
      <c r="S873" s="20">
        <f>IF(AND(ISNUMBER(B873),ISNUMBER(Q873),ISNUMBER(R873)),(B873-Q873-R873)*100,NA())</f>
        <v/>
      </c>
      <c r="T873" s="20">
        <f>IF(AND(ISNUMBER(B873),Settings!$B$17&gt;0),IF(ISNUMBER(INDEX($B:$B,Settings!$B$17)),(B873-INDEX($B:$B,Settings!$B$17))*100,NA()),NA())</f>
        <v/>
      </c>
      <c r="U873" s="20">
        <f>IF(AND(ISNUMBER(Q873),Settings!$B$17&gt;0),IF(ISNUMBER(INDEX($Q:$Q,Settings!$B$17)),(Q873-INDEX($Q:$Q,Settings!$B$17))*100,NA()),NA())</f>
        <v/>
      </c>
      <c r="V873" s="20">
        <f>IF(AND(ISNUMBER(R873),Settings!$B$17&gt;0),IF(ISNUMBER(INDEX($R:$R,Settings!$B$17)),(R873-INDEX($R:$R,Settings!$B$17))*100,NA()),NA())</f>
        <v/>
      </c>
      <c r="W873" s="20">
        <f>IF(AND(ISNUMBER(P873),Settings!$B$17&gt;0),IF(ISNUMBER(INDEX($P:$P,Settings!$B$17)),P873-INDEX($P:$P,Settings!$B$17),NA()),NA())</f>
        <v/>
      </c>
      <c r="X873" s="19">
        <f>IF(NOT(ISNUMBER($A873)),NA(),IF(OR($A873&lt;MIN(DKW_10Y!$A$2:$A$2918),$A873&gt;MAX(DKW_10Y!$A$2:$A$2918),Settings!$B$16&lt;MIN(DKW_10Y!$A$2:$A$2918)),NA(),(INDEX(DKW_10Y!$B$2:$B$2918,MATCH($A873,DKW_10Y!$A$2:$A$2918,1))-INDEX(DKW_10Y!$B$2:$B$2918,MATCH(Settings!$B$16,DKW_10Y!$A$2:$A$2918,1)))*100))</f>
        <v/>
      </c>
      <c r="Y873" s="19">
        <f>IF(NOT(ISNUMBER($A873)),NA(),IF(OR($A873&lt;MIN(DKW_10Y!$A$2:$A$2918),$A873&gt;MAX(DKW_10Y!$A$2:$A$2918),Settings!$B$16&lt;MIN(DKW_10Y!$A$2:$A$2918)),NA(),(INDEX(DKW_10Y!$C$2:$C$2918,MATCH($A873,DKW_10Y!$A$2:$A$2918,1))-INDEX(DKW_10Y!$C$2:$C$2918,MATCH(Settings!$B$16,DKW_10Y!$A$2:$A$2918,1)))*100))</f>
        <v/>
      </c>
      <c r="Z873" s="19">
        <f>IF(NOT(ISNUMBER($A873)),NA(),IF(OR($A873&lt;MIN(DKW_10Y!$A$2:$A$2918),$A873&gt;MAX(DKW_10Y!$A$2:$A$2918),Settings!$B$16&lt;MIN(DKW_10Y!$A$2:$A$2918)),NA(),(INDEX(DKW_10Y!$D$2:$D$2918,MATCH($A873,DKW_10Y!$A$2:$A$2918,1))-INDEX(DKW_10Y!$D$2:$D$2918,MATCH(Settings!$B$16,DKW_10Y!$A$2:$A$2918,1)))*100))</f>
        <v/>
      </c>
      <c r="AA873" s="19">
        <f>IF(NOT(ISNUMBER($A873)),NA(),IF(OR($A873&lt;MIN(DKW_10Y!$A$2:$A$2918),$A873&gt;MAX(DKW_10Y!$A$2:$A$2918),Settings!$B$16&lt;MIN(DKW_10Y!$A$2:$A$2918)),NA(),(INDEX(DKW_10Y!$E$2:$E$2918,MATCH($A873,DKW_10Y!$A$2:$A$2918,1))-INDEX(DKW_10Y!$E$2:$E$2918,MATCH(Settings!$B$16,DKW_10Y!$A$2:$A$2918,1)))*100))</f>
        <v/>
      </c>
      <c r="AB873" s="19">
        <f>IF(NOT(ISNUMBER($A873)),NA(),IF(OR($A873&lt;MIN(DKW_10Y!$A$2:$A$2918),$A873&gt;MAX(DKW_10Y!$A$2:$A$2918),Settings!$B$16&lt;MIN(DKW_10Y!$A$2:$A$2918)),NA(),(INDEX(DKW_10Y!$H$2:$H$2918,MATCH($A873,DKW_10Y!$A$2:$A$2918,1))-INDEX(DKW_10Y!$H$2:$H$2918,MATCH(Settings!$B$16,DKW_10Y!$A$2:$A$2918,1)))*100))</f>
        <v/>
      </c>
      <c r="AC873" s="18">
        <f>IF(NOT(ISNUMBER($A873)),NA(),IFERROR(1*INDEX(BBG_Data!$N$2:$N$4000,MATCH($A873,BBG_Data!$M$2:$M$4000,0)),NA()))</f>
        <v/>
      </c>
      <c r="AD873" s="18">
        <f>IF(NOT(ISNUMBER($A873)),NA(),IFERROR(1*INDEX(BBG_Data!$P$2:$P$4000,MATCH($A873,BBG_Data!$O$2:$O$4000,0)),NA()))</f>
        <v/>
      </c>
      <c r="AE873" s="18">
        <f>IF(NOT(ISNUMBER($A873)),NA(),IFERROR(1*INDEX(BBG_Data!$R$2:$R$4000,MATCH($A873,BBG_Data!$Q$2:$Q$4000,0)),NA()))</f>
        <v/>
      </c>
      <c r="AF873" s="20">
        <f>IF(AND(ISNUMBER(B873),ISNUMBER(AC873)),(B873-AC873)*100,NA())</f>
        <v/>
      </c>
      <c r="AG873" s="20">
        <f>IF(AND(ISNUMBER(AE873),ISNUMBER(AD873)),(AE873-AD873)*100,NA())</f>
        <v/>
      </c>
      <c r="AH873" s="19">
        <f>IF(NOT(ISNUMBER($A873)),NA(),IFERROR(INDEX(BBG_Data!$T$2:$T$4000,MATCH($A873,BBG_Data!$S$2:$S$4000,0))*Settings!$B$25,NA()))</f>
        <v/>
      </c>
      <c r="AI873" s="19">
        <f>IF(NOT(ISNUMBER($A873)),NA(),IFERROR(INDEX(BBG_Data!$V$2:$V$4000,MATCH($A873,BBG_Data!$U$2:$U$4000,0))*Settings!$B$25,NA()))</f>
        <v/>
      </c>
      <c r="AJ873" s="19">
        <f>IF(NOT(ISNUMBER($A873)),NA(),IFERROR(1*INDEX(BBG_Data!$X$2:$X$4000,MATCH($A873,BBG_Data!$W$2:$W$4000,0)),NA()))</f>
        <v/>
      </c>
      <c r="AK873" s="19">
        <f>IF(NOT(ISNUMBER($A873)),NA(),IFERROR(1*INDEX(BBG_Data!$Z$2:$Z$4000,MATCH($A873,BBG_Data!$Y$2:$Y$4000,0)),NA()))</f>
        <v/>
      </c>
    </row>
    <row r="874">
      <c r="A874" s="17">
        <f>IF(ISNUMBER(BBG_Data!A874),BBG_Data!A874,"")</f>
        <v/>
      </c>
      <c r="B874" s="18">
        <f>IF(AND(ISNUMBER($A874),ISNUMBER(BBG_Data!B874)),BBG_Data!B874,NA())</f>
        <v/>
      </c>
      <c r="C874" s="18">
        <f>IF(NOT(ISNUMBER($A874)),NA(),IFERROR(1*INDEX(BBG_Data!$D$2:$D$4000,MATCH($A874,BBG_Data!$C$2:$C$4000,0)),NA()))</f>
        <v/>
      </c>
      <c r="D874" s="19">
        <f>IF(NOT(ISNUMBER($A874)),NA(),IFERROR(1*INDEX(BBG_Data!$F$2:$F$4000,MATCH($A874,BBG_Data!$E$2:$E$4000,0)),NA()))</f>
        <v/>
      </c>
      <c r="E874" s="19">
        <f>IF(NOT(ISNUMBER($A874)),NA(),IFERROR(1*INDEX(BBG_Data!$H$2:$H$4000,MATCH($A874,BBG_Data!$G$2:$G$4000,0)),NA()))</f>
        <v/>
      </c>
      <c r="F874" s="20">
        <f>IF(AND(ISNUMBER(B874),ISNUMBER(B873)),IF(B874=B873,"",(B874-B873)*100),"")</f>
        <v/>
      </c>
      <c r="G874" s="20">
        <f>IF(AND(ISNUMBER(C874),ISNUMBER(C873)),IF(C874=C873,"",(C874-C873)*100),"")</f>
        <v/>
      </c>
      <c r="H874" s="20">
        <f>IF(OR(NOT(ISNUMBER($A874)),ROW()-2&lt;Settings!$B$11),NA(),IF(COUNT(OFFSET(F874,1-Settings!$B$11,0,Settings!$B$11,1))&lt;ROUNDUP(Settings!$B$11*Settings!$B$26,0),NA(),STDEV(OFFSET(F874,1-Settings!$B$11,0,Settings!$B$11,1))*SQRT(Settings!$B$13)))</f>
        <v/>
      </c>
      <c r="I874" s="20">
        <f>IF(OR(NOT(ISNUMBER($A874)),ROW()-2&lt;Settings!$B$12),NA(),IF(COUNT(OFFSET(F874,1-Settings!$B$12,0,Settings!$B$12,1))&lt;ROUNDUP(Settings!$B$12*Settings!$B$26,0),NA(),STDEV(OFFSET(F874,1-Settings!$B$12,0,Settings!$B$12,1))*SQRT(Settings!$B$13)))</f>
        <v/>
      </c>
      <c r="J874" s="20">
        <f>IF(OR(NOT(ISNUMBER($A874)),ROW()-2&lt;Settings!$B$11),NA(),IF(COUNT(OFFSET(G874,1-Settings!$B$11,0,Settings!$B$11,1))&lt;ROUNDUP(Settings!$B$11*Settings!$B$26,0),NA(),STDEV(OFFSET(G874,1-Settings!$B$11,0,Settings!$B$11,1))*SQRT(Settings!$B$13)))</f>
        <v/>
      </c>
      <c r="K874" s="20">
        <f>IF(OR(NOT(ISNUMBER($A874)),ROW()-2&lt;Settings!$B$12),NA(),IF(COUNT(OFFSET(G874,1-Settings!$B$12,0,Settings!$B$12,1))&lt;ROUNDUP(Settings!$B$12*Settings!$B$26,0),NA(),STDEV(OFFSET(G874,1-Settings!$B$12,0,Settings!$B$12,1))*SQRT(Settings!$B$13)))</f>
        <v/>
      </c>
      <c r="L874" s="20">
        <f>IF(AND(ISNUMBER(D874),ISNUMBER(H874)),D874-H874,NA())</f>
        <v/>
      </c>
      <c r="M874" s="20">
        <f>IF(AND(ISNUMBER(E874),ISNUMBER(K874)),E874-K874,NA())</f>
        <v/>
      </c>
      <c r="N874" s="20">
        <f>IF(NOT(ISNUMBER($A874)),NA(),IF(COUNT(OFFSET(G874,1,0,Settings!$B$12,1))&lt;ROUNDUP(Settings!$B$12*Settings!$B$26,0),NA(),STDEV(OFFSET(G874,1,0,Settings!$B$12,1))*SQRT(Settings!$B$13)))</f>
        <v/>
      </c>
      <c r="O874" s="20">
        <f>IF(AND(ISNUMBER(E874),ISNUMBER(N874)),E874-N874,NA())</f>
        <v/>
      </c>
      <c r="P874" s="19">
        <f>IF(NOT(ISNUMBER($A874)),NA(),IF(OR($A874&lt;MIN(KW_TP!$A$2:$A$2501),$A874&gt;MAX(KW_TP!$A$2:$A$2501)),NA(),INDEX(KW_TP!$C$2:$C$2501,MATCH($A874,KW_TP!$A$2:$A$2501,1))))</f>
        <v/>
      </c>
      <c r="Q874" s="18">
        <f>IF(NOT(ISNUMBER($A874)),NA(),IFERROR(1*INDEX(BBG_Data!$J$2:$J$4000,MATCH($A874,BBG_Data!$I$2:$I$4000,0)),NA()))</f>
        <v/>
      </c>
      <c r="R874" s="18">
        <f>IF(NOT(ISNUMBER($A874)),NA(),IFERROR(1*INDEX(BBG_Data!$L$2:$L$4000,MATCH($A874,BBG_Data!$K$2:$K$4000,0)),NA()))</f>
        <v/>
      </c>
      <c r="S874" s="20">
        <f>IF(AND(ISNUMBER(B874),ISNUMBER(Q874),ISNUMBER(R874)),(B874-Q874-R874)*100,NA())</f>
        <v/>
      </c>
      <c r="T874" s="20">
        <f>IF(AND(ISNUMBER(B874),Settings!$B$17&gt;0),IF(ISNUMBER(INDEX($B:$B,Settings!$B$17)),(B874-INDEX($B:$B,Settings!$B$17))*100,NA()),NA())</f>
        <v/>
      </c>
      <c r="U874" s="20">
        <f>IF(AND(ISNUMBER(Q874),Settings!$B$17&gt;0),IF(ISNUMBER(INDEX($Q:$Q,Settings!$B$17)),(Q874-INDEX($Q:$Q,Settings!$B$17))*100,NA()),NA())</f>
        <v/>
      </c>
      <c r="V874" s="20">
        <f>IF(AND(ISNUMBER(R874),Settings!$B$17&gt;0),IF(ISNUMBER(INDEX($R:$R,Settings!$B$17)),(R874-INDEX($R:$R,Settings!$B$17))*100,NA()),NA())</f>
        <v/>
      </c>
      <c r="W874" s="20">
        <f>IF(AND(ISNUMBER(P874),Settings!$B$17&gt;0),IF(ISNUMBER(INDEX($P:$P,Settings!$B$17)),P874-INDEX($P:$P,Settings!$B$17),NA()),NA())</f>
        <v/>
      </c>
      <c r="X874" s="19">
        <f>IF(NOT(ISNUMBER($A874)),NA(),IF(OR($A874&lt;MIN(DKW_10Y!$A$2:$A$2918),$A874&gt;MAX(DKW_10Y!$A$2:$A$2918),Settings!$B$16&lt;MIN(DKW_10Y!$A$2:$A$2918)),NA(),(INDEX(DKW_10Y!$B$2:$B$2918,MATCH($A874,DKW_10Y!$A$2:$A$2918,1))-INDEX(DKW_10Y!$B$2:$B$2918,MATCH(Settings!$B$16,DKW_10Y!$A$2:$A$2918,1)))*100))</f>
        <v/>
      </c>
      <c r="Y874" s="19">
        <f>IF(NOT(ISNUMBER($A874)),NA(),IF(OR($A874&lt;MIN(DKW_10Y!$A$2:$A$2918),$A874&gt;MAX(DKW_10Y!$A$2:$A$2918),Settings!$B$16&lt;MIN(DKW_10Y!$A$2:$A$2918)),NA(),(INDEX(DKW_10Y!$C$2:$C$2918,MATCH($A874,DKW_10Y!$A$2:$A$2918,1))-INDEX(DKW_10Y!$C$2:$C$2918,MATCH(Settings!$B$16,DKW_10Y!$A$2:$A$2918,1)))*100))</f>
        <v/>
      </c>
      <c r="Z874" s="19">
        <f>IF(NOT(ISNUMBER($A874)),NA(),IF(OR($A874&lt;MIN(DKW_10Y!$A$2:$A$2918),$A874&gt;MAX(DKW_10Y!$A$2:$A$2918),Settings!$B$16&lt;MIN(DKW_10Y!$A$2:$A$2918)),NA(),(INDEX(DKW_10Y!$D$2:$D$2918,MATCH($A874,DKW_10Y!$A$2:$A$2918,1))-INDEX(DKW_10Y!$D$2:$D$2918,MATCH(Settings!$B$16,DKW_10Y!$A$2:$A$2918,1)))*100))</f>
        <v/>
      </c>
      <c r="AA874" s="19">
        <f>IF(NOT(ISNUMBER($A874)),NA(),IF(OR($A874&lt;MIN(DKW_10Y!$A$2:$A$2918),$A874&gt;MAX(DKW_10Y!$A$2:$A$2918),Settings!$B$16&lt;MIN(DKW_10Y!$A$2:$A$2918)),NA(),(INDEX(DKW_10Y!$E$2:$E$2918,MATCH($A874,DKW_10Y!$A$2:$A$2918,1))-INDEX(DKW_10Y!$E$2:$E$2918,MATCH(Settings!$B$16,DKW_10Y!$A$2:$A$2918,1)))*100))</f>
        <v/>
      </c>
      <c r="AB874" s="19">
        <f>IF(NOT(ISNUMBER($A874)),NA(),IF(OR($A874&lt;MIN(DKW_10Y!$A$2:$A$2918),$A874&gt;MAX(DKW_10Y!$A$2:$A$2918),Settings!$B$16&lt;MIN(DKW_10Y!$A$2:$A$2918)),NA(),(INDEX(DKW_10Y!$H$2:$H$2918,MATCH($A874,DKW_10Y!$A$2:$A$2918,1))-INDEX(DKW_10Y!$H$2:$H$2918,MATCH(Settings!$B$16,DKW_10Y!$A$2:$A$2918,1)))*100))</f>
        <v/>
      </c>
      <c r="AC874" s="18">
        <f>IF(NOT(ISNUMBER($A874)),NA(),IFERROR(1*INDEX(BBG_Data!$N$2:$N$4000,MATCH($A874,BBG_Data!$M$2:$M$4000,0)),NA()))</f>
        <v/>
      </c>
      <c r="AD874" s="18">
        <f>IF(NOT(ISNUMBER($A874)),NA(),IFERROR(1*INDEX(BBG_Data!$P$2:$P$4000,MATCH($A874,BBG_Data!$O$2:$O$4000,0)),NA()))</f>
        <v/>
      </c>
      <c r="AE874" s="18">
        <f>IF(NOT(ISNUMBER($A874)),NA(),IFERROR(1*INDEX(BBG_Data!$R$2:$R$4000,MATCH($A874,BBG_Data!$Q$2:$Q$4000,0)),NA()))</f>
        <v/>
      </c>
      <c r="AF874" s="20">
        <f>IF(AND(ISNUMBER(B874),ISNUMBER(AC874)),(B874-AC874)*100,NA())</f>
        <v/>
      </c>
      <c r="AG874" s="20">
        <f>IF(AND(ISNUMBER(AE874),ISNUMBER(AD874)),(AE874-AD874)*100,NA())</f>
        <v/>
      </c>
      <c r="AH874" s="19">
        <f>IF(NOT(ISNUMBER($A874)),NA(),IFERROR(INDEX(BBG_Data!$T$2:$T$4000,MATCH($A874,BBG_Data!$S$2:$S$4000,0))*Settings!$B$25,NA()))</f>
        <v/>
      </c>
      <c r="AI874" s="19">
        <f>IF(NOT(ISNUMBER($A874)),NA(),IFERROR(INDEX(BBG_Data!$V$2:$V$4000,MATCH($A874,BBG_Data!$U$2:$U$4000,0))*Settings!$B$25,NA()))</f>
        <v/>
      </c>
      <c r="AJ874" s="19">
        <f>IF(NOT(ISNUMBER($A874)),NA(),IFERROR(1*INDEX(BBG_Data!$X$2:$X$4000,MATCH($A874,BBG_Data!$W$2:$W$4000,0)),NA()))</f>
        <v/>
      </c>
      <c r="AK874" s="19">
        <f>IF(NOT(ISNUMBER($A874)),NA(),IFERROR(1*INDEX(BBG_Data!$Z$2:$Z$4000,MATCH($A874,BBG_Data!$Y$2:$Y$4000,0)),NA()))</f>
        <v/>
      </c>
    </row>
    <row r="875">
      <c r="A875" s="17">
        <f>IF(ISNUMBER(BBG_Data!A875),BBG_Data!A875,"")</f>
        <v/>
      </c>
      <c r="B875" s="18">
        <f>IF(AND(ISNUMBER($A875),ISNUMBER(BBG_Data!B875)),BBG_Data!B875,NA())</f>
        <v/>
      </c>
      <c r="C875" s="18">
        <f>IF(NOT(ISNUMBER($A875)),NA(),IFERROR(1*INDEX(BBG_Data!$D$2:$D$4000,MATCH($A875,BBG_Data!$C$2:$C$4000,0)),NA()))</f>
        <v/>
      </c>
      <c r="D875" s="19">
        <f>IF(NOT(ISNUMBER($A875)),NA(),IFERROR(1*INDEX(BBG_Data!$F$2:$F$4000,MATCH($A875,BBG_Data!$E$2:$E$4000,0)),NA()))</f>
        <v/>
      </c>
      <c r="E875" s="19">
        <f>IF(NOT(ISNUMBER($A875)),NA(),IFERROR(1*INDEX(BBG_Data!$H$2:$H$4000,MATCH($A875,BBG_Data!$G$2:$G$4000,0)),NA()))</f>
        <v/>
      </c>
      <c r="F875" s="20">
        <f>IF(AND(ISNUMBER(B875),ISNUMBER(B874)),IF(B875=B874,"",(B875-B874)*100),"")</f>
        <v/>
      </c>
      <c r="G875" s="20">
        <f>IF(AND(ISNUMBER(C875),ISNUMBER(C874)),IF(C875=C874,"",(C875-C874)*100),"")</f>
        <v/>
      </c>
      <c r="H875" s="20">
        <f>IF(OR(NOT(ISNUMBER($A875)),ROW()-2&lt;Settings!$B$11),NA(),IF(COUNT(OFFSET(F875,1-Settings!$B$11,0,Settings!$B$11,1))&lt;ROUNDUP(Settings!$B$11*Settings!$B$26,0),NA(),STDEV(OFFSET(F875,1-Settings!$B$11,0,Settings!$B$11,1))*SQRT(Settings!$B$13)))</f>
        <v/>
      </c>
      <c r="I875" s="20">
        <f>IF(OR(NOT(ISNUMBER($A875)),ROW()-2&lt;Settings!$B$12),NA(),IF(COUNT(OFFSET(F875,1-Settings!$B$12,0,Settings!$B$12,1))&lt;ROUNDUP(Settings!$B$12*Settings!$B$26,0),NA(),STDEV(OFFSET(F875,1-Settings!$B$12,0,Settings!$B$12,1))*SQRT(Settings!$B$13)))</f>
        <v/>
      </c>
      <c r="J875" s="20">
        <f>IF(OR(NOT(ISNUMBER($A875)),ROW()-2&lt;Settings!$B$11),NA(),IF(COUNT(OFFSET(G875,1-Settings!$B$11,0,Settings!$B$11,1))&lt;ROUNDUP(Settings!$B$11*Settings!$B$26,0),NA(),STDEV(OFFSET(G875,1-Settings!$B$11,0,Settings!$B$11,1))*SQRT(Settings!$B$13)))</f>
        <v/>
      </c>
      <c r="K875" s="20">
        <f>IF(OR(NOT(ISNUMBER($A875)),ROW()-2&lt;Settings!$B$12),NA(),IF(COUNT(OFFSET(G875,1-Settings!$B$12,0,Settings!$B$12,1))&lt;ROUNDUP(Settings!$B$12*Settings!$B$26,0),NA(),STDEV(OFFSET(G875,1-Settings!$B$12,0,Settings!$B$12,1))*SQRT(Settings!$B$13)))</f>
        <v/>
      </c>
      <c r="L875" s="20">
        <f>IF(AND(ISNUMBER(D875),ISNUMBER(H875)),D875-H875,NA())</f>
        <v/>
      </c>
      <c r="M875" s="20">
        <f>IF(AND(ISNUMBER(E875),ISNUMBER(K875)),E875-K875,NA())</f>
        <v/>
      </c>
      <c r="N875" s="20">
        <f>IF(NOT(ISNUMBER($A875)),NA(),IF(COUNT(OFFSET(G875,1,0,Settings!$B$12,1))&lt;ROUNDUP(Settings!$B$12*Settings!$B$26,0),NA(),STDEV(OFFSET(G875,1,0,Settings!$B$12,1))*SQRT(Settings!$B$13)))</f>
        <v/>
      </c>
      <c r="O875" s="20">
        <f>IF(AND(ISNUMBER(E875),ISNUMBER(N875)),E875-N875,NA())</f>
        <v/>
      </c>
      <c r="P875" s="19">
        <f>IF(NOT(ISNUMBER($A875)),NA(),IF(OR($A875&lt;MIN(KW_TP!$A$2:$A$2501),$A875&gt;MAX(KW_TP!$A$2:$A$2501)),NA(),INDEX(KW_TP!$C$2:$C$2501,MATCH($A875,KW_TP!$A$2:$A$2501,1))))</f>
        <v/>
      </c>
      <c r="Q875" s="18">
        <f>IF(NOT(ISNUMBER($A875)),NA(),IFERROR(1*INDEX(BBG_Data!$J$2:$J$4000,MATCH($A875,BBG_Data!$I$2:$I$4000,0)),NA()))</f>
        <v/>
      </c>
      <c r="R875" s="18">
        <f>IF(NOT(ISNUMBER($A875)),NA(),IFERROR(1*INDEX(BBG_Data!$L$2:$L$4000,MATCH($A875,BBG_Data!$K$2:$K$4000,0)),NA()))</f>
        <v/>
      </c>
      <c r="S875" s="20">
        <f>IF(AND(ISNUMBER(B875),ISNUMBER(Q875),ISNUMBER(R875)),(B875-Q875-R875)*100,NA())</f>
        <v/>
      </c>
      <c r="T875" s="20">
        <f>IF(AND(ISNUMBER(B875),Settings!$B$17&gt;0),IF(ISNUMBER(INDEX($B:$B,Settings!$B$17)),(B875-INDEX($B:$B,Settings!$B$17))*100,NA()),NA())</f>
        <v/>
      </c>
      <c r="U875" s="20">
        <f>IF(AND(ISNUMBER(Q875),Settings!$B$17&gt;0),IF(ISNUMBER(INDEX($Q:$Q,Settings!$B$17)),(Q875-INDEX($Q:$Q,Settings!$B$17))*100,NA()),NA())</f>
        <v/>
      </c>
      <c r="V875" s="20">
        <f>IF(AND(ISNUMBER(R875),Settings!$B$17&gt;0),IF(ISNUMBER(INDEX($R:$R,Settings!$B$17)),(R875-INDEX($R:$R,Settings!$B$17))*100,NA()),NA())</f>
        <v/>
      </c>
      <c r="W875" s="20">
        <f>IF(AND(ISNUMBER(P875),Settings!$B$17&gt;0),IF(ISNUMBER(INDEX($P:$P,Settings!$B$17)),P875-INDEX($P:$P,Settings!$B$17),NA()),NA())</f>
        <v/>
      </c>
      <c r="X875" s="19">
        <f>IF(NOT(ISNUMBER($A875)),NA(),IF(OR($A875&lt;MIN(DKW_10Y!$A$2:$A$2918),$A875&gt;MAX(DKW_10Y!$A$2:$A$2918),Settings!$B$16&lt;MIN(DKW_10Y!$A$2:$A$2918)),NA(),(INDEX(DKW_10Y!$B$2:$B$2918,MATCH($A875,DKW_10Y!$A$2:$A$2918,1))-INDEX(DKW_10Y!$B$2:$B$2918,MATCH(Settings!$B$16,DKW_10Y!$A$2:$A$2918,1)))*100))</f>
        <v/>
      </c>
      <c r="Y875" s="19">
        <f>IF(NOT(ISNUMBER($A875)),NA(),IF(OR($A875&lt;MIN(DKW_10Y!$A$2:$A$2918),$A875&gt;MAX(DKW_10Y!$A$2:$A$2918),Settings!$B$16&lt;MIN(DKW_10Y!$A$2:$A$2918)),NA(),(INDEX(DKW_10Y!$C$2:$C$2918,MATCH($A875,DKW_10Y!$A$2:$A$2918,1))-INDEX(DKW_10Y!$C$2:$C$2918,MATCH(Settings!$B$16,DKW_10Y!$A$2:$A$2918,1)))*100))</f>
        <v/>
      </c>
      <c r="Z875" s="19">
        <f>IF(NOT(ISNUMBER($A875)),NA(),IF(OR($A875&lt;MIN(DKW_10Y!$A$2:$A$2918),$A875&gt;MAX(DKW_10Y!$A$2:$A$2918),Settings!$B$16&lt;MIN(DKW_10Y!$A$2:$A$2918)),NA(),(INDEX(DKW_10Y!$D$2:$D$2918,MATCH($A875,DKW_10Y!$A$2:$A$2918,1))-INDEX(DKW_10Y!$D$2:$D$2918,MATCH(Settings!$B$16,DKW_10Y!$A$2:$A$2918,1)))*100))</f>
        <v/>
      </c>
      <c r="AA875" s="19">
        <f>IF(NOT(ISNUMBER($A875)),NA(),IF(OR($A875&lt;MIN(DKW_10Y!$A$2:$A$2918),$A875&gt;MAX(DKW_10Y!$A$2:$A$2918),Settings!$B$16&lt;MIN(DKW_10Y!$A$2:$A$2918)),NA(),(INDEX(DKW_10Y!$E$2:$E$2918,MATCH($A875,DKW_10Y!$A$2:$A$2918,1))-INDEX(DKW_10Y!$E$2:$E$2918,MATCH(Settings!$B$16,DKW_10Y!$A$2:$A$2918,1)))*100))</f>
        <v/>
      </c>
      <c r="AB875" s="19">
        <f>IF(NOT(ISNUMBER($A875)),NA(),IF(OR($A875&lt;MIN(DKW_10Y!$A$2:$A$2918),$A875&gt;MAX(DKW_10Y!$A$2:$A$2918),Settings!$B$16&lt;MIN(DKW_10Y!$A$2:$A$2918)),NA(),(INDEX(DKW_10Y!$H$2:$H$2918,MATCH($A875,DKW_10Y!$A$2:$A$2918,1))-INDEX(DKW_10Y!$H$2:$H$2918,MATCH(Settings!$B$16,DKW_10Y!$A$2:$A$2918,1)))*100))</f>
        <v/>
      </c>
      <c r="AC875" s="18">
        <f>IF(NOT(ISNUMBER($A875)),NA(),IFERROR(1*INDEX(BBG_Data!$N$2:$N$4000,MATCH($A875,BBG_Data!$M$2:$M$4000,0)),NA()))</f>
        <v/>
      </c>
      <c r="AD875" s="18">
        <f>IF(NOT(ISNUMBER($A875)),NA(),IFERROR(1*INDEX(BBG_Data!$P$2:$P$4000,MATCH($A875,BBG_Data!$O$2:$O$4000,0)),NA()))</f>
        <v/>
      </c>
      <c r="AE875" s="18">
        <f>IF(NOT(ISNUMBER($A875)),NA(),IFERROR(1*INDEX(BBG_Data!$R$2:$R$4000,MATCH($A875,BBG_Data!$Q$2:$Q$4000,0)),NA()))</f>
        <v/>
      </c>
      <c r="AF875" s="20">
        <f>IF(AND(ISNUMBER(B875),ISNUMBER(AC875)),(B875-AC875)*100,NA())</f>
        <v/>
      </c>
      <c r="AG875" s="20">
        <f>IF(AND(ISNUMBER(AE875),ISNUMBER(AD875)),(AE875-AD875)*100,NA())</f>
        <v/>
      </c>
      <c r="AH875" s="19">
        <f>IF(NOT(ISNUMBER($A875)),NA(),IFERROR(INDEX(BBG_Data!$T$2:$T$4000,MATCH($A875,BBG_Data!$S$2:$S$4000,0))*Settings!$B$25,NA()))</f>
        <v/>
      </c>
      <c r="AI875" s="19">
        <f>IF(NOT(ISNUMBER($A875)),NA(),IFERROR(INDEX(BBG_Data!$V$2:$V$4000,MATCH($A875,BBG_Data!$U$2:$U$4000,0))*Settings!$B$25,NA()))</f>
        <v/>
      </c>
      <c r="AJ875" s="19">
        <f>IF(NOT(ISNUMBER($A875)),NA(),IFERROR(1*INDEX(BBG_Data!$X$2:$X$4000,MATCH($A875,BBG_Data!$W$2:$W$4000,0)),NA()))</f>
        <v/>
      </c>
      <c r="AK875" s="19">
        <f>IF(NOT(ISNUMBER($A875)),NA(),IFERROR(1*INDEX(BBG_Data!$Z$2:$Z$4000,MATCH($A875,BBG_Data!$Y$2:$Y$4000,0)),NA()))</f>
        <v/>
      </c>
    </row>
    <row r="876">
      <c r="A876" s="17">
        <f>IF(ISNUMBER(BBG_Data!A876),BBG_Data!A876,"")</f>
        <v/>
      </c>
      <c r="B876" s="18">
        <f>IF(AND(ISNUMBER($A876),ISNUMBER(BBG_Data!B876)),BBG_Data!B876,NA())</f>
        <v/>
      </c>
      <c r="C876" s="18">
        <f>IF(NOT(ISNUMBER($A876)),NA(),IFERROR(1*INDEX(BBG_Data!$D$2:$D$4000,MATCH($A876,BBG_Data!$C$2:$C$4000,0)),NA()))</f>
        <v/>
      </c>
      <c r="D876" s="19">
        <f>IF(NOT(ISNUMBER($A876)),NA(),IFERROR(1*INDEX(BBG_Data!$F$2:$F$4000,MATCH($A876,BBG_Data!$E$2:$E$4000,0)),NA()))</f>
        <v/>
      </c>
      <c r="E876" s="19">
        <f>IF(NOT(ISNUMBER($A876)),NA(),IFERROR(1*INDEX(BBG_Data!$H$2:$H$4000,MATCH($A876,BBG_Data!$G$2:$G$4000,0)),NA()))</f>
        <v/>
      </c>
      <c r="F876" s="20">
        <f>IF(AND(ISNUMBER(B876),ISNUMBER(B875)),IF(B876=B875,"",(B876-B875)*100),"")</f>
        <v/>
      </c>
      <c r="G876" s="20">
        <f>IF(AND(ISNUMBER(C876),ISNUMBER(C875)),IF(C876=C875,"",(C876-C875)*100),"")</f>
        <v/>
      </c>
      <c r="H876" s="20">
        <f>IF(OR(NOT(ISNUMBER($A876)),ROW()-2&lt;Settings!$B$11),NA(),IF(COUNT(OFFSET(F876,1-Settings!$B$11,0,Settings!$B$11,1))&lt;ROUNDUP(Settings!$B$11*Settings!$B$26,0),NA(),STDEV(OFFSET(F876,1-Settings!$B$11,0,Settings!$B$11,1))*SQRT(Settings!$B$13)))</f>
        <v/>
      </c>
      <c r="I876" s="20">
        <f>IF(OR(NOT(ISNUMBER($A876)),ROW()-2&lt;Settings!$B$12),NA(),IF(COUNT(OFFSET(F876,1-Settings!$B$12,0,Settings!$B$12,1))&lt;ROUNDUP(Settings!$B$12*Settings!$B$26,0),NA(),STDEV(OFFSET(F876,1-Settings!$B$12,0,Settings!$B$12,1))*SQRT(Settings!$B$13)))</f>
        <v/>
      </c>
      <c r="J876" s="20">
        <f>IF(OR(NOT(ISNUMBER($A876)),ROW()-2&lt;Settings!$B$11),NA(),IF(COUNT(OFFSET(G876,1-Settings!$B$11,0,Settings!$B$11,1))&lt;ROUNDUP(Settings!$B$11*Settings!$B$26,0),NA(),STDEV(OFFSET(G876,1-Settings!$B$11,0,Settings!$B$11,1))*SQRT(Settings!$B$13)))</f>
        <v/>
      </c>
      <c r="K876" s="20">
        <f>IF(OR(NOT(ISNUMBER($A876)),ROW()-2&lt;Settings!$B$12),NA(),IF(COUNT(OFFSET(G876,1-Settings!$B$12,0,Settings!$B$12,1))&lt;ROUNDUP(Settings!$B$12*Settings!$B$26,0),NA(),STDEV(OFFSET(G876,1-Settings!$B$12,0,Settings!$B$12,1))*SQRT(Settings!$B$13)))</f>
        <v/>
      </c>
      <c r="L876" s="20">
        <f>IF(AND(ISNUMBER(D876),ISNUMBER(H876)),D876-H876,NA())</f>
        <v/>
      </c>
      <c r="M876" s="20">
        <f>IF(AND(ISNUMBER(E876),ISNUMBER(K876)),E876-K876,NA())</f>
        <v/>
      </c>
      <c r="N876" s="20">
        <f>IF(NOT(ISNUMBER($A876)),NA(),IF(COUNT(OFFSET(G876,1,0,Settings!$B$12,1))&lt;ROUNDUP(Settings!$B$12*Settings!$B$26,0),NA(),STDEV(OFFSET(G876,1,0,Settings!$B$12,1))*SQRT(Settings!$B$13)))</f>
        <v/>
      </c>
      <c r="O876" s="20">
        <f>IF(AND(ISNUMBER(E876),ISNUMBER(N876)),E876-N876,NA())</f>
        <v/>
      </c>
      <c r="P876" s="19">
        <f>IF(NOT(ISNUMBER($A876)),NA(),IF(OR($A876&lt;MIN(KW_TP!$A$2:$A$2501),$A876&gt;MAX(KW_TP!$A$2:$A$2501)),NA(),INDEX(KW_TP!$C$2:$C$2501,MATCH($A876,KW_TP!$A$2:$A$2501,1))))</f>
        <v/>
      </c>
      <c r="Q876" s="18">
        <f>IF(NOT(ISNUMBER($A876)),NA(),IFERROR(1*INDEX(BBG_Data!$J$2:$J$4000,MATCH($A876,BBG_Data!$I$2:$I$4000,0)),NA()))</f>
        <v/>
      </c>
      <c r="R876" s="18">
        <f>IF(NOT(ISNUMBER($A876)),NA(),IFERROR(1*INDEX(BBG_Data!$L$2:$L$4000,MATCH($A876,BBG_Data!$K$2:$K$4000,0)),NA()))</f>
        <v/>
      </c>
      <c r="S876" s="20">
        <f>IF(AND(ISNUMBER(B876),ISNUMBER(Q876),ISNUMBER(R876)),(B876-Q876-R876)*100,NA())</f>
        <v/>
      </c>
      <c r="T876" s="20">
        <f>IF(AND(ISNUMBER(B876),Settings!$B$17&gt;0),IF(ISNUMBER(INDEX($B:$B,Settings!$B$17)),(B876-INDEX($B:$B,Settings!$B$17))*100,NA()),NA())</f>
        <v/>
      </c>
      <c r="U876" s="20">
        <f>IF(AND(ISNUMBER(Q876),Settings!$B$17&gt;0),IF(ISNUMBER(INDEX($Q:$Q,Settings!$B$17)),(Q876-INDEX($Q:$Q,Settings!$B$17))*100,NA()),NA())</f>
        <v/>
      </c>
      <c r="V876" s="20">
        <f>IF(AND(ISNUMBER(R876),Settings!$B$17&gt;0),IF(ISNUMBER(INDEX($R:$R,Settings!$B$17)),(R876-INDEX($R:$R,Settings!$B$17))*100,NA()),NA())</f>
        <v/>
      </c>
      <c r="W876" s="20">
        <f>IF(AND(ISNUMBER(P876),Settings!$B$17&gt;0),IF(ISNUMBER(INDEX($P:$P,Settings!$B$17)),P876-INDEX($P:$P,Settings!$B$17),NA()),NA())</f>
        <v/>
      </c>
      <c r="X876" s="19">
        <f>IF(NOT(ISNUMBER($A876)),NA(),IF(OR($A876&lt;MIN(DKW_10Y!$A$2:$A$2918),$A876&gt;MAX(DKW_10Y!$A$2:$A$2918),Settings!$B$16&lt;MIN(DKW_10Y!$A$2:$A$2918)),NA(),(INDEX(DKW_10Y!$B$2:$B$2918,MATCH($A876,DKW_10Y!$A$2:$A$2918,1))-INDEX(DKW_10Y!$B$2:$B$2918,MATCH(Settings!$B$16,DKW_10Y!$A$2:$A$2918,1)))*100))</f>
        <v/>
      </c>
      <c r="Y876" s="19">
        <f>IF(NOT(ISNUMBER($A876)),NA(),IF(OR($A876&lt;MIN(DKW_10Y!$A$2:$A$2918),$A876&gt;MAX(DKW_10Y!$A$2:$A$2918),Settings!$B$16&lt;MIN(DKW_10Y!$A$2:$A$2918)),NA(),(INDEX(DKW_10Y!$C$2:$C$2918,MATCH($A876,DKW_10Y!$A$2:$A$2918,1))-INDEX(DKW_10Y!$C$2:$C$2918,MATCH(Settings!$B$16,DKW_10Y!$A$2:$A$2918,1)))*100))</f>
        <v/>
      </c>
      <c r="Z876" s="19">
        <f>IF(NOT(ISNUMBER($A876)),NA(),IF(OR($A876&lt;MIN(DKW_10Y!$A$2:$A$2918),$A876&gt;MAX(DKW_10Y!$A$2:$A$2918),Settings!$B$16&lt;MIN(DKW_10Y!$A$2:$A$2918)),NA(),(INDEX(DKW_10Y!$D$2:$D$2918,MATCH($A876,DKW_10Y!$A$2:$A$2918,1))-INDEX(DKW_10Y!$D$2:$D$2918,MATCH(Settings!$B$16,DKW_10Y!$A$2:$A$2918,1)))*100))</f>
        <v/>
      </c>
      <c r="AA876" s="19">
        <f>IF(NOT(ISNUMBER($A876)),NA(),IF(OR($A876&lt;MIN(DKW_10Y!$A$2:$A$2918),$A876&gt;MAX(DKW_10Y!$A$2:$A$2918),Settings!$B$16&lt;MIN(DKW_10Y!$A$2:$A$2918)),NA(),(INDEX(DKW_10Y!$E$2:$E$2918,MATCH($A876,DKW_10Y!$A$2:$A$2918,1))-INDEX(DKW_10Y!$E$2:$E$2918,MATCH(Settings!$B$16,DKW_10Y!$A$2:$A$2918,1)))*100))</f>
        <v/>
      </c>
      <c r="AB876" s="19">
        <f>IF(NOT(ISNUMBER($A876)),NA(),IF(OR($A876&lt;MIN(DKW_10Y!$A$2:$A$2918),$A876&gt;MAX(DKW_10Y!$A$2:$A$2918),Settings!$B$16&lt;MIN(DKW_10Y!$A$2:$A$2918)),NA(),(INDEX(DKW_10Y!$H$2:$H$2918,MATCH($A876,DKW_10Y!$A$2:$A$2918,1))-INDEX(DKW_10Y!$H$2:$H$2918,MATCH(Settings!$B$16,DKW_10Y!$A$2:$A$2918,1)))*100))</f>
        <v/>
      </c>
      <c r="AC876" s="18">
        <f>IF(NOT(ISNUMBER($A876)),NA(),IFERROR(1*INDEX(BBG_Data!$N$2:$N$4000,MATCH($A876,BBG_Data!$M$2:$M$4000,0)),NA()))</f>
        <v/>
      </c>
      <c r="AD876" s="18">
        <f>IF(NOT(ISNUMBER($A876)),NA(),IFERROR(1*INDEX(BBG_Data!$P$2:$P$4000,MATCH($A876,BBG_Data!$O$2:$O$4000,0)),NA()))</f>
        <v/>
      </c>
      <c r="AE876" s="18">
        <f>IF(NOT(ISNUMBER($A876)),NA(),IFERROR(1*INDEX(BBG_Data!$R$2:$R$4000,MATCH($A876,BBG_Data!$Q$2:$Q$4000,0)),NA()))</f>
        <v/>
      </c>
      <c r="AF876" s="20">
        <f>IF(AND(ISNUMBER(B876),ISNUMBER(AC876)),(B876-AC876)*100,NA())</f>
        <v/>
      </c>
      <c r="AG876" s="20">
        <f>IF(AND(ISNUMBER(AE876),ISNUMBER(AD876)),(AE876-AD876)*100,NA())</f>
        <v/>
      </c>
      <c r="AH876" s="19">
        <f>IF(NOT(ISNUMBER($A876)),NA(),IFERROR(INDEX(BBG_Data!$T$2:$T$4000,MATCH($A876,BBG_Data!$S$2:$S$4000,0))*Settings!$B$25,NA()))</f>
        <v/>
      </c>
      <c r="AI876" s="19">
        <f>IF(NOT(ISNUMBER($A876)),NA(),IFERROR(INDEX(BBG_Data!$V$2:$V$4000,MATCH($A876,BBG_Data!$U$2:$U$4000,0))*Settings!$B$25,NA()))</f>
        <v/>
      </c>
      <c r="AJ876" s="19">
        <f>IF(NOT(ISNUMBER($A876)),NA(),IFERROR(1*INDEX(BBG_Data!$X$2:$X$4000,MATCH($A876,BBG_Data!$W$2:$W$4000,0)),NA()))</f>
        <v/>
      </c>
      <c r="AK876" s="19">
        <f>IF(NOT(ISNUMBER($A876)),NA(),IFERROR(1*INDEX(BBG_Data!$Z$2:$Z$4000,MATCH($A876,BBG_Data!$Y$2:$Y$4000,0)),NA()))</f>
        <v/>
      </c>
    </row>
    <row r="877">
      <c r="A877" s="17">
        <f>IF(ISNUMBER(BBG_Data!A877),BBG_Data!A877,"")</f>
        <v/>
      </c>
      <c r="B877" s="18">
        <f>IF(AND(ISNUMBER($A877),ISNUMBER(BBG_Data!B877)),BBG_Data!B877,NA())</f>
        <v/>
      </c>
      <c r="C877" s="18">
        <f>IF(NOT(ISNUMBER($A877)),NA(),IFERROR(1*INDEX(BBG_Data!$D$2:$D$4000,MATCH($A877,BBG_Data!$C$2:$C$4000,0)),NA()))</f>
        <v/>
      </c>
      <c r="D877" s="19">
        <f>IF(NOT(ISNUMBER($A877)),NA(),IFERROR(1*INDEX(BBG_Data!$F$2:$F$4000,MATCH($A877,BBG_Data!$E$2:$E$4000,0)),NA()))</f>
        <v/>
      </c>
      <c r="E877" s="19">
        <f>IF(NOT(ISNUMBER($A877)),NA(),IFERROR(1*INDEX(BBG_Data!$H$2:$H$4000,MATCH($A877,BBG_Data!$G$2:$G$4000,0)),NA()))</f>
        <v/>
      </c>
      <c r="F877" s="20">
        <f>IF(AND(ISNUMBER(B877),ISNUMBER(B876)),IF(B877=B876,"",(B877-B876)*100),"")</f>
        <v/>
      </c>
      <c r="G877" s="20">
        <f>IF(AND(ISNUMBER(C877),ISNUMBER(C876)),IF(C877=C876,"",(C877-C876)*100),"")</f>
        <v/>
      </c>
      <c r="H877" s="20">
        <f>IF(OR(NOT(ISNUMBER($A877)),ROW()-2&lt;Settings!$B$11),NA(),IF(COUNT(OFFSET(F877,1-Settings!$B$11,0,Settings!$B$11,1))&lt;ROUNDUP(Settings!$B$11*Settings!$B$26,0),NA(),STDEV(OFFSET(F877,1-Settings!$B$11,0,Settings!$B$11,1))*SQRT(Settings!$B$13)))</f>
        <v/>
      </c>
      <c r="I877" s="20">
        <f>IF(OR(NOT(ISNUMBER($A877)),ROW()-2&lt;Settings!$B$12),NA(),IF(COUNT(OFFSET(F877,1-Settings!$B$12,0,Settings!$B$12,1))&lt;ROUNDUP(Settings!$B$12*Settings!$B$26,0),NA(),STDEV(OFFSET(F877,1-Settings!$B$12,0,Settings!$B$12,1))*SQRT(Settings!$B$13)))</f>
        <v/>
      </c>
      <c r="J877" s="20">
        <f>IF(OR(NOT(ISNUMBER($A877)),ROW()-2&lt;Settings!$B$11),NA(),IF(COUNT(OFFSET(G877,1-Settings!$B$11,0,Settings!$B$11,1))&lt;ROUNDUP(Settings!$B$11*Settings!$B$26,0),NA(),STDEV(OFFSET(G877,1-Settings!$B$11,0,Settings!$B$11,1))*SQRT(Settings!$B$13)))</f>
        <v/>
      </c>
      <c r="K877" s="20">
        <f>IF(OR(NOT(ISNUMBER($A877)),ROW()-2&lt;Settings!$B$12),NA(),IF(COUNT(OFFSET(G877,1-Settings!$B$12,0,Settings!$B$12,1))&lt;ROUNDUP(Settings!$B$12*Settings!$B$26,0),NA(),STDEV(OFFSET(G877,1-Settings!$B$12,0,Settings!$B$12,1))*SQRT(Settings!$B$13)))</f>
        <v/>
      </c>
      <c r="L877" s="20">
        <f>IF(AND(ISNUMBER(D877),ISNUMBER(H877)),D877-H877,NA())</f>
        <v/>
      </c>
      <c r="M877" s="20">
        <f>IF(AND(ISNUMBER(E877),ISNUMBER(K877)),E877-K877,NA())</f>
        <v/>
      </c>
      <c r="N877" s="20">
        <f>IF(NOT(ISNUMBER($A877)),NA(),IF(COUNT(OFFSET(G877,1,0,Settings!$B$12,1))&lt;ROUNDUP(Settings!$B$12*Settings!$B$26,0),NA(),STDEV(OFFSET(G877,1,0,Settings!$B$12,1))*SQRT(Settings!$B$13)))</f>
        <v/>
      </c>
      <c r="O877" s="20">
        <f>IF(AND(ISNUMBER(E877),ISNUMBER(N877)),E877-N877,NA())</f>
        <v/>
      </c>
      <c r="P877" s="19">
        <f>IF(NOT(ISNUMBER($A877)),NA(),IF(OR($A877&lt;MIN(KW_TP!$A$2:$A$2501),$A877&gt;MAX(KW_TP!$A$2:$A$2501)),NA(),INDEX(KW_TP!$C$2:$C$2501,MATCH($A877,KW_TP!$A$2:$A$2501,1))))</f>
        <v/>
      </c>
      <c r="Q877" s="18">
        <f>IF(NOT(ISNUMBER($A877)),NA(),IFERROR(1*INDEX(BBG_Data!$J$2:$J$4000,MATCH($A877,BBG_Data!$I$2:$I$4000,0)),NA()))</f>
        <v/>
      </c>
      <c r="R877" s="18">
        <f>IF(NOT(ISNUMBER($A877)),NA(),IFERROR(1*INDEX(BBG_Data!$L$2:$L$4000,MATCH($A877,BBG_Data!$K$2:$K$4000,0)),NA()))</f>
        <v/>
      </c>
      <c r="S877" s="20">
        <f>IF(AND(ISNUMBER(B877),ISNUMBER(Q877),ISNUMBER(R877)),(B877-Q877-R877)*100,NA())</f>
        <v/>
      </c>
      <c r="T877" s="20">
        <f>IF(AND(ISNUMBER(B877),Settings!$B$17&gt;0),IF(ISNUMBER(INDEX($B:$B,Settings!$B$17)),(B877-INDEX($B:$B,Settings!$B$17))*100,NA()),NA())</f>
        <v/>
      </c>
      <c r="U877" s="20">
        <f>IF(AND(ISNUMBER(Q877),Settings!$B$17&gt;0),IF(ISNUMBER(INDEX($Q:$Q,Settings!$B$17)),(Q877-INDEX($Q:$Q,Settings!$B$17))*100,NA()),NA())</f>
        <v/>
      </c>
      <c r="V877" s="20">
        <f>IF(AND(ISNUMBER(R877),Settings!$B$17&gt;0),IF(ISNUMBER(INDEX($R:$R,Settings!$B$17)),(R877-INDEX($R:$R,Settings!$B$17))*100,NA()),NA())</f>
        <v/>
      </c>
      <c r="W877" s="20">
        <f>IF(AND(ISNUMBER(P877),Settings!$B$17&gt;0),IF(ISNUMBER(INDEX($P:$P,Settings!$B$17)),P877-INDEX($P:$P,Settings!$B$17),NA()),NA())</f>
        <v/>
      </c>
      <c r="X877" s="19">
        <f>IF(NOT(ISNUMBER($A877)),NA(),IF(OR($A877&lt;MIN(DKW_10Y!$A$2:$A$2918),$A877&gt;MAX(DKW_10Y!$A$2:$A$2918),Settings!$B$16&lt;MIN(DKW_10Y!$A$2:$A$2918)),NA(),(INDEX(DKW_10Y!$B$2:$B$2918,MATCH($A877,DKW_10Y!$A$2:$A$2918,1))-INDEX(DKW_10Y!$B$2:$B$2918,MATCH(Settings!$B$16,DKW_10Y!$A$2:$A$2918,1)))*100))</f>
        <v/>
      </c>
      <c r="Y877" s="19">
        <f>IF(NOT(ISNUMBER($A877)),NA(),IF(OR($A877&lt;MIN(DKW_10Y!$A$2:$A$2918),$A877&gt;MAX(DKW_10Y!$A$2:$A$2918),Settings!$B$16&lt;MIN(DKW_10Y!$A$2:$A$2918)),NA(),(INDEX(DKW_10Y!$C$2:$C$2918,MATCH($A877,DKW_10Y!$A$2:$A$2918,1))-INDEX(DKW_10Y!$C$2:$C$2918,MATCH(Settings!$B$16,DKW_10Y!$A$2:$A$2918,1)))*100))</f>
        <v/>
      </c>
      <c r="Z877" s="19">
        <f>IF(NOT(ISNUMBER($A877)),NA(),IF(OR($A877&lt;MIN(DKW_10Y!$A$2:$A$2918),$A877&gt;MAX(DKW_10Y!$A$2:$A$2918),Settings!$B$16&lt;MIN(DKW_10Y!$A$2:$A$2918)),NA(),(INDEX(DKW_10Y!$D$2:$D$2918,MATCH($A877,DKW_10Y!$A$2:$A$2918,1))-INDEX(DKW_10Y!$D$2:$D$2918,MATCH(Settings!$B$16,DKW_10Y!$A$2:$A$2918,1)))*100))</f>
        <v/>
      </c>
      <c r="AA877" s="19">
        <f>IF(NOT(ISNUMBER($A877)),NA(),IF(OR($A877&lt;MIN(DKW_10Y!$A$2:$A$2918),$A877&gt;MAX(DKW_10Y!$A$2:$A$2918),Settings!$B$16&lt;MIN(DKW_10Y!$A$2:$A$2918)),NA(),(INDEX(DKW_10Y!$E$2:$E$2918,MATCH($A877,DKW_10Y!$A$2:$A$2918,1))-INDEX(DKW_10Y!$E$2:$E$2918,MATCH(Settings!$B$16,DKW_10Y!$A$2:$A$2918,1)))*100))</f>
        <v/>
      </c>
      <c r="AB877" s="19">
        <f>IF(NOT(ISNUMBER($A877)),NA(),IF(OR($A877&lt;MIN(DKW_10Y!$A$2:$A$2918),$A877&gt;MAX(DKW_10Y!$A$2:$A$2918),Settings!$B$16&lt;MIN(DKW_10Y!$A$2:$A$2918)),NA(),(INDEX(DKW_10Y!$H$2:$H$2918,MATCH($A877,DKW_10Y!$A$2:$A$2918,1))-INDEX(DKW_10Y!$H$2:$H$2918,MATCH(Settings!$B$16,DKW_10Y!$A$2:$A$2918,1)))*100))</f>
        <v/>
      </c>
      <c r="AC877" s="18">
        <f>IF(NOT(ISNUMBER($A877)),NA(),IFERROR(1*INDEX(BBG_Data!$N$2:$N$4000,MATCH($A877,BBG_Data!$M$2:$M$4000,0)),NA()))</f>
        <v/>
      </c>
      <c r="AD877" s="18">
        <f>IF(NOT(ISNUMBER($A877)),NA(),IFERROR(1*INDEX(BBG_Data!$P$2:$P$4000,MATCH($A877,BBG_Data!$O$2:$O$4000,0)),NA()))</f>
        <v/>
      </c>
      <c r="AE877" s="18">
        <f>IF(NOT(ISNUMBER($A877)),NA(),IFERROR(1*INDEX(BBG_Data!$R$2:$R$4000,MATCH($A877,BBG_Data!$Q$2:$Q$4000,0)),NA()))</f>
        <v/>
      </c>
      <c r="AF877" s="20">
        <f>IF(AND(ISNUMBER(B877),ISNUMBER(AC877)),(B877-AC877)*100,NA())</f>
        <v/>
      </c>
      <c r="AG877" s="20">
        <f>IF(AND(ISNUMBER(AE877),ISNUMBER(AD877)),(AE877-AD877)*100,NA())</f>
        <v/>
      </c>
      <c r="AH877" s="19">
        <f>IF(NOT(ISNUMBER($A877)),NA(),IFERROR(INDEX(BBG_Data!$T$2:$T$4000,MATCH($A877,BBG_Data!$S$2:$S$4000,0))*Settings!$B$25,NA()))</f>
        <v/>
      </c>
      <c r="AI877" s="19">
        <f>IF(NOT(ISNUMBER($A877)),NA(),IFERROR(INDEX(BBG_Data!$V$2:$V$4000,MATCH($A877,BBG_Data!$U$2:$U$4000,0))*Settings!$B$25,NA()))</f>
        <v/>
      </c>
      <c r="AJ877" s="19">
        <f>IF(NOT(ISNUMBER($A877)),NA(),IFERROR(1*INDEX(BBG_Data!$X$2:$X$4000,MATCH($A877,BBG_Data!$W$2:$W$4000,0)),NA()))</f>
        <v/>
      </c>
      <c r="AK877" s="19">
        <f>IF(NOT(ISNUMBER($A877)),NA(),IFERROR(1*INDEX(BBG_Data!$Z$2:$Z$4000,MATCH($A877,BBG_Data!$Y$2:$Y$4000,0)),NA()))</f>
        <v/>
      </c>
    </row>
    <row r="878">
      <c r="A878" s="17">
        <f>IF(ISNUMBER(BBG_Data!A878),BBG_Data!A878,"")</f>
        <v/>
      </c>
      <c r="B878" s="18">
        <f>IF(AND(ISNUMBER($A878),ISNUMBER(BBG_Data!B878)),BBG_Data!B878,NA())</f>
        <v/>
      </c>
      <c r="C878" s="18">
        <f>IF(NOT(ISNUMBER($A878)),NA(),IFERROR(1*INDEX(BBG_Data!$D$2:$D$4000,MATCH($A878,BBG_Data!$C$2:$C$4000,0)),NA()))</f>
        <v/>
      </c>
      <c r="D878" s="19">
        <f>IF(NOT(ISNUMBER($A878)),NA(),IFERROR(1*INDEX(BBG_Data!$F$2:$F$4000,MATCH($A878,BBG_Data!$E$2:$E$4000,0)),NA()))</f>
        <v/>
      </c>
      <c r="E878" s="19">
        <f>IF(NOT(ISNUMBER($A878)),NA(),IFERROR(1*INDEX(BBG_Data!$H$2:$H$4000,MATCH($A878,BBG_Data!$G$2:$G$4000,0)),NA()))</f>
        <v/>
      </c>
      <c r="F878" s="20">
        <f>IF(AND(ISNUMBER(B878),ISNUMBER(B877)),IF(B878=B877,"",(B878-B877)*100),"")</f>
        <v/>
      </c>
      <c r="G878" s="20">
        <f>IF(AND(ISNUMBER(C878),ISNUMBER(C877)),IF(C878=C877,"",(C878-C877)*100),"")</f>
        <v/>
      </c>
      <c r="H878" s="20">
        <f>IF(OR(NOT(ISNUMBER($A878)),ROW()-2&lt;Settings!$B$11),NA(),IF(COUNT(OFFSET(F878,1-Settings!$B$11,0,Settings!$B$11,1))&lt;ROUNDUP(Settings!$B$11*Settings!$B$26,0),NA(),STDEV(OFFSET(F878,1-Settings!$B$11,0,Settings!$B$11,1))*SQRT(Settings!$B$13)))</f>
        <v/>
      </c>
      <c r="I878" s="20">
        <f>IF(OR(NOT(ISNUMBER($A878)),ROW()-2&lt;Settings!$B$12),NA(),IF(COUNT(OFFSET(F878,1-Settings!$B$12,0,Settings!$B$12,1))&lt;ROUNDUP(Settings!$B$12*Settings!$B$26,0),NA(),STDEV(OFFSET(F878,1-Settings!$B$12,0,Settings!$B$12,1))*SQRT(Settings!$B$13)))</f>
        <v/>
      </c>
      <c r="J878" s="20">
        <f>IF(OR(NOT(ISNUMBER($A878)),ROW()-2&lt;Settings!$B$11),NA(),IF(COUNT(OFFSET(G878,1-Settings!$B$11,0,Settings!$B$11,1))&lt;ROUNDUP(Settings!$B$11*Settings!$B$26,0),NA(),STDEV(OFFSET(G878,1-Settings!$B$11,0,Settings!$B$11,1))*SQRT(Settings!$B$13)))</f>
        <v/>
      </c>
      <c r="K878" s="20">
        <f>IF(OR(NOT(ISNUMBER($A878)),ROW()-2&lt;Settings!$B$12),NA(),IF(COUNT(OFFSET(G878,1-Settings!$B$12,0,Settings!$B$12,1))&lt;ROUNDUP(Settings!$B$12*Settings!$B$26,0),NA(),STDEV(OFFSET(G878,1-Settings!$B$12,0,Settings!$B$12,1))*SQRT(Settings!$B$13)))</f>
        <v/>
      </c>
      <c r="L878" s="20">
        <f>IF(AND(ISNUMBER(D878),ISNUMBER(H878)),D878-H878,NA())</f>
        <v/>
      </c>
      <c r="M878" s="20">
        <f>IF(AND(ISNUMBER(E878),ISNUMBER(K878)),E878-K878,NA())</f>
        <v/>
      </c>
      <c r="N878" s="20">
        <f>IF(NOT(ISNUMBER($A878)),NA(),IF(COUNT(OFFSET(G878,1,0,Settings!$B$12,1))&lt;ROUNDUP(Settings!$B$12*Settings!$B$26,0),NA(),STDEV(OFFSET(G878,1,0,Settings!$B$12,1))*SQRT(Settings!$B$13)))</f>
        <v/>
      </c>
      <c r="O878" s="20">
        <f>IF(AND(ISNUMBER(E878),ISNUMBER(N878)),E878-N878,NA())</f>
        <v/>
      </c>
      <c r="P878" s="19">
        <f>IF(NOT(ISNUMBER($A878)),NA(),IF(OR($A878&lt;MIN(KW_TP!$A$2:$A$2501),$A878&gt;MAX(KW_TP!$A$2:$A$2501)),NA(),INDEX(KW_TP!$C$2:$C$2501,MATCH($A878,KW_TP!$A$2:$A$2501,1))))</f>
        <v/>
      </c>
      <c r="Q878" s="18">
        <f>IF(NOT(ISNUMBER($A878)),NA(),IFERROR(1*INDEX(BBG_Data!$J$2:$J$4000,MATCH($A878,BBG_Data!$I$2:$I$4000,0)),NA()))</f>
        <v/>
      </c>
      <c r="R878" s="18">
        <f>IF(NOT(ISNUMBER($A878)),NA(),IFERROR(1*INDEX(BBG_Data!$L$2:$L$4000,MATCH($A878,BBG_Data!$K$2:$K$4000,0)),NA()))</f>
        <v/>
      </c>
      <c r="S878" s="20">
        <f>IF(AND(ISNUMBER(B878),ISNUMBER(Q878),ISNUMBER(R878)),(B878-Q878-R878)*100,NA())</f>
        <v/>
      </c>
      <c r="T878" s="20">
        <f>IF(AND(ISNUMBER(B878),Settings!$B$17&gt;0),IF(ISNUMBER(INDEX($B:$B,Settings!$B$17)),(B878-INDEX($B:$B,Settings!$B$17))*100,NA()),NA())</f>
        <v/>
      </c>
      <c r="U878" s="20">
        <f>IF(AND(ISNUMBER(Q878),Settings!$B$17&gt;0),IF(ISNUMBER(INDEX($Q:$Q,Settings!$B$17)),(Q878-INDEX($Q:$Q,Settings!$B$17))*100,NA()),NA())</f>
        <v/>
      </c>
      <c r="V878" s="20">
        <f>IF(AND(ISNUMBER(R878),Settings!$B$17&gt;0),IF(ISNUMBER(INDEX($R:$R,Settings!$B$17)),(R878-INDEX($R:$R,Settings!$B$17))*100,NA()),NA())</f>
        <v/>
      </c>
      <c r="W878" s="20">
        <f>IF(AND(ISNUMBER(P878),Settings!$B$17&gt;0),IF(ISNUMBER(INDEX($P:$P,Settings!$B$17)),P878-INDEX($P:$P,Settings!$B$17),NA()),NA())</f>
        <v/>
      </c>
      <c r="X878" s="19">
        <f>IF(NOT(ISNUMBER($A878)),NA(),IF(OR($A878&lt;MIN(DKW_10Y!$A$2:$A$2918),$A878&gt;MAX(DKW_10Y!$A$2:$A$2918),Settings!$B$16&lt;MIN(DKW_10Y!$A$2:$A$2918)),NA(),(INDEX(DKW_10Y!$B$2:$B$2918,MATCH($A878,DKW_10Y!$A$2:$A$2918,1))-INDEX(DKW_10Y!$B$2:$B$2918,MATCH(Settings!$B$16,DKW_10Y!$A$2:$A$2918,1)))*100))</f>
        <v/>
      </c>
      <c r="Y878" s="19">
        <f>IF(NOT(ISNUMBER($A878)),NA(),IF(OR($A878&lt;MIN(DKW_10Y!$A$2:$A$2918),$A878&gt;MAX(DKW_10Y!$A$2:$A$2918),Settings!$B$16&lt;MIN(DKW_10Y!$A$2:$A$2918)),NA(),(INDEX(DKW_10Y!$C$2:$C$2918,MATCH($A878,DKW_10Y!$A$2:$A$2918,1))-INDEX(DKW_10Y!$C$2:$C$2918,MATCH(Settings!$B$16,DKW_10Y!$A$2:$A$2918,1)))*100))</f>
        <v/>
      </c>
      <c r="Z878" s="19">
        <f>IF(NOT(ISNUMBER($A878)),NA(),IF(OR($A878&lt;MIN(DKW_10Y!$A$2:$A$2918),$A878&gt;MAX(DKW_10Y!$A$2:$A$2918),Settings!$B$16&lt;MIN(DKW_10Y!$A$2:$A$2918)),NA(),(INDEX(DKW_10Y!$D$2:$D$2918,MATCH($A878,DKW_10Y!$A$2:$A$2918,1))-INDEX(DKW_10Y!$D$2:$D$2918,MATCH(Settings!$B$16,DKW_10Y!$A$2:$A$2918,1)))*100))</f>
        <v/>
      </c>
      <c r="AA878" s="19">
        <f>IF(NOT(ISNUMBER($A878)),NA(),IF(OR($A878&lt;MIN(DKW_10Y!$A$2:$A$2918),$A878&gt;MAX(DKW_10Y!$A$2:$A$2918),Settings!$B$16&lt;MIN(DKW_10Y!$A$2:$A$2918)),NA(),(INDEX(DKW_10Y!$E$2:$E$2918,MATCH($A878,DKW_10Y!$A$2:$A$2918,1))-INDEX(DKW_10Y!$E$2:$E$2918,MATCH(Settings!$B$16,DKW_10Y!$A$2:$A$2918,1)))*100))</f>
        <v/>
      </c>
      <c r="AB878" s="19">
        <f>IF(NOT(ISNUMBER($A878)),NA(),IF(OR($A878&lt;MIN(DKW_10Y!$A$2:$A$2918),$A878&gt;MAX(DKW_10Y!$A$2:$A$2918),Settings!$B$16&lt;MIN(DKW_10Y!$A$2:$A$2918)),NA(),(INDEX(DKW_10Y!$H$2:$H$2918,MATCH($A878,DKW_10Y!$A$2:$A$2918,1))-INDEX(DKW_10Y!$H$2:$H$2918,MATCH(Settings!$B$16,DKW_10Y!$A$2:$A$2918,1)))*100))</f>
        <v/>
      </c>
      <c r="AC878" s="18">
        <f>IF(NOT(ISNUMBER($A878)),NA(),IFERROR(1*INDEX(BBG_Data!$N$2:$N$4000,MATCH($A878,BBG_Data!$M$2:$M$4000,0)),NA()))</f>
        <v/>
      </c>
      <c r="AD878" s="18">
        <f>IF(NOT(ISNUMBER($A878)),NA(),IFERROR(1*INDEX(BBG_Data!$P$2:$P$4000,MATCH($A878,BBG_Data!$O$2:$O$4000,0)),NA()))</f>
        <v/>
      </c>
      <c r="AE878" s="18">
        <f>IF(NOT(ISNUMBER($A878)),NA(),IFERROR(1*INDEX(BBG_Data!$R$2:$R$4000,MATCH($A878,BBG_Data!$Q$2:$Q$4000,0)),NA()))</f>
        <v/>
      </c>
      <c r="AF878" s="20">
        <f>IF(AND(ISNUMBER(B878),ISNUMBER(AC878)),(B878-AC878)*100,NA())</f>
        <v/>
      </c>
      <c r="AG878" s="20">
        <f>IF(AND(ISNUMBER(AE878),ISNUMBER(AD878)),(AE878-AD878)*100,NA())</f>
        <v/>
      </c>
      <c r="AH878" s="19">
        <f>IF(NOT(ISNUMBER($A878)),NA(),IFERROR(INDEX(BBG_Data!$T$2:$T$4000,MATCH($A878,BBG_Data!$S$2:$S$4000,0))*Settings!$B$25,NA()))</f>
        <v/>
      </c>
      <c r="AI878" s="19">
        <f>IF(NOT(ISNUMBER($A878)),NA(),IFERROR(INDEX(BBG_Data!$V$2:$V$4000,MATCH($A878,BBG_Data!$U$2:$U$4000,0))*Settings!$B$25,NA()))</f>
        <v/>
      </c>
      <c r="AJ878" s="19">
        <f>IF(NOT(ISNUMBER($A878)),NA(),IFERROR(1*INDEX(BBG_Data!$X$2:$X$4000,MATCH($A878,BBG_Data!$W$2:$W$4000,0)),NA()))</f>
        <v/>
      </c>
      <c r="AK878" s="19">
        <f>IF(NOT(ISNUMBER($A878)),NA(),IFERROR(1*INDEX(BBG_Data!$Z$2:$Z$4000,MATCH($A878,BBG_Data!$Y$2:$Y$4000,0)),NA()))</f>
        <v/>
      </c>
    </row>
    <row r="879">
      <c r="A879" s="17">
        <f>IF(ISNUMBER(BBG_Data!A879),BBG_Data!A879,"")</f>
        <v/>
      </c>
      <c r="B879" s="18">
        <f>IF(AND(ISNUMBER($A879),ISNUMBER(BBG_Data!B879)),BBG_Data!B879,NA())</f>
        <v/>
      </c>
      <c r="C879" s="18">
        <f>IF(NOT(ISNUMBER($A879)),NA(),IFERROR(1*INDEX(BBG_Data!$D$2:$D$4000,MATCH($A879,BBG_Data!$C$2:$C$4000,0)),NA()))</f>
        <v/>
      </c>
      <c r="D879" s="19">
        <f>IF(NOT(ISNUMBER($A879)),NA(),IFERROR(1*INDEX(BBG_Data!$F$2:$F$4000,MATCH($A879,BBG_Data!$E$2:$E$4000,0)),NA()))</f>
        <v/>
      </c>
      <c r="E879" s="19">
        <f>IF(NOT(ISNUMBER($A879)),NA(),IFERROR(1*INDEX(BBG_Data!$H$2:$H$4000,MATCH($A879,BBG_Data!$G$2:$G$4000,0)),NA()))</f>
        <v/>
      </c>
      <c r="F879" s="20">
        <f>IF(AND(ISNUMBER(B879),ISNUMBER(B878)),IF(B879=B878,"",(B879-B878)*100),"")</f>
        <v/>
      </c>
      <c r="G879" s="20">
        <f>IF(AND(ISNUMBER(C879),ISNUMBER(C878)),IF(C879=C878,"",(C879-C878)*100),"")</f>
        <v/>
      </c>
      <c r="H879" s="20">
        <f>IF(OR(NOT(ISNUMBER($A879)),ROW()-2&lt;Settings!$B$11),NA(),IF(COUNT(OFFSET(F879,1-Settings!$B$11,0,Settings!$B$11,1))&lt;ROUNDUP(Settings!$B$11*Settings!$B$26,0),NA(),STDEV(OFFSET(F879,1-Settings!$B$11,0,Settings!$B$11,1))*SQRT(Settings!$B$13)))</f>
        <v/>
      </c>
      <c r="I879" s="20">
        <f>IF(OR(NOT(ISNUMBER($A879)),ROW()-2&lt;Settings!$B$12),NA(),IF(COUNT(OFFSET(F879,1-Settings!$B$12,0,Settings!$B$12,1))&lt;ROUNDUP(Settings!$B$12*Settings!$B$26,0),NA(),STDEV(OFFSET(F879,1-Settings!$B$12,0,Settings!$B$12,1))*SQRT(Settings!$B$13)))</f>
        <v/>
      </c>
      <c r="J879" s="20">
        <f>IF(OR(NOT(ISNUMBER($A879)),ROW()-2&lt;Settings!$B$11),NA(),IF(COUNT(OFFSET(G879,1-Settings!$B$11,0,Settings!$B$11,1))&lt;ROUNDUP(Settings!$B$11*Settings!$B$26,0),NA(),STDEV(OFFSET(G879,1-Settings!$B$11,0,Settings!$B$11,1))*SQRT(Settings!$B$13)))</f>
        <v/>
      </c>
      <c r="K879" s="20">
        <f>IF(OR(NOT(ISNUMBER($A879)),ROW()-2&lt;Settings!$B$12),NA(),IF(COUNT(OFFSET(G879,1-Settings!$B$12,0,Settings!$B$12,1))&lt;ROUNDUP(Settings!$B$12*Settings!$B$26,0),NA(),STDEV(OFFSET(G879,1-Settings!$B$12,0,Settings!$B$12,1))*SQRT(Settings!$B$13)))</f>
        <v/>
      </c>
      <c r="L879" s="20">
        <f>IF(AND(ISNUMBER(D879),ISNUMBER(H879)),D879-H879,NA())</f>
        <v/>
      </c>
      <c r="M879" s="20">
        <f>IF(AND(ISNUMBER(E879),ISNUMBER(K879)),E879-K879,NA())</f>
        <v/>
      </c>
      <c r="N879" s="20">
        <f>IF(NOT(ISNUMBER($A879)),NA(),IF(COUNT(OFFSET(G879,1,0,Settings!$B$12,1))&lt;ROUNDUP(Settings!$B$12*Settings!$B$26,0),NA(),STDEV(OFFSET(G879,1,0,Settings!$B$12,1))*SQRT(Settings!$B$13)))</f>
        <v/>
      </c>
      <c r="O879" s="20">
        <f>IF(AND(ISNUMBER(E879),ISNUMBER(N879)),E879-N879,NA())</f>
        <v/>
      </c>
      <c r="P879" s="19">
        <f>IF(NOT(ISNUMBER($A879)),NA(),IF(OR($A879&lt;MIN(KW_TP!$A$2:$A$2501),$A879&gt;MAX(KW_TP!$A$2:$A$2501)),NA(),INDEX(KW_TP!$C$2:$C$2501,MATCH($A879,KW_TP!$A$2:$A$2501,1))))</f>
        <v/>
      </c>
      <c r="Q879" s="18">
        <f>IF(NOT(ISNUMBER($A879)),NA(),IFERROR(1*INDEX(BBG_Data!$J$2:$J$4000,MATCH($A879,BBG_Data!$I$2:$I$4000,0)),NA()))</f>
        <v/>
      </c>
      <c r="R879" s="18">
        <f>IF(NOT(ISNUMBER($A879)),NA(),IFERROR(1*INDEX(BBG_Data!$L$2:$L$4000,MATCH($A879,BBG_Data!$K$2:$K$4000,0)),NA()))</f>
        <v/>
      </c>
      <c r="S879" s="20">
        <f>IF(AND(ISNUMBER(B879),ISNUMBER(Q879),ISNUMBER(R879)),(B879-Q879-R879)*100,NA())</f>
        <v/>
      </c>
      <c r="T879" s="20">
        <f>IF(AND(ISNUMBER(B879),Settings!$B$17&gt;0),IF(ISNUMBER(INDEX($B:$B,Settings!$B$17)),(B879-INDEX($B:$B,Settings!$B$17))*100,NA()),NA())</f>
        <v/>
      </c>
      <c r="U879" s="20">
        <f>IF(AND(ISNUMBER(Q879),Settings!$B$17&gt;0),IF(ISNUMBER(INDEX($Q:$Q,Settings!$B$17)),(Q879-INDEX($Q:$Q,Settings!$B$17))*100,NA()),NA())</f>
        <v/>
      </c>
      <c r="V879" s="20">
        <f>IF(AND(ISNUMBER(R879),Settings!$B$17&gt;0),IF(ISNUMBER(INDEX($R:$R,Settings!$B$17)),(R879-INDEX($R:$R,Settings!$B$17))*100,NA()),NA())</f>
        <v/>
      </c>
      <c r="W879" s="20">
        <f>IF(AND(ISNUMBER(P879),Settings!$B$17&gt;0),IF(ISNUMBER(INDEX($P:$P,Settings!$B$17)),P879-INDEX($P:$P,Settings!$B$17),NA()),NA())</f>
        <v/>
      </c>
      <c r="X879" s="19">
        <f>IF(NOT(ISNUMBER($A879)),NA(),IF(OR($A879&lt;MIN(DKW_10Y!$A$2:$A$2918),$A879&gt;MAX(DKW_10Y!$A$2:$A$2918),Settings!$B$16&lt;MIN(DKW_10Y!$A$2:$A$2918)),NA(),(INDEX(DKW_10Y!$B$2:$B$2918,MATCH($A879,DKW_10Y!$A$2:$A$2918,1))-INDEX(DKW_10Y!$B$2:$B$2918,MATCH(Settings!$B$16,DKW_10Y!$A$2:$A$2918,1)))*100))</f>
        <v/>
      </c>
      <c r="Y879" s="19">
        <f>IF(NOT(ISNUMBER($A879)),NA(),IF(OR($A879&lt;MIN(DKW_10Y!$A$2:$A$2918),$A879&gt;MAX(DKW_10Y!$A$2:$A$2918),Settings!$B$16&lt;MIN(DKW_10Y!$A$2:$A$2918)),NA(),(INDEX(DKW_10Y!$C$2:$C$2918,MATCH($A879,DKW_10Y!$A$2:$A$2918,1))-INDEX(DKW_10Y!$C$2:$C$2918,MATCH(Settings!$B$16,DKW_10Y!$A$2:$A$2918,1)))*100))</f>
        <v/>
      </c>
      <c r="Z879" s="19">
        <f>IF(NOT(ISNUMBER($A879)),NA(),IF(OR($A879&lt;MIN(DKW_10Y!$A$2:$A$2918),$A879&gt;MAX(DKW_10Y!$A$2:$A$2918),Settings!$B$16&lt;MIN(DKW_10Y!$A$2:$A$2918)),NA(),(INDEX(DKW_10Y!$D$2:$D$2918,MATCH($A879,DKW_10Y!$A$2:$A$2918,1))-INDEX(DKW_10Y!$D$2:$D$2918,MATCH(Settings!$B$16,DKW_10Y!$A$2:$A$2918,1)))*100))</f>
        <v/>
      </c>
      <c r="AA879" s="19">
        <f>IF(NOT(ISNUMBER($A879)),NA(),IF(OR($A879&lt;MIN(DKW_10Y!$A$2:$A$2918),$A879&gt;MAX(DKW_10Y!$A$2:$A$2918),Settings!$B$16&lt;MIN(DKW_10Y!$A$2:$A$2918)),NA(),(INDEX(DKW_10Y!$E$2:$E$2918,MATCH($A879,DKW_10Y!$A$2:$A$2918,1))-INDEX(DKW_10Y!$E$2:$E$2918,MATCH(Settings!$B$16,DKW_10Y!$A$2:$A$2918,1)))*100))</f>
        <v/>
      </c>
      <c r="AB879" s="19">
        <f>IF(NOT(ISNUMBER($A879)),NA(),IF(OR($A879&lt;MIN(DKW_10Y!$A$2:$A$2918),$A879&gt;MAX(DKW_10Y!$A$2:$A$2918),Settings!$B$16&lt;MIN(DKW_10Y!$A$2:$A$2918)),NA(),(INDEX(DKW_10Y!$H$2:$H$2918,MATCH($A879,DKW_10Y!$A$2:$A$2918,1))-INDEX(DKW_10Y!$H$2:$H$2918,MATCH(Settings!$B$16,DKW_10Y!$A$2:$A$2918,1)))*100))</f>
        <v/>
      </c>
      <c r="AC879" s="18">
        <f>IF(NOT(ISNUMBER($A879)),NA(),IFERROR(1*INDEX(BBG_Data!$N$2:$N$4000,MATCH($A879,BBG_Data!$M$2:$M$4000,0)),NA()))</f>
        <v/>
      </c>
      <c r="AD879" s="18">
        <f>IF(NOT(ISNUMBER($A879)),NA(),IFERROR(1*INDEX(BBG_Data!$P$2:$P$4000,MATCH($A879,BBG_Data!$O$2:$O$4000,0)),NA()))</f>
        <v/>
      </c>
      <c r="AE879" s="18">
        <f>IF(NOT(ISNUMBER($A879)),NA(),IFERROR(1*INDEX(BBG_Data!$R$2:$R$4000,MATCH($A879,BBG_Data!$Q$2:$Q$4000,0)),NA()))</f>
        <v/>
      </c>
      <c r="AF879" s="20">
        <f>IF(AND(ISNUMBER(B879),ISNUMBER(AC879)),(B879-AC879)*100,NA())</f>
        <v/>
      </c>
      <c r="AG879" s="20">
        <f>IF(AND(ISNUMBER(AE879),ISNUMBER(AD879)),(AE879-AD879)*100,NA())</f>
        <v/>
      </c>
      <c r="AH879" s="19">
        <f>IF(NOT(ISNUMBER($A879)),NA(),IFERROR(INDEX(BBG_Data!$T$2:$T$4000,MATCH($A879,BBG_Data!$S$2:$S$4000,0))*Settings!$B$25,NA()))</f>
        <v/>
      </c>
      <c r="AI879" s="19">
        <f>IF(NOT(ISNUMBER($A879)),NA(),IFERROR(INDEX(BBG_Data!$V$2:$V$4000,MATCH($A879,BBG_Data!$U$2:$U$4000,0))*Settings!$B$25,NA()))</f>
        <v/>
      </c>
      <c r="AJ879" s="19">
        <f>IF(NOT(ISNUMBER($A879)),NA(),IFERROR(1*INDEX(BBG_Data!$X$2:$X$4000,MATCH($A879,BBG_Data!$W$2:$W$4000,0)),NA()))</f>
        <v/>
      </c>
      <c r="AK879" s="19">
        <f>IF(NOT(ISNUMBER($A879)),NA(),IFERROR(1*INDEX(BBG_Data!$Z$2:$Z$4000,MATCH($A879,BBG_Data!$Y$2:$Y$4000,0)),NA()))</f>
        <v/>
      </c>
    </row>
    <row r="880">
      <c r="A880" s="17">
        <f>IF(ISNUMBER(BBG_Data!A880),BBG_Data!A880,"")</f>
        <v/>
      </c>
      <c r="B880" s="18">
        <f>IF(AND(ISNUMBER($A880),ISNUMBER(BBG_Data!B880)),BBG_Data!B880,NA())</f>
        <v/>
      </c>
      <c r="C880" s="18">
        <f>IF(NOT(ISNUMBER($A880)),NA(),IFERROR(1*INDEX(BBG_Data!$D$2:$D$4000,MATCH($A880,BBG_Data!$C$2:$C$4000,0)),NA()))</f>
        <v/>
      </c>
      <c r="D880" s="19">
        <f>IF(NOT(ISNUMBER($A880)),NA(),IFERROR(1*INDEX(BBG_Data!$F$2:$F$4000,MATCH($A880,BBG_Data!$E$2:$E$4000,0)),NA()))</f>
        <v/>
      </c>
      <c r="E880" s="19">
        <f>IF(NOT(ISNUMBER($A880)),NA(),IFERROR(1*INDEX(BBG_Data!$H$2:$H$4000,MATCH($A880,BBG_Data!$G$2:$G$4000,0)),NA()))</f>
        <v/>
      </c>
      <c r="F880" s="20">
        <f>IF(AND(ISNUMBER(B880),ISNUMBER(B879)),IF(B880=B879,"",(B880-B879)*100),"")</f>
        <v/>
      </c>
      <c r="G880" s="20">
        <f>IF(AND(ISNUMBER(C880),ISNUMBER(C879)),IF(C880=C879,"",(C880-C879)*100),"")</f>
        <v/>
      </c>
      <c r="H880" s="20">
        <f>IF(OR(NOT(ISNUMBER($A880)),ROW()-2&lt;Settings!$B$11),NA(),IF(COUNT(OFFSET(F880,1-Settings!$B$11,0,Settings!$B$11,1))&lt;ROUNDUP(Settings!$B$11*Settings!$B$26,0),NA(),STDEV(OFFSET(F880,1-Settings!$B$11,0,Settings!$B$11,1))*SQRT(Settings!$B$13)))</f>
        <v/>
      </c>
      <c r="I880" s="20">
        <f>IF(OR(NOT(ISNUMBER($A880)),ROW()-2&lt;Settings!$B$12),NA(),IF(COUNT(OFFSET(F880,1-Settings!$B$12,0,Settings!$B$12,1))&lt;ROUNDUP(Settings!$B$12*Settings!$B$26,0),NA(),STDEV(OFFSET(F880,1-Settings!$B$12,0,Settings!$B$12,1))*SQRT(Settings!$B$13)))</f>
        <v/>
      </c>
      <c r="J880" s="20">
        <f>IF(OR(NOT(ISNUMBER($A880)),ROW()-2&lt;Settings!$B$11),NA(),IF(COUNT(OFFSET(G880,1-Settings!$B$11,0,Settings!$B$11,1))&lt;ROUNDUP(Settings!$B$11*Settings!$B$26,0),NA(),STDEV(OFFSET(G880,1-Settings!$B$11,0,Settings!$B$11,1))*SQRT(Settings!$B$13)))</f>
        <v/>
      </c>
      <c r="K880" s="20">
        <f>IF(OR(NOT(ISNUMBER($A880)),ROW()-2&lt;Settings!$B$12),NA(),IF(COUNT(OFFSET(G880,1-Settings!$B$12,0,Settings!$B$12,1))&lt;ROUNDUP(Settings!$B$12*Settings!$B$26,0),NA(),STDEV(OFFSET(G880,1-Settings!$B$12,0,Settings!$B$12,1))*SQRT(Settings!$B$13)))</f>
        <v/>
      </c>
      <c r="L880" s="20">
        <f>IF(AND(ISNUMBER(D880),ISNUMBER(H880)),D880-H880,NA())</f>
        <v/>
      </c>
      <c r="M880" s="20">
        <f>IF(AND(ISNUMBER(E880),ISNUMBER(K880)),E880-K880,NA())</f>
        <v/>
      </c>
      <c r="N880" s="20">
        <f>IF(NOT(ISNUMBER($A880)),NA(),IF(COUNT(OFFSET(G880,1,0,Settings!$B$12,1))&lt;ROUNDUP(Settings!$B$12*Settings!$B$26,0),NA(),STDEV(OFFSET(G880,1,0,Settings!$B$12,1))*SQRT(Settings!$B$13)))</f>
        <v/>
      </c>
      <c r="O880" s="20">
        <f>IF(AND(ISNUMBER(E880),ISNUMBER(N880)),E880-N880,NA())</f>
        <v/>
      </c>
      <c r="P880" s="19">
        <f>IF(NOT(ISNUMBER($A880)),NA(),IF(OR($A880&lt;MIN(KW_TP!$A$2:$A$2501),$A880&gt;MAX(KW_TP!$A$2:$A$2501)),NA(),INDEX(KW_TP!$C$2:$C$2501,MATCH($A880,KW_TP!$A$2:$A$2501,1))))</f>
        <v/>
      </c>
      <c r="Q880" s="18">
        <f>IF(NOT(ISNUMBER($A880)),NA(),IFERROR(1*INDEX(BBG_Data!$J$2:$J$4000,MATCH($A880,BBG_Data!$I$2:$I$4000,0)),NA()))</f>
        <v/>
      </c>
      <c r="R880" s="18">
        <f>IF(NOT(ISNUMBER($A880)),NA(),IFERROR(1*INDEX(BBG_Data!$L$2:$L$4000,MATCH($A880,BBG_Data!$K$2:$K$4000,0)),NA()))</f>
        <v/>
      </c>
      <c r="S880" s="20">
        <f>IF(AND(ISNUMBER(B880),ISNUMBER(Q880),ISNUMBER(R880)),(B880-Q880-R880)*100,NA())</f>
        <v/>
      </c>
      <c r="T880" s="20">
        <f>IF(AND(ISNUMBER(B880),Settings!$B$17&gt;0),IF(ISNUMBER(INDEX($B:$B,Settings!$B$17)),(B880-INDEX($B:$B,Settings!$B$17))*100,NA()),NA())</f>
        <v/>
      </c>
      <c r="U880" s="20">
        <f>IF(AND(ISNUMBER(Q880),Settings!$B$17&gt;0),IF(ISNUMBER(INDEX($Q:$Q,Settings!$B$17)),(Q880-INDEX($Q:$Q,Settings!$B$17))*100,NA()),NA())</f>
        <v/>
      </c>
      <c r="V880" s="20">
        <f>IF(AND(ISNUMBER(R880),Settings!$B$17&gt;0),IF(ISNUMBER(INDEX($R:$R,Settings!$B$17)),(R880-INDEX($R:$R,Settings!$B$17))*100,NA()),NA())</f>
        <v/>
      </c>
      <c r="W880" s="20">
        <f>IF(AND(ISNUMBER(P880),Settings!$B$17&gt;0),IF(ISNUMBER(INDEX($P:$P,Settings!$B$17)),P880-INDEX($P:$P,Settings!$B$17),NA()),NA())</f>
        <v/>
      </c>
      <c r="X880" s="19">
        <f>IF(NOT(ISNUMBER($A880)),NA(),IF(OR($A880&lt;MIN(DKW_10Y!$A$2:$A$2918),$A880&gt;MAX(DKW_10Y!$A$2:$A$2918),Settings!$B$16&lt;MIN(DKW_10Y!$A$2:$A$2918)),NA(),(INDEX(DKW_10Y!$B$2:$B$2918,MATCH($A880,DKW_10Y!$A$2:$A$2918,1))-INDEX(DKW_10Y!$B$2:$B$2918,MATCH(Settings!$B$16,DKW_10Y!$A$2:$A$2918,1)))*100))</f>
        <v/>
      </c>
      <c r="Y880" s="19">
        <f>IF(NOT(ISNUMBER($A880)),NA(),IF(OR($A880&lt;MIN(DKW_10Y!$A$2:$A$2918),$A880&gt;MAX(DKW_10Y!$A$2:$A$2918),Settings!$B$16&lt;MIN(DKW_10Y!$A$2:$A$2918)),NA(),(INDEX(DKW_10Y!$C$2:$C$2918,MATCH($A880,DKW_10Y!$A$2:$A$2918,1))-INDEX(DKW_10Y!$C$2:$C$2918,MATCH(Settings!$B$16,DKW_10Y!$A$2:$A$2918,1)))*100))</f>
        <v/>
      </c>
      <c r="Z880" s="19">
        <f>IF(NOT(ISNUMBER($A880)),NA(),IF(OR($A880&lt;MIN(DKW_10Y!$A$2:$A$2918),$A880&gt;MAX(DKW_10Y!$A$2:$A$2918),Settings!$B$16&lt;MIN(DKW_10Y!$A$2:$A$2918)),NA(),(INDEX(DKW_10Y!$D$2:$D$2918,MATCH($A880,DKW_10Y!$A$2:$A$2918,1))-INDEX(DKW_10Y!$D$2:$D$2918,MATCH(Settings!$B$16,DKW_10Y!$A$2:$A$2918,1)))*100))</f>
        <v/>
      </c>
      <c r="AA880" s="19">
        <f>IF(NOT(ISNUMBER($A880)),NA(),IF(OR($A880&lt;MIN(DKW_10Y!$A$2:$A$2918),$A880&gt;MAX(DKW_10Y!$A$2:$A$2918),Settings!$B$16&lt;MIN(DKW_10Y!$A$2:$A$2918)),NA(),(INDEX(DKW_10Y!$E$2:$E$2918,MATCH($A880,DKW_10Y!$A$2:$A$2918,1))-INDEX(DKW_10Y!$E$2:$E$2918,MATCH(Settings!$B$16,DKW_10Y!$A$2:$A$2918,1)))*100))</f>
        <v/>
      </c>
      <c r="AB880" s="19">
        <f>IF(NOT(ISNUMBER($A880)),NA(),IF(OR($A880&lt;MIN(DKW_10Y!$A$2:$A$2918),$A880&gt;MAX(DKW_10Y!$A$2:$A$2918),Settings!$B$16&lt;MIN(DKW_10Y!$A$2:$A$2918)),NA(),(INDEX(DKW_10Y!$H$2:$H$2918,MATCH($A880,DKW_10Y!$A$2:$A$2918,1))-INDEX(DKW_10Y!$H$2:$H$2918,MATCH(Settings!$B$16,DKW_10Y!$A$2:$A$2918,1)))*100))</f>
        <v/>
      </c>
      <c r="AC880" s="18">
        <f>IF(NOT(ISNUMBER($A880)),NA(),IFERROR(1*INDEX(BBG_Data!$N$2:$N$4000,MATCH($A880,BBG_Data!$M$2:$M$4000,0)),NA()))</f>
        <v/>
      </c>
      <c r="AD880" s="18">
        <f>IF(NOT(ISNUMBER($A880)),NA(),IFERROR(1*INDEX(BBG_Data!$P$2:$P$4000,MATCH($A880,BBG_Data!$O$2:$O$4000,0)),NA()))</f>
        <v/>
      </c>
      <c r="AE880" s="18">
        <f>IF(NOT(ISNUMBER($A880)),NA(),IFERROR(1*INDEX(BBG_Data!$R$2:$R$4000,MATCH($A880,BBG_Data!$Q$2:$Q$4000,0)),NA()))</f>
        <v/>
      </c>
      <c r="AF880" s="20">
        <f>IF(AND(ISNUMBER(B880),ISNUMBER(AC880)),(B880-AC880)*100,NA())</f>
        <v/>
      </c>
      <c r="AG880" s="20">
        <f>IF(AND(ISNUMBER(AE880),ISNUMBER(AD880)),(AE880-AD880)*100,NA())</f>
        <v/>
      </c>
      <c r="AH880" s="19">
        <f>IF(NOT(ISNUMBER($A880)),NA(),IFERROR(INDEX(BBG_Data!$T$2:$T$4000,MATCH($A880,BBG_Data!$S$2:$S$4000,0))*Settings!$B$25,NA()))</f>
        <v/>
      </c>
      <c r="AI880" s="19">
        <f>IF(NOT(ISNUMBER($A880)),NA(),IFERROR(INDEX(BBG_Data!$V$2:$V$4000,MATCH($A880,BBG_Data!$U$2:$U$4000,0))*Settings!$B$25,NA()))</f>
        <v/>
      </c>
      <c r="AJ880" s="19">
        <f>IF(NOT(ISNUMBER($A880)),NA(),IFERROR(1*INDEX(BBG_Data!$X$2:$X$4000,MATCH($A880,BBG_Data!$W$2:$W$4000,0)),NA()))</f>
        <v/>
      </c>
      <c r="AK880" s="19">
        <f>IF(NOT(ISNUMBER($A880)),NA(),IFERROR(1*INDEX(BBG_Data!$Z$2:$Z$4000,MATCH($A880,BBG_Data!$Y$2:$Y$4000,0)),NA()))</f>
        <v/>
      </c>
    </row>
    <row r="881">
      <c r="A881" s="17">
        <f>IF(ISNUMBER(BBG_Data!A881),BBG_Data!A881,"")</f>
        <v/>
      </c>
      <c r="B881" s="18">
        <f>IF(AND(ISNUMBER($A881),ISNUMBER(BBG_Data!B881)),BBG_Data!B881,NA())</f>
        <v/>
      </c>
      <c r="C881" s="18">
        <f>IF(NOT(ISNUMBER($A881)),NA(),IFERROR(1*INDEX(BBG_Data!$D$2:$D$4000,MATCH($A881,BBG_Data!$C$2:$C$4000,0)),NA()))</f>
        <v/>
      </c>
      <c r="D881" s="19">
        <f>IF(NOT(ISNUMBER($A881)),NA(),IFERROR(1*INDEX(BBG_Data!$F$2:$F$4000,MATCH($A881,BBG_Data!$E$2:$E$4000,0)),NA()))</f>
        <v/>
      </c>
      <c r="E881" s="19">
        <f>IF(NOT(ISNUMBER($A881)),NA(),IFERROR(1*INDEX(BBG_Data!$H$2:$H$4000,MATCH($A881,BBG_Data!$G$2:$G$4000,0)),NA()))</f>
        <v/>
      </c>
      <c r="F881" s="20">
        <f>IF(AND(ISNUMBER(B881),ISNUMBER(B880)),IF(B881=B880,"",(B881-B880)*100),"")</f>
        <v/>
      </c>
      <c r="G881" s="20">
        <f>IF(AND(ISNUMBER(C881),ISNUMBER(C880)),IF(C881=C880,"",(C881-C880)*100),"")</f>
        <v/>
      </c>
      <c r="H881" s="20">
        <f>IF(OR(NOT(ISNUMBER($A881)),ROW()-2&lt;Settings!$B$11),NA(),IF(COUNT(OFFSET(F881,1-Settings!$B$11,0,Settings!$B$11,1))&lt;ROUNDUP(Settings!$B$11*Settings!$B$26,0),NA(),STDEV(OFFSET(F881,1-Settings!$B$11,0,Settings!$B$11,1))*SQRT(Settings!$B$13)))</f>
        <v/>
      </c>
      <c r="I881" s="20">
        <f>IF(OR(NOT(ISNUMBER($A881)),ROW()-2&lt;Settings!$B$12),NA(),IF(COUNT(OFFSET(F881,1-Settings!$B$12,0,Settings!$B$12,1))&lt;ROUNDUP(Settings!$B$12*Settings!$B$26,0),NA(),STDEV(OFFSET(F881,1-Settings!$B$12,0,Settings!$B$12,1))*SQRT(Settings!$B$13)))</f>
        <v/>
      </c>
      <c r="J881" s="20">
        <f>IF(OR(NOT(ISNUMBER($A881)),ROW()-2&lt;Settings!$B$11),NA(),IF(COUNT(OFFSET(G881,1-Settings!$B$11,0,Settings!$B$11,1))&lt;ROUNDUP(Settings!$B$11*Settings!$B$26,0),NA(),STDEV(OFFSET(G881,1-Settings!$B$11,0,Settings!$B$11,1))*SQRT(Settings!$B$13)))</f>
        <v/>
      </c>
      <c r="K881" s="20">
        <f>IF(OR(NOT(ISNUMBER($A881)),ROW()-2&lt;Settings!$B$12),NA(),IF(COUNT(OFFSET(G881,1-Settings!$B$12,0,Settings!$B$12,1))&lt;ROUNDUP(Settings!$B$12*Settings!$B$26,0),NA(),STDEV(OFFSET(G881,1-Settings!$B$12,0,Settings!$B$12,1))*SQRT(Settings!$B$13)))</f>
        <v/>
      </c>
      <c r="L881" s="20">
        <f>IF(AND(ISNUMBER(D881),ISNUMBER(H881)),D881-H881,NA())</f>
        <v/>
      </c>
      <c r="M881" s="20">
        <f>IF(AND(ISNUMBER(E881),ISNUMBER(K881)),E881-K881,NA())</f>
        <v/>
      </c>
      <c r="N881" s="20">
        <f>IF(NOT(ISNUMBER($A881)),NA(),IF(COUNT(OFFSET(G881,1,0,Settings!$B$12,1))&lt;ROUNDUP(Settings!$B$12*Settings!$B$26,0),NA(),STDEV(OFFSET(G881,1,0,Settings!$B$12,1))*SQRT(Settings!$B$13)))</f>
        <v/>
      </c>
      <c r="O881" s="20">
        <f>IF(AND(ISNUMBER(E881),ISNUMBER(N881)),E881-N881,NA())</f>
        <v/>
      </c>
      <c r="P881" s="19">
        <f>IF(NOT(ISNUMBER($A881)),NA(),IF(OR($A881&lt;MIN(KW_TP!$A$2:$A$2501),$A881&gt;MAX(KW_TP!$A$2:$A$2501)),NA(),INDEX(KW_TP!$C$2:$C$2501,MATCH($A881,KW_TP!$A$2:$A$2501,1))))</f>
        <v/>
      </c>
      <c r="Q881" s="18">
        <f>IF(NOT(ISNUMBER($A881)),NA(),IFERROR(1*INDEX(BBG_Data!$J$2:$J$4000,MATCH($A881,BBG_Data!$I$2:$I$4000,0)),NA()))</f>
        <v/>
      </c>
      <c r="R881" s="18">
        <f>IF(NOT(ISNUMBER($A881)),NA(),IFERROR(1*INDEX(BBG_Data!$L$2:$L$4000,MATCH($A881,BBG_Data!$K$2:$K$4000,0)),NA()))</f>
        <v/>
      </c>
      <c r="S881" s="20">
        <f>IF(AND(ISNUMBER(B881),ISNUMBER(Q881),ISNUMBER(R881)),(B881-Q881-R881)*100,NA())</f>
        <v/>
      </c>
      <c r="T881" s="20">
        <f>IF(AND(ISNUMBER(B881),Settings!$B$17&gt;0),IF(ISNUMBER(INDEX($B:$B,Settings!$B$17)),(B881-INDEX($B:$B,Settings!$B$17))*100,NA()),NA())</f>
        <v/>
      </c>
      <c r="U881" s="20">
        <f>IF(AND(ISNUMBER(Q881),Settings!$B$17&gt;0),IF(ISNUMBER(INDEX($Q:$Q,Settings!$B$17)),(Q881-INDEX($Q:$Q,Settings!$B$17))*100,NA()),NA())</f>
        <v/>
      </c>
      <c r="V881" s="20">
        <f>IF(AND(ISNUMBER(R881),Settings!$B$17&gt;0),IF(ISNUMBER(INDEX($R:$R,Settings!$B$17)),(R881-INDEX($R:$R,Settings!$B$17))*100,NA()),NA())</f>
        <v/>
      </c>
      <c r="W881" s="20">
        <f>IF(AND(ISNUMBER(P881),Settings!$B$17&gt;0),IF(ISNUMBER(INDEX($P:$P,Settings!$B$17)),P881-INDEX($P:$P,Settings!$B$17),NA()),NA())</f>
        <v/>
      </c>
      <c r="X881" s="19">
        <f>IF(NOT(ISNUMBER($A881)),NA(),IF(OR($A881&lt;MIN(DKW_10Y!$A$2:$A$2918),$A881&gt;MAX(DKW_10Y!$A$2:$A$2918),Settings!$B$16&lt;MIN(DKW_10Y!$A$2:$A$2918)),NA(),(INDEX(DKW_10Y!$B$2:$B$2918,MATCH($A881,DKW_10Y!$A$2:$A$2918,1))-INDEX(DKW_10Y!$B$2:$B$2918,MATCH(Settings!$B$16,DKW_10Y!$A$2:$A$2918,1)))*100))</f>
        <v/>
      </c>
      <c r="Y881" s="19">
        <f>IF(NOT(ISNUMBER($A881)),NA(),IF(OR($A881&lt;MIN(DKW_10Y!$A$2:$A$2918),$A881&gt;MAX(DKW_10Y!$A$2:$A$2918),Settings!$B$16&lt;MIN(DKW_10Y!$A$2:$A$2918)),NA(),(INDEX(DKW_10Y!$C$2:$C$2918,MATCH($A881,DKW_10Y!$A$2:$A$2918,1))-INDEX(DKW_10Y!$C$2:$C$2918,MATCH(Settings!$B$16,DKW_10Y!$A$2:$A$2918,1)))*100))</f>
        <v/>
      </c>
      <c r="Z881" s="19">
        <f>IF(NOT(ISNUMBER($A881)),NA(),IF(OR($A881&lt;MIN(DKW_10Y!$A$2:$A$2918),$A881&gt;MAX(DKW_10Y!$A$2:$A$2918),Settings!$B$16&lt;MIN(DKW_10Y!$A$2:$A$2918)),NA(),(INDEX(DKW_10Y!$D$2:$D$2918,MATCH($A881,DKW_10Y!$A$2:$A$2918,1))-INDEX(DKW_10Y!$D$2:$D$2918,MATCH(Settings!$B$16,DKW_10Y!$A$2:$A$2918,1)))*100))</f>
        <v/>
      </c>
      <c r="AA881" s="19">
        <f>IF(NOT(ISNUMBER($A881)),NA(),IF(OR($A881&lt;MIN(DKW_10Y!$A$2:$A$2918),$A881&gt;MAX(DKW_10Y!$A$2:$A$2918),Settings!$B$16&lt;MIN(DKW_10Y!$A$2:$A$2918)),NA(),(INDEX(DKW_10Y!$E$2:$E$2918,MATCH($A881,DKW_10Y!$A$2:$A$2918,1))-INDEX(DKW_10Y!$E$2:$E$2918,MATCH(Settings!$B$16,DKW_10Y!$A$2:$A$2918,1)))*100))</f>
        <v/>
      </c>
      <c r="AB881" s="19">
        <f>IF(NOT(ISNUMBER($A881)),NA(),IF(OR($A881&lt;MIN(DKW_10Y!$A$2:$A$2918),$A881&gt;MAX(DKW_10Y!$A$2:$A$2918),Settings!$B$16&lt;MIN(DKW_10Y!$A$2:$A$2918)),NA(),(INDEX(DKW_10Y!$H$2:$H$2918,MATCH($A881,DKW_10Y!$A$2:$A$2918,1))-INDEX(DKW_10Y!$H$2:$H$2918,MATCH(Settings!$B$16,DKW_10Y!$A$2:$A$2918,1)))*100))</f>
        <v/>
      </c>
      <c r="AC881" s="18">
        <f>IF(NOT(ISNUMBER($A881)),NA(),IFERROR(1*INDEX(BBG_Data!$N$2:$N$4000,MATCH($A881,BBG_Data!$M$2:$M$4000,0)),NA()))</f>
        <v/>
      </c>
      <c r="AD881" s="18">
        <f>IF(NOT(ISNUMBER($A881)),NA(),IFERROR(1*INDEX(BBG_Data!$P$2:$P$4000,MATCH($A881,BBG_Data!$O$2:$O$4000,0)),NA()))</f>
        <v/>
      </c>
      <c r="AE881" s="18">
        <f>IF(NOT(ISNUMBER($A881)),NA(),IFERROR(1*INDEX(BBG_Data!$R$2:$R$4000,MATCH($A881,BBG_Data!$Q$2:$Q$4000,0)),NA()))</f>
        <v/>
      </c>
      <c r="AF881" s="20">
        <f>IF(AND(ISNUMBER(B881),ISNUMBER(AC881)),(B881-AC881)*100,NA())</f>
        <v/>
      </c>
      <c r="AG881" s="20">
        <f>IF(AND(ISNUMBER(AE881),ISNUMBER(AD881)),(AE881-AD881)*100,NA())</f>
        <v/>
      </c>
      <c r="AH881" s="19">
        <f>IF(NOT(ISNUMBER($A881)),NA(),IFERROR(INDEX(BBG_Data!$T$2:$T$4000,MATCH($A881,BBG_Data!$S$2:$S$4000,0))*Settings!$B$25,NA()))</f>
        <v/>
      </c>
      <c r="AI881" s="19">
        <f>IF(NOT(ISNUMBER($A881)),NA(),IFERROR(INDEX(BBG_Data!$V$2:$V$4000,MATCH($A881,BBG_Data!$U$2:$U$4000,0))*Settings!$B$25,NA()))</f>
        <v/>
      </c>
      <c r="AJ881" s="19">
        <f>IF(NOT(ISNUMBER($A881)),NA(),IFERROR(1*INDEX(BBG_Data!$X$2:$X$4000,MATCH($A881,BBG_Data!$W$2:$W$4000,0)),NA()))</f>
        <v/>
      </c>
      <c r="AK881" s="19">
        <f>IF(NOT(ISNUMBER($A881)),NA(),IFERROR(1*INDEX(BBG_Data!$Z$2:$Z$4000,MATCH($A881,BBG_Data!$Y$2:$Y$4000,0)),NA()))</f>
        <v/>
      </c>
    </row>
    <row r="882">
      <c r="A882" s="17">
        <f>IF(ISNUMBER(BBG_Data!A882),BBG_Data!A882,"")</f>
        <v/>
      </c>
      <c r="B882" s="18">
        <f>IF(AND(ISNUMBER($A882),ISNUMBER(BBG_Data!B882)),BBG_Data!B882,NA())</f>
        <v/>
      </c>
      <c r="C882" s="18">
        <f>IF(NOT(ISNUMBER($A882)),NA(),IFERROR(1*INDEX(BBG_Data!$D$2:$D$4000,MATCH($A882,BBG_Data!$C$2:$C$4000,0)),NA()))</f>
        <v/>
      </c>
      <c r="D882" s="19">
        <f>IF(NOT(ISNUMBER($A882)),NA(),IFERROR(1*INDEX(BBG_Data!$F$2:$F$4000,MATCH($A882,BBG_Data!$E$2:$E$4000,0)),NA()))</f>
        <v/>
      </c>
      <c r="E882" s="19">
        <f>IF(NOT(ISNUMBER($A882)),NA(),IFERROR(1*INDEX(BBG_Data!$H$2:$H$4000,MATCH($A882,BBG_Data!$G$2:$G$4000,0)),NA()))</f>
        <v/>
      </c>
      <c r="F882" s="20">
        <f>IF(AND(ISNUMBER(B882),ISNUMBER(B881)),IF(B882=B881,"",(B882-B881)*100),"")</f>
        <v/>
      </c>
      <c r="G882" s="20">
        <f>IF(AND(ISNUMBER(C882),ISNUMBER(C881)),IF(C882=C881,"",(C882-C881)*100),"")</f>
        <v/>
      </c>
      <c r="H882" s="20">
        <f>IF(OR(NOT(ISNUMBER($A882)),ROW()-2&lt;Settings!$B$11),NA(),IF(COUNT(OFFSET(F882,1-Settings!$B$11,0,Settings!$B$11,1))&lt;ROUNDUP(Settings!$B$11*Settings!$B$26,0),NA(),STDEV(OFFSET(F882,1-Settings!$B$11,0,Settings!$B$11,1))*SQRT(Settings!$B$13)))</f>
        <v/>
      </c>
      <c r="I882" s="20">
        <f>IF(OR(NOT(ISNUMBER($A882)),ROW()-2&lt;Settings!$B$12),NA(),IF(COUNT(OFFSET(F882,1-Settings!$B$12,0,Settings!$B$12,1))&lt;ROUNDUP(Settings!$B$12*Settings!$B$26,0),NA(),STDEV(OFFSET(F882,1-Settings!$B$12,0,Settings!$B$12,1))*SQRT(Settings!$B$13)))</f>
        <v/>
      </c>
      <c r="J882" s="20">
        <f>IF(OR(NOT(ISNUMBER($A882)),ROW()-2&lt;Settings!$B$11),NA(),IF(COUNT(OFFSET(G882,1-Settings!$B$11,0,Settings!$B$11,1))&lt;ROUNDUP(Settings!$B$11*Settings!$B$26,0),NA(),STDEV(OFFSET(G882,1-Settings!$B$11,0,Settings!$B$11,1))*SQRT(Settings!$B$13)))</f>
        <v/>
      </c>
      <c r="K882" s="20">
        <f>IF(OR(NOT(ISNUMBER($A882)),ROW()-2&lt;Settings!$B$12),NA(),IF(COUNT(OFFSET(G882,1-Settings!$B$12,0,Settings!$B$12,1))&lt;ROUNDUP(Settings!$B$12*Settings!$B$26,0),NA(),STDEV(OFFSET(G882,1-Settings!$B$12,0,Settings!$B$12,1))*SQRT(Settings!$B$13)))</f>
        <v/>
      </c>
      <c r="L882" s="20">
        <f>IF(AND(ISNUMBER(D882),ISNUMBER(H882)),D882-H882,NA())</f>
        <v/>
      </c>
      <c r="M882" s="20">
        <f>IF(AND(ISNUMBER(E882),ISNUMBER(K882)),E882-K882,NA())</f>
        <v/>
      </c>
      <c r="N882" s="20">
        <f>IF(NOT(ISNUMBER($A882)),NA(),IF(COUNT(OFFSET(G882,1,0,Settings!$B$12,1))&lt;ROUNDUP(Settings!$B$12*Settings!$B$26,0),NA(),STDEV(OFFSET(G882,1,0,Settings!$B$12,1))*SQRT(Settings!$B$13)))</f>
        <v/>
      </c>
      <c r="O882" s="20">
        <f>IF(AND(ISNUMBER(E882),ISNUMBER(N882)),E882-N882,NA())</f>
        <v/>
      </c>
      <c r="P882" s="19">
        <f>IF(NOT(ISNUMBER($A882)),NA(),IF(OR($A882&lt;MIN(KW_TP!$A$2:$A$2501),$A882&gt;MAX(KW_TP!$A$2:$A$2501)),NA(),INDEX(KW_TP!$C$2:$C$2501,MATCH($A882,KW_TP!$A$2:$A$2501,1))))</f>
        <v/>
      </c>
      <c r="Q882" s="18">
        <f>IF(NOT(ISNUMBER($A882)),NA(),IFERROR(1*INDEX(BBG_Data!$J$2:$J$4000,MATCH($A882,BBG_Data!$I$2:$I$4000,0)),NA()))</f>
        <v/>
      </c>
      <c r="R882" s="18">
        <f>IF(NOT(ISNUMBER($A882)),NA(),IFERROR(1*INDEX(BBG_Data!$L$2:$L$4000,MATCH($A882,BBG_Data!$K$2:$K$4000,0)),NA()))</f>
        <v/>
      </c>
      <c r="S882" s="20">
        <f>IF(AND(ISNUMBER(B882),ISNUMBER(Q882),ISNUMBER(R882)),(B882-Q882-R882)*100,NA())</f>
        <v/>
      </c>
      <c r="T882" s="20">
        <f>IF(AND(ISNUMBER(B882),Settings!$B$17&gt;0),IF(ISNUMBER(INDEX($B:$B,Settings!$B$17)),(B882-INDEX($B:$B,Settings!$B$17))*100,NA()),NA())</f>
        <v/>
      </c>
      <c r="U882" s="20">
        <f>IF(AND(ISNUMBER(Q882),Settings!$B$17&gt;0),IF(ISNUMBER(INDEX($Q:$Q,Settings!$B$17)),(Q882-INDEX($Q:$Q,Settings!$B$17))*100,NA()),NA())</f>
        <v/>
      </c>
      <c r="V882" s="20">
        <f>IF(AND(ISNUMBER(R882),Settings!$B$17&gt;0),IF(ISNUMBER(INDEX($R:$R,Settings!$B$17)),(R882-INDEX($R:$R,Settings!$B$17))*100,NA()),NA())</f>
        <v/>
      </c>
      <c r="W882" s="20">
        <f>IF(AND(ISNUMBER(P882),Settings!$B$17&gt;0),IF(ISNUMBER(INDEX($P:$P,Settings!$B$17)),P882-INDEX($P:$P,Settings!$B$17),NA()),NA())</f>
        <v/>
      </c>
      <c r="X882" s="19">
        <f>IF(NOT(ISNUMBER($A882)),NA(),IF(OR($A882&lt;MIN(DKW_10Y!$A$2:$A$2918),$A882&gt;MAX(DKW_10Y!$A$2:$A$2918),Settings!$B$16&lt;MIN(DKW_10Y!$A$2:$A$2918)),NA(),(INDEX(DKW_10Y!$B$2:$B$2918,MATCH($A882,DKW_10Y!$A$2:$A$2918,1))-INDEX(DKW_10Y!$B$2:$B$2918,MATCH(Settings!$B$16,DKW_10Y!$A$2:$A$2918,1)))*100))</f>
        <v/>
      </c>
      <c r="Y882" s="19">
        <f>IF(NOT(ISNUMBER($A882)),NA(),IF(OR($A882&lt;MIN(DKW_10Y!$A$2:$A$2918),$A882&gt;MAX(DKW_10Y!$A$2:$A$2918),Settings!$B$16&lt;MIN(DKW_10Y!$A$2:$A$2918)),NA(),(INDEX(DKW_10Y!$C$2:$C$2918,MATCH($A882,DKW_10Y!$A$2:$A$2918,1))-INDEX(DKW_10Y!$C$2:$C$2918,MATCH(Settings!$B$16,DKW_10Y!$A$2:$A$2918,1)))*100))</f>
        <v/>
      </c>
      <c r="Z882" s="19">
        <f>IF(NOT(ISNUMBER($A882)),NA(),IF(OR($A882&lt;MIN(DKW_10Y!$A$2:$A$2918),$A882&gt;MAX(DKW_10Y!$A$2:$A$2918),Settings!$B$16&lt;MIN(DKW_10Y!$A$2:$A$2918)),NA(),(INDEX(DKW_10Y!$D$2:$D$2918,MATCH($A882,DKW_10Y!$A$2:$A$2918,1))-INDEX(DKW_10Y!$D$2:$D$2918,MATCH(Settings!$B$16,DKW_10Y!$A$2:$A$2918,1)))*100))</f>
        <v/>
      </c>
      <c r="AA882" s="19">
        <f>IF(NOT(ISNUMBER($A882)),NA(),IF(OR($A882&lt;MIN(DKW_10Y!$A$2:$A$2918),$A882&gt;MAX(DKW_10Y!$A$2:$A$2918),Settings!$B$16&lt;MIN(DKW_10Y!$A$2:$A$2918)),NA(),(INDEX(DKW_10Y!$E$2:$E$2918,MATCH($A882,DKW_10Y!$A$2:$A$2918,1))-INDEX(DKW_10Y!$E$2:$E$2918,MATCH(Settings!$B$16,DKW_10Y!$A$2:$A$2918,1)))*100))</f>
        <v/>
      </c>
      <c r="AB882" s="19">
        <f>IF(NOT(ISNUMBER($A882)),NA(),IF(OR($A882&lt;MIN(DKW_10Y!$A$2:$A$2918),$A882&gt;MAX(DKW_10Y!$A$2:$A$2918),Settings!$B$16&lt;MIN(DKW_10Y!$A$2:$A$2918)),NA(),(INDEX(DKW_10Y!$H$2:$H$2918,MATCH($A882,DKW_10Y!$A$2:$A$2918,1))-INDEX(DKW_10Y!$H$2:$H$2918,MATCH(Settings!$B$16,DKW_10Y!$A$2:$A$2918,1)))*100))</f>
        <v/>
      </c>
      <c r="AC882" s="18">
        <f>IF(NOT(ISNUMBER($A882)),NA(),IFERROR(1*INDEX(BBG_Data!$N$2:$N$4000,MATCH($A882,BBG_Data!$M$2:$M$4000,0)),NA()))</f>
        <v/>
      </c>
      <c r="AD882" s="18">
        <f>IF(NOT(ISNUMBER($A882)),NA(),IFERROR(1*INDEX(BBG_Data!$P$2:$P$4000,MATCH($A882,BBG_Data!$O$2:$O$4000,0)),NA()))</f>
        <v/>
      </c>
      <c r="AE882" s="18">
        <f>IF(NOT(ISNUMBER($A882)),NA(),IFERROR(1*INDEX(BBG_Data!$R$2:$R$4000,MATCH($A882,BBG_Data!$Q$2:$Q$4000,0)),NA()))</f>
        <v/>
      </c>
      <c r="AF882" s="20">
        <f>IF(AND(ISNUMBER(B882),ISNUMBER(AC882)),(B882-AC882)*100,NA())</f>
        <v/>
      </c>
      <c r="AG882" s="20">
        <f>IF(AND(ISNUMBER(AE882),ISNUMBER(AD882)),(AE882-AD882)*100,NA())</f>
        <v/>
      </c>
      <c r="AH882" s="19">
        <f>IF(NOT(ISNUMBER($A882)),NA(),IFERROR(INDEX(BBG_Data!$T$2:$T$4000,MATCH($A882,BBG_Data!$S$2:$S$4000,0))*Settings!$B$25,NA()))</f>
        <v/>
      </c>
      <c r="AI882" s="19">
        <f>IF(NOT(ISNUMBER($A882)),NA(),IFERROR(INDEX(BBG_Data!$V$2:$V$4000,MATCH($A882,BBG_Data!$U$2:$U$4000,0))*Settings!$B$25,NA()))</f>
        <v/>
      </c>
      <c r="AJ882" s="19">
        <f>IF(NOT(ISNUMBER($A882)),NA(),IFERROR(1*INDEX(BBG_Data!$X$2:$X$4000,MATCH($A882,BBG_Data!$W$2:$W$4000,0)),NA()))</f>
        <v/>
      </c>
      <c r="AK882" s="19">
        <f>IF(NOT(ISNUMBER($A882)),NA(),IFERROR(1*INDEX(BBG_Data!$Z$2:$Z$4000,MATCH($A882,BBG_Data!$Y$2:$Y$4000,0)),NA()))</f>
        <v/>
      </c>
    </row>
    <row r="883">
      <c r="A883" s="17">
        <f>IF(ISNUMBER(BBG_Data!A883),BBG_Data!A883,"")</f>
        <v/>
      </c>
      <c r="B883" s="18">
        <f>IF(AND(ISNUMBER($A883),ISNUMBER(BBG_Data!B883)),BBG_Data!B883,NA())</f>
        <v/>
      </c>
      <c r="C883" s="18">
        <f>IF(NOT(ISNUMBER($A883)),NA(),IFERROR(1*INDEX(BBG_Data!$D$2:$D$4000,MATCH($A883,BBG_Data!$C$2:$C$4000,0)),NA()))</f>
        <v/>
      </c>
      <c r="D883" s="19">
        <f>IF(NOT(ISNUMBER($A883)),NA(),IFERROR(1*INDEX(BBG_Data!$F$2:$F$4000,MATCH($A883,BBG_Data!$E$2:$E$4000,0)),NA()))</f>
        <v/>
      </c>
      <c r="E883" s="19">
        <f>IF(NOT(ISNUMBER($A883)),NA(),IFERROR(1*INDEX(BBG_Data!$H$2:$H$4000,MATCH($A883,BBG_Data!$G$2:$G$4000,0)),NA()))</f>
        <v/>
      </c>
      <c r="F883" s="20">
        <f>IF(AND(ISNUMBER(B883),ISNUMBER(B882)),IF(B883=B882,"",(B883-B882)*100),"")</f>
        <v/>
      </c>
      <c r="G883" s="20">
        <f>IF(AND(ISNUMBER(C883),ISNUMBER(C882)),IF(C883=C882,"",(C883-C882)*100),"")</f>
        <v/>
      </c>
      <c r="H883" s="20">
        <f>IF(OR(NOT(ISNUMBER($A883)),ROW()-2&lt;Settings!$B$11),NA(),IF(COUNT(OFFSET(F883,1-Settings!$B$11,0,Settings!$B$11,1))&lt;ROUNDUP(Settings!$B$11*Settings!$B$26,0),NA(),STDEV(OFFSET(F883,1-Settings!$B$11,0,Settings!$B$11,1))*SQRT(Settings!$B$13)))</f>
        <v/>
      </c>
      <c r="I883" s="20">
        <f>IF(OR(NOT(ISNUMBER($A883)),ROW()-2&lt;Settings!$B$12),NA(),IF(COUNT(OFFSET(F883,1-Settings!$B$12,0,Settings!$B$12,1))&lt;ROUNDUP(Settings!$B$12*Settings!$B$26,0),NA(),STDEV(OFFSET(F883,1-Settings!$B$12,0,Settings!$B$12,1))*SQRT(Settings!$B$13)))</f>
        <v/>
      </c>
      <c r="J883" s="20">
        <f>IF(OR(NOT(ISNUMBER($A883)),ROW()-2&lt;Settings!$B$11),NA(),IF(COUNT(OFFSET(G883,1-Settings!$B$11,0,Settings!$B$11,1))&lt;ROUNDUP(Settings!$B$11*Settings!$B$26,0),NA(),STDEV(OFFSET(G883,1-Settings!$B$11,0,Settings!$B$11,1))*SQRT(Settings!$B$13)))</f>
        <v/>
      </c>
      <c r="K883" s="20">
        <f>IF(OR(NOT(ISNUMBER($A883)),ROW()-2&lt;Settings!$B$12),NA(),IF(COUNT(OFFSET(G883,1-Settings!$B$12,0,Settings!$B$12,1))&lt;ROUNDUP(Settings!$B$12*Settings!$B$26,0),NA(),STDEV(OFFSET(G883,1-Settings!$B$12,0,Settings!$B$12,1))*SQRT(Settings!$B$13)))</f>
        <v/>
      </c>
      <c r="L883" s="20">
        <f>IF(AND(ISNUMBER(D883),ISNUMBER(H883)),D883-H883,NA())</f>
        <v/>
      </c>
      <c r="M883" s="20">
        <f>IF(AND(ISNUMBER(E883),ISNUMBER(K883)),E883-K883,NA())</f>
        <v/>
      </c>
      <c r="N883" s="20">
        <f>IF(NOT(ISNUMBER($A883)),NA(),IF(COUNT(OFFSET(G883,1,0,Settings!$B$12,1))&lt;ROUNDUP(Settings!$B$12*Settings!$B$26,0),NA(),STDEV(OFFSET(G883,1,0,Settings!$B$12,1))*SQRT(Settings!$B$13)))</f>
        <v/>
      </c>
      <c r="O883" s="20">
        <f>IF(AND(ISNUMBER(E883),ISNUMBER(N883)),E883-N883,NA())</f>
        <v/>
      </c>
      <c r="P883" s="19">
        <f>IF(NOT(ISNUMBER($A883)),NA(),IF(OR($A883&lt;MIN(KW_TP!$A$2:$A$2501),$A883&gt;MAX(KW_TP!$A$2:$A$2501)),NA(),INDEX(KW_TP!$C$2:$C$2501,MATCH($A883,KW_TP!$A$2:$A$2501,1))))</f>
        <v/>
      </c>
      <c r="Q883" s="18">
        <f>IF(NOT(ISNUMBER($A883)),NA(),IFERROR(1*INDEX(BBG_Data!$J$2:$J$4000,MATCH($A883,BBG_Data!$I$2:$I$4000,0)),NA()))</f>
        <v/>
      </c>
      <c r="R883" s="18">
        <f>IF(NOT(ISNUMBER($A883)),NA(),IFERROR(1*INDEX(BBG_Data!$L$2:$L$4000,MATCH($A883,BBG_Data!$K$2:$K$4000,0)),NA()))</f>
        <v/>
      </c>
      <c r="S883" s="20">
        <f>IF(AND(ISNUMBER(B883),ISNUMBER(Q883),ISNUMBER(R883)),(B883-Q883-R883)*100,NA())</f>
        <v/>
      </c>
      <c r="T883" s="20">
        <f>IF(AND(ISNUMBER(B883),Settings!$B$17&gt;0),IF(ISNUMBER(INDEX($B:$B,Settings!$B$17)),(B883-INDEX($B:$B,Settings!$B$17))*100,NA()),NA())</f>
        <v/>
      </c>
      <c r="U883" s="20">
        <f>IF(AND(ISNUMBER(Q883),Settings!$B$17&gt;0),IF(ISNUMBER(INDEX($Q:$Q,Settings!$B$17)),(Q883-INDEX($Q:$Q,Settings!$B$17))*100,NA()),NA())</f>
        <v/>
      </c>
      <c r="V883" s="20">
        <f>IF(AND(ISNUMBER(R883),Settings!$B$17&gt;0),IF(ISNUMBER(INDEX($R:$R,Settings!$B$17)),(R883-INDEX($R:$R,Settings!$B$17))*100,NA()),NA())</f>
        <v/>
      </c>
      <c r="W883" s="20">
        <f>IF(AND(ISNUMBER(P883),Settings!$B$17&gt;0),IF(ISNUMBER(INDEX($P:$P,Settings!$B$17)),P883-INDEX($P:$P,Settings!$B$17),NA()),NA())</f>
        <v/>
      </c>
      <c r="X883" s="19">
        <f>IF(NOT(ISNUMBER($A883)),NA(),IF(OR($A883&lt;MIN(DKW_10Y!$A$2:$A$2918),$A883&gt;MAX(DKW_10Y!$A$2:$A$2918),Settings!$B$16&lt;MIN(DKW_10Y!$A$2:$A$2918)),NA(),(INDEX(DKW_10Y!$B$2:$B$2918,MATCH($A883,DKW_10Y!$A$2:$A$2918,1))-INDEX(DKW_10Y!$B$2:$B$2918,MATCH(Settings!$B$16,DKW_10Y!$A$2:$A$2918,1)))*100))</f>
        <v/>
      </c>
      <c r="Y883" s="19">
        <f>IF(NOT(ISNUMBER($A883)),NA(),IF(OR($A883&lt;MIN(DKW_10Y!$A$2:$A$2918),$A883&gt;MAX(DKW_10Y!$A$2:$A$2918),Settings!$B$16&lt;MIN(DKW_10Y!$A$2:$A$2918)),NA(),(INDEX(DKW_10Y!$C$2:$C$2918,MATCH($A883,DKW_10Y!$A$2:$A$2918,1))-INDEX(DKW_10Y!$C$2:$C$2918,MATCH(Settings!$B$16,DKW_10Y!$A$2:$A$2918,1)))*100))</f>
        <v/>
      </c>
      <c r="Z883" s="19">
        <f>IF(NOT(ISNUMBER($A883)),NA(),IF(OR($A883&lt;MIN(DKW_10Y!$A$2:$A$2918),$A883&gt;MAX(DKW_10Y!$A$2:$A$2918),Settings!$B$16&lt;MIN(DKW_10Y!$A$2:$A$2918)),NA(),(INDEX(DKW_10Y!$D$2:$D$2918,MATCH($A883,DKW_10Y!$A$2:$A$2918,1))-INDEX(DKW_10Y!$D$2:$D$2918,MATCH(Settings!$B$16,DKW_10Y!$A$2:$A$2918,1)))*100))</f>
        <v/>
      </c>
      <c r="AA883" s="19">
        <f>IF(NOT(ISNUMBER($A883)),NA(),IF(OR($A883&lt;MIN(DKW_10Y!$A$2:$A$2918),$A883&gt;MAX(DKW_10Y!$A$2:$A$2918),Settings!$B$16&lt;MIN(DKW_10Y!$A$2:$A$2918)),NA(),(INDEX(DKW_10Y!$E$2:$E$2918,MATCH($A883,DKW_10Y!$A$2:$A$2918,1))-INDEX(DKW_10Y!$E$2:$E$2918,MATCH(Settings!$B$16,DKW_10Y!$A$2:$A$2918,1)))*100))</f>
        <v/>
      </c>
      <c r="AB883" s="19">
        <f>IF(NOT(ISNUMBER($A883)),NA(),IF(OR($A883&lt;MIN(DKW_10Y!$A$2:$A$2918),$A883&gt;MAX(DKW_10Y!$A$2:$A$2918),Settings!$B$16&lt;MIN(DKW_10Y!$A$2:$A$2918)),NA(),(INDEX(DKW_10Y!$H$2:$H$2918,MATCH($A883,DKW_10Y!$A$2:$A$2918,1))-INDEX(DKW_10Y!$H$2:$H$2918,MATCH(Settings!$B$16,DKW_10Y!$A$2:$A$2918,1)))*100))</f>
        <v/>
      </c>
      <c r="AC883" s="18">
        <f>IF(NOT(ISNUMBER($A883)),NA(),IFERROR(1*INDEX(BBG_Data!$N$2:$N$4000,MATCH($A883,BBG_Data!$M$2:$M$4000,0)),NA()))</f>
        <v/>
      </c>
      <c r="AD883" s="18">
        <f>IF(NOT(ISNUMBER($A883)),NA(),IFERROR(1*INDEX(BBG_Data!$P$2:$P$4000,MATCH($A883,BBG_Data!$O$2:$O$4000,0)),NA()))</f>
        <v/>
      </c>
      <c r="AE883" s="18">
        <f>IF(NOT(ISNUMBER($A883)),NA(),IFERROR(1*INDEX(BBG_Data!$R$2:$R$4000,MATCH($A883,BBG_Data!$Q$2:$Q$4000,0)),NA()))</f>
        <v/>
      </c>
      <c r="AF883" s="20">
        <f>IF(AND(ISNUMBER(B883),ISNUMBER(AC883)),(B883-AC883)*100,NA())</f>
        <v/>
      </c>
      <c r="AG883" s="20">
        <f>IF(AND(ISNUMBER(AE883),ISNUMBER(AD883)),(AE883-AD883)*100,NA())</f>
        <v/>
      </c>
      <c r="AH883" s="19">
        <f>IF(NOT(ISNUMBER($A883)),NA(),IFERROR(INDEX(BBG_Data!$T$2:$T$4000,MATCH($A883,BBG_Data!$S$2:$S$4000,0))*Settings!$B$25,NA()))</f>
        <v/>
      </c>
      <c r="AI883" s="19">
        <f>IF(NOT(ISNUMBER($A883)),NA(),IFERROR(INDEX(BBG_Data!$V$2:$V$4000,MATCH($A883,BBG_Data!$U$2:$U$4000,0))*Settings!$B$25,NA()))</f>
        <v/>
      </c>
      <c r="AJ883" s="19">
        <f>IF(NOT(ISNUMBER($A883)),NA(),IFERROR(1*INDEX(BBG_Data!$X$2:$X$4000,MATCH($A883,BBG_Data!$W$2:$W$4000,0)),NA()))</f>
        <v/>
      </c>
      <c r="AK883" s="19">
        <f>IF(NOT(ISNUMBER($A883)),NA(),IFERROR(1*INDEX(BBG_Data!$Z$2:$Z$4000,MATCH($A883,BBG_Data!$Y$2:$Y$4000,0)),NA()))</f>
        <v/>
      </c>
    </row>
    <row r="884">
      <c r="A884" s="17">
        <f>IF(ISNUMBER(BBG_Data!A884),BBG_Data!A884,"")</f>
        <v/>
      </c>
      <c r="B884" s="18">
        <f>IF(AND(ISNUMBER($A884),ISNUMBER(BBG_Data!B884)),BBG_Data!B884,NA())</f>
        <v/>
      </c>
      <c r="C884" s="18">
        <f>IF(NOT(ISNUMBER($A884)),NA(),IFERROR(1*INDEX(BBG_Data!$D$2:$D$4000,MATCH($A884,BBG_Data!$C$2:$C$4000,0)),NA()))</f>
        <v/>
      </c>
      <c r="D884" s="19">
        <f>IF(NOT(ISNUMBER($A884)),NA(),IFERROR(1*INDEX(BBG_Data!$F$2:$F$4000,MATCH($A884,BBG_Data!$E$2:$E$4000,0)),NA()))</f>
        <v/>
      </c>
      <c r="E884" s="19">
        <f>IF(NOT(ISNUMBER($A884)),NA(),IFERROR(1*INDEX(BBG_Data!$H$2:$H$4000,MATCH($A884,BBG_Data!$G$2:$G$4000,0)),NA()))</f>
        <v/>
      </c>
      <c r="F884" s="20">
        <f>IF(AND(ISNUMBER(B884),ISNUMBER(B883)),IF(B884=B883,"",(B884-B883)*100),"")</f>
        <v/>
      </c>
      <c r="G884" s="20">
        <f>IF(AND(ISNUMBER(C884),ISNUMBER(C883)),IF(C884=C883,"",(C884-C883)*100),"")</f>
        <v/>
      </c>
      <c r="H884" s="20">
        <f>IF(OR(NOT(ISNUMBER($A884)),ROW()-2&lt;Settings!$B$11),NA(),IF(COUNT(OFFSET(F884,1-Settings!$B$11,0,Settings!$B$11,1))&lt;ROUNDUP(Settings!$B$11*Settings!$B$26,0),NA(),STDEV(OFFSET(F884,1-Settings!$B$11,0,Settings!$B$11,1))*SQRT(Settings!$B$13)))</f>
        <v/>
      </c>
      <c r="I884" s="20">
        <f>IF(OR(NOT(ISNUMBER($A884)),ROW()-2&lt;Settings!$B$12),NA(),IF(COUNT(OFFSET(F884,1-Settings!$B$12,0,Settings!$B$12,1))&lt;ROUNDUP(Settings!$B$12*Settings!$B$26,0),NA(),STDEV(OFFSET(F884,1-Settings!$B$12,0,Settings!$B$12,1))*SQRT(Settings!$B$13)))</f>
        <v/>
      </c>
      <c r="J884" s="20">
        <f>IF(OR(NOT(ISNUMBER($A884)),ROW()-2&lt;Settings!$B$11),NA(),IF(COUNT(OFFSET(G884,1-Settings!$B$11,0,Settings!$B$11,1))&lt;ROUNDUP(Settings!$B$11*Settings!$B$26,0),NA(),STDEV(OFFSET(G884,1-Settings!$B$11,0,Settings!$B$11,1))*SQRT(Settings!$B$13)))</f>
        <v/>
      </c>
      <c r="K884" s="20">
        <f>IF(OR(NOT(ISNUMBER($A884)),ROW()-2&lt;Settings!$B$12),NA(),IF(COUNT(OFFSET(G884,1-Settings!$B$12,0,Settings!$B$12,1))&lt;ROUNDUP(Settings!$B$12*Settings!$B$26,0),NA(),STDEV(OFFSET(G884,1-Settings!$B$12,0,Settings!$B$12,1))*SQRT(Settings!$B$13)))</f>
        <v/>
      </c>
      <c r="L884" s="20">
        <f>IF(AND(ISNUMBER(D884),ISNUMBER(H884)),D884-H884,NA())</f>
        <v/>
      </c>
      <c r="M884" s="20">
        <f>IF(AND(ISNUMBER(E884),ISNUMBER(K884)),E884-K884,NA())</f>
        <v/>
      </c>
      <c r="N884" s="20">
        <f>IF(NOT(ISNUMBER($A884)),NA(),IF(COUNT(OFFSET(G884,1,0,Settings!$B$12,1))&lt;ROUNDUP(Settings!$B$12*Settings!$B$26,0),NA(),STDEV(OFFSET(G884,1,0,Settings!$B$12,1))*SQRT(Settings!$B$13)))</f>
        <v/>
      </c>
      <c r="O884" s="20">
        <f>IF(AND(ISNUMBER(E884),ISNUMBER(N884)),E884-N884,NA())</f>
        <v/>
      </c>
      <c r="P884" s="19">
        <f>IF(NOT(ISNUMBER($A884)),NA(),IF(OR($A884&lt;MIN(KW_TP!$A$2:$A$2501),$A884&gt;MAX(KW_TP!$A$2:$A$2501)),NA(),INDEX(KW_TP!$C$2:$C$2501,MATCH($A884,KW_TP!$A$2:$A$2501,1))))</f>
        <v/>
      </c>
      <c r="Q884" s="18">
        <f>IF(NOT(ISNUMBER($A884)),NA(),IFERROR(1*INDEX(BBG_Data!$J$2:$J$4000,MATCH($A884,BBG_Data!$I$2:$I$4000,0)),NA()))</f>
        <v/>
      </c>
      <c r="R884" s="18">
        <f>IF(NOT(ISNUMBER($A884)),NA(),IFERROR(1*INDEX(BBG_Data!$L$2:$L$4000,MATCH($A884,BBG_Data!$K$2:$K$4000,0)),NA()))</f>
        <v/>
      </c>
      <c r="S884" s="20">
        <f>IF(AND(ISNUMBER(B884),ISNUMBER(Q884),ISNUMBER(R884)),(B884-Q884-R884)*100,NA())</f>
        <v/>
      </c>
      <c r="T884" s="20">
        <f>IF(AND(ISNUMBER(B884),Settings!$B$17&gt;0),IF(ISNUMBER(INDEX($B:$B,Settings!$B$17)),(B884-INDEX($B:$B,Settings!$B$17))*100,NA()),NA())</f>
        <v/>
      </c>
      <c r="U884" s="20">
        <f>IF(AND(ISNUMBER(Q884),Settings!$B$17&gt;0),IF(ISNUMBER(INDEX($Q:$Q,Settings!$B$17)),(Q884-INDEX($Q:$Q,Settings!$B$17))*100,NA()),NA())</f>
        <v/>
      </c>
      <c r="V884" s="20">
        <f>IF(AND(ISNUMBER(R884),Settings!$B$17&gt;0),IF(ISNUMBER(INDEX($R:$R,Settings!$B$17)),(R884-INDEX($R:$R,Settings!$B$17))*100,NA()),NA())</f>
        <v/>
      </c>
      <c r="W884" s="20">
        <f>IF(AND(ISNUMBER(P884),Settings!$B$17&gt;0),IF(ISNUMBER(INDEX($P:$P,Settings!$B$17)),P884-INDEX($P:$P,Settings!$B$17),NA()),NA())</f>
        <v/>
      </c>
      <c r="X884" s="19">
        <f>IF(NOT(ISNUMBER($A884)),NA(),IF(OR($A884&lt;MIN(DKW_10Y!$A$2:$A$2918),$A884&gt;MAX(DKW_10Y!$A$2:$A$2918),Settings!$B$16&lt;MIN(DKW_10Y!$A$2:$A$2918)),NA(),(INDEX(DKW_10Y!$B$2:$B$2918,MATCH($A884,DKW_10Y!$A$2:$A$2918,1))-INDEX(DKW_10Y!$B$2:$B$2918,MATCH(Settings!$B$16,DKW_10Y!$A$2:$A$2918,1)))*100))</f>
        <v/>
      </c>
      <c r="Y884" s="19">
        <f>IF(NOT(ISNUMBER($A884)),NA(),IF(OR($A884&lt;MIN(DKW_10Y!$A$2:$A$2918),$A884&gt;MAX(DKW_10Y!$A$2:$A$2918),Settings!$B$16&lt;MIN(DKW_10Y!$A$2:$A$2918)),NA(),(INDEX(DKW_10Y!$C$2:$C$2918,MATCH($A884,DKW_10Y!$A$2:$A$2918,1))-INDEX(DKW_10Y!$C$2:$C$2918,MATCH(Settings!$B$16,DKW_10Y!$A$2:$A$2918,1)))*100))</f>
        <v/>
      </c>
      <c r="Z884" s="19">
        <f>IF(NOT(ISNUMBER($A884)),NA(),IF(OR($A884&lt;MIN(DKW_10Y!$A$2:$A$2918),$A884&gt;MAX(DKW_10Y!$A$2:$A$2918),Settings!$B$16&lt;MIN(DKW_10Y!$A$2:$A$2918)),NA(),(INDEX(DKW_10Y!$D$2:$D$2918,MATCH($A884,DKW_10Y!$A$2:$A$2918,1))-INDEX(DKW_10Y!$D$2:$D$2918,MATCH(Settings!$B$16,DKW_10Y!$A$2:$A$2918,1)))*100))</f>
        <v/>
      </c>
      <c r="AA884" s="19">
        <f>IF(NOT(ISNUMBER($A884)),NA(),IF(OR($A884&lt;MIN(DKW_10Y!$A$2:$A$2918),$A884&gt;MAX(DKW_10Y!$A$2:$A$2918),Settings!$B$16&lt;MIN(DKW_10Y!$A$2:$A$2918)),NA(),(INDEX(DKW_10Y!$E$2:$E$2918,MATCH($A884,DKW_10Y!$A$2:$A$2918,1))-INDEX(DKW_10Y!$E$2:$E$2918,MATCH(Settings!$B$16,DKW_10Y!$A$2:$A$2918,1)))*100))</f>
        <v/>
      </c>
      <c r="AB884" s="19">
        <f>IF(NOT(ISNUMBER($A884)),NA(),IF(OR($A884&lt;MIN(DKW_10Y!$A$2:$A$2918),$A884&gt;MAX(DKW_10Y!$A$2:$A$2918),Settings!$B$16&lt;MIN(DKW_10Y!$A$2:$A$2918)),NA(),(INDEX(DKW_10Y!$H$2:$H$2918,MATCH($A884,DKW_10Y!$A$2:$A$2918,1))-INDEX(DKW_10Y!$H$2:$H$2918,MATCH(Settings!$B$16,DKW_10Y!$A$2:$A$2918,1)))*100))</f>
        <v/>
      </c>
      <c r="AC884" s="18">
        <f>IF(NOT(ISNUMBER($A884)),NA(),IFERROR(1*INDEX(BBG_Data!$N$2:$N$4000,MATCH($A884,BBG_Data!$M$2:$M$4000,0)),NA()))</f>
        <v/>
      </c>
      <c r="AD884" s="18">
        <f>IF(NOT(ISNUMBER($A884)),NA(),IFERROR(1*INDEX(BBG_Data!$P$2:$P$4000,MATCH($A884,BBG_Data!$O$2:$O$4000,0)),NA()))</f>
        <v/>
      </c>
      <c r="AE884" s="18">
        <f>IF(NOT(ISNUMBER($A884)),NA(),IFERROR(1*INDEX(BBG_Data!$R$2:$R$4000,MATCH($A884,BBG_Data!$Q$2:$Q$4000,0)),NA()))</f>
        <v/>
      </c>
      <c r="AF884" s="20">
        <f>IF(AND(ISNUMBER(B884),ISNUMBER(AC884)),(B884-AC884)*100,NA())</f>
        <v/>
      </c>
      <c r="AG884" s="20">
        <f>IF(AND(ISNUMBER(AE884),ISNUMBER(AD884)),(AE884-AD884)*100,NA())</f>
        <v/>
      </c>
      <c r="AH884" s="19">
        <f>IF(NOT(ISNUMBER($A884)),NA(),IFERROR(INDEX(BBG_Data!$T$2:$T$4000,MATCH($A884,BBG_Data!$S$2:$S$4000,0))*Settings!$B$25,NA()))</f>
        <v/>
      </c>
      <c r="AI884" s="19">
        <f>IF(NOT(ISNUMBER($A884)),NA(),IFERROR(INDEX(BBG_Data!$V$2:$V$4000,MATCH($A884,BBG_Data!$U$2:$U$4000,0))*Settings!$B$25,NA()))</f>
        <v/>
      </c>
      <c r="AJ884" s="19">
        <f>IF(NOT(ISNUMBER($A884)),NA(),IFERROR(1*INDEX(BBG_Data!$X$2:$X$4000,MATCH($A884,BBG_Data!$W$2:$W$4000,0)),NA()))</f>
        <v/>
      </c>
      <c r="AK884" s="19">
        <f>IF(NOT(ISNUMBER($A884)),NA(),IFERROR(1*INDEX(BBG_Data!$Z$2:$Z$4000,MATCH($A884,BBG_Data!$Y$2:$Y$4000,0)),NA()))</f>
        <v/>
      </c>
    </row>
    <row r="885">
      <c r="A885" s="17">
        <f>IF(ISNUMBER(BBG_Data!A885),BBG_Data!A885,"")</f>
        <v/>
      </c>
      <c r="B885" s="18">
        <f>IF(AND(ISNUMBER($A885),ISNUMBER(BBG_Data!B885)),BBG_Data!B885,NA())</f>
        <v/>
      </c>
      <c r="C885" s="18">
        <f>IF(NOT(ISNUMBER($A885)),NA(),IFERROR(1*INDEX(BBG_Data!$D$2:$D$4000,MATCH($A885,BBG_Data!$C$2:$C$4000,0)),NA()))</f>
        <v/>
      </c>
      <c r="D885" s="19">
        <f>IF(NOT(ISNUMBER($A885)),NA(),IFERROR(1*INDEX(BBG_Data!$F$2:$F$4000,MATCH($A885,BBG_Data!$E$2:$E$4000,0)),NA()))</f>
        <v/>
      </c>
      <c r="E885" s="19">
        <f>IF(NOT(ISNUMBER($A885)),NA(),IFERROR(1*INDEX(BBG_Data!$H$2:$H$4000,MATCH($A885,BBG_Data!$G$2:$G$4000,0)),NA()))</f>
        <v/>
      </c>
      <c r="F885" s="20">
        <f>IF(AND(ISNUMBER(B885),ISNUMBER(B884)),IF(B885=B884,"",(B885-B884)*100),"")</f>
        <v/>
      </c>
      <c r="G885" s="20">
        <f>IF(AND(ISNUMBER(C885),ISNUMBER(C884)),IF(C885=C884,"",(C885-C884)*100),"")</f>
        <v/>
      </c>
      <c r="H885" s="20">
        <f>IF(OR(NOT(ISNUMBER($A885)),ROW()-2&lt;Settings!$B$11),NA(),IF(COUNT(OFFSET(F885,1-Settings!$B$11,0,Settings!$B$11,1))&lt;ROUNDUP(Settings!$B$11*Settings!$B$26,0),NA(),STDEV(OFFSET(F885,1-Settings!$B$11,0,Settings!$B$11,1))*SQRT(Settings!$B$13)))</f>
        <v/>
      </c>
      <c r="I885" s="20">
        <f>IF(OR(NOT(ISNUMBER($A885)),ROW()-2&lt;Settings!$B$12),NA(),IF(COUNT(OFFSET(F885,1-Settings!$B$12,0,Settings!$B$12,1))&lt;ROUNDUP(Settings!$B$12*Settings!$B$26,0),NA(),STDEV(OFFSET(F885,1-Settings!$B$12,0,Settings!$B$12,1))*SQRT(Settings!$B$13)))</f>
        <v/>
      </c>
      <c r="J885" s="20">
        <f>IF(OR(NOT(ISNUMBER($A885)),ROW()-2&lt;Settings!$B$11),NA(),IF(COUNT(OFFSET(G885,1-Settings!$B$11,0,Settings!$B$11,1))&lt;ROUNDUP(Settings!$B$11*Settings!$B$26,0),NA(),STDEV(OFFSET(G885,1-Settings!$B$11,0,Settings!$B$11,1))*SQRT(Settings!$B$13)))</f>
        <v/>
      </c>
      <c r="K885" s="20">
        <f>IF(OR(NOT(ISNUMBER($A885)),ROW()-2&lt;Settings!$B$12),NA(),IF(COUNT(OFFSET(G885,1-Settings!$B$12,0,Settings!$B$12,1))&lt;ROUNDUP(Settings!$B$12*Settings!$B$26,0),NA(),STDEV(OFFSET(G885,1-Settings!$B$12,0,Settings!$B$12,1))*SQRT(Settings!$B$13)))</f>
        <v/>
      </c>
      <c r="L885" s="20">
        <f>IF(AND(ISNUMBER(D885),ISNUMBER(H885)),D885-H885,NA())</f>
        <v/>
      </c>
      <c r="M885" s="20">
        <f>IF(AND(ISNUMBER(E885),ISNUMBER(K885)),E885-K885,NA())</f>
        <v/>
      </c>
      <c r="N885" s="20">
        <f>IF(NOT(ISNUMBER($A885)),NA(),IF(COUNT(OFFSET(G885,1,0,Settings!$B$12,1))&lt;ROUNDUP(Settings!$B$12*Settings!$B$26,0),NA(),STDEV(OFFSET(G885,1,0,Settings!$B$12,1))*SQRT(Settings!$B$13)))</f>
        <v/>
      </c>
      <c r="O885" s="20">
        <f>IF(AND(ISNUMBER(E885),ISNUMBER(N885)),E885-N885,NA())</f>
        <v/>
      </c>
      <c r="P885" s="19">
        <f>IF(NOT(ISNUMBER($A885)),NA(),IF(OR($A885&lt;MIN(KW_TP!$A$2:$A$2501),$A885&gt;MAX(KW_TP!$A$2:$A$2501)),NA(),INDEX(KW_TP!$C$2:$C$2501,MATCH($A885,KW_TP!$A$2:$A$2501,1))))</f>
        <v/>
      </c>
      <c r="Q885" s="18">
        <f>IF(NOT(ISNUMBER($A885)),NA(),IFERROR(1*INDEX(BBG_Data!$J$2:$J$4000,MATCH($A885,BBG_Data!$I$2:$I$4000,0)),NA()))</f>
        <v/>
      </c>
      <c r="R885" s="18">
        <f>IF(NOT(ISNUMBER($A885)),NA(),IFERROR(1*INDEX(BBG_Data!$L$2:$L$4000,MATCH($A885,BBG_Data!$K$2:$K$4000,0)),NA()))</f>
        <v/>
      </c>
      <c r="S885" s="20">
        <f>IF(AND(ISNUMBER(B885),ISNUMBER(Q885),ISNUMBER(R885)),(B885-Q885-R885)*100,NA())</f>
        <v/>
      </c>
      <c r="T885" s="20">
        <f>IF(AND(ISNUMBER(B885),Settings!$B$17&gt;0),IF(ISNUMBER(INDEX($B:$B,Settings!$B$17)),(B885-INDEX($B:$B,Settings!$B$17))*100,NA()),NA())</f>
        <v/>
      </c>
      <c r="U885" s="20">
        <f>IF(AND(ISNUMBER(Q885),Settings!$B$17&gt;0),IF(ISNUMBER(INDEX($Q:$Q,Settings!$B$17)),(Q885-INDEX($Q:$Q,Settings!$B$17))*100,NA()),NA())</f>
        <v/>
      </c>
      <c r="V885" s="20">
        <f>IF(AND(ISNUMBER(R885),Settings!$B$17&gt;0),IF(ISNUMBER(INDEX($R:$R,Settings!$B$17)),(R885-INDEX($R:$R,Settings!$B$17))*100,NA()),NA())</f>
        <v/>
      </c>
      <c r="W885" s="20">
        <f>IF(AND(ISNUMBER(P885),Settings!$B$17&gt;0),IF(ISNUMBER(INDEX($P:$P,Settings!$B$17)),P885-INDEX($P:$P,Settings!$B$17),NA()),NA())</f>
        <v/>
      </c>
      <c r="X885" s="19">
        <f>IF(NOT(ISNUMBER($A885)),NA(),IF(OR($A885&lt;MIN(DKW_10Y!$A$2:$A$2918),$A885&gt;MAX(DKW_10Y!$A$2:$A$2918),Settings!$B$16&lt;MIN(DKW_10Y!$A$2:$A$2918)),NA(),(INDEX(DKW_10Y!$B$2:$B$2918,MATCH($A885,DKW_10Y!$A$2:$A$2918,1))-INDEX(DKW_10Y!$B$2:$B$2918,MATCH(Settings!$B$16,DKW_10Y!$A$2:$A$2918,1)))*100))</f>
        <v/>
      </c>
      <c r="Y885" s="19">
        <f>IF(NOT(ISNUMBER($A885)),NA(),IF(OR($A885&lt;MIN(DKW_10Y!$A$2:$A$2918),$A885&gt;MAX(DKW_10Y!$A$2:$A$2918),Settings!$B$16&lt;MIN(DKW_10Y!$A$2:$A$2918)),NA(),(INDEX(DKW_10Y!$C$2:$C$2918,MATCH($A885,DKW_10Y!$A$2:$A$2918,1))-INDEX(DKW_10Y!$C$2:$C$2918,MATCH(Settings!$B$16,DKW_10Y!$A$2:$A$2918,1)))*100))</f>
        <v/>
      </c>
      <c r="Z885" s="19">
        <f>IF(NOT(ISNUMBER($A885)),NA(),IF(OR($A885&lt;MIN(DKW_10Y!$A$2:$A$2918),$A885&gt;MAX(DKW_10Y!$A$2:$A$2918),Settings!$B$16&lt;MIN(DKW_10Y!$A$2:$A$2918)),NA(),(INDEX(DKW_10Y!$D$2:$D$2918,MATCH($A885,DKW_10Y!$A$2:$A$2918,1))-INDEX(DKW_10Y!$D$2:$D$2918,MATCH(Settings!$B$16,DKW_10Y!$A$2:$A$2918,1)))*100))</f>
        <v/>
      </c>
      <c r="AA885" s="19">
        <f>IF(NOT(ISNUMBER($A885)),NA(),IF(OR($A885&lt;MIN(DKW_10Y!$A$2:$A$2918),$A885&gt;MAX(DKW_10Y!$A$2:$A$2918),Settings!$B$16&lt;MIN(DKW_10Y!$A$2:$A$2918)),NA(),(INDEX(DKW_10Y!$E$2:$E$2918,MATCH($A885,DKW_10Y!$A$2:$A$2918,1))-INDEX(DKW_10Y!$E$2:$E$2918,MATCH(Settings!$B$16,DKW_10Y!$A$2:$A$2918,1)))*100))</f>
        <v/>
      </c>
      <c r="AB885" s="19">
        <f>IF(NOT(ISNUMBER($A885)),NA(),IF(OR($A885&lt;MIN(DKW_10Y!$A$2:$A$2918),$A885&gt;MAX(DKW_10Y!$A$2:$A$2918),Settings!$B$16&lt;MIN(DKW_10Y!$A$2:$A$2918)),NA(),(INDEX(DKW_10Y!$H$2:$H$2918,MATCH($A885,DKW_10Y!$A$2:$A$2918,1))-INDEX(DKW_10Y!$H$2:$H$2918,MATCH(Settings!$B$16,DKW_10Y!$A$2:$A$2918,1)))*100))</f>
        <v/>
      </c>
      <c r="AC885" s="18">
        <f>IF(NOT(ISNUMBER($A885)),NA(),IFERROR(1*INDEX(BBG_Data!$N$2:$N$4000,MATCH($A885,BBG_Data!$M$2:$M$4000,0)),NA()))</f>
        <v/>
      </c>
      <c r="AD885" s="18">
        <f>IF(NOT(ISNUMBER($A885)),NA(),IFERROR(1*INDEX(BBG_Data!$P$2:$P$4000,MATCH($A885,BBG_Data!$O$2:$O$4000,0)),NA()))</f>
        <v/>
      </c>
      <c r="AE885" s="18">
        <f>IF(NOT(ISNUMBER($A885)),NA(),IFERROR(1*INDEX(BBG_Data!$R$2:$R$4000,MATCH($A885,BBG_Data!$Q$2:$Q$4000,0)),NA()))</f>
        <v/>
      </c>
      <c r="AF885" s="20">
        <f>IF(AND(ISNUMBER(B885),ISNUMBER(AC885)),(B885-AC885)*100,NA())</f>
        <v/>
      </c>
      <c r="AG885" s="20">
        <f>IF(AND(ISNUMBER(AE885),ISNUMBER(AD885)),(AE885-AD885)*100,NA())</f>
        <v/>
      </c>
      <c r="AH885" s="19">
        <f>IF(NOT(ISNUMBER($A885)),NA(),IFERROR(INDEX(BBG_Data!$T$2:$T$4000,MATCH($A885,BBG_Data!$S$2:$S$4000,0))*Settings!$B$25,NA()))</f>
        <v/>
      </c>
      <c r="AI885" s="19">
        <f>IF(NOT(ISNUMBER($A885)),NA(),IFERROR(INDEX(BBG_Data!$V$2:$V$4000,MATCH($A885,BBG_Data!$U$2:$U$4000,0))*Settings!$B$25,NA()))</f>
        <v/>
      </c>
      <c r="AJ885" s="19">
        <f>IF(NOT(ISNUMBER($A885)),NA(),IFERROR(1*INDEX(BBG_Data!$X$2:$X$4000,MATCH($A885,BBG_Data!$W$2:$W$4000,0)),NA()))</f>
        <v/>
      </c>
      <c r="AK885" s="19">
        <f>IF(NOT(ISNUMBER($A885)),NA(),IFERROR(1*INDEX(BBG_Data!$Z$2:$Z$4000,MATCH($A885,BBG_Data!$Y$2:$Y$4000,0)),NA()))</f>
        <v/>
      </c>
    </row>
    <row r="886">
      <c r="A886" s="17">
        <f>IF(ISNUMBER(BBG_Data!A886),BBG_Data!A886,"")</f>
        <v/>
      </c>
      <c r="B886" s="18">
        <f>IF(AND(ISNUMBER($A886),ISNUMBER(BBG_Data!B886)),BBG_Data!B886,NA())</f>
        <v/>
      </c>
      <c r="C886" s="18">
        <f>IF(NOT(ISNUMBER($A886)),NA(),IFERROR(1*INDEX(BBG_Data!$D$2:$D$4000,MATCH($A886,BBG_Data!$C$2:$C$4000,0)),NA()))</f>
        <v/>
      </c>
      <c r="D886" s="19">
        <f>IF(NOT(ISNUMBER($A886)),NA(),IFERROR(1*INDEX(BBG_Data!$F$2:$F$4000,MATCH($A886,BBG_Data!$E$2:$E$4000,0)),NA()))</f>
        <v/>
      </c>
      <c r="E886" s="19">
        <f>IF(NOT(ISNUMBER($A886)),NA(),IFERROR(1*INDEX(BBG_Data!$H$2:$H$4000,MATCH($A886,BBG_Data!$G$2:$G$4000,0)),NA()))</f>
        <v/>
      </c>
      <c r="F886" s="20">
        <f>IF(AND(ISNUMBER(B886),ISNUMBER(B885)),IF(B886=B885,"",(B886-B885)*100),"")</f>
        <v/>
      </c>
      <c r="G886" s="20">
        <f>IF(AND(ISNUMBER(C886),ISNUMBER(C885)),IF(C886=C885,"",(C886-C885)*100),"")</f>
        <v/>
      </c>
      <c r="H886" s="20">
        <f>IF(OR(NOT(ISNUMBER($A886)),ROW()-2&lt;Settings!$B$11),NA(),IF(COUNT(OFFSET(F886,1-Settings!$B$11,0,Settings!$B$11,1))&lt;ROUNDUP(Settings!$B$11*Settings!$B$26,0),NA(),STDEV(OFFSET(F886,1-Settings!$B$11,0,Settings!$B$11,1))*SQRT(Settings!$B$13)))</f>
        <v/>
      </c>
      <c r="I886" s="20">
        <f>IF(OR(NOT(ISNUMBER($A886)),ROW()-2&lt;Settings!$B$12),NA(),IF(COUNT(OFFSET(F886,1-Settings!$B$12,0,Settings!$B$12,1))&lt;ROUNDUP(Settings!$B$12*Settings!$B$26,0),NA(),STDEV(OFFSET(F886,1-Settings!$B$12,0,Settings!$B$12,1))*SQRT(Settings!$B$13)))</f>
        <v/>
      </c>
      <c r="J886" s="20">
        <f>IF(OR(NOT(ISNUMBER($A886)),ROW()-2&lt;Settings!$B$11),NA(),IF(COUNT(OFFSET(G886,1-Settings!$B$11,0,Settings!$B$11,1))&lt;ROUNDUP(Settings!$B$11*Settings!$B$26,0),NA(),STDEV(OFFSET(G886,1-Settings!$B$11,0,Settings!$B$11,1))*SQRT(Settings!$B$13)))</f>
        <v/>
      </c>
      <c r="K886" s="20">
        <f>IF(OR(NOT(ISNUMBER($A886)),ROW()-2&lt;Settings!$B$12),NA(),IF(COUNT(OFFSET(G886,1-Settings!$B$12,0,Settings!$B$12,1))&lt;ROUNDUP(Settings!$B$12*Settings!$B$26,0),NA(),STDEV(OFFSET(G886,1-Settings!$B$12,0,Settings!$B$12,1))*SQRT(Settings!$B$13)))</f>
        <v/>
      </c>
      <c r="L886" s="20">
        <f>IF(AND(ISNUMBER(D886),ISNUMBER(H886)),D886-H886,NA())</f>
        <v/>
      </c>
      <c r="M886" s="20">
        <f>IF(AND(ISNUMBER(E886),ISNUMBER(K886)),E886-K886,NA())</f>
        <v/>
      </c>
      <c r="N886" s="20">
        <f>IF(NOT(ISNUMBER($A886)),NA(),IF(COUNT(OFFSET(G886,1,0,Settings!$B$12,1))&lt;ROUNDUP(Settings!$B$12*Settings!$B$26,0),NA(),STDEV(OFFSET(G886,1,0,Settings!$B$12,1))*SQRT(Settings!$B$13)))</f>
        <v/>
      </c>
      <c r="O886" s="20">
        <f>IF(AND(ISNUMBER(E886),ISNUMBER(N886)),E886-N886,NA())</f>
        <v/>
      </c>
      <c r="P886" s="19">
        <f>IF(NOT(ISNUMBER($A886)),NA(),IF(OR($A886&lt;MIN(KW_TP!$A$2:$A$2501),$A886&gt;MAX(KW_TP!$A$2:$A$2501)),NA(),INDEX(KW_TP!$C$2:$C$2501,MATCH($A886,KW_TP!$A$2:$A$2501,1))))</f>
        <v/>
      </c>
      <c r="Q886" s="18">
        <f>IF(NOT(ISNUMBER($A886)),NA(),IFERROR(1*INDEX(BBG_Data!$J$2:$J$4000,MATCH($A886,BBG_Data!$I$2:$I$4000,0)),NA()))</f>
        <v/>
      </c>
      <c r="R886" s="18">
        <f>IF(NOT(ISNUMBER($A886)),NA(),IFERROR(1*INDEX(BBG_Data!$L$2:$L$4000,MATCH($A886,BBG_Data!$K$2:$K$4000,0)),NA()))</f>
        <v/>
      </c>
      <c r="S886" s="20">
        <f>IF(AND(ISNUMBER(B886),ISNUMBER(Q886),ISNUMBER(R886)),(B886-Q886-R886)*100,NA())</f>
        <v/>
      </c>
      <c r="T886" s="20">
        <f>IF(AND(ISNUMBER(B886),Settings!$B$17&gt;0),IF(ISNUMBER(INDEX($B:$B,Settings!$B$17)),(B886-INDEX($B:$B,Settings!$B$17))*100,NA()),NA())</f>
        <v/>
      </c>
      <c r="U886" s="20">
        <f>IF(AND(ISNUMBER(Q886),Settings!$B$17&gt;0),IF(ISNUMBER(INDEX($Q:$Q,Settings!$B$17)),(Q886-INDEX($Q:$Q,Settings!$B$17))*100,NA()),NA())</f>
        <v/>
      </c>
      <c r="V886" s="20">
        <f>IF(AND(ISNUMBER(R886),Settings!$B$17&gt;0),IF(ISNUMBER(INDEX($R:$R,Settings!$B$17)),(R886-INDEX($R:$R,Settings!$B$17))*100,NA()),NA())</f>
        <v/>
      </c>
      <c r="W886" s="20">
        <f>IF(AND(ISNUMBER(P886),Settings!$B$17&gt;0),IF(ISNUMBER(INDEX($P:$P,Settings!$B$17)),P886-INDEX($P:$P,Settings!$B$17),NA()),NA())</f>
        <v/>
      </c>
      <c r="X886" s="19">
        <f>IF(NOT(ISNUMBER($A886)),NA(),IF(OR($A886&lt;MIN(DKW_10Y!$A$2:$A$2918),$A886&gt;MAX(DKW_10Y!$A$2:$A$2918),Settings!$B$16&lt;MIN(DKW_10Y!$A$2:$A$2918)),NA(),(INDEX(DKW_10Y!$B$2:$B$2918,MATCH($A886,DKW_10Y!$A$2:$A$2918,1))-INDEX(DKW_10Y!$B$2:$B$2918,MATCH(Settings!$B$16,DKW_10Y!$A$2:$A$2918,1)))*100))</f>
        <v/>
      </c>
      <c r="Y886" s="19">
        <f>IF(NOT(ISNUMBER($A886)),NA(),IF(OR($A886&lt;MIN(DKW_10Y!$A$2:$A$2918),$A886&gt;MAX(DKW_10Y!$A$2:$A$2918),Settings!$B$16&lt;MIN(DKW_10Y!$A$2:$A$2918)),NA(),(INDEX(DKW_10Y!$C$2:$C$2918,MATCH($A886,DKW_10Y!$A$2:$A$2918,1))-INDEX(DKW_10Y!$C$2:$C$2918,MATCH(Settings!$B$16,DKW_10Y!$A$2:$A$2918,1)))*100))</f>
        <v/>
      </c>
      <c r="Z886" s="19">
        <f>IF(NOT(ISNUMBER($A886)),NA(),IF(OR($A886&lt;MIN(DKW_10Y!$A$2:$A$2918),$A886&gt;MAX(DKW_10Y!$A$2:$A$2918),Settings!$B$16&lt;MIN(DKW_10Y!$A$2:$A$2918)),NA(),(INDEX(DKW_10Y!$D$2:$D$2918,MATCH($A886,DKW_10Y!$A$2:$A$2918,1))-INDEX(DKW_10Y!$D$2:$D$2918,MATCH(Settings!$B$16,DKW_10Y!$A$2:$A$2918,1)))*100))</f>
        <v/>
      </c>
      <c r="AA886" s="19">
        <f>IF(NOT(ISNUMBER($A886)),NA(),IF(OR($A886&lt;MIN(DKW_10Y!$A$2:$A$2918),$A886&gt;MAX(DKW_10Y!$A$2:$A$2918),Settings!$B$16&lt;MIN(DKW_10Y!$A$2:$A$2918)),NA(),(INDEX(DKW_10Y!$E$2:$E$2918,MATCH($A886,DKW_10Y!$A$2:$A$2918,1))-INDEX(DKW_10Y!$E$2:$E$2918,MATCH(Settings!$B$16,DKW_10Y!$A$2:$A$2918,1)))*100))</f>
        <v/>
      </c>
      <c r="AB886" s="19">
        <f>IF(NOT(ISNUMBER($A886)),NA(),IF(OR($A886&lt;MIN(DKW_10Y!$A$2:$A$2918),$A886&gt;MAX(DKW_10Y!$A$2:$A$2918),Settings!$B$16&lt;MIN(DKW_10Y!$A$2:$A$2918)),NA(),(INDEX(DKW_10Y!$H$2:$H$2918,MATCH($A886,DKW_10Y!$A$2:$A$2918,1))-INDEX(DKW_10Y!$H$2:$H$2918,MATCH(Settings!$B$16,DKW_10Y!$A$2:$A$2918,1)))*100))</f>
        <v/>
      </c>
      <c r="AC886" s="18">
        <f>IF(NOT(ISNUMBER($A886)),NA(),IFERROR(1*INDEX(BBG_Data!$N$2:$N$4000,MATCH($A886,BBG_Data!$M$2:$M$4000,0)),NA()))</f>
        <v/>
      </c>
      <c r="AD886" s="18">
        <f>IF(NOT(ISNUMBER($A886)),NA(),IFERROR(1*INDEX(BBG_Data!$P$2:$P$4000,MATCH($A886,BBG_Data!$O$2:$O$4000,0)),NA()))</f>
        <v/>
      </c>
      <c r="AE886" s="18">
        <f>IF(NOT(ISNUMBER($A886)),NA(),IFERROR(1*INDEX(BBG_Data!$R$2:$R$4000,MATCH($A886,BBG_Data!$Q$2:$Q$4000,0)),NA()))</f>
        <v/>
      </c>
      <c r="AF886" s="20">
        <f>IF(AND(ISNUMBER(B886),ISNUMBER(AC886)),(B886-AC886)*100,NA())</f>
        <v/>
      </c>
      <c r="AG886" s="20">
        <f>IF(AND(ISNUMBER(AE886),ISNUMBER(AD886)),(AE886-AD886)*100,NA())</f>
        <v/>
      </c>
      <c r="AH886" s="19">
        <f>IF(NOT(ISNUMBER($A886)),NA(),IFERROR(INDEX(BBG_Data!$T$2:$T$4000,MATCH($A886,BBG_Data!$S$2:$S$4000,0))*Settings!$B$25,NA()))</f>
        <v/>
      </c>
      <c r="AI886" s="19">
        <f>IF(NOT(ISNUMBER($A886)),NA(),IFERROR(INDEX(BBG_Data!$V$2:$V$4000,MATCH($A886,BBG_Data!$U$2:$U$4000,0))*Settings!$B$25,NA()))</f>
        <v/>
      </c>
      <c r="AJ886" s="19">
        <f>IF(NOT(ISNUMBER($A886)),NA(),IFERROR(1*INDEX(BBG_Data!$X$2:$X$4000,MATCH($A886,BBG_Data!$W$2:$W$4000,0)),NA()))</f>
        <v/>
      </c>
      <c r="AK886" s="19">
        <f>IF(NOT(ISNUMBER($A886)),NA(),IFERROR(1*INDEX(BBG_Data!$Z$2:$Z$4000,MATCH($A886,BBG_Data!$Y$2:$Y$4000,0)),NA()))</f>
        <v/>
      </c>
    </row>
    <row r="887">
      <c r="A887" s="17">
        <f>IF(ISNUMBER(BBG_Data!A887),BBG_Data!A887,"")</f>
        <v/>
      </c>
      <c r="B887" s="18">
        <f>IF(AND(ISNUMBER($A887),ISNUMBER(BBG_Data!B887)),BBG_Data!B887,NA())</f>
        <v/>
      </c>
      <c r="C887" s="18">
        <f>IF(NOT(ISNUMBER($A887)),NA(),IFERROR(1*INDEX(BBG_Data!$D$2:$D$4000,MATCH($A887,BBG_Data!$C$2:$C$4000,0)),NA()))</f>
        <v/>
      </c>
      <c r="D887" s="19">
        <f>IF(NOT(ISNUMBER($A887)),NA(),IFERROR(1*INDEX(BBG_Data!$F$2:$F$4000,MATCH($A887,BBG_Data!$E$2:$E$4000,0)),NA()))</f>
        <v/>
      </c>
      <c r="E887" s="19">
        <f>IF(NOT(ISNUMBER($A887)),NA(),IFERROR(1*INDEX(BBG_Data!$H$2:$H$4000,MATCH($A887,BBG_Data!$G$2:$G$4000,0)),NA()))</f>
        <v/>
      </c>
      <c r="F887" s="20">
        <f>IF(AND(ISNUMBER(B887),ISNUMBER(B886)),IF(B887=B886,"",(B887-B886)*100),"")</f>
        <v/>
      </c>
      <c r="G887" s="20">
        <f>IF(AND(ISNUMBER(C887),ISNUMBER(C886)),IF(C887=C886,"",(C887-C886)*100),"")</f>
        <v/>
      </c>
      <c r="H887" s="20">
        <f>IF(OR(NOT(ISNUMBER($A887)),ROW()-2&lt;Settings!$B$11),NA(),IF(COUNT(OFFSET(F887,1-Settings!$B$11,0,Settings!$B$11,1))&lt;ROUNDUP(Settings!$B$11*Settings!$B$26,0),NA(),STDEV(OFFSET(F887,1-Settings!$B$11,0,Settings!$B$11,1))*SQRT(Settings!$B$13)))</f>
        <v/>
      </c>
      <c r="I887" s="20">
        <f>IF(OR(NOT(ISNUMBER($A887)),ROW()-2&lt;Settings!$B$12),NA(),IF(COUNT(OFFSET(F887,1-Settings!$B$12,0,Settings!$B$12,1))&lt;ROUNDUP(Settings!$B$12*Settings!$B$26,0),NA(),STDEV(OFFSET(F887,1-Settings!$B$12,0,Settings!$B$12,1))*SQRT(Settings!$B$13)))</f>
        <v/>
      </c>
      <c r="J887" s="20">
        <f>IF(OR(NOT(ISNUMBER($A887)),ROW()-2&lt;Settings!$B$11),NA(),IF(COUNT(OFFSET(G887,1-Settings!$B$11,0,Settings!$B$11,1))&lt;ROUNDUP(Settings!$B$11*Settings!$B$26,0),NA(),STDEV(OFFSET(G887,1-Settings!$B$11,0,Settings!$B$11,1))*SQRT(Settings!$B$13)))</f>
        <v/>
      </c>
      <c r="K887" s="20">
        <f>IF(OR(NOT(ISNUMBER($A887)),ROW()-2&lt;Settings!$B$12),NA(),IF(COUNT(OFFSET(G887,1-Settings!$B$12,0,Settings!$B$12,1))&lt;ROUNDUP(Settings!$B$12*Settings!$B$26,0),NA(),STDEV(OFFSET(G887,1-Settings!$B$12,0,Settings!$B$12,1))*SQRT(Settings!$B$13)))</f>
        <v/>
      </c>
      <c r="L887" s="20">
        <f>IF(AND(ISNUMBER(D887),ISNUMBER(H887)),D887-H887,NA())</f>
        <v/>
      </c>
      <c r="M887" s="20">
        <f>IF(AND(ISNUMBER(E887),ISNUMBER(K887)),E887-K887,NA())</f>
        <v/>
      </c>
      <c r="N887" s="20">
        <f>IF(NOT(ISNUMBER($A887)),NA(),IF(COUNT(OFFSET(G887,1,0,Settings!$B$12,1))&lt;ROUNDUP(Settings!$B$12*Settings!$B$26,0),NA(),STDEV(OFFSET(G887,1,0,Settings!$B$12,1))*SQRT(Settings!$B$13)))</f>
        <v/>
      </c>
      <c r="O887" s="20">
        <f>IF(AND(ISNUMBER(E887),ISNUMBER(N887)),E887-N887,NA())</f>
        <v/>
      </c>
      <c r="P887" s="19">
        <f>IF(NOT(ISNUMBER($A887)),NA(),IF(OR($A887&lt;MIN(KW_TP!$A$2:$A$2501),$A887&gt;MAX(KW_TP!$A$2:$A$2501)),NA(),INDEX(KW_TP!$C$2:$C$2501,MATCH($A887,KW_TP!$A$2:$A$2501,1))))</f>
        <v/>
      </c>
      <c r="Q887" s="18">
        <f>IF(NOT(ISNUMBER($A887)),NA(),IFERROR(1*INDEX(BBG_Data!$J$2:$J$4000,MATCH($A887,BBG_Data!$I$2:$I$4000,0)),NA()))</f>
        <v/>
      </c>
      <c r="R887" s="18">
        <f>IF(NOT(ISNUMBER($A887)),NA(),IFERROR(1*INDEX(BBG_Data!$L$2:$L$4000,MATCH($A887,BBG_Data!$K$2:$K$4000,0)),NA()))</f>
        <v/>
      </c>
      <c r="S887" s="20">
        <f>IF(AND(ISNUMBER(B887),ISNUMBER(Q887),ISNUMBER(R887)),(B887-Q887-R887)*100,NA())</f>
        <v/>
      </c>
      <c r="T887" s="20">
        <f>IF(AND(ISNUMBER(B887),Settings!$B$17&gt;0),IF(ISNUMBER(INDEX($B:$B,Settings!$B$17)),(B887-INDEX($B:$B,Settings!$B$17))*100,NA()),NA())</f>
        <v/>
      </c>
      <c r="U887" s="20">
        <f>IF(AND(ISNUMBER(Q887),Settings!$B$17&gt;0),IF(ISNUMBER(INDEX($Q:$Q,Settings!$B$17)),(Q887-INDEX($Q:$Q,Settings!$B$17))*100,NA()),NA())</f>
        <v/>
      </c>
      <c r="V887" s="20">
        <f>IF(AND(ISNUMBER(R887),Settings!$B$17&gt;0),IF(ISNUMBER(INDEX($R:$R,Settings!$B$17)),(R887-INDEX($R:$R,Settings!$B$17))*100,NA()),NA())</f>
        <v/>
      </c>
      <c r="W887" s="20">
        <f>IF(AND(ISNUMBER(P887),Settings!$B$17&gt;0),IF(ISNUMBER(INDEX($P:$P,Settings!$B$17)),P887-INDEX($P:$P,Settings!$B$17),NA()),NA())</f>
        <v/>
      </c>
      <c r="X887" s="19">
        <f>IF(NOT(ISNUMBER($A887)),NA(),IF(OR($A887&lt;MIN(DKW_10Y!$A$2:$A$2918),$A887&gt;MAX(DKW_10Y!$A$2:$A$2918),Settings!$B$16&lt;MIN(DKW_10Y!$A$2:$A$2918)),NA(),(INDEX(DKW_10Y!$B$2:$B$2918,MATCH($A887,DKW_10Y!$A$2:$A$2918,1))-INDEX(DKW_10Y!$B$2:$B$2918,MATCH(Settings!$B$16,DKW_10Y!$A$2:$A$2918,1)))*100))</f>
        <v/>
      </c>
      <c r="Y887" s="19">
        <f>IF(NOT(ISNUMBER($A887)),NA(),IF(OR($A887&lt;MIN(DKW_10Y!$A$2:$A$2918),$A887&gt;MAX(DKW_10Y!$A$2:$A$2918),Settings!$B$16&lt;MIN(DKW_10Y!$A$2:$A$2918)),NA(),(INDEX(DKW_10Y!$C$2:$C$2918,MATCH($A887,DKW_10Y!$A$2:$A$2918,1))-INDEX(DKW_10Y!$C$2:$C$2918,MATCH(Settings!$B$16,DKW_10Y!$A$2:$A$2918,1)))*100))</f>
        <v/>
      </c>
      <c r="Z887" s="19">
        <f>IF(NOT(ISNUMBER($A887)),NA(),IF(OR($A887&lt;MIN(DKW_10Y!$A$2:$A$2918),$A887&gt;MAX(DKW_10Y!$A$2:$A$2918),Settings!$B$16&lt;MIN(DKW_10Y!$A$2:$A$2918)),NA(),(INDEX(DKW_10Y!$D$2:$D$2918,MATCH($A887,DKW_10Y!$A$2:$A$2918,1))-INDEX(DKW_10Y!$D$2:$D$2918,MATCH(Settings!$B$16,DKW_10Y!$A$2:$A$2918,1)))*100))</f>
        <v/>
      </c>
      <c r="AA887" s="19">
        <f>IF(NOT(ISNUMBER($A887)),NA(),IF(OR($A887&lt;MIN(DKW_10Y!$A$2:$A$2918),$A887&gt;MAX(DKW_10Y!$A$2:$A$2918),Settings!$B$16&lt;MIN(DKW_10Y!$A$2:$A$2918)),NA(),(INDEX(DKW_10Y!$E$2:$E$2918,MATCH($A887,DKW_10Y!$A$2:$A$2918,1))-INDEX(DKW_10Y!$E$2:$E$2918,MATCH(Settings!$B$16,DKW_10Y!$A$2:$A$2918,1)))*100))</f>
        <v/>
      </c>
      <c r="AB887" s="19">
        <f>IF(NOT(ISNUMBER($A887)),NA(),IF(OR($A887&lt;MIN(DKW_10Y!$A$2:$A$2918),$A887&gt;MAX(DKW_10Y!$A$2:$A$2918),Settings!$B$16&lt;MIN(DKW_10Y!$A$2:$A$2918)),NA(),(INDEX(DKW_10Y!$H$2:$H$2918,MATCH($A887,DKW_10Y!$A$2:$A$2918,1))-INDEX(DKW_10Y!$H$2:$H$2918,MATCH(Settings!$B$16,DKW_10Y!$A$2:$A$2918,1)))*100))</f>
        <v/>
      </c>
      <c r="AC887" s="18">
        <f>IF(NOT(ISNUMBER($A887)),NA(),IFERROR(1*INDEX(BBG_Data!$N$2:$N$4000,MATCH($A887,BBG_Data!$M$2:$M$4000,0)),NA()))</f>
        <v/>
      </c>
      <c r="AD887" s="18">
        <f>IF(NOT(ISNUMBER($A887)),NA(),IFERROR(1*INDEX(BBG_Data!$P$2:$P$4000,MATCH($A887,BBG_Data!$O$2:$O$4000,0)),NA()))</f>
        <v/>
      </c>
      <c r="AE887" s="18">
        <f>IF(NOT(ISNUMBER($A887)),NA(),IFERROR(1*INDEX(BBG_Data!$R$2:$R$4000,MATCH($A887,BBG_Data!$Q$2:$Q$4000,0)),NA()))</f>
        <v/>
      </c>
      <c r="AF887" s="20">
        <f>IF(AND(ISNUMBER(B887),ISNUMBER(AC887)),(B887-AC887)*100,NA())</f>
        <v/>
      </c>
      <c r="AG887" s="20">
        <f>IF(AND(ISNUMBER(AE887),ISNUMBER(AD887)),(AE887-AD887)*100,NA())</f>
        <v/>
      </c>
      <c r="AH887" s="19">
        <f>IF(NOT(ISNUMBER($A887)),NA(),IFERROR(INDEX(BBG_Data!$T$2:$T$4000,MATCH($A887,BBG_Data!$S$2:$S$4000,0))*Settings!$B$25,NA()))</f>
        <v/>
      </c>
      <c r="AI887" s="19">
        <f>IF(NOT(ISNUMBER($A887)),NA(),IFERROR(INDEX(BBG_Data!$V$2:$V$4000,MATCH($A887,BBG_Data!$U$2:$U$4000,0))*Settings!$B$25,NA()))</f>
        <v/>
      </c>
      <c r="AJ887" s="19">
        <f>IF(NOT(ISNUMBER($A887)),NA(),IFERROR(1*INDEX(BBG_Data!$X$2:$X$4000,MATCH($A887,BBG_Data!$W$2:$W$4000,0)),NA()))</f>
        <v/>
      </c>
      <c r="AK887" s="19">
        <f>IF(NOT(ISNUMBER($A887)),NA(),IFERROR(1*INDEX(BBG_Data!$Z$2:$Z$4000,MATCH($A887,BBG_Data!$Y$2:$Y$4000,0)),NA()))</f>
        <v/>
      </c>
    </row>
    <row r="888">
      <c r="A888" s="17">
        <f>IF(ISNUMBER(BBG_Data!A888),BBG_Data!A888,"")</f>
        <v/>
      </c>
      <c r="B888" s="18">
        <f>IF(AND(ISNUMBER($A888),ISNUMBER(BBG_Data!B888)),BBG_Data!B888,NA())</f>
        <v/>
      </c>
      <c r="C888" s="18">
        <f>IF(NOT(ISNUMBER($A888)),NA(),IFERROR(1*INDEX(BBG_Data!$D$2:$D$4000,MATCH($A888,BBG_Data!$C$2:$C$4000,0)),NA()))</f>
        <v/>
      </c>
      <c r="D888" s="19">
        <f>IF(NOT(ISNUMBER($A888)),NA(),IFERROR(1*INDEX(BBG_Data!$F$2:$F$4000,MATCH($A888,BBG_Data!$E$2:$E$4000,0)),NA()))</f>
        <v/>
      </c>
      <c r="E888" s="19">
        <f>IF(NOT(ISNUMBER($A888)),NA(),IFERROR(1*INDEX(BBG_Data!$H$2:$H$4000,MATCH($A888,BBG_Data!$G$2:$G$4000,0)),NA()))</f>
        <v/>
      </c>
      <c r="F888" s="20">
        <f>IF(AND(ISNUMBER(B888),ISNUMBER(B887)),IF(B888=B887,"",(B888-B887)*100),"")</f>
        <v/>
      </c>
      <c r="G888" s="20">
        <f>IF(AND(ISNUMBER(C888),ISNUMBER(C887)),IF(C888=C887,"",(C888-C887)*100),"")</f>
        <v/>
      </c>
      <c r="H888" s="20">
        <f>IF(OR(NOT(ISNUMBER($A888)),ROW()-2&lt;Settings!$B$11),NA(),IF(COUNT(OFFSET(F888,1-Settings!$B$11,0,Settings!$B$11,1))&lt;ROUNDUP(Settings!$B$11*Settings!$B$26,0),NA(),STDEV(OFFSET(F888,1-Settings!$B$11,0,Settings!$B$11,1))*SQRT(Settings!$B$13)))</f>
        <v/>
      </c>
      <c r="I888" s="20">
        <f>IF(OR(NOT(ISNUMBER($A888)),ROW()-2&lt;Settings!$B$12),NA(),IF(COUNT(OFFSET(F888,1-Settings!$B$12,0,Settings!$B$12,1))&lt;ROUNDUP(Settings!$B$12*Settings!$B$26,0),NA(),STDEV(OFFSET(F888,1-Settings!$B$12,0,Settings!$B$12,1))*SQRT(Settings!$B$13)))</f>
        <v/>
      </c>
      <c r="J888" s="20">
        <f>IF(OR(NOT(ISNUMBER($A888)),ROW()-2&lt;Settings!$B$11),NA(),IF(COUNT(OFFSET(G888,1-Settings!$B$11,0,Settings!$B$11,1))&lt;ROUNDUP(Settings!$B$11*Settings!$B$26,0),NA(),STDEV(OFFSET(G888,1-Settings!$B$11,0,Settings!$B$11,1))*SQRT(Settings!$B$13)))</f>
        <v/>
      </c>
      <c r="K888" s="20">
        <f>IF(OR(NOT(ISNUMBER($A888)),ROW()-2&lt;Settings!$B$12),NA(),IF(COUNT(OFFSET(G888,1-Settings!$B$12,0,Settings!$B$12,1))&lt;ROUNDUP(Settings!$B$12*Settings!$B$26,0),NA(),STDEV(OFFSET(G888,1-Settings!$B$12,0,Settings!$B$12,1))*SQRT(Settings!$B$13)))</f>
        <v/>
      </c>
      <c r="L888" s="20">
        <f>IF(AND(ISNUMBER(D888),ISNUMBER(H888)),D888-H888,NA())</f>
        <v/>
      </c>
      <c r="M888" s="20">
        <f>IF(AND(ISNUMBER(E888),ISNUMBER(K888)),E888-K888,NA())</f>
        <v/>
      </c>
      <c r="N888" s="20">
        <f>IF(NOT(ISNUMBER($A888)),NA(),IF(COUNT(OFFSET(G888,1,0,Settings!$B$12,1))&lt;ROUNDUP(Settings!$B$12*Settings!$B$26,0),NA(),STDEV(OFFSET(G888,1,0,Settings!$B$12,1))*SQRT(Settings!$B$13)))</f>
        <v/>
      </c>
      <c r="O888" s="20">
        <f>IF(AND(ISNUMBER(E888),ISNUMBER(N888)),E888-N888,NA())</f>
        <v/>
      </c>
      <c r="P888" s="19">
        <f>IF(NOT(ISNUMBER($A888)),NA(),IF(OR($A888&lt;MIN(KW_TP!$A$2:$A$2501),$A888&gt;MAX(KW_TP!$A$2:$A$2501)),NA(),INDEX(KW_TP!$C$2:$C$2501,MATCH($A888,KW_TP!$A$2:$A$2501,1))))</f>
        <v/>
      </c>
      <c r="Q888" s="18">
        <f>IF(NOT(ISNUMBER($A888)),NA(),IFERROR(1*INDEX(BBG_Data!$J$2:$J$4000,MATCH($A888,BBG_Data!$I$2:$I$4000,0)),NA()))</f>
        <v/>
      </c>
      <c r="R888" s="18">
        <f>IF(NOT(ISNUMBER($A888)),NA(),IFERROR(1*INDEX(BBG_Data!$L$2:$L$4000,MATCH($A888,BBG_Data!$K$2:$K$4000,0)),NA()))</f>
        <v/>
      </c>
      <c r="S888" s="20">
        <f>IF(AND(ISNUMBER(B888),ISNUMBER(Q888),ISNUMBER(R888)),(B888-Q888-R888)*100,NA())</f>
        <v/>
      </c>
      <c r="T888" s="20">
        <f>IF(AND(ISNUMBER(B888),Settings!$B$17&gt;0),IF(ISNUMBER(INDEX($B:$B,Settings!$B$17)),(B888-INDEX($B:$B,Settings!$B$17))*100,NA()),NA())</f>
        <v/>
      </c>
      <c r="U888" s="20">
        <f>IF(AND(ISNUMBER(Q888),Settings!$B$17&gt;0),IF(ISNUMBER(INDEX($Q:$Q,Settings!$B$17)),(Q888-INDEX($Q:$Q,Settings!$B$17))*100,NA()),NA())</f>
        <v/>
      </c>
      <c r="V888" s="20">
        <f>IF(AND(ISNUMBER(R888),Settings!$B$17&gt;0),IF(ISNUMBER(INDEX($R:$R,Settings!$B$17)),(R888-INDEX($R:$R,Settings!$B$17))*100,NA()),NA())</f>
        <v/>
      </c>
      <c r="W888" s="20">
        <f>IF(AND(ISNUMBER(P888),Settings!$B$17&gt;0),IF(ISNUMBER(INDEX($P:$P,Settings!$B$17)),P888-INDEX($P:$P,Settings!$B$17),NA()),NA())</f>
        <v/>
      </c>
      <c r="X888" s="19">
        <f>IF(NOT(ISNUMBER($A888)),NA(),IF(OR($A888&lt;MIN(DKW_10Y!$A$2:$A$2918),$A888&gt;MAX(DKW_10Y!$A$2:$A$2918),Settings!$B$16&lt;MIN(DKW_10Y!$A$2:$A$2918)),NA(),(INDEX(DKW_10Y!$B$2:$B$2918,MATCH($A888,DKW_10Y!$A$2:$A$2918,1))-INDEX(DKW_10Y!$B$2:$B$2918,MATCH(Settings!$B$16,DKW_10Y!$A$2:$A$2918,1)))*100))</f>
        <v/>
      </c>
      <c r="Y888" s="19">
        <f>IF(NOT(ISNUMBER($A888)),NA(),IF(OR($A888&lt;MIN(DKW_10Y!$A$2:$A$2918),$A888&gt;MAX(DKW_10Y!$A$2:$A$2918),Settings!$B$16&lt;MIN(DKW_10Y!$A$2:$A$2918)),NA(),(INDEX(DKW_10Y!$C$2:$C$2918,MATCH($A888,DKW_10Y!$A$2:$A$2918,1))-INDEX(DKW_10Y!$C$2:$C$2918,MATCH(Settings!$B$16,DKW_10Y!$A$2:$A$2918,1)))*100))</f>
        <v/>
      </c>
      <c r="Z888" s="19">
        <f>IF(NOT(ISNUMBER($A888)),NA(),IF(OR($A888&lt;MIN(DKW_10Y!$A$2:$A$2918),$A888&gt;MAX(DKW_10Y!$A$2:$A$2918),Settings!$B$16&lt;MIN(DKW_10Y!$A$2:$A$2918)),NA(),(INDEX(DKW_10Y!$D$2:$D$2918,MATCH($A888,DKW_10Y!$A$2:$A$2918,1))-INDEX(DKW_10Y!$D$2:$D$2918,MATCH(Settings!$B$16,DKW_10Y!$A$2:$A$2918,1)))*100))</f>
        <v/>
      </c>
      <c r="AA888" s="19">
        <f>IF(NOT(ISNUMBER($A888)),NA(),IF(OR($A888&lt;MIN(DKW_10Y!$A$2:$A$2918),$A888&gt;MAX(DKW_10Y!$A$2:$A$2918),Settings!$B$16&lt;MIN(DKW_10Y!$A$2:$A$2918)),NA(),(INDEX(DKW_10Y!$E$2:$E$2918,MATCH($A888,DKW_10Y!$A$2:$A$2918,1))-INDEX(DKW_10Y!$E$2:$E$2918,MATCH(Settings!$B$16,DKW_10Y!$A$2:$A$2918,1)))*100))</f>
        <v/>
      </c>
      <c r="AB888" s="19">
        <f>IF(NOT(ISNUMBER($A888)),NA(),IF(OR($A888&lt;MIN(DKW_10Y!$A$2:$A$2918),$A888&gt;MAX(DKW_10Y!$A$2:$A$2918),Settings!$B$16&lt;MIN(DKW_10Y!$A$2:$A$2918)),NA(),(INDEX(DKW_10Y!$H$2:$H$2918,MATCH($A888,DKW_10Y!$A$2:$A$2918,1))-INDEX(DKW_10Y!$H$2:$H$2918,MATCH(Settings!$B$16,DKW_10Y!$A$2:$A$2918,1)))*100))</f>
        <v/>
      </c>
      <c r="AC888" s="18">
        <f>IF(NOT(ISNUMBER($A888)),NA(),IFERROR(1*INDEX(BBG_Data!$N$2:$N$4000,MATCH($A888,BBG_Data!$M$2:$M$4000,0)),NA()))</f>
        <v/>
      </c>
      <c r="AD888" s="18">
        <f>IF(NOT(ISNUMBER($A888)),NA(),IFERROR(1*INDEX(BBG_Data!$P$2:$P$4000,MATCH($A888,BBG_Data!$O$2:$O$4000,0)),NA()))</f>
        <v/>
      </c>
      <c r="AE888" s="18">
        <f>IF(NOT(ISNUMBER($A888)),NA(),IFERROR(1*INDEX(BBG_Data!$R$2:$R$4000,MATCH($A888,BBG_Data!$Q$2:$Q$4000,0)),NA()))</f>
        <v/>
      </c>
      <c r="AF888" s="20">
        <f>IF(AND(ISNUMBER(B888),ISNUMBER(AC888)),(B888-AC888)*100,NA())</f>
        <v/>
      </c>
      <c r="AG888" s="20">
        <f>IF(AND(ISNUMBER(AE888),ISNUMBER(AD888)),(AE888-AD888)*100,NA())</f>
        <v/>
      </c>
      <c r="AH888" s="19">
        <f>IF(NOT(ISNUMBER($A888)),NA(),IFERROR(INDEX(BBG_Data!$T$2:$T$4000,MATCH($A888,BBG_Data!$S$2:$S$4000,0))*Settings!$B$25,NA()))</f>
        <v/>
      </c>
      <c r="AI888" s="19">
        <f>IF(NOT(ISNUMBER($A888)),NA(),IFERROR(INDEX(BBG_Data!$V$2:$V$4000,MATCH($A888,BBG_Data!$U$2:$U$4000,0))*Settings!$B$25,NA()))</f>
        <v/>
      </c>
      <c r="AJ888" s="19">
        <f>IF(NOT(ISNUMBER($A888)),NA(),IFERROR(1*INDEX(BBG_Data!$X$2:$X$4000,MATCH($A888,BBG_Data!$W$2:$W$4000,0)),NA()))</f>
        <v/>
      </c>
      <c r="AK888" s="19">
        <f>IF(NOT(ISNUMBER($A888)),NA(),IFERROR(1*INDEX(BBG_Data!$Z$2:$Z$4000,MATCH($A888,BBG_Data!$Y$2:$Y$4000,0)),NA()))</f>
        <v/>
      </c>
    </row>
    <row r="889">
      <c r="A889" s="17">
        <f>IF(ISNUMBER(BBG_Data!A889),BBG_Data!A889,"")</f>
        <v/>
      </c>
      <c r="B889" s="18">
        <f>IF(AND(ISNUMBER($A889),ISNUMBER(BBG_Data!B889)),BBG_Data!B889,NA())</f>
        <v/>
      </c>
      <c r="C889" s="18">
        <f>IF(NOT(ISNUMBER($A889)),NA(),IFERROR(1*INDEX(BBG_Data!$D$2:$D$4000,MATCH($A889,BBG_Data!$C$2:$C$4000,0)),NA()))</f>
        <v/>
      </c>
      <c r="D889" s="19">
        <f>IF(NOT(ISNUMBER($A889)),NA(),IFERROR(1*INDEX(BBG_Data!$F$2:$F$4000,MATCH($A889,BBG_Data!$E$2:$E$4000,0)),NA()))</f>
        <v/>
      </c>
      <c r="E889" s="19">
        <f>IF(NOT(ISNUMBER($A889)),NA(),IFERROR(1*INDEX(BBG_Data!$H$2:$H$4000,MATCH($A889,BBG_Data!$G$2:$G$4000,0)),NA()))</f>
        <v/>
      </c>
      <c r="F889" s="20">
        <f>IF(AND(ISNUMBER(B889),ISNUMBER(B888)),IF(B889=B888,"",(B889-B888)*100),"")</f>
        <v/>
      </c>
      <c r="G889" s="20">
        <f>IF(AND(ISNUMBER(C889),ISNUMBER(C888)),IF(C889=C888,"",(C889-C888)*100),"")</f>
        <v/>
      </c>
      <c r="H889" s="20">
        <f>IF(OR(NOT(ISNUMBER($A889)),ROW()-2&lt;Settings!$B$11),NA(),IF(COUNT(OFFSET(F889,1-Settings!$B$11,0,Settings!$B$11,1))&lt;ROUNDUP(Settings!$B$11*Settings!$B$26,0),NA(),STDEV(OFFSET(F889,1-Settings!$B$11,0,Settings!$B$11,1))*SQRT(Settings!$B$13)))</f>
        <v/>
      </c>
      <c r="I889" s="20">
        <f>IF(OR(NOT(ISNUMBER($A889)),ROW()-2&lt;Settings!$B$12),NA(),IF(COUNT(OFFSET(F889,1-Settings!$B$12,0,Settings!$B$12,1))&lt;ROUNDUP(Settings!$B$12*Settings!$B$26,0),NA(),STDEV(OFFSET(F889,1-Settings!$B$12,0,Settings!$B$12,1))*SQRT(Settings!$B$13)))</f>
        <v/>
      </c>
      <c r="J889" s="20">
        <f>IF(OR(NOT(ISNUMBER($A889)),ROW()-2&lt;Settings!$B$11),NA(),IF(COUNT(OFFSET(G889,1-Settings!$B$11,0,Settings!$B$11,1))&lt;ROUNDUP(Settings!$B$11*Settings!$B$26,0),NA(),STDEV(OFFSET(G889,1-Settings!$B$11,0,Settings!$B$11,1))*SQRT(Settings!$B$13)))</f>
        <v/>
      </c>
      <c r="K889" s="20">
        <f>IF(OR(NOT(ISNUMBER($A889)),ROW()-2&lt;Settings!$B$12),NA(),IF(COUNT(OFFSET(G889,1-Settings!$B$12,0,Settings!$B$12,1))&lt;ROUNDUP(Settings!$B$12*Settings!$B$26,0),NA(),STDEV(OFFSET(G889,1-Settings!$B$12,0,Settings!$B$12,1))*SQRT(Settings!$B$13)))</f>
        <v/>
      </c>
      <c r="L889" s="20">
        <f>IF(AND(ISNUMBER(D889),ISNUMBER(H889)),D889-H889,NA())</f>
        <v/>
      </c>
      <c r="M889" s="20">
        <f>IF(AND(ISNUMBER(E889),ISNUMBER(K889)),E889-K889,NA())</f>
        <v/>
      </c>
      <c r="N889" s="20">
        <f>IF(NOT(ISNUMBER($A889)),NA(),IF(COUNT(OFFSET(G889,1,0,Settings!$B$12,1))&lt;ROUNDUP(Settings!$B$12*Settings!$B$26,0),NA(),STDEV(OFFSET(G889,1,0,Settings!$B$12,1))*SQRT(Settings!$B$13)))</f>
        <v/>
      </c>
      <c r="O889" s="20">
        <f>IF(AND(ISNUMBER(E889),ISNUMBER(N889)),E889-N889,NA())</f>
        <v/>
      </c>
      <c r="P889" s="19">
        <f>IF(NOT(ISNUMBER($A889)),NA(),IF(OR($A889&lt;MIN(KW_TP!$A$2:$A$2501),$A889&gt;MAX(KW_TP!$A$2:$A$2501)),NA(),INDEX(KW_TP!$C$2:$C$2501,MATCH($A889,KW_TP!$A$2:$A$2501,1))))</f>
        <v/>
      </c>
      <c r="Q889" s="18">
        <f>IF(NOT(ISNUMBER($A889)),NA(),IFERROR(1*INDEX(BBG_Data!$J$2:$J$4000,MATCH($A889,BBG_Data!$I$2:$I$4000,0)),NA()))</f>
        <v/>
      </c>
      <c r="R889" s="18">
        <f>IF(NOT(ISNUMBER($A889)),NA(),IFERROR(1*INDEX(BBG_Data!$L$2:$L$4000,MATCH($A889,BBG_Data!$K$2:$K$4000,0)),NA()))</f>
        <v/>
      </c>
      <c r="S889" s="20">
        <f>IF(AND(ISNUMBER(B889),ISNUMBER(Q889),ISNUMBER(R889)),(B889-Q889-R889)*100,NA())</f>
        <v/>
      </c>
      <c r="T889" s="20">
        <f>IF(AND(ISNUMBER(B889),Settings!$B$17&gt;0),IF(ISNUMBER(INDEX($B:$B,Settings!$B$17)),(B889-INDEX($B:$B,Settings!$B$17))*100,NA()),NA())</f>
        <v/>
      </c>
      <c r="U889" s="20">
        <f>IF(AND(ISNUMBER(Q889),Settings!$B$17&gt;0),IF(ISNUMBER(INDEX($Q:$Q,Settings!$B$17)),(Q889-INDEX($Q:$Q,Settings!$B$17))*100,NA()),NA())</f>
        <v/>
      </c>
      <c r="V889" s="20">
        <f>IF(AND(ISNUMBER(R889),Settings!$B$17&gt;0),IF(ISNUMBER(INDEX($R:$R,Settings!$B$17)),(R889-INDEX($R:$R,Settings!$B$17))*100,NA()),NA())</f>
        <v/>
      </c>
      <c r="W889" s="20">
        <f>IF(AND(ISNUMBER(P889),Settings!$B$17&gt;0),IF(ISNUMBER(INDEX($P:$P,Settings!$B$17)),P889-INDEX($P:$P,Settings!$B$17),NA()),NA())</f>
        <v/>
      </c>
      <c r="X889" s="19">
        <f>IF(NOT(ISNUMBER($A889)),NA(),IF(OR($A889&lt;MIN(DKW_10Y!$A$2:$A$2918),$A889&gt;MAX(DKW_10Y!$A$2:$A$2918),Settings!$B$16&lt;MIN(DKW_10Y!$A$2:$A$2918)),NA(),(INDEX(DKW_10Y!$B$2:$B$2918,MATCH($A889,DKW_10Y!$A$2:$A$2918,1))-INDEX(DKW_10Y!$B$2:$B$2918,MATCH(Settings!$B$16,DKW_10Y!$A$2:$A$2918,1)))*100))</f>
        <v/>
      </c>
      <c r="Y889" s="19">
        <f>IF(NOT(ISNUMBER($A889)),NA(),IF(OR($A889&lt;MIN(DKW_10Y!$A$2:$A$2918),$A889&gt;MAX(DKW_10Y!$A$2:$A$2918),Settings!$B$16&lt;MIN(DKW_10Y!$A$2:$A$2918)),NA(),(INDEX(DKW_10Y!$C$2:$C$2918,MATCH($A889,DKW_10Y!$A$2:$A$2918,1))-INDEX(DKW_10Y!$C$2:$C$2918,MATCH(Settings!$B$16,DKW_10Y!$A$2:$A$2918,1)))*100))</f>
        <v/>
      </c>
      <c r="Z889" s="19">
        <f>IF(NOT(ISNUMBER($A889)),NA(),IF(OR($A889&lt;MIN(DKW_10Y!$A$2:$A$2918),$A889&gt;MAX(DKW_10Y!$A$2:$A$2918),Settings!$B$16&lt;MIN(DKW_10Y!$A$2:$A$2918)),NA(),(INDEX(DKW_10Y!$D$2:$D$2918,MATCH($A889,DKW_10Y!$A$2:$A$2918,1))-INDEX(DKW_10Y!$D$2:$D$2918,MATCH(Settings!$B$16,DKW_10Y!$A$2:$A$2918,1)))*100))</f>
        <v/>
      </c>
      <c r="AA889" s="19">
        <f>IF(NOT(ISNUMBER($A889)),NA(),IF(OR($A889&lt;MIN(DKW_10Y!$A$2:$A$2918),$A889&gt;MAX(DKW_10Y!$A$2:$A$2918),Settings!$B$16&lt;MIN(DKW_10Y!$A$2:$A$2918)),NA(),(INDEX(DKW_10Y!$E$2:$E$2918,MATCH($A889,DKW_10Y!$A$2:$A$2918,1))-INDEX(DKW_10Y!$E$2:$E$2918,MATCH(Settings!$B$16,DKW_10Y!$A$2:$A$2918,1)))*100))</f>
        <v/>
      </c>
      <c r="AB889" s="19">
        <f>IF(NOT(ISNUMBER($A889)),NA(),IF(OR($A889&lt;MIN(DKW_10Y!$A$2:$A$2918),$A889&gt;MAX(DKW_10Y!$A$2:$A$2918),Settings!$B$16&lt;MIN(DKW_10Y!$A$2:$A$2918)),NA(),(INDEX(DKW_10Y!$H$2:$H$2918,MATCH($A889,DKW_10Y!$A$2:$A$2918,1))-INDEX(DKW_10Y!$H$2:$H$2918,MATCH(Settings!$B$16,DKW_10Y!$A$2:$A$2918,1)))*100))</f>
        <v/>
      </c>
      <c r="AC889" s="18">
        <f>IF(NOT(ISNUMBER($A889)),NA(),IFERROR(1*INDEX(BBG_Data!$N$2:$N$4000,MATCH($A889,BBG_Data!$M$2:$M$4000,0)),NA()))</f>
        <v/>
      </c>
      <c r="AD889" s="18">
        <f>IF(NOT(ISNUMBER($A889)),NA(),IFERROR(1*INDEX(BBG_Data!$P$2:$P$4000,MATCH($A889,BBG_Data!$O$2:$O$4000,0)),NA()))</f>
        <v/>
      </c>
      <c r="AE889" s="18">
        <f>IF(NOT(ISNUMBER($A889)),NA(),IFERROR(1*INDEX(BBG_Data!$R$2:$R$4000,MATCH($A889,BBG_Data!$Q$2:$Q$4000,0)),NA()))</f>
        <v/>
      </c>
      <c r="AF889" s="20">
        <f>IF(AND(ISNUMBER(B889),ISNUMBER(AC889)),(B889-AC889)*100,NA())</f>
        <v/>
      </c>
      <c r="AG889" s="20">
        <f>IF(AND(ISNUMBER(AE889),ISNUMBER(AD889)),(AE889-AD889)*100,NA())</f>
        <v/>
      </c>
      <c r="AH889" s="19">
        <f>IF(NOT(ISNUMBER($A889)),NA(),IFERROR(INDEX(BBG_Data!$T$2:$T$4000,MATCH($A889,BBG_Data!$S$2:$S$4000,0))*Settings!$B$25,NA()))</f>
        <v/>
      </c>
      <c r="AI889" s="19">
        <f>IF(NOT(ISNUMBER($A889)),NA(),IFERROR(INDEX(BBG_Data!$V$2:$V$4000,MATCH($A889,BBG_Data!$U$2:$U$4000,0))*Settings!$B$25,NA()))</f>
        <v/>
      </c>
      <c r="AJ889" s="19">
        <f>IF(NOT(ISNUMBER($A889)),NA(),IFERROR(1*INDEX(BBG_Data!$X$2:$X$4000,MATCH($A889,BBG_Data!$W$2:$W$4000,0)),NA()))</f>
        <v/>
      </c>
      <c r="AK889" s="19">
        <f>IF(NOT(ISNUMBER($A889)),NA(),IFERROR(1*INDEX(BBG_Data!$Z$2:$Z$4000,MATCH($A889,BBG_Data!$Y$2:$Y$4000,0)),NA()))</f>
        <v/>
      </c>
    </row>
    <row r="890">
      <c r="A890" s="17">
        <f>IF(ISNUMBER(BBG_Data!A890),BBG_Data!A890,"")</f>
        <v/>
      </c>
      <c r="B890" s="18">
        <f>IF(AND(ISNUMBER($A890),ISNUMBER(BBG_Data!B890)),BBG_Data!B890,NA())</f>
        <v/>
      </c>
      <c r="C890" s="18">
        <f>IF(NOT(ISNUMBER($A890)),NA(),IFERROR(1*INDEX(BBG_Data!$D$2:$D$4000,MATCH($A890,BBG_Data!$C$2:$C$4000,0)),NA()))</f>
        <v/>
      </c>
      <c r="D890" s="19">
        <f>IF(NOT(ISNUMBER($A890)),NA(),IFERROR(1*INDEX(BBG_Data!$F$2:$F$4000,MATCH($A890,BBG_Data!$E$2:$E$4000,0)),NA()))</f>
        <v/>
      </c>
      <c r="E890" s="19">
        <f>IF(NOT(ISNUMBER($A890)),NA(),IFERROR(1*INDEX(BBG_Data!$H$2:$H$4000,MATCH($A890,BBG_Data!$G$2:$G$4000,0)),NA()))</f>
        <v/>
      </c>
      <c r="F890" s="20">
        <f>IF(AND(ISNUMBER(B890),ISNUMBER(B889)),IF(B890=B889,"",(B890-B889)*100),"")</f>
        <v/>
      </c>
      <c r="G890" s="20">
        <f>IF(AND(ISNUMBER(C890),ISNUMBER(C889)),IF(C890=C889,"",(C890-C889)*100),"")</f>
        <v/>
      </c>
      <c r="H890" s="20">
        <f>IF(OR(NOT(ISNUMBER($A890)),ROW()-2&lt;Settings!$B$11),NA(),IF(COUNT(OFFSET(F890,1-Settings!$B$11,0,Settings!$B$11,1))&lt;ROUNDUP(Settings!$B$11*Settings!$B$26,0),NA(),STDEV(OFFSET(F890,1-Settings!$B$11,0,Settings!$B$11,1))*SQRT(Settings!$B$13)))</f>
        <v/>
      </c>
      <c r="I890" s="20">
        <f>IF(OR(NOT(ISNUMBER($A890)),ROW()-2&lt;Settings!$B$12),NA(),IF(COUNT(OFFSET(F890,1-Settings!$B$12,0,Settings!$B$12,1))&lt;ROUNDUP(Settings!$B$12*Settings!$B$26,0),NA(),STDEV(OFFSET(F890,1-Settings!$B$12,0,Settings!$B$12,1))*SQRT(Settings!$B$13)))</f>
        <v/>
      </c>
      <c r="J890" s="20">
        <f>IF(OR(NOT(ISNUMBER($A890)),ROW()-2&lt;Settings!$B$11),NA(),IF(COUNT(OFFSET(G890,1-Settings!$B$11,0,Settings!$B$11,1))&lt;ROUNDUP(Settings!$B$11*Settings!$B$26,0),NA(),STDEV(OFFSET(G890,1-Settings!$B$11,0,Settings!$B$11,1))*SQRT(Settings!$B$13)))</f>
        <v/>
      </c>
      <c r="K890" s="20">
        <f>IF(OR(NOT(ISNUMBER($A890)),ROW()-2&lt;Settings!$B$12),NA(),IF(COUNT(OFFSET(G890,1-Settings!$B$12,0,Settings!$B$12,1))&lt;ROUNDUP(Settings!$B$12*Settings!$B$26,0),NA(),STDEV(OFFSET(G890,1-Settings!$B$12,0,Settings!$B$12,1))*SQRT(Settings!$B$13)))</f>
        <v/>
      </c>
      <c r="L890" s="20">
        <f>IF(AND(ISNUMBER(D890),ISNUMBER(H890)),D890-H890,NA())</f>
        <v/>
      </c>
      <c r="M890" s="20">
        <f>IF(AND(ISNUMBER(E890),ISNUMBER(K890)),E890-K890,NA())</f>
        <v/>
      </c>
      <c r="N890" s="20">
        <f>IF(NOT(ISNUMBER($A890)),NA(),IF(COUNT(OFFSET(G890,1,0,Settings!$B$12,1))&lt;ROUNDUP(Settings!$B$12*Settings!$B$26,0),NA(),STDEV(OFFSET(G890,1,0,Settings!$B$12,1))*SQRT(Settings!$B$13)))</f>
        <v/>
      </c>
      <c r="O890" s="20">
        <f>IF(AND(ISNUMBER(E890),ISNUMBER(N890)),E890-N890,NA())</f>
        <v/>
      </c>
      <c r="P890" s="19">
        <f>IF(NOT(ISNUMBER($A890)),NA(),IF(OR($A890&lt;MIN(KW_TP!$A$2:$A$2501),$A890&gt;MAX(KW_TP!$A$2:$A$2501)),NA(),INDEX(KW_TP!$C$2:$C$2501,MATCH($A890,KW_TP!$A$2:$A$2501,1))))</f>
        <v/>
      </c>
      <c r="Q890" s="18">
        <f>IF(NOT(ISNUMBER($A890)),NA(),IFERROR(1*INDEX(BBG_Data!$J$2:$J$4000,MATCH($A890,BBG_Data!$I$2:$I$4000,0)),NA()))</f>
        <v/>
      </c>
      <c r="R890" s="18">
        <f>IF(NOT(ISNUMBER($A890)),NA(),IFERROR(1*INDEX(BBG_Data!$L$2:$L$4000,MATCH($A890,BBG_Data!$K$2:$K$4000,0)),NA()))</f>
        <v/>
      </c>
      <c r="S890" s="20">
        <f>IF(AND(ISNUMBER(B890),ISNUMBER(Q890),ISNUMBER(R890)),(B890-Q890-R890)*100,NA())</f>
        <v/>
      </c>
      <c r="T890" s="20">
        <f>IF(AND(ISNUMBER(B890),Settings!$B$17&gt;0),IF(ISNUMBER(INDEX($B:$B,Settings!$B$17)),(B890-INDEX($B:$B,Settings!$B$17))*100,NA()),NA())</f>
        <v/>
      </c>
      <c r="U890" s="20">
        <f>IF(AND(ISNUMBER(Q890),Settings!$B$17&gt;0),IF(ISNUMBER(INDEX($Q:$Q,Settings!$B$17)),(Q890-INDEX($Q:$Q,Settings!$B$17))*100,NA()),NA())</f>
        <v/>
      </c>
      <c r="V890" s="20">
        <f>IF(AND(ISNUMBER(R890),Settings!$B$17&gt;0),IF(ISNUMBER(INDEX($R:$R,Settings!$B$17)),(R890-INDEX($R:$R,Settings!$B$17))*100,NA()),NA())</f>
        <v/>
      </c>
      <c r="W890" s="20">
        <f>IF(AND(ISNUMBER(P890),Settings!$B$17&gt;0),IF(ISNUMBER(INDEX($P:$P,Settings!$B$17)),P890-INDEX($P:$P,Settings!$B$17),NA()),NA())</f>
        <v/>
      </c>
      <c r="X890" s="19">
        <f>IF(NOT(ISNUMBER($A890)),NA(),IF(OR($A890&lt;MIN(DKW_10Y!$A$2:$A$2918),$A890&gt;MAX(DKW_10Y!$A$2:$A$2918),Settings!$B$16&lt;MIN(DKW_10Y!$A$2:$A$2918)),NA(),(INDEX(DKW_10Y!$B$2:$B$2918,MATCH($A890,DKW_10Y!$A$2:$A$2918,1))-INDEX(DKW_10Y!$B$2:$B$2918,MATCH(Settings!$B$16,DKW_10Y!$A$2:$A$2918,1)))*100))</f>
        <v/>
      </c>
      <c r="Y890" s="19">
        <f>IF(NOT(ISNUMBER($A890)),NA(),IF(OR($A890&lt;MIN(DKW_10Y!$A$2:$A$2918),$A890&gt;MAX(DKW_10Y!$A$2:$A$2918),Settings!$B$16&lt;MIN(DKW_10Y!$A$2:$A$2918)),NA(),(INDEX(DKW_10Y!$C$2:$C$2918,MATCH($A890,DKW_10Y!$A$2:$A$2918,1))-INDEX(DKW_10Y!$C$2:$C$2918,MATCH(Settings!$B$16,DKW_10Y!$A$2:$A$2918,1)))*100))</f>
        <v/>
      </c>
      <c r="Z890" s="19">
        <f>IF(NOT(ISNUMBER($A890)),NA(),IF(OR($A890&lt;MIN(DKW_10Y!$A$2:$A$2918),$A890&gt;MAX(DKW_10Y!$A$2:$A$2918),Settings!$B$16&lt;MIN(DKW_10Y!$A$2:$A$2918)),NA(),(INDEX(DKW_10Y!$D$2:$D$2918,MATCH($A890,DKW_10Y!$A$2:$A$2918,1))-INDEX(DKW_10Y!$D$2:$D$2918,MATCH(Settings!$B$16,DKW_10Y!$A$2:$A$2918,1)))*100))</f>
        <v/>
      </c>
      <c r="AA890" s="19">
        <f>IF(NOT(ISNUMBER($A890)),NA(),IF(OR($A890&lt;MIN(DKW_10Y!$A$2:$A$2918),$A890&gt;MAX(DKW_10Y!$A$2:$A$2918),Settings!$B$16&lt;MIN(DKW_10Y!$A$2:$A$2918)),NA(),(INDEX(DKW_10Y!$E$2:$E$2918,MATCH($A890,DKW_10Y!$A$2:$A$2918,1))-INDEX(DKW_10Y!$E$2:$E$2918,MATCH(Settings!$B$16,DKW_10Y!$A$2:$A$2918,1)))*100))</f>
        <v/>
      </c>
      <c r="AB890" s="19">
        <f>IF(NOT(ISNUMBER($A890)),NA(),IF(OR($A890&lt;MIN(DKW_10Y!$A$2:$A$2918),$A890&gt;MAX(DKW_10Y!$A$2:$A$2918),Settings!$B$16&lt;MIN(DKW_10Y!$A$2:$A$2918)),NA(),(INDEX(DKW_10Y!$H$2:$H$2918,MATCH($A890,DKW_10Y!$A$2:$A$2918,1))-INDEX(DKW_10Y!$H$2:$H$2918,MATCH(Settings!$B$16,DKW_10Y!$A$2:$A$2918,1)))*100))</f>
        <v/>
      </c>
      <c r="AC890" s="18">
        <f>IF(NOT(ISNUMBER($A890)),NA(),IFERROR(1*INDEX(BBG_Data!$N$2:$N$4000,MATCH($A890,BBG_Data!$M$2:$M$4000,0)),NA()))</f>
        <v/>
      </c>
      <c r="AD890" s="18">
        <f>IF(NOT(ISNUMBER($A890)),NA(),IFERROR(1*INDEX(BBG_Data!$P$2:$P$4000,MATCH($A890,BBG_Data!$O$2:$O$4000,0)),NA()))</f>
        <v/>
      </c>
      <c r="AE890" s="18">
        <f>IF(NOT(ISNUMBER($A890)),NA(),IFERROR(1*INDEX(BBG_Data!$R$2:$R$4000,MATCH($A890,BBG_Data!$Q$2:$Q$4000,0)),NA()))</f>
        <v/>
      </c>
      <c r="AF890" s="20">
        <f>IF(AND(ISNUMBER(B890),ISNUMBER(AC890)),(B890-AC890)*100,NA())</f>
        <v/>
      </c>
      <c r="AG890" s="20">
        <f>IF(AND(ISNUMBER(AE890),ISNUMBER(AD890)),(AE890-AD890)*100,NA())</f>
        <v/>
      </c>
      <c r="AH890" s="19">
        <f>IF(NOT(ISNUMBER($A890)),NA(),IFERROR(INDEX(BBG_Data!$T$2:$T$4000,MATCH($A890,BBG_Data!$S$2:$S$4000,0))*Settings!$B$25,NA()))</f>
        <v/>
      </c>
      <c r="AI890" s="19">
        <f>IF(NOT(ISNUMBER($A890)),NA(),IFERROR(INDEX(BBG_Data!$V$2:$V$4000,MATCH($A890,BBG_Data!$U$2:$U$4000,0))*Settings!$B$25,NA()))</f>
        <v/>
      </c>
      <c r="AJ890" s="19">
        <f>IF(NOT(ISNUMBER($A890)),NA(),IFERROR(1*INDEX(BBG_Data!$X$2:$X$4000,MATCH($A890,BBG_Data!$W$2:$W$4000,0)),NA()))</f>
        <v/>
      </c>
      <c r="AK890" s="19">
        <f>IF(NOT(ISNUMBER($A890)),NA(),IFERROR(1*INDEX(BBG_Data!$Z$2:$Z$4000,MATCH($A890,BBG_Data!$Y$2:$Y$4000,0)),NA()))</f>
        <v/>
      </c>
    </row>
    <row r="891">
      <c r="A891" s="17">
        <f>IF(ISNUMBER(BBG_Data!A891),BBG_Data!A891,"")</f>
        <v/>
      </c>
      <c r="B891" s="18">
        <f>IF(AND(ISNUMBER($A891),ISNUMBER(BBG_Data!B891)),BBG_Data!B891,NA())</f>
        <v/>
      </c>
      <c r="C891" s="18">
        <f>IF(NOT(ISNUMBER($A891)),NA(),IFERROR(1*INDEX(BBG_Data!$D$2:$D$4000,MATCH($A891,BBG_Data!$C$2:$C$4000,0)),NA()))</f>
        <v/>
      </c>
      <c r="D891" s="19">
        <f>IF(NOT(ISNUMBER($A891)),NA(),IFERROR(1*INDEX(BBG_Data!$F$2:$F$4000,MATCH($A891,BBG_Data!$E$2:$E$4000,0)),NA()))</f>
        <v/>
      </c>
      <c r="E891" s="19">
        <f>IF(NOT(ISNUMBER($A891)),NA(),IFERROR(1*INDEX(BBG_Data!$H$2:$H$4000,MATCH($A891,BBG_Data!$G$2:$G$4000,0)),NA()))</f>
        <v/>
      </c>
      <c r="F891" s="20">
        <f>IF(AND(ISNUMBER(B891),ISNUMBER(B890)),IF(B891=B890,"",(B891-B890)*100),"")</f>
        <v/>
      </c>
      <c r="G891" s="20">
        <f>IF(AND(ISNUMBER(C891),ISNUMBER(C890)),IF(C891=C890,"",(C891-C890)*100),"")</f>
        <v/>
      </c>
      <c r="H891" s="20">
        <f>IF(OR(NOT(ISNUMBER($A891)),ROW()-2&lt;Settings!$B$11),NA(),IF(COUNT(OFFSET(F891,1-Settings!$B$11,0,Settings!$B$11,1))&lt;ROUNDUP(Settings!$B$11*Settings!$B$26,0),NA(),STDEV(OFFSET(F891,1-Settings!$B$11,0,Settings!$B$11,1))*SQRT(Settings!$B$13)))</f>
        <v/>
      </c>
      <c r="I891" s="20">
        <f>IF(OR(NOT(ISNUMBER($A891)),ROW()-2&lt;Settings!$B$12),NA(),IF(COUNT(OFFSET(F891,1-Settings!$B$12,0,Settings!$B$12,1))&lt;ROUNDUP(Settings!$B$12*Settings!$B$26,0),NA(),STDEV(OFFSET(F891,1-Settings!$B$12,0,Settings!$B$12,1))*SQRT(Settings!$B$13)))</f>
        <v/>
      </c>
      <c r="J891" s="20">
        <f>IF(OR(NOT(ISNUMBER($A891)),ROW()-2&lt;Settings!$B$11),NA(),IF(COUNT(OFFSET(G891,1-Settings!$B$11,0,Settings!$B$11,1))&lt;ROUNDUP(Settings!$B$11*Settings!$B$26,0),NA(),STDEV(OFFSET(G891,1-Settings!$B$11,0,Settings!$B$11,1))*SQRT(Settings!$B$13)))</f>
        <v/>
      </c>
      <c r="K891" s="20">
        <f>IF(OR(NOT(ISNUMBER($A891)),ROW()-2&lt;Settings!$B$12),NA(),IF(COUNT(OFFSET(G891,1-Settings!$B$12,0,Settings!$B$12,1))&lt;ROUNDUP(Settings!$B$12*Settings!$B$26,0),NA(),STDEV(OFFSET(G891,1-Settings!$B$12,0,Settings!$B$12,1))*SQRT(Settings!$B$13)))</f>
        <v/>
      </c>
      <c r="L891" s="20">
        <f>IF(AND(ISNUMBER(D891),ISNUMBER(H891)),D891-H891,NA())</f>
        <v/>
      </c>
      <c r="M891" s="20">
        <f>IF(AND(ISNUMBER(E891),ISNUMBER(K891)),E891-K891,NA())</f>
        <v/>
      </c>
      <c r="N891" s="20">
        <f>IF(NOT(ISNUMBER($A891)),NA(),IF(COUNT(OFFSET(G891,1,0,Settings!$B$12,1))&lt;ROUNDUP(Settings!$B$12*Settings!$B$26,0),NA(),STDEV(OFFSET(G891,1,0,Settings!$B$12,1))*SQRT(Settings!$B$13)))</f>
        <v/>
      </c>
      <c r="O891" s="20">
        <f>IF(AND(ISNUMBER(E891),ISNUMBER(N891)),E891-N891,NA())</f>
        <v/>
      </c>
      <c r="P891" s="19">
        <f>IF(NOT(ISNUMBER($A891)),NA(),IF(OR($A891&lt;MIN(KW_TP!$A$2:$A$2501),$A891&gt;MAX(KW_TP!$A$2:$A$2501)),NA(),INDEX(KW_TP!$C$2:$C$2501,MATCH($A891,KW_TP!$A$2:$A$2501,1))))</f>
        <v/>
      </c>
      <c r="Q891" s="18">
        <f>IF(NOT(ISNUMBER($A891)),NA(),IFERROR(1*INDEX(BBG_Data!$J$2:$J$4000,MATCH($A891,BBG_Data!$I$2:$I$4000,0)),NA()))</f>
        <v/>
      </c>
      <c r="R891" s="18">
        <f>IF(NOT(ISNUMBER($A891)),NA(),IFERROR(1*INDEX(BBG_Data!$L$2:$L$4000,MATCH($A891,BBG_Data!$K$2:$K$4000,0)),NA()))</f>
        <v/>
      </c>
      <c r="S891" s="20">
        <f>IF(AND(ISNUMBER(B891),ISNUMBER(Q891),ISNUMBER(R891)),(B891-Q891-R891)*100,NA())</f>
        <v/>
      </c>
      <c r="T891" s="20">
        <f>IF(AND(ISNUMBER(B891),Settings!$B$17&gt;0),IF(ISNUMBER(INDEX($B:$B,Settings!$B$17)),(B891-INDEX($B:$B,Settings!$B$17))*100,NA()),NA())</f>
        <v/>
      </c>
      <c r="U891" s="20">
        <f>IF(AND(ISNUMBER(Q891),Settings!$B$17&gt;0),IF(ISNUMBER(INDEX($Q:$Q,Settings!$B$17)),(Q891-INDEX($Q:$Q,Settings!$B$17))*100,NA()),NA())</f>
        <v/>
      </c>
      <c r="V891" s="20">
        <f>IF(AND(ISNUMBER(R891),Settings!$B$17&gt;0),IF(ISNUMBER(INDEX($R:$R,Settings!$B$17)),(R891-INDEX($R:$R,Settings!$B$17))*100,NA()),NA())</f>
        <v/>
      </c>
      <c r="W891" s="20">
        <f>IF(AND(ISNUMBER(P891),Settings!$B$17&gt;0),IF(ISNUMBER(INDEX($P:$P,Settings!$B$17)),P891-INDEX($P:$P,Settings!$B$17),NA()),NA())</f>
        <v/>
      </c>
      <c r="X891" s="19">
        <f>IF(NOT(ISNUMBER($A891)),NA(),IF(OR($A891&lt;MIN(DKW_10Y!$A$2:$A$2918),$A891&gt;MAX(DKW_10Y!$A$2:$A$2918),Settings!$B$16&lt;MIN(DKW_10Y!$A$2:$A$2918)),NA(),(INDEX(DKW_10Y!$B$2:$B$2918,MATCH($A891,DKW_10Y!$A$2:$A$2918,1))-INDEX(DKW_10Y!$B$2:$B$2918,MATCH(Settings!$B$16,DKW_10Y!$A$2:$A$2918,1)))*100))</f>
        <v/>
      </c>
      <c r="Y891" s="19">
        <f>IF(NOT(ISNUMBER($A891)),NA(),IF(OR($A891&lt;MIN(DKW_10Y!$A$2:$A$2918),$A891&gt;MAX(DKW_10Y!$A$2:$A$2918),Settings!$B$16&lt;MIN(DKW_10Y!$A$2:$A$2918)),NA(),(INDEX(DKW_10Y!$C$2:$C$2918,MATCH($A891,DKW_10Y!$A$2:$A$2918,1))-INDEX(DKW_10Y!$C$2:$C$2918,MATCH(Settings!$B$16,DKW_10Y!$A$2:$A$2918,1)))*100))</f>
        <v/>
      </c>
      <c r="Z891" s="19">
        <f>IF(NOT(ISNUMBER($A891)),NA(),IF(OR($A891&lt;MIN(DKW_10Y!$A$2:$A$2918),$A891&gt;MAX(DKW_10Y!$A$2:$A$2918),Settings!$B$16&lt;MIN(DKW_10Y!$A$2:$A$2918)),NA(),(INDEX(DKW_10Y!$D$2:$D$2918,MATCH($A891,DKW_10Y!$A$2:$A$2918,1))-INDEX(DKW_10Y!$D$2:$D$2918,MATCH(Settings!$B$16,DKW_10Y!$A$2:$A$2918,1)))*100))</f>
        <v/>
      </c>
      <c r="AA891" s="19">
        <f>IF(NOT(ISNUMBER($A891)),NA(),IF(OR($A891&lt;MIN(DKW_10Y!$A$2:$A$2918),$A891&gt;MAX(DKW_10Y!$A$2:$A$2918),Settings!$B$16&lt;MIN(DKW_10Y!$A$2:$A$2918)),NA(),(INDEX(DKW_10Y!$E$2:$E$2918,MATCH($A891,DKW_10Y!$A$2:$A$2918,1))-INDEX(DKW_10Y!$E$2:$E$2918,MATCH(Settings!$B$16,DKW_10Y!$A$2:$A$2918,1)))*100))</f>
        <v/>
      </c>
      <c r="AB891" s="19">
        <f>IF(NOT(ISNUMBER($A891)),NA(),IF(OR($A891&lt;MIN(DKW_10Y!$A$2:$A$2918),$A891&gt;MAX(DKW_10Y!$A$2:$A$2918),Settings!$B$16&lt;MIN(DKW_10Y!$A$2:$A$2918)),NA(),(INDEX(DKW_10Y!$H$2:$H$2918,MATCH($A891,DKW_10Y!$A$2:$A$2918,1))-INDEX(DKW_10Y!$H$2:$H$2918,MATCH(Settings!$B$16,DKW_10Y!$A$2:$A$2918,1)))*100))</f>
        <v/>
      </c>
      <c r="AC891" s="18">
        <f>IF(NOT(ISNUMBER($A891)),NA(),IFERROR(1*INDEX(BBG_Data!$N$2:$N$4000,MATCH($A891,BBG_Data!$M$2:$M$4000,0)),NA()))</f>
        <v/>
      </c>
      <c r="AD891" s="18">
        <f>IF(NOT(ISNUMBER($A891)),NA(),IFERROR(1*INDEX(BBG_Data!$P$2:$P$4000,MATCH($A891,BBG_Data!$O$2:$O$4000,0)),NA()))</f>
        <v/>
      </c>
      <c r="AE891" s="18">
        <f>IF(NOT(ISNUMBER($A891)),NA(),IFERROR(1*INDEX(BBG_Data!$R$2:$R$4000,MATCH($A891,BBG_Data!$Q$2:$Q$4000,0)),NA()))</f>
        <v/>
      </c>
      <c r="AF891" s="20">
        <f>IF(AND(ISNUMBER(B891),ISNUMBER(AC891)),(B891-AC891)*100,NA())</f>
        <v/>
      </c>
      <c r="AG891" s="20">
        <f>IF(AND(ISNUMBER(AE891),ISNUMBER(AD891)),(AE891-AD891)*100,NA())</f>
        <v/>
      </c>
      <c r="AH891" s="19">
        <f>IF(NOT(ISNUMBER($A891)),NA(),IFERROR(INDEX(BBG_Data!$T$2:$T$4000,MATCH($A891,BBG_Data!$S$2:$S$4000,0))*Settings!$B$25,NA()))</f>
        <v/>
      </c>
      <c r="AI891" s="19">
        <f>IF(NOT(ISNUMBER($A891)),NA(),IFERROR(INDEX(BBG_Data!$V$2:$V$4000,MATCH($A891,BBG_Data!$U$2:$U$4000,0))*Settings!$B$25,NA()))</f>
        <v/>
      </c>
      <c r="AJ891" s="19">
        <f>IF(NOT(ISNUMBER($A891)),NA(),IFERROR(1*INDEX(BBG_Data!$X$2:$X$4000,MATCH($A891,BBG_Data!$W$2:$W$4000,0)),NA()))</f>
        <v/>
      </c>
      <c r="AK891" s="19">
        <f>IF(NOT(ISNUMBER($A891)),NA(),IFERROR(1*INDEX(BBG_Data!$Z$2:$Z$4000,MATCH($A891,BBG_Data!$Y$2:$Y$4000,0)),NA()))</f>
        <v/>
      </c>
    </row>
    <row r="892">
      <c r="A892" s="17">
        <f>IF(ISNUMBER(BBG_Data!A892),BBG_Data!A892,"")</f>
        <v/>
      </c>
      <c r="B892" s="18">
        <f>IF(AND(ISNUMBER($A892),ISNUMBER(BBG_Data!B892)),BBG_Data!B892,NA())</f>
        <v/>
      </c>
      <c r="C892" s="18">
        <f>IF(NOT(ISNUMBER($A892)),NA(),IFERROR(1*INDEX(BBG_Data!$D$2:$D$4000,MATCH($A892,BBG_Data!$C$2:$C$4000,0)),NA()))</f>
        <v/>
      </c>
      <c r="D892" s="19">
        <f>IF(NOT(ISNUMBER($A892)),NA(),IFERROR(1*INDEX(BBG_Data!$F$2:$F$4000,MATCH($A892,BBG_Data!$E$2:$E$4000,0)),NA()))</f>
        <v/>
      </c>
      <c r="E892" s="19">
        <f>IF(NOT(ISNUMBER($A892)),NA(),IFERROR(1*INDEX(BBG_Data!$H$2:$H$4000,MATCH($A892,BBG_Data!$G$2:$G$4000,0)),NA()))</f>
        <v/>
      </c>
      <c r="F892" s="20">
        <f>IF(AND(ISNUMBER(B892),ISNUMBER(B891)),IF(B892=B891,"",(B892-B891)*100),"")</f>
        <v/>
      </c>
      <c r="G892" s="20">
        <f>IF(AND(ISNUMBER(C892),ISNUMBER(C891)),IF(C892=C891,"",(C892-C891)*100),"")</f>
        <v/>
      </c>
      <c r="H892" s="20">
        <f>IF(OR(NOT(ISNUMBER($A892)),ROW()-2&lt;Settings!$B$11),NA(),IF(COUNT(OFFSET(F892,1-Settings!$B$11,0,Settings!$B$11,1))&lt;ROUNDUP(Settings!$B$11*Settings!$B$26,0),NA(),STDEV(OFFSET(F892,1-Settings!$B$11,0,Settings!$B$11,1))*SQRT(Settings!$B$13)))</f>
        <v/>
      </c>
      <c r="I892" s="20">
        <f>IF(OR(NOT(ISNUMBER($A892)),ROW()-2&lt;Settings!$B$12),NA(),IF(COUNT(OFFSET(F892,1-Settings!$B$12,0,Settings!$B$12,1))&lt;ROUNDUP(Settings!$B$12*Settings!$B$26,0),NA(),STDEV(OFFSET(F892,1-Settings!$B$12,0,Settings!$B$12,1))*SQRT(Settings!$B$13)))</f>
        <v/>
      </c>
      <c r="J892" s="20">
        <f>IF(OR(NOT(ISNUMBER($A892)),ROW()-2&lt;Settings!$B$11),NA(),IF(COUNT(OFFSET(G892,1-Settings!$B$11,0,Settings!$B$11,1))&lt;ROUNDUP(Settings!$B$11*Settings!$B$26,0),NA(),STDEV(OFFSET(G892,1-Settings!$B$11,0,Settings!$B$11,1))*SQRT(Settings!$B$13)))</f>
        <v/>
      </c>
      <c r="K892" s="20">
        <f>IF(OR(NOT(ISNUMBER($A892)),ROW()-2&lt;Settings!$B$12),NA(),IF(COUNT(OFFSET(G892,1-Settings!$B$12,0,Settings!$B$12,1))&lt;ROUNDUP(Settings!$B$12*Settings!$B$26,0),NA(),STDEV(OFFSET(G892,1-Settings!$B$12,0,Settings!$B$12,1))*SQRT(Settings!$B$13)))</f>
        <v/>
      </c>
      <c r="L892" s="20">
        <f>IF(AND(ISNUMBER(D892),ISNUMBER(H892)),D892-H892,NA())</f>
        <v/>
      </c>
      <c r="M892" s="20">
        <f>IF(AND(ISNUMBER(E892),ISNUMBER(K892)),E892-K892,NA())</f>
        <v/>
      </c>
      <c r="N892" s="20">
        <f>IF(NOT(ISNUMBER($A892)),NA(),IF(COUNT(OFFSET(G892,1,0,Settings!$B$12,1))&lt;ROUNDUP(Settings!$B$12*Settings!$B$26,0),NA(),STDEV(OFFSET(G892,1,0,Settings!$B$12,1))*SQRT(Settings!$B$13)))</f>
        <v/>
      </c>
      <c r="O892" s="20">
        <f>IF(AND(ISNUMBER(E892),ISNUMBER(N892)),E892-N892,NA())</f>
        <v/>
      </c>
      <c r="P892" s="19">
        <f>IF(NOT(ISNUMBER($A892)),NA(),IF(OR($A892&lt;MIN(KW_TP!$A$2:$A$2501),$A892&gt;MAX(KW_TP!$A$2:$A$2501)),NA(),INDEX(KW_TP!$C$2:$C$2501,MATCH($A892,KW_TP!$A$2:$A$2501,1))))</f>
        <v/>
      </c>
      <c r="Q892" s="18">
        <f>IF(NOT(ISNUMBER($A892)),NA(),IFERROR(1*INDEX(BBG_Data!$J$2:$J$4000,MATCH($A892,BBG_Data!$I$2:$I$4000,0)),NA()))</f>
        <v/>
      </c>
      <c r="R892" s="18">
        <f>IF(NOT(ISNUMBER($A892)),NA(),IFERROR(1*INDEX(BBG_Data!$L$2:$L$4000,MATCH($A892,BBG_Data!$K$2:$K$4000,0)),NA()))</f>
        <v/>
      </c>
      <c r="S892" s="20">
        <f>IF(AND(ISNUMBER(B892),ISNUMBER(Q892),ISNUMBER(R892)),(B892-Q892-R892)*100,NA())</f>
        <v/>
      </c>
      <c r="T892" s="20">
        <f>IF(AND(ISNUMBER(B892),Settings!$B$17&gt;0),IF(ISNUMBER(INDEX($B:$B,Settings!$B$17)),(B892-INDEX($B:$B,Settings!$B$17))*100,NA()),NA())</f>
        <v/>
      </c>
      <c r="U892" s="20">
        <f>IF(AND(ISNUMBER(Q892),Settings!$B$17&gt;0),IF(ISNUMBER(INDEX($Q:$Q,Settings!$B$17)),(Q892-INDEX($Q:$Q,Settings!$B$17))*100,NA()),NA())</f>
        <v/>
      </c>
      <c r="V892" s="20">
        <f>IF(AND(ISNUMBER(R892),Settings!$B$17&gt;0),IF(ISNUMBER(INDEX($R:$R,Settings!$B$17)),(R892-INDEX($R:$R,Settings!$B$17))*100,NA()),NA())</f>
        <v/>
      </c>
      <c r="W892" s="20">
        <f>IF(AND(ISNUMBER(P892),Settings!$B$17&gt;0),IF(ISNUMBER(INDEX($P:$P,Settings!$B$17)),P892-INDEX($P:$P,Settings!$B$17),NA()),NA())</f>
        <v/>
      </c>
      <c r="X892" s="19">
        <f>IF(NOT(ISNUMBER($A892)),NA(),IF(OR($A892&lt;MIN(DKW_10Y!$A$2:$A$2918),$A892&gt;MAX(DKW_10Y!$A$2:$A$2918),Settings!$B$16&lt;MIN(DKW_10Y!$A$2:$A$2918)),NA(),(INDEX(DKW_10Y!$B$2:$B$2918,MATCH($A892,DKW_10Y!$A$2:$A$2918,1))-INDEX(DKW_10Y!$B$2:$B$2918,MATCH(Settings!$B$16,DKW_10Y!$A$2:$A$2918,1)))*100))</f>
        <v/>
      </c>
      <c r="Y892" s="19">
        <f>IF(NOT(ISNUMBER($A892)),NA(),IF(OR($A892&lt;MIN(DKW_10Y!$A$2:$A$2918),$A892&gt;MAX(DKW_10Y!$A$2:$A$2918),Settings!$B$16&lt;MIN(DKW_10Y!$A$2:$A$2918)),NA(),(INDEX(DKW_10Y!$C$2:$C$2918,MATCH($A892,DKW_10Y!$A$2:$A$2918,1))-INDEX(DKW_10Y!$C$2:$C$2918,MATCH(Settings!$B$16,DKW_10Y!$A$2:$A$2918,1)))*100))</f>
        <v/>
      </c>
      <c r="Z892" s="19">
        <f>IF(NOT(ISNUMBER($A892)),NA(),IF(OR($A892&lt;MIN(DKW_10Y!$A$2:$A$2918),$A892&gt;MAX(DKW_10Y!$A$2:$A$2918),Settings!$B$16&lt;MIN(DKW_10Y!$A$2:$A$2918)),NA(),(INDEX(DKW_10Y!$D$2:$D$2918,MATCH($A892,DKW_10Y!$A$2:$A$2918,1))-INDEX(DKW_10Y!$D$2:$D$2918,MATCH(Settings!$B$16,DKW_10Y!$A$2:$A$2918,1)))*100))</f>
        <v/>
      </c>
      <c r="AA892" s="19">
        <f>IF(NOT(ISNUMBER($A892)),NA(),IF(OR($A892&lt;MIN(DKW_10Y!$A$2:$A$2918),$A892&gt;MAX(DKW_10Y!$A$2:$A$2918),Settings!$B$16&lt;MIN(DKW_10Y!$A$2:$A$2918)),NA(),(INDEX(DKW_10Y!$E$2:$E$2918,MATCH($A892,DKW_10Y!$A$2:$A$2918,1))-INDEX(DKW_10Y!$E$2:$E$2918,MATCH(Settings!$B$16,DKW_10Y!$A$2:$A$2918,1)))*100))</f>
        <v/>
      </c>
      <c r="AB892" s="19">
        <f>IF(NOT(ISNUMBER($A892)),NA(),IF(OR($A892&lt;MIN(DKW_10Y!$A$2:$A$2918),$A892&gt;MAX(DKW_10Y!$A$2:$A$2918),Settings!$B$16&lt;MIN(DKW_10Y!$A$2:$A$2918)),NA(),(INDEX(DKW_10Y!$H$2:$H$2918,MATCH($A892,DKW_10Y!$A$2:$A$2918,1))-INDEX(DKW_10Y!$H$2:$H$2918,MATCH(Settings!$B$16,DKW_10Y!$A$2:$A$2918,1)))*100))</f>
        <v/>
      </c>
      <c r="AC892" s="18">
        <f>IF(NOT(ISNUMBER($A892)),NA(),IFERROR(1*INDEX(BBG_Data!$N$2:$N$4000,MATCH($A892,BBG_Data!$M$2:$M$4000,0)),NA()))</f>
        <v/>
      </c>
      <c r="AD892" s="18">
        <f>IF(NOT(ISNUMBER($A892)),NA(),IFERROR(1*INDEX(BBG_Data!$P$2:$P$4000,MATCH($A892,BBG_Data!$O$2:$O$4000,0)),NA()))</f>
        <v/>
      </c>
      <c r="AE892" s="18">
        <f>IF(NOT(ISNUMBER($A892)),NA(),IFERROR(1*INDEX(BBG_Data!$R$2:$R$4000,MATCH($A892,BBG_Data!$Q$2:$Q$4000,0)),NA()))</f>
        <v/>
      </c>
      <c r="AF892" s="20">
        <f>IF(AND(ISNUMBER(B892),ISNUMBER(AC892)),(B892-AC892)*100,NA())</f>
        <v/>
      </c>
      <c r="AG892" s="20">
        <f>IF(AND(ISNUMBER(AE892),ISNUMBER(AD892)),(AE892-AD892)*100,NA())</f>
        <v/>
      </c>
      <c r="AH892" s="19">
        <f>IF(NOT(ISNUMBER($A892)),NA(),IFERROR(INDEX(BBG_Data!$T$2:$T$4000,MATCH($A892,BBG_Data!$S$2:$S$4000,0))*Settings!$B$25,NA()))</f>
        <v/>
      </c>
      <c r="AI892" s="19">
        <f>IF(NOT(ISNUMBER($A892)),NA(),IFERROR(INDEX(BBG_Data!$V$2:$V$4000,MATCH($A892,BBG_Data!$U$2:$U$4000,0))*Settings!$B$25,NA()))</f>
        <v/>
      </c>
      <c r="AJ892" s="19">
        <f>IF(NOT(ISNUMBER($A892)),NA(),IFERROR(1*INDEX(BBG_Data!$X$2:$X$4000,MATCH($A892,BBG_Data!$W$2:$W$4000,0)),NA()))</f>
        <v/>
      </c>
      <c r="AK892" s="19">
        <f>IF(NOT(ISNUMBER($A892)),NA(),IFERROR(1*INDEX(BBG_Data!$Z$2:$Z$4000,MATCH($A892,BBG_Data!$Y$2:$Y$4000,0)),NA()))</f>
        <v/>
      </c>
    </row>
    <row r="893">
      <c r="A893" s="17">
        <f>IF(ISNUMBER(BBG_Data!A893),BBG_Data!A893,"")</f>
        <v/>
      </c>
      <c r="B893" s="18">
        <f>IF(AND(ISNUMBER($A893),ISNUMBER(BBG_Data!B893)),BBG_Data!B893,NA())</f>
        <v/>
      </c>
      <c r="C893" s="18">
        <f>IF(NOT(ISNUMBER($A893)),NA(),IFERROR(1*INDEX(BBG_Data!$D$2:$D$4000,MATCH($A893,BBG_Data!$C$2:$C$4000,0)),NA()))</f>
        <v/>
      </c>
      <c r="D893" s="19">
        <f>IF(NOT(ISNUMBER($A893)),NA(),IFERROR(1*INDEX(BBG_Data!$F$2:$F$4000,MATCH($A893,BBG_Data!$E$2:$E$4000,0)),NA()))</f>
        <v/>
      </c>
      <c r="E893" s="19">
        <f>IF(NOT(ISNUMBER($A893)),NA(),IFERROR(1*INDEX(BBG_Data!$H$2:$H$4000,MATCH($A893,BBG_Data!$G$2:$G$4000,0)),NA()))</f>
        <v/>
      </c>
      <c r="F893" s="20">
        <f>IF(AND(ISNUMBER(B893),ISNUMBER(B892)),IF(B893=B892,"",(B893-B892)*100),"")</f>
        <v/>
      </c>
      <c r="G893" s="20">
        <f>IF(AND(ISNUMBER(C893),ISNUMBER(C892)),IF(C893=C892,"",(C893-C892)*100),"")</f>
        <v/>
      </c>
      <c r="H893" s="20">
        <f>IF(OR(NOT(ISNUMBER($A893)),ROW()-2&lt;Settings!$B$11),NA(),IF(COUNT(OFFSET(F893,1-Settings!$B$11,0,Settings!$B$11,1))&lt;ROUNDUP(Settings!$B$11*Settings!$B$26,0),NA(),STDEV(OFFSET(F893,1-Settings!$B$11,0,Settings!$B$11,1))*SQRT(Settings!$B$13)))</f>
        <v/>
      </c>
      <c r="I893" s="20">
        <f>IF(OR(NOT(ISNUMBER($A893)),ROW()-2&lt;Settings!$B$12),NA(),IF(COUNT(OFFSET(F893,1-Settings!$B$12,0,Settings!$B$12,1))&lt;ROUNDUP(Settings!$B$12*Settings!$B$26,0),NA(),STDEV(OFFSET(F893,1-Settings!$B$12,0,Settings!$B$12,1))*SQRT(Settings!$B$13)))</f>
        <v/>
      </c>
      <c r="J893" s="20">
        <f>IF(OR(NOT(ISNUMBER($A893)),ROW()-2&lt;Settings!$B$11),NA(),IF(COUNT(OFFSET(G893,1-Settings!$B$11,0,Settings!$B$11,1))&lt;ROUNDUP(Settings!$B$11*Settings!$B$26,0),NA(),STDEV(OFFSET(G893,1-Settings!$B$11,0,Settings!$B$11,1))*SQRT(Settings!$B$13)))</f>
        <v/>
      </c>
      <c r="K893" s="20">
        <f>IF(OR(NOT(ISNUMBER($A893)),ROW()-2&lt;Settings!$B$12),NA(),IF(COUNT(OFFSET(G893,1-Settings!$B$12,0,Settings!$B$12,1))&lt;ROUNDUP(Settings!$B$12*Settings!$B$26,0),NA(),STDEV(OFFSET(G893,1-Settings!$B$12,0,Settings!$B$12,1))*SQRT(Settings!$B$13)))</f>
        <v/>
      </c>
      <c r="L893" s="20">
        <f>IF(AND(ISNUMBER(D893),ISNUMBER(H893)),D893-H893,NA())</f>
        <v/>
      </c>
      <c r="M893" s="20">
        <f>IF(AND(ISNUMBER(E893),ISNUMBER(K893)),E893-K893,NA())</f>
        <v/>
      </c>
      <c r="N893" s="20">
        <f>IF(NOT(ISNUMBER($A893)),NA(),IF(COUNT(OFFSET(G893,1,0,Settings!$B$12,1))&lt;ROUNDUP(Settings!$B$12*Settings!$B$26,0),NA(),STDEV(OFFSET(G893,1,0,Settings!$B$12,1))*SQRT(Settings!$B$13)))</f>
        <v/>
      </c>
      <c r="O893" s="20">
        <f>IF(AND(ISNUMBER(E893),ISNUMBER(N893)),E893-N893,NA())</f>
        <v/>
      </c>
      <c r="P893" s="19">
        <f>IF(NOT(ISNUMBER($A893)),NA(),IF(OR($A893&lt;MIN(KW_TP!$A$2:$A$2501),$A893&gt;MAX(KW_TP!$A$2:$A$2501)),NA(),INDEX(KW_TP!$C$2:$C$2501,MATCH($A893,KW_TP!$A$2:$A$2501,1))))</f>
        <v/>
      </c>
      <c r="Q893" s="18">
        <f>IF(NOT(ISNUMBER($A893)),NA(),IFERROR(1*INDEX(BBG_Data!$J$2:$J$4000,MATCH($A893,BBG_Data!$I$2:$I$4000,0)),NA()))</f>
        <v/>
      </c>
      <c r="R893" s="18">
        <f>IF(NOT(ISNUMBER($A893)),NA(),IFERROR(1*INDEX(BBG_Data!$L$2:$L$4000,MATCH($A893,BBG_Data!$K$2:$K$4000,0)),NA()))</f>
        <v/>
      </c>
      <c r="S893" s="20">
        <f>IF(AND(ISNUMBER(B893),ISNUMBER(Q893),ISNUMBER(R893)),(B893-Q893-R893)*100,NA())</f>
        <v/>
      </c>
      <c r="T893" s="20">
        <f>IF(AND(ISNUMBER(B893),Settings!$B$17&gt;0),IF(ISNUMBER(INDEX($B:$B,Settings!$B$17)),(B893-INDEX($B:$B,Settings!$B$17))*100,NA()),NA())</f>
        <v/>
      </c>
      <c r="U893" s="20">
        <f>IF(AND(ISNUMBER(Q893),Settings!$B$17&gt;0),IF(ISNUMBER(INDEX($Q:$Q,Settings!$B$17)),(Q893-INDEX($Q:$Q,Settings!$B$17))*100,NA()),NA())</f>
        <v/>
      </c>
      <c r="V893" s="20">
        <f>IF(AND(ISNUMBER(R893),Settings!$B$17&gt;0),IF(ISNUMBER(INDEX($R:$R,Settings!$B$17)),(R893-INDEX($R:$R,Settings!$B$17))*100,NA()),NA())</f>
        <v/>
      </c>
      <c r="W893" s="20">
        <f>IF(AND(ISNUMBER(P893),Settings!$B$17&gt;0),IF(ISNUMBER(INDEX($P:$P,Settings!$B$17)),P893-INDEX($P:$P,Settings!$B$17),NA()),NA())</f>
        <v/>
      </c>
      <c r="X893" s="19">
        <f>IF(NOT(ISNUMBER($A893)),NA(),IF(OR($A893&lt;MIN(DKW_10Y!$A$2:$A$2918),$A893&gt;MAX(DKW_10Y!$A$2:$A$2918),Settings!$B$16&lt;MIN(DKW_10Y!$A$2:$A$2918)),NA(),(INDEX(DKW_10Y!$B$2:$B$2918,MATCH($A893,DKW_10Y!$A$2:$A$2918,1))-INDEX(DKW_10Y!$B$2:$B$2918,MATCH(Settings!$B$16,DKW_10Y!$A$2:$A$2918,1)))*100))</f>
        <v/>
      </c>
      <c r="Y893" s="19">
        <f>IF(NOT(ISNUMBER($A893)),NA(),IF(OR($A893&lt;MIN(DKW_10Y!$A$2:$A$2918),$A893&gt;MAX(DKW_10Y!$A$2:$A$2918),Settings!$B$16&lt;MIN(DKW_10Y!$A$2:$A$2918)),NA(),(INDEX(DKW_10Y!$C$2:$C$2918,MATCH($A893,DKW_10Y!$A$2:$A$2918,1))-INDEX(DKW_10Y!$C$2:$C$2918,MATCH(Settings!$B$16,DKW_10Y!$A$2:$A$2918,1)))*100))</f>
        <v/>
      </c>
      <c r="Z893" s="19">
        <f>IF(NOT(ISNUMBER($A893)),NA(),IF(OR($A893&lt;MIN(DKW_10Y!$A$2:$A$2918),$A893&gt;MAX(DKW_10Y!$A$2:$A$2918),Settings!$B$16&lt;MIN(DKW_10Y!$A$2:$A$2918)),NA(),(INDEX(DKW_10Y!$D$2:$D$2918,MATCH($A893,DKW_10Y!$A$2:$A$2918,1))-INDEX(DKW_10Y!$D$2:$D$2918,MATCH(Settings!$B$16,DKW_10Y!$A$2:$A$2918,1)))*100))</f>
        <v/>
      </c>
      <c r="AA893" s="19">
        <f>IF(NOT(ISNUMBER($A893)),NA(),IF(OR($A893&lt;MIN(DKW_10Y!$A$2:$A$2918),$A893&gt;MAX(DKW_10Y!$A$2:$A$2918),Settings!$B$16&lt;MIN(DKW_10Y!$A$2:$A$2918)),NA(),(INDEX(DKW_10Y!$E$2:$E$2918,MATCH($A893,DKW_10Y!$A$2:$A$2918,1))-INDEX(DKW_10Y!$E$2:$E$2918,MATCH(Settings!$B$16,DKW_10Y!$A$2:$A$2918,1)))*100))</f>
        <v/>
      </c>
      <c r="AB893" s="19">
        <f>IF(NOT(ISNUMBER($A893)),NA(),IF(OR($A893&lt;MIN(DKW_10Y!$A$2:$A$2918),$A893&gt;MAX(DKW_10Y!$A$2:$A$2918),Settings!$B$16&lt;MIN(DKW_10Y!$A$2:$A$2918)),NA(),(INDEX(DKW_10Y!$H$2:$H$2918,MATCH($A893,DKW_10Y!$A$2:$A$2918,1))-INDEX(DKW_10Y!$H$2:$H$2918,MATCH(Settings!$B$16,DKW_10Y!$A$2:$A$2918,1)))*100))</f>
        <v/>
      </c>
      <c r="AC893" s="18">
        <f>IF(NOT(ISNUMBER($A893)),NA(),IFERROR(1*INDEX(BBG_Data!$N$2:$N$4000,MATCH($A893,BBG_Data!$M$2:$M$4000,0)),NA()))</f>
        <v/>
      </c>
      <c r="AD893" s="18">
        <f>IF(NOT(ISNUMBER($A893)),NA(),IFERROR(1*INDEX(BBG_Data!$P$2:$P$4000,MATCH($A893,BBG_Data!$O$2:$O$4000,0)),NA()))</f>
        <v/>
      </c>
      <c r="AE893" s="18">
        <f>IF(NOT(ISNUMBER($A893)),NA(),IFERROR(1*INDEX(BBG_Data!$R$2:$R$4000,MATCH($A893,BBG_Data!$Q$2:$Q$4000,0)),NA()))</f>
        <v/>
      </c>
      <c r="AF893" s="20">
        <f>IF(AND(ISNUMBER(B893),ISNUMBER(AC893)),(B893-AC893)*100,NA())</f>
        <v/>
      </c>
      <c r="AG893" s="20">
        <f>IF(AND(ISNUMBER(AE893),ISNUMBER(AD893)),(AE893-AD893)*100,NA())</f>
        <v/>
      </c>
      <c r="AH893" s="19">
        <f>IF(NOT(ISNUMBER($A893)),NA(),IFERROR(INDEX(BBG_Data!$T$2:$T$4000,MATCH($A893,BBG_Data!$S$2:$S$4000,0))*Settings!$B$25,NA()))</f>
        <v/>
      </c>
      <c r="AI893" s="19">
        <f>IF(NOT(ISNUMBER($A893)),NA(),IFERROR(INDEX(BBG_Data!$V$2:$V$4000,MATCH($A893,BBG_Data!$U$2:$U$4000,0))*Settings!$B$25,NA()))</f>
        <v/>
      </c>
      <c r="AJ893" s="19">
        <f>IF(NOT(ISNUMBER($A893)),NA(),IFERROR(1*INDEX(BBG_Data!$X$2:$X$4000,MATCH($A893,BBG_Data!$W$2:$W$4000,0)),NA()))</f>
        <v/>
      </c>
      <c r="AK893" s="19">
        <f>IF(NOT(ISNUMBER($A893)),NA(),IFERROR(1*INDEX(BBG_Data!$Z$2:$Z$4000,MATCH($A893,BBG_Data!$Y$2:$Y$4000,0)),NA()))</f>
        <v/>
      </c>
    </row>
    <row r="894">
      <c r="A894" s="17">
        <f>IF(ISNUMBER(BBG_Data!A894),BBG_Data!A894,"")</f>
        <v/>
      </c>
      <c r="B894" s="18">
        <f>IF(AND(ISNUMBER($A894),ISNUMBER(BBG_Data!B894)),BBG_Data!B894,NA())</f>
        <v/>
      </c>
      <c r="C894" s="18">
        <f>IF(NOT(ISNUMBER($A894)),NA(),IFERROR(1*INDEX(BBG_Data!$D$2:$D$4000,MATCH($A894,BBG_Data!$C$2:$C$4000,0)),NA()))</f>
        <v/>
      </c>
      <c r="D894" s="19">
        <f>IF(NOT(ISNUMBER($A894)),NA(),IFERROR(1*INDEX(BBG_Data!$F$2:$F$4000,MATCH($A894,BBG_Data!$E$2:$E$4000,0)),NA()))</f>
        <v/>
      </c>
      <c r="E894" s="19">
        <f>IF(NOT(ISNUMBER($A894)),NA(),IFERROR(1*INDEX(BBG_Data!$H$2:$H$4000,MATCH($A894,BBG_Data!$G$2:$G$4000,0)),NA()))</f>
        <v/>
      </c>
      <c r="F894" s="20">
        <f>IF(AND(ISNUMBER(B894),ISNUMBER(B893)),IF(B894=B893,"",(B894-B893)*100),"")</f>
        <v/>
      </c>
      <c r="G894" s="20">
        <f>IF(AND(ISNUMBER(C894),ISNUMBER(C893)),IF(C894=C893,"",(C894-C893)*100),"")</f>
        <v/>
      </c>
      <c r="H894" s="20">
        <f>IF(OR(NOT(ISNUMBER($A894)),ROW()-2&lt;Settings!$B$11),NA(),IF(COUNT(OFFSET(F894,1-Settings!$B$11,0,Settings!$B$11,1))&lt;ROUNDUP(Settings!$B$11*Settings!$B$26,0),NA(),STDEV(OFFSET(F894,1-Settings!$B$11,0,Settings!$B$11,1))*SQRT(Settings!$B$13)))</f>
        <v/>
      </c>
      <c r="I894" s="20">
        <f>IF(OR(NOT(ISNUMBER($A894)),ROW()-2&lt;Settings!$B$12),NA(),IF(COUNT(OFFSET(F894,1-Settings!$B$12,0,Settings!$B$12,1))&lt;ROUNDUP(Settings!$B$12*Settings!$B$26,0),NA(),STDEV(OFFSET(F894,1-Settings!$B$12,0,Settings!$B$12,1))*SQRT(Settings!$B$13)))</f>
        <v/>
      </c>
      <c r="J894" s="20">
        <f>IF(OR(NOT(ISNUMBER($A894)),ROW()-2&lt;Settings!$B$11),NA(),IF(COUNT(OFFSET(G894,1-Settings!$B$11,0,Settings!$B$11,1))&lt;ROUNDUP(Settings!$B$11*Settings!$B$26,0),NA(),STDEV(OFFSET(G894,1-Settings!$B$11,0,Settings!$B$11,1))*SQRT(Settings!$B$13)))</f>
        <v/>
      </c>
      <c r="K894" s="20">
        <f>IF(OR(NOT(ISNUMBER($A894)),ROW()-2&lt;Settings!$B$12),NA(),IF(COUNT(OFFSET(G894,1-Settings!$B$12,0,Settings!$B$12,1))&lt;ROUNDUP(Settings!$B$12*Settings!$B$26,0),NA(),STDEV(OFFSET(G894,1-Settings!$B$12,0,Settings!$B$12,1))*SQRT(Settings!$B$13)))</f>
        <v/>
      </c>
      <c r="L894" s="20">
        <f>IF(AND(ISNUMBER(D894),ISNUMBER(H894)),D894-H894,NA())</f>
        <v/>
      </c>
      <c r="M894" s="20">
        <f>IF(AND(ISNUMBER(E894),ISNUMBER(K894)),E894-K894,NA())</f>
        <v/>
      </c>
      <c r="N894" s="20">
        <f>IF(NOT(ISNUMBER($A894)),NA(),IF(COUNT(OFFSET(G894,1,0,Settings!$B$12,1))&lt;ROUNDUP(Settings!$B$12*Settings!$B$26,0),NA(),STDEV(OFFSET(G894,1,0,Settings!$B$12,1))*SQRT(Settings!$B$13)))</f>
        <v/>
      </c>
      <c r="O894" s="20">
        <f>IF(AND(ISNUMBER(E894),ISNUMBER(N894)),E894-N894,NA())</f>
        <v/>
      </c>
      <c r="P894" s="19">
        <f>IF(NOT(ISNUMBER($A894)),NA(),IF(OR($A894&lt;MIN(KW_TP!$A$2:$A$2501),$A894&gt;MAX(KW_TP!$A$2:$A$2501)),NA(),INDEX(KW_TP!$C$2:$C$2501,MATCH($A894,KW_TP!$A$2:$A$2501,1))))</f>
        <v/>
      </c>
      <c r="Q894" s="18">
        <f>IF(NOT(ISNUMBER($A894)),NA(),IFERROR(1*INDEX(BBG_Data!$J$2:$J$4000,MATCH($A894,BBG_Data!$I$2:$I$4000,0)),NA()))</f>
        <v/>
      </c>
      <c r="R894" s="18">
        <f>IF(NOT(ISNUMBER($A894)),NA(),IFERROR(1*INDEX(BBG_Data!$L$2:$L$4000,MATCH($A894,BBG_Data!$K$2:$K$4000,0)),NA()))</f>
        <v/>
      </c>
      <c r="S894" s="20">
        <f>IF(AND(ISNUMBER(B894),ISNUMBER(Q894),ISNUMBER(R894)),(B894-Q894-R894)*100,NA())</f>
        <v/>
      </c>
      <c r="T894" s="20">
        <f>IF(AND(ISNUMBER(B894),Settings!$B$17&gt;0),IF(ISNUMBER(INDEX($B:$B,Settings!$B$17)),(B894-INDEX($B:$B,Settings!$B$17))*100,NA()),NA())</f>
        <v/>
      </c>
      <c r="U894" s="20">
        <f>IF(AND(ISNUMBER(Q894),Settings!$B$17&gt;0),IF(ISNUMBER(INDEX($Q:$Q,Settings!$B$17)),(Q894-INDEX($Q:$Q,Settings!$B$17))*100,NA()),NA())</f>
        <v/>
      </c>
      <c r="V894" s="20">
        <f>IF(AND(ISNUMBER(R894),Settings!$B$17&gt;0),IF(ISNUMBER(INDEX($R:$R,Settings!$B$17)),(R894-INDEX($R:$R,Settings!$B$17))*100,NA()),NA())</f>
        <v/>
      </c>
      <c r="W894" s="20">
        <f>IF(AND(ISNUMBER(P894),Settings!$B$17&gt;0),IF(ISNUMBER(INDEX($P:$P,Settings!$B$17)),P894-INDEX($P:$P,Settings!$B$17),NA()),NA())</f>
        <v/>
      </c>
      <c r="X894" s="19">
        <f>IF(NOT(ISNUMBER($A894)),NA(),IF(OR($A894&lt;MIN(DKW_10Y!$A$2:$A$2918),$A894&gt;MAX(DKW_10Y!$A$2:$A$2918),Settings!$B$16&lt;MIN(DKW_10Y!$A$2:$A$2918)),NA(),(INDEX(DKW_10Y!$B$2:$B$2918,MATCH($A894,DKW_10Y!$A$2:$A$2918,1))-INDEX(DKW_10Y!$B$2:$B$2918,MATCH(Settings!$B$16,DKW_10Y!$A$2:$A$2918,1)))*100))</f>
        <v/>
      </c>
      <c r="Y894" s="19">
        <f>IF(NOT(ISNUMBER($A894)),NA(),IF(OR($A894&lt;MIN(DKW_10Y!$A$2:$A$2918),$A894&gt;MAX(DKW_10Y!$A$2:$A$2918),Settings!$B$16&lt;MIN(DKW_10Y!$A$2:$A$2918)),NA(),(INDEX(DKW_10Y!$C$2:$C$2918,MATCH($A894,DKW_10Y!$A$2:$A$2918,1))-INDEX(DKW_10Y!$C$2:$C$2918,MATCH(Settings!$B$16,DKW_10Y!$A$2:$A$2918,1)))*100))</f>
        <v/>
      </c>
      <c r="Z894" s="19">
        <f>IF(NOT(ISNUMBER($A894)),NA(),IF(OR($A894&lt;MIN(DKW_10Y!$A$2:$A$2918),$A894&gt;MAX(DKW_10Y!$A$2:$A$2918),Settings!$B$16&lt;MIN(DKW_10Y!$A$2:$A$2918)),NA(),(INDEX(DKW_10Y!$D$2:$D$2918,MATCH($A894,DKW_10Y!$A$2:$A$2918,1))-INDEX(DKW_10Y!$D$2:$D$2918,MATCH(Settings!$B$16,DKW_10Y!$A$2:$A$2918,1)))*100))</f>
        <v/>
      </c>
      <c r="AA894" s="19">
        <f>IF(NOT(ISNUMBER($A894)),NA(),IF(OR($A894&lt;MIN(DKW_10Y!$A$2:$A$2918),$A894&gt;MAX(DKW_10Y!$A$2:$A$2918),Settings!$B$16&lt;MIN(DKW_10Y!$A$2:$A$2918)),NA(),(INDEX(DKW_10Y!$E$2:$E$2918,MATCH($A894,DKW_10Y!$A$2:$A$2918,1))-INDEX(DKW_10Y!$E$2:$E$2918,MATCH(Settings!$B$16,DKW_10Y!$A$2:$A$2918,1)))*100))</f>
        <v/>
      </c>
      <c r="AB894" s="19">
        <f>IF(NOT(ISNUMBER($A894)),NA(),IF(OR($A894&lt;MIN(DKW_10Y!$A$2:$A$2918),$A894&gt;MAX(DKW_10Y!$A$2:$A$2918),Settings!$B$16&lt;MIN(DKW_10Y!$A$2:$A$2918)),NA(),(INDEX(DKW_10Y!$H$2:$H$2918,MATCH($A894,DKW_10Y!$A$2:$A$2918,1))-INDEX(DKW_10Y!$H$2:$H$2918,MATCH(Settings!$B$16,DKW_10Y!$A$2:$A$2918,1)))*100))</f>
        <v/>
      </c>
      <c r="AC894" s="18">
        <f>IF(NOT(ISNUMBER($A894)),NA(),IFERROR(1*INDEX(BBG_Data!$N$2:$N$4000,MATCH($A894,BBG_Data!$M$2:$M$4000,0)),NA()))</f>
        <v/>
      </c>
      <c r="AD894" s="18">
        <f>IF(NOT(ISNUMBER($A894)),NA(),IFERROR(1*INDEX(BBG_Data!$P$2:$P$4000,MATCH($A894,BBG_Data!$O$2:$O$4000,0)),NA()))</f>
        <v/>
      </c>
      <c r="AE894" s="18">
        <f>IF(NOT(ISNUMBER($A894)),NA(),IFERROR(1*INDEX(BBG_Data!$R$2:$R$4000,MATCH($A894,BBG_Data!$Q$2:$Q$4000,0)),NA()))</f>
        <v/>
      </c>
      <c r="AF894" s="20">
        <f>IF(AND(ISNUMBER(B894),ISNUMBER(AC894)),(B894-AC894)*100,NA())</f>
        <v/>
      </c>
      <c r="AG894" s="20">
        <f>IF(AND(ISNUMBER(AE894),ISNUMBER(AD894)),(AE894-AD894)*100,NA())</f>
        <v/>
      </c>
      <c r="AH894" s="19">
        <f>IF(NOT(ISNUMBER($A894)),NA(),IFERROR(INDEX(BBG_Data!$T$2:$T$4000,MATCH($A894,BBG_Data!$S$2:$S$4000,0))*Settings!$B$25,NA()))</f>
        <v/>
      </c>
      <c r="AI894" s="19">
        <f>IF(NOT(ISNUMBER($A894)),NA(),IFERROR(INDEX(BBG_Data!$V$2:$V$4000,MATCH($A894,BBG_Data!$U$2:$U$4000,0))*Settings!$B$25,NA()))</f>
        <v/>
      </c>
      <c r="AJ894" s="19">
        <f>IF(NOT(ISNUMBER($A894)),NA(),IFERROR(1*INDEX(BBG_Data!$X$2:$X$4000,MATCH($A894,BBG_Data!$W$2:$W$4000,0)),NA()))</f>
        <v/>
      </c>
      <c r="AK894" s="19">
        <f>IF(NOT(ISNUMBER($A894)),NA(),IFERROR(1*INDEX(BBG_Data!$Z$2:$Z$4000,MATCH($A894,BBG_Data!$Y$2:$Y$4000,0)),NA()))</f>
        <v/>
      </c>
    </row>
    <row r="895">
      <c r="A895" s="17">
        <f>IF(ISNUMBER(BBG_Data!A895),BBG_Data!A895,"")</f>
        <v/>
      </c>
      <c r="B895" s="18">
        <f>IF(AND(ISNUMBER($A895),ISNUMBER(BBG_Data!B895)),BBG_Data!B895,NA())</f>
        <v/>
      </c>
      <c r="C895" s="18">
        <f>IF(NOT(ISNUMBER($A895)),NA(),IFERROR(1*INDEX(BBG_Data!$D$2:$D$4000,MATCH($A895,BBG_Data!$C$2:$C$4000,0)),NA()))</f>
        <v/>
      </c>
      <c r="D895" s="19">
        <f>IF(NOT(ISNUMBER($A895)),NA(),IFERROR(1*INDEX(BBG_Data!$F$2:$F$4000,MATCH($A895,BBG_Data!$E$2:$E$4000,0)),NA()))</f>
        <v/>
      </c>
      <c r="E895" s="19">
        <f>IF(NOT(ISNUMBER($A895)),NA(),IFERROR(1*INDEX(BBG_Data!$H$2:$H$4000,MATCH($A895,BBG_Data!$G$2:$G$4000,0)),NA()))</f>
        <v/>
      </c>
      <c r="F895" s="20">
        <f>IF(AND(ISNUMBER(B895),ISNUMBER(B894)),IF(B895=B894,"",(B895-B894)*100),"")</f>
        <v/>
      </c>
      <c r="G895" s="20">
        <f>IF(AND(ISNUMBER(C895),ISNUMBER(C894)),IF(C895=C894,"",(C895-C894)*100),"")</f>
        <v/>
      </c>
      <c r="H895" s="20">
        <f>IF(OR(NOT(ISNUMBER($A895)),ROW()-2&lt;Settings!$B$11),NA(),IF(COUNT(OFFSET(F895,1-Settings!$B$11,0,Settings!$B$11,1))&lt;ROUNDUP(Settings!$B$11*Settings!$B$26,0),NA(),STDEV(OFFSET(F895,1-Settings!$B$11,0,Settings!$B$11,1))*SQRT(Settings!$B$13)))</f>
        <v/>
      </c>
      <c r="I895" s="20">
        <f>IF(OR(NOT(ISNUMBER($A895)),ROW()-2&lt;Settings!$B$12),NA(),IF(COUNT(OFFSET(F895,1-Settings!$B$12,0,Settings!$B$12,1))&lt;ROUNDUP(Settings!$B$12*Settings!$B$26,0),NA(),STDEV(OFFSET(F895,1-Settings!$B$12,0,Settings!$B$12,1))*SQRT(Settings!$B$13)))</f>
        <v/>
      </c>
      <c r="J895" s="20">
        <f>IF(OR(NOT(ISNUMBER($A895)),ROW()-2&lt;Settings!$B$11),NA(),IF(COUNT(OFFSET(G895,1-Settings!$B$11,0,Settings!$B$11,1))&lt;ROUNDUP(Settings!$B$11*Settings!$B$26,0),NA(),STDEV(OFFSET(G895,1-Settings!$B$11,0,Settings!$B$11,1))*SQRT(Settings!$B$13)))</f>
        <v/>
      </c>
      <c r="K895" s="20">
        <f>IF(OR(NOT(ISNUMBER($A895)),ROW()-2&lt;Settings!$B$12),NA(),IF(COUNT(OFFSET(G895,1-Settings!$B$12,0,Settings!$B$12,1))&lt;ROUNDUP(Settings!$B$12*Settings!$B$26,0),NA(),STDEV(OFFSET(G895,1-Settings!$B$12,0,Settings!$B$12,1))*SQRT(Settings!$B$13)))</f>
        <v/>
      </c>
      <c r="L895" s="20">
        <f>IF(AND(ISNUMBER(D895),ISNUMBER(H895)),D895-H895,NA())</f>
        <v/>
      </c>
      <c r="M895" s="20">
        <f>IF(AND(ISNUMBER(E895),ISNUMBER(K895)),E895-K895,NA())</f>
        <v/>
      </c>
      <c r="N895" s="20">
        <f>IF(NOT(ISNUMBER($A895)),NA(),IF(COUNT(OFFSET(G895,1,0,Settings!$B$12,1))&lt;ROUNDUP(Settings!$B$12*Settings!$B$26,0),NA(),STDEV(OFFSET(G895,1,0,Settings!$B$12,1))*SQRT(Settings!$B$13)))</f>
        <v/>
      </c>
      <c r="O895" s="20">
        <f>IF(AND(ISNUMBER(E895),ISNUMBER(N895)),E895-N895,NA())</f>
        <v/>
      </c>
      <c r="P895" s="19">
        <f>IF(NOT(ISNUMBER($A895)),NA(),IF(OR($A895&lt;MIN(KW_TP!$A$2:$A$2501),$A895&gt;MAX(KW_TP!$A$2:$A$2501)),NA(),INDEX(KW_TP!$C$2:$C$2501,MATCH($A895,KW_TP!$A$2:$A$2501,1))))</f>
        <v/>
      </c>
      <c r="Q895" s="18">
        <f>IF(NOT(ISNUMBER($A895)),NA(),IFERROR(1*INDEX(BBG_Data!$J$2:$J$4000,MATCH($A895,BBG_Data!$I$2:$I$4000,0)),NA()))</f>
        <v/>
      </c>
      <c r="R895" s="18">
        <f>IF(NOT(ISNUMBER($A895)),NA(),IFERROR(1*INDEX(BBG_Data!$L$2:$L$4000,MATCH($A895,BBG_Data!$K$2:$K$4000,0)),NA()))</f>
        <v/>
      </c>
      <c r="S895" s="20">
        <f>IF(AND(ISNUMBER(B895),ISNUMBER(Q895),ISNUMBER(R895)),(B895-Q895-R895)*100,NA())</f>
        <v/>
      </c>
      <c r="T895" s="20">
        <f>IF(AND(ISNUMBER(B895),Settings!$B$17&gt;0),IF(ISNUMBER(INDEX($B:$B,Settings!$B$17)),(B895-INDEX($B:$B,Settings!$B$17))*100,NA()),NA())</f>
        <v/>
      </c>
      <c r="U895" s="20">
        <f>IF(AND(ISNUMBER(Q895),Settings!$B$17&gt;0),IF(ISNUMBER(INDEX($Q:$Q,Settings!$B$17)),(Q895-INDEX($Q:$Q,Settings!$B$17))*100,NA()),NA())</f>
        <v/>
      </c>
      <c r="V895" s="20">
        <f>IF(AND(ISNUMBER(R895),Settings!$B$17&gt;0),IF(ISNUMBER(INDEX($R:$R,Settings!$B$17)),(R895-INDEX($R:$R,Settings!$B$17))*100,NA()),NA())</f>
        <v/>
      </c>
      <c r="W895" s="20">
        <f>IF(AND(ISNUMBER(P895),Settings!$B$17&gt;0),IF(ISNUMBER(INDEX($P:$P,Settings!$B$17)),P895-INDEX($P:$P,Settings!$B$17),NA()),NA())</f>
        <v/>
      </c>
      <c r="X895" s="19">
        <f>IF(NOT(ISNUMBER($A895)),NA(),IF(OR($A895&lt;MIN(DKW_10Y!$A$2:$A$2918),$A895&gt;MAX(DKW_10Y!$A$2:$A$2918),Settings!$B$16&lt;MIN(DKW_10Y!$A$2:$A$2918)),NA(),(INDEX(DKW_10Y!$B$2:$B$2918,MATCH($A895,DKW_10Y!$A$2:$A$2918,1))-INDEX(DKW_10Y!$B$2:$B$2918,MATCH(Settings!$B$16,DKW_10Y!$A$2:$A$2918,1)))*100))</f>
        <v/>
      </c>
      <c r="Y895" s="19">
        <f>IF(NOT(ISNUMBER($A895)),NA(),IF(OR($A895&lt;MIN(DKW_10Y!$A$2:$A$2918),$A895&gt;MAX(DKW_10Y!$A$2:$A$2918),Settings!$B$16&lt;MIN(DKW_10Y!$A$2:$A$2918)),NA(),(INDEX(DKW_10Y!$C$2:$C$2918,MATCH($A895,DKW_10Y!$A$2:$A$2918,1))-INDEX(DKW_10Y!$C$2:$C$2918,MATCH(Settings!$B$16,DKW_10Y!$A$2:$A$2918,1)))*100))</f>
        <v/>
      </c>
      <c r="Z895" s="19">
        <f>IF(NOT(ISNUMBER($A895)),NA(),IF(OR($A895&lt;MIN(DKW_10Y!$A$2:$A$2918),$A895&gt;MAX(DKW_10Y!$A$2:$A$2918),Settings!$B$16&lt;MIN(DKW_10Y!$A$2:$A$2918)),NA(),(INDEX(DKW_10Y!$D$2:$D$2918,MATCH($A895,DKW_10Y!$A$2:$A$2918,1))-INDEX(DKW_10Y!$D$2:$D$2918,MATCH(Settings!$B$16,DKW_10Y!$A$2:$A$2918,1)))*100))</f>
        <v/>
      </c>
      <c r="AA895" s="19">
        <f>IF(NOT(ISNUMBER($A895)),NA(),IF(OR($A895&lt;MIN(DKW_10Y!$A$2:$A$2918),$A895&gt;MAX(DKW_10Y!$A$2:$A$2918),Settings!$B$16&lt;MIN(DKW_10Y!$A$2:$A$2918)),NA(),(INDEX(DKW_10Y!$E$2:$E$2918,MATCH($A895,DKW_10Y!$A$2:$A$2918,1))-INDEX(DKW_10Y!$E$2:$E$2918,MATCH(Settings!$B$16,DKW_10Y!$A$2:$A$2918,1)))*100))</f>
        <v/>
      </c>
      <c r="AB895" s="19">
        <f>IF(NOT(ISNUMBER($A895)),NA(),IF(OR($A895&lt;MIN(DKW_10Y!$A$2:$A$2918),$A895&gt;MAX(DKW_10Y!$A$2:$A$2918),Settings!$B$16&lt;MIN(DKW_10Y!$A$2:$A$2918)),NA(),(INDEX(DKW_10Y!$H$2:$H$2918,MATCH($A895,DKW_10Y!$A$2:$A$2918,1))-INDEX(DKW_10Y!$H$2:$H$2918,MATCH(Settings!$B$16,DKW_10Y!$A$2:$A$2918,1)))*100))</f>
        <v/>
      </c>
      <c r="AC895" s="18">
        <f>IF(NOT(ISNUMBER($A895)),NA(),IFERROR(1*INDEX(BBG_Data!$N$2:$N$4000,MATCH($A895,BBG_Data!$M$2:$M$4000,0)),NA()))</f>
        <v/>
      </c>
      <c r="AD895" s="18">
        <f>IF(NOT(ISNUMBER($A895)),NA(),IFERROR(1*INDEX(BBG_Data!$P$2:$P$4000,MATCH($A895,BBG_Data!$O$2:$O$4000,0)),NA()))</f>
        <v/>
      </c>
      <c r="AE895" s="18">
        <f>IF(NOT(ISNUMBER($A895)),NA(),IFERROR(1*INDEX(BBG_Data!$R$2:$R$4000,MATCH($A895,BBG_Data!$Q$2:$Q$4000,0)),NA()))</f>
        <v/>
      </c>
      <c r="AF895" s="20">
        <f>IF(AND(ISNUMBER(B895),ISNUMBER(AC895)),(B895-AC895)*100,NA())</f>
        <v/>
      </c>
      <c r="AG895" s="20">
        <f>IF(AND(ISNUMBER(AE895),ISNUMBER(AD895)),(AE895-AD895)*100,NA())</f>
        <v/>
      </c>
      <c r="AH895" s="19">
        <f>IF(NOT(ISNUMBER($A895)),NA(),IFERROR(INDEX(BBG_Data!$T$2:$T$4000,MATCH($A895,BBG_Data!$S$2:$S$4000,0))*Settings!$B$25,NA()))</f>
        <v/>
      </c>
      <c r="AI895" s="19">
        <f>IF(NOT(ISNUMBER($A895)),NA(),IFERROR(INDEX(BBG_Data!$V$2:$V$4000,MATCH($A895,BBG_Data!$U$2:$U$4000,0))*Settings!$B$25,NA()))</f>
        <v/>
      </c>
      <c r="AJ895" s="19">
        <f>IF(NOT(ISNUMBER($A895)),NA(),IFERROR(1*INDEX(BBG_Data!$X$2:$X$4000,MATCH($A895,BBG_Data!$W$2:$W$4000,0)),NA()))</f>
        <v/>
      </c>
      <c r="AK895" s="19">
        <f>IF(NOT(ISNUMBER($A895)),NA(),IFERROR(1*INDEX(BBG_Data!$Z$2:$Z$4000,MATCH($A895,BBG_Data!$Y$2:$Y$4000,0)),NA()))</f>
        <v/>
      </c>
    </row>
    <row r="896">
      <c r="A896" s="17">
        <f>IF(ISNUMBER(BBG_Data!A896),BBG_Data!A896,"")</f>
        <v/>
      </c>
      <c r="B896" s="18">
        <f>IF(AND(ISNUMBER($A896),ISNUMBER(BBG_Data!B896)),BBG_Data!B896,NA())</f>
        <v/>
      </c>
      <c r="C896" s="18">
        <f>IF(NOT(ISNUMBER($A896)),NA(),IFERROR(1*INDEX(BBG_Data!$D$2:$D$4000,MATCH($A896,BBG_Data!$C$2:$C$4000,0)),NA()))</f>
        <v/>
      </c>
      <c r="D896" s="19">
        <f>IF(NOT(ISNUMBER($A896)),NA(),IFERROR(1*INDEX(BBG_Data!$F$2:$F$4000,MATCH($A896,BBG_Data!$E$2:$E$4000,0)),NA()))</f>
        <v/>
      </c>
      <c r="E896" s="19">
        <f>IF(NOT(ISNUMBER($A896)),NA(),IFERROR(1*INDEX(BBG_Data!$H$2:$H$4000,MATCH($A896,BBG_Data!$G$2:$G$4000,0)),NA()))</f>
        <v/>
      </c>
      <c r="F896" s="20">
        <f>IF(AND(ISNUMBER(B896),ISNUMBER(B895)),IF(B896=B895,"",(B896-B895)*100),"")</f>
        <v/>
      </c>
      <c r="G896" s="20">
        <f>IF(AND(ISNUMBER(C896),ISNUMBER(C895)),IF(C896=C895,"",(C896-C895)*100),"")</f>
        <v/>
      </c>
      <c r="H896" s="20">
        <f>IF(OR(NOT(ISNUMBER($A896)),ROW()-2&lt;Settings!$B$11),NA(),IF(COUNT(OFFSET(F896,1-Settings!$B$11,0,Settings!$B$11,1))&lt;ROUNDUP(Settings!$B$11*Settings!$B$26,0),NA(),STDEV(OFFSET(F896,1-Settings!$B$11,0,Settings!$B$11,1))*SQRT(Settings!$B$13)))</f>
        <v/>
      </c>
      <c r="I896" s="20">
        <f>IF(OR(NOT(ISNUMBER($A896)),ROW()-2&lt;Settings!$B$12),NA(),IF(COUNT(OFFSET(F896,1-Settings!$B$12,0,Settings!$B$12,1))&lt;ROUNDUP(Settings!$B$12*Settings!$B$26,0),NA(),STDEV(OFFSET(F896,1-Settings!$B$12,0,Settings!$B$12,1))*SQRT(Settings!$B$13)))</f>
        <v/>
      </c>
      <c r="J896" s="20">
        <f>IF(OR(NOT(ISNUMBER($A896)),ROW()-2&lt;Settings!$B$11),NA(),IF(COUNT(OFFSET(G896,1-Settings!$B$11,0,Settings!$B$11,1))&lt;ROUNDUP(Settings!$B$11*Settings!$B$26,0),NA(),STDEV(OFFSET(G896,1-Settings!$B$11,0,Settings!$B$11,1))*SQRT(Settings!$B$13)))</f>
        <v/>
      </c>
      <c r="K896" s="20">
        <f>IF(OR(NOT(ISNUMBER($A896)),ROW()-2&lt;Settings!$B$12),NA(),IF(COUNT(OFFSET(G896,1-Settings!$B$12,0,Settings!$B$12,1))&lt;ROUNDUP(Settings!$B$12*Settings!$B$26,0),NA(),STDEV(OFFSET(G896,1-Settings!$B$12,0,Settings!$B$12,1))*SQRT(Settings!$B$13)))</f>
        <v/>
      </c>
      <c r="L896" s="20">
        <f>IF(AND(ISNUMBER(D896),ISNUMBER(H896)),D896-H896,NA())</f>
        <v/>
      </c>
      <c r="M896" s="20">
        <f>IF(AND(ISNUMBER(E896),ISNUMBER(K896)),E896-K896,NA())</f>
        <v/>
      </c>
      <c r="N896" s="20">
        <f>IF(NOT(ISNUMBER($A896)),NA(),IF(COUNT(OFFSET(G896,1,0,Settings!$B$12,1))&lt;ROUNDUP(Settings!$B$12*Settings!$B$26,0),NA(),STDEV(OFFSET(G896,1,0,Settings!$B$12,1))*SQRT(Settings!$B$13)))</f>
        <v/>
      </c>
      <c r="O896" s="20">
        <f>IF(AND(ISNUMBER(E896),ISNUMBER(N896)),E896-N896,NA())</f>
        <v/>
      </c>
      <c r="P896" s="19">
        <f>IF(NOT(ISNUMBER($A896)),NA(),IF(OR($A896&lt;MIN(KW_TP!$A$2:$A$2501),$A896&gt;MAX(KW_TP!$A$2:$A$2501)),NA(),INDEX(KW_TP!$C$2:$C$2501,MATCH($A896,KW_TP!$A$2:$A$2501,1))))</f>
        <v/>
      </c>
      <c r="Q896" s="18">
        <f>IF(NOT(ISNUMBER($A896)),NA(),IFERROR(1*INDEX(BBG_Data!$J$2:$J$4000,MATCH($A896,BBG_Data!$I$2:$I$4000,0)),NA()))</f>
        <v/>
      </c>
      <c r="R896" s="18">
        <f>IF(NOT(ISNUMBER($A896)),NA(),IFERROR(1*INDEX(BBG_Data!$L$2:$L$4000,MATCH($A896,BBG_Data!$K$2:$K$4000,0)),NA()))</f>
        <v/>
      </c>
      <c r="S896" s="20">
        <f>IF(AND(ISNUMBER(B896),ISNUMBER(Q896),ISNUMBER(R896)),(B896-Q896-R896)*100,NA())</f>
        <v/>
      </c>
      <c r="T896" s="20">
        <f>IF(AND(ISNUMBER(B896),Settings!$B$17&gt;0),IF(ISNUMBER(INDEX($B:$B,Settings!$B$17)),(B896-INDEX($B:$B,Settings!$B$17))*100,NA()),NA())</f>
        <v/>
      </c>
      <c r="U896" s="20">
        <f>IF(AND(ISNUMBER(Q896),Settings!$B$17&gt;0),IF(ISNUMBER(INDEX($Q:$Q,Settings!$B$17)),(Q896-INDEX($Q:$Q,Settings!$B$17))*100,NA()),NA())</f>
        <v/>
      </c>
      <c r="V896" s="20">
        <f>IF(AND(ISNUMBER(R896),Settings!$B$17&gt;0),IF(ISNUMBER(INDEX($R:$R,Settings!$B$17)),(R896-INDEX($R:$R,Settings!$B$17))*100,NA()),NA())</f>
        <v/>
      </c>
      <c r="W896" s="20">
        <f>IF(AND(ISNUMBER(P896),Settings!$B$17&gt;0),IF(ISNUMBER(INDEX($P:$P,Settings!$B$17)),P896-INDEX($P:$P,Settings!$B$17),NA()),NA())</f>
        <v/>
      </c>
      <c r="X896" s="19">
        <f>IF(NOT(ISNUMBER($A896)),NA(),IF(OR($A896&lt;MIN(DKW_10Y!$A$2:$A$2918),$A896&gt;MAX(DKW_10Y!$A$2:$A$2918),Settings!$B$16&lt;MIN(DKW_10Y!$A$2:$A$2918)),NA(),(INDEX(DKW_10Y!$B$2:$B$2918,MATCH($A896,DKW_10Y!$A$2:$A$2918,1))-INDEX(DKW_10Y!$B$2:$B$2918,MATCH(Settings!$B$16,DKW_10Y!$A$2:$A$2918,1)))*100))</f>
        <v/>
      </c>
      <c r="Y896" s="19">
        <f>IF(NOT(ISNUMBER($A896)),NA(),IF(OR($A896&lt;MIN(DKW_10Y!$A$2:$A$2918),$A896&gt;MAX(DKW_10Y!$A$2:$A$2918),Settings!$B$16&lt;MIN(DKW_10Y!$A$2:$A$2918)),NA(),(INDEX(DKW_10Y!$C$2:$C$2918,MATCH($A896,DKW_10Y!$A$2:$A$2918,1))-INDEX(DKW_10Y!$C$2:$C$2918,MATCH(Settings!$B$16,DKW_10Y!$A$2:$A$2918,1)))*100))</f>
        <v/>
      </c>
      <c r="Z896" s="19">
        <f>IF(NOT(ISNUMBER($A896)),NA(),IF(OR($A896&lt;MIN(DKW_10Y!$A$2:$A$2918),$A896&gt;MAX(DKW_10Y!$A$2:$A$2918),Settings!$B$16&lt;MIN(DKW_10Y!$A$2:$A$2918)),NA(),(INDEX(DKW_10Y!$D$2:$D$2918,MATCH($A896,DKW_10Y!$A$2:$A$2918,1))-INDEX(DKW_10Y!$D$2:$D$2918,MATCH(Settings!$B$16,DKW_10Y!$A$2:$A$2918,1)))*100))</f>
        <v/>
      </c>
      <c r="AA896" s="19">
        <f>IF(NOT(ISNUMBER($A896)),NA(),IF(OR($A896&lt;MIN(DKW_10Y!$A$2:$A$2918),$A896&gt;MAX(DKW_10Y!$A$2:$A$2918),Settings!$B$16&lt;MIN(DKW_10Y!$A$2:$A$2918)),NA(),(INDEX(DKW_10Y!$E$2:$E$2918,MATCH($A896,DKW_10Y!$A$2:$A$2918,1))-INDEX(DKW_10Y!$E$2:$E$2918,MATCH(Settings!$B$16,DKW_10Y!$A$2:$A$2918,1)))*100))</f>
        <v/>
      </c>
      <c r="AB896" s="19">
        <f>IF(NOT(ISNUMBER($A896)),NA(),IF(OR($A896&lt;MIN(DKW_10Y!$A$2:$A$2918),$A896&gt;MAX(DKW_10Y!$A$2:$A$2918),Settings!$B$16&lt;MIN(DKW_10Y!$A$2:$A$2918)),NA(),(INDEX(DKW_10Y!$H$2:$H$2918,MATCH($A896,DKW_10Y!$A$2:$A$2918,1))-INDEX(DKW_10Y!$H$2:$H$2918,MATCH(Settings!$B$16,DKW_10Y!$A$2:$A$2918,1)))*100))</f>
        <v/>
      </c>
      <c r="AC896" s="18">
        <f>IF(NOT(ISNUMBER($A896)),NA(),IFERROR(1*INDEX(BBG_Data!$N$2:$N$4000,MATCH($A896,BBG_Data!$M$2:$M$4000,0)),NA()))</f>
        <v/>
      </c>
      <c r="AD896" s="18">
        <f>IF(NOT(ISNUMBER($A896)),NA(),IFERROR(1*INDEX(BBG_Data!$P$2:$P$4000,MATCH($A896,BBG_Data!$O$2:$O$4000,0)),NA()))</f>
        <v/>
      </c>
      <c r="AE896" s="18">
        <f>IF(NOT(ISNUMBER($A896)),NA(),IFERROR(1*INDEX(BBG_Data!$R$2:$R$4000,MATCH($A896,BBG_Data!$Q$2:$Q$4000,0)),NA()))</f>
        <v/>
      </c>
      <c r="AF896" s="20">
        <f>IF(AND(ISNUMBER(B896),ISNUMBER(AC896)),(B896-AC896)*100,NA())</f>
        <v/>
      </c>
      <c r="AG896" s="20">
        <f>IF(AND(ISNUMBER(AE896),ISNUMBER(AD896)),(AE896-AD896)*100,NA())</f>
        <v/>
      </c>
      <c r="AH896" s="19">
        <f>IF(NOT(ISNUMBER($A896)),NA(),IFERROR(INDEX(BBG_Data!$T$2:$T$4000,MATCH($A896,BBG_Data!$S$2:$S$4000,0))*Settings!$B$25,NA()))</f>
        <v/>
      </c>
      <c r="AI896" s="19">
        <f>IF(NOT(ISNUMBER($A896)),NA(),IFERROR(INDEX(BBG_Data!$V$2:$V$4000,MATCH($A896,BBG_Data!$U$2:$U$4000,0))*Settings!$B$25,NA()))</f>
        <v/>
      </c>
      <c r="AJ896" s="19">
        <f>IF(NOT(ISNUMBER($A896)),NA(),IFERROR(1*INDEX(BBG_Data!$X$2:$X$4000,MATCH($A896,BBG_Data!$W$2:$W$4000,0)),NA()))</f>
        <v/>
      </c>
      <c r="AK896" s="19">
        <f>IF(NOT(ISNUMBER($A896)),NA(),IFERROR(1*INDEX(BBG_Data!$Z$2:$Z$4000,MATCH($A896,BBG_Data!$Y$2:$Y$4000,0)),NA()))</f>
        <v/>
      </c>
    </row>
    <row r="897">
      <c r="A897" s="17">
        <f>IF(ISNUMBER(BBG_Data!A897),BBG_Data!A897,"")</f>
        <v/>
      </c>
      <c r="B897" s="18">
        <f>IF(AND(ISNUMBER($A897),ISNUMBER(BBG_Data!B897)),BBG_Data!B897,NA())</f>
        <v/>
      </c>
      <c r="C897" s="18">
        <f>IF(NOT(ISNUMBER($A897)),NA(),IFERROR(1*INDEX(BBG_Data!$D$2:$D$4000,MATCH($A897,BBG_Data!$C$2:$C$4000,0)),NA()))</f>
        <v/>
      </c>
      <c r="D897" s="19">
        <f>IF(NOT(ISNUMBER($A897)),NA(),IFERROR(1*INDEX(BBG_Data!$F$2:$F$4000,MATCH($A897,BBG_Data!$E$2:$E$4000,0)),NA()))</f>
        <v/>
      </c>
      <c r="E897" s="19">
        <f>IF(NOT(ISNUMBER($A897)),NA(),IFERROR(1*INDEX(BBG_Data!$H$2:$H$4000,MATCH($A897,BBG_Data!$G$2:$G$4000,0)),NA()))</f>
        <v/>
      </c>
      <c r="F897" s="20">
        <f>IF(AND(ISNUMBER(B897),ISNUMBER(B896)),IF(B897=B896,"",(B897-B896)*100),"")</f>
        <v/>
      </c>
      <c r="G897" s="20">
        <f>IF(AND(ISNUMBER(C897),ISNUMBER(C896)),IF(C897=C896,"",(C897-C896)*100),"")</f>
        <v/>
      </c>
      <c r="H897" s="20">
        <f>IF(OR(NOT(ISNUMBER($A897)),ROW()-2&lt;Settings!$B$11),NA(),IF(COUNT(OFFSET(F897,1-Settings!$B$11,0,Settings!$B$11,1))&lt;ROUNDUP(Settings!$B$11*Settings!$B$26,0),NA(),STDEV(OFFSET(F897,1-Settings!$B$11,0,Settings!$B$11,1))*SQRT(Settings!$B$13)))</f>
        <v/>
      </c>
      <c r="I897" s="20">
        <f>IF(OR(NOT(ISNUMBER($A897)),ROW()-2&lt;Settings!$B$12),NA(),IF(COUNT(OFFSET(F897,1-Settings!$B$12,0,Settings!$B$12,1))&lt;ROUNDUP(Settings!$B$12*Settings!$B$26,0),NA(),STDEV(OFFSET(F897,1-Settings!$B$12,0,Settings!$B$12,1))*SQRT(Settings!$B$13)))</f>
        <v/>
      </c>
      <c r="J897" s="20">
        <f>IF(OR(NOT(ISNUMBER($A897)),ROW()-2&lt;Settings!$B$11),NA(),IF(COUNT(OFFSET(G897,1-Settings!$B$11,0,Settings!$B$11,1))&lt;ROUNDUP(Settings!$B$11*Settings!$B$26,0),NA(),STDEV(OFFSET(G897,1-Settings!$B$11,0,Settings!$B$11,1))*SQRT(Settings!$B$13)))</f>
        <v/>
      </c>
      <c r="K897" s="20">
        <f>IF(OR(NOT(ISNUMBER($A897)),ROW()-2&lt;Settings!$B$12),NA(),IF(COUNT(OFFSET(G897,1-Settings!$B$12,0,Settings!$B$12,1))&lt;ROUNDUP(Settings!$B$12*Settings!$B$26,0),NA(),STDEV(OFFSET(G897,1-Settings!$B$12,0,Settings!$B$12,1))*SQRT(Settings!$B$13)))</f>
        <v/>
      </c>
      <c r="L897" s="20">
        <f>IF(AND(ISNUMBER(D897),ISNUMBER(H897)),D897-H897,NA())</f>
        <v/>
      </c>
      <c r="M897" s="20">
        <f>IF(AND(ISNUMBER(E897),ISNUMBER(K897)),E897-K897,NA())</f>
        <v/>
      </c>
      <c r="N897" s="20">
        <f>IF(NOT(ISNUMBER($A897)),NA(),IF(COUNT(OFFSET(G897,1,0,Settings!$B$12,1))&lt;ROUNDUP(Settings!$B$12*Settings!$B$26,0),NA(),STDEV(OFFSET(G897,1,0,Settings!$B$12,1))*SQRT(Settings!$B$13)))</f>
        <v/>
      </c>
      <c r="O897" s="20">
        <f>IF(AND(ISNUMBER(E897),ISNUMBER(N897)),E897-N897,NA())</f>
        <v/>
      </c>
      <c r="P897" s="19">
        <f>IF(NOT(ISNUMBER($A897)),NA(),IF(OR($A897&lt;MIN(KW_TP!$A$2:$A$2501),$A897&gt;MAX(KW_TP!$A$2:$A$2501)),NA(),INDEX(KW_TP!$C$2:$C$2501,MATCH($A897,KW_TP!$A$2:$A$2501,1))))</f>
        <v/>
      </c>
      <c r="Q897" s="18">
        <f>IF(NOT(ISNUMBER($A897)),NA(),IFERROR(1*INDEX(BBG_Data!$J$2:$J$4000,MATCH($A897,BBG_Data!$I$2:$I$4000,0)),NA()))</f>
        <v/>
      </c>
      <c r="R897" s="18">
        <f>IF(NOT(ISNUMBER($A897)),NA(),IFERROR(1*INDEX(BBG_Data!$L$2:$L$4000,MATCH($A897,BBG_Data!$K$2:$K$4000,0)),NA()))</f>
        <v/>
      </c>
      <c r="S897" s="20">
        <f>IF(AND(ISNUMBER(B897),ISNUMBER(Q897),ISNUMBER(R897)),(B897-Q897-R897)*100,NA())</f>
        <v/>
      </c>
      <c r="T897" s="20">
        <f>IF(AND(ISNUMBER(B897),Settings!$B$17&gt;0),IF(ISNUMBER(INDEX($B:$B,Settings!$B$17)),(B897-INDEX($B:$B,Settings!$B$17))*100,NA()),NA())</f>
        <v/>
      </c>
      <c r="U897" s="20">
        <f>IF(AND(ISNUMBER(Q897),Settings!$B$17&gt;0),IF(ISNUMBER(INDEX($Q:$Q,Settings!$B$17)),(Q897-INDEX($Q:$Q,Settings!$B$17))*100,NA()),NA())</f>
        <v/>
      </c>
      <c r="V897" s="20">
        <f>IF(AND(ISNUMBER(R897),Settings!$B$17&gt;0),IF(ISNUMBER(INDEX($R:$R,Settings!$B$17)),(R897-INDEX($R:$R,Settings!$B$17))*100,NA()),NA())</f>
        <v/>
      </c>
      <c r="W897" s="20">
        <f>IF(AND(ISNUMBER(P897),Settings!$B$17&gt;0),IF(ISNUMBER(INDEX($P:$P,Settings!$B$17)),P897-INDEX($P:$P,Settings!$B$17),NA()),NA())</f>
        <v/>
      </c>
      <c r="X897" s="19">
        <f>IF(NOT(ISNUMBER($A897)),NA(),IF(OR($A897&lt;MIN(DKW_10Y!$A$2:$A$2918),$A897&gt;MAX(DKW_10Y!$A$2:$A$2918),Settings!$B$16&lt;MIN(DKW_10Y!$A$2:$A$2918)),NA(),(INDEX(DKW_10Y!$B$2:$B$2918,MATCH($A897,DKW_10Y!$A$2:$A$2918,1))-INDEX(DKW_10Y!$B$2:$B$2918,MATCH(Settings!$B$16,DKW_10Y!$A$2:$A$2918,1)))*100))</f>
        <v/>
      </c>
      <c r="Y897" s="19">
        <f>IF(NOT(ISNUMBER($A897)),NA(),IF(OR($A897&lt;MIN(DKW_10Y!$A$2:$A$2918),$A897&gt;MAX(DKW_10Y!$A$2:$A$2918),Settings!$B$16&lt;MIN(DKW_10Y!$A$2:$A$2918)),NA(),(INDEX(DKW_10Y!$C$2:$C$2918,MATCH($A897,DKW_10Y!$A$2:$A$2918,1))-INDEX(DKW_10Y!$C$2:$C$2918,MATCH(Settings!$B$16,DKW_10Y!$A$2:$A$2918,1)))*100))</f>
        <v/>
      </c>
      <c r="Z897" s="19">
        <f>IF(NOT(ISNUMBER($A897)),NA(),IF(OR($A897&lt;MIN(DKW_10Y!$A$2:$A$2918),$A897&gt;MAX(DKW_10Y!$A$2:$A$2918),Settings!$B$16&lt;MIN(DKW_10Y!$A$2:$A$2918)),NA(),(INDEX(DKW_10Y!$D$2:$D$2918,MATCH($A897,DKW_10Y!$A$2:$A$2918,1))-INDEX(DKW_10Y!$D$2:$D$2918,MATCH(Settings!$B$16,DKW_10Y!$A$2:$A$2918,1)))*100))</f>
        <v/>
      </c>
      <c r="AA897" s="19">
        <f>IF(NOT(ISNUMBER($A897)),NA(),IF(OR($A897&lt;MIN(DKW_10Y!$A$2:$A$2918),$A897&gt;MAX(DKW_10Y!$A$2:$A$2918),Settings!$B$16&lt;MIN(DKW_10Y!$A$2:$A$2918)),NA(),(INDEX(DKW_10Y!$E$2:$E$2918,MATCH($A897,DKW_10Y!$A$2:$A$2918,1))-INDEX(DKW_10Y!$E$2:$E$2918,MATCH(Settings!$B$16,DKW_10Y!$A$2:$A$2918,1)))*100))</f>
        <v/>
      </c>
      <c r="AB897" s="19">
        <f>IF(NOT(ISNUMBER($A897)),NA(),IF(OR($A897&lt;MIN(DKW_10Y!$A$2:$A$2918),$A897&gt;MAX(DKW_10Y!$A$2:$A$2918),Settings!$B$16&lt;MIN(DKW_10Y!$A$2:$A$2918)),NA(),(INDEX(DKW_10Y!$H$2:$H$2918,MATCH($A897,DKW_10Y!$A$2:$A$2918,1))-INDEX(DKW_10Y!$H$2:$H$2918,MATCH(Settings!$B$16,DKW_10Y!$A$2:$A$2918,1)))*100))</f>
        <v/>
      </c>
      <c r="AC897" s="18">
        <f>IF(NOT(ISNUMBER($A897)),NA(),IFERROR(1*INDEX(BBG_Data!$N$2:$N$4000,MATCH($A897,BBG_Data!$M$2:$M$4000,0)),NA()))</f>
        <v/>
      </c>
      <c r="AD897" s="18">
        <f>IF(NOT(ISNUMBER($A897)),NA(),IFERROR(1*INDEX(BBG_Data!$P$2:$P$4000,MATCH($A897,BBG_Data!$O$2:$O$4000,0)),NA()))</f>
        <v/>
      </c>
      <c r="AE897" s="18">
        <f>IF(NOT(ISNUMBER($A897)),NA(),IFERROR(1*INDEX(BBG_Data!$R$2:$R$4000,MATCH($A897,BBG_Data!$Q$2:$Q$4000,0)),NA()))</f>
        <v/>
      </c>
      <c r="AF897" s="20">
        <f>IF(AND(ISNUMBER(B897),ISNUMBER(AC897)),(B897-AC897)*100,NA())</f>
        <v/>
      </c>
      <c r="AG897" s="20">
        <f>IF(AND(ISNUMBER(AE897),ISNUMBER(AD897)),(AE897-AD897)*100,NA())</f>
        <v/>
      </c>
      <c r="AH897" s="19">
        <f>IF(NOT(ISNUMBER($A897)),NA(),IFERROR(INDEX(BBG_Data!$T$2:$T$4000,MATCH($A897,BBG_Data!$S$2:$S$4000,0))*Settings!$B$25,NA()))</f>
        <v/>
      </c>
      <c r="AI897" s="19">
        <f>IF(NOT(ISNUMBER($A897)),NA(),IFERROR(INDEX(BBG_Data!$V$2:$V$4000,MATCH($A897,BBG_Data!$U$2:$U$4000,0))*Settings!$B$25,NA()))</f>
        <v/>
      </c>
      <c r="AJ897" s="19">
        <f>IF(NOT(ISNUMBER($A897)),NA(),IFERROR(1*INDEX(BBG_Data!$X$2:$X$4000,MATCH($A897,BBG_Data!$W$2:$W$4000,0)),NA()))</f>
        <v/>
      </c>
      <c r="AK897" s="19">
        <f>IF(NOT(ISNUMBER($A897)),NA(),IFERROR(1*INDEX(BBG_Data!$Z$2:$Z$4000,MATCH($A897,BBG_Data!$Y$2:$Y$4000,0)),NA()))</f>
        <v/>
      </c>
    </row>
    <row r="898">
      <c r="A898" s="17">
        <f>IF(ISNUMBER(BBG_Data!A898),BBG_Data!A898,"")</f>
        <v/>
      </c>
      <c r="B898" s="18">
        <f>IF(AND(ISNUMBER($A898),ISNUMBER(BBG_Data!B898)),BBG_Data!B898,NA())</f>
        <v/>
      </c>
      <c r="C898" s="18">
        <f>IF(NOT(ISNUMBER($A898)),NA(),IFERROR(1*INDEX(BBG_Data!$D$2:$D$4000,MATCH($A898,BBG_Data!$C$2:$C$4000,0)),NA()))</f>
        <v/>
      </c>
      <c r="D898" s="19">
        <f>IF(NOT(ISNUMBER($A898)),NA(),IFERROR(1*INDEX(BBG_Data!$F$2:$F$4000,MATCH($A898,BBG_Data!$E$2:$E$4000,0)),NA()))</f>
        <v/>
      </c>
      <c r="E898" s="19">
        <f>IF(NOT(ISNUMBER($A898)),NA(),IFERROR(1*INDEX(BBG_Data!$H$2:$H$4000,MATCH($A898,BBG_Data!$G$2:$G$4000,0)),NA()))</f>
        <v/>
      </c>
      <c r="F898" s="20">
        <f>IF(AND(ISNUMBER(B898),ISNUMBER(B897)),IF(B898=B897,"",(B898-B897)*100),"")</f>
        <v/>
      </c>
      <c r="G898" s="20">
        <f>IF(AND(ISNUMBER(C898),ISNUMBER(C897)),IF(C898=C897,"",(C898-C897)*100),"")</f>
        <v/>
      </c>
      <c r="H898" s="20">
        <f>IF(OR(NOT(ISNUMBER($A898)),ROW()-2&lt;Settings!$B$11),NA(),IF(COUNT(OFFSET(F898,1-Settings!$B$11,0,Settings!$B$11,1))&lt;ROUNDUP(Settings!$B$11*Settings!$B$26,0),NA(),STDEV(OFFSET(F898,1-Settings!$B$11,0,Settings!$B$11,1))*SQRT(Settings!$B$13)))</f>
        <v/>
      </c>
      <c r="I898" s="20">
        <f>IF(OR(NOT(ISNUMBER($A898)),ROW()-2&lt;Settings!$B$12),NA(),IF(COUNT(OFFSET(F898,1-Settings!$B$12,0,Settings!$B$12,1))&lt;ROUNDUP(Settings!$B$12*Settings!$B$26,0),NA(),STDEV(OFFSET(F898,1-Settings!$B$12,0,Settings!$B$12,1))*SQRT(Settings!$B$13)))</f>
        <v/>
      </c>
      <c r="J898" s="20">
        <f>IF(OR(NOT(ISNUMBER($A898)),ROW()-2&lt;Settings!$B$11),NA(),IF(COUNT(OFFSET(G898,1-Settings!$B$11,0,Settings!$B$11,1))&lt;ROUNDUP(Settings!$B$11*Settings!$B$26,0),NA(),STDEV(OFFSET(G898,1-Settings!$B$11,0,Settings!$B$11,1))*SQRT(Settings!$B$13)))</f>
        <v/>
      </c>
      <c r="K898" s="20">
        <f>IF(OR(NOT(ISNUMBER($A898)),ROW()-2&lt;Settings!$B$12),NA(),IF(COUNT(OFFSET(G898,1-Settings!$B$12,0,Settings!$B$12,1))&lt;ROUNDUP(Settings!$B$12*Settings!$B$26,0),NA(),STDEV(OFFSET(G898,1-Settings!$B$12,0,Settings!$B$12,1))*SQRT(Settings!$B$13)))</f>
        <v/>
      </c>
      <c r="L898" s="20">
        <f>IF(AND(ISNUMBER(D898),ISNUMBER(H898)),D898-H898,NA())</f>
        <v/>
      </c>
      <c r="M898" s="20">
        <f>IF(AND(ISNUMBER(E898),ISNUMBER(K898)),E898-K898,NA())</f>
        <v/>
      </c>
      <c r="N898" s="20">
        <f>IF(NOT(ISNUMBER($A898)),NA(),IF(COUNT(OFFSET(G898,1,0,Settings!$B$12,1))&lt;ROUNDUP(Settings!$B$12*Settings!$B$26,0),NA(),STDEV(OFFSET(G898,1,0,Settings!$B$12,1))*SQRT(Settings!$B$13)))</f>
        <v/>
      </c>
      <c r="O898" s="20">
        <f>IF(AND(ISNUMBER(E898),ISNUMBER(N898)),E898-N898,NA())</f>
        <v/>
      </c>
      <c r="P898" s="19">
        <f>IF(NOT(ISNUMBER($A898)),NA(),IF(OR($A898&lt;MIN(KW_TP!$A$2:$A$2501),$A898&gt;MAX(KW_TP!$A$2:$A$2501)),NA(),INDEX(KW_TP!$C$2:$C$2501,MATCH($A898,KW_TP!$A$2:$A$2501,1))))</f>
        <v/>
      </c>
      <c r="Q898" s="18">
        <f>IF(NOT(ISNUMBER($A898)),NA(),IFERROR(1*INDEX(BBG_Data!$J$2:$J$4000,MATCH($A898,BBG_Data!$I$2:$I$4000,0)),NA()))</f>
        <v/>
      </c>
      <c r="R898" s="18">
        <f>IF(NOT(ISNUMBER($A898)),NA(),IFERROR(1*INDEX(BBG_Data!$L$2:$L$4000,MATCH($A898,BBG_Data!$K$2:$K$4000,0)),NA()))</f>
        <v/>
      </c>
      <c r="S898" s="20">
        <f>IF(AND(ISNUMBER(B898),ISNUMBER(Q898),ISNUMBER(R898)),(B898-Q898-R898)*100,NA())</f>
        <v/>
      </c>
      <c r="T898" s="20">
        <f>IF(AND(ISNUMBER(B898),Settings!$B$17&gt;0),IF(ISNUMBER(INDEX($B:$B,Settings!$B$17)),(B898-INDEX($B:$B,Settings!$B$17))*100,NA()),NA())</f>
        <v/>
      </c>
      <c r="U898" s="20">
        <f>IF(AND(ISNUMBER(Q898),Settings!$B$17&gt;0),IF(ISNUMBER(INDEX($Q:$Q,Settings!$B$17)),(Q898-INDEX($Q:$Q,Settings!$B$17))*100,NA()),NA())</f>
        <v/>
      </c>
      <c r="V898" s="20">
        <f>IF(AND(ISNUMBER(R898),Settings!$B$17&gt;0),IF(ISNUMBER(INDEX($R:$R,Settings!$B$17)),(R898-INDEX($R:$R,Settings!$B$17))*100,NA()),NA())</f>
        <v/>
      </c>
      <c r="W898" s="20">
        <f>IF(AND(ISNUMBER(P898),Settings!$B$17&gt;0),IF(ISNUMBER(INDEX($P:$P,Settings!$B$17)),P898-INDEX($P:$P,Settings!$B$17),NA()),NA())</f>
        <v/>
      </c>
      <c r="X898" s="19">
        <f>IF(NOT(ISNUMBER($A898)),NA(),IF(OR($A898&lt;MIN(DKW_10Y!$A$2:$A$2918),$A898&gt;MAX(DKW_10Y!$A$2:$A$2918),Settings!$B$16&lt;MIN(DKW_10Y!$A$2:$A$2918)),NA(),(INDEX(DKW_10Y!$B$2:$B$2918,MATCH($A898,DKW_10Y!$A$2:$A$2918,1))-INDEX(DKW_10Y!$B$2:$B$2918,MATCH(Settings!$B$16,DKW_10Y!$A$2:$A$2918,1)))*100))</f>
        <v/>
      </c>
      <c r="Y898" s="19">
        <f>IF(NOT(ISNUMBER($A898)),NA(),IF(OR($A898&lt;MIN(DKW_10Y!$A$2:$A$2918),$A898&gt;MAX(DKW_10Y!$A$2:$A$2918),Settings!$B$16&lt;MIN(DKW_10Y!$A$2:$A$2918)),NA(),(INDEX(DKW_10Y!$C$2:$C$2918,MATCH($A898,DKW_10Y!$A$2:$A$2918,1))-INDEX(DKW_10Y!$C$2:$C$2918,MATCH(Settings!$B$16,DKW_10Y!$A$2:$A$2918,1)))*100))</f>
        <v/>
      </c>
      <c r="Z898" s="19">
        <f>IF(NOT(ISNUMBER($A898)),NA(),IF(OR($A898&lt;MIN(DKW_10Y!$A$2:$A$2918),$A898&gt;MAX(DKW_10Y!$A$2:$A$2918),Settings!$B$16&lt;MIN(DKW_10Y!$A$2:$A$2918)),NA(),(INDEX(DKW_10Y!$D$2:$D$2918,MATCH($A898,DKW_10Y!$A$2:$A$2918,1))-INDEX(DKW_10Y!$D$2:$D$2918,MATCH(Settings!$B$16,DKW_10Y!$A$2:$A$2918,1)))*100))</f>
        <v/>
      </c>
      <c r="AA898" s="19">
        <f>IF(NOT(ISNUMBER($A898)),NA(),IF(OR($A898&lt;MIN(DKW_10Y!$A$2:$A$2918),$A898&gt;MAX(DKW_10Y!$A$2:$A$2918),Settings!$B$16&lt;MIN(DKW_10Y!$A$2:$A$2918)),NA(),(INDEX(DKW_10Y!$E$2:$E$2918,MATCH($A898,DKW_10Y!$A$2:$A$2918,1))-INDEX(DKW_10Y!$E$2:$E$2918,MATCH(Settings!$B$16,DKW_10Y!$A$2:$A$2918,1)))*100))</f>
        <v/>
      </c>
      <c r="AB898" s="19">
        <f>IF(NOT(ISNUMBER($A898)),NA(),IF(OR($A898&lt;MIN(DKW_10Y!$A$2:$A$2918),$A898&gt;MAX(DKW_10Y!$A$2:$A$2918),Settings!$B$16&lt;MIN(DKW_10Y!$A$2:$A$2918)),NA(),(INDEX(DKW_10Y!$H$2:$H$2918,MATCH($A898,DKW_10Y!$A$2:$A$2918,1))-INDEX(DKW_10Y!$H$2:$H$2918,MATCH(Settings!$B$16,DKW_10Y!$A$2:$A$2918,1)))*100))</f>
        <v/>
      </c>
      <c r="AC898" s="18">
        <f>IF(NOT(ISNUMBER($A898)),NA(),IFERROR(1*INDEX(BBG_Data!$N$2:$N$4000,MATCH($A898,BBG_Data!$M$2:$M$4000,0)),NA()))</f>
        <v/>
      </c>
      <c r="AD898" s="18">
        <f>IF(NOT(ISNUMBER($A898)),NA(),IFERROR(1*INDEX(BBG_Data!$P$2:$P$4000,MATCH($A898,BBG_Data!$O$2:$O$4000,0)),NA()))</f>
        <v/>
      </c>
      <c r="AE898" s="18">
        <f>IF(NOT(ISNUMBER($A898)),NA(),IFERROR(1*INDEX(BBG_Data!$R$2:$R$4000,MATCH($A898,BBG_Data!$Q$2:$Q$4000,0)),NA()))</f>
        <v/>
      </c>
      <c r="AF898" s="20">
        <f>IF(AND(ISNUMBER(B898),ISNUMBER(AC898)),(B898-AC898)*100,NA())</f>
        <v/>
      </c>
      <c r="AG898" s="20">
        <f>IF(AND(ISNUMBER(AE898),ISNUMBER(AD898)),(AE898-AD898)*100,NA())</f>
        <v/>
      </c>
      <c r="AH898" s="19">
        <f>IF(NOT(ISNUMBER($A898)),NA(),IFERROR(INDEX(BBG_Data!$T$2:$T$4000,MATCH($A898,BBG_Data!$S$2:$S$4000,0))*Settings!$B$25,NA()))</f>
        <v/>
      </c>
      <c r="AI898" s="19">
        <f>IF(NOT(ISNUMBER($A898)),NA(),IFERROR(INDEX(BBG_Data!$V$2:$V$4000,MATCH($A898,BBG_Data!$U$2:$U$4000,0))*Settings!$B$25,NA()))</f>
        <v/>
      </c>
      <c r="AJ898" s="19">
        <f>IF(NOT(ISNUMBER($A898)),NA(),IFERROR(1*INDEX(BBG_Data!$X$2:$X$4000,MATCH($A898,BBG_Data!$W$2:$W$4000,0)),NA()))</f>
        <v/>
      </c>
      <c r="AK898" s="19">
        <f>IF(NOT(ISNUMBER($A898)),NA(),IFERROR(1*INDEX(BBG_Data!$Z$2:$Z$4000,MATCH($A898,BBG_Data!$Y$2:$Y$4000,0)),NA()))</f>
        <v/>
      </c>
    </row>
    <row r="899">
      <c r="A899" s="17">
        <f>IF(ISNUMBER(BBG_Data!A899),BBG_Data!A899,"")</f>
        <v/>
      </c>
      <c r="B899" s="18">
        <f>IF(AND(ISNUMBER($A899),ISNUMBER(BBG_Data!B899)),BBG_Data!B899,NA())</f>
        <v/>
      </c>
      <c r="C899" s="18">
        <f>IF(NOT(ISNUMBER($A899)),NA(),IFERROR(1*INDEX(BBG_Data!$D$2:$D$4000,MATCH($A899,BBG_Data!$C$2:$C$4000,0)),NA()))</f>
        <v/>
      </c>
      <c r="D899" s="19">
        <f>IF(NOT(ISNUMBER($A899)),NA(),IFERROR(1*INDEX(BBG_Data!$F$2:$F$4000,MATCH($A899,BBG_Data!$E$2:$E$4000,0)),NA()))</f>
        <v/>
      </c>
      <c r="E899" s="19">
        <f>IF(NOT(ISNUMBER($A899)),NA(),IFERROR(1*INDEX(BBG_Data!$H$2:$H$4000,MATCH($A899,BBG_Data!$G$2:$G$4000,0)),NA()))</f>
        <v/>
      </c>
      <c r="F899" s="20">
        <f>IF(AND(ISNUMBER(B899),ISNUMBER(B898)),IF(B899=B898,"",(B899-B898)*100),"")</f>
        <v/>
      </c>
      <c r="G899" s="20">
        <f>IF(AND(ISNUMBER(C899),ISNUMBER(C898)),IF(C899=C898,"",(C899-C898)*100),"")</f>
        <v/>
      </c>
      <c r="H899" s="20">
        <f>IF(OR(NOT(ISNUMBER($A899)),ROW()-2&lt;Settings!$B$11),NA(),IF(COUNT(OFFSET(F899,1-Settings!$B$11,0,Settings!$B$11,1))&lt;ROUNDUP(Settings!$B$11*Settings!$B$26,0),NA(),STDEV(OFFSET(F899,1-Settings!$B$11,0,Settings!$B$11,1))*SQRT(Settings!$B$13)))</f>
        <v/>
      </c>
      <c r="I899" s="20">
        <f>IF(OR(NOT(ISNUMBER($A899)),ROW()-2&lt;Settings!$B$12),NA(),IF(COUNT(OFFSET(F899,1-Settings!$B$12,0,Settings!$B$12,1))&lt;ROUNDUP(Settings!$B$12*Settings!$B$26,0),NA(),STDEV(OFFSET(F899,1-Settings!$B$12,0,Settings!$B$12,1))*SQRT(Settings!$B$13)))</f>
        <v/>
      </c>
      <c r="J899" s="20">
        <f>IF(OR(NOT(ISNUMBER($A899)),ROW()-2&lt;Settings!$B$11),NA(),IF(COUNT(OFFSET(G899,1-Settings!$B$11,0,Settings!$B$11,1))&lt;ROUNDUP(Settings!$B$11*Settings!$B$26,0),NA(),STDEV(OFFSET(G899,1-Settings!$B$11,0,Settings!$B$11,1))*SQRT(Settings!$B$13)))</f>
        <v/>
      </c>
      <c r="K899" s="20">
        <f>IF(OR(NOT(ISNUMBER($A899)),ROW()-2&lt;Settings!$B$12),NA(),IF(COUNT(OFFSET(G899,1-Settings!$B$12,0,Settings!$B$12,1))&lt;ROUNDUP(Settings!$B$12*Settings!$B$26,0),NA(),STDEV(OFFSET(G899,1-Settings!$B$12,0,Settings!$B$12,1))*SQRT(Settings!$B$13)))</f>
        <v/>
      </c>
      <c r="L899" s="20">
        <f>IF(AND(ISNUMBER(D899),ISNUMBER(H899)),D899-H899,NA())</f>
        <v/>
      </c>
      <c r="M899" s="20">
        <f>IF(AND(ISNUMBER(E899),ISNUMBER(K899)),E899-K899,NA())</f>
        <v/>
      </c>
      <c r="N899" s="20">
        <f>IF(NOT(ISNUMBER($A899)),NA(),IF(COUNT(OFFSET(G899,1,0,Settings!$B$12,1))&lt;ROUNDUP(Settings!$B$12*Settings!$B$26,0),NA(),STDEV(OFFSET(G899,1,0,Settings!$B$12,1))*SQRT(Settings!$B$13)))</f>
        <v/>
      </c>
      <c r="O899" s="20">
        <f>IF(AND(ISNUMBER(E899),ISNUMBER(N899)),E899-N899,NA())</f>
        <v/>
      </c>
      <c r="P899" s="19">
        <f>IF(NOT(ISNUMBER($A899)),NA(),IF(OR($A899&lt;MIN(KW_TP!$A$2:$A$2501),$A899&gt;MAX(KW_TP!$A$2:$A$2501)),NA(),INDEX(KW_TP!$C$2:$C$2501,MATCH($A899,KW_TP!$A$2:$A$2501,1))))</f>
        <v/>
      </c>
      <c r="Q899" s="18">
        <f>IF(NOT(ISNUMBER($A899)),NA(),IFERROR(1*INDEX(BBG_Data!$J$2:$J$4000,MATCH($A899,BBG_Data!$I$2:$I$4000,0)),NA()))</f>
        <v/>
      </c>
      <c r="R899" s="18">
        <f>IF(NOT(ISNUMBER($A899)),NA(),IFERROR(1*INDEX(BBG_Data!$L$2:$L$4000,MATCH($A899,BBG_Data!$K$2:$K$4000,0)),NA()))</f>
        <v/>
      </c>
      <c r="S899" s="20">
        <f>IF(AND(ISNUMBER(B899),ISNUMBER(Q899),ISNUMBER(R899)),(B899-Q899-R899)*100,NA())</f>
        <v/>
      </c>
      <c r="T899" s="20">
        <f>IF(AND(ISNUMBER(B899),Settings!$B$17&gt;0),IF(ISNUMBER(INDEX($B:$B,Settings!$B$17)),(B899-INDEX($B:$B,Settings!$B$17))*100,NA()),NA())</f>
        <v/>
      </c>
      <c r="U899" s="20">
        <f>IF(AND(ISNUMBER(Q899),Settings!$B$17&gt;0),IF(ISNUMBER(INDEX($Q:$Q,Settings!$B$17)),(Q899-INDEX($Q:$Q,Settings!$B$17))*100,NA()),NA())</f>
        <v/>
      </c>
      <c r="V899" s="20">
        <f>IF(AND(ISNUMBER(R899),Settings!$B$17&gt;0),IF(ISNUMBER(INDEX($R:$R,Settings!$B$17)),(R899-INDEX($R:$R,Settings!$B$17))*100,NA()),NA())</f>
        <v/>
      </c>
      <c r="W899" s="20">
        <f>IF(AND(ISNUMBER(P899),Settings!$B$17&gt;0),IF(ISNUMBER(INDEX($P:$P,Settings!$B$17)),P899-INDEX($P:$P,Settings!$B$17),NA()),NA())</f>
        <v/>
      </c>
      <c r="X899" s="19">
        <f>IF(NOT(ISNUMBER($A899)),NA(),IF(OR($A899&lt;MIN(DKW_10Y!$A$2:$A$2918),$A899&gt;MAX(DKW_10Y!$A$2:$A$2918),Settings!$B$16&lt;MIN(DKW_10Y!$A$2:$A$2918)),NA(),(INDEX(DKW_10Y!$B$2:$B$2918,MATCH($A899,DKW_10Y!$A$2:$A$2918,1))-INDEX(DKW_10Y!$B$2:$B$2918,MATCH(Settings!$B$16,DKW_10Y!$A$2:$A$2918,1)))*100))</f>
        <v/>
      </c>
      <c r="Y899" s="19">
        <f>IF(NOT(ISNUMBER($A899)),NA(),IF(OR($A899&lt;MIN(DKW_10Y!$A$2:$A$2918),$A899&gt;MAX(DKW_10Y!$A$2:$A$2918),Settings!$B$16&lt;MIN(DKW_10Y!$A$2:$A$2918)),NA(),(INDEX(DKW_10Y!$C$2:$C$2918,MATCH($A899,DKW_10Y!$A$2:$A$2918,1))-INDEX(DKW_10Y!$C$2:$C$2918,MATCH(Settings!$B$16,DKW_10Y!$A$2:$A$2918,1)))*100))</f>
        <v/>
      </c>
      <c r="Z899" s="19">
        <f>IF(NOT(ISNUMBER($A899)),NA(),IF(OR($A899&lt;MIN(DKW_10Y!$A$2:$A$2918),$A899&gt;MAX(DKW_10Y!$A$2:$A$2918),Settings!$B$16&lt;MIN(DKW_10Y!$A$2:$A$2918)),NA(),(INDEX(DKW_10Y!$D$2:$D$2918,MATCH($A899,DKW_10Y!$A$2:$A$2918,1))-INDEX(DKW_10Y!$D$2:$D$2918,MATCH(Settings!$B$16,DKW_10Y!$A$2:$A$2918,1)))*100))</f>
        <v/>
      </c>
      <c r="AA899" s="19">
        <f>IF(NOT(ISNUMBER($A899)),NA(),IF(OR($A899&lt;MIN(DKW_10Y!$A$2:$A$2918),$A899&gt;MAX(DKW_10Y!$A$2:$A$2918),Settings!$B$16&lt;MIN(DKW_10Y!$A$2:$A$2918)),NA(),(INDEX(DKW_10Y!$E$2:$E$2918,MATCH($A899,DKW_10Y!$A$2:$A$2918,1))-INDEX(DKW_10Y!$E$2:$E$2918,MATCH(Settings!$B$16,DKW_10Y!$A$2:$A$2918,1)))*100))</f>
        <v/>
      </c>
      <c r="AB899" s="19">
        <f>IF(NOT(ISNUMBER($A899)),NA(),IF(OR($A899&lt;MIN(DKW_10Y!$A$2:$A$2918),$A899&gt;MAX(DKW_10Y!$A$2:$A$2918),Settings!$B$16&lt;MIN(DKW_10Y!$A$2:$A$2918)),NA(),(INDEX(DKW_10Y!$H$2:$H$2918,MATCH($A899,DKW_10Y!$A$2:$A$2918,1))-INDEX(DKW_10Y!$H$2:$H$2918,MATCH(Settings!$B$16,DKW_10Y!$A$2:$A$2918,1)))*100))</f>
        <v/>
      </c>
      <c r="AC899" s="18">
        <f>IF(NOT(ISNUMBER($A899)),NA(),IFERROR(1*INDEX(BBG_Data!$N$2:$N$4000,MATCH($A899,BBG_Data!$M$2:$M$4000,0)),NA()))</f>
        <v/>
      </c>
      <c r="AD899" s="18">
        <f>IF(NOT(ISNUMBER($A899)),NA(),IFERROR(1*INDEX(BBG_Data!$P$2:$P$4000,MATCH($A899,BBG_Data!$O$2:$O$4000,0)),NA()))</f>
        <v/>
      </c>
      <c r="AE899" s="18">
        <f>IF(NOT(ISNUMBER($A899)),NA(),IFERROR(1*INDEX(BBG_Data!$R$2:$R$4000,MATCH($A899,BBG_Data!$Q$2:$Q$4000,0)),NA()))</f>
        <v/>
      </c>
      <c r="AF899" s="20">
        <f>IF(AND(ISNUMBER(B899),ISNUMBER(AC899)),(B899-AC899)*100,NA())</f>
        <v/>
      </c>
      <c r="AG899" s="20">
        <f>IF(AND(ISNUMBER(AE899),ISNUMBER(AD899)),(AE899-AD899)*100,NA())</f>
        <v/>
      </c>
      <c r="AH899" s="19">
        <f>IF(NOT(ISNUMBER($A899)),NA(),IFERROR(INDEX(BBG_Data!$T$2:$T$4000,MATCH($A899,BBG_Data!$S$2:$S$4000,0))*Settings!$B$25,NA()))</f>
        <v/>
      </c>
      <c r="AI899" s="19">
        <f>IF(NOT(ISNUMBER($A899)),NA(),IFERROR(INDEX(BBG_Data!$V$2:$V$4000,MATCH($A899,BBG_Data!$U$2:$U$4000,0))*Settings!$B$25,NA()))</f>
        <v/>
      </c>
      <c r="AJ899" s="19">
        <f>IF(NOT(ISNUMBER($A899)),NA(),IFERROR(1*INDEX(BBG_Data!$X$2:$X$4000,MATCH($A899,BBG_Data!$W$2:$W$4000,0)),NA()))</f>
        <v/>
      </c>
      <c r="AK899" s="19">
        <f>IF(NOT(ISNUMBER($A899)),NA(),IFERROR(1*INDEX(BBG_Data!$Z$2:$Z$4000,MATCH($A899,BBG_Data!$Y$2:$Y$4000,0)),NA()))</f>
        <v/>
      </c>
    </row>
    <row r="900">
      <c r="A900" s="17">
        <f>IF(ISNUMBER(BBG_Data!A900),BBG_Data!A900,"")</f>
        <v/>
      </c>
      <c r="B900" s="18">
        <f>IF(AND(ISNUMBER($A900),ISNUMBER(BBG_Data!B900)),BBG_Data!B900,NA())</f>
        <v/>
      </c>
      <c r="C900" s="18">
        <f>IF(NOT(ISNUMBER($A900)),NA(),IFERROR(1*INDEX(BBG_Data!$D$2:$D$4000,MATCH($A900,BBG_Data!$C$2:$C$4000,0)),NA()))</f>
        <v/>
      </c>
      <c r="D900" s="19">
        <f>IF(NOT(ISNUMBER($A900)),NA(),IFERROR(1*INDEX(BBG_Data!$F$2:$F$4000,MATCH($A900,BBG_Data!$E$2:$E$4000,0)),NA()))</f>
        <v/>
      </c>
      <c r="E900" s="19">
        <f>IF(NOT(ISNUMBER($A900)),NA(),IFERROR(1*INDEX(BBG_Data!$H$2:$H$4000,MATCH($A900,BBG_Data!$G$2:$G$4000,0)),NA()))</f>
        <v/>
      </c>
      <c r="F900" s="20">
        <f>IF(AND(ISNUMBER(B900),ISNUMBER(B899)),IF(B900=B899,"",(B900-B899)*100),"")</f>
        <v/>
      </c>
      <c r="G900" s="20">
        <f>IF(AND(ISNUMBER(C900),ISNUMBER(C899)),IF(C900=C899,"",(C900-C899)*100),"")</f>
        <v/>
      </c>
      <c r="H900" s="20">
        <f>IF(OR(NOT(ISNUMBER($A900)),ROW()-2&lt;Settings!$B$11),NA(),IF(COUNT(OFFSET(F900,1-Settings!$B$11,0,Settings!$B$11,1))&lt;ROUNDUP(Settings!$B$11*Settings!$B$26,0),NA(),STDEV(OFFSET(F900,1-Settings!$B$11,0,Settings!$B$11,1))*SQRT(Settings!$B$13)))</f>
        <v/>
      </c>
      <c r="I900" s="20">
        <f>IF(OR(NOT(ISNUMBER($A900)),ROW()-2&lt;Settings!$B$12),NA(),IF(COUNT(OFFSET(F900,1-Settings!$B$12,0,Settings!$B$12,1))&lt;ROUNDUP(Settings!$B$12*Settings!$B$26,0),NA(),STDEV(OFFSET(F900,1-Settings!$B$12,0,Settings!$B$12,1))*SQRT(Settings!$B$13)))</f>
        <v/>
      </c>
      <c r="J900" s="20">
        <f>IF(OR(NOT(ISNUMBER($A900)),ROW()-2&lt;Settings!$B$11),NA(),IF(COUNT(OFFSET(G900,1-Settings!$B$11,0,Settings!$B$11,1))&lt;ROUNDUP(Settings!$B$11*Settings!$B$26,0),NA(),STDEV(OFFSET(G900,1-Settings!$B$11,0,Settings!$B$11,1))*SQRT(Settings!$B$13)))</f>
        <v/>
      </c>
      <c r="K900" s="20">
        <f>IF(OR(NOT(ISNUMBER($A900)),ROW()-2&lt;Settings!$B$12),NA(),IF(COUNT(OFFSET(G900,1-Settings!$B$12,0,Settings!$B$12,1))&lt;ROUNDUP(Settings!$B$12*Settings!$B$26,0),NA(),STDEV(OFFSET(G900,1-Settings!$B$12,0,Settings!$B$12,1))*SQRT(Settings!$B$13)))</f>
        <v/>
      </c>
      <c r="L900" s="20">
        <f>IF(AND(ISNUMBER(D900),ISNUMBER(H900)),D900-H900,NA())</f>
        <v/>
      </c>
      <c r="M900" s="20">
        <f>IF(AND(ISNUMBER(E900),ISNUMBER(K900)),E900-K900,NA())</f>
        <v/>
      </c>
      <c r="N900" s="20">
        <f>IF(NOT(ISNUMBER($A900)),NA(),IF(COUNT(OFFSET(G900,1,0,Settings!$B$12,1))&lt;ROUNDUP(Settings!$B$12*Settings!$B$26,0),NA(),STDEV(OFFSET(G900,1,0,Settings!$B$12,1))*SQRT(Settings!$B$13)))</f>
        <v/>
      </c>
      <c r="O900" s="20">
        <f>IF(AND(ISNUMBER(E900),ISNUMBER(N900)),E900-N900,NA())</f>
        <v/>
      </c>
      <c r="P900" s="19">
        <f>IF(NOT(ISNUMBER($A900)),NA(),IF(OR($A900&lt;MIN(KW_TP!$A$2:$A$2501),$A900&gt;MAX(KW_TP!$A$2:$A$2501)),NA(),INDEX(KW_TP!$C$2:$C$2501,MATCH($A900,KW_TP!$A$2:$A$2501,1))))</f>
        <v/>
      </c>
      <c r="Q900" s="18">
        <f>IF(NOT(ISNUMBER($A900)),NA(),IFERROR(1*INDEX(BBG_Data!$J$2:$J$4000,MATCH($A900,BBG_Data!$I$2:$I$4000,0)),NA()))</f>
        <v/>
      </c>
      <c r="R900" s="18">
        <f>IF(NOT(ISNUMBER($A900)),NA(),IFERROR(1*INDEX(BBG_Data!$L$2:$L$4000,MATCH($A900,BBG_Data!$K$2:$K$4000,0)),NA()))</f>
        <v/>
      </c>
      <c r="S900" s="20">
        <f>IF(AND(ISNUMBER(B900),ISNUMBER(Q900),ISNUMBER(R900)),(B900-Q900-R900)*100,NA())</f>
        <v/>
      </c>
      <c r="T900" s="20">
        <f>IF(AND(ISNUMBER(B900),Settings!$B$17&gt;0),IF(ISNUMBER(INDEX($B:$B,Settings!$B$17)),(B900-INDEX($B:$B,Settings!$B$17))*100,NA()),NA())</f>
        <v/>
      </c>
      <c r="U900" s="20">
        <f>IF(AND(ISNUMBER(Q900),Settings!$B$17&gt;0),IF(ISNUMBER(INDEX($Q:$Q,Settings!$B$17)),(Q900-INDEX($Q:$Q,Settings!$B$17))*100,NA()),NA())</f>
        <v/>
      </c>
      <c r="V900" s="20">
        <f>IF(AND(ISNUMBER(R900),Settings!$B$17&gt;0),IF(ISNUMBER(INDEX($R:$R,Settings!$B$17)),(R900-INDEX($R:$R,Settings!$B$17))*100,NA()),NA())</f>
        <v/>
      </c>
      <c r="W900" s="20">
        <f>IF(AND(ISNUMBER(P900),Settings!$B$17&gt;0),IF(ISNUMBER(INDEX($P:$P,Settings!$B$17)),P900-INDEX($P:$P,Settings!$B$17),NA()),NA())</f>
        <v/>
      </c>
      <c r="X900" s="19">
        <f>IF(NOT(ISNUMBER($A900)),NA(),IF(OR($A900&lt;MIN(DKW_10Y!$A$2:$A$2918),$A900&gt;MAX(DKW_10Y!$A$2:$A$2918),Settings!$B$16&lt;MIN(DKW_10Y!$A$2:$A$2918)),NA(),(INDEX(DKW_10Y!$B$2:$B$2918,MATCH($A900,DKW_10Y!$A$2:$A$2918,1))-INDEX(DKW_10Y!$B$2:$B$2918,MATCH(Settings!$B$16,DKW_10Y!$A$2:$A$2918,1)))*100))</f>
        <v/>
      </c>
      <c r="Y900" s="19">
        <f>IF(NOT(ISNUMBER($A900)),NA(),IF(OR($A900&lt;MIN(DKW_10Y!$A$2:$A$2918),$A900&gt;MAX(DKW_10Y!$A$2:$A$2918),Settings!$B$16&lt;MIN(DKW_10Y!$A$2:$A$2918)),NA(),(INDEX(DKW_10Y!$C$2:$C$2918,MATCH($A900,DKW_10Y!$A$2:$A$2918,1))-INDEX(DKW_10Y!$C$2:$C$2918,MATCH(Settings!$B$16,DKW_10Y!$A$2:$A$2918,1)))*100))</f>
        <v/>
      </c>
      <c r="Z900" s="19">
        <f>IF(NOT(ISNUMBER($A900)),NA(),IF(OR($A900&lt;MIN(DKW_10Y!$A$2:$A$2918),$A900&gt;MAX(DKW_10Y!$A$2:$A$2918),Settings!$B$16&lt;MIN(DKW_10Y!$A$2:$A$2918)),NA(),(INDEX(DKW_10Y!$D$2:$D$2918,MATCH($A900,DKW_10Y!$A$2:$A$2918,1))-INDEX(DKW_10Y!$D$2:$D$2918,MATCH(Settings!$B$16,DKW_10Y!$A$2:$A$2918,1)))*100))</f>
        <v/>
      </c>
      <c r="AA900" s="19">
        <f>IF(NOT(ISNUMBER($A900)),NA(),IF(OR($A900&lt;MIN(DKW_10Y!$A$2:$A$2918),$A900&gt;MAX(DKW_10Y!$A$2:$A$2918),Settings!$B$16&lt;MIN(DKW_10Y!$A$2:$A$2918)),NA(),(INDEX(DKW_10Y!$E$2:$E$2918,MATCH($A900,DKW_10Y!$A$2:$A$2918,1))-INDEX(DKW_10Y!$E$2:$E$2918,MATCH(Settings!$B$16,DKW_10Y!$A$2:$A$2918,1)))*100))</f>
        <v/>
      </c>
      <c r="AB900" s="19">
        <f>IF(NOT(ISNUMBER($A900)),NA(),IF(OR($A900&lt;MIN(DKW_10Y!$A$2:$A$2918),$A900&gt;MAX(DKW_10Y!$A$2:$A$2918),Settings!$B$16&lt;MIN(DKW_10Y!$A$2:$A$2918)),NA(),(INDEX(DKW_10Y!$H$2:$H$2918,MATCH($A900,DKW_10Y!$A$2:$A$2918,1))-INDEX(DKW_10Y!$H$2:$H$2918,MATCH(Settings!$B$16,DKW_10Y!$A$2:$A$2918,1)))*100))</f>
        <v/>
      </c>
      <c r="AC900" s="18">
        <f>IF(NOT(ISNUMBER($A900)),NA(),IFERROR(1*INDEX(BBG_Data!$N$2:$N$4000,MATCH($A900,BBG_Data!$M$2:$M$4000,0)),NA()))</f>
        <v/>
      </c>
      <c r="AD900" s="18">
        <f>IF(NOT(ISNUMBER($A900)),NA(),IFERROR(1*INDEX(BBG_Data!$P$2:$P$4000,MATCH($A900,BBG_Data!$O$2:$O$4000,0)),NA()))</f>
        <v/>
      </c>
      <c r="AE900" s="18">
        <f>IF(NOT(ISNUMBER($A900)),NA(),IFERROR(1*INDEX(BBG_Data!$R$2:$R$4000,MATCH($A900,BBG_Data!$Q$2:$Q$4000,0)),NA()))</f>
        <v/>
      </c>
      <c r="AF900" s="20">
        <f>IF(AND(ISNUMBER(B900),ISNUMBER(AC900)),(B900-AC900)*100,NA())</f>
        <v/>
      </c>
      <c r="AG900" s="20">
        <f>IF(AND(ISNUMBER(AE900),ISNUMBER(AD900)),(AE900-AD900)*100,NA())</f>
        <v/>
      </c>
      <c r="AH900" s="19">
        <f>IF(NOT(ISNUMBER($A900)),NA(),IFERROR(INDEX(BBG_Data!$T$2:$T$4000,MATCH($A900,BBG_Data!$S$2:$S$4000,0))*Settings!$B$25,NA()))</f>
        <v/>
      </c>
      <c r="AI900" s="19">
        <f>IF(NOT(ISNUMBER($A900)),NA(),IFERROR(INDEX(BBG_Data!$V$2:$V$4000,MATCH($A900,BBG_Data!$U$2:$U$4000,0))*Settings!$B$25,NA()))</f>
        <v/>
      </c>
      <c r="AJ900" s="19">
        <f>IF(NOT(ISNUMBER($A900)),NA(),IFERROR(1*INDEX(BBG_Data!$X$2:$X$4000,MATCH($A900,BBG_Data!$W$2:$W$4000,0)),NA()))</f>
        <v/>
      </c>
      <c r="AK900" s="19">
        <f>IF(NOT(ISNUMBER($A900)),NA(),IFERROR(1*INDEX(BBG_Data!$Z$2:$Z$4000,MATCH($A900,BBG_Data!$Y$2:$Y$4000,0)),NA()))</f>
        <v/>
      </c>
    </row>
    <row r="901">
      <c r="A901" s="17">
        <f>IF(ISNUMBER(BBG_Data!A901),BBG_Data!A901,"")</f>
        <v/>
      </c>
      <c r="B901" s="18">
        <f>IF(AND(ISNUMBER($A901),ISNUMBER(BBG_Data!B901)),BBG_Data!B901,NA())</f>
        <v/>
      </c>
      <c r="C901" s="18">
        <f>IF(NOT(ISNUMBER($A901)),NA(),IFERROR(1*INDEX(BBG_Data!$D$2:$D$4000,MATCH($A901,BBG_Data!$C$2:$C$4000,0)),NA()))</f>
        <v/>
      </c>
      <c r="D901" s="19">
        <f>IF(NOT(ISNUMBER($A901)),NA(),IFERROR(1*INDEX(BBG_Data!$F$2:$F$4000,MATCH($A901,BBG_Data!$E$2:$E$4000,0)),NA()))</f>
        <v/>
      </c>
      <c r="E901" s="19">
        <f>IF(NOT(ISNUMBER($A901)),NA(),IFERROR(1*INDEX(BBG_Data!$H$2:$H$4000,MATCH($A901,BBG_Data!$G$2:$G$4000,0)),NA()))</f>
        <v/>
      </c>
      <c r="F901" s="20">
        <f>IF(AND(ISNUMBER(B901),ISNUMBER(B900)),IF(B901=B900,"",(B901-B900)*100),"")</f>
        <v/>
      </c>
      <c r="G901" s="20">
        <f>IF(AND(ISNUMBER(C901),ISNUMBER(C900)),IF(C901=C900,"",(C901-C900)*100),"")</f>
        <v/>
      </c>
      <c r="H901" s="20">
        <f>IF(OR(NOT(ISNUMBER($A901)),ROW()-2&lt;Settings!$B$11),NA(),IF(COUNT(OFFSET(F901,1-Settings!$B$11,0,Settings!$B$11,1))&lt;ROUNDUP(Settings!$B$11*Settings!$B$26,0),NA(),STDEV(OFFSET(F901,1-Settings!$B$11,0,Settings!$B$11,1))*SQRT(Settings!$B$13)))</f>
        <v/>
      </c>
      <c r="I901" s="20">
        <f>IF(OR(NOT(ISNUMBER($A901)),ROW()-2&lt;Settings!$B$12),NA(),IF(COUNT(OFFSET(F901,1-Settings!$B$12,0,Settings!$B$12,1))&lt;ROUNDUP(Settings!$B$12*Settings!$B$26,0),NA(),STDEV(OFFSET(F901,1-Settings!$B$12,0,Settings!$B$12,1))*SQRT(Settings!$B$13)))</f>
        <v/>
      </c>
      <c r="J901" s="20">
        <f>IF(OR(NOT(ISNUMBER($A901)),ROW()-2&lt;Settings!$B$11),NA(),IF(COUNT(OFFSET(G901,1-Settings!$B$11,0,Settings!$B$11,1))&lt;ROUNDUP(Settings!$B$11*Settings!$B$26,0),NA(),STDEV(OFFSET(G901,1-Settings!$B$11,0,Settings!$B$11,1))*SQRT(Settings!$B$13)))</f>
        <v/>
      </c>
      <c r="K901" s="20">
        <f>IF(OR(NOT(ISNUMBER($A901)),ROW()-2&lt;Settings!$B$12),NA(),IF(COUNT(OFFSET(G901,1-Settings!$B$12,0,Settings!$B$12,1))&lt;ROUNDUP(Settings!$B$12*Settings!$B$26,0),NA(),STDEV(OFFSET(G901,1-Settings!$B$12,0,Settings!$B$12,1))*SQRT(Settings!$B$13)))</f>
        <v/>
      </c>
      <c r="L901" s="20">
        <f>IF(AND(ISNUMBER(D901),ISNUMBER(H901)),D901-H901,NA())</f>
        <v/>
      </c>
      <c r="M901" s="20">
        <f>IF(AND(ISNUMBER(E901),ISNUMBER(K901)),E901-K901,NA())</f>
        <v/>
      </c>
      <c r="N901" s="20">
        <f>IF(NOT(ISNUMBER($A901)),NA(),IF(COUNT(OFFSET(G901,1,0,Settings!$B$12,1))&lt;ROUNDUP(Settings!$B$12*Settings!$B$26,0),NA(),STDEV(OFFSET(G901,1,0,Settings!$B$12,1))*SQRT(Settings!$B$13)))</f>
        <v/>
      </c>
      <c r="O901" s="20">
        <f>IF(AND(ISNUMBER(E901),ISNUMBER(N901)),E901-N901,NA())</f>
        <v/>
      </c>
      <c r="P901" s="19">
        <f>IF(NOT(ISNUMBER($A901)),NA(),IF(OR($A901&lt;MIN(KW_TP!$A$2:$A$2501),$A901&gt;MAX(KW_TP!$A$2:$A$2501)),NA(),INDEX(KW_TP!$C$2:$C$2501,MATCH($A901,KW_TP!$A$2:$A$2501,1))))</f>
        <v/>
      </c>
      <c r="Q901" s="18">
        <f>IF(NOT(ISNUMBER($A901)),NA(),IFERROR(1*INDEX(BBG_Data!$J$2:$J$4000,MATCH($A901,BBG_Data!$I$2:$I$4000,0)),NA()))</f>
        <v/>
      </c>
      <c r="R901" s="18">
        <f>IF(NOT(ISNUMBER($A901)),NA(),IFERROR(1*INDEX(BBG_Data!$L$2:$L$4000,MATCH($A901,BBG_Data!$K$2:$K$4000,0)),NA()))</f>
        <v/>
      </c>
      <c r="S901" s="20">
        <f>IF(AND(ISNUMBER(B901),ISNUMBER(Q901),ISNUMBER(R901)),(B901-Q901-R901)*100,NA())</f>
        <v/>
      </c>
      <c r="T901" s="20">
        <f>IF(AND(ISNUMBER(B901),Settings!$B$17&gt;0),IF(ISNUMBER(INDEX($B:$B,Settings!$B$17)),(B901-INDEX($B:$B,Settings!$B$17))*100,NA()),NA())</f>
        <v/>
      </c>
      <c r="U901" s="20">
        <f>IF(AND(ISNUMBER(Q901),Settings!$B$17&gt;0),IF(ISNUMBER(INDEX($Q:$Q,Settings!$B$17)),(Q901-INDEX($Q:$Q,Settings!$B$17))*100,NA()),NA())</f>
        <v/>
      </c>
      <c r="V901" s="20">
        <f>IF(AND(ISNUMBER(R901),Settings!$B$17&gt;0),IF(ISNUMBER(INDEX($R:$R,Settings!$B$17)),(R901-INDEX($R:$R,Settings!$B$17))*100,NA()),NA())</f>
        <v/>
      </c>
      <c r="W901" s="20">
        <f>IF(AND(ISNUMBER(P901),Settings!$B$17&gt;0),IF(ISNUMBER(INDEX($P:$P,Settings!$B$17)),P901-INDEX($P:$P,Settings!$B$17),NA()),NA())</f>
        <v/>
      </c>
      <c r="X901" s="19">
        <f>IF(NOT(ISNUMBER($A901)),NA(),IF(OR($A901&lt;MIN(DKW_10Y!$A$2:$A$2918),$A901&gt;MAX(DKW_10Y!$A$2:$A$2918),Settings!$B$16&lt;MIN(DKW_10Y!$A$2:$A$2918)),NA(),(INDEX(DKW_10Y!$B$2:$B$2918,MATCH($A901,DKW_10Y!$A$2:$A$2918,1))-INDEX(DKW_10Y!$B$2:$B$2918,MATCH(Settings!$B$16,DKW_10Y!$A$2:$A$2918,1)))*100))</f>
        <v/>
      </c>
      <c r="Y901" s="19">
        <f>IF(NOT(ISNUMBER($A901)),NA(),IF(OR($A901&lt;MIN(DKW_10Y!$A$2:$A$2918),$A901&gt;MAX(DKW_10Y!$A$2:$A$2918),Settings!$B$16&lt;MIN(DKW_10Y!$A$2:$A$2918)),NA(),(INDEX(DKW_10Y!$C$2:$C$2918,MATCH($A901,DKW_10Y!$A$2:$A$2918,1))-INDEX(DKW_10Y!$C$2:$C$2918,MATCH(Settings!$B$16,DKW_10Y!$A$2:$A$2918,1)))*100))</f>
        <v/>
      </c>
      <c r="Z901" s="19">
        <f>IF(NOT(ISNUMBER($A901)),NA(),IF(OR($A901&lt;MIN(DKW_10Y!$A$2:$A$2918),$A901&gt;MAX(DKW_10Y!$A$2:$A$2918),Settings!$B$16&lt;MIN(DKW_10Y!$A$2:$A$2918)),NA(),(INDEX(DKW_10Y!$D$2:$D$2918,MATCH($A901,DKW_10Y!$A$2:$A$2918,1))-INDEX(DKW_10Y!$D$2:$D$2918,MATCH(Settings!$B$16,DKW_10Y!$A$2:$A$2918,1)))*100))</f>
        <v/>
      </c>
      <c r="AA901" s="19">
        <f>IF(NOT(ISNUMBER($A901)),NA(),IF(OR($A901&lt;MIN(DKW_10Y!$A$2:$A$2918),$A901&gt;MAX(DKW_10Y!$A$2:$A$2918),Settings!$B$16&lt;MIN(DKW_10Y!$A$2:$A$2918)),NA(),(INDEX(DKW_10Y!$E$2:$E$2918,MATCH($A901,DKW_10Y!$A$2:$A$2918,1))-INDEX(DKW_10Y!$E$2:$E$2918,MATCH(Settings!$B$16,DKW_10Y!$A$2:$A$2918,1)))*100))</f>
        <v/>
      </c>
      <c r="AB901" s="19">
        <f>IF(NOT(ISNUMBER($A901)),NA(),IF(OR($A901&lt;MIN(DKW_10Y!$A$2:$A$2918),$A901&gt;MAX(DKW_10Y!$A$2:$A$2918),Settings!$B$16&lt;MIN(DKW_10Y!$A$2:$A$2918)),NA(),(INDEX(DKW_10Y!$H$2:$H$2918,MATCH($A901,DKW_10Y!$A$2:$A$2918,1))-INDEX(DKW_10Y!$H$2:$H$2918,MATCH(Settings!$B$16,DKW_10Y!$A$2:$A$2918,1)))*100))</f>
        <v/>
      </c>
      <c r="AC901" s="18">
        <f>IF(NOT(ISNUMBER($A901)),NA(),IFERROR(1*INDEX(BBG_Data!$N$2:$N$4000,MATCH($A901,BBG_Data!$M$2:$M$4000,0)),NA()))</f>
        <v/>
      </c>
      <c r="AD901" s="18">
        <f>IF(NOT(ISNUMBER($A901)),NA(),IFERROR(1*INDEX(BBG_Data!$P$2:$P$4000,MATCH($A901,BBG_Data!$O$2:$O$4000,0)),NA()))</f>
        <v/>
      </c>
      <c r="AE901" s="18">
        <f>IF(NOT(ISNUMBER($A901)),NA(),IFERROR(1*INDEX(BBG_Data!$R$2:$R$4000,MATCH($A901,BBG_Data!$Q$2:$Q$4000,0)),NA()))</f>
        <v/>
      </c>
      <c r="AF901" s="20">
        <f>IF(AND(ISNUMBER(B901),ISNUMBER(AC901)),(B901-AC901)*100,NA())</f>
        <v/>
      </c>
      <c r="AG901" s="20">
        <f>IF(AND(ISNUMBER(AE901),ISNUMBER(AD901)),(AE901-AD901)*100,NA())</f>
        <v/>
      </c>
      <c r="AH901" s="19">
        <f>IF(NOT(ISNUMBER($A901)),NA(),IFERROR(INDEX(BBG_Data!$T$2:$T$4000,MATCH($A901,BBG_Data!$S$2:$S$4000,0))*Settings!$B$25,NA()))</f>
        <v/>
      </c>
      <c r="AI901" s="19">
        <f>IF(NOT(ISNUMBER($A901)),NA(),IFERROR(INDEX(BBG_Data!$V$2:$V$4000,MATCH($A901,BBG_Data!$U$2:$U$4000,0))*Settings!$B$25,NA()))</f>
        <v/>
      </c>
      <c r="AJ901" s="19">
        <f>IF(NOT(ISNUMBER($A901)),NA(),IFERROR(1*INDEX(BBG_Data!$X$2:$X$4000,MATCH($A901,BBG_Data!$W$2:$W$4000,0)),NA()))</f>
        <v/>
      </c>
      <c r="AK901" s="19">
        <f>IF(NOT(ISNUMBER($A901)),NA(),IFERROR(1*INDEX(BBG_Data!$Z$2:$Z$4000,MATCH($A901,BBG_Data!$Y$2:$Y$4000,0)),NA()))</f>
        <v/>
      </c>
    </row>
    <row r="902">
      <c r="A902" s="17">
        <f>IF(ISNUMBER(BBG_Data!A902),BBG_Data!A902,"")</f>
        <v/>
      </c>
      <c r="B902" s="18">
        <f>IF(AND(ISNUMBER($A902),ISNUMBER(BBG_Data!B902)),BBG_Data!B902,NA())</f>
        <v/>
      </c>
      <c r="C902" s="18">
        <f>IF(NOT(ISNUMBER($A902)),NA(),IFERROR(1*INDEX(BBG_Data!$D$2:$D$4000,MATCH($A902,BBG_Data!$C$2:$C$4000,0)),NA()))</f>
        <v/>
      </c>
      <c r="D902" s="19">
        <f>IF(NOT(ISNUMBER($A902)),NA(),IFERROR(1*INDEX(BBG_Data!$F$2:$F$4000,MATCH($A902,BBG_Data!$E$2:$E$4000,0)),NA()))</f>
        <v/>
      </c>
      <c r="E902" s="19">
        <f>IF(NOT(ISNUMBER($A902)),NA(),IFERROR(1*INDEX(BBG_Data!$H$2:$H$4000,MATCH($A902,BBG_Data!$G$2:$G$4000,0)),NA()))</f>
        <v/>
      </c>
      <c r="F902" s="20">
        <f>IF(AND(ISNUMBER(B902),ISNUMBER(B901)),IF(B902=B901,"",(B902-B901)*100),"")</f>
        <v/>
      </c>
      <c r="G902" s="20">
        <f>IF(AND(ISNUMBER(C902),ISNUMBER(C901)),IF(C902=C901,"",(C902-C901)*100),"")</f>
        <v/>
      </c>
      <c r="H902" s="20">
        <f>IF(OR(NOT(ISNUMBER($A902)),ROW()-2&lt;Settings!$B$11),NA(),IF(COUNT(OFFSET(F902,1-Settings!$B$11,0,Settings!$B$11,1))&lt;ROUNDUP(Settings!$B$11*Settings!$B$26,0),NA(),STDEV(OFFSET(F902,1-Settings!$B$11,0,Settings!$B$11,1))*SQRT(Settings!$B$13)))</f>
        <v/>
      </c>
      <c r="I902" s="20">
        <f>IF(OR(NOT(ISNUMBER($A902)),ROW()-2&lt;Settings!$B$12),NA(),IF(COUNT(OFFSET(F902,1-Settings!$B$12,0,Settings!$B$12,1))&lt;ROUNDUP(Settings!$B$12*Settings!$B$26,0),NA(),STDEV(OFFSET(F902,1-Settings!$B$12,0,Settings!$B$12,1))*SQRT(Settings!$B$13)))</f>
        <v/>
      </c>
      <c r="J902" s="20">
        <f>IF(OR(NOT(ISNUMBER($A902)),ROW()-2&lt;Settings!$B$11),NA(),IF(COUNT(OFFSET(G902,1-Settings!$B$11,0,Settings!$B$11,1))&lt;ROUNDUP(Settings!$B$11*Settings!$B$26,0),NA(),STDEV(OFFSET(G902,1-Settings!$B$11,0,Settings!$B$11,1))*SQRT(Settings!$B$13)))</f>
        <v/>
      </c>
      <c r="K902" s="20">
        <f>IF(OR(NOT(ISNUMBER($A902)),ROW()-2&lt;Settings!$B$12),NA(),IF(COUNT(OFFSET(G902,1-Settings!$B$12,0,Settings!$B$12,1))&lt;ROUNDUP(Settings!$B$12*Settings!$B$26,0),NA(),STDEV(OFFSET(G902,1-Settings!$B$12,0,Settings!$B$12,1))*SQRT(Settings!$B$13)))</f>
        <v/>
      </c>
      <c r="L902" s="20">
        <f>IF(AND(ISNUMBER(D902),ISNUMBER(H902)),D902-H902,NA())</f>
        <v/>
      </c>
      <c r="M902" s="20">
        <f>IF(AND(ISNUMBER(E902),ISNUMBER(K902)),E902-K902,NA())</f>
        <v/>
      </c>
      <c r="N902" s="20">
        <f>IF(NOT(ISNUMBER($A902)),NA(),IF(COUNT(OFFSET(G902,1,0,Settings!$B$12,1))&lt;ROUNDUP(Settings!$B$12*Settings!$B$26,0),NA(),STDEV(OFFSET(G902,1,0,Settings!$B$12,1))*SQRT(Settings!$B$13)))</f>
        <v/>
      </c>
      <c r="O902" s="20">
        <f>IF(AND(ISNUMBER(E902),ISNUMBER(N902)),E902-N902,NA())</f>
        <v/>
      </c>
      <c r="P902" s="19">
        <f>IF(NOT(ISNUMBER($A902)),NA(),IF(OR($A902&lt;MIN(KW_TP!$A$2:$A$2501),$A902&gt;MAX(KW_TP!$A$2:$A$2501)),NA(),INDEX(KW_TP!$C$2:$C$2501,MATCH($A902,KW_TP!$A$2:$A$2501,1))))</f>
        <v/>
      </c>
      <c r="Q902" s="18">
        <f>IF(NOT(ISNUMBER($A902)),NA(),IFERROR(1*INDEX(BBG_Data!$J$2:$J$4000,MATCH($A902,BBG_Data!$I$2:$I$4000,0)),NA()))</f>
        <v/>
      </c>
      <c r="R902" s="18">
        <f>IF(NOT(ISNUMBER($A902)),NA(),IFERROR(1*INDEX(BBG_Data!$L$2:$L$4000,MATCH($A902,BBG_Data!$K$2:$K$4000,0)),NA()))</f>
        <v/>
      </c>
      <c r="S902" s="20">
        <f>IF(AND(ISNUMBER(B902),ISNUMBER(Q902),ISNUMBER(R902)),(B902-Q902-R902)*100,NA())</f>
        <v/>
      </c>
      <c r="T902" s="20">
        <f>IF(AND(ISNUMBER(B902),Settings!$B$17&gt;0),IF(ISNUMBER(INDEX($B:$B,Settings!$B$17)),(B902-INDEX($B:$B,Settings!$B$17))*100,NA()),NA())</f>
        <v/>
      </c>
      <c r="U902" s="20">
        <f>IF(AND(ISNUMBER(Q902),Settings!$B$17&gt;0),IF(ISNUMBER(INDEX($Q:$Q,Settings!$B$17)),(Q902-INDEX($Q:$Q,Settings!$B$17))*100,NA()),NA())</f>
        <v/>
      </c>
      <c r="V902" s="20">
        <f>IF(AND(ISNUMBER(R902),Settings!$B$17&gt;0),IF(ISNUMBER(INDEX($R:$R,Settings!$B$17)),(R902-INDEX($R:$R,Settings!$B$17))*100,NA()),NA())</f>
        <v/>
      </c>
      <c r="W902" s="20">
        <f>IF(AND(ISNUMBER(P902),Settings!$B$17&gt;0),IF(ISNUMBER(INDEX($P:$P,Settings!$B$17)),P902-INDEX($P:$P,Settings!$B$17),NA()),NA())</f>
        <v/>
      </c>
      <c r="X902" s="19">
        <f>IF(NOT(ISNUMBER($A902)),NA(),IF(OR($A902&lt;MIN(DKW_10Y!$A$2:$A$2918),$A902&gt;MAX(DKW_10Y!$A$2:$A$2918),Settings!$B$16&lt;MIN(DKW_10Y!$A$2:$A$2918)),NA(),(INDEX(DKW_10Y!$B$2:$B$2918,MATCH($A902,DKW_10Y!$A$2:$A$2918,1))-INDEX(DKW_10Y!$B$2:$B$2918,MATCH(Settings!$B$16,DKW_10Y!$A$2:$A$2918,1)))*100))</f>
        <v/>
      </c>
      <c r="Y902" s="19">
        <f>IF(NOT(ISNUMBER($A902)),NA(),IF(OR($A902&lt;MIN(DKW_10Y!$A$2:$A$2918),$A902&gt;MAX(DKW_10Y!$A$2:$A$2918),Settings!$B$16&lt;MIN(DKW_10Y!$A$2:$A$2918)),NA(),(INDEX(DKW_10Y!$C$2:$C$2918,MATCH($A902,DKW_10Y!$A$2:$A$2918,1))-INDEX(DKW_10Y!$C$2:$C$2918,MATCH(Settings!$B$16,DKW_10Y!$A$2:$A$2918,1)))*100))</f>
        <v/>
      </c>
      <c r="Z902" s="19">
        <f>IF(NOT(ISNUMBER($A902)),NA(),IF(OR($A902&lt;MIN(DKW_10Y!$A$2:$A$2918),$A902&gt;MAX(DKW_10Y!$A$2:$A$2918),Settings!$B$16&lt;MIN(DKW_10Y!$A$2:$A$2918)),NA(),(INDEX(DKW_10Y!$D$2:$D$2918,MATCH($A902,DKW_10Y!$A$2:$A$2918,1))-INDEX(DKW_10Y!$D$2:$D$2918,MATCH(Settings!$B$16,DKW_10Y!$A$2:$A$2918,1)))*100))</f>
        <v/>
      </c>
      <c r="AA902" s="19">
        <f>IF(NOT(ISNUMBER($A902)),NA(),IF(OR($A902&lt;MIN(DKW_10Y!$A$2:$A$2918),$A902&gt;MAX(DKW_10Y!$A$2:$A$2918),Settings!$B$16&lt;MIN(DKW_10Y!$A$2:$A$2918)),NA(),(INDEX(DKW_10Y!$E$2:$E$2918,MATCH($A902,DKW_10Y!$A$2:$A$2918,1))-INDEX(DKW_10Y!$E$2:$E$2918,MATCH(Settings!$B$16,DKW_10Y!$A$2:$A$2918,1)))*100))</f>
        <v/>
      </c>
      <c r="AB902" s="19">
        <f>IF(NOT(ISNUMBER($A902)),NA(),IF(OR($A902&lt;MIN(DKW_10Y!$A$2:$A$2918),$A902&gt;MAX(DKW_10Y!$A$2:$A$2918),Settings!$B$16&lt;MIN(DKW_10Y!$A$2:$A$2918)),NA(),(INDEX(DKW_10Y!$H$2:$H$2918,MATCH($A902,DKW_10Y!$A$2:$A$2918,1))-INDEX(DKW_10Y!$H$2:$H$2918,MATCH(Settings!$B$16,DKW_10Y!$A$2:$A$2918,1)))*100))</f>
        <v/>
      </c>
      <c r="AC902" s="18">
        <f>IF(NOT(ISNUMBER($A902)),NA(),IFERROR(1*INDEX(BBG_Data!$N$2:$N$4000,MATCH($A902,BBG_Data!$M$2:$M$4000,0)),NA()))</f>
        <v/>
      </c>
      <c r="AD902" s="18">
        <f>IF(NOT(ISNUMBER($A902)),NA(),IFERROR(1*INDEX(BBG_Data!$P$2:$P$4000,MATCH($A902,BBG_Data!$O$2:$O$4000,0)),NA()))</f>
        <v/>
      </c>
      <c r="AE902" s="18">
        <f>IF(NOT(ISNUMBER($A902)),NA(),IFERROR(1*INDEX(BBG_Data!$R$2:$R$4000,MATCH($A902,BBG_Data!$Q$2:$Q$4000,0)),NA()))</f>
        <v/>
      </c>
      <c r="AF902" s="20">
        <f>IF(AND(ISNUMBER(B902),ISNUMBER(AC902)),(B902-AC902)*100,NA())</f>
        <v/>
      </c>
      <c r="AG902" s="20">
        <f>IF(AND(ISNUMBER(AE902),ISNUMBER(AD902)),(AE902-AD902)*100,NA())</f>
        <v/>
      </c>
      <c r="AH902" s="19">
        <f>IF(NOT(ISNUMBER($A902)),NA(),IFERROR(INDEX(BBG_Data!$T$2:$T$4000,MATCH($A902,BBG_Data!$S$2:$S$4000,0))*Settings!$B$25,NA()))</f>
        <v/>
      </c>
      <c r="AI902" s="19">
        <f>IF(NOT(ISNUMBER($A902)),NA(),IFERROR(INDEX(BBG_Data!$V$2:$V$4000,MATCH($A902,BBG_Data!$U$2:$U$4000,0))*Settings!$B$25,NA()))</f>
        <v/>
      </c>
      <c r="AJ902" s="19">
        <f>IF(NOT(ISNUMBER($A902)),NA(),IFERROR(1*INDEX(BBG_Data!$X$2:$X$4000,MATCH($A902,BBG_Data!$W$2:$W$4000,0)),NA()))</f>
        <v/>
      </c>
      <c r="AK902" s="19">
        <f>IF(NOT(ISNUMBER($A902)),NA(),IFERROR(1*INDEX(BBG_Data!$Z$2:$Z$4000,MATCH($A902,BBG_Data!$Y$2:$Y$4000,0)),NA()))</f>
        <v/>
      </c>
    </row>
    <row r="903">
      <c r="A903" s="17">
        <f>IF(ISNUMBER(BBG_Data!A903),BBG_Data!A903,"")</f>
        <v/>
      </c>
      <c r="B903" s="18">
        <f>IF(AND(ISNUMBER($A903),ISNUMBER(BBG_Data!B903)),BBG_Data!B903,NA())</f>
        <v/>
      </c>
      <c r="C903" s="18">
        <f>IF(NOT(ISNUMBER($A903)),NA(),IFERROR(1*INDEX(BBG_Data!$D$2:$D$4000,MATCH($A903,BBG_Data!$C$2:$C$4000,0)),NA()))</f>
        <v/>
      </c>
      <c r="D903" s="19">
        <f>IF(NOT(ISNUMBER($A903)),NA(),IFERROR(1*INDEX(BBG_Data!$F$2:$F$4000,MATCH($A903,BBG_Data!$E$2:$E$4000,0)),NA()))</f>
        <v/>
      </c>
      <c r="E903" s="19">
        <f>IF(NOT(ISNUMBER($A903)),NA(),IFERROR(1*INDEX(BBG_Data!$H$2:$H$4000,MATCH($A903,BBG_Data!$G$2:$G$4000,0)),NA()))</f>
        <v/>
      </c>
      <c r="F903" s="20">
        <f>IF(AND(ISNUMBER(B903),ISNUMBER(B902)),IF(B903=B902,"",(B903-B902)*100),"")</f>
        <v/>
      </c>
      <c r="G903" s="20">
        <f>IF(AND(ISNUMBER(C903),ISNUMBER(C902)),IF(C903=C902,"",(C903-C902)*100),"")</f>
        <v/>
      </c>
      <c r="H903" s="20">
        <f>IF(OR(NOT(ISNUMBER($A903)),ROW()-2&lt;Settings!$B$11),NA(),IF(COUNT(OFFSET(F903,1-Settings!$B$11,0,Settings!$B$11,1))&lt;ROUNDUP(Settings!$B$11*Settings!$B$26,0),NA(),STDEV(OFFSET(F903,1-Settings!$B$11,0,Settings!$B$11,1))*SQRT(Settings!$B$13)))</f>
        <v/>
      </c>
      <c r="I903" s="20">
        <f>IF(OR(NOT(ISNUMBER($A903)),ROW()-2&lt;Settings!$B$12),NA(),IF(COUNT(OFFSET(F903,1-Settings!$B$12,0,Settings!$B$12,1))&lt;ROUNDUP(Settings!$B$12*Settings!$B$26,0),NA(),STDEV(OFFSET(F903,1-Settings!$B$12,0,Settings!$B$12,1))*SQRT(Settings!$B$13)))</f>
        <v/>
      </c>
      <c r="J903" s="20">
        <f>IF(OR(NOT(ISNUMBER($A903)),ROW()-2&lt;Settings!$B$11),NA(),IF(COUNT(OFFSET(G903,1-Settings!$B$11,0,Settings!$B$11,1))&lt;ROUNDUP(Settings!$B$11*Settings!$B$26,0),NA(),STDEV(OFFSET(G903,1-Settings!$B$11,0,Settings!$B$11,1))*SQRT(Settings!$B$13)))</f>
        <v/>
      </c>
      <c r="K903" s="20">
        <f>IF(OR(NOT(ISNUMBER($A903)),ROW()-2&lt;Settings!$B$12),NA(),IF(COUNT(OFFSET(G903,1-Settings!$B$12,0,Settings!$B$12,1))&lt;ROUNDUP(Settings!$B$12*Settings!$B$26,0),NA(),STDEV(OFFSET(G903,1-Settings!$B$12,0,Settings!$B$12,1))*SQRT(Settings!$B$13)))</f>
        <v/>
      </c>
      <c r="L903" s="20">
        <f>IF(AND(ISNUMBER(D903),ISNUMBER(H903)),D903-H903,NA())</f>
        <v/>
      </c>
      <c r="M903" s="20">
        <f>IF(AND(ISNUMBER(E903),ISNUMBER(K903)),E903-K903,NA())</f>
        <v/>
      </c>
      <c r="N903" s="20">
        <f>IF(NOT(ISNUMBER($A903)),NA(),IF(COUNT(OFFSET(G903,1,0,Settings!$B$12,1))&lt;ROUNDUP(Settings!$B$12*Settings!$B$26,0),NA(),STDEV(OFFSET(G903,1,0,Settings!$B$12,1))*SQRT(Settings!$B$13)))</f>
        <v/>
      </c>
      <c r="O903" s="20">
        <f>IF(AND(ISNUMBER(E903),ISNUMBER(N903)),E903-N903,NA())</f>
        <v/>
      </c>
      <c r="P903" s="19">
        <f>IF(NOT(ISNUMBER($A903)),NA(),IF(OR($A903&lt;MIN(KW_TP!$A$2:$A$2501),$A903&gt;MAX(KW_TP!$A$2:$A$2501)),NA(),INDEX(KW_TP!$C$2:$C$2501,MATCH($A903,KW_TP!$A$2:$A$2501,1))))</f>
        <v/>
      </c>
      <c r="Q903" s="18">
        <f>IF(NOT(ISNUMBER($A903)),NA(),IFERROR(1*INDEX(BBG_Data!$J$2:$J$4000,MATCH($A903,BBG_Data!$I$2:$I$4000,0)),NA()))</f>
        <v/>
      </c>
      <c r="R903" s="18">
        <f>IF(NOT(ISNUMBER($A903)),NA(),IFERROR(1*INDEX(BBG_Data!$L$2:$L$4000,MATCH($A903,BBG_Data!$K$2:$K$4000,0)),NA()))</f>
        <v/>
      </c>
      <c r="S903" s="20">
        <f>IF(AND(ISNUMBER(B903),ISNUMBER(Q903),ISNUMBER(R903)),(B903-Q903-R903)*100,NA())</f>
        <v/>
      </c>
      <c r="T903" s="20">
        <f>IF(AND(ISNUMBER(B903),Settings!$B$17&gt;0),IF(ISNUMBER(INDEX($B:$B,Settings!$B$17)),(B903-INDEX($B:$B,Settings!$B$17))*100,NA()),NA())</f>
        <v/>
      </c>
      <c r="U903" s="20">
        <f>IF(AND(ISNUMBER(Q903),Settings!$B$17&gt;0),IF(ISNUMBER(INDEX($Q:$Q,Settings!$B$17)),(Q903-INDEX($Q:$Q,Settings!$B$17))*100,NA()),NA())</f>
        <v/>
      </c>
      <c r="V903" s="20">
        <f>IF(AND(ISNUMBER(R903),Settings!$B$17&gt;0),IF(ISNUMBER(INDEX($R:$R,Settings!$B$17)),(R903-INDEX($R:$R,Settings!$B$17))*100,NA()),NA())</f>
        <v/>
      </c>
      <c r="W903" s="20">
        <f>IF(AND(ISNUMBER(P903),Settings!$B$17&gt;0),IF(ISNUMBER(INDEX($P:$P,Settings!$B$17)),P903-INDEX($P:$P,Settings!$B$17),NA()),NA())</f>
        <v/>
      </c>
      <c r="X903" s="19">
        <f>IF(NOT(ISNUMBER($A903)),NA(),IF(OR($A903&lt;MIN(DKW_10Y!$A$2:$A$2918),$A903&gt;MAX(DKW_10Y!$A$2:$A$2918),Settings!$B$16&lt;MIN(DKW_10Y!$A$2:$A$2918)),NA(),(INDEX(DKW_10Y!$B$2:$B$2918,MATCH($A903,DKW_10Y!$A$2:$A$2918,1))-INDEX(DKW_10Y!$B$2:$B$2918,MATCH(Settings!$B$16,DKW_10Y!$A$2:$A$2918,1)))*100))</f>
        <v/>
      </c>
      <c r="Y903" s="19">
        <f>IF(NOT(ISNUMBER($A903)),NA(),IF(OR($A903&lt;MIN(DKW_10Y!$A$2:$A$2918),$A903&gt;MAX(DKW_10Y!$A$2:$A$2918),Settings!$B$16&lt;MIN(DKW_10Y!$A$2:$A$2918)),NA(),(INDEX(DKW_10Y!$C$2:$C$2918,MATCH($A903,DKW_10Y!$A$2:$A$2918,1))-INDEX(DKW_10Y!$C$2:$C$2918,MATCH(Settings!$B$16,DKW_10Y!$A$2:$A$2918,1)))*100))</f>
        <v/>
      </c>
      <c r="Z903" s="19">
        <f>IF(NOT(ISNUMBER($A903)),NA(),IF(OR($A903&lt;MIN(DKW_10Y!$A$2:$A$2918),$A903&gt;MAX(DKW_10Y!$A$2:$A$2918),Settings!$B$16&lt;MIN(DKW_10Y!$A$2:$A$2918)),NA(),(INDEX(DKW_10Y!$D$2:$D$2918,MATCH($A903,DKW_10Y!$A$2:$A$2918,1))-INDEX(DKW_10Y!$D$2:$D$2918,MATCH(Settings!$B$16,DKW_10Y!$A$2:$A$2918,1)))*100))</f>
        <v/>
      </c>
      <c r="AA903" s="19">
        <f>IF(NOT(ISNUMBER($A903)),NA(),IF(OR($A903&lt;MIN(DKW_10Y!$A$2:$A$2918),$A903&gt;MAX(DKW_10Y!$A$2:$A$2918),Settings!$B$16&lt;MIN(DKW_10Y!$A$2:$A$2918)),NA(),(INDEX(DKW_10Y!$E$2:$E$2918,MATCH($A903,DKW_10Y!$A$2:$A$2918,1))-INDEX(DKW_10Y!$E$2:$E$2918,MATCH(Settings!$B$16,DKW_10Y!$A$2:$A$2918,1)))*100))</f>
        <v/>
      </c>
      <c r="AB903" s="19">
        <f>IF(NOT(ISNUMBER($A903)),NA(),IF(OR($A903&lt;MIN(DKW_10Y!$A$2:$A$2918),$A903&gt;MAX(DKW_10Y!$A$2:$A$2918),Settings!$B$16&lt;MIN(DKW_10Y!$A$2:$A$2918)),NA(),(INDEX(DKW_10Y!$H$2:$H$2918,MATCH($A903,DKW_10Y!$A$2:$A$2918,1))-INDEX(DKW_10Y!$H$2:$H$2918,MATCH(Settings!$B$16,DKW_10Y!$A$2:$A$2918,1)))*100))</f>
        <v/>
      </c>
      <c r="AC903" s="18">
        <f>IF(NOT(ISNUMBER($A903)),NA(),IFERROR(1*INDEX(BBG_Data!$N$2:$N$4000,MATCH($A903,BBG_Data!$M$2:$M$4000,0)),NA()))</f>
        <v/>
      </c>
      <c r="AD903" s="18">
        <f>IF(NOT(ISNUMBER($A903)),NA(),IFERROR(1*INDEX(BBG_Data!$P$2:$P$4000,MATCH($A903,BBG_Data!$O$2:$O$4000,0)),NA()))</f>
        <v/>
      </c>
      <c r="AE903" s="18">
        <f>IF(NOT(ISNUMBER($A903)),NA(),IFERROR(1*INDEX(BBG_Data!$R$2:$R$4000,MATCH($A903,BBG_Data!$Q$2:$Q$4000,0)),NA()))</f>
        <v/>
      </c>
      <c r="AF903" s="20">
        <f>IF(AND(ISNUMBER(B903),ISNUMBER(AC903)),(B903-AC903)*100,NA())</f>
        <v/>
      </c>
      <c r="AG903" s="20">
        <f>IF(AND(ISNUMBER(AE903),ISNUMBER(AD903)),(AE903-AD903)*100,NA())</f>
        <v/>
      </c>
      <c r="AH903" s="19">
        <f>IF(NOT(ISNUMBER($A903)),NA(),IFERROR(INDEX(BBG_Data!$T$2:$T$4000,MATCH($A903,BBG_Data!$S$2:$S$4000,0))*Settings!$B$25,NA()))</f>
        <v/>
      </c>
      <c r="AI903" s="19">
        <f>IF(NOT(ISNUMBER($A903)),NA(),IFERROR(INDEX(BBG_Data!$V$2:$V$4000,MATCH($A903,BBG_Data!$U$2:$U$4000,0))*Settings!$B$25,NA()))</f>
        <v/>
      </c>
      <c r="AJ903" s="19">
        <f>IF(NOT(ISNUMBER($A903)),NA(),IFERROR(1*INDEX(BBG_Data!$X$2:$X$4000,MATCH($A903,BBG_Data!$W$2:$W$4000,0)),NA()))</f>
        <v/>
      </c>
      <c r="AK903" s="19">
        <f>IF(NOT(ISNUMBER($A903)),NA(),IFERROR(1*INDEX(BBG_Data!$Z$2:$Z$4000,MATCH($A903,BBG_Data!$Y$2:$Y$4000,0)),NA()))</f>
        <v/>
      </c>
    </row>
    <row r="904">
      <c r="A904" s="17">
        <f>IF(ISNUMBER(BBG_Data!A904),BBG_Data!A904,"")</f>
        <v/>
      </c>
      <c r="B904" s="18">
        <f>IF(AND(ISNUMBER($A904),ISNUMBER(BBG_Data!B904)),BBG_Data!B904,NA())</f>
        <v/>
      </c>
      <c r="C904" s="18">
        <f>IF(NOT(ISNUMBER($A904)),NA(),IFERROR(1*INDEX(BBG_Data!$D$2:$D$4000,MATCH($A904,BBG_Data!$C$2:$C$4000,0)),NA()))</f>
        <v/>
      </c>
      <c r="D904" s="19">
        <f>IF(NOT(ISNUMBER($A904)),NA(),IFERROR(1*INDEX(BBG_Data!$F$2:$F$4000,MATCH($A904,BBG_Data!$E$2:$E$4000,0)),NA()))</f>
        <v/>
      </c>
      <c r="E904" s="19">
        <f>IF(NOT(ISNUMBER($A904)),NA(),IFERROR(1*INDEX(BBG_Data!$H$2:$H$4000,MATCH($A904,BBG_Data!$G$2:$G$4000,0)),NA()))</f>
        <v/>
      </c>
      <c r="F904" s="20">
        <f>IF(AND(ISNUMBER(B904),ISNUMBER(B903)),IF(B904=B903,"",(B904-B903)*100),"")</f>
        <v/>
      </c>
      <c r="G904" s="20">
        <f>IF(AND(ISNUMBER(C904),ISNUMBER(C903)),IF(C904=C903,"",(C904-C903)*100),"")</f>
        <v/>
      </c>
      <c r="H904" s="20">
        <f>IF(OR(NOT(ISNUMBER($A904)),ROW()-2&lt;Settings!$B$11),NA(),IF(COUNT(OFFSET(F904,1-Settings!$B$11,0,Settings!$B$11,1))&lt;ROUNDUP(Settings!$B$11*Settings!$B$26,0),NA(),STDEV(OFFSET(F904,1-Settings!$B$11,0,Settings!$B$11,1))*SQRT(Settings!$B$13)))</f>
        <v/>
      </c>
      <c r="I904" s="20">
        <f>IF(OR(NOT(ISNUMBER($A904)),ROW()-2&lt;Settings!$B$12),NA(),IF(COUNT(OFFSET(F904,1-Settings!$B$12,0,Settings!$B$12,1))&lt;ROUNDUP(Settings!$B$12*Settings!$B$26,0),NA(),STDEV(OFFSET(F904,1-Settings!$B$12,0,Settings!$B$12,1))*SQRT(Settings!$B$13)))</f>
        <v/>
      </c>
      <c r="J904" s="20">
        <f>IF(OR(NOT(ISNUMBER($A904)),ROW()-2&lt;Settings!$B$11),NA(),IF(COUNT(OFFSET(G904,1-Settings!$B$11,0,Settings!$B$11,1))&lt;ROUNDUP(Settings!$B$11*Settings!$B$26,0),NA(),STDEV(OFFSET(G904,1-Settings!$B$11,0,Settings!$B$11,1))*SQRT(Settings!$B$13)))</f>
        <v/>
      </c>
      <c r="K904" s="20">
        <f>IF(OR(NOT(ISNUMBER($A904)),ROW()-2&lt;Settings!$B$12),NA(),IF(COUNT(OFFSET(G904,1-Settings!$B$12,0,Settings!$B$12,1))&lt;ROUNDUP(Settings!$B$12*Settings!$B$26,0),NA(),STDEV(OFFSET(G904,1-Settings!$B$12,0,Settings!$B$12,1))*SQRT(Settings!$B$13)))</f>
        <v/>
      </c>
      <c r="L904" s="20">
        <f>IF(AND(ISNUMBER(D904),ISNUMBER(H904)),D904-H904,NA())</f>
        <v/>
      </c>
      <c r="M904" s="20">
        <f>IF(AND(ISNUMBER(E904),ISNUMBER(K904)),E904-K904,NA())</f>
        <v/>
      </c>
      <c r="N904" s="20">
        <f>IF(NOT(ISNUMBER($A904)),NA(),IF(COUNT(OFFSET(G904,1,0,Settings!$B$12,1))&lt;ROUNDUP(Settings!$B$12*Settings!$B$26,0),NA(),STDEV(OFFSET(G904,1,0,Settings!$B$12,1))*SQRT(Settings!$B$13)))</f>
        <v/>
      </c>
      <c r="O904" s="20">
        <f>IF(AND(ISNUMBER(E904),ISNUMBER(N904)),E904-N904,NA())</f>
        <v/>
      </c>
      <c r="P904" s="19">
        <f>IF(NOT(ISNUMBER($A904)),NA(),IF(OR($A904&lt;MIN(KW_TP!$A$2:$A$2501),$A904&gt;MAX(KW_TP!$A$2:$A$2501)),NA(),INDEX(KW_TP!$C$2:$C$2501,MATCH($A904,KW_TP!$A$2:$A$2501,1))))</f>
        <v/>
      </c>
      <c r="Q904" s="18">
        <f>IF(NOT(ISNUMBER($A904)),NA(),IFERROR(1*INDEX(BBG_Data!$J$2:$J$4000,MATCH($A904,BBG_Data!$I$2:$I$4000,0)),NA()))</f>
        <v/>
      </c>
      <c r="R904" s="18">
        <f>IF(NOT(ISNUMBER($A904)),NA(),IFERROR(1*INDEX(BBG_Data!$L$2:$L$4000,MATCH($A904,BBG_Data!$K$2:$K$4000,0)),NA()))</f>
        <v/>
      </c>
      <c r="S904" s="20">
        <f>IF(AND(ISNUMBER(B904),ISNUMBER(Q904),ISNUMBER(R904)),(B904-Q904-R904)*100,NA())</f>
        <v/>
      </c>
      <c r="T904" s="20">
        <f>IF(AND(ISNUMBER(B904),Settings!$B$17&gt;0),IF(ISNUMBER(INDEX($B:$B,Settings!$B$17)),(B904-INDEX($B:$B,Settings!$B$17))*100,NA()),NA())</f>
        <v/>
      </c>
      <c r="U904" s="20">
        <f>IF(AND(ISNUMBER(Q904),Settings!$B$17&gt;0),IF(ISNUMBER(INDEX($Q:$Q,Settings!$B$17)),(Q904-INDEX($Q:$Q,Settings!$B$17))*100,NA()),NA())</f>
        <v/>
      </c>
      <c r="V904" s="20">
        <f>IF(AND(ISNUMBER(R904),Settings!$B$17&gt;0),IF(ISNUMBER(INDEX($R:$R,Settings!$B$17)),(R904-INDEX($R:$R,Settings!$B$17))*100,NA()),NA())</f>
        <v/>
      </c>
      <c r="W904" s="20">
        <f>IF(AND(ISNUMBER(P904),Settings!$B$17&gt;0),IF(ISNUMBER(INDEX($P:$P,Settings!$B$17)),P904-INDEX($P:$P,Settings!$B$17),NA()),NA())</f>
        <v/>
      </c>
      <c r="X904" s="19">
        <f>IF(NOT(ISNUMBER($A904)),NA(),IF(OR($A904&lt;MIN(DKW_10Y!$A$2:$A$2918),$A904&gt;MAX(DKW_10Y!$A$2:$A$2918),Settings!$B$16&lt;MIN(DKW_10Y!$A$2:$A$2918)),NA(),(INDEX(DKW_10Y!$B$2:$B$2918,MATCH($A904,DKW_10Y!$A$2:$A$2918,1))-INDEX(DKW_10Y!$B$2:$B$2918,MATCH(Settings!$B$16,DKW_10Y!$A$2:$A$2918,1)))*100))</f>
        <v/>
      </c>
      <c r="Y904" s="19">
        <f>IF(NOT(ISNUMBER($A904)),NA(),IF(OR($A904&lt;MIN(DKW_10Y!$A$2:$A$2918),$A904&gt;MAX(DKW_10Y!$A$2:$A$2918),Settings!$B$16&lt;MIN(DKW_10Y!$A$2:$A$2918)),NA(),(INDEX(DKW_10Y!$C$2:$C$2918,MATCH($A904,DKW_10Y!$A$2:$A$2918,1))-INDEX(DKW_10Y!$C$2:$C$2918,MATCH(Settings!$B$16,DKW_10Y!$A$2:$A$2918,1)))*100))</f>
        <v/>
      </c>
      <c r="Z904" s="19">
        <f>IF(NOT(ISNUMBER($A904)),NA(),IF(OR($A904&lt;MIN(DKW_10Y!$A$2:$A$2918),$A904&gt;MAX(DKW_10Y!$A$2:$A$2918),Settings!$B$16&lt;MIN(DKW_10Y!$A$2:$A$2918)),NA(),(INDEX(DKW_10Y!$D$2:$D$2918,MATCH($A904,DKW_10Y!$A$2:$A$2918,1))-INDEX(DKW_10Y!$D$2:$D$2918,MATCH(Settings!$B$16,DKW_10Y!$A$2:$A$2918,1)))*100))</f>
        <v/>
      </c>
      <c r="AA904" s="19">
        <f>IF(NOT(ISNUMBER($A904)),NA(),IF(OR($A904&lt;MIN(DKW_10Y!$A$2:$A$2918),$A904&gt;MAX(DKW_10Y!$A$2:$A$2918),Settings!$B$16&lt;MIN(DKW_10Y!$A$2:$A$2918)),NA(),(INDEX(DKW_10Y!$E$2:$E$2918,MATCH($A904,DKW_10Y!$A$2:$A$2918,1))-INDEX(DKW_10Y!$E$2:$E$2918,MATCH(Settings!$B$16,DKW_10Y!$A$2:$A$2918,1)))*100))</f>
        <v/>
      </c>
      <c r="AB904" s="19">
        <f>IF(NOT(ISNUMBER($A904)),NA(),IF(OR($A904&lt;MIN(DKW_10Y!$A$2:$A$2918),$A904&gt;MAX(DKW_10Y!$A$2:$A$2918),Settings!$B$16&lt;MIN(DKW_10Y!$A$2:$A$2918)),NA(),(INDEX(DKW_10Y!$H$2:$H$2918,MATCH($A904,DKW_10Y!$A$2:$A$2918,1))-INDEX(DKW_10Y!$H$2:$H$2918,MATCH(Settings!$B$16,DKW_10Y!$A$2:$A$2918,1)))*100))</f>
        <v/>
      </c>
      <c r="AC904" s="18">
        <f>IF(NOT(ISNUMBER($A904)),NA(),IFERROR(1*INDEX(BBG_Data!$N$2:$N$4000,MATCH($A904,BBG_Data!$M$2:$M$4000,0)),NA()))</f>
        <v/>
      </c>
      <c r="AD904" s="18">
        <f>IF(NOT(ISNUMBER($A904)),NA(),IFERROR(1*INDEX(BBG_Data!$P$2:$P$4000,MATCH($A904,BBG_Data!$O$2:$O$4000,0)),NA()))</f>
        <v/>
      </c>
      <c r="AE904" s="18">
        <f>IF(NOT(ISNUMBER($A904)),NA(),IFERROR(1*INDEX(BBG_Data!$R$2:$R$4000,MATCH($A904,BBG_Data!$Q$2:$Q$4000,0)),NA()))</f>
        <v/>
      </c>
      <c r="AF904" s="20">
        <f>IF(AND(ISNUMBER(B904),ISNUMBER(AC904)),(B904-AC904)*100,NA())</f>
        <v/>
      </c>
      <c r="AG904" s="20">
        <f>IF(AND(ISNUMBER(AE904),ISNUMBER(AD904)),(AE904-AD904)*100,NA())</f>
        <v/>
      </c>
      <c r="AH904" s="19">
        <f>IF(NOT(ISNUMBER($A904)),NA(),IFERROR(INDEX(BBG_Data!$T$2:$T$4000,MATCH($A904,BBG_Data!$S$2:$S$4000,0))*Settings!$B$25,NA()))</f>
        <v/>
      </c>
      <c r="AI904" s="19">
        <f>IF(NOT(ISNUMBER($A904)),NA(),IFERROR(INDEX(BBG_Data!$V$2:$V$4000,MATCH($A904,BBG_Data!$U$2:$U$4000,0))*Settings!$B$25,NA()))</f>
        <v/>
      </c>
      <c r="AJ904" s="19">
        <f>IF(NOT(ISNUMBER($A904)),NA(),IFERROR(1*INDEX(BBG_Data!$X$2:$X$4000,MATCH($A904,BBG_Data!$W$2:$W$4000,0)),NA()))</f>
        <v/>
      </c>
      <c r="AK904" s="19">
        <f>IF(NOT(ISNUMBER($A904)),NA(),IFERROR(1*INDEX(BBG_Data!$Z$2:$Z$4000,MATCH($A904,BBG_Data!$Y$2:$Y$4000,0)),NA()))</f>
        <v/>
      </c>
    </row>
    <row r="905">
      <c r="A905" s="17">
        <f>IF(ISNUMBER(BBG_Data!A905),BBG_Data!A905,"")</f>
        <v/>
      </c>
      <c r="B905" s="18">
        <f>IF(AND(ISNUMBER($A905),ISNUMBER(BBG_Data!B905)),BBG_Data!B905,NA())</f>
        <v/>
      </c>
      <c r="C905" s="18">
        <f>IF(NOT(ISNUMBER($A905)),NA(),IFERROR(1*INDEX(BBG_Data!$D$2:$D$4000,MATCH($A905,BBG_Data!$C$2:$C$4000,0)),NA()))</f>
        <v/>
      </c>
      <c r="D905" s="19">
        <f>IF(NOT(ISNUMBER($A905)),NA(),IFERROR(1*INDEX(BBG_Data!$F$2:$F$4000,MATCH($A905,BBG_Data!$E$2:$E$4000,0)),NA()))</f>
        <v/>
      </c>
      <c r="E905" s="19">
        <f>IF(NOT(ISNUMBER($A905)),NA(),IFERROR(1*INDEX(BBG_Data!$H$2:$H$4000,MATCH($A905,BBG_Data!$G$2:$G$4000,0)),NA()))</f>
        <v/>
      </c>
      <c r="F905" s="20">
        <f>IF(AND(ISNUMBER(B905),ISNUMBER(B904)),IF(B905=B904,"",(B905-B904)*100),"")</f>
        <v/>
      </c>
      <c r="G905" s="20">
        <f>IF(AND(ISNUMBER(C905),ISNUMBER(C904)),IF(C905=C904,"",(C905-C904)*100),"")</f>
        <v/>
      </c>
      <c r="H905" s="20">
        <f>IF(OR(NOT(ISNUMBER($A905)),ROW()-2&lt;Settings!$B$11),NA(),IF(COUNT(OFFSET(F905,1-Settings!$B$11,0,Settings!$B$11,1))&lt;ROUNDUP(Settings!$B$11*Settings!$B$26,0),NA(),STDEV(OFFSET(F905,1-Settings!$B$11,0,Settings!$B$11,1))*SQRT(Settings!$B$13)))</f>
        <v/>
      </c>
      <c r="I905" s="20">
        <f>IF(OR(NOT(ISNUMBER($A905)),ROW()-2&lt;Settings!$B$12),NA(),IF(COUNT(OFFSET(F905,1-Settings!$B$12,0,Settings!$B$12,1))&lt;ROUNDUP(Settings!$B$12*Settings!$B$26,0),NA(),STDEV(OFFSET(F905,1-Settings!$B$12,0,Settings!$B$12,1))*SQRT(Settings!$B$13)))</f>
        <v/>
      </c>
      <c r="J905" s="20">
        <f>IF(OR(NOT(ISNUMBER($A905)),ROW()-2&lt;Settings!$B$11),NA(),IF(COUNT(OFFSET(G905,1-Settings!$B$11,0,Settings!$B$11,1))&lt;ROUNDUP(Settings!$B$11*Settings!$B$26,0),NA(),STDEV(OFFSET(G905,1-Settings!$B$11,0,Settings!$B$11,1))*SQRT(Settings!$B$13)))</f>
        <v/>
      </c>
      <c r="K905" s="20">
        <f>IF(OR(NOT(ISNUMBER($A905)),ROW()-2&lt;Settings!$B$12),NA(),IF(COUNT(OFFSET(G905,1-Settings!$B$12,0,Settings!$B$12,1))&lt;ROUNDUP(Settings!$B$12*Settings!$B$26,0),NA(),STDEV(OFFSET(G905,1-Settings!$B$12,0,Settings!$B$12,1))*SQRT(Settings!$B$13)))</f>
        <v/>
      </c>
      <c r="L905" s="20">
        <f>IF(AND(ISNUMBER(D905),ISNUMBER(H905)),D905-H905,NA())</f>
        <v/>
      </c>
      <c r="M905" s="20">
        <f>IF(AND(ISNUMBER(E905),ISNUMBER(K905)),E905-K905,NA())</f>
        <v/>
      </c>
      <c r="N905" s="20">
        <f>IF(NOT(ISNUMBER($A905)),NA(),IF(COUNT(OFFSET(G905,1,0,Settings!$B$12,1))&lt;ROUNDUP(Settings!$B$12*Settings!$B$26,0),NA(),STDEV(OFFSET(G905,1,0,Settings!$B$12,1))*SQRT(Settings!$B$13)))</f>
        <v/>
      </c>
      <c r="O905" s="20">
        <f>IF(AND(ISNUMBER(E905),ISNUMBER(N905)),E905-N905,NA())</f>
        <v/>
      </c>
      <c r="P905" s="19">
        <f>IF(NOT(ISNUMBER($A905)),NA(),IF(OR($A905&lt;MIN(KW_TP!$A$2:$A$2501),$A905&gt;MAX(KW_TP!$A$2:$A$2501)),NA(),INDEX(KW_TP!$C$2:$C$2501,MATCH($A905,KW_TP!$A$2:$A$2501,1))))</f>
        <v/>
      </c>
      <c r="Q905" s="18">
        <f>IF(NOT(ISNUMBER($A905)),NA(),IFERROR(1*INDEX(BBG_Data!$J$2:$J$4000,MATCH($A905,BBG_Data!$I$2:$I$4000,0)),NA()))</f>
        <v/>
      </c>
      <c r="R905" s="18">
        <f>IF(NOT(ISNUMBER($A905)),NA(),IFERROR(1*INDEX(BBG_Data!$L$2:$L$4000,MATCH($A905,BBG_Data!$K$2:$K$4000,0)),NA()))</f>
        <v/>
      </c>
      <c r="S905" s="20">
        <f>IF(AND(ISNUMBER(B905),ISNUMBER(Q905),ISNUMBER(R905)),(B905-Q905-R905)*100,NA())</f>
        <v/>
      </c>
      <c r="T905" s="20">
        <f>IF(AND(ISNUMBER(B905),Settings!$B$17&gt;0),IF(ISNUMBER(INDEX($B:$B,Settings!$B$17)),(B905-INDEX($B:$B,Settings!$B$17))*100,NA()),NA())</f>
        <v/>
      </c>
      <c r="U905" s="20">
        <f>IF(AND(ISNUMBER(Q905),Settings!$B$17&gt;0),IF(ISNUMBER(INDEX($Q:$Q,Settings!$B$17)),(Q905-INDEX($Q:$Q,Settings!$B$17))*100,NA()),NA())</f>
        <v/>
      </c>
      <c r="V905" s="20">
        <f>IF(AND(ISNUMBER(R905),Settings!$B$17&gt;0),IF(ISNUMBER(INDEX($R:$R,Settings!$B$17)),(R905-INDEX($R:$R,Settings!$B$17))*100,NA()),NA())</f>
        <v/>
      </c>
      <c r="W905" s="20">
        <f>IF(AND(ISNUMBER(P905),Settings!$B$17&gt;0),IF(ISNUMBER(INDEX($P:$P,Settings!$B$17)),P905-INDEX($P:$P,Settings!$B$17),NA()),NA())</f>
        <v/>
      </c>
      <c r="X905" s="19">
        <f>IF(NOT(ISNUMBER($A905)),NA(),IF(OR($A905&lt;MIN(DKW_10Y!$A$2:$A$2918),$A905&gt;MAX(DKW_10Y!$A$2:$A$2918),Settings!$B$16&lt;MIN(DKW_10Y!$A$2:$A$2918)),NA(),(INDEX(DKW_10Y!$B$2:$B$2918,MATCH($A905,DKW_10Y!$A$2:$A$2918,1))-INDEX(DKW_10Y!$B$2:$B$2918,MATCH(Settings!$B$16,DKW_10Y!$A$2:$A$2918,1)))*100))</f>
        <v/>
      </c>
      <c r="Y905" s="19">
        <f>IF(NOT(ISNUMBER($A905)),NA(),IF(OR($A905&lt;MIN(DKW_10Y!$A$2:$A$2918),$A905&gt;MAX(DKW_10Y!$A$2:$A$2918),Settings!$B$16&lt;MIN(DKW_10Y!$A$2:$A$2918)),NA(),(INDEX(DKW_10Y!$C$2:$C$2918,MATCH($A905,DKW_10Y!$A$2:$A$2918,1))-INDEX(DKW_10Y!$C$2:$C$2918,MATCH(Settings!$B$16,DKW_10Y!$A$2:$A$2918,1)))*100))</f>
        <v/>
      </c>
      <c r="Z905" s="19">
        <f>IF(NOT(ISNUMBER($A905)),NA(),IF(OR($A905&lt;MIN(DKW_10Y!$A$2:$A$2918),$A905&gt;MAX(DKW_10Y!$A$2:$A$2918),Settings!$B$16&lt;MIN(DKW_10Y!$A$2:$A$2918)),NA(),(INDEX(DKW_10Y!$D$2:$D$2918,MATCH($A905,DKW_10Y!$A$2:$A$2918,1))-INDEX(DKW_10Y!$D$2:$D$2918,MATCH(Settings!$B$16,DKW_10Y!$A$2:$A$2918,1)))*100))</f>
        <v/>
      </c>
      <c r="AA905" s="19">
        <f>IF(NOT(ISNUMBER($A905)),NA(),IF(OR($A905&lt;MIN(DKW_10Y!$A$2:$A$2918),$A905&gt;MAX(DKW_10Y!$A$2:$A$2918),Settings!$B$16&lt;MIN(DKW_10Y!$A$2:$A$2918)),NA(),(INDEX(DKW_10Y!$E$2:$E$2918,MATCH($A905,DKW_10Y!$A$2:$A$2918,1))-INDEX(DKW_10Y!$E$2:$E$2918,MATCH(Settings!$B$16,DKW_10Y!$A$2:$A$2918,1)))*100))</f>
        <v/>
      </c>
      <c r="AB905" s="19">
        <f>IF(NOT(ISNUMBER($A905)),NA(),IF(OR($A905&lt;MIN(DKW_10Y!$A$2:$A$2918),$A905&gt;MAX(DKW_10Y!$A$2:$A$2918),Settings!$B$16&lt;MIN(DKW_10Y!$A$2:$A$2918)),NA(),(INDEX(DKW_10Y!$H$2:$H$2918,MATCH($A905,DKW_10Y!$A$2:$A$2918,1))-INDEX(DKW_10Y!$H$2:$H$2918,MATCH(Settings!$B$16,DKW_10Y!$A$2:$A$2918,1)))*100))</f>
        <v/>
      </c>
      <c r="AC905" s="18">
        <f>IF(NOT(ISNUMBER($A905)),NA(),IFERROR(1*INDEX(BBG_Data!$N$2:$N$4000,MATCH($A905,BBG_Data!$M$2:$M$4000,0)),NA()))</f>
        <v/>
      </c>
      <c r="AD905" s="18">
        <f>IF(NOT(ISNUMBER($A905)),NA(),IFERROR(1*INDEX(BBG_Data!$P$2:$P$4000,MATCH($A905,BBG_Data!$O$2:$O$4000,0)),NA()))</f>
        <v/>
      </c>
      <c r="AE905" s="18">
        <f>IF(NOT(ISNUMBER($A905)),NA(),IFERROR(1*INDEX(BBG_Data!$R$2:$R$4000,MATCH($A905,BBG_Data!$Q$2:$Q$4000,0)),NA()))</f>
        <v/>
      </c>
      <c r="AF905" s="20">
        <f>IF(AND(ISNUMBER(B905),ISNUMBER(AC905)),(B905-AC905)*100,NA())</f>
        <v/>
      </c>
      <c r="AG905" s="20">
        <f>IF(AND(ISNUMBER(AE905),ISNUMBER(AD905)),(AE905-AD905)*100,NA())</f>
        <v/>
      </c>
      <c r="AH905" s="19">
        <f>IF(NOT(ISNUMBER($A905)),NA(),IFERROR(INDEX(BBG_Data!$T$2:$T$4000,MATCH($A905,BBG_Data!$S$2:$S$4000,0))*Settings!$B$25,NA()))</f>
        <v/>
      </c>
      <c r="AI905" s="19">
        <f>IF(NOT(ISNUMBER($A905)),NA(),IFERROR(INDEX(BBG_Data!$V$2:$V$4000,MATCH($A905,BBG_Data!$U$2:$U$4000,0))*Settings!$B$25,NA()))</f>
        <v/>
      </c>
      <c r="AJ905" s="19">
        <f>IF(NOT(ISNUMBER($A905)),NA(),IFERROR(1*INDEX(BBG_Data!$X$2:$X$4000,MATCH($A905,BBG_Data!$W$2:$W$4000,0)),NA()))</f>
        <v/>
      </c>
      <c r="AK905" s="19">
        <f>IF(NOT(ISNUMBER($A905)),NA(),IFERROR(1*INDEX(BBG_Data!$Z$2:$Z$4000,MATCH($A905,BBG_Data!$Y$2:$Y$4000,0)),NA()))</f>
        <v/>
      </c>
    </row>
    <row r="906">
      <c r="A906" s="17">
        <f>IF(ISNUMBER(BBG_Data!A906),BBG_Data!A906,"")</f>
        <v/>
      </c>
      <c r="B906" s="18">
        <f>IF(AND(ISNUMBER($A906),ISNUMBER(BBG_Data!B906)),BBG_Data!B906,NA())</f>
        <v/>
      </c>
      <c r="C906" s="18">
        <f>IF(NOT(ISNUMBER($A906)),NA(),IFERROR(1*INDEX(BBG_Data!$D$2:$D$4000,MATCH($A906,BBG_Data!$C$2:$C$4000,0)),NA()))</f>
        <v/>
      </c>
      <c r="D906" s="19">
        <f>IF(NOT(ISNUMBER($A906)),NA(),IFERROR(1*INDEX(BBG_Data!$F$2:$F$4000,MATCH($A906,BBG_Data!$E$2:$E$4000,0)),NA()))</f>
        <v/>
      </c>
      <c r="E906" s="19">
        <f>IF(NOT(ISNUMBER($A906)),NA(),IFERROR(1*INDEX(BBG_Data!$H$2:$H$4000,MATCH($A906,BBG_Data!$G$2:$G$4000,0)),NA()))</f>
        <v/>
      </c>
      <c r="F906" s="20">
        <f>IF(AND(ISNUMBER(B906),ISNUMBER(B905)),IF(B906=B905,"",(B906-B905)*100),"")</f>
        <v/>
      </c>
      <c r="G906" s="20">
        <f>IF(AND(ISNUMBER(C906),ISNUMBER(C905)),IF(C906=C905,"",(C906-C905)*100),"")</f>
        <v/>
      </c>
      <c r="H906" s="20">
        <f>IF(OR(NOT(ISNUMBER($A906)),ROW()-2&lt;Settings!$B$11),NA(),IF(COUNT(OFFSET(F906,1-Settings!$B$11,0,Settings!$B$11,1))&lt;ROUNDUP(Settings!$B$11*Settings!$B$26,0),NA(),STDEV(OFFSET(F906,1-Settings!$B$11,0,Settings!$B$11,1))*SQRT(Settings!$B$13)))</f>
        <v/>
      </c>
      <c r="I906" s="20">
        <f>IF(OR(NOT(ISNUMBER($A906)),ROW()-2&lt;Settings!$B$12),NA(),IF(COUNT(OFFSET(F906,1-Settings!$B$12,0,Settings!$B$12,1))&lt;ROUNDUP(Settings!$B$12*Settings!$B$26,0),NA(),STDEV(OFFSET(F906,1-Settings!$B$12,0,Settings!$B$12,1))*SQRT(Settings!$B$13)))</f>
        <v/>
      </c>
      <c r="J906" s="20">
        <f>IF(OR(NOT(ISNUMBER($A906)),ROW()-2&lt;Settings!$B$11),NA(),IF(COUNT(OFFSET(G906,1-Settings!$B$11,0,Settings!$B$11,1))&lt;ROUNDUP(Settings!$B$11*Settings!$B$26,0),NA(),STDEV(OFFSET(G906,1-Settings!$B$11,0,Settings!$B$11,1))*SQRT(Settings!$B$13)))</f>
        <v/>
      </c>
      <c r="K906" s="20">
        <f>IF(OR(NOT(ISNUMBER($A906)),ROW()-2&lt;Settings!$B$12),NA(),IF(COUNT(OFFSET(G906,1-Settings!$B$12,0,Settings!$B$12,1))&lt;ROUNDUP(Settings!$B$12*Settings!$B$26,0),NA(),STDEV(OFFSET(G906,1-Settings!$B$12,0,Settings!$B$12,1))*SQRT(Settings!$B$13)))</f>
        <v/>
      </c>
      <c r="L906" s="20">
        <f>IF(AND(ISNUMBER(D906),ISNUMBER(H906)),D906-H906,NA())</f>
        <v/>
      </c>
      <c r="M906" s="20">
        <f>IF(AND(ISNUMBER(E906),ISNUMBER(K906)),E906-K906,NA())</f>
        <v/>
      </c>
      <c r="N906" s="20">
        <f>IF(NOT(ISNUMBER($A906)),NA(),IF(COUNT(OFFSET(G906,1,0,Settings!$B$12,1))&lt;ROUNDUP(Settings!$B$12*Settings!$B$26,0),NA(),STDEV(OFFSET(G906,1,0,Settings!$B$12,1))*SQRT(Settings!$B$13)))</f>
        <v/>
      </c>
      <c r="O906" s="20">
        <f>IF(AND(ISNUMBER(E906),ISNUMBER(N906)),E906-N906,NA())</f>
        <v/>
      </c>
      <c r="P906" s="19">
        <f>IF(NOT(ISNUMBER($A906)),NA(),IF(OR($A906&lt;MIN(KW_TP!$A$2:$A$2501),$A906&gt;MAX(KW_TP!$A$2:$A$2501)),NA(),INDEX(KW_TP!$C$2:$C$2501,MATCH($A906,KW_TP!$A$2:$A$2501,1))))</f>
        <v/>
      </c>
      <c r="Q906" s="18">
        <f>IF(NOT(ISNUMBER($A906)),NA(),IFERROR(1*INDEX(BBG_Data!$J$2:$J$4000,MATCH($A906,BBG_Data!$I$2:$I$4000,0)),NA()))</f>
        <v/>
      </c>
      <c r="R906" s="18">
        <f>IF(NOT(ISNUMBER($A906)),NA(),IFERROR(1*INDEX(BBG_Data!$L$2:$L$4000,MATCH($A906,BBG_Data!$K$2:$K$4000,0)),NA()))</f>
        <v/>
      </c>
      <c r="S906" s="20">
        <f>IF(AND(ISNUMBER(B906),ISNUMBER(Q906),ISNUMBER(R906)),(B906-Q906-R906)*100,NA())</f>
        <v/>
      </c>
      <c r="T906" s="20">
        <f>IF(AND(ISNUMBER(B906),Settings!$B$17&gt;0),IF(ISNUMBER(INDEX($B:$B,Settings!$B$17)),(B906-INDEX($B:$B,Settings!$B$17))*100,NA()),NA())</f>
        <v/>
      </c>
      <c r="U906" s="20">
        <f>IF(AND(ISNUMBER(Q906),Settings!$B$17&gt;0),IF(ISNUMBER(INDEX($Q:$Q,Settings!$B$17)),(Q906-INDEX($Q:$Q,Settings!$B$17))*100,NA()),NA())</f>
        <v/>
      </c>
      <c r="V906" s="20">
        <f>IF(AND(ISNUMBER(R906),Settings!$B$17&gt;0),IF(ISNUMBER(INDEX($R:$R,Settings!$B$17)),(R906-INDEX($R:$R,Settings!$B$17))*100,NA()),NA())</f>
        <v/>
      </c>
      <c r="W906" s="20">
        <f>IF(AND(ISNUMBER(P906),Settings!$B$17&gt;0),IF(ISNUMBER(INDEX($P:$P,Settings!$B$17)),P906-INDEX($P:$P,Settings!$B$17),NA()),NA())</f>
        <v/>
      </c>
      <c r="X906" s="19">
        <f>IF(NOT(ISNUMBER($A906)),NA(),IF(OR($A906&lt;MIN(DKW_10Y!$A$2:$A$2918),$A906&gt;MAX(DKW_10Y!$A$2:$A$2918),Settings!$B$16&lt;MIN(DKW_10Y!$A$2:$A$2918)),NA(),(INDEX(DKW_10Y!$B$2:$B$2918,MATCH($A906,DKW_10Y!$A$2:$A$2918,1))-INDEX(DKW_10Y!$B$2:$B$2918,MATCH(Settings!$B$16,DKW_10Y!$A$2:$A$2918,1)))*100))</f>
        <v/>
      </c>
      <c r="Y906" s="19">
        <f>IF(NOT(ISNUMBER($A906)),NA(),IF(OR($A906&lt;MIN(DKW_10Y!$A$2:$A$2918),$A906&gt;MAX(DKW_10Y!$A$2:$A$2918),Settings!$B$16&lt;MIN(DKW_10Y!$A$2:$A$2918)),NA(),(INDEX(DKW_10Y!$C$2:$C$2918,MATCH($A906,DKW_10Y!$A$2:$A$2918,1))-INDEX(DKW_10Y!$C$2:$C$2918,MATCH(Settings!$B$16,DKW_10Y!$A$2:$A$2918,1)))*100))</f>
        <v/>
      </c>
      <c r="Z906" s="19">
        <f>IF(NOT(ISNUMBER($A906)),NA(),IF(OR($A906&lt;MIN(DKW_10Y!$A$2:$A$2918),$A906&gt;MAX(DKW_10Y!$A$2:$A$2918),Settings!$B$16&lt;MIN(DKW_10Y!$A$2:$A$2918)),NA(),(INDEX(DKW_10Y!$D$2:$D$2918,MATCH($A906,DKW_10Y!$A$2:$A$2918,1))-INDEX(DKW_10Y!$D$2:$D$2918,MATCH(Settings!$B$16,DKW_10Y!$A$2:$A$2918,1)))*100))</f>
        <v/>
      </c>
      <c r="AA906" s="19">
        <f>IF(NOT(ISNUMBER($A906)),NA(),IF(OR($A906&lt;MIN(DKW_10Y!$A$2:$A$2918),$A906&gt;MAX(DKW_10Y!$A$2:$A$2918),Settings!$B$16&lt;MIN(DKW_10Y!$A$2:$A$2918)),NA(),(INDEX(DKW_10Y!$E$2:$E$2918,MATCH($A906,DKW_10Y!$A$2:$A$2918,1))-INDEX(DKW_10Y!$E$2:$E$2918,MATCH(Settings!$B$16,DKW_10Y!$A$2:$A$2918,1)))*100))</f>
        <v/>
      </c>
      <c r="AB906" s="19">
        <f>IF(NOT(ISNUMBER($A906)),NA(),IF(OR($A906&lt;MIN(DKW_10Y!$A$2:$A$2918),$A906&gt;MAX(DKW_10Y!$A$2:$A$2918),Settings!$B$16&lt;MIN(DKW_10Y!$A$2:$A$2918)),NA(),(INDEX(DKW_10Y!$H$2:$H$2918,MATCH($A906,DKW_10Y!$A$2:$A$2918,1))-INDEX(DKW_10Y!$H$2:$H$2918,MATCH(Settings!$B$16,DKW_10Y!$A$2:$A$2918,1)))*100))</f>
        <v/>
      </c>
      <c r="AC906" s="18">
        <f>IF(NOT(ISNUMBER($A906)),NA(),IFERROR(1*INDEX(BBG_Data!$N$2:$N$4000,MATCH($A906,BBG_Data!$M$2:$M$4000,0)),NA()))</f>
        <v/>
      </c>
      <c r="AD906" s="18">
        <f>IF(NOT(ISNUMBER($A906)),NA(),IFERROR(1*INDEX(BBG_Data!$P$2:$P$4000,MATCH($A906,BBG_Data!$O$2:$O$4000,0)),NA()))</f>
        <v/>
      </c>
      <c r="AE906" s="18">
        <f>IF(NOT(ISNUMBER($A906)),NA(),IFERROR(1*INDEX(BBG_Data!$R$2:$R$4000,MATCH($A906,BBG_Data!$Q$2:$Q$4000,0)),NA()))</f>
        <v/>
      </c>
      <c r="AF906" s="20">
        <f>IF(AND(ISNUMBER(B906),ISNUMBER(AC906)),(B906-AC906)*100,NA())</f>
        <v/>
      </c>
      <c r="AG906" s="20">
        <f>IF(AND(ISNUMBER(AE906),ISNUMBER(AD906)),(AE906-AD906)*100,NA())</f>
        <v/>
      </c>
      <c r="AH906" s="19">
        <f>IF(NOT(ISNUMBER($A906)),NA(),IFERROR(INDEX(BBG_Data!$T$2:$T$4000,MATCH($A906,BBG_Data!$S$2:$S$4000,0))*Settings!$B$25,NA()))</f>
        <v/>
      </c>
      <c r="AI906" s="19">
        <f>IF(NOT(ISNUMBER($A906)),NA(),IFERROR(INDEX(BBG_Data!$V$2:$V$4000,MATCH($A906,BBG_Data!$U$2:$U$4000,0))*Settings!$B$25,NA()))</f>
        <v/>
      </c>
      <c r="AJ906" s="19">
        <f>IF(NOT(ISNUMBER($A906)),NA(),IFERROR(1*INDEX(BBG_Data!$X$2:$X$4000,MATCH($A906,BBG_Data!$W$2:$W$4000,0)),NA()))</f>
        <v/>
      </c>
      <c r="AK906" s="19">
        <f>IF(NOT(ISNUMBER($A906)),NA(),IFERROR(1*INDEX(BBG_Data!$Z$2:$Z$4000,MATCH($A906,BBG_Data!$Y$2:$Y$4000,0)),NA()))</f>
        <v/>
      </c>
    </row>
    <row r="907">
      <c r="A907" s="17">
        <f>IF(ISNUMBER(BBG_Data!A907),BBG_Data!A907,"")</f>
        <v/>
      </c>
      <c r="B907" s="18">
        <f>IF(AND(ISNUMBER($A907),ISNUMBER(BBG_Data!B907)),BBG_Data!B907,NA())</f>
        <v/>
      </c>
      <c r="C907" s="18">
        <f>IF(NOT(ISNUMBER($A907)),NA(),IFERROR(1*INDEX(BBG_Data!$D$2:$D$4000,MATCH($A907,BBG_Data!$C$2:$C$4000,0)),NA()))</f>
        <v/>
      </c>
      <c r="D907" s="19">
        <f>IF(NOT(ISNUMBER($A907)),NA(),IFERROR(1*INDEX(BBG_Data!$F$2:$F$4000,MATCH($A907,BBG_Data!$E$2:$E$4000,0)),NA()))</f>
        <v/>
      </c>
      <c r="E907" s="19">
        <f>IF(NOT(ISNUMBER($A907)),NA(),IFERROR(1*INDEX(BBG_Data!$H$2:$H$4000,MATCH($A907,BBG_Data!$G$2:$G$4000,0)),NA()))</f>
        <v/>
      </c>
      <c r="F907" s="20">
        <f>IF(AND(ISNUMBER(B907),ISNUMBER(B906)),IF(B907=B906,"",(B907-B906)*100),"")</f>
        <v/>
      </c>
      <c r="G907" s="20">
        <f>IF(AND(ISNUMBER(C907),ISNUMBER(C906)),IF(C907=C906,"",(C907-C906)*100),"")</f>
        <v/>
      </c>
      <c r="H907" s="20">
        <f>IF(OR(NOT(ISNUMBER($A907)),ROW()-2&lt;Settings!$B$11),NA(),IF(COUNT(OFFSET(F907,1-Settings!$B$11,0,Settings!$B$11,1))&lt;ROUNDUP(Settings!$B$11*Settings!$B$26,0),NA(),STDEV(OFFSET(F907,1-Settings!$B$11,0,Settings!$B$11,1))*SQRT(Settings!$B$13)))</f>
        <v/>
      </c>
      <c r="I907" s="20">
        <f>IF(OR(NOT(ISNUMBER($A907)),ROW()-2&lt;Settings!$B$12),NA(),IF(COUNT(OFFSET(F907,1-Settings!$B$12,0,Settings!$B$12,1))&lt;ROUNDUP(Settings!$B$12*Settings!$B$26,0),NA(),STDEV(OFFSET(F907,1-Settings!$B$12,0,Settings!$B$12,1))*SQRT(Settings!$B$13)))</f>
        <v/>
      </c>
      <c r="J907" s="20">
        <f>IF(OR(NOT(ISNUMBER($A907)),ROW()-2&lt;Settings!$B$11),NA(),IF(COUNT(OFFSET(G907,1-Settings!$B$11,0,Settings!$B$11,1))&lt;ROUNDUP(Settings!$B$11*Settings!$B$26,0),NA(),STDEV(OFFSET(G907,1-Settings!$B$11,0,Settings!$B$11,1))*SQRT(Settings!$B$13)))</f>
        <v/>
      </c>
      <c r="K907" s="20">
        <f>IF(OR(NOT(ISNUMBER($A907)),ROW()-2&lt;Settings!$B$12),NA(),IF(COUNT(OFFSET(G907,1-Settings!$B$12,0,Settings!$B$12,1))&lt;ROUNDUP(Settings!$B$12*Settings!$B$26,0),NA(),STDEV(OFFSET(G907,1-Settings!$B$12,0,Settings!$B$12,1))*SQRT(Settings!$B$13)))</f>
        <v/>
      </c>
      <c r="L907" s="20">
        <f>IF(AND(ISNUMBER(D907),ISNUMBER(H907)),D907-H907,NA())</f>
        <v/>
      </c>
      <c r="M907" s="20">
        <f>IF(AND(ISNUMBER(E907),ISNUMBER(K907)),E907-K907,NA())</f>
        <v/>
      </c>
      <c r="N907" s="20">
        <f>IF(NOT(ISNUMBER($A907)),NA(),IF(COUNT(OFFSET(G907,1,0,Settings!$B$12,1))&lt;ROUNDUP(Settings!$B$12*Settings!$B$26,0),NA(),STDEV(OFFSET(G907,1,0,Settings!$B$12,1))*SQRT(Settings!$B$13)))</f>
        <v/>
      </c>
      <c r="O907" s="20">
        <f>IF(AND(ISNUMBER(E907),ISNUMBER(N907)),E907-N907,NA())</f>
        <v/>
      </c>
      <c r="P907" s="19">
        <f>IF(NOT(ISNUMBER($A907)),NA(),IF(OR($A907&lt;MIN(KW_TP!$A$2:$A$2501),$A907&gt;MAX(KW_TP!$A$2:$A$2501)),NA(),INDEX(KW_TP!$C$2:$C$2501,MATCH($A907,KW_TP!$A$2:$A$2501,1))))</f>
        <v/>
      </c>
      <c r="Q907" s="18">
        <f>IF(NOT(ISNUMBER($A907)),NA(),IFERROR(1*INDEX(BBG_Data!$J$2:$J$4000,MATCH($A907,BBG_Data!$I$2:$I$4000,0)),NA()))</f>
        <v/>
      </c>
      <c r="R907" s="18">
        <f>IF(NOT(ISNUMBER($A907)),NA(),IFERROR(1*INDEX(BBG_Data!$L$2:$L$4000,MATCH($A907,BBG_Data!$K$2:$K$4000,0)),NA()))</f>
        <v/>
      </c>
      <c r="S907" s="20">
        <f>IF(AND(ISNUMBER(B907),ISNUMBER(Q907),ISNUMBER(R907)),(B907-Q907-R907)*100,NA())</f>
        <v/>
      </c>
      <c r="T907" s="20">
        <f>IF(AND(ISNUMBER(B907),Settings!$B$17&gt;0),IF(ISNUMBER(INDEX($B:$B,Settings!$B$17)),(B907-INDEX($B:$B,Settings!$B$17))*100,NA()),NA())</f>
        <v/>
      </c>
      <c r="U907" s="20">
        <f>IF(AND(ISNUMBER(Q907),Settings!$B$17&gt;0),IF(ISNUMBER(INDEX($Q:$Q,Settings!$B$17)),(Q907-INDEX($Q:$Q,Settings!$B$17))*100,NA()),NA())</f>
        <v/>
      </c>
      <c r="V907" s="20">
        <f>IF(AND(ISNUMBER(R907),Settings!$B$17&gt;0),IF(ISNUMBER(INDEX($R:$R,Settings!$B$17)),(R907-INDEX($R:$R,Settings!$B$17))*100,NA()),NA())</f>
        <v/>
      </c>
      <c r="W907" s="20">
        <f>IF(AND(ISNUMBER(P907),Settings!$B$17&gt;0),IF(ISNUMBER(INDEX($P:$P,Settings!$B$17)),P907-INDEX($P:$P,Settings!$B$17),NA()),NA())</f>
        <v/>
      </c>
      <c r="X907" s="19">
        <f>IF(NOT(ISNUMBER($A907)),NA(),IF(OR($A907&lt;MIN(DKW_10Y!$A$2:$A$2918),$A907&gt;MAX(DKW_10Y!$A$2:$A$2918),Settings!$B$16&lt;MIN(DKW_10Y!$A$2:$A$2918)),NA(),(INDEX(DKW_10Y!$B$2:$B$2918,MATCH($A907,DKW_10Y!$A$2:$A$2918,1))-INDEX(DKW_10Y!$B$2:$B$2918,MATCH(Settings!$B$16,DKW_10Y!$A$2:$A$2918,1)))*100))</f>
        <v/>
      </c>
      <c r="Y907" s="19">
        <f>IF(NOT(ISNUMBER($A907)),NA(),IF(OR($A907&lt;MIN(DKW_10Y!$A$2:$A$2918),$A907&gt;MAX(DKW_10Y!$A$2:$A$2918),Settings!$B$16&lt;MIN(DKW_10Y!$A$2:$A$2918)),NA(),(INDEX(DKW_10Y!$C$2:$C$2918,MATCH($A907,DKW_10Y!$A$2:$A$2918,1))-INDEX(DKW_10Y!$C$2:$C$2918,MATCH(Settings!$B$16,DKW_10Y!$A$2:$A$2918,1)))*100))</f>
        <v/>
      </c>
      <c r="Z907" s="19">
        <f>IF(NOT(ISNUMBER($A907)),NA(),IF(OR($A907&lt;MIN(DKW_10Y!$A$2:$A$2918),$A907&gt;MAX(DKW_10Y!$A$2:$A$2918),Settings!$B$16&lt;MIN(DKW_10Y!$A$2:$A$2918)),NA(),(INDEX(DKW_10Y!$D$2:$D$2918,MATCH($A907,DKW_10Y!$A$2:$A$2918,1))-INDEX(DKW_10Y!$D$2:$D$2918,MATCH(Settings!$B$16,DKW_10Y!$A$2:$A$2918,1)))*100))</f>
        <v/>
      </c>
      <c r="AA907" s="19">
        <f>IF(NOT(ISNUMBER($A907)),NA(),IF(OR($A907&lt;MIN(DKW_10Y!$A$2:$A$2918),$A907&gt;MAX(DKW_10Y!$A$2:$A$2918),Settings!$B$16&lt;MIN(DKW_10Y!$A$2:$A$2918)),NA(),(INDEX(DKW_10Y!$E$2:$E$2918,MATCH($A907,DKW_10Y!$A$2:$A$2918,1))-INDEX(DKW_10Y!$E$2:$E$2918,MATCH(Settings!$B$16,DKW_10Y!$A$2:$A$2918,1)))*100))</f>
        <v/>
      </c>
      <c r="AB907" s="19">
        <f>IF(NOT(ISNUMBER($A907)),NA(),IF(OR($A907&lt;MIN(DKW_10Y!$A$2:$A$2918),$A907&gt;MAX(DKW_10Y!$A$2:$A$2918),Settings!$B$16&lt;MIN(DKW_10Y!$A$2:$A$2918)),NA(),(INDEX(DKW_10Y!$H$2:$H$2918,MATCH($A907,DKW_10Y!$A$2:$A$2918,1))-INDEX(DKW_10Y!$H$2:$H$2918,MATCH(Settings!$B$16,DKW_10Y!$A$2:$A$2918,1)))*100))</f>
        <v/>
      </c>
      <c r="AC907" s="18">
        <f>IF(NOT(ISNUMBER($A907)),NA(),IFERROR(1*INDEX(BBG_Data!$N$2:$N$4000,MATCH($A907,BBG_Data!$M$2:$M$4000,0)),NA()))</f>
        <v/>
      </c>
      <c r="AD907" s="18">
        <f>IF(NOT(ISNUMBER($A907)),NA(),IFERROR(1*INDEX(BBG_Data!$P$2:$P$4000,MATCH($A907,BBG_Data!$O$2:$O$4000,0)),NA()))</f>
        <v/>
      </c>
      <c r="AE907" s="18">
        <f>IF(NOT(ISNUMBER($A907)),NA(),IFERROR(1*INDEX(BBG_Data!$R$2:$R$4000,MATCH($A907,BBG_Data!$Q$2:$Q$4000,0)),NA()))</f>
        <v/>
      </c>
      <c r="AF907" s="20">
        <f>IF(AND(ISNUMBER(B907),ISNUMBER(AC907)),(B907-AC907)*100,NA())</f>
        <v/>
      </c>
      <c r="AG907" s="20">
        <f>IF(AND(ISNUMBER(AE907),ISNUMBER(AD907)),(AE907-AD907)*100,NA())</f>
        <v/>
      </c>
      <c r="AH907" s="19">
        <f>IF(NOT(ISNUMBER($A907)),NA(),IFERROR(INDEX(BBG_Data!$T$2:$T$4000,MATCH($A907,BBG_Data!$S$2:$S$4000,0))*Settings!$B$25,NA()))</f>
        <v/>
      </c>
      <c r="AI907" s="19">
        <f>IF(NOT(ISNUMBER($A907)),NA(),IFERROR(INDEX(BBG_Data!$V$2:$V$4000,MATCH($A907,BBG_Data!$U$2:$U$4000,0))*Settings!$B$25,NA()))</f>
        <v/>
      </c>
      <c r="AJ907" s="19">
        <f>IF(NOT(ISNUMBER($A907)),NA(),IFERROR(1*INDEX(BBG_Data!$X$2:$X$4000,MATCH($A907,BBG_Data!$W$2:$W$4000,0)),NA()))</f>
        <v/>
      </c>
      <c r="AK907" s="19">
        <f>IF(NOT(ISNUMBER($A907)),NA(),IFERROR(1*INDEX(BBG_Data!$Z$2:$Z$4000,MATCH($A907,BBG_Data!$Y$2:$Y$4000,0)),NA()))</f>
        <v/>
      </c>
    </row>
    <row r="908">
      <c r="A908" s="17">
        <f>IF(ISNUMBER(BBG_Data!A908),BBG_Data!A908,"")</f>
        <v/>
      </c>
      <c r="B908" s="18">
        <f>IF(AND(ISNUMBER($A908),ISNUMBER(BBG_Data!B908)),BBG_Data!B908,NA())</f>
        <v/>
      </c>
      <c r="C908" s="18">
        <f>IF(NOT(ISNUMBER($A908)),NA(),IFERROR(1*INDEX(BBG_Data!$D$2:$D$4000,MATCH($A908,BBG_Data!$C$2:$C$4000,0)),NA()))</f>
        <v/>
      </c>
      <c r="D908" s="19">
        <f>IF(NOT(ISNUMBER($A908)),NA(),IFERROR(1*INDEX(BBG_Data!$F$2:$F$4000,MATCH($A908,BBG_Data!$E$2:$E$4000,0)),NA()))</f>
        <v/>
      </c>
      <c r="E908" s="19">
        <f>IF(NOT(ISNUMBER($A908)),NA(),IFERROR(1*INDEX(BBG_Data!$H$2:$H$4000,MATCH($A908,BBG_Data!$G$2:$G$4000,0)),NA()))</f>
        <v/>
      </c>
      <c r="F908" s="20">
        <f>IF(AND(ISNUMBER(B908),ISNUMBER(B907)),IF(B908=B907,"",(B908-B907)*100),"")</f>
        <v/>
      </c>
      <c r="G908" s="20">
        <f>IF(AND(ISNUMBER(C908),ISNUMBER(C907)),IF(C908=C907,"",(C908-C907)*100),"")</f>
        <v/>
      </c>
      <c r="H908" s="20">
        <f>IF(OR(NOT(ISNUMBER($A908)),ROW()-2&lt;Settings!$B$11),NA(),IF(COUNT(OFFSET(F908,1-Settings!$B$11,0,Settings!$B$11,1))&lt;ROUNDUP(Settings!$B$11*Settings!$B$26,0),NA(),STDEV(OFFSET(F908,1-Settings!$B$11,0,Settings!$B$11,1))*SQRT(Settings!$B$13)))</f>
        <v/>
      </c>
      <c r="I908" s="20">
        <f>IF(OR(NOT(ISNUMBER($A908)),ROW()-2&lt;Settings!$B$12),NA(),IF(COUNT(OFFSET(F908,1-Settings!$B$12,0,Settings!$B$12,1))&lt;ROUNDUP(Settings!$B$12*Settings!$B$26,0),NA(),STDEV(OFFSET(F908,1-Settings!$B$12,0,Settings!$B$12,1))*SQRT(Settings!$B$13)))</f>
        <v/>
      </c>
      <c r="J908" s="20">
        <f>IF(OR(NOT(ISNUMBER($A908)),ROW()-2&lt;Settings!$B$11),NA(),IF(COUNT(OFFSET(G908,1-Settings!$B$11,0,Settings!$B$11,1))&lt;ROUNDUP(Settings!$B$11*Settings!$B$26,0),NA(),STDEV(OFFSET(G908,1-Settings!$B$11,0,Settings!$B$11,1))*SQRT(Settings!$B$13)))</f>
        <v/>
      </c>
      <c r="K908" s="20">
        <f>IF(OR(NOT(ISNUMBER($A908)),ROW()-2&lt;Settings!$B$12),NA(),IF(COUNT(OFFSET(G908,1-Settings!$B$12,0,Settings!$B$12,1))&lt;ROUNDUP(Settings!$B$12*Settings!$B$26,0),NA(),STDEV(OFFSET(G908,1-Settings!$B$12,0,Settings!$B$12,1))*SQRT(Settings!$B$13)))</f>
        <v/>
      </c>
      <c r="L908" s="20">
        <f>IF(AND(ISNUMBER(D908),ISNUMBER(H908)),D908-H908,NA())</f>
        <v/>
      </c>
      <c r="M908" s="20">
        <f>IF(AND(ISNUMBER(E908),ISNUMBER(K908)),E908-K908,NA())</f>
        <v/>
      </c>
      <c r="N908" s="20">
        <f>IF(NOT(ISNUMBER($A908)),NA(),IF(COUNT(OFFSET(G908,1,0,Settings!$B$12,1))&lt;ROUNDUP(Settings!$B$12*Settings!$B$26,0),NA(),STDEV(OFFSET(G908,1,0,Settings!$B$12,1))*SQRT(Settings!$B$13)))</f>
        <v/>
      </c>
      <c r="O908" s="20">
        <f>IF(AND(ISNUMBER(E908),ISNUMBER(N908)),E908-N908,NA())</f>
        <v/>
      </c>
      <c r="P908" s="19">
        <f>IF(NOT(ISNUMBER($A908)),NA(),IF(OR($A908&lt;MIN(KW_TP!$A$2:$A$2501),$A908&gt;MAX(KW_TP!$A$2:$A$2501)),NA(),INDEX(KW_TP!$C$2:$C$2501,MATCH($A908,KW_TP!$A$2:$A$2501,1))))</f>
        <v/>
      </c>
      <c r="Q908" s="18">
        <f>IF(NOT(ISNUMBER($A908)),NA(),IFERROR(1*INDEX(BBG_Data!$J$2:$J$4000,MATCH($A908,BBG_Data!$I$2:$I$4000,0)),NA()))</f>
        <v/>
      </c>
      <c r="R908" s="18">
        <f>IF(NOT(ISNUMBER($A908)),NA(),IFERROR(1*INDEX(BBG_Data!$L$2:$L$4000,MATCH($A908,BBG_Data!$K$2:$K$4000,0)),NA()))</f>
        <v/>
      </c>
      <c r="S908" s="20">
        <f>IF(AND(ISNUMBER(B908),ISNUMBER(Q908),ISNUMBER(R908)),(B908-Q908-R908)*100,NA())</f>
        <v/>
      </c>
      <c r="T908" s="20">
        <f>IF(AND(ISNUMBER(B908),Settings!$B$17&gt;0),IF(ISNUMBER(INDEX($B:$B,Settings!$B$17)),(B908-INDEX($B:$B,Settings!$B$17))*100,NA()),NA())</f>
        <v/>
      </c>
      <c r="U908" s="20">
        <f>IF(AND(ISNUMBER(Q908),Settings!$B$17&gt;0),IF(ISNUMBER(INDEX($Q:$Q,Settings!$B$17)),(Q908-INDEX($Q:$Q,Settings!$B$17))*100,NA()),NA())</f>
        <v/>
      </c>
      <c r="V908" s="20">
        <f>IF(AND(ISNUMBER(R908),Settings!$B$17&gt;0),IF(ISNUMBER(INDEX($R:$R,Settings!$B$17)),(R908-INDEX($R:$R,Settings!$B$17))*100,NA()),NA())</f>
        <v/>
      </c>
      <c r="W908" s="20">
        <f>IF(AND(ISNUMBER(P908),Settings!$B$17&gt;0),IF(ISNUMBER(INDEX($P:$P,Settings!$B$17)),P908-INDEX($P:$P,Settings!$B$17),NA()),NA())</f>
        <v/>
      </c>
      <c r="X908" s="19">
        <f>IF(NOT(ISNUMBER($A908)),NA(),IF(OR($A908&lt;MIN(DKW_10Y!$A$2:$A$2918),$A908&gt;MAX(DKW_10Y!$A$2:$A$2918),Settings!$B$16&lt;MIN(DKW_10Y!$A$2:$A$2918)),NA(),(INDEX(DKW_10Y!$B$2:$B$2918,MATCH($A908,DKW_10Y!$A$2:$A$2918,1))-INDEX(DKW_10Y!$B$2:$B$2918,MATCH(Settings!$B$16,DKW_10Y!$A$2:$A$2918,1)))*100))</f>
        <v/>
      </c>
      <c r="Y908" s="19">
        <f>IF(NOT(ISNUMBER($A908)),NA(),IF(OR($A908&lt;MIN(DKW_10Y!$A$2:$A$2918),$A908&gt;MAX(DKW_10Y!$A$2:$A$2918),Settings!$B$16&lt;MIN(DKW_10Y!$A$2:$A$2918)),NA(),(INDEX(DKW_10Y!$C$2:$C$2918,MATCH($A908,DKW_10Y!$A$2:$A$2918,1))-INDEX(DKW_10Y!$C$2:$C$2918,MATCH(Settings!$B$16,DKW_10Y!$A$2:$A$2918,1)))*100))</f>
        <v/>
      </c>
      <c r="Z908" s="19">
        <f>IF(NOT(ISNUMBER($A908)),NA(),IF(OR($A908&lt;MIN(DKW_10Y!$A$2:$A$2918),$A908&gt;MAX(DKW_10Y!$A$2:$A$2918),Settings!$B$16&lt;MIN(DKW_10Y!$A$2:$A$2918)),NA(),(INDEX(DKW_10Y!$D$2:$D$2918,MATCH($A908,DKW_10Y!$A$2:$A$2918,1))-INDEX(DKW_10Y!$D$2:$D$2918,MATCH(Settings!$B$16,DKW_10Y!$A$2:$A$2918,1)))*100))</f>
        <v/>
      </c>
      <c r="AA908" s="19">
        <f>IF(NOT(ISNUMBER($A908)),NA(),IF(OR($A908&lt;MIN(DKW_10Y!$A$2:$A$2918),$A908&gt;MAX(DKW_10Y!$A$2:$A$2918),Settings!$B$16&lt;MIN(DKW_10Y!$A$2:$A$2918)),NA(),(INDEX(DKW_10Y!$E$2:$E$2918,MATCH($A908,DKW_10Y!$A$2:$A$2918,1))-INDEX(DKW_10Y!$E$2:$E$2918,MATCH(Settings!$B$16,DKW_10Y!$A$2:$A$2918,1)))*100))</f>
        <v/>
      </c>
      <c r="AB908" s="19">
        <f>IF(NOT(ISNUMBER($A908)),NA(),IF(OR($A908&lt;MIN(DKW_10Y!$A$2:$A$2918),$A908&gt;MAX(DKW_10Y!$A$2:$A$2918),Settings!$B$16&lt;MIN(DKW_10Y!$A$2:$A$2918)),NA(),(INDEX(DKW_10Y!$H$2:$H$2918,MATCH($A908,DKW_10Y!$A$2:$A$2918,1))-INDEX(DKW_10Y!$H$2:$H$2918,MATCH(Settings!$B$16,DKW_10Y!$A$2:$A$2918,1)))*100))</f>
        <v/>
      </c>
      <c r="AC908" s="18">
        <f>IF(NOT(ISNUMBER($A908)),NA(),IFERROR(1*INDEX(BBG_Data!$N$2:$N$4000,MATCH($A908,BBG_Data!$M$2:$M$4000,0)),NA()))</f>
        <v/>
      </c>
      <c r="AD908" s="18">
        <f>IF(NOT(ISNUMBER($A908)),NA(),IFERROR(1*INDEX(BBG_Data!$P$2:$P$4000,MATCH($A908,BBG_Data!$O$2:$O$4000,0)),NA()))</f>
        <v/>
      </c>
      <c r="AE908" s="18">
        <f>IF(NOT(ISNUMBER($A908)),NA(),IFERROR(1*INDEX(BBG_Data!$R$2:$R$4000,MATCH($A908,BBG_Data!$Q$2:$Q$4000,0)),NA()))</f>
        <v/>
      </c>
      <c r="AF908" s="20">
        <f>IF(AND(ISNUMBER(B908),ISNUMBER(AC908)),(B908-AC908)*100,NA())</f>
        <v/>
      </c>
      <c r="AG908" s="20">
        <f>IF(AND(ISNUMBER(AE908),ISNUMBER(AD908)),(AE908-AD908)*100,NA())</f>
        <v/>
      </c>
      <c r="AH908" s="19">
        <f>IF(NOT(ISNUMBER($A908)),NA(),IFERROR(INDEX(BBG_Data!$T$2:$T$4000,MATCH($A908,BBG_Data!$S$2:$S$4000,0))*Settings!$B$25,NA()))</f>
        <v/>
      </c>
      <c r="AI908" s="19">
        <f>IF(NOT(ISNUMBER($A908)),NA(),IFERROR(INDEX(BBG_Data!$V$2:$V$4000,MATCH($A908,BBG_Data!$U$2:$U$4000,0))*Settings!$B$25,NA()))</f>
        <v/>
      </c>
      <c r="AJ908" s="19">
        <f>IF(NOT(ISNUMBER($A908)),NA(),IFERROR(1*INDEX(BBG_Data!$X$2:$X$4000,MATCH($A908,BBG_Data!$W$2:$W$4000,0)),NA()))</f>
        <v/>
      </c>
      <c r="AK908" s="19">
        <f>IF(NOT(ISNUMBER($A908)),NA(),IFERROR(1*INDEX(BBG_Data!$Z$2:$Z$4000,MATCH($A908,BBG_Data!$Y$2:$Y$4000,0)),NA()))</f>
        <v/>
      </c>
    </row>
    <row r="909">
      <c r="A909" s="17">
        <f>IF(ISNUMBER(BBG_Data!A909),BBG_Data!A909,"")</f>
        <v/>
      </c>
      <c r="B909" s="18">
        <f>IF(AND(ISNUMBER($A909),ISNUMBER(BBG_Data!B909)),BBG_Data!B909,NA())</f>
        <v/>
      </c>
      <c r="C909" s="18">
        <f>IF(NOT(ISNUMBER($A909)),NA(),IFERROR(1*INDEX(BBG_Data!$D$2:$D$4000,MATCH($A909,BBG_Data!$C$2:$C$4000,0)),NA()))</f>
        <v/>
      </c>
      <c r="D909" s="19">
        <f>IF(NOT(ISNUMBER($A909)),NA(),IFERROR(1*INDEX(BBG_Data!$F$2:$F$4000,MATCH($A909,BBG_Data!$E$2:$E$4000,0)),NA()))</f>
        <v/>
      </c>
      <c r="E909" s="19">
        <f>IF(NOT(ISNUMBER($A909)),NA(),IFERROR(1*INDEX(BBG_Data!$H$2:$H$4000,MATCH($A909,BBG_Data!$G$2:$G$4000,0)),NA()))</f>
        <v/>
      </c>
      <c r="F909" s="20">
        <f>IF(AND(ISNUMBER(B909),ISNUMBER(B908)),IF(B909=B908,"",(B909-B908)*100),"")</f>
        <v/>
      </c>
      <c r="G909" s="20">
        <f>IF(AND(ISNUMBER(C909),ISNUMBER(C908)),IF(C909=C908,"",(C909-C908)*100),"")</f>
        <v/>
      </c>
      <c r="H909" s="20">
        <f>IF(OR(NOT(ISNUMBER($A909)),ROW()-2&lt;Settings!$B$11),NA(),IF(COUNT(OFFSET(F909,1-Settings!$B$11,0,Settings!$B$11,1))&lt;ROUNDUP(Settings!$B$11*Settings!$B$26,0),NA(),STDEV(OFFSET(F909,1-Settings!$B$11,0,Settings!$B$11,1))*SQRT(Settings!$B$13)))</f>
        <v/>
      </c>
      <c r="I909" s="20">
        <f>IF(OR(NOT(ISNUMBER($A909)),ROW()-2&lt;Settings!$B$12),NA(),IF(COUNT(OFFSET(F909,1-Settings!$B$12,0,Settings!$B$12,1))&lt;ROUNDUP(Settings!$B$12*Settings!$B$26,0),NA(),STDEV(OFFSET(F909,1-Settings!$B$12,0,Settings!$B$12,1))*SQRT(Settings!$B$13)))</f>
        <v/>
      </c>
      <c r="J909" s="20">
        <f>IF(OR(NOT(ISNUMBER($A909)),ROW()-2&lt;Settings!$B$11),NA(),IF(COUNT(OFFSET(G909,1-Settings!$B$11,0,Settings!$B$11,1))&lt;ROUNDUP(Settings!$B$11*Settings!$B$26,0),NA(),STDEV(OFFSET(G909,1-Settings!$B$11,0,Settings!$B$11,1))*SQRT(Settings!$B$13)))</f>
        <v/>
      </c>
      <c r="K909" s="20">
        <f>IF(OR(NOT(ISNUMBER($A909)),ROW()-2&lt;Settings!$B$12),NA(),IF(COUNT(OFFSET(G909,1-Settings!$B$12,0,Settings!$B$12,1))&lt;ROUNDUP(Settings!$B$12*Settings!$B$26,0),NA(),STDEV(OFFSET(G909,1-Settings!$B$12,0,Settings!$B$12,1))*SQRT(Settings!$B$13)))</f>
        <v/>
      </c>
      <c r="L909" s="20">
        <f>IF(AND(ISNUMBER(D909),ISNUMBER(H909)),D909-H909,NA())</f>
        <v/>
      </c>
      <c r="M909" s="20">
        <f>IF(AND(ISNUMBER(E909),ISNUMBER(K909)),E909-K909,NA())</f>
        <v/>
      </c>
      <c r="N909" s="20">
        <f>IF(NOT(ISNUMBER($A909)),NA(),IF(COUNT(OFFSET(G909,1,0,Settings!$B$12,1))&lt;ROUNDUP(Settings!$B$12*Settings!$B$26,0),NA(),STDEV(OFFSET(G909,1,0,Settings!$B$12,1))*SQRT(Settings!$B$13)))</f>
        <v/>
      </c>
      <c r="O909" s="20">
        <f>IF(AND(ISNUMBER(E909),ISNUMBER(N909)),E909-N909,NA())</f>
        <v/>
      </c>
      <c r="P909" s="19">
        <f>IF(NOT(ISNUMBER($A909)),NA(),IF(OR($A909&lt;MIN(KW_TP!$A$2:$A$2501),$A909&gt;MAX(KW_TP!$A$2:$A$2501)),NA(),INDEX(KW_TP!$C$2:$C$2501,MATCH($A909,KW_TP!$A$2:$A$2501,1))))</f>
        <v/>
      </c>
      <c r="Q909" s="18">
        <f>IF(NOT(ISNUMBER($A909)),NA(),IFERROR(1*INDEX(BBG_Data!$J$2:$J$4000,MATCH($A909,BBG_Data!$I$2:$I$4000,0)),NA()))</f>
        <v/>
      </c>
      <c r="R909" s="18">
        <f>IF(NOT(ISNUMBER($A909)),NA(),IFERROR(1*INDEX(BBG_Data!$L$2:$L$4000,MATCH($A909,BBG_Data!$K$2:$K$4000,0)),NA()))</f>
        <v/>
      </c>
      <c r="S909" s="20">
        <f>IF(AND(ISNUMBER(B909),ISNUMBER(Q909),ISNUMBER(R909)),(B909-Q909-R909)*100,NA())</f>
        <v/>
      </c>
      <c r="T909" s="20">
        <f>IF(AND(ISNUMBER(B909),Settings!$B$17&gt;0),IF(ISNUMBER(INDEX($B:$B,Settings!$B$17)),(B909-INDEX($B:$B,Settings!$B$17))*100,NA()),NA())</f>
        <v/>
      </c>
      <c r="U909" s="20">
        <f>IF(AND(ISNUMBER(Q909),Settings!$B$17&gt;0),IF(ISNUMBER(INDEX($Q:$Q,Settings!$B$17)),(Q909-INDEX($Q:$Q,Settings!$B$17))*100,NA()),NA())</f>
        <v/>
      </c>
      <c r="V909" s="20">
        <f>IF(AND(ISNUMBER(R909),Settings!$B$17&gt;0),IF(ISNUMBER(INDEX($R:$R,Settings!$B$17)),(R909-INDEX($R:$R,Settings!$B$17))*100,NA()),NA())</f>
        <v/>
      </c>
      <c r="W909" s="20">
        <f>IF(AND(ISNUMBER(P909),Settings!$B$17&gt;0),IF(ISNUMBER(INDEX($P:$P,Settings!$B$17)),P909-INDEX($P:$P,Settings!$B$17),NA()),NA())</f>
        <v/>
      </c>
      <c r="X909" s="19">
        <f>IF(NOT(ISNUMBER($A909)),NA(),IF(OR($A909&lt;MIN(DKW_10Y!$A$2:$A$2918),$A909&gt;MAX(DKW_10Y!$A$2:$A$2918),Settings!$B$16&lt;MIN(DKW_10Y!$A$2:$A$2918)),NA(),(INDEX(DKW_10Y!$B$2:$B$2918,MATCH($A909,DKW_10Y!$A$2:$A$2918,1))-INDEX(DKW_10Y!$B$2:$B$2918,MATCH(Settings!$B$16,DKW_10Y!$A$2:$A$2918,1)))*100))</f>
        <v/>
      </c>
      <c r="Y909" s="19">
        <f>IF(NOT(ISNUMBER($A909)),NA(),IF(OR($A909&lt;MIN(DKW_10Y!$A$2:$A$2918),$A909&gt;MAX(DKW_10Y!$A$2:$A$2918),Settings!$B$16&lt;MIN(DKW_10Y!$A$2:$A$2918)),NA(),(INDEX(DKW_10Y!$C$2:$C$2918,MATCH($A909,DKW_10Y!$A$2:$A$2918,1))-INDEX(DKW_10Y!$C$2:$C$2918,MATCH(Settings!$B$16,DKW_10Y!$A$2:$A$2918,1)))*100))</f>
        <v/>
      </c>
      <c r="Z909" s="19">
        <f>IF(NOT(ISNUMBER($A909)),NA(),IF(OR($A909&lt;MIN(DKW_10Y!$A$2:$A$2918),$A909&gt;MAX(DKW_10Y!$A$2:$A$2918),Settings!$B$16&lt;MIN(DKW_10Y!$A$2:$A$2918)),NA(),(INDEX(DKW_10Y!$D$2:$D$2918,MATCH($A909,DKW_10Y!$A$2:$A$2918,1))-INDEX(DKW_10Y!$D$2:$D$2918,MATCH(Settings!$B$16,DKW_10Y!$A$2:$A$2918,1)))*100))</f>
        <v/>
      </c>
      <c r="AA909" s="19">
        <f>IF(NOT(ISNUMBER($A909)),NA(),IF(OR($A909&lt;MIN(DKW_10Y!$A$2:$A$2918),$A909&gt;MAX(DKW_10Y!$A$2:$A$2918),Settings!$B$16&lt;MIN(DKW_10Y!$A$2:$A$2918)),NA(),(INDEX(DKW_10Y!$E$2:$E$2918,MATCH($A909,DKW_10Y!$A$2:$A$2918,1))-INDEX(DKW_10Y!$E$2:$E$2918,MATCH(Settings!$B$16,DKW_10Y!$A$2:$A$2918,1)))*100))</f>
        <v/>
      </c>
      <c r="AB909" s="19">
        <f>IF(NOT(ISNUMBER($A909)),NA(),IF(OR($A909&lt;MIN(DKW_10Y!$A$2:$A$2918),$A909&gt;MAX(DKW_10Y!$A$2:$A$2918),Settings!$B$16&lt;MIN(DKW_10Y!$A$2:$A$2918)),NA(),(INDEX(DKW_10Y!$H$2:$H$2918,MATCH($A909,DKW_10Y!$A$2:$A$2918,1))-INDEX(DKW_10Y!$H$2:$H$2918,MATCH(Settings!$B$16,DKW_10Y!$A$2:$A$2918,1)))*100))</f>
        <v/>
      </c>
      <c r="AC909" s="18">
        <f>IF(NOT(ISNUMBER($A909)),NA(),IFERROR(1*INDEX(BBG_Data!$N$2:$N$4000,MATCH($A909,BBG_Data!$M$2:$M$4000,0)),NA()))</f>
        <v/>
      </c>
      <c r="AD909" s="18">
        <f>IF(NOT(ISNUMBER($A909)),NA(),IFERROR(1*INDEX(BBG_Data!$P$2:$P$4000,MATCH($A909,BBG_Data!$O$2:$O$4000,0)),NA()))</f>
        <v/>
      </c>
      <c r="AE909" s="18">
        <f>IF(NOT(ISNUMBER($A909)),NA(),IFERROR(1*INDEX(BBG_Data!$R$2:$R$4000,MATCH($A909,BBG_Data!$Q$2:$Q$4000,0)),NA()))</f>
        <v/>
      </c>
      <c r="AF909" s="20">
        <f>IF(AND(ISNUMBER(B909),ISNUMBER(AC909)),(B909-AC909)*100,NA())</f>
        <v/>
      </c>
      <c r="AG909" s="20">
        <f>IF(AND(ISNUMBER(AE909),ISNUMBER(AD909)),(AE909-AD909)*100,NA())</f>
        <v/>
      </c>
      <c r="AH909" s="19">
        <f>IF(NOT(ISNUMBER($A909)),NA(),IFERROR(INDEX(BBG_Data!$T$2:$T$4000,MATCH($A909,BBG_Data!$S$2:$S$4000,0))*Settings!$B$25,NA()))</f>
        <v/>
      </c>
      <c r="AI909" s="19">
        <f>IF(NOT(ISNUMBER($A909)),NA(),IFERROR(INDEX(BBG_Data!$V$2:$V$4000,MATCH($A909,BBG_Data!$U$2:$U$4000,0))*Settings!$B$25,NA()))</f>
        <v/>
      </c>
      <c r="AJ909" s="19">
        <f>IF(NOT(ISNUMBER($A909)),NA(),IFERROR(1*INDEX(BBG_Data!$X$2:$X$4000,MATCH($A909,BBG_Data!$W$2:$W$4000,0)),NA()))</f>
        <v/>
      </c>
      <c r="AK909" s="19">
        <f>IF(NOT(ISNUMBER($A909)),NA(),IFERROR(1*INDEX(BBG_Data!$Z$2:$Z$4000,MATCH($A909,BBG_Data!$Y$2:$Y$4000,0)),NA()))</f>
        <v/>
      </c>
    </row>
    <row r="910">
      <c r="A910" s="17">
        <f>IF(ISNUMBER(BBG_Data!A910),BBG_Data!A910,"")</f>
        <v/>
      </c>
      <c r="B910" s="18">
        <f>IF(AND(ISNUMBER($A910),ISNUMBER(BBG_Data!B910)),BBG_Data!B910,NA())</f>
        <v/>
      </c>
      <c r="C910" s="18">
        <f>IF(NOT(ISNUMBER($A910)),NA(),IFERROR(1*INDEX(BBG_Data!$D$2:$D$4000,MATCH($A910,BBG_Data!$C$2:$C$4000,0)),NA()))</f>
        <v/>
      </c>
      <c r="D910" s="19">
        <f>IF(NOT(ISNUMBER($A910)),NA(),IFERROR(1*INDEX(BBG_Data!$F$2:$F$4000,MATCH($A910,BBG_Data!$E$2:$E$4000,0)),NA()))</f>
        <v/>
      </c>
      <c r="E910" s="19">
        <f>IF(NOT(ISNUMBER($A910)),NA(),IFERROR(1*INDEX(BBG_Data!$H$2:$H$4000,MATCH($A910,BBG_Data!$G$2:$G$4000,0)),NA()))</f>
        <v/>
      </c>
      <c r="F910" s="20">
        <f>IF(AND(ISNUMBER(B910),ISNUMBER(B909)),IF(B910=B909,"",(B910-B909)*100),"")</f>
        <v/>
      </c>
      <c r="G910" s="20">
        <f>IF(AND(ISNUMBER(C910),ISNUMBER(C909)),IF(C910=C909,"",(C910-C909)*100),"")</f>
        <v/>
      </c>
      <c r="H910" s="20">
        <f>IF(OR(NOT(ISNUMBER($A910)),ROW()-2&lt;Settings!$B$11),NA(),IF(COUNT(OFFSET(F910,1-Settings!$B$11,0,Settings!$B$11,1))&lt;ROUNDUP(Settings!$B$11*Settings!$B$26,0),NA(),STDEV(OFFSET(F910,1-Settings!$B$11,0,Settings!$B$11,1))*SQRT(Settings!$B$13)))</f>
        <v/>
      </c>
      <c r="I910" s="20">
        <f>IF(OR(NOT(ISNUMBER($A910)),ROW()-2&lt;Settings!$B$12),NA(),IF(COUNT(OFFSET(F910,1-Settings!$B$12,0,Settings!$B$12,1))&lt;ROUNDUP(Settings!$B$12*Settings!$B$26,0),NA(),STDEV(OFFSET(F910,1-Settings!$B$12,0,Settings!$B$12,1))*SQRT(Settings!$B$13)))</f>
        <v/>
      </c>
      <c r="J910" s="20">
        <f>IF(OR(NOT(ISNUMBER($A910)),ROW()-2&lt;Settings!$B$11),NA(),IF(COUNT(OFFSET(G910,1-Settings!$B$11,0,Settings!$B$11,1))&lt;ROUNDUP(Settings!$B$11*Settings!$B$26,0),NA(),STDEV(OFFSET(G910,1-Settings!$B$11,0,Settings!$B$11,1))*SQRT(Settings!$B$13)))</f>
        <v/>
      </c>
      <c r="K910" s="20">
        <f>IF(OR(NOT(ISNUMBER($A910)),ROW()-2&lt;Settings!$B$12),NA(),IF(COUNT(OFFSET(G910,1-Settings!$B$12,0,Settings!$B$12,1))&lt;ROUNDUP(Settings!$B$12*Settings!$B$26,0),NA(),STDEV(OFFSET(G910,1-Settings!$B$12,0,Settings!$B$12,1))*SQRT(Settings!$B$13)))</f>
        <v/>
      </c>
      <c r="L910" s="20">
        <f>IF(AND(ISNUMBER(D910),ISNUMBER(H910)),D910-H910,NA())</f>
        <v/>
      </c>
      <c r="M910" s="20">
        <f>IF(AND(ISNUMBER(E910),ISNUMBER(K910)),E910-K910,NA())</f>
        <v/>
      </c>
      <c r="N910" s="20">
        <f>IF(NOT(ISNUMBER($A910)),NA(),IF(COUNT(OFFSET(G910,1,0,Settings!$B$12,1))&lt;ROUNDUP(Settings!$B$12*Settings!$B$26,0),NA(),STDEV(OFFSET(G910,1,0,Settings!$B$12,1))*SQRT(Settings!$B$13)))</f>
        <v/>
      </c>
      <c r="O910" s="20">
        <f>IF(AND(ISNUMBER(E910),ISNUMBER(N910)),E910-N910,NA())</f>
        <v/>
      </c>
      <c r="P910" s="19">
        <f>IF(NOT(ISNUMBER($A910)),NA(),IF(OR($A910&lt;MIN(KW_TP!$A$2:$A$2501),$A910&gt;MAX(KW_TP!$A$2:$A$2501)),NA(),INDEX(KW_TP!$C$2:$C$2501,MATCH($A910,KW_TP!$A$2:$A$2501,1))))</f>
        <v/>
      </c>
      <c r="Q910" s="18">
        <f>IF(NOT(ISNUMBER($A910)),NA(),IFERROR(1*INDEX(BBG_Data!$J$2:$J$4000,MATCH($A910,BBG_Data!$I$2:$I$4000,0)),NA()))</f>
        <v/>
      </c>
      <c r="R910" s="18">
        <f>IF(NOT(ISNUMBER($A910)),NA(),IFERROR(1*INDEX(BBG_Data!$L$2:$L$4000,MATCH($A910,BBG_Data!$K$2:$K$4000,0)),NA()))</f>
        <v/>
      </c>
      <c r="S910" s="20">
        <f>IF(AND(ISNUMBER(B910),ISNUMBER(Q910),ISNUMBER(R910)),(B910-Q910-R910)*100,NA())</f>
        <v/>
      </c>
      <c r="T910" s="20">
        <f>IF(AND(ISNUMBER(B910),Settings!$B$17&gt;0),IF(ISNUMBER(INDEX($B:$B,Settings!$B$17)),(B910-INDEX($B:$B,Settings!$B$17))*100,NA()),NA())</f>
        <v/>
      </c>
      <c r="U910" s="20">
        <f>IF(AND(ISNUMBER(Q910),Settings!$B$17&gt;0),IF(ISNUMBER(INDEX($Q:$Q,Settings!$B$17)),(Q910-INDEX($Q:$Q,Settings!$B$17))*100,NA()),NA())</f>
        <v/>
      </c>
      <c r="V910" s="20">
        <f>IF(AND(ISNUMBER(R910),Settings!$B$17&gt;0),IF(ISNUMBER(INDEX($R:$R,Settings!$B$17)),(R910-INDEX($R:$R,Settings!$B$17))*100,NA()),NA())</f>
        <v/>
      </c>
      <c r="W910" s="20">
        <f>IF(AND(ISNUMBER(P910),Settings!$B$17&gt;0),IF(ISNUMBER(INDEX($P:$P,Settings!$B$17)),P910-INDEX($P:$P,Settings!$B$17),NA()),NA())</f>
        <v/>
      </c>
      <c r="X910" s="19">
        <f>IF(NOT(ISNUMBER($A910)),NA(),IF(OR($A910&lt;MIN(DKW_10Y!$A$2:$A$2918),$A910&gt;MAX(DKW_10Y!$A$2:$A$2918),Settings!$B$16&lt;MIN(DKW_10Y!$A$2:$A$2918)),NA(),(INDEX(DKW_10Y!$B$2:$B$2918,MATCH($A910,DKW_10Y!$A$2:$A$2918,1))-INDEX(DKW_10Y!$B$2:$B$2918,MATCH(Settings!$B$16,DKW_10Y!$A$2:$A$2918,1)))*100))</f>
        <v/>
      </c>
      <c r="Y910" s="19">
        <f>IF(NOT(ISNUMBER($A910)),NA(),IF(OR($A910&lt;MIN(DKW_10Y!$A$2:$A$2918),$A910&gt;MAX(DKW_10Y!$A$2:$A$2918),Settings!$B$16&lt;MIN(DKW_10Y!$A$2:$A$2918)),NA(),(INDEX(DKW_10Y!$C$2:$C$2918,MATCH($A910,DKW_10Y!$A$2:$A$2918,1))-INDEX(DKW_10Y!$C$2:$C$2918,MATCH(Settings!$B$16,DKW_10Y!$A$2:$A$2918,1)))*100))</f>
        <v/>
      </c>
      <c r="Z910" s="19">
        <f>IF(NOT(ISNUMBER($A910)),NA(),IF(OR($A910&lt;MIN(DKW_10Y!$A$2:$A$2918),$A910&gt;MAX(DKW_10Y!$A$2:$A$2918),Settings!$B$16&lt;MIN(DKW_10Y!$A$2:$A$2918)),NA(),(INDEX(DKW_10Y!$D$2:$D$2918,MATCH($A910,DKW_10Y!$A$2:$A$2918,1))-INDEX(DKW_10Y!$D$2:$D$2918,MATCH(Settings!$B$16,DKW_10Y!$A$2:$A$2918,1)))*100))</f>
        <v/>
      </c>
      <c r="AA910" s="19">
        <f>IF(NOT(ISNUMBER($A910)),NA(),IF(OR($A910&lt;MIN(DKW_10Y!$A$2:$A$2918),$A910&gt;MAX(DKW_10Y!$A$2:$A$2918),Settings!$B$16&lt;MIN(DKW_10Y!$A$2:$A$2918)),NA(),(INDEX(DKW_10Y!$E$2:$E$2918,MATCH($A910,DKW_10Y!$A$2:$A$2918,1))-INDEX(DKW_10Y!$E$2:$E$2918,MATCH(Settings!$B$16,DKW_10Y!$A$2:$A$2918,1)))*100))</f>
        <v/>
      </c>
      <c r="AB910" s="19">
        <f>IF(NOT(ISNUMBER($A910)),NA(),IF(OR($A910&lt;MIN(DKW_10Y!$A$2:$A$2918),$A910&gt;MAX(DKW_10Y!$A$2:$A$2918),Settings!$B$16&lt;MIN(DKW_10Y!$A$2:$A$2918)),NA(),(INDEX(DKW_10Y!$H$2:$H$2918,MATCH($A910,DKW_10Y!$A$2:$A$2918,1))-INDEX(DKW_10Y!$H$2:$H$2918,MATCH(Settings!$B$16,DKW_10Y!$A$2:$A$2918,1)))*100))</f>
        <v/>
      </c>
      <c r="AC910" s="18">
        <f>IF(NOT(ISNUMBER($A910)),NA(),IFERROR(1*INDEX(BBG_Data!$N$2:$N$4000,MATCH($A910,BBG_Data!$M$2:$M$4000,0)),NA()))</f>
        <v/>
      </c>
      <c r="AD910" s="18">
        <f>IF(NOT(ISNUMBER($A910)),NA(),IFERROR(1*INDEX(BBG_Data!$P$2:$P$4000,MATCH($A910,BBG_Data!$O$2:$O$4000,0)),NA()))</f>
        <v/>
      </c>
      <c r="AE910" s="18">
        <f>IF(NOT(ISNUMBER($A910)),NA(),IFERROR(1*INDEX(BBG_Data!$R$2:$R$4000,MATCH($A910,BBG_Data!$Q$2:$Q$4000,0)),NA()))</f>
        <v/>
      </c>
      <c r="AF910" s="20">
        <f>IF(AND(ISNUMBER(B910),ISNUMBER(AC910)),(B910-AC910)*100,NA())</f>
        <v/>
      </c>
      <c r="AG910" s="20">
        <f>IF(AND(ISNUMBER(AE910),ISNUMBER(AD910)),(AE910-AD910)*100,NA())</f>
        <v/>
      </c>
      <c r="AH910" s="19">
        <f>IF(NOT(ISNUMBER($A910)),NA(),IFERROR(INDEX(BBG_Data!$T$2:$T$4000,MATCH($A910,BBG_Data!$S$2:$S$4000,0))*Settings!$B$25,NA()))</f>
        <v/>
      </c>
      <c r="AI910" s="19">
        <f>IF(NOT(ISNUMBER($A910)),NA(),IFERROR(INDEX(BBG_Data!$V$2:$V$4000,MATCH($A910,BBG_Data!$U$2:$U$4000,0))*Settings!$B$25,NA()))</f>
        <v/>
      </c>
      <c r="AJ910" s="19">
        <f>IF(NOT(ISNUMBER($A910)),NA(),IFERROR(1*INDEX(BBG_Data!$X$2:$X$4000,MATCH($A910,BBG_Data!$W$2:$W$4000,0)),NA()))</f>
        <v/>
      </c>
      <c r="AK910" s="19">
        <f>IF(NOT(ISNUMBER($A910)),NA(),IFERROR(1*INDEX(BBG_Data!$Z$2:$Z$4000,MATCH($A910,BBG_Data!$Y$2:$Y$4000,0)),NA()))</f>
        <v/>
      </c>
    </row>
    <row r="911">
      <c r="A911" s="17">
        <f>IF(ISNUMBER(BBG_Data!A911),BBG_Data!A911,"")</f>
        <v/>
      </c>
      <c r="B911" s="18">
        <f>IF(AND(ISNUMBER($A911),ISNUMBER(BBG_Data!B911)),BBG_Data!B911,NA())</f>
        <v/>
      </c>
      <c r="C911" s="18">
        <f>IF(NOT(ISNUMBER($A911)),NA(),IFERROR(1*INDEX(BBG_Data!$D$2:$D$4000,MATCH($A911,BBG_Data!$C$2:$C$4000,0)),NA()))</f>
        <v/>
      </c>
      <c r="D911" s="19">
        <f>IF(NOT(ISNUMBER($A911)),NA(),IFERROR(1*INDEX(BBG_Data!$F$2:$F$4000,MATCH($A911,BBG_Data!$E$2:$E$4000,0)),NA()))</f>
        <v/>
      </c>
      <c r="E911" s="19">
        <f>IF(NOT(ISNUMBER($A911)),NA(),IFERROR(1*INDEX(BBG_Data!$H$2:$H$4000,MATCH($A911,BBG_Data!$G$2:$G$4000,0)),NA()))</f>
        <v/>
      </c>
      <c r="F911" s="20">
        <f>IF(AND(ISNUMBER(B911),ISNUMBER(B910)),IF(B911=B910,"",(B911-B910)*100),"")</f>
        <v/>
      </c>
      <c r="G911" s="20">
        <f>IF(AND(ISNUMBER(C911),ISNUMBER(C910)),IF(C911=C910,"",(C911-C910)*100),"")</f>
        <v/>
      </c>
      <c r="H911" s="20">
        <f>IF(OR(NOT(ISNUMBER($A911)),ROW()-2&lt;Settings!$B$11),NA(),IF(COUNT(OFFSET(F911,1-Settings!$B$11,0,Settings!$B$11,1))&lt;ROUNDUP(Settings!$B$11*Settings!$B$26,0),NA(),STDEV(OFFSET(F911,1-Settings!$B$11,0,Settings!$B$11,1))*SQRT(Settings!$B$13)))</f>
        <v/>
      </c>
      <c r="I911" s="20">
        <f>IF(OR(NOT(ISNUMBER($A911)),ROW()-2&lt;Settings!$B$12),NA(),IF(COUNT(OFFSET(F911,1-Settings!$B$12,0,Settings!$B$12,1))&lt;ROUNDUP(Settings!$B$12*Settings!$B$26,0),NA(),STDEV(OFFSET(F911,1-Settings!$B$12,0,Settings!$B$12,1))*SQRT(Settings!$B$13)))</f>
        <v/>
      </c>
      <c r="J911" s="20">
        <f>IF(OR(NOT(ISNUMBER($A911)),ROW()-2&lt;Settings!$B$11),NA(),IF(COUNT(OFFSET(G911,1-Settings!$B$11,0,Settings!$B$11,1))&lt;ROUNDUP(Settings!$B$11*Settings!$B$26,0),NA(),STDEV(OFFSET(G911,1-Settings!$B$11,0,Settings!$B$11,1))*SQRT(Settings!$B$13)))</f>
        <v/>
      </c>
      <c r="K911" s="20">
        <f>IF(OR(NOT(ISNUMBER($A911)),ROW()-2&lt;Settings!$B$12),NA(),IF(COUNT(OFFSET(G911,1-Settings!$B$12,0,Settings!$B$12,1))&lt;ROUNDUP(Settings!$B$12*Settings!$B$26,0),NA(),STDEV(OFFSET(G911,1-Settings!$B$12,0,Settings!$B$12,1))*SQRT(Settings!$B$13)))</f>
        <v/>
      </c>
      <c r="L911" s="20">
        <f>IF(AND(ISNUMBER(D911),ISNUMBER(H911)),D911-H911,NA())</f>
        <v/>
      </c>
      <c r="M911" s="20">
        <f>IF(AND(ISNUMBER(E911),ISNUMBER(K911)),E911-K911,NA())</f>
        <v/>
      </c>
      <c r="N911" s="20">
        <f>IF(NOT(ISNUMBER($A911)),NA(),IF(COUNT(OFFSET(G911,1,0,Settings!$B$12,1))&lt;ROUNDUP(Settings!$B$12*Settings!$B$26,0),NA(),STDEV(OFFSET(G911,1,0,Settings!$B$12,1))*SQRT(Settings!$B$13)))</f>
        <v/>
      </c>
      <c r="O911" s="20">
        <f>IF(AND(ISNUMBER(E911),ISNUMBER(N911)),E911-N911,NA())</f>
        <v/>
      </c>
      <c r="P911" s="19">
        <f>IF(NOT(ISNUMBER($A911)),NA(),IF(OR($A911&lt;MIN(KW_TP!$A$2:$A$2501),$A911&gt;MAX(KW_TP!$A$2:$A$2501)),NA(),INDEX(KW_TP!$C$2:$C$2501,MATCH($A911,KW_TP!$A$2:$A$2501,1))))</f>
        <v/>
      </c>
      <c r="Q911" s="18">
        <f>IF(NOT(ISNUMBER($A911)),NA(),IFERROR(1*INDEX(BBG_Data!$J$2:$J$4000,MATCH($A911,BBG_Data!$I$2:$I$4000,0)),NA()))</f>
        <v/>
      </c>
      <c r="R911" s="18">
        <f>IF(NOT(ISNUMBER($A911)),NA(),IFERROR(1*INDEX(BBG_Data!$L$2:$L$4000,MATCH($A911,BBG_Data!$K$2:$K$4000,0)),NA()))</f>
        <v/>
      </c>
      <c r="S911" s="20">
        <f>IF(AND(ISNUMBER(B911),ISNUMBER(Q911),ISNUMBER(R911)),(B911-Q911-R911)*100,NA())</f>
        <v/>
      </c>
      <c r="T911" s="20">
        <f>IF(AND(ISNUMBER(B911),Settings!$B$17&gt;0),IF(ISNUMBER(INDEX($B:$B,Settings!$B$17)),(B911-INDEX($B:$B,Settings!$B$17))*100,NA()),NA())</f>
        <v/>
      </c>
      <c r="U911" s="20">
        <f>IF(AND(ISNUMBER(Q911),Settings!$B$17&gt;0),IF(ISNUMBER(INDEX($Q:$Q,Settings!$B$17)),(Q911-INDEX($Q:$Q,Settings!$B$17))*100,NA()),NA())</f>
        <v/>
      </c>
      <c r="V911" s="20">
        <f>IF(AND(ISNUMBER(R911),Settings!$B$17&gt;0),IF(ISNUMBER(INDEX($R:$R,Settings!$B$17)),(R911-INDEX($R:$R,Settings!$B$17))*100,NA()),NA())</f>
        <v/>
      </c>
      <c r="W911" s="20">
        <f>IF(AND(ISNUMBER(P911),Settings!$B$17&gt;0),IF(ISNUMBER(INDEX($P:$P,Settings!$B$17)),P911-INDEX($P:$P,Settings!$B$17),NA()),NA())</f>
        <v/>
      </c>
      <c r="X911" s="19">
        <f>IF(NOT(ISNUMBER($A911)),NA(),IF(OR($A911&lt;MIN(DKW_10Y!$A$2:$A$2918),$A911&gt;MAX(DKW_10Y!$A$2:$A$2918),Settings!$B$16&lt;MIN(DKW_10Y!$A$2:$A$2918)),NA(),(INDEX(DKW_10Y!$B$2:$B$2918,MATCH($A911,DKW_10Y!$A$2:$A$2918,1))-INDEX(DKW_10Y!$B$2:$B$2918,MATCH(Settings!$B$16,DKW_10Y!$A$2:$A$2918,1)))*100))</f>
        <v/>
      </c>
      <c r="Y911" s="19">
        <f>IF(NOT(ISNUMBER($A911)),NA(),IF(OR($A911&lt;MIN(DKW_10Y!$A$2:$A$2918),$A911&gt;MAX(DKW_10Y!$A$2:$A$2918),Settings!$B$16&lt;MIN(DKW_10Y!$A$2:$A$2918)),NA(),(INDEX(DKW_10Y!$C$2:$C$2918,MATCH($A911,DKW_10Y!$A$2:$A$2918,1))-INDEX(DKW_10Y!$C$2:$C$2918,MATCH(Settings!$B$16,DKW_10Y!$A$2:$A$2918,1)))*100))</f>
        <v/>
      </c>
      <c r="Z911" s="19">
        <f>IF(NOT(ISNUMBER($A911)),NA(),IF(OR($A911&lt;MIN(DKW_10Y!$A$2:$A$2918),$A911&gt;MAX(DKW_10Y!$A$2:$A$2918),Settings!$B$16&lt;MIN(DKW_10Y!$A$2:$A$2918)),NA(),(INDEX(DKW_10Y!$D$2:$D$2918,MATCH($A911,DKW_10Y!$A$2:$A$2918,1))-INDEX(DKW_10Y!$D$2:$D$2918,MATCH(Settings!$B$16,DKW_10Y!$A$2:$A$2918,1)))*100))</f>
        <v/>
      </c>
      <c r="AA911" s="19">
        <f>IF(NOT(ISNUMBER($A911)),NA(),IF(OR($A911&lt;MIN(DKW_10Y!$A$2:$A$2918),$A911&gt;MAX(DKW_10Y!$A$2:$A$2918),Settings!$B$16&lt;MIN(DKW_10Y!$A$2:$A$2918)),NA(),(INDEX(DKW_10Y!$E$2:$E$2918,MATCH($A911,DKW_10Y!$A$2:$A$2918,1))-INDEX(DKW_10Y!$E$2:$E$2918,MATCH(Settings!$B$16,DKW_10Y!$A$2:$A$2918,1)))*100))</f>
        <v/>
      </c>
      <c r="AB911" s="19">
        <f>IF(NOT(ISNUMBER($A911)),NA(),IF(OR($A911&lt;MIN(DKW_10Y!$A$2:$A$2918),$A911&gt;MAX(DKW_10Y!$A$2:$A$2918),Settings!$B$16&lt;MIN(DKW_10Y!$A$2:$A$2918)),NA(),(INDEX(DKW_10Y!$H$2:$H$2918,MATCH($A911,DKW_10Y!$A$2:$A$2918,1))-INDEX(DKW_10Y!$H$2:$H$2918,MATCH(Settings!$B$16,DKW_10Y!$A$2:$A$2918,1)))*100))</f>
        <v/>
      </c>
      <c r="AC911" s="18">
        <f>IF(NOT(ISNUMBER($A911)),NA(),IFERROR(1*INDEX(BBG_Data!$N$2:$N$4000,MATCH($A911,BBG_Data!$M$2:$M$4000,0)),NA()))</f>
        <v/>
      </c>
      <c r="AD911" s="18">
        <f>IF(NOT(ISNUMBER($A911)),NA(),IFERROR(1*INDEX(BBG_Data!$P$2:$P$4000,MATCH($A911,BBG_Data!$O$2:$O$4000,0)),NA()))</f>
        <v/>
      </c>
      <c r="AE911" s="18">
        <f>IF(NOT(ISNUMBER($A911)),NA(),IFERROR(1*INDEX(BBG_Data!$R$2:$R$4000,MATCH($A911,BBG_Data!$Q$2:$Q$4000,0)),NA()))</f>
        <v/>
      </c>
      <c r="AF911" s="20">
        <f>IF(AND(ISNUMBER(B911),ISNUMBER(AC911)),(B911-AC911)*100,NA())</f>
        <v/>
      </c>
      <c r="AG911" s="20">
        <f>IF(AND(ISNUMBER(AE911),ISNUMBER(AD911)),(AE911-AD911)*100,NA())</f>
        <v/>
      </c>
      <c r="AH911" s="19">
        <f>IF(NOT(ISNUMBER($A911)),NA(),IFERROR(INDEX(BBG_Data!$T$2:$T$4000,MATCH($A911,BBG_Data!$S$2:$S$4000,0))*Settings!$B$25,NA()))</f>
        <v/>
      </c>
      <c r="AI911" s="19">
        <f>IF(NOT(ISNUMBER($A911)),NA(),IFERROR(INDEX(BBG_Data!$V$2:$V$4000,MATCH($A911,BBG_Data!$U$2:$U$4000,0))*Settings!$B$25,NA()))</f>
        <v/>
      </c>
      <c r="AJ911" s="19">
        <f>IF(NOT(ISNUMBER($A911)),NA(),IFERROR(1*INDEX(BBG_Data!$X$2:$X$4000,MATCH($A911,BBG_Data!$W$2:$W$4000,0)),NA()))</f>
        <v/>
      </c>
      <c r="AK911" s="19">
        <f>IF(NOT(ISNUMBER($A911)),NA(),IFERROR(1*INDEX(BBG_Data!$Z$2:$Z$4000,MATCH($A911,BBG_Data!$Y$2:$Y$4000,0)),NA()))</f>
        <v/>
      </c>
    </row>
    <row r="912">
      <c r="A912" s="17">
        <f>IF(ISNUMBER(BBG_Data!A912),BBG_Data!A912,"")</f>
        <v/>
      </c>
      <c r="B912" s="18">
        <f>IF(AND(ISNUMBER($A912),ISNUMBER(BBG_Data!B912)),BBG_Data!B912,NA())</f>
        <v/>
      </c>
      <c r="C912" s="18">
        <f>IF(NOT(ISNUMBER($A912)),NA(),IFERROR(1*INDEX(BBG_Data!$D$2:$D$4000,MATCH($A912,BBG_Data!$C$2:$C$4000,0)),NA()))</f>
        <v/>
      </c>
      <c r="D912" s="19">
        <f>IF(NOT(ISNUMBER($A912)),NA(),IFERROR(1*INDEX(BBG_Data!$F$2:$F$4000,MATCH($A912,BBG_Data!$E$2:$E$4000,0)),NA()))</f>
        <v/>
      </c>
      <c r="E912" s="19">
        <f>IF(NOT(ISNUMBER($A912)),NA(),IFERROR(1*INDEX(BBG_Data!$H$2:$H$4000,MATCH($A912,BBG_Data!$G$2:$G$4000,0)),NA()))</f>
        <v/>
      </c>
      <c r="F912" s="20">
        <f>IF(AND(ISNUMBER(B912),ISNUMBER(B911)),IF(B912=B911,"",(B912-B911)*100),"")</f>
        <v/>
      </c>
      <c r="G912" s="20">
        <f>IF(AND(ISNUMBER(C912),ISNUMBER(C911)),IF(C912=C911,"",(C912-C911)*100),"")</f>
        <v/>
      </c>
      <c r="H912" s="20">
        <f>IF(OR(NOT(ISNUMBER($A912)),ROW()-2&lt;Settings!$B$11),NA(),IF(COUNT(OFFSET(F912,1-Settings!$B$11,0,Settings!$B$11,1))&lt;ROUNDUP(Settings!$B$11*Settings!$B$26,0),NA(),STDEV(OFFSET(F912,1-Settings!$B$11,0,Settings!$B$11,1))*SQRT(Settings!$B$13)))</f>
        <v/>
      </c>
      <c r="I912" s="20">
        <f>IF(OR(NOT(ISNUMBER($A912)),ROW()-2&lt;Settings!$B$12),NA(),IF(COUNT(OFFSET(F912,1-Settings!$B$12,0,Settings!$B$12,1))&lt;ROUNDUP(Settings!$B$12*Settings!$B$26,0),NA(),STDEV(OFFSET(F912,1-Settings!$B$12,0,Settings!$B$12,1))*SQRT(Settings!$B$13)))</f>
        <v/>
      </c>
      <c r="J912" s="20">
        <f>IF(OR(NOT(ISNUMBER($A912)),ROW()-2&lt;Settings!$B$11),NA(),IF(COUNT(OFFSET(G912,1-Settings!$B$11,0,Settings!$B$11,1))&lt;ROUNDUP(Settings!$B$11*Settings!$B$26,0),NA(),STDEV(OFFSET(G912,1-Settings!$B$11,0,Settings!$B$11,1))*SQRT(Settings!$B$13)))</f>
        <v/>
      </c>
      <c r="K912" s="20">
        <f>IF(OR(NOT(ISNUMBER($A912)),ROW()-2&lt;Settings!$B$12),NA(),IF(COUNT(OFFSET(G912,1-Settings!$B$12,0,Settings!$B$12,1))&lt;ROUNDUP(Settings!$B$12*Settings!$B$26,0),NA(),STDEV(OFFSET(G912,1-Settings!$B$12,0,Settings!$B$12,1))*SQRT(Settings!$B$13)))</f>
        <v/>
      </c>
      <c r="L912" s="20">
        <f>IF(AND(ISNUMBER(D912),ISNUMBER(H912)),D912-H912,NA())</f>
        <v/>
      </c>
      <c r="M912" s="20">
        <f>IF(AND(ISNUMBER(E912),ISNUMBER(K912)),E912-K912,NA())</f>
        <v/>
      </c>
      <c r="N912" s="20">
        <f>IF(NOT(ISNUMBER($A912)),NA(),IF(COUNT(OFFSET(G912,1,0,Settings!$B$12,1))&lt;ROUNDUP(Settings!$B$12*Settings!$B$26,0),NA(),STDEV(OFFSET(G912,1,0,Settings!$B$12,1))*SQRT(Settings!$B$13)))</f>
        <v/>
      </c>
      <c r="O912" s="20">
        <f>IF(AND(ISNUMBER(E912),ISNUMBER(N912)),E912-N912,NA())</f>
        <v/>
      </c>
      <c r="P912" s="19">
        <f>IF(NOT(ISNUMBER($A912)),NA(),IF(OR($A912&lt;MIN(KW_TP!$A$2:$A$2501),$A912&gt;MAX(KW_TP!$A$2:$A$2501)),NA(),INDEX(KW_TP!$C$2:$C$2501,MATCH($A912,KW_TP!$A$2:$A$2501,1))))</f>
        <v/>
      </c>
      <c r="Q912" s="18">
        <f>IF(NOT(ISNUMBER($A912)),NA(),IFERROR(1*INDEX(BBG_Data!$J$2:$J$4000,MATCH($A912,BBG_Data!$I$2:$I$4000,0)),NA()))</f>
        <v/>
      </c>
      <c r="R912" s="18">
        <f>IF(NOT(ISNUMBER($A912)),NA(),IFERROR(1*INDEX(BBG_Data!$L$2:$L$4000,MATCH($A912,BBG_Data!$K$2:$K$4000,0)),NA()))</f>
        <v/>
      </c>
      <c r="S912" s="20">
        <f>IF(AND(ISNUMBER(B912),ISNUMBER(Q912),ISNUMBER(R912)),(B912-Q912-R912)*100,NA())</f>
        <v/>
      </c>
      <c r="T912" s="20">
        <f>IF(AND(ISNUMBER(B912),Settings!$B$17&gt;0),IF(ISNUMBER(INDEX($B:$B,Settings!$B$17)),(B912-INDEX($B:$B,Settings!$B$17))*100,NA()),NA())</f>
        <v/>
      </c>
      <c r="U912" s="20">
        <f>IF(AND(ISNUMBER(Q912),Settings!$B$17&gt;0),IF(ISNUMBER(INDEX($Q:$Q,Settings!$B$17)),(Q912-INDEX($Q:$Q,Settings!$B$17))*100,NA()),NA())</f>
        <v/>
      </c>
      <c r="V912" s="20">
        <f>IF(AND(ISNUMBER(R912),Settings!$B$17&gt;0),IF(ISNUMBER(INDEX($R:$R,Settings!$B$17)),(R912-INDEX($R:$R,Settings!$B$17))*100,NA()),NA())</f>
        <v/>
      </c>
      <c r="W912" s="20">
        <f>IF(AND(ISNUMBER(P912),Settings!$B$17&gt;0),IF(ISNUMBER(INDEX($P:$P,Settings!$B$17)),P912-INDEX($P:$P,Settings!$B$17),NA()),NA())</f>
        <v/>
      </c>
      <c r="X912" s="19">
        <f>IF(NOT(ISNUMBER($A912)),NA(),IF(OR($A912&lt;MIN(DKW_10Y!$A$2:$A$2918),$A912&gt;MAX(DKW_10Y!$A$2:$A$2918),Settings!$B$16&lt;MIN(DKW_10Y!$A$2:$A$2918)),NA(),(INDEX(DKW_10Y!$B$2:$B$2918,MATCH($A912,DKW_10Y!$A$2:$A$2918,1))-INDEX(DKW_10Y!$B$2:$B$2918,MATCH(Settings!$B$16,DKW_10Y!$A$2:$A$2918,1)))*100))</f>
        <v/>
      </c>
      <c r="Y912" s="19">
        <f>IF(NOT(ISNUMBER($A912)),NA(),IF(OR($A912&lt;MIN(DKW_10Y!$A$2:$A$2918),$A912&gt;MAX(DKW_10Y!$A$2:$A$2918),Settings!$B$16&lt;MIN(DKW_10Y!$A$2:$A$2918)),NA(),(INDEX(DKW_10Y!$C$2:$C$2918,MATCH($A912,DKW_10Y!$A$2:$A$2918,1))-INDEX(DKW_10Y!$C$2:$C$2918,MATCH(Settings!$B$16,DKW_10Y!$A$2:$A$2918,1)))*100))</f>
        <v/>
      </c>
      <c r="Z912" s="19">
        <f>IF(NOT(ISNUMBER($A912)),NA(),IF(OR($A912&lt;MIN(DKW_10Y!$A$2:$A$2918),$A912&gt;MAX(DKW_10Y!$A$2:$A$2918),Settings!$B$16&lt;MIN(DKW_10Y!$A$2:$A$2918)),NA(),(INDEX(DKW_10Y!$D$2:$D$2918,MATCH($A912,DKW_10Y!$A$2:$A$2918,1))-INDEX(DKW_10Y!$D$2:$D$2918,MATCH(Settings!$B$16,DKW_10Y!$A$2:$A$2918,1)))*100))</f>
        <v/>
      </c>
      <c r="AA912" s="19">
        <f>IF(NOT(ISNUMBER($A912)),NA(),IF(OR($A912&lt;MIN(DKW_10Y!$A$2:$A$2918),$A912&gt;MAX(DKW_10Y!$A$2:$A$2918),Settings!$B$16&lt;MIN(DKW_10Y!$A$2:$A$2918)),NA(),(INDEX(DKW_10Y!$E$2:$E$2918,MATCH($A912,DKW_10Y!$A$2:$A$2918,1))-INDEX(DKW_10Y!$E$2:$E$2918,MATCH(Settings!$B$16,DKW_10Y!$A$2:$A$2918,1)))*100))</f>
        <v/>
      </c>
      <c r="AB912" s="19">
        <f>IF(NOT(ISNUMBER($A912)),NA(),IF(OR($A912&lt;MIN(DKW_10Y!$A$2:$A$2918),$A912&gt;MAX(DKW_10Y!$A$2:$A$2918),Settings!$B$16&lt;MIN(DKW_10Y!$A$2:$A$2918)),NA(),(INDEX(DKW_10Y!$H$2:$H$2918,MATCH($A912,DKW_10Y!$A$2:$A$2918,1))-INDEX(DKW_10Y!$H$2:$H$2918,MATCH(Settings!$B$16,DKW_10Y!$A$2:$A$2918,1)))*100))</f>
        <v/>
      </c>
      <c r="AC912" s="18">
        <f>IF(NOT(ISNUMBER($A912)),NA(),IFERROR(1*INDEX(BBG_Data!$N$2:$N$4000,MATCH($A912,BBG_Data!$M$2:$M$4000,0)),NA()))</f>
        <v/>
      </c>
      <c r="AD912" s="18">
        <f>IF(NOT(ISNUMBER($A912)),NA(),IFERROR(1*INDEX(BBG_Data!$P$2:$P$4000,MATCH($A912,BBG_Data!$O$2:$O$4000,0)),NA()))</f>
        <v/>
      </c>
      <c r="AE912" s="18">
        <f>IF(NOT(ISNUMBER($A912)),NA(),IFERROR(1*INDEX(BBG_Data!$R$2:$R$4000,MATCH($A912,BBG_Data!$Q$2:$Q$4000,0)),NA()))</f>
        <v/>
      </c>
      <c r="AF912" s="20">
        <f>IF(AND(ISNUMBER(B912),ISNUMBER(AC912)),(B912-AC912)*100,NA())</f>
        <v/>
      </c>
      <c r="AG912" s="20">
        <f>IF(AND(ISNUMBER(AE912),ISNUMBER(AD912)),(AE912-AD912)*100,NA())</f>
        <v/>
      </c>
      <c r="AH912" s="19">
        <f>IF(NOT(ISNUMBER($A912)),NA(),IFERROR(INDEX(BBG_Data!$T$2:$T$4000,MATCH($A912,BBG_Data!$S$2:$S$4000,0))*Settings!$B$25,NA()))</f>
        <v/>
      </c>
      <c r="AI912" s="19">
        <f>IF(NOT(ISNUMBER($A912)),NA(),IFERROR(INDEX(BBG_Data!$V$2:$V$4000,MATCH($A912,BBG_Data!$U$2:$U$4000,0))*Settings!$B$25,NA()))</f>
        <v/>
      </c>
      <c r="AJ912" s="19">
        <f>IF(NOT(ISNUMBER($A912)),NA(),IFERROR(1*INDEX(BBG_Data!$X$2:$X$4000,MATCH($A912,BBG_Data!$W$2:$W$4000,0)),NA()))</f>
        <v/>
      </c>
      <c r="AK912" s="19">
        <f>IF(NOT(ISNUMBER($A912)),NA(),IFERROR(1*INDEX(BBG_Data!$Z$2:$Z$4000,MATCH($A912,BBG_Data!$Y$2:$Y$4000,0)),NA()))</f>
        <v/>
      </c>
    </row>
    <row r="913">
      <c r="A913" s="17">
        <f>IF(ISNUMBER(BBG_Data!A913),BBG_Data!A913,"")</f>
        <v/>
      </c>
      <c r="B913" s="18">
        <f>IF(AND(ISNUMBER($A913),ISNUMBER(BBG_Data!B913)),BBG_Data!B913,NA())</f>
        <v/>
      </c>
      <c r="C913" s="18">
        <f>IF(NOT(ISNUMBER($A913)),NA(),IFERROR(1*INDEX(BBG_Data!$D$2:$D$4000,MATCH($A913,BBG_Data!$C$2:$C$4000,0)),NA()))</f>
        <v/>
      </c>
      <c r="D913" s="19">
        <f>IF(NOT(ISNUMBER($A913)),NA(),IFERROR(1*INDEX(BBG_Data!$F$2:$F$4000,MATCH($A913,BBG_Data!$E$2:$E$4000,0)),NA()))</f>
        <v/>
      </c>
      <c r="E913" s="19">
        <f>IF(NOT(ISNUMBER($A913)),NA(),IFERROR(1*INDEX(BBG_Data!$H$2:$H$4000,MATCH($A913,BBG_Data!$G$2:$G$4000,0)),NA()))</f>
        <v/>
      </c>
      <c r="F913" s="20">
        <f>IF(AND(ISNUMBER(B913),ISNUMBER(B912)),IF(B913=B912,"",(B913-B912)*100),"")</f>
        <v/>
      </c>
      <c r="G913" s="20">
        <f>IF(AND(ISNUMBER(C913),ISNUMBER(C912)),IF(C913=C912,"",(C913-C912)*100),"")</f>
        <v/>
      </c>
      <c r="H913" s="20">
        <f>IF(OR(NOT(ISNUMBER($A913)),ROW()-2&lt;Settings!$B$11),NA(),IF(COUNT(OFFSET(F913,1-Settings!$B$11,0,Settings!$B$11,1))&lt;ROUNDUP(Settings!$B$11*Settings!$B$26,0),NA(),STDEV(OFFSET(F913,1-Settings!$B$11,0,Settings!$B$11,1))*SQRT(Settings!$B$13)))</f>
        <v/>
      </c>
      <c r="I913" s="20">
        <f>IF(OR(NOT(ISNUMBER($A913)),ROW()-2&lt;Settings!$B$12),NA(),IF(COUNT(OFFSET(F913,1-Settings!$B$12,0,Settings!$B$12,1))&lt;ROUNDUP(Settings!$B$12*Settings!$B$26,0),NA(),STDEV(OFFSET(F913,1-Settings!$B$12,0,Settings!$B$12,1))*SQRT(Settings!$B$13)))</f>
        <v/>
      </c>
      <c r="J913" s="20">
        <f>IF(OR(NOT(ISNUMBER($A913)),ROW()-2&lt;Settings!$B$11),NA(),IF(COUNT(OFFSET(G913,1-Settings!$B$11,0,Settings!$B$11,1))&lt;ROUNDUP(Settings!$B$11*Settings!$B$26,0),NA(),STDEV(OFFSET(G913,1-Settings!$B$11,0,Settings!$B$11,1))*SQRT(Settings!$B$13)))</f>
        <v/>
      </c>
      <c r="K913" s="20">
        <f>IF(OR(NOT(ISNUMBER($A913)),ROW()-2&lt;Settings!$B$12),NA(),IF(COUNT(OFFSET(G913,1-Settings!$B$12,0,Settings!$B$12,1))&lt;ROUNDUP(Settings!$B$12*Settings!$B$26,0),NA(),STDEV(OFFSET(G913,1-Settings!$B$12,0,Settings!$B$12,1))*SQRT(Settings!$B$13)))</f>
        <v/>
      </c>
      <c r="L913" s="20">
        <f>IF(AND(ISNUMBER(D913),ISNUMBER(H913)),D913-H913,NA())</f>
        <v/>
      </c>
      <c r="M913" s="20">
        <f>IF(AND(ISNUMBER(E913),ISNUMBER(K913)),E913-K913,NA())</f>
        <v/>
      </c>
      <c r="N913" s="20">
        <f>IF(NOT(ISNUMBER($A913)),NA(),IF(COUNT(OFFSET(G913,1,0,Settings!$B$12,1))&lt;ROUNDUP(Settings!$B$12*Settings!$B$26,0),NA(),STDEV(OFFSET(G913,1,0,Settings!$B$12,1))*SQRT(Settings!$B$13)))</f>
        <v/>
      </c>
      <c r="O913" s="20">
        <f>IF(AND(ISNUMBER(E913),ISNUMBER(N913)),E913-N913,NA())</f>
        <v/>
      </c>
      <c r="P913" s="19">
        <f>IF(NOT(ISNUMBER($A913)),NA(),IF(OR($A913&lt;MIN(KW_TP!$A$2:$A$2501),$A913&gt;MAX(KW_TP!$A$2:$A$2501)),NA(),INDEX(KW_TP!$C$2:$C$2501,MATCH($A913,KW_TP!$A$2:$A$2501,1))))</f>
        <v/>
      </c>
      <c r="Q913" s="18">
        <f>IF(NOT(ISNUMBER($A913)),NA(),IFERROR(1*INDEX(BBG_Data!$J$2:$J$4000,MATCH($A913,BBG_Data!$I$2:$I$4000,0)),NA()))</f>
        <v/>
      </c>
      <c r="R913" s="18">
        <f>IF(NOT(ISNUMBER($A913)),NA(),IFERROR(1*INDEX(BBG_Data!$L$2:$L$4000,MATCH($A913,BBG_Data!$K$2:$K$4000,0)),NA()))</f>
        <v/>
      </c>
      <c r="S913" s="20">
        <f>IF(AND(ISNUMBER(B913),ISNUMBER(Q913),ISNUMBER(R913)),(B913-Q913-R913)*100,NA())</f>
        <v/>
      </c>
      <c r="T913" s="20">
        <f>IF(AND(ISNUMBER(B913),Settings!$B$17&gt;0),IF(ISNUMBER(INDEX($B:$B,Settings!$B$17)),(B913-INDEX($B:$B,Settings!$B$17))*100,NA()),NA())</f>
        <v/>
      </c>
      <c r="U913" s="20">
        <f>IF(AND(ISNUMBER(Q913),Settings!$B$17&gt;0),IF(ISNUMBER(INDEX($Q:$Q,Settings!$B$17)),(Q913-INDEX($Q:$Q,Settings!$B$17))*100,NA()),NA())</f>
        <v/>
      </c>
      <c r="V913" s="20">
        <f>IF(AND(ISNUMBER(R913),Settings!$B$17&gt;0),IF(ISNUMBER(INDEX($R:$R,Settings!$B$17)),(R913-INDEX($R:$R,Settings!$B$17))*100,NA()),NA())</f>
        <v/>
      </c>
      <c r="W913" s="20">
        <f>IF(AND(ISNUMBER(P913),Settings!$B$17&gt;0),IF(ISNUMBER(INDEX($P:$P,Settings!$B$17)),P913-INDEX($P:$P,Settings!$B$17),NA()),NA())</f>
        <v/>
      </c>
      <c r="X913" s="19">
        <f>IF(NOT(ISNUMBER($A913)),NA(),IF(OR($A913&lt;MIN(DKW_10Y!$A$2:$A$2918),$A913&gt;MAX(DKW_10Y!$A$2:$A$2918),Settings!$B$16&lt;MIN(DKW_10Y!$A$2:$A$2918)),NA(),(INDEX(DKW_10Y!$B$2:$B$2918,MATCH($A913,DKW_10Y!$A$2:$A$2918,1))-INDEX(DKW_10Y!$B$2:$B$2918,MATCH(Settings!$B$16,DKW_10Y!$A$2:$A$2918,1)))*100))</f>
        <v/>
      </c>
      <c r="Y913" s="19">
        <f>IF(NOT(ISNUMBER($A913)),NA(),IF(OR($A913&lt;MIN(DKW_10Y!$A$2:$A$2918),$A913&gt;MAX(DKW_10Y!$A$2:$A$2918),Settings!$B$16&lt;MIN(DKW_10Y!$A$2:$A$2918)),NA(),(INDEX(DKW_10Y!$C$2:$C$2918,MATCH($A913,DKW_10Y!$A$2:$A$2918,1))-INDEX(DKW_10Y!$C$2:$C$2918,MATCH(Settings!$B$16,DKW_10Y!$A$2:$A$2918,1)))*100))</f>
        <v/>
      </c>
      <c r="Z913" s="19">
        <f>IF(NOT(ISNUMBER($A913)),NA(),IF(OR($A913&lt;MIN(DKW_10Y!$A$2:$A$2918),$A913&gt;MAX(DKW_10Y!$A$2:$A$2918),Settings!$B$16&lt;MIN(DKW_10Y!$A$2:$A$2918)),NA(),(INDEX(DKW_10Y!$D$2:$D$2918,MATCH($A913,DKW_10Y!$A$2:$A$2918,1))-INDEX(DKW_10Y!$D$2:$D$2918,MATCH(Settings!$B$16,DKW_10Y!$A$2:$A$2918,1)))*100))</f>
        <v/>
      </c>
      <c r="AA913" s="19">
        <f>IF(NOT(ISNUMBER($A913)),NA(),IF(OR($A913&lt;MIN(DKW_10Y!$A$2:$A$2918),$A913&gt;MAX(DKW_10Y!$A$2:$A$2918),Settings!$B$16&lt;MIN(DKW_10Y!$A$2:$A$2918)),NA(),(INDEX(DKW_10Y!$E$2:$E$2918,MATCH($A913,DKW_10Y!$A$2:$A$2918,1))-INDEX(DKW_10Y!$E$2:$E$2918,MATCH(Settings!$B$16,DKW_10Y!$A$2:$A$2918,1)))*100))</f>
        <v/>
      </c>
      <c r="AB913" s="19">
        <f>IF(NOT(ISNUMBER($A913)),NA(),IF(OR($A913&lt;MIN(DKW_10Y!$A$2:$A$2918),$A913&gt;MAX(DKW_10Y!$A$2:$A$2918),Settings!$B$16&lt;MIN(DKW_10Y!$A$2:$A$2918)),NA(),(INDEX(DKW_10Y!$H$2:$H$2918,MATCH($A913,DKW_10Y!$A$2:$A$2918,1))-INDEX(DKW_10Y!$H$2:$H$2918,MATCH(Settings!$B$16,DKW_10Y!$A$2:$A$2918,1)))*100))</f>
        <v/>
      </c>
      <c r="AC913" s="18">
        <f>IF(NOT(ISNUMBER($A913)),NA(),IFERROR(1*INDEX(BBG_Data!$N$2:$N$4000,MATCH($A913,BBG_Data!$M$2:$M$4000,0)),NA()))</f>
        <v/>
      </c>
      <c r="AD913" s="18">
        <f>IF(NOT(ISNUMBER($A913)),NA(),IFERROR(1*INDEX(BBG_Data!$P$2:$P$4000,MATCH($A913,BBG_Data!$O$2:$O$4000,0)),NA()))</f>
        <v/>
      </c>
      <c r="AE913" s="18">
        <f>IF(NOT(ISNUMBER($A913)),NA(),IFERROR(1*INDEX(BBG_Data!$R$2:$R$4000,MATCH($A913,BBG_Data!$Q$2:$Q$4000,0)),NA()))</f>
        <v/>
      </c>
      <c r="AF913" s="20">
        <f>IF(AND(ISNUMBER(B913),ISNUMBER(AC913)),(B913-AC913)*100,NA())</f>
        <v/>
      </c>
      <c r="AG913" s="20">
        <f>IF(AND(ISNUMBER(AE913),ISNUMBER(AD913)),(AE913-AD913)*100,NA())</f>
        <v/>
      </c>
      <c r="AH913" s="19">
        <f>IF(NOT(ISNUMBER($A913)),NA(),IFERROR(INDEX(BBG_Data!$T$2:$T$4000,MATCH($A913,BBG_Data!$S$2:$S$4000,0))*Settings!$B$25,NA()))</f>
        <v/>
      </c>
      <c r="AI913" s="19">
        <f>IF(NOT(ISNUMBER($A913)),NA(),IFERROR(INDEX(BBG_Data!$V$2:$V$4000,MATCH($A913,BBG_Data!$U$2:$U$4000,0))*Settings!$B$25,NA()))</f>
        <v/>
      </c>
      <c r="AJ913" s="19">
        <f>IF(NOT(ISNUMBER($A913)),NA(),IFERROR(1*INDEX(BBG_Data!$X$2:$X$4000,MATCH($A913,BBG_Data!$W$2:$W$4000,0)),NA()))</f>
        <v/>
      </c>
      <c r="AK913" s="19">
        <f>IF(NOT(ISNUMBER($A913)),NA(),IFERROR(1*INDEX(BBG_Data!$Z$2:$Z$4000,MATCH($A913,BBG_Data!$Y$2:$Y$4000,0)),NA()))</f>
        <v/>
      </c>
    </row>
    <row r="914">
      <c r="A914" s="17">
        <f>IF(ISNUMBER(BBG_Data!A914),BBG_Data!A914,"")</f>
        <v/>
      </c>
      <c r="B914" s="18">
        <f>IF(AND(ISNUMBER($A914),ISNUMBER(BBG_Data!B914)),BBG_Data!B914,NA())</f>
        <v/>
      </c>
      <c r="C914" s="18">
        <f>IF(NOT(ISNUMBER($A914)),NA(),IFERROR(1*INDEX(BBG_Data!$D$2:$D$4000,MATCH($A914,BBG_Data!$C$2:$C$4000,0)),NA()))</f>
        <v/>
      </c>
      <c r="D914" s="19">
        <f>IF(NOT(ISNUMBER($A914)),NA(),IFERROR(1*INDEX(BBG_Data!$F$2:$F$4000,MATCH($A914,BBG_Data!$E$2:$E$4000,0)),NA()))</f>
        <v/>
      </c>
      <c r="E914" s="19">
        <f>IF(NOT(ISNUMBER($A914)),NA(),IFERROR(1*INDEX(BBG_Data!$H$2:$H$4000,MATCH($A914,BBG_Data!$G$2:$G$4000,0)),NA()))</f>
        <v/>
      </c>
      <c r="F914" s="20">
        <f>IF(AND(ISNUMBER(B914),ISNUMBER(B913)),IF(B914=B913,"",(B914-B913)*100),"")</f>
        <v/>
      </c>
      <c r="G914" s="20">
        <f>IF(AND(ISNUMBER(C914),ISNUMBER(C913)),IF(C914=C913,"",(C914-C913)*100),"")</f>
        <v/>
      </c>
      <c r="H914" s="20">
        <f>IF(OR(NOT(ISNUMBER($A914)),ROW()-2&lt;Settings!$B$11),NA(),IF(COUNT(OFFSET(F914,1-Settings!$B$11,0,Settings!$B$11,1))&lt;ROUNDUP(Settings!$B$11*Settings!$B$26,0),NA(),STDEV(OFFSET(F914,1-Settings!$B$11,0,Settings!$B$11,1))*SQRT(Settings!$B$13)))</f>
        <v/>
      </c>
      <c r="I914" s="20">
        <f>IF(OR(NOT(ISNUMBER($A914)),ROW()-2&lt;Settings!$B$12),NA(),IF(COUNT(OFFSET(F914,1-Settings!$B$12,0,Settings!$B$12,1))&lt;ROUNDUP(Settings!$B$12*Settings!$B$26,0),NA(),STDEV(OFFSET(F914,1-Settings!$B$12,0,Settings!$B$12,1))*SQRT(Settings!$B$13)))</f>
        <v/>
      </c>
      <c r="J914" s="20">
        <f>IF(OR(NOT(ISNUMBER($A914)),ROW()-2&lt;Settings!$B$11),NA(),IF(COUNT(OFFSET(G914,1-Settings!$B$11,0,Settings!$B$11,1))&lt;ROUNDUP(Settings!$B$11*Settings!$B$26,0),NA(),STDEV(OFFSET(G914,1-Settings!$B$11,0,Settings!$B$11,1))*SQRT(Settings!$B$13)))</f>
        <v/>
      </c>
      <c r="K914" s="20">
        <f>IF(OR(NOT(ISNUMBER($A914)),ROW()-2&lt;Settings!$B$12),NA(),IF(COUNT(OFFSET(G914,1-Settings!$B$12,0,Settings!$B$12,1))&lt;ROUNDUP(Settings!$B$12*Settings!$B$26,0),NA(),STDEV(OFFSET(G914,1-Settings!$B$12,0,Settings!$B$12,1))*SQRT(Settings!$B$13)))</f>
        <v/>
      </c>
      <c r="L914" s="20">
        <f>IF(AND(ISNUMBER(D914),ISNUMBER(H914)),D914-H914,NA())</f>
        <v/>
      </c>
      <c r="M914" s="20">
        <f>IF(AND(ISNUMBER(E914),ISNUMBER(K914)),E914-K914,NA())</f>
        <v/>
      </c>
      <c r="N914" s="20">
        <f>IF(NOT(ISNUMBER($A914)),NA(),IF(COUNT(OFFSET(G914,1,0,Settings!$B$12,1))&lt;ROUNDUP(Settings!$B$12*Settings!$B$26,0),NA(),STDEV(OFFSET(G914,1,0,Settings!$B$12,1))*SQRT(Settings!$B$13)))</f>
        <v/>
      </c>
      <c r="O914" s="20">
        <f>IF(AND(ISNUMBER(E914),ISNUMBER(N914)),E914-N914,NA())</f>
        <v/>
      </c>
      <c r="P914" s="19">
        <f>IF(NOT(ISNUMBER($A914)),NA(),IF(OR($A914&lt;MIN(KW_TP!$A$2:$A$2501),$A914&gt;MAX(KW_TP!$A$2:$A$2501)),NA(),INDEX(KW_TP!$C$2:$C$2501,MATCH($A914,KW_TP!$A$2:$A$2501,1))))</f>
        <v/>
      </c>
      <c r="Q914" s="18">
        <f>IF(NOT(ISNUMBER($A914)),NA(),IFERROR(1*INDEX(BBG_Data!$J$2:$J$4000,MATCH($A914,BBG_Data!$I$2:$I$4000,0)),NA()))</f>
        <v/>
      </c>
      <c r="R914" s="18">
        <f>IF(NOT(ISNUMBER($A914)),NA(),IFERROR(1*INDEX(BBG_Data!$L$2:$L$4000,MATCH($A914,BBG_Data!$K$2:$K$4000,0)),NA()))</f>
        <v/>
      </c>
      <c r="S914" s="20">
        <f>IF(AND(ISNUMBER(B914),ISNUMBER(Q914),ISNUMBER(R914)),(B914-Q914-R914)*100,NA())</f>
        <v/>
      </c>
      <c r="T914" s="20">
        <f>IF(AND(ISNUMBER(B914),Settings!$B$17&gt;0),IF(ISNUMBER(INDEX($B:$B,Settings!$B$17)),(B914-INDEX($B:$B,Settings!$B$17))*100,NA()),NA())</f>
        <v/>
      </c>
      <c r="U914" s="20">
        <f>IF(AND(ISNUMBER(Q914),Settings!$B$17&gt;0),IF(ISNUMBER(INDEX($Q:$Q,Settings!$B$17)),(Q914-INDEX($Q:$Q,Settings!$B$17))*100,NA()),NA())</f>
        <v/>
      </c>
      <c r="V914" s="20">
        <f>IF(AND(ISNUMBER(R914),Settings!$B$17&gt;0),IF(ISNUMBER(INDEX($R:$R,Settings!$B$17)),(R914-INDEX($R:$R,Settings!$B$17))*100,NA()),NA())</f>
        <v/>
      </c>
      <c r="W914" s="20">
        <f>IF(AND(ISNUMBER(P914),Settings!$B$17&gt;0),IF(ISNUMBER(INDEX($P:$P,Settings!$B$17)),P914-INDEX($P:$P,Settings!$B$17),NA()),NA())</f>
        <v/>
      </c>
      <c r="X914" s="19">
        <f>IF(NOT(ISNUMBER($A914)),NA(),IF(OR($A914&lt;MIN(DKW_10Y!$A$2:$A$2918),$A914&gt;MAX(DKW_10Y!$A$2:$A$2918),Settings!$B$16&lt;MIN(DKW_10Y!$A$2:$A$2918)),NA(),(INDEX(DKW_10Y!$B$2:$B$2918,MATCH($A914,DKW_10Y!$A$2:$A$2918,1))-INDEX(DKW_10Y!$B$2:$B$2918,MATCH(Settings!$B$16,DKW_10Y!$A$2:$A$2918,1)))*100))</f>
        <v/>
      </c>
      <c r="Y914" s="19">
        <f>IF(NOT(ISNUMBER($A914)),NA(),IF(OR($A914&lt;MIN(DKW_10Y!$A$2:$A$2918),$A914&gt;MAX(DKW_10Y!$A$2:$A$2918),Settings!$B$16&lt;MIN(DKW_10Y!$A$2:$A$2918)),NA(),(INDEX(DKW_10Y!$C$2:$C$2918,MATCH($A914,DKW_10Y!$A$2:$A$2918,1))-INDEX(DKW_10Y!$C$2:$C$2918,MATCH(Settings!$B$16,DKW_10Y!$A$2:$A$2918,1)))*100))</f>
        <v/>
      </c>
      <c r="Z914" s="19">
        <f>IF(NOT(ISNUMBER($A914)),NA(),IF(OR($A914&lt;MIN(DKW_10Y!$A$2:$A$2918),$A914&gt;MAX(DKW_10Y!$A$2:$A$2918),Settings!$B$16&lt;MIN(DKW_10Y!$A$2:$A$2918)),NA(),(INDEX(DKW_10Y!$D$2:$D$2918,MATCH($A914,DKW_10Y!$A$2:$A$2918,1))-INDEX(DKW_10Y!$D$2:$D$2918,MATCH(Settings!$B$16,DKW_10Y!$A$2:$A$2918,1)))*100))</f>
        <v/>
      </c>
      <c r="AA914" s="19">
        <f>IF(NOT(ISNUMBER($A914)),NA(),IF(OR($A914&lt;MIN(DKW_10Y!$A$2:$A$2918),$A914&gt;MAX(DKW_10Y!$A$2:$A$2918),Settings!$B$16&lt;MIN(DKW_10Y!$A$2:$A$2918)),NA(),(INDEX(DKW_10Y!$E$2:$E$2918,MATCH($A914,DKW_10Y!$A$2:$A$2918,1))-INDEX(DKW_10Y!$E$2:$E$2918,MATCH(Settings!$B$16,DKW_10Y!$A$2:$A$2918,1)))*100))</f>
        <v/>
      </c>
      <c r="AB914" s="19">
        <f>IF(NOT(ISNUMBER($A914)),NA(),IF(OR($A914&lt;MIN(DKW_10Y!$A$2:$A$2918),$A914&gt;MAX(DKW_10Y!$A$2:$A$2918),Settings!$B$16&lt;MIN(DKW_10Y!$A$2:$A$2918)),NA(),(INDEX(DKW_10Y!$H$2:$H$2918,MATCH($A914,DKW_10Y!$A$2:$A$2918,1))-INDEX(DKW_10Y!$H$2:$H$2918,MATCH(Settings!$B$16,DKW_10Y!$A$2:$A$2918,1)))*100))</f>
        <v/>
      </c>
      <c r="AC914" s="18">
        <f>IF(NOT(ISNUMBER($A914)),NA(),IFERROR(1*INDEX(BBG_Data!$N$2:$N$4000,MATCH($A914,BBG_Data!$M$2:$M$4000,0)),NA()))</f>
        <v/>
      </c>
      <c r="AD914" s="18">
        <f>IF(NOT(ISNUMBER($A914)),NA(),IFERROR(1*INDEX(BBG_Data!$P$2:$P$4000,MATCH($A914,BBG_Data!$O$2:$O$4000,0)),NA()))</f>
        <v/>
      </c>
      <c r="AE914" s="18">
        <f>IF(NOT(ISNUMBER($A914)),NA(),IFERROR(1*INDEX(BBG_Data!$R$2:$R$4000,MATCH($A914,BBG_Data!$Q$2:$Q$4000,0)),NA()))</f>
        <v/>
      </c>
      <c r="AF914" s="20">
        <f>IF(AND(ISNUMBER(B914),ISNUMBER(AC914)),(B914-AC914)*100,NA())</f>
        <v/>
      </c>
      <c r="AG914" s="20">
        <f>IF(AND(ISNUMBER(AE914),ISNUMBER(AD914)),(AE914-AD914)*100,NA())</f>
        <v/>
      </c>
      <c r="AH914" s="19">
        <f>IF(NOT(ISNUMBER($A914)),NA(),IFERROR(INDEX(BBG_Data!$T$2:$T$4000,MATCH($A914,BBG_Data!$S$2:$S$4000,0))*Settings!$B$25,NA()))</f>
        <v/>
      </c>
      <c r="AI914" s="19">
        <f>IF(NOT(ISNUMBER($A914)),NA(),IFERROR(INDEX(BBG_Data!$V$2:$V$4000,MATCH($A914,BBG_Data!$U$2:$U$4000,0))*Settings!$B$25,NA()))</f>
        <v/>
      </c>
      <c r="AJ914" s="19">
        <f>IF(NOT(ISNUMBER($A914)),NA(),IFERROR(1*INDEX(BBG_Data!$X$2:$X$4000,MATCH($A914,BBG_Data!$W$2:$W$4000,0)),NA()))</f>
        <v/>
      </c>
      <c r="AK914" s="19">
        <f>IF(NOT(ISNUMBER($A914)),NA(),IFERROR(1*INDEX(BBG_Data!$Z$2:$Z$4000,MATCH($A914,BBG_Data!$Y$2:$Y$4000,0)),NA()))</f>
        <v/>
      </c>
    </row>
    <row r="915">
      <c r="A915" s="17">
        <f>IF(ISNUMBER(BBG_Data!A915),BBG_Data!A915,"")</f>
        <v/>
      </c>
      <c r="B915" s="18">
        <f>IF(AND(ISNUMBER($A915),ISNUMBER(BBG_Data!B915)),BBG_Data!B915,NA())</f>
        <v/>
      </c>
      <c r="C915" s="18">
        <f>IF(NOT(ISNUMBER($A915)),NA(),IFERROR(1*INDEX(BBG_Data!$D$2:$D$4000,MATCH($A915,BBG_Data!$C$2:$C$4000,0)),NA()))</f>
        <v/>
      </c>
      <c r="D915" s="19">
        <f>IF(NOT(ISNUMBER($A915)),NA(),IFERROR(1*INDEX(BBG_Data!$F$2:$F$4000,MATCH($A915,BBG_Data!$E$2:$E$4000,0)),NA()))</f>
        <v/>
      </c>
      <c r="E915" s="19">
        <f>IF(NOT(ISNUMBER($A915)),NA(),IFERROR(1*INDEX(BBG_Data!$H$2:$H$4000,MATCH($A915,BBG_Data!$G$2:$G$4000,0)),NA()))</f>
        <v/>
      </c>
      <c r="F915" s="20">
        <f>IF(AND(ISNUMBER(B915),ISNUMBER(B914)),IF(B915=B914,"",(B915-B914)*100),"")</f>
        <v/>
      </c>
      <c r="G915" s="20">
        <f>IF(AND(ISNUMBER(C915),ISNUMBER(C914)),IF(C915=C914,"",(C915-C914)*100),"")</f>
        <v/>
      </c>
      <c r="H915" s="20">
        <f>IF(OR(NOT(ISNUMBER($A915)),ROW()-2&lt;Settings!$B$11),NA(),IF(COUNT(OFFSET(F915,1-Settings!$B$11,0,Settings!$B$11,1))&lt;ROUNDUP(Settings!$B$11*Settings!$B$26,0),NA(),STDEV(OFFSET(F915,1-Settings!$B$11,0,Settings!$B$11,1))*SQRT(Settings!$B$13)))</f>
        <v/>
      </c>
      <c r="I915" s="20">
        <f>IF(OR(NOT(ISNUMBER($A915)),ROW()-2&lt;Settings!$B$12),NA(),IF(COUNT(OFFSET(F915,1-Settings!$B$12,0,Settings!$B$12,1))&lt;ROUNDUP(Settings!$B$12*Settings!$B$26,0),NA(),STDEV(OFFSET(F915,1-Settings!$B$12,0,Settings!$B$12,1))*SQRT(Settings!$B$13)))</f>
        <v/>
      </c>
      <c r="J915" s="20">
        <f>IF(OR(NOT(ISNUMBER($A915)),ROW()-2&lt;Settings!$B$11),NA(),IF(COUNT(OFFSET(G915,1-Settings!$B$11,0,Settings!$B$11,1))&lt;ROUNDUP(Settings!$B$11*Settings!$B$26,0),NA(),STDEV(OFFSET(G915,1-Settings!$B$11,0,Settings!$B$11,1))*SQRT(Settings!$B$13)))</f>
        <v/>
      </c>
      <c r="K915" s="20">
        <f>IF(OR(NOT(ISNUMBER($A915)),ROW()-2&lt;Settings!$B$12),NA(),IF(COUNT(OFFSET(G915,1-Settings!$B$12,0,Settings!$B$12,1))&lt;ROUNDUP(Settings!$B$12*Settings!$B$26,0),NA(),STDEV(OFFSET(G915,1-Settings!$B$12,0,Settings!$B$12,1))*SQRT(Settings!$B$13)))</f>
        <v/>
      </c>
      <c r="L915" s="20">
        <f>IF(AND(ISNUMBER(D915),ISNUMBER(H915)),D915-H915,NA())</f>
        <v/>
      </c>
      <c r="M915" s="20">
        <f>IF(AND(ISNUMBER(E915),ISNUMBER(K915)),E915-K915,NA())</f>
        <v/>
      </c>
      <c r="N915" s="20">
        <f>IF(NOT(ISNUMBER($A915)),NA(),IF(COUNT(OFFSET(G915,1,0,Settings!$B$12,1))&lt;ROUNDUP(Settings!$B$12*Settings!$B$26,0),NA(),STDEV(OFFSET(G915,1,0,Settings!$B$12,1))*SQRT(Settings!$B$13)))</f>
        <v/>
      </c>
      <c r="O915" s="20">
        <f>IF(AND(ISNUMBER(E915),ISNUMBER(N915)),E915-N915,NA())</f>
        <v/>
      </c>
      <c r="P915" s="19">
        <f>IF(NOT(ISNUMBER($A915)),NA(),IF(OR($A915&lt;MIN(KW_TP!$A$2:$A$2501),$A915&gt;MAX(KW_TP!$A$2:$A$2501)),NA(),INDEX(KW_TP!$C$2:$C$2501,MATCH($A915,KW_TP!$A$2:$A$2501,1))))</f>
        <v/>
      </c>
      <c r="Q915" s="18">
        <f>IF(NOT(ISNUMBER($A915)),NA(),IFERROR(1*INDEX(BBG_Data!$J$2:$J$4000,MATCH($A915,BBG_Data!$I$2:$I$4000,0)),NA()))</f>
        <v/>
      </c>
      <c r="R915" s="18">
        <f>IF(NOT(ISNUMBER($A915)),NA(),IFERROR(1*INDEX(BBG_Data!$L$2:$L$4000,MATCH($A915,BBG_Data!$K$2:$K$4000,0)),NA()))</f>
        <v/>
      </c>
      <c r="S915" s="20">
        <f>IF(AND(ISNUMBER(B915),ISNUMBER(Q915),ISNUMBER(R915)),(B915-Q915-R915)*100,NA())</f>
        <v/>
      </c>
      <c r="T915" s="20">
        <f>IF(AND(ISNUMBER(B915),Settings!$B$17&gt;0),IF(ISNUMBER(INDEX($B:$B,Settings!$B$17)),(B915-INDEX($B:$B,Settings!$B$17))*100,NA()),NA())</f>
        <v/>
      </c>
      <c r="U915" s="20">
        <f>IF(AND(ISNUMBER(Q915),Settings!$B$17&gt;0),IF(ISNUMBER(INDEX($Q:$Q,Settings!$B$17)),(Q915-INDEX($Q:$Q,Settings!$B$17))*100,NA()),NA())</f>
        <v/>
      </c>
      <c r="V915" s="20">
        <f>IF(AND(ISNUMBER(R915),Settings!$B$17&gt;0),IF(ISNUMBER(INDEX($R:$R,Settings!$B$17)),(R915-INDEX($R:$R,Settings!$B$17))*100,NA()),NA())</f>
        <v/>
      </c>
      <c r="W915" s="20">
        <f>IF(AND(ISNUMBER(P915),Settings!$B$17&gt;0),IF(ISNUMBER(INDEX($P:$P,Settings!$B$17)),P915-INDEX($P:$P,Settings!$B$17),NA()),NA())</f>
        <v/>
      </c>
      <c r="X915" s="19">
        <f>IF(NOT(ISNUMBER($A915)),NA(),IF(OR($A915&lt;MIN(DKW_10Y!$A$2:$A$2918),$A915&gt;MAX(DKW_10Y!$A$2:$A$2918),Settings!$B$16&lt;MIN(DKW_10Y!$A$2:$A$2918)),NA(),(INDEX(DKW_10Y!$B$2:$B$2918,MATCH($A915,DKW_10Y!$A$2:$A$2918,1))-INDEX(DKW_10Y!$B$2:$B$2918,MATCH(Settings!$B$16,DKW_10Y!$A$2:$A$2918,1)))*100))</f>
        <v/>
      </c>
      <c r="Y915" s="19">
        <f>IF(NOT(ISNUMBER($A915)),NA(),IF(OR($A915&lt;MIN(DKW_10Y!$A$2:$A$2918),$A915&gt;MAX(DKW_10Y!$A$2:$A$2918),Settings!$B$16&lt;MIN(DKW_10Y!$A$2:$A$2918)),NA(),(INDEX(DKW_10Y!$C$2:$C$2918,MATCH($A915,DKW_10Y!$A$2:$A$2918,1))-INDEX(DKW_10Y!$C$2:$C$2918,MATCH(Settings!$B$16,DKW_10Y!$A$2:$A$2918,1)))*100))</f>
        <v/>
      </c>
      <c r="Z915" s="19">
        <f>IF(NOT(ISNUMBER($A915)),NA(),IF(OR($A915&lt;MIN(DKW_10Y!$A$2:$A$2918),$A915&gt;MAX(DKW_10Y!$A$2:$A$2918),Settings!$B$16&lt;MIN(DKW_10Y!$A$2:$A$2918)),NA(),(INDEX(DKW_10Y!$D$2:$D$2918,MATCH($A915,DKW_10Y!$A$2:$A$2918,1))-INDEX(DKW_10Y!$D$2:$D$2918,MATCH(Settings!$B$16,DKW_10Y!$A$2:$A$2918,1)))*100))</f>
        <v/>
      </c>
      <c r="AA915" s="19">
        <f>IF(NOT(ISNUMBER($A915)),NA(),IF(OR($A915&lt;MIN(DKW_10Y!$A$2:$A$2918),$A915&gt;MAX(DKW_10Y!$A$2:$A$2918),Settings!$B$16&lt;MIN(DKW_10Y!$A$2:$A$2918)),NA(),(INDEX(DKW_10Y!$E$2:$E$2918,MATCH($A915,DKW_10Y!$A$2:$A$2918,1))-INDEX(DKW_10Y!$E$2:$E$2918,MATCH(Settings!$B$16,DKW_10Y!$A$2:$A$2918,1)))*100))</f>
        <v/>
      </c>
      <c r="AB915" s="19">
        <f>IF(NOT(ISNUMBER($A915)),NA(),IF(OR($A915&lt;MIN(DKW_10Y!$A$2:$A$2918),$A915&gt;MAX(DKW_10Y!$A$2:$A$2918),Settings!$B$16&lt;MIN(DKW_10Y!$A$2:$A$2918)),NA(),(INDEX(DKW_10Y!$H$2:$H$2918,MATCH($A915,DKW_10Y!$A$2:$A$2918,1))-INDEX(DKW_10Y!$H$2:$H$2918,MATCH(Settings!$B$16,DKW_10Y!$A$2:$A$2918,1)))*100))</f>
        <v/>
      </c>
      <c r="AC915" s="18">
        <f>IF(NOT(ISNUMBER($A915)),NA(),IFERROR(1*INDEX(BBG_Data!$N$2:$N$4000,MATCH($A915,BBG_Data!$M$2:$M$4000,0)),NA()))</f>
        <v/>
      </c>
      <c r="AD915" s="18">
        <f>IF(NOT(ISNUMBER($A915)),NA(),IFERROR(1*INDEX(BBG_Data!$P$2:$P$4000,MATCH($A915,BBG_Data!$O$2:$O$4000,0)),NA()))</f>
        <v/>
      </c>
      <c r="AE915" s="18">
        <f>IF(NOT(ISNUMBER($A915)),NA(),IFERROR(1*INDEX(BBG_Data!$R$2:$R$4000,MATCH($A915,BBG_Data!$Q$2:$Q$4000,0)),NA()))</f>
        <v/>
      </c>
      <c r="AF915" s="20">
        <f>IF(AND(ISNUMBER(B915),ISNUMBER(AC915)),(B915-AC915)*100,NA())</f>
        <v/>
      </c>
      <c r="AG915" s="20">
        <f>IF(AND(ISNUMBER(AE915),ISNUMBER(AD915)),(AE915-AD915)*100,NA())</f>
        <v/>
      </c>
      <c r="AH915" s="19">
        <f>IF(NOT(ISNUMBER($A915)),NA(),IFERROR(INDEX(BBG_Data!$T$2:$T$4000,MATCH($A915,BBG_Data!$S$2:$S$4000,0))*Settings!$B$25,NA()))</f>
        <v/>
      </c>
      <c r="AI915" s="19">
        <f>IF(NOT(ISNUMBER($A915)),NA(),IFERROR(INDEX(BBG_Data!$V$2:$V$4000,MATCH($A915,BBG_Data!$U$2:$U$4000,0))*Settings!$B$25,NA()))</f>
        <v/>
      </c>
      <c r="AJ915" s="19">
        <f>IF(NOT(ISNUMBER($A915)),NA(),IFERROR(1*INDEX(BBG_Data!$X$2:$X$4000,MATCH($A915,BBG_Data!$W$2:$W$4000,0)),NA()))</f>
        <v/>
      </c>
      <c r="AK915" s="19">
        <f>IF(NOT(ISNUMBER($A915)),NA(),IFERROR(1*INDEX(BBG_Data!$Z$2:$Z$4000,MATCH($A915,BBG_Data!$Y$2:$Y$4000,0)),NA()))</f>
        <v/>
      </c>
    </row>
    <row r="916">
      <c r="A916" s="17">
        <f>IF(ISNUMBER(BBG_Data!A916),BBG_Data!A916,"")</f>
        <v/>
      </c>
      <c r="B916" s="18">
        <f>IF(AND(ISNUMBER($A916),ISNUMBER(BBG_Data!B916)),BBG_Data!B916,NA())</f>
        <v/>
      </c>
      <c r="C916" s="18">
        <f>IF(NOT(ISNUMBER($A916)),NA(),IFERROR(1*INDEX(BBG_Data!$D$2:$D$4000,MATCH($A916,BBG_Data!$C$2:$C$4000,0)),NA()))</f>
        <v/>
      </c>
      <c r="D916" s="19">
        <f>IF(NOT(ISNUMBER($A916)),NA(),IFERROR(1*INDEX(BBG_Data!$F$2:$F$4000,MATCH($A916,BBG_Data!$E$2:$E$4000,0)),NA()))</f>
        <v/>
      </c>
      <c r="E916" s="19">
        <f>IF(NOT(ISNUMBER($A916)),NA(),IFERROR(1*INDEX(BBG_Data!$H$2:$H$4000,MATCH($A916,BBG_Data!$G$2:$G$4000,0)),NA()))</f>
        <v/>
      </c>
      <c r="F916" s="20">
        <f>IF(AND(ISNUMBER(B916),ISNUMBER(B915)),IF(B916=B915,"",(B916-B915)*100),"")</f>
        <v/>
      </c>
      <c r="G916" s="20">
        <f>IF(AND(ISNUMBER(C916),ISNUMBER(C915)),IF(C916=C915,"",(C916-C915)*100),"")</f>
        <v/>
      </c>
      <c r="H916" s="20">
        <f>IF(OR(NOT(ISNUMBER($A916)),ROW()-2&lt;Settings!$B$11),NA(),IF(COUNT(OFFSET(F916,1-Settings!$B$11,0,Settings!$B$11,1))&lt;ROUNDUP(Settings!$B$11*Settings!$B$26,0),NA(),STDEV(OFFSET(F916,1-Settings!$B$11,0,Settings!$B$11,1))*SQRT(Settings!$B$13)))</f>
        <v/>
      </c>
      <c r="I916" s="20">
        <f>IF(OR(NOT(ISNUMBER($A916)),ROW()-2&lt;Settings!$B$12),NA(),IF(COUNT(OFFSET(F916,1-Settings!$B$12,0,Settings!$B$12,1))&lt;ROUNDUP(Settings!$B$12*Settings!$B$26,0),NA(),STDEV(OFFSET(F916,1-Settings!$B$12,0,Settings!$B$12,1))*SQRT(Settings!$B$13)))</f>
        <v/>
      </c>
      <c r="J916" s="20">
        <f>IF(OR(NOT(ISNUMBER($A916)),ROW()-2&lt;Settings!$B$11),NA(),IF(COUNT(OFFSET(G916,1-Settings!$B$11,0,Settings!$B$11,1))&lt;ROUNDUP(Settings!$B$11*Settings!$B$26,0),NA(),STDEV(OFFSET(G916,1-Settings!$B$11,0,Settings!$B$11,1))*SQRT(Settings!$B$13)))</f>
        <v/>
      </c>
      <c r="K916" s="20">
        <f>IF(OR(NOT(ISNUMBER($A916)),ROW()-2&lt;Settings!$B$12),NA(),IF(COUNT(OFFSET(G916,1-Settings!$B$12,0,Settings!$B$12,1))&lt;ROUNDUP(Settings!$B$12*Settings!$B$26,0),NA(),STDEV(OFFSET(G916,1-Settings!$B$12,0,Settings!$B$12,1))*SQRT(Settings!$B$13)))</f>
        <v/>
      </c>
      <c r="L916" s="20">
        <f>IF(AND(ISNUMBER(D916),ISNUMBER(H916)),D916-H916,NA())</f>
        <v/>
      </c>
      <c r="M916" s="20">
        <f>IF(AND(ISNUMBER(E916),ISNUMBER(K916)),E916-K916,NA())</f>
        <v/>
      </c>
      <c r="N916" s="20">
        <f>IF(NOT(ISNUMBER($A916)),NA(),IF(COUNT(OFFSET(G916,1,0,Settings!$B$12,1))&lt;ROUNDUP(Settings!$B$12*Settings!$B$26,0),NA(),STDEV(OFFSET(G916,1,0,Settings!$B$12,1))*SQRT(Settings!$B$13)))</f>
        <v/>
      </c>
      <c r="O916" s="20">
        <f>IF(AND(ISNUMBER(E916),ISNUMBER(N916)),E916-N916,NA())</f>
        <v/>
      </c>
      <c r="P916" s="19">
        <f>IF(NOT(ISNUMBER($A916)),NA(),IF(OR($A916&lt;MIN(KW_TP!$A$2:$A$2501),$A916&gt;MAX(KW_TP!$A$2:$A$2501)),NA(),INDEX(KW_TP!$C$2:$C$2501,MATCH($A916,KW_TP!$A$2:$A$2501,1))))</f>
        <v/>
      </c>
      <c r="Q916" s="18">
        <f>IF(NOT(ISNUMBER($A916)),NA(),IFERROR(1*INDEX(BBG_Data!$J$2:$J$4000,MATCH($A916,BBG_Data!$I$2:$I$4000,0)),NA()))</f>
        <v/>
      </c>
      <c r="R916" s="18">
        <f>IF(NOT(ISNUMBER($A916)),NA(),IFERROR(1*INDEX(BBG_Data!$L$2:$L$4000,MATCH($A916,BBG_Data!$K$2:$K$4000,0)),NA()))</f>
        <v/>
      </c>
      <c r="S916" s="20">
        <f>IF(AND(ISNUMBER(B916),ISNUMBER(Q916),ISNUMBER(R916)),(B916-Q916-R916)*100,NA())</f>
        <v/>
      </c>
      <c r="T916" s="20">
        <f>IF(AND(ISNUMBER(B916),Settings!$B$17&gt;0),IF(ISNUMBER(INDEX($B:$B,Settings!$B$17)),(B916-INDEX($B:$B,Settings!$B$17))*100,NA()),NA())</f>
        <v/>
      </c>
      <c r="U916" s="20">
        <f>IF(AND(ISNUMBER(Q916),Settings!$B$17&gt;0),IF(ISNUMBER(INDEX($Q:$Q,Settings!$B$17)),(Q916-INDEX($Q:$Q,Settings!$B$17))*100,NA()),NA())</f>
        <v/>
      </c>
      <c r="V916" s="20">
        <f>IF(AND(ISNUMBER(R916),Settings!$B$17&gt;0),IF(ISNUMBER(INDEX($R:$R,Settings!$B$17)),(R916-INDEX($R:$R,Settings!$B$17))*100,NA()),NA())</f>
        <v/>
      </c>
      <c r="W916" s="20">
        <f>IF(AND(ISNUMBER(P916),Settings!$B$17&gt;0),IF(ISNUMBER(INDEX($P:$P,Settings!$B$17)),P916-INDEX($P:$P,Settings!$B$17),NA()),NA())</f>
        <v/>
      </c>
      <c r="X916" s="19">
        <f>IF(NOT(ISNUMBER($A916)),NA(),IF(OR($A916&lt;MIN(DKW_10Y!$A$2:$A$2918),$A916&gt;MAX(DKW_10Y!$A$2:$A$2918),Settings!$B$16&lt;MIN(DKW_10Y!$A$2:$A$2918)),NA(),(INDEX(DKW_10Y!$B$2:$B$2918,MATCH($A916,DKW_10Y!$A$2:$A$2918,1))-INDEX(DKW_10Y!$B$2:$B$2918,MATCH(Settings!$B$16,DKW_10Y!$A$2:$A$2918,1)))*100))</f>
        <v/>
      </c>
      <c r="Y916" s="19">
        <f>IF(NOT(ISNUMBER($A916)),NA(),IF(OR($A916&lt;MIN(DKW_10Y!$A$2:$A$2918),$A916&gt;MAX(DKW_10Y!$A$2:$A$2918),Settings!$B$16&lt;MIN(DKW_10Y!$A$2:$A$2918)),NA(),(INDEX(DKW_10Y!$C$2:$C$2918,MATCH($A916,DKW_10Y!$A$2:$A$2918,1))-INDEX(DKW_10Y!$C$2:$C$2918,MATCH(Settings!$B$16,DKW_10Y!$A$2:$A$2918,1)))*100))</f>
        <v/>
      </c>
      <c r="Z916" s="19">
        <f>IF(NOT(ISNUMBER($A916)),NA(),IF(OR($A916&lt;MIN(DKW_10Y!$A$2:$A$2918),$A916&gt;MAX(DKW_10Y!$A$2:$A$2918),Settings!$B$16&lt;MIN(DKW_10Y!$A$2:$A$2918)),NA(),(INDEX(DKW_10Y!$D$2:$D$2918,MATCH($A916,DKW_10Y!$A$2:$A$2918,1))-INDEX(DKW_10Y!$D$2:$D$2918,MATCH(Settings!$B$16,DKW_10Y!$A$2:$A$2918,1)))*100))</f>
        <v/>
      </c>
      <c r="AA916" s="19">
        <f>IF(NOT(ISNUMBER($A916)),NA(),IF(OR($A916&lt;MIN(DKW_10Y!$A$2:$A$2918),$A916&gt;MAX(DKW_10Y!$A$2:$A$2918),Settings!$B$16&lt;MIN(DKW_10Y!$A$2:$A$2918)),NA(),(INDEX(DKW_10Y!$E$2:$E$2918,MATCH($A916,DKW_10Y!$A$2:$A$2918,1))-INDEX(DKW_10Y!$E$2:$E$2918,MATCH(Settings!$B$16,DKW_10Y!$A$2:$A$2918,1)))*100))</f>
        <v/>
      </c>
      <c r="AB916" s="19">
        <f>IF(NOT(ISNUMBER($A916)),NA(),IF(OR($A916&lt;MIN(DKW_10Y!$A$2:$A$2918),$A916&gt;MAX(DKW_10Y!$A$2:$A$2918),Settings!$B$16&lt;MIN(DKW_10Y!$A$2:$A$2918)),NA(),(INDEX(DKW_10Y!$H$2:$H$2918,MATCH($A916,DKW_10Y!$A$2:$A$2918,1))-INDEX(DKW_10Y!$H$2:$H$2918,MATCH(Settings!$B$16,DKW_10Y!$A$2:$A$2918,1)))*100))</f>
        <v/>
      </c>
      <c r="AC916" s="18">
        <f>IF(NOT(ISNUMBER($A916)),NA(),IFERROR(1*INDEX(BBG_Data!$N$2:$N$4000,MATCH($A916,BBG_Data!$M$2:$M$4000,0)),NA()))</f>
        <v/>
      </c>
      <c r="AD916" s="18">
        <f>IF(NOT(ISNUMBER($A916)),NA(),IFERROR(1*INDEX(BBG_Data!$P$2:$P$4000,MATCH($A916,BBG_Data!$O$2:$O$4000,0)),NA()))</f>
        <v/>
      </c>
      <c r="AE916" s="18">
        <f>IF(NOT(ISNUMBER($A916)),NA(),IFERROR(1*INDEX(BBG_Data!$R$2:$R$4000,MATCH($A916,BBG_Data!$Q$2:$Q$4000,0)),NA()))</f>
        <v/>
      </c>
      <c r="AF916" s="20">
        <f>IF(AND(ISNUMBER(B916),ISNUMBER(AC916)),(B916-AC916)*100,NA())</f>
        <v/>
      </c>
      <c r="AG916" s="20">
        <f>IF(AND(ISNUMBER(AE916),ISNUMBER(AD916)),(AE916-AD916)*100,NA())</f>
        <v/>
      </c>
      <c r="AH916" s="19">
        <f>IF(NOT(ISNUMBER($A916)),NA(),IFERROR(INDEX(BBG_Data!$T$2:$T$4000,MATCH($A916,BBG_Data!$S$2:$S$4000,0))*Settings!$B$25,NA()))</f>
        <v/>
      </c>
      <c r="AI916" s="19">
        <f>IF(NOT(ISNUMBER($A916)),NA(),IFERROR(INDEX(BBG_Data!$V$2:$V$4000,MATCH($A916,BBG_Data!$U$2:$U$4000,0))*Settings!$B$25,NA()))</f>
        <v/>
      </c>
      <c r="AJ916" s="19">
        <f>IF(NOT(ISNUMBER($A916)),NA(),IFERROR(1*INDEX(BBG_Data!$X$2:$X$4000,MATCH($A916,BBG_Data!$W$2:$W$4000,0)),NA()))</f>
        <v/>
      </c>
      <c r="AK916" s="19">
        <f>IF(NOT(ISNUMBER($A916)),NA(),IFERROR(1*INDEX(BBG_Data!$Z$2:$Z$4000,MATCH($A916,BBG_Data!$Y$2:$Y$4000,0)),NA()))</f>
        <v/>
      </c>
    </row>
    <row r="917">
      <c r="A917" s="17">
        <f>IF(ISNUMBER(BBG_Data!A917),BBG_Data!A917,"")</f>
        <v/>
      </c>
      <c r="B917" s="18">
        <f>IF(AND(ISNUMBER($A917),ISNUMBER(BBG_Data!B917)),BBG_Data!B917,NA())</f>
        <v/>
      </c>
      <c r="C917" s="18">
        <f>IF(NOT(ISNUMBER($A917)),NA(),IFERROR(1*INDEX(BBG_Data!$D$2:$D$4000,MATCH($A917,BBG_Data!$C$2:$C$4000,0)),NA()))</f>
        <v/>
      </c>
      <c r="D917" s="19">
        <f>IF(NOT(ISNUMBER($A917)),NA(),IFERROR(1*INDEX(BBG_Data!$F$2:$F$4000,MATCH($A917,BBG_Data!$E$2:$E$4000,0)),NA()))</f>
        <v/>
      </c>
      <c r="E917" s="19">
        <f>IF(NOT(ISNUMBER($A917)),NA(),IFERROR(1*INDEX(BBG_Data!$H$2:$H$4000,MATCH($A917,BBG_Data!$G$2:$G$4000,0)),NA()))</f>
        <v/>
      </c>
      <c r="F917" s="20">
        <f>IF(AND(ISNUMBER(B917),ISNUMBER(B916)),IF(B917=B916,"",(B917-B916)*100),"")</f>
        <v/>
      </c>
      <c r="G917" s="20">
        <f>IF(AND(ISNUMBER(C917),ISNUMBER(C916)),IF(C917=C916,"",(C917-C916)*100),"")</f>
        <v/>
      </c>
      <c r="H917" s="20">
        <f>IF(OR(NOT(ISNUMBER($A917)),ROW()-2&lt;Settings!$B$11),NA(),IF(COUNT(OFFSET(F917,1-Settings!$B$11,0,Settings!$B$11,1))&lt;ROUNDUP(Settings!$B$11*Settings!$B$26,0),NA(),STDEV(OFFSET(F917,1-Settings!$B$11,0,Settings!$B$11,1))*SQRT(Settings!$B$13)))</f>
        <v/>
      </c>
      <c r="I917" s="20">
        <f>IF(OR(NOT(ISNUMBER($A917)),ROW()-2&lt;Settings!$B$12),NA(),IF(COUNT(OFFSET(F917,1-Settings!$B$12,0,Settings!$B$12,1))&lt;ROUNDUP(Settings!$B$12*Settings!$B$26,0),NA(),STDEV(OFFSET(F917,1-Settings!$B$12,0,Settings!$B$12,1))*SQRT(Settings!$B$13)))</f>
        <v/>
      </c>
      <c r="J917" s="20">
        <f>IF(OR(NOT(ISNUMBER($A917)),ROW()-2&lt;Settings!$B$11),NA(),IF(COUNT(OFFSET(G917,1-Settings!$B$11,0,Settings!$B$11,1))&lt;ROUNDUP(Settings!$B$11*Settings!$B$26,0),NA(),STDEV(OFFSET(G917,1-Settings!$B$11,0,Settings!$B$11,1))*SQRT(Settings!$B$13)))</f>
        <v/>
      </c>
      <c r="K917" s="20">
        <f>IF(OR(NOT(ISNUMBER($A917)),ROW()-2&lt;Settings!$B$12),NA(),IF(COUNT(OFFSET(G917,1-Settings!$B$12,0,Settings!$B$12,1))&lt;ROUNDUP(Settings!$B$12*Settings!$B$26,0),NA(),STDEV(OFFSET(G917,1-Settings!$B$12,0,Settings!$B$12,1))*SQRT(Settings!$B$13)))</f>
        <v/>
      </c>
      <c r="L917" s="20">
        <f>IF(AND(ISNUMBER(D917),ISNUMBER(H917)),D917-H917,NA())</f>
        <v/>
      </c>
      <c r="M917" s="20">
        <f>IF(AND(ISNUMBER(E917),ISNUMBER(K917)),E917-K917,NA())</f>
        <v/>
      </c>
      <c r="N917" s="20">
        <f>IF(NOT(ISNUMBER($A917)),NA(),IF(COUNT(OFFSET(G917,1,0,Settings!$B$12,1))&lt;ROUNDUP(Settings!$B$12*Settings!$B$26,0),NA(),STDEV(OFFSET(G917,1,0,Settings!$B$12,1))*SQRT(Settings!$B$13)))</f>
        <v/>
      </c>
      <c r="O917" s="20">
        <f>IF(AND(ISNUMBER(E917),ISNUMBER(N917)),E917-N917,NA())</f>
        <v/>
      </c>
      <c r="P917" s="19">
        <f>IF(NOT(ISNUMBER($A917)),NA(),IF(OR($A917&lt;MIN(KW_TP!$A$2:$A$2501),$A917&gt;MAX(KW_TP!$A$2:$A$2501)),NA(),INDEX(KW_TP!$C$2:$C$2501,MATCH($A917,KW_TP!$A$2:$A$2501,1))))</f>
        <v/>
      </c>
      <c r="Q917" s="18">
        <f>IF(NOT(ISNUMBER($A917)),NA(),IFERROR(1*INDEX(BBG_Data!$J$2:$J$4000,MATCH($A917,BBG_Data!$I$2:$I$4000,0)),NA()))</f>
        <v/>
      </c>
      <c r="R917" s="18">
        <f>IF(NOT(ISNUMBER($A917)),NA(),IFERROR(1*INDEX(BBG_Data!$L$2:$L$4000,MATCH($A917,BBG_Data!$K$2:$K$4000,0)),NA()))</f>
        <v/>
      </c>
      <c r="S917" s="20">
        <f>IF(AND(ISNUMBER(B917),ISNUMBER(Q917),ISNUMBER(R917)),(B917-Q917-R917)*100,NA())</f>
        <v/>
      </c>
      <c r="T917" s="20">
        <f>IF(AND(ISNUMBER(B917),Settings!$B$17&gt;0),IF(ISNUMBER(INDEX($B:$B,Settings!$B$17)),(B917-INDEX($B:$B,Settings!$B$17))*100,NA()),NA())</f>
        <v/>
      </c>
      <c r="U917" s="20">
        <f>IF(AND(ISNUMBER(Q917),Settings!$B$17&gt;0),IF(ISNUMBER(INDEX($Q:$Q,Settings!$B$17)),(Q917-INDEX($Q:$Q,Settings!$B$17))*100,NA()),NA())</f>
        <v/>
      </c>
      <c r="V917" s="20">
        <f>IF(AND(ISNUMBER(R917),Settings!$B$17&gt;0),IF(ISNUMBER(INDEX($R:$R,Settings!$B$17)),(R917-INDEX($R:$R,Settings!$B$17))*100,NA()),NA())</f>
        <v/>
      </c>
      <c r="W917" s="20">
        <f>IF(AND(ISNUMBER(P917),Settings!$B$17&gt;0),IF(ISNUMBER(INDEX($P:$P,Settings!$B$17)),P917-INDEX($P:$P,Settings!$B$17),NA()),NA())</f>
        <v/>
      </c>
      <c r="X917" s="19">
        <f>IF(NOT(ISNUMBER($A917)),NA(),IF(OR($A917&lt;MIN(DKW_10Y!$A$2:$A$2918),$A917&gt;MAX(DKW_10Y!$A$2:$A$2918),Settings!$B$16&lt;MIN(DKW_10Y!$A$2:$A$2918)),NA(),(INDEX(DKW_10Y!$B$2:$B$2918,MATCH($A917,DKW_10Y!$A$2:$A$2918,1))-INDEX(DKW_10Y!$B$2:$B$2918,MATCH(Settings!$B$16,DKW_10Y!$A$2:$A$2918,1)))*100))</f>
        <v/>
      </c>
      <c r="Y917" s="19">
        <f>IF(NOT(ISNUMBER($A917)),NA(),IF(OR($A917&lt;MIN(DKW_10Y!$A$2:$A$2918),$A917&gt;MAX(DKW_10Y!$A$2:$A$2918),Settings!$B$16&lt;MIN(DKW_10Y!$A$2:$A$2918)),NA(),(INDEX(DKW_10Y!$C$2:$C$2918,MATCH($A917,DKW_10Y!$A$2:$A$2918,1))-INDEX(DKW_10Y!$C$2:$C$2918,MATCH(Settings!$B$16,DKW_10Y!$A$2:$A$2918,1)))*100))</f>
        <v/>
      </c>
      <c r="Z917" s="19">
        <f>IF(NOT(ISNUMBER($A917)),NA(),IF(OR($A917&lt;MIN(DKW_10Y!$A$2:$A$2918),$A917&gt;MAX(DKW_10Y!$A$2:$A$2918),Settings!$B$16&lt;MIN(DKW_10Y!$A$2:$A$2918)),NA(),(INDEX(DKW_10Y!$D$2:$D$2918,MATCH($A917,DKW_10Y!$A$2:$A$2918,1))-INDEX(DKW_10Y!$D$2:$D$2918,MATCH(Settings!$B$16,DKW_10Y!$A$2:$A$2918,1)))*100))</f>
        <v/>
      </c>
      <c r="AA917" s="19">
        <f>IF(NOT(ISNUMBER($A917)),NA(),IF(OR($A917&lt;MIN(DKW_10Y!$A$2:$A$2918),$A917&gt;MAX(DKW_10Y!$A$2:$A$2918),Settings!$B$16&lt;MIN(DKW_10Y!$A$2:$A$2918)),NA(),(INDEX(DKW_10Y!$E$2:$E$2918,MATCH($A917,DKW_10Y!$A$2:$A$2918,1))-INDEX(DKW_10Y!$E$2:$E$2918,MATCH(Settings!$B$16,DKW_10Y!$A$2:$A$2918,1)))*100))</f>
        <v/>
      </c>
      <c r="AB917" s="19">
        <f>IF(NOT(ISNUMBER($A917)),NA(),IF(OR($A917&lt;MIN(DKW_10Y!$A$2:$A$2918),$A917&gt;MAX(DKW_10Y!$A$2:$A$2918),Settings!$B$16&lt;MIN(DKW_10Y!$A$2:$A$2918)),NA(),(INDEX(DKW_10Y!$H$2:$H$2918,MATCH($A917,DKW_10Y!$A$2:$A$2918,1))-INDEX(DKW_10Y!$H$2:$H$2918,MATCH(Settings!$B$16,DKW_10Y!$A$2:$A$2918,1)))*100))</f>
        <v/>
      </c>
      <c r="AC917" s="18">
        <f>IF(NOT(ISNUMBER($A917)),NA(),IFERROR(1*INDEX(BBG_Data!$N$2:$N$4000,MATCH($A917,BBG_Data!$M$2:$M$4000,0)),NA()))</f>
        <v/>
      </c>
      <c r="AD917" s="18">
        <f>IF(NOT(ISNUMBER($A917)),NA(),IFERROR(1*INDEX(BBG_Data!$P$2:$P$4000,MATCH($A917,BBG_Data!$O$2:$O$4000,0)),NA()))</f>
        <v/>
      </c>
      <c r="AE917" s="18">
        <f>IF(NOT(ISNUMBER($A917)),NA(),IFERROR(1*INDEX(BBG_Data!$R$2:$R$4000,MATCH($A917,BBG_Data!$Q$2:$Q$4000,0)),NA()))</f>
        <v/>
      </c>
      <c r="AF917" s="20">
        <f>IF(AND(ISNUMBER(B917),ISNUMBER(AC917)),(B917-AC917)*100,NA())</f>
        <v/>
      </c>
      <c r="AG917" s="20">
        <f>IF(AND(ISNUMBER(AE917),ISNUMBER(AD917)),(AE917-AD917)*100,NA())</f>
        <v/>
      </c>
      <c r="AH917" s="19">
        <f>IF(NOT(ISNUMBER($A917)),NA(),IFERROR(INDEX(BBG_Data!$T$2:$T$4000,MATCH($A917,BBG_Data!$S$2:$S$4000,0))*Settings!$B$25,NA()))</f>
        <v/>
      </c>
      <c r="AI917" s="19">
        <f>IF(NOT(ISNUMBER($A917)),NA(),IFERROR(INDEX(BBG_Data!$V$2:$V$4000,MATCH($A917,BBG_Data!$U$2:$U$4000,0))*Settings!$B$25,NA()))</f>
        <v/>
      </c>
      <c r="AJ917" s="19">
        <f>IF(NOT(ISNUMBER($A917)),NA(),IFERROR(1*INDEX(BBG_Data!$X$2:$X$4000,MATCH($A917,BBG_Data!$W$2:$W$4000,0)),NA()))</f>
        <v/>
      </c>
      <c r="AK917" s="19">
        <f>IF(NOT(ISNUMBER($A917)),NA(),IFERROR(1*INDEX(BBG_Data!$Z$2:$Z$4000,MATCH($A917,BBG_Data!$Y$2:$Y$4000,0)),NA()))</f>
        <v/>
      </c>
    </row>
    <row r="918">
      <c r="A918" s="17">
        <f>IF(ISNUMBER(BBG_Data!A918),BBG_Data!A918,"")</f>
        <v/>
      </c>
      <c r="B918" s="18">
        <f>IF(AND(ISNUMBER($A918),ISNUMBER(BBG_Data!B918)),BBG_Data!B918,NA())</f>
        <v/>
      </c>
      <c r="C918" s="18">
        <f>IF(NOT(ISNUMBER($A918)),NA(),IFERROR(1*INDEX(BBG_Data!$D$2:$D$4000,MATCH($A918,BBG_Data!$C$2:$C$4000,0)),NA()))</f>
        <v/>
      </c>
      <c r="D918" s="19">
        <f>IF(NOT(ISNUMBER($A918)),NA(),IFERROR(1*INDEX(BBG_Data!$F$2:$F$4000,MATCH($A918,BBG_Data!$E$2:$E$4000,0)),NA()))</f>
        <v/>
      </c>
      <c r="E918" s="19">
        <f>IF(NOT(ISNUMBER($A918)),NA(),IFERROR(1*INDEX(BBG_Data!$H$2:$H$4000,MATCH($A918,BBG_Data!$G$2:$G$4000,0)),NA()))</f>
        <v/>
      </c>
      <c r="F918" s="20">
        <f>IF(AND(ISNUMBER(B918),ISNUMBER(B917)),IF(B918=B917,"",(B918-B917)*100),"")</f>
        <v/>
      </c>
      <c r="G918" s="20">
        <f>IF(AND(ISNUMBER(C918),ISNUMBER(C917)),IF(C918=C917,"",(C918-C917)*100),"")</f>
        <v/>
      </c>
      <c r="H918" s="20">
        <f>IF(OR(NOT(ISNUMBER($A918)),ROW()-2&lt;Settings!$B$11),NA(),IF(COUNT(OFFSET(F918,1-Settings!$B$11,0,Settings!$B$11,1))&lt;ROUNDUP(Settings!$B$11*Settings!$B$26,0),NA(),STDEV(OFFSET(F918,1-Settings!$B$11,0,Settings!$B$11,1))*SQRT(Settings!$B$13)))</f>
        <v/>
      </c>
      <c r="I918" s="20">
        <f>IF(OR(NOT(ISNUMBER($A918)),ROW()-2&lt;Settings!$B$12),NA(),IF(COUNT(OFFSET(F918,1-Settings!$B$12,0,Settings!$B$12,1))&lt;ROUNDUP(Settings!$B$12*Settings!$B$26,0),NA(),STDEV(OFFSET(F918,1-Settings!$B$12,0,Settings!$B$12,1))*SQRT(Settings!$B$13)))</f>
        <v/>
      </c>
      <c r="J918" s="20">
        <f>IF(OR(NOT(ISNUMBER($A918)),ROW()-2&lt;Settings!$B$11),NA(),IF(COUNT(OFFSET(G918,1-Settings!$B$11,0,Settings!$B$11,1))&lt;ROUNDUP(Settings!$B$11*Settings!$B$26,0),NA(),STDEV(OFFSET(G918,1-Settings!$B$11,0,Settings!$B$11,1))*SQRT(Settings!$B$13)))</f>
        <v/>
      </c>
      <c r="K918" s="20">
        <f>IF(OR(NOT(ISNUMBER($A918)),ROW()-2&lt;Settings!$B$12),NA(),IF(COUNT(OFFSET(G918,1-Settings!$B$12,0,Settings!$B$12,1))&lt;ROUNDUP(Settings!$B$12*Settings!$B$26,0),NA(),STDEV(OFFSET(G918,1-Settings!$B$12,0,Settings!$B$12,1))*SQRT(Settings!$B$13)))</f>
        <v/>
      </c>
      <c r="L918" s="20">
        <f>IF(AND(ISNUMBER(D918),ISNUMBER(H918)),D918-H918,NA())</f>
        <v/>
      </c>
      <c r="M918" s="20">
        <f>IF(AND(ISNUMBER(E918),ISNUMBER(K918)),E918-K918,NA())</f>
        <v/>
      </c>
      <c r="N918" s="20">
        <f>IF(NOT(ISNUMBER($A918)),NA(),IF(COUNT(OFFSET(G918,1,0,Settings!$B$12,1))&lt;ROUNDUP(Settings!$B$12*Settings!$B$26,0),NA(),STDEV(OFFSET(G918,1,0,Settings!$B$12,1))*SQRT(Settings!$B$13)))</f>
        <v/>
      </c>
      <c r="O918" s="20">
        <f>IF(AND(ISNUMBER(E918),ISNUMBER(N918)),E918-N918,NA())</f>
        <v/>
      </c>
      <c r="P918" s="19">
        <f>IF(NOT(ISNUMBER($A918)),NA(),IF(OR($A918&lt;MIN(KW_TP!$A$2:$A$2501),$A918&gt;MAX(KW_TP!$A$2:$A$2501)),NA(),INDEX(KW_TP!$C$2:$C$2501,MATCH($A918,KW_TP!$A$2:$A$2501,1))))</f>
        <v/>
      </c>
      <c r="Q918" s="18">
        <f>IF(NOT(ISNUMBER($A918)),NA(),IFERROR(1*INDEX(BBG_Data!$J$2:$J$4000,MATCH($A918,BBG_Data!$I$2:$I$4000,0)),NA()))</f>
        <v/>
      </c>
      <c r="R918" s="18">
        <f>IF(NOT(ISNUMBER($A918)),NA(),IFERROR(1*INDEX(BBG_Data!$L$2:$L$4000,MATCH($A918,BBG_Data!$K$2:$K$4000,0)),NA()))</f>
        <v/>
      </c>
      <c r="S918" s="20">
        <f>IF(AND(ISNUMBER(B918),ISNUMBER(Q918),ISNUMBER(R918)),(B918-Q918-R918)*100,NA())</f>
        <v/>
      </c>
      <c r="T918" s="20">
        <f>IF(AND(ISNUMBER(B918),Settings!$B$17&gt;0),IF(ISNUMBER(INDEX($B:$B,Settings!$B$17)),(B918-INDEX($B:$B,Settings!$B$17))*100,NA()),NA())</f>
        <v/>
      </c>
      <c r="U918" s="20">
        <f>IF(AND(ISNUMBER(Q918),Settings!$B$17&gt;0),IF(ISNUMBER(INDEX($Q:$Q,Settings!$B$17)),(Q918-INDEX($Q:$Q,Settings!$B$17))*100,NA()),NA())</f>
        <v/>
      </c>
      <c r="V918" s="20">
        <f>IF(AND(ISNUMBER(R918),Settings!$B$17&gt;0),IF(ISNUMBER(INDEX($R:$R,Settings!$B$17)),(R918-INDEX($R:$R,Settings!$B$17))*100,NA()),NA())</f>
        <v/>
      </c>
      <c r="W918" s="20">
        <f>IF(AND(ISNUMBER(P918),Settings!$B$17&gt;0),IF(ISNUMBER(INDEX($P:$P,Settings!$B$17)),P918-INDEX($P:$P,Settings!$B$17),NA()),NA())</f>
        <v/>
      </c>
      <c r="X918" s="19">
        <f>IF(NOT(ISNUMBER($A918)),NA(),IF(OR($A918&lt;MIN(DKW_10Y!$A$2:$A$2918),$A918&gt;MAX(DKW_10Y!$A$2:$A$2918),Settings!$B$16&lt;MIN(DKW_10Y!$A$2:$A$2918)),NA(),(INDEX(DKW_10Y!$B$2:$B$2918,MATCH($A918,DKW_10Y!$A$2:$A$2918,1))-INDEX(DKW_10Y!$B$2:$B$2918,MATCH(Settings!$B$16,DKW_10Y!$A$2:$A$2918,1)))*100))</f>
        <v/>
      </c>
      <c r="Y918" s="19">
        <f>IF(NOT(ISNUMBER($A918)),NA(),IF(OR($A918&lt;MIN(DKW_10Y!$A$2:$A$2918),$A918&gt;MAX(DKW_10Y!$A$2:$A$2918),Settings!$B$16&lt;MIN(DKW_10Y!$A$2:$A$2918)),NA(),(INDEX(DKW_10Y!$C$2:$C$2918,MATCH($A918,DKW_10Y!$A$2:$A$2918,1))-INDEX(DKW_10Y!$C$2:$C$2918,MATCH(Settings!$B$16,DKW_10Y!$A$2:$A$2918,1)))*100))</f>
        <v/>
      </c>
      <c r="Z918" s="19">
        <f>IF(NOT(ISNUMBER($A918)),NA(),IF(OR($A918&lt;MIN(DKW_10Y!$A$2:$A$2918),$A918&gt;MAX(DKW_10Y!$A$2:$A$2918),Settings!$B$16&lt;MIN(DKW_10Y!$A$2:$A$2918)),NA(),(INDEX(DKW_10Y!$D$2:$D$2918,MATCH($A918,DKW_10Y!$A$2:$A$2918,1))-INDEX(DKW_10Y!$D$2:$D$2918,MATCH(Settings!$B$16,DKW_10Y!$A$2:$A$2918,1)))*100))</f>
        <v/>
      </c>
      <c r="AA918" s="19">
        <f>IF(NOT(ISNUMBER($A918)),NA(),IF(OR($A918&lt;MIN(DKW_10Y!$A$2:$A$2918),$A918&gt;MAX(DKW_10Y!$A$2:$A$2918),Settings!$B$16&lt;MIN(DKW_10Y!$A$2:$A$2918)),NA(),(INDEX(DKW_10Y!$E$2:$E$2918,MATCH($A918,DKW_10Y!$A$2:$A$2918,1))-INDEX(DKW_10Y!$E$2:$E$2918,MATCH(Settings!$B$16,DKW_10Y!$A$2:$A$2918,1)))*100))</f>
        <v/>
      </c>
      <c r="AB918" s="19">
        <f>IF(NOT(ISNUMBER($A918)),NA(),IF(OR($A918&lt;MIN(DKW_10Y!$A$2:$A$2918),$A918&gt;MAX(DKW_10Y!$A$2:$A$2918),Settings!$B$16&lt;MIN(DKW_10Y!$A$2:$A$2918)),NA(),(INDEX(DKW_10Y!$H$2:$H$2918,MATCH($A918,DKW_10Y!$A$2:$A$2918,1))-INDEX(DKW_10Y!$H$2:$H$2918,MATCH(Settings!$B$16,DKW_10Y!$A$2:$A$2918,1)))*100))</f>
        <v/>
      </c>
      <c r="AC918" s="18">
        <f>IF(NOT(ISNUMBER($A918)),NA(),IFERROR(1*INDEX(BBG_Data!$N$2:$N$4000,MATCH($A918,BBG_Data!$M$2:$M$4000,0)),NA()))</f>
        <v/>
      </c>
      <c r="AD918" s="18">
        <f>IF(NOT(ISNUMBER($A918)),NA(),IFERROR(1*INDEX(BBG_Data!$P$2:$P$4000,MATCH($A918,BBG_Data!$O$2:$O$4000,0)),NA()))</f>
        <v/>
      </c>
      <c r="AE918" s="18">
        <f>IF(NOT(ISNUMBER($A918)),NA(),IFERROR(1*INDEX(BBG_Data!$R$2:$R$4000,MATCH($A918,BBG_Data!$Q$2:$Q$4000,0)),NA()))</f>
        <v/>
      </c>
      <c r="AF918" s="20">
        <f>IF(AND(ISNUMBER(B918),ISNUMBER(AC918)),(B918-AC918)*100,NA())</f>
        <v/>
      </c>
      <c r="AG918" s="20">
        <f>IF(AND(ISNUMBER(AE918),ISNUMBER(AD918)),(AE918-AD918)*100,NA())</f>
        <v/>
      </c>
      <c r="AH918" s="19">
        <f>IF(NOT(ISNUMBER($A918)),NA(),IFERROR(INDEX(BBG_Data!$T$2:$T$4000,MATCH($A918,BBG_Data!$S$2:$S$4000,0))*Settings!$B$25,NA()))</f>
        <v/>
      </c>
      <c r="AI918" s="19">
        <f>IF(NOT(ISNUMBER($A918)),NA(),IFERROR(INDEX(BBG_Data!$V$2:$V$4000,MATCH($A918,BBG_Data!$U$2:$U$4000,0))*Settings!$B$25,NA()))</f>
        <v/>
      </c>
      <c r="AJ918" s="19">
        <f>IF(NOT(ISNUMBER($A918)),NA(),IFERROR(1*INDEX(BBG_Data!$X$2:$X$4000,MATCH($A918,BBG_Data!$W$2:$W$4000,0)),NA()))</f>
        <v/>
      </c>
      <c r="AK918" s="19">
        <f>IF(NOT(ISNUMBER($A918)),NA(),IFERROR(1*INDEX(BBG_Data!$Z$2:$Z$4000,MATCH($A918,BBG_Data!$Y$2:$Y$4000,0)),NA()))</f>
        <v/>
      </c>
    </row>
    <row r="919">
      <c r="A919" s="17">
        <f>IF(ISNUMBER(BBG_Data!A919),BBG_Data!A919,"")</f>
        <v/>
      </c>
      <c r="B919" s="18">
        <f>IF(AND(ISNUMBER($A919),ISNUMBER(BBG_Data!B919)),BBG_Data!B919,NA())</f>
        <v/>
      </c>
      <c r="C919" s="18">
        <f>IF(NOT(ISNUMBER($A919)),NA(),IFERROR(1*INDEX(BBG_Data!$D$2:$D$4000,MATCH($A919,BBG_Data!$C$2:$C$4000,0)),NA()))</f>
        <v/>
      </c>
      <c r="D919" s="19">
        <f>IF(NOT(ISNUMBER($A919)),NA(),IFERROR(1*INDEX(BBG_Data!$F$2:$F$4000,MATCH($A919,BBG_Data!$E$2:$E$4000,0)),NA()))</f>
        <v/>
      </c>
      <c r="E919" s="19">
        <f>IF(NOT(ISNUMBER($A919)),NA(),IFERROR(1*INDEX(BBG_Data!$H$2:$H$4000,MATCH($A919,BBG_Data!$G$2:$G$4000,0)),NA()))</f>
        <v/>
      </c>
      <c r="F919" s="20">
        <f>IF(AND(ISNUMBER(B919),ISNUMBER(B918)),IF(B919=B918,"",(B919-B918)*100),"")</f>
        <v/>
      </c>
      <c r="G919" s="20">
        <f>IF(AND(ISNUMBER(C919),ISNUMBER(C918)),IF(C919=C918,"",(C919-C918)*100),"")</f>
        <v/>
      </c>
      <c r="H919" s="20">
        <f>IF(OR(NOT(ISNUMBER($A919)),ROW()-2&lt;Settings!$B$11),NA(),IF(COUNT(OFFSET(F919,1-Settings!$B$11,0,Settings!$B$11,1))&lt;ROUNDUP(Settings!$B$11*Settings!$B$26,0),NA(),STDEV(OFFSET(F919,1-Settings!$B$11,0,Settings!$B$11,1))*SQRT(Settings!$B$13)))</f>
        <v/>
      </c>
      <c r="I919" s="20">
        <f>IF(OR(NOT(ISNUMBER($A919)),ROW()-2&lt;Settings!$B$12),NA(),IF(COUNT(OFFSET(F919,1-Settings!$B$12,0,Settings!$B$12,1))&lt;ROUNDUP(Settings!$B$12*Settings!$B$26,0),NA(),STDEV(OFFSET(F919,1-Settings!$B$12,0,Settings!$B$12,1))*SQRT(Settings!$B$13)))</f>
        <v/>
      </c>
      <c r="J919" s="20">
        <f>IF(OR(NOT(ISNUMBER($A919)),ROW()-2&lt;Settings!$B$11),NA(),IF(COUNT(OFFSET(G919,1-Settings!$B$11,0,Settings!$B$11,1))&lt;ROUNDUP(Settings!$B$11*Settings!$B$26,0),NA(),STDEV(OFFSET(G919,1-Settings!$B$11,0,Settings!$B$11,1))*SQRT(Settings!$B$13)))</f>
        <v/>
      </c>
      <c r="K919" s="20">
        <f>IF(OR(NOT(ISNUMBER($A919)),ROW()-2&lt;Settings!$B$12),NA(),IF(COUNT(OFFSET(G919,1-Settings!$B$12,0,Settings!$B$12,1))&lt;ROUNDUP(Settings!$B$12*Settings!$B$26,0),NA(),STDEV(OFFSET(G919,1-Settings!$B$12,0,Settings!$B$12,1))*SQRT(Settings!$B$13)))</f>
        <v/>
      </c>
      <c r="L919" s="20">
        <f>IF(AND(ISNUMBER(D919),ISNUMBER(H919)),D919-H919,NA())</f>
        <v/>
      </c>
      <c r="M919" s="20">
        <f>IF(AND(ISNUMBER(E919),ISNUMBER(K919)),E919-K919,NA())</f>
        <v/>
      </c>
      <c r="N919" s="20">
        <f>IF(NOT(ISNUMBER($A919)),NA(),IF(COUNT(OFFSET(G919,1,0,Settings!$B$12,1))&lt;ROUNDUP(Settings!$B$12*Settings!$B$26,0),NA(),STDEV(OFFSET(G919,1,0,Settings!$B$12,1))*SQRT(Settings!$B$13)))</f>
        <v/>
      </c>
      <c r="O919" s="20">
        <f>IF(AND(ISNUMBER(E919),ISNUMBER(N919)),E919-N919,NA())</f>
        <v/>
      </c>
      <c r="P919" s="19">
        <f>IF(NOT(ISNUMBER($A919)),NA(),IF(OR($A919&lt;MIN(KW_TP!$A$2:$A$2501),$A919&gt;MAX(KW_TP!$A$2:$A$2501)),NA(),INDEX(KW_TP!$C$2:$C$2501,MATCH($A919,KW_TP!$A$2:$A$2501,1))))</f>
        <v/>
      </c>
      <c r="Q919" s="18">
        <f>IF(NOT(ISNUMBER($A919)),NA(),IFERROR(1*INDEX(BBG_Data!$J$2:$J$4000,MATCH($A919,BBG_Data!$I$2:$I$4000,0)),NA()))</f>
        <v/>
      </c>
      <c r="R919" s="18">
        <f>IF(NOT(ISNUMBER($A919)),NA(),IFERROR(1*INDEX(BBG_Data!$L$2:$L$4000,MATCH($A919,BBG_Data!$K$2:$K$4000,0)),NA()))</f>
        <v/>
      </c>
      <c r="S919" s="20">
        <f>IF(AND(ISNUMBER(B919),ISNUMBER(Q919),ISNUMBER(R919)),(B919-Q919-R919)*100,NA())</f>
        <v/>
      </c>
      <c r="T919" s="20">
        <f>IF(AND(ISNUMBER(B919),Settings!$B$17&gt;0),IF(ISNUMBER(INDEX($B:$B,Settings!$B$17)),(B919-INDEX($B:$B,Settings!$B$17))*100,NA()),NA())</f>
        <v/>
      </c>
      <c r="U919" s="20">
        <f>IF(AND(ISNUMBER(Q919),Settings!$B$17&gt;0),IF(ISNUMBER(INDEX($Q:$Q,Settings!$B$17)),(Q919-INDEX($Q:$Q,Settings!$B$17))*100,NA()),NA())</f>
        <v/>
      </c>
      <c r="V919" s="20">
        <f>IF(AND(ISNUMBER(R919),Settings!$B$17&gt;0),IF(ISNUMBER(INDEX($R:$R,Settings!$B$17)),(R919-INDEX($R:$R,Settings!$B$17))*100,NA()),NA())</f>
        <v/>
      </c>
      <c r="W919" s="20">
        <f>IF(AND(ISNUMBER(P919),Settings!$B$17&gt;0),IF(ISNUMBER(INDEX($P:$P,Settings!$B$17)),P919-INDEX($P:$P,Settings!$B$17),NA()),NA())</f>
        <v/>
      </c>
      <c r="X919" s="19">
        <f>IF(NOT(ISNUMBER($A919)),NA(),IF(OR($A919&lt;MIN(DKW_10Y!$A$2:$A$2918),$A919&gt;MAX(DKW_10Y!$A$2:$A$2918),Settings!$B$16&lt;MIN(DKW_10Y!$A$2:$A$2918)),NA(),(INDEX(DKW_10Y!$B$2:$B$2918,MATCH($A919,DKW_10Y!$A$2:$A$2918,1))-INDEX(DKW_10Y!$B$2:$B$2918,MATCH(Settings!$B$16,DKW_10Y!$A$2:$A$2918,1)))*100))</f>
        <v/>
      </c>
      <c r="Y919" s="19">
        <f>IF(NOT(ISNUMBER($A919)),NA(),IF(OR($A919&lt;MIN(DKW_10Y!$A$2:$A$2918),$A919&gt;MAX(DKW_10Y!$A$2:$A$2918),Settings!$B$16&lt;MIN(DKW_10Y!$A$2:$A$2918)),NA(),(INDEX(DKW_10Y!$C$2:$C$2918,MATCH($A919,DKW_10Y!$A$2:$A$2918,1))-INDEX(DKW_10Y!$C$2:$C$2918,MATCH(Settings!$B$16,DKW_10Y!$A$2:$A$2918,1)))*100))</f>
        <v/>
      </c>
      <c r="Z919" s="19">
        <f>IF(NOT(ISNUMBER($A919)),NA(),IF(OR($A919&lt;MIN(DKW_10Y!$A$2:$A$2918),$A919&gt;MAX(DKW_10Y!$A$2:$A$2918),Settings!$B$16&lt;MIN(DKW_10Y!$A$2:$A$2918)),NA(),(INDEX(DKW_10Y!$D$2:$D$2918,MATCH($A919,DKW_10Y!$A$2:$A$2918,1))-INDEX(DKW_10Y!$D$2:$D$2918,MATCH(Settings!$B$16,DKW_10Y!$A$2:$A$2918,1)))*100))</f>
        <v/>
      </c>
      <c r="AA919" s="19">
        <f>IF(NOT(ISNUMBER($A919)),NA(),IF(OR($A919&lt;MIN(DKW_10Y!$A$2:$A$2918),$A919&gt;MAX(DKW_10Y!$A$2:$A$2918),Settings!$B$16&lt;MIN(DKW_10Y!$A$2:$A$2918)),NA(),(INDEX(DKW_10Y!$E$2:$E$2918,MATCH($A919,DKW_10Y!$A$2:$A$2918,1))-INDEX(DKW_10Y!$E$2:$E$2918,MATCH(Settings!$B$16,DKW_10Y!$A$2:$A$2918,1)))*100))</f>
        <v/>
      </c>
      <c r="AB919" s="19">
        <f>IF(NOT(ISNUMBER($A919)),NA(),IF(OR($A919&lt;MIN(DKW_10Y!$A$2:$A$2918),$A919&gt;MAX(DKW_10Y!$A$2:$A$2918),Settings!$B$16&lt;MIN(DKW_10Y!$A$2:$A$2918)),NA(),(INDEX(DKW_10Y!$H$2:$H$2918,MATCH($A919,DKW_10Y!$A$2:$A$2918,1))-INDEX(DKW_10Y!$H$2:$H$2918,MATCH(Settings!$B$16,DKW_10Y!$A$2:$A$2918,1)))*100))</f>
        <v/>
      </c>
      <c r="AC919" s="18">
        <f>IF(NOT(ISNUMBER($A919)),NA(),IFERROR(1*INDEX(BBG_Data!$N$2:$N$4000,MATCH($A919,BBG_Data!$M$2:$M$4000,0)),NA()))</f>
        <v/>
      </c>
      <c r="AD919" s="18">
        <f>IF(NOT(ISNUMBER($A919)),NA(),IFERROR(1*INDEX(BBG_Data!$P$2:$P$4000,MATCH($A919,BBG_Data!$O$2:$O$4000,0)),NA()))</f>
        <v/>
      </c>
      <c r="AE919" s="18">
        <f>IF(NOT(ISNUMBER($A919)),NA(),IFERROR(1*INDEX(BBG_Data!$R$2:$R$4000,MATCH($A919,BBG_Data!$Q$2:$Q$4000,0)),NA()))</f>
        <v/>
      </c>
      <c r="AF919" s="20">
        <f>IF(AND(ISNUMBER(B919),ISNUMBER(AC919)),(B919-AC919)*100,NA())</f>
        <v/>
      </c>
      <c r="AG919" s="20">
        <f>IF(AND(ISNUMBER(AE919),ISNUMBER(AD919)),(AE919-AD919)*100,NA())</f>
        <v/>
      </c>
      <c r="AH919" s="19">
        <f>IF(NOT(ISNUMBER($A919)),NA(),IFERROR(INDEX(BBG_Data!$T$2:$T$4000,MATCH($A919,BBG_Data!$S$2:$S$4000,0))*Settings!$B$25,NA()))</f>
        <v/>
      </c>
      <c r="AI919" s="19">
        <f>IF(NOT(ISNUMBER($A919)),NA(),IFERROR(INDEX(BBG_Data!$V$2:$V$4000,MATCH($A919,BBG_Data!$U$2:$U$4000,0))*Settings!$B$25,NA()))</f>
        <v/>
      </c>
      <c r="AJ919" s="19">
        <f>IF(NOT(ISNUMBER($A919)),NA(),IFERROR(1*INDEX(BBG_Data!$X$2:$X$4000,MATCH($A919,BBG_Data!$W$2:$W$4000,0)),NA()))</f>
        <v/>
      </c>
      <c r="AK919" s="19">
        <f>IF(NOT(ISNUMBER($A919)),NA(),IFERROR(1*INDEX(BBG_Data!$Z$2:$Z$4000,MATCH($A919,BBG_Data!$Y$2:$Y$4000,0)),NA()))</f>
        <v/>
      </c>
    </row>
    <row r="920">
      <c r="A920" s="17">
        <f>IF(ISNUMBER(BBG_Data!A920),BBG_Data!A920,"")</f>
        <v/>
      </c>
      <c r="B920" s="18">
        <f>IF(AND(ISNUMBER($A920),ISNUMBER(BBG_Data!B920)),BBG_Data!B920,NA())</f>
        <v/>
      </c>
      <c r="C920" s="18">
        <f>IF(NOT(ISNUMBER($A920)),NA(),IFERROR(1*INDEX(BBG_Data!$D$2:$D$4000,MATCH($A920,BBG_Data!$C$2:$C$4000,0)),NA()))</f>
        <v/>
      </c>
      <c r="D920" s="19">
        <f>IF(NOT(ISNUMBER($A920)),NA(),IFERROR(1*INDEX(BBG_Data!$F$2:$F$4000,MATCH($A920,BBG_Data!$E$2:$E$4000,0)),NA()))</f>
        <v/>
      </c>
      <c r="E920" s="19">
        <f>IF(NOT(ISNUMBER($A920)),NA(),IFERROR(1*INDEX(BBG_Data!$H$2:$H$4000,MATCH($A920,BBG_Data!$G$2:$G$4000,0)),NA()))</f>
        <v/>
      </c>
      <c r="F920" s="20">
        <f>IF(AND(ISNUMBER(B920),ISNUMBER(B919)),IF(B920=B919,"",(B920-B919)*100),"")</f>
        <v/>
      </c>
      <c r="G920" s="20">
        <f>IF(AND(ISNUMBER(C920),ISNUMBER(C919)),IF(C920=C919,"",(C920-C919)*100),"")</f>
        <v/>
      </c>
      <c r="H920" s="20">
        <f>IF(OR(NOT(ISNUMBER($A920)),ROW()-2&lt;Settings!$B$11),NA(),IF(COUNT(OFFSET(F920,1-Settings!$B$11,0,Settings!$B$11,1))&lt;ROUNDUP(Settings!$B$11*Settings!$B$26,0),NA(),STDEV(OFFSET(F920,1-Settings!$B$11,0,Settings!$B$11,1))*SQRT(Settings!$B$13)))</f>
        <v/>
      </c>
      <c r="I920" s="20">
        <f>IF(OR(NOT(ISNUMBER($A920)),ROW()-2&lt;Settings!$B$12),NA(),IF(COUNT(OFFSET(F920,1-Settings!$B$12,0,Settings!$B$12,1))&lt;ROUNDUP(Settings!$B$12*Settings!$B$26,0),NA(),STDEV(OFFSET(F920,1-Settings!$B$12,0,Settings!$B$12,1))*SQRT(Settings!$B$13)))</f>
        <v/>
      </c>
      <c r="J920" s="20">
        <f>IF(OR(NOT(ISNUMBER($A920)),ROW()-2&lt;Settings!$B$11),NA(),IF(COUNT(OFFSET(G920,1-Settings!$B$11,0,Settings!$B$11,1))&lt;ROUNDUP(Settings!$B$11*Settings!$B$26,0),NA(),STDEV(OFFSET(G920,1-Settings!$B$11,0,Settings!$B$11,1))*SQRT(Settings!$B$13)))</f>
        <v/>
      </c>
      <c r="K920" s="20">
        <f>IF(OR(NOT(ISNUMBER($A920)),ROW()-2&lt;Settings!$B$12),NA(),IF(COUNT(OFFSET(G920,1-Settings!$B$12,0,Settings!$B$12,1))&lt;ROUNDUP(Settings!$B$12*Settings!$B$26,0),NA(),STDEV(OFFSET(G920,1-Settings!$B$12,0,Settings!$B$12,1))*SQRT(Settings!$B$13)))</f>
        <v/>
      </c>
      <c r="L920" s="20">
        <f>IF(AND(ISNUMBER(D920),ISNUMBER(H920)),D920-H920,NA())</f>
        <v/>
      </c>
      <c r="M920" s="20">
        <f>IF(AND(ISNUMBER(E920),ISNUMBER(K920)),E920-K920,NA())</f>
        <v/>
      </c>
      <c r="N920" s="20">
        <f>IF(NOT(ISNUMBER($A920)),NA(),IF(COUNT(OFFSET(G920,1,0,Settings!$B$12,1))&lt;ROUNDUP(Settings!$B$12*Settings!$B$26,0),NA(),STDEV(OFFSET(G920,1,0,Settings!$B$12,1))*SQRT(Settings!$B$13)))</f>
        <v/>
      </c>
      <c r="O920" s="20">
        <f>IF(AND(ISNUMBER(E920),ISNUMBER(N920)),E920-N920,NA())</f>
        <v/>
      </c>
      <c r="P920" s="19">
        <f>IF(NOT(ISNUMBER($A920)),NA(),IF(OR($A920&lt;MIN(KW_TP!$A$2:$A$2501),$A920&gt;MAX(KW_TP!$A$2:$A$2501)),NA(),INDEX(KW_TP!$C$2:$C$2501,MATCH($A920,KW_TP!$A$2:$A$2501,1))))</f>
        <v/>
      </c>
      <c r="Q920" s="18">
        <f>IF(NOT(ISNUMBER($A920)),NA(),IFERROR(1*INDEX(BBG_Data!$J$2:$J$4000,MATCH($A920,BBG_Data!$I$2:$I$4000,0)),NA()))</f>
        <v/>
      </c>
      <c r="R920" s="18">
        <f>IF(NOT(ISNUMBER($A920)),NA(),IFERROR(1*INDEX(BBG_Data!$L$2:$L$4000,MATCH($A920,BBG_Data!$K$2:$K$4000,0)),NA()))</f>
        <v/>
      </c>
      <c r="S920" s="20">
        <f>IF(AND(ISNUMBER(B920),ISNUMBER(Q920),ISNUMBER(R920)),(B920-Q920-R920)*100,NA())</f>
        <v/>
      </c>
      <c r="T920" s="20">
        <f>IF(AND(ISNUMBER(B920),Settings!$B$17&gt;0),IF(ISNUMBER(INDEX($B:$B,Settings!$B$17)),(B920-INDEX($B:$B,Settings!$B$17))*100,NA()),NA())</f>
        <v/>
      </c>
      <c r="U920" s="20">
        <f>IF(AND(ISNUMBER(Q920),Settings!$B$17&gt;0),IF(ISNUMBER(INDEX($Q:$Q,Settings!$B$17)),(Q920-INDEX($Q:$Q,Settings!$B$17))*100,NA()),NA())</f>
        <v/>
      </c>
      <c r="V920" s="20">
        <f>IF(AND(ISNUMBER(R920),Settings!$B$17&gt;0),IF(ISNUMBER(INDEX($R:$R,Settings!$B$17)),(R920-INDEX($R:$R,Settings!$B$17))*100,NA()),NA())</f>
        <v/>
      </c>
      <c r="W920" s="20">
        <f>IF(AND(ISNUMBER(P920),Settings!$B$17&gt;0),IF(ISNUMBER(INDEX($P:$P,Settings!$B$17)),P920-INDEX($P:$P,Settings!$B$17),NA()),NA())</f>
        <v/>
      </c>
      <c r="X920" s="19">
        <f>IF(NOT(ISNUMBER($A920)),NA(),IF(OR($A920&lt;MIN(DKW_10Y!$A$2:$A$2918),$A920&gt;MAX(DKW_10Y!$A$2:$A$2918),Settings!$B$16&lt;MIN(DKW_10Y!$A$2:$A$2918)),NA(),(INDEX(DKW_10Y!$B$2:$B$2918,MATCH($A920,DKW_10Y!$A$2:$A$2918,1))-INDEX(DKW_10Y!$B$2:$B$2918,MATCH(Settings!$B$16,DKW_10Y!$A$2:$A$2918,1)))*100))</f>
        <v/>
      </c>
      <c r="Y920" s="19">
        <f>IF(NOT(ISNUMBER($A920)),NA(),IF(OR($A920&lt;MIN(DKW_10Y!$A$2:$A$2918),$A920&gt;MAX(DKW_10Y!$A$2:$A$2918),Settings!$B$16&lt;MIN(DKW_10Y!$A$2:$A$2918)),NA(),(INDEX(DKW_10Y!$C$2:$C$2918,MATCH($A920,DKW_10Y!$A$2:$A$2918,1))-INDEX(DKW_10Y!$C$2:$C$2918,MATCH(Settings!$B$16,DKW_10Y!$A$2:$A$2918,1)))*100))</f>
        <v/>
      </c>
      <c r="Z920" s="19">
        <f>IF(NOT(ISNUMBER($A920)),NA(),IF(OR($A920&lt;MIN(DKW_10Y!$A$2:$A$2918),$A920&gt;MAX(DKW_10Y!$A$2:$A$2918),Settings!$B$16&lt;MIN(DKW_10Y!$A$2:$A$2918)),NA(),(INDEX(DKW_10Y!$D$2:$D$2918,MATCH($A920,DKW_10Y!$A$2:$A$2918,1))-INDEX(DKW_10Y!$D$2:$D$2918,MATCH(Settings!$B$16,DKW_10Y!$A$2:$A$2918,1)))*100))</f>
        <v/>
      </c>
      <c r="AA920" s="19">
        <f>IF(NOT(ISNUMBER($A920)),NA(),IF(OR($A920&lt;MIN(DKW_10Y!$A$2:$A$2918),$A920&gt;MAX(DKW_10Y!$A$2:$A$2918),Settings!$B$16&lt;MIN(DKW_10Y!$A$2:$A$2918)),NA(),(INDEX(DKW_10Y!$E$2:$E$2918,MATCH($A920,DKW_10Y!$A$2:$A$2918,1))-INDEX(DKW_10Y!$E$2:$E$2918,MATCH(Settings!$B$16,DKW_10Y!$A$2:$A$2918,1)))*100))</f>
        <v/>
      </c>
      <c r="AB920" s="19">
        <f>IF(NOT(ISNUMBER($A920)),NA(),IF(OR($A920&lt;MIN(DKW_10Y!$A$2:$A$2918),$A920&gt;MAX(DKW_10Y!$A$2:$A$2918),Settings!$B$16&lt;MIN(DKW_10Y!$A$2:$A$2918)),NA(),(INDEX(DKW_10Y!$H$2:$H$2918,MATCH($A920,DKW_10Y!$A$2:$A$2918,1))-INDEX(DKW_10Y!$H$2:$H$2918,MATCH(Settings!$B$16,DKW_10Y!$A$2:$A$2918,1)))*100))</f>
        <v/>
      </c>
      <c r="AC920" s="18">
        <f>IF(NOT(ISNUMBER($A920)),NA(),IFERROR(1*INDEX(BBG_Data!$N$2:$N$4000,MATCH($A920,BBG_Data!$M$2:$M$4000,0)),NA()))</f>
        <v/>
      </c>
      <c r="AD920" s="18">
        <f>IF(NOT(ISNUMBER($A920)),NA(),IFERROR(1*INDEX(BBG_Data!$P$2:$P$4000,MATCH($A920,BBG_Data!$O$2:$O$4000,0)),NA()))</f>
        <v/>
      </c>
      <c r="AE920" s="18">
        <f>IF(NOT(ISNUMBER($A920)),NA(),IFERROR(1*INDEX(BBG_Data!$R$2:$R$4000,MATCH($A920,BBG_Data!$Q$2:$Q$4000,0)),NA()))</f>
        <v/>
      </c>
      <c r="AF920" s="20">
        <f>IF(AND(ISNUMBER(B920),ISNUMBER(AC920)),(B920-AC920)*100,NA())</f>
        <v/>
      </c>
      <c r="AG920" s="20">
        <f>IF(AND(ISNUMBER(AE920),ISNUMBER(AD920)),(AE920-AD920)*100,NA())</f>
        <v/>
      </c>
      <c r="AH920" s="19">
        <f>IF(NOT(ISNUMBER($A920)),NA(),IFERROR(INDEX(BBG_Data!$T$2:$T$4000,MATCH($A920,BBG_Data!$S$2:$S$4000,0))*Settings!$B$25,NA()))</f>
        <v/>
      </c>
      <c r="AI920" s="19">
        <f>IF(NOT(ISNUMBER($A920)),NA(),IFERROR(INDEX(BBG_Data!$V$2:$V$4000,MATCH($A920,BBG_Data!$U$2:$U$4000,0))*Settings!$B$25,NA()))</f>
        <v/>
      </c>
      <c r="AJ920" s="19">
        <f>IF(NOT(ISNUMBER($A920)),NA(),IFERROR(1*INDEX(BBG_Data!$X$2:$X$4000,MATCH($A920,BBG_Data!$W$2:$W$4000,0)),NA()))</f>
        <v/>
      </c>
      <c r="AK920" s="19">
        <f>IF(NOT(ISNUMBER($A920)),NA(),IFERROR(1*INDEX(BBG_Data!$Z$2:$Z$4000,MATCH($A920,BBG_Data!$Y$2:$Y$4000,0)),NA()))</f>
        <v/>
      </c>
    </row>
    <row r="921">
      <c r="A921" s="17">
        <f>IF(ISNUMBER(BBG_Data!A921),BBG_Data!A921,"")</f>
        <v/>
      </c>
      <c r="B921" s="18">
        <f>IF(AND(ISNUMBER($A921),ISNUMBER(BBG_Data!B921)),BBG_Data!B921,NA())</f>
        <v/>
      </c>
      <c r="C921" s="18">
        <f>IF(NOT(ISNUMBER($A921)),NA(),IFERROR(1*INDEX(BBG_Data!$D$2:$D$4000,MATCH($A921,BBG_Data!$C$2:$C$4000,0)),NA()))</f>
        <v/>
      </c>
      <c r="D921" s="19">
        <f>IF(NOT(ISNUMBER($A921)),NA(),IFERROR(1*INDEX(BBG_Data!$F$2:$F$4000,MATCH($A921,BBG_Data!$E$2:$E$4000,0)),NA()))</f>
        <v/>
      </c>
      <c r="E921" s="19">
        <f>IF(NOT(ISNUMBER($A921)),NA(),IFERROR(1*INDEX(BBG_Data!$H$2:$H$4000,MATCH($A921,BBG_Data!$G$2:$G$4000,0)),NA()))</f>
        <v/>
      </c>
      <c r="F921" s="20">
        <f>IF(AND(ISNUMBER(B921),ISNUMBER(B920)),IF(B921=B920,"",(B921-B920)*100),"")</f>
        <v/>
      </c>
      <c r="G921" s="20">
        <f>IF(AND(ISNUMBER(C921),ISNUMBER(C920)),IF(C921=C920,"",(C921-C920)*100),"")</f>
        <v/>
      </c>
      <c r="H921" s="20">
        <f>IF(OR(NOT(ISNUMBER($A921)),ROW()-2&lt;Settings!$B$11),NA(),IF(COUNT(OFFSET(F921,1-Settings!$B$11,0,Settings!$B$11,1))&lt;ROUNDUP(Settings!$B$11*Settings!$B$26,0),NA(),STDEV(OFFSET(F921,1-Settings!$B$11,0,Settings!$B$11,1))*SQRT(Settings!$B$13)))</f>
        <v/>
      </c>
      <c r="I921" s="20">
        <f>IF(OR(NOT(ISNUMBER($A921)),ROW()-2&lt;Settings!$B$12),NA(),IF(COUNT(OFFSET(F921,1-Settings!$B$12,0,Settings!$B$12,1))&lt;ROUNDUP(Settings!$B$12*Settings!$B$26,0),NA(),STDEV(OFFSET(F921,1-Settings!$B$12,0,Settings!$B$12,1))*SQRT(Settings!$B$13)))</f>
        <v/>
      </c>
      <c r="J921" s="20">
        <f>IF(OR(NOT(ISNUMBER($A921)),ROW()-2&lt;Settings!$B$11),NA(),IF(COUNT(OFFSET(G921,1-Settings!$B$11,0,Settings!$B$11,1))&lt;ROUNDUP(Settings!$B$11*Settings!$B$26,0),NA(),STDEV(OFFSET(G921,1-Settings!$B$11,0,Settings!$B$11,1))*SQRT(Settings!$B$13)))</f>
        <v/>
      </c>
      <c r="K921" s="20">
        <f>IF(OR(NOT(ISNUMBER($A921)),ROW()-2&lt;Settings!$B$12),NA(),IF(COUNT(OFFSET(G921,1-Settings!$B$12,0,Settings!$B$12,1))&lt;ROUNDUP(Settings!$B$12*Settings!$B$26,0),NA(),STDEV(OFFSET(G921,1-Settings!$B$12,0,Settings!$B$12,1))*SQRT(Settings!$B$13)))</f>
        <v/>
      </c>
      <c r="L921" s="20">
        <f>IF(AND(ISNUMBER(D921),ISNUMBER(H921)),D921-H921,NA())</f>
        <v/>
      </c>
      <c r="M921" s="20">
        <f>IF(AND(ISNUMBER(E921),ISNUMBER(K921)),E921-K921,NA())</f>
        <v/>
      </c>
      <c r="N921" s="20">
        <f>IF(NOT(ISNUMBER($A921)),NA(),IF(COUNT(OFFSET(G921,1,0,Settings!$B$12,1))&lt;ROUNDUP(Settings!$B$12*Settings!$B$26,0),NA(),STDEV(OFFSET(G921,1,0,Settings!$B$12,1))*SQRT(Settings!$B$13)))</f>
        <v/>
      </c>
      <c r="O921" s="20">
        <f>IF(AND(ISNUMBER(E921),ISNUMBER(N921)),E921-N921,NA())</f>
        <v/>
      </c>
      <c r="P921" s="19">
        <f>IF(NOT(ISNUMBER($A921)),NA(),IF(OR($A921&lt;MIN(KW_TP!$A$2:$A$2501),$A921&gt;MAX(KW_TP!$A$2:$A$2501)),NA(),INDEX(KW_TP!$C$2:$C$2501,MATCH($A921,KW_TP!$A$2:$A$2501,1))))</f>
        <v/>
      </c>
      <c r="Q921" s="18">
        <f>IF(NOT(ISNUMBER($A921)),NA(),IFERROR(1*INDEX(BBG_Data!$J$2:$J$4000,MATCH($A921,BBG_Data!$I$2:$I$4000,0)),NA()))</f>
        <v/>
      </c>
      <c r="R921" s="18">
        <f>IF(NOT(ISNUMBER($A921)),NA(),IFERROR(1*INDEX(BBG_Data!$L$2:$L$4000,MATCH($A921,BBG_Data!$K$2:$K$4000,0)),NA()))</f>
        <v/>
      </c>
      <c r="S921" s="20">
        <f>IF(AND(ISNUMBER(B921),ISNUMBER(Q921),ISNUMBER(R921)),(B921-Q921-R921)*100,NA())</f>
        <v/>
      </c>
      <c r="T921" s="20">
        <f>IF(AND(ISNUMBER(B921),Settings!$B$17&gt;0),IF(ISNUMBER(INDEX($B:$B,Settings!$B$17)),(B921-INDEX($B:$B,Settings!$B$17))*100,NA()),NA())</f>
        <v/>
      </c>
      <c r="U921" s="20">
        <f>IF(AND(ISNUMBER(Q921),Settings!$B$17&gt;0),IF(ISNUMBER(INDEX($Q:$Q,Settings!$B$17)),(Q921-INDEX($Q:$Q,Settings!$B$17))*100,NA()),NA())</f>
        <v/>
      </c>
      <c r="V921" s="20">
        <f>IF(AND(ISNUMBER(R921),Settings!$B$17&gt;0),IF(ISNUMBER(INDEX($R:$R,Settings!$B$17)),(R921-INDEX($R:$R,Settings!$B$17))*100,NA()),NA())</f>
        <v/>
      </c>
      <c r="W921" s="20">
        <f>IF(AND(ISNUMBER(P921),Settings!$B$17&gt;0),IF(ISNUMBER(INDEX($P:$P,Settings!$B$17)),P921-INDEX($P:$P,Settings!$B$17),NA()),NA())</f>
        <v/>
      </c>
      <c r="X921" s="19">
        <f>IF(NOT(ISNUMBER($A921)),NA(),IF(OR($A921&lt;MIN(DKW_10Y!$A$2:$A$2918),$A921&gt;MAX(DKW_10Y!$A$2:$A$2918),Settings!$B$16&lt;MIN(DKW_10Y!$A$2:$A$2918)),NA(),(INDEX(DKW_10Y!$B$2:$B$2918,MATCH($A921,DKW_10Y!$A$2:$A$2918,1))-INDEX(DKW_10Y!$B$2:$B$2918,MATCH(Settings!$B$16,DKW_10Y!$A$2:$A$2918,1)))*100))</f>
        <v/>
      </c>
      <c r="Y921" s="19">
        <f>IF(NOT(ISNUMBER($A921)),NA(),IF(OR($A921&lt;MIN(DKW_10Y!$A$2:$A$2918),$A921&gt;MAX(DKW_10Y!$A$2:$A$2918),Settings!$B$16&lt;MIN(DKW_10Y!$A$2:$A$2918)),NA(),(INDEX(DKW_10Y!$C$2:$C$2918,MATCH($A921,DKW_10Y!$A$2:$A$2918,1))-INDEX(DKW_10Y!$C$2:$C$2918,MATCH(Settings!$B$16,DKW_10Y!$A$2:$A$2918,1)))*100))</f>
        <v/>
      </c>
      <c r="Z921" s="19">
        <f>IF(NOT(ISNUMBER($A921)),NA(),IF(OR($A921&lt;MIN(DKW_10Y!$A$2:$A$2918),$A921&gt;MAX(DKW_10Y!$A$2:$A$2918),Settings!$B$16&lt;MIN(DKW_10Y!$A$2:$A$2918)),NA(),(INDEX(DKW_10Y!$D$2:$D$2918,MATCH($A921,DKW_10Y!$A$2:$A$2918,1))-INDEX(DKW_10Y!$D$2:$D$2918,MATCH(Settings!$B$16,DKW_10Y!$A$2:$A$2918,1)))*100))</f>
        <v/>
      </c>
      <c r="AA921" s="19">
        <f>IF(NOT(ISNUMBER($A921)),NA(),IF(OR($A921&lt;MIN(DKW_10Y!$A$2:$A$2918),$A921&gt;MAX(DKW_10Y!$A$2:$A$2918),Settings!$B$16&lt;MIN(DKW_10Y!$A$2:$A$2918)),NA(),(INDEX(DKW_10Y!$E$2:$E$2918,MATCH($A921,DKW_10Y!$A$2:$A$2918,1))-INDEX(DKW_10Y!$E$2:$E$2918,MATCH(Settings!$B$16,DKW_10Y!$A$2:$A$2918,1)))*100))</f>
        <v/>
      </c>
      <c r="AB921" s="19">
        <f>IF(NOT(ISNUMBER($A921)),NA(),IF(OR($A921&lt;MIN(DKW_10Y!$A$2:$A$2918),$A921&gt;MAX(DKW_10Y!$A$2:$A$2918),Settings!$B$16&lt;MIN(DKW_10Y!$A$2:$A$2918)),NA(),(INDEX(DKW_10Y!$H$2:$H$2918,MATCH($A921,DKW_10Y!$A$2:$A$2918,1))-INDEX(DKW_10Y!$H$2:$H$2918,MATCH(Settings!$B$16,DKW_10Y!$A$2:$A$2918,1)))*100))</f>
        <v/>
      </c>
      <c r="AC921" s="18">
        <f>IF(NOT(ISNUMBER($A921)),NA(),IFERROR(1*INDEX(BBG_Data!$N$2:$N$4000,MATCH($A921,BBG_Data!$M$2:$M$4000,0)),NA()))</f>
        <v/>
      </c>
      <c r="AD921" s="18">
        <f>IF(NOT(ISNUMBER($A921)),NA(),IFERROR(1*INDEX(BBG_Data!$P$2:$P$4000,MATCH($A921,BBG_Data!$O$2:$O$4000,0)),NA()))</f>
        <v/>
      </c>
      <c r="AE921" s="18">
        <f>IF(NOT(ISNUMBER($A921)),NA(),IFERROR(1*INDEX(BBG_Data!$R$2:$R$4000,MATCH($A921,BBG_Data!$Q$2:$Q$4000,0)),NA()))</f>
        <v/>
      </c>
      <c r="AF921" s="20">
        <f>IF(AND(ISNUMBER(B921),ISNUMBER(AC921)),(B921-AC921)*100,NA())</f>
        <v/>
      </c>
      <c r="AG921" s="20">
        <f>IF(AND(ISNUMBER(AE921),ISNUMBER(AD921)),(AE921-AD921)*100,NA())</f>
        <v/>
      </c>
      <c r="AH921" s="19">
        <f>IF(NOT(ISNUMBER($A921)),NA(),IFERROR(INDEX(BBG_Data!$T$2:$T$4000,MATCH($A921,BBG_Data!$S$2:$S$4000,0))*Settings!$B$25,NA()))</f>
        <v/>
      </c>
      <c r="AI921" s="19">
        <f>IF(NOT(ISNUMBER($A921)),NA(),IFERROR(INDEX(BBG_Data!$V$2:$V$4000,MATCH($A921,BBG_Data!$U$2:$U$4000,0))*Settings!$B$25,NA()))</f>
        <v/>
      </c>
      <c r="AJ921" s="19">
        <f>IF(NOT(ISNUMBER($A921)),NA(),IFERROR(1*INDEX(BBG_Data!$X$2:$X$4000,MATCH($A921,BBG_Data!$W$2:$W$4000,0)),NA()))</f>
        <v/>
      </c>
      <c r="AK921" s="19">
        <f>IF(NOT(ISNUMBER($A921)),NA(),IFERROR(1*INDEX(BBG_Data!$Z$2:$Z$4000,MATCH($A921,BBG_Data!$Y$2:$Y$4000,0)),NA()))</f>
        <v/>
      </c>
    </row>
    <row r="922">
      <c r="A922" s="17">
        <f>IF(ISNUMBER(BBG_Data!A922),BBG_Data!A922,"")</f>
        <v/>
      </c>
      <c r="B922" s="18">
        <f>IF(AND(ISNUMBER($A922),ISNUMBER(BBG_Data!B922)),BBG_Data!B922,NA())</f>
        <v/>
      </c>
      <c r="C922" s="18">
        <f>IF(NOT(ISNUMBER($A922)),NA(),IFERROR(1*INDEX(BBG_Data!$D$2:$D$4000,MATCH($A922,BBG_Data!$C$2:$C$4000,0)),NA()))</f>
        <v/>
      </c>
      <c r="D922" s="19">
        <f>IF(NOT(ISNUMBER($A922)),NA(),IFERROR(1*INDEX(BBG_Data!$F$2:$F$4000,MATCH($A922,BBG_Data!$E$2:$E$4000,0)),NA()))</f>
        <v/>
      </c>
      <c r="E922" s="19">
        <f>IF(NOT(ISNUMBER($A922)),NA(),IFERROR(1*INDEX(BBG_Data!$H$2:$H$4000,MATCH($A922,BBG_Data!$G$2:$G$4000,0)),NA()))</f>
        <v/>
      </c>
      <c r="F922" s="20">
        <f>IF(AND(ISNUMBER(B922),ISNUMBER(B921)),IF(B922=B921,"",(B922-B921)*100),"")</f>
        <v/>
      </c>
      <c r="G922" s="20">
        <f>IF(AND(ISNUMBER(C922),ISNUMBER(C921)),IF(C922=C921,"",(C922-C921)*100),"")</f>
        <v/>
      </c>
      <c r="H922" s="20">
        <f>IF(OR(NOT(ISNUMBER($A922)),ROW()-2&lt;Settings!$B$11),NA(),IF(COUNT(OFFSET(F922,1-Settings!$B$11,0,Settings!$B$11,1))&lt;ROUNDUP(Settings!$B$11*Settings!$B$26,0),NA(),STDEV(OFFSET(F922,1-Settings!$B$11,0,Settings!$B$11,1))*SQRT(Settings!$B$13)))</f>
        <v/>
      </c>
      <c r="I922" s="20">
        <f>IF(OR(NOT(ISNUMBER($A922)),ROW()-2&lt;Settings!$B$12),NA(),IF(COUNT(OFFSET(F922,1-Settings!$B$12,0,Settings!$B$12,1))&lt;ROUNDUP(Settings!$B$12*Settings!$B$26,0),NA(),STDEV(OFFSET(F922,1-Settings!$B$12,0,Settings!$B$12,1))*SQRT(Settings!$B$13)))</f>
        <v/>
      </c>
      <c r="J922" s="20">
        <f>IF(OR(NOT(ISNUMBER($A922)),ROW()-2&lt;Settings!$B$11),NA(),IF(COUNT(OFFSET(G922,1-Settings!$B$11,0,Settings!$B$11,1))&lt;ROUNDUP(Settings!$B$11*Settings!$B$26,0),NA(),STDEV(OFFSET(G922,1-Settings!$B$11,0,Settings!$B$11,1))*SQRT(Settings!$B$13)))</f>
        <v/>
      </c>
      <c r="K922" s="20">
        <f>IF(OR(NOT(ISNUMBER($A922)),ROW()-2&lt;Settings!$B$12),NA(),IF(COUNT(OFFSET(G922,1-Settings!$B$12,0,Settings!$B$12,1))&lt;ROUNDUP(Settings!$B$12*Settings!$B$26,0),NA(),STDEV(OFFSET(G922,1-Settings!$B$12,0,Settings!$B$12,1))*SQRT(Settings!$B$13)))</f>
        <v/>
      </c>
      <c r="L922" s="20">
        <f>IF(AND(ISNUMBER(D922),ISNUMBER(H922)),D922-H922,NA())</f>
        <v/>
      </c>
      <c r="M922" s="20">
        <f>IF(AND(ISNUMBER(E922),ISNUMBER(K922)),E922-K922,NA())</f>
        <v/>
      </c>
      <c r="N922" s="20">
        <f>IF(NOT(ISNUMBER($A922)),NA(),IF(COUNT(OFFSET(G922,1,0,Settings!$B$12,1))&lt;ROUNDUP(Settings!$B$12*Settings!$B$26,0),NA(),STDEV(OFFSET(G922,1,0,Settings!$B$12,1))*SQRT(Settings!$B$13)))</f>
        <v/>
      </c>
      <c r="O922" s="20">
        <f>IF(AND(ISNUMBER(E922),ISNUMBER(N922)),E922-N922,NA())</f>
        <v/>
      </c>
      <c r="P922" s="19">
        <f>IF(NOT(ISNUMBER($A922)),NA(),IF(OR($A922&lt;MIN(KW_TP!$A$2:$A$2501),$A922&gt;MAX(KW_TP!$A$2:$A$2501)),NA(),INDEX(KW_TP!$C$2:$C$2501,MATCH($A922,KW_TP!$A$2:$A$2501,1))))</f>
        <v/>
      </c>
      <c r="Q922" s="18">
        <f>IF(NOT(ISNUMBER($A922)),NA(),IFERROR(1*INDEX(BBG_Data!$J$2:$J$4000,MATCH($A922,BBG_Data!$I$2:$I$4000,0)),NA()))</f>
        <v/>
      </c>
      <c r="R922" s="18">
        <f>IF(NOT(ISNUMBER($A922)),NA(),IFERROR(1*INDEX(BBG_Data!$L$2:$L$4000,MATCH($A922,BBG_Data!$K$2:$K$4000,0)),NA()))</f>
        <v/>
      </c>
      <c r="S922" s="20">
        <f>IF(AND(ISNUMBER(B922),ISNUMBER(Q922),ISNUMBER(R922)),(B922-Q922-R922)*100,NA())</f>
        <v/>
      </c>
      <c r="T922" s="20">
        <f>IF(AND(ISNUMBER(B922),Settings!$B$17&gt;0),IF(ISNUMBER(INDEX($B:$B,Settings!$B$17)),(B922-INDEX($B:$B,Settings!$B$17))*100,NA()),NA())</f>
        <v/>
      </c>
      <c r="U922" s="20">
        <f>IF(AND(ISNUMBER(Q922),Settings!$B$17&gt;0),IF(ISNUMBER(INDEX($Q:$Q,Settings!$B$17)),(Q922-INDEX($Q:$Q,Settings!$B$17))*100,NA()),NA())</f>
        <v/>
      </c>
      <c r="V922" s="20">
        <f>IF(AND(ISNUMBER(R922),Settings!$B$17&gt;0),IF(ISNUMBER(INDEX($R:$R,Settings!$B$17)),(R922-INDEX($R:$R,Settings!$B$17))*100,NA()),NA())</f>
        <v/>
      </c>
      <c r="W922" s="20">
        <f>IF(AND(ISNUMBER(P922),Settings!$B$17&gt;0),IF(ISNUMBER(INDEX($P:$P,Settings!$B$17)),P922-INDEX($P:$P,Settings!$B$17),NA()),NA())</f>
        <v/>
      </c>
      <c r="X922" s="19">
        <f>IF(NOT(ISNUMBER($A922)),NA(),IF(OR($A922&lt;MIN(DKW_10Y!$A$2:$A$2918),$A922&gt;MAX(DKW_10Y!$A$2:$A$2918),Settings!$B$16&lt;MIN(DKW_10Y!$A$2:$A$2918)),NA(),(INDEX(DKW_10Y!$B$2:$B$2918,MATCH($A922,DKW_10Y!$A$2:$A$2918,1))-INDEX(DKW_10Y!$B$2:$B$2918,MATCH(Settings!$B$16,DKW_10Y!$A$2:$A$2918,1)))*100))</f>
        <v/>
      </c>
      <c r="Y922" s="19">
        <f>IF(NOT(ISNUMBER($A922)),NA(),IF(OR($A922&lt;MIN(DKW_10Y!$A$2:$A$2918),$A922&gt;MAX(DKW_10Y!$A$2:$A$2918),Settings!$B$16&lt;MIN(DKW_10Y!$A$2:$A$2918)),NA(),(INDEX(DKW_10Y!$C$2:$C$2918,MATCH($A922,DKW_10Y!$A$2:$A$2918,1))-INDEX(DKW_10Y!$C$2:$C$2918,MATCH(Settings!$B$16,DKW_10Y!$A$2:$A$2918,1)))*100))</f>
        <v/>
      </c>
      <c r="Z922" s="19">
        <f>IF(NOT(ISNUMBER($A922)),NA(),IF(OR($A922&lt;MIN(DKW_10Y!$A$2:$A$2918),$A922&gt;MAX(DKW_10Y!$A$2:$A$2918),Settings!$B$16&lt;MIN(DKW_10Y!$A$2:$A$2918)),NA(),(INDEX(DKW_10Y!$D$2:$D$2918,MATCH($A922,DKW_10Y!$A$2:$A$2918,1))-INDEX(DKW_10Y!$D$2:$D$2918,MATCH(Settings!$B$16,DKW_10Y!$A$2:$A$2918,1)))*100))</f>
        <v/>
      </c>
      <c r="AA922" s="19">
        <f>IF(NOT(ISNUMBER($A922)),NA(),IF(OR($A922&lt;MIN(DKW_10Y!$A$2:$A$2918),$A922&gt;MAX(DKW_10Y!$A$2:$A$2918),Settings!$B$16&lt;MIN(DKW_10Y!$A$2:$A$2918)),NA(),(INDEX(DKW_10Y!$E$2:$E$2918,MATCH($A922,DKW_10Y!$A$2:$A$2918,1))-INDEX(DKW_10Y!$E$2:$E$2918,MATCH(Settings!$B$16,DKW_10Y!$A$2:$A$2918,1)))*100))</f>
        <v/>
      </c>
      <c r="AB922" s="19">
        <f>IF(NOT(ISNUMBER($A922)),NA(),IF(OR($A922&lt;MIN(DKW_10Y!$A$2:$A$2918),$A922&gt;MAX(DKW_10Y!$A$2:$A$2918),Settings!$B$16&lt;MIN(DKW_10Y!$A$2:$A$2918)),NA(),(INDEX(DKW_10Y!$H$2:$H$2918,MATCH($A922,DKW_10Y!$A$2:$A$2918,1))-INDEX(DKW_10Y!$H$2:$H$2918,MATCH(Settings!$B$16,DKW_10Y!$A$2:$A$2918,1)))*100))</f>
        <v/>
      </c>
      <c r="AC922" s="18">
        <f>IF(NOT(ISNUMBER($A922)),NA(),IFERROR(1*INDEX(BBG_Data!$N$2:$N$4000,MATCH($A922,BBG_Data!$M$2:$M$4000,0)),NA()))</f>
        <v/>
      </c>
      <c r="AD922" s="18">
        <f>IF(NOT(ISNUMBER($A922)),NA(),IFERROR(1*INDEX(BBG_Data!$P$2:$P$4000,MATCH($A922,BBG_Data!$O$2:$O$4000,0)),NA()))</f>
        <v/>
      </c>
      <c r="AE922" s="18">
        <f>IF(NOT(ISNUMBER($A922)),NA(),IFERROR(1*INDEX(BBG_Data!$R$2:$R$4000,MATCH($A922,BBG_Data!$Q$2:$Q$4000,0)),NA()))</f>
        <v/>
      </c>
      <c r="AF922" s="20">
        <f>IF(AND(ISNUMBER(B922),ISNUMBER(AC922)),(B922-AC922)*100,NA())</f>
        <v/>
      </c>
      <c r="AG922" s="20">
        <f>IF(AND(ISNUMBER(AE922),ISNUMBER(AD922)),(AE922-AD922)*100,NA())</f>
        <v/>
      </c>
      <c r="AH922" s="19">
        <f>IF(NOT(ISNUMBER($A922)),NA(),IFERROR(INDEX(BBG_Data!$T$2:$T$4000,MATCH($A922,BBG_Data!$S$2:$S$4000,0))*Settings!$B$25,NA()))</f>
        <v/>
      </c>
      <c r="AI922" s="19">
        <f>IF(NOT(ISNUMBER($A922)),NA(),IFERROR(INDEX(BBG_Data!$V$2:$V$4000,MATCH($A922,BBG_Data!$U$2:$U$4000,0))*Settings!$B$25,NA()))</f>
        <v/>
      </c>
      <c r="AJ922" s="19">
        <f>IF(NOT(ISNUMBER($A922)),NA(),IFERROR(1*INDEX(BBG_Data!$X$2:$X$4000,MATCH($A922,BBG_Data!$W$2:$W$4000,0)),NA()))</f>
        <v/>
      </c>
      <c r="AK922" s="19">
        <f>IF(NOT(ISNUMBER($A922)),NA(),IFERROR(1*INDEX(BBG_Data!$Z$2:$Z$4000,MATCH($A922,BBG_Data!$Y$2:$Y$4000,0)),NA()))</f>
        <v/>
      </c>
    </row>
    <row r="923">
      <c r="A923" s="17">
        <f>IF(ISNUMBER(BBG_Data!A923),BBG_Data!A923,"")</f>
        <v/>
      </c>
      <c r="B923" s="18">
        <f>IF(AND(ISNUMBER($A923),ISNUMBER(BBG_Data!B923)),BBG_Data!B923,NA())</f>
        <v/>
      </c>
      <c r="C923" s="18">
        <f>IF(NOT(ISNUMBER($A923)),NA(),IFERROR(1*INDEX(BBG_Data!$D$2:$D$4000,MATCH($A923,BBG_Data!$C$2:$C$4000,0)),NA()))</f>
        <v/>
      </c>
      <c r="D923" s="19">
        <f>IF(NOT(ISNUMBER($A923)),NA(),IFERROR(1*INDEX(BBG_Data!$F$2:$F$4000,MATCH($A923,BBG_Data!$E$2:$E$4000,0)),NA()))</f>
        <v/>
      </c>
      <c r="E923" s="19">
        <f>IF(NOT(ISNUMBER($A923)),NA(),IFERROR(1*INDEX(BBG_Data!$H$2:$H$4000,MATCH($A923,BBG_Data!$G$2:$G$4000,0)),NA()))</f>
        <v/>
      </c>
      <c r="F923" s="20">
        <f>IF(AND(ISNUMBER(B923),ISNUMBER(B922)),IF(B923=B922,"",(B923-B922)*100),"")</f>
        <v/>
      </c>
      <c r="G923" s="20">
        <f>IF(AND(ISNUMBER(C923),ISNUMBER(C922)),IF(C923=C922,"",(C923-C922)*100),"")</f>
        <v/>
      </c>
      <c r="H923" s="20">
        <f>IF(OR(NOT(ISNUMBER($A923)),ROW()-2&lt;Settings!$B$11),NA(),IF(COUNT(OFFSET(F923,1-Settings!$B$11,0,Settings!$B$11,1))&lt;ROUNDUP(Settings!$B$11*Settings!$B$26,0),NA(),STDEV(OFFSET(F923,1-Settings!$B$11,0,Settings!$B$11,1))*SQRT(Settings!$B$13)))</f>
        <v/>
      </c>
      <c r="I923" s="20">
        <f>IF(OR(NOT(ISNUMBER($A923)),ROW()-2&lt;Settings!$B$12),NA(),IF(COUNT(OFFSET(F923,1-Settings!$B$12,0,Settings!$B$12,1))&lt;ROUNDUP(Settings!$B$12*Settings!$B$26,0),NA(),STDEV(OFFSET(F923,1-Settings!$B$12,0,Settings!$B$12,1))*SQRT(Settings!$B$13)))</f>
        <v/>
      </c>
      <c r="J923" s="20">
        <f>IF(OR(NOT(ISNUMBER($A923)),ROW()-2&lt;Settings!$B$11),NA(),IF(COUNT(OFFSET(G923,1-Settings!$B$11,0,Settings!$B$11,1))&lt;ROUNDUP(Settings!$B$11*Settings!$B$26,0),NA(),STDEV(OFFSET(G923,1-Settings!$B$11,0,Settings!$B$11,1))*SQRT(Settings!$B$13)))</f>
        <v/>
      </c>
      <c r="K923" s="20">
        <f>IF(OR(NOT(ISNUMBER($A923)),ROW()-2&lt;Settings!$B$12),NA(),IF(COUNT(OFFSET(G923,1-Settings!$B$12,0,Settings!$B$12,1))&lt;ROUNDUP(Settings!$B$12*Settings!$B$26,0),NA(),STDEV(OFFSET(G923,1-Settings!$B$12,0,Settings!$B$12,1))*SQRT(Settings!$B$13)))</f>
        <v/>
      </c>
      <c r="L923" s="20">
        <f>IF(AND(ISNUMBER(D923),ISNUMBER(H923)),D923-H923,NA())</f>
        <v/>
      </c>
      <c r="M923" s="20">
        <f>IF(AND(ISNUMBER(E923),ISNUMBER(K923)),E923-K923,NA())</f>
        <v/>
      </c>
      <c r="N923" s="20">
        <f>IF(NOT(ISNUMBER($A923)),NA(),IF(COUNT(OFFSET(G923,1,0,Settings!$B$12,1))&lt;ROUNDUP(Settings!$B$12*Settings!$B$26,0),NA(),STDEV(OFFSET(G923,1,0,Settings!$B$12,1))*SQRT(Settings!$B$13)))</f>
        <v/>
      </c>
      <c r="O923" s="20">
        <f>IF(AND(ISNUMBER(E923),ISNUMBER(N923)),E923-N923,NA())</f>
        <v/>
      </c>
      <c r="P923" s="19">
        <f>IF(NOT(ISNUMBER($A923)),NA(),IF(OR($A923&lt;MIN(KW_TP!$A$2:$A$2501),$A923&gt;MAX(KW_TP!$A$2:$A$2501)),NA(),INDEX(KW_TP!$C$2:$C$2501,MATCH($A923,KW_TP!$A$2:$A$2501,1))))</f>
        <v/>
      </c>
      <c r="Q923" s="18">
        <f>IF(NOT(ISNUMBER($A923)),NA(),IFERROR(1*INDEX(BBG_Data!$J$2:$J$4000,MATCH($A923,BBG_Data!$I$2:$I$4000,0)),NA()))</f>
        <v/>
      </c>
      <c r="R923" s="18">
        <f>IF(NOT(ISNUMBER($A923)),NA(),IFERROR(1*INDEX(BBG_Data!$L$2:$L$4000,MATCH($A923,BBG_Data!$K$2:$K$4000,0)),NA()))</f>
        <v/>
      </c>
      <c r="S923" s="20">
        <f>IF(AND(ISNUMBER(B923),ISNUMBER(Q923),ISNUMBER(R923)),(B923-Q923-R923)*100,NA())</f>
        <v/>
      </c>
      <c r="T923" s="20">
        <f>IF(AND(ISNUMBER(B923),Settings!$B$17&gt;0),IF(ISNUMBER(INDEX($B:$B,Settings!$B$17)),(B923-INDEX($B:$B,Settings!$B$17))*100,NA()),NA())</f>
        <v/>
      </c>
      <c r="U923" s="20">
        <f>IF(AND(ISNUMBER(Q923),Settings!$B$17&gt;0),IF(ISNUMBER(INDEX($Q:$Q,Settings!$B$17)),(Q923-INDEX($Q:$Q,Settings!$B$17))*100,NA()),NA())</f>
        <v/>
      </c>
      <c r="V923" s="20">
        <f>IF(AND(ISNUMBER(R923),Settings!$B$17&gt;0),IF(ISNUMBER(INDEX($R:$R,Settings!$B$17)),(R923-INDEX($R:$R,Settings!$B$17))*100,NA()),NA())</f>
        <v/>
      </c>
      <c r="W923" s="20">
        <f>IF(AND(ISNUMBER(P923),Settings!$B$17&gt;0),IF(ISNUMBER(INDEX($P:$P,Settings!$B$17)),P923-INDEX($P:$P,Settings!$B$17),NA()),NA())</f>
        <v/>
      </c>
      <c r="X923" s="19">
        <f>IF(NOT(ISNUMBER($A923)),NA(),IF(OR($A923&lt;MIN(DKW_10Y!$A$2:$A$2918),$A923&gt;MAX(DKW_10Y!$A$2:$A$2918),Settings!$B$16&lt;MIN(DKW_10Y!$A$2:$A$2918)),NA(),(INDEX(DKW_10Y!$B$2:$B$2918,MATCH($A923,DKW_10Y!$A$2:$A$2918,1))-INDEX(DKW_10Y!$B$2:$B$2918,MATCH(Settings!$B$16,DKW_10Y!$A$2:$A$2918,1)))*100))</f>
        <v/>
      </c>
      <c r="Y923" s="19">
        <f>IF(NOT(ISNUMBER($A923)),NA(),IF(OR($A923&lt;MIN(DKW_10Y!$A$2:$A$2918),$A923&gt;MAX(DKW_10Y!$A$2:$A$2918),Settings!$B$16&lt;MIN(DKW_10Y!$A$2:$A$2918)),NA(),(INDEX(DKW_10Y!$C$2:$C$2918,MATCH($A923,DKW_10Y!$A$2:$A$2918,1))-INDEX(DKW_10Y!$C$2:$C$2918,MATCH(Settings!$B$16,DKW_10Y!$A$2:$A$2918,1)))*100))</f>
        <v/>
      </c>
      <c r="Z923" s="19">
        <f>IF(NOT(ISNUMBER($A923)),NA(),IF(OR($A923&lt;MIN(DKW_10Y!$A$2:$A$2918),$A923&gt;MAX(DKW_10Y!$A$2:$A$2918),Settings!$B$16&lt;MIN(DKW_10Y!$A$2:$A$2918)),NA(),(INDEX(DKW_10Y!$D$2:$D$2918,MATCH($A923,DKW_10Y!$A$2:$A$2918,1))-INDEX(DKW_10Y!$D$2:$D$2918,MATCH(Settings!$B$16,DKW_10Y!$A$2:$A$2918,1)))*100))</f>
        <v/>
      </c>
      <c r="AA923" s="19">
        <f>IF(NOT(ISNUMBER($A923)),NA(),IF(OR($A923&lt;MIN(DKW_10Y!$A$2:$A$2918),$A923&gt;MAX(DKW_10Y!$A$2:$A$2918),Settings!$B$16&lt;MIN(DKW_10Y!$A$2:$A$2918)),NA(),(INDEX(DKW_10Y!$E$2:$E$2918,MATCH($A923,DKW_10Y!$A$2:$A$2918,1))-INDEX(DKW_10Y!$E$2:$E$2918,MATCH(Settings!$B$16,DKW_10Y!$A$2:$A$2918,1)))*100))</f>
        <v/>
      </c>
      <c r="AB923" s="19">
        <f>IF(NOT(ISNUMBER($A923)),NA(),IF(OR($A923&lt;MIN(DKW_10Y!$A$2:$A$2918),$A923&gt;MAX(DKW_10Y!$A$2:$A$2918),Settings!$B$16&lt;MIN(DKW_10Y!$A$2:$A$2918)),NA(),(INDEX(DKW_10Y!$H$2:$H$2918,MATCH($A923,DKW_10Y!$A$2:$A$2918,1))-INDEX(DKW_10Y!$H$2:$H$2918,MATCH(Settings!$B$16,DKW_10Y!$A$2:$A$2918,1)))*100))</f>
        <v/>
      </c>
      <c r="AC923" s="18">
        <f>IF(NOT(ISNUMBER($A923)),NA(),IFERROR(1*INDEX(BBG_Data!$N$2:$N$4000,MATCH($A923,BBG_Data!$M$2:$M$4000,0)),NA()))</f>
        <v/>
      </c>
      <c r="AD923" s="18">
        <f>IF(NOT(ISNUMBER($A923)),NA(),IFERROR(1*INDEX(BBG_Data!$P$2:$P$4000,MATCH($A923,BBG_Data!$O$2:$O$4000,0)),NA()))</f>
        <v/>
      </c>
      <c r="AE923" s="18">
        <f>IF(NOT(ISNUMBER($A923)),NA(),IFERROR(1*INDEX(BBG_Data!$R$2:$R$4000,MATCH($A923,BBG_Data!$Q$2:$Q$4000,0)),NA()))</f>
        <v/>
      </c>
      <c r="AF923" s="20">
        <f>IF(AND(ISNUMBER(B923),ISNUMBER(AC923)),(B923-AC923)*100,NA())</f>
        <v/>
      </c>
      <c r="AG923" s="20">
        <f>IF(AND(ISNUMBER(AE923),ISNUMBER(AD923)),(AE923-AD923)*100,NA())</f>
        <v/>
      </c>
      <c r="AH923" s="19">
        <f>IF(NOT(ISNUMBER($A923)),NA(),IFERROR(INDEX(BBG_Data!$T$2:$T$4000,MATCH($A923,BBG_Data!$S$2:$S$4000,0))*Settings!$B$25,NA()))</f>
        <v/>
      </c>
      <c r="AI923" s="19">
        <f>IF(NOT(ISNUMBER($A923)),NA(),IFERROR(INDEX(BBG_Data!$V$2:$V$4000,MATCH($A923,BBG_Data!$U$2:$U$4000,0))*Settings!$B$25,NA()))</f>
        <v/>
      </c>
      <c r="AJ923" s="19">
        <f>IF(NOT(ISNUMBER($A923)),NA(),IFERROR(1*INDEX(BBG_Data!$X$2:$X$4000,MATCH($A923,BBG_Data!$W$2:$W$4000,0)),NA()))</f>
        <v/>
      </c>
      <c r="AK923" s="19">
        <f>IF(NOT(ISNUMBER($A923)),NA(),IFERROR(1*INDEX(BBG_Data!$Z$2:$Z$4000,MATCH($A923,BBG_Data!$Y$2:$Y$4000,0)),NA()))</f>
        <v/>
      </c>
    </row>
    <row r="924">
      <c r="A924" s="17">
        <f>IF(ISNUMBER(BBG_Data!A924),BBG_Data!A924,"")</f>
        <v/>
      </c>
      <c r="B924" s="18">
        <f>IF(AND(ISNUMBER($A924),ISNUMBER(BBG_Data!B924)),BBG_Data!B924,NA())</f>
        <v/>
      </c>
      <c r="C924" s="18">
        <f>IF(NOT(ISNUMBER($A924)),NA(),IFERROR(1*INDEX(BBG_Data!$D$2:$D$4000,MATCH($A924,BBG_Data!$C$2:$C$4000,0)),NA()))</f>
        <v/>
      </c>
      <c r="D924" s="19">
        <f>IF(NOT(ISNUMBER($A924)),NA(),IFERROR(1*INDEX(BBG_Data!$F$2:$F$4000,MATCH($A924,BBG_Data!$E$2:$E$4000,0)),NA()))</f>
        <v/>
      </c>
      <c r="E924" s="19">
        <f>IF(NOT(ISNUMBER($A924)),NA(),IFERROR(1*INDEX(BBG_Data!$H$2:$H$4000,MATCH($A924,BBG_Data!$G$2:$G$4000,0)),NA()))</f>
        <v/>
      </c>
      <c r="F924" s="20">
        <f>IF(AND(ISNUMBER(B924),ISNUMBER(B923)),IF(B924=B923,"",(B924-B923)*100),"")</f>
        <v/>
      </c>
      <c r="G924" s="20">
        <f>IF(AND(ISNUMBER(C924),ISNUMBER(C923)),IF(C924=C923,"",(C924-C923)*100),"")</f>
        <v/>
      </c>
      <c r="H924" s="20">
        <f>IF(OR(NOT(ISNUMBER($A924)),ROW()-2&lt;Settings!$B$11),NA(),IF(COUNT(OFFSET(F924,1-Settings!$B$11,0,Settings!$B$11,1))&lt;ROUNDUP(Settings!$B$11*Settings!$B$26,0),NA(),STDEV(OFFSET(F924,1-Settings!$B$11,0,Settings!$B$11,1))*SQRT(Settings!$B$13)))</f>
        <v/>
      </c>
      <c r="I924" s="20">
        <f>IF(OR(NOT(ISNUMBER($A924)),ROW()-2&lt;Settings!$B$12),NA(),IF(COUNT(OFFSET(F924,1-Settings!$B$12,0,Settings!$B$12,1))&lt;ROUNDUP(Settings!$B$12*Settings!$B$26,0),NA(),STDEV(OFFSET(F924,1-Settings!$B$12,0,Settings!$B$12,1))*SQRT(Settings!$B$13)))</f>
        <v/>
      </c>
      <c r="J924" s="20">
        <f>IF(OR(NOT(ISNUMBER($A924)),ROW()-2&lt;Settings!$B$11),NA(),IF(COUNT(OFFSET(G924,1-Settings!$B$11,0,Settings!$B$11,1))&lt;ROUNDUP(Settings!$B$11*Settings!$B$26,0),NA(),STDEV(OFFSET(G924,1-Settings!$B$11,0,Settings!$B$11,1))*SQRT(Settings!$B$13)))</f>
        <v/>
      </c>
      <c r="K924" s="20">
        <f>IF(OR(NOT(ISNUMBER($A924)),ROW()-2&lt;Settings!$B$12),NA(),IF(COUNT(OFFSET(G924,1-Settings!$B$12,0,Settings!$B$12,1))&lt;ROUNDUP(Settings!$B$12*Settings!$B$26,0),NA(),STDEV(OFFSET(G924,1-Settings!$B$12,0,Settings!$B$12,1))*SQRT(Settings!$B$13)))</f>
        <v/>
      </c>
      <c r="L924" s="20">
        <f>IF(AND(ISNUMBER(D924),ISNUMBER(H924)),D924-H924,NA())</f>
        <v/>
      </c>
      <c r="M924" s="20">
        <f>IF(AND(ISNUMBER(E924),ISNUMBER(K924)),E924-K924,NA())</f>
        <v/>
      </c>
      <c r="N924" s="20">
        <f>IF(NOT(ISNUMBER($A924)),NA(),IF(COUNT(OFFSET(G924,1,0,Settings!$B$12,1))&lt;ROUNDUP(Settings!$B$12*Settings!$B$26,0),NA(),STDEV(OFFSET(G924,1,0,Settings!$B$12,1))*SQRT(Settings!$B$13)))</f>
        <v/>
      </c>
      <c r="O924" s="20">
        <f>IF(AND(ISNUMBER(E924),ISNUMBER(N924)),E924-N924,NA())</f>
        <v/>
      </c>
      <c r="P924" s="19">
        <f>IF(NOT(ISNUMBER($A924)),NA(),IF(OR($A924&lt;MIN(KW_TP!$A$2:$A$2501),$A924&gt;MAX(KW_TP!$A$2:$A$2501)),NA(),INDEX(KW_TP!$C$2:$C$2501,MATCH($A924,KW_TP!$A$2:$A$2501,1))))</f>
        <v/>
      </c>
      <c r="Q924" s="18">
        <f>IF(NOT(ISNUMBER($A924)),NA(),IFERROR(1*INDEX(BBG_Data!$J$2:$J$4000,MATCH($A924,BBG_Data!$I$2:$I$4000,0)),NA()))</f>
        <v/>
      </c>
      <c r="R924" s="18">
        <f>IF(NOT(ISNUMBER($A924)),NA(),IFERROR(1*INDEX(BBG_Data!$L$2:$L$4000,MATCH($A924,BBG_Data!$K$2:$K$4000,0)),NA()))</f>
        <v/>
      </c>
      <c r="S924" s="20">
        <f>IF(AND(ISNUMBER(B924),ISNUMBER(Q924),ISNUMBER(R924)),(B924-Q924-R924)*100,NA())</f>
        <v/>
      </c>
      <c r="T924" s="20">
        <f>IF(AND(ISNUMBER(B924),Settings!$B$17&gt;0),IF(ISNUMBER(INDEX($B:$B,Settings!$B$17)),(B924-INDEX($B:$B,Settings!$B$17))*100,NA()),NA())</f>
        <v/>
      </c>
      <c r="U924" s="20">
        <f>IF(AND(ISNUMBER(Q924),Settings!$B$17&gt;0),IF(ISNUMBER(INDEX($Q:$Q,Settings!$B$17)),(Q924-INDEX($Q:$Q,Settings!$B$17))*100,NA()),NA())</f>
        <v/>
      </c>
      <c r="V924" s="20">
        <f>IF(AND(ISNUMBER(R924),Settings!$B$17&gt;0),IF(ISNUMBER(INDEX($R:$R,Settings!$B$17)),(R924-INDEX($R:$R,Settings!$B$17))*100,NA()),NA())</f>
        <v/>
      </c>
      <c r="W924" s="20">
        <f>IF(AND(ISNUMBER(P924),Settings!$B$17&gt;0),IF(ISNUMBER(INDEX($P:$P,Settings!$B$17)),P924-INDEX($P:$P,Settings!$B$17),NA()),NA())</f>
        <v/>
      </c>
      <c r="X924" s="19">
        <f>IF(NOT(ISNUMBER($A924)),NA(),IF(OR($A924&lt;MIN(DKW_10Y!$A$2:$A$2918),$A924&gt;MAX(DKW_10Y!$A$2:$A$2918),Settings!$B$16&lt;MIN(DKW_10Y!$A$2:$A$2918)),NA(),(INDEX(DKW_10Y!$B$2:$B$2918,MATCH($A924,DKW_10Y!$A$2:$A$2918,1))-INDEX(DKW_10Y!$B$2:$B$2918,MATCH(Settings!$B$16,DKW_10Y!$A$2:$A$2918,1)))*100))</f>
        <v/>
      </c>
      <c r="Y924" s="19">
        <f>IF(NOT(ISNUMBER($A924)),NA(),IF(OR($A924&lt;MIN(DKW_10Y!$A$2:$A$2918),$A924&gt;MAX(DKW_10Y!$A$2:$A$2918),Settings!$B$16&lt;MIN(DKW_10Y!$A$2:$A$2918)),NA(),(INDEX(DKW_10Y!$C$2:$C$2918,MATCH($A924,DKW_10Y!$A$2:$A$2918,1))-INDEX(DKW_10Y!$C$2:$C$2918,MATCH(Settings!$B$16,DKW_10Y!$A$2:$A$2918,1)))*100))</f>
        <v/>
      </c>
      <c r="Z924" s="19">
        <f>IF(NOT(ISNUMBER($A924)),NA(),IF(OR($A924&lt;MIN(DKW_10Y!$A$2:$A$2918),$A924&gt;MAX(DKW_10Y!$A$2:$A$2918),Settings!$B$16&lt;MIN(DKW_10Y!$A$2:$A$2918)),NA(),(INDEX(DKW_10Y!$D$2:$D$2918,MATCH($A924,DKW_10Y!$A$2:$A$2918,1))-INDEX(DKW_10Y!$D$2:$D$2918,MATCH(Settings!$B$16,DKW_10Y!$A$2:$A$2918,1)))*100))</f>
        <v/>
      </c>
      <c r="AA924" s="19">
        <f>IF(NOT(ISNUMBER($A924)),NA(),IF(OR($A924&lt;MIN(DKW_10Y!$A$2:$A$2918),$A924&gt;MAX(DKW_10Y!$A$2:$A$2918),Settings!$B$16&lt;MIN(DKW_10Y!$A$2:$A$2918)),NA(),(INDEX(DKW_10Y!$E$2:$E$2918,MATCH($A924,DKW_10Y!$A$2:$A$2918,1))-INDEX(DKW_10Y!$E$2:$E$2918,MATCH(Settings!$B$16,DKW_10Y!$A$2:$A$2918,1)))*100))</f>
        <v/>
      </c>
      <c r="AB924" s="19">
        <f>IF(NOT(ISNUMBER($A924)),NA(),IF(OR($A924&lt;MIN(DKW_10Y!$A$2:$A$2918),$A924&gt;MAX(DKW_10Y!$A$2:$A$2918),Settings!$B$16&lt;MIN(DKW_10Y!$A$2:$A$2918)),NA(),(INDEX(DKW_10Y!$H$2:$H$2918,MATCH($A924,DKW_10Y!$A$2:$A$2918,1))-INDEX(DKW_10Y!$H$2:$H$2918,MATCH(Settings!$B$16,DKW_10Y!$A$2:$A$2918,1)))*100))</f>
        <v/>
      </c>
      <c r="AC924" s="18">
        <f>IF(NOT(ISNUMBER($A924)),NA(),IFERROR(1*INDEX(BBG_Data!$N$2:$N$4000,MATCH($A924,BBG_Data!$M$2:$M$4000,0)),NA()))</f>
        <v/>
      </c>
      <c r="AD924" s="18">
        <f>IF(NOT(ISNUMBER($A924)),NA(),IFERROR(1*INDEX(BBG_Data!$P$2:$P$4000,MATCH($A924,BBG_Data!$O$2:$O$4000,0)),NA()))</f>
        <v/>
      </c>
      <c r="AE924" s="18">
        <f>IF(NOT(ISNUMBER($A924)),NA(),IFERROR(1*INDEX(BBG_Data!$R$2:$R$4000,MATCH($A924,BBG_Data!$Q$2:$Q$4000,0)),NA()))</f>
        <v/>
      </c>
      <c r="AF924" s="20">
        <f>IF(AND(ISNUMBER(B924),ISNUMBER(AC924)),(B924-AC924)*100,NA())</f>
        <v/>
      </c>
      <c r="AG924" s="20">
        <f>IF(AND(ISNUMBER(AE924),ISNUMBER(AD924)),(AE924-AD924)*100,NA())</f>
        <v/>
      </c>
      <c r="AH924" s="19">
        <f>IF(NOT(ISNUMBER($A924)),NA(),IFERROR(INDEX(BBG_Data!$T$2:$T$4000,MATCH($A924,BBG_Data!$S$2:$S$4000,0))*Settings!$B$25,NA()))</f>
        <v/>
      </c>
      <c r="AI924" s="19">
        <f>IF(NOT(ISNUMBER($A924)),NA(),IFERROR(INDEX(BBG_Data!$V$2:$V$4000,MATCH($A924,BBG_Data!$U$2:$U$4000,0))*Settings!$B$25,NA()))</f>
        <v/>
      </c>
      <c r="AJ924" s="19">
        <f>IF(NOT(ISNUMBER($A924)),NA(),IFERROR(1*INDEX(BBG_Data!$X$2:$X$4000,MATCH($A924,BBG_Data!$W$2:$W$4000,0)),NA()))</f>
        <v/>
      </c>
      <c r="AK924" s="19">
        <f>IF(NOT(ISNUMBER($A924)),NA(),IFERROR(1*INDEX(BBG_Data!$Z$2:$Z$4000,MATCH($A924,BBG_Data!$Y$2:$Y$4000,0)),NA()))</f>
        <v/>
      </c>
    </row>
    <row r="925">
      <c r="A925" s="17">
        <f>IF(ISNUMBER(BBG_Data!A925),BBG_Data!A925,"")</f>
        <v/>
      </c>
      <c r="B925" s="18">
        <f>IF(AND(ISNUMBER($A925),ISNUMBER(BBG_Data!B925)),BBG_Data!B925,NA())</f>
        <v/>
      </c>
      <c r="C925" s="18">
        <f>IF(NOT(ISNUMBER($A925)),NA(),IFERROR(1*INDEX(BBG_Data!$D$2:$D$4000,MATCH($A925,BBG_Data!$C$2:$C$4000,0)),NA()))</f>
        <v/>
      </c>
      <c r="D925" s="19">
        <f>IF(NOT(ISNUMBER($A925)),NA(),IFERROR(1*INDEX(BBG_Data!$F$2:$F$4000,MATCH($A925,BBG_Data!$E$2:$E$4000,0)),NA()))</f>
        <v/>
      </c>
      <c r="E925" s="19">
        <f>IF(NOT(ISNUMBER($A925)),NA(),IFERROR(1*INDEX(BBG_Data!$H$2:$H$4000,MATCH($A925,BBG_Data!$G$2:$G$4000,0)),NA()))</f>
        <v/>
      </c>
      <c r="F925" s="20">
        <f>IF(AND(ISNUMBER(B925),ISNUMBER(B924)),IF(B925=B924,"",(B925-B924)*100),"")</f>
        <v/>
      </c>
      <c r="G925" s="20">
        <f>IF(AND(ISNUMBER(C925),ISNUMBER(C924)),IF(C925=C924,"",(C925-C924)*100),"")</f>
        <v/>
      </c>
      <c r="H925" s="20">
        <f>IF(OR(NOT(ISNUMBER($A925)),ROW()-2&lt;Settings!$B$11),NA(),IF(COUNT(OFFSET(F925,1-Settings!$B$11,0,Settings!$B$11,1))&lt;ROUNDUP(Settings!$B$11*Settings!$B$26,0),NA(),STDEV(OFFSET(F925,1-Settings!$B$11,0,Settings!$B$11,1))*SQRT(Settings!$B$13)))</f>
        <v/>
      </c>
      <c r="I925" s="20">
        <f>IF(OR(NOT(ISNUMBER($A925)),ROW()-2&lt;Settings!$B$12),NA(),IF(COUNT(OFFSET(F925,1-Settings!$B$12,0,Settings!$B$12,1))&lt;ROUNDUP(Settings!$B$12*Settings!$B$26,0),NA(),STDEV(OFFSET(F925,1-Settings!$B$12,0,Settings!$B$12,1))*SQRT(Settings!$B$13)))</f>
        <v/>
      </c>
      <c r="J925" s="20">
        <f>IF(OR(NOT(ISNUMBER($A925)),ROW()-2&lt;Settings!$B$11),NA(),IF(COUNT(OFFSET(G925,1-Settings!$B$11,0,Settings!$B$11,1))&lt;ROUNDUP(Settings!$B$11*Settings!$B$26,0),NA(),STDEV(OFFSET(G925,1-Settings!$B$11,0,Settings!$B$11,1))*SQRT(Settings!$B$13)))</f>
        <v/>
      </c>
      <c r="K925" s="20">
        <f>IF(OR(NOT(ISNUMBER($A925)),ROW()-2&lt;Settings!$B$12),NA(),IF(COUNT(OFFSET(G925,1-Settings!$B$12,0,Settings!$B$12,1))&lt;ROUNDUP(Settings!$B$12*Settings!$B$26,0),NA(),STDEV(OFFSET(G925,1-Settings!$B$12,0,Settings!$B$12,1))*SQRT(Settings!$B$13)))</f>
        <v/>
      </c>
      <c r="L925" s="20">
        <f>IF(AND(ISNUMBER(D925),ISNUMBER(H925)),D925-H925,NA())</f>
        <v/>
      </c>
      <c r="M925" s="20">
        <f>IF(AND(ISNUMBER(E925),ISNUMBER(K925)),E925-K925,NA())</f>
        <v/>
      </c>
      <c r="N925" s="20">
        <f>IF(NOT(ISNUMBER($A925)),NA(),IF(COUNT(OFFSET(G925,1,0,Settings!$B$12,1))&lt;ROUNDUP(Settings!$B$12*Settings!$B$26,0),NA(),STDEV(OFFSET(G925,1,0,Settings!$B$12,1))*SQRT(Settings!$B$13)))</f>
        <v/>
      </c>
      <c r="O925" s="20">
        <f>IF(AND(ISNUMBER(E925),ISNUMBER(N925)),E925-N925,NA())</f>
        <v/>
      </c>
      <c r="P925" s="19">
        <f>IF(NOT(ISNUMBER($A925)),NA(),IF(OR($A925&lt;MIN(KW_TP!$A$2:$A$2501),$A925&gt;MAX(KW_TP!$A$2:$A$2501)),NA(),INDEX(KW_TP!$C$2:$C$2501,MATCH($A925,KW_TP!$A$2:$A$2501,1))))</f>
        <v/>
      </c>
      <c r="Q925" s="18">
        <f>IF(NOT(ISNUMBER($A925)),NA(),IFERROR(1*INDEX(BBG_Data!$J$2:$J$4000,MATCH($A925,BBG_Data!$I$2:$I$4000,0)),NA()))</f>
        <v/>
      </c>
      <c r="R925" s="18">
        <f>IF(NOT(ISNUMBER($A925)),NA(),IFERROR(1*INDEX(BBG_Data!$L$2:$L$4000,MATCH($A925,BBG_Data!$K$2:$K$4000,0)),NA()))</f>
        <v/>
      </c>
      <c r="S925" s="20">
        <f>IF(AND(ISNUMBER(B925),ISNUMBER(Q925),ISNUMBER(R925)),(B925-Q925-R925)*100,NA())</f>
        <v/>
      </c>
      <c r="T925" s="20">
        <f>IF(AND(ISNUMBER(B925),Settings!$B$17&gt;0),IF(ISNUMBER(INDEX($B:$B,Settings!$B$17)),(B925-INDEX($B:$B,Settings!$B$17))*100,NA()),NA())</f>
        <v/>
      </c>
      <c r="U925" s="20">
        <f>IF(AND(ISNUMBER(Q925),Settings!$B$17&gt;0),IF(ISNUMBER(INDEX($Q:$Q,Settings!$B$17)),(Q925-INDEX($Q:$Q,Settings!$B$17))*100,NA()),NA())</f>
        <v/>
      </c>
      <c r="V925" s="20">
        <f>IF(AND(ISNUMBER(R925),Settings!$B$17&gt;0),IF(ISNUMBER(INDEX($R:$R,Settings!$B$17)),(R925-INDEX($R:$R,Settings!$B$17))*100,NA()),NA())</f>
        <v/>
      </c>
      <c r="W925" s="20">
        <f>IF(AND(ISNUMBER(P925),Settings!$B$17&gt;0),IF(ISNUMBER(INDEX($P:$P,Settings!$B$17)),P925-INDEX($P:$P,Settings!$B$17),NA()),NA())</f>
        <v/>
      </c>
      <c r="X925" s="19">
        <f>IF(NOT(ISNUMBER($A925)),NA(),IF(OR($A925&lt;MIN(DKW_10Y!$A$2:$A$2918),$A925&gt;MAX(DKW_10Y!$A$2:$A$2918),Settings!$B$16&lt;MIN(DKW_10Y!$A$2:$A$2918)),NA(),(INDEX(DKW_10Y!$B$2:$B$2918,MATCH($A925,DKW_10Y!$A$2:$A$2918,1))-INDEX(DKW_10Y!$B$2:$B$2918,MATCH(Settings!$B$16,DKW_10Y!$A$2:$A$2918,1)))*100))</f>
        <v/>
      </c>
      <c r="Y925" s="19">
        <f>IF(NOT(ISNUMBER($A925)),NA(),IF(OR($A925&lt;MIN(DKW_10Y!$A$2:$A$2918),$A925&gt;MAX(DKW_10Y!$A$2:$A$2918),Settings!$B$16&lt;MIN(DKW_10Y!$A$2:$A$2918)),NA(),(INDEX(DKW_10Y!$C$2:$C$2918,MATCH($A925,DKW_10Y!$A$2:$A$2918,1))-INDEX(DKW_10Y!$C$2:$C$2918,MATCH(Settings!$B$16,DKW_10Y!$A$2:$A$2918,1)))*100))</f>
        <v/>
      </c>
      <c r="Z925" s="19">
        <f>IF(NOT(ISNUMBER($A925)),NA(),IF(OR($A925&lt;MIN(DKW_10Y!$A$2:$A$2918),$A925&gt;MAX(DKW_10Y!$A$2:$A$2918),Settings!$B$16&lt;MIN(DKW_10Y!$A$2:$A$2918)),NA(),(INDEX(DKW_10Y!$D$2:$D$2918,MATCH($A925,DKW_10Y!$A$2:$A$2918,1))-INDEX(DKW_10Y!$D$2:$D$2918,MATCH(Settings!$B$16,DKW_10Y!$A$2:$A$2918,1)))*100))</f>
        <v/>
      </c>
      <c r="AA925" s="19">
        <f>IF(NOT(ISNUMBER($A925)),NA(),IF(OR($A925&lt;MIN(DKW_10Y!$A$2:$A$2918),$A925&gt;MAX(DKW_10Y!$A$2:$A$2918),Settings!$B$16&lt;MIN(DKW_10Y!$A$2:$A$2918)),NA(),(INDEX(DKW_10Y!$E$2:$E$2918,MATCH($A925,DKW_10Y!$A$2:$A$2918,1))-INDEX(DKW_10Y!$E$2:$E$2918,MATCH(Settings!$B$16,DKW_10Y!$A$2:$A$2918,1)))*100))</f>
        <v/>
      </c>
      <c r="AB925" s="19">
        <f>IF(NOT(ISNUMBER($A925)),NA(),IF(OR($A925&lt;MIN(DKW_10Y!$A$2:$A$2918),$A925&gt;MAX(DKW_10Y!$A$2:$A$2918),Settings!$B$16&lt;MIN(DKW_10Y!$A$2:$A$2918)),NA(),(INDEX(DKW_10Y!$H$2:$H$2918,MATCH($A925,DKW_10Y!$A$2:$A$2918,1))-INDEX(DKW_10Y!$H$2:$H$2918,MATCH(Settings!$B$16,DKW_10Y!$A$2:$A$2918,1)))*100))</f>
        <v/>
      </c>
      <c r="AC925" s="18">
        <f>IF(NOT(ISNUMBER($A925)),NA(),IFERROR(1*INDEX(BBG_Data!$N$2:$N$4000,MATCH($A925,BBG_Data!$M$2:$M$4000,0)),NA()))</f>
        <v/>
      </c>
      <c r="AD925" s="18">
        <f>IF(NOT(ISNUMBER($A925)),NA(),IFERROR(1*INDEX(BBG_Data!$P$2:$P$4000,MATCH($A925,BBG_Data!$O$2:$O$4000,0)),NA()))</f>
        <v/>
      </c>
      <c r="AE925" s="18">
        <f>IF(NOT(ISNUMBER($A925)),NA(),IFERROR(1*INDEX(BBG_Data!$R$2:$R$4000,MATCH($A925,BBG_Data!$Q$2:$Q$4000,0)),NA()))</f>
        <v/>
      </c>
      <c r="AF925" s="20">
        <f>IF(AND(ISNUMBER(B925),ISNUMBER(AC925)),(B925-AC925)*100,NA())</f>
        <v/>
      </c>
      <c r="AG925" s="20">
        <f>IF(AND(ISNUMBER(AE925),ISNUMBER(AD925)),(AE925-AD925)*100,NA())</f>
        <v/>
      </c>
      <c r="AH925" s="19">
        <f>IF(NOT(ISNUMBER($A925)),NA(),IFERROR(INDEX(BBG_Data!$T$2:$T$4000,MATCH($A925,BBG_Data!$S$2:$S$4000,0))*Settings!$B$25,NA()))</f>
        <v/>
      </c>
      <c r="AI925" s="19">
        <f>IF(NOT(ISNUMBER($A925)),NA(),IFERROR(INDEX(BBG_Data!$V$2:$V$4000,MATCH($A925,BBG_Data!$U$2:$U$4000,0))*Settings!$B$25,NA()))</f>
        <v/>
      </c>
      <c r="AJ925" s="19">
        <f>IF(NOT(ISNUMBER($A925)),NA(),IFERROR(1*INDEX(BBG_Data!$X$2:$X$4000,MATCH($A925,BBG_Data!$W$2:$W$4000,0)),NA()))</f>
        <v/>
      </c>
      <c r="AK925" s="19">
        <f>IF(NOT(ISNUMBER($A925)),NA(),IFERROR(1*INDEX(BBG_Data!$Z$2:$Z$4000,MATCH($A925,BBG_Data!$Y$2:$Y$4000,0)),NA()))</f>
        <v/>
      </c>
    </row>
    <row r="926">
      <c r="A926" s="17">
        <f>IF(ISNUMBER(BBG_Data!A926),BBG_Data!A926,"")</f>
        <v/>
      </c>
      <c r="B926" s="18">
        <f>IF(AND(ISNUMBER($A926),ISNUMBER(BBG_Data!B926)),BBG_Data!B926,NA())</f>
        <v/>
      </c>
      <c r="C926" s="18">
        <f>IF(NOT(ISNUMBER($A926)),NA(),IFERROR(1*INDEX(BBG_Data!$D$2:$D$4000,MATCH($A926,BBG_Data!$C$2:$C$4000,0)),NA()))</f>
        <v/>
      </c>
      <c r="D926" s="19">
        <f>IF(NOT(ISNUMBER($A926)),NA(),IFERROR(1*INDEX(BBG_Data!$F$2:$F$4000,MATCH($A926,BBG_Data!$E$2:$E$4000,0)),NA()))</f>
        <v/>
      </c>
      <c r="E926" s="19">
        <f>IF(NOT(ISNUMBER($A926)),NA(),IFERROR(1*INDEX(BBG_Data!$H$2:$H$4000,MATCH($A926,BBG_Data!$G$2:$G$4000,0)),NA()))</f>
        <v/>
      </c>
      <c r="F926" s="20">
        <f>IF(AND(ISNUMBER(B926),ISNUMBER(B925)),IF(B926=B925,"",(B926-B925)*100),"")</f>
        <v/>
      </c>
      <c r="G926" s="20">
        <f>IF(AND(ISNUMBER(C926),ISNUMBER(C925)),IF(C926=C925,"",(C926-C925)*100),"")</f>
        <v/>
      </c>
      <c r="H926" s="20">
        <f>IF(OR(NOT(ISNUMBER($A926)),ROW()-2&lt;Settings!$B$11),NA(),IF(COUNT(OFFSET(F926,1-Settings!$B$11,0,Settings!$B$11,1))&lt;ROUNDUP(Settings!$B$11*Settings!$B$26,0),NA(),STDEV(OFFSET(F926,1-Settings!$B$11,0,Settings!$B$11,1))*SQRT(Settings!$B$13)))</f>
        <v/>
      </c>
      <c r="I926" s="20">
        <f>IF(OR(NOT(ISNUMBER($A926)),ROW()-2&lt;Settings!$B$12),NA(),IF(COUNT(OFFSET(F926,1-Settings!$B$12,0,Settings!$B$12,1))&lt;ROUNDUP(Settings!$B$12*Settings!$B$26,0),NA(),STDEV(OFFSET(F926,1-Settings!$B$12,0,Settings!$B$12,1))*SQRT(Settings!$B$13)))</f>
        <v/>
      </c>
      <c r="J926" s="20">
        <f>IF(OR(NOT(ISNUMBER($A926)),ROW()-2&lt;Settings!$B$11),NA(),IF(COUNT(OFFSET(G926,1-Settings!$B$11,0,Settings!$B$11,1))&lt;ROUNDUP(Settings!$B$11*Settings!$B$26,0),NA(),STDEV(OFFSET(G926,1-Settings!$B$11,0,Settings!$B$11,1))*SQRT(Settings!$B$13)))</f>
        <v/>
      </c>
      <c r="K926" s="20">
        <f>IF(OR(NOT(ISNUMBER($A926)),ROW()-2&lt;Settings!$B$12),NA(),IF(COUNT(OFFSET(G926,1-Settings!$B$12,0,Settings!$B$12,1))&lt;ROUNDUP(Settings!$B$12*Settings!$B$26,0),NA(),STDEV(OFFSET(G926,1-Settings!$B$12,0,Settings!$B$12,1))*SQRT(Settings!$B$13)))</f>
        <v/>
      </c>
      <c r="L926" s="20">
        <f>IF(AND(ISNUMBER(D926),ISNUMBER(H926)),D926-H926,NA())</f>
        <v/>
      </c>
      <c r="M926" s="20">
        <f>IF(AND(ISNUMBER(E926),ISNUMBER(K926)),E926-K926,NA())</f>
        <v/>
      </c>
      <c r="N926" s="20">
        <f>IF(NOT(ISNUMBER($A926)),NA(),IF(COUNT(OFFSET(G926,1,0,Settings!$B$12,1))&lt;ROUNDUP(Settings!$B$12*Settings!$B$26,0),NA(),STDEV(OFFSET(G926,1,0,Settings!$B$12,1))*SQRT(Settings!$B$13)))</f>
        <v/>
      </c>
      <c r="O926" s="20">
        <f>IF(AND(ISNUMBER(E926),ISNUMBER(N926)),E926-N926,NA())</f>
        <v/>
      </c>
      <c r="P926" s="19">
        <f>IF(NOT(ISNUMBER($A926)),NA(),IF(OR($A926&lt;MIN(KW_TP!$A$2:$A$2501),$A926&gt;MAX(KW_TP!$A$2:$A$2501)),NA(),INDEX(KW_TP!$C$2:$C$2501,MATCH($A926,KW_TP!$A$2:$A$2501,1))))</f>
        <v/>
      </c>
      <c r="Q926" s="18">
        <f>IF(NOT(ISNUMBER($A926)),NA(),IFERROR(1*INDEX(BBG_Data!$J$2:$J$4000,MATCH($A926,BBG_Data!$I$2:$I$4000,0)),NA()))</f>
        <v/>
      </c>
      <c r="R926" s="18">
        <f>IF(NOT(ISNUMBER($A926)),NA(),IFERROR(1*INDEX(BBG_Data!$L$2:$L$4000,MATCH($A926,BBG_Data!$K$2:$K$4000,0)),NA()))</f>
        <v/>
      </c>
      <c r="S926" s="20">
        <f>IF(AND(ISNUMBER(B926),ISNUMBER(Q926),ISNUMBER(R926)),(B926-Q926-R926)*100,NA())</f>
        <v/>
      </c>
      <c r="T926" s="20">
        <f>IF(AND(ISNUMBER(B926),Settings!$B$17&gt;0),IF(ISNUMBER(INDEX($B:$B,Settings!$B$17)),(B926-INDEX($B:$B,Settings!$B$17))*100,NA()),NA())</f>
        <v/>
      </c>
      <c r="U926" s="20">
        <f>IF(AND(ISNUMBER(Q926),Settings!$B$17&gt;0),IF(ISNUMBER(INDEX($Q:$Q,Settings!$B$17)),(Q926-INDEX($Q:$Q,Settings!$B$17))*100,NA()),NA())</f>
        <v/>
      </c>
      <c r="V926" s="20">
        <f>IF(AND(ISNUMBER(R926),Settings!$B$17&gt;0),IF(ISNUMBER(INDEX($R:$R,Settings!$B$17)),(R926-INDEX($R:$R,Settings!$B$17))*100,NA()),NA())</f>
        <v/>
      </c>
      <c r="W926" s="20">
        <f>IF(AND(ISNUMBER(P926),Settings!$B$17&gt;0),IF(ISNUMBER(INDEX($P:$P,Settings!$B$17)),P926-INDEX($P:$P,Settings!$B$17),NA()),NA())</f>
        <v/>
      </c>
      <c r="X926" s="19">
        <f>IF(NOT(ISNUMBER($A926)),NA(),IF(OR($A926&lt;MIN(DKW_10Y!$A$2:$A$2918),$A926&gt;MAX(DKW_10Y!$A$2:$A$2918),Settings!$B$16&lt;MIN(DKW_10Y!$A$2:$A$2918)),NA(),(INDEX(DKW_10Y!$B$2:$B$2918,MATCH($A926,DKW_10Y!$A$2:$A$2918,1))-INDEX(DKW_10Y!$B$2:$B$2918,MATCH(Settings!$B$16,DKW_10Y!$A$2:$A$2918,1)))*100))</f>
        <v/>
      </c>
      <c r="Y926" s="19">
        <f>IF(NOT(ISNUMBER($A926)),NA(),IF(OR($A926&lt;MIN(DKW_10Y!$A$2:$A$2918),$A926&gt;MAX(DKW_10Y!$A$2:$A$2918),Settings!$B$16&lt;MIN(DKW_10Y!$A$2:$A$2918)),NA(),(INDEX(DKW_10Y!$C$2:$C$2918,MATCH($A926,DKW_10Y!$A$2:$A$2918,1))-INDEX(DKW_10Y!$C$2:$C$2918,MATCH(Settings!$B$16,DKW_10Y!$A$2:$A$2918,1)))*100))</f>
        <v/>
      </c>
      <c r="Z926" s="19">
        <f>IF(NOT(ISNUMBER($A926)),NA(),IF(OR($A926&lt;MIN(DKW_10Y!$A$2:$A$2918),$A926&gt;MAX(DKW_10Y!$A$2:$A$2918),Settings!$B$16&lt;MIN(DKW_10Y!$A$2:$A$2918)),NA(),(INDEX(DKW_10Y!$D$2:$D$2918,MATCH($A926,DKW_10Y!$A$2:$A$2918,1))-INDEX(DKW_10Y!$D$2:$D$2918,MATCH(Settings!$B$16,DKW_10Y!$A$2:$A$2918,1)))*100))</f>
        <v/>
      </c>
      <c r="AA926" s="19">
        <f>IF(NOT(ISNUMBER($A926)),NA(),IF(OR($A926&lt;MIN(DKW_10Y!$A$2:$A$2918),$A926&gt;MAX(DKW_10Y!$A$2:$A$2918),Settings!$B$16&lt;MIN(DKW_10Y!$A$2:$A$2918)),NA(),(INDEX(DKW_10Y!$E$2:$E$2918,MATCH($A926,DKW_10Y!$A$2:$A$2918,1))-INDEX(DKW_10Y!$E$2:$E$2918,MATCH(Settings!$B$16,DKW_10Y!$A$2:$A$2918,1)))*100))</f>
        <v/>
      </c>
      <c r="AB926" s="19">
        <f>IF(NOT(ISNUMBER($A926)),NA(),IF(OR($A926&lt;MIN(DKW_10Y!$A$2:$A$2918),$A926&gt;MAX(DKW_10Y!$A$2:$A$2918),Settings!$B$16&lt;MIN(DKW_10Y!$A$2:$A$2918)),NA(),(INDEX(DKW_10Y!$H$2:$H$2918,MATCH($A926,DKW_10Y!$A$2:$A$2918,1))-INDEX(DKW_10Y!$H$2:$H$2918,MATCH(Settings!$B$16,DKW_10Y!$A$2:$A$2918,1)))*100))</f>
        <v/>
      </c>
      <c r="AC926" s="18">
        <f>IF(NOT(ISNUMBER($A926)),NA(),IFERROR(1*INDEX(BBG_Data!$N$2:$N$4000,MATCH($A926,BBG_Data!$M$2:$M$4000,0)),NA()))</f>
        <v/>
      </c>
      <c r="AD926" s="18">
        <f>IF(NOT(ISNUMBER($A926)),NA(),IFERROR(1*INDEX(BBG_Data!$P$2:$P$4000,MATCH($A926,BBG_Data!$O$2:$O$4000,0)),NA()))</f>
        <v/>
      </c>
      <c r="AE926" s="18">
        <f>IF(NOT(ISNUMBER($A926)),NA(),IFERROR(1*INDEX(BBG_Data!$R$2:$R$4000,MATCH($A926,BBG_Data!$Q$2:$Q$4000,0)),NA()))</f>
        <v/>
      </c>
      <c r="AF926" s="20">
        <f>IF(AND(ISNUMBER(B926),ISNUMBER(AC926)),(B926-AC926)*100,NA())</f>
        <v/>
      </c>
      <c r="AG926" s="20">
        <f>IF(AND(ISNUMBER(AE926),ISNUMBER(AD926)),(AE926-AD926)*100,NA())</f>
        <v/>
      </c>
      <c r="AH926" s="19">
        <f>IF(NOT(ISNUMBER($A926)),NA(),IFERROR(INDEX(BBG_Data!$T$2:$T$4000,MATCH($A926,BBG_Data!$S$2:$S$4000,0))*Settings!$B$25,NA()))</f>
        <v/>
      </c>
      <c r="AI926" s="19">
        <f>IF(NOT(ISNUMBER($A926)),NA(),IFERROR(INDEX(BBG_Data!$V$2:$V$4000,MATCH($A926,BBG_Data!$U$2:$U$4000,0))*Settings!$B$25,NA()))</f>
        <v/>
      </c>
      <c r="AJ926" s="19">
        <f>IF(NOT(ISNUMBER($A926)),NA(),IFERROR(1*INDEX(BBG_Data!$X$2:$X$4000,MATCH($A926,BBG_Data!$W$2:$W$4000,0)),NA()))</f>
        <v/>
      </c>
      <c r="AK926" s="19">
        <f>IF(NOT(ISNUMBER($A926)),NA(),IFERROR(1*INDEX(BBG_Data!$Z$2:$Z$4000,MATCH($A926,BBG_Data!$Y$2:$Y$4000,0)),NA()))</f>
        <v/>
      </c>
    </row>
    <row r="927">
      <c r="A927" s="17">
        <f>IF(ISNUMBER(BBG_Data!A927),BBG_Data!A927,"")</f>
        <v/>
      </c>
      <c r="B927" s="18">
        <f>IF(AND(ISNUMBER($A927),ISNUMBER(BBG_Data!B927)),BBG_Data!B927,NA())</f>
        <v/>
      </c>
      <c r="C927" s="18">
        <f>IF(NOT(ISNUMBER($A927)),NA(),IFERROR(1*INDEX(BBG_Data!$D$2:$D$4000,MATCH($A927,BBG_Data!$C$2:$C$4000,0)),NA()))</f>
        <v/>
      </c>
      <c r="D927" s="19">
        <f>IF(NOT(ISNUMBER($A927)),NA(),IFERROR(1*INDEX(BBG_Data!$F$2:$F$4000,MATCH($A927,BBG_Data!$E$2:$E$4000,0)),NA()))</f>
        <v/>
      </c>
      <c r="E927" s="19">
        <f>IF(NOT(ISNUMBER($A927)),NA(),IFERROR(1*INDEX(BBG_Data!$H$2:$H$4000,MATCH($A927,BBG_Data!$G$2:$G$4000,0)),NA()))</f>
        <v/>
      </c>
      <c r="F927" s="20">
        <f>IF(AND(ISNUMBER(B927),ISNUMBER(B926)),IF(B927=B926,"",(B927-B926)*100),"")</f>
        <v/>
      </c>
      <c r="G927" s="20">
        <f>IF(AND(ISNUMBER(C927),ISNUMBER(C926)),IF(C927=C926,"",(C927-C926)*100),"")</f>
        <v/>
      </c>
      <c r="H927" s="20">
        <f>IF(OR(NOT(ISNUMBER($A927)),ROW()-2&lt;Settings!$B$11),NA(),IF(COUNT(OFFSET(F927,1-Settings!$B$11,0,Settings!$B$11,1))&lt;ROUNDUP(Settings!$B$11*Settings!$B$26,0),NA(),STDEV(OFFSET(F927,1-Settings!$B$11,0,Settings!$B$11,1))*SQRT(Settings!$B$13)))</f>
        <v/>
      </c>
      <c r="I927" s="20">
        <f>IF(OR(NOT(ISNUMBER($A927)),ROW()-2&lt;Settings!$B$12),NA(),IF(COUNT(OFFSET(F927,1-Settings!$B$12,0,Settings!$B$12,1))&lt;ROUNDUP(Settings!$B$12*Settings!$B$26,0),NA(),STDEV(OFFSET(F927,1-Settings!$B$12,0,Settings!$B$12,1))*SQRT(Settings!$B$13)))</f>
        <v/>
      </c>
      <c r="J927" s="20">
        <f>IF(OR(NOT(ISNUMBER($A927)),ROW()-2&lt;Settings!$B$11),NA(),IF(COUNT(OFFSET(G927,1-Settings!$B$11,0,Settings!$B$11,1))&lt;ROUNDUP(Settings!$B$11*Settings!$B$26,0),NA(),STDEV(OFFSET(G927,1-Settings!$B$11,0,Settings!$B$11,1))*SQRT(Settings!$B$13)))</f>
        <v/>
      </c>
      <c r="K927" s="20">
        <f>IF(OR(NOT(ISNUMBER($A927)),ROW()-2&lt;Settings!$B$12),NA(),IF(COUNT(OFFSET(G927,1-Settings!$B$12,0,Settings!$B$12,1))&lt;ROUNDUP(Settings!$B$12*Settings!$B$26,0),NA(),STDEV(OFFSET(G927,1-Settings!$B$12,0,Settings!$B$12,1))*SQRT(Settings!$B$13)))</f>
        <v/>
      </c>
      <c r="L927" s="20">
        <f>IF(AND(ISNUMBER(D927),ISNUMBER(H927)),D927-H927,NA())</f>
        <v/>
      </c>
      <c r="M927" s="20">
        <f>IF(AND(ISNUMBER(E927),ISNUMBER(K927)),E927-K927,NA())</f>
        <v/>
      </c>
      <c r="N927" s="20">
        <f>IF(NOT(ISNUMBER($A927)),NA(),IF(COUNT(OFFSET(G927,1,0,Settings!$B$12,1))&lt;ROUNDUP(Settings!$B$12*Settings!$B$26,0),NA(),STDEV(OFFSET(G927,1,0,Settings!$B$12,1))*SQRT(Settings!$B$13)))</f>
        <v/>
      </c>
      <c r="O927" s="20">
        <f>IF(AND(ISNUMBER(E927),ISNUMBER(N927)),E927-N927,NA())</f>
        <v/>
      </c>
      <c r="P927" s="19">
        <f>IF(NOT(ISNUMBER($A927)),NA(),IF(OR($A927&lt;MIN(KW_TP!$A$2:$A$2501),$A927&gt;MAX(KW_TP!$A$2:$A$2501)),NA(),INDEX(KW_TP!$C$2:$C$2501,MATCH($A927,KW_TP!$A$2:$A$2501,1))))</f>
        <v/>
      </c>
      <c r="Q927" s="18">
        <f>IF(NOT(ISNUMBER($A927)),NA(),IFERROR(1*INDEX(BBG_Data!$J$2:$J$4000,MATCH($A927,BBG_Data!$I$2:$I$4000,0)),NA()))</f>
        <v/>
      </c>
      <c r="R927" s="18">
        <f>IF(NOT(ISNUMBER($A927)),NA(),IFERROR(1*INDEX(BBG_Data!$L$2:$L$4000,MATCH($A927,BBG_Data!$K$2:$K$4000,0)),NA()))</f>
        <v/>
      </c>
      <c r="S927" s="20">
        <f>IF(AND(ISNUMBER(B927),ISNUMBER(Q927),ISNUMBER(R927)),(B927-Q927-R927)*100,NA())</f>
        <v/>
      </c>
      <c r="T927" s="20">
        <f>IF(AND(ISNUMBER(B927),Settings!$B$17&gt;0),IF(ISNUMBER(INDEX($B:$B,Settings!$B$17)),(B927-INDEX($B:$B,Settings!$B$17))*100,NA()),NA())</f>
        <v/>
      </c>
      <c r="U927" s="20">
        <f>IF(AND(ISNUMBER(Q927),Settings!$B$17&gt;0),IF(ISNUMBER(INDEX($Q:$Q,Settings!$B$17)),(Q927-INDEX($Q:$Q,Settings!$B$17))*100,NA()),NA())</f>
        <v/>
      </c>
      <c r="V927" s="20">
        <f>IF(AND(ISNUMBER(R927),Settings!$B$17&gt;0),IF(ISNUMBER(INDEX($R:$R,Settings!$B$17)),(R927-INDEX($R:$R,Settings!$B$17))*100,NA()),NA())</f>
        <v/>
      </c>
      <c r="W927" s="20">
        <f>IF(AND(ISNUMBER(P927),Settings!$B$17&gt;0),IF(ISNUMBER(INDEX($P:$P,Settings!$B$17)),P927-INDEX($P:$P,Settings!$B$17),NA()),NA())</f>
        <v/>
      </c>
      <c r="X927" s="19">
        <f>IF(NOT(ISNUMBER($A927)),NA(),IF(OR($A927&lt;MIN(DKW_10Y!$A$2:$A$2918),$A927&gt;MAX(DKW_10Y!$A$2:$A$2918),Settings!$B$16&lt;MIN(DKW_10Y!$A$2:$A$2918)),NA(),(INDEX(DKW_10Y!$B$2:$B$2918,MATCH($A927,DKW_10Y!$A$2:$A$2918,1))-INDEX(DKW_10Y!$B$2:$B$2918,MATCH(Settings!$B$16,DKW_10Y!$A$2:$A$2918,1)))*100))</f>
        <v/>
      </c>
      <c r="Y927" s="19">
        <f>IF(NOT(ISNUMBER($A927)),NA(),IF(OR($A927&lt;MIN(DKW_10Y!$A$2:$A$2918),$A927&gt;MAX(DKW_10Y!$A$2:$A$2918),Settings!$B$16&lt;MIN(DKW_10Y!$A$2:$A$2918)),NA(),(INDEX(DKW_10Y!$C$2:$C$2918,MATCH($A927,DKW_10Y!$A$2:$A$2918,1))-INDEX(DKW_10Y!$C$2:$C$2918,MATCH(Settings!$B$16,DKW_10Y!$A$2:$A$2918,1)))*100))</f>
        <v/>
      </c>
      <c r="Z927" s="19">
        <f>IF(NOT(ISNUMBER($A927)),NA(),IF(OR($A927&lt;MIN(DKW_10Y!$A$2:$A$2918),$A927&gt;MAX(DKW_10Y!$A$2:$A$2918),Settings!$B$16&lt;MIN(DKW_10Y!$A$2:$A$2918)),NA(),(INDEX(DKW_10Y!$D$2:$D$2918,MATCH($A927,DKW_10Y!$A$2:$A$2918,1))-INDEX(DKW_10Y!$D$2:$D$2918,MATCH(Settings!$B$16,DKW_10Y!$A$2:$A$2918,1)))*100))</f>
        <v/>
      </c>
      <c r="AA927" s="19">
        <f>IF(NOT(ISNUMBER($A927)),NA(),IF(OR($A927&lt;MIN(DKW_10Y!$A$2:$A$2918),$A927&gt;MAX(DKW_10Y!$A$2:$A$2918),Settings!$B$16&lt;MIN(DKW_10Y!$A$2:$A$2918)),NA(),(INDEX(DKW_10Y!$E$2:$E$2918,MATCH($A927,DKW_10Y!$A$2:$A$2918,1))-INDEX(DKW_10Y!$E$2:$E$2918,MATCH(Settings!$B$16,DKW_10Y!$A$2:$A$2918,1)))*100))</f>
        <v/>
      </c>
      <c r="AB927" s="19">
        <f>IF(NOT(ISNUMBER($A927)),NA(),IF(OR($A927&lt;MIN(DKW_10Y!$A$2:$A$2918),$A927&gt;MAX(DKW_10Y!$A$2:$A$2918),Settings!$B$16&lt;MIN(DKW_10Y!$A$2:$A$2918)),NA(),(INDEX(DKW_10Y!$H$2:$H$2918,MATCH($A927,DKW_10Y!$A$2:$A$2918,1))-INDEX(DKW_10Y!$H$2:$H$2918,MATCH(Settings!$B$16,DKW_10Y!$A$2:$A$2918,1)))*100))</f>
        <v/>
      </c>
      <c r="AC927" s="18">
        <f>IF(NOT(ISNUMBER($A927)),NA(),IFERROR(1*INDEX(BBG_Data!$N$2:$N$4000,MATCH($A927,BBG_Data!$M$2:$M$4000,0)),NA()))</f>
        <v/>
      </c>
      <c r="AD927" s="18">
        <f>IF(NOT(ISNUMBER($A927)),NA(),IFERROR(1*INDEX(BBG_Data!$P$2:$P$4000,MATCH($A927,BBG_Data!$O$2:$O$4000,0)),NA()))</f>
        <v/>
      </c>
      <c r="AE927" s="18">
        <f>IF(NOT(ISNUMBER($A927)),NA(),IFERROR(1*INDEX(BBG_Data!$R$2:$R$4000,MATCH($A927,BBG_Data!$Q$2:$Q$4000,0)),NA()))</f>
        <v/>
      </c>
      <c r="AF927" s="20">
        <f>IF(AND(ISNUMBER(B927),ISNUMBER(AC927)),(B927-AC927)*100,NA())</f>
        <v/>
      </c>
      <c r="AG927" s="20">
        <f>IF(AND(ISNUMBER(AE927),ISNUMBER(AD927)),(AE927-AD927)*100,NA())</f>
        <v/>
      </c>
      <c r="AH927" s="19">
        <f>IF(NOT(ISNUMBER($A927)),NA(),IFERROR(INDEX(BBG_Data!$T$2:$T$4000,MATCH($A927,BBG_Data!$S$2:$S$4000,0))*Settings!$B$25,NA()))</f>
        <v/>
      </c>
      <c r="AI927" s="19">
        <f>IF(NOT(ISNUMBER($A927)),NA(),IFERROR(INDEX(BBG_Data!$V$2:$V$4000,MATCH($A927,BBG_Data!$U$2:$U$4000,0))*Settings!$B$25,NA()))</f>
        <v/>
      </c>
      <c r="AJ927" s="19">
        <f>IF(NOT(ISNUMBER($A927)),NA(),IFERROR(1*INDEX(BBG_Data!$X$2:$X$4000,MATCH($A927,BBG_Data!$W$2:$W$4000,0)),NA()))</f>
        <v/>
      </c>
      <c r="AK927" s="19">
        <f>IF(NOT(ISNUMBER($A927)),NA(),IFERROR(1*INDEX(BBG_Data!$Z$2:$Z$4000,MATCH($A927,BBG_Data!$Y$2:$Y$4000,0)),NA()))</f>
        <v/>
      </c>
    </row>
    <row r="928">
      <c r="A928" s="17">
        <f>IF(ISNUMBER(BBG_Data!A928),BBG_Data!A928,"")</f>
        <v/>
      </c>
      <c r="B928" s="18">
        <f>IF(AND(ISNUMBER($A928),ISNUMBER(BBG_Data!B928)),BBG_Data!B928,NA())</f>
        <v/>
      </c>
      <c r="C928" s="18">
        <f>IF(NOT(ISNUMBER($A928)),NA(),IFERROR(1*INDEX(BBG_Data!$D$2:$D$4000,MATCH($A928,BBG_Data!$C$2:$C$4000,0)),NA()))</f>
        <v/>
      </c>
      <c r="D928" s="19">
        <f>IF(NOT(ISNUMBER($A928)),NA(),IFERROR(1*INDEX(BBG_Data!$F$2:$F$4000,MATCH($A928,BBG_Data!$E$2:$E$4000,0)),NA()))</f>
        <v/>
      </c>
      <c r="E928" s="19">
        <f>IF(NOT(ISNUMBER($A928)),NA(),IFERROR(1*INDEX(BBG_Data!$H$2:$H$4000,MATCH($A928,BBG_Data!$G$2:$G$4000,0)),NA()))</f>
        <v/>
      </c>
      <c r="F928" s="20">
        <f>IF(AND(ISNUMBER(B928),ISNUMBER(B927)),IF(B928=B927,"",(B928-B927)*100),"")</f>
        <v/>
      </c>
      <c r="G928" s="20">
        <f>IF(AND(ISNUMBER(C928),ISNUMBER(C927)),IF(C928=C927,"",(C928-C927)*100),"")</f>
        <v/>
      </c>
      <c r="H928" s="20">
        <f>IF(OR(NOT(ISNUMBER($A928)),ROW()-2&lt;Settings!$B$11),NA(),IF(COUNT(OFFSET(F928,1-Settings!$B$11,0,Settings!$B$11,1))&lt;ROUNDUP(Settings!$B$11*Settings!$B$26,0),NA(),STDEV(OFFSET(F928,1-Settings!$B$11,0,Settings!$B$11,1))*SQRT(Settings!$B$13)))</f>
        <v/>
      </c>
      <c r="I928" s="20">
        <f>IF(OR(NOT(ISNUMBER($A928)),ROW()-2&lt;Settings!$B$12),NA(),IF(COUNT(OFFSET(F928,1-Settings!$B$12,0,Settings!$B$12,1))&lt;ROUNDUP(Settings!$B$12*Settings!$B$26,0),NA(),STDEV(OFFSET(F928,1-Settings!$B$12,0,Settings!$B$12,1))*SQRT(Settings!$B$13)))</f>
        <v/>
      </c>
      <c r="J928" s="20">
        <f>IF(OR(NOT(ISNUMBER($A928)),ROW()-2&lt;Settings!$B$11),NA(),IF(COUNT(OFFSET(G928,1-Settings!$B$11,0,Settings!$B$11,1))&lt;ROUNDUP(Settings!$B$11*Settings!$B$26,0),NA(),STDEV(OFFSET(G928,1-Settings!$B$11,0,Settings!$B$11,1))*SQRT(Settings!$B$13)))</f>
        <v/>
      </c>
      <c r="K928" s="20">
        <f>IF(OR(NOT(ISNUMBER($A928)),ROW()-2&lt;Settings!$B$12),NA(),IF(COUNT(OFFSET(G928,1-Settings!$B$12,0,Settings!$B$12,1))&lt;ROUNDUP(Settings!$B$12*Settings!$B$26,0),NA(),STDEV(OFFSET(G928,1-Settings!$B$12,0,Settings!$B$12,1))*SQRT(Settings!$B$13)))</f>
        <v/>
      </c>
      <c r="L928" s="20">
        <f>IF(AND(ISNUMBER(D928),ISNUMBER(H928)),D928-H928,NA())</f>
        <v/>
      </c>
      <c r="M928" s="20">
        <f>IF(AND(ISNUMBER(E928),ISNUMBER(K928)),E928-K928,NA())</f>
        <v/>
      </c>
      <c r="N928" s="20">
        <f>IF(NOT(ISNUMBER($A928)),NA(),IF(COUNT(OFFSET(G928,1,0,Settings!$B$12,1))&lt;ROUNDUP(Settings!$B$12*Settings!$B$26,0),NA(),STDEV(OFFSET(G928,1,0,Settings!$B$12,1))*SQRT(Settings!$B$13)))</f>
        <v/>
      </c>
      <c r="O928" s="20">
        <f>IF(AND(ISNUMBER(E928),ISNUMBER(N928)),E928-N928,NA())</f>
        <v/>
      </c>
      <c r="P928" s="19">
        <f>IF(NOT(ISNUMBER($A928)),NA(),IF(OR($A928&lt;MIN(KW_TP!$A$2:$A$2501),$A928&gt;MAX(KW_TP!$A$2:$A$2501)),NA(),INDEX(KW_TP!$C$2:$C$2501,MATCH($A928,KW_TP!$A$2:$A$2501,1))))</f>
        <v/>
      </c>
      <c r="Q928" s="18">
        <f>IF(NOT(ISNUMBER($A928)),NA(),IFERROR(1*INDEX(BBG_Data!$J$2:$J$4000,MATCH($A928,BBG_Data!$I$2:$I$4000,0)),NA()))</f>
        <v/>
      </c>
      <c r="R928" s="18">
        <f>IF(NOT(ISNUMBER($A928)),NA(),IFERROR(1*INDEX(BBG_Data!$L$2:$L$4000,MATCH($A928,BBG_Data!$K$2:$K$4000,0)),NA()))</f>
        <v/>
      </c>
      <c r="S928" s="20">
        <f>IF(AND(ISNUMBER(B928),ISNUMBER(Q928),ISNUMBER(R928)),(B928-Q928-R928)*100,NA())</f>
        <v/>
      </c>
      <c r="T928" s="20">
        <f>IF(AND(ISNUMBER(B928),Settings!$B$17&gt;0),IF(ISNUMBER(INDEX($B:$B,Settings!$B$17)),(B928-INDEX($B:$B,Settings!$B$17))*100,NA()),NA())</f>
        <v/>
      </c>
      <c r="U928" s="20">
        <f>IF(AND(ISNUMBER(Q928),Settings!$B$17&gt;0),IF(ISNUMBER(INDEX($Q:$Q,Settings!$B$17)),(Q928-INDEX($Q:$Q,Settings!$B$17))*100,NA()),NA())</f>
        <v/>
      </c>
      <c r="V928" s="20">
        <f>IF(AND(ISNUMBER(R928),Settings!$B$17&gt;0),IF(ISNUMBER(INDEX($R:$R,Settings!$B$17)),(R928-INDEX($R:$R,Settings!$B$17))*100,NA()),NA())</f>
        <v/>
      </c>
      <c r="W928" s="20">
        <f>IF(AND(ISNUMBER(P928),Settings!$B$17&gt;0),IF(ISNUMBER(INDEX($P:$P,Settings!$B$17)),P928-INDEX($P:$P,Settings!$B$17),NA()),NA())</f>
        <v/>
      </c>
      <c r="X928" s="19">
        <f>IF(NOT(ISNUMBER($A928)),NA(),IF(OR($A928&lt;MIN(DKW_10Y!$A$2:$A$2918),$A928&gt;MAX(DKW_10Y!$A$2:$A$2918),Settings!$B$16&lt;MIN(DKW_10Y!$A$2:$A$2918)),NA(),(INDEX(DKW_10Y!$B$2:$B$2918,MATCH($A928,DKW_10Y!$A$2:$A$2918,1))-INDEX(DKW_10Y!$B$2:$B$2918,MATCH(Settings!$B$16,DKW_10Y!$A$2:$A$2918,1)))*100))</f>
        <v/>
      </c>
      <c r="Y928" s="19">
        <f>IF(NOT(ISNUMBER($A928)),NA(),IF(OR($A928&lt;MIN(DKW_10Y!$A$2:$A$2918),$A928&gt;MAX(DKW_10Y!$A$2:$A$2918),Settings!$B$16&lt;MIN(DKW_10Y!$A$2:$A$2918)),NA(),(INDEX(DKW_10Y!$C$2:$C$2918,MATCH($A928,DKW_10Y!$A$2:$A$2918,1))-INDEX(DKW_10Y!$C$2:$C$2918,MATCH(Settings!$B$16,DKW_10Y!$A$2:$A$2918,1)))*100))</f>
        <v/>
      </c>
      <c r="Z928" s="19">
        <f>IF(NOT(ISNUMBER($A928)),NA(),IF(OR($A928&lt;MIN(DKW_10Y!$A$2:$A$2918),$A928&gt;MAX(DKW_10Y!$A$2:$A$2918),Settings!$B$16&lt;MIN(DKW_10Y!$A$2:$A$2918)),NA(),(INDEX(DKW_10Y!$D$2:$D$2918,MATCH($A928,DKW_10Y!$A$2:$A$2918,1))-INDEX(DKW_10Y!$D$2:$D$2918,MATCH(Settings!$B$16,DKW_10Y!$A$2:$A$2918,1)))*100))</f>
        <v/>
      </c>
      <c r="AA928" s="19">
        <f>IF(NOT(ISNUMBER($A928)),NA(),IF(OR($A928&lt;MIN(DKW_10Y!$A$2:$A$2918),$A928&gt;MAX(DKW_10Y!$A$2:$A$2918),Settings!$B$16&lt;MIN(DKW_10Y!$A$2:$A$2918)),NA(),(INDEX(DKW_10Y!$E$2:$E$2918,MATCH($A928,DKW_10Y!$A$2:$A$2918,1))-INDEX(DKW_10Y!$E$2:$E$2918,MATCH(Settings!$B$16,DKW_10Y!$A$2:$A$2918,1)))*100))</f>
        <v/>
      </c>
      <c r="AB928" s="19">
        <f>IF(NOT(ISNUMBER($A928)),NA(),IF(OR($A928&lt;MIN(DKW_10Y!$A$2:$A$2918),$A928&gt;MAX(DKW_10Y!$A$2:$A$2918),Settings!$B$16&lt;MIN(DKW_10Y!$A$2:$A$2918)),NA(),(INDEX(DKW_10Y!$H$2:$H$2918,MATCH($A928,DKW_10Y!$A$2:$A$2918,1))-INDEX(DKW_10Y!$H$2:$H$2918,MATCH(Settings!$B$16,DKW_10Y!$A$2:$A$2918,1)))*100))</f>
        <v/>
      </c>
      <c r="AC928" s="18">
        <f>IF(NOT(ISNUMBER($A928)),NA(),IFERROR(1*INDEX(BBG_Data!$N$2:$N$4000,MATCH($A928,BBG_Data!$M$2:$M$4000,0)),NA()))</f>
        <v/>
      </c>
      <c r="AD928" s="18">
        <f>IF(NOT(ISNUMBER($A928)),NA(),IFERROR(1*INDEX(BBG_Data!$P$2:$P$4000,MATCH($A928,BBG_Data!$O$2:$O$4000,0)),NA()))</f>
        <v/>
      </c>
      <c r="AE928" s="18">
        <f>IF(NOT(ISNUMBER($A928)),NA(),IFERROR(1*INDEX(BBG_Data!$R$2:$R$4000,MATCH($A928,BBG_Data!$Q$2:$Q$4000,0)),NA()))</f>
        <v/>
      </c>
      <c r="AF928" s="20">
        <f>IF(AND(ISNUMBER(B928),ISNUMBER(AC928)),(B928-AC928)*100,NA())</f>
        <v/>
      </c>
      <c r="AG928" s="20">
        <f>IF(AND(ISNUMBER(AE928),ISNUMBER(AD928)),(AE928-AD928)*100,NA())</f>
        <v/>
      </c>
      <c r="AH928" s="19">
        <f>IF(NOT(ISNUMBER($A928)),NA(),IFERROR(INDEX(BBG_Data!$T$2:$T$4000,MATCH($A928,BBG_Data!$S$2:$S$4000,0))*Settings!$B$25,NA()))</f>
        <v/>
      </c>
      <c r="AI928" s="19">
        <f>IF(NOT(ISNUMBER($A928)),NA(),IFERROR(INDEX(BBG_Data!$V$2:$V$4000,MATCH($A928,BBG_Data!$U$2:$U$4000,0))*Settings!$B$25,NA()))</f>
        <v/>
      </c>
      <c r="AJ928" s="19">
        <f>IF(NOT(ISNUMBER($A928)),NA(),IFERROR(1*INDEX(BBG_Data!$X$2:$X$4000,MATCH($A928,BBG_Data!$W$2:$W$4000,0)),NA()))</f>
        <v/>
      </c>
      <c r="AK928" s="19">
        <f>IF(NOT(ISNUMBER($A928)),NA(),IFERROR(1*INDEX(BBG_Data!$Z$2:$Z$4000,MATCH($A928,BBG_Data!$Y$2:$Y$4000,0)),NA()))</f>
        <v/>
      </c>
    </row>
    <row r="929">
      <c r="A929" s="17">
        <f>IF(ISNUMBER(BBG_Data!A929),BBG_Data!A929,"")</f>
        <v/>
      </c>
      <c r="B929" s="18">
        <f>IF(AND(ISNUMBER($A929),ISNUMBER(BBG_Data!B929)),BBG_Data!B929,NA())</f>
        <v/>
      </c>
      <c r="C929" s="18">
        <f>IF(NOT(ISNUMBER($A929)),NA(),IFERROR(1*INDEX(BBG_Data!$D$2:$D$4000,MATCH($A929,BBG_Data!$C$2:$C$4000,0)),NA()))</f>
        <v/>
      </c>
      <c r="D929" s="19">
        <f>IF(NOT(ISNUMBER($A929)),NA(),IFERROR(1*INDEX(BBG_Data!$F$2:$F$4000,MATCH($A929,BBG_Data!$E$2:$E$4000,0)),NA()))</f>
        <v/>
      </c>
      <c r="E929" s="19">
        <f>IF(NOT(ISNUMBER($A929)),NA(),IFERROR(1*INDEX(BBG_Data!$H$2:$H$4000,MATCH($A929,BBG_Data!$G$2:$G$4000,0)),NA()))</f>
        <v/>
      </c>
      <c r="F929" s="20">
        <f>IF(AND(ISNUMBER(B929),ISNUMBER(B928)),IF(B929=B928,"",(B929-B928)*100),"")</f>
        <v/>
      </c>
      <c r="G929" s="20">
        <f>IF(AND(ISNUMBER(C929),ISNUMBER(C928)),IF(C929=C928,"",(C929-C928)*100),"")</f>
        <v/>
      </c>
      <c r="H929" s="20">
        <f>IF(OR(NOT(ISNUMBER($A929)),ROW()-2&lt;Settings!$B$11),NA(),IF(COUNT(OFFSET(F929,1-Settings!$B$11,0,Settings!$B$11,1))&lt;ROUNDUP(Settings!$B$11*Settings!$B$26,0),NA(),STDEV(OFFSET(F929,1-Settings!$B$11,0,Settings!$B$11,1))*SQRT(Settings!$B$13)))</f>
        <v/>
      </c>
      <c r="I929" s="20">
        <f>IF(OR(NOT(ISNUMBER($A929)),ROW()-2&lt;Settings!$B$12),NA(),IF(COUNT(OFFSET(F929,1-Settings!$B$12,0,Settings!$B$12,1))&lt;ROUNDUP(Settings!$B$12*Settings!$B$26,0),NA(),STDEV(OFFSET(F929,1-Settings!$B$12,0,Settings!$B$12,1))*SQRT(Settings!$B$13)))</f>
        <v/>
      </c>
      <c r="J929" s="20">
        <f>IF(OR(NOT(ISNUMBER($A929)),ROW()-2&lt;Settings!$B$11),NA(),IF(COUNT(OFFSET(G929,1-Settings!$B$11,0,Settings!$B$11,1))&lt;ROUNDUP(Settings!$B$11*Settings!$B$26,0),NA(),STDEV(OFFSET(G929,1-Settings!$B$11,0,Settings!$B$11,1))*SQRT(Settings!$B$13)))</f>
        <v/>
      </c>
      <c r="K929" s="20">
        <f>IF(OR(NOT(ISNUMBER($A929)),ROW()-2&lt;Settings!$B$12),NA(),IF(COUNT(OFFSET(G929,1-Settings!$B$12,0,Settings!$B$12,1))&lt;ROUNDUP(Settings!$B$12*Settings!$B$26,0),NA(),STDEV(OFFSET(G929,1-Settings!$B$12,0,Settings!$B$12,1))*SQRT(Settings!$B$13)))</f>
        <v/>
      </c>
      <c r="L929" s="20">
        <f>IF(AND(ISNUMBER(D929),ISNUMBER(H929)),D929-H929,NA())</f>
        <v/>
      </c>
      <c r="M929" s="20">
        <f>IF(AND(ISNUMBER(E929),ISNUMBER(K929)),E929-K929,NA())</f>
        <v/>
      </c>
      <c r="N929" s="20">
        <f>IF(NOT(ISNUMBER($A929)),NA(),IF(COUNT(OFFSET(G929,1,0,Settings!$B$12,1))&lt;ROUNDUP(Settings!$B$12*Settings!$B$26,0),NA(),STDEV(OFFSET(G929,1,0,Settings!$B$12,1))*SQRT(Settings!$B$13)))</f>
        <v/>
      </c>
      <c r="O929" s="20">
        <f>IF(AND(ISNUMBER(E929),ISNUMBER(N929)),E929-N929,NA())</f>
        <v/>
      </c>
      <c r="P929" s="19">
        <f>IF(NOT(ISNUMBER($A929)),NA(),IF(OR($A929&lt;MIN(KW_TP!$A$2:$A$2501),$A929&gt;MAX(KW_TP!$A$2:$A$2501)),NA(),INDEX(KW_TP!$C$2:$C$2501,MATCH($A929,KW_TP!$A$2:$A$2501,1))))</f>
        <v/>
      </c>
      <c r="Q929" s="18">
        <f>IF(NOT(ISNUMBER($A929)),NA(),IFERROR(1*INDEX(BBG_Data!$J$2:$J$4000,MATCH($A929,BBG_Data!$I$2:$I$4000,0)),NA()))</f>
        <v/>
      </c>
      <c r="R929" s="18">
        <f>IF(NOT(ISNUMBER($A929)),NA(),IFERROR(1*INDEX(BBG_Data!$L$2:$L$4000,MATCH($A929,BBG_Data!$K$2:$K$4000,0)),NA()))</f>
        <v/>
      </c>
      <c r="S929" s="20">
        <f>IF(AND(ISNUMBER(B929),ISNUMBER(Q929),ISNUMBER(R929)),(B929-Q929-R929)*100,NA())</f>
        <v/>
      </c>
      <c r="T929" s="20">
        <f>IF(AND(ISNUMBER(B929),Settings!$B$17&gt;0),IF(ISNUMBER(INDEX($B:$B,Settings!$B$17)),(B929-INDEX($B:$B,Settings!$B$17))*100,NA()),NA())</f>
        <v/>
      </c>
      <c r="U929" s="20">
        <f>IF(AND(ISNUMBER(Q929),Settings!$B$17&gt;0),IF(ISNUMBER(INDEX($Q:$Q,Settings!$B$17)),(Q929-INDEX($Q:$Q,Settings!$B$17))*100,NA()),NA())</f>
        <v/>
      </c>
      <c r="V929" s="20">
        <f>IF(AND(ISNUMBER(R929),Settings!$B$17&gt;0),IF(ISNUMBER(INDEX($R:$R,Settings!$B$17)),(R929-INDEX($R:$R,Settings!$B$17))*100,NA()),NA())</f>
        <v/>
      </c>
      <c r="W929" s="20">
        <f>IF(AND(ISNUMBER(P929),Settings!$B$17&gt;0),IF(ISNUMBER(INDEX($P:$P,Settings!$B$17)),P929-INDEX($P:$P,Settings!$B$17),NA()),NA())</f>
        <v/>
      </c>
      <c r="X929" s="19">
        <f>IF(NOT(ISNUMBER($A929)),NA(),IF(OR($A929&lt;MIN(DKW_10Y!$A$2:$A$2918),$A929&gt;MAX(DKW_10Y!$A$2:$A$2918),Settings!$B$16&lt;MIN(DKW_10Y!$A$2:$A$2918)),NA(),(INDEX(DKW_10Y!$B$2:$B$2918,MATCH($A929,DKW_10Y!$A$2:$A$2918,1))-INDEX(DKW_10Y!$B$2:$B$2918,MATCH(Settings!$B$16,DKW_10Y!$A$2:$A$2918,1)))*100))</f>
        <v/>
      </c>
      <c r="Y929" s="19">
        <f>IF(NOT(ISNUMBER($A929)),NA(),IF(OR($A929&lt;MIN(DKW_10Y!$A$2:$A$2918),$A929&gt;MAX(DKW_10Y!$A$2:$A$2918),Settings!$B$16&lt;MIN(DKW_10Y!$A$2:$A$2918)),NA(),(INDEX(DKW_10Y!$C$2:$C$2918,MATCH($A929,DKW_10Y!$A$2:$A$2918,1))-INDEX(DKW_10Y!$C$2:$C$2918,MATCH(Settings!$B$16,DKW_10Y!$A$2:$A$2918,1)))*100))</f>
        <v/>
      </c>
      <c r="Z929" s="19">
        <f>IF(NOT(ISNUMBER($A929)),NA(),IF(OR($A929&lt;MIN(DKW_10Y!$A$2:$A$2918),$A929&gt;MAX(DKW_10Y!$A$2:$A$2918),Settings!$B$16&lt;MIN(DKW_10Y!$A$2:$A$2918)),NA(),(INDEX(DKW_10Y!$D$2:$D$2918,MATCH($A929,DKW_10Y!$A$2:$A$2918,1))-INDEX(DKW_10Y!$D$2:$D$2918,MATCH(Settings!$B$16,DKW_10Y!$A$2:$A$2918,1)))*100))</f>
        <v/>
      </c>
      <c r="AA929" s="19">
        <f>IF(NOT(ISNUMBER($A929)),NA(),IF(OR($A929&lt;MIN(DKW_10Y!$A$2:$A$2918),$A929&gt;MAX(DKW_10Y!$A$2:$A$2918),Settings!$B$16&lt;MIN(DKW_10Y!$A$2:$A$2918)),NA(),(INDEX(DKW_10Y!$E$2:$E$2918,MATCH($A929,DKW_10Y!$A$2:$A$2918,1))-INDEX(DKW_10Y!$E$2:$E$2918,MATCH(Settings!$B$16,DKW_10Y!$A$2:$A$2918,1)))*100))</f>
        <v/>
      </c>
      <c r="AB929" s="19">
        <f>IF(NOT(ISNUMBER($A929)),NA(),IF(OR($A929&lt;MIN(DKW_10Y!$A$2:$A$2918),$A929&gt;MAX(DKW_10Y!$A$2:$A$2918),Settings!$B$16&lt;MIN(DKW_10Y!$A$2:$A$2918)),NA(),(INDEX(DKW_10Y!$H$2:$H$2918,MATCH($A929,DKW_10Y!$A$2:$A$2918,1))-INDEX(DKW_10Y!$H$2:$H$2918,MATCH(Settings!$B$16,DKW_10Y!$A$2:$A$2918,1)))*100))</f>
        <v/>
      </c>
      <c r="AC929" s="18">
        <f>IF(NOT(ISNUMBER($A929)),NA(),IFERROR(1*INDEX(BBG_Data!$N$2:$N$4000,MATCH($A929,BBG_Data!$M$2:$M$4000,0)),NA()))</f>
        <v/>
      </c>
      <c r="AD929" s="18">
        <f>IF(NOT(ISNUMBER($A929)),NA(),IFERROR(1*INDEX(BBG_Data!$P$2:$P$4000,MATCH($A929,BBG_Data!$O$2:$O$4000,0)),NA()))</f>
        <v/>
      </c>
      <c r="AE929" s="18">
        <f>IF(NOT(ISNUMBER($A929)),NA(),IFERROR(1*INDEX(BBG_Data!$R$2:$R$4000,MATCH($A929,BBG_Data!$Q$2:$Q$4000,0)),NA()))</f>
        <v/>
      </c>
      <c r="AF929" s="20">
        <f>IF(AND(ISNUMBER(B929),ISNUMBER(AC929)),(B929-AC929)*100,NA())</f>
        <v/>
      </c>
      <c r="AG929" s="20">
        <f>IF(AND(ISNUMBER(AE929),ISNUMBER(AD929)),(AE929-AD929)*100,NA())</f>
        <v/>
      </c>
      <c r="AH929" s="19">
        <f>IF(NOT(ISNUMBER($A929)),NA(),IFERROR(INDEX(BBG_Data!$T$2:$T$4000,MATCH($A929,BBG_Data!$S$2:$S$4000,0))*Settings!$B$25,NA()))</f>
        <v/>
      </c>
      <c r="AI929" s="19">
        <f>IF(NOT(ISNUMBER($A929)),NA(),IFERROR(INDEX(BBG_Data!$V$2:$V$4000,MATCH($A929,BBG_Data!$U$2:$U$4000,0))*Settings!$B$25,NA()))</f>
        <v/>
      </c>
      <c r="AJ929" s="19">
        <f>IF(NOT(ISNUMBER($A929)),NA(),IFERROR(1*INDEX(BBG_Data!$X$2:$X$4000,MATCH($A929,BBG_Data!$W$2:$W$4000,0)),NA()))</f>
        <v/>
      </c>
      <c r="AK929" s="19">
        <f>IF(NOT(ISNUMBER($A929)),NA(),IFERROR(1*INDEX(BBG_Data!$Z$2:$Z$4000,MATCH($A929,BBG_Data!$Y$2:$Y$4000,0)),NA()))</f>
        <v/>
      </c>
    </row>
    <row r="930">
      <c r="A930" s="17">
        <f>IF(ISNUMBER(BBG_Data!A930),BBG_Data!A930,"")</f>
        <v/>
      </c>
      <c r="B930" s="18">
        <f>IF(AND(ISNUMBER($A930),ISNUMBER(BBG_Data!B930)),BBG_Data!B930,NA())</f>
        <v/>
      </c>
      <c r="C930" s="18">
        <f>IF(NOT(ISNUMBER($A930)),NA(),IFERROR(1*INDEX(BBG_Data!$D$2:$D$4000,MATCH($A930,BBG_Data!$C$2:$C$4000,0)),NA()))</f>
        <v/>
      </c>
      <c r="D930" s="19">
        <f>IF(NOT(ISNUMBER($A930)),NA(),IFERROR(1*INDEX(BBG_Data!$F$2:$F$4000,MATCH($A930,BBG_Data!$E$2:$E$4000,0)),NA()))</f>
        <v/>
      </c>
      <c r="E930" s="19">
        <f>IF(NOT(ISNUMBER($A930)),NA(),IFERROR(1*INDEX(BBG_Data!$H$2:$H$4000,MATCH($A930,BBG_Data!$G$2:$G$4000,0)),NA()))</f>
        <v/>
      </c>
      <c r="F930" s="20">
        <f>IF(AND(ISNUMBER(B930),ISNUMBER(B929)),IF(B930=B929,"",(B930-B929)*100),"")</f>
        <v/>
      </c>
      <c r="G930" s="20">
        <f>IF(AND(ISNUMBER(C930),ISNUMBER(C929)),IF(C930=C929,"",(C930-C929)*100),"")</f>
        <v/>
      </c>
      <c r="H930" s="20">
        <f>IF(OR(NOT(ISNUMBER($A930)),ROW()-2&lt;Settings!$B$11),NA(),IF(COUNT(OFFSET(F930,1-Settings!$B$11,0,Settings!$B$11,1))&lt;ROUNDUP(Settings!$B$11*Settings!$B$26,0),NA(),STDEV(OFFSET(F930,1-Settings!$B$11,0,Settings!$B$11,1))*SQRT(Settings!$B$13)))</f>
        <v/>
      </c>
      <c r="I930" s="20">
        <f>IF(OR(NOT(ISNUMBER($A930)),ROW()-2&lt;Settings!$B$12),NA(),IF(COUNT(OFFSET(F930,1-Settings!$B$12,0,Settings!$B$12,1))&lt;ROUNDUP(Settings!$B$12*Settings!$B$26,0),NA(),STDEV(OFFSET(F930,1-Settings!$B$12,0,Settings!$B$12,1))*SQRT(Settings!$B$13)))</f>
        <v/>
      </c>
      <c r="J930" s="20">
        <f>IF(OR(NOT(ISNUMBER($A930)),ROW()-2&lt;Settings!$B$11),NA(),IF(COUNT(OFFSET(G930,1-Settings!$B$11,0,Settings!$B$11,1))&lt;ROUNDUP(Settings!$B$11*Settings!$B$26,0),NA(),STDEV(OFFSET(G930,1-Settings!$B$11,0,Settings!$B$11,1))*SQRT(Settings!$B$13)))</f>
        <v/>
      </c>
      <c r="K930" s="20">
        <f>IF(OR(NOT(ISNUMBER($A930)),ROW()-2&lt;Settings!$B$12),NA(),IF(COUNT(OFFSET(G930,1-Settings!$B$12,0,Settings!$B$12,1))&lt;ROUNDUP(Settings!$B$12*Settings!$B$26,0),NA(),STDEV(OFFSET(G930,1-Settings!$B$12,0,Settings!$B$12,1))*SQRT(Settings!$B$13)))</f>
        <v/>
      </c>
      <c r="L930" s="20">
        <f>IF(AND(ISNUMBER(D930),ISNUMBER(H930)),D930-H930,NA())</f>
        <v/>
      </c>
      <c r="M930" s="20">
        <f>IF(AND(ISNUMBER(E930),ISNUMBER(K930)),E930-K930,NA())</f>
        <v/>
      </c>
      <c r="N930" s="20">
        <f>IF(NOT(ISNUMBER($A930)),NA(),IF(COUNT(OFFSET(G930,1,0,Settings!$B$12,1))&lt;ROUNDUP(Settings!$B$12*Settings!$B$26,0),NA(),STDEV(OFFSET(G930,1,0,Settings!$B$12,1))*SQRT(Settings!$B$13)))</f>
        <v/>
      </c>
      <c r="O930" s="20">
        <f>IF(AND(ISNUMBER(E930),ISNUMBER(N930)),E930-N930,NA())</f>
        <v/>
      </c>
      <c r="P930" s="19">
        <f>IF(NOT(ISNUMBER($A930)),NA(),IF(OR($A930&lt;MIN(KW_TP!$A$2:$A$2501),$A930&gt;MAX(KW_TP!$A$2:$A$2501)),NA(),INDEX(KW_TP!$C$2:$C$2501,MATCH($A930,KW_TP!$A$2:$A$2501,1))))</f>
        <v/>
      </c>
      <c r="Q930" s="18">
        <f>IF(NOT(ISNUMBER($A930)),NA(),IFERROR(1*INDEX(BBG_Data!$J$2:$J$4000,MATCH($A930,BBG_Data!$I$2:$I$4000,0)),NA()))</f>
        <v/>
      </c>
      <c r="R930" s="18">
        <f>IF(NOT(ISNUMBER($A930)),NA(),IFERROR(1*INDEX(BBG_Data!$L$2:$L$4000,MATCH($A930,BBG_Data!$K$2:$K$4000,0)),NA()))</f>
        <v/>
      </c>
      <c r="S930" s="20">
        <f>IF(AND(ISNUMBER(B930),ISNUMBER(Q930),ISNUMBER(R930)),(B930-Q930-R930)*100,NA())</f>
        <v/>
      </c>
      <c r="T930" s="20">
        <f>IF(AND(ISNUMBER(B930),Settings!$B$17&gt;0),IF(ISNUMBER(INDEX($B:$B,Settings!$B$17)),(B930-INDEX($B:$B,Settings!$B$17))*100,NA()),NA())</f>
        <v/>
      </c>
      <c r="U930" s="20">
        <f>IF(AND(ISNUMBER(Q930),Settings!$B$17&gt;0),IF(ISNUMBER(INDEX($Q:$Q,Settings!$B$17)),(Q930-INDEX($Q:$Q,Settings!$B$17))*100,NA()),NA())</f>
        <v/>
      </c>
      <c r="V930" s="20">
        <f>IF(AND(ISNUMBER(R930),Settings!$B$17&gt;0),IF(ISNUMBER(INDEX($R:$R,Settings!$B$17)),(R930-INDEX($R:$R,Settings!$B$17))*100,NA()),NA())</f>
        <v/>
      </c>
      <c r="W930" s="20">
        <f>IF(AND(ISNUMBER(P930),Settings!$B$17&gt;0),IF(ISNUMBER(INDEX($P:$P,Settings!$B$17)),P930-INDEX($P:$P,Settings!$B$17),NA()),NA())</f>
        <v/>
      </c>
      <c r="X930" s="19">
        <f>IF(NOT(ISNUMBER($A930)),NA(),IF(OR($A930&lt;MIN(DKW_10Y!$A$2:$A$2918),$A930&gt;MAX(DKW_10Y!$A$2:$A$2918),Settings!$B$16&lt;MIN(DKW_10Y!$A$2:$A$2918)),NA(),(INDEX(DKW_10Y!$B$2:$B$2918,MATCH($A930,DKW_10Y!$A$2:$A$2918,1))-INDEX(DKW_10Y!$B$2:$B$2918,MATCH(Settings!$B$16,DKW_10Y!$A$2:$A$2918,1)))*100))</f>
        <v/>
      </c>
      <c r="Y930" s="19">
        <f>IF(NOT(ISNUMBER($A930)),NA(),IF(OR($A930&lt;MIN(DKW_10Y!$A$2:$A$2918),$A930&gt;MAX(DKW_10Y!$A$2:$A$2918),Settings!$B$16&lt;MIN(DKW_10Y!$A$2:$A$2918)),NA(),(INDEX(DKW_10Y!$C$2:$C$2918,MATCH($A930,DKW_10Y!$A$2:$A$2918,1))-INDEX(DKW_10Y!$C$2:$C$2918,MATCH(Settings!$B$16,DKW_10Y!$A$2:$A$2918,1)))*100))</f>
        <v/>
      </c>
      <c r="Z930" s="19">
        <f>IF(NOT(ISNUMBER($A930)),NA(),IF(OR($A930&lt;MIN(DKW_10Y!$A$2:$A$2918),$A930&gt;MAX(DKW_10Y!$A$2:$A$2918),Settings!$B$16&lt;MIN(DKW_10Y!$A$2:$A$2918)),NA(),(INDEX(DKW_10Y!$D$2:$D$2918,MATCH($A930,DKW_10Y!$A$2:$A$2918,1))-INDEX(DKW_10Y!$D$2:$D$2918,MATCH(Settings!$B$16,DKW_10Y!$A$2:$A$2918,1)))*100))</f>
        <v/>
      </c>
      <c r="AA930" s="19">
        <f>IF(NOT(ISNUMBER($A930)),NA(),IF(OR($A930&lt;MIN(DKW_10Y!$A$2:$A$2918),$A930&gt;MAX(DKW_10Y!$A$2:$A$2918),Settings!$B$16&lt;MIN(DKW_10Y!$A$2:$A$2918)),NA(),(INDEX(DKW_10Y!$E$2:$E$2918,MATCH($A930,DKW_10Y!$A$2:$A$2918,1))-INDEX(DKW_10Y!$E$2:$E$2918,MATCH(Settings!$B$16,DKW_10Y!$A$2:$A$2918,1)))*100))</f>
        <v/>
      </c>
      <c r="AB930" s="19">
        <f>IF(NOT(ISNUMBER($A930)),NA(),IF(OR($A930&lt;MIN(DKW_10Y!$A$2:$A$2918),$A930&gt;MAX(DKW_10Y!$A$2:$A$2918),Settings!$B$16&lt;MIN(DKW_10Y!$A$2:$A$2918)),NA(),(INDEX(DKW_10Y!$H$2:$H$2918,MATCH($A930,DKW_10Y!$A$2:$A$2918,1))-INDEX(DKW_10Y!$H$2:$H$2918,MATCH(Settings!$B$16,DKW_10Y!$A$2:$A$2918,1)))*100))</f>
        <v/>
      </c>
      <c r="AC930" s="18">
        <f>IF(NOT(ISNUMBER($A930)),NA(),IFERROR(1*INDEX(BBG_Data!$N$2:$N$4000,MATCH($A930,BBG_Data!$M$2:$M$4000,0)),NA()))</f>
        <v/>
      </c>
      <c r="AD930" s="18">
        <f>IF(NOT(ISNUMBER($A930)),NA(),IFERROR(1*INDEX(BBG_Data!$P$2:$P$4000,MATCH($A930,BBG_Data!$O$2:$O$4000,0)),NA()))</f>
        <v/>
      </c>
      <c r="AE930" s="18">
        <f>IF(NOT(ISNUMBER($A930)),NA(),IFERROR(1*INDEX(BBG_Data!$R$2:$R$4000,MATCH($A930,BBG_Data!$Q$2:$Q$4000,0)),NA()))</f>
        <v/>
      </c>
      <c r="AF930" s="20">
        <f>IF(AND(ISNUMBER(B930),ISNUMBER(AC930)),(B930-AC930)*100,NA())</f>
        <v/>
      </c>
      <c r="AG930" s="20">
        <f>IF(AND(ISNUMBER(AE930),ISNUMBER(AD930)),(AE930-AD930)*100,NA())</f>
        <v/>
      </c>
      <c r="AH930" s="19">
        <f>IF(NOT(ISNUMBER($A930)),NA(),IFERROR(INDEX(BBG_Data!$T$2:$T$4000,MATCH($A930,BBG_Data!$S$2:$S$4000,0))*Settings!$B$25,NA()))</f>
        <v/>
      </c>
      <c r="AI930" s="19">
        <f>IF(NOT(ISNUMBER($A930)),NA(),IFERROR(INDEX(BBG_Data!$V$2:$V$4000,MATCH($A930,BBG_Data!$U$2:$U$4000,0))*Settings!$B$25,NA()))</f>
        <v/>
      </c>
      <c r="AJ930" s="19">
        <f>IF(NOT(ISNUMBER($A930)),NA(),IFERROR(1*INDEX(BBG_Data!$X$2:$X$4000,MATCH($A930,BBG_Data!$W$2:$W$4000,0)),NA()))</f>
        <v/>
      </c>
      <c r="AK930" s="19">
        <f>IF(NOT(ISNUMBER($A930)),NA(),IFERROR(1*INDEX(BBG_Data!$Z$2:$Z$4000,MATCH($A930,BBG_Data!$Y$2:$Y$4000,0)),NA()))</f>
        <v/>
      </c>
    </row>
    <row r="931">
      <c r="A931" s="17">
        <f>IF(ISNUMBER(BBG_Data!A931),BBG_Data!A931,"")</f>
        <v/>
      </c>
      <c r="B931" s="18">
        <f>IF(AND(ISNUMBER($A931),ISNUMBER(BBG_Data!B931)),BBG_Data!B931,NA())</f>
        <v/>
      </c>
      <c r="C931" s="18">
        <f>IF(NOT(ISNUMBER($A931)),NA(),IFERROR(1*INDEX(BBG_Data!$D$2:$D$4000,MATCH($A931,BBG_Data!$C$2:$C$4000,0)),NA()))</f>
        <v/>
      </c>
      <c r="D931" s="19">
        <f>IF(NOT(ISNUMBER($A931)),NA(),IFERROR(1*INDEX(BBG_Data!$F$2:$F$4000,MATCH($A931,BBG_Data!$E$2:$E$4000,0)),NA()))</f>
        <v/>
      </c>
      <c r="E931" s="19">
        <f>IF(NOT(ISNUMBER($A931)),NA(),IFERROR(1*INDEX(BBG_Data!$H$2:$H$4000,MATCH($A931,BBG_Data!$G$2:$G$4000,0)),NA()))</f>
        <v/>
      </c>
      <c r="F931" s="20">
        <f>IF(AND(ISNUMBER(B931),ISNUMBER(B930)),IF(B931=B930,"",(B931-B930)*100),"")</f>
        <v/>
      </c>
      <c r="G931" s="20">
        <f>IF(AND(ISNUMBER(C931),ISNUMBER(C930)),IF(C931=C930,"",(C931-C930)*100),"")</f>
        <v/>
      </c>
      <c r="H931" s="20">
        <f>IF(OR(NOT(ISNUMBER($A931)),ROW()-2&lt;Settings!$B$11),NA(),IF(COUNT(OFFSET(F931,1-Settings!$B$11,0,Settings!$B$11,1))&lt;ROUNDUP(Settings!$B$11*Settings!$B$26,0),NA(),STDEV(OFFSET(F931,1-Settings!$B$11,0,Settings!$B$11,1))*SQRT(Settings!$B$13)))</f>
        <v/>
      </c>
      <c r="I931" s="20">
        <f>IF(OR(NOT(ISNUMBER($A931)),ROW()-2&lt;Settings!$B$12),NA(),IF(COUNT(OFFSET(F931,1-Settings!$B$12,0,Settings!$B$12,1))&lt;ROUNDUP(Settings!$B$12*Settings!$B$26,0),NA(),STDEV(OFFSET(F931,1-Settings!$B$12,0,Settings!$B$12,1))*SQRT(Settings!$B$13)))</f>
        <v/>
      </c>
      <c r="J931" s="20">
        <f>IF(OR(NOT(ISNUMBER($A931)),ROW()-2&lt;Settings!$B$11),NA(),IF(COUNT(OFFSET(G931,1-Settings!$B$11,0,Settings!$B$11,1))&lt;ROUNDUP(Settings!$B$11*Settings!$B$26,0),NA(),STDEV(OFFSET(G931,1-Settings!$B$11,0,Settings!$B$11,1))*SQRT(Settings!$B$13)))</f>
        <v/>
      </c>
      <c r="K931" s="20">
        <f>IF(OR(NOT(ISNUMBER($A931)),ROW()-2&lt;Settings!$B$12),NA(),IF(COUNT(OFFSET(G931,1-Settings!$B$12,0,Settings!$B$12,1))&lt;ROUNDUP(Settings!$B$12*Settings!$B$26,0),NA(),STDEV(OFFSET(G931,1-Settings!$B$12,0,Settings!$B$12,1))*SQRT(Settings!$B$13)))</f>
        <v/>
      </c>
      <c r="L931" s="20">
        <f>IF(AND(ISNUMBER(D931),ISNUMBER(H931)),D931-H931,NA())</f>
        <v/>
      </c>
      <c r="M931" s="20">
        <f>IF(AND(ISNUMBER(E931),ISNUMBER(K931)),E931-K931,NA())</f>
        <v/>
      </c>
      <c r="N931" s="20">
        <f>IF(NOT(ISNUMBER($A931)),NA(),IF(COUNT(OFFSET(G931,1,0,Settings!$B$12,1))&lt;ROUNDUP(Settings!$B$12*Settings!$B$26,0),NA(),STDEV(OFFSET(G931,1,0,Settings!$B$12,1))*SQRT(Settings!$B$13)))</f>
        <v/>
      </c>
      <c r="O931" s="20">
        <f>IF(AND(ISNUMBER(E931),ISNUMBER(N931)),E931-N931,NA())</f>
        <v/>
      </c>
      <c r="P931" s="19">
        <f>IF(NOT(ISNUMBER($A931)),NA(),IF(OR($A931&lt;MIN(KW_TP!$A$2:$A$2501),$A931&gt;MAX(KW_TP!$A$2:$A$2501)),NA(),INDEX(KW_TP!$C$2:$C$2501,MATCH($A931,KW_TP!$A$2:$A$2501,1))))</f>
        <v/>
      </c>
      <c r="Q931" s="18">
        <f>IF(NOT(ISNUMBER($A931)),NA(),IFERROR(1*INDEX(BBG_Data!$J$2:$J$4000,MATCH($A931,BBG_Data!$I$2:$I$4000,0)),NA()))</f>
        <v/>
      </c>
      <c r="R931" s="18">
        <f>IF(NOT(ISNUMBER($A931)),NA(),IFERROR(1*INDEX(BBG_Data!$L$2:$L$4000,MATCH($A931,BBG_Data!$K$2:$K$4000,0)),NA()))</f>
        <v/>
      </c>
      <c r="S931" s="20">
        <f>IF(AND(ISNUMBER(B931),ISNUMBER(Q931),ISNUMBER(R931)),(B931-Q931-R931)*100,NA())</f>
        <v/>
      </c>
      <c r="T931" s="20">
        <f>IF(AND(ISNUMBER(B931),Settings!$B$17&gt;0),IF(ISNUMBER(INDEX($B:$B,Settings!$B$17)),(B931-INDEX($B:$B,Settings!$B$17))*100,NA()),NA())</f>
        <v/>
      </c>
      <c r="U931" s="20">
        <f>IF(AND(ISNUMBER(Q931),Settings!$B$17&gt;0),IF(ISNUMBER(INDEX($Q:$Q,Settings!$B$17)),(Q931-INDEX($Q:$Q,Settings!$B$17))*100,NA()),NA())</f>
        <v/>
      </c>
      <c r="V931" s="20">
        <f>IF(AND(ISNUMBER(R931),Settings!$B$17&gt;0),IF(ISNUMBER(INDEX($R:$R,Settings!$B$17)),(R931-INDEX($R:$R,Settings!$B$17))*100,NA()),NA())</f>
        <v/>
      </c>
      <c r="W931" s="20">
        <f>IF(AND(ISNUMBER(P931),Settings!$B$17&gt;0),IF(ISNUMBER(INDEX($P:$P,Settings!$B$17)),P931-INDEX($P:$P,Settings!$B$17),NA()),NA())</f>
        <v/>
      </c>
      <c r="X931" s="19">
        <f>IF(NOT(ISNUMBER($A931)),NA(),IF(OR($A931&lt;MIN(DKW_10Y!$A$2:$A$2918),$A931&gt;MAX(DKW_10Y!$A$2:$A$2918),Settings!$B$16&lt;MIN(DKW_10Y!$A$2:$A$2918)),NA(),(INDEX(DKW_10Y!$B$2:$B$2918,MATCH($A931,DKW_10Y!$A$2:$A$2918,1))-INDEX(DKW_10Y!$B$2:$B$2918,MATCH(Settings!$B$16,DKW_10Y!$A$2:$A$2918,1)))*100))</f>
        <v/>
      </c>
      <c r="Y931" s="19">
        <f>IF(NOT(ISNUMBER($A931)),NA(),IF(OR($A931&lt;MIN(DKW_10Y!$A$2:$A$2918),$A931&gt;MAX(DKW_10Y!$A$2:$A$2918),Settings!$B$16&lt;MIN(DKW_10Y!$A$2:$A$2918)),NA(),(INDEX(DKW_10Y!$C$2:$C$2918,MATCH($A931,DKW_10Y!$A$2:$A$2918,1))-INDEX(DKW_10Y!$C$2:$C$2918,MATCH(Settings!$B$16,DKW_10Y!$A$2:$A$2918,1)))*100))</f>
        <v/>
      </c>
      <c r="Z931" s="19">
        <f>IF(NOT(ISNUMBER($A931)),NA(),IF(OR($A931&lt;MIN(DKW_10Y!$A$2:$A$2918),$A931&gt;MAX(DKW_10Y!$A$2:$A$2918),Settings!$B$16&lt;MIN(DKW_10Y!$A$2:$A$2918)),NA(),(INDEX(DKW_10Y!$D$2:$D$2918,MATCH($A931,DKW_10Y!$A$2:$A$2918,1))-INDEX(DKW_10Y!$D$2:$D$2918,MATCH(Settings!$B$16,DKW_10Y!$A$2:$A$2918,1)))*100))</f>
        <v/>
      </c>
      <c r="AA931" s="19">
        <f>IF(NOT(ISNUMBER($A931)),NA(),IF(OR($A931&lt;MIN(DKW_10Y!$A$2:$A$2918),$A931&gt;MAX(DKW_10Y!$A$2:$A$2918),Settings!$B$16&lt;MIN(DKW_10Y!$A$2:$A$2918)),NA(),(INDEX(DKW_10Y!$E$2:$E$2918,MATCH($A931,DKW_10Y!$A$2:$A$2918,1))-INDEX(DKW_10Y!$E$2:$E$2918,MATCH(Settings!$B$16,DKW_10Y!$A$2:$A$2918,1)))*100))</f>
        <v/>
      </c>
      <c r="AB931" s="19">
        <f>IF(NOT(ISNUMBER($A931)),NA(),IF(OR($A931&lt;MIN(DKW_10Y!$A$2:$A$2918),$A931&gt;MAX(DKW_10Y!$A$2:$A$2918),Settings!$B$16&lt;MIN(DKW_10Y!$A$2:$A$2918)),NA(),(INDEX(DKW_10Y!$H$2:$H$2918,MATCH($A931,DKW_10Y!$A$2:$A$2918,1))-INDEX(DKW_10Y!$H$2:$H$2918,MATCH(Settings!$B$16,DKW_10Y!$A$2:$A$2918,1)))*100))</f>
        <v/>
      </c>
      <c r="AC931" s="18">
        <f>IF(NOT(ISNUMBER($A931)),NA(),IFERROR(1*INDEX(BBG_Data!$N$2:$N$4000,MATCH($A931,BBG_Data!$M$2:$M$4000,0)),NA()))</f>
        <v/>
      </c>
      <c r="AD931" s="18">
        <f>IF(NOT(ISNUMBER($A931)),NA(),IFERROR(1*INDEX(BBG_Data!$P$2:$P$4000,MATCH($A931,BBG_Data!$O$2:$O$4000,0)),NA()))</f>
        <v/>
      </c>
      <c r="AE931" s="18">
        <f>IF(NOT(ISNUMBER($A931)),NA(),IFERROR(1*INDEX(BBG_Data!$R$2:$R$4000,MATCH($A931,BBG_Data!$Q$2:$Q$4000,0)),NA()))</f>
        <v/>
      </c>
      <c r="AF931" s="20">
        <f>IF(AND(ISNUMBER(B931),ISNUMBER(AC931)),(B931-AC931)*100,NA())</f>
        <v/>
      </c>
      <c r="AG931" s="20">
        <f>IF(AND(ISNUMBER(AE931),ISNUMBER(AD931)),(AE931-AD931)*100,NA())</f>
        <v/>
      </c>
      <c r="AH931" s="19">
        <f>IF(NOT(ISNUMBER($A931)),NA(),IFERROR(INDEX(BBG_Data!$T$2:$T$4000,MATCH($A931,BBG_Data!$S$2:$S$4000,0))*Settings!$B$25,NA()))</f>
        <v/>
      </c>
      <c r="AI931" s="19">
        <f>IF(NOT(ISNUMBER($A931)),NA(),IFERROR(INDEX(BBG_Data!$V$2:$V$4000,MATCH($A931,BBG_Data!$U$2:$U$4000,0))*Settings!$B$25,NA()))</f>
        <v/>
      </c>
      <c r="AJ931" s="19">
        <f>IF(NOT(ISNUMBER($A931)),NA(),IFERROR(1*INDEX(BBG_Data!$X$2:$X$4000,MATCH($A931,BBG_Data!$W$2:$W$4000,0)),NA()))</f>
        <v/>
      </c>
      <c r="AK931" s="19">
        <f>IF(NOT(ISNUMBER($A931)),NA(),IFERROR(1*INDEX(BBG_Data!$Z$2:$Z$4000,MATCH($A931,BBG_Data!$Y$2:$Y$4000,0)),NA()))</f>
        <v/>
      </c>
    </row>
    <row r="932">
      <c r="A932" s="17">
        <f>IF(ISNUMBER(BBG_Data!A932),BBG_Data!A932,"")</f>
        <v/>
      </c>
      <c r="B932" s="18">
        <f>IF(AND(ISNUMBER($A932),ISNUMBER(BBG_Data!B932)),BBG_Data!B932,NA())</f>
        <v/>
      </c>
      <c r="C932" s="18">
        <f>IF(NOT(ISNUMBER($A932)),NA(),IFERROR(1*INDEX(BBG_Data!$D$2:$D$4000,MATCH($A932,BBG_Data!$C$2:$C$4000,0)),NA()))</f>
        <v/>
      </c>
      <c r="D932" s="19">
        <f>IF(NOT(ISNUMBER($A932)),NA(),IFERROR(1*INDEX(BBG_Data!$F$2:$F$4000,MATCH($A932,BBG_Data!$E$2:$E$4000,0)),NA()))</f>
        <v/>
      </c>
      <c r="E932" s="19">
        <f>IF(NOT(ISNUMBER($A932)),NA(),IFERROR(1*INDEX(BBG_Data!$H$2:$H$4000,MATCH($A932,BBG_Data!$G$2:$G$4000,0)),NA()))</f>
        <v/>
      </c>
      <c r="F932" s="20">
        <f>IF(AND(ISNUMBER(B932),ISNUMBER(B931)),IF(B932=B931,"",(B932-B931)*100),"")</f>
        <v/>
      </c>
      <c r="G932" s="20">
        <f>IF(AND(ISNUMBER(C932),ISNUMBER(C931)),IF(C932=C931,"",(C932-C931)*100),"")</f>
        <v/>
      </c>
      <c r="H932" s="20">
        <f>IF(OR(NOT(ISNUMBER($A932)),ROW()-2&lt;Settings!$B$11),NA(),IF(COUNT(OFFSET(F932,1-Settings!$B$11,0,Settings!$B$11,1))&lt;ROUNDUP(Settings!$B$11*Settings!$B$26,0),NA(),STDEV(OFFSET(F932,1-Settings!$B$11,0,Settings!$B$11,1))*SQRT(Settings!$B$13)))</f>
        <v/>
      </c>
      <c r="I932" s="20">
        <f>IF(OR(NOT(ISNUMBER($A932)),ROW()-2&lt;Settings!$B$12),NA(),IF(COUNT(OFFSET(F932,1-Settings!$B$12,0,Settings!$B$12,1))&lt;ROUNDUP(Settings!$B$12*Settings!$B$26,0),NA(),STDEV(OFFSET(F932,1-Settings!$B$12,0,Settings!$B$12,1))*SQRT(Settings!$B$13)))</f>
        <v/>
      </c>
      <c r="J932" s="20">
        <f>IF(OR(NOT(ISNUMBER($A932)),ROW()-2&lt;Settings!$B$11),NA(),IF(COUNT(OFFSET(G932,1-Settings!$B$11,0,Settings!$B$11,1))&lt;ROUNDUP(Settings!$B$11*Settings!$B$26,0),NA(),STDEV(OFFSET(G932,1-Settings!$B$11,0,Settings!$B$11,1))*SQRT(Settings!$B$13)))</f>
        <v/>
      </c>
      <c r="K932" s="20">
        <f>IF(OR(NOT(ISNUMBER($A932)),ROW()-2&lt;Settings!$B$12),NA(),IF(COUNT(OFFSET(G932,1-Settings!$B$12,0,Settings!$B$12,1))&lt;ROUNDUP(Settings!$B$12*Settings!$B$26,0),NA(),STDEV(OFFSET(G932,1-Settings!$B$12,0,Settings!$B$12,1))*SQRT(Settings!$B$13)))</f>
        <v/>
      </c>
      <c r="L932" s="20">
        <f>IF(AND(ISNUMBER(D932),ISNUMBER(H932)),D932-H932,NA())</f>
        <v/>
      </c>
      <c r="M932" s="20">
        <f>IF(AND(ISNUMBER(E932),ISNUMBER(K932)),E932-K932,NA())</f>
        <v/>
      </c>
      <c r="N932" s="20">
        <f>IF(NOT(ISNUMBER($A932)),NA(),IF(COUNT(OFFSET(G932,1,0,Settings!$B$12,1))&lt;ROUNDUP(Settings!$B$12*Settings!$B$26,0),NA(),STDEV(OFFSET(G932,1,0,Settings!$B$12,1))*SQRT(Settings!$B$13)))</f>
        <v/>
      </c>
      <c r="O932" s="20">
        <f>IF(AND(ISNUMBER(E932),ISNUMBER(N932)),E932-N932,NA())</f>
        <v/>
      </c>
      <c r="P932" s="19">
        <f>IF(NOT(ISNUMBER($A932)),NA(),IF(OR($A932&lt;MIN(KW_TP!$A$2:$A$2501),$A932&gt;MAX(KW_TP!$A$2:$A$2501)),NA(),INDEX(KW_TP!$C$2:$C$2501,MATCH($A932,KW_TP!$A$2:$A$2501,1))))</f>
        <v/>
      </c>
      <c r="Q932" s="18">
        <f>IF(NOT(ISNUMBER($A932)),NA(),IFERROR(1*INDEX(BBG_Data!$J$2:$J$4000,MATCH($A932,BBG_Data!$I$2:$I$4000,0)),NA()))</f>
        <v/>
      </c>
      <c r="R932" s="18">
        <f>IF(NOT(ISNUMBER($A932)),NA(),IFERROR(1*INDEX(BBG_Data!$L$2:$L$4000,MATCH($A932,BBG_Data!$K$2:$K$4000,0)),NA()))</f>
        <v/>
      </c>
      <c r="S932" s="20">
        <f>IF(AND(ISNUMBER(B932),ISNUMBER(Q932),ISNUMBER(R932)),(B932-Q932-R932)*100,NA())</f>
        <v/>
      </c>
      <c r="T932" s="20">
        <f>IF(AND(ISNUMBER(B932),Settings!$B$17&gt;0),IF(ISNUMBER(INDEX($B:$B,Settings!$B$17)),(B932-INDEX($B:$B,Settings!$B$17))*100,NA()),NA())</f>
        <v/>
      </c>
      <c r="U932" s="20">
        <f>IF(AND(ISNUMBER(Q932),Settings!$B$17&gt;0),IF(ISNUMBER(INDEX($Q:$Q,Settings!$B$17)),(Q932-INDEX($Q:$Q,Settings!$B$17))*100,NA()),NA())</f>
        <v/>
      </c>
      <c r="V932" s="20">
        <f>IF(AND(ISNUMBER(R932),Settings!$B$17&gt;0),IF(ISNUMBER(INDEX($R:$R,Settings!$B$17)),(R932-INDEX($R:$R,Settings!$B$17))*100,NA()),NA())</f>
        <v/>
      </c>
      <c r="W932" s="20">
        <f>IF(AND(ISNUMBER(P932),Settings!$B$17&gt;0),IF(ISNUMBER(INDEX($P:$P,Settings!$B$17)),P932-INDEX($P:$P,Settings!$B$17),NA()),NA())</f>
        <v/>
      </c>
      <c r="X932" s="19">
        <f>IF(NOT(ISNUMBER($A932)),NA(),IF(OR($A932&lt;MIN(DKW_10Y!$A$2:$A$2918),$A932&gt;MAX(DKW_10Y!$A$2:$A$2918),Settings!$B$16&lt;MIN(DKW_10Y!$A$2:$A$2918)),NA(),(INDEX(DKW_10Y!$B$2:$B$2918,MATCH($A932,DKW_10Y!$A$2:$A$2918,1))-INDEX(DKW_10Y!$B$2:$B$2918,MATCH(Settings!$B$16,DKW_10Y!$A$2:$A$2918,1)))*100))</f>
        <v/>
      </c>
      <c r="Y932" s="19">
        <f>IF(NOT(ISNUMBER($A932)),NA(),IF(OR($A932&lt;MIN(DKW_10Y!$A$2:$A$2918),$A932&gt;MAX(DKW_10Y!$A$2:$A$2918),Settings!$B$16&lt;MIN(DKW_10Y!$A$2:$A$2918)),NA(),(INDEX(DKW_10Y!$C$2:$C$2918,MATCH($A932,DKW_10Y!$A$2:$A$2918,1))-INDEX(DKW_10Y!$C$2:$C$2918,MATCH(Settings!$B$16,DKW_10Y!$A$2:$A$2918,1)))*100))</f>
        <v/>
      </c>
      <c r="Z932" s="19">
        <f>IF(NOT(ISNUMBER($A932)),NA(),IF(OR($A932&lt;MIN(DKW_10Y!$A$2:$A$2918),$A932&gt;MAX(DKW_10Y!$A$2:$A$2918),Settings!$B$16&lt;MIN(DKW_10Y!$A$2:$A$2918)),NA(),(INDEX(DKW_10Y!$D$2:$D$2918,MATCH($A932,DKW_10Y!$A$2:$A$2918,1))-INDEX(DKW_10Y!$D$2:$D$2918,MATCH(Settings!$B$16,DKW_10Y!$A$2:$A$2918,1)))*100))</f>
        <v/>
      </c>
      <c r="AA932" s="19">
        <f>IF(NOT(ISNUMBER($A932)),NA(),IF(OR($A932&lt;MIN(DKW_10Y!$A$2:$A$2918),$A932&gt;MAX(DKW_10Y!$A$2:$A$2918),Settings!$B$16&lt;MIN(DKW_10Y!$A$2:$A$2918)),NA(),(INDEX(DKW_10Y!$E$2:$E$2918,MATCH($A932,DKW_10Y!$A$2:$A$2918,1))-INDEX(DKW_10Y!$E$2:$E$2918,MATCH(Settings!$B$16,DKW_10Y!$A$2:$A$2918,1)))*100))</f>
        <v/>
      </c>
      <c r="AB932" s="19">
        <f>IF(NOT(ISNUMBER($A932)),NA(),IF(OR($A932&lt;MIN(DKW_10Y!$A$2:$A$2918),$A932&gt;MAX(DKW_10Y!$A$2:$A$2918),Settings!$B$16&lt;MIN(DKW_10Y!$A$2:$A$2918)),NA(),(INDEX(DKW_10Y!$H$2:$H$2918,MATCH($A932,DKW_10Y!$A$2:$A$2918,1))-INDEX(DKW_10Y!$H$2:$H$2918,MATCH(Settings!$B$16,DKW_10Y!$A$2:$A$2918,1)))*100))</f>
        <v/>
      </c>
      <c r="AC932" s="18">
        <f>IF(NOT(ISNUMBER($A932)),NA(),IFERROR(1*INDEX(BBG_Data!$N$2:$N$4000,MATCH($A932,BBG_Data!$M$2:$M$4000,0)),NA()))</f>
        <v/>
      </c>
      <c r="AD932" s="18">
        <f>IF(NOT(ISNUMBER($A932)),NA(),IFERROR(1*INDEX(BBG_Data!$P$2:$P$4000,MATCH($A932,BBG_Data!$O$2:$O$4000,0)),NA()))</f>
        <v/>
      </c>
      <c r="AE932" s="18">
        <f>IF(NOT(ISNUMBER($A932)),NA(),IFERROR(1*INDEX(BBG_Data!$R$2:$R$4000,MATCH($A932,BBG_Data!$Q$2:$Q$4000,0)),NA()))</f>
        <v/>
      </c>
      <c r="AF932" s="20">
        <f>IF(AND(ISNUMBER(B932),ISNUMBER(AC932)),(B932-AC932)*100,NA())</f>
        <v/>
      </c>
      <c r="AG932" s="20">
        <f>IF(AND(ISNUMBER(AE932),ISNUMBER(AD932)),(AE932-AD932)*100,NA())</f>
        <v/>
      </c>
      <c r="AH932" s="19">
        <f>IF(NOT(ISNUMBER($A932)),NA(),IFERROR(INDEX(BBG_Data!$T$2:$T$4000,MATCH($A932,BBG_Data!$S$2:$S$4000,0))*Settings!$B$25,NA()))</f>
        <v/>
      </c>
      <c r="AI932" s="19">
        <f>IF(NOT(ISNUMBER($A932)),NA(),IFERROR(INDEX(BBG_Data!$V$2:$V$4000,MATCH($A932,BBG_Data!$U$2:$U$4000,0))*Settings!$B$25,NA()))</f>
        <v/>
      </c>
      <c r="AJ932" s="19">
        <f>IF(NOT(ISNUMBER($A932)),NA(),IFERROR(1*INDEX(BBG_Data!$X$2:$X$4000,MATCH($A932,BBG_Data!$W$2:$W$4000,0)),NA()))</f>
        <v/>
      </c>
      <c r="AK932" s="19">
        <f>IF(NOT(ISNUMBER($A932)),NA(),IFERROR(1*INDEX(BBG_Data!$Z$2:$Z$4000,MATCH($A932,BBG_Data!$Y$2:$Y$4000,0)),NA()))</f>
        <v/>
      </c>
    </row>
    <row r="933">
      <c r="A933" s="17">
        <f>IF(ISNUMBER(BBG_Data!A933),BBG_Data!A933,"")</f>
        <v/>
      </c>
      <c r="B933" s="18">
        <f>IF(AND(ISNUMBER($A933),ISNUMBER(BBG_Data!B933)),BBG_Data!B933,NA())</f>
        <v/>
      </c>
      <c r="C933" s="18">
        <f>IF(NOT(ISNUMBER($A933)),NA(),IFERROR(1*INDEX(BBG_Data!$D$2:$D$4000,MATCH($A933,BBG_Data!$C$2:$C$4000,0)),NA()))</f>
        <v/>
      </c>
      <c r="D933" s="19">
        <f>IF(NOT(ISNUMBER($A933)),NA(),IFERROR(1*INDEX(BBG_Data!$F$2:$F$4000,MATCH($A933,BBG_Data!$E$2:$E$4000,0)),NA()))</f>
        <v/>
      </c>
      <c r="E933" s="19">
        <f>IF(NOT(ISNUMBER($A933)),NA(),IFERROR(1*INDEX(BBG_Data!$H$2:$H$4000,MATCH($A933,BBG_Data!$G$2:$G$4000,0)),NA()))</f>
        <v/>
      </c>
      <c r="F933" s="20">
        <f>IF(AND(ISNUMBER(B933),ISNUMBER(B932)),IF(B933=B932,"",(B933-B932)*100),"")</f>
        <v/>
      </c>
      <c r="G933" s="20">
        <f>IF(AND(ISNUMBER(C933),ISNUMBER(C932)),IF(C933=C932,"",(C933-C932)*100),"")</f>
        <v/>
      </c>
      <c r="H933" s="20">
        <f>IF(OR(NOT(ISNUMBER($A933)),ROW()-2&lt;Settings!$B$11),NA(),IF(COUNT(OFFSET(F933,1-Settings!$B$11,0,Settings!$B$11,1))&lt;ROUNDUP(Settings!$B$11*Settings!$B$26,0),NA(),STDEV(OFFSET(F933,1-Settings!$B$11,0,Settings!$B$11,1))*SQRT(Settings!$B$13)))</f>
        <v/>
      </c>
      <c r="I933" s="20">
        <f>IF(OR(NOT(ISNUMBER($A933)),ROW()-2&lt;Settings!$B$12),NA(),IF(COUNT(OFFSET(F933,1-Settings!$B$12,0,Settings!$B$12,1))&lt;ROUNDUP(Settings!$B$12*Settings!$B$26,0),NA(),STDEV(OFFSET(F933,1-Settings!$B$12,0,Settings!$B$12,1))*SQRT(Settings!$B$13)))</f>
        <v/>
      </c>
      <c r="J933" s="20">
        <f>IF(OR(NOT(ISNUMBER($A933)),ROW()-2&lt;Settings!$B$11),NA(),IF(COUNT(OFFSET(G933,1-Settings!$B$11,0,Settings!$B$11,1))&lt;ROUNDUP(Settings!$B$11*Settings!$B$26,0),NA(),STDEV(OFFSET(G933,1-Settings!$B$11,0,Settings!$B$11,1))*SQRT(Settings!$B$13)))</f>
        <v/>
      </c>
      <c r="K933" s="20">
        <f>IF(OR(NOT(ISNUMBER($A933)),ROW()-2&lt;Settings!$B$12),NA(),IF(COUNT(OFFSET(G933,1-Settings!$B$12,0,Settings!$B$12,1))&lt;ROUNDUP(Settings!$B$12*Settings!$B$26,0),NA(),STDEV(OFFSET(G933,1-Settings!$B$12,0,Settings!$B$12,1))*SQRT(Settings!$B$13)))</f>
        <v/>
      </c>
      <c r="L933" s="20">
        <f>IF(AND(ISNUMBER(D933),ISNUMBER(H933)),D933-H933,NA())</f>
        <v/>
      </c>
      <c r="M933" s="20">
        <f>IF(AND(ISNUMBER(E933),ISNUMBER(K933)),E933-K933,NA())</f>
        <v/>
      </c>
      <c r="N933" s="20">
        <f>IF(NOT(ISNUMBER($A933)),NA(),IF(COUNT(OFFSET(G933,1,0,Settings!$B$12,1))&lt;ROUNDUP(Settings!$B$12*Settings!$B$26,0),NA(),STDEV(OFFSET(G933,1,0,Settings!$B$12,1))*SQRT(Settings!$B$13)))</f>
        <v/>
      </c>
      <c r="O933" s="20">
        <f>IF(AND(ISNUMBER(E933),ISNUMBER(N933)),E933-N933,NA())</f>
        <v/>
      </c>
      <c r="P933" s="19">
        <f>IF(NOT(ISNUMBER($A933)),NA(),IF(OR($A933&lt;MIN(KW_TP!$A$2:$A$2501),$A933&gt;MAX(KW_TP!$A$2:$A$2501)),NA(),INDEX(KW_TP!$C$2:$C$2501,MATCH($A933,KW_TP!$A$2:$A$2501,1))))</f>
        <v/>
      </c>
      <c r="Q933" s="18">
        <f>IF(NOT(ISNUMBER($A933)),NA(),IFERROR(1*INDEX(BBG_Data!$J$2:$J$4000,MATCH($A933,BBG_Data!$I$2:$I$4000,0)),NA()))</f>
        <v/>
      </c>
      <c r="R933" s="18">
        <f>IF(NOT(ISNUMBER($A933)),NA(),IFERROR(1*INDEX(BBG_Data!$L$2:$L$4000,MATCH($A933,BBG_Data!$K$2:$K$4000,0)),NA()))</f>
        <v/>
      </c>
      <c r="S933" s="20">
        <f>IF(AND(ISNUMBER(B933),ISNUMBER(Q933),ISNUMBER(R933)),(B933-Q933-R933)*100,NA())</f>
        <v/>
      </c>
      <c r="T933" s="20">
        <f>IF(AND(ISNUMBER(B933),Settings!$B$17&gt;0),IF(ISNUMBER(INDEX($B:$B,Settings!$B$17)),(B933-INDEX($B:$B,Settings!$B$17))*100,NA()),NA())</f>
        <v/>
      </c>
      <c r="U933" s="20">
        <f>IF(AND(ISNUMBER(Q933),Settings!$B$17&gt;0),IF(ISNUMBER(INDEX($Q:$Q,Settings!$B$17)),(Q933-INDEX($Q:$Q,Settings!$B$17))*100,NA()),NA())</f>
        <v/>
      </c>
      <c r="V933" s="20">
        <f>IF(AND(ISNUMBER(R933),Settings!$B$17&gt;0),IF(ISNUMBER(INDEX($R:$R,Settings!$B$17)),(R933-INDEX($R:$R,Settings!$B$17))*100,NA()),NA())</f>
        <v/>
      </c>
      <c r="W933" s="20">
        <f>IF(AND(ISNUMBER(P933),Settings!$B$17&gt;0),IF(ISNUMBER(INDEX($P:$P,Settings!$B$17)),P933-INDEX($P:$P,Settings!$B$17),NA()),NA())</f>
        <v/>
      </c>
      <c r="X933" s="19">
        <f>IF(NOT(ISNUMBER($A933)),NA(),IF(OR($A933&lt;MIN(DKW_10Y!$A$2:$A$2918),$A933&gt;MAX(DKW_10Y!$A$2:$A$2918),Settings!$B$16&lt;MIN(DKW_10Y!$A$2:$A$2918)),NA(),(INDEX(DKW_10Y!$B$2:$B$2918,MATCH($A933,DKW_10Y!$A$2:$A$2918,1))-INDEX(DKW_10Y!$B$2:$B$2918,MATCH(Settings!$B$16,DKW_10Y!$A$2:$A$2918,1)))*100))</f>
        <v/>
      </c>
      <c r="Y933" s="19">
        <f>IF(NOT(ISNUMBER($A933)),NA(),IF(OR($A933&lt;MIN(DKW_10Y!$A$2:$A$2918),$A933&gt;MAX(DKW_10Y!$A$2:$A$2918),Settings!$B$16&lt;MIN(DKW_10Y!$A$2:$A$2918)),NA(),(INDEX(DKW_10Y!$C$2:$C$2918,MATCH($A933,DKW_10Y!$A$2:$A$2918,1))-INDEX(DKW_10Y!$C$2:$C$2918,MATCH(Settings!$B$16,DKW_10Y!$A$2:$A$2918,1)))*100))</f>
        <v/>
      </c>
      <c r="Z933" s="19">
        <f>IF(NOT(ISNUMBER($A933)),NA(),IF(OR($A933&lt;MIN(DKW_10Y!$A$2:$A$2918),$A933&gt;MAX(DKW_10Y!$A$2:$A$2918),Settings!$B$16&lt;MIN(DKW_10Y!$A$2:$A$2918)),NA(),(INDEX(DKW_10Y!$D$2:$D$2918,MATCH($A933,DKW_10Y!$A$2:$A$2918,1))-INDEX(DKW_10Y!$D$2:$D$2918,MATCH(Settings!$B$16,DKW_10Y!$A$2:$A$2918,1)))*100))</f>
        <v/>
      </c>
      <c r="AA933" s="19">
        <f>IF(NOT(ISNUMBER($A933)),NA(),IF(OR($A933&lt;MIN(DKW_10Y!$A$2:$A$2918),$A933&gt;MAX(DKW_10Y!$A$2:$A$2918),Settings!$B$16&lt;MIN(DKW_10Y!$A$2:$A$2918)),NA(),(INDEX(DKW_10Y!$E$2:$E$2918,MATCH($A933,DKW_10Y!$A$2:$A$2918,1))-INDEX(DKW_10Y!$E$2:$E$2918,MATCH(Settings!$B$16,DKW_10Y!$A$2:$A$2918,1)))*100))</f>
        <v/>
      </c>
      <c r="AB933" s="19">
        <f>IF(NOT(ISNUMBER($A933)),NA(),IF(OR($A933&lt;MIN(DKW_10Y!$A$2:$A$2918),$A933&gt;MAX(DKW_10Y!$A$2:$A$2918),Settings!$B$16&lt;MIN(DKW_10Y!$A$2:$A$2918)),NA(),(INDEX(DKW_10Y!$H$2:$H$2918,MATCH($A933,DKW_10Y!$A$2:$A$2918,1))-INDEX(DKW_10Y!$H$2:$H$2918,MATCH(Settings!$B$16,DKW_10Y!$A$2:$A$2918,1)))*100))</f>
        <v/>
      </c>
      <c r="AC933" s="18">
        <f>IF(NOT(ISNUMBER($A933)),NA(),IFERROR(1*INDEX(BBG_Data!$N$2:$N$4000,MATCH($A933,BBG_Data!$M$2:$M$4000,0)),NA()))</f>
        <v/>
      </c>
      <c r="AD933" s="18">
        <f>IF(NOT(ISNUMBER($A933)),NA(),IFERROR(1*INDEX(BBG_Data!$P$2:$P$4000,MATCH($A933,BBG_Data!$O$2:$O$4000,0)),NA()))</f>
        <v/>
      </c>
      <c r="AE933" s="18">
        <f>IF(NOT(ISNUMBER($A933)),NA(),IFERROR(1*INDEX(BBG_Data!$R$2:$R$4000,MATCH($A933,BBG_Data!$Q$2:$Q$4000,0)),NA()))</f>
        <v/>
      </c>
      <c r="AF933" s="20">
        <f>IF(AND(ISNUMBER(B933),ISNUMBER(AC933)),(B933-AC933)*100,NA())</f>
        <v/>
      </c>
      <c r="AG933" s="20">
        <f>IF(AND(ISNUMBER(AE933),ISNUMBER(AD933)),(AE933-AD933)*100,NA())</f>
        <v/>
      </c>
      <c r="AH933" s="19">
        <f>IF(NOT(ISNUMBER($A933)),NA(),IFERROR(INDEX(BBG_Data!$T$2:$T$4000,MATCH($A933,BBG_Data!$S$2:$S$4000,0))*Settings!$B$25,NA()))</f>
        <v/>
      </c>
      <c r="AI933" s="19">
        <f>IF(NOT(ISNUMBER($A933)),NA(),IFERROR(INDEX(BBG_Data!$V$2:$V$4000,MATCH($A933,BBG_Data!$U$2:$U$4000,0))*Settings!$B$25,NA()))</f>
        <v/>
      </c>
      <c r="AJ933" s="19">
        <f>IF(NOT(ISNUMBER($A933)),NA(),IFERROR(1*INDEX(BBG_Data!$X$2:$X$4000,MATCH($A933,BBG_Data!$W$2:$W$4000,0)),NA()))</f>
        <v/>
      </c>
      <c r="AK933" s="19">
        <f>IF(NOT(ISNUMBER($A933)),NA(),IFERROR(1*INDEX(BBG_Data!$Z$2:$Z$4000,MATCH($A933,BBG_Data!$Y$2:$Y$4000,0)),NA()))</f>
        <v/>
      </c>
    </row>
    <row r="934">
      <c r="A934" s="17">
        <f>IF(ISNUMBER(BBG_Data!A934),BBG_Data!A934,"")</f>
        <v/>
      </c>
      <c r="B934" s="18">
        <f>IF(AND(ISNUMBER($A934),ISNUMBER(BBG_Data!B934)),BBG_Data!B934,NA())</f>
        <v/>
      </c>
      <c r="C934" s="18">
        <f>IF(NOT(ISNUMBER($A934)),NA(),IFERROR(1*INDEX(BBG_Data!$D$2:$D$4000,MATCH($A934,BBG_Data!$C$2:$C$4000,0)),NA()))</f>
        <v/>
      </c>
      <c r="D934" s="19">
        <f>IF(NOT(ISNUMBER($A934)),NA(),IFERROR(1*INDEX(BBG_Data!$F$2:$F$4000,MATCH($A934,BBG_Data!$E$2:$E$4000,0)),NA()))</f>
        <v/>
      </c>
      <c r="E934" s="19">
        <f>IF(NOT(ISNUMBER($A934)),NA(),IFERROR(1*INDEX(BBG_Data!$H$2:$H$4000,MATCH($A934,BBG_Data!$G$2:$G$4000,0)),NA()))</f>
        <v/>
      </c>
      <c r="F934" s="20">
        <f>IF(AND(ISNUMBER(B934),ISNUMBER(B933)),IF(B934=B933,"",(B934-B933)*100),"")</f>
        <v/>
      </c>
      <c r="G934" s="20">
        <f>IF(AND(ISNUMBER(C934),ISNUMBER(C933)),IF(C934=C933,"",(C934-C933)*100),"")</f>
        <v/>
      </c>
      <c r="H934" s="20">
        <f>IF(OR(NOT(ISNUMBER($A934)),ROW()-2&lt;Settings!$B$11),NA(),IF(COUNT(OFFSET(F934,1-Settings!$B$11,0,Settings!$B$11,1))&lt;ROUNDUP(Settings!$B$11*Settings!$B$26,0),NA(),STDEV(OFFSET(F934,1-Settings!$B$11,0,Settings!$B$11,1))*SQRT(Settings!$B$13)))</f>
        <v/>
      </c>
      <c r="I934" s="20">
        <f>IF(OR(NOT(ISNUMBER($A934)),ROW()-2&lt;Settings!$B$12),NA(),IF(COUNT(OFFSET(F934,1-Settings!$B$12,0,Settings!$B$12,1))&lt;ROUNDUP(Settings!$B$12*Settings!$B$26,0),NA(),STDEV(OFFSET(F934,1-Settings!$B$12,0,Settings!$B$12,1))*SQRT(Settings!$B$13)))</f>
        <v/>
      </c>
      <c r="J934" s="20">
        <f>IF(OR(NOT(ISNUMBER($A934)),ROW()-2&lt;Settings!$B$11),NA(),IF(COUNT(OFFSET(G934,1-Settings!$B$11,0,Settings!$B$11,1))&lt;ROUNDUP(Settings!$B$11*Settings!$B$26,0),NA(),STDEV(OFFSET(G934,1-Settings!$B$11,0,Settings!$B$11,1))*SQRT(Settings!$B$13)))</f>
        <v/>
      </c>
      <c r="K934" s="20">
        <f>IF(OR(NOT(ISNUMBER($A934)),ROW()-2&lt;Settings!$B$12),NA(),IF(COUNT(OFFSET(G934,1-Settings!$B$12,0,Settings!$B$12,1))&lt;ROUNDUP(Settings!$B$12*Settings!$B$26,0),NA(),STDEV(OFFSET(G934,1-Settings!$B$12,0,Settings!$B$12,1))*SQRT(Settings!$B$13)))</f>
        <v/>
      </c>
      <c r="L934" s="20">
        <f>IF(AND(ISNUMBER(D934),ISNUMBER(H934)),D934-H934,NA())</f>
        <v/>
      </c>
      <c r="M934" s="20">
        <f>IF(AND(ISNUMBER(E934),ISNUMBER(K934)),E934-K934,NA())</f>
        <v/>
      </c>
      <c r="N934" s="20">
        <f>IF(NOT(ISNUMBER($A934)),NA(),IF(COUNT(OFFSET(G934,1,0,Settings!$B$12,1))&lt;ROUNDUP(Settings!$B$12*Settings!$B$26,0),NA(),STDEV(OFFSET(G934,1,0,Settings!$B$12,1))*SQRT(Settings!$B$13)))</f>
        <v/>
      </c>
      <c r="O934" s="20">
        <f>IF(AND(ISNUMBER(E934),ISNUMBER(N934)),E934-N934,NA())</f>
        <v/>
      </c>
      <c r="P934" s="19">
        <f>IF(NOT(ISNUMBER($A934)),NA(),IF(OR($A934&lt;MIN(KW_TP!$A$2:$A$2501),$A934&gt;MAX(KW_TP!$A$2:$A$2501)),NA(),INDEX(KW_TP!$C$2:$C$2501,MATCH($A934,KW_TP!$A$2:$A$2501,1))))</f>
        <v/>
      </c>
      <c r="Q934" s="18">
        <f>IF(NOT(ISNUMBER($A934)),NA(),IFERROR(1*INDEX(BBG_Data!$J$2:$J$4000,MATCH($A934,BBG_Data!$I$2:$I$4000,0)),NA()))</f>
        <v/>
      </c>
      <c r="R934" s="18">
        <f>IF(NOT(ISNUMBER($A934)),NA(),IFERROR(1*INDEX(BBG_Data!$L$2:$L$4000,MATCH($A934,BBG_Data!$K$2:$K$4000,0)),NA()))</f>
        <v/>
      </c>
      <c r="S934" s="20">
        <f>IF(AND(ISNUMBER(B934),ISNUMBER(Q934),ISNUMBER(R934)),(B934-Q934-R934)*100,NA())</f>
        <v/>
      </c>
      <c r="T934" s="20">
        <f>IF(AND(ISNUMBER(B934),Settings!$B$17&gt;0),IF(ISNUMBER(INDEX($B:$B,Settings!$B$17)),(B934-INDEX($B:$B,Settings!$B$17))*100,NA()),NA())</f>
        <v/>
      </c>
      <c r="U934" s="20">
        <f>IF(AND(ISNUMBER(Q934),Settings!$B$17&gt;0),IF(ISNUMBER(INDEX($Q:$Q,Settings!$B$17)),(Q934-INDEX($Q:$Q,Settings!$B$17))*100,NA()),NA())</f>
        <v/>
      </c>
      <c r="V934" s="20">
        <f>IF(AND(ISNUMBER(R934),Settings!$B$17&gt;0),IF(ISNUMBER(INDEX($R:$R,Settings!$B$17)),(R934-INDEX($R:$R,Settings!$B$17))*100,NA()),NA())</f>
        <v/>
      </c>
      <c r="W934" s="20">
        <f>IF(AND(ISNUMBER(P934),Settings!$B$17&gt;0),IF(ISNUMBER(INDEX($P:$P,Settings!$B$17)),P934-INDEX($P:$P,Settings!$B$17),NA()),NA())</f>
        <v/>
      </c>
      <c r="X934" s="19">
        <f>IF(NOT(ISNUMBER($A934)),NA(),IF(OR($A934&lt;MIN(DKW_10Y!$A$2:$A$2918),$A934&gt;MAX(DKW_10Y!$A$2:$A$2918),Settings!$B$16&lt;MIN(DKW_10Y!$A$2:$A$2918)),NA(),(INDEX(DKW_10Y!$B$2:$B$2918,MATCH($A934,DKW_10Y!$A$2:$A$2918,1))-INDEX(DKW_10Y!$B$2:$B$2918,MATCH(Settings!$B$16,DKW_10Y!$A$2:$A$2918,1)))*100))</f>
        <v/>
      </c>
      <c r="Y934" s="19">
        <f>IF(NOT(ISNUMBER($A934)),NA(),IF(OR($A934&lt;MIN(DKW_10Y!$A$2:$A$2918),$A934&gt;MAX(DKW_10Y!$A$2:$A$2918),Settings!$B$16&lt;MIN(DKW_10Y!$A$2:$A$2918)),NA(),(INDEX(DKW_10Y!$C$2:$C$2918,MATCH($A934,DKW_10Y!$A$2:$A$2918,1))-INDEX(DKW_10Y!$C$2:$C$2918,MATCH(Settings!$B$16,DKW_10Y!$A$2:$A$2918,1)))*100))</f>
        <v/>
      </c>
      <c r="Z934" s="19">
        <f>IF(NOT(ISNUMBER($A934)),NA(),IF(OR($A934&lt;MIN(DKW_10Y!$A$2:$A$2918),$A934&gt;MAX(DKW_10Y!$A$2:$A$2918),Settings!$B$16&lt;MIN(DKW_10Y!$A$2:$A$2918)),NA(),(INDEX(DKW_10Y!$D$2:$D$2918,MATCH($A934,DKW_10Y!$A$2:$A$2918,1))-INDEX(DKW_10Y!$D$2:$D$2918,MATCH(Settings!$B$16,DKW_10Y!$A$2:$A$2918,1)))*100))</f>
        <v/>
      </c>
      <c r="AA934" s="19">
        <f>IF(NOT(ISNUMBER($A934)),NA(),IF(OR($A934&lt;MIN(DKW_10Y!$A$2:$A$2918),$A934&gt;MAX(DKW_10Y!$A$2:$A$2918),Settings!$B$16&lt;MIN(DKW_10Y!$A$2:$A$2918)),NA(),(INDEX(DKW_10Y!$E$2:$E$2918,MATCH($A934,DKW_10Y!$A$2:$A$2918,1))-INDEX(DKW_10Y!$E$2:$E$2918,MATCH(Settings!$B$16,DKW_10Y!$A$2:$A$2918,1)))*100))</f>
        <v/>
      </c>
      <c r="AB934" s="19">
        <f>IF(NOT(ISNUMBER($A934)),NA(),IF(OR($A934&lt;MIN(DKW_10Y!$A$2:$A$2918),$A934&gt;MAX(DKW_10Y!$A$2:$A$2918),Settings!$B$16&lt;MIN(DKW_10Y!$A$2:$A$2918)),NA(),(INDEX(DKW_10Y!$H$2:$H$2918,MATCH($A934,DKW_10Y!$A$2:$A$2918,1))-INDEX(DKW_10Y!$H$2:$H$2918,MATCH(Settings!$B$16,DKW_10Y!$A$2:$A$2918,1)))*100))</f>
        <v/>
      </c>
      <c r="AC934" s="18">
        <f>IF(NOT(ISNUMBER($A934)),NA(),IFERROR(1*INDEX(BBG_Data!$N$2:$N$4000,MATCH($A934,BBG_Data!$M$2:$M$4000,0)),NA()))</f>
        <v/>
      </c>
      <c r="AD934" s="18">
        <f>IF(NOT(ISNUMBER($A934)),NA(),IFERROR(1*INDEX(BBG_Data!$P$2:$P$4000,MATCH($A934,BBG_Data!$O$2:$O$4000,0)),NA()))</f>
        <v/>
      </c>
      <c r="AE934" s="18">
        <f>IF(NOT(ISNUMBER($A934)),NA(),IFERROR(1*INDEX(BBG_Data!$R$2:$R$4000,MATCH($A934,BBG_Data!$Q$2:$Q$4000,0)),NA()))</f>
        <v/>
      </c>
      <c r="AF934" s="20">
        <f>IF(AND(ISNUMBER(B934),ISNUMBER(AC934)),(B934-AC934)*100,NA())</f>
        <v/>
      </c>
      <c r="AG934" s="20">
        <f>IF(AND(ISNUMBER(AE934),ISNUMBER(AD934)),(AE934-AD934)*100,NA())</f>
        <v/>
      </c>
      <c r="AH934" s="19">
        <f>IF(NOT(ISNUMBER($A934)),NA(),IFERROR(INDEX(BBG_Data!$T$2:$T$4000,MATCH($A934,BBG_Data!$S$2:$S$4000,0))*Settings!$B$25,NA()))</f>
        <v/>
      </c>
      <c r="AI934" s="19">
        <f>IF(NOT(ISNUMBER($A934)),NA(),IFERROR(INDEX(BBG_Data!$V$2:$V$4000,MATCH($A934,BBG_Data!$U$2:$U$4000,0))*Settings!$B$25,NA()))</f>
        <v/>
      </c>
      <c r="AJ934" s="19">
        <f>IF(NOT(ISNUMBER($A934)),NA(),IFERROR(1*INDEX(BBG_Data!$X$2:$X$4000,MATCH($A934,BBG_Data!$W$2:$W$4000,0)),NA()))</f>
        <v/>
      </c>
      <c r="AK934" s="19">
        <f>IF(NOT(ISNUMBER($A934)),NA(),IFERROR(1*INDEX(BBG_Data!$Z$2:$Z$4000,MATCH($A934,BBG_Data!$Y$2:$Y$4000,0)),NA()))</f>
        <v/>
      </c>
    </row>
    <row r="935">
      <c r="A935" s="17">
        <f>IF(ISNUMBER(BBG_Data!A935),BBG_Data!A935,"")</f>
        <v/>
      </c>
      <c r="B935" s="18">
        <f>IF(AND(ISNUMBER($A935),ISNUMBER(BBG_Data!B935)),BBG_Data!B935,NA())</f>
        <v/>
      </c>
      <c r="C935" s="18">
        <f>IF(NOT(ISNUMBER($A935)),NA(),IFERROR(1*INDEX(BBG_Data!$D$2:$D$4000,MATCH($A935,BBG_Data!$C$2:$C$4000,0)),NA()))</f>
        <v/>
      </c>
      <c r="D935" s="19">
        <f>IF(NOT(ISNUMBER($A935)),NA(),IFERROR(1*INDEX(BBG_Data!$F$2:$F$4000,MATCH($A935,BBG_Data!$E$2:$E$4000,0)),NA()))</f>
        <v/>
      </c>
      <c r="E935" s="19">
        <f>IF(NOT(ISNUMBER($A935)),NA(),IFERROR(1*INDEX(BBG_Data!$H$2:$H$4000,MATCH($A935,BBG_Data!$G$2:$G$4000,0)),NA()))</f>
        <v/>
      </c>
      <c r="F935" s="20">
        <f>IF(AND(ISNUMBER(B935),ISNUMBER(B934)),IF(B935=B934,"",(B935-B934)*100),"")</f>
        <v/>
      </c>
      <c r="G935" s="20">
        <f>IF(AND(ISNUMBER(C935),ISNUMBER(C934)),IF(C935=C934,"",(C935-C934)*100),"")</f>
        <v/>
      </c>
      <c r="H935" s="20">
        <f>IF(OR(NOT(ISNUMBER($A935)),ROW()-2&lt;Settings!$B$11),NA(),IF(COUNT(OFFSET(F935,1-Settings!$B$11,0,Settings!$B$11,1))&lt;ROUNDUP(Settings!$B$11*Settings!$B$26,0),NA(),STDEV(OFFSET(F935,1-Settings!$B$11,0,Settings!$B$11,1))*SQRT(Settings!$B$13)))</f>
        <v/>
      </c>
      <c r="I935" s="20">
        <f>IF(OR(NOT(ISNUMBER($A935)),ROW()-2&lt;Settings!$B$12),NA(),IF(COUNT(OFFSET(F935,1-Settings!$B$12,0,Settings!$B$12,1))&lt;ROUNDUP(Settings!$B$12*Settings!$B$26,0),NA(),STDEV(OFFSET(F935,1-Settings!$B$12,0,Settings!$B$12,1))*SQRT(Settings!$B$13)))</f>
        <v/>
      </c>
      <c r="J935" s="20">
        <f>IF(OR(NOT(ISNUMBER($A935)),ROW()-2&lt;Settings!$B$11),NA(),IF(COUNT(OFFSET(G935,1-Settings!$B$11,0,Settings!$B$11,1))&lt;ROUNDUP(Settings!$B$11*Settings!$B$26,0),NA(),STDEV(OFFSET(G935,1-Settings!$B$11,0,Settings!$B$11,1))*SQRT(Settings!$B$13)))</f>
        <v/>
      </c>
      <c r="K935" s="20">
        <f>IF(OR(NOT(ISNUMBER($A935)),ROW()-2&lt;Settings!$B$12),NA(),IF(COUNT(OFFSET(G935,1-Settings!$B$12,0,Settings!$B$12,1))&lt;ROUNDUP(Settings!$B$12*Settings!$B$26,0),NA(),STDEV(OFFSET(G935,1-Settings!$B$12,0,Settings!$B$12,1))*SQRT(Settings!$B$13)))</f>
        <v/>
      </c>
      <c r="L935" s="20">
        <f>IF(AND(ISNUMBER(D935),ISNUMBER(H935)),D935-H935,NA())</f>
        <v/>
      </c>
      <c r="M935" s="20">
        <f>IF(AND(ISNUMBER(E935),ISNUMBER(K935)),E935-K935,NA())</f>
        <v/>
      </c>
      <c r="N935" s="20">
        <f>IF(NOT(ISNUMBER($A935)),NA(),IF(COUNT(OFFSET(G935,1,0,Settings!$B$12,1))&lt;ROUNDUP(Settings!$B$12*Settings!$B$26,0),NA(),STDEV(OFFSET(G935,1,0,Settings!$B$12,1))*SQRT(Settings!$B$13)))</f>
        <v/>
      </c>
      <c r="O935" s="20">
        <f>IF(AND(ISNUMBER(E935),ISNUMBER(N935)),E935-N935,NA())</f>
        <v/>
      </c>
      <c r="P935" s="19">
        <f>IF(NOT(ISNUMBER($A935)),NA(),IF(OR($A935&lt;MIN(KW_TP!$A$2:$A$2501),$A935&gt;MAX(KW_TP!$A$2:$A$2501)),NA(),INDEX(KW_TP!$C$2:$C$2501,MATCH($A935,KW_TP!$A$2:$A$2501,1))))</f>
        <v/>
      </c>
      <c r="Q935" s="18">
        <f>IF(NOT(ISNUMBER($A935)),NA(),IFERROR(1*INDEX(BBG_Data!$J$2:$J$4000,MATCH($A935,BBG_Data!$I$2:$I$4000,0)),NA()))</f>
        <v/>
      </c>
      <c r="R935" s="18">
        <f>IF(NOT(ISNUMBER($A935)),NA(),IFERROR(1*INDEX(BBG_Data!$L$2:$L$4000,MATCH($A935,BBG_Data!$K$2:$K$4000,0)),NA()))</f>
        <v/>
      </c>
      <c r="S935" s="20">
        <f>IF(AND(ISNUMBER(B935),ISNUMBER(Q935),ISNUMBER(R935)),(B935-Q935-R935)*100,NA())</f>
        <v/>
      </c>
      <c r="T935" s="20">
        <f>IF(AND(ISNUMBER(B935),Settings!$B$17&gt;0),IF(ISNUMBER(INDEX($B:$B,Settings!$B$17)),(B935-INDEX($B:$B,Settings!$B$17))*100,NA()),NA())</f>
        <v/>
      </c>
      <c r="U935" s="20">
        <f>IF(AND(ISNUMBER(Q935),Settings!$B$17&gt;0),IF(ISNUMBER(INDEX($Q:$Q,Settings!$B$17)),(Q935-INDEX($Q:$Q,Settings!$B$17))*100,NA()),NA())</f>
        <v/>
      </c>
      <c r="V935" s="20">
        <f>IF(AND(ISNUMBER(R935),Settings!$B$17&gt;0),IF(ISNUMBER(INDEX($R:$R,Settings!$B$17)),(R935-INDEX($R:$R,Settings!$B$17))*100,NA()),NA())</f>
        <v/>
      </c>
      <c r="W935" s="20">
        <f>IF(AND(ISNUMBER(P935),Settings!$B$17&gt;0),IF(ISNUMBER(INDEX($P:$P,Settings!$B$17)),P935-INDEX($P:$P,Settings!$B$17),NA()),NA())</f>
        <v/>
      </c>
      <c r="X935" s="19">
        <f>IF(NOT(ISNUMBER($A935)),NA(),IF(OR($A935&lt;MIN(DKW_10Y!$A$2:$A$2918),$A935&gt;MAX(DKW_10Y!$A$2:$A$2918),Settings!$B$16&lt;MIN(DKW_10Y!$A$2:$A$2918)),NA(),(INDEX(DKW_10Y!$B$2:$B$2918,MATCH($A935,DKW_10Y!$A$2:$A$2918,1))-INDEX(DKW_10Y!$B$2:$B$2918,MATCH(Settings!$B$16,DKW_10Y!$A$2:$A$2918,1)))*100))</f>
        <v/>
      </c>
      <c r="Y935" s="19">
        <f>IF(NOT(ISNUMBER($A935)),NA(),IF(OR($A935&lt;MIN(DKW_10Y!$A$2:$A$2918),$A935&gt;MAX(DKW_10Y!$A$2:$A$2918),Settings!$B$16&lt;MIN(DKW_10Y!$A$2:$A$2918)),NA(),(INDEX(DKW_10Y!$C$2:$C$2918,MATCH($A935,DKW_10Y!$A$2:$A$2918,1))-INDEX(DKW_10Y!$C$2:$C$2918,MATCH(Settings!$B$16,DKW_10Y!$A$2:$A$2918,1)))*100))</f>
        <v/>
      </c>
      <c r="Z935" s="19">
        <f>IF(NOT(ISNUMBER($A935)),NA(),IF(OR($A935&lt;MIN(DKW_10Y!$A$2:$A$2918),$A935&gt;MAX(DKW_10Y!$A$2:$A$2918),Settings!$B$16&lt;MIN(DKW_10Y!$A$2:$A$2918)),NA(),(INDEX(DKW_10Y!$D$2:$D$2918,MATCH($A935,DKW_10Y!$A$2:$A$2918,1))-INDEX(DKW_10Y!$D$2:$D$2918,MATCH(Settings!$B$16,DKW_10Y!$A$2:$A$2918,1)))*100))</f>
        <v/>
      </c>
      <c r="AA935" s="19">
        <f>IF(NOT(ISNUMBER($A935)),NA(),IF(OR($A935&lt;MIN(DKW_10Y!$A$2:$A$2918),$A935&gt;MAX(DKW_10Y!$A$2:$A$2918),Settings!$B$16&lt;MIN(DKW_10Y!$A$2:$A$2918)),NA(),(INDEX(DKW_10Y!$E$2:$E$2918,MATCH($A935,DKW_10Y!$A$2:$A$2918,1))-INDEX(DKW_10Y!$E$2:$E$2918,MATCH(Settings!$B$16,DKW_10Y!$A$2:$A$2918,1)))*100))</f>
        <v/>
      </c>
      <c r="AB935" s="19">
        <f>IF(NOT(ISNUMBER($A935)),NA(),IF(OR($A935&lt;MIN(DKW_10Y!$A$2:$A$2918),$A935&gt;MAX(DKW_10Y!$A$2:$A$2918),Settings!$B$16&lt;MIN(DKW_10Y!$A$2:$A$2918)),NA(),(INDEX(DKW_10Y!$H$2:$H$2918,MATCH($A935,DKW_10Y!$A$2:$A$2918,1))-INDEX(DKW_10Y!$H$2:$H$2918,MATCH(Settings!$B$16,DKW_10Y!$A$2:$A$2918,1)))*100))</f>
        <v/>
      </c>
      <c r="AC935" s="18">
        <f>IF(NOT(ISNUMBER($A935)),NA(),IFERROR(1*INDEX(BBG_Data!$N$2:$N$4000,MATCH($A935,BBG_Data!$M$2:$M$4000,0)),NA()))</f>
        <v/>
      </c>
      <c r="AD935" s="18">
        <f>IF(NOT(ISNUMBER($A935)),NA(),IFERROR(1*INDEX(BBG_Data!$P$2:$P$4000,MATCH($A935,BBG_Data!$O$2:$O$4000,0)),NA()))</f>
        <v/>
      </c>
      <c r="AE935" s="18">
        <f>IF(NOT(ISNUMBER($A935)),NA(),IFERROR(1*INDEX(BBG_Data!$R$2:$R$4000,MATCH($A935,BBG_Data!$Q$2:$Q$4000,0)),NA()))</f>
        <v/>
      </c>
      <c r="AF935" s="20">
        <f>IF(AND(ISNUMBER(B935),ISNUMBER(AC935)),(B935-AC935)*100,NA())</f>
        <v/>
      </c>
      <c r="AG935" s="20">
        <f>IF(AND(ISNUMBER(AE935),ISNUMBER(AD935)),(AE935-AD935)*100,NA())</f>
        <v/>
      </c>
      <c r="AH935" s="19">
        <f>IF(NOT(ISNUMBER($A935)),NA(),IFERROR(INDEX(BBG_Data!$T$2:$T$4000,MATCH($A935,BBG_Data!$S$2:$S$4000,0))*Settings!$B$25,NA()))</f>
        <v/>
      </c>
      <c r="AI935" s="19">
        <f>IF(NOT(ISNUMBER($A935)),NA(),IFERROR(INDEX(BBG_Data!$V$2:$V$4000,MATCH($A935,BBG_Data!$U$2:$U$4000,0))*Settings!$B$25,NA()))</f>
        <v/>
      </c>
      <c r="AJ935" s="19">
        <f>IF(NOT(ISNUMBER($A935)),NA(),IFERROR(1*INDEX(BBG_Data!$X$2:$X$4000,MATCH($A935,BBG_Data!$W$2:$W$4000,0)),NA()))</f>
        <v/>
      </c>
      <c r="AK935" s="19">
        <f>IF(NOT(ISNUMBER($A935)),NA(),IFERROR(1*INDEX(BBG_Data!$Z$2:$Z$4000,MATCH($A935,BBG_Data!$Y$2:$Y$4000,0)),NA()))</f>
        <v/>
      </c>
    </row>
    <row r="936">
      <c r="A936" s="17">
        <f>IF(ISNUMBER(BBG_Data!A936),BBG_Data!A936,"")</f>
        <v/>
      </c>
      <c r="B936" s="18">
        <f>IF(AND(ISNUMBER($A936),ISNUMBER(BBG_Data!B936)),BBG_Data!B936,NA())</f>
        <v/>
      </c>
      <c r="C936" s="18">
        <f>IF(NOT(ISNUMBER($A936)),NA(),IFERROR(1*INDEX(BBG_Data!$D$2:$D$4000,MATCH($A936,BBG_Data!$C$2:$C$4000,0)),NA()))</f>
        <v/>
      </c>
      <c r="D936" s="19">
        <f>IF(NOT(ISNUMBER($A936)),NA(),IFERROR(1*INDEX(BBG_Data!$F$2:$F$4000,MATCH($A936,BBG_Data!$E$2:$E$4000,0)),NA()))</f>
        <v/>
      </c>
      <c r="E936" s="19">
        <f>IF(NOT(ISNUMBER($A936)),NA(),IFERROR(1*INDEX(BBG_Data!$H$2:$H$4000,MATCH($A936,BBG_Data!$G$2:$G$4000,0)),NA()))</f>
        <v/>
      </c>
      <c r="F936" s="20">
        <f>IF(AND(ISNUMBER(B936),ISNUMBER(B935)),IF(B936=B935,"",(B936-B935)*100),"")</f>
        <v/>
      </c>
      <c r="G936" s="20">
        <f>IF(AND(ISNUMBER(C936),ISNUMBER(C935)),IF(C936=C935,"",(C936-C935)*100),"")</f>
        <v/>
      </c>
      <c r="H936" s="20">
        <f>IF(OR(NOT(ISNUMBER($A936)),ROW()-2&lt;Settings!$B$11),NA(),IF(COUNT(OFFSET(F936,1-Settings!$B$11,0,Settings!$B$11,1))&lt;ROUNDUP(Settings!$B$11*Settings!$B$26,0),NA(),STDEV(OFFSET(F936,1-Settings!$B$11,0,Settings!$B$11,1))*SQRT(Settings!$B$13)))</f>
        <v/>
      </c>
      <c r="I936" s="20">
        <f>IF(OR(NOT(ISNUMBER($A936)),ROW()-2&lt;Settings!$B$12),NA(),IF(COUNT(OFFSET(F936,1-Settings!$B$12,0,Settings!$B$12,1))&lt;ROUNDUP(Settings!$B$12*Settings!$B$26,0),NA(),STDEV(OFFSET(F936,1-Settings!$B$12,0,Settings!$B$12,1))*SQRT(Settings!$B$13)))</f>
        <v/>
      </c>
      <c r="J936" s="20">
        <f>IF(OR(NOT(ISNUMBER($A936)),ROW()-2&lt;Settings!$B$11),NA(),IF(COUNT(OFFSET(G936,1-Settings!$B$11,0,Settings!$B$11,1))&lt;ROUNDUP(Settings!$B$11*Settings!$B$26,0),NA(),STDEV(OFFSET(G936,1-Settings!$B$11,0,Settings!$B$11,1))*SQRT(Settings!$B$13)))</f>
        <v/>
      </c>
      <c r="K936" s="20">
        <f>IF(OR(NOT(ISNUMBER($A936)),ROW()-2&lt;Settings!$B$12),NA(),IF(COUNT(OFFSET(G936,1-Settings!$B$12,0,Settings!$B$12,1))&lt;ROUNDUP(Settings!$B$12*Settings!$B$26,0),NA(),STDEV(OFFSET(G936,1-Settings!$B$12,0,Settings!$B$12,1))*SQRT(Settings!$B$13)))</f>
        <v/>
      </c>
      <c r="L936" s="20">
        <f>IF(AND(ISNUMBER(D936),ISNUMBER(H936)),D936-H936,NA())</f>
        <v/>
      </c>
      <c r="M936" s="20">
        <f>IF(AND(ISNUMBER(E936),ISNUMBER(K936)),E936-K936,NA())</f>
        <v/>
      </c>
      <c r="N936" s="20">
        <f>IF(NOT(ISNUMBER($A936)),NA(),IF(COUNT(OFFSET(G936,1,0,Settings!$B$12,1))&lt;ROUNDUP(Settings!$B$12*Settings!$B$26,0),NA(),STDEV(OFFSET(G936,1,0,Settings!$B$12,1))*SQRT(Settings!$B$13)))</f>
        <v/>
      </c>
      <c r="O936" s="20">
        <f>IF(AND(ISNUMBER(E936),ISNUMBER(N936)),E936-N936,NA())</f>
        <v/>
      </c>
      <c r="P936" s="19">
        <f>IF(NOT(ISNUMBER($A936)),NA(),IF(OR($A936&lt;MIN(KW_TP!$A$2:$A$2501),$A936&gt;MAX(KW_TP!$A$2:$A$2501)),NA(),INDEX(KW_TP!$C$2:$C$2501,MATCH($A936,KW_TP!$A$2:$A$2501,1))))</f>
        <v/>
      </c>
      <c r="Q936" s="18">
        <f>IF(NOT(ISNUMBER($A936)),NA(),IFERROR(1*INDEX(BBG_Data!$J$2:$J$4000,MATCH($A936,BBG_Data!$I$2:$I$4000,0)),NA()))</f>
        <v/>
      </c>
      <c r="R936" s="18">
        <f>IF(NOT(ISNUMBER($A936)),NA(),IFERROR(1*INDEX(BBG_Data!$L$2:$L$4000,MATCH($A936,BBG_Data!$K$2:$K$4000,0)),NA()))</f>
        <v/>
      </c>
      <c r="S936" s="20">
        <f>IF(AND(ISNUMBER(B936),ISNUMBER(Q936),ISNUMBER(R936)),(B936-Q936-R936)*100,NA())</f>
        <v/>
      </c>
      <c r="T936" s="20">
        <f>IF(AND(ISNUMBER(B936),Settings!$B$17&gt;0),IF(ISNUMBER(INDEX($B:$B,Settings!$B$17)),(B936-INDEX($B:$B,Settings!$B$17))*100,NA()),NA())</f>
        <v/>
      </c>
      <c r="U936" s="20">
        <f>IF(AND(ISNUMBER(Q936),Settings!$B$17&gt;0),IF(ISNUMBER(INDEX($Q:$Q,Settings!$B$17)),(Q936-INDEX($Q:$Q,Settings!$B$17))*100,NA()),NA())</f>
        <v/>
      </c>
      <c r="V936" s="20">
        <f>IF(AND(ISNUMBER(R936),Settings!$B$17&gt;0),IF(ISNUMBER(INDEX($R:$R,Settings!$B$17)),(R936-INDEX($R:$R,Settings!$B$17))*100,NA()),NA())</f>
        <v/>
      </c>
      <c r="W936" s="20">
        <f>IF(AND(ISNUMBER(P936),Settings!$B$17&gt;0),IF(ISNUMBER(INDEX($P:$P,Settings!$B$17)),P936-INDEX($P:$P,Settings!$B$17),NA()),NA())</f>
        <v/>
      </c>
      <c r="X936" s="19">
        <f>IF(NOT(ISNUMBER($A936)),NA(),IF(OR($A936&lt;MIN(DKW_10Y!$A$2:$A$2918),$A936&gt;MAX(DKW_10Y!$A$2:$A$2918),Settings!$B$16&lt;MIN(DKW_10Y!$A$2:$A$2918)),NA(),(INDEX(DKW_10Y!$B$2:$B$2918,MATCH($A936,DKW_10Y!$A$2:$A$2918,1))-INDEX(DKW_10Y!$B$2:$B$2918,MATCH(Settings!$B$16,DKW_10Y!$A$2:$A$2918,1)))*100))</f>
        <v/>
      </c>
      <c r="Y936" s="19">
        <f>IF(NOT(ISNUMBER($A936)),NA(),IF(OR($A936&lt;MIN(DKW_10Y!$A$2:$A$2918),$A936&gt;MAX(DKW_10Y!$A$2:$A$2918),Settings!$B$16&lt;MIN(DKW_10Y!$A$2:$A$2918)),NA(),(INDEX(DKW_10Y!$C$2:$C$2918,MATCH($A936,DKW_10Y!$A$2:$A$2918,1))-INDEX(DKW_10Y!$C$2:$C$2918,MATCH(Settings!$B$16,DKW_10Y!$A$2:$A$2918,1)))*100))</f>
        <v/>
      </c>
      <c r="Z936" s="19">
        <f>IF(NOT(ISNUMBER($A936)),NA(),IF(OR($A936&lt;MIN(DKW_10Y!$A$2:$A$2918),$A936&gt;MAX(DKW_10Y!$A$2:$A$2918),Settings!$B$16&lt;MIN(DKW_10Y!$A$2:$A$2918)),NA(),(INDEX(DKW_10Y!$D$2:$D$2918,MATCH($A936,DKW_10Y!$A$2:$A$2918,1))-INDEX(DKW_10Y!$D$2:$D$2918,MATCH(Settings!$B$16,DKW_10Y!$A$2:$A$2918,1)))*100))</f>
        <v/>
      </c>
      <c r="AA936" s="19">
        <f>IF(NOT(ISNUMBER($A936)),NA(),IF(OR($A936&lt;MIN(DKW_10Y!$A$2:$A$2918),$A936&gt;MAX(DKW_10Y!$A$2:$A$2918),Settings!$B$16&lt;MIN(DKW_10Y!$A$2:$A$2918)),NA(),(INDEX(DKW_10Y!$E$2:$E$2918,MATCH($A936,DKW_10Y!$A$2:$A$2918,1))-INDEX(DKW_10Y!$E$2:$E$2918,MATCH(Settings!$B$16,DKW_10Y!$A$2:$A$2918,1)))*100))</f>
        <v/>
      </c>
      <c r="AB936" s="19">
        <f>IF(NOT(ISNUMBER($A936)),NA(),IF(OR($A936&lt;MIN(DKW_10Y!$A$2:$A$2918),$A936&gt;MAX(DKW_10Y!$A$2:$A$2918),Settings!$B$16&lt;MIN(DKW_10Y!$A$2:$A$2918)),NA(),(INDEX(DKW_10Y!$H$2:$H$2918,MATCH($A936,DKW_10Y!$A$2:$A$2918,1))-INDEX(DKW_10Y!$H$2:$H$2918,MATCH(Settings!$B$16,DKW_10Y!$A$2:$A$2918,1)))*100))</f>
        <v/>
      </c>
      <c r="AC936" s="18">
        <f>IF(NOT(ISNUMBER($A936)),NA(),IFERROR(1*INDEX(BBG_Data!$N$2:$N$4000,MATCH($A936,BBG_Data!$M$2:$M$4000,0)),NA()))</f>
        <v/>
      </c>
      <c r="AD936" s="18">
        <f>IF(NOT(ISNUMBER($A936)),NA(),IFERROR(1*INDEX(BBG_Data!$P$2:$P$4000,MATCH($A936,BBG_Data!$O$2:$O$4000,0)),NA()))</f>
        <v/>
      </c>
      <c r="AE936" s="18">
        <f>IF(NOT(ISNUMBER($A936)),NA(),IFERROR(1*INDEX(BBG_Data!$R$2:$R$4000,MATCH($A936,BBG_Data!$Q$2:$Q$4000,0)),NA()))</f>
        <v/>
      </c>
      <c r="AF936" s="20">
        <f>IF(AND(ISNUMBER(B936),ISNUMBER(AC936)),(B936-AC936)*100,NA())</f>
        <v/>
      </c>
      <c r="AG936" s="20">
        <f>IF(AND(ISNUMBER(AE936),ISNUMBER(AD936)),(AE936-AD936)*100,NA())</f>
        <v/>
      </c>
      <c r="AH936" s="19">
        <f>IF(NOT(ISNUMBER($A936)),NA(),IFERROR(INDEX(BBG_Data!$T$2:$T$4000,MATCH($A936,BBG_Data!$S$2:$S$4000,0))*Settings!$B$25,NA()))</f>
        <v/>
      </c>
      <c r="AI936" s="19">
        <f>IF(NOT(ISNUMBER($A936)),NA(),IFERROR(INDEX(BBG_Data!$V$2:$V$4000,MATCH($A936,BBG_Data!$U$2:$U$4000,0))*Settings!$B$25,NA()))</f>
        <v/>
      </c>
      <c r="AJ936" s="19">
        <f>IF(NOT(ISNUMBER($A936)),NA(),IFERROR(1*INDEX(BBG_Data!$X$2:$X$4000,MATCH($A936,BBG_Data!$W$2:$W$4000,0)),NA()))</f>
        <v/>
      </c>
      <c r="AK936" s="19">
        <f>IF(NOT(ISNUMBER($A936)),NA(),IFERROR(1*INDEX(BBG_Data!$Z$2:$Z$4000,MATCH($A936,BBG_Data!$Y$2:$Y$4000,0)),NA()))</f>
        <v/>
      </c>
    </row>
    <row r="937">
      <c r="A937" s="17">
        <f>IF(ISNUMBER(BBG_Data!A937),BBG_Data!A937,"")</f>
        <v/>
      </c>
      <c r="B937" s="18">
        <f>IF(AND(ISNUMBER($A937),ISNUMBER(BBG_Data!B937)),BBG_Data!B937,NA())</f>
        <v/>
      </c>
      <c r="C937" s="18">
        <f>IF(NOT(ISNUMBER($A937)),NA(),IFERROR(1*INDEX(BBG_Data!$D$2:$D$4000,MATCH($A937,BBG_Data!$C$2:$C$4000,0)),NA()))</f>
        <v/>
      </c>
      <c r="D937" s="19">
        <f>IF(NOT(ISNUMBER($A937)),NA(),IFERROR(1*INDEX(BBG_Data!$F$2:$F$4000,MATCH($A937,BBG_Data!$E$2:$E$4000,0)),NA()))</f>
        <v/>
      </c>
      <c r="E937" s="19">
        <f>IF(NOT(ISNUMBER($A937)),NA(),IFERROR(1*INDEX(BBG_Data!$H$2:$H$4000,MATCH($A937,BBG_Data!$G$2:$G$4000,0)),NA()))</f>
        <v/>
      </c>
      <c r="F937" s="20">
        <f>IF(AND(ISNUMBER(B937),ISNUMBER(B936)),IF(B937=B936,"",(B937-B936)*100),"")</f>
        <v/>
      </c>
      <c r="G937" s="20">
        <f>IF(AND(ISNUMBER(C937),ISNUMBER(C936)),IF(C937=C936,"",(C937-C936)*100),"")</f>
        <v/>
      </c>
      <c r="H937" s="20">
        <f>IF(OR(NOT(ISNUMBER($A937)),ROW()-2&lt;Settings!$B$11),NA(),IF(COUNT(OFFSET(F937,1-Settings!$B$11,0,Settings!$B$11,1))&lt;ROUNDUP(Settings!$B$11*Settings!$B$26,0),NA(),STDEV(OFFSET(F937,1-Settings!$B$11,0,Settings!$B$11,1))*SQRT(Settings!$B$13)))</f>
        <v/>
      </c>
      <c r="I937" s="20">
        <f>IF(OR(NOT(ISNUMBER($A937)),ROW()-2&lt;Settings!$B$12),NA(),IF(COUNT(OFFSET(F937,1-Settings!$B$12,0,Settings!$B$12,1))&lt;ROUNDUP(Settings!$B$12*Settings!$B$26,0),NA(),STDEV(OFFSET(F937,1-Settings!$B$12,0,Settings!$B$12,1))*SQRT(Settings!$B$13)))</f>
        <v/>
      </c>
      <c r="J937" s="20">
        <f>IF(OR(NOT(ISNUMBER($A937)),ROW()-2&lt;Settings!$B$11),NA(),IF(COUNT(OFFSET(G937,1-Settings!$B$11,0,Settings!$B$11,1))&lt;ROUNDUP(Settings!$B$11*Settings!$B$26,0),NA(),STDEV(OFFSET(G937,1-Settings!$B$11,0,Settings!$B$11,1))*SQRT(Settings!$B$13)))</f>
        <v/>
      </c>
      <c r="K937" s="20">
        <f>IF(OR(NOT(ISNUMBER($A937)),ROW()-2&lt;Settings!$B$12),NA(),IF(COUNT(OFFSET(G937,1-Settings!$B$12,0,Settings!$B$12,1))&lt;ROUNDUP(Settings!$B$12*Settings!$B$26,0),NA(),STDEV(OFFSET(G937,1-Settings!$B$12,0,Settings!$B$12,1))*SQRT(Settings!$B$13)))</f>
        <v/>
      </c>
      <c r="L937" s="20">
        <f>IF(AND(ISNUMBER(D937),ISNUMBER(H937)),D937-H937,NA())</f>
        <v/>
      </c>
      <c r="M937" s="20">
        <f>IF(AND(ISNUMBER(E937),ISNUMBER(K937)),E937-K937,NA())</f>
        <v/>
      </c>
      <c r="N937" s="20">
        <f>IF(NOT(ISNUMBER($A937)),NA(),IF(COUNT(OFFSET(G937,1,0,Settings!$B$12,1))&lt;ROUNDUP(Settings!$B$12*Settings!$B$26,0),NA(),STDEV(OFFSET(G937,1,0,Settings!$B$12,1))*SQRT(Settings!$B$13)))</f>
        <v/>
      </c>
      <c r="O937" s="20">
        <f>IF(AND(ISNUMBER(E937),ISNUMBER(N937)),E937-N937,NA())</f>
        <v/>
      </c>
      <c r="P937" s="19">
        <f>IF(NOT(ISNUMBER($A937)),NA(),IF(OR($A937&lt;MIN(KW_TP!$A$2:$A$2501),$A937&gt;MAX(KW_TP!$A$2:$A$2501)),NA(),INDEX(KW_TP!$C$2:$C$2501,MATCH($A937,KW_TP!$A$2:$A$2501,1))))</f>
        <v/>
      </c>
      <c r="Q937" s="18">
        <f>IF(NOT(ISNUMBER($A937)),NA(),IFERROR(1*INDEX(BBG_Data!$J$2:$J$4000,MATCH($A937,BBG_Data!$I$2:$I$4000,0)),NA()))</f>
        <v/>
      </c>
      <c r="R937" s="18">
        <f>IF(NOT(ISNUMBER($A937)),NA(),IFERROR(1*INDEX(BBG_Data!$L$2:$L$4000,MATCH($A937,BBG_Data!$K$2:$K$4000,0)),NA()))</f>
        <v/>
      </c>
      <c r="S937" s="20">
        <f>IF(AND(ISNUMBER(B937),ISNUMBER(Q937),ISNUMBER(R937)),(B937-Q937-R937)*100,NA())</f>
        <v/>
      </c>
      <c r="T937" s="20">
        <f>IF(AND(ISNUMBER(B937),Settings!$B$17&gt;0),IF(ISNUMBER(INDEX($B:$B,Settings!$B$17)),(B937-INDEX($B:$B,Settings!$B$17))*100,NA()),NA())</f>
        <v/>
      </c>
      <c r="U937" s="20">
        <f>IF(AND(ISNUMBER(Q937),Settings!$B$17&gt;0),IF(ISNUMBER(INDEX($Q:$Q,Settings!$B$17)),(Q937-INDEX($Q:$Q,Settings!$B$17))*100,NA()),NA())</f>
        <v/>
      </c>
      <c r="V937" s="20">
        <f>IF(AND(ISNUMBER(R937),Settings!$B$17&gt;0),IF(ISNUMBER(INDEX($R:$R,Settings!$B$17)),(R937-INDEX($R:$R,Settings!$B$17))*100,NA()),NA())</f>
        <v/>
      </c>
      <c r="W937" s="20">
        <f>IF(AND(ISNUMBER(P937),Settings!$B$17&gt;0),IF(ISNUMBER(INDEX($P:$P,Settings!$B$17)),P937-INDEX($P:$P,Settings!$B$17),NA()),NA())</f>
        <v/>
      </c>
      <c r="X937" s="19">
        <f>IF(NOT(ISNUMBER($A937)),NA(),IF(OR($A937&lt;MIN(DKW_10Y!$A$2:$A$2918),$A937&gt;MAX(DKW_10Y!$A$2:$A$2918),Settings!$B$16&lt;MIN(DKW_10Y!$A$2:$A$2918)),NA(),(INDEX(DKW_10Y!$B$2:$B$2918,MATCH($A937,DKW_10Y!$A$2:$A$2918,1))-INDEX(DKW_10Y!$B$2:$B$2918,MATCH(Settings!$B$16,DKW_10Y!$A$2:$A$2918,1)))*100))</f>
        <v/>
      </c>
      <c r="Y937" s="19">
        <f>IF(NOT(ISNUMBER($A937)),NA(),IF(OR($A937&lt;MIN(DKW_10Y!$A$2:$A$2918),$A937&gt;MAX(DKW_10Y!$A$2:$A$2918),Settings!$B$16&lt;MIN(DKW_10Y!$A$2:$A$2918)),NA(),(INDEX(DKW_10Y!$C$2:$C$2918,MATCH($A937,DKW_10Y!$A$2:$A$2918,1))-INDEX(DKW_10Y!$C$2:$C$2918,MATCH(Settings!$B$16,DKW_10Y!$A$2:$A$2918,1)))*100))</f>
        <v/>
      </c>
      <c r="Z937" s="19">
        <f>IF(NOT(ISNUMBER($A937)),NA(),IF(OR($A937&lt;MIN(DKW_10Y!$A$2:$A$2918),$A937&gt;MAX(DKW_10Y!$A$2:$A$2918),Settings!$B$16&lt;MIN(DKW_10Y!$A$2:$A$2918)),NA(),(INDEX(DKW_10Y!$D$2:$D$2918,MATCH($A937,DKW_10Y!$A$2:$A$2918,1))-INDEX(DKW_10Y!$D$2:$D$2918,MATCH(Settings!$B$16,DKW_10Y!$A$2:$A$2918,1)))*100))</f>
        <v/>
      </c>
      <c r="AA937" s="19">
        <f>IF(NOT(ISNUMBER($A937)),NA(),IF(OR($A937&lt;MIN(DKW_10Y!$A$2:$A$2918),$A937&gt;MAX(DKW_10Y!$A$2:$A$2918),Settings!$B$16&lt;MIN(DKW_10Y!$A$2:$A$2918)),NA(),(INDEX(DKW_10Y!$E$2:$E$2918,MATCH($A937,DKW_10Y!$A$2:$A$2918,1))-INDEX(DKW_10Y!$E$2:$E$2918,MATCH(Settings!$B$16,DKW_10Y!$A$2:$A$2918,1)))*100))</f>
        <v/>
      </c>
      <c r="AB937" s="19">
        <f>IF(NOT(ISNUMBER($A937)),NA(),IF(OR($A937&lt;MIN(DKW_10Y!$A$2:$A$2918),$A937&gt;MAX(DKW_10Y!$A$2:$A$2918),Settings!$B$16&lt;MIN(DKW_10Y!$A$2:$A$2918)),NA(),(INDEX(DKW_10Y!$H$2:$H$2918,MATCH($A937,DKW_10Y!$A$2:$A$2918,1))-INDEX(DKW_10Y!$H$2:$H$2918,MATCH(Settings!$B$16,DKW_10Y!$A$2:$A$2918,1)))*100))</f>
        <v/>
      </c>
      <c r="AC937" s="18">
        <f>IF(NOT(ISNUMBER($A937)),NA(),IFERROR(1*INDEX(BBG_Data!$N$2:$N$4000,MATCH($A937,BBG_Data!$M$2:$M$4000,0)),NA()))</f>
        <v/>
      </c>
      <c r="AD937" s="18">
        <f>IF(NOT(ISNUMBER($A937)),NA(),IFERROR(1*INDEX(BBG_Data!$P$2:$P$4000,MATCH($A937,BBG_Data!$O$2:$O$4000,0)),NA()))</f>
        <v/>
      </c>
      <c r="AE937" s="18">
        <f>IF(NOT(ISNUMBER($A937)),NA(),IFERROR(1*INDEX(BBG_Data!$R$2:$R$4000,MATCH($A937,BBG_Data!$Q$2:$Q$4000,0)),NA()))</f>
        <v/>
      </c>
      <c r="AF937" s="20">
        <f>IF(AND(ISNUMBER(B937),ISNUMBER(AC937)),(B937-AC937)*100,NA())</f>
        <v/>
      </c>
      <c r="AG937" s="20">
        <f>IF(AND(ISNUMBER(AE937),ISNUMBER(AD937)),(AE937-AD937)*100,NA())</f>
        <v/>
      </c>
      <c r="AH937" s="19">
        <f>IF(NOT(ISNUMBER($A937)),NA(),IFERROR(INDEX(BBG_Data!$T$2:$T$4000,MATCH($A937,BBG_Data!$S$2:$S$4000,0))*Settings!$B$25,NA()))</f>
        <v/>
      </c>
      <c r="AI937" s="19">
        <f>IF(NOT(ISNUMBER($A937)),NA(),IFERROR(INDEX(BBG_Data!$V$2:$V$4000,MATCH($A937,BBG_Data!$U$2:$U$4000,0))*Settings!$B$25,NA()))</f>
        <v/>
      </c>
      <c r="AJ937" s="19">
        <f>IF(NOT(ISNUMBER($A937)),NA(),IFERROR(1*INDEX(BBG_Data!$X$2:$X$4000,MATCH($A937,BBG_Data!$W$2:$W$4000,0)),NA()))</f>
        <v/>
      </c>
      <c r="AK937" s="19">
        <f>IF(NOT(ISNUMBER($A937)),NA(),IFERROR(1*INDEX(BBG_Data!$Z$2:$Z$4000,MATCH($A937,BBG_Data!$Y$2:$Y$4000,0)),NA()))</f>
        <v/>
      </c>
    </row>
    <row r="938">
      <c r="A938" s="17">
        <f>IF(ISNUMBER(BBG_Data!A938),BBG_Data!A938,"")</f>
        <v/>
      </c>
      <c r="B938" s="18">
        <f>IF(AND(ISNUMBER($A938),ISNUMBER(BBG_Data!B938)),BBG_Data!B938,NA())</f>
        <v/>
      </c>
      <c r="C938" s="18">
        <f>IF(NOT(ISNUMBER($A938)),NA(),IFERROR(1*INDEX(BBG_Data!$D$2:$D$4000,MATCH($A938,BBG_Data!$C$2:$C$4000,0)),NA()))</f>
        <v/>
      </c>
      <c r="D938" s="19">
        <f>IF(NOT(ISNUMBER($A938)),NA(),IFERROR(1*INDEX(BBG_Data!$F$2:$F$4000,MATCH($A938,BBG_Data!$E$2:$E$4000,0)),NA()))</f>
        <v/>
      </c>
      <c r="E938" s="19">
        <f>IF(NOT(ISNUMBER($A938)),NA(),IFERROR(1*INDEX(BBG_Data!$H$2:$H$4000,MATCH($A938,BBG_Data!$G$2:$G$4000,0)),NA()))</f>
        <v/>
      </c>
      <c r="F938" s="20">
        <f>IF(AND(ISNUMBER(B938),ISNUMBER(B937)),IF(B938=B937,"",(B938-B937)*100),"")</f>
        <v/>
      </c>
      <c r="G938" s="20">
        <f>IF(AND(ISNUMBER(C938),ISNUMBER(C937)),IF(C938=C937,"",(C938-C937)*100),"")</f>
        <v/>
      </c>
      <c r="H938" s="20">
        <f>IF(OR(NOT(ISNUMBER($A938)),ROW()-2&lt;Settings!$B$11),NA(),IF(COUNT(OFFSET(F938,1-Settings!$B$11,0,Settings!$B$11,1))&lt;ROUNDUP(Settings!$B$11*Settings!$B$26,0),NA(),STDEV(OFFSET(F938,1-Settings!$B$11,0,Settings!$B$11,1))*SQRT(Settings!$B$13)))</f>
        <v/>
      </c>
      <c r="I938" s="20">
        <f>IF(OR(NOT(ISNUMBER($A938)),ROW()-2&lt;Settings!$B$12),NA(),IF(COUNT(OFFSET(F938,1-Settings!$B$12,0,Settings!$B$12,1))&lt;ROUNDUP(Settings!$B$12*Settings!$B$26,0),NA(),STDEV(OFFSET(F938,1-Settings!$B$12,0,Settings!$B$12,1))*SQRT(Settings!$B$13)))</f>
        <v/>
      </c>
      <c r="J938" s="20">
        <f>IF(OR(NOT(ISNUMBER($A938)),ROW()-2&lt;Settings!$B$11),NA(),IF(COUNT(OFFSET(G938,1-Settings!$B$11,0,Settings!$B$11,1))&lt;ROUNDUP(Settings!$B$11*Settings!$B$26,0),NA(),STDEV(OFFSET(G938,1-Settings!$B$11,0,Settings!$B$11,1))*SQRT(Settings!$B$13)))</f>
        <v/>
      </c>
      <c r="K938" s="20">
        <f>IF(OR(NOT(ISNUMBER($A938)),ROW()-2&lt;Settings!$B$12),NA(),IF(COUNT(OFFSET(G938,1-Settings!$B$12,0,Settings!$B$12,1))&lt;ROUNDUP(Settings!$B$12*Settings!$B$26,0),NA(),STDEV(OFFSET(G938,1-Settings!$B$12,0,Settings!$B$12,1))*SQRT(Settings!$B$13)))</f>
        <v/>
      </c>
      <c r="L938" s="20">
        <f>IF(AND(ISNUMBER(D938),ISNUMBER(H938)),D938-H938,NA())</f>
        <v/>
      </c>
      <c r="M938" s="20">
        <f>IF(AND(ISNUMBER(E938),ISNUMBER(K938)),E938-K938,NA())</f>
        <v/>
      </c>
      <c r="N938" s="20">
        <f>IF(NOT(ISNUMBER($A938)),NA(),IF(COUNT(OFFSET(G938,1,0,Settings!$B$12,1))&lt;ROUNDUP(Settings!$B$12*Settings!$B$26,0),NA(),STDEV(OFFSET(G938,1,0,Settings!$B$12,1))*SQRT(Settings!$B$13)))</f>
        <v/>
      </c>
      <c r="O938" s="20">
        <f>IF(AND(ISNUMBER(E938),ISNUMBER(N938)),E938-N938,NA())</f>
        <v/>
      </c>
      <c r="P938" s="19">
        <f>IF(NOT(ISNUMBER($A938)),NA(),IF(OR($A938&lt;MIN(KW_TP!$A$2:$A$2501),$A938&gt;MAX(KW_TP!$A$2:$A$2501)),NA(),INDEX(KW_TP!$C$2:$C$2501,MATCH($A938,KW_TP!$A$2:$A$2501,1))))</f>
        <v/>
      </c>
      <c r="Q938" s="18">
        <f>IF(NOT(ISNUMBER($A938)),NA(),IFERROR(1*INDEX(BBG_Data!$J$2:$J$4000,MATCH($A938,BBG_Data!$I$2:$I$4000,0)),NA()))</f>
        <v/>
      </c>
      <c r="R938" s="18">
        <f>IF(NOT(ISNUMBER($A938)),NA(),IFERROR(1*INDEX(BBG_Data!$L$2:$L$4000,MATCH($A938,BBG_Data!$K$2:$K$4000,0)),NA()))</f>
        <v/>
      </c>
      <c r="S938" s="20">
        <f>IF(AND(ISNUMBER(B938),ISNUMBER(Q938),ISNUMBER(R938)),(B938-Q938-R938)*100,NA())</f>
        <v/>
      </c>
      <c r="T938" s="20">
        <f>IF(AND(ISNUMBER(B938),Settings!$B$17&gt;0),IF(ISNUMBER(INDEX($B:$B,Settings!$B$17)),(B938-INDEX($B:$B,Settings!$B$17))*100,NA()),NA())</f>
        <v/>
      </c>
      <c r="U938" s="20">
        <f>IF(AND(ISNUMBER(Q938),Settings!$B$17&gt;0),IF(ISNUMBER(INDEX($Q:$Q,Settings!$B$17)),(Q938-INDEX($Q:$Q,Settings!$B$17))*100,NA()),NA())</f>
        <v/>
      </c>
      <c r="V938" s="20">
        <f>IF(AND(ISNUMBER(R938),Settings!$B$17&gt;0),IF(ISNUMBER(INDEX($R:$R,Settings!$B$17)),(R938-INDEX($R:$R,Settings!$B$17))*100,NA()),NA())</f>
        <v/>
      </c>
      <c r="W938" s="20">
        <f>IF(AND(ISNUMBER(P938),Settings!$B$17&gt;0),IF(ISNUMBER(INDEX($P:$P,Settings!$B$17)),P938-INDEX($P:$P,Settings!$B$17),NA()),NA())</f>
        <v/>
      </c>
      <c r="X938" s="19">
        <f>IF(NOT(ISNUMBER($A938)),NA(),IF(OR($A938&lt;MIN(DKW_10Y!$A$2:$A$2918),$A938&gt;MAX(DKW_10Y!$A$2:$A$2918),Settings!$B$16&lt;MIN(DKW_10Y!$A$2:$A$2918)),NA(),(INDEX(DKW_10Y!$B$2:$B$2918,MATCH($A938,DKW_10Y!$A$2:$A$2918,1))-INDEX(DKW_10Y!$B$2:$B$2918,MATCH(Settings!$B$16,DKW_10Y!$A$2:$A$2918,1)))*100))</f>
        <v/>
      </c>
      <c r="Y938" s="19">
        <f>IF(NOT(ISNUMBER($A938)),NA(),IF(OR($A938&lt;MIN(DKW_10Y!$A$2:$A$2918),$A938&gt;MAX(DKW_10Y!$A$2:$A$2918),Settings!$B$16&lt;MIN(DKW_10Y!$A$2:$A$2918)),NA(),(INDEX(DKW_10Y!$C$2:$C$2918,MATCH($A938,DKW_10Y!$A$2:$A$2918,1))-INDEX(DKW_10Y!$C$2:$C$2918,MATCH(Settings!$B$16,DKW_10Y!$A$2:$A$2918,1)))*100))</f>
        <v/>
      </c>
      <c r="Z938" s="19">
        <f>IF(NOT(ISNUMBER($A938)),NA(),IF(OR($A938&lt;MIN(DKW_10Y!$A$2:$A$2918),$A938&gt;MAX(DKW_10Y!$A$2:$A$2918),Settings!$B$16&lt;MIN(DKW_10Y!$A$2:$A$2918)),NA(),(INDEX(DKW_10Y!$D$2:$D$2918,MATCH($A938,DKW_10Y!$A$2:$A$2918,1))-INDEX(DKW_10Y!$D$2:$D$2918,MATCH(Settings!$B$16,DKW_10Y!$A$2:$A$2918,1)))*100))</f>
        <v/>
      </c>
      <c r="AA938" s="19">
        <f>IF(NOT(ISNUMBER($A938)),NA(),IF(OR($A938&lt;MIN(DKW_10Y!$A$2:$A$2918),$A938&gt;MAX(DKW_10Y!$A$2:$A$2918),Settings!$B$16&lt;MIN(DKW_10Y!$A$2:$A$2918)),NA(),(INDEX(DKW_10Y!$E$2:$E$2918,MATCH($A938,DKW_10Y!$A$2:$A$2918,1))-INDEX(DKW_10Y!$E$2:$E$2918,MATCH(Settings!$B$16,DKW_10Y!$A$2:$A$2918,1)))*100))</f>
        <v/>
      </c>
      <c r="AB938" s="19">
        <f>IF(NOT(ISNUMBER($A938)),NA(),IF(OR($A938&lt;MIN(DKW_10Y!$A$2:$A$2918),$A938&gt;MAX(DKW_10Y!$A$2:$A$2918),Settings!$B$16&lt;MIN(DKW_10Y!$A$2:$A$2918)),NA(),(INDEX(DKW_10Y!$H$2:$H$2918,MATCH($A938,DKW_10Y!$A$2:$A$2918,1))-INDEX(DKW_10Y!$H$2:$H$2918,MATCH(Settings!$B$16,DKW_10Y!$A$2:$A$2918,1)))*100))</f>
        <v/>
      </c>
      <c r="AC938" s="18">
        <f>IF(NOT(ISNUMBER($A938)),NA(),IFERROR(1*INDEX(BBG_Data!$N$2:$N$4000,MATCH($A938,BBG_Data!$M$2:$M$4000,0)),NA()))</f>
        <v/>
      </c>
      <c r="AD938" s="18">
        <f>IF(NOT(ISNUMBER($A938)),NA(),IFERROR(1*INDEX(BBG_Data!$P$2:$P$4000,MATCH($A938,BBG_Data!$O$2:$O$4000,0)),NA()))</f>
        <v/>
      </c>
      <c r="AE938" s="18">
        <f>IF(NOT(ISNUMBER($A938)),NA(),IFERROR(1*INDEX(BBG_Data!$R$2:$R$4000,MATCH($A938,BBG_Data!$Q$2:$Q$4000,0)),NA()))</f>
        <v/>
      </c>
      <c r="AF938" s="20">
        <f>IF(AND(ISNUMBER(B938),ISNUMBER(AC938)),(B938-AC938)*100,NA())</f>
        <v/>
      </c>
      <c r="AG938" s="20">
        <f>IF(AND(ISNUMBER(AE938),ISNUMBER(AD938)),(AE938-AD938)*100,NA())</f>
        <v/>
      </c>
      <c r="AH938" s="19">
        <f>IF(NOT(ISNUMBER($A938)),NA(),IFERROR(INDEX(BBG_Data!$T$2:$T$4000,MATCH($A938,BBG_Data!$S$2:$S$4000,0))*Settings!$B$25,NA()))</f>
        <v/>
      </c>
      <c r="AI938" s="19">
        <f>IF(NOT(ISNUMBER($A938)),NA(),IFERROR(INDEX(BBG_Data!$V$2:$V$4000,MATCH($A938,BBG_Data!$U$2:$U$4000,0))*Settings!$B$25,NA()))</f>
        <v/>
      </c>
      <c r="AJ938" s="19">
        <f>IF(NOT(ISNUMBER($A938)),NA(),IFERROR(1*INDEX(BBG_Data!$X$2:$X$4000,MATCH($A938,BBG_Data!$W$2:$W$4000,0)),NA()))</f>
        <v/>
      </c>
      <c r="AK938" s="19">
        <f>IF(NOT(ISNUMBER($A938)),NA(),IFERROR(1*INDEX(BBG_Data!$Z$2:$Z$4000,MATCH($A938,BBG_Data!$Y$2:$Y$4000,0)),NA()))</f>
        <v/>
      </c>
    </row>
    <row r="939">
      <c r="A939" s="17">
        <f>IF(ISNUMBER(BBG_Data!A939),BBG_Data!A939,"")</f>
        <v/>
      </c>
      <c r="B939" s="18">
        <f>IF(AND(ISNUMBER($A939),ISNUMBER(BBG_Data!B939)),BBG_Data!B939,NA())</f>
        <v/>
      </c>
      <c r="C939" s="18">
        <f>IF(NOT(ISNUMBER($A939)),NA(),IFERROR(1*INDEX(BBG_Data!$D$2:$D$4000,MATCH($A939,BBG_Data!$C$2:$C$4000,0)),NA()))</f>
        <v/>
      </c>
      <c r="D939" s="19">
        <f>IF(NOT(ISNUMBER($A939)),NA(),IFERROR(1*INDEX(BBG_Data!$F$2:$F$4000,MATCH($A939,BBG_Data!$E$2:$E$4000,0)),NA()))</f>
        <v/>
      </c>
      <c r="E939" s="19">
        <f>IF(NOT(ISNUMBER($A939)),NA(),IFERROR(1*INDEX(BBG_Data!$H$2:$H$4000,MATCH($A939,BBG_Data!$G$2:$G$4000,0)),NA()))</f>
        <v/>
      </c>
      <c r="F939" s="20">
        <f>IF(AND(ISNUMBER(B939),ISNUMBER(B938)),IF(B939=B938,"",(B939-B938)*100),"")</f>
        <v/>
      </c>
      <c r="G939" s="20">
        <f>IF(AND(ISNUMBER(C939),ISNUMBER(C938)),IF(C939=C938,"",(C939-C938)*100),"")</f>
        <v/>
      </c>
      <c r="H939" s="20">
        <f>IF(OR(NOT(ISNUMBER($A939)),ROW()-2&lt;Settings!$B$11),NA(),IF(COUNT(OFFSET(F939,1-Settings!$B$11,0,Settings!$B$11,1))&lt;ROUNDUP(Settings!$B$11*Settings!$B$26,0),NA(),STDEV(OFFSET(F939,1-Settings!$B$11,0,Settings!$B$11,1))*SQRT(Settings!$B$13)))</f>
        <v/>
      </c>
      <c r="I939" s="20">
        <f>IF(OR(NOT(ISNUMBER($A939)),ROW()-2&lt;Settings!$B$12),NA(),IF(COUNT(OFFSET(F939,1-Settings!$B$12,0,Settings!$B$12,1))&lt;ROUNDUP(Settings!$B$12*Settings!$B$26,0),NA(),STDEV(OFFSET(F939,1-Settings!$B$12,0,Settings!$B$12,1))*SQRT(Settings!$B$13)))</f>
        <v/>
      </c>
      <c r="J939" s="20">
        <f>IF(OR(NOT(ISNUMBER($A939)),ROW()-2&lt;Settings!$B$11),NA(),IF(COUNT(OFFSET(G939,1-Settings!$B$11,0,Settings!$B$11,1))&lt;ROUNDUP(Settings!$B$11*Settings!$B$26,0),NA(),STDEV(OFFSET(G939,1-Settings!$B$11,0,Settings!$B$11,1))*SQRT(Settings!$B$13)))</f>
        <v/>
      </c>
      <c r="K939" s="20">
        <f>IF(OR(NOT(ISNUMBER($A939)),ROW()-2&lt;Settings!$B$12),NA(),IF(COUNT(OFFSET(G939,1-Settings!$B$12,0,Settings!$B$12,1))&lt;ROUNDUP(Settings!$B$12*Settings!$B$26,0),NA(),STDEV(OFFSET(G939,1-Settings!$B$12,0,Settings!$B$12,1))*SQRT(Settings!$B$13)))</f>
        <v/>
      </c>
      <c r="L939" s="20">
        <f>IF(AND(ISNUMBER(D939),ISNUMBER(H939)),D939-H939,NA())</f>
        <v/>
      </c>
      <c r="M939" s="20">
        <f>IF(AND(ISNUMBER(E939),ISNUMBER(K939)),E939-K939,NA())</f>
        <v/>
      </c>
      <c r="N939" s="20">
        <f>IF(NOT(ISNUMBER($A939)),NA(),IF(COUNT(OFFSET(G939,1,0,Settings!$B$12,1))&lt;ROUNDUP(Settings!$B$12*Settings!$B$26,0),NA(),STDEV(OFFSET(G939,1,0,Settings!$B$12,1))*SQRT(Settings!$B$13)))</f>
        <v/>
      </c>
      <c r="O939" s="20">
        <f>IF(AND(ISNUMBER(E939),ISNUMBER(N939)),E939-N939,NA())</f>
        <v/>
      </c>
      <c r="P939" s="19">
        <f>IF(NOT(ISNUMBER($A939)),NA(),IF(OR($A939&lt;MIN(KW_TP!$A$2:$A$2501),$A939&gt;MAX(KW_TP!$A$2:$A$2501)),NA(),INDEX(KW_TP!$C$2:$C$2501,MATCH($A939,KW_TP!$A$2:$A$2501,1))))</f>
        <v/>
      </c>
      <c r="Q939" s="18">
        <f>IF(NOT(ISNUMBER($A939)),NA(),IFERROR(1*INDEX(BBG_Data!$J$2:$J$4000,MATCH($A939,BBG_Data!$I$2:$I$4000,0)),NA()))</f>
        <v/>
      </c>
      <c r="R939" s="18">
        <f>IF(NOT(ISNUMBER($A939)),NA(),IFERROR(1*INDEX(BBG_Data!$L$2:$L$4000,MATCH($A939,BBG_Data!$K$2:$K$4000,0)),NA()))</f>
        <v/>
      </c>
      <c r="S939" s="20">
        <f>IF(AND(ISNUMBER(B939),ISNUMBER(Q939),ISNUMBER(R939)),(B939-Q939-R939)*100,NA())</f>
        <v/>
      </c>
      <c r="T939" s="20">
        <f>IF(AND(ISNUMBER(B939),Settings!$B$17&gt;0),IF(ISNUMBER(INDEX($B:$B,Settings!$B$17)),(B939-INDEX($B:$B,Settings!$B$17))*100,NA()),NA())</f>
        <v/>
      </c>
      <c r="U939" s="20">
        <f>IF(AND(ISNUMBER(Q939),Settings!$B$17&gt;0),IF(ISNUMBER(INDEX($Q:$Q,Settings!$B$17)),(Q939-INDEX($Q:$Q,Settings!$B$17))*100,NA()),NA())</f>
        <v/>
      </c>
      <c r="V939" s="20">
        <f>IF(AND(ISNUMBER(R939),Settings!$B$17&gt;0),IF(ISNUMBER(INDEX($R:$R,Settings!$B$17)),(R939-INDEX($R:$R,Settings!$B$17))*100,NA()),NA())</f>
        <v/>
      </c>
      <c r="W939" s="20">
        <f>IF(AND(ISNUMBER(P939),Settings!$B$17&gt;0),IF(ISNUMBER(INDEX($P:$P,Settings!$B$17)),P939-INDEX($P:$P,Settings!$B$17),NA()),NA())</f>
        <v/>
      </c>
      <c r="X939" s="19">
        <f>IF(NOT(ISNUMBER($A939)),NA(),IF(OR($A939&lt;MIN(DKW_10Y!$A$2:$A$2918),$A939&gt;MAX(DKW_10Y!$A$2:$A$2918),Settings!$B$16&lt;MIN(DKW_10Y!$A$2:$A$2918)),NA(),(INDEX(DKW_10Y!$B$2:$B$2918,MATCH($A939,DKW_10Y!$A$2:$A$2918,1))-INDEX(DKW_10Y!$B$2:$B$2918,MATCH(Settings!$B$16,DKW_10Y!$A$2:$A$2918,1)))*100))</f>
        <v/>
      </c>
      <c r="Y939" s="19">
        <f>IF(NOT(ISNUMBER($A939)),NA(),IF(OR($A939&lt;MIN(DKW_10Y!$A$2:$A$2918),$A939&gt;MAX(DKW_10Y!$A$2:$A$2918),Settings!$B$16&lt;MIN(DKW_10Y!$A$2:$A$2918)),NA(),(INDEX(DKW_10Y!$C$2:$C$2918,MATCH($A939,DKW_10Y!$A$2:$A$2918,1))-INDEX(DKW_10Y!$C$2:$C$2918,MATCH(Settings!$B$16,DKW_10Y!$A$2:$A$2918,1)))*100))</f>
        <v/>
      </c>
      <c r="Z939" s="19">
        <f>IF(NOT(ISNUMBER($A939)),NA(),IF(OR($A939&lt;MIN(DKW_10Y!$A$2:$A$2918),$A939&gt;MAX(DKW_10Y!$A$2:$A$2918),Settings!$B$16&lt;MIN(DKW_10Y!$A$2:$A$2918)),NA(),(INDEX(DKW_10Y!$D$2:$D$2918,MATCH($A939,DKW_10Y!$A$2:$A$2918,1))-INDEX(DKW_10Y!$D$2:$D$2918,MATCH(Settings!$B$16,DKW_10Y!$A$2:$A$2918,1)))*100))</f>
        <v/>
      </c>
      <c r="AA939" s="19">
        <f>IF(NOT(ISNUMBER($A939)),NA(),IF(OR($A939&lt;MIN(DKW_10Y!$A$2:$A$2918),$A939&gt;MAX(DKW_10Y!$A$2:$A$2918),Settings!$B$16&lt;MIN(DKW_10Y!$A$2:$A$2918)),NA(),(INDEX(DKW_10Y!$E$2:$E$2918,MATCH($A939,DKW_10Y!$A$2:$A$2918,1))-INDEX(DKW_10Y!$E$2:$E$2918,MATCH(Settings!$B$16,DKW_10Y!$A$2:$A$2918,1)))*100))</f>
        <v/>
      </c>
      <c r="AB939" s="19">
        <f>IF(NOT(ISNUMBER($A939)),NA(),IF(OR($A939&lt;MIN(DKW_10Y!$A$2:$A$2918),$A939&gt;MAX(DKW_10Y!$A$2:$A$2918),Settings!$B$16&lt;MIN(DKW_10Y!$A$2:$A$2918)),NA(),(INDEX(DKW_10Y!$H$2:$H$2918,MATCH($A939,DKW_10Y!$A$2:$A$2918,1))-INDEX(DKW_10Y!$H$2:$H$2918,MATCH(Settings!$B$16,DKW_10Y!$A$2:$A$2918,1)))*100))</f>
        <v/>
      </c>
      <c r="AC939" s="18">
        <f>IF(NOT(ISNUMBER($A939)),NA(),IFERROR(1*INDEX(BBG_Data!$N$2:$N$4000,MATCH($A939,BBG_Data!$M$2:$M$4000,0)),NA()))</f>
        <v/>
      </c>
      <c r="AD939" s="18">
        <f>IF(NOT(ISNUMBER($A939)),NA(),IFERROR(1*INDEX(BBG_Data!$P$2:$P$4000,MATCH($A939,BBG_Data!$O$2:$O$4000,0)),NA()))</f>
        <v/>
      </c>
      <c r="AE939" s="18">
        <f>IF(NOT(ISNUMBER($A939)),NA(),IFERROR(1*INDEX(BBG_Data!$R$2:$R$4000,MATCH($A939,BBG_Data!$Q$2:$Q$4000,0)),NA()))</f>
        <v/>
      </c>
      <c r="AF939" s="20">
        <f>IF(AND(ISNUMBER(B939),ISNUMBER(AC939)),(B939-AC939)*100,NA())</f>
        <v/>
      </c>
      <c r="AG939" s="20">
        <f>IF(AND(ISNUMBER(AE939),ISNUMBER(AD939)),(AE939-AD939)*100,NA())</f>
        <v/>
      </c>
      <c r="AH939" s="19">
        <f>IF(NOT(ISNUMBER($A939)),NA(),IFERROR(INDEX(BBG_Data!$T$2:$T$4000,MATCH($A939,BBG_Data!$S$2:$S$4000,0))*Settings!$B$25,NA()))</f>
        <v/>
      </c>
      <c r="AI939" s="19">
        <f>IF(NOT(ISNUMBER($A939)),NA(),IFERROR(INDEX(BBG_Data!$V$2:$V$4000,MATCH($A939,BBG_Data!$U$2:$U$4000,0))*Settings!$B$25,NA()))</f>
        <v/>
      </c>
      <c r="AJ939" s="19">
        <f>IF(NOT(ISNUMBER($A939)),NA(),IFERROR(1*INDEX(BBG_Data!$X$2:$X$4000,MATCH($A939,BBG_Data!$W$2:$W$4000,0)),NA()))</f>
        <v/>
      </c>
      <c r="AK939" s="19">
        <f>IF(NOT(ISNUMBER($A939)),NA(),IFERROR(1*INDEX(BBG_Data!$Z$2:$Z$4000,MATCH($A939,BBG_Data!$Y$2:$Y$4000,0)),NA()))</f>
        <v/>
      </c>
    </row>
    <row r="940">
      <c r="A940" s="17">
        <f>IF(ISNUMBER(BBG_Data!A940),BBG_Data!A940,"")</f>
        <v/>
      </c>
      <c r="B940" s="18">
        <f>IF(AND(ISNUMBER($A940),ISNUMBER(BBG_Data!B940)),BBG_Data!B940,NA())</f>
        <v/>
      </c>
      <c r="C940" s="18">
        <f>IF(NOT(ISNUMBER($A940)),NA(),IFERROR(1*INDEX(BBG_Data!$D$2:$D$4000,MATCH($A940,BBG_Data!$C$2:$C$4000,0)),NA()))</f>
        <v/>
      </c>
      <c r="D940" s="19">
        <f>IF(NOT(ISNUMBER($A940)),NA(),IFERROR(1*INDEX(BBG_Data!$F$2:$F$4000,MATCH($A940,BBG_Data!$E$2:$E$4000,0)),NA()))</f>
        <v/>
      </c>
      <c r="E940" s="19">
        <f>IF(NOT(ISNUMBER($A940)),NA(),IFERROR(1*INDEX(BBG_Data!$H$2:$H$4000,MATCH($A940,BBG_Data!$G$2:$G$4000,0)),NA()))</f>
        <v/>
      </c>
      <c r="F940" s="20">
        <f>IF(AND(ISNUMBER(B940),ISNUMBER(B939)),IF(B940=B939,"",(B940-B939)*100),"")</f>
        <v/>
      </c>
      <c r="G940" s="20">
        <f>IF(AND(ISNUMBER(C940),ISNUMBER(C939)),IF(C940=C939,"",(C940-C939)*100),"")</f>
        <v/>
      </c>
      <c r="H940" s="20">
        <f>IF(OR(NOT(ISNUMBER($A940)),ROW()-2&lt;Settings!$B$11),NA(),IF(COUNT(OFFSET(F940,1-Settings!$B$11,0,Settings!$B$11,1))&lt;ROUNDUP(Settings!$B$11*Settings!$B$26,0),NA(),STDEV(OFFSET(F940,1-Settings!$B$11,0,Settings!$B$11,1))*SQRT(Settings!$B$13)))</f>
        <v/>
      </c>
      <c r="I940" s="20">
        <f>IF(OR(NOT(ISNUMBER($A940)),ROW()-2&lt;Settings!$B$12),NA(),IF(COUNT(OFFSET(F940,1-Settings!$B$12,0,Settings!$B$12,1))&lt;ROUNDUP(Settings!$B$12*Settings!$B$26,0),NA(),STDEV(OFFSET(F940,1-Settings!$B$12,0,Settings!$B$12,1))*SQRT(Settings!$B$13)))</f>
        <v/>
      </c>
      <c r="J940" s="20">
        <f>IF(OR(NOT(ISNUMBER($A940)),ROW()-2&lt;Settings!$B$11),NA(),IF(COUNT(OFFSET(G940,1-Settings!$B$11,0,Settings!$B$11,1))&lt;ROUNDUP(Settings!$B$11*Settings!$B$26,0),NA(),STDEV(OFFSET(G940,1-Settings!$B$11,0,Settings!$B$11,1))*SQRT(Settings!$B$13)))</f>
        <v/>
      </c>
      <c r="K940" s="20">
        <f>IF(OR(NOT(ISNUMBER($A940)),ROW()-2&lt;Settings!$B$12),NA(),IF(COUNT(OFFSET(G940,1-Settings!$B$12,0,Settings!$B$12,1))&lt;ROUNDUP(Settings!$B$12*Settings!$B$26,0),NA(),STDEV(OFFSET(G940,1-Settings!$B$12,0,Settings!$B$12,1))*SQRT(Settings!$B$13)))</f>
        <v/>
      </c>
      <c r="L940" s="20">
        <f>IF(AND(ISNUMBER(D940),ISNUMBER(H940)),D940-H940,NA())</f>
        <v/>
      </c>
      <c r="M940" s="20">
        <f>IF(AND(ISNUMBER(E940),ISNUMBER(K940)),E940-K940,NA())</f>
        <v/>
      </c>
      <c r="N940" s="20">
        <f>IF(NOT(ISNUMBER($A940)),NA(),IF(COUNT(OFFSET(G940,1,0,Settings!$B$12,1))&lt;ROUNDUP(Settings!$B$12*Settings!$B$26,0),NA(),STDEV(OFFSET(G940,1,0,Settings!$B$12,1))*SQRT(Settings!$B$13)))</f>
        <v/>
      </c>
      <c r="O940" s="20">
        <f>IF(AND(ISNUMBER(E940),ISNUMBER(N940)),E940-N940,NA())</f>
        <v/>
      </c>
      <c r="P940" s="19">
        <f>IF(NOT(ISNUMBER($A940)),NA(),IF(OR($A940&lt;MIN(KW_TP!$A$2:$A$2501),$A940&gt;MAX(KW_TP!$A$2:$A$2501)),NA(),INDEX(KW_TP!$C$2:$C$2501,MATCH($A940,KW_TP!$A$2:$A$2501,1))))</f>
        <v/>
      </c>
      <c r="Q940" s="18">
        <f>IF(NOT(ISNUMBER($A940)),NA(),IFERROR(1*INDEX(BBG_Data!$J$2:$J$4000,MATCH($A940,BBG_Data!$I$2:$I$4000,0)),NA()))</f>
        <v/>
      </c>
      <c r="R940" s="18">
        <f>IF(NOT(ISNUMBER($A940)),NA(),IFERROR(1*INDEX(BBG_Data!$L$2:$L$4000,MATCH($A940,BBG_Data!$K$2:$K$4000,0)),NA()))</f>
        <v/>
      </c>
      <c r="S940" s="20">
        <f>IF(AND(ISNUMBER(B940),ISNUMBER(Q940),ISNUMBER(R940)),(B940-Q940-R940)*100,NA())</f>
        <v/>
      </c>
      <c r="T940" s="20">
        <f>IF(AND(ISNUMBER(B940),Settings!$B$17&gt;0),IF(ISNUMBER(INDEX($B:$B,Settings!$B$17)),(B940-INDEX($B:$B,Settings!$B$17))*100,NA()),NA())</f>
        <v/>
      </c>
      <c r="U940" s="20">
        <f>IF(AND(ISNUMBER(Q940),Settings!$B$17&gt;0),IF(ISNUMBER(INDEX($Q:$Q,Settings!$B$17)),(Q940-INDEX($Q:$Q,Settings!$B$17))*100,NA()),NA())</f>
        <v/>
      </c>
      <c r="V940" s="20">
        <f>IF(AND(ISNUMBER(R940),Settings!$B$17&gt;0),IF(ISNUMBER(INDEX($R:$R,Settings!$B$17)),(R940-INDEX($R:$R,Settings!$B$17))*100,NA()),NA())</f>
        <v/>
      </c>
      <c r="W940" s="20">
        <f>IF(AND(ISNUMBER(P940),Settings!$B$17&gt;0),IF(ISNUMBER(INDEX($P:$P,Settings!$B$17)),P940-INDEX($P:$P,Settings!$B$17),NA()),NA())</f>
        <v/>
      </c>
      <c r="X940" s="19">
        <f>IF(NOT(ISNUMBER($A940)),NA(),IF(OR($A940&lt;MIN(DKW_10Y!$A$2:$A$2918),$A940&gt;MAX(DKW_10Y!$A$2:$A$2918),Settings!$B$16&lt;MIN(DKW_10Y!$A$2:$A$2918)),NA(),(INDEX(DKW_10Y!$B$2:$B$2918,MATCH($A940,DKW_10Y!$A$2:$A$2918,1))-INDEX(DKW_10Y!$B$2:$B$2918,MATCH(Settings!$B$16,DKW_10Y!$A$2:$A$2918,1)))*100))</f>
        <v/>
      </c>
      <c r="Y940" s="19">
        <f>IF(NOT(ISNUMBER($A940)),NA(),IF(OR($A940&lt;MIN(DKW_10Y!$A$2:$A$2918),$A940&gt;MAX(DKW_10Y!$A$2:$A$2918),Settings!$B$16&lt;MIN(DKW_10Y!$A$2:$A$2918)),NA(),(INDEX(DKW_10Y!$C$2:$C$2918,MATCH($A940,DKW_10Y!$A$2:$A$2918,1))-INDEX(DKW_10Y!$C$2:$C$2918,MATCH(Settings!$B$16,DKW_10Y!$A$2:$A$2918,1)))*100))</f>
        <v/>
      </c>
      <c r="Z940" s="19">
        <f>IF(NOT(ISNUMBER($A940)),NA(),IF(OR($A940&lt;MIN(DKW_10Y!$A$2:$A$2918),$A940&gt;MAX(DKW_10Y!$A$2:$A$2918),Settings!$B$16&lt;MIN(DKW_10Y!$A$2:$A$2918)),NA(),(INDEX(DKW_10Y!$D$2:$D$2918,MATCH($A940,DKW_10Y!$A$2:$A$2918,1))-INDEX(DKW_10Y!$D$2:$D$2918,MATCH(Settings!$B$16,DKW_10Y!$A$2:$A$2918,1)))*100))</f>
        <v/>
      </c>
      <c r="AA940" s="19">
        <f>IF(NOT(ISNUMBER($A940)),NA(),IF(OR($A940&lt;MIN(DKW_10Y!$A$2:$A$2918),$A940&gt;MAX(DKW_10Y!$A$2:$A$2918),Settings!$B$16&lt;MIN(DKW_10Y!$A$2:$A$2918)),NA(),(INDEX(DKW_10Y!$E$2:$E$2918,MATCH($A940,DKW_10Y!$A$2:$A$2918,1))-INDEX(DKW_10Y!$E$2:$E$2918,MATCH(Settings!$B$16,DKW_10Y!$A$2:$A$2918,1)))*100))</f>
        <v/>
      </c>
      <c r="AB940" s="19">
        <f>IF(NOT(ISNUMBER($A940)),NA(),IF(OR($A940&lt;MIN(DKW_10Y!$A$2:$A$2918),$A940&gt;MAX(DKW_10Y!$A$2:$A$2918),Settings!$B$16&lt;MIN(DKW_10Y!$A$2:$A$2918)),NA(),(INDEX(DKW_10Y!$H$2:$H$2918,MATCH($A940,DKW_10Y!$A$2:$A$2918,1))-INDEX(DKW_10Y!$H$2:$H$2918,MATCH(Settings!$B$16,DKW_10Y!$A$2:$A$2918,1)))*100))</f>
        <v/>
      </c>
      <c r="AC940" s="18">
        <f>IF(NOT(ISNUMBER($A940)),NA(),IFERROR(1*INDEX(BBG_Data!$N$2:$N$4000,MATCH($A940,BBG_Data!$M$2:$M$4000,0)),NA()))</f>
        <v/>
      </c>
      <c r="AD940" s="18">
        <f>IF(NOT(ISNUMBER($A940)),NA(),IFERROR(1*INDEX(BBG_Data!$P$2:$P$4000,MATCH($A940,BBG_Data!$O$2:$O$4000,0)),NA()))</f>
        <v/>
      </c>
      <c r="AE940" s="18">
        <f>IF(NOT(ISNUMBER($A940)),NA(),IFERROR(1*INDEX(BBG_Data!$R$2:$R$4000,MATCH($A940,BBG_Data!$Q$2:$Q$4000,0)),NA()))</f>
        <v/>
      </c>
      <c r="AF940" s="20">
        <f>IF(AND(ISNUMBER(B940),ISNUMBER(AC940)),(B940-AC940)*100,NA())</f>
        <v/>
      </c>
      <c r="AG940" s="20">
        <f>IF(AND(ISNUMBER(AE940),ISNUMBER(AD940)),(AE940-AD940)*100,NA())</f>
        <v/>
      </c>
      <c r="AH940" s="19">
        <f>IF(NOT(ISNUMBER($A940)),NA(),IFERROR(INDEX(BBG_Data!$T$2:$T$4000,MATCH($A940,BBG_Data!$S$2:$S$4000,0))*Settings!$B$25,NA()))</f>
        <v/>
      </c>
      <c r="AI940" s="19">
        <f>IF(NOT(ISNUMBER($A940)),NA(),IFERROR(INDEX(BBG_Data!$V$2:$V$4000,MATCH($A940,BBG_Data!$U$2:$U$4000,0))*Settings!$B$25,NA()))</f>
        <v/>
      </c>
      <c r="AJ940" s="19">
        <f>IF(NOT(ISNUMBER($A940)),NA(),IFERROR(1*INDEX(BBG_Data!$X$2:$X$4000,MATCH($A940,BBG_Data!$W$2:$W$4000,0)),NA()))</f>
        <v/>
      </c>
      <c r="AK940" s="19">
        <f>IF(NOT(ISNUMBER($A940)),NA(),IFERROR(1*INDEX(BBG_Data!$Z$2:$Z$4000,MATCH($A940,BBG_Data!$Y$2:$Y$4000,0)),NA()))</f>
        <v/>
      </c>
    </row>
    <row r="941">
      <c r="A941" s="17">
        <f>IF(ISNUMBER(BBG_Data!A941),BBG_Data!A941,"")</f>
        <v/>
      </c>
      <c r="B941" s="18">
        <f>IF(AND(ISNUMBER($A941),ISNUMBER(BBG_Data!B941)),BBG_Data!B941,NA())</f>
        <v/>
      </c>
      <c r="C941" s="18">
        <f>IF(NOT(ISNUMBER($A941)),NA(),IFERROR(1*INDEX(BBG_Data!$D$2:$D$4000,MATCH($A941,BBG_Data!$C$2:$C$4000,0)),NA()))</f>
        <v/>
      </c>
      <c r="D941" s="19">
        <f>IF(NOT(ISNUMBER($A941)),NA(),IFERROR(1*INDEX(BBG_Data!$F$2:$F$4000,MATCH($A941,BBG_Data!$E$2:$E$4000,0)),NA()))</f>
        <v/>
      </c>
      <c r="E941" s="19">
        <f>IF(NOT(ISNUMBER($A941)),NA(),IFERROR(1*INDEX(BBG_Data!$H$2:$H$4000,MATCH($A941,BBG_Data!$G$2:$G$4000,0)),NA()))</f>
        <v/>
      </c>
      <c r="F941" s="20">
        <f>IF(AND(ISNUMBER(B941),ISNUMBER(B940)),IF(B941=B940,"",(B941-B940)*100),"")</f>
        <v/>
      </c>
      <c r="G941" s="20">
        <f>IF(AND(ISNUMBER(C941),ISNUMBER(C940)),IF(C941=C940,"",(C941-C940)*100),"")</f>
        <v/>
      </c>
      <c r="H941" s="20">
        <f>IF(OR(NOT(ISNUMBER($A941)),ROW()-2&lt;Settings!$B$11),NA(),IF(COUNT(OFFSET(F941,1-Settings!$B$11,0,Settings!$B$11,1))&lt;ROUNDUP(Settings!$B$11*Settings!$B$26,0),NA(),STDEV(OFFSET(F941,1-Settings!$B$11,0,Settings!$B$11,1))*SQRT(Settings!$B$13)))</f>
        <v/>
      </c>
      <c r="I941" s="20">
        <f>IF(OR(NOT(ISNUMBER($A941)),ROW()-2&lt;Settings!$B$12),NA(),IF(COUNT(OFFSET(F941,1-Settings!$B$12,0,Settings!$B$12,1))&lt;ROUNDUP(Settings!$B$12*Settings!$B$26,0),NA(),STDEV(OFFSET(F941,1-Settings!$B$12,0,Settings!$B$12,1))*SQRT(Settings!$B$13)))</f>
        <v/>
      </c>
      <c r="J941" s="20">
        <f>IF(OR(NOT(ISNUMBER($A941)),ROW()-2&lt;Settings!$B$11),NA(),IF(COUNT(OFFSET(G941,1-Settings!$B$11,0,Settings!$B$11,1))&lt;ROUNDUP(Settings!$B$11*Settings!$B$26,0),NA(),STDEV(OFFSET(G941,1-Settings!$B$11,0,Settings!$B$11,1))*SQRT(Settings!$B$13)))</f>
        <v/>
      </c>
      <c r="K941" s="20">
        <f>IF(OR(NOT(ISNUMBER($A941)),ROW()-2&lt;Settings!$B$12),NA(),IF(COUNT(OFFSET(G941,1-Settings!$B$12,0,Settings!$B$12,1))&lt;ROUNDUP(Settings!$B$12*Settings!$B$26,0),NA(),STDEV(OFFSET(G941,1-Settings!$B$12,0,Settings!$B$12,1))*SQRT(Settings!$B$13)))</f>
        <v/>
      </c>
      <c r="L941" s="20">
        <f>IF(AND(ISNUMBER(D941),ISNUMBER(H941)),D941-H941,NA())</f>
        <v/>
      </c>
      <c r="M941" s="20">
        <f>IF(AND(ISNUMBER(E941),ISNUMBER(K941)),E941-K941,NA())</f>
        <v/>
      </c>
      <c r="N941" s="20">
        <f>IF(NOT(ISNUMBER($A941)),NA(),IF(COUNT(OFFSET(G941,1,0,Settings!$B$12,1))&lt;ROUNDUP(Settings!$B$12*Settings!$B$26,0),NA(),STDEV(OFFSET(G941,1,0,Settings!$B$12,1))*SQRT(Settings!$B$13)))</f>
        <v/>
      </c>
      <c r="O941" s="20">
        <f>IF(AND(ISNUMBER(E941),ISNUMBER(N941)),E941-N941,NA())</f>
        <v/>
      </c>
      <c r="P941" s="19">
        <f>IF(NOT(ISNUMBER($A941)),NA(),IF(OR($A941&lt;MIN(KW_TP!$A$2:$A$2501),$A941&gt;MAX(KW_TP!$A$2:$A$2501)),NA(),INDEX(KW_TP!$C$2:$C$2501,MATCH($A941,KW_TP!$A$2:$A$2501,1))))</f>
        <v/>
      </c>
      <c r="Q941" s="18">
        <f>IF(NOT(ISNUMBER($A941)),NA(),IFERROR(1*INDEX(BBG_Data!$J$2:$J$4000,MATCH($A941,BBG_Data!$I$2:$I$4000,0)),NA()))</f>
        <v/>
      </c>
      <c r="R941" s="18">
        <f>IF(NOT(ISNUMBER($A941)),NA(),IFERROR(1*INDEX(BBG_Data!$L$2:$L$4000,MATCH($A941,BBG_Data!$K$2:$K$4000,0)),NA()))</f>
        <v/>
      </c>
      <c r="S941" s="20">
        <f>IF(AND(ISNUMBER(B941),ISNUMBER(Q941),ISNUMBER(R941)),(B941-Q941-R941)*100,NA())</f>
        <v/>
      </c>
      <c r="T941" s="20">
        <f>IF(AND(ISNUMBER(B941),Settings!$B$17&gt;0),IF(ISNUMBER(INDEX($B:$B,Settings!$B$17)),(B941-INDEX($B:$B,Settings!$B$17))*100,NA()),NA())</f>
        <v/>
      </c>
      <c r="U941" s="20">
        <f>IF(AND(ISNUMBER(Q941),Settings!$B$17&gt;0),IF(ISNUMBER(INDEX($Q:$Q,Settings!$B$17)),(Q941-INDEX($Q:$Q,Settings!$B$17))*100,NA()),NA())</f>
        <v/>
      </c>
      <c r="V941" s="20">
        <f>IF(AND(ISNUMBER(R941),Settings!$B$17&gt;0),IF(ISNUMBER(INDEX($R:$R,Settings!$B$17)),(R941-INDEX($R:$R,Settings!$B$17))*100,NA()),NA())</f>
        <v/>
      </c>
      <c r="W941" s="20">
        <f>IF(AND(ISNUMBER(P941),Settings!$B$17&gt;0),IF(ISNUMBER(INDEX($P:$P,Settings!$B$17)),P941-INDEX($P:$P,Settings!$B$17),NA()),NA())</f>
        <v/>
      </c>
      <c r="X941" s="19">
        <f>IF(NOT(ISNUMBER($A941)),NA(),IF(OR($A941&lt;MIN(DKW_10Y!$A$2:$A$2918),$A941&gt;MAX(DKW_10Y!$A$2:$A$2918),Settings!$B$16&lt;MIN(DKW_10Y!$A$2:$A$2918)),NA(),(INDEX(DKW_10Y!$B$2:$B$2918,MATCH($A941,DKW_10Y!$A$2:$A$2918,1))-INDEX(DKW_10Y!$B$2:$B$2918,MATCH(Settings!$B$16,DKW_10Y!$A$2:$A$2918,1)))*100))</f>
        <v/>
      </c>
      <c r="Y941" s="19">
        <f>IF(NOT(ISNUMBER($A941)),NA(),IF(OR($A941&lt;MIN(DKW_10Y!$A$2:$A$2918),$A941&gt;MAX(DKW_10Y!$A$2:$A$2918),Settings!$B$16&lt;MIN(DKW_10Y!$A$2:$A$2918)),NA(),(INDEX(DKW_10Y!$C$2:$C$2918,MATCH($A941,DKW_10Y!$A$2:$A$2918,1))-INDEX(DKW_10Y!$C$2:$C$2918,MATCH(Settings!$B$16,DKW_10Y!$A$2:$A$2918,1)))*100))</f>
        <v/>
      </c>
      <c r="Z941" s="19">
        <f>IF(NOT(ISNUMBER($A941)),NA(),IF(OR($A941&lt;MIN(DKW_10Y!$A$2:$A$2918),$A941&gt;MAX(DKW_10Y!$A$2:$A$2918),Settings!$B$16&lt;MIN(DKW_10Y!$A$2:$A$2918)),NA(),(INDEX(DKW_10Y!$D$2:$D$2918,MATCH($A941,DKW_10Y!$A$2:$A$2918,1))-INDEX(DKW_10Y!$D$2:$D$2918,MATCH(Settings!$B$16,DKW_10Y!$A$2:$A$2918,1)))*100))</f>
        <v/>
      </c>
      <c r="AA941" s="19">
        <f>IF(NOT(ISNUMBER($A941)),NA(),IF(OR($A941&lt;MIN(DKW_10Y!$A$2:$A$2918),$A941&gt;MAX(DKW_10Y!$A$2:$A$2918),Settings!$B$16&lt;MIN(DKW_10Y!$A$2:$A$2918)),NA(),(INDEX(DKW_10Y!$E$2:$E$2918,MATCH($A941,DKW_10Y!$A$2:$A$2918,1))-INDEX(DKW_10Y!$E$2:$E$2918,MATCH(Settings!$B$16,DKW_10Y!$A$2:$A$2918,1)))*100))</f>
        <v/>
      </c>
      <c r="AB941" s="19">
        <f>IF(NOT(ISNUMBER($A941)),NA(),IF(OR($A941&lt;MIN(DKW_10Y!$A$2:$A$2918),$A941&gt;MAX(DKW_10Y!$A$2:$A$2918),Settings!$B$16&lt;MIN(DKW_10Y!$A$2:$A$2918)),NA(),(INDEX(DKW_10Y!$H$2:$H$2918,MATCH($A941,DKW_10Y!$A$2:$A$2918,1))-INDEX(DKW_10Y!$H$2:$H$2918,MATCH(Settings!$B$16,DKW_10Y!$A$2:$A$2918,1)))*100))</f>
        <v/>
      </c>
      <c r="AC941" s="18">
        <f>IF(NOT(ISNUMBER($A941)),NA(),IFERROR(1*INDEX(BBG_Data!$N$2:$N$4000,MATCH($A941,BBG_Data!$M$2:$M$4000,0)),NA()))</f>
        <v/>
      </c>
      <c r="AD941" s="18">
        <f>IF(NOT(ISNUMBER($A941)),NA(),IFERROR(1*INDEX(BBG_Data!$P$2:$P$4000,MATCH($A941,BBG_Data!$O$2:$O$4000,0)),NA()))</f>
        <v/>
      </c>
      <c r="AE941" s="18">
        <f>IF(NOT(ISNUMBER($A941)),NA(),IFERROR(1*INDEX(BBG_Data!$R$2:$R$4000,MATCH($A941,BBG_Data!$Q$2:$Q$4000,0)),NA()))</f>
        <v/>
      </c>
      <c r="AF941" s="20">
        <f>IF(AND(ISNUMBER(B941),ISNUMBER(AC941)),(B941-AC941)*100,NA())</f>
        <v/>
      </c>
      <c r="AG941" s="20">
        <f>IF(AND(ISNUMBER(AE941),ISNUMBER(AD941)),(AE941-AD941)*100,NA())</f>
        <v/>
      </c>
      <c r="AH941" s="19">
        <f>IF(NOT(ISNUMBER($A941)),NA(),IFERROR(INDEX(BBG_Data!$T$2:$T$4000,MATCH($A941,BBG_Data!$S$2:$S$4000,0))*Settings!$B$25,NA()))</f>
        <v/>
      </c>
      <c r="AI941" s="19">
        <f>IF(NOT(ISNUMBER($A941)),NA(),IFERROR(INDEX(BBG_Data!$V$2:$V$4000,MATCH($A941,BBG_Data!$U$2:$U$4000,0))*Settings!$B$25,NA()))</f>
        <v/>
      </c>
      <c r="AJ941" s="19">
        <f>IF(NOT(ISNUMBER($A941)),NA(),IFERROR(1*INDEX(BBG_Data!$X$2:$X$4000,MATCH($A941,BBG_Data!$W$2:$W$4000,0)),NA()))</f>
        <v/>
      </c>
      <c r="AK941" s="19">
        <f>IF(NOT(ISNUMBER($A941)),NA(),IFERROR(1*INDEX(BBG_Data!$Z$2:$Z$4000,MATCH($A941,BBG_Data!$Y$2:$Y$4000,0)),NA()))</f>
        <v/>
      </c>
    </row>
    <row r="942">
      <c r="A942" s="17">
        <f>IF(ISNUMBER(BBG_Data!A942),BBG_Data!A942,"")</f>
        <v/>
      </c>
      <c r="B942" s="18">
        <f>IF(AND(ISNUMBER($A942),ISNUMBER(BBG_Data!B942)),BBG_Data!B942,NA())</f>
        <v/>
      </c>
      <c r="C942" s="18">
        <f>IF(NOT(ISNUMBER($A942)),NA(),IFERROR(1*INDEX(BBG_Data!$D$2:$D$4000,MATCH($A942,BBG_Data!$C$2:$C$4000,0)),NA()))</f>
        <v/>
      </c>
      <c r="D942" s="19">
        <f>IF(NOT(ISNUMBER($A942)),NA(),IFERROR(1*INDEX(BBG_Data!$F$2:$F$4000,MATCH($A942,BBG_Data!$E$2:$E$4000,0)),NA()))</f>
        <v/>
      </c>
      <c r="E942" s="19">
        <f>IF(NOT(ISNUMBER($A942)),NA(),IFERROR(1*INDEX(BBG_Data!$H$2:$H$4000,MATCH($A942,BBG_Data!$G$2:$G$4000,0)),NA()))</f>
        <v/>
      </c>
      <c r="F942" s="20">
        <f>IF(AND(ISNUMBER(B942),ISNUMBER(B941)),IF(B942=B941,"",(B942-B941)*100),"")</f>
        <v/>
      </c>
      <c r="G942" s="20">
        <f>IF(AND(ISNUMBER(C942),ISNUMBER(C941)),IF(C942=C941,"",(C942-C941)*100),"")</f>
        <v/>
      </c>
      <c r="H942" s="20">
        <f>IF(OR(NOT(ISNUMBER($A942)),ROW()-2&lt;Settings!$B$11),NA(),IF(COUNT(OFFSET(F942,1-Settings!$B$11,0,Settings!$B$11,1))&lt;ROUNDUP(Settings!$B$11*Settings!$B$26,0),NA(),STDEV(OFFSET(F942,1-Settings!$B$11,0,Settings!$B$11,1))*SQRT(Settings!$B$13)))</f>
        <v/>
      </c>
      <c r="I942" s="20">
        <f>IF(OR(NOT(ISNUMBER($A942)),ROW()-2&lt;Settings!$B$12),NA(),IF(COUNT(OFFSET(F942,1-Settings!$B$12,0,Settings!$B$12,1))&lt;ROUNDUP(Settings!$B$12*Settings!$B$26,0),NA(),STDEV(OFFSET(F942,1-Settings!$B$12,0,Settings!$B$12,1))*SQRT(Settings!$B$13)))</f>
        <v/>
      </c>
      <c r="J942" s="20">
        <f>IF(OR(NOT(ISNUMBER($A942)),ROW()-2&lt;Settings!$B$11),NA(),IF(COUNT(OFFSET(G942,1-Settings!$B$11,0,Settings!$B$11,1))&lt;ROUNDUP(Settings!$B$11*Settings!$B$26,0),NA(),STDEV(OFFSET(G942,1-Settings!$B$11,0,Settings!$B$11,1))*SQRT(Settings!$B$13)))</f>
        <v/>
      </c>
      <c r="K942" s="20">
        <f>IF(OR(NOT(ISNUMBER($A942)),ROW()-2&lt;Settings!$B$12),NA(),IF(COUNT(OFFSET(G942,1-Settings!$B$12,0,Settings!$B$12,1))&lt;ROUNDUP(Settings!$B$12*Settings!$B$26,0),NA(),STDEV(OFFSET(G942,1-Settings!$B$12,0,Settings!$B$12,1))*SQRT(Settings!$B$13)))</f>
        <v/>
      </c>
      <c r="L942" s="20">
        <f>IF(AND(ISNUMBER(D942),ISNUMBER(H942)),D942-H942,NA())</f>
        <v/>
      </c>
      <c r="M942" s="20">
        <f>IF(AND(ISNUMBER(E942),ISNUMBER(K942)),E942-K942,NA())</f>
        <v/>
      </c>
      <c r="N942" s="20">
        <f>IF(NOT(ISNUMBER($A942)),NA(),IF(COUNT(OFFSET(G942,1,0,Settings!$B$12,1))&lt;ROUNDUP(Settings!$B$12*Settings!$B$26,0),NA(),STDEV(OFFSET(G942,1,0,Settings!$B$12,1))*SQRT(Settings!$B$13)))</f>
        <v/>
      </c>
      <c r="O942" s="20">
        <f>IF(AND(ISNUMBER(E942),ISNUMBER(N942)),E942-N942,NA())</f>
        <v/>
      </c>
      <c r="P942" s="19">
        <f>IF(NOT(ISNUMBER($A942)),NA(),IF(OR($A942&lt;MIN(KW_TP!$A$2:$A$2501),$A942&gt;MAX(KW_TP!$A$2:$A$2501)),NA(),INDEX(KW_TP!$C$2:$C$2501,MATCH($A942,KW_TP!$A$2:$A$2501,1))))</f>
        <v/>
      </c>
      <c r="Q942" s="18">
        <f>IF(NOT(ISNUMBER($A942)),NA(),IFERROR(1*INDEX(BBG_Data!$J$2:$J$4000,MATCH($A942,BBG_Data!$I$2:$I$4000,0)),NA()))</f>
        <v/>
      </c>
      <c r="R942" s="18">
        <f>IF(NOT(ISNUMBER($A942)),NA(),IFERROR(1*INDEX(BBG_Data!$L$2:$L$4000,MATCH($A942,BBG_Data!$K$2:$K$4000,0)),NA()))</f>
        <v/>
      </c>
      <c r="S942" s="20">
        <f>IF(AND(ISNUMBER(B942),ISNUMBER(Q942),ISNUMBER(R942)),(B942-Q942-R942)*100,NA())</f>
        <v/>
      </c>
      <c r="T942" s="20">
        <f>IF(AND(ISNUMBER(B942),Settings!$B$17&gt;0),IF(ISNUMBER(INDEX($B:$B,Settings!$B$17)),(B942-INDEX($B:$B,Settings!$B$17))*100,NA()),NA())</f>
        <v/>
      </c>
      <c r="U942" s="20">
        <f>IF(AND(ISNUMBER(Q942),Settings!$B$17&gt;0),IF(ISNUMBER(INDEX($Q:$Q,Settings!$B$17)),(Q942-INDEX($Q:$Q,Settings!$B$17))*100,NA()),NA())</f>
        <v/>
      </c>
      <c r="V942" s="20">
        <f>IF(AND(ISNUMBER(R942),Settings!$B$17&gt;0),IF(ISNUMBER(INDEX($R:$R,Settings!$B$17)),(R942-INDEX($R:$R,Settings!$B$17))*100,NA()),NA())</f>
        <v/>
      </c>
      <c r="W942" s="20">
        <f>IF(AND(ISNUMBER(P942),Settings!$B$17&gt;0),IF(ISNUMBER(INDEX($P:$P,Settings!$B$17)),P942-INDEX($P:$P,Settings!$B$17),NA()),NA())</f>
        <v/>
      </c>
      <c r="X942" s="19">
        <f>IF(NOT(ISNUMBER($A942)),NA(),IF(OR($A942&lt;MIN(DKW_10Y!$A$2:$A$2918),$A942&gt;MAX(DKW_10Y!$A$2:$A$2918),Settings!$B$16&lt;MIN(DKW_10Y!$A$2:$A$2918)),NA(),(INDEX(DKW_10Y!$B$2:$B$2918,MATCH($A942,DKW_10Y!$A$2:$A$2918,1))-INDEX(DKW_10Y!$B$2:$B$2918,MATCH(Settings!$B$16,DKW_10Y!$A$2:$A$2918,1)))*100))</f>
        <v/>
      </c>
      <c r="Y942" s="19">
        <f>IF(NOT(ISNUMBER($A942)),NA(),IF(OR($A942&lt;MIN(DKW_10Y!$A$2:$A$2918),$A942&gt;MAX(DKW_10Y!$A$2:$A$2918),Settings!$B$16&lt;MIN(DKW_10Y!$A$2:$A$2918)),NA(),(INDEX(DKW_10Y!$C$2:$C$2918,MATCH($A942,DKW_10Y!$A$2:$A$2918,1))-INDEX(DKW_10Y!$C$2:$C$2918,MATCH(Settings!$B$16,DKW_10Y!$A$2:$A$2918,1)))*100))</f>
        <v/>
      </c>
      <c r="Z942" s="19">
        <f>IF(NOT(ISNUMBER($A942)),NA(),IF(OR($A942&lt;MIN(DKW_10Y!$A$2:$A$2918),$A942&gt;MAX(DKW_10Y!$A$2:$A$2918),Settings!$B$16&lt;MIN(DKW_10Y!$A$2:$A$2918)),NA(),(INDEX(DKW_10Y!$D$2:$D$2918,MATCH($A942,DKW_10Y!$A$2:$A$2918,1))-INDEX(DKW_10Y!$D$2:$D$2918,MATCH(Settings!$B$16,DKW_10Y!$A$2:$A$2918,1)))*100))</f>
        <v/>
      </c>
      <c r="AA942" s="19">
        <f>IF(NOT(ISNUMBER($A942)),NA(),IF(OR($A942&lt;MIN(DKW_10Y!$A$2:$A$2918),$A942&gt;MAX(DKW_10Y!$A$2:$A$2918),Settings!$B$16&lt;MIN(DKW_10Y!$A$2:$A$2918)),NA(),(INDEX(DKW_10Y!$E$2:$E$2918,MATCH($A942,DKW_10Y!$A$2:$A$2918,1))-INDEX(DKW_10Y!$E$2:$E$2918,MATCH(Settings!$B$16,DKW_10Y!$A$2:$A$2918,1)))*100))</f>
        <v/>
      </c>
      <c r="AB942" s="19">
        <f>IF(NOT(ISNUMBER($A942)),NA(),IF(OR($A942&lt;MIN(DKW_10Y!$A$2:$A$2918),$A942&gt;MAX(DKW_10Y!$A$2:$A$2918),Settings!$B$16&lt;MIN(DKW_10Y!$A$2:$A$2918)),NA(),(INDEX(DKW_10Y!$H$2:$H$2918,MATCH($A942,DKW_10Y!$A$2:$A$2918,1))-INDEX(DKW_10Y!$H$2:$H$2918,MATCH(Settings!$B$16,DKW_10Y!$A$2:$A$2918,1)))*100))</f>
        <v/>
      </c>
      <c r="AC942" s="18">
        <f>IF(NOT(ISNUMBER($A942)),NA(),IFERROR(1*INDEX(BBG_Data!$N$2:$N$4000,MATCH($A942,BBG_Data!$M$2:$M$4000,0)),NA()))</f>
        <v/>
      </c>
      <c r="AD942" s="18">
        <f>IF(NOT(ISNUMBER($A942)),NA(),IFERROR(1*INDEX(BBG_Data!$P$2:$P$4000,MATCH($A942,BBG_Data!$O$2:$O$4000,0)),NA()))</f>
        <v/>
      </c>
      <c r="AE942" s="18">
        <f>IF(NOT(ISNUMBER($A942)),NA(),IFERROR(1*INDEX(BBG_Data!$R$2:$R$4000,MATCH($A942,BBG_Data!$Q$2:$Q$4000,0)),NA()))</f>
        <v/>
      </c>
      <c r="AF942" s="20">
        <f>IF(AND(ISNUMBER(B942),ISNUMBER(AC942)),(B942-AC942)*100,NA())</f>
        <v/>
      </c>
      <c r="AG942" s="20">
        <f>IF(AND(ISNUMBER(AE942),ISNUMBER(AD942)),(AE942-AD942)*100,NA())</f>
        <v/>
      </c>
      <c r="AH942" s="19">
        <f>IF(NOT(ISNUMBER($A942)),NA(),IFERROR(INDEX(BBG_Data!$T$2:$T$4000,MATCH($A942,BBG_Data!$S$2:$S$4000,0))*Settings!$B$25,NA()))</f>
        <v/>
      </c>
      <c r="AI942" s="19">
        <f>IF(NOT(ISNUMBER($A942)),NA(),IFERROR(INDEX(BBG_Data!$V$2:$V$4000,MATCH($A942,BBG_Data!$U$2:$U$4000,0))*Settings!$B$25,NA()))</f>
        <v/>
      </c>
      <c r="AJ942" s="19">
        <f>IF(NOT(ISNUMBER($A942)),NA(),IFERROR(1*INDEX(BBG_Data!$X$2:$X$4000,MATCH($A942,BBG_Data!$W$2:$W$4000,0)),NA()))</f>
        <v/>
      </c>
      <c r="AK942" s="19">
        <f>IF(NOT(ISNUMBER($A942)),NA(),IFERROR(1*INDEX(BBG_Data!$Z$2:$Z$4000,MATCH($A942,BBG_Data!$Y$2:$Y$4000,0)),NA()))</f>
        <v/>
      </c>
    </row>
    <row r="943">
      <c r="A943" s="17">
        <f>IF(ISNUMBER(BBG_Data!A943),BBG_Data!A943,"")</f>
        <v/>
      </c>
      <c r="B943" s="18">
        <f>IF(AND(ISNUMBER($A943),ISNUMBER(BBG_Data!B943)),BBG_Data!B943,NA())</f>
        <v/>
      </c>
      <c r="C943" s="18">
        <f>IF(NOT(ISNUMBER($A943)),NA(),IFERROR(1*INDEX(BBG_Data!$D$2:$D$4000,MATCH($A943,BBG_Data!$C$2:$C$4000,0)),NA()))</f>
        <v/>
      </c>
      <c r="D943" s="19">
        <f>IF(NOT(ISNUMBER($A943)),NA(),IFERROR(1*INDEX(BBG_Data!$F$2:$F$4000,MATCH($A943,BBG_Data!$E$2:$E$4000,0)),NA()))</f>
        <v/>
      </c>
      <c r="E943" s="19">
        <f>IF(NOT(ISNUMBER($A943)),NA(),IFERROR(1*INDEX(BBG_Data!$H$2:$H$4000,MATCH($A943,BBG_Data!$G$2:$G$4000,0)),NA()))</f>
        <v/>
      </c>
      <c r="F943" s="20">
        <f>IF(AND(ISNUMBER(B943),ISNUMBER(B942)),IF(B943=B942,"",(B943-B942)*100),"")</f>
        <v/>
      </c>
      <c r="G943" s="20">
        <f>IF(AND(ISNUMBER(C943),ISNUMBER(C942)),IF(C943=C942,"",(C943-C942)*100),"")</f>
        <v/>
      </c>
      <c r="H943" s="20">
        <f>IF(OR(NOT(ISNUMBER($A943)),ROW()-2&lt;Settings!$B$11),NA(),IF(COUNT(OFFSET(F943,1-Settings!$B$11,0,Settings!$B$11,1))&lt;ROUNDUP(Settings!$B$11*Settings!$B$26,0),NA(),STDEV(OFFSET(F943,1-Settings!$B$11,0,Settings!$B$11,1))*SQRT(Settings!$B$13)))</f>
        <v/>
      </c>
      <c r="I943" s="20">
        <f>IF(OR(NOT(ISNUMBER($A943)),ROW()-2&lt;Settings!$B$12),NA(),IF(COUNT(OFFSET(F943,1-Settings!$B$12,0,Settings!$B$12,1))&lt;ROUNDUP(Settings!$B$12*Settings!$B$26,0),NA(),STDEV(OFFSET(F943,1-Settings!$B$12,0,Settings!$B$12,1))*SQRT(Settings!$B$13)))</f>
        <v/>
      </c>
      <c r="J943" s="20">
        <f>IF(OR(NOT(ISNUMBER($A943)),ROW()-2&lt;Settings!$B$11),NA(),IF(COUNT(OFFSET(G943,1-Settings!$B$11,0,Settings!$B$11,1))&lt;ROUNDUP(Settings!$B$11*Settings!$B$26,0),NA(),STDEV(OFFSET(G943,1-Settings!$B$11,0,Settings!$B$11,1))*SQRT(Settings!$B$13)))</f>
        <v/>
      </c>
      <c r="K943" s="20">
        <f>IF(OR(NOT(ISNUMBER($A943)),ROW()-2&lt;Settings!$B$12),NA(),IF(COUNT(OFFSET(G943,1-Settings!$B$12,0,Settings!$B$12,1))&lt;ROUNDUP(Settings!$B$12*Settings!$B$26,0),NA(),STDEV(OFFSET(G943,1-Settings!$B$12,0,Settings!$B$12,1))*SQRT(Settings!$B$13)))</f>
        <v/>
      </c>
      <c r="L943" s="20">
        <f>IF(AND(ISNUMBER(D943),ISNUMBER(H943)),D943-H943,NA())</f>
        <v/>
      </c>
      <c r="M943" s="20">
        <f>IF(AND(ISNUMBER(E943),ISNUMBER(K943)),E943-K943,NA())</f>
        <v/>
      </c>
      <c r="N943" s="20">
        <f>IF(NOT(ISNUMBER($A943)),NA(),IF(COUNT(OFFSET(G943,1,0,Settings!$B$12,1))&lt;ROUNDUP(Settings!$B$12*Settings!$B$26,0),NA(),STDEV(OFFSET(G943,1,0,Settings!$B$12,1))*SQRT(Settings!$B$13)))</f>
        <v/>
      </c>
      <c r="O943" s="20">
        <f>IF(AND(ISNUMBER(E943),ISNUMBER(N943)),E943-N943,NA())</f>
        <v/>
      </c>
      <c r="P943" s="19">
        <f>IF(NOT(ISNUMBER($A943)),NA(),IF(OR($A943&lt;MIN(KW_TP!$A$2:$A$2501),$A943&gt;MAX(KW_TP!$A$2:$A$2501)),NA(),INDEX(KW_TP!$C$2:$C$2501,MATCH($A943,KW_TP!$A$2:$A$2501,1))))</f>
        <v/>
      </c>
      <c r="Q943" s="18">
        <f>IF(NOT(ISNUMBER($A943)),NA(),IFERROR(1*INDEX(BBG_Data!$J$2:$J$4000,MATCH($A943,BBG_Data!$I$2:$I$4000,0)),NA()))</f>
        <v/>
      </c>
      <c r="R943" s="18">
        <f>IF(NOT(ISNUMBER($A943)),NA(),IFERROR(1*INDEX(BBG_Data!$L$2:$L$4000,MATCH($A943,BBG_Data!$K$2:$K$4000,0)),NA()))</f>
        <v/>
      </c>
      <c r="S943" s="20">
        <f>IF(AND(ISNUMBER(B943),ISNUMBER(Q943),ISNUMBER(R943)),(B943-Q943-R943)*100,NA())</f>
        <v/>
      </c>
      <c r="T943" s="20">
        <f>IF(AND(ISNUMBER(B943),Settings!$B$17&gt;0),IF(ISNUMBER(INDEX($B:$B,Settings!$B$17)),(B943-INDEX($B:$B,Settings!$B$17))*100,NA()),NA())</f>
        <v/>
      </c>
      <c r="U943" s="20">
        <f>IF(AND(ISNUMBER(Q943),Settings!$B$17&gt;0),IF(ISNUMBER(INDEX($Q:$Q,Settings!$B$17)),(Q943-INDEX($Q:$Q,Settings!$B$17))*100,NA()),NA())</f>
        <v/>
      </c>
      <c r="V943" s="20">
        <f>IF(AND(ISNUMBER(R943),Settings!$B$17&gt;0),IF(ISNUMBER(INDEX($R:$R,Settings!$B$17)),(R943-INDEX($R:$R,Settings!$B$17))*100,NA()),NA())</f>
        <v/>
      </c>
      <c r="W943" s="20">
        <f>IF(AND(ISNUMBER(P943),Settings!$B$17&gt;0),IF(ISNUMBER(INDEX($P:$P,Settings!$B$17)),P943-INDEX($P:$P,Settings!$B$17),NA()),NA())</f>
        <v/>
      </c>
      <c r="X943" s="19">
        <f>IF(NOT(ISNUMBER($A943)),NA(),IF(OR($A943&lt;MIN(DKW_10Y!$A$2:$A$2918),$A943&gt;MAX(DKW_10Y!$A$2:$A$2918),Settings!$B$16&lt;MIN(DKW_10Y!$A$2:$A$2918)),NA(),(INDEX(DKW_10Y!$B$2:$B$2918,MATCH($A943,DKW_10Y!$A$2:$A$2918,1))-INDEX(DKW_10Y!$B$2:$B$2918,MATCH(Settings!$B$16,DKW_10Y!$A$2:$A$2918,1)))*100))</f>
        <v/>
      </c>
      <c r="Y943" s="19">
        <f>IF(NOT(ISNUMBER($A943)),NA(),IF(OR($A943&lt;MIN(DKW_10Y!$A$2:$A$2918),$A943&gt;MAX(DKW_10Y!$A$2:$A$2918),Settings!$B$16&lt;MIN(DKW_10Y!$A$2:$A$2918)),NA(),(INDEX(DKW_10Y!$C$2:$C$2918,MATCH($A943,DKW_10Y!$A$2:$A$2918,1))-INDEX(DKW_10Y!$C$2:$C$2918,MATCH(Settings!$B$16,DKW_10Y!$A$2:$A$2918,1)))*100))</f>
        <v/>
      </c>
      <c r="Z943" s="19">
        <f>IF(NOT(ISNUMBER($A943)),NA(),IF(OR($A943&lt;MIN(DKW_10Y!$A$2:$A$2918),$A943&gt;MAX(DKW_10Y!$A$2:$A$2918),Settings!$B$16&lt;MIN(DKW_10Y!$A$2:$A$2918)),NA(),(INDEX(DKW_10Y!$D$2:$D$2918,MATCH($A943,DKW_10Y!$A$2:$A$2918,1))-INDEX(DKW_10Y!$D$2:$D$2918,MATCH(Settings!$B$16,DKW_10Y!$A$2:$A$2918,1)))*100))</f>
        <v/>
      </c>
      <c r="AA943" s="19">
        <f>IF(NOT(ISNUMBER($A943)),NA(),IF(OR($A943&lt;MIN(DKW_10Y!$A$2:$A$2918),$A943&gt;MAX(DKW_10Y!$A$2:$A$2918),Settings!$B$16&lt;MIN(DKW_10Y!$A$2:$A$2918)),NA(),(INDEX(DKW_10Y!$E$2:$E$2918,MATCH($A943,DKW_10Y!$A$2:$A$2918,1))-INDEX(DKW_10Y!$E$2:$E$2918,MATCH(Settings!$B$16,DKW_10Y!$A$2:$A$2918,1)))*100))</f>
        <v/>
      </c>
      <c r="AB943" s="19">
        <f>IF(NOT(ISNUMBER($A943)),NA(),IF(OR($A943&lt;MIN(DKW_10Y!$A$2:$A$2918),$A943&gt;MAX(DKW_10Y!$A$2:$A$2918),Settings!$B$16&lt;MIN(DKW_10Y!$A$2:$A$2918)),NA(),(INDEX(DKW_10Y!$H$2:$H$2918,MATCH($A943,DKW_10Y!$A$2:$A$2918,1))-INDEX(DKW_10Y!$H$2:$H$2918,MATCH(Settings!$B$16,DKW_10Y!$A$2:$A$2918,1)))*100))</f>
        <v/>
      </c>
      <c r="AC943" s="18">
        <f>IF(NOT(ISNUMBER($A943)),NA(),IFERROR(1*INDEX(BBG_Data!$N$2:$N$4000,MATCH($A943,BBG_Data!$M$2:$M$4000,0)),NA()))</f>
        <v/>
      </c>
      <c r="AD943" s="18">
        <f>IF(NOT(ISNUMBER($A943)),NA(),IFERROR(1*INDEX(BBG_Data!$P$2:$P$4000,MATCH($A943,BBG_Data!$O$2:$O$4000,0)),NA()))</f>
        <v/>
      </c>
      <c r="AE943" s="18">
        <f>IF(NOT(ISNUMBER($A943)),NA(),IFERROR(1*INDEX(BBG_Data!$R$2:$R$4000,MATCH($A943,BBG_Data!$Q$2:$Q$4000,0)),NA()))</f>
        <v/>
      </c>
      <c r="AF943" s="20">
        <f>IF(AND(ISNUMBER(B943),ISNUMBER(AC943)),(B943-AC943)*100,NA())</f>
        <v/>
      </c>
      <c r="AG943" s="20">
        <f>IF(AND(ISNUMBER(AE943),ISNUMBER(AD943)),(AE943-AD943)*100,NA())</f>
        <v/>
      </c>
      <c r="AH943" s="19">
        <f>IF(NOT(ISNUMBER($A943)),NA(),IFERROR(INDEX(BBG_Data!$T$2:$T$4000,MATCH($A943,BBG_Data!$S$2:$S$4000,0))*Settings!$B$25,NA()))</f>
        <v/>
      </c>
      <c r="AI943" s="19">
        <f>IF(NOT(ISNUMBER($A943)),NA(),IFERROR(INDEX(BBG_Data!$V$2:$V$4000,MATCH($A943,BBG_Data!$U$2:$U$4000,0))*Settings!$B$25,NA()))</f>
        <v/>
      </c>
      <c r="AJ943" s="19">
        <f>IF(NOT(ISNUMBER($A943)),NA(),IFERROR(1*INDEX(BBG_Data!$X$2:$X$4000,MATCH($A943,BBG_Data!$W$2:$W$4000,0)),NA()))</f>
        <v/>
      </c>
      <c r="AK943" s="19">
        <f>IF(NOT(ISNUMBER($A943)),NA(),IFERROR(1*INDEX(BBG_Data!$Z$2:$Z$4000,MATCH($A943,BBG_Data!$Y$2:$Y$4000,0)),NA()))</f>
        <v/>
      </c>
    </row>
    <row r="944">
      <c r="A944" s="17">
        <f>IF(ISNUMBER(BBG_Data!A944),BBG_Data!A944,"")</f>
        <v/>
      </c>
      <c r="B944" s="18">
        <f>IF(AND(ISNUMBER($A944),ISNUMBER(BBG_Data!B944)),BBG_Data!B944,NA())</f>
        <v/>
      </c>
      <c r="C944" s="18">
        <f>IF(NOT(ISNUMBER($A944)),NA(),IFERROR(1*INDEX(BBG_Data!$D$2:$D$4000,MATCH($A944,BBG_Data!$C$2:$C$4000,0)),NA()))</f>
        <v/>
      </c>
      <c r="D944" s="19">
        <f>IF(NOT(ISNUMBER($A944)),NA(),IFERROR(1*INDEX(BBG_Data!$F$2:$F$4000,MATCH($A944,BBG_Data!$E$2:$E$4000,0)),NA()))</f>
        <v/>
      </c>
      <c r="E944" s="19">
        <f>IF(NOT(ISNUMBER($A944)),NA(),IFERROR(1*INDEX(BBG_Data!$H$2:$H$4000,MATCH($A944,BBG_Data!$G$2:$G$4000,0)),NA()))</f>
        <v/>
      </c>
      <c r="F944" s="20">
        <f>IF(AND(ISNUMBER(B944),ISNUMBER(B943)),IF(B944=B943,"",(B944-B943)*100),"")</f>
        <v/>
      </c>
      <c r="G944" s="20">
        <f>IF(AND(ISNUMBER(C944),ISNUMBER(C943)),IF(C944=C943,"",(C944-C943)*100),"")</f>
        <v/>
      </c>
      <c r="H944" s="20">
        <f>IF(OR(NOT(ISNUMBER($A944)),ROW()-2&lt;Settings!$B$11),NA(),IF(COUNT(OFFSET(F944,1-Settings!$B$11,0,Settings!$B$11,1))&lt;ROUNDUP(Settings!$B$11*Settings!$B$26,0),NA(),STDEV(OFFSET(F944,1-Settings!$B$11,0,Settings!$B$11,1))*SQRT(Settings!$B$13)))</f>
        <v/>
      </c>
      <c r="I944" s="20">
        <f>IF(OR(NOT(ISNUMBER($A944)),ROW()-2&lt;Settings!$B$12),NA(),IF(COUNT(OFFSET(F944,1-Settings!$B$12,0,Settings!$B$12,1))&lt;ROUNDUP(Settings!$B$12*Settings!$B$26,0),NA(),STDEV(OFFSET(F944,1-Settings!$B$12,0,Settings!$B$12,1))*SQRT(Settings!$B$13)))</f>
        <v/>
      </c>
      <c r="J944" s="20">
        <f>IF(OR(NOT(ISNUMBER($A944)),ROW()-2&lt;Settings!$B$11),NA(),IF(COUNT(OFFSET(G944,1-Settings!$B$11,0,Settings!$B$11,1))&lt;ROUNDUP(Settings!$B$11*Settings!$B$26,0),NA(),STDEV(OFFSET(G944,1-Settings!$B$11,0,Settings!$B$11,1))*SQRT(Settings!$B$13)))</f>
        <v/>
      </c>
      <c r="K944" s="20">
        <f>IF(OR(NOT(ISNUMBER($A944)),ROW()-2&lt;Settings!$B$12),NA(),IF(COUNT(OFFSET(G944,1-Settings!$B$12,0,Settings!$B$12,1))&lt;ROUNDUP(Settings!$B$12*Settings!$B$26,0),NA(),STDEV(OFFSET(G944,1-Settings!$B$12,0,Settings!$B$12,1))*SQRT(Settings!$B$13)))</f>
        <v/>
      </c>
      <c r="L944" s="20">
        <f>IF(AND(ISNUMBER(D944),ISNUMBER(H944)),D944-H944,NA())</f>
        <v/>
      </c>
      <c r="M944" s="20">
        <f>IF(AND(ISNUMBER(E944),ISNUMBER(K944)),E944-K944,NA())</f>
        <v/>
      </c>
      <c r="N944" s="20">
        <f>IF(NOT(ISNUMBER($A944)),NA(),IF(COUNT(OFFSET(G944,1,0,Settings!$B$12,1))&lt;ROUNDUP(Settings!$B$12*Settings!$B$26,0),NA(),STDEV(OFFSET(G944,1,0,Settings!$B$12,1))*SQRT(Settings!$B$13)))</f>
        <v/>
      </c>
      <c r="O944" s="20">
        <f>IF(AND(ISNUMBER(E944),ISNUMBER(N944)),E944-N944,NA())</f>
        <v/>
      </c>
      <c r="P944" s="19">
        <f>IF(NOT(ISNUMBER($A944)),NA(),IF(OR($A944&lt;MIN(KW_TP!$A$2:$A$2501),$A944&gt;MAX(KW_TP!$A$2:$A$2501)),NA(),INDEX(KW_TP!$C$2:$C$2501,MATCH($A944,KW_TP!$A$2:$A$2501,1))))</f>
        <v/>
      </c>
      <c r="Q944" s="18">
        <f>IF(NOT(ISNUMBER($A944)),NA(),IFERROR(1*INDEX(BBG_Data!$J$2:$J$4000,MATCH($A944,BBG_Data!$I$2:$I$4000,0)),NA()))</f>
        <v/>
      </c>
      <c r="R944" s="18">
        <f>IF(NOT(ISNUMBER($A944)),NA(),IFERROR(1*INDEX(BBG_Data!$L$2:$L$4000,MATCH($A944,BBG_Data!$K$2:$K$4000,0)),NA()))</f>
        <v/>
      </c>
      <c r="S944" s="20">
        <f>IF(AND(ISNUMBER(B944),ISNUMBER(Q944),ISNUMBER(R944)),(B944-Q944-R944)*100,NA())</f>
        <v/>
      </c>
      <c r="T944" s="20">
        <f>IF(AND(ISNUMBER(B944),Settings!$B$17&gt;0),IF(ISNUMBER(INDEX($B:$B,Settings!$B$17)),(B944-INDEX($B:$B,Settings!$B$17))*100,NA()),NA())</f>
        <v/>
      </c>
      <c r="U944" s="20">
        <f>IF(AND(ISNUMBER(Q944),Settings!$B$17&gt;0),IF(ISNUMBER(INDEX($Q:$Q,Settings!$B$17)),(Q944-INDEX($Q:$Q,Settings!$B$17))*100,NA()),NA())</f>
        <v/>
      </c>
      <c r="V944" s="20">
        <f>IF(AND(ISNUMBER(R944),Settings!$B$17&gt;0),IF(ISNUMBER(INDEX($R:$R,Settings!$B$17)),(R944-INDEX($R:$R,Settings!$B$17))*100,NA()),NA())</f>
        <v/>
      </c>
      <c r="W944" s="20">
        <f>IF(AND(ISNUMBER(P944),Settings!$B$17&gt;0),IF(ISNUMBER(INDEX($P:$P,Settings!$B$17)),P944-INDEX($P:$P,Settings!$B$17),NA()),NA())</f>
        <v/>
      </c>
      <c r="X944" s="19">
        <f>IF(NOT(ISNUMBER($A944)),NA(),IF(OR($A944&lt;MIN(DKW_10Y!$A$2:$A$2918),$A944&gt;MAX(DKW_10Y!$A$2:$A$2918),Settings!$B$16&lt;MIN(DKW_10Y!$A$2:$A$2918)),NA(),(INDEX(DKW_10Y!$B$2:$B$2918,MATCH($A944,DKW_10Y!$A$2:$A$2918,1))-INDEX(DKW_10Y!$B$2:$B$2918,MATCH(Settings!$B$16,DKW_10Y!$A$2:$A$2918,1)))*100))</f>
        <v/>
      </c>
      <c r="Y944" s="19">
        <f>IF(NOT(ISNUMBER($A944)),NA(),IF(OR($A944&lt;MIN(DKW_10Y!$A$2:$A$2918),$A944&gt;MAX(DKW_10Y!$A$2:$A$2918),Settings!$B$16&lt;MIN(DKW_10Y!$A$2:$A$2918)),NA(),(INDEX(DKW_10Y!$C$2:$C$2918,MATCH($A944,DKW_10Y!$A$2:$A$2918,1))-INDEX(DKW_10Y!$C$2:$C$2918,MATCH(Settings!$B$16,DKW_10Y!$A$2:$A$2918,1)))*100))</f>
        <v/>
      </c>
      <c r="Z944" s="19">
        <f>IF(NOT(ISNUMBER($A944)),NA(),IF(OR($A944&lt;MIN(DKW_10Y!$A$2:$A$2918),$A944&gt;MAX(DKW_10Y!$A$2:$A$2918),Settings!$B$16&lt;MIN(DKW_10Y!$A$2:$A$2918)),NA(),(INDEX(DKW_10Y!$D$2:$D$2918,MATCH($A944,DKW_10Y!$A$2:$A$2918,1))-INDEX(DKW_10Y!$D$2:$D$2918,MATCH(Settings!$B$16,DKW_10Y!$A$2:$A$2918,1)))*100))</f>
        <v/>
      </c>
      <c r="AA944" s="19">
        <f>IF(NOT(ISNUMBER($A944)),NA(),IF(OR($A944&lt;MIN(DKW_10Y!$A$2:$A$2918),$A944&gt;MAX(DKW_10Y!$A$2:$A$2918),Settings!$B$16&lt;MIN(DKW_10Y!$A$2:$A$2918)),NA(),(INDEX(DKW_10Y!$E$2:$E$2918,MATCH($A944,DKW_10Y!$A$2:$A$2918,1))-INDEX(DKW_10Y!$E$2:$E$2918,MATCH(Settings!$B$16,DKW_10Y!$A$2:$A$2918,1)))*100))</f>
        <v/>
      </c>
      <c r="AB944" s="19">
        <f>IF(NOT(ISNUMBER($A944)),NA(),IF(OR($A944&lt;MIN(DKW_10Y!$A$2:$A$2918),$A944&gt;MAX(DKW_10Y!$A$2:$A$2918),Settings!$B$16&lt;MIN(DKW_10Y!$A$2:$A$2918)),NA(),(INDEX(DKW_10Y!$H$2:$H$2918,MATCH($A944,DKW_10Y!$A$2:$A$2918,1))-INDEX(DKW_10Y!$H$2:$H$2918,MATCH(Settings!$B$16,DKW_10Y!$A$2:$A$2918,1)))*100))</f>
        <v/>
      </c>
      <c r="AC944" s="18">
        <f>IF(NOT(ISNUMBER($A944)),NA(),IFERROR(1*INDEX(BBG_Data!$N$2:$N$4000,MATCH($A944,BBG_Data!$M$2:$M$4000,0)),NA()))</f>
        <v/>
      </c>
      <c r="AD944" s="18">
        <f>IF(NOT(ISNUMBER($A944)),NA(),IFERROR(1*INDEX(BBG_Data!$P$2:$P$4000,MATCH($A944,BBG_Data!$O$2:$O$4000,0)),NA()))</f>
        <v/>
      </c>
      <c r="AE944" s="18">
        <f>IF(NOT(ISNUMBER($A944)),NA(),IFERROR(1*INDEX(BBG_Data!$R$2:$R$4000,MATCH($A944,BBG_Data!$Q$2:$Q$4000,0)),NA()))</f>
        <v/>
      </c>
      <c r="AF944" s="20">
        <f>IF(AND(ISNUMBER(B944),ISNUMBER(AC944)),(B944-AC944)*100,NA())</f>
        <v/>
      </c>
      <c r="AG944" s="20">
        <f>IF(AND(ISNUMBER(AE944),ISNUMBER(AD944)),(AE944-AD944)*100,NA())</f>
        <v/>
      </c>
      <c r="AH944" s="19">
        <f>IF(NOT(ISNUMBER($A944)),NA(),IFERROR(INDEX(BBG_Data!$T$2:$T$4000,MATCH($A944,BBG_Data!$S$2:$S$4000,0))*Settings!$B$25,NA()))</f>
        <v/>
      </c>
      <c r="AI944" s="19">
        <f>IF(NOT(ISNUMBER($A944)),NA(),IFERROR(INDEX(BBG_Data!$V$2:$V$4000,MATCH($A944,BBG_Data!$U$2:$U$4000,0))*Settings!$B$25,NA()))</f>
        <v/>
      </c>
      <c r="AJ944" s="19">
        <f>IF(NOT(ISNUMBER($A944)),NA(),IFERROR(1*INDEX(BBG_Data!$X$2:$X$4000,MATCH($A944,BBG_Data!$W$2:$W$4000,0)),NA()))</f>
        <v/>
      </c>
      <c r="AK944" s="19">
        <f>IF(NOT(ISNUMBER($A944)),NA(),IFERROR(1*INDEX(BBG_Data!$Z$2:$Z$4000,MATCH($A944,BBG_Data!$Y$2:$Y$4000,0)),NA()))</f>
        <v/>
      </c>
    </row>
    <row r="945">
      <c r="A945" s="17">
        <f>IF(ISNUMBER(BBG_Data!A945),BBG_Data!A945,"")</f>
        <v/>
      </c>
      <c r="B945" s="18">
        <f>IF(AND(ISNUMBER($A945),ISNUMBER(BBG_Data!B945)),BBG_Data!B945,NA())</f>
        <v/>
      </c>
      <c r="C945" s="18">
        <f>IF(NOT(ISNUMBER($A945)),NA(),IFERROR(1*INDEX(BBG_Data!$D$2:$D$4000,MATCH($A945,BBG_Data!$C$2:$C$4000,0)),NA()))</f>
        <v/>
      </c>
      <c r="D945" s="19">
        <f>IF(NOT(ISNUMBER($A945)),NA(),IFERROR(1*INDEX(BBG_Data!$F$2:$F$4000,MATCH($A945,BBG_Data!$E$2:$E$4000,0)),NA()))</f>
        <v/>
      </c>
      <c r="E945" s="19">
        <f>IF(NOT(ISNUMBER($A945)),NA(),IFERROR(1*INDEX(BBG_Data!$H$2:$H$4000,MATCH($A945,BBG_Data!$G$2:$G$4000,0)),NA()))</f>
        <v/>
      </c>
      <c r="F945" s="20">
        <f>IF(AND(ISNUMBER(B945),ISNUMBER(B944)),IF(B945=B944,"",(B945-B944)*100),"")</f>
        <v/>
      </c>
      <c r="G945" s="20">
        <f>IF(AND(ISNUMBER(C945),ISNUMBER(C944)),IF(C945=C944,"",(C945-C944)*100),"")</f>
        <v/>
      </c>
      <c r="H945" s="20">
        <f>IF(OR(NOT(ISNUMBER($A945)),ROW()-2&lt;Settings!$B$11),NA(),IF(COUNT(OFFSET(F945,1-Settings!$B$11,0,Settings!$B$11,1))&lt;ROUNDUP(Settings!$B$11*Settings!$B$26,0),NA(),STDEV(OFFSET(F945,1-Settings!$B$11,0,Settings!$B$11,1))*SQRT(Settings!$B$13)))</f>
        <v/>
      </c>
      <c r="I945" s="20">
        <f>IF(OR(NOT(ISNUMBER($A945)),ROW()-2&lt;Settings!$B$12),NA(),IF(COUNT(OFFSET(F945,1-Settings!$B$12,0,Settings!$B$12,1))&lt;ROUNDUP(Settings!$B$12*Settings!$B$26,0),NA(),STDEV(OFFSET(F945,1-Settings!$B$12,0,Settings!$B$12,1))*SQRT(Settings!$B$13)))</f>
        <v/>
      </c>
      <c r="J945" s="20">
        <f>IF(OR(NOT(ISNUMBER($A945)),ROW()-2&lt;Settings!$B$11),NA(),IF(COUNT(OFFSET(G945,1-Settings!$B$11,0,Settings!$B$11,1))&lt;ROUNDUP(Settings!$B$11*Settings!$B$26,0),NA(),STDEV(OFFSET(G945,1-Settings!$B$11,0,Settings!$B$11,1))*SQRT(Settings!$B$13)))</f>
        <v/>
      </c>
      <c r="K945" s="20">
        <f>IF(OR(NOT(ISNUMBER($A945)),ROW()-2&lt;Settings!$B$12),NA(),IF(COUNT(OFFSET(G945,1-Settings!$B$12,0,Settings!$B$12,1))&lt;ROUNDUP(Settings!$B$12*Settings!$B$26,0),NA(),STDEV(OFFSET(G945,1-Settings!$B$12,0,Settings!$B$12,1))*SQRT(Settings!$B$13)))</f>
        <v/>
      </c>
      <c r="L945" s="20">
        <f>IF(AND(ISNUMBER(D945),ISNUMBER(H945)),D945-H945,NA())</f>
        <v/>
      </c>
      <c r="M945" s="20">
        <f>IF(AND(ISNUMBER(E945),ISNUMBER(K945)),E945-K945,NA())</f>
        <v/>
      </c>
      <c r="N945" s="20">
        <f>IF(NOT(ISNUMBER($A945)),NA(),IF(COUNT(OFFSET(G945,1,0,Settings!$B$12,1))&lt;ROUNDUP(Settings!$B$12*Settings!$B$26,0),NA(),STDEV(OFFSET(G945,1,0,Settings!$B$12,1))*SQRT(Settings!$B$13)))</f>
        <v/>
      </c>
      <c r="O945" s="20">
        <f>IF(AND(ISNUMBER(E945),ISNUMBER(N945)),E945-N945,NA())</f>
        <v/>
      </c>
      <c r="P945" s="19">
        <f>IF(NOT(ISNUMBER($A945)),NA(),IF(OR($A945&lt;MIN(KW_TP!$A$2:$A$2501),$A945&gt;MAX(KW_TP!$A$2:$A$2501)),NA(),INDEX(KW_TP!$C$2:$C$2501,MATCH($A945,KW_TP!$A$2:$A$2501,1))))</f>
        <v/>
      </c>
      <c r="Q945" s="18">
        <f>IF(NOT(ISNUMBER($A945)),NA(),IFERROR(1*INDEX(BBG_Data!$J$2:$J$4000,MATCH($A945,BBG_Data!$I$2:$I$4000,0)),NA()))</f>
        <v/>
      </c>
      <c r="R945" s="18">
        <f>IF(NOT(ISNUMBER($A945)),NA(),IFERROR(1*INDEX(BBG_Data!$L$2:$L$4000,MATCH($A945,BBG_Data!$K$2:$K$4000,0)),NA()))</f>
        <v/>
      </c>
      <c r="S945" s="20">
        <f>IF(AND(ISNUMBER(B945),ISNUMBER(Q945),ISNUMBER(R945)),(B945-Q945-R945)*100,NA())</f>
        <v/>
      </c>
      <c r="T945" s="20">
        <f>IF(AND(ISNUMBER(B945),Settings!$B$17&gt;0),IF(ISNUMBER(INDEX($B:$B,Settings!$B$17)),(B945-INDEX($B:$B,Settings!$B$17))*100,NA()),NA())</f>
        <v/>
      </c>
      <c r="U945" s="20">
        <f>IF(AND(ISNUMBER(Q945),Settings!$B$17&gt;0),IF(ISNUMBER(INDEX($Q:$Q,Settings!$B$17)),(Q945-INDEX($Q:$Q,Settings!$B$17))*100,NA()),NA())</f>
        <v/>
      </c>
      <c r="V945" s="20">
        <f>IF(AND(ISNUMBER(R945),Settings!$B$17&gt;0),IF(ISNUMBER(INDEX($R:$R,Settings!$B$17)),(R945-INDEX($R:$R,Settings!$B$17))*100,NA()),NA())</f>
        <v/>
      </c>
      <c r="W945" s="20">
        <f>IF(AND(ISNUMBER(P945),Settings!$B$17&gt;0),IF(ISNUMBER(INDEX($P:$P,Settings!$B$17)),P945-INDEX($P:$P,Settings!$B$17),NA()),NA())</f>
        <v/>
      </c>
      <c r="X945" s="19">
        <f>IF(NOT(ISNUMBER($A945)),NA(),IF(OR($A945&lt;MIN(DKW_10Y!$A$2:$A$2918),$A945&gt;MAX(DKW_10Y!$A$2:$A$2918),Settings!$B$16&lt;MIN(DKW_10Y!$A$2:$A$2918)),NA(),(INDEX(DKW_10Y!$B$2:$B$2918,MATCH($A945,DKW_10Y!$A$2:$A$2918,1))-INDEX(DKW_10Y!$B$2:$B$2918,MATCH(Settings!$B$16,DKW_10Y!$A$2:$A$2918,1)))*100))</f>
        <v/>
      </c>
      <c r="Y945" s="19">
        <f>IF(NOT(ISNUMBER($A945)),NA(),IF(OR($A945&lt;MIN(DKW_10Y!$A$2:$A$2918),$A945&gt;MAX(DKW_10Y!$A$2:$A$2918),Settings!$B$16&lt;MIN(DKW_10Y!$A$2:$A$2918)),NA(),(INDEX(DKW_10Y!$C$2:$C$2918,MATCH($A945,DKW_10Y!$A$2:$A$2918,1))-INDEX(DKW_10Y!$C$2:$C$2918,MATCH(Settings!$B$16,DKW_10Y!$A$2:$A$2918,1)))*100))</f>
        <v/>
      </c>
      <c r="Z945" s="19">
        <f>IF(NOT(ISNUMBER($A945)),NA(),IF(OR($A945&lt;MIN(DKW_10Y!$A$2:$A$2918),$A945&gt;MAX(DKW_10Y!$A$2:$A$2918),Settings!$B$16&lt;MIN(DKW_10Y!$A$2:$A$2918)),NA(),(INDEX(DKW_10Y!$D$2:$D$2918,MATCH($A945,DKW_10Y!$A$2:$A$2918,1))-INDEX(DKW_10Y!$D$2:$D$2918,MATCH(Settings!$B$16,DKW_10Y!$A$2:$A$2918,1)))*100))</f>
        <v/>
      </c>
      <c r="AA945" s="19">
        <f>IF(NOT(ISNUMBER($A945)),NA(),IF(OR($A945&lt;MIN(DKW_10Y!$A$2:$A$2918),$A945&gt;MAX(DKW_10Y!$A$2:$A$2918),Settings!$B$16&lt;MIN(DKW_10Y!$A$2:$A$2918)),NA(),(INDEX(DKW_10Y!$E$2:$E$2918,MATCH($A945,DKW_10Y!$A$2:$A$2918,1))-INDEX(DKW_10Y!$E$2:$E$2918,MATCH(Settings!$B$16,DKW_10Y!$A$2:$A$2918,1)))*100))</f>
        <v/>
      </c>
      <c r="AB945" s="19">
        <f>IF(NOT(ISNUMBER($A945)),NA(),IF(OR($A945&lt;MIN(DKW_10Y!$A$2:$A$2918),$A945&gt;MAX(DKW_10Y!$A$2:$A$2918),Settings!$B$16&lt;MIN(DKW_10Y!$A$2:$A$2918)),NA(),(INDEX(DKW_10Y!$H$2:$H$2918,MATCH($A945,DKW_10Y!$A$2:$A$2918,1))-INDEX(DKW_10Y!$H$2:$H$2918,MATCH(Settings!$B$16,DKW_10Y!$A$2:$A$2918,1)))*100))</f>
        <v/>
      </c>
      <c r="AC945" s="18">
        <f>IF(NOT(ISNUMBER($A945)),NA(),IFERROR(1*INDEX(BBG_Data!$N$2:$N$4000,MATCH($A945,BBG_Data!$M$2:$M$4000,0)),NA()))</f>
        <v/>
      </c>
      <c r="AD945" s="18">
        <f>IF(NOT(ISNUMBER($A945)),NA(),IFERROR(1*INDEX(BBG_Data!$P$2:$P$4000,MATCH($A945,BBG_Data!$O$2:$O$4000,0)),NA()))</f>
        <v/>
      </c>
      <c r="AE945" s="18">
        <f>IF(NOT(ISNUMBER($A945)),NA(),IFERROR(1*INDEX(BBG_Data!$R$2:$R$4000,MATCH($A945,BBG_Data!$Q$2:$Q$4000,0)),NA()))</f>
        <v/>
      </c>
      <c r="AF945" s="20">
        <f>IF(AND(ISNUMBER(B945),ISNUMBER(AC945)),(B945-AC945)*100,NA())</f>
        <v/>
      </c>
      <c r="AG945" s="20">
        <f>IF(AND(ISNUMBER(AE945),ISNUMBER(AD945)),(AE945-AD945)*100,NA())</f>
        <v/>
      </c>
      <c r="AH945" s="19">
        <f>IF(NOT(ISNUMBER($A945)),NA(),IFERROR(INDEX(BBG_Data!$T$2:$T$4000,MATCH($A945,BBG_Data!$S$2:$S$4000,0))*Settings!$B$25,NA()))</f>
        <v/>
      </c>
      <c r="AI945" s="19">
        <f>IF(NOT(ISNUMBER($A945)),NA(),IFERROR(INDEX(BBG_Data!$V$2:$V$4000,MATCH($A945,BBG_Data!$U$2:$U$4000,0))*Settings!$B$25,NA()))</f>
        <v/>
      </c>
      <c r="AJ945" s="19">
        <f>IF(NOT(ISNUMBER($A945)),NA(),IFERROR(1*INDEX(BBG_Data!$X$2:$X$4000,MATCH($A945,BBG_Data!$W$2:$W$4000,0)),NA()))</f>
        <v/>
      </c>
      <c r="AK945" s="19">
        <f>IF(NOT(ISNUMBER($A945)),NA(),IFERROR(1*INDEX(BBG_Data!$Z$2:$Z$4000,MATCH($A945,BBG_Data!$Y$2:$Y$4000,0)),NA()))</f>
        <v/>
      </c>
    </row>
    <row r="946">
      <c r="A946" s="17">
        <f>IF(ISNUMBER(BBG_Data!A946),BBG_Data!A946,"")</f>
        <v/>
      </c>
      <c r="B946" s="18">
        <f>IF(AND(ISNUMBER($A946),ISNUMBER(BBG_Data!B946)),BBG_Data!B946,NA())</f>
        <v/>
      </c>
      <c r="C946" s="18">
        <f>IF(NOT(ISNUMBER($A946)),NA(),IFERROR(1*INDEX(BBG_Data!$D$2:$D$4000,MATCH($A946,BBG_Data!$C$2:$C$4000,0)),NA()))</f>
        <v/>
      </c>
      <c r="D946" s="19">
        <f>IF(NOT(ISNUMBER($A946)),NA(),IFERROR(1*INDEX(BBG_Data!$F$2:$F$4000,MATCH($A946,BBG_Data!$E$2:$E$4000,0)),NA()))</f>
        <v/>
      </c>
      <c r="E946" s="19">
        <f>IF(NOT(ISNUMBER($A946)),NA(),IFERROR(1*INDEX(BBG_Data!$H$2:$H$4000,MATCH($A946,BBG_Data!$G$2:$G$4000,0)),NA()))</f>
        <v/>
      </c>
      <c r="F946" s="20">
        <f>IF(AND(ISNUMBER(B946),ISNUMBER(B945)),IF(B946=B945,"",(B946-B945)*100),"")</f>
        <v/>
      </c>
      <c r="G946" s="20">
        <f>IF(AND(ISNUMBER(C946),ISNUMBER(C945)),IF(C946=C945,"",(C946-C945)*100),"")</f>
        <v/>
      </c>
      <c r="H946" s="20">
        <f>IF(OR(NOT(ISNUMBER($A946)),ROW()-2&lt;Settings!$B$11),NA(),IF(COUNT(OFFSET(F946,1-Settings!$B$11,0,Settings!$B$11,1))&lt;ROUNDUP(Settings!$B$11*Settings!$B$26,0),NA(),STDEV(OFFSET(F946,1-Settings!$B$11,0,Settings!$B$11,1))*SQRT(Settings!$B$13)))</f>
        <v/>
      </c>
      <c r="I946" s="20">
        <f>IF(OR(NOT(ISNUMBER($A946)),ROW()-2&lt;Settings!$B$12),NA(),IF(COUNT(OFFSET(F946,1-Settings!$B$12,0,Settings!$B$12,1))&lt;ROUNDUP(Settings!$B$12*Settings!$B$26,0),NA(),STDEV(OFFSET(F946,1-Settings!$B$12,0,Settings!$B$12,1))*SQRT(Settings!$B$13)))</f>
        <v/>
      </c>
      <c r="J946" s="20">
        <f>IF(OR(NOT(ISNUMBER($A946)),ROW()-2&lt;Settings!$B$11),NA(),IF(COUNT(OFFSET(G946,1-Settings!$B$11,0,Settings!$B$11,1))&lt;ROUNDUP(Settings!$B$11*Settings!$B$26,0),NA(),STDEV(OFFSET(G946,1-Settings!$B$11,0,Settings!$B$11,1))*SQRT(Settings!$B$13)))</f>
        <v/>
      </c>
      <c r="K946" s="20">
        <f>IF(OR(NOT(ISNUMBER($A946)),ROW()-2&lt;Settings!$B$12),NA(),IF(COUNT(OFFSET(G946,1-Settings!$B$12,0,Settings!$B$12,1))&lt;ROUNDUP(Settings!$B$12*Settings!$B$26,0),NA(),STDEV(OFFSET(G946,1-Settings!$B$12,0,Settings!$B$12,1))*SQRT(Settings!$B$13)))</f>
        <v/>
      </c>
      <c r="L946" s="20">
        <f>IF(AND(ISNUMBER(D946),ISNUMBER(H946)),D946-H946,NA())</f>
        <v/>
      </c>
      <c r="M946" s="20">
        <f>IF(AND(ISNUMBER(E946),ISNUMBER(K946)),E946-K946,NA())</f>
        <v/>
      </c>
      <c r="N946" s="20">
        <f>IF(NOT(ISNUMBER($A946)),NA(),IF(COUNT(OFFSET(G946,1,0,Settings!$B$12,1))&lt;ROUNDUP(Settings!$B$12*Settings!$B$26,0),NA(),STDEV(OFFSET(G946,1,0,Settings!$B$12,1))*SQRT(Settings!$B$13)))</f>
        <v/>
      </c>
      <c r="O946" s="20">
        <f>IF(AND(ISNUMBER(E946),ISNUMBER(N946)),E946-N946,NA())</f>
        <v/>
      </c>
      <c r="P946" s="19">
        <f>IF(NOT(ISNUMBER($A946)),NA(),IF(OR($A946&lt;MIN(KW_TP!$A$2:$A$2501),$A946&gt;MAX(KW_TP!$A$2:$A$2501)),NA(),INDEX(KW_TP!$C$2:$C$2501,MATCH($A946,KW_TP!$A$2:$A$2501,1))))</f>
        <v/>
      </c>
      <c r="Q946" s="18">
        <f>IF(NOT(ISNUMBER($A946)),NA(),IFERROR(1*INDEX(BBG_Data!$J$2:$J$4000,MATCH($A946,BBG_Data!$I$2:$I$4000,0)),NA()))</f>
        <v/>
      </c>
      <c r="R946" s="18">
        <f>IF(NOT(ISNUMBER($A946)),NA(),IFERROR(1*INDEX(BBG_Data!$L$2:$L$4000,MATCH($A946,BBG_Data!$K$2:$K$4000,0)),NA()))</f>
        <v/>
      </c>
      <c r="S946" s="20">
        <f>IF(AND(ISNUMBER(B946),ISNUMBER(Q946),ISNUMBER(R946)),(B946-Q946-R946)*100,NA())</f>
        <v/>
      </c>
      <c r="T946" s="20">
        <f>IF(AND(ISNUMBER(B946),Settings!$B$17&gt;0),IF(ISNUMBER(INDEX($B:$B,Settings!$B$17)),(B946-INDEX($B:$B,Settings!$B$17))*100,NA()),NA())</f>
        <v/>
      </c>
      <c r="U946" s="20">
        <f>IF(AND(ISNUMBER(Q946),Settings!$B$17&gt;0),IF(ISNUMBER(INDEX($Q:$Q,Settings!$B$17)),(Q946-INDEX($Q:$Q,Settings!$B$17))*100,NA()),NA())</f>
        <v/>
      </c>
      <c r="V946" s="20">
        <f>IF(AND(ISNUMBER(R946),Settings!$B$17&gt;0),IF(ISNUMBER(INDEX($R:$R,Settings!$B$17)),(R946-INDEX($R:$R,Settings!$B$17))*100,NA()),NA())</f>
        <v/>
      </c>
      <c r="W946" s="20">
        <f>IF(AND(ISNUMBER(P946),Settings!$B$17&gt;0),IF(ISNUMBER(INDEX($P:$P,Settings!$B$17)),P946-INDEX($P:$P,Settings!$B$17),NA()),NA())</f>
        <v/>
      </c>
      <c r="X946" s="19">
        <f>IF(NOT(ISNUMBER($A946)),NA(),IF(OR($A946&lt;MIN(DKW_10Y!$A$2:$A$2918),$A946&gt;MAX(DKW_10Y!$A$2:$A$2918),Settings!$B$16&lt;MIN(DKW_10Y!$A$2:$A$2918)),NA(),(INDEX(DKW_10Y!$B$2:$B$2918,MATCH($A946,DKW_10Y!$A$2:$A$2918,1))-INDEX(DKW_10Y!$B$2:$B$2918,MATCH(Settings!$B$16,DKW_10Y!$A$2:$A$2918,1)))*100))</f>
        <v/>
      </c>
      <c r="Y946" s="19">
        <f>IF(NOT(ISNUMBER($A946)),NA(),IF(OR($A946&lt;MIN(DKW_10Y!$A$2:$A$2918),$A946&gt;MAX(DKW_10Y!$A$2:$A$2918),Settings!$B$16&lt;MIN(DKW_10Y!$A$2:$A$2918)),NA(),(INDEX(DKW_10Y!$C$2:$C$2918,MATCH($A946,DKW_10Y!$A$2:$A$2918,1))-INDEX(DKW_10Y!$C$2:$C$2918,MATCH(Settings!$B$16,DKW_10Y!$A$2:$A$2918,1)))*100))</f>
        <v/>
      </c>
      <c r="Z946" s="19">
        <f>IF(NOT(ISNUMBER($A946)),NA(),IF(OR($A946&lt;MIN(DKW_10Y!$A$2:$A$2918),$A946&gt;MAX(DKW_10Y!$A$2:$A$2918),Settings!$B$16&lt;MIN(DKW_10Y!$A$2:$A$2918)),NA(),(INDEX(DKW_10Y!$D$2:$D$2918,MATCH($A946,DKW_10Y!$A$2:$A$2918,1))-INDEX(DKW_10Y!$D$2:$D$2918,MATCH(Settings!$B$16,DKW_10Y!$A$2:$A$2918,1)))*100))</f>
        <v/>
      </c>
      <c r="AA946" s="19">
        <f>IF(NOT(ISNUMBER($A946)),NA(),IF(OR($A946&lt;MIN(DKW_10Y!$A$2:$A$2918),$A946&gt;MAX(DKW_10Y!$A$2:$A$2918),Settings!$B$16&lt;MIN(DKW_10Y!$A$2:$A$2918)),NA(),(INDEX(DKW_10Y!$E$2:$E$2918,MATCH($A946,DKW_10Y!$A$2:$A$2918,1))-INDEX(DKW_10Y!$E$2:$E$2918,MATCH(Settings!$B$16,DKW_10Y!$A$2:$A$2918,1)))*100))</f>
        <v/>
      </c>
      <c r="AB946" s="19">
        <f>IF(NOT(ISNUMBER($A946)),NA(),IF(OR($A946&lt;MIN(DKW_10Y!$A$2:$A$2918),$A946&gt;MAX(DKW_10Y!$A$2:$A$2918),Settings!$B$16&lt;MIN(DKW_10Y!$A$2:$A$2918)),NA(),(INDEX(DKW_10Y!$H$2:$H$2918,MATCH($A946,DKW_10Y!$A$2:$A$2918,1))-INDEX(DKW_10Y!$H$2:$H$2918,MATCH(Settings!$B$16,DKW_10Y!$A$2:$A$2918,1)))*100))</f>
        <v/>
      </c>
      <c r="AC946" s="18">
        <f>IF(NOT(ISNUMBER($A946)),NA(),IFERROR(1*INDEX(BBG_Data!$N$2:$N$4000,MATCH($A946,BBG_Data!$M$2:$M$4000,0)),NA()))</f>
        <v/>
      </c>
      <c r="AD946" s="18">
        <f>IF(NOT(ISNUMBER($A946)),NA(),IFERROR(1*INDEX(BBG_Data!$P$2:$P$4000,MATCH($A946,BBG_Data!$O$2:$O$4000,0)),NA()))</f>
        <v/>
      </c>
      <c r="AE946" s="18">
        <f>IF(NOT(ISNUMBER($A946)),NA(),IFERROR(1*INDEX(BBG_Data!$R$2:$R$4000,MATCH($A946,BBG_Data!$Q$2:$Q$4000,0)),NA()))</f>
        <v/>
      </c>
      <c r="AF946" s="20">
        <f>IF(AND(ISNUMBER(B946),ISNUMBER(AC946)),(B946-AC946)*100,NA())</f>
        <v/>
      </c>
      <c r="AG946" s="20">
        <f>IF(AND(ISNUMBER(AE946),ISNUMBER(AD946)),(AE946-AD946)*100,NA())</f>
        <v/>
      </c>
      <c r="AH946" s="19">
        <f>IF(NOT(ISNUMBER($A946)),NA(),IFERROR(INDEX(BBG_Data!$T$2:$T$4000,MATCH($A946,BBG_Data!$S$2:$S$4000,0))*Settings!$B$25,NA()))</f>
        <v/>
      </c>
      <c r="AI946" s="19">
        <f>IF(NOT(ISNUMBER($A946)),NA(),IFERROR(INDEX(BBG_Data!$V$2:$V$4000,MATCH($A946,BBG_Data!$U$2:$U$4000,0))*Settings!$B$25,NA()))</f>
        <v/>
      </c>
      <c r="AJ946" s="19">
        <f>IF(NOT(ISNUMBER($A946)),NA(),IFERROR(1*INDEX(BBG_Data!$X$2:$X$4000,MATCH($A946,BBG_Data!$W$2:$W$4000,0)),NA()))</f>
        <v/>
      </c>
      <c r="AK946" s="19">
        <f>IF(NOT(ISNUMBER($A946)),NA(),IFERROR(1*INDEX(BBG_Data!$Z$2:$Z$4000,MATCH($A946,BBG_Data!$Y$2:$Y$4000,0)),NA()))</f>
        <v/>
      </c>
    </row>
    <row r="947">
      <c r="A947" s="17">
        <f>IF(ISNUMBER(BBG_Data!A947),BBG_Data!A947,"")</f>
        <v/>
      </c>
      <c r="B947" s="18">
        <f>IF(AND(ISNUMBER($A947),ISNUMBER(BBG_Data!B947)),BBG_Data!B947,NA())</f>
        <v/>
      </c>
      <c r="C947" s="18">
        <f>IF(NOT(ISNUMBER($A947)),NA(),IFERROR(1*INDEX(BBG_Data!$D$2:$D$4000,MATCH($A947,BBG_Data!$C$2:$C$4000,0)),NA()))</f>
        <v/>
      </c>
      <c r="D947" s="19">
        <f>IF(NOT(ISNUMBER($A947)),NA(),IFERROR(1*INDEX(BBG_Data!$F$2:$F$4000,MATCH($A947,BBG_Data!$E$2:$E$4000,0)),NA()))</f>
        <v/>
      </c>
      <c r="E947" s="19">
        <f>IF(NOT(ISNUMBER($A947)),NA(),IFERROR(1*INDEX(BBG_Data!$H$2:$H$4000,MATCH($A947,BBG_Data!$G$2:$G$4000,0)),NA()))</f>
        <v/>
      </c>
      <c r="F947" s="20">
        <f>IF(AND(ISNUMBER(B947),ISNUMBER(B946)),IF(B947=B946,"",(B947-B946)*100),"")</f>
        <v/>
      </c>
      <c r="G947" s="20">
        <f>IF(AND(ISNUMBER(C947),ISNUMBER(C946)),IF(C947=C946,"",(C947-C946)*100),"")</f>
        <v/>
      </c>
      <c r="H947" s="20">
        <f>IF(OR(NOT(ISNUMBER($A947)),ROW()-2&lt;Settings!$B$11),NA(),IF(COUNT(OFFSET(F947,1-Settings!$B$11,0,Settings!$B$11,1))&lt;ROUNDUP(Settings!$B$11*Settings!$B$26,0),NA(),STDEV(OFFSET(F947,1-Settings!$B$11,0,Settings!$B$11,1))*SQRT(Settings!$B$13)))</f>
        <v/>
      </c>
      <c r="I947" s="20">
        <f>IF(OR(NOT(ISNUMBER($A947)),ROW()-2&lt;Settings!$B$12),NA(),IF(COUNT(OFFSET(F947,1-Settings!$B$12,0,Settings!$B$12,1))&lt;ROUNDUP(Settings!$B$12*Settings!$B$26,0),NA(),STDEV(OFFSET(F947,1-Settings!$B$12,0,Settings!$B$12,1))*SQRT(Settings!$B$13)))</f>
        <v/>
      </c>
      <c r="J947" s="20">
        <f>IF(OR(NOT(ISNUMBER($A947)),ROW()-2&lt;Settings!$B$11),NA(),IF(COUNT(OFFSET(G947,1-Settings!$B$11,0,Settings!$B$11,1))&lt;ROUNDUP(Settings!$B$11*Settings!$B$26,0),NA(),STDEV(OFFSET(G947,1-Settings!$B$11,0,Settings!$B$11,1))*SQRT(Settings!$B$13)))</f>
        <v/>
      </c>
      <c r="K947" s="20">
        <f>IF(OR(NOT(ISNUMBER($A947)),ROW()-2&lt;Settings!$B$12),NA(),IF(COUNT(OFFSET(G947,1-Settings!$B$12,0,Settings!$B$12,1))&lt;ROUNDUP(Settings!$B$12*Settings!$B$26,0),NA(),STDEV(OFFSET(G947,1-Settings!$B$12,0,Settings!$B$12,1))*SQRT(Settings!$B$13)))</f>
        <v/>
      </c>
      <c r="L947" s="20">
        <f>IF(AND(ISNUMBER(D947),ISNUMBER(H947)),D947-H947,NA())</f>
        <v/>
      </c>
      <c r="M947" s="20">
        <f>IF(AND(ISNUMBER(E947),ISNUMBER(K947)),E947-K947,NA())</f>
        <v/>
      </c>
      <c r="N947" s="20">
        <f>IF(NOT(ISNUMBER($A947)),NA(),IF(COUNT(OFFSET(G947,1,0,Settings!$B$12,1))&lt;ROUNDUP(Settings!$B$12*Settings!$B$26,0),NA(),STDEV(OFFSET(G947,1,0,Settings!$B$12,1))*SQRT(Settings!$B$13)))</f>
        <v/>
      </c>
      <c r="O947" s="20">
        <f>IF(AND(ISNUMBER(E947),ISNUMBER(N947)),E947-N947,NA())</f>
        <v/>
      </c>
      <c r="P947" s="19">
        <f>IF(NOT(ISNUMBER($A947)),NA(),IF(OR($A947&lt;MIN(KW_TP!$A$2:$A$2501),$A947&gt;MAX(KW_TP!$A$2:$A$2501)),NA(),INDEX(KW_TP!$C$2:$C$2501,MATCH($A947,KW_TP!$A$2:$A$2501,1))))</f>
        <v/>
      </c>
      <c r="Q947" s="18">
        <f>IF(NOT(ISNUMBER($A947)),NA(),IFERROR(1*INDEX(BBG_Data!$J$2:$J$4000,MATCH($A947,BBG_Data!$I$2:$I$4000,0)),NA()))</f>
        <v/>
      </c>
      <c r="R947" s="18">
        <f>IF(NOT(ISNUMBER($A947)),NA(),IFERROR(1*INDEX(BBG_Data!$L$2:$L$4000,MATCH($A947,BBG_Data!$K$2:$K$4000,0)),NA()))</f>
        <v/>
      </c>
      <c r="S947" s="20">
        <f>IF(AND(ISNUMBER(B947),ISNUMBER(Q947),ISNUMBER(R947)),(B947-Q947-R947)*100,NA())</f>
        <v/>
      </c>
      <c r="T947" s="20">
        <f>IF(AND(ISNUMBER(B947),Settings!$B$17&gt;0),IF(ISNUMBER(INDEX($B:$B,Settings!$B$17)),(B947-INDEX($B:$B,Settings!$B$17))*100,NA()),NA())</f>
        <v/>
      </c>
      <c r="U947" s="20">
        <f>IF(AND(ISNUMBER(Q947),Settings!$B$17&gt;0),IF(ISNUMBER(INDEX($Q:$Q,Settings!$B$17)),(Q947-INDEX($Q:$Q,Settings!$B$17))*100,NA()),NA())</f>
        <v/>
      </c>
      <c r="V947" s="20">
        <f>IF(AND(ISNUMBER(R947),Settings!$B$17&gt;0),IF(ISNUMBER(INDEX($R:$R,Settings!$B$17)),(R947-INDEX($R:$R,Settings!$B$17))*100,NA()),NA())</f>
        <v/>
      </c>
      <c r="W947" s="20">
        <f>IF(AND(ISNUMBER(P947),Settings!$B$17&gt;0),IF(ISNUMBER(INDEX($P:$P,Settings!$B$17)),P947-INDEX($P:$P,Settings!$B$17),NA()),NA())</f>
        <v/>
      </c>
      <c r="X947" s="19">
        <f>IF(NOT(ISNUMBER($A947)),NA(),IF(OR($A947&lt;MIN(DKW_10Y!$A$2:$A$2918),$A947&gt;MAX(DKW_10Y!$A$2:$A$2918),Settings!$B$16&lt;MIN(DKW_10Y!$A$2:$A$2918)),NA(),(INDEX(DKW_10Y!$B$2:$B$2918,MATCH($A947,DKW_10Y!$A$2:$A$2918,1))-INDEX(DKW_10Y!$B$2:$B$2918,MATCH(Settings!$B$16,DKW_10Y!$A$2:$A$2918,1)))*100))</f>
        <v/>
      </c>
      <c r="Y947" s="19">
        <f>IF(NOT(ISNUMBER($A947)),NA(),IF(OR($A947&lt;MIN(DKW_10Y!$A$2:$A$2918),$A947&gt;MAX(DKW_10Y!$A$2:$A$2918),Settings!$B$16&lt;MIN(DKW_10Y!$A$2:$A$2918)),NA(),(INDEX(DKW_10Y!$C$2:$C$2918,MATCH($A947,DKW_10Y!$A$2:$A$2918,1))-INDEX(DKW_10Y!$C$2:$C$2918,MATCH(Settings!$B$16,DKW_10Y!$A$2:$A$2918,1)))*100))</f>
        <v/>
      </c>
      <c r="Z947" s="19">
        <f>IF(NOT(ISNUMBER($A947)),NA(),IF(OR($A947&lt;MIN(DKW_10Y!$A$2:$A$2918),$A947&gt;MAX(DKW_10Y!$A$2:$A$2918),Settings!$B$16&lt;MIN(DKW_10Y!$A$2:$A$2918)),NA(),(INDEX(DKW_10Y!$D$2:$D$2918,MATCH($A947,DKW_10Y!$A$2:$A$2918,1))-INDEX(DKW_10Y!$D$2:$D$2918,MATCH(Settings!$B$16,DKW_10Y!$A$2:$A$2918,1)))*100))</f>
        <v/>
      </c>
      <c r="AA947" s="19">
        <f>IF(NOT(ISNUMBER($A947)),NA(),IF(OR($A947&lt;MIN(DKW_10Y!$A$2:$A$2918),$A947&gt;MAX(DKW_10Y!$A$2:$A$2918),Settings!$B$16&lt;MIN(DKW_10Y!$A$2:$A$2918)),NA(),(INDEX(DKW_10Y!$E$2:$E$2918,MATCH($A947,DKW_10Y!$A$2:$A$2918,1))-INDEX(DKW_10Y!$E$2:$E$2918,MATCH(Settings!$B$16,DKW_10Y!$A$2:$A$2918,1)))*100))</f>
        <v/>
      </c>
      <c r="AB947" s="19">
        <f>IF(NOT(ISNUMBER($A947)),NA(),IF(OR($A947&lt;MIN(DKW_10Y!$A$2:$A$2918),$A947&gt;MAX(DKW_10Y!$A$2:$A$2918),Settings!$B$16&lt;MIN(DKW_10Y!$A$2:$A$2918)),NA(),(INDEX(DKW_10Y!$H$2:$H$2918,MATCH($A947,DKW_10Y!$A$2:$A$2918,1))-INDEX(DKW_10Y!$H$2:$H$2918,MATCH(Settings!$B$16,DKW_10Y!$A$2:$A$2918,1)))*100))</f>
        <v/>
      </c>
      <c r="AC947" s="18">
        <f>IF(NOT(ISNUMBER($A947)),NA(),IFERROR(1*INDEX(BBG_Data!$N$2:$N$4000,MATCH($A947,BBG_Data!$M$2:$M$4000,0)),NA()))</f>
        <v/>
      </c>
      <c r="AD947" s="18">
        <f>IF(NOT(ISNUMBER($A947)),NA(),IFERROR(1*INDEX(BBG_Data!$P$2:$P$4000,MATCH($A947,BBG_Data!$O$2:$O$4000,0)),NA()))</f>
        <v/>
      </c>
      <c r="AE947" s="18">
        <f>IF(NOT(ISNUMBER($A947)),NA(),IFERROR(1*INDEX(BBG_Data!$R$2:$R$4000,MATCH($A947,BBG_Data!$Q$2:$Q$4000,0)),NA()))</f>
        <v/>
      </c>
      <c r="AF947" s="20">
        <f>IF(AND(ISNUMBER(B947),ISNUMBER(AC947)),(B947-AC947)*100,NA())</f>
        <v/>
      </c>
      <c r="AG947" s="20">
        <f>IF(AND(ISNUMBER(AE947),ISNUMBER(AD947)),(AE947-AD947)*100,NA())</f>
        <v/>
      </c>
      <c r="AH947" s="19">
        <f>IF(NOT(ISNUMBER($A947)),NA(),IFERROR(INDEX(BBG_Data!$T$2:$T$4000,MATCH($A947,BBG_Data!$S$2:$S$4000,0))*Settings!$B$25,NA()))</f>
        <v/>
      </c>
      <c r="AI947" s="19">
        <f>IF(NOT(ISNUMBER($A947)),NA(),IFERROR(INDEX(BBG_Data!$V$2:$V$4000,MATCH($A947,BBG_Data!$U$2:$U$4000,0))*Settings!$B$25,NA()))</f>
        <v/>
      </c>
      <c r="AJ947" s="19">
        <f>IF(NOT(ISNUMBER($A947)),NA(),IFERROR(1*INDEX(BBG_Data!$X$2:$X$4000,MATCH($A947,BBG_Data!$W$2:$W$4000,0)),NA()))</f>
        <v/>
      </c>
      <c r="AK947" s="19">
        <f>IF(NOT(ISNUMBER($A947)),NA(),IFERROR(1*INDEX(BBG_Data!$Z$2:$Z$4000,MATCH($A947,BBG_Data!$Y$2:$Y$4000,0)),NA()))</f>
        <v/>
      </c>
    </row>
    <row r="948">
      <c r="A948" s="17">
        <f>IF(ISNUMBER(BBG_Data!A948),BBG_Data!A948,"")</f>
        <v/>
      </c>
      <c r="B948" s="18">
        <f>IF(AND(ISNUMBER($A948),ISNUMBER(BBG_Data!B948)),BBG_Data!B948,NA())</f>
        <v/>
      </c>
      <c r="C948" s="18">
        <f>IF(NOT(ISNUMBER($A948)),NA(),IFERROR(1*INDEX(BBG_Data!$D$2:$D$4000,MATCH($A948,BBG_Data!$C$2:$C$4000,0)),NA()))</f>
        <v/>
      </c>
      <c r="D948" s="19">
        <f>IF(NOT(ISNUMBER($A948)),NA(),IFERROR(1*INDEX(BBG_Data!$F$2:$F$4000,MATCH($A948,BBG_Data!$E$2:$E$4000,0)),NA()))</f>
        <v/>
      </c>
      <c r="E948" s="19">
        <f>IF(NOT(ISNUMBER($A948)),NA(),IFERROR(1*INDEX(BBG_Data!$H$2:$H$4000,MATCH($A948,BBG_Data!$G$2:$G$4000,0)),NA()))</f>
        <v/>
      </c>
      <c r="F948" s="20">
        <f>IF(AND(ISNUMBER(B948),ISNUMBER(B947)),IF(B948=B947,"",(B948-B947)*100),"")</f>
        <v/>
      </c>
      <c r="G948" s="20">
        <f>IF(AND(ISNUMBER(C948),ISNUMBER(C947)),IF(C948=C947,"",(C948-C947)*100),"")</f>
        <v/>
      </c>
      <c r="H948" s="20">
        <f>IF(OR(NOT(ISNUMBER($A948)),ROW()-2&lt;Settings!$B$11),NA(),IF(COUNT(OFFSET(F948,1-Settings!$B$11,0,Settings!$B$11,1))&lt;ROUNDUP(Settings!$B$11*Settings!$B$26,0),NA(),STDEV(OFFSET(F948,1-Settings!$B$11,0,Settings!$B$11,1))*SQRT(Settings!$B$13)))</f>
        <v/>
      </c>
      <c r="I948" s="20">
        <f>IF(OR(NOT(ISNUMBER($A948)),ROW()-2&lt;Settings!$B$12),NA(),IF(COUNT(OFFSET(F948,1-Settings!$B$12,0,Settings!$B$12,1))&lt;ROUNDUP(Settings!$B$12*Settings!$B$26,0),NA(),STDEV(OFFSET(F948,1-Settings!$B$12,0,Settings!$B$12,1))*SQRT(Settings!$B$13)))</f>
        <v/>
      </c>
      <c r="J948" s="20">
        <f>IF(OR(NOT(ISNUMBER($A948)),ROW()-2&lt;Settings!$B$11),NA(),IF(COUNT(OFFSET(G948,1-Settings!$B$11,0,Settings!$B$11,1))&lt;ROUNDUP(Settings!$B$11*Settings!$B$26,0),NA(),STDEV(OFFSET(G948,1-Settings!$B$11,0,Settings!$B$11,1))*SQRT(Settings!$B$13)))</f>
        <v/>
      </c>
      <c r="K948" s="20">
        <f>IF(OR(NOT(ISNUMBER($A948)),ROW()-2&lt;Settings!$B$12),NA(),IF(COUNT(OFFSET(G948,1-Settings!$B$12,0,Settings!$B$12,1))&lt;ROUNDUP(Settings!$B$12*Settings!$B$26,0),NA(),STDEV(OFFSET(G948,1-Settings!$B$12,0,Settings!$B$12,1))*SQRT(Settings!$B$13)))</f>
        <v/>
      </c>
      <c r="L948" s="20">
        <f>IF(AND(ISNUMBER(D948),ISNUMBER(H948)),D948-H948,NA())</f>
        <v/>
      </c>
      <c r="M948" s="20">
        <f>IF(AND(ISNUMBER(E948),ISNUMBER(K948)),E948-K948,NA())</f>
        <v/>
      </c>
      <c r="N948" s="20">
        <f>IF(NOT(ISNUMBER($A948)),NA(),IF(COUNT(OFFSET(G948,1,0,Settings!$B$12,1))&lt;ROUNDUP(Settings!$B$12*Settings!$B$26,0),NA(),STDEV(OFFSET(G948,1,0,Settings!$B$12,1))*SQRT(Settings!$B$13)))</f>
        <v/>
      </c>
      <c r="O948" s="20">
        <f>IF(AND(ISNUMBER(E948),ISNUMBER(N948)),E948-N948,NA())</f>
        <v/>
      </c>
      <c r="P948" s="19">
        <f>IF(NOT(ISNUMBER($A948)),NA(),IF(OR($A948&lt;MIN(KW_TP!$A$2:$A$2501),$A948&gt;MAX(KW_TP!$A$2:$A$2501)),NA(),INDEX(KW_TP!$C$2:$C$2501,MATCH($A948,KW_TP!$A$2:$A$2501,1))))</f>
        <v/>
      </c>
      <c r="Q948" s="18">
        <f>IF(NOT(ISNUMBER($A948)),NA(),IFERROR(1*INDEX(BBG_Data!$J$2:$J$4000,MATCH($A948,BBG_Data!$I$2:$I$4000,0)),NA()))</f>
        <v/>
      </c>
      <c r="R948" s="18">
        <f>IF(NOT(ISNUMBER($A948)),NA(),IFERROR(1*INDEX(BBG_Data!$L$2:$L$4000,MATCH($A948,BBG_Data!$K$2:$K$4000,0)),NA()))</f>
        <v/>
      </c>
      <c r="S948" s="20">
        <f>IF(AND(ISNUMBER(B948),ISNUMBER(Q948),ISNUMBER(R948)),(B948-Q948-R948)*100,NA())</f>
        <v/>
      </c>
      <c r="T948" s="20">
        <f>IF(AND(ISNUMBER(B948),Settings!$B$17&gt;0),IF(ISNUMBER(INDEX($B:$B,Settings!$B$17)),(B948-INDEX($B:$B,Settings!$B$17))*100,NA()),NA())</f>
        <v/>
      </c>
      <c r="U948" s="20">
        <f>IF(AND(ISNUMBER(Q948),Settings!$B$17&gt;0),IF(ISNUMBER(INDEX($Q:$Q,Settings!$B$17)),(Q948-INDEX($Q:$Q,Settings!$B$17))*100,NA()),NA())</f>
        <v/>
      </c>
      <c r="V948" s="20">
        <f>IF(AND(ISNUMBER(R948),Settings!$B$17&gt;0),IF(ISNUMBER(INDEX($R:$R,Settings!$B$17)),(R948-INDEX($R:$R,Settings!$B$17))*100,NA()),NA())</f>
        <v/>
      </c>
      <c r="W948" s="20">
        <f>IF(AND(ISNUMBER(P948),Settings!$B$17&gt;0),IF(ISNUMBER(INDEX($P:$P,Settings!$B$17)),P948-INDEX($P:$P,Settings!$B$17),NA()),NA())</f>
        <v/>
      </c>
      <c r="X948" s="19">
        <f>IF(NOT(ISNUMBER($A948)),NA(),IF(OR($A948&lt;MIN(DKW_10Y!$A$2:$A$2918),$A948&gt;MAX(DKW_10Y!$A$2:$A$2918),Settings!$B$16&lt;MIN(DKW_10Y!$A$2:$A$2918)),NA(),(INDEX(DKW_10Y!$B$2:$B$2918,MATCH($A948,DKW_10Y!$A$2:$A$2918,1))-INDEX(DKW_10Y!$B$2:$B$2918,MATCH(Settings!$B$16,DKW_10Y!$A$2:$A$2918,1)))*100))</f>
        <v/>
      </c>
      <c r="Y948" s="19">
        <f>IF(NOT(ISNUMBER($A948)),NA(),IF(OR($A948&lt;MIN(DKW_10Y!$A$2:$A$2918),$A948&gt;MAX(DKW_10Y!$A$2:$A$2918),Settings!$B$16&lt;MIN(DKW_10Y!$A$2:$A$2918)),NA(),(INDEX(DKW_10Y!$C$2:$C$2918,MATCH($A948,DKW_10Y!$A$2:$A$2918,1))-INDEX(DKW_10Y!$C$2:$C$2918,MATCH(Settings!$B$16,DKW_10Y!$A$2:$A$2918,1)))*100))</f>
        <v/>
      </c>
      <c r="Z948" s="19">
        <f>IF(NOT(ISNUMBER($A948)),NA(),IF(OR($A948&lt;MIN(DKW_10Y!$A$2:$A$2918),$A948&gt;MAX(DKW_10Y!$A$2:$A$2918),Settings!$B$16&lt;MIN(DKW_10Y!$A$2:$A$2918)),NA(),(INDEX(DKW_10Y!$D$2:$D$2918,MATCH($A948,DKW_10Y!$A$2:$A$2918,1))-INDEX(DKW_10Y!$D$2:$D$2918,MATCH(Settings!$B$16,DKW_10Y!$A$2:$A$2918,1)))*100))</f>
        <v/>
      </c>
      <c r="AA948" s="19">
        <f>IF(NOT(ISNUMBER($A948)),NA(),IF(OR($A948&lt;MIN(DKW_10Y!$A$2:$A$2918),$A948&gt;MAX(DKW_10Y!$A$2:$A$2918),Settings!$B$16&lt;MIN(DKW_10Y!$A$2:$A$2918)),NA(),(INDEX(DKW_10Y!$E$2:$E$2918,MATCH($A948,DKW_10Y!$A$2:$A$2918,1))-INDEX(DKW_10Y!$E$2:$E$2918,MATCH(Settings!$B$16,DKW_10Y!$A$2:$A$2918,1)))*100))</f>
        <v/>
      </c>
      <c r="AB948" s="19">
        <f>IF(NOT(ISNUMBER($A948)),NA(),IF(OR($A948&lt;MIN(DKW_10Y!$A$2:$A$2918),$A948&gt;MAX(DKW_10Y!$A$2:$A$2918),Settings!$B$16&lt;MIN(DKW_10Y!$A$2:$A$2918)),NA(),(INDEX(DKW_10Y!$H$2:$H$2918,MATCH($A948,DKW_10Y!$A$2:$A$2918,1))-INDEX(DKW_10Y!$H$2:$H$2918,MATCH(Settings!$B$16,DKW_10Y!$A$2:$A$2918,1)))*100))</f>
        <v/>
      </c>
      <c r="AC948" s="18">
        <f>IF(NOT(ISNUMBER($A948)),NA(),IFERROR(1*INDEX(BBG_Data!$N$2:$N$4000,MATCH($A948,BBG_Data!$M$2:$M$4000,0)),NA()))</f>
        <v/>
      </c>
      <c r="AD948" s="18">
        <f>IF(NOT(ISNUMBER($A948)),NA(),IFERROR(1*INDEX(BBG_Data!$P$2:$P$4000,MATCH($A948,BBG_Data!$O$2:$O$4000,0)),NA()))</f>
        <v/>
      </c>
      <c r="AE948" s="18">
        <f>IF(NOT(ISNUMBER($A948)),NA(),IFERROR(1*INDEX(BBG_Data!$R$2:$R$4000,MATCH($A948,BBG_Data!$Q$2:$Q$4000,0)),NA()))</f>
        <v/>
      </c>
      <c r="AF948" s="20">
        <f>IF(AND(ISNUMBER(B948),ISNUMBER(AC948)),(B948-AC948)*100,NA())</f>
        <v/>
      </c>
      <c r="AG948" s="20">
        <f>IF(AND(ISNUMBER(AE948),ISNUMBER(AD948)),(AE948-AD948)*100,NA())</f>
        <v/>
      </c>
      <c r="AH948" s="19">
        <f>IF(NOT(ISNUMBER($A948)),NA(),IFERROR(INDEX(BBG_Data!$T$2:$T$4000,MATCH($A948,BBG_Data!$S$2:$S$4000,0))*Settings!$B$25,NA()))</f>
        <v/>
      </c>
      <c r="AI948" s="19">
        <f>IF(NOT(ISNUMBER($A948)),NA(),IFERROR(INDEX(BBG_Data!$V$2:$V$4000,MATCH($A948,BBG_Data!$U$2:$U$4000,0))*Settings!$B$25,NA()))</f>
        <v/>
      </c>
      <c r="AJ948" s="19">
        <f>IF(NOT(ISNUMBER($A948)),NA(),IFERROR(1*INDEX(BBG_Data!$X$2:$X$4000,MATCH($A948,BBG_Data!$W$2:$W$4000,0)),NA()))</f>
        <v/>
      </c>
      <c r="AK948" s="19">
        <f>IF(NOT(ISNUMBER($A948)),NA(),IFERROR(1*INDEX(BBG_Data!$Z$2:$Z$4000,MATCH($A948,BBG_Data!$Y$2:$Y$4000,0)),NA()))</f>
        <v/>
      </c>
    </row>
    <row r="949">
      <c r="A949" s="17">
        <f>IF(ISNUMBER(BBG_Data!A949),BBG_Data!A949,"")</f>
        <v/>
      </c>
      <c r="B949" s="18">
        <f>IF(AND(ISNUMBER($A949),ISNUMBER(BBG_Data!B949)),BBG_Data!B949,NA())</f>
        <v/>
      </c>
      <c r="C949" s="18">
        <f>IF(NOT(ISNUMBER($A949)),NA(),IFERROR(1*INDEX(BBG_Data!$D$2:$D$4000,MATCH($A949,BBG_Data!$C$2:$C$4000,0)),NA()))</f>
        <v/>
      </c>
      <c r="D949" s="19">
        <f>IF(NOT(ISNUMBER($A949)),NA(),IFERROR(1*INDEX(BBG_Data!$F$2:$F$4000,MATCH($A949,BBG_Data!$E$2:$E$4000,0)),NA()))</f>
        <v/>
      </c>
      <c r="E949" s="19">
        <f>IF(NOT(ISNUMBER($A949)),NA(),IFERROR(1*INDEX(BBG_Data!$H$2:$H$4000,MATCH($A949,BBG_Data!$G$2:$G$4000,0)),NA()))</f>
        <v/>
      </c>
      <c r="F949" s="20">
        <f>IF(AND(ISNUMBER(B949),ISNUMBER(B948)),IF(B949=B948,"",(B949-B948)*100),"")</f>
        <v/>
      </c>
      <c r="G949" s="20">
        <f>IF(AND(ISNUMBER(C949),ISNUMBER(C948)),IF(C949=C948,"",(C949-C948)*100),"")</f>
        <v/>
      </c>
      <c r="H949" s="20">
        <f>IF(OR(NOT(ISNUMBER($A949)),ROW()-2&lt;Settings!$B$11),NA(),IF(COUNT(OFFSET(F949,1-Settings!$B$11,0,Settings!$B$11,1))&lt;ROUNDUP(Settings!$B$11*Settings!$B$26,0),NA(),STDEV(OFFSET(F949,1-Settings!$B$11,0,Settings!$B$11,1))*SQRT(Settings!$B$13)))</f>
        <v/>
      </c>
      <c r="I949" s="20">
        <f>IF(OR(NOT(ISNUMBER($A949)),ROW()-2&lt;Settings!$B$12),NA(),IF(COUNT(OFFSET(F949,1-Settings!$B$12,0,Settings!$B$12,1))&lt;ROUNDUP(Settings!$B$12*Settings!$B$26,0),NA(),STDEV(OFFSET(F949,1-Settings!$B$12,0,Settings!$B$12,1))*SQRT(Settings!$B$13)))</f>
        <v/>
      </c>
      <c r="J949" s="20">
        <f>IF(OR(NOT(ISNUMBER($A949)),ROW()-2&lt;Settings!$B$11),NA(),IF(COUNT(OFFSET(G949,1-Settings!$B$11,0,Settings!$B$11,1))&lt;ROUNDUP(Settings!$B$11*Settings!$B$26,0),NA(),STDEV(OFFSET(G949,1-Settings!$B$11,0,Settings!$B$11,1))*SQRT(Settings!$B$13)))</f>
        <v/>
      </c>
      <c r="K949" s="20">
        <f>IF(OR(NOT(ISNUMBER($A949)),ROW()-2&lt;Settings!$B$12),NA(),IF(COUNT(OFFSET(G949,1-Settings!$B$12,0,Settings!$B$12,1))&lt;ROUNDUP(Settings!$B$12*Settings!$B$26,0),NA(),STDEV(OFFSET(G949,1-Settings!$B$12,0,Settings!$B$12,1))*SQRT(Settings!$B$13)))</f>
        <v/>
      </c>
      <c r="L949" s="20">
        <f>IF(AND(ISNUMBER(D949),ISNUMBER(H949)),D949-H949,NA())</f>
        <v/>
      </c>
      <c r="M949" s="20">
        <f>IF(AND(ISNUMBER(E949),ISNUMBER(K949)),E949-K949,NA())</f>
        <v/>
      </c>
      <c r="N949" s="20">
        <f>IF(NOT(ISNUMBER($A949)),NA(),IF(COUNT(OFFSET(G949,1,0,Settings!$B$12,1))&lt;ROUNDUP(Settings!$B$12*Settings!$B$26,0),NA(),STDEV(OFFSET(G949,1,0,Settings!$B$12,1))*SQRT(Settings!$B$13)))</f>
        <v/>
      </c>
      <c r="O949" s="20">
        <f>IF(AND(ISNUMBER(E949),ISNUMBER(N949)),E949-N949,NA())</f>
        <v/>
      </c>
      <c r="P949" s="19">
        <f>IF(NOT(ISNUMBER($A949)),NA(),IF(OR($A949&lt;MIN(KW_TP!$A$2:$A$2501),$A949&gt;MAX(KW_TP!$A$2:$A$2501)),NA(),INDEX(KW_TP!$C$2:$C$2501,MATCH($A949,KW_TP!$A$2:$A$2501,1))))</f>
        <v/>
      </c>
      <c r="Q949" s="18">
        <f>IF(NOT(ISNUMBER($A949)),NA(),IFERROR(1*INDEX(BBG_Data!$J$2:$J$4000,MATCH($A949,BBG_Data!$I$2:$I$4000,0)),NA()))</f>
        <v/>
      </c>
      <c r="R949" s="18">
        <f>IF(NOT(ISNUMBER($A949)),NA(),IFERROR(1*INDEX(BBG_Data!$L$2:$L$4000,MATCH($A949,BBG_Data!$K$2:$K$4000,0)),NA()))</f>
        <v/>
      </c>
      <c r="S949" s="20">
        <f>IF(AND(ISNUMBER(B949),ISNUMBER(Q949),ISNUMBER(R949)),(B949-Q949-R949)*100,NA())</f>
        <v/>
      </c>
      <c r="T949" s="20">
        <f>IF(AND(ISNUMBER(B949),Settings!$B$17&gt;0),IF(ISNUMBER(INDEX($B:$B,Settings!$B$17)),(B949-INDEX($B:$B,Settings!$B$17))*100,NA()),NA())</f>
        <v/>
      </c>
      <c r="U949" s="20">
        <f>IF(AND(ISNUMBER(Q949),Settings!$B$17&gt;0),IF(ISNUMBER(INDEX($Q:$Q,Settings!$B$17)),(Q949-INDEX($Q:$Q,Settings!$B$17))*100,NA()),NA())</f>
        <v/>
      </c>
      <c r="V949" s="20">
        <f>IF(AND(ISNUMBER(R949),Settings!$B$17&gt;0),IF(ISNUMBER(INDEX($R:$R,Settings!$B$17)),(R949-INDEX($R:$R,Settings!$B$17))*100,NA()),NA())</f>
        <v/>
      </c>
      <c r="W949" s="20">
        <f>IF(AND(ISNUMBER(P949),Settings!$B$17&gt;0),IF(ISNUMBER(INDEX($P:$P,Settings!$B$17)),P949-INDEX($P:$P,Settings!$B$17),NA()),NA())</f>
        <v/>
      </c>
      <c r="X949" s="19">
        <f>IF(NOT(ISNUMBER($A949)),NA(),IF(OR($A949&lt;MIN(DKW_10Y!$A$2:$A$2918),$A949&gt;MAX(DKW_10Y!$A$2:$A$2918),Settings!$B$16&lt;MIN(DKW_10Y!$A$2:$A$2918)),NA(),(INDEX(DKW_10Y!$B$2:$B$2918,MATCH($A949,DKW_10Y!$A$2:$A$2918,1))-INDEX(DKW_10Y!$B$2:$B$2918,MATCH(Settings!$B$16,DKW_10Y!$A$2:$A$2918,1)))*100))</f>
        <v/>
      </c>
      <c r="Y949" s="19">
        <f>IF(NOT(ISNUMBER($A949)),NA(),IF(OR($A949&lt;MIN(DKW_10Y!$A$2:$A$2918),$A949&gt;MAX(DKW_10Y!$A$2:$A$2918),Settings!$B$16&lt;MIN(DKW_10Y!$A$2:$A$2918)),NA(),(INDEX(DKW_10Y!$C$2:$C$2918,MATCH($A949,DKW_10Y!$A$2:$A$2918,1))-INDEX(DKW_10Y!$C$2:$C$2918,MATCH(Settings!$B$16,DKW_10Y!$A$2:$A$2918,1)))*100))</f>
        <v/>
      </c>
      <c r="Z949" s="19">
        <f>IF(NOT(ISNUMBER($A949)),NA(),IF(OR($A949&lt;MIN(DKW_10Y!$A$2:$A$2918),$A949&gt;MAX(DKW_10Y!$A$2:$A$2918),Settings!$B$16&lt;MIN(DKW_10Y!$A$2:$A$2918)),NA(),(INDEX(DKW_10Y!$D$2:$D$2918,MATCH($A949,DKW_10Y!$A$2:$A$2918,1))-INDEX(DKW_10Y!$D$2:$D$2918,MATCH(Settings!$B$16,DKW_10Y!$A$2:$A$2918,1)))*100))</f>
        <v/>
      </c>
      <c r="AA949" s="19">
        <f>IF(NOT(ISNUMBER($A949)),NA(),IF(OR($A949&lt;MIN(DKW_10Y!$A$2:$A$2918),$A949&gt;MAX(DKW_10Y!$A$2:$A$2918),Settings!$B$16&lt;MIN(DKW_10Y!$A$2:$A$2918)),NA(),(INDEX(DKW_10Y!$E$2:$E$2918,MATCH($A949,DKW_10Y!$A$2:$A$2918,1))-INDEX(DKW_10Y!$E$2:$E$2918,MATCH(Settings!$B$16,DKW_10Y!$A$2:$A$2918,1)))*100))</f>
        <v/>
      </c>
      <c r="AB949" s="19">
        <f>IF(NOT(ISNUMBER($A949)),NA(),IF(OR($A949&lt;MIN(DKW_10Y!$A$2:$A$2918),$A949&gt;MAX(DKW_10Y!$A$2:$A$2918),Settings!$B$16&lt;MIN(DKW_10Y!$A$2:$A$2918)),NA(),(INDEX(DKW_10Y!$H$2:$H$2918,MATCH($A949,DKW_10Y!$A$2:$A$2918,1))-INDEX(DKW_10Y!$H$2:$H$2918,MATCH(Settings!$B$16,DKW_10Y!$A$2:$A$2918,1)))*100))</f>
        <v/>
      </c>
      <c r="AC949" s="18">
        <f>IF(NOT(ISNUMBER($A949)),NA(),IFERROR(1*INDEX(BBG_Data!$N$2:$N$4000,MATCH($A949,BBG_Data!$M$2:$M$4000,0)),NA()))</f>
        <v/>
      </c>
      <c r="AD949" s="18">
        <f>IF(NOT(ISNUMBER($A949)),NA(),IFERROR(1*INDEX(BBG_Data!$P$2:$P$4000,MATCH($A949,BBG_Data!$O$2:$O$4000,0)),NA()))</f>
        <v/>
      </c>
      <c r="AE949" s="18">
        <f>IF(NOT(ISNUMBER($A949)),NA(),IFERROR(1*INDEX(BBG_Data!$R$2:$R$4000,MATCH($A949,BBG_Data!$Q$2:$Q$4000,0)),NA()))</f>
        <v/>
      </c>
      <c r="AF949" s="20">
        <f>IF(AND(ISNUMBER(B949),ISNUMBER(AC949)),(B949-AC949)*100,NA())</f>
        <v/>
      </c>
      <c r="AG949" s="20">
        <f>IF(AND(ISNUMBER(AE949),ISNUMBER(AD949)),(AE949-AD949)*100,NA())</f>
        <v/>
      </c>
      <c r="AH949" s="19">
        <f>IF(NOT(ISNUMBER($A949)),NA(),IFERROR(INDEX(BBG_Data!$T$2:$T$4000,MATCH($A949,BBG_Data!$S$2:$S$4000,0))*Settings!$B$25,NA()))</f>
        <v/>
      </c>
      <c r="AI949" s="19">
        <f>IF(NOT(ISNUMBER($A949)),NA(),IFERROR(INDEX(BBG_Data!$V$2:$V$4000,MATCH($A949,BBG_Data!$U$2:$U$4000,0))*Settings!$B$25,NA()))</f>
        <v/>
      </c>
      <c r="AJ949" s="19">
        <f>IF(NOT(ISNUMBER($A949)),NA(),IFERROR(1*INDEX(BBG_Data!$X$2:$X$4000,MATCH($A949,BBG_Data!$W$2:$W$4000,0)),NA()))</f>
        <v/>
      </c>
      <c r="AK949" s="19">
        <f>IF(NOT(ISNUMBER($A949)),NA(),IFERROR(1*INDEX(BBG_Data!$Z$2:$Z$4000,MATCH($A949,BBG_Data!$Y$2:$Y$4000,0)),NA()))</f>
        <v/>
      </c>
    </row>
    <row r="950">
      <c r="A950" s="17">
        <f>IF(ISNUMBER(BBG_Data!A950),BBG_Data!A950,"")</f>
        <v/>
      </c>
      <c r="B950" s="18">
        <f>IF(AND(ISNUMBER($A950),ISNUMBER(BBG_Data!B950)),BBG_Data!B950,NA())</f>
        <v/>
      </c>
      <c r="C950" s="18">
        <f>IF(NOT(ISNUMBER($A950)),NA(),IFERROR(1*INDEX(BBG_Data!$D$2:$D$4000,MATCH($A950,BBG_Data!$C$2:$C$4000,0)),NA()))</f>
        <v/>
      </c>
      <c r="D950" s="19">
        <f>IF(NOT(ISNUMBER($A950)),NA(),IFERROR(1*INDEX(BBG_Data!$F$2:$F$4000,MATCH($A950,BBG_Data!$E$2:$E$4000,0)),NA()))</f>
        <v/>
      </c>
      <c r="E950" s="19">
        <f>IF(NOT(ISNUMBER($A950)),NA(),IFERROR(1*INDEX(BBG_Data!$H$2:$H$4000,MATCH($A950,BBG_Data!$G$2:$G$4000,0)),NA()))</f>
        <v/>
      </c>
      <c r="F950" s="20">
        <f>IF(AND(ISNUMBER(B950),ISNUMBER(B949)),IF(B950=B949,"",(B950-B949)*100),"")</f>
        <v/>
      </c>
      <c r="G950" s="20">
        <f>IF(AND(ISNUMBER(C950),ISNUMBER(C949)),IF(C950=C949,"",(C950-C949)*100),"")</f>
        <v/>
      </c>
      <c r="H950" s="20">
        <f>IF(OR(NOT(ISNUMBER($A950)),ROW()-2&lt;Settings!$B$11),NA(),IF(COUNT(OFFSET(F950,1-Settings!$B$11,0,Settings!$B$11,1))&lt;ROUNDUP(Settings!$B$11*Settings!$B$26,0),NA(),STDEV(OFFSET(F950,1-Settings!$B$11,0,Settings!$B$11,1))*SQRT(Settings!$B$13)))</f>
        <v/>
      </c>
      <c r="I950" s="20">
        <f>IF(OR(NOT(ISNUMBER($A950)),ROW()-2&lt;Settings!$B$12),NA(),IF(COUNT(OFFSET(F950,1-Settings!$B$12,0,Settings!$B$12,1))&lt;ROUNDUP(Settings!$B$12*Settings!$B$26,0),NA(),STDEV(OFFSET(F950,1-Settings!$B$12,0,Settings!$B$12,1))*SQRT(Settings!$B$13)))</f>
        <v/>
      </c>
      <c r="J950" s="20">
        <f>IF(OR(NOT(ISNUMBER($A950)),ROW()-2&lt;Settings!$B$11),NA(),IF(COUNT(OFFSET(G950,1-Settings!$B$11,0,Settings!$B$11,1))&lt;ROUNDUP(Settings!$B$11*Settings!$B$26,0),NA(),STDEV(OFFSET(G950,1-Settings!$B$11,0,Settings!$B$11,1))*SQRT(Settings!$B$13)))</f>
        <v/>
      </c>
      <c r="K950" s="20">
        <f>IF(OR(NOT(ISNUMBER($A950)),ROW()-2&lt;Settings!$B$12),NA(),IF(COUNT(OFFSET(G950,1-Settings!$B$12,0,Settings!$B$12,1))&lt;ROUNDUP(Settings!$B$12*Settings!$B$26,0),NA(),STDEV(OFFSET(G950,1-Settings!$B$12,0,Settings!$B$12,1))*SQRT(Settings!$B$13)))</f>
        <v/>
      </c>
      <c r="L950" s="20">
        <f>IF(AND(ISNUMBER(D950),ISNUMBER(H950)),D950-H950,NA())</f>
        <v/>
      </c>
      <c r="M950" s="20">
        <f>IF(AND(ISNUMBER(E950),ISNUMBER(K950)),E950-K950,NA())</f>
        <v/>
      </c>
      <c r="N950" s="20">
        <f>IF(NOT(ISNUMBER($A950)),NA(),IF(COUNT(OFFSET(G950,1,0,Settings!$B$12,1))&lt;ROUNDUP(Settings!$B$12*Settings!$B$26,0),NA(),STDEV(OFFSET(G950,1,0,Settings!$B$12,1))*SQRT(Settings!$B$13)))</f>
        <v/>
      </c>
      <c r="O950" s="20">
        <f>IF(AND(ISNUMBER(E950),ISNUMBER(N950)),E950-N950,NA())</f>
        <v/>
      </c>
      <c r="P950" s="19">
        <f>IF(NOT(ISNUMBER($A950)),NA(),IF(OR($A950&lt;MIN(KW_TP!$A$2:$A$2501),$A950&gt;MAX(KW_TP!$A$2:$A$2501)),NA(),INDEX(KW_TP!$C$2:$C$2501,MATCH($A950,KW_TP!$A$2:$A$2501,1))))</f>
        <v/>
      </c>
      <c r="Q950" s="18">
        <f>IF(NOT(ISNUMBER($A950)),NA(),IFERROR(1*INDEX(BBG_Data!$J$2:$J$4000,MATCH($A950,BBG_Data!$I$2:$I$4000,0)),NA()))</f>
        <v/>
      </c>
      <c r="R950" s="18">
        <f>IF(NOT(ISNUMBER($A950)),NA(),IFERROR(1*INDEX(BBG_Data!$L$2:$L$4000,MATCH($A950,BBG_Data!$K$2:$K$4000,0)),NA()))</f>
        <v/>
      </c>
      <c r="S950" s="20">
        <f>IF(AND(ISNUMBER(B950),ISNUMBER(Q950),ISNUMBER(R950)),(B950-Q950-R950)*100,NA())</f>
        <v/>
      </c>
      <c r="T950" s="20">
        <f>IF(AND(ISNUMBER(B950),Settings!$B$17&gt;0),IF(ISNUMBER(INDEX($B:$B,Settings!$B$17)),(B950-INDEX($B:$B,Settings!$B$17))*100,NA()),NA())</f>
        <v/>
      </c>
      <c r="U950" s="20">
        <f>IF(AND(ISNUMBER(Q950),Settings!$B$17&gt;0),IF(ISNUMBER(INDEX($Q:$Q,Settings!$B$17)),(Q950-INDEX($Q:$Q,Settings!$B$17))*100,NA()),NA())</f>
        <v/>
      </c>
      <c r="V950" s="20">
        <f>IF(AND(ISNUMBER(R950),Settings!$B$17&gt;0),IF(ISNUMBER(INDEX($R:$R,Settings!$B$17)),(R950-INDEX($R:$R,Settings!$B$17))*100,NA()),NA())</f>
        <v/>
      </c>
      <c r="W950" s="20">
        <f>IF(AND(ISNUMBER(P950),Settings!$B$17&gt;0),IF(ISNUMBER(INDEX($P:$P,Settings!$B$17)),P950-INDEX($P:$P,Settings!$B$17),NA()),NA())</f>
        <v/>
      </c>
      <c r="X950" s="19">
        <f>IF(NOT(ISNUMBER($A950)),NA(),IF(OR($A950&lt;MIN(DKW_10Y!$A$2:$A$2918),$A950&gt;MAX(DKW_10Y!$A$2:$A$2918),Settings!$B$16&lt;MIN(DKW_10Y!$A$2:$A$2918)),NA(),(INDEX(DKW_10Y!$B$2:$B$2918,MATCH($A950,DKW_10Y!$A$2:$A$2918,1))-INDEX(DKW_10Y!$B$2:$B$2918,MATCH(Settings!$B$16,DKW_10Y!$A$2:$A$2918,1)))*100))</f>
        <v/>
      </c>
      <c r="Y950" s="19">
        <f>IF(NOT(ISNUMBER($A950)),NA(),IF(OR($A950&lt;MIN(DKW_10Y!$A$2:$A$2918),$A950&gt;MAX(DKW_10Y!$A$2:$A$2918),Settings!$B$16&lt;MIN(DKW_10Y!$A$2:$A$2918)),NA(),(INDEX(DKW_10Y!$C$2:$C$2918,MATCH($A950,DKW_10Y!$A$2:$A$2918,1))-INDEX(DKW_10Y!$C$2:$C$2918,MATCH(Settings!$B$16,DKW_10Y!$A$2:$A$2918,1)))*100))</f>
        <v/>
      </c>
      <c r="Z950" s="19">
        <f>IF(NOT(ISNUMBER($A950)),NA(),IF(OR($A950&lt;MIN(DKW_10Y!$A$2:$A$2918),$A950&gt;MAX(DKW_10Y!$A$2:$A$2918),Settings!$B$16&lt;MIN(DKW_10Y!$A$2:$A$2918)),NA(),(INDEX(DKW_10Y!$D$2:$D$2918,MATCH($A950,DKW_10Y!$A$2:$A$2918,1))-INDEX(DKW_10Y!$D$2:$D$2918,MATCH(Settings!$B$16,DKW_10Y!$A$2:$A$2918,1)))*100))</f>
        <v/>
      </c>
      <c r="AA950" s="19">
        <f>IF(NOT(ISNUMBER($A950)),NA(),IF(OR($A950&lt;MIN(DKW_10Y!$A$2:$A$2918),$A950&gt;MAX(DKW_10Y!$A$2:$A$2918),Settings!$B$16&lt;MIN(DKW_10Y!$A$2:$A$2918)),NA(),(INDEX(DKW_10Y!$E$2:$E$2918,MATCH($A950,DKW_10Y!$A$2:$A$2918,1))-INDEX(DKW_10Y!$E$2:$E$2918,MATCH(Settings!$B$16,DKW_10Y!$A$2:$A$2918,1)))*100))</f>
        <v/>
      </c>
      <c r="AB950" s="19">
        <f>IF(NOT(ISNUMBER($A950)),NA(),IF(OR($A950&lt;MIN(DKW_10Y!$A$2:$A$2918),$A950&gt;MAX(DKW_10Y!$A$2:$A$2918),Settings!$B$16&lt;MIN(DKW_10Y!$A$2:$A$2918)),NA(),(INDEX(DKW_10Y!$H$2:$H$2918,MATCH($A950,DKW_10Y!$A$2:$A$2918,1))-INDEX(DKW_10Y!$H$2:$H$2918,MATCH(Settings!$B$16,DKW_10Y!$A$2:$A$2918,1)))*100))</f>
        <v/>
      </c>
      <c r="AC950" s="18">
        <f>IF(NOT(ISNUMBER($A950)),NA(),IFERROR(1*INDEX(BBG_Data!$N$2:$N$4000,MATCH($A950,BBG_Data!$M$2:$M$4000,0)),NA()))</f>
        <v/>
      </c>
      <c r="AD950" s="18">
        <f>IF(NOT(ISNUMBER($A950)),NA(),IFERROR(1*INDEX(BBG_Data!$P$2:$P$4000,MATCH($A950,BBG_Data!$O$2:$O$4000,0)),NA()))</f>
        <v/>
      </c>
      <c r="AE950" s="18">
        <f>IF(NOT(ISNUMBER($A950)),NA(),IFERROR(1*INDEX(BBG_Data!$R$2:$R$4000,MATCH($A950,BBG_Data!$Q$2:$Q$4000,0)),NA()))</f>
        <v/>
      </c>
      <c r="AF950" s="20">
        <f>IF(AND(ISNUMBER(B950),ISNUMBER(AC950)),(B950-AC950)*100,NA())</f>
        <v/>
      </c>
      <c r="AG950" s="20">
        <f>IF(AND(ISNUMBER(AE950),ISNUMBER(AD950)),(AE950-AD950)*100,NA())</f>
        <v/>
      </c>
      <c r="AH950" s="19">
        <f>IF(NOT(ISNUMBER($A950)),NA(),IFERROR(INDEX(BBG_Data!$T$2:$T$4000,MATCH($A950,BBG_Data!$S$2:$S$4000,0))*Settings!$B$25,NA()))</f>
        <v/>
      </c>
      <c r="AI950" s="19">
        <f>IF(NOT(ISNUMBER($A950)),NA(),IFERROR(INDEX(BBG_Data!$V$2:$V$4000,MATCH($A950,BBG_Data!$U$2:$U$4000,0))*Settings!$B$25,NA()))</f>
        <v/>
      </c>
      <c r="AJ950" s="19">
        <f>IF(NOT(ISNUMBER($A950)),NA(),IFERROR(1*INDEX(BBG_Data!$X$2:$X$4000,MATCH($A950,BBG_Data!$W$2:$W$4000,0)),NA()))</f>
        <v/>
      </c>
      <c r="AK950" s="19">
        <f>IF(NOT(ISNUMBER($A950)),NA(),IFERROR(1*INDEX(BBG_Data!$Z$2:$Z$4000,MATCH($A950,BBG_Data!$Y$2:$Y$4000,0)),NA()))</f>
        <v/>
      </c>
    </row>
    <row r="951">
      <c r="A951" s="17">
        <f>IF(ISNUMBER(BBG_Data!A951),BBG_Data!A951,"")</f>
        <v/>
      </c>
      <c r="B951" s="18">
        <f>IF(AND(ISNUMBER($A951),ISNUMBER(BBG_Data!B951)),BBG_Data!B951,NA())</f>
        <v/>
      </c>
      <c r="C951" s="18">
        <f>IF(NOT(ISNUMBER($A951)),NA(),IFERROR(1*INDEX(BBG_Data!$D$2:$D$4000,MATCH($A951,BBG_Data!$C$2:$C$4000,0)),NA()))</f>
        <v/>
      </c>
      <c r="D951" s="19">
        <f>IF(NOT(ISNUMBER($A951)),NA(),IFERROR(1*INDEX(BBG_Data!$F$2:$F$4000,MATCH($A951,BBG_Data!$E$2:$E$4000,0)),NA()))</f>
        <v/>
      </c>
      <c r="E951" s="19">
        <f>IF(NOT(ISNUMBER($A951)),NA(),IFERROR(1*INDEX(BBG_Data!$H$2:$H$4000,MATCH($A951,BBG_Data!$G$2:$G$4000,0)),NA()))</f>
        <v/>
      </c>
      <c r="F951" s="20">
        <f>IF(AND(ISNUMBER(B951),ISNUMBER(B950)),IF(B951=B950,"",(B951-B950)*100),"")</f>
        <v/>
      </c>
      <c r="G951" s="20">
        <f>IF(AND(ISNUMBER(C951),ISNUMBER(C950)),IF(C951=C950,"",(C951-C950)*100),"")</f>
        <v/>
      </c>
      <c r="H951" s="20">
        <f>IF(OR(NOT(ISNUMBER($A951)),ROW()-2&lt;Settings!$B$11),NA(),IF(COUNT(OFFSET(F951,1-Settings!$B$11,0,Settings!$B$11,1))&lt;ROUNDUP(Settings!$B$11*Settings!$B$26,0),NA(),STDEV(OFFSET(F951,1-Settings!$B$11,0,Settings!$B$11,1))*SQRT(Settings!$B$13)))</f>
        <v/>
      </c>
      <c r="I951" s="20">
        <f>IF(OR(NOT(ISNUMBER($A951)),ROW()-2&lt;Settings!$B$12),NA(),IF(COUNT(OFFSET(F951,1-Settings!$B$12,0,Settings!$B$12,1))&lt;ROUNDUP(Settings!$B$12*Settings!$B$26,0),NA(),STDEV(OFFSET(F951,1-Settings!$B$12,0,Settings!$B$12,1))*SQRT(Settings!$B$13)))</f>
        <v/>
      </c>
      <c r="J951" s="20">
        <f>IF(OR(NOT(ISNUMBER($A951)),ROW()-2&lt;Settings!$B$11),NA(),IF(COUNT(OFFSET(G951,1-Settings!$B$11,0,Settings!$B$11,1))&lt;ROUNDUP(Settings!$B$11*Settings!$B$26,0),NA(),STDEV(OFFSET(G951,1-Settings!$B$11,0,Settings!$B$11,1))*SQRT(Settings!$B$13)))</f>
        <v/>
      </c>
      <c r="K951" s="20">
        <f>IF(OR(NOT(ISNUMBER($A951)),ROW()-2&lt;Settings!$B$12),NA(),IF(COUNT(OFFSET(G951,1-Settings!$B$12,0,Settings!$B$12,1))&lt;ROUNDUP(Settings!$B$12*Settings!$B$26,0),NA(),STDEV(OFFSET(G951,1-Settings!$B$12,0,Settings!$B$12,1))*SQRT(Settings!$B$13)))</f>
        <v/>
      </c>
      <c r="L951" s="20">
        <f>IF(AND(ISNUMBER(D951),ISNUMBER(H951)),D951-H951,NA())</f>
        <v/>
      </c>
      <c r="M951" s="20">
        <f>IF(AND(ISNUMBER(E951),ISNUMBER(K951)),E951-K951,NA())</f>
        <v/>
      </c>
      <c r="N951" s="20">
        <f>IF(NOT(ISNUMBER($A951)),NA(),IF(COUNT(OFFSET(G951,1,0,Settings!$B$12,1))&lt;ROUNDUP(Settings!$B$12*Settings!$B$26,0),NA(),STDEV(OFFSET(G951,1,0,Settings!$B$12,1))*SQRT(Settings!$B$13)))</f>
        <v/>
      </c>
      <c r="O951" s="20">
        <f>IF(AND(ISNUMBER(E951),ISNUMBER(N951)),E951-N951,NA())</f>
        <v/>
      </c>
      <c r="P951" s="19">
        <f>IF(NOT(ISNUMBER($A951)),NA(),IF(OR($A951&lt;MIN(KW_TP!$A$2:$A$2501),$A951&gt;MAX(KW_TP!$A$2:$A$2501)),NA(),INDEX(KW_TP!$C$2:$C$2501,MATCH($A951,KW_TP!$A$2:$A$2501,1))))</f>
        <v/>
      </c>
      <c r="Q951" s="18">
        <f>IF(NOT(ISNUMBER($A951)),NA(),IFERROR(1*INDEX(BBG_Data!$J$2:$J$4000,MATCH($A951,BBG_Data!$I$2:$I$4000,0)),NA()))</f>
        <v/>
      </c>
      <c r="R951" s="18">
        <f>IF(NOT(ISNUMBER($A951)),NA(),IFERROR(1*INDEX(BBG_Data!$L$2:$L$4000,MATCH($A951,BBG_Data!$K$2:$K$4000,0)),NA()))</f>
        <v/>
      </c>
      <c r="S951" s="20">
        <f>IF(AND(ISNUMBER(B951),ISNUMBER(Q951),ISNUMBER(R951)),(B951-Q951-R951)*100,NA())</f>
        <v/>
      </c>
      <c r="T951" s="20">
        <f>IF(AND(ISNUMBER(B951),Settings!$B$17&gt;0),IF(ISNUMBER(INDEX($B:$B,Settings!$B$17)),(B951-INDEX($B:$B,Settings!$B$17))*100,NA()),NA())</f>
        <v/>
      </c>
      <c r="U951" s="20">
        <f>IF(AND(ISNUMBER(Q951),Settings!$B$17&gt;0),IF(ISNUMBER(INDEX($Q:$Q,Settings!$B$17)),(Q951-INDEX($Q:$Q,Settings!$B$17))*100,NA()),NA())</f>
        <v/>
      </c>
      <c r="V951" s="20">
        <f>IF(AND(ISNUMBER(R951),Settings!$B$17&gt;0),IF(ISNUMBER(INDEX($R:$R,Settings!$B$17)),(R951-INDEX($R:$R,Settings!$B$17))*100,NA()),NA())</f>
        <v/>
      </c>
      <c r="W951" s="20">
        <f>IF(AND(ISNUMBER(P951),Settings!$B$17&gt;0),IF(ISNUMBER(INDEX($P:$P,Settings!$B$17)),P951-INDEX($P:$P,Settings!$B$17),NA()),NA())</f>
        <v/>
      </c>
      <c r="X951" s="19">
        <f>IF(NOT(ISNUMBER($A951)),NA(),IF(OR($A951&lt;MIN(DKW_10Y!$A$2:$A$2918),$A951&gt;MAX(DKW_10Y!$A$2:$A$2918),Settings!$B$16&lt;MIN(DKW_10Y!$A$2:$A$2918)),NA(),(INDEX(DKW_10Y!$B$2:$B$2918,MATCH($A951,DKW_10Y!$A$2:$A$2918,1))-INDEX(DKW_10Y!$B$2:$B$2918,MATCH(Settings!$B$16,DKW_10Y!$A$2:$A$2918,1)))*100))</f>
        <v/>
      </c>
      <c r="Y951" s="19">
        <f>IF(NOT(ISNUMBER($A951)),NA(),IF(OR($A951&lt;MIN(DKW_10Y!$A$2:$A$2918),$A951&gt;MAX(DKW_10Y!$A$2:$A$2918),Settings!$B$16&lt;MIN(DKW_10Y!$A$2:$A$2918)),NA(),(INDEX(DKW_10Y!$C$2:$C$2918,MATCH($A951,DKW_10Y!$A$2:$A$2918,1))-INDEX(DKW_10Y!$C$2:$C$2918,MATCH(Settings!$B$16,DKW_10Y!$A$2:$A$2918,1)))*100))</f>
        <v/>
      </c>
      <c r="Z951" s="19">
        <f>IF(NOT(ISNUMBER($A951)),NA(),IF(OR($A951&lt;MIN(DKW_10Y!$A$2:$A$2918),$A951&gt;MAX(DKW_10Y!$A$2:$A$2918),Settings!$B$16&lt;MIN(DKW_10Y!$A$2:$A$2918)),NA(),(INDEX(DKW_10Y!$D$2:$D$2918,MATCH($A951,DKW_10Y!$A$2:$A$2918,1))-INDEX(DKW_10Y!$D$2:$D$2918,MATCH(Settings!$B$16,DKW_10Y!$A$2:$A$2918,1)))*100))</f>
        <v/>
      </c>
      <c r="AA951" s="19">
        <f>IF(NOT(ISNUMBER($A951)),NA(),IF(OR($A951&lt;MIN(DKW_10Y!$A$2:$A$2918),$A951&gt;MAX(DKW_10Y!$A$2:$A$2918),Settings!$B$16&lt;MIN(DKW_10Y!$A$2:$A$2918)),NA(),(INDEX(DKW_10Y!$E$2:$E$2918,MATCH($A951,DKW_10Y!$A$2:$A$2918,1))-INDEX(DKW_10Y!$E$2:$E$2918,MATCH(Settings!$B$16,DKW_10Y!$A$2:$A$2918,1)))*100))</f>
        <v/>
      </c>
      <c r="AB951" s="19">
        <f>IF(NOT(ISNUMBER($A951)),NA(),IF(OR($A951&lt;MIN(DKW_10Y!$A$2:$A$2918),$A951&gt;MAX(DKW_10Y!$A$2:$A$2918),Settings!$B$16&lt;MIN(DKW_10Y!$A$2:$A$2918)),NA(),(INDEX(DKW_10Y!$H$2:$H$2918,MATCH($A951,DKW_10Y!$A$2:$A$2918,1))-INDEX(DKW_10Y!$H$2:$H$2918,MATCH(Settings!$B$16,DKW_10Y!$A$2:$A$2918,1)))*100))</f>
        <v/>
      </c>
      <c r="AC951" s="18">
        <f>IF(NOT(ISNUMBER($A951)),NA(),IFERROR(1*INDEX(BBG_Data!$N$2:$N$4000,MATCH($A951,BBG_Data!$M$2:$M$4000,0)),NA()))</f>
        <v/>
      </c>
      <c r="AD951" s="18">
        <f>IF(NOT(ISNUMBER($A951)),NA(),IFERROR(1*INDEX(BBG_Data!$P$2:$P$4000,MATCH($A951,BBG_Data!$O$2:$O$4000,0)),NA()))</f>
        <v/>
      </c>
      <c r="AE951" s="18">
        <f>IF(NOT(ISNUMBER($A951)),NA(),IFERROR(1*INDEX(BBG_Data!$R$2:$R$4000,MATCH($A951,BBG_Data!$Q$2:$Q$4000,0)),NA()))</f>
        <v/>
      </c>
      <c r="AF951" s="20">
        <f>IF(AND(ISNUMBER(B951),ISNUMBER(AC951)),(B951-AC951)*100,NA())</f>
        <v/>
      </c>
      <c r="AG951" s="20">
        <f>IF(AND(ISNUMBER(AE951),ISNUMBER(AD951)),(AE951-AD951)*100,NA())</f>
        <v/>
      </c>
      <c r="AH951" s="19">
        <f>IF(NOT(ISNUMBER($A951)),NA(),IFERROR(INDEX(BBG_Data!$T$2:$T$4000,MATCH($A951,BBG_Data!$S$2:$S$4000,0))*Settings!$B$25,NA()))</f>
        <v/>
      </c>
      <c r="AI951" s="19">
        <f>IF(NOT(ISNUMBER($A951)),NA(),IFERROR(INDEX(BBG_Data!$V$2:$V$4000,MATCH($A951,BBG_Data!$U$2:$U$4000,0))*Settings!$B$25,NA()))</f>
        <v/>
      </c>
      <c r="AJ951" s="19">
        <f>IF(NOT(ISNUMBER($A951)),NA(),IFERROR(1*INDEX(BBG_Data!$X$2:$X$4000,MATCH($A951,BBG_Data!$W$2:$W$4000,0)),NA()))</f>
        <v/>
      </c>
      <c r="AK951" s="19">
        <f>IF(NOT(ISNUMBER($A951)),NA(),IFERROR(1*INDEX(BBG_Data!$Z$2:$Z$4000,MATCH($A951,BBG_Data!$Y$2:$Y$4000,0)),NA()))</f>
        <v/>
      </c>
    </row>
    <row r="952">
      <c r="A952" s="17">
        <f>IF(ISNUMBER(BBG_Data!A952),BBG_Data!A952,"")</f>
        <v/>
      </c>
      <c r="B952" s="18">
        <f>IF(AND(ISNUMBER($A952),ISNUMBER(BBG_Data!B952)),BBG_Data!B952,NA())</f>
        <v/>
      </c>
      <c r="C952" s="18">
        <f>IF(NOT(ISNUMBER($A952)),NA(),IFERROR(1*INDEX(BBG_Data!$D$2:$D$4000,MATCH($A952,BBG_Data!$C$2:$C$4000,0)),NA()))</f>
        <v/>
      </c>
      <c r="D952" s="19">
        <f>IF(NOT(ISNUMBER($A952)),NA(),IFERROR(1*INDEX(BBG_Data!$F$2:$F$4000,MATCH($A952,BBG_Data!$E$2:$E$4000,0)),NA()))</f>
        <v/>
      </c>
      <c r="E952" s="19">
        <f>IF(NOT(ISNUMBER($A952)),NA(),IFERROR(1*INDEX(BBG_Data!$H$2:$H$4000,MATCH($A952,BBG_Data!$G$2:$G$4000,0)),NA()))</f>
        <v/>
      </c>
      <c r="F952" s="20">
        <f>IF(AND(ISNUMBER(B952),ISNUMBER(B951)),IF(B952=B951,"",(B952-B951)*100),"")</f>
        <v/>
      </c>
      <c r="G952" s="20">
        <f>IF(AND(ISNUMBER(C952),ISNUMBER(C951)),IF(C952=C951,"",(C952-C951)*100),"")</f>
        <v/>
      </c>
      <c r="H952" s="20">
        <f>IF(OR(NOT(ISNUMBER($A952)),ROW()-2&lt;Settings!$B$11),NA(),IF(COUNT(OFFSET(F952,1-Settings!$B$11,0,Settings!$B$11,1))&lt;ROUNDUP(Settings!$B$11*Settings!$B$26,0),NA(),STDEV(OFFSET(F952,1-Settings!$B$11,0,Settings!$B$11,1))*SQRT(Settings!$B$13)))</f>
        <v/>
      </c>
      <c r="I952" s="20">
        <f>IF(OR(NOT(ISNUMBER($A952)),ROW()-2&lt;Settings!$B$12),NA(),IF(COUNT(OFFSET(F952,1-Settings!$B$12,0,Settings!$B$12,1))&lt;ROUNDUP(Settings!$B$12*Settings!$B$26,0),NA(),STDEV(OFFSET(F952,1-Settings!$B$12,0,Settings!$B$12,1))*SQRT(Settings!$B$13)))</f>
        <v/>
      </c>
      <c r="J952" s="20">
        <f>IF(OR(NOT(ISNUMBER($A952)),ROW()-2&lt;Settings!$B$11),NA(),IF(COUNT(OFFSET(G952,1-Settings!$B$11,0,Settings!$B$11,1))&lt;ROUNDUP(Settings!$B$11*Settings!$B$26,0),NA(),STDEV(OFFSET(G952,1-Settings!$B$11,0,Settings!$B$11,1))*SQRT(Settings!$B$13)))</f>
        <v/>
      </c>
      <c r="K952" s="20">
        <f>IF(OR(NOT(ISNUMBER($A952)),ROW()-2&lt;Settings!$B$12),NA(),IF(COUNT(OFFSET(G952,1-Settings!$B$12,0,Settings!$B$12,1))&lt;ROUNDUP(Settings!$B$12*Settings!$B$26,0),NA(),STDEV(OFFSET(G952,1-Settings!$B$12,0,Settings!$B$12,1))*SQRT(Settings!$B$13)))</f>
        <v/>
      </c>
      <c r="L952" s="20">
        <f>IF(AND(ISNUMBER(D952),ISNUMBER(H952)),D952-H952,NA())</f>
        <v/>
      </c>
      <c r="M952" s="20">
        <f>IF(AND(ISNUMBER(E952),ISNUMBER(K952)),E952-K952,NA())</f>
        <v/>
      </c>
      <c r="N952" s="20">
        <f>IF(NOT(ISNUMBER($A952)),NA(),IF(COUNT(OFFSET(G952,1,0,Settings!$B$12,1))&lt;ROUNDUP(Settings!$B$12*Settings!$B$26,0),NA(),STDEV(OFFSET(G952,1,0,Settings!$B$12,1))*SQRT(Settings!$B$13)))</f>
        <v/>
      </c>
      <c r="O952" s="20">
        <f>IF(AND(ISNUMBER(E952),ISNUMBER(N952)),E952-N952,NA())</f>
        <v/>
      </c>
      <c r="P952" s="19">
        <f>IF(NOT(ISNUMBER($A952)),NA(),IF(OR($A952&lt;MIN(KW_TP!$A$2:$A$2501),$A952&gt;MAX(KW_TP!$A$2:$A$2501)),NA(),INDEX(KW_TP!$C$2:$C$2501,MATCH($A952,KW_TP!$A$2:$A$2501,1))))</f>
        <v/>
      </c>
      <c r="Q952" s="18">
        <f>IF(NOT(ISNUMBER($A952)),NA(),IFERROR(1*INDEX(BBG_Data!$J$2:$J$4000,MATCH($A952,BBG_Data!$I$2:$I$4000,0)),NA()))</f>
        <v/>
      </c>
      <c r="R952" s="18">
        <f>IF(NOT(ISNUMBER($A952)),NA(),IFERROR(1*INDEX(BBG_Data!$L$2:$L$4000,MATCH($A952,BBG_Data!$K$2:$K$4000,0)),NA()))</f>
        <v/>
      </c>
      <c r="S952" s="20">
        <f>IF(AND(ISNUMBER(B952),ISNUMBER(Q952),ISNUMBER(R952)),(B952-Q952-R952)*100,NA())</f>
        <v/>
      </c>
      <c r="T952" s="20">
        <f>IF(AND(ISNUMBER(B952),Settings!$B$17&gt;0),IF(ISNUMBER(INDEX($B:$B,Settings!$B$17)),(B952-INDEX($B:$B,Settings!$B$17))*100,NA()),NA())</f>
        <v/>
      </c>
      <c r="U952" s="20">
        <f>IF(AND(ISNUMBER(Q952),Settings!$B$17&gt;0),IF(ISNUMBER(INDEX($Q:$Q,Settings!$B$17)),(Q952-INDEX($Q:$Q,Settings!$B$17))*100,NA()),NA())</f>
        <v/>
      </c>
      <c r="V952" s="20">
        <f>IF(AND(ISNUMBER(R952),Settings!$B$17&gt;0),IF(ISNUMBER(INDEX($R:$R,Settings!$B$17)),(R952-INDEX($R:$R,Settings!$B$17))*100,NA()),NA())</f>
        <v/>
      </c>
      <c r="W952" s="20">
        <f>IF(AND(ISNUMBER(P952),Settings!$B$17&gt;0),IF(ISNUMBER(INDEX($P:$P,Settings!$B$17)),P952-INDEX($P:$P,Settings!$B$17),NA()),NA())</f>
        <v/>
      </c>
      <c r="X952" s="19">
        <f>IF(NOT(ISNUMBER($A952)),NA(),IF(OR($A952&lt;MIN(DKW_10Y!$A$2:$A$2918),$A952&gt;MAX(DKW_10Y!$A$2:$A$2918),Settings!$B$16&lt;MIN(DKW_10Y!$A$2:$A$2918)),NA(),(INDEX(DKW_10Y!$B$2:$B$2918,MATCH($A952,DKW_10Y!$A$2:$A$2918,1))-INDEX(DKW_10Y!$B$2:$B$2918,MATCH(Settings!$B$16,DKW_10Y!$A$2:$A$2918,1)))*100))</f>
        <v/>
      </c>
      <c r="Y952" s="19">
        <f>IF(NOT(ISNUMBER($A952)),NA(),IF(OR($A952&lt;MIN(DKW_10Y!$A$2:$A$2918),$A952&gt;MAX(DKW_10Y!$A$2:$A$2918),Settings!$B$16&lt;MIN(DKW_10Y!$A$2:$A$2918)),NA(),(INDEX(DKW_10Y!$C$2:$C$2918,MATCH($A952,DKW_10Y!$A$2:$A$2918,1))-INDEX(DKW_10Y!$C$2:$C$2918,MATCH(Settings!$B$16,DKW_10Y!$A$2:$A$2918,1)))*100))</f>
        <v/>
      </c>
      <c r="Z952" s="19">
        <f>IF(NOT(ISNUMBER($A952)),NA(),IF(OR($A952&lt;MIN(DKW_10Y!$A$2:$A$2918),$A952&gt;MAX(DKW_10Y!$A$2:$A$2918),Settings!$B$16&lt;MIN(DKW_10Y!$A$2:$A$2918)),NA(),(INDEX(DKW_10Y!$D$2:$D$2918,MATCH($A952,DKW_10Y!$A$2:$A$2918,1))-INDEX(DKW_10Y!$D$2:$D$2918,MATCH(Settings!$B$16,DKW_10Y!$A$2:$A$2918,1)))*100))</f>
        <v/>
      </c>
      <c r="AA952" s="19">
        <f>IF(NOT(ISNUMBER($A952)),NA(),IF(OR($A952&lt;MIN(DKW_10Y!$A$2:$A$2918),$A952&gt;MAX(DKW_10Y!$A$2:$A$2918),Settings!$B$16&lt;MIN(DKW_10Y!$A$2:$A$2918)),NA(),(INDEX(DKW_10Y!$E$2:$E$2918,MATCH($A952,DKW_10Y!$A$2:$A$2918,1))-INDEX(DKW_10Y!$E$2:$E$2918,MATCH(Settings!$B$16,DKW_10Y!$A$2:$A$2918,1)))*100))</f>
        <v/>
      </c>
      <c r="AB952" s="19">
        <f>IF(NOT(ISNUMBER($A952)),NA(),IF(OR($A952&lt;MIN(DKW_10Y!$A$2:$A$2918),$A952&gt;MAX(DKW_10Y!$A$2:$A$2918),Settings!$B$16&lt;MIN(DKW_10Y!$A$2:$A$2918)),NA(),(INDEX(DKW_10Y!$H$2:$H$2918,MATCH($A952,DKW_10Y!$A$2:$A$2918,1))-INDEX(DKW_10Y!$H$2:$H$2918,MATCH(Settings!$B$16,DKW_10Y!$A$2:$A$2918,1)))*100))</f>
        <v/>
      </c>
      <c r="AC952" s="18">
        <f>IF(NOT(ISNUMBER($A952)),NA(),IFERROR(1*INDEX(BBG_Data!$N$2:$N$4000,MATCH($A952,BBG_Data!$M$2:$M$4000,0)),NA()))</f>
        <v/>
      </c>
      <c r="AD952" s="18">
        <f>IF(NOT(ISNUMBER($A952)),NA(),IFERROR(1*INDEX(BBG_Data!$P$2:$P$4000,MATCH($A952,BBG_Data!$O$2:$O$4000,0)),NA()))</f>
        <v/>
      </c>
      <c r="AE952" s="18">
        <f>IF(NOT(ISNUMBER($A952)),NA(),IFERROR(1*INDEX(BBG_Data!$R$2:$R$4000,MATCH($A952,BBG_Data!$Q$2:$Q$4000,0)),NA()))</f>
        <v/>
      </c>
      <c r="AF952" s="20">
        <f>IF(AND(ISNUMBER(B952),ISNUMBER(AC952)),(B952-AC952)*100,NA())</f>
        <v/>
      </c>
      <c r="AG952" s="20">
        <f>IF(AND(ISNUMBER(AE952),ISNUMBER(AD952)),(AE952-AD952)*100,NA())</f>
        <v/>
      </c>
      <c r="AH952" s="19">
        <f>IF(NOT(ISNUMBER($A952)),NA(),IFERROR(INDEX(BBG_Data!$T$2:$T$4000,MATCH($A952,BBG_Data!$S$2:$S$4000,0))*Settings!$B$25,NA()))</f>
        <v/>
      </c>
      <c r="AI952" s="19">
        <f>IF(NOT(ISNUMBER($A952)),NA(),IFERROR(INDEX(BBG_Data!$V$2:$V$4000,MATCH($A952,BBG_Data!$U$2:$U$4000,0))*Settings!$B$25,NA()))</f>
        <v/>
      </c>
      <c r="AJ952" s="19">
        <f>IF(NOT(ISNUMBER($A952)),NA(),IFERROR(1*INDEX(BBG_Data!$X$2:$X$4000,MATCH($A952,BBG_Data!$W$2:$W$4000,0)),NA()))</f>
        <v/>
      </c>
      <c r="AK952" s="19">
        <f>IF(NOT(ISNUMBER($A952)),NA(),IFERROR(1*INDEX(BBG_Data!$Z$2:$Z$4000,MATCH($A952,BBG_Data!$Y$2:$Y$4000,0)),NA()))</f>
        <v/>
      </c>
    </row>
    <row r="953">
      <c r="A953" s="17">
        <f>IF(ISNUMBER(BBG_Data!A953),BBG_Data!A953,"")</f>
        <v/>
      </c>
      <c r="B953" s="18">
        <f>IF(AND(ISNUMBER($A953),ISNUMBER(BBG_Data!B953)),BBG_Data!B953,NA())</f>
        <v/>
      </c>
      <c r="C953" s="18">
        <f>IF(NOT(ISNUMBER($A953)),NA(),IFERROR(1*INDEX(BBG_Data!$D$2:$D$4000,MATCH($A953,BBG_Data!$C$2:$C$4000,0)),NA()))</f>
        <v/>
      </c>
      <c r="D953" s="19">
        <f>IF(NOT(ISNUMBER($A953)),NA(),IFERROR(1*INDEX(BBG_Data!$F$2:$F$4000,MATCH($A953,BBG_Data!$E$2:$E$4000,0)),NA()))</f>
        <v/>
      </c>
      <c r="E953" s="19">
        <f>IF(NOT(ISNUMBER($A953)),NA(),IFERROR(1*INDEX(BBG_Data!$H$2:$H$4000,MATCH($A953,BBG_Data!$G$2:$G$4000,0)),NA()))</f>
        <v/>
      </c>
      <c r="F953" s="20">
        <f>IF(AND(ISNUMBER(B953),ISNUMBER(B952)),IF(B953=B952,"",(B953-B952)*100),"")</f>
        <v/>
      </c>
      <c r="G953" s="20">
        <f>IF(AND(ISNUMBER(C953),ISNUMBER(C952)),IF(C953=C952,"",(C953-C952)*100),"")</f>
        <v/>
      </c>
      <c r="H953" s="20">
        <f>IF(OR(NOT(ISNUMBER($A953)),ROW()-2&lt;Settings!$B$11),NA(),IF(COUNT(OFFSET(F953,1-Settings!$B$11,0,Settings!$B$11,1))&lt;ROUNDUP(Settings!$B$11*Settings!$B$26,0),NA(),STDEV(OFFSET(F953,1-Settings!$B$11,0,Settings!$B$11,1))*SQRT(Settings!$B$13)))</f>
        <v/>
      </c>
      <c r="I953" s="20">
        <f>IF(OR(NOT(ISNUMBER($A953)),ROW()-2&lt;Settings!$B$12),NA(),IF(COUNT(OFFSET(F953,1-Settings!$B$12,0,Settings!$B$12,1))&lt;ROUNDUP(Settings!$B$12*Settings!$B$26,0),NA(),STDEV(OFFSET(F953,1-Settings!$B$12,0,Settings!$B$12,1))*SQRT(Settings!$B$13)))</f>
        <v/>
      </c>
      <c r="J953" s="20">
        <f>IF(OR(NOT(ISNUMBER($A953)),ROW()-2&lt;Settings!$B$11),NA(),IF(COUNT(OFFSET(G953,1-Settings!$B$11,0,Settings!$B$11,1))&lt;ROUNDUP(Settings!$B$11*Settings!$B$26,0),NA(),STDEV(OFFSET(G953,1-Settings!$B$11,0,Settings!$B$11,1))*SQRT(Settings!$B$13)))</f>
        <v/>
      </c>
      <c r="K953" s="20">
        <f>IF(OR(NOT(ISNUMBER($A953)),ROW()-2&lt;Settings!$B$12),NA(),IF(COUNT(OFFSET(G953,1-Settings!$B$12,0,Settings!$B$12,1))&lt;ROUNDUP(Settings!$B$12*Settings!$B$26,0),NA(),STDEV(OFFSET(G953,1-Settings!$B$12,0,Settings!$B$12,1))*SQRT(Settings!$B$13)))</f>
        <v/>
      </c>
      <c r="L953" s="20">
        <f>IF(AND(ISNUMBER(D953),ISNUMBER(H953)),D953-H953,NA())</f>
        <v/>
      </c>
      <c r="M953" s="20">
        <f>IF(AND(ISNUMBER(E953),ISNUMBER(K953)),E953-K953,NA())</f>
        <v/>
      </c>
      <c r="N953" s="20">
        <f>IF(NOT(ISNUMBER($A953)),NA(),IF(COUNT(OFFSET(G953,1,0,Settings!$B$12,1))&lt;ROUNDUP(Settings!$B$12*Settings!$B$26,0),NA(),STDEV(OFFSET(G953,1,0,Settings!$B$12,1))*SQRT(Settings!$B$13)))</f>
        <v/>
      </c>
      <c r="O953" s="20">
        <f>IF(AND(ISNUMBER(E953),ISNUMBER(N953)),E953-N953,NA())</f>
        <v/>
      </c>
      <c r="P953" s="19">
        <f>IF(NOT(ISNUMBER($A953)),NA(),IF(OR($A953&lt;MIN(KW_TP!$A$2:$A$2501),$A953&gt;MAX(KW_TP!$A$2:$A$2501)),NA(),INDEX(KW_TP!$C$2:$C$2501,MATCH($A953,KW_TP!$A$2:$A$2501,1))))</f>
        <v/>
      </c>
      <c r="Q953" s="18">
        <f>IF(NOT(ISNUMBER($A953)),NA(),IFERROR(1*INDEX(BBG_Data!$J$2:$J$4000,MATCH($A953,BBG_Data!$I$2:$I$4000,0)),NA()))</f>
        <v/>
      </c>
      <c r="R953" s="18">
        <f>IF(NOT(ISNUMBER($A953)),NA(),IFERROR(1*INDEX(BBG_Data!$L$2:$L$4000,MATCH($A953,BBG_Data!$K$2:$K$4000,0)),NA()))</f>
        <v/>
      </c>
      <c r="S953" s="20">
        <f>IF(AND(ISNUMBER(B953),ISNUMBER(Q953),ISNUMBER(R953)),(B953-Q953-R953)*100,NA())</f>
        <v/>
      </c>
      <c r="T953" s="20">
        <f>IF(AND(ISNUMBER(B953),Settings!$B$17&gt;0),IF(ISNUMBER(INDEX($B:$B,Settings!$B$17)),(B953-INDEX($B:$B,Settings!$B$17))*100,NA()),NA())</f>
        <v/>
      </c>
      <c r="U953" s="20">
        <f>IF(AND(ISNUMBER(Q953),Settings!$B$17&gt;0),IF(ISNUMBER(INDEX($Q:$Q,Settings!$B$17)),(Q953-INDEX($Q:$Q,Settings!$B$17))*100,NA()),NA())</f>
        <v/>
      </c>
      <c r="V953" s="20">
        <f>IF(AND(ISNUMBER(R953),Settings!$B$17&gt;0),IF(ISNUMBER(INDEX($R:$R,Settings!$B$17)),(R953-INDEX($R:$R,Settings!$B$17))*100,NA()),NA())</f>
        <v/>
      </c>
      <c r="W953" s="20">
        <f>IF(AND(ISNUMBER(P953),Settings!$B$17&gt;0),IF(ISNUMBER(INDEX($P:$P,Settings!$B$17)),P953-INDEX($P:$P,Settings!$B$17),NA()),NA())</f>
        <v/>
      </c>
      <c r="X953" s="19">
        <f>IF(NOT(ISNUMBER($A953)),NA(),IF(OR($A953&lt;MIN(DKW_10Y!$A$2:$A$2918),$A953&gt;MAX(DKW_10Y!$A$2:$A$2918),Settings!$B$16&lt;MIN(DKW_10Y!$A$2:$A$2918)),NA(),(INDEX(DKW_10Y!$B$2:$B$2918,MATCH($A953,DKW_10Y!$A$2:$A$2918,1))-INDEX(DKW_10Y!$B$2:$B$2918,MATCH(Settings!$B$16,DKW_10Y!$A$2:$A$2918,1)))*100))</f>
        <v/>
      </c>
      <c r="Y953" s="19">
        <f>IF(NOT(ISNUMBER($A953)),NA(),IF(OR($A953&lt;MIN(DKW_10Y!$A$2:$A$2918),$A953&gt;MAX(DKW_10Y!$A$2:$A$2918),Settings!$B$16&lt;MIN(DKW_10Y!$A$2:$A$2918)),NA(),(INDEX(DKW_10Y!$C$2:$C$2918,MATCH($A953,DKW_10Y!$A$2:$A$2918,1))-INDEX(DKW_10Y!$C$2:$C$2918,MATCH(Settings!$B$16,DKW_10Y!$A$2:$A$2918,1)))*100))</f>
        <v/>
      </c>
      <c r="Z953" s="19">
        <f>IF(NOT(ISNUMBER($A953)),NA(),IF(OR($A953&lt;MIN(DKW_10Y!$A$2:$A$2918),$A953&gt;MAX(DKW_10Y!$A$2:$A$2918),Settings!$B$16&lt;MIN(DKW_10Y!$A$2:$A$2918)),NA(),(INDEX(DKW_10Y!$D$2:$D$2918,MATCH($A953,DKW_10Y!$A$2:$A$2918,1))-INDEX(DKW_10Y!$D$2:$D$2918,MATCH(Settings!$B$16,DKW_10Y!$A$2:$A$2918,1)))*100))</f>
        <v/>
      </c>
      <c r="AA953" s="19">
        <f>IF(NOT(ISNUMBER($A953)),NA(),IF(OR($A953&lt;MIN(DKW_10Y!$A$2:$A$2918),$A953&gt;MAX(DKW_10Y!$A$2:$A$2918),Settings!$B$16&lt;MIN(DKW_10Y!$A$2:$A$2918)),NA(),(INDEX(DKW_10Y!$E$2:$E$2918,MATCH($A953,DKW_10Y!$A$2:$A$2918,1))-INDEX(DKW_10Y!$E$2:$E$2918,MATCH(Settings!$B$16,DKW_10Y!$A$2:$A$2918,1)))*100))</f>
        <v/>
      </c>
      <c r="AB953" s="19">
        <f>IF(NOT(ISNUMBER($A953)),NA(),IF(OR($A953&lt;MIN(DKW_10Y!$A$2:$A$2918),$A953&gt;MAX(DKW_10Y!$A$2:$A$2918),Settings!$B$16&lt;MIN(DKW_10Y!$A$2:$A$2918)),NA(),(INDEX(DKW_10Y!$H$2:$H$2918,MATCH($A953,DKW_10Y!$A$2:$A$2918,1))-INDEX(DKW_10Y!$H$2:$H$2918,MATCH(Settings!$B$16,DKW_10Y!$A$2:$A$2918,1)))*100))</f>
        <v/>
      </c>
      <c r="AC953" s="18">
        <f>IF(NOT(ISNUMBER($A953)),NA(),IFERROR(1*INDEX(BBG_Data!$N$2:$N$4000,MATCH($A953,BBG_Data!$M$2:$M$4000,0)),NA()))</f>
        <v/>
      </c>
      <c r="AD953" s="18">
        <f>IF(NOT(ISNUMBER($A953)),NA(),IFERROR(1*INDEX(BBG_Data!$P$2:$P$4000,MATCH($A953,BBG_Data!$O$2:$O$4000,0)),NA()))</f>
        <v/>
      </c>
      <c r="AE953" s="18">
        <f>IF(NOT(ISNUMBER($A953)),NA(),IFERROR(1*INDEX(BBG_Data!$R$2:$R$4000,MATCH($A953,BBG_Data!$Q$2:$Q$4000,0)),NA()))</f>
        <v/>
      </c>
      <c r="AF953" s="20">
        <f>IF(AND(ISNUMBER(B953),ISNUMBER(AC953)),(B953-AC953)*100,NA())</f>
        <v/>
      </c>
      <c r="AG953" s="20">
        <f>IF(AND(ISNUMBER(AE953),ISNUMBER(AD953)),(AE953-AD953)*100,NA())</f>
        <v/>
      </c>
      <c r="AH953" s="19">
        <f>IF(NOT(ISNUMBER($A953)),NA(),IFERROR(INDEX(BBG_Data!$T$2:$T$4000,MATCH($A953,BBG_Data!$S$2:$S$4000,0))*Settings!$B$25,NA()))</f>
        <v/>
      </c>
      <c r="AI953" s="19">
        <f>IF(NOT(ISNUMBER($A953)),NA(),IFERROR(INDEX(BBG_Data!$V$2:$V$4000,MATCH($A953,BBG_Data!$U$2:$U$4000,0))*Settings!$B$25,NA()))</f>
        <v/>
      </c>
      <c r="AJ953" s="19">
        <f>IF(NOT(ISNUMBER($A953)),NA(),IFERROR(1*INDEX(BBG_Data!$X$2:$X$4000,MATCH($A953,BBG_Data!$W$2:$W$4000,0)),NA()))</f>
        <v/>
      </c>
      <c r="AK953" s="19">
        <f>IF(NOT(ISNUMBER($A953)),NA(),IFERROR(1*INDEX(BBG_Data!$Z$2:$Z$4000,MATCH($A953,BBG_Data!$Y$2:$Y$4000,0)),NA()))</f>
        <v/>
      </c>
    </row>
    <row r="954">
      <c r="A954" s="17">
        <f>IF(ISNUMBER(BBG_Data!A954),BBG_Data!A954,"")</f>
        <v/>
      </c>
      <c r="B954" s="18">
        <f>IF(AND(ISNUMBER($A954),ISNUMBER(BBG_Data!B954)),BBG_Data!B954,NA())</f>
        <v/>
      </c>
      <c r="C954" s="18">
        <f>IF(NOT(ISNUMBER($A954)),NA(),IFERROR(1*INDEX(BBG_Data!$D$2:$D$4000,MATCH($A954,BBG_Data!$C$2:$C$4000,0)),NA()))</f>
        <v/>
      </c>
      <c r="D954" s="19">
        <f>IF(NOT(ISNUMBER($A954)),NA(),IFERROR(1*INDEX(BBG_Data!$F$2:$F$4000,MATCH($A954,BBG_Data!$E$2:$E$4000,0)),NA()))</f>
        <v/>
      </c>
      <c r="E954" s="19">
        <f>IF(NOT(ISNUMBER($A954)),NA(),IFERROR(1*INDEX(BBG_Data!$H$2:$H$4000,MATCH($A954,BBG_Data!$G$2:$G$4000,0)),NA()))</f>
        <v/>
      </c>
      <c r="F954" s="20">
        <f>IF(AND(ISNUMBER(B954),ISNUMBER(B953)),IF(B954=B953,"",(B954-B953)*100),"")</f>
        <v/>
      </c>
      <c r="G954" s="20">
        <f>IF(AND(ISNUMBER(C954),ISNUMBER(C953)),IF(C954=C953,"",(C954-C953)*100),"")</f>
        <v/>
      </c>
      <c r="H954" s="20">
        <f>IF(OR(NOT(ISNUMBER($A954)),ROW()-2&lt;Settings!$B$11),NA(),IF(COUNT(OFFSET(F954,1-Settings!$B$11,0,Settings!$B$11,1))&lt;ROUNDUP(Settings!$B$11*Settings!$B$26,0),NA(),STDEV(OFFSET(F954,1-Settings!$B$11,0,Settings!$B$11,1))*SQRT(Settings!$B$13)))</f>
        <v/>
      </c>
      <c r="I954" s="20">
        <f>IF(OR(NOT(ISNUMBER($A954)),ROW()-2&lt;Settings!$B$12),NA(),IF(COUNT(OFFSET(F954,1-Settings!$B$12,0,Settings!$B$12,1))&lt;ROUNDUP(Settings!$B$12*Settings!$B$26,0),NA(),STDEV(OFFSET(F954,1-Settings!$B$12,0,Settings!$B$12,1))*SQRT(Settings!$B$13)))</f>
        <v/>
      </c>
      <c r="J954" s="20">
        <f>IF(OR(NOT(ISNUMBER($A954)),ROW()-2&lt;Settings!$B$11),NA(),IF(COUNT(OFFSET(G954,1-Settings!$B$11,0,Settings!$B$11,1))&lt;ROUNDUP(Settings!$B$11*Settings!$B$26,0),NA(),STDEV(OFFSET(G954,1-Settings!$B$11,0,Settings!$B$11,1))*SQRT(Settings!$B$13)))</f>
        <v/>
      </c>
      <c r="K954" s="20">
        <f>IF(OR(NOT(ISNUMBER($A954)),ROW()-2&lt;Settings!$B$12),NA(),IF(COUNT(OFFSET(G954,1-Settings!$B$12,0,Settings!$B$12,1))&lt;ROUNDUP(Settings!$B$12*Settings!$B$26,0),NA(),STDEV(OFFSET(G954,1-Settings!$B$12,0,Settings!$B$12,1))*SQRT(Settings!$B$13)))</f>
        <v/>
      </c>
      <c r="L954" s="20">
        <f>IF(AND(ISNUMBER(D954),ISNUMBER(H954)),D954-H954,NA())</f>
        <v/>
      </c>
      <c r="M954" s="20">
        <f>IF(AND(ISNUMBER(E954),ISNUMBER(K954)),E954-K954,NA())</f>
        <v/>
      </c>
      <c r="N954" s="20">
        <f>IF(NOT(ISNUMBER($A954)),NA(),IF(COUNT(OFFSET(G954,1,0,Settings!$B$12,1))&lt;ROUNDUP(Settings!$B$12*Settings!$B$26,0),NA(),STDEV(OFFSET(G954,1,0,Settings!$B$12,1))*SQRT(Settings!$B$13)))</f>
        <v/>
      </c>
      <c r="O954" s="20">
        <f>IF(AND(ISNUMBER(E954),ISNUMBER(N954)),E954-N954,NA())</f>
        <v/>
      </c>
      <c r="P954" s="19">
        <f>IF(NOT(ISNUMBER($A954)),NA(),IF(OR($A954&lt;MIN(KW_TP!$A$2:$A$2501),$A954&gt;MAX(KW_TP!$A$2:$A$2501)),NA(),INDEX(KW_TP!$C$2:$C$2501,MATCH($A954,KW_TP!$A$2:$A$2501,1))))</f>
        <v/>
      </c>
      <c r="Q954" s="18">
        <f>IF(NOT(ISNUMBER($A954)),NA(),IFERROR(1*INDEX(BBG_Data!$J$2:$J$4000,MATCH($A954,BBG_Data!$I$2:$I$4000,0)),NA()))</f>
        <v/>
      </c>
      <c r="R954" s="18">
        <f>IF(NOT(ISNUMBER($A954)),NA(),IFERROR(1*INDEX(BBG_Data!$L$2:$L$4000,MATCH($A954,BBG_Data!$K$2:$K$4000,0)),NA()))</f>
        <v/>
      </c>
      <c r="S954" s="20">
        <f>IF(AND(ISNUMBER(B954),ISNUMBER(Q954),ISNUMBER(R954)),(B954-Q954-R954)*100,NA())</f>
        <v/>
      </c>
      <c r="T954" s="20">
        <f>IF(AND(ISNUMBER(B954),Settings!$B$17&gt;0),IF(ISNUMBER(INDEX($B:$B,Settings!$B$17)),(B954-INDEX($B:$B,Settings!$B$17))*100,NA()),NA())</f>
        <v/>
      </c>
      <c r="U954" s="20">
        <f>IF(AND(ISNUMBER(Q954),Settings!$B$17&gt;0),IF(ISNUMBER(INDEX($Q:$Q,Settings!$B$17)),(Q954-INDEX($Q:$Q,Settings!$B$17))*100,NA()),NA())</f>
        <v/>
      </c>
      <c r="V954" s="20">
        <f>IF(AND(ISNUMBER(R954),Settings!$B$17&gt;0),IF(ISNUMBER(INDEX($R:$R,Settings!$B$17)),(R954-INDEX($R:$R,Settings!$B$17))*100,NA()),NA())</f>
        <v/>
      </c>
      <c r="W954" s="20">
        <f>IF(AND(ISNUMBER(P954),Settings!$B$17&gt;0),IF(ISNUMBER(INDEX($P:$P,Settings!$B$17)),P954-INDEX($P:$P,Settings!$B$17),NA()),NA())</f>
        <v/>
      </c>
      <c r="X954" s="19">
        <f>IF(NOT(ISNUMBER($A954)),NA(),IF(OR($A954&lt;MIN(DKW_10Y!$A$2:$A$2918),$A954&gt;MAX(DKW_10Y!$A$2:$A$2918),Settings!$B$16&lt;MIN(DKW_10Y!$A$2:$A$2918)),NA(),(INDEX(DKW_10Y!$B$2:$B$2918,MATCH($A954,DKW_10Y!$A$2:$A$2918,1))-INDEX(DKW_10Y!$B$2:$B$2918,MATCH(Settings!$B$16,DKW_10Y!$A$2:$A$2918,1)))*100))</f>
        <v/>
      </c>
      <c r="Y954" s="19">
        <f>IF(NOT(ISNUMBER($A954)),NA(),IF(OR($A954&lt;MIN(DKW_10Y!$A$2:$A$2918),$A954&gt;MAX(DKW_10Y!$A$2:$A$2918),Settings!$B$16&lt;MIN(DKW_10Y!$A$2:$A$2918)),NA(),(INDEX(DKW_10Y!$C$2:$C$2918,MATCH($A954,DKW_10Y!$A$2:$A$2918,1))-INDEX(DKW_10Y!$C$2:$C$2918,MATCH(Settings!$B$16,DKW_10Y!$A$2:$A$2918,1)))*100))</f>
        <v/>
      </c>
      <c r="Z954" s="19">
        <f>IF(NOT(ISNUMBER($A954)),NA(),IF(OR($A954&lt;MIN(DKW_10Y!$A$2:$A$2918),$A954&gt;MAX(DKW_10Y!$A$2:$A$2918),Settings!$B$16&lt;MIN(DKW_10Y!$A$2:$A$2918)),NA(),(INDEX(DKW_10Y!$D$2:$D$2918,MATCH($A954,DKW_10Y!$A$2:$A$2918,1))-INDEX(DKW_10Y!$D$2:$D$2918,MATCH(Settings!$B$16,DKW_10Y!$A$2:$A$2918,1)))*100))</f>
        <v/>
      </c>
      <c r="AA954" s="19">
        <f>IF(NOT(ISNUMBER($A954)),NA(),IF(OR($A954&lt;MIN(DKW_10Y!$A$2:$A$2918),$A954&gt;MAX(DKW_10Y!$A$2:$A$2918),Settings!$B$16&lt;MIN(DKW_10Y!$A$2:$A$2918)),NA(),(INDEX(DKW_10Y!$E$2:$E$2918,MATCH($A954,DKW_10Y!$A$2:$A$2918,1))-INDEX(DKW_10Y!$E$2:$E$2918,MATCH(Settings!$B$16,DKW_10Y!$A$2:$A$2918,1)))*100))</f>
        <v/>
      </c>
      <c r="AB954" s="19">
        <f>IF(NOT(ISNUMBER($A954)),NA(),IF(OR($A954&lt;MIN(DKW_10Y!$A$2:$A$2918),$A954&gt;MAX(DKW_10Y!$A$2:$A$2918),Settings!$B$16&lt;MIN(DKW_10Y!$A$2:$A$2918)),NA(),(INDEX(DKW_10Y!$H$2:$H$2918,MATCH($A954,DKW_10Y!$A$2:$A$2918,1))-INDEX(DKW_10Y!$H$2:$H$2918,MATCH(Settings!$B$16,DKW_10Y!$A$2:$A$2918,1)))*100))</f>
        <v/>
      </c>
      <c r="AC954" s="18">
        <f>IF(NOT(ISNUMBER($A954)),NA(),IFERROR(1*INDEX(BBG_Data!$N$2:$N$4000,MATCH($A954,BBG_Data!$M$2:$M$4000,0)),NA()))</f>
        <v/>
      </c>
      <c r="AD954" s="18">
        <f>IF(NOT(ISNUMBER($A954)),NA(),IFERROR(1*INDEX(BBG_Data!$P$2:$P$4000,MATCH($A954,BBG_Data!$O$2:$O$4000,0)),NA()))</f>
        <v/>
      </c>
      <c r="AE954" s="18">
        <f>IF(NOT(ISNUMBER($A954)),NA(),IFERROR(1*INDEX(BBG_Data!$R$2:$R$4000,MATCH($A954,BBG_Data!$Q$2:$Q$4000,0)),NA()))</f>
        <v/>
      </c>
      <c r="AF954" s="20">
        <f>IF(AND(ISNUMBER(B954),ISNUMBER(AC954)),(B954-AC954)*100,NA())</f>
        <v/>
      </c>
      <c r="AG954" s="20">
        <f>IF(AND(ISNUMBER(AE954),ISNUMBER(AD954)),(AE954-AD954)*100,NA())</f>
        <v/>
      </c>
      <c r="AH954" s="19">
        <f>IF(NOT(ISNUMBER($A954)),NA(),IFERROR(INDEX(BBG_Data!$T$2:$T$4000,MATCH($A954,BBG_Data!$S$2:$S$4000,0))*Settings!$B$25,NA()))</f>
        <v/>
      </c>
      <c r="AI954" s="19">
        <f>IF(NOT(ISNUMBER($A954)),NA(),IFERROR(INDEX(BBG_Data!$V$2:$V$4000,MATCH($A954,BBG_Data!$U$2:$U$4000,0))*Settings!$B$25,NA()))</f>
        <v/>
      </c>
      <c r="AJ954" s="19">
        <f>IF(NOT(ISNUMBER($A954)),NA(),IFERROR(1*INDEX(BBG_Data!$X$2:$X$4000,MATCH($A954,BBG_Data!$W$2:$W$4000,0)),NA()))</f>
        <v/>
      </c>
      <c r="AK954" s="19">
        <f>IF(NOT(ISNUMBER($A954)),NA(),IFERROR(1*INDEX(BBG_Data!$Z$2:$Z$4000,MATCH($A954,BBG_Data!$Y$2:$Y$4000,0)),NA()))</f>
        <v/>
      </c>
    </row>
    <row r="955">
      <c r="A955" s="17">
        <f>IF(ISNUMBER(BBG_Data!A955),BBG_Data!A955,"")</f>
        <v/>
      </c>
      <c r="B955" s="18">
        <f>IF(AND(ISNUMBER($A955),ISNUMBER(BBG_Data!B955)),BBG_Data!B955,NA())</f>
        <v/>
      </c>
      <c r="C955" s="18">
        <f>IF(NOT(ISNUMBER($A955)),NA(),IFERROR(1*INDEX(BBG_Data!$D$2:$D$4000,MATCH($A955,BBG_Data!$C$2:$C$4000,0)),NA()))</f>
        <v/>
      </c>
      <c r="D955" s="19">
        <f>IF(NOT(ISNUMBER($A955)),NA(),IFERROR(1*INDEX(BBG_Data!$F$2:$F$4000,MATCH($A955,BBG_Data!$E$2:$E$4000,0)),NA()))</f>
        <v/>
      </c>
      <c r="E955" s="19">
        <f>IF(NOT(ISNUMBER($A955)),NA(),IFERROR(1*INDEX(BBG_Data!$H$2:$H$4000,MATCH($A955,BBG_Data!$G$2:$G$4000,0)),NA()))</f>
        <v/>
      </c>
      <c r="F955" s="20">
        <f>IF(AND(ISNUMBER(B955),ISNUMBER(B954)),IF(B955=B954,"",(B955-B954)*100),"")</f>
        <v/>
      </c>
      <c r="G955" s="20">
        <f>IF(AND(ISNUMBER(C955),ISNUMBER(C954)),IF(C955=C954,"",(C955-C954)*100),"")</f>
        <v/>
      </c>
      <c r="H955" s="20">
        <f>IF(OR(NOT(ISNUMBER($A955)),ROW()-2&lt;Settings!$B$11),NA(),IF(COUNT(OFFSET(F955,1-Settings!$B$11,0,Settings!$B$11,1))&lt;ROUNDUP(Settings!$B$11*Settings!$B$26,0),NA(),STDEV(OFFSET(F955,1-Settings!$B$11,0,Settings!$B$11,1))*SQRT(Settings!$B$13)))</f>
        <v/>
      </c>
      <c r="I955" s="20">
        <f>IF(OR(NOT(ISNUMBER($A955)),ROW()-2&lt;Settings!$B$12),NA(),IF(COUNT(OFFSET(F955,1-Settings!$B$12,0,Settings!$B$12,1))&lt;ROUNDUP(Settings!$B$12*Settings!$B$26,0),NA(),STDEV(OFFSET(F955,1-Settings!$B$12,0,Settings!$B$12,1))*SQRT(Settings!$B$13)))</f>
        <v/>
      </c>
      <c r="J955" s="20">
        <f>IF(OR(NOT(ISNUMBER($A955)),ROW()-2&lt;Settings!$B$11),NA(),IF(COUNT(OFFSET(G955,1-Settings!$B$11,0,Settings!$B$11,1))&lt;ROUNDUP(Settings!$B$11*Settings!$B$26,0),NA(),STDEV(OFFSET(G955,1-Settings!$B$11,0,Settings!$B$11,1))*SQRT(Settings!$B$13)))</f>
        <v/>
      </c>
      <c r="K955" s="20">
        <f>IF(OR(NOT(ISNUMBER($A955)),ROW()-2&lt;Settings!$B$12),NA(),IF(COUNT(OFFSET(G955,1-Settings!$B$12,0,Settings!$B$12,1))&lt;ROUNDUP(Settings!$B$12*Settings!$B$26,0),NA(),STDEV(OFFSET(G955,1-Settings!$B$12,0,Settings!$B$12,1))*SQRT(Settings!$B$13)))</f>
        <v/>
      </c>
      <c r="L955" s="20">
        <f>IF(AND(ISNUMBER(D955),ISNUMBER(H955)),D955-H955,NA())</f>
        <v/>
      </c>
      <c r="M955" s="20">
        <f>IF(AND(ISNUMBER(E955),ISNUMBER(K955)),E955-K955,NA())</f>
        <v/>
      </c>
      <c r="N955" s="20">
        <f>IF(NOT(ISNUMBER($A955)),NA(),IF(COUNT(OFFSET(G955,1,0,Settings!$B$12,1))&lt;ROUNDUP(Settings!$B$12*Settings!$B$26,0),NA(),STDEV(OFFSET(G955,1,0,Settings!$B$12,1))*SQRT(Settings!$B$13)))</f>
        <v/>
      </c>
      <c r="O955" s="20">
        <f>IF(AND(ISNUMBER(E955),ISNUMBER(N955)),E955-N955,NA())</f>
        <v/>
      </c>
      <c r="P955" s="19">
        <f>IF(NOT(ISNUMBER($A955)),NA(),IF(OR($A955&lt;MIN(KW_TP!$A$2:$A$2501),$A955&gt;MAX(KW_TP!$A$2:$A$2501)),NA(),INDEX(KW_TP!$C$2:$C$2501,MATCH($A955,KW_TP!$A$2:$A$2501,1))))</f>
        <v/>
      </c>
      <c r="Q955" s="18">
        <f>IF(NOT(ISNUMBER($A955)),NA(),IFERROR(1*INDEX(BBG_Data!$J$2:$J$4000,MATCH($A955,BBG_Data!$I$2:$I$4000,0)),NA()))</f>
        <v/>
      </c>
      <c r="R955" s="18">
        <f>IF(NOT(ISNUMBER($A955)),NA(),IFERROR(1*INDEX(BBG_Data!$L$2:$L$4000,MATCH($A955,BBG_Data!$K$2:$K$4000,0)),NA()))</f>
        <v/>
      </c>
      <c r="S955" s="20">
        <f>IF(AND(ISNUMBER(B955),ISNUMBER(Q955),ISNUMBER(R955)),(B955-Q955-R955)*100,NA())</f>
        <v/>
      </c>
      <c r="T955" s="20">
        <f>IF(AND(ISNUMBER(B955),Settings!$B$17&gt;0),IF(ISNUMBER(INDEX($B:$B,Settings!$B$17)),(B955-INDEX($B:$B,Settings!$B$17))*100,NA()),NA())</f>
        <v/>
      </c>
      <c r="U955" s="20">
        <f>IF(AND(ISNUMBER(Q955),Settings!$B$17&gt;0),IF(ISNUMBER(INDEX($Q:$Q,Settings!$B$17)),(Q955-INDEX($Q:$Q,Settings!$B$17))*100,NA()),NA())</f>
        <v/>
      </c>
      <c r="V955" s="20">
        <f>IF(AND(ISNUMBER(R955),Settings!$B$17&gt;0),IF(ISNUMBER(INDEX($R:$R,Settings!$B$17)),(R955-INDEX($R:$R,Settings!$B$17))*100,NA()),NA())</f>
        <v/>
      </c>
      <c r="W955" s="20">
        <f>IF(AND(ISNUMBER(P955),Settings!$B$17&gt;0),IF(ISNUMBER(INDEX($P:$P,Settings!$B$17)),P955-INDEX($P:$P,Settings!$B$17),NA()),NA())</f>
        <v/>
      </c>
      <c r="X955" s="19">
        <f>IF(NOT(ISNUMBER($A955)),NA(),IF(OR($A955&lt;MIN(DKW_10Y!$A$2:$A$2918),$A955&gt;MAX(DKW_10Y!$A$2:$A$2918),Settings!$B$16&lt;MIN(DKW_10Y!$A$2:$A$2918)),NA(),(INDEX(DKW_10Y!$B$2:$B$2918,MATCH($A955,DKW_10Y!$A$2:$A$2918,1))-INDEX(DKW_10Y!$B$2:$B$2918,MATCH(Settings!$B$16,DKW_10Y!$A$2:$A$2918,1)))*100))</f>
        <v/>
      </c>
      <c r="Y955" s="19">
        <f>IF(NOT(ISNUMBER($A955)),NA(),IF(OR($A955&lt;MIN(DKW_10Y!$A$2:$A$2918),$A955&gt;MAX(DKW_10Y!$A$2:$A$2918),Settings!$B$16&lt;MIN(DKW_10Y!$A$2:$A$2918)),NA(),(INDEX(DKW_10Y!$C$2:$C$2918,MATCH($A955,DKW_10Y!$A$2:$A$2918,1))-INDEX(DKW_10Y!$C$2:$C$2918,MATCH(Settings!$B$16,DKW_10Y!$A$2:$A$2918,1)))*100))</f>
        <v/>
      </c>
      <c r="Z955" s="19">
        <f>IF(NOT(ISNUMBER($A955)),NA(),IF(OR($A955&lt;MIN(DKW_10Y!$A$2:$A$2918),$A955&gt;MAX(DKW_10Y!$A$2:$A$2918),Settings!$B$16&lt;MIN(DKW_10Y!$A$2:$A$2918)),NA(),(INDEX(DKW_10Y!$D$2:$D$2918,MATCH($A955,DKW_10Y!$A$2:$A$2918,1))-INDEX(DKW_10Y!$D$2:$D$2918,MATCH(Settings!$B$16,DKW_10Y!$A$2:$A$2918,1)))*100))</f>
        <v/>
      </c>
      <c r="AA955" s="19">
        <f>IF(NOT(ISNUMBER($A955)),NA(),IF(OR($A955&lt;MIN(DKW_10Y!$A$2:$A$2918),$A955&gt;MAX(DKW_10Y!$A$2:$A$2918),Settings!$B$16&lt;MIN(DKW_10Y!$A$2:$A$2918)),NA(),(INDEX(DKW_10Y!$E$2:$E$2918,MATCH($A955,DKW_10Y!$A$2:$A$2918,1))-INDEX(DKW_10Y!$E$2:$E$2918,MATCH(Settings!$B$16,DKW_10Y!$A$2:$A$2918,1)))*100))</f>
        <v/>
      </c>
      <c r="AB955" s="19">
        <f>IF(NOT(ISNUMBER($A955)),NA(),IF(OR($A955&lt;MIN(DKW_10Y!$A$2:$A$2918),$A955&gt;MAX(DKW_10Y!$A$2:$A$2918),Settings!$B$16&lt;MIN(DKW_10Y!$A$2:$A$2918)),NA(),(INDEX(DKW_10Y!$H$2:$H$2918,MATCH($A955,DKW_10Y!$A$2:$A$2918,1))-INDEX(DKW_10Y!$H$2:$H$2918,MATCH(Settings!$B$16,DKW_10Y!$A$2:$A$2918,1)))*100))</f>
        <v/>
      </c>
      <c r="AC955" s="18">
        <f>IF(NOT(ISNUMBER($A955)),NA(),IFERROR(1*INDEX(BBG_Data!$N$2:$N$4000,MATCH($A955,BBG_Data!$M$2:$M$4000,0)),NA()))</f>
        <v/>
      </c>
      <c r="AD955" s="18">
        <f>IF(NOT(ISNUMBER($A955)),NA(),IFERROR(1*INDEX(BBG_Data!$P$2:$P$4000,MATCH($A955,BBG_Data!$O$2:$O$4000,0)),NA()))</f>
        <v/>
      </c>
      <c r="AE955" s="18">
        <f>IF(NOT(ISNUMBER($A955)),NA(),IFERROR(1*INDEX(BBG_Data!$R$2:$R$4000,MATCH($A955,BBG_Data!$Q$2:$Q$4000,0)),NA()))</f>
        <v/>
      </c>
      <c r="AF955" s="20">
        <f>IF(AND(ISNUMBER(B955),ISNUMBER(AC955)),(B955-AC955)*100,NA())</f>
        <v/>
      </c>
      <c r="AG955" s="20">
        <f>IF(AND(ISNUMBER(AE955),ISNUMBER(AD955)),(AE955-AD955)*100,NA())</f>
        <v/>
      </c>
      <c r="AH955" s="19">
        <f>IF(NOT(ISNUMBER($A955)),NA(),IFERROR(INDEX(BBG_Data!$T$2:$T$4000,MATCH($A955,BBG_Data!$S$2:$S$4000,0))*Settings!$B$25,NA()))</f>
        <v/>
      </c>
      <c r="AI955" s="19">
        <f>IF(NOT(ISNUMBER($A955)),NA(),IFERROR(INDEX(BBG_Data!$V$2:$V$4000,MATCH($A955,BBG_Data!$U$2:$U$4000,0))*Settings!$B$25,NA()))</f>
        <v/>
      </c>
      <c r="AJ955" s="19">
        <f>IF(NOT(ISNUMBER($A955)),NA(),IFERROR(1*INDEX(BBG_Data!$X$2:$X$4000,MATCH($A955,BBG_Data!$W$2:$W$4000,0)),NA()))</f>
        <v/>
      </c>
      <c r="AK955" s="19">
        <f>IF(NOT(ISNUMBER($A955)),NA(),IFERROR(1*INDEX(BBG_Data!$Z$2:$Z$4000,MATCH($A955,BBG_Data!$Y$2:$Y$4000,0)),NA()))</f>
        <v/>
      </c>
    </row>
    <row r="956">
      <c r="A956" s="17">
        <f>IF(ISNUMBER(BBG_Data!A956),BBG_Data!A956,"")</f>
        <v/>
      </c>
      <c r="B956" s="18">
        <f>IF(AND(ISNUMBER($A956),ISNUMBER(BBG_Data!B956)),BBG_Data!B956,NA())</f>
        <v/>
      </c>
      <c r="C956" s="18">
        <f>IF(NOT(ISNUMBER($A956)),NA(),IFERROR(1*INDEX(BBG_Data!$D$2:$D$4000,MATCH($A956,BBG_Data!$C$2:$C$4000,0)),NA()))</f>
        <v/>
      </c>
      <c r="D956" s="19">
        <f>IF(NOT(ISNUMBER($A956)),NA(),IFERROR(1*INDEX(BBG_Data!$F$2:$F$4000,MATCH($A956,BBG_Data!$E$2:$E$4000,0)),NA()))</f>
        <v/>
      </c>
      <c r="E956" s="19">
        <f>IF(NOT(ISNUMBER($A956)),NA(),IFERROR(1*INDEX(BBG_Data!$H$2:$H$4000,MATCH($A956,BBG_Data!$G$2:$G$4000,0)),NA()))</f>
        <v/>
      </c>
      <c r="F956" s="20">
        <f>IF(AND(ISNUMBER(B956),ISNUMBER(B955)),IF(B956=B955,"",(B956-B955)*100),"")</f>
        <v/>
      </c>
      <c r="G956" s="20">
        <f>IF(AND(ISNUMBER(C956),ISNUMBER(C955)),IF(C956=C955,"",(C956-C955)*100),"")</f>
        <v/>
      </c>
      <c r="H956" s="20">
        <f>IF(OR(NOT(ISNUMBER($A956)),ROW()-2&lt;Settings!$B$11),NA(),IF(COUNT(OFFSET(F956,1-Settings!$B$11,0,Settings!$B$11,1))&lt;ROUNDUP(Settings!$B$11*Settings!$B$26,0),NA(),STDEV(OFFSET(F956,1-Settings!$B$11,0,Settings!$B$11,1))*SQRT(Settings!$B$13)))</f>
        <v/>
      </c>
      <c r="I956" s="20">
        <f>IF(OR(NOT(ISNUMBER($A956)),ROW()-2&lt;Settings!$B$12),NA(),IF(COUNT(OFFSET(F956,1-Settings!$B$12,0,Settings!$B$12,1))&lt;ROUNDUP(Settings!$B$12*Settings!$B$26,0),NA(),STDEV(OFFSET(F956,1-Settings!$B$12,0,Settings!$B$12,1))*SQRT(Settings!$B$13)))</f>
        <v/>
      </c>
      <c r="J956" s="20">
        <f>IF(OR(NOT(ISNUMBER($A956)),ROW()-2&lt;Settings!$B$11),NA(),IF(COUNT(OFFSET(G956,1-Settings!$B$11,0,Settings!$B$11,1))&lt;ROUNDUP(Settings!$B$11*Settings!$B$26,0),NA(),STDEV(OFFSET(G956,1-Settings!$B$11,0,Settings!$B$11,1))*SQRT(Settings!$B$13)))</f>
        <v/>
      </c>
      <c r="K956" s="20">
        <f>IF(OR(NOT(ISNUMBER($A956)),ROW()-2&lt;Settings!$B$12),NA(),IF(COUNT(OFFSET(G956,1-Settings!$B$12,0,Settings!$B$12,1))&lt;ROUNDUP(Settings!$B$12*Settings!$B$26,0),NA(),STDEV(OFFSET(G956,1-Settings!$B$12,0,Settings!$B$12,1))*SQRT(Settings!$B$13)))</f>
        <v/>
      </c>
      <c r="L956" s="20">
        <f>IF(AND(ISNUMBER(D956),ISNUMBER(H956)),D956-H956,NA())</f>
        <v/>
      </c>
      <c r="M956" s="20">
        <f>IF(AND(ISNUMBER(E956),ISNUMBER(K956)),E956-K956,NA())</f>
        <v/>
      </c>
      <c r="N956" s="20">
        <f>IF(NOT(ISNUMBER($A956)),NA(),IF(COUNT(OFFSET(G956,1,0,Settings!$B$12,1))&lt;ROUNDUP(Settings!$B$12*Settings!$B$26,0),NA(),STDEV(OFFSET(G956,1,0,Settings!$B$12,1))*SQRT(Settings!$B$13)))</f>
        <v/>
      </c>
      <c r="O956" s="20">
        <f>IF(AND(ISNUMBER(E956),ISNUMBER(N956)),E956-N956,NA())</f>
        <v/>
      </c>
      <c r="P956" s="19">
        <f>IF(NOT(ISNUMBER($A956)),NA(),IF(OR($A956&lt;MIN(KW_TP!$A$2:$A$2501),$A956&gt;MAX(KW_TP!$A$2:$A$2501)),NA(),INDEX(KW_TP!$C$2:$C$2501,MATCH($A956,KW_TP!$A$2:$A$2501,1))))</f>
        <v/>
      </c>
      <c r="Q956" s="18">
        <f>IF(NOT(ISNUMBER($A956)),NA(),IFERROR(1*INDEX(BBG_Data!$J$2:$J$4000,MATCH($A956,BBG_Data!$I$2:$I$4000,0)),NA()))</f>
        <v/>
      </c>
      <c r="R956" s="18">
        <f>IF(NOT(ISNUMBER($A956)),NA(),IFERROR(1*INDEX(BBG_Data!$L$2:$L$4000,MATCH($A956,BBG_Data!$K$2:$K$4000,0)),NA()))</f>
        <v/>
      </c>
      <c r="S956" s="20">
        <f>IF(AND(ISNUMBER(B956),ISNUMBER(Q956),ISNUMBER(R956)),(B956-Q956-R956)*100,NA())</f>
        <v/>
      </c>
      <c r="T956" s="20">
        <f>IF(AND(ISNUMBER(B956),Settings!$B$17&gt;0),IF(ISNUMBER(INDEX($B:$B,Settings!$B$17)),(B956-INDEX($B:$B,Settings!$B$17))*100,NA()),NA())</f>
        <v/>
      </c>
      <c r="U956" s="20">
        <f>IF(AND(ISNUMBER(Q956),Settings!$B$17&gt;0),IF(ISNUMBER(INDEX($Q:$Q,Settings!$B$17)),(Q956-INDEX($Q:$Q,Settings!$B$17))*100,NA()),NA())</f>
        <v/>
      </c>
      <c r="V956" s="20">
        <f>IF(AND(ISNUMBER(R956),Settings!$B$17&gt;0),IF(ISNUMBER(INDEX($R:$R,Settings!$B$17)),(R956-INDEX($R:$R,Settings!$B$17))*100,NA()),NA())</f>
        <v/>
      </c>
      <c r="W956" s="20">
        <f>IF(AND(ISNUMBER(P956),Settings!$B$17&gt;0),IF(ISNUMBER(INDEX($P:$P,Settings!$B$17)),P956-INDEX($P:$P,Settings!$B$17),NA()),NA())</f>
        <v/>
      </c>
      <c r="X956" s="19">
        <f>IF(NOT(ISNUMBER($A956)),NA(),IF(OR($A956&lt;MIN(DKW_10Y!$A$2:$A$2918),$A956&gt;MAX(DKW_10Y!$A$2:$A$2918),Settings!$B$16&lt;MIN(DKW_10Y!$A$2:$A$2918)),NA(),(INDEX(DKW_10Y!$B$2:$B$2918,MATCH($A956,DKW_10Y!$A$2:$A$2918,1))-INDEX(DKW_10Y!$B$2:$B$2918,MATCH(Settings!$B$16,DKW_10Y!$A$2:$A$2918,1)))*100))</f>
        <v/>
      </c>
      <c r="Y956" s="19">
        <f>IF(NOT(ISNUMBER($A956)),NA(),IF(OR($A956&lt;MIN(DKW_10Y!$A$2:$A$2918),$A956&gt;MAX(DKW_10Y!$A$2:$A$2918),Settings!$B$16&lt;MIN(DKW_10Y!$A$2:$A$2918)),NA(),(INDEX(DKW_10Y!$C$2:$C$2918,MATCH($A956,DKW_10Y!$A$2:$A$2918,1))-INDEX(DKW_10Y!$C$2:$C$2918,MATCH(Settings!$B$16,DKW_10Y!$A$2:$A$2918,1)))*100))</f>
        <v/>
      </c>
      <c r="Z956" s="19">
        <f>IF(NOT(ISNUMBER($A956)),NA(),IF(OR($A956&lt;MIN(DKW_10Y!$A$2:$A$2918),$A956&gt;MAX(DKW_10Y!$A$2:$A$2918),Settings!$B$16&lt;MIN(DKW_10Y!$A$2:$A$2918)),NA(),(INDEX(DKW_10Y!$D$2:$D$2918,MATCH($A956,DKW_10Y!$A$2:$A$2918,1))-INDEX(DKW_10Y!$D$2:$D$2918,MATCH(Settings!$B$16,DKW_10Y!$A$2:$A$2918,1)))*100))</f>
        <v/>
      </c>
      <c r="AA956" s="19">
        <f>IF(NOT(ISNUMBER($A956)),NA(),IF(OR($A956&lt;MIN(DKW_10Y!$A$2:$A$2918),$A956&gt;MAX(DKW_10Y!$A$2:$A$2918),Settings!$B$16&lt;MIN(DKW_10Y!$A$2:$A$2918)),NA(),(INDEX(DKW_10Y!$E$2:$E$2918,MATCH($A956,DKW_10Y!$A$2:$A$2918,1))-INDEX(DKW_10Y!$E$2:$E$2918,MATCH(Settings!$B$16,DKW_10Y!$A$2:$A$2918,1)))*100))</f>
        <v/>
      </c>
      <c r="AB956" s="19">
        <f>IF(NOT(ISNUMBER($A956)),NA(),IF(OR($A956&lt;MIN(DKW_10Y!$A$2:$A$2918),$A956&gt;MAX(DKW_10Y!$A$2:$A$2918),Settings!$B$16&lt;MIN(DKW_10Y!$A$2:$A$2918)),NA(),(INDEX(DKW_10Y!$H$2:$H$2918,MATCH($A956,DKW_10Y!$A$2:$A$2918,1))-INDEX(DKW_10Y!$H$2:$H$2918,MATCH(Settings!$B$16,DKW_10Y!$A$2:$A$2918,1)))*100))</f>
        <v/>
      </c>
      <c r="AC956" s="18">
        <f>IF(NOT(ISNUMBER($A956)),NA(),IFERROR(1*INDEX(BBG_Data!$N$2:$N$4000,MATCH($A956,BBG_Data!$M$2:$M$4000,0)),NA()))</f>
        <v/>
      </c>
      <c r="AD956" s="18">
        <f>IF(NOT(ISNUMBER($A956)),NA(),IFERROR(1*INDEX(BBG_Data!$P$2:$P$4000,MATCH($A956,BBG_Data!$O$2:$O$4000,0)),NA()))</f>
        <v/>
      </c>
      <c r="AE956" s="18">
        <f>IF(NOT(ISNUMBER($A956)),NA(),IFERROR(1*INDEX(BBG_Data!$R$2:$R$4000,MATCH($A956,BBG_Data!$Q$2:$Q$4000,0)),NA()))</f>
        <v/>
      </c>
      <c r="AF956" s="20">
        <f>IF(AND(ISNUMBER(B956),ISNUMBER(AC956)),(B956-AC956)*100,NA())</f>
        <v/>
      </c>
      <c r="AG956" s="20">
        <f>IF(AND(ISNUMBER(AE956),ISNUMBER(AD956)),(AE956-AD956)*100,NA())</f>
        <v/>
      </c>
      <c r="AH956" s="19">
        <f>IF(NOT(ISNUMBER($A956)),NA(),IFERROR(INDEX(BBG_Data!$T$2:$T$4000,MATCH($A956,BBG_Data!$S$2:$S$4000,0))*Settings!$B$25,NA()))</f>
        <v/>
      </c>
      <c r="AI956" s="19">
        <f>IF(NOT(ISNUMBER($A956)),NA(),IFERROR(INDEX(BBG_Data!$V$2:$V$4000,MATCH($A956,BBG_Data!$U$2:$U$4000,0))*Settings!$B$25,NA()))</f>
        <v/>
      </c>
      <c r="AJ956" s="19">
        <f>IF(NOT(ISNUMBER($A956)),NA(),IFERROR(1*INDEX(BBG_Data!$X$2:$X$4000,MATCH($A956,BBG_Data!$W$2:$W$4000,0)),NA()))</f>
        <v/>
      </c>
      <c r="AK956" s="19">
        <f>IF(NOT(ISNUMBER($A956)),NA(),IFERROR(1*INDEX(BBG_Data!$Z$2:$Z$4000,MATCH($A956,BBG_Data!$Y$2:$Y$4000,0)),NA()))</f>
        <v/>
      </c>
    </row>
    <row r="957">
      <c r="A957" s="17">
        <f>IF(ISNUMBER(BBG_Data!A957),BBG_Data!A957,"")</f>
        <v/>
      </c>
      <c r="B957" s="18">
        <f>IF(AND(ISNUMBER($A957),ISNUMBER(BBG_Data!B957)),BBG_Data!B957,NA())</f>
        <v/>
      </c>
      <c r="C957" s="18">
        <f>IF(NOT(ISNUMBER($A957)),NA(),IFERROR(1*INDEX(BBG_Data!$D$2:$D$4000,MATCH($A957,BBG_Data!$C$2:$C$4000,0)),NA()))</f>
        <v/>
      </c>
      <c r="D957" s="19">
        <f>IF(NOT(ISNUMBER($A957)),NA(),IFERROR(1*INDEX(BBG_Data!$F$2:$F$4000,MATCH($A957,BBG_Data!$E$2:$E$4000,0)),NA()))</f>
        <v/>
      </c>
      <c r="E957" s="19">
        <f>IF(NOT(ISNUMBER($A957)),NA(),IFERROR(1*INDEX(BBG_Data!$H$2:$H$4000,MATCH($A957,BBG_Data!$G$2:$G$4000,0)),NA()))</f>
        <v/>
      </c>
      <c r="F957" s="20">
        <f>IF(AND(ISNUMBER(B957),ISNUMBER(B956)),IF(B957=B956,"",(B957-B956)*100),"")</f>
        <v/>
      </c>
      <c r="G957" s="20">
        <f>IF(AND(ISNUMBER(C957),ISNUMBER(C956)),IF(C957=C956,"",(C957-C956)*100),"")</f>
        <v/>
      </c>
      <c r="H957" s="20">
        <f>IF(OR(NOT(ISNUMBER($A957)),ROW()-2&lt;Settings!$B$11),NA(),IF(COUNT(OFFSET(F957,1-Settings!$B$11,0,Settings!$B$11,1))&lt;ROUNDUP(Settings!$B$11*Settings!$B$26,0),NA(),STDEV(OFFSET(F957,1-Settings!$B$11,0,Settings!$B$11,1))*SQRT(Settings!$B$13)))</f>
        <v/>
      </c>
      <c r="I957" s="20">
        <f>IF(OR(NOT(ISNUMBER($A957)),ROW()-2&lt;Settings!$B$12),NA(),IF(COUNT(OFFSET(F957,1-Settings!$B$12,0,Settings!$B$12,1))&lt;ROUNDUP(Settings!$B$12*Settings!$B$26,0),NA(),STDEV(OFFSET(F957,1-Settings!$B$12,0,Settings!$B$12,1))*SQRT(Settings!$B$13)))</f>
        <v/>
      </c>
      <c r="J957" s="20">
        <f>IF(OR(NOT(ISNUMBER($A957)),ROW()-2&lt;Settings!$B$11),NA(),IF(COUNT(OFFSET(G957,1-Settings!$B$11,0,Settings!$B$11,1))&lt;ROUNDUP(Settings!$B$11*Settings!$B$26,0),NA(),STDEV(OFFSET(G957,1-Settings!$B$11,0,Settings!$B$11,1))*SQRT(Settings!$B$13)))</f>
        <v/>
      </c>
      <c r="K957" s="20">
        <f>IF(OR(NOT(ISNUMBER($A957)),ROW()-2&lt;Settings!$B$12),NA(),IF(COUNT(OFFSET(G957,1-Settings!$B$12,0,Settings!$B$12,1))&lt;ROUNDUP(Settings!$B$12*Settings!$B$26,0),NA(),STDEV(OFFSET(G957,1-Settings!$B$12,0,Settings!$B$12,1))*SQRT(Settings!$B$13)))</f>
        <v/>
      </c>
      <c r="L957" s="20">
        <f>IF(AND(ISNUMBER(D957),ISNUMBER(H957)),D957-H957,NA())</f>
        <v/>
      </c>
      <c r="M957" s="20">
        <f>IF(AND(ISNUMBER(E957),ISNUMBER(K957)),E957-K957,NA())</f>
        <v/>
      </c>
      <c r="N957" s="20">
        <f>IF(NOT(ISNUMBER($A957)),NA(),IF(COUNT(OFFSET(G957,1,0,Settings!$B$12,1))&lt;ROUNDUP(Settings!$B$12*Settings!$B$26,0),NA(),STDEV(OFFSET(G957,1,0,Settings!$B$12,1))*SQRT(Settings!$B$13)))</f>
        <v/>
      </c>
      <c r="O957" s="20">
        <f>IF(AND(ISNUMBER(E957),ISNUMBER(N957)),E957-N957,NA())</f>
        <v/>
      </c>
      <c r="P957" s="19">
        <f>IF(NOT(ISNUMBER($A957)),NA(),IF(OR($A957&lt;MIN(KW_TP!$A$2:$A$2501),$A957&gt;MAX(KW_TP!$A$2:$A$2501)),NA(),INDEX(KW_TP!$C$2:$C$2501,MATCH($A957,KW_TP!$A$2:$A$2501,1))))</f>
        <v/>
      </c>
      <c r="Q957" s="18">
        <f>IF(NOT(ISNUMBER($A957)),NA(),IFERROR(1*INDEX(BBG_Data!$J$2:$J$4000,MATCH($A957,BBG_Data!$I$2:$I$4000,0)),NA()))</f>
        <v/>
      </c>
      <c r="R957" s="18">
        <f>IF(NOT(ISNUMBER($A957)),NA(),IFERROR(1*INDEX(BBG_Data!$L$2:$L$4000,MATCH($A957,BBG_Data!$K$2:$K$4000,0)),NA()))</f>
        <v/>
      </c>
      <c r="S957" s="20">
        <f>IF(AND(ISNUMBER(B957),ISNUMBER(Q957),ISNUMBER(R957)),(B957-Q957-R957)*100,NA())</f>
        <v/>
      </c>
      <c r="T957" s="20">
        <f>IF(AND(ISNUMBER(B957),Settings!$B$17&gt;0),IF(ISNUMBER(INDEX($B:$B,Settings!$B$17)),(B957-INDEX($B:$B,Settings!$B$17))*100,NA()),NA())</f>
        <v/>
      </c>
      <c r="U957" s="20">
        <f>IF(AND(ISNUMBER(Q957),Settings!$B$17&gt;0),IF(ISNUMBER(INDEX($Q:$Q,Settings!$B$17)),(Q957-INDEX($Q:$Q,Settings!$B$17))*100,NA()),NA())</f>
        <v/>
      </c>
      <c r="V957" s="20">
        <f>IF(AND(ISNUMBER(R957),Settings!$B$17&gt;0),IF(ISNUMBER(INDEX($R:$R,Settings!$B$17)),(R957-INDEX($R:$R,Settings!$B$17))*100,NA()),NA())</f>
        <v/>
      </c>
      <c r="W957" s="20">
        <f>IF(AND(ISNUMBER(P957),Settings!$B$17&gt;0),IF(ISNUMBER(INDEX($P:$P,Settings!$B$17)),P957-INDEX($P:$P,Settings!$B$17),NA()),NA())</f>
        <v/>
      </c>
      <c r="X957" s="19">
        <f>IF(NOT(ISNUMBER($A957)),NA(),IF(OR($A957&lt;MIN(DKW_10Y!$A$2:$A$2918),$A957&gt;MAX(DKW_10Y!$A$2:$A$2918),Settings!$B$16&lt;MIN(DKW_10Y!$A$2:$A$2918)),NA(),(INDEX(DKW_10Y!$B$2:$B$2918,MATCH($A957,DKW_10Y!$A$2:$A$2918,1))-INDEX(DKW_10Y!$B$2:$B$2918,MATCH(Settings!$B$16,DKW_10Y!$A$2:$A$2918,1)))*100))</f>
        <v/>
      </c>
      <c r="Y957" s="19">
        <f>IF(NOT(ISNUMBER($A957)),NA(),IF(OR($A957&lt;MIN(DKW_10Y!$A$2:$A$2918),$A957&gt;MAX(DKW_10Y!$A$2:$A$2918),Settings!$B$16&lt;MIN(DKW_10Y!$A$2:$A$2918)),NA(),(INDEX(DKW_10Y!$C$2:$C$2918,MATCH($A957,DKW_10Y!$A$2:$A$2918,1))-INDEX(DKW_10Y!$C$2:$C$2918,MATCH(Settings!$B$16,DKW_10Y!$A$2:$A$2918,1)))*100))</f>
        <v/>
      </c>
      <c r="Z957" s="19">
        <f>IF(NOT(ISNUMBER($A957)),NA(),IF(OR($A957&lt;MIN(DKW_10Y!$A$2:$A$2918),$A957&gt;MAX(DKW_10Y!$A$2:$A$2918),Settings!$B$16&lt;MIN(DKW_10Y!$A$2:$A$2918)),NA(),(INDEX(DKW_10Y!$D$2:$D$2918,MATCH($A957,DKW_10Y!$A$2:$A$2918,1))-INDEX(DKW_10Y!$D$2:$D$2918,MATCH(Settings!$B$16,DKW_10Y!$A$2:$A$2918,1)))*100))</f>
        <v/>
      </c>
      <c r="AA957" s="19">
        <f>IF(NOT(ISNUMBER($A957)),NA(),IF(OR($A957&lt;MIN(DKW_10Y!$A$2:$A$2918),$A957&gt;MAX(DKW_10Y!$A$2:$A$2918),Settings!$B$16&lt;MIN(DKW_10Y!$A$2:$A$2918)),NA(),(INDEX(DKW_10Y!$E$2:$E$2918,MATCH($A957,DKW_10Y!$A$2:$A$2918,1))-INDEX(DKW_10Y!$E$2:$E$2918,MATCH(Settings!$B$16,DKW_10Y!$A$2:$A$2918,1)))*100))</f>
        <v/>
      </c>
      <c r="AB957" s="19">
        <f>IF(NOT(ISNUMBER($A957)),NA(),IF(OR($A957&lt;MIN(DKW_10Y!$A$2:$A$2918),$A957&gt;MAX(DKW_10Y!$A$2:$A$2918),Settings!$B$16&lt;MIN(DKW_10Y!$A$2:$A$2918)),NA(),(INDEX(DKW_10Y!$H$2:$H$2918,MATCH($A957,DKW_10Y!$A$2:$A$2918,1))-INDEX(DKW_10Y!$H$2:$H$2918,MATCH(Settings!$B$16,DKW_10Y!$A$2:$A$2918,1)))*100))</f>
        <v/>
      </c>
      <c r="AC957" s="18">
        <f>IF(NOT(ISNUMBER($A957)),NA(),IFERROR(1*INDEX(BBG_Data!$N$2:$N$4000,MATCH($A957,BBG_Data!$M$2:$M$4000,0)),NA()))</f>
        <v/>
      </c>
      <c r="AD957" s="18">
        <f>IF(NOT(ISNUMBER($A957)),NA(),IFERROR(1*INDEX(BBG_Data!$P$2:$P$4000,MATCH($A957,BBG_Data!$O$2:$O$4000,0)),NA()))</f>
        <v/>
      </c>
      <c r="AE957" s="18">
        <f>IF(NOT(ISNUMBER($A957)),NA(),IFERROR(1*INDEX(BBG_Data!$R$2:$R$4000,MATCH($A957,BBG_Data!$Q$2:$Q$4000,0)),NA()))</f>
        <v/>
      </c>
      <c r="AF957" s="20">
        <f>IF(AND(ISNUMBER(B957),ISNUMBER(AC957)),(B957-AC957)*100,NA())</f>
        <v/>
      </c>
      <c r="AG957" s="20">
        <f>IF(AND(ISNUMBER(AE957),ISNUMBER(AD957)),(AE957-AD957)*100,NA())</f>
        <v/>
      </c>
      <c r="AH957" s="19">
        <f>IF(NOT(ISNUMBER($A957)),NA(),IFERROR(INDEX(BBG_Data!$T$2:$T$4000,MATCH($A957,BBG_Data!$S$2:$S$4000,0))*Settings!$B$25,NA()))</f>
        <v/>
      </c>
      <c r="AI957" s="19">
        <f>IF(NOT(ISNUMBER($A957)),NA(),IFERROR(INDEX(BBG_Data!$V$2:$V$4000,MATCH($A957,BBG_Data!$U$2:$U$4000,0))*Settings!$B$25,NA()))</f>
        <v/>
      </c>
      <c r="AJ957" s="19">
        <f>IF(NOT(ISNUMBER($A957)),NA(),IFERROR(1*INDEX(BBG_Data!$X$2:$X$4000,MATCH($A957,BBG_Data!$W$2:$W$4000,0)),NA()))</f>
        <v/>
      </c>
      <c r="AK957" s="19">
        <f>IF(NOT(ISNUMBER($A957)),NA(),IFERROR(1*INDEX(BBG_Data!$Z$2:$Z$4000,MATCH($A957,BBG_Data!$Y$2:$Y$4000,0)),NA()))</f>
        <v/>
      </c>
    </row>
    <row r="958">
      <c r="A958" s="17">
        <f>IF(ISNUMBER(BBG_Data!A958),BBG_Data!A958,"")</f>
        <v/>
      </c>
      <c r="B958" s="18">
        <f>IF(AND(ISNUMBER($A958),ISNUMBER(BBG_Data!B958)),BBG_Data!B958,NA())</f>
        <v/>
      </c>
      <c r="C958" s="18">
        <f>IF(NOT(ISNUMBER($A958)),NA(),IFERROR(1*INDEX(BBG_Data!$D$2:$D$4000,MATCH($A958,BBG_Data!$C$2:$C$4000,0)),NA()))</f>
        <v/>
      </c>
      <c r="D958" s="19">
        <f>IF(NOT(ISNUMBER($A958)),NA(),IFERROR(1*INDEX(BBG_Data!$F$2:$F$4000,MATCH($A958,BBG_Data!$E$2:$E$4000,0)),NA()))</f>
        <v/>
      </c>
      <c r="E958" s="19">
        <f>IF(NOT(ISNUMBER($A958)),NA(),IFERROR(1*INDEX(BBG_Data!$H$2:$H$4000,MATCH($A958,BBG_Data!$G$2:$G$4000,0)),NA()))</f>
        <v/>
      </c>
      <c r="F958" s="20">
        <f>IF(AND(ISNUMBER(B958),ISNUMBER(B957)),IF(B958=B957,"",(B958-B957)*100),"")</f>
        <v/>
      </c>
      <c r="G958" s="20">
        <f>IF(AND(ISNUMBER(C958),ISNUMBER(C957)),IF(C958=C957,"",(C958-C957)*100),"")</f>
        <v/>
      </c>
      <c r="H958" s="20">
        <f>IF(OR(NOT(ISNUMBER($A958)),ROW()-2&lt;Settings!$B$11),NA(),IF(COUNT(OFFSET(F958,1-Settings!$B$11,0,Settings!$B$11,1))&lt;ROUNDUP(Settings!$B$11*Settings!$B$26,0),NA(),STDEV(OFFSET(F958,1-Settings!$B$11,0,Settings!$B$11,1))*SQRT(Settings!$B$13)))</f>
        <v/>
      </c>
      <c r="I958" s="20">
        <f>IF(OR(NOT(ISNUMBER($A958)),ROW()-2&lt;Settings!$B$12),NA(),IF(COUNT(OFFSET(F958,1-Settings!$B$12,0,Settings!$B$12,1))&lt;ROUNDUP(Settings!$B$12*Settings!$B$26,0),NA(),STDEV(OFFSET(F958,1-Settings!$B$12,0,Settings!$B$12,1))*SQRT(Settings!$B$13)))</f>
        <v/>
      </c>
      <c r="J958" s="20">
        <f>IF(OR(NOT(ISNUMBER($A958)),ROW()-2&lt;Settings!$B$11),NA(),IF(COUNT(OFFSET(G958,1-Settings!$B$11,0,Settings!$B$11,1))&lt;ROUNDUP(Settings!$B$11*Settings!$B$26,0),NA(),STDEV(OFFSET(G958,1-Settings!$B$11,0,Settings!$B$11,1))*SQRT(Settings!$B$13)))</f>
        <v/>
      </c>
      <c r="K958" s="20">
        <f>IF(OR(NOT(ISNUMBER($A958)),ROW()-2&lt;Settings!$B$12),NA(),IF(COUNT(OFFSET(G958,1-Settings!$B$12,0,Settings!$B$12,1))&lt;ROUNDUP(Settings!$B$12*Settings!$B$26,0),NA(),STDEV(OFFSET(G958,1-Settings!$B$12,0,Settings!$B$12,1))*SQRT(Settings!$B$13)))</f>
        <v/>
      </c>
      <c r="L958" s="20">
        <f>IF(AND(ISNUMBER(D958),ISNUMBER(H958)),D958-H958,NA())</f>
        <v/>
      </c>
      <c r="M958" s="20">
        <f>IF(AND(ISNUMBER(E958),ISNUMBER(K958)),E958-K958,NA())</f>
        <v/>
      </c>
      <c r="N958" s="20">
        <f>IF(NOT(ISNUMBER($A958)),NA(),IF(COUNT(OFFSET(G958,1,0,Settings!$B$12,1))&lt;ROUNDUP(Settings!$B$12*Settings!$B$26,0),NA(),STDEV(OFFSET(G958,1,0,Settings!$B$12,1))*SQRT(Settings!$B$13)))</f>
        <v/>
      </c>
      <c r="O958" s="20">
        <f>IF(AND(ISNUMBER(E958),ISNUMBER(N958)),E958-N958,NA())</f>
        <v/>
      </c>
      <c r="P958" s="19">
        <f>IF(NOT(ISNUMBER($A958)),NA(),IF(OR($A958&lt;MIN(KW_TP!$A$2:$A$2501),$A958&gt;MAX(KW_TP!$A$2:$A$2501)),NA(),INDEX(KW_TP!$C$2:$C$2501,MATCH($A958,KW_TP!$A$2:$A$2501,1))))</f>
        <v/>
      </c>
      <c r="Q958" s="18">
        <f>IF(NOT(ISNUMBER($A958)),NA(),IFERROR(1*INDEX(BBG_Data!$J$2:$J$4000,MATCH($A958,BBG_Data!$I$2:$I$4000,0)),NA()))</f>
        <v/>
      </c>
      <c r="R958" s="18">
        <f>IF(NOT(ISNUMBER($A958)),NA(),IFERROR(1*INDEX(BBG_Data!$L$2:$L$4000,MATCH($A958,BBG_Data!$K$2:$K$4000,0)),NA()))</f>
        <v/>
      </c>
      <c r="S958" s="20">
        <f>IF(AND(ISNUMBER(B958),ISNUMBER(Q958),ISNUMBER(R958)),(B958-Q958-R958)*100,NA())</f>
        <v/>
      </c>
      <c r="T958" s="20">
        <f>IF(AND(ISNUMBER(B958),Settings!$B$17&gt;0),IF(ISNUMBER(INDEX($B:$B,Settings!$B$17)),(B958-INDEX($B:$B,Settings!$B$17))*100,NA()),NA())</f>
        <v/>
      </c>
      <c r="U958" s="20">
        <f>IF(AND(ISNUMBER(Q958),Settings!$B$17&gt;0),IF(ISNUMBER(INDEX($Q:$Q,Settings!$B$17)),(Q958-INDEX($Q:$Q,Settings!$B$17))*100,NA()),NA())</f>
        <v/>
      </c>
      <c r="V958" s="20">
        <f>IF(AND(ISNUMBER(R958),Settings!$B$17&gt;0),IF(ISNUMBER(INDEX($R:$R,Settings!$B$17)),(R958-INDEX($R:$R,Settings!$B$17))*100,NA()),NA())</f>
        <v/>
      </c>
      <c r="W958" s="20">
        <f>IF(AND(ISNUMBER(P958),Settings!$B$17&gt;0),IF(ISNUMBER(INDEX($P:$P,Settings!$B$17)),P958-INDEX($P:$P,Settings!$B$17),NA()),NA())</f>
        <v/>
      </c>
      <c r="X958" s="19">
        <f>IF(NOT(ISNUMBER($A958)),NA(),IF(OR($A958&lt;MIN(DKW_10Y!$A$2:$A$2918),$A958&gt;MAX(DKW_10Y!$A$2:$A$2918),Settings!$B$16&lt;MIN(DKW_10Y!$A$2:$A$2918)),NA(),(INDEX(DKW_10Y!$B$2:$B$2918,MATCH($A958,DKW_10Y!$A$2:$A$2918,1))-INDEX(DKW_10Y!$B$2:$B$2918,MATCH(Settings!$B$16,DKW_10Y!$A$2:$A$2918,1)))*100))</f>
        <v/>
      </c>
      <c r="Y958" s="19">
        <f>IF(NOT(ISNUMBER($A958)),NA(),IF(OR($A958&lt;MIN(DKW_10Y!$A$2:$A$2918),$A958&gt;MAX(DKW_10Y!$A$2:$A$2918),Settings!$B$16&lt;MIN(DKW_10Y!$A$2:$A$2918)),NA(),(INDEX(DKW_10Y!$C$2:$C$2918,MATCH($A958,DKW_10Y!$A$2:$A$2918,1))-INDEX(DKW_10Y!$C$2:$C$2918,MATCH(Settings!$B$16,DKW_10Y!$A$2:$A$2918,1)))*100))</f>
        <v/>
      </c>
      <c r="Z958" s="19">
        <f>IF(NOT(ISNUMBER($A958)),NA(),IF(OR($A958&lt;MIN(DKW_10Y!$A$2:$A$2918),$A958&gt;MAX(DKW_10Y!$A$2:$A$2918),Settings!$B$16&lt;MIN(DKW_10Y!$A$2:$A$2918)),NA(),(INDEX(DKW_10Y!$D$2:$D$2918,MATCH($A958,DKW_10Y!$A$2:$A$2918,1))-INDEX(DKW_10Y!$D$2:$D$2918,MATCH(Settings!$B$16,DKW_10Y!$A$2:$A$2918,1)))*100))</f>
        <v/>
      </c>
      <c r="AA958" s="19">
        <f>IF(NOT(ISNUMBER($A958)),NA(),IF(OR($A958&lt;MIN(DKW_10Y!$A$2:$A$2918),$A958&gt;MAX(DKW_10Y!$A$2:$A$2918),Settings!$B$16&lt;MIN(DKW_10Y!$A$2:$A$2918)),NA(),(INDEX(DKW_10Y!$E$2:$E$2918,MATCH($A958,DKW_10Y!$A$2:$A$2918,1))-INDEX(DKW_10Y!$E$2:$E$2918,MATCH(Settings!$B$16,DKW_10Y!$A$2:$A$2918,1)))*100))</f>
        <v/>
      </c>
      <c r="AB958" s="19">
        <f>IF(NOT(ISNUMBER($A958)),NA(),IF(OR($A958&lt;MIN(DKW_10Y!$A$2:$A$2918),$A958&gt;MAX(DKW_10Y!$A$2:$A$2918),Settings!$B$16&lt;MIN(DKW_10Y!$A$2:$A$2918)),NA(),(INDEX(DKW_10Y!$H$2:$H$2918,MATCH($A958,DKW_10Y!$A$2:$A$2918,1))-INDEX(DKW_10Y!$H$2:$H$2918,MATCH(Settings!$B$16,DKW_10Y!$A$2:$A$2918,1)))*100))</f>
        <v/>
      </c>
      <c r="AC958" s="18">
        <f>IF(NOT(ISNUMBER($A958)),NA(),IFERROR(1*INDEX(BBG_Data!$N$2:$N$4000,MATCH($A958,BBG_Data!$M$2:$M$4000,0)),NA()))</f>
        <v/>
      </c>
      <c r="AD958" s="18">
        <f>IF(NOT(ISNUMBER($A958)),NA(),IFERROR(1*INDEX(BBG_Data!$P$2:$P$4000,MATCH($A958,BBG_Data!$O$2:$O$4000,0)),NA()))</f>
        <v/>
      </c>
      <c r="AE958" s="18">
        <f>IF(NOT(ISNUMBER($A958)),NA(),IFERROR(1*INDEX(BBG_Data!$R$2:$R$4000,MATCH($A958,BBG_Data!$Q$2:$Q$4000,0)),NA()))</f>
        <v/>
      </c>
      <c r="AF958" s="20">
        <f>IF(AND(ISNUMBER(B958),ISNUMBER(AC958)),(B958-AC958)*100,NA())</f>
        <v/>
      </c>
      <c r="AG958" s="20">
        <f>IF(AND(ISNUMBER(AE958),ISNUMBER(AD958)),(AE958-AD958)*100,NA())</f>
        <v/>
      </c>
      <c r="AH958" s="19">
        <f>IF(NOT(ISNUMBER($A958)),NA(),IFERROR(INDEX(BBG_Data!$T$2:$T$4000,MATCH($A958,BBG_Data!$S$2:$S$4000,0))*Settings!$B$25,NA()))</f>
        <v/>
      </c>
      <c r="AI958" s="19">
        <f>IF(NOT(ISNUMBER($A958)),NA(),IFERROR(INDEX(BBG_Data!$V$2:$V$4000,MATCH($A958,BBG_Data!$U$2:$U$4000,0))*Settings!$B$25,NA()))</f>
        <v/>
      </c>
      <c r="AJ958" s="19">
        <f>IF(NOT(ISNUMBER($A958)),NA(),IFERROR(1*INDEX(BBG_Data!$X$2:$X$4000,MATCH($A958,BBG_Data!$W$2:$W$4000,0)),NA()))</f>
        <v/>
      </c>
      <c r="AK958" s="19">
        <f>IF(NOT(ISNUMBER($A958)),NA(),IFERROR(1*INDEX(BBG_Data!$Z$2:$Z$4000,MATCH($A958,BBG_Data!$Y$2:$Y$4000,0)),NA()))</f>
        <v/>
      </c>
    </row>
    <row r="959">
      <c r="A959" s="17">
        <f>IF(ISNUMBER(BBG_Data!A959),BBG_Data!A959,"")</f>
        <v/>
      </c>
      <c r="B959" s="18">
        <f>IF(AND(ISNUMBER($A959),ISNUMBER(BBG_Data!B959)),BBG_Data!B959,NA())</f>
        <v/>
      </c>
      <c r="C959" s="18">
        <f>IF(NOT(ISNUMBER($A959)),NA(),IFERROR(1*INDEX(BBG_Data!$D$2:$D$4000,MATCH($A959,BBG_Data!$C$2:$C$4000,0)),NA()))</f>
        <v/>
      </c>
      <c r="D959" s="19">
        <f>IF(NOT(ISNUMBER($A959)),NA(),IFERROR(1*INDEX(BBG_Data!$F$2:$F$4000,MATCH($A959,BBG_Data!$E$2:$E$4000,0)),NA()))</f>
        <v/>
      </c>
      <c r="E959" s="19">
        <f>IF(NOT(ISNUMBER($A959)),NA(),IFERROR(1*INDEX(BBG_Data!$H$2:$H$4000,MATCH($A959,BBG_Data!$G$2:$G$4000,0)),NA()))</f>
        <v/>
      </c>
      <c r="F959" s="20">
        <f>IF(AND(ISNUMBER(B959),ISNUMBER(B958)),IF(B959=B958,"",(B959-B958)*100),"")</f>
        <v/>
      </c>
      <c r="G959" s="20">
        <f>IF(AND(ISNUMBER(C959),ISNUMBER(C958)),IF(C959=C958,"",(C959-C958)*100),"")</f>
        <v/>
      </c>
      <c r="H959" s="20">
        <f>IF(OR(NOT(ISNUMBER($A959)),ROW()-2&lt;Settings!$B$11),NA(),IF(COUNT(OFFSET(F959,1-Settings!$B$11,0,Settings!$B$11,1))&lt;ROUNDUP(Settings!$B$11*Settings!$B$26,0),NA(),STDEV(OFFSET(F959,1-Settings!$B$11,0,Settings!$B$11,1))*SQRT(Settings!$B$13)))</f>
        <v/>
      </c>
      <c r="I959" s="20">
        <f>IF(OR(NOT(ISNUMBER($A959)),ROW()-2&lt;Settings!$B$12),NA(),IF(COUNT(OFFSET(F959,1-Settings!$B$12,0,Settings!$B$12,1))&lt;ROUNDUP(Settings!$B$12*Settings!$B$26,0),NA(),STDEV(OFFSET(F959,1-Settings!$B$12,0,Settings!$B$12,1))*SQRT(Settings!$B$13)))</f>
        <v/>
      </c>
      <c r="J959" s="20">
        <f>IF(OR(NOT(ISNUMBER($A959)),ROW()-2&lt;Settings!$B$11),NA(),IF(COUNT(OFFSET(G959,1-Settings!$B$11,0,Settings!$B$11,1))&lt;ROUNDUP(Settings!$B$11*Settings!$B$26,0),NA(),STDEV(OFFSET(G959,1-Settings!$B$11,0,Settings!$B$11,1))*SQRT(Settings!$B$13)))</f>
        <v/>
      </c>
      <c r="K959" s="20">
        <f>IF(OR(NOT(ISNUMBER($A959)),ROW()-2&lt;Settings!$B$12),NA(),IF(COUNT(OFFSET(G959,1-Settings!$B$12,0,Settings!$B$12,1))&lt;ROUNDUP(Settings!$B$12*Settings!$B$26,0),NA(),STDEV(OFFSET(G959,1-Settings!$B$12,0,Settings!$B$12,1))*SQRT(Settings!$B$13)))</f>
        <v/>
      </c>
      <c r="L959" s="20">
        <f>IF(AND(ISNUMBER(D959),ISNUMBER(H959)),D959-H959,NA())</f>
        <v/>
      </c>
      <c r="M959" s="20">
        <f>IF(AND(ISNUMBER(E959),ISNUMBER(K959)),E959-K959,NA())</f>
        <v/>
      </c>
      <c r="N959" s="20">
        <f>IF(NOT(ISNUMBER($A959)),NA(),IF(COUNT(OFFSET(G959,1,0,Settings!$B$12,1))&lt;ROUNDUP(Settings!$B$12*Settings!$B$26,0),NA(),STDEV(OFFSET(G959,1,0,Settings!$B$12,1))*SQRT(Settings!$B$13)))</f>
        <v/>
      </c>
      <c r="O959" s="20">
        <f>IF(AND(ISNUMBER(E959),ISNUMBER(N959)),E959-N959,NA())</f>
        <v/>
      </c>
      <c r="P959" s="19">
        <f>IF(NOT(ISNUMBER($A959)),NA(),IF(OR($A959&lt;MIN(KW_TP!$A$2:$A$2501),$A959&gt;MAX(KW_TP!$A$2:$A$2501)),NA(),INDEX(KW_TP!$C$2:$C$2501,MATCH($A959,KW_TP!$A$2:$A$2501,1))))</f>
        <v/>
      </c>
      <c r="Q959" s="18">
        <f>IF(NOT(ISNUMBER($A959)),NA(),IFERROR(1*INDEX(BBG_Data!$J$2:$J$4000,MATCH($A959,BBG_Data!$I$2:$I$4000,0)),NA()))</f>
        <v/>
      </c>
      <c r="R959" s="18">
        <f>IF(NOT(ISNUMBER($A959)),NA(),IFERROR(1*INDEX(BBG_Data!$L$2:$L$4000,MATCH($A959,BBG_Data!$K$2:$K$4000,0)),NA()))</f>
        <v/>
      </c>
      <c r="S959" s="20">
        <f>IF(AND(ISNUMBER(B959),ISNUMBER(Q959),ISNUMBER(R959)),(B959-Q959-R959)*100,NA())</f>
        <v/>
      </c>
      <c r="T959" s="20">
        <f>IF(AND(ISNUMBER(B959),Settings!$B$17&gt;0),IF(ISNUMBER(INDEX($B:$B,Settings!$B$17)),(B959-INDEX($B:$B,Settings!$B$17))*100,NA()),NA())</f>
        <v/>
      </c>
      <c r="U959" s="20">
        <f>IF(AND(ISNUMBER(Q959),Settings!$B$17&gt;0),IF(ISNUMBER(INDEX($Q:$Q,Settings!$B$17)),(Q959-INDEX($Q:$Q,Settings!$B$17))*100,NA()),NA())</f>
        <v/>
      </c>
      <c r="V959" s="20">
        <f>IF(AND(ISNUMBER(R959),Settings!$B$17&gt;0),IF(ISNUMBER(INDEX($R:$R,Settings!$B$17)),(R959-INDEX($R:$R,Settings!$B$17))*100,NA()),NA())</f>
        <v/>
      </c>
      <c r="W959" s="20">
        <f>IF(AND(ISNUMBER(P959),Settings!$B$17&gt;0),IF(ISNUMBER(INDEX($P:$P,Settings!$B$17)),P959-INDEX($P:$P,Settings!$B$17),NA()),NA())</f>
        <v/>
      </c>
      <c r="X959" s="19">
        <f>IF(NOT(ISNUMBER($A959)),NA(),IF(OR($A959&lt;MIN(DKW_10Y!$A$2:$A$2918),$A959&gt;MAX(DKW_10Y!$A$2:$A$2918),Settings!$B$16&lt;MIN(DKW_10Y!$A$2:$A$2918)),NA(),(INDEX(DKW_10Y!$B$2:$B$2918,MATCH($A959,DKW_10Y!$A$2:$A$2918,1))-INDEX(DKW_10Y!$B$2:$B$2918,MATCH(Settings!$B$16,DKW_10Y!$A$2:$A$2918,1)))*100))</f>
        <v/>
      </c>
      <c r="Y959" s="19">
        <f>IF(NOT(ISNUMBER($A959)),NA(),IF(OR($A959&lt;MIN(DKW_10Y!$A$2:$A$2918),$A959&gt;MAX(DKW_10Y!$A$2:$A$2918),Settings!$B$16&lt;MIN(DKW_10Y!$A$2:$A$2918)),NA(),(INDEX(DKW_10Y!$C$2:$C$2918,MATCH($A959,DKW_10Y!$A$2:$A$2918,1))-INDEX(DKW_10Y!$C$2:$C$2918,MATCH(Settings!$B$16,DKW_10Y!$A$2:$A$2918,1)))*100))</f>
        <v/>
      </c>
      <c r="Z959" s="19">
        <f>IF(NOT(ISNUMBER($A959)),NA(),IF(OR($A959&lt;MIN(DKW_10Y!$A$2:$A$2918),$A959&gt;MAX(DKW_10Y!$A$2:$A$2918),Settings!$B$16&lt;MIN(DKW_10Y!$A$2:$A$2918)),NA(),(INDEX(DKW_10Y!$D$2:$D$2918,MATCH($A959,DKW_10Y!$A$2:$A$2918,1))-INDEX(DKW_10Y!$D$2:$D$2918,MATCH(Settings!$B$16,DKW_10Y!$A$2:$A$2918,1)))*100))</f>
        <v/>
      </c>
      <c r="AA959" s="19">
        <f>IF(NOT(ISNUMBER($A959)),NA(),IF(OR($A959&lt;MIN(DKW_10Y!$A$2:$A$2918),$A959&gt;MAX(DKW_10Y!$A$2:$A$2918),Settings!$B$16&lt;MIN(DKW_10Y!$A$2:$A$2918)),NA(),(INDEX(DKW_10Y!$E$2:$E$2918,MATCH($A959,DKW_10Y!$A$2:$A$2918,1))-INDEX(DKW_10Y!$E$2:$E$2918,MATCH(Settings!$B$16,DKW_10Y!$A$2:$A$2918,1)))*100))</f>
        <v/>
      </c>
      <c r="AB959" s="19">
        <f>IF(NOT(ISNUMBER($A959)),NA(),IF(OR($A959&lt;MIN(DKW_10Y!$A$2:$A$2918),$A959&gt;MAX(DKW_10Y!$A$2:$A$2918),Settings!$B$16&lt;MIN(DKW_10Y!$A$2:$A$2918)),NA(),(INDEX(DKW_10Y!$H$2:$H$2918,MATCH($A959,DKW_10Y!$A$2:$A$2918,1))-INDEX(DKW_10Y!$H$2:$H$2918,MATCH(Settings!$B$16,DKW_10Y!$A$2:$A$2918,1)))*100))</f>
        <v/>
      </c>
      <c r="AC959" s="18">
        <f>IF(NOT(ISNUMBER($A959)),NA(),IFERROR(1*INDEX(BBG_Data!$N$2:$N$4000,MATCH($A959,BBG_Data!$M$2:$M$4000,0)),NA()))</f>
        <v/>
      </c>
      <c r="AD959" s="18">
        <f>IF(NOT(ISNUMBER($A959)),NA(),IFERROR(1*INDEX(BBG_Data!$P$2:$P$4000,MATCH($A959,BBG_Data!$O$2:$O$4000,0)),NA()))</f>
        <v/>
      </c>
      <c r="AE959" s="18">
        <f>IF(NOT(ISNUMBER($A959)),NA(),IFERROR(1*INDEX(BBG_Data!$R$2:$R$4000,MATCH($A959,BBG_Data!$Q$2:$Q$4000,0)),NA()))</f>
        <v/>
      </c>
      <c r="AF959" s="20">
        <f>IF(AND(ISNUMBER(B959),ISNUMBER(AC959)),(B959-AC959)*100,NA())</f>
        <v/>
      </c>
      <c r="AG959" s="20">
        <f>IF(AND(ISNUMBER(AE959),ISNUMBER(AD959)),(AE959-AD959)*100,NA())</f>
        <v/>
      </c>
      <c r="AH959" s="19">
        <f>IF(NOT(ISNUMBER($A959)),NA(),IFERROR(INDEX(BBG_Data!$T$2:$T$4000,MATCH($A959,BBG_Data!$S$2:$S$4000,0))*Settings!$B$25,NA()))</f>
        <v/>
      </c>
      <c r="AI959" s="19">
        <f>IF(NOT(ISNUMBER($A959)),NA(),IFERROR(INDEX(BBG_Data!$V$2:$V$4000,MATCH($A959,BBG_Data!$U$2:$U$4000,0))*Settings!$B$25,NA()))</f>
        <v/>
      </c>
      <c r="AJ959" s="19">
        <f>IF(NOT(ISNUMBER($A959)),NA(),IFERROR(1*INDEX(BBG_Data!$X$2:$X$4000,MATCH($A959,BBG_Data!$W$2:$W$4000,0)),NA()))</f>
        <v/>
      </c>
      <c r="AK959" s="19">
        <f>IF(NOT(ISNUMBER($A959)),NA(),IFERROR(1*INDEX(BBG_Data!$Z$2:$Z$4000,MATCH($A959,BBG_Data!$Y$2:$Y$4000,0)),NA()))</f>
        <v/>
      </c>
    </row>
    <row r="960">
      <c r="A960" s="17">
        <f>IF(ISNUMBER(BBG_Data!A960),BBG_Data!A960,"")</f>
        <v/>
      </c>
      <c r="B960" s="18">
        <f>IF(AND(ISNUMBER($A960),ISNUMBER(BBG_Data!B960)),BBG_Data!B960,NA())</f>
        <v/>
      </c>
      <c r="C960" s="18">
        <f>IF(NOT(ISNUMBER($A960)),NA(),IFERROR(1*INDEX(BBG_Data!$D$2:$D$4000,MATCH($A960,BBG_Data!$C$2:$C$4000,0)),NA()))</f>
        <v/>
      </c>
      <c r="D960" s="19">
        <f>IF(NOT(ISNUMBER($A960)),NA(),IFERROR(1*INDEX(BBG_Data!$F$2:$F$4000,MATCH($A960,BBG_Data!$E$2:$E$4000,0)),NA()))</f>
        <v/>
      </c>
      <c r="E960" s="19">
        <f>IF(NOT(ISNUMBER($A960)),NA(),IFERROR(1*INDEX(BBG_Data!$H$2:$H$4000,MATCH($A960,BBG_Data!$G$2:$G$4000,0)),NA()))</f>
        <v/>
      </c>
      <c r="F960" s="20">
        <f>IF(AND(ISNUMBER(B960),ISNUMBER(B959)),IF(B960=B959,"",(B960-B959)*100),"")</f>
        <v/>
      </c>
      <c r="G960" s="20">
        <f>IF(AND(ISNUMBER(C960),ISNUMBER(C959)),IF(C960=C959,"",(C960-C959)*100),"")</f>
        <v/>
      </c>
      <c r="H960" s="20">
        <f>IF(OR(NOT(ISNUMBER($A960)),ROW()-2&lt;Settings!$B$11),NA(),IF(COUNT(OFFSET(F960,1-Settings!$B$11,0,Settings!$B$11,1))&lt;ROUNDUP(Settings!$B$11*Settings!$B$26,0),NA(),STDEV(OFFSET(F960,1-Settings!$B$11,0,Settings!$B$11,1))*SQRT(Settings!$B$13)))</f>
        <v/>
      </c>
      <c r="I960" s="20">
        <f>IF(OR(NOT(ISNUMBER($A960)),ROW()-2&lt;Settings!$B$12),NA(),IF(COUNT(OFFSET(F960,1-Settings!$B$12,0,Settings!$B$12,1))&lt;ROUNDUP(Settings!$B$12*Settings!$B$26,0),NA(),STDEV(OFFSET(F960,1-Settings!$B$12,0,Settings!$B$12,1))*SQRT(Settings!$B$13)))</f>
        <v/>
      </c>
      <c r="J960" s="20">
        <f>IF(OR(NOT(ISNUMBER($A960)),ROW()-2&lt;Settings!$B$11),NA(),IF(COUNT(OFFSET(G960,1-Settings!$B$11,0,Settings!$B$11,1))&lt;ROUNDUP(Settings!$B$11*Settings!$B$26,0),NA(),STDEV(OFFSET(G960,1-Settings!$B$11,0,Settings!$B$11,1))*SQRT(Settings!$B$13)))</f>
        <v/>
      </c>
      <c r="K960" s="20">
        <f>IF(OR(NOT(ISNUMBER($A960)),ROW()-2&lt;Settings!$B$12),NA(),IF(COUNT(OFFSET(G960,1-Settings!$B$12,0,Settings!$B$12,1))&lt;ROUNDUP(Settings!$B$12*Settings!$B$26,0),NA(),STDEV(OFFSET(G960,1-Settings!$B$12,0,Settings!$B$12,1))*SQRT(Settings!$B$13)))</f>
        <v/>
      </c>
      <c r="L960" s="20">
        <f>IF(AND(ISNUMBER(D960),ISNUMBER(H960)),D960-H960,NA())</f>
        <v/>
      </c>
      <c r="M960" s="20">
        <f>IF(AND(ISNUMBER(E960),ISNUMBER(K960)),E960-K960,NA())</f>
        <v/>
      </c>
      <c r="N960" s="20">
        <f>IF(NOT(ISNUMBER($A960)),NA(),IF(COUNT(OFFSET(G960,1,0,Settings!$B$12,1))&lt;ROUNDUP(Settings!$B$12*Settings!$B$26,0),NA(),STDEV(OFFSET(G960,1,0,Settings!$B$12,1))*SQRT(Settings!$B$13)))</f>
        <v/>
      </c>
      <c r="O960" s="20">
        <f>IF(AND(ISNUMBER(E960),ISNUMBER(N960)),E960-N960,NA())</f>
        <v/>
      </c>
      <c r="P960" s="19">
        <f>IF(NOT(ISNUMBER($A960)),NA(),IF(OR($A960&lt;MIN(KW_TP!$A$2:$A$2501),$A960&gt;MAX(KW_TP!$A$2:$A$2501)),NA(),INDEX(KW_TP!$C$2:$C$2501,MATCH($A960,KW_TP!$A$2:$A$2501,1))))</f>
        <v/>
      </c>
      <c r="Q960" s="18">
        <f>IF(NOT(ISNUMBER($A960)),NA(),IFERROR(1*INDEX(BBG_Data!$J$2:$J$4000,MATCH($A960,BBG_Data!$I$2:$I$4000,0)),NA()))</f>
        <v/>
      </c>
      <c r="R960" s="18">
        <f>IF(NOT(ISNUMBER($A960)),NA(),IFERROR(1*INDEX(BBG_Data!$L$2:$L$4000,MATCH($A960,BBG_Data!$K$2:$K$4000,0)),NA()))</f>
        <v/>
      </c>
      <c r="S960" s="20">
        <f>IF(AND(ISNUMBER(B960),ISNUMBER(Q960),ISNUMBER(R960)),(B960-Q960-R960)*100,NA())</f>
        <v/>
      </c>
      <c r="T960" s="20">
        <f>IF(AND(ISNUMBER(B960),Settings!$B$17&gt;0),IF(ISNUMBER(INDEX($B:$B,Settings!$B$17)),(B960-INDEX($B:$B,Settings!$B$17))*100,NA()),NA())</f>
        <v/>
      </c>
      <c r="U960" s="20">
        <f>IF(AND(ISNUMBER(Q960),Settings!$B$17&gt;0),IF(ISNUMBER(INDEX($Q:$Q,Settings!$B$17)),(Q960-INDEX($Q:$Q,Settings!$B$17))*100,NA()),NA())</f>
        <v/>
      </c>
      <c r="V960" s="20">
        <f>IF(AND(ISNUMBER(R960),Settings!$B$17&gt;0),IF(ISNUMBER(INDEX($R:$R,Settings!$B$17)),(R960-INDEX($R:$R,Settings!$B$17))*100,NA()),NA())</f>
        <v/>
      </c>
      <c r="W960" s="20">
        <f>IF(AND(ISNUMBER(P960),Settings!$B$17&gt;0),IF(ISNUMBER(INDEX($P:$P,Settings!$B$17)),P960-INDEX($P:$P,Settings!$B$17),NA()),NA())</f>
        <v/>
      </c>
      <c r="X960" s="19">
        <f>IF(NOT(ISNUMBER($A960)),NA(),IF(OR($A960&lt;MIN(DKW_10Y!$A$2:$A$2918),$A960&gt;MAX(DKW_10Y!$A$2:$A$2918),Settings!$B$16&lt;MIN(DKW_10Y!$A$2:$A$2918)),NA(),(INDEX(DKW_10Y!$B$2:$B$2918,MATCH($A960,DKW_10Y!$A$2:$A$2918,1))-INDEX(DKW_10Y!$B$2:$B$2918,MATCH(Settings!$B$16,DKW_10Y!$A$2:$A$2918,1)))*100))</f>
        <v/>
      </c>
      <c r="Y960" s="19">
        <f>IF(NOT(ISNUMBER($A960)),NA(),IF(OR($A960&lt;MIN(DKW_10Y!$A$2:$A$2918),$A960&gt;MAX(DKW_10Y!$A$2:$A$2918),Settings!$B$16&lt;MIN(DKW_10Y!$A$2:$A$2918)),NA(),(INDEX(DKW_10Y!$C$2:$C$2918,MATCH($A960,DKW_10Y!$A$2:$A$2918,1))-INDEX(DKW_10Y!$C$2:$C$2918,MATCH(Settings!$B$16,DKW_10Y!$A$2:$A$2918,1)))*100))</f>
        <v/>
      </c>
      <c r="Z960" s="19">
        <f>IF(NOT(ISNUMBER($A960)),NA(),IF(OR($A960&lt;MIN(DKW_10Y!$A$2:$A$2918),$A960&gt;MAX(DKW_10Y!$A$2:$A$2918),Settings!$B$16&lt;MIN(DKW_10Y!$A$2:$A$2918)),NA(),(INDEX(DKW_10Y!$D$2:$D$2918,MATCH($A960,DKW_10Y!$A$2:$A$2918,1))-INDEX(DKW_10Y!$D$2:$D$2918,MATCH(Settings!$B$16,DKW_10Y!$A$2:$A$2918,1)))*100))</f>
        <v/>
      </c>
      <c r="AA960" s="19">
        <f>IF(NOT(ISNUMBER($A960)),NA(),IF(OR($A960&lt;MIN(DKW_10Y!$A$2:$A$2918),$A960&gt;MAX(DKW_10Y!$A$2:$A$2918),Settings!$B$16&lt;MIN(DKW_10Y!$A$2:$A$2918)),NA(),(INDEX(DKW_10Y!$E$2:$E$2918,MATCH($A960,DKW_10Y!$A$2:$A$2918,1))-INDEX(DKW_10Y!$E$2:$E$2918,MATCH(Settings!$B$16,DKW_10Y!$A$2:$A$2918,1)))*100))</f>
        <v/>
      </c>
      <c r="AB960" s="19">
        <f>IF(NOT(ISNUMBER($A960)),NA(),IF(OR($A960&lt;MIN(DKW_10Y!$A$2:$A$2918),$A960&gt;MAX(DKW_10Y!$A$2:$A$2918),Settings!$B$16&lt;MIN(DKW_10Y!$A$2:$A$2918)),NA(),(INDEX(DKW_10Y!$H$2:$H$2918,MATCH($A960,DKW_10Y!$A$2:$A$2918,1))-INDEX(DKW_10Y!$H$2:$H$2918,MATCH(Settings!$B$16,DKW_10Y!$A$2:$A$2918,1)))*100))</f>
        <v/>
      </c>
      <c r="AC960" s="18">
        <f>IF(NOT(ISNUMBER($A960)),NA(),IFERROR(1*INDEX(BBG_Data!$N$2:$N$4000,MATCH($A960,BBG_Data!$M$2:$M$4000,0)),NA()))</f>
        <v/>
      </c>
      <c r="AD960" s="18">
        <f>IF(NOT(ISNUMBER($A960)),NA(),IFERROR(1*INDEX(BBG_Data!$P$2:$P$4000,MATCH($A960,BBG_Data!$O$2:$O$4000,0)),NA()))</f>
        <v/>
      </c>
      <c r="AE960" s="18">
        <f>IF(NOT(ISNUMBER($A960)),NA(),IFERROR(1*INDEX(BBG_Data!$R$2:$R$4000,MATCH($A960,BBG_Data!$Q$2:$Q$4000,0)),NA()))</f>
        <v/>
      </c>
      <c r="AF960" s="20">
        <f>IF(AND(ISNUMBER(B960),ISNUMBER(AC960)),(B960-AC960)*100,NA())</f>
        <v/>
      </c>
      <c r="AG960" s="20">
        <f>IF(AND(ISNUMBER(AE960),ISNUMBER(AD960)),(AE960-AD960)*100,NA())</f>
        <v/>
      </c>
      <c r="AH960" s="19">
        <f>IF(NOT(ISNUMBER($A960)),NA(),IFERROR(INDEX(BBG_Data!$T$2:$T$4000,MATCH($A960,BBG_Data!$S$2:$S$4000,0))*Settings!$B$25,NA()))</f>
        <v/>
      </c>
      <c r="AI960" s="19">
        <f>IF(NOT(ISNUMBER($A960)),NA(),IFERROR(INDEX(BBG_Data!$V$2:$V$4000,MATCH($A960,BBG_Data!$U$2:$U$4000,0))*Settings!$B$25,NA()))</f>
        <v/>
      </c>
      <c r="AJ960" s="19">
        <f>IF(NOT(ISNUMBER($A960)),NA(),IFERROR(1*INDEX(BBG_Data!$X$2:$X$4000,MATCH($A960,BBG_Data!$W$2:$W$4000,0)),NA()))</f>
        <v/>
      </c>
      <c r="AK960" s="19">
        <f>IF(NOT(ISNUMBER($A960)),NA(),IFERROR(1*INDEX(BBG_Data!$Z$2:$Z$4000,MATCH($A960,BBG_Data!$Y$2:$Y$4000,0)),NA()))</f>
        <v/>
      </c>
    </row>
    <row r="961">
      <c r="A961" s="17">
        <f>IF(ISNUMBER(BBG_Data!A961),BBG_Data!A961,"")</f>
        <v/>
      </c>
      <c r="B961" s="18">
        <f>IF(AND(ISNUMBER($A961),ISNUMBER(BBG_Data!B961)),BBG_Data!B961,NA())</f>
        <v/>
      </c>
      <c r="C961" s="18">
        <f>IF(NOT(ISNUMBER($A961)),NA(),IFERROR(1*INDEX(BBG_Data!$D$2:$D$4000,MATCH($A961,BBG_Data!$C$2:$C$4000,0)),NA()))</f>
        <v/>
      </c>
      <c r="D961" s="19">
        <f>IF(NOT(ISNUMBER($A961)),NA(),IFERROR(1*INDEX(BBG_Data!$F$2:$F$4000,MATCH($A961,BBG_Data!$E$2:$E$4000,0)),NA()))</f>
        <v/>
      </c>
      <c r="E961" s="19">
        <f>IF(NOT(ISNUMBER($A961)),NA(),IFERROR(1*INDEX(BBG_Data!$H$2:$H$4000,MATCH($A961,BBG_Data!$G$2:$G$4000,0)),NA()))</f>
        <v/>
      </c>
      <c r="F961" s="20">
        <f>IF(AND(ISNUMBER(B961),ISNUMBER(B960)),IF(B961=B960,"",(B961-B960)*100),"")</f>
        <v/>
      </c>
      <c r="G961" s="20">
        <f>IF(AND(ISNUMBER(C961),ISNUMBER(C960)),IF(C961=C960,"",(C961-C960)*100),"")</f>
        <v/>
      </c>
      <c r="H961" s="20">
        <f>IF(OR(NOT(ISNUMBER($A961)),ROW()-2&lt;Settings!$B$11),NA(),IF(COUNT(OFFSET(F961,1-Settings!$B$11,0,Settings!$B$11,1))&lt;ROUNDUP(Settings!$B$11*Settings!$B$26,0),NA(),STDEV(OFFSET(F961,1-Settings!$B$11,0,Settings!$B$11,1))*SQRT(Settings!$B$13)))</f>
        <v/>
      </c>
      <c r="I961" s="20">
        <f>IF(OR(NOT(ISNUMBER($A961)),ROW()-2&lt;Settings!$B$12),NA(),IF(COUNT(OFFSET(F961,1-Settings!$B$12,0,Settings!$B$12,1))&lt;ROUNDUP(Settings!$B$12*Settings!$B$26,0),NA(),STDEV(OFFSET(F961,1-Settings!$B$12,0,Settings!$B$12,1))*SQRT(Settings!$B$13)))</f>
        <v/>
      </c>
      <c r="J961" s="20">
        <f>IF(OR(NOT(ISNUMBER($A961)),ROW()-2&lt;Settings!$B$11),NA(),IF(COUNT(OFFSET(G961,1-Settings!$B$11,0,Settings!$B$11,1))&lt;ROUNDUP(Settings!$B$11*Settings!$B$26,0),NA(),STDEV(OFFSET(G961,1-Settings!$B$11,0,Settings!$B$11,1))*SQRT(Settings!$B$13)))</f>
        <v/>
      </c>
      <c r="K961" s="20">
        <f>IF(OR(NOT(ISNUMBER($A961)),ROW()-2&lt;Settings!$B$12),NA(),IF(COUNT(OFFSET(G961,1-Settings!$B$12,0,Settings!$B$12,1))&lt;ROUNDUP(Settings!$B$12*Settings!$B$26,0),NA(),STDEV(OFFSET(G961,1-Settings!$B$12,0,Settings!$B$12,1))*SQRT(Settings!$B$13)))</f>
        <v/>
      </c>
      <c r="L961" s="20">
        <f>IF(AND(ISNUMBER(D961),ISNUMBER(H961)),D961-H961,NA())</f>
        <v/>
      </c>
      <c r="M961" s="20">
        <f>IF(AND(ISNUMBER(E961),ISNUMBER(K961)),E961-K961,NA())</f>
        <v/>
      </c>
      <c r="N961" s="20">
        <f>IF(NOT(ISNUMBER($A961)),NA(),IF(COUNT(OFFSET(G961,1,0,Settings!$B$12,1))&lt;ROUNDUP(Settings!$B$12*Settings!$B$26,0),NA(),STDEV(OFFSET(G961,1,0,Settings!$B$12,1))*SQRT(Settings!$B$13)))</f>
        <v/>
      </c>
      <c r="O961" s="20">
        <f>IF(AND(ISNUMBER(E961),ISNUMBER(N961)),E961-N961,NA())</f>
        <v/>
      </c>
      <c r="P961" s="19">
        <f>IF(NOT(ISNUMBER($A961)),NA(),IF(OR($A961&lt;MIN(KW_TP!$A$2:$A$2501),$A961&gt;MAX(KW_TP!$A$2:$A$2501)),NA(),INDEX(KW_TP!$C$2:$C$2501,MATCH($A961,KW_TP!$A$2:$A$2501,1))))</f>
        <v/>
      </c>
      <c r="Q961" s="18">
        <f>IF(NOT(ISNUMBER($A961)),NA(),IFERROR(1*INDEX(BBG_Data!$J$2:$J$4000,MATCH($A961,BBG_Data!$I$2:$I$4000,0)),NA()))</f>
        <v/>
      </c>
      <c r="R961" s="18">
        <f>IF(NOT(ISNUMBER($A961)),NA(),IFERROR(1*INDEX(BBG_Data!$L$2:$L$4000,MATCH($A961,BBG_Data!$K$2:$K$4000,0)),NA()))</f>
        <v/>
      </c>
      <c r="S961" s="20">
        <f>IF(AND(ISNUMBER(B961),ISNUMBER(Q961),ISNUMBER(R961)),(B961-Q961-R961)*100,NA())</f>
        <v/>
      </c>
      <c r="T961" s="20">
        <f>IF(AND(ISNUMBER(B961),Settings!$B$17&gt;0),IF(ISNUMBER(INDEX($B:$B,Settings!$B$17)),(B961-INDEX($B:$B,Settings!$B$17))*100,NA()),NA())</f>
        <v/>
      </c>
      <c r="U961" s="20">
        <f>IF(AND(ISNUMBER(Q961),Settings!$B$17&gt;0),IF(ISNUMBER(INDEX($Q:$Q,Settings!$B$17)),(Q961-INDEX($Q:$Q,Settings!$B$17))*100,NA()),NA())</f>
        <v/>
      </c>
      <c r="V961" s="20">
        <f>IF(AND(ISNUMBER(R961),Settings!$B$17&gt;0),IF(ISNUMBER(INDEX($R:$R,Settings!$B$17)),(R961-INDEX($R:$R,Settings!$B$17))*100,NA()),NA())</f>
        <v/>
      </c>
      <c r="W961" s="20">
        <f>IF(AND(ISNUMBER(P961),Settings!$B$17&gt;0),IF(ISNUMBER(INDEX($P:$P,Settings!$B$17)),P961-INDEX($P:$P,Settings!$B$17),NA()),NA())</f>
        <v/>
      </c>
      <c r="X961" s="19">
        <f>IF(NOT(ISNUMBER($A961)),NA(),IF(OR($A961&lt;MIN(DKW_10Y!$A$2:$A$2918),$A961&gt;MAX(DKW_10Y!$A$2:$A$2918),Settings!$B$16&lt;MIN(DKW_10Y!$A$2:$A$2918)),NA(),(INDEX(DKW_10Y!$B$2:$B$2918,MATCH($A961,DKW_10Y!$A$2:$A$2918,1))-INDEX(DKW_10Y!$B$2:$B$2918,MATCH(Settings!$B$16,DKW_10Y!$A$2:$A$2918,1)))*100))</f>
        <v/>
      </c>
      <c r="Y961" s="19">
        <f>IF(NOT(ISNUMBER($A961)),NA(),IF(OR($A961&lt;MIN(DKW_10Y!$A$2:$A$2918),$A961&gt;MAX(DKW_10Y!$A$2:$A$2918),Settings!$B$16&lt;MIN(DKW_10Y!$A$2:$A$2918)),NA(),(INDEX(DKW_10Y!$C$2:$C$2918,MATCH($A961,DKW_10Y!$A$2:$A$2918,1))-INDEX(DKW_10Y!$C$2:$C$2918,MATCH(Settings!$B$16,DKW_10Y!$A$2:$A$2918,1)))*100))</f>
        <v/>
      </c>
      <c r="Z961" s="19">
        <f>IF(NOT(ISNUMBER($A961)),NA(),IF(OR($A961&lt;MIN(DKW_10Y!$A$2:$A$2918),$A961&gt;MAX(DKW_10Y!$A$2:$A$2918),Settings!$B$16&lt;MIN(DKW_10Y!$A$2:$A$2918)),NA(),(INDEX(DKW_10Y!$D$2:$D$2918,MATCH($A961,DKW_10Y!$A$2:$A$2918,1))-INDEX(DKW_10Y!$D$2:$D$2918,MATCH(Settings!$B$16,DKW_10Y!$A$2:$A$2918,1)))*100))</f>
        <v/>
      </c>
      <c r="AA961" s="19">
        <f>IF(NOT(ISNUMBER($A961)),NA(),IF(OR($A961&lt;MIN(DKW_10Y!$A$2:$A$2918),$A961&gt;MAX(DKW_10Y!$A$2:$A$2918),Settings!$B$16&lt;MIN(DKW_10Y!$A$2:$A$2918)),NA(),(INDEX(DKW_10Y!$E$2:$E$2918,MATCH($A961,DKW_10Y!$A$2:$A$2918,1))-INDEX(DKW_10Y!$E$2:$E$2918,MATCH(Settings!$B$16,DKW_10Y!$A$2:$A$2918,1)))*100))</f>
        <v/>
      </c>
      <c r="AB961" s="19">
        <f>IF(NOT(ISNUMBER($A961)),NA(),IF(OR($A961&lt;MIN(DKW_10Y!$A$2:$A$2918),$A961&gt;MAX(DKW_10Y!$A$2:$A$2918),Settings!$B$16&lt;MIN(DKW_10Y!$A$2:$A$2918)),NA(),(INDEX(DKW_10Y!$H$2:$H$2918,MATCH($A961,DKW_10Y!$A$2:$A$2918,1))-INDEX(DKW_10Y!$H$2:$H$2918,MATCH(Settings!$B$16,DKW_10Y!$A$2:$A$2918,1)))*100))</f>
        <v/>
      </c>
      <c r="AC961" s="18">
        <f>IF(NOT(ISNUMBER($A961)),NA(),IFERROR(1*INDEX(BBG_Data!$N$2:$N$4000,MATCH($A961,BBG_Data!$M$2:$M$4000,0)),NA()))</f>
        <v/>
      </c>
      <c r="AD961" s="18">
        <f>IF(NOT(ISNUMBER($A961)),NA(),IFERROR(1*INDEX(BBG_Data!$P$2:$P$4000,MATCH($A961,BBG_Data!$O$2:$O$4000,0)),NA()))</f>
        <v/>
      </c>
      <c r="AE961" s="18">
        <f>IF(NOT(ISNUMBER($A961)),NA(),IFERROR(1*INDEX(BBG_Data!$R$2:$R$4000,MATCH($A961,BBG_Data!$Q$2:$Q$4000,0)),NA()))</f>
        <v/>
      </c>
      <c r="AF961" s="20">
        <f>IF(AND(ISNUMBER(B961),ISNUMBER(AC961)),(B961-AC961)*100,NA())</f>
        <v/>
      </c>
      <c r="AG961" s="20">
        <f>IF(AND(ISNUMBER(AE961),ISNUMBER(AD961)),(AE961-AD961)*100,NA())</f>
        <v/>
      </c>
      <c r="AH961" s="19">
        <f>IF(NOT(ISNUMBER($A961)),NA(),IFERROR(INDEX(BBG_Data!$T$2:$T$4000,MATCH($A961,BBG_Data!$S$2:$S$4000,0))*Settings!$B$25,NA()))</f>
        <v/>
      </c>
      <c r="AI961" s="19">
        <f>IF(NOT(ISNUMBER($A961)),NA(),IFERROR(INDEX(BBG_Data!$V$2:$V$4000,MATCH($A961,BBG_Data!$U$2:$U$4000,0))*Settings!$B$25,NA()))</f>
        <v/>
      </c>
      <c r="AJ961" s="19">
        <f>IF(NOT(ISNUMBER($A961)),NA(),IFERROR(1*INDEX(BBG_Data!$X$2:$X$4000,MATCH($A961,BBG_Data!$W$2:$W$4000,0)),NA()))</f>
        <v/>
      </c>
      <c r="AK961" s="19">
        <f>IF(NOT(ISNUMBER($A961)),NA(),IFERROR(1*INDEX(BBG_Data!$Z$2:$Z$4000,MATCH($A961,BBG_Data!$Y$2:$Y$4000,0)),NA()))</f>
        <v/>
      </c>
    </row>
    <row r="962">
      <c r="A962" s="17">
        <f>IF(ISNUMBER(BBG_Data!A962),BBG_Data!A962,"")</f>
        <v/>
      </c>
      <c r="B962" s="18">
        <f>IF(AND(ISNUMBER($A962),ISNUMBER(BBG_Data!B962)),BBG_Data!B962,NA())</f>
        <v/>
      </c>
      <c r="C962" s="18">
        <f>IF(NOT(ISNUMBER($A962)),NA(),IFERROR(1*INDEX(BBG_Data!$D$2:$D$4000,MATCH($A962,BBG_Data!$C$2:$C$4000,0)),NA()))</f>
        <v/>
      </c>
      <c r="D962" s="19">
        <f>IF(NOT(ISNUMBER($A962)),NA(),IFERROR(1*INDEX(BBG_Data!$F$2:$F$4000,MATCH($A962,BBG_Data!$E$2:$E$4000,0)),NA()))</f>
        <v/>
      </c>
      <c r="E962" s="19">
        <f>IF(NOT(ISNUMBER($A962)),NA(),IFERROR(1*INDEX(BBG_Data!$H$2:$H$4000,MATCH($A962,BBG_Data!$G$2:$G$4000,0)),NA()))</f>
        <v/>
      </c>
      <c r="F962" s="20">
        <f>IF(AND(ISNUMBER(B962),ISNUMBER(B961)),IF(B962=B961,"",(B962-B961)*100),"")</f>
        <v/>
      </c>
      <c r="G962" s="20">
        <f>IF(AND(ISNUMBER(C962),ISNUMBER(C961)),IF(C962=C961,"",(C962-C961)*100),"")</f>
        <v/>
      </c>
      <c r="H962" s="20">
        <f>IF(OR(NOT(ISNUMBER($A962)),ROW()-2&lt;Settings!$B$11),NA(),IF(COUNT(OFFSET(F962,1-Settings!$B$11,0,Settings!$B$11,1))&lt;ROUNDUP(Settings!$B$11*Settings!$B$26,0),NA(),STDEV(OFFSET(F962,1-Settings!$B$11,0,Settings!$B$11,1))*SQRT(Settings!$B$13)))</f>
        <v/>
      </c>
      <c r="I962" s="20">
        <f>IF(OR(NOT(ISNUMBER($A962)),ROW()-2&lt;Settings!$B$12),NA(),IF(COUNT(OFFSET(F962,1-Settings!$B$12,0,Settings!$B$12,1))&lt;ROUNDUP(Settings!$B$12*Settings!$B$26,0),NA(),STDEV(OFFSET(F962,1-Settings!$B$12,0,Settings!$B$12,1))*SQRT(Settings!$B$13)))</f>
        <v/>
      </c>
      <c r="J962" s="20">
        <f>IF(OR(NOT(ISNUMBER($A962)),ROW()-2&lt;Settings!$B$11),NA(),IF(COUNT(OFFSET(G962,1-Settings!$B$11,0,Settings!$B$11,1))&lt;ROUNDUP(Settings!$B$11*Settings!$B$26,0),NA(),STDEV(OFFSET(G962,1-Settings!$B$11,0,Settings!$B$11,1))*SQRT(Settings!$B$13)))</f>
        <v/>
      </c>
      <c r="K962" s="20">
        <f>IF(OR(NOT(ISNUMBER($A962)),ROW()-2&lt;Settings!$B$12),NA(),IF(COUNT(OFFSET(G962,1-Settings!$B$12,0,Settings!$B$12,1))&lt;ROUNDUP(Settings!$B$12*Settings!$B$26,0),NA(),STDEV(OFFSET(G962,1-Settings!$B$12,0,Settings!$B$12,1))*SQRT(Settings!$B$13)))</f>
        <v/>
      </c>
      <c r="L962" s="20">
        <f>IF(AND(ISNUMBER(D962),ISNUMBER(H962)),D962-H962,NA())</f>
        <v/>
      </c>
      <c r="M962" s="20">
        <f>IF(AND(ISNUMBER(E962),ISNUMBER(K962)),E962-K962,NA())</f>
        <v/>
      </c>
      <c r="N962" s="20">
        <f>IF(NOT(ISNUMBER($A962)),NA(),IF(COUNT(OFFSET(G962,1,0,Settings!$B$12,1))&lt;ROUNDUP(Settings!$B$12*Settings!$B$26,0),NA(),STDEV(OFFSET(G962,1,0,Settings!$B$12,1))*SQRT(Settings!$B$13)))</f>
        <v/>
      </c>
      <c r="O962" s="20">
        <f>IF(AND(ISNUMBER(E962),ISNUMBER(N962)),E962-N962,NA())</f>
        <v/>
      </c>
      <c r="P962" s="19">
        <f>IF(NOT(ISNUMBER($A962)),NA(),IF(OR($A962&lt;MIN(KW_TP!$A$2:$A$2501),$A962&gt;MAX(KW_TP!$A$2:$A$2501)),NA(),INDEX(KW_TP!$C$2:$C$2501,MATCH($A962,KW_TP!$A$2:$A$2501,1))))</f>
        <v/>
      </c>
      <c r="Q962" s="18">
        <f>IF(NOT(ISNUMBER($A962)),NA(),IFERROR(1*INDEX(BBG_Data!$J$2:$J$4000,MATCH($A962,BBG_Data!$I$2:$I$4000,0)),NA()))</f>
        <v/>
      </c>
      <c r="R962" s="18">
        <f>IF(NOT(ISNUMBER($A962)),NA(),IFERROR(1*INDEX(BBG_Data!$L$2:$L$4000,MATCH($A962,BBG_Data!$K$2:$K$4000,0)),NA()))</f>
        <v/>
      </c>
      <c r="S962" s="20">
        <f>IF(AND(ISNUMBER(B962),ISNUMBER(Q962),ISNUMBER(R962)),(B962-Q962-R962)*100,NA())</f>
        <v/>
      </c>
      <c r="T962" s="20">
        <f>IF(AND(ISNUMBER(B962),Settings!$B$17&gt;0),IF(ISNUMBER(INDEX($B:$B,Settings!$B$17)),(B962-INDEX($B:$B,Settings!$B$17))*100,NA()),NA())</f>
        <v/>
      </c>
      <c r="U962" s="20">
        <f>IF(AND(ISNUMBER(Q962),Settings!$B$17&gt;0),IF(ISNUMBER(INDEX($Q:$Q,Settings!$B$17)),(Q962-INDEX($Q:$Q,Settings!$B$17))*100,NA()),NA())</f>
        <v/>
      </c>
      <c r="V962" s="20">
        <f>IF(AND(ISNUMBER(R962),Settings!$B$17&gt;0),IF(ISNUMBER(INDEX($R:$R,Settings!$B$17)),(R962-INDEX($R:$R,Settings!$B$17))*100,NA()),NA())</f>
        <v/>
      </c>
      <c r="W962" s="20">
        <f>IF(AND(ISNUMBER(P962),Settings!$B$17&gt;0),IF(ISNUMBER(INDEX($P:$P,Settings!$B$17)),P962-INDEX($P:$P,Settings!$B$17),NA()),NA())</f>
        <v/>
      </c>
      <c r="X962" s="19">
        <f>IF(NOT(ISNUMBER($A962)),NA(),IF(OR($A962&lt;MIN(DKW_10Y!$A$2:$A$2918),$A962&gt;MAX(DKW_10Y!$A$2:$A$2918),Settings!$B$16&lt;MIN(DKW_10Y!$A$2:$A$2918)),NA(),(INDEX(DKW_10Y!$B$2:$B$2918,MATCH($A962,DKW_10Y!$A$2:$A$2918,1))-INDEX(DKW_10Y!$B$2:$B$2918,MATCH(Settings!$B$16,DKW_10Y!$A$2:$A$2918,1)))*100))</f>
        <v/>
      </c>
      <c r="Y962" s="19">
        <f>IF(NOT(ISNUMBER($A962)),NA(),IF(OR($A962&lt;MIN(DKW_10Y!$A$2:$A$2918),$A962&gt;MAX(DKW_10Y!$A$2:$A$2918),Settings!$B$16&lt;MIN(DKW_10Y!$A$2:$A$2918)),NA(),(INDEX(DKW_10Y!$C$2:$C$2918,MATCH($A962,DKW_10Y!$A$2:$A$2918,1))-INDEX(DKW_10Y!$C$2:$C$2918,MATCH(Settings!$B$16,DKW_10Y!$A$2:$A$2918,1)))*100))</f>
        <v/>
      </c>
      <c r="Z962" s="19">
        <f>IF(NOT(ISNUMBER($A962)),NA(),IF(OR($A962&lt;MIN(DKW_10Y!$A$2:$A$2918),$A962&gt;MAX(DKW_10Y!$A$2:$A$2918),Settings!$B$16&lt;MIN(DKW_10Y!$A$2:$A$2918)),NA(),(INDEX(DKW_10Y!$D$2:$D$2918,MATCH($A962,DKW_10Y!$A$2:$A$2918,1))-INDEX(DKW_10Y!$D$2:$D$2918,MATCH(Settings!$B$16,DKW_10Y!$A$2:$A$2918,1)))*100))</f>
        <v/>
      </c>
      <c r="AA962" s="19">
        <f>IF(NOT(ISNUMBER($A962)),NA(),IF(OR($A962&lt;MIN(DKW_10Y!$A$2:$A$2918),$A962&gt;MAX(DKW_10Y!$A$2:$A$2918),Settings!$B$16&lt;MIN(DKW_10Y!$A$2:$A$2918)),NA(),(INDEX(DKW_10Y!$E$2:$E$2918,MATCH($A962,DKW_10Y!$A$2:$A$2918,1))-INDEX(DKW_10Y!$E$2:$E$2918,MATCH(Settings!$B$16,DKW_10Y!$A$2:$A$2918,1)))*100))</f>
        <v/>
      </c>
      <c r="AB962" s="19">
        <f>IF(NOT(ISNUMBER($A962)),NA(),IF(OR($A962&lt;MIN(DKW_10Y!$A$2:$A$2918),$A962&gt;MAX(DKW_10Y!$A$2:$A$2918),Settings!$B$16&lt;MIN(DKW_10Y!$A$2:$A$2918)),NA(),(INDEX(DKW_10Y!$H$2:$H$2918,MATCH($A962,DKW_10Y!$A$2:$A$2918,1))-INDEX(DKW_10Y!$H$2:$H$2918,MATCH(Settings!$B$16,DKW_10Y!$A$2:$A$2918,1)))*100))</f>
        <v/>
      </c>
      <c r="AC962" s="18">
        <f>IF(NOT(ISNUMBER($A962)),NA(),IFERROR(1*INDEX(BBG_Data!$N$2:$N$4000,MATCH($A962,BBG_Data!$M$2:$M$4000,0)),NA()))</f>
        <v/>
      </c>
      <c r="AD962" s="18">
        <f>IF(NOT(ISNUMBER($A962)),NA(),IFERROR(1*INDEX(BBG_Data!$P$2:$P$4000,MATCH($A962,BBG_Data!$O$2:$O$4000,0)),NA()))</f>
        <v/>
      </c>
      <c r="AE962" s="18">
        <f>IF(NOT(ISNUMBER($A962)),NA(),IFERROR(1*INDEX(BBG_Data!$R$2:$R$4000,MATCH($A962,BBG_Data!$Q$2:$Q$4000,0)),NA()))</f>
        <v/>
      </c>
      <c r="AF962" s="20">
        <f>IF(AND(ISNUMBER(B962),ISNUMBER(AC962)),(B962-AC962)*100,NA())</f>
        <v/>
      </c>
      <c r="AG962" s="20">
        <f>IF(AND(ISNUMBER(AE962),ISNUMBER(AD962)),(AE962-AD962)*100,NA())</f>
        <v/>
      </c>
      <c r="AH962" s="19">
        <f>IF(NOT(ISNUMBER($A962)),NA(),IFERROR(INDEX(BBG_Data!$T$2:$T$4000,MATCH($A962,BBG_Data!$S$2:$S$4000,0))*Settings!$B$25,NA()))</f>
        <v/>
      </c>
      <c r="AI962" s="19">
        <f>IF(NOT(ISNUMBER($A962)),NA(),IFERROR(INDEX(BBG_Data!$V$2:$V$4000,MATCH($A962,BBG_Data!$U$2:$U$4000,0))*Settings!$B$25,NA()))</f>
        <v/>
      </c>
      <c r="AJ962" s="19">
        <f>IF(NOT(ISNUMBER($A962)),NA(),IFERROR(1*INDEX(BBG_Data!$X$2:$X$4000,MATCH($A962,BBG_Data!$W$2:$W$4000,0)),NA()))</f>
        <v/>
      </c>
      <c r="AK962" s="19">
        <f>IF(NOT(ISNUMBER($A962)),NA(),IFERROR(1*INDEX(BBG_Data!$Z$2:$Z$4000,MATCH($A962,BBG_Data!$Y$2:$Y$4000,0)),NA()))</f>
        <v/>
      </c>
    </row>
    <row r="963">
      <c r="A963" s="17">
        <f>IF(ISNUMBER(BBG_Data!A963),BBG_Data!A963,"")</f>
        <v/>
      </c>
      <c r="B963" s="18">
        <f>IF(AND(ISNUMBER($A963),ISNUMBER(BBG_Data!B963)),BBG_Data!B963,NA())</f>
        <v/>
      </c>
      <c r="C963" s="18">
        <f>IF(NOT(ISNUMBER($A963)),NA(),IFERROR(1*INDEX(BBG_Data!$D$2:$D$4000,MATCH($A963,BBG_Data!$C$2:$C$4000,0)),NA()))</f>
        <v/>
      </c>
      <c r="D963" s="19">
        <f>IF(NOT(ISNUMBER($A963)),NA(),IFERROR(1*INDEX(BBG_Data!$F$2:$F$4000,MATCH($A963,BBG_Data!$E$2:$E$4000,0)),NA()))</f>
        <v/>
      </c>
      <c r="E963" s="19">
        <f>IF(NOT(ISNUMBER($A963)),NA(),IFERROR(1*INDEX(BBG_Data!$H$2:$H$4000,MATCH($A963,BBG_Data!$G$2:$G$4000,0)),NA()))</f>
        <v/>
      </c>
      <c r="F963" s="20">
        <f>IF(AND(ISNUMBER(B963),ISNUMBER(B962)),IF(B963=B962,"",(B963-B962)*100),"")</f>
        <v/>
      </c>
      <c r="G963" s="20">
        <f>IF(AND(ISNUMBER(C963),ISNUMBER(C962)),IF(C963=C962,"",(C963-C962)*100),"")</f>
        <v/>
      </c>
      <c r="H963" s="20">
        <f>IF(OR(NOT(ISNUMBER($A963)),ROW()-2&lt;Settings!$B$11),NA(),IF(COUNT(OFFSET(F963,1-Settings!$B$11,0,Settings!$B$11,1))&lt;ROUNDUP(Settings!$B$11*Settings!$B$26,0),NA(),STDEV(OFFSET(F963,1-Settings!$B$11,0,Settings!$B$11,1))*SQRT(Settings!$B$13)))</f>
        <v/>
      </c>
      <c r="I963" s="20">
        <f>IF(OR(NOT(ISNUMBER($A963)),ROW()-2&lt;Settings!$B$12),NA(),IF(COUNT(OFFSET(F963,1-Settings!$B$12,0,Settings!$B$12,1))&lt;ROUNDUP(Settings!$B$12*Settings!$B$26,0),NA(),STDEV(OFFSET(F963,1-Settings!$B$12,0,Settings!$B$12,1))*SQRT(Settings!$B$13)))</f>
        <v/>
      </c>
      <c r="J963" s="20">
        <f>IF(OR(NOT(ISNUMBER($A963)),ROW()-2&lt;Settings!$B$11),NA(),IF(COUNT(OFFSET(G963,1-Settings!$B$11,0,Settings!$B$11,1))&lt;ROUNDUP(Settings!$B$11*Settings!$B$26,0),NA(),STDEV(OFFSET(G963,1-Settings!$B$11,0,Settings!$B$11,1))*SQRT(Settings!$B$13)))</f>
        <v/>
      </c>
      <c r="K963" s="20">
        <f>IF(OR(NOT(ISNUMBER($A963)),ROW()-2&lt;Settings!$B$12),NA(),IF(COUNT(OFFSET(G963,1-Settings!$B$12,0,Settings!$B$12,1))&lt;ROUNDUP(Settings!$B$12*Settings!$B$26,0),NA(),STDEV(OFFSET(G963,1-Settings!$B$12,0,Settings!$B$12,1))*SQRT(Settings!$B$13)))</f>
        <v/>
      </c>
      <c r="L963" s="20">
        <f>IF(AND(ISNUMBER(D963),ISNUMBER(H963)),D963-H963,NA())</f>
        <v/>
      </c>
      <c r="M963" s="20">
        <f>IF(AND(ISNUMBER(E963),ISNUMBER(K963)),E963-K963,NA())</f>
        <v/>
      </c>
      <c r="N963" s="20">
        <f>IF(NOT(ISNUMBER($A963)),NA(),IF(COUNT(OFFSET(G963,1,0,Settings!$B$12,1))&lt;ROUNDUP(Settings!$B$12*Settings!$B$26,0),NA(),STDEV(OFFSET(G963,1,0,Settings!$B$12,1))*SQRT(Settings!$B$13)))</f>
        <v/>
      </c>
      <c r="O963" s="20">
        <f>IF(AND(ISNUMBER(E963),ISNUMBER(N963)),E963-N963,NA())</f>
        <v/>
      </c>
      <c r="P963" s="19">
        <f>IF(NOT(ISNUMBER($A963)),NA(),IF(OR($A963&lt;MIN(KW_TP!$A$2:$A$2501),$A963&gt;MAX(KW_TP!$A$2:$A$2501)),NA(),INDEX(KW_TP!$C$2:$C$2501,MATCH($A963,KW_TP!$A$2:$A$2501,1))))</f>
        <v/>
      </c>
      <c r="Q963" s="18">
        <f>IF(NOT(ISNUMBER($A963)),NA(),IFERROR(1*INDEX(BBG_Data!$J$2:$J$4000,MATCH($A963,BBG_Data!$I$2:$I$4000,0)),NA()))</f>
        <v/>
      </c>
      <c r="R963" s="18">
        <f>IF(NOT(ISNUMBER($A963)),NA(),IFERROR(1*INDEX(BBG_Data!$L$2:$L$4000,MATCH($A963,BBG_Data!$K$2:$K$4000,0)),NA()))</f>
        <v/>
      </c>
      <c r="S963" s="20">
        <f>IF(AND(ISNUMBER(B963),ISNUMBER(Q963),ISNUMBER(R963)),(B963-Q963-R963)*100,NA())</f>
        <v/>
      </c>
      <c r="T963" s="20">
        <f>IF(AND(ISNUMBER(B963),Settings!$B$17&gt;0),IF(ISNUMBER(INDEX($B:$B,Settings!$B$17)),(B963-INDEX($B:$B,Settings!$B$17))*100,NA()),NA())</f>
        <v/>
      </c>
      <c r="U963" s="20">
        <f>IF(AND(ISNUMBER(Q963),Settings!$B$17&gt;0),IF(ISNUMBER(INDEX($Q:$Q,Settings!$B$17)),(Q963-INDEX($Q:$Q,Settings!$B$17))*100,NA()),NA())</f>
        <v/>
      </c>
      <c r="V963" s="20">
        <f>IF(AND(ISNUMBER(R963),Settings!$B$17&gt;0),IF(ISNUMBER(INDEX($R:$R,Settings!$B$17)),(R963-INDEX($R:$R,Settings!$B$17))*100,NA()),NA())</f>
        <v/>
      </c>
      <c r="W963" s="20">
        <f>IF(AND(ISNUMBER(P963),Settings!$B$17&gt;0),IF(ISNUMBER(INDEX($P:$P,Settings!$B$17)),P963-INDEX($P:$P,Settings!$B$17),NA()),NA())</f>
        <v/>
      </c>
      <c r="X963" s="19">
        <f>IF(NOT(ISNUMBER($A963)),NA(),IF(OR($A963&lt;MIN(DKW_10Y!$A$2:$A$2918),$A963&gt;MAX(DKW_10Y!$A$2:$A$2918),Settings!$B$16&lt;MIN(DKW_10Y!$A$2:$A$2918)),NA(),(INDEX(DKW_10Y!$B$2:$B$2918,MATCH($A963,DKW_10Y!$A$2:$A$2918,1))-INDEX(DKW_10Y!$B$2:$B$2918,MATCH(Settings!$B$16,DKW_10Y!$A$2:$A$2918,1)))*100))</f>
        <v/>
      </c>
      <c r="Y963" s="19">
        <f>IF(NOT(ISNUMBER($A963)),NA(),IF(OR($A963&lt;MIN(DKW_10Y!$A$2:$A$2918),$A963&gt;MAX(DKW_10Y!$A$2:$A$2918),Settings!$B$16&lt;MIN(DKW_10Y!$A$2:$A$2918)),NA(),(INDEX(DKW_10Y!$C$2:$C$2918,MATCH($A963,DKW_10Y!$A$2:$A$2918,1))-INDEX(DKW_10Y!$C$2:$C$2918,MATCH(Settings!$B$16,DKW_10Y!$A$2:$A$2918,1)))*100))</f>
        <v/>
      </c>
      <c r="Z963" s="19">
        <f>IF(NOT(ISNUMBER($A963)),NA(),IF(OR($A963&lt;MIN(DKW_10Y!$A$2:$A$2918),$A963&gt;MAX(DKW_10Y!$A$2:$A$2918),Settings!$B$16&lt;MIN(DKW_10Y!$A$2:$A$2918)),NA(),(INDEX(DKW_10Y!$D$2:$D$2918,MATCH($A963,DKW_10Y!$A$2:$A$2918,1))-INDEX(DKW_10Y!$D$2:$D$2918,MATCH(Settings!$B$16,DKW_10Y!$A$2:$A$2918,1)))*100))</f>
        <v/>
      </c>
      <c r="AA963" s="19">
        <f>IF(NOT(ISNUMBER($A963)),NA(),IF(OR($A963&lt;MIN(DKW_10Y!$A$2:$A$2918),$A963&gt;MAX(DKW_10Y!$A$2:$A$2918),Settings!$B$16&lt;MIN(DKW_10Y!$A$2:$A$2918)),NA(),(INDEX(DKW_10Y!$E$2:$E$2918,MATCH($A963,DKW_10Y!$A$2:$A$2918,1))-INDEX(DKW_10Y!$E$2:$E$2918,MATCH(Settings!$B$16,DKW_10Y!$A$2:$A$2918,1)))*100))</f>
        <v/>
      </c>
      <c r="AB963" s="19">
        <f>IF(NOT(ISNUMBER($A963)),NA(),IF(OR($A963&lt;MIN(DKW_10Y!$A$2:$A$2918),$A963&gt;MAX(DKW_10Y!$A$2:$A$2918),Settings!$B$16&lt;MIN(DKW_10Y!$A$2:$A$2918)),NA(),(INDEX(DKW_10Y!$H$2:$H$2918,MATCH($A963,DKW_10Y!$A$2:$A$2918,1))-INDEX(DKW_10Y!$H$2:$H$2918,MATCH(Settings!$B$16,DKW_10Y!$A$2:$A$2918,1)))*100))</f>
        <v/>
      </c>
      <c r="AC963" s="18">
        <f>IF(NOT(ISNUMBER($A963)),NA(),IFERROR(1*INDEX(BBG_Data!$N$2:$N$4000,MATCH($A963,BBG_Data!$M$2:$M$4000,0)),NA()))</f>
        <v/>
      </c>
      <c r="AD963" s="18">
        <f>IF(NOT(ISNUMBER($A963)),NA(),IFERROR(1*INDEX(BBG_Data!$P$2:$P$4000,MATCH($A963,BBG_Data!$O$2:$O$4000,0)),NA()))</f>
        <v/>
      </c>
      <c r="AE963" s="18">
        <f>IF(NOT(ISNUMBER($A963)),NA(),IFERROR(1*INDEX(BBG_Data!$R$2:$R$4000,MATCH($A963,BBG_Data!$Q$2:$Q$4000,0)),NA()))</f>
        <v/>
      </c>
      <c r="AF963" s="20">
        <f>IF(AND(ISNUMBER(B963),ISNUMBER(AC963)),(B963-AC963)*100,NA())</f>
        <v/>
      </c>
      <c r="AG963" s="20">
        <f>IF(AND(ISNUMBER(AE963),ISNUMBER(AD963)),(AE963-AD963)*100,NA())</f>
        <v/>
      </c>
      <c r="AH963" s="19">
        <f>IF(NOT(ISNUMBER($A963)),NA(),IFERROR(INDEX(BBG_Data!$T$2:$T$4000,MATCH($A963,BBG_Data!$S$2:$S$4000,0))*Settings!$B$25,NA()))</f>
        <v/>
      </c>
      <c r="AI963" s="19">
        <f>IF(NOT(ISNUMBER($A963)),NA(),IFERROR(INDEX(BBG_Data!$V$2:$V$4000,MATCH($A963,BBG_Data!$U$2:$U$4000,0))*Settings!$B$25,NA()))</f>
        <v/>
      </c>
      <c r="AJ963" s="19">
        <f>IF(NOT(ISNUMBER($A963)),NA(),IFERROR(1*INDEX(BBG_Data!$X$2:$X$4000,MATCH($A963,BBG_Data!$W$2:$W$4000,0)),NA()))</f>
        <v/>
      </c>
      <c r="AK963" s="19">
        <f>IF(NOT(ISNUMBER($A963)),NA(),IFERROR(1*INDEX(BBG_Data!$Z$2:$Z$4000,MATCH($A963,BBG_Data!$Y$2:$Y$4000,0)),NA()))</f>
        <v/>
      </c>
    </row>
    <row r="964">
      <c r="A964" s="17">
        <f>IF(ISNUMBER(BBG_Data!A964),BBG_Data!A964,"")</f>
        <v/>
      </c>
      <c r="B964" s="18">
        <f>IF(AND(ISNUMBER($A964),ISNUMBER(BBG_Data!B964)),BBG_Data!B964,NA())</f>
        <v/>
      </c>
      <c r="C964" s="18">
        <f>IF(NOT(ISNUMBER($A964)),NA(),IFERROR(1*INDEX(BBG_Data!$D$2:$D$4000,MATCH($A964,BBG_Data!$C$2:$C$4000,0)),NA()))</f>
        <v/>
      </c>
      <c r="D964" s="19">
        <f>IF(NOT(ISNUMBER($A964)),NA(),IFERROR(1*INDEX(BBG_Data!$F$2:$F$4000,MATCH($A964,BBG_Data!$E$2:$E$4000,0)),NA()))</f>
        <v/>
      </c>
      <c r="E964" s="19">
        <f>IF(NOT(ISNUMBER($A964)),NA(),IFERROR(1*INDEX(BBG_Data!$H$2:$H$4000,MATCH($A964,BBG_Data!$G$2:$G$4000,0)),NA()))</f>
        <v/>
      </c>
      <c r="F964" s="20">
        <f>IF(AND(ISNUMBER(B964),ISNUMBER(B963)),IF(B964=B963,"",(B964-B963)*100),"")</f>
        <v/>
      </c>
      <c r="G964" s="20">
        <f>IF(AND(ISNUMBER(C964),ISNUMBER(C963)),IF(C964=C963,"",(C964-C963)*100),"")</f>
        <v/>
      </c>
      <c r="H964" s="20">
        <f>IF(OR(NOT(ISNUMBER($A964)),ROW()-2&lt;Settings!$B$11),NA(),IF(COUNT(OFFSET(F964,1-Settings!$B$11,0,Settings!$B$11,1))&lt;ROUNDUP(Settings!$B$11*Settings!$B$26,0),NA(),STDEV(OFFSET(F964,1-Settings!$B$11,0,Settings!$B$11,1))*SQRT(Settings!$B$13)))</f>
        <v/>
      </c>
      <c r="I964" s="20">
        <f>IF(OR(NOT(ISNUMBER($A964)),ROW()-2&lt;Settings!$B$12),NA(),IF(COUNT(OFFSET(F964,1-Settings!$B$12,0,Settings!$B$12,1))&lt;ROUNDUP(Settings!$B$12*Settings!$B$26,0),NA(),STDEV(OFFSET(F964,1-Settings!$B$12,0,Settings!$B$12,1))*SQRT(Settings!$B$13)))</f>
        <v/>
      </c>
      <c r="J964" s="20">
        <f>IF(OR(NOT(ISNUMBER($A964)),ROW()-2&lt;Settings!$B$11),NA(),IF(COUNT(OFFSET(G964,1-Settings!$B$11,0,Settings!$B$11,1))&lt;ROUNDUP(Settings!$B$11*Settings!$B$26,0),NA(),STDEV(OFFSET(G964,1-Settings!$B$11,0,Settings!$B$11,1))*SQRT(Settings!$B$13)))</f>
        <v/>
      </c>
      <c r="K964" s="20">
        <f>IF(OR(NOT(ISNUMBER($A964)),ROW()-2&lt;Settings!$B$12),NA(),IF(COUNT(OFFSET(G964,1-Settings!$B$12,0,Settings!$B$12,1))&lt;ROUNDUP(Settings!$B$12*Settings!$B$26,0),NA(),STDEV(OFFSET(G964,1-Settings!$B$12,0,Settings!$B$12,1))*SQRT(Settings!$B$13)))</f>
        <v/>
      </c>
      <c r="L964" s="20">
        <f>IF(AND(ISNUMBER(D964),ISNUMBER(H964)),D964-H964,NA())</f>
        <v/>
      </c>
      <c r="M964" s="20">
        <f>IF(AND(ISNUMBER(E964),ISNUMBER(K964)),E964-K964,NA())</f>
        <v/>
      </c>
      <c r="N964" s="20">
        <f>IF(NOT(ISNUMBER($A964)),NA(),IF(COUNT(OFFSET(G964,1,0,Settings!$B$12,1))&lt;ROUNDUP(Settings!$B$12*Settings!$B$26,0),NA(),STDEV(OFFSET(G964,1,0,Settings!$B$12,1))*SQRT(Settings!$B$13)))</f>
        <v/>
      </c>
      <c r="O964" s="20">
        <f>IF(AND(ISNUMBER(E964),ISNUMBER(N964)),E964-N964,NA())</f>
        <v/>
      </c>
      <c r="P964" s="19">
        <f>IF(NOT(ISNUMBER($A964)),NA(),IF(OR($A964&lt;MIN(KW_TP!$A$2:$A$2501),$A964&gt;MAX(KW_TP!$A$2:$A$2501)),NA(),INDEX(KW_TP!$C$2:$C$2501,MATCH($A964,KW_TP!$A$2:$A$2501,1))))</f>
        <v/>
      </c>
      <c r="Q964" s="18">
        <f>IF(NOT(ISNUMBER($A964)),NA(),IFERROR(1*INDEX(BBG_Data!$J$2:$J$4000,MATCH($A964,BBG_Data!$I$2:$I$4000,0)),NA()))</f>
        <v/>
      </c>
      <c r="R964" s="18">
        <f>IF(NOT(ISNUMBER($A964)),NA(),IFERROR(1*INDEX(BBG_Data!$L$2:$L$4000,MATCH($A964,BBG_Data!$K$2:$K$4000,0)),NA()))</f>
        <v/>
      </c>
      <c r="S964" s="20">
        <f>IF(AND(ISNUMBER(B964),ISNUMBER(Q964),ISNUMBER(R964)),(B964-Q964-R964)*100,NA())</f>
        <v/>
      </c>
      <c r="T964" s="20">
        <f>IF(AND(ISNUMBER(B964),Settings!$B$17&gt;0),IF(ISNUMBER(INDEX($B:$B,Settings!$B$17)),(B964-INDEX($B:$B,Settings!$B$17))*100,NA()),NA())</f>
        <v/>
      </c>
      <c r="U964" s="20">
        <f>IF(AND(ISNUMBER(Q964),Settings!$B$17&gt;0),IF(ISNUMBER(INDEX($Q:$Q,Settings!$B$17)),(Q964-INDEX($Q:$Q,Settings!$B$17))*100,NA()),NA())</f>
        <v/>
      </c>
      <c r="V964" s="20">
        <f>IF(AND(ISNUMBER(R964),Settings!$B$17&gt;0),IF(ISNUMBER(INDEX($R:$R,Settings!$B$17)),(R964-INDEX($R:$R,Settings!$B$17))*100,NA()),NA())</f>
        <v/>
      </c>
      <c r="W964" s="20">
        <f>IF(AND(ISNUMBER(P964),Settings!$B$17&gt;0),IF(ISNUMBER(INDEX($P:$P,Settings!$B$17)),P964-INDEX($P:$P,Settings!$B$17),NA()),NA())</f>
        <v/>
      </c>
      <c r="X964" s="19">
        <f>IF(NOT(ISNUMBER($A964)),NA(),IF(OR($A964&lt;MIN(DKW_10Y!$A$2:$A$2918),$A964&gt;MAX(DKW_10Y!$A$2:$A$2918),Settings!$B$16&lt;MIN(DKW_10Y!$A$2:$A$2918)),NA(),(INDEX(DKW_10Y!$B$2:$B$2918,MATCH($A964,DKW_10Y!$A$2:$A$2918,1))-INDEX(DKW_10Y!$B$2:$B$2918,MATCH(Settings!$B$16,DKW_10Y!$A$2:$A$2918,1)))*100))</f>
        <v/>
      </c>
      <c r="Y964" s="19">
        <f>IF(NOT(ISNUMBER($A964)),NA(),IF(OR($A964&lt;MIN(DKW_10Y!$A$2:$A$2918),$A964&gt;MAX(DKW_10Y!$A$2:$A$2918),Settings!$B$16&lt;MIN(DKW_10Y!$A$2:$A$2918)),NA(),(INDEX(DKW_10Y!$C$2:$C$2918,MATCH($A964,DKW_10Y!$A$2:$A$2918,1))-INDEX(DKW_10Y!$C$2:$C$2918,MATCH(Settings!$B$16,DKW_10Y!$A$2:$A$2918,1)))*100))</f>
        <v/>
      </c>
      <c r="Z964" s="19">
        <f>IF(NOT(ISNUMBER($A964)),NA(),IF(OR($A964&lt;MIN(DKW_10Y!$A$2:$A$2918),$A964&gt;MAX(DKW_10Y!$A$2:$A$2918),Settings!$B$16&lt;MIN(DKW_10Y!$A$2:$A$2918)),NA(),(INDEX(DKW_10Y!$D$2:$D$2918,MATCH($A964,DKW_10Y!$A$2:$A$2918,1))-INDEX(DKW_10Y!$D$2:$D$2918,MATCH(Settings!$B$16,DKW_10Y!$A$2:$A$2918,1)))*100))</f>
        <v/>
      </c>
      <c r="AA964" s="19">
        <f>IF(NOT(ISNUMBER($A964)),NA(),IF(OR($A964&lt;MIN(DKW_10Y!$A$2:$A$2918),$A964&gt;MAX(DKW_10Y!$A$2:$A$2918),Settings!$B$16&lt;MIN(DKW_10Y!$A$2:$A$2918)),NA(),(INDEX(DKW_10Y!$E$2:$E$2918,MATCH($A964,DKW_10Y!$A$2:$A$2918,1))-INDEX(DKW_10Y!$E$2:$E$2918,MATCH(Settings!$B$16,DKW_10Y!$A$2:$A$2918,1)))*100))</f>
        <v/>
      </c>
      <c r="AB964" s="19">
        <f>IF(NOT(ISNUMBER($A964)),NA(),IF(OR($A964&lt;MIN(DKW_10Y!$A$2:$A$2918),$A964&gt;MAX(DKW_10Y!$A$2:$A$2918),Settings!$B$16&lt;MIN(DKW_10Y!$A$2:$A$2918)),NA(),(INDEX(DKW_10Y!$H$2:$H$2918,MATCH($A964,DKW_10Y!$A$2:$A$2918,1))-INDEX(DKW_10Y!$H$2:$H$2918,MATCH(Settings!$B$16,DKW_10Y!$A$2:$A$2918,1)))*100))</f>
        <v/>
      </c>
      <c r="AC964" s="18">
        <f>IF(NOT(ISNUMBER($A964)),NA(),IFERROR(1*INDEX(BBG_Data!$N$2:$N$4000,MATCH($A964,BBG_Data!$M$2:$M$4000,0)),NA()))</f>
        <v/>
      </c>
      <c r="AD964" s="18">
        <f>IF(NOT(ISNUMBER($A964)),NA(),IFERROR(1*INDEX(BBG_Data!$P$2:$P$4000,MATCH($A964,BBG_Data!$O$2:$O$4000,0)),NA()))</f>
        <v/>
      </c>
      <c r="AE964" s="18">
        <f>IF(NOT(ISNUMBER($A964)),NA(),IFERROR(1*INDEX(BBG_Data!$R$2:$R$4000,MATCH($A964,BBG_Data!$Q$2:$Q$4000,0)),NA()))</f>
        <v/>
      </c>
      <c r="AF964" s="20">
        <f>IF(AND(ISNUMBER(B964),ISNUMBER(AC964)),(B964-AC964)*100,NA())</f>
        <v/>
      </c>
      <c r="AG964" s="20">
        <f>IF(AND(ISNUMBER(AE964),ISNUMBER(AD964)),(AE964-AD964)*100,NA())</f>
        <v/>
      </c>
      <c r="AH964" s="19">
        <f>IF(NOT(ISNUMBER($A964)),NA(),IFERROR(INDEX(BBG_Data!$T$2:$T$4000,MATCH($A964,BBG_Data!$S$2:$S$4000,0))*Settings!$B$25,NA()))</f>
        <v/>
      </c>
      <c r="AI964" s="19">
        <f>IF(NOT(ISNUMBER($A964)),NA(),IFERROR(INDEX(BBG_Data!$V$2:$V$4000,MATCH($A964,BBG_Data!$U$2:$U$4000,0))*Settings!$B$25,NA()))</f>
        <v/>
      </c>
      <c r="AJ964" s="19">
        <f>IF(NOT(ISNUMBER($A964)),NA(),IFERROR(1*INDEX(BBG_Data!$X$2:$X$4000,MATCH($A964,BBG_Data!$W$2:$W$4000,0)),NA()))</f>
        <v/>
      </c>
      <c r="AK964" s="19">
        <f>IF(NOT(ISNUMBER($A964)),NA(),IFERROR(1*INDEX(BBG_Data!$Z$2:$Z$4000,MATCH($A964,BBG_Data!$Y$2:$Y$4000,0)),NA()))</f>
        <v/>
      </c>
    </row>
    <row r="965">
      <c r="A965" s="17">
        <f>IF(ISNUMBER(BBG_Data!A965),BBG_Data!A965,"")</f>
        <v/>
      </c>
      <c r="B965" s="18">
        <f>IF(AND(ISNUMBER($A965),ISNUMBER(BBG_Data!B965)),BBG_Data!B965,NA())</f>
        <v/>
      </c>
      <c r="C965" s="18">
        <f>IF(NOT(ISNUMBER($A965)),NA(),IFERROR(1*INDEX(BBG_Data!$D$2:$D$4000,MATCH($A965,BBG_Data!$C$2:$C$4000,0)),NA()))</f>
        <v/>
      </c>
      <c r="D965" s="19">
        <f>IF(NOT(ISNUMBER($A965)),NA(),IFERROR(1*INDEX(BBG_Data!$F$2:$F$4000,MATCH($A965,BBG_Data!$E$2:$E$4000,0)),NA()))</f>
        <v/>
      </c>
      <c r="E965" s="19">
        <f>IF(NOT(ISNUMBER($A965)),NA(),IFERROR(1*INDEX(BBG_Data!$H$2:$H$4000,MATCH($A965,BBG_Data!$G$2:$G$4000,0)),NA()))</f>
        <v/>
      </c>
      <c r="F965" s="20">
        <f>IF(AND(ISNUMBER(B965),ISNUMBER(B964)),IF(B965=B964,"",(B965-B964)*100),"")</f>
        <v/>
      </c>
      <c r="G965" s="20">
        <f>IF(AND(ISNUMBER(C965),ISNUMBER(C964)),IF(C965=C964,"",(C965-C964)*100),"")</f>
        <v/>
      </c>
      <c r="H965" s="20">
        <f>IF(OR(NOT(ISNUMBER($A965)),ROW()-2&lt;Settings!$B$11),NA(),IF(COUNT(OFFSET(F965,1-Settings!$B$11,0,Settings!$B$11,1))&lt;ROUNDUP(Settings!$B$11*Settings!$B$26,0),NA(),STDEV(OFFSET(F965,1-Settings!$B$11,0,Settings!$B$11,1))*SQRT(Settings!$B$13)))</f>
        <v/>
      </c>
      <c r="I965" s="20">
        <f>IF(OR(NOT(ISNUMBER($A965)),ROW()-2&lt;Settings!$B$12),NA(),IF(COUNT(OFFSET(F965,1-Settings!$B$12,0,Settings!$B$12,1))&lt;ROUNDUP(Settings!$B$12*Settings!$B$26,0),NA(),STDEV(OFFSET(F965,1-Settings!$B$12,0,Settings!$B$12,1))*SQRT(Settings!$B$13)))</f>
        <v/>
      </c>
      <c r="J965" s="20">
        <f>IF(OR(NOT(ISNUMBER($A965)),ROW()-2&lt;Settings!$B$11),NA(),IF(COUNT(OFFSET(G965,1-Settings!$B$11,0,Settings!$B$11,1))&lt;ROUNDUP(Settings!$B$11*Settings!$B$26,0),NA(),STDEV(OFFSET(G965,1-Settings!$B$11,0,Settings!$B$11,1))*SQRT(Settings!$B$13)))</f>
        <v/>
      </c>
      <c r="K965" s="20">
        <f>IF(OR(NOT(ISNUMBER($A965)),ROW()-2&lt;Settings!$B$12),NA(),IF(COUNT(OFFSET(G965,1-Settings!$B$12,0,Settings!$B$12,1))&lt;ROUNDUP(Settings!$B$12*Settings!$B$26,0),NA(),STDEV(OFFSET(G965,1-Settings!$B$12,0,Settings!$B$12,1))*SQRT(Settings!$B$13)))</f>
        <v/>
      </c>
      <c r="L965" s="20">
        <f>IF(AND(ISNUMBER(D965),ISNUMBER(H965)),D965-H965,NA())</f>
        <v/>
      </c>
      <c r="M965" s="20">
        <f>IF(AND(ISNUMBER(E965),ISNUMBER(K965)),E965-K965,NA())</f>
        <v/>
      </c>
      <c r="N965" s="20">
        <f>IF(NOT(ISNUMBER($A965)),NA(),IF(COUNT(OFFSET(G965,1,0,Settings!$B$12,1))&lt;ROUNDUP(Settings!$B$12*Settings!$B$26,0),NA(),STDEV(OFFSET(G965,1,0,Settings!$B$12,1))*SQRT(Settings!$B$13)))</f>
        <v/>
      </c>
      <c r="O965" s="20">
        <f>IF(AND(ISNUMBER(E965),ISNUMBER(N965)),E965-N965,NA())</f>
        <v/>
      </c>
      <c r="P965" s="19">
        <f>IF(NOT(ISNUMBER($A965)),NA(),IF(OR($A965&lt;MIN(KW_TP!$A$2:$A$2501),$A965&gt;MAX(KW_TP!$A$2:$A$2501)),NA(),INDEX(KW_TP!$C$2:$C$2501,MATCH($A965,KW_TP!$A$2:$A$2501,1))))</f>
        <v/>
      </c>
      <c r="Q965" s="18">
        <f>IF(NOT(ISNUMBER($A965)),NA(),IFERROR(1*INDEX(BBG_Data!$J$2:$J$4000,MATCH($A965,BBG_Data!$I$2:$I$4000,0)),NA()))</f>
        <v/>
      </c>
      <c r="R965" s="18">
        <f>IF(NOT(ISNUMBER($A965)),NA(),IFERROR(1*INDEX(BBG_Data!$L$2:$L$4000,MATCH($A965,BBG_Data!$K$2:$K$4000,0)),NA()))</f>
        <v/>
      </c>
      <c r="S965" s="20">
        <f>IF(AND(ISNUMBER(B965),ISNUMBER(Q965),ISNUMBER(R965)),(B965-Q965-R965)*100,NA())</f>
        <v/>
      </c>
      <c r="T965" s="20">
        <f>IF(AND(ISNUMBER(B965),Settings!$B$17&gt;0),IF(ISNUMBER(INDEX($B:$B,Settings!$B$17)),(B965-INDEX($B:$B,Settings!$B$17))*100,NA()),NA())</f>
        <v/>
      </c>
      <c r="U965" s="20">
        <f>IF(AND(ISNUMBER(Q965),Settings!$B$17&gt;0),IF(ISNUMBER(INDEX($Q:$Q,Settings!$B$17)),(Q965-INDEX($Q:$Q,Settings!$B$17))*100,NA()),NA())</f>
        <v/>
      </c>
      <c r="V965" s="20">
        <f>IF(AND(ISNUMBER(R965),Settings!$B$17&gt;0),IF(ISNUMBER(INDEX($R:$R,Settings!$B$17)),(R965-INDEX($R:$R,Settings!$B$17))*100,NA()),NA())</f>
        <v/>
      </c>
      <c r="W965" s="20">
        <f>IF(AND(ISNUMBER(P965),Settings!$B$17&gt;0),IF(ISNUMBER(INDEX($P:$P,Settings!$B$17)),P965-INDEX($P:$P,Settings!$B$17),NA()),NA())</f>
        <v/>
      </c>
      <c r="X965" s="19">
        <f>IF(NOT(ISNUMBER($A965)),NA(),IF(OR($A965&lt;MIN(DKW_10Y!$A$2:$A$2918),$A965&gt;MAX(DKW_10Y!$A$2:$A$2918),Settings!$B$16&lt;MIN(DKW_10Y!$A$2:$A$2918)),NA(),(INDEX(DKW_10Y!$B$2:$B$2918,MATCH($A965,DKW_10Y!$A$2:$A$2918,1))-INDEX(DKW_10Y!$B$2:$B$2918,MATCH(Settings!$B$16,DKW_10Y!$A$2:$A$2918,1)))*100))</f>
        <v/>
      </c>
      <c r="Y965" s="19">
        <f>IF(NOT(ISNUMBER($A965)),NA(),IF(OR($A965&lt;MIN(DKW_10Y!$A$2:$A$2918),$A965&gt;MAX(DKW_10Y!$A$2:$A$2918),Settings!$B$16&lt;MIN(DKW_10Y!$A$2:$A$2918)),NA(),(INDEX(DKW_10Y!$C$2:$C$2918,MATCH($A965,DKW_10Y!$A$2:$A$2918,1))-INDEX(DKW_10Y!$C$2:$C$2918,MATCH(Settings!$B$16,DKW_10Y!$A$2:$A$2918,1)))*100))</f>
        <v/>
      </c>
      <c r="Z965" s="19">
        <f>IF(NOT(ISNUMBER($A965)),NA(),IF(OR($A965&lt;MIN(DKW_10Y!$A$2:$A$2918),$A965&gt;MAX(DKW_10Y!$A$2:$A$2918),Settings!$B$16&lt;MIN(DKW_10Y!$A$2:$A$2918)),NA(),(INDEX(DKW_10Y!$D$2:$D$2918,MATCH($A965,DKW_10Y!$A$2:$A$2918,1))-INDEX(DKW_10Y!$D$2:$D$2918,MATCH(Settings!$B$16,DKW_10Y!$A$2:$A$2918,1)))*100))</f>
        <v/>
      </c>
      <c r="AA965" s="19">
        <f>IF(NOT(ISNUMBER($A965)),NA(),IF(OR($A965&lt;MIN(DKW_10Y!$A$2:$A$2918),$A965&gt;MAX(DKW_10Y!$A$2:$A$2918),Settings!$B$16&lt;MIN(DKW_10Y!$A$2:$A$2918)),NA(),(INDEX(DKW_10Y!$E$2:$E$2918,MATCH($A965,DKW_10Y!$A$2:$A$2918,1))-INDEX(DKW_10Y!$E$2:$E$2918,MATCH(Settings!$B$16,DKW_10Y!$A$2:$A$2918,1)))*100))</f>
        <v/>
      </c>
      <c r="AB965" s="19">
        <f>IF(NOT(ISNUMBER($A965)),NA(),IF(OR($A965&lt;MIN(DKW_10Y!$A$2:$A$2918),$A965&gt;MAX(DKW_10Y!$A$2:$A$2918),Settings!$B$16&lt;MIN(DKW_10Y!$A$2:$A$2918)),NA(),(INDEX(DKW_10Y!$H$2:$H$2918,MATCH($A965,DKW_10Y!$A$2:$A$2918,1))-INDEX(DKW_10Y!$H$2:$H$2918,MATCH(Settings!$B$16,DKW_10Y!$A$2:$A$2918,1)))*100))</f>
        <v/>
      </c>
      <c r="AC965" s="18">
        <f>IF(NOT(ISNUMBER($A965)),NA(),IFERROR(1*INDEX(BBG_Data!$N$2:$N$4000,MATCH($A965,BBG_Data!$M$2:$M$4000,0)),NA()))</f>
        <v/>
      </c>
      <c r="AD965" s="18">
        <f>IF(NOT(ISNUMBER($A965)),NA(),IFERROR(1*INDEX(BBG_Data!$P$2:$P$4000,MATCH($A965,BBG_Data!$O$2:$O$4000,0)),NA()))</f>
        <v/>
      </c>
      <c r="AE965" s="18">
        <f>IF(NOT(ISNUMBER($A965)),NA(),IFERROR(1*INDEX(BBG_Data!$R$2:$R$4000,MATCH($A965,BBG_Data!$Q$2:$Q$4000,0)),NA()))</f>
        <v/>
      </c>
      <c r="AF965" s="20">
        <f>IF(AND(ISNUMBER(B965),ISNUMBER(AC965)),(B965-AC965)*100,NA())</f>
        <v/>
      </c>
      <c r="AG965" s="20">
        <f>IF(AND(ISNUMBER(AE965),ISNUMBER(AD965)),(AE965-AD965)*100,NA())</f>
        <v/>
      </c>
      <c r="AH965" s="19">
        <f>IF(NOT(ISNUMBER($A965)),NA(),IFERROR(INDEX(BBG_Data!$T$2:$T$4000,MATCH($A965,BBG_Data!$S$2:$S$4000,0))*Settings!$B$25,NA()))</f>
        <v/>
      </c>
      <c r="AI965" s="19">
        <f>IF(NOT(ISNUMBER($A965)),NA(),IFERROR(INDEX(BBG_Data!$V$2:$V$4000,MATCH($A965,BBG_Data!$U$2:$U$4000,0))*Settings!$B$25,NA()))</f>
        <v/>
      </c>
      <c r="AJ965" s="19">
        <f>IF(NOT(ISNUMBER($A965)),NA(),IFERROR(1*INDEX(BBG_Data!$X$2:$X$4000,MATCH($A965,BBG_Data!$W$2:$W$4000,0)),NA()))</f>
        <v/>
      </c>
      <c r="AK965" s="19">
        <f>IF(NOT(ISNUMBER($A965)),NA(),IFERROR(1*INDEX(BBG_Data!$Z$2:$Z$4000,MATCH($A965,BBG_Data!$Y$2:$Y$4000,0)),NA()))</f>
        <v/>
      </c>
    </row>
    <row r="966">
      <c r="A966" s="17">
        <f>IF(ISNUMBER(BBG_Data!A966),BBG_Data!A966,"")</f>
        <v/>
      </c>
      <c r="B966" s="18">
        <f>IF(AND(ISNUMBER($A966),ISNUMBER(BBG_Data!B966)),BBG_Data!B966,NA())</f>
        <v/>
      </c>
      <c r="C966" s="18">
        <f>IF(NOT(ISNUMBER($A966)),NA(),IFERROR(1*INDEX(BBG_Data!$D$2:$D$4000,MATCH($A966,BBG_Data!$C$2:$C$4000,0)),NA()))</f>
        <v/>
      </c>
      <c r="D966" s="19">
        <f>IF(NOT(ISNUMBER($A966)),NA(),IFERROR(1*INDEX(BBG_Data!$F$2:$F$4000,MATCH($A966,BBG_Data!$E$2:$E$4000,0)),NA()))</f>
        <v/>
      </c>
      <c r="E966" s="19">
        <f>IF(NOT(ISNUMBER($A966)),NA(),IFERROR(1*INDEX(BBG_Data!$H$2:$H$4000,MATCH($A966,BBG_Data!$G$2:$G$4000,0)),NA()))</f>
        <v/>
      </c>
      <c r="F966" s="20">
        <f>IF(AND(ISNUMBER(B966),ISNUMBER(B965)),IF(B966=B965,"",(B966-B965)*100),"")</f>
        <v/>
      </c>
      <c r="G966" s="20">
        <f>IF(AND(ISNUMBER(C966),ISNUMBER(C965)),IF(C966=C965,"",(C966-C965)*100),"")</f>
        <v/>
      </c>
      <c r="H966" s="20">
        <f>IF(OR(NOT(ISNUMBER($A966)),ROW()-2&lt;Settings!$B$11),NA(),IF(COUNT(OFFSET(F966,1-Settings!$B$11,0,Settings!$B$11,1))&lt;ROUNDUP(Settings!$B$11*Settings!$B$26,0),NA(),STDEV(OFFSET(F966,1-Settings!$B$11,0,Settings!$B$11,1))*SQRT(Settings!$B$13)))</f>
        <v/>
      </c>
      <c r="I966" s="20">
        <f>IF(OR(NOT(ISNUMBER($A966)),ROW()-2&lt;Settings!$B$12),NA(),IF(COUNT(OFFSET(F966,1-Settings!$B$12,0,Settings!$B$12,1))&lt;ROUNDUP(Settings!$B$12*Settings!$B$26,0),NA(),STDEV(OFFSET(F966,1-Settings!$B$12,0,Settings!$B$12,1))*SQRT(Settings!$B$13)))</f>
        <v/>
      </c>
      <c r="J966" s="20">
        <f>IF(OR(NOT(ISNUMBER($A966)),ROW()-2&lt;Settings!$B$11),NA(),IF(COUNT(OFFSET(G966,1-Settings!$B$11,0,Settings!$B$11,1))&lt;ROUNDUP(Settings!$B$11*Settings!$B$26,0),NA(),STDEV(OFFSET(G966,1-Settings!$B$11,0,Settings!$B$11,1))*SQRT(Settings!$B$13)))</f>
        <v/>
      </c>
      <c r="K966" s="20">
        <f>IF(OR(NOT(ISNUMBER($A966)),ROW()-2&lt;Settings!$B$12),NA(),IF(COUNT(OFFSET(G966,1-Settings!$B$12,0,Settings!$B$12,1))&lt;ROUNDUP(Settings!$B$12*Settings!$B$26,0),NA(),STDEV(OFFSET(G966,1-Settings!$B$12,0,Settings!$B$12,1))*SQRT(Settings!$B$13)))</f>
        <v/>
      </c>
      <c r="L966" s="20">
        <f>IF(AND(ISNUMBER(D966),ISNUMBER(H966)),D966-H966,NA())</f>
        <v/>
      </c>
      <c r="M966" s="20">
        <f>IF(AND(ISNUMBER(E966),ISNUMBER(K966)),E966-K966,NA())</f>
        <v/>
      </c>
      <c r="N966" s="20">
        <f>IF(NOT(ISNUMBER($A966)),NA(),IF(COUNT(OFFSET(G966,1,0,Settings!$B$12,1))&lt;ROUNDUP(Settings!$B$12*Settings!$B$26,0),NA(),STDEV(OFFSET(G966,1,0,Settings!$B$12,1))*SQRT(Settings!$B$13)))</f>
        <v/>
      </c>
      <c r="O966" s="20">
        <f>IF(AND(ISNUMBER(E966),ISNUMBER(N966)),E966-N966,NA())</f>
        <v/>
      </c>
      <c r="P966" s="19">
        <f>IF(NOT(ISNUMBER($A966)),NA(),IF(OR($A966&lt;MIN(KW_TP!$A$2:$A$2501),$A966&gt;MAX(KW_TP!$A$2:$A$2501)),NA(),INDEX(KW_TP!$C$2:$C$2501,MATCH($A966,KW_TP!$A$2:$A$2501,1))))</f>
        <v/>
      </c>
      <c r="Q966" s="18">
        <f>IF(NOT(ISNUMBER($A966)),NA(),IFERROR(1*INDEX(BBG_Data!$J$2:$J$4000,MATCH($A966,BBG_Data!$I$2:$I$4000,0)),NA()))</f>
        <v/>
      </c>
      <c r="R966" s="18">
        <f>IF(NOT(ISNUMBER($A966)),NA(),IFERROR(1*INDEX(BBG_Data!$L$2:$L$4000,MATCH($A966,BBG_Data!$K$2:$K$4000,0)),NA()))</f>
        <v/>
      </c>
      <c r="S966" s="20">
        <f>IF(AND(ISNUMBER(B966),ISNUMBER(Q966),ISNUMBER(R966)),(B966-Q966-R966)*100,NA())</f>
        <v/>
      </c>
      <c r="T966" s="20">
        <f>IF(AND(ISNUMBER(B966),Settings!$B$17&gt;0),IF(ISNUMBER(INDEX($B:$B,Settings!$B$17)),(B966-INDEX($B:$B,Settings!$B$17))*100,NA()),NA())</f>
        <v/>
      </c>
      <c r="U966" s="20">
        <f>IF(AND(ISNUMBER(Q966),Settings!$B$17&gt;0),IF(ISNUMBER(INDEX($Q:$Q,Settings!$B$17)),(Q966-INDEX($Q:$Q,Settings!$B$17))*100,NA()),NA())</f>
        <v/>
      </c>
      <c r="V966" s="20">
        <f>IF(AND(ISNUMBER(R966),Settings!$B$17&gt;0),IF(ISNUMBER(INDEX($R:$R,Settings!$B$17)),(R966-INDEX($R:$R,Settings!$B$17))*100,NA()),NA())</f>
        <v/>
      </c>
      <c r="W966" s="20">
        <f>IF(AND(ISNUMBER(P966),Settings!$B$17&gt;0),IF(ISNUMBER(INDEX($P:$P,Settings!$B$17)),P966-INDEX($P:$P,Settings!$B$17),NA()),NA())</f>
        <v/>
      </c>
      <c r="X966" s="19">
        <f>IF(NOT(ISNUMBER($A966)),NA(),IF(OR($A966&lt;MIN(DKW_10Y!$A$2:$A$2918),$A966&gt;MAX(DKW_10Y!$A$2:$A$2918),Settings!$B$16&lt;MIN(DKW_10Y!$A$2:$A$2918)),NA(),(INDEX(DKW_10Y!$B$2:$B$2918,MATCH($A966,DKW_10Y!$A$2:$A$2918,1))-INDEX(DKW_10Y!$B$2:$B$2918,MATCH(Settings!$B$16,DKW_10Y!$A$2:$A$2918,1)))*100))</f>
        <v/>
      </c>
      <c r="Y966" s="19">
        <f>IF(NOT(ISNUMBER($A966)),NA(),IF(OR($A966&lt;MIN(DKW_10Y!$A$2:$A$2918),$A966&gt;MAX(DKW_10Y!$A$2:$A$2918),Settings!$B$16&lt;MIN(DKW_10Y!$A$2:$A$2918)),NA(),(INDEX(DKW_10Y!$C$2:$C$2918,MATCH($A966,DKW_10Y!$A$2:$A$2918,1))-INDEX(DKW_10Y!$C$2:$C$2918,MATCH(Settings!$B$16,DKW_10Y!$A$2:$A$2918,1)))*100))</f>
        <v/>
      </c>
      <c r="Z966" s="19">
        <f>IF(NOT(ISNUMBER($A966)),NA(),IF(OR($A966&lt;MIN(DKW_10Y!$A$2:$A$2918),$A966&gt;MAX(DKW_10Y!$A$2:$A$2918),Settings!$B$16&lt;MIN(DKW_10Y!$A$2:$A$2918)),NA(),(INDEX(DKW_10Y!$D$2:$D$2918,MATCH($A966,DKW_10Y!$A$2:$A$2918,1))-INDEX(DKW_10Y!$D$2:$D$2918,MATCH(Settings!$B$16,DKW_10Y!$A$2:$A$2918,1)))*100))</f>
        <v/>
      </c>
      <c r="AA966" s="19">
        <f>IF(NOT(ISNUMBER($A966)),NA(),IF(OR($A966&lt;MIN(DKW_10Y!$A$2:$A$2918),$A966&gt;MAX(DKW_10Y!$A$2:$A$2918),Settings!$B$16&lt;MIN(DKW_10Y!$A$2:$A$2918)),NA(),(INDEX(DKW_10Y!$E$2:$E$2918,MATCH($A966,DKW_10Y!$A$2:$A$2918,1))-INDEX(DKW_10Y!$E$2:$E$2918,MATCH(Settings!$B$16,DKW_10Y!$A$2:$A$2918,1)))*100))</f>
        <v/>
      </c>
      <c r="AB966" s="19">
        <f>IF(NOT(ISNUMBER($A966)),NA(),IF(OR($A966&lt;MIN(DKW_10Y!$A$2:$A$2918),$A966&gt;MAX(DKW_10Y!$A$2:$A$2918),Settings!$B$16&lt;MIN(DKW_10Y!$A$2:$A$2918)),NA(),(INDEX(DKW_10Y!$H$2:$H$2918,MATCH($A966,DKW_10Y!$A$2:$A$2918,1))-INDEX(DKW_10Y!$H$2:$H$2918,MATCH(Settings!$B$16,DKW_10Y!$A$2:$A$2918,1)))*100))</f>
        <v/>
      </c>
      <c r="AC966" s="18">
        <f>IF(NOT(ISNUMBER($A966)),NA(),IFERROR(1*INDEX(BBG_Data!$N$2:$N$4000,MATCH($A966,BBG_Data!$M$2:$M$4000,0)),NA()))</f>
        <v/>
      </c>
      <c r="AD966" s="18">
        <f>IF(NOT(ISNUMBER($A966)),NA(),IFERROR(1*INDEX(BBG_Data!$P$2:$P$4000,MATCH($A966,BBG_Data!$O$2:$O$4000,0)),NA()))</f>
        <v/>
      </c>
      <c r="AE966" s="18">
        <f>IF(NOT(ISNUMBER($A966)),NA(),IFERROR(1*INDEX(BBG_Data!$R$2:$R$4000,MATCH($A966,BBG_Data!$Q$2:$Q$4000,0)),NA()))</f>
        <v/>
      </c>
      <c r="AF966" s="20">
        <f>IF(AND(ISNUMBER(B966),ISNUMBER(AC966)),(B966-AC966)*100,NA())</f>
        <v/>
      </c>
      <c r="AG966" s="20">
        <f>IF(AND(ISNUMBER(AE966),ISNUMBER(AD966)),(AE966-AD966)*100,NA())</f>
        <v/>
      </c>
      <c r="AH966" s="19">
        <f>IF(NOT(ISNUMBER($A966)),NA(),IFERROR(INDEX(BBG_Data!$T$2:$T$4000,MATCH($A966,BBG_Data!$S$2:$S$4000,0))*Settings!$B$25,NA()))</f>
        <v/>
      </c>
      <c r="AI966" s="19">
        <f>IF(NOT(ISNUMBER($A966)),NA(),IFERROR(INDEX(BBG_Data!$V$2:$V$4000,MATCH($A966,BBG_Data!$U$2:$U$4000,0))*Settings!$B$25,NA()))</f>
        <v/>
      </c>
      <c r="AJ966" s="19">
        <f>IF(NOT(ISNUMBER($A966)),NA(),IFERROR(1*INDEX(BBG_Data!$X$2:$X$4000,MATCH($A966,BBG_Data!$W$2:$W$4000,0)),NA()))</f>
        <v/>
      </c>
      <c r="AK966" s="19">
        <f>IF(NOT(ISNUMBER($A966)),NA(),IFERROR(1*INDEX(BBG_Data!$Z$2:$Z$4000,MATCH($A966,BBG_Data!$Y$2:$Y$4000,0)),NA()))</f>
        <v/>
      </c>
    </row>
    <row r="967">
      <c r="A967" s="17">
        <f>IF(ISNUMBER(BBG_Data!A967),BBG_Data!A967,"")</f>
        <v/>
      </c>
      <c r="B967" s="18">
        <f>IF(AND(ISNUMBER($A967),ISNUMBER(BBG_Data!B967)),BBG_Data!B967,NA())</f>
        <v/>
      </c>
      <c r="C967" s="18">
        <f>IF(NOT(ISNUMBER($A967)),NA(),IFERROR(1*INDEX(BBG_Data!$D$2:$D$4000,MATCH($A967,BBG_Data!$C$2:$C$4000,0)),NA()))</f>
        <v/>
      </c>
      <c r="D967" s="19">
        <f>IF(NOT(ISNUMBER($A967)),NA(),IFERROR(1*INDEX(BBG_Data!$F$2:$F$4000,MATCH($A967,BBG_Data!$E$2:$E$4000,0)),NA()))</f>
        <v/>
      </c>
      <c r="E967" s="19">
        <f>IF(NOT(ISNUMBER($A967)),NA(),IFERROR(1*INDEX(BBG_Data!$H$2:$H$4000,MATCH($A967,BBG_Data!$G$2:$G$4000,0)),NA()))</f>
        <v/>
      </c>
      <c r="F967" s="20">
        <f>IF(AND(ISNUMBER(B967),ISNUMBER(B966)),IF(B967=B966,"",(B967-B966)*100),"")</f>
        <v/>
      </c>
      <c r="G967" s="20">
        <f>IF(AND(ISNUMBER(C967),ISNUMBER(C966)),IF(C967=C966,"",(C967-C966)*100),"")</f>
        <v/>
      </c>
      <c r="H967" s="20">
        <f>IF(OR(NOT(ISNUMBER($A967)),ROW()-2&lt;Settings!$B$11),NA(),IF(COUNT(OFFSET(F967,1-Settings!$B$11,0,Settings!$B$11,1))&lt;ROUNDUP(Settings!$B$11*Settings!$B$26,0),NA(),STDEV(OFFSET(F967,1-Settings!$B$11,0,Settings!$B$11,1))*SQRT(Settings!$B$13)))</f>
        <v/>
      </c>
      <c r="I967" s="20">
        <f>IF(OR(NOT(ISNUMBER($A967)),ROW()-2&lt;Settings!$B$12),NA(),IF(COUNT(OFFSET(F967,1-Settings!$B$12,0,Settings!$B$12,1))&lt;ROUNDUP(Settings!$B$12*Settings!$B$26,0),NA(),STDEV(OFFSET(F967,1-Settings!$B$12,0,Settings!$B$12,1))*SQRT(Settings!$B$13)))</f>
        <v/>
      </c>
      <c r="J967" s="20">
        <f>IF(OR(NOT(ISNUMBER($A967)),ROW()-2&lt;Settings!$B$11),NA(),IF(COUNT(OFFSET(G967,1-Settings!$B$11,0,Settings!$B$11,1))&lt;ROUNDUP(Settings!$B$11*Settings!$B$26,0),NA(),STDEV(OFFSET(G967,1-Settings!$B$11,0,Settings!$B$11,1))*SQRT(Settings!$B$13)))</f>
        <v/>
      </c>
      <c r="K967" s="20">
        <f>IF(OR(NOT(ISNUMBER($A967)),ROW()-2&lt;Settings!$B$12),NA(),IF(COUNT(OFFSET(G967,1-Settings!$B$12,0,Settings!$B$12,1))&lt;ROUNDUP(Settings!$B$12*Settings!$B$26,0),NA(),STDEV(OFFSET(G967,1-Settings!$B$12,0,Settings!$B$12,1))*SQRT(Settings!$B$13)))</f>
        <v/>
      </c>
      <c r="L967" s="20">
        <f>IF(AND(ISNUMBER(D967),ISNUMBER(H967)),D967-H967,NA())</f>
        <v/>
      </c>
      <c r="M967" s="20">
        <f>IF(AND(ISNUMBER(E967),ISNUMBER(K967)),E967-K967,NA())</f>
        <v/>
      </c>
      <c r="N967" s="20">
        <f>IF(NOT(ISNUMBER($A967)),NA(),IF(COUNT(OFFSET(G967,1,0,Settings!$B$12,1))&lt;ROUNDUP(Settings!$B$12*Settings!$B$26,0),NA(),STDEV(OFFSET(G967,1,0,Settings!$B$12,1))*SQRT(Settings!$B$13)))</f>
        <v/>
      </c>
      <c r="O967" s="20">
        <f>IF(AND(ISNUMBER(E967),ISNUMBER(N967)),E967-N967,NA())</f>
        <v/>
      </c>
      <c r="P967" s="19">
        <f>IF(NOT(ISNUMBER($A967)),NA(),IF(OR($A967&lt;MIN(KW_TP!$A$2:$A$2501),$A967&gt;MAX(KW_TP!$A$2:$A$2501)),NA(),INDEX(KW_TP!$C$2:$C$2501,MATCH($A967,KW_TP!$A$2:$A$2501,1))))</f>
        <v/>
      </c>
      <c r="Q967" s="18">
        <f>IF(NOT(ISNUMBER($A967)),NA(),IFERROR(1*INDEX(BBG_Data!$J$2:$J$4000,MATCH($A967,BBG_Data!$I$2:$I$4000,0)),NA()))</f>
        <v/>
      </c>
      <c r="R967" s="18">
        <f>IF(NOT(ISNUMBER($A967)),NA(),IFERROR(1*INDEX(BBG_Data!$L$2:$L$4000,MATCH($A967,BBG_Data!$K$2:$K$4000,0)),NA()))</f>
        <v/>
      </c>
      <c r="S967" s="20">
        <f>IF(AND(ISNUMBER(B967),ISNUMBER(Q967),ISNUMBER(R967)),(B967-Q967-R967)*100,NA())</f>
        <v/>
      </c>
      <c r="T967" s="20">
        <f>IF(AND(ISNUMBER(B967),Settings!$B$17&gt;0),IF(ISNUMBER(INDEX($B:$B,Settings!$B$17)),(B967-INDEX($B:$B,Settings!$B$17))*100,NA()),NA())</f>
        <v/>
      </c>
      <c r="U967" s="20">
        <f>IF(AND(ISNUMBER(Q967),Settings!$B$17&gt;0),IF(ISNUMBER(INDEX($Q:$Q,Settings!$B$17)),(Q967-INDEX($Q:$Q,Settings!$B$17))*100,NA()),NA())</f>
        <v/>
      </c>
      <c r="V967" s="20">
        <f>IF(AND(ISNUMBER(R967),Settings!$B$17&gt;0),IF(ISNUMBER(INDEX($R:$R,Settings!$B$17)),(R967-INDEX($R:$R,Settings!$B$17))*100,NA()),NA())</f>
        <v/>
      </c>
      <c r="W967" s="20">
        <f>IF(AND(ISNUMBER(P967),Settings!$B$17&gt;0),IF(ISNUMBER(INDEX($P:$P,Settings!$B$17)),P967-INDEX($P:$P,Settings!$B$17),NA()),NA())</f>
        <v/>
      </c>
      <c r="X967" s="19">
        <f>IF(NOT(ISNUMBER($A967)),NA(),IF(OR($A967&lt;MIN(DKW_10Y!$A$2:$A$2918),$A967&gt;MAX(DKW_10Y!$A$2:$A$2918),Settings!$B$16&lt;MIN(DKW_10Y!$A$2:$A$2918)),NA(),(INDEX(DKW_10Y!$B$2:$B$2918,MATCH($A967,DKW_10Y!$A$2:$A$2918,1))-INDEX(DKW_10Y!$B$2:$B$2918,MATCH(Settings!$B$16,DKW_10Y!$A$2:$A$2918,1)))*100))</f>
        <v/>
      </c>
      <c r="Y967" s="19">
        <f>IF(NOT(ISNUMBER($A967)),NA(),IF(OR($A967&lt;MIN(DKW_10Y!$A$2:$A$2918),$A967&gt;MAX(DKW_10Y!$A$2:$A$2918),Settings!$B$16&lt;MIN(DKW_10Y!$A$2:$A$2918)),NA(),(INDEX(DKW_10Y!$C$2:$C$2918,MATCH($A967,DKW_10Y!$A$2:$A$2918,1))-INDEX(DKW_10Y!$C$2:$C$2918,MATCH(Settings!$B$16,DKW_10Y!$A$2:$A$2918,1)))*100))</f>
        <v/>
      </c>
      <c r="Z967" s="19">
        <f>IF(NOT(ISNUMBER($A967)),NA(),IF(OR($A967&lt;MIN(DKW_10Y!$A$2:$A$2918),$A967&gt;MAX(DKW_10Y!$A$2:$A$2918),Settings!$B$16&lt;MIN(DKW_10Y!$A$2:$A$2918)),NA(),(INDEX(DKW_10Y!$D$2:$D$2918,MATCH($A967,DKW_10Y!$A$2:$A$2918,1))-INDEX(DKW_10Y!$D$2:$D$2918,MATCH(Settings!$B$16,DKW_10Y!$A$2:$A$2918,1)))*100))</f>
        <v/>
      </c>
      <c r="AA967" s="19">
        <f>IF(NOT(ISNUMBER($A967)),NA(),IF(OR($A967&lt;MIN(DKW_10Y!$A$2:$A$2918),$A967&gt;MAX(DKW_10Y!$A$2:$A$2918),Settings!$B$16&lt;MIN(DKW_10Y!$A$2:$A$2918)),NA(),(INDEX(DKW_10Y!$E$2:$E$2918,MATCH($A967,DKW_10Y!$A$2:$A$2918,1))-INDEX(DKW_10Y!$E$2:$E$2918,MATCH(Settings!$B$16,DKW_10Y!$A$2:$A$2918,1)))*100))</f>
        <v/>
      </c>
      <c r="AB967" s="19">
        <f>IF(NOT(ISNUMBER($A967)),NA(),IF(OR($A967&lt;MIN(DKW_10Y!$A$2:$A$2918),$A967&gt;MAX(DKW_10Y!$A$2:$A$2918),Settings!$B$16&lt;MIN(DKW_10Y!$A$2:$A$2918)),NA(),(INDEX(DKW_10Y!$H$2:$H$2918,MATCH($A967,DKW_10Y!$A$2:$A$2918,1))-INDEX(DKW_10Y!$H$2:$H$2918,MATCH(Settings!$B$16,DKW_10Y!$A$2:$A$2918,1)))*100))</f>
        <v/>
      </c>
      <c r="AC967" s="18">
        <f>IF(NOT(ISNUMBER($A967)),NA(),IFERROR(1*INDEX(BBG_Data!$N$2:$N$4000,MATCH($A967,BBG_Data!$M$2:$M$4000,0)),NA()))</f>
        <v/>
      </c>
      <c r="AD967" s="18">
        <f>IF(NOT(ISNUMBER($A967)),NA(),IFERROR(1*INDEX(BBG_Data!$P$2:$P$4000,MATCH($A967,BBG_Data!$O$2:$O$4000,0)),NA()))</f>
        <v/>
      </c>
      <c r="AE967" s="18">
        <f>IF(NOT(ISNUMBER($A967)),NA(),IFERROR(1*INDEX(BBG_Data!$R$2:$R$4000,MATCH($A967,BBG_Data!$Q$2:$Q$4000,0)),NA()))</f>
        <v/>
      </c>
      <c r="AF967" s="20">
        <f>IF(AND(ISNUMBER(B967),ISNUMBER(AC967)),(B967-AC967)*100,NA())</f>
        <v/>
      </c>
      <c r="AG967" s="20">
        <f>IF(AND(ISNUMBER(AE967),ISNUMBER(AD967)),(AE967-AD967)*100,NA())</f>
        <v/>
      </c>
      <c r="AH967" s="19">
        <f>IF(NOT(ISNUMBER($A967)),NA(),IFERROR(INDEX(BBG_Data!$T$2:$T$4000,MATCH($A967,BBG_Data!$S$2:$S$4000,0))*Settings!$B$25,NA()))</f>
        <v/>
      </c>
      <c r="AI967" s="19">
        <f>IF(NOT(ISNUMBER($A967)),NA(),IFERROR(INDEX(BBG_Data!$V$2:$V$4000,MATCH($A967,BBG_Data!$U$2:$U$4000,0))*Settings!$B$25,NA()))</f>
        <v/>
      </c>
      <c r="AJ967" s="19">
        <f>IF(NOT(ISNUMBER($A967)),NA(),IFERROR(1*INDEX(BBG_Data!$X$2:$X$4000,MATCH($A967,BBG_Data!$W$2:$W$4000,0)),NA()))</f>
        <v/>
      </c>
      <c r="AK967" s="19">
        <f>IF(NOT(ISNUMBER($A967)),NA(),IFERROR(1*INDEX(BBG_Data!$Z$2:$Z$4000,MATCH($A967,BBG_Data!$Y$2:$Y$4000,0)),NA()))</f>
        <v/>
      </c>
    </row>
    <row r="968">
      <c r="A968" s="17">
        <f>IF(ISNUMBER(BBG_Data!A968),BBG_Data!A968,"")</f>
        <v/>
      </c>
      <c r="B968" s="18">
        <f>IF(AND(ISNUMBER($A968),ISNUMBER(BBG_Data!B968)),BBG_Data!B968,NA())</f>
        <v/>
      </c>
      <c r="C968" s="18">
        <f>IF(NOT(ISNUMBER($A968)),NA(),IFERROR(1*INDEX(BBG_Data!$D$2:$D$4000,MATCH($A968,BBG_Data!$C$2:$C$4000,0)),NA()))</f>
        <v/>
      </c>
      <c r="D968" s="19">
        <f>IF(NOT(ISNUMBER($A968)),NA(),IFERROR(1*INDEX(BBG_Data!$F$2:$F$4000,MATCH($A968,BBG_Data!$E$2:$E$4000,0)),NA()))</f>
        <v/>
      </c>
      <c r="E968" s="19">
        <f>IF(NOT(ISNUMBER($A968)),NA(),IFERROR(1*INDEX(BBG_Data!$H$2:$H$4000,MATCH($A968,BBG_Data!$G$2:$G$4000,0)),NA()))</f>
        <v/>
      </c>
      <c r="F968" s="20">
        <f>IF(AND(ISNUMBER(B968),ISNUMBER(B967)),IF(B968=B967,"",(B968-B967)*100),"")</f>
        <v/>
      </c>
      <c r="G968" s="20">
        <f>IF(AND(ISNUMBER(C968),ISNUMBER(C967)),IF(C968=C967,"",(C968-C967)*100),"")</f>
        <v/>
      </c>
      <c r="H968" s="20">
        <f>IF(OR(NOT(ISNUMBER($A968)),ROW()-2&lt;Settings!$B$11),NA(),IF(COUNT(OFFSET(F968,1-Settings!$B$11,0,Settings!$B$11,1))&lt;ROUNDUP(Settings!$B$11*Settings!$B$26,0),NA(),STDEV(OFFSET(F968,1-Settings!$B$11,0,Settings!$B$11,1))*SQRT(Settings!$B$13)))</f>
        <v/>
      </c>
      <c r="I968" s="20">
        <f>IF(OR(NOT(ISNUMBER($A968)),ROW()-2&lt;Settings!$B$12),NA(),IF(COUNT(OFFSET(F968,1-Settings!$B$12,0,Settings!$B$12,1))&lt;ROUNDUP(Settings!$B$12*Settings!$B$26,0),NA(),STDEV(OFFSET(F968,1-Settings!$B$12,0,Settings!$B$12,1))*SQRT(Settings!$B$13)))</f>
        <v/>
      </c>
      <c r="J968" s="20">
        <f>IF(OR(NOT(ISNUMBER($A968)),ROW()-2&lt;Settings!$B$11),NA(),IF(COUNT(OFFSET(G968,1-Settings!$B$11,0,Settings!$B$11,1))&lt;ROUNDUP(Settings!$B$11*Settings!$B$26,0),NA(),STDEV(OFFSET(G968,1-Settings!$B$11,0,Settings!$B$11,1))*SQRT(Settings!$B$13)))</f>
        <v/>
      </c>
      <c r="K968" s="20">
        <f>IF(OR(NOT(ISNUMBER($A968)),ROW()-2&lt;Settings!$B$12),NA(),IF(COUNT(OFFSET(G968,1-Settings!$B$12,0,Settings!$B$12,1))&lt;ROUNDUP(Settings!$B$12*Settings!$B$26,0),NA(),STDEV(OFFSET(G968,1-Settings!$B$12,0,Settings!$B$12,1))*SQRT(Settings!$B$13)))</f>
        <v/>
      </c>
      <c r="L968" s="20">
        <f>IF(AND(ISNUMBER(D968),ISNUMBER(H968)),D968-H968,NA())</f>
        <v/>
      </c>
      <c r="M968" s="20">
        <f>IF(AND(ISNUMBER(E968),ISNUMBER(K968)),E968-K968,NA())</f>
        <v/>
      </c>
      <c r="N968" s="20">
        <f>IF(NOT(ISNUMBER($A968)),NA(),IF(COUNT(OFFSET(G968,1,0,Settings!$B$12,1))&lt;ROUNDUP(Settings!$B$12*Settings!$B$26,0),NA(),STDEV(OFFSET(G968,1,0,Settings!$B$12,1))*SQRT(Settings!$B$13)))</f>
        <v/>
      </c>
      <c r="O968" s="20">
        <f>IF(AND(ISNUMBER(E968),ISNUMBER(N968)),E968-N968,NA())</f>
        <v/>
      </c>
      <c r="P968" s="19">
        <f>IF(NOT(ISNUMBER($A968)),NA(),IF(OR($A968&lt;MIN(KW_TP!$A$2:$A$2501),$A968&gt;MAX(KW_TP!$A$2:$A$2501)),NA(),INDEX(KW_TP!$C$2:$C$2501,MATCH($A968,KW_TP!$A$2:$A$2501,1))))</f>
        <v/>
      </c>
      <c r="Q968" s="18">
        <f>IF(NOT(ISNUMBER($A968)),NA(),IFERROR(1*INDEX(BBG_Data!$J$2:$J$4000,MATCH($A968,BBG_Data!$I$2:$I$4000,0)),NA()))</f>
        <v/>
      </c>
      <c r="R968" s="18">
        <f>IF(NOT(ISNUMBER($A968)),NA(),IFERROR(1*INDEX(BBG_Data!$L$2:$L$4000,MATCH($A968,BBG_Data!$K$2:$K$4000,0)),NA()))</f>
        <v/>
      </c>
      <c r="S968" s="20">
        <f>IF(AND(ISNUMBER(B968),ISNUMBER(Q968),ISNUMBER(R968)),(B968-Q968-R968)*100,NA())</f>
        <v/>
      </c>
      <c r="T968" s="20">
        <f>IF(AND(ISNUMBER(B968),Settings!$B$17&gt;0),IF(ISNUMBER(INDEX($B:$B,Settings!$B$17)),(B968-INDEX($B:$B,Settings!$B$17))*100,NA()),NA())</f>
        <v/>
      </c>
      <c r="U968" s="20">
        <f>IF(AND(ISNUMBER(Q968),Settings!$B$17&gt;0),IF(ISNUMBER(INDEX($Q:$Q,Settings!$B$17)),(Q968-INDEX($Q:$Q,Settings!$B$17))*100,NA()),NA())</f>
        <v/>
      </c>
      <c r="V968" s="20">
        <f>IF(AND(ISNUMBER(R968),Settings!$B$17&gt;0),IF(ISNUMBER(INDEX($R:$R,Settings!$B$17)),(R968-INDEX($R:$R,Settings!$B$17))*100,NA()),NA())</f>
        <v/>
      </c>
      <c r="W968" s="20">
        <f>IF(AND(ISNUMBER(P968),Settings!$B$17&gt;0),IF(ISNUMBER(INDEX($P:$P,Settings!$B$17)),P968-INDEX($P:$P,Settings!$B$17),NA()),NA())</f>
        <v/>
      </c>
      <c r="X968" s="19">
        <f>IF(NOT(ISNUMBER($A968)),NA(),IF(OR($A968&lt;MIN(DKW_10Y!$A$2:$A$2918),$A968&gt;MAX(DKW_10Y!$A$2:$A$2918),Settings!$B$16&lt;MIN(DKW_10Y!$A$2:$A$2918)),NA(),(INDEX(DKW_10Y!$B$2:$B$2918,MATCH($A968,DKW_10Y!$A$2:$A$2918,1))-INDEX(DKW_10Y!$B$2:$B$2918,MATCH(Settings!$B$16,DKW_10Y!$A$2:$A$2918,1)))*100))</f>
        <v/>
      </c>
      <c r="Y968" s="19">
        <f>IF(NOT(ISNUMBER($A968)),NA(),IF(OR($A968&lt;MIN(DKW_10Y!$A$2:$A$2918),$A968&gt;MAX(DKW_10Y!$A$2:$A$2918),Settings!$B$16&lt;MIN(DKW_10Y!$A$2:$A$2918)),NA(),(INDEX(DKW_10Y!$C$2:$C$2918,MATCH($A968,DKW_10Y!$A$2:$A$2918,1))-INDEX(DKW_10Y!$C$2:$C$2918,MATCH(Settings!$B$16,DKW_10Y!$A$2:$A$2918,1)))*100))</f>
        <v/>
      </c>
      <c r="Z968" s="19">
        <f>IF(NOT(ISNUMBER($A968)),NA(),IF(OR($A968&lt;MIN(DKW_10Y!$A$2:$A$2918),$A968&gt;MAX(DKW_10Y!$A$2:$A$2918),Settings!$B$16&lt;MIN(DKW_10Y!$A$2:$A$2918)),NA(),(INDEX(DKW_10Y!$D$2:$D$2918,MATCH($A968,DKW_10Y!$A$2:$A$2918,1))-INDEX(DKW_10Y!$D$2:$D$2918,MATCH(Settings!$B$16,DKW_10Y!$A$2:$A$2918,1)))*100))</f>
        <v/>
      </c>
      <c r="AA968" s="19">
        <f>IF(NOT(ISNUMBER($A968)),NA(),IF(OR($A968&lt;MIN(DKW_10Y!$A$2:$A$2918),$A968&gt;MAX(DKW_10Y!$A$2:$A$2918),Settings!$B$16&lt;MIN(DKW_10Y!$A$2:$A$2918)),NA(),(INDEX(DKW_10Y!$E$2:$E$2918,MATCH($A968,DKW_10Y!$A$2:$A$2918,1))-INDEX(DKW_10Y!$E$2:$E$2918,MATCH(Settings!$B$16,DKW_10Y!$A$2:$A$2918,1)))*100))</f>
        <v/>
      </c>
      <c r="AB968" s="19">
        <f>IF(NOT(ISNUMBER($A968)),NA(),IF(OR($A968&lt;MIN(DKW_10Y!$A$2:$A$2918),$A968&gt;MAX(DKW_10Y!$A$2:$A$2918),Settings!$B$16&lt;MIN(DKW_10Y!$A$2:$A$2918)),NA(),(INDEX(DKW_10Y!$H$2:$H$2918,MATCH($A968,DKW_10Y!$A$2:$A$2918,1))-INDEX(DKW_10Y!$H$2:$H$2918,MATCH(Settings!$B$16,DKW_10Y!$A$2:$A$2918,1)))*100))</f>
        <v/>
      </c>
      <c r="AC968" s="18">
        <f>IF(NOT(ISNUMBER($A968)),NA(),IFERROR(1*INDEX(BBG_Data!$N$2:$N$4000,MATCH($A968,BBG_Data!$M$2:$M$4000,0)),NA()))</f>
        <v/>
      </c>
      <c r="AD968" s="18">
        <f>IF(NOT(ISNUMBER($A968)),NA(),IFERROR(1*INDEX(BBG_Data!$P$2:$P$4000,MATCH($A968,BBG_Data!$O$2:$O$4000,0)),NA()))</f>
        <v/>
      </c>
      <c r="AE968" s="18">
        <f>IF(NOT(ISNUMBER($A968)),NA(),IFERROR(1*INDEX(BBG_Data!$R$2:$R$4000,MATCH($A968,BBG_Data!$Q$2:$Q$4000,0)),NA()))</f>
        <v/>
      </c>
      <c r="AF968" s="20">
        <f>IF(AND(ISNUMBER(B968),ISNUMBER(AC968)),(B968-AC968)*100,NA())</f>
        <v/>
      </c>
      <c r="AG968" s="20">
        <f>IF(AND(ISNUMBER(AE968),ISNUMBER(AD968)),(AE968-AD968)*100,NA())</f>
        <v/>
      </c>
      <c r="AH968" s="19">
        <f>IF(NOT(ISNUMBER($A968)),NA(),IFERROR(INDEX(BBG_Data!$T$2:$T$4000,MATCH($A968,BBG_Data!$S$2:$S$4000,0))*Settings!$B$25,NA()))</f>
        <v/>
      </c>
      <c r="AI968" s="19">
        <f>IF(NOT(ISNUMBER($A968)),NA(),IFERROR(INDEX(BBG_Data!$V$2:$V$4000,MATCH($A968,BBG_Data!$U$2:$U$4000,0))*Settings!$B$25,NA()))</f>
        <v/>
      </c>
      <c r="AJ968" s="19">
        <f>IF(NOT(ISNUMBER($A968)),NA(),IFERROR(1*INDEX(BBG_Data!$X$2:$X$4000,MATCH($A968,BBG_Data!$W$2:$W$4000,0)),NA()))</f>
        <v/>
      </c>
      <c r="AK968" s="19">
        <f>IF(NOT(ISNUMBER($A968)),NA(),IFERROR(1*INDEX(BBG_Data!$Z$2:$Z$4000,MATCH($A968,BBG_Data!$Y$2:$Y$4000,0)),NA()))</f>
        <v/>
      </c>
    </row>
    <row r="969">
      <c r="A969" s="17">
        <f>IF(ISNUMBER(BBG_Data!A969),BBG_Data!A969,"")</f>
        <v/>
      </c>
      <c r="B969" s="18">
        <f>IF(AND(ISNUMBER($A969),ISNUMBER(BBG_Data!B969)),BBG_Data!B969,NA())</f>
        <v/>
      </c>
      <c r="C969" s="18">
        <f>IF(NOT(ISNUMBER($A969)),NA(),IFERROR(1*INDEX(BBG_Data!$D$2:$D$4000,MATCH($A969,BBG_Data!$C$2:$C$4000,0)),NA()))</f>
        <v/>
      </c>
      <c r="D969" s="19">
        <f>IF(NOT(ISNUMBER($A969)),NA(),IFERROR(1*INDEX(BBG_Data!$F$2:$F$4000,MATCH($A969,BBG_Data!$E$2:$E$4000,0)),NA()))</f>
        <v/>
      </c>
      <c r="E969" s="19">
        <f>IF(NOT(ISNUMBER($A969)),NA(),IFERROR(1*INDEX(BBG_Data!$H$2:$H$4000,MATCH($A969,BBG_Data!$G$2:$G$4000,0)),NA()))</f>
        <v/>
      </c>
      <c r="F969" s="20">
        <f>IF(AND(ISNUMBER(B969),ISNUMBER(B968)),IF(B969=B968,"",(B969-B968)*100),"")</f>
        <v/>
      </c>
      <c r="G969" s="20">
        <f>IF(AND(ISNUMBER(C969),ISNUMBER(C968)),IF(C969=C968,"",(C969-C968)*100),"")</f>
        <v/>
      </c>
      <c r="H969" s="20">
        <f>IF(OR(NOT(ISNUMBER($A969)),ROW()-2&lt;Settings!$B$11),NA(),IF(COUNT(OFFSET(F969,1-Settings!$B$11,0,Settings!$B$11,1))&lt;ROUNDUP(Settings!$B$11*Settings!$B$26,0),NA(),STDEV(OFFSET(F969,1-Settings!$B$11,0,Settings!$B$11,1))*SQRT(Settings!$B$13)))</f>
        <v/>
      </c>
      <c r="I969" s="20">
        <f>IF(OR(NOT(ISNUMBER($A969)),ROW()-2&lt;Settings!$B$12),NA(),IF(COUNT(OFFSET(F969,1-Settings!$B$12,0,Settings!$B$12,1))&lt;ROUNDUP(Settings!$B$12*Settings!$B$26,0),NA(),STDEV(OFFSET(F969,1-Settings!$B$12,0,Settings!$B$12,1))*SQRT(Settings!$B$13)))</f>
        <v/>
      </c>
      <c r="J969" s="20">
        <f>IF(OR(NOT(ISNUMBER($A969)),ROW()-2&lt;Settings!$B$11),NA(),IF(COUNT(OFFSET(G969,1-Settings!$B$11,0,Settings!$B$11,1))&lt;ROUNDUP(Settings!$B$11*Settings!$B$26,0),NA(),STDEV(OFFSET(G969,1-Settings!$B$11,0,Settings!$B$11,1))*SQRT(Settings!$B$13)))</f>
        <v/>
      </c>
      <c r="K969" s="20">
        <f>IF(OR(NOT(ISNUMBER($A969)),ROW()-2&lt;Settings!$B$12),NA(),IF(COUNT(OFFSET(G969,1-Settings!$B$12,0,Settings!$B$12,1))&lt;ROUNDUP(Settings!$B$12*Settings!$B$26,0),NA(),STDEV(OFFSET(G969,1-Settings!$B$12,0,Settings!$B$12,1))*SQRT(Settings!$B$13)))</f>
        <v/>
      </c>
      <c r="L969" s="20">
        <f>IF(AND(ISNUMBER(D969),ISNUMBER(H969)),D969-H969,NA())</f>
        <v/>
      </c>
      <c r="M969" s="20">
        <f>IF(AND(ISNUMBER(E969),ISNUMBER(K969)),E969-K969,NA())</f>
        <v/>
      </c>
      <c r="N969" s="20">
        <f>IF(NOT(ISNUMBER($A969)),NA(),IF(COUNT(OFFSET(G969,1,0,Settings!$B$12,1))&lt;ROUNDUP(Settings!$B$12*Settings!$B$26,0),NA(),STDEV(OFFSET(G969,1,0,Settings!$B$12,1))*SQRT(Settings!$B$13)))</f>
        <v/>
      </c>
      <c r="O969" s="20">
        <f>IF(AND(ISNUMBER(E969),ISNUMBER(N969)),E969-N969,NA())</f>
        <v/>
      </c>
      <c r="P969" s="19">
        <f>IF(NOT(ISNUMBER($A969)),NA(),IF(OR($A969&lt;MIN(KW_TP!$A$2:$A$2501),$A969&gt;MAX(KW_TP!$A$2:$A$2501)),NA(),INDEX(KW_TP!$C$2:$C$2501,MATCH($A969,KW_TP!$A$2:$A$2501,1))))</f>
        <v/>
      </c>
      <c r="Q969" s="18">
        <f>IF(NOT(ISNUMBER($A969)),NA(),IFERROR(1*INDEX(BBG_Data!$J$2:$J$4000,MATCH($A969,BBG_Data!$I$2:$I$4000,0)),NA()))</f>
        <v/>
      </c>
      <c r="R969" s="18">
        <f>IF(NOT(ISNUMBER($A969)),NA(),IFERROR(1*INDEX(BBG_Data!$L$2:$L$4000,MATCH($A969,BBG_Data!$K$2:$K$4000,0)),NA()))</f>
        <v/>
      </c>
      <c r="S969" s="20">
        <f>IF(AND(ISNUMBER(B969),ISNUMBER(Q969),ISNUMBER(R969)),(B969-Q969-R969)*100,NA())</f>
        <v/>
      </c>
      <c r="T969" s="20">
        <f>IF(AND(ISNUMBER(B969),Settings!$B$17&gt;0),IF(ISNUMBER(INDEX($B:$B,Settings!$B$17)),(B969-INDEX($B:$B,Settings!$B$17))*100,NA()),NA())</f>
        <v/>
      </c>
      <c r="U969" s="20">
        <f>IF(AND(ISNUMBER(Q969),Settings!$B$17&gt;0),IF(ISNUMBER(INDEX($Q:$Q,Settings!$B$17)),(Q969-INDEX($Q:$Q,Settings!$B$17))*100,NA()),NA())</f>
        <v/>
      </c>
      <c r="V969" s="20">
        <f>IF(AND(ISNUMBER(R969),Settings!$B$17&gt;0),IF(ISNUMBER(INDEX($R:$R,Settings!$B$17)),(R969-INDEX($R:$R,Settings!$B$17))*100,NA()),NA())</f>
        <v/>
      </c>
      <c r="W969" s="20">
        <f>IF(AND(ISNUMBER(P969),Settings!$B$17&gt;0),IF(ISNUMBER(INDEX($P:$P,Settings!$B$17)),P969-INDEX($P:$P,Settings!$B$17),NA()),NA())</f>
        <v/>
      </c>
      <c r="X969" s="19">
        <f>IF(NOT(ISNUMBER($A969)),NA(),IF(OR($A969&lt;MIN(DKW_10Y!$A$2:$A$2918),$A969&gt;MAX(DKW_10Y!$A$2:$A$2918),Settings!$B$16&lt;MIN(DKW_10Y!$A$2:$A$2918)),NA(),(INDEX(DKW_10Y!$B$2:$B$2918,MATCH($A969,DKW_10Y!$A$2:$A$2918,1))-INDEX(DKW_10Y!$B$2:$B$2918,MATCH(Settings!$B$16,DKW_10Y!$A$2:$A$2918,1)))*100))</f>
        <v/>
      </c>
      <c r="Y969" s="19">
        <f>IF(NOT(ISNUMBER($A969)),NA(),IF(OR($A969&lt;MIN(DKW_10Y!$A$2:$A$2918),$A969&gt;MAX(DKW_10Y!$A$2:$A$2918),Settings!$B$16&lt;MIN(DKW_10Y!$A$2:$A$2918)),NA(),(INDEX(DKW_10Y!$C$2:$C$2918,MATCH($A969,DKW_10Y!$A$2:$A$2918,1))-INDEX(DKW_10Y!$C$2:$C$2918,MATCH(Settings!$B$16,DKW_10Y!$A$2:$A$2918,1)))*100))</f>
        <v/>
      </c>
      <c r="Z969" s="19">
        <f>IF(NOT(ISNUMBER($A969)),NA(),IF(OR($A969&lt;MIN(DKW_10Y!$A$2:$A$2918),$A969&gt;MAX(DKW_10Y!$A$2:$A$2918),Settings!$B$16&lt;MIN(DKW_10Y!$A$2:$A$2918)),NA(),(INDEX(DKW_10Y!$D$2:$D$2918,MATCH($A969,DKW_10Y!$A$2:$A$2918,1))-INDEX(DKW_10Y!$D$2:$D$2918,MATCH(Settings!$B$16,DKW_10Y!$A$2:$A$2918,1)))*100))</f>
        <v/>
      </c>
      <c r="AA969" s="19">
        <f>IF(NOT(ISNUMBER($A969)),NA(),IF(OR($A969&lt;MIN(DKW_10Y!$A$2:$A$2918),$A969&gt;MAX(DKW_10Y!$A$2:$A$2918),Settings!$B$16&lt;MIN(DKW_10Y!$A$2:$A$2918)),NA(),(INDEX(DKW_10Y!$E$2:$E$2918,MATCH($A969,DKW_10Y!$A$2:$A$2918,1))-INDEX(DKW_10Y!$E$2:$E$2918,MATCH(Settings!$B$16,DKW_10Y!$A$2:$A$2918,1)))*100))</f>
        <v/>
      </c>
      <c r="AB969" s="19">
        <f>IF(NOT(ISNUMBER($A969)),NA(),IF(OR($A969&lt;MIN(DKW_10Y!$A$2:$A$2918),$A969&gt;MAX(DKW_10Y!$A$2:$A$2918),Settings!$B$16&lt;MIN(DKW_10Y!$A$2:$A$2918)),NA(),(INDEX(DKW_10Y!$H$2:$H$2918,MATCH($A969,DKW_10Y!$A$2:$A$2918,1))-INDEX(DKW_10Y!$H$2:$H$2918,MATCH(Settings!$B$16,DKW_10Y!$A$2:$A$2918,1)))*100))</f>
        <v/>
      </c>
      <c r="AC969" s="18">
        <f>IF(NOT(ISNUMBER($A969)),NA(),IFERROR(1*INDEX(BBG_Data!$N$2:$N$4000,MATCH($A969,BBG_Data!$M$2:$M$4000,0)),NA()))</f>
        <v/>
      </c>
      <c r="AD969" s="18">
        <f>IF(NOT(ISNUMBER($A969)),NA(),IFERROR(1*INDEX(BBG_Data!$P$2:$P$4000,MATCH($A969,BBG_Data!$O$2:$O$4000,0)),NA()))</f>
        <v/>
      </c>
      <c r="AE969" s="18">
        <f>IF(NOT(ISNUMBER($A969)),NA(),IFERROR(1*INDEX(BBG_Data!$R$2:$R$4000,MATCH($A969,BBG_Data!$Q$2:$Q$4000,0)),NA()))</f>
        <v/>
      </c>
      <c r="AF969" s="20">
        <f>IF(AND(ISNUMBER(B969),ISNUMBER(AC969)),(B969-AC969)*100,NA())</f>
        <v/>
      </c>
      <c r="AG969" s="20">
        <f>IF(AND(ISNUMBER(AE969),ISNUMBER(AD969)),(AE969-AD969)*100,NA())</f>
        <v/>
      </c>
      <c r="AH969" s="19">
        <f>IF(NOT(ISNUMBER($A969)),NA(),IFERROR(INDEX(BBG_Data!$T$2:$T$4000,MATCH($A969,BBG_Data!$S$2:$S$4000,0))*Settings!$B$25,NA()))</f>
        <v/>
      </c>
      <c r="AI969" s="19">
        <f>IF(NOT(ISNUMBER($A969)),NA(),IFERROR(INDEX(BBG_Data!$V$2:$V$4000,MATCH($A969,BBG_Data!$U$2:$U$4000,0))*Settings!$B$25,NA()))</f>
        <v/>
      </c>
      <c r="AJ969" s="19">
        <f>IF(NOT(ISNUMBER($A969)),NA(),IFERROR(1*INDEX(BBG_Data!$X$2:$X$4000,MATCH($A969,BBG_Data!$W$2:$W$4000,0)),NA()))</f>
        <v/>
      </c>
      <c r="AK969" s="19">
        <f>IF(NOT(ISNUMBER($A969)),NA(),IFERROR(1*INDEX(BBG_Data!$Z$2:$Z$4000,MATCH($A969,BBG_Data!$Y$2:$Y$4000,0)),NA()))</f>
        <v/>
      </c>
    </row>
    <row r="970">
      <c r="A970" s="17">
        <f>IF(ISNUMBER(BBG_Data!A970),BBG_Data!A970,"")</f>
        <v/>
      </c>
      <c r="B970" s="18">
        <f>IF(AND(ISNUMBER($A970),ISNUMBER(BBG_Data!B970)),BBG_Data!B970,NA())</f>
        <v/>
      </c>
      <c r="C970" s="18">
        <f>IF(NOT(ISNUMBER($A970)),NA(),IFERROR(1*INDEX(BBG_Data!$D$2:$D$4000,MATCH($A970,BBG_Data!$C$2:$C$4000,0)),NA()))</f>
        <v/>
      </c>
      <c r="D970" s="19">
        <f>IF(NOT(ISNUMBER($A970)),NA(),IFERROR(1*INDEX(BBG_Data!$F$2:$F$4000,MATCH($A970,BBG_Data!$E$2:$E$4000,0)),NA()))</f>
        <v/>
      </c>
      <c r="E970" s="19">
        <f>IF(NOT(ISNUMBER($A970)),NA(),IFERROR(1*INDEX(BBG_Data!$H$2:$H$4000,MATCH($A970,BBG_Data!$G$2:$G$4000,0)),NA()))</f>
        <v/>
      </c>
      <c r="F970" s="20">
        <f>IF(AND(ISNUMBER(B970),ISNUMBER(B969)),IF(B970=B969,"",(B970-B969)*100),"")</f>
        <v/>
      </c>
      <c r="G970" s="20">
        <f>IF(AND(ISNUMBER(C970),ISNUMBER(C969)),IF(C970=C969,"",(C970-C969)*100),"")</f>
        <v/>
      </c>
      <c r="H970" s="20">
        <f>IF(OR(NOT(ISNUMBER($A970)),ROW()-2&lt;Settings!$B$11),NA(),IF(COUNT(OFFSET(F970,1-Settings!$B$11,0,Settings!$B$11,1))&lt;ROUNDUP(Settings!$B$11*Settings!$B$26,0),NA(),STDEV(OFFSET(F970,1-Settings!$B$11,0,Settings!$B$11,1))*SQRT(Settings!$B$13)))</f>
        <v/>
      </c>
      <c r="I970" s="20">
        <f>IF(OR(NOT(ISNUMBER($A970)),ROW()-2&lt;Settings!$B$12),NA(),IF(COUNT(OFFSET(F970,1-Settings!$B$12,0,Settings!$B$12,1))&lt;ROUNDUP(Settings!$B$12*Settings!$B$26,0),NA(),STDEV(OFFSET(F970,1-Settings!$B$12,0,Settings!$B$12,1))*SQRT(Settings!$B$13)))</f>
        <v/>
      </c>
      <c r="J970" s="20">
        <f>IF(OR(NOT(ISNUMBER($A970)),ROW()-2&lt;Settings!$B$11),NA(),IF(COUNT(OFFSET(G970,1-Settings!$B$11,0,Settings!$B$11,1))&lt;ROUNDUP(Settings!$B$11*Settings!$B$26,0),NA(),STDEV(OFFSET(G970,1-Settings!$B$11,0,Settings!$B$11,1))*SQRT(Settings!$B$13)))</f>
        <v/>
      </c>
      <c r="K970" s="20">
        <f>IF(OR(NOT(ISNUMBER($A970)),ROW()-2&lt;Settings!$B$12),NA(),IF(COUNT(OFFSET(G970,1-Settings!$B$12,0,Settings!$B$12,1))&lt;ROUNDUP(Settings!$B$12*Settings!$B$26,0),NA(),STDEV(OFFSET(G970,1-Settings!$B$12,0,Settings!$B$12,1))*SQRT(Settings!$B$13)))</f>
        <v/>
      </c>
      <c r="L970" s="20">
        <f>IF(AND(ISNUMBER(D970),ISNUMBER(H970)),D970-H970,NA())</f>
        <v/>
      </c>
      <c r="M970" s="20">
        <f>IF(AND(ISNUMBER(E970),ISNUMBER(K970)),E970-K970,NA())</f>
        <v/>
      </c>
      <c r="N970" s="20">
        <f>IF(NOT(ISNUMBER($A970)),NA(),IF(COUNT(OFFSET(G970,1,0,Settings!$B$12,1))&lt;ROUNDUP(Settings!$B$12*Settings!$B$26,0),NA(),STDEV(OFFSET(G970,1,0,Settings!$B$12,1))*SQRT(Settings!$B$13)))</f>
        <v/>
      </c>
      <c r="O970" s="20">
        <f>IF(AND(ISNUMBER(E970),ISNUMBER(N970)),E970-N970,NA())</f>
        <v/>
      </c>
      <c r="P970" s="19">
        <f>IF(NOT(ISNUMBER($A970)),NA(),IF(OR($A970&lt;MIN(KW_TP!$A$2:$A$2501),$A970&gt;MAX(KW_TP!$A$2:$A$2501)),NA(),INDEX(KW_TP!$C$2:$C$2501,MATCH($A970,KW_TP!$A$2:$A$2501,1))))</f>
        <v/>
      </c>
      <c r="Q970" s="18">
        <f>IF(NOT(ISNUMBER($A970)),NA(),IFERROR(1*INDEX(BBG_Data!$J$2:$J$4000,MATCH($A970,BBG_Data!$I$2:$I$4000,0)),NA()))</f>
        <v/>
      </c>
      <c r="R970" s="18">
        <f>IF(NOT(ISNUMBER($A970)),NA(),IFERROR(1*INDEX(BBG_Data!$L$2:$L$4000,MATCH($A970,BBG_Data!$K$2:$K$4000,0)),NA()))</f>
        <v/>
      </c>
      <c r="S970" s="20">
        <f>IF(AND(ISNUMBER(B970),ISNUMBER(Q970),ISNUMBER(R970)),(B970-Q970-R970)*100,NA())</f>
        <v/>
      </c>
      <c r="T970" s="20">
        <f>IF(AND(ISNUMBER(B970),Settings!$B$17&gt;0),IF(ISNUMBER(INDEX($B:$B,Settings!$B$17)),(B970-INDEX($B:$B,Settings!$B$17))*100,NA()),NA())</f>
        <v/>
      </c>
      <c r="U970" s="20">
        <f>IF(AND(ISNUMBER(Q970),Settings!$B$17&gt;0),IF(ISNUMBER(INDEX($Q:$Q,Settings!$B$17)),(Q970-INDEX($Q:$Q,Settings!$B$17))*100,NA()),NA())</f>
        <v/>
      </c>
      <c r="V970" s="20">
        <f>IF(AND(ISNUMBER(R970),Settings!$B$17&gt;0),IF(ISNUMBER(INDEX($R:$R,Settings!$B$17)),(R970-INDEX($R:$R,Settings!$B$17))*100,NA()),NA())</f>
        <v/>
      </c>
      <c r="W970" s="20">
        <f>IF(AND(ISNUMBER(P970),Settings!$B$17&gt;0),IF(ISNUMBER(INDEX($P:$P,Settings!$B$17)),P970-INDEX($P:$P,Settings!$B$17),NA()),NA())</f>
        <v/>
      </c>
      <c r="X970" s="19">
        <f>IF(NOT(ISNUMBER($A970)),NA(),IF(OR($A970&lt;MIN(DKW_10Y!$A$2:$A$2918),$A970&gt;MAX(DKW_10Y!$A$2:$A$2918),Settings!$B$16&lt;MIN(DKW_10Y!$A$2:$A$2918)),NA(),(INDEX(DKW_10Y!$B$2:$B$2918,MATCH($A970,DKW_10Y!$A$2:$A$2918,1))-INDEX(DKW_10Y!$B$2:$B$2918,MATCH(Settings!$B$16,DKW_10Y!$A$2:$A$2918,1)))*100))</f>
        <v/>
      </c>
      <c r="Y970" s="19">
        <f>IF(NOT(ISNUMBER($A970)),NA(),IF(OR($A970&lt;MIN(DKW_10Y!$A$2:$A$2918),$A970&gt;MAX(DKW_10Y!$A$2:$A$2918),Settings!$B$16&lt;MIN(DKW_10Y!$A$2:$A$2918)),NA(),(INDEX(DKW_10Y!$C$2:$C$2918,MATCH($A970,DKW_10Y!$A$2:$A$2918,1))-INDEX(DKW_10Y!$C$2:$C$2918,MATCH(Settings!$B$16,DKW_10Y!$A$2:$A$2918,1)))*100))</f>
        <v/>
      </c>
      <c r="Z970" s="19">
        <f>IF(NOT(ISNUMBER($A970)),NA(),IF(OR($A970&lt;MIN(DKW_10Y!$A$2:$A$2918),$A970&gt;MAX(DKW_10Y!$A$2:$A$2918),Settings!$B$16&lt;MIN(DKW_10Y!$A$2:$A$2918)),NA(),(INDEX(DKW_10Y!$D$2:$D$2918,MATCH($A970,DKW_10Y!$A$2:$A$2918,1))-INDEX(DKW_10Y!$D$2:$D$2918,MATCH(Settings!$B$16,DKW_10Y!$A$2:$A$2918,1)))*100))</f>
        <v/>
      </c>
      <c r="AA970" s="19">
        <f>IF(NOT(ISNUMBER($A970)),NA(),IF(OR($A970&lt;MIN(DKW_10Y!$A$2:$A$2918),$A970&gt;MAX(DKW_10Y!$A$2:$A$2918),Settings!$B$16&lt;MIN(DKW_10Y!$A$2:$A$2918)),NA(),(INDEX(DKW_10Y!$E$2:$E$2918,MATCH($A970,DKW_10Y!$A$2:$A$2918,1))-INDEX(DKW_10Y!$E$2:$E$2918,MATCH(Settings!$B$16,DKW_10Y!$A$2:$A$2918,1)))*100))</f>
        <v/>
      </c>
      <c r="AB970" s="19">
        <f>IF(NOT(ISNUMBER($A970)),NA(),IF(OR($A970&lt;MIN(DKW_10Y!$A$2:$A$2918),$A970&gt;MAX(DKW_10Y!$A$2:$A$2918),Settings!$B$16&lt;MIN(DKW_10Y!$A$2:$A$2918)),NA(),(INDEX(DKW_10Y!$H$2:$H$2918,MATCH($A970,DKW_10Y!$A$2:$A$2918,1))-INDEX(DKW_10Y!$H$2:$H$2918,MATCH(Settings!$B$16,DKW_10Y!$A$2:$A$2918,1)))*100))</f>
        <v/>
      </c>
      <c r="AC970" s="18">
        <f>IF(NOT(ISNUMBER($A970)),NA(),IFERROR(1*INDEX(BBG_Data!$N$2:$N$4000,MATCH($A970,BBG_Data!$M$2:$M$4000,0)),NA()))</f>
        <v/>
      </c>
      <c r="AD970" s="18">
        <f>IF(NOT(ISNUMBER($A970)),NA(),IFERROR(1*INDEX(BBG_Data!$P$2:$P$4000,MATCH($A970,BBG_Data!$O$2:$O$4000,0)),NA()))</f>
        <v/>
      </c>
      <c r="AE970" s="18">
        <f>IF(NOT(ISNUMBER($A970)),NA(),IFERROR(1*INDEX(BBG_Data!$R$2:$R$4000,MATCH($A970,BBG_Data!$Q$2:$Q$4000,0)),NA()))</f>
        <v/>
      </c>
      <c r="AF970" s="20">
        <f>IF(AND(ISNUMBER(B970),ISNUMBER(AC970)),(B970-AC970)*100,NA())</f>
        <v/>
      </c>
      <c r="AG970" s="20">
        <f>IF(AND(ISNUMBER(AE970),ISNUMBER(AD970)),(AE970-AD970)*100,NA())</f>
        <v/>
      </c>
      <c r="AH970" s="19">
        <f>IF(NOT(ISNUMBER($A970)),NA(),IFERROR(INDEX(BBG_Data!$T$2:$T$4000,MATCH($A970,BBG_Data!$S$2:$S$4000,0))*Settings!$B$25,NA()))</f>
        <v/>
      </c>
      <c r="AI970" s="19">
        <f>IF(NOT(ISNUMBER($A970)),NA(),IFERROR(INDEX(BBG_Data!$V$2:$V$4000,MATCH($A970,BBG_Data!$U$2:$U$4000,0))*Settings!$B$25,NA()))</f>
        <v/>
      </c>
      <c r="AJ970" s="19">
        <f>IF(NOT(ISNUMBER($A970)),NA(),IFERROR(1*INDEX(BBG_Data!$X$2:$X$4000,MATCH($A970,BBG_Data!$W$2:$W$4000,0)),NA()))</f>
        <v/>
      </c>
      <c r="AK970" s="19">
        <f>IF(NOT(ISNUMBER($A970)),NA(),IFERROR(1*INDEX(BBG_Data!$Z$2:$Z$4000,MATCH($A970,BBG_Data!$Y$2:$Y$4000,0)),NA()))</f>
        <v/>
      </c>
    </row>
    <row r="971">
      <c r="A971" s="17">
        <f>IF(ISNUMBER(BBG_Data!A971),BBG_Data!A971,"")</f>
        <v/>
      </c>
      <c r="B971" s="18">
        <f>IF(AND(ISNUMBER($A971),ISNUMBER(BBG_Data!B971)),BBG_Data!B971,NA())</f>
        <v/>
      </c>
      <c r="C971" s="18">
        <f>IF(NOT(ISNUMBER($A971)),NA(),IFERROR(1*INDEX(BBG_Data!$D$2:$D$4000,MATCH($A971,BBG_Data!$C$2:$C$4000,0)),NA()))</f>
        <v/>
      </c>
      <c r="D971" s="19">
        <f>IF(NOT(ISNUMBER($A971)),NA(),IFERROR(1*INDEX(BBG_Data!$F$2:$F$4000,MATCH($A971,BBG_Data!$E$2:$E$4000,0)),NA()))</f>
        <v/>
      </c>
      <c r="E971" s="19">
        <f>IF(NOT(ISNUMBER($A971)),NA(),IFERROR(1*INDEX(BBG_Data!$H$2:$H$4000,MATCH($A971,BBG_Data!$G$2:$G$4000,0)),NA()))</f>
        <v/>
      </c>
      <c r="F971" s="20">
        <f>IF(AND(ISNUMBER(B971),ISNUMBER(B970)),IF(B971=B970,"",(B971-B970)*100),"")</f>
        <v/>
      </c>
      <c r="G971" s="20">
        <f>IF(AND(ISNUMBER(C971),ISNUMBER(C970)),IF(C971=C970,"",(C971-C970)*100),"")</f>
        <v/>
      </c>
      <c r="H971" s="20">
        <f>IF(OR(NOT(ISNUMBER($A971)),ROW()-2&lt;Settings!$B$11),NA(),IF(COUNT(OFFSET(F971,1-Settings!$B$11,0,Settings!$B$11,1))&lt;ROUNDUP(Settings!$B$11*Settings!$B$26,0),NA(),STDEV(OFFSET(F971,1-Settings!$B$11,0,Settings!$B$11,1))*SQRT(Settings!$B$13)))</f>
        <v/>
      </c>
      <c r="I971" s="20">
        <f>IF(OR(NOT(ISNUMBER($A971)),ROW()-2&lt;Settings!$B$12),NA(),IF(COUNT(OFFSET(F971,1-Settings!$B$12,0,Settings!$B$12,1))&lt;ROUNDUP(Settings!$B$12*Settings!$B$26,0),NA(),STDEV(OFFSET(F971,1-Settings!$B$12,0,Settings!$B$12,1))*SQRT(Settings!$B$13)))</f>
        <v/>
      </c>
      <c r="J971" s="20">
        <f>IF(OR(NOT(ISNUMBER($A971)),ROW()-2&lt;Settings!$B$11),NA(),IF(COUNT(OFFSET(G971,1-Settings!$B$11,0,Settings!$B$11,1))&lt;ROUNDUP(Settings!$B$11*Settings!$B$26,0),NA(),STDEV(OFFSET(G971,1-Settings!$B$11,0,Settings!$B$11,1))*SQRT(Settings!$B$13)))</f>
        <v/>
      </c>
      <c r="K971" s="20">
        <f>IF(OR(NOT(ISNUMBER($A971)),ROW()-2&lt;Settings!$B$12),NA(),IF(COUNT(OFFSET(G971,1-Settings!$B$12,0,Settings!$B$12,1))&lt;ROUNDUP(Settings!$B$12*Settings!$B$26,0),NA(),STDEV(OFFSET(G971,1-Settings!$B$12,0,Settings!$B$12,1))*SQRT(Settings!$B$13)))</f>
        <v/>
      </c>
      <c r="L971" s="20">
        <f>IF(AND(ISNUMBER(D971),ISNUMBER(H971)),D971-H971,NA())</f>
        <v/>
      </c>
      <c r="M971" s="20">
        <f>IF(AND(ISNUMBER(E971),ISNUMBER(K971)),E971-K971,NA())</f>
        <v/>
      </c>
      <c r="N971" s="20">
        <f>IF(NOT(ISNUMBER($A971)),NA(),IF(COUNT(OFFSET(G971,1,0,Settings!$B$12,1))&lt;ROUNDUP(Settings!$B$12*Settings!$B$26,0),NA(),STDEV(OFFSET(G971,1,0,Settings!$B$12,1))*SQRT(Settings!$B$13)))</f>
        <v/>
      </c>
      <c r="O971" s="20">
        <f>IF(AND(ISNUMBER(E971),ISNUMBER(N971)),E971-N971,NA())</f>
        <v/>
      </c>
      <c r="P971" s="19">
        <f>IF(NOT(ISNUMBER($A971)),NA(),IF(OR($A971&lt;MIN(KW_TP!$A$2:$A$2501),$A971&gt;MAX(KW_TP!$A$2:$A$2501)),NA(),INDEX(KW_TP!$C$2:$C$2501,MATCH($A971,KW_TP!$A$2:$A$2501,1))))</f>
        <v/>
      </c>
      <c r="Q971" s="18">
        <f>IF(NOT(ISNUMBER($A971)),NA(),IFERROR(1*INDEX(BBG_Data!$J$2:$J$4000,MATCH($A971,BBG_Data!$I$2:$I$4000,0)),NA()))</f>
        <v/>
      </c>
      <c r="R971" s="18">
        <f>IF(NOT(ISNUMBER($A971)),NA(),IFERROR(1*INDEX(BBG_Data!$L$2:$L$4000,MATCH($A971,BBG_Data!$K$2:$K$4000,0)),NA()))</f>
        <v/>
      </c>
      <c r="S971" s="20">
        <f>IF(AND(ISNUMBER(B971),ISNUMBER(Q971),ISNUMBER(R971)),(B971-Q971-R971)*100,NA())</f>
        <v/>
      </c>
      <c r="T971" s="20">
        <f>IF(AND(ISNUMBER(B971),Settings!$B$17&gt;0),IF(ISNUMBER(INDEX($B:$B,Settings!$B$17)),(B971-INDEX($B:$B,Settings!$B$17))*100,NA()),NA())</f>
        <v/>
      </c>
      <c r="U971" s="20">
        <f>IF(AND(ISNUMBER(Q971),Settings!$B$17&gt;0),IF(ISNUMBER(INDEX($Q:$Q,Settings!$B$17)),(Q971-INDEX($Q:$Q,Settings!$B$17))*100,NA()),NA())</f>
        <v/>
      </c>
      <c r="V971" s="20">
        <f>IF(AND(ISNUMBER(R971),Settings!$B$17&gt;0),IF(ISNUMBER(INDEX($R:$R,Settings!$B$17)),(R971-INDEX($R:$R,Settings!$B$17))*100,NA()),NA())</f>
        <v/>
      </c>
      <c r="W971" s="20">
        <f>IF(AND(ISNUMBER(P971),Settings!$B$17&gt;0),IF(ISNUMBER(INDEX($P:$P,Settings!$B$17)),P971-INDEX($P:$P,Settings!$B$17),NA()),NA())</f>
        <v/>
      </c>
      <c r="X971" s="19">
        <f>IF(NOT(ISNUMBER($A971)),NA(),IF(OR($A971&lt;MIN(DKW_10Y!$A$2:$A$2918),$A971&gt;MAX(DKW_10Y!$A$2:$A$2918),Settings!$B$16&lt;MIN(DKW_10Y!$A$2:$A$2918)),NA(),(INDEX(DKW_10Y!$B$2:$B$2918,MATCH($A971,DKW_10Y!$A$2:$A$2918,1))-INDEX(DKW_10Y!$B$2:$B$2918,MATCH(Settings!$B$16,DKW_10Y!$A$2:$A$2918,1)))*100))</f>
        <v/>
      </c>
      <c r="Y971" s="19">
        <f>IF(NOT(ISNUMBER($A971)),NA(),IF(OR($A971&lt;MIN(DKW_10Y!$A$2:$A$2918),$A971&gt;MAX(DKW_10Y!$A$2:$A$2918),Settings!$B$16&lt;MIN(DKW_10Y!$A$2:$A$2918)),NA(),(INDEX(DKW_10Y!$C$2:$C$2918,MATCH($A971,DKW_10Y!$A$2:$A$2918,1))-INDEX(DKW_10Y!$C$2:$C$2918,MATCH(Settings!$B$16,DKW_10Y!$A$2:$A$2918,1)))*100))</f>
        <v/>
      </c>
      <c r="Z971" s="19">
        <f>IF(NOT(ISNUMBER($A971)),NA(),IF(OR($A971&lt;MIN(DKW_10Y!$A$2:$A$2918),$A971&gt;MAX(DKW_10Y!$A$2:$A$2918),Settings!$B$16&lt;MIN(DKW_10Y!$A$2:$A$2918)),NA(),(INDEX(DKW_10Y!$D$2:$D$2918,MATCH($A971,DKW_10Y!$A$2:$A$2918,1))-INDEX(DKW_10Y!$D$2:$D$2918,MATCH(Settings!$B$16,DKW_10Y!$A$2:$A$2918,1)))*100))</f>
        <v/>
      </c>
      <c r="AA971" s="19">
        <f>IF(NOT(ISNUMBER($A971)),NA(),IF(OR($A971&lt;MIN(DKW_10Y!$A$2:$A$2918),$A971&gt;MAX(DKW_10Y!$A$2:$A$2918),Settings!$B$16&lt;MIN(DKW_10Y!$A$2:$A$2918)),NA(),(INDEX(DKW_10Y!$E$2:$E$2918,MATCH($A971,DKW_10Y!$A$2:$A$2918,1))-INDEX(DKW_10Y!$E$2:$E$2918,MATCH(Settings!$B$16,DKW_10Y!$A$2:$A$2918,1)))*100))</f>
        <v/>
      </c>
      <c r="AB971" s="19">
        <f>IF(NOT(ISNUMBER($A971)),NA(),IF(OR($A971&lt;MIN(DKW_10Y!$A$2:$A$2918),$A971&gt;MAX(DKW_10Y!$A$2:$A$2918),Settings!$B$16&lt;MIN(DKW_10Y!$A$2:$A$2918)),NA(),(INDEX(DKW_10Y!$H$2:$H$2918,MATCH($A971,DKW_10Y!$A$2:$A$2918,1))-INDEX(DKW_10Y!$H$2:$H$2918,MATCH(Settings!$B$16,DKW_10Y!$A$2:$A$2918,1)))*100))</f>
        <v/>
      </c>
      <c r="AC971" s="18">
        <f>IF(NOT(ISNUMBER($A971)),NA(),IFERROR(1*INDEX(BBG_Data!$N$2:$N$4000,MATCH($A971,BBG_Data!$M$2:$M$4000,0)),NA()))</f>
        <v/>
      </c>
      <c r="AD971" s="18">
        <f>IF(NOT(ISNUMBER($A971)),NA(),IFERROR(1*INDEX(BBG_Data!$P$2:$P$4000,MATCH($A971,BBG_Data!$O$2:$O$4000,0)),NA()))</f>
        <v/>
      </c>
      <c r="AE971" s="18">
        <f>IF(NOT(ISNUMBER($A971)),NA(),IFERROR(1*INDEX(BBG_Data!$R$2:$R$4000,MATCH($A971,BBG_Data!$Q$2:$Q$4000,0)),NA()))</f>
        <v/>
      </c>
      <c r="AF971" s="20">
        <f>IF(AND(ISNUMBER(B971),ISNUMBER(AC971)),(B971-AC971)*100,NA())</f>
        <v/>
      </c>
      <c r="AG971" s="20">
        <f>IF(AND(ISNUMBER(AE971),ISNUMBER(AD971)),(AE971-AD971)*100,NA())</f>
        <v/>
      </c>
      <c r="AH971" s="19">
        <f>IF(NOT(ISNUMBER($A971)),NA(),IFERROR(INDEX(BBG_Data!$T$2:$T$4000,MATCH($A971,BBG_Data!$S$2:$S$4000,0))*Settings!$B$25,NA()))</f>
        <v/>
      </c>
      <c r="AI971" s="19">
        <f>IF(NOT(ISNUMBER($A971)),NA(),IFERROR(INDEX(BBG_Data!$V$2:$V$4000,MATCH($A971,BBG_Data!$U$2:$U$4000,0))*Settings!$B$25,NA()))</f>
        <v/>
      </c>
      <c r="AJ971" s="19">
        <f>IF(NOT(ISNUMBER($A971)),NA(),IFERROR(1*INDEX(BBG_Data!$X$2:$X$4000,MATCH($A971,BBG_Data!$W$2:$W$4000,0)),NA()))</f>
        <v/>
      </c>
      <c r="AK971" s="19">
        <f>IF(NOT(ISNUMBER($A971)),NA(),IFERROR(1*INDEX(BBG_Data!$Z$2:$Z$4000,MATCH($A971,BBG_Data!$Y$2:$Y$4000,0)),NA()))</f>
        <v/>
      </c>
    </row>
    <row r="972">
      <c r="A972" s="17">
        <f>IF(ISNUMBER(BBG_Data!A972),BBG_Data!A972,"")</f>
        <v/>
      </c>
      <c r="B972" s="18">
        <f>IF(AND(ISNUMBER($A972),ISNUMBER(BBG_Data!B972)),BBG_Data!B972,NA())</f>
        <v/>
      </c>
      <c r="C972" s="18">
        <f>IF(NOT(ISNUMBER($A972)),NA(),IFERROR(1*INDEX(BBG_Data!$D$2:$D$4000,MATCH($A972,BBG_Data!$C$2:$C$4000,0)),NA()))</f>
        <v/>
      </c>
      <c r="D972" s="19">
        <f>IF(NOT(ISNUMBER($A972)),NA(),IFERROR(1*INDEX(BBG_Data!$F$2:$F$4000,MATCH($A972,BBG_Data!$E$2:$E$4000,0)),NA()))</f>
        <v/>
      </c>
      <c r="E972" s="19">
        <f>IF(NOT(ISNUMBER($A972)),NA(),IFERROR(1*INDEX(BBG_Data!$H$2:$H$4000,MATCH($A972,BBG_Data!$G$2:$G$4000,0)),NA()))</f>
        <v/>
      </c>
      <c r="F972" s="20">
        <f>IF(AND(ISNUMBER(B972),ISNUMBER(B971)),IF(B972=B971,"",(B972-B971)*100),"")</f>
        <v/>
      </c>
      <c r="G972" s="20">
        <f>IF(AND(ISNUMBER(C972),ISNUMBER(C971)),IF(C972=C971,"",(C972-C971)*100),"")</f>
        <v/>
      </c>
      <c r="H972" s="20">
        <f>IF(OR(NOT(ISNUMBER($A972)),ROW()-2&lt;Settings!$B$11),NA(),IF(COUNT(OFFSET(F972,1-Settings!$B$11,0,Settings!$B$11,1))&lt;ROUNDUP(Settings!$B$11*Settings!$B$26,0),NA(),STDEV(OFFSET(F972,1-Settings!$B$11,0,Settings!$B$11,1))*SQRT(Settings!$B$13)))</f>
        <v/>
      </c>
      <c r="I972" s="20">
        <f>IF(OR(NOT(ISNUMBER($A972)),ROW()-2&lt;Settings!$B$12),NA(),IF(COUNT(OFFSET(F972,1-Settings!$B$12,0,Settings!$B$12,1))&lt;ROUNDUP(Settings!$B$12*Settings!$B$26,0),NA(),STDEV(OFFSET(F972,1-Settings!$B$12,0,Settings!$B$12,1))*SQRT(Settings!$B$13)))</f>
        <v/>
      </c>
      <c r="J972" s="20">
        <f>IF(OR(NOT(ISNUMBER($A972)),ROW()-2&lt;Settings!$B$11),NA(),IF(COUNT(OFFSET(G972,1-Settings!$B$11,0,Settings!$B$11,1))&lt;ROUNDUP(Settings!$B$11*Settings!$B$26,0),NA(),STDEV(OFFSET(G972,1-Settings!$B$11,0,Settings!$B$11,1))*SQRT(Settings!$B$13)))</f>
        <v/>
      </c>
      <c r="K972" s="20">
        <f>IF(OR(NOT(ISNUMBER($A972)),ROW()-2&lt;Settings!$B$12),NA(),IF(COUNT(OFFSET(G972,1-Settings!$B$12,0,Settings!$B$12,1))&lt;ROUNDUP(Settings!$B$12*Settings!$B$26,0),NA(),STDEV(OFFSET(G972,1-Settings!$B$12,0,Settings!$B$12,1))*SQRT(Settings!$B$13)))</f>
        <v/>
      </c>
      <c r="L972" s="20">
        <f>IF(AND(ISNUMBER(D972),ISNUMBER(H972)),D972-H972,NA())</f>
        <v/>
      </c>
      <c r="M972" s="20">
        <f>IF(AND(ISNUMBER(E972),ISNUMBER(K972)),E972-K972,NA())</f>
        <v/>
      </c>
      <c r="N972" s="20">
        <f>IF(NOT(ISNUMBER($A972)),NA(),IF(COUNT(OFFSET(G972,1,0,Settings!$B$12,1))&lt;ROUNDUP(Settings!$B$12*Settings!$B$26,0),NA(),STDEV(OFFSET(G972,1,0,Settings!$B$12,1))*SQRT(Settings!$B$13)))</f>
        <v/>
      </c>
      <c r="O972" s="20">
        <f>IF(AND(ISNUMBER(E972),ISNUMBER(N972)),E972-N972,NA())</f>
        <v/>
      </c>
      <c r="P972" s="19">
        <f>IF(NOT(ISNUMBER($A972)),NA(),IF(OR($A972&lt;MIN(KW_TP!$A$2:$A$2501),$A972&gt;MAX(KW_TP!$A$2:$A$2501)),NA(),INDEX(KW_TP!$C$2:$C$2501,MATCH($A972,KW_TP!$A$2:$A$2501,1))))</f>
        <v/>
      </c>
      <c r="Q972" s="18">
        <f>IF(NOT(ISNUMBER($A972)),NA(),IFERROR(1*INDEX(BBG_Data!$J$2:$J$4000,MATCH($A972,BBG_Data!$I$2:$I$4000,0)),NA()))</f>
        <v/>
      </c>
      <c r="R972" s="18">
        <f>IF(NOT(ISNUMBER($A972)),NA(),IFERROR(1*INDEX(BBG_Data!$L$2:$L$4000,MATCH($A972,BBG_Data!$K$2:$K$4000,0)),NA()))</f>
        <v/>
      </c>
      <c r="S972" s="20">
        <f>IF(AND(ISNUMBER(B972),ISNUMBER(Q972),ISNUMBER(R972)),(B972-Q972-R972)*100,NA())</f>
        <v/>
      </c>
      <c r="T972" s="20">
        <f>IF(AND(ISNUMBER(B972),Settings!$B$17&gt;0),IF(ISNUMBER(INDEX($B:$B,Settings!$B$17)),(B972-INDEX($B:$B,Settings!$B$17))*100,NA()),NA())</f>
        <v/>
      </c>
      <c r="U972" s="20">
        <f>IF(AND(ISNUMBER(Q972),Settings!$B$17&gt;0),IF(ISNUMBER(INDEX($Q:$Q,Settings!$B$17)),(Q972-INDEX($Q:$Q,Settings!$B$17))*100,NA()),NA())</f>
        <v/>
      </c>
      <c r="V972" s="20">
        <f>IF(AND(ISNUMBER(R972),Settings!$B$17&gt;0),IF(ISNUMBER(INDEX($R:$R,Settings!$B$17)),(R972-INDEX($R:$R,Settings!$B$17))*100,NA()),NA())</f>
        <v/>
      </c>
      <c r="W972" s="20">
        <f>IF(AND(ISNUMBER(P972),Settings!$B$17&gt;0),IF(ISNUMBER(INDEX($P:$P,Settings!$B$17)),P972-INDEX($P:$P,Settings!$B$17),NA()),NA())</f>
        <v/>
      </c>
      <c r="X972" s="19">
        <f>IF(NOT(ISNUMBER($A972)),NA(),IF(OR($A972&lt;MIN(DKW_10Y!$A$2:$A$2918),$A972&gt;MAX(DKW_10Y!$A$2:$A$2918),Settings!$B$16&lt;MIN(DKW_10Y!$A$2:$A$2918)),NA(),(INDEX(DKW_10Y!$B$2:$B$2918,MATCH($A972,DKW_10Y!$A$2:$A$2918,1))-INDEX(DKW_10Y!$B$2:$B$2918,MATCH(Settings!$B$16,DKW_10Y!$A$2:$A$2918,1)))*100))</f>
        <v/>
      </c>
      <c r="Y972" s="19">
        <f>IF(NOT(ISNUMBER($A972)),NA(),IF(OR($A972&lt;MIN(DKW_10Y!$A$2:$A$2918),$A972&gt;MAX(DKW_10Y!$A$2:$A$2918),Settings!$B$16&lt;MIN(DKW_10Y!$A$2:$A$2918)),NA(),(INDEX(DKW_10Y!$C$2:$C$2918,MATCH($A972,DKW_10Y!$A$2:$A$2918,1))-INDEX(DKW_10Y!$C$2:$C$2918,MATCH(Settings!$B$16,DKW_10Y!$A$2:$A$2918,1)))*100))</f>
        <v/>
      </c>
      <c r="Z972" s="19">
        <f>IF(NOT(ISNUMBER($A972)),NA(),IF(OR($A972&lt;MIN(DKW_10Y!$A$2:$A$2918),$A972&gt;MAX(DKW_10Y!$A$2:$A$2918),Settings!$B$16&lt;MIN(DKW_10Y!$A$2:$A$2918)),NA(),(INDEX(DKW_10Y!$D$2:$D$2918,MATCH($A972,DKW_10Y!$A$2:$A$2918,1))-INDEX(DKW_10Y!$D$2:$D$2918,MATCH(Settings!$B$16,DKW_10Y!$A$2:$A$2918,1)))*100))</f>
        <v/>
      </c>
      <c r="AA972" s="19">
        <f>IF(NOT(ISNUMBER($A972)),NA(),IF(OR($A972&lt;MIN(DKW_10Y!$A$2:$A$2918),$A972&gt;MAX(DKW_10Y!$A$2:$A$2918),Settings!$B$16&lt;MIN(DKW_10Y!$A$2:$A$2918)),NA(),(INDEX(DKW_10Y!$E$2:$E$2918,MATCH($A972,DKW_10Y!$A$2:$A$2918,1))-INDEX(DKW_10Y!$E$2:$E$2918,MATCH(Settings!$B$16,DKW_10Y!$A$2:$A$2918,1)))*100))</f>
        <v/>
      </c>
      <c r="AB972" s="19">
        <f>IF(NOT(ISNUMBER($A972)),NA(),IF(OR($A972&lt;MIN(DKW_10Y!$A$2:$A$2918),$A972&gt;MAX(DKW_10Y!$A$2:$A$2918),Settings!$B$16&lt;MIN(DKW_10Y!$A$2:$A$2918)),NA(),(INDEX(DKW_10Y!$H$2:$H$2918,MATCH($A972,DKW_10Y!$A$2:$A$2918,1))-INDEX(DKW_10Y!$H$2:$H$2918,MATCH(Settings!$B$16,DKW_10Y!$A$2:$A$2918,1)))*100))</f>
        <v/>
      </c>
      <c r="AC972" s="18">
        <f>IF(NOT(ISNUMBER($A972)),NA(),IFERROR(1*INDEX(BBG_Data!$N$2:$N$4000,MATCH($A972,BBG_Data!$M$2:$M$4000,0)),NA()))</f>
        <v/>
      </c>
      <c r="AD972" s="18">
        <f>IF(NOT(ISNUMBER($A972)),NA(),IFERROR(1*INDEX(BBG_Data!$P$2:$P$4000,MATCH($A972,BBG_Data!$O$2:$O$4000,0)),NA()))</f>
        <v/>
      </c>
      <c r="AE972" s="18">
        <f>IF(NOT(ISNUMBER($A972)),NA(),IFERROR(1*INDEX(BBG_Data!$R$2:$R$4000,MATCH($A972,BBG_Data!$Q$2:$Q$4000,0)),NA()))</f>
        <v/>
      </c>
      <c r="AF972" s="20">
        <f>IF(AND(ISNUMBER(B972),ISNUMBER(AC972)),(B972-AC972)*100,NA())</f>
        <v/>
      </c>
      <c r="AG972" s="20">
        <f>IF(AND(ISNUMBER(AE972),ISNUMBER(AD972)),(AE972-AD972)*100,NA())</f>
        <v/>
      </c>
      <c r="AH972" s="19">
        <f>IF(NOT(ISNUMBER($A972)),NA(),IFERROR(INDEX(BBG_Data!$T$2:$T$4000,MATCH($A972,BBG_Data!$S$2:$S$4000,0))*Settings!$B$25,NA()))</f>
        <v/>
      </c>
      <c r="AI972" s="19">
        <f>IF(NOT(ISNUMBER($A972)),NA(),IFERROR(INDEX(BBG_Data!$V$2:$V$4000,MATCH($A972,BBG_Data!$U$2:$U$4000,0))*Settings!$B$25,NA()))</f>
        <v/>
      </c>
      <c r="AJ972" s="19">
        <f>IF(NOT(ISNUMBER($A972)),NA(),IFERROR(1*INDEX(BBG_Data!$X$2:$X$4000,MATCH($A972,BBG_Data!$W$2:$W$4000,0)),NA()))</f>
        <v/>
      </c>
      <c r="AK972" s="19">
        <f>IF(NOT(ISNUMBER($A972)),NA(),IFERROR(1*INDEX(BBG_Data!$Z$2:$Z$4000,MATCH($A972,BBG_Data!$Y$2:$Y$4000,0)),NA()))</f>
        <v/>
      </c>
    </row>
    <row r="973">
      <c r="A973" s="17">
        <f>IF(ISNUMBER(BBG_Data!A973),BBG_Data!A973,"")</f>
        <v/>
      </c>
      <c r="B973" s="18">
        <f>IF(AND(ISNUMBER($A973),ISNUMBER(BBG_Data!B973)),BBG_Data!B973,NA())</f>
        <v/>
      </c>
      <c r="C973" s="18">
        <f>IF(NOT(ISNUMBER($A973)),NA(),IFERROR(1*INDEX(BBG_Data!$D$2:$D$4000,MATCH($A973,BBG_Data!$C$2:$C$4000,0)),NA()))</f>
        <v/>
      </c>
      <c r="D973" s="19">
        <f>IF(NOT(ISNUMBER($A973)),NA(),IFERROR(1*INDEX(BBG_Data!$F$2:$F$4000,MATCH($A973,BBG_Data!$E$2:$E$4000,0)),NA()))</f>
        <v/>
      </c>
      <c r="E973" s="19">
        <f>IF(NOT(ISNUMBER($A973)),NA(),IFERROR(1*INDEX(BBG_Data!$H$2:$H$4000,MATCH($A973,BBG_Data!$G$2:$G$4000,0)),NA()))</f>
        <v/>
      </c>
      <c r="F973" s="20">
        <f>IF(AND(ISNUMBER(B973),ISNUMBER(B972)),IF(B973=B972,"",(B973-B972)*100),"")</f>
        <v/>
      </c>
      <c r="G973" s="20">
        <f>IF(AND(ISNUMBER(C973),ISNUMBER(C972)),IF(C973=C972,"",(C973-C972)*100),"")</f>
        <v/>
      </c>
      <c r="H973" s="20">
        <f>IF(OR(NOT(ISNUMBER($A973)),ROW()-2&lt;Settings!$B$11),NA(),IF(COUNT(OFFSET(F973,1-Settings!$B$11,0,Settings!$B$11,1))&lt;ROUNDUP(Settings!$B$11*Settings!$B$26,0),NA(),STDEV(OFFSET(F973,1-Settings!$B$11,0,Settings!$B$11,1))*SQRT(Settings!$B$13)))</f>
        <v/>
      </c>
      <c r="I973" s="20">
        <f>IF(OR(NOT(ISNUMBER($A973)),ROW()-2&lt;Settings!$B$12),NA(),IF(COUNT(OFFSET(F973,1-Settings!$B$12,0,Settings!$B$12,1))&lt;ROUNDUP(Settings!$B$12*Settings!$B$26,0),NA(),STDEV(OFFSET(F973,1-Settings!$B$12,0,Settings!$B$12,1))*SQRT(Settings!$B$13)))</f>
        <v/>
      </c>
      <c r="J973" s="20">
        <f>IF(OR(NOT(ISNUMBER($A973)),ROW()-2&lt;Settings!$B$11),NA(),IF(COUNT(OFFSET(G973,1-Settings!$B$11,0,Settings!$B$11,1))&lt;ROUNDUP(Settings!$B$11*Settings!$B$26,0),NA(),STDEV(OFFSET(G973,1-Settings!$B$11,0,Settings!$B$11,1))*SQRT(Settings!$B$13)))</f>
        <v/>
      </c>
      <c r="K973" s="20">
        <f>IF(OR(NOT(ISNUMBER($A973)),ROW()-2&lt;Settings!$B$12),NA(),IF(COUNT(OFFSET(G973,1-Settings!$B$12,0,Settings!$B$12,1))&lt;ROUNDUP(Settings!$B$12*Settings!$B$26,0),NA(),STDEV(OFFSET(G973,1-Settings!$B$12,0,Settings!$B$12,1))*SQRT(Settings!$B$13)))</f>
        <v/>
      </c>
      <c r="L973" s="20">
        <f>IF(AND(ISNUMBER(D973),ISNUMBER(H973)),D973-H973,NA())</f>
        <v/>
      </c>
      <c r="M973" s="20">
        <f>IF(AND(ISNUMBER(E973),ISNUMBER(K973)),E973-K973,NA())</f>
        <v/>
      </c>
      <c r="N973" s="20">
        <f>IF(NOT(ISNUMBER($A973)),NA(),IF(COUNT(OFFSET(G973,1,0,Settings!$B$12,1))&lt;ROUNDUP(Settings!$B$12*Settings!$B$26,0),NA(),STDEV(OFFSET(G973,1,0,Settings!$B$12,1))*SQRT(Settings!$B$13)))</f>
        <v/>
      </c>
      <c r="O973" s="20">
        <f>IF(AND(ISNUMBER(E973),ISNUMBER(N973)),E973-N973,NA())</f>
        <v/>
      </c>
      <c r="P973" s="19">
        <f>IF(NOT(ISNUMBER($A973)),NA(),IF(OR($A973&lt;MIN(KW_TP!$A$2:$A$2501),$A973&gt;MAX(KW_TP!$A$2:$A$2501)),NA(),INDEX(KW_TP!$C$2:$C$2501,MATCH($A973,KW_TP!$A$2:$A$2501,1))))</f>
        <v/>
      </c>
      <c r="Q973" s="18">
        <f>IF(NOT(ISNUMBER($A973)),NA(),IFERROR(1*INDEX(BBG_Data!$J$2:$J$4000,MATCH($A973,BBG_Data!$I$2:$I$4000,0)),NA()))</f>
        <v/>
      </c>
      <c r="R973" s="18">
        <f>IF(NOT(ISNUMBER($A973)),NA(),IFERROR(1*INDEX(BBG_Data!$L$2:$L$4000,MATCH($A973,BBG_Data!$K$2:$K$4000,0)),NA()))</f>
        <v/>
      </c>
      <c r="S973" s="20">
        <f>IF(AND(ISNUMBER(B973),ISNUMBER(Q973),ISNUMBER(R973)),(B973-Q973-R973)*100,NA())</f>
        <v/>
      </c>
      <c r="T973" s="20">
        <f>IF(AND(ISNUMBER(B973),Settings!$B$17&gt;0),IF(ISNUMBER(INDEX($B:$B,Settings!$B$17)),(B973-INDEX($B:$B,Settings!$B$17))*100,NA()),NA())</f>
        <v/>
      </c>
      <c r="U973" s="20">
        <f>IF(AND(ISNUMBER(Q973),Settings!$B$17&gt;0),IF(ISNUMBER(INDEX($Q:$Q,Settings!$B$17)),(Q973-INDEX($Q:$Q,Settings!$B$17))*100,NA()),NA())</f>
        <v/>
      </c>
      <c r="V973" s="20">
        <f>IF(AND(ISNUMBER(R973),Settings!$B$17&gt;0),IF(ISNUMBER(INDEX($R:$R,Settings!$B$17)),(R973-INDEX($R:$R,Settings!$B$17))*100,NA()),NA())</f>
        <v/>
      </c>
      <c r="W973" s="20">
        <f>IF(AND(ISNUMBER(P973),Settings!$B$17&gt;0),IF(ISNUMBER(INDEX($P:$P,Settings!$B$17)),P973-INDEX($P:$P,Settings!$B$17),NA()),NA())</f>
        <v/>
      </c>
      <c r="X973" s="19">
        <f>IF(NOT(ISNUMBER($A973)),NA(),IF(OR($A973&lt;MIN(DKW_10Y!$A$2:$A$2918),$A973&gt;MAX(DKW_10Y!$A$2:$A$2918),Settings!$B$16&lt;MIN(DKW_10Y!$A$2:$A$2918)),NA(),(INDEX(DKW_10Y!$B$2:$B$2918,MATCH($A973,DKW_10Y!$A$2:$A$2918,1))-INDEX(DKW_10Y!$B$2:$B$2918,MATCH(Settings!$B$16,DKW_10Y!$A$2:$A$2918,1)))*100))</f>
        <v/>
      </c>
      <c r="Y973" s="19">
        <f>IF(NOT(ISNUMBER($A973)),NA(),IF(OR($A973&lt;MIN(DKW_10Y!$A$2:$A$2918),$A973&gt;MAX(DKW_10Y!$A$2:$A$2918),Settings!$B$16&lt;MIN(DKW_10Y!$A$2:$A$2918)),NA(),(INDEX(DKW_10Y!$C$2:$C$2918,MATCH($A973,DKW_10Y!$A$2:$A$2918,1))-INDEX(DKW_10Y!$C$2:$C$2918,MATCH(Settings!$B$16,DKW_10Y!$A$2:$A$2918,1)))*100))</f>
        <v/>
      </c>
      <c r="Z973" s="19">
        <f>IF(NOT(ISNUMBER($A973)),NA(),IF(OR($A973&lt;MIN(DKW_10Y!$A$2:$A$2918),$A973&gt;MAX(DKW_10Y!$A$2:$A$2918),Settings!$B$16&lt;MIN(DKW_10Y!$A$2:$A$2918)),NA(),(INDEX(DKW_10Y!$D$2:$D$2918,MATCH($A973,DKW_10Y!$A$2:$A$2918,1))-INDEX(DKW_10Y!$D$2:$D$2918,MATCH(Settings!$B$16,DKW_10Y!$A$2:$A$2918,1)))*100))</f>
        <v/>
      </c>
      <c r="AA973" s="19">
        <f>IF(NOT(ISNUMBER($A973)),NA(),IF(OR($A973&lt;MIN(DKW_10Y!$A$2:$A$2918),$A973&gt;MAX(DKW_10Y!$A$2:$A$2918),Settings!$B$16&lt;MIN(DKW_10Y!$A$2:$A$2918)),NA(),(INDEX(DKW_10Y!$E$2:$E$2918,MATCH($A973,DKW_10Y!$A$2:$A$2918,1))-INDEX(DKW_10Y!$E$2:$E$2918,MATCH(Settings!$B$16,DKW_10Y!$A$2:$A$2918,1)))*100))</f>
        <v/>
      </c>
      <c r="AB973" s="19">
        <f>IF(NOT(ISNUMBER($A973)),NA(),IF(OR($A973&lt;MIN(DKW_10Y!$A$2:$A$2918),$A973&gt;MAX(DKW_10Y!$A$2:$A$2918),Settings!$B$16&lt;MIN(DKW_10Y!$A$2:$A$2918)),NA(),(INDEX(DKW_10Y!$H$2:$H$2918,MATCH($A973,DKW_10Y!$A$2:$A$2918,1))-INDEX(DKW_10Y!$H$2:$H$2918,MATCH(Settings!$B$16,DKW_10Y!$A$2:$A$2918,1)))*100))</f>
        <v/>
      </c>
      <c r="AC973" s="18">
        <f>IF(NOT(ISNUMBER($A973)),NA(),IFERROR(1*INDEX(BBG_Data!$N$2:$N$4000,MATCH($A973,BBG_Data!$M$2:$M$4000,0)),NA()))</f>
        <v/>
      </c>
      <c r="AD973" s="18">
        <f>IF(NOT(ISNUMBER($A973)),NA(),IFERROR(1*INDEX(BBG_Data!$P$2:$P$4000,MATCH($A973,BBG_Data!$O$2:$O$4000,0)),NA()))</f>
        <v/>
      </c>
      <c r="AE973" s="18">
        <f>IF(NOT(ISNUMBER($A973)),NA(),IFERROR(1*INDEX(BBG_Data!$R$2:$R$4000,MATCH($A973,BBG_Data!$Q$2:$Q$4000,0)),NA()))</f>
        <v/>
      </c>
      <c r="AF973" s="20">
        <f>IF(AND(ISNUMBER(B973),ISNUMBER(AC973)),(B973-AC973)*100,NA())</f>
        <v/>
      </c>
      <c r="AG973" s="20">
        <f>IF(AND(ISNUMBER(AE973),ISNUMBER(AD973)),(AE973-AD973)*100,NA())</f>
        <v/>
      </c>
      <c r="AH973" s="19">
        <f>IF(NOT(ISNUMBER($A973)),NA(),IFERROR(INDEX(BBG_Data!$T$2:$T$4000,MATCH($A973,BBG_Data!$S$2:$S$4000,0))*Settings!$B$25,NA()))</f>
        <v/>
      </c>
      <c r="AI973" s="19">
        <f>IF(NOT(ISNUMBER($A973)),NA(),IFERROR(INDEX(BBG_Data!$V$2:$V$4000,MATCH($A973,BBG_Data!$U$2:$U$4000,0))*Settings!$B$25,NA()))</f>
        <v/>
      </c>
      <c r="AJ973" s="19">
        <f>IF(NOT(ISNUMBER($A973)),NA(),IFERROR(1*INDEX(BBG_Data!$X$2:$X$4000,MATCH($A973,BBG_Data!$W$2:$W$4000,0)),NA()))</f>
        <v/>
      </c>
      <c r="AK973" s="19">
        <f>IF(NOT(ISNUMBER($A973)),NA(),IFERROR(1*INDEX(BBG_Data!$Z$2:$Z$4000,MATCH($A973,BBG_Data!$Y$2:$Y$4000,0)),NA()))</f>
        <v/>
      </c>
    </row>
    <row r="974">
      <c r="A974" s="17">
        <f>IF(ISNUMBER(BBG_Data!A974),BBG_Data!A974,"")</f>
        <v/>
      </c>
      <c r="B974" s="18">
        <f>IF(AND(ISNUMBER($A974),ISNUMBER(BBG_Data!B974)),BBG_Data!B974,NA())</f>
        <v/>
      </c>
      <c r="C974" s="18">
        <f>IF(NOT(ISNUMBER($A974)),NA(),IFERROR(1*INDEX(BBG_Data!$D$2:$D$4000,MATCH($A974,BBG_Data!$C$2:$C$4000,0)),NA()))</f>
        <v/>
      </c>
      <c r="D974" s="19">
        <f>IF(NOT(ISNUMBER($A974)),NA(),IFERROR(1*INDEX(BBG_Data!$F$2:$F$4000,MATCH($A974,BBG_Data!$E$2:$E$4000,0)),NA()))</f>
        <v/>
      </c>
      <c r="E974" s="19">
        <f>IF(NOT(ISNUMBER($A974)),NA(),IFERROR(1*INDEX(BBG_Data!$H$2:$H$4000,MATCH($A974,BBG_Data!$G$2:$G$4000,0)),NA()))</f>
        <v/>
      </c>
      <c r="F974" s="20">
        <f>IF(AND(ISNUMBER(B974),ISNUMBER(B973)),IF(B974=B973,"",(B974-B973)*100),"")</f>
        <v/>
      </c>
      <c r="G974" s="20">
        <f>IF(AND(ISNUMBER(C974),ISNUMBER(C973)),IF(C974=C973,"",(C974-C973)*100),"")</f>
        <v/>
      </c>
      <c r="H974" s="20">
        <f>IF(OR(NOT(ISNUMBER($A974)),ROW()-2&lt;Settings!$B$11),NA(),IF(COUNT(OFFSET(F974,1-Settings!$B$11,0,Settings!$B$11,1))&lt;ROUNDUP(Settings!$B$11*Settings!$B$26,0),NA(),STDEV(OFFSET(F974,1-Settings!$B$11,0,Settings!$B$11,1))*SQRT(Settings!$B$13)))</f>
        <v/>
      </c>
      <c r="I974" s="20">
        <f>IF(OR(NOT(ISNUMBER($A974)),ROW()-2&lt;Settings!$B$12),NA(),IF(COUNT(OFFSET(F974,1-Settings!$B$12,0,Settings!$B$12,1))&lt;ROUNDUP(Settings!$B$12*Settings!$B$26,0),NA(),STDEV(OFFSET(F974,1-Settings!$B$12,0,Settings!$B$12,1))*SQRT(Settings!$B$13)))</f>
        <v/>
      </c>
      <c r="J974" s="20">
        <f>IF(OR(NOT(ISNUMBER($A974)),ROW()-2&lt;Settings!$B$11),NA(),IF(COUNT(OFFSET(G974,1-Settings!$B$11,0,Settings!$B$11,1))&lt;ROUNDUP(Settings!$B$11*Settings!$B$26,0),NA(),STDEV(OFFSET(G974,1-Settings!$B$11,0,Settings!$B$11,1))*SQRT(Settings!$B$13)))</f>
        <v/>
      </c>
      <c r="K974" s="20">
        <f>IF(OR(NOT(ISNUMBER($A974)),ROW()-2&lt;Settings!$B$12),NA(),IF(COUNT(OFFSET(G974,1-Settings!$B$12,0,Settings!$B$12,1))&lt;ROUNDUP(Settings!$B$12*Settings!$B$26,0),NA(),STDEV(OFFSET(G974,1-Settings!$B$12,0,Settings!$B$12,1))*SQRT(Settings!$B$13)))</f>
        <v/>
      </c>
      <c r="L974" s="20">
        <f>IF(AND(ISNUMBER(D974),ISNUMBER(H974)),D974-H974,NA())</f>
        <v/>
      </c>
      <c r="M974" s="20">
        <f>IF(AND(ISNUMBER(E974),ISNUMBER(K974)),E974-K974,NA())</f>
        <v/>
      </c>
      <c r="N974" s="20">
        <f>IF(NOT(ISNUMBER($A974)),NA(),IF(COUNT(OFFSET(G974,1,0,Settings!$B$12,1))&lt;ROUNDUP(Settings!$B$12*Settings!$B$26,0),NA(),STDEV(OFFSET(G974,1,0,Settings!$B$12,1))*SQRT(Settings!$B$13)))</f>
        <v/>
      </c>
      <c r="O974" s="20">
        <f>IF(AND(ISNUMBER(E974),ISNUMBER(N974)),E974-N974,NA())</f>
        <v/>
      </c>
      <c r="P974" s="19">
        <f>IF(NOT(ISNUMBER($A974)),NA(),IF(OR($A974&lt;MIN(KW_TP!$A$2:$A$2501),$A974&gt;MAX(KW_TP!$A$2:$A$2501)),NA(),INDEX(KW_TP!$C$2:$C$2501,MATCH($A974,KW_TP!$A$2:$A$2501,1))))</f>
        <v/>
      </c>
      <c r="Q974" s="18">
        <f>IF(NOT(ISNUMBER($A974)),NA(),IFERROR(1*INDEX(BBG_Data!$J$2:$J$4000,MATCH($A974,BBG_Data!$I$2:$I$4000,0)),NA()))</f>
        <v/>
      </c>
      <c r="R974" s="18">
        <f>IF(NOT(ISNUMBER($A974)),NA(),IFERROR(1*INDEX(BBG_Data!$L$2:$L$4000,MATCH($A974,BBG_Data!$K$2:$K$4000,0)),NA()))</f>
        <v/>
      </c>
      <c r="S974" s="20">
        <f>IF(AND(ISNUMBER(B974),ISNUMBER(Q974),ISNUMBER(R974)),(B974-Q974-R974)*100,NA())</f>
        <v/>
      </c>
      <c r="T974" s="20">
        <f>IF(AND(ISNUMBER(B974),Settings!$B$17&gt;0),IF(ISNUMBER(INDEX($B:$B,Settings!$B$17)),(B974-INDEX($B:$B,Settings!$B$17))*100,NA()),NA())</f>
        <v/>
      </c>
      <c r="U974" s="20">
        <f>IF(AND(ISNUMBER(Q974),Settings!$B$17&gt;0),IF(ISNUMBER(INDEX($Q:$Q,Settings!$B$17)),(Q974-INDEX($Q:$Q,Settings!$B$17))*100,NA()),NA())</f>
        <v/>
      </c>
      <c r="V974" s="20">
        <f>IF(AND(ISNUMBER(R974),Settings!$B$17&gt;0),IF(ISNUMBER(INDEX($R:$R,Settings!$B$17)),(R974-INDEX($R:$R,Settings!$B$17))*100,NA()),NA())</f>
        <v/>
      </c>
      <c r="W974" s="20">
        <f>IF(AND(ISNUMBER(P974),Settings!$B$17&gt;0),IF(ISNUMBER(INDEX($P:$P,Settings!$B$17)),P974-INDEX($P:$P,Settings!$B$17),NA()),NA())</f>
        <v/>
      </c>
      <c r="X974" s="19">
        <f>IF(NOT(ISNUMBER($A974)),NA(),IF(OR($A974&lt;MIN(DKW_10Y!$A$2:$A$2918),$A974&gt;MAX(DKW_10Y!$A$2:$A$2918),Settings!$B$16&lt;MIN(DKW_10Y!$A$2:$A$2918)),NA(),(INDEX(DKW_10Y!$B$2:$B$2918,MATCH($A974,DKW_10Y!$A$2:$A$2918,1))-INDEX(DKW_10Y!$B$2:$B$2918,MATCH(Settings!$B$16,DKW_10Y!$A$2:$A$2918,1)))*100))</f>
        <v/>
      </c>
      <c r="Y974" s="19">
        <f>IF(NOT(ISNUMBER($A974)),NA(),IF(OR($A974&lt;MIN(DKW_10Y!$A$2:$A$2918),$A974&gt;MAX(DKW_10Y!$A$2:$A$2918),Settings!$B$16&lt;MIN(DKW_10Y!$A$2:$A$2918)),NA(),(INDEX(DKW_10Y!$C$2:$C$2918,MATCH($A974,DKW_10Y!$A$2:$A$2918,1))-INDEX(DKW_10Y!$C$2:$C$2918,MATCH(Settings!$B$16,DKW_10Y!$A$2:$A$2918,1)))*100))</f>
        <v/>
      </c>
      <c r="Z974" s="19">
        <f>IF(NOT(ISNUMBER($A974)),NA(),IF(OR($A974&lt;MIN(DKW_10Y!$A$2:$A$2918),$A974&gt;MAX(DKW_10Y!$A$2:$A$2918),Settings!$B$16&lt;MIN(DKW_10Y!$A$2:$A$2918)),NA(),(INDEX(DKW_10Y!$D$2:$D$2918,MATCH($A974,DKW_10Y!$A$2:$A$2918,1))-INDEX(DKW_10Y!$D$2:$D$2918,MATCH(Settings!$B$16,DKW_10Y!$A$2:$A$2918,1)))*100))</f>
        <v/>
      </c>
      <c r="AA974" s="19">
        <f>IF(NOT(ISNUMBER($A974)),NA(),IF(OR($A974&lt;MIN(DKW_10Y!$A$2:$A$2918),$A974&gt;MAX(DKW_10Y!$A$2:$A$2918),Settings!$B$16&lt;MIN(DKW_10Y!$A$2:$A$2918)),NA(),(INDEX(DKW_10Y!$E$2:$E$2918,MATCH($A974,DKW_10Y!$A$2:$A$2918,1))-INDEX(DKW_10Y!$E$2:$E$2918,MATCH(Settings!$B$16,DKW_10Y!$A$2:$A$2918,1)))*100))</f>
        <v/>
      </c>
      <c r="AB974" s="19">
        <f>IF(NOT(ISNUMBER($A974)),NA(),IF(OR($A974&lt;MIN(DKW_10Y!$A$2:$A$2918),$A974&gt;MAX(DKW_10Y!$A$2:$A$2918),Settings!$B$16&lt;MIN(DKW_10Y!$A$2:$A$2918)),NA(),(INDEX(DKW_10Y!$H$2:$H$2918,MATCH($A974,DKW_10Y!$A$2:$A$2918,1))-INDEX(DKW_10Y!$H$2:$H$2918,MATCH(Settings!$B$16,DKW_10Y!$A$2:$A$2918,1)))*100))</f>
        <v/>
      </c>
      <c r="AC974" s="18">
        <f>IF(NOT(ISNUMBER($A974)),NA(),IFERROR(1*INDEX(BBG_Data!$N$2:$N$4000,MATCH($A974,BBG_Data!$M$2:$M$4000,0)),NA()))</f>
        <v/>
      </c>
      <c r="AD974" s="18">
        <f>IF(NOT(ISNUMBER($A974)),NA(),IFERROR(1*INDEX(BBG_Data!$P$2:$P$4000,MATCH($A974,BBG_Data!$O$2:$O$4000,0)),NA()))</f>
        <v/>
      </c>
      <c r="AE974" s="18">
        <f>IF(NOT(ISNUMBER($A974)),NA(),IFERROR(1*INDEX(BBG_Data!$R$2:$R$4000,MATCH($A974,BBG_Data!$Q$2:$Q$4000,0)),NA()))</f>
        <v/>
      </c>
      <c r="AF974" s="20">
        <f>IF(AND(ISNUMBER(B974),ISNUMBER(AC974)),(B974-AC974)*100,NA())</f>
        <v/>
      </c>
      <c r="AG974" s="20">
        <f>IF(AND(ISNUMBER(AE974),ISNUMBER(AD974)),(AE974-AD974)*100,NA())</f>
        <v/>
      </c>
      <c r="AH974" s="19">
        <f>IF(NOT(ISNUMBER($A974)),NA(),IFERROR(INDEX(BBG_Data!$T$2:$T$4000,MATCH($A974,BBG_Data!$S$2:$S$4000,0))*Settings!$B$25,NA()))</f>
        <v/>
      </c>
      <c r="AI974" s="19">
        <f>IF(NOT(ISNUMBER($A974)),NA(),IFERROR(INDEX(BBG_Data!$V$2:$V$4000,MATCH($A974,BBG_Data!$U$2:$U$4000,0))*Settings!$B$25,NA()))</f>
        <v/>
      </c>
      <c r="AJ974" s="19">
        <f>IF(NOT(ISNUMBER($A974)),NA(),IFERROR(1*INDEX(BBG_Data!$X$2:$X$4000,MATCH($A974,BBG_Data!$W$2:$W$4000,0)),NA()))</f>
        <v/>
      </c>
      <c r="AK974" s="19">
        <f>IF(NOT(ISNUMBER($A974)),NA(),IFERROR(1*INDEX(BBG_Data!$Z$2:$Z$4000,MATCH($A974,BBG_Data!$Y$2:$Y$4000,0)),NA()))</f>
        <v/>
      </c>
    </row>
    <row r="975">
      <c r="A975" s="17">
        <f>IF(ISNUMBER(BBG_Data!A975),BBG_Data!A975,"")</f>
        <v/>
      </c>
      <c r="B975" s="18">
        <f>IF(AND(ISNUMBER($A975),ISNUMBER(BBG_Data!B975)),BBG_Data!B975,NA())</f>
        <v/>
      </c>
      <c r="C975" s="18">
        <f>IF(NOT(ISNUMBER($A975)),NA(),IFERROR(1*INDEX(BBG_Data!$D$2:$D$4000,MATCH($A975,BBG_Data!$C$2:$C$4000,0)),NA()))</f>
        <v/>
      </c>
      <c r="D975" s="19">
        <f>IF(NOT(ISNUMBER($A975)),NA(),IFERROR(1*INDEX(BBG_Data!$F$2:$F$4000,MATCH($A975,BBG_Data!$E$2:$E$4000,0)),NA()))</f>
        <v/>
      </c>
      <c r="E975" s="19">
        <f>IF(NOT(ISNUMBER($A975)),NA(),IFERROR(1*INDEX(BBG_Data!$H$2:$H$4000,MATCH($A975,BBG_Data!$G$2:$G$4000,0)),NA()))</f>
        <v/>
      </c>
      <c r="F975" s="20">
        <f>IF(AND(ISNUMBER(B975),ISNUMBER(B974)),IF(B975=B974,"",(B975-B974)*100),"")</f>
        <v/>
      </c>
      <c r="G975" s="20">
        <f>IF(AND(ISNUMBER(C975),ISNUMBER(C974)),IF(C975=C974,"",(C975-C974)*100),"")</f>
        <v/>
      </c>
      <c r="H975" s="20">
        <f>IF(OR(NOT(ISNUMBER($A975)),ROW()-2&lt;Settings!$B$11),NA(),IF(COUNT(OFFSET(F975,1-Settings!$B$11,0,Settings!$B$11,1))&lt;ROUNDUP(Settings!$B$11*Settings!$B$26,0),NA(),STDEV(OFFSET(F975,1-Settings!$B$11,0,Settings!$B$11,1))*SQRT(Settings!$B$13)))</f>
        <v/>
      </c>
      <c r="I975" s="20">
        <f>IF(OR(NOT(ISNUMBER($A975)),ROW()-2&lt;Settings!$B$12),NA(),IF(COUNT(OFFSET(F975,1-Settings!$B$12,0,Settings!$B$12,1))&lt;ROUNDUP(Settings!$B$12*Settings!$B$26,0),NA(),STDEV(OFFSET(F975,1-Settings!$B$12,0,Settings!$B$12,1))*SQRT(Settings!$B$13)))</f>
        <v/>
      </c>
      <c r="J975" s="20">
        <f>IF(OR(NOT(ISNUMBER($A975)),ROW()-2&lt;Settings!$B$11),NA(),IF(COUNT(OFFSET(G975,1-Settings!$B$11,0,Settings!$B$11,1))&lt;ROUNDUP(Settings!$B$11*Settings!$B$26,0),NA(),STDEV(OFFSET(G975,1-Settings!$B$11,0,Settings!$B$11,1))*SQRT(Settings!$B$13)))</f>
        <v/>
      </c>
      <c r="K975" s="20">
        <f>IF(OR(NOT(ISNUMBER($A975)),ROW()-2&lt;Settings!$B$12),NA(),IF(COUNT(OFFSET(G975,1-Settings!$B$12,0,Settings!$B$12,1))&lt;ROUNDUP(Settings!$B$12*Settings!$B$26,0),NA(),STDEV(OFFSET(G975,1-Settings!$B$12,0,Settings!$B$12,1))*SQRT(Settings!$B$13)))</f>
        <v/>
      </c>
      <c r="L975" s="20">
        <f>IF(AND(ISNUMBER(D975),ISNUMBER(H975)),D975-H975,NA())</f>
        <v/>
      </c>
      <c r="M975" s="20">
        <f>IF(AND(ISNUMBER(E975),ISNUMBER(K975)),E975-K975,NA())</f>
        <v/>
      </c>
      <c r="N975" s="20">
        <f>IF(NOT(ISNUMBER($A975)),NA(),IF(COUNT(OFFSET(G975,1,0,Settings!$B$12,1))&lt;ROUNDUP(Settings!$B$12*Settings!$B$26,0),NA(),STDEV(OFFSET(G975,1,0,Settings!$B$12,1))*SQRT(Settings!$B$13)))</f>
        <v/>
      </c>
      <c r="O975" s="20">
        <f>IF(AND(ISNUMBER(E975),ISNUMBER(N975)),E975-N975,NA())</f>
        <v/>
      </c>
      <c r="P975" s="19">
        <f>IF(NOT(ISNUMBER($A975)),NA(),IF(OR($A975&lt;MIN(KW_TP!$A$2:$A$2501),$A975&gt;MAX(KW_TP!$A$2:$A$2501)),NA(),INDEX(KW_TP!$C$2:$C$2501,MATCH($A975,KW_TP!$A$2:$A$2501,1))))</f>
        <v/>
      </c>
      <c r="Q975" s="18">
        <f>IF(NOT(ISNUMBER($A975)),NA(),IFERROR(1*INDEX(BBG_Data!$J$2:$J$4000,MATCH($A975,BBG_Data!$I$2:$I$4000,0)),NA()))</f>
        <v/>
      </c>
      <c r="R975" s="18">
        <f>IF(NOT(ISNUMBER($A975)),NA(),IFERROR(1*INDEX(BBG_Data!$L$2:$L$4000,MATCH($A975,BBG_Data!$K$2:$K$4000,0)),NA()))</f>
        <v/>
      </c>
      <c r="S975" s="20">
        <f>IF(AND(ISNUMBER(B975),ISNUMBER(Q975),ISNUMBER(R975)),(B975-Q975-R975)*100,NA())</f>
        <v/>
      </c>
      <c r="T975" s="20">
        <f>IF(AND(ISNUMBER(B975),Settings!$B$17&gt;0),IF(ISNUMBER(INDEX($B:$B,Settings!$B$17)),(B975-INDEX($B:$B,Settings!$B$17))*100,NA()),NA())</f>
        <v/>
      </c>
      <c r="U975" s="20">
        <f>IF(AND(ISNUMBER(Q975),Settings!$B$17&gt;0),IF(ISNUMBER(INDEX($Q:$Q,Settings!$B$17)),(Q975-INDEX($Q:$Q,Settings!$B$17))*100,NA()),NA())</f>
        <v/>
      </c>
      <c r="V975" s="20">
        <f>IF(AND(ISNUMBER(R975),Settings!$B$17&gt;0),IF(ISNUMBER(INDEX($R:$R,Settings!$B$17)),(R975-INDEX($R:$R,Settings!$B$17))*100,NA()),NA())</f>
        <v/>
      </c>
      <c r="W975" s="20">
        <f>IF(AND(ISNUMBER(P975),Settings!$B$17&gt;0),IF(ISNUMBER(INDEX($P:$P,Settings!$B$17)),P975-INDEX($P:$P,Settings!$B$17),NA()),NA())</f>
        <v/>
      </c>
      <c r="X975" s="19">
        <f>IF(NOT(ISNUMBER($A975)),NA(),IF(OR($A975&lt;MIN(DKW_10Y!$A$2:$A$2918),$A975&gt;MAX(DKW_10Y!$A$2:$A$2918),Settings!$B$16&lt;MIN(DKW_10Y!$A$2:$A$2918)),NA(),(INDEX(DKW_10Y!$B$2:$B$2918,MATCH($A975,DKW_10Y!$A$2:$A$2918,1))-INDEX(DKW_10Y!$B$2:$B$2918,MATCH(Settings!$B$16,DKW_10Y!$A$2:$A$2918,1)))*100))</f>
        <v/>
      </c>
      <c r="Y975" s="19">
        <f>IF(NOT(ISNUMBER($A975)),NA(),IF(OR($A975&lt;MIN(DKW_10Y!$A$2:$A$2918),$A975&gt;MAX(DKW_10Y!$A$2:$A$2918),Settings!$B$16&lt;MIN(DKW_10Y!$A$2:$A$2918)),NA(),(INDEX(DKW_10Y!$C$2:$C$2918,MATCH($A975,DKW_10Y!$A$2:$A$2918,1))-INDEX(DKW_10Y!$C$2:$C$2918,MATCH(Settings!$B$16,DKW_10Y!$A$2:$A$2918,1)))*100))</f>
        <v/>
      </c>
      <c r="Z975" s="19">
        <f>IF(NOT(ISNUMBER($A975)),NA(),IF(OR($A975&lt;MIN(DKW_10Y!$A$2:$A$2918),$A975&gt;MAX(DKW_10Y!$A$2:$A$2918),Settings!$B$16&lt;MIN(DKW_10Y!$A$2:$A$2918)),NA(),(INDEX(DKW_10Y!$D$2:$D$2918,MATCH($A975,DKW_10Y!$A$2:$A$2918,1))-INDEX(DKW_10Y!$D$2:$D$2918,MATCH(Settings!$B$16,DKW_10Y!$A$2:$A$2918,1)))*100))</f>
        <v/>
      </c>
      <c r="AA975" s="19">
        <f>IF(NOT(ISNUMBER($A975)),NA(),IF(OR($A975&lt;MIN(DKW_10Y!$A$2:$A$2918),$A975&gt;MAX(DKW_10Y!$A$2:$A$2918),Settings!$B$16&lt;MIN(DKW_10Y!$A$2:$A$2918)),NA(),(INDEX(DKW_10Y!$E$2:$E$2918,MATCH($A975,DKW_10Y!$A$2:$A$2918,1))-INDEX(DKW_10Y!$E$2:$E$2918,MATCH(Settings!$B$16,DKW_10Y!$A$2:$A$2918,1)))*100))</f>
        <v/>
      </c>
      <c r="AB975" s="19">
        <f>IF(NOT(ISNUMBER($A975)),NA(),IF(OR($A975&lt;MIN(DKW_10Y!$A$2:$A$2918),$A975&gt;MAX(DKW_10Y!$A$2:$A$2918),Settings!$B$16&lt;MIN(DKW_10Y!$A$2:$A$2918)),NA(),(INDEX(DKW_10Y!$H$2:$H$2918,MATCH($A975,DKW_10Y!$A$2:$A$2918,1))-INDEX(DKW_10Y!$H$2:$H$2918,MATCH(Settings!$B$16,DKW_10Y!$A$2:$A$2918,1)))*100))</f>
        <v/>
      </c>
      <c r="AC975" s="18">
        <f>IF(NOT(ISNUMBER($A975)),NA(),IFERROR(1*INDEX(BBG_Data!$N$2:$N$4000,MATCH($A975,BBG_Data!$M$2:$M$4000,0)),NA()))</f>
        <v/>
      </c>
      <c r="AD975" s="18">
        <f>IF(NOT(ISNUMBER($A975)),NA(),IFERROR(1*INDEX(BBG_Data!$P$2:$P$4000,MATCH($A975,BBG_Data!$O$2:$O$4000,0)),NA()))</f>
        <v/>
      </c>
      <c r="AE975" s="18">
        <f>IF(NOT(ISNUMBER($A975)),NA(),IFERROR(1*INDEX(BBG_Data!$R$2:$R$4000,MATCH($A975,BBG_Data!$Q$2:$Q$4000,0)),NA()))</f>
        <v/>
      </c>
      <c r="AF975" s="20">
        <f>IF(AND(ISNUMBER(B975),ISNUMBER(AC975)),(B975-AC975)*100,NA())</f>
        <v/>
      </c>
      <c r="AG975" s="20">
        <f>IF(AND(ISNUMBER(AE975),ISNUMBER(AD975)),(AE975-AD975)*100,NA())</f>
        <v/>
      </c>
      <c r="AH975" s="19">
        <f>IF(NOT(ISNUMBER($A975)),NA(),IFERROR(INDEX(BBG_Data!$T$2:$T$4000,MATCH($A975,BBG_Data!$S$2:$S$4000,0))*Settings!$B$25,NA()))</f>
        <v/>
      </c>
      <c r="AI975" s="19">
        <f>IF(NOT(ISNUMBER($A975)),NA(),IFERROR(INDEX(BBG_Data!$V$2:$V$4000,MATCH($A975,BBG_Data!$U$2:$U$4000,0))*Settings!$B$25,NA()))</f>
        <v/>
      </c>
      <c r="AJ975" s="19">
        <f>IF(NOT(ISNUMBER($A975)),NA(),IFERROR(1*INDEX(BBG_Data!$X$2:$X$4000,MATCH($A975,BBG_Data!$W$2:$W$4000,0)),NA()))</f>
        <v/>
      </c>
      <c r="AK975" s="19">
        <f>IF(NOT(ISNUMBER($A975)),NA(),IFERROR(1*INDEX(BBG_Data!$Z$2:$Z$4000,MATCH($A975,BBG_Data!$Y$2:$Y$4000,0)),NA()))</f>
        <v/>
      </c>
    </row>
    <row r="976">
      <c r="A976" s="17">
        <f>IF(ISNUMBER(BBG_Data!A976),BBG_Data!A976,"")</f>
        <v/>
      </c>
      <c r="B976" s="18">
        <f>IF(AND(ISNUMBER($A976),ISNUMBER(BBG_Data!B976)),BBG_Data!B976,NA())</f>
        <v/>
      </c>
      <c r="C976" s="18">
        <f>IF(NOT(ISNUMBER($A976)),NA(),IFERROR(1*INDEX(BBG_Data!$D$2:$D$4000,MATCH($A976,BBG_Data!$C$2:$C$4000,0)),NA()))</f>
        <v/>
      </c>
      <c r="D976" s="19">
        <f>IF(NOT(ISNUMBER($A976)),NA(),IFERROR(1*INDEX(BBG_Data!$F$2:$F$4000,MATCH($A976,BBG_Data!$E$2:$E$4000,0)),NA()))</f>
        <v/>
      </c>
      <c r="E976" s="19">
        <f>IF(NOT(ISNUMBER($A976)),NA(),IFERROR(1*INDEX(BBG_Data!$H$2:$H$4000,MATCH($A976,BBG_Data!$G$2:$G$4000,0)),NA()))</f>
        <v/>
      </c>
      <c r="F976" s="20">
        <f>IF(AND(ISNUMBER(B976),ISNUMBER(B975)),IF(B976=B975,"",(B976-B975)*100),"")</f>
        <v/>
      </c>
      <c r="G976" s="20">
        <f>IF(AND(ISNUMBER(C976),ISNUMBER(C975)),IF(C976=C975,"",(C976-C975)*100),"")</f>
        <v/>
      </c>
      <c r="H976" s="20">
        <f>IF(OR(NOT(ISNUMBER($A976)),ROW()-2&lt;Settings!$B$11),NA(),IF(COUNT(OFFSET(F976,1-Settings!$B$11,0,Settings!$B$11,1))&lt;ROUNDUP(Settings!$B$11*Settings!$B$26,0),NA(),STDEV(OFFSET(F976,1-Settings!$B$11,0,Settings!$B$11,1))*SQRT(Settings!$B$13)))</f>
        <v/>
      </c>
      <c r="I976" s="20">
        <f>IF(OR(NOT(ISNUMBER($A976)),ROW()-2&lt;Settings!$B$12),NA(),IF(COUNT(OFFSET(F976,1-Settings!$B$12,0,Settings!$B$12,1))&lt;ROUNDUP(Settings!$B$12*Settings!$B$26,0),NA(),STDEV(OFFSET(F976,1-Settings!$B$12,0,Settings!$B$12,1))*SQRT(Settings!$B$13)))</f>
        <v/>
      </c>
      <c r="J976" s="20">
        <f>IF(OR(NOT(ISNUMBER($A976)),ROW()-2&lt;Settings!$B$11),NA(),IF(COUNT(OFFSET(G976,1-Settings!$B$11,0,Settings!$B$11,1))&lt;ROUNDUP(Settings!$B$11*Settings!$B$26,0),NA(),STDEV(OFFSET(G976,1-Settings!$B$11,0,Settings!$B$11,1))*SQRT(Settings!$B$13)))</f>
        <v/>
      </c>
      <c r="K976" s="20">
        <f>IF(OR(NOT(ISNUMBER($A976)),ROW()-2&lt;Settings!$B$12),NA(),IF(COUNT(OFFSET(G976,1-Settings!$B$12,0,Settings!$B$12,1))&lt;ROUNDUP(Settings!$B$12*Settings!$B$26,0),NA(),STDEV(OFFSET(G976,1-Settings!$B$12,0,Settings!$B$12,1))*SQRT(Settings!$B$13)))</f>
        <v/>
      </c>
      <c r="L976" s="20">
        <f>IF(AND(ISNUMBER(D976),ISNUMBER(H976)),D976-H976,NA())</f>
        <v/>
      </c>
      <c r="M976" s="20">
        <f>IF(AND(ISNUMBER(E976),ISNUMBER(K976)),E976-K976,NA())</f>
        <v/>
      </c>
      <c r="N976" s="20">
        <f>IF(NOT(ISNUMBER($A976)),NA(),IF(COUNT(OFFSET(G976,1,0,Settings!$B$12,1))&lt;ROUNDUP(Settings!$B$12*Settings!$B$26,0),NA(),STDEV(OFFSET(G976,1,0,Settings!$B$12,1))*SQRT(Settings!$B$13)))</f>
        <v/>
      </c>
      <c r="O976" s="20">
        <f>IF(AND(ISNUMBER(E976),ISNUMBER(N976)),E976-N976,NA())</f>
        <v/>
      </c>
      <c r="P976" s="19">
        <f>IF(NOT(ISNUMBER($A976)),NA(),IF(OR($A976&lt;MIN(KW_TP!$A$2:$A$2501),$A976&gt;MAX(KW_TP!$A$2:$A$2501)),NA(),INDEX(KW_TP!$C$2:$C$2501,MATCH($A976,KW_TP!$A$2:$A$2501,1))))</f>
        <v/>
      </c>
      <c r="Q976" s="18">
        <f>IF(NOT(ISNUMBER($A976)),NA(),IFERROR(1*INDEX(BBG_Data!$J$2:$J$4000,MATCH($A976,BBG_Data!$I$2:$I$4000,0)),NA()))</f>
        <v/>
      </c>
      <c r="R976" s="18">
        <f>IF(NOT(ISNUMBER($A976)),NA(),IFERROR(1*INDEX(BBG_Data!$L$2:$L$4000,MATCH($A976,BBG_Data!$K$2:$K$4000,0)),NA()))</f>
        <v/>
      </c>
      <c r="S976" s="20">
        <f>IF(AND(ISNUMBER(B976),ISNUMBER(Q976),ISNUMBER(R976)),(B976-Q976-R976)*100,NA())</f>
        <v/>
      </c>
      <c r="T976" s="20">
        <f>IF(AND(ISNUMBER(B976),Settings!$B$17&gt;0),IF(ISNUMBER(INDEX($B:$B,Settings!$B$17)),(B976-INDEX($B:$B,Settings!$B$17))*100,NA()),NA())</f>
        <v/>
      </c>
      <c r="U976" s="20">
        <f>IF(AND(ISNUMBER(Q976),Settings!$B$17&gt;0),IF(ISNUMBER(INDEX($Q:$Q,Settings!$B$17)),(Q976-INDEX($Q:$Q,Settings!$B$17))*100,NA()),NA())</f>
        <v/>
      </c>
      <c r="V976" s="20">
        <f>IF(AND(ISNUMBER(R976),Settings!$B$17&gt;0),IF(ISNUMBER(INDEX($R:$R,Settings!$B$17)),(R976-INDEX($R:$R,Settings!$B$17))*100,NA()),NA())</f>
        <v/>
      </c>
      <c r="W976" s="20">
        <f>IF(AND(ISNUMBER(P976),Settings!$B$17&gt;0),IF(ISNUMBER(INDEX($P:$P,Settings!$B$17)),P976-INDEX($P:$P,Settings!$B$17),NA()),NA())</f>
        <v/>
      </c>
      <c r="X976" s="19">
        <f>IF(NOT(ISNUMBER($A976)),NA(),IF(OR($A976&lt;MIN(DKW_10Y!$A$2:$A$2918),$A976&gt;MAX(DKW_10Y!$A$2:$A$2918),Settings!$B$16&lt;MIN(DKW_10Y!$A$2:$A$2918)),NA(),(INDEX(DKW_10Y!$B$2:$B$2918,MATCH($A976,DKW_10Y!$A$2:$A$2918,1))-INDEX(DKW_10Y!$B$2:$B$2918,MATCH(Settings!$B$16,DKW_10Y!$A$2:$A$2918,1)))*100))</f>
        <v/>
      </c>
      <c r="Y976" s="19">
        <f>IF(NOT(ISNUMBER($A976)),NA(),IF(OR($A976&lt;MIN(DKW_10Y!$A$2:$A$2918),$A976&gt;MAX(DKW_10Y!$A$2:$A$2918),Settings!$B$16&lt;MIN(DKW_10Y!$A$2:$A$2918)),NA(),(INDEX(DKW_10Y!$C$2:$C$2918,MATCH($A976,DKW_10Y!$A$2:$A$2918,1))-INDEX(DKW_10Y!$C$2:$C$2918,MATCH(Settings!$B$16,DKW_10Y!$A$2:$A$2918,1)))*100))</f>
        <v/>
      </c>
      <c r="Z976" s="19">
        <f>IF(NOT(ISNUMBER($A976)),NA(),IF(OR($A976&lt;MIN(DKW_10Y!$A$2:$A$2918),$A976&gt;MAX(DKW_10Y!$A$2:$A$2918),Settings!$B$16&lt;MIN(DKW_10Y!$A$2:$A$2918)),NA(),(INDEX(DKW_10Y!$D$2:$D$2918,MATCH($A976,DKW_10Y!$A$2:$A$2918,1))-INDEX(DKW_10Y!$D$2:$D$2918,MATCH(Settings!$B$16,DKW_10Y!$A$2:$A$2918,1)))*100))</f>
        <v/>
      </c>
      <c r="AA976" s="19">
        <f>IF(NOT(ISNUMBER($A976)),NA(),IF(OR($A976&lt;MIN(DKW_10Y!$A$2:$A$2918),$A976&gt;MAX(DKW_10Y!$A$2:$A$2918),Settings!$B$16&lt;MIN(DKW_10Y!$A$2:$A$2918)),NA(),(INDEX(DKW_10Y!$E$2:$E$2918,MATCH($A976,DKW_10Y!$A$2:$A$2918,1))-INDEX(DKW_10Y!$E$2:$E$2918,MATCH(Settings!$B$16,DKW_10Y!$A$2:$A$2918,1)))*100))</f>
        <v/>
      </c>
      <c r="AB976" s="19">
        <f>IF(NOT(ISNUMBER($A976)),NA(),IF(OR($A976&lt;MIN(DKW_10Y!$A$2:$A$2918),$A976&gt;MAX(DKW_10Y!$A$2:$A$2918),Settings!$B$16&lt;MIN(DKW_10Y!$A$2:$A$2918)),NA(),(INDEX(DKW_10Y!$H$2:$H$2918,MATCH($A976,DKW_10Y!$A$2:$A$2918,1))-INDEX(DKW_10Y!$H$2:$H$2918,MATCH(Settings!$B$16,DKW_10Y!$A$2:$A$2918,1)))*100))</f>
        <v/>
      </c>
      <c r="AC976" s="18">
        <f>IF(NOT(ISNUMBER($A976)),NA(),IFERROR(1*INDEX(BBG_Data!$N$2:$N$4000,MATCH($A976,BBG_Data!$M$2:$M$4000,0)),NA()))</f>
        <v/>
      </c>
      <c r="AD976" s="18">
        <f>IF(NOT(ISNUMBER($A976)),NA(),IFERROR(1*INDEX(BBG_Data!$P$2:$P$4000,MATCH($A976,BBG_Data!$O$2:$O$4000,0)),NA()))</f>
        <v/>
      </c>
      <c r="AE976" s="18">
        <f>IF(NOT(ISNUMBER($A976)),NA(),IFERROR(1*INDEX(BBG_Data!$R$2:$R$4000,MATCH($A976,BBG_Data!$Q$2:$Q$4000,0)),NA()))</f>
        <v/>
      </c>
      <c r="AF976" s="20">
        <f>IF(AND(ISNUMBER(B976),ISNUMBER(AC976)),(B976-AC976)*100,NA())</f>
        <v/>
      </c>
      <c r="AG976" s="20">
        <f>IF(AND(ISNUMBER(AE976),ISNUMBER(AD976)),(AE976-AD976)*100,NA())</f>
        <v/>
      </c>
      <c r="AH976" s="19">
        <f>IF(NOT(ISNUMBER($A976)),NA(),IFERROR(INDEX(BBG_Data!$T$2:$T$4000,MATCH($A976,BBG_Data!$S$2:$S$4000,0))*Settings!$B$25,NA()))</f>
        <v/>
      </c>
      <c r="AI976" s="19">
        <f>IF(NOT(ISNUMBER($A976)),NA(),IFERROR(INDEX(BBG_Data!$V$2:$V$4000,MATCH($A976,BBG_Data!$U$2:$U$4000,0))*Settings!$B$25,NA()))</f>
        <v/>
      </c>
      <c r="AJ976" s="19">
        <f>IF(NOT(ISNUMBER($A976)),NA(),IFERROR(1*INDEX(BBG_Data!$X$2:$X$4000,MATCH($A976,BBG_Data!$W$2:$W$4000,0)),NA()))</f>
        <v/>
      </c>
      <c r="AK976" s="19">
        <f>IF(NOT(ISNUMBER($A976)),NA(),IFERROR(1*INDEX(BBG_Data!$Z$2:$Z$4000,MATCH($A976,BBG_Data!$Y$2:$Y$4000,0)),NA()))</f>
        <v/>
      </c>
    </row>
    <row r="977">
      <c r="A977" s="17">
        <f>IF(ISNUMBER(BBG_Data!A977),BBG_Data!A977,"")</f>
        <v/>
      </c>
      <c r="B977" s="18">
        <f>IF(AND(ISNUMBER($A977),ISNUMBER(BBG_Data!B977)),BBG_Data!B977,NA())</f>
        <v/>
      </c>
      <c r="C977" s="18">
        <f>IF(NOT(ISNUMBER($A977)),NA(),IFERROR(1*INDEX(BBG_Data!$D$2:$D$4000,MATCH($A977,BBG_Data!$C$2:$C$4000,0)),NA()))</f>
        <v/>
      </c>
      <c r="D977" s="19">
        <f>IF(NOT(ISNUMBER($A977)),NA(),IFERROR(1*INDEX(BBG_Data!$F$2:$F$4000,MATCH($A977,BBG_Data!$E$2:$E$4000,0)),NA()))</f>
        <v/>
      </c>
      <c r="E977" s="19">
        <f>IF(NOT(ISNUMBER($A977)),NA(),IFERROR(1*INDEX(BBG_Data!$H$2:$H$4000,MATCH($A977,BBG_Data!$G$2:$G$4000,0)),NA()))</f>
        <v/>
      </c>
      <c r="F977" s="20">
        <f>IF(AND(ISNUMBER(B977),ISNUMBER(B976)),IF(B977=B976,"",(B977-B976)*100),"")</f>
        <v/>
      </c>
      <c r="G977" s="20">
        <f>IF(AND(ISNUMBER(C977),ISNUMBER(C976)),IF(C977=C976,"",(C977-C976)*100),"")</f>
        <v/>
      </c>
      <c r="H977" s="20">
        <f>IF(OR(NOT(ISNUMBER($A977)),ROW()-2&lt;Settings!$B$11),NA(),IF(COUNT(OFFSET(F977,1-Settings!$B$11,0,Settings!$B$11,1))&lt;ROUNDUP(Settings!$B$11*Settings!$B$26,0),NA(),STDEV(OFFSET(F977,1-Settings!$B$11,0,Settings!$B$11,1))*SQRT(Settings!$B$13)))</f>
        <v/>
      </c>
      <c r="I977" s="20">
        <f>IF(OR(NOT(ISNUMBER($A977)),ROW()-2&lt;Settings!$B$12),NA(),IF(COUNT(OFFSET(F977,1-Settings!$B$12,0,Settings!$B$12,1))&lt;ROUNDUP(Settings!$B$12*Settings!$B$26,0),NA(),STDEV(OFFSET(F977,1-Settings!$B$12,0,Settings!$B$12,1))*SQRT(Settings!$B$13)))</f>
        <v/>
      </c>
      <c r="J977" s="20">
        <f>IF(OR(NOT(ISNUMBER($A977)),ROW()-2&lt;Settings!$B$11),NA(),IF(COUNT(OFFSET(G977,1-Settings!$B$11,0,Settings!$B$11,1))&lt;ROUNDUP(Settings!$B$11*Settings!$B$26,0),NA(),STDEV(OFFSET(G977,1-Settings!$B$11,0,Settings!$B$11,1))*SQRT(Settings!$B$13)))</f>
        <v/>
      </c>
      <c r="K977" s="20">
        <f>IF(OR(NOT(ISNUMBER($A977)),ROW()-2&lt;Settings!$B$12),NA(),IF(COUNT(OFFSET(G977,1-Settings!$B$12,0,Settings!$B$12,1))&lt;ROUNDUP(Settings!$B$12*Settings!$B$26,0),NA(),STDEV(OFFSET(G977,1-Settings!$B$12,0,Settings!$B$12,1))*SQRT(Settings!$B$13)))</f>
        <v/>
      </c>
      <c r="L977" s="20">
        <f>IF(AND(ISNUMBER(D977),ISNUMBER(H977)),D977-H977,NA())</f>
        <v/>
      </c>
      <c r="M977" s="20">
        <f>IF(AND(ISNUMBER(E977),ISNUMBER(K977)),E977-K977,NA())</f>
        <v/>
      </c>
      <c r="N977" s="20">
        <f>IF(NOT(ISNUMBER($A977)),NA(),IF(COUNT(OFFSET(G977,1,0,Settings!$B$12,1))&lt;ROUNDUP(Settings!$B$12*Settings!$B$26,0),NA(),STDEV(OFFSET(G977,1,0,Settings!$B$12,1))*SQRT(Settings!$B$13)))</f>
        <v/>
      </c>
      <c r="O977" s="20">
        <f>IF(AND(ISNUMBER(E977),ISNUMBER(N977)),E977-N977,NA())</f>
        <v/>
      </c>
      <c r="P977" s="19">
        <f>IF(NOT(ISNUMBER($A977)),NA(),IF(OR($A977&lt;MIN(KW_TP!$A$2:$A$2501),$A977&gt;MAX(KW_TP!$A$2:$A$2501)),NA(),INDEX(KW_TP!$C$2:$C$2501,MATCH($A977,KW_TP!$A$2:$A$2501,1))))</f>
        <v/>
      </c>
      <c r="Q977" s="18">
        <f>IF(NOT(ISNUMBER($A977)),NA(),IFERROR(1*INDEX(BBG_Data!$J$2:$J$4000,MATCH($A977,BBG_Data!$I$2:$I$4000,0)),NA()))</f>
        <v/>
      </c>
      <c r="R977" s="18">
        <f>IF(NOT(ISNUMBER($A977)),NA(),IFERROR(1*INDEX(BBG_Data!$L$2:$L$4000,MATCH($A977,BBG_Data!$K$2:$K$4000,0)),NA()))</f>
        <v/>
      </c>
      <c r="S977" s="20">
        <f>IF(AND(ISNUMBER(B977),ISNUMBER(Q977),ISNUMBER(R977)),(B977-Q977-R977)*100,NA())</f>
        <v/>
      </c>
      <c r="T977" s="20">
        <f>IF(AND(ISNUMBER(B977),Settings!$B$17&gt;0),IF(ISNUMBER(INDEX($B:$B,Settings!$B$17)),(B977-INDEX($B:$B,Settings!$B$17))*100,NA()),NA())</f>
        <v/>
      </c>
      <c r="U977" s="20">
        <f>IF(AND(ISNUMBER(Q977),Settings!$B$17&gt;0),IF(ISNUMBER(INDEX($Q:$Q,Settings!$B$17)),(Q977-INDEX($Q:$Q,Settings!$B$17))*100,NA()),NA())</f>
        <v/>
      </c>
      <c r="V977" s="20">
        <f>IF(AND(ISNUMBER(R977),Settings!$B$17&gt;0),IF(ISNUMBER(INDEX($R:$R,Settings!$B$17)),(R977-INDEX($R:$R,Settings!$B$17))*100,NA()),NA())</f>
        <v/>
      </c>
      <c r="W977" s="20">
        <f>IF(AND(ISNUMBER(P977),Settings!$B$17&gt;0),IF(ISNUMBER(INDEX($P:$P,Settings!$B$17)),P977-INDEX($P:$P,Settings!$B$17),NA()),NA())</f>
        <v/>
      </c>
      <c r="X977" s="19">
        <f>IF(NOT(ISNUMBER($A977)),NA(),IF(OR($A977&lt;MIN(DKW_10Y!$A$2:$A$2918),$A977&gt;MAX(DKW_10Y!$A$2:$A$2918),Settings!$B$16&lt;MIN(DKW_10Y!$A$2:$A$2918)),NA(),(INDEX(DKW_10Y!$B$2:$B$2918,MATCH($A977,DKW_10Y!$A$2:$A$2918,1))-INDEX(DKW_10Y!$B$2:$B$2918,MATCH(Settings!$B$16,DKW_10Y!$A$2:$A$2918,1)))*100))</f>
        <v/>
      </c>
      <c r="Y977" s="19">
        <f>IF(NOT(ISNUMBER($A977)),NA(),IF(OR($A977&lt;MIN(DKW_10Y!$A$2:$A$2918),$A977&gt;MAX(DKW_10Y!$A$2:$A$2918),Settings!$B$16&lt;MIN(DKW_10Y!$A$2:$A$2918)),NA(),(INDEX(DKW_10Y!$C$2:$C$2918,MATCH($A977,DKW_10Y!$A$2:$A$2918,1))-INDEX(DKW_10Y!$C$2:$C$2918,MATCH(Settings!$B$16,DKW_10Y!$A$2:$A$2918,1)))*100))</f>
        <v/>
      </c>
      <c r="Z977" s="19">
        <f>IF(NOT(ISNUMBER($A977)),NA(),IF(OR($A977&lt;MIN(DKW_10Y!$A$2:$A$2918),$A977&gt;MAX(DKW_10Y!$A$2:$A$2918),Settings!$B$16&lt;MIN(DKW_10Y!$A$2:$A$2918)),NA(),(INDEX(DKW_10Y!$D$2:$D$2918,MATCH($A977,DKW_10Y!$A$2:$A$2918,1))-INDEX(DKW_10Y!$D$2:$D$2918,MATCH(Settings!$B$16,DKW_10Y!$A$2:$A$2918,1)))*100))</f>
        <v/>
      </c>
      <c r="AA977" s="19">
        <f>IF(NOT(ISNUMBER($A977)),NA(),IF(OR($A977&lt;MIN(DKW_10Y!$A$2:$A$2918),$A977&gt;MAX(DKW_10Y!$A$2:$A$2918),Settings!$B$16&lt;MIN(DKW_10Y!$A$2:$A$2918)),NA(),(INDEX(DKW_10Y!$E$2:$E$2918,MATCH($A977,DKW_10Y!$A$2:$A$2918,1))-INDEX(DKW_10Y!$E$2:$E$2918,MATCH(Settings!$B$16,DKW_10Y!$A$2:$A$2918,1)))*100))</f>
        <v/>
      </c>
      <c r="AB977" s="19">
        <f>IF(NOT(ISNUMBER($A977)),NA(),IF(OR($A977&lt;MIN(DKW_10Y!$A$2:$A$2918),$A977&gt;MAX(DKW_10Y!$A$2:$A$2918),Settings!$B$16&lt;MIN(DKW_10Y!$A$2:$A$2918)),NA(),(INDEX(DKW_10Y!$H$2:$H$2918,MATCH($A977,DKW_10Y!$A$2:$A$2918,1))-INDEX(DKW_10Y!$H$2:$H$2918,MATCH(Settings!$B$16,DKW_10Y!$A$2:$A$2918,1)))*100))</f>
        <v/>
      </c>
      <c r="AC977" s="18">
        <f>IF(NOT(ISNUMBER($A977)),NA(),IFERROR(1*INDEX(BBG_Data!$N$2:$N$4000,MATCH($A977,BBG_Data!$M$2:$M$4000,0)),NA()))</f>
        <v/>
      </c>
      <c r="AD977" s="18">
        <f>IF(NOT(ISNUMBER($A977)),NA(),IFERROR(1*INDEX(BBG_Data!$P$2:$P$4000,MATCH($A977,BBG_Data!$O$2:$O$4000,0)),NA()))</f>
        <v/>
      </c>
      <c r="AE977" s="18">
        <f>IF(NOT(ISNUMBER($A977)),NA(),IFERROR(1*INDEX(BBG_Data!$R$2:$R$4000,MATCH($A977,BBG_Data!$Q$2:$Q$4000,0)),NA()))</f>
        <v/>
      </c>
      <c r="AF977" s="20">
        <f>IF(AND(ISNUMBER(B977),ISNUMBER(AC977)),(B977-AC977)*100,NA())</f>
        <v/>
      </c>
      <c r="AG977" s="20">
        <f>IF(AND(ISNUMBER(AE977),ISNUMBER(AD977)),(AE977-AD977)*100,NA())</f>
        <v/>
      </c>
      <c r="AH977" s="19">
        <f>IF(NOT(ISNUMBER($A977)),NA(),IFERROR(INDEX(BBG_Data!$T$2:$T$4000,MATCH($A977,BBG_Data!$S$2:$S$4000,0))*Settings!$B$25,NA()))</f>
        <v/>
      </c>
      <c r="AI977" s="19">
        <f>IF(NOT(ISNUMBER($A977)),NA(),IFERROR(INDEX(BBG_Data!$V$2:$V$4000,MATCH($A977,BBG_Data!$U$2:$U$4000,0))*Settings!$B$25,NA()))</f>
        <v/>
      </c>
      <c r="AJ977" s="19">
        <f>IF(NOT(ISNUMBER($A977)),NA(),IFERROR(1*INDEX(BBG_Data!$X$2:$X$4000,MATCH($A977,BBG_Data!$W$2:$W$4000,0)),NA()))</f>
        <v/>
      </c>
      <c r="AK977" s="19">
        <f>IF(NOT(ISNUMBER($A977)),NA(),IFERROR(1*INDEX(BBG_Data!$Z$2:$Z$4000,MATCH($A977,BBG_Data!$Y$2:$Y$4000,0)),NA()))</f>
        <v/>
      </c>
    </row>
    <row r="978">
      <c r="A978" s="17">
        <f>IF(ISNUMBER(BBG_Data!A978),BBG_Data!A978,"")</f>
        <v/>
      </c>
      <c r="B978" s="18">
        <f>IF(AND(ISNUMBER($A978),ISNUMBER(BBG_Data!B978)),BBG_Data!B978,NA())</f>
        <v/>
      </c>
      <c r="C978" s="18">
        <f>IF(NOT(ISNUMBER($A978)),NA(),IFERROR(1*INDEX(BBG_Data!$D$2:$D$4000,MATCH($A978,BBG_Data!$C$2:$C$4000,0)),NA()))</f>
        <v/>
      </c>
      <c r="D978" s="19">
        <f>IF(NOT(ISNUMBER($A978)),NA(),IFERROR(1*INDEX(BBG_Data!$F$2:$F$4000,MATCH($A978,BBG_Data!$E$2:$E$4000,0)),NA()))</f>
        <v/>
      </c>
      <c r="E978" s="19">
        <f>IF(NOT(ISNUMBER($A978)),NA(),IFERROR(1*INDEX(BBG_Data!$H$2:$H$4000,MATCH($A978,BBG_Data!$G$2:$G$4000,0)),NA()))</f>
        <v/>
      </c>
      <c r="F978" s="20">
        <f>IF(AND(ISNUMBER(B978),ISNUMBER(B977)),IF(B978=B977,"",(B978-B977)*100),"")</f>
        <v/>
      </c>
      <c r="G978" s="20">
        <f>IF(AND(ISNUMBER(C978),ISNUMBER(C977)),IF(C978=C977,"",(C978-C977)*100),"")</f>
        <v/>
      </c>
      <c r="H978" s="20">
        <f>IF(OR(NOT(ISNUMBER($A978)),ROW()-2&lt;Settings!$B$11),NA(),IF(COUNT(OFFSET(F978,1-Settings!$B$11,0,Settings!$B$11,1))&lt;ROUNDUP(Settings!$B$11*Settings!$B$26,0),NA(),STDEV(OFFSET(F978,1-Settings!$B$11,0,Settings!$B$11,1))*SQRT(Settings!$B$13)))</f>
        <v/>
      </c>
      <c r="I978" s="20">
        <f>IF(OR(NOT(ISNUMBER($A978)),ROW()-2&lt;Settings!$B$12),NA(),IF(COUNT(OFFSET(F978,1-Settings!$B$12,0,Settings!$B$12,1))&lt;ROUNDUP(Settings!$B$12*Settings!$B$26,0),NA(),STDEV(OFFSET(F978,1-Settings!$B$12,0,Settings!$B$12,1))*SQRT(Settings!$B$13)))</f>
        <v/>
      </c>
      <c r="J978" s="20">
        <f>IF(OR(NOT(ISNUMBER($A978)),ROW()-2&lt;Settings!$B$11),NA(),IF(COUNT(OFFSET(G978,1-Settings!$B$11,0,Settings!$B$11,1))&lt;ROUNDUP(Settings!$B$11*Settings!$B$26,0),NA(),STDEV(OFFSET(G978,1-Settings!$B$11,0,Settings!$B$11,1))*SQRT(Settings!$B$13)))</f>
        <v/>
      </c>
      <c r="K978" s="20">
        <f>IF(OR(NOT(ISNUMBER($A978)),ROW()-2&lt;Settings!$B$12),NA(),IF(COUNT(OFFSET(G978,1-Settings!$B$12,0,Settings!$B$12,1))&lt;ROUNDUP(Settings!$B$12*Settings!$B$26,0),NA(),STDEV(OFFSET(G978,1-Settings!$B$12,0,Settings!$B$12,1))*SQRT(Settings!$B$13)))</f>
        <v/>
      </c>
      <c r="L978" s="20">
        <f>IF(AND(ISNUMBER(D978),ISNUMBER(H978)),D978-H978,NA())</f>
        <v/>
      </c>
      <c r="M978" s="20">
        <f>IF(AND(ISNUMBER(E978),ISNUMBER(K978)),E978-K978,NA())</f>
        <v/>
      </c>
      <c r="N978" s="20">
        <f>IF(NOT(ISNUMBER($A978)),NA(),IF(COUNT(OFFSET(G978,1,0,Settings!$B$12,1))&lt;ROUNDUP(Settings!$B$12*Settings!$B$26,0),NA(),STDEV(OFFSET(G978,1,0,Settings!$B$12,1))*SQRT(Settings!$B$13)))</f>
        <v/>
      </c>
      <c r="O978" s="20">
        <f>IF(AND(ISNUMBER(E978),ISNUMBER(N978)),E978-N978,NA())</f>
        <v/>
      </c>
      <c r="P978" s="19">
        <f>IF(NOT(ISNUMBER($A978)),NA(),IF(OR($A978&lt;MIN(KW_TP!$A$2:$A$2501),$A978&gt;MAX(KW_TP!$A$2:$A$2501)),NA(),INDEX(KW_TP!$C$2:$C$2501,MATCH($A978,KW_TP!$A$2:$A$2501,1))))</f>
        <v/>
      </c>
      <c r="Q978" s="18">
        <f>IF(NOT(ISNUMBER($A978)),NA(),IFERROR(1*INDEX(BBG_Data!$J$2:$J$4000,MATCH($A978,BBG_Data!$I$2:$I$4000,0)),NA()))</f>
        <v/>
      </c>
      <c r="R978" s="18">
        <f>IF(NOT(ISNUMBER($A978)),NA(),IFERROR(1*INDEX(BBG_Data!$L$2:$L$4000,MATCH($A978,BBG_Data!$K$2:$K$4000,0)),NA()))</f>
        <v/>
      </c>
      <c r="S978" s="20">
        <f>IF(AND(ISNUMBER(B978),ISNUMBER(Q978),ISNUMBER(R978)),(B978-Q978-R978)*100,NA())</f>
        <v/>
      </c>
      <c r="T978" s="20">
        <f>IF(AND(ISNUMBER(B978),Settings!$B$17&gt;0),IF(ISNUMBER(INDEX($B:$B,Settings!$B$17)),(B978-INDEX($B:$B,Settings!$B$17))*100,NA()),NA())</f>
        <v/>
      </c>
      <c r="U978" s="20">
        <f>IF(AND(ISNUMBER(Q978),Settings!$B$17&gt;0),IF(ISNUMBER(INDEX($Q:$Q,Settings!$B$17)),(Q978-INDEX($Q:$Q,Settings!$B$17))*100,NA()),NA())</f>
        <v/>
      </c>
      <c r="V978" s="20">
        <f>IF(AND(ISNUMBER(R978),Settings!$B$17&gt;0),IF(ISNUMBER(INDEX($R:$R,Settings!$B$17)),(R978-INDEX($R:$R,Settings!$B$17))*100,NA()),NA())</f>
        <v/>
      </c>
      <c r="W978" s="20">
        <f>IF(AND(ISNUMBER(P978),Settings!$B$17&gt;0),IF(ISNUMBER(INDEX($P:$P,Settings!$B$17)),P978-INDEX($P:$P,Settings!$B$17),NA()),NA())</f>
        <v/>
      </c>
      <c r="X978" s="19">
        <f>IF(NOT(ISNUMBER($A978)),NA(),IF(OR($A978&lt;MIN(DKW_10Y!$A$2:$A$2918),$A978&gt;MAX(DKW_10Y!$A$2:$A$2918),Settings!$B$16&lt;MIN(DKW_10Y!$A$2:$A$2918)),NA(),(INDEX(DKW_10Y!$B$2:$B$2918,MATCH($A978,DKW_10Y!$A$2:$A$2918,1))-INDEX(DKW_10Y!$B$2:$B$2918,MATCH(Settings!$B$16,DKW_10Y!$A$2:$A$2918,1)))*100))</f>
        <v/>
      </c>
      <c r="Y978" s="19">
        <f>IF(NOT(ISNUMBER($A978)),NA(),IF(OR($A978&lt;MIN(DKW_10Y!$A$2:$A$2918),$A978&gt;MAX(DKW_10Y!$A$2:$A$2918),Settings!$B$16&lt;MIN(DKW_10Y!$A$2:$A$2918)),NA(),(INDEX(DKW_10Y!$C$2:$C$2918,MATCH($A978,DKW_10Y!$A$2:$A$2918,1))-INDEX(DKW_10Y!$C$2:$C$2918,MATCH(Settings!$B$16,DKW_10Y!$A$2:$A$2918,1)))*100))</f>
        <v/>
      </c>
      <c r="Z978" s="19">
        <f>IF(NOT(ISNUMBER($A978)),NA(),IF(OR($A978&lt;MIN(DKW_10Y!$A$2:$A$2918),$A978&gt;MAX(DKW_10Y!$A$2:$A$2918),Settings!$B$16&lt;MIN(DKW_10Y!$A$2:$A$2918)),NA(),(INDEX(DKW_10Y!$D$2:$D$2918,MATCH($A978,DKW_10Y!$A$2:$A$2918,1))-INDEX(DKW_10Y!$D$2:$D$2918,MATCH(Settings!$B$16,DKW_10Y!$A$2:$A$2918,1)))*100))</f>
        <v/>
      </c>
      <c r="AA978" s="19">
        <f>IF(NOT(ISNUMBER($A978)),NA(),IF(OR($A978&lt;MIN(DKW_10Y!$A$2:$A$2918),$A978&gt;MAX(DKW_10Y!$A$2:$A$2918),Settings!$B$16&lt;MIN(DKW_10Y!$A$2:$A$2918)),NA(),(INDEX(DKW_10Y!$E$2:$E$2918,MATCH($A978,DKW_10Y!$A$2:$A$2918,1))-INDEX(DKW_10Y!$E$2:$E$2918,MATCH(Settings!$B$16,DKW_10Y!$A$2:$A$2918,1)))*100))</f>
        <v/>
      </c>
      <c r="AB978" s="19">
        <f>IF(NOT(ISNUMBER($A978)),NA(),IF(OR($A978&lt;MIN(DKW_10Y!$A$2:$A$2918),$A978&gt;MAX(DKW_10Y!$A$2:$A$2918),Settings!$B$16&lt;MIN(DKW_10Y!$A$2:$A$2918)),NA(),(INDEX(DKW_10Y!$H$2:$H$2918,MATCH($A978,DKW_10Y!$A$2:$A$2918,1))-INDEX(DKW_10Y!$H$2:$H$2918,MATCH(Settings!$B$16,DKW_10Y!$A$2:$A$2918,1)))*100))</f>
        <v/>
      </c>
      <c r="AC978" s="18">
        <f>IF(NOT(ISNUMBER($A978)),NA(),IFERROR(1*INDEX(BBG_Data!$N$2:$N$4000,MATCH($A978,BBG_Data!$M$2:$M$4000,0)),NA()))</f>
        <v/>
      </c>
      <c r="AD978" s="18">
        <f>IF(NOT(ISNUMBER($A978)),NA(),IFERROR(1*INDEX(BBG_Data!$P$2:$P$4000,MATCH($A978,BBG_Data!$O$2:$O$4000,0)),NA()))</f>
        <v/>
      </c>
      <c r="AE978" s="18">
        <f>IF(NOT(ISNUMBER($A978)),NA(),IFERROR(1*INDEX(BBG_Data!$R$2:$R$4000,MATCH($A978,BBG_Data!$Q$2:$Q$4000,0)),NA()))</f>
        <v/>
      </c>
      <c r="AF978" s="20">
        <f>IF(AND(ISNUMBER(B978),ISNUMBER(AC978)),(B978-AC978)*100,NA())</f>
        <v/>
      </c>
      <c r="AG978" s="20">
        <f>IF(AND(ISNUMBER(AE978),ISNUMBER(AD978)),(AE978-AD978)*100,NA())</f>
        <v/>
      </c>
      <c r="AH978" s="19">
        <f>IF(NOT(ISNUMBER($A978)),NA(),IFERROR(INDEX(BBG_Data!$T$2:$T$4000,MATCH($A978,BBG_Data!$S$2:$S$4000,0))*Settings!$B$25,NA()))</f>
        <v/>
      </c>
      <c r="AI978" s="19">
        <f>IF(NOT(ISNUMBER($A978)),NA(),IFERROR(INDEX(BBG_Data!$V$2:$V$4000,MATCH($A978,BBG_Data!$U$2:$U$4000,0))*Settings!$B$25,NA()))</f>
        <v/>
      </c>
      <c r="AJ978" s="19">
        <f>IF(NOT(ISNUMBER($A978)),NA(),IFERROR(1*INDEX(BBG_Data!$X$2:$X$4000,MATCH($A978,BBG_Data!$W$2:$W$4000,0)),NA()))</f>
        <v/>
      </c>
      <c r="AK978" s="19">
        <f>IF(NOT(ISNUMBER($A978)),NA(),IFERROR(1*INDEX(BBG_Data!$Z$2:$Z$4000,MATCH($A978,BBG_Data!$Y$2:$Y$4000,0)),NA()))</f>
        <v/>
      </c>
    </row>
    <row r="979">
      <c r="A979" s="17">
        <f>IF(ISNUMBER(BBG_Data!A979),BBG_Data!A979,"")</f>
        <v/>
      </c>
      <c r="B979" s="18">
        <f>IF(AND(ISNUMBER($A979),ISNUMBER(BBG_Data!B979)),BBG_Data!B979,NA())</f>
        <v/>
      </c>
      <c r="C979" s="18">
        <f>IF(NOT(ISNUMBER($A979)),NA(),IFERROR(1*INDEX(BBG_Data!$D$2:$D$4000,MATCH($A979,BBG_Data!$C$2:$C$4000,0)),NA()))</f>
        <v/>
      </c>
      <c r="D979" s="19">
        <f>IF(NOT(ISNUMBER($A979)),NA(),IFERROR(1*INDEX(BBG_Data!$F$2:$F$4000,MATCH($A979,BBG_Data!$E$2:$E$4000,0)),NA()))</f>
        <v/>
      </c>
      <c r="E979" s="19">
        <f>IF(NOT(ISNUMBER($A979)),NA(),IFERROR(1*INDEX(BBG_Data!$H$2:$H$4000,MATCH($A979,BBG_Data!$G$2:$G$4000,0)),NA()))</f>
        <v/>
      </c>
      <c r="F979" s="20">
        <f>IF(AND(ISNUMBER(B979),ISNUMBER(B978)),IF(B979=B978,"",(B979-B978)*100),"")</f>
        <v/>
      </c>
      <c r="G979" s="20">
        <f>IF(AND(ISNUMBER(C979),ISNUMBER(C978)),IF(C979=C978,"",(C979-C978)*100),"")</f>
        <v/>
      </c>
      <c r="H979" s="20">
        <f>IF(OR(NOT(ISNUMBER($A979)),ROW()-2&lt;Settings!$B$11),NA(),IF(COUNT(OFFSET(F979,1-Settings!$B$11,0,Settings!$B$11,1))&lt;ROUNDUP(Settings!$B$11*Settings!$B$26,0),NA(),STDEV(OFFSET(F979,1-Settings!$B$11,0,Settings!$B$11,1))*SQRT(Settings!$B$13)))</f>
        <v/>
      </c>
      <c r="I979" s="20">
        <f>IF(OR(NOT(ISNUMBER($A979)),ROW()-2&lt;Settings!$B$12),NA(),IF(COUNT(OFFSET(F979,1-Settings!$B$12,0,Settings!$B$12,1))&lt;ROUNDUP(Settings!$B$12*Settings!$B$26,0),NA(),STDEV(OFFSET(F979,1-Settings!$B$12,0,Settings!$B$12,1))*SQRT(Settings!$B$13)))</f>
        <v/>
      </c>
      <c r="J979" s="20">
        <f>IF(OR(NOT(ISNUMBER($A979)),ROW()-2&lt;Settings!$B$11),NA(),IF(COUNT(OFFSET(G979,1-Settings!$B$11,0,Settings!$B$11,1))&lt;ROUNDUP(Settings!$B$11*Settings!$B$26,0),NA(),STDEV(OFFSET(G979,1-Settings!$B$11,0,Settings!$B$11,1))*SQRT(Settings!$B$13)))</f>
        <v/>
      </c>
      <c r="K979" s="20">
        <f>IF(OR(NOT(ISNUMBER($A979)),ROW()-2&lt;Settings!$B$12),NA(),IF(COUNT(OFFSET(G979,1-Settings!$B$12,0,Settings!$B$12,1))&lt;ROUNDUP(Settings!$B$12*Settings!$B$26,0),NA(),STDEV(OFFSET(G979,1-Settings!$B$12,0,Settings!$B$12,1))*SQRT(Settings!$B$13)))</f>
        <v/>
      </c>
      <c r="L979" s="20">
        <f>IF(AND(ISNUMBER(D979),ISNUMBER(H979)),D979-H979,NA())</f>
        <v/>
      </c>
      <c r="M979" s="20">
        <f>IF(AND(ISNUMBER(E979),ISNUMBER(K979)),E979-K979,NA())</f>
        <v/>
      </c>
      <c r="N979" s="20">
        <f>IF(NOT(ISNUMBER($A979)),NA(),IF(COUNT(OFFSET(G979,1,0,Settings!$B$12,1))&lt;ROUNDUP(Settings!$B$12*Settings!$B$26,0),NA(),STDEV(OFFSET(G979,1,0,Settings!$B$12,1))*SQRT(Settings!$B$13)))</f>
        <v/>
      </c>
      <c r="O979" s="20">
        <f>IF(AND(ISNUMBER(E979),ISNUMBER(N979)),E979-N979,NA())</f>
        <v/>
      </c>
      <c r="P979" s="19">
        <f>IF(NOT(ISNUMBER($A979)),NA(),IF(OR($A979&lt;MIN(KW_TP!$A$2:$A$2501),$A979&gt;MAX(KW_TP!$A$2:$A$2501)),NA(),INDEX(KW_TP!$C$2:$C$2501,MATCH($A979,KW_TP!$A$2:$A$2501,1))))</f>
        <v/>
      </c>
      <c r="Q979" s="18">
        <f>IF(NOT(ISNUMBER($A979)),NA(),IFERROR(1*INDEX(BBG_Data!$J$2:$J$4000,MATCH($A979,BBG_Data!$I$2:$I$4000,0)),NA()))</f>
        <v/>
      </c>
      <c r="R979" s="18">
        <f>IF(NOT(ISNUMBER($A979)),NA(),IFERROR(1*INDEX(BBG_Data!$L$2:$L$4000,MATCH($A979,BBG_Data!$K$2:$K$4000,0)),NA()))</f>
        <v/>
      </c>
      <c r="S979" s="20">
        <f>IF(AND(ISNUMBER(B979),ISNUMBER(Q979),ISNUMBER(R979)),(B979-Q979-R979)*100,NA())</f>
        <v/>
      </c>
      <c r="T979" s="20">
        <f>IF(AND(ISNUMBER(B979),Settings!$B$17&gt;0),IF(ISNUMBER(INDEX($B:$B,Settings!$B$17)),(B979-INDEX($B:$B,Settings!$B$17))*100,NA()),NA())</f>
        <v/>
      </c>
      <c r="U979" s="20">
        <f>IF(AND(ISNUMBER(Q979),Settings!$B$17&gt;0),IF(ISNUMBER(INDEX($Q:$Q,Settings!$B$17)),(Q979-INDEX($Q:$Q,Settings!$B$17))*100,NA()),NA())</f>
        <v/>
      </c>
      <c r="V979" s="20">
        <f>IF(AND(ISNUMBER(R979),Settings!$B$17&gt;0),IF(ISNUMBER(INDEX($R:$R,Settings!$B$17)),(R979-INDEX($R:$R,Settings!$B$17))*100,NA()),NA())</f>
        <v/>
      </c>
      <c r="W979" s="20">
        <f>IF(AND(ISNUMBER(P979),Settings!$B$17&gt;0),IF(ISNUMBER(INDEX($P:$P,Settings!$B$17)),P979-INDEX($P:$P,Settings!$B$17),NA()),NA())</f>
        <v/>
      </c>
      <c r="X979" s="19">
        <f>IF(NOT(ISNUMBER($A979)),NA(),IF(OR($A979&lt;MIN(DKW_10Y!$A$2:$A$2918),$A979&gt;MAX(DKW_10Y!$A$2:$A$2918),Settings!$B$16&lt;MIN(DKW_10Y!$A$2:$A$2918)),NA(),(INDEX(DKW_10Y!$B$2:$B$2918,MATCH($A979,DKW_10Y!$A$2:$A$2918,1))-INDEX(DKW_10Y!$B$2:$B$2918,MATCH(Settings!$B$16,DKW_10Y!$A$2:$A$2918,1)))*100))</f>
        <v/>
      </c>
      <c r="Y979" s="19">
        <f>IF(NOT(ISNUMBER($A979)),NA(),IF(OR($A979&lt;MIN(DKW_10Y!$A$2:$A$2918),$A979&gt;MAX(DKW_10Y!$A$2:$A$2918),Settings!$B$16&lt;MIN(DKW_10Y!$A$2:$A$2918)),NA(),(INDEX(DKW_10Y!$C$2:$C$2918,MATCH($A979,DKW_10Y!$A$2:$A$2918,1))-INDEX(DKW_10Y!$C$2:$C$2918,MATCH(Settings!$B$16,DKW_10Y!$A$2:$A$2918,1)))*100))</f>
        <v/>
      </c>
      <c r="Z979" s="19">
        <f>IF(NOT(ISNUMBER($A979)),NA(),IF(OR($A979&lt;MIN(DKW_10Y!$A$2:$A$2918),$A979&gt;MAX(DKW_10Y!$A$2:$A$2918),Settings!$B$16&lt;MIN(DKW_10Y!$A$2:$A$2918)),NA(),(INDEX(DKW_10Y!$D$2:$D$2918,MATCH($A979,DKW_10Y!$A$2:$A$2918,1))-INDEX(DKW_10Y!$D$2:$D$2918,MATCH(Settings!$B$16,DKW_10Y!$A$2:$A$2918,1)))*100))</f>
        <v/>
      </c>
      <c r="AA979" s="19">
        <f>IF(NOT(ISNUMBER($A979)),NA(),IF(OR($A979&lt;MIN(DKW_10Y!$A$2:$A$2918),$A979&gt;MAX(DKW_10Y!$A$2:$A$2918),Settings!$B$16&lt;MIN(DKW_10Y!$A$2:$A$2918)),NA(),(INDEX(DKW_10Y!$E$2:$E$2918,MATCH($A979,DKW_10Y!$A$2:$A$2918,1))-INDEX(DKW_10Y!$E$2:$E$2918,MATCH(Settings!$B$16,DKW_10Y!$A$2:$A$2918,1)))*100))</f>
        <v/>
      </c>
      <c r="AB979" s="19">
        <f>IF(NOT(ISNUMBER($A979)),NA(),IF(OR($A979&lt;MIN(DKW_10Y!$A$2:$A$2918),$A979&gt;MAX(DKW_10Y!$A$2:$A$2918),Settings!$B$16&lt;MIN(DKW_10Y!$A$2:$A$2918)),NA(),(INDEX(DKW_10Y!$H$2:$H$2918,MATCH($A979,DKW_10Y!$A$2:$A$2918,1))-INDEX(DKW_10Y!$H$2:$H$2918,MATCH(Settings!$B$16,DKW_10Y!$A$2:$A$2918,1)))*100))</f>
        <v/>
      </c>
      <c r="AC979" s="18">
        <f>IF(NOT(ISNUMBER($A979)),NA(),IFERROR(1*INDEX(BBG_Data!$N$2:$N$4000,MATCH($A979,BBG_Data!$M$2:$M$4000,0)),NA()))</f>
        <v/>
      </c>
      <c r="AD979" s="18">
        <f>IF(NOT(ISNUMBER($A979)),NA(),IFERROR(1*INDEX(BBG_Data!$P$2:$P$4000,MATCH($A979,BBG_Data!$O$2:$O$4000,0)),NA()))</f>
        <v/>
      </c>
      <c r="AE979" s="18">
        <f>IF(NOT(ISNUMBER($A979)),NA(),IFERROR(1*INDEX(BBG_Data!$R$2:$R$4000,MATCH($A979,BBG_Data!$Q$2:$Q$4000,0)),NA()))</f>
        <v/>
      </c>
      <c r="AF979" s="20">
        <f>IF(AND(ISNUMBER(B979),ISNUMBER(AC979)),(B979-AC979)*100,NA())</f>
        <v/>
      </c>
      <c r="AG979" s="20">
        <f>IF(AND(ISNUMBER(AE979),ISNUMBER(AD979)),(AE979-AD979)*100,NA())</f>
        <v/>
      </c>
      <c r="AH979" s="19">
        <f>IF(NOT(ISNUMBER($A979)),NA(),IFERROR(INDEX(BBG_Data!$T$2:$T$4000,MATCH($A979,BBG_Data!$S$2:$S$4000,0))*Settings!$B$25,NA()))</f>
        <v/>
      </c>
      <c r="AI979" s="19">
        <f>IF(NOT(ISNUMBER($A979)),NA(),IFERROR(INDEX(BBG_Data!$V$2:$V$4000,MATCH($A979,BBG_Data!$U$2:$U$4000,0))*Settings!$B$25,NA()))</f>
        <v/>
      </c>
      <c r="AJ979" s="19">
        <f>IF(NOT(ISNUMBER($A979)),NA(),IFERROR(1*INDEX(BBG_Data!$X$2:$X$4000,MATCH($A979,BBG_Data!$W$2:$W$4000,0)),NA()))</f>
        <v/>
      </c>
      <c r="AK979" s="19">
        <f>IF(NOT(ISNUMBER($A979)),NA(),IFERROR(1*INDEX(BBG_Data!$Z$2:$Z$4000,MATCH($A979,BBG_Data!$Y$2:$Y$4000,0)),NA()))</f>
        <v/>
      </c>
    </row>
    <row r="980">
      <c r="A980" s="17">
        <f>IF(ISNUMBER(BBG_Data!A980),BBG_Data!A980,"")</f>
        <v/>
      </c>
      <c r="B980" s="18">
        <f>IF(AND(ISNUMBER($A980),ISNUMBER(BBG_Data!B980)),BBG_Data!B980,NA())</f>
        <v/>
      </c>
      <c r="C980" s="18">
        <f>IF(NOT(ISNUMBER($A980)),NA(),IFERROR(1*INDEX(BBG_Data!$D$2:$D$4000,MATCH($A980,BBG_Data!$C$2:$C$4000,0)),NA()))</f>
        <v/>
      </c>
      <c r="D980" s="19">
        <f>IF(NOT(ISNUMBER($A980)),NA(),IFERROR(1*INDEX(BBG_Data!$F$2:$F$4000,MATCH($A980,BBG_Data!$E$2:$E$4000,0)),NA()))</f>
        <v/>
      </c>
      <c r="E980" s="19">
        <f>IF(NOT(ISNUMBER($A980)),NA(),IFERROR(1*INDEX(BBG_Data!$H$2:$H$4000,MATCH($A980,BBG_Data!$G$2:$G$4000,0)),NA()))</f>
        <v/>
      </c>
      <c r="F980" s="20">
        <f>IF(AND(ISNUMBER(B980),ISNUMBER(B979)),IF(B980=B979,"",(B980-B979)*100),"")</f>
        <v/>
      </c>
      <c r="G980" s="20">
        <f>IF(AND(ISNUMBER(C980),ISNUMBER(C979)),IF(C980=C979,"",(C980-C979)*100),"")</f>
        <v/>
      </c>
      <c r="H980" s="20">
        <f>IF(OR(NOT(ISNUMBER($A980)),ROW()-2&lt;Settings!$B$11),NA(),IF(COUNT(OFFSET(F980,1-Settings!$B$11,0,Settings!$B$11,1))&lt;ROUNDUP(Settings!$B$11*Settings!$B$26,0),NA(),STDEV(OFFSET(F980,1-Settings!$B$11,0,Settings!$B$11,1))*SQRT(Settings!$B$13)))</f>
        <v/>
      </c>
      <c r="I980" s="20">
        <f>IF(OR(NOT(ISNUMBER($A980)),ROW()-2&lt;Settings!$B$12),NA(),IF(COUNT(OFFSET(F980,1-Settings!$B$12,0,Settings!$B$12,1))&lt;ROUNDUP(Settings!$B$12*Settings!$B$26,0),NA(),STDEV(OFFSET(F980,1-Settings!$B$12,0,Settings!$B$12,1))*SQRT(Settings!$B$13)))</f>
        <v/>
      </c>
      <c r="J980" s="20">
        <f>IF(OR(NOT(ISNUMBER($A980)),ROW()-2&lt;Settings!$B$11),NA(),IF(COUNT(OFFSET(G980,1-Settings!$B$11,0,Settings!$B$11,1))&lt;ROUNDUP(Settings!$B$11*Settings!$B$26,0),NA(),STDEV(OFFSET(G980,1-Settings!$B$11,0,Settings!$B$11,1))*SQRT(Settings!$B$13)))</f>
        <v/>
      </c>
      <c r="K980" s="20">
        <f>IF(OR(NOT(ISNUMBER($A980)),ROW()-2&lt;Settings!$B$12),NA(),IF(COUNT(OFFSET(G980,1-Settings!$B$12,0,Settings!$B$12,1))&lt;ROUNDUP(Settings!$B$12*Settings!$B$26,0),NA(),STDEV(OFFSET(G980,1-Settings!$B$12,0,Settings!$B$12,1))*SQRT(Settings!$B$13)))</f>
        <v/>
      </c>
      <c r="L980" s="20">
        <f>IF(AND(ISNUMBER(D980),ISNUMBER(H980)),D980-H980,NA())</f>
        <v/>
      </c>
      <c r="M980" s="20">
        <f>IF(AND(ISNUMBER(E980),ISNUMBER(K980)),E980-K980,NA())</f>
        <v/>
      </c>
      <c r="N980" s="20">
        <f>IF(NOT(ISNUMBER($A980)),NA(),IF(COUNT(OFFSET(G980,1,0,Settings!$B$12,1))&lt;ROUNDUP(Settings!$B$12*Settings!$B$26,0),NA(),STDEV(OFFSET(G980,1,0,Settings!$B$12,1))*SQRT(Settings!$B$13)))</f>
        <v/>
      </c>
      <c r="O980" s="20">
        <f>IF(AND(ISNUMBER(E980),ISNUMBER(N980)),E980-N980,NA())</f>
        <v/>
      </c>
      <c r="P980" s="19">
        <f>IF(NOT(ISNUMBER($A980)),NA(),IF(OR($A980&lt;MIN(KW_TP!$A$2:$A$2501),$A980&gt;MAX(KW_TP!$A$2:$A$2501)),NA(),INDEX(KW_TP!$C$2:$C$2501,MATCH($A980,KW_TP!$A$2:$A$2501,1))))</f>
        <v/>
      </c>
      <c r="Q980" s="18">
        <f>IF(NOT(ISNUMBER($A980)),NA(),IFERROR(1*INDEX(BBG_Data!$J$2:$J$4000,MATCH($A980,BBG_Data!$I$2:$I$4000,0)),NA()))</f>
        <v/>
      </c>
      <c r="R980" s="18">
        <f>IF(NOT(ISNUMBER($A980)),NA(),IFERROR(1*INDEX(BBG_Data!$L$2:$L$4000,MATCH($A980,BBG_Data!$K$2:$K$4000,0)),NA()))</f>
        <v/>
      </c>
      <c r="S980" s="20">
        <f>IF(AND(ISNUMBER(B980),ISNUMBER(Q980),ISNUMBER(R980)),(B980-Q980-R980)*100,NA())</f>
        <v/>
      </c>
      <c r="T980" s="20">
        <f>IF(AND(ISNUMBER(B980),Settings!$B$17&gt;0),IF(ISNUMBER(INDEX($B:$B,Settings!$B$17)),(B980-INDEX($B:$B,Settings!$B$17))*100,NA()),NA())</f>
        <v/>
      </c>
      <c r="U980" s="20">
        <f>IF(AND(ISNUMBER(Q980),Settings!$B$17&gt;0),IF(ISNUMBER(INDEX($Q:$Q,Settings!$B$17)),(Q980-INDEX($Q:$Q,Settings!$B$17))*100,NA()),NA())</f>
        <v/>
      </c>
      <c r="V980" s="20">
        <f>IF(AND(ISNUMBER(R980),Settings!$B$17&gt;0),IF(ISNUMBER(INDEX($R:$R,Settings!$B$17)),(R980-INDEX($R:$R,Settings!$B$17))*100,NA()),NA())</f>
        <v/>
      </c>
      <c r="W980" s="20">
        <f>IF(AND(ISNUMBER(P980),Settings!$B$17&gt;0),IF(ISNUMBER(INDEX($P:$P,Settings!$B$17)),P980-INDEX($P:$P,Settings!$B$17),NA()),NA())</f>
        <v/>
      </c>
      <c r="X980" s="19">
        <f>IF(NOT(ISNUMBER($A980)),NA(),IF(OR($A980&lt;MIN(DKW_10Y!$A$2:$A$2918),$A980&gt;MAX(DKW_10Y!$A$2:$A$2918),Settings!$B$16&lt;MIN(DKW_10Y!$A$2:$A$2918)),NA(),(INDEX(DKW_10Y!$B$2:$B$2918,MATCH($A980,DKW_10Y!$A$2:$A$2918,1))-INDEX(DKW_10Y!$B$2:$B$2918,MATCH(Settings!$B$16,DKW_10Y!$A$2:$A$2918,1)))*100))</f>
        <v/>
      </c>
      <c r="Y980" s="19">
        <f>IF(NOT(ISNUMBER($A980)),NA(),IF(OR($A980&lt;MIN(DKW_10Y!$A$2:$A$2918),$A980&gt;MAX(DKW_10Y!$A$2:$A$2918),Settings!$B$16&lt;MIN(DKW_10Y!$A$2:$A$2918)),NA(),(INDEX(DKW_10Y!$C$2:$C$2918,MATCH($A980,DKW_10Y!$A$2:$A$2918,1))-INDEX(DKW_10Y!$C$2:$C$2918,MATCH(Settings!$B$16,DKW_10Y!$A$2:$A$2918,1)))*100))</f>
        <v/>
      </c>
      <c r="Z980" s="19">
        <f>IF(NOT(ISNUMBER($A980)),NA(),IF(OR($A980&lt;MIN(DKW_10Y!$A$2:$A$2918),$A980&gt;MAX(DKW_10Y!$A$2:$A$2918),Settings!$B$16&lt;MIN(DKW_10Y!$A$2:$A$2918)),NA(),(INDEX(DKW_10Y!$D$2:$D$2918,MATCH($A980,DKW_10Y!$A$2:$A$2918,1))-INDEX(DKW_10Y!$D$2:$D$2918,MATCH(Settings!$B$16,DKW_10Y!$A$2:$A$2918,1)))*100))</f>
        <v/>
      </c>
      <c r="AA980" s="19">
        <f>IF(NOT(ISNUMBER($A980)),NA(),IF(OR($A980&lt;MIN(DKW_10Y!$A$2:$A$2918),$A980&gt;MAX(DKW_10Y!$A$2:$A$2918),Settings!$B$16&lt;MIN(DKW_10Y!$A$2:$A$2918)),NA(),(INDEX(DKW_10Y!$E$2:$E$2918,MATCH($A980,DKW_10Y!$A$2:$A$2918,1))-INDEX(DKW_10Y!$E$2:$E$2918,MATCH(Settings!$B$16,DKW_10Y!$A$2:$A$2918,1)))*100))</f>
        <v/>
      </c>
      <c r="AB980" s="19">
        <f>IF(NOT(ISNUMBER($A980)),NA(),IF(OR($A980&lt;MIN(DKW_10Y!$A$2:$A$2918),$A980&gt;MAX(DKW_10Y!$A$2:$A$2918),Settings!$B$16&lt;MIN(DKW_10Y!$A$2:$A$2918)),NA(),(INDEX(DKW_10Y!$H$2:$H$2918,MATCH($A980,DKW_10Y!$A$2:$A$2918,1))-INDEX(DKW_10Y!$H$2:$H$2918,MATCH(Settings!$B$16,DKW_10Y!$A$2:$A$2918,1)))*100))</f>
        <v/>
      </c>
      <c r="AC980" s="18">
        <f>IF(NOT(ISNUMBER($A980)),NA(),IFERROR(1*INDEX(BBG_Data!$N$2:$N$4000,MATCH($A980,BBG_Data!$M$2:$M$4000,0)),NA()))</f>
        <v/>
      </c>
      <c r="AD980" s="18">
        <f>IF(NOT(ISNUMBER($A980)),NA(),IFERROR(1*INDEX(BBG_Data!$P$2:$P$4000,MATCH($A980,BBG_Data!$O$2:$O$4000,0)),NA()))</f>
        <v/>
      </c>
      <c r="AE980" s="18">
        <f>IF(NOT(ISNUMBER($A980)),NA(),IFERROR(1*INDEX(BBG_Data!$R$2:$R$4000,MATCH($A980,BBG_Data!$Q$2:$Q$4000,0)),NA()))</f>
        <v/>
      </c>
      <c r="AF980" s="20">
        <f>IF(AND(ISNUMBER(B980),ISNUMBER(AC980)),(B980-AC980)*100,NA())</f>
        <v/>
      </c>
      <c r="AG980" s="20">
        <f>IF(AND(ISNUMBER(AE980),ISNUMBER(AD980)),(AE980-AD980)*100,NA())</f>
        <v/>
      </c>
      <c r="AH980" s="19">
        <f>IF(NOT(ISNUMBER($A980)),NA(),IFERROR(INDEX(BBG_Data!$T$2:$T$4000,MATCH($A980,BBG_Data!$S$2:$S$4000,0))*Settings!$B$25,NA()))</f>
        <v/>
      </c>
      <c r="AI980" s="19">
        <f>IF(NOT(ISNUMBER($A980)),NA(),IFERROR(INDEX(BBG_Data!$V$2:$V$4000,MATCH($A980,BBG_Data!$U$2:$U$4000,0))*Settings!$B$25,NA()))</f>
        <v/>
      </c>
      <c r="AJ980" s="19">
        <f>IF(NOT(ISNUMBER($A980)),NA(),IFERROR(1*INDEX(BBG_Data!$X$2:$X$4000,MATCH($A980,BBG_Data!$W$2:$W$4000,0)),NA()))</f>
        <v/>
      </c>
      <c r="AK980" s="19">
        <f>IF(NOT(ISNUMBER($A980)),NA(),IFERROR(1*INDEX(BBG_Data!$Z$2:$Z$4000,MATCH($A980,BBG_Data!$Y$2:$Y$4000,0)),NA()))</f>
        <v/>
      </c>
    </row>
    <row r="981">
      <c r="A981" s="17">
        <f>IF(ISNUMBER(BBG_Data!A981),BBG_Data!A981,"")</f>
        <v/>
      </c>
      <c r="B981" s="18">
        <f>IF(AND(ISNUMBER($A981),ISNUMBER(BBG_Data!B981)),BBG_Data!B981,NA())</f>
        <v/>
      </c>
      <c r="C981" s="18">
        <f>IF(NOT(ISNUMBER($A981)),NA(),IFERROR(1*INDEX(BBG_Data!$D$2:$D$4000,MATCH($A981,BBG_Data!$C$2:$C$4000,0)),NA()))</f>
        <v/>
      </c>
      <c r="D981" s="19">
        <f>IF(NOT(ISNUMBER($A981)),NA(),IFERROR(1*INDEX(BBG_Data!$F$2:$F$4000,MATCH($A981,BBG_Data!$E$2:$E$4000,0)),NA()))</f>
        <v/>
      </c>
      <c r="E981" s="19">
        <f>IF(NOT(ISNUMBER($A981)),NA(),IFERROR(1*INDEX(BBG_Data!$H$2:$H$4000,MATCH($A981,BBG_Data!$G$2:$G$4000,0)),NA()))</f>
        <v/>
      </c>
      <c r="F981" s="20">
        <f>IF(AND(ISNUMBER(B981),ISNUMBER(B980)),IF(B981=B980,"",(B981-B980)*100),"")</f>
        <v/>
      </c>
      <c r="G981" s="20">
        <f>IF(AND(ISNUMBER(C981),ISNUMBER(C980)),IF(C981=C980,"",(C981-C980)*100),"")</f>
        <v/>
      </c>
      <c r="H981" s="20">
        <f>IF(OR(NOT(ISNUMBER($A981)),ROW()-2&lt;Settings!$B$11),NA(),IF(COUNT(OFFSET(F981,1-Settings!$B$11,0,Settings!$B$11,1))&lt;ROUNDUP(Settings!$B$11*Settings!$B$26,0),NA(),STDEV(OFFSET(F981,1-Settings!$B$11,0,Settings!$B$11,1))*SQRT(Settings!$B$13)))</f>
        <v/>
      </c>
      <c r="I981" s="20">
        <f>IF(OR(NOT(ISNUMBER($A981)),ROW()-2&lt;Settings!$B$12),NA(),IF(COUNT(OFFSET(F981,1-Settings!$B$12,0,Settings!$B$12,1))&lt;ROUNDUP(Settings!$B$12*Settings!$B$26,0),NA(),STDEV(OFFSET(F981,1-Settings!$B$12,0,Settings!$B$12,1))*SQRT(Settings!$B$13)))</f>
        <v/>
      </c>
      <c r="J981" s="20">
        <f>IF(OR(NOT(ISNUMBER($A981)),ROW()-2&lt;Settings!$B$11),NA(),IF(COUNT(OFFSET(G981,1-Settings!$B$11,0,Settings!$B$11,1))&lt;ROUNDUP(Settings!$B$11*Settings!$B$26,0),NA(),STDEV(OFFSET(G981,1-Settings!$B$11,0,Settings!$B$11,1))*SQRT(Settings!$B$13)))</f>
        <v/>
      </c>
      <c r="K981" s="20">
        <f>IF(OR(NOT(ISNUMBER($A981)),ROW()-2&lt;Settings!$B$12),NA(),IF(COUNT(OFFSET(G981,1-Settings!$B$12,0,Settings!$B$12,1))&lt;ROUNDUP(Settings!$B$12*Settings!$B$26,0),NA(),STDEV(OFFSET(G981,1-Settings!$B$12,0,Settings!$B$12,1))*SQRT(Settings!$B$13)))</f>
        <v/>
      </c>
      <c r="L981" s="20">
        <f>IF(AND(ISNUMBER(D981),ISNUMBER(H981)),D981-H981,NA())</f>
        <v/>
      </c>
      <c r="M981" s="20">
        <f>IF(AND(ISNUMBER(E981),ISNUMBER(K981)),E981-K981,NA())</f>
        <v/>
      </c>
      <c r="N981" s="20">
        <f>IF(NOT(ISNUMBER($A981)),NA(),IF(COUNT(OFFSET(G981,1,0,Settings!$B$12,1))&lt;ROUNDUP(Settings!$B$12*Settings!$B$26,0),NA(),STDEV(OFFSET(G981,1,0,Settings!$B$12,1))*SQRT(Settings!$B$13)))</f>
        <v/>
      </c>
      <c r="O981" s="20">
        <f>IF(AND(ISNUMBER(E981),ISNUMBER(N981)),E981-N981,NA())</f>
        <v/>
      </c>
      <c r="P981" s="19">
        <f>IF(NOT(ISNUMBER($A981)),NA(),IF(OR($A981&lt;MIN(KW_TP!$A$2:$A$2501),$A981&gt;MAX(KW_TP!$A$2:$A$2501)),NA(),INDEX(KW_TP!$C$2:$C$2501,MATCH($A981,KW_TP!$A$2:$A$2501,1))))</f>
        <v/>
      </c>
      <c r="Q981" s="18">
        <f>IF(NOT(ISNUMBER($A981)),NA(),IFERROR(1*INDEX(BBG_Data!$J$2:$J$4000,MATCH($A981,BBG_Data!$I$2:$I$4000,0)),NA()))</f>
        <v/>
      </c>
      <c r="R981" s="18">
        <f>IF(NOT(ISNUMBER($A981)),NA(),IFERROR(1*INDEX(BBG_Data!$L$2:$L$4000,MATCH($A981,BBG_Data!$K$2:$K$4000,0)),NA()))</f>
        <v/>
      </c>
      <c r="S981" s="20">
        <f>IF(AND(ISNUMBER(B981),ISNUMBER(Q981),ISNUMBER(R981)),(B981-Q981-R981)*100,NA())</f>
        <v/>
      </c>
      <c r="T981" s="20">
        <f>IF(AND(ISNUMBER(B981),Settings!$B$17&gt;0),IF(ISNUMBER(INDEX($B:$B,Settings!$B$17)),(B981-INDEX($B:$B,Settings!$B$17))*100,NA()),NA())</f>
        <v/>
      </c>
      <c r="U981" s="20">
        <f>IF(AND(ISNUMBER(Q981),Settings!$B$17&gt;0),IF(ISNUMBER(INDEX($Q:$Q,Settings!$B$17)),(Q981-INDEX($Q:$Q,Settings!$B$17))*100,NA()),NA())</f>
        <v/>
      </c>
      <c r="V981" s="20">
        <f>IF(AND(ISNUMBER(R981),Settings!$B$17&gt;0),IF(ISNUMBER(INDEX($R:$R,Settings!$B$17)),(R981-INDEX($R:$R,Settings!$B$17))*100,NA()),NA())</f>
        <v/>
      </c>
      <c r="W981" s="20">
        <f>IF(AND(ISNUMBER(P981),Settings!$B$17&gt;0),IF(ISNUMBER(INDEX($P:$P,Settings!$B$17)),P981-INDEX($P:$P,Settings!$B$17),NA()),NA())</f>
        <v/>
      </c>
      <c r="X981" s="19">
        <f>IF(NOT(ISNUMBER($A981)),NA(),IF(OR($A981&lt;MIN(DKW_10Y!$A$2:$A$2918),$A981&gt;MAX(DKW_10Y!$A$2:$A$2918),Settings!$B$16&lt;MIN(DKW_10Y!$A$2:$A$2918)),NA(),(INDEX(DKW_10Y!$B$2:$B$2918,MATCH($A981,DKW_10Y!$A$2:$A$2918,1))-INDEX(DKW_10Y!$B$2:$B$2918,MATCH(Settings!$B$16,DKW_10Y!$A$2:$A$2918,1)))*100))</f>
        <v/>
      </c>
      <c r="Y981" s="19">
        <f>IF(NOT(ISNUMBER($A981)),NA(),IF(OR($A981&lt;MIN(DKW_10Y!$A$2:$A$2918),$A981&gt;MAX(DKW_10Y!$A$2:$A$2918),Settings!$B$16&lt;MIN(DKW_10Y!$A$2:$A$2918)),NA(),(INDEX(DKW_10Y!$C$2:$C$2918,MATCH($A981,DKW_10Y!$A$2:$A$2918,1))-INDEX(DKW_10Y!$C$2:$C$2918,MATCH(Settings!$B$16,DKW_10Y!$A$2:$A$2918,1)))*100))</f>
        <v/>
      </c>
      <c r="Z981" s="19">
        <f>IF(NOT(ISNUMBER($A981)),NA(),IF(OR($A981&lt;MIN(DKW_10Y!$A$2:$A$2918),$A981&gt;MAX(DKW_10Y!$A$2:$A$2918),Settings!$B$16&lt;MIN(DKW_10Y!$A$2:$A$2918)),NA(),(INDEX(DKW_10Y!$D$2:$D$2918,MATCH($A981,DKW_10Y!$A$2:$A$2918,1))-INDEX(DKW_10Y!$D$2:$D$2918,MATCH(Settings!$B$16,DKW_10Y!$A$2:$A$2918,1)))*100))</f>
        <v/>
      </c>
      <c r="AA981" s="19">
        <f>IF(NOT(ISNUMBER($A981)),NA(),IF(OR($A981&lt;MIN(DKW_10Y!$A$2:$A$2918),$A981&gt;MAX(DKW_10Y!$A$2:$A$2918),Settings!$B$16&lt;MIN(DKW_10Y!$A$2:$A$2918)),NA(),(INDEX(DKW_10Y!$E$2:$E$2918,MATCH($A981,DKW_10Y!$A$2:$A$2918,1))-INDEX(DKW_10Y!$E$2:$E$2918,MATCH(Settings!$B$16,DKW_10Y!$A$2:$A$2918,1)))*100))</f>
        <v/>
      </c>
      <c r="AB981" s="19">
        <f>IF(NOT(ISNUMBER($A981)),NA(),IF(OR($A981&lt;MIN(DKW_10Y!$A$2:$A$2918),$A981&gt;MAX(DKW_10Y!$A$2:$A$2918),Settings!$B$16&lt;MIN(DKW_10Y!$A$2:$A$2918)),NA(),(INDEX(DKW_10Y!$H$2:$H$2918,MATCH($A981,DKW_10Y!$A$2:$A$2918,1))-INDEX(DKW_10Y!$H$2:$H$2918,MATCH(Settings!$B$16,DKW_10Y!$A$2:$A$2918,1)))*100))</f>
        <v/>
      </c>
      <c r="AC981" s="18">
        <f>IF(NOT(ISNUMBER($A981)),NA(),IFERROR(1*INDEX(BBG_Data!$N$2:$N$4000,MATCH($A981,BBG_Data!$M$2:$M$4000,0)),NA()))</f>
        <v/>
      </c>
      <c r="AD981" s="18">
        <f>IF(NOT(ISNUMBER($A981)),NA(),IFERROR(1*INDEX(BBG_Data!$P$2:$P$4000,MATCH($A981,BBG_Data!$O$2:$O$4000,0)),NA()))</f>
        <v/>
      </c>
      <c r="AE981" s="18">
        <f>IF(NOT(ISNUMBER($A981)),NA(),IFERROR(1*INDEX(BBG_Data!$R$2:$R$4000,MATCH($A981,BBG_Data!$Q$2:$Q$4000,0)),NA()))</f>
        <v/>
      </c>
      <c r="AF981" s="20">
        <f>IF(AND(ISNUMBER(B981),ISNUMBER(AC981)),(B981-AC981)*100,NA())</f>
        <v/>
      </c>
      <c r="AG981" s="20">
        <f>IF(AND(ISNUMBER(AE981),ISNUMBER(AD981)),(AE981-AD981)*100,NA())</f>
        <v/>
      </c>
      <c r="AH981" s="19">
        <f>IF(NOT(ISNUMBER($A981)),NA(),IFERROR(INDEX(BBG_Data!$T$2:$T$4000,MATCH($A981,BBG_Data!$S$2:$S$4000,0))*Settings!$B$25,NA()))</f>
        <v/>
      </c>
      <c r="AI981" s="19">
        <f>IF(NOT(ISNUMBER($A981)),NA(),IFERROR(INDEX(BBG_Data!$V$2:$V$4000,MATCH($A981,BBG_Data!$U$2:$U$4000,0))*Settings!$B$25,NA()))</f>
        <v/>
      </c>
      <c r="AJ981" s="19">
        <f>IF(NOT(ISNUMBER($A981)),NA(),IFERROR(1*INDEX(BBG_Data!$X$2:$X$4000,MATCH($A981,BBG_Data!$W$2:$W$4000,0)),NA()))</f>
        <v/>
      </c>
      <c r="AK981" s="19">
        <f>IF(NOT(ISNUMBER($A981)),NA(),IFERROR(1*INDEX(BBG_Data!$Z$2:$Z$4000,MATCH($A981,BBG_Data!$Y$2:$Y$4000,0)),NA()))</f>
        <v/>
      </c>
    </row>
    <row r="982">
      <c r="A982" s="17">
        <f>IF(ISNUMBER(BBG_Data!A982),BBG_Data!A982,"")</f>
        <v/>
      </c>
      <c r="B982" s="18">
        <f>IF(AND(ISNUMBER($A982),ISNUMBER(BBG_Data!B982)),BBG_Data!B982,NA())</f>
        <v/>
      </c>
      <c r="C982" s="18">
        <f>IF(NOT(ISNUMBER($A982)),NA(),IFERROR(1*INDEX(BBG_Data!$D$2:$D$4000,MATCH($A982,BBG_Data!$C$2:$C$4000,0)),NA()))</f>
        <v/>
      </c>
      <c r="D982" s="19">
        <f>IF(NOT(ISNUMBER($A982)),NA(),IFERROR(1*INDEX(BBG_Data!$F$2:$F$4000,MATCH($A982,BBG_Data!$E$2:$E$4000,0)),NA()))</f>
        <v/>
      </c>
      <c r="E982" s="19">
        <f>IF(NOT(ISNUMBER($A982)),NA(),IFERROR(1*INDEX(BBG_Data!$H$2:$H$4000,MATCH($A982,BBG_Data!$G$2:$G$4000,0)),NA()))</f>
        <v/>
      </c>
      <c r="F982" s="20">
        <f>IF(AND(ISNUMBER(B982),ISNUMBER(B981)),IF(B982=B981,"",(B982-B981)*100),"")</f>
        <v/>
      </c>
      <c r="G982" s="20">
        <f>IF(AND(ISNUMBER(C982),ISNUMBER(C981)),IF(C982=C981,"",(C982-C981)*100),"")</f>
        <v/>
      </c>
      <c r="H982" s="20">
        <f>IF(OR(NOT(ISNUMBER($A982)),ROW()-2&lt;Settings!$B$11),NA(),IF(COUNT(OFFSET(F982,1-Settings!$B$11,0,Settings!$B$11,1))&lt;ROUNDUP(Settings!$B$11*Settings!$B$26,0),NA(),STDEV(OFFSET(F982,1-Settings!$B$11,0,Settings!$B$11,1))*SQRT(Settings!$B$13)))</f>
        <v/>
      </c>
      <c r="I982" s="20">
        <f>IF(OR(NOT(ISNUMBER($A982)),ROW()-2&lt;Settings!$B$12),NA(),IF(COUNT(OFFSET(F982,1-Settings!$B$12,0,Settings!$B$12,1))&lt;ROUNDUP(Settings!$B$12*Settings!$B$26,0),NA(),STDEV(OFFSET(F982,1-Settings!$B$12,0,Settings!$B$12,1))*SQRT(Settings!$B$13)))</f>
        <v/>
      </c>
      <c r="J982" s="20">
        <f>IF(OR(NOT(ISNUMBER($A982)),ROW()-2&lt;Settings!$B$11),NA(),IF(COUNT(OFFSET(G982,1-Settings!$B$11,0,Settings!$B$11,1))&lt;ROUNDUP(Settings!$B$11*Settings!$B$26,0),NA(),STDEV(OFFSET(G982,1-Settings!$B$11,0,Settings!$B$11,1))*SQRT(Settings!$B$13)))</f>
        <v/>
      </c>
      <c r="K982" s="20">
        <f>IF(OR(NOT(ISNUMBER($A982)),ROW()-2&lt;Settings!$B$12),NA(),IF(COUNT(OFFSET(G982,1-Settings!$B$12,0,Settings!$B$12,1))&lt;ROUNDUP(Settings!$B$12*Settings!$B$26,0),NA(),STDEV(OFFSET(G982,1-Settings!$B$12,0,Settings!$B$12,1))*SQRT(Settings!$B$13)))</f>
        <v/>
      </c>
      <c r="L982" s="20">
        <f>IF(AND(ISNUMBER(D982),ISNUMBER(H982)),D982-H982,NA())</f>
        <v/>
      </c>
      <c r="M982" s="20">
        <f>IF(AND(ISNUMBER(E982),ISNUMBER(K982)),E982-K982,NA())</f>
        <v/>
      </c>
      <c r="N982" s="20">
        <f>IF(NOT(ISNUMBER($A982)),NA(),IF(COUNT(OFFSET(G982,1,0,Settings!$B$12,1))&lt;ROUNDUP(Settings!$B$12*Settings!$B$26,0),NA(),STDEV(OFFSET(G982,1,0,Settings!$B$12,1))*SQRT(Settings!$B$13)))</f>
        <v/>
      </c>
      <c r="O982" s="20">
        <f>IF(AND(ISNUMBER(E982),ISNUMBER(N982)),E982-N982,NA())</f>
        <v/>
      </c>
      <c r="P982" s="19">
        <f>IF(NOT(ISNUMBER($A982)),NA(),IF(OR($A982&lt;MIN(KW_TP!$A$2:$A$2501),$A982&gt;MAX(KW_TP!$A$2:$A$2501)),NA(),INDEX(KW_TP!$C$2:$C$2501,MATCH($A982,KW_TP!$A$2:$A$2501,1))))</f>
        <v/>
      </c>
      <c r="Q982" s="18">
        <f>IF(NOT(ISNUMBER($A982)),NA(),IFERROR(1*INDEX(BBG_Data!$J$2:$J$4000,MATCH($A982,BBG_Data!$I$2:$I$4000,0)),NA()))</f>
        <v/>
      </c>
      <c r="R982" s="18">
        <f>IF(NOT(ISNUMBER($A982)),NA(),IFERROR(1*INDEX(BBG_Data!$L$2:$L$4000,MATCH($A982,BBG_Data!$K$2:$K$4000,0)),NA()))</f>
        <v/>
      </c>
      <c r="S982" s="20">
        <f>IF(AND(ISNUMBER(B982),ISNUMBER(Q982),ISNUMBER(R982)),(B982-Q982-R982)*100,NA())</f>
        <v/>
      </c>
      <c r="T982" s="20">
        <f>IF(AND(ISNUMBER(B982),Settings!$B$17&gt;0),IF(ISNUMBER(INDEX($B:$B,Settings!$B$17)),(B982-INDEX($B:$B,Settings!$B$17))*100,NA()),NA())</f>
        <v/>
      </c>
      <c r="U982" s="20">
        <f>IF(AND(ISNUMBER(Q982),Settings!$B$17&gt;0),IF(ISNUMBER(INDEX($Q:$Q,Settings!$B$17)),(Q982-INDEX($Q:$Q,Settings!$B$17))*100,NA()),NA())</f>
        <v/>
      </c>
      <c r="V982" s="20">
        <f>IF(AND(ISNUMBER(R982),Settings!$B$17&gt;0),IF(ISNUMBER(INDEX($R:$R,Settings!$B$17)),(R982-INDEX($R:$R,Settings!$B$17))*100,NA()),NA())</f>
        <v/>
      </c>
      <c r="W982" s="20">
        <f>IF(AND(ISNUMBER(P982),Settings!$B$17&gt;0),IF(ISNUMBER(INDEX($P:$P,Settings!$B$17)),P982-INDEX($P:$P,Settings!$B$17),NA()),NA())</f>
        <v/>
      </c>
      <c r="X982" s="19">
        <f>IF(NOT(ISNUMBER($A982)),NA(),IF(OR($A982&lt;MIN(DKW_10Y!$A$2:$A$2918),$A982&gt;MAX(DKW_10Y!$A$2:$A$2918),Settings!$B$16&lt;MIN(DKW_10Y!$A$2:$A$2918)),NA(),(INDEX(DKW_10Y!$B$2:$B$2918,MATCH($A982,DKW_10Y!$A$2:$A$2918,1))-INDEX(DKW_10Y!$B$2:$B$2918,MATCH(Settings!$B$16,DKW_10Y!$A$2:$A$2918,1)))*100))</f>
        <v/>
      </c>
      <c r="Y982" s="19">
        <f>IF(NOT(ISNUMBER($A982)),NA(),IF(OR($A982&lt;MIN(DKW_10Y!$A$2:$A$2918),$A982&gt;MAX(DKW_10Y!$A$2:$A$2918),Settings!$B$16&lt;MIN(DKW_10Y!$A$2:$A$2918)),NA(),(INDEX(DKW_10Y!$C$2:$C$2918,MATCH($A982,DKW_10Y!$A$2:$A$2918,1))-INDEX(DKW_10Y!$C$2:$C$2918,MATCH(Settings!$B$16,DKW_10Y!$A$2:$A$2918,1)))*100))</f>
        <v/>
      </c>
      <c r="Z982" s="19">
        <f>IF(NOT(ISNUMBER($A982)),NA(),IF(OR($A982&lt;MIN(DKW_10Y!$A$2:$A$2918),$A982&gt;MAX(DKW_10Y!$A$2:$A$2918),Settings!$B$16&lt;MIN(DKW_10Y!$A$2:$A$2918)),NA(),(INDEX(DKW_10Y!$D$2:$D$2918,MATCH($A982,DKW_10Y!$A$2:$A$2918,1))-INDEX(DKW_10Y!$D$2:$D$2918,MATCH(Settings!$B$16,DKW_10Y!$A$2:$A$2918,1)))*100))</f>
        <v/>
      </c>
      <c r="AA982" s="19">
        <f>IF(NOT(ISNUMBER($A982)),NA(),IF(OR($A982&lt;MIN(DKW_10Y!$A$2:$A$2918),$A982&gt;MAX(DKW_10Y!$A$2:$A$2918),Settings!$B$16&lt;MIN(DKW_10Y!$A$2:$A$2918)),NA(),(INDEX(DKW_10Y!$E$2:$E$2918,MATCH($A982,DKW_10Y!$A$2:$A$2918,1))-INDEX(DKW_10Y!$E$2:$E$2918,MATCH(Settings!$B$16,DKW_10Y!$A$2:$A$2918,1)))*100))</f>
        <v/>
      </c>
      <c r="AB982" s="19">
        <f>IF(NOT(ISNUMBER($A982)),NA(),IF(OR($A982&lt;MIN(DKW_10Y!$A$2:$A$2918),$A982&gt;MAX(DKW_10Y!$A$2:$A$2918),Settings!$B$16&lt;MIN(DKW_10Y!$A$2:$A$2918)),NA(),(INDEX(DKW_10Y!$H$2:$H$2918,MATCH($A982,DKW_10Y!$A$2:$A$2918,1))-INDEX(DKW_10Y!$H$2:$H$2918,MATCH(Settings!$B$16,DKW_10Y!$A$2:$A$2918,1)))*100))</f>
        <v/>
      </c>
      <c r="AC982" s="18">
        <f>IF(NOT(ISNUMBER($A982)),NA(),IFERROR(1*INDEX(BBG_Data!$N$2:$N$4000,MATCH($A982,BBG_Data!$M$2:$M$4000,0)),NA()))</f>
        <v/>
      </c>
      <c r="AD982" s="18">
        <f>IF(NOT(ISNUMBER($A982)),NA(),IFERROR(1*INDEX(BBG_Data!$P$2:$P$4000,MATCH($A982,BBG_Data!$O$2:$O$4000,0)),NA()))</f>
        <v/>
      </c>
      <c r="AE982" s="18">
        <f>IF(NOT(ISNUMBER($A982)),NA(),IFERROR(1*INDEX(BBG_Data!$R$2:$R$4000,MATCH($A982,BBG_Data!$Q$2:$Q$4000,0)),NA()))</f>
        <v/>
      </c>
      <c r="AF982" s="20">
        <f>IF(AND(ISNUMBER(B982),ISNUMBER(AC982)),(B982-AC982)*100,NA())</f>
        <v/>
      </c>
      <c r="AG982" s="20">
        <f>IF(AND(ISNUMBER(AE982),ISNUMBER(AD982)),(AE982-AD982)*100,NA())</f>
        <v/>
      </c>
      <c r="AH982" s="19">
        <f>IF(NOT(ISNUMBER($A982)),NA(),IFERROR(INDEX(BBG_Data!$T$2:$T$4000,MATCH($A982,BBG_Data!$S$2:$S$4000,0))*Settings!$B$25,NA()))</f>
        <v/>
      </c>
      <c r="AI982" s="19">
        <f>IF(NOT(ISNUMBER($A982)),NA(),IFERROR(INDEX(BBG_Data!$V$2:$V$4000,MATCH($A982,BBG_Data!$U$2:$U$4000,0))*Settings!$B$25,NA()))</f>
        <v/>
      </c>
      <c r="AJ982" s="19">
        <f>IF(NOT(ISNUMBER($A982)),NA(),IFERROR(1*INDEX(BBG_Data!$X$2:$X$4000,MATCH($A982,BBG_Data!$W$2:$W$4000,0)),NA()))</f>
        <v/>
      </c>
      <c r="AK982" s="19">
        <f>IF(NOT(ISNUMBER($A982)),NA(),IFERROR(1*INDEX(BBG_Data!$Z$2:$Z$4000,MATCH($A982,BBG_Data!$Y$2:$Y$4000,0)),NA()))</f>
        <v/>
      </c>
    </row>
    <row r="983">
      <c r="A983" s="17">
        <f>IF(ISNUMBER(BBG_Data!A983),BBG_Data!A983,"")</f>
        <v/>
      </c>
      <c r="B983" s="18">
        <f>IF(AND(ISNUMBER($A983),ISNUMBER(BBG_Data!B983)),BBG_Data!B983,NA())</f>
        <v/>
      </c>
      <c r="C983" s="18">
        <f>IF(NOT(ISNUMBER($A983)),NA(),IFERROR(1*INDEX(BBG_Data!$D$2:$D$4000,MATCH($A983,BBG_Data!$C$2:$C$4000,0)),NA()))</f>
        <v/>
      </c>
      <c r="D983" s="19">
        <f>IF(NOT(ISNUMBER($A983)),NA(),IFERROR(1*INDEX(BBG_Data!$F$2:$F$4000,MATCH($A983,BBG_Data!$E$2:$E$4000,0)),NA()))</f>
        <v/>
      </c>
      <c r="E983" s="19">
        <f>IF(NOT(ISNUMBER($A983)),NA(),IFERROR(1*INDEX(BBG_Data!$H$2:$H$4000,MATCH($A983,BBG_Data!$G$2:$G$4000,0)),NA()))</f>
        <v/>
      </c>
      <c r="F983" s="20">
        <f>IF(AND(ISNUMBER(B983),ISNUMBER(B982)),IF(B983=B982,"",(B983-B982)*100),"")</f>
        <v/>
      </c>
      <c r="G983" s="20">
        <f>IF(AND(ISNUMBER(C983),ISNUMBER(C982)),IF(C983=C982,"",(C983-C982)*100),"")</f>
        <v/>
      </c>
      <c r="H983" s="20">
        <f>IF(OR(NOT(ISNUMBER($A983)),ROW()-2&lt;Settings!$B$11),NA(),IF(COUNT(OFFSET(F983,1-Settings!$B$11,0,Settings!$B$11,1))&lt;ROUNDUP(Settings!$B$11*Settings!$B$26,0),NA(),STDEV(OFFSET(F983,1-Settings!$B$11,0,Settings!$B$11,1))*SQRT(Settings!$B$13)))</f>
        <v/>
      </c>
      <c r="I983" s="20">
        <f>IF(OR(NOT(ISNUMBER($A983)),ROW()-2&lt;Settings!$B$12),NA(),IF(COUNT(OFFSET(F983,1-Settings!$B$12,0,Settings!$B$12,1))&lt;ROUNDUP(Settings!$B$12*Settings!$B$26,0),NA(),STDEV(OFFSET(F983,1-Settings!$B$12,0,Settings!$B$12,1))*SQRT(Settings!$B$13)))</f>
        <v/>
      </c>
      <c r="J983" s="20">
        <f>IF(OR(NOT(ISNUMBER($A983)),ROW()-2&lt;Settings!$B$11),NA(),IF(COUNT(OFFSET(G983,1-Settings!$B$11,0,Settings!$B$11,1))&lt;ROUNDUP(Settings!$B$11*Settings!$B$26,0),NA(),STDEV(OFFSET(G983,1-Settings!$B$11,0,Settings!$B$11,1))*SQRT(Settings!$B$13)))</f>
        <v/>
      </c>
      <c r="K983" s="20">
        <f>IF(OR(NOT(ISNUMBER($A983)),ROW()-2&lt;Settings!$B$12),NA(),IF(COUNT(OFFSET(G983,1-Settings!$B$12,0,Settings!$B$12,1))&lt;ROUNDUP(Settings!$B$12*Settings!$B$26,0),NA(),STDEV(OFFSET(G983,1-Settings!$B$12,0,Settings!$B$12,1))*SQRT(Settings!$B$13)))</f>
        <v/>
      </c>
      <c r="L983" s="20">
        <f>IF(AND(ISNUMBER(D983),ISNUMBER(H983)),D983-H983,NA())</f>
        <v/>
      </c>
      <c r="M983" s="20">
        <f>IF(AND(ISNUMBER(E983),ISNUMBER(K983)),E983-K983,NA())</f>
        <v/>
      </c>
      <c r="N983" s="20">
        <f>IF(NOT(ISNUMBER($A983)),NA(),IF(COUNT(OFFSET(G983,1,0,Settings!$B$12,1))&lt;ROUNDUP(Settings!$B$12*Settings!$B$26,0),NA(),STDEV(OFFSET(G983,1,0,Settings!$B$12,1))*SQRT(Settings!$B$13)))</f>
        <v/>
      </c>
      <c r="O983" s="20">
        <f>IF(AND(ISNUMBER(E983),ISNUMBER(N983)),E983-N983,NA())</f>
        <v/>
      </c>
      <c r="P983" s="19">
        <f>IF(NOT(ISNUMBER($A983)),NA(),IF(OR($A983&lt;MIN(KW_TP!$A$2:$A$2501),$A983&gt;MAX(KW_TP!$A$2:$A$2501)),NA(),INDEX(KW_TP!$C$2:$C$2501,MATCH($A983,KW_TP!$A$2:$A$2501,1))))</f>
        <v/>
      </c>
      <c r="Q983" s="18">
        <f>IF(NOT(ISNUMBER($A983)),NA(),IFERROR(1*INDEX(BBG_Data!$J$2:$J$4000,MATCH($A983,BBG_Data!$I$2:$I$4000,0)),NA()))</f>
        <v/>
      </c>
      <c r="R983" s="18">
        <f>IF(NOT(ISNUMBER($A983)),NA(),IFERROR(1*INDEX(BBG_Data!$L$2:$L$4000,MATCH($A983,BBG_Data!$K$2:$K$4000,0)),NA()))</f>
        <v/>
      </c>
      <c r="S983" s="20">
        <f>IF(AND(ISNUMBER(B983),ISNUMBER(Q983),ISNUMBER(R983)),(B983-Q983-R983)*100,NA())</f>
        <v/>
      </c>
      <c r="T983" s="20">
        <f>IF(AND(ISNUMBER(B983),Settings!$B$17&gt;0),IF(ISNUMBER(INDEX($B:$B,Settings!$B$17)),(B983-INDEX($B:$B,Settings!$B$17))*100,NA()),NA())</f>
        <v/>
      </c>
      <c r="U983" s="20">
        <f>IF(AND(ISNUMBER(Q983),Settings!$B$17&gt;0),IF(ISNUMBER(INDEX($Q:$Q,Settings!$B$17)),(Q983-INDEX($Q:$Q,Settings!$B$17))*100,NA()),NA())</f>
        <v/>
      </c>
      <c r="V983" s="20">
        <f>IF(AND(ISNUMBER(R983),Settings!$B$17&gt;0),IF(ISNUMBER(INDEX($R:$R,Settings!$B$17)),(R983-INDEX($R:$R,Settings!$B$17))*100,NA()),NA())</f>
        <v/>
      </c>
      <c r="W983" s="20">
        <f>IF(AND(ISNUMBER(P983),Settings!$B$17&gt;0),IF(ISNUMBER(INDEX($P:$P,Settings!$B$17)),P983-INDEX($P:$P,Settings!$B$17),NA()),NA())</f>
        <v/>
      </c>
      <c r="X983" s="19">
        <f>IF(NOT(ISNUMBER($A983)),NA(),IF(OR($A983&lt;MIN(DKW_10Y!$A$2:$A$2918),$A983&gt;MAX(DKW_10Y!$A$2:$A$2918),Settings!$B$16&lt;MIN(DKW_10Y!$A$2:$A$2918)),NA(),(INDEX(DKW_10Y!$B$2:$B$2918,MATCH($A983,DKW_10Y!$A$2:$A$2918,1))-INDEX(DKW_10Y!$B$2:$B$2918,MATCH(Settings!$B$16,DKW_10Y!$A$2:$A$2918,1)))*100))</f>
        <v/>
      </c>
      <c r="Y983" s="19">
        <f>IF(NOT(ISNUMBER($A983)),NA(),IF(OR($A983&lt;MIN(DKW_10Y!$A$2:$A$2918),$A983&gt;MAX(DKW_10Y!$A$2:$A$2918),Settings!$B$16&lt;MIN(DKW_10Y!$A$2:$A$2918)),NA(),(INDEX(DKW_10Y!$C$2:$C$2918,MATCH($A983,DKW_10Y!$A$2:$A$2918,1))-INDEX(DKW_10Y!$C$2:$C$2918,MATCH(Settings!$B$16,DKW_10Y!$A$2:$A$2918,1)))*100))</f>
        <v/>
      </c>
      <c r="Z983" s="19">
        <f>IF(NOT(ISNUMBER($A983)),NA(),IF(OR($A983&lt;MIN(DKW_10Y!$A$2:$A$2918),$A983&gt;MAX(DKW_10Y!$A$2:$A$2918),Settings!$B$16&lt;MIN(DKW_10Y!$A$2:$A$2918)),NA(),(INDEX(DKW_10Y!$D$2:$D$2918,MATCH($A983,DKW_10Y!$A$2:$A$2918,1))-INDEX(DKW_10Y!$D$2:$D$2918,MATCH(Settings!$B$16,DKW_10Y!$A$2:$A$2918,1)))*100))</f>
        <v/>
      </c>
      <c r="AA983" s="19">
        <f>IF(NOT(ISNUMBER($A983)),NA(),IF(OR($A983&lt;MIN(DKW_10Y!$A$2:$A$2918),$A983&gt;MAX(DKW_10Y!$A$2:$A$2918),Settings!$B$16&lt;MIN(DKW_10Y!$A$2:$A$2918)),NA(),(INDEX(DKW_10Y!$E$2:$E$2918,MATCH($A983,DKW_10Y!$A$2:$A$2918,1))-INDEX(DKW_10Y!$E$2:$E$2918,MATCH(Settings!$B$16,DKW_10Y!$A$2:$A$2918,1)))*100))</f>
        <v/>
      </c>
      <c r="AB983" s="19">
        <f>IF(NOT(ISNUMBER($A983)),NA(),IF(OR($A983&lt;MIN(DKW_10Y!$A$2:$A$2918),$A983&gt;MAX(DKW_10Y!$A$2:$A$2918),Settings!$B$16&lt;MIN(DKW_10Y!$A$2:$A$2918)),NA(),(INDEX(DKW_10Y!$H$2:$H$2918,MATCH($A983,DKW_10Y!$A$2:$A$2918,1))-INDEX(DKW_10Y!$H$2:$H$2918,MATCH(Settings!$B$16,DKW_10Y!$A$2:$A$2918,1)))*100))</f>
        <v/>
      </c>
      <c r="AC983" s="18">
        <f>IF(NOT(ISNUMBER($A983)),NA(),IFERROR(1*INDEX(BBG_Data!$N$2:$N$4000,MATCH($A983,BBG_Data!$M$2:$M$4000,0)),NA()))</f>
        <v/>
      </c>
      <c r="AD983" s="18">
        <f>IF(NOT(ISNUMBER($A983)),NA(),IFERROR(1*INDEX(BBG_Data!$P$2:$P$4000,MATCH($A983,BBG_Data!$O$2:$O$4000,0)),NA()))</f>
        <v/>
      </c>
      <c r="AE983" s="18">
        <f>IF(NOT(ISNUMBER($A983)),NA(),IFERROR(1*INDEX(BBG_Data!$R$2:$R$4000,MATCH($A983,BBG_Data!$Q$2:$Q$4000,0)),NA()))</f>
        <v/>
      </c>
      <c r="AF983" s="20">
        <f>IF(AND(ISNUMBER(B983),ISNUMBER(AC983)),(B983-AC983)*100,NA())</f>
        <v/>
      </c>
      <c r="AG983" s="20">
        <f>IF(AND(ISNUMBER(AE983),ISNUMBER(AD983)),(AE983-AD983)*100,NA())</f>
        <v/>
      </c>
      <c r="AH983" s="19">
        <f>IF(NOT(ISNUMBER($A983)),NA(),IFERROR(INDEX(BBG_Data!$T$2:$T$4000,MATCH($A983,BBG_Data!$S$2:$S$4000,0))*Settings!$B$25,NA()))</f>
        <v/>
      </c>
      <c r="AI983" s="19">
        <f>IF(NOT(ISNUMBER($A983)),NA(),IFERROR(INDEX(BBG_Data!$V$2:$V$4000,MATCH($A983,BBG_Data!$U$2:$U$4000,0))*Settings!$B$25,NA()))</f>
        <v/>
      </c>
      <c r="AJ983" s="19">
        <f>IF(NOT(ISNUMBER($A983)),NA(),IFERROR(1*INDEX(BBG_Data!$X$2:$X$4000,MATCH($A983,BBG_Data!$W$2:$W$4000,0)),NA()))</f>
        <v/>
      </c>
      <c r="AK983" s="19">
        <f>IF(NOT(ISNUMBER($A983)),NA(),IFERROR(1*INDEX(BBG_Data!$Z$2:$Z$4000,MATCH($A983,BBG_Data!$Y$2:$Y$4000,0)),NA()))</f>
        <v/>
      </c>
    </row>
    <row r="984">
      <c r="A984" s="17">
        <f>IF(ISNUMBER(BBG_Data!A984),BBG_Data!A984,"")</f>
        <v/>
      </c>
      <c r="B984" s="18">
        <f>IF(AND(ISNUMBER($A984),ISNUMBER(BBG_Data!B984)),BBG_Data!B984,NA())</f>
        <v/>
      </c>
      <c r="C984" s="18">
        <f>IF(NOT(ISNUMBER($A984)),NA(),IFERROR(1*INDEX(BBG_Data!$D$2:$D$4000,MATCH($A984,BBG_Data!$C$2:$C$4000,0)),NA()))</f>
        <v/>
      </c>
      <c r="D984" s="19">
        <f>IF(NOT(ISNUMBER($A984)),NA(),IFERROR(1*INDEX(BBG_Data!$F$2:$F$4000,MATCH($A984,BBG_Data!$E$2:$E$4000,0)),NA()))</f>
        <v/>
      </c>
      <c r="E984" s="19">
        <f>IF(NOT(ISNUMBER($A984)),NA(),IFERROR(1*INDEX(BBG_Data!$H$2:$H$4000,MATCH($A984,BBG_Data!$G$2:$G$4000,0)),NA()))</f>
        <v/>
      </c>
      <c r="F984" s="20">
        <f>IF(AND(ISNUMBER(B984),ISNUMBER(B983)),IF(B984=B983,"",(B984-B983)*100),"")</f>
        <v/>
      </c>
      <c r="G984" s="20">
        <f>IF(AND(ISNUMBER(C984),ISNUMBER(C983)),IF(C984=C983,"",(C984-C983)*100),"")</f>
        <v/>
      </c>
      <c r="H984" s="20">
        <f>IF(OR(NOT(ISNUMBER($A984)),ROW()-2&lt;Settings!$B$11),NA(),IF(COUNT(OFFSET(F984,1-Settings!$B$11,0,Settings!$B$11,1))&lt;ROUNDUP(Settings!$B$11*Settings!$B$26,0),NA(),STDEV(OFFSET(F984,1-Settings!$B$11,0,Settings!$B$11,1))*SQRT(Settings!$B$13)))</f>
        <v/>
      </c>
      <c r="I984" s="20">
        <f>IF(OR(NOT(ISNUMBER($A984)),ROW()-2&lt;Settings!$B$12),NA(),IF(COUNT(OFFSET(F984,1-Settings!$B$12,0,Settings!$B$12,1))&lt;ROUNDUP(Settings!$B$12*Settings!$B$26,0),NA(),STDEV(OFFSET(F984,1-Settings!$B$12,0,Settings!$B$12,1))*SQRT(Settings!$B$13)))</f>
        <v/>
      </c>
      <c r="J984" s="20">
        <f>IF(OR(NOT(ISNUMBER($A984)),ROW()-2&lt;Settings!$B$11),NA(),IF(COUNT(OFFSET(G984,1-Settings!$B$11,0,Settings!$B$11,1))&lt;ROUNDUP(Settings!$B$11*Settings!$B$26,0),NA(),STDEV(OFFSET(G984,1-Settings!$B$11,0,Settings!$B$11,1))*SQRT(Settings!$B$13)))</f>
        <v/>
      </c>
      <c r="K984" s="20">
        <f>IF(OR(NOT(ISNUMBER($A984)),ROW()-2&lt;Settings!$B$12),NA(),IF(COUNT(OFFSET(G984,1-Settings!$B$12,0,Settings!$B$12,1))&lt;ROUNDUP(Settings!$B$12*Settings!$B$26,0),NA(),STDEV(OFFSET(G984,1-Settings!$B$12,0,Settings!$B$12,1))*SQRT(Settings!$B$13)))</f>
        <v/>
      </c>
      <c r="L984" s="20">
        <f>IF(AND(ISNUMBER(D984),ISNUMBER(H984)),D984-H984,NA())</f>
        <v/>
      </c>
      <c r="M984" s="20">
        <f>IF(AND(ISNUMBER(E984),ISNUMBER(K984)),E984-K984,NA())</f>
        <v/>
      </c>
      <c r="N984" s="20">
        <f>IF(NOT(ISNUMBER($A984)),NA(),IF(COUNT(OFFSET(G984,1,0,Settings!$B$12,1))&lt;ROUNDUP(Settings!$B$12*Settings!$B$26,0),NA(),STDEV(OFFSET(G984,1,0,Settings!$B$12,1))*SQRT(Settings!$B$13)))</f>
        <v/>
      </c>
      <c r="O984" s="20">
        <f>IF(AND(ISNUMBER(E984),ISNUMBER(N984)),E984-N984,NA())</f>
        <v/>
      </c>
      <c r="P984" s="19">
        <f>IF(NOT(ISNUMBER($A984)),NA(),IF(OR($A984&lt;MIN(KW_TP!$A$2:$A$2501),$A984&gt;MAX(KW_TP!$A$2:$A$2501)),NA(),INDEX(KW_TP!$C$2:$C$2501,MATCH($A984,KW_TP!$A$2:$A$2501,1))))</f>
        <v/>
      </c>
      <c r="Q984" s="18">
        <f>IF(NOT(ISNUMBER($A984)),NA(),IFERROR(1*INDEX(BBG_Data!$J$2:$J$4000,MATCH($A984,BBG_Data!$I$2:$I$4000,0)),NA()))</f>
        <v/>
      </c>
      <c r="R984" s="18">
        <f>IF(NOT(ISNUMBER($A984)),NA(),IFERROR(1*INDEX(BBG_Data!$L$2:$L$4000,MATCH($A984,BBG_Data!$K$2:$K$4000,0)),NA()))</f>
        <v/>
      </c>
      <c r="S984" s="20">
        <f>IF(AND(ISNUMBER(B984),ISNUMBER(Q984),ISNUMBER(R984)),(B984-Q984-R984)*100,NA())</f>
        <v/>
      </c>
      <c r="T984" s="20">
        <f>IF(AND(ISNUMBER(B984),Settings!$B$17&gt;0),IF(ISNUMBER(INDEX($B:$B,Settings!$B$17)),(B984-INDEX($B:$B,Settings!$B$17))*100,NA()),NA())</f>
        <v/>
      </c>
      <c r="U984" s="20">
        <f>IF(AND(ISNUMBER(Q984),Settings!$B$17&gt;0),IF(ISNUMBER(INDEX($Q:$Q,Settings!$B$17)),(Q984-INDEX($Q:$Q,Settings!$B$17))*100,NA()),NA())</f>
        <v/>
      </c>
      <c r="V984" s="20">
        <f>IF(AND(ISNUMBER(R984),Settings!$B$17&gt;0),IF(ISNUMBER(INDEX($R:$R,Settings!$B$17)),(R984-INDEX($R:$R,Settings!$B$17))*100,NA()),NA())</f>
        <v/>
      </c>
      <c r="W984" s="20">
        <f>IF(AND(ISNUMBER(P984),Settings!$B$17&gt;0),IF(ISNUMBER(INDEX($P:$P,Settings!$B$17)),P984-INDEX($P:$P,Settings!$B$17),NA()),NA())</f>
        <v/>
      </c>
      <c r="X984" s="19">
        <f>IF(NOT(ISNUMBER($A984)),NA(),IF(OR($A984&lt;MIN(DKW_10Y!$A$2:$A$2918),$A984&gt;MAX(DKW_10Y!$A$2:$A$2918),Settings!$B$16&lt;MIN(DKW_10Y!$A$2:$A$2918)),NA(),(INDEX(DKW_10Y!$B$2:$B$2918,MATCH($A984,DKW_10Y!$A$2:$A$2918,1))-INDEX(DKW_10Y!$B$2:$B$2918,MATCH(Settings!$B$16,DKW_10Y!$A$2:$A$2918,1)))*100))</f>
        <v/>
      </c>
      <c r="Y984" s="19">
        <f>IF(NOT(ISNUMBER($A984)),NA(),IF(OR($A984&lt;MIN(DKW_10Y!$A$2:$A$2918),$A984&gt;MAX(DKW_10Y!$A$2:$A$2918),Settings!$B$16&lt;MIN(DKW_10Y!$A$2:$A$2918)),NA(),(INDEX(DKW_10Y!$C$2:$C$2918,MATCH($A984,DKW_10Y!$A$2:$A$2918,1))-INDEX(DKW_10Y!$C$2:$C$2918,MATCH(Settings!$B$16,DKW_10Y!$A$2:$A$2918,1)))*100))</f>
        <v/>
      </c>
      <c r="Z984" s="19">
        <f>IF(NOT(ISNUMBER($A984)),NA(),IF(OR($A984&lt;MIN(DKW_10Y!$A$2:$A$2918),$A984&gt;MAX(DKW_10Y!$A$2:$A$2918),Settings!$B$16&lt;MIN(DKW_10Y!$A$2:$A$2918)),NA(),(INDEX(DKW_10Y!$D$2:$D$2918,MATCH($A984,DKW_10Y!$A$2:$A$2918,1))-INDEX(DKW_10Y!$D$2:$D$2918,MATCH(Settings!$B$16,DKW_10Y!$A$2:$A$2918,1)))*100))</f>
        <v/>
      </c>
      <c r="AA984" s="19">
        <f>IF(NOT(ISNUMBER($A984)),NA(),IF(OR($A984&lt;MIN(DKW_10Y!$A$2:$A$2918),$A984&gt;MAX(DKW_10Y!$A$2:$A$2918),Settings!$B$16&lt;MIN(DKW_10Y!$A$2:$A$2918)),NA(),(INDEX(DKW_10Y!$E$2:$E$2918,MATCH($A984,DKW_10Y!$A$2:$A$2918,1))-INDEX(DKW_10Y!$E$2:$E$2918,MATCH(Settings!$B$16,DKW_10Y!$A$2:$A$2918,1)))*100))</f>
        <v/>
      </c>
      <c r="AB984" s="19">
        <f>IF(NOT(ISNUMBER($A984)),NA(),IF(OR($A984&lt;MIN(DKW_10Y!$A$2:$A$2918),$A984&gt;MAX(DKW_10Y!$A$2:$A$2918),Settings!$B$16&lt;MIN(DKW_10Y!$A$2:$A$2918)),NA(),(INDEX(DKW_10Y!$H$2:$H$2918,MATCH($A984,DKW_10Y!$A$2:$A$2918,1))-INDEX(DKW_10Y!$H$2:$H$2918,MATCH(Settings!$B$16,DKW_10Y!$A$2:$A$2918,1)))*100))</f>
        <v/>
      </c>
      <c r="AC984" s="18">
        <f>IF(NOT(ISNUMBER($A984)),NA(),IFERROR(1*INDEX(BBG_Data!$N$2:$N$4000,MATCH($A984,BBG_Data!$M$2:$M$4000,0)),NA()))</f>
        <v/>
      </c>
      <c r="AD984" s="18">
        <f>IF(NOT(ISNUMBER($A984)),NA(),IFERROR(1*INDEX(BBG_Data!$P$2:$P$4000,MATCH($A984,BBG_Data!$O$2:$O$4000,0)),NA()))</f>
        <v/>
      </c>
      <c r="AE984" s="18">
        <f>IF(NOT(ISNUMBER($A984)),NA(),IFERROR(1*INDEX(BBG_Data!$R$2:$R$4000,MATCH($A984,BBG_Data!$Q$2:$Q$4000,0)),NA()))</f>
        <v/>
      </c>
      <c r="AF984" s="20">
        <f>IF(AND(ISNUMBER(B984),ISNUMBER(AC984)),(B984-AC984)*100,NA())</f>
        <v/>
      </c>
      <c r="AG984" s="20">
        <f>IF(AND(ISNUMBER(AE984),ISNUMBER(AD984)),(AE984-AD984)*100,NA())</f>
        <v/>
      </c>
      <c r="AH984" s="19">
        <f>IF(NOT(ISNUMBER($A984)),NA(),IFERROR(INDEX(BBG_Data!$T$2:$T$4000,MATCH($A984,BBG_Data!$S$2:$S$4000,0))*Settings!$B$25,NA()))</f>
        <v/>
      </c>
      <c r="AI984" s="19">
        <f>IF(NOT(ISNUMBER($A984)),NA(),IFERROR(INDEX(BBG_Data!$V$2:$V$4000,MATCH($A984,BBG_Data!$U$2:$U$4000,0))*Settings!$B$25,NA()))</f>
        <v/>
      </c>
      <c r="AJ984" s="19">
        <f>IF(NOT(ISNUMBER($A984)),NA(),IFERROR(1*INDEX(BBG_Data!$X$2:$X$4000,MATCH($A984,BBG_Data!$W$2:$W$4000,0)),NA()))</f>
        <v/>
      </c>
      <c r="AK984" s="19">
        <f>IF(NOT(ISNUMBER($A984)),NA(),IFERROR(1*INDEX(BBG_Data!$Z$2:$Z$4000,MATCH($A984,BBG_Data!$Y$2:$Y$4000,0)),NA()))</f>
        <v/>
      </c>
    </row>
    <row r="985">
      <c r="A985" s="17">
        <f>IF(ISNUMBER(BBG_Data!A985),BBG_Data!A985,"")</f>
        <v/>
      </c>
      <c r="B985" s="18">
        <f>IF(AND(ISNUMBER($A985),ISNUMBER(BBG_Data!B985)),BBG_Data!B985,NA())</f>
        <v/>
      </c>
      <c r="C985" s="18">
        <f>IF(NOT(ISNUMBER($A985)),NA(),IFERROR(1*INDEX(BBG_Data!$D$2:$D$4000,MATCH($A985,BBG_Data!$C$2:$C$4000,0)),NA()))</f>
        <v/>
      </c>
      <c r="D985" s="19">
        <f>IF(NOT(ISNUMBER($A985)),NA(),IFERROR(1*INDEX(BBG_Data!$F$2:$F$4000,MATCH($A985,BBG_Data!$E$2:$E$4000,0)),NA()))</f>
        <v/>
      </c>
      <c r="E985" s="19">
        <f>IF(NOT(ISNUMBER($A985)),NA(),IFERROR(1*INDEX(BBG_Data!$H$2:$H$4000,MATCH($A985,BBG_Data!$G$2:$G$4000,0)),NA()))</f>
        <v/>
      </c>
      <c r="F985" s="20">
        <f>IF(AND(ISNUMBER(B985),ISNUMBER(B984)),IF(B985=B984,"",(B985-B984)*100),"")</f>
        <v/>
      </c>
      <c r="G985" s="20">
        <f>IF(AND(ISNUMBER(C985),ISNUMBER(C984)),IF(C985=C984,"",(C985-C984)*100),"")</f>
        <v/>
      </c>
      <c r="H985" s="20">
        <f>IF(OR(NOT(ISNUMBER($A985)),ROW()-2&lt;Settings!$B$11),NA(),IF(COUNT(OFFSET(F985,1-Settings!$B$11,0,Settings!$B$11,1))&lt;ROUNDUP(Settings!$B$11*Settings!$B$26,0),NA(),STDEV(OFFSET(F985,1-Settings!$B$11,0,Settings!$B$11,1))*SQRT(Settings!$B$13)))</f>
        <v/>
      </c>
      <c r="I985" s="20">
        <f>IF(OR(NOT(ISNUMBER($A985)),ROW()-2&lt;Settings!$B$12),NA(),IF(COUNT(OFFSET(F985,1-Settings!$B$12,0,Settings!$B$12,1))&lt;ROUNDUP(Settings!$B$12*Settings!$B$26,0),NA(),STDEV(OFFSET(F985,1-Settings!$B$12,0,Settings!$B$12,1))*SQRT(Settings!$B$13)))</f>
        <v/>
      </c>
      <c r="J985" s="20">
        <f>IF(OR(NOT(ISNUMBER($A985)),ROW()-2&lt;Settings!$B$11),NA(),IF(COUNT(OFFSET(G985,1-Settings!$B$11,0,Settings!$B$11,1))&lt;ROUNDUP(Settings!$B$11*Settings!$B$26,0),NA(),STDEV(OFFSET(G985,1-Settings!$B$11,0,Settings!$B$11,1))*SQRT(Settings!$B$13)))</f>
        <v/>
      </c>
      <c r="K985" s="20">
        <f>IF(OR(NOT(ISNUMBER($A985)),ROW()-2&lt;Settings!$B$12),NA(),IF(COUNT(OFFSET(G985,1-Settings!$B$12,0,Settings!$B$12,1))&lt;ROUNDUP(Settings!$B$12*Settings!$B$26,0),NA(),STDEV(OFFSET(G985,1-Settings!$B$12,0,Settings!$B$12,1))*SQRT(Settings!$B$13)))</f>
        <v/>
      </c>
      <c r="L985" s="20">
        <f>IF(AND(ISNUMBER(D985),ISNUMBER(H985)),D985-H985,NA())</f>
        <v/>
      </c>
      <c r="M985" s="20">
        <f>IF(AND(ISNUMBER(E985),ISNUMBER(K985)),E985-K985,NA())</f>
        <v/>
      </c>
      <c r="N985" s="20">
        <f>IF(NOT(ISNUMBER($A985)),NA(),IF(COUNT(OFFSET(G985,1,0,Settings!$B$12,1))&lt;ROUNDUP(Settings!$B$12*Settings!$B$26,0),NA(),STDEV(OFFSET(G985,1,0,Settings!$B$12,1))*SQRT(Settings!$B$13)))</f>
        <v/>
      </c>
      <c r="O985" s="20">
        <f>IF(AND(ISNUMBER(E985),ISNUMBER(N985)),E985-N985,NA())</f>
        <v/>
      </c>
      <c r="P985" s="19">
        <f>IF(NOT(ISNUMBER($A985)),NA(),IF(OR($A985&lt;MIN(KW_TP!$A$2:$A$2501),$A985&gt;MAX(KW_TP!$A$2:$A$2501)),NA(),INDEX(KW_TP!$C$2:$C$2501,MATCH($A985,KW_TP!$A$2:$A$2501,1))))</f>
        <v/>
      </c>
      <c r="Q985" s="18">
        <f>IF(NOT(ISNUMBER($A985)),NA(),IFERROR(1*INDEX(BBG_Data!$J$2:$J$4000,MATCH($A985,BBG_Data!$I$2:$I$4000,0)),NA()))</f>
        <v/>
      </c>
      <c r="R985" s="18">
        <f>IF(NOT(ISNUMBER($A985)),NA(),IFERROR(1*INDEX(BBG_Data!$L$2:$L$4000,MATCH($A985,BBG_Data!$K$2:$K$4000,0)),NA()))</f>
        <v/>
      </c>
      <c r="S985" s="20">
        <f>IF(AND(ISNUMBER(B985),ISNUMBER(Q985),ISNUMBER(R985)),(B985-Q985-R985)*100,NA())</f>
        <v/>
      </c>
      <c r="T985" s="20">
        <f>IF(AND(ISNUMBER(B985),Settings!$B$17&gt;0),IF(ISNUMBER(INDEX($B:$B,Settings!$B$17)),(B985-INDEX($B:$B,Settings!$B$17))*100,NA()),NA())</f>
        <v/>
      </c>
      <c r="U985" s="20">
        <f>IF(AND(ISNUMBER(Q985),Settings!$B$17&gt;0),IF(ISNUMBER(INDEX($Q:$Q,Settings!$B$17)),(Q985-INDEX($Q:$Q,Settings!$B$17))*100,NA()),NA())</f>
        <v/>
      </c>
      <c r="V985" s="20">
        <f>IF(AND(ISNUMBER(R985),Settings!$B$17&gt;0),IF(ISNUMBER(INDEX($R:$R,Settings!$B$17)),(R985-INDEX($R:$R,Settings!$B$17))*100,NA()),NA())</f>
        <v/>
      </c>
      <c r="W985" s="20">
        <f>IF(AND(ISNUMBER(P985),Settings!$B$17&gt;0),IF(ISNUMBER(INDEX($P:$P,Settings!$B$17)),P985-INDEX($P:$P,Settings!$B$17),NA()),NA())</f>
        <v/>
      </c>
      <c r="X985" s="19">
        <f>IF(NOT(ISNUMBER($A985)),NA(),IF(OR($A985&lt;MIN(DKW_10Y!$A$2:$A$2918),$A985&gt;MAX(DKW_10Y!$A$2:$A$2918),Settings!$B$16&lt;MIN(DKW_10Y!$A$2:$A$2918)),NA(),(INDEX(DKW_10Y!$B$2:$B$2918,MATCH($A985,DKW_10Y!$A$2:$A$2918,1))-INDEX(DKW_10Y!$B$2:$B$2918,MATCH(Settings!$B$16,DKW_10Y!$A$2:$A$2918,1)))*100))</f>
        <v/>
      </c>
      <c r="Y985" s="19">
        <f>IF(NOT(ISNUMBER($A985)),NA(),IF(OR($A985&lt;MIN(DKW_10Y!$A$2:$A$2918),$A985&gt;MAX(DKW_10Y!$A$2:$A$2918),Settings!$B$16&lt;MIN(DKW_10Y!$A$2:$A$2918)),NA(),(INDEX(DKW_10Y!$C$2:$C$2918,MATCH($A985,DKW_10Y!$A$2:$A$2918,1))-INDEX(DKW_10Y!$C$2:$C$2918,MATCH(Settings!$B$16,DKW_10Y!$A$2:$A$2918,1)))*100))</f>
        <v/>
      </c>
      <c r="Z985" s="19">
        <f>IF(NOT(ISNUMBER($A985)),NA(),IF(OR($A985&lt;MIN(DKW_10Y!$A$2:$A$2918),$A985&gt;MAX(DKW_10Y!$A$2:$A$2918),Settings!$B$16&lt;MIN(DKW_10Y!$A$2:$A$2918)),NA(),(INDEX(DKW_10Y!$D$2:$D$2918,MATCH($A985,DKW_10Y!$A$2:$A$2918,1))-INDEX(DKW_10Y!$D$2:$D$2918,MATCH(Settings!$B$16,DKW_10Y!$A$2:$A$2918,1)))*100))</f>
        <v/>
      </c>
      <c r="AA985" s="19">
        <f>IF(NOT(ISNUMBER($A985)),NA(),IF(OR($A985&lt;MIN(DKW_10Y!$A$2:$A$2918),$A985&gt;MAX(DKW_10Y!$A$2:$A$2918),Settings!$B$16&lt;MIN(DKW_10Y!$A$2:$A$2918)),NA(),(INDEX(DKW_10Y!$E$2:$E$2918,MATCH($A985,DKW_10Y!$A$2:$A$2918,1))-INDEX(DKW_10Y!$E$2:$E$2918,MATCH(Settings!$B$16,DKW_10Y!$A$2:$A$2918,1)))*100))</f>
        <v/>
      </c>
      <c r="AB985" s="19">
        <f>IF(NOT(ISNUMBER($A985)),NA(),IF(OR($A985&lt;MIN(DKW_10Y!$A$2:$A$2918),$A985&gt;MAX(DKW_10Y!$A$2:$A$2918),Settings!$B$16&lt;MIN(DKW_10Y!$A$2:$A$2918)),NA(),(INDEX(DKW_10Y!$H$2:$H$2918,MATCH($A985,DKW_10Y!$A$2:$A$2918,1))-INDEX(DKW_10Y!$H$2:$H$2918,MATCH(Settings!$B$16,DKW_10Y!$A$2:$A$2918,1)))*100))</f>
        <v/>
      </c>
      <c r="AC985" s="18">
        <f>IF(NOT(ISNUMBER($A985)),NA(),IFERROR(1*INDEX(BBG_Data!$N$2:$N$4000,MATCH($A985,BBG_Data!$M$2:$M$4000,0)),NA()))</f>
        <v/>
      </c>
      <c r="AD985" s="18">
        <f>IF(NOT(ISNUMBER($A985)),NA(),IFERROR(1*INDEX(BBG_Data!$P$2:$P$4000,MATCH($A985,BBG_Data!$O$2:$O$4000,0)),NA()))</f>
        <v/>
      </c>
      <c r="AE985" s="18">
        <f>IF(NOT(ISNUMBER($A985)),NA(),IFERROR(1*INDEX(BBG_Data!$R$2:$R$4000,MATCH($A985,BBG_Data!$Q$2:$Q$4000,0)),NA()))</f>
        <v/>
      </c>
      <c r="AF985" s="20">
        <f>IF(AND(ISNUMBER(B985),ISNUMBER(AC985)),(B985-AC985)*100,NA())</f>
        <v/>
      </c>
      <c r="AG985" s="20">
        <f>IF(AND(ISNUMBER(AE985),ISNUMBER(AD985)),(AE985-AD985)*100,NA())</f>
        <v/>
      </c>
      <c r="AH985" s="19">
        <f>IF(NOT(ISNUMBER($A985)),NA(),IFERROR(INDEX(BBG_Data!$T$2:$T$4000,MATCH($A985,BBG_Data!$S$2:$S$4000,0))*Settings!$B$25,NA()))</f>
        <v/>
      </c>
      <c r="AI985" s="19">
        <f>IF(NOT(ISNUMBER($A985)),NA(),IFERROR(INDEX(BBG_Data!$V$2:$V$4000,MATCH($A985,BBG_Data!$U$2:$U$4000,0))*Settings!$B$25,NA()))</f>
        <v/>
      </c>
      <c r="AJ985" s="19">
        <f>IF(NOT(ISNUMBER($A985)),NA(),IFERROR(1*INDEX(BBG_Data!$X$2:$X$4000,MATCH($A985,BBG_Data!$W$2:$W$4000,0)),NA()))</f>
        <v/>
      </c>
      <c r="AK985" s="19">
        <f>IF(NOT(ISNUMBER($A985)),NA(),IFERROR(1*INDEX(BBG_Data!$Z$2:$Z$4000,MATCH($A985,BBG_Data!$Y$2:$Y$4000,0)),NA()))</f>
        <v/>
      </c>
    </row>
    <row r="986">
      <c r="A986" s="17">
        <f>IF(ISNUMBER(BBG_Data!A986),BBG_Data!A986,"")</f>
        <v/>
      </c>
      <c r="B986" s="18">
        <f>IF(AND(ISNUMBER($A986),ISNUMBER(BBG_Data!B986)),BBG_Data!B986,NA())</f>
        <v/>
      </c>
      <c r="C986" s="18">
        <f>IF(NOT(ISNUMBER($A986)),NA(),IFERROR(1*INDEX(BBG_Data!$D$2:$D$4000,MATCH($A986,BBG_Data!$C$2:$C$4000,0)),NA()))</f>
        <v/>
      </c>
      <c r="D986" s="19">
        <f>IF(NOT(ISNUMBER($A986)),NA(),IFERROR(1*INDEX(BBG_Data!$F$2:$F$4000,MATCH($A986,BBG_Data!$E$2:$E$4000,0)),NA()))</f>
        <v/>
      </c>
      <c r="E986" s="19">
        <f>IF(NOT(ISNUMBER($A986)),NA(),IFERROR(1*INDEX(BBG_Data!$H$2:$H$4000,MATCH($A986,BBG_Data!$G$2:$G$4000,0)),NA()))</f>
        <v/>
      </c>
      <c r="F986" s="20">
        <f>IF(AND(ISNUMBER(B986),ISNUMBER(B985)),IF(B986=B985,"",(B986-B985)*100),"")</f>
        <v/>
      </c>
      <c r="G986" s="20">
        <f>IF(AND(ISNUMBER(C986),ISNUMBER(C985)),IF(C986=C985,"",(C986-C985)*100),"")</f>
        <v/>
      </c>
      <c r="H986" s="20">
        <f>IF(OR(NOT(ISNUMBER($A986)),ROW()-2&lt;Settings!$B$11),NA(),IF(COUNT(OFFSET(F986,1-Settings!$B$11,0,Settings!$B$11,1))&lt;ROUNDUP(Settings!$B$11*Settings!$B$26,0),NA(),STDEV(OFFSET(F986,1-Settings!$B$11,0,Settings!$B$11,1))*SQRT(Settings!$B$13)))</f>
        <v/>
      </c>
      <c r="I986" s="20">
        <f>IF(OR(NOT(ISNUMBER($A986)),ROW()-2&lt;Settings!$B$12),NA(),IF(COUNT(OFFSET(F986,1-Settings!$B$12,0,Settings!$B$12,1))&lt;ROUNDUP(Settings!$B$12*Settings!$B$26,0),NA(),STDEV(OFFSET(F986,1-Settings!$B$12,0,Settings!$B$12,1))*SQRT(Settings!$B$13)))</f>
        <v/>
      </c>
      <c r="J986" s="20">
        <f>IF(OR(NOT(ISNUMBER($A986)),ROW()-2&lt;Settings!$B$11),NA(),IF(COUNT(OFFSET(G986,1-Settings!$B$11,0,Settings!$B$11,1))&lt;ROUNDUP(Settings!$B$11*Settings!$B$26,0),NA(),STDEV(OFFSET(G986,1-Settings!$B$11,0,Settings!$B$11,1))*SQRT(Settings!$B$13)))</f>
        <v/>
      </c>
      <c r="K986" s="20">
        <f>IF(OR(NOT(ISNUMBER($A986)),ROW()-2&lt;Settings!$B$12),NA(),IF(COUNT(OFFSET(G986,1-Settings!$B$12,0,Settings!$B$12,1))&lt;ROUNDUP(Settings!$B$12*Settings!$B$26,0),NA(),STDEV(OFFSET(G986,1-Settings!$B$12,0,Settings!$B$12,1))*SQRT(Settings!$B$13)))</f>
        <v/>
      </c>
      <c r="L986" s="20">
        <f>IF(AND(ISNUMBER(D986),ISNUMBER(H986)),D986-H986,NA())</f>
        <v/>
      </c>
      <c r="M986" s="20">
        <f>IF(AND(ISNUMBER(E986),ISNUMBER(K986)),E986-K986,NA())</f>
        <v/>
      </c>
      <c r="N986" s="20">
        <f>IF(NOT(ISNUMBER($A986)),NA(),IF(COUNT(OFFSET(G986,1,0,Settings!$B$12,1))&lt;ROUNDUP(Settings!$B$12*Settings!$B$26,0),NA(),STDEV(OFFSET(G986,1,0,Settings!$B$12,1))*SQRT(Settings!$B$13)))</f>
        <v/>
      </c>
      <c r="O986" s="20">
        <f>IF(AND(ISNUMBER(E986),ISNUMBER(N986)),E986-N986,NA())</f>
        <v/>
      </c>
      <c r="P986" s="19">
        <f>IF(NOT(ISNUMBER($A986)),NA(),IF(OR($A986&lt;MIN(KW_TP!$A$2:$A$2501),$A986&gt;MAX(KW_TP!$A$2:$A$2501)),NA(),INDEX(KW_TP!$C$2:$C$2501,MATCH($A986,KW_TP!$A$2:$A$2501,1))))</f>
        <v/>
      </c>
      <c r="Q986" s="18">
        <f>IF(NOT(ISNUMBER($A986)),NA(),IFERROR(1*INDEX(BBG_Data!$J$2:$J$4000,MATCH($A986,BBG_Data!$I$2:$I$4000,0)),NA()))</f>
        <v/>
      </c>
      <c r="R986" s="18">
        <f>IF(NOT(ISNUMBER($A986)),NA(),IFERROR(1*INDEX(BBG_Data!$L$2:$L$4000,MATCH($A986,BBG_Data!$K$2:$K$4000,0)),NA()))</f>
        <v/>
      </c>
      <c r="S986" s="20">
        <f>IF(AND(ISNUMBER(B986),ISNUMBER(Q986),ISNUMBER(R986)),(B986-Q986-R986)*100,NA())</f>
        <v/>
      </c>
      <c r="T986" s="20">
        <f>IF(AND(ISNUMBER(B986),Settings!$B$17&gt;0),IF(ISNUMBER(INDEX($B:$B,Settings!$B$17)),(B986-INDEX($B:$B,Settings!$B$17))*100,NA()),NA())</f>
        <v/>
      </c>
      <c r="U986" s="20">
        <f>IF(AND(ISNUMBER(Q986),Settings!$B$17&gt;0),IF(ISNUMBER(INDEX($Q:$Q,Settings!$B$17)),(Q986-INDEX($Q:$Q,Settings!$B$17))*100,NA()),NA())</f>
        <v/>
      </c>
      <c r="V986" s="20">
        <f>IF(AND(ISNUMBER(R986),Settings!$B$17&gt;0),IF(ISNUMBER(INDEX($R:$R,Settings!$B$17)),(R986-INDEX($R:$R,Settings!$B$17))*100,NA()),NA())</f>
        <v/>
      </c>
      <c r="W986" s="20">
        <f>IF(AND(ISNUMBER(P986),Settings!$B$17&gt;0),IF(ISNUMBER(INDEX($P:$P,Settings!$B$17)),P986-INDEX($P:$P,Settings!$B$17),NA()),NA())</f>
        <v/>
      </c>
      <c r="X986" s="19">
        <f>IF(NOT(ISNUMBER($A986)),NA(),IF(OR($A986&lt;MIN(DKW_10Y!$A$2:$A$2918),$A986&gt;MAX(DKW_10Y!$A$2:$A$2918),Settings!$B$16&lt;MIN(DKW_10Y!$A$2:$A$2918)),NA(),(INDEX(DKW_10Y!$B$2:$B$2918,MATCH($A986,DKW_10Y!$A$2:$A$2918,1))-INDEX(DKW_10Y!$B$2:$B$2918,MATCH(Settings!$B$16,DKW_10Y!$A$2:$A$2918,1)))*100))</f>
        <v/>
      </c>
      <c r="Y986" s="19">
        <f>IF(NOT(ISNUMBER($A986)),NA(),IF(OR($A986&lt;MIN(DKW_10Y!$A$2:$A$2918),$A986&gt;MAX(DKW_10Y!$A$2:$A$2918),Settings!$B$16&lt;MIN(DKW_10Y!$A$2:$A$2918)),NA(),(INDEX(DKW_10Y!$C$2:$C$2918,MATCH($A986,DKW_10Y!$A$2:$A$2918,1))-INDEX(DKW_10Y!$C$2:$C$2918,MATCH(Settings!$B$16,DKW_10Y!$A$2:$A$2918,1)))*100))</f>
        <v/>
      </c>
      <c r="Z986" s="19">
        <f>IF(NOT(ISNUMBER($A986)),NA(),IF(OR($A986&lt;MIN(DKW_10Y!$A$2:$A$2918),$A986&gt;MAX(DKW_10Y!$A$2:$A$2918),Settings!$B$16&lt;MIN(DKW_10Y!$A$2:$A$2918)),NA(),(INDEX(DKW_10Y!$D$2:$D$2918,MATCH($A986,DKW_10Y!$A$2:$A$2918,1))-INDEX(DKW_10Y!$D$2:$D$2918,MATCH(Settings!$B$16,DKW_10Y!$A$2:$A$2918,1)))*100))</f>
        <v/>
      </c>
      <c r="AA986" s="19">
        <f>IF(NOT(ISNUMBER($A986)),NA(),IF(OR($A986&lt;MIN(DKW_10Y!$A$2:$A$2918),$A986&gt;MAX(DKW_10Y!$A$2:$A$2918),Settings!$B$16&lt;MIN(DKW_10Y!$A$2:$A$2918)),NA(),(INDEX(DKW_10Y!$E$2:$E$2918,MATCH($A986,DKW_10Y!$A$2:$A$2918,1))-INDEX(DKW_10Y!$E$2:$E$2918,MATCH(Settings!$B$16,DKW_10Y!$A$2:$A$2918,1)))*100))</f>
        <v/>
      </c>
      <c r="AB986" s="19">
        <f>IF(NOT(ISNUMBER($A986)),NA(),IF(OR($A986&lt;MIN(DKW_10Y!$A$2:$A$2918),$A986&gt;MAX(DKW_10Y!$A$2:$A$2918),Settings!$B$16&lt;MIN(DKW_10Y!$A$2:$A$2918)),NA(),(INDEX(DKW_10Y!$H$2:$H$2918,MATCH($A986,DKW_10Y!$A$2:$A$2918,1))-INDEX(DKW_10Y!$H$2:$H$2918,MATCH(Settings!$B$16,DKW_10Y!$A$2:$A$2918,1)))*100))</f>
        <v/>
      </c>
      <c r="AC986" s="18">
        <f>IF(NOT(ISNUMBER($A986)),NA(),IFERROR(1*INDEX(BBG_Data!$N$2:$N$4000,MATCH($A986,BBG_Data!$M$2:$M$4000,0)),NA()))</f>
        <v/>
      </c>
      <c r="AD986" s="18">
        <f>IF(NOT(ISNUMBER($A986)),NA(),IFERROR(1*INDEX(BBG_Data!$P$2:$P$4000,MATCH($A986,BBG_Data!$O$2:$O$4000,0)),NA()))</f>
        <v/>
      </c>
      <c r="AE986" s="18">
        <f>IF(NOT(ISNUMBER($A986)),NA(),IFERROR(1*INDEX(BBG_Data!$R$2:$R$4000,MATCH($A986,BBG_Data!$Q$2:$Q$4000,0)),NA()))</f>
        <v/>
      </c>
      <c r="AF986" s="20">
        <f>IF(AND(ISNUMBER(B986),ISNUMBER(AC986)),(B986-AC986)*100,NA())</f>
        <v/>
      </c>
      <c r="AG986" s="20">
        <f>IF(AND(ISNUMBER(AE986),ISNUMBER(AD986)),(AE986-AD986)*100,NA())</f>
        <v/>
      </c>
      <c r="AH986" s="19">
        <f>IF(NOT(ISNUMBER($A986)),NA(),IFERROR(INDEX(BBG_Data!$T$2:$T$4000,MATCH($A986,BBG_Data!$S$2:$S$4000,0))*Settings!$B$25,NA()))</f>
        <v/>
      </c>
      <c r="AI986" s="19">
        <f>IF(NOT(ISNUMBER($A986)),NA(),IFERROR(INDEX(BBG_Data!$V$2:$V$4000,MATCH($A986,BBG_Data!$U$2:$U$4000,0))*Settings!$B$25,NA()))</f>
        <v/>
      </c>
      <c r="AJ986" s="19">
        <f>IF(NOT(ISNUMBER($A986)),NA(),IFERROR(1*INDEX(BBG_Data!$X$2:$X$4000,MATCH($A986,BBG_Data!$W$2:$W$4000,0)),NA()))</f>
        <v/>
      </c>
      <c r="AK986" s="19">
        <f>IF(NOT(ISNUMBER($A986)),NA(),IFERROR(1*INDEX(BBG_Data!$Z$2:$Z$4000,MATCH($A986,BBG_Data!$Y$2:$Y$4000,0)),NA()))</f>
        <v/>
      </c>
    </row>
    <row r="987">
      <c r="A987" s="17">
        <f>IF(ISNUMBER(BBG_Data!A987),BBG_Data!A987,"")</f>
        <v/>
      </c>
      <c r="B987" s="18">
        <f>IF(AND(ISNUMBER($A987),ISNUMBER(BBG_Data!B987)),BBG_Data!B987,NA())</f>
        <v/>
      </c>
      <c r="C987" s="18">
        <f>IF(NOT(ISNUMBER($A987)),NA(),IFERROR(1*INDEX(BBG_Data!$D$2:$D$4000,MATCH($A987,BBG_Data!$C$2:$C$4000,0)),NA()))</f>
        <v/>
      </c>
      <c r="D987" s="19">
        <f>IF(NOT(ISNUMBER($A987)),NA(),IFERROR(1*INDEX(BBG_Data!$F$2:$F$4000,MATCH($A987,BBG_Data!$E$2:$E$4000,0)),NA()))</f>
        <v/>
      </c>
      <c r="E987" s="19">
        <f>IF(NOT(ISNUMBER($A987)),NA(),IFERROR(1*INDEX(BBG_Data!$H$2:$H$4000,MATCH($A987,BBG_Data!$G$2:$G$4000,0)),NA()))</f>
        <v/>
      </c>
      <c r="F987" s="20">
        <f>IF(AND(ISNUMBER(B987),ISNUMBER(B986)),IF(B987=B986,"",(B987-B986)*100),"")</f>
        <v/>
      </c>
      <c r="G987" s="20">
        <f>IF(AND(ISNUMBER(C987),ISNUMBER(C986)),IF(C987=C986,"",(C987-C986)*100),"")</f>
        <v/>
      </c>
      <c r="H987" s="20">
        <f>IF(OR(NOT(ISNUMBER($A987)),ROW()-2&lt;Settings!$B$11),NA(),IF(COUNT(OFFSET(F987,1-Settings!$B$11,0,Settings!$B$11,1))&lt;ROUNDUP(Settings!$B$11*Settings!$B$26,0),NA(),STDEV(OFFSET(F987,1-Settings!$B$11,0,Settings!$B$11,1))*SQRT(Settings!$B$13)))</f>
        <v/>
      </c>
      <c r="I987" s="20">
        <f>IF(OR(NOT(ISNUMBER($A987)),ROW()-2&lt;Settings!$B$12),NA(),IF(COUNT(OFFSET(F987,1-Settings!$B$12,0,Settings!$B$12,1))&lt;ROUNDUP(Settings!$B$12*Settings!$B$26,0),NA(),STDEV(OFFSET(F987,1-Settings!$B$12,0,Settings!$B$12,1))*SQRT(Settings!$B$13)))</f>
        <v/>
      </c>
      <c r="J987" s="20">
        <f>IF(OR(NOT(ISNUMBER($A987)),ROW()-2&lt;Settings!$B$11),NA(),IF(COUNT(OFFSET(G987,1-Settings!$B$11,0,Settings!$B$11,1))&lt;ROUNDUP(Settings!$B$11*Settings!$B$26,0),NA(),STDEV(OFFSET(G987,1-Settings!$B$11,0,Settings!$B$11,1))*SQRT(Settings!$B$13)))</f>
        <v/>
      </c>
      <c r="K987" s="20">
        <f>IF(OR(NOT(ISNUMBER($A987)),ROW()-2&lt;Settings!$B$12),NA(),IF(COUNT(OFFSET(G987,1-Settings!$B$12,0,Settings!$B$12,1))&lt;ROUNDUP(Settings!$B$12*Settings!$B$26,0),NA(),STDEV(OFFSET(G987,1-Settings!$B$12,0,Settings!$B$12,1))*SQRT(Settings!$B$13)))</f>
        <v/>
      </c>
      <c r="L987" s="20">
        <f>IF(AND(ISNUMBER(D987),ISNUMBER(H987)),D987-H987,NA())</f>
        <v/>
      </c>
      <c r="M987" s="20">
        <f>IF(AND(ISNUMBER(E987),ISNUMBER(K987)),E987-K987,NA())</f>
        <v/>
      </c>
      <c r="N987" s="20">
        <f>IF(NOT(ISNUMBER($A987)),NA(),IF(COUNT(OFFSET(G987,1,0,Settings!$B$12,1))&lt;ROUNDUP(Settings!$B$12*Settings!$B$26,0),NA(),STDEV(OFFSET(G987,1,0,Settings!$B$12,1))*SQRT(Settings!$B$13)))</f>
        <v/>
      </c>
      <c r="O987" s="20">
        <f>IF(AND(ISNUMBER(E987),ISNUMBER(N987)),E987-N987,NA())</f>
        <v/>
      </c>
      <c r="P987" s="19">
        <f>IF(NOT(ISNUMBER($A987)),NA(),IF(OR($A987&lt;MIN(KW_TP!$A$2:$A$2501),$A987&gt;MAX(KW_TP!$A$2:$A$2501)),NA(),INDEX(KW_TP!$C$2:$C$2501,MATCH($A987,KW_TP!$A$2:$A$2501,1))))</f>
        <v/>
      </c>
      <c r="Q987" s="18">
        <f>IF(NOT(ISNUMBER($A987)),NA(),IFERROR(1*INDEX(BBG_Data!$J$2:$J$4000,MATCH($A987,BBG_Data!$I$2:$I$4000,0)),NA()))</f>
        <v/>
      </c>
      <c r="R987" s="18">
        <f>IF(NOT(ISNUMBER($A987)),NA(),IFERROR(1*INDEX(BBG_Data!$L$2:$L$4000,MATCH($A987,BBG_Data!$K$2:$K$4000,0)),NA()))</f>
        <v/>
      </c>
      <c r="S987" s="20">
        <f>IF(AND(ISNUMBER(B987),ISNUMBER(Q987),ISNUMBER(R987)),(B987-Q987-R987)*100,NA())</f>
        <v/>
      </c>
      <c r="T987" s="20">
        <f>IF(AND(ISNUMBER(B987),Settings!$B$17&gt;0),IF(ISNUMBER(INDEX($B:$B,Settings!$B$17)),(B987-INDEX($B:$B,Settings!$B$17))*100,NA()),NA())</f>
        <v/>
      </c>
      <c r="U987" s="20">
        <f>IF(AND(ISNUMBER(Q987),Settings!$B$17&gt;0),IF(ISNUMBER(INDEX($Q:$Q,Settings!$B$17)),(Q987-INDEX($Q:$Q,Settings!$B$17))*100,NA()),NA())</f>
        <v/>
      </c>
      <c r="V987" s="20">
        <f>IF(AND(ISNUMBER(R987),Settings!$B$17&gt;0),IF(ISNUMBER(INDEX($R:$R,Settings!$B$17)),(R987-INDEX($R:$R,Settings!$B$17))*100,NA()),NA())</f>
        <v/>
      </c>
      <c r="W987" s="20">
        <f>IF(AND(ISNUMBER(P987),Settings!$B$17&gt;0),IF(ISNUMBER(INDEX($P:$P,Settings!$B$17)),P987-INDEX($P:$P,Settings!$B$17),NA()),NA())</f>
        <v/>
      </c>
      <c r="X987" s="19">
        <f>IF(NOT(ISNUMBER($A987)),NA(),IF(OR($A987&lt;MIN(DKW_10Y!$A$2:$A$2918),$A987&gt;MAX(DKW_10Y!$A$2:$A$2918),Settings!$B$16&lt;MIN(DKW_10Y!$A$2:$A$2918)),NA(),(INDEX(DKW_10Y!$B$2:$B$2918,MATCH($A987,DKW_10Y!$A$2:$A$2918,1))-INDEX(DKW_10Y!$B$2:$B$2918,MATCH(Settings!$B$16,DKW_10Y!$A$2:$A$2918,1)))*100))</f>
        <v/>
      </c>
      <c r="Y987" s="19">
        <f>IF(NOT(ISNUMBER($A987)),NA(),IF(OR($A987&lt;MIN(DKW_10Y!$A$2:$A$2918),$A987&gt;MAX(DKW_10Y!$A$2:$A$2918),Settings!$B$16&lt;MIN(DKW_10Y!$A$2:$A$2918)),NA(),(INDEX(DKW_10Y!$C$2:$C$2918,MATCH($A987,DKW_10Y!$A$2:$A$2918,1))-INDEX(DKW_10Y!$C$2:$C$2918,MATCH(Settings!$B$16,DKW_10Y!$A$2:$A$2918,1)))*100))</f>
        <v/>
      </c>
      <c r="Z987" s="19">
        <f>IF(NOT(ISNUMBER($A987)),NA(),IF(OR($A987&lt;MIN(DKW_10Y!$A$2:$A$2918),$A987&gt;MAX(DKW_10Y!$A$2:$A$2918),Settings!$B$16&lt;MIN(DKW_10Y!$A$2:$A$2918)),NA(),(INDEX(DKW_10Y!$D$2:$D$2918,MATCH($A987,DKW_10Y!$A$2:$A$2918,1))-INDEX(DKW_10Y!$D$2:$D$2918,MATCH(Settings!$B$16,DKW_10Y!$A$2:$A$2918,1)))*100))</f>
        <v/>
      </c>
      <c r="AA987" s="19">
        <f>IF(NOT(ISNUMBER($A987)),NA(),IF(OR($A987&lt;MIN(DKW_10Y!$A$2:$A$2918),$A987&gt;MAX(DKW_10Y!$A$2:$A$2918),Settings!$B$16&lt;MIN(DKW_10Y!$A$2:$A$2918)),NA(),(INDEX(DKW_10Y!$E$2:$E$2918,MATCH($A987,DKW_10Y!$A$2:$A$2918,1))-INDEX(DKW_10Y!$E$2:$E$2918,MATCH(Settings!$B$16,DKW_10Y!$A$2:$A$2918,1)))*100))</f>
        <v/>
      </c>
      <c r="AB987" s="19">
        <f>IF(NOT(ISNUMBER($A987)),NA(),IF(OR($A987&lt;MIN(DKW_10Y!$A$2:$A$2918),$A987&gt;MAX(DKW_10Y!$A$2:$A$2918),Settings!$B$16&lt;MIN(DKW_10Y!$A$2:$A$2918)),NA(),(INDEX(DKW_10Y!$H$2:$H$2918,MATCH($A987,DKW_10Y!$A$2:$A$2918,1))-INDEX(DKW_10Y!$H$2:$H$2918,MATCH(Settings!$B$16,DKW_10Y!$A$2:$A$2918,1)))*100))</f>
        <v/>
      </c>
      <c r="AC987" s="18">
        <f>IF(NOT(ISNUMBER($A987)),NA(),IFERROR(1*INDEX(BBG_Data!$N$2:$N$4000,MATCH($A987,BBG_Data!$M$2:$M$4000,0)),NA()))</f>
        <v/>
      </c>
      <c r="AD987" s="18">
        <f>IF(NOT(ISNUMBER($A987)),NA(),IFERROR(1*INDEX(BBG_Data!$P$2:$P$4000,MATCH($A987,BBG_Data!$O$2:$O$4000,0)),NA()))</f>
        <v/>
      </c>
      <c r="AE987" s="18">
        <f>IF(NOT(ISNUMBER($A987)),NA(),IFERROR(1*INDEX(BBG_Data!$R$2:$R$4000,MATCH($A987,BBG_Data!$Q$2:$Q$4000,0)),NA()))</f>
        <v/>
      </c>
      <c r="AF987" s="20">
        <f>IF(AND(ISNUMBER(B987),ISNUMBER(AC987)),(B987-AC987)*100,NA())</f>
        <v/>
      </c>
      <c r="AG987" s="20">
        <f>IF(AND(ISNUMBER(AE987),ISNUMBER(AD987)),(AE987-AD987)*100,NA())</f>
        <v/>
      </c>
      <c r="AH987" s="19">
        <f>IF(NOT(ISNUMBER($A987)),NA(),IFERROR(INDEX(BBG_Data!$T$2:$T$4000,MATCH($A987,BBG_Data!$S$2:$S$4000,0))*Settings!$B$25,NA()))</f>
        <v/>
      </c>
      <c r="AI987" s="19">
        <f>IF(NOT(ISNUMBER($A987)),NA(),IFERROR(INDEX(BBG_Data!$V$2:$V$4000,MATCH($A987,BBG_Data!$U$2:$U$4000,0))*Settings!$B$25,NA()))</f>
        <v/>
      </c>
      <c r="AJ987" s="19">
        <f>IF(NOT(ISNUMBER($A987)),NA(),IFERROR(1*INDEX(BBG_Data!$X$2:$X$4000,MATCH($A987,BBG_Data!$W$2:$W$4000,0)),NA()))</f>
        <v/>
      </c>
      <c r="AK987" s="19">
        <f>IF(NOT(ISNUMBER($A987)),NA(),IFERROR(1*INDEX(BBG_Data!$Z$2:$Z$4000,MATCH($A987,BBG_Data!$Y$2:$Y$4000,0)),NA()))</f>
        <v/>
      </c>
    </row>
    <row r="988">
      <c r="A988" s="17">
        <f>IF(ISNUMBER(BBG_Data!A988),BBG_Data!A988,"")</f>
        <v/>
      </c>
      <c r="B988" s="18">
        <f>IF(AND(ISNUMBER($A988),ISNUMBER(BBG_Data!B988)),BBG_Data!B988,NA())</f>
        <v/>
      </c>
      <c r="C988" s="18">
        <f>IF(NOT(ISNUMBER($A988)),NA(),IFERROR(1*INDEX(BBG_Data!$D$2:$D$4000,MATCH($A988,BBG_Data!$C$2:$C$4000,0)),NA()))</f>
        <v/>
      </c>
      <c r="D988" s="19">
        <f>IF(NOT(ISNUMBER($A988)),NA(),IFERROR(1*INDEX(BBG_Data!$F$2:$F$4000,MATCH($A988,BBG_Data!$E$2:$E$4000,0)),NA()))</f>
        <v/>
      </c>
      <c r="E988" s="19">
        <f>IF(NOT(ISNUMBER($A988)),NA(),IFERROR(1*INDEX(BBG_Data!$H$2:$H$4000,MATCH($A988,BBG_Data!$G$2:$G$4000,0)),NA()))</f>
        <v/>
      </c>
      <c r="F988" s="20">
        <f>IF(AND(ISNUMBER(B988),ISNUMBER(B987)),IF(B988=B987,"",(B988-B987)*100),"")</f>
        <v/>
      </c>
      <c r="G988" s="20">
        <f>IF(AND(ISNUMBER(C988),ISNUMBER(C987)),IF(C988=C987,"",(C988-C987)*100),"")</f>
        <v/>
      </c>
      <c r="H988" s="20">
        <f>IF(OR(NOT(ISNUMBER($A988)),ROW()-2&lt;Settings!$B$11),NA(),IF(COUNT(OFFSET(F988,1-Settings!$B$11,0,Settings!$B$11,1))&lt;ROUNDUP(Settings!$B$11*Settings!$B$26,0),NA(),STDEV(OFFSET(F988,1-Settings!$B$11,0,Settings!$B$11,1))*SQRT(Settings!$B$13)))</f>
        <v/>
      </c>
      <c r="I988" s="20">
        <f>IF(OR(NOT(ISNUMBER($A988)),ROW()-2&lt;Settings!$B$12),NA(),IF(COUNT(OFFSET(F988,1-Settings!$B$12,0,Settings!$B$12,1))&lt;ROUNDUP(Settings!$B$12*Settings!$B$26,0),NA(),STDEV(OFFSET(F988,1-Settings!$B$12,0,Settings!$B$12,1))*SQRT(Settings!$B$13)))</f>
        <v/>
      </c>
      <c r="J988" s="20">
        <f>IF(OR(NOT(ISNUMBER($A988)),ROW()-2&lt;Settings!$B$11),NA(),IF(COUNT(OFFSET(G988,1-Settings!$B$11,0,Settings!$B$11,1))&lt;ROUNDUP(Settings!$B$11*Settings!$B$26,0),NA(),STDEV(OFFSET(G988,1-Settings!$B$11,0,Settings!$B$11,1))*SQRT(Settings!$B$13)))</f>
        <v/>
      </c>
      <c r="K988" s="20">
        <f>IF(OR(NOT(ISNUMBER($A988)),ROW()-2&lt;Settings!$B$12),NA(),IF(COUNT(OFFSET(G988,1-Settings!$B$12,0,Settings!$B$12,1))&lt;ROUNDUP(Settings!$B$12*Settings!$B$26,0),NA(),STDEV(OFFSET(G988,1-Settings!$B$12,0,Settings!$B$12,1))*SQRT(Settings!$B$13)))</f>
        <v/>
      </c>
      <c r="L988" s="20">
        <f>IF(AND(ISNUMBER(D988),ISNUMBER(H988)),D988-H988,NA())</f>
        <v/>
      </c>
      <c r="M988" s="20">
        <f>IF(AND(ISNUMBER(E988),ISNUMBER(K988)),E988-K988,NA())</f>
        <v/>
      </c>
      <c r="N988" s="20">
        <f>IF(NOT(ISNUMBER($A988)),NA(),IF(COUNT(OFFSET(G988,1,0,Settings!$B$12,1))&lt;ROUNDUP(Settings!$B$12*Settings!$B$26,0),NA(),STDEV(OFFSET(G988,1,0,Settings!$B$12,1))*SQRT(Settings!$B$13)))</f>
        <v/>
      </c>
      <c r="O988" s="20">
        <f>IF(AND(ISNUMBER(E988),ISNUMBER(N988)),E988-N988,NA())</f>
        <v/>
      </c>
      <c r="P988" s="19">
        <f>IF(NOT(ISNUMBER($A988)),NA(),IF(OR($A988&lt;MIN(KW_TP!$A$2:$A$2501),$A988&gt;MAX(KW_TP!$A$2:$A$2501)),NA(),INDEX(KW_TP!$C$2:$C$2501,MATCH($A988,KW_TP!$A$2:$A$2501,1))))</f>
        <v/>
      </c>
      <c r="Q988" s="18">
        <f>IF(NOT(ISNUMBER($A988)),NA(),IFERROR(1*INDEX(BBG_Data!$J$2:$J$4000,MATCH($A988,BBG_Data!$I$2:$I$4000,0)),NA()))</f>
        <v/>
      </c>
      <c r="R988" s="18">
        <f>IF(NOT(ISNUMBER($A988)),NA(),IFERROR(1*INDEX(BBG_Data!$L$2:$L$4000,MATCH($A988,BBG_Data!$K$2:$K$4000,0)),NA()))</f>
        <v/>
      </c>
      <c r="S988" s="20">
        <f>IF(AND(ISNUMBER(B988),ISNUMBER(Q988),ISNUMBER(R988)),(B988-Q988-R988)*100,NA())</f>
        <v/>
      </c>
      <c r="T988" s="20">
        <f>IF(AND(ISNUMBER(B988),Settings!$B$17&gt;0),IF(ISNUMBER(INDEX($B:$B,Settings!$B$17)),(B988-INDEX($B:$B,Settings!$B$17))*100,NA()),NA())</f>
        <v/>
      </c>
      <c r="U988" s="20">
        <f>IF(AND(ISNUMBER(Q988),Settings!$B$17&gt;0),IF(ISNUMBER(INDEX($Q:$Q,Settings!$B$17)),(Q988-INDEX($Q:$Q,Settings!$B$17))*100,NA()),NA())</f>
        <v/>
      </c>
      <c r="V988" s="20">
        <f>IF(AND(ISNUMBER(R988),Settings!$B$17&gt;0),IF(ISNUMBER(INDEX($R:$R,Settings!$B$17)),(R988-INDEX($R:$R,Settings!$B$17))*100,NA()),NA())</f>
        <v/>
      </c>
      <c r="W988" s="20">
        <f>IF(AND(ISNUMBER(P988),Settings!$B$17&gt;0),IF(ISNUMBER(INDEX($P:$P,Settings!$B$17)),P988-INDEX($P:$P,Settings!$B$17),NA()),NA())</f>
        <v/>
      </c>
      <c r="X988" s="19">
        <f>IF(NOT(ISNUMBER($A988)),NA(),IF(OR($A988&lt;MIN(DKW_10Y!$A$2:$A$2918),$A988&gt;MAX(DKW_10Y!$A$2:$A$2918),Settings!$B$16&lt;MIN(DKW_10Y!$A$2:$A$2918)),NA(),(INDEX(DKW_10Y!$B$2:$B$2918,MATCH($A988,DKW_10Y!$A$2:$A$2918,1))-INDEX(DKW_10Y!$B$2:$B$2918,MATCH(Settings!$B$16,DKW_10Y!$A$2:$A$2918,1)))*100))</f>
        <v/>
      </c>
      <c r="Y988" s="19">
        <f>IF(NOT(ISNUMBER($A988)),NA(),IF(OR($A988&lt;MIN(DKW_10Y!$A$2:$A$2918),$A988&gt;MAX(DKW_10Y!$A$2:$A$2918),Settings!$B$16&lt;MIN(DKW_10Y!$A$2:$A$2918)),NA(),(INDEX(DKW_10Y!$C$2:$C$2918,MATCH($A988,DKW_10Y!$A$2:$A$2918,1))-INDEX(DKW_10Y!$C$2:$C$2918,MATCH(Settings!$B$16,DKW_10Y!$A$2:$A$2918,1)))*100))</f>
        <v/>
      </c>
      <c r="Z988" s="19">
        <f>IF(NOT(ISNUMBER($A988)),NA(),IF(OR($A988&lt;MIN(DKW_10Y!$A$2:$A$2918),$A988&gt;MAX(DKW_10Y!$A$2:$A$2918),Settings!$B$16&lt;MIN(DKW_10Y!$A$2:$A$2918)),NA(),(INDEX(DKW_10Y!$D$2:$D$2918,MATCH($A988,DKW_10Y!$A$2:$A$2918,1))-INDEX(DKW_10Y!$D$2:$D$2918,MATCH(Settings!$B$16,DKW_10Y!$A$2:$A$2918,1)))*100))</f>
        <v/>
      </c>
      <c r="AA988" s="19">
        <f>IF(NOT(ISNUMBER($A988)),NA(),IF(OR($A988&lt;MIN(DKW_10Y!$A$2:$A$2918),$A988&gt;MAX(DKW_10Y!$A$2:$A$2918),Settings!$B$16&lt;MIN(DKW_10Y!$A$2:$A$2918)),NA(),(INDEX(DKW_10Y!$E$2:$E$2918,MATCH($A988,DKW_10Y!$A$2:$A$2918,1))-INDEX(DKW_10Y!$E$2:$E$2918,MATCH(Settings!$B$16,DKW_10Y!$A$2:$A$2918,1)))*100))</f>
        <v/>
      </c>
      <c r="AB988" s="19">
        <f>IF(NOT(ISNUMBER($A988)),NA(),IF(OR($A988&lt;MIN(DKW_10Y!$A$2:$A$2918),$A988&gt;MAX(DKW_10Y!$A$2:$A$2918),Settings!$B$16&lt;MIN(DKW_10Y!$A$2:$A$2918)),NA(),(INDEX(DKW_10Y!$H$2:$H$2918,MATCH($A988,DKW_10Y!$A$2:$A$2918,1))-INDEX(DKW_10Y!$H$2:$H$2918,MATCH(Settings!$B$16,DKW_10Y!$A$2:$A$2918,1)))*100))</f>
        <v/>
      </c>
      <c r="AC988" s="18">
        <f>IF(NOT(ISNUMBER($A988)),NA(),IFERROR(1*INDEX(BBG_Data!$N$2:$N$4000,MATCH($A988,BBG_Data!$M$2:$M$4000,0)),NA()))</f>
        <v/>
      </c>
      <c r="AD988" s="18">
        <f>IF(NOT(ISNUMBER($A988)),NA(),IFERROR(1*INDEX(BBG_Data!$P$2:$P$4000,MATCH($A988,BBG_Data!$O$2:$O$4000,0)),NA()))</f>
        <v/>
      </c>
      <c r="AE988" s="18">
        <f>IF(NOT(ISNUMBER($A988)),NA(),IFERROR(1*INDEX(BBG_Data!$R$2:$R$4000,MATCH($A988,BBG_Data!$Q$2:$Q$4000,0)),NA()))</f>
        <v/>
      </c>
      <c r="AF988" s="20">
        <f>IF(AND(ISNUMBER(B988),ISNUMBER(AC988)),(B988-AC988)*100,NA())</f>
        <v/>
      </c>
      <c r="AG988" s="20">
        <f>IF(AND(ISNUMBER(AE988),ISNUMBER(AD988)),(AE988-AD988)*100,NA())</f>
        <v/>
      </c>
      <c r="AH988" s="19">
        <f>IF(NOT(ISNUMBER($A988)),NA(),IFERROR(INDEX(BBG_Data!$T$2:$T$4000,MATCH($A988,BBG_Data!$S$2:$S$4000,0))*Settings!$B$25,NA()))</f>
        <v/>
      </c>
      <c r="AI988" s="19">
        <f>IF(NOT(ISNUMBER($A988)),NA(),IFERROR(INDEX(BBG_Data!$V$2:$V$4000,MATCH($A988,BBG_Data!$U$2:$U$4000,0))*Settings!$B$25,NA()))</f>
        <v/>
      </c>
      <c r="AJ988" s="19">
        <f>IF(NOT(ISNUMBER($A988)),NA(),IFERROR(1*INDEX(BBG_Data!$X$2:$X$4000,MATCH($A988,BBG_Data!$W$2:$W$4000,0)),NA()))</f>
        <v/>
      </c>
      <c r="AK988" s="19">
        <f>IF(NOT(ISNUMBER($A988)),NA(),IFERROR(1*INDEX(BBG_Data!$Z$2:$Z$4000,MATCH($A988,BBG_Data!$Y$2:$Y$4000,0)),NA()))</f>
        <v/>
      </c>
    </row>
    <row r="989">
      <c r="A989" s="17">
        <f>IF(ISNUMBER(BBG_Data!A989),BBG_Data!A989,"")</f>
        <v/>
      </c>
      <c r="B989" s="18">
        <f>IF(AND(ISNUMBER($A989),ISNUMBER(BBG_Data!B989)),BBG_Data!B989,NA())</f>
        <v/>
      </c>
      <c r="C989" s="18">
        <f>IF(NOT(ISNUMBER($A989)),NA(),IFERROR(1*INDEX(BBG_Data!$D$2:$D$4000,MATCH($A989,BBG_Data!$C$2:$C$4000,0)),NA()))</f>
        <v/>
      </c>
      <c r="D989" s="19">
        <f>IF(NOT(ISNUMBER($A989)),NA(),IFERROR(1*INDEX(BBG_Data!$F$2:$F$4000,MATCH($A989,BBG_Data!$E$2:$E$4000,0)),NA()))</f>
        <v/>
      </c>
      <c r="E989" s="19">
        <f>IF(NOT(ISNUMBER($A989)),NA(),IFERROR(1*INDEX(BBG_Data!$H$2:$H$4000,MATCH($A989,BBG_Data!$G$2:$G$4000,0)),NA()))</f>
        <v/>
      </c>
      <c r="F989" s="20">
        <f>IF(AND(ISNUMBER(B989),ISNUMBER(B988)),IF(B989=B988,"",(B989-B988)*100),"")</f>
        <v/>
      </c>
      <c r="G989" s="20">
        <f>IF(AND(ISNUMBER(C989),ISNUMBER(C988)),IF(C989=C988,"",(C989-C988)*100),"")</f>
        <v/>
      </c>
      <c r="H989" s="20">
        <f>IF(OR(NOT(ISNUMBER($A989)),ROW()-2&lt;Settings!$B$11),NA(),IF(COUNT(OFFSET(F989,1-Settings!$B$11,0,Settings!$B$11,1))&lt;ROUNDUP(Settings!$B$11*Settings!$B$26,0),NA(),STDEV(OFFSET(F989,1-Settings!$B$11,0,Settings!$B$11,1))*SQRT(Settings!$B$13)))</f>
        <v/>
      </c>
      <c r="I989" s="20">
        <f>IF(OR(NOT(ISNUMBER($A989)),ROW()-2&lt;Settings!$B$12),NA(),IF(COUNT(OFFSET(F989,1-Settings!$B$12,0,Settings!$B$12,1))&lt;ROUNDUP(Settings!$B$12*Settings!$B$26,0),NA(),STDEV(OFFSET(F989,1-Settings!$B$12,0,Settings!$B$12,1))*SQRT(Settings!$B$13)))</f>
        <v/>
      </c>
      <c r="J989" s="20">
        <f>IF(OR(NOT(ISNUMBER($A989)),ROW()-2&lt;Settings!$B$11),NA(),IF(COUNT(OFFSET(G989,1-Settings!$B$11,0,Settings!$B$11,1))&lt;ROUNDUP(Settings!$B$11*Settings!$B$26,0),NA(),STDEV(OFFSET(G989,1-Settings!$B$11,0,Settings!$B$11,1))*SQRT(Settings!$B$13)))</f>
        <v/>
      </c>
      <c r="K989" s="20">
        <f>IF(OR(NOT(ISNUMBER($A989)),ROW()-2&lt;Settings!$B$12),NA(),IF(COUNT(OFFSET(G989,1-Settings!$B$12,0,Settings!$B$12,1))&lt;ROUNDUP(Settings!$B$12*Settings!$B$26,0),NA(),STDEV(OFFSET(G989,1-Settings!$B$12,0,Settings!$B$12,1))*SQRT(Settings!$B$13)))</f>
        <v/>
      </c>
      <c r="L989" s="20">
        <f>IF(AND(ISNUMBER(D989),ISNUMBER(H989)),D989-H989,NA())</f>
        <v/>
      </c>
      <c r="M989" s="20">
        <f>IF(AND(ISNUMBER(E989),ISNUMBER(K989)),E989-K989,NA())</f>
        <v/>
      </c>
      <c r="N989" s="20">
        <f>IF(NOT(ISNUMBER($A989)),NA(),IF(COUNT(OFFSET(G989,1,0,Settings!$B$12,1))&lt;ROUNDUP(Settings!$B$12*Settings!$B$26,0),NA(),STDEV(OFFSET(G989,1,0,Settings!$B$12,1))*SQRT(Settings!$B$13)))</f>
        <v/>
      </c>
      <c r="O989" s="20">
        <f>IF(AND(ISNUMBER(E989),ISNUMBER(N989)),E989-N989,NA())</f>
        <v/>
      </c>
      <c r="P989" s="19">
        <f>IF(NOT(ISNUMBER($A989)),NA(),IF(OR($A989&lt;MIN(KW_TP!$A$2:$A$2501),$A989&gt;MAX(KW_TP!$A$2:$A$2501)),NA(),INDEX(KW_TP!$C$2:$C$2501,MATCH($A989,KW_TP!$A$2:$A$2501,1))))</f>
        <v/>
      </c>
      <c r="Q989" s="18">
        <f>IF(NOT(ISNUMBER($A989)),NA(),IFERROR(1*INDEX(BBG_Data!$J$2:$J$4000,MATCH($A989,BBG_Data!$I$2:$I$4000,0)),NA()))</f>
        <v/>
      </c>
      <c r="R989" s="18">
        <f>IF(NOT(ISNUMBER($A989)),NA(),IFERROR(1*INDEX(BBG_Data!$L$2:$L$4000,MATCH($A989,BBG_Data!$K$2:$K$4000,0)),NA()))</f>
        <v/>
      </c>
      <c r="S989" s="20">
        <f>IF(AND(ISNUMBER(B989),ISNUMBER(Q989),ISNUMBER(R989)),(B989-Q989-R989)*100,NA())</f>
        <v/>
      </c>
      <c r="T989" s="20">
        <f>IF(AND(ISNUMBER(B989),Settings!$B$17&gt;0),IF(ISNUMBER(INDEX($B:$B,Settings!$B$17)),(B989-INDEX($B:$B,Settings!$B$17))*100,NA()),NA())</f>
        <v/>
      </c>
      <c r="U989" s="20">
        <f>IF(AND(ISNUMBER(Q989),Settings!$B$17&gt;0),IF(ISNUMBER(INDEX($Q:$Q,Settings!$B$17)),(Q989-INDEX($Q:$Q,Settings!$B$17))*100,NA()),NA())</f>
        <v/>
      </c>
      <c r="V989" s="20">
        <f>IF(AND(ISNUMBER(R989),Settings!$B$17&gt;0),IF(ISNUMBER(INDEX($R:$R,Settings!$B$17)),(R989-INDEX($R:$R,Settings!$B$17))*100,NA()),NA())</f>
        <v/>
      </c>
      <c r="W989" s="20">
        <f>IF(AND(ISNUMBER(P989),Settings!$B$17&gt;0),IF(ISNUMBER(INDEX($P:$P,Settings!$B$17)),P989-INDEX($P:$P,Settings!$B$17),NA()),NA())</f>
        <v/>
      </c>
      <c r="X989" s="19">
        <f>IF(NOT(ISNUMBER($A989)),NA(),IF(OR($A989&lt;MIN(DKW_10Y!$A$2:$A$2918),$A989&gt;MAX(DKW_10Y!$A$2:$A$2918),Settings!$B$16&lt;MIN(DKW_10Y!$A$2:$A$2918)),NA(),(INDEX(DKW_10Y!$B$2:$B$2918,MATCH($A989,DKW_10Y!$A$2:$A$2918,1))-INDEX(DKW_10Y!$B$2:$B$2918,MATCH(Settings!$B$16,DKW_10Y!$A$2:$A$2918,1)))*100))</f>
        <v/>
      </c>
      <c r="Y989" s="19">
        <f>IF(NOT(ISNUMBER($A989)),NA(),IF(OR($A989&lt;MIN(DKW_10Y!$A$2:$A$2918),$A989&gt;MAX(DKW_10Y!$A$2:$A$2918),Settings!$B$16&lt;MIN(DKW_10Y!$A$2:$A$2918)),NA(),(INDEX(DKW_10Y!$C$2:$C$2918,MATCH($A989,DKW_10Y!$A$2:$A$2918,1))-INDEX(DKW_10Y!$C$2:$C$2918,MATCH(Settings!$B$16,DKW_10Y!$A$2:$A$2918,1)))*100))</f>
        <v/>
      </c>
      <c r="Z989" s="19">
        <f>IF(NOT(ISNUMBER($A989)),NA(),IF(OR($A989&lt;MIN(DKW_10Y!$A$2:$A$2918),$A989&gt;MAX(DKW_10Y!$A$2:$A$2918),Settings!$B$16&lt;MIN(DKW_10Y!$A$2:$A$2918)),NA(),(INDEX(DKW_10Y!$D$2:$D$2918,MATCH($A989,DKW_10Y!$A$2:$A$2918,1))-INDEX(DKW_10Y!$D$2:$D$2918,MATCH(Settings!$B$16,DKW_10Y!$A$2:$A$2918,1)))*100))</f>
        <v/>
      </c>
      <c r="AA989" s="19">
        <f>IF(NOT(ISNUMBER($A989)),NA(),IF(OR($A989&lt;MIN(DKW_10Y!$A$2:$A$2918),$A989&gt;MAX(DKW_10Y!$A$2:$A$2918),Settings!$B$16&lt;MIN(DKW_10Y!$A$2:$A$2918)),NA(),(INDEX(DKW_10Y!$E$2:$E$2918,MATCH($A989,DKW_10Y!$A$2:$A$2918,1))-INDEX(DKW_10Y!$E$2:$E$2918,MATCH(Settings!$B$16,DKW_10Y!$A$2:$A$2918,1)))*100))</f>
        <v/>
      </c>
      <c r="AB989" s="19">
        <f>IF(NOT(ISNUMBER($A989)),NA(),IF(OR($A989&lt;MIN(DKW_10Y!$A$2:$A$2918),$A989&gt;MAX(DKW_10Y!$A$2:$A$2918),Settings!$B$16&lt;MIN(DKW_10Y!$A$2:$A$2918)),NA(),(INDEX(DKW_10Y!$H$2:$H$2918,MATCH($A989,DKW_10Y!$A$2:$A$2918,1))-INDEX(DKW_10Y!$H$2:$H$2918,MATCH(Settings!$B$16,DKW_10Y!$A$2:$A$2918,1)))*100))</f>
        <v/>
      </c>
      <c r="AC989" s="18">
        <f>IF(NOT(ISNUMBER($A989)),NA(),IFERROR(1*INDEX(BBG_Data!$N$2:$N$4000,MATCH($A989,BBG_Data!$M$2:$M$4000,0)),NA()))</f>
        <v/>
      </c>
      <c r="AD989" s="18">
        <f>IF(NOT(ISNUMBER($A989)),NA(),IFERROR(1*INDEX(BBG_Data!$P$2:$P$4000,MATCH($A989,BBG_Data!$O$2:$O$4000,0)),NA()))</f>
        <v/>
      </c>
      <c r="AE989" s="18">
        <f>IF(NOT(ISNUMBER($A989)),NA(),IFERROR(1*INDEX(BBG_Data!$R$2:$R$4000,MATCH($A989,BBG_Data!$Q$2:$Q$4000,0)),NA()))</f>
        <v/>
      </c>
      <c r="AF989" s="20">
        <f>IF(AND(ISNUMBER(B989),ISNUMBER(AC989)),(B989-AC989)*100,NA())</f>
        <v/>
      </c>
      <c r="AG989" s="20">
        <f>IF(AND(ISNUMBER(AE989),ISNUMBER(AD989)),(AE989-AD989)*100,NA())</f>
        <v/>
      </c>
      <c r="AH989" s="19">
        <f>IF(NOT(ISNUMBER($A989)),NA(),IFERROR(INDEX(BBG_Data!$T$2:$T$4000,MATCH($A989,BBG_Data!$S$2:$S$4000,0))*Settings!$B$25,NA()))</f>
        <v/>
      </c>
      <c r="AI989" s="19">
        <f>IF(NOT(ISNUMBER($A989)),NA(),IFERROR(INDEX(BBG_Data!$V$2:$V$4000,MATCH($A989,BBG_Data!$U$2:$U$4000,0))*Settings!$B$25,NA()))</f>
        <v/>
      </c>
      <c r="AJ989" s="19">
        <f>IF(NOT(ISNUMBER($A989)),NA(),IFERROR(1*INDEX(BBG_Data!$X$2:$X$4000,MATCH($A989,BBG_Data!$W$2:$W$4000,0)),NA()))</f>
        <v/>
      </c>
      <c r="AK989" s="19">
        <f>IF(NOT(ISNUMBER($A989)),NA(),IFERROR(1*INDEX(BBG_Data!$Z$2:$Z$4000,MATCH($A989,BBG_Data!$Y$2:$Y$4000,0)),NA()))</f>
        <v/>
      </c>
    </row>
    <row r="990">
      <c r="A990" s="17">
        <f>IF(ISNUMBER(BBG_Data!A990),BBG_Data!A990,"")</f>
        <v/>
      </c>
      <c r="B990" s="18">
        <f>IF(AND(ISNUMBER($A990),ISNUMBER(BBG_Data!B990)),BBG_Data!B990,NA())</f>
        <v/>
      </c>
      <c r="C990" s="18">
        <f>IF(NOT(ISNUMBER($A990)),NA(),IFERROR(1*INDEX(BBG_Data!$D$2:$D$4000,MATCH($A990,BBG_Data!$C$2:$C$4000,0)),NA()))</f>
        <v/>
      </c>
      <c r="D990" s="19">
        <f>IF(NOT(ISNUMBER($A990)),NA(),IFERROR(1*INDEX(BBG_Data!$F$2:$F$4000,MATCH($A990,BBG_Data!$E$2:$E$4000,0)),NA()))</f>
        <v/>
      </c>
      <c r="E990" s="19">
        <f>IF(NOT(ISNUMBER($A990)),NA(),IFERROR(1*INDEX(BBG_Data!$H$2:$H$4000,MATCH($A990,BBG_Data!$G$2:$G$4000,0)),NA()))</f>
        <v/>
      </c>
      <c r="F990" s="20">
        <f>IF(AND(ISNUMBER(B990),ISNUMBER(B989)),IF(B990=B989,"",(B990-B989)*100),"")</f>
        <v/>
      </c>
      <c r="G990" s="20">
        <f>IF(AND(ISNUMBER(C990),ISNUMBER(C989)),IF(C990=C989,"",(C990-C989)*100),"")</f>
        <v/>
      </c>
      <c r="H990" s="20">
        <f>IF(OR(NOT(ISNUMBER($A990)),ROW()-2&lt;Settings!$B$11),NA(),IF(COUNT(OFFSET(F990,1-Settings!$B$11,0,Settings!$B$11,1))&lt;ROUNDUP(Settings!$B$11*Settings!$B$26,0),NA(),STDEV(OFFSET(F990,1-Settings!$B$11,0,Settings!$B$11,1))*SQRT(Settings!$B$13)))</f>
        <v/>
      </c>
      <c r="I990" s="20">
        <f>IF(OR(NOT(ISNUMBER($A990)),ROW()-2&lt;Settings!$B$12),NA(),IF(COUNT(OFFSET(F990,1-Settings!$B$12,0,Settings!$B$12,1))&lt;ROUNDUP(Settings!$B$12*Settings!$B$26,0),NA(),STDEV(OFFSET(F990,1-Settings!$B$12,0,Settings!$B$12,1))*SQRT(Settings!$B$13)))</f>
        <v/>
      </c>
      <c r="J990" s="20">
        <f>IF(OR(NOT(ISNUMBER($A990)),ROW()-2&lt;Settings!$B$11),NA(),IF(COUNT(OFFSET(G990,1-Settings!$B$11,0,Settings!$B$11,1))&lt;ROUNDUP(Settings!$B$11*Settings!$B$26,0),NA(),STDEV(OFFSET(G990,1-Settings!$B$11,0,Settings!$B$11,1))*SQRT(Settings!$B$13)))</f>
        <v/>
      </c>
      <c r="K990" s="20">
        <f>IF(OR(NOT(ISNUMBER($A990)),ROW()-2&lt;Settings!$B$12),NA(),IF(COUNT(OFFSET(G990,1-Settings!$B$12,0,Settings!$B$12,1))&lt;ROUNDUP(Settings!$B$12*Settings!$B$26,0),NA(),STDEV(OFFSET(G990,1-Settings!$B$12,0,Settings!$B$12,1))*SQRT(Settings!$B$13)))</f>
        <v/>
      </c>
      <c r="L990" s="20">
        <f>IF(AND(ISNUMBER(D990),ISNUMBER(H990)),D990-H990,NA())</f>
        <v/>
      </c>
      <c r="M990" s="20">
        <f>IF(AND(ISNUMBER(E990),ISNUMBER(K990)),E990-K990,NA())</f>
        <v/>
      </c>
      <c r="N990" s="20">
        <f>IF(NOT(ISNUMBER($A990)),NA(),IF(COUNT(OFFSET(G990,1,0,Settings!$B$12,1))&lt;ROUNDUP(Settings!$B$12*Settings!$B$26,0),NA(),STDEV(OFFSET(G990,1,0,Settings!$B$12,1))*SQRT(Settings!$B$13)))</f>
        <v/>
      </c>
      <c r="O990" s="20">
        <f>IF(AND(ISNUMBER(E990),ISNUMBER(N990)),E990-N990,NA())</f>
        <v/>
      </c>
      <c r="P990" s="19">
        <f>IF(NOT(ISNUMBER($A990)),NA(),IF(OR($A990&lt;MIN(KW_TP!$A$2:$A$2501),$A990&gt;MAX(KW_TP!$A$2:$A$2501)),NA(),INDEX(KW_TP!$C$2:$C$2501,MATCH($A990,KW_TP!$A$2:$A$2501,1))))</f>
        <v/>
      </c>
      <c r="Q990" s="18">
        <f>IF(NOT(ISNUMBER($A990)),NA(),IFERROR(1*INDEX(BBG_Data!$J$2:$J$4000,MATCH($A990,BBG_Data!$I$2:$I$4000,0)),NA()))</f>
        <v/>
      </c>
      <c r="R990" s="18">
        <f>IF(NOT(ISNUMBER($A990)),NA(),IFERROR(1*INDEX(BBG_Data!$L$2:$L$4000,MATCH($A990,BBG_Data!$K$2:$K$4000,0)),NA()))</f>
        <v/>
      </c>
      <c r="S990" s="20">
        <f>IF(AND(ISNUMBER(B990),ISNUMBER(Q990),ISNUMBER(R990)),(B990-Q990-R990)*100,NA())</f>
        <v/>
      </c>
      <c r="T990" s="20">
        <f>IF(AND(ISNUMBER(B990),Settings!$B$17&gt;0),IF(ISNUMBER(INDEX($B:$B,Settings!$B$17)),(B990-INDEX($B:$B,Settings!$B$17))*100,NA()),NA())</f>
        <v/>
      </c>
      <c r="U990" s="20">
        <f>IF(AND(ISNUMBER(Q990),Settings!$B$17&gt;0),IF(ISNUMBER(INDEX($Q:$Q,Settings!$B$17)),(Q990-INDEX($Q:$Q,Settings!$B$17))*100,NA()),NA())</f>
        <v/>
      </c>
      <c r="V990" s="20">
        <f>IF(AND(ISNUMBER(R990),Settings!$B$17&gt;0),IF(ISNUMBER(INDEX($R:$R,Settings!$B$17)),(R990-INDEX($R:$R,Settings!$B$17))*100,NA()),NA())</f>
        <v/>
      </c>
      <c r="W990" s="20">
        <f>IF(AND(ISNUMBER(P990),Settings!$B$17&gt;0),IF(ISNUMBER(INDEX($P:$P,Settings!$B$17)),P990-INDEX($P:$P,Settings!$B$17),NA()),NA())</f>
        <v/>
      </c>
      <c r="X990" s="19">
        <f>IF(NOT(ISNUMBER($A990)),NA(),IF(OR($A990&lt;MIN(DKW_10Y!$A$2:$A$2918),$A990&gt;MAX(DKW_10Y!$A$2:$A$2918),Settings!$B$16&lt;MIN(DKW_10Y!$A$2:$A$2918)),NA(),(INDEX(DKW_10Y!$B$2:$B$2918,MATCH($A990,DKW_10Y!$A$2:$A$2918,1))-INDEX(DKW_10Y!$B$2:$B$2918,MATCH(Settings!$B$16,DKW_10Y!$A$2:$A$2918,1)))*100))</f>
        <v/>
      </c>
      <c r="Y990" s="19">
        <f>IF(NOT(ISNUMBER($A990)),NA(),IF(OR($A990&lt;MIN(DKW_10Y!$A$2:$A$2918),$A990&gt;MAX(DKW_10Y!$A$2:$A$2918),Settings!$B$16&lt;MIN(DKW_10Y!$A$2:$A$2918)),NA(),(INDEX(DKW_10Y!$C$2:$C$2918,MATCH($A990,DKW_10Y!$A$2:$A$2918,1))-INDEX(DKW_10Y!$C$2:$C$2918,MATCH(Settings!$B$16,DKW_10Y!$A$2:$A$2918,1)))*100))</f>
        <v/>
      </c>
      <c r="Z990" s="19">
        <f>IF(NOT(ISNUMBER($A990)),NA(),IF(OR($A990&lt;MIN(DKW_10Y!$A$2:$A$2918),$A990&gt;MAX(DKW_10Y!$A$2:$A$2918),Settings!$B$16&lt;MIN(DKW_10Y!$A$2:$A$2918)),NA(),(INDEX(DKW_10Y!$D$2:$D$2918,MATCH($A990,DKW_10Y!$A$2:$A$2918,1))-INDEX(DKW_10Y!$D$2:$D$2918,MATCH(Settings!$B$16,DKW_10Y!$A$2:$A$2918,1)))*100))</f>
        <v/>
      </c>
      <c r="AA990" s="19">
        <f>IF(NOT(ISNUMBER($A990)),NA(),IF(OR($A990&lt;MIN(DKW_10Y!$A$2:$A$2918),$A990&gt;MAX(DKW_10Y!$A$2:$A$2918),Settings!$B$16&lt;MIN(DKW_10Y!$A$2:$A$2918)),NA(),(INDEX(DKW_10Y!$E$2:$E$2918,MATCH($A990,DKW_10Y!$A$2:$A$2918,1))-INDEX(DKW_10Y!$E$2:$E$2918,MATCH(Settings!$B$16,DKW_10Y!$A$2:$A$2918,1)))*100))</f>
        <v/>
      </c>
      <c r="AB990" s="19">
        <f>IF(NOT(ISNUMBER($A990)),NA(),IF(OR($A990&lt;MIN(DKW_10Y!$A$2:$A$2918),$A990&gt;MAX(DKW_10Y!$A$2:$A$2918),Settings!$B$16&lt;MIN(DKW_10Y!$A$2:$A$2918)),NA(),(INDEX(DKW_10Y!$H$2:$H$2918,MATCH($A990,DKW_10Y!$A$2:$A$2918,1))-INDEX(DKW_10Y!$H$2:$H$2918,MATCH(Settings!$B$16,DKW_10Y!$A$2:$A$2918,1)))*100))</f>
        <v/>
      </c>
      <c r="AC990" s="18">
        <f>IF(NOT(ISNUMBER($A990)),NA(),IFERROR(1*INDEX(BBG_Data!$N$2:$N$4000,MATCH($A990,BBG_Data!$M$2:$M$4000,0)),NA()))</f>
        <v/>
      </c>
      <c r="AD990" s="18">
        <f>IF(NOT(ISNUMBER($A990)),NA(),IFERROR(1*INDEX(BBG_Data!$P$2:$P$4000,MATCH($A990,BBG_Data!$O$2:$O$4000,0)),NA()))</f>
        <v/>
      </c>
      <c r="AE990" s="18">
        <f>IF(NOT(ISNUMBER($A990)),NA(),IFERROR(1*INDEX(BBG_Data!$R$2:$R$4000,MATCH($A990,BBG_Data!$Q$2:$Q$4000,0)),NA()))</f>
        <v/>
      </c>
      <c r="AF990" s="20">
        <f>IF(AND(ISNUMBER(B990),ISNUMBER(AC990)),(B990-AC990)*100,NA())</f>
        <v/>
      </c>
      <c r="AG990" s="20">
        <f>IF(AND(ISNUMBER(AE990),ISNUMBER(AD990)),(AE990-AD990)*100,NA())</f>
        <v/>
      </c>
      <c r="AH990" s="19">
        <f>IF(NOT(ISNUMBER($A990)),NA(),IFERROR(INDEX(BBG_Data!$T$2:$T$4000,MATCH($A990,BBG_Data!$S$2:$S$4000,0))*Settings!$B$25,NA()))</f>
        <v/>
      </c>
      <c r="AI990" s="19">
        <f>IF(NOT(ISNUMBER($A990)),NA(),IFERROR(INDEX(BBG_Data!$V$2:$V$4000,MATCH($A990,BBG_Data!$U$2:$U$4000,0))*Settings!$B$25,NA()))</f>
        <v/>
      </c>
      <c r="AJ990" s="19">
        <f>IF(NOT(ISNUMBER($A990)),NA(),IFERROR(1*INDEX(BBG_Data!$X$2:$X$4000,MATCH($A990,BBG_Data!$W$2:$W$4000,0)),NA()))</f>
        <v/>
      </c>
      <c r="AK990" s="19">
        <f>IF(NOT(ISNUMBER($A990)),NA(),IFERROR(1*INDEX(BBG_Data!$Z$2:$Z$4000,MATCH($A990,BBG_Data!$Y$2:$Y$4000,0)),NA()))</f>
        <v/>
      </c>
    </row>
    <row r="991">
      <c r="A991" s="17">
        <f>IF(ISNUMBER(BBG_Data!A991),BBG_Data!A991,"")</f>
        <v/>
      </c>
      <c r="B991" s="18">
        <f>IF(AND(ISNUMBER($A991),ISNUMBER(BBG_Data!B991)),BBG_Data!B991,NA())</f>
        <v/>
      </c>
      <c r="C991" s="18">
        <f>IF(NOT(ISNUMBER($A991)),NA(),IFERROR(1*INDEX(BBG_Data!$D$2:$D$4000,MATCH($A991,BBG_Data!$C$2:$C$4000,0)),NA()))</f>
        <v/>
      </c>
      <c r="D991" s="19">
        <f>IF(NOT(ISNUMBER($A991)),NA(),IFERROR(1*INDEX(BBG_Data!$F$2:$F$4000,MATCH($A991,BBG_Data!$E$2:$E$4000,0)),NA()))</f>
        <v/>
      </c>
      <c r="E991" s="19">
        <f>IF(NOT(ISNUMBER($A991)),NA(),IFERROR(1*INDEX(BBG_Data!$H$2:$H$4000,MATCH($A991,BBG_Data!$G$2:$G$4000,0)),NA()))</f>
        <v/>
      </c>
      <c r="F991" s="20">
        <f>IF(AND(ISNUMBER(B991),ISNUMBER(B990)),IF(B991=B990,"",(B991-B990)*100),"")</f>
        <v/>
      </c>
      <c r="G991" s="20">
        <f>IF(AND(ISNUMBER(C991),ISNUMBER(C990)),IF(C991=C990,"",(C991-C990)*100),"")</f>
        <v/>
      </c>
      <c r="H991" s="20">
        <f>IF(OR(NOT(ISNUMBER($A991)),ROW()-2&lt;Settings!$B$11),NA(),IF(COUNT(OFFSET(F991,1-Settings!$B$11,0,Settings!$B$11,1))&lt;ROUNDUP(Settings!$B$11*Settings!$B$26,0),NA(),STDEV(OFFSET(F991,1-Settings!$B$11,0,Settings!$B$11,1))*SQRT(Settings!$B$13)))</f>
        <v/>
      </c>
      <c r="I991" s="20">
        <f>IF(OR(NOT(ISNUMBER($A991)),ROW()-2&lt;Settings!$B$12),NA(),IF(COUNT(OFFSET(F991,1-Settings!$B$12,0,Settings!$B$12,1))&lt;ROUNDUP(Settings!$B$12*Settings!$B$26,0),NA(),STDEV(OFFSET(F991,1-Settings!$B$12,0,Settings!$B$12,1))*SQRT(Settings!$B$13)))</f>
        <v/>
      </c>
      <c r="J991" s="20">
        <f>IF(OR(NOT(ISNUMBER($A991)),ROW()-2&lt;Settings!$B$11),NA(),IF(COUNT(OFFSET(G991,1-Settings!$B$11,0,Settings!$B$11,1))&lt;ROUNDUP(Settings!$B$11*Settings!$B$26,0),NA(),STDEV(OFFSET(G991,1-Settings!$B$11,0,Settings!$B$11,1))*SQRT(Settings!$B$13)))</f>
        <v/>
      </c>
      <c r="K991" s="20">
        <f>IF(OR(NOT(ISNUMBER($A991)),ROW()-2&lt;Settings!$B$12),NA(),IF(COUNT(OFFSET(G991,1-Settings!$B$12,0,Settings!$B$12,1))&lt;ROUNDUP(Settings!$B$12*Settings!$B$26,0),NA(),STDEV(OFFSET(G991,1-Settings!$B$12,0,Settings!$B$12,1))*SQRT(Settings!$B$13)))</f>
        <v/>
      </c>
      <c r="L991" s="20">
        <f>IF(AND(ISNUMBER(D991),ISNUMBER(H991)),D991-H991,NA())</f>
        <v/>
      </c>
      <c r="M991" s="20">
        <f>IF(AND(ISNUMBER(E991),ISNUMBER(K991)),E991-K991,NA())</f>
        <v/>
      </c>
      <c r="N991" s="20">
        <f>IF(NOT(ISNUMBER($A991)),NA(),IF(COUNT(OFFSET(G991,1,0,Settings!$B$12,1))&lt;ROUNDUP(Settings!$B$12*Settings!$B$26,0),NA(),STDEV(OFFSET(G991,1,0,Settings!$B$12,1))*SQRT(Settings!$B$13)))</f>
        <v/>
      </c>
      <c r="O991" s="20">
        <f>IF(AND(ISNUMBER(E991),ISNUMBER(N991)),E991-N991,NA())</f>
        <v/>
      </c>
      <c r="P991" s="19">
        <f>IF(NOT(ISNUMBER($A991)),NA(),IF(OR($A991&lt;MIN(KW_TP!$A$2:$A$2501),$A991&gt;MAX(KW_TP!$A$2:$A$2501)),NA(),INDEX(KW_TP!$C$2:$C$2501,MATCH($A991,KW_TP!$A$2:$A$2501,1))))</f>
        <v/>
      </c>
      <c r="Q991" s="18">
        <f>IF(NOT(ISNUMBER($A991)),NA(),IFERROR(1*INDEX(BBG_Data!$J$2:$J$4000,MATCH($A991,BBG_Data!$I$2:$I$4000,0)),NA()))</f>
        <v/>
      </c>
      <c r="R991" s="18">
        <f>IF(NOT(ISNUMBER($A991)),NA(),IFERROR(1*INDEX(BBG_Data!$L$2:$L$4000,MATCH($A991,BBG_Data!$K$2:$K$4000,0)),NA()))</f>
        <v/>
      </c>
      <c r="S991" s="20">
        <f>IF(AND(ISNUMBER(B991),ISNUMBER(Q991),ISNUMBER(R991)),(B991-Q991-R991)*100,NA())</f>
        <v/>
      </c>
      <c r="T991" s="20">
        <f>IF(AND(ISNUMBER(B991),Settings!$B$17&gt;0),IF(ISNUMBER(INDEX($B:$B,Settings!$B$17)),(B991-INDEX($B:$B,Settings!$B$17))*100,NA()),NA())</f>
        <v/>
      </c>
      <c r="U991" s="20">
        <f>IF(AND(ISNUMBER(Q991),Settings!$B$17&gt;0),IF(ISNUMBER(INDEX($Q:$Q,Settings!$B$17)),(Q991-INDEX($Q:$Q,Settings!$B$17))*100,NA()),NA())</f>
        <v/>
      </c>
      <c r="V991" s="20">
        <f>IF(AND(ISNUMBER(R991),Settings!$B$17&gt;0),IF(ISNUMBER(INDEX($R:$R,Settings!$B$17)),(R991-INDEX($R:$R,Settings!$B$17))*100,NA()),NA())</f>
        <v/>
      </c>
      <c r="W991" s="20">
        <f>IF(AND(ISNUMBER(P991),Settings!$B$17&gt;0),IF(ISNUMBER(INDEX($P:$P,Settings!$B$17)),P991-INDEX($P:$P,Settings!$B$17),NA()),NA())</f>
        <v/>
      </c>
      <c r="X991" s="19">
        <f>IF(NOT(ISNUMBER($A991)),NA(),IF(OR($A991&lt;MIN(DKW_10Y!$A$2:$A$2918),$A991&gt;MAX(DKW_10Y!$A$2:$A$2918),Settings!$B$16&lt;MIN(DKW_10Y!$A$2:$A$2918)),NA(),(INDEX(DKW_10Y!$B$2:$B$2918,MATCH($A991,DKW_10Y!$A$2:$A$2918,1))-INDEX(DKW_10Y!$B$2:$B$2918,MATCH(Settings!$B$16,DKW_10Y!$A$2:$A$2918,1)))*100))</f>
        <v/>
      </c>
      <c r="Y991" s="19">
        <f>IF(NOT(ISNUMBER($A991)),NA(),IF(OR($A991&lt;MIN(DKW_10Y!$A$2:$A$2918),$A991&gt;MAX(DKW_10Y!$A$2:$A$2918),Settings!$B$16&lt;MIN(DKW_10Y!$A$2:$A$2918)),NA(),(INDEX(DKW_10Y!$C$2:$C$2918,MATCH($A991,DKW_10Y!$A$2:$A$2918,1))-INDEX(DKW_10Y!$C$2:$C$2918,MATCH(Settings!$B$16,DKW_10Y!$A$2:$A$2918,1)))*100))</f>
        <v/>
      </c>
      <c r="Z991" s="19">
        <f>IF(NOT(ISNUMBER($A991)),NA(),IF(OR($A991&lt;MIN(DKW_10Y!$A$2:$A$2918),$A991&gt;MAX(DKW_10Y!$A$2:$A$2918),Settings!$B$16&lt;MIN(DKW_10Y!$A$2:$A$2918)),NA(),(INDEX(DKW_10Y!$D$2:$D$2918,MATCH($A991,DKW_10Y!$A$2:$A$2918,1))-INDEX(DKW_10Y!$D$2:$D$2918,MATCH(Settings!$B$16,DKW_10Y!$A$2:$A$2918,1)))*100))</f>
        <v/>
      </c>
      <c r="AA991" s="19">
        <f>IF(NOT(ISNUMBER($A991)),NA(),IF(OR($A991&lt;MIN(DKW_10Y!$A$2:$A$2918),$A991&gt;MAX(DKW_10Y!$A$2:$A$2918),Settings!$B$16&lt;MIN(DKW_10Y!$A$2:$A$2918)),NA(),(INDEX(DKW_10Y!$E$2:$E$2918,MATCH($A991,DKW_10Y!$A$2:$A$2918,1))-INDEX(DKW_10Y!$E$2:$E$2918,MATCH(Settings!$B$16,DKW_10Y!$A$2:$A$2918,1)))*100))</f>
        <v/>
      </c>
      <c r="AB991" s="19">
        <f>IF(NOT(ISNUMBER($A991)),NA(),IF(OR($A991&lt;MIN(DKW_10Y!$A$2:$A$2918),$A991&gt;MAX(DKW_10Y!$A$2:$A$2918),Settings!$B$16&lt;MIN(DKW_10Y!$A$2:$A$2918)),NA(),(INDEX(DKW_10Y!$H$2:$H$2918,MATCH($A991,DKW_10Y!$A$2:$A$2918,1))-INDEX(DKW_10Y!$H$2:$H$2918,MATCH(Settings!$B$16,DKW_10Y!$A$2:$A$2918,1)))*100))</f>
        <v/>
      </c>
      <c r="AC991" s="18">
        <f>IF(NOT(ISNUMBER($A991)),NA(),IFERROR(1*INDEX(BBG_Data!$N$2:$N$4000,MATCH($A991,BBG_Data!$M$2:$M$4000,0)),NA()))</f>
        <v/>
      </c>
      <c r="AD991" s="18">
        <f>IF(NOT(ISNUMBER($A991)),NA(),IFERROR(1*INDEX(BBG_Data!$P$2:$P$4000,MATCH($A991,BBG_Data!$O$2:$O$4000,0)),NA()))</f>
        <v/>
      </c>
      <c r="AE991" s="18">
        <f>IF(NOT(ISNUMBER($A991)),NA(),IFERROR(1*INDEX(BBG_Data!$R$2:$R$4000,MATCH($A991,BBG_Data!$Q$2:$Q$4000,0)),NA()))</f>
        <v/>
      </c>
      <c r="AF991" s="20">
        <f>IF(AND(ISNUMBER(B991),ISNUMBER(AC991)),(B991-AC991)*100,NA())</f>
        <v/>
      </c>
      <c r="AG991" s="20">
        <f>IF(AND(ISNUMBER(AE991),ISNUMBER(AD991)),(AE991-AD991)*100,NA())</f>
        <v/>
      </c>
      <c r="AH991" s="19">
        <f>IF(NOT(ISNUMBER($A991)),NA(),IFERROR(INDEX(BBG_Data!$T$2:$T$4000,MATCH($A991,BBG_Data!$S$2:$S$4000,0))*Settings!$B$25,NA()))</f>
        <v/>
      </c>
      <c r="AI991" s="19">
        <f>IF(NOT(ISNUMBER($A991)),NA(),IFERROR(INDEX(BBG_Data!$V$2:$V$4000,MATCH($A991,BBG_Data!$U$2:$U$4000,0))*Settings!$B$25,NA()))</f>
        <v/>
      </c>
      <c r="AJ991" s="19">
        <f>IF(NOT(ISNUMBER($A991)),NA(),IFERROR(1*INDEX(BBG_Data!$X$2:$X$4000,MATCH($A991,BBG_Data!$W$2:$W$4000,0)),NA()))</f>
        <v/>
      </c>
      <c r="AK991" s="19">
        <f>IF(NOT(ISNUMBER($A991)),NA(),IFERROR(1*INDEX(BBG_Data!$Z$2:$Z$4000,MATCH($A991,BBG_Data!$Y$2:$Y$4000,0)),NA()))</f>
        <v/>
      </c>
    </row>
    <row r="992">
      <c r="A992" s="17">
        <f>IF(ISNUMBER(BBG_Data!A992),BBG_Data!A992,"")</f>
        <v/>
      </c>
      <c r="B992" s="18">
        <f>IF(AND(ISNUMBER($A992),ISNUMBER(BBG_Data!B992)),BBG_Data!B992,NA())</f>
        <v/>
      </c>
      <c r="C992" s="18">
        <f>IF(NOT(ISNUMBER($A992)),NA(),IFERROR(1*INDEX(BBG_Data!$D$2:$D$4000,MATCH($A992,BBG_Data!$C$2:$C$4000,0)),NA()))</f>
        <v/>
      </c>
      <c r="D992" s="19">
        <f>IF(NOT(ISNUMBER($A992)),NA(),IFERROR(1*INDEX(BBG_Data!$F$2:$F$4000,MATCH($A992,BBG_Data!$E$2:$E$4000,0)),NA()))</f>
        <v/>
      </c>
      <c r="E992" s="19">
        <f>IF(NOT(ISNUMBER($A992)),NA(),IFERROR(1*INDEX(BBG_Data!$H$2:$H$4000,MATCH($A992,BBG_Data!$G$2:$G$4000,0)),NA()))</f>
        <v/>
      </c>
      <c r="F992" s="20">
        <f>IF(AND(ISNUMBER(B992),ISNUMBER(B991)),IF(B992=B991,"",(B992-B991)*100),"")</f>
        <v/>
      </c>
      <c r="G992" s="20">
        <f>IF(AND(ISNUMBER(C992),ISNUMBER(C991)),IF(C992=C991,"",(C992-C991)*100),"")</f>
        <v/>
      </c>
      <c r="H992" s="20">
        <f>IF(OR(NOT(ISNUMBER($A992)),ROW()-2&lt;Settings!$B$11),NA(),IF(COUNT(OFFSET(F992,1-Settings!$B$11,0,Settings!$B$11,1))&lt;ROUNDUP(Settings!$B$11*Settings!$B$26,0),NA(),STDEV(OFFSET(F992,1-Settings!$B$11,0,Settings!$B$11,1))*SQRT(Settings!$B$13)))</f>
        <v/>
      </c>
      <c r="I992" s="20">
        <f>IF(OR(NOT(ISNUMBER($A992)),ROW()-2&lt;Settings!$B$12),NA(),IF(COUNT(OFFSET(F992,1-Settings!$B$12,0,Settings!$B$12,1))&lt;ROUNDUP(Settings!$B$12*Settings!$B$26,0),NA(),STDEV(OFFSET(F992,1-Settings!$B$12,0,Settings!$B$12,1))*SQRT(Settings!$B$13)))</f>
        <v/>
      </c>
      <c r="J992" s="20">
        <f>IF(OR(NOT(ISNUMBER($A992)),ROW()-2&lt;Settings!$B$11),NA(),IF(COUNT(OFFSET(G992,1-Settings!$B$11,0,Settings!$B$11,1))&lt;ROUNDUP(Settings!$B$11*Settings!$B$26,0),NA(),STDEV(OFFSET(G992,1-Settings!$B$11,0,Settings!$B$11,1))*SQRT(Settings!$B$13)))</f>
        <v/>
      </c>
      <c r="K992" s="20">
        <f>IF(OR(NOT(ISNUMBER($A992)),ROW()-2&lt;Settings!$B$12),NA(),IF(COUNT(OFFSET(G992,1-Settings!$B$12,0,Settings!$B$12,1))&lt;ROUNDUP(Settings!$B$12*Settings!$B$26,0),NA(),STDEV(OFFSET(G992,1-Settings!$B$12,0,Settings!$B$12,1))*SQRT(Settings!$B$13)))</f>
        <v/>
      </c>
      <c r="L992" s="20">
        <f>IF(AND(ISNUMBER(D992),ISNUMBER(H992)),D992-H992,NA())</f>
        <v/>
      </c>
      <c r="M992" s="20">
        <f>IF(AND(ISNUMBER(E992),ISNUMBER(K992)),E992-K992,NA())</f>
        <v/>
      </c>
      <c r="N992" s="20">
        <f>IF(NOT(ISNUMBER($A992)),NA(),IF(COUNT(OFFSET(G992,1,0,Settings!$B$12,1))&lt;ROUNDUP(Settings!$B$12*Settings!$B$26,0),NA(),STDEV(OFFSET(G992,1,0,Settings!$B$12,1))*SQRT(Settings!$B$13)))</f>
        <v/>
      </c>
      <c r="O992" s="20">
        <f>IF(AND(ISNUMBER(E992),ISNUMBER(N992)),E992-N992,NA())</f>
        <v/>
      </c>
      <c r="P992" s="19">
        <f>IF(NOT(ISNUMBER($A992)),NA(),IF(OR($A992&lt;MIN(KW_TP!$A$2:$A$2501),$A992&gt;MAX(KW_TP!$A$2:$A$2501)),NA(),INDEX(KW_TP!$C$2:$C$2501,MATCH($A992,KW_TP!$A$2:$A$2501,1))))</f>
        <v/>
      </c>
      <c r="Q992" s="18">
        <f>IF(NOT(ISNUMBER($A992)),NA(),IFERROR(1*INDEX(BBG_Data!$J$2:$J$4000,MATCH($A992,BBG_Data!$I$2:$I$4000,0)),NA()))</f>
        <v/>
      </c>
      <c r="R992" s="18">
        <f>IF(NOT(ISNUMBER($A992)),NA(),IFERROR(1*INDEX(BBG_Data!$L$2:$L$4000,MATCH($A992,BBG_Data!$K$2:$K$4000,0)),NA()))</f>
        <v/>
      </c>
      <c r="S992" s="20">
        <f>IF(AND(ISNUMBER(B992),ISNUMBER(Q992),ISNUMBER(R992)),(B992-Q992-R992)*100,NA())</f>
        <v/>
      </c>
      <c r="T992" s="20">
        <f>IF(AND(ISNUMBER(B992),Settings!$B$17&gt;0),IF(ISNUMBER(INDEX($B:$B,Settings!$B$17)),(B992-INDEX($B:$B,Settings!$B$17))*100,NA()),NA())</f>
        <v/>
      </c>
      <c r="U992" s="20">
        <f>IF(AND(ISNUMBER(Q992),Settings!$B$17&gt;0),IF(ISNUMBER(INDEX($Q:$Q,Settings!$B$17)),(Q992-INDEX($Q:$Q,Settings!$B$17))*100,NA()),NA())</f>
        <v/>
      </c>
      <c r="V992" s="20">
        <f>IF(AND(ISNUMBER(R992),Settings!$B$17&gt;0),IF(ISNUMBER(INDEX($R:$R,Settings!$B$17)),(R992-INDEX($R:$R,Settings!$B$17))*100,NA()),NA())</f>
        <v/>
      </c>
      <c r="W992" s="20">
        <f>IF(AND(ISNUMBER(P992),Settings!$B$17&gt;0),IF(ISNUMBER(INDEX($P:$P,Settings!$B$17)),P992-INDEX($P:$P,Settings!$B$17),NA()),NA())</f>
        <v/>
      </c>
      <c r="X992" s="19">
        <f>IF(NOT(ISNUMBER($A992)),NA(),IF(OR($A992&lt;MIN(DKW_10Y!$A$2:$A$2918),$A992&gt;MAX(DKW_10Y!$A$2:$A$2918),Settings!$B$16&lt;MIN(DKW_10Y!$A$2:$A$2918)),NA(),(INDEX(DKW_10Y!$B$2:$B$2918,MATCH($A992,DKW_10Y!$A$2:$A$2918,1))-INDEX(DKW_10Y!$B$2:$B$2918,MATCH(Settings!$B$16,DKW_10Y!$A$2:$A$2918,1)))*100))</f>
        <v/>
      </c>
      <c r="Y992" s="19">
        <f>IF(NOT(ISNUMBER($A992)),NA(),IF(OR($A992&lt;MIN(DKW_10Y!$A$2:$A$2918),$A992&gt;MAX(DKW_10Y!$A$2:$A$2918),Settings!$B$16&lt;MIN(DKW_10Y!$A$2:$A$2918)),NA(),(INDEX(DKW_10Y!$C$2:$C$2918,MATCH($A992,DKW_10Y!$A$2:$A$2918,1))-INDEX(DKW_10Y!$C$2:$C$2918,MATCH(Settings!$B$16,DKW_10Y!$A$2:$A$2918,1)))*100))</f>
        <v/>
      </c>
      <c r="Z992" s="19">
        <f>IF(NOT(ISNUMBER($A992)),NA(),IF(OR($A992&lt;MIN(DKW_10Y!$A$2:$A$2918),$A992&gt;MAX(DKW_10Y!$A$2:$A$2918),Settings!$B$16&lt;MIN(DKW_10Y!$A$2:$A$2918)),NA(),(INDEX(DKW_10Y!$D$2:$D$2918,MATCH($A992,DKW_10Y!$A$2:$A$2918,1))-INDEX(DKW_10Y!$D$2:$D$2918,MATCH(Settings!$B$16,DKW_10Y!$A$2:$A$2918,1)))*100))</f>
        <v/>
      </c>
      <c r="AA992" s="19">
        <f>IF(NOT(ISNUMBER($A992)),NA(),IF(OR($A992&lt;MIN(DKW_10Y!$A$2:$A$2918),$A992&gt;MAX(DKW_10Y!$A$2:$A$2918),Settings!$B$16&lt;MIN(DKW_10Y!$A$2:$A$2918)),NA(),(INDEX(DKW_10Y!$E$2:$E$2918,MATCH($A992,DKW_10Y!$A$2:$A$2918,1))-INDEX(DKW_10Y!$E$2:$E$2918,MATCH(Settings!$B$16,DKW_10Y!$A$2:$A$2918,1)))*100))</f>
        <v/>
      </c>
      <c r="AB992" s="19">
        <f>IF(NOT(ISNUMBER($A992)),NA(),IF(OR($A992&lt;MIN(DKW_10Y!$A$2:$A$2918),$A992&gt;MAX(DKW_10Y!$A$2:$A$2918),Settings!$B$16&lt;MIN(DKW_10Y!$A$2:$A$2918)),NA(),(INDEX(DKW_10Y!$H$2:$H$2918,MATCH($A992,DKW_10Y!$A$2:$A$2918,1))-INDEX(DKW_10Y!$H$2:$H$2918,MATCH(Settings!$B$16,DKW_10Y!$A$2:$A$2918,1)))*100))</f>
        <v/>
      </c>
      <c r="AC992" s="18">
        <f>IF(NOT(ISNUMBER($A992)),NA(),IFERROR(1*INDEX(BBG_Data!$N$2:$N$4000,MATCH($A992,BBG_Data!$M$2:$M$4000,0)),NA()))</f>
        <v/>
      </c>
      <c r="AD992" s="18">
        <f>IF(NOT(ISNUMBER($A992)),NA(),IFERROR(1*INDEX(BBG_Data!$P$2:$P$4000,MATCH($A992,BBG_Data!$O$2:$O$4000,0)),NA()))</f>
        <v/>
      </c>
      <c r="AE992" s="18">
        <f>IF(NOT(ISNUMBER($A992)),NA(),IFERROR(1*INDEX(BBG_Data!$R$2:$R$4000,MATCH($A992,BBG_Data!$Q$2:$Q$4000,0)),NA()))</f>
        <v/>
      </c>
      <c r="AF992" s="20">
        <f>IF(AND(ISNUMBER(B992),ISNUMBER(AC992)),(B992-AC992)*100,NA())</f>
        <v/>
      </c>
      <c r="AG992" s="20">
        <f>IF(AND(ISNUMBER(AE992),ISNUMBER(AD992)),(AE992-AD992)*100,NA())</f>
        <v/>
      </c>
      <c r="AH992" s="19">
        <f>IF(NOT(ISNUMBER($A992)),NA(),IFERROR(INDEX(BBG_Data!$T$2:$T$4000,MATCH($A992,BBG_Data!$S$2:$S$4000,0))*Settings!$B$25,NA()))</f>
        <v/>
      </c>
      <c r="AI992" s="19">
        <f>IF(NOT(ISNUMBER($A992)),NA(),IFERROR(INDEX(BBG_Data!$V$2:$V$4000,MATCH($A992,BBG_Data!$U$2:$U$4000,0))*Settings!$B$25,NA()))</f>
        <v/>
      </c>
      <c r="AJ992" s="19">
        <f>IF(NOT(ISNUMBER($A992)),NA(),IFERROR(1*INDEX(BBG_Data!$X$2:$X$4000,MATCH($A992,BBG_Data!$W$2:$W$4000,0)),NA()))</f>
        <v/>
      </c>
      <c r="AK992" s="19">
        <f>IF(NOT(ISNUMBER($A992)),NA(),IFERROR(1*INDEX(BBG_Data!$Z$2:$Z$4000,MATCH($A992,BBG_Data!$Y$2:$Y$4000,0)),NA()))</f>
        <v/>
      </c>
    </row>
    <row r="993">
      <c r="A993" s="17">
        <f>IF(ISNUMBER(BBG_Data!A993),BBG_Data!A993,"")</f>
        <v/>
      </c>
      <c r="B993" s="18">
        <f>IF(AND(ISNUMBER($A993),ISNUMBER(BBG_Data!B993)),BBG_Data!B993,NA())</f>
        <v/>
      </c>
      <c r="C993" s="18">
        <f>IF(NOT(ISNUMBER($A993)),NA(),IFERROR(1*INDEX(BBG_Data!$D$2:$D$4000,MATCH($A993,BBG_Data!$C$2:$C$4000,0)),NA()))</f>
        <v/>
      </c>
      <c r="D993" s="19">
        <f>IF(NOT(ISNUMBER($A993)),NA(),IFERROR(1*INDEX(BBG_Data!$F$2:$F$4000,MATCH($A993,BBG_Data!$E$2:$E$4000,0)),NA()))</f>
        <v/>
      </c>
      <c r="E993" s="19">
        <f>IF(NOT(ISNUMBER($A993)),NA(),IFERROR(1*INDEX(BBG_Data!$H$2:$H$4000,MATCH($A993,BBG_Data!$G$2:$G$4000,0)),NA()))</f>
        <v/>
      </c>
      <c r="F993" s="20">
        <f>IF(AND(ISNUMBER(B993),ISNUMBER(B992)),IF(B993=B992,"",(B993-B992)*100),"")</f>
        <v/>
      </c>
      <c r="G993" s="20">
        <f>IF(AND(ISNUMBER(C993),ISNUMBER(C992)),IF(C993=C992,"",(C993-C992)*100),"")</f>
        <v/>
      </c>
      <c r="H993" s="20">
        <f>IF(OR(NOT(ISNUMBER($A993)),ROW()-2&lt;Settings!$B$11),NA(),IF(COUNT(OFFSET(F993,1-Settings!$B$11,0,Settings!$B$11,1))&lt;ROUNDUP(Settings!$B$11*Settings!$B$26,0),NA(),STDEV(OFFSET(F993,1-Settings!$B$11,0,Settings!$B$11,1))*SQRT(Settings!$B$13)))</f>
        <v/>
      </c>
      <c r="I993" s="20">
        <f>IF(OR(NOT(ISNUMBER($A993)),ROW()-2&lt;Settings!$B$12),NA(),IF(COUNT(OFFSET(F993,1-Settings!$B$12,0,Settings!$B$12,1))&lt;ROUNDUP(Settings!$B$12*Settings!$B$26,0),NA(),STDEV(OFFSET(F993,1-Settings!$B$12,0,Settings!$B$12,1))*SQRT(Settings!$B$13)))</f>
        <v/>
      </c>
      <c r="J993" s="20">
        <f>IF(OR(NOT(ISNUMBER($A993)),ROW()-2&lt;Settings!$B$11),NA(),IF(COUNT(OFFSET(G993,1-Settings!$B$11,0,Settings!$B$11,1))&lt;ROUNDUP(Settings!$B$11*Settings!$B$26,0),NA(),STDEV(OFFSET(G993,1-Settings!$B$11,0,Settings!$B$11,1))*SQRT(Settings!$B$13)))</f>
        <v/>
      </c>
      <c r="K993" s="20">
        <f>IF(OR(NOT(ISNUMBER($A993)),ROW()-2&lt;Settings!$B$12),NA(),IF(COUNT(OFFSET(G993,1-Settings!$B$12,0,Settings!$B$12,1))&lt;ROUNDUP(Settings!$B$12*Settings!$B$26,0),NA(),STDEV(OFFSET(G993,1-Settings!$B$12,0,Settings!$B$12,1))*SQRT(Settings!$B$13)))</f>
        <v/>
      </c>
      <c r="L993" s="20">
        <f>IF(AND(ISNUMBER(D993),ISNUMBER(H993)),D993-H993,NA())</f>
        <v/>
      </c>
      <c r="M993" s="20">
        <f>IF(AND(ISNUMBER(E993),ISNUMBER(K993)),E993-K993,NA())</f>
        <v/>
      </c>
      <c r="N993" s="20">
        <f>IF(NOT(ISNUMBER($A993)),NA(),IF(COUNT(OFFSET(G993,1,0,Settings!$B$12,1))&lt;ROUNDUP(Settings!$B$12*Settings!$B$26,0),NA(),STDEV(OFFSET(G993,1,0,Settings!$B$12,1))*SQRT(Settings!$B$13)))</f>
        <v/>
      </c>
      <c r="O993" s="20">
        <f>IF(AND(ISNUMBER(E993),ISNUMBER(N993)),E993-N993,NA())</f>
        <v/>
      </c>
      <c r="P993" s="19">
        <f>IF(NOT(ISNUMBER($A993)),NA(),IF(OR($A993&lt;MIN(KW_TP!$A$2:$A$2501),$A993&gt;MAX(KW_TP!$A$2:$A$2501)),NA(),INDEX(KW_TP!$C$2:$C$2501,MATCH($A993,KW_TP!$A$2:$A$2501,1))))</f>
        <v/>
      </c>
      <c r="Q993" s="18">
        <f>IF(NOT(ISNUMBER($A993)),NA(),IFERROR(1*INDEX(BBG_Data!$J$2:$J$4000,MATCH($A993,BBG_Data!$I$2:$I$4000,0)),NA()))</f>
        <v/>
      </c>
      <c r="R993" s="18">
        <f>IF(NOT(ISNUMBER($A993)),NA(),IFERROR(1*INDEX(BBG_Data!$L$2:$L$4000,MATCH($A993,BBG_Data!$K$2:$K$4000,0)),NA()))</f>
        <v/>
      </c>
      <c r="S993" s="20">
        <f>IF(AND(ISNUMBER(B993),ISNUMBER(Q993),ISNUMBER(R993)),(B993-Q993-R993)*100,NA())</f>
        <v/>
      </c>
      <c r="T993" s="20">
        <f>IF(AND(ISNUMBER(B993),Settings!$B$17&gt;0),IF(ISNUMBER(INDEX($B:$B,Settings!$B$17)),(B993-INDEX($B:$B,Settings!$B$17))*100,NA()),NA())</f>
        <v/>
      </c>
      <c r="U993" s="20">
        <f>IF(AND(ISNUMBER(Q993),Settings!$B$17&gt;0),IF(ISNUMBER(INDEX($Q:$Q,Settings!$B$17)),(Q993-INDEX($Q:$Q,Settings!$B$17))*100,NA()),NA())</f>
        <v/>
      </c>
      <c r="V993" s="20">
        <f>IF(AND(ISNUMBER(R993),Settings!$B$17&gt;0),IF(ISNUMBER(INDEX($R:$R,Settings!$B$17)),(R993-INDEX($R:$R,Settings!$B$17))*100,NA()),NA())</f>
        <v/>
      </c>
      <c r="W993" s="20">
        <f>IF(AND(ISNUMBER(P993),Settings!$B$17&gt;0),IF(ISNUMBER(INDEX($P:$P,Settings!$B$17)),P993-INDEX($P:$P,Settings!$B$17),NA()),NA())</f>
        <v/>
      </c>
      <c r="X993" s="19">
        <f>IF(NOT(ISNUMBER($A993)),NA(),IF(OR($A993&lt;MIN(DKW_10Y!$A$2:$A$2918),$A993&gt;MAX(DKW_10Y!$A$2:$A$2918),Settings!$B$16&lt;MIN(DKW_10Y!$A$2:$A$2918)),NA(),(INDEX(DKW_10Y!$B$2:$B$2918,MATCH($A993,DKW_10Y!$A$2:$A$2918,1))-INDEX(DKW_10Y!$B$2:$B$2918,MATCH(Settings!$B$16,DKW_10Y!$A$2:$A$2918,1)))*100))</f>
        <v/>
      </c>
      <c r="Y993" s="19">
        <f>IF(NOT(ISNUMBER($A993)),NA(),IF(OR($A993&lt;MIN(DKW_10Y!$A$2:$A$2918),$A993&gt;MAX(DKW_10Y!$A$2:$A$2918),Settings!$B$16&lt;MIN(DKW_10Y!$A$2:$A$2918)),NA(),(INDEX(DKW_10Y!$C$2:$C$2918,MATCH($A993,DKW_10Y!$A$2:$A$2918,1))-INDEX(DKW_10Y!$C$2:$C$2918,MATCH(Settings!$B$16,DKW_10Y!$A$2:$A$2918,1)))*100))</f>
        <v/>
      </c>
      <c r="Z993" s="19">
        <f>IF(NOT(ISNUMBER($A993)),NA(),IF(OR($A993&lt;MIN(DKW_10Y!$A$2:$A$2918),$A993&gt;MAX(DKW_10Y!$A$2:$A$2918),Settings!$B$16&lt;MIN(DKW_10Y!$A$2:$A$2918)),NA(),(INDEX(DKW_10Y!$D$2:$D$2918,MATCH($A993,DKW_10Y!$A$2:$A$2918,1))-INDEX(DKW_10Y!$D$2:$D$2918,MATCH(Settings!$B$16,DKW_10Y!$A$2:$A$2918,1)))*100))</f>
        <v/>
      </c>
      <c r="AA993" s="19">
        <f>IF(NOT(ISNUMBER($A993)),NA(),IF(OR($A993&lt;MIN(DKW_10Y!$A$2:$A$2918),$A993&gt;MAX(DKW_10Y!$A$2:$A$2918),Settings!$B$16&lt;MIN(DKW_10Y!$A$2:$A$2918)),NA(),(INDEX(DKW_10Y!$E$2:$E$2918,MATCH($A993,DKW_10Y!$A$2:$A$2918,1))-INDEX(DKW_10Y!$E$2:$E$2918,MATCH(Settings!$B$16,DKW_10Y!$A$2:$A$2918,1)))*100))</f>
        <v/>
      </c>
      <c r="AB993" s="19">
        <f>IF(NOT(ISNUMBER($A993)),NA(),IF(OR($A993&lt;MIN(DKW_10Y!$A$2:$A$2918),$A993&gt;MAX(DKW_10Y!$A$2:$A$2918),Settings!$B$16&lt;MIN(DKW_10Y!$A$2:$A$2918)),NA(),(INDEX(DKW_10Y!$H$2:$H$2918,MATCH($A993,DKW_10Y!$A$2:$A$2918,1))-INDEX(DKW_10Y!$H$2:$H$2918,MATCH(Settings!$B$16,DKW_10Y!$A$2:$A$2918,1)))*100))</f>
        <v/>
      </c>
      <c r="AC993" s="18">
        <f>IF(NOT(ISNUMBER($A993)),NA(),IFERROR(1*INDEX(BBG_Data!$N$2:$N$4000,MATCH($A993,BBG_Data!$M$2:$M$4000,0)),NA()))</f>
        <v/>
      </c>
      <c r="AD993" s="18">
        <f>IF(NOT(ISNUMBER($A993)),NA(),IFERROR(1*INDEX(BBG_Data!$P$2:$P$4000,MATCH($A993,BBG_Data!$O$2:$O$4000,0)),NA()))</f>
        <v/>
      </c>
      <c r="AE993" s="18">
        <f>IF(NOT(ISNUMBER($A993)),NA(),IFERROR(1*INDEX(BBG_Data!$R$2:$R$4000,MATCH($A993,BBG_Data!$Q$2:$Q$4000,0)),NA()))</f>
        <v/>
      </c>
      <c r="AF993" s="20">
        <f>IF(AND(ISNUMBER(B993),ISNUMBER(AC993)),(B993-AC993)*100,NA())</f>
        <v/>
      </c>
      <c r="AG993" s="20">
        <f>IF(AND(ISNUMBER(AE993),ISNUMBER(AD993)),(AE993-AD993)*100,NA())</f>
        <v/>
      </c>
      <c r="AH993" s="19">
        <f>IF(NOT(ISNUMBER($A993)),NA(),IFERROR(INDEX(BBG_Data!$T$2:$T$4000,MATCH($A993,BBG_Data!$S$2:$S$4000,0))*Settings!$B$25,NA()))</f>
        <v/>
      </c>
      <c r="AI993" s="19">
        <f>IF(NOT(ISNUMBER($A993)),NA(),IFERROR(INDEX(BBG_Data!$V$2:$V$4000,MATCH($A993,BBG_Data!$U$2:$U$4000,0))*Settings!$B$25,NA()))</f>
        <v/>
      </c>
      <c r="AJ993" s="19">
        <f>IF(NOT(ISNUMBER($A993)),NA(),IFERROR(1*INDEX(BBG_Data!$X$2:$X$4000,MATCH($A993,BBG_Data!$W$2:$W$4000,0)),NA()))</f>
        <v/>
      </c>
      <c r="AK993" s="19">
        <f>IF(NOT(ISNUMBER($A993)),NA(),IFERROR(1*INDEX(BBG_Data!$Z$2:$Z$4000,MATCH($A993,BBG_Data!$Y$2:$Y$4000,0)),NA()))</f>
        <v/>
      </c>
    </row>
    <row r="994">
      <c r="A994" s="17">
        <f>IF(ISNUMBER(BBG_Data!A994),BBG_Data!A994,"")</f>
        <v/>
      </c>
      <c r="B994" s="18">
        <f>IF(AND(ISNUMBER($A994),ISNUMBER(BBG_Data!B994)),BBG_Data!B994,NA())</f>
        <v/>
      </c>
      <c r="C994" s="18">
        <f>IF(NOT(ISNUMBER($A994)),NA(),IFERROR(1*INDEX(BBG_Data!$D$2:$D$4000,MATCH($A994,BBG_Data!$C$2:$C$4000,0)),NA()))</f>
        <v/>
      </c>
      <c r="D994" s="19">
        <f>IF(NOT(ISNUMBER($A994)),NA(),IFERROR(1*INDEX(BBG_Data!$F$2:$F$4000,MATCH($A994,BBG_Data!$E$2:$E$4000,0)),NA()))</f>
        <v/>
      </c>
      <c r="E994" s="19">
        <f>IF(NOT(ISNUMBER($A994)),NA(),IFERROR(1*INDEX(BBG_Data!$H$2:$H$4000,MATCH($A994,BBG_Data!$G$2:$G$4000,0)),NA()))</f>
        <v/>
      </c>
      <c r="F994" s="20">
        <f>IF(AND(ISNUMBER(B994),ISNUMBER(B993)),IF(B994=B993,"",(B994-B993)*100),"")</f>
        <v/>
      </c>
      <c r="G994" s="20">
        <f>IF(AND(ISNUMBER(C994),ISNUMBER(C993)),IF(C994=C993,"",(C994-C993)*100),"")</f>
        <v/>
      </c>
      <c r="H994" s="20">
        <f>IF(OR(NOT(ISNUMBER($A994)),ROW()-2&lt;Settings!$B$11),NA(),IF(COUNT(OFFSET(F994,1-Settings!$B$11,0,Settings!$B$11,1))&lt;ROUNDUP(Settings!$B$11*Settings!$B$26,0),NA(),STDEV(OFFSET(F994,1-Settings!$B$11,0,Settings!$B$11,1))*SQRT(Settings!$B$13)))</f>
        <v/>
      </c>
      <c r="I994" s="20">
        <f>IF(OR(NOT(ISNUMBER($A994)),ROW()-2&lt;Settings!$B$12),NA(),IF(COUNT(OFFSET(F994,1-Settings!$B$12,0,Settings!$B$12,1))&lt;ROUNDUP(Settings!$B$12*Settings!$B$26,0),NA(),STDEV(OFFSET(F994,1-Settings!$B$12,0,Settings!$B$12,1))*SQRT(Settings!$B$13)))</f>
        <v/>
      </c>
      <c r="J994" s="20">
        <f>IF(OR(NOT(ISNUMBER($A994)),ROW()-2&lt;Settings!$B$11),NA(),IF(COUNT(OFFSET(G994,1-Settings!$B$11,0,Settings!$B$11,1))&lt;ROUNDUP(Settings!$B$11*Settings!$B$26,0),NA(),STDEV(OFFSET(G994,1-Settings!$B$11,0,Settings!$B$11,1))*SQRT(Settings!$B$13)))</f>
        <v/>
      </c>
      <c r="K994" s="20">
        <f>IF(OR(NOT(ISNUMBER($A994)),ROW()-2&lt;Settings!$B$12),NA(),IF(COUNT(OFFSET(G994,1-Settings!$B$12,0,Settings!$B$12,1))&lt;ROUNDUP(Settings!$B$12*Settings!$B$26,0),NA(),STDEV(OFFSET(G994,1-Settings!$B$12,0,Settings!$B$12,1))*SQRT(Settings!$B$13)))</f>
        <v/>
      </c>
      <c r="L994" s="20">
        <f>IF(AND(ISNUMBER(D994),ISNUMBER(H994)),D994-H994,NA())</f>
        <v/>
      </c>
      <c r="M994" s="20">
        <f>IF(AND(ISNUMBER(E994),ISNUMBER(K994)),E994-K994,NA())</f>
        <v/>
      </c>
      <c r="N994" s="20">
        <f>IF(NOT(ISNUMBER($A994)),NA(),IF(COUNT(OFFSET(G994,1,0,Settings!$B$12,1))&lt;ROUNDUP(Settings!$B$12*Settings!$B$26,0),NA(),STDEV(OFFSET(G994,1,0,Settings!$B$12,1))*SQRT(Settings!$B$13)))</f>
        <v/>
      </c>
      <c r="O994" s="20">
        <f>IF(AND(ISNUMBER(E994),ISNUMBER(N994)),E994-N994,NA())</f>
        <v/>
      </c>
      <c r="P994" s="19">
        <f>IF(NOT(ISNUMBER($A994)),NA(),IF(OR($A994&lt;MIN(KW_TP!$A$2:$A$2501),$A994&gt;MAX(KW_TP!$A$2:$A$2501)),NA(),INDEX(KW_TP!$C$2:$C$2501,MATCH($A994,KW_TP!$A$2:$A$2501,1))))</f>
        <v/>
      </c>
      <c r="Q994" s="18">
        <f>IF(NOT(ISNUMBER($A994)),NA(),IFERROR(1*INDEX(BBG_Data!$J$2:$J$4000,MATCH($A994,BBG_Data!$I$2:$I$4000,0)),NA()))</f>
        <v/>
      </c>
      <c r="R994" s="18">
        <f>IF(NOT(ISNUMBER($A994)),NA(),IFERROR(1*INDEX(BBG_Data!$L$2:$L$4000,MATCH($A994,BBG_Data!$K$2:$K$4000,0)),NA()))</f>
        <v/>
      </c>
      <c r="S994" s="20">
        <f>IF(AND(ISNUMBER(B994),ISNUMBER(Q994),ISNUMBER(R994)),(B994-Q994-R994)*100,NA())</f>
        <v/>
      </c>
      <c r="T994" s="20">
        <f>IF(AND(ISNUMBER(B994),Settings!$B$17&gt;0),IF(ISNUMBER(INDEX($B:$B,Settings!$B$17)),(B994-INDEX($B:$B,Settings!$B$17))*100,NA()),NA())</f>
        <v/>
      </c>
      <c r="U994" s="20">
        <f>IF(AND(ISNUMBER(Q994),Settings!$B$17&gt;0),IF(ISNUMBER(INDEX($Q:$Q,Settings!$B$17)),(Q994-INDEX($Q:$Q,Settings!$B$17))*100,NA()),NA())</f>
        <v/>
      </c>
      <c r="V994" s="20">
        <f>IF(AND(ISNUMBER(R994),Settings!$B$17&gt;0),IF(ISNUMBER(INDEX($R:$R,Settings!$B$17)),(R994-INDEX($R:$R,Settings!$B$17))*100,NA()),NA())</f>
        <v/>
      </c>
      <c r="W994" s="20">
        <f>IF(AND(ISNUMBER(P994),Settings!$B$17&gt;0),IF(ISNUMBER(INDEX($P:$P,Settings!$B$17)),P994-INDEX($P:$P,Settings!$B$17),NA()),NA())</f>
        <v/>
      </c>
      <c r="X994" s="19">
        <f>IF(NOT(ISNUMBER($A994)),NA(),IF(OR($A994&lt;MIN(DKW_10Y!$A$2:$A$2918),$A994&gt;MAX(DKW_10Y!$A$2:$A$2918),Settings!$B$16&lt;MIN(DKW_10Y!$A$2:$A$2918)),NA(),(INDEX(DKW_10Y!$B$2:$B$2918,MATCH($A994,DKW_10Y!$A$2:$A$2918,1))-INDEX(DKW_10Y!$B$2:$B$2918,MATCH(Settings!$B$16,DKW_10Y!$A$2:$A$2918,1)))*100))</f>
        <v/>
      </c>
      <c r="Y994" s="19">
        <f>IF(NOT(ISNUMBER($A994)),NA(),IF(OR($A994&lt;MIN(DKW_10Y!$A$2:$A$2918),$A994&gt;MAX(DKW_10Y!$A$2:$A$2918),Settings!$B$16&lt;MIN(DKW_10Y!$A$2:$A$2918)),NA(),(INDEX(DKW_10Y!$C$2:$C$2918,MATCH($A994,DKW_10Y!$A$2:$A$2918,1))-INDEX(DKW_10Y!$C$2:$C$2918,MATCH(Settings!$B$16,DKW_10Y!$A$2:$A$2918,1)))*100))</f>
        <v/>
      </c>
      <c r="Z994" s="19">
        <f>IF(NOT(ISNUMBER($A994)),NA(),IF(OR($A994&lt;MIN(DKW_10Y!$A$2:$A$2918),$A994&gt;MAX(DKW_10Y!$A$2:$A$2918),Settings!$B$16&lt;MIN(DKW_10Y!$A$2:$A$2918)),NA(),(INDEX(DKW_10Y!$D$2:$D$2918,MATCH($A994,DKW_10Y!$A$2:$A$2918,1))-INDEX(DKW_10Y!$D$2:$D$2918,MATCH(Settings!$B$16,DKW_10Y!$A$2:$A$2918,1)))*100))</f>
        <v/>
      </c>
      <c r="AA994" s="19">
        <f>IF(NOT(ISNUMBER($A994)),NA(),IF(OR($A994&lt;MIN(DKW_10Y!$A$2:$A$2918),$A994&gt;MAX(DKW_10Y!$A$2:$A$2918),Settings!$B$16&lt;MIN(DKW_10Y!$A$2:$A$2918)),NA(),(INDEX(DKW_10Y!$E$2:$E$2918,MATCH($A994,DKW_10Y!$A$2:$A$2918,1))-INDEX(DKW_10Y!$E$2:$E$2918,MATCH(Settings!$B$16,DKW_10Y!$A$2:$A$2918,1)))*100))</f>
        <v/>
      </c>
      <c r="AB994" s="19">
        <f>IF(NOT(ISNUMBER($A994)),NA(),IF(OR($A994&lt;MIN(DKW_10Y!$A$2:$A$2918),$A994&gt;MAX(DKW_10Y!$A$2:$A$2918),Settings!$B$16&lt;MIN(DKW_10Y!$A$2:$A$2918)),NA(),(INDEX(DKW_10Y!$H$2:$H$2918,MATCH($A994,DKW_10Y!$A$2:$A$2918,1))-INDEX(DKW_10Y!$H$2:$H$2918,MATCH(Settings!$B$16,DKW_10Y!$A$2:$A$2918,1)))*100))</f>
        <v/>
      </c>
      <c r="AC994" s="18">
        <f>IF(NOT(ISNUMBER($A994)),NA(),IFERROR(1*INDEX(BBG_Data!$N$2:$N$4000,MATCH($A994,BBG_Data!$M$2:$M$4000,0)),NA()))</f>
        <v/>
      </c>
      <c r="AD994" s="18">
        <f>IF(NOT(ISNUMBER($A994)),NA(),IFERROR(1*INDEX(BBG_Data!$P$2:$P$4000,MATCH($A994,BBG_Data!$O$2:$O$4000,0)),NA()))</f>
        <v/>
      </c>
      <c r="AE994" s="18">
        <f>IF(NOT(ISNUMBER($A994)),NA(),IFERROR(1*INDEX(BBG_Data!$R$2:$R$4000,MATCH($A994,BBG_Data!$Q$2:$Q$4000,0)),NA()))</f>
        <v/>
      </c>
      <c r="AF994" s="20">
        <f>IF(AND(ISNUMBER(B994),ISNUMBER(AC994)),(B994-AC994)*100,NA())</f>
        <v/>
      </c>
      <c r="AG994" s="20">
        <f>IF(AND(ISNUMBER(AE994),ISNUMBER(AD994)),(AE994-AD994)*100,NA())</f>
        <v/>
      </c>
      <c r="AH994" s="19">
        <f>IF(NOT(ISNUMBER($A994)),NA(),IFERROR(INDEX(BBG_Data!$T$2:$T$4000,MATCH($A994,BBG_Data!$S$2:$S$4000,0))*Settings!$B$25,NA()))</f>
        <v/>
      </c>
      <c r="AI994" s="19">
        <f>IF(NOT(ISNUMBER($A994)),NA(),IFERROR(INDEX(BBG_Data!$V$2:$V$4000,MATCH($A994,BBG_Data!$U$2:$U$4000,0))*Settings!$B$25,NA()))</f>
        <v/>
      </c>
      <c r="AJ994" s="19">
        <f>IF(NOT(ISNUMBER($A994)),NA(),IFERROR(1*INDEX(BBG_Data!$X$2:$X$4000,MATCH($A994,BBG_Data!$W$2:$W$4000,0)),NA()))</f>
        <v/>
      </c>
      <c r="AK994" s="19">
        <f>IF(NOT(ISNUMBER($A994)),NA(),IFERROR(1*INDEX(BBG_Data!$Z$2:$Z$4000,MATCH($A994,BBG_Data!$Y$2:$Y$4000,0)),NA()))</f>
        <v/>
      </c>
    </row>
    <row r="995">
      <c r="A995" s="17">
        <f>IF(ISNUMBER(BBG_Data!A995),BBG_Data!A995,"")</f>
        <v/>
      </c>
      <c r="B995" s="18">
        <f>IF(AND(ISNUMBER($A995),ISNUMBER(BBG_Data!B995)),BBG_Data!B995,NA())</f>
        <v/>
      </c>
      <c r="C995" s="18">
        <f>IF(NOT(ISNUMBER($A995)),NA(),IFERROR(1*INDEX(BBG_Data!$D$2:$D$4000,MATCH($A995,BBG_Data!$C$2:$C$4000,0)),NA()))</f>
        <v/>
      </c>
      <c r="D995" s="19">
        <f>IF(NOT(ISNUMBER($A995)),NA(),IFERROR(1*INDEX(BBG_Data!$F$2:$F$4000,MATCH($A995,BBG_Data!$E$2:$E$4000,0)),NA()))</f>
        <v/>
      </c>
      <c r="E995" s="19">
        <f>IF(NOT(ISNUMBER($A995)),NA(),IFERROR(1*INDEX(BBG_Data!$H$2:$H$4000,MATCH($A995,BBG_Data!$G$2:$G$4000,0)),NA()))</f>
        <v/>
      </c>
      <c r="F995" s="20">
        <f>IF(AND(ISNUMBER(B995),ISNUMBER(B994)),IF(B995=B994,"",(B995-B994)*100),"")</f>
        <v/>
      </c>
      <c r="G995" s="20">
        <f>IF(AND(ISNUMBER(C995),ISNUMBER(C994)),IF(C995=C994,"",(C995-C994)*100),"")</f>
        <v/>
      </c>
      <c r="H995" s="20">
        <f>IF(OR(NOT(ISNUMBER($A995)),ROW()-2&lt;Settings!$B$11),NA(),IF(COUNT(OFFSET(F995,1-Settings!$B$11,0,Settings!$B$11,1))&lt;ROUNDUP(Settings!$B$11*Settings!$B$26,0),NA(),STDEV(OFFSET(F995,1-Settings!$B$11,0,Settings!$B$11,1))*SQRT(Settings!$B$13)))</f>
        <v/>
      </c>
      <c r="I995" s="20">
        <f>IF(OR(NOT(ISNUMBER($A995)),ROW()-2&lt;Settings!$B$12),NA(),IF(COUNT(OFFSET(F995,1-Settings!$B$12,0,Settings!$B$12,1))&lt;ROUNDUP(Settings!$B$12*Settings!$B$26,0),NA(),STDEV(OFFSET(F995,1-Settings!$B$12,0,Settings!$B$12,1))*SQRT(Settings!$B$13)))</f>
        <v/>
      </c>
      <c r="J995" s="20">
        <f>IF(OR(NOT(ISNUMBER($A995)),ROW()-2&lt;Settings!$B$11),NA(),IF(COUNT(OFFSET(G995,1-Settings!$B$11,0,Settings!$B$11,1))&lt;ROUNDUP(Settings!$B$11*Settings!$B$26,0),NA(),STDEV(OFFSET(G995,1-Settings!$B$11,0,Settings!$B$11,1))*SQRT(Settings!$B$13)))</f>
        <v/>
      </c>
      <c r="K995" s="20">
        <f>IF(OR(NOT(ISNUMBER($A995)),ROW()-2&lt;Settings!$B$12),NA(),IF(COUNT(OFFSET(G995,1-Settings!$B$12,0,Settings!$B$12,1))&lt;ROUNDUP(Settings!$B$12*Settings!$B$26,0),NA(),STDEV(OFFSET(G995,1-Settings!$B$12,0,Settings!$B$12,1))*SQRT(Settings!$B$13)))</f>
        <v/>
      </c>
      <c r="L995" s="20">
        <f>IF(AND(ISNUMBER(D995),ISNUMBER(H995)),D995-H995,NA())</f>
        <v/>
      </c>
      <c r="M995" s="20">
        <f>IF(AND(ISNUMBER(E995),ISNUMBER(K995)),E995-K995,NA())</f>
        <v/>
      </c>
      <c r="N995" s="20">
        <f>IF(NOT(ISNUMBER($A995)),NA(),IF(COUNT(OFFSET(G995,1,0,Settings!$B$12,1))&lt;ROUNDUP(Settings!$B$12*Settings!$B$26,0),NA(),STDEV(OFFSET(G995,1,0,Settings!$B$12,1))*SQRT(Settings!$B$13)))</f>
        <v/>
      </c>
      <c r="O995" s="20">
        <f>IF(AND(ISNUMBER(E995),ISNUMBER(N995)),E995-N995,NA())</f>
        <v/>
      </c>
      <c r="P995" s="19">
        <f>IF(NOT(ISNUMBER($A995)),NA(),IF(OR($A995&lt;MIN(KW_TP!$A$2:$A$2501),$A995&gt;MAX(KW_TP!$A$2:$A$2501)),NA(),INDEX(KW_TP!$C$2:$C$2501,MATCH($A995,KW_TP!$A$2:$A$2501,1))))</f>
        <v/>
      </c>
      <c r="Q995" s="18">
        <f>IF(NOT(ISNUMBER($A995)),NA(),IFERROR(1*INDEX(BBG_Data!$J$2:$J$4000,MATCH($A995,BBG_Data!$I$2:$I$4000,0)),NA()))</f>
        <v/>
      </c>
      <c r="R995" s="18">
        <f>IF(NOT(ISNUMBER($A995)),NA(),IFERROR(1*INDEX(BBG_Data!$L$2:$L$4000,MATCH($A995,BBG_Data!$K$2:$K$4000,0)),NA()))</f>
        <v/>
      </c>
      <c r="S995" s="20">
        <f>IF(AND(ISNUMBER(B995),ISNUMBER(Q995),ISNUMBER(R995)),(B995-Q995-R995)*100,NA())</f>
        <v/>
      </c>
      <c r="T995" s="20">
        <f>IF(AND(ISNUMBER(B995),Settings!$B$17&gt;0),IF(ISNUMBER(INDEX($B:$B,Settings!$B$17)),(B995-INDEX($B:$B,Settings!$B$17))*100,NA()),NA())</f>
        <v/>
      </c>
      <c r="U995" s="20">
        <f>IF(AND(ISNUMBER(Q995),Settings!$B$17&gt;0),IF(ISNUMBER(INDEX($Q:$Q,Settings!$B$17)),(Q995-INDEX($Q:$Q,Settings!$B$17))*100,NA()),NA())</f>
        <v/>
      </c>
      <c r="V995" s="20">
        <f>IF(AND(ISNUMBER(R995),Settings!$B$17&gt;0),IF(ISNUMBER(INDEX($R:$R,Settings!$B$17)),(R995-INDEX($R:$R,Settings!$B$17))*100,NA()),NA())</f>
        <v/>
      </c>
      <c r="W995" s="20">
        <f>IF(AND(ISNUMBER(P995),Settings!$B$17&gt;0),IF(ISNUMBER(INDEX($P:$P,Settings!$B$17)),P995-INDEX($P:$P,Settings!$B$17),NA()),NA())</f>
        <v/>
      </c>
      <c r="X995" s="19">
        <f>IF(NOT(ISNUMBER($A995)),NA(),IF(OR($A995&lt;MIN(DKW_10Y!$A$2:$A$2918),$A995&gt;MAX(DKW_10Y!$A$2:$A$2918),Settings!$B$16&lt;MIN(DKW_10Y!$A$2:$A$2918)),NA(),(INDEX(DKW_10Y!$B$2:$B$2918,MATCH($A995,DKW_10Y!$A$2:$A$2918,1))-INDEX(DKW_10Y!$B$2:$B$2918,MATCH(Settings!$B$16,DKW_10Y!$A$2:$A$2918,1)))*100))</f>
        <v/>
      </c>
      <c r="Y995" s="19">
        <f>IF(NOT(ISNUMBER($A995)),NA(),IF(OR($A995&lt;MIN(DKW_10Y!$A$2:$A$2918),$A995&gt;MAX(DKW_10Y!$A$2:$A$2918),Settings!$B$16&lt;MIN(DKW_10Y!$A$2:$A$2918)),NA(),(INDEX(DKW_10Y!$C$2:$C$2918,MATCH($A995,DKW_10Y!$A$2:$A$2918,1))-INDEX(DKW_10Y!$C$2:$C$2918,MATCH(Settings!$B$16,DKW_10Y!$A$2:$A$2918,1)))*100))</f>
        <v/>
      </c>
      <c r="Z995" s="19">
        <f>IF(NOT(ISNUMBER($A995)),NA(),IF(OR($A995&lt;MIN(DKW_10Y!$A$2:$A$2918),$A995&gt;MAX(DKW_10Y!$A$2:$A$2918),Settings!$B$16&lt;MIN(DKW_10Y!$A$2:$A$2918)),NA(),(INDEX(DKW_10Y!$D$2:$D$2918,MATCH($A995,DKW_10Y!$A$2:$A$2918,1))-INDEX(DKW_10Y!$D$2:$D$2918,MATCH(Settings!$B$16,DKW_10Y!$A$2:$A$2918,1)))*100))</f>
        <v/>
      </c>
      <c r="AA995" s="19">
        <f>IF(NOT(ISNUMBER($A995)),NA(),IF(OR($A995&lt;MIN(DKW_10Y!$A$2:$A$2918),$A995&gt;MAX(DKW_10Y!$A$2:$A$2918),Settings!$B$16&lt;MIN(DKW_10Y!$A$2:$A$2918)),NA(),(INDEX(DKW_10Y!$E$2:$E$2918,MATCH($A995,DKW_10Y!$A$2:$A$2918,1))-INDEX(DKW_10Y!$E$2:$E$2918,MATCH(Settings!$B$16,DKW_10Y!$A$2:$A$2918,1)))*100))</f>
        <v/>
      </c>
      <c r="AB995" s="19">
        <f>IF(NOT(ISNUMBER($A995)),NA(),IF(OR($A995&lt;MIN(DKW_10Y!$A$2:$A$2918),$A995&gt;MAX(DKW_10Y!$A$2:$A$2918),Settings!$B$16&lt;MIN(DKW_10Y!$A$2:$A$2918)),NA(),(INDEX(DKW_10Y!$H$2:$H$2918,MATCH($A995,DKW_10Y!$A$2:$A$2918,1))-INDEX(DKW_10Y!$H$2:$H$2918,MATCH(Settings!$B$16,DKW_10Y!$A$2:$A$2918,1)))*100))</f>
        <v/>
      </c>
      <c r="AC995" s="18">
        <f>IF(NOT(ISNUMBER($A995)),NA(),IFERROR(1*INDEX(BBG_Data!$N$2:$N$4000,MATCH($A995,BBG_Data!$M$2:$M$4000,0)),NA()))</f>
        <v/>
      </c>
      <c r="AD995" s="18">
        <f>IF(NOT(ISNUMBER($A995)),NA(),IFERROR(1*INDEX(BBG_Data!$P$2:$P$4000,MATCH($A995,BBG_Data!$O$2:$O$4000,0)),NA()))</f>
        <v/>
      </c>
      <c r="AE995" s="18">
        <f>IF(NOT(ISNUMBER($A995)),NA(),IFERROR(1*INDEX(BBG_Data!$R$2:$R$4000,MATCH($A995,BBG_Data!$Q$2:$Q$4000,0)),NA()))</f>
        <v/>
      </c>
      <c r="AF995" s="20">
        <f>IF(AND(ISNUMBER(B995),ISNUMBER(AC995)),(B995-AC995)*100,NA())</f>
        <v/>
      </c>
      <c r="AG995" s="20">
        <f>IF(AND(ISNUMBER(AE995),ISNUMBER(AD995)),(AE995-AD995)*100,NA())</f>
        <v/>
      </c>
      <c r="AH995" s="19">
        <f>IF(NOT(ISNUMBER($A995)),NA(),IFERROR(INDEX(BBG_Data!$T$2:$T$4000,MATCH($A995,BBG_Data!$S$2:$S$4000,0))*Settings!$B$25,NA()))</f>
        <v/>
      </c>
      <c r="AI995" s="19">
        <f>IF(NOT(ISNUMBER($A995)),NA(),IFERROR(INDEX(BBG_Data!$V$2:$V$4000,MATCH($A995,BBG_Data!$U$2:$U$4000,0))*Settings!$B$25,NA()))</f>
        <v/>
      </c>
      <c r="AJ995" s="19">
        <f>IF(NOT(ISNUMBER($A995)),NA(),IFERROR(1*INDEX(BBG_Data!$X$2:$X$4000,MATCH($A995,BBG_Data!$W$2:$W$4000,0)),NA()))</f>
        <v/>
      </c>
      <c r="AK995" s="19">
        <f>IF(NOT(ISNUMBER($A995)),NA(),IFERROR(1*INDEX(BBG_Data!$Z$2:$Z$4000,MATCH($A995,BBG_Data!$Y$2:$Y$4000,0)),NA()))</f>
        <v/>
      </c>
    </row>
    <row r="996">
      <c r="A996" s="17">
        <f>IF(ISNUMBER(BBG_Data!A996),BBG_Data!A996,"")</f>
        <v/>
      </c>
      <c r="B996" s="18">
        <f>IF(AND(ISNUMBER($A996),ISNUMBER(BBG_Data!B996)),BBG_Data!B996,NA())</f>
        <v/>
      </c>
      <c r="C996" s="18">
        <f>IF(NOT(ISNUMBER($A996)),NA(),IFERROR(1*INDEX(BBG_Data!$D$2:$D$4000,MATCH($A996,BBG_Data!$C$2:$C$4000,0)),NA()))</f>
        <v/>
      </c>
      <c r="D996" s="19">
        <f>IF(NOT(ISNUMBER($A996)),NA(),IFERROR(1*INDEX(BBG_Data!$F$2:$F$4000,MATCH($A996,BBG_Data!$E$2:$E$4000,0)),NA()))</f>
        <v/>
      </c>
      <c r="E996" s="19">
        <f>IF(NOT(ISNUMBER($A996)),NA(),IFERROR(1*INDEX(BBG_Data!$H$2:$H$4000,MATCH($A996,BBG_Data!$G$2:$G$4000,0)),NA()))</f>
        <v/>
      </c>
      <c r="F996" s="20">
        <f>IF(AND(ISNUMBER(B996),ISNUMBER(B995)),IF(B996=B995,"",(B996-B995)*100),"")</f>
        <v/>
      </c>
      <c r="G996" s="20">
        <f>IF(AND(ISNUMBER(C996),ISNUMBER(C995)),IF(C996=C995,"",(C996-C995)*100),"")</f>
        <v/>
      </c>
      <c r="H996" s="20">
        <f>IF(OR(NOT(ISNUMBER($A996)),ROW()-2&lt;Settings!$B$11),NA(),IF(COUNT(OFFSET(F996,1-Settings!$B$11,0,Settings!$B$11,1))&lt;ROUNDUP(Settings!$B$11*Settings!$B$26,0),NA(),STDEV(OFFSET(F996,1-Settings!$B$11,0,Settings!$B$11,1))*SQRT(Settings!$B$13)))</f>
        <v/>
      </c>
      <c r="I996" s="20">
        <f>IF(OR(NOT(ISNUMBER($A996)),ROW()-2&lt;Settings!$B$12),NA(),IF(COUNT(OFFSET(F996,1-Settings!$B$12,0,Settings!$B$12,1))&lt;ROUNDUP(Settings!$B$12*Settings!$B$26,0),NA(),STDEV(OFFSET(F996,1-Settings!$B$12,0,Settings!$B$12,1))*SQRT(Settings!$B$13)))</f>
        <v/>
      </c>
      <c r="J996" s="20">
        <f>IF(OR(NOT(ISNUMBER($A996)),ROW()-2&lt;Settings!$B$11),NA(),IF(COUNT(OFFSET(G996,1-Settings!$B$11,0,Settings!$B$11,1))&lt;ROUNDUP(Settings!$B$11*Settings!$B$26,0),NA(),STDEV(OFFSET(G996,1-Settings!$B$11,0,Settings!$B$11,1))*SQRT(Settings!$B$13)))</f>
        <v/>
      </c>
      <c r="K996" s="20">
        <f>IF(OR(NOT(ISNUMBER($A996)),ROW()-2&lt;Settings!$B$12),NA(),IF(COUNT(OFFSET(G996,1-Settings!$B$12,0,Settings!$B$12,1))&lt;ROUNDUP(Settings!$B$12*Settings!$B$26,0),NA(),STDEV(OFFSET(G996,1-Settings!$B$12,0,Settings!$B$12,1))*SQRT(Settings!$B$13)))</f>
        <v/>
      </c>
      <c r="L996" s="20">
        <f>IF(AND(ISNUMBER(D996),ISNUMBER(H996)),D996-H996,NA())</f>
        <v/>
      </c>
      <c r="M996" s="20">
        <f>IF(AND(ISNUMBER(E996),ISNUMBER(K996)),E996-K996,NA())</f>
        <v/>
      </c>
      <c r="N996" s="20">
        <f>IF(NOT(ISNUMBER($A996)),NA(),IF(COUNT(OFFSET(G996,1,0,Settings!$B$12,1))&lt;ROUNDUP(Settings!$B$12*Settings!$B$26,0),NA(),STDEV(OFFSET(G996,1,0,Settings!$B$12,1))*SQRT(Settings!$B$13)))</f>
        <v/>
      </c>
      <c r="O996" s="20">
        <f>IF(AND(ISNUMBER(E996),ISNUMBER(N996)),E996-N996,NA())</f>
        <v/>
      </c>
      <c r="P996" s="19">
        <f>IF(NOT(ISNUMBER($A996)),NA(),IF(OR($A996&lt;MIN(KW_TP!$A$2:$A$2501),$A996&gt;MAX(KW_TP!$A$2:$A$2501)),NA(),INDEX(KW_TP!$C$2:$C$2501,MATCH($A996,KW_TP!$A$2:$A$2501,1))))</f>
        <v/>
      </c>
      <c r="Q996" s="18">
        <f>IF(NOT(ISNUMBER($A996)),NA(),IFERROR(1*INDEX(BBG_Data!$J$2:$J$4000,MATCH($A996,BBG_Data!$I$2:$I$4000,0)),NA()))</f>
        <v/>
      </c>
      <c r="R996" s="18">
        <f>IF(NOT(ISNUMBER($A996)),NA(),IFERROR(1*INDEX(BBG_Data!$L$2:$L$4000,MATCH($A996,BBG_Data!$K$2:$K$4000,0)),NA()))</f>
        <v/>
      </c>
      <c r="S996" s="20">
        <f>IF(AND(ISNUMBER(B996),ISNUMBER(Q996),ISNUMBER(R996)),(B996-Q996-R996)*100,NA())</f>
        <v/>
      </c>
      <c r="T996" s="20">
        <f>IF(AND(ISNUMBER(B996),Settings!$B$17&gt;0),IF(ISNUMBER(INDEX($B:$B,Settings!$B$17)),(B996-INDEX($B:$B,Settings!$B$17))*100,NA()),NA())</f>
        <v/>
      </c>
      <c r="U996" s="20">
        <f>IF(AND(ISNUMBER(Q996),Settings!$B$17&gt;0),IF(ISNUMBER(INDEX($Q:$Q,Settings!$B$17)),(Q996-INDEX($Q:$Q,Settings!$B$17))*100,NA()),NA())</f>
        <v/>
      </c>
      <c r="V996" s="20">
        <f>IF(AND(ISNUMBER(R996),Settings!$B$17&gt;0),IF(ISNUMBER(INDEX($R:$R,Settings!$B$17)),(R996-INDEX($R:$R,Settings!$B$17))*100,NA()),NA())</f>
        <v/>
      </c>
      <c r="W996" s="20">
        <f>IF(AND(ISNUMBER(P996),Settings!$B$17&gt;0),IF(ISNUMBER(INDEX($P:$P,Settings!$B$17)),P996-INDEX($P:$P,Settings!$B$17),NA()),NA())</f>
        <v/>
      </c>
      <c r="X996" s="19">
        <f>IF(NOT(ISNUMBER($A996)),NA(),IF(OR($A996&lt;MIN(DKW_10Y!$A$2:$A$2918),$A996&gt;MAX(DKW_10Y!$A$2:$A$2918),Settings!$B$16&lt;MIN(DKW_10Y!$A$2:$A$2918)),NA(),(INDEX(DKW_10Y!$B$2:$B$2918,MATCH($A996,DKW_10Y!$A$2:$A$2918,1))-INDEX(DKW_10Y!$B$2:$B$2918,MATCH(Settings!$B$16,DKW_10Y!$A$2:$A$2918,1)))*100))</f>
        <v/>
      </c>
      <c r="Y996" s="19">
        <f>IF(NOT(ISNUMBER($A996)),NA(),IF(OR($A996&lt;MIN(DKW_10Y!$A$2:$A$2918),$A996&gt;MAX(DKW_10Y!$A$2:$A$2918),Settings!$B$16&lt;MIN(DKW_10Y!$A$2:$A$2918)),NA(),(INDEX(DKW_10Y!$C$2:$C$2918,MATCH($A996,DKW_10Y!$A$2:$A$2918,1))-INDEX(DKW_10Y!$C$2:$C$2918,MATCH(Settings!$B$16,DKW_10Y!$A$2:$A$2918,1)))*100))</f>
        <v/>
      </c>
      <c r="Z996" s="19">
        <f>IF(NOT(ISNUMBER($A996)),NA(),IF(OR($A996&lt;MIN(DKW_10Y!$A$2:$A$2918),$A996&gt;MAX(DKW_10Y!$A$2:$A$2918),Settings!$B$16&lt;MIN(DKW_10Y!$A$2:$A$2918)),NA(),(INDEX(DKW_10Y!$D$2:$D$2918,MATCH($A996,DKW_10Y!$A$2:$A$2918,1))-INDEX(DKW_10Y!$D$2:$D$2918,MATCH(Settings!$B$16,DKW_10Y!$A$2:$A$2918,1)))*100))</f>
        <v/>
      </c>
      <c r="AA996" s="19">
        <f>IF(NOT(ISNUMBER($A996)),NA(),IF(OR($A996&lt;MIN(DKW_10Y!$A$2:$A$2918),$A996&gt;MAX(DKW_10Y!$A$2:$A$2918),Settings!$B$16&lt;MIN(DKW_10Y!$A$2:$A$2918)),NA(),(INDEX(DKW_10Y!$E$2:$E$2918,MATCH($A996,DKW_10Y!$A$2:$A$2918,1))-INDEX(DKW_10Y!$E$2:$E$2918,MATCH(Settings!$B$16,DKW_10Y!$A$2:$A$2918,1)))*100))</f>
        <v/>
      </c>
      <c r="AB996" s="19">
        <f>IF(NOT(ISNUMBER($A996)),NA(),IF(OR($A996&lt;MIN(DKW_10Y!$A$2:$A$2918),$A996&gt;MAX(DKW_10Y!$A$2:$A$2918),Settings!$B$16&lt;MIN(DKW_10Y!$A$2:$A$2918)),NA(),(INDEX(DKW_10Y!$H$2:$H$2918,MATCH($A996,DKW_10Y!$A$2:$A$2918,1))-INDEX(DKW_10Y!$H$2:$H$2918,MATCH(Settings!$B$16,DKW_10Y!$A$2:$A$2918,1)))*100))</f>
        <v/>
      </c>
      <c r="AC996" s="18">
        <f>IF(NOT(ISNUMBER($A996)),NA(),IFERROR(1*INDEX(BBG_Data!$N$2:$N$4000,MATCH($A996,BBG_Data!$M$2:$M$4000,0)),NA()))</f>
        <v/>
      </c>
      <c r="AD996" s="18">
        <f>IF(NOT(ISNUMBER($A996)),NA(),IFERROR(1*INDEX(BBG_Data!$P$2:$P$4000,MATCH($A996,BBG_Data!$O$2:$O$4000,0)),NA()))</f>
        <v/>
      </c>
      <c r="AE996" s="18">
        <f>IF(NOT(ISNUMBER($A996)),NA(),IFERROR(1*INDEX(BBG_Data!$R$2:$R$4000,MATCH($A996,BBG_Data!$Q$2:$Q$4000,0)),NA()))</f>
        <v/>
      </c>
      <c r="AF996" s="20">
        <f>IF(AND(ISNUMBER(B996),ISNUMBER(AC996)),(B996-AC996)*100,NA())</f>
        <v/>
      </c>
      <c r="AG996" s="20">
        <f>IF(AND(ISNUMBER(AE996),ISNUMBER(AD996)),(AE996-AD996)*100,NA())</f>
        <v/>
      </c>
      <c r="AH996" s="19">
        <f>IF(NOT(ISNUMBER($A996)),NA(),IFERROR(INDEX(BBG_Data!$T$2:$T$4000,MATCH($A996,BBG_Data!$S$2:$S$4000,0))*Settings!$B$25,NA()))</f>
        <v/>
      </c>
      <c r="AI996" s="19">
        <f>IF(NOT(ISNUMBER($A996)),NA(),IFERROR(INDEX(BBG_Data!$V$2:$V$4000,MATCH($A996,BBG_Data!$U$2:$U$4000,0))*Settings!$B$25,NA()))</f>
        <v/>
      </c>
      <c r="AJ996" s="19">
        <f>IF(NOT(ISNUMBER($A996)),NA(),IFERROR(1*INDEX(BBG_Data!$X$2:$X$4000,MATCH($A996,BBG_Data!$W$2:$W$4000,0)),NA()))</f>
        <v/>
      </c>
      <c r="AK996" s="19">
        <f>IF(NOT(ISNUMBER($A996)),NA(),IFERROR(1*INDEX(BBG_Data!$Z$2:$Z$4000,MATCH($A996,BBG_Data!$Y$2:$Y$4000,0)),NA()))</f>
        <v/>
      </c>
    </row>
    <row r="997">
      <c r="A997" s="17">
        <f>IF(ISNUMBER(BBG_Data!A997),BBG_Data!A997,"")</f>
        <v/>
      </c>
      <c r="B997" s="18">
        <f>IF(AND(ISNUMBER($A997),ISNUMBER(BBG_Data!B997)),BBG_Data!B997,NA())</f>
        <v/>
      </c>
      <c r="C997" s="18">
        <f>IF(NOT(ISNUMBER($A997)),NA(),IFERROR(1*INDEX(BBG_Data!$D$2:$D$4000,MATCH($A997,BBG_Data!$C$2:$C$4000,0)),NA()))</f>
        <v/>
      </c>
      <c r="D997" s="19">
        <f>IF(NOT(ISNUMBER($A997)),NA(),IFERROR(1*INDEX(BBG_Data!$F$2:$F$4000,MATCH($A997,BBG_Data!$E$2:$E$4000,0)),NA()))</f>
        <v/>
      </c>
      <c r="E997" s="19">
        <f>IF(NOT(ISNUMBER($A997)),NA(),IFERROR(1*INDEX(BBG_Data!$H$2:$H$4000,MATCH($A997,BBG_Data!$G$2:$G$4000,0)),NA()))</f>
        <v/>
      </c>
      <c r="F997" s="20">
        <f>IF(AND(ISNUMBER(B997),ISNUMBER(B996)),IF(B997=B996,"",(B997-B996)*100),"")</f>
        <v/>
      </c>
      <c r="G997" s="20">
        <f>IF(AND(ISNUMBER(C997),ISNUMBER(C996)),IF(C997=C996,"",(C997-C996)*100),"")</f>
        <v/>
      </c>
      <c r="H997" s="20">
        <f>IF(OR(NOT(ISNUMBER($A997)),ROW()-2&lt;Settings!$B$11),NA(),IF(COUNT(OFFSET(F997,1-Settings!$B$11,0,Settings!$B$11,1))&lt;ROUNDUP(Settings!$B$11*Settings!$B$26,0),NA(),STDEV(OFFSET(F997,1-Settings!$B$11,0,Settings!$B$11,1))*SQRT(Settings!$B$13)))</f>
        <v/>
      </c>
      <c r="I997" s="20">
        <f>IF(OR(NOT(ISNUMBER($A997)),ROW()-2&lt;Settings!$B$12),NA(),IF(COUNT(OFFSET(F997,1-Settings!$B$12,0,Settings!$B$12,1))&lt;ROUNDUP(Settings!$B$12*Settings!$B$26,0),NA(),STDEV(OFFSET(F997,1-Settings!$B$12,0,Settings!$B$12,1))*SQRT(Settings!$B$13)))</f>
        <v/>
      </c>
      <c r="J997" s="20">
        <f>IF(OR(NOT(ISNUMBER($A997)),ROW()-2&lt;Settings!$B$11),NA(),IF(COUNT(OFFSET(G997,1-Settings!$B$11,0,Settings!$B$11,1))&lt;ROUNDUP(Settings!$B$11*Settings!$B$26,0),NA(),STDEV(OFFSET(G997,1-Settings!$B$11,0,Settings!$B$11,1))*SQRT(Settings!$B$13)))</f>
        <v/>
      </c>
      <c r="K997" s="20">
        <f>IF(OR(NOT(ISNUMBER($A997)),ROW()-2&lt;Settings!$B$12),NA(),IF(COUNT(OFFSET(G997,1-Settings!$B$12,0,Settings!$B$12,1))&lt;ROUNDUP(Settings!$B$12*Settings!$B$26,0),NA(),STDEV(OFFSET(G997,1-Settings!$B$12,0,Settings!$B$12,1))*SQRT(Settings!$B$13)))</f>
        <v/>
      </c>
      <c r="L997" s="20">
        <f>IF(AND(ISNUMBER(D997),ISNUMBER(H997)),D997-H997,NA())</f>
        <v/>
      </c>
      <c r="M997" s="20">
        <f>IF(AND(ISNUMBER(E997),ISNUMBER(K997)),E997-K997,NA())</f>
        <v/>
      </c>
      <c r="N997" s="20">
        <f>IF(NOT(ISNUMBER($A997)),NA(),IF(COUNT(OFFSET(G997,1,0,Settings!$B$12,1))&lt;ROUNDUP(Settings!$B$12*Settings!$B$26,0),NA(),STDEV(OFFSET(G997,1,0,Settings!$B$12,1))*SQRT(Settings!$B$13)))</f>
        <v/>
      </c>
      <c r="O997" s="20">
        <f>IF(AND(ISNUMBER(E997),ISNUMBER(N997)),E997-N997,NA())</f>
        <v/>
      </c>
      <c r="P997" s="19">
        <f>IF(NOT(ISNUMBER($A997)),NA(),IF(OR($A997&lt;MIN(KW_TP!$A$2:$A$2501),$A997&gt;MAX(KW_TP!$A$2:$A$2501)),NA(),INDEX(KW_TP!$C$2:$C$2501,MATCH($A997,KW_TP!$A$2:$A$2501,1))))</f>
        <v/>
      </c>
      <c r="Q997" s="18">
        <f>IF(NOT(ISNUMBER($A997)),NA(),IFERROR(1*INDEX(BBG_Data!$J$2:$J$4000,MATCH($A997,BBG_Data!$I$2:$I$4000,0)),NA()))</f>
        <v/>
      </c>
      <c r="R997" s="18">
        <f>IF(NOT(ISNUMBER($A997)),NA(),IFERROR(1*INDEX(BBG_Data!$L$2:$L$4000,MATCH($A997,BBG_Data!$K$2:$K$4000,0)),NA()))</f>
        <v/>
      </c>
      <c r="S997" s="20">
        <f>IF(AND(ISNUMBER(B997),ISNUMBER(Q997),ISNUMBER(R997)),(B997-Q997-R997)*100,NA())</f>
        <v/>
      </c>
      <c r="T997" s="20">
        <f>IF(AND(ISNUMBER(B997),Settings!$B$17&gt;0),IF(ISNUMBER(INDEX($B:$B,Settings!$B$17)),(B997-INDEX($B:$B,Settings!$B$17))*100,NA()),NA())</f>
        <v/>
      </c>
      <c r="U997" s="20">
        <f>IF(AND(ISNUMBER(Q997),Settings!$B$17&gt;0),IF(ISNUMBER(INDEX($Q:$Q,Settings!$B$17)),(Q997-INDEX($Q:$Q,Settings!$B$17))*100,NA()),NA())</f>
        <v/>
      </c>
      <c r="V997" s="20">
        <f>IF(AND(ISNUMBER(R997),Settings!$B$17&gt;0),IF(ISNUMBER(INDEX($R:$R,Settings!$B$17)),(R997-INDEX($R:$R,Settings!$B$17))*100,NA()),NA())</f>
        <v/>
      </c>
      <c r="W997" s="20">
        <f>IF(AND(ISNUMBER(P997),Settings!$B$17&gt;0),IF(ISNUMBER(INDEX($P:$P,Settings!$B$17)),P997-INDEX($P:$P,Settings!$B$17),NA()),NA())</f>
        <v/>
      </c>
      <c r="X997" s="19">
        <f>IF(NOT(ISNUMBER($A997)),NA(),IF(OR($A997&lt;MIN(DKW_10Y!$A$2:$A$2918),$A997&gt;MAX(DKW_10Y!$A$2:$A$2918),Settings!$B$16&lt;MIN(DKW_10Y!$A$2:$A$2918)),NA(),(INDEX(DKW_10Y!$B$2:$B$2918,MATCH($A997,DKW_10Y!$A$2:$A$2918,1))-INDEX(DKW_10Y!$B$2:$B$2918,MATCH(Settings!$B$16,DKW_10Y!$A$2:$A$2918,1)))*100))</f>
        <v/>
      </c>
      <c r="Y997" s="19">
        <f>IF(NOT(ISNUMBER($A997)),NA(),IF(OR($A997&lt;MIN(DKW_10Y!$A$2:$A$2918),$A997&gt;MAX(DKW_10Y!$A$2:$A$2918),Settings!$B$16&lt;MIN(DKW_10Y!$A$2:$A$2918)),NA(),(INDEX(DKW_10Y!$C$2:$C$2918,MATCH($A997,DKW_10Y!$A$2:$A$2918,1))-INDEX(DKW_10Y!$C$2:$C$2918,MATCH(Settings!$B$16,DKW_10Y!$A$2:$A$2918,1)))*100))</f>
        <v/>
      </c>
      <c r="Z997" s="19">
        <f>IF(NOT(ISNUMBER($A997)),NA(),IF(OR($A997&lt;MIN(DKW_10Y!$A$2:$A$2918),$A997&gt;MAX(DKW_10Y!$A$2:$A$2918),Settings!$B$16&lt;MIN(DKW_10Y!$A$2:$A$2918)),NA(),(INDEX(DKW_10Y!$D$2:$D$2918,MATCH($A997,DKW_10Y!$A$2:$A$2918,1))-INDEX(DKW_10Y!$D$2:$D$2918,MATCH(Settings!$B$16,DKW_10Y!$A$2:$A$2918,1)))*100))</f>
        <v/>
      </c>
      <c r="AA997" s="19">
        <f>IF(NOT(ISNUMBER($A997)),NA(),IF(OR($A997&lt;MIN(DKW_10Y!$A$2:$A$2918),$A997&gt;MAX(DKW_10Y!$A$2:$A$2918),Settings!$B$16&lt;MIN(DKW_10Y!$A$2:$A$2918)),NA(),(INDEX(DKW_10Y!$E$2:$E$2918,MATCH($A997,DKW_10Y!$A$2:$A$2918,1))-INDEX(DKW_10Y!$E$2:$E$2918,MATCH(Settings!$B$16,DKW_10Y!$A$2:$A$2918,1)))*100))</f>
        <v/>
      </c>
      <c r="AB997" s="19">
        <f>IF(NOT(ISNUMBER($A997)),NA(),IF(OR($A997&lt;MIN(DKW_10Y!$A$2:$A$2918),$A997&gt;MAX(DKW_10Y!$A$2:$A$2918),Settings!$B$16&lt;MIN(DKW_10Y!$A$2:$A$2918)),NA(),(INDEX(DKW_10Y!$H$2:$H$2918,MATCH($A997,DKW_10Y!$A$2:$A$2918,1))-INDEX(DKW_10Y!$H$2:$H$2918,MATCH(Settings!$B$16,DKW_10Y!$A$2:$A$2918,1)))*100))</f>
        <v/>
      </c>
      <c r="AC997" s="18">
        <f>IF(NOT(ISNUMBER($A997)),NA(),IFERROR(1*INDEX(BBG_Data!$N$2:$N$4000,MATCH($A997,BBG_Data!$M$2:$M$4000,0)),NA()))</f>
        <v/>
      </c>
      <c r="AD997" s="18">
        <f>IF(NOT(ISNUMBER($A997)),NA(),IFERROR(1*INDEX(BBG_Data!$P$2:$P$4000,MATCH($A997,BBG_Data!$O$2:$O$4000,0)),NA()))</f>
        <v/>
      </c>
      <c r="AE997" s="18">
        <f>IF(NOT(ISNUMBER($A997)),NA(),IFERROR(1*INDEX(BBG_Data!$R$2:$R$4000,MATCH($A997,BBG_Data!$Q$2:$Q$4000,0)),NA()))</f>
        <v/>
      </c>
      <c r="AF997" s="20">
        <f>IF(AND(ISNUMBER(B997),ISNUMBER(AC997)),(B997-AC997)*100,NA())</f>
        <v/>
      </c>
      <c r="AG997" s="20">
        <f>IF(AND(ISNUMBER(AE997),ISNUMBER(AD997)),(AE997-AD997)*100,NA())</f>
        <v/>
      </c>
      <c r="AH997" s="19">
        <f>IF(NOT(ISNUMBER($A997)),NA(),IFERROR(INDEX(BBG_Data!$T$2:$T$4000,MATCH($A997,BBG_Data!$S$2:$S$4000,0))*Settings!$B$25,NA()))</f>
        <v/>
      </c>
      <c r="AI997" s="19">
        <f>IF(NOT(ISNUMBER($A997)),NA(),IFERROR(INDEX(BBG_Data!$V$2:$V$4000,MATCH($A997,BBG_Data!$U$2:$U$4000,0))*Settings!$B$25,NA()))</f>
        <v/>
      </c>
      <c r="AJ997" s="19">
        <f>IF(NOT(ISNUMBER($A997)),NA(),IFERROR(1*INDEX(BBG_Data!$X$2:$X$4000,MATCH($A997,BBG_Data!$W$2:$W$4000,0)),NA()))</f>
        <v/>
      </c>
      <c r="AK997" s="19">
        <f>IF(NOT(ISNUMBER($A997)),NA(),IFERROR(1*INDEX(BBG_Data!$Z$2:$Z$4000,MATCH($A997,BBG_Data!$Y$2:$Y$4000,0)),NA()))</f>
        <v/>
      </c>
    </row>
    <row r="998">
      <c r="A998" s="17">
        <f>IF(ISNUMBER(BBG_Data!A998),BBG_Data!A998,"")</f>
        <v/>
      </c>
      <c r="B998" s="18">
        <f>IF(AND(ISNUMBER($A998),ISNUMBER(BBG_Data!B998)),BBG_Data!B998,NA())</f>
        <v/>
      </c>
      <c r="C998" s="18">
        <f>IF(NOT(ISNUMBER($A998)),NA(),IFERROR(1*INDEX(BBG_Data!$D$2:$D$4000,MATCH($A998,BBG_Data!$C$2:$C$4000,0)),NA()))</f>
        <v/>
      </c>
      <c r="D998" s="19">
        <f>IF(NOT(ISNUMBER($A998)),NA(),IFERROR(1*INDEX(BBG_Data!$F$2:$F$4000,MATCH($A998,BBG_Data!$E$2:$E$4000,0)),NA()))</f>
        <v/>
      </c>
      <c r="E998" s="19">
        <f>IF(NOT(ISNUMBER($A998)),NA(),IFERROR(1*INDEX(BBG_Data!$H$2:$H$4000,MATCH($A998,BBG_Data!$G$2:$G$4000,0)),NA()))</f>
        <v/>
      </c>
      <c r="F998" s="20">
        <f>IF(AND(ISNUMBER(B998),ISNUMBER(B997)),IF(B998=B997,"",(B998-B997)*100),"")</f>
        <v/>
      </c>
      <c r="G998" s="20">
        <f>IF(AND(ISNUMBER(C998),ISNUMBER(C997)),IF(C998=C997,"",(C998-C997)*100),"")</f>
        <v/>
      </c>
      <c r="H998" s="20">
        <f>IF(OR(NOT(ISNUMBER($A998)),ROW()-2&lt;Settings!$B$11),NA(),IF(COUNT(OFFSET(F998,1-Settings!$B$11,0,Settings!$B$11,1))&lt;ROUNDUP(Settings!$B$11*Settings!$B$26,0),NA(),STDEV(OFFSET(F998,1-Settings!$B$11,0,Settings!$B$11,1))*SQRT(Settings!$B$13)))</f>
        <v/>
      </c>
      <c r="I998" s="20">
        <f>IF(OR(NOT(ISNUMBER($A998)),ROW()-2&lt;Settings!$B$12),NA(),IF(COUNT(OFFSET(F998,1-Settings!$B$12,0,Settings!$B$12,1))&lt;ROUNDUP(Settings!$B$12*Settings!$B$26,0),NA(),STDEV(OFFSET(F998,1-Settings!$B$12,0,Settings!$B$12,1))*SQRT(Settings!$B$13)))</f>
        <v/>
      </c>
      <c r="J998" s="20">
        <f>IF(OR(NOT(ISNUMBER($A998)),ROW()-2&lt;Settings!$B$11),NA(),IF(COUNT(OFFSET(G998,1-Settings!$B$11,0,Settings!$B$11,1))&lt;ROUNDUP(Settings!$B$11*Settings!$B$26,0),NA(),STDEV(OFFSET(G998,1-Settings!$B$11,0,Settings!$B$11,1))*SQRT(Settings!$B$13)))</f>
        <v/>
      </c>
      <c r="K998" s="20">
        <f>IF(OR(NOT(ISNUMBER($A998)),ROW()-2&lt;Settings!$B$12),NA(),IF(COUNT(OFFSET(G998,1-Settings!$B$12,0,Settings!$B$12,1))&lt;ROUNDUP(Settings!$B$12*Settings!$B$26,0),NA(),STDEV(OFFSET(G998,1-Settings!$B$12,0,Settings!$B$12,1))*SQRT(Settings!$B$13)))</f>
        <v/>
      </c>
      <c r="L998" s="20">
        <f>IF(AND(ISNUMBER(D998),ISNUMBER(H998)),D998-H998,NA())</f>
        <v/>
      </c>
      <c r="M998" s="20">
        <f>IF(AND(ISNUMBER(E998),ISNUMBER(K998)),E998-K998,NA())</f>
        <v/>
      </c>
      <c r="N998" s="20">
        <f>IF(NOT(ISNUMBER($A998)),NA(),IF(COUNT(OFFSET(G998,1,0,Settings!$B$12,1))&lt;ROUNDUP(Settings!$B$12*Settings!$B$26,0),NA(),STDEV(OFFSET(G998,1,0,Settings!$B$12,1))*SQRT(Settings!$B$13)))</f>
        <v/>
      </c>
      <c r="O998" s="20">
        <f>IF(AND(ISNUMBER(E998),ISNUMBER(N998)),E998-N998,NA())</f>
        <v/>
      </c>
      <c r="P998" s="19">
        <f>IF(NOT(ISNUMBER($A998)),NA(),IF(OR($A998&lt;MIN(KW_TP!$A$2:$A$2501),$A998&gt;MAX(KW_TP!$A$2:$A$2501)),NA(),INDEX(KW_TP!$C$2:$C$2501,MATCH($A998,KW_TP!$A$2:$A$2501,1))))</f>
        <v/>
      </c>
      <c r="Q998" s="18">
        <f>IF(NOT(ISNUMBER($A998)),NA(),IFERROR(1*INDEX(BBG_Data!$J$2:$J$4000,MATCH($A998,BBG_Data!$I$2:$I$4000,0)),NA()))</f>
        <v/>
      </c>
      <c r="R998" s="18">
        <f>IF(NOT(ISNUMBER($A998)),NA(),IFERROR(1*INDEX(BBG_Data!$L$2:$L$4000,MATCH($A998,BBG_Data!$K$2:$K$4000,0)),NA()))</f>
        <v/>
      </c>
      <c r="S998" s="20">
        <f>IF(AND(ISNUMBER(B998),ISNUMBER(Q998),ISNUMBER(R998)),(B998-Q998-R998)*100,NA())</f>
        <v/>
      </c>
      <c r="T998" s="20">
        <f>IF(AND(ISNUMBER(B998),Settings!$B$17&gt;0),IF(ISNUMBER(INDEX($B:$B,Settings!$B$17)),(B998-INDEX($B:$B,Settings!$B$17))*100,NA()),NA())</f>
        <v/>
      </c>
      <c r="U998" s="20">
        <f>IF(AND(ISNUMBER(Q998),Settings!$B$17&gt;0),IF(ISNUMBER(INDEX($Q:$Q,Settings!$B$17)),(Q998-INDEX($Q:$Q,Settings!$B$17))*100,NA()),NA())</f>
        <v/>
      </c>
      <c r="V998" s="20">
        <f>IF(AND(ISNUMBER(R998),Settings!$B$17&gt;0),IF(ISNUMBER(INDEX($R:$R,Settings!$B$17)),(R998-INDEX($R:$R,Settings!$B$17))*100,NA()),NA())</f>
        <v/>
      </c>
      <c r="W998" s="20">
        <f>IF(AND(ISNUMBER(P998),Settings!$B$17&gt;0),IF(ISNUMBER(INDEX($P:$P,Settings!$B$17)),P998-INDEX($P:$P,Settings!$B$17),NA()),NA())</f>
        <v/>
      </c>
      <c r="X998" s="19">
        <f>IF(NOT(ISNUMBER($A998)),NA(),IF(OR($A998&lt;MIN(DKW_10Y!$A$2:$A$2918),$A998&gt;MAX(DKW_10Y!$A$2:$A$2918),Settings!$B$16&lt;MIN(DKW_10Y!$A$2:$A$2918)),NA(),(INDEX(DKW_10Y!$B$2:$B$2918,MATCH($A998,DKW_10Y!$A$2:$A$2918,1))-INDEX(DKW_10Y!$B$2:$B$2918,MATCH(Settings!$B$16,DKW_10Y!$A$2:$A$2918,1)))*100))</f>
        <v/>
      </c>
      <c r="Y998" s="19">
        <f>IF(NOT(ISNUMBER($A998)),NA(),IF(OR($A998&lt;MIN(DKW_10Y!$A$2:$A$2918),$A998&gt;MAX(DKW_10Y!$A$2:$A$2918),Settings!$B$16&lt;MIN(DKW_10Y!$A$2:$A$2918)),NA(),(INDEX(DKW_10Y!$C$2:$C$2918,MATCH($A998,DKW_10Y!$A$2:$A$2918,1))-INDEX(DKW_10Y!$C$2:$C$2918,MATCH(Settings!$B$16,DKW_10Y!$A$2:$A$2918,1)))*100))</f>
        <v/>
      </c>
      <c r="Z998" s="19">
        <f>IF(NOT(ISNUMBER($A998)),NA(),IF(OR($A998&lt;MIN(DKW_10Y!$A$2:$A$2918),$A998&gt;MAX(DKW_10Y!$A$2:$A$2918),Settings!$B$16&lt;MIN(DKW_10Y!$A$2:$A$2918)),NA(),(INDEX(DKW_10Y!$D$2:$D$2918,MATCH($A998,DKW_10Y!$A$2:$A$2918,1))-INDEX(DKW_10Y!$D$2:$D$2918,MATCH(Settings!$B$16,DKW_10Y!$A$2:$A$2918,1)))*100))</f>
        <v/>
      </c>
      <c r="AA998" s="19">
        <f>IF(NOT(ISNUMBER($A998)),NA(),IF(OR($A998&lt;MIN(DKW_10Y!$A$2:$A$2918),$A998&gt;MAX(DKW_10Y!$A$2:$A$2918),Settings!$B$16&lt;MIN(DKW_10Y!$A$2:$A$2918)),NA(),(INDEX(DKW_10Y!$E$2:$E$2918,MATCH($A998,DKW_10Y!$A$2:$A$2918,1))-INDEX(DKW_10Y!$E$2:$E$2918,MATCH(Settings!$B$16,DKW_10Y!$A$2:$A$2918,1)))*100))</f>
        <v/>
      </c>
      <c r="AB998" s="19">
        <f>IF(NOT(ISNUMBER($A998)),NA(),IF(OR($A998&lt;MIN(DKW_10Y!$A$2:$A$2918),$A998&gt;MAX(DKW_10Y!$A$2:$A$2918),Settings!$B$16&lt;MIN(DKW_10Y!$A$2:$A$2918)),NA(),(INDEX(DKW_10Y!$H$2:$H$2918,MATCH($A998,DKW_10Y!$A$2:$A$2918,1))-INDEX(DKW_10Y!$H$2:$H$2918,MATCH(Settings!$B$16,DKW_10Y!$A$2:$A$2918,1)))*100))</f>
        <v/>
      </c>
      <c r="AC998" s="18">
        <f>IF(NOT(ISNUMBER($A998)),NA(),IFERROR(1*INDEX(BBG_Data!$N$2:$N$4000,MATCH($A998,BBG_Data!$M$2:$M$4000,0)),NA()))</f>
        <v/>
      </c>
      <c r="AD998" s="18">
        <f>IF(NOT(ISNUMBER($A998)),NA(),IFERROR(1*INDEX(BBG_Data!$P$2:$P$4000,MATCH($A998,BBG_Data!$O$2:$O$4000,0)),NA()))</f>
        <v/>
      </c>
      <c r="AE998" s="18">
        <f>IF(NOT(ISNUMBER($A998)),NA(),IFERROR(1*INDEX(BBG_Data!$R$2:$R$4000,MATCH($A998,BBG_Data!$Q$2:$Q$4000,0)),NA()))</f>
        <v/>
      </c>
      <c r="AF998" s="20">
        <f>IF(AND(ISNUMBER(B998),ISNUMBER(AC998)),(B998-AC998)*100,NA())</f>
        <v/>
      </c>
      <c r="AG998" s="20">
        <f>IF(AND(ISNUMBER(AE998),ISNUMBER(AD998)),(AE998-AD998)*100,NA())</f>
        <v/>
      </c>
      <c r="AH998" s="19">
        <f>IF(NOT(ISNUMBER($A998)),NA(),IFERROR(INDEX(BBG_Data!$T$2:$T$4000,MATCH($A998,BBG_Data!$S$2:$S$4000,0))*Settings!$B$25,NA()))</f>
        <v/>
      </c>
      <c r="AI998" s="19">
        <f>IF(NOT(ISNUMBER($A998)),NA(),IFERROR(INDEX(BBG_Data!$V$2:$V$4000,MATCH($A998,BBG_Data!$U$2:$U$4000,0))*Settings!$B$25,NA()))</f>
        <v/>
      </c>
      <c r="AJ998" s="19">
        <f>IF(NOT(ISNUMBER($A998)),NA(),IFERROR(1*INDEX(BBG_Data!$X$2:$X$4000,MATCH($A998,BBG_Data!$W$2:$W$4000,0)),NA()))</f>
        <v/>
      </c>
      <c r="AK998" s="19">
        <f>IF(NOT(ISNUMBER($A998)),NA(),IFERROR(1*INDEX(BBG_Data!$Z$2:$Z$4000,MATCH($A998,BBG_Data!$Y$2:$Y$4000,0)),NA()))</f>
        <v/>
      </c>
    </row>
    <row r="999">
      <c r="A999" s="17">
        <f>IF(ISNUMBER(BBG_Data!A999),BBG_Data!A999,"")</f>
        <v/>
      </c>
      <c r="B999" s="18">
        <f>IF(AND(ISNUMBER($A999),ISNUMBER(BBG_Data!B999)),BBG_Data!B999,NA())</f>
        <v/>
      </c>
      <c r="C999" s="18">
        <f>IF(NOT(ISNUMBER($A999)),NA(),IFERROR(1*INDEX(BBG_Data!$D$2:$D$4000,MATCH($A999,BBG_Data!$C$2:$C$4000,0)),NA()))</f>
        <v/>
      </c>
      <c r="D999" s="19">
        <f>IF(NOT(ISNUMBER($A999)),NA(),IFERROR(1*INDEX(BBG_Data!$F$2:$F$4000,MATCH($A999,BBG_Data!$E$2:$E$4000,0)),NA()))</f>
        <v/>
      </c>
      <c r="E999" s="19">
        <f>IF(NOT(ISNUMBER($A999)),NA(),IFERROR(1*INDEX(BBG_Data!$H$2:$H$4000,MATCH($A999,BBG_Data!$G$2:$G$4000,0)),NA()))</f>
        <v/>
      </c>
      <c r="F999" s="20">
        <f>IF(AND(ISNUMBER(B999),ISNUMBER(B998)),IF(B999=B998,"",(B999-B998)*100),"")</f>
        <v/>
      </c>
      <c r="G999" s="20">
        <f>IF(AND(ISNUMBER(C999),ISNUMBER(C998)),IF(C999=C998,"",(C999-C998)*100),"")</f>
        <v/>
      </c>
      <c r="H999" s="20">
        <f>IF(OR(NOT(ISNUMBER($A999)),ROW()-2&lt;Settings!$B$11),NA(),IF(COUNT(OFFSET(F999,1-Settings!$B$11,0,Settings!$B$11,1))&lt;ROUNDUP(Settings!$B$11*Settings!$B$26,0),NA(),STDEV(OFFSET(F999,1-Settings!$B$11,0,Settings!$B$11,1))*SQRT(Settings!$B$13)))</f>
        <v/>
      </c>
      <c r="I999" s="20">
        <f>IF(OR(NOT(ISNUMBER($A999)),ROW()-2&lt;Settings!$B$12),NA(),IF(COUNT(OFFSET(F999,1-Settings!$B$12,0,Settings!$B$12,1))&lt;ROUNDUP(Settings!$B$12*Settings!$B$26,0),NA(),STDEV(OFFSET(F999,1-Settings!$B$12,0,Settings!$B$12,1))*SQRT(Settings!$B$13)))</f>
        <v/>
      </c>
      <c r="J999" s="20">
        <f>IF(OR(NOT(ISNUMBER($A999)),ROW()-2&lt;Settings!$B$11),NA(),IF(COUNT(OFFSET(G999,1-Settings!$B$11,0,Settings!$B$11,1))&lt;ROUNDUP(Settings!$B$11*Settings!$B$26,0),NA(),STDEV(OFFSET(G999,1-Settings!$B$11,0,Settings!$B$11,1))*SQRT(Settings!$B$13)))</f>
        <v/>
      </c>
      <c r="K999" s="20">
        <f>IF(OR(NOT(ISNUMBER($A999)),ROW()-2&lt;Settings!$B$12),NA(),IF(COUNT(OFFSET(G999,1-Settings!$B$12,0,Settings!$B$12,1))&lt;ROUNDUP(Settings!$B$12*Settings!$B$26,0),NA(),STDEV(OFFSET(G999,1-Settings!$B$12,0,Settings!$B$12,1))*SQRT(Settings!$B$13)))</f>
        <v/>
      </c>
      <c r="L999" s="20">
        <f>IF(AND(ISNUMBER(D999),ISNUMBER(H999)),D999-H999,NA())</f>
        <v/>
      </c>
      <c r="M999" s="20">
        <f>IF(AND(ISNUMBER(E999),ISNUMBER(K999)),E999-K999,NA())</f>
        <v/>
      </c>
      <c r="N999" s="20">
        <f>IF(NOT(ISNUMBER($A999)),NA(),IF(COUNT(OFFSET(G999,1,0,Settings!$B$12,1))&lt;ROUNDUP(Settings!$B$12*Settings!$B$26,0),NA(),STDEV(OFFSET(G999,1,0,Settings!$B$12,1))*SQRT(Settings!$B$13)))</f>
        <v/>
      </c>
      <c r="O999" s="20">
        <f>IF(AND(ISNUMBER(E999),ISNUMBER(N999)),E999-N999,NA())</f>
        <v/>
      </c>
      <c r="P999" s="19">
        <f>IF(NOT(ISNUMBER($A999)),NA(),IF(OR($A999&lt;MIN(KW_TP!$A$2:$A$2501),$A999&gt;MAX(KW_TP!$A$2:$A$2501)),NA(),INDEX(KW_TP!$C$2:$C$2501,MATCH($A999,KW_TP!$A$2:$A$2501,1))))</f>
        <v/>
      </c>
      <c r="Q999" s="18">
        <f>IF(NOT(ISNUMBER($A999)),NA(),IFERROR(1*INDEX(BBG_Data!$J$2:$J$4000,MATCH($A999,BBG_Data!$I$2:$I$4000,0)),NA()))</f>
        <v/>
      </c>
      <c r="R999" s="18">
        <f>IF(NOT(ISNUMBER($A999)),NA(),IFERROR(1*INDEX(BBG_Data!$L$2:$L$4000,MATCH($A999,BBG_Data!$K$2:$K$4000,0)),NA()))</f>
        <v/>
      </c>
      <c r="S999" s="20">
        <f>IF(AND(ISNUMBER(B999),ISNUMBER(Q999),ISNUMBER(R999)),(B999-Q999-R999)*100,NA())</f>
        <v/>
      </c>
      <c r="T999" s="20">
        <f>IF(AND(ISNUMBER(B999),Settings!$B$17&gt;0),IF(ISNUMBER(INDEX($B:$B,Settings!$B$17)),(B999-INDEX($B:$B,Settings!$B$17))*100,NA()),NA())</f>
        <v/>
      </c>
      <c r="U999" s="20">
        <f>IF(AND(ISNUMBER(Q999),Settings!$B$17&gt;0),IF(ISNUMBER(INDEX($Q:$Q,Settings!$B$17)),(Q999-INDEX($Q:$Q,Settings!$B$17))*100,NA()),NA())</f>
        <v/>
      </c>
      <c r="V999" s="20">
        <f>IF(AND(ISNUMBER(R999),Settings!$B$17&gt;0),IF(ISNUMBER(INDEX($R:$R,Settings!$B$17)),(R999-INDEX($R:$R,Settings!$B$17))*100,NA()),NA())</f>
        <v/>
      </c>
      <c r="W999" s="20">
        <f>IF(AND(ISNUMBER(P999),Settings!$B$17&gt;0),IF(ISNUMBER(INDEX($P:$P,Settings!$B$17)),P999-INDEX($P:$P,Settings!$B$17),NA()),NA())</f>
        <v/>
      </c>
      <c r="X999" s="19">
        <f>IF(NOT(ISNUMBER($A999)),NA(),IF(OR($A999&lt;MIN(DKW_10Y!$A$2:$A$2918),$A999&gt;MAX(DKW_10Y!$A$2:$A$2918),Settings!$B$16&lt;MIN(DKW_10Y!$A$2:$A$2918)),NA(),(INDEX(DKW_10Y!$B$2:$B$2918,MATCH($A999,DKW_10Y!$A$2:$A$2918,1))-INDEX(DKW_10Y!$B$2:$B$2918,MATCH(Settings!$B$16,DKW_10Y!$A$2:$A$2918,1)))*100))</f>
        <v/>
      </c>
      <c r="Y999" s="19">
        <f>IF(NOT(ISNUMBER($A999)),NA(),IF(OR($A999&lt;MIN(DKW_10Y!$A$2:$A$2918),$A999&gt;MAX(DKW_10Y!$A$2:$A$2918),Settings!$B$16&lt;MIN(DKW_10Y!$A$2:$A$2918)),NA(),(INDEX(DKW_10Y!$C$2:$C$2918,MATCH($A999,DKW_10Y!$A$2:$A$2918,1))-INDEX(DKW_10Y!$C$2:$C$2918,MATCH(Settings!$B$16,DKW_10Y!$A$2:$A$2918,1)))*100))</f>
        <v/>
      </c>
      <c r="Z999" s="19">
        <f>IF(NOT(ISNUMBER($A999)),NA(),IF(OR($A999&lt;MIN(DKW_10Y!$A$2:$A$2918),$A999&gt;MAX(DKW_10Y!$A$2:$A$2918),Settings!$B$16&lt;MIN(DKW_10Y!$A$2:$A$2918)),NA(),(INDEX(DKW_10Y!$D$2:$D$2918,MATCH($A999,DKW_10Y!$A$2:$A$2918,1))-INDEX(DKW_10Y!$D$2:$D$2918,MATCH(Settings!$B$16,DKW_10Y!$A$2:$A$2918,1)))*100))</f>
        <v/>
      </c>
      <c r="AA999" s="19">
        <f>IF(NOT(ISNUMBER($A999)),NA(),IF(OR($A999&lt;MIN(DKW_10Y!$A$2:$A$2918),$A999&gt;MAX(DKW_10Y!$A$2:$A$2918),Settings!$B$16&lt;MIN(DKW_10Y!$A$2:$A$2918)),NA(),(INDEX(DKW_10Y!$E$2:$E$2918,MATCH($A999,DKW_10Y!$A$2:$A$2918,1))-INDEX(DKW_10Y!$E$2:$E$2918,MATCH(Settings!$B$16,DKW_10Y!$A$2:$A$2918,1)))*100))</f>
        <v/>
      </c>
      <c r="AB999" s="19">
        <f>IF(NOT(ISNUMBER($A999)),NA(),IF(OR($A999&lt;MIN(DKW_10Y!$A$2:$A$2918),$A999&gt;MAX(DKW_10Y!$A$2:$A$2918),Settings!$B$16&lt;MIN(DKW_10Y!$A$2:$A$2918)),NA(),(INDEX(DKW_10Y!$H$2:$H$2918,MATCH($A999,DKW_10Y!$A$2:$A$2918,1))-INDEX(DKW_10Y!$H$2:$H$2918,MATCH(Settings!$B$16,DKW_10Y!$A$2:$A$2918,1)))*100))</f>
        <v/>
      </c>
      <c r="AC999" s="18">
        <f>IF(NOT(ISNUMBER($A999)),NA(),IFERROR(1*INDEX(BBG_Data!$N$2:$N$4000,MATCH($A999,BBG_Data!$M$2:$M$4000,0)),NA()))</f>
        <v/>
      </c>
      <c r="AD999" s="18">
        <f>IF(NOT(ISNUMBER($A999)),NA(),IFERROR(1*INDEX(BBG_Data!$P$2:$P$4000,MATCH($A999,BBG_Data!$O$2:$O$4000,0)),NA()))</f>
        <v/>
      </c>
      <c r="AE999" s="18">
        <f>IF(NOT(ISNUMBER($A999)),NA(),IFERROR(1*INDEX(BBG_Data!$R$2:$R$4000,MATCH($A999,BBG_Data!$Q$2:$Q$4000,0)),NA()))</f>
        <v/>
      </c>
      <c r="AF999" s="20">
        <f>IF(AND(ISNUMBER(B999),ISNUMBER(AC999)),(B999-AC999)*100,NA())</f>
        <v/>
      </c>
      <c r="AG999" s="20">
        <f>IF(AND(ISNUMBER(AE999),ISNUMBER(AD999)),(AE999-AD999)*100,NA())</f>
        <v/>
      </c>
      <c r="AH999" s="19">
        <f>IF(NOT(ISNUMBER($A999)),NA(),IFERROR(INDEX(BBG_Data!$T$2:$T$4000,MATCH($A999,BBG_Data!$S$2:$S$4000,0))*Settings!$B$25,NA()))</f>
        <v/>
      </c>
      <c r="AI999" s="19">
        <f>IF(NOT(ISNUMBER($A999)),NA(),IFERROR(INDEX(BBG_Data!$V$2:$V$4000,MATCH($A999,BBG_Data!$U$2:$U$4000,0))*Settings!$B$25,NA()))</f>
        <v/>
      </c>
      <c r="AJ999" s="19">
        <f>IF(NOT(ISNUMBER($A999)),NA(),IFERROR(1*INDEX(BBG_Data!$X$2:$X$4000,MATCH($A999,BBG_Data!$W$2:$W$4000,0)),NA()))</f>
        <v/>
      </c>
      <c r="AK999" s="19">
        <f>IF(NOT(ISNUMBER($A999)),NA(),IFERROR(1*INDEX(BBG_Data!$Z$2:$Z$4000,MATCH($A999,BBG_Data!$Y$2:$Y$4000,0)),NA()))</f>
        <v/>
      </c>
    </row>
    <row r="1000">
      <c r="A1000" s="17">
        <f>IF(ISNUMBER(BBG_Data!A1000),BBG_Data!A1000,"")</f>
        <v/>
      </c>
      <c r="B1000" s="18">
        <f>IF(AND(ISNUMBER($A1000),ISNUMBER(BBG_Data!B1000)),BBG_Data!B1000,NA())</f>
        <v/>
      </c>
      <c r="C1000" s="18">
        <f>IF(NOT(ISNUMBER($A1000)),NA(),IFERROR(1*INDEX(BBG_Data!$D$2:$D$4000,MATCH($A1000,BBG_Data!$C$2:$C$4000,0)),NA()))</f>
        <v/>
      </c>
      <c r="D1000" s="19">
        <f>IF(NOT(ISNUMBER($A1000)),NA(),IFERROR(1*INDEX(BBG_Data!$F$2:$F$4000,MATCH($A1000,BBG_Data!$E$2:$E$4000,0)),NA()))</f>
        <v/>
      </c>
      <c r="E1000" s="19">
        <f>IF(NOT(ISNUMBER($A1000)),NA(),IFERROR(1*INDEX(BBG_Data!$H$2:$H$4000,MATCH($A1000,BBG_Data!$G$2:$G$4000,0)),NA()))</f>
        <v/>
      </c>
      <c r="F1000" s="20">
        <f>IF(AND(ISNUMBER(B1000),ISNUMBER(B999)),IF(B1000=B999,"",(B1000-B999)*100),"")</f>
        <v/>
      </c>
      <c r="G1000" s="20">
        <f>IF(AND(ISNUMBER(C1000),ISNUMBER(C999)),IF(C1000=C999,"",(C1000-C999)*100),"")</f>
        <v/>
      </c>
      <c r="H1000" s="20">
        <f>IF(OR(NOT(ISNUMBER($A1000)),ROW()-2&lt;Settings!$B$11),NA(),IF(COUNT(OFFSET(F1000,1-Settings!$B$11,0,Settings!$B$11,1))&lt;ROUNDUP(Settings!$B$11*Settings!$B$26,0),NA(),STDEV(OFFSET(F1000,1-Settings!$B$11,0,Settings!$B$11,1))*SQRT(Settings!$B$13)))</f>
        <v/>
      </c>
      <c r="I1000" s="20">
        <f>IF(OR(NOT(ISNUMBER($A1000)),ROW()-2&lt;Settings!$B$12),NA(),IF(COUNT(OFFSET(F1000,1-Settings!$B$12,0,Settings!$B$12,1))&lt;ROUNDUP(Settings!$B$12*Settings!$B$26,0),NA(),STDEV(OFFSET(F1000,1-Settings!$B$12,0,Settings!$B$12,1))*SQRT(Settings!$B$13)))</f>
        <v/>
      </c>
      <c r="J1000" s="20">
        <f>IF(OR(NOT(ISNUMBER($A1000)),ROW()-2&lt;Settings!$B$11),NA(),IF(COUNT(OFFSET(G1000,1-Settings!$B$11,0,Settings!$B$11,1))&lt;ROUNDUP(Settings!$B$11*Settings!$B$26,0),NA(),STDEV(OFFSET(G1000,1-Settings!$B$11,0,Settings!$B$11,1))*SQRT(Settings!$B$13)))</f>
        <v/>
      </c>
      <c r="K1000" s="20">
        <f>IF(OR(NOT(ISNUMBER($A1000)),ROW()-2&lt;Settings!$B$12),NA(),IF(COUNT(OFFSET(G1000,1-Settings!$B$12,0,Settings!$B$12,1))&lt;ROUNDUP(Settings!$B$12*Settings!$B$26,0),NA(),STDEV(OFFSET(G1000,1-Settings!$B$12,0,Settings!$B$12,1))*SQRT(Settings!$B$13)))</f>
        <v/>
      </c>
      <c r="L1000" s="20">
        <f>IF(AND(ISNUMBER(D1000),ISNUMBER(H1000)),D1000-H1000,NA())</f>
        <v/>
      </c>
      <c r="M1000" s="20">
        <f>IF(AND(ISNUMBER(E1000),ISNUMBER(K1000)),E1000-K1000,NA())</f>
        <v/>
      </c>
      <c r="N1000" s="20">
        <f>IF(NOT(ISNUMBER($A1000)),NA(),IF(COUNT(OFFSET(G1000,1,0,Settings!$B$12,1))&lt;ROUNDUP(Settings!$B$12*Settings!$B$26,0),NA(),STDEV(OFFSET(G1000,1,0,Settings!$B$12,1))*SQRT(Settings!$B$13)))</f>
        <v/>
      </c>
      <c r="O1000" s="20">
        <f>IF(AND(ISNUMBER(E1000),ISNUMBER(N1000)),E1000-N1000,NA())</f>
        <v/>
      </c>
      <c r="P1000" s="19">
        <f>IF(NOT(ISNUMBER($A1000)),NA(),IF(OR($A1000&lt;MIN(KW_TP!$A$2:$A$2501),$A1000&gt;MAX(KW_TP!$A$2:$A$2501)),NA(),INDEX(KW_TP!$C$2:$C$2501,MATCH($A1000,KW_TP!$A$2:$A$2501,1))))</f>
        <v/>
      </c>
      <c r="Q1000" s="18">
        <f>IF(NOT(ISNUMBER($A1000)),NA(),IFERROR(1*INDEX(BBG_Data!$J$2:$J$4000,MATCH($A1000,BBG_Data!$I$2:$I$4000,0)),NA()))</f>
        <v/>
      </c>
      <c r="R1000" s="18">
        <f>IF(NOT(ISNUMBER($A1000)),NA(),IFERROR(1*INDEX(BBG_Data!$L$2:$L$4000,MATCH($A1000,BBG_Data!$K$2:$K$4000,0)),NA()))</f>
        <v/>
      </c>
      <c r="S1000" s="20">
        <f>IF(AND(ISNUMBER(B1000),ISNUMBER(Q1000),ISNUMBER(R1000)),(B1000-Q1000-R1000)*100,NA())</f>
        <v/>
      </c>
      <c r="T1000" s="20">
        <f>IF(AND(ISNUMBER(B1000),Settings!$B$17&gt;0),IF(ISNUMBER(INDEX($B:$B,Settings!$B$17)),(B1000-INDEX($B:$B,Settings!$B$17))*100,NA()),NA())</f>
        <v/>
      </c>
      <c r="U1000" s="20">
        <f>IF(AND(ISNUMBER(Q1000),Settings!$B$17&gt;0),IF(ISNUMBER(INDEX($Q:$Q,Settings!$B$17)),(Q1000-INDEX($Q:$Q,Settings!$B$17))*100,NA()),NA())</f>
        <v/>
      </c>
      <c r="V1000" s="20">
        <f>IF(AND(ISNUMBER(R1000),Settings!$B$17&gt;0),IF(ISNUMBER(INDEX($R:$R,Settings!$B$17)),(R1000-INDEX($R:$R,Settings!$B$17))*100,NA()),NA())</f>
        <v/>
      </c>
      <c r="W1000" s="20">
        <f>IF(AND(ISNUMBER(P1000),Settings!$B$17&gt;0),IF(ISNUMBER(INDEX($P:$P,Settings!$B$17)),P1000-INDEX($P:$P,Settings!$B$17),NA()),NA())</f>
        <v/>
      </c>
      <c r="X1000" s="19">
        <f>IF(NOT(ISNUMBER($A1000)),NA(),IF(OR($A1000&lt;MIN(DKW_10Y!$A$2:$A$2918),$A1000&gt;MAX(DKW_10Y!$A$2:$A$2918),Settings!$B$16&lt;MIN(DKW_10Y!$A$2:$A$2918)),NA(),(INDEX(DKW_10Y!$B$2:$B$2918,MATCH($A1000,DKW_10Y!$A$2:$A$2918,1))-INDEX(DKW_10Y!$B$2:$B$2918,MATCH(Settings!$B$16,DKW_10Y!$A$2:$A$2918,1)))*100))</f>
        <v/>
      </c>
      <c r="Y1000" s="19">
        <f>IF(NOT(ISNUMBER($A1000)),NA(),IF(OR($A1000&lt;MIN(DKW_10Y!$A$2:$A$2918),$A1000&gt;MAX(DKW_10Y!$A$2:$A$2918),Settings!$B$16&lt;MIN(DKW_10Y!$A$2:$A$2918)),NA(),(INDEX(DKW_10Y!$C$2:$C$2918,MATCH($A1000,DKW_10Y!$A$2:$A$2918,1))-INDEX(DKW_10Y!$C$2:$C$2918,MATCH(Settings!$B$16,DKW_10Y!$A$2:$A$2918,1)))*100))</f>
        <v/>
      </c>
      <c r="Z1000" s="19">
        <f>IF(NOT(ISNUMBER($A1000)),NA(),IF(OR($A1000&lt;MIN(DKW_10Y!$A$2:$A$2918),$A1000&gt;MAX(DKW_10Y!$A$2:$A$2918),Settings!$B$16&lt;MIN(DKW_10Y!$A$2:$A$2918)),NA(),(INDEX(DKW_10Y!$D$2:$D$2918,MATCH($A1000,DKW_10Y!$A$2:$A$2918,1))-INDEX(DKW_10Y!$D$2:$D$2918,MATCH(Settings!$B$16,DKW_10Y!$A$2:$A$2918,1)))*100))</f>
        <v/>
      </c>
      <c r="AA1000" s="19">
        <f>IF(NOT(ISNUMBER($A1000)),NA(),IF(OR($A1000&lt;MIN(DKW_10Y!$A$2:$A$2918),$A1000&gt;MAX(DKW_10Y!$A$2:$A$2918),Settings!$B$16&lt;MIN(DKW_10Y!$A$2:$A$2918)),NA(),(INDEX(DKW_10Y!$E$2:$E$2918,MATCH($A1000,DKW_10Y!$A$2:$A$2918,1))-INDEX(DKW_10Y!$E$2:$E$2918,MATCH(Settings!$B$16,DKW_10Y!$A$2:$A$2918,1)))*100))</f>
        <v/>
      </c>
      <c r="AB1000" s="19">
        <f>IF(NOT(ISNUMBER($A1000)),NA(),IF(OR($A1000&lt;MIN(DKW_10Y!$A$2:$A$2918),$A1000&gt;MAX(DKW_10Y!$A$2:$A$2918),Settings!$B$16&lt;MIN(DKW_10Y!$A$2:$A$2918)),NA(),(INDEX(DKW_10Y!$H$2:$H$2918,MATCH($A1000,DKW_10Y!$A$2:$A$2918,1))-INDEX(DKW_10Y!$H$2:$H$2918,MATCH(Settings!$B$16,DKW_10Y!$A$2:$A$2918,1)))*100))</f>
        <v/>
      </c>
      <c r="AC1000" s="18">
        <f>IF(NOT(ISNUMBER($A1000)),NA(),IFERROR(1*INDEX(BBG_Data!$N$2:$N$4000,MATCH($A1000,BBG_Data!$M$2:$M$4000,0)),NA()))</f>
        <v/>
      </c>
      <c r="AD1000" s="18">
        <f>IF(NOT(ISNUMBER($A1000)),NA(),IFERROR(1*INDEX(BBG_Data!$P$2:$P$4000,MATCH($A1000,BBG_Data!$O$2:$O$4000,0)),NA()))</f>
        <v/>
      </c>
      <c r="AE1000" s="18">
        <f>IF(NOT(ISNUMBER($A1000)),NA(),IFERROR(1*INDEX(BBG_Data!$R$2:$R$4000,MATCH($A1000,BBG_Data!$Q$2:$Q$4000,0)),NA()))</f>
        <v/>
      </c>
      <c r="AF1000" s="20">
        <f>IF(AND(ISNUMBER(B1000),ISNUMBER(AC1000)),(B1000-AC1000)*100,NA())</f>
        <v/>
      </c>
      <c r="AG1000" s="20">
        <f>IF(AND(ISNUMBER(AE1000),ISNUMBER(AD1000)),(AE1000-AD1000)*100,NA())</f>
        <v/>
      </c>
      <c r="AH1000" s="19">
        <f>IF(NOT(ISNUMBER($A1000)),NA(),IFERROR(INDEX(BBG_Data!$T$2:$T$4000,MATCH($A1000,BBG_Data!$S$2:$S$4000,0))*Settings!$B$25,NA()))</f>
        <v/>
      </c>
      <c r="AI1000" s="19">
        <f>IF(NOT(ISNUMBER($A1000)),NA(),IFERROR(INDEX(BBG_Data!$V$2:$V$4000,MATCH($A1000,BBG_Data!$U$2:$U$4000,0))*Settings!$B$25,NA()))</f>
        <v/>
      </c>
      <c r="AJ1000" s="19">
        <f>IF(NOT(ISNUMBER($A1000)),NA(),IFERROR(1*INDEX(BBG_Data!$X$2:$X$4000,MATCH($A1000,BBG_Data!$W$2:$W$4000,0)),NA()))</f>
        <v/>
      </c>
      <c r="AK1000" s="19">
        <f>IF(NOT(ISNUMBER($A1000)),NA(),IFERROR(1*INDEX(BBG_Data!$Z$2:$Z$4000,MATCH($A1000,BBG_Data!$Y$2:$Y$4000,0)),NA()))</f>
        <v/>
      </c>
    </row>
    <row r="1001">
      <c r="A1001" s="17">
        <f>IF(ISNUMBER(BBG_Data!A1001),BBG_Data!A1001,"")</f>
        <v/>
      </c>
      <c r="B1001" s="18">
        <f>IF(AND(ISNUMBER($A1001),ISNUMBER(BBG_Data!B1001)),BBG_Data!B1001,NA())</f>
        <v/>
      </c>
      <c r="C1001" s="18">
        <f>IF(NOT(ISNUMBER($A1001)),NA(),IFERROR(1*INDEX(BBG_Data!$D$2:$D$4000,MATCH($A1001,BBG_Data!$C$2:$C$4000,0)),NA()))</f>
        <v/>
      </c>
      <c r="D1001" s="19">
        <f>IF(NOT(ISNUMBER($A1001)),NA(),IFERROR(1*INDEX(BBG_Data!$F$2:$F$4000,MATCH($A1001,BBG_Data!$E$2:$E$4000,0)),NA()))</f>
        <v/>
      </c>
      <c r="E1001" s="19">
        <f>IF(NOT(ISNUMBER($A1001)),NA(),IFERROR(1*INDEX(BBG_Data!$H$2:$H$4000,MATCH($A1001,BBG_Data!$G$2:$G$4000,0)),NA()))</f>
        <v/>
      </c>
      <c r="F1001" s="20">
        <f>IF(AND(ISNUMBER(B1001),ISNUMBER(B1000)),IF(B1001=B1000,"",(B1001-B1000)*100),"")</f>
        <v/>
      </c>
      <c r="G1001" s="20">
        <f>IF(AND(ISNUMBER(C1001),ISNUMBER(C1000)),IF(C1001=C1000,"",(C1001-C1000)*100),"")</f>
        <v/>
      </c>
      <c r="H1001" s="20">
        <f>IF(OR(NOT(ISNUMBER($A1001)),ROW()-2&lt;Settings!$B$11),NA(),IF(COUNT(OFFSET(F1001,1-Settings!$B$11,0,Settings!$B$11,1))&lt;ROUNDUP(Settings!$B$11*Settings!$B$26,0),NA(),STDEV(OFFSET(F1001,1-Settings!$B$11,0,Settings!$B$11,1))*SQRT(Settings!$B$13)))</f>
        <v/>
      </c>
      <c r="I1001" s="20">
        <f>IF(OR(NOT(ISNUMBER($A1001)),ROW()-2&lt;Settings!$B$12),NA(),IF(COUNT(OFFSET(F1001,1-Settings!$B$12,0,Settings!$B$12,1))&lt;ROUNDUP(Settings!$B$12*Settings!$B$26,0),NA(),STDEV(OFFSET(F1001,1-Settings!$B$12,0,Settings!$B$12,1))*SQRT(Settings!$B$13)))</f>
        <v/>
      </c>
      <c r="J1001" s="20">
        <f>IF(OR(NOT(ISNUMBER($A1001)),ROW()-2&lt;Settings!$B$11),NA(),IF(COUNT(OFFSET(G1001,1-Settings!$B$11,0,Settings!$B$11,1))&lt;ROUNDUP(Settings!$B$11*Settings!$B$26,0),NA(),STDEV(OFFSET(G1001,1-Settings!$B$11,0,Settings!$B$11,1))*SQRT(Settings!$B$13)))</f>
        <v/>
      </c>
      <c r="K1001" s="20">
        <f>IF(OR(NOT(ISNUMBER($A1001)),ROW()-2&lt;Settings!$B$12),NA(),IF(COUNT(OFFSET(G1001,1-Settings!$B$12,0,Settings!$B$12,1))&lt;ROUNDUP(Settings!$B$12*Settings!$B$26,0),NA(),STDEV(OFFSET(G1001,1-Settings!$B$12,0,Settings!$B$12,1))*SQRT(Settings!$B$13)))</f>
        <v/>
      </c>
      <c r="L1001" s="20">
        <f>IF(AND(ISNUMBER(D1001),ISNUMBER(H1001)),D1001-H1001,NA())</f>
        <v/>
      </c>
      <c r="M1001" s="20">
        <f>IF(AND(ISNUMBER(E1001),ISNUMBER(K1001)),E1001-K1001,NA())</f>
        <v/>
      </c>
      <c r="N1001" s="20">
        <f>IF(NOT(ISNUMBER($A1001)),NA(),IF(COUNT(OFFSET(G1001,1,0,Settings!$B$12,1))&lt;ROUNDUP(Settings!$B$12*Settings!$B$26,0),NA(),STDEV(OFFSET(G1001,1,0,Settings!$B$12,1))*SQRT(Settings!$B$13)))</f>
        <v/>
      </c>
      <c r="O1001" s="20">
        <f>IF(AND(ISNUMBER(E1001),ISNUMBER(N1001)),E1001-N1001,NA())</f>
        <v/>
      </c>
      <c r="P1001" s="19">
        <f>IF(NOT(ISNUMBER($A1001)),NA(),IF(OR($A1001&lt;MIN(KW_TP!$A$2:$A$2501),$A1001&gt;MAX(KW_TP!$A$2:$A$2501)),NA(),INDEX(KW_TP!$C$2:$C$2501,MATCH($A1001,KW_TP!$A$2:$A$2501,1))))</f>
        <v/>
      </c>
      <c r="Q1001" s="18">
        <f>IF(NOT(ISNUMBER($A1001)),NA(),IFERROR(1*INDEX(BBG_Data!$J$2:$J$4000,MATCH($A1001,BBG_Data!$I$2:$I$4000,0)),NA()))</f>
        <v/>
      </c>
      <c r="R1001" s="18">
        <f>IF(NOT(ISNUMBER($A1001)),NA(),IFERROR(1*INDEX(BBG_Data!$L$2:$L$4000,MATCH($A1001,BBG_Data!$K$2:$K$4000,0)),NA()))</f>
        <v/>
      </c>
      <c r="S1001" s="20">
        <f>IF(AND(ISNUMBER(B1001),ISNUMBER(Q1001),ISNUMBER(R1001)),(B1001-Q1001-R1001)*100,NA())</f>
        <v/>
      </c>
      <c r="T1001" s="20">
        <f>IF(AND(ISNUMBER(B1001),Settings!$B$17&gt;0),IF(ISNUMBER(INDEX($B:$B,Settings!$B$17)),(B1001-INDEX($B:$B,Settings!$B$17))*100,NA()),NA())</f>
        <v/>
      </c>
      <c r="U1001" s="20">
        <f>IF(AND(ISNUMBER(Q1001),Settings!$B$17&gt;0),IF(ISNUMBER(INDEX($Q:$Q,Settings!$B$17)),(Q1001-INDEX($Q:$Q,Settings!$B$17))*100,NA()),NA())</f>
        <v/>
      </c>
      <c r="V1001" s="20">
        <f>IF(AND(ISNUMBER(R1001),Settings!$B$17&gt;0),IF(ISNUMBER(INDEX($R:$R,Settings!$B$17)),(R1001-INDEX($R:$R,Settings!$B$17))*100,NA()),NA())</f>
        <v/>
      </c>
      <c r="W1001" s="20">
        <f>IF(AND(ISNUMBER(P1001),Settings!$B$17&gt;0),IF(ISNUMBER(INDEX($P:$P,Settings!$B$17)),P1001-INDEX($P:$P,Settings!$B$17),NA()),NA())</f>
        <v/>
      </c>
      <c r="X1001" s="19">
        <f>IF(NOT(ISNUMBER($A1001)),NA(),IF(OR($A1001&lt;MIN(DKW_10Y!$A$2:$A$2918),$A1001&gt;MAX(DKW_10Y!$A$2:$A$2918),Settings!$B$16&lt;MIN(DKW_10Y!$A$2:$A$2918)),NA(),(INDEX(DKW_10Y!$B$2:$B$2918,MATCH($A1001,DKW_10Y!$A$2:$A$2918,1))-INDEX(DKW_10Y!$B$2:$B$2918,MATCH(Settings!$B$16,DKW_10Y!$A$2:$A$2918,1)))*100))</f>
        <v/>
      </c>
      <c r="Y1001" s="19">
        <f>IF(NOT(ISNUMBER($A1001)),NA(),IF(OR($A1001&lt;MIN(DKW_10Y!$A$2:$A$2918),$A1001&gt;MAX(DKW_10Y!$A$2:$A$2918),Settings!$B$16&lt;MIN(DKW_10Y!$A$2:$A$2918)),NA(),(INDEX(DKW_10Y!$C$2:$C$2918,MATCH($A1001,DKW_10Y!$A$2:$A$2918,1))-INDEX(DKW_10Y!$C$2:$C$2918,MATCH(Settings!$B$16,DKW_10Y!$A$2:$A$2918,1)))*100))</f>
        <v/>
      </c>
      <c r="Z1001" s="19">
        <f>IF(NOT(ISNUMBER($A1001)),NA(),IF(OR($A1001&lt;MIN(DKW_10Y!$A$2:$A$2918),$A1001&gt;MAX(DKW_10Y!$A$2:$A$2918),Settings!$B$16&lt;MIN(DKW_10Y!$A$2:$A$2918)),NA(),(INDEX(DKW_10Y!$D$2:$D$2918,MATCH($A1001,DKW_10Y!$A$2:$A$2918,1))-INDEX(DKW_10Y!$D$2:$D$2918,MATCH(Settings!$B$16,DKW_10Y!$A$2:$A$2918,1)))*100))</f>
        <v/>
      </c>
      <c r="AA1001" s="19">
        <f>IF(NOT(ISNUMBER($A1001)),NA(),IF(OR($A1001&lt;MIN(DKW_10Y!$A$2:$A$2918),$A1001&gt;MAX(DKW_10Y!$A$2:$A$2918),Settings!$B$16&lt;MIN(DKW_10Y!$A$2:$A$2918)),NA(),(INDEX(DKW_10Y!$E$2:$E$2918,MATCH($A1001,DKW_10Y!$A$2:$A$2918,1))-INDEX(DKW_10Y!$E$2:$E$2918,MATCH(Settings!$B$16,DKW_10Y!$A$2:$A$2918,1)))*100))</f>
        <v/>
      </c>
      <c r="AB1001" s="19">
        <f>IF(NOT(ISNUMBER($A1001)),NA(),IF(OR($A1001&lt;MIN(DKW_10Y!$A$2:$A$2918),$A1001&gt;MAX(DKW_10Y!$A$2:$A$2918),Settings!$B$16&lt;MIN(DKW_10Y!$A$2:$A$2918)),NA(),(INDEX(DKW_10Y!$H$2:$H$2918,MATCH($A1001,DKW_10Y!$A$2:$A$2918,1))-INDEX(DKW_10Y!$H$2:$H$2918,MATCH(Settings!$B$16,DKW_10Y!$A$2:$A$2918,1)))*100))</f>
        <v/>
      </c>
      <c r="AC1001" s="18">
        <f>IF(NOT(ISNUMBER($A1001)),NA(),IFERROR(1*INDEX(BBG_Data!$N$2:$N$4000,MATCH($A1001,BBG_Data!$M$2:$M$4000,0)),NA()))</f>
        <v/>
      </c>
      <c r="AD1001" s="18">
        <f>IF(NOT(ISNUMBER($A1001)),NA(),IFERROR(1*INDEX(BBG_Data!$P$2:$P$4000,MATCH($A1001,BBG_Data!$O$2:$O$4000,0)),NA()))</f>
        <v/>
      </c>
      <c r="AE1001" s="18">
        <f>IF(NOT(ISNUMBER($A1001)),NA(),IFERROR(1*INDEX(BBG_Data!$R$2:$R$4000,MATCH($A1001,BBG_Data!$Q$2:$Q$4000,0)),NA()))</f>
        <v/>
      </c>
      <c r="AF1001" s="20">
        <f>IF(AND(ISNUMBER(B1001),ISNUMBER(AC1001)),(B1001-AC1001)*100,NA())</f>
        <v/>
      </c>
      <c r="AG1001" s="20">
        <f>IF(AND(ISNUMBER(AE1001),ISNUMBER(AD1001)),(AE1001-AD1001)*100,NA())</f>
        <v/>
      </c>
      <c r="AH1001" s="19">
        <f>IF(NOT(ISNUMBER($A1001)),NA(),IFERROR(INDEX(BBG_Data!$T$2:$T$4000,MATCH($A1001,BBG_Data!$S$2:$S$4000,0))*Settings!$B$25,NA()))</f>
        <v/>
      </c>
      <c r="AI1001" s="19">
        <f>IF(NOT(ISNUMBER($A1001)),NA(),IFERROR(INDEX(BBG_Data!$V$2:$V$4000,MATCH($A1001,BBG_Data!$U$2:$U$4000,0))*Settings!$B$25,NA()))</f>
        <v/>
      </c>
      <c r="AJ1001" s="19">
        <f>IF(NOT(ISNUMBER($A1001)),NA(),IFERROR(1*INDEX(BBG_Data!$X$2:$X$4000,MATCH($A1001,BBG_Data!$W$2:$W$4000,0)),NA()))</f>
        <v/>
      </c>
      <c r="AK1001" s="19">
        <f>IF(NOT(ISNUMBER($A1001)),NA(),IFERROR(1*INDEX(BBG_Data!$Z$2:$Z$4000,MATCH($A1001,BBG_Data!$Y$2:$Y$4000,0)),NA()))</f>
        <v/>
      </c>
    </row>
    <row r="1002">
      <c r="A1002" s="17">
        <f>IF(ISNUMBER(BBG_Data!A1002),BBG_Data!A1002,"")</f>
        <v/>
      </c>
      <c r="B1002" s="18">
        <f>IF(AND(ISNUMBER($A1002),ISNUMBER(BBG_Data!B1002)),BBG_Data!B1002,NA())</f>
        <v/>
      </c>
      <c r="C1002" s="18">
        <f>IF(NOT(ISNUMBER($A1002)),NA(),IFERROR(1*INDEX(BBG_Data!$D$2:$D$4000,MATCH($A1002,BBG_Data!$C$2:$C$4000,0)),NA()))</f>
        <v/>
      </c>
      <c r="D1002" s="19">
        <f>IF(NOT(ISNUMBER($A1002)),NA(),IFERROR(1*INDEX(BBG_Data!$F$2:$F$4000,MATCH($A1002,BBG_Data!$E$2:$E$4000,0)),NA()))</f>
        <v/>
      </c>
      <c r="E1002" s="19">
        <f>IF(NOT(ISNUMBER($A1002)),NA(),IFERROR(1*INDEX(BBG_Data!$H$2:$H$4000,MATCH($A1002,BBG_Data!$G$2:$G$4000,0)),NA()))</f>
        <v/>
      </c>
      <c r="F1002" s="20">
        <f>IF(AND(ISNUMBER(B1002),ISNUMBER(B1001)),IF(B1002=B1001,"",(B1002-B1001)*100),"")</f>
        <v/>
      </c>
      <c r="G1002" s="20">
        <f>IF(AND(ISNUMBER(C1002),ISNUMBER(C1001)),IF(C1002=C1001,"",(C1002-C1001)*100),"")</f>
        <v/>
      </c>
      <c r="H1002" s="20">
        <f>IF(OR(NOT(ISNUMBER($A1002)),ROW()-2&lt;Settings!$B$11),NA(),IF(COUNT(OFFSET(F1002,1-Settings!$B$11,0,Settings!$B$11,1))&lt;ROUNDUP(Settings!$B$11*Settings!$B$26,0),NA(),STDEV(OFFSET(F1002,1-Settings!$B$11,0,Settings!$B$11,1))*SQRT(Settings!$B$13)))</f>
        <v/>
      </c>
      <c r="I1002" s="20">
        <f>IF(OR(NOT(ISNUMBER($A1002)),ROW()-2&lt;Settings!$B$12),NA(),IF(COUNT(OFFSET(F1002,1-Settings!$B$12,0,Settings!$B$12,1))&lt;ROUNDUP(Settings!$B$12*Settings!$B$26,0),NA(),STDEV(OFFSET(F1002,1-Settings!$B$12,0,Settings!$B$12,1))*SQRT(Settings!$B$13)))</f>
        <v/>
      </c>
      <c r="J1002" s="20">
        <f>IF(OR(NOT(ISNUMBER($A1002)),ROW()-2&lt;Settings!$B$11),NA(),IF(COUNT(OFFSET(G1002,1-Settings!$B$11,0,Settings!$B$11,1))&lt;ROUNDUP(Settings!$B$11*Settings!$B$26,0),NA(),STDEV(OFFSET(G1002,1-Settings!$B$11,0,Settings!$B$11,1))*SQRT(Settings!$B$13)))</f>
        <v/>
      </c>
      <c r="K1002" s="20">
        <f>IF(OR(NOT(ISNUMBER($A1002)),ROW()-2&lt;Settings!$B$12),NA(),IF(COUNT(OFFSET(G1002,1-Settings!$B$12,0,Settings!$B$12,1))&lt;ROUNDUP(Settings!$B$12*Settings!$B$26,0),NA(),STDEV(OFFSET(G1002,1-Settings!$B$12,0,Settings!$B$12,1))*SQRT(Settings!$B$13)))</f>
        <v/>
      </c>
      <c r="L1002" s="20">
        <f>IF(AND(ISNUMBER(D1002),ISNUMBER(H1002)),D1002-H1002,NA())</f>
        <v/>
      </c>
      <c r="M1002" s="20">
        <f>IF(AND(ISNUMBER(E1002),ISNUMBER(K1002)),E1002-K1002,NA())</f>
        <v/>
      </c>
      <c r="N1002" s="20">
        <f>IF(NOT(ISNUMBER($A1002)),NA(),IF(COUNT(OFFSET(G1002,1,0,Settings!$B$12,1))&lt;ROUNDUP(Settings!$B$12*Settings!$B$26,0),NA(),STDEV(OFFSET(G1002,1,0,Settings!$B$12,1))*SQRT(Settings!$B$13)))</f>
        <v/>
      </c>
      <c r="O1002" s="20">
        <f>IF(AND(ISNUMBER(E1002),ISNUMBER(N1002)),E1002-N1002,NA())</f>
        <v/>
      </c>
      <c r="P1002" s="19">
        <f>IF(NOT(ISNUMBER($A1002)),NA(),IF(OR($A1002&lt;MIN(KW_TP!$A$2:$A$2501),$A1002&gt;MAX(KW_TP!$A$2:$A$2501)),NA(),INDEX(KW_TP!$C$2:$C$2501,MATCH($A1002,KW_TP!$A$2:$A$2501,1))))</f>
        <v/>
      </c>
      <c r="Q1002" s="18">
        <f>IF(NOT(ISNUMBER($A1002)),NA(),IFERROR(1*INDEX(BBG_Data!$J$2:$J$4000,MATCH($A1002,BBG_Data!$I$2:$I$4000,0)),NA()))</f>
        <v/>
      </c>
      <c r="R1002" s="18">
        <f>IF(NOT(ISNUMBER($A1002)),NA(),IFERROR(1*INDEX(BBG_Data!$L$2:$L$4000,MATCH($A1002,BBG_Data!$K$2:$K$4000,0)),NA()))</f>
        <v/>
      </c>
      <c r="S1002" s="20">
        <f>IF(AND(ISNUMBER(B1002),ISNUMBER(Q1002),ISNUMBER(R1002)),(B1002-Q1002-R1002)*100,NA())</f>
        <v/>
      </c>
      <c r="T1002" s="20">
        <f>IF(AND(ISNUMBER(B1002),Settings!$B$17&gt;0),IF(ISNUMBER(INDEX($B:$B,Settings!$B$17)),(B1002-INDEX($B:$B,Settings!$B$17))*100,NA()),NA())</f>
        <v/>
      </c>
      <c r="U1002" s="20">
        <f>IF(AND(ISNUMBER(Q1002),Settings!$B$17&gt;0),IF(ISNUMBER(INDEX($Q:$Q,Settings!$B$17)),(Q1002-INDEX($Q:$Q,Settings!$B$17))*100,NA()),NA())</f>
        <v/>
      </c>
      <c r="V1002" s="20">
        <f>IF(AND(ISNUMBER(R1002),Settings!$B$17&gt;0),IF(ISNUMBER(INDEX($R:$R,Settings!$B$17)),(R1002-INDEX($R:$R,Settings!$B$17))*100,NA()),NA())</f>
        <v/>
      </c>
      <c r="W1002" s="20">
        <f>IF(AND(ISNUMBER(P1002),Settings!$B$17&gt;0),IF(ISNUMBER(INDEX($P:$P,Settings!$B$17)),P1002-INDEX($P:$P,Settings!$B$17),NA()),NA())</f>
        <v/>
      </c>
      <c r="X1002" s="19">
        <f>IF(NOT(ISNUMBER($A1002)),NA(),IF(OR($A1002&lt;MIN(DKW_10Y!$A$2:$A$2918),$A1002&gt;MAX(DKW_10Y!$A$2:$A$2918),Settings!$B$16&lt;MIN(DKW_10Y!$A$2:$A$2918)),NA(),(INDEX(DKW_10Y!$B$2:$B$2918,MATCH($A1002,DKW_10Y!$A$2:$A$2918,1))-INDEX(DKW_10Y!$B$2:$B$2918,MATCH(Settings!$B$16,DKW_10Y!$A$2:$A$2918,1)))*100))</f>
        <v/>
      </c>
      <c r="Y1002" s="19">
        <f>IF(NOT(ISNUMBER($A1002)),NA(),IF(OR($A1002&lt;MIN(DKW_10Y!$A$2:$A$2918),$A1002&gt;MAX(DKW_10Y!$A$2:$A$2918),Settings!$B$16&lt;MIN(DKW_10Y!$A$2:$A$2918)),NA(),(INDEX(DKW_10Y!$C$2:$C$2918,MATCH($A1002,DKW_10Y!$A$2:$A$2918,1))-INDEX(DKW_10Y!$C$2:$C$2918,MATCH(Settings!$B$16,DKW_10Y!$A$2:$A$2918,1)))*100))</f>
        <v/>
      </c>
      <c r="Z1002" s="19">
        <f>IF(NOT(ISNUMBER($A1002)),NA(),IF(OR($A1002&lt;MIN(DKW_10Y!$A$2:$A$2918),$A1002&gt;MAX(DKW_10Y!$A$2:$A$2918),Settings!$B$16&lt;MIN(DKW_10Y!$A$2:$A$2918)),NA(),(INDEX(DKW_10Y!$D$2:$D$2918,MATCH($A1002,DKW_10Y!$A$2:$A$2918,1))-INDEX(DKW_10Y!$D$2:$D$2918,MATCH(Settings!$B$16,DKW_10Y!$A$2:$A$2918,1)))*100))</f>
        <v/>
      </c>
      <c r="AA1002" s="19">
        <f>IF(NOT(ISNUMBER($A1002)),NA(),IF(OR($A1002&lt;MIN(DKW_10Y!$A$2:$A$2918),$A1002&gt;MAX(DKW_10Y!$A$2:$A$2918),Settings!$B$16&lt;MIN(DKW_10Y!$A$2:$A$2918)),NA(),(INDEX(DKW_10Y!$E$2:$E$2918,MATCH($A1002,DKW_10Y!$A$2:$A$2918,1))-INDEX(DKW_10Y!$E$2:$E$2918,MATCH(Settings!$B$16,DKW_10Y!$A$2:$A$2918,1)))*100))</f>
        <v/>
      </c>
      <c r="AB1002" s="19">
        <f>IF(NOT(ISNUMBER($A1002)),NA(),IF(OR($A1002&lt;MIN(DKW_10Y!$A$2:$A$2918),$A1002&gt;MAX(DKW_10Y!$A$2:$A$2918),Settings!$B$16&lt;MIN(DKW_10Y!$A$2:$A$2918)),NA(),(INDEX(DKW_10Y!$H$2:$H$2918,MATCH($A1002,DKW_10Y!$A$2:$A$2918,1))-INDEX(DKW_10Y!$H$2:$H$2918,MATCH(Settings!$B$16,DKW_10Y!$A$2:$A$2918,1)))*100))</f>
        <v/>
      </c>
      <c r="AC1002" s="18">
        <f>IF(NOT(ISNUMBER($A1002)),NA(),IFERROR(1*INDEX(BBG_Data!$N$2:$N$4000,MATCH($A1002,BBG_Data!$M$2:$M$4000,0)),NA()))</f>
        <v/>
      </c>
      <c r="AD1002" s="18">
        <f>IF(NOT(ISNUMBER($A1002)),NA(),IFERROR(1*INDEX(BBG_Data!$P$2:$P$4000,MATCH($A1002,BBG_Data!$O$2:$O$4000,0)),NA()))</f>
        <v/>
      </c>
      <c r="AE1002" s="18">
        <f>IF(NOT(ISNUMBER($A1002)),NA(),IFERROR(1*INDEX(BBG_Data!$R$2:$R$4000,MATCH($A1002,BBG_Data!$Q$2:$Q$4000,0)),NA()))</f>
        <v/>
      </c>
      <c r="AF1002" s="20">
        <f>IF(AND(ISNUMBER(B1002),ISNUMBER(AC1002)),(B1002-AC1002)*100,NA())</f>
        <v/>
      </c>
      <c r="AG1002" s="20">
        <f>IF(AND(ISNUMBER(AE1002),ISNUMBER(AD1002)),(AE1002-AD1002)*100,NA())</f>
        <v/>
      </c>
      <c r="AH1002" s="19">
        <f>IF(NOT(ISNUMBER($A1002)),NA(),IFERROR(INDEX(BBG_Data!$T$2:$T$4000,MATCH($A1002,BBG_Data!$S$2:$S$4000,0))*Settings!$B$25,NA()))</f>
        <v/>
      </c>
      <c r="AI1002" s="19">
        <f>IF(NOT(ISNUMBER($A1002)),NA(),IFERROR(INDEX(BBG_Data!$V$2:$V$4000,MATCH($A1002,BBG_Data!$U$2:$U$4000,0))*Settings!$B$25,NA()))</f>
        <v/>
      </c>
      <c r="AJ1002" s="19">
        <f>IF(NOT(ISNUMBER($A1002)),NA(),IFERROR(1*INDEX(BBG_Data!$X$2:$X$4000,MATCH($A1002,BBG_Data!$W$2:$W$4000,0)),NA()))</f>
        <v/>
      </c>
      <c r="AK1002" s="19">
        <f>IF(NOT(ISNUMBER($A1002)),NA(),IFERROR(1*INDEX(BBG_Data!$Z$2:$Z$4000,MATCH($A1002,BBG_Data!$Y$2:$Y$4000,0)),NA()))</f>
        <v/>
      </c>
    </row>
    <row r="1003">
      <c r="A1003" s="17">
        <f>IF(ISNUMBER(BBG_Data!A1003),BBG_Data!A1003,"")</f>
        <v/>
      </c>
      <c r="B1003" s="18">
        <f>IF(AND(ISNUMBER($A1003),ISNUMBER(BBG_Data!B1003)),BBG_Data!B1003,NA())</f>
        <v/>
      </c>
      <c r="C1003" s="18">
        <f>IF(NOT(ISNUMBER($A1003)),NA(),IFERROR(1*INDEX(BBG_Data!$D$2:$D$4000,MATCH($A1003,BBG_Data!$C$2:$C$4000,0)),NA()))</f>
        <v/>
      </c>
      <c r="D1003" s="19">
        <f>IF(NOT(ISNUMBER($A1003)),NA(),IFERROR(1*INDEX(BBG_Data!$F$2:$F$4000,MATCH($A1003,BBG_Data!$E$2:$E$4000,0)),NA()))</f>
        <v/>
      </c>
      <c r="E1003" s="19">
        <f>IF(NOT(ISNUMBER($A1003)),NA(),IFERROR(1*INDEX(BBG_Data!$H$2:$H$4000,MATCH($A1003,BBG_Data!$G$2:$G$4000,0)),NA()))</f>
        <v/>
      </c>
      <c r="F1003" s="20">
        <f>IF(AND(ISNUMBER(B1003),ISNUMBER(B1002)),IF(B1003=B1002,"",(B1003-B1002)*100),"")</f>
        <v/>
      </c>
      <c r="G1003" s="20">
        <f>IF(AND(ISNUMBER(C1003),ISNUMBER(C1002)),IF(C1003=C1002,"",(C1003-C1002)*100),"")</f>
        <v/>
      </c>
      <c r="H1003" s="20">
        <f>IF(OR(NOT(ISNUMBER($A1003)),ROW()-2&lt;Settings!$B$11),NA(),IF(COUNT(OFFSET(F1003,1-Settings!$B$11,0,Settings!$B$11,1))&lt;ROUNDUP(Settings!$B$11*Settings!$B$26,0),NA(),STDEV(OFFSET(F1003,1-Settings!$B$11,0,Settings!$B$11,1))*SQRT(Settings!$B$13)))</f>
        <v/>
      </c>
      <c r="I1003" s="20">
        <f>IF(OR(NOT(ISNUMBER($A1003)),ROW()-2&lt;Settings!$B$12),NA(),IF(COUNT(OFFSET(F1003,1-Settings!$B$12,0,Settings!$B$12,1))&lt;ROUNDUP(Settings!$B$12*Settings!$B$26,0),NA(),STDEV(OFFSET(F1003,1-Settings!$B$12,0,Settings!$B$12,1))*SQRT(Settings!$B$13)))</f>
        <v/>
      </c>
      <c r="J1003" s="20">
        <f>IF(OR(NOT(ISNUMBER($A1003)),ROW()-2&lt;Settings!$B$11),NA(),IF(COUNT(OFFSET(G1003,1-Settings!$B$11,0,Settings!$B$11,1))&lt;ROUNDUP(Settings!$B$11*Settings!$B$26,0),NA(),STDEV(OFFSET(G1003,1-Settings!$B$11,0,Settings!$B$11,1))*SQRT(Settings!$B$13)))</f>
        <v/>
      </c>
      <c r="K1003" s="20">
        <f>IF(OR(NOT(ISNUMBER($A1003)),ROW()-2&lt;Settings!$B$12),NA(),IF(COUNT(OFFSET(G1003,1-Settings!$B$12,0,Settings!$B$12,1))&lt;ROUNDUP(Settings!$B$12*Settings!$B$26,0),NA(),STDEV(OFFSET(G1003,1-Settings!$B$12,0,Settings!$B$12,1))*SQRT(Settings!$B$13)))</f>
        <v/>
      </c>
      <c r="L1003" s="20">
        <f>IF(AND(ISNUMBER(D1003),ISNUMBER(H1003)),D1003-H1003,NA())</f>
        <v/>
      </c>
      <c r="M1003" s="20">
        <f>IF(AND(ISNUMBER(E1003),ISNUMBER(K1003)),E1003-K1003,NA())</f>
        <v/>
      </c>
      <c r="N1003" s="20">
        <f>IF(NOT(ISNUMBER($A1003)),NA(),IF(COUNT(OFFSET(G1003,1,0,Settings!$B$12,1))&lt;ROUNDUP(Settings!$B$12*Settings!$B$26,0),NA(),STDEV(OFFSET(G1003,1,0,Settings!$B$12,1))*SQRT(Settings!$B$13)))</f>
        <v/>
      </c>
      <c r="O1003" s="20">
        <f>IF(AND(ISNUMBER(E1003),ISNUMBER(N1003)),E1003-N1003,NA())</f>
        <v/>
      </c>
      <c r="P1003" s="19">
        <f>IF(NOT(ISNUMBER($A1003)),NA(),IF(OR($A1003&lt;MIN(KW_TP!$A$2:$A$2501),$A1003&gt;MAX(KW_TP!$A$2:$A$2501)),NA(),INDEX(KW_TP!$C$2:$C$2501,MATCH($A1003,KW_TP!$A$2:$A$2501,1))))</f>
        <v/>
      </c>
      <c r="Q1003" s="18">
        <f>IF(NOT(ISNUMBER($A1003)),NA(),IFERROR(1*INDEX(BBG_Data!$J$2:$J$4000,MATCH($A1003,BBG_Data!$I$2:$I$4000,0)),NA()))</f>
        <v/>
      </c>
      <c r="R1003" s="18">
        <f>IF(NOT(ISNUMBER($A1003)),NA(),IFERROR(1*INDEX(BBG_Data!$L$2:$L$4000,MATCH($A1003,BBG_Data!$K$2:$K$4000,0)),NA()))</f>
        <v/>
      </c>
      <c r="S1003" s="20">
        <f>IF(AND(ISNUMBER(B1003),ISNUMBER(Q1003),ISNUMBER(R1003)),(B1003-Q1003-R1003)*100,NA())</f>
        <v/>
      </c>
      <c r="T1003" s="20">
        <f>IF(AND(ISNUMBER(B1003),Settings!$B$17&gt;0),IF(ISNUMBER(INDEX($B:$B,Settings!$B$17)),(B1003-INDEX($B:$B,Settings!$B$17))*100,NA()),NA())</f>
        <v/>
      </c>
      <c r="U1003" s="20">
        <f>IF(AND(ISNUMBER(Q1003),Settings!$B$17&gt;0),IF(ISNUMBER(INDEX($Q:$Q,Settings!$B$17)),(Q1003-INDEX($Q:$Q,Settings!$B$17))*100,NA()),NA())</f>
        <v/>
      </c>
      <c r="V1003" s="20">
        <f>IF(AND(ISNUMBER(R1003),Settings!$B$17&gt;0),IF(ISNUMBER(INDEX($R:$R,Settings!$B$17)),(R1003-INDEX($R:$R,Settings!$B$17))*100,NA()),NA())</f>
        <v/>
      </c>
      <c r="W1003" s="20">
        <f>IF(AND(ISNUMBER(P1003),Settings!$B$17&gt;0),IF(ISNUMBER(INDEX($P:$P,Settings!$B$17)),P1003-INDEX($P:$P,Settings!$B$17),NA()),NA())</f>
        <v/>
      </c>
      <c r="X1003" s="19">
        <f>IF(NOT(ISNUMBER($A1003)),NA(),IF(OR($A1003&lt;MIN(DKW_10Y!$A$2:$A$2918),$A1003&gt;MAX(DKW_10Y!$A$2:$A$2918),Settings!$B$16&lt;MIN(DKW_10Y!$A$2:$A$2918)),NA(),(INDEX(DKW_10Y!$B$2:$B$2918,MATCH($A1003,DKW_10Y!$A$2:$A$2918,1))-INDEX(DKW_10Y!$B$2:$B$2918,MATCH(Settings!$B$16,DKW_10Y!$A$2:$A$2918,1)))*100))</f>
        <v/>
      </c>
      <c r="Y1003" s="19">
        <f>IF(NOT(ISNUMBER($A1003)),NA(),IF(OR($A1003&lt;MIN(DKW_10Y!$A$2:$A$2918),$A1003&gt;MAX(DKW_10Y!$A$2:$A$2918),Settings!$B$16&lt;MIN(DKW_10Y!$A$2:$A$2918)),NA(),(INDEX(DKW_10Y!$C$2:$C$2918,MATCH($A1003,DKW_10Y!$A$2:$A$2918,1))-INDEX(DKW_10Y!$C$2:$C$2918,MATCH(Settings!$B$16,DKW_10Y!$A$2:$A$2918,1)))*100))</f>
        <v/>
      </c>
      <c r="Z1003" s="19">
        <f>IF(NOT(ISNUMBER($A1003)),NA(),IF(OR($A1003&lt;MIN(DKW_10Y!$A$2:$A$2918),$A1003&gt;MAX(DKW_10Y!$A$2:$A$2918),Settings!$B$16&lt;MIN(DKW_10Y!$A$2:$A$2918)),NA(),(INDEX(DKW_10Y!$D$2:$D$2918,MATCH($A1003,DKW_10Y!$A$2:$A$2918,1))-INDEX(DKW_10Y!$D$2:$D$2918,MATCH(Settings!$B$16,DKW_10Y!$A$2:$A$2918,1)))*100))</f>
        <v/>
      </c>
      <c r="AA1003" s="19">
        <f>IF(NOT(ISNUMBER($A1003)),NA(),IF(OR($A1003&lt;MIN(DKW_10Y!$A$2:$A$2918),$A1003&gt;MAX(DKW_10Y!$A$2:$A$2918),Settings!$B$16&lt;MIN(DKW_10Y!$A$2:$A$2918)),NA(),(INDEX(DKW_10Y!$E$2:$E$2918,MATCH($A1003,DKW_10Y!$A$2:$A$2918,1))-INDEX(DKW_10Y!$E$2:$E$2918,MATCH(Settings!$B$16,DKW_10Y!$A$2:$A$2918,1)))*100))</f>
        <v/>
      </c>
      <c r="AB1003" s="19">
        <f>IF(NOT(ISNUMBER($A1003)),NA(),IF(OR($A1003&lt;MIN(DKW_10Y!$A$2:$A$2918),$A1003&gt;MAX(DKW_10Y!$A$2:$A$2918),Settings!$B$16&lt;MIN(DKW_10Y!$A$2:$A$2918)),NA(),(INDEX(DKW_10Y!$H$2:$H$2918,MATCH($A1003,DKW_10Y!$A$2:$A$2918,1))-INDEX(DKW_10Y!$H$2:$H$2918,MATCH(Settings!$B$16,DKW_10Y!$A$2:$A$2918,1)))*100))</f>
        <v/>
      </c>
      <c r="AC1003" s="18">
        <f>IF(NOT(ISNUMBER($A1003)),NA(),IFERROR(1*INDEX(BBG_Data!$N$2:$N$4000,MATCH($A1003,BBG_Data!$M$2:$M$4000,0)),NA()))</f>
        <v/>
      </c>
      <c r="AD1003" s="18">
        <f>IF(NOT(ISNUMBER($A1003)),NA(),IFERROR(1*INDEX(BBG_Data!$P$2:$P$4000,MATCH($A1003,BBG_Data!$O$2:$O$4000,0)),NA()))</f>
        <v/>
      </c>
      <c r="AE1003" s="18">
        <f>IF(NOT(ISNUMBER($A1003)),NA(),IFERROR(1*INDEX(BBG_Data!$R$2:$R$4000,MATCH($A1003,BBG_Data!$Q$2:$Q$4000,0)),NA()))</f>
        <v/>
      </c>
      <c r="AF1003" s="20">
        <f>IF(AND(ISNUMBER(B1003),ISNUMBER(AC1003)),(B1003-AC1003)*100,NA())</f>
        <v/>
      </c>
      <c r="AG1003" s="20">
        <f>IF(AND(ISNUMBER(AE1003),ISNUMBER(AD1003)),(AE1003-AD1003)*100,NA())</f>
        <v/>
      </c>
      <c r="AH1003" s="19">
        <f>IF(NOT(ISNUMBER($A1003)),NA(),IFERROR(INDEX(BBG_Data!$T$2:$T$4000,MATCH($A1003,BBG_Data!$S$2:$S$4000,0))*Settings!$B$25,NA()))</f>
        <v/>
      </c>
      <c r="AI1003" s="19">
        <f>IF(NOT(ISNUMBER($A1003)),NA(),IFERROR(INDEX(BBG_Data!$V$2:$V$4000,MATCH($A1003,BBG_Data!$U$2:$U$4000,0))*Settings!$B$25,NA()))</f>
        <v/>
      </c>
      <c r="AJ1003" s="19">
        <f>IF(NOT(ISNUMBER($A1003)),NA(),IFERROR(1*INDEX(BBG_Data!$X$2:$X$4000,MATCH($A1003,BBG_Data!$W$2:$W$4000,0)),NA()))</f>
        <v/>
      </c>
      <c r="AK1003" s="19">
        <f>IF(NOT(ISNUMBER($A1003)),NA(),IFERROR(1*INDEX(BBG_Data!$Z$2:$Z$4000,MATCH($A1003,BBG_Data!$Y$2:$Y$4000,0)),NA()))</f>
        <v/>
      </c>
    </row>
    <row r="1004">
      <c r="A1004" s="17">
        <f>IF(ISNUMBER(BBG_Data!A1004),BBG_Data!A1004,"")</f>
        <v/>
      </c>
      <c r="B1004" s="18">
        <f>IF(AND(ISNUMBER($A1004),ISNUMBER(BBG_Data!B1004)),BBG_Data!B1004,NA())</f>
        <v/>
      </c>
      <c r="C1004" s="18">
        <f>IF(NOT(ISNUMBER($A1004)),NA(),IFERROR(1*INDEX(BBG_Data!$D$2:$D$4000,MATCH($A1004,BBG_Data!$C$2:$C$4000,0)),NA()))</f>
        <v/>
      </c>
      <c r="D1004" s="19">
        <f>IF(NOT(ISNUMBER($A1004)),NA(),IFERROR(1*INDEX(BBG_Data!$F$2:$F$4000,MATCH($A1004,BBG_Data!$E$2:$E$4000,0)),NA()))</f>
        <v/>
      </c>
      <c r="E1004" s="19">
        <f>IF(NOT(ISNUMBER($A1004)),NA(),IFERROR(1*INDEX(BBG_Data!$H$2:$H$4000,MATCH($A1004,BBG_Data!$G$2:$G$4000,0)),NA()))</f>
        <v/>
      </c>
      <c r="F1004" s="20">
        <f>IF(AND(ISNUMBER(B1004),ISNUMBER(B1003)),IF(B1004=B1003,"",(B1004-B1003)*100),"")</f>
        <v/>
      </c>
      <c r="G1004" s="20">
        <f>IF(AND(ISNUMBER(C1004),ISNUMBER(C1003)),IF(C1004=C1003,"",(C1004-C1003)*100),"")</f>
        <v/>
      </c>
      <c r="H1004" s="20">
        <f>IF(OR(NOT(ISNUMBER($A1004)),ROW()-2&lt;Settings!$B$11),NA(),IF(COUNT(OFFSET(F1004,1-Settings!$B$11,0,Settings!$B$11,1))&lt;ROUNDUP(Settings!$B$11*Settings!$B$26,0),NA(),STDEV(OFFSET(F1004,1-Settings!$B$11,0,Settings!$B$11,1))*SQRT(Settings!$B$13)))</f>
        <v/>
      </c>
      <c r="I1004" s="20">
        <f>IF(OR(NOT(ISNUMBER($A1004)),ROW()-2&lt;Settings!$B$12),NA(),IF(COUNT(OFFSET(F1004,1-Settings!$B$12,0,Settings!$B$12,1))&lt;ROUNDUP(Settings!$B$12*Settings!$B$26,0),NA(),STDEV(OFFSET(F1004,1-Settings!$B$12,0,Settings!$B$12,1))*SQRT(Settings!$B$13)))</f>
        <v/>
      </c>
      <c r="J1004" s="20">
        <f>IF(OR(NOT(ISNUMBER($A1004)),ROW()-2&lt;Settings!$B$11),NA(),IF(COUNT(OFFSET(G1004,1-Settings!$B$11,0,Settings!$B$11,1))&lt;ROUNDUP(Settings!$B$11*Settings!$B$26,0),NA(),STDEV(OFFSET(G1004,1-Settings!$B$11,0,Settings!$B$11,1))*SQRT(Settings!$B$13)))</f>
        <v/>
      </c>
      <c r="K1004" s="20">
        <f>IF(OR(NOT(ISNUMBER($A1004)),ROW()-2&lt;Settings!$B$12),NA(),IF(COUNT(OFFSET(G1004,1-Settings!$B$12,0,Settings!$B$12,1))&lt;ROUNDUP(Settings!$B$12*Settings!$B$26,0),NA(),STDEV(OFFSET(G1004,1-Settings!$B$12,0,Settings!$B$12,1))*SQRT(Settings!$B$13)))</f>
        <v/>
      </c>
      <c r="L1004" s="20">
        <f>IF(AND(ISNUMBER(D1004),ISNUMBER(H1004)),D1004-H1004,NA())</f>
        <v/>
      </c>
      <c r="M1004" s="20">
        <f>IF(AND(ISNUMBER(E1004),ISNUMBER(K1004)),E1004-K1004,NA())</f>
        <v/>
      </c>
      <c r="N1004" s="20">
        <f>IF(NOT(ISNUMBER($A1004)),NA(),IF(COUNT(OFFSET(G1004,1,0,Settings!$B$12,1))&lt;ROUNDUP(Settings!$B$12*Settings!$B$26,0),NA(),STDEV(OFFSET(G1004,1,0,Settings!$B$12,1))*SQRT(Settings!$B$13)))</f>
        <v/>
      </c>
      <c r="O1004" s="20">
        <f>IF(AND(ISNUMBER(E1004),ISNUMBER(N1004)),E1004-N1004,NA())</f>
        <v/>
      </c>
      <c r="P1004" s="19">
        <f>IF(NOT(ISNUMBER($A1004)),NA(),IF(OR($A1004&lt;MIN(KW_TP!$A$2:$A$2501),$A1004&gt;MAX(KW_TP!$A$2:$A$2501)),NA(),INDEX(KW_TP!$C$2:$C$2501,MATCH($A1004,KW_TP!$A$2:$A$2501,1))))</f>
        <v/>
      </c>
      <c r="Q1004" s="18">
        <f>IF(NOT(ISNUMBER($A1004)),NA(),IFERROR(1*INDEX(BBG_Data!$J$2:$J$4000,MATCH($A1004,BBG_Data!$I$2:$I$4000,0)),NA()))</f>
        <v/>
      </c>
      <c r="R1004" s="18">
        <f>IF(NOT(ISNUMBER($A1004)),NA(),IFERROR(1*INDEX(BBG_Data!$L$2:$L$4000,MATCH($A1004,BBG_Data!$K$2:$K$4000,0)),NA()))</f>
        <v/>
      </c>
      <c r="S1004" s="20">
        <f>IF(AND(ISNUMBER(B1004),ISNUMBER(Q1004),ISNUMBER(R1004)),(B1004-Q1004-R1004)*100,NA())</f>
        <v/>
      </c>
      <c r="T1004" s="20">
        <f>IF(AND(ISNUMBER(B1004),Settings!$B$17&gt;0),IF(ISNUMBER(INDEX($B:$B,Settings!$B$17)),(B1004-INDEX($B:$B,Settings!$B$17))*100,NA()),NA())</f>
        <v/>
      </c>
      <c r="U1004" s="20">
        <f>IF(AND(ISNUMBER(Q1004),Settings!$B$17&gt;0),IF(ISNUMBER(INDEX($Q:$Q,Settings!$B$17)),(Q1004-INDEX($Q:$Q,Settings!$B$17))*100,NA()),NA())</f>
        <v/>
      </c>
      <c r="V1004" s="20">
        <f>IF(AND(ISNUMBER(R1004),Settings!$B$17&gt;0),IF(ISNUMBER(INDEX($R:$R,Settings!$B$17)),(R1004-INDEX($R:$R,Settings!$B$17))*100,NA()),NA())</f>
        <v/>
      </c>
      <c r="W1004" s="20">
        <f>IF(AND(ISNUMBER(P1004),Settings!$B$17&gt;0),IF(ISNUMBER(INDEX($P:$P,Settings!$B$17)),P1004-INDEX($P:$P,Settings!$B$17),NA()),NA())</f>
        <v/>
      </c>
      <c r="X1004" s="19">
        <f>IF(NOT(ISNUMBER($A1004)),NA(),IF(OR($A1004&lt;MIN(DKW_10Y!$A$2:$A$2918),$A1004&gt;MAX(DKW_10Y!$A$2:$A$2918),Settings!$B$16&lt;MIN(DKW_10Y!$A$2:$A$2918)),NA(),(INDEX(DKW_10Y!$B$2:$B$2918,MATCH($A1004,DKW_10Y!$A$2:$A$2918,1))-INDEX(DKW_10Y!$B$2:$B$2918,MATCH(Settings!$B$16,DKW_10Y!$A$2:$A$2918,1)))*100))</f>
        <v/>
      </c>
      <c r="Y1004" s="19">
        <f>IF(NOT(ISNUMBER($A1004)),NA(),IF(OR($A1004&lt;MIN(DKW_10Y!$A$2:$A$2918),$A1004&gt;MAX(DKW_10Y!$A$2:$A$2918),Settings!$B$16&lt;MIN(DKW_10Y!$A$2:$A$2918)),NA(),(INDEX(DKW_10Y!$C$2:$C$2918,MATCH($A1004,DKW_10Y!$A$2:$A$2918,1))-INDEX(DKW_10Y!$C$2:$C$2918,MATCH(Settings!$B$16,DKW_10Y!$A$2:$A$2918,1)))*100))</f>
        <v/>
      </c>
      <c r="Z1004" s="19">
        <f>IF(NOT(ISNUMBER($A1004)),NA(),IF(OR($A1004&lt;MIN(DKW_10Y!$A$2:$A$2918),$A1004&gt;MAX(DKW_10Y!$A$2:$A$2918),Settings!$B$16&lt;MIN(DKW_10Y!$A$2:$A$2918)),NA(),(INDEX(DKW_10Y!$D$2:$D$2918,MATCH($A1004,DKW_10Y!$A$2:$A$2918,1))-INDEX(DKW_10Y!$D$2:$D$2918,MATCH(Settings!$B$16,DKW_10Y!$A$2:$A$2918,1)))*100))</f>
        <v/>
      </c>
      <c r="AA1004" s="19">
        <f>IF(NOT(ISNUMBER($A1004)),NA(),IF(OR($A1004&lt;MIN(DKW_10Y!$A$2:$A$2918),$A1004&gt;MAX(DKW_10Y!$A$2:$A$2918),Settings!$B$16&lt;MIN(DKW_10Y!$A$2:$A$2918)),NA(),(INDEX(DKW_10Y!$E$2:$E$2918,MATCH($A1004,DKW_10Y!$A$2:$A$2918,1))-INDEX(DKW_10Y!$E$2:$E$2918,MATCH(Settings!$B$16,DKW_10Y!$A$2:$A$2918,1)))*100))</f>
        <v/>
      </c>
      <c r="AB1004" s="19">
        <f>IF(NOT(ISNUMBER($A1004)),NA(),IF(OR($A1004&lt;MIN(DKW_10Y!$A$2:$A$2918),$A1004&gt;MAX(DKW_10Y!$A$2:$A$2918),Settings!$B$16&lt;MIN(DKW_10Y!$A$2:$A$2918)),NA(),(INDEX(DKW_10Y!$H$2:$H$2918,MATCH($A1004,DKW_10Y!$A$2:$A$2918,1))-INDEX(DKW_10Y!$H$2:$H$2918,MATCH(Settings!$B$16,DKW_10Y!$A$2:$A$2918,1)))*100))</f>
        <v/>
      </c>
      <c r="AC1004" s="18">
        <f>IF(NOT(ISNUMBER($A1004)),NA(),IFERROR(1*INDEX(BBG_Data!$N$2:$N$4000,MATCH($A1004,BBG_Data!$M$2:$M$4000,0)),NA()))</f>
        <v/>
      </c>
      <c r="AD1004" s="18">
        <f>IF(NOT(ISNUMBER($A1004)),NA(),IFERROR(1*INDEX(BBG_Data!$P$2:$P$4000,MATCH($A1004,BBG_Data!$O$2:$O$4000,0)),NA()))</f>
        <v/>
      </c>
      <c r="AE1004" s="18">
        <f>IF(NOT(ISNUMBER($A1004)),NA(),IFERROR(1*INDEX(BBG_Data!$R$2:$R$4000,MATCH($A1004,BBG_Data!$Q$2:$Q$4000,0)),NA()))</f>
        <v/>
      </c>
      <c r="AF1004" s="20">
        <f>IF(AND(ISNUMBER(B1004),ISNUMBER(AC1004)),(B1004-AC1004)*100,NA())</f>
        <v/>
      </c>
      <c r="AG1004" s="20">
        <f>IF(AND(ISNUMBER(AE1004),ISNUMBER(AD1004)),(AE1004-AD1004)*100,NA())</f>
        <v/>
      </c>
      <c r="AH1004" s="19">
        <f>IF(NOT(ISNUMBER($A1004)),NA(),IFERROR(INDEX(BBG_Data!$T$2:$T$4000,MATCH($A1004,BBG_Data!$S$2:$S$4000,0))*Settings!$B$25,NA()))</f>
        <v/>
      </c>
      <c r="AI1004" s="19">
        <f>IF(NOT(ISNUMBER($A1004)),NA(),IFERROR(INDEX(BBG_Data!$V$2:$V$4000,MATCH($A1004,BBG_Data!$U$2:$U$4000,0))*Settings!$B$25,NA()))</f>
        <v/>
      </c>
      <c r="AJ1004" s="19">
        <f>IF(NOT(ISNUMBER($A1004)),NA(),IFERROR(1*INDEX(BBG_Data!$X$2:$X$4000,MATCH($A1004,BBG_Data!$W$2:$W$4000,0)),NA()))</f>
        <v/>
      </c>
      <c r="AK1004" s="19">
        <f>IF(NOT(ISNUMBER($A1004)),NA(),IFERROR(1*INDEX(BBG_Data!$Z$2:$Z$4000,MATCH($A1004,BBG_Data!$Y$2:$Y$4000,0)),NA()))</f>
        <v/>
      </c>
    </row>
    <row r="1005">
      <c r="A1005" s="17">
        <f>IF(ISNUMBER(BBG_Data!A1005),BBG_Data!A1005,"")</f>
        <v/>
      </c>
      <c r="B1005" s="18">
        <f>IF(AND(ISNUMBER($A1005),ISNUMBER(BBG_Data!B1005)),BBG_Data!B1005,NA())</f>
        <v/>
      </c>
      <c r="C1005" s="18">
        <f>IF(NOT(ISNUMBER($A1005)),NA(),IFERROR(1*INDEX(BBG_Data!$D$2:$D$4000,MATCH($A1005,BBG_Data!$C$2:$C$4000,0)),NA()))</f>
        <v/>
      </c>
      <c r="D1005" s="19">
        <f>IF(NOT(ISNUMBER($A1005)),NA(),IFERROR(1*INDEX(BBG_Data!$F$2:$F$4000,MATCH($A1005,BBG_Data!$E$2:$E$4000,0)),NA()))</f>
        <v/>
      </c>
      <c r="E1005" s="19">
        <f>IF(NOT(ISNUMBER($A1005)),NA(),IFERROR(1*INDEX(BBG_Data!$H$2:$H$4000,MATCH($A1005,BBG_Data!$G$2:$G$4000,0)),NA()))</f>
        <v/>
      </c>
      <c r="F1005" s="20">
        <f>IF(AND(ISNUMBER(B1005),ISNUMBER(B1004)),IF(B1005=B1004,"",(B1005-B1004)*100),"")</f>
        <v/>
      </c>
      <c r="G1005" s="20">
        <f>IF(AND(ISNUMBER(C1005),ISNUMBER(C1004)),IF(C1005=C1004,"",(C1005-C1004)*100),"")</f>
        <v/>
      </c>
      <c r="H1005" s="20">
        <f>IF(OR(NOT(ISNUMBER($A1005)),ROW()-2&lt;Settings!$B$11),NA(),IF(COUNT(OFFSET(F1005,1-Settings!$B$11,0,Settings!$B$11,1))&lt;ROUNDUP(Settings!$B$11*Settings!$B$26,0),NA(),STDEV(OFFSET(F1005,1-Settings!$B$11,0,Settings!$B$11,1))*SQRT(Settings!$B$13)))</f>
        <v/>
      </c>
      <c r="I1005" s="20">
        <f>IF(OR(NOT(ISNUMBER($A1005)),ROW()-2&lt;Settings!$B$12),NA(),IF(COUNT(OFFSET(F1005,1-Settings!$B$12,0,Settings!$B$12,1))&lt;ROUNDUP(Settings!$B$12*Settings!$B$26,0),NA(),STDEV(OFFSET(F1005,1-Settings!$B$12,0,Settings!$B$12,1))*SQRT(Settings!$B$13)))</f>
        <v/>
      </c>
      <c r="J1005" s="20">
        <f>IF(OR(NOT(ISNUMBER($A1005)),ROW()-2&lt;Settings!$B$11),NA(),IF(COUNT(OFFSET(G1005,1-Settings!$B$11,0,Settings!$B$11,1))&lt;ROUNDUP(Settings!$B$11*Settings!$B$26,0),NA(),STDEV(OFFSET(G1005,1-Settings!$B$11,0,Settings!$B$11,1))*SQRT(Settings!$B$13)))</f>
        <v/>
      </c>
      <c r="K1005" s="20">
        <f>IF(OR(NOT(ISNUMBER($A1005)),ROW()-2&lt;Settings!$B$12),NA(),IF(COUNT(OFFSET(G1005,1-Settings!$B$12,0,Settings!$B$12,1))&lt;ROUNDUP(Settings!$B$12*Settings!$B$26,0),NA(),STDEV(OFFSET(G1005,1-Settings!$B$12,0,Settings!$B$12,1))*SQRT(Settings!$B$13)))</f>
        <v/>
      </c>
      <c r="L1005" s="20">
        <f>IF(AND(ISNUMBER(D1005),ISNUMBER(H1005)),D1005-H1005,NA())</f>
        <v/>
      </c>
      <c r="M1005" s="20">
        <f>IF(AND(ISNUMBER(E1005),ISNUMBER(K1005)),E1005-K1005,NA())</f>
        <v/>
      </c>
      <c r="N1005" s="20">
        <f>IF(NOT(ISNUMBER($A1005)),NA(),IF(COUNT(OFFSET(G1005,1,0,Settings!$B$12,1))&lt;ROUNDUP(Settings!$B$12*Settings!$B$26,0),NA(),STDEV(OFFSET(G1005,1,0,Settings!$B$12,1))*SQRT(Settings!$B$13)))</f>
        <v/>
      </c>
      <c r="O1005" s="20">
        <f>IF(AND(ISNUMBER(E1005),ISNUMBER(N1005)),E1005-N1005,NA())</f>
        <v/>
      </c>
      <c r="P1005" s="19">
        <f>IF(NOT(ISNUMBER($A1005)),NA(),IF(OR($A1005&lt;MIN(KW_TP!$A$2:$A$2501),$A1005&gt;MAX(KW_TP!$A$2:$A$2501)),NA(),INDEX(KW_TP!$C$2:$C$2501,MATCH($A1005,KW_TP!$A$2:$A$2501,1))))</f>
        <v/>
      </c>
      <c r="Q1005" s="18">
        <f>IF(NOT(ISNUMBER($A1005)),NA(),IFERROR(1*INDEX(BBG_Data!$J$2:$J$4000,MATCH($A1005,BBG_Data!$I$2:$I$4000,0)),NA()))</f>
        <v/>
      </c>
      <c r="R1005" s="18">
        <f>IF(NOT(ISNUMBER($A1005)),NA(),IFERROR(1*INDEX(BBG_Data!$L$2:$L$4000,MATCH($A1005,BBG_Data!$K$2:$K$4000,0)),NA()))</f>
        <v/>
      </c>
      <c r="S1005" s="20">
        <f>IF(AND(ISNUMBER(B1005),ISNUMBER(Q1005),ISNUMBER(R1005)),(B1005-Q1005-R1005)*100,NA())</f>
        <v/>
      </c>
      <c r="T1005" s="20">
        <f>IF(AND(ISNUMBER(B1005),Settings!$B$17&gt;0),IF(ISNUMBER(INDEX($B:$B,Settings!$B$17)),(B1005-INDEX($B:$B,Settings!$B$17))*100,NA()),NA())</f>
        <v/>
      </c>
      <c r="U1005" s="20">
        <f>IF(AND(ISNUMBER(Q1005),Settings!$B$17&gt;0),IF(ISNUMBER(INDEX($Q:$Q,Settings!$B$17)),(Q1005-INDEX($Q:$Q,Settings!$B$17))*100,NA()),NA())</f>
        <v/>
      </c>
      <c r="V1005" s="20">
        <f>IF(AND(ISNUMBER(R1005),Settings!$B$17&gt;0),IF(ISNUMBER(INDEX($R:$R,Settings!$B$17)),(R1005-INDEX($R:$R,Settings!$B$17))*100,NA()),NA())</f>
        <v/>
      </c>
      <c r="W1005" s="20">
        <f>IF(AND(ISNUMBER(P1005),Settings!$B$17&gt;0),IF(ISNUMBER(INDEX($P:$P,Settings!$B$17)),P1005-INDEX($P:$P,Settings!$B$17),NA()),NA())</f>
        <v/>
      </c>
      <c r="X1005" s="19">
        <f>IF(NOT(ISNUMBER($A1005)),NA(),IF(OR($A1005&lt;MIN(DKW_10Y!$A$2:$A$2918),$A1005&gt;MAX(DKW_10Y!$A$2:$A$2918),Settings!$B$16&lt;MIN(DKW_10Y!$A$2:$A$2918)),NA(),(INDEX(DKW_10Y!$B$2:$B$2918,MATCH($A1005,DKW_10Y!$A$2:$A$2918,1))-INDEX(DKW_10Y!$B$2:$B$2918,MATCH(Settings!$B$16,DKW_10Y!$A$2:$A$2918,1)))*100))</f>
        <v/>
      </c>
      <c r="Y1005" s="19">
        <f>IF(NOT(ISNUMBER($A1005)),NA(),IF(OR($A1005&lt;MIN(DKW_10Y!$A$2:$A$2918),$A1005&gt;MAX(DKW_10Y!$A$2:$A$2918),Settings!$B$16&lt;MIN(DKW_10Y!$A$2:$A$2918)),NA(),(INDEX(DKW_10Y!$C$2:$C$2918,MATCH($A1005,DKW_10Y!$A$2:$A$2918,1))-INDEX(DKW_10Y!$C$2:$C$2918,MATCH(Settings!$B$16,DKW_10Y!$A$2:$A$2918,1)))*100))</f>
        <v/>
      </c>
      <c r="Z1005" s="19">
        <f>IF(NOT(ISNUMBER($A1005)),NA(),IF(OR($A1005&lt;MIN(DKW_10Y!$A$2:$A$2918),$A1005&gt;MAX(DKW_10Y!$A$2:$A$2918),Settings!$B$16&lt;MIN(DKW_10Y!$A$2:$A$2918)),NA(),(INDEX(DKW_10Y!$D$2:$D$2918,MATCH($A1005,DKW_10Y!$A$2:$A$2918,1))-INDEX(DKW_10Y!$D$2:$D$2918,MATCH(Settings!$B$16,DKW_10Y!$A$2:$A$2918,1)))*100))</f>
        <v/>
      </c>
      <c r="AA1005" s="19">
        <f>IF(NOT(ISNUMBER($A1005)),NA(),IF(OR($A1005&lt;MIN(DKW_10Y!$A$2:$A$2918),$A1005&gt;MAX(DKW_10Y!$A$2:$A$2918),Settings!$B$16&lt;MIN(DKW_10Y!$A$2:$A$2918)),NA(),(INDEX(DKW_10Y!$E$2:$E$2918,MATCH($A1005,DKW_10Y!$A$2:$A$2918,1))-INDEX(DKW_10Y!$E$2:$E$2918,MATCH(Settings!$B$16,DKW_10Y!$A$2:$A$2918,1)))*100))</f>
        <v/>
      </c>
      <c r="AB1005" s="19">
        <f>IF(NOT(ISNUMBER($A1005)),NA(),IF(OR($A1005&lt;MIN(DKW_10Y!$A$2:$A$2918),$A1005&gt;MAX(DKW_10Y!$A$2:$A$2918),Settings!$B$16&lt;MIN(DKW_10Y!$A$2:$A$2918)),NA(),(INDEX(DKW_10Y!$H$2:$H$2918,MATCH($A1005,DKW_10Y!$A$2:$A$2918,1))-INDEX(DKW_10Y!$H$2:$H$2918,MATCH(Settings!$B$16,DKW_10Y!$A$2:$A$2918,1)))*100))</f>
        <v/>
      </c>
      <c r="AC1005" s="18">
        <f>IF(NOT(ISNUMBER($A1005)),NA(),IFERROR(1*INDEX(BBG_Data!$N$2:$N$4000,MATCH($A1005,BBG_Data!$M$2:$M$4000,0)),NA()))</f>
        <v/>
      </c>
      <c r="AD1005" s="18">
        <f>IF(NOT(ISNUMBER($A1005)),NA(),IFERROR(1*INDEX(BBG_Data!$P$2:$P$4000,MATCH($A1005,BBG_Data!$O$2:$O$4000,0)),NA()))</f>
        <v/>
      </c>
      <c r="AE1005" s="18">
        <f>IF(NOT(ISNUMBER($A1005)),NA(),IFERROR(1*INDEX(BBG_Data!$R$2:$R$4000,MATCH($A1005,BBG_Data!$Q$2:$Q$4000,0)),NA()))</f>
        <v/>
      </c>
      <c r="AF1005" s="20">
        <f>IF(AND(ISNUMBER(B1005),ISNUMBER(AC1005)),(B1005-AC1005)*100,NA())</f>
        <v/>
      </c>
      <c r="AG1005" s="20">
        <f>IF(AND(ISNUMBER(AE1005),ISNUMBER(AD1005)),(AE1005-AD1005)*100,NA())</f>
        <v/>
      </c>
      <c r="AH1005" s="19">
        <f>IF(NOT(ISNUMBER($A1005)),NA(),IFERROR(INDEX(BBG_Data!$T$2:$T$4000,MATCH($A1005,BBG_Data!$S$2:$S$4000,0))*Settings!$B$25,NA()))</f>
        <v/>
      </c>
      <c r="AI1005" s="19">
        <f>IF(NOT(ISNUMBER($A1005)),NA(),IFERROR(INDEX(BBG_Data!$V$2:$V$4000,MATCH($A1005,BBG_Data!$U$2:$U$4000,0))*Settings!$B$25,NA()))</f>
        <v/>
      </c>
      <c r="AJ1005" s="19">
        <f>IF(NOT(ISNUMBER($A1005)),NA(),IFERROR(1*INDEX(BBG_Data!$X$2:$X$4000,MATCH($A1005,BBG_Data!$W$2:$W$4000,0)),NA()))</f>
        <v/>
      </c>
      <c r="AK1005" s="19">
        <f>IF(NOT(ISNUMBER($A1005)),NA(),IFERROR(1*INDEX(BBG_Data!$Z$2:$Z$4000,MATCH($A1005,BBG_Data!$Y$2:$Y$4000,0)),NA()))</f>
        <v/>
      </c>
    </row>
    <row r="1006">
      <c r="A1006" s="17">
        <f>IF(ISNUMBER(BBG_Data!A1006),BBG_Data!A1006,"")</f>
        <v/>
      </c>
      <c r="B1006" s="18">
        <f>IF(AND(ISNUMBER($A1006),ISNUMBER(BBG_Data!B1006)),BBG_Data!B1006,NA())</f>
        <v/>
      </c>
      <c r="C1006" s="18">
        <f>IF(NOT(ISNUMBER($A1006)),NA(),IFERROR(1*INDEX(BBG_Data!$D$2:$D$4000,MATCH($A1006,BBG_Data!$C$2:$C$4000,0)),NA()))</f>
        <v/>
      </c>
      <c r="D1006" s="19">
        <f>IF(NOT(ISNUMBER($A1006)),NA(),IFERROR(1*INDEX(BBG_Data!$F$2:$F$4000,MATCH($A1006,BBG_Data!$E$2:$E$4000,0)),NA()))</f>
        <v/>
      </c>
      <c r="E1006" s="19">
        <f>IF(NOT(ISNUMBER($A1006)),NA(),IFERROR(1*INDEX(BBG_Data!$H$2:$H$4000,MATCH($A1006,BBG_Data!$G$2:$G$4000,0)),NA()))</f>
        <v/>
      </c>
      <c r="F1006" s="20">
        <f>IF(AND(ISNUMBER(B1006),ISNUMBER(B1005)),IF(B1006=B1005,"",(B1006-B1005)*100),"")</f>
        <v/>
      </c>
      <c r="G1006" s="20">
        <f>IF(AND(ISNUMBER(C1006),ISNUMBER(C1005)),IF(C1006=C1005,"",(C1006-C1005)*100),"")</f>
        <v/>
      </c>
      <c r="H1006" s="20">
        <f>IF(OR(NOT(ISNUMBER($A1006)),ROW()-2&lt;Settings!$B$11),NA(),IF(COUNT(OFFSET(F1006,1-Settings!$B$11,0,Settings!$B$11,1))&lt;ROUNDUP(Settings!$B$11*Settings!$B$26,0),NA(),STDEV(OFFSET(F1006,1-Settings!$B$11,0,Settings!$B$11,1))*SQRT(Settings!$B$13)))</f>
        <v/>
      </c>
      <c r="I1006" s="20">
        <f>IF(OR(NOT(ISNUMBER($A1006)),ROW()-2&lt;Settings!$B$12),NA(),IF(COUNT(OFFSET(F1006,1-Settings!$B$12,0,Settings!$B$12,1))&lt;ROUNDUP(Settings!$B$12*Settings!$B$26,0),NA(),STDEV(OFFSET(F1006,1-Settings!$B$12,0,Settings!$B$12,1))*SQRT(Settings!$B$13)))</f>
        <v/>
      </c>
      <c r="J1006" s="20">
        <f>IF(OR(NOT(ISNUMBER($A1006)),ROW()-2&lt;Settings!$B$11),NA(),IF(COUNT(OFFSET(G1006,1-Settings!$B$11,0,Settings!$B$11,1))&lt;ROUNDUP(Settings!$B$11*Settings!$B$26,0),NA(),STDEV(OFFSET(G1006,1-Settings!$B$11,0,Settings!$B$11,1))*SQRT(Settings!$B$13)))</f>
        <v/>
      </c>
      <c r="K1006" s="20">
        <f>IF(OR(NOT(ISNUMBER($A1006)),ROW()-2&lt;Settings!$B$12),NA(),IF(COUNT(OFFSET(G1006,1-Settings!$B$12,0,Settings!$B$12,1))&lt;ROUNDUP(Settings!$B$12*Settings!$B$26,0),NA(),STDEV(OFFSET(G1006,1-Settings!$B$12,0,Settings!$B$12,1))*SQRT(Settings!$B$13)))</f>
        <v/>
      </c>
      <c r="L1006" s="20">
        <f>IF(AND(ISNUMBER(D1006),ISNUMBER(H1006)),D1006-H1006,NA())</f>
        <v/>
      </c>
      <c r="M1006" s="20">
        <f>IF(AND(ISNUMBER(E1006),ISNUMBER(K1006)),E1006-K1006,NA())</f>
        <v/>
      </c>
      <c r="N1006" s="20">
        <f>IF(NOT(ISNUMBER($A1006)),NA(),IF(COUNT(OFFSET(G1006,1,0,Settings!$B$12,1))&lt;ROUNDUP(Settings!$B$12*Settings!$B$26,0),NA(),STDEV(OFFSET(G1006,1,0,Settings!$B$12,1))*SQRT(Settings!$B$13)))</f>
        <v/>
      </c>
      <c r="O1006" s="20">
        <f>IF(AND(ISNUMBER(E1006),ISNUMBER(N1006)),E1006-N1006,NA())</f>
        <v/>
      </c>
      <c r="P1006" s="19">
        <f>IF(NOT(ISNUMBER($A1006)),NA(),IF(OR($A1006&lt;MIN(KW_TP!$A$2:$A$2501),$A1006&gt;MAX(KW_TP!$A$2:$A$2501)),NA(),INDEX(KW_TP!$C$2:$C$2501,MATCH($A1006,KW_TP!$A$2:$A$2501,1))))</f>
        <v/>
      </c>
      <c r="Q1006" s="18">
        <f>IF(NOT(ISNUMBER($A1006)),NA(),IFERROR(1*INDEX(BBG_Data!$J$2:$J$4000,MATCH($A1006,BBG_Data!$I$2:$I$4000,0)),NA()))</f>
        <v/>
      </c>
      <c r="R1006" s="18">
        <f>IF(NOT(ISNUMBER($A1006)),NA(),IFERROR(1*INDEX(BBG_Data!$L$2:$L$4000,MATCH($A1006,BBG_Data!$K$2:$K$4000,0)),NA()))</f>
        <v/>
      </c>
      <c r="S1006" s="20">
        <f>IF(AND(ISNUMBER(B1006),ISNUMBER(Q1006),ISNUMBER(R1006)),(B1006-Q1006-R1006)*100,NA())</f>
        <v/>
      </c>
      <c r="T1006" s="20">
        <f>IF(AND(ISNUMBER(B1006),Settings!$B$17&gt;0),IF(ISNUMBER(INDEX($B:$B,Settings!$B$17)),(B1006-INDEX($B:$B,Settings!$B$17))*100,NA()),NA())</f>
        <v/>
      </c>
      <c r="U1006" s="20">
        <f>IF(AND(ISNUMBER(Q1006),Settings!$B$17&gt;0),IF(ISNUMBER(INDEX($Q:$Q,Settings!$B$17)),(Q1006-INDEX($Q:$Q,Settings!$B$17))*100,NA()),NA())</f>
        <v/>
      </c>
      <c r="V1006" s="20">
        <f>IF(AND(ISNUMBER(R1006),Settings!$B$17&gt;0),IF(ISNUMBER(INDEX($R:$R,Settings!$B$17)),(R1006-INDEX($R:$R,Settings!$B$17))*100,NA()),NA())</f>
        <v/>
      </c>
      <c r="W1006" s="20">
        <f>IF(AND(ISNUMBER(P1006),Settings!$B$17&gt;0),IF(ISNUMBER(INDEX($P:$P,Settings!$B$17)),P1006-INDEX($P:$P,Settings!$B$17),NA()),NA())</f>
        <v/>
      </c>
      <c r="X1006" s="19">
        <f>IF(NOT(ISNUMBER($A1006)),NA(),IF(OR($A1006&lt;MIN(DKW_10Y!$A$2:$A$2918),$A1006&gt;MAX(DKW_10Y!$A$2:$A$2918),Settings!$B$16&lt;MIN(DKW_10Y!$A$2:$A$2918)),NA(),(INDEX(DKW_10Y!$B$2:$B$2918,MATCH($A1006,DKW_10Y!$A$2:$A$2918,1))-INDEX(DKW_10Y!$B$2:$B$2918,MATCH(Settings!$B$16,DKW_10Y!$A$2:$A$2918,1)))*100))</f>
        <v/>
      </c>
      <c r="Y1006" s="19">
        <f>IF(NOT(ISNUMBER($A1006)),NA(),IF(OR($A1006&lt;MIN(DKW_10Y!$A$2:$A$2918),$A1006&gt;MAX(DKW_10Y!$A$2:$A$2918),Settings!$B$16&lt;MIN(DKW_10Y!$A$2:$A$2918)),NA(),(INDEX(DKW_10Y!$C$2:$C$2918,MATCH($A1006,DKW_10Y!$A$2:$A$2918,1))-INDEX(DKW_10Y!$C$2:$C$2918,MATCH(Settings!$B$16,DKW_10Y!$A$2:$A$2918,1)))*100))</f>
        <v/>
      </c>
      <c r="Z1006" s="19">
        <f>IF(NOT(ISNUMBER($A1006)),NA(),IF(OR($A1006&lt;MIN(DKW_10Y!$A$2:$A$2918),$A1006&gt;MAX(DKW_10Y!$A$2:$A$2918),Settings!$B$16&lt;MIN(DKW_10Y!$A$2:$A$2918)),NA(),(INDEX(DKW_10Y!$D$2:$D$2918,MATCH($A1006,DKW_10Y!$A$2:$A$2918,1))-INDEX(DKW_10Y!$D$2:$D$2918,MATCH(Settings!$B$16,DKW_10Y!$A$2:$A$2918,1)))*100))</f>
        <v/>
      </c>
      <c r="AA1006" s="19">
        <f>IF(NOT(ISNUMBER($A1006)),NA(),IF(OR($A1006&lt;MIN(DKW_10Y!$A$2:$A$2918),$A1006&gt;MAX(DKW_10Y!$A$2:$A$2918),Settings!$B$16&lt;MIN(DKW_10Y!$A$2:$A$2918)),NA(),(INDEX(DKW_10Y!$E$2:$E$2918,MATCH($A1006,DKW_10Y!$A$2:$A$2918,1))-INDEX(DKW_10Y!$E$2:$E$2918,MATCH(Settings!$B$16,DKW_10Y!$A$2:$A$2918,1)))*100))</f>
        <v/>
      </c>
      <c r="AB1006" s="19">
        <f>IF(NOT(ISNUMBER($A1006)),NA(),IF(OR($A1006&lt;MIN(DKW_10Y!$A$2:$A$2918),$A1006&gt;MAX(DKW_10Y!$A$2:$A$2918),Settings!$B$16&lt;MIN(DKW_10Y!$A$2:$A$2918)),NA(),(INDEX(DKW_10Y!$H$2:$H$2918,MATCH($A1006,DKW_10Y!$A$2:$A$2918,1))-INDEX(DKW_10Y!$H$2:$H$2918,MATCH(Settings!$B$16,DKW_10Y!$A$2:$A$2918,1)))*100))</f>
        <v/>
      </c>
      <c r="AC1006" s="18">
        <f>IF(NOT(ISNUMBER($A1006)),NA(),IFERROR(1*INDEX(BBG_Data!$N$2:$N$4000,MATCH($A1006,BBG_Data!$M$2:$M$4000,0)),NA()))</f>
        <v/>
      </c>
      <c r="AD1006" s="18">
        <f>IF(NOT(ISNUMBER($A1006)),NA(),IFERROR(1*INDEX(BBG_Data!$P$2:$P$4000,MATCH($A1006,BBG_Data!$O$2:$O$4000,0)),NA()))</f>
        <v/>
      </c>
      <c r="AE1006" s="18">
        <f>IF(NOT(ISNUMBER($A1006)),NA(),IFERROR(1*INDEX(BBG_Data!$R$2:$R$4000,MATCH($A1006,BBG_Data!$Q$2:$Q$4000,0)),NA()))</f>
        <v/>
      </c>
      <c r="AF1006" s="20">
        <f>IF(AND(ISNUMBER(B1006),ISNUMBER(AC1006)),(B1006-AC1006)*100,NA())</f>
        <v/>
      </c>
      <c r="AG1006" s="20">
        <f>IF(AND(ISNUMBER(AE1006),ISNUMBER(AD1006)),(AE1006-AD1006)*100,NA())</f>
        <v/>
      </c>
      <c r="AH1006" s="19">
        <f>IF(NOT(ISNUMBER($A1006)),NA(),IFERROR(INDEX(BBG_Data!$T$2:$T$4000,MATCH($A1006,BBG_Data!$S$2:$S$4000,0))*Settings!$B$25,NA()))</f>
        <v/>
      </c>
      <c r="AI1006" s="19">
        <f>IF(NOT(ISNUMBER($A1006)),NA(),IFERROR(INDEX(BBG_Data!$V$2:$V$4000,MATCH($A1006,BBG_Data!$U$2:$U$4000,0))*Settings!$B$25,NA()))</f>
        <v/>
      </c>
      <c r="AJ1006" s="19">
        <f>IF(NOT(ISNUMBER($A1006)),NA(),IFERROR(1*INDEX(BBG_Data!$X$2:$X$4000,MATCH($A1006,BBG_Data!$W$2:$W$4000,0)),NA()))</f>
        <v/>
      </c>
      <c r="AK1006" s="19">
        <f>IF(NOT(ISNUMBER($A1006)),NA(),IFERROR(1*INDEX(BBG_Data!$Z$2:$Z$4000,MATCH($A1006,BBG_Data!$Y$2:$Y$4000,0)),NA()))</f>
        <v/>
      </c>
    </row>
    <row r="1007">
      <c r="A1007" s="17">
        <f>IF(ISNUMBER(BBG_Data!A1007),BBG_Data!A1007,"")</f>
        <v/>
      </c>
      <c r="B1007" s="18">
        <f>IF(AND(ISNUMBER($A1007),ISNUMBER(BBG_Data!B1007)),BBG_Data!B1007,NA())</f>
        <v/>
      </c>
      <c r="C1007" s="18">
        <f>IF(NOT(ISNUMBER($A1007)),NA(),IFERROR(1*INDEX(BBG_Data!$D$2:$D$4000,MATCH($A1007,BBG_Data!$C$2:$C$4000,0)),NA()))</f>
        <v/>
      </c>
      <c r="D1007" s="19">
        <f>IF(NOT(ISNUMBER($A1007)),NA(),IFERROR(1*INDEX(BBG_Data!$F$2:$F$4000,MATCH($A1007,BBG_Data!$E$2:$E$4000,0)),NA()))</f>
        <v/>
      </c>
      <c r="E1007" s="19">
        <f>IF(NOT(ISNUMBER($A1007)),NA(),IFERROR(1*INDEX(BBG_Data!$H$2:$H$4000,MATCH($A1007,BBG_Data!$G$2:$G$4000,0)),NA()))</f>
        <v/>
      </c>
      <c r="F1007" s="20">
        <f>IF(AND(ISNUMBER(B1007),ISNUMBER(B1006)),IF(B1007=B1006,"",(B1007-B1006)*100),"")</f>
        <v/>
      </c>
      <c r="G1007" s="20">
        <f>IF(AND(ISNUMBER(C1007),ISNUMBER(C1006)),IF(C1007=C1006,"",(C1007-C1006)*100),"")</f>
        <v/>
      </c>
      <c r="H1007" s="20">
        <f>IF(OR(NOT(ISNUMBER($A1007)),ROW()-2&lt;Settings!$B$11),NA(),IF(COUNT(OFFSET(F1007,1-Settings!$B$11,0,Settings!$B$11,1))&lt;ROUNDUP(Settings!$B$11*Settings!$B$26,0),NA(),STDEV(OFFSET(F1007,1-Settings!$B$11,0,Settings!$B$11,1))*SQRT(Settings!$B$13)))</f>
        <v/>
      </c>
      <c r="I1007" s="20">
        <f>IF(OR(NOT(ISNUMBER($A1007)),ROW()-2&lt;Settings!$B$12),NA(),IF(COUNT(OFFSET(F1007,1-Settings!$B$12,0,Settings!$B$12,1))&lt;ROUNDUP(Settings!$B$12*Settings!$B$26,0),NA(),STDEV(OFFSET(F1007,1-Settings!$B$12,0,Settings!$B$12,1))*SQRT(Settings!$B$13)))</f>
        <v/>
      </c>
      <c r="J1007" s="20">
        <f>IF(OR(NOT(ISNUMBER($A1007)),ROW()-2&lt;Settings!$B$11),NA(),IF(COUNT(OFFSET(G1007,1-Settings!$B$11,0,Settings!$B$11,1))&lt;ROUNDUP(Settings!$B$11*Settings!$B$26,0),NA(),STDEV(OFFSET(G1007,1-Settings!$B$11,0,Settings!$B$11,1))*SQRT(Settings!$B$13)))</f>
        <v/>
      </c>
      <c r="K1007" s="20">
        <f>IF(OR(NOT(ISNUMBER($A1007)),ROW()-2&lt;Settings!$B$12),NA(),IF(COUNT(OFFSET(G1007,1-Settings!$B$12,0,Settings!$B$12,1))&lt;ROUNDUP(Settings!$B$12*Settings!$B$26,0),NA(),STDEV(OFFSET(G1007,1-Settings!$B$12,0,Settings!$B$12,1))*SQRT(Settings!$B$13)))</f>
        <v/>
      </c>
      <c r="L1007" s="20">
        <f>IF(AND(ISNUMBER(D1007),ISNUMBER(H1007)),D1007-H1007,NA())</f>
        <v/>
      </c>
      <c r="M1007" s="20">
        <f>IF(AND(ISNUMBER(E1007),ISNUMBER(K1007)),E1007-K1007,NA())</f>
        <v/>
      </c>
      <c r="N1007" s="20">
        <f>IF(NOT(ISNUMBER($A1007)),NA(),IF(COUNT(OFFSET(G1007,1,0,Settings!$B$12,1))&lt;ROUNDUP(Settings!$B$12*Settings!$B$26,0),NA(),STDEV(OFFSET(G1007,1,0,Settings!$B$12,1))*SQRT(Settings!$B$13)))</f>
        <v/>
      </c>
      <c r="O1007" s="20">
        <f>IF(AND(ISNUMBER(E1007),ISNUMBER(N1007)),E1007-N1007,NA())</f>
        <v/>
      </c>
      <c r="P1007" s="19">
        <f>IF(NOT(ISNUMBER($A1007)),NA(),IF(OR($A1007&lt;MIN(KW_TP!$A$2:$A$2501),$A1007&gt;MAX(KW_TP!$A$2:$A$2501)),NA(),INDEX(KW_TP!$C$2:$C$2501,MATCH($A1007,KW_TP!$A$2:$A$2501,1))))</f>
        <v/>
      </c>
      <c r="Q1007" s="18">
        <f>IF(NOT(ISNUMBER($A1007)),NA(),IFERROR(1*INDEX(BBG_Data!$J$2:$J$4000,MATCH($A1007,BBG_Data!$I$2:$I$4000,0)),NA()))</f>
        <v/>
      </c>
      <c r="R1007" s="18">
        <f>IF(NOT(ISNUMBER($A1007)),NA(),IFERROR(1*INDEX(BBG_Data!$L$2:$L$4000,MATCH($A1007,BBG_Data!$K$2:$K$4000,0)),NA()))</f>
        <v/>
      </c>
      <c r="S1007" s="20">
        <f>IF(AND(ISNUMBER(B1007),ISNUMBER(Q1007),ISNUMBER(R1007)),(B1007-Q1007-R1007)*100,NA())</f>
        <v/>
      </c>
      <c r="T1007" s="20">
        <f>IF(AND(ISNUMBER(B1007),Settings!$B$17&gt;0),IF(ISNUMBER(INDEX($B:$B,Settings!$B$17)),(B1007-INDEX($B:$B,Settings!$B$17))*100,NA()),NA())</f>
        <v/>
      </c>
      <c r="U1007" s="20">
        <f>IF(AND(ISNUMBER(Q1007),Settings!$B$17&gt;0),IF(ISNUMBER(INDEX($Q:$Q,Settings!$B$17)),(Q1007-INDEX($Q:$Q,Settings!$B$17))*100,NA()),NA())</f>
        <v/>
      </c>
      <c r="V1007" s="20">
        <f>IF(AND(ISNUMBER(R1007),Settings!$B$17&gt;0),IF(ISNUMBER(INDEX($R:$R,Settings!$B$17)),(R1007-INDEX($R:$R,Settings!$B$17))*100,NA()),NA())</f>
        <v/>
      </c>
      <c r="W1007" s="20">
        <f>IF(AND(ISNUMBER(P1007),Settings!$B$17&gt;0),IF(ISNUMBER(INDEX($P:$P,Settings!$B$17)),P1007-INDEX($P:$P,Settings!$B$17),NA()),NA())</f>
        <v/>
      </c>
      <c r="X1007" s="19">
        <f>IF(NOT(ISNUMBER($A1007)),NA(),IF(OR($A1007&lt;MIN(DKW_10Y!$A$2:$A$2918),$A1007&gt;MAX(DKW_10Y!$A$2:$A$2918),Settings!$B$16&lt;MIN(DKW_10Y!$A$2:$A$2918)),NA(),(INDEX(DKW_10Y!$B$2:$B$2918,MATCH($A1007,DKW_10Y!$A$2:$A$2918,1))-INDEX(DKW_10Y!$B$2:$B$2918,MATCH(Settings!$B$16,DKW_10Y!$A$2:$A$2918,1)))*100))</f>
        <v/>
      </c>
      <c r="Y1007" s="19">
        <f>IF(NOT(ISNUMBER($A1007)),NA(),IF(OR($A1007&lt;MIN(DKW_10Y!$A$2:$A$2918),$A1007&gt;MAX(DKW_10Y!$A$2:$A$2918),Settings!$B$16&lt;MIN(DKW_10Y!$A$2:$A$2918)),NA(),(INDEX(DKW_10Y!$C$2:$C$2918,MATCH($A1007,DKW_10Y!$A$2:$A$2918,1))-INDEX(DKW_10Y!$C$2:$C$2918,MATCH(Settings!$B$16,DKW_10Y!$A$2:$A$2918,1)))*100))</f>
        <v/>
      </c>
      <c r="Z1007" s="19">
        <f>IF(NOT(ISNUMBER($A1007)),NA(),IF(OR($A1007&lt;MIN(DKW_10Y!$A$2:$A$2918),$A1007&gt;MAX(DKW_10Y!$A$2:$A$2918),Settings!$B$16&lt;MIN(DKW_10Y!$A$2:$A$2918)),NA(),(INDEX(DKW_10Y!$D$2:$D$2918,MATCH($A1007,DKW_10Y!$A$2:$A$2918,1))-INDEX(DKW_10Y!$D$2:$D$2918,MATCH(Settings!$B$16,DKW_10Y!$A$2:$A$2918,1)))*100))</f>
        <v/>
      </c>
      <c r="AA1007" s="19">
        <f>IF(NOT(ISNUMBER($A1007)),NA(),IF(OR($A1007&lt;MIN(DKW_10Y!$A$2:$A$2918),$A1007&gt;MAX(DKW_10Y!$A$2:$A$2918),Settings!$B$16&lt;MIN(DKW_10Y!$A$2:$A$2918)),NA(),(INDEX(DKW_10Y!$E$2:$E$2918,MATCH($A1007,DKW_10Y!$A$2:$A$2918,1))-INDEX(DKW_10Y!$E$2:$E$2918,MATCH(Settings!$B$16,DKW_10Y!$A$2:$A$2918,1)))*100))</f>
        <v/>
      </c>
      <c r="AB1007" s="19">
        <f>IF(NOT(ISNUMBER($A1007)),NA(),IF(OR($A1007&lt;MIN(DKW_10Y!$A$2:$A$2918),$A1007&gt;MAX(DKW_10Y!$A$2:$A$2918),Settings!$B$16&lt;MIN(DKW_10Y!$A$2:$A$2918)),NA(),(INDEX(DKW_10Y!$H$2:$H$2918,MATCH($A1007,DKW_10Y!$A$2:$A$2918,1))-INDEX(DKW_10Y!$H$2:$H$2918,MATCH(Settings!$B$16,DKW_10Y!$A$2:$A$2918,1)))*100))</f>
        <v/>
      </c>
      <c r="AC1007" s="18">
        <f>IF(NOT(ISNUMBER($A1007)),NA(),IFERROR(1*INDEX(BBG_Data!$N$2:$N$4000,MATCH($A1007,BBG_Data!$M$2:$M$4000,0)),NA()))</f>
        <v/>
      </c>
      <c r="AD1007" s="18">
        <f>IF(NOT(ISNUMBER($A1007)),NA(),IFERROR(1*INDEX(BBG_Data!$P$2:$P$4000,MATCH($A1007,BBG_Data!$O$2:$O$4000,0)),NA()))</f>
        <v/>
      </c>
      <c r="AE1007" s="18">
        <f>IF(NOT(ISNUMBER($A1007)),NA(),IFERROR(1*INDEX(BBG_Data!$R$2:$R$4000,MATCH($A1007,BBG_Data!$Q$2:$Q$4000,0)),NA()))</f>
        <v/>
      </c>
      <c r="AF1007" s="20">
        <f>IF(AND(ISNUMBER(B1007),ISNUMBER(AC1007)),(B1007-AC1007)*100,NA())</f>
        <v/>
      </c>
      <c r="AG1007" s="20">
        <f>IF(AND(ISNUMBER(AE1007),ISNUMBER(AD1007)),(AE1007-AD1007)*100,NA())</f>
        <v/>
      </c>
      <c r="AH1007" s="19">
        <f>IF(NOT(ISNUMBER($A1007)),NA(),IFERROR(INDEX(BBG_Data!$T$2:$T$4000,MATCH($A1007,BBG_Data!$S$2:$S$4000,0))*Settings!$B$25,NA()))</f>
        <v/>
      </c>
      <c r="AI1007" s="19">
        <f>IF(NOT(ISNUMBER($A1007)),NA(),IFERROR(INDEX(BBG_Data!$V$2:$V$4000,MATCH($A1007,BBG_Data!$U$2:$U$4000,0))*Settings!$B$25,NA()))</f>
        <v/>
      </c>
      <c r="AJ1007" s="19">
        <f>IF(NOT(ISNUMBER($A1007)),NA(),IFERROR(1*INDEX(BBG_Data!$X$2:$X$4000,MATCH($A1007,BBG_Data!$W$2:$W$4000,0)),NA()))</f>
        <v/>
      </c>
      <c r="AK1007" s="19">
        <f>IF(NOT(ISNUMBER($A1007)),NA(),IFERROR(1*INDEX(BBG_Data!$Z$2:$Z$4000,MATCH($A1007,BBG_Data!$Y$2:$Y$4000,0)),NA()))</f>
        <v/>
      </c>
    </row>
    <row r="1008">
      <c r="A1008" s="17">
        <f>IF(ISNUMBER(BBG_Data!A1008),BBG_Data!A1008,"")</f>
        <v/>
      </c>
      <c r="B1008" s="18">
        <f>IF(AND(ISNUMBER($A1008),ISNUMBER(BBG_Data!B1008)),BBG_Data!B1008,NA())</f>
        <v/>
      </c>
      <c r="C1008" s="18">
        <f>IF(NOT(ISNUMBER($A1008)),NA(),IFERROR(1*INDEX(BBG_Data!$D$2:$D$4000,MATCH($A1008,BBG_Data!$C$2:$C$4000,0)),NA()))</f>
        <v/>
      </c>
      <c r="D1008" s="19">
        <f>IF(NOT(ISNUMBER($A1008)),NA(),IFERROR(1*INDEX(BBG_Data!$F$2:$F$4000,MATCH($A1008,BBG_Data!$E$2:$E$4000,0)),NA()))</f>
        <v/>
      </c>
      <c r="E1008" s="19">
        <f>IF(NOT(ISNUMBER($A1008)),NA(),IFERROR(1*INDEX(BBG_Data!$H$2:$H$4000,MATCH($A1008,BBG_Data!$G$2:$G$4000,0)),NA()))</f>
        <v/>
      </c>
      <c r="F1008" s="20">
        <f>IF(AND(ISNUMBER(B1008),ISNUMBER(B1007)),IF(B1008=B1007,"",(B1008-B1007)*100),"")</f>
        <v/>
      </c>
      <c r="G1008" s="20">
        <f>IF(AND(ISNUMBER(C1008),ISNUMBER(C1007)),IF(C1008=C1007,"",(C1008-C1007)*100),"")</f>
        <v/>
      </c>
      <c r="H1008" s="20">
        <f>IF(OR(NOT(ISNUMBER($A1008)),ROW()-2&lt;Settings!$B$11),NA(),IF(COUNT(OFFSET(F1008,1-Settings!$B$11,0,Settings!$B$11,1))&lt;ROUNDUP(Settings!$B$11*Settings!$B$26,0),NA(),STDEV(OFFSET(F1008,1-Settings!$B$11,0,Settings!$B$11,1))*SQRT(Settings!$B$13)))</f>
        <v/>
      </c>
      <c r="I1008" s="20">
        <f>IF(OR(NOT(ISNUMBER($A1008)),ROW()-2&lt;Settings!$B$12),NA(),IF(COUNT(OFFSET(F1008,1-Settings!$B$12,0,Settings!$B$12,1))&lt;ROUNDUP(Settings!$B$12*Settings!$B$26,0),NA(),STDEV(OFFSET(F1008,1-Settings!$B$12,0,Settings!$B$12,1))*SQRT(Settings!$B$13)))</f>
        <v/>
      </c>
      <c r="J1008" s="20">
        <f>IF(OR(NOT(ISNUMBER($A1008)),ROW()-2&lt;Settings!$B$11),NA(),IF(COUNT(OFFSET(G1008,1-Settings!$B$11,0,Settings!$B$11,1))&lt;ROUNDUP(Settings!$B$11*Settings!$B$26,0),NA(),STDEV(OFFSET(G1008,1-Settings!$B$11,0,Settings!$B$11,1))*SQRT(Settings!$B$13)))</f>
        <v/>
      </c>
      <c r="K1008" s="20">
        <f>IF(OR(NOT(ISNUMBER($A1008)),ROW()-2&lt;Settings!$B$12),NA(),IF(COUNT(OFFSET(G1008,1-Settings!$B$12,0,Settings!$B$12,1))&lt;ROUNDUP(Settings!$B$12*Settings!$B$26,0),NA(),STDEV(OFFSET(G1008,1-Settings!$B$12,0,Settings!$B$12,1))*SQRT(Settings!$B$13)))</f>
        <v/>
      </c>
      <c r="L1008" s="20">
        <f>IF(AND(ISNUMBER(D1008),ISNUMBER(H1008)),D1008-H1008,NA())</f>
        <v/>
      </c>
      <c r="M1008" s="20">
        <f>IF(AND(ISNUMBER(E1008),ISNUMBER(K1008)),E1008-K1008,NA())</f>
        <v/>
      </c>
      <c r="N1008" s="20">
        <f>IF(NOT(ISNUMBER($A1008)),NA(),IF(COUNT(OFFSET(G1008,1,0,Settings!$B$12,1))&lt;ROUNDUP(Settings!$B$12*Settings!$B$26,0),NA(),STDEV(OFFSET(G1008,1,0,Settings!$B$12,1))*SQRT(Settings!$B$13)))</f>
        <v/>
      </c>
      <c r="O1008" s="20">
        <f>IF(AND(ISNUMBER(E1008),ISNUMBER(N1008)),E1008-N1008,NA())</f>
        <v/>
      </c>
      <c r="P1008" s="19">
        <f>IF(NOT(ISNUMBER($A1008)),NA(),IF(OR($A1008&lt;MIN(KW_TP!$A$2:$A$2501),$A1008&gt;MAX(KW_TP!$A$2:$A$2501)),NA(),INDEX(KW_TP!$C$2:$C$2501,MATCH($A1008,KW_TP!$A$2:$A$2501,1))))</f>
        <v/>
      </c>
      <c r="Q1008" s="18">
        <f>IF(NOT(ISNUMBER($A1008)),NA(),IFERROR(1*INDEX(BBG_Data!$J$2:$J$4000,MATCH($A1008,BBG_Data!$I$2:$I$4000,0)),NA()))</f>
        <v/>
      </c>
      <c r="R1008" s="18">
        <f>IF(NOT(ISNUMBER($A1008)),NA(),IFERROR(1*INDEX(BBG_Data!$L$2:$L$4000,MATCH($A1008,BBG_Data!$K$2:$K$4000,0)),NA()))</f>
        <v/>
      </c>
      <c r="S1008" s="20">
        <f>IF(AND(ISNUMBER(B1008),ISNUMBER(Q1008),ISNUMBER(R1008)),(B1008-Q1008-R1008)*100,NA())</f>
        <v/>
      </c>
      <c r="T1008" s="20">
        <f>IF(AND(ISNUMBER(B1008),Settings!$B$17&gt;0),IF(ISNUMBER(INDEX($B:$B,Settings!$B$17)),(B1008-INDEX($B:$B,Settings!$B$17))*100,NA()),NA())</f>
        <v/>
      </c>
      <c r="U1008" s="20">
        <f>IF(AND(ISNUMBER(Q1008),Settings!$B$17&gt;0),IF(ISNUMBER(INDEX($Q:$Q,Settings!$B$17)),(Q1008-INDEX($Q:$Q,Settings!$B$17))*100,NA()),NA())</f>
        <v/>
      </c>
      <c r="V1008" s="20">
        <f>IF(AND(ISNUMBER(R1008),Settings!$B$17&gt;0),IF(ISNUMBER(INDEX($R:$R,Settings!$B$17)),(R1008-INDEX($R:$R,Settings!$B$17))*100,NA()),NA())</f>
        <v/>
      </c>
      <c r="W1008" s="20">
        <f>IF(AND(ISNUMBER(P1008),Settings!$B$17&gt;0),IF(ISNUMBER(INDEX($P:$P,Settings!$B$17)),P1008-INDEX($P:$P,Settings!$B$17),NA()),NA())</f>
        <v/>
      </c>
      <c r="X1008" s="19">
        <f>IF(NOT(ISNUMBER($A1008)),NA(),IF(OR($A1008&lt;MIN(DKW_10Y!$A$2:$A$2918),$A1008&gt;MAX(DKW_10Y!$A$2:$A$2918),Settings!$B$16&lt;MIN(DKW_10Y!$A$2:$A$2918)),NA(),(INDEX(DKW_10Y!$B$2:$B$2918,MATCH($A1008,DKW_10Y!$A$2:$A$2918,1))-INDEX(DKW_10Y!$B$2:$B$2918,MATCH(Settings!$B$16,DKW_10Y!$A$2:$A$2918,1)))*100))</f>
        <v/>
      </c>
      <c r="Y1008" s="19">
        <f>IF(NOT(ISNUMBER($A1008)),NA(),IF(OR($A1008&lt;MIN(DKW_10Y!$A$2:$A$2918),$A1008&gt;MAX(DKW_10Y!$A$2:$A$2918),Settings!$B$16&lt;MIN(DKW_10Y!$A$2:$A$2918)),NA(),(INDEX(DKW_10Y!$C$2:$C$2918,MATCH($A1008,DKW_10Y!$A$2:$A$2918,1))-INDEX(DKW_10Y!$C$2:$C$2918,MATCH(Settings!$B$16,DKW_10Y!$A$2:$A$2918,1)))*100))</f>
        <v/>
      </c>
      <c r="Z1008" s="19">
        <f>IF(NOT(ISNUMBER($A1008)),NA(),IF(OR($A1008&lt;MIN(DKW_10Y!$A$2:$A$2918),$A1008&gt;MAX(DKW_10Y!$A$2:$A$2918),Settings!$B$16&lt;MIN(DKW_10Y!$A$2:$A$2918)),NA(),(INDEX(DKW_10Y!$D$2:$D$2918,MATCH($A1008,DKW_10Y!$A$2:$A$2918,1))-INDEX(DKW_10Y!$D$2:$D$2918,MATCH(Settings!$B$16,DKW_10Y!$A$2:$A$2918,1)))*100))</f>
        <v/>
      </c>
      <c r="AA1008" s="19">
        <f>IF(NOT(ISNUMBER($A1008)),NA(),IF(OR($A1008&lt;MIN(DKW_10Y!$A$2:$A$2918),$A1008&gt;MAX(DKW_10Y!$A$2:$A$2918),Settings!$B$16&lt;MIN(DKW_10Y!$A$2:$A$2918)),NA(),(INDEX(DKW_10Y!$E$2:$E$2918,MATCH($A1008,DKW_10Y!$A$2:$A$2918,1))-INDEX(DKW_10Y!$E$2:$E$2918,MATCH(Settings!$B$16,DKW_10Y!$A$2:$A$2918,1)))*100))</f>
        <v/>
      </c>
      <c r="AB1008" s="19">
        <f>IF(NOT(ISNUMBER($A1008)),NA(),IF(OR($A1008&lt;MIN(DKW_10Y!$A$2:$A$2918),$A1008&gt;MAX(DKW_10Y!$A$2:$A$2918),Settings!$B$16&lt;MIN(DKW_10Y!$A$2:$A$2918)),NA(),(INDEX(DKW_10Y!$H$2:$H$2918,MATCH($A1008,DKW_10Y!$A$2:$A$2918,1))-INDEX(DKW_10Y!$H$2:$H$2918,MATCH(Settings!$B$16,DKW_10Y!$A$2:$A$2918,1)))*100))</f>
        <v/>
      </c>
      <c r="AC1008" s="18">
        <f>IF(NOT(ISNUMBER($A1008)),NA(),IFERROR(1*INDEX(BBG_Data!$N$2:$N$4000,MATCH($A1008,BBG_Data!$M$2:$M$4000,0)),NA()))</f>
        <v/>
      </c>
      <c r="AD1008" s="18">
        <f>IF(NOT(ISNUMBER($A1008)),NA(),IFERROR(1*INDEX(BBG_Data!$P$2:$P$4000,MATCH($A1008,BBG_Data!$O$2:$O$4000,0)),NA()))</f>
        <v/>
      </c>
      <c r="AE1008" s="18">
        <f>IF(NOT(ISNUMBER($A1008)),NA(),IFERROR(1*INDEX(BBG_Data!$R$2:$R$4000,MATCH($A1008,BBG_Data!$Q$2:$Q$4000,0)),NA()))</f>
        <v/>
      </c>
      <c r="AF1008" s="20">
        <f>IF(AND(ISNUMBER(B1008),ISNUMBER(AC1008)),(B1008-AC1008)*100,NA())</f>
        <v/>
      </c>
      <c r="AG1008" s="20">
        <f>IF(AND(ISNUMBER(AE1008),ISNUMBER(AD1008)),(AE1008-AD1008)*100,NA())</f>
        <v/>
      </c>
      <c r="AH1008" s="19">
        <f>IF(NOT(ISNUMBER($A1008)),NA(),IFERROR(INDEX(BBG_Data!$T$2:$T$4000,MATCH($A1008,BBG_Data!$S$2:$S$4000,0))*Settings!$B$25,NA()))</f>
        <v/>
      </c>
      <c r="AI1008" s="19">
        <f>IF(NOT(ISNUMBER($A1008)),NA(),IFERROR(INDEX(BBG_Data!$V$2:$V$4000,MATCH($A1008,BBG_Data!$U$2:$U$4000,0))*Settings!$B$25,NA()))</f>
        <v/>
      </c>
      <c r="AJ1008" s="19">
        <f>IF(NOT(ISNUMBER($A1008)),NA(),IFERROR(1*INDEX(BBG_Data!$X$2:$X$4000,MATCH($A1008,BBG_Data!$W$2:$W$4000,0)),NA()))</f>
        <v/>
      </c>
      <c r="AK1008" s="19">
        <f>IF(NOT(ISNUMBER($A1008)),NA(),IFERROR(1*INDEX(BBG_Data!$Z$2:$Z$4000,MATCH($A1008,BBG_Data!$Y$2:$Y$4000,0)),NA()))</f>
        <v/>
      </c>
    </row>
    <row r="1009">
      <c r="A1009" s="17">
        <f>IF(ISNUMBER(BBG_Data!A1009),BBG_Data!A1009,"")</f>
        <v/>
      </c>
      <c r="B1009" s="18">
        <f>IF(AND(ISNUMBER($A1009),ISNUMBER(BBG_Data!B1009)),BBG_Data!B1009,NA())</f>
        <v/>
      </c>
      <c r="C1009" s="18">
        <f>IF(NOT(ISNUMBER($A1009)),NA(),IFERROR(1*INDEX(BBG_Data!$D$2:$D$4000,MATCH($A1009,BBG_Data!$C$2:$C$4000,0)),NA()))</f>
        <v/>
      </c>
      <c r="D1009" s="19">
        <f>IF(NOT(ISNUMBER($A1009)),NA(),IFERROR(1*INDEX(BBG_Data!$F$2:$F$4000,MATCH($A1009,BBG_Data!$E$2:$E$4000,0)),NA()))</f>
        <v/>
      </c>
      <c r="E1009" s="19">
        <f>IF(NOT(ISNUMBER($A1009)),NA(),IFERROR(1*INDEX(BBG_Data!$H$2:$H$4000,MATCH($A1009,BBG_Data!$G$2:$G$4000,0)),NA()))</f>
        <v/>
      </c>
      <c r="F1009" s="20">
        <f>IF(AND(ISNUMBER(B1009),ISNUMBER(B1008)),IF(B1009=B1008,"",(B1009-B1008)*100),"")</f>
        <v/>
      </c>
      <c r="G1009" s="20">
        <f>IF(AND(ISNUMBER(C1009),ISNUMBER(C1008)),IF(C1009=C1008,"",(C1009-C1008)*100),"")</f>
        <v/>
      </c>
      <c r="H1009" s="20">
        <f>IF(OR(NOT(ISNUMBER($A1009)),ROW()-2&lt;Settings!$B$11),NA(),IF(COUNT(OFFSET(F1009,1-Settings!$B$11,0,Settings!$B$11,1))&lt;ROUNDUP(Settings!$B$11*Settings!$B$26,0),NA(),STDEV(OFFSET(F1009,1-Settings!$B$11,0,Settings!$B$11,1))*SQRT(Settings!$B$13)))</f>
        <v/>
      </c>
      <c r="I1009" s="20">
        <f>IF(OR(NOT(ISNUMBER($A1009)),ROW()-2&lt;Settings!$B$12),NA(),IF(COUNT(OFFSET(F1009,1-Settings!$B$12,0,Settings!$B$12,1))&lt;ROUNDUP(Settings!$B$12*Settings!$B$26,0),NA(),STDEV(OFFSET(F1009,1-Settings!$B$12,0,Settings!$B$12,1))*SQRT(Settings!$B$13)))</f>
        <v/>
      </c>
      <c r="J1009" s="20">
        <f>IF(OR(NOT(ISNUMBER($A1009)),ROW()-2&lt;Settings!$B$11),NA(),IF(COUNT(OFFSET(G1009,1-Settings!$B$11,0,Settings!$B$11,1))&lt;ROUNDUP(Settings!$B$11*Settings!$B$26,0),NA(),STDEV(OFFSET(G1009,1-Settings!$B$11,0,Settings!$B$11,1))*SQRT(Settings!$B$13)))</f>
        <v/>
      </c>
      <c r="K1009" s="20">
        <f>IF(OR(NOT(ISNUMBER($A1009)),ROW()-2&lt;Settings!$B$12),NA(),IF(COUNT(OFFSET(G1009,1-Settings!$B$12,0,Settings!$B$12,1))&lt;ROUNDUP(Settings!$B$12*Settings!$B$26,0),NA(),STDEV(OFFSET(G1009,1-Settings!$B$12,0,Settings!$B$12,1))*SQRT(Settings!$B$13)))</f>
        <v/>
      </c>
      <c r="L1009" s="20">
        <f>IF(AND(ISNUMBER(D1009),ISNUMBER(H1009)),D1009-H1009,NA())</f>
        <v/>
      </c>
      <c r="M1009" s="20">
        <f>IF(AND(ISNUMBER(E1009),ISNUMBER(K1009)),E1009-K1009,NA())</f>
        <v/>
      </c>
      <c r="N1009" s="20">
        <f>IF(NOT(ISNUMBER($A1009)),NA(),IF(COUNT(OFFSET(G1009,1,0,Settings!$B$12,1))&lt;ROUNDUP(Settings!$B$12*Settings!$B$26,0),NA(),STDEV(OFFSET(G1009,1,0,Settings!$B$12,1))*SQRT(Settings!$B$13)))</f>
        <v/>
      </c>
      <c r="O1009" s="20">
        <f>IF(AND(ISNUMBER(E1009),ISNUMBER(N1009)),E1009-N1009,NA())</f>
        <v/>
      </c>
      <c r="P1009" s="19">
        <f>IF(NOT(ISNUMBER($A1009)),NA(),IF(OR($A1009&lt;MIN(KW_TP!$A$2:$A$2501),$A1009&gt;MAX(KW_TP!$A$2:$A$2501)),NA(),INDEX(KW_TP!$C$2:$C$2501,MATCH($A1009,KW_TP!$A$2:$A$2501,1))))</f>
        <v/>
      </c>
      <c r="Q1009" s="18">
        <f>IF(NOT(ISNUMBER($A1009)),NA(),IFERROR(1*INDEX(BBG_Data!$J$2:$J$4000,MATCH($A1009,BBG_Data!$I$2:$I$4000,0)),NA()))</f>
        <v/>
      </c>
      <c r="R1009" s="18">
        <f>IF(NOT(ISNUMBER($A1009)),NA(),IFERROR(1*INDEX(BBG_Data!$L$2:$L$4000,MATCH($A1009,BBG_Data!$K$2:$K$4000,0)),NA()))</f>
        <v/>
      </c>
      <c r="S1009" s="20">
        <f>IF(AND(ISNUMBER(B1009),ISNUMBER(Q1009),ISNUMBER(R1009)),(B1009-Q1009-R1009)*100,NA())</f>
        <v/>
      </c>
      <c r="T1009" s="20">
        <f>IF(AND(ISNUMBER(B1009),Settings!$B$17&gt;0),IF(ISNUMBER(INDEX($B:$B,Settings!$B$17)),(B1009-INDEX($B:$B,Settings!$B$17))*100,NA()),NA())</f>
        <v/>
      </c>
      <c r="U1009" s="20">
        <f>IF(AND(ISNUMBER(Q1009),Settings!$B$17&gt;0),IF(ISNUMBER(INDEX($Q:$Q,Settings!$B$17)),(Q1009-INDEX($Q:$Q,Settings!$B$17))*100,NA()),NA())</f>
        <v/>
      </c>
      <c r="V1009" s="20">
        <f>IF(AND(ISNUMBER(R1009),Settings!$B$17&gt;0),IF(ISNUMBER(INDEX($R:$R,Settings!$B$17)),(R1009-INDEX($R:$R,Settings!$B$17))*100,NA()),NA())</f>
        <v/>
      </c>
      <c r="W1009" s="20">
        <f>IF(AND(ISNUMBER(P1009),Settings!$B$17&gt;0),IF(ISNUMBER(INDEX($P:$P,Settings!$B$17)),P1009-INDEX($P:$P,Settings!$B$17),NA()),NA())</f>
        <v/>
      </c>
      <c r="X1009" s="19">
        <f>IF(NOT(ISNUMBER($A1009)),NA(),IF(OR($A1009&lt;MIN(DKW_10Y!$A$2:$A$2918),$A1009&gt;MAX(DKW_10Y!$A$2:$A$2918),Settings!$B$16&lt;MIN(DKW_10Y!$A$2:$A$2918)),NA(),(INDEX(DKW_10Y!$B$2:$B$2918,MATCH($A1009,DKW_10Y!$A$2:$A$2918,1))-INDEX(DKW_10Y!$B$2:$B$2918,MATCH(Settings!$B$16,DKW_10Y!$A$2:$A$2918,1)))*100))</f>
        <v/>
      </c>
      <c r="Y1009" s="19">
        <f>IF(NOT(ISNUMBER($A1009)),NA(),IF(OR($A1009&lt;MIN(DKW_10Y!$A$2:$A$2918),$A1009&gt;MAX(DKW_10Y!$A$2:$A$2918),Settings!$B$16&lt;MIN(DKW_10Y!$A$2:$A$2918)),NA(),(INDEX(DKW_10Y!$C$2:$C$2918,MATCH($A1009,DKW_10Y!$A$2:$A$2918,1))-INDEX(DKW_10Y!$C$2:$C$2918,MATCH(Settings!$B$16,DKW_10Y!$A$2:$A$2918,1)))*100))</f>
        <v/>
      </c>
      <c r="Z1009" s="19">
        <f>IF(NOT(ISNUMBER($A1009)),NA(),IF(OR($A1009&lt;MIN(DKW_10Y!$A$2:$A$2918),$A1009&gt;MAX(DKW_10Y!$A$2:$A$2918),Settings!$B$16&lt;MIN(DKW_10Y!$A$2:$A$2918)),NA(),(INDEX(DKW_10Y!$D$2:$D$2918,MATCH($A1009,DKW_10Y!$A$2:$A$2918,1))-INDEX(DKW_10Y!$D$2:$D$2918,MATCH(Settings!$B$16,DKW_10Y!$A$2:$A$2918,1)))*100))</f>
        <v/>
      </c>
      <c r="AA1009" s="19">
        <f>IF(NOT(ISNUMBER($A1009)),NA(),IF(OR($A1009&lt;MIN(DKW_10Y!$A$2:$A$2918),$A1009&gt;MAX(DKW_10Y!$A$2:$A$2918),Settings!$B$16&lt;MIN(DKW_10Y!$A$2:$A$2918)),NA(),(INDEX(DKW_10Y!$E$2:$E$2918,MATCH($A1009,DKW_10Y!$A$2:$A$2918,1))-INDEX(DKW_10Y!$E$2:$E$2918,MATCH(Settings!$B$16,DKW_10Y!$A$2:$A$2918,1)))*100))</f>
        <v/>
      </c>
      <c r="AB1009" s="19">
        <f>IF(NOT(ISNUMBER($A1009)),NA(),IF(OR($A1009&lt;MIN(DKW_10Y!$A$2:$A$2918),$A1009&gt;MAX(DKW_10Y!$A$2:$A$2918),Settings!$B$16&lt;MIN(DKW_10Y!$A$2:$A$2918)),NA(),(INDEX(DKW_10Y!$H$2:$H$2918,MATCH($A1009,DKW_10Y!$A$2:$A$2918,1))-INDEX(DKW_10Y!$H$2:$H$2918,MATCH(Settings!$B$16,DKW_10Y!$A$2:$A$2918,1)))*100))</f>
        <v/>
      </c>
      <c r="AC1009" s="18">
        <f>IF(NOT(ISNUMBER($A1009)),NA(),IFERROR(1*INDEX(BBG_Data!$N$2:$N$4000,MATCH($A1009,BBG_Data!$M$2:$M$4000,0)),NA()))</f>
        <v/>
      </c>
      <c r="AD1009" s="18">
        <f>IF(NOT(ISNUMBER($A1009)),NA(),IFERROR(1*INDEX(BBG_Data!$P$2:$P$4000,MATCH($A1009,BBG_Data!$O$2:$O$4000,0)),NA()))</f>
        <v/>
      </c>
      <c r="AE1009" s="18">
        <f>IF(NOT(ISNUMBER($A1009)),NA(),IFERROR(1*INDEX(BBG_Data!$R$2:$R$4000,MATCH($A1009,BBG_Data!$Q$2:$Q$4000,0)),NA()))</f>
        <v/>
      </c>
      <c r="AF1009" s="20">
        <f>IF(AND(ISNUMBER(B1009),ISNUMBER(AC1009)),(B1009-AC1009)*100,NA())</f>
        <v/>
      </c>
      <c r="AG1009" s="20">
        <f>IF(AND(ISNUMBER(AE1009),ISNUMBER(AD1009)),(AE1009-AD1009)*100,NA())</f>
        <v/>
      </c>
      <c r="AH1009" s="19">
        <f>IF(NOT(ISNUMBER($A1009)),NA(),IFERROR(INDEX(BBG_Data!$T$2:$T$4000,MATCH($A1009,BBG_Data!$S$2:$S$4000,0))*Settings!$B$25,NA()))</f>
        <v/>
      </c>
      <c r="AI1009" s="19">
        <f>IF(NOT(ISNUMBER($A1009)),NA(),IFERROR(INDEX(BBG_Data!$V$2:$V$4000,MATCH($A1009,BBG_Data!$U$2:$U$4000,0))*Settings!$B$25,NA()))</f>
        <v/>
      </c>
      <c r="AJ1009" s="19">
        <f>IF(NOT(ISNUMBER($A1009)),NA(),IFERROR(1*INDEX(BBG_Data!$X$2:$X$4000,MATCH($A1009,BBG_Data!$W$2:$W$4000,0)),NA()))</f>
        <v/>
      </c>
      <c r="AK1009" s="19">
        <f>IF(NOT(ISNUMBER($A1009)),NA(),IFERROR(1*INDEX(BBG_Data!$Z$2:$Z$4000,MATCH($A1009,BBG_Data!$Y$2:$Y$4000,0)),NA()))</f>
        <v/>
      </c>
    </row>
    <row r="1010">
      <c r="A1010" s="17">
        <f>IF(ISNUMBER(BBG_Data!A1010),BBG_Data!A1010,"")</f>
        <v/>
      </c>
      <c r="B1010" s="18">
        <f>IF(AND(ISNUMBER($A1010),ISNUMBER(BBG_Data!B1010)),BBG_Data!B1010,NA())</f>
        <v/>
      </c>
      <c r="C1010" s="18">
        <f>IF(NOT(ISNUMBER($A1010)),NA(),IFERROR(1*INDEX(BBG_Data!$D$2:$D$4000,MATCH($A1010,BBG_Data!$C$2:$C$4000,0)),NA()))</f>
        <v/>
      </c>
      <c r="D1010" s="19">
        <f>IF(NOT(ISNUMBER($A1010)),NA(),IFERROR(1*INDEX(BBG_Data!$F$2:$F$4000,MATCH($A1010,BBG_Data!$E$2:$E$4000,0)),NA()))</f>
        <v/>
      </c>
      <c r="E1010" s="19">
        <f>IF(NOT(ISNUMBER($A1010)),NA(),IFERROR(1*INDEX(BBG_Data!$H$2:$H$4000,MATCH($A1010,BBG_Data!$G$2:$G$4000,0)),NA()))</f>
        <v/>
      </c>
      <c r="F1010" s="20">
        <f>IF(AND(ISNUMBER(B1010),ISNUMBER(B1009)),IF(B1010=B1009,"",(B1010-B1009)*100),"")</f>
        <v/>
      </c>
      <c r="G1010" s="20">
        <f>IF(AND(ISNUMBER(C1010),ISNUMBER(C1009)),IF(C1010=C1009,"",(C1010-C1009)*100),"")</f>
        <v/>
      </c>
      <c r="H1010" s="20">
        <f>IF(OR(NOT(ISNUMBER($A1010)),ROW()-2&lt;Settings!$B$11),NA(),IF(COUNT(OFFSET(F1010,1-Settings!$B$11,0,Settings!$B$11,1))&lt;ROUNDUP(Settings!$B$11*Settings!$B$26,0),NA(),STDEV(OFFSET(F1010,1-Settings!$B$11,0,Settings!$B$11,1))*SQRT(Settings!$B$13)))</f>
        <v/>
      </c>
      <c r="I1010" s="20">
        <f>IF(OR(NOT(ISNUMBER($A1010)),ROW()-2&lt;Settings!$B$12),NA(),IF(COUNT(OFFSET(F1010,1-Settings!$B$12,0,Settings!$B$12,1))&lt;ROUNDUP(Settings!$B$12*Settings!$B$26,0),NA(),STDEV(OFFSET(F1010,1-Settings!$B$12,0,Settings!$B$12,1))*SQRT(Settings!$B$13)))</f>
        <v/>
      </c>
      <c r="J1010" s="20">
        <f>IF(OR(NOT(ISNUMBER($A1010)),ROW()-2&lt;Settings!$B$11),NA(),IF(COUNT(OFFSET(G1010,1-Settings!$B$11,0,Settings!$B$11,1))&lt;ROUNDUP(Settings!$B$11*Settings!$B$26,0),NA(),STDEV(OFFSET(G1010,1-Settings!$B$11,0,Settings!$B$11,1))*SQRT(Settings!$B$13)))</f>
        <v/>
      </c>
      <c r="K1010" s="20">
        <f>IF(OR(NOT(ISNUMBER($A1010)),ROW()-2&lt;Settings!$B$12),NA(),IF(COUNT(OFFSET(G1010,1-Settings!$B$12,0,Settings!$B$12,1))&lt;ROUNDUP(Settings!$B$12*Settings!$B$26,0),NA(),STDEV(OFFSET(G1010,1-Settings!$B$12,0,Settings!$B$12,1))*SQRT(Settings!$B$13)))</f>
        <v/>
      </c>
      <c r="L1010" s="20">
        <f>IF(AND(ISNUMBER(D1010),ISNUMBER(H1010)),D1010-H1010,NA())</f>
        <v/>
      </c>
      <c r="M1010" s="20">
        <f>IF(AND(ISNUMBER(E1010),ISNUMBER(K1010)),E1010-K1010,NA())</f>
        <v/>
      </c>
      <c r="N1010" s="20">
        <f>IF(NOT(ISNUMBER($A1010)),NA(),IF(COUNT(OFFSET(G1010,1,0,Settings!$B$12,1))&lt;ROUNDUP(Settings!$B$12*Settings!$B$26,0),NA(),STDEV(OFFSET(G1010,1,0,Settings!$B$12,1))*SQRT(Settings!$B$13)))</f>
        <v/>
      </c>
      <c r="O1010" s="20">
        <f>IF(AND(ISNUMBER(E1010),ISNUMBER(N1010)),E1010-N1010,NA())</f>
        <v/>
      </c>
      <c r="P1010" s="19">
        <f>IF(NOT(ISNUMBER($A1010)),NA(),IF(OR($A1010&lt;MIN(KW_TP!$A$2:$A$2501),$A1010&gt;MAX(KW_TP!$A$2:$A$2501)),NA(),INDEX(KW_TP!$C$2:$C$2501,MATCH($A1010,KW_TP!$A$2:$A$2501,1))))</f>
        <v/>
      </c>
      <c r="Q1010" s="18">
        <f>IF(NOT(ISNUMBER($A1010)),NA(),IFERROR(1*INDEX(BBG_Data!$J$2:$J$4000,MATCH($A1010,BBG_Data!$I$2:$I$4000,0)),NA()))</f>
        <v/>
      </c>
      <c r="R1010" s="18">
        <f>IF(NOT(ISNUMBER($A1010)),NA(),IFERROR(1*INDEX(BBG_Data!$L$2:$L$4000,MATCH($A1010,BBG_Data!$K$2:$K$4000,0)),NA()))</f>
        <v/>
      </c>
      <c r="S1010" s="20">
        <f>IF(AND(ISNUMBER(B1010),ISNUMBER(Q1010),ISNUMBER(R1010)),(B1010-Q1010-R1010)*100,NA())</f>
        <v/>
      </c>
      <c r="T1010" s="20">
        <f>IF(AND(ISNUMBER(B1010),Settings!$B$17&gt;0),IF(ISNUMBER(INDEX($B:$B,Settings!$B$17)),(B1010-INDEX($B:$B,Settings!$B$17))*100,NA()),NA())</f>
        <v/>
      </c>
      <c r="U1010" s="20">
        <f>IF(AND(ISNUMBER(Q1010),Settings!$B$17&gt;0),IF(ISNUMBER(INDEX($Q:$Q,Settings!$B$17)),(Q1010-INDEX($Q:$Q,Settings!$B$17))*100,NA()),NA())</f>
        <v/>
      </c>
      <c r="V1010" s="20">
        <f>IF(AND(ISNUMBER(R1010),Settings!$B$17&gt;0),IF(ISNUMBER(INDEX($R:$R,Settings!$B$17)),(R1010-INDEX($R:$R,Settings!$B$17))*100,NA()),NA())</f>
        <v/>
      </c>
      <c r="W1010" s="20">
        <f>IF(AND(ISNUMBER(P1010),Settings!$B$17&gt;0),IF(ISNUMBER(INDEX($P:$P,Settings!$B$17)),P1010-INDEX($P:$P,Settings!$B$17),NA()),NA())</f>
        <v/>
      </c>
      <c r="X1010" s="19">
        <f>IF(NOT(ISNUMBER($A1010)),NA(),IF(OR($A1010&lt;MIN(DKW_10Y!$A$2:$A$2918),$A1010&gt;MAX(DKW_10Y!$A$2:$A$2918),Settings!$B$16&lt;MIN(DKW_10Y!$A$2:$A$2918)),NA(),(INDEX(DKW_10Y!$B$2:$B$2918,MATCH($A1010,DKW_10Y!$A$2:$A$2918,1))-INDEX(DKW_10Y!$B$2:$B$2918,MATCH(Settings!$B$16,DKW_10Y!$A$2:$A$2918,1)))*100))</f>
        <v/>
      </c>
      <c r="Y1010" s="19">
        <f>IF(NOT(ISNUMBER($A1010)),NA(),IF(OR($A1010&lt;MIN(DKW_10Y!$A$2:$A$2918),$A1010&gt;MAX(DKW_10Y!$A$2:$A$2918),Settings!$B$16&lt;MIN(DKW_10Y!$A$2:$A$2918)),NA(),(INDEX(DKW_10Y!$C$2:$C$2918,MATCH($A1010,DKW_10Y!$A$2:$A$2918,1))-INDEX(DKW_10Y!$C$2:$C$2918,MATCH(Settings!$B$16,DKW_10Y!$A$2:$A$2918,1)))*100))</f>
        <v/>
      </c>
      <c r="Z1010" s="19">
        <f>IF(NOT(ISNUMBER($A1010)),NA(),IF(OR($A1010&lt;MIN(DKW_10Y!$A$2:$A$2918),$A1010&gt;MAX(DKW_10Y!$A$2:$A$2918),Settings!$B$16&lt;MIN(DKW_10Y!$A$2:$A$2918)),NA(),(INDEX(DKW_10Y!$D$2:$D$2918,MATCH($A1010,DKW_10Y!$A$2:$A$2918,1))-INDEX(DKW_10Y!$D$2:$D$2918,MATCH(Settings!$B$16,DKW_10Y!$A$2:$A$2918,1)))*100))</f>
        <v/>
      </c>
      <c r="AA1010" s="19">
        <f>IF(NOT(ISNUMBER($A1010)),NA(),IF(OR($A1010&lt;MIN(DKW_10Y!$A$2:$A$2918),$A1010&gt;MAX(DKW_10Y!$A$2:$A$2918),Settings!$B$16&lt;MIN(DKW_10Y!$A$2:$A$2918)),NA(),(INDEX(DKW_10Y!$E$2:$E$2918,MATCH($A1010,DKW_10Y!$A$2:$A$2918,1))-INDEX(DKW_10Y!$E$2:$E$2918,MATCH(Settings!$B$16,DKW_10Y!$A$2:$A$2918,1)))*100))</f>
        <v/>
      </c>
      <c r="AB1010" s="19">
        <f>IF(NOT(ISNUMBER($A1010)),NA(),IF(OR($A1010&lt;MIN(DKW_10Y!$A$2:$A$2918),$A1010&gt;MAX(DKW_10Y!$A$2:$A$2918),Settings!$B$16&lt;MIN(DKW_10Y!$A$2:$A$2918)),NA(),(INDEX(DKW_10Y!$H$2:$H$2918,MATCH($A1010,DKW_10Y!$A$2:$A$2918,1))-INDEX(DKW_10Y!$H$2:$H$2918,MATCH(Settings!$B$16,DKW_10Y!$A$2:$A$2918,1)))*100))</f>
        <v/>
      </c>
      <c r="AC1010" s="18">
        <f>IF(NOT(ISNUMBER($A1010)),NA(),IFERROR(1*INDEX(BBG_Data!$N$2:$N$4000,MATCH($A1010,BBG_Data!$M$2:$M$4000,0)),NA()))</f>
        <v/>
      </c>
      <c r="AD1010" s="18">
        <f>IF(NOT(ISNUMBER($A1010)),NA(),IFERROR(1*INDEX(BBG_Data!$P$2:$P$4000,MATCH($A1010,BBG_Data!$O$2:$O$4000,0)),NA()))</f>
        <v/>
      </c>
      <c r="AE1010" s="18">
        <f>IF(NOT(ISNUMBER($A1010)),NA(),IFERROR(1*INDEX(BBG_Data!$R$2:$R$4000,MATCH($A1010,BBG_Data!$Q$2:$Q$4000,0)),NA()))</f>
        <v/>
      </c>
      <c r="AF1010" s="20">
        <f>IF(AND(ISNUMBER(B1010),ISNUMBER(AC1010)),(B1010-AC1010)*100,NA())</f>
        <v/>
      </c>
      <c r="AG1010" s="20">
        <f>IF(AND(ISNUMBER(AE1010),ISNUMBER(AD1010)),(AE1010-AD1010)*100,NA())</f>
        <v/>
      </c>
      <c r="AH1010" s="19">
        <f>IF(NOT(ISNUMBER($A1010)),NA(),IFERROR(INDEX(BBG_Data!$T$2:$T$4000,MATCH($A1010,BBG_Data!$S$2:$S$4000,0))*Settings!$B$25,NA()))</f>
        <v/>
      </c>
      <c r="AI1010" s="19">
        <f>IF(NOT(ISNUMBER($A1010)),NA(),IFERROR(INDEX(BBG_Data!$V$2:$V$4000,MATCH($A1010,BBG_Data!$U$2:$U$4000,0))*Settings!$B$25,NA()))</f>
        <v/>
      </c>
      <c r="AJ1010" s="19">
        <f>IF(NOT(ISNUMBER($A1010)),NA(),IFERROR(1*INDEX(BBG_Data!$X$2:$X$4000,MATCH($A1010,BBG_Data!$W$2:$W$4000,0)),NA()))</f>
        <v/>
      </c>
      <c r="AK1010" s="19">
        <f>IF(NOT(ISNUMBER($A1010)),NA(),IFERROR(1*INDEX(BBG_Data!$Z$2:$Z$4000,MATCH($A1010,BBG_Data!$Y$2:$Y$4000,0)),NA()))</f>
        <v/>
      </c>
    </row>
    <row r="1011">
      <c r="A1011" s="17">
        <f>IF(ISNUMBER(BBG_Data!A1011),BBG_Data!A1011,"")</f>
        <v/>
      </c>
      <c r="B1011" s="18">
        <f>IF(AND(ISNUMBER($A1011),ISNUMBER(BBG_Data!B1011)),BBG_Data!B1011,NA())</f>
        <v/>
      </c>
      <c r="C1011" s="18">
        <f>IF(NOT(ISNUMBER($A1011)),NA(),IFERROR(1*INDEX(BBG_Data!$D$2:$D$4000,MATCH($A1011,BBG_Data!$C$2:$C$4000,0)),NA()))</f>
        <v/>
      </c>
      <c r="D1011" s="19">
        <f>IF(NOT(ISNUMBER($A1011)),NA(),IFERROR(1*INDEX(BBG_Data!$F$2:$F$4000,MATCH($A1011,BBG_Data!$E$2:$E$4000,0)),NA()))</f>
        <v/>
      </c>
      <c r="E1011" s="19">
        <f>IF(NOT(ISNUMBER($A1011)),NA(),IFERROR(1*INDEX(BBG_Data!$H$2:$H$4000,MATCH($A1011,BBG_Data!$G$2:$G$4000,0)),NA()))</f>
        <v/>
      </c>
      <c r="F1011" s="20">
        <f>IF(AND(ISNUMBER(B1011),ISNUMBER(B1010)),IF(B1011=B1010,"",(B1011-B1010)*100),"")</f>
        <v/>
      </c>
      <c r="G1011" s="20">
        <f>IF(AND(ISNUMBER(C1011),ISNUMBER(C1010)),IF(C1011=C1010,"",(C1011-C1010)*100),"")</f>
        <v/>
      </c>
      <c r="H1011" s="20">
        <f>IF(OR(NOT(ISNUMBER($A1011)),ROW()-2&lt;Settings!$B$11),NA(),IF(COUNT(OFFSET(F1011,1-Settings!$B$11,0,Settings!$B$11,1))&lt;ROUNDUP(Settings!$B$11*Settings!$B$26,0),NA(),STDEV(OFFSET(F1011,1-Settings!$B$11,0,Settings!$B$11,1))*SQRT(Settings!$B$13)))</f>
        <v/>
      </c>
      <c r="I1011" s="20">
        <f>IF(OR(NOT(ISNUMBER($A1011)),ROW()-2&lt;Settings!$B$12),NA(),IF(COUNT(OFFSET(F1011,1-Settings!$B$12,0,Settings!$B$12,1))&lt;ROUNDUP(Settings!$B$12*Settings!$B$26,0),NA(),STDEV(OFFSET(F1011,1-Settings!$B$12,0,Settings!$B$12,1))*SQRT(Settings!$B$13)))</f>
        <v/>
      </c>
      <c r="J1011" s="20">
        <f>IF(OR(NOT(ISNUMBER($A1011)),ROW()-2&lt;Settings!$B$11),NA(),IF(COUNT(OFFSET(G1011,1-Settings!$B$11,0,Settings!$B$11,1))&lt;ROUNDUP(Settings!$B$11*Settings!$B$26,0),NA(),STDEV(OFFSET(G1011,1-Settings!$B$11,0,Settings!$B$11,1))*SQRT(Settings!$B$13)))</f>
        <v/>
      </c>
      <c r="K1011" s="20">
        <f>IF(OR(NOT(ISNUMBER($A1011)),ROW()-2&lt;Settings!$B$12),NA(),IF(COUNT(OFFSET(G1011,1-Settings!$B$12,0,Settings!$B$12,1))&lt;ROUNDUP(Settings!$B$12*Settings!$B$26,0),NA(),STDEV(OFFSET(G1011,1-Settings!$B$12,0,Settings!$B$12,1))*SQRT(Settings!$B$13)))</f>
        <v/>
      </c>
      <c r="L1011" s="20">
        <f>IF(AND(ISNUMBER(D1011),ISNUMBER(H1011)),D1011-H1011,NA())</f>
        <v/>
      </c>
      <c r="M1011" s="20">
        <f>IF(AND(ISNUMBER(E1011),ISNUMBER(K1011)),E1011-K1011,NA())</f>
        <v/>
      </c>
      <c r="N1011" s="20">
        <f>IF(NOT(ISNUMBER($A1011)),NA(),IF(COUNT(OFFSET(G1011,1,0,Settings!$B$12,1))&lt;ROUNDUP(Settings!$B$12*Settings!$B$26,0),NA(),STDEV(OFFSET(G1011,1,0,Settings!$B$12,1))*SQRT(Settings!$B$13)))</f>
        <v/>
      </c>
      <c r="O1011" s="20">
        <f>IF(AND(ISNUMBER(E1011),ISNUMBER(N1011)),E1011-N1011,NA())</f>
        <v/>
      </c>
      <c r="P1011" s="19">
        <f>IF(NOT(ISNUMBER($A1011)),NA(),IF(OR($A1011&lt;MIN(KW_TP!$A$2:$A$2501),$A1011&gt;MAX(KW_TP!$A$2:$A$2501)),NA(),INDEX(KW_TP!$C$2:$C$2501,MATCH($A1011,KW_TP!$A$2:$A$2501,1))))</f>
        <v/>
      </c>
      <c r="Q1011" s="18">
        <f>IF(NOT(ISNUMBER($A1011)),NA(),IFERROR(1*INDEX(BBG_Data!$J$2:$J$4000,MATCH($A1011,BBG_Data!$I$2:$I$4000,0)),NA()))</f>
        <v/>
      </c>
      <c r="R1011" s="18">
        <f>IF(NOT(ISNUMBER($A1011)),NA(),IFERROR(1*INDEX(BBG_Data!$L$2:$L$4000,MATCH($A1011,BBG_Data!$K$2:$K$4000,0)),NA()))</f>
        <v/>
      </c>
      <c r="S1011" s="20">
        <f>IF(AND(ISNUMBER(B1011),ISNUMBER(Q1011),ISNUMBER(R1011)),(B1011-Q1011-R1011)*100,NA())</f>
        <v/>
      </c>
      <c r="T1011" s="20">
        <f>IF(AND(ISNUMBER(B1011),Settings!$B$17&gt;0),IF(ISNUMBER(INDEX($B:$B,Settings!$B$17)),(B1011-INDEX($B:$B,Settings!$B$17))*100,NA()),NA())</f>
        <v/>
      </c>
      <c r="U1011" s="20">
        <f>IF(AND(ISNUMBER(Q1011),Settings!$B$17&gt;0),IF(ISNUMBER(INDEX($Q:$Q,Settings!$B$17)),(Q1011-INDEX($Q:$Q,Settings!$B$17))*100,NA()),NA())</f>
        <v/>
      </c>
      <c r="V1011" s="20">
        <f>IF(AND(ISNUMBER(R1011),Settings!$B$17&gt;0),IF(ISNUMBER(INDEX($R:$R,Settings!$B$17)),(R1011-INDEX($R:$R,Settings!$B$17))*100,NA()),NA())</f>
        <v/>
      </c>
      <c r="W1011" s="20">
        <f>IF(AND(ISNUMBER(P1011),Settings!$B$17&gt;0),IF(ISNUMBER(INDEX($P:$P,Settings!$B$17)),P1011-INDEX($P:$P,Settings!$B$17),NA()),NA())</f>
        <v/>
      </c>
      <c r="X1011" s="19">
        <f>IF(NOT(ISNUMBER($A1011)),NA(),IF(OR($A1011&lt;MIN(DKW_10Y!$A$2:$A$2918),$A1011&gt;MAX(DKW_10Y!$A$2:$A$2918),Settings!$B$16&lt;MIN(DKW_10Y!$A$2:$A$2918)),NA(),(INDEX(DKW_10Y!$B$2:$B$2918,MATCH($A1011,DKW_10Y!$A$2:$A$2918,1))-INDEX(DKW_10Y!$B$2:$B$2918,MATCH(Settings!$B$16,DKW_10Y!$A$2:$A$2918,1)))*100))</f>
        <v/>
      </c>
      <c r="Y1011" s="19">
        <f>IF(NOT(ISNUMBER($A1011)),NA(),IF(OR($A1011&lt;MIN(DKW_10Y!$A$2:$A$2918),$A1011&gt;MAX(DKW_10Y!$A$2:$A$2918),Settings!$B$16&lt;MIN(DKW_10Y!$A$2:$A$2918)),NA(),(INDEX(DKW_10Y!$C$2:$C$2918,MATCH($A1011,DKW_10Y!$A$2:$A$2918,1))-INDEX(DKW_10Y!$C$2:$C$2918,MATCH(Settings!$B$16,DKW_10Y!$A$2:$A$2918,1)))*100))</f>
        <v/>
      </c>
      <c r="Z1011" s="19">
        <f>IF(NOT(ISNUMBER($A1011)),NA(),IF(OR($A1011&lt;MIN(DKW_10Y!$A$2:$A$2918),$A1011&gt;MAX(DKW_10Y!$A$2:$A$2918),Settings!$B$16&lt;MIN(DKW_10Y!$A$2:$A$2918)),NA(),(INDEX(DKW_10Y!$D$2:$D$2918,MATCH($A1011,DKW_10Y!$A$2:$A$2918,1))-INDEX(DKW_10Y!$D$2:$D$2918,MATCH(Settings!$B$16,DKW_10Y!$A$2:$A$2918,1)))*100))</f>
        <v/>
      </c>
      <c r="AA1011" s="19">
        <f>IF(NOT(ISNUMBER($A1011)),NA(),IF(OR($A1011&lt;MIN(DKW_10Y!$A$2:$A$2918),$A1011&gt;MAX(DKW_10Y!$A$2:$A$2918),Settings!$B$16&lt;MIN(DKW_10Y!$A$2:$A$2918)),NA(),(INDEX(DKW_10Y!$E$2:$E$2918,MATCH($A1011,DKW_10Y!$A$2:$A$2918,1))-INDEX(DKW_10Y!$E$2:$E$2918,MATCH(Settings!$B$16,DKW_10Y!$A$2:$A$2918,1)))*100))</f>
        <v/>
      </c>
      <c r="AB1011" s="19">
        <f>IF(NOT(ISNUMBER($A1011)),NA(),IF(OR($A1011&lt;MIN(DKW_10Y!$A$2:$A$2918),$A1011&gt;MAX(DKW_10Y!$A$2:$A$2918),Settings!$B$16&lt;MIN(DKW_10Y!$A$2:$A$2918)),NA(),(INDEX(DKW_10Y!$H$2:$H$2918,MATCH($A1011,DKW_10Y!$A$2:$A$2918,1))-INDEX(DKW_10Y!$H$2:$H$2918,MATCH(Settings!$B$16,DKW_10Y!$A$2:$A$2918,1)))*100))</f>
        <v/>
      </c>
      <c r="AC1011" s="18">
        <f>IF(NOT(ISNUMBER($A1011)),NA(),IFERROR(1*INDEX(BBG_Data!$N$2:$N$4000,MATCH($A1011,BBG_Data!$M$2:$M$4000,0)),NA()))</f>
        <v/>
      </c>
      <c r="AD1011" s="18">
        <f>IF(NOT(ISNUMBER($A1011)),NA(),IFERROR(1*INDEX(BBG_Data!$P$2:$P$4000,MATCH($A1011,BBG_Data!$O$2:$O$4000,0)),NA()))</f>
        <v/>
      </c>
      <c r="AE1011" s="18">
        <f>IF(NOT(ISNUMBER($A1011)),NA(),IFERROR(1*INDEX(BBG_Data!$R$2:$R$4000,MATCH($A1011,BBG_Data!$Q$2:$Q$4000,0)),NA()))</f>
        <v/>
      </c>
      <c r="AF1011" s="20">
        <f>IF(AND(ISNUMBER(B1011),ISNUMBER(AC1011)),(B1011-AC1011)*100,NA())</f>
        <v/>
      </c>
      <c r="AG1011" s="20">
        <f>IF(AND(ISNUMBER(AE1011),ISNUMBER(AD1011)),(AE1011-AD1011)*100,NA())</f>
        <v/>
      </c>
      <c r="AH1011" s="19">
        <f>IF(NOT(ISNUMBER($A1011)),NA(),IFERROR(INDEX(BBG_Data!$T$2:$T$4000,MATCH($A1011,BBG_Data!$S$2:$S$4000,0))*Settings!$B$25,NA()))</f>
        <v/>
      </c>
      <c r="AI1011" s="19">
        <f>IF(NOT(ISNUMBER($A1011)),NA(),IFERROR(INDEX(BBG_Data!$V$2:$V$4000,MATCH($A1011,BBG_Data!$U$2:$U$4000,0))*Settings!$B$25,NA()))</f>
        <v/>
      </c>
      <c r="AJ1011" s="19">
        <f>IF(NOT(ISNUMBER($A1011)),NA(),IFERROR(1*INDEX(BBG_Data!$X$2:$X$4000,MATCH($A1011,BBG_Data!$W$2:$W$4000,0)),NA()))</f>
        <v/>
      </c>
      <c r="AK1011" s="19">
        <f>IF(NOT(ISNUMBER($A1011)),NA(),IFERROR(1*INDEX(BBG_Data!$Z$2:$Z$4000,MATCH($A1011,BBG_Data!$Y$2:$Y$4000,0)),NA()))</f>
        <v/>
      </c>
    </row>
    <row r="1012">
      <c r="A1012" s="17">
        <f>IF(ISNUMBER(BBG_Data!A1012),BBG_Data!A1012,"")</f>
        <v/>
      </c>
      <c r="B1012" s="18">
        <f>IF(AND(ISNUMBER($A1012),ISNUMBER(BBG_Data!B1012)),BBG_Data!B1012,NA())</f>
        <v/>
      </c>
      <c r="C1012" s="18">
        <f>IF(NOT(ISNUMBER($A1012)),NA(),IFERROR(1*INDEX(BBG_Data!$D$2:$D$4000,MATCH($A1012,BBG_Data!$C$2:$C$4000,0)),NA()))</f>
        <v/>
      </c>
      <c r="D1012" s="19">
        <f>IF(NOT(ISNUMBER($A1012)),NA(),IFERROR(1*INDEX(BBG_Data!$F$2:$F$4000,MATCH($A1012,BBG_Data!$E$2:$E$4000,0)),NA()))</f>
        <v/>
      </c>
      <c r="E1012" s="19">
        <f>IF(NOT(ISNUMBER($A1012)),NA(),IFERROR(1*INDEX(BBG_Data!$H$2:$H$4000,MATCH($A1012,BBG_Data!$G$2:$G$4000,0)),NA()))</f>
        <v/>
      </c>
      <c r="F1012" s="20">
        <f>IF(AND(ISNUMBER(B1012),ISNUMBER(B1011)),IF(B1012=B1011,"",(B1012-B1011)*100),"")</f>
        <v/>
      </c>
      <c r="G1012" s="20">
        <f>IF(AND(ISNUMBER(C1012),ISNUMBER(C1011)),IF(C1012=C1011,"",(C1012-C1011)*100),"")</f>
        <v/>
      </c>
      <c r="H1012" s="20">
        <f>IF(OR(NOT(ISNUMBER($A1012)),ROW()-2&lt;Settings!$B$11),NA(),IF(COUNT(OFFSET(F1012,1-Settings!$B$11,0,Settings!$B$11,1))&lt;ROUNDUP(Settings!$B$11*Settings!$B$26,0),NA(),STDEV(OFFSET(F1012,1-Settings!$B$11,0,Settings!$B$11,1))*SQRT(Settings!$B$13)))</f>
        <v/>
      </c>
      <c r="I1012" s="20">
        <f>IF(OR(NOT(ISNUMBER($A1012)),ROW()-2&lt;Settings!$B$12),NA(),IF(COUNT(OFFSET(F1012,1-Settings!$B$12,0,Settings!$B$12,1))&lt;ROUNDUP(Settings!$B$12*Settings!$B$26,0),NA(),STDEV(OFFSET(F1012,1-Settings!$B$12,0,Settings!$B$12,1))*SQRT(Settings!$B$13)))</f>
        <v/>
      </c>
      <c r="J1012" s="20">
        <f>IF(OR(NOT(ISNUMBER($A1012)),ROW()-2&lt;Settings!$B$11),NA(),IF(COUNT(OFFSET(G1012,1-Settings!$B$11,0,Settings!$B$11,1))&lt;ROUNDUP(Settings!$B$11*Settings!$B$26,0),NA(),STDEV(OFFSET(G1012,1-Settings!$B$11,0,Settings!$B$11,1))*SQRT(Settings!$B$13)))</f>
        <v/>
      </c>
      <c r="K1012" s="20">
        <f>IF(OR(NOT(ISNUMBER($A1012)),ROW()-2&lt;Settings!$B$12),NA(),IF(COUNT(OFFSET(G1012,1-Settings!$B$12,0,Settings!$B$12,1))&lt;ROUNDUP(Settings!$B$12*Settings!$B$26,0),NA(),STDEV(OFFSET(G1012,1-Settings!$B$12,0,Settings!$B$12,1))*SQRT(Settings!$B$13)))</f>
        <v/>
      </c>
      <c r="L1012" s="20">
        <f>IF(AND(ISNUMBER(D1012),ISNUMBER(H1012)),D1012-H1012,NA())</f>
        <v/>
      </c>
      <c r="M1012" s="20">
        <f>IF(AND(ISNUMBER(E1012),ISNUMBER(K1012)),E1012-K1012,NA())</f>
        <v/>
      </c>
      <c r="N1012" s="20">
        <f>IF(NOT(ISNUMBER($A1012)),NA(),IF(COUNT(OFFSET(G1012,1,0,Settings!$B$12,1))&lt;ROUNDUP(Settings!$B$12*Settings!$B$26,0),NA(),STDEV(OFFSET(G1012,1,0,Settings!$B$12,1))*SQRT(Settings!$B$13)))</f>
        <v/>
      </c>
      <c r="O1012" s="20">
        <f>IF(AND(ISNUMBER(E1012),ISNUMBER(N1012)),E1012-N1012,NA())</f>
        <v/>
      </c>
      <c r="P1012" s="19">
        <f>IF(NOT(ISNUMBER($A1012)),NA(),IF(OR($A1012&lt;MIN(KW_TP!$A$2:$A$2501),$A1012&gt;MAX(KW_TP!$A$2:$A$2501)),NA(),INDEX(KW_TP!$C$2:$C$2501,MATCH($A1012,KW_TP!$A$2:$A$2501,1))))</f>
        <v/>
      </c>
      <c r="Q1012" s="18">
        <f>IF(NOT(ISNUMBER($A1012)),NA(),IFERROR(1*INDEX(BBG_Data!$J$2:$J$4000,MATCH($A1012,BBG_Data!$I$2:$I$4000,0)),NA()))</f>
        <v/>
      </c>
      <c r="R1012" s="18">
        <f>IF(NOT(ISNUMBER($A1012)),NA(),IFERROR(1*INDEX(BBG_Data!$L$2:$L$4000,MATCH($A1012,BBG_Data!$K$2:$K$4000,0)),NA()))</f>
        <v/>
      </c>
      <c r="S1012" s="20">
        <f>IF(AND(ISNUMBER(B1012),ISNUMBER(Q1012),ISNUMBER(R1012)),(B1012-Q1012-R1012)*100,NA())</f>
        <v/>
      </c>
      <c r="T1012" s="20">
        <f>IF(AND(ISNUMBER(B1012),Settings!$B$17&gt;0),IF(ISNUMBER(INDEX($B:$B,Settings!$B$17)),(B1012-INDEX($B:$B,Settings!$B$17))*100,NA()),NA())</f>
        <v/>
      </c>
      <c r="U1012" s="20">
        <f>IF(AND(ISNUMBER(Q1012),Settings!$B$17&gt;0),IF(ISNUMBER(INDEX($Q:$Q,Settings!$B$17)),(Q1012-INDEX($Q:$Q,Settings!$B$17))*100,NA()),NA())</f>
        <v/>
      </c>
      <c r="V1012" s="20">
        <f>IF(AND(ISNUMBER(R1012),Settings!$B$17&gt;0),IF(ISNUMBER(INDEX($R:$R,Settings!$B$17)),(R1012-INDEX($R:$R,Settings!$B$17))*100,NA()),NA())</f>
        <v/>
      </c>
      <c r="W1012" s="20">
        <f>IF(AND(ISNUMBER(P1012),Settings!$B$17&gt;0),IF(ISNUMBER(INDEX($P:$P,Settings!$B$17)),P1012-INDEX($P:$P,Settings!$B$17),NA()),NA())</f>
        <v/>
      </c>
      <c r="X1012" s="19">
        <f>IF(NOT(ISNUMBER($A1012)),NA(),IF(OR($A1012&lt;MIN(DKW_10Y!$A$2:$A$2918),$A1012&gt;MAX(DKW_10Y!$A$2:$A$2918),Settings!$B$16&lt;MIN(DKW_10Y!$A$2:$A$2918)),NA(),(INDEX(DKW_10Y!$B$2:$B$2918,MATCH($A1012,DKW_10Y!$A$2:$A$2918,1))-INDEX(DKW_10Y!$B$2:$B$2918,MATCH(Settings!$B$16,DKW_10Y!$A$2:$A$2918,1)))*100))</f>
        <v/>
      </c>
      <c r="Y1012" s="19">
        <f>IF(NOT(ISNUMBER($A1012)),NA(),IF(OR($A1012&lt;MIN(DKW_10Y!$A$2:$A$2918),$A1012&gt;MAX(DKW_10Y!$A$2:$A$2918),Settings!$B$16&lt;MIN(DKW_10Y!$A$2:$A$2918)),NA(),(INDEX(DKW_10Y!$C$2:$C$2918,MATCH($A1012,DKW_10Y!$A$2:$A$2918,1))-INDEX(DKW_10Y!$C$2:$C$2918,MATCH(Settings!$B$16,DKW_10Y!$A$2:$A$2918,1)))*100))</f>
        <v/>
      </c>
      <c r="Z1012" s="19">
        <f>IF(NOT(ISNUMBER($A1012)),NA(),IF(OR($A1012&lt;MIN(DKW_10Y!$A$2:$A$2918),$A1012&gt;MAX(DKW_10Y!$A$2:$A$2918),Settings!$B$16&lt;MIN(DKW_10Y!$A$2:$A$2918)),NA(),(INDEX(DKW_10Y!$D$2:$D$2918,MATCH($A1012,DKW_10Y!$A$2:$A$2918,1))-INDEX(DKW_10Y!$D$2:$D$2918,MATCH(Settings!$B$16,DKW_10Y!$A$2:$A$2918,1)))*100))</f>
        <v/>
      </c>
      <c r="AA1012" s="19">
        <f>IF(NOT(ISNUMBER($A1012)),NA(),IF(OR($A1012&lt;MIN(DKW_10Y!$A$2:$A$2918),$A1012&gt;MAX(DKW_10Y!$A$2:$A$2918),Settings!$B$16&lt;MIN(DKW_10Y!$A$2:$A$2918)),NA(),(INDEX(DKW_10Y!$E$2:$E$2918,MATCH($A1012,DKW_10Y!$A$2:$A$2918,1))-INDEX(DKW_10Y!$E$2:$E$2918,MATCH(Settings!$B$16,DKW_10Y!$A$2:$A$2918,1)))*100))</f>
        <v/>
      </c>
      <c r="AB1012" s="19">
        <f>IF(NOT(ISNUMBER($A1012)),NA(),IF(OR($A1012&lt;MIN(DKW_10Y!$A$2:$A$2918),$A1012&gt;MAX(DKW_10Y!$A$2:$A$2918),Settings!$B$16&lt;MIN(DKW_10Y!$A$2:$A$2918)),NA(),(INDEX(DKW_10Y!$H$2:$H$2918,MATCH($A1012,DKW_10Y!$A$2:$A$2918,1))-INDEX(DKW_10Y!$H$2:$H$2918,MATCH(Settings!$B$16,DKW_10Y!$A$2:$A$2918,1)))*100))</f>
        <v/>
      </c>
      <c r="AC1012" s="18">
        <f>IF(NOT(ISNUMBER($A1012)),NA(),IFERROR(1*INDEX(BBG_Data!$N$2:$N$4000,MATCH($A1012,BBG_Data!$M$2:$M$4000,0)),NA()))</f>
        <v/>
      </c>
      <c r="AD1012" s="18">
        <f>IF(NOT(ISNUMBER($A1012)),NA(),IFERROR(1*INDEX(BBG_Data!$P$2:$P$4000,MATCH($A1012,BBG_Data!$O$2:$O$4000,0)),NA()))</f>
        <v/>
      </c>
      <c r="AE1012" s="18">
        <f>IF(NOT(ISNUMBER($A1012)),NA(),IFERROR(1*INDEX(BBG_Data!$R$2:$R$4000,MATCH($A1012,BBG_Data!$Q$2:$Q$4000,0)),NA()))</f>
        <v/>
      </c>
      <c r="AF1012" s="20">
        <f>IF(AND(ISNUMBER(B1012),ISNUMBER(AC1012)),(B1012-AC1012)*100,NA())</f>
        <v/>
      </c>
      <c r="AG1012" s="20">
        <f>IF(AND(ISNUMBER(AE1012),ISNUMBER(AD1012)),(AE1012-AD1012)*100,NA())</f>
        <v/>
      </c>
      <c r="AH1012" s="19">
        <f>IF(NOT(ISNUMBER($A1012)),NA(),IFERROR(INDEX(BBG_Data!$T$2:$T$4000,MATCH($A1012,BBG_Data!$S$2:$S$4000,0))*Settings!$B$25,NA()))</f>
        <v/>
      </c>
      <c r="AI1012" s="19">
        <f>IF(NOT(ISNUMBER($A1012)),NA(),IFERROR(INDEX(BBG_Data!$V$2:$V$4000,MATCH($A1012,BBG_Data!$U$2:$U$4000,0))*Settings!$B$25,NA()))</f>
        <v/>
      </c>
      <c r="AJ1012" s="19">
        <f>IF(NOT(ISNUMBER($A1012)),NA(),IFERROR(1*INDEX(BBG_Data!$X$2:$X$4000,MATCH($A1012,BBG_Data!$W$2:$W$4000,0)),NA()))</f>
        <v/>
      </c>
      <c r="AK1012" s="19">
        <f>IF(NOT(ISNUMBER($A1012)),NA(),IFERROR(1*INDEX(BBG_Data!$Z$2:$Z$4000,MATCH($A1012,BBG_Data!$Y$2:$Y$4000,0)),NA()))</f>
        <v/>
      </c>
    </row>
    <row r="1013">
      <c r="A1013" s="17">
        <f>IF(ISNUMBER(BBG_Data!A1013),BBG_Data!A1013,"")</f>
        <v/>
      </c>
      <c r="B1013" s="18">
        <f>IF(AND(ISNUMBER($A1013),ISNUMBER(BBG_Data!B1013)),BBG_Data!B1013,NA())</f>
        <v/>
      </c>
      <c r="C1013" s="18">
        <f>IF(NOT(ISNUMBER($A1013)),NA(),IFERROR(1*INDEX(BBG_Data!$D$2:$D$4000,MATCH($A1013,BBG_Data!$C$2:$C$4000,0)),NA()))</f>
        <v/>
      </c>
      <c r="D1013" s="19">
        <f>IF(NOT(ISNUMBER($A1013)),NA(),IFERROR(1*INDEX(BBG_Data!$F$2:$F$4000,MATCH($A1013,BBG_Data!$E$2:$E$4000,0)),NA()))</f>
        <v/>
      </c>
      <c r="E1013" s="19">
        <f>IF(NOT(ISNUMBER($A1013)),NA(),IFERROR(1*INDEX(BBG_Data!$H$2:$H$4000,MATCH($A1013,BBG_Data!$G$2:$G$4000,0)),NA()))</f>
        <v/>
      </c>
      <c r="F1013" s="20">
        <f>IF(AND(ISNUMBER(B1013),ISNUMBER(B1012)),IF(B1013=B1012,"",(B1013-B1012)*100),"")</f>
        <v/>
      </c>
      <c r="G1013" s="20">
        <f>IF(AND(ISNUMBER(C1013),ISNUMBER(C1012)),IF(C1013=C1012,"",(C1013-C1012)*100),"")</f>
        <v/>
      </c>
      <c r="H1013" s="20">
        <f>IF(OR(NOT(ISNUMBER($A1013)),ROW()-2&lt;Settings!$B$11),NA(),IF(COUNT(OFFSET(F1013,1-Settings!$B$11,0,Settings!$B$11,1))&lt;ROUNDUP(Settings!$B$11*Settings!$B$26,0),NA(),STDEV(OFFSET(F1013,1-Settings!$B$11,0,Settings!$B$11,1))*SQRT(Settings!$B$13)))</f>
        <v/>
      </c>
      <c r="I1013" s="20">
        <f>IF(OR(NOT(ISNUMBER($A1013)),ROW()-2&lt;Settings!$B$12),NA(),IF(COUNT(OFFSET(F1013,1-Settings!$B$12,0,Settings!$B$12,1))&lt;ROUNDUP(Settings!$B$12*Settings!$B$26,0),NA(),STDEV(OFFSET(F1013,1-Settings!$B$12,0,Settings!$B$12,1))*SQRT(Settings!$B$13)))</f>
        <v/>
      </c>
      <c r="J1013" s="20">
        <f>IF(OR(NOT(ISNUMBER($A1013)),ROW()-2&lt;Settings!$B$11),NA(),IF(COUNT(OFFSET(G1013,1-Settings!$B$11,0,Settings!$B$11,1))&lt;ROUNDUP(Settings!$B$11*Settings!$B$26,0),NA(),STDEV(OFFSET(G1013,1-Settings!$B$11,0,Settings!$B$11,1))*SQRT(Settings!$B$13)))</f>
        <v/>
      </c>
      <c r="K1013" s="20">
        <f>IF(OR(NOT(ISNUMBER($A1013)),ROW()-2&lt;Settings!$B$12),NA(),IF(COUNT(OFFSET(G1013,1-Settings!$B$12,0,Settings!$B$12,1))&lt;ROUNDUP(Settings!$B$12*Settings!$B$26,0),NA(),STDEV(OFFSET(G1013,1-Settings!$B$12,0,Settings!$B$12,1))*SQRT(Settings!$B$13)))</f>
        <v/>
      </c>
      <c r="L1013" s="20">
        <f>IF(AND(ISNUMBER(D1013),ISNUMBER(H1013)),D1013-H1013,NA())</f>
        <v/>
      </c>
      <c r="M1013" s="20">
        <f>IF(AND(ISNUMBER(E1013),ISNUMBER(K1013)),E1013-K1013,NA())</f>
        <v/>
      </c>
      <c r="N1013" s="20">
        <f>IF(NOT(ISNUMBER($A1013)),NA(),IF(COUNT(OFFSET(G1013,1,0,Settings!$B$12,1))&lt;ROUNDUP(Settings!$B$12*Settings!$B$26,0),NA(),STDEV(OFFSET(G1013,1,0,Settings!$B$12,1))*SQRT(Settings!$B$13)))</f>
        <v/>
      </c>
      <c r="O1013" s="20">
        <f>IF(AND(ISNUMBER(E1013),ISNUMBER(N1013)),E1013-N1013,NA())</f>
        <v/>
      </c>
      <c r="P1013" s="19">
        <f>IF(NOT(ISNUMBER($A1013)),NA(),IF(OR($A1013&lt;MIN(KW_TP!$A$2:$A$2501),$A1013&gt;MAX(KW_TP!$A$2:$A$2501)),NA(),INDEX(KW_TP!$C$2:$C$2501,MATCH($A1013,KW_TP!$A$2:$A$2501,1))))</f>
        <v/>
      </c>
      <c r="Q1013" s="18">
        <f>IF(NOT(ISNUMBER($A1013)),NA(),IFERROR(1*INDEX(BBG_Data!$J$2:$J$4000,MATCH($A1013,BBG_Data!$I$2:$I$4000,0)),NA()))</f>
        <v/>
      </c>
      <c r="R1013" s="18">
        <f>IF(NOT(ISNUMBER($A1013)),NA(),IFERROR(1*INDEX(BBG_Data!$L$2:$L$4000,MATCH($A1013,BBG_Data!$K$2:$K$4000,0)),NA()))</f>
        <v/>
      </c>
      <c r="S1013" s="20">
        <f>IF(AND(ISNUMBER(B1013),ISNUMBER(Q1013),ISNUMBER(R1013)),(B1013-Q1013-R1013)*100,NA())</f>
        <v/>
      </c>
      <c r="T1013" s="20">
        <f>IF(AND(ISNUMBER(B1013),Settings!$B$17&gt;0),IF(ISNUMBER(INDEX($B:$B,Settings!$B$17)),(B1013-INDEX($B:$B,Settings!$B$17))*100,NA()),NA())</f>
        <v/>
      </c>
      <c r="U1013" s="20">
        <f>IF(AND(ISNUMBER(Q1013),Settings!$B$17&gt;0),IF(ISNUMBER(INDEX($Q:$Q,Settings!$B$17)),(Q1013-INDEX($Q:$Q,Settings!$B$17))*100,NA()),NA())</f>
        <v/>
      </c>
      <c r="V1013" s="20">
        <f>IF(AND(ISNUMBER(R1013),Settings!$B$17&gt;0),IF(ISNUMBER(INDEX($R:$R,Settings!$B$17)),(R1013-INDEX($R:$R,Settings!$B$17))*100,NA()),NA())</f>
        <v/>
      </c>
      <c r="W1013" s="20">
        <f>IF(AND(ISNUMBER(P1013),Settings!$B$17&gt;0),IF(ISNUMBER(INDEX($P:$P,Settings!$B$17)),P1013-INDEX($P:$P,Settings!$B$17),NA()),NA())</f>
        <v/>
      </c>
      <c r="X1013" s="19">
        <f>IF(NOT(ISNUMBER($A1013)),NA(),IF(OR($A1013&lt;MIN(DKW_10Y!$A$2:$A$2918),$A1013&gt;MAX(DKW_10Y!$A$2:$A$2918),Settings!$B$16&lt;MIN(DKW_10Y!$A$2:$A$2918)),NA(),(INDEX(DKW_10Y!$B$2:$B$2918,MATCH($A1013,DKW_10Y!$A$2:$A$2918,1))-INDEX(DKW_10Y!$B$2:$B$2918,MATCH(Settings!$B$16,DKW_10Y!$A$2:$A$2918,1)))*100))</f>
        <v/>
      </c>
      <c r="Y1013" s="19">
        <f>IF(NOT(ISNUMBER($A1013)),NA(),IF(OR($A1013&lt;MIN(DKW_10Y!$A$2:$A$2918),$A1013&gt;MAX(DKW_10Y!$A$2:$A$2918),Settings!$B$16&lt;MIN(DKW_10Y!$A$2:$A$2918)),NA(),(INDEX(DKW_10Y!$C$2:$C$2918,MATCH($A1013,DKW_10Y!$A$2:$A$2918,1))-INDEX(DKW_10Y!$C$2:$C$2918,MATCH(Settings!$B$16,DKW_10Y!$A$2:$A$2918,1)))*100))</f>
        <v/>
      </c>
      <c r="Z1013" s="19">
        <f>IF(NOT(ISNUMBER($A1013)),NA(),IF(OR($A1013&lt;MIN(DKW_10Y!$A$2:$A$2918),$A1013&gt;MAX(DKW_10Y!$A$2:$A$2918),Settings!$B$16&lt;MIN(DKW_10Y!$A$2:$A$2918)),NA(),(INDEX(DKW_10Y!$D$2:$D$2918,MATCH($A1013,DKW_10Y!$A$2:$A$2918,1))-INDEX(DKW_10Y!$D$2:$D$2918,MATCH(Settings!$B$16,DKW_10Y!$A$2:$A$2918,1)))*100))</f>
        <v/>
      </c>
      <c r="AA1013" s="19">
        <f>IF(NOT(ISNUMBER($A1013)),NA(),IF(OR($A1013&lt;MIN(DKW_10Y!$A$2:$A$2918),$A1013&gt;MAX(DKW_10Y!$A$2:$A$2918),Settings!$B$16&lt;MIN(DKW_10Y!$A$2:$A$2918)),NA(),(INDEX(DKW_10Y!$E$2:$E$2918,MATCH($A1013,DKW_10Y!$A$2:$A$2918,1))-INDEX(DKW_10Y!$E$2:$E$2918,MATCH(Settings!$B$16,DKW_10Y!$A$2:$A$2918,1)))*100))</f>
        <v/>
      </c>
      <c r="AB1013" s="19">
        <f>IF(NOT(ISNUMBER($A1013)),NA(),IF(OR($A1013&lt;MIN(DKW_10Y!$A$2:$A$2918),$A1013&gt;MAX(DKW_10Y!$A$2:$A$2918),Settings!$B$16&lt;MIN(DKW_10Y!$A$2:$A$2918)),NA(),(INDEX(DKW_10Y!$H$2:$H$2918,MATCH($A1013,DKW_10Y!$A$2:$A$2918,1))-INDEX(DKW_10Y!$H$2:$H$2918,MATCH(Settings!$B$16,DKW_10Y!$A$2:$A$2918,1)))*100))</f>
        <v/>
      </c>
      <c r="AC1013" s="18">
        <f>IF(NOT(ISNUMBER($A1013)),NA(),IFERROR(1*INDEX(BBG_Data!$N$2:$N$4000,MATCH($A1013,BBG_Data!$M$2:$M$4000,0)),NA()))</f>
        <v/>
      </c>
      <c r="AD1013" s="18">
        <f>IF(NOT(ISNUMBER($A1013)),NA(),IFERROR(1*INDEX(BBG_Data!$P$2:$P$4000,MATCH($A1013,BBG_Data!$O$2:$O$4000,0)),NA()))</f>
        <v/>
      </c>
      <c r="AE1013" s="18">
        <f>IF(NOT(ISNUMBER($A1013)),NA(),IFERROR(1*INDEX(BBG_Data!$R$2:$R$4000,MATCH($A1013,BBG_Data!$Q$2:$Q$4000,0)),NA()))</f>
        <v/>
      </c>
      <c r="AF1013" s="20">
        <f>IF(AND(ISNUMBER(B1013),ISNUMBER(AC1013)),(B1013-AC1013)*100,NA())</f>
        <v/>
      </c>
      <c r="AG1013" s="20">
        <f>IF(AND(ISNUMBER(AE1013),ISNUMBER(AD1013)),(AE1013-AD1013)*100,NA())</f>
        <v/>
      </c>
      <c r="AH1013" s="19">
        <f>IF(NOT(ISNUMBER($A1013)),NA(),IFERROR(INDEX(BBG_Data!$T$2:$T$4000,MATCH($A1013,BBG_Data!$S$2:$S$4000,0))*Settings!$B$25,NA()))</f>
        <v/>
      </c>
      <c r="AI1013" s="19">
        <f>IF(NOT(ISNUMBER($A1013)),NA(),IFERROR(INDEX(BBG_Data!$V$2:$V$4000,MATCH($A1013,BBG_Data!$U$2:$U$4000,0))*Settings!$B$25,NA()))</f>
        <v/>
      </c>
      <c r="AJ1013" s="19">
        <f>IF(NOT(ISNUMBER($A1013)),NA(),IFERROR(1*INDEX(BBG_Data!$X$2:$X$4000,MATCH($A1013,BBG_Data!$W$2:$W$4000,0)),NA()))</f>
        <v/>
      </c>
      <c r="AK1013" s="19">
        <f>IF(NOT(ISNUMBER($A1013)),NA(),IFERROR(1*INDEX(BBG_Data!$Z$2:$Z$4000,MATCH($A1013,BBG_Data!$Y$2:$Y$4000,0)),NA()))</f>
        <v/>
      </c>
    </row>
    <row r="1014">
      <c r="A1014" s="17">
        <f>IF(ISNUMBER(BBG_Data!A1014),BBG_Data!A1014,"")</f>
        <v/>
      </c>
      <c r="B1014" s="18">
        <f>IF(AND(ISNUMBER($A1014),ISNUMBER(BBG_Data!B1014)),BBG_Data!B1014,NA())</f>
        <v/>
      </c>
      <c r="C1014" s="18">
        <f>IF(NOT(ISNUMBER($A1014)),NA(),IFERROR(1*INDEX(BBG_Data!$D$2:$D$4000,MATCH($A1014,BBG_Data!$C$2:$C$4000,0)),NA()))</f>
        <v/>
      </c>
      <c r="D1014" s="19">
        <f>IF(NOT(ISNUMBER($A1014)),NA(),IFERROR(1*INDEX(BBG_Data!$F$2:$F$4000,MATCH($A1014,BBG_Data!$E$2:$E$4000,0)),NA()))</f>
        <v/>
      </c>
      <c r="E1014" s="19">
        <f>IF(NOT(ISNUMBER($A1014)),NA(),IFERROR(1*INDEX(BBG_Data!$H$2:$H$4000,MATCH($A1014,BBG_Data!$G$2:$G$4000,0)),NA()))</f>
        <v/>
      </c>
      <c r="F1014" s="20">
        <f>IF(AND(ISNUMBER(B1014),ISNUMBER(B1013)),IF(B1014=B1013,"",(B1014-B1013)*100),"")</f>
        <v/>
      </c>
      <c r="G1014" s="20">
        <f>IF(AND(ISNUMBER(C1014),ISNUMBER(C1013)),IF(C1014=C1013,"",(C1014-C1013)*100),"")</f>
        <v/>
      </c>
      <c r="H1014" s="20">
        <f>IF(OR(NOT(ISNUMBER($A1014)),ROW()-2&lt;Settings!$B$11),NA(),IF(COUNT(OFFSET(F1014,1-Settings!$B$11,0,Settings!$B$11,1))&lt;ROUNDUP(Settings!$B$11*Settings!$B$26,0),NA(),STDEV(OFFSET(F1014,1-Settings!$B$11,0,Settings!$B$11,1))*SQRT(Settings!$B$13)))</f>
        <v/>
      </c>
      <c r="I1014" s="20">
        <f>IF(OR(NOT(ISNUMBER($A1014)),ROW()-2&lt;Settings!$B$12),NA(),IF(COUNT(OFFSET(F1014,1-Settings!$B$12,0,Settings!$B$12,1))&lt;ROUNDUP(Settings!$B$12*Settings!$B$26,0),NA(),STDEV(OFFSET(F1014,1-Settings!$B$12,0,Settings!$B$12,1))*SQRT(Settings!$B$13)))</f>
        <v/>
      </c>
      <c r="J1014" s="20">
        <f>IF(OR(NOT(ISNUMBER($A1014)),ROW()-2&lt;Settings!$B$11),NA(),IF(COUNT(OFFSET(G1014,1-Settings!$B$11,0,Settings!$B$11,1))&lt;ROUNDUP(Settings!$B$11*Settings!$B$26,0),NA(),STDEV(OFFSET(G1014,1-Settings!$B$11,0,Settings!$B$11,1))*SQRT(Settings!$B$13)))</f>
        <v/>
      </c>
      <c r="K1014" s="20">
        <f>IF(OR(NOT(ISNUMBER($A1014)),ROW()-2&lt;Settings!$B$12),NA(),IF(COUNT(OFFSET(G1014,1-Settings!$B$12,0,Settings!$B$12,1))&lt;ROUNDUP(Settings!$B$12*Settings!$B$26,0),NA(),STDEV(OFFSET(G1014,1-Settings!$B$12,0,Settings!$B$12,1))*SQRT(Settings!$B$13)))</f>
        <v/>
      </c>
      <c r="L1014" s="20">
        <f>IF(AND(ISNUMBER(D1014),ISNUMBER(H1014)),D1014-H1014,NA())</f>
        <v/>
      </c>
      <c r="M1014" s="20">
        <f>IF(AND(ISNUMBER(E1014),ISNUMBER(K1014)),E1014-K1014,NA())</f>
        <v/>
      </c>
      <c r="N1014" s="20">
        <f>IF(NOT(ISNUMBER($A1014)),NA(),IF(COUNT(OFFSET(G1014,1,0,Settings!$B$12,1))&lt;ROUNDUP(Settings!$B$12*Settings!$B$26,0),NA(),STDEV(OFFSET(G1014,1,0,Settings!$B$12,1))*SQRT(Settings!$B$13)))</f>
        <v/>
      </c>
      <c r="O1014" s="20">
        <f>IF(AND(ISNUMBER(E1014),ISNUMBER(N1014)),E1014-N1014,NA())</f>
        <v/>
      </c>
      <c r="P1014" s="19">
        <f>IF(NOT(ISNUMBER($A1014)),NA(),IF(OR($A1014&lt;MIN(KW_TP!$A$2:$A$2501),$A1014&gt;MAX(KW_TP!$A$2:$A$2501)),NA(),INDEX(KW_TP!$C$2:$C$2501,MATCH($A1014,KW_TP!$A$2:$A$2501,1))))</f>
        <v/>
      </c>
      <c r="Q1014" s="18">
        <f>IF(NOT(ISNUMBER($A1014)),NA(),IFERROR(1*INDEX(BBG_Data!$J$2:$J$4000,MATCH($A1014,BBG_Data!$I$2:$I$4000,0)),NA()))</f>
        <v/>
      </c>
      <c r="R1014" s="18">
        <f>IF(NOT(ISNUMBER($A1014)),NA(),IFERROR(1*INDEX(BBG_Data!$L$2:$L$4000,MATCH($A1014,BBG_Data!$K$2:$K$4000,0)),NA()))</f>
        <v/>
      </c>
      <c r="S1014" s="20">
        <f>IF(AND(ISNUMBER(B1014),ISNUMBER(Q1014),ISNUMBER(R1014)),(B1014-Q1014-R1014)*100,NA())</f>
        <v/>
      </c>
      <c r="T1014" s="20">
        <f>IF(AND(ISNUMBER(B1014),Settings!$B$17&gt;0),IF(ISNUMBER(INDEX($B:$B,Settings!$B$17)),(B1014-INDEX($B:$B,Settings!$B$17))*100,NA()),NA())</f>
        <v/>
      </c>
      <c r="U1014" s="20">
        <f>IF(AND(ISNUMBER(Q1014),Settings!$B$17&gt;0),IF(ISNUMBER(INDEX($Q:$Q,Settings!$B$17)),(Q1014-INDEX($Q:$Q,Settings!$B$17))*100,NA()),NA())</f>
        <v/>
      </c>
      <c r="V1014" s="20">
        <f>IF(AND(ISNUMBER(R1014),Settings!$B$17&gt;0),IF(ISNUMBER(INDEX($R:$R,Settings!$B$17)),(R1014-INDEX($R:$R,Settings!$B$17))*100,NA()),NA())</f>
        <v/>
      </c>
      <c r="W1014" s="20">
        <f>IF(AND(ISNUMBER(P1014),Settings!$B$17&gt;0),IF(ISNUMBER(INDEX($P:$P,Settings!$B$17)),P1014-INDEX($P:$P,Settings!$B$17),NA()),NA())</f>
        <v/>
      </c>
      <c r="X1014" s="19">
        <f>IF(NOT(ISNUMBER($A1014)),NA(),IF(OR($A1014&lt;MIN(DKW_10Y!$A$2:$A$2918),$A1014&gt;MAX(DKW_10Y!$A$2:$A$2918),Settings!$B$16&lt;MIN(DKW_10Y!$A$2:$A$2918)),NA(),(INDEX(DKW_10Y!$B$2:$B$2918,MATCH($A1014,DKW_10Y!$A$2:$A$2918,1))-INDEX(DKW_10Y!$B$2:$B$2918,MATCH(Settings!$B$16,DKW_10Y!$A$2:$A$2918,1)))*100))</f>
        <v/>
      </c>
      <c r="Y1014" s="19">
        <f>IF(NOT(ISNUMBER($A1014)),NA(),IF(OR($A1014&lt;MIN(DKW_10Y!$A$2:$A$2918),$A1014&gt;MAX(DKW_10Y!$A$2:$A$2918),Settings!$B$16&lt;MIN(DKW_10Y!$A$2:$A$2918)),NA(),(INDEX(DKW_10Y!$C$2:$C$2918,MATCH($A1014,DKW_10Y!$A$2:$A$2918,1))-INDEX(DKW_10Y!$C$2:$C$2918,MATCH(Settings!$B$16,DKW_10Y!$A$2:$A$2918,1)))*100))</f>
        <v/>
      </c>
      <c r="Z1014" s="19">
        <f>IF(NOT(ISNUMBER($A1014)),NA(),IF(OR($A1014&lt;MIN(DKW_10Y!$A$2:$A$2918),$A1014&gt;MAX(DKW_10Y!$A$2:$A$2918),Settings!$B$16&lt;MIN(DKW_10Y!$A$2:$A$2918)),NA(),(INDEX(DKW_10Y!$D$2:$D$2918,MATCH($A1014,DKW_10Y!$A$2:$A$2918,1))-INDEX(DKW_10Y!$D$2:$D$2918,MATCH(Settings!$B$16,DKW_10Y!$A$2:$A$2918,1)))*100))</f>
        <v/>
      </c>
      <c r="AA1014" s="19">
        <f>IF(NOT(ISNUMBER($A1014)),NA(),IF(OR($A1014&lt;MIN(DKW_10Y!$A$2:$A$2918),$A1014&gt;MAX(DKW_10Y!$A$2:$A$2918),Settings!$B$16&lt;MIN(DKW_10Y!$A$2:$A$2918)),NA(),(INDEX(DKW_10Y!$E$2:$E$2918,MATCH($A1014,DKW_10Y!$A$2:$A$2918,1))-INDEX(DKW_10Y!$E$2:$E$2918,MATCH(Settings!$B$16,DKW_10Y!$A$2:$A$2918,1)))*100))</f>
        <v/>
      </c>
      <c r="AB1014" s="19">
        <f>IF(NOT(ISNUMBER($A1014)),NA(),IF(OR($A1014&lt;MIN(DKW_10Y!$A$2:$A$2918),$A1014&gt;MAX(DKW_10Y!$A$2:$A$2918),Settings!$B$16&lt;MIN(DKW_10Y!$A$2:$A$2918)),NA(),(INDEX(DKW_10Y!$H$2:$H$2918,MATCH($A1014,DKW_10Y!$A$2:$A$2918,1))-INDEX(DKW_10Y!$H$2:$H$2918,MATCH(Settings!$B$16,DKW_10Y!$A$2:$A$2918,1)))*100))</f>
        <v/>
      </c>
      <c r="AC1014" s="18">
        <f>IF(NOT(ISNUMBER($A1014)),NA(),IFERROR(1*INDEX(BBG_Data!$N$2:$N$4000,MATCH($A1014,BBG_Data!$M$2:$M$4000,0)),NA()))</f>
        <v/>
      </c>
      <c r="AD1014" s="18">
        <f>IF(NOT(ISNUMBER($A1014)),NA(),IFERROR(1*INDEX(BBG_Data!$P$2:$P$4000,MATCH($A1014,BBG_Data!$O$2:$O$4000,0)),NA()))</f>
        <v/>
      </c>
      <c r="AE1014" s="18">
        <f>IF(NOT(ISNUMBER($A1014)),NA(),IFERROR(1*INDEX(BBG_Data!$R$2:$R$4000,MATCH($A1014,BBG_Data!$Q$2:$Q$4000,0)),NA()))</f>
        <v/>
      </c>
      <c r="AF1014" s="20">
        <f>IF(AND(ISNUMBER(B1014),ISNUMBER(AC1014)),(B1014-AC1014)*100,NA())</f>
        <v/>
      </c>
      <c r="AG1014" s="20">
        <f>IF(AND(ISNUMBER(AE1014),ISNUMBER(AD1014)),(AE1014-AD1014)*100,NA())</f>
        <v/>
      </c>
      <c r="AH1014" s="19">
        <f>IF(NOT(ISNUMBER($A1014)),NA(),IFERROR(INDEX(BBG_Data!$T$2:$T$4000,MATCH($A1014,BBG_Data!$S$2:$S$4000,0))*Settings!$B$25,NA()))</f>
        <v/>
      </c>
      <c r="AI1014" s="19">
        <f>IF(NOT(ISNUMBER($A1014)),NA(),IFERROR(INDEX(BBG_Data!$V$2:$V$4000,MATCH($A1014,BBG_Data!$U$2:$U$4000,0))*Settings!$B$25,NA()))</f>
        <v/>
      </c>
      <c r="AJ1014" s="19">
        <f>IF(NOT(ISNUMBER($A1014)),NA(),IFERROR(1*INDEX(BBG_Data!$X$2:$X$4000,MATCH($A1014,BBG_Data!$W$2:$W$4000,0)),NA()))</f>
        <v/>
      </c>
      <c r="AK1014" s="19">
        <f>IF(NOT(ISNUMBER($A1014)),NA(),IFERROR(1*INDEX(BBG_Data!$Z$2:$Z$4000,MATCH($A1014,BBG_Data!$Y$2:$Y$4000,0)),NA()))</f>
        <v/>
      </c>
    </row>
    <row r="1015">
      <c r="A1015" s="17">
        <f>IF(ISNUMBER(BBG_Data!A1015),BBG_Data!A1015,"")</f>
        <v/>
      </c>
      <c r="B1015" s="18">
        <f>IF(AND(ISNUMBER($A1015),ISNUMBER(BBG_Data!B1015)),BBG_Data!B1015,NA())</f>
        <v/>
      </c>
      <c r="C1015" s="18">
        <f>IF(NOT(ISNUMBER($A1015)),NA(),IFERROR(1*INDEX(BBG_Data!$D$2:$D$4000,MATCH($A1015,BBG_Data!$C$2:$C$4000,0)),NA()))</f>
        <v/>
      </c>
      <c r="D1015" s="19">
        <f>IF(NOT(ISNUMBER($A1015)),NA(),IFERROR(1*INDEX(BBG_Data!$F$2:$F$4000,MATCH($A1015,BBG_Data!$E$2:$E$4000,0)),NA()))</f>
        <v/>
      </c>
      <c r="E1015" s="19">
        <f>IF(NOT(ISNUMBER($A1015)),NA(),IFERROR(1*INDEX(BBG_Data!$H$2:$H$4000,MATCH($A1015,BBG_Data!$G$2:$G$4000,0)),NA()))</f>
        <v/>
      </c>
      <c r="F1015" s="20">
        <f>IF(AND(ISNUMBER(B1015),ISNUMBER(B1014)),IF(B1015=B1014,"",(B1015-B1014)*100),"")</f>
        <v/>
      </c>
      <c r="G1015" s="20">
        <f>IF(AND(ISNUMBER(C1015),ISNUMBER(C1014)),IF(C1015=C1014,"",(C1015-C1014)*100),"")</f>
        <v/>
      </c>
      <c r="H1015" s="20">
        <f>IF(OR(NOT(ISNUMBER($A1015)),ROW()-2&lt;Settings!$B$11),NA(),IF(COUNT(OFFSET(F1015,1-Settings!$B$11,0,Settings!$B$11,1))&lt;ROUNDUP(Settings!$B$11*Settings!$B$26,0),NA(),STDEV(OFFSET(F1015,1-Settings!$B$11,0,Settings!$B$11,1))*SQRT(Settings!$B$13)))</f>
        <v/>
      </c>
      <c r="I1015" s="20">
        <f>IF(OR(NOT(ISNUMBER($A1015)),ROW()-2&lt;Settings!$B$12),NA(),IF(COUNT(OFFSET(F1015,1-Settings!$B$12,0,Settings!$B$12,1))&lt;ROUNDUP(Settings!$B$12*Settings!$B$26,0),NA(),STDEV(OFFSET(F1015,1-Settings!$B$12,0,Settings!$B$12,1))*SQRT(Settings!$B$13)))</f>
        <v/>
      </c>
      <c r="J1015" s="20">
        <f>IF(OR(NOT(ISNUMBER($A1015)),ROW()-2&lt;Settings!$B$11),NA(),IF(COUNT(OFFSET(G1015,1-Settings!$B$11,0,Settings!$B$11,1))&lt;ROUNDUP(Settings!$B$11*Settings!$B$26,0),NA(),STDEV(OFFSET(G1015,1-Settings!$B$11,0,Settings!$B$11,1))*SQRT(Settings!$B$13)))</f>
        <v/>
      </c>
      <c r="K1015" s="20">
        <f>IF(OR(NOT(ISNUMBER($A1015)),ROW()-2&lt;Settings!$B$12),NA(),IF(COUNT(OFFSET(G1015,1-Settings!$B$12,0,Settings!$B$12,1))&lt;ROUNDUP(Settings!$B$12*Settings!$B$26,0),NA(),STDEV(OFFSET(G1015,1-Settings!$B$12,0,Settings!$B$12,1))*SQRT(Settings!$B$13)))</f>
        <v/>
      </c>
      <c r="L1015" s="20">
        <f>IF(AND(ISNUMBER(D1015),ISNUMBER(H1015)),D1015-H1015,NA())</f>
        <v/>
      </c>
      <c r="M1015" s="20">
        <f>IF(AND(ISNUMBER(E1015),ISNUMBER(K1015)),E1015-K1015,NA())</f>
        <v/>
      </c>
      <c r="N1015" s="20">
        <f>IF(NOT(ISNUMBER($A1015)),NA(),IF(COUNT(OFFSET(G1015,1,0,Settings!$B$12,1))&lt;ROUNDUP(Settings!$B$12*Settings!$B$26,0),NA(),STDEV(OFFSET(G1015,1,0,Settings!$B$12,1))*SQRT(Settings!$B$13)))</f>
        <v/>
      </c>
      <c r="O1015" s="20">
        <f>IF(AND(ISNUMBER(E1015),ISNUMBER(N1015)),E1015-N1015,NA())</f>
        <v/>
      </c>
      <c r="P1015" s="19">
        <f>IF(NOT(ISNUMBER($A1015)),NA(),IF(OR($A1015&lt;MIN(KW_TP!$A$2:$A$2501),$A1015&gt;MAX(KW_TP!$A$2:$A$2501)),NA(),INDEX(KW_TP!$C$2:$C$2501,MATCH($A1015,KW_TP!$A$2:$A$2501,1))))</f>
        <v/>
      </c>
      <c r="Q1015" s="18">
        <f>IF(NOT(ISNUMBER($A1015)),NA(),IFERROR(1*INDEX(BBG_Data!$J$2:$J$4000,MATCH($A1015,BBG_Data!$I$2:$I$4000,0)),NA()))</f>
        <v/>
      </c>
      <c r="R1015" s="18">
        <f>IF(NOT(ISNUMBER($A1015)),NA(),IFERROR(1*INDEX(BBG_Data!$L$2:$L$4000,MATCH($A1015,BBG_Data!$K$2:$K$4000,0)),NA()))</f>
        <v/>
      </c>
      <c r="S1015" s="20">
        <f>IF(AND(ISNUMBER(B1015),ISNUMBER(Q1015),ISNUMBER(R1015)),(B1015-Q1015-R1015)*100,NA())</f>
        <v/>
      </c>
      <c r="T1015" s="20">
        <f>IF(AND(ISNUMBER(B1015),Settings!$B$17&gt;0),IF(ISNUMBER(INDEX($B:$B,Settings!$B$17)),(B1015-INDEX($B:$B,Settings!$B$17))*100,NA()),NA())</f>
        <v/>
      </c>
      <c r="U1015" s="20">
        <f>IF(AND(ISNUMBER(Q1015),Settings!$B$17&gt;0),IF(ISNUMBER(INDEX($Q:$Q,Settings!$B$17)),(Q1015-INDEX($Q:$Q,Settings!$B$17))*100,NA()),NA())</f>
        <v/>
      </c>
      <c r="V1015" s="20">
        <f>IF(AND(ISNUMBER(R1015),Settings!$B$17&gt;0),IF(ISNUMBER(INDEX($R:$R,Settings!$B$17)),(R1015-INDEX($R:$R,Settings!$B$17))*100,NA()),NA())</f>
        <v/>
      </c>
      <c r="W1015" s="20">
        <f>IF(AND(ISNUMBER(P1015),Settings!$B$17&gt;0),IF(ISNUMBER(INDEX($P:$P,Settings!$B$17)),P1015-INDEX($P:$P,Settings!$B$17),NA()),NA())</f>
        <v/>
      </c>
      <c r="X1015" s="19">
        <f>IF(NOT(ISNUMBER($A1015)),NA(),IF(OR($A1015&lt;MIN(DKW_10Y!$A$2:$A$2918),$A1015&gt;MAX(DKW_10Y!$A$2:$A$2918),Settings!$B$16&lt;MIN(DKW_10Y!$A$2:$A$2918)),NA(),(INDEX(DKW_10Y!$B$2:$B$2918,MATCH($A1015,DKW_10Y!$A$2:$A$2918,1))-INDEX(DKW_10Y!$B$2:$B$2918,MATCH(Settings!$B$16,DKW_10Y!$A$2:$A$2918,1)))*100))</f>
        <v/>
      </c>
      <c r="Y1015" s="19">
        <f>IF(NOT(ISNUMBER($A1015)),NA(),IF(OR($A1015&lt;MIN(DKW_10Y!$A$2:$A$2918),$A1015&gt;MAX(DKW_10Y!$A$2:$A$2918),Settings!$B$16&lt;MIN(DKW_10Y!$A$2:$A$2918)),NA(),(INDEX(DKW_10Y!$C$2:$C$2918,MATCH($A1015,DKW_10Y!$A$2:$A$2918,1))-INDEX(DKW_10Y!$C$2:$C$2918,MATCH(Settings!$B$16,DKW_10Y!$A$2:$A$2918,1)))*100))</f>
        <v/>
      </c>
      <c r="Z1015" s="19">
        <f>IF(NOT(ISNUMBER($A1015)),NA(),IF(OR($A1015&lt;MIN(DKW_10Y!$A$2:$A$2918),$A1015&gt;MAX(DKW_10Y!$A$2:$A$2918),Settings!$B$16&lt;MIN(DKW_10Y!$A$2:$A$2918)),NA(),(INDEX(DKW_10Y!$D$2:$D$2918,MATCH($A1015,DKW_10Y!$A$2:$A$2918,1))-INDEX(DKW_10Y!$D$2:$D$2918,MATCH(Settings!$B$16,DKW_10Y!$A$2:$A$2918,1)))*100))</f>
        <v/>
      </c>
      <c r="AA1015" s="19">
        <f>IF(NOT(ISNUMBER($A1015)),NA(),IF(OR($A1015&lt;MIN(DKW_10Y!$A$2:$A$2918),$A1015&gt;MAX(DKW_10Y!$A$2:$A$2918),Settings!$B$16&lt;MIN(DKW_10Y!$A$2:$A$2918)),NA(),(INDEX(DKW_10Y!$E$2:$E$2918,MATCH($A1015,DKW_10Y!$A$2:$A$2918,1))-INDEX(DKW_10Y!$E$2:$E$2918,MATCH(Settings!$B$16,DKW_10Y!$A$2:$A$2918,1)))*100))</f>
        <v/>
      </c>
      <c r="AB1015" s="19">
        <f>IF(NOT(ISNUMBER($A1015)),NA(),IF(OR($A1015&lt;MIN(DKW_10Y!$A$2:$A$2918),$A1015&gt;MAX(DKW_10Y!$A$2:$A$2918),Settings!$B$16&lt;MIN(DKW_10Y!$A$2:$A$2918)),NA(),(INDEX(DKW_10Y!$H$2:$H$2918,MATCH($A1015,DKW_10Y!$A$2:$A$2918,1))-INDEX(DKW_10Y!$H$2:$H$2918,MATCH(Settings!$B$16,DKW_10Y!$A$2:$A$2918,1)))*100))</f>
        <v/>
      </c>
      <c r="AC1015" s="18">
        <f>IF(NOT(ISNUMBER($A1015)),NA(),IFERROR(1*INDEX(BBG_Data!$N$2:$N$4000,MATCH($A1015,BBG_Data!$M$2:$M$4000,0)),NA()))</f>
        <v/>
      </c>
      <c r="AD1015" s="18">
        <f>IF(NOT(ISNUMBER($A1015)),NA(),IFERROR(1*INDEX(BBG_Data!$P$2:$P$4000,MATCH($A1015,BBG_Data!$O$2:$O$4000,0)),NA()))</f>
        <v/>
      </c>
      <c r="AE1015" s="18">
        <f>IF(NOT(ISNUMBER($A1015)),NA(),IFERROR(1*INDEX(BBG_Data!$R$2:$R$4000,MATCH($A1015,BBG_Data!$Q$2:$Q$4000,0)),NA()))</f>
        <v/>
      </c>
      <c r="AF1015" s="20">
        <f>IF(AND(ISNUMBER(B1015),ISNUMBER(AC1015)),(B1015-AC1015)*100,NA())</f>
        <v/>
      </c>
      <c r="AG1015" s="20">
        <f>IF(AND(ISNUMBER(AE1015),ISNUMBER(AD1015)),(AE1015-AD1015)*100,NA())</f>
        <v/>
      </c>
      <c r="AH1015" s="19">
        <f>IF(NOT(ISNUMBER($A1015)),NA(),IFERROR(INDEX(BBG_Data!$T$2:$T$4000,MATCH($A1015,BBG_Data!$S$2:$S$4000,0))*Settings!$B$25,NA()))</f>
        <v/>
      </c>
      <c r="AI1015" s="19">
        <f>IF(NOT(ISNUMBER($A1015)),NA(),IFERROR(INDEX(BBG_Data!$V$2:$V$4000,MATCH($A1015,BBG_Data!$U$2:$U$4000,0))*Settings!$B$25,NA()))</f>
        <v/>
      </c>
      <c r="AJ1015" s="19">
        <f>IF(NOT(ISNUMBER($A1015)),NA(),IFERROR(1*INDEX(BBG_Data!$X$2:$X$4000,MATCH($A1015,BBG_Data!$W$2:$W$4000,0)),NA()))</f>
        <v/>
      </c>
      <c r="AK1015" s="19">
        <f>IF(NOT(ISNUMBER($A1015)),NA(),IFERROR(1*INDEX(BBG_Data!$Z$2:$Z$4000,MATCH($A1015,BBG_Data!$Y$2:$Y$4000,0)),NA()))</f>
        <v/>
      </c>
    </row>
    <row r="1016">
      <c r="A1016" s="17">
        <f>IF(ISNUMBER(BBG_Data!A1016),BBG_Data!A1016,"")</f>
        <v/>
      </c>
      <c r="B1016" s="18">
        <f>IF(AND(ISNUMBER($A1016),ISNUMBER(BBG_Data!B1016)),BBG_Data!B1016,NA())</f>
        <v/>
      </c>
      <c r="C1016" s="18">
        <f>IF(NOT(ISNUMBER($A1016)),NA(),IFERROR(1*INDEX(BBG_Data!$D$2:$D$4000,MATCH($A1016,BBG_Data!$C$2:$C$4000,0)),NA()))</f>
        <v/>
      </c>
      <c r="D1016" s="19">
        <f>IF(NOT(ISNUMBER($A1016)),NA(),IFERROR(1*INDEX(BBG_Data!$F$2:$F$4000,MATCH($A1016,BBG_Data!$E$2:$E$4000,0)),NA()))</f>
        <v/>
      </c>
      <c r="E1016" s="19">
        <f>IF(NOT(ISNUMBER($A1016)),NA(),IFERROR(1*INDEX(BBG_Data!$H$2:$H$4000,MATCH($A1016,BBG_Data!$G$2:$G$4000,0)),NA()))</f>
        <v/>
      </c>
      <c r="F1016" s="20">
        <f>IF(AND(ISNUMBER(B1016),ISNUMBER(B1015)),IF(B1016=B1015,"",(B1016-B1015)*100),"")</f>
        <v/>
      </c>
      <c r="G1016" s="20">
        <f>IF(AND(ISNUMBER(C1016),ISNUMBER(C1015)),IF(C1016=C1015,"",(C1016-C1015)*100),"")</f>
        <v/>
      </c>
      <c r="H1016" s="20">
        <f>IF(OR(NOT(ISNUMBER($A1016)),ROW()-2&lt;Settings!$B$11),NA(),IF(COUNT(OFFSET(F1016,1-Settings!$B$11,0,Settings!$B$11,1))&lt;ROUNDUP(Settings!$B$11*Settings!$B$26,0),NA(),STDEV(OFFSET(F1016,1-Settings!$B$11,0,Settings!$B$11,1))*SQRT(Settings!$B$13)))</f>
        <v/>
      </c>
      <c r="I1016" s="20">
        <f>IF(OR(NOT(ISNUMBER($A1016)),ROW()-2&lt;Settings!$B$12),NA(),IF(COUNT(OFFSET(F1016,1-Settings!$B$12,0,Settings!$B$12,1))&lt;ROUNDUP(Settings!$B$12*Settings!$B$26,0),NA(),STDEV(OFFSET(F1016,1-Settings!$B$12,0,Settings!$B$12,1))*SQRT(Settings!$B$13)))</f>
        <v/>
      </c>
      <c r="J1016" s="20">
        <f>IF(OR(NOT(ISNUMBER($A1016)),ROW()-2&lt;Settings!$B$11),NA(),IF(COUNT(OFFSET(G1016,1-Settings!$B$11,0,Settings!$B$11,1))&lt;ROUNDUP(Settings!$B$11*Settings!$B$26,0),NA(),STDEV(OFFSET(G1016,1-Settings!$B$11,0,Settings!$B$11,1))*SQRT(Settings!$B$13)))</f>
        <v/>
      </c>
      <c r="K1016" s="20">
        <f>IF(OR(NOT(ISNUMBER($A1016)),ROW()-2&lt;Settings!$B$12),NA(),IF(COUNT(OFFSET(G1016,1-Settings!$B$12,0,Settings!$B$12,1))&lt;ROUNDUP(Settings!$B$12*Settings!$B$26,0),NA(),STDEV(OFFSET(G1016,1-Settings!$B$12,0,Settings!$B$12,1))*SQRT(Settings!$B$13)))</f>
        <v/>
      </c>
      <c r="L1016" s="20">
        <f>IF(AND(ISNUMBER(D1016),ISNUMBER(H1016)),D1016-H1016,NA())</f>
        <v/>
      </c>
      <c r="M1016" s="20">
        <f>IF(AND(ISNUMBER(E1016),ISNUMBER(K1016)),E1016-K1016,NA())</f>
        <v/>
      </c>
      <c r="N1016" s="20">
        <f>IF(NOT(ISNUMBER($A1016)),NA(),IF(COUNT(OFFSET(G1016,1,0,Settings!$B$12,1))&lt;ROUNDUP(Settings!$B$12*Settings!$B$26,0),NA(),STDEV(OFFSET(G1016,1,0,Settings!$B$12,1))*SQRT(Settings!$B$13)))</f>
        <v/>
      </c>
      <c r="O1016" s="20">
        <f>IF(AND(ISNUMBER(E1016),ISNUMBER(N1016)),E1016-N1016,NA())</f>
        <v/>
      </c>
      <c r="P1016" s="19">
        <f>IF(NOT(ISNUMBER($A1016)),NA(),IF(OR($A1016&lt;MIN(KW_TP!$A$2:$A$2501),$A1016&gt;MAX(KW_TP!$A$2:$A$2501)),NA(),INDEX(KW_TP!$C$2:$C$2501,MATCH($A1016,KW_TP!$A$2:$A$2501,1))))</f>
        <v/>
      </c>
      <c r="Q1016" s="18">
        <f>IF(NOT(ISNUMBER($A1016)),NA(),IFERROR(1*INDEX(BBG_Data!$J$2:$J$4000,MATCH($A1016,BBG_Data!$I$2:$I$4000,0)),NA()))</f>
        <v/>
      </c>
      <c r="R1016" s="18">
        <f>IF(NOT(ISNUMBER($A1016)),NA(),IFERROR(1*INDEX(BBG_Data!$L$2:$L$4000,MATCH($A1016,BBG_Data!$K$2:$K$4000,0)),NA()))</f>
        <v/>
      </c>
      <c r="S1016" s="20">
        <f>IF(AND(ISNUMBER(B1016),ISNUMBER(Q1016),ISNUMBER(R1016)),(B1016-Q1016-R1016)*100,NA())</f>
        <v/>
      </c>
      <c r="T1016" s="20">
        <f>IF(AND(ISNUMBER(B1016),Settings!$B$17&gt;0),IF(ISNUMBER(INDEX($B:$B,Settings!$B$17)),(B1016-INDEX($B:$B,Settings!$B$17))*100,NA()),NA())</f>
        <v/>
      </c>
      <c r="U1016" s="20">
        <f>IF(AND(ISNUMBER(Q1016),Settings!$B$17&gt;0),IF(ISNUMBER(INDEX($Q:$Q,Settings!$B$17)),(Q1016-INDEX($Q:$Q,Settings!$B$17))*100,NA()),NA())</f>
        <v/>
      </c>
      <c r="V1016" s="20">
        <f>IF(AND(ISNUMBER(R1016),Settings!$B$17&gt;0),IF(ISNUMBER(INDEX($R:$R,Settings!$B$17)),(R1016-INDEX($R:$R,Settings!$B$17))*100,NA()),NA())</f>
        <v/>
      </c>
      <c r="W1016" s="20">
        <f>IF(AND(ISNUMBER(P1016),Settings!$B$17&gt;0),IF(ISNUMBER(INDEX($P:$P,Settings!$B$17)),P1016-INDEX($P:$P,Settings!$B$17),NA()),NA())</f>
        <v/>
      </c>
      <c r="X1016" s="19">
        <f>IF(NOT(ISNUMBER($A1016)),NA(),IF(OR($A1016&lt;MIN(DKW_10Y!$A$2:$A$2918),$A1016&gt;MAX(DKW_10Y!$A$2:$A$2918),Settings!$B$16&lt;MIN(DKW_10Y!$A$2:$A$2918)),NA(),(INDEX(DKW_10Y!$B$2:$B$2918,MATCH($A1016,DKW_10Y!$A$2:$A$2918,1))-INDEX(DKW_10Y!$B$2:$B$2918,MATCH(Settings!$B$16,DKW_10Y!$A$2:$A$2918,1)))*100))</f>
        <v/>
      </c>
      <c r="Y1016" s="19">
        <f>IF(NOT(ISNUMBER($A1016)),NA(),IF(OR($A1016&lt;MIN(DKW_10Y!$A$2:$A$2918),$A1016&gt;MAX(DKW_10Y!$A$2:$A$2918),Settings!$B$16&lt;MIN(DKW_10Y!$A$2:$A$2918)),NA(),(INDEX(DKW_10Y!$C$2:$C$2918,MATCH($A1016,DKW_10Y!$A$2:$A$2918,1))-INDEX(DKW_10Y!$C$2:$C$2918,MATCH(Settings!$B$16,DKW_10Y!$A$2:$A$2918,1)))*100))</f>
        <v/>
      </c>
      <c r="Z1016" s="19">
        <f>IF(NOT(ISNUMBER($A1016)),NA(),IF(OR($A1016&lt;MIN(DKW_10Y!$A$2:$A$2918),$A1016&gt;MAX(DKW_10Y!$A$2:$A$2918),Settings!$B$16&lt;MIN(DKW_10Y!$A$2:$A$2918)),NA(),(INDEX(DKW_10Y!$D$2:$D$2918,MATCH($A1016,DKW_10Y!$A$2:$A$2918,1))-INDEX(DKW_10Y!$D$2:$D$2918,MATCH(Settings!$B$16,DKW_10Y!$A$2:$A$2918,1)))*100))</f>
        <v/>
      </c>
      <c r="AA1016" s="19">
        <f>IF(NOT(ISNUMBER($A1016)),NA(),IF(OR($A1016&lt;MIN(DKW_10Y!$A$2:$A$2918),$A1016&gt;MAX(DKW_10Y!$A$2:$A$2918),Settings!$B$16&lt;MIN(DKW_10Y!$A$2:$A$2918)),NA(),(INDEX(DKW_10Y!$E$2:$E$2918,MATCH($A1016,DKW_10Y!$A$2:$A$2918,1))-INDEX(DKW_10Y!$E$2:$E$2918,MATCH(Settings!$B$16,DKW_10Y!$A$2:$A$2918,1)))*100))</f>
        <v/>
      </c>
      <c r="AB1016" s="19">
        <f>IF(NOT(ISNUMBER($A1016)),NA(),IF(OR($A1016&lt;MIN(DKW_10Y!$A$2:$A$2918),$A1016&gt;MAX(DKW_10Y!$A$2:$A$2918),Settings!$B$16&lt;MIN(DKW_10Y!$A$2:$A$2918)),NA(),(INDEX(DKW_10Y!$H$2:$H$2918,MATCH($A1016,DKW_10Y!$A$2:$A$2918,1))-INDEX(DKW_10Y!$H$2:$H$2918,MATCH(Settings!$B$16,DKW_10Y!$A$2:$A$2918,1)))*100))</f>
        <v/>
      </c>
      <c r="AC1016" s="18">
        <f>IF(NOT(ISNUMBER($A1016)),NA(),IFERROR(1*INDEX(BBG_Data!$N$2:$N$4000,MATCH($A1016,BBG_Data!$M$2:$M$4000,0)),NA()))</f>
        <v/>
      </c>
      <c r="AD1016" s="18">
        <f>IF(NOT(ISNUMBER($A1016)),NA(),IFERROR(1*INDEX(BBG_Data!$P$2:$P$4000,MATCH($A1016,BBG_Data!$O$2:$O$4000,0)),NA()))</f>
        <v/>
      </c>
      <c r="AE1016" s="18">
        <f>IF(NOT(ISNUMBER($A1016)),NA(),IFERROR(1*INDEX(BBG_Data!$R$2:$R$4000,MATCH($A1016,BBG_Data!$Q$2:$Q$4000,0)),NA()))</f>
        <v/>
      </c>
      <c r="AF1016" s="20">
        <f>IF(AND(ISNUMBER(B1016),ISNUMBER(AC1016)),(B1016-AC1016)*100,NA())</f>
        <v/>
      </c>
      <c r="AG1016" s="20">
        <f>IF(AND(ISNUMBER(AE1016),ISNUMBER(AD1016)),(AE1016-AD1016)*100,NA())</f>
        <v/>
      </c>
      <c r="AH1016" s="19">
        <f>IF(NOT(ISNUMBER($A1016)),NA(),IFERROR(INDEX(BBG_Data!$T$2:$T$4000,MATCH($A1016,BBG_Data!$S$2:$S$4000,0))*Settings!$B$25,NA()))</f>
        <v/>
      </c>
      <c r="AI1016" s="19">
        <f>IF(NOT(ISNUMBER($A1016)),NA(),IFERROR(INDEX(BBG_Data!$V$2:$V$4000,MATCH($A1016,BBG_Data!$U$2:$U$4000,0))*Settings!$B$25,NA()))</f>
        <v/>
      </c>
      <c r="AJ1016" s="19">
        <f>IF(NOT(ISNUMBER($A1016)),NA(),IFERROR(1*INDEX(BBG_Data!$X$2:$X$4000,MATCH($A1016,BBG_Data!$W$2:$W$4000,0)),NA()))</f>
        <v/>
      </c>
      <c r="AK1016" s="19">
        <f>IF(NOT(ISNUMBER($A1016)),NA(),IFERROR(1*INDEX(BBG_Data!$Z$2:$Z$4000,MATCH($A1016,BBG_Data!$Y$2:$Y$4000,0)),NA()))</f>
        <v/>
      </c>
    </row>
    <row r="1017">
      <c r="A1017" s="17">
        <f>IF(ISNUMBER(BBG_Data!A1017),BBG_Data!A1017,"")</f>
        <v/>
      </c>
      <c r="B1017" s="18">
        <f>IF(AND(ISNUMBER($A1017),ISNUMBER(BBG_Data!B1017)),BBG_Data!B1017,NA())</f>
        <v/>
      </c>
      <c r="C1017" s="18">
        <f>IF(NOT(ISNUMBER($A1017)),NA(),IFERROR(1*INDEX(BBG_Data!$D$2:$D$4000,MATCH($A1017,BBG_Data!$C$2:$C$4000,0)),NA()))</f>
        <v/>
      </c>
      <c r="D1017" s="19">
        <f>IF(NOT(ISNUMBER($A1017)),NA(),IFERROR(1*INDEX(BBG_Data!$F$2:$F$4000,MATCH($A1017,BBG_Data!$E$2:$E$4000,0)),NA()))</f>
        <v/>
      </c>
      <c r="E1017" s="19">
        <f>IF(NOT(ISNUMBER($A1017)),NA(),IFERROR(1*INDEX(BBG_Data!$H$2:$H$4000,MATCH($A1017,BBG_Data!$G$2:$G$4000,0)),NA()))</f>
        <v/>
      </c>
      <c r="F1017" s="20">
        <f>IF(AND(ISNUMBER(B1017),ISNUMBER(B1016)),IF(B1017=B1016,"",(B1017-B1016)*100),"")</f>
        <v/>
      </c>
      <c r="G1017" s="20">
        <f>IF(AND(ISNUMBER(C1017),ISNUMBER(C1016)),IF(C1017=C1016,"",(C1017-C1016)*100),"")</f>
        <v/>
      </c>
      <c r="H1017" s="20">
        <f>IF(OR(NOT(ISNUMBER($A1017)),ROW()-2&lt;Settings!$B$11),NA(),IF(COUNT(OFFSET(F1017,1-Settings!$B$11,0,Settings!$B$11,1))&lt;ROUNDUP(Settings!$B$11*Settings!$B$26,0),NA(),STDEV(OFFSET(F1017,1-Settings!$B$11,0,Settings!$B$11,1))*SQRT(Settings!$B$13)))</f>
        <v/>
      </c>
      <c r="I1017" s="20">
        <f>IF(OR(NOT(ISNUMBER($A1017)),ROW()-2&lt;Settings!$B$12),NA(),IF(COUNT(OFFSET(F1017,1-Settings!$B$12,0,Settings!$B$12,1))&lt;ROUNDUP(Settings!$B$12*Settings!$B$26,0),NA(),STDEV(OFFSET(F1017,1-Settings!$B$12,0,Settings!$B$12,1))*SQRT(Settings!$B$13)))</f>
        <v/>
      </c>
      <c r="J1017" s="20">
        <f>IF(OR(NOT(ISNUMBER($A1017)),ROW()-2&lt;Settings!$B$11),NA(),IF(COUNT(OFFSET(G1017,1-Settings!$B$11,0,Settings!$B$11,1))&lt;ROUNDUP(Settings!$B$11*Settings!$B$26,0),NA(),STDEV(OFFSET(G1017,1-Settings!$B$11,0,Settings!$B$11,1))*SQRT(Settings!$B$13)))</f>
        <v/>
      </c>
      <c r="K1017" s="20">
        <f>IF(OR(NOT(ISNUMBER($A1017)),ROW()-2&lt;Settings!$B$12),NA(),IF(COUNT(OFFSET(G1017,1-Settings!$B$12,0,Settings!$B$12,1))&lt;ROUNDUP(Settings!$B$12*Settings!$B$26,0),NA(),STDEV(OFFSET(G1017,1-Settings!$B$12,0,Settings!$B$12,1))*SQRT(Settings!$B$13)))</f>
        <v/>
      </c>
      <c r="L1017" s="20">
        <f>IF(AND(ISNUMBER(D1017),ISNUMBER(H1017)),D1017-H1017,NA())</f>
        <v/>
      </c>
      <c r="M1017" s="20">
        <f>IF(AND(ISNUMBER(E1017),ISNUMBER(K1017)),E1017-K1017,NA())</f>
        <v/>
      </c>
      <c r="N1017" s="20">
        <f>IF(NOT(ISNUMBER($A1017)),NA(),IF(COUNT(OFFSET(G1017,1,0,Settings!$B$12,1))&lt;ROUNDUP(Settings!$B$12*Settings!$B$26,0),NA(),STDEV(OFFSET(G1017,1,0,Settings!$B$12,1))*SQRT(Settings!$B$13)))</f>
        <v/>
      </c>
      <c r="O1017" s="20">
        <f>IF(AND(ISNUMBER(E1017),ISNUMBER(N1017)),E1017-N1017,NA())</f>
        <v/>
      </c>
      <c r="P1017" s="19">
        <f>IF(NOT(ISNUMBER($A1017)),NA(),IF(OR($A1017&lt;MIN(KW_TP!$A$2:$A$2501),$A1017&gt;MAX(KW_TP!$A$2:$A$2501)),NA(),INDEX(KW_TP!$C$2:$C$2501,MATCH($A1017,KW_TP!$A$2:$A$2501,1))))</f>
        <v/>
      </c>
      <c r="Q1017" s="18">
        <f>IF(NOT(ISNUMBER($A1017)),NA(),IFERROR(1*INDEX(BBG_Data!$J$2:$J$4000,MATCH($A1017,BBG_Data!$I$2:$I$4000,0)),NA()))</f>
        <v/>
      </c>
      <c r="R1017" s="18">
        <f>IF(NOT(ISNUMBER($A1017)),NA(),IFERROR(1*INDEX(BBG_Data!$L$2:$L$4000,MATCH($A1017,BBG_Data!$K$2:$K$4000,0)),NA()))</f>
        <v/>
      </c>
      <c r="S1017" s="20">
        <f>IF(AND(ISNUMBER(B1017),ISNUMBER(Q1017),ISNUMBER(R1017)),(B1017-Q1017-R1017)*100,NA())</f>
        <v/>
      </c>
      <c r="T1017" s="20">
        <f>IF(AND(ISNUMBER(B1017),Settings!$B$17&gt;0),IF(ISNUMBER(INDEX($B:$B,Settings!$B$17)),(B1017-INDEX($B:$B,Settings!$B$17))*100,NA()),NA())</f>
        <v/>
      </c>
      <c r="U1017" s="20">
        <f>IF(AND(ISNUMBER(Q1017),Settings!$B$17&gt;0),IF(ISNUMBER(INDEX($Q:$Q,Settings!$B$17)),(Q1017-INDEX($Q:$Q,Settings!$B$17))*100,NA()),NA())</f>
        <v/>
      </c>
      <c r="V1017" s="20">
        <f>IF(AND(ISNUMBER(R1017),Settings!$B$17&gt;0),IF(ISNUMBER(INDEX($R:$R,Settings!$B$17)),(R1017-INDEX($R:$R,Settings!$B$17))*100,NA()),NA())</f>
        <v/>
      </c>
      <c r="W1017" s="20">
        <f>IF(AND(ISNUMBER(P1017),Settings!$B$17&gt;0),IF(ISNUMBER(INDEX($P:$P,Settings!$B$17)),P1017-INDEX($P:$P,Settings!$B$17),NA()),NA())</f>
        <v/>
      </c>
      <c r="X1017" s="19">
        <f>IF(NOT(ISNUMBER($A1017)),NA(),IF(OR($A1017&lt;MIN(DKW_10Y!$A$2:$A$2918),$A1017&gt;MAX(DKW_10Y!$A$2:$A$2918),Settings!$B$16&lt;MIN(DKW_10Y!$A$2:$A$2918)),NA(),(INDEX(DKW_10Y!$B$2:$B$2918,MATCH($A1017,DKW_10Y!$A$2:$A$2918,1))-INDEX(DKW_10Y!$B$2:$B$2918,MATCH(Settings!$B$16,DKW_10Y!$A$2:$A$2918,1)))*100))</f>
        <v/>
      </c>
      <c r="Y1017" s="19">
        <f>IF(NOT(ISNUMBER($A1017)),NA(),IF(OR($A1017&lt;MIN(DKW_10Y!$A$2:$A$2918),$A1017&gt;MAX(DKW_10Y!$A$2:$A$2918),Settings!$B$16&lt;MIN(DKW_10Y!$A$2:$A$2918)),NA(),(INDEX(DKW_10Y!$C$2:$C$2918,MATCH($A1017,DKW_10Y!$A$2:$A$2918,1))-INDEX(DKW_10Y!$C$2:$C$2918,MATCH(Settings!$B$16,DKW_10Y!$A$2:$A$2918,1)))*100))</f>
        <v/>
      </c>
      <c r="Z1017" s="19">
        <f>IF(NOT(ISNUMBER($A1017)),NA(),IF(OR($A1017&lt;MIN(DKW_10Y!$A$2:$A$2918),$A1017&gt;MAX(DKW_10Y!$A$2:$A$2918),Settings!$B$16&lt;MIN(DKW_10Y!$A$2:$A$2918)),NA(),(INDEX(DKW_10Y!$D$2:$D$2918,MATCH($A1017,DKW_10Y!$A$2:$A$2918,1))-INDEX(DKW_10Y!$D$2:$D$2918,MATCH(Settings!$B$16,DKW_10Y!$A$2:$A$2918,1)))*100))</f>
        <v/>
      </c>
      <c r="AA1017" s="19">
        <f>IF(NOT(ISNUMBER($A1017)),NA(),IF(OR($A1017&lt;MIN(DKW_10Y!$A$2:$A$2918),$A1017&gt;MAX(DKW_10Y!$A$2:$A$2918),Settings!$B$16&lt;MIN(DKW_10Y!$A$2:$A$2918)),NA(),(INDEX(DKW_10Y!$E$2:$E$2918,MATCH($A1017,DKW_10Y!$A$2:$A$2918,1))-INDEX(DKW_10Y!$E$2:$E$2918,MATCH(Settings!$B$16,DKW_10Y!$A$2:$A$2918,1)))*100))</f>
        <v/>
      </c>
      <c r="AB1017" s="19">
        <f>IF(NOT(ISNUMBER($A1017)),NA(),IF(OR($A1017&lt;MIN(DKW_10Y!$A$2:$A$2918),$A1017&gt;MAX(DKW_10Y!$A$2:$A$2918),Settings!$B$16&lt;MIN(DKW_10Y!$A$2:$A$2918)),NA(),(INDEX(DKW_10Y!$H$2:$H$2918,MATCH($A1017,DKW_10Y!$A$2:$A$2918,1))-INDEX(DKW_10Y!$H$2:$H$2918,MATCH(Settings!$B$16,DKW_10Y!$A$2:$A$2918,1)))*100))</f>
        <v/>
      </c>
      <c r="AC1017" s="18">
        <f>IF(NOT(ISNUMBER($A1017)),NA(),IFERROR(1*INDEX(BBG_Data!$N$2:$N$4000,MATCH($A1017,BBG_Data!$M$2:$M$4000,0)),NA()))</f>
        <v/>
      </c>
      <c r="AD1017" s="18">
        <f>IF(NOT(ISNUMBER($A1017)),NA(),IFERROR(1*INDEX(BBG_Data!$P$2:$P$4000,MATCH($A1017,BBG_Data!$O$2:$O$4000,0)),NA()))</f>
        <v/>
      </c>
      <c r="AE1017" s="18">
        <f>IF(NOT(ISNUMBER($A1017)),NA(),IFERROR(1*INDEX(BBG_Data!$R$2:$R$4000,MATCH($A1017,BBG_Data!$Q$2:$Q$4000,0)),NA()))</f>
        <v/>
      </c>
      <c r="AF1017" s="20">
        <f>IF(AND(ISNUMBER(B1017),ISNUMBER(AC1017)),(B1017-AC1017)*100,NA())</f>
        <v/>
      </c>
      <c r="AG1017" s="20">
        <f>IF(AND(ISNUMBER(AE1017),ISNUMBER(AD1017)),(AE1017-AD1017)*100,NA())</f>
        <v/>
      </c>
      <c r="AH1017" s="19">
        <f>IF(NOT(ISNUMBER($A1017)),NA(),IFERROR(INDEX(BBG_Data!$T$2:$T$4000,MATCH($A1017,BBG_Data!$S$2:$S$4000,0))*Settings!$B$25,NA()))</f>
        <v/>
      </c>
      <c r="AI1017" s="19">
        <f>IF(NOT(ISNUMBER($A1017)),NA(),IFERROR(INDEX(BBG_Data!$V$2:$V$4000,MATCH($A1017,BBG_Data!$U$2:$U$4000,0))*Settings!$B$25,NA()))</f>
        <v/>
      </c>
      <c r="AJ1017" s="19">
        <f>IF(NOT(ISNUMBER($A1017)),NA(),IFERROR(1*INDEX(BBG_Data!$X$2:$X$4000,MATCH($A1017,BBG_Data!$W$2:$W$4000,0)),NA()))</f>
        <v/>
      </c>
      <c r="AK1017" s="19">
        <f>IF(NOT(ISNUMBER($A1017)),NA(),IFERROR(1*INDEX(BBG_Data!$Z$2:$Z$4000,MATCH($A1017,BBG_Data!$Y$2:$Y$4000,0)),NA()))</f>
        <v/>
      </c>
    </row>
    <row r="1018">
      <c r="A1018" s="17">
        <f>IF(ISNUMBER(BBG_Data!A1018),BBG_Data!A1018,"")</f>
        <v/>
      </c>
      <c r="B1018" s="18">
        <f>IF(AND(ISNUMBER($A1018),ISNUMBER(BBG_Data!B1018)),BBG_Data!B1018,NA())</f>
        <v/>
      </c>
      <c r="C1018" s="18">
        <f>IF(NOT(ISNUMBER($A1018)),NA(),IFERROR(1*INDEX(BBG_Data!$D$2:$D$4000,MATCH($A1018,BBG_Data!$C$2:$C$4000,0)),NA()))</f>
        <v/>
      </c>
      <c r="D1018" s="19">
        <f>IF(NOT(ISNUMBER($A1018)),NA(),IFERROR(1*INDEX(BBG_Data!$F$2:$F$4000,MATCH($A1018,BBG_Data!$E$2:$E$4000,0)),NA()))</f>
        <v/>
      </c>
      <c r="E1018" s="19">
        <f>IF(NOT(ISNUMBER($A1018)),NA(),IFERROR(1*INDEX(BBG_Data!$H$2:$H$4000,MATCH($A1018,BBG_Data!$G$2:$G$4000,0)),NA()))</f>
        <v/>
      </c>
      <c r="F1018" s="20">
        <f>IF(AND(ISNUMBER(B1018),ISNUMBER(B1017)),IF(B1018=B1017,"",(B1018-B1017)*100),"")</f>
        <v/>
      </c>
      <c r="G1018" s="20">
        <f>IF(AND(ISNUMBER(C1018),ISNUMBER(C1017)),IF(C1018=C1017,"",(C1018-C1017)*100),"")</f>
        <v/>
      </c>
      <c r="H1018" s="20">
        <f>IF(OR(NOT(ISNUMBER($A1018)),ROW()-2&lt;Settings!$B$11),NA(),IF(COUNT(OFFSET(F1018,1-Settings!$B$11,0,Settings!$B$11,1))&lt;ROUNDUP(Settings!$B$11*Settings!$B$26,0),NA(),STDEV(OFFSET(F1018,1-Settings!$B$11,0,Settings!$B$11,1))*SQRT(Settings!$B$13)))</f>
        <v/>
      </c>
      <c r="I1018" s="20">
        <f>IF(OR(NOT(ISNUMBER($A1018)),ROW()-2&lt;Settings!$B$12),NA(),IF(COUNT(OFFSET(F1018,1-Settings!$B$12,0,Settings!$B$12,1))&lt;ROUNDUP(Settings!$B$12*Settings!$B$26,0),NA(),STDEV(OFFSET(F1018,1-Settings!$B$12,0,Settings!$B$12,1))*SQRT(Settings!$B$13)))</f>
        <v/>
      </c>
      <c r="J1018" s="20">
        <f>IF(OR(NOT(ISNUMBER($A1018)),ROW()-2&lt;Settings!$B$11),NA(),IF(COUNT(OFFSET(G1018,1-Settings!$B$11,0,Settings!$B$11,1))&lt;ROUNDUP(Settings!$B$11*Settings!$B$26,0),NA(),STDEV(OFFSET(G1018,1-Settings!$B$11,0,Settings!$B$11,1))*SQRT(Settings!$B$13)))</f>
        <v/>
      </c>
      <c r="K1018" s="20">
        <f>IF(OR(NOT(ISNUMBER($A1018)),ROW()-2&lt;Settings!$B$12),NA(),IF(COUNT(OFFSET(G1018,1-Settings!$B$12,0,Settings!$B$12,1))&lt;ROUNDUP(Settings!$B$12*Settings!$B$26,0),NA(),STDEV(OFFSET(G1018,1-Settings!$B$12,0,Settings!$B$12,1))*SQRT(Settings!$B$13)))</f>
        <v/>
      </c>
      <c r="L1018" s="20">
        <f>IF(AND(ISNUMBER(D1018),ISNUMBER(H1018)),D1018-H1018,NA())</f>
        <v/>
      </c>
      <c r="M1018" s="20">
        <f>IF(AND(ISNUMBER(E1018),ISNUMBER(K1018)),E1018-K1018,NA())</f>
        <v/>
      </c>
      <c r="N1018" s="20">
        <f>IF(NOT(ISNUMBER($A1018)),NA(),IF(COUNT(OFFSET(G1018,1,0,Settings!$B$12,1))&lt;ROUNDUP(Settings!$B$12*Settings!$B$26,0),NA(),STDEV(OFFSET(G1018,1,0,Settings!$B$12,1))*SQRT(Settings!$B$13)))</f>
        <v/>
      </c>
      <c r="O1018" s="20">
        <f>IF(AND(ISNUMBER(E1018),ISNUMBER(N1018)),E1018-N1018,NA())</f>
        <v/>
      </c>
      <c r="P1018" s="19">
        <f>IF(NOT(ISNUMBER($A1018)),NA(),IF(OR($A1018&lt;MIN(KW_TP!$A$2:$A$2501),$A1018&gt;MAX(KW_TP!$A$2:$A$2501)),NA(),INDEX(KW_TP!$C$2:$C$2501,MATCH($A1018,KW_TP!$A$2:$A$2501,1))))</f>
        <v/>
      </c>
      <c r="Q1018" s="18">
        <f>IF(NOT(ISNUMBER($A1018)),NA(),IFERROR(1*INDEX(BBG_Data!$J$2:$J$4000,MATCH($A1018,BBG_Data!$I$2:$I$4000,0)),NA()))</f>
        <v/>
      </c>
      <c r="R1018" s="18">
        <f>IF(NOT(ISNUMBER($A1018)),NA(),IFERROR(1*INDEX(BBG_Data!$L$2:$L$4000,MATCH($A1018,BBG_Data!$K$2:$K$4000,0)),NA()))</f>
        <v/>
      </c>
      <c r="S1018" s="20">
        <f>IF(AND(ISNUMBER(B1018),ISNUMBER(Q1018),ISNUMBER(R1018)),(B1018-Q1018-R1018)*100,NA())</f>
        <v/>
      </c>
      <c r="T1018" s="20">
        <f>IF(AND(ISNUMBER(B1018),Settings!$B$17&gt;0),IF(ISNUMBER(INDEX($B:$B,Settings!$B$17)),(B1018-INDEX($B:$B,Settings!$B$17))*100,NA()),NA())</f>
        <v/>
      </c>
      <c r="U1018" s="20">
        <f>IF(AND(ISNUMBER(Q1018),Settings!$B$17&gt;0),IF(ISNUMBER(INDEX($Q:$Q,Settings!$B$17)),(Q1018-INDEX($Q:$Q,Settings!$B$17))*100,NA()),NA())</f>
        <v/>
      </c>
      <c r="V1018" s="20">
        <f>IF(AND(ISNUMBER(R1018),Settings!$B$17&gt;0),IF(ISNUMBER(INDEX($R:$R,Settings!$B$17)),(R1018-INDEX($R:$R,Settings!$B$17))*100,NA()),NA())</f>
        <v/>
      </c>
      <c r="W1018" s="20">
        <f>IF(AND(ISNUMBER(P1018),Settings!$B$17&gt;0),IF(ISNUMBER(INDEX($P:$P,Settings!$B$17)),P1018-INDEX($P:$P,Settings!$B$17),NA()),NA())</f>
        <v/>
      </c>
      <c r="X1018" s="19">
        <f>IF(NOT(ISNUMBER($A1018)),NA(),IF(OR($A1018&lt;MIN(DKW_10Y!$A$2:$A$2918),$A1018&gt;MAX(DKW_10Y!$A$2:$A$2918),Settings!$B$16&lt;MIN(DKW_10Y!$A$2:$A$2918)),NA(),(INDEX(DKW_10Y!$B$2:$B$2918,MATCH($A1018,DKW_10Y!$A$2:$A$2918,1))-INDEX(DKW_10Y!$B$2:$B$2918,MATCH(Settings!$B$16,DKW_10Y!$A$2:$A$2918,1)))*100))</f>
        <v/>
      </c>
      <c r="Y1018" s="19">
        <f>IF(NOT(ISNUMBER($A1018)),NA(),IF(OR($A1018&lt;MIN(DKW_10Y!$A$2:$A$2918),$A1018&gt;MAX(DKW_10Y!$A$2:$A$2918),Settings!$B$16&lt;MIN(DKW_10Y!$A$2:$A$2918)),NA(),(INDEX(DKW_10Y!$C$2:$C$2918,MATCH($A1018,DKW_10Y!$A$2:$A$2918,1))-INDEX(DKW_10Y!$C$2:$C$2918,MATCH(Settings!$B$16,DKW_10Y!$A$2:$A$2918,1)))*100))</f>
        <v/>
      </c>
      <c r="Z1018" s="19">
        <f>IF(NOT(ISNUMBER($A1018)),NA(),IF(OR($A1018&lt;MIN(DKW_10Y!$A$2:$A$2918),$A1018&gt;MAX(DKW_10Y!$A$2:$A$2918),Settings!$B$16&lt;MIN(DKW_10Y!$A$2:$A$2918)),NA(),(INDEX(DKW_10Y!$D$2:$D$2918,MATCH($A1018,DKW_10Y!$A$2:$A$2918,1))-INDEX(DKW_10Y!$D$2:$D$2918,MATCH(Settings!$B$16,DKW_10Y!$A$2:$A$2918,1)))*100))</f>
        <v/>
      </c>
      <c r="AA1018" s="19">
        <f>IF(NOT(ISNUMBER($A1018)),NA(),IF(OR($A1018&lt;MIN(DKW_10Y!$A$2:$A$2918),$A1018&gt;MAX(DKW_10Y!$A$2:$A$2918),Settings!$B$16&lt;MIN(DKW_10Y!$A$2:$A$2918)),NA(),(INDEX(DKW_10Y!$E$2:$E$2918,MATCH($A1018,DKW_10Y!$A$2:$A$2918,1))-INDEX(DKW_10Y!$E$2:$E$2918,MATCH(Settings!$B$16,DKW_10Y!$A$2:$A$2918,1)))*100))</f>
        <v/>
      </c>
      <c r="AB1018" s="19">
        <f>IF(NOT(ISNUMBER($A1018)),NA(),IF(OR($A1018&lt;MIN(DKW_10Y!$A$2:$A$2918),$A1018&gt;MAX(DKW_10Y!$A$2:$A$2918),Settings!$B$16&lt;MIN(DKW_10Y!$A$2:$A$2918)),NA(),(INDEX(DKW_10Y!$H$2:$H$2918,MATCH($A1018,DKW_10Y!$A$2:$A$2918,1))-INDEX(DKW_10Y!$H$2:$H$2918,MATCH(Settings!$B$16,DKW_10Y!$A$2:$A$2918,1)))*100))</f>
        <v/>
      </c>
      <c r="AC1018" s="18">
        <f>IF(NOT(ISNUMBER($A1018)),NA(),IFERROR(1*INDEX(BBG_Data!$N$2:$N$4000,MATCH($A1018,BBG_Data!$M$2:$M$4000,0)),NA()))</f>
        <v/>
      </c>
      <c r="AD1018" s="18">
        <f>IF(NOT(ISNUMBER($A1018)),NA(),IFERROR(1*INDEX(BBG_Data!$P$2:$P$4000,MATCH($A1018,BBG_Data!$O$2:$O$4000,0)),NA()))</f>
        <v/>
      </c>
      <c r="AE1018" s="18">
        <f>IF(NOT(ISNUMBER($A1018)),NA(),IFERROR(1*INDEX(BBG_Data!$R$2:$R$4000,MATCH($A1018,BBG_Data!$Q$2:$Q$4000,0)),NA()))</f>
        <v/>
      </c>
      <c r="AF1018" s="20">
        <f>IF(AND(ISNUMBER(B1018),ISNUMBER(AC1018)),(B1018-AC1018)*100,NA())</f>
        <v/>
      </c>
      <c r="AG1018" s="20">
        <f>IF(AND(ISNUMBER(AE1018),ISNUMBER(AD1018)),(AE1018-AD1018)*100,NA())</f>
        <v/>
      </c>
      <c r="AH1018" s="19">
        <f>IF(NOT(ISNUMBER($A1018)),NA(),IFERROR(INDEX(BBG_Data!$T$2:$T$4000,MATCH($A1018,BBG_Data!$S$2:$S$4000,0))*Settings!$B$25,NA()))</f>
        <v/>
      </c>
      <c r="AI1018" s="19">
        <f>IF(NOT(ISNUMBER($A1018)),NA(),IFERROR(INDEX(BBG_Data!$V$2:$V$4000,MATCH($A1018,BBG_Data!$U$2:$U$4000,0))*Settings!$B$25,NA()))</f>
        <v/>
      </c>
      <c r="AJ1018" s="19">
        <f>IF(NOT(ISNUMBER($A1018)),NA(),IFERROR(1*INDEX(BBG_Data!$X$2:$X$4000,MATCH($A1018,BBG_Data!$W$2:$W$4000,0)),NA()))</f>
        <v/>
      </c>
      <c r="AK1018" s="19">
        <f>IF(NOT(ISNUMBER($A1018)),NA(),IFERROR(1*INDEX(BBG_Data!$Z$2:$Z$4000,MATCH($A1018,BBG_Data!$Y$2:$Y$4000,0)),NA()))</f>
        <v/>
      </c>
    </row>
    <row r="1019">
      <c r="A1019" s="17">
        <f>IF(ISNUMBER(BBG_Data!A1019),BBG_Data!A1019,"")</f>
        <v/>
      </c>
      <c r="B1019" s="18">
        <f>IF(AND(ISNUMBER($A1019),ISNUMBER(BBG_Data!B1019)),BBG_Data!B1019,NA())</f>
        <v/>
      </c>
      <c r="C1019" s="18">
        <f>IF(NOT(ISNUMBER($A1019)),NA(),IFERROR(1*INDEX(BBG_Data!$D$2:$D$4000,MATCH($A1019,BBG_Data!$C$2:$C$4000,0)),NA()))</f>
        <v/>
      </c>
      <c r="D1019" s="19">
        <f>IF(NOT(ISNUMBER($A1019)),NA(),IFERROR(1*INDEX(BBG_Data!$F$2:$F$4000,MATCH($A1019,BBG_Data!$E$2:$E$4000,0)),NA()))</f>
        <v/>
      </c>
      <c r="E1019" s="19">
        <f>IF(NOT(ISNUMBER($A1019)),NA(),IFERROR(1*INDEX(BBG_Data!$H$2:$H$4000,MATCH($A1019,BBG_Data!$G$2:$G$4000,0)),NA()))</f>
        <v/>
      </c>
      <c r="F1019" s="20">
        <f>IF(AND(ISNUMBER(B1019),ISNUMBER(B1018)),IF(B1019=B1018,"",(B1019-B1018)*100),"")</f>
        <v/>
      </c>
      <c r="G1019" s="20">
        <f>IF(AND(ISNUMBER(C1019),ISNUMBER(C1018)),IF(C1019=C1018,"",(C1019-C1018)*100),"")</f>
        <v/>
      </c>
      <c r="H1019" s="20">
        <f>IF(OR(NOT(ISNUMBER($A1019)),ROW()-2&lt;Settings!$B$11),NA(),IF(COUNT(OFFSET(F1019,1-Settings!$B$11,0,Settings!$B$11,1))&lt;ROUNDUP(Settings!$B$11*Settings!$B$26,0),NA(),STDEV(OFFSET(F1019,1-Settings!$B$11,0,Settings!$B$11,1))*SQRT(Settings!$B$13)))</f>
        <v/>
      </c>
      <c r="I1019" s="20">
        <f>IF(OR(NOT(ISNUMBER($A1019)),ROW()-2&lt;Settings!$B$12),NA(),IF(COUNT(OFFSET(F1019,1-Settings!$B$12,0,Settings!$B$12,1))&lt;ROUNDUP(Settings!$B$12*Settings!$B$26,0),NA(),STDEV(OFFSET(F1019,1-Settings!$B$12,0,Settings!$B$12,1))*SQRT(Settings!$B$13)))</f>
        <v/>
      </c>
      <c r="J1019" s="20">
        <f>IF(OR(NOT(ISNUMBER($A1019)),ROW()-2&lt;Settings!$B$11),NA(),IF(COUNT(OFFSET(G1019,1-Settings!$B$11,0,Settings!$B$11,1))&lt;ROUNDUP(Settings!$B$11*Settings!$B$26,0),NA(),STDEV(OFFSET(G1019,1-Settings!$B$11,0,Settings!$B$11,1))*SQRT(Settings!$B$13)))</f>
        <v/>
      </c>
      <c r="K1019" s="20">
        <f>IF(OR(NOT(ISNUMBER($A1019)),ROW()-2&lt;Settings!$B$12),NA(),IF(COUNT(OFFSET(G1019,1-Settings!$B$12,0,Settings!$B$12,1))&lt;ROUNDUP(Settings!$B$12*Settings!$B$26,0),NA(),STDEV(OFFSET(G1019,1-Settings!$B$12,0,Settings!$B$12,1))*SQRT(Settings!$B$13)))</f>
        <v/>
      </c>
      <c r="L1019" s="20">
        <f>IF(AND(ISNUMBER(D1019),ISNUMBER(H1019)),D1019-H1019,NA())</f>
        <v/>
      </c>
      <c r="M1019" s="20">
        <f>IF(AND(ISNUMBER(E1019),ISNUMBER(K1019)),E1019-K1019,NA())</f>
        <v/>
      </c>
      <c r="N1019" s="20">
        <f>IF(NOT(ISNUMBER($A1019)),NA(),IF(COUNT(OFFSET(G1019,1,0,Settings!$B$12,1))&lt;ROUNDUP(Settings!$B$12*Settings!$B$26,0),NA(),STDEV(OFFSET(G1019,1,0,Settings!$B$12,1))*SQRT(Settings!$B$13)))</f>
        <v/>
      </c>
      <c r="O1019" s="20">
        <f>IF(AND(ISNUMBER(E1019),ISNUMBER(N1019)),E1019-N1019,NA())</f>
        <v/>
      </c>
      <c r="P1019" s="19">
        <f>IF(NOT(ISNUMBER($A1019)),NA(),IF(OR($A1019&lt;MIN(KW_TP!$A$2:$A$2501),$A1019&gt;MAX(KW_TP!$A$2:$A$2501)),NA(),INDEX(KW_TP!$C$2:$C$2501,MATCH($A1019,KW_TP!$A$2:$A$2501,1))))</f>
        <v/>
      </c>
      <c r="Q1019" s="18">
        <f>IF(NOT(ISNUMBER($A1019)),NA(),IFERROR(1*INDEX(BBG_Data!$J$2:$J$4000,MATCH($A1019,BBG_Data!$I$2:$I$4000,0)),NA()))</f>
        <v/>
      </c>
      <c r="R1019" s="18">
        <f>IF(NOT(ISNUMBER($A1019)),NA(),IFERROR(1*INDEX(BBG_Data!$L$2:$L$4000,MATCH($A1019,BBG_Data!$K$2:$K$4000,0)),NA()))</f>
        <v/>
      </c>
      <c r="S1019" s="20">
        <f>IF(AND(ISNUMBER(B1019),ISNUMBER(Q1019),ISNUMBER(R1019)),(B1019-Q1019-R1019)*100,NA())</f>
        <v/>
      </c>
      <c r="T1019" s="20">
        <f>IF(AND(ISNUMBER(B1019),Settings!$B$17&gt;0),IF(ISNUMBER(INDEX($B:$B,Settings!$B$17)),(B1019-INDEX($B:$B,Settings!$B$17))*100,NA()),NA())</f>
        <v/>
      </c>
      <c r="U1019" s="20">
        <f>IF(AND(ISNUMBER(Q1019),Settings!$B$17&gt;0),IF(ISNUMBER(INDEX($Q:$Q,Settings!$B$17)),(Q1019-INDEX($Q:$Q,Settings!$B$17))*100,NA()),NA())</f>
        <v/>
      </c>
      <c r="V1019" s="20">
        <f>IF(AND(ISNUMBER(R1019),Settings!$B$17&gt;0),IF(ISNUMBER(INDEX($R:$R,Settings!$B$17)),(R1019-INDEX($R:$R,Settings!$B$17))*100,NA()),NA())</f>
        <v/>
      </c>
      <c r="W1019" s="20">
        <f>IF(AND(ISNUMBER(P1019),Settings!$B$17&gt;0),IF(ISNUMBER(INDEX($P:$P,Settings!$B$17)),P1019-INDEX($P:$P,Settings!$B$17),NA()),NA())</f>
        <v/>
      </c>
      <c r="X1019" s="19">
        <f>IF(NOT(ISNUMBER($A1019)),NA(),IF(OR($A1019&lt;MIN(DKW_10Y!$A$2:$A$2918),$A1019&gt;MAX(DKW_10Y!$A$2:$A$2918),Settings!$B$16&lt;MIN(DKW_10Y!$A$2:$A$2918)),NA(),(INDEX(DKW_10Y!$B$2:$B$2918,MATCH($A1019,DKW_10Y!$A$2:$A$2918,1))-INDEX(DKW_10Y!$B$2:$B$2918,MATCH(Settings!$B$16,DKW_10Y!$A$2:$A$2918,1)))*100))</f>
        <v/>
      </c>
      <c r="Y1019" s="19">
        <f>IF(NOT(ISNUMBER($A1019)),NA(),IF(OR($A1019&lt;MIN(DKW_10Y!$A$2:$A$2918),$A1019&gt;MAX(DKW_10Y!$A$2:$A$2918),Settings!$B$16&lt;MIN(DKW_10Y!$A$2:$A$2918)),NA(),(INDEX(DKW_10Y!$C$2:$C$2918,MATCH($A1019,DKW_10Y!$A$2:$A$2918,1))-INDEX(DKW_10Y!$C$2:$C$2918,MATCH(Settings!$B$16,DKW_10Y!$A$2:$A$2918,1)))*100))</f>
        <v/>
      </c>
      <c r="Z1019" s="19">
        <f>IF(NOT(ISNUMBER($A1019)),NA(),IF(OR($A1019&lt;MIN(DKW_10Y!$A$2:$A$2918),$A1019&gt;MAX(DKW_10Y!$A$2:$A$2918),Settings!$B$16&lt;MIN(DKW_10Y!$A$2:$A$2918)),NA(),(INDEX(DKW_10Y!$D$2:$D$2918,MATCH($A1019,DKW_10Y!$A$2:$A$2918,1))-INDEX(DKW_10Y!$D$2:$D$2918,MATCH(Settings!$B$16,DKW_10Y!$A$2:$A$2918,1)))*100))</f>
        <v/>
      </c>
      <c r="AA1019" s="19">
        <f>IF(NOT(ISNUMBER($A1019)),NA(),IF(OR($A1019&lt;MIN(DKW_10Y!$A$2:$A$2918),$A1019&gt;MAX(DKW_10Y!$A$2:$A$2918),Settings!$B$16&lt;MIN(DKW_10Y!$A$2:$A$2918)),NA(),(INDEX(DKW_10Y!$E$2:$E$2918,MATCH($A1019,DKW_10Y!$A$2:$A$2918,1))-INDEX(DKW_10Y!$E$2:$E$2918,MATCH(Settings!$B$16,DKW_10Y!$A$2:$A$2918,1)))*100))</f>
        <v/>
      </c>
      <c r="AB1019" s="19">
        <f>IF(NOT(ISNUMBER($A1019)),NA(),IF(OR($A1019&lt;MIN(DKW_10Y!$A$2:$A$2918),$A1019&gt;MAX(DKW_10Y!$A$2:$A$2918),Settings!$B$16&lt;MIN(DKW_10Y!$A$2:$A$2918)),NA(),(INDEX(DKW_10Y!$H$2:$H$2918,MATCH($A1019,DKW_10Y!$A$2:$A$2918,1))-INDEX(DKW_10Y!$H$2:$H$2918,MATCH(Settings!$B$16,DKW_10Y!$A$2:$A$2918,1)))*100))</f>
        <v/>
      </c>
      <c r="AC1019" s="18">
        <f>IF(NOT(ISNUMBER($A1019)),NA(),IFERROR(1*INDEX(BBG_Data!$N$2:$N$4000,MATCH($A1019,BBG_Data!$M$2:$M$4000,0)),NA()))</f>
        <v/>
      </c>
      <c r="AD1019" s="18">
        <f>IF(NOT(ISNUMBER($A1019)),NA(),IFERROR(1*INDEX(BBG_Data!$P$2:$P$4000,MATCH($A1019,BBG_Data!$O$2:$O$4000,0)),NA()))</f>
        <v/>
      </c>
      <c r="AE1019" s="18">
        <f>IF(NOT(ISNUMBER($A1019)),NA(),IFERROR(1*INDEX(BBG_Data!$R$2:$R$4000,MATCH($A1019,BBG_Data!$Q$2:$Q$4000,0)),NA()))</f>
        <v/>
      </c>
      <c r="AF1019" s="20">
        <f>IF(AND(ISNUMBER(B1019),ISNUMBER(AC1019)),(B1019-AC1019)*100,NA())</f>
        <v/>
      </c>
      <c r="AG1019" s="20">
        <f>IF(AND(ISNUMBER(AE1019),ISNUMBER(AD1019)),(AE1019-AD1019)*100,NA())</f>
        <v/>
      </c>
      <c r="AH1019" s="19">
        <f>IF(NOT(ISNUMBER($A1019)),NA(),IFERROR(INDEX(BBG_Data!$T$2:$T$4000,MATCH($A1019,BBG_Data!$S$2:$S$4000,0))*Settings!$B$25,NA()))</f>
        <v/>
      </c>
      <c r="AI1019" s="19">
        <f>IF(NOT(ISNUMBER($A1019)),NA(),IFERROR(INDEX(BBG_Data!$V$2:$V$4000,MATCH($A1019,BBG_Data!$U$2:$U$4000,0))*Settings!$B$25,NA()))</f>
        <v/>
      </c>
      <c r="AJ1019" s="19">
        <f>IF(NOT(ISNUMBER($A1019)),NA(),IFERROR(1*INDEX(BBG_Data!$X$2:$X$4000,MATCH($A1019,BBG_Data!$W$2:$W$4000,0)),NA()))</f>
        <v/>
      </c>
      <c r="AK1019" s="19">
        <f>IF(NOT(ISNUMBER($A1019)),NA(),IFERROR(1*INDEX(BBG_Data!$Z$2:$Z$4000,MATCH($A1019,BBG_Data!$Y$2:$Y$4000,0)),NA()))</f>
        <v/>
      </c>
    </row>
    <row r="1020">
      <c r="A1020" s="17">
        <f>IF(ISNUMBER(BBG_Data!A1020),BBG_Data!A1020,"")</f>
        <v/>
      </c>
      <c r="B1020" s="18">
        <f>IF(AND(ISNUMBER($A1020),ISNUMBER(BBG_Data!B1020)),BBG_Data!B1020,NA())</f>
        <v/>
      </c>
      <c r="C1020" s="18">
        <f>IF(NOT(ISNUMBER($A1020)),NA(),IFERROR(1*INDEX(BBG_Data!$D$2:$D$4000,MATCH($A1020,BBG_Data!$C$2:$C$4000,0)),NA()))</f>
        <v/>
      </c>
      <c r="D1020" s="19">
        <f>IF(NOT(ISNUMBER($A1020)),NA(),IFERROR(1*INDEX(BBG_Data!$F$2:$F$4000,MATCH($A1020,BBG_Data!$E$2:$E$4000,0)),NA()))</f>
        <v/>
      </c>
      <c r="E1020" s="19">
        <f>IF(NOT(ISNUMBER($A1020)),NA(),IFERROR(1*INDEX(BBG_Data!$H$2:$H$4000,MATCH($A1020,BBG_Data!$G$2:$G$4000,0)),NA()))</f>
        <v/>
      </c>
      <c r="F1020" s="20">
        <f>IF(AND(ISNUMBER(B1020),ISNUMBER(B1019)),IF(B1020=B1019,"",(B1020-B1019)*100),"")</f>
        <v/>
      </c>
      <c r="G1020" s="20">
        <f>IF(AND(ISNUMBER(C1020),ISNUMBER(C1019)),IF(C1020=C1019,"",(C1020-C1019)*100),"")</f>
        <v/>
      </c>
      <c r="H1020" s="20">
        <f>IF(OR(NOT(ISNUMBER($A1020)),ROW()-2&lt;Settings!$B$11),NA(),IF(COUNT(OFFSET(F1020,1-Settings!$B$11,0,Settings!$B$11,1))&lt;ROUNDUP(Settings!$B$11*Settings!$B$26,0),NA(),STDEV(OFFSET(F1020,1-Settings!$B$11,0,Settings!$B$11,1))*SQRT(Settings!$B$13)))</f>
        <v/>
      </c>
      <c r="I1020" s="20">
        <f>IF(OR(NOT(ISNUMBER($A1020)),ROW()-2&lt;Settings!$B$12),NA(),IF(COUNT(OFFSET(F1020,1-Settings!$B$12,0,Settings!$B$12,1))&lt;ROUNDUP(Settings!$B$12*Settings!$B$26,0),NA(),STDEV(OFFSET(F1020,1-Settings!$B$12,0,Settings!$B$12,1))*SQRT(Settings!$B$13)))</f>
        <v/>
      </c>
      <c r="J1020" s="20">
        <f>IF(OR(NOT(ISNUMBER($A1020)),ROW()-2&lt;Settings!$B$11),NA(),IF(COUNT(OFFSET(G1020,1-Settings!$B$11,0,Settings!$B$11,1))&lt;ROUNDUP(Settings!$B$11*Settings!$B$26,0),NA(),STDEV(OFFSET(G1020,1-Settings!$B$11,0,Settings!$B$11,1))*SQRT(Settings!$B$13)))</f>
        <v/>
      </c>
      <c r="K1020" s="20">
        <f>IF(OR(NOT(ISNUMBER($A1020)),ROW()-2&lt;Settings!$B$12),NA(),IF(COUNT(OFFSET(G1020,1-Settings!$B$12,0,Settings!$B$12,1))&lt;ROUNDUP(Settings!$B$12*Settings!$B$26,0),NA(),STDEV(OFFSET(G1020,1-Settings!$B$12,0,Settings!$B$12,1))*SQRT(Settings!$B$13)))</f>
        <v/>
      </c>
      <c r="L1020" s="20">
        <f>IF(AND(ISNUMBER(D1020),ISNUMBER(H1020)),D1020-H1020,NA())</f>
        <v/>
      </c>
      <c r="M1020" s="20">
        <f>IF(AND(ISNUMBER(E1020),ISNUMBER(K1020)),E1020-K1020,NA())</f>
        <v/>
      </c>
      <c r="N1020" s="20">
        <f>IF(NOT(ISNUMBER($A1020)),NA(),IF(COUNT(OFFSET(G1020,1,0,Settings!$B$12,1))&lt;ROUNDUP(Settings!$B$12*Settings!$B$26,0),NA(),STDEV(OFFSET(G1020,1,0,Settings!$B$12,1))*SQRT(Settings!$B$13)))</f>
        <v/>
      </c>
      <c r="O1020" s="20">
        <f>IF(AND(ISNUMBER(E1020),ISNUMBER(N1020)),E1020-N1020,NA())</f>
        <v/>
      </c>
      <c r="P1020" s="19">
        <f>IF(NOT(ISNUMBER($A1020)),NA(),IF(OR($A1020&lt;MIN(KW_TP!$A$2:$A$2501),$A1020&gt;MAX(KW_TP!$A$2:$A$2501)),NA(),INDEX(KW_TP!$C$2:$C$2501,MATCH($A1020,KW_TP!$A$2:$A$2501,1))))</f>
        <v/>
      </c>
      <c r="Q1020" s="18">
        <f>IF(NOT(ISNUMBER($A1020)),NA(),IFERROR(1*INDEX(BBG_Data!$J$2:$J$4000,MATCH($A1020,BBG_Data!$I$2:$I$4000,0)),NA()))</f>
        <v/>
      </c>
      <c r="R1020" s="18">
        <f>IF(NOT(ISNUMBER($A1020)),NA(),IFERROR(1*INDEX(BBG_Data!$L$2:$L$4000,MATCH($A1020,BBG_Data!$K$2:$K$4000,0)),NA()))</f>
        <v/>
      </c>
      <c r="S1020" s="20">
        <f>IF(AND(ISNUMBER(B1020),ISNUMBER(Q1020),ISNUMBER(R1020)),(B1020-Q1020-R1020)*100,NA())</f>
        <v/>
      </c>
      <c r="T1020" s="20">
        <f>IF(AND(ISNUMBER(B1020),Settings!$B$17&gt;0),IF(ISNUMBER(INDEX($B:$B,Settings!$B$17)),(B1020-INDEX($B:$B,Settings!$B$17))*100,NA()),NA())</f>
        <v/>
      </c>
      <c r="U1020" s="20">
        <f>IF(AND(ISNUMBER(Q1020),Settings!$B$17&gt;0),IF(ISNUMBER(INDEX($Q:$Q,Settings!$B$17)),(Q1020-INDEX($Q:$Q,Settings!$B$17))*100,NA()),NA())</f>
        <v/>
      </c>
      <c r="V1020" s="20">
        <f>IF(AND(ISNUMBER(R1020),Settings!$B$17&gt;0),IF(ISNUMBER(INDEX($R:$R,Settings!$B$17)),(R1020-INDEX($R:$R,Settings!$B$17))*100,NA()),NA())</f>
        <v/>
      </c>
      <c r="W1020" s="20">
        <f>IF(AND(ISNUMBER(P1020),Settings!$B$17&gt;0),IF(ISNUMBER(INDEX($P:$P,Settings!$B$17)),P1020-INDEX($P:$P,Settings!$B$17),NA()),NA())</f>
        <v/>
      </c>
      <c r="X1020" s="19">
        <f>IF(NOT(ISNUMBER($A1020)),NA(),IF(OR($A1020&lt;MIN(DKW_10Y!$A$2:$A$2918),$A1020&gt;MAX(DKW_10Y!$A$2:$A$2918),Settings!$B$16&lt;MIN(DKW_10Y!$A$2:$A$2918)),NA(),(INDEX(DKW_10Y!$B$2:$B$2918,MATCH($A1020,DKW_10Y!$A$2:$A$2918,1))-INDEX(DKW_10Y!$B$2:$B$2918,MATCH(Settings!$B$16,DKW_10Y!$A$2:$A$2918,1)))*100))</f>
        <v/>
      </c>
      <c r="Y1020" s="19">
        <f>IF(NOT(ISNUMBER($A1020)),NA(),IF(OR($A1020&lt;MIN(DKW_10Y!$A$2:$A$2918),$A1020&gt;MAX(DKW_10Y!$A$2:$A$2918),Settings!$B$16&lt;MIN(DKW_10Y!$A$2:$A$2918)),NA(),(INDEX(DKW_10Y!$C$2:$C$2918,MATCH($A1020,DKW_10Y!$A$2:$A$2918,1))-INDEX(DKW_10Y!$C$2:$C$2918,MATCH(Settings!$B$16,DKW_10Y!$A$2:$A$2918,1)))*100))</f>
        <v/>
      </c>
      <c r="Z1020" s="19">
        <f>IF(NOT(ISNUMBER($A1020)),NA(),IF(OR($A1020&lt;MIN(DKW_10Y!$A$2:$A$2918),$A1020&gt;MAX(DKW_10Y!$A$2:$A$2918),Settings!$B$16&lt;MIN(DKW_10Y!$A$2:$A$2918)),NA(),(INDEX(DKW_10Y!$D$2:$D$2918,MATCH($A1020,DKW_10Y!$A$2:$A$2918,1))-INDEX(DKW_10Y!$D$2:$D$2918,MATCH(Settings!$B$16,DKW_10Y!$A$2:$A$2918,1)))*100))</f>
        <v/>
      </c>
      <c r="AA1020" s="19">
        <f>IF(NOT(ISNUMBER($A1020)),NA(),IF(OR($A1020&lt;MIN(DKW_10Y!$A$2:$A$2918),$A1020&gt;MAX(DKW_10Y!$A$2:$A$2918),Settings!$B$16&lt;MIN(DKW_10Y!$A$2:$A$2918)),NA(),(INDEX(DKW_10Y!$E$2:$E$2918,MATCH($A1020,DKW_10Y!$A$2:$A$2918,1))-INDEX(DKW_10Y!$E$2:$E$2918,MATCH(Settings!$B$16,DKW_10Y!$A$2:$A$2918,1)))*100))</f>
        <v/>
      </c>
      <c r="AB1020" s="19">
        <f>IF(NOT(ISNUMBER($A1020)),NA(),IF(OR($A1020&lt;MIN(DKW_10Y!$A$2:$A$2918),$A1020&gt;MAX(DKW_10Y!$A$2:$A$2918),Settings!$B$16&lt;MIN(DKW_10Y!$A$2:$A$2918)),NA(),(INDEX(DKW_10Y!$H$2:$H$2918,MATCH($A1020,DKW_10Y!$A$2:$A$2918,1))-INDEX(DKW_10Y!$H$2:$H$2918,MATCH(Settings!$B$16,DKW_10Y!$A$2:$A$2918,1)))*100))</f>
        <v/>
      </c>
      <c r="AC1020" s="18">
        <f>IF(NOT(ISNUMBER($A1020)),NA(),IFERROR(1*INDEX(BBG_Data!$N$2:$N$4000,MATCH($A1020,BBG_Data!$M$2:$M$4000,0)),NA()))</f>
        <v/>
      </c>
      <c r="AD1020" s="18">
        <f>IF(NOT(ISNUMBER($A1020)),NA(),IFERROR(1*INDEX(BBG_Data!$P$2:$P$4000,MATCH($A1020,BBG_Data!$O$2:$O$4000,0)),NA()))</f>
        <v/>
      </c>
      <c r="AE1020" s="18">
        <f>IF(NOT(ISNUMBER($A1020)),NA(),IFERROR(1*INDEX(BBG_Data!$R$2:$R$4000,MATCH($A1020,BBG_Data!$Q$2:$Q$4000,0)),NA()))</f>
        <v/>
      </c>
      <c r="AF1020" s="20">
        <f>IF(AND(ISNUMBER(B1020),ISNUMBER(AC1020)),(B1020-AC1020)*100,NA())</f>
        <v/>
      </c>
      <c r="AG1020" s="20">
        <f>IF(AND(ISNUMBER(AE1020),ISNUMBER(AD1020)),(AE1020-AD1020)*100,NA())</f>
        <v/>
      </c>
      <c r="AH1020" s="19">
        <f>IF(NOT(ISNUMBER($A1020)),NA(),IFERROR(INDEX(BBG_Data!$T$2:$T$4000,MATCH($A1020,BBG_Data!$S$2:$S$4000,0))*Settings!$B$25,NA()))</f>
        <v/>
      </c>
      <c r="AI1020" s="19">
        <f>IF(NOT(ISNUMBER($A1020)),NA(),IFERROR(INDEX(BBG_Data!$V$2:$V$4000,MATCH($A1020,BBG_Data!$U$2:$U$4000,0))*Settings!$B$25,NA()))</f>
        <v/>
      </c>
      <c r="AJ1020" s="19">
        <f>IF(NOT(ISNUMBER($A1020)),NA(),IFERROR(1*INDEX(BBG_Data!$X$2:$X$4000,MATCH($A1020,BBG_Data!$W$2:$W$4000,0)),NA()))</f>
        <v/>
      </c>
      <c r="AK1020" s="19">
        <f>IF(NOT(ISNUMBER($A1020)),NA(),IFERROR(1*INDEX(BBG_Data!$Z$2:$Z$4000,MATCH($A1020,BBG_Data!$Y$2:$Y$4000,0)),NA()))</f>
        <v/>
      </c>
    </row>
    <row r="1021">
      <c r="A1021" s="17">
        <f>IF(ISNUMBER(BBG_Data!A1021),BBG_Data!A1021,"")</f>
        <v/>
      </c>
      <c r="B1021" s="18">
        <f>IF(AND(ISNUMBER($A1021),ISNUMBER(BBG_Data!B1021)),BBG_Data!B1021,NA())</f>
        <v/>
      </c>
      <c r="C1021" s="18">
        <f>IF(NOT(ISNUMBER($A1021)),NA(),IFERROR(1*INDEX(BBG_Data!$D$2:$D$4000,MATCH($A1021,BBG_Data!$C$2:$C$4000,0)),NA()))</f>
        <v/>
      </c>
      <c r="D1021" s="19">
        <f>IF(NOT(ISNUMBER($A1021)),NA(),IFERROR(1*INDEX(BBG_Data!$F$2:$F$4000,MATCH($A1021,BBG_Data!$E$2:$E$4000,0)),NA()))</f>
        <v/>
      </c>
      <c r="E1021" s="19">
        <f>IF(NOT(ISNUMBER($A1021)),NA(),IFERROR(1*INDEX(BBG_Data!$H$2:$H$4000,MATCH($A1021,BBG_Data!$G$2:$G$4000,0)),NA()))</f>
        <v/>
      </c>
      <c r="F1021" s="20">
        <f>IF(AND(ISNUMBER(B1021),ISNUMBER(B1020)),IF(B1021=B1020,"",(B1021-B1020)*100),"")</f>
        <v/>
      </c>
      <c r="G1021" s="20">
        <f>IF(AND(ISNUMBER(C1021),ISNUMBER(C1020)),IF(C1021=C1020,"",(C1021-C1020)*100),"")</f>
        <v/>
      </c>
      <c r="H1021" s="20">
        <f>IF(OR(NOT(ISNUMBER($A1021)),ROW()-2&lt;Settings!$B$11),NA(),IF(COUNT(OFFSET(F1021,1-Settings!$B$11,0,Settings!$B$11,1))&lt;ROUNDUP(Settings!$B$11*Settings!$B$26,0),NA(),STDEV(OFFSET(F1021,1-Settings!$B$11,0,Settings!$B$11,1))*SQRT(Settings!$B$13)))</f>
        <v/>
      </c>
      <c r="I1021" s="20">
        <f>IF(OR(NOT(ISNUMBER($A1021)),ROW()-2&lt;Settings!$B$12),NA(),IF(COUNT(OFFSET(F1021,1-Settings!$B$12,0,Settings!$B$12,1))&lt;ROUNDUP(Settings!$B$12*Settings!$B$26,0),NA(),STDEV(OFFSET(F1021,1-Settings!$B$12,0,Settings!$B$12,1))*SQRT(Settings!$B$13)))</f>
        <v/>
      </c>
      <c r="J1021" s="20">
        <f>IF(OR(NOT(ISNUMBER($A1021)),ROW()-2&lt;Settings!$B$11),NA(),IF(COUNT(OFFSET(G1021,1-Settings!$B$11,0,Settings!$B$11,1))&lt;ROUNDUP(Settings!$B$11*Settings!$B$26,0),NA(),STDEV(OFFSET(G1021,1-Settings!$B$11,0,Settings!$B$11,1))*SQRT(Settings!$B$13)))</f>
        <v/>
      </c>
      <c r="K1021" s="20">
        <f>IF(OR(NOT(ISNUMBER($A1021)),ROW()-2&lt;Settings!$B$12),NA(),IF(COUNT(OFFSET(G1021,1-Settings!$B$12,0,Settings!$B$12,1))&lt;ROUNDUP(Settings!$B$12*Settings!$B$26,0),NA(),STDEV(OFFSET(G1021,1-Settings!$B$12,0,Settings!$B$12,1))*SQRT(Settings!$B$13)))</f>
        <v/>
      </c>
      <c r="L1021" s="20">
        <f>IF(AND(ISNUMBER(D1021),ISNUMBER(H1021)),D1021-H1021,NA())</f>
        <v/>
      </c>
      <c r="M1021" s="20">
        <f>IF(AND(ISNUMBER(E1021),ISNUMBER(K1021)),E1021-K1021,NA())</f>
        <v/>
      </c>
      <c r="N1021" s="20">
        <f>IF(NOT(ISNUMBER($A1021)),NA(),IF(COUNT(OFFSET(G1021,1,0,Settings!$B$12,1))&lt;ROUNDUP(Settings!$B$12*Settings!$B$26,0),NA(),STDEV(OFFSET(G1021,1,0,Settings!$B$12,1))*SQRT(Settings!$B$13)))</f>
        <v/>
      </c>
      <c r="O1021" s="20">
        <f>IF(AND(ISNUMBER(E1021),ISNUMBER(N1021)),E1021-N1021,NA())</f>
        <v/>
      </c>
      <c r="P1021" s="19">
        <f>IF(NOT(ISNUMBER($A1021)),NA(),IF(OR($A1021&lt;MIN(KW_TP!$A$2:$A$2501),$A1021&gt;MAX(KW_TP!$A$2:$A$2501)),NA(),INDEX(KW_TP!$C$2:$C$2501,MATCH($A1021,KW_TP!$A$2:$A$2501,1))))</f>
        <v/>
      </c>
      <c r="Q1021" s="18">
        <f>IF(NOT(ISNUMBER($A1021)),NA(),IFERROR(1*INDEX(BBG_Data!$J$2:$J$4000,MATCH($A1021,BBG_Data!$I$2:$I$4000,0)),NA()))</f>
        <v/>
      </c>
      <c r="R1021" s="18">
        <f>IF(NOT(ISNUMBER($A1021)),NA(),IFERROR(1*INDEX(BBG_Data!$L$2:$L$4000,MATCH($A1021,BBG_Data!$K$2:$K$4000,0)),NA()))</f>
        <v/>
      </c>
      <c r="S1021" s="20">
        <f>IF(AND(ISNUMBER(B1021),ISNUMBER(Q1021),ISNUMBER(R1021)),(B1021-Q1021-R1021)*100,NA())</f>
        <v/>
      </c>
      <c r="T1021" s="20">
        <f>IF(AND(ISNUMBER(B1021),Settings!$B$17&gt;0),IF(ISNUMBER(INDEX($B:$B,Settings!$B$17)),(B1021-INDEX($B:$B,Settings!$B$17))*100,NA()),NA())</f>
        <v/>
      </c>
      <c r="U1021" s="20">
        <f>IF(AND(ISNUMBER(Q1021),Settings!$B$17&gt;0),IF(ISNUMBER(INDEX($Q:$Q,Settings!$B$17)),(Q1021-INDEX($Q:$Q,Settings!$B$17))*100,NA()),NA())</f>
        <v/>
      </c>
      <c r="V1021" s="20">
        <f>IF(AND(ISNUMBER(R1021),Settings!$B$17&gt;0),IF(ISNUMBER(INDEX($R:$R,Settings!$B$17)),(R1021-INDEX($R:$R,Settings!$B$17))*100,NA()),NA())</f>
        <v/>
      </c>
      <c r="W1021" s="20">
        <f>IF(AND(ISNUMBER(P1021),Settings!$B$17&gt;0),IF(ISNUMBER(INDEX($P:$P,Settings!$B$17)),P1021-INDEX($P:$P,Settings!$B$17),NA()),NA())</f>
        <v/>
      </c>
      <c r="X1021" s="19">
        <f>IF(NOT(ISNUMBER($A1021)),NA(),IF(OR($A1021&lt;MIN(DKW_10Y!$A$2:$A$2918),$A1021&gt;MAX(DKW_10Y!$A$2:$A$2918),Settings!$B$16&lt;MIN(DKW_10Y!$A$2:$A$2918)),NA(),(INDEX(DKW_10Y!$B$2:$B$2918,MATCH($A1021,DKW_10Y!$A$2:$A$2918,1))-INDEX(DKW_10Y!$B$2:$B$2918,MATCH(Settings!$B$16,DKW_10Y!$A$2:$A$2918,1)))*100))</f>
        <v/>
      </c>
      <c r="Y1021" s="19">
        <f>IF(NOT(ISNUMBER($A1021)),NA(),IF(OR($A1021&lt;MIN(DKW_10Y!$A$2:$A$2918),$A1021&gt;MAX(DKW_10Y!$A$2:$A$2918),Settings!$B$16&lt;MIN(DKW_10Y!$A$2:$A$2918)),NA(),(INDEX(DKW_10Y!$C$2:$C$2918,MATCH($A1021,DKW_10Y!$A$2:$A$2918,1))-INDEX(DKW_10Y!$C$2:$C$2918,MATCH(Settings!$B$16,DKW_10Y!$A$2:$A$2918,1)))*100))</f>
        <v/>
      </c>
      <c r="Z1021" s="19">
        <f>IF(NOT(ISNUMBER($A1021)),NA(),IF(OR($A1021&lt;MIN(DKW_10Y!$A$2:$A$2918),$A1021&gt;MAX(DKW_10Y!$A$2:$A$2918),Settings!$B$16&lt;MIN(DKW_10Y!$A$2:$A$2918)),NA(),(INDEX(DKW_10Y!$D$2:$D$2918,MATCH($A1021,DKW_10Y!$A$2:$A$2918,1))-INDEX(DKW_10Y!$D$2:$D$2918,MATCH(Settings!$B$16,DKW_10Y!$A$2:$A$2918,1)))*100))</f>
        <v/>
      </c>
      <c r="AA1021" s="19">
        <f>IF(NOT(ISNUMBER($A1021)),NA(),IF(OR($A1021&lt;MIN(DKW_10Y!$A$2:$A$2918),$A1021&gt;MAX(DKW_10Y!$A$2:$A$2918),Settings!$B$16&lt;MIN(DKW_10Y!$A$2:$A$2918)),NA(),(INDEX(DKW_10Y!$E$2:$E$2918,MATCH($A1021,DKW_10Y!$A$2:$A$2918,1))-INDEX(DKW_10Y!$E$2:$E$2918,MATCH(Settings!$B$16,DKW_10Y!$A$2:$A$2918,1)))*100))</f>
        <v/>
      </c>
      <c r="AB1021" s="19">
        <f>IF(NOT(ISNUMBER($A1021)),NA(),IF(OR($A1021&lt;MIN(DKW_10Y!$A$2:$A$2918),$A1021&gt;MAX(DKW_10Y!$A$2:$A$2918),Settings!$B$16&lt;MIN(DKW_10Y!$A$2:$A$2918)),NA(),(INDEX(DKW_10Y!$H$2:$H$2918,MATCH($A1021,DKW_10Y!$A$2:$A$2918,1))-INDEX(DKW_10Y!$H$2:$H$2918,MATCH(Settings!$B$16,DKW_10Y!$A$2:$A$2918,1)))*100))</f>
        <v/>
      </c>
      <c r="AC1021" s="18">
        <f>IF(NOT(ISNUMBER($A1021)),NA(),IFERROR(1*INDEX(BBG_Data!$N$2:$N$4000,MATCH($A1021,BBG_Data!$M$2:$M$4000,0)),NA()))</f>
        <v/>
      </c>
      <c r="AD1021" s="18">
        <f>IF(NOT(ISNUMBER($A1021)),NA(),IFERROR(1*INDEX(BBG_Data!$P$2:$P$4000,MATCH($A1021,BBG_Data!$O$2:$O$4000,0)),NA()))</f>
        <v/>
      </c>
      <c r="AE1021" s="18">
        <f>IF(NOT(ISNUMBER($A1021)),NA(),IFERROR(1*INDEX(BBG_Data!$R$2:$R$4000,MATCH($A1021,BBG_Data!$Q$2:$Q$4000,0)),NA()))</f>
        <v/>
      </c>
      <c r="AF1021" s="20">
        <f>IF(AND(ISNUMBER(B1021),ISNUMBER(AC1021)),(B1021-AC1021)*100,NA())</f>
        <v/>
      </c>
      <c r="AG1021" s="20">
        <f>IF(AND(ISNUMBER(AE1021),ISNUMBER(AD1021)),(AE1021-AD1021)*100,NA())</f>
        <v/>
      </c>
      <c r="AH1021" s="19">
        <f>IF(NOT(ISNUMBER($A1021)),NA(),IFERROR(INDEX(BBG_Data!$T$2:$T$4000,MATCH($A1021,BBG_Data!$S$2:$S$4000,0))*Settings!$B$25,NA()))</f>
        <v/>
      </c>
      <c r="AI1021" s="19">
        <f>IF(NOT(ISNUMBER($A1021)),NA(),IFERROR(INDEX(BBG_Data!$V$2:$V$4000,MATCH($A1021,BBG_Data!$U$2:$U$4000,0))*Settings!$B$25,NA()))</f>
        <v/>
      </c>
      <c r="AJ1021" s="19">
        <f>IF(NOT(ISNUMBER($A1021)),NA(),IFERROR(1*INDEX(BBG_Data!$X$2:$X$4000,MATCH($A1021,BBG_Data!$W$2:$W$4000,0)),NA()))</f>
        <v/>
      </c>
      <c r="AK1021" s="19">
        <f>IF(NOT(ISNUMBER($A1021)),NA(),IFERROR(1*INDEX(BBG_Data!$Z$2:$Z$4000,MATCH($A1021,BBG_Data!$Y$2:$Y$4000,0)),NA()))</f>
        <v/>
      </c>
    </row>
    <row r="1022">
      <c r="A1022" s="17">
        <f>IF(ISNUMBER(BBG_Data!A1022),BBG_Data!A1022,"")</f>
        <v/>
      </c>
      <c r="B1022" s="18">
        <f>IF(AND(ISNUMBER($A1022),ISNUMBER(BBG_Data!B1022)),BBG_Data!B1022,NA())</f>
        <v/>
      </c>
      <c r="C1022" s="18">
        <f>IF(NOT(ISNUMBER($A1022)),NA(),IFERROR(1*INDEX(BBG_Data!$D$2:$D$4000,MATCH($A1022,BBG_Data!$C$2:$C$4000,0)),NA()))</f>
        <v/>
      </c>
      <c r="D1022" s="19">
        <f>IF(NOT(ISNUMBER($A1022)),NA(),IFERROR(1*INDEX(BBG_Data!$F$2:$F$4000,MATCH($A1022,BBG_Data!$E$2:$E$4000,0)),NA()))</f>
        <v/>
      </c>
      <c r="E1022" s="19">
        <f>IF(NOT(ISNUMBER($A1022)),NA(),IFERROR(1*INDEX(BBG_Data!$H$2:$H$4000,MATCH($A1022,BBG_Data!$G$2:$G$4000,0)),NA()))</f>
        <v/>
      </c>
      <c r="F1022" s="20">
        <f>IF(AND(ISNUMBER(B1022),ISNUMBER(B1021)),IF(B1022=B1021,"",(B1022-B1021)*100),"")</f>
        <v/>
      </c>
      <c r="G1022" s="20">
        <f>IF(AND(ISNUMBER(C1022),ISNUMBER(C1021)),IF(C1022=C1021,"",(C1022-C1021)*100),"")</f>
        <v/>
      </c>
      <c r="H1022" s="20">
        <f>IF(OR(NOT(ISNUMBER($A1022)),ROW()-2&lt;Settings!$B$11),NA(),IF(COUNT(OFFSET(F1022,1-Settings!$B$11,0,Settings!$B$11,1))&lt;ROUNDUP(Settings!$B$11*Settings!$B$26,0),NA(),STDEV(OFFSET(F1022,1-Settings!$B$11,0,Settings!$B$11,1))*SQRT(Settings!$B$13)))</f>
        <v/>
      </c>
      <c r="I1022" s="20">
        <f>IF(OR(NOT(ISNUMBER($A1022)),ROW()-2&lt;Settings!$B$12),NA(),IF(COUNT(OFFSET(F1022,1-Settings!$B$12,0,Settings!$B$12,1))&lt;ROUNDUP(Settings!$B$12*Settings!$B$26,0),NA(),STDEV(OFFSET(F1022,1-Settings!$B$12,0,Settings!$B$12,1))*SQRT(Settings!$B$13)))</f>
        <v/>
      </c>
      <c r="J1022" s="20">
        <f>IF(OR(NOT(ISNUMBER($A1022)),ROW()-2&lt;Settings!$B$11),NA(),IF(COUNT(OFFSET(G1022,1-Settings!$B$11,0,Settings!$B$11,1))&lt;ROUNDUP(Settings!$B$11*Settings!$B$26,0),NA(),STDEV(OFFSET(G1022,1-Settings!$B$11,0,Settings!$B$11,1))*SQRT(Settings!$B$13)))</f>
        <v/>
      </c>
      <c r="K1022" s="20">
        <f>IF(OR(NOT(ISNUMBER($A1022)),ROW()-2&lt;Settings!$B$12),NA(),IF(COUNT(OFFSET(G1022,1-Settings!$B$12,0,Settings!$B$12,1))&lt;ROUNDUP(Settings!$B$12*Settings!$B$26,0),NA(),STDEV(OFFSET(G1022,1-Settings!$B$12,0,Settings!$B$12,1))*SQRT(Settings!$B$13)))</f>
        <v/>
      </c>
      <c r="L1022" s="20">
        <f>IF(AND(ISNUMBER(D1022),ISNUMBER(H1022)),D1022-H1022,NA())</f>
        <v/>
      </c>
      <c r="M1022" s="20">
        <f>IF(AND(ISNUMBER(E1022),ISNUMBER(K1022)),E1022-K1022,NA())</f>
        <v/>
      </c>
      <c r="N1022" s="20">
        <f>IF(NOT(ISNUMBER($A1022)),NA(),IF(COUNT(OFFSET(G1022,1,0,Settings!$B$12,1))&lt;ROUNDUP(Settings!$B$12*Settings!$B$26,0),NA(),STDEV(OFFSET(G1022,1,0,Settings!$B$12,1))*SQRT(Settings!$B$13)))</f>
        <v/>
      </c>
      <c r="O1022" s="20">
        <f>IF(AND(ISNUMBER(E1022),ISNUMBER(N1022)),E1022-N1022,NA())</f>
        <v/>
      </c>
      <c r="P1022" s="19">
        <f>IF(NOT(ISNUMBER($A1022)),NA(),IF(OR($A1022&lt;MIN(KW_TP!$A$2:$A$2501),$A1022&gt;MAX(KW_TP!$A$2:$A$2501)),NA(),INDEX(KW_TP!$C$2:$C$2501,MATCH($A1022,KW_TP!$A$2:$A$2501,1))))</f>
        <v/>
      </c>
      <c r="Q1022" s="18">
        <f>IF(NOT(ISNUMBER($A1022)),NA(),IFERROR(1*INDEX(BBG_Data!$J$2:$J$4000,MATCH($A1022,BBG_Data!$I$2:$I$4000,0)),NA()))</f>
        <v/>
      </c>
      <c r="R1022" s="18">
        <f>IF(NOT(ISNUMBER($A1022)),NA(),IFERROR(1*INDEX(BBG_Data!$L$2:$L$4000,MATCH($A1022,BBG_Data!$K$2:$K$4000,0)),NA()))</f>
        <v/>
      </c>
      <c r="S1022" s="20">
        <f>IF(AND(ISNUMBER(B1022),ISNUMBER(Q1022),ISNUMBER(R1022)),(B1022-Q1022-R1022)*100,NA())</f>
        <v/>
      </c>
      <c r="T1022" s="20">
        <f>IF(AND(ISNUMBER(B1022),Settings!$B$17&gt;0),IF(ISNUMBER(INDEX($B:$B,Settings!$B$17)),(B1022-INDEX($B:$B,Settings!$B$17))*100,NA()),NA())</f>
        <v/>
      </c>
      <c r="U1022" s="20">
        <f>IF(AND(ISNUMBER(Q1022),Settings!$B$17&gt;0),IF(ISNUMBER(INDEX($Q:$Q,Settings!$B$17)),(Q1022-INDEX($Q:$Q,Settings!$B$17))*100,NA()),NA())</f>
        <v/>
      </c>
      <c r="V1022" s="20">
        <f>IF(AND(ISNUMBER(R1022),Settings!$B$17&gt;0),IF(ISNUMBER(INDEX($R:$R,Settings!$B$17)),(R1022-INDEX($R:$R,Settings!$B$17))*100,NA()),NA())</f>
        <v/>
      </c>
      <c r="W1022" s="20">
        <f>IF(AND(ISNUMBER(P1022),Settings!$B$17&gt;0),IF(ISNUMBER(INDEX($P:$P,Settings!$B$17)),P1022-INDEX($P:$P,Settings!$B$17),NA()),NA())</f>
        <v/>
      </c>
      <c r="X1022" s="19">
        <f>IF(NOT(ISNUMBER($A1022)),NA(),IF(OR($A1022&lt;MIN(DKW_10Y!$A$2:$A$2918),$A1022&gt;MAX(DKW_10Y!$A$2:$A$2918),Settings!$B$16&lt;MIN(DKW_10Y!$A$2:$A$2918)),NA(),(INDEX(DKW_10Y!$B$2:$B$2918,MATCH($A1022,DKW_10Y!$A$2:$A$2918,1))-INDEX(DKW_10Y!$B$2:$B$2918,MATCH(Settings!$B$16,DKW_10Y!$A$2:$A$2918,1)))*100))</f>
        <v/>
      </c>
      <c r="Y1022" s="19">
        <f>IF(NOT(ISNUMBER($A1022)),NA(),IF(OR($A1022&lt;MIN(DKW_10Y!$A$2:$A$2918),$A1022&gt;MAX(DKW_10Y!$A$2:$A$2918),Settings!$B$16&lt;MIN(DKW_10Y!$A$2:$A$2918)),NA(),(INDEX(DKW_10Y!$C$2:$C$2918,MATCH($A1022,DKW_10Y!$A$2:$A$2918,1))-INDEX(DKW_10Y!$C$2:$C$2918,MATCH(Settings!$B$16,DKW_10Y!$A$2:$A$2918,1)))*100))</f>
        <v/>
      </c>
      <c r="Z1022" s="19">
        <f>IF(NOT(ISNUMBER($A1022)),NA(),IF(OR($A1022&lt;MIN(DKW_10Y!$A$2:$A$2918),$A1022&gt;MAX(DKW_10Y!$A$2:$A$2918),Settings!$B$16&lt;MIN(DKW_10Y!$A$2:$A$2918)),NA(),(INDEX(DKW_10Y!$D$2:$D$2918,MATCH($A1022,DKW_10Y!$A$2:$A$2918,1))-INDEX(DKW_10Y!$D$2:$D$2918,MATCH(Settings!$B$16,DKW_10Y!$A$2:$A$2918,1)))*100))</f>
        <v/>
      </c>
      <c r="AA1022" s="19">
        <f>IF(NOT(ISNUMBER($A1022)),NA(),IF(OR($A1022&lt;MIN(DKW_10Y!$A$2:$A$2918),$A1022&gt;MAX(DKW_10Y!$A$2:$A$2918),Settings!$B$16&lt;MIN(DKW_10Y!$A$2:$A$2918)),NA(),(INDEX(DKW_10Y!$E$2:$E$2918,MATCH($A1022,DKW_10Y!$A$2:$A$2918,1))-INDEX(DKW_10Y!$E$2:$E$2918,MATCH(Settings!$B$16,DKW_10Y!$A$2:$A$2918,1)))*100))</f>
        <v/>
      </c>
      <c r="AB1022" s="19">
        <f>IF(NOT(ISNUMBER($A1022)),NA(),IF(OR($A1022&lt;MIN(DKW_10Y!$A$2:$A$2918),$A1022&gt;MAX(DKW_10Y!$A$2:$A$2918),Settings!$B$16&lt;MIN(DKW_10Y!$A$2:$A$2918)),NA(),(INDEX(DKW_10Y!$H$2:$H$2918,MATCH($A1022,DKW_10Y!$A$2:$A$2918,1))-INDEX(DKW_10Y!$H$2:$H$2918,MATCH(Settings!$B$16,DKW_10Y!$A$2:$A$2918,1)))*100))</f>
        <v/>
      </c>
      <c r="AC1022" s="18">
        <f>IF(NOT(ISNUMBER($A1022)),NA(),IFERROR(1*INDEX(BBG_Data!$N$2:$N$4000,MATCH($A1022,BBG_Data!$M$2:$M$4000,0)),NA()))</f>
        <v/>
      </c>
      <c r="AD1022" s="18">
        <f>IF(NOT(ISNUMBER($A1022)),NA(),IFERROR(1*INDEX(BBG_Data!$P$2:$P$4000,MATCH($A1022,BBG_Data!$O$2:$O$4000,0)),NA()))</f>
        <v/>
      </c>
      <c r="AE1022" s="18">
        <f>IF(NOT(ISNUMBER($A1022)),NA(),IFERROR(1*INDEX(BBG_Data!$R$2:$R$4000,MATCH($A1022,BBG_Data!$Q$2:$Q$4000,0)),NA()))</f>
        <v/>
      </c>
      <c r="AF1022" s="20">
        <f>IF(AND(ISNUMBER(B1022),ISNUMBER(AC1022)),(B1022-AC1022)*100,NA())</f>
        <v/>
      </c>
      <c r="AG1022" s="20">
        <f>IF(AND(ISNUMBER(AE1022),ISNUMBER(AD1022)),(AE1022-AD1022)*100,NA())</f>
        <v/>
      </c>
      <c r="AH1022" s="19">
        <f>IF(NOT(ISNUMBER($A1022)),NA(),IFERROR(INDEX(BBG_Data!$T$2:$T$4000,MATCH($A1022,BBG_Data!$S$2:$S$4000,0))*Settings!$B$25,NA()))</f>
        <v/>
      </c>
      <c r="AI1022" s="19">
        <f>IF(NOT(ISNUMBER($A1022)),NA(),IFERROR(INDEX(BBG_Data!$V$2:$V$4000,MATCH($A1022,BBG_Data!$U$2:$U$4000,0))*Settings!$B$25,NA()))</f>
        <v/>
      </c>
      <c r="AJ1022" s="19">
        <f>IF(NOT(ISNUMBER($A1022)),NA(),IFERROR(1*INDEX(BBG_Data!$X$2:$X$4000,MATCH($A1022,BBG_Data!$W$2:$W$4000,0)),NA()))</f>
        <v/>
      </c>
      <c r="AK1022" s="19">
        <f>IF(NOT(ISNUMBER($A1022)),NA(),IFERROR(1*INDEX(BBG_Data!$Z$2:$Z$4000,MATCH($A1022,BBG_Data!$Y$2:$Y$4000,0)),NA()))</f>
        <v/>
      </c>
    </row>
    <row r="1023">
      <c r="A1023" s="17">
        <f>IF(ISNUMBER(BBG_Data!A1023),BBG_Data!A1023,"")</f>
        <v/>
      </c>
      <c r="B1023" s="18">
        <f>IF(AND(ISNUMBER($A1023),ISNUMBER(BBG_Data!B1023)),BBG_Data!B1023,NA())</f>
        <v/>
      </c>
      <c r="C1023" s="18">
        <f>IF(NOT(ISNUMBER($A1023)),NA(),IFERROR(1*INDEX(BBG_Data!$D$2:$D$4000,MATCH($A1023,BBG_Data!$C$2:$C$4000,0)),NA()))</f>
        <v/>
      </c>
      <c r="D1023" s="19">
        <f>IF(NOT(ISNUMBER($A1023)),NA(),IFERROR(1*INDEX(BBG_Data!$F$2:$F$4000,MATCH($A1023,BBG_Data!$E$2:$E$4000,0)),NA()))</f>
        <v/>
      </c>
      <c r="E1023" s="19">
        <f>IF(NOT(ISNUMBER($A1023)),NA(),IFERROR(1*INDEX(BBG_Data!$H$2:$H$4000,MATCH($A1023,BBG_Data!$G$2:$G$4000,0)),NA()))</f>
        <v/>
      </c>
      <c r="F1023" s="20">
        <f>IF(AND(ISNUMBER(B1023),ISNUMBER(B1022)),IF(B1023=B1022,"",(B1023-B1022)*100),"")</f>
        <v/>
      </c>
      <c r="G1023" s="20">
        <f>IF(AND(ISNUMBER(C1023),ISNUMBER(C1022)),IF(C1023=C1022,"",(C1023-C1022)*100),"")</f>
        <v/>
      </c>
      <c r="H1023" s="20">
        <f>IF(OR(NOT(ISNUMBER($A1023)),ROW()-2&lt;Settings!$B$11),NA(),IF(COUNT(OFFSET(F1023,1-Settings!$B$11,0,Settings!$B$11,1))&lt;ROUNDUP(Settings!$B$11*Settings!$B$26,0),NA(),STDEV(OFFSET(F1023,1-Settings!$B$11,0,Settings!$B$11,1))*SQRT(Settings!$B$13)))</f>
        <v/>
      </c>
      <c r="I1023" s="20">
        <f>IF(OR(NOT(ISNUMBER($A1023)),ROW()-2&lt;Settings!$B$12),NA(),IF(COUNT(OFFSET(F1023,1-Settings!$B$12,0,Settings!$B$12,1))&lt;ROUNDUP(Settings!$B$12*Settings!$B$26,0),NA(),STDEV(OFFSET(F1023,1-Settings!$B$12,0,Settings!$B$12,1))*SQRT(Settings!$B$13)))</f>
        <v/>
      </c>
      <c r="J1023" s="20">
        <f>IF(OR(NOT(ISNUMBER($A1023)),ROW()-2&lt;Settings!$B$11),NA(),IF(COUNT(OFFSET(G1023,1-Settings!$B$11,0,Settings!$B$11,1))&lt;ROUNDUP(Settings!$B$11*Settings!$B$26,0),NA(),STDEV(OFFSET(G1023,1-Settings!$B$11,0,Settings!$B$11,1))*SQRT(Settings!$B$13)))</f>
        <v/>
      </c>
      <c r="K1023" s="20">
        <f>IF(OR(NOT(ISNUMBER($A1023)),ROW()-2&lt;Settings!$B$12),NA(),IF(COUNT(OFFSET(G1023,1-Settings!$B$12,0,Settings!$B$12,1))&lt;ROUNDUP(Settings!$B$12*Settings!$B$26,0),NA(),STDEV(OFFSET(G1023,1-Settings!$B$12,0,Settings!$B$12,1))*SQRT(Settings!$B$13)))</f>
        <v/>
      </c>
      <c r="L1023" s="20">
        <f>IF(AND(ISNUMBER(D1023),ISNUMBER(H1023)),D1023-H1023,NA())</f>
        <v/>
      </c>
      <c r="M1023" s="20">
        <f>IF(AND(ISNUMBER(E1023),ISNUMBER(K1023)),E1023-K1023,NA())</f>
        <v/>
      </c>
      <c r="N1023" s="20">
        <f>IF(NOT(ISNUMBER($A1023)),NA(),IF(COUNT(OFFSET(G1023,1,0,Settings!$B$12,1))&lt;ROUNDUP(Settings!$B$12*Settings!$B$26,0),NA(),STDEV(OFFSET(G1023,1,0,Settings!$B$12,1))*SQRT(Settings!$B$13)))</f>
        <v/>
      </c>
      <c r="O1023" s="20">
        <f>IF(AND(ISNUMBER(E1023),ISNUMBER(N1023)),E1023-N1023,NA())</f>
        <v/>
      </c>
      <c r="P1023" s="19">
        <f>IF(NOT(ISNUMBER($A1023)),NA(),IF(OR($A1023&lt;MIN(KW_TP!$A$2:$A$2501),$A1023&gt;MAX(KW_TP!$A$2:$A$2501)),NA(),INDEX(KW_TP!$C$2:$C$2501,MATCH($A1023,KW_TP!$A$2:$A$2501,1))))</f>
        <v/>
      </c>
      <c r="Q1023" s="18">
        <f>IF(NOT(ISNUMBER($A1023)),NA(),IFERROR(1*INDEX(BBG_Data!$J$2:$J$4000,MATCH($A1023,BBG_Data!$I$2:$I$4000,0)),NA()))</f>
        <v/>
      </c>
      <c r="R1023" s="18">
        <f>IF(NOT(ISNUMBER($A1023)),NA(),IFERROR(1*INDEX(BBG_Data!$L$2:$L$4000,MATCH($A1023,BBG_Data!$K$2:$K$4000,0)),NA()))</f>
        <v/>
      </c>
      <c r="S1023" s="20">
        <f>IF(AND(ISNUMBER(B1023),ISNUMBER(Q1023),ISNUMBER(R1023)),(B1023-Q1023-R1023)*100,NA())</f>
        <v/>
      </c>
      <c r="T1023" s="20">
        <f>IF(AND(ISNUMBER(B1023),Settings!$B$17&gt;0),IF(ISNUMBER(INDEX($B:$B,Settings!$B$17)),(B1023-INDEX($B:$B,Settings!$B$17))*100,NA()),NA())</f>
        <v/>
      </c>
      <c r="U1023" s="20">
        <f>IF(AND(ISNUMBER(Q1023),Settings!$B$17&gt;0),IF(ISNUMBER(INDEX($Q:$Q,Settings!$B$17)),(Q1023-INDEX($Q:$Q,Settings!$B$17))*100,NA()),NA())</f>
        <v/>
      </c>
      <c r="V1023" s="20">
        <f>IF(AND(ISNUMBER(R1023),Settings!$B$17&gt;0),IF(ISNUMBER(INDEX($R:$R,Settings!$B$17)),(R1023-INDEX($R:$R,Settings!$B$17))*100,NA()),NA())</f>
        <v/>
      </c>
      <c r="W1023" s="20">
        <f>IF(AND(ISNUMBER(P1023),Settings!$B$17&gt;0),IF(ISNUMBER(INDEX($P:$P,Settings!$B$17)),P1023-INDEX($P:$P,Settings!$B$17),NA()),NA())</f>
        <v/>
      </c>
      <c r="X1023" s="19">
        <f>IF(NOT(ISNUMBER($A1023)),NA(),IF(OR($A1023&lt;MIN(DKW_10Y!$A$2:$A$2918),$A1023&gt;MAX(DKW_10Y!$A$2:$A$2918),Settings!$B$16&lt;MIN(DKW_10Y!$A$2:$A$2918)),NA(),(INDEX(DKW_10Y!$B$2:$B$2918,MATCH($A1023,DKW_10Y!$A$2:$A$2918,1))-INDEX(DKW_10Y!$B$2:$B$2918,MATCH(Settings!$B$16,DKW_10Y!$A$2:$A$2918,1)))*100))</f>
        <v/>
      </c>
      <c r="Y1023" s="19">
        <f>IF(NOT(ISNUMBER($A1023)),NA(),IF(OR($A1023&lt;MIN(DKW_10Y!$A$2:$A$2918),$A1023&gt;MAX(DKW_10Y!$A$2:$A$2918),Settings!$B$16&lt;MIN(DKW_10Y!$A$2:$A$2918)),NA(),(INDEX(DKW_10Y!$C$2:$C$2918,MATCH($A1023,DKW_10Y!$A$2:$A$2918,1))-INDEX(DKW_10Y!$C$2:$C$2918,MATCH(Settings!$B$16,DKW_10Y!$A$2:$A$2918,1)))*100))</f>
        <v/>
      </c>
      <c r="Z1023" s="19">
        <f>IF(NOT(ISNUMBER($A1023)),NA(),IF(OR($A1023&lt;MIN(DKW_10Y!$A$2:$A$2918),$A1023&gt;MAX(DKW_10Y!$A$2:$A$2918),Settings!$B$16&lt;MIN(DKW_10Y!$A$2:$A$2918)),NA(),(INDEX(DKW_10Y!$D$2:$D$2918,MATCH($A1023,DKW_10Y!$A$2:$A$2918,1))-INDEX(DKW_10Y!$D$2:$D$2918,MATCH(Settings!$B$16,DKW_10Y!$A$2:$A$2918,1)))*100))</f>
        <v/>
      </c>
      <c r="AA1023" s="19">
        <f>IF(NOT(ISNUMBER($A1023)),NA(),IF(OR($A1023&lt;MIN(DKW_10Y!$A$2:$A$2918),$A1023&gt;MAX(DKW_10Y!$A$2:$A$2918),Settings!$B$16&lt;MIN(DKW_10Y!$A$2:$A$2918)),NA(),(INDEX(DKW_10Y!$E$2:$E$2918,MATCH($A1023,DKW_10Y!$A$2:$A$2918,1))-INDEX(DKW_10Y!$E$2:$E$2918,MATCH(Settings!$B$16,DKW_10Y!$A$2:$A$2918,1)))*100))</f>
        <v/>
      </c>
      <c r="AB1023" s="19">
        <f>IF(NOT(ISNUMBER($A1023)),NA(),IF(OR($A1023&lt;MIN(DKW_10Y!$A$2:$A$2918),$A1023&gt;MAX(DKW_10Y!$A$2:$A$2918),Settings!$B$16&lt;MIN(DKW_10Y!$A$2:$A$2918)),NA(),(INDEX(DKW_10Y!$H$2:$H$2918,MATCH($A1023,DKW_10Y!$A$2:$A$2918,1))-INDEX(DKW_10Y!$H$2:$H$2918,MATCH(Settings!$B$16,DKW_10Y!$A$2:$A$2918,1)))*100))</f>
        <v/>
      </c>
      <c r="AC1023" s="18">
        <f>IF(NOT(ISNUMBER($A1023)),NA(),IFERROR(1*INDEX(BBG_Data!$N$2:$N$4000,MATCH($A1023,BBG_Data!$M$2:$M$4000,0)),NA()))</f>
        <v/>
      </c>
      <c r="AD1023" s="18">
        <f>IF(NOT(ISNUMBER($A1023)),NA(),IFERROR(1*INDEX(BBG_Data!$P$2:$P$4000,MATCH($A1023,BBG_Data!$O$2:$O$4000,0)),NA()))</f>
        <v/>
      </c>
      <c r="AE1023" s="18">
        <f>IF(NOT(ISNUMBER($A1023)),NA(),IFERROR(1*INDEX(BBG_Data!$R$2:$R$4000,MATCH($A1023,BBG_Data!$Q$2:$Q$4000,0)),NA()))</f>
        <v/>
      </c>
      <c r="AF1023" s="20">
        <f>IF(AND(ISNUMBER(B1023),ISNUMBER(AC1023)),(B1023-AC1023)*100,NA())</f>
        <v/>
      </c>
      <c r="AG1023" s="20">
        <f>IF(AND(ISNUMBER(AE1023),ISNUMBER(AD1023)),(AE1023-AD1023)*100,NA())</f>
        <v/>
      </c>
      <c r="AH1023" s="19">
        <f>IF(NOT(ISNUMBER($A1023)),NA(),IFERROR(INDEX(BBG_Data!$T$2:$T$4000,MATCH($A1023,BBG_Data!$S$2:$S$4000,0))*Settings!$B$25,NA()))</f>
        <v/>
      </c>
      <c r="AI1023" s="19">
        <f>IF(NOT(ISNUMBER($A1023)),NA(),IFERROR(INDEX(BBG_Data!$V$2:$V$4000,MATCH($A1023,BBG_Data!$U$2:$U$4000,0))*Settings!$B$25,NA()))</f>
        <v/>
      </c>
      <c r="AJ1023" s="19">
        <f>IF(NOT(ISNUMBER($A1023)),NA(),IFERROR(1*INDEX(BBG_Data!$X$2:$X$4000,MATCH($A1023,BBG_Data!$W$2:$W$4000,0)),NA()))</f>
        <v/>
      </c>
      <c r="AK1023" s="19">
        <f>IF(NOT(ISNUMBER($A1023)),NA(),IFERROR(1*INDEX(BBG_Data!$Z$2:$Z$4000,MATCH($A1023,BBG_Data!$Y$2:$Y$4000,0)),NA()))</f>
        <v/>
      </c>
    </row>
    <row r="1024">
      <c r="A1024" s="17">
        <f>IF(ISNUMBER(BBG_Data!A1024),BBG_Data!A1024,"")</f>
        <v/>
      </c>
      <c r="B1024" s="18">
        <f>IF(AND(ISNUMBER($A1024),ISNUMBER(BBG_Data!B1024)),BBG_Data!B1024,NA())</f>
        <v/>
      </c>
      <c r="C1024" s="18">
        <f>IF(NOT(ISNUMBER($A1024)),NA(),IFERROR(1*INDEX(BBG_Data!$D$2:$D$4000,MATCH($A1024,BBG_Data!$C$2:$C$4000,0)),NA()))</f>
        <v/>
      </c>
      <c r="D1024" s="19">
        <f>IF(NOT(ISNUMBER($A1024)),NA(),IFERROR(1*INDEX(BBG_Data!$F$2:$F$4000,MATCH($A1024,BBG_Data!$E$2:$E$4000,0)),NA()))</f>
        <v/>
      </c>
      <c r="E1024" s="19">
        <f>IF(NOT(ISNUMBER($A1024)),NA(),IFERROR(1*INDEX(BBG_Data!$H$2:$H$4000,MATCH($A1024,BBG_Data!$G$2:$G$4000,0)),NA()))</f>
        <v/>
      </c>
      <c r="F1024" s="20">
        <f>IF(AND(ISNUMBER(B1024),ISNUMBER(B1023)),IF(B1024=B1023,"",(B1024-B1023)*100),"")</f>
        <v/>
      </c>
      <c r="G1024" s="20">
        <f>IF(AND(ISNUMBER(C1024),ISNUMBER(C1023)),IF(C1024=C1023,"",(C1024-C1023)*100),"")</f>
        <v/>
      </c>
      <c r="H1024" s="20">
        <f>IF(OR(NOT(ISNUMBER($A1024)),ROW()-2&lt;Settings!$B$11),NA(),IF(COUNT(OFFSET(F1024,1-Settings!$B$11,0,Settings!$B$11,1))&lt;ROUNDUP(Settings!$B$11*Settings!$B$26,0),NA(),STDEV(OFFSET(F1024,1-Settings!$B$11,0,Settings!$B$11,1))*SQRT(Settings!$B$13)))</f>
        <v/>
      </c>
      <c r="I1024" s="20">
        <f>IF(OR(NOT(ISNUMBER($A1024)),ROW()-2&lt;Settings!$B$12),NA(),IF(COUNT(OFFSET(F1024,1-Settings!$B$12,0,Settings!$B$12,1))&lt;ROUNDUP(Settings!$B$12*Settings!$B$26,0),NA(),STDEV(OFFSET(F1024,1-Settings!$B$12,0,Settings!$B$12,1))*SQRT(Settings!$B$13)))</f>
        <v/>
      </c>
      <c r="J1024" s="20">
        <f>IF(OR(NOT(ISNUMBER($A1024)),ROW()-2&lt;Settings!$B$11),NA(),IF(COUNT(OFFSET(G1024,1-Settings!$B$11,0,Settings!$B$11,1))&lt;ROUNDUP(Settings!$B$11*Settings!$B$26,0),NA(),STDEV(OFFSET(G1024,1-Settings!$B$11,0,Settings!$B$11,1))*SQRT(Settings!$B$13)))</f>
        <v/>
      </c>
      <c r="K1024" s="20">
        <f>IF(OR(NOT(ISNUMBER($A1024)),ROW()-2&lt;Settings!$B$12),NA(),IF(COUNT(OFFSET(G1024,1-Settings!$B$12,0,Settings!$B$12,1))&lt;ROUNDUP(Settings!$B$12*Settings!$B$26,0),NA(),STDEV(OFFSET(G1024,1-Settings!$B$12,0,Settings!$B$12,1))*SQRT(Settings!$B$13)))</f>
        <v/>
      </c>
      <c r="L1024" s="20">
        <f>IF(AND(ISNUMBER(D1024),ISNUMBER(H1024)),D1024-H1024,NA())</f>
        <v/>
      </c>
      <c r="M1024" s="20">
        <f>IF(AND(ISNUMBER(E1024),ISNUMBER(K1024)),E1024-K1024,NA())</f>
        <v/>
      </c>
      <c r="N1024" s="20">
        <f>IF(NOT(ISNUMBER($A1024)),NA(),IF(COUNT(OFFSET(G1024,1,0,Settings!$B$12,1))&lt;ROUNDUP(Settings!$B$12*Settings!$B$26,0),NA(),STDEV(OFFSET(G1024,1,0,Settings!$B$12,1))*SQRT(Settings!$B$13)))</f>
        <v/>
      </c>
      <c r="O1024" s="20">
        <f>IF(AND(ISNUMBER(E1024),ISNUMBER(N1024)),E1024-N1024,NA())</f>
        <v/>
      </c>
      <c r="P1024" s="19">
        <f>IF(NOT(ISNUMBER($A1024)),NA(),IF(OR($A1024&lt;MIN(KW_TP!$A$2:$A$2501),$A1024&gt;MAX(KW_TP!$A$2:$A$2501)),NA(),INDEX(KW_TP!$C$2:$C$2501,MATCH($A1024,KW_TP!$A$2:$A$2501,1))))</f>
        <v/>
      </c>
      <c r="Q1024" s="18">
        <f>IF(NOT(ISNUMBER($A1024)),NA(),IFERROR(1*INDEX(BBG_Data!$J$2:$J$4000,MATCH($A1024,BBG_Data!$I$2:$I$4000,0)),NA()))</f>
        <v/>
      </c>
      <c r="R1024" s="18">
        <f>IF(NOT(ISNUMBER($A1024)),NA(),IFERROR(1*INDEX(BBG_Data!$L$2:$L$4000,MATCH($A1024,BBG_Data!$K$2:$K$4000,0)),NA()))</f>
        <v/>
      </c>
      <c r="S1024" s="20">
        <f>IF(AND(ISNUMBER(B1024),ISNUMBER(Q1024),ISNUMBER(R1024)),(B1024-Q1024-R1024)*100,NA())</f>
        <v/>
      </c>
      <c r="T1024" s="20">
        <f>IF(AND(ISNUMBER(B1024),Settings!$B$17&gt;0),IF(ISNUMBER(INDEX($B:$B,Settings!$B$17)),(B1024-INDEX($B:$B,Settings!$B$17))*100,NA()),NA())</f>
        <v/>
      </c>
      <c r="U1024" s="20">
        <f>IF(AND(ISNUMBER(Q1024),Settings!$B$17&gt;0),IF(ISNUMBER(INDEX($Q:$Q,Settings!$B$17)),(Q1024-INDEX($Q:$Q,Settings!$B$17))*100,NA()),NA())</f>
        <v/>
      </c>
      <c r="V1024" s="20">
        <f>IF(AND(ISNUMBER(R1024),Settings!$B$17&gt;0),IF(ISNUMBER(INDEX($R:$R,Settings!$B$17)),(R1024-INDEX($R:$R,Settings!$B$17))*100,NA()),NA())</f>
        <v/>
      </c>
      <c r="W1024" s="20">
        <f>IF(AND(ISNUMBER(P1024),Settings!$B$17&gt;0),IF(ISNUMBER(INDEX($P:$P,Settings!$B$17)),P1024-INDEX($P:$P,Settings!$B$17),NA()),NA())</f>
        <v/>
      </c>
      <c r="X1024" s="19">
        <f>IF(NOT(ISNUMBER($A1024)),NA(),IF(OR($A1024&lt;MIN(DKW_10Y!$A$2:$A$2918),$A1024&gt;MAX(DKW_10Y!$A$2:$A$2918),Settings!$B$16&lt;MIN(DKW_10Y!$A$2:$A$2918)),NA(),(INDEX(DKW_10Y!$B$2:$B$2918,MATCH($A1024,DKW_10Y!$A$2:$A$2918,1))-INDEX(DKW_10Y!$B$2:$B$2918,MATCH(Settings!$B$16,DKW_10Y!$A$2:$A$2918,1)))*100))</f>
        <v/>
      </c>
      <c r="Y1024" s="19">
        <f>IF(NOT(ISNUMBER($A1024)),NA(),IF(OR($A1024&lt;MIN(DKW_10Y!$A$2:$A$2918),$A1024&gt;MAX(DKW_10Y!$A$2:$A$2918),Settings!$B$16&lt;MIN(DKW_10Y!$A$2:$A$2918)),NA(),(INDEX(DKW_10Y!$C$2:$C$2918,MATCH($A1024,DKW_10Y!$A$2:$A$2918,1))-INDEX(DKW_10Y!$C$2:$C$2918,MATCH(Settings!$B$16,DKW_10Y!$A$2:$A$2918,1)))*100))</f>
        <v/>
      </c>
      <c r="Z1024" s="19">
        <f>IF(NOT(ISNUMBER($A1024)),NA(),IF(OR($A1024&lt;MIN(DKW_10Y!$A$2:$A$2918),$A1024&gt;MAX(DKW_10Y!$A$2:$A$2918),Settings!$B$16&lt;MIN(DKW_10Y!$A$2:$A$2918)),NA(),(INDEX(DKW_10Y!$D$2:$D$2918,MATCH($A1024,DKW_10Y!$A$2:$A$2918,1))-INDEX(DKW_10Y!$D$2:$D$2918,MATCH(Settings!$B$16,DKW_10Y!$A$2:$A$2918,1)))*100))</f>
        <v/>
      </c>
      <c r="AA1024" s="19">
        <f>IF(NOT(ISNUMBER($A1024)),NA(),IF(OR($A1024&lt;MIN(DKW_10Y!$A$2:$A$2918),$A1024&gt;MAX(DKW_10Y!$A$2:$A$2918),Settings!$B$16&lt;MIN(DKW_10Y!$A$2:$A$2918)),NA(),(INDEX(DKW_10Y!$E$2:$E$2918,MATCH($A1024,DKW_10Y!$A$2:$A$2918,1))-INDEX(DKW_10Y!$E$2:$E$2918,MATCH(Settings!$B$16,DKW_10Y!$A$2:$A$2918,1)))*100))</f>
        <v/>
      </c>
      <c r="AB1024" s="19">
        <f>IF(NOT(ISNUMBER($A1024)),NA(),IF(OR($A1024&lt;MIN(DKW_10Y!$A$2:$A$2918),$A1024&gt;MAX(DKW_10Y!$A$2:$A$2918),Settings!$B$16&lt;MIN(DKW_10Y!$A$2:$A$2918)),NA(),(INDEX(DKW_10Y!$H$2:$H$2918,MATCH($A1024,DKW_10Y!$A$2:$A$2918,1))-INDEX(DKW_10Y!$H$2:$H$2918,MATCH(Settings!$B$16,DKW_10Y!$A$2:$A$2918,1)))*100))</f>
        <v/>
      </c>
      <c r="AC1024" s="18">
        <f>IF(NOT(ISNUMBER($A1024)),NA(),IFERROR(1*INDEX(BBG_Data!$N$2:$N$4000,MATCH($A1024,BBG_Data!$M$2:$M$4000,0)),NA()))</f>
        <v/>
      </c>
      <c r="AD1024" s="18">
        <f>IF(NOT(ISNUMBER($A1024)),NA(),IFERROR(1*INDEX(BBG_Data!$P$2:$P$4000,MATCH($A1024,BBG_Data!$O$2:$O$4000,0)),NA()))</f>
        <v/>
      </c>
      <c r="AE1024" s="18">
        <f>IF(NOT(ISNUMBER($A1024)),NA(),IFERROR(1*INDEX(BBG_Data!$R$2:$R$4000,MATCH($A1024,BBG_Data!$Q$2:$Q$4000,0)),NA()))</f>
        <v/>
      </c>
      <c r="AF1024" s="20">
        <f>IF(AND(ISNUMBER(B1024),ISNUMBER(AC1024)),(B1024-AC1024)*100,NA())</f>
        <v/>
      </c>
      <c r="AG1024" s="20">
        <f>IF(AND(ISNUMBER(AE1024),ISNUMBER(AD1024)),(AE1024-AD1024)*100,NA())</f>
        <v/>
      </c>
      <c r="AH1024" s="19">
        <f>IF(NOT(ISNUMBER($A1024)),NA(),IFERROR(INDEX(BBG_Data!$T$2:$T$4000,MATCH($A1024,BBG_Data!$S$2:$S$4000,0))*Settings!$B$25,NA()))</f>
        <v/>
      </c>
      <c r="AI1024" s="19">
        <f>IF(NOT(ISNUMBER($A1024)),NA(),IFERROR(INDEX(BBG_Data!$V$2:$V$4000,MATCH($A1024,BBG_Data!$U$2:$U$4000,0))*Settings!$B$25,NA()))</f>
        <v/>
      </c>
      <c r="AJ1024" s="19">
        <f>IF(NOT(ISNUMBER($A1024)),NA(),IFERROR(1*INDEX(BBG_Data!$X$2:$X$4000,MATCH($A1024,BBG_Data!$W$2:$W$4000,0)),NA()))</f>
        <v/>
      </c>
      <c r="AK1024" s="19">
        <f>IF(NOT(ISNUMBER($A1024)),NA(),IFERROR(1*INDEX(BBG_Data!$Z$2:$Z$4000,MATCH($A1024,BBG_Data!$Y$2:$Y$4000,0)),NA()))</f>
        <v/>
      </c>
    </row>
    <row r="1025">
      <c r="A1025" s="17">
        <f>IF(ISNUMBER(BBG_Data!A1025),BBG_Data!A1025,"")</f>
        <v/>
      </c>
      <c r="B1025" s="18">
        <f>IF(AND(ISNUMBER($A1025),ISNUMBER(BBG_Data!B1025)),BBG_Data!B1025,NA())</f>
        <v/>
      </c>
      <c r="C1025" s="18">
        <f>IF(NOT(ISNUMBER($A1025)),NA(),IFERROR(1*INDEX(BBG_Data!$D$2:$D$4000,MATCH($A1025,BBG_Data!$C$2:$C$4000,0)),NA()))</f>
        <v/>
      </c>
      <c r="D1025" s="19">
        <f>IF(NOT(ISNUMBER($A1025)),NA(),IFERROR(1*INDEX(BBG_Data!$F$2:$F$4000,MATCH($A1025,BBG_Data!$E$2:$E$4000,0)),NA()))</f>
        <v/>
      </c>
      <c r="E1025" s="19">
        <f>IF(NOT(ISNUMBER($A1025)),NA(),IFERROR(1*INDEX(BBG_Data!$H$2:$H$4000,MATCH($A1025,BBG_Data!$G$2:$G$4000,0)),NA()))</f>
        <v/>
      </c>
      <c r="F1025" s="20">
        <f>IF(AND(ISNUMBER(B1025),ISNUMBER(B1024)),IF(B1025=B1024,"",(B1025-B1024)*100),"")</f>
        <v/>
      </c>
      <c r="G1025" s="20">
        <f>IF(AND(ISNUMBER(C1025),ISNUMBER(C1024)),IF(C1025=C1024,"",(C1025-C1024)*100),"")</f>
        <v/>
      </c>
      <c r="H1025" s="20">
        <f>IF(OR(NOT(ISNUMBER($A1025)),ROW()-2&lt;Settings!$B$11),NA(),IF(COUNT(OFFSET(F1025,1-Settings!$B$11,0,Settings!$B$11,1))&lt;ROUNDUP(Settings!$B$11*Settings!$B$26,0),NA(),STDEV(OFFSET(F1025,1-Settings!$B$11,0,Settings!$B$11,1))*SQRT(Settings!$B$13)))</f>
        <v/>
      </c>
      <c r="I1025" s="20">
        <f>IF(OR(NOT(ISNUMBER($A1025)),ROW()-2&lt;Settings!$B$12),NA(),IF(COUNT(OFFSET(F1025,1-Settings!$B$12,0,Settings!$B$12,1))&lt;ROUNDUP(Settings!$B$12*Settings!$B$26,0),NA(),STDEV(OFFSET(F1025,1-Settings!$B$12,0,Settings!$B$12,1))*SQRT(Settings!$B$13)))</f>
        <v/>
      </c>
      <c r="J1025" s="20">
        <f>IF(OR(NOT(ISNUMBER($A1025)),ROW()-2&lt;Settings!$B$11),NA(),IF(COUNT(OFFSET(G1025,1-Settings!$B$11,0,Settings!$B$11,1))&lt;ROUNDUP(Settings!$B$11*Settings!$B$26,0),NA(),STDEV(OFFSET(G1025,1-Settings!$B$11,0,Settings!$B$11,1))*SQRT(Settings!$B$13)))</f>
        <v/>
      </c>
      <c r="K1025" s="20">
        <f>IF(OR(NOT(ISNUMBER($A1025)),ROW()-2&lt;Settings!$B$12),NA(),IF(COUNT(OFFSET(G1025,1-Settings!$B$12,0,Settings!$B$12,1))&lt;ROUNDUP(Settings!$B$12*Settings!$B$26,0),NA(),STDEV(OFFSET(G1025,1-Settings!$B$12,0,Settings!$B$12,1))*SQRT(Settings!$B$13)))</f>
        <v/>
      </c>
      <c r="L1025" s="20">
        <f>IF(AND(ISNUMBER(D1025),ISNUMBER(H1025)),D1025-H1025,NA())</f>
        <v/>
      </c>
      <c r="M1025" s="20">
        <f>IF(AND(ISNUMBER(E1025),ISNUMBER(K1025)),E1025-K1025,NA())</f>
        <v/>
      </c>
      <c r="N1025" s="20">
        <f>IF(NOT(ISNUMBER($A1025)),NA(),IF(COUNT(OFFSET(G1025,1,0,Settings!$B$12,1))&lt;ROUNDUP(Settings!$B$12*Settings!$B$26,0),NA(),STDEV(OFFSET(G1025,1,0,Settings!$B$12,1))*SQRT(Settings!$B$13)))</f>
        <v/>
      </c>
      <c r="O1025" s="20">
        <f>IF(AND(ISNUMBER(E1025),ISNUMBER(N1025)),E1025-N1025,NA())</f>
        <v/>
      </c>
      <c r="P1025" s="19">
        <f>IF(NOT(ISNUMBER($A1025)),NA(),IF(OR($A1025&lt;MIN(KW_TP!$A$2:$A$2501),$A1025&gt;MAX(KW_TP!$A$2:$A$2501)),NA(),INDEX(KW_TP!$C$2:$C$2501,MATCH($A1025,KW_TP!$A$2:$A$2501,1))))</f>
        <v/>
      </c>
      <c r="Q1025" s="18">
        <f>IF(NOT(ISNUMBER($A1025)),NA(),IFERROR(1*INDEX(BBG_Data!$J$2:$J$4000,MATCH($A1025,BBG_Data!$I$2:$I$4000,0)),NA()))</f>
        <v/>
      </c>
      <c r="R1025" s="18">
        <f>IF(NOT(ISNUMBER($A1025)),NA(),IFERROR(1*INDEX(BBG_Data!$L$2:$L$4000,MATCH($A1025,BBG_Data!$K$2:$K$4000,0)),NA()))</f>
        <v/>
      </c>
      <c r="S1025" s="20">
        <f>IF(AND(ISNUMBER(B1025),ISNUMBER(Q1025),ISNUMBER(R1025)),(B1025-Q1025-R1025)*100,NA())</f>
        <v/>
      </c>
      <c r="T1025" s="20">
        <f>IF(AND(ISNUMBER(B1025),Settings!$B$17&gt;0),IF(ISNUMBER(INDEX($B:$B,Settings!$B$17)),(B1025-INDEX($B:$B,Settings!$B$17))*100,NA()),NA())</f>
        <v/>
      </c>
      <c r="U1025" s="20">
        <f>IF(AND(ISNUMBER(Q1025),Settings!$B$17&gt;0),IF(ISNUMBER(INDEX($Q:$Q,Settings!$B$17)),(Q1025-INDEX($Q:$Q,Settings!$B$17))*100,NA()),NA())</f>
        <v/>
      </c>
      <c r="V1025" s="20">
        <f>IF(AND(ISNUMBER(R1025),Settings!$B$17&gt;0),IF(ISNUMBER(INDEX($R:$R,Settings!$B$17)),(R1025-INDEX($R:$R,Settings!$B$17))*100,NA()),NA())</f>
        <v/>
      </c>
      <c r="W1025" s="20">
        <f>IF(AND(ISNUMBER(P1025),Settings!$B$17&gt;0),IF(ISNUMBER(INDEX($P:$P,Settings!$B$17)),P1025-INDEX($P:$P,Settings!$B$17),NA()),NA())</f>
        <v/>
      </c>
      <c r="X1025" s="19">
        <f>IF(NOT(ISNUMBER($A1025)),NA(),IF(OR($A1025&lt;MIN(DKW_10Y!$A$2:$A$2918),$A1025&gt;MAX(DKW_10Y!$A$2:$A$2918),Settings!$B$16&lt;MIN(DKW_10Y!$A$2:$A$2918)),NA(),(INDEX(DKW_10Y!$B$2:$B$2918,MATCH($A1025,DKW_10Y!$A$2:$A$2918,1))-INDEX(DKW_10Y!$B$2:$B$2918,MATCH(Settings!$B$16,DKW_10Y!$A$2:$A$2918,1)))*100))</f>
        <v/>
      </c>
      <c r="Y1025" s="19">
        <f>IF(NOT(ISNUMBER($A1025)),NA(),IF(OR($A1025&lt;MIN(DKW_10Y!$A$2:$A$2918),$A1025&gt;MAX(DKW_10Y!$A$2:$A$2918),Settings!$B$16&lt;MIN(DKW_10Y!$A$2:$A$2918)),NA(),(INDEX(DKW_10Y!$C$2:$C$2918,MATCH($A1025,DKW_10Y!$A$2:$A$2918,1))-INDEX(DKW_10Y!$C$2:$C$2918,MATCH(Settings!$B$16,DKW_10Y!$A$2:$A$2918,1)))*100))</f>
        <v/>
      </c>
      <c r="Z1025" s="19">
        <f>IF(NOT(ISNUMBER($A1025)),NA(),IF(OR($A1025&lt;MIN(DKW_10Y!$A$2:$A$2918),$A1025&gt;MAX(DKW_10Y!$A$2:$A$2918),Settings!$B$16&lt;MIN(DKW_10Y!$A$2:$A$2918)),NA(),(INDEX(DKW_10Y!$D$2:$D$2918,MATCH($A1025,DKW_10Y!$A$2:$A$2918,1))-INDEX(DKW_10Y!$D$2:$D$2918,MATCH(Settings!$B$16,DKW_10Y!$A$2:$A$2918,1)))*100))</f>
        <v/>
      </c>
      <c r="AA1025" s="19">
        <f>IF(NOT(ISNUMBER($A1025)),NA(),IF(OR($A1025&lt;MIN(DKW_10Y!$A$2:$A$2918),$A1025&gt;MAX(DKW_10Y!$A$2:$A$2918),Settings!$B$16&lt;MIN(DKW_10Y!$A$2:$A$2918)),NA(),(INDEX(DKW_10Y!$E$2:$E$2918,MATCH($A1025,DKW_10Y!$A$2:$A$2918,1))-INDEX(DKW_10Y!$E$2:$E$2918,MATCH(Settings!$B$16,DKW_10Y!$A$2:$A$2918,1)))*100))</f>
        <v/>
      </c>
      <c r="AB1025" s="19">
        <f>IF(NOT(ISNUMBER($A1025)),NA(),IF(OR($A1025&lt;MIN(DKW_10Y!$A$2:$A$2918),$A1025&gt;MAX(DKW_10Y!$A$2:$A$2918),Settings!$B$16&lt;MIN(DKW_10Y!$A$2:$A$2918)),NA(),(INDEX(DKW_10Y!$H$2:$H$2918,MATCH($A1025,DKW_10Y!$A$2:$A$2918,1))-INDEX(DKW_10Y!$H$2:$H$2918,MATCH(Settings!$B$16,DKW_10Y!$A$2:$A$2918,1)))*100))</f>
        <v/>
      </c>
      <c r="AC1025" s="18">
        <f>IF(NOT(ISNUMBER($A1025)),NA(),IFERROR(1*INDEX(BBG_Data!$N$2:$N$4000,MATCH($A1025,BBG_Data!$M$2:$M$4000,0)),NA()))</f>
        <v/>
      </c>
      <c r="AD1025" s="18">
        <f>IF(NOT(ISNUMBER($A1025)),NA(),IFERROR(1*INDEX(BBG_Data!$P$2:$P$4000,MATCH($A1025,BBG_Data!$O$2:$O$4000,0)),NA()))</f>
        <v/>
      </c>
      <c r="AE1025" s="18">
        <f>IF(NOT(ISNUMBER($A1025)),NA(),IFERROR(1*INDEX(BBG_Data!$R$2:$R$4000,MATCH($A1025,BBG_Data!$Q$2:$Q$4000,0)),NA()))</f>
        <v/>
      </c>
      <c r="AF1025" s="20">
        <f>IF(AND(ISNUMBER(B1025),ISNUMBER(AC1025)),(B1025-AC1025)*100,NA())</f>
        <v/>
      </c>
      <c r="AG1025" s="20">
        <f>IF(AND(ISNUMBER(AE1025),ISNUMBER(AD1025)),(AE1025-AD1025)*100,NA())</f>
        <v/>
      </c>
      <c r="AH1025" s="19">
        <f>IF(NOT(ISNUMBER($A1025)),NA(),IFERROR(INDEX(BBG_Data!$T$2:$T$4000,MATCH($A1025,BBG_Data!$S$2:$S$4000,0))*Settings!$B$25,NA()))</f>
        <v/>
      </c>
      <c r="AI1025" s="19">
        <f>IF(NOT(ISNUMBER($A1025)),NA(),IFERROR(INDEX(BBG_Data!$V$2:$V$4000,MATCH($A1025,BBG_Data!$U$2:$U$4000,0))*Settings!$B$25,NA()))</f>
        <v/>
      </c>
      <c r="AJ1025" s="19">
        <f>IF(NOT(ISNUMBER($A1025)),NA(),IFERROR(1*INDEX(BBG_Data!$X$2:$X$4000,MATCH($A1025,BBG_Data!$W$2:$W$4000,0)),NA()))</f>
        <v/>
      </c>
      <c r="AK1025" s="19">
        <f>IF(NOT(ISNUMBER($A1025)),NA(),IFERROR(1*INDEX(BBG_Data!$Z$2:$Z$4000,MATCH($A1025,BBG_Data!$Y$2:$Y$4000,0)),NA()))</f>
        <v/>
      </c>
    </row>
    <row r="1026">
      <c r="A1026" s="17">
        <f>IF(ISNUMBER(BBG_Data!A1026),BBG_Data!A1026,"")</f>
        <v/>
      </c>
      <c r="B1026" s="18">
        <f>IF(AND(ISNUMBER($A1026),ISNUMBER(BBG_Data!B1026)),BBG_Data!B1026,NA())</f>
        <v/>
      </c>
      <c r="C1026" s="18">
        <f>IF(NOT(ISNUMBER($A1026)),NA(),IFERROR(1*INDEX(BBG_Data!$D$2:$D$4000,MATCH($A1026,BBG_Data!$C$2:$C$4000,0)),NA()))</f>
        <v/>
      </c>
      <c r="D1026" s="19">
        <f>IF(NOT(ISNUMBER($A1026)),NA(),IFERROR(1*INDEX(BBG_Data!$F$2:$F$4000,MATCH($A1026,BBG_Data!$E$2:$E$4000,0)),NA()))</f>
        <v/>
      </c>
      <c r="E1026" s="19">
        <f>IF(NOT(ISNUMBER($A1026)),NA(),IFERROR(1*INDEX(BBG_Data!$H$2:$H$4000,MATCH($A1026,BBG_Data!$G$2:$G$4000,0)),NA()))</f>
        <v/>
      </c>
      <c r="F1026" s="20">
        <f>IF(AND(ISNUMBER(B1026),ISNUMBER(B1025)),IF(B1026=B1025,"",(B1026-B1025)*100),"")</f>
        <v/>
      </c>
      <c r="G1026" s="20">
        <f>IF(AND(ISNUMBER(C1026),ISNUMBER(C1025)),IF(C1026=C1025,"",(C1026-C1025)*100),"")</f>
        <v/>
      </c>
      <c r="H1026" s="20">
        <f>IF(OR(NOT(ISNUMBER($A1026)),ROW()-2&lt;Settings!$B$11),NA(),IF(COUNT(OFFSET(F1026,1-Settings!$B$11,0,Settings!$B$11,1))&lt;ROUNDUP(Settings!$B$11*Settings!$B$26,0),NA(),STDEV(OFFSET(F1026,1-Settings!$B$11,0,Settings!$B$11,1))*SQRT(Settings!$B$13)))</f>
        <v/>
      </c>
      <c r="I1026" s="20">
        <f>IF(OR(NOT(ISNUMBER($A1026)),ROW()-2&lt;Settings!$B$12),NA(),IF(COUNT(OFFSET(F1026,1-Settings!$B$12,0,Settings!$B$12,1))&lt;ROUNDUP(Settings!$B$12*Settings!$B$26,0),NA(),STDEV(OFFSET(F1026,1-Settings!$B$12,0,Settings!$B$12,1))*SQRT(Settings!$B$13)))</f>
        <v/>
      </c>
      <c r="J1026" s="20">
        <f>IF(OR(NOT(ISNUMBER($A1026)),ROW()-2&lt;Settings!$B$11),NA(),IF(COUNT(OFFSET(G1026,1-Settings!$B$11,0,Settings!$B$11,1))&lt;ROUNDUP(Settings!$B$11*Settings!$B$26,0),NA(),STDEV(OFFSET(G1026,1-Settings!$B$11,0,Settings!$B$11,1))*SQRT(Settings!$B$13)))</f>
        <v/>
      </c>
      <c r="K1026" s="20">
        <f>IF(OR(NOT(ISNUMBER($A1026)),ROW()-2&lt;Settings!$B$12),NA(),IF(COUNT(OFFSET(G1026,1-Settings!$B$12,0,Settings!$B$12,1))&lt;ROUNDUP(Settings!$B$12*Settings!$B$26,0),NA(),STDEV(OFFSET(G1026,1-Settings!$B$12,0,Settings!$B$12,1))*SQRT(Settings!$B$13)))</f>
        <v/>
      </c>
      <c r="L1026" s="20">
        <f>IF(AND(ISNUMBER(D1026),ISNUMBER(H1026)),D1026-H1026,NA())</f>
        <v/>
      </c>
      <c r="M1026" s="20">
        <f>IF(AND(ISNUMBER(E1026),ISNUMBER(K1026)),E1026-K1026,NA())</f>
        <v/>
      </c>
      <c r="N1026" s="20">
        <f>IF(NOT(ISNUMBER($A1026)),NA(),IF(COUNT(OFFSET(G1026,1,0,Settings!$B$12,1))&lt;ROUNDUP(Settings!$B$12*Settings!$B$26,0),NA(),STDEV(OFFSET(G1026,1,0,Settings!$B$12,1))*SQRT(Settings!$B$13)))</f>
        <v/>
      </c>
      <c r="O1026" s="20">
        <f>IF(AND(ISNUMBER(E1026),ISNUMBER(N1026)),E1026-N1026,NA())</f>
        <v/>
      </c>
      <c r="P1026" s="19">
        <f>IF(NOT(ISNUMBER($A1026)),NA(),IF(OR($A1026&lt;MIN(KW_TP!$A$2:$A$2501),$A1026&gt;MAX(KW_TP!$A$2:$A$2501)),NA(),INDEX(KW_TP!$C$2:$C$2501,MATCH($A1026,KW_TP!$A$2:$A$2501,1))))</f>
        <v/>
      </c>
      <c r="Q1026" s="18">
        <f>IF(NOT(ISNUMBER($A1026)),NA(),IFERROR(1*INDEX(BBG_Data!$J$2:$J$4000,MATCH($A1026,BBG_Data!$I$2:$I$4000,0)),NA()))</f>
        <v/>
      </c>
      <c r="R1026" s="18">
        <f>IF(NOT(ISNUMBER($A1026)),NA(),IFERROR(1*INDEX(BBG_Data!$L$2:$L$4000,MATCH($A1026,BBG_Data!$K$2:$K$4000,0)),NA()))</f>
        <v/>
      </c>
      <c r="S1026" s="20">
        <f>IF(AND(ISNUMBER(B1026),ISNUMBER(Q1026),ISNUMBER(R1026)),(B1026-Q1026-R1026)*100,NA())</f>
        <v/>
      </c>
      <c r="T1026" s="20">
        <f>IF(AND(ISNUMBER(B1026),Settings!$B$17&gt;0),IF(ISNUMBER(INDEX($B:$B,Settings!$B$17)),(B1026-INDEX($B:$B,Settings!$B$17))*100,NA()),NA())</f>
        <v/>
      </c>
      <c r="U1026" s="20">
        <f>IF(AND(ISNUMBER(Q1026),Settings!$B$17&gt;0),IF(ISNUMBER(INDEX($Q:$Q,Settings!$B$17)),(Q1026-INDEX($Q:$Q,Settings!$B$17))*100,NA()),NA())</f>
        <v/>
      </c>
      <c r="V1026" s="20">
        <f>IF(AND(ISNUMBER(R1026),Settings!$B$17&gt;0),IF(ISNUMBER(INDEX($R:$R,Settings!$B$17)),(R1026-INDEX($R:$R,Settings!$B$17))*100,NA()),NA())</f>
        <v/>
      </c>
      <c r="W1026" s="20">
        <f>IF(AND(ISNUMBER(P1026),Settings!$B$17&gt;0),IF(ISNUMBER(INDEX($P:$P,Settings!$B$17)),P1026-INDEX($P:$P,Settings!$B$17),NA()),NA())</f>
        <v/>
      </c>
      <c r="X1026" s="19">
        <f>IF(NOT(ISNUMBER($A1026)),NA(),IF(OR($A1026&lt;MIN(DKW_10Y!$A$2:$A$2918),$A1026&gt;MAX(DKW_10Y!$A$2:$A$2918),Settings!$B$16&lt;MIN(DKW_10Y!$A$2:$A$2918)),NA(),(INDEX(DKW_10Y!$B$2:$B$2918,MATCH($A1026,DKW_10Y!$A$2:$A$2918,1))-INDEX(DKW_10Y!$B$2:$B$2918,MATCH(Settings!$B$16,DKW_10Y!$A$2:$A$2918,1)))*100))</f>
        <v/>
      </c>
      <c r="Y1026" s="19">
        <f>IF(NOT(ISNUMBER($A1026)),NA(),IF(OR($A1026&lt;MIN(DKW_10Y!$A$2:$A$2918),$A1026&gt;MAX(DKW_10Y!$A$2:$A$2918),Settings!$B$16&lt;MIN(DKW_10Y!$A$2:$A$2918)),NA(),(INDEX(DKW_10Y!$C$2:$C$2918,MATCH($A1026,DKW_10Y!$A$2:$A$2918,1))-INDEX(DKW_10Y!$C$2:$C$2918,MATCH(Settings!$B$16,DKW_10Y!$A$2:$A$2918,1)))*100))</f>
        <v/>
      </c>
      <c r="Z1026" s="19">
        <f>IF(NOT(ISNUMBER($A1026)),NA(),IF(OR($A1026&lt;MIN(DKW_10Y!$A$2:$A$2918),$A1026&gt;MAX(DKW_10Y!$A$2:$A$2918),Settings!$B$16&lt;MIN(DKW_10Y!$A$2:$A$2918)),NA(),(INDEX(DKW_10Y!$D$2:$D$2918,MATCH($A1026,DKW_10Y!$A$2:$A$2918,1))-INDEX(DKW_10Y!$D$2:$D$2918,MATCH(Settings!$B$16,DKW_10Y!$A$2:$A$2918,1)))*100))</f>
        <v/>
      </c>
      <c r="AA1026" s="19">
        <f>IF(NOT(ISNUMBER($A1026)),NA(),IF(OR($A1026&lt;MIN(DKW_10Y!$A$2:$A$2918),$A1026&gt;MAX(DKW_10Y!$A$2:$A$2918),Settings!$B$16&lt;MIN(DKW_10Y!$A$2:$A$2918)),NA(),(INDEX(DKW_10Y!$E$2:$E$2918,MATCH($A1026,DKW_10Y!$A$2:$A$2918,1))-INDEX(DKW_10Y!$E$2:$E$2918,MATCH(Settings!$B$16,DKW_10Y!$A$2:$A$2918,1)))*100))</f>
        <v/>
      </c>
      <c r="AB1026" s="19">
        <f>IF(NOT(ISNUMBER($A1026)),NA(),IF(OR($A1026&lt;MIN(DKW_10Y!$A$2:$A$2918),$A1026&gt;MAX(DKW_10Y!$A$2:$A$2918),Settings!$B$16&lt;MIN(DKW_10Y!$A$2:$A$2918)),NA(),(INDEX(DKW_10Y!$H$2:$H$2918,MATCH($A1026,DKW_10Y!$A$2:$A$2918,1))-INDEX(DKW_10Y!$H$2:$H$2918,MATCH(Settings!$B$16,DKW_10Y!$A$2:$A$2918,1)))*100))</f>
        <v/>
      </c>
      <c r="AC1026" s="18">
        <f>IF(NOT(ISNUMBER($A1026)),NA(),IFERROR(1*INDEX(BBG_Data!$N$2:$N$4000,MATCH($A1026,BBG_Data!$M$2:$M$4000,0)),NA()))</f>
        <v/>
      </c>
      <c r="AD1026" s="18">
        <f>IF(NOT(ISNUMBER($A1026)),NA(),IFERROR(1*INDEX(BBG_Data!$P$2:$P$4000,MATCH($A1026,BBG_Data!$O$2:$O$4000,0)),NA()))</f>
        <v/>
      </c>
      <c r="AE1026" s="18">
        <f>IF(NOT(ISNUMBER($A1026)),NA(),IFERROR(1*INDEX(BBG_Data!$R$2:$R$4000,MATCH($A1026,BBG_Data!$Q$2:$Q$4000,0)),NA()))</f>
        <v/>
      </c>
      <c r="AF1026" s="20">
        <f>IF(AND(ISNUMBER(B1026),ISNUMBER(AC1026)),(B1026-AC1026)*100,NA())</f>
        <v/>
      </c>
      <c r="AG1026" s="20">
        <f>IF(AND(ISNUMBER(AE1026),ISNUMBER(AD1026)),(AE1026-AD1026)*100,NA())</f>
        <v/>
      </c>
      <c r="AH1026" s="19">
        <f>IF(NOT(ISNUMBER($A1026)),NA(),IFERROR(INDEX(BBG_Data!$T$2:$T$4000,MATCH($A1026,BBG_Data!$S$2:$S$4000,0))*Settings!$B$25,NA()))</f>
        <v/>
      </c>
      <c r="AI1026" s="19">
        <f>IF(NOT(ISNUMBER($A1026)),NA(),IFERROR(INDEX(BBG_Data!$V$2:$V$4000,MATCH($A1026,BBG_Data!$U$2:$U$4000,0))*Settings!$B$25,NA()))</f>
        <v/>
      </c>
      <c r="AJ1026" s="19">
        <f>IF(NOT(ISNUMBER($A1026)),NA(),IFERROR(1*INDEX(BBG_Data!$X$2:$X$4000,MATCH($A1026,BBG_Data!$W$2:$W$4000,0)),NA()))</f>
        <v/>
      </c>
      <c r="AK1026" s="19">
        <f>IF(NOT(ISNUMBER($A1026)),NA(),IFERROR(1*INDEX(BBG_Data!$Z$2:$Z$4000,MATCH($A1026,BBG_Data!$Y$2:$Y$4000,0)),NA()))</f>
        <v/>
      </c>
    </row>
    <row r="1027">
      <c r="A1027" s="17">
        <f>IF(ISNUMBER(BBG_Data!A1027),BBG_Data!A1027,"")</f>
        <v/>
      </c>
      <c r="B1027" s="18">
        <f>IF(AND(ISNUMBER($A1027),ISNUMBER(BBG_Data!B1027)),BBG_Data!B1027,NA())</f>
        <v/>
      </c>
      <c r="C1027" s="18">
        <f>IF(NOT(ISNUMBER($A1027)),NA(),IFERROR(1*INDEX(BBG_Data!$D$2:$D$4000,MATCH($A1027,BBG_Data!$C$2:$C$4000,0)),NA()))</f>
        <v/>
      </c>
      <c r="D1027" s="19">
        <f>IF(NOT(ISNUMBER($A1027)),NA(),IFERROR(1*INDEX(BBG_Data!$F$2:$F$4000,MATCH($A1027,BBG_Data!$E$2:$E$4000,0)),NA()))</f>
        <v/>
      </c>
      <c r="E1027" s="19">
        <f>IF(NOT(ISNUMBER($A1027)),NA(),IFERROR(1*INDEX(BBG_Data!$H$2:$H$4000,MATCH($A1027,BBG_Data!$G$2:$G$4000,0)),NA()))</f>
        <v/>
      </c>
      <c r="F1027" s="20">
        <f>IF(AND(ISNUMBER(B1027),ISNUMBER(B1026)),IF(B1027=B1026,"",(B1027-B1026)*100),"")</f>
        <v/>
      </c>
      <c r="G1027" s="20">
        <f>IF(AND(ISNUMBER(C1027),ISNUMBER(C1026)),IF(C1027=C1026,"",(C1027-C1026)*100),"")</f>
        <v/>
      </c>
      <c r="H1027" s="20">
        <f>IF(OR(NOT(ISNUMBER($A1027)),ROW()-2&lt;Settings!$B$11),NA(),IF(COUNT(OFFSET(F1027,1-Settings!$B$11,0,Settings!$B$11,1))&lt;ROUNDUP(Settings!$B$11*Settings!$B$26,0),NA(),STDEV(OFFSET(F1027,1-Settings!$B$11,0,Settings!$B$11,1))*SQRT(Settings!$B$13)))</f>
        <v/>
      </c>
      <c r="I1027" s="20">
        <f>IF(OR(NOT(ISNUMBER($A1027)),ROW()-2&lt;Settings!$B$12),NA(),IF(COUNT(OFFSET(F1027,1-Settings!$B$12,0,Settings!$B$12,1))&lt;ROUNDUP(Settings!$B$12*Settings!$B$26,0),NA(),STDEV(OFFSET(F1027,1-Settings!$B$12,0,Settings!$B$12,1))*SQRT(Settings!$B$13)))</f>
        <v/>
      </c>
      <c r="J1027" s="20">
        <f>IF(OR(NOT(ISNUMBER($A1027)),ROW()-2&lt;Settings!$B$11),NA(),IF(COUNT(OFFSET(G1027,1-Settings!$B$11,0,Settings!$B$11,1))&lt;ROUNDUP(Settings!$B$11*Settings!$B$26,0),NA(),STDEV(OFFSET(G1027,1-Settings!$B$11,0,Settings!$B$11,1))*SQRT(Settings!$B$13)))</f>
        <v/>
      </c>
      <c r="K1027" s="20">
        <f>IF(OR(NOT(ISNUMBER($A1027)),ROW()-2&lt;Settings!$B$12),NA(),IF(COUNT(OFFSET(G1027,1-Settings!$B$12,0,Settings!$B$12,1))&lt;ROUNDUP(Settings!$B$12*Settings!$B$26,0),NA(),STDEV(OFFSET(G1027,1-Settings!$B$12,0,Settings!$B$12,1))*SQRT(Settings!$B$13)))</f>
        <v/>
      </c>
      <c r="L1027" s="20">
        <f>IF(AND(ISNUMBER(D1027),ISNUMBER(H1027)),D1027-H1027,NA())</f>
        <v/>
      </c>
      <c r="M1027" s="20">
        <f>IF(AND(ISNUMBER(E1027),ISNUMBER(K1027)),E1027-K1027,NA())</f>
        <v/>
      </c>
      <c r="N1027" s="20">
        <f>IF(NOT(ISNUMBER($A1027)),NA(),IF(COUNT(OFFSET(G1027,1,0,Settings!$B$12,1))&lt;ROUNDUP(Settings!$B$12*Settings!$B$26,0),NA(),STDEV(OFFSET(G1027,1,0,Settings!$B$12,1))*SQRT(Settings!$B$13)))</f>
        <v/>
      </c>
      <c r="O1027" s="20">
        <f>IF(AND(ISNUMBER(E1027),ISNUMBER(N1027)),E1027-N1027,NA())</f>
        <v/>
      </c>
      <c r="P1027" s="19">
        <f>IF(NOT(ISNUMBER($A1027)),NA(),IF(OR($A1027&lt;MIN(KW_TP!$A$2:$A$2501),$A1027&gt;MAX(KW_TP!$A$2:$A$2501)),NA(),INDEX(KW_TP!$C$2:$C$2501,MATCH($A1027,KW_TP!$A$2:$A$2501,1))))</f>
        <v/>
      </c>
      <c r="Q1027" s="18">
        <f>IF(NOT(ISNUMBER($A1027)),NA(),IFERROR(1*INDEX(BBG_Data!$J$2:$J$4000,MATCH($A1027,BBG_Data!$I$2:$I$4000,0)),NA()))</f>
        <v/>
      </c>
      <c r="R1027" s="18">
        <f>IF(NOT(ISNUMBER($A1027)),NA(),IFERROR(1*INDEX(BBG_Data!$L$2:$L$4000,MATCH($A1027,BBG_Data!$K$2:$K$4000,0)),NA()))</f>
        <v/>
      </c>
      <c r="S1027" s="20">
        <f>IF(AND(ISNUMBER(B1027),ISNUMBER(Q1027),ISNUMBER(R1027)),(B1027-Q1027-R1027)*100,NA())</f>
        <v/>
      </c>
      <c r="T1027" s="20">
        <f>IF(AND(ISNUMBER(B1027),Settings!$B$17&gt;0),IF(ISNUMBER(INDEX($B:$B,Settings!$B$17)),(B1027-INDEX($B:$B,Settings!$B$17))*100,NA()),NA())</f>
        <v/>
      </c>
      <c r="U1027" s="20">
        <f>IF(AND(ISNUMBER(Q1027),Settings!$B$17&gt;0),IF(ISNUMBER(INDEX($Q:$Q,Settings!$B$17)),(Q1027-INDEX($Q:$Q,Settings!$B$17))*100,NA()),NA())</f>
        <v/>
      </c>
      <c r="V1027" s="20">
        <f>IF(AND(ISNUMBER(R1027),Settings!$B$17&gt;0),IF(ISNUMBER(INDEX($R:$R,Settings!$B$17)),(R1027-INDEX($R:$R,Settings!$B$17))*100,NA()),NA())</f>
        <v/>
      </c>
      <c r="W1027" s="20">
        <f>IF(AND(ISNUMBER(P1027),Settings!$B$17&gt;0),IF(ISNUMBER(INDEX($P:$P,Settings!$B$17)),P1027-INDEX($P:$P,Settings!$B$17),NA()),NA())</f>
        <v/>
      </c>
      <c r="X1027" s="19">
        <f>IF(NOT(ISNUMBER($A1027)),NA(),IF(OR($A1027&lt;MIN(DKW_10Y!$A$2:$A$2918),$A1027&gt;MAX(DKW_10Y!$A$2:$A$2918),Settings!$B$16&lt;MIN(DKW_10Y!$A$2:$A$2918)),NA(),(INDEX(DKW_10Y!$B$2:$B$2918,MATCH($A1027,DKW_10Y!$A$2:$A$2918,1))-INDEX(DKW_10Y!$B$2:$B$2918,MATCH(Settings!$B$16,DKW_10Y!$A$2:$A$2918,1)))*100))</f>
        <v/>
      </c>
      <c r="Y1027" s="19">
        <f>IF(NOT(ISNUMBER($A1027)),NA(),IF(OR($A1027&lt;MIN(DKW_10Y!$A$2:$A$2918),$A1027&gt;MAX(DKW_10Y!$A$2:$A$2918),Settings!$B$16&lt;MIN(DKW_10Y!$A$2:$A$2918)),NA(),(INDEX(DKW_10Y!$C$2:$C$2918,MATCH($A1027,DKW_10Y!$A$2:$A$2918,1))-INDEX(DKW_10Y!$C$2:$C$2918,MATCH(Settings!$B$16,DKW_10Y!$A$2:$A$2918,1)))*100))</f>
        <v/>
      </c>
      <c r="Z1027" s="19">
        <f>IF(NOT(ISNUMBER($A1027)),NA(),IF(OR($A1027&lt;MIN(DKW_10Y!$A$2:$A$2918),$A1027&gt;MAX(DKW_10Y!$A$2:$A$2918),Settings!$B$16&lt;MIN(DKW_10Y!$A$2:$A$2918)),NA(),(INDEX(DKW_10Y!$D$2:$D$2918,MATCH($A1027,DKW_10Y!$A$2:$A$2918,1))-INDEX(DKW_10Y!$D$2:$D$2918,MATCH(Settings!$B$16,DKW_10Y!$A$2:$A$2918,1)))*100))</f>
        <v/>
      </c>
      <c r="AA1027" s="19">
        <f>IF(NOT(ISNUMBER($A1027)),NA(),IF(OR($A1027&lt;MIN(DKW_10Y!$A$2:$A$2918),$A1027&gt;MAX(DKW_10Y!$A$2:$A$2918),Settings!$B$16&lt;MIN(DKW_10Y!$A$2:$A$2918)),NA(),(INDEX(DKW_10Y!$E$2:$E$2918,MATCH($A1027,DKW_10Y!$A$2:$A$2918,1))-INDEX(DKW_10Y!$E$2:$E$2918,MATCH(Settings!$B$16,DKW_10Y!$A$2:$A$2918,1)))*100))</f>
        <v/>
      </c>
      <c r="AB1027" s="19">
        <f>IF(NOT(ISNUMBER($A1027)),NA(),IF(OR($A1027&lt;MIN(DKW_10Y!$A$2:$A$2918),$A1027&gt;MAX(DKW_10Y!$A$2:$A$2918),Settings!$B$16&lt;MIN(DKW_10Y!$A$2:$A$2918)),NA(),(INDEX(DKW_10Y!$H$2:$H$2918,MATCH($A1027,DKW_10Y!$A$2:$A$2918,1))-INDEX(DKW_10Y!$H$2:$H$2918,MATCH(Settings!$B$16,DKW_10Y!$A$2:$A$2918,1)))*100))</f>
        <v/>
      </c>
      <c r="AC1027" s="18">
        <f>IF(NOT(ISNUMBER($A1027)),NA(),IFERROR(1*INDEX(BBG_Data!$N$2:$N$4000,MATCH($A1027,BBG_Data!$M$2:$M$4000,0)),NA()))</f>
        <v/>
      </c>
      <c r="AD1027" s="18">
        <f>IF(NOT(ISNUMBER($A1027)),NA(),IFERROR(1*INDEX(BBG_Data!$P$2:$P$4000,MATCH($A1027,BBG_Data!$O$2:$O$4000,0)),NA()))</f>
        <v/>
      </c>
      <c r="AE1027" s="18">
        <f>IF(NOT(ISNUMBER($A1027)),NA(),IFERROR(1*INDEX(BBG_Data!$R$2:$R$4000,MATCH($A1027,BBG_Data!$Q$2:$Q$4000,0)),NA()))</f>
        <v/>
      </c>
      <c r="AF1027" s="20">
        <f>IF(AND(ISNUMBER(B1027),ISNUMBER(AC1027)),(B1027-AC1027)*100,NA())</f>
        <v/>
      </c>
      <c r="AG1027" s="20">
        <f>IF(AND(ISNUMBER(AE1027),ISNUMBER(AD1027)),(AE1027-AD1027)*100,NA())</f>
        <v/>
      </c>
      <c r="AH1027" s="19">
        <f>IF(NOT(ISNUMBER($A1027)),NA(),IFERROR(INDEX(BBG_Data!$T$2:$T$4000,MATCH($A1027,BBG_Data!$S$2:$S$4000,0))*Settings!$B$25,NA()))</f>
        <v/>
      </c>
      <c r="AI1027" s="19">
        <f>IF(NOT(ISNUMBER($A1027)),NA(),IFERROR(INDEX(BBG_Data!$V$2:$V$4000,MATCH($A1027,BBG_Data!$U$2:$U$4000,0))*Settings!$B$25,NA()))</f>
        <v/>
      </c>
      <c r="AJ1027" s="19">
        <f>IF(NOT(ISNUMBER($A1027)),NA(),IFERROR(1*INDEX(BBG_Data!$X$2:$X$4000,MATCH($A1027,BBG_Data!$W$2:$W$4000,0)),NA()))</f>
        <v/>
      </c>
      <c r="AK1027" s="19">
        <f>IF(NOT(ISNUMBER($A1027)),NA(),IFERROR(1*INDEX(BBG_Data!$Z$2:$Z$4000,MATCH($A1027,BBG_Data!$Y$2:$Y$4000,0)),NA()))</f>
        <v/>
      </c>
    </row>
    <row r="1028">
      <c r="A1028" s="17">
        <f>IF(ISNUMBER(BBG_Data!A1028),BBG_Data!A1028,"")</f>
        <v/>
      </c>
      <c r="B1028" s="18">
        <f>IF(AND(ISNUMBER($A1028),ISNUMBER(BBG_Data!B1028)),BBG_Data!B1028,NA())</f>
        <v/>
      </c>
      <c r="C1028" s="18">
        <f>IF(NOT(ISNUMBER($A1028)),NA(),IFERROR(1*INDEX(BBG_Data!$D$2:$D$4000,MATCH($A1028,BBG_Data!$C$2:$C$4000,0)),NA()))</f>
        <v/>
      </c>
      <c r="D1028" s="19">
        <f>IF(NOT(ISNUMBER($A1028)),NA(),IFERROR(1*INDEX(BBG_Data!$F$2:$F$4000,MATCH($A1028,BBG_Data!$E$2:$E$4000,0)),NA()))</f>
        <v/>
      </c>
      <c r="E1028" s="19">
        <f>IF(NOT(ISNUMBER($A1028)),NA(),IFERROR(1*INDEX(BBG_Data!$H$2:$H$4000,MATCH($A1028,BBG_Data!$G$2:$G$4000,0)),NA()))</f>
        <v/>
      </c>
      <c r="F1028" s="20">
        <f>IF(AND(ISNUMBER(B1028),ISNUMBER(B1027)),IF(B1028=B1027,"",(B1028-B1027)*100),"")</f>
        <v/>
      </c>
      <c r="G1028" s="20">
        <f>IF(AND(ISNUMBER(C1028),ISNUMBER(C1027)),IF(C1028=C1027,"",(C1028-C1027)*100),"")</f>
        <v/>
      </c>
      <c r="H1028" s="20">
        <f>IF(OR(NOT(ISNUMBER($A1028)),ROW()-2&lt;Settings!$B$11),NA(),IF(COUNT(OFFSET(F1028,1-Settings!$B$11,0,Settings!$B$11,1))&lt;ROUNDUP(Settings!$B$11*Settings!$B$26,0),NA(),STDEV(OFFSET(F1028,1-Settings!$B$11,0,Settings!$B$11,1))*SQRT(Settings!$B$13)))</f>
        <v/>
      </c>
      <c r="I1028" s="20">
        <f>IF(OR(NOT(ISNUMBER($A1028)),ROW()-2&lt;Settings!$B$12),NA(),IF(COUNT(OFFSET(F1028,1-Settings!$B$12,0,Settings!$B$12,1))&lt;ROUNDUP(Settings!$B$12*Settings!$B$26,0),NA(),STDEV(OFFSET(F1028,1-Settings!$B$12,0,Settings!$B$12,1))*SQRT(Settings!$B$13)))</f>
        <v/>
      </c>
      <c r="J1028" s="20">
        <f>IF(OR(NOT(ISNUMBER($A1028)),ROW()-2&lt;Settings!$B$11),NA(),IF(COUNT(OFFSET(G1028,1-Settings!$B$11,0,Settings!$B$11,1))&lt;ROUNDUP(Settings!$B$11*Settings!$B$26,0),NA(),STDEV(OFFSET(G1028,1-Settings!$B$11,0,Settings!$B$11,1))*SQRT(Settings!$B$13)))</f>
        <v/>
      </c>
      <c r="K1028" s="20">
        <f>IF(OR(NOT(ISNUMBER($A1028)),ROW()-2&lt;Settings!$B$12),NA(),IF(COUNT(OFFSET(G1028,1-Settings!$B$12,0,Settings!$B$12,1))&lt;ROUNDUP(Settings!$B$12*Settings!$B$26,0),NA(),STDEV(OFFSET(G1028,1-Settings!$B$12,0,Settings!$B$12,1))*SQRT(Settings!$B$13)))</f>
        <v/>
      </c>
      <c r="L1028" s="20">
        <f>IF(AND(ISNUMBER(D1028),ISNUMBER(H1028)),D1028-H1028,NA())</f>
        <v/>
      </c>
      <c r="M1028" s="20">
        <f>IF(AND(ISNUMBER(E1028),ISNUMBER(K1028)),E1028-K1028,NA())</f>
        <v/>
      </c>
      <c r="N1028" s="20">
        <f>IF(NOT(ISNUMBER($A1028)),NA(),IF(COUNT(OFFSET(G1028,1,0,Settings!$B$12,1))&lt;ROUNDUP(Settings!$B$12*Settings!$B$26,0),NA(),STDEV(OFFSET(G1028,1,0,Settings!$B$12,1))*SQRT(Settings!$B$13)))</f>
        <v/>
      </c>
      <c r="O1028" s="20">
        <f>IF(AND(ISNUMBER(E1028),ISNUMBER(N1028)),E1028-N1028,NA())</f>
        <v/>
      </c>
      <c r="P1028" s="19">
        <f>IF(NOT(ISNUMBER($A1028)),NA(),IF(OR($A1028&lt;MIN(KW_TP!$A$2:$A$2501),$A1028&gt;MAX(KW_TP!$A$2:$A$2501)),NA(),INDEX(KW_TP!$C$2:$C$2501,MATCH($A1028,KW_TP!$A$2:$A$2501,1))))</f>
        <v/>
      </c>
      <c r="Q1028" s="18">
        <f>IF(NOT(ISNUMBER($A1028)),NA(),IFERROR(1*INDEX(BBG_Data!$J$2:$J$4000,MATCH($A1028,BBG_Data!$I$2:$I$4000,0)),NA()))</f>
        <v/>
      </c>
      <c r="R1028" s="18">
        <f>IF(NOT(ISNUMBER($A1028)),NA(),IFERROR(1*INDEX(BBG_Data!$L$2:$L$4000,MATCH($A1028,BBG_Data!$K$2:$K$4000,0)),NA()))</f>
        <v/>
      </c>
      <c r="S1028" s="20">
        <f>IF(AND(ISNUMBER(B1028),ISNUMBER(Q1028),ISNUMBER(R1028)),(B1028-Q1028-R1028)*100,NA())</f>
        <v/>
      </c>
      <c r="T1028" s="20">
        <f>IF(AND(ISNUMBER(B1028),Settings!$B$17&gt;0),IF(ISNUMBER(INDEX($B:$B,Settings!$B$17)),(B1028-INDEX($B:$B,Settings!$B$17))*100,NA()),NA())</f>
        <v/>
      </c>
      <c r="U1028" s="20">
        <f>IF(AND(ISNUMBER(Q1028),Settings!$B$17&gt;0),IF(ISNUMBER(INDEX($Q:$Q,Settings!$B$17)),(Q1028-INDEX($Q:$Q,Settings!$B$17))*100,NA()),NA())</f>
        <v/>
      </c>
      <c r="V1028" s="20">
        <f>IF(AND(ISNUMBER(R1028),Settings!$B$17&gt;0),IF(ISNUMBER(INDEX($R:$R,Settings!$B$17)),(R1028-INDEX($R:$R,Settings!$B$17))*100,NA()),NA())</f>
        <v/>
      </c>
      <c r="W1028" s="20">
        <f>IF(AND(ISNUMBER(P1028),Settings!$B$17&gt;0),IF(ISNUMBER(INDEX($P:$P,Settings!$B$17)),P1028-INDEX($P:$P,Settings!$B$17),NA()),NA())</f>
        <v/>
      </c>
      <c r="X1028" s="19">
        <f>IF(NOT(ISNUMBER($A1028)),NA(),IF(OR($A1028&lt;MIN(DKW_10Y!$A$2:$A$2918),$A1028&gt;MAX(DKW_10Y!$A$2:$A$2918),Settings!$B$16&lt;MIN(DKW_10Y!$A$2:$A$2918)),NA(),(INDEX(DKW_10Y!$B$2:$B$2918,MATCH($A1028,DKW_10Y!$A$2:$A$2918,1))-INDEX(DKW_10Y!$B$2:$B$2918,MATCH(Settings!$B$16,DKW_10Y!$A$2:$A$2918,1)))*100))</f>
        <v/>
      </c>
      <c r="Y1028" s="19">
        <f>IF(NOT(ISNUMBER($A1028)),NA(),IF(OR($A1028&lt;MIN(DKW_10Y!$A$2:$A$2918),$A1028&gt;MAX(DKW_10Y!$A$2:$A$2918),Settings!$B$16&lt;MIN(DKW_10Y!$A$2:$A$2918)),NA(),(INDEX(DKW_10Y!$C$2:$C$2918,MATCH($A1028,DKW_10Y!$A$2:$A$2918,1))-INDEX(DKW_10Y!$C$2:$C$2918,MATCH(Settings!$B$16,DKW_10Y!$A$2:$A$2918,1)))*100))</f>
        <v/>
      </c>
      <c r="Z1028" s="19">
        <f>IF(NOT(ISNUMBER($A1028)),NA(),IF(OR($A1028&lt;MIN(DKW_10Y!$A$2:$A$2918),$A1028&gt;MAX(DKW_10Y!$A$2:$A$2918),Settings!$B$16&lt;MIN(DKW_10Y!$A$2:$A$2918)),NA(),(INDEX(DKW_10Y!$D$2:$D$2918,MATCH($A1028,DKW_10Y!$A$2:$A$2918,1))-INDEX(DKW_10Y!$D$2:$D$2918,MATCH(Settings!$B$16,DKW_10Y!$A$2:$A$2918,1)))*100))</f>
        <v/>
      </c>
      <c r="AA1028" s="19">
        <f>IF(NOT(ISNUMBER($A1028)),NA(),IF(OR($A1028&lt;MIN(DKW_10Y!$A$2:$A$2918),$A1028&gt;MAX(DKW_10Y!$A$2:$A$2918),Settings!$B$16&lt;MIN(DKW_10Y!$A$2:$A$2918)),NA(),(INDEX(DKW_10Y!$E$2:$E$2918,MATCH($A1028,DKW_10Y!$A$2:$A$2918,1))-INDEX(DKW_10Y!$E$2:$E$2918,MATCH(Settings!$B$16,DKW_10Y!$A$2:$A$2918,1)))*100))</f>
        <v/>
      </c>
      <c r="AB1028" s="19">
        <f>IF(NOT(ISNUMBER($A1028)),NA(),IF(OR($A1028&lt;MIN(DKW_10Y!$A$2:$A$2918),$A1028&gt;MAX(DKW_10Y!$A$2:$A$2918),Settings!$B$16&lt;MIN(DKW_10Y!$A$2:$A$2918)),NA(),(INDEX(DKW_10Y!$H$2:$H$2918,MATCH($A1028,DKW_10Y!$A$2:$A$2918,1))-INDEX(DKW_10Y!$H$2:$H$2918,MATCH(Settings!$B$16,DKW_10Y!$A$2:$A$2918,1)))*100))</f>
        <v/>
      </c>
      <c r="AC1028" s="18">
        <f>IF(NOT(ISNUMBER($A1028)),NA(),IFERROR(1*INDEX(BBG_Data!$N$2:$N$4000,MATCH($A1028,BBG_Data!$M$2:$M$4000,0)),NA()))</f>
        <v/>
      </c>
      <c r="AD1028" s="18">
        <f>IF(NOT(ISNUMBER($A1028)),NA(),IFERROR(1*INDEX(BBG_Data!$P$2:$P$4000,MATCH($A1028,BBG_Data!$O$2:$O$4000,0)),NA()))</f>
        <v/>
      </c>
      <c r="AE1028" s="18">
        <f>IF(NOT(ISNUMBER($A1028)),NA(),IFERROR(1*INDEX(BBG_Data!$R$2:$R$4000,MATCH($A1028,BBG_Data!$Q$2:$Q$4000,0)),NA()))</f>
        <v/>
      </c>
      <c r="AF1028" s="20">
        <f>IF(AND(ISNUMBER(B1028),ISNUMBER(AC1028)),(B1028-AC1028)*100,NA())</f>
        <v/>
      </c>
      <c r="AG1028" s="20">
        <f>IF(AND(ISNUMBER(AE1028),ISNUMBER(AD1028)),(AE1028-AD1028)*100,NA())</f>
        <v/>
      </c>
      <c r="AH1028" s="19">
        <f>IF(NOT(ISNUMBER($A1028)),NA(),IFERROR(INDEX(BBG_Data!$T$2:$T$4000,MATCH($A1028,BBG_Data!$S$2:$S$4000,0))*Settings!$B$25,NA()))</f>
        <v/>
      </c>
      <c r="AI1028" s="19">
        <f>IF(NOT(ISNUMBER($A1028)),NA(),IFERROR(INDEX(BBG_Data!$V$2:$V$4000,MATCH($A1028,BBG_Data!$U$2:$U$4000,0))*Settings!$B$25,NA()))</f>
        <v/>
      </c>
      <c r="AJ1028" s="19">
        <f>IF(NOT(ISNUMBER($A1028)),NA(),IFERROR(1*INDEX(BBG_Data!$X$2:$X$4000,MATCH($A1028,BBG_Data!$W$2:$W$4000,0)),NA()))</f>
        <v/>
      </c>
      <c r="AK1028" s="19">
        <f>IF(NOT(ISNUMBER($A1028)),NA(),IFERROR(1*INDEX(BBG_Data!$Z$2:$Z$4000,MATCH($A1028,BBG_Data!$Y$2:$Y$4000,0)),NA()))</f>
        <v/>
      </c>
    </row>
    <row r="1029">
      <c r="A1029" s="17">
        <f>IF(ISNUMBER(BBG_Data!A1029),BBG_Data!A1029,"")</f>
        <v/>
      </c>
      <c r="B1029" s="18">
        <f>IF(AND(ISNUMBER($A1029),ISNUMBER(BBG_Data!B1029)),BBG_Data!B1029,NA())</f>
        <v/>
      </c>
      <c r="C1029" s="18">
        <f>IF(NOT(ISNUMBER($A1029)),NA(),IFERROR(1*INDEX(BBG_Data!$D$2:$D$4000,MATCH($A1029,BBG_Data!$C$2:$C$4000,0)),NA()))</f>
        <v/>
      </c>
      <c r="D1029" s="19">
        <f>IF(NOT(ISNUMBER($A1029)),NA(),IFERROR(1*INDEX(BBG_Data!$F$2:$F$4000,MATCH($A1029,BBG_Data!$E$2:$E$4000,0)),NA()))</f>
        <v/>
      </c>
      <c r="E1029" s="19">
        <f>IF(NOT(ISNUMBER($A1029)),NA(),IFERROR(1*INDEX(BBG_Data!$H$2:$H$4000,MATCH($A1029,BBG_Data!$G$2:$G$4000,0)),NA()))</f>
        <v/>
      </c>
      <c r="F1029" s="20">
        <f>IF(AND(ISNUMBER(B1029),ISNUMBER(B1028)),IF(B1029=B1028,"",(B1029-B1028)*100),"")</f>
        <v/>
      </c>
      <c r="G1029" s="20">
        <f>IF(AND(ISNUMBER(C1029),ISNUMBER(C1028)),IF(C1029=C1028,"",(C1029-C1028)*100),"")</f>
        <v/>
      </c>
      <c r="H1029" s="20">
        <f>IF(OR(NOT(ISNUMBER($A1029)),ROW()-2&lt;Settings!$B$11),NA(),IF(COUNT(OFFSET(F1029,1-Settings!$B$11,0,Settings!$B$11,1))&lt;ROUNDUP(Settings!$B$11*Settings!$B$26,0),NA(),STDEV(OFFSET(F1029,1-Settings!$B$11,0,Settings!$B$11,1))*SQRT(Settings!$B$13)))</f>
        <v/>
      </c>
      <c r="I1029" s="20">
        <f>IF(OR(NOT(ISNUMBER($A1029)),ROW()-2&lt;Settings!$B$12),NA(),IF(COUNT(OFFSET(F1029,1-Settings!$B$12,0,Settings!$B$12,1))&lt;ROUNDUP(Settings!$B$12*Settings!$B$26,0),NA(),STDEV(OFFSET(F1029,1-Settings!$B$12,0,Settings!$B$12,1))*SQRT(Settings!$B$13)))</f>
        <v/>
      </c>
      <c r="J1029" s="20">
        <f>IF(OR(NOT(ISNUMBER($A1029)),ROW()-2&lt;Settings!$B$11),NA(),IF(COUNT(OFFSET(G1029,1-Settings!$B$11,0,Settings!$B$11,1))&lt;ROUNDUP(Settings!$B$11*Settings!$B$26,0),NA(),STDEV(OFFSET(G1029,1-Settings!$B$11,0,Settings!$B$11,1))*SQRT(Settings!$B$13)))</f>
        <v/>
      </c>
      <c r="K1029" s="20">
        <f>IF(OR(NOT(ISNUMBER($A1029)),ROW()-2&lt;Settings!$B$12),NA(),IF(COUNT(OFFSET(G1029,1-Settings!$B$12,0,Settings!$B$12,1))&lt;ROUNDUP(Settings!$B$12*Settings!$B$26,0),NA(),STDEV(OFFSET(G1029,1-Settings!$B$12,0,Settings!$B$12,1))*SQRT(Settings!$B$13)))</f>
        <v/>
      </c>
      <c r="L1029" s="20">
        <f>IF(AND(ISNUMBER(D1029),ISNUMBER(H1029)),D1029-H1029,NA())</f>
        <v/>
      </c>
      <c r="M1029" s="20">
        <f>IF(AND(ISNUMBER(E1029),ISNUMBER(K1029)),E1029-K1029,NA())</f>
        <v/>
      </c>
      <c r="N1029" s="20">
        <f>IF(NOT(ISNUMBER($A1029)),NA(),IF(COUNT(OFFSET(G1029,1,0,Settings!$B$12,1))&lt;ROUNDUP(Settings!$B$12*Settings!$B$26,0),NA(),STDEV(OFFSET(G1029,1,0,Settings!$B$12,1))*SQRT(Settings!$B$13)))</f>
        <v/>
      </c>
      <c r="O1029" s="20">
        <f>IF(AND(ISNUMBER(E1029),ISNUMBER(N1029)),E1029-N1029,NA())</f>
        <v/>
      </c>
      <c r="P1029" s="19">
        <f>IF(NOT(ISNUMBER($A1029)),NA(),IF(OR($A1029&lt;MIN(KW_TP!$A$2:$A$2501),$A1029&gt;MAX(KW_TP!$A$2:$A$2501)),NA(),INDEX(KW_TP!$C$2:$C$2501,MATCH($A1029,KW_TP!$A$2:$A$2501,1))))</f>
        <v/>
      </c>
      <c r="Q1029" s="18">
        <f>IF(NOT(ISNUMBER($A1029)),NA(),IFERROR(1*INDEX(BBG_Data!$J$2:$J$4000,MATCH($A1029,BBG_Data!$I$2:$I$4000,0)),NA()))</f>
        <v/>
      </c>
      <c r="R1029" s="18">
        <f>IF(NOT(ISNUMBER($A1029)),NA(),IFERROR(1*INDEX(BBG_Data!$L$2:$L$4000,MATCH($A1029,BBG_Data!$K$2:$K$4000,0)),NA()))</f>
        <v/>
      </c>
      <c r="S1029" s="20">
        <f>IF(AND(ISNUMBER(B1029),ISNUMBER(Q1029),ISNUMBER(R1029)),(B1029-Q1029-R1029)*100,NA())</f>
        <v/>
      </c>
      <c r="T1029" s="20">
        <f>IF(AND(ISNUMBER(B1029),Settings!$B$17&gt;0),IF(ISNUMBER(INDEX($B:$B,Settings!$B$17)),(B1029-INDEX($B:$B,Settings!$B$17))*100,NA()),NA())</f>
        <v/>
      </c>
      <c r="U1029" s="20">
        <f>IF(AND(ISNUMBER(Q1029),Settings!$B$17&gt;0),IF(ISNUMBER(INDEX($Q:$Q,Settings!$B$17)),(Q1029-INDEX($Q:$Q,Settings!$B$17))*100,NA()),NA())</f>
        <v/>
      </c>
      <c r="V1029" s="20">
        <f>IF(AND(ISNUMBER(R1029),Settings!$B$17&gt;0),IF(ISNUMBER(INDEX($R:$R,Settings!$B$17)),(R1029-INDEX($R:$R,Settings!$B$17))*100,NA()),NA())</f>
        <v/>
      </c>
      <c r="W1029" s="20">
        <f>IF(AND(ISNUMBER(P1029),Settings!$B$17&gt;0),IF(ISNUMBER(INDEX($P:$P,Settings!$B$17)),P1029-INDEX($P:$P,Settings!$B$17),NA()),NA())</f>
        <v/>
      </c>
      <c r="X1029" s="19">
        <f>IF(NOT(ISNUMBER($A1029)),NA(),IF(OR($A1029&lt;MIN(DKW_10Y!$A$2:$A$2918),$A1029&gt;MAX(DKW_10Y!$A$2:$A$2918),Settings!$B$16&lt;MIN(DKW_10Y!$A$2:$A$2918)),NA(),(INDEX(DKW_10Y!$B$2:$B$2918,MATCH($A1029,DKW_10Y!$A$2:$A$2918,1))-INDEX(DKW_10Y!$B$2:$B$2918,MATCH(Settings!$B$16,DKW_10Y!$A$2:$A$2918,1)))*100))</f>
        <v/>
      </c>
      <c r="Y1029" s="19">
        <f>IF(NOT(ISNUMBER($A1029)),NA(),IF(OR($A1029&lt;MIN(DKW_10Y!$A$2:$A$2918),$A1029&gt;MAX(DKW_10Y!$A$2:$A$2918),Settings!$B$16&lt;MIN(DKW_10Y!$A$2:$A$2918)),NA(),(INDEX(DKW_10Y!$C$2:$C$2918,MATCH($A1029,DKW_10Y!$A$2:$A$2918,1))-INDEX(DKW_10Y!$C$2:$C$2918,MATCH(Settings!$B$16,DKW_10Y!$A$2:$A$2918,1)))*100))</f>
        <v/>
      </c>
      <c r="Z1029" s="19">
        <f>IF(NOT(ISNUMBER($A1029)),NA(),IF(OR($A1029&lt;MIN(DKW_10Y!$A$2:$A$2918),$A1029&gt;MAX(DKW_10Y!$A$2:$A$2918),Settings!$B$16&lt;MIN(DKW_10Y!$A$2:$A$2918)),NA(),(INDEX(DKW_10Y!$D$2:$D$2918,MATCH($A1029,DKW_10Y!$A$2:$A$2918,1))-INDEX(DKW_10Y!$D$2:$D$2918,MATCH(Settings!$B$16,DKW_10Y!$A$2:$A$2918,1)))*100))</f>
        <v/>
      </c>
      <c r="AA1029" s="19">
        <f>IF(NOT(ISNUMBER($A1029)),NA(),IF(OR($A1029&lt;MIN(DKW_10Y!$A$2:$A$2918),$A1029&gt;MAX(DKW_10Y!$A$2:$A$2918),Settings!$B$16&lt;MIN(DKW_10Y!$A$2:$A$2918)),NA(),(INDEX(DKW_10Y!$E$2:$E$2918,MATCH($A1029,DKW_10Y!$A$2:$A$2918,1))-INDEX(DKW_10Y!$E$2:$E$2918,MATCH(Settings!$B$16,DKW_10Y!$A$2:$A$2918,1)))*100))</f>
        <v/>
      </c>
      <c r="AB1029" s="19">
        <f>IF(NOT(ISNUMBER($A1029)),NA(),IF(OR($A1029&lt;MIN(DKW_10Y!$A$2:$A$2918),$A1029&gt;MAX(DKW_10Y!$A$2:$A$2918),Settings!$B$16&lt;MIN(DKW_10Y!$A$2:$A$2918)),NA(),(INDEX(DKW_10Y!$H$2:$H$2918,MATCH($A1029,DKW_10Y!$A$2:$A$2918,1))-INDEX(DKW_10Y!$H$2:$H$2918,MATCH(Settings!$B$16,DKW_10Y!$A$2:$A$2918,1)))*100))</f>
        <v/>
      </c>
      <c r="AC1029" s="18">
        <f>IF(NOT(ISNUMBER($A1029)),NA(),IFERROR(1*INDEX(BBG_Data!$N$2:$N$4000,MATCH($A1029,BBG_Data!$M$2:$M$4000,0)),NA()))</f>
        <v/>
      </c>
      <c r="AD1029" s="18">
        <f>IF(NOT(ISNUMBER($A1029)),NA(),IFERROR(1*INDEX(BBG_Data!$P$2:$P$4000,MATCH($A1029,BBG_Data!$O$2:$O$4000,0)),NA()))</f>
        <v/>
      </c>
      <c r="AE1029" s="18">
        <f>IF(NOT(ISNUMBER($A1029)),NA(),IFERROR(1*INDEX(BBG_Data!$R$2:$R$4000,MATCH($A1029,BBG_Data!$Q$2:$Q$4000,0)),NA()))</f>
        <v/>
      </c>
      <c r="AF1029" s="20">
        <f>IF(AND(ISNUMBER(B1029),ISNUMBER(AC1029)),(B1029-AC1029)*100,NA())</f>
        <v/>
      </c>
      <c r="AG1029" s="20">
        <f>IF(AND(ISNUMBER(AE1029),ISNUMBER(AD1029)),(AE1029-AD1029)*100,NA())</f>
        <v/>
      </c>
      <c r="AH1029" s="19">
        <f>IF(NOT(ISNUMBER($A1029)),NA(),IFERROR(INDEX(BBG_Data!$T$2:$T$4000,MATCH($A1029,BBG_Data!$S$2:$S$4000,0))*Settings!$B$25,NA()))</f>
        <v/>
      </c>
      <c r="AI1029" s="19">
        <f>IF(NOT(ISNUMBER($A1029)),NA(),IFERROR(INDEX(BBG_Data!$V$2:$V$4000,MATCH($A1029,BBG_Data!$U$2:$U$4000,0))*Settings!$B$25,NA()))</f>
        <v/>
      </c>
      <c r="AJ1029" s="19">
        <f>IF(NOT(ISNUMBER($A1029)),NA(),IFERROR(1*INDEX(BBG_Data!$X$2:$X$4000,MATCH($A1029,BBG_Data!$W$2:$W$4000,0)),NA()))</f>
        <v/>
      </c>
      <c r="AK1029" s="19">
        <f>IF(NOT(ISNUMBER($A1029)),NA(),IFERROR(1*INDEX(BBG_Data!$Z$2:$Z$4000,MATCH($A1029,BBG_Data!$Y$2:$Y$4000,0)),NA()))</f>
        <v/>
      </c>
    </row>
    <row r="1030">
      <c r="A1030" s="17">
        <f>IF(ISNUMBER(BBG_Data!A1030),BBG_Data!A1030,"")</f>
        <v/>
      </c>
      <c r="B1030" s="18">
        <f>IF(AND(ISNUMBER($A1030),ISNUMBER(BBG_Data!B1030)),BBG_Data!B1030,NA())</f>
        <v/>
      </c>
      <c r="C1030" s="18">
        <f>IF(NOT(ISNUMBER($A1030)),NA(),IFERROR(1*INDEX(BBG_Data!$D$2:$D$4000,MATCH($A1030,BBG_Data!$C$2:$C$4000,0)),NA()))</f>
        <v/>
      </c>
      <c r="D1030" s="19">
        <f>IF(NOT(ISNUMBER($A1030)),NA(),IFERROR(1*INDEX(BBG_Data!$F$2:$F$4000,MATCH($A1030,BBG_Data!$E$2:$E$4000,0)),NA()))</f>
        <v/>
      </c>
      <c r="E1030" s="19">
        <f>IF(NOT(ISNUMBER($A1030)),NA(),IFERROR(1*INDEX(BBG_Data!$H$2:$H$4000,MATCH($A1030,BBG_Data!$G$2:$G$4000,0)),NA()))</f>
        <v/>
      </c>
      <c r="F1030" s="20">
        <f>IF(AND(ISNUMBER(B1030),ISNUMBER(B1029)),IF(B1030=B1029,"",(B1030-B1029)*100),"")</f>
        <v/>
      </c>
      <c r="G1030" s="20">
        <f>IF(AND(ISNUMBER(C1030),ISNUMBER(C1029)),IF(C1030=C1029,"",(C1030-C1029)*100),"")</f>
        <v/>
      </c>
      <c r="H1030" s="20">
        <f>IF(OR(NOT(ISNUMBER($A1030)),ROW()-2&lt;Settings!$B$11),NA(),IF(COUNT(OFFSET(F1030,1-Settings!$B$11,0,Settings!$B$11,1))&lt;ROUNDUP(Settings!$B$11*Settings!$B$26,0),NA(),STDEV(OFFSET(F1030,1-Settings!$B$11,0,Settings!$B$11,1))*SQRT(Settings!$B$13)))</f>
        <v/>
      </c>
      <c r="I1030" s="20">
        <f>IF(OR(NOT(ISNUMBER($A1030)),ROW()-2&lt;Settings!$B$12),NA(),IF(COUNT(OFFSET(F1030,1-Settings!$B$12,0,Settings!$B$12,1))&lt;ROUNDUP(Settings!$B$12*Settings!$B$26,0),NA(),STDEV(OFFSET(F1030,1-Settings!$B$12,0,Settings!$B$12,1))*SQRT(Settings!$B$13)))</f>
        <v/>
      </c>
      <c r="J1030" s="20">
        <f>IF(OR(NOT(ISNUMBER($A1030)),ROW()-2&lt;Settings!$B$11),NA(),IF(COUNT(OFFSET(G1030,1-Settings!$B$11,0,Settings!$B$11,1))&lt;ROUNDUP(Settings!$B$11*Settings!$B$26,0),NA(),STDEV(OFFSET(G1030,1-Settings!$B$11,0,Settings!$B$11,1))*SQRT(Settings!$B$13)))</f>
        <v/>
      </c>
      <c r="K1030" s="20">
        <f>IF(OR(NOT(ISNUMBER($A1030)),ROW()-2&lt;Settings!$B$12),NA(),IF(COUNT(OFFSET(G1030,1-Settings!$B$12,0,Settings!$B$12,1))&lt;ROUNDUP(Settings!$B$12*Settings!$B$26,0),NA(),STDEV(OFFSET(G1030,1-Settings!$B$12,0,Settings!$B$12,1))*SQRT(Settings!$B$13)))</f>
        <v/>
      </c>
      <c r="L1030" s="20">
        <f>IF(AND(ISNUMBER(D1030),ISNUMBER(H1030)),D1030-H1030,NA())</f>
        <v/>
      </c>
      <c r="M1030" s="20">
        <f>IF(AND(ISNUMBER(E1030),ISNUMBER(K1030)),E1030-K1030,NA())</f>
        <v/>
      </c>
      <c r="N1030" s="20">
        <f>IF(NOT(ISNUMBER($A1030)),NA(),IF(COUNT(OFFSET(G1030,1,0,Settings!$B$12,1))&lt;ROUNDUP(Settings!$B$12*Settings!$B$26,0),NA(),STDEV(OFFSET(G1030,1,0,Settings!$B$12,1))*SQRT(Settings!$B$13)))</f>
        <v/>
      </c>
      <c r="O1030" s="20">
        <f>IF(AND(ISNUMBER(E1030),ISNUMBER(N1030)),E1030-N1030,NA())</f>
        <v/>
      </c>
      <c r="P1030" s="19">
        <f>IF(NOT(ISNUMBER($A1030)),NA(),IF(OR($A1030&lt;MIN(KW_TP!$A$2:$A$2501),$A1030&gt;MAX(KW_TP!$A$2:$A$2501)),NA(),INDEX(KW_TP!$C$2:$C$2501,MATCH($A1030,KW_TP!$A$2:$A$2501,1))))</f>
        <v/>
      </c>
      <c r="Q1030" s="18">
        <f>IF(NOT(ISNUMBER($A1030)),NA(),IFERROR(1*INDEX(BBG_Data!$J$2:$J$4000,MATCH($A1030,BBG_Data!$I$2:$I$4000,0)),NA()))</f>
        <v/>
      </c>
      <c r="R1030" s="18">
        <f>IF(NOT(ISNUMBER($A1030)),NA(),IFERROR(1*INDEX(BBG_Data!$L$2:$L$4000,MATCH($A1030,BBG_Data!$K$2:$K$4000,0)),NA()))</f>
        <v/>
      </c>
      <c r="S1030" s="20">
        <f>IF(AND(ISNUMBER(B1030),ISNUMBER(Q1030),ISNUMBER(R1030)),(B1030-Q1030-R1030)*100,NA())</f>
        <v/>
      </c>
      <c r="T1030" s="20">
        <f>IF(AND(ISNUMBER(B1030),Settings!$B$17&gt;0),IF(ISNUMBER(INDEX($B:$B,Settings!$B$17)),(B1030-INDEX($B:$B,Settings!$B$17))*100,NA()),NA())</f>
        <v/>
      </c>
      <c r="U1030" s="20">
        <f>IF(AND(ISNUMBER(Q1030),Settings!$B$17&gt;0),IF(ISNUMBER(INDEX($Q:$Q,Settings!$B$17)),(Q1030-INDEX($Q:$Q,Settings!$B$17))*100,NA()),NA())</f>
        <v/>
      </c>
      <c r="V1030" s="20">
        <f>IF(AND(ISNUMBER(R1030),Settings!$B$17&gt;0),IF(ISNUMBER(INDEX($R:$R,Settings!$B$17)),(R1030-INDEX($R:$R,Settings!$B$17))*100,NA()),NA())</f>
        <v/>
      </c>
      <c r="W1030" s="20">
        <f>IF(AND(ISNUMBER(P1030),Settings!$B$17&gt;0),IF(ISNUMBER(INDEX($P:$P,Settings!$B$17)),P1030-INDEX($P:$P,Settings!$B$17),NA()),NA())</f>
        <v/>
      </c>
      <c r="X1030" s="19">
        <f>IF(NOT(ISNUMBER($A1030)),NA(),IF(OR($A1030&lt;MIN(DKW_10Y!$A$2:$A$2918),$A1030&gt;MAX(DKW_10Y!$A$2:$A$2918),Settings!$B$16&lt;MIN(DKW_10Y!$A$2:$A$2918)),NA(),(INDEX(DKW_10Y!$B$2:$B$2918,MATCH($A1030,DKW_10Y!$A$2:$A$2918,1))-INDEX(DKW_10Y!$B$2:$B$2918,MATCH(Settings!$B$16,DKW_10Y!$A$2:$A$2918,1)))*100))</f>
        <v/>
      </c>
      <c r="Y1030" s="19">
        <f>IF(NOT(ISNUMBER($A1030)),NA(),IF(OR($A1030&lt;MIN(DKW_10Y!$A$2:$A$2918),$A1030&gt;MAX(DKW_10Y!$A$2:$A$2918),Settings!$B$16&lt;MIN(DKW_10Y!$A$2:$A$2918)),NA(),(INDEX(DKW_10Y!$C$2:$C$2918,MATCH($A1030,DKW_10Y!$A$2:$A$2918,1))-INDEX(DKW_10Y!$C$2:$C$2918,MATCH(Settings!$B$16,DKW_10Y!$A$2:$A$2918,1)))*100))</f>
        <v/>
      </c>
      <c r="Z1030" s="19">
        <f>IF(NOT(ISNUMBER($A1030)),NA(),IF(OR($A1030&lt;MIN(DKW_10Y!$A$2:$A$2918),$A1030&gt;MAX(DKW_10Y!$A$2:$A$2918),Settings!$B$16&lt;MIN(DKW_10Y!$A$2:$A$2918)),NA(),(INDEX(DKW_10Y!$D$2:$D$2918,MATCH($A1030,DKW_10Y!$A$2:$A$2918,1))-INDEX(DKW_10Y!$D$2:$D$2918,MATCH(Settings!$B$16,DKW_10Y!$A$2:$A$2918,1)))*100))</f>
        <v/>
      </c>
      <c r="AA1030" s="19">
        <f>IF(NOT(ISNUMBER($A1030)),NA(),IF(OR($A1030&lt;MIN(DKW_10Y!$A$2:$A$2918),$A1030&gt;MAX(DKW_10Y!$A$2:$A$2918),Settings!$B$16&lt;MIN(DKW_10Y!$A$2:$A$2918)),NA(),(INDEX(DKW_10Y!$E$2:$E$2918,MATCH($A1030,DKW_10Y!$A$2:$A$2918,1))-INDEX(DKW_10Y!$E$2:$E$2918,MATCH(Settings!$B$16,DKW_10Y!$A$2:$A$2918,1)))*100))</f>
        <v/>
      </c>
      <c r="AB1030" s="19">
        <f>IF(NOT(ISNUMBER($A1030)),NA(),IF(OR($A1030&lt;MIN(DKW_10Y!$A$2:$A$2918),$A1030&gt;MAX(DKW_10Y!$A$2:$A$2918),Settings!$B$16&lt;MIN(DKW_10Y!$A$2:$A$2918)),NA(),(INDEX(DKW_10Y!$H$2:$H$2918,MATCH($A1030,DKW_10Y!$A$2:$A$2918,1))-INDEX(DKW_10Y!$H$2:$H$2918,MATCH(Settings!$B$16,DKW_10Y!$A$2:$A$2918,1)))*100))</f>
        <v/>
      </c>
      <c r="AC1030" s="18">
        <f>IF(NOT(ISNUMBER($A1030)),NA(),IFERROR(1*INDEX(BBG_Data!$N$2:$N$4000,MATCH($A1030,BBG_Data!$M$2:$M$4000,0)),NA()))</f>
        <v/>
      </c>
      <c r="AD1030" s="18">
        <f>IF(NOT(ISNUMBER($A1030)),NA(),IFERROR(1*INDEX(BBG_Data!$P$2:$P$4000,MATCH($A1030,BBG_Data!$O$2:$O$4000,0)),NA()))</f>
        <v/>
      </c>
      <c r="AE1030" s="18">
        <f>IF(NOT(ISNUMBER($A1030)),NA(),IFERROR(1*INDEX(BBG_Data!$R$2:$R$4000,MATCH($A1030,BBG_Data!$Q$2:$Q$4000,0)),NA()))</f>
        <v/>
      </c>
      <c r="AF1030" s="20">
        <f>IF(AND(ISNUMBER(B1030),ISNUMBER(AC1030)),(B1030-AC1030)*100,NA())</f>
        <v/>
      </c>
      <c r="AG1030" s="20">
        <f>IF(AND(ISNUMBER(AE1030),ISNUMBER(AD1030)),(AE1030-AD1030)*100,NA())</f>
        <v/>
      </c>
      <c r="AH1030" s="19">
        <f>IF(NOT(ISNUMBER($A1030)),NA(),IFERROR(INDEX(BBG_Data!$T$2:$T$4000,MATCH($A1030,BBG_Data!$S$2:$S$4000,0))*Settings!$B$25,NA()))</f>
        <v/>
      </c>
      <c r="AI1030" s="19">
        <f>IF(NOT(ISNUMBER($A1030)),NA(),IFERROR(INDEX(BBG_Data!$V$2:$V$4000,MATCH($A1030,BBG_Data!$U$2:$U$4000,0))*Settings!$B$25,NA()))</f>
        <v/>
      </c>
      <c r="AJ1030" s="19">
        <f>IF(NOT(ISNUMBER($A1030)),NA(),IFERROR(1*INDEX(BBG_Data!$X$2:$X$4000,MATCH($A1030,BBG_Data!$W$2:$W$4000,0)),NA()))</f>
        <v/>
      </c>
      <c r="AK1030" s="19">
        <f>IF(NOT(ISNUMBER($A1030)),NA(),IFERROR(1*INDEX(BBG_Data!$Z$2:$Z$4000,MATCH($A1030,BBG_Data!$Y$2:$Y$4000,0)),NA()))</f>
        <v/>
      </c>
    </row>
    <row r="1031">
      <c r="A1031" s="17">
        <f>IF(ISNUMBER(BBG_Data!A1031),BBG_Data!A1031,"")</f>
        <v/>
      </c>
      <c r="B1031" s="18">
        <f>IF(AND(ISNUMBER($A1031),ISNUMBER(BBG_Data!B1031)),BBG_Data!B1031,NA())</f>
        <v/>
      </c>
      <c r="C1031" s="18">
        <f>IF(NOT(ISNUMBER($A1031)),NA(),IFERROR(1*INDEX(BBG_Data!$D$2:$D$4000,MATCH($A1031,BBG_Data!$C$2:$C$4000,0)),NA()))</f>
        <v/>
      </c>
      <c r="D1031" s="19">
        <f>IF(NOT(ISNUMBER($A1031)),NA(),IFERROR(1*INDEX(BBG_Data!$F$2:$F$4000,MATCH($A1031,BBG_Data!$E$2:$E$4000,0)),NA()))</f>
        <v/>
      </c>
      <c r="E1031" s="19">
        <f>IF(NOT(ISNUMBER($A1031)),NA(),IFERROR(1*INDEX(BBG_Data!$H$2:$H$4000,MATCH($A1031,BBG_Data!$G$2:$G$4000,0)),NA()))</f>
        <v/>
      </c>
      <c r="F1031" s="20">
        <f>IF(AND(ISNUMBER(B1031),ISNUMBER(B1030)),IF(B1031=B1030,"",(B1031-B1030)*100),"")</f>
        <v/>
      </c>
      <c r="G1031" s="20">
        <f>IF(AND(ISNUMBER(C1031),ISNUMBER(C1030)),IF(C1031=C1030,"",(C1031-C1030)*100),"")</f>
        <v/>
      </c>
      <c r="H1031" s="20">
        <f>IF(OR(NOT(ISNUMBER($A1031)),ROW()-2&lt;Settings!$B$11),NA(),IF(COUNT(OFFSET(F1031,1-Settings!$B$11,0,Settings!$B$11,1))&lt;ROUNDUP(Settings!$B$11*Settings!$B$26,0),NA(),STDEV(OFFSET(F1031,1-Settings!$B$11,0,Settings!$B$11,1))*SQRT(Settings!$B$13)))</f>
        <v/>
      </c>
      <c r="I1031" s="20">
        <f>IF(OR(NOT(ISNUMBER($A1031)),ROW()-2&lt;Settings!$B$12),NA(),IF(COUNT(OFFSET(F1031,1-Settings!$B$12,0,Settings!$B$12,1))&lt;ROUNDUP(Settings!$B$12*Settings!$B$26,0),NA(),STDEV(OFFSET(F1031,1-Settings!$B$12,0,Settings!$B$12,1))*SQRT(Settings!$B$13)))</f>
        <v/>
      </c>
      <c r="J1031" s="20">
        <f>IF(OR(NOT(ISNUMBER($A1031)),ROW()-2&lt;Settings!$B$11),NA(),IF(COUNT(OFFSET(G1031,1-Settings!$B$11,0,Settings!$B$11,1))&lt;ROUNDUP(Settings!$B$11*Settings!$B$26,0),NA(),STDEV(OFFSET(G1031,1-Settings!$B$11,0,Settings!$B$11,1))*SQRT(Settings!$B$13)))</f>
        <v/>
      </c>
      <c r="K1031" s="20">
        <f>IF(OR(NOT(ISNUMBER($A1031)),ROW()-2&lt;Settings!$B$12),NA(),IF(COUNT(OFFSET(G1031,1-Settings!$B$12,0,Settings!$B$12,1))&lt;ROUNDUP(Settings!$B$12*Settings!$B$26,0),NA(),STDEV(OFFSET(G1031,1-Settings!$B$12,0,Settings!$B$12,1))*SQRT(Settings!$B$13)))</f>
        <v/>
      </c>
      <c r="L1031" s="20">
        <f>IF(AND(ISNUMBER(D1031),ISNUMBER(H1031)),D1031-H1031,NA())</f>
        <v/>
      </c>
      <c r="M1031" s="20">
        <f>IF(AND(ISNUMBER(E1031),ISNUMBER(K1031)),E1031-K1031,NA())</f>
        <v/>
      </c>
      <c r="N1031" s="20">
        <f>IF(NOT(ISNUMBER($A1031)),NA(),IF(COUNT(OFFSET(G1031,1,0,Settings!$B$12,1))&lt;ROUNDUP(Settings!$B$12*Settings!$B$26,0),NA(),STDEV(OFFSET(G1031,1,0,Settings!$B$12,1))*SQRT(Settings!$B$13)))</f>
        <v/>
      </c>
      <c r="O1031" s="20">
        <f>IF(AND(ISNUMBER(E1031),ISNUMBER(N1031)),E1031-N1031,NA())</f>
        <v/>
      </c>
      <c r="P1031" s="19">
        <f>IF(NOT(ISNUMBER($A1031)),NA(),IF(OR($A1031&lt;MIN(KW_TP!$A$2:$A$2501),$A1031&gt;MAX(KW_TP!$A$2:$A$2501)),NA(),INDEX(KW_TP!$C$2:$C$2501,MATCH($A1031,KW_TP!$A$2:$A$2501,1))))</f>
        <v/>
      </c>
      <c r="Q1031" s="18">
        <f>IF(NOT(ISNUMBER($A1031)),NA(),IFERROR(1*INDEX(BBG_Data!$J$2:$J$4000,MATCH($A1031,BBG_Data!$I$2:$I$4000,0)),NA()))</f>
        <v/>
      </c>
      <c r="R1031" s="18">
        <f>IF(NOT(ISNUMBER($A1031)),NA(),IFERROR(1*INDEX(BBG_Data!$L$2:$L$4000,MATCH($A1031,BBG_Data!$K$2:$K$4000,0)),NA()))</f>
        <v/>
      </c>
      <c r="S1031" s="20">
        <f>IF(AND(ISNUMBER(B1031),ISNUMBER(Q1031),ISNUMBER(R1031)),(B1031-Q1031-R1031)*100,NA())</f>
        <v/>
      </c>
      <c r="T1031" s="20">
        <f>IF(AND(ISNUMBER(B1031),Settings!$B$17&gt;0),IF(ISNUMBER(INDEX($B:$B,Settings!$B$17)),(B1031-INDEX($B:$B,Settings!$B$17))*100,NA()),NA())</f>
        <v/>
      </c>
      <c r="U1031" s="20">
        <f>IF(AND(ISNUMBER(Q1031),Settings!$B$17&gt;0),IF(ISNUMBER(INDEX($Q:$Q,Settings!$B$17)),(Q1031-INDEX($Q:$Q,Settings!$B$17))*100,NA()),NA())</f>
        <v/>
      </c>
      <c r="V1031" s="20">
        <f>IF(AND(ISNUMBER(R1031),Settings!$B$17&gt;0),IF(ISNUMBER(INDEX($R:$R,Settings!$B$17)),(R1031-INDEX($R:$R,Settings!$B$17))*100,NA()),NA())</f>
        <v/>
      </c>
      <c r="W1031" s="20">
        <f>IF(AND(ISNUMBER(P1031),Settings!$B$17&gt;0),IF(ISNUMBER(INDEX($P:$P,Settings!$B$17)),P1031-INDEX($P:$P,Settings!$B$17),NA()),NA())</f>
        <v/>
      </c>
      <c r="X1031" s="19">
        <f>IF(NOT(ISNUMBER($A1031)),NA(),IF(OR($A1031&lt;MIN(DKW_10Y!$A$2:$A$2918),$A1031&gt;MAX(DKW_10Y!$A$2:$A$2918),Settings!$B$16&lt;MIN(DKW_10Y!$A$2:$A$2918)),NA(),(INDEX(DKW_10Y!$B$2:$B$2918,MATCH($A1031,DKW_10Y!$A$2:$A$2918,1))-INDEX(DKW_10Y!$B$2:$B$2918,MATCH(Settings!$B$16,DKW_10Y!$A$2:$A$2918,1)))*100))</f>
        <v/>
      </c>
      <c r="Y1031" s="19">
        <f>IF(NOT(ISNUMBER($A1031)),NA(),IF(OR($A1031&lt;MIN(DKW_10Y!$A$2:$A$2918),$A1031&gt;MAX(DKW_10Y!$A$2:$A$2918),Settings!$B$16&lt;MIN(DKW_10Y!$A$2:$A$2918)),NA(),(INDEX(DKW_10Y!$C$2:$C$2918,MATCH($A1031,DKW_10Y!$A$2:$A$2918,1))-INDEX(DKW_10Y!$C$2:$C$2918,MATCH(Settings!$B$16,DKW_10Y!$A$2:$A$2918,1)))*100))</f>
        <v/>
      </c>
      <c r="Z1031" s="19">
        <f>IF(NOT(ISNUMBER($A1031)),NA(),IF(OR($A1031&lt;MIN(DKW_10Y!$A$2:$A$2918),$A1031&gt;MAX(DKW_10Y!$A$2:$A$2918),Settings!$B$16&lt;MIN(DKW_10Y!$A$2:$A$2918)),NA(),(INDEX(DKW_10Y!$D$2:$D$2918,MATCH($A1031,DKW_10Y!$A$2:$A$2918,1))-INDEX(DKW_10Y!$D$2:$D$2918,MATCH(Settings!$B$16,DKW_10Y!$A$2:$A$2918,1)))*100))</f>
        <v/>
      </c>
      <c r="AA1031" s="19">
        <f>IF(NOT(ISNUMBER($A1031)),NA(),IF(OR($A1031&lt;MIN(DKW_10Y!$A$2:$A$2918),$A1031&gt;MAX(DKW_10Y!$A$2:$A$2918),Settings!$B$16&lt;MIN(DKW_10Y!$A$2:$A$2918)),NA(),(INDEX(DKW_10Y!$E$2:$E$2918,MATCH($A1031,DKW_10Y!$A$2:$A$2918,1))-INDEX(DKW_10Y!$E$2:$E$2918,MATCH(Settings!$B$16,DKW_10Y!$A$2:$A$2918,1)))*100))</f>
        <v/>
      </c>
      <c r="AB1031" s="19">
        <f>IF(NOT(ISNUMBER($A1031)),NA(),IF(OR($A1031&lt;MIN(DKW_10Y!$A$2:$A$2918),$A1031&gt;MAX(DKW_10Y!$A$2:$A$2918),Settings!$B$16&lt;MIN(DKW_10Y!$A$2:$A$2918)),NA(),(INDEX(DKW_10Y!$H$2:$H$2918,MATCH($A1031,DKW_10Y!$A$2:$A$2918,1))-INDEX(DKW_10Y!$H$2:$H$2918,MATCH(Settings!$B$16,DKW_10Y!$A$2:$A$2918,1)))*100))</f>
        <v/>
      </c>
      <c r="AC1031" s="18">
        <f>IF(NOT(ISNUMBER($A1031)),NA(),IFERROR(1*INDEX(BBG_Data!$N$2:$N$4000,MATCH($A1031,BBG_Data!$M$2:$M$4000,0)),NA()))</f>
        <v/>
      </c>
      <c r="AD1031" s="18">
        <f>IF(NOT(ISNUMBER($A1031)),NA(),IFERROR(1*INDEX(BBG_Data!$P$2:$P$4000,MATCH($A1031,BBG_Data!$O$2:$O$4000,0)),NA()))</f>
        <v/>
      </c>
      <c r="AE1031" s="18">
        <f>IF(NOT(ISNUMBER($A1031)),NA(),IFERROR(1*INDEX(BBG_Data!$R$2:$R$4000,MATCH($A1031,BBG_Data!$Q$2:$Q$4000,0)),NA()))</f>
        <v/>
      </c>
      <c r="AF1031" s="20">
        <f>IF(AND(ISNUMBER(B1031),ISNUMBER(AC1031)),(B1031-AC1031)*100,NA())</f>
        <v/>
      </c>
      <c r="AG1031" s="20">
        <f>IF(AND(ISNUMBER(AE1031),ISNUMBER(AD1031)),(AE1031-AD1031)*100,NA())</f>
        <v/>
      </c>
      <c r="AH1031" s="19">
        <f>IF(NOT(ISNUMBER($A1031)),NA(),IFERROR(INDEX(BBG_Data!$T$2:$T$4000,MATCH($A1031,BBG_Data!$S$2:$S$4000,0))*Settings!$B$25,NA()))</f>
        <v/>
      </c>
      <c r="AI1031" s="19">
        <f>IF(NOT(ISNUMBER($A1031)),NA(),IFERROR(INDEX(BBG_Data!$V$2:$V$4000,MATCH($A1031,BBG_Data!$U$2:$U$4000,0))*Settings!$B$25,NA()))</f>
        <v/>
      </c>
      <c r="AJ1031" s="19">
        <f>IF(NOT(ISNUMBER($A1031)),NA(),IFERROR(1*INDEX(BBG_Data!$X$2:$X$4000,MATCH($A1031,BBG_Data!$W$2:$W$4000,0)),NA()))</f>
        <v/>
      </c>
      <c r="AK1031" s="19">
        <f>IF(NOT(ISNUMBER($A1031)),NA(),IFERROR(1*INDEX(BBG_Data!$Z$2:$Z$4000,MATCH($A1031,BBG_Data!$Y$2:$Y$4000,0)),NA()))</f>
        <v/>
      </c>
    </row>
    <row r="1032">
      <c r="A1032" s="17">
        <f>IF(ISNUMBER(BBG_Data!A1032),BBG_Data!A1032,"")</f>
        <v/>
      </c>
      <c r="B1032" s="18">
        <f>IF(AND(ISNUMBER($A1032),ISNUMBER(BBG_Data!B1032)),BBG_Data!B1032,NA())</f>
        <v/>
      </c>
      <c r="C1032" s="18">
        <f>IF(NOT(ISNUMBER($A1032)),NA(),IFERROR(1*INDEX(BBG_Data!$D$2:$D$4000,MATCH($A1032,BBG_Data!$C$2:$C$4000,0)),NA()))</f>
        <v/>
      </c>
      <c r="D1032" s="19">
        <f>IF(NOT(ISNUMBER($A1032)),NA(),IFERROR(1*INDEX(BBG_Data!$F$2:$F$4000,MATCH($A1032,BBG_Data!$E$2:$E$4000,0)),NA()))</f>
        <v/>
      </c>
      <c r="E1032" s="19">
        <f>IF(NOT(ISNUMBER($A1032)),NA(),IFERROR(1*INDEX(BBG_Data!$H$2:$H$4000,MATCH($A1032,BBG_Data!$G$2:$G$4000,0)),NA()))</f>
        <v/>
      </c>
      <c r="F1032" s="20">
        <f>IF(AND(ISNUMBER(B1032),ISNUMBER(B1031)),IF(B1032=B1031,"",(B1032-B1031)*100),"")</f>
        <v/>
      </c>
      <c r="G1032" s="20">
        <f>IF(AND(ISNUMBER(C1032),ISNUMBER(C1031)),IF(C1032=C1031,"",(C1032-C1031)*100),"")</f>
        <v/>
      </c>
      <c r="H1032" s="20">
        <f>IF(OR(NOT(ISNUMBER($A1032)),ROW()-2&lt;Settings!$B$11),NA(),IF(COUNT(OFFSET(F1032,1-Settings!$B$11,0,Settings!$B$11,1))&lt;ROUNDUP(Settings!$B$11*Settings!$B$26,0),NA(),STDEV(OFFSET(F1032,1-Settings!$B$11,0,Settings!$B$11,1))*SQRT(Settings!$B$13)))</f>
        <v/>
      </c>
      <c r="I1032" s="20">
        <f>IF(OR(NOT(ISNUMBER($A1032)),ROW()-2&lt;Settings!$B$12),NA(),IF(COUNT(OFFSET(F1032,1-Settings!$B$12,0,Settings!$B$12,1))&lt;ROUNDUP(Settings!$B$12*Settings!$B$26,0),NA(),STDEV(OFFSET(F1032,1-Settings!$B$12,0,Settings!$B$12,1))*SQRT(Settings!$B$13)))</f>
        <v/>
      </c>
      <c r="J1032" s="20">
        <f>IF(OR(NOT(ISNUMBER($A1032)),ROW()-2&lt;Settings!$B$11),NA(),IF(COUNT(OFFSET(G1032,1-Settings!$B$11,0,Settings!$B$11,1))&lt;ROUNDUP(Settings!$B$11*Settings!$B$26,0),NA(),STDEV(OFFSET(G1032,1-Settings!$B$11,0,Settings!$B$11,1))*SQRT(Settings!$B$13)))</f>
        <v/>
      </c>
      <c r="K1032" s="20">
        <f>IF(OR(NOT(ISNUMBER($A1032)),ROW()-2&lt;Settings!$B$12),NA(),IF(COUNT(OFFSET(G1032,1-Settings!$B$12,0,Settings!$B$12,1))&lt;ROUNDUP(Settings!$B$12*Settings!$B$26,0),NA(),STDEV(OFFSET(G1032,1-Settings!$B$12,0,Settings!$B$12,1))*SQRT(Settings!$B$13)))</f>
        <v/>
      </c>
      <c r="L1032" s="20">
        <f>IF(AND(ISNUMBER(D1032),ISNUMBER(H1032)),D1032-H1032,NA())</f>
        <v/>
      </c>
      <c r="M1032" s="20">
        <f>IF(AND(ISNUMBER(E1032),ISNUMBER(K1032)),E1032-K1032,NA())</f>
        <v/>
      </c>
      <c r="N1032" s="20">
        <f>IF(NOT(ISNUMBER($A1032)),NA(),IF(COUNT(OFFSET(G1032,1,0,Settings!$B$12,1))&lt;ROUNDUP(Settings!$B$12*Settings!$B$26,0),NA(),STDEV(OFFSET(G1032,1,0,Settings!$B$12,1))*SQRT(Settings!$B$13)))</f>
        <v/>
      </c>
      <c r="O1032" s="20">
        <f>IF(AND(ISNUMBER(E1032),ISNUMBER(N1032)),E1032-N1032,NA())</f>
        <v/>
      </c>
      <c r="P1032" s="19">
        <f>IF(NOT(ISNUMBER($A1032)),NA(),IF(OR($A1032&lt;MIN(KW_TP!$A$2:$A$2501),$A1032&gt;MAX(KW_TP!$A$2:$A$2501)),NA(),INDEX(KW_TP!$C$2:$C$2501,MATCH($A1032,KW_TP!$A$2:$A$2501,1))))</f>
        <v/>
      </c>
      <c r="Q1032" s="18">
        <f>IF(NOT(ISNUMBER($A1032)),NA(),IFERROR(1*INDEX(BBG_Data!$J$2:$J$4000,MATCH($A1032,BBG_Data!$I$2:$I$4000,0)),NA()))</f>
        <v/>
      </c>
      <c r="R1032" s="18">
        <f>IF(NOT(ISNUMBER($A1032)),NA(),IFERROR(1*INDEX(BBG_Data!$L$2:$L$4000,MATCH($A1032,BBG_Data!$K$2:$K$4000,0)),NA()))</f>
        <v/>
      </c>
      <c r="S1032" s="20">
        <f>IF(AND(ISNUMBER(B1032),ISNUMBER(Q1032),ISNUMBER(R1032)),(B1032-Q1032-R1032)*100,NA())</f>
        <v/>
      </c>
      <c r="T1032" s="20">
        <f>IF(AND(ISNUMBER(B1032),Settings!$B$17&gt;0),IF(ISNUMBER(INDEX($B:$B,Settings!$B$17)),(B1032-INDEX($B:$B,Settings!$B$17))*100,NA()),NA())</f>
        <v/>
      </c>
      <c r="U1032" s="20">
        <f>IF(AND(ISNUMBER(Q1032),Settings!$B$17&gt;0),IF(ISNUMBER(INDEX($Q:$Q,Settings!$B$17)),(Q1032-INDEX($Q:$Q,Settings!$B$17))*100,NA()),NA())</f>
        <v/>
      </c>
      <c r="V1032" s="20">
        <f>IF(AND(ISNUMBER(R1032),Settings!$B$17&gt;0),IF(ISNUMBER(INDEX($R:$R,Settings!$B$17)),(R1032-INDEX($R:$R,Settings!$B$17))*100,NA()),NA())</f>
        <v/>
      </c>
      <c r="W1032" s="20">
        <f>IF(AND(ISNUMBER(P1032),Settings!$B$17&gt;0),IF(ISNUMBER(INDEX($P:$P,Settings!$B$17)),P1032-INDEX($P:$P,Settings!$B$17),NA()),NA())</f>
        <v/>
      </c>
      <c r="X1032" s="19">
        <f>IF(NOT(ISNUMBER($A1032)),NA(),IF(OR($A1032&lt;MIN(DKW_10Y!$A$2:$A$2918),$A1032&gt;MAX(DKW_10Y!$A$2:$A$2918),Settings!$B$16&lt;MIN(DKW_10Y!$A$2:$A$2918)),NA(),(INDEX(DKW_10Y!$B$2:$B$2918,MATCH($A1032,DKW_10Y!$A$2:$A$2918,1))-INDEX(DKW_10Y!$B$2:$B$2918,MATCH(Settings!$B$16,DKW_10Y!$A$2:$A$2918,1)))*100))</f>
        <v/>
      </c>
      <c r="Y1032" s="19">
        <f>IF(NOT(ISNUMBER($A1032)),NA(),IF(OR($A1032&lt;MIN(DKW_10Y!$A$2:$A$2918),$A1032&gt;MAX(DKW_10Y!$A$2:$A$2918),Settings!$B$16&lt;MIN(DKW_10Y!$A$2:$A$2918)),NA(),(INDEX(DKW_10Y!$C$2:$C$2918,MATCH($A1032,DKW_10Y!$A$2:$A$2918,1))-INDEX(DKW_10Y!$C$2:$C$2918,MATCH(Settings!$B$16,DKW_10Y!$A$2:$A$2918,1)))*100))</f>
        <v/>
      </c>
      <c r="Z1032" s="19">
        <f>IF(NOT(ISNUMBER($A1032)),NA(),IF(OR($A1032&lt;MIN(DKW_10Y!$A$2:$A$2918),$A1032&gt;MAX(DKW_10Y!$A$2:$A$2918),Settings!$B$16&lt;MIN(DKW_10Y!$A$2:$A$2918)),NA(),(INDEX(DKW_10Y!$D$2:$D$2918,MATCH($A1032,DKW_10Y!$A$2:$A$2918,1))-INDEX(DKW_10Y!$D$2:$D$2918,MATCH(Settings!$B$16,DKW_10Y!$A$2:$A$2918,1)))*100))</f>
        <v/>
      </c>
      <c r="AA1032" s="19">
        <f>IF(NOT(ISNUMBER($A1032)),NA(),IF(OR($A1032&lt;MIN(DKW_10Y!$A$2:$A$2918),$A1032&gt;MAX(DKW_10Y!$A$2:$A$2918),Settings!$B$16&lt;MIN(DKW_10Y!$A$2:$A$2918)),NA(),(INDEX(DKW_10Y!$E$2:$E$2918,MATCH($A1032,DKW_10Y!$A$2:$A$2918,1))-INDEX(DKW_10Y!$E$2:$E$2918,MATCH(Settings!$B$16,DKW_10Y!$A$2:$A$2918,1)))*100))</f>
        <v/>
      </c>
      <c r="AB1032" s="19">
        <f>IF(NOT(ISNUMBER($A1032)),NA(),IF(OR($A1032&lt;MIN(DKW_10Y!$A$2:$A$2918),$A1032&gt;MAX(DKW_10Y!$A$2:$A$2918),Settings!$B$16&lt;MIN(DKW_10Y!$A$2:$A$2918)),NA(),(INDEX(DKW_10Y!$H$2:$H$2918,MATCH($A1032,DKW_10Y!$A$2:$A$2918,1))-INDEX(DKW_10Y!$H$2:$H$2918,MATCH(Settings!$B$16,DKW_10Y!$A$2:$A$2918,1)))*100))</f>
        <v/>
      </c>
      <c r="AC1032" s="18">
        <f>IF(NOT(ISNUMBER($A1032)),NA(),IFERROR(1*INDEX(BBG_Data!$N$2:$N$4000,MATCH($A1032,BBG_Data!$M$2:$M$4000,0)),NA()))</f>
        <v/>
      </c>
      <c r="AD1032" s="18">
        <f>IF(NOT(ISNUMBER($A1032)),NA(),IFERROR(1*INDEX(BBG_Data!$P$2:$P$4000,MATCH($A1032,BBG_Data!$O$2:$O$4000,0)),NA()))</f>
        <v/>
      </c>
      <c r="AE1032" s="18">
        <f>IF(NOT(ISNUMBER($A1032)),NA(),IFERROR(1*INDEX(BBG_Data!$R$2:$R$4000,MATCH($A1032,BBG_Data!$Q$2:$Q$4000,0)),NA()))</f>
        <v/>
      </c>
      <c r="AF1032" s="20">
        <f>IF(AND(ISNUMBER(B1032),ISNUMBER(AC1032)),(B1032-AC1032)*100,NA())</f>
        <v/>
      </c>
      <c r="AG1032" s="20">
        <f>IF(AND(ISNUMBER(AE1032),ISNUMBER(AD1032)),(AE1032-AD1032)*100,NA())</f>
        <v/>
      </c>
      <c r="AH1032" s="19">
        <f>IF(NOT(ISNUMBER($A1032)),NA(),IFERROR(INDEX(BBG_Data!$T$2:$T$4000,MATCH($A1032,BBG_Data!$S$2:$S$4000,0))*Settings!$B$25,NA()))</f>
        <v/>
      </c>
      <c r="AI1032" s="19">
        <f>IF(NOT(ISNUMBER($A1032)),NA(),IFERROR(INDEX(BBG_Data!$V$2:$V$4000,MATCH($A1032,BBG_Data!$U$2:$U$4000,0))*Settings!$B$25,NA()))</f>
        <v/>
      </c>
      <c r="AJ1032" s="19">
        <f>IF(NOT(ISNUMBER($A1032)),NA(),IFERROR(1*INDEX(BBG_Data!$X$2:$X$4000,MATCH($A1032,BBG_Data!$W$2:$W$4000,0)),NA()))</f>
        <v/>
      </c>
      <c r="AK1032" s="19">
        <f>IF(NOT(ISNUMBER($A1032)),NA(),IFERROR(1*INDEX(BBG_Data!$Z$2:$Z$4000,MATCH($A1032,BBG_Data!$Y$2:$Y$4000,0)),NA()))</f>
        <v/>
      </c>
    </row>
    <row r="1033">
      <c r="A1033" s="17">
        <f>IF(ISNUMBER(BBG_Data!A1033),BBG_Data!A1033,"")</f>
        <v/>
      </c>
      <c r="B1033" s="18">
        <f>IF(AND(ISNUMBER($A1033),ISNUMBER(BBG_Data!B1033)),BBG_Data!B1033,NA())</f>
        <v/>
      </c>
      <c r="C1033" s="18">
        <f>IF(NOT(ISNUMBER($A1033)),NA(),IFERROR(1*INDEX(BBG_Data!$D$2:$D$4000,MATCH($A1033,BBG_Data!$C$2:$C$4000,0)),NA()))</f>
        <v/>
      </c>
      <c r="D1033" s="19">
        <f>IF(NOT(ISNUMBER($A1033)),NA(),IFERROR(1*INDEX(BBG_Data!$F$2:$F$4000,MATCH($A1033,BBG_Data!$E$2:$E$4000,0)),NA()))</f>
        <v/>
      </c>
      <c r="E1033" s="19">
        <f>IF(NOT(ISNUMBER($A1033)),NA(),IFERROR(1*INDEX(BBG_Data!$H$2:$H$4000,MATCH($A1033,BBG_Data!$G$2:$G$4000,0)),NA()))</f>
        <v/>
      </c>
      <c r="F1033" s="20">
        <f>IF(AND(ISNUMBER(B1033),ISNUMBER(B1032)),IF(B1033=B1032,"",(B1033-B1032)*100),"")</f>
        <v/>
      </c>
      <c r="G1033" s="20">
        <f>IF(AND(ISNUMBER(C1033),ISNUMBER(C1032)),IF(C1033=C1032,"",(C1033-C1032)*100),"")</f>
        <v/>
      </c>
      <c r="H1033" s="20">
        <f>IF(OR(NOT(ISNUMBER($A1033)),ROW()-2&lt;Settings!$B$11),NA(),IF(COUNT(OFFSET(F1033,1-Settings!$B$11,0,Settings!$B$11,1))&lt;ROUNDUP(Settings!$B$11*Settings!$B$26,0),NA(),STDEV(OFFSET(F1033,1-Settings!$B$11,0,Settings!$B$11,1))*SQRT(Settings!$B$13)))</f>
        <v/>
      </c>
      <c r="I1033" s="20">
        <f>IF(OR(NOT(ISNUMBER($A1033)),ROW()-2&lt;Settings!$B$12),NA(),IF(COUNT(OFFSET(F1033,1-Settings!$B$12,0,Settings!$B$12,1))&lt;ROUNDUP(Settings!$B$12*Settings!$B$26,0),NA(),STDEV(OFFSET(F1033,1-Settings!$B$12,0,Settings!$B$12,1))*SQRT(Settings!$B$13)))</f>
        <v/>
      </c>
      <c r="J1033" s="20">
        <f>IF(OR(NOT(ISNUMBER($A1033)),ROW()-2&lt;Settings!$B$11),NA(),IF(COUNT(OFFSET(G1033,1-Settings!$B$11,0,Settings!$B$11,1))&lt;ROUNDUP(Settings!$B$11*Settings!$B$26,0),NA(),STDEV(OFFSET(G1033,1-Settings!$B$11,0,Settings!$B$11,1))*SQRT(Settings!$B$13)))</f>
        <v/>
      </c>
      <c r="K1033" s="20">
        <f>IF(OR(NOT(ISNUMBER($A1033)),ROW()-2&lt;Settings!$B$12),NA(),IF(COUNT(OFFSET(G1033,1-Settings!$B$12,0,Settings!$B$12,1))&lt;ROUNDUP(Settings!$B$12*Settings!$B$26,0),NA(),STDEV(OFFSET(G1033,1-Settings!$B$12,0,Settings!$B$12,1))*SQRT(Settings!$B$13)))</f>
        <v/>
      </c>
      <c r="L1033" s="20">
        <f>IF(AND(ISNUMBER(D1033),ISNUMBER(H1033)),D1033-H1033,NA())</f>
        <v/>
      </c>
      <c r="M1033" s="20">
        <f>IF(AND(ISNUMBER(E1033),ISNUMBER(K1033)),E1033-K1033,NA())</f>
        <v/>
      </c>
      <c r="N1033" s="20">
        <f>IF(NOT(ISNUMBER($A1033)),NA(),IF(COUNT(OFFSET(G1033,1,0,Settings!$B$12,1))&lt;ROUNDUP(Settings!$B$12*Settings!$B$26,0),NA(),STDEV(OFFSET(G1033,1,0,Settings!$B$12,1))*SQRT(Settings!$B$13)))</f>
        <v/>
      </c>
      <c r="O1033" s="20">
        <f>IF(AND(ISNUMBER(E1033),ISNUMBER(N1033)),E1033-N1033,NA())</f>
        <v/>
      </c>
      <c r="P1033" s="19">
        <f>IF(NOT(ISNUMBER($A1033)),NA(),IF(OR($A1033&lt;MIN(KW_TP!$A$2:$A$2501),$A1033&gt;MAX(KW_TP!$A$2:$A$2501)),NA(),INDEX(KW_TP!$C$2:$C$2501,MATCH($A1033,KW_TP!$A$2:$A$2501,1))))</f>
        <v/>
      </c>
      <c r="Q1033" s="18">
        <f>IF(NOT(ISNUMBER($A1033)),NA(),IFERROR(1*INDEX(BBG_Data!$J$2:$J$4000,MATCH($A1033,BBG_Data!$I$2:$I$4000,0)),NA()))</f>
        <v/>
      </c>
      <c r="R1033" s="18">
        <f>IF(NOT(ISNUMBER($A1033)),NA(),IFERROR(1*INDEX(BBG_Data!$L$2:$L$4000,MATCH($A1033,BBG_Data!$K$2:$K$4000,0)),NA()))</f>
        <v/>
      </c>
      <c r="S1033" s="20">
        <f>IF(AND(ISNUMBER(B1033),ISNUMBER(Q1033),ISNUMBER(R1033)),(B1033-Q1033-R1033)*100,NA())</f>
        <v/>
      </c>
      <c r="T1033" s="20">
        <f>IF(AND(ISNUMBER(B1033),Settings!$B$17&gt;0),IF(ISNUMBER(INDEX($B:$B,Settings!$B$17)),(B1033-INDEX($B:$B,Settings!$B$17))*100,NA()),NA())</f>
        <v/>
      </c>
      <c r="U1033" s="20">
        <f>IF(AND(ISNUMBER(Q1033),Settings!$B$17&gt;0),IF(ISNUMBER(INDEX($Q:$Q,Settings!$B$17)),(Q1033-INDEX($Q:$Q,Settings!$B$17))*100,NA()),NA())</f>
        <v/>
      </c>
      <c r="V1033" s="20">
        <f>IF(AND(ISNUMBER(R1033),Settings!$B$17&gt;0),IF(ISNUMBER(INDEX($R:$R,Settings!$B$17)),(R1033-INDEX($R:$R,Settings!$B$17))*100,NA()),NA())</f>
        <v/>
      </c>
      <c r="W1033" s="20">
        <f>IF(AND(ISNUMBER(P1033),Settings!$B$17&gt;0),IF(ISNUMBER(INDEX($P:$P,Settings!$B$17)),P1033-INDEX($P:$P,Settings!$B$17),NA()),NA())</f>
        <v/>
      </c>
      <c r="X1033" s="19">
        <f>IF(NOT(ISNUMBER($A1033)),NA(),IF(OR($A1033&lt;MIN(DKW_10Y!$A$2:$A$2918),$A1033&gt;MAX(DKW_10Y!$A$2:$A$2918),Settings!$B$16&lt;MIN(DKW_10Y!$A$2:$A$2918)),NA(),(INDEX(DKW_10Y!$B$2:$B$2918,MATCH($A1033,DKW_10Y!$A$2:$A$2918,1))-INDEX(DKW_10Y!$B$2:$B$2918,MATCH(Settings!$B$16,DKW_10Y!$A$2:$A$2918,1)))*100))</f>
        <v/>
      </c>
      <c r="Y1033" s="19">
        <f>IF(NOT(ISNUMBER($A1033)),NA(),IF(OR($A1033&lt;MIN(DKW_10Y!$A$2:$A$2918),$A1033&gt;MAX(DKW_10Y!$A$2:$A$2918),Settings!$B$16&lt;MIN(DKW_10Y!$A$2:$A$2918)),NA(),(INDEX(DKW_10Y!$C$2:$C$2918,MATCH($A1033,DKW_10Y!$A$2:$A$2918,1))-INDEX(DKW_10Y!$C$2:$C$2918,MATCH(Settings!$B$16,DKW_10Y!$A$2:$A$2918,1)))*100))</f>
        <v/>
      </c>
      <c r="Z1033" s="19">
        <f>IF(NOT(ISNUMBER($A1033)),NA(),IF(OR($A1033&lt;MIN(DKW_10Y!$A$2:$A$2918),$A1033&gt;MAX(DKW_10Y!$A$2:$A$2918),Settings!$B$16&lt;MIN(DKW_10Y!$A$2:$A$2918)),NA(),(INDEX(DKW_10Y!$D$2:$D$2918,MATCH($A1033,DKW_10Y!$A$2:$A$2918,1))-INDEX(DKW_10Y!$D$2:$D$2918,MATCH(Settings!$B$16,DKW_10Y!$A$2:$A$2918,1)))*100))</f>
        <v/>
      </c>
      <c r="AA1033" s="19">
        <f>IF(NOT(ISNUMBER($A1033)),NA(),IF(OR($A1033&lt;MIN(DKW_10Y!$A$2:$A$2918),$A1033&gt;MAX(DKW_10Y!$A$2:$A$2918),Settings!$B$16&lt;MIN(DKW_10Y!$A$2:$A$2918)),NA(),(INDEX(DKW_10Y!$E$2:$E$2918,MATCH($A1033,DKW_10Y!$A$2:$A$2918,1))-INDEX(DKW_10Y!$E$2:$E$2918,MATCH(Settings!$B$16,DKW_10Y!$A$2:$A$2918,1)))*100))</f>
        <v/>
      </c>
      <c r="AB1033" s="19">
        <f>IF(NOT(ISNUMBER($A1033)),NA(),IF(OR($A1033&lt;MIN(DKW_10Y!$A$2:$A$2918),$A1033&gt;MAX(DKW_10Y!$A$2:$A$2918),Settings!$B$16&lt;MIN(DKW_10Y!$A$2:$A$2918)),NA(),(INDEX(DKW_10Y!$H$2:$H$2918,MATCH($A1033,DKW_10Y!$A$2:$A$2918,1))-INDEX(DKW_10Y!$H$2:$H$2918,MATCH(Settings!$B$16,DKW_10Y!$A$2:$A$2918,1)))*100))</f>
        <v/>
      </c>
      <c r="AC1033" s="18">
        <f>IF(NOT(ISNUMBER($A1033)),NA(),IFERROR(1*INDEX(BBG_Data!$N$2:$N$4000,MATCH($A1033,BBG_Data!$M$2:$M$4000,0)),NA()))</f>
        <v/>
      </c>
      <c r="AD1033" s="18">
        <f>IF(NOT(ISNUMBER($A1033)),NA(),IFERROR(1*INDEX(BBG_Data!$P$2:$P$4000,MATCH($A1033,BBG_Data!$O$2:$O$4000,0)),NA()))</f>
        <v/>
      </c>
      <c r="AE1033" s="18">
        <f>IF(NOT(ISNUMBER($A1033)),NA(),IFERROR(1*INDEX(BBG_Data!$R$2:$R$4000,MATCH($A1033,BBG_Data!$Q$2:$Q$4000,0)),NA()))</f>
        <v/>
      </c>
      <c r="AF1033" s="20">
        <f>IF(AND(ISNUMBER(B1033),ISNUMBER(AC1033)),(B1033-AC1033)*100,NA())</f>
        <v/>
      </c>
      <c r="AG1033" s="20">
        <f>IF(AND(ISNUMBER(AE1033),ISNUMBER(AD1033)),(AE1033-AD1033)*100,NA())</f>
        <v/>
      </c>
      <c r="AH1033" s="19">
        <f>IF(NOT(ISNUMBER($A1033)),NA(),IFERROR(INDEX(BBG_Data!$T$2:$T$4000,MATCH($A1033,BBG_Data!$S$2:$S$4000,0))*Settings!$B$25,NA()))</f>
        <v/>
      </c>
      <c r="AI1033" s="19">
        <f>IF(NOT(ISNUMBER($A1033)),NA(),IFERROR(INDEX(BBG_Data!$V$2:$V$4000,MATCH($A1033,BBG_Data!$U$2:$U$4000,0))*Settings!$B$25,NA()))</f>
        <v/>
      </c>
      <c r="AJ1033" s="19">
        <f>IF(NOT(ISNUMBER($A1033)),NA(),IFERROR(1*INDEX(BBG_Data!$X$2:$X$4000,MATCH($A1033,BBG_Data!$W$2:$W$4000,0)),NA()))</f>
        <v/>
      </c>
      <c r="AK1033" s="19">
        <f>IF(NOT(ISNUMBER($A1033)),NA(),IFERROR(1*INDEX(BBG_Data!$Z$2:$Z$4000,MATCH($A1033,BBG_Data!$Y$2:$Y$4000,0)),NA()))</f>
        <v/>
      </c>
    </row>
    <row r="1034">
      <c r="A1034" s="17">
        <f>IF(ISNUMBER(BBG_Data!A1034),BBG_Data!A1034,"")</f>
        <v/>
      </c>
      <c r="B1034" s="18">
        <f>IF(AND(ISNUMBER($A1034),ISNUMBER(BBG_Data!B1034)),BBG_Data!B1034,NA())</f>
        <v/>
      </c>
      <c r="C1034" s="18">
        <f>IF(NOT(ISNUMBER($A1034)),NA(),IFERROR(1*INDEX(BBG_Data!$D$2:$D$4000,MATCH($A1034,BBG_Data!$C$2:$C$4000,0)),NA()))</f>
        <v/>
      </c>
      <c r="D1034" s="19">
        <f>IF(NOT(ISNUMBER($A1034)),NA(),IFERROR(1*INDEX(BBG_Data!$F$2:$F$4000,MATCH($A1034,BBG_Data!$E$2:$E$4000,0)),NA()))</f>
        <v/>
      </c>
      <c r="E1034" s="19">
        <f>IF(NOT(ISNUMBER($A1034)),NA(),IFERROR(1*INDEX(BBG_Data!$H$2:$H$4000,MATCH($A1034,BBG_Data!$G$2:$G$4000,0)),NA()))</f>
        <v/>
      </c>
      <c r="F1034" s="20">
        <f>IF(AND(ISNUMBER(B1034),ISNUMBER(B1033)),IF(B1034=B1033,"",(B1034-B1033)*100),"")</f>
        <v/>
      </c>
      <c r="G1034" s="20">
        <f>IF(AND(ISNUMBER(C1034),ISNUMBER(C1033)),IF(C1034=C1033,"",(C1034-C1033)*100),"")</f>
        <v/>
      </c>
      <c r="H1034" s="20">
        <f>IF(OR(NOT(ISNUMBER($A1034)),ROW()-2&lt;Settings!$B$11),NA(),IF(COUNT(OFFSET(F1034,1-Settings!$B$11,0,Settings!$B$11,1))&lt;ROUNDUP(Settings!$B$11*Settings!$B$26,0),NA(),STDEV(OFFSET(F1034,1-Settings!$B$11,0,Settings!$B$11,1))*SQRT(Settings!$B$13)))</f>
        <v/>
      </c>
      <c r="I1034" s="20">
        <f>IF(OR(NOT(ISNUMBER($A1034)),ROW()-2&lt;Settings!$B$12),NA(),IF(COUNT(OFFSET(F1034,1-Settings!$B$12,0,Settings!$B$12,1))&lt;ROUNDUP(Settings!$B$12*Settings!$B$26,0),NA(),STDEV(OFFSET(F1034,1-Settings!$B$12,0,Settings!$B$12,1))*SQRT(Settings!$B$13)))</f>
        <v/>
      </c>
      <c r="J1034" s="20">
        <f>IF(OR(NOT(ISNUMBER($A1034)),ROW()-2&lt;Settings!$B$11),NA(),IF(COUNT(OFFSET(G1034,1-Settings!$B$11,0,Settings!$B$11,1))&lt;ROUNDUP(Settings!$B$11*Settings!$B$26,0),NA(),STDEV(OFFSET(G1034,1-Settings!$B$11,0,Settings!$B$11,1))*SQRT(Settings!$B$13)))</f>
        <v/>
      </c>
      <c r="K1034" s="20">
        <f>IF(OR(NOT(ISNUMBER($A1034)),ROW()-2&lt;Settings!$B$12),NA(),IF(COUNT(OFFSET(G1034,1-Settings!$B$12,0,Settings!$B$12,1))&lt;ROUNDUP(Settings!$B$12*Settings!$B$26,0),NA(),STDEV(OFFSET(G1034,1-Settings!$B$12,0,Settings!$B$12,1))*SQRT(Settings!$B$13)))</f>
        <v/>
      </c>
      <c r="L1034" s="20">
        <f>IF(AND(ISNUMBER(D1034),ISNUMBER(H1034)),D1034-H1034,NA())</f>
        <v/>
      </c>
      <c r="M1034" s="20">
        <f>IF(AND(ISNUMBER(E1034),ISNUMBER(K1034)),E1034-K1034,NA())</f>
        <v/>
      </c>
      <c r="N1034" s="20">
        <f>IF(NOT(ISNUMBER($A1034)),NA(),IF(COUNT(OFFSET(G1034,1,0,Settings!$B$12,1))&lt;ROUNDUP(Settings!$B$12*Settings!$B$26,0),NA(),STDEV(OFFSET(G1034,1,0,Settings!$B$12,1))*SQRT(Settings!$B$13)))</f>
        <v/>
      </c>
      <c r="O1034" s="20">
        <f>IF(AND(ISNUMBER(E1034),ISNUMBER(N1034)),E1034-N1034,NA())</f>
        <v/>
      </c>
      <c r="P1034" s="19">
        <f>IF(NOT(ISNUMBER($A1034)),NA(),IF(OR($A1034&lt;MIN(KW_TP!$A$2:$A$2501),$A1034&gt;MAX(KW_TP!$A$2:$A$2501)),NA(),INDEX(KW_TP!$C$2:$C$2501,MATCH($A1034,KW_TP!$A$2:$A$2501,1))))</f>
        <v/>
      </c>
      <c r="Q1034" s="18">
        <f>IF(NOT(ISNUMBER($A1034)),NA(),IFERROR(1*INDEX(BBG_Data!$J$2:$J$4000,MATCH($A1034,BBG_Data!$I$2:$I$4000,0)),NA()))</f>
        <v/>
      </c>
      <c r="R1034" s="18">
        <f>IF(NOT(ISNUMBER($A1034)),NA(),IFERROR(1*INDEX(BBG_Data!$L$2:$L$4000,MATCH($A1034,BBG_Data!$K$2:$K$4000,0)),NA()))</f>
        <v/>
      </c>
      <c r="S1034" s="20">
        <f>IF(AND(ISNUMBER(B1034),ISNUMBER(Q1034),ISNUMBER(R1034)),(B1034-Q1034-R1034)*100,NA())</f>
        <v/>
      </c>
      <c r="T1034" s="20">
        <f>IF(AND(ISNUMBER(B1034),Settings!$B$17&gt;0),IF(ISNUMBER(INDEX($B:$B,Settings!$B$17)),(B1034-INDEX($B:$B,Settings!$B$17))*100,NA()),NA())</f>
        <v/>
      </c>
      <c r="U1034" s="20">
        <f>IF(AND(ISNUMBER(Q1034),Settings!$B$17&gt;0),IF(ISNUMBER(INDEX($Q:$Q,Settings!$B$17)),(Q1034-INDEX($Q:$Q,Settings!$B$17))*100,NA()),NA())</f>
        <v/>
      </c>
      <c r="V1034" s="20">
        <f>IF(AND(ISNUMBER(R1034),Settings!$B$17&gt;0),IF(ISNUMBER(INDEX($R:$R,Settings!$B$17)),(R1034-INDEX($R:$R,Settings!$B$17))*100,NA()),NA())</f>
        <v/>
      </c>
      <c r="W1034" s="20">
        <f>IF(AND(ISNUMBER(P1034),Settings!$B$17&gt;0),IF(ISNUMBER(INDEX($P:$P,Settings!$B$17)),P1034-INDEX($P:$P,Settings!$B$17),NA()),NA())</f>
        <v/>
      </c>
      <c r="X1034" s="19">
        <f>IF(NOT(ISNUMBER($A1034)),NA(),IF(OR($A1034&lt;MIN(DKW_10Y!$A$2:$A$2918),$A1034&gt;MAX(DKW_10Y!$A$2:$A$2918),Settings!$B$16&lt;MIN(DKW_10Y!$A$2:$A$2918)),NA(),(INDEX(DKW_10Y!$B$2:$B$2918,MATCH($A1034,DKW_10Y!$A$2:$A$2918,1))-INDEX(DKW_10Y!$B$2:$B$2918,MATCH(Settings!$B$16,DKW_10Y!$A$2:$A$2918,1)))*100))</f>
        <v/>
      </c>
      <c r="Y1034" s="19">
        <f>IF(NOT(ISNUMBER($A1034)),NA(),IF(OR($A1034&lt;MIN(DKW_10Y!$A$2:$A$2918),$A1034&gt;MAX(DKW_10Y!$A$2:$A$2918),Settings!$B$16&lt;MIN(DKW_10Y!$A$2:$A$2918)),NA(),(INDEX(DKW_10Y!$C$2:$C$2918,MATCH($A1034,DKW_10Y!$A$2:$A$2918,1))-INDEX(DKW_10Y!$C$2:$C$2918,MATCH(Settings!$B$16,DKW_10Y!$A$2:$A$2918,1)))*100))</f>
        <v/>
      </c>
      <c r="Z1034" s="19">
        <f>IF(NOT(ISNUMBER($A1034)),NA(),IF(OR($A1034&lt;MIN(DKW_10Y!$A$2:$A$2918),$A1034&gt;MAX(DKW_10Y!$A$2:$A$2918),Settings!$B$16&lt;MIN(DKW_10Y!$A$2:$A$2918)),NA(),(INDEX(DKW_10Y!$D$2:$D$2918,MATCH($A1034,DKW_10Y!$A$2:$A$2918,1))-INDEX(DKW_10Y!$D$2:$D$2918,MATCH(Settings!$B$16,DKW_10Y!$A$2:$A$2918,1)))*100))</f>
        <v/>
      </c>
      <c r="AA1034" s="19">
        <f>IF(NOT(ISNUMBER($A1034)),NA(),IF(OR($A1034&lt;MIN(DKW_10Y!$A$2:$A$2918),$A1034&gt;MAX(DKW_10Y!$A$2:$A$2918),Settings!$B$16&lt;MIN(DKW_10Y!$A$2:$A$2918)),NA(),(INDEX(DKW_10Y!$E$2:$E$2918,MATCH($A1034,DKW_10Y!$A$2:$A$2918,1))-INDEX(DKW_10Y!$E$2:$E$2918,MATCH(Settings!$B$16,DKW_10Y!$A$2:$A$2918,1)))*100))</f>
        <v/>
      </c>
      <c r="AB1034" s="19">
        <f>IF(NOT(ISNUMBER($A1034)),NA(),IF(OR($A1034&lt;MIN(DKW_10Y!$A$2:$A$2918),$A1034&gt;MAX(DKW_10Y!$A$2:$A$2918),Settings!$B$16&lt;MIN(DKW_10Y!$A$2:$A$2918)),NA(),(INDEX(DKW_10Y!$H$2:$H$2918,MATCH($A1034,DKW_10Y!$A$2:$A$2918,1))-INDEX(DKW_10Y!$H$2:$H$2918,MATCH(Settings!$B$16,DKW_10Y!$A$2:$A$2918,1)))*100))</f>
        <v/>
      </c>
      <c r="AC1034" s="18">
        <f>IF(NOT(ISNUMBER($A1034)),NA(),IFERROR(1*INDEX(BBG_Data!$N$2:$N$4000,MATCH($A1034,BBG_Data!$M$2:$M$4000,0)),NA()))</f>
        <v/>
      </c>
      <c r="AD1034" s="18">
        <f>IF(NOT(ISNUMBER($A1034)),NA(),IFERROR(1*INDEX(BBG_Data!$P$2:$P$4000,MATCH($A1034,BBG_Data!$O$2:$O$4000,0)),NA()))</f>
        <v/>
      </c>
      <c r="AE1034" s="18">
        <f>IF(NOT(ISNUMBER($A1034)),NA(),IFERROR(1*INDEX(BBG_Data!$R$2:$R$4000,MATCH($A1034,BBG_Data!$Q$2:$Q$4000,0)),NA()))</f>
        <v/>
      </c>
      <c r="AF1034" s="20">
        <f>IF(AND(ISNUMBER(B1034),ISNUMBER(AC1034)),(B1034-AC1034)*100,NA())</f>
        <v/>
      </c>
      <c r="AG1034" s="20">
        <f>IF(AND(ISNUMBER(AE1034),ISNUMBER(AD1034)),(AE1034-AD1034)*100,NA())</f>
        <v/>
      </c>
      <c r="AH1034" s="19">
        <f>IF(NOT(ISNUMBER($A1034)),NA(),IFERROR(INDEX(BBG_Data!$T$2:$T$4000,MATCH($A1034,BBG_Data!$S$2:$S$4000,0))*Settings!$B$25,NA()))</f>
        <v/>
      </c>
      <c r="AI1034" s="19">
        <f>IF(NOT(ISNUMBER($A1034)),NA(),IFERROR(INDEX(BBG_Data!$V$2:$V$4000,MATCH($A1034,BBG_Data!$U$2:$U$4000,0))*Settings!$B$25,NA()))</f>
        <v/>
      </c>
      <c r="AJ1034" s="19">
        <f>IF(NOT(ISNUMBER($A1034)),NA(),IFERROR(1*INDEX(BBG_Data!$X$2:$X$4000,MATCH($A1034,BBG_Data!$W$2:$W$4000,0)),NA()))</f>
        <v/>
      </c>
      <c r="AK1034" s="19">
        <f>IF(NOT(ISNUMBER($A1034)),NA(),IFERROR(1*INDEX(BBG_Data!$Z$2:$Z$4000,MATCH($A1034,BBG_Data!$Y$2:$Y$4000,0)),NA()))</f>
        <v/>
      </c>
    </row>
    <row r="1035">
      <c r="A1035" s="17">
        <f>IF(ISNUMBER(BBG_Data!A1035),BBG_Data!A1035,"")</f>
        <v/>
      </c>
      <c r="B1035" s="18">
        <f>IF(AND(ISNUMBER($A1035),ISNUMBER(BBG_Data!B1035)),BBG_Data!B1035,NA())</f>
        <v/>
      </c>
      <c r="C1035" s="18">
        <f>IF(NOT(ISNUMBER($A1035)),NA(),IFERROR(1*INDEX(BBG_Data!$D$2:$D$4000,MATCH($A1035,BBG_Data!$C$2:$C$4000,0)),NA()))</f>
        <v/>
      </c>
      <c r="D1035" s="19">
        <f>IF(NOT(ISNUMBER($A1035)),NA(),IFERROR(1*INDEX(BBG_Data!$F$2:$F$4000,MATCH($A1035,BBG_Data!$E$2:$E$4000,0)),NA()))</f>
        <v/>
      </c>
      <c r="E1035" s="19">
        <f>IF(NOT(ISNUMBER($A1035)),NA(),IFERROR(1*INDEX(BBG_Data!$H$2:$H$4000,MATCH($A1035,BBG_Data!$G$2:$G$4000,0)),NA()))</f>
        <v/>
      </c>
      <c r="F1035" s="20">
        <f>IF(AND(ISNUMBER(B1035),ISNUMBER(B1034)),IF(B1035=B1034,"",(B1035-B1034)*100),"")</f>
        <v/>
      </c>
      <c r="G1035" s="20">
        <f>IF(AND(ISNUMBER(C1035),ISNUMBER(C1034)),IF(C1035=C1034,"",(C1035-C1034)*100),"")</f>
        <v/>
      </c>
      <c r="H1035" s="20">
        <f>IF(OR(NOT(ISNUMBER($A1035)),ROW()-2&lt;Settings!$B$11),NA(),IF(COUNT(OFFSET(F1035,1-Settings!$B$11,0,Settings!$B$11,1))&lt;ROUNDUP(Settings!$B$11*Settings!$B$26,0),NA(),STDEV(OFFSET(F1035,1-Settings!$B$11,0,Settings!$B$11,1))*SQRT(Settings!$B$13)))</f>
        <v/>
      </c>
      <c r="I1035" s="20">
        <f>IF(OR(NOT(ISNUMBER($A1035)),ROW()-2&lt;Settings!$B$12),NA(),IF(COUNT(OFFSET(F1035,1-Settings!$B$12,0,Settings!$B$12,1))&lt;ROUNDUP(Settings!$B$12*Settings!$B$26,0),NA(),STDEV(OFFSET(F1035,1-Settings!$B$12,0,Settings!$B$12,1))*SQRT(Settings!$B$13)))</f>
        <v/>
      </c>
      <c r="J1035" s="20">
        <f>IF(OR(NOT(ISNUMBER($A1035)),ROW()-2&lt;Settings!$B$11),NA(),IF(COUNT(OFFSET(G1035,1-Settings!$B$11,0,Settings!$B$11,1))&lt;ROUNDUP(Settings!$B$11*Settings!$B$26,0),NA(),STDEV(OFFSET(G1035,1-Settings!$B$11,0,Settings!$B$11,1))*SQRT(Settings!$B$13)))</f>
        <v/>
      </c>
      <c r="K1035" s="20">
        <f>IF(OR(NOT(ISNUMBER($A1035)),ROW()-2&lt;Settings!$B$12),NA(),IF(COUNT(OFFSET(G1035,1-Settings!$B$12,0,Settings!$B$12,1))&lt;ROUNDUP(Settings!$B$12*Settings!$B$26,0),NA(),STDEV(OFFSET(G1035,1-Settings!$B$12,0,Settings!$B$12,1))*SQRT(Settings!$B$13)))</f>
        <v/>
      </c>
      <c r="L1035" s="20">
        <f>IF(AND(ISNUMBER(D1035),ISNUMBER(H1035)),D1035-H1035,NA())</f>
        <v/>
      </c>
      <c r="M1035" s="20">
        <f>IF(AND(ISNUMBER(E1035),ISNUMBER(K1035)),E1035-K1035,NA())</f>
        <v/>
      </c>
      <c r="N1035" s="20">
        <f>IF(NOT(ISNUMBER($A1035)),NA(),IF(COUNT(OFFSET(G1035,1,0,Settings!$B$12,1))&lt;ROUNDUP(Settings!$B$12*Settings!$B$26,0),NA(),STDEV(OFFSET(G1035,1,0,Settings!$B$12,1))*SQRT(Settings!$B$13)))</f>
        <v/>
      </c>
      <c r="O1035" s="20">
        <f>IF(AND(ISNUMBER(E1035),ISNUMBER(N1035)),E1035-N1035,NA())</f>
        <v/>
      </c>
      <c r="P1035" s="19">
        <f>IF(NOT(ISNUMBER($A1035)),NA(),IF(OR($A1035&lt;MIN(KW_TP!$A$2:$A$2501),$A1035&gt;MAX(KW_TP!$A$2:$A$2501)),NA(),INDEX(KW_TP!$C$2:$C$2501,MATCH($A1035,KW_TP!$A$2:$A$2501,1))))</f>
        <v/>
      </c>
      <c r="Q1035" s="18">
        <f>IF(NOT(ISNUMBER($A1035)),NA(),IFERROR(1*INDEX(BBG_Data!$J$2:$J$4000,MATCH($A1035,BBG_Data!$I$2:$I$4000,0)),NA()))</f>
        <v/>
      </c>
      <c r="R1035" s="18">
        <f>IF(NOT(ISNUMBER($A1035)),NA(),IFERROR(1*INDEX(BBG_Data!$L$2:$L$4000,MATCH($A1035,BBG_Data!$K$2:$K$4000,0)),NA()))</f>
        <v/>
      </c>
      <c r="S1035" s="20">
        <f>IF(AND(ISNUMBER(B1035),ISNUMBER(Q1035),ISNUMBER(R1035)),(B1035-Q1035-R1035)*100,NA())</f>
        <v/>
      </c>
      <c r="T1035" s="20">
        <f>IF(AND(ISNUMBER(B1035),Settings!$B$17&gt;0),IF(ISNUMBER(INDEX($B:$B,Settings!$B$17)),(B1035-INDEX($B:$B,Settings!$B$17))*100,NA()),NA())</f>
        <v/>
      </c>
      <c r="U1035" s="20">
        <f>IF(AND(ISNUMBER(Q1035),Settings!$B$17&gt;0),IF(ISNUMBER(INDEX($Q:$Q,Settings!$B$17)),(Q1035-INDEX($Q:$Q,Settings!$B$17))*100,NA()),NA())</f>
        <v/>
      </c>
      <c r="V1035" s="20">
        <f>IF(AND(ISNUMBER(R1035),Settings!$B$17&gt;0),IF(ISNUMBER(INDEX($R:$R,Settings!$B$17)),(R1035-INDEX($R:$R,Settings!$B$17))*100,NA()),NA())</f>
        <v/>
      </c>
      <c r="W1035" s="20">
        <f>IF(AND(ISNUMBER(P1035),Settings!$B$17&gt;0),IF(ISNUMBER(INDEX($P:$P,Settings!$B$17)),P1035-INDEX($P:$P,Settings!$B$17),NA()),NA())</f>
        <v/>
      </c>
      <c r="X1035" s="19">
        <f>IF(NOT(ISNUMBER($A1035)),NA(),IF(OR($A1035&lt;MIN(DKW_10Y!$A$2:$A$2918),$A1035&gt;MAX(DKW_10Y!$A$2:$A$2918),Settings!$B$16&lt;MIN(DKW_10Y!$A$2:$A$2918)),NA(),(INDEX(DKW_10Y!$B$2:$B$2918,MATCH($A1035,DKW_10Y!$A$2:$A$2918,1))-INDEX(DKW_10Y!$B$2:$B$2918,MATCH(Settings!$B$16,DKW_10Y!$A$2:$A$2918,1)))*100))</f>
        <v/>
      </c>
      <c r="Y1035" s="19">
        <f>IF(NOT(ISNUMBER($A1035)),NA(),IF(OR($A1035&lt;MIN(DKW_10Y!$A$2:$A$2918),$A1035&gt;MAX(DKW_10Y!$A$2:$A$2918),Settings!$B$16&lt;MIN(DKW_10Y!$A$2:$A$2918)),NA(),(INDEX(DKW_10Y!$C$2:$C$2918,MATCH($A1035,DKW_10Y!$A$2:$A$2918,1))-INDEX(DKW_10Y!$C$2:$C$2918,MATCH(Settings!$B$16,DKW_10Y!$A$2:$A$2918,1)))*100))</f>
        <v/>
      </c>
      <c r="Z1035" s="19">
        <f>IF(NOT(ISNUMBER($A1035)),NA(),IF(OR($A1035&lt;MIN(DKW_10Y!$A$2:$A$2918),$A1035&gt;MAX(DKW_10Y!$A$2:$A$2918),Settings!$B$16&lt;MIN(DKW_10Y!$A$2:$A$2918)),NA(),(INDEX(DKW_10Y!$D$2:$D$2918,MATCH($A1035,DKW_10Y!$A$2:$A$2918,1))-INDEX(DKW_10Y!$D$2:$D$2918,MATCH(Settings!$B$16,DKW_10Y!$A$2:$A$2918,1)))*100))</f>
        <v/>
      </c>
      <c r="AA1035" s="19">
        <f>IF(NOT(ISNUMBER($A1035)),NA(),IF(OR($A1035&lt;MIN(DKW_10Y!$A$2:$A$2918),$A1035&gt;MAX(DKW_10Y!$A$2:$A$2918),Settings!$B$16&lt;MIN(DKW_10Y!$A$2:$A$2918)),NA(),(INDEX(DKW_10Y!$E$2:$E$2918,MATCH($A1035,DKW_10Y!$A$2:$A$2918,1))-INDEX(DKW_10Y!$E$2:$E$2918,MATCH(Settings!$B$16,DKW_10Y!$A$2:$A$2918,1)))*100))</f>
        <v/>
      </c>
      <c r="AB1035" s="19">
        <f>IF(NOT(ISNUMBER($A1035)),NA(),IF(OR($A1035&lt;MIN(DKW_10Y!$A$2:$A$2918),$A1035&gt;MAX(DKW_10Y!$A$2:$A$2918),Settings!$B$16&lt;MIN(DKW_10Y!$A$2:$A$2918)),NA(),(INDEX(DKW_10Y!$H$2:$H$2918,MATCH($A1035,DKW_10Y!$A$2:$A$2918,1))-INDEX(DKW_10Y!$H$2:$H$2918,MATCH(Settings!$B$16,DKW_10Y!$A$2:$A$2918,1)))*100))</f>
        <v/>
      </c>
      <c r="AC1035" s="18">
        <f>IF(NOT(ISNUMBER($A1035)),NA(),IFERROR(1*INDEX(BBG_Data!$N$2:$N$4000,MATCH($A1035,BBG_Data!$M$2:$M$4000,0)),NA()))</f>
        <v/>
      </c>
      <c r="AD1035" s="18">
        <f>IF(NOT(ISNUMBER($A1035)),NA(),IFERROR(1*INDEX(BBG_Data!$P$2:$P$4000,MATCH($A1035,BBG_Data!$O$2:$O$4000,0)),NA()))</f>
        <v/>
      </c>
      <c r="AE1035" s="18">
        <f>IF(NOT(ISNUMBER($A1035)),NA(),IFERROR(1*INDEX(BBG_Data!$R$2:$R$4000,MATCH($A1035,BBG_Data!$Q$2:$Q$4000,0)),NA()))</f>
        <v/>
      </c>
      <c r="AF1035" s="20">
        <f>IF(AND(ISNUMBER(B1035),ISNUMBER(AC1035)),(B1035-AC1035)*100,NA())</f>
        <v/>
      </c>
      <c r="AG1035" s="20">
        <f>IF(AND(ISNUMBER(AE1035),ISNUMBER(AD1035)),(AE1035-AD1035)*100,NA())</f>
        <v/>
      </c>
      <c r="AH1035" s="19">
        <f>IF(NOT(ISNUMBER($A1035)),NA(),IFERROR(INDEX(BBG_Data!$T$2:$T$4000,MATCH($A1035,BBG_Data!$S$2:$S$4000,0))*Settings!$B$25,NA()))</f>
        <v/>
      </c>
      <c r="AI1035" s="19">
        <f>IF(NOT(ISNUMBER($A1035)),NA(),IFERROR(INDEX(BBG_Data!$V$2:$V$4000,MATCH($A1035,BBG_Data!$U$2:$U$4000,0))*Settings!$B$25,NA()))</f>
        <v/>
      </c>
      <c r="AJ1035" s="19">
        <f>IF(NOT(ISNUMBER($A1035)),NA(),IFERROR(1*INDEX(BBG_Data!$X$2:$X$4000,MATCH($A1035,BBG_Data!$W$2:$W$4000,0)),NA()))</f>
        <v/>
      </c>
      <c r="AK1035" s="19">
        <f>IF(NOT(ISNUMBER($A1035)),NA(),IFERROR(1*INDEX(BBG_Data!$Z$2:$Z$4000,MATCH($A1035,BBG_Data!$Y$2:$Y$4000,0)),NA()))</f>
        <v/>
      </c>
    </row>
    <row r="1036">
      <c r="A1036" s="17">
        <f>IF(ISNUMBER(BBG_Data!A1036),BBG_Data!A1036,"")</f>
        <v/>
      </c>
      <c r="B1036" s="18">
        <f>IF(AND(ISNUMBER($A1036),ISNUMBER(BBG_Data!B1036)),BBG_Data!B1036,NA())</f>
        <v/>
      </c>
      <c r="C1036" s="18">
        <f>IF(NOT(ISNUMBER($A1036)),NA(),IFERROR(1*INDEX(BBG_Data!$D$2:$D$4000,MATCH($A1036,BBG_Data!$C$2:$C$4000,0)),NA()))</f>
        <v/>
      </c>
      <c r="D1036" s="19">
        <f>IF(NOT(ISNUMBER($A1036)),NA(),IFERROR(1*INDEX(BBG_Data!$F$2:$F$4000,MATCH($A1036,BBG_Data!$E$2:$E$4000,0)),NA()))</f>
        <v/>
      </c>
      <c r="E1036" s="19">
        <f>IF(NOT(ISNUMBER($A1036)),NA(),IFERROR(1*INDEX(BBG_Data!$H$2:$H$4000,MATCH($A1036,BBG_Data!$G$2:$G$4000,0)),NA()))</f>
        <v/>
      </c>
      <c r="F1036" s="20">
        <f>IF(AND(ISNUMBER(B1036),ISNUMBER(B1035)),IF(B1036=B1035,"",(B1036-B1035)*100),"")</f>
        <v/>
      </c>
      <c r="G1036" s="20">
        <f>IF(AND(ISNUMBER(C1036),ISNUMBER(C1035)),IF(C1036=C1035,"",(C1036-C1035)*100),"")</f>
        <v/>
      </c>
      <c r="H1036" s="20">
        <f>IF(OR(NOT(ISNUMBER($A1036)),ROW()-2&lt;Settings!$B$11),NA(),IF(COUNT(OFFSET(F1036,1-Settings!$B$11,0,Settings!$B$11,1))&lt;ROUNDUP(Settings!$B$11*Settings!$B$26,0),NA(),STDEV(OFFSET(F1036,1-Settings!$B$11,0,Settings!$B$11,1))*SQRT(Settings!$B$13)))</f>
        <v/>
      </c>
      <c r="I1036" s="20">
        <f>IF(OR(NOT(ISNUMBER($A1036)),ROW()-2&lt;Settings!$B$12),NA(),IF(COUNT(OFFSET(F1036,1-Settings!$B$12,0,Settings!$B$12,1))&lt;ROUNDUP(Settings!$B$12*Settings!$B$26,0),NA(),STDEV(OFFSET(F1036,1-Settings!$B$12,0,Settings!$B$12,1))*SQRT(Settings!$B$13)))</f>
        <v/>
      </c>
      <c r="J1036" s="20">
        <f>IF(OR(NOT(ISNUMBER($A1036)),ROW()-2&lt;Settings!$B$11),NA(),IF(COUNT(OFFSET(G1036,1-Settings!$B$11,0,Settings!$B$11,1))&lt;ROUNDUP(Settings!$B$11*Settings!$B$26,0),NA(),STDEV(OFFSET(G1036,1-Settings!$B$11,0,Settings!$B$11,1))*SQRT(Settings!$B$13)))</f>
        <v/>
      </c>
      <c r="K1036" s="20">
        <f>IF(OR(NOT(ISNUMBER($A1036)),ROW()-2&lt;Settings!$B$12),NA(),IF(COUNT(OFFSET(G1036,1-Settings!$B$12,0,Settings!$B$12,1))&lt;ROUNDUP(Settings!$B$12*Settings!$B$26,0),NA(),STDEV(OFFSET(G1036,1-Settings!$B$12,0,Settings!$B$12,1))*SQRT(Settings!$B$13)))</f>
        <v/>
      </c>
      <c r="L1036" s="20">
        <f>IF(AND(ISNUMBER(D1036),ISNUMBER(H1036)),D1036-H1036,NA())</f>
        <v/>
      </c>
      <c r="M1036" s="20">
        <f>IF(AND(ISNUMBER(E1036),ISNUMBER(K1036)),E1036-K1036,NA())</f>
        <v/>
      </c>
      <c r="N1036" s="20">
        <f>IF(NOT(ISNUMBER($A1036)),NA(),IF(COUNT(OFFSET(G1036,1,0,Settings!$B$12,1))&lt;ROUNDUP(Settings!$B$12*Settings!$B$26,0),NA(),STDEV(OFFSET(G1036,1,0,Settings!$B$12,1))*SQRT(Settings!$B$13)))</f>
        <v/>
      </c>
      <c r="O1036" s="20">
        <f>IF(AND(ISNUMBER(E1036),ISNUMBER(N1036)),E1036-N1036,NA())</f>
        <v/>
      </c>
      <c r="P1036" s="19">
        <f>IF(NOT(ISNUMBER($A1036)),NA(),IF(OR($A1036&lt;MIN(KW_TP!$A$2:$A$2501),$A1036&gt;MAX(KW_TP!$A$2:$A$2501)),NA(),INDEX(KW_TP!$C$2:$C$2501,MATCH($A1036,KW_TP!$A$2:$A$2501,1))))</f>
        <v/>
      </c>
      <c r="Q1036" s="18">
        <f>IF(NOT(ISNUMBER($A1036)),NA(),IFERROR(1*INDEX(BBG_Data!$J$2:$J$4000,MATCH($A1036,BBG_Data!$I$2:$I$4000,0)),NA()))</f>
        <v/>
      </c>
      <c r="R1036" s="18">
        <f>IF(NOT(ISNUMBER($A1036)),NA(),IFERROR(1*INDEX(BBG_Data!$L$2:$L$4000,MATCH($A1036,BBG_Data!$K$2:$K$4000,0)),NA()))</f>
        <v/>
      </c>
      <c r="S1036" s="20">
        <f>IF(AND(ISNUMBER(B1036),ISNUMBER(Q1036),ISNUMBER(R1036)),(B1036-Q1036-R1036)*100,NA())</f>
        <v/>
      </c>
      <c r="T1036" s="20">
        <f>IF(AND(ISNUMBER(B1036),Settings!$B$17&gt;0),IF(ISNUMBER(INDEX($B:$B,Settings!$B$17)),(B1036-INDEX($B:$B,Settings!$B$17))*100,NA()),NA())</f>
        <v/>
      </c>
      <c r="U1036" s="20">
        <f>IF(AND(ISNUMBER(Q1036),Settings!$B$17&gt;0),IF(ISNUMBER(INDEX($Q:$Q,Settings!$B$17)),(Q1036-INDEX($Q:$Q,Settings!$B$17))*100,NA()),NA())</f>
        <v/>
      </c>
      <c r="V1036" s="20">
        <f>IF(AND(ISNUMBER(R1036),Settings!$B$17&gt;0),IF(ISNUMBER(INDEX($R:$R,Settings!$B$17)),(R1036-INDEX($R:$R,Settings!$B$17))*100,NA()),NA())</f>
        <v/>
      </c>
      <c r="W1036" s="20">
        <f>IF(AND(ISNUMBER(P1036),Settings!$B$17&gt;0),IF(ISNUMBER(INDEX($P:$P,Settings!$B$17)),P1036-INDEX($P:$P,Settings!$B$17),NA()),NA())</f>
        <v/>
      </c>
      <c r="X1036" s="19">
        <f>IF(NOT(ISNUMBER($A1036)),NA(),IF(OR($A1036&lt;MIN(DKW_10Y!$A$2:$A$2918),$A1036&gt;MAX(DKW_10Y!$A$2:$A$2918),Settings!$B$16&lt;MIN(DKW_10Y!$A$2:$A$2918)),NA(),(INDEX(DKW_10Y!$B$2:$B$2918,MATCH($A1036,DKW_10Y!$A$2:$A$2918,1))-INDEX(DKW_10Y!$B$2:$B$2918,MATCH(Settings!$B$16,DKW_10Y!$A$2:$A$2918,1)))*100))</f>
        <v/>
      </c>
      <c r="Y1036" s="19">
        <f>IF(NOT(ISNUMBER($A1036)),NA(),IF(OR($A1036&lt;MIN(DKW_10Y!$A$2:$A$2918),$A1036&gt;MAX(DKW_10Y!$A$2:$A$2918),Settings!$B$16&lt;MIN(DKW_10Y!$A$2:$A$2918)),NA(),(INDEX(DKW_10Y!$C$2:$C$2918,MATCH($A1036,DKW_10Y!$A$2:$A$2918,1))-INDEX(DKW_10Y!$C$2:$C$2918,MATCH(Settings!$B$16,DKW_10Y!$A$2:$A$2918,1)))*100))</f>
        <v/>
      </c>
      <c r="Z1036" s="19">
        <f>IF(NOT(ISNUMBER($A1036)),NA(),IF(OR($A1036&lt;MIN(DKW_10Y!$A$2:$A$2918),$A1036&gt;MAX(DKW_10Y!$A$2:$A$2918),Settings!$B$16&lt;MIN(DKW_10Y!$A$2:$A$2918)),NA(),(INDEX(DKW_10Y!$D$2:$D$2918,MATCH($A1036,DKW_10Y!$A$2:$A$2918,1))-INDEX(DKW_10Y!$D$2:$D$2918,MATCH(Settings!$B$16,DKW_10Y!$A$2:$A$2918,1)))*100))</f>
        <v/>
      </c>
      <c r="AA1036" s="19">
        <f>IF(NOT(ISNUMBER($A1036)),NA(),IF(OR($A1036&lt;MIN(DKW_10Y!$A$2:$A$2918),$A1036&gt;MAX(DKW_10Y!$A$2:$A$2918),Settings!$B$16&lt;MIN(DKW_10Y!$A$2:$A$2918)),NA(),(INDEX(DKW_10Y!$E$2:$E$2918,MATCH($A1036,DKW_10Y!$A$2:$A$2918,1))-INDEX(DKW_10Y!$E$2:$E$2918,MATCH(Settings!$B$16,DKW_10Y!$A$2:$A$2918,1)))*100))</f>
        <v/>
      </c>
      <c r="AB1036" s="19">
        <f>IF(NOT(ISNUMBER($A1036)),NA(),IF(OR($A1036&lt;MIN(DKW_10Y!$A$2:$A$2918),$A1036&gt;MAX(DKW_10Y!$A$2:$A$2918),Settings!$B$16&lt;MIN(DKW_10Y!$A$2:$A$2918)),NA(),(INDEX(DKW_10Y!$H$2:$H$2918,MATCH($A1036,DKW_10Y!$A$2:$A$2918,1))-INDEX(DKW_10Y!$H$2:$H$2918,MATCH(Settings!$B$16,DKW_10Y!$A$2:$A$2918,1)))*100))</f>
        <v/>
      </c>
      <c r="AC1036" s="18">
        <f>IF(NOT(ISNUMBER($A1036)),NA(),IFERROR(1*INDEX(BBG_Data!$N$2:$N$4000,MATCH($A1036,BBG_Data!$M$2:$M$4000,0)),NA()))</f>
        <v/>
      </c>
      <c r="AD1036" s="18">
        <f>IF(NOT(ISNUMBER($A1036)),NA(),IFERROR(1*INDEX(BBG_Data!$P$2:$P$4000,MATCH($A1036,BBG_Data!$O$2:$O$4000,0)),NA()))</f>
        <v/>
      </c>
      <c r="AE1036" s="18">
        <f>IF(NOT(ISNUMBER($A1036)),NA(),IFERROR(1*INDEX(BBG_Data!$R$2:$R$4000,MATCH($A1036,BBG_Data!$Q$2:$Q$4000,0)),NA()))</f>
        <v/>
      </c>
      <c r="AF1036" s="20">
        <f>IF(AND(ISNUMBER(B1036),ISNUMBER(AC1036)),(B1036-AC1036)*100,NA())</f>
        <v/>
      </c>
      <c r="AG1036" s="20">
        <f>IF(AND(ISNUMBER(AE1036),ISNUMBER(AD1036)),(AE1036-AD1036)*100,NA())</f>
        <v/>
      </c>
      <c r="AH1036" s="19">
        <f>IF(NOT(ISNUMBER($A1036)),NA(),IFERROR(INDEX(BBG_Data!$T$2:$T$4000,MATCH($A1036,BBG_Data!$S$2:$S$4000,0))*Settings!$B$25,NA()))</f>
        <v/>
      </c>
      <c r="AI1036" s="19">
        <f>IF(NOT(ISNUMBER($A1036)),NA(),IFERROR(INDEX(BBG_Data!$V$2:$V$4000,MATCH($A1036,BBG_Data!$U$2:$U$4000,0))*Settings!$B$25,NA()))</f>
        <v/>
      </c>
      <c r="AJ1036" s="19">
        <f>IF(NOT(ISNUMBER($A1036)),NA(),IFERROR(1*INDEX(BBG_Data!$X$2:$X$4000,MATCH($A1036,BBG_Data!$W$2:$W$4000,0)),NA()))</f>
        <v/>
      </c>
      <c r="AK1036" s="19">
        <f>IF(NOT(ISNUMBER($A1036)),NA(),IFERROR(1*INDEX(BBG_Data!$Z$2:$Z$4000,MATCH($A1036,BBG_Data!$Y$2:$Y$4000,0)),NA()))</f>
        <v/>
      </c>
    </row>
    <row r="1037">
      <c r="A1037" s="17">
        <f>IF(ISNUMBER(BBG_Data!A1037),BBG_Data!A1037,"")</f>
        <v/>
      </c>
      <c r="B1037" s="18">
        <f>IF(AND(ISNUMBER($A1037),ISNUMBER(BBG_Data!B1037)),BBG_Data!B1037,NA())</f>
        <v/>
      </c>
      <c r="C1037" s="18">
        <f>IF(NOT(ISNUMBER($A1037)),NA(),IFERROR(1*INDEX(BBG_Data!$D$2:$D$4000,MATCH($A1037,BBG_Data!$C$2:$C$4000,0)),NA()))</f>
        <v/>
      </c>
      <c r="D1037" s="19">
        <f>IF(NOT(ISNUMBER($A1037)),NA(),IFERROR(1*INDEX(BBG_Data!$F$2:$F$4000,MATCH($A1037,BBG_Data!$E$2:$E$4000,0)),NA()))</f>
        <v/>
      </c>
      <c r="E1037" s="19">
        <f>IF(NOT(ISNUMBER($A1037)),NA(),IFERROR(1*INDEX(BBG_Data!$H$2:$H$4000,MATCH($A1037,BBG_Data!$G$2:$G$4000,0)),NA()))</f>
        <v/>
      </c>
      <c r="F1037" s="20">
        <f>IF(AND(ISNUMBER(B1037),ISNUMBER(B1036)),IF(B1037=B1036,"",(B1037-B1036)*100),"")</f>
        <v/>
      </c>
      <c r="G1037" s="20">
        <f>IF(AND(ISNUMBER(C1037),ISNUMBER(C1036)),IF(C1037=C1036,"",(C1037-C1036)*100),"")</f>
        <v/>
      </c>
      <c r="H1037" s="20">
        <f>IF(OR(NOT(ISNUMBER($A1037)),ROW()-2&lt;Settings!$B$11),NA(),IF(COUNT(OFFSET(F1037,1-Settings!$B$11,0,Settings!$B$11,1))&lt;ROUNDUP(Settings!$B$11*Settings!$B$26,0),NA(),STDEV(OFFSET(F1037,1-Settings!$B$11,0,Settings!$B$11,1))*SQRT(Settings!$B$13)))</f>
        <v/>
      </c>
      <c r="I1037" s="20">
        <f>IF(OR(NOT(ISNUMBER($A1037)),ROW()-2&lt;Settings!$B$12),NA(),IF(COUNT(OFFSET(F1037,1-Settings!$B$12,0,Settings!$B$12,1))&lt;ROUNDUP(Settings!$B$12*Settings!$B$26,0),NA(),STDEV(OFFSET(F1037,1-Settings!$B$12,0,Settings!$B$12,1))*SQRT(Settings!$B$13)))</f>
        <v/>
      </c>
      <c r="J1037" s="20">
        <f>IF(OR(NOT(ISNUMBER($A1037)),ROW()-2&lt;Settings!$B$11),NA(),IF(COUNT(OFFSET(G1037,1-Settings!$B$11,0,Settings!$B$11,1))&lt;ROUNDUP(Settings!$B$11*Settings!$B$26,0),NA(),STDEV(OFFSET(G1037,1-Settings!$B$11,0,Settings!$B$11,1))*SQRT(Settings!$B$13)))</f>
        <v/>
      </c>
      <c r="K1037" s="20">
        <f>IF(OR(NOT(ISNUMBER($A1037)),ROW()-2&lt;Settings!$B$12),NA(),IF(COUNT(OFFSET(G1037,1-Settings!$B$12,0,Settings!$B$12,1))&lt;ROUNDUP(Settings!$B$12*Settings!$B$26,0),NA(),STDEV(OFFSET(G1037,1-Settings!$B$12,0,Settings!$B$12,1))*SQRT(Settings!$B$13)))</f>
        <v/>
      </c>
      <c r="L1037" s="20">
        <f>IF(AND(ISNUMBER(D1037),ISNUMBER(H1037)),D1037-H1037,NA())</f>
        <v/>
      </c>
      <c r="M1037" s="20">
        <f>IF(AND(ISNUMBER(E1037),ISNUMBER(K1037)),E1037-K1037,NA())</f>
        <v/>
      </c>
      <c r="N1037" s="20">
        <f>IF(NOT(ISNUMBER($A1037)),NA(),IF(COUNT(OFFSET(G1037,1,0,Settings!$B$12,1))&lt;ROUNDUP(Settings!$B$12*Settings!$B$26,0),NA(),STDEV(OFFSET(G1037,1,0,Settings!$B$12,1))*SQRT(Settings!$B$13)))</f>
        <v/>
      </c>
      <c r="O1037" s="20">
        <f>IF(AND(ISNUMBER(E1037),ISNUMBER(N1037)),E1037-N1037,NA())</f>
        <v/>
      </c>
      <c r="P1037" s="19">
        <f>IF(NOT(ISNUMBER($A1037)),NA(),IF(OR($A1037&lt;MIN(KW_TP!$A$2:$A$2501),$A1037&gt;MAX(KW_TP!$A$2:$A$2501)),NA(),INDEX(KW_TP!$C$2:$C$2501,MATCH($A1037,KW_TP!$A$2:$A$2501,1))))</f>
        <v/>
      </c>
      <c r="Q1037" s="18">
        <f>IF(NOT(ISNUMBER($A1037)),NA(),IFERROR(1*INDEX(BBG_Data!$J$2:$J$4000,MATCH($A1037,BBG_Data!$I$2:$I$4000,0)),NA()))</f>
        <v/>
      </c>
      <c r="R1037" s="18">
        <f>IF(NOT(ISNUMBER($A1037)),NA(),IFERROR(1*INDEX(BBG_Data!$L$2:$L$4000,MATCH($A1037,BBG_Data!$K$2:$K$4000,0)),NA()))</f>
        <v/>
      </c>
      <c r="S1037" s="20">
        <f>IF(AND(ISNUMBER(B1037),ISNUMBER(Q1037),ISNUMBER(R1037)),(B1037-Q1037-R1037)*100,NA())</f>
        <v/>
      </c>
      <c r="T1037" s="20">
        <f>IF(AND(ISNUMBER(B1037),Settings!$B$17&gt;0),IF(ISNUMBER(INDEX($B:$B,Settings!$B$17)),(B1037-INDEX($B:$B,Settings!$B$17))*100,NA()),NA())</f>
        <v/>
      </c>
      <c r="U1037" s="20">
        <f>IF(AND(ISNUMBER(Q1037),Settings!$B$17&gt;0),IF(ISNUMBER(INDEX($Q:$Q,Settings!$B$17)),(Q1037-INDEX($Q:$Q,Settings!$B$17))*100,NA()),NA())</f>
        <v/>
      </c>
      <c r="V1037" s="20">
        <f>IF(AND(ISNUMBER(R1037),Settings!$B$17&gt;0),IF(ISNUMBER(INDEX($R:$R,Settings!$B$17)),(R1037-INDEX($R:$R,Settings!$B$17))*100,NA()),NA())</f>
        <v/>
      </c>
      <c r="W1037" s="20">
        <f>IF(AND(ISNUMBER(P1037),Settings!$B$17&gt;0),IF(ISNUMBER(INDEX($P:$P,Settings!$B$17)),P1037-INDEX($P:$P,Settings!$B$17),NA()),NA())</f>
        <v/>
      </c>
      <c r="X1037" s="19">
        <f>IF(NOT(ISNUMBER($A1037)),NA(),IF(OR($A1037&lt;MIN(DKW_10Y!$A$2:$A$2918),$A1037&gt;MAX(DKW_10Y!$A$2:$A$2918),Settings!$B$16&lt;MIN(DKW_10Y!$A$2:$A$2918)),NA(),(INDEX(DKW_10Y!$B$2:$B$2918,MATCH($A1037,DKW_10Y!$A$2:$A$2918,1))-INDEX(DKW_10Y!$B$2:$B$2918,MATCH(Settings!$B$16,DKW_10Y!$A$2:$A$2918,1)))*100))</f>
        <v/>
      </c>
      <c r="Y1037" s="19">
        <f>IF(NOT(ISNUMBER($A1037)),NA(),IF(OR($A1037&lt;MIN(DKW_10Y!$A$2:$A$2918),$A1037&gt;MAX(DKW_10Y!$A$2:$A$2918),Settings!$B$16&lt;MIN(DKW_10Y!$A$2:$A$2918)),NA(),(INDEX(DKW_10Y!$C$2:$C$2918,MATCH($A1037,DKW_10Y!$A$2:$A$2918,1))-INDEX(DKW_10Y!$C$2:$C$2918,MATCH(Settings!$B$16,DKW_10Y!$A$2:$A$2918,1)))*100))</f>
        <v/>
      </c>
      <c r="Z1037" s="19">
        <f>IF(NOT(ISNUMBER($A1037)),NA(),IF(OR($A1037&lt;MIN(DKW_10Y!$A$2:$A$2918),$A1037&gt;MAX(DKW_10Y!$A$2:$A$2918),Settings!$B$16&lt;MIN(DKW_10Y!$A$2:$A$2918)),NA(),(INDEX(DKW_10Y!$D$2:$D$2918,MATCH($A1037,DKW_10Y!$A$2:$A$2918,1))-INDEX(DKW_10Y!$D$2:$D$2918,MATCH(Settings!$B$16,DKW_10Y!$A$2:$A$2918,1)))*100))</f>
        <v/>
      </c>
      <c r="AA1037" s="19">
        <f>IF(NOT(ISNUMBER($A1037)),NA(),IF(OR($A1037&lt;MIN(DKW_10Y!$A$2:$A$2918),$A1037&gt;MAX(DKW_10Y!$A$2:$A$2918),Settings!$B$16&lt;MIN(DKW_10Y!$A$2:$A$2918)),NA(),(INDEX(DKW_10Y!$E$2:$E$2918,MATCH($A1037,DKW_10Y!$A$2:$A$2918,1))-INDEX(DKW_10Y!$E$2:$E$2918,MATCH(Settings!$B$16,DKW_10Y!$A$2:$A$2918,1)))*100))</f>
        <v/>
      </c>
      <c r="AB1037" s="19">
        <f>IF(NOT(ISNUMBER($A1037)),NA(),IF(OR($A1037&lt;MIN(DKW_10Y!$A$2:$A$2918),$A1037&gt;MAX(DKW_10Y!$A$2:$A$2918),Settings!$B$16&lt;MIN(DKW_10Y!$A$2:$A$2918)),NA(),(INDEX(DKW_10Y!$H$2:$H$2918,MATCH($A1037,DKW_10Y!$A$2:$A$2918,1))-INDEX(DKW_10Y!$H$2:$H$2918,MATCH(Settings!$B$16,DKW_10Y!$A$2:$A$2918,1)))*100))</f>
        <v/>
      </c>
      <c r="AC1037" s="18">
        <f>IF(NOT(ISNUMBER($A1037)),NA(),IFERROR(1*INDEX(BBG_Data!$N$2:$N$4000,MATCH($A1037,BBG_Data!$M$2:$M$4000,0)),NA()))</f>
        <v/>
      </c>
      <c r="AD1037" s="18">
        <f>IF(NOT(ISNUMBER($A1037)),NA(),IFERROR(1*INDEX(BBG_Data!$P$2:$P$4000,MATCH($A1037,BBG_Data!$O$2:$O$4000,0)),NA()))</f>
        <v/>
      </c>
      <c r="AE1037" s="18">
        <f>IF(NOT(ISNUMBER($A1037)),NA(),IFERROR(1*INDEX(BBG_Data!$R$2:$R$4000,MATCH($A1037,BBG_Data!$Q$2:$Q$4000,0)),NA()))</f>
        <v/>
      </c>
      <c r="AF1037" s="20">
        <f>IF(AND(ISNUMBER(B1037),ISNUMBER(AC1037)),(B1037-AC1037)*100,NA())</f>
        <v/>
      </c>
      <c r="AG1037" s="20">
        <f>IF(AND(ISNUMBER(AE1037),ISNUMBER(AD1037)),(AE1037-AD1037)*100,NA())</f>
        <v/>
      </c>
      <c r="AH1037" s="19">
        <f>IF(NOT(ISNUMBER($A1037)),NA(),IFERROR(INDEX(BBG_Data!$T$2:$T$4000,MATCH($A1037,BBG_Data!$S$2:$S$4000,0))*Settings!$B$25,NA()))</f>
        <v/>
      </c>
      <c r="AI1037" s="19">
        <f>IF(NOT(ISNUMBER($A1037)),NA(),IFERROR(INDEX(BBG_Data!$V$2:$V$4000,MATCH($A1037,BBG_Data!$U$2:$U$4000,0))*Settings!$B$25,NA()))</f>
        <v/>
      </c>
      <c r="AJ1037" s="19">
        <f>IF(NOT(ISNUMBER($A1037)),NA(),IFERROR(1*INDEX(BBG_Data!$X$2:$X$4000,MATCH($A1037,BBG_Data!$W$2:$W$4000,0)),NA()))</f>
        <v/>
      </c>
      <c r="AK1037" s="19">
        <f>IF(NOT(ISNUMBER($A1037)),NA(),IFERROR(1*INDEX(BBG_Data!$Z$2:$Z$4000,MATCH($A1037,BBG_Data!$Y$2:$Y$4000,0)),NA()))</f>
        <v/>
      </c>
    </row>
    <row r="1038">
      <c r="A1038" s="17">
        <f>IF(ISNUMBER(BBG_Data!A1038),BBG_Data!A1038,"")</f>
        <v/>
      </c>
      <c r="B1038" s="18">
        <f>IF(AND(ISNUMBER($A1038),ISNUMBER(BBG_Data!B1038)),BBG_Data!B1038,NA())</f>
        <v/>
      </c>
      <c r="C1038" s="18">
        <f>IF(NOT(ISNUMBER($A1038)),NA(),IFERROR(1*INDEX(BBG_Data!$D$2:$D$4000,MATCH($A1038,BBG_Data!$C$2:$C$4000,0)),NA()))</f>
        <v/>
      </c>
      <c r="D1038" s="19">
        <f>IF(NOT(ISNUMBER($A1038)),NA(),IFERROR(1*INDEX(BBG_Data!$F$2:$F$4000,MATCH($A1038,BBG_Data!$E$2:$E$4000,0)),NA()))</f>
        <v/>
      </c>
      <c r="E1038" s="19">
        <f>IF(NOT(ISNUMBER($A1038)),NA(),IFERROR(1*INDEX(BBG_Data!$H$2:$H$4000,MATCH($A1038,BBG_Data!$G$2:$G$4000,0)),NA()))</f>
        <v/>
      </c>
      <c r="F1038" s="20">
        <f>IF(AND(ISNUMBER(B1038),ISNUMBER(B1037)),IF(B1038=B1037,"",(B1038-B1037)*100),"")</f>
        <v/>
      </c>
      <c r="G1038" s="20">
        <f>IF(AND(ISNUMBER(C1038),ISNUMBER(C1037)),IF(C1038=C1037,"",(C1038-C1037)*100),"")</f>
        <v/>
      </c>
      <c r="H1038" s="20">
        <f>IF(OR(NOT(ISNUMBER($A1038)),ROW()-2&lt;Settings!$B$11),NA(),IF(COUNT(OFFSET(F1038,1-Settings!$B$11,0,Settings!$B$11,1))&lt;ROUNDUP(Settings!$B$11*Settings!$B$26,0),NA(),STDEV(OFFSET(F1038,1-Settings!$B$11,0,Settings!$B$11,1))*SQRT(Settings!$B$13)))</f>
        <v/>
      </c>
      <c r="I1038" s="20">
        <f>IF(OR(NOT(ISNUMBER($A1038)),ROW()-2&lt;Settings!$B$12),NA(),IF(COUNT(OFFSET(F1038,1-Settings!$B$12,0,Settings!$B$12,1))&lt;ROUNDUP(Settings!$B$12*Settings!$B$26,0),NA(),STDEV(OFFSET(F1038,1-Settings!$B$12,0,Settings!$B$12,1))*SQRT(Settings!$B$13)))</f>
        <v/>
      </c>
      <c r="J1038" s="20">
        <f>IF(OR(NOT(ISNUMBER($A1038)),ROW()-2&lt;Settings!$B$11),NA(),IF(COUNT(OFFSET(G1038,1-Settings!$B$11,0,Settings!$B$11,1))&lt;ROUNDUP(Settings!$B$11*Settings!$B$26,0),NA(),STDEV(OFFSET(G1038,1-Settings!$B$11,0,Settings!$B$11,1))*SQRT(Settings!$B$13)))</f>
        <v/>
      </c>
      <c r="K1038" s="20">
        <f>IF(OR(NOT(ISNUMBER($A1038)),ROW()-2&lt;Settings!$B$12),NA(),IF(COUNT(OFFSET(G1038,1-Settings!$B$12,0,Settings!$B$12,1))&lt;ROUNDUP(Settings!$B$12*Settings!$B$26,0),NA(),STDEV(OFFSET(G1038,1-Settings!$B$12,0,Settings!$B$12,1))*SQRT(Settings!$B$13)))</f>
        <v/>
      </c>
      <c r="L1038" s="20">
        <f>IF(AND(ISNUMBER(D1038),ISNUMBER(H1038)),D1038-H1038,NA())</f>
        <v/>
      </c>
      <c r="M1038" s="20">
        <f>IF(AND(ISNUMBER(E1038),ISNUMBER(K1038)),E1038-K1038,NA())</f>
        <v/>
      </c>
      <c r="N1038" s="20">
        <f>IF(NOT(ISNUMBER($A1038)),NA(),IF(COUNT(OFFSET(G1038,1,0,Settings!$B$12,1))&lt;ROUNDUP(Settings!$B$12*Settings!$B$26,0),NA(),STDEV(OFFSET(G1038,1,0,Settings!$B$12,1))*SQRT(Settings!$B$13)))</f>
        <v/>
      </c>
      <c r="O1038" s="20">
        <f>IF(AND(ISNUMBER(E1038),ISNUMBER(N1038)),E1038-N1038,NA())</f>
        <v/>
      </c>
      <c r="P1038" s="19">
        <f>IF(NOT(ISNUMBER($A1038)),NA(),IF(OR($A1038&lt;MIN(KW_TP!$A$2:$A$2501),$A1038&gt;MAX(KW_TP!$A$2:$A$2501)),NA(),INDEX(KW_TP!$C$2:$C$2501,MATCH($A1038,KW_TP!$A$2:$A$2501,1))))</f>
        <v/>
      </c>
      <c r="Q1038" s="18">
        <f>IF(NOT(ISNUMBER($A1038)),NA(),IFERROR(1*INDEX(BBG_Data!$J$2:$J$4000,MATCH($A1038,BBG_Data!$I$2:$I$4000,0)),NA()))</f>
        <v/>
      </c>
      <c r="R1038" s="18">
        <f>IF(NOT(ISNUMBER($A1038)),NA(),IFERROR(1*INDEX(BBG_Data!$L$2:$L$4000,MATCH($A1038,BBG_Data!$K$2:$K$4000,0)),NA()))</f>
        <v/>
      </c>
      <c r="S1038" s="20">
        <f>IF(AND(ISNUMBER(B1038),ISNUMBER(Q1038),ISNUMBER(R1038)),(B1038-Q1038-R1038)*100,NA())</f>
        <v/>
      </c>
      <c r="T1038" s="20">
        <f>IF(AND(ISNUMBER(B1038),Settings!$B$17&gt;0),IF(ISNUMBER(INDEX($B:$B,Settings!$B$17)),(B1038-INDEX($B:$B,Settings!$B$17))*100,NA()),NA())</f>
        <v/>
      </c>
      <c r="U1038" s="20">
        <f>IF(AND(ISNUMBER(Q1038),Settings!$B$17&gt;0),IF(ISNUMBER(INDEX($Q:$Q,Settings!$B$17)),(Q1038-INDEX($Q:$Q,Settings!$B$17))*100,NA()),NA())</f>
        <v/>
      </c>
      <c r="V1038" s="20">
        <f>IF(AND(ISNUMBER(R1038),Settings!$B$17&gt;0),IF(ISNUMBER(INDEX($R:$R,Settings!$B$17)),(R1038-INDEX($R:$R,Settings!$B$17))*100,NA()),NA())</f>
        <v/>
      </c>
      <c r="W1038" s="20">
        <f>IF(AND(ISNUMBER(P1038),Settings!$B$17&gt;0),IF(ISNUMBER(INDEX($P:$P,Settings!$B$17)),P1038-INDEX($P:$P,Settings!$B$17),NA()),NA())</f>
        <v/>
      </c>
      <c r="X1038" s="19">
        <f>IF(NOT(ISNUMBER($A1038)),NA(),IF(OR($A1038&lt;MIN(DKW_10Y!$A$2:$A$2918),$A1038&gt;MAX(DKW_10Y!$A$2:$A$2918),Settings!$B$16&lt;MIN(DKW_10Y!$A$2:$A$2918)),NA(),(INDEX(DKW_10Y!$B$2:$B$2918,MATCH($A1038,DKW_10Y!$A$2:$A$2918,1))-INDEX(DKW_10Y!$B$2:$B$2918,MATCH(Settings!$B$16,DKW_10Y!$A$2:$A$2918,1)))*100))</f>
        <v/>
      </c>
      <c r="Y1038" s="19">
        <f>IF(NOT(ISNUMBER($A1038)),NA(),IF(OR($A1038&lt;MIN(DKW_10Y!$A$2:$A$2918),$A1038&gt;MAX(DKW_10Y!$A$2:$A$2918),Settings!$B$16&lt;MIN(DKW_10Y!$A$2:$A$2918)),NA(),(INDEX(DKW_10Y!$C$2:$C$2918,MATCH($A1038,DKW_10Y!$A$2:$A$2918,1))-INDEX(DKW_10Y!$C$2:$C$2918,MATCH(Settings!$B$16,DKW_10Y!$A$2:$A$2918,1)))*100))</f>
        <v/>
      </c>
      <c r="Z1038" s="19">
        <f>IF(NOT(ISNUMBER($A1038)),NA(),IF(OR($A1038&lt;MIN(DKW_10Y!$A$2:$A$2918),$A1038&gt;MAX(DKW_10Y!$A$2:$A$2918),Settings!$B$16&lt;MIN(DKW_10Y!$A$2:$A$2918)),NA(),(INDEX(DKW_10Y!$D$2:$D$2918,MATCH($A1038,DKW_10Y!$A$2:$A$2918,1))-INDEX(DKW_10Y!$D$2:$D$2918,MATCH(Settings!$B$16,DKW_10Y!$A$2:$A$2918,1)))*100))</f>
        <v/>
      </c>
      <c r="AA1038" s="19">
        <f>IF(NOT(ISNUMBER($A1038)),NA(),IF(OR($A1038&lt;MIN(DKW_10Y!$A$2:$A$2918),$A1038&gt;MAX(DKW_10Y!$A$2:$A$2918),Settings!$B$16&lt;MIN(DKW_10Y!$A$2:$A$2918)),NA(),(INDEX(DKW_10Y!$E$2:$E$2918,MATCH($A1038,DKW_10Y!$A$2:$A$2918,1))-INDEX(DKW_10Y!$E$2:$E$2918,MATCH(Settings!$B$16,DKW_10Y!$A$2:$A$2918,1)))*100))</f>
        <v/>
      </c>
      <c r="AB1038" s="19">
        <f>IF(NOT(ISNUMBER($A1038)),NA(),IF(OR($A1038&lt;MIN(DKW_10Y!$A$2:$A$2918),$A1038&gt;MAX(DKW_10Y!$A$2:$A$2918),Settings!$B$16&lt;MIN(DKW_10Y!$A$2:$A$2918)),NA(),(INDEX(DKW_10Y!$H$2:$H$2918,MATCH($A1038,DKW_10Y!$A$2:$A$2918,1))-INDEX(DKW_10Y!$H$2:$H$2918,MATCH(Settings!$B$16,DKW_10Y!$A$2:$A$2918,1)))*100))</f>
        <v/>
      </c>
      <c r="AC1038" s="18">
        <f>IF(NOT(ISNUMBER($A1038)),NA(),IFERROR(1*INDEX(BBG_Data!$N$2:$N$4000,MATCH($A1038,BBG_Data!$M$2:$M$4000,0)),NA()))</f>
        <v/>
      </c>
      <c r="AD1038" s="18">
        <f>IF(NOT(ISNUMBER($A1038)),NA(),IFERROR(1*INDEX(BBG_Data!$P$2:$P$4000,MATCH($A1038,BBG_Data!$O$2:$O$4000,0)),NA()))</f>
        <v/>
      </c>
      <c r="AE1038" s="18">
        <f>IF(NOT(ISNUMBER($A1038)),NA(),IFERROR(1*INDEX(BBG_Data!$R$2:$R$4000,MATCH($A1038,BBG_Data!$Q$2:$Q$4000,0)),NA()))</f>
        <v/>
      </c>
      <c r="AF1038" s="20">
        <f>IF(AND(ISNUMBER(B1038),ISNUMBER(AC1038)),(B1038-AC1038)*100,NA())</f>
        <v/>
      </c>
      <c r="AG1038" s="20">
        <f>IF(AND(ISNUMBER(AE1038),ISNUMBER(AD1038)),(AE1038-AD1038)*100,NA())</f>
        <v/>
      </c>
      <c r="AH1038" s="19">
        <f>IF(NOT(ISNUMBER($A1038)),NA(),IFERROR(INDEX(BBG_Data!$T$2:$T$4000,MATCH($A1038,BBG_Data!$S$2:$S$4000,0))*Settings!$B$25,NA()))</f>
        <v/>
      </c>
      <c r="AI1038" s="19">
        <f>IF(NOT(ISNUMBER($A1038)),NA(),IFERROR(INDEX(BBG_Data!$V$2:$V$4000,MATCH($A1038,BBG_Data!$U$2:$U$4000,0))*Settings!$B$25,NA()))</f>
        <v/>
      </c>
      <c r="AJ1038" s="19">
        <f>IF(NOT(ISNUMBER($A1038)),NA(),IFERROR(1*INDEX(BBG_Data!$X$2:$X$4000,MATCH($A1038,BBG_Data!$W$2:$W$4000,0)),NA()))</f>
        <v/>
      </c>
      <c r="AK1038" s="19">
        <f>IF(NOT(ISNUMBER($A1038)),NA(),IFERROR(1*INDEX(BBG_Data!$Z$2:$Z$4000,MATCH($A1038,BBG_Data!$Y$2:$Y$4000,0)),NA()))</f>
        <v/>
      </c>
    </row>
    <row r="1039">
      <c r="A1039" s="17">
        <f>IF(ISNUMBER(BBG_Data!A1039),BBG_Data!A1039,"")</f>
        <v/>
      </c>
      <c r="B1039" s="18">
        <f>IF(AND(ISNUMBER($A1039),ISNUMBER(BBG_Data!B1039)),BBG_Data!B1039,NA())</f>
        <v/>
      </c>
      <c r="C1039" s="18">
        <f>IF(NOT(ISNUMBER($A1039)),NA(),IFERROR(1*INDEX(BBG_Data!$D$2:$D$4000,MATCH($A1039,BBG_Data!$C$2:$C$4000,0)),NA()))</f>
        <v/>
      </c>
      <c r="D1039" s="19">
        <f>IF(NOT(ISNUMBER($A1039)),NA(),IFERROR(1*INDEX(BBG_Data!$F$2:$F$4000,MATCH($A1039,BBG_Data!$E$2:$E$4000,0)),NA()))</f>
        <v/>
      </c>
      <c r="E1039" s="19">
        <f>IF(NOT(ISNUMBER($A1039)),NA(),IFERROR(1*INDEX(BBG_Data!$H$2:$H$4000,MATCH($A1039,BBG_Data!$G$2:$G$4000,0)),NA()))</f>
        <v/>
      </c>
      <c r="F1039" s="20">
        <f>IF(AND(ISNUMBER(B1039),ISNUMBER(B1038)),IF(B1039=B1038,"",(B1039-B1038)*100),"")</f>
        <v/>
      </c>
      <c r="G1039" s="20">
        <f>IF(AND(ISNUMBER(C1039),ISNUMBER(C1038)),IF(C1039=C1038,"",(C1039-C1038)*100),"")</f>
        <v/>
      </c>
      <c r="H1039" s="20">
        <f>IF(OR(NOT(ISNUMBER($A1039)),ROW()-2&lt;Settings!$B$11),NA(),IF(COUNT(OFFSET(F1039,1-Settings!$B$11,0,Settings!$B$11,1))&lt;ROUNDUP(Settings!$B$11*Settings!$B$26,0),NA(),STDEV(OFFSET(F1039,1-Settings!$B$11,0,Settings!$B$11,1))*SQRT(Settings!$B$13)))</f>
        <v/>
      </c>
      <c r="I1039" s="20">
        <f>IF(OR(NOT(ISNUMBER($A1039)),ROW()-2&lt;Settings!$B$12),NA(),IF(COUNT(OFFSET(F1039,1-Settings!$B$12,0,Settings!$B$12,1))&lt;ROUNDUP(Settings!$B$12*Settings!$B$26,0),NA(),STDEV(OFFSET(F1039,1-Settings!$B$12,0,Settings!$B$12,1))*SQRT(Settings!$B$13)))</f>
        <v/>
      </c>
      <c r="J1039" s="20">
        <f>IF(OR(NOT(ISNUMBER($A1039)),ROW()-2&lt;Settings!$B$11),NA(),IF(COUNT(OFFSET(G1039,1-Settings!$B$11,0,Settings!$B$11,1))&lt;ROUNDUP(Settings!$B$11*Settings!$B$26,0),NA(),STDEV(OFFSET(G1039,1-Settings!$B$11,0,Settings!$B$11,1))*SQRT(Settings!$B$13)))</f>
        <v/>
      </c>
      <c r="K1039" s="20">
        <f>IF(OR(NOT(ISNUMBER($A1039)),ROW()-2&lt;Settings!$B$12),NA(),IF(COUNT(OFFSET(G1039,1-Settings!$B$12,0,Settings!$B$12,1))&lt;ROUNDUP(Settings!$B$12*Settings!$B$26,0),NA(),STDEV(OFFSET(G1039,1-Settings!$B$12,0,Settings!$B$12,1))*SQRT(Settings!$B$13)))</f>
        <v/>
      </c>
      <c r="L1039" s="20">
        <f>IF(AND(ISNUMBER(D1039),ISNUMBER(H1039)),D1039-H1039,NA())</f>
        <v/>
      </c>
      <c r="M1039" s="20">
        <f>IF(AND(ISNUMBER(E1039),ISNUMBER(K1039)),E1039-K1039,NA())</f>
        <v/>
      </c>
      <c r="N1039" s="20">
        <f>IF(NOT(ISNUMBER($A1039)),NA(),IF(COUNT(OFFSET(G1039,1,0,Settings!$B$12,1))&lt;ROUNDUP(Settings!$B$12*Settings!$B$26,0),NA(),STDEV(OFFSET(G1039,1,0,Settings!$B$12,1))*SQRT(Settings!$B$13)))</f>
        <v/>
      </c>
      <c r="O1039" s="20">
        <f>IF(AND(ISNUMBER(E1039),ISNUMBER(N1039)),E1039-N1039,NA())</f>
        <v/>
      </c>
      <c r="P1039" s="19">
        <f>IF(NOT(ISNUMBER($A1039)),NA(),IF(OR($A1039&lt;MIN(KW_TP!$A$2:$A$2501),$A1039&gt;MAX(KW_TP!$A$2:$A$2501)),NA(),INDEX(KW_TP!$C$2:$C$2501,MATCH($A1039,KW_TP!$A$2:$A$2501,1))))</f>
        <v/>
      </c>
      <c r="Q1039" s="18">
        <f>IF(NOT(ISNUMBER($A1039)),NA(),IFERROR(1*INDEX(BBG_Data!$J$2:$J$4000,MATCH($A1039,BBG_Data!$I$2:$I$4000,0)),NA()))</f>
        <v/>
      </c>
      <c r="R1039" s="18">
        <f>IF(NOT(ISNUMBER($A1039)),NA(),IFERROR(1*INDEX(BBG_Data!$L$2:$L$4000,MATCH($A1039,BBG_Data!$K$2:$K$4000,0)),NA()))</f>
        <v/>
      </c>
      <c r="S1039" s="20">
        <f>IF(AND(ISNUMBER(B1039),ISNUMBER(Q1039),ISNUMBER(R1039)),(B1039-Q1039-R1039)*100,NA())</f>
        <v/>
      </c>
      <c r="T1039" s="20">
        <f>IF(AND(ISNUMBER(B1039),Settings!$B$17&gt;0),IF(ISNUMBER(INDEX($B:$B,Settings!$B$17)),(B1039-INDEX($B:$B,Settings!$B$17))*100,NA()),NA())</f>
        <v/>
      </c>
      <c r="U1039" s="20">
        <f>IF(AND(ISNUMBER(Q1039),Settings!$B$17&gt;0),IF(ISNUMBER(INDEX($Q:$Q,Settings!$B$17)),(Q1039-INDEX($Q:$Q,Settings!$B$17))*100,NA()),NA())</f>
        <v/>
      </c>
      <c r="V1039" s="20">
        <f>IF(AND(ISNUMBER(R1039),Settings!$B$17&gt;0),IF(ISNUMBER(INDEX($R:$R,Settings!$B$17)),(R1039-INDEX($R:$R,Settings!$B$17))*100,NA()),NA())</f>
        <v/>
      </c>
      <c r="W1039" s="20">
        <f>IF(AND(ISNUMBER(P1039),Settings!$B$17&gt;0),IF(ISNUMBER(INDEX($P:$P,Settings!$B$17)),P1039-INDEX($P:$P,Settings!$B$17),NA()),NA())</f>
        <v/>
      </c>
      <c r="X1039" s="19">
        <f>IF(NOT(ISNUMBER($A1039)),NA(),IF(OR($A1039&lt;MIN(DKW_10Y!$A$2:$A$2918),$A1039&gt;MAX(DKW_10Y!$A$2:$A$2918),Settings!$B$16&lt;MIN(DKW_10Y!$A$2:$A$2918)),NA(),(INDEX(DKW_10Y!$B$2:$B$2918,MATCH($A1039,DKW_10Y!$A$2:$A$2918,1))-INDEX(DKW_10Y!$B$2:$B$2918,MATCH(Settings!$B$16,DKW_10Y!$A$2:$A$2918,1)))*100))</f>
        <v/>
      </c>
      <c r="Y1039" s="19">
        <f>IF(NOT(ISNUMBER($A1039)),NA(),IF(OR($A1039&lt;MIN(DKW_10Y!$A$2:$A$2918),$A1039&gt;MAX(DKW_10Y!$A$2:$A$2918),Settings!$B$16&lt;MIN(DKW_10Y!$A$2:$A$2918)),NA(),(INDEX(DKW_10Y!$C$2:$C$2918,MATCH($A1039,DKW_10Y!$A$2:$A$2918,1))-INDEX(DKW_10Y!$C$2:$C$2918,MATCH(Settings!$B$16,DKW_10Y!$A$2:$A$2918,1)))*100))</f>
        <v/>
      </c>
      <c r="Z1039" s="19">
        <f>IF(NOT(ISNUMBER($A1039)),NA(),IF(OR($A1039&lt;MIN(DKW_10Y!$A$2:$A$2918),$A1039&gt;MAX(DKW_10Y!$A$2:$A$2918),Settings!$B$16&lt;MIN(DKW_10Y!$A$2:$A$2918)),NA(),(INDEX(DKW_10Y!$D$2:$D$2918,MATCH($A1039,DKW_10Y!$A$2:$A$2918,1))-INDEX(DKW_10Y!$D$2:$D$2918,MATCH(Settings!$B$16,DKW_10Y!$A$2:$A$2918,1)))*100))</f>
        <v/>
      </c>
      <c r="AA1039" s="19">
        <f>IF(NOT(ISNUMBER($A1039)),NA(),IF(OR($A1039&lt;MIN(DKW_10Y!$A$2:$A$2918),$A1039&gt;MAX(DKW_10Y!$A$2:$A$2918),Settings!$B$16&lt;MIN(DKW_10Y!$A$2:$A$2918)),NA(),(INDEX(DKW_10Y!$E$2:$E$2918,MATCH($A1039,DKW_10Y!$A$2:$A$2918,1))-INDEX(DKW_10Y!$E$2:$E$2918,MATCH(Settings!$B$16,DKW_10Y!$A$2:$A$2918,1)))*100))</f>
        <v/>
      </c>
      <c r="AB1039" s="19">
        <f>IF(NOT(ISNUMBER($A1039)),NA(),IF(OR($A1039&lt;MIN(DKW_10Y!$A$2:$A$2918),$A1039&gt;MAX(DKW_10Y!$A$2:$A$2918),Settings!$B$16&lt;MIN(DKW_10Y!$A$2:$A$2918)),NA(),(INDEX(DKW_10Y!$H$2:$H$2918,MATCH($A1039,DKW_10Y!$A$2:$A$2918,1))-INDEX(DKW_10Y!$H$2:$H$2918,MATCH(Settings!$B$16,DKW_10Y!$A$2:$A$2918,1)))*100))</f>
        <v/>
      </c>
      <c r="AC1039" s="18">
        <f>IF(NOT(ISNUMBER($A1039)),NA(),IFERROR(1*INDEX(BBG_Data!$N$2:$N$4000,MATCH($A1039,BBG_Data!$M$2:$M$4000,0)),NA()))</f>
        <v/>
      </c>
      <c r="AD1039" s="18">
        <f>IF(NOT(ISNUMBER($A1039)),NA(),IFERROR(1*INDEX(BBG_Data!$P$2:$P$4000,MATCH($A1039,BBG_Data!$O$2:$O$4000,0)),NA()))</f>
        <v/>
      </c>
      <c r="AE1039" s="18">
        <f>IF(NOT(ISNUMBER($A1039)),NA(),IFERROR(1*INDEX(BBG_Data!$R$2:$R$4000,MATCH($A1039,BBG_Data!$Q$2:$Q$4000,0)),NA()))</f>
        <v/>
      </c>
      <c r="AF1039" s="20">
        <f>IF(AND(ISNUMBER(B1039),ISNUMBER(AC1039)),(B1039-AC1039)*100,NA())</f>
        <v/>
      </c>
      <c r="AG1039" s="20">
        <f>IF(AND(ISNUMBER(AE1039),ISNUMBER(AD1039)),(AE1039-AD1039)*100,NA())</f>
        <v/>
      </c>
      <c r="AH1039" s="19">
        <f>IF(NOT(ISNUMBER($A1039)),NA(),IFERROR(INDEX(BBG_Data!$T$2:$T$4000,MATCH($A1039,BBG_Data!$S$2:$S$4000,0))*Settings!$B$25,NA()))</f>
        <v/>
      </c>
      <c r="AI1039" s="19">
        <f>IF(NOT(ISNUMBER($A1039)),NA(),IFERROR(INDEX(BBG_Data!$V$2:$V$4000,MATCH($A1039,BBG_Data!$U$2:$U$4000,0))*Settings!$B$25,NA()))</f>
        <v/>
      </c>
      <c r="AJ1039" s="19">
        <f>IF(NOT(ISNUMBER($A1039)),NA(),IFERROR(1*INDEX(BBG_Data!$X$2:$X$4000,MATCH($A1039,BBG_Data!$W$2:$W$4000,0)),NA()))</f>
        <v/>
      </c>
      <c r="AK1039" s="19">
        <f>IF(NOT(ISNUMBER($A1039)),NA(),IFERROR(1*INDEX(BBG_Data!$Z$2:$Z$4000,MATCH($A1039,BBG_Data!$Y$2:$Y$4000,0)),NA()))</f>
        <v/>
      </c>
    </row>
    <row r="1040">
      <c r="A1040" s="17">
        <f>IF(ISNUMBER(BBG_Data!A1040),BBG_Data!A1040,"")</f>
        <v/>
      </c>
      <c r="B1040" s="18">
        <f>IF(AND(ISNUMBER($A1040),ISNUMBER(BBG_Data!B1040)),BBG_Data!B1040,NA())</f>
        <v/>
      </c>
      <c r="C1040" s="18">
        <f>IF(NOT(ISNUMBER($A1040)),NA(),IFERROR(1*INDEX(BBG_Data!$D$2:$D$4000,MATCH($A1040,BBG_Data!$C$2:$C$4000,0)),NA()))</f>
        <v/>
      </c>
      <c r="D1040" s="19">
        <f>IF(NOT(ISNUMBER($A1040)),NA(),IFERROR(1*INDEX(BBG_Data!$F$2:$F$4000,MATCH($A1040,BBG_Data!$E$2:$E$4000,0)),NA()))</f>
        <v/>
      </c>
      <c r="E1040" s="19">
        <f>IF(NOT(ISNUMBER($A1040)),NA(),IFERROR(1*INDEX(BBG_Data!$H$2:$H$4000,MATCH($A1040,BBG_Data!$G$2:$G$4000,0)),NA()))</f>
        <v/>
      </c>
      <c r="F1040" s="20">
        <f>IF(AND(ISNUMBER(B1040),ISNUMBER(B1039)),IF(B1040=B1039,"",(B1040-B1039)*100),"")</f>
        <v/>
      </c>
      <c r="G1040" s="20">
        <f>IF(AND(ISNUMBER(C1040),ISNUMBER(C1039)),IF(C1040=C1039,"",(C1040-C1039)*100),"")</f>
        <v/>
      </c>
      <c r="H1040" s="20">
        <f>IF(OR(NOT(ISNUMBER($A1040)),ROW()-2&lt;Settings!$B$11),NA(),IF(COUNT(OFFSET(F1040,1-Settings!$B$11,0,Settings!$B$11,1))&lt;ROUNDUP(Settings!$B$11*Settings!$B$26,0),NA(),STDEV(OFFSET(F1040,1-Settings!$B$11,0,Settings!$B$11,1))*SQRT(Settings!$B$13)))</f>
        <v/>
      </c>
      <c r="I1040" s="20">
        <f>IF(OR(NOT(ISNUMBER($A1040)),ROW()-2&lt;Settings!$B$12),NA(),IF(COUNT(OFFSET(F1040,1-Settings!$B$12,0,Settings!$B$12,1))&lt;ROUNDUP(Settings!$B$12*Settings!$B$26,0),NA(),STDEV(OFFSET(F1040,1-Settings!$B$12,0,Settings!$B$12,1))*SQRT(Settings!$B$13)))</f>
        <v/>
      </c>
      <c r="J1040" s="20">
        <f>IF(OR(NOT(ISNUMBER($A1040)),ROW()-2&lt;Settings!$B$11),NA(),IF(COUNT(OFFSET(G1040,1-Settings!$B$11,0,Settings!$B$11,1))&lt;ROUNDUP(Settings!$B$11*Settings!$B$26,0),NA(),STDEV(OFFSET(G1040,1-Settings!$B$11,0,Settings!$B$11,1))*SQRT(Settings!$B$13)))</f>
        <v/>
      </c>
      <c r="K1040" s="20">
        <f>IF(OR(NOT(ISNUMBER($A1040)),ROW()-2&lt;Settings!$B$12),NA(),IF(COUNT(OFFSET(G1040,1-Settings!$B$12,0,Settings!$B$12,1))&lt;ROUNDUP(Settings!$B$12*Settings!$B$26,0),NA(),STDEV(OFFSET(G1040,1-Settings!$B$12,0,Settings!$B$12,1))*SQRT(Settings!$B$13)))</f>
        <v/>
      </c>
      <c r="L1040" s="20">
        <f>IF(AND(ISNUMBER(D1040),ISNUMBER(H1040)),D1040-H1040,NA())</f>
        <v/>
      </c>
      <c r="M1040" s="20">
        <f>IF(AND(ISNUMBER(E1040),ISNUMBER(K1040)),E1040-K1040,NA())</f>
        <v/>
      </c>
      <c r="N1040" s="20">
        <f>IF(NOT(ISNUMBER($A1040)),NA(),IF(COUNT(OFFSET(G1040,1,0,Settings!$B$12,1))&lt;ROUNDUP(Settings!$B$12*Settings!$B$26,0),NA(),STDEV(OFFSET(G1040,1,0,Settings!$B$12,1))*SQRT(Settings!$B$13)))</f>
        <v/>
      </c>
      <c r="O1040" s="20">
        <f>IF(AND(ISNUMBER(E1040),ISNUMBER(N1040)),E1040-N1040,NA())</f>
        <v/>
      </c>
      <c r="P1040" s="19">
        <f>IF(NOT(ISNUMBER($A1040)),NA(),IF(OR($A1040&lt;MIN(KW_TP!$A$2:$A$2501),$A1040&gt;MAX(KW_TP!$A$2:$A$2501)),NA(),INDEX(KW_TP!$C$2:$C$2501,MATCH($A1040,KW_TP!$A$2:$A$2501,1))))</f>
        <v/>
      </c>
      <c r="Q1040" s="18">
        <f>IF(NOT(ISNUMBER($A1040)),NA(),IFERROR(1*INDEX(BBG_Data!$J$2:$J$4000,MATCH($A1040,BBG_Data!$I$2:$I$4000,0)),NA()))</f>
        <v/>
      </c>
      <c r="R1040" s="18">
        <f>IF(NOT(ISNUMBER($A1040)),NA(),IFERROR(1*INDEX(BBG_Data!$L$2:$L$4000,MATCH($A1040,BBG_Data!$K$2:$K$4000,0)),NA()))</f>
        <v/>
      </c>
      <c r="S1040" s="20">
        <f>IF(AND(ISNUMBER(B1040),ISNUMBER(Q1040),ISNUMBER(R1040)),(B1040-Q1040-R1040)*100,NA())</f>
        <v/>
      </c>
      <c r="T1040" s="20">
        <f>IF(AND(ISNUMBER(B1040),Settings!$B$17&gt;0),IF(ISNUMBER(INDEX($B:$B,Settings!$B$17)),(B1040-INDEX($B:$B,Settings!$B$17))*100,NA()),NA())</f>
        <v/>
      </c>
      <c r="U1040" s="20">
        <f>IF(AND(ISNUMBER(Q1040),Settings!$B$17&gt;0),IF(ISNUMBER(INDEX($Q:$Q,Settings!$B$17)),(Q1040-INDEX($Q:$Q,Settings!$B$17))*100,NA()),NA())</f>
        <v/>
      </c>
      <c r="V1040" s="20">
        <f>IF(AND(ISNUMBER(R1040),Settings!$B$17&gt;0),IF(ISNUMBER(INDEX($R:$R,Settings!$B$17)),(R1040-INDEX($R:$R,Settings!$B$17))*100,NA()),NA())</f>
        <v/>
      </c>
      <c r="W1040" s="20">
        <f>IF(AND(ISNUMBER(P1040),Settings!$B$17&gt;0),IF(ISNUMBER(INDEX($P:$P,Settings!$B$17)),P1040-INDEX($P:$P,Settings!$B$17),NA()),NA())</f>
        <v/>
      </c>
      <c r="X1040" s="19">
        <f>IF(NOT(ISNUMBER($A1040)),NA(),IF(OR($A1040&lt;MIN(DKW_10Y!$A$2:$A$2918),$A1040&gt;MAX(DKW_10Y!$A$2:$A$2918),Settings!$B$16&lt;MIN(DKW_10Y!$A$2:$A$2918)),NA(),(INDEX(DKW_10Y!$B$2:$B$2918,MATCH($A1040,DKW_10Y!$A$2:$A$2918,1))-INDEX(DKW_10Y!$B$2:$B$2918,MATCH(Settings!$B$16,DKW_10Y!$A$2:$A$2918,1)))*100))</f>
        <v/>
      </c>
      <c r="Y1040" s="19">
        <f>IF(NOT(ISNUMBER($A1040)),NA(),IF(OR($A1040&lt;MIN(DKW_10Y!$A$2:$A$2918),$A1040&gt;MAX(DKW_10Y!$A$2:$A$2918),Settings!$B$16&lt;MIN(DKW_10Y!$A$2:$A$2918)),NA(),(INDEX(DKW_10Y!$C$2:$C$2918,MATCH($A1040,DKW_10Y!$A$2:$A$2918,1))-INDEX(DKW_10Y!$C$2:$C$2918,MATCH(Settings!$B$16,DKW_10Y!$A$2:$A$2918,1)))*100))</f>
        <v/>
      </c>
      <c r="Z1040" s="19">
        <f>IF(NOT(ISNUMBER($A1040)),NA(),IF(OR($A1040&lt;MIN(DKW_10Y!$A$2:$A$2918),$A1040&gt;MAX(DKW_10Y!$A$2:$A$2918),Settings!$B$16&lt;MIN(DKW_10Y!$A$2:$A$2918)),NA(),(INDEX(DKW_10Y!$D$2:$D$2918,MATCH($A1040,DKW_10Y!$A$2:$A$2918,1))-INDEX(DKW_10Y!$D$2:$D$2918,MATCH(Settings!$B$16,DKW_10Y!$A$2:$A$2918,1)))*100))</f>
        <v/>
      </c>
      <c r="AA1040" s="19">
        <f>IF(NOT(ISNUMBER($A1040)),NA(),IF(OR($A1040&lt;MIN(DKW_10Y!$A$2:$A$2918),$A1040&gt;MAX(DKW_10Y!$A$2:$A$2918),Settings!$B$16&lt;MIN(DKW_10Y!$A$2:$A$2918)),NA(),(INDEX(DKW_10Y!$E$2:$E$2918,MATCH($A1040,DKW_10Y!$A$2:$A$2918,1))-INDEX(DKW_10Y!$E$2:$E$2918,MATCH(Settings!$B$16,DKW_10Y!$A$2:$A$2918,1)))*100))</f>
        <v/>
      </c>
      <c r="AB1040" s="19">
        <f>IF(NOT(ISNUMBER($A1040)),NA(),IF(OR($A1040&lt;MIN(DKW_10Y!$A$2:$A$2918),$A1040&gt;MAX(DKW_10Y!$A$2:$A$2918),Settings!$B$16&lt;MIN(DKW_10Y!$A$2:$A$2918)),NA(),(INDEX(DKW_10Y!$H$2:$H$2918,MATCH($A1040,DKW_10Y!$A$2:$A$2918,1))-INDEX(DKW_10Y!$H$2:$H$2918,MATCH(Settings!$B$16,DKW_10Y!$A$2:$A$2918,1)))*100))</f>
        <v/>
      </c>
      <c r="AC1040" s="18">
        <f>IF(NOT(ISNUMBER($A1040)),NA(),IFERROR(1*INDEX(BBG_Data!$N$2:$N$4000,MATCH($A1040,BBG_Data!$M$2:$M$4000,0)),NA()))</f>
        <v/>
      </c>
      <c r="AD1040" s="18">
        <f>IF(NOT(ISNUMBER($A1040)),NA(),IFERROR(1*INDEX(BBG_Data!$P$2:$P$4000,MATCH($A1040,BBG_Data!$O$2:$O$4000,0)),NA()))</f>
        <v/>
      </c>
      <c r="AE1040" s="18">
        <f>IF(NOT(ISNUMBER($A1040)),NA(),IFERROR(1*INDEX(BBG_Data!$R$2:$R$4000,MATCH($A1040,BBG_Data!$Q$2:$Q$4000,0)),NA()))</f>
        <v/>
      </c>
      <c r="AF1040" s="20">
        <f>IF(AND(ISNUMBER(B1040),ISNUMBER(AC1040)),(B1040-AC1040)*100,NA())</f>
        <v/>
      </c>
      <c r="AG1040" s="20">
        <f>IF(AND(ISNUMBER(AE1040),ISNUMBER(AD1040)),(AE1040-AD1040)*100,NA())</f>
        <v/>
      </c>
      <c r="AH1040" s="19">
        <f>IF(NOT(ISNUMBER($A1040)),NA(),IFERROR(INDEX(BBG_Data!$T$2:$T$4000,MATCH($A1040,BBG_Data!$S$2:$S$4000,0))*Settings!$B$25,NA()))</f>
        <v/>
      </c>
      <c r="AI1040" s="19">
        <f>IF(NOT(ISNUMBER($A1040)),NA(),IFERROR(INDEX(BBG_Data!$V$2:$V$4000,MATCH($A1040,BBG_Data!$U$2:$U$4000,0))*Settings!$B$25,NA()))</f>
        <v/>
      </c>
      <c r="AJ1040" s="19">
        <f>IF(NOT(ISNUMBER($A1040)),NA(),IFERROR(1*INDEX(BBG_Data!$X$2:$X$4000,MATCH($A1040,BBG_Data!$W$2:$W$4000,0)),NA()))</f>
        <v/>
      </c>
      <c r="AK1040" s="19">
        <f>IF(NOT(ISNUMBER($A1040)),NA(),IFERROR(1*INDEX(BBG_Data!$Z$2:$Z$4000,MATCH($A1040,BBG_Data!$Y$2:$Y$4000,0)),NA()))</f>
        <v/>
      </c>
    </row>
    <row r="1041">
      <c r="A1041" s="17">
        <f>IF(ISNUMBER(BBG_Data!A1041),BBG_Data!A1041,"")</f>
        <v/>
      </c>
      <c r="B1041" s="18">
        <f>IF(AND(ISNUMBER($A1041),ISNUMBER(BBG_Data!B1041)),BBG_Data!B1041,NA())</f>
        <v/>
      </c>
      <c r="C1041" s="18">
        <f>IF(NOT(ISNUMBER($A1041)),NA(),IFERROR(1*INDEX(BBG_Data!$D$2:$D$4000,MATCH($A1041,BBG_Data!$C$2:$C$4000,0)),NA()))</f>
        <v/>
      </c>
      <c r="D1041" s="19">
        <f>IF(NOT(ISNUMBER($A1041)),NA(),IFERROR(1*INDEX(BBG_Data!$F$2:$F$4000,MATCH($A1041,BBG_Data!$E$2:$E$4000,0)),NA()))</f>
        <v/>
      </c>
      <c r="E1041" s="19">
        <f>IF(NOT(ISNUMBER($A1041)),NA(),IFERROR(1*INDEX(BBG_Data!$H$2:$H$4000,MATCH($A1041,BBG_Data!$G$2:$G$4000,0)),NA()))</f>
        <v/>
      </c>
      <c r="F1041" s="20">
        <f>IF(AND(ISNUMBER(B1041),ISNUMBER(B1040)),IF(B1041=B1040,"",(B1041-B1040)*100),"")</f>
        <v/>
      </c>
      <c r="G1041" s="20">
        <f>IF(AND(ISNUMBER(C1041),ISNUMBER(C1040)),IF(C1041=C1040,"",(C1041-C1040)*100),"")</f>
        <v/>
      </c>
      <c r="H1041" s="20">
        <f>IF(OR(NOT(ISNUMBER($A1041)),ROW()-2&lt;Settings!$B$11),NA(),IF(COUNT(OFFSET(F1041,1-Settings!$B$11,0,Settings!$B$11,1))&lt;ROUNDUP(Settings!$B$11*Settings!$B$26,0),NA(),STDEV(OFFSET(F1041,1-Settings!$B$11,0,Settings!$B$11,1))*SQRT(Settings!$B$13)))</f>
        <v/>
      </c>
      <c r="I1041" s="20">
        <f>IF(OR(NOT(ISNUMBER($A1041)),ROW()-2&lt;Settings!$B$12),NA(),IF(COUNT(OFFSET(F1041,1-Settings!$B$12,0,Settings!$B$12,1))&lt;ROUNDUP(Settings!$B$12*Settings!$B$26,0),NA(),STDEV(OFFSET(F1041,1-Settings!$B$12,0,Settings!$B$12,1))*SQRT(Settings!$B$13)))</f>
        <v/>
      </c>
      <c r="J1041" s="20">
        <f>IF(OR(NOT(ISNUMBER($A1041)),ROW()-2&lt;Settings!$B$11),NA(),IF(COUNT(OFFSET(G1041,1-Settings!$B$11,0,Settings!$B$11,1))&lt;ROUNDUP(Settings!$B$11*Settings!$B$26,0),NA(),STDEV(OFFSET(G1041,1-Settings!$B$11,0,Settings!$B$11,1))*SQRT(Settings!$B$13)))</f>
        <v/>
      </c>
      <c r="K1041" s="20">
        <f>IF(OR(NOT(ISNUMBER($A1041)),ROW()-2&lt;Settings!$B$12),NA(),IF(COUNT(OFFSET(G1041,1-Settings!$B$12,0,Settings!$B$12,1))&lt;ROUNDUP(Settings!$B$12*Settings!$B$26,0),NA(),STDEV(OFFSET(G1041,1-Settings!$B$12,0,Settings!$B$12,1))*SQRT(Settings!$B$13)))</f>
        <v/>
      </c>
      <c r="L1041" s="20">
        <f>IF(AND(ISNUMBER(D1041),ISNUMBER(H1041)),D1041-H1041,NA())</f>
        <v/>
      </c>
      <c r="M1041" s="20">
        <f>IF(AND(ISNUMBER(E1041),ISNUMBER(K1041)),E1041-K1041,NA())</f>
        <v/>
      </c>
      <c r="N1041" s="20">
        <f>IF(NOT(ISNUMBER($A1041)),NA(),IF(COUNT(OFFSET(G1041,1,0,Settings!$B$12,1))&lt;ROUNDUP(Settings!$B$12*Settings!$B$26,0),NA(),STDEV(OFFSET(G1041,1,0,Settings!$B$12,1))*SQRT(Settings!$B$13)))</f>
        <v/>
      </c>
      <c r="O1041" s="20">
        <f>IF(AND(ISNUMBER(E1041),ISNUMBER(N1041)),E1041-N1041,NA())</f>
        <v/>
      </c>
      <c r="P1041" s="19">
        <f>IF(NOT(ISNUMBER($A1041)),NA(),IF(OR($A1041&lt;MIN(KW_TP!$A$2:$A$2501),$A1041&gt;MAX(KW_TP!$A$2:$A$2501)),NA(),INDEX(KW_TP!$C$2:$C$2501,MATCH($A1041,KW_TP!$A$2:$A$2501,1))))</f>
        <v/>
      </c>
      <c r="Q1041" s="18">
        <f>IF(NOT(ISNUMBER($A1041)),NA(),IFERROR(1*INDEX(BBG_Data!$J$2:$J$4000,MATCH($A1041,BBG_Data!$I$2:$I$4000,0)),NA()))</f>
        <v/>
      </c>
      <c r="R1041" s="18">
        <f>IF(NOT(ISNUMBER($A1041)),NA(),IFERROR(1*INDEX(BBG_Data!$L$2:$L$4000,MATCH($A1041,BBG_Data!$K$2:$K$4000,0)),NA()))</f>
        <v/>
      </c>
      <c r="S1041" s="20">
        <f>IF(AND(ISNUMBER(B1041),ISNUMBER(Q1041),ISNUMBER(R1041)),(B1041-Q1041-R1041)*100,NA())</f>
        <v/>
      </c>
      <c r="T1041" s="20">
        <f>IF(AND(ISNUMBER(B1041),Settings!$B$17&gt;0),IF(ISNUMBER(INDEX($B:$B,Settings!$B$17)),(B1041-INDEX($B:$B,Settings!$B$17))*100,NA()),NA())</f>
        <v/>
      </c>
      <c r="U1041" s="20">
        <f>IF(AND(ISNUMBER(Q1041),Settings!$B$17&gt;0),IF(ISNUMBER(INDEX($Q:$Q,Settings!$B$17)),(Q1041-INDEX($Q:$Q,Settings!$B$17))*100,NA()),NA())</f>
        <v/>
      </c>
      <c r="V1041" s="20">
        <f>IF(AND(ISNUMBER(R1041),Settings!$B$17&gt;0),IF(ISNUMBER(INDEX($R:$R,Settings!$B$17)),(R1041-INDEX($R:$R,Settings!$B$17))*100,NA()),NA())</f>
        <v/>
      </c>
      <c r="W1041" s="20">
        <f>IF(AND(ISNUMBER(P1041),Settings!$B$17&gt;0),IF(ISNUMBER(INDEX($P:$P,Settings!$B$17)),P1041-INDEX($P:$P,Settings!$B$17),NA()),NA())</f>
        <v/>
      </c>
      <c r="X1041" s="19">
        <f>IF(NOT(ISNUMBER($A1041)),NA(),IF(OR($A1041&lt;MIN(DKW_10Y!$A$2:$A$2918),$A1041&gt;MAX(DKW_10Y!$A$2:$A$2918),Settings!$B$16&lt;MIN(DKW_10Y!$A$2:$A$2918)),NA(),(INDEX(DKW_10Y!$B$2:$B$2918,MATCH($A1041,DKW_10Y!$A$2:$A$2918,1))-INDEX(DKW_10Y!$B$2:$B$2918,MATCH(Settings!$B$16,DKW_10Y!$A$2:$A$2918,1)))*100))</f>
        <v/>
      </c>
      <c r="Y1041" s="19">
        <f>IF(NOT(ISNUMBER($A1041)),NA(),IF(OR($A1041&lt;MIN(DKW_10Y!$A$2:$A$2918),$A1041&gt;MAX(DKW_10Y!$A$2:$A$2918),Settings!$B$16&lt;MIN(DKW_10Y!$A$2:$A$2918)),NA(),(INDEX(DKW_10Y!$C$2:$C$2918,MATCH($A1041,DKW_10Y!$A$2:$A$2918,1))-INDEX(DKW_10Y!$C$2:$C$2918,MATCH(Settings!$B$16,DKW_10Y!$A$2:$A$2918,1)))*100))</f>
        <v/>
      </c>
      <c r="Z1041" s="19">
        <f>IF(NOT(ISNUMBER($A1041)),NA(),IF(OR($A1041&lt;MIN(DKW_10Y!$A$2:$A$2918),$A1041&gt;MAX(DKW_10Y!$A$2:$A$2918),Settings!$B$16&lt;MIN(DKW_10Y!$A$2:$A$2918)),NA(),(INDEX(DKW_10Y!$D$2:$D$2918,MATCH($A1041,DKW_10Y!$A$2:$A$2918,1))-INDEX(DKW_10Y!$D$2:$D$2918,MATCH(Settings!$B$16,DKW_10Y!$A$2:$A$2918,1)))*100))</f>
        <v/>
      </c>
      <c r="AA1041" s="19">
        <f>IF(NOT(ISNUMBER($A1041)),NA(),IF(OR($A1041&lt;MIN(DKW_10Y!$A$2:$A$2918),$A1041&gt;MAX(DKW_10Y!$A$2:$A$2918),Settings!$B$16&lt;MIN(DKW_10Y!$A$2:$A$2918)),NA(),(INDEX(DKW_10Y!$E$2:$E$2918,MATCH($A1041,DKW_10Y!$A$2:$A$2918,1))-INDEX(DKW_10Y!$E$2:$E$2918,MATCH(Settings!$B$16,DKW_10Y!$A$2:$A$2918,1)))*100))</f>
        <v/>
      </c>
      <c r="AB1041" s="19">
        <f>IF(NOT(ISNUMBER($A1041)),NA(),IF(OR($A1041&lt;MIN(DKW_10Y!$A$2:$A$2918),$A1041&gt;MAX(DKW_10Y!$A$2:$A$2918),Settings!$B$16&lt;MIN(DKW_10Y!$A$2:$A$2918)),NA(),(INDEX(DKW_10Y!$H$2:$H$2918,MATCH($A1041,DKW_10Y!$A$2:$A$2918,1))-INDEX(DKW_10Y!$H$2:$H$2918,MATCH(Settings!$B$16,DKW_10Y!$A$2:$A$2918,1)))*100))</f>
        <v/>
      </c>
      <c r="AC1041" s="18">
        <f>IF(NOT(ISNUMBER($A1041)),NA(),IFERROR(1*INDEX(BBG_Data!$N$2:$N$4000,MATCH($A1041,BBG_Data!$M$2:$M$4000,0)),NA()))</f>
        <v/>
      </c>
      <c r="AD1041" s="18">
        <f>IF(NOT(ISNUMBER($A1041)),NA(),IFERROR(1*INDEX(BBG_Data!$P$2:$P$4000,MATCH($A1041,BBG_Data!$O$2:$O$4000,0)),NA()))</f>
        <v/>
      </c>
      <c r="AE1041" s="18">
        <f>IF(NOT(ISNUMBER($A1041)),NA(),IFERROR(1*INDEX(BBG_Data!$R$2:$R$4000,MATCH($A1041,BBG_Data!$Q$2:$Q$4000,0)),NA()))</f>
        <v/>
      </c>
      <c r="AF1041" s="20">
        <f>IF(AND(ISNUMBER(B1041),ISNUMBER(AC1041)),(B1041-AC1041)*100,NA())</f>
        <v/>
      </c>
      <c r="AG1041" s="20">
        <f>IF(AND(ISNUMBER(AE1041),ISNUMBER(AD1041)),(AE1041-AD1041)*100,NA())</f>
        <v/>
      </c>
      <c r="AH1041" s="19">
        <f>IF(NOT(ISNUMBER($A1041)),NA(),IFERROR(INDEX(BBG_Data!$T$2:$T$4000,MATCH($A1041,BBG_Data!$S$2:$S$4000,0))*Settings!$B$25,NA()))</f>
        <v/>
      </c>
      <c r="AI1041" s="19">
        <f>IF(NOT(ISNUMBER($A1041)),NA(),IFERROR(INDEX(BBG_Data!$V$2:$V$4000,MATCH($A1041,BBG_Data!$U$2:$U$4000,0))*Settings!$B$25,NA()))</f>
        <v/>
      </c>
      <c r="AJ1041" s="19">
        <f>IF(NOT(ISNUMBER($A1041)),NA(),IFERROR(1*INDEX(BBG_Data!$X$2:$X$4000,MATCH($A1041,BBG_Data!$W$2:$W$4000,0)),NA()))</f>
        <v/>
      </c>
      <c r="AK1041" s="19">
        <f>IF(NOT(ISNUMBER($A1041)),NA(),IFERROR(1*INDEX(BBG_Data!$Z$2:$Z$4000,MATCH($A1041,BBG_Data!$Y$2:$Y$4000,0)),NA()))</f>
        <v/>
      </c>
    </row>
    <row r="1042">
      <c r="A1042" s="17">
        <f>IF(ISNUMBER(BBG_Data!A1042),BBG_Data!A1042,"")</f>
        <v/>
      </c>
      <c r="B1042" s="18">
        <f>IF(AND(ISNUMBER($A1042),ISNUMBER(BBG_Data!B1042)),BBG_Data!B1042,NA())</f>
        <v/>
      </c>
      <c r="C1042" s="18">
        <f>IF(NOT(ISNUMBER($A1042)),NA(),IFERROR(1*INDEX(BBG_Data!$D$2:$D$4000,MATCH($A1042,BBG_Data!$C$2:$C$4000,0)),NA()))</f>
        <v/>
      </c>
      <c r="D1042" s="19">
        <f>IF(NOT(ISNUMBER($A1042)),NA(),IFERROR(1*INDEX(BBG_Data!$F$2:$F$4000,MATCH($A1042,BBG_Data!$E$2:$E$4000,0)),NA()))</f>
        <v/>
      </c>
      <c r="E1042" s="19">
        <f>IF(NOT(ISNUMBER($A1042)),NA(),IFERROR(1*INDEX(BBG_Data!$H$2:$H$4000,MATCH($A1042,BBG_Data!$G$2:$G$4000,0)),NA()))</f>
        <v/>
      </c>
      <c r="F1042" s="20">
        <f>IF(AND(ISNUMBER(B1042),ISNUMBER(B1041)),IF(B1042=B1041,"",(B1042-B1041)*100),"")</f>
        <v/>
      </c>
      <c r="G1042" s="20">
        <f>IF(AND(ISNUMBER(C1042),ISNUMBER(C1041)),IF(C1042=C1041,"",(C1042-C1041)*100),"")</f>
        <v/>
      </c>
      <c r="H1042" s="20">
        <f>IF(OR(NOT(ISNUMBER($A1042)),ROW()-2&lt;Settings!$B$11),NA(),IF(COUNT(OFFSET(F1042,1-Settings!$B$11,0,Settings!$B$11,1))&lt;ROUNDUP(Settings!$B$11*Settings!$B$26,0),NA(),STDEV(OFFSET(F1042,1-Settings!$B$11,0,Settings!$B$11,1))*SQRT(Settings!$B$13)))</f>
        <v/>
      </c>
      <c r="I1042" s="20">
        <f>IF(OR(NOT(ISNUMBER($A1042)),ROW()-2&lt;Settings!$B$12),NA(),IF(COUNT(OFFSET(F1042,1-Settings!$B$12,0,Settings!$B$12,1))&lt;ROUNDUP(Settings!$B$12*Settings!$B$26,0),NA(),STDEV(OFFSET(F1042,1-Settings!$B$12,0,Settings!$B$12,1))*SQRT(Settings!$B$13)))</f>
        <v/>
      </c>
      <c r="J1042" s="20">
        <f>IF(OR(NOT(ISNUMBER($A1042)),ROW()-2&lt;Settings!$B$11),NA(),IF(COUNT(OFFSET(G1042,1-Settings!$B$11,0,Settings!$B$11,1))&lt;ROUNDUP(Settings!$B$11*Settings!$B$26,0),NA(),STDEV(OFFSET(G1042,1-Settings!$B$11,0,Settings!$B$11,1))*SQRT(Settings!$B$13)))</f>
        <v/>
      </c>
      <c r="K1042" s="20">
        <f>IF(OR(NOT(ISNUMBER($A1042)),ROW()-2&lt;Settings!$B$12),NA(),IF(COUNT(OFFSET(G1042,1-Settings!$B$12,0,Settings!$B$12,1))&lt;ROUNDUP(Settings!$B$12*Settings!$B$26,0),NA(),STDEV(OFFSET(G1042,1-Settings!$B$12,0,Settings!$B$12,1))*SQRT(Settings!$B$13)))</f>
        <v/>
      </c>
      <c r="L1042" s="20">
        <f>IF(AND(ISNUMBER(D1042),ISNUMBER(H1042)),D1042-H1042,NA())</f>
        <v/>
      </c>
      <c r="M1042" s="20">
        <f>IF(AND(ISNUMBER(E1042),ISNUMBER(K1042)),E1042-K1042,NA())</f>
        <v/>
      </c>
      <c r="N1042" s="20">
        <f>IF(NOT(ISNUMBER($A1042)),NA(),IF(COUNT(OFFSET(G1042,1,0,Settings!$B$12,1))&lt;ROUNDUP(Settings!$B$12*Settings!$B$26,0),NA(),STDEV(OFFSET(G1042,1,0,Settings!$B$12,1))*SQRT(Settings!$B$13)))</f>
        <v/>
      </c>
      <c r="O1042" s="20">
        <f>IF(AND(ISNUMBER(E1042),ISNUMBER(N1042)),E1042-N1042,NA())</f>
        <v/>
      </c>
      <c r="P1042" s="19">
        <f>IF(NOT(ISNUMBER($A1042)),NA(),IF(OR($A1042&lt;MIN(KW_TP!$A$2:$A$2501),$A1042&gt;MAX(KW_TP!$A$2:$A$2501)),NA(),INDEX(KW_TP!$C$2:$C$2501,MATCH($A1042,KW_TP!$A$2:$A$2501,1))))</f>
        <v/>
      </c>
      <c r="Q1042" s="18">
        <f>IF(NOT(ISNUMBER($A1042)),NA(),IFERROR(1*INDEX(BBG_Data!$J$2:$J$4000,MATCH($A1042,BBG_Data!$I$2:$I$4000,0)),NA()))</f>
        <v/>
      </c>
      <c r="R1042" s="18">
        <f>IF(NOT(ISNUMBER($A1042)),NA(),IFERROR(1*INDEX(BBG_Data!$L$2:$L$4000,MATCH($A1042,BBG_Data!$K$2:$K$4000,0)),NA()))</f>
        <v/>
      </c>
      <c r="S1042" s="20">
        <f>IF(AND(ISNUMBER(B1042),ISNUMBER(Q1042),ISNUMBER(R1042)),(B1042-Q1042-R1042)*100,NA())</f>
        <v/>
      </c>
      <c r="T1042" s="20">
        <f>IF(AND(ISNUMBER(B1042),Settings!$B$17&gt;0),IF(ISNUMBER(INDEX($B:$B,Settings!$B$17)),(B1042-INDEX($B:$B,Settings!$B$17))*100,NA()),NA())</f>
        <v/>
      </c>
      <c r="U1042" s="20">
        <f>IF(AND(ISNUMBER(Q1042),Settings!$B$17&gt;0),IF(ISNUMBER(INDEX($Q:$Q,Settings!$B$17)),(Q1042-INDEX($Q:$Q,Settings!$B$17))*100,NA()),NA())</f>
        <v/>
      </c>
      <c r="V1042" s="20">
        <f>IF(AND(ISNUMBER(R1042),Settings!$B$17&gt;0),IF(ISNUMBER(INDEX($R:$R,Settings!$B$17)),(R1042-INDEX($R:$R,Settings!$B$17))*100,NA()),NA())</f>
        <v/>
      </c>
      <c r="W1042" s="20">
        <f>IF(AND(ISNUMBER(P1042),Settings!$B$17&gt;0),IF(ISNUMBER(INDEX($P:$P,Settings!$B$17)),P1042-INDEX($P:$P,Settings!$B$17),NA()),NA())</f>
        <v/>
      </c>
      <c r="X1042" s="19">
        <f>IF(NOT(ISNUMBER($A1042)),NA(),IF(OR($A1042&lt;MIN(DKW_10Y!$A$2:$A$2918),$A1042&gt;MAX(DKW_10Y!$A$2:$A$2918),Settings!$B$16&lt;MIN(DKW_10Y!$A$2:$A$2918)),NA(),(INDEX(DKW_10Y!$B$2:$B$2918,MATCH($A1042,DKW_10Y!$A$2:$A$2918,1))-INDEX(DKW_10Y!$B$2:$B$2918,MATCH(Settings!$B$16,DKW_10Y!$A$2:$A$2918,1)))*100))</f>
        <v/>
      </c>
      <c r="Y1042" s="19">
        <f>IF(NOT(ISNUMBER($A1042)),NA(),IF(OR($A1042&lt;MIN(DKW_10Y!$A$2:$A$2918),$A1042&gt;MAX(DKW_10Y!$A$2:$A$2918),Settings!$B$16&lt;MIN(DKW_10Y!$A$2:$A$2918)),NA(),(INDEX(DKW_10Y!$C$2:$C$2918,MATCH($A1042,DKW_10Y!$A$2:$A$2918,1))-INDEX(DKW_10Y!$C$2:$C$2918,MATCH(Settings!$B$16,DKW_10Y!$A$2:$A$2918,1)))*100))</f>
        <v/>
      </c>
      <c r="Z1042" s="19">
        <f>IF(NOT(ISNUMBER($A1042)),NA(),IF(OR($A1042&lt;MIN(DKW_10Y!$A$2:$A$2918),$A1042&gt;MAX(DKW_10Y!$A$2:$A$2918),Settings!$B$16&lt;MIN(DKW_10Y!$A$2:$A$2918)),NA(),(INDEX(DKW_10Y!$D$2:$D$2918,MATCH($A1042,DKW_10Y!$A$2:$A$2918,1))-INDEX(DKW_10Y!$D$2:$D$2918,MATCH(Settings!$B$16,DKW_10Y!$A$2:$A$2918,1)))*100))</f>
        <v/>
      </c>
      <c r="AA1042" s="19">
        <f>IF(NOT(ISNUMBER($A1042)),NA(),IF(OR($A1042&lt;MIN(DKW_10Y!$A$2:$A$2918),$A1042&gt;MAX(DKW_10Y!$A$2:$A$2918),Settings!$B$16&lt;MIN(DKW_10Y!$A$2:$A$2918)),NA(),(INDEX(DKW_10Y!$E$2:$E$2918,MATCH($A1042,DKW_10Y!$A$2:$A$2918,1))-INDEX(DKW_10Y!$E$2:$E$2918,MATCH(Settings!$B$16,DKW_10Y!$A$2:$A$2918,1)))*100))</f>
        <v/>
      </c>
      <c r="AB1042" s="19">
        <f>IF(NOT(ISNUMBER($A1042)),NA(),IF(OR($A1042&lt;MIN(DKW_10Y!$A$2:$A$2918),$A1042&gt;MAX(DKW_10Y!$A$2:$A$2918),Settings!$B$16&lt;MIN(DKW_10Y!$A$2:$A$2918)),NA(),(INDEX(DKW_10Y!$H$2:$H$2918,MATCH($A1042,DKW_10Y!$A$2:$A$2918,1))-INDEX(DKW_10Y!$H$2:$H$2918,MATCH(Settings!$B$16,DKW_10Y!$A$2:$A$2918,1)))*100))</f>
        <v/>
      </c>
      <c r="AC1042" s="18">
        <f>IF(NOT(ISNUMBER($A1042)),NA(),IFERROR(1*INDEX(BBG_Data!$N$2:$N$4000,MATCH($A1042,BBG_Data!$M$2:$M$4000,0)),NA()))</f>
        <v/>
      </c>
      <c r="AD1042" s="18">
        <f>IF(NOT(ISNUMBER($A1042)),NA(),IFERROR(1*INDEX(BBG_Data!$P$2:$P$4000,MATCH($A1042,BBG_Data!$O$2:$O$4000,0)),NA()))</f>
        <v/>
      </c>
      <c r="AE1042" s="18">
        <f>IF(NOT(ISNUMBER($A1042)),NA(),IFERROR(1*INDEX(BBG_Data!$R$2:$R$4000,MATCH($A1042,BBG_Data!$Q$2:$Q$4000,0)),NA()))</f>
        <v/>
      </c>
      <c r="AF1042" s="20">
        <f>IF(AND(ISNUMBER(B1042),ISNUMBER(AC1042)),(B1042-AC1042)*100,NA())</f>
        <v/>
      </c>
      <c r="AG1042" s="20">
        <f>IF(AND(ISNUMBER(AE1042),ISNUMBER(AD1042)),(AE1042-AD1042)*100,NA())</f>
        <v/>
      </c>
      <c r="AH1042" s="19">
        <f>IF(NOT(ISNUMBER($A1042)),NA(),IFERROR(INDEX(BBG_Data!$T$2:$T$4000,MATCH($A1042,BBG_Data!$S$2:$S$4000,0))*Settings!$B$25,NA()))</f>
        <v/>
      </c>
      <c r="AI1042" s="19">
        <f>IF(NOT(ISNUMBER($A1042)),NA(),IFERROR(INDEX(BBG_Data!$V$2:$V$4000,MATCH($A1042,BBG_Data!$U$2:$U$4000,0))*Settings!$B$25,NA()))</f>
        <v/>
      </c>
      <c r="AJ1042" s="19">
        <f>IF(NOT(ISNUMBER($A1042)),NA(),IFERROR(1*INDEX(BBG_Data!$X$2:$X$4000,MATCH($A1042,BBG_Data!$W$2:$W$4000,0)),NA()))</f>
        <v/>
      </c>
      <c r="AK1042" s="19">
        <f>IF(NOT(ISNUMBER($A1042)),NA(),IFERROR(1*INDEX(BBG_Data!$Z$2:$Z$4000,MATCH($A1042,BBG_Data!$Y$2:$Y$4000,0)),NA()))</f>
        <v/>
      </c>
    </row>
    <row r="1043">
      <c r="A1043" s="17">
        <f>IF(ISNUMBER(BBG_Data!A1043),BBG_Data!A1043,"")</f>
        <v/>
      </c>
      <c r="B1043" s="18">
        <f>IF(AND(ISNUMBER($A1043),ISNUMBER(BBG_Data!B1043)),BBG_Data!B1043,NA())</f>
        <v/>
      </c>
      <c r="C1043" s="18">
        <f>IF(NOT(ISNUMBER($A1043)),NA(),IFERROR(1*INDEX(BBG_Data!$D$2:$D$4000,MATCH($A1043,BBG_Data!$C$2:$C$4000,0)),NA()))</f>
        <v/>
      </c>
      <c r="D1043" s="19">
        <f>IF(NOT(ISNUMBER($A1043)),NA(),IFERROR(1*INDEX(BBG_Data!$F$2:$F$4000,MATCH($A1043,BBG_Data!$E$2:$E$4000,0)),NA()))</f>
        <v/>
      </c>
      <c r="E1043" s="19">
        <f>IF(NOT(ISNUMBER($A1043)),NA(),IFERROR(1*INDEX(BBG_Data!$H$2:$H$4000,MATCH($A1043,BBG_Data!$G$2:$G$4000,0)),NA()))</f>
        <v/>
      </c>
      <c r="F1043" s="20">
        <f>IF(AND(ISNUMBER(B1043),ISNUMBER(B1042)),IF(B1043=B1042,"",(B1043-B1042)*100),"")</f>
        <v/>
      </c>
      <c r="G1043" s="20">
        <f>IF(AND(ISNUMBER(C1043),ISNUMBER(C1042)),IF(C1043=C1042,"",(C1043-C1042)*100),"")</f>
        <v/>
      </c>
      <c r="H1043" s="20">
        <f>IF(OR(NOT(ISNUMBER($A1043)),ROW()-2&lt;Settings!$B$11),NA(),IF(COUNT(OFFSET(F1043,1-Settings!$B$11,0,Settings!$B$11,1))&lt;ROUNDUP(Settings!$B$11*Settings!$B$26,0),NA(),STDEV(OFFSET(F1043,1-Settings!$B$11,0,Settings!$B$11,1))*SQRT(Settings!$B$13)))</f>
        <v/>
      </c>
      <c r="I1043" s="20">
        <f>IF(OR(NOT(ISNUMBER($A1043)),ROW()-2&lt;Settings!$B$12),NA(),IF(COUNT(OFFSET(F1043,1-Settings!$B$12,0,Settings!$B$12,1))&lt;ROUNDUP(Settings!$B$12*Settings!$B$26,0),NA(),STDEV(OFFSET(F1043,1-Settings!$B$12,0,Settings!$B$12,1))*SQRT(Settings!$B$13)))</f>
        <v/>
      </c>
      <c r="J1043" s="20">
        <f>IF(OR(NOT(ISNUMBER($A1043)),ROW()-2&lt;Settings!$B$11),NA(),IF(COUNT(OFFSET(G1043,1-Settings!$B$11,0,Settings!$B$11,1))&lt;ROUNDUP(Settings!$B$11*Settings!$B$26,0),NA(),STDEV(OFFSET(G1043,1-Settings!$B$11,0,Settings!$B$11,1))*SQRT(Settings!$B$13)))</f>
        <v/>
      </c>
      <c r="K1043" s="20">
        <f>IF(OR(NOT(ISNUMBER($A1043)),ROW()-2&lt;Settings!$B$12),NA(),IF(COUNT(OFFSET(G1043,1-Settings!$B$12,0,Settings!$B$12,1))&lt;ROUNDUP(Settings!$B$12*Settings!$B$26,0),NA(),STDEV(OFFSET(G1043,1-Settings!$B$12,0,Settings!$B$12,1))*SQRT(Settings!$B$13)))</f>
        <v/>
      </c>
      <c r="L1043" s="20">
        <f>IF(AND(ISNUMBER(D1043),ISNUMBER(H1043)),D1043-H1043,NA())</f>
        <v/>
      </c>
      <c r="M1043" s="20">
        <f>IF(AND(ISNUMBER(E1043),ISNUMBER(K1043)),E1043-K1043,NA())</f>
        <v/>
      </c>
      <c r="N1043" s="20">
        <f>IF(NOT(ISNUMBER($A1043)),NA(),IF(COUNT(OFFSET(G1043,1,0,Settings!$B$12,1))&lt;ROUNDUP(Settings!$B$12*Settings!$B$26,0),NA(),STDEV(OFFSET(G1043,1,0,Settings!$B$12,1))*SQRT(Settings!$B$13)))</f>
        <v/>
      </c>
      <c r="O1043" s="20">
        <f>IF(AND(ISNUMBER(E1043),ISNUMBER(N1043)),E1043-N1043,NA())</f>
        <v/>
      </c>
      <c r="P1043" s="19">
        <f>IF(NOT(ISNUMBER($A1043)),NA(),IF(OR($A1043&lt;MIN(KW_TP!$A$2:$A$2501),$A1043&gt;MAX(KW_TP!$A$2:$A$2501)),NA(),INDEX(KW_TP!$C$2:$C$2501,MATCH($A1043,KW_TP!$A$2:$A$2501,1))))</f>
        <v/>
      </c>
      <c r="Q1043" s="18">
        <f>IF(NOT(ISNUMBER($A1043)),NA(),IFERROR(1*INDEX(BBG_Data!$J$2:$J$4000,MATCH($A1043,BBG_Data!$I$2:$I$4000,0)),NA()))</f>
        <v/>
      </c>
      <c r="R1043" s="18">
        <f>IF(NOT(ISNUMBER($A1043)),NA(),IFERROR(1*INDEX(BBG_Data!$L$2:$L$4000,MATCH($A1043,BBG_Data!$K$2:$K$4000,0)),NA()))</f>
        <v/>
      </c>
      <c r="S1043" s="20">
        <f>IF(AND(ISNUMBER(B1043),ISNUMBER(Q1043),ISNUMBER(R1043)),(B1043-Q1043-R1043)*100,NA())</f>
        <v/>
      </c>
      <c r="T1043" s="20">
        <f>IF(AND(ISNUMBER(B1043),Settings!$B$17&gt;0),IF(ISNUMBER(INDEX($B:$B,Settings!$B$17)),(B1043-INDEX($B:$B,Settings!$B$17))*100,NA()),NA())</f>
        <v/>
      </c>
      <c r="U1043" s="20">
        <f>IF(AND(ISNUMBER(Q1043),Settings!$B$17&gt;0),IF(ISNUMBER(INDEX($Q:$Q,Settings!$B$17)),(Q1043-INDEX($Q:$Q,Settings!$B$17))*100,NA()),NA())</f>
        <v/>
      </c>
      <c r="V1043" s="20">
        <f>IF(AND(ISNUMBER(R1043),Settings!$B$17&gt;0),IF(ISNUMBER(INDEX($R:$R,Settings!$B$17)),(R1043-INDEX($R:$R,Settings!$B$17))*100,NA()),NA())</f>
        <v/>
      </c>
      <c r="W1043" s="20">
        <f>IF(AND(ISNUMBER(P1043),Settings!$B$17&gt;0),IF(ISNUMBER(INDEX($P:$P,Settings!$B$17)),P1043-INDEX($P:$P,Settings!$B$17),NA()),NA())</f>
        <v/>
      </c>
      <c r="X1043" s="19">
        <f>IF(NOT(ISNUMBER($A1043)),NA(),IF(OR($A1043&lt;MIN(DKW_10Y!$A$2:$A$2918),$A1043&gt;MAX(DKW_10Y!$A$2:$A$2918),Settings!$B$16&lt;MIN(DKW_10Y!$A$2:$A$2918)),NA(),(INDEX(DKW_10Y!$B$2:$B$2918,MATCH($A1043,DKW_10Y!$A$2:$A$2918,1))-INDEX(DKW_10Y!$B$2:$B$2918,MATCH(Settings!$B$16,DKW_10Y!$A$2:$A$2918,1)))*100))</f>
        <v/>
      </c>
      <c r="Y1043" s="19">
        <f>IF(NOT(ISNUMBER($A1043)),NA(),IF(OR($A1043&lt;MIN(DKW_10Y!$A$2:$A$2918),$A1043&gt;MAX(DKW_10Y!$A$2:$A$2918),Settings!$B$16&lt;MIN(DKW_10Y!$A$2:$A$2918)),NA(),(INDEX(DKW_10Y!$C$2:$C$2918,MATCH($A1043,DKW_10Y!$A$2:$A$2918,1))-INDEX(DKW_10Y!$C$2:$C$2918,MATCH(Settings!$B$16,DKW_10Y!$A$2:$A$2918,1)))*100))</f>
        <v/>
      </c>
      <c r="Z1043" s="19">
        <f>IF(NOT(ISNUMBER($A1043)),NA(),IF(OR($A1043&lt;MIN(DKW_10Y!$A$2:$A$2918),$A1043&gt;MAX(DKW_10Y!$A$2:$A$2918),Settings!$B$16&lt;MIN(DKW_10Y!$A$2:$A$2918)),NA(),(INDEX(DKW_10Y!$D$2:$D$2918,MATCH($A1043,DKW_10Y!$A$2:$A$2918,1))-INDEX(DKW_10Y!$D$2:$D$2918,MATCH(Settings!$B$16,DKW_10Y!$A$2:$A$2918,1)))*100))</f>
        <v/>
      </c>
      <c r="AA1043" s="19">
        <f>IF(NOT(ISNUMBER($A1043)),NA(),IF(OR($A1043&lt;MIN(DKW_10Y!$A$2:$A$2918),$A1043&gt;MAX(DKW_10Y!$A$2:$A$2918),Settings!$B$16&lt;MIN(DKW_10Y!$A$2:$A$2918)),NA(),(INDEX(DKW_10Y!$E$2:$E$2918,MATCH($A1043,DKW_10Y!$A$2:$A$2918,1))-INDEX(DKW_10Y!$E$2:$E$2918,MATCH(Settings!$B$16,DKW_10Y!$A$2:$A$2918,1)))*100))</f>
        <v/>
      </c>
      <c r="AB1043" s="19">
        <f>IF(NOT(ISNUMBER($A1043)),NA(),IF(OR($A1043&lt;MIN(DKW_10Y!$A$2:$A$2918),$A1043&gt;MAX(DKW_10Y!$A$2:$A$2918),Settings!$B$16&lt;MIN(DKW_10Y!$A$2:$A$2918)),NA(),(INDEX(DKW_10Y!$H$2:$H$2918,MATCH($A1043,DKW_10Y!$A$2:$A$2918,1))-INDEX(DKW_10Y!$H$2:$H$2918,MATCH(Settings!$B$16,DKW_10Y!$A$2:$A$2918,1)))*100))</f>
        <v/>
      </c>
      <c r="AC1043" s="18">
        <f>IF(NOT(ISNUMBER($A1043)),NA(),IFERROR(1*INDEX(BBG_Data!$N$2:$N$4000,MATCH($A1043,BBG_Data!$M$2:$M$4000,0)),NA()))</f>
        <v/>
      </c>
      <c r="AD1043" s="18">
        <f>IF(NOT(ISNUMBER($A1043)),NA(),IFERROR(1*INDEX(BBG_Data!$P$2:$P$4000,MATCH($A1043,BBG_Data!$O$2:$O$4000,0)),NA()))</f>
        <v/>
      </c>
      <c r="AE1043" s="18">
        <f>IF(NOT(ISNUMBER($A1043)),NA(),IFERROR(1*INDEX(BBG_Data!$R$2:$R$4000,MATCH($A1043,BBG_Data!$Q$2:$Q$4000,0)),NA()))</f>
        <v/>
      </c>
      <c r="AF1043" s="20">
        <f>IF(AND(ISNUMBER(B1043),ISNUMBER(AC1043)),(B1043-AC1043)*100,NA())</f>
        <v/>
      </c>
      <c r="AG1043" s="20">
        <f>IF(AND(ISNUMBER(AE1043),ISNUMBER(AD1043)),(AE1043-AD1043)*100,NA())</f>
        <v/>
      </c>
      <c r="AH1043" s="19">
        <f>IF(NOT(ISNUMBER($A1043)),NA(),IFERROR(INDEX(BBG_Data!$T$2:$T$4000,MATCH($A1043,BBG_Data!$S$2:$S$4000,0))*Settings!$B$25,NA()))</f>
        <v/>
      </c>
      <c r="AI1043" s="19">
        <f>IF(NOT(ISNUMBER($A1043)),NA(),IFERROR(INDEX(BBG_Data!$V$2:$V$4000,MATCH($A1043,BBG_Data!$U$2:$U$4000,0))*Settings!$B$25,NA()))</f>
        <v/>
      </c>
      <c r="AJ1043" s="19">
        <f>IF(NOT(ISNUMBER($A1043)),NA(),IFERROR(1*INDEX(BBG_Data!$X$2:$X$4000,MATCH($A1043,BBG_Data!$W$2:$W$4000,0)),NA()))</f>
        <v/>
      </c>
      <c r="AK1043" s="19">
        <f>IF(NOT(ISNUMBER($A1043)),NA(),IFERROR(1*INDEX(BBG_Data!$Z$2:$Z$4000,MATCH($A1043,BBG_Data!$Y$2:$Y$4000,0)),NA()))</f>
        <v/>
      </c>
    </row>
    <row r="1044">
      <c r="A1044" s="17">
        <f>IF(ISNUMBER(BBG_Data!A1044),BBG_Data!A1044,"")</f>
        <v/>
      </c>
      <c r="B1044" s="18">
        <f>IF(AND(ISNUMBER($A1044),ISNUMBER(BBG_Data!B1044)),BBG_Data!B1044,NA())</f>
        <v/>
      </c>
      <c r="C1044" s="18">
        <f>IF(NOT(ISNUMBER($A1044)),NA(),IFERROR(1*INDEX(BBG_Data!$D$2:$D$4000,MATCH($A1044,BBG_Data!$C$2:$C$4000,0)),NA()))</f>
        <v/>
      </c>
      <c r="D1044" s="19">
        <f>IF(NOT(ISNUMBER($A1044)),NA(),IFERROR(1*INDEX(BBG_Data!$F$2:$F$4000,MATCH($A1044,BBG_Data!$E$2:$E$4000,0)),NA()))</f>
        <v/>
      </c>
      <c r="E1044" s="19">
        <f>IF(NOT(ISNUMBER($A1044)),NA(),IFERROR(1*INDEX(BBG_Data!$H$2:$H$4000,MATCH($A1044,BBG_Data!$G$2:$G$4000,0)),NA()))</f>
        <v/>
      </c>
      <c r="F1044" s="20">
        <f>IF(AND(ISNUMBER(B1044),ISNUMBER(B1043)),IF(B1044=B1043,"",(B1044-B1043)*100),"")</f>
        <v/>
      </c>
      <c r="G1044" s="20">
        <f>IF(AND(ISNUMBER(C1044),ISNUMBER(C1043)),IF(C1044=C1043,"",(C1044-C1043)*100),"")</f>
        <v/>
      </c>
      <c r="H1044" s="20">
        <f>IF(OR(NOT(ISNUMBER($A1044)),ROW()-2&lt;Settings!$B$11),NA(),IF(COUNT(OFFSET(F1044,1-Settings!$B$11,0,Settings!$B$11,1))&lt;ROUNDUP(Settings!$B$11*Settings!$B$26,0),NA(),STDEV(OFFSET(F1044,1-Settings!$B$11,0,Settings!$B$11,1))*SQRT(Settings!$B$13)))</f>
        <v/>
      </c>
      <c r="I1044" s="20">
        <f>IF(OR(NOT(ISNUMBER($A1044)),ROW()-2&lt;Settings!$B$12),NA(),IF(COUNT(OFFSET(F1044,1-Settings!$B$12,0,Settings!$B$12,1))&lt;ROUNDUP(Settings!$B$12*Settings!$B$26,0),NA(),STDEV(OFFSET(F1044,1-Settings!$B$12,0,Settings!$B$12,1))*SQRT(Settings!$B$13)))</f>
        <v/>
      </c>
      <c r="J1044" s="20">
        <f>IF(OR(NOT(ISNUMBER($A1044)),ROW()-2&lt;Settings!$B$11),NA(),IF(COUNT(OFFSET(G1044,1-Settings!$B$11,0,Settings!$B$11,1))&lt;ROUNDUP(Settings!$B$11*Settings!$B$26,0),NA(),STDEV(OFFSET(G1044,1-Settings!$B$11,0,Settings!$B$11,1))*SQRT(Settings!$B$13)))</f>
        <v/>
      </c>
      <c r="K1044" s="20">
        <f>IF(OR(NOT(ISNUMBER($A1044)),ROW()-2&lt;Settings!$B$12),NA(),IF(COUNT(OFFSET(G1044,1-Settings!$B$12,0,Settings!$B$12,1))&lt;ROUNDUP(Settings!$B$12*Settings!$B$26,0),NA(),STDEV(OFFSET(G1044,1-Settings!$B$12,0,Settings!$B$12,1))*SQRT(Settings!$B$13)))</f>
        <v/>
      </c>
      <c r="L1044" s="20">
        <f>IF(AND(ISNUMBER(D1044),ISNUMBER(H1044)),D1044-H1044,NA())</f>
        <v/>
      </c>
      <c r="M1044" s="20">
        <f>IF(AND(ISNUMBER(E1044),ISNUMBER(K1044)),E1044-K1044,NA())</f>
        <v/>
      </c>
      <c r="N1044" s="20">
        <f>IF(NOT(ISNUMBER($A1044)),NA(),IF(COUNT(OFFSET(G1044,1,0,Settings!$B$12,1))&lt;ROUNDUP(Settings!$B$12*Settings!$B$26,0),NA(),STDEV(OFFSET(G1044,1,0,Settings!$B$12,1))*SQRT(Settings!$B$13)))</f>
        <v/>
      </c>
      <c r="O1044" s="20">
        <f>IF(AND(ISNUMBER(E1044),ISNUMBER(N1044)),E1044-N1044,NA())</f>
        <v/>
      </c>
      <c r="P1044" s="19">
        <f>IF(NOT(ISNUMBER($A1044)),NA(),IF(OR($A1044&lt;MIN(KW_TP!$A$2:$A$2501),$A1044&gt;MAX(KW_TP!$A$2:$A$2501)),NA(),INDEX(KW_TP!$C$2:$C$2501,MATCH($A1044,KW_TP!$A$2:$A$2501,1))))</f>
        <v/>
      </c>
      <c r="Q1044" s="18">
        <f>IF(NOT(ISNUMBER($A1044)),NA(),IFERROR(1*INDEX(BBG_Data!$J$2:$J$4000,MATCH($A1044,BBG_Data!$I$2:$I$4000,0)),NA()))</f>
        <v/>
      </c>
      <c r="R1044" s="18">
        <f>IF(NOT(ISNUMBER($A1044)),NA(),IFERROR(1*INDEX(BBG_Data!$L$2:$L$4000,MATCH($A1044,BBG_Data!$K$2:$K$4000,0)),NA()))</f>
        <v/>
      </c>
      <c r="S1044" s="20">
        <f>IF(AND(ISNUMBER(B1044),ISNUMBER(Q1044),ISNUMBER(R1044)),(B1044-Q1044-R1044)*100,NA())</f>
        <v/>
      </c>
      <c r="T1044" s="20">
        <f>IF(AND(ISNUMBER(B1044),Settings!$B$17&gt;0),IF(ISNUMBER(INDEX($B:$B,Settings!$B$17)),(B1044-INDEX($B:$B,Settings!$B$17))*100,NA()),NA())</f>
        <v/>
      </c>
      <c r="U1044" s="20">
        <f>IF(AND(ISNUMBER(Q1044),Settings!$B$17&gt;0),IF(ISNUMBER(INDEX($Q:$Q,Settings!$B$17)),(Q1044-INDEX($Q:$Q,Settings!$B$17))*100,NA()),NA())</f>
        <v/>
      </c>
      <c r="V1044" s="20">
        <f>IF(AND(ISNUMBER(R1044),Settings!$B$17&gt;0),IF(ISNUMBER(INDEX($R:$R,Settings!$B$17)),(R1044-INDEX($R:$R,Settings!$B$17))*100,NA()),NA())</f>
        <v/>
      </c>
      <c r="W1044" s="20">
        <f>IF(AND(ISNUMBER(P1044),Settings!$B$17&gt;0),IF(ISNUMBER(INDEX($P:$P,Settings!$B$17)),P1044-INDEX($P:$P,Settings!$B$17),NA()),NA())</f>
        <v/>
      </c>
      <c r="X1044" s="19">
        <f>IF(NOT(ISNUMBER($A1044)),NA(),IF(OR($A1044&lt;MIN(DKW_10Y!$A$2:$A$2918),$A1044&gt;MAX(DKW_10Y!$A$2:$A$2918),Settings!$B$16&lt;MIN(DKW_10Y!$A$2:$A$2918)),NA(),(INDEX(DKW_10Y!$B$2:$B$2918,MATCH($A1044,DKW_10Y!$A$2:$A$2918,1))-INDEX(DKW_10Y!$B$2:$B$2918,MATCH(Settings!$B$16,DKW_10Y!$A$2:$A$2918,1)))*100))</f>
        <v/>
      </c>
      <c r="Y1044" s="19">
        <f>IF(NOT(ISNUMBER($A1044)),NA(),IF(OR($A1044&lt;MIN(DKW_10Y!$A$2:$A$2918),$A1044&gt;MAX(DKW_10Y!$A$2:$A$2918),Settings!$B$16&lt;MIN(DKW_10Y!$A$2:$A$2918)),NA(),(INDEX(DKW_10Y!$C$2:$C$2918,MATCH($A1044,DKW_10Y!$A$2:$A$2918,1))-INDEX(DKW_10Y!$C$2:$C$2918,MATCH(Settings!$B$16,DKW_10Y!$A$2:$A$2918,1)))*100))</f>
        <v/>
      </c>
      <c r="Z1044" s="19">
        <f>IF(NOT(ISNUMBER($A1044)),NA(),IF(OR($A1044&lt;MIN(DKW_10Y!$A$2:$A$2918),$A1044&gt;MAX(DKW_10Y!$A$2:$A$2918),Settings!$B$16&lt;MIN(DKW_10Y!$A$2:$A$2918)),NA(),(INDEX(DKW_10Y!$D$2:$D$2918,MATCH($A1044,DKW_10Y!$A$2:$A$2918,1))-INDEX(DKW_10Y!$D$2:$D$2918,MATCH(Settings!$B$16,DKW_10Y!$A$2:$A$2918,1)))*100))</f>
        <v/>
      </c>
      <c r="AA1044" s="19">
        <f>IF(NOT(ISNUMBER($A1044)),NA(),IF(OR($A1044&lt;MIN(DKW_10Y!$A$2:$A$2918),$A1044&gt;MAX(DKW_10Y!$A$2:$A$2918),Settings!$B$16&lt;MIN(DKW_10Y!$A$2:$A$2918)),NA(),(INDEX(DKW_10Y!$E$2:$E$2918,MATCH($A1044,DKW_10Y!$A$2:$A$2918,1))-INDEX(DKW_10Y!$E$2:$E$2918,MATCH(Settings!$B$16,DKW_10Y!$A$2:$A$2918,1)))*100))</f>
        <v/>
      </c>
      <c r="AB1044" s="19">
        <f>IF(NOT(ISNUMBER($A1044)),NA(),IF(OR($A1044&lt;MIN(DKW_10Y!$A$2:$A$2918),$A1044&gt;MAX(DKW_10Y!$A$2:$A$2918),Settings!$B$16&lt;MIN(DKW_10Y!$A$2:$A$2918)),NA(),(INDEX(DKW_10Y!$H$2:$H$2918,MATCH($A1044,DKW_10Y!$A$2:$A$2918,1))-INDEX(DKW_10Y!$H$2:$H$2918,MATCH(Settings!$B$16,DKW_10Y!$A$2:$A$2918,1)))*100))</f>
        <v/>
      </c>
      <c r="AC1044" s="18">
        <f>IF(NOT(ISNUMBER($A1044)),NA(),IFERROR(1*INDEX(BBG_Data!$N$2:$N$4000,MATCH($A1044,BBG_Data!$M$2:$M$4000,0)),NA()))</f>
        <v/>
      </c>
      <c r="AD1044" s="18">
        <f>IF(NOT(ISNUMBER($A1044)),NA(),IFERROR(1*INDEX(BBG_Data!$P$2:$P$4000,MATCH($A1044,BBG_Data!$O$2:$O$4000,0)),NA()))</f>
        <v/>
      </c>
      <c r="AE1044" s="18">
        <f>IF(NOT(ISNUMBER($A1044)),NA(),IFERROR(1*INDEX(BBG_Data!$R$2:$R$4000,MATCH($A1044,BBG_Data!$Q$2:$Q$4000,0)),NA()))</f>
        <v/>
      </c>
      <c r="AF1044" s="20">
        <f>IF(AND(ISNUMBER(B1044),ISNUMBER(AC1044)),(B1044-AC1044)*100,NA())</f>
        <v/>
      </c>
      <c r="AG1044" s="20">
        <f>IF(AND(ISNUMBER(AE1044),ISNUMBER(AD1044)),(AE1044-AD1044)*100,NA())</f>
        <v/>
      </c>
      <c r="AH1044" s="19">
        <f>IF(NOT(ISNUMBER($A1044)),NA(),IFERROR(INDEX(BBG_Data!$T$2:$T$4000,MATCH($A1044,BBG_Data!$S$2:$S$4000,0))*Settings!$B$25,NA()))</f>
        <v/>
      </c>
      <c r="AI1044" s="19">
        <f>IF(NOT(ISNUMBER($A1044)),NA(),IFERROR(INDEX(BBG_Data!$V$2:$V$4000,MATCH($A1044,BBG_Data!$U$2:$U$4000,0))*Settings!$B$25,NA()))</f>
        <v/>
      </c>
      <c r="AJ1044" s="19">
        <f>IF(NOT(ISNUMBER($A1044)),NA(),IFERROR(1*INDEX(BBG_Data!$X$2:$X$4000,MATCH($A1044,BBG_Data!$W$2:$W$4000,0)),NA()))</f>
        <v/>
      </c>
      <c r="AK1044" s="19">
        <f>IF(NOT(ISNUMBER($A1044)),NA(),IFERROR(1*INDEX(BBG_Data!$Z$2:$Z$4000,MATCH($A1044,BBG_Data!$Y$2:$Y$4000,0)),NA()))</f>
        <v/>
      </c>
    </row>
    <row r="1045">
      <c r="A1045" s="17">
        <f>IF(ISNUMBER(BBG_Data!A1045),BBG_Data!A1045,"")</f>
        <v/>
      </c>
      <c r="B1045" s="18">
        <f>IF(AND(ISNUMBER($A1045),ISNUMBER(BBG_Data!B1045)),BBG_Data!B1045,NA())</f>
        <v/>
      </c>
      <c r="C1045" s="18">
        <f>IF(NOT(ISNUMBER($A1045)),NA(),IFERROR(1*INDEX(BBG_Data!$D$2:$D$4000,MATCH($A1045,BBG_Data!$C$2:$C$4000,0)),NA()))</f>
        <v/>
      </c>
      <c r="D1045" s="19">
        <f>IF(NOT(ISNUMBER($A1045)),NA(),IFERROR(1*INDEX(BBG_Data!$F$2:$F$4000,MATCH($A1045,BBG_Data!$E$2:$E$4000,0)),NA()))</f>
        <v/>
      </c>
      <c r="E1045" s="19">
        <f>IF(NOT(ISNUMBER($A1045)),NA(),IFERROR(1*INDEX(BBG_Data!$H$2:$H$4000,MATCH($A1045,BBG_Data!$G$2:$G$4000,0)),NA()))</f>
        <v/>
      </c>
      <c r="F1045" s="20">
        <f>IF(AND(ISNUMBER(B1045),ISNUMBER(B1044)),IF(B1045=B1044,"",(B1045-B1044)*100),"")</f>
        <v/>
      </c>
      <c r="G1045" s="20">
        <f>IF(AND(ISNUMBER(C1045),ISNUMBER(C1044)),IF(C1045=C1044,"",(C1045-C1044)*100),"")</f>
        <v/>
      </c>
      <c r="H1045" s="20">
        <f>IF(OR(NOT(ISNUMBER($A1045)),ROW()-2&lt;Settings!$B$11),NA(),IF(COUNT(OFFSET(F1045,1-Settings!$B$11,0,Settings!$B$11,1))&lt;ROUNDUP(Settings!$B$11*Settings!$B$26,0),NA(),STDEV(OFFSET(F1045,1-Settings!$B$11,0,Settings!$B$11,1))*SQRT(Settings!$B$13)))</f>
        <v/>
      </c>
      <c r="I1045" s="20">
        <f>IF(OR(NOT(ISNUMBER($A1045)),ROW()-2&lt;Settings!$B$12),NA(),IF(COUNT(OFFSET(F1045,1-Settings!$B$12,0,Settings!$B$12,1))&lt;ROUNDUP(Settings!$B$12*Settings!$B$26,0),NA(),STDEV(OFFSET(F1045,1-Settings!$B$12,0,Settings!$B$12,1))*SQRT(Settings!$B$13)))</f>
        <v/>
      </c>
      <c r="J1045" s="20">
        <f>IF(OR(NOT(ISNUMBER($A1045)),ROW()-2&lt;Settings!$B$11),NA(),IF(COUNT(OFFSET(G1045,1-Settings!$B$11,0,Settings!$B$11,1))&lt;ROUNDUP(Settings!$B$11*Settings!$B$26,0),NA(),STDEV(OFFSET(G1045,1-Settings!$B$11,0,Settings!$B$11,1))*SQRT(Settings!$B$13)))</f>
        <v/>
      </c>
      <c r="K1045" s="20">
        <f>IF(OR(NOT(ISNUMBER($A1045)),ROW()-2&lt;Settings!$B$12),NA(),IF(COUNT(OFFSET(G1045,1-Settings!$B$12,0,Settings!$B$12,1))&lt;ROUNDUP(Settings!$B$12*Settings!$B$26,0),NA(),STDEV(OFFSET(G1045,1-Settings!$B$12,0,Settings!$B$12,1))*SQRT(Settings!$B$13)))</f>
        <v/>
      </c>
      <c r="L1045" s="20">
        <f>IF(AND(ISNUMBER(D1045),ISNUMBER(H1045)),D1045-H1045,NA())</f>
        <v/>
      </c>
      <c r="M1045" s="20">
        <f>IF(AND(ISNUMBER(E1045),ISNUMBER(K1045)),E1045-K1045,NA())</f>
        <v/>
      </c>
      <c r="N1045" s="20">
        <f>IF(NOT(ISNUMBER($A1045)),NA(),IF(COUNT(OFFSET(G1045,1,0,Settings!$B$12,1))&lt;ROUNDUP(Settings!$B$12*Settings!$B$26,0),NA(),STDEV(OFFSET(G1045,1,0,Settings!$B$12,1))*SQRT(Settings!$B$13)))</f>
        <v/>
      </c>
      <c r="O1045" s="20">
        <f>IF(AND(ISNUMBER(E1045),ISNUMBER(N1045)),E1045-N1045,NA())</f>
        <v/>
      </c>
      <c r="P1045" s="19">
        <f>IF(NOT(ISNUMBER($A1045)),NA(),IF(OR($A1045&lt;MIN(KW_TP!$A$2:$A$2501),$A1045&gt;MAX(KW_TP!$A$2:$A$2501)),NA(),INDEX(KW_TP!$C$2:$C$2501,MATCH($A1045,KW_TP!$A$2:$A$2501,1))))</f>
        <v/>
      </c>
      <c r="Q1045" s="18">
        <f>IF(NOT(ISNUMBER($A1045)),NA(),IFERROR(1*INDEX(BBG_Data!$J$2:$J$4000,MATCH($A1045,BBG_Data!$I$2:$I$4000,0)),NA()))</f>
        <v/>
      </c>
      <c r="R1045" s="18">
        <f>IF(NOT(ISNUMBER($A1045)),NA(),IFERROR(1*INDEX(BBG_Data!$L$2:$L$4000,MATCH($A1045,BBG_Data!$K$2:$K$4000,0)),NA()))</f>
        <v/>
      </c>
      <c r="S1045" s="20">
        <f>IF(AND(ISNUMBER(B1045),ISNUMBER(Q1045),ISNUMBER(R1045)),(B1045-Q1045-R1045)*100,NA())</f>
        <v/>
      </c>
      <c r="T1045" s="20">
        <f>IF(AND(ISNUMBER(B1045),Settings!$B$17&gt;0),IF(ISNUMBER(INDEX($B:$B,Settings!$B$17)),(B1045-INDEX($B:$B,Settings!$B$17))*100,NA()),NA())</f>
        <v/>
      </c>
      <c r="U1045" s="20">
        <f>IF(AND(ISNUMBER(Q1045),Settings!$B$17&gt;0),IF(ISNUMBER(INDEX($Q:$Q,Settings!$B$17)),(Q1045-INDEX($Q:$Q,Settings!$B$17))*100,NA()),NA())</f>
        <v/>
      </c>
      <c r="V1045" s="20">
        <f>IF(AND(ISNUMBER(R1045),Settings!$B$17&gt;0),IF(ISNUMBER(INDEX($R:$R,Settings!$B$17)),(R1045-INDEX($R:$R,Settings!$B$17))*100,NA()),NA())</f>
        <v/>
      </c>
      <c r="W1045" s="20">
        <f>IF(AND(ISNUMBER(P1045),Settings!$B$17&gt;0),IF(ISNUMBER(INDEX($P:$P,Settings!$B$17)),P1045-INDEX($P:$P,Settings!$B$17),NA()),NA())</f>
        <v/>
      </c>
      <c r="X1045" s="19">
        <f>IF(NOT(ISNUMBER($A1045)),NA(),IF(OR($A1045&lt;MIN(DKW_10Y!$A$2:$A$2918),$A1045&gt;MAX(DKW_10Y!$A$2:$A$2918),Settings!$B$16&lt;MIN(DKW_10Y!$A$2:$A$2918)),NA(),(INDEX(DKW_10Y!$B$2:$B$2918,MATCH($A1045,DKW_10Y!$A$2:$A$2918,1))-INDEX(DKW_10Y!$B$2:$B$2918,MATCH(Settings!$B$16,DKW_10Y!$A$2:$A$2918,1)))*100))</f>
        <v/>
      </c>
      <c r="Y1045" s="19">
        <f>IF(NOT(ISNUMBER($A1045)),NA(),IF(OR($A1045&lt;MIN(DKW_10Y!$A$2:$A$2918),$A1045&gt;MAX(DKW_10Y!$A$2:$A$2918),Settings!$B$16&lt;MIN(DKW_10Y!$A$2:$A$2918)),NA(),(INDEX(DKW_10Y!$C$2:$C$2918,MATCH($A1045,DKW_10Y!$A$2:$A$2918,1))-INDEX(DKW_10Y!$C$2:$C$2918,MATCH(Settings!$B$16,DKW_10Y!$A$2:$A$2918,1)))*100))</f>
        <v/>
      </c>
      <c r="Z1045" s="19">
        <f>IF(NOT(ISNUMBER($A1045)),NA(),IF(OR($A1045&lt;MIN(DKW_10Y!$A$2:$A$2918),$A1045&gt;MAX(DKW_10Y!$A$2:$A$2918),Settings!$B$16&lt;MIN(DKW_10Y!$A$2:$A$2918)),NA(),(INDEX(DKW_10Y!$D$2:$D$2918,MATCH($A1045,DKW_10Y!$A$2:$A$2918,1))-INDEX(DKW_10Y!$D$2:$D$2918,MATCH(Settings!$B$16,DKW_10Y!$A$2:$A$2918,1)))*100))</f>
        <v/>
      </c>
      <c r="AA1045" s="19">
        <f>IF(NOT(ISNUMBER($A1045)),NA(),IF(OR($A1045&lt;MIN(DKW_10Y!$A$2:$A$2918),$A1045&gt;MAX(DKW_10Y!$A$2:$A$2918),Settings!$B$16&lt;MIN(DKW_10Y!$A$2:$A$2918)),NA(),(INDEX(DKW_10Y!$E$2:$E$2918,MATCH($A1045,DKW_10Y!$A$2:$A$2918,1))-INDEX(DKW_10Y!$E$2:$E$2918,MATCH(Settings!$B$16,DKW_10Y!$A$2:$A$2918,1)))*100))</f>
        <v/>
      </c>
      <c r="AB1045" s="19">
        <f>IF(NOT(ISNUMBER($A1045)),NA(),IF(OR($A1045&lt;MIN(DKW_10Y!$A$2:$A$2918),$A1045&gt;MAX(DKW_10Y!$A$2:$A$2918),Settings!$B$16&lt;MIN(DKW_10Y!$A$2:$A$2918)),NA(),(INDEX(DKW_10Y!$H$2:$H$2918,MATCH($A1045,DKW_10Y!$A$2:$A$2918,1))-INDEX(DKW_10Y!$H$2:$H$2918,MATCH(Settings!$B$16,DKW_10Y!$A$2:$A$2918,1)))*100))</f>
        <v/>
      </c>
      <c r="AC1045" s="18">
        <f>IF(NOT(ISNUMBER($A1045)),NA(),IFERROR(1*INDEX(BBG_Data!$N$2:$N$4000,MATCH($A1045,BBG_Data!$M$2:$M$4000,0)),NA()))</f>
        <v/>
      </c>
      <c r="AD1045" s="18">
        <f>IF(NOT(ISNUMBER($A1045)),NA(),IFERROR(1*INDEX(BBG_Data!$P$2:$P$4000,MATCH($A1045,BBG_Data!$O$2:$O$4000,0)),NA()))</f>
        <v/>
      </c>
      <c r="AE1045" s="18">
        <f>IF(NOT(ISNUMBER($A1045)),NA(),IFERROR(1*INDEX(BBG_Data!$R$2:$R$4000,MATCH($A1045,BBG_Data!$Q$2:$Q$4000,0)),NA()))</f>
        <v/>
      </c>
      <c r="AF1045" s="20">
        <f>IF(AND(ISNUMBER(B1045),ISNUMBER(AC1045)),(B1045-AC1045)*100,NA())</f>
        <v/>
      </c>
      <c r="AG1045" s="20">
        <f>IF(AND(ISNUMBER(AE1045),ISNUMBER(AD1045)),(AE1045-AD1045)*100,NA())</f>
        <v/>
      </c>
      <c r="AH1045" s="19">
        <f>IF(NOT(ISNUMBER($A1045)),NA(),IFERROR(INDEX(BBG_Data!$T$2:$T$4000,MATCH($A1045,BBG_Data!$S$2:$S$4000,0))*Settings!$B$25,NA()))</f>
        <v/>
      </c>
      <c r="AI1045" s="19">
        <f>IF(NOT(ISNUMBER($A1045)),NA(),IFERROR(INDEX(BBG_Data!$V$2:$V$4000,MATCH($A1045,BBG_Data!$U$2:$U$4000,0))*Settings!$B$25,NA()))</f>
        <v/>
      </c>
      <c r="AJ1045" s="19">
        <f>IF(NOT(ISNUMBER($A1045)),NA(),IFERROR(1*INDEX(BBG_Data!$X$2:$X$4000,MATCH($A1045,BBG_Data!$W$2:$W$4000,0)),NA()))</f>
        <v/>
      </c>
      <c r="AK1045" s="19">
        <f>IF(NOT(ISNUMBER($A1045)),NA(),IFERROR(1*INDEX(BBG_Data!$Z$2:$Z$4000,MATCH($A1045,BBG_Data!$Y$2:$Y$4000,0)),NA()))</f>
        <v/>
      </c>
    </row>
    <row r="1046">
      <c r="A1046" s="17">
        <f>IF(ISNUMBER(BBG_Data!A1046),BBG_Data!A1046,"")</f>
        <v/>
      </c>
      <c r="B1046" s="18">
        <f>IF(AND(ISNUMBER($A1046),ISNUMBER(BBG_Data!B1046)),BBG_Data!B1046,NA())</f>
        <v/>
      </c>
      <c r="C1046" s="18">
        <f>IF(NOT(ISNUMBER($A1046)),NA(),IFERROR(1*INDEX(BBG_Data!$D$2:$D$4000,MATCH($A1046,BBG_Data!$C$2:$C$4000,0)),NA()))</f>
        <v/>
      </c>
      <c r="D1046" s="19">
        <f>IF(NOT(ISNUMBER($A1046)),NA(),IFERROR(1*INDEX(BBG_Data!$F$2:$F$4000,MATCH($A1046,BBG_Data!$E$2:$E$4000,0)),NA()))</f>
        <v/>
      </c>
      <c r="E1046" s="19">
        <f>IF(NOT(ISNUMBER($A1046)),NA(),IFERROR(1*INDEX(BBG_Data!$H$2:$H$4000,MATCH($A1046,BBG_Data!$G$2:$G$4000,0)),NA()))</f>
        <v/>
      </c>
      <c r="F1046" s="20">
        <f>IF(AND(ISNUMBER(B1046),ISNUMBER(B1045)),IF(B1046=B1045,"",(B1046-B1045)*100),"")</f>
        <v/>
      </c>
      <c r="G1046" s="20">
        <f>IF(AND(ISNUMBER(C1046),ISNUMBER(C1045)),IF(C1046=C1045,"",(C1046-C1045)*100),"")</f>
        <v/>
      </c>
      <c r="H1046" s="20">
        <f>IF(OR(NOT(ISNUMBER($A1046)),ROW()-2&lt;Settings!$B$11),NA(),IF(COUNT(OFFSET(F1046,1-Settings!$B$11,0,Settings!$B$11,1))&lt;ROUNDUP(Settings!$B$11*Settings!$B$26,0),NA(),STDEV(OFFSET(F1046,1-Settings!$B$11,0,Settings!$B$11,1))*SQRT(Settings!$B$13)))</f>
        <v/>
      </c>
      <c r="I1046" s="20">
        <f>IF(OR(NOT(ISNUMBER($A1046)),ROW()-2&lt;Settings!$B$12),NA(),IF(COUNT(OFFSET(F1046,1-Settings!$B$12,0,Settings!$B$12,1))&lt;ROUNDUP(Settings!$B$12*Settings!$B$26,0),NA(),STDEV(OFFSET(F1046,1-Settings!$B$12,0,Settings!$B$12,1))*SQRT(Settings!$B$13)))</f>
        <v/>
      </c>
      <c r="J1046" s="20">
        <f>IF(OR(NOT(ISNUMBER($A1046)),ROW()-2&lt;Settings!$B$11),NA(),IF(COUNT(OFFSET(G1046,1-Settings!$B$11,0,Settings!$B$11,1))&lt;ROUNDUP(Settings!$B$11*Settings!$B$26,0),NA(),STDEV(OFFSET(G1046,1-Settings!$B$11,0,Settings!$B$11,1))*SQRT(Settings!$B$13)))</f>
        <v/>
      </c>
      <c r="K1046" s="20">
        <f>IF(OR(NOT(ISNUMBER($A1046)),ROW()-2&lt;Settings!$B$12),NA(),IF(COUNT(OFFSET(G1046,1-Settings!$B$12,0,Settings!$B$12,1))&lt;ROUNDUP(Settings!$B$12*Settings!$B$26,0),NA(),STDEV(OFFSET(G1046,1-Settings!$B$12,0,Settings!$B$12,1))*SQRT(Settings!$B$13)))</f>
        <v/>
      </c>
      <c r="L1046" s="20">
        <f>IF(AND(ISNUMBER(D1046),ISNUMBER(H1046)),D1046-H1046,NA())</f>
        <v/>
      </c>
      <c r="M1046" s="20">
        <f>IF(AND(ISNUMBER(E1046),ISNUMBER(K1046)),E1046-K1046,NA())</f>
        <v/>
      </c>
      <c r="N1046" s="20">
        <f>IF(NOT(ISNUMBER($A1046)),NA(),IF(COUNT(OFFSET(G1046,1,0,Settings!$B$12,1))&lt;ROUNDUP(Settings!$B$12*Settings!$B$26,0),NA(),STDEV(OFFSET(G1046,1,0,Settings!$B$12,1))*SQRT(Settings!$B$13)))</f>
        <v/>
      </c>
      <c r="O1046" s="20">
        <f>IF(AND(ISNUMBER(E1046),ISNUMBER(N1046)),E1046-N1046,NA())</f>
        <v/>
      </c>
      <c r="P1046" s="19">
        <f>IF(NOT(ISNUMBER($A1046)),NA(),IF(OR($A1046&lt;MIN(KW_TP!$A$2:$A$2501),$A1046&gt;MAX(KW_TP!$A$2:$A$2501)),NA(),INDEX(KW_TP!$C$2:$C$2501,MATCH($A1046,KW_TP!$A$2:$A$2501,1))))</f>
        <v/>
      </c>
      <c r="Q1046" s="18">
        <f>IF(NOT(ISNUMBER($A1046)),NA(),IFERROR(1*INDEX(BBG_Data!$J$2:$J$4000,MATCH($A1046,BBG_Data!$I$2:$I$4000,0)),NA()))</f>
        <v/>
      </c>
      <c r="R1046" s="18">
        <f>IF(NOT(ISNUMBER($A1046)),NA(),IFERROR(1*INDEX(BBG_Data!$L$2:$L$4000,MATCH($A1046,BBG_Data!$K$2:$K$4000,0)),NA()))</f>
        <v/>
      </c>
      <c r="S1046" s="20">
        <f>IF(AND(ISNUMBER(B1046),ISNUMBER(Q1046),ISNUMBER(R1046)),(B1046-Q1046-R1046)*100,NA())</f>
        <v/>
      </c>
      <c r="T1046" s="20">
        <f>IF(AND(ISNUMBER(B1046),Settings!$B$17&gt;0),IF(ISNUMBER(INDEX($B:$B,Settings!$B$17)),(B1046-INDEX($B:$B,Settings!$B$17))*100,NA()),NA())</f>
        <v/>
      </c>
      <c r="U1046" s="20">
        <f>IF(AND(ISNUMBER(Q1046),Settings!$B$17&gt;0),IF(ISNUMBER(INDEX($Q:$Q,Settings!$B$17)),(Q1046-INDEX($Q:$Q,Settings!$B$17))*100,NA()),NA())</f>
        <v/>
      </c>
      <c r="V1046" s="20">
        <f>IF(AND(ISNUMBER(R1046),Settings!$B$17&gt;0),IF(ISNUMBER(INDEX($R:$R,Settings!$B$17)),(R1046-INDEX($R:$R,Settings!$B$17))*100,NA()),NA())</f>
        <v/>
      </c>
      <c r="W1046" s="20">
        <f>IF(AND(ISNUMBER(P1046),Settings!$B$17&gt;0),IF(ISNUMBER(INDEX($P:$P,Settings!$B$17)),P1046-INDEX($P:$P,Settings!$B$17),NA()),NA())</f>
        <v/>
      </c>
      <c r="X1046" s="19">
        <f>IF(NOT(ISNUMBER($A1046)),NA(),IF(OR($A1046&lt;MIN(DKW_10Y!$A$2:$A$2918),$A1046&gt;MAX(DKW_10Y!$A$2:$A$2918),Settings!$B$16&lt;MIN(DKW_10Y!$A$2:$A$2918)),NA(),(INDEX(DKW_10Y!$B$2:$B$2918,MATCH($A1046,DKW_10Y!$A$2:$A$2918,1))-INDEX(DKW_10Y!$B$2:$B$2918,MATCH(Settings!$B$16,DKW_10Y!$A$2:$A$2918,1)))*100))</f>
        <v/>
      </c>
      <c r="Y1046" s="19">
        <f>IF(NOT(ISNUMBER($A1046)),NA(),IF(OR($A1046&lt;MIN(DKW_10Y!$A$2:$A$2918),$A1046&gt;MAX(DKW_10Y!$A$2:$A$2918),Settings!$B$16&lt;MIN(DKW_10Y!$A$2:$A$2918)),NA(),(INDEX(DKW_10Y!$C$2:$C$2918,MATCH($A1046,DKW_10Y!$A$2:$A$2918,1))-INDEX(DKW_10Y!$C$2:$C$2918,MATCH(Settings!$B$16,DKW_10Y!$A$2:$A$2918,1)))*100))</f>
        <v/>
      </c>
      <c r="Z1046" s="19">
        <f>IF(NOT(ISNUMBER($A1046)),NA(),IF(OR($A1046&lt;MIN(DKW_10Y!$A$2:$A$2918),$A1046&gt;MAX(DKW_10Y!$A$2:$A$2918),Settings!$B$16&lt;MIN(DKW_10Y!$A$2:$A$2918)),NA(),(INDEX(DKW_10Y!$D$2:$D$2918,MATCH($A1046,DKW_10Y!$A$2:$A$2918,1))-INDEX(DKW_10Y!$D$2:$D$2918,MATCH(Settings!$B$16,DKW_10Y!$A$2:$A$2918,1)))*100))</f>
        <v/>
      </c>
      <c r="AA1046" s="19">
        <f>IF(NOT(ISNUMBER($A1046)),NA(),IF(OR($A1046&lt;MIN(DKW_10Y!$A$2:$A$2918),$A1046&gt;MAX(DKW_10Y!$A$2:$A$2918),Settings!$B$16&lt;MIN(DKW_10Y!$A$2:$A$2918)),NA(),(INDEX(DKW_10Y!$E$2:$E$2918,MATCH($A1046,DKW_10Y!$A$2:$A$2918,1))-INDEX(DKW_10Y!$E$2:$E$2918,MATCH(Settings!$B$16,DKW_10Y!$A$2:$A$2918,1)))*100))</f>
        <v/>
      </c>
      <c r="AB1046" s="19">
        <f>IF(NOT(ISNUMBER($A1046)),NA(),IF(OR($A1046&lt;MIN(DKW_10Y!$A$2:$A$2918),$A1046&gt;MAX(DKW_10Y!$A$2:$A$2918),Settings!$B$16&lt;MIN(DKW_10Y!$A$2:$A$2918)),NA(),(INDEX(DKW_10Y!$H$2:$H$2918,MATCH($A1046,DKW_10Y!$A$2:$A$2918,1))-INDEX(DKW_10Y!$H$2:$H$2918,MATCH(Settings!$B$16,DKW_10Y!$A$2:$A$2918,1)))*100))</f>
        <v/>
      </c>
      <c r="AC1046" s="18">
        <f>IF(NOT(ISNUMBER($A1046)),NA(),IFERROR(1*INDEX(BBG_Data!$N$2:$N$4000,MATCH($A1046,BBG_Data!$M$2:$M$4000,0)),NA()))</f>
        <v/>
      </c>
      <c r="AD1046" s="18">
        <f>IF(NOT(ISNUMBER($A1046)),NA(),IFERROR(1*INDEX(BBG_Data!$P$2:$P$4000,MATCH($A1046,BBG_Data!$O$2:$O$4000,0)),NA()))</f>
        <v/>
      </c>
      <c r="AE1046" s="18">
        <f>IF(NOT(ISNUMBER($A1046)),NA(),IFERROR(1*INDEX(BBG_Data!$R$2:$R$4000,MATCH($A1046,BBG_Data!$Q$2:$Q$4000,0)),NA()))</f>
        <v/>
      </c>
      <c r="AF1046" s="20">
        <f>IF(AND(ISNUMBER(B1046),ISNUMBER(AC1046)),(B1046-AC1046)*100,NA())</f>
        <v/>
      </c>
      <c r="AG1046" s="20">
        <f>IF(AND(ISNUMBER(AE1046),ISNUMBER(AD1046)),(AE1046-AD1046)*100,NA())</f>
        <v/>
      </c>
      <c r="AH1046" s="19">
        <f>IF(NOT(ISNUMBER($A1046)),NA(),IFERROR(INDEX(BBG_Data!$T$2:$T$4000,MATCH($A1046,BBG_Data!$S$2:$S$4000,0))*Settings!$B$25,NA()))</f>
        <v/>
      </c>
      <c r="AI1046" s="19">
        <f>IF(NOT(ISNUMBER($A1046)),NA(),IFERROR(INDEX(BBG_Data!$V$2:$V$4000,MATCH($A1046,BBG_Data!$U$2:$U$4000,0))*Settings!$B$25,NA()))</f>
        <v/>
      </c>
      <c r="AJ1046" s="19">
        <f>IF(NOT(ISNUMBER($A1046)),NA(),IFERROR(1*INDEX(BBG_Data!$X$2:$X$4000,MATCH($A1046,BBG_Data!$W$2:$W$4000,0)),NA()))</f>
        <v/>
      </c>
      <c r="AK1046" s="19">
        <f>IF(NOT(ISNUMBER($A1046)),NA(),IFERROR(1*INDEX(BBG_Data!$Z$2:$Z$4000,MATCH($A1046,BBG_Data!$Y$2:$Y$4000,0)),NA()))</f>
        <v/>
      </c>
    </row>
    <row r="1047">
      <c r="A1047" s="17">
        <f>IF(ISNUMBER(BBG_Data!A1047),BBG_Data!A1047,"")</f>
        <v/>
      </c>
      <c r="B1047" s="18">
        <f>IF(AND(ISNUMBER($A1047),ISNUMBER(BBG_Data!B1047)),BBG_Data!B1047,NA())</f>
        <v/>
      </c>
      <c r="C1047" s="18">
        <f>IF(NOT(ISNUMBER($A1047)),NA(),IFERROR(1*INDEX(BBG_Data!$D$2:$D$4000,MATCH($A1047,BBG_Data!$C$2:$C$4000,0)),NA()))</f>
        <v/>
      </c>
      <c r="D1047" s="19">
        <f>IF(NOT(ISNUMBER($A1047)),NA(),IFERROR(1*INDEX(BBG_Data!$F$2:$F$4000,MATCH($A1047,BBG_Data!$E$2:$E$4000,0)),NA()))</f>
        <v/>
      </c>
      <c r="E1047" s="19">
        <f>IF(NOT(ISNUMBER($A1047)),NA(),IFERROR(1*INDEX(BBG_Data!$H$2:$H$4000,MATCH($A1047,BBG_Data!$G$2:$G$4000,0)),NA()))</f>
        <v/>
      </c>
      <c r="F1047" s="20">
        <f>IF(AND(ISNUMBER(B1047),ISNUMBER(B1046)),IF(B1047=B1046,"",(B1047-B1046)*100),"")</f>
        <v/>
      </c>
      <c r="G1047" s="20">
        <f>IF(AND(ISNUMBER(C1047),ISNUMBER(C1046)),IF(C1047=C1046,"",(C1047-C1046)*100),"")</f>
        <v/>
      </c>
      <c r="H1047" s="20">
        <f>IF(OR(NOT(ISNUMBER($A1047)),ROW()-2&lt;Settings!$B$11),NA(),IF(COUNT(OFFSET(F1047,1-Settings!$B$11,0,Settings!$B$11,1))&lt;ROUNDUP(Settings!$B$11*Settings!$B$26,0),NA(),STDEV(OFFSET(F1047,1-Settings!$B$11,0,Settings!$B$11,1))*SQRT(Settings!$B$13)))</f>
        <v/>
      </c>
      <c r="I1047" s="20">
        <f>IF(OR(NOT(ISNUMBER($A1047)),ROW()-2&lt;Settings!$B$12),NA(),IF(COUNT(OFFSET(F1047,1-Settings!$B$12,0,Settings!$B$12,1))&lt;ROUNDUP(Settings!$B$12*Settings!$B$26,0),NA(),STDEV(OFFSET(F1047,1-Settings!$B$12,0,Settings!$B$12,1))*SQRT(Settings!$B$13)))</f>
        <v/>
      </c>
      <c r="J1047" s="20">
        <f>IF(OR(NOT(ISNUMBER($A1047)),ROW()-2&lt;Settings!$B$11),NA(),IF(COUNT(OFFSET(G1047,1-Settings!$B$11,0,Settings!$B$11,1))&lt;ROUNDUP(Settings!$B$11*Settings!$B$26,0),NA(),STDEV(OFFSET(G1047,1-Settings!$B$11,0,Settings!$B$11,1))*SQRT(Settings!$B$13)))</f>
        <v/>
      </c>
      <c r="K1047" s="20">
        <f>IF(OR(NOT(ISNUMBER($A1047)),ROW()-2&lt;Settings!$B$12),NA(),IF(COUNT(OFFSET(G1047,1-Settings!$B$12,0,Settings!$B$12,1))&lt;ROUNDUP(Settings!$B$12*Settings!$B$26,0),NA(),STDEV(OFFSET(G1047,1-Settings!$B$12,0,Settings!$B$12,1))*SQRT(Settings!$B$13)))</f>
        <v/>
      </c>
      <c r="L1047" s="20">
        <f>IF(AND(ISNUMBER(D1047),ISNUMBER(H1047)),D1047-H1047,NA())</f>
        <v/>
      </c>
      <c r="M1047" s="20">
        <f>IF(AND(ISNUMBER(E1047),ISNUMBER(K1047)),E1047-K1047,NA())</f>
        <v/>
      </c>
      <c r="N1047" s="20">
        <f>IF(NOT(ISNUMBER($A1047)),NA(),IF(COUNT(OFFSET(G1047,1,0,Settings!$B$12,1))&lt;ROUNDUP(Settings!$B$12*Settings!$B$26,0),NA(),STDEV(OFFSET(G1047,1,0,Settings!$B$12,1))*SQRT(Settings!$B$13)))</f>
        <v/>
      </c>
      <c r="O1047" s="20">
        <f>IF(AND(ISNUMBER(E1047),ISNUMBER(N1047)),E1047-N1047,NA())</f>
        <v/>
      </c>
      <c r="P1047" s="19">
        <f>IF(NOT(ISNUMBER($A1047)),NA(),IF(OR($A1047&lt;MIN(KW_TP!$A$2:$A$2501),$A1047&gt;MAX(KW_TP!$A$2:$A$2501)),NA(),INDEX(KW_TP!$C$2:$C$2501,MATCH($A1047,KW_TP!$A$2:$A$2501,1))))</f>
        <v/>
      </c>
      <c r="Q1047" s="18">
        <f>IF(NOT(ISNUMBER($A1047)),NA(),IFERROR(1*INDEX(BBG_Data!$J$2:$J$4000,MATCH($A1047,BBG_Data!$I$2:$I$4000,0)),NA()))</f>
        <v/>
      </c>
      <c r="R1047" s="18">
        <f>IF(NOT(ISNUMBER($A1047)),NA(),IFERROR(1*INDEX(BBG_Data!$L$2:$L$4000,MATCH($A1047,BBG_Data!$K$2:$K$4000,0)),NA()))</f>
        <v/>
      </c>
      <c r="S1047" s="20">
        <f>IF(AND(ISNUMBER(B1047),ISNUMBER(Q1047),ISNUMBER(R1047)),(B1047-Q1047-R1047)*100,NA())</f>
        <v/>
      </c>
      <c r="T1047" s="20">
        <f>IF(AND(ISNUMBER(B1047),Settings!$B$17&gt;0),IF(ISNUMBER(INDEX($B:$B,Settings!$B$17)),(B1047-INDEX($B:$B,Settings!$B$17))*100,NA()),NA())</f>
        <v/>
      </c>
      <c r="U1047" s="20">
        <f>IF(AND(ISNUMBER(Q1047),Settings!$B$17&gt;0),IF(ISNUMBER(INDEX($Q:$Q,Settings!$B$17)),(Q1047-INDEX($Q:$Q,Settings!$B$17))*100,NA()),NA())</f>
        <v/>
      </c>
      <c r="V1047" s="20">
        <f>IF(AND(ISNUMBER(R1047),Settings!$B$17&gt;0),IF(ISNUMBER(INDEX($R:$R,Settings!$B$17)),(R1047-INDEX($R:$R,Settings!$B$17))*100,NA()),NA())</f>
        <v/>
      </c>
      <c r="W1047" s="20">
        <f>IF(AND(ISNUMBER(P1047),Settings!$B$17&gt;0),IF(ISNUMBER(INDEX($P:$P,Settings!$B$17)),P1047-INDEX($P:$P,Settings!$B$17),NA()),NA())</f>
        <v/>
      </c>
      <c r="X1047" s="19">
        <f>IF(NOT(ISNUMBER($A1047)),NA(),IF(OR($A1047&lt;MIN(DKW_10Y!$A$2:$A$2918),$A1047&gt;MAX(DKW_10Y!$A$2:$A$2918),Settings!$B$16&lt;MIN(DKW_10Y!$A$2:$A$2918)),NA(),(INDEX(DKW_10Y!$B$2:$B$2918,MATCH($A1047,DKW_10Y!$A$2:$A$2918,1))-INDEX(DKW_10Y!$B$2:$B$2918,MATCH(Settings!$B$16,DKW_10Y!$A$2:$A$2918,1)))*100))</f>
        <v/>
      </c>
      <c r="Y1047" s="19">
        <f>IF(NOT(ISNUMBER($A1047)),NA(),IF(OR($A1047&lt;MIN(DKW_10Y!$A$2:$A$2918),$A1047&gt;MAX(DKW_10Y!$A$2:$A$2918),Settings!$B$16&lt;MIN(DKW_10Y!$A$2:$A$2918)),NA(),(INDEX(DKW_10Y!$C$2:$C$2918,MATCH($A1047,DKW_10Y!$A$2:$A$2918,1))-INDEX(DKW_10Y!$C$2:$C$2918,MATCH(Settings!$B$16,DKW_10Y!$A$2:$A$2918,1)))*100))</f>
        <v/>
      </c>
      <c r="Z1047" s="19">
        <f>IF(NOT(ISNUMBER($A1047)),NA(),IF(OR($A1047&lt;MIN(DKW_10Y!$A$2:$A$2918),$A1047&gt;MAX(DKW_10Y!$A$2:$A$2918),Settings!$B$16&lt;MIN(DKW_10Y!$A$2:$A$2918)),NA(),(INDEX(DKW_10Y!$D$2:$D$2918,MATCH($A1047,DKW_10Y!$A$2:$A$2918,1))-INDEX(DKW_10Y!$D$2:$D$2918,MATCH(Settings!$B$16,DKW_10Y!$A$2:$A$2918,1)))*100))</f>
        <v/>
      </c>
      <c r="AA1047" s="19">
        <f>IF(NOT(ISNUMBER($A1047)),NA(),IF(OR($A1047&lt;MIN(DKW_10Y!$A$2:$A$2918),$A1047&gt;MAX(DKW_10Y!$A$2:$A$2918),Settings!$B$16&lt;MIN(DKW_10Y!$A$2:$A$2918)),NA(),(INDEX(DKW_10Y!$E$2:$E$2918,MATCH($A1047,DKW_10Y!$A$2:$A$2918,1))-INDEX(DKW_10Y!$E$2:$E$2918,MATCH(Settings!$B$16,DKW_10Y!$A$2:$A$2918,1)))*100))</f>
        <v/>
      </c>
      <c r="AB1047" s="19">
        <f>IF(NOT(ISNUMBER($A1047)),NA(),IF(OR($A1047&lt;MIN(DKW_10Y!$A$2:$A$2918),$A1047&gt;MAX(DKW_10Y!$A$2:$A$2918),Settings!$B$16&lt;MIN(DKW_10Y!$A$2:$A$2918)),NA(),(INDEX(DKW_10Y!$H$2:$H$2918,MATCH($A1047,DKW_10Y!$A$2:$A$2918,1))-INDEX(DKW_10Y!$H$2:$H$2918,MATCH(Settings!$B$16,DKW_10Y!$A$2:$A$2918,1)))*100))</f>
        <v/>
      </c>
      <c r="AC1047" s="18">
        <f>IF(NOT(ISNUMBER($A1047)),NA(),IFERROR(1*INDEX(BBG_Data!$N$2:$N$4000,MATCH($A1047,BBG_Data!$M$2:$M$4000,0)),NA()))</f>
        <v/>
      </c>
      <c r="AD1047" s="18">
        <f>IF(NOT(ISNUMBER($A1047)),NA(),IFERROR(1*INDEX(BBG_Data!$P$2:$P$4000,MATCH($A1047,BBG_Data!$O$2:$O$4000,0)),NA()))</f>
        <v/>
      </c>
      <c r="AE1047" s="18">
        <f>IF(NOT(ISNUMBER($A1047)),NA(),IFERROR(1*INDEX(BBG_Data!$R$2:$R$4000,MATCH($A1047,BBG_Data!$Q$2:$Q$4000,0)),NA()))</f>
        <v/>
      </c>
      <c r="AF1047" s="20">
        <f>IF(AND(ISNUMBER(B1047),ISNUMBER(AC1047)),(B1047-AC1047)*100,NA())</f>
        <v/>
      </c>
      <c r="AG1047" s="20">
        <f>IF(AND(ISNUMBER(AE1047),ISNUMBER(AD1047)),(AE1047-AD1047)*100,NA())</f>
        <v/>
      </c>
      <c r="AH1047" s="19">
        <f>IF(NOT(ISNUMBER($A1047)),NA(),IFERROR(INDEX(BBG_Data!$T$2:$T$4000,MATCH($A1047,BBG_Data!$S$2:$S$4000,0))*Settings!$B$25,NA()))</f>
        <v/>
      </c>
      <c r="AI1047" s="19">
        <f>IF(NOT(ISNUMBER($A1047)),NA(),IFERROR(INDEX(BBG_Data!$V$2:$V$4000,MATCH($A1047,BBG_Data!$U$2:$U$4000,0))*Settings!$B$25,NA()))</f>
        <v/>
      </c>
      <c r="AJ1047" s="19">
        <f>IF(NOT(ISNUMBER($A1047)),NA(),IFERROR(1*INDEX(BBG_Data!$X$2:$X$4000,MATCH($A1047,BBG_Data!$W$2:$W$4000,0)),NA()))</f>
        <v/>
      </c>
      <c r="AK1047" s="19">
        <f>IF(NOT(ISNUMBER($A1047)),NA(),IFERROR(1*INDEX(BBG_Data!$Z$2:$Z$4000,MATCH($A1047,BBG_Data!$Y$2:$Y$4000,0)),NA()))</f>
        <v/>
      </c>
    </row>
    <row r="1048">
      <c r="A1048" s="17">
        <f>IF(ISNUMBER(BBG_Data!A1048),BBG_Data!A1048,"")</f>
        <v/>
      </c>
      <c r="B1048" s="18">
        <f>IF(AND(ISNUMBER($A1048),ISNUMBER(BBG_Data!B1048)),BBG_Data!B1048,NA())</f>
        <v/>
      </c>
      <c r="C1048" s="18">
        <f>IF(NOT(ISNUMBER($A1048)),NA(),IFERROR(1*INDEX(BBG_Data!$D$2:$D$4000,MATCH($A1048,BBG_Data!$C$2:$C$4000,0)),NA()))</f>
        <v/>
      </c>
      <c r="D1048" s="19">
        <f>IF(NOT(ISNUMBER($A1048)),NA(),IFERROR(1*INDEX(BBG_Data!$F$2:$F$4000,MATCH($A1048,BBG_Data!$E$2:$E$4000,0)),NA()))</f>
        <v/>
      </c>
      <c r="E1048" s="19">
        <f>IF(NOT(ISNUMBER($A1048)),NA(),IFERROR(1*INDEX(BBG_Data!$H$2:$H$4000,MATCH($A1048,BBG_Data!$G$2:$G$4000,0)),NA()))</f>
        <v/>
      </c>
      <c r="F1048" s="20">
        <f>IF(AND(ISNUMBER(B1048),ISNUMBER(B1047)),IF(B1048=B1047,"",(B1048-B1047)*100),"")</f>
        <v/>
      </c>
      <c r="G1048" s="20">
        <f>IF(AND(ISNUMBER(C1048),ISNUMBER(C1047)),IF(C1048=C1047,"",(C1048-C1047)*100),"")</f>
        <v/>
      </c>
      <c r="H1048" s="20">
        <f>IF(OR(NOT(ISNUMBER($A1048)),ROW()-2&lt;Settings!$B$11),NA(),IF(COUNT(OFFSET(F1048,1-Settings!$B$11,0,Settings!$B$11,1))&lt;ROUNDUP(Settings!$B$11*Settings!$B$26,0),NA(),STDEV(OFFSET(F1048,1-Settings!$B$11,0,Settings!$B$11,1))*SQRT(Settings!$B$13)))</f>
        <v/>
      </c>
      <c r="I1048" s="20">
        <f>IF(OR(NOT(ISNUMBER($A1048)),ROW()-2&lt;Settings!$B$12),NA(),IF(COUNT(OFFSET(F1048,1-Settings!$B$12,0,Settings!$B$12,1))&lt;ROUNDUP(Settings!$B$12*Settings!$B$26,0),NA(),STDEV(OFFSET(F1048,1-Settings!$B$12,0,Settings!$B$12,1))*SQRT(Settings!$B$13)))</f>
        <v/>
      </c>
      <c r="J1048" s="20">
        <f>IF(OR(NOT(ISNUMBER($A1048)),ROW()-2&lt;Settings!$B$11),NA(),IF(COUNT(OFFSET(G1048,1-Settings!$B$11,0,Settings!$B$11,1))&lt;ROUNDUP(Settings!$B$11*Settings!$B$26,0),NA(),STDEV(OFFSET(G1048,1-Settings!$B$11,0,Settings!$B$11,1))*SQRT(Settings!$B$13)))</f>
        <v/>
      </c>
      <c r="K1048" s="20">
        <f>IF(OR(NOT(ISNUMBER($A1048)),ROW()-2&lt;Settings!$B$12),NA(),IF(COUNT(OFFSET(G1048,1-Settings!$B$12,0,Settings!$B$12,1))&lt;ROUNDUP(Settings!$B$12*Settings!$B$26,0),NA(),STDEV(OFFSET(G1048,1-Settings!$B$12,0,Settings!$B$12,1))*SQRT(Settings!$B$13)))</f>
        <v/>
      </c>
      <c r="L1048" s="20">
        <f>IF(AND(ISNUMBER(D1048),ISNUMBER(H1048)),D1048-H1048,NA())</f>
        <v/>
      </c>
      <c r="M1048" s="20">
        <f>IF(AND(ISNUMBER(E1048),ISNUMBER(K1048)),E1048-K1048,NA())</f>
        <v/>
      </c>
      <c r="N1048" s="20">
        <f>IF(NOT(ISNUMBER($A1048)),NA(),IF(COUNT(OFFSET(G1048,1,0,Settings!$B$12,1))&lt;ROUNDUP(Settings!$B$12*Settings!$B$26,0),NA(),STDEV(OFFSET(G1048,1,0,Settings!$B$12,1))*SQRT(Settings!$B$13)))</f>
        <v/>
      </c>
      <c r="O1048" s="20">
        <f>IF(AND(ISNUMBER(E1048),ISNUMBER(N1048)),E1048-N1048,NA())</f>
        <v/>
      </c>
      <c r="P1048" s="19">
        <f>IF(NOT(ISNUMBER($A1048)),NA(),IF(OR($A1048&lt;MIN(KW_TP!$A$2:$A$2501),$A1048&gt;MAX(KW_TP!$A$2:$A$2501)),NA(),INDEX(KW_TP!$C$2:$C$2501,MATCH($A1048,KW_TP!$A$2:$A$2501,1))))</f>
        <v/>
      </c>
      <c r="Q1048" s="18">
        <f>IF(NOT(ISNUMBER($A1048)),NA(),IFERROR(1*INDEX(BBG_Data!$J$2:$J$4000,MATCH($A1048,BBG_Data!$I$2:$I$4000,0)),NA()))</f>
        <v/>
      </c>
      <c r="R1048" s="18">
        <f>IF(NOT(ISNUMBER($A1048)),NA(),IFERROR(1*INDEX(BBG_Data!$L$2:$L$4000,MATCH($A1048,BBG_Data!$K$2:$K$4000,0)),NA()))</f>
        <v/>
      </c>
      <c r="S1048" s="20">
        <f>IF(AND(ISNUMBER(B1048),ISNUMBER(Q1048),ISNUMBER(R1048)),(B1048-Q1048-R1048)*100,NA())</f>
        <v/>
      </c>
      <c r="T1048" s="20">
        <f>IF(AND(ISNUMBER(B1048),Settings!$B$17&gt;0),IF(ISNUMBER(INDEX($B:$B,Settings!$B$17)),(B1048-INDEX($B:$B,Settings!$B$17))*100,NA()),NA())</f>
        <v/>
      </c>
      <c r="U1048" s="20">
        <f>IF(AND(ISNUMBER(Q1048),Settings!$B$17&gt;0),IF(ISNUMBER(INDEX($Q:$Q,Settings!$B$17)),(Q1048-INDEX($Q:$Q,Settings!$B$17))*100,NA()),NA())</f>
        <v/>
      </c>
      <c r="V1048" s="20">
        <f>IF(AND(ISNUMBER(R1048),Settings!$B$17&gt;0),IF(ISNUMBER(INDEX($R:$R,Settings!$B$17)),(R1048-INDEX($R:$R,Settings!$B$17))*100,NA()),NA())</f>
        <v/>
      </c>
      <c r="W1048" s="20">
        <f>IF(AND(ISNUMBER(P1048),Settings!$B$17&gt;0),IF(ISNUMBER(INDEX($P:$P,Settings!$B$17)),P1048-INDEX($P:$P,Settings!$B$17),NA()),NA())</f>
        <v/>
      </c>
      <c r="X1048" s="19">
        <f>IF(NOT(ISNUMBER($A1048)),NA(),IF(OR($A1048&lt;MIN(DKW_10Y!$A$2:$A$2918),$A1048&gt;MAX(DKW_10Y!$A$2:$A$2918),Settings!$B$16&lt;MIN(DKW_10Y!$A$2:$A$2918)),NA(),(INDEX(DKW_10Y!$B$2:$B$2918,MATCH($A1048,DKW_10Y!$A$2:$A$2918,1))-INDEX(DKW_10Y!$B$2:$B$2918,MATCH(Settings!$B$16,DKW_10Y!$A$2:$A$2918,1)))*100))</f>
        <v/>
      </c>
      <c r="Y1048" s="19">
        <f>IF(NOT(ISNUMBER($A1048)),NA(),IF(OR($A1048&lt;MIN(DKW_10Y!$A$2:$A$2918),$A1048&gt;MAX(DKW_10Y!$A$2:$A$2918),Settings!$B$16&lt;MIN(DKW_10Y!$A$2:$A$2918)),NA(),(INDEX(DKW_10Y!$C$2:$C$2918,MATCH($A1048,DKW_10Y!$A$2:$A$2918,1))-INDEX(DKW_10Y!$C$2:$C$2918,MATCH(Settings!$B$16,DKW_10Y!$A$2:$A$2918,1)))*100))</f>
        <v/>
      </c>
      <c r="Z1048" s="19">
        <f>IF(NOT(ISNUMBER($A1048)),NA(),IF(OR($A1048&lt;MIN(DKW_10Y!$A$2:$A$2918),$A1048&gt;MAX(DKW_10Y!$A$2:$A$2918),Settings!$B$16&lt;MIN(DKW_10Y!$A$2:$A$2918)),NA(),(INDEX(DKW_10Y!$D$2:$D$2918,MATCH($A1048,DKW_10Y!$A$2:$A$2918,1))-INDEX(DKW_10Y!$D$2:$D$2918,MATCH(Settings!$B$16,DKW_10Y!$A$2:$A$2918,1)))*100))</f>
        <v/>
      </c>
      <c r="AA1048" s="19">
        <f>IF(NOT(ISNUMBER($A1048)),NA(),IF(OR($A1048&lt;MIN(DKW_10Y!$A$2:$A$2918),$A1048&gt;MAX(DKW_10Y!$A$2:$A$2918),Settings!$B$16&lt;MIN(DKW_10Y!$A$2:$A$2918)),NA(),(INDEX(DKW_10Y!$E$2:$E$2918,MATCH($A1048,DKW_10Y!$A$2:$A$2918,1))-INDEX(DKW_10Y!$E$2:$E$2918,MATCH(Settings!$B$16,DKW_10Y!$A$2:$A$2918,1)))*100))</f>
        <v/>
      </c>
      <c r="AB1048" s="19">
        <f>IF(NOT(ISNUMBER($A1048)),NA(),IF(OR($A1048&lt;MIN(DKW_10Y!$A$2:$A$2918),$A1048&gt;MAX(DKW_10Y!$A$2:$A$2918),Settings!$B$16&lt;MIN(DKW_10Y!$A$2:$A$2918)),NA(),(INDEX(DKW_10Y!$H$2:$H$2918,MATCH($A1048,DKW_10Y!$A$2:$A$2918,1))-INDEX(DKW_10Y!$H$2:$H$2918,MATCH(Settings!$B$16,DKW_10Y!$A$2:$A$2918,1)))*100))</f>
        <v/>
      </c>
      <c r="AC1048" s="18">
        <f>IF(NOT(ISNUMBER($A1048)),NA(),IFERROR(1*INDEX(BBG_Data!$N$2:$N$4000,MATCH($A1048,BBG_Data!$M$2:$M$4000,0)),NA()))</f>
        <v/>
      </c>
      <c r="AD1048" s="18">
        <f>IF(NOT(ISNUMBER($A1048)),NA(),IFERROR(1*INDEX(BBG_Data!$P$2:$P$4000,MATCH($A1048,BBG_Data!$O$2:$O$4000,0)),NA()))</f>
        <v/>
      </c>
      <c r="AE1048" s="18">
        <f>IF(NOT(ISNUMBER($A1048)),NA(),IFERROR(1*INDEX(BBG_Data!$R$2:$R$4000,MATCH($A1048,BBG_Data!$Q$2:$Q$4000,0)),NA()))</f>
        <v/>
      </c>
      <c r="AF1048" s="20">
        <f>IF(AND(ISNUMBER(B1048),ISNUMBER(AC1048)),(B1048-AC1048)*100,NA())</f>
        <v/>
      </c>
      <c r="AG1048" s="20">
        <f>IF(AND(ISNUMBER(AE1048),ISNUMBER(AD1048)),(AE1048-AD1048)*100,NA())</f>
        <v/>
      </c>
      <c r="AH1048" s="19">
        <f>IF(NOT(ISNUMBER($A1048)),NA(),IFERROR(INDEX(BBG_Data!$T$2:$T$4000,MATCH($A1048,BBG_Data!$S$2:$S$4000,0))*Settings!$B$25,NA()))</f>
        <v/>
      </c>
      <c r="AI1048" s="19">
        <f>IF(NOT(ISNUMBER($A1048)),NA(),IFERROR(INDEX(BBG_Data!$V$2:$V$4000,MATCH($A1048,BBG_Data!$U$2:$U$4000,0))*Settings!$B$25,NA()))</f>
        <v/>
      </c>
      <c r="AJ1048" s="19">
        <f>IF(NOT(ISNUMBER($A1048)),NA(),IFERROR(1*INDEX(BBG_Data!$X$2:$X$4000,MATCH($A1048,BBG_Data!$W$2:$W$4000,0)),NA()))</f>
        <v/>
      </c>
      <c r="AK1048" s="19">
        <f>IF(NOT(ISNUMBER($A1048)),NA(),IFERROR(1*INDEX(BBG_Data!$Z$2:$Z$4000,MATCH($A1048,BBG_Data!$Y$2:$Y$4000,0)),NA()))</f>
        <v/>
      </c>
    </row>
    <row r="1049">
      <c r="A1049" s="17">
        <f>IF(ISNUMBER(BBG_Data!A1049),BBG_Data!A1049,"")</f>
        <v/>
      </c>
      <c r="B1049" s="18">
        <f>IF(AND(ISNUMBER($A1049),ISNUMBER(BBG_Data!B1049)),BBG_Data!B1049,NA())</f>
        <v/>
      </c>
      <c r="C1049" s="18">
        <f>IF(NOT(ISNUMBER($A1049)),NA(),IFERROR(1*INDEX(BBG_Data!$D$2:$D$4000,MATCH($A1049,BBG_Data!$C$2:$C$4000,0)),NA()))</f>
        <v/>
      </c>
      <c r="D1049" s="19">
        <f>IF(NOT(ISNUMBER($A1049)),NA(),IFERROR(1*INDEX(BBG_Data!$F$2:$F$4000,MATCH($A1049,BBG_Data!$E$2:$E$4000,0)),NA()))</f>
        <v/>
      </c>
      <c r="E1049" s="19">
        <f>IF(NOT(ISNUMBER($A1049)),NA(),IFERROR(1*INDEX(BBG_Data!$H$2:$H$4000,MATCH($A1049,BBG_Data!$G$2:$G$4000,0)),NA()))</f>
        <v/>
      </c>
      <c r="F1049" s="20">
        <f>IF(AND(ISNUMBER(B1049),ISNUMBER(B1048)),IF(B1049=B1048,"",(B1049-B1048)*100),"")</f>
        <v/>
      </c>
      <c r="G1049" s="20">
        <f>IF(AND(ISNUMBER(C1049),ISNUMBER(C1048)),IF(C1049=C1048,"",(C1049-C1048)*100),"")</f>
        <v/>
      </c>
      <c r="H1049" s="20">
        <f>IF(OR(NOT(ISNUMBER($A1049)),ROW()-2&lt;Settings!$B$11),NA(),IF(COUNT(OFFSET(F1049,1-Settings!$B$11,0,Settings!$B$11,1))&lt;ROUNDUP(Settings!$B$11*Settings!$B$26,0),NA(),STDEV(OFFSET(F1049,1-Settings!$B$11,0,Settings!$B$11,1))*SQRT(Settings!$B$13)))</f>
        <v/>
      </c>
      <c r="I1049" s="20">
        <f>IF(OR(NOT(ISNUMBER($A1049)),ROW()-2&lt;Settings!$B$12),NA(),IF(COUNT(OFFSET(F1049,1-Settings!$B$12,0,Settings!$B$12,1))&lt;ROUNDUP(Settings!$B$12*Settings!$B$26,0),NA(),STDEV(OFFSET(F1049,1-Settings!$B$12,0,Settings!$B$12,1))*SQRT(Settings!$B$13)))</f>
        <v/>
      </c>
      <c r="J1049" s="20">
        <f>IF(OR(NOT(ISNUMBER($A1049)),ROW()-2&lt;Settings!$B$11),NA(),IF(COUNT(OFFSET(G1049,1-Settings!$B$11,0,Settings!$B$11,1))&lt;ROUNDUP(Settings!$B$11*Settings!$B$26,0),NA(),STDEV(OFFSET(G1049,1-Settings!$B$11,0,Settings!$B$11,1))*SQRT(Settings!$B$13)))</f>
        <v/>
      </c>
      <c r="K1049" s="20">
        <f>IF(OR(NOT(ISNUMBER($A1049)),ROW()-2&lt;Settings!$B$12),NA(),IF(COUNT(OFFSET(G1049,1-Settings!$B$12,0,Settings!$B$12,1))&lt;ROUNDUP(Settings!$B$12*Settings!$B$26,0),NA(),STDEV(OFFSET(G1049,1-Settings!$B$12,0,Settings!$B$12,1))*SQRT(Settings!$B$13)))</f>
        <v/>
      </c>
      <c r="L1049" s="20">
        <f>IF(AND(ISNUMBER(D1049),ISNUMBER(H1049)),D1049-H1049,NA())</f>
        <v/>
      </c>
      <c r="M1049" s="20">
        <f>IF(AND(ISNUMBER(E1049),ISNUMBER(K1049)),E1049-K1049,NA())</f>
        <v/>
      </c>
      <c r="N1049" s="20">
        <f>IF(NOT(ISNUMBER($A1049)),NA(),IF(COUNT(OFFSET(G1049,1,0,Settings!$B$12,1))&lt;ROUNDUP(Settings!$B$12*Settings!$B$26,0),NA(),STDEV(OFFSET(G1049,1,0,Settings!$B$12,1))*SQRT(Settings!$B$13)))</f>
        <v/>
      </c>
      <c r="O1049" s="20">
        <f>IF(AND(ISNUMBER(E1049),ISNUMBER(N1049)),E1049-N1049,NA())</f>
        <v/>
      </c>
      <c r="P1049" s="19">
        <f>IF(NOT(ISNUMBER($A1049)),NA(),IF(OR($A1049&lt;MIN(KW_TP!$A$2:$A$2501),$A1049&gt;MAX(KW_TP!$A$2:$A$2501)),NA(),INDEX(KW_TP!$C$2:$C$2501,MATCH($A1049,KW_TP!$A$2:$A$2501,1))))</f>
        <v/>
      </c>
      <c r="Q1049" s="18">
        <f>IF(NOT(ISNUMBER($A1049)),NA(),IFERROR(1*INDEX(BBG_Data!$J$2:$J$4000,MATCH($A1049,BBG_Data!$I$2:$I$4000,0)),NA()))</f>
        <v/>
      </c>
      <c r="R1049" s="18">
        <f>IF(NOT(ISNUMBER($A1049)),NA(),IFERROR(1*INDEX(BBG_Data!$L$2:$L$4000,MATCH($A1049,BBG_Data!$K$2:$K$4000,0)),NA()))</f>
        <v/>
      </c>
      <c r="S1049" s="20">
        <f>IF(AND(ISNUMBER(B1049),ISNUMBER(Q1049),ISNUMBER(R1049)),(B1049-Q1049-R1049)*100,NA())</f>
        <v/>
      </c>
      <c r="T1049" s="20">
        <f>IF(AND(ISNUMBER(B1049),Settings!$B$17&gt;0),IF(ISNUMBER(INDEX($B:$B,Settings!$B$17)),(B1049-INDEX($B:$B,Settings!$B$17))*100,NA()),NA())</f>
        <v/>
      </c>
      <c r="U1049" s="20">
        <f>IF(AND(ISNUMBER(Q1049),Settings!$B$17&gt;0),IF(ISNUMBER(INDEX($Q:$Q,Settings!$B$17)),(Q1049-INDEX($Q:$Q,Settings!$B$17))*100,NA()),NA())</f>
        <v/>
      </c>
      <c r="V1049" s="20">
        <f>IF(AND(ISNUMBER(R1049),Settings!$B$17&gt;0),IF(ISNUMBER(INDEX($R:$R,Settings!$B$17)),(R1049-INDEX($R:$R,Settings!$B$17))*100,NA()),NA())</f>
        <v/>
      </c>
      <c r="W1049" s="20">
        <f>IF(AND(ISNUMBER(P1049),Settings!$B$17&gt;0),IF(ISNUMBER(INDEX($P:$P,Settings!$B$17)),P1049-INDEX($P:$P,Settings!$B$17),NA()),NA())</f>
        <v/>
      </c>
      <c r="X1049" s="19">
        <f>IF(NOT(ISNUMBER($A1049)),NA(),IF(OR($A1049&lt;MIN(DKW_10Y!$A$2:$A$2918),$A1049&gt;MAX(DKW_10Y!$A$2:$A$2918),Settings!$B$16&lt;MIN(DKW_10Y!$A$2:$A$2918)),NA(),(INDEX(DKW_10Y!$B$2:$B$2918,MATCH($A1049,DKW_10Y!$A$2:$A$2918,1))-INDEX(DKW_10Y!$B$2:$B$2918,MATCH(Settings!$B$16,DKW_10Y!$A$2:$A$2918,1)))*100))</f>
        <v/>
      </c>
      <c r="Y1049" s="19">
        <f>IF(NOT(ISNUMBER($A1049)),NA(),IF(OR($A1049&lt;MIN(DKW_10Y!$A$2:$A$2918),$A1049&gt;MAX(DKW_10Y!$A$2:$A$2918),Settings!$B$16&lt;MIN(DKW_10Y!$A$2:$A$2918)),NA(),(INDEX(DKW_10Y!$C$2:$C$2918,MATCH($A1049,DKW_10Y!$A$2:$A$2918,1))-INDEX(DKW_10Y!$C$2:$C$2918,MATCH(Settings!$B$16,DKW_10Y!$A$2:$A$2918,1)))*100))</f>
        <v/>
      </c>
      <c r="Z1049" s="19">
        <f>IF(NOT(ISNUMBER($A1049)),NA(),IF(OR($A1049&lt;MIN(DKW_10Y!$A$2:$A$2918),$A1049&gt;MAX(DKW_10Y!$A$2:$A$2918),Settings!$B$16&lt;MIN(DKW_10Y!$A$2:$A$2918)),NA(),(INDEX(DKW_10Y!$D$2:$D$2918,MATCH($A1049,DKW_10Y!$A$2:$A$2918,1))-INDEX(DKW_10Y!$D$2:$D$2918,MATCH(Settings!$B$16,DKW_10Y!$A$2:$A$2918,1)))*100))</f>
        <v/>
      </c>
      <c r="AA1049" s="19">
        <f>IF(NOT(ISNUMBER($A1049)),NA(),IF(OR($A1049&lt;MIN(DKW_10Y!$A$2:$A$2918),$A1049&gt;MAX(DKW_10Y!$A$2:$A$2918),Settings!$B$16&lt;MIN(DKW_10Y!$A$2:$A$2918)),NA(),(INDEX(DKW_10Y!$E$2:$E$2918,MATCH($A1049,DKW_10Y!$A$2:$A$2918,1))-INDEX(DKW_10Y!$E$2:$E$2918,MATCH(Settings!$B$16,DKW_10Y!$A$2:$A$2918,1)))*100))</f>
        <v/>
      </c>
      <c r="AB1049" s="19">
        <f>IF(NOT(ISNUMBER($A1049)),NA(),IF(OR($A1049&lt;MIN(DKW_10Y!$A$2:$A$2918),$A1049&gt;MAX(DKW_10Y!$A$2:$A$2918),Settings!$B$16&lt;MIN(DKW_10Y!$A$2:$A$2918)),NA(),(INDEX(DKW_10Y!$H$2:$H$2918,MATCH($A1049,DKW_10Y!$A$2:$A$2918,1))-INDEX(DKW_10Y!$H$2:$H$2918,MATCH(Settings!$B$16,DKW_10Y!$A$2:$A$2918,1)))*100))</f>
        <v/>
      </c>
      <c r="AC1049" s="18">
        <f>IF(NOT(ISNUMBER($A1049)),NA(),IFERROR(1*INDEX(BBG_Data!$N$2:$N$4000,MATCH($A1049,BBG_Data!$M$2:$M$4000,0)),NA()))</f>
        <v/>
      </c>
      <c r="AD1049" s="18">
        <f>IF(NOT(ISNUMBER($A1049)),NA(),IFERROR(1*INDEX(BBG_Data!$P$2:$P$4000,MATCH($A1049,BBG_Data!$O$2:$O$4000,0)),NA()))</f>
        <v/>
      </c>
      <c r="AE1049" s="18">
        <f>IF(NOT(ISNUMBER($A1049)),NA(),IFERROR(1*INDEX(BBG_Data!$R$2:$R$4000,MATCH($A1049,BBG_Data!$Q$2:$Q$4000,0)),NA()))</f>
        <v/>
      </c>
      <c r="AF1049" s="20">
        <f>IF(AND(ISNUMBER(B1049),ISNUMBER(AC1049)),(B1049-AC1049)*100,NA())</f>
        <v/>
      </c>
      <c r="AG1049" s="20">
        <f>IF(AND(ISNUMBER(AE1049),ISNUMBER(AD1049)),(AE1049-AD1049)*100,NA())</f>
        <v/>
      </c>
      <c r="AH1049" s="19">
        <f>IF(NOT(ISNUMBER($A1049)),NA(),IFERROR(INDEX(BBG_Data!$T$2:$T$4000,MATCH($A1049,BBG_Data!$S$2:$S$4000,0))*Settings!$B$25,NA()))</f>
        <v/>
      </c>
      <c r="AI1049" s="19">
        <f>IF(NOT(ISNUMBER($A1049)),NA(),IFERROR(INDEX(BBG_Data!$V$2:$V$4000,MATCH($A1049,BBG_Data!$U$2:$U$4000,0))*Settings!$B$25,NA()))</f>
        <v/>
      </c>
      <c r="AJ1049" s="19">
        <f>IF(NOT(ISNUMBER($A1049)),NA(),IFERROR(1*INDEX(BBG_Data!$X$2:$X$4000,MATCH($A1049,BBG_Data!$W$2:$W$4000,0)),NA()))</f>
        <v/>
      </c>
      <c r="AK1049" s="19">
        <f>IF(NOT(ISNUMBER($A1049)),NA(),IFERROR(1*INDEX(BBG_Data!$Z$2:$Z$4000,MATCH($A1049,BBG_Data!$Y$2:$Y$4000,0)),NA()))</f>
        <v/>
      </c>
    </row>
    <row r="1050">
      <c r="A1050" s="17">
        <f>IF(ISNUMBER(BBG_Data!A1050),BBG_Data!A1050,"")</f>
        <v/>
      </c>
      <c r="B1050" s="18">
        <f>IF(AND(ISNUMBER($A1050),ISNUMBER(BBG_Data!B1050)),BBG_Data!B1050,NA())</f>
        <v/>
      </c>
      <c r="C1050" s="18">
        <f>IF(NOT(ISNUMBER($A1050)),NA(),IFERROR(1*INDEX(BBG_Data!$D$2:$D$4000,MATCH($A1050,BBG_Data!$C$2:$C$4000,0)),NA()))</f>
        <v/>
      </c>
      <c r="D1050" s="19">
        <f>IF(NOT(ISNUMBER($A1050)),NA(),IFERROR(1*INDEX(BBG_Data!$F$2:$F$4000,MATCH($A1050,BBG_Data!$E$2:$E$4000,0)),NA()))</f>
        <v/>
      </c>
      <c r="E1050" s="19">
        <f>IF(NOT(ISNUMBER($A1050)),NA(),IFERROR(1*INDEX(BBG_Data!$H$2:$H$4000,MATCH($A1050,BBG_Data!$G$2:$G$4000,0)),NA()))</f>
        <v/>
      </c>
      <c r="F1050" s="20">
        <f>IF(AND(ISNUMBER(B1050),ISNUMBER(B1049)),IF(B1050=B1049,"",(B1050-B1049)*100),"")</f>
        <v/>
      </c>
      <c r="G1050" s="20">
        <f>IF(AND(ISNUMBER(C1050),ISNUMBER(C1049)),IF(C1050=C1049,"",(C1050-C1049)*100),"")</f>
        <v/>
      </c>
      <c r="H1050" s="20">
        <f>IF(OR(NOT(ISNUMBER($A1050)),ROW()-2&lt;Settings!$B$11),NA(),IF(COUNT(OFFSET(F1050,1-Settings!$B$11,0,Settings!$B$11,1))&lt;ROUNDUP(Settings!$B$11*Settings!$B$26,0),NA(),STDEV(OFFSET(F1050,1-Settings!$B$11,0,Settings!$B$11,1))*SQRT(Settings!$B$13)))</f>
        <v/>
      </c>
      <c r="I1050" s="20">
        <f>IF(OR(NOT(ISNUMBER($A1050)),ROW()-2&lt;Settings!$B$12),NA(),IF(COUNT(OFFSET(F1050,1-Settings!$B$12,0,Settings!$B$12,1))&lt;ROUNDUP(Settings!$B$12*Settings!$B$26,0),NA(),STDEV(OFFSET(F1050,1-Settings!$B$12,0,Settings!$B$12,1))*SQRT(Settings!$B$13)))</f>
        <v/>
      </c>
      <c r="J1050" s="20">
        <f>IF(OR(NOT(ISNUMBER($A1050)),ROW()-2&lt;Settings!$B$11),NA(),IF(COUNT(OFFSET(G1050,1-Settings!$B$11,0,Settings!$B$11,1))&lt;ROUNDUP(Settings!$B$11*Settings!$B$26,0),NA(),STDEV(OFFSET(G1050,1-Settings!$B$11,0,Settings!$B$11,1))*SQRT(Settings!$B$13)))</f>
        <v/>
      </c>
      <c r="K1050" s="20">
        <f>IF(OR(NOT(ISNUMBER($A1050)),ROW()-2&lt;Settings!$B$12),NA(),IF(COUNT(OFFSET(G1050,1-Settings!$B$12,0,Settings!$B$12,1))&lt;ROUNDUP(Settings!$B$12*Settings!$B$26,0),NA(),STDEV(OFFSET(G1050,1-Settings!$B$12,0,Settings!$B$12,1))*SQRT(Settings!$B$13)))</f>
        <v/>
      </c>
      <c r="L1050" s="20">
        <f>IF(AND(ISNUMBER(D1050),ISNUMBER(H1050)),D1050-H1050,NA())</f>
        <v/>
      </c>
      <c r="M1050" s="20">
        <f>IF(AND(ISNUMBER(E1050),ISNUMBER(K1050)),E1050-K1050,NA())</f>
        <v/>
      </c>
      <c r="N1050" s="20">
        <f>IF(NOT(ISNUMBER($A1050)),NA(),IF(COUNT(OFFSET(G1050,1,0,Settings!$B$12,1))&lt;ROUNDUP(Settings!$B$12*Settings!$B$26,0),NA(),STDEV(OFFSET(G1050,1,0,Settings!$B$12,1))*SQRT(Settings!$B$13)))</f>
        <v/>
      </c>
      <c r="O1050" s="20">
        <f>IF(AND(ISNUMBER(E1050),ISNUMBER(N1050)),E1050-N1050,NA())</f>
        <v/>
      </c>
      <c r="P1050" s="19">
        <f>IF(NOT(ISNUMBER($A1050)),NA(),IF(OR($A1050&lt;MIN(KW_TP!$A$2:$A$2501),$A1050&gt;MAX(KW_TP!$A$2:$A$2501)),NA(),INDEX(KW_TP!$C$2:$C$2501,MATCH($A1050,KW_TP!$A$2:$A$2501,1))))</f>
        <v/>
      </c>
      <c r="Q1050" s="18">
        <f>IF(NOT(ISNUMBER($A1050)),NA(),IFERROR(1*INDEX(BBG_Data!$J$2:$J$4000,MATCH($A1050,BBG_Data!$I$2:$I$4000,0)),NA()))</f>
        <v/>
      </c>
      <c r="R1050" s="18">
        <f>IF(NOT(ISNUMBER($A1050)),NA(),IFERROR(1*INDEX(BBG_Data!$L$2:$L$4000,MATCH($A1050,BBG_Data!$K$2:$K$4000,0)),NA()))</f>
        <v/>
      </c>
      <c r="S1050" s="20">
        <f>IF(AND(ISNUMBER(B1050),ISNUMBER(Q1050),ISNUMBER(R1050)),(B1050-Q1050-R1050)*100,NA())</f>
        <v/>
      </c>
      <c r="T1050" s="20">
        <f>IF(AND(ISNUMBER(B1050),Settings!$B$17&gt;0),IF(ISNUMBER(INDEX($B:$B,Settings!$B$17)),(B1050-INDEX($B:$B,Settings!$B$17))*100,NA()),NA())</f>
        <v/>
      </c>
      <c r="U1050" s="20">
        <f>IF(AND(ISNUMBER(Q1050),Settings!$B$17&gt;0),IF(ISNUMBER(INDEX($Q:$Q,Settings!$B$17)),(Q1050-INDEX($Q:$Q,Settings!$B$17))*100,NA()),NA())</f>
        <v/>
      </c>
      <c r="V1050" s="20">
        <f>IF(AND(ISNUMBER(R1050),Settings!$B$17&gt;0),IF(ISNUMBER(INDEX($R:$R,Settings!$B$17)),(R1050-INDEX($R:$R,Settings!$B$17))*100,NA()),NA())</f>
        <v/>
      </c>
      <c r="W1050" s="20">
        <f>IF(AND(ISNUMBER(P1050),Settings!$B$17&gt;0),IF(ISNUMBER(INDEX($P:$P,Settings!$B$17)),P1050-INDEX($P:$P,Settings!$B$17),NA()),NA())</f>
        <v/>
      </c>
      <c r="X1050" s="19">
        <f>IF(NOT(ISNUMBER($A1050)),NA(),IF(OR($A1050&lt;MIN(DKW_10Y!$A$2:$A$2918),$A1050&gt;MAX(DKW_10Y!$A$2:$A$2918),Settings!$B$16&lt;MIN(DKW_10Y!$A$2:$A$2918)),NA(),(INDEX(DKW_10Y!$B$2:$B$2918,MATCH($A1050,DKW_10Y!$A$2:$A$2918,1))-INDEX(DKW_10Y!$B$2:$B$2918,MATCH(Settings!$B$16,DKW_10Y!$A$2:$A$2918,1)))*100))</f>
        <v/>
      </c>
      <c r="Y1050" s="19">
        <f>IF(NOT(ISNUMBER($A1050)),NA(),IF(OR($A1050&lt;MIN(DKW_10Y!$A$2:$A$2918),$A1050&gt;MAX(DKW_10Y!$A$2:$A$2918),Settings!$B$16&lt;MIN(DKW_10Y!$A$2:$A$2918)),NA(),(INDEX(DKW_10Y!$C$2:$C$2918,MATCH($A1050,DKW_10Y!$A$2:$A$2918,1))-INDEX(DKW_10Y!$C$2:$C$2918,MATCH(Settings!$B$16,DKW_10Y!$A$2:$A$2918,1)))*100))</f>
        <v/>
      </c>
      <c r="Z1050" s="19">
        <f>IF(NOT(ISNUMBER($A1050)),NA(),IF(OR($A1050&lt;MIN(DKW_10Y!$A$2:$A$2918),$A1050&gt;MAX(DKW_10Y!$A$2:$A$2918),Settings!$B$16&lt;MIN(DKW_10Y!$A$2:$A$2918)),NA(),(INDEX(DKW_10Y!$D$2:$D$2918,MATCH($A1050,DKW_10Y!$A$2:$A$2918,1))-INDEX(DKW_10Y!$D$2:$D$2918,MATCH(Settings!$B$16,DKW_10Y!$A$2:$A$2918,1)))*100))</f>
        <v/>
      </c>
      <c r="AA1050" s="19">
        <f>IF(NOT(ISNUMBER($A1050)),NA(),IF(OR($A1050&lt;MIN(DKW_10Y!$A$2:$A$2918),$A1050&gt;MAX(DKW_10Y!$A$2:$A$2918),Settings!$B$16&lt;MIN(DKW_10Y!$A$2:$A$2918)),NA(),(INDEX(DKW_10Y!$E$2:$E$2918,MATCH($A1050,DKW_10Y!$A$2:$A$2918,1))-INDEX(DKW_10Y!$E$2:$E$2918,MATCH(Settings!$B$16,DKW_10Y!$A$2:$A$2918,1)))*100))</f>
        <v/>
      </c>
      <c r="AB1050" s="19">
        <f>IF(NOT(ISNUMBER($A1050)),NA(),IF(OR($A1050&lt;MIN(DKW_10Y!$A$2:$A$2918),$A1050&gt;MAX(DKW_10Y!$A$2:$A$2918),Settings!$B$16&lt;MIN(DKW_10Y!$A$2:$A$2918)),NA(),(INDEX(DKW_10Y!$H$2:$H$2918,MATCH($A1050,DKW_10Y!$A$2:$A$2918,1))-INDEX(DKW_10Y!$H$2:$H$2918,MATCH(Settings!$B$16,DKW_10Y!$A$2:$A$2918,1)))*100))</f>
        <v/>
      </c>
      <c r="AC1050" s="18">
        <f>IF(NOT(ISNUMBER($A1050)),NA(),IFERROR(1*INDEX(BBG_Data!$N$2:$N$4000,MATCH($A1050,BBG_Data!$M$2:$M$4000,0)),NA()))</f>
        <v/>
      </c>
      <c r="AD1050" s="18">
        <f>IF(NOT(ISNUMBER($A1050)),NA(),IFERROR(1*INDEX(BBG_Data!$P$2:$P$4000,MATCH($A1050,BBG_Data!$O$2:$O$4000,0)),NA()))</f>
        <v/>
      </c>
      <c r="AE1050" s="18">
        <f>IF(NOT(ISNUMBER($A1050)),NA(),IFERROR(1*INDEX(BBG_Data!$R$2:$R$4000,MATCH($A1050,BBG_Data!$Q$2:$Q$4000,0)),NA()))</f>
        <v/>
      </c>
      <c r="AF1050" s="20">
        <f>IF(AND(ISNUMBER(B1050),ISNUMBER(AC1050)),(B1050-AC1050)*100,NA())</f>
        <v/>
      </c>
      <c r="AG1050" s="20">
        <f>IF(AND(ISNUMBER(AE1050),ISNUMBER(AD1050)),(AE1050-AD1050)*100,NA())</f>
        <v/>
      </c>
      <c r="AH1050" s="19">
        <f>IF(NOT(ISNUMBER($A1050)),NA(),IFERROR(INDEX(BBG_Data!$T$2:$T$4000,MATCH($A1050,BBG_Data!$S$2:$S$4000,0))*Settings!$B$25,NA()))</f>
        <v/>
      </c>
      <c r="AI1050" s="19">
        <f>IF(NOT(ISNUMBER($A1050)),NA(),IFERROR(INDEX(BBG_Data!$V$2:$V$4000,MATCH($A1050,BBG_Data!$U$2:$U$4000,0))*Settings!$B$25,NA()))</f>
        <v/>
      </c>
      <c r="AJ1050" s="19">
        <f>IF(NOT(ISNUMBER($A1050)),NA(),IFERROR(1*INDEX(BBG_Data!$X$2:$X$4000,MATCH($A1050,BBG_Data!$W$2:$W$4000,0)),NA()))</f>
        <v/>
      </c>
      <c r="AK1050" s="19">
        <f>IF(NOT(ISNUMBER($A1050)),NA(),IFERROR(1*INDEX(BBG_Data!$Z$2:$Z$4000,MATCH($A1050,BBG_Data!$Y$2:$Y$4000,0)),NA()))</f>
        <v/>
      </c>
    </row>
    <row r="1051">
      <c r="A1051" s="17">
        <f>IF(ISNUMBER(BBG_Data!A1051),BBG_Data!A1051,"")</f>
        <v/>
      </c>
      <c r="B1051" s="18">
        <f>IF(AND(ISNUMBER($A1051),ISNUMBER(BBG_Data!B1051)),BBG_Data!B1051,NA())</f>
        <v/>
      </c>
      <c r="C1051" s="18">
        <f>IF(NOT(ISNUMBER($A1051)),NA(),IFERROR(1*INDEX(BBG_Data!$D$2:$D$4000,MATCH($A1051,BBG_Data!$C$2:$C$4000,0)),NA()))</f>
        <v/>
      </c>
      <c r="D1051" s="19">
        <f>IF(NOT(ISNUMBER($A1051)),NA(),IFERROR(1*INDEX(BBG_Data!$F$2:$F$4000,MATCH($A1051,BBG_Data!$E$2:$E$4000,0)),NA()))</f>
        <v/>
      </c>
      <c r="E1051" s="19">
        <f>IF(NOT(ISNUMBER($A1051)),NA(),IFERROR(1*INDEX(BBG_Data!$H$2:$H$4000,MATCH($A1051,BBG_Data!$G$2:$G$4000,0)),NA()))</f>
        <v/>
      </c>
      <c r="F1051" s="20">
        <f>IF(AND(ISNUMBER(B1051),ISNUMBER(B1050)),IF(B1051=B1050,"",(B1051-B1050)*100),"")</f>
        <v/>
      </c>
      <c r="G1051" s="20">
        <f>IF(AND(ISNUMBER(C1051),ISNUMBER(C1050)),IF(C1051=C1050,"",(C1051-C1050)*100),"")</f>
        <v/>
      </c>
      <c r="H1051" s="20">
        <f>IF(OR(NOT(ISNUMBER($A1051)),ROW()-2&lt;Settings!$B$11),NA(),IF(COUNT(OFFSET(F1051,1-Settings!$B$11,0,Settings!$B$11,1))&lt;ROUNDUP(Settings!$B$11*Settings!$B$26,0),NA(),STDEV(OFFSET(F1051,1-Settings!$B$11,0,Settings!$B$11,1))*SQRT(Settings!$B$13)))</f>
        <v/>
      </c>
      <c r="I1051" s="20">
        <f>IF(OR(NOT(ISNUMBER($A1051)),ROW()-2&lt;Settings!$B$12),NA(),IF(COUNT(OFFSET(F1051,1-Settings!$B$12,0,Settings!$B$12,1))&lt;ROUNDUP(Settings!$B$12*Settings!$B$26,0),NA(),STDEV(OFFSET(F1051,1-Settings!$B$12,0,Settings!$B$12,1))*SQRT(Settings!$B$13)))</f>
        <v/>
      </c>
      <c r="J1051" s="20">
        <f>IF(OR(NOT(ISNUMBER($A1051)),ROW()-2&lt;Settings!$B$11),NA(),IF(COUNT(OFFSET(G1051,1-Settings!$B$11,0,Settings!$B$11,1))&lt;ROUNDUP(Settings!$B$11*Settings!$B$26,0),NA(),STDEV(OFFSET(G1051,1-Settings!$B$11,0,Settings!$B$11,1))*SQRT(Settings!$B$13)))</f>
        <v/>
      </c>
      <c r="K1051" s="20">
        <f>IF(OR(NOT(ISNUMBER($A1051)),ROW()-2&lt;Settings!$B$12),NA(),IF(COUNT(OFFSET(G1051,1-Settings!$B$12,0,Settings!$B$12,1))&lt;ROUNDUP(Settings!$B$12*Settings!$B$26,0),NA(),STDEV(OFFSET(G1051,1-Settings!$B$12,0,Settings!$B$12,1))*SQRT(Settings!$B$13)))</f>
        <v/>
      </c>
      <c r="L1051" s="20">
        <f>IF(AND(ISNUMBER(D1051),ISNUMBER(H1051)),D1051-H1051,NA())</f>
        <v/>
      </c>
      <c r="M1051" s="20">
        <f>IF(AND(ISNUMBER(E1051),ISNUMBER(K1051)),E1051-K1051,NA())</f>
        <v/>
      </c>
      <c r="N1051" s="20">
        <f>IF(NOT(ISNUMBER($A1051)),NA(),IF(COUNT(OFFSET(G1051,1,0,Settings!$B$12,1))&lt;ROUNDUP(Settings!$B$12*Settings!$B$26,0),NA(),STDEV(OFFSET(G1051,1,0,Settings!$B$12,1))*SQRT(Settings!$B$13)))</f>
        <v/>
      </c>
      <c r="O1051" s="20">
        <f>IF(AND(ISNUMBER(E1051),ISNUMBER(N1051)),E1051-N1051,NA())</f>
        <v/>
      </c>
      <c r="P1051" s="19">
        <f>IF(NOT(ISNUMBER($A1051)),NA(),IF(OR($A1051&lt;MIN(KW_TP!$A$2:$A$2501),$A1051&gt;MAX(KW_TP!$A$2:$A$2501)),NA(),INDEX(KW_TP!$C$2:$C$2501,MATCH($A1051,KW_TP!$A$2:$A$2501,1))))</f>
        <v/>
      </c>
      <c r="Q1051" s="18">
        <f>IF(NOT(ISNUMBER($A1051)),NA(),IFERROR(1*INDEX(BBG_Data!$J$2:$J$4000,MATCH($A1051,BBG_Data!$I$2:$I$4000,0)),NA()))</f>
        <v/>
      </c>
      <c r="R1051" s="18">
        <f>IF(NOT(ISNUMBER($A1051)),NA(),IFERROR(1*INDEX(BBG_Data!$L$2:$L$4000,MATCH($A1051,BBG_Data!$K$2:$K$4000,0)),NA()))</f>
        <v/>
      </c>
      <c r="S1051" s="20">
        <f>IF(AND(ISNUMBER(B1051),ISNUMBER(Q1051),ISNUMBER(R1051)),(B1051-Q1051-R1051)*100,NA())</f>
        <v/>
      </c>
      <c r="T1051" s="20">
        <f>IF(AND(ISNUMBER(B1051),Settings!$B$17&gt;0),IF(ISNUMBER(INDEX($B:$B,Settings!$B$17)),(B1051-INDEX($B:$B,Settings!$B$17))*100,NA()),NA())</f>
        <v/>
      </c>
      <c r="U1051" s="20">
        <f>IF(AND(ISNUMBER(Q1051),Settings!$B$17&gt;0),IF(ISNUMBER(INDEX($Q:$Q,Settings!$B$17)),(Q1051-INDEX($Q:$Q,Settings!$B$17))*100,NA()),NA())</f>
        <v/>
      </c>
      <c r="V1051" s="20">
        <f>IF(AND(ISNUMBER(R1051),Settings!$B$17&gt;0),IF(ISNUMBER(INDEX($R:$R,Settings!$B$17)),(R1051-INDEX($R:$R,Settings!$B$17))*100,NA()),NA())</f>
        <v/>
      </c>
      <c r="W1051" s="20">
        <f>IF(AND(ISNUMBER(P1051),Settings!$B$17&gt;0),IF(ISNUMBER(INDEX($P:$P,Settings!$B$17)),P1051-INDEX($P:$P,Settings!$B$17),NA()),NA())</f>
        <v/>
      </c>
      <c r="X1051" s="19">
        <f>IF(NOT(ISNUMBER($A1051)),NA(),IF(OR($A1051&lt;MIN(DKW_10Y!$A$2:$A$2918),$A1051&gt;MAX(DKW_10Y!$A$2:$A$2918),Settings!$B$16&lt;MIN(DKW_10Y!$A$2:$A$2918)),NA(),(INDEX(DKW_10Y!$B$2:$B$2918,MATCH($A1051,DKW_10Y!$A$2:$A$2918,1))-INDEX(DKW_10Y!$B$2:$B$2918,MATCH(Settings!$B$16,DKW_10Y!$A$2:$A$2918,1)))*100))</f>
        <v/>
      </c>
      <c r="Y1051" s="19">
        <f>IF(NOT(ISNUMBER($A1051)),NA(),IF(OR($A1051&lt;MIN(DKW_10Y!$A$2:$A$2918),$A1051&gt;MAX(DKW_10Y!$A$2:$A$2918),Settings!$B$16&lt;MIN(DKW_10Y!$A$2:$A$2918)),NA(),(INDEX(DKW_10Y!$C$2:$C$2918,MATCH($A1051,DKW_10Y!$A$2:$A$2918,1))-INDEX(DKW_10Y!$C$2:$C$2918,MATCH(Settings!$B$16,DKW_10Y!$A$2:$A$2918,1)))*100))</f>
        <v/>
      </c>
      <c r="Z1051" s="19">
        <f>IF(NOT(ISNUMBER($A1051)),NA(),IF(OR($A1051&lt;MIN(DKW_10Y!$A$2:$A$2918),$A1051&gt;MAX(DKW_10Y!$A$2:$A$2918),Settings!$B$16&lt;MIN(DKW_10Y!$A$2:$A$2918)),NA(),(INDEX(DKW_10Y!$D$2:$D$2918,MATCH($A1051,DKW_10Y!$A$2:$A$2918,1))-INDEX(DKW_10Y!$D$2:$D$2918,MATCH(Settings!$B$16,DKW_10Y!$A$2:$A$2918,1)))*100))</f>
        <v/>
      </c>
      <c r="AA1051" s="19">
        <f>IF(NOT(ISNUMBER($A1051)),NA(),IF(OR($A1051&lt;MIN(DKW_10Y!$A$2:$A$2918),$A1051&gt;MAX(DKW_10Y!$A$2:$A$2918),Settings!$B$16&lt;MIN(DKW_10Y!$A$2:$A$2918)),NA(),(INDEX(DKW_10Y!$E$2:$E$2918,MATCH($A1051,DKW_10Y!$A$2:$A$2918,1))-INDEX(DKW_10Y!$E$2:$E$2918,MATCH(Settings!$B$16,DKW_10Y!$A$2:$A$2918,1)))*100))</f>
        <v/>
      </c>
      <c r="AB1051" s="19">
        <f>IF(NOT(ISNUMBER($A1051)),NA(),IF(OR($A1051&lt;MIN(DKW_10Y!$A$2:$A$2918),$A1051&gt;MAX(DKW_10Y!$A$2:$A$2918),Settings!$B$16&lt;MIN(DKW_10Y!$A$2:$A$2918)),NA(),(INDEX(DKW_10Y!$H$2:$H$2918,MATCH($A1051,DKW_10Y!$A$2:$A$2918,1))-INDEX(DKW_10Y!$H$2:$H$2918,MATCH(Settings!$B$16,DKW_10Y!$A$2:$A$2918,1)))*100))</f>
        <v/>
      </c>
      <c r="AC1051" s="18">
        <f>IF(NOT(ISNUMBER($A1051)),NA(),IFERROR(1*INDEX(BBG_Data!$N$2:$N$4000,MATCH($A1051,BBG_Data!$M$2:$M$4000,0)),NA()))</f>
        <v/>
      </c>
      <c r="AD1051" s="18">
        <f>IF(NOT(ISNUMBER($A1051)),NA(),IFERROR(1*INDEX(BBG_Data!$P$2:$P$4000,MATCH($A1051,BBG_Data!$O$2:$O$4000,0)),NA()))</f>
        <v/>
      </c>
      <c r="AE1051" s="18">
        <f>IF(NOT(ISNUMBER($A1051)),NA(),IFERROR(1*INDEX(BBG_Data!$R$2:$R$4000,MATCH($A1051,BBG_Data!$Q$2:$Q$4000,0)),NA()))</f>
        <v/>
      </c>
      <c r="AF1051" s="20">
        <f>IF(AND(ISNUMBER(B1051),ISNUMBER(AC1051)),(B1051-AC1051)*100,NA())</f>
        <v/>
      </c>
      <c r="AG1051" s="20">
        <f>IF(AND(ISNUMBER(AE1051),ISNUMBER(AD1051)),(AE1051-AD1051)*100,NA())</f>
        <v/>
      </c>
      <c r="AH1051" s="19">
        <f>IF(NOT(ISNUMBER($A1051)),NA(),IFERROR(INDEX(BBG_Data!$T$2:$T$4000,MATCH($A1051,BBG_Data!$S$2:$S$4000,0))*Settings!$B$25,NA()))</f>
        <v/>
      </c>
      <c r="AI1051" s="19">
        <f>IF(NOT(ISNUMBER($A1051)),NA(),IFERROR(INDEX(BBG_Data!$V$2:$V$4000,MATCH($A1051,BBG_Data!$U$2:$U$4000,0))*Settings!$B$25,NA()))</f>
        <v/>
      </c>
      <c r="AJ1051" s="19">
        <f>IF(NOT(ISNUMBER($A1051)),NA(),IFERROR(1*INDEX(BBG_Data!$X$2:$X$4000,MATCH($A1051,BBG_Data!$W$2:$W$4000,0)),NA()))</f>
        <v/>
      </c>
      <c r="AK1051" s="19">
        <f>IF(NOT(ISNUMBER($A1051)),NA(),IFERROR(1*INDEX(BBG_Data!$Z$2:$Z$4000,MATCH($A1051,BBG_Data!$Y$2:$Y$4000,0)),NA()))</f>
        <v/>
      </c>
    </row>
    <row r="1052">
      <c r="A1052" s="17">
        <f>IF(ISNUMBER(BBG_Data!A1052),BBG_Data!A1052,"")</f>
        <v/>
      </c>
      <c r="B1052" s="18">
        <f>IF(AND(ISNUMBER($A1052),ISNUMBER(BBG_Data!B1052)),BBG_Data!B1052,NA())</f>
        <v/>
      </c>
      <c r="C1052" s="18">
        <f>IF(NOT(ISNUMBER($A1052)),NA(),IFERROR(1*INDEX(BBG_Data!$D$2:$D$4000,MATCH($A1052,BBG_Data!$C$2:$C$4000,0)),NA()))</f>
        <v/>
      </c>
      <c r="D1052" s="19">
        <f>IF(NOT(ISNUMBER($A1052)),NA(),IFERROR(1*INDEX(BBG_Data!$F$2:$F$4000,MATCH($A1052,BBG_Data!$E$2:$E$4000,0)),NA()))</f>
        <v/>
      </c>
      <c r="E1052" s="19">
        <f>IF(NOT(ISNUMBER($A1052)),NA(),IFERROR(1*INDEX(BBG_Data!$H$2:$H$4000,MATCH($A1052,BBG_Data!$G$2:$G$4000,0)),NA()))</f>
        <v/>
      </c>
      <c r="F1052" s="20">
        <f>IF(AND(ISNUMBER(B1052),ISNUMBER(B1051)),IF(B1052=B1051,"",(B1052-B1051)*100),"")</f>
        <v/>
      </c>
      <c r="G1052" s="20">
        <f>IF(AND(ISNUMBER(C1052),ISNUMBER(C1051)),IF(C1052=C1051,"",(C1052-C1051)*100),"")</f>
        <v/>
      </c>
      <c r="H1052" s="20">
        <f>IF(OR(NOT(ISNUMBER($A1052)),ROW()-2&lt;Settings!$B$11),NA(),IF(COUNT(OFFSET(F1052,1-Settings!$B$11,0,Settings!$B$11,1))&lt;ROUNDUP(Settings!$B$11*Settings!$B$26,0),NA(),STDEV(OFFSET(F1052,1-Settings!$B$11,0,Settings!$B$11,1))*SQRT(Settings!$B$13)))</f>
        <v/>
      </c>
      <c r="I1052" s="20">
        <f>IF(OR(NOT(ISNUMBER($A1052)),ROW()-2&lt;Settings!$B$12),NA(),IF(COUNT(OFFSET(F1052,1-Settings!$B$12,0,Settings!$B$12,1))&lt;ROUNDUP(Settings!$B$12*Settings!$B$26,0),NA(),STDEV(OFFSET(F1052,1-Settings!$B$12,0,Settings!$B$12,1))*SQRT(Settings!$B$13)))</f>
        <v/>
      </c>
      <c r="J1052" s="20">
        <f>IF(OR(NOT(ISNUMBER($A1052)),ROW()-2&lt;Settings!$B$11),NA(),IF(COUNT(OFFSET(G1052,1-Settings!$B$11,0,Settings!$B$11,1))&lt;ROUNDUP(Settings!$B$11*Settings!$B$26,0),NA(),STDEV(OFFSET(G1052,1-Settings!$B$11,0,Settings!$B$11,1))*SQRT(Settings!$B$13)))</f>
        <v/>
      </c>
      <c r="K1052" s="20">
        <f>IF(OR(NOT(ISNUMBER($A1052)),ROW()-2&lt;Settings!$B$12),NA(),IF(COUNT(OFFSET(G1052,1-Settings!$B$12,0,Settings!$B$12,1))&lt;ROUNDUP(Settings!$B$12*Settings!$B$26,0),NA(),STDEV(OFFSET(G1052,1-Settings!$B$12,0,Settings!$B$12,1))*SQRT(Settings!$B$13)))</f>
        <v/>
      </c>
      <c r="L1052" s="20">
        <f>IF(AND(ISNUMBER(D1052),ISNUMBER(H1052)),D1052-H1052,NA())</f>
        <v/>
      </c>
      <c r="M1052" s="20">
        <f>IF(AND(ISNUMBER(E1052),ISNUMBER(K1052)),E1052-K1052,NA())</f>
        <v/>
      </c>
      <c r="N1052" s="20">
        <f>IF(NOT(ISNUMBER($A1052)),NA(),IF(COUNT(OFFSET(G1052,1,0,Settings!$B$12,1))&lt;ROUNDUP(Settings!$B$12*Settings!$B$26,0),NA(),STDEV(OFFSET(G1052,1,0,Settings!$B$12,1))*SQRT(Settings!$B$13)))</f>
        <v/>
      </c>
      <c r="O1052" s="20">
        <f>IF(AND(ISNUMBER(E1052),ISNUMBER(N1052)),E1052-N1052,NA())</f>
        <v/>
      </c>
      <c r="P1052" s="19">
        <f>IF(NOT(ISNUMBER($A1052)),NA(),IF(OR($A1052&lt;MIN(KW_TP!$A$2:$A$2501),$A1052&gt;MAX(KW_TP!$A$2:$A$2501)),NA(),INDEX(KW_TP!$C$2:$C$2501,MATCH($A1052,KW_TP!$A$2:$A$2501,1))))</f>
        <v/>
      </c>
      <c r="Q1052" s="18">
        <f>IF(NOT(ISNUMBER($A1052)),NA(),IFERROR(1*INDEX(BBG_Data!$J$2:$J$4000,MATCH($A1052,BBG_Data!$I$2:$I$4000,0)),NA()))</f>
        <v/>
      </c>
      <c r="R1052" s="18">
        <f>IF(NOT(ISNUMBER($A1052)),NA(),IFERROR(1*INDEX(BBG_Data!$L$2:$L$4000,MATCH($A1052,BBG_Data!$K$2:$K$4000,0)),NA()))</f>
        <v/>
      </c>
      <c r="S1052" s="20">
        <f>IF(AND(ISNUMBER(B1052),ISNUMBER(Q1052),ISNUMBER(R1052)),(B1052-Q1052-R1052)*100,NA())</f>
        <v/>
      </c>
      <c r="T1052" s="20">
        <f>IF(AND(ISNUMBER(B1052),Settings!$B$17&gt;0),IF(ISNUMBER(INDEX($B:$B,Settings!$B$17)),(B1052-INDEX($B:$B,Settings!$B$17))*100,NA()),NA())</f>
        <v/>
      </c>
      <c r="U1052" s="20">
        <f>IF(AND(ISNUMBER(Q1052),Settings!$B$17&gt;0),IF(ISNUMBER(INDEX($Q:$Q,Settings!$B$17)),(Q1052-INDEX($Q:$Q,Settings!$B$17))*100,NA()),NA())</f>
        <v/>
      </c>
      <c r="V1052" s="20">
        <f>IF(AND(ISNUMBER(R1052),Settings!$B$17&gt;0),IF(ISNUMBER(INDEX($R:$R,Settings!$B$17)),(R1052-INDEX($R:$R,Settings!$B$17))*100,NA()),NA())</f>
        <v/>
      </c>
      <c r="W1052" s="20">
        <f>IF(AND(ISNUMBER(P1052),Settings!$B$17&gt;0),IF(ISNUMBER(INDEX($P:$P,Settings!$B$17)),P1052-INDEX($P:$P,Settings!$B$17),NA()),NA())</f>
        <v/>
      </c>
      <c r="X1052" s="19">
        <f>IF(NOT(ISNUMBER($A1052)),NA(),IF(OR($A1052&lt;MIN(DKW_10Y!$A$2:$A$2918),$A1052&gt;MAX(DKW_10Y!$A$2:$A$2918),Settings!$B$16&lt;MIN(DKW_10Y!$A$2:$A$2918)),NA(),(INDEX(DKW_10Y!$B$2:$B$2918,MATCH($A1052,DKW_10Y!$A$2:$A$2918,1))-INDEX(DKW_10Y!$B$2:$B$2918,MATCH(Settings!$B$16,DKW_10Y!$A$2:$A$2918,1)))*100))</f>
        <v/>
      </c>
      <c r="Y1052" s="19">
        <f>IF(NOT(ISNUMBER($A1052)),NA(),IF(OR($A1052&lt;MIN(DKW_10Y!$A$2:$A$2918),$A1052&gt;MAX(DKW_10Y!$A$2:$A$2918),Settings!$B$16&lt;MIN(DKW_10Y!$A$2:$A$2918)),NA(),(INDEX(DKW_10Y!$C$2:$C$2918,MATCH($A1052,DKW_10Y!$A$2:$A$2918,1))-INDEX(DKW_10Y!$C$2:$C$2918,MATCH(Settings!$B$16,DKW_10Y!$A$2:$A$2918,1)))*100))</f>
        <v/>
      </c>
      <c r="Z1052" s="19">
        <f>IF(NOT(ISNUMBER($A1052)),NA(),IF(OR($A1052&lt;MIN(DKW_10Y!$A$2:$A$2918),$A1052&gt;MAX(DKW_10Y!$A$2:$A$2918),Settings!$B$16&lt;MIN(DKW_10Y!$A$2:$A$2918)),NA(),(INDEX(DKW_10Y!$D$2:$D$2918,MATCH($A1052,DKW_10Y!$A$2:$A$2918,1))-INDEX(DKW_10Y!$D$2:$D$2918,MATCH(Settings!$B$16,DKW_10Y!$A$2:$A$2918,1)))*100))</f>
        <v/>
      </c>
      <c r="AA1052" s="19">
        <f>IF(NOT(ISNUMBER($A1052)),NA(),IF(OR($A1052&lt;MIN(DKW_10Y!$A$2:$A$2918),$A1052&gt;MAX(DKW_10Y!$A$2:$A$2918),Settings!$B$16&lt;MIN(DKW_10Y!$A$2:$A$2918)),NA(),(INDEX(DKW_10Y!$E$2:$E$2918,MATCH($A1052,DKW_10Y!$A$2:$A$2918,1))-INDEX(DKW_10Y!$E$2:$E$2918,MATCH(Settings!$B$16,DKW_10Y!$A$2:$A$2918,1)))*100))</f>
        <v/>
      </c>
      <c r="AB1052" s="19">
        <f>IF(NOT(ISNUMBER($A1052)),NA(),IF(OR($A1052&lt;MIN(DKW_10Y!$A$2:$A$2918),$A1052&gt;MAX(DKW_10Y!$A$2:$A$2918),Settings!$B$16&lt;MIN(DKW_10Y!$A$2:$A$2918)),NA(),(INDEX(DKW_10Y!$H$2:$H$2918,MATCH($A1052,DKW_10Y!$A$2:$A$2918,1))-INDEX(DKW_10Y!$H$2:$H$2918,MATCH(Settings!$B$16,DKW_10Y!$A$2:$A$2918,1)))*100))</f>
        <v/>
      </c>
      <c r="AC1052" s="18">
        <f>IF(NOT(ISNUMBER($A1052)),NA(),IFERROR(1*INDEX(BBG_Data!$N$2:$N$4000,MATCH($A1052,BBG_Data!$M$2:$M$4000,0)),NA()))</f>
        <v/>
      </c>
      <c r="AD1052" s="18">
        <f>IF(NOT(ISNUMBER($A1052)),NA(),IFERROR(1*INDEX(BBG_Data!$P$2:$P$4000,MATCH($A1052,BBG_Data!$O$2:$O$4000,0)),NA()))</f>
        <v/>
      </c>
      <c r="AE1052" s="18">
        <f>IF(NOT(ISNUMBER($A1052)),NA(),IFERROR(1*INDEX(BBG_Data!$R$2:$R$4000,MATCH($A1052,BBG_Data!$Q$2:$Q$4000,0)),NA()))</f>
        <v/>
      </c>
      <c r="AF1052" s="20">
        <f>IF(AND(ISNUMBER(B1052),ISNUMBER(AC1052)),(B1052-AC1052)*100,NA())</f>
        <v/>
      </c>
      <c r="AG1052" s="20">
        <f>IF(AND(ISNUMBER(AE1052),ISNUMBER(AD1052)),(AE1052-AD1052)*100,NA())</f>
        <v/>
      </c>
      <c r="AH1052" s="19">
        <f>IF(NOT(ISNUMBER($A1052)),NA(),IFERROR(INDEX(BBG_Data!$T$2:$T$4000,MATCH($A1052,BBG_Data!$S$2:$S$4000,0))*Settings!$B$25,NA()))</f>
        <v/>
      </c>
      <c r="AI1052" s="19">
        <f>IF(NOT(ISNUMBER($A1052)),NA(),IFERROR(INDEX(BBG_Data!$V$2:$V$4000,MATCH($A1052,BBG_Data!$U$2:$U$4000,0))*Settings!$B$25,NA()))</f>
        <v/>
      </c>
      <c r="AJ1052" s="19">
        <f>IF(NOT(ISNUMBER($A1052)),NA(),IFERROR(1*INDEX(BBG_Data!$X$2:$X$4000,MATCH($A1052,BBG_Data!$W$2:$W$4000,0)),NA()))</f>
        <v/>
      </c>
      <c r="AK1052" s="19">
        <f>IF(NOT(ISNUMBER($A1052)),NA(),IFERROR(1*INDEX(BBG_Data!$Z$2:$Z$4000,MATCH($A1052,BBG_Data!$Y$2:$Y$4000,0)),NA()))</f>
        <v/>
      </c>
    </row>
    <row r="1053">
      <c r="A1053" s="17">
        <f>IF(ISNUMBER(BBG_Data!A1053),BBG_Data!A1053,"")</f>
        <v/>
      </c>
      <c r="B1053" s="18">
        <f>IF(AND(ISNUMBER($A1053),ISNUMBER(BBG_Data!B1053)),BBG_Data!B1053,NA())</f>
        <v/>
      </c>
      <c r="C1053" s="18">
        <f>IF(NOT(ISNUMBER($A1053)),NA(),IFERROR(1*INDEX(BBG_Data!$D$2:$D$4000,MATCH($A1053,BBG_Data!$C$2:$C$4000,0)),NA()))</f>
        <v/>
      </c>
      <c r="D1053" s="19">
        <f>IF(NOT(ISNUMBER($A1053)),NA(),IFERROR(1*INDEX(BBG_Data!$F$2:$F$4000,MATCH($A1053,BBG_Data!$E$2:$E$4000,0)),NA()))</f>
        <v/>
      </c>
      <c r="E1053" s="19">
        <f>IF(NOT(ISNUMBER($A1053)),NA(),IFERROR(1*INDEX(BBG_Data!$H$2:$H$4000,MATCH($A1053,BBG_Data!$G$2:$G$4000,0)),NA()))</f>
        <v/>
      </c>
      <c r="F1053" s="20">
        <f>IF(AND(ISNUMBER(B1053),ISNUMBER(B1052)),IF(B1053=B1052,"",(B1053-B1052)*100),"")</f>
        <v/>
      </c>
      <c r="G1053" s="20">
        <f>IF(AND(ISNUMBER(C1053),ISNUMBER(C1052)),IF(C1053=C1052,"",(C1053-C1052)*100),"")</f>
        <v/>
      </c>
      <c r="H1053" s="20">
        <f>IF(OR(NOT(ISNUMBER($A1053)),ROW()-2&lt;Settings!$B$11),NA(),IF(COUNT(OFFSET(F1053,1-Settings!$B$11,0,Settings!$B$11,1))&lt;ROUNDUP(Settings!$B$11*Settings!$B$26,0),NA(),STDEV(OFFSET(F1053,1-Settings!$B$11,0,Settings!$B$11,1))*SQRT(Settings!$B$13)))</f>
        <v/>
      </c>
      <c r="I1053" s="20">
        <f>IF(OR(NOT(ISNUMBER($A1053)),ROW()-2&lt;Settings!$B$12),NA(),IF(COUNT(OFFSET(F1053,1-Settings!$B$12,0,Settings!$B$12,1))&lt;ROUNDUP(Settings!$B$12*Settings!$B$26,0),NA(),STDEV(OFFSET(F1053,1-Settings!$B$12,0,Settings!$B$12,1))*SQRT(Settings!$B$13)))</f>
        <v/>
      </c>
      <c r="J1053" s="20">
        <f>IF(OR(NOT(ISNUMBER($A1053)),ROW()-2&lt;Settings!$B$11),NA(),IF(COUNT(OFFSET(G1053,1-Settings!$B$11,0,Settings!$B$11,1))&lt;ROUNDUP(Settings!$B$11*Settings!$B$26,0),NA(),STDEV(OFFSET(G1053,1-Settings!$B$11,0,Settings!$B$11,1))*SQRT(Settings!$B$13)))</f>
        <v/>
      </c>
      <c r="K1053" s="20">
        <f>IF(OR(NOT(ISNUMBER($A1053)),ROW()-2&lt;Settings!$B$12),NA(),IF(COUNT(OFFSET(G1053,1-Settings!$B$12,0,Settings!$B$12,1))&lt;ROUNDUP(Settings!$B$12*Settings!$B$26,0),NA(),STDEV(OFFSET(G1053,1-Settings!$B$12,0,Settings!$B$12,1))*SQRT(Settings!$B$13)))</f>
        <v/>
      </c>
      <c r="L1053" s="20">
        <f>IF(AND(ISNUMBER(D1053),ISNUMBER(H1053)),D1053-H1053,NA())</f>
        <v/>
      </c>
      <c r="M1053" s="20">
        <f>IF(AND(ISNUMBER(E1053),ISNUMBER(K1053)),E1053-K1053,NA())</f>
        <v/>
      </c>
      <c r="N1053" s="20">
        <f>IF(NOT(ISNUMBER($A1053)),NA(),IF(COUNT(OFFSET(G1053,1,0,Settings!$B$12,1))&lt;ROUNDUP(Settings!$B$12*Settings!$B$26,0),NA(),STDEV(OFFSET(G1053,1,0,Settings!$B$12,1))*SQRT(Settings!$B$13)))</f>
        <v/>
      </c>
      <c r="O1053" s="20">
        <f>IF(AND(ISNUMBER(E1053),ISNUMBER(N1053)),E1053-N1053,NA())</f>
        <v/>
      </c>
      <c r="P1053" s="19">
        <f>IF(NOT(ISNUMBER($A1053)),NA(),IF(OR($A1053&lt;MIN(KW_TP!$A$2:$A$2501),$A1053&gt;MAX(KW_TP!$A$2:$A$2501)),NA(),INDEX(KW_TP!$C$2:$C$2501,MATCH($A1053,KW_TP!$A$2:$A$2501,1))))</f>
        <v/>
      </c>
      <c r="Q1053" s="18">
        <f>IF(NOT(ISNUMBER($A1053)),NA(),IFERROR(1*INDEX(BBG_Data!$J$2:$J$4000,MATCH($A1053,BBG_Data!$I$2:$I$4000,0)),NA()))</f>
        <v/>
      </c>
      <c r="R1053" s="18">
        <f>IF(NOT(ISNUMBER($A1053)),NA(),IFERROR(1*INDEX(BBG_Data!$L$2:$L$4000,MATCH($A1053,BBG_Data!$K$2:$K$4000,0)),NA()))</f>
        <v/>
      </c>
      <c r="S1053" s="20">
        <f>IF(AND(ISNUMBER(B1053),ISNUMBER(Q1053),ISNUMBER(R1053)),(B1053-Q1053-R1053)*100,NA())</f>
        <v/>
      </c>
      <c r="T1053" s="20">
        <f>IF(AND(ISNUMBER(B1053),Settings!$B$17&gt;0),IF(ISNUMBER(INDEX($B:$B,Settings!$B$17)),(B1053-INDEX($B:$B,Settings!$B$17))*100,NA()),NA())</f>
        <v/>
      </c>
      <c r="U1053" s="20">
        <f>IF(AND(ISNUMBER(Q1053),Settings!$B$17&gt;0),IF(ISNUMBER(INDEX($Q:$Q,Settings!$B$17)),(Q1053-INDEX($Q:$Q,Settings!$B$17))*100,NA()),NA())</f>
        <v/>
      </c>
      <c r="V1053" s="20">
        <f>IF(AND(ISNUMBER(R1053),Settings!$B$17&gt;0),IF(ISNUMBER(INDEX($R:$R,Settings!$B$17)),(R1053-INDEX($R:$R,Settings!$B$17))*100,NA()),NA())</f>
        <v/>
      </c>
      <c r="W1053" s="20">
        <f>IF(AND(ISNUMBER(P1053),Settings!$B$17&gt;0),IF(ISNUMBER(INDEX($P:$P,Settings!$B$17)),P1053-INDEX($P:$P,Settings!$B$17),NA()),NA())</f>
        <v/>
      </c>
      <c r="X1053" s="19">
        <f>IF(NOT(ISNUMBER($A1053)),NA(),IF(OR($A1053&lt;MIN(DKW_10Y!$A$2:$A$2918),$A1053&gt;MAX(DKW_10Y!$A$2:$A$2918),Settings!$B$16&lt;MIN(DKW_10Y!$A$2:$A$2918)),NA(),(INDEX(DKW_10Y!$B$2:$B$2918,MATCH($A1053,DKW_10Y!$A$2:$A$2918,1))-INDEX(DKW_10Y!$B$2:$B$2918,MATCH(Settings!$B$16,DKW_10Y!$A$2:$A$2918,1)))*100))</f>
        <v/>
      </c>
      <c r="Y1053" s="19">
        <f>IF(NOT(ISNUMBER($A1053)),NA(),IF(OR($A1053&lt;MIN(DKW_10Y!$A$2:$A$2918),$A1053&gt;MAX(DKW_10Y!$A$2:$A$2918),Settings!$B$16&lt;MIN(DKW_10Y!$A$2:$A$2918)),NA(),(INDEX(DKW_10Y!$C$2:$C$2918,MATCH($A1053,DKW_10Y!$A$2:$A$2918,1))-INDEX(DKW_10Y!$C$2:$C$2918,MATCH(Settings!$B$16,DKW_10Y!$A$2:$A$2918,1)))*100))</f>
        <v/>
      </c>
      <c r="Z1053" s="19">
        <f>IF(NOT(ISNUMBER($A1053)),NA(),IF(OR($A1053&lt;MIN(DKW_10Y!$A$2:$A$2918),$A1053&gt;MAX(DKW_10Y!$A$2:$A$2918),Settings!$B$16&lt;MIN(DKW_10Y!$A$2:$A$2918)),NA(),(INDEX(DKW_10Y!$D$2:$D$2918,MATCH($A1053,DKW_10Y!$A$2:$A$2918,1))-INDEX(DKW_10Y!$D$2:$D$2918,MATCH(Settings!$B$16,DKW_10Y!$A$2:$A$2918,1)))*100))</f>
        <v/>
      </c>
      <c r="AA1053" s="19">
        <f>IF(NOT(ISNUMBER($A1053)),NA(),IF(OR($A1053&lt;MIN(DKW_10Y!$A$2:$A$2918),$A1053&gt;MAX(DKW_10Y!$A$2:$A$2918),Settings!$B$16&lt;MIN(DKW_10Y!$A$2:$A$2918)),NA(),(INDEX(DKW_10Y!$E$2:$E$2918,MATCH($A1053,DKW_10Y!$A$2:$A$2918,1))-INDEX(DKW_10Y!$E$2:$E$2918,MATCH(Settings!$B$16,DKW_10Y!$A$2:$A$2918,1)))*100))</f>
        <v/>
      </c>
      <c r="AB1053" s="19">
        <f>IF(NOT(ISNUMBER($A1053)),NA(),IF(OR($A1053&lt;MIN(DKW_10Y!$A$2:$A$2918),$A1053&gt;MAX(DKW_10Y!$A$2:$A$2918),Settings!$B$16&lt;MIN(DKW_10Y!$A$2:$A$2918)),NA(),(INDEX(DKW_10Y!$H$2:$H$2918,MATCH($A1053,DKW_10Y!$A$2:$A$2918,1))-INDEX(DKW_10Y!$H$2:$H$2918,MATCH(Settings!$B$16,DKW_10Y!$A$2:$A$2918,1)))*100))</f>
        <v/>
      </c>
      <c r="AC1053" s="18">
        <f>IF(NOT(ISNUMBER($A1053)),NA(),IFERROR(1*INDEX(BBG_Data!$N$2:$N$4000,MATCH($A1053,BBG_Data!$M$2:$M$4000,0)),NA()))</f>
        <v/>
      </c>
      <c r="AD1053" s="18">
        <f>IF(NOT(ISNUMBER($A1053)),NA(),IFERROR(1*INDEX(BBG_Data!$P$2:$P$4000,MATCH($A1053,BBG_Data!$O$2:$O$4000,0)),NA()))</f>
        <v/>
      </c>
      <c r="AE1053" s="18">
        <f>IF(NOT(ISNUMBER($A1053)),NA(),IFERROR(1*INDEX(BBG_Data!$R$2:$R$4000,MATCH($A1053,BBG_Data!$Q$2:$Q$4000,0)),NA()))</f>
        <v/>
      </c>
      <c r="AF1053" s="20">
        <f>IF(AND(ISNUMBER(B1053),ISNUMBER(AC1053)),(B1053-AC1053)*100,NA())</f>
        <v/>
      </c>
      <c r="AG1053" s="20">
        <f>IF(AND(ISNUMBER(AE1053),ISNUMBER(AD1053)),(AE1053-AD1053)*100,NA())</f>
        <v/>
      </c>
      <c r="AH1053" s="19">
        <f>IF(NOT(ISNUMBER($A1053)),NA(),IFERROR(INDEX(BBG_Data!$T$2:$T$4000,MATCH($A1053,BBG_Data!$S$2:$S$4000,0))*Settings!$B$25,NA()))</f>
        <v/>
      </c>
      <c r="AI1053" s="19">
        <f>IF(NOT(ISNUMBER($A1053)),NA(),IFERROR(INDEX(BBG_Data!$V$2:$V$4000,MATCH($A1053,BBG_Data!$U$2:$U$4000,0))*Settings!$B$25,NA()))</f>
        <v/>
      </c>
      <c r="AJ1053" s="19">
        <f>IF(NOT(ISNUMBER($A1053)),NA(),IFERROR(1*INDEX(BBG_Data!$X$2:$X$4000,MATCH($A1053,BBG_Data!$W$2:$W$4000,0)),NA()))</f>
        <v/>
      </c>
      <c r="AK1053" s="19">
        <f>IF(NOT(ISNUMBER($A1053)),NA(),IFERROR(1*INDEX(BBG_Data!$Z$2:$Z$4000,MATCH($A1053,BBG_Data!$Y$2:$Y$4000,0)),NA()))</f>
        <v/>
      </c>
    </row>
    <row r="1054">
      <c r="A1054" s="17">
        <f>IF(ISNUMBER(BBG_Data!A1054),BBG_Data!A1054,"")</f>
        <v/>
      </c>
      <c r="B1054" s="18">
        <f>IF(AND(ISNUMBER($A1054),ISNUMBER(BBG_Data!B1054)),BBG_Data!B1054,NA())</f>
        <v/>
      </c>
      <c r="C1054" s="18">
        <f>IF(NOT(ISNUMBER($A1054)),NA(),IFERROR(1*INDEX(BBG_Data!$D$2:$D$4000,MATCH($A1054,BBG_Data!$C$2:$C$4000,0)),NA()))</f>
        <v/>
      </c>
      <c r="D1054" s="19">
        <f>IF(NOT(ISNUMBER($A1054)),NA(),IFERROR(1*INDEX(BBG_Data!$F$2:$F$4000,MATCH($A1054,BBG_Data!$E$2:$E$4000,0)),NA()))</f>
        <v/>
      </c>
      <c r="E1054" s="19">
        <f>IF(NOT(ISNUMBER($A1054)),NA(),IFERROR(1*INDEX(BBG_Data!$H$2:$H$4000,MATCH($A1054,BBG_Data!$G$2:$G$4000,0)),NA()))</f>
        <v/>
      </c>
      <c r="F1054" s="20">
        <f>IF(AND(ISNUMBER(B1054),ISNUMBER(B1053)),IF(B1054=B1053,"",(B1054-B1053)*100),"")</f>
        <v/>
      </c>
      <c r="G1054" s="20">
        <f>IF(AND(ISNUMBER(C1054),ISNUMBER(C1053)),IF(C1054=C1053,"",(C1054-C1053)*100),"")</f>
        <v/>
      </c>
      <c r="H1054" s="20">
        <f>IF(OR(NOT(ISNUMBER($A1054)),ROW()-2&lt;Settings!$B$11),NA(),IF(COUNT(OFFSET(F1054,1-Settings!$B$11,0,Settings!$B$11,1))&lt;ROUNDUP(Settings!$B$11*Settings!$B$26,0),NA(),STDEV(OFFSET(F1054,1-Settings!$B$11,0,Settings!$B$11,1))*SQRT(Settings!$B$13)))</f>
        <v/>
      </c>
      <c r="I1054" s="20">
        <f>IF(OR(NOT(ISNUMBER($A1054)),ROW()-2&lt;Settings!$B$12),NA(),IF(COUNT(OFFSET(F1054,1-Settings!$B$12,0,Settings!$B$12,1))&lt;ROUNDUP(Settings!$B$12*Settings!$B$26,0),NA(),STDEV(OFFSET(F1054,1-Settings!$B$12,0,Settings!$B$12,1))*SQRT(Settings!$B$13)))</f>
        <v/>
      </c>
      <c r="J1054" s="20">
        <f>IF(OR(NOT(ISNUMBER($A1054)),ROW()-2&lt;Settings!$B$11),NA(),IF(COUNT(OFFSET(G1054,1-Settings!$B$11,0,Settings!$B$11,1))&lt;ROUNDUP(Settings!$B$11*Settings!$B$26,0),NA(),STDEV(OFFSET(G1054,1-Settings!$B$11,0,Settings!$B$11,1))*SQRT(Settings!$B$13)))</f>
        <v/>
      </c>
      <c r="K1054" s="20">
        <f>IF(OR(NOT(ISNUMBER($A1054)),ROW()-2&lt;Settings!$B$12),NA(),IF(COUNT(OFFSET(G1054,1-Settings!$B$12,0,Settings!$B$12,1))&lt;ROUNDUP(Settings!$B$12*Settings!$B$26,0),NA(),STDEV(OFFSET(G1054,1-Settings!$B$12,0,Settings!$B$12,1))*SQRT(Settings!$B$13)))</f>
        <v/>
      </c>
      <c r="L1054" s="20">
        <f>IF(AND(ISNUMBER(D1054),ISNUMBER(H1054)),D1054-H1054,NA())</f>
        <v/>
      </c>
      <c r="M1054" s="20">
        <f>IF(AND(ISNUMBER(E1054),ISNUMBER(K1054)),E1054-K1054,NA())</f>
        <v/>
      </c>
      <c r="N1054" s="20">
        <f>IF(NOT(ISNUMBER($A1054)),NA(),IF(COUNT(OFFSET(G1054,1,0,Settings!$B$12,1))&lt;ROUNDUP(Settings!$B$12*Settings!$B$26,0),NA(),STDEV(OFFSET(G1054,1,0,Settings!$B$12,1))*SQRT(Settings!$B$13)))</f>
        <v/>
      </c>
      <c r="O1054" s="20">
        <f>IF(AND(ISNUMBER(E1054),ISNUMBER(N1054)),E1054-N1054,NA())</f>
        <v/>
      </c>
      <c r="P1054" s="19">
        <f>IF(NOT(ISNUMBER($A1054)),NA(),IF(OR($A1054&lt;MIN(KW_TP!$A$2:$A$2501),$A1054&gt;MAX(KW_TP!$A$2:$A$2501)),NA(),INDEX(KW_TP!$C$2:$C$2501,MATCH($A1054,KW_TP!$A$2:$A$2501,1))))</f>
        <v/>
      </c>
      <c r="Q1054" s="18">
        <f>IF(NOT(ISNUMBER($A1054)),NA(),IFERROR(1*INDEX(BBG_Data!$J$2:$J$4000,MATCH($A1054,BBG_Data!$I$2:$I$4000,0)),NA()))</f>
        <v/>
      </c>
      <c r="R1054" s="18">
        <f>IF(NOT(ISNUMBER($A1054)),NA(),IFERROR(1*INDEX(BBG_Data!$L$2:$L$4000,MATCH($A1054,BBG_Data!$K$2:$K$4000,0)),NA()))</f>
        <v/>
      </c>
      <c r="S1054" s="20">
        <f>IF(AND(ISNUMBER(B1054),ISNUMBER(Q1054),ISNUMBER(R1054)),(B1054-Q1054-R1054)*100,NA())</f>
        <v/>
      </c>
      <c r="T1054" s="20">
        <f>IF(AND(ISNUMBER(B1054),Settings!$B$17&gt;0),IF(ISNUMBER(INDEX($B:$B,Settings!$B$17)),(B1054-INDEX($B:$B,Settings!$B$17))*100,NA()),NA())</f>
        <v/>
      </c>
      <c r="U1054" s="20">
        <f>IF(AND(ISNUMBER(Q1054),Settings!$B$17&gt;0),IF(ISNUMBER(INDEX($Q:$Q,Settings!$B$17)),(Q1054-INDEX($Q:$Q,Settings!$B$17))*100,NA()),NA())</f>
        <v/>
      </c>
      <c r="V1054" s="20">
        <f>IF(AND(ISNUMBER(R1054),Settings!$B$17&gt;0),IF(ISNUMBER(INDEX($R:$R,Settings!$B$17)),(R1054-INDEX($R:$R,Settings!$B$17))*100,NA()),NA())</f>
        <v/>
      </c>
      <c r="W1054" s="20">
        <f>IF(AND(ISNUMBER(P1054),Settings!$B$17&gt;0),IF(ISNUMBER(INDEX($P:$P,Settings!$B$17)),P1054-INDEX($P:$P,Settings!$B$17),NA()),NA())</f>
        <v/>
      </c>
      <c r="X1054" s="19">
        <f>IF(NOT(ISNUMBER($A1054)),NA(),IF(OR($A1054&lt;MIN(DKW_10Y!$A$2:$A$2918),$A1054&gt;MAX(DKW_10Y!$A$2:$A$2918),Settings!$B$16&lt;MIN(DKW_10Y!$A$2:$A$2918)),NA(),(INDEX(DKW_10Y!$B$2:$B$2918,MATCH($A1054,DKW_10Y!$A$2:$A$2918,1))-INDEX(DKW_10Y!$B$2:$B$2918,MATCH(Settings!$B$16,DKW_10Y!$A$2:$A$2918,1)))*100))</f>
        <v/>
      </c>
      <c r="Y1054" s="19">
        <f>IF(NOT(ISNUMBER($A1054)),NA(),IF(OR($A1054&lt;MIN(DKW_10Y!$A$2:$A$2918),$A1054&gt;MAX(DKW_10Y!$A$2:$A$2918),Settings!$B$16&lt;MIN(DKW_10Y!$A$2:$A$2918)),NA(),(INDEX(DKW_10Y!$C$2:$C$2918,MATCH($A1054,DKW_10Y!$A$2:$A$2918,1))-INDEX(DKW_10Y!$C$2:$C$2918,MATCH(Settings!$B$16,DKW_10Y!$A$2:$A$2918,1)))*100))</f>
        <v/>
      </c>
      <c r="Z1054" s="19">
        <f>IF(NOT(ISNUMBER($A1054)),NA(),IF(OR($A1054&lt;MIN(DKW_10Y!$A$2:$A$2918),$A1054&gt;MAX(DKW_10Y!$A$2:$A$2918),Settings!$B$16&lt;MIN(DKW_10Y!$A$2:$A$2918)),NA(),(INDEX(DKW_10Y!$D$2:$D$2918,MATCH($A1054,DKW_10Y!$A$2:$A$2918,1))-INDEX(DKW_10Y!$D$2:$D$2918,MATCH(Settings!$B$16,DKW_10Y!$A$2:$A$2918,1)))*100))</f>
        <v/>
      </c>
      <c r="AA1054" s="19">
        <f>IF(NOT(ISNUMBER($A1054)),NA(),IF(OR($A1054&lt;MIN(DKW_10Y!$A$2:$A$2918),$A1054&gt;MAX(DKW_10Y!$A$2:$A$2918),Settings!$B$16&lt;MIN(DKW_10Y!$A$2:$A$2918)),NA(),(INDEX(DKW_10Y!$E$2:$E$2918,MATCH($A1054,DKW_10Y!$A$2:$A$2918,1))-INDEX(DKW_10Y!$E$2:$E$2918,MATCH(Settings!$B$16,DKW_10Y!$A$2:$A$2918,1)))*100))</f>
        <v/>
      </c>
      <c r="AB1054" s="19">
        <f>IF(NOT(ISNUMBER($A1054)),NA(),IF(OR($A1054&lt;MIN(DKW_10Y!$A$2:$A$2918),$A1054&gt;MAX(DKW_10Y!$A$2:$A$2918),Settings!$B$16&lt;MIN(DKW_10Y!$A$2:$A$2918)),NA(),(INDEX(DKW_10Y!$H$2:$H$2918,MATCH($A1054,DKW_10Y!$A$2:$A$2918,1))-INDEX(DKW_10Y!$H$2:$H$2918,MATCH(Settings!$B$16,DKW_10Y!$A$2:$A$2918,1)))*100))</f>
        <v/>
      </c>
      <c r="AC1054" s="18">
        <f>IF(NOT(ISNUMBER($A1054)),NA(),IFERROR(1*INDEX(BBG_Data!$N$2:$N$4000,MATCH($A1054,BBG_Data!$M$2:$M$4000,0)),NA()))</f>
        <v/>
      </c>
      <c r="AD1054" s="18">
        <f>IF(NOT(ISNUMBER($A1054)),NA(),IFERROR(1*INDEX(BBG_Data!$P$2:$P$4000,MATCH($A1054,BBG_Data!$O$2:$O$4000,0)),NA()))</f>
        <v/>
      </c>
      <c r="AE1054" s="18">
        <f>IF(NOT(ISNUMBER($A1054)),NA(),IFERROR(1*INDEX(BBG_Data!$R$2:$R$4000,MATCH($A1054,BBG_Data!$Q$2:$Q$4000,0)),NA()))</f>
        <v/>
      </c>
      <c r="AF1054" s="20">
        <f>IF(AND(ISNUMBER(B1054),ISNUMBER(AC1054)),(B1054-AC1054)*100,NA())</f>
        <v/>
      </c>
      <c r="AG1054" s="20">
        <f>IF(AND(ISNUMBER(AE1054),ISNUMBER(AD1054)),(AE1054-AD1054)*100,NA())</f>
        <v/>
      </c>
      <c r="AH1054" s="19">
        <f>IF(NOT(ISNUMBER($A1054)),NA(),IFERROR(INDEX(BBG_Data!$T$2:$T$4000,MATCH($A1054,BBG_Data!$S$2:$S$4000,0))*Settings!$B$25,NA()))</f>
        <v/>
      </c>
      <c r="AI1054" s="19">
        <f>IF(NOT(ISNUMBER($A1054)),NA(),IFERROR(INDEX(BBG_Data!$V$2:$V$4000,MATCH($A1054,BBG_Data!$U$2:$U$4000,0))*Settings!$B$25,NA()))</f>
        <v/>
      </c>
      <c r="AJ1054" s="19">
        <f>IF(NOT(ISNUMBER($A1054)),NA(),IFERROR(1*INDEX(BBG_Data!$X$2:$X$4000,MATCH($A1054,BBG_Data!$W$2:$W$4000,0)),NA()))</f>
        <v/>
      </c>
      <c r="AK1054" s="19">
        <f>IF(NOT(ISNUMBER($A1054)),NA(),IFERROR(1*INDEX(BBG_Data!$Z$2:$Z$4000,MATCH($A1054,BBG_Data!$Y$2:$Y$4000,0)),NA()))</f>
        <v/>
      </c>
    </row>
    <row r="1055">
      <c r="A1055" s="17">
        <f>IF(ISNUMBER(BBG_Data!A1055),BBG_Data!A1055,"")</f>
        <v/>
      </c>
      <c r="B1055" s="18">
        <f>IF(AND(ISNUMBER($A1055),ISNUMBER(BBG_Data!B1055)),BBG_Data!B1055,NA())</f>
        <v/>
      </c>
      <c r="C1055" s="18">
        <f>IF(NOT(ISNUMBER($A1055)),NA(),IFERROR(1*INDEX(BBG_Data!$D$2:$D$4000,MATCH($A1055,BBG_Data!$C$2:$C$4000,0)),NA()))</f>
        <v/>
      </c>
      <c r="D1055" s="19">
        <f>IF(NOT(ISNUMBER($A1055)),NA(),IFERROR(1*INDEX(BBG_Data!$F$2:$F$4000,MATCH($A1055,BBG_Data!$E$2:$E$4000,0)),NA()))</f>
        <v/>
      </c>
      <c r="E1055" s="19">
        <f>IF(NOT(ISNUMBER($A1055)),NA(),IFERROR(1*INDEX(BBG_Data!$H$2:$H$4000,MATCH($A1055,BBG_Data!$G$2:$G$4000,0)),NA()))</f>
        <v/>
      </c>
      <c r="F1055" s="20">
        <f>IF(AND(ISNUMBER(B1055),ISNUMBER(B1054)),IF(B1055=B1054,"",(B1055-B1054)*100),"")</f>
        <v/>
      </c>
      <c r="G1055" s="20">
        <f>IF(AND(ISNUMBER(C1055),ISNUMBER(C1054)),IF(C1055=C1054,"",(C1055-C1054)*100),"")</f>
        <v/>
      </c>
      <c r="H1055" s="20">
        <f>IF(OR(NOT(ISNUMBER($A1055)),ROW()-2&lt;Settings!$B$11),NA(),IF(COUNT(OFFSET(F1055,1-Settings!$B$11,0,Settings!$B$11,1))&lt;ROUNDUP(Settings!$B$11*Settings!$B$26,0),NA(),STDEV(OFFSET(F1055,1-Settings!$B$11,0,Settings!$B$11,1))*SQRT(Settings!$B$13)))</f>
        <v/>
      </c>
      <c r="I1055" s="20">
        <f>IF(OR(NOT(ISNUMBER($A1055)),ROW()-2&lt;Settings!$B$12),NA(),IF(COUNT(OFFSET(F1055,1-Settings!$B$12,0,Settings!$B$12,1))&lt;ROUNDUP(Settings!$B$12*Settings!$B$26,0),NA(),STDEV(OFFSET(F1055,1-Settings!$B$12,0,Settings!$B$12,1))*SQRT(Settings!$B$13)))</f>
        <v/>
      </c>
      <c r="J1055" s="20">
        <f>IF(OR(NOT(ISNUMBER($A1055)),ROW()-2&lt;Settings!$B$11),NA(),IF(COUNT(OFFSET(G1055,1-Settings!$B$11,0,Settings!$B$11,1))&lt;ROUNDUP(Settings!$B$11*Settings!$B$26,0),NA(),STDEV(OFFSET(G1055,1-Settings!$B$11,0,Settings!$B$11,1))*SQRT(Settings!$B$13)))</f>
        <v/>
      </c>
      <c r="K1055" s="20">
        <f>IF(OR(NOT(ISNUMBER($A1055)),ROW()-2&lt;Settings!$B$12),NA(),IF(COUNT(OFFSET(G1055,1-Settings!$B$12,0,Settings!$B$12,1))&lt;ROUNDUP(Settings!$B$12*Settings!$B$26,0),NA(),STDEV(OFFSET(G1055,1-Settings!$B$12,0,Settings!$B$12,1))*SQRT(Settings!$B$13)))</f>
        <v/>
      </c>
      <c r="L1055" s="20">
        <f>IF(AND(ISNUMBER(D1055),ISNUMBER(H1055)),D1055-H1055,NA())</f>
        <v/>
      </c>
      <c r="M1055" s="20">
        <f>IF(AND(ISNUMBER(E1055),ISNUMBER(K1055)),E1055-K1055,NA())</f>
        <v/>
      </c>
      <c r="N1055" s="20">
        <f>IF(NOT(ISNUMBER($A1055)),NA(),IF(COUNT(OFFSET(G1055,1,0,Settings!$B$12,1))&lt;ROUNDUP(Settings!$B$12*Settings!$B$26,0),NA(),STDEV(OFFSET(G1055,1,0,Settings!$B$12,1))*SQRT(Settings!$B$13)))</f>
        <v/>
      </c>
      <c r="O1055" s="20">
        <f>IF(AND(ISNUMBER(E1055),ISNUMBER(N1055)),E1055-N1055,NA())</f>
        <v/>
      </c>
      <c r="P1055" s="19">
        <f>IF(NOT(ISNUMBER($A1055)),NA(),IF(OR($A1055&lt;MIN(KW_TP!$A$2:$A$2501),$A1055&gt;MAX(KW_TP!$A$2:$A$2501)),NA(),INDEX(KW_TP!$C$2:$C$2501,MATCH($A1055,KW_TP!$A$2:$A$2501,1))))</f>
        <v/>
      </c>
      <c r="Q1055" s="18">
        <f>IF(NOT(ISNUMBER($A1055)),NA(),IFERROR(1*INDEX(BBG_Data!$J$2:$J$4000,MATCH($A1055,BBG_Data!$I$2:$I$4000,0)),NA()))</f>
        <v/>
      </c>
      <c r="R1055" s="18">
        <f>IF(NOT(ISNUMBER($A1055)),NA(),IFERROR(1*INDEX(BBG_Data!$L$2:$L$4000,MATCH($A1055,BBG_Data!$K$2:$K$4000,0)),NA()))</f>
        <v/>
      </c>
      <c r="S1055" s="20">
        <f>IF(AND(ISNUMBER(B1055),ISNUMBER(Q1055),ISNUMBER(R1055)),(B1055-Q1055-R1055)*100,NA())</f>
        <v/>
      </c>
      <c r="T1055" s="20">
        <f>IF(AND(ISNUMBER(B1055),Settings!$B$17&gt;0),IF(ISNUMBER(INDEX($B:$B,Settings!$B$17)),(B1055-INDEX($B:$B,Settings!$B$17))*100,NA()),NA())</f>
        <v/>
      </c>
      <c r="U1055" s="20">
        <f>IF(AND(ISNUMBER(Q1055),Settings!$B$17&gt;0),IF(ISNUMBER(INDEX($Q:$Q,Settings!$B$17)),(Q1055-INDEX($Q:$Q,Settings!$B$17))*100,NA()),NA())</f>
        <v/>
      </c>
      <c r="V1055" s="20">
        <f>IF(AND(ISNUMBER(R1055),Settings!$B$17&gt;0),IF(ISNUMBER(INDEX($R:$R,Settings!$B$17)),(R1055-INDEX($R:$R,Settings!$B$17))*100,NA()),NA())</f>
        <v/>
      </c>
      <c r="W1055" s="20">
        <f>IF(AND(ISNUMBER(P1055),Settings!$B$17&gt;0),IF(ISNUMBER(INDEX($P:$P,Settings!$B$17)),P1055-INDEX($P:$P,Settings!$B$17),NA()),NA())</f>
        <v/>
      </c>
      <c r="X1055" s="19">
        <f>IF(NOT(ISNUMBER($A1055)),NA(),IF(OR($A1055&lt;MIN(DKW_10Y!$A$2:$A$2918),$A1055&gt;MAX(DKW_10Y!$A$2:$A$2918),Settings!$B$16&lt;MIN(DKW_10Y!$A$2:$A$2918)),NA(),(INDEX(DKW_10Y!$B$2:$B$2918,MATCH($A1055,DKW_10Y!$A$2:$A$2918,1))-INDEX(DKW_10Y!$B$2:$B$2918,MATCH(Settings!$B$16,DKW_10Y!$A$2:$A$2918,1)))*100))</f>
        <v/>
      </c>
      <c r="Y1055" s="19">
        <f>IF(NOT(ISNUMBER($A1055)),NA(),IF(OR($A1055&lt;MIN(DKW_10Y!$A$2:$A$2918),$A1055&gt;MAX(DKW_10Y!$A$2:$A$2918),Settings!$B$16&lt;MIN(DKW_10Y!$A$2:$A$2918)),NA(),(INDEX(DKW_10Y!$C$2:$C$2918,MATCH($A1055,DKW_10Y!$A$2:$A$2918,1))-INDEX(DKW_10Y!$C$2:$C$2918,MATCH(Settings!$B$16,DKW_10Y!$A$2:$A$2918,1)))*100))</f>
        <v/>
      </c>
      <c r="Z1055" s="19">
        <f>IF(NOT(ISNUMBER($A1055)),NA(),IF(OR($A1055&lt;MIN(DKW_10Y!$A$2:$A$2918),$A1055&gt;MAX(DKW_10Y!$A$2:$A$2918),Settings!$B$16&lt;MIN(DKW_10Y!$A$2:$A$2918)),NA(),(INDEX(DKW_10Y!$D$2:$D$2918,MATCH($A1055,DKW_10Y!$A$2:$A$2918,1))-INDEX(DKW_10Y!$D$2:$D$2918,MATCH(Settings!$B$16,DKW_10Y!$A$2:$A$2918,1)))*100))</f>
        <v/>
      </c>
      <c r="AA1055" s="19">
        <f>IF(NOT(ISNUMBER($A1055)),NA(),IF(OR($A1055&lt;MIN(DKW_10Y!$A$2:$A$2918),$A1055&gt;MAX(DKW_10Y!$A$2:$A$2918),Settings!$B$16&lt;MIN(DKW_10Y!$A$2:$A$2918)),NA(),(INDEX(DKW_10Y!$E$2:$E$2918,MATCH($A1055,DKW_10Y!$A$2:$A$2918,1))-INDEX(DKW_10Y!$E$2:$E$2918,MATCH(Settings!$B$16,DKW_10Y!$A$2:$A$2918,1)))*100))</f>
        <v/>
      </c>
      <c r="AB1055" s="19">
        <f>IF(NOT(ISNUMBER($A1055)),NA(),IF(OR($A1055&lt;MIN(DKW_10Y!$A$2:$A$2918),$A1055&gt;MAX(DKW_10Y!$A$2:$A$2918),Settings!$B$16&lt;MIN(DKW_10Y!$A$2:$A$2918)),NA(),(INDEX(DKW_10Y!$H$2:$H$2918,MATCH($A1055,DKW_10Y!$A$2:$A$2918,1))-INDEX(DKW_10Y!$H$2:$H$2918,MATCH(Settings!$B$16,DKW_10Y!$A$2:$A$2918,1)))*100))</f>
        <v/>
      </c>
      <c r="AC1055" s="18">
        <f>IF(NOT(ISNUMBER($A1055)),NA(),IFERROR(1*INDEX(BBG_Data!$N$2:$N$4000,MATCH($A1055,BBG_Data!$M$2:$M$4000,0)),NA()))</f>
        <v/>
      </c>
      <c r="AD1055" s="18">
        <f>IF(NOT(ISNUMBER($A1055)),NA(),IFERROR(1*INDEX(BBG_Data!$P$2:$P$4000,MATCH($A1055,BBG_Data!$O$2:$O$4000,0)),NA()))</f>
        <v/>
      </c>
      <c r="AE1055" s="18">
        <f>IF(NOT(ISNUMBER($A1055)),NA(),IFERROR(1*INDEX(BBG_Data!$R$2:$R$4000,MATCH($A1055,BBG_Data!$Q$2:$Q$4000,0)),NA()))</f>
        <v/>
      </c>
      <c r="AF1055" s="20">
        <f>IF(AND(ISNUMBER(B1055),ISNUMBER(AC1055)),(B1055-AC1055)*100,NA())</f>
        <v/>
      </c>
      <c r="AG1055" s="20">
        <f>IF(AND(ISNUMBER(AE1055),ISNUMBER(AD1055)),(AE1055-AD1055)*100,NA())</f>
        <v/>
      </c>
      <c r="AH1055" s="19">
        <f>IF(NOT(ISNUMBER($A1055)),NA(),IFERROR(INDEX(BBG_Data!$T$2:$T$4000,MATCH($A1055,BBG_Data!$S$2:$S$4000,0))*Settings!$B$25,NA()))</f>
        <v/>
      </c>
      <c r="AI1055" s="19">
        <f>IF(NOT(ISNUMBER($A1055)),NA(),IFERROR(INDEX(BBG_Data!$V$2:$V$4000,MATCH($A1055,BBG_Data!$U$2:$U$4000,0))*Settings!$B$25,NA()))</f>
        <v/>
      </c>
      <c r="AJ1055" s="19">
        <f>IF(NOT(ISNUMBER($A1055)),NA(),IFERROR(1*INDEX(BBG_Data!$X$2:$X$4000,MATCH($A1055,BBG_Data!$W$2:$W$4000,0)),NA()))</f>
        <v/>
      </c>
      <c r="AK1055" s="19">
        <f>IF(NOT(ISNUMBER($A1055)),NA(),IFERROR(1*INDEX(BBG_Data!$Z$2:$Z$4000,MATCH($A1055,BBG_Data!$Y$2:$Y$4000,0)),NA()))</f>
        <v/>
      </c>
    </row>
    <row r="1056">
      <c r="A1056" s="17">
        <f>IF(ISNUMBER(BBG_Data!A1056),BBG_Data!A1056,"")</f>
        <v/>
      </c>
      <c r="B1056" s="18">
        <f>IF(AND(ISNUMBER($A1056),ISNUMBER(BBG_Data!B1056)),BBG_Data!B1056,NA())</f>
        <v/>
      </c>
      <c r="C1056" s="18">
        <f>IF(NOT(ISNUMBER($A1056)),NA(),IFERROR(1*INDEX(BBG_Data!$D$2:$D$4000,MATCH($A1056,BBG_Data!$C$2:$C$4000,0)),NA()))</f>
        <v/>
      </c>
      <c r="D1056" s="19">
        <f>IF(NOT(ISNUMBER($A1056)),NA(),IFERROR(1*INDEX(BBG_Data!$F$2:$F$4000,MATCH($A1056,BBG_Data!$E$2:$E$4000,0)),NA()))</f>
        <v/>
      </c>
      <c r="E1056" s="19">
        <f>IF(NOT(ISNUMBER($A1056)),NA(),IFERROR(1*INDEX(BBG_Data!$H$2:$H$4000,MATCH($A1056,BBG_Data!$G$2:$G$4000,0)),NA()))</f>
        <v/>
      </c>
      <c r="F1056" s="20">
        <f>IF(AND(ISNUMBER(B1056),ISNUMBER(B1055)),IF(B1056=B1055,"",(B1056-B1055)*100),"")</f>
        <v/>
      </c>
      <c r="G1056" s="20">
        <f>IF(AND(ISNUMBER(C1056),ISNUMBER(C1055)),IF(C1056=C1055,"",(C1056-C1055)*100),"")</f>
        <v/>
      </c>
      <c r="H1056" s="20">
        <f>IF(OR(NOT(ISNUMBER($A1056)),ROW()-2&lt;Settings!$B$11),NA(),IF(COUNT(OFFSET(F1056,1-Settings!$B$11,0,Settings!$B$11,1))&lt;ROUNDUP(Settings!$B$11*Settings!$B$26,0),NA(),STDEV(OFFSET(F1056,1-Settings!$B$11,0,Settings!$B$11,1))*SQRT(Settings!$B$13)))</f>
        <v/>
      </c>
      <c r="I1056" s="20">
        <f>IF(OR(NOT(ISNUMBER($A1056)),ROW()-2&lt;Settings!$B$12),NA(),IF(COUNT(OFFSET(F1056,1-Settings!$B$12,0,Settings!$B$12,1))&lt;ROUNDUP(Settings!$B$12*Settings!$B$26,0),NA(),STDEV(OFFSET(F1056,1-Settings!$B$12,0,Settings!$B$12,1))*SQRT(Settings!$B$13)))</f>
        <v/>
      </c>
      <c r="J1056" s="20">
        <f>IF(OR(NOT(ISNUMBER($A1056)),ROW()-2&lt;Settings!$B$11),NA(),IF(COUNT(OFFSET(G1056,1-Settings!$B$11,0,Settings!$B$11,1))&lt;ROUNDUP(Settings!$B$11*Settings!$B$26,0),NA(),STDEV(OFFSET(G1056,1-Settings!$B$11,0,Settings!$B$11,1))*SQRT(Settings!$B$13)))</f>
        <v/>
      </c>
      <c r="K1056" s="20">
        <f>IF(OR(NOT(ISNUMBER($A1056)),ROW()-2&lt;Settings!$B$12),NA(),IF(COUNT(OFFSET(G1056,1-Settings!$B$12,0,Settings!$B$12,1))&lt;ROUNDUP(Settings!$B$12*Settings!$B$26,0),NA(),STDEV(OFFSET(G1056,1-Settings!$B$12,0,Settings!$B$12,1))*SQRT(Settings!$B$13)))</f>
        <v/>
      </c>
      <c r="L1056" s="20">
        <f>IF(AND(ISNUMBER(D1056),ISNUMBER(H1056)),D1056-H1056,NA())</f>
        <v/>
      </c>
      <c r="M1056" s="20">
        <f>IF(AND(ISNUMBER(E1056),ISNUMBER(K1056)),E1056-K1056,NA())</f>
        <v/>
      </c>
      <c r="N1056" s="20">
        <f>IF(NOT(ISNUMBER($A1056)),NA(),IF(COUNT(OFFSET(G1056,1,0,Settings!$B$12,1))&lt;ROUNDUP(Settings!$B$12*Settings!$B$26,0),NA(),STDEV(OFFSET(G1056,1,0,Settings!$B$12,1))*SQRT(Settings!$B$13)))</f>
        <v/>
      </c>
      <c r="O1056" s="20">
        <f>IF(AND(ISNUMBER(E1056),ISNUMBER(N1056)),E1056-N1056,NA())</f>
        <v/>
      </c>
      <c r="P1056" s="19">
        <f>IF(NOT(ISNUMBER($A1056)),NA(),IF(OR($A1056&lt;MIN(KW_TP!$A$2:$A$2501),$A1056&gt;MAX(KW_TP!$A$2:$A$2501)),NA(),INDEX(KW_TP!$C$2:$C$2501,MATCH($A1056,KW_TP!$A$2:$A$2501,1))))</f>
        <v/>
      </c>
      <c r="Q1056" s="18">
        <f>IF(NOT(ISNUMBER($A1056)),NA(),IFERROR(1*INDEX(BBG_Data!$J$2:$J$4000,MATCH($A1056,BBG_Data!$I$2:$I$4000,0)),NA()))</f>
        <v/>
      </c>
      <c r="R1056" s="18">
        <f>IF(NOT(ISNUMBER($A1056)),NA(),IFERROR(1*INDEX(BBG_Data!$L$2:$L$4000,MATCH($A1056,BBG_Data!$K$2:$K$4000,0)),NA()))</f>
        <v/>
      </c>
      <c r="S1056" s="20">
        <f>IF(AND(ISNUMBER(B1056),ISNUMBER(Q1056),ISNUMBER(R1056)),(B1056-Q1056-R1056)*100,NA())</f>
        <v/>
      </c>
      <c r="T1056" s="20">
        <f>IF(AND(ISNUMBER(B1056),Settings!$B$17&gt;0),IF(ISNUMBER(INDEX($B:$B,Settings!$B$17)),(B1056-INDEX($B:$B,Settings!$B$17))*100,NA()),NA())</f>
        <v/>
      </c>
      <c r="U1056" s="20">
        <f>IF(AND(ISNUMBER(Q1056),Settings!$B$17&gt;0),IF(ISNUMBER(INDEX($Q:$Q,Settings!$B$17)),(Q1056-INDEX($Q:$Q,Settings!$B$17))*100,NA()),NA())</f>
        <v/>
      </c>
      <c r="V1056" s="20">
        <f>IF(AND(ISNUMBER(R1056),Settings!$B$17&gt;0),IF(ISNUMBER(INDEX($R:$R,Settings!$B$17)),(R1056-INDEX($R:$R,Settings!$B$17))*100,NA()),NA())</f>
        <v/>
      </c>
      <c r="W1056" s="20">
        <f>IF(AND(ISNUMBER(P1056),Settings!$B$17&gt;0),IF(ISNUMBER(INDEX($P:$P,Settings!$B$17)),P1056-INDEX($P:$P,Settings!$B$17),NA()),NA())</f>
        <v/>
      </c>
      <c r="X1056" s="19">
        <f>IF(NOT(ISNUMBER($A1056)),NA(),IF(OR($A1056&lt;MIN(DKW_10Y!$A$2:$A$2918),$A1056&gt;MAX(DKW_10Y!$A$2:$A$2918),Settings!$B$16&lt;MIN(DKW_10Y!$A$2:$A$2918)),NA(),(INDEX(DKW_10Y!$B$2:$B$2918,MATCH($A1056,DKW_10Y!$A$2:$A$2918,1))-INDEX(DKW_10Y!$B$2:$B$2918,MATCH(Settings!$B$16,DKW_10Y!$A$2:$A$2918,1)))*100))</f>
        <v/>
      </c>
      <c r="Y1056" s="19">
        <f>IF(NOT(ISNUMBER($A1056)),NA(),IF(OR($A1056&lt;MIN(DKW_10Y!$A$2:$A$2918),$A1056&gt;MAX(DKW_10Y!$A$2:$A$2918),Settings!$B$16&lt;MIN(DKW_10Y!$A$2:$A$2918)),NA(),(INDEX(DKW_10Y!$C$2:$C$2918,MATCH($A1056,DKW_10Y!$A$2:$A$2918,1))-INDEX(DKW_10Y!$C$2:$C$2918,MATCH(Settings!$B$16,DKW_10Y!$A$2:$A$2918,1)))*100))</f>
        <v/>
      </c>
      <c r="Z1056" s="19">
        <f>IF(NOT(ISNUMBER($A1056)),NA(),IF(OR($A1056&lt;MIN(DKW_10Y!$A$2:$A$2918),$A1056&gt;MAX(DKW_10Y!$A$2:$A$2918),Settings!$B$16&lt;MIN(DKW_10Y!$A$2:$A$2918)),NA(),(INDEX(DKW_10Y!$D$2:$D$2918,MATCH($A1056,DKW_10Y!$A$2:$A$2918,1))-INDEX(DKW_10Y!$D$2:$D$2918,MATCH(Settings!$B$16,DKW_10Y!$A$2:$A$2918,1)))*100))</f>
        <v/>
      </c>
      <c r="AA1056" s="19">
        <f>IF(NOT(ISNUMBER($A1056)),NA(),IF(OR($A1056&lt;MIN(DKW_10Y!$A$2:$A$2918),$A1056&gt;MAX(DKW_10Y!$A$2:$A$2918),Settings!$B$16&lt;MIN(DKW_10Y!$A$2:$A$2918)),NA(),(INDEX(DKW_10Y!$E$2:$E$2918,MATCH($A1056,DKW_10Y!$A$2:$A$2918,1))-INDEX(DKW_10Y!$E$2:$E$2918,MATCH(Settings!$B$16,DKW_10Y!$A$2:$A$2918,1)))*100))</f>
        <v/>
      </c>
      <c r="AB1056" s="19">
        <f>IF(NOT(ISNUMBER($A1056)),NA(),IF(OR($A1056&lt;MIN(DKW_10Y!$A$2:$A$2918),$A1056&gt;MAX(DKW_10Y!$A$2:$A$2918),Settings!$B$16&lt;MIN(DKW_10Y!$A$2:$A$2918)),NA(),(INDEX(DKW_10Y!$H$2:$H$2918,MATCH($A1056,DKW_10Y!$A$2:$A$2918,1))-INDEX(DKW_10Y!$H$2:$H$2918,MATCH(Settings!$B$16,DKW_10Y!$A$2:$A$2918,1)))*100))</f>
        <v/>
      </c>
      <c r="AC1056" s="18">
        <f>IF(NOT(ISNUMBER($A1056)),NA(),IFERROR(1*INDEX(BBG_Data!$N$2:$N$4000,MATCH($A1056,BBG_Data!$M$2:$M$4000,0)),NA()))</f>
        <v/>
      </c>
      <c r="AD1056" s="18">
        <f>IF(NOT(ISNUMBER($A1056)),NA(),IFERROR(1*INDEX(BBG_Data!$P$2:$P$4000,MATCH($A1056,BBG_Data!$O$2:$O$4000,0)),NA()))</f>
        <v/>
      </c>
      <c r="AE1056" s="18">
        <f>IF(NOT(ISNUMBER($A1056)),NA(),IFERROR(1*INDEX(BBG_Data!$R$2:$R$4000,MATCH($A1056,BBG_Data!$Q$2:$Q$4000,0)),NA()))</f>
        <v/>
      </c>
      <c r="AF1056" s="20">
        <f>IF(AND(ISNUMBER(B1056),ISNUMBER(AC1056)),(B1056-AC1056)*100,NA())</f>
        <v/>
      </c>
      <c r="AG1056" s="20">
        <f>IF(AND(ISNUMBER(AE1056),ISNUMBER(AD1056)),(AE1056-AD1056)*100,NA())</f>
        <v/>
      </c>
      <c r="AH1056" s="19">
        <f>IF(NOT(ISNUMBER($A1056)),NA(),IFERROR(INDEX(BBG_Data!$T$2:$T$4000,MATCH($A1056,BBG_Data!$S$2:$S$4000,0))*Settings!$B$25,NA()))</f>
        <v/>
      </c>
      <c r="AI1056" s="19">
        <f>IF(NOT(ISNUMBER($A1056)),NA(),IFERROR(INDEX(BBG_Data!$V$2:$V$4000,MATCH($A1056,BBG_Data!$U$2:$U$4000,0))*Settings!$B$25,NA()))</f>
        <v/>
      </c>
      <c r="AJ1056" s="19">
        <f>IF(NOT(ISNUMBER($A1056)),NA(),IFERROR(1*INDEX(BBG_Data!$X$2:$X$4000,MATCH($A1056,BBG_Data!$W$2:$W$4000,0)),NA()))</f>
        <v/>
      </c>
      <c r="AK1056" s="19">
        <f>IF(NOT(ISNUMBER($A1056)),NA(),IFERROR(1*INDEX(BBG_Data!$Z$2:$Z$4000,MATCH($A1056,BBG_Data!$Y$2:$Y$4000,0)),NA()))</f>
        <v/>
      </c>
    </row>
    <row r="1057">
      <c r="A1057" s="17">
        <f>IF(ISNUMBER(BBG_Data!A1057),BBG_Data!A1057,"")</f>
        <v/>
      </c>
      <c r="B1057" s="18">
        <f>IF(AND(ISNUMBER($A1057),ISNUMBER(BBG_Data!B1057)),BBG_Data!B1057,NA())</f>
        <v/>
      </c>
      <c r="C1057" s="18">
        <f>IF(NOT(ISNUMBER($A1057)),NA(),IFERROR(1*INDEX(BBG_Data!$D$2:$D$4000,MATCH($A1057,BBG_Data!$C$2:$C$4000,0)),NA()))</f>
        <v/>
      </c>
      <c r="D1057" s="19">
        <f>IF(NOT(ISNUMBER($A1057)),NA(),IFERROR(1*INDEX(BBG_Data!$F$2:$F$4000,MATCH($A1057,BBG_Data!$E$2:$E$4000,0)),NA()))</f>
        <v/>
      </c>
      <c r="E1057" s="19">
        <f>IF(NOT(ISNUMBER($A1057)),NA(),IFERROR(1*INDEX(BBG_Data!$H$2:$H$4000,MATCH($A1057,BBG_Data!$G$2:$G$4000,0)),NA()))</f>
        <v/>
      </c>
      <c r="F1057" s="20">
        <f>IF(AND(ISNUMBER(B1057),ISNUMBER(B1056)),IF(B1057=B1056,"",(B1057-B1056)*100),"")</f>
        <v/>
      </c>
      <c r="G1057" s="20">
        <f>IF(AND(ISNUMBER(C1057),ISNUMBER(C1056)),IF(C1057=C1056,"",(C1057-C1056)*100),"")</f>
        <v/>
      </c>
      <c r="H1057" s="20">
        <f>IF(OR(NOT(ISNUMBER($A1057)),ROW()-2&lt;Settings!$B$11),NA(),IF(COUNT(OFFSET(F1057,1-Settings!$B$11,0,Settings!$B$11,1))&lt;ROUNDUP(Settings!$B$11*Settings!$B$26,0),NA(),STDEV(OFFSET(F1057,1-Settings!$B$11,0,Settings!$B$11,1))*SQRT(Settings!$B$13)))</f>
        <v/>
      </c>
      <c r="I1057" s="20">
        <f>IF(OR(NOT(ISNUMBER($A1057)),ROW()-2&lt;Settings!$B$12),NA(),IF(COUNT(OFFSET(F1057,1-Settings!$B$12,0,Settings!$B$12,1))&lt;ROUNDUP(Settings!$B$12*Settings!$B$26,0),NA(),STDEV(OFFSET(F1057,1-Settings!$B$12,0,Settings!$B$12,1))*SQRT(Settings!$B$13)))</f>
        <v/>
      </c>
      <c r="J1057" s="20">
        <f>IF(OR(NOT(ISNUMBER($A1057)),ROW()-2&lt;Settings!$B$11),NA(),IF(COUNT(OFFSET(G1057,1-Settings!$B$11,0,Settings!$B$11,1))&lt;ROUNDUP(Settings!$B$11*Settings!$B$26,0),NA(),STDEV(OFFSET(G1057,1-Settings!$B$11,0,Settings!$B$11,1))*SQRT(Settings!$B$13)))</f>
        <v/>
      </c>
      <c r="K1057" s="20">
        <f>IF(OR(NOT(ISNUMBER($A1057)),ROW()-2&lt;Settings!$B$12),NA(),IF(COUNT(OFFSET(G1057,1-Settings!$B$12,0,Settings!$B$12,1))&lt;ROUNDUP(Settings!$B$12*Settings!$B$26,0),NA(),STDEV(OFFSET(G1057,1-Settings!$B$12,0,Settings!$B$12,1))*SQRT(Settings!$B$13)))</f>
        <v/>
      </c>
      <c r="L1057" s="20">
        <f>IF(AND(ISNUMBER(D1057),ISNUMBER(H1057)),D1057-H1057,NA())</f>
        <v/>
      </c>
      <c r="M1057" s="20">
        <f>IF(AND(ISNUMBER(E1057),ISNUMBER(K1057)),E1057-K1057,NA())</f>
        <v/>
      </c>
      <c r="N1057" s="20">
        <f>IF(NOT(ISNUMBER($A1057)),NA(),IF(COUNT(OFFSET(G1057,1,0,Settings!$B$12,1))&lt;ROUNDUP(Settings!$B$12*Settings!$B$26,0),NA(),STDEV(OFFSET(G1057,1,0,Settings!$B$12,1))*SQRT(Settings!$B$13)))</f>
        <v/>
      </c>
      <c r="O1057" s="20">
        <f>IF(AND(ISNUMBER(E1057),ISNUMBER(N1057)),E1057-N1057,NA())</f>
        <v/>
      </c>
      <c r="P1057" s="19">
        <f>IF(NOT(ISNUMBER($A1057)),NA(),IF(OR($A1057&lt;MIN(KW_TP!$A$2:$A$2501),$A1057&gt;MAX(KW_TP!$A$2:$A$2501)),NA(),INDEX(KW_TP!$C$2:$C$2501,MATCH($A1057,KW_TP!$A$2:$A$2501,1))))</f>
        <v/>
      </c>
      <c r="Q1057" s="18">
        <f>IF(NOT(ISNUMBER($A1057)),NA(),IFERROR(1*INDEX(BBG_Data!$J$2:$J$4000,MATCH($A1057,BBG_Data!$I$2:$I$4000,0)),NA()))</f>
        <v/>
      </c>
      <c r="R1057" s="18">
        <f>IF(NOT(ISNUMBER($A1057)),NA(),IFERROR(1*INDEX(BBG_Data!$L$2:$L$4000,MATCH($A1057,BBG_Data!$K$2:$K$4000,0)),NA()))</f>
        <v/>
      </c>
      <c r="S1057" s="20">
        <f>IF(AND(ISNUMBER(B1057),ISNUMBER(Q1057),ISNUMBER(R1057)),(B1057-Q1057-R1057)*100,NA())</f>
        <v/>
      </c>
      <c r="T1057" s="20">
        <f>IF(AND(ISNUMBER(B1057),Settings!$B$17&gt;0),IF(ISNUMBER(INDEX($B:$B,Settings!$B$17)),(B1057-INDEX($B:$B,Settings!$B$17))*100,NA()),NA())</f>
        <v/>
      </c>
      <c r="U1057" s="20">
        <f>IF(AND(ISNUMBER(Q1057),Settings!$B$17&gt;0),IF(ISNUMBER(INDEX($Q:$Q,Settings!$B$17)),(Q1057-INDEX($Q:$Q,Settings!$B$17))*100,NA()),NA())</f>
        <v/>
      </c>
      <c r="V1057" s="20">
        <f>IF(AND(ISNUMBER(R1057),Settings!$B$17&gt;0),IF(ISNUMBER(INDEX($R:$R,Settings!$B$17)),(R1057-INDEX($R:$R,Settings!$B$17))*100,NA()),NA())</f>
        <v/>
      </c>
      <c r="W1057" s="20">
        <f>IF(AND(ISNUMBER(P1057),Settings!$B$17&gt;0),IF(ISNUMBER(INDEX($P:$P,Settings!$B$17)),P1057-INDEX($P:$P,Settings!$B$17),NA()),NA())</f>
        <v/>
      </c>
      <c r="X1057" s="19">
        <f>IF(NOT(ISNUMBER($A1057)),NA(),IF(OR($A1057&lt;MIN(DKW_10Y!$A$2:$A$2918),$A1057&gt;MAX(DKW_10Y!$A$2:$A$2918),Settings!$B$16&lt;MIN(DKW_10Y!$A$2:$A$2918)),NA(),(INDEX(DKW_10Y!$B$2:$B$2918,MATCH($A1057,DKW_10Y!$A$2:$A$2918,1))-INDEX(DKW_10Y!$B$2:$B$2918,MATCH(Settings!$B$16,DKW_10Y!$A$2:$A$2918,1)))*100))</f>
        <v/>
      </c>
      <c r="Y1057" s="19">
        <f>IF(NOT(ISNUMBER($A1057)),NA(),IF(OR($A1057&lt;MIN(DKW_10Y!$A$2:$A$2918),$A1057&gt;MAX(DKW_10Y!$A$2:$A$2918),Settings!$B$16&lt;MIN(DKW_10Y!$A$2:$A$2918)),NA(),(INDEX(DKW_10Y!$C$2:$C$2918,MATCH($A1057,DKW_10Y!$A$2:$A$2918,1))-INDEX(DKW_10Y!$C$2:$C$2918,MATCH(Settings!$B$16,DKW_10Y!$A$2:$A$2918,1)))*100))</f>
        <v/>
      </c>
      <c r="Z1057" s="19">
        <f>IF(NOT(ISNUMBER($A1057)),NA(),IF(OR($A1057&lt;MIN(DKW_10Y!$A$2:$A$2918),$A1057&gt;MAX(DKW_10Y!$A$2:$A$2918),Settings!$B$16&lt;MIN(DKW_10Y!$A$2:$A$2918)),NA(),(INDEX(DKW_10Y!$D$2:$D$2918,MATCH($A1057,DKW_10Y!$A$2:$A$2918,1))-INDEX(DKW_10Y!$D$2:$D$2918,MATCH(Settings!$B$16,DKW_10Y!$A$2:$A$2918,1)))*100))</f>
        <v/>
      </c>
      <c r="AA1057" s="19">
        <f>IF(NOT(ISNUMBER($A1057)),NA(),IF(OR($A1057&lt;MIN(DKW_10Y!$A$2:$A$2918),$A1057&gt;MAX(DKW_10Y!$A$2:$A$2918),Settings!$B$16&lt;MIN(DKW_10Y!$A$2:$A$2918)),NA(),(INDEX(DKW_10Y!$E$2:$E$2918,MATCH($A1057,DKW_10Y!$A$2:$A$2918,1))-INDEX(DKW_10Y!$E$2:$E$2918,MATCH(Settings!$B$16,DKW_10Y!$A$2:$A$2918,1)))*100))</f>
        <v/>
      </c>
      <c r="AB1057" s="19">
        <f>IF(NOT(ISNUMBER($A1057)),NA(),IF(OR($A1057&lt;MIN(DKW_10Y!$A$2:$A$2918),$A1057&gt;MAX(DKW_10Y!$A$2:$A$2918),Settings!$B$16&lt;MIN(DKW_10Y!$A$2:$A$2918)),NA(),(INDEX(DKW_10Y!$H$2:$H$2918,MATCH($A1057,DKW_10Y!$A$2:$A$2918,1))-INDEX(DKW_10Y!$H$2:$H$2918,MATCH(Settings!$B$16,DKW_10Y!$A$2:$A$2918,1)))*100))</f>
        <v/>
      </c>
      <c r="AC1057" s="18">
        <f>IF(NOT(ISNUMBER($A1057)),NA(),IFERROR(1*INDEX(BBG_Data!$N$2:$N$4000,MATCH($A1057,BBG_Data!$M$2:$M$4000,0)),NA()))</f>
        <v/>
      </c>
      <c r="AD1057" s="18">
        <f>IF(NOT(ISNUMBER($A1057)),NA(),IFERROR(1*INDEX(BBG_Data!$P$2:$P$4000,MATCH($A1057,BBG_Data!$O$2:$O$4000,0)),NA()))</f>
        <v/>
      </c>
      <c r="AE1057" s="18">
        <f>IF(NOT(ISNUMBER($A1057)),NA(),IFERROR(1*INDEX(BBG_Data!$R$2:$R$4000,MATCH($A1057,BBG_Data!$Q$2:$Q$4000,0)),NA()))</f>
        <v/>
      </c>
      <c r="AF1057" s="20">
        <f>IF(AND(ISNUMBER(B1057),ISNUMBER(AC1057)),(B1057-AC1057)*100,NA())</f>
        <v/>
      </c>
      <c r="AG1057" s="20">
        <f>IF(AND(ISNUMBER(AE1057),ISNUMBER(AD1057)),(AE1057-AD1057)*100,NA())</f>
        <v/>
      </c>
      <c r="AH1057" s="19">
        <f>IF(NOT(ISNUMBER($A1057)),NA(),IFERROR(INDEX(BBG_Data!$T$2:$T$4000,MATCH($A1057,BBG_Data!$S$2:$S$4000,0))*Settings!$B$25,NA()))</f>
        <v/>
      </c>
      <c r="AI1057" s="19">
        <f>IF(NOT(ISNUMBER($A1057)),NA(),IFERROR(INDEX(BBG_Data!$V$2:$V$4000,MATCH($A1057,BBG_Data!$U$2:$U$4000,0))*Settings!$B$25,NA()))</f>
        <v/>
      </c>
      <c r="AJ1057" s="19">
        <f>IF(NOT(ISNUMBER($A1057)),NA(),IFERROR(1*INDEX(BBG_Data!$X$2:$X$4000,MATCH($A1057,BBG_Data!$W$2:$W$4000,0)),NA()))</f>
        <v/>
      </c>
      <c r="AK1057" s="19">
        <f>IF(NOT(ISNUMBER($A1057)),NA(),IFERROR(1*INDEX(BBG_Data!$Z$2:$Z$4000,MATCH($A1057,BBG_Data!$Y$2:$Y$4000,0)),NA()))</f>
        <v/>
      </c>
    </row>
    <row r="1058">
      <c r="A1058" s="17">
        <f>IF(ISNUMBER(BBG_Data!A1058),BBG_Data!A1058,"")</f>
        <v/>
      </c>
      <c r="B1058" s="18">
        <f>IF(AND(ISNUMBER($A1058),ISNUMBER(BBG_Data!B1058)),BBG_Data!B1058,NA())</f>
        <v/>
      </c>
      <c r="C1058" s="18">
        <f>IF(NOT(ISNUMBER($A1058)),NA(),IFERROR(1*INDEX(BBG_Data!$D$2:$D$4000,MATCH($A1058,BBG_Data!$C$2:$C$4000,0)),NA()))</f>
        <v/>
      </c>
      <c r="D1058" s="19">
        <f>IF(NOT(ISNUMBER($A1058)),NA(),IFERROR(1*INDEX(BBG_Data!$F$2:$F$4000,MATCH($A1058,BBG_Data!$E$2:$E$4000,0)),NA()))</f>
        <v/>
      </c>
      <c r="E1058" s="19">
        <f>IF(NOT(ISNUMBER($A1058)),NA(),IFERROR(1*INDEX(BBG_Data!$H$2:$H$4000,MATCH($A1058,BBG_Data!$G$2:$G$4000,0)),NA()))</f>
        <v/>
      </c>
      <c r="F1058" s="20">
        <f>IF(AND(ISNUMBER(B1058),ISNUMBER(B1057)),IF(B1058=B1057,"",(B1058-B1057)*100),"")</f>
        <v/>
      </c>
      <c r="G1058" s="20">
        <f>IF(AND(ISNUMBER(C1058),ISNUMBER(C1057)),IF(C1058=C1057,"",(C1058-C1057)*100),"")</f>
        <v/>
      </c>
      <c r="H1058" s="20">
        <f>IF(OR(NOT(ISNUMBER($A1058)),ROW()-2&lt;Settings!$B$11),NA(),IF(COUNT(OFFSET(F1058,1-Settings!$B$11,0,Settings!$B$11,1))&lt;ROUNDUP(Settings!$B$11*Settings!$B$26,0),NA(),STDEV(OFFSET(F1058,1-Settings!$B$11,0,Settings!$B$11,1))*SQRT(Settings!$B$13)))</f>
        <v/>
      </c>
      <c r="I1058" s="20">
        <f>IF(OR(NOT(ISNUMBER($A1058)),ROW()-2&lt;Settings!$B$12),NA(),IF(COUNT(OFFSET(F1058,1-Settings!$B$12,0,Settings!$B$12,1))&lt;ROUNDUP(Settings!$B$12*Settings!$B$26,0),NA(),STDEV(OFFSET(F1058,1-Settings!$B$12,0,Settings!$B$12,1))*SQRT(Settings!$B$13)))</f>
        <v/>
      </c>
      <c r="J1058" s="20">
        <f>IF(OR(NOT(ISNUMBER($A1058)),ROW()-2&lt;Settings!$B$11),NA(),IF(COUNT(OFFSET(G1058,1-Settings!$B$11,0,Settings!$B$11,1))&lt;ROUNDUP(Settings!$B$11*Settings!$B$26,0),NA(),STDEV(OFFSET(G1058,1-Settings!$B$11,0,Settings!$B$11,1))*SQRT(Settings!$B$13)))</f>
        <v/>
      </c>
      <c r="K1058" s="20">
        <f>IF(OR(NOT(ISNUMBER($A1058)),ROW()-2&lt;Settings!$B$12),NA(),IF(COUNT(OFFSET(G1058,1-Settings!$B$12,0,Settings!$B$12,1))&lt;ROUNDUP(Settings!$B$12*Settings!$B$26,0),NA(),STDEV(OFFSET(G1058,1-Settings!$B$12,0,Settings!$B$12,1))*SQRT(Settings!$B$13)))</f>
        <v/>
      </c>
      <c r="L1058" s="20">
        <f>IF(AND(ISNUMBER(D1058),ISNUMBER(H1058)),D1058-H1058,NA())</f>
        <v/>
      </c>
      <c r="M1058" s="20">
        <f>IF(AND(ISNUMBER(E1058),ISNUMBER(K1058)),E1058-K1058,NA())</f>
        <v/>
      </c>
      <c r="N1058" s="20">
        <f>IF(NOT(ISNUMBER($A1058)),NA(),IF(COUNT(OFFSET(G1058,1,0,Settings!$B$12,1))&lt;ROUNDUP(Settings!$B$12*Settings!$B$26,0),NA(),STDEV(OFFSET(G1058,1,0,Settings!$B$12,1))*SQRT(Settings!$B$13)))</f>
        <v/>
      </c>
      <c r="O1058" s="20">
        <f>IF(AND(ISNUMBER(E1058),ISNUMBER(N1058)),E1058-N1058,NA())</f>
        <v/>
      </c>
      <c r="P1058" s="19">
        <f>IF(NOT(ISNUMBER($A1058)),NA(),IF(OR($A1058&lt;MIN(KW_TP!$A$2:$A$2501),$A1058&gt;MAX(KW_TP!$A$2:$A$2501)),NA(),INDEX(KW_TP!$C$2:$C$2501,MATCH($A1058,KW_TP!$A$2:$A$2501,1))))</f>
        <v/>
      </c>
      <c r="Q1058" s="18">
        <f>IF(NOT(ISNUMBER($A1058)),NA(),IFERROR(1*INDEX(BBG_Data!$J$2:$J$4000,MATCH($A1058,BBG_Data!$I$2:$I$4000,0)),NA()))</f>
        <v/>
      </c>
      <c r="R1058" s="18">
        <f>IF(NOT(ISNUMBER($A1058)),NA(),IFERROR(1*INDEX(BBG_Data!$L$2:$L$4000,MATCH($A1058,BBG_Data!$K$2:$K$4000,0)),NA()))</f>
        <v/>
      </c>
      <c r="S1058" s="20">
        <f>IF(AND(ISNUMBER(B1058),ISNUMBER(Q1058),ISNUMBER(R1058)),(B1058-Q1058-R1058)*100,NA())</f>
        <v/>
      </c>
      <c r="T1058" s="20">
        <f>IF(AND(ISNUMBER(B1058),Settings!$B$17&gt;0),IF(ISNUMBER(INDEX($B:$B,Settings!$B$17)),(B1058-INDEX($B:$B,Settings!$B$17))*100,NA()),NA())</f>
        <v/>
      </c>
      <c r="U1058" s="20">
        <f>IF(AND(ISNUMBER(Q1058),Settings!$B$17&gt;0),IF(ISNUMBER(INDEX($Q:$Q,Settings!$B$17)),(Q1058-INDEX($Q:$Q,Settings!$B$17))*100,NA()),NA())</f>
        <v/>
      </c>
      <c r="V1058" s="20">
        <f>IF(AND(ISNUMBER(R1058),Settings!$B$17&gt;0),IF(ISNUMBER(INDEX($R:$R,Settings!$B$17)),(R1058-INDEX($R:$R,Settings!$B$17))*100,NA()),NA())</f>
        <v/>
      </c>
      <c r="W1058" s="20">
        <f>IF(AND(ISNUMBER(P1058),Settings!$B$17&gt;0),IF(ISNUMBER(INDEX($P:$P,Settings!$B$17)),P1058-INDEX($P:$P,Settings!$B$17),NA()),NA())</f>
        <v/>
      </c>
      <c r="X1058" s="19">
        <f>IF(NOT(ISNUMBER($A1058)),NA(),IF(OR($A1058&lt;MIN(DKW_10Y!$A$2:$A$2918),$A1058&gt;MAX(DKW_10Y!$A$2:$A$2918),Settings!$B$16&lt;MIN(DKW_10Y!$A$2:$A$2918)),NA(),(INDEX(DKW_10Y!$B$2:$B$2918,MATCH($A1058,DKW_10Y!$A$2:$A$2918,1))-INDEX(DKW_10Y!$B$2:$B$2918,MATCH(Settings!$B$16,DKW_10Y!$A$2:$A$2918,1)))*100))</f>
        <v/>
      </c>
      <c r="Y1058" s="19">
        <f>IF(NOT(ISNUMBER($A1058)),NA(),IF(OR($A1058&lt;MIN(DKW_10Y!$A$2:$A$2918),$A1058&gt;MAX(DKW_10Y!$A$2:$A$2918),Settings!$B$16&lt;MIN(DKW_10Y!$A$2:$A$2918)),NA(),(INDEX(DKW_10Y!$C$2:$C$2918,MATCH($A1058,DKW_10Y!$A$2:$A$2918,1))-INDEX(DKW_10Y!$C$2:$C$2918,MATCH(Settings!$B$16,DKW_10Y!$A$2:$A$2918,1)))*100))</f>
        <v/>
      </c>
      <c r="Z1058" s="19">
        <f>IF(NOT(ISNUMBER($A1058)),NA(),IF(OR($A1058&lt;MIN(DKW_10Y!$A$2:$A$2918),$A1058&gt;MAX(DKW_10Y!$A$2:$A$2918),Settings!$B$16&lt;MIN(DKW_10Y!$A$2:$A$2918)),NA(),(INDEX(DKW_10Y!$D$2:$D$2918,MATCH($A1058,DKW_10Y!$A$2:$A$2918,1))-INDEX(DKW_10Y!$D$2:$D$2918,MATCH(Settings!$B$16,DKW_10Y!$A$2:$A$2918,1)))*100))</f>
        <v/>
      </c>
      <c r="AA1058" s="19">
        <f>IF(NOT(ISNUMBER($A1058)),NA(),IF(OR($A1058&lt;MIN(DKW_10Y!$A$2:$A$2918),$A1058&gt;MAX(DKW_10Y!$A$2:$A$2918),Settings!$B$16&lt;MIN(DKW_10Y!$A$2:$A$2918)),NA(),(INDEX(DKW_10Y!$E$2:$E$2918,MATCH($A1058,DKW_10Y!$A$2:$A$2918,1))-INDEX(DKW_10Y!$E$2:$E$2918,MATCH(Settings!$B$16,DKW_10Y!$A$2:$A$2918,1)))*100))</f>
        <v/>
      </c>
      <c r="AB1058" s="19">
        <f>IF(NOT(ISNUMBER($A1058)),NA(),IF(OR($A1058&lt;MIN(DKW_10Y!$A$2:$A$2918),$A1058&gt;MAX(DKW_10Y!$A$2:$A$2918),Settings!$B$16&lt;MIN(DKW_10Y!$A$2:$A$2918)),NA(),(INDEX(DKW_10Y!$H$2:$H$2918,MATCH($A1058,DKW_10Y!$A$2:$A$2918,1))-INDEX(DKW_10Y!$H$2:$H$2918,MATCH(Settings!$B$16,DKW_10Y!$A$2:$A$2918,1)))*100))</f>
        <v/>
      </c>
      <c r="AC1058" s="18">
        <f>IF(NOT(ISNUMBER($A1058)),NA(),IFERROR(1*INDEX(BBG_Data!$N$2:$N$4000,MATCH($A1058,BBG_Data!$M$2:$M$4000,0)),NA()))</f>
        <v/>
      </c>
      <c r="AD1058" s="18">
        <f>IF(NOT(ISNUMBER($A1058)),NA(),IFERROR(1*INDEX(BBG_Data!$P$2:$P$4000,MATCH($A1058,BBG_Data!$O$2:$O$4000,0)),NA()))</f>
        <v/>
      </c>
      <c r="AE1058" s="18">
        <f>IF(NOT(ISNUMBER($A1058)),NA(),IFERROR(1*INDEX(BBG_Data!$R$2:$R$4000,MATCH($A1058,BBG_Data!$Q$2:$Q$4000,0)),NA()))</f>
        <v/>
      </c>
      <c r="AF1058" s="20">
        <f>IF(AND(ISNUMBER(B1058),ISNUMBER(AC1058)),(B1058-AC1058)*100,NA())</f>
        <v/>
      </c>
      <c r="AG1058" s="20">
        <f>IF(AND(ISNUMBER(AE1058),ISNUMBER(AD1058)),(AE1058-AD1058)*100,NA())</f>
        <v/>
      </c>
      <c r="AH1058" s="19">
        <f>IF(NOT(ISNUMBER($A1058)),NA(),IFERROR(INDEX(BBG_Data!$T$2:$T$4000,MATCH($A1058,BBG_Data!$S$2:$S$4000,0))*Settings!$B$25,NA()))</f>
        <v/>
      </c>
      <c r="AI1058" s="19">
        <f>IF(NOT(ISNUMBER($A1058)),NA(),IFERROR(INDEX(BBG_Data!$V$2:$V$4000,MATCH($A1058,BBG_Data!$U$2:$U$4000,0))*Settings!$B$25,NA()))</f>
        <v/>
      </c>
      <c r="AJ1058" s="19">
        <f>IF(NOT(ISNUMBER($A1058)),NA(),IFERROR(1*INDEX(BBG_Data!$X$2:$X$4000,MATCH($A1058,BBG_Data!$W$2:$W$4000,0)),NA()))</f>
        <v/>
      </c>
      <c r="AK1058" s="19">
        <f>IF(NOT(ISNUMBER($A1058)),NA(),IFERROR(1*INDEX(BBG_Data!$Z$2:$Z$4000,MATCH($A1058,BBG_Data!$Y$2:$Y$4000,0)),NA()))</f>
        <v/>
      </c>
    </row>
    <row r="1059">
      <c r="A1059" s="17">
        <f>IF(ISNUMBER(BBG_Data!A1059),BBG_Data!A1059,"")</f>
        <v/>
      </c>
      <c r="B1059" s="18">
        <f>IF(AND(ISNUMBER($A1059),ISNUMBER(BBG_Data!B1059)),BBG_Data!B1059,NA())</f>
        <v/>
      </c>
      <c r="C1059" s="18">
        <f>IF(NOT(ISNUMBER($A1059)),NA(),IFERROR(1*INDEX(BBG_Data!$D$2:$D$4000,MATCH($A1059,BBG_Data!$C$2:$C$4000,0)),NA()))</f>
        <v/>
      </c>
      <c r="D1059" s="19">
        <f>IF(NOT(ISNUMBER($A1059)),NA(),IFERROR(1*INDEX(BBG_Data!$F$2:$F$4000,MATCH($A1059,BBG_Data!$E$2:$E$4000,0)),NA()))</f>
        <v/>
      </c>
      <c r="E1059" s="19">
        <f>IF(NOT(ISNUMBER($A1059)),NA(),IFERROR(1*INDEX(BBG_Data!$H$2:$H$4000,MATCH($A1059,BBG_Data!$G$2:$G$4000,0)),NA()))</f>
        <v/>
      </c>
      <c r="F1059" s="20">
        <f>IF(AND(ISNUMBER(B1059),ISNUMBER(B1058)),IF(B1059=B1058,"",(B1059-B1058)*100),"")</f>
        <v/>
      </c>
      <c r="G1059" s="20">
        <f>IF(AND(ISNUMBER(C1059),ISNUMBER(C1058)),IF(C1059=C1058,"",(C1059-C1058)*100),"")</f>
        <v/>
      </c>
      <c r="H1059" s="20">
        <f>IF(OR(NOT(ISNUMBER($A1059)),ROW()-2&lt;Settings!$B$11),NA(),IF(COUNT(OFFSET(F1059,1-Settings!$B$11,0,Settings!$B$11,1))&lt;ROUNDUP(Settings!$B$11*Settings!$B$26,0),NA(),STDEV(OFFSET(F1059,1-Settings!$B$11,0,Settings!$B$11,1))*SQRT(Settings!$B$13)))</f>
        <v/>
      </c>
      <c r="I1059" s="20">
        <f>IF(OR(NOT(ISNUMBER($A1059)),ROW()-2&lt;Settings!$B$12),NA(),IF(COUNT(OFFSET(F1059,1-Settings!$B$12,0,Settings!$B$12,1))&lt;ROUNDUP(Settings!$B$12*Settings!$B$26,0),NA(),STDEV(OFFSET(F1059,1-Settings!$B$12,0,Settings!$B$12,1))*SQRT(Settings!$B$13)))</f>
        <v/>
      </c>
      <c r="J1059" s="20">
        <f>IF(OR(NOT(ISNUMBER($A1059)),ROW()-2&lt;Settings!$B$11),NA(),IF(COUNT(OFFSET(G1059,1-Settings!$B$11,0,Settings!$B$11,1))&lt;ROUNDUP(Settings!$B$11*Settings!$B$26,0),NA(),STDEV(OFFSET(G1059,1-Settings!$B$11,0,Settings!$B$11,1))*SQRT(Settings!$B$13)))</f>
        <v/>
      </c>
      <c r="K1059" s="20">
        <f>IF(OR(NOT(ISNUMBER($A1059)),ROW()-2&lt;Settings!$B$12),NA(),IF(COUNT(OFFSET(G1059,1-Settings!$B$12,0,Settings!$B$12,1))&lt;ROUNDUP(Settings!$B$12*Settings!$B$26,0),NA(),STDEV(OFFSET(G1059,1-Settings!$B$12,0,Settings!$B$12,1))*SQRT(Settings!$B$13)))</f>
        <v/>
      </c>
      <c r="L1059" s="20">
        <f>IF(AND(ISNUMBER(D1059),ISNUMBER(H1059)),D1059-H1059,NA())</f>
        <v/>
      </c>
      <c r="M1059" s="20">
        <f>IF(AND(ISNUMBER(E1059),ISNUMBER(K1059)),E1059-K1059,NA())</f>
        <v/>
      </c>
      <c r="N1059" s="20">
        <f>IF(NOT(ISNUMBER($A1059)),NA(),IF(COUNT(OFFSET(G1059,1,0,Settings!$B$12,1))&lt;ROUNDUP(Settings!$B$12*Settings!$B$26,0),NA(),STDEV(OFFSET(G1059,1,0,Settings!$B$12,1))*SQRT(Settings!$B$13)))</f>
        <v/>
      </c>
      <c r="O1059" s="20">
        <f>IF(AND(ISNUMBER(E1059),ISNUMBER(N1059)),E1059-N1059,NA())</f>
        <v/>
      </c>
      <c r="P1059" s="19">
        <f>IF(NOT(ISNUMBER($A1059)),NA(),IF(OR($A1059&lt;MIN(KW_TP!$A$2:$A$2501),$A1059&gt;MAX(KW_TP!$A$2:$A$2501)),NA(),INDEX(KW_TP!$C$2:$C$2501,MATCH($A1059,KW_TP!$A$2:$A$2501,1))))</f>
        <v/>
      </c>
      <c r="Q1059" s="18">
        <f>IF(NOT(ISNUMBER($A1059)),NA(),IFERROR(1*INDEX(BBG_Data!$J$2:$J$4000,MATCH($A1059,BBG_Data!$I$2:$I$4000,0)),NA()))</f>
        <v/>
      </c>
      <c r="R1059" s="18">
        <f>IF(NOT(ISNUMBER($A1059)),NA(),IFERROR(1*INDEX(BBG_Data!$L$2:$L$4000,MATCH($A1059,BBG_Data!$K$2:$K$4000,0)),NA()))</f>
        <v/>
      </c>
      <c r="S1059" s="20">
        <f>IF(AND(ISNUMBER(B1059),ISNUMBER(Q1059),ISNUMBER(R1059)),(B1059-Q1059-R1059)*100,NA())</f>
        <v/>
      </c>
      <c r="T1059" s="20">
        <f>IF(AND(ISNUMBER(B1059),Settings!$B$17&gt;0),IF(ISNUMBER(INDEX($B:$B,Settings!$B$17)),(B1059-INDEX($B:$B,Settings!$B$17))*100,NA()),NA())</f>
        <v/>
      </c>
      <c r="U1059" s="20">
        <f>IF(AND(ISNUMBER(Q1059),Settings!$B$17&gt;0),IF(ISNUMBER(INDEX($Q:$Q,Settings!$B$17)),(Q1059-INDEX($Q:$Q,Settings!$B$17))*100,NA()),NA())</f>
        <v/>
      </c>
      <c r="V1059" s="20">
        <f>IF(AND(ISNUMBER(R1059),Settings!$B$17&gt;0),IF(ISNUMBER(INDEX($R:$R,Settings!$B$17)),(R1059-INDEX($R:$R,Settings!$B$17))*100,NA()),NA())</f>
        <v/>
      </c>
      <c r="W1059" s="20">
        <f>IF(AND(ISNUMBER(P1059),Settings!$B$17&gt;0),IF(ISNUMBER(INDEX($P:$P,Settings!$B$17)),P1059-INDEX($P:$P,Settings!$B$17),NA()),NA())</f>
        <v/>
      </c>
      <c r="X1059" s="19">
        <f>IF(NOT(ISNUMBER($A1059)),NA(),IF(OR($A1059&lt;MIN(DKW_10Y!$A$2:$A$2918),$A1059&gt;MAX(DKW_10Y!$A$2:$A$2918),Settings!$B$16&lt;MIN(DKW_10Y!$A$2:$A$2918)),NA(),(INDEX(DKW_10Y!$B$2:$B$2918,MATCH($A1059,DKW_10Y!$A$2:$A$2918,1))-INDEX(DKW_10Y!$B$2:$B$2918,MATCH(Settings!$B$16,DKW_10Y!$A$2:$A$2918,1)))*100))</f>
        <v/>
      </c>
      <c r="Y1059" s="19">
        <f>IF(NOT(ISNUMBER($A1059)),NA(),IF(OR($A1059&lt;MIN(DKW_10Y!$A$2:$A$2918),$A1059&gt;MAX(DKW_10Y!$A$2:$A$2918),Settings!$B$16&lt;MIN(DKW_10Y!$A$2:$A$2918)),NA(),(INDEX(DKW_10Y!$C$2:$C$2918,MATCH($A1059,DKW_10Y!$A$2:$A$2918,1))-INDEX(DKW_10Y!$C$2:$C$2918,MATCH(Settings!$B$16,DKW_10Y!$A$2:$A$2918,1)))*100))</f>
        <v/>
      </c>
      <c r="Z1059" s="19">
        <f>IF(NOT(ISNUMBER($A1059)),NA(),IF(OR($A1059&lt;MIN(DKW_10Y!$A$2:$A$2918),$A1059&gt;MAX(DKW_10Y!$A$2:$A$2918),Settings!$B$16&lt;MIN(DKW_10Y!$A$2:$A$2918)),NA(),(INDEX(DKW_10Y!$D$2:$D$2918,MATCH($A1059,DKW_10Y!$A$2:$A$2918,1))-INDEX(DKW_10Y!$D$2:$D$2918,MATCH(Settings!$B$16,DKW_10Y!$A$2:$A$2918,1)))*100))</f>
        <v/>
      </c>
      <c r="AA1059" s="19">
        <f>IF(NOT(ISNUMBER($A1059)),NA(),IF(OR($A1059&lt;MIN(DKW_10Y!$A$2:$A$2918),$A1059&gt;MAX(DKW_10Y!$A$2:$A$2918),Settings!$B$16&lt;MIN(DKW_10Y!$A$2:$A$2918)),NA(),(INDEX(DKW_10Y!$E$2:$E$2918,MATCH($A1059,DKW_10Y!$A$2:$A$2918,1))-INDEX(DKW_10Y!$E$2:$E$2918,MATCH(Settings!$B$16,DKW_10Y!$A$2:$A$2918,1)))*100))</f>
        <v/>
      </c>
      <c r="AB1059" s="19">
        <f>IF(NOT(ISNUMBER($A1059)),NA(),IF(OR($A1059&lt;MIN(DKW_10Y!$A$2:$A$2918),$A1059&gt;MAX(DKW_10Y!$A$2:$A$2918),Settings!$B$16&lt;MIN(DKW_10Y!$A$2:$A$2918)),NA(),(INDEX(DKW_10Y!$H$2:$H$2918,MATCH($A1059,DKW_10Y!$A$2:$A$2918,1))-INDEX(DKW_10Y!$H$2:$H$2918,MATCH(Settings!$B$16,DKW_10Y!$A$2:$A$2918,1)))*100))</f>
        <v/>
      </c>
      <c r="AC1059" s="18">
        <f>IF(NOT(ISNUMBER($A1059)),NA(),IFERROR(1*INDEX(BBG_Data!$N$2:$N$4000,MATCH($A1059,BBG_Data!$M$2:$M$4000,0)),NA()))</f>
        <v/>
      </c>
      <c r="AD1059" s="18">
        <f>IF(NOT(ISNUMBER($A1059)),NA(),IFERROR(1*INDEX(BBG_Data!$P$2:$P$4000,MATCH($A1059,BBG_Data!$O$2:$O$4000,0)),NA()))</f>
        <v/>
      </c>
      <c r="AE1059" s="18">
        <f>IF(NOT(ISNUMBER($A1059)),NA(),IFERROR(1*INDEX(BBG_Data!$R$2:$R$4000,MATCH($A1059,BBG_Data!$Q$2:$Q$4000,0)),NA()))</f>
        <v/>
      </c>
      <c r="AF1059" s="20">
        <f>IF(AND(ISNUMBER(B1059),ISNUMBER(AC1059)),(B1059-AC1059)*100,NA())</f>
        <v/>
      </c>
      <c r="AG1059" s="20">
        <f>IF(AND(ISNUMBER(AE1059),ISNUMBER(AD1059)),(AE1059-AD1059)*100,NA())</f>
        <v/>
      </c>
      <c r="AH1059" s="19">
        <f>IF(NOT(ISNUMBER($A1059)),NA(),IFERROR(INDEX(BBG_Data!$T$2:$T$4000,MATCH($A1059,BBG_Data!$S$2:$S$4000,0))*Settings!$B$25,NA()))</f>
        <v/>
      </c>
      <c r="AI1059" s="19">
        <f>IF(NOT(ISNUMBER($A1059)),NA(),IFERROR(INDEX(BBG_Data!$V$2:$V$4000,MATCH($A1059,BBG_Data!$U$2:$U$4000,0))*Settings!$B$25,NA()))</f>
        <v/>
      </c>
      <c r="AJ1059" s="19">
        <f>IF(NOT(ISNUMBER($A1059)),NA(),IFERROR(1*INDEX(BBG_Data!$X$2:$X$4000,MATCH($A1059,BBG_Data!$W$2:$W$4000,0)),NA()))</f>
        <v/>
      </c>
      <c r="AK1059" s="19">
        <f>IF(NOT(ISNUMBER($A1059)),NA(),IFERROR(1*INDEX(BBG_Data!$Z$2:$Z$4000,MATCH($A1059,BBG_Data!$Y$2:$Y$4000,0)),NA()))</f>
        <v/>
      </c>
    </row>
    <row r="1060">
      <c r="A1060" s="17">
        <f>IF(ISNUMBER(BBG_Data!A1060),BBG_Data!A1060,"")</f>
        <v/>
      </c>
      <c r="B1060" s="18">
        <f>IF(AND(ISNUMBER($A1060),ISNUMBER(BBG_Data!B1060)),BBG_Data!B1060,NA())</f>
        <v/>
      </c>
      <c r="C1060" s="18">
        <f>IF(NOT(ISNUMBER($A1060)),NA(),IFERROR(1*INDEX(BBG_Data!$D$2:$D$4000,MATCH($A1060,BBG_Data!$C$2:$C$4000,0)),NA()))</f>
        <v/>
      </c>
      <c r="D1060" s="19">
        <f>IF(NOT(ISNUMBER($A1060)),NA(),IFERROR(1*INDEX(BBG_Data!$F$2:$F$4000,MATCH($A1060,BBG_Data!$E$2:$E$4000,0)),NA()))</f>
        <v/>
      </c>
      <c r="E1060" s="19">
        <f>IF(NOT(ISNUMBER($A1060)),NA(),IFERROR(1*INDEX(BBG_Data!$H$2:$H$4000,MATCH($A1060,BBG_Data!$G$2:$G$4000,0)),NA()))</f>
        <v/>
      </c>
      <c r="F1060" s="20">
        <f>IF(AND(ISNUMBER(B1060),ISNUMBER(B1059)),IF(B1060=B1059,"",(B1060-B1059)*100),"")</f>
        <v/>
      </c>
      <c r="G1060" s="20">
        <f>IF(AND(ISNUMBER(C1060),ISNUMBER(C1059)),IF(C1060=C1059,"",(C1060-C1059)*100),"")</f>
        <v/>
      </c>
      <c r="H1060" s="20">
        <f>IF(OR(NOT(ISNUMBER($A1060)),ROW()-2&lt;Settings!$B$11),NA(),IF(COUNT(OFFSET(F1060,1-Settings!$B$11,0,Settings!$B$11,1))&lt;ROUNDUP(Settings!$B$11*Settings!$B$26,0),NA(),STDEV(OFFSET(F1060,1-Settings!$B$11,0,Settings!$B$11,1))*SQRT(Settings!$B$13)))</f>
        <v/>
      </c>
      <c r="I1060" s="20">
        <f>IF(OR(NOT(ISNUMBER($A1060)),ROW()-2&lt;Settings!$B$12),NA(),IF(COUNT(OFFSET(F1060,1-Settings!$B$12,0,Settings!$B$12,1))&lt;ROUNDUP(Settings!$B$12*Settings!$B$26,0),NA(),STDEV(OFFSET(F1060,1-Settings!$B$12,0,Settings!$B$12,1))*SQRT(Settings!$B$13)))</f>
        <v/>
      </c>
      <c r="J1060" s="20">
        <f>IF(OR(NOT(ISNUMBER($A1060)),ROW()-2&lt;Settings!$B$11),NA(),IF(COUNT(OFFSET(G1060,1-Settings!$B$11,0,Settings!$B$11,1))&lt;ROUNDUP(Settings!$B$11*Settings!$B$26,0),NA(),STDEV(OFFSET(G1060,1-Settings!$B$11,0,Settings!$B$11,1))*SQRT(Settings!$B$13)))</f>
        <v/>
      </c>
      <c r="K1060" s="20">
        <f>IF(OR(NOT(ISNUMBER($A1060)),ROW()-2&lt;Settings!$B$12),NA(),IF(COUNT(OFFSET(G1060,1-Settings!$B$12,0,Settings!$B$12,1))&lt;ROUNDUP(Settings!$B$12*Settings!$B$26,0),NA(),STDEV(OFFSET(G1060,1-Settings!$B$12,0,Settings!$B$12,1))*SQRT(Settings!$B$13)))</f>
        <v/>
      </c>
      <c r="L1060" s="20">
        <f>IF(AND(ISNUMBER(D1060),ISNUMBER(H1060)),D1060-H1060,NA())</f>
        <v/>
      </c>
      <c r="M1060" s="20">
        <f>IF(AND(ISNUMBER(E1060),ISNUMBER(K1060)),E1060-K1060,NA())</f>
        <v/>
      </c>
      <c r="N1060" s="20">
        <f>IF(NOT(ISNUMBER($A1060)),NA(),IF(COUNT(OFFSET(G1060,1,0,Settings!$B$12,1))&lt;ROUNDUP(Settings!$B$12*Settings!$B$26,0),NA(),STDEV(OFFSET(G1060,1,0,Settings!$B$12,1))*SQRT(Settings!$B$13)))</f>
        <v/>
      </c>
      <c r="O1060" s="20">
        <f>IF(AND(ISNUMBER(E1060),ISNUMBER(N1060)),E1060-N1060,NA())</f>
        <v/>
      </c>
      <c r="P1060" s="19">
        <f>IF(NOT(ISNUMBER($A1060)),NA(),IF(OR($A1060&lt;MIN(KW_TP!$A$2:$A$2501),$A1060&gt;MAX(KW_TP!$A$2:$A$2501)),NA(),INDEX(KW_TP!$C$2:$C$2501,MATCH($A1060,KW_TP!$A$2:$A$2501,1))))</f>
        <v/>
      </c>
      <c r="Q1060" s="18">
        <f>IF(NOT(ISNUMBER($A1060)),NA(),IFERROR(1*INDEX(BBG_Data!$J$2:$J$4000,MATCH($A1060,BBG_Data!$I$2:$I$4000,0)),NA()))</f>
        <v/>
      </c>
      <c r="R1060" s="18">
        <f>IF(NOT(ISNUMBER($A1060)),NA(),IFERROR(1*INDEX(BBG_Data!$L$2:$L$4000,MATCH($A1060,BBG_Data!$K$2:$K$4000,0)),NA()))</f>
        <v/>
      </c>
      <c r="S1060" s="20">
        <f>IF(AND(ISNUMBER(B1060),ISNUMBER(Q1060),ISNUMBER(R1060)),(B1060-Q1060-R1060)*100,NA())</f>
        <v/>
      </c>
      <c r="T1060" s="20">
        <f>IF(AND(ISNUMBER(B1060),Settings!$B$17&gt;0),IF(ISNUMBER(INDEX($B:$B,Settings!$B$17)),(B1060-INDEX($B:$B,Settings!$B$17))*100,NA()),NA())</f>
        <v/>
      </c>
      <c r="U1060" s="20">
        <f>IF(AND(ISNUMBER(Q1060),Settings!$B$17&gt;0),IF(ISNUMBER(INDEX($Q:$Q,Settings!$B$17)),(Q1060-INDEX($Q:$Q,Settings!$B$17))*100,NA()),NA())</f>
        <v/>
      </c>
      <c r="V1060" s="20">
        <f>IF(AND(ISNUMBER(R1060),Settings!$B$17&gt;0),IF(ISNUMBER(INDEX($R:$R,Settings!$B$17)),(R1060-INDEX($R:$R,Settings!$B$17))*100,NA()),NA())</f>
        <v/>
      </c>
      <c r="W1060" s="20">
        <f>IF(AND(ISNUMBER(P1060),Settings!$B$17&gt;0),IF(ISNUMBER(INDEX($P:$P,Settings!$B$17)),P1060-INDEX($P:$P,Settings!$B$17),NA()),NA())</f>
        <v/>
      </c>
      <c r="X1060" s="19">
        <f>IF(NOT(ISNUMBER($A1060)),NA(),IF(OR($A1060&lt;MIN(DKW_10Y!$A$2:$A$2918),$A1060&gt;MAX(DKW_10Y!$A$2:$A$2918),Settings!$B$16&lt;MIN(DKW_10Y!$A$2:$A$2918)),NA(),(INDEX(DKW_10Y!$B$2:$B$2918,MATCH($A1060,DKW_10Y!$A$2:$A$2918,1))-INDEX(DKW_10Y!$B$2:$B$2918,MATCH(Settings!$B$16,DKW_10Y!$A$2:$A$2918,1)))*100))</f>
        <v/>
      </c>
      <c r="Y1060" s="19">
        <f>IF(NOT(ISNUMBER($A1060)),NA(),IF(OR($A1060&lt;MIN(DKW_10Y!$A$2:$A$2918),$A1060&gt;MAX(DKW_10Y!$A$2:$A$2918),Settings!$B$16&lt;MIN(DKW_10Y!$A$2:$A$2918)),NA(),(INDEX(DKW_10Y!$C$2:$C$2918,MATCH($A1060,DKW_10Y!$A$2:$A$2918,1))-INDEX(DKW_10Y!$C$2:$C$2918,MATCH(Settings!$B$16,DKW_10Y!$A$2:$A$2918,1)))*100))</f>
        <v/>
      </c>
      <c r="Z1060" s="19">
        <f>IF(NOT(ISNUMBER($A1060)),NA(),IF(OR($A1060&lt;MIN(DKW_10Y!$A$2:$A$2918),$A1060&gt;MAX(DKW_10Y!$A$2:$A$2918),Settings!$B$16&lt;MIN(DKW_10Y!$A$2:$A$2918)),NA(),(INDEX(DKW_10Y!$D$2:$D$2918,MATCH($A1060,DKW_10Y!$A$2:$A$2918,1))-INDEX(DKW_10Y!$D$2:$D$2918,MATCH(Settings!$B$16,DKW_10Y!$A$2:$A$2918,1)))*100))</f>
        <v/>
      </c>
      <c r="AA1060" s="19">
        <f>IF(NOT(ISNUMBER($A1060)),NA(),IF(OR($A1060&lt;MIN(DKW_10Y!$A$2:$A$2918),$A1060&gt;MAX(DKW_10Y!$A$2:$A$2918),Settings!$B$16&lt;MIN(DKW_10Y!$A$2:$A$2918)),NA(),(INDEX(DKW_10Y!$E$2:$E$2918,MATCH($A1060,DKW_10Y!$A$2:$A$2918,1))-INDEX(DKW_10Y!$E$2:$E$2918,MATCH(Settings!$B$16,DKW_10Y!$A$2:$A$2918,1)))*100))</f>
        <v/>
      </c>
      <c r="AB1060" s="19">
        <f>IF(NOT(ISNUMBER($A1060)),NA(),IF(OR($A1060&lt;MIN(DKW_10Y!$A$2:$A$2918),$A1060&gt;MAX(DKW_10Y!$A$2:$A$2918),Settings!$B$16&lt;MIN(DKW_10Y!$A$2:$A$2918)),NA(),(INDEX(DKW_10Y!$H$2:$H$2918,MATCH($A1060,DKW_10Y!$A$2:$A$2918,1))-INDEX(DKW_10Y!$H$2:$H$2918,MATCH(Settings!$B$16,DKW_10Y!$A$2:$A$2918,1)))*100))</f>
        <v/>
      </c>
      <c r="AC1060" s="18">
        <f>IF(NOT(ISNUMBER($A1060)),NA(),IFERROR(1*INDEX(BBG_Data!$N$2:$N$4000,MATCH($A1060,BBG_Data!$M$2:$M$4000,0)),NA()))</f>
        <v/>
      </c>
      <c r="AD1060" s="18">
        <f>IF(NOT(ISNUMBER($A1060)),NA(),IFERROR(1*INDEX(BBG_Data!$P$2:$P$4000,MATCH($A1060,BBG_Data!$O$2:$O$4000,0)),NA()))</f>
        <v/>
      </c>
      <c r="AE1060" s="18">
        <f>IF(NOT(ISNUMBER($A1060)),NA(),IFERROR(1*INDEX(BBG_Data!$R$2:$R$4000,MATCH($A1060,BBG_Data!$Q$2:$Q$4000,0)),NA()))</f>
        <v/>
      </c>
      <c r="AF1060" s="20">
        <f>IF(AND(ISNUMBER(B1060),ISNUMBER(AC1060)),(B1060-AC1060)*100,NA())</f>
        <v/>
      </c>
      <c r="AG1060" s="20">
        <f>IF(AND(ISNUMBER(AE1060),ISNUMBER(AD1060)),(AE1060-AD1060)*100,NA())</f>
        <v/>
      </c>
      <c r="AH1060" s="19">
        <f>IF(NOT(ISNUMBER($A1060)),NA(),IFERROR(INDEX(BBG_Data!$T$2:$T$4000,MATCH($A1060,BBG_Data!$S$2:$S$4000,0))*Settings!$B$25,NA()))</f>
        <v/>
      </c>
      <c r="AI1060" s="19">
        <f>IF(NOT(ISNUMBER($A1060)),NA(),IFERROR(INDEX(BBG_Data!$V$2:$V$4000,MATCH($A1060,BBG_Data!$U$2:$U$4000,0))*Settings!$B$25,NA()))</f>
        <v/>
      </c>
      <c r="AJ1060" s="19">
        <f>IF(NOT(ISNUMBER($A1060)),NA(),IFERROR(1*INDEX(BBG_Data!$X$2:$X$4000,MATCH($A1060,BBG_Data!$W$2:$W$4000,0)),NA()))</f>
        <v/>
      </c>
      <c r="AK1060" s="19">
        <f>IF(NOT(ISNUMBER($A1060)),NA(),IFERROR(1*INDEX(BBG_Data!$Z$2:$Z$4000,MATCH($A1060,BBG_Data!$Y$2:$Y$4000,0)),NA()))</f>
        <v/>
      </c>
    </row>
    <row r="1061">
      <c r="A1061" s="17">
        <f>IF(ISNUMBER(BBG_Data!A1061),BBG_Data!A1061,"")</f>
        <v/>
      </c>
      <c r="B1061" s="18">
        <f>IF(AND(ISNUMBER($A1061),ISNUMBER(BBG_Data!B1061)),BBG_Data!B1061,NA())</f>
        <v/>
      </c>
      <c r="C1061" s="18">
        <f>IF(NOT(ISNUMBER($A1061)),NA(),IFERROR(1*INDEX(BBG_Data!$D$2:$D$4000,MATCH($A1061,BBG_Data!$C$2:$C$4000,0)),NA()))</f>
        <v/>
      </c>
      <c r="D1061" s="19">
        <f>IF(NOT(ISNUMBER($A1061)),NA(),IFERROR(1*INDEX(BBG_Data!$F$2:$F$4000,MATCH($A1061,BBG_Data!$E$2:$E$4000,0)),NA()))</f>
        <v/>
      </c>
      <c r="E1061" s="19">
        <f>IF(NOT(ISNUMBER($A1061)),NA(),IFERROR(1*INDEX(BBG_Data!$H$2:$H$4000,MATCH($A1061,BBG_Data!$G$2:$G$4000,0)),NA()))</f>
        <v/>
      </c>
      <c r="F1061" s="20">
        <f>IF(AND(ISNUMBER(B1061),ISNUMBER(B1060)),IF(B1061=B1060,"",(B1061-B1060)*100),"")</f>
        <v/>
      </c>
      <c r="G1061" s="20">
        <f>IF(AND(ISNUMBER(C1061),ISNUMBER(C1060)),IF(C1061=C1060,"",(C1061-C1060)*100),"")</f>
        <v/>
      </c>
      <c r="H1061" s="20">
        <f>IF(OR(NOT(ISNUMBER($A1061)),ROW()-2&lt;Settings!$B$11),NA(),IF(COUNT(OFFSET(F1061,1-Settings!$B$11,0,Settings!$B$11,1))&lt;ROUNDUP(Settings!$B$11*Settings!$B$26,0),NA(),STDEV(OFFSET(F1061,1-Settings!$B$11,0,Settings!$B$11,1))*SQRT(Settings!$B$13)))</f>
        <v/>
      </c>
      <c r="I1061" s="20">
        <f>IF(OR(NOT(ISNUMBER($A1061)),ROW()-2&lt;Settings!$B$12),NA(),IF(COUNT(OFFSET(F1061,1-Settings!$B$12,0,Settings!$B$12,1))&lt;ROUNDUP(Settings!$B$12*Settings!$B$26,0),NA(),STDEV(OFFSET(F1061,1-Settings!$B$12,0,Settings!$B$12,1))*SQRT(Settings!$B$13)))</f>
        <v/>
      </c>
      <c r="J1061" s="20">
        <f>IF(OR(NOT(ISNUMBER($A1061)),ROW()-2&lt;Settings!$B$11),NA(),IF(COUNT(OFFSET(G1061,1-Settings!$B$11,0,Settings!$B$11,1))&lt;ROUNDUP(Settings!$B$11*Settings!$B$26,0),NA(),STDEV(OFFSET(G1061,1-Settings!$B$11,0,Settings!$B$11,1))*SQRT(Settings!$B$13)))</f>
        <v/>
      </c>
      <c r="K1061" s="20">
        <f>IF(OR(NOT(ISNUMBER($A1061)),ROW()-2&lt;Settings!$B$12),NA(),IF(COUNT(OFFSET(G1061,1-Settings!$B$12,0,Settings!$B$12,1))&lt;ROUNDUP(Settings!$B$12*Settings!$B$26,0),NA(),STDEV(OFFSET(G1061,1-Settings!$B$12,0,Settings!$B$12,1))*SQRT(Settings!$B$13)))</f>
        <v/>
      </c>
      <c r="L1061" s="20">
        <f>IF(AND(ISNUMBER(D1061),ISNUMBER(H1061)),D1061-H1061,NA())</f>
        <v/>
      </c>
      <c r="M1061" s="20">
        <f>IF(AND(ISNUMBER(E1061),ISNUMBER(K1061)),E1061-K1061,NA())</f>
        <v/>
      </c>
      <c r="N1061" s="20">
        <f>IF(NOT(ISNUMBER($A1061)),NA(),IF(COUNT(OFFSET(G1061,1,0,Settings!$B$12,1))&lt;ROUNDUP(Settings!$B$12*Settings!$B$26,0),NA(),STDEV(OFFSET(G1061,1,0,Settings!$B$12,1))*SQRT(Settings!$B$13)))</f>
        <v/>
      </c>
      <c r="O1061" s="20">
        <f>IF(AND(ISNUMBER(E1061),ISNUMBER(N1061)),E1061-N1061,NA())</f>
        <v/>
      </c>
      <c r="P1061" s="19">
        <f>IF(NOT(ISNUMBER($A1061)),NA(),IF(OR($A1061&lt;MIN(KW_TP!$A$2:$A$2501),$A1061&gt;MAX(KW_TP!$A$2:$A$2501)),NA(),INDEX(KW_TP!$C$2:$C$2501,MATCH($A1061,KW_TP!$A$2:$A$2501,1))))</f>
        <v/>
      </c>
      <c r="Q1061" s="18">
        <f>IF(NOT(ISNUMBER($A1061)),NA(),IFERROR(1*INDEX(BBG_Data!$J$2:$J$4000,MATCH($A1061,BBG_Data!$I$2:$I$4000,0)),NA()))</f>
        <v/>
      </c>
      <c r="R1061" s="18">
        <f>IF(NOT(ISNUMBER($A1061)),NA(),IFERROR(1*INDEX(BBG_Data!$L$2:$L$4000,MATCH($A1061,BBG_Data!$K$2:$K$4000,0)),NA()))</f>
        <v/>
      </c>
      <c r="S1061" s="20">
        <f>IF(AND(ISNUMBER(B1061),ISNUMBER(Q1061),ISNUMBER(R1061)),(B1061-Q1061-R1061)*100,NA())</f>
        <v/>
      </c>
      <c r="T1061" s="20">
        <f>IF(AND(ISNUMBER(B1061),Settings!$B$17&gt;0),IF(ISNUMBER(INDEX($B:$B,Settings!$B$17)),(B1061-INDEX($B:$B,Settings!$B$17))*100,NA()),NA())</f>
        <v/>
      </c>
      <c r="U1061" s="20">
        <f>IF(AND(ISNUMBER(Q1061),Settings!$B$17&gt;0),IF(ISNUMBER(INDEX($Q:$Q,Settings!$B$17)),(Q1061-INDEX($Q:$Q,Settings!$B$17))*100,NA()),NA())</f>
        <v/>
      </c>
      <c r="V1061" s="20">
        <f>IF(AND(ISNUMBER(R1061),Settings!$B$17&gt;0),IF(ISNUMBER(INDEX($R:$R,Settings!$B$17)),(R1061-INDEX($R:$R,Settings!$B$17))*100,NA()),NA())</f>
        <v/>
      </c>
      <c r="W1061" s="20">
        <f>IF(AND(ISNUMBER(P1061),Settings!$B$17&gt;0),IF(ISNUMBER(INDEX($P:$P,Settings!$B$17)),P1061-INDEX($P:$P,Settings!$B$17),NA()),NA())</f>
        <v/>
      </c>
      <c r="X1061" s="19">
        <f>IF(NOT(ISNUMBER($A1061)),NA(),IF(OR($A1061&lt;MIN(DKW_10Y!$A$2:$A$2918),$A1061&gt;MAX(DKW_10Y!$A$2:$A$2918),Settings!$B$16&lt;MIN(DKW_10Y!$A$2:$A$2918)),NA(),(INDEX(DKW_10Y!$B$2:$B$2918,MATCH($A1061,DKW_10Y!$A$2:$A$2918,1))-INDEX(DKW_10Y!$B$2:$B$2918,MATCH(Settings!$B$16,DKW_10Y!$A$2:$A$2918,1)))*100))</f>
        <v/>
      </c>
      <c r="Y1061" s="19">
        <f>IF(NOT(ISNUMBER($A1061)),NA(),IF(OR($A1061&lt;MIN(DKW_10Y!$A$2:$A$2918),$A1061&gt;MAX(DKW_10Y!$A$2:$A$2918),Settings!$B$16&lt;MIN(DKW_10Y!$A$2:$A$2918)),NA(),(INDEX(DKW_10Y!$C$2:$C$2918,MATCH($A1061,DKW_10Y!$A$2:$A$2918,1))-INDEX(DKW_10Y!$C$2:$C$2918,MATCH(Settings!$B$16,DKW_10Y!$A$2:$A$2918,1)))*100))</f>
        <v/>
      </c>
      <c r="Z1061" s="19">
        <f>IF(NOT(ISNUMBER($A1061)),NA(),IF(OR($A1061&lt;MIN(DKW_10Y!$A$2:$A$2918),$A1061&gt;MAX(DKW_10Y!$A$2:$A$2918),Settings!$B$16&lt;MIN(DKW_10Y!$A$2:$A$2918)),NA(),(INDEX(DKW_10Y!$D$2:$D$2918,MATCH($A1061,DKW_10Y!$A$2:$A$2918,1))-INDEX(DKW_10Y!$D$2:$D$2918,MATCH(Settings!$B$16,DKW_10Y!$A$2:$A$2918,1)))*100))</f>
        <v/>
      </c>
      <c r="AA1061" s="19">
        <f>IF(NOT(ISNUMBER($A1061)),NA(),IF(OR($A1061&lt;MIN(DKW_10Y!$A$2:$A$2918),$A1061&gt;MAX(DKW_10Y!$A$2:$A$2918),Settings!$B$16&lt;MIN(DKW_10Y!$A$2:$A$2918)),NA(),(INDEX(DKW_10Y!$E$2:$E$2918,MATCH($A1061,DKW_10Y!$A$2:$A$2918,1))-INDEX(DKW_10Y!$E$2:$E$2918,MATCH(Settings!$B$16,DKW_10Y!$A$2:$A$2918,1)))*100))</f>
        <v/>
      </c>
      <c r="AB1061" s="19">
        <f>IF(NOT(ISNUMBER($A1061)),NA(),IF(OR($A1061&lt;MIN(DKW_10Y!$A$2:$A$2918),$A1061&gt;MAX(DKW_10Y!$A$2:$A$2918),Settings!$B$16&lt;MIN(DKW_10Y!$A$2:$A$2918)),NA(),(INDEX(DKW_10Y!$H$2:$H$2918,MATCH($A1061,DKW_10Y!$A$2:$A$2918,1))-INDEX(DKW_10Y!$H$2:$H$2918,MATCH(Settings!$B$16,DKW_10Y!$A$2:$A$2918,1)))*100))</f>
        <v/>
      </c>
      <c r="AC1061" s="18">
        <f>IF(NOT(ISNUMBER($A1061)),NA(),IFERROR(1*INDEX(BBG_Data!$N$2:$N$4000,MATCH($A1061,BBG_Data!$M$2:$M$4000,0)),NA()))</f>
        <v/>
      </c>
      <c r="AD1061" s="18">
        <f>IF(NOT(ISNUMBER($A1061)),NA(),IFERROR(1*INDEX(BBG_Data!$P$2:$P$4000,MATCH($A1061,BBG_Data!$O$2:$O$4000,0)),NA()))</f>
        <v/>
      </c>
      <c r="AE1061" s="18">
        <f>IF(NOT(ISNUMBER($A1061)),NA(),IFERROR(1*INDEX(BBG_Data!$R$2:$R$4000,MATCH($A1061,BBG_Data!$Q$2:$Q$4000,0)),NA()))</f>
        <v/>
      </c>
      <c r="AF1061" s="20">
        <f>IF(AND(ISNUMBER(B1061),ISNUMBER(AC1061)),(B1061-AC1061)*100,NA())</f>
        <v/>
      </c>
      <c r="AG1061" s="20">
        <f>IF(AND(ISNUMBER(AE1061),ISNUMBER(AD1061)),(AE1061-AD1061)*100,NA())</f>
        <v/>
      </c>
      <c r="AH1061" s="19">
        <f>IF(NOT(ISNUMBER($A1061)),NA(),IFERROR(INDEX(BBG_Data!$T$2:$T$4000,MATCH($A1061,BBG_Data!$S$2:$S$4000,0))*Settings!$B$25,NA()))</f>
        <v/>
      </c>
      <c r="AI1061" s="19">
        <f>IF(NOT(ISNUMBER($A1061)),NA(),IFERROR(INDEX(BBG_Data!$V$2:$V$4000,MATCH($A1061,BBG_Data!$U$2:$U$4000,0))*Settings!$B$25,NA()))</f>
        <v/>
      </c>
      <c r="AJ1061" s="19">
        <f>IF(NOT(ISNUMBER($A1061)),NA(),IFERROR(1*INDEX(BBG_Data!$X$2:$X$4000,MATCH($A1061,BBG_Data!$W$2:$W$4000,0)),NA()))</f>
        <v/>
      </c>
      <c r="AK1061" s="19">
        <f>IF(NOT(ISNUMBER($A1061)),NA(),IFERROR(1*INDEX(BBG_Data!$Z$2:$Z$4000,MATCH($A1061,BBG_Data!$Y$2:$Y$4000,0)),NA()))</f>
        <v/>
      </c>
    </row>
    <row r="1062">
      <c r="A1062" s="17">
        <f>IF(ISNUMBER(BBG_Data!A1062),BBG_Data!A1062,"")</f>
        <v/>
      </c>
      <c r="B1062" s="18">
        <f>IF(AND(ISNUMBER($A1062),ISNUMBER(BBG_Data!B1062)),BBG_Data!B1062,NA())</f>
        <v/>
      </c>
      <c r="C1062" s="18">
        <f>IF(NOT(ISNUMBER($A1062)),NA(),IFERROR(1*INDEX(BBG_Data!$D$2:$D$4000,MATCH($A1062,BBG_Data!$C$2:$C$4000,0)),NA()))</f>
        <v/>
      </c>
      <c r="D1062" s="19">
        <f>IF(NOT(ISNUMBER($A1062)),NA(),IFERROR(1*INDEX(BBG_Data!$F$2:$F$4000,MATCH($A1062,BBG_Data!$E$2:$E$4000,0)),NA()))</f>
        <v/>
      </c>
      <c r="E1062" s="19">
        <f>IF(NOT(ISNUMBER($A1062)),NA(),IFERROR(1*INDEX(BBG_Data!$H$2:$H$4000,MATCH($A1062,BBG_Data!$G$2:$G$4000,0)),NA()))</f>
        <v/>
      </c>
      <c r="F1062" s="20">
        <f>IF(AND(ISNUMBER(B1062),ISNUMBER(B1061)),IF(B1062=B1061,"",(B1062-B1061)*100),"")</f>
        <v/>
      </c>
      <c r="G1062" s="20">
        <f>IF(AND(ISNUMBER(C1062),ISNUMBER(C1061)),IF(C1062=C1061,"",(C1062-C1061)*100),"")</f>
        <v/>
      </c>
      <c r="H1062" s="20">
        <f>IF(OR(NOT(ISNUMBER($A1062)),ROW()-2&lt;Settings!$B$11),NA(),IF(COUNT(OFFSET(F1062,1-Settings!$B$11,0,Settings!$B$11,1))&lt;ROUNDUP(Settings!$B$11*Settings!$B$26,0),NA(),STDEV(OFFSET(F1062,1-Settings!$B$11,0,Settings!$B$11,1))*SQRT(Settings!$B$13)))</f>
        <v/>
      </c>
      <c r="I1062" s="20">
        <f>IF(OR(NOT(ISNUMBER($A1062)),ROW()-2&lt;Settings!$B$12),NA(),IF(COUNT(OFFSET(F1062,1-Settings!$B$12,0,Settings!$B$12,1))&lt;ROUNDUP(Settings!$B$12*Settings!$B$26,0),NA(),STDEV(OFFSET(F1062,1-Settings!$B$12,0,Settings!$B$12,1))*SQRT(Settings!$B$13)))</f>
        <v/>
      </c>
      <c r="J1062" s="20">
        <f>IF(OR(NOT(ISNUMBER($A1062)),ROW()-2&lt;Settings!$B$11),NA(),IF(COUNT(OFFSET(G1062,1-Settings!$B$11,0,Settings!$B$11,1))&lt;ROUNDUP(Settings!$B$11*Settings!$B$26,0),NA(),STDEV(OFFSET(G1062,1-Settings!$B$11,0,Settings!$B$11,1))*SQRT(Settings!$B$13)))</f>
        <v/>
      </c>
      <c r="K1062" s="20">
        <f>IF(OR(NOT(ISNUMBER($A1062)),ROW()-2&lt;Settings!$B$12),NA(),IF(COUNT(OFFSET(G1062,1-Settings!$B$12,0,Settings!$B$12,1))&lt;ROUNDUP(Settings!$B$12*Settings!$B$26,0),NA(),STDEV(OFFSET(G1062,1-Settings!$B$12,0,Settings!$B$12,1))*SQRT(Settings!$B$13)))</f>
        <v/>
      </c>
      <c r="L1062" s="20">
        <f>IF(AND(ISNUMBER(D1062),ISNUMBER(H1062)),D1062-H1062,NA())</f>
        <v/>
      </c>
      <c r="M1062" s="20">
        <f>IF(AND(ISNUMBER(E1062),ISNUMBER(K1062)),E1062-K1062,NA())</f>
        <v/>
      </c>
      <c r="N1062" s="20">
        <f>IF(NOT(ISNUMBER($A1062)),NA(),IF(COUNT(OFFSET(G1062,1,0,Settings!$B$12,1))&lt;ROUNDUP(Settings!$B$12*Settings!$B$26,0),NA(),STDEV(OFFSET(G1062,1,0,Settings!$B$12,1))*SQRT(Settings!$B$13)))</f>
        <v/>
      </c>
      <c r="O1062" s="20">
        <f>IF(AND(ISNUMBER(E1062),ISNUMBER(N1062)),E1062-N1062,NA())</f>
        <v/>
      </c>
      <c r="P1062" s="19">
        <f>IF(NOT(ISNUMBER($A1062)),NA(),IF(OR($A1062&lt;MIN(KW_TP!$A$2:$A$2501),$A1062&gt;MAX(KW_TP!$A$2:$A$2501)),NA(),INDEX(KW_TP!$C$2:$C$2501,MATCH($A1062,KW_TP!$A$2:$A$2501,1))))</f>
        <v/>
      </c>
      <c r="Q1062" s="18">
        <f>IF(NOT(ISNUMBER($A1062)),NA(),IFERROR(1*INDEX(BBG_Data!$J$2:$J$4000,MATCH($A1062,BBG_Data!$I$2:$I$4000,0)),NA()))</f>
        <v/>
      </c>
      <c r="R1062" s="18">
        <f>IF(NOT(ISNUMBER($A1062)),NA(),IFERROR(1*INDEX(BBG_Data!$L$2:$L$4000,MATCH($A1062,BBG_Data!$K$2:$K$4000,0)),NA()))</f>
        <v/>
      </c>
      <c r="S1062" s="20">
        <f>IF(AND(ISNUMBER(B1062),ISNUMBER(Q1062),ISNUMBER(R1062)),(B1062-Q1062-R1062)*100,NA())</f>
        <v/>
      </c>
      <c r="T1062" s="20">
        <f>IF(AND(ISNUMBER(B1062),Settings!$B$17&gt;0),IF(ISNUMBER(INDEX($B:$B,Settings!$B$17)),(B1062-INDEX($B:$B,Settings!$B$17))*100,NA()),NA())</f>
        <v/>
      </c>
      <c r="U1062" s="20">
        <f>IF(AND(ISNUMBER(Q1062),Settings!$B$17&gt;0),IF(ISNUMBER(INDEX($Q:$Q,Settings!$B$17)),(Q1062-INDEX($Q:$Q,Settings!$B$17))*100,NA()),NA())</f>
        <v/>
      </c>
      <c r="V1062" s="20">
        <f>IF(AND(ISNUMBER(R1062),Settings!$B$17&gt;0),IF(ISNUMBER(INDEX($R:$R,Settings!$B$17)),(R1062-INDEX($R:$R,Settings!$B$17))*100,NA()),NA())</f>
        <v/>
      </c>
      <c r="W1062" s="20">
        <f>IF(AND(ISNUMBER(P1062),Settings!$B$17&gt;0),IF(ISNUMBER(INDEX($P:$P,Settings!$B$17)),P1062-INDEX($P:$P,Settings!$B$17),NA()),NA())</f>
        <v/>
      </c>
      <c r="X1062" s="19">
        <f>IF(NOT(ISNUMBER($A1062)),NA(),IF(OR($A1062&lt;MIN(DKW_10Y!$A$2:$A$2918),$A1062&gt;MAX(DKW_10Y!$A$2:$A$2918),Settings!$B$16&lt;MIN(DKW_10Y!$A$2:$A$2918)),NA(),(INDEX(DKW_10Y!$B$2:$B$2918,MATCH($A1062,DKW_10Y!$A$2:$A$2918,1))-INDEX(DKW_10Y!$B$2:$B$2918,MATCH(Settings!$B$16,DKW_10Y!$A$2:$A$2918,1)))*100))</f>
        <v/>
      </c>
      <c r="Y1062" s="19">
        <f>IF(NOT(ISNUMBER($A1062)),NA(),IF(OR($A1062&lt;MIN(DKW_10Y!$A$2:$A$2918),$A1062&gt;MAX(DKW_10Y!$A$2:$A$2918),Settings!$B$16&lt;MIN(DKW_10Y!$A$2:$A$2918)),NA(),(INDEX(DKW_10Y!$C$2:$C$2918,MATCH($A1062,DKW_10Y!$A$2:$A$2918,1))-INDEX(DKW_10Y!$C$2:$C$2918,MATCH(Settings!$B$16,DKW_10Y!$A$2:$A$2918,1)))*100))</f>
        <v/>
      </c>
      <c r="Z1062" s="19">
        <f>IF(NOT(ISNUMBER($A1062)),NA(),IF(OR($A1062&lt;MIN(DKW_10Y!$A$2:$A$2918),$A1062&gt;MAX(DKW_10Y!$A$2:$A$2918),Settings!$B$16&lt;MIN(DKW_10Y!$A$2:$A$2918)),NA(),(INDEX(DKW_10Y!$D$2:$D$2918,MATCH($A1062,DKW_10Y!$A$2:$A$2918,1))-INDEX(DKW_10Y!$D$2:$D$2918,MATCH(Settings!$B$16,DKW_10Y!$A$2:$A$2918,1)))*100))</f>
        <v/>
      </c>
      <c r="AA1062" s="19">
        <f>IF(NOT(ISNUMBER($A1062)),NA(),IF(OR($A1062&lt;MIN(DKW_10Y!$A$2:$A$2918),$A1062&gt;MAX(DKW_10Y!$A$2:$A$2918),Settings!$B$16&lt;MIN(DKW_10Y!$A$2:$A$2918)),NA(),(INDEX(DKW_10Y!$E$2:$E$2918,MATCH($A1062,DKW_10Y!$A$2:$A$2918,1))-INDEX(DKW_10Y!$E$2:$E$2918,MATCH(Settings!$B$16,DKW_10Y!$A$2:$A$2918,1)))*100))</f>
        <v/>
      </c>
      <c r="AB1062" s="19">
        <f>IF(NOT(ISNUMBER($A1062)),NA(),IF(OR($A1062&lt;MIN(DKW_10Y!$A$2:$A$2918),$A1062&gt;MAX(DKW_10Y!$A$2:$A$2918),Settings!$B$16&lt;MIN(DKW_10Y!$A$2:$A$2918)),NA(),(INDEX(DKW_10Y!$H$2:$H$2918,MATCH($A1062,DKW_10Y!$A$2:$A$2918,1))-INDEX(DKW_10Y!$H$2:$H$2918,MATCH(Settings!$B$16,DKW_10Y!$A$2:$A$2918,1)))*100))</f>
        <v/>
      </c>
      <c r="AC1062" s="18">
        <f>IF(NOT(ISNUMBER($A1062)),NA(),IFERROR(1*INDEX(BBG_Data!$N$2:$N$4000,MATCH($A1062,BBG_Data!$M$2:$M$4000,0)),NA()))</f>
        <v/>
      </c>
      <c r="AD1062" s="18">
        <f>IF(NOT(ISNUMBER($A1062)),NA(),IFERROR(1*INDEX(BBG_Data!$P$2:$P$4000,MATCH($A1062,BBG_Data!$O$2:$O$4000,0)),NA()))</f>
        <v/>
      </c>
      <c r="AE1062" s="18">
        <f>IF(NOT(ISNUMBER($A1062)),NA(),IFERROR(1*INDEX(BBG_Data!$R$2:$R$4000,MATCH($A1062,BBG_Data!$Q$2:$Q$4000,0)),NA()))</f>
        <v/>
      </c>
      <c r="AF1062" s="20">
        <f>IF(AND(ISNUMBER(B1062),ISNUMBER(AC1062)),(B1062-AC1062)*100,NA())</f>
        <v/>
      </c>
      <c r="AG1062" s="20">
        <f>IF(AND(ISNUMBER(AE1062),ISNUMBER(AD1062)),(AE1062-AD1062)*100,NA())</f>
        <v/>
      </c>
      <c r="AH1062" s="19">
        <f>IF(NOT(ISNUMBER($A1062)),NA(),IFERROR(INDEX(BBG_Data!$T$2:$T$4000,MATCH($A1062,BBG_Data!$S$2:$S$4000,0))*Settings!$B$25,NA()))</f>
        <v/>
      </c>
      <c r="AI1062" s="19">
        <f>IF(NOT(ISNUMBER($A1062)),NA(),IFERROR(INDEX(BBG_Data!$V$2:$V$4000,MATCH($A1062,BBG_Data!$U$2:$U$4000,0))*Settings!$B$25,NA()))</f>
        <v/>
      </c>
      <c r="AJ1062" s="19">
        <f>IF(NOT(ISNUMBER($A1062)),NA(),IFERROR(1*INDEX(BBG_Data!$X$2:$X$4000,MATCH($A1062,BBG_Data!$W$2:$W$4000,0)),NA()))</f>
        <v/>
      </c>
      <c r="AK1062" s="19">
        <f>IF(NOT(ISNUMBER($A1062)),NA(),IFERROR(1*INDEX(BBG_Data!$Z$2:$Z$4000,MATCH($A1062,BBG_Data!$Y$2:$Y$4000,0)),NA()))</f>
        <v/>
      </c>
    </row>
    <row r="1063">
      <c r="A1063" s="17">
        <f>IF(ISNUMBER(BBG_Data!A1063),BBG_Data!A1063,"")</f>
        <v/>
      </c>
      <c r="B1063" s="18">
        <f>IF(AND(ISNUMBER($A1063),ISNUMBER(BBG_Data!B1063)),BBG_Data!B1063,NA())</f>
        <v/>
      </c>
      <c r="C1063" s="18">
        <f>IF(NOT(ISNUMBER($A1063)),NA(),IFERROR(1*INDEX(BBG_Data!$D$2:$D$4000,MATCH($A1063,BBG_Data!$C$2:$C$4000,0)),NA()))</f>
        <v/>
      </c>
      <c r="D1063" s="19">
        <f>IF(NOT(ISNUMBER($A1063)),NA(),IFERROR(1*INDEX(BBG_Data!$F$2:$F$4000,MATCH($A1063,BBG_Data!$E$2:$E$4000,0)),NA()))</f>
        <v/>
      </c>
      <c r="E1063" s="19">
        <f>IF(NOT(ISNUMBER($A1063)),NA(),IFERROR(1*INDEX(BBG_Data!$H$2:$H$4000,MATCH($A1063,BBG_Data!$G$2:$G$4000,0)),NA()))</f>
        <v/>
      </c>
      <c r="F1063" s="20">
        <f>IF(AND(ISNUMBER(B1063),ISNUMBER(B1062)),IF(B1063=B1062,"",(B1063-B1062)*100),"")</f>
        <v/>
      </c>
      <c r="G1063" s="20">
        <f>IF(AND(ISNUMBER(C1063),ISNUMBER(C1062)),IF(C1063=C1062,"",(C1063-C1062)*100),"")</f>
        <v/>
      </c>
      <c r="H1063" s="20">
        <f>IF(OR(NOT(ISNUMBER($A1063)),ROW()-2&lt;Settings!$B$11),NA(),IF(COUNT(OFFSET(F1063,1-Settings!$B$11,0,Settings!$B$11,1))&lt;ROUNDUP(Settings!$B$11*Settings!$B$26,0),NA(),STDEV(OFFSET(F1063,1-Settings!$B$11,0,Settings!$B$11,1))*SQRT(Settings!$B$13)))</f>
        <v/>
      </c>
      <c r="I1063" s="20">
        <f>IF(OR(NOT(ISNUMBER($A1063)),ROW()-2&lt;Settings!$B$12),NA(),IF(COUNT(OFFSET(F1063,1-Settings!$B$12,0,Settings!$B$12,1))&lt;ROUNDUP(Settings!$B$12*Settings!$B$26,0),NA(),STDEV(OFFSET(F1063,1-Settings!$B$12,0,Settings!$B$12,1))*SQRT(Settings!$B$13)))</f>
        <v/>
      </c>
      <c r="J1063" s="20">
        <f>IF(OR(NOT(ISNUMBER($A1063)),ROW()-2&lt;Settings!$B$11),NA(),IF(COUNT(OFFSET(G1063,1-Settings!$B$11,0,Settings!$B$11,1))&lt;ROUNDUP(Settings!$B$11*Settings!$B$26,0),NA(),STDEV(OFFSET(G1063,1-Settings!$B$11,0,Settings!$B$11,1))*SQRT(Settings!$B$13)))</f>
        <v/>
      </c>
      <c r="K1063" s="20">
        <f>IF(OR(NOT(ISNUMBER($A1063)),ROW()-2&lt;Settings!$B$12),NA(),IF(COUNT(OFFSET(G1063,1-Settings!$B$12,0,Settings!$B$12,1))&lt;ROUNDUP(Settings!$B$12*Settings!$B$26,0),NA(),STDEV(OFFSET(G1063,1-Settings!$B$12,0,Settings!$B$12,1))*SQRT(Settings!$B$13)))</f>
        <v/>
      </c>
      <c r="L1063" s="20">
        <f>IF(AND(ISNUMBER(D1063),ISNUMBER(H1063)),D1063-H1063,NA())</f>
        <v/>
      </c>
      <c r="M1063" s="20">
        <f>IF(AND(ISNUMBER(E1063),ISNUMBER(K1063)),E1063-K1063,NA())</f>
        <v/>
      </c>
      <c r="N1063" s="20">
        <f>IF(NOT(ISNUMBER($A1063)),NA(),IF(COUNT(OFFSET(G1063,1,0,Settings!$B$12,1))&lt;ROUNDUP(Settings!$B$12*Settings!$B$26,0),NA(),STDEV(OFFSET(G1063,1,0,Settings!$B$12,1))*SQRT(Settings!$B$13)))</f>
        <v/>
      </c>
      <c r="O1063" s="20">
        <f>IF(AND(ISNUMBER(E1063),ISNUMBER(N1063)),E1063-N1063,NA())</f>
        <v/>
      </c>
      <c r="P1063" s="19">
        <f>IF(NOT(ISNUMBER($A1063)),NA(),IF(OR($A1063&lt;MIN(KW_TP!$A$2:$A$2501),$A1063&gt;MAX(KW_TP!$A$2:$A$2501)),NA(),INDEX(KW_TP!$C$2:$C$2501,MATCH($A1063,KW_TP!$A$2:$A$2501,1))))</f>
        <v/>
      </c>
      <c r="Q1063" s="18">
        <f>IF(NOT(ISNUMBER($A1063)),NA(),IFERROR(1*INDEX(BBG_Data!$J$2:$J$4000,MATCH($A1063,BBG_Data!$I$2:$I$4000,0)),NA()))</f>
        <v/>
      </c>
      <c r="R1063" s="18">
        <f>IF(NOT(ISNUMBER($A1063)),NA(),IFERROR(1*INDEX(BBG_Data!$L$2:$L$4000,MATCH($A1063,BBG_Data!$K$2:$K$4000,0)),NA()))</f>
        <v/>
      </c>
      <c r="S1063" s="20">
        <f>IF(AND(ISNUMBER(B1063),ISNUMBER(Q1063),ISNUMBER(R1063)),(B1063-Q1063-R1063)*100,NA())</f>
        <v/>
      </c>
      <c r="T1063" s="20">
        <f>IF(AND(ISNUMBER(B1063),Settings!$B$17&gt;0),IF(ISNUMBER(INDEX($B:$B,Settings!$B$17)),(B1063-INDEX($B:$B,Settings!$B$17))*100,NA()),NA())</f>
        <v/>
      </c>
      <c r="U1063" s="20">
        <f>IF(AND(ISNUMBER(Q1063),Settings!$B$17&gt;0),IF(ISNUMBER(INDEX($Q:$Q,Settings!$B$17)),(Q1063-INDEX($Q:$Q,Settings!$B$17))*100,NA()),NA())</f>
        <v/>
      </c>
      <c r="V1063" s="20">
        <f>IF(AND(ISNUMBER(R1063),Settings!$B$17&gt;0),IF(ISNUMBER(INDEX($R:$R,Settings!$B$17)),(R1063-INDEX($R:$R,Settings!$B$17))*100,NA()),NA())</f>
        <v/>
      </c>
      <c r="W1063" s="20">
        <f>IF(AND(ISNUMBER(P1063),Settings!$B$17&gt;0),IF(ISNUMBER(INDEX($P:$P,Settings!$B$17)),P1063-INDEX($P:$P,Settings!$B$17),NA()),NA())</f>
        <v/>
      </c>
      <c r="X1063" s="19">
        <f>IF(NOT(ISNUMBER($A1063)),NA(),IF(OR($A1063&lt;MIN(DKW_10Y!$A$2:$A$2918),$A1063&gt;MAX(DKW_10Y!$A$2:$A$2918),Settings!$B$16&lt;MIN(DKW_10Y!$A$2:$A$2918)),NA(),(INDEX(DKW_10Y!$B$2:$B$2918,MATCH($A1063,DKW_10Y!$A$2:$A$2918,1))-INDEX(DKW_10Y!$B$2:$B$2918,MATCH(Settings!$B$16,DKW_10Y!$A$2:$A$2918,1)))*100))</f>
        <v/>
      </c>
      <c r="Y1063" s="19">
        <f>IF(NOT(ISNUMBER($A1063)),NA(),IF(OR($A1063&lt;MIN(DKW_10Y!$A$2:$A$2918),$A1063&gt;MAX(DKW_10Y!$A$2:$A$2918),Settings!$B$16&lt;MIN(DKW_10Y!$A$2:$A$2918)),NA(),(INDEX(DKW_10Y!$C$2:$C$2918,MATCH($A1063,DKW_10Y!$A$2:$A$2918,1))-INDEX(DKW_10Y!$C$2:$C$2918,MATCH(Settings!$B$16,DKW_10Y!$A$2:$A$2918,1)))*100))</f>
        <v/>
      </c>
      <c r="Z1063" s="19">
        <f>IF(NOT(ISNUMBER($A1063)),NA(),IF(OR($A1063&lt;MIN(DKW_10Y!$A$2:$A$2918),$A1063&gt;MAX(DKW_10Y!$A$2:$A$2918),Settings!$B$16&lt;MIN(DKW_10Y!$A$2:$A$2918)),NA(),(INDEX(DKW_10Y!$D$2:$D$2918,MATCH($A1063,DKW_10Y!$A$2:$A$2918,1))-INDEX(DKW_10Y!$D$2:$D$2918,MATCH(Settings!$B$16,DKW_10Y!$A$2:$A$2918,1)))*100))</f>
        <v/>
      </c>
      <c r="AA1063" s="19">
        <f>IF(NOT(ISNUMBER($A1063)),NA(),IF(OR($A1063&lt;MIN(DKW_10Y!$A$2:$A$2918),$A1063&gt;MAX(DKW_10Y!$A$2:$A$2918),Settings!$B$16&lt;MIN(DKW_10Y!$A$2:$A$2918)),NA(),(INDEX(DKW_10Y!$E$2:$E$2918,MATCH($A1063,DKW_10Y!$A$2:$A$2918,1))-INDEX(DKW_10Y!$E$2:$E$2918,MATCH(Settings!$B$16,DKW_10Y!$A$2:$A$2918,1)))*100))</f>
        <v/>
      </c>
      <c r="AB1063" s="19">
        <f>IF(NOT(ISNUMBER($A1063)),NA(),IF(OR($A1063&lt;MIN(DKW_10Y!$A$2:$A$2918),$A1063&gt;MAX(DKW_10Y!$A$2:$A$2918),Settings!$B$16&lt;MIN(DKW_10Y!$A$2:$A$2918)),NA(),(INDEX(DKW_10Y!$H$2:$H$2918,MATCH($A1063,DKW_10Y!$A$2:$A$2918,1))-INDEX(DKW_10Y!$H$2:$H$2918,MATCH(Settings!$B$16,DKW_10Y!$A$2:$A$2918,1)))*100))</f>
        <v/>
      </c>
      <c r="AC1063" s="18">
        <f>IF(NOT(ISNUMBER($A1063)),NA(),IFERROR(1*INDEX(BBG_Data!$N$2:$N$4000,MATCH($A1063,BBG_Data!$M$2:$M$4000,0)),NA()))</f>
        <v/>
      </c>
      <c r="AD1063" s="18">
        <f>IF(NOT(ISNUMBER($A1063)),NA(),IFERROR(1*INDEX(BBG_Data!$P$2:$P$4000,MATCH($A1063,BBG_Data!$O$2:$O$4000,0)),NA()))</f>
        <v/>
      </c>
      <c r="AE1063" s="18">
        <f>IF(NOT(ISNUMBER($A1063)),NA(),IFERROR(1*INDEX(BBG_Data!$R$2:$R$4000,MATCH($A1063,BBG_Data!$Q$2:$Q$4000,0)),NA()))</f>
        <v/>
      </c>
      <c r="AF1063" s="20">
        <f>IF(AND(ISNUMBER(B1063),ISNUMBER(AC1063)),(B1063-AC1063)*100,NA())</f>
        <v/>
      </c>
      <c r="AG1063" s="20">
        <f>IF(AND(ISNUMBER(AE1063),ISNUMBER(AD1063)),(AE1063-AD1063)*100,NA())</f>
        <v/>
      </c>
      <c r="AH1063" s="19">
        <f>IF(NOT(ISNUMBER($A1063)),NA(),IFERROR(INDEX(BBG_Data!$T$2:$T$4000,MATCH($A1063,BBG_Data!$S$2:$S$4000,0))*Settings!$B$25,NA()))</f>
        <v/>
      </c>
      <c r="AI1063" s="19">
        <f>IF(NOT(ISNUMBER($A1063)),NA(),IFERROR(INDEX(BBG_Data!$V$2:$V$4000,MATCH($A1063,BBG_Data!$U$2:$U$4000,0))*Settings!$B$25,NA()))</f>
        <v/>
      </c>
      <c r="AJ1063" s="19">
        <f>IF(NOT(ISNUMBER($A1063)),NA(),IFERROR(1*INDEX(BBG_Data!$X$2:$X$4000,MATCH($A1063,BBG_Data!$W$2:$W$4000,0)),NA()))</f>
        <v/>
      </c>
      <c r="AK1063" s="19">
        <f>IF(NOT(ISNUMBER($A1063)),NA(),IFERROR(1*INDEX(BBG_Data!$Z$2:$Z$4000,MATCH($A1063,BBG_Data!$Y$2:$Y$4000,0)),NA()))</f>
        <v/>
      </c>
    </row>
    <row r="1064">
      <c r="A1064" s="17">
        <f>IF(ISNUMBER(BBG_Data!A1064),BBG_Data!A1064,"")</f>
        <v/>
      </c>
      <c r="B1064" s="18">
        <f>IF(AND(ISNUMBER($A1064),ISNUMBER(BBG_Data!B1064)),BBG_Data!B1064,NA())</f>
        <v/>
      </c>
      <c r="C1064" s="18">
        <f>IF(NOT(ISNUMBER($A1064)),NA(),IFERROR(1*INDEX(BBG_Data!$D$2:$D$4000,MATCH($A1064,BBG_Data!$C$2:$C$4000,0)),NA()))</f>
        <v/>
      </c>
      <c r="D1064" s="19">
        <f>IF(NOT(ISNUMBER($A1064)),NA(),IFERROR(1*INDEX(BBG_Data!$F$2:$F$4000,MATCH($A1064,BBG_Data!$E$2:$E$4000,0)),NA()))</f>
        <v/>
      </c>
      <c r="E1064" s="19">
        <f>IF(NOT(ISNUMBER($A1064)),NA(),IFERROR(1*INDEX(BBG_Data!$H$2:$H$4000,MATCH($A1064,BBG_Data!$G$2:$G$4000,0)),NA()))</f>
        <v/>
      </c>
      <c r="F1064" s="20">
        <f>IF(AND(ISNUMBER(B1064),ISNUMBER(B1063)),IF(B1064=B1063,"",(B1064-B1063)*100),"")</f>
        <v/>
      </c>
      <c r="G1064" s="20">
        <f>IF(AND(ISNUMBER(C1064),ISNUMBER(C1063)),IF(C1064=C1063,"",(C1064-C1063)*100),"")</f>
        <v/>
      </c>
      <c r="H1064" s="20">
        <f>IF(OR(NOT(ISNUMBER($A1064)),ROW()-2&lt;Settings!$B$11),NA(),IF(COUNT(OFFSET(F1064,1-Settings!$B$11,0,Settings!$B$11,1))&lt;ROUNDUP(Settings!$B$11*Settings!$B$26,0),NA(),STDEV(OFFSET(F1064,1-Settings!$B$11,0,Settings!$B$11,1))*SQRT(Settings!$B$13)))</f>
        <v/>
      </c>
      <c r="I1064" s="20">
        <f>IF(OR(NOT(ISNUMBER($A1064)),ROW()-2&lt;Settings!$B$12),NA(),IF(COUNT(OFFSET(F1064,1-Settings!$B$12,0,Settings!$B$12,1))&lt;ROUNDUP(Settings!$B$12*Settings!$B$26,0),NA(),STDEV(OFFSET(F1064,1-Settings!$B$12,0,Settings!$B$12,1))*SQRT(Settings!$B$13)))</f>
        <v/>
      </c>
      <c r="J1064" s="20">
        <f>IF(OR(NOT(ISNUMBER($A1064)),ROW()-2&lt;Settings!$B$11),NA(),IF(COUNT(OFFSET(G1064,1-Settings!$B$11,0,Settings!$B$11,1))&lt;ROUNDUP(Settings!$B$11*Settings!$B$26,0),NA(),STDEV(OFFSET(G1064,1-Settings!$B$11,0,Settings!$B$11,1))*SQRT(Settings!$B$13)))</f>
        <v/>
      </c>
      <c r="K1064" s="20">
        <f>IF(OR(NOT(ISNUMBER($A1064)),ROW()-2&lt;Settings!$B$12),NA(),IF(COUNT(OFFSET(G1064,1-Settings!$B$12,0,Settings!$B$12,1))&lt;ROUNDUP(Settings!$B$12*Settings!$B$26,0),NA(),STDEV(OFFSET(G1064,1-Settings!$B$12,0,Settings!$B$12,1))*SQRT(Settings!$B$13)))</f>
        <v/>
      </c>
      <c r="L1064" s="20">
        <f>IF(AND(ISNUMBER(D1064),ISNUMBER(H1064)),D1064-H1064,NA())</f>
        <v/>
      </c>
      <c r="M1064" s="20">
        <f>IF(AND(ISNUMBER(E1064),ISNUMBER(K1064)),E1064-K1064,NA())</f>
        <v/>
      </c>
      <c r="N1064" s="20">
        <f>IF(NOT(ISNUMBER($A1064)),NA(),IF(COUNT(OFFSET(G1064,1,0,Settings!$B$12,1))&lt;ROUNDUP(Settings!$B$12*Settings!$B$26,0),NA(),STDEV(OFFSET(G1064,1,0,Settings!$B$12,1))*SQRT(Settings!$B$13)))</f>
        <v/>
      </c>
      <c r="O1064" s="20">
        <f>IF(AND(ISNUMBER(E1064),ISNUMBER(N1064)),E1064-N1064,NA())</f>
        <v/>
      </c>
      <c r="P1064" s="19">
        <f>IF(NOT(ISNUMBER($A1064)),NA(),IF(OR($A1064&lt;MIN(KW_TP!$A$2:$A$2501),$A1064&gt;MAX(KW_TP!$A$2:$A$2501)),NA(),INDEX(KW_TP!$C$2:$C$2501,MATCH($A1064,KW_TP!$A$2:$A$2501,1))))</f>
        <v/>
      </c>
      <c r="Q1064" s="18">
        <f>IF(NOT(ISNUMBER($A1064)),NA(),IFERROR(1*INDEX(BBG_Data!$J$2:$J$4000,MATCH($A1064,BBG_Data!$I$2:$I$4000,0)),NA()))</f>
        <v/>
      </c>
      <c r="R1064" s="18">
        <f>IF(NOT(ISNUMBER($A1064)),NA(),IFERROR(1*INDEX(BBG_Data!$L$2:$L$4000,MATCH($A1064,BBG_Data!$K$2:$K$4000,0)),NA()))</f>
        <v/>
      </c>
      <c r="S1064" s="20">
        <f>IF(AND(ISNUMBER(B1064),ISNUMBER(Q1064),ISNUMBER(R1064)),(B1064-Q1064-R1064)*100,NA())</f>
        <v/>
      </c>
      <c r="T1064" s="20">
        <f>IF(AND(ISNUMBER(B1064),Settings!$B$17&gt;0),IF(ISNUMBER(INDEX($B:$B,Settings!$B$17)),(B1064-INDEX($B:$B,Settings!$B$17))*100,NA()),NA())</f>
        <v/>
      </c>
      <c r="U1064" s="20">
        <f>IF(AND(ISNUMBER(Q1064),Settings!$B$17&gt;0),IF(ISNUMBER(INDEX($Q:$Q,Settings!$B$17)),(Q1064-INDEX($Q:$Q,Settings!$B$17))*100,NA()),NA())</f>
        <v/>
      </c>
      <c r="V1064" s="20">
        <f>IF(AND(ISNUMBER(R1064),Settings!$B$17&gt;0),IF(ISNUMBER(INDEX($R:$R,Settings!$B$17)),(R1064-INDEX($R:$R,Settings!$B$17))*100,NA()),NA())</f>
        <v/>
      </c>
      <c r="W1064" s="20">
        <f>IF(AND(ISNUMBER(P1064),Settings!$B$17&gt;0),IF(ISNUMBER(INDEX($P:$P,Settings!$B$17)),P1064-INDEX($P:$P,Settings!$B$17),NA()),NA())</f>
        <v/>
      </c>
      <c r="X1064" s="19">
        <f>IF(NOT(ISNUMBER($A1064)),NA(),IF(OR($A1064&lt;MIN(DKW_10Y!$A$2:$A$2918),$A1064&gt;MAX(DKW_10Y!$A$2:$A$2918),Settings!$B$16&lt;MIN(DKW_10Y!$A$2:$A$2918)),NA(),(INDEX(DKW_10Y!$B$2:$B$2918,MATCH($A1064,DKW_10Y!$A$2:$A$2918,1))-INDEX(DKW_10Y!$B$2:$B$2918,MATCH(Settings!$B$16,DKW_10Y!$A$2:$A$2918,1)))*100))</f>
        <v/>
      </c>
      <c r="Y1064" s="19">
        <f>IF(NOT(ISNUMBER($A1064)),NA(),IF(OR($A1064&lt;MIN(DKW_10Y!$A$2:$A$2918),$A1064&gt;MAX(DKW_10Y!$A$2:$A$2918),Settings!$B$16&lt;MIN(DKW_10Y!$A$2:$A$2918)),NA(),(INDEX(DKW_10Y!$C$2:$C$2918,MATCH($A1064,DKW_10Y!$A$2:$A$2918,1))-INDEX(DKW_10Y!$C$2:$C$2918,MATCH(Settings!$B$16,DKW_10Y!$A$2:$A$2918,1)))*100))</f>
        <v/>
      </c>
      <c r="Z1064" s="19">
        <f>IF(NOT(ISNUMBER($A1064)),NA(),IF(OR($A1064&lt;MIN(DKW_10Y!$A$2:$A$2918),$A1064&gt;MAX(DKW_10Y!$A$2:$A$2918),Settings!$B$16&lt;MIN(DKW_10Y!$A$2:$A$2918)),NA(),(INDEX(DKW_10Y!$D$2:$D$2918,MATCH($A1064,DKW_10Y!$A$2:$A$2918,1))-INDEX(DKW_10Y!$D$2:$D$2918,MATCH(Settings!$B$16,DKW_10Y!$A$2:$A$2918,1)))*100))</f>
        <v/>
      </c>
      <c r="AA1064" s="19">
        <f>IF(NOT(ISNUMBER($A1064)),NA(),IF(OR($A1064&lt;MIN(DKW_10Y!$A$2:$A$2918),$A1064&gt;MAX(DKW_10Y!$A$2:$A$2918),Settings!$B$16&lt;MIN(DKW_10Y!$A$2:$A$2918)),NA(),(INDEX(DKW_10Y!$E$2:$E$2918,MATCH($A1064,DKW_10Y!$A$2:$A$2918,1))-INDEX(DKW_10Y!$E$2:$E$2918,MATCH(Settings!$B$16,DKW_10Y!$A$2:$A$2918,1)))*100))</f>
        <v/>
      </c>
      <c r="AB1064" s="19">
        <f>IF(NOT(ISNUMBER($A1064)),NA(),IF(OR($A1064&lt;MIN(DKW_10Y!$A$2:$A$2918),$A1064&gt;MAX(DKW_10Y!$A$2:$A$2918),Settings!$B$16&lt;MIN(DKW_10Y!$A$2:$A$2918)),NA(),(INDEX(DKW_10Y!$H$2:$H$2918,MATCH($A1064,DKW_10Y!$A$2:$A$2918,1))-INDEX(DKW_10Y!$H$2:$H$2918,MATCH(Settings!$B$16,DKW_10Y!$A$2:$A$2918,1)))*100))</f>
        <v/>
      </c>
      <c r="AC1064" s="18">
        <f>IF(NOT(ISNUMBER($A1064)),NA(),IFERROR(1*INDEX(BBG_Data!$N$2:$N$4000,MATCH($A1064,BBG_Data!$M$2:$M$4000,0)),NA()))</f>
        <v/>
      </c>
      <c r="AD1064" s="18">
        <f>IF(NOT(ISNUMBER($A1064)),NA(),IFERROR(1*INDEX(BBG_Data!$P$2:$P$4000,MATCH($A1064,BBG_Data!$O$2:$O$4000,0)),NA()))</f>
        <v/>
      </c>
      <c r="AE1064" s="18">
        <f>IF(NOT(ISNUMBER($A1064)),NA(),IFERROR(1*INDEX(BBG_Data!$R$2:$R$4000,MATCH($A1064,BBG_Data!$Q$2:$Q$4000,0)),NA()))</f>
        <v/>
      </c>
      <c r="AF1064" s="20">
        <f>IF(AND(ISNUMBER(B1064),ISNUMBER(AC1064)),(B1064-AC1064)*100,NA())</f>
        <v/>
      </c>
      <c r="AG1064" s="20">
        <f>IF(AND(ISNUMBER(AE1064),ISNUMBER(AD1064)),(AE1064-AD1064)*100,NA())</f>
        <v/>
      </c>
      <c r="AH1064" s="19">
        <f>IF(NOT(ISNUMBER($A1064)),NA(),IFERROR(INDEX(BBG_Data!$T$2:$T$4000,MATCH($A1064,BBG_Data!$S$2:$S$4000,0))*Settings!$B$25,NA()))</f>
        <v/>
      </c>
      <c r="AI1064" s="19">
        <f>IF(NOT(ISNUMBER($A1064)),NA(),IFERROR(INDEX(BBG_Data!$V$2:$V$4000,MATCH($A1064,BBG_Data!$U$2:$U$4000,0))*Settings!$B$25,NA()))</f>
        <v/>
      </c>
      <c r="AJ1064" s="19">
        <f>IF(NOT(ISNUMBER($A1064)),NA(),IFERROR(1*INDEX(BBG_Data!$X$2:$X$4000,MATCH($A1064,BBG_Data!$W$2:$W$4000,0)),NA()))</f>
        <v/>
      </c>
      <c r="AK1064" s="19">
        <f>IF(NOT(ISNUMBER($A1064)),NA(),IFERROR(1*INDEX(BBG_Data!$Z$2:$Z$4000,MATCH($A1064,BBG_Data!$Y$2:$Y$4000,0)),NA()))</f>
        <v/>
      </c>
    </row>
    <row r="1065">
      <c r="A1065" s="17">
        <f>IF(ISNUMBER(BBG_Data!A1065),BBG_Data!A1065,"")</f>
        <v/>
      </c>
      <c r="B1065" s="18">
        <f>IF(AND(ISNUMBER($A1065),ISNUMBER(BBG_Data!B1065)),BBG_Data!B1065,NA())</f>
        <v/>
      </c>
      <c r="C1065" s="18">
        <f>IF(NOT(ISNUMBER($A1065)),NA(),IFERROR(1*INDEX(BBG_Data!$D$2:$D$4000,MATCH($A1065,BBG_Data!$C$2:$C$4000,0)),NA()))</f>
        <v/>
      </c>
      <c r="D1065" s="19">
        <f>IF(NOT(ISNUMBER($A1065)),NA(),IFERROR(1*INDEX(BBG_Data!$F$2:$F$4000,MATCH($A1065,BBG_Data!$E$2:$E$4000,0)),NA()))</f>
        <v/>
      </c>
      <c r="E1065" s="19">
        <f>IF(NOT(ISNUMBER($A1065)),NA(),IFERROR(1*INDEX(BBG_Data!$H$2:$H$4000,MATCH($A1065,BBG_Data!$G$2:$G$4000,0)),NA()))</f>
        <v/>
      </c>
      <c r="F1065" s="20">
        <f>IF(AND(ISNUMBER(B1065),ISNUMBER(B1064)),IF(B1065=B1064,"",(B1065-B1064)*100),"")</f>
        <v/>
      </c>
      <c r="G1065" s="20">
        <f>IF(AND(ISNUMBER(C1065),ISNUMBER(C1064)),IF(C1065=C1064,"",(C1065-C1064)*100),"")</f>
        <v/>
      </c>
      <c r="H1065" s="20">
        <f>IF(OR(NOT(ISNUMBER($A1065)),ROW()-2&lt;Settings!$B$11),NA(),IF(COUNT(OFFSET(F1065,1-Settings!$B$11,0,Settings!$B$11,1))&lt;ROUNDUP(Settings!$B$11*Settings!$B$26,0),NA(),STDEV(OFFSET(F1065,1-Settings!$B$11,0,Settings!$B$11,1))*SQRT(Settings!$B$13)))</f>
        <v/>
      </c>
      <c r="I1065" s="20">
        <f>IF(OR(NOT(ISNUMBER($A1065)),ROW()-2&lt;Settings!$B$12),NA(),IF(COUNT(OFFSET(F1065,1-Settings!$B$12,0,Settings!$B$12,1))&lt;ROUNDUP(Settings!$B$12*Settings!$B$26,0),NA(),STDEV(OFFSET(F1065,1-Settings!$B$12,0,Settings!$B$12,1))*SQRT(Settings!$B$13)))</f>
        <v/>
      </c>
      <c r="J1065" s="20">
        <f>IF(OR(NOT(ISNUMBER($A1065)),ROW()-2&lt;Settings!$B$11),NA(),IF(COUNT(OFFSET(G1065,1-Settings!$B$11,0,Settings!$B$11,1))&lt;ROUNDUP(Settings!$B$11*Settings!$B$26,0),NA(),STDEV(OFFSET(G1065,1-Settings!$B$11,0,Settings!$B$11,1))*SQRT(Settings!$B$13)))</f>
        <v/>
      </c>
      <c r="K1065" s="20">
        <f>IF(OR(NOT(ISNUMBER($A1065)),ROW()-2&lt;Settings!$B$12),NA(),IF(COUNT(OFFSET(G1065,1-Settings!$B$12,0,Settings!$B$12,1))&lt;ROUNDUP(Settings!$B$12*Settings!$B$26,0),NA(),STDEV(OFFSET(G1065,1-Settings!$B$12,0,Settings!$B$12,1))*SQRT(Settings!$B$13)))</f>
        <v/>
      </c>
      <c r="L1065" s="20">
        <f>IF(AND(ISNUMBER(D1065),ISNUMBER(H1065)),D1065-H1065,NA())</f>
        <v/>
      </c>
      <c r="M1065" s="20">
        <f>IF(AND(ISNUMBER(E1065),ISNUMBER(K1065)),E1065-K1065,NA())</f>
        <v/>
      </c>
      <c r="N1065" s="20">
        <f>IF(NOT(ISNUMBER($A1065)),NA(),IF(COUNT(OFFSET(G1065,1,0,Settings!$B$12,1))&lt;ROUNDUP(Settings!$B$12*Settings!$B$26,0),NA(),STDEV(OFFSET(G1065,1,0,Settings!$B$12,1))*SQRT(Settings!$B$13)))</f>
        <v/>
      </c>
      <c r="O1065" s="20">
        <f>IF(AND(ISNUMBER(E1065),ISNUMBER(N1065)),E1065-N1065,NA())</f>
        <v/>
      </c>
      <c r="P1065" s="19">
        <f>IF(NOT(ISNUMBER($A1065)),NA(),IF(OR($A1065&lt;MIN(KW_TP!$A$2:$A$2501),$A1065&gt;MAX(KW_TP!$A$2:$A$2501)),NA(),INDEX(KW_TP!$C$2:$C$2501,MATCH($A1065,KW_TP!$A$2:$A$2501,1))))</f>
        <v/>
      </c>
      <c r="Q1065" s="18">
        <f>IF(NOT(ISNUMBER($A1065)),NA(),IFERROR(1*INDEX(BBG_Data!$J$2:$J$4000,MATCH($A1065,BBG_Data!$I$2:$I$4000,0)),NA()))</f>
        <v/>
      </c>
      <c r="R1065" s="18">
        <f>IF(NOT(ISNUMBER($A1065)),NA(),IFERROR(1*INDEX(BBG_Data!$L$2:$L$4000,MATCH($A1065,BBG_Data!$K$2:$K$4000,0)),NA()))</f>
        <v/>
      </c>
      <c r="S1065" s="20">
        <f>IF(AND(ISNUMBER(B1065),ISNUMBER(Q1065),ISNUMBER(R1065)),(B1065-Q1065-R1065)*100,NA())</f>
        <v/>
      </c>
      <c r="T1065" s="20">
        <f>IF(AND(ISNUMBER(B1065),Settings!$B$17&gt;0),IF(ISNUMBER(INDEX($B:$B,Settings!$B$17)),(B1065-INDEX($B:$B,Settings!$B$17))*100,NA()),NA())</f>
        <v/>
      </c>
      <c r="U1065" s="20">
        <f>IF(AND(ISNUMBER(Q1065),Settings!$B$17&gt;0),IF(ISNUMBER(INDEX($Q:$Q,Settings!$B$17)),(Q1065-INDEX($Q:$Q,Settings!$B$17))*100,NA()),NA())</f>
        <v/>
      </c>
      <c r="V1065" s="20">
        <f>IF(AND(ISNUMBER(R1065),Settings!$B$17&gt;0),IF(ISNUMBER(INDEX($R:$R,Settings!$B$17)),(R1065-INDEX($R:$R,Settings!$B$17))*100,NA()),NA())</f>
        <v/>
      </c>
      <c r="W1065" s="20">
        <f>IF(AND(ISNUMBER(P1065),Settings!$B$17&gt;0),IF(ISNUMBER(INDEX($P:$P,Settings!$B$17)),P1065-INDEX($P:$P,Settings!$B$17),NA()),NA())</f>
        <v/>
      </c>
      <c r="X1065" s="19">
        <f>IF(NOT(ISNUMBER($A1065)),NA(),IF(OR($A1065&lt;MIN(DKW_10Y!$A$2:$A$2918),$A1065&gt;MAX(DKW_10Y!$A$2:$A$2918),Settings!$B$16&lt;MIN(DKW_10Y!$A$2:$A$2918)),NA(),(INDEX(DKW_10Y!$B$2:$B$2918,MATCH($A1065,DKW_10Y!$A$2:$A$2918,1))-INDEX(DKW_10Y!$B$2:$B$2918,MATCH(Settings!$B$16,DKW_10Y!$A$2:$A$2918,1)))*100))</f>
        <v/>
      </c>
      <c r="Y1065" s="19">
        <f>IF(NOT(ISNUMBER($A1065)),NA(),IF(OR($A1065&lt;MIN(DKW_10Y!$A$2:$A$2918),$A1065&gt;MAX(DKW_10Y!$A$2:$A$2918),Settings!$B$16&lt;MIN(DKW_10Y!$A$2:$A$2918)),NA(),(INDEX(DKW_10Y!$C$2:$C$2918,MATCH($A1065,DKW_10Y!$A$2:$A$2918,1))-INDEX(DKW_10Y!$C$2:$C$2918,MATCH(Settings!$B$16,DKW_10Y!$A$2:$A$2918,1)))*100))</f>
        <v/>
      </c>
      <c r="Z1065" s="19">
        <f>IF(NOT(ISNUMBER($A1065)),NA(),IF(OR($A1065&lt;MIN(DKW_10Y!$A$2:$A$2918),$A1065&gt;MAX(DKW_10Y!$A$2:$A$2918),Settings!$B$16&lt;MIN(DKW_10Y!$A$2:$A$2918)),NA(),(INDEX(DKW_10Y!$D$2:$D$2918,MATCH($A1065,DKW_10Y!$A$2:$A$2918,1))-INDEX(DKW_10Y!$D$2:$D$2918,MATCH(Settings!$B$16,DKW_10Y!$A$2:$A$2918,1)))*100))</f>
        <v/>
      </c>
      <c r="AA1065" s="19">
        <f>IF(NOT(ISNUMBER($A1065)),NA(),IF(OR($A1065&lt;MIN(DKW_10Y!$A$2:$A$2918),$A1065&gt;MAX(DKW_10Y!$A$2:$A$2918),Settings!$B$16&lt;MIN(DKW_10Y!$A$2:$A$2918)),NA(),(INDEX(DKW_10Y!$E$2:$E$2918,MATCH($A1065,DKW_10Y!$A$2:$A$2918,1))-INDEX(DKW_10Y!$E$2:$E$2918,MATCH(Settings!$B$16,DKW_10Y!$A$2:$A$2918,1)))*100))</f>
        <v/>
      </c>
      <c r="AB1065" s="19">
        <f>IF(NOT(ISNUMBER($A1065)),NA(),IF(OR($A1065&lt;MIN(DKW_10Y!$A$2:$A$2918),$A1065&gt;MAX(DKW_10Y!$A$2:$A$2918),Settings!$B$16&lt;MIN(DKW_10Y!$A$2:$A$2918)),NA(),(INDEX(DKW_10Y!$H$2:$H$2918,MATCH($A1065,DKW_10Y!$A$2:$A$2918,1))-INDEX(DKW_10Y!$H$2:$H$2918,MATCH(Settings!$B$16,DKW_10Y!$A$2:$A$2918,1)))*100))</f>
        <v/>
      </c>
      <c r="AC1065" s="18">
        <f>IF(NOT(ISNUMBER($A1065)),NA(),IFERROR(1*INDEX(BBG_Data!$N$2:$N$4000,MATCH($A1065,BBG_Data!$M$2:$M$4000,0)),NA()))</f>
        <v/>
      </c>
      <c r="AD1065" s="18">
        <f>IF(NOT(ISNUMBER($A1065)),NA(),IFERROR(1*INDEX(BBG_Data!$P$2:$P$4000,MATCH($A1065,BBG_Data!$O$2:$O$4000,0)),NA()))</f>
        <v/>
      </c>
      <c r="AE1065" s="18">
        <f>IF(NOT(ISNUMBER($A1065)),NA(),IFERROR(1*INDEX(BBG_Data!$R$2:$R$4000,MATCH($A1065,BBG_Data!$Q$2:$Q$4000,0)),NA()))</f>
        <v/>
      </c>
      <c r="AF1065" s="20">
        <f>IF(AND(ISNUMBER(B1065),ISNUMBER(AC1065)),(B1065-AC1065)*100,NA())</f>
        <v/>
      </c>
      <c r="AG1065" s="20">
        <f>IF(AND(ISNUMBER(AE1065),ISNUMBER(AD1065)),(AE1065-AD1065)*100,NA())</f>
        <v/>
      </c>
      <c r="AH1065" s="19">
        <f>IF(NOT(ISNUMBER($A1065)),NA(),IFERROR(INDEX(BBG_Data!$T$2:$T$4000,MATCH($A1065,BBG_Data!$S$2:$S$4000,0))*Settings!$B$25,NA()))</f>
        <v/>
      </c>
      <c r="AI1065" s="19">
        <f>IF(NOT(ISNUMBER($A1065)),NA(),IFERROR(INDEX(BBG_Data!$V$2:$V$4000,MATCH($A1065,BBG_Data!$U$2:$U$4000,0))*Settings!$B$25,NA()))</f>
        <v/>
      </c>
      <c r="AJ1065" s="19">
        <f>IF(NOT(ISNUMBER($A1065)),NA(),IFERROR(1*INDEX(BBG_Data!$X$2:$X$4000,MATCH($A1065,BBG_Data!$W$2:$W$4000,0)),NA()))</f>
        <v/>
      </c>
      <c r="AK1065" s="19">
        <f>IF(NOT(ISNUMBER($A1065)),NA(),IFERROR(1*INDEX(BBG_Data!$Z$2:$Z$4000,MATCH($A1065,BBG_Data!$Y$2:$Y$4000,0)),NA()))</f>
        <v/>
      </c>
    </row>
    <row r="1066">
      <c r="A1066" s="17">
        <f>IF(ISNUMBER(BBG_Data!A1066),BBG_Data!A1066,"")</f>
        <v/>
      </c>
      <c r="B1066" s="18">
        <f>IF(AND(ISNUMBER($A1066),ISNUMBER(BBG_Data!B1066)),BBG_Data!B1066,NA())</f>
        <v/>
      </c>
      <c r="C1066" s="18">
        <f>IF(NOT(ISNUMBER($A1066)),NA(),IFERROR(1*INDEX(BBG_Data!$D$2:$D$4000,MATCH($A1066,BBG_Data!$C$2:$C$4000,0)),NA()))</f>
        <v/>
      </c>
      <c r="D1066" s="19">
        <f>IF(NOT(ISNUMBER($A1066)),NA(),IFERROR(1*INDEX(BBG_Data!$F$2:$F$4000,MATCH($A1066,BBG_Data!$E$2:$E$4000,0)),NA()))</f>
        <v/>
      </c>
      <c r="E1066" s="19">
        <f>IF(NOT(ISNUMBER($A1066)),NA(),IFERROR(1*INDEX(BBG_Data!$H$2:$H$4000,MATCH($A1066,BBG_Data!$G$2:$G$4000,0)),NA()))</f>
        <v/>
      </c>
      <c r="F1066" s="20">
        <f>IF(AND(ISNUMBER(B1066),ISNUMBER(B1065)),IF(B1066=B1065,"",(B1066-B1065)*100),"")</f>
        <v/>
      </c>
      <c r="G1066" s="20">
        <f>IF(AND(ISNUMBER(C1066),ISNUMBER(C1065)),IF(C1066=C1065,"",(C1066-C1065)*100),"")</f>
        <v/>
      </c>
      <c r="H1066" s="20">
        <f>IF(OR(NOT(ISNUMBER($A1066)),ROW()-2&lt;Settings!$B$11),NA(),IF(COUNT(OFFSET(F1066,1-Settings!$B$11,0,Settings!$B$11,1))&lt;ROUNDUP(Settings!$B$11*Settings!$B$26,0),NA(),STDEV(OFFSET(F1066,1-Settings!$B$11,0,Settings!$B$11,1))*SQRT(Settings!$B$13)))</f>
        <v/>
      </c>
      <c r="I1066" s="20">
        <f>IF(OR(NOT(ISNUMBER($A1066)),ROW()-2&lt;Settings!$B$12),NA(),IF(COUNT(OFFSET(F1066,1-Settings!$B$12,0,Settings!$B$12,1))&lt;ROUNDUP(Settings!$B$12*Settings!$B$26,0),NA(),STDEV(OFFSET(F1066,1-Settings!$B$12,0,Settings!$B$12,1))*SQRT(Settings!$B$13)))</f>
        <v/>
      </c>
      <c r="J1066" s="20">
        <f>IF(OR(NOT(ISNUMBER($A1066)),ROW()-2&lt;Settings!$B$11),NA(),IF(COUNT(OFFSET(G1066,1-Settings!$B$11,0,Settings!$B$11,1))&lt;ROUNDUP(Settings!$B$11*Settings!$B$26,0),NA(),STDEV(OFFSET(G1066,1-Settings!$B$11,0,Settings!$B$11,1))*SQRT(Settings!$B$13)))</f>
        <v/>
      </c>
      <c r="K1066" s="20">
        <f>IF(OR(NOT(ISNUMBER($A1066)),ROW()-2&lt;Settings!$B$12),NA(),IF(COUNT(OFFSET(G1066,1-Settings!$B$12,0,Settings!$B$12,1))&lt;ROUNDUP(Settings!$B$12*Settings!$B$26,0),NA(),STDEV(OFFSET(G1066,1-Settings!$B$12,0,Settings!$B$12,1))*SQRT(Settings!$B$13)))</f>
        <v/>
      </c>
      <c r="L1066" s="20">
        <f>IF(AND(ISNUMBER(D1066),ISNUMBER(H1066)),D1066-H1066,NA())</f>
        <v/>
      </c>
      <c r="M1066" s="20">
        <f>IF(AND(ISNUMBER(E1066),ISNUMBER(K1066)),E1066-K1066,NA())</f>
        <v/>
      </c>
      <c r="N1066" s="20">
        <f>IF(NOT(ISNUMBER($A1066)),NA(),IF(COUNT(OFFSET(G1066,1,0,Settings!$B$12,1))&lt;ROUNDUP(Settings!$B$12*Settings!$B$26,0),NA(),STDEV(OFFSET(G1066,1,0,Settings!$B$12,1))*SQRT(Settings!$B$13)))</f>
        <v/>
      </c>
      <c r="O1066" s="20">
        <f>IF(AND(ISNUMBER(E1066),ISNUMBER(N1066)),E1066-N1066,NA())</f>
        <v/>
      </c>
      <c r="P1066" s="19">
        <f>IF(NOT(ISNUMBER($A1066)),NA(),IF(OR($A1066&lt;MIN(KW_TP!$A$2:$A$2501),$A1066&gt;MAX(KW_TP!$A$2:$A$2501)),NA(),INDEX(KW_TP!$C$2:$C$2501,MATCH($A1066,KW_TP!$A$2:$A$2501,1))))</f>
        <v/>
      </c>
      <c r="Q1066" s="18">
        <f>IF(NOT(ISNUMBER($A1066)),NA(),IFERROR(1*INDEX(BBG_Data!$J$2:$J$4000,MATCH($A1066,BBG_Data!$I$2:$I$4000,0)),NA()))</f>
        <v/>
      </c>
      <c r="R1066" s="18">
        <f>IF(NOT(ISNUMBER($A1066)),NA(),IFERROR(1*INDEX(BBG_Data!$L$2:$L$4000,MATCH($A1066,BBG_Data!$K$2:$K$4000,0)),NA()))</f>
        <v/>
      </c>
      <c r="S1066" s="20">
        <f>IF(AND(ISNUMBER(B1066),ISNUMBER(Q1066),ISNUMBER(R1066)),(B1066-Q1066-R1066)*100,NA())</f>
        <v/>
      </c>
      <c r="T1066" s="20">
        <f>IF(AND(ISNUMBER(B1066),Settings!$B$17&gt;0),IF(ISNUMBER(INDEX($B:$B,Settings!$B$17)),(B1066-INDEX($B:$B,Settings!$B$17))*100,NA()),NA())</f>
        <v/>
      </c>
      <c r="U1066" s="20">
        <f>IF(AND(ISNUMBER(Q1066),Settings!$B$17&gt;0),IF(ISNUMBER(INDEX($Q:$Q,Settings!$B$17)),(Q1066-INDEX($Q:$Q,Settings!$B$17))*100,NA()),NA())</f>
        <v/>
      </c>
      <c r="V1066" s="20">
        <f>IF(AND(ISNUMBER(R1066),Settings!$B$17&gt;0),IF(ISNUMBER(INDEX($R:$R,Settings!$B$17)),(R1066-INDEX($R:$R,Settings!$B$17))*100,NA()),NA())</f>
        <v/>
      </c>
      <c r="W1066" s="20">
        <f>IF(AND(ISNUMBER(P1066),Settings!$B$17&gt;0),IF(ISNUMBER(INDEX($P:$P,Settings!$B$17)),P1066-INDEX($P:$P,Settings!$B$17),NA()),NA())</f>
        <v/>
      </c>
      <c r="X1066" s="19">
        <f>IF(NOT(ISNUMBER($A1066)),NA(),IF(OR($A1066&lt;MIN(DKW_10Y!$A$2:$A$2918),$A1066&gt;MAX(DKW_10Y!$A$2:$A$2918),Settings!$B$16&lt;MIN(DKW_10Y!$A$2:$A$2918)),NA(),(INDEX(DKW_10Y!$B$2:$B$2918,MATCH($A1066,DKW_10Y!$A$2:$A$2918,1))-INDEX(DKW_10Y!$B$2:$B$2918,MATCH(Settings!$B$16,DKW_10Y!$A$2:$A$2918,1)))*100))</f>
        <v/>
      </c>
      <c r="Y1066" s="19">
        <f>IF(NOT(ISNUMBER($A1066)),NA(),IF(OR($A1066&lt;MIN(DKW_10Y!$A$2:$A$2918),$A1066&gt;MAX(DKW_10Y!$A$2:$A$2918),Settings!$B$16&lt;MIN(DKW_10Y!$A$2:$A$2918)),NA(),(INDEX(DKW_10Y!$C$2:$C$2918,MATCH($A1066,DKW_10Y!$A$2:$A$2918,1))-INDEX(DKW_10Y!$C$2:$C$2918,MATCH(Settings!$B$16,DKW_10Y!$A$2:$A$2918,1)))*100))</f>
        <v/>
      </c>
      <c r="Z1066" s="19">
        <f>IF(NOT(ISNUMBER($A1066)),NA(),IF(OR($A1066&lt;MIN(DKW_10Y!$A$2:$A$2918),$A1066&gt;MAX(DKW_10Y!$A$2:$A$2918),Settings!$B$16&lt;MIN(DKW_10Y!$A$2:$A$2918)),NA(),(INDEX(DKW_10Y!$D$2:$D$2918,MATCH($A1066,DKW_10Y!$A$2:$A$2918,1))-INDEX(DKW_10Y!$D$2:$D$2918,MATCH(Settings!$B$16,DKW_10Y!$A$2:$A$2918,1)))*100))</f>
        <v/>
      </c>
      <c r="AA1066" s="19">
        <f>IF(NOT(ISNUMBER($A1066)),NA(),IF(OR($A1066&lt;MIN(DKW_10Y!$A$2:$A$2918),$A1066&gt;MAX(DKW_10Y!$A$2:$A$2918),Settings!$B$16&lt;MIN(DKW_10Y!$A$2:$A$2918)),NA(),(INDEX(DKW_10Y!$E$2:$E$2918,MATCH($A1066,DKW_10Y!$A$2:$A$2918,1))-INDEX(DKW_10Y!$E$2:$E$2918,MATCH(Settings!$B$16,DKW_10Y!$A$2:$A$2918,1)))*100))</f>
        <v/>
      </c>
      <c r="AB1066" s="19">
        <f>IF(NOT(ISNUMBER($A1066)),NA(),IF(OR($A1066&lt;MIN(DKW_10Y!$A$2:$A$2918),$A1066&gt;MAX(DKW_10Y!$A$2:$A$2918),Settings!$B$16&lt;MIN(DKW_10Y!$A$2:$A$2918)),NA(),(INDEX(DKW_10Y!$H$2:$H$2918,MATCH($A1066,DKW_10Y!$A$2:$A$2918,1))-INDEX(DKW_10Y!$H$2:$H$2918,MATCH(Settings!$B$16,DKW_10Y!$A$2:$A$2918,1)))*100))</f>
        <v/>
      </c>
      <c r="AC1066" s="18">
        <f>IF(NOT(ISNUMBER($A1066)),NA(),IFERROR(1*INDEX(BBG_Data!$N$2:$N$4000,MATCH($A1066,BBG_Data!$M$2:$M$4000,0)),NA()))</f>
        <v/>
      </c>
      <c r="AD1066" s="18">
        <f>IF(NOT(ISNUMBER($A1066)),NA(),IFERROR(1*INDEX(BBG_Data!$P$2:$P$4000,MATCH($A1066,BBG_Data!$O$2:$O$4000,0)),NA()))</f>
        <v/>
      </c>
      <c r="AE1066" s="18">
        <f>IF(NOT(ISNUMBER($A1066)),NA(),IFERROR(1*INDEX(BBG_Data!$R$2:$R$4000,MATCH($A1066,BBG_Data!$Q$2:$Q$4000,0)),NA()))</f>
        <v/>
      </c>
      <c r="AF1066" s="20">
        <f>IF(AND(ISNUMBER(B1066),ISNUMBER(AC1066)),(B1066-AC1066)*100,NA())</f>
        <v/>
      </c>
      <c r="AG1066" s="20">
        <f>IF(AND(ISNUMBER(AE1066),ISNUMBER(AD1066)),(AE1066-AD1066)*100,NA())</f>
        <v/>
      </c>
      <c r="AH1066" s="19">
        <f>IF(NOT(ISNUMBER($A1066)),NA(),IFERROR(INDEX(BBG_Data!$T$2:$T$4000,MATCH($A1066,BBG_Data!$S$2:$S$4000,0))*Settings!$B$25,NA()))</f>
        <v/>
      </c>
      <c r="AI1066" s="19">
        <f>IF(NOT(ISNUMBER($A1066)),NA(),IFERROR(INDEX(BBG_Data!$V$2:$V$4000,MATCH($A1066,BBG_Data!$U$2:$U$4000,0))*Settings!$B$25,NA()))</f>
        <v/>
      </c>
      <c r="AJ1066" s="19">
        <f>IF(NOT(ISNUMBER($A1066)),NA(),IFERROR(1*INDEX(BBG_Data!$X$2:$X$4000,MATCH($A1066,BBG_Data!$W$2:$W$4000,0)),NA()))</f>
        <v/>
      </c>
      <c r="AK1066" s="19">
        <f>IF(NOT(ISNUMBER($A1066)),NA(),IFERROR(1*INDEX(BBG_Data!$Z$2:$Z$4000,MATCH($A1066,BBG_Data!$Y$2:$Y$4000,0)),NA()))</f>
        <v/>
      </c>
    </row>
    <row r="1067">
      <c r="A1067" s="17">
        <f>IF(ISNUMBER(BBG_Data!A1067),BBG_Data!A1067,"")</f>
        <v/>
      </c>
      <c r="B1067" s="18">
        <f>IF(AND(ISNUMBER($A1067),ISNUMBER(BBG_Data!B1067)),BBG_Data!B1067,NA())</f>
        <v/>
      </c>
      <c r="C1067" s="18">
        <f>IF(NOT(ISNUMBER($A1067)),NA(),IFERROR(1*INDEX(BBG_Data!$D$2:$D$4000,MATCH($A1067,BBG_Data!$C$2:$C$4000,0)),NA()))</f>
        <v/>
      </c>
      <c r="D1067" s="19">
        <f>IF(NOT(ISNUMBER($A1067)),NA(),IFERROR(1*INDEX(BBG_Data!$F$2:$F$4000,MATCH($A1067,BBG_Data!$E$2:$E$4000,0)),NA()))</f>
        <v/>
      </c>
      <c r="E1067" s="19">
        <f>IF(NOT(ISNUMBER($A1067)),NA(),IFERROR(1*INDEX(BBG_Data!$H$2:$H$4000,MATCH($A1067,BBG_Data!$G$2:$G$4000,0)),NA()))</f>
        <v/>
      </c>
      <c r="F1067" s="20">
        <f>IF(AND(ISNUMBER(B1067),ISNUMBER(B1066)),IF(B1067=B1066,"",(B1067-B1066)*100),"")</f>
        <v/>
      </c>
      <c r="G1067" s="20">
        <f>IF(AND(ISNUMBER(C1067),ISNUMBER(C1066)),IF(C1067=C1066,"",(C1067-C1066)*100),"")</f>
        <v/>
      </c>
      <c r="H1067" s="20">
        <f>IF(OR(NOT(ISNUMBER($A1067)),ROW()-2&lt;Settings!$B$11),NA(),IF(COUNT(OFFSET(F1067,1-Settings!$B$11,0,Settings!$B$11,1))&lt;ROUNDUP(Settings!$B$11*Settings!$B$26,0),NA(),STDEV(OFFSET(F1067,1-Settings!$B$11,0,Settings!$B$11,1))*SQRT(Settings!$B$13)))</f>
        <v/>
      </c>
      <c r="I1067" s="20">
        <f>IF(OR(NOT(ISNUMBER($A1067)),ROW()-2&lt;Settings!$B$12),NA(),IF(COUNT(OFFSET(F1067,1-Settings!$B$12,0,Settings!$B$12,1))&lt;ROUNDUP(Settings!$B$12*Settings!$B$26,0),NA(),STDEV(OFFSET(F1067,1-Settings!$B$12,0,Settings!$B$12,1))*SQRT(Settings!$B$13)))</f>
        <v/>
      </c>
      <c r="J1067" s="20">
        <f>IF(OR(NOT(ISNUMBER($A1067)),ROW()-2&lt;Settings!$B$11),NA(),IF(COUNT(OFFSET(G1067,1-Settings!$B$11,0,Settings!$B$11,1))&lt;ROUNDUP(Settings!$B$11*Settings!$B$26,0),NA(),STDEV(OFFSET(G1067,1-Settings!$B$11,0,Settings!$B$11,1))*SQRT(Settings!$B$13)))</f>
        <v/>
      </c>
      <c r="K1067" s="20">
        <f>IF(OR(NOT(ISNUMBER($A1067)),ROW()-2&lt;Settings!$B$12),NA(),IF(COUNT(OFFSET(G1067,1-Settings!$B$12,0,Settings!$B$12,1))&lt;ROUNDUP(Settings!$B$12*Settings!$B$26,0),NA(),STDEV(OFFSET(G1067,1-Settings!$B$12,0,Settings!$B$12,1))*SQRT(Settings!$B$13)))</f>
        <v/>
      </c>
      <c r="L1067" s="20">
        <f>IF(AND(ISNUMBER(D1067),ISNUMBER(H1067)),D1067-H1067,NA())</f>
        <v/>
      </c>
      <c r="M1067" s="20">
        <f>IF(AND(ISNUMBER(E1067),ISNUMBER(K1067)),E1067-K1067,NA())</f>
        <v/>
      </c>
      <c r="N1067" s="20">
        <f>IF(NOT(ISNUMBER($A1067)),NA(),IF(COUNT(OFFSET(G1067,1,0,Settings!$B$12,1))&lt;ROUNDUP(Settings!$B$12*Settings!$B$26,0),NA(),STDEV(OFFSET(G1067,1,0,Settings!$B$12,1))*SQRT(Settings!$B$13)))</f>
        <v/>
      </c>
      <c r="O1067" s="20">
        <f>IF(AND(ISNUMBER(E1067),ISNUMBER(N1067)),E1067-N1067,NA())</f>
        <v/>
      </c>
      <c r="P1067" s="19">
        <f>IF(NOT(ISNUMBER($A1067)),NA(),IF(OR($A1067&lt;MIN(KW_TP!$A$2:$A$2501),$A1067&gt;MAX(KW_TP!$A$2:$A$2501)),NA(),INDEX(KW_TP!$C$2:$C$2501,MATCH($A1067,KW_TP!$A$2:$A$2501,1))))</f>
        <v/>
      </c>
      <c r="Q1067" s="18">
        <f>IF(NOT(ISNUMBER($A1067)),NA(),IFERROR(1*INDEX(BBG_Data!$J$2:$J$4000,MATCH($A1067,BBG_Data!$I$2:$I$4000,0)),NA()))</f>
        <v/>
      </c>
      <c r="R1067" s="18">
        <f>IF(NOT(ISNUMBER($A1067)),NA(),IFERROR(1*INDEX(BBG_Data!$L$2:$L$4000,MATCH($A1067,BBG_Data!$K$2:$K$4000,0)),NA()))</f>
        <v/>
      </c>
      <c r="S1067" s="20">
        <f>IF(AND(ISNUMBER(B1067),ISNUMBER(Q1067),ISNUMBER(R1067)),(B1067-Q1067-R1067)*100,NA())</f>
        <v/>
      </c>
      <c r="T1067" s="20">
        <f>IF(AND(ISNUMBER(B1067),Settings!$B$17&gt;0),IF(ISNUMBER(INDEX($B:$B,Settings!$B$17)),(B1067-INDEX($B:$B,Settings!$B$17))*100,NA()),NA())</f>
        <v/>
      </c>
      <c r="U1067" s="20">
        <f>IF(AND(ISNUMBER(Q1067),Settings!$B$17&gt;0),IF(ISNUMBER(INDEX($Q:$Q,Settings!$B$17)),(Q1067-INDEX($Q:$Q,Settings!$B$17))*100,NA()),NA())</f>
        <v/>
      </c>
      <c r="V1067" s="20">
        <f>IF(AND(ISNUMBER(R1067),Settings!$B$17&gt;0),IF(ISNUMBER(INDEX($R:$R,Settings!$B$17)),(R1067-INDEX($R:$R,Settings!$B$17))*100,NA()),NA())</f>
        <v/>
      </c>
      <c r="W1067" s="20">
        <f>IF(AND(ISNUMBER(P1067),Settings!$B$17&gt;0),IF(ISNUMBER(INDEX($P:$P,Settings!$B$17)),P1067-INDEX($P:$P,Settings!$B$17),NA()),NA())</f>
        <v/>
      </c>
      <c r="X1067" s="19">
        <f>IF(NOT(ISNUMBER($A1067)),NA(),IF(OR($A1067&lt;MIN(DKW_10Y!$A$2:$A$2918),$A1067&gt;MAX(DKW_10Y!$A$2:$A$2918),Settings!$B$16&lt;MIN(DKW_10Y!$A$2:$A$2918)),NA(),(INDEX(DKW_10Y!$B$2:$B$2918,MATCH($A1067,DKW_10Y!$A$2:$A$2918,1))-INDEX(DKW_10Y!$B$2:$B$2918,MATCH(Settings!$B$16,DKW_10Y!$A$2:$A$2918,1)))*100))</f>
        <v/>
      </c>
      <c r="Y1067" s="19">
        <f>IF(NOT(ISNUMBER($A1067)),NA(),IF(OR($A1067&lt;MIN(DKW_10Y!$A$2:$A$2918),$A1067&gt;MAX(DKW_10Y!$A$2:$A$2918),Settings!$B$16&lt;MIN(DKW_10Y!$A$2:$A$2918)),NA(),(INDEX(DKW_10Y!$C$2:$C$2918,MATCH($A1067,DKW_10Y!$A$2:$A$2918,1))-INDEX(DKW_10Y!$C$2:$C$2918,MATCH(Settings!$B$16,DKW_10Y!$A$2:$A$2918,1)))*100))</f>
        <v/>
      </c>
      <c r="Z1067" s="19">
        <f>IF(NOT(ISNUMBER($A1067)),NA(),IF(OR($A1067&lt;MIN(DKW_10Y!$A$2:$A$2918),$A1067&gt;MAX(DKW_10Y!$A$2:$A$2918),Settings!$B$16&lt;MIN(DKW_10Y!$A$2:$A$2918)),NA(),(INDEX(DKW_10Y!$D$2:$D$2918,MATCH($A1067,DKW_10Y!$A$2:$A$2918,1))-INDEX(DKW_10Y!$D$2:$D$2918,MATCH(Settings!$B$16,DKW_10Y!$A$2:$A$2918,1)))*100))</f>
        <v/>
      </c>
      <c r="AA1067" s="19">
        <f>IF(NOT(ISNUMBER($A1067)),NA(),IF(OR($A1067&lt;MIN(DKW_10Y!$A$2:$A$2918),$A1067&gt;MAX(DKW_10Y!$A$2:$A$2918),Settings!$B$16&lt;MIN(DKW_10Y!$A$2:$A$2918)),NA(),(INDEX(DKW_10Y!$E$2:$E$2918,MATCH($A1067,DKW_10Y!$A$2:$A$2918,1))-INDEX(DKW_10Y!$E$2:$E$2918,MATCH(Settings!$B$16,DKW_10Y!$A$2:$A$2918,1)))*100))</f>
        <v/>
      </c>
      <c r="AB1067" s="19">
        <f>IF(NOT(ISNUMBER($A1067)),NA(),IF(OR($A1067&lt;MIN(DKW_10Y!$A$2:$A$2918),$A1067&gt;MAX(DKW_10Y!$A$2:$A$2918),Settings!$B$16&lt;MIN(DKW_10Y!$A$2:$A$2918)),NA(),(INDEX(DKW_10Y!$H$2:$H$2918,MATCH($A1067,DKW_10Y!$A$2:$A$2918,1))-INDEX(DKW_10Y!$H$2:$H$2918,MATCH(Settings!$B$16,DKW_10Y!$A$2:$A$2918,1)))*100))</f>
        <v/>
      </c>
      <c r="AC1067" s="18">
        <f>IF(NOT(ISNUMBER($A1067)),NA(),IFERROR(1*INDEX(BBG_Data!$N$2:$N$4000,MATCH($A1067,BBG_Data!$M$2:$M$4000,0)),NA()))</f>
        <v/>
      </c>
      <c r="AD1067" s="18">
        <f>IF(NOT(ISNUMBER($A1067)),NA(),IFERROR(1*INDEX(BBG_Data!$P$2:$P$4000,MATCH($A1067,BBG_Data!$O$2:$O$4000,0)),NA()))</f>
        <v/>
      </c>
      <c r="AE1067" s="18">
        <f>IF(NOT(ISNUMBER($A1067)),NA(),IFERROR(1*INDEX(BBG_Data!$R$2:$R$4000,MATCH($A1067,BBG_Data!$Q$2:$Q$4000,0)),NA()))</f>
        <v/>
      </c>
      <c r="AF1067" s="20">
        <f>IF(AND(ISNUMBER(B1067),ISNUMBER(AC1067)),(B1067-AC1067)*100,NA())</f>
        <v/>
      </c>
      <c r="AG1067" s="20">
        <f>IF(AND(ISNUMBER(AE1067),ISNUMBER(AD1067)),(AE1067-AD1067)*100,NA())</f>
        <v/>
      </c>
      <c r="AH1067" s="19">
        <f>IF(NOT(ISNUMBER($A1067)),NA(),IFERROR(INDEX(BBG_Data!$T$2:$T$4000,MATCH($A1067,BBG_Data!$S$2:$S$4000,0))*Settings!$B$25,NA()))</f>
        <v/>
      </c>
      <c r="AI1067" s="19">
        <f>IF(NOT(ISNUMBER($A1067)),NA(),IFERROR(INDEX(BBG_Data!$V$2:$V$4000,MATCH($A1067,BBG_Data!$U$2:$U$4000,0))*Settings!$B$25,NA()))</f>
        <v/>
      </c>
      <c r="AJ1067" s="19">
        <f>IF(NOT(ISNUMBER($A1067)),NA(),IFERROR(1*INDEX(BBG_Data!$X$2:$X$4000,MATCH($A1067,BBG_Data!$W$2:$W$4000,0)),NA()))</f>
        <v/>
      </c>
      <c r="AK1067" s="19">
        <f>IF(NOT(ISNUMBER($A1067)),NA(),IFERROR(1*INDEX(BBG_Data!$Z$2:$Z$4000,MATCH($A1067,BBG_Data!$Y$2:$Y$4000,0)),NA()))</f>
        <v/>
      </c>
    </row>
    <row r="1068">
      <c r="A1068" s="17">
        <f>IF(ISNUMBER(BBG_Data!A1068),BBG_Data!A1068,"")</f>
        <v/>
      </c>
      <c r="B1068" s="18">
        <f>IF(AND(ISNUMBER($A1068),ISNUMBER(BBG_Data!B1068)),BBG_Data!B1068,NA())</f>
        <v/>
      </c>
      <c r="C1068" s="18">
        <f>IF(NOT(ISNUMBER($A1068)),NA(),IFERROR(1*INDEX(BBG_Data!$D$2:$D$4000,MATCH($A1068,BBG_Data!$C$2:$C$4000,0)),NA()))</f>
        <v/>
      </c>
      <c r="D1068" s="19">
        <f>IF(NOT(ISNUMBER($A1068)),NA(),IFERROR(1*INDEX(BBG_Data!$F$2:$F$4000,MATCH($A1068,BBG_Data!$E$2:$E$4000,0)),NA()))</f>
        <v/>
      </c>
      <c r="E1068" s="19">
        <f>IF(NOT(ISNUMBER($A1068)),NA(),IFERROR(1*INDEX(BBG_Data!$H$2:$H$4000,MATCH($A1068,BBG_Data!$G$2:$G$4000,0)),NA()))</f>
        <v/>
      </c>
      <c r="F1068" s="20">
        <f>IF(AND(ISNUMBER(B1068),ISNUMBER(B1067)),IF(B1068=B1067,"",(B1068-B1067)*100),"")</f>
        <v/>
      </c>
      <c r="G1068" s="20">
        <f>IF(AND(ISNUMBER(C1068),ISNUMBER(C1067)),IF(C1068=C1067,"",(C1068-C1067)*100),"")</f>
        <v/>
      </c>
      <c r="H1068" s="20">
        <f>IF(OR(NOT(ISNUMBER($A1068)),ROW()-2&lt;Settings!$B$11),NA(),IF(COUNT(OFFSET(F1068,1-Settings!$B$11,0,Settings!$B$11,1))&lt;ROUNDUP(Settings!$B$11*Settings!$B$26,0),NA(),STDEV(OFFSET(F1068,1-Settings!$B$11,0,Settings!$B$11,1))*SQRT(Settings!$B$13)))</f>
        <v/>
      </c>
      <c r="I1068" s="20">
        <f>IF(OR(NOT(ISNUMBER($A1068)),ROW()-2&lt;Settings!$B$12),NA(),IF(COUNT(OFFSET(F1068,1-Settings!$B$12,0,Settings!$B$12,1))&lt;ROUNDUP(Settings!$B$12*Settings!$B$26,0),NA(),STDEV(OFFSET(F1068,1-Settings!$B$12,0,Settings!$B$12,1))*SQRT(Settings!$B$13)))</f>
        <v/>
      </c>
      <c r="J1068" s="20">
        <f>IF(OR(NOT(ISNUMBER($A1068)),ROW()-2&lt;Settings!$B$11),NA(),IF(COUNT(OFFSET(G1068,1-Settings!$B$11,0,Settings!$B$11,1))&lt;ROUNDUP(Settings!$B$11*Settings!$B$26,0),NA(),STDEV(OFFSET(G1068,1-Settings!$B$11,0,Settings!$B$11,1))*SQRT(Settings!$B$13)))</f>
        <v/>
      </c>
      <c r="K1068" s="20">
        <f>IF(OR(NOT(ISNUMBER($A1068)),ROW()-2&lt;Settings!$B$12),NA(),IF(COUNT(OFFSET(G1068,1-Settings!$B$12,0,Settings!$B$12,1))&lt;ROUNDUP(Settings!$B$12*Settings!$B$26,0),NA(),STDEV(OFFSET(G1068,1-Settings!$B$12,0,Settings!$B$12,1))*SQRT(Settings!$B$13)))</f>
        <v/>
      </c>
      <c r="L1068" s="20">
        <f>IF(AND(ISNUMBER(D1068),ISNUMBER(H1068)),D1068-H1068,NA())</f>
        <v/>
      </c>
      <c r="M1068" s="20">
        <f>IF(AND(ISNUMBER(E1068),ISNUMBER(K1068)),E1068-K1068,NA())</f>
        <v/>
      </c>
      <c r="N1068" s="20">
        <f>IF(NOT(ISNUMBER($A1068)),NA(),IF(COUNT(OFFSET(G1068,1,0,Settings!$B$12,1))&lt;ROUNDUP(Settings!$B$12*Settings!$B$26,0),NA(),STDEV(OFFSET(G1068,1,0,Settings!$B$12,1))*SQRT(Settings!$B$13)))</f>
        <v/>
      </c>
      <c r="O1068" s="20">
        <f>IF(AND(ISNUMBER(E1068),ISNUMBER(N1068)),E1068-N1068,NA())</f>
        <v/>
      </c>
      <c r="P1068" s="19">
        <f>IF(NOT(ISNUMBER($A1068)),NA(),IF(OR($A1068&lt;MIN(KW_TP!$A$2:$A$2501),$A1068&gt;MAX(KW_TP!$A$2:$A$2501)),NA(),INDEX(KW_TP!$C$2:$C$2501,MATCH($A1068,KW_TP!$A$2:$A$2501,1))))</f>
        <v/>
      </c>
      <c r="Q1068" s="18">
        <f>IF(NOT(ISNUMBER($A1068)),NA(),IFERROR(1*INDEX(BBG_Data!$J$2:$J$4000,MATCH($A1068,BBG_Data!$I$2:$I$4000,0)),NA()))</f>
        <v/>
      </c>
      <c r="R1068" s="18">
        <f>IF(NOT(ISNUMBER($A1068)),NA(),IFERROR(1*INDEX(BBG_Data!$L$2:$L$4000,MATCH($A1068,BBG_Data!$K$2:$K$4000,0)),NA()))</f>
        <v/>
      </c>
      <c r="S1068" s="20">
        <f>IF(AND(ISNUMBER(B1068),ISNUMBER(Q1068),ISNUMBER(R1068)),(B1068-Q1068-R1068)*100,NA())</f>
        <v/>
      </c>
      <c r="T1068" s="20">
        <f>IF(AND(ISNUMBER(B1068),Settings!$B$17&gt;0),IF(ISNUMBER(INDEX($B:$B,Settings!$B$17)),(B1068-INDEX($B:$B,Settings!$B$17))*100,NA()),NA())</f>
        <v/>
      </c>
      <c r="U1068" s="20">
        <f>IF(AND(ISNUMBER(Q1068),Settings!$B$17&gt;0),IF(ISNUMBER(INDEX($Q:$Q,Settings!$B$17)),(Q1068-INDEX($Q:$Q,Settings!$B$17))*100,NA()),NA())</f>
        <v/>
      </c>
      <c r="V1068" s="20">
        <f>IF(AND(ISNUMBER(R1068),Settings!$B$17&gt;0),IF(ISNUMBER(INDEX($R:$R,Settings!$B$17)),(R1068-INDEX($R:$R,Settings!$B$17))*100,NA()),NA())</f>
        <v/>
      </c>
      <c r="W1068" s="20">
        <f>IF(AND(ISNUMBER(P1068),Settings!$B$17&gt;0),IF(ISNUMBER(INDEX($P:$P,Settings!$B$17)),P1068-INDEX($P:$P,Settings!$B$17),NA()),NA())</f>
        <v/>
      </c>
      <c r="X1068" s="19">
        <f>IF(NOT(ISNUMBER($A1068)),NA(),IF(OR($A1068&lt;MIN(DKW_10Y!$A$2:$A$2918),$A1068&gt;MAX(DKW_10Y!$A$2:$A$2918),Settings!$B$16&lt;MIN(DKW_10Y!$A$2:$A$2918)),NA(),(INDEX(DKW_10Y!$B$2:$B$2918,MATCH($A1068,DKW_10Y!$A$2:$A$2918,1))-INDEX(DKW_10Y!$B$2:$B$2918,MATCH(Settings!$B$16,DKW_10Y!$A$2:$A$2918,1)))*100))</f>
        <v/>
      </c>
      <c r="Y1068" s="19">
        <f>IF(NOT(ISNUMBER($A1068)),NA(),IF(OR($A1068&lt;MIN(DKW_10Y!$A$2:$A$2918),$A1068&gt;MAX(DKW_10Y!$A$2:$A$2918),Settings!$B$16&lt;MIN(DKW_10Y!$A$2:$A$2918)),NA(),(INDEX(DKW_10Y!$C$2:$C$2918,MATCH($A1068,DKW_10Y!$A$2:$A$2918,1))-INDEX(DKW_10Y!$C$2:$C$2918,MATCH(Settings!$B$16,DKW_10Y!$A$2:$A$2918,1)))*100))</f>
        <v/>
      </c>
      <c r="Z1068" s="19">
        <f>IF(NOT(ISNUMBER($A1068)),NA(),IF(OR($A1068&lt;MIN(DKW_10Y!$A$2:$A$2918),$A1068&gt;MAX(DKW_10Y!$A$2:$A$2918),Settings!$B$16&lt;MIN(DKW_10Y!$A$2:$A$2918)),NA(),(INDEX(DKW_10Y!$D$2:$D$2918,MATCH($A1068,DKW_10Y!$A$2:$A$2918,1))-INDEX(DKW_10Y!$D$2:$D$2918,MATCH(Settings!$B$16,DKW_10Y!$A$2:$A$2918,1)))*100))</f>
        <v/>
      </c>
      <c r="AA1068" s="19">
        <f>IF(NOT(ISNUMBER($A1068)),NA(),IF(OR($A1068&lt;MIN(DKW_10Y!$A$2:$A$2918),$A1068&gt;MAX(DKW_10Y!$A$2:$A$2918),Settings!$B$16&lt;MIN(DKW_10Y!$A$2:$A$2918)),NA(),(INDEX(DKW_10Y!$E$2:$E$2918,MATCH($A1068,DKW_10Y!$A$2:$A$2918,1))-INDEX(DKW_10Y!$E$2:$E$2918,MATCH(Settings!$B$16,DKW_10Y!$A$2:$A$2918,1)))*100))</f>
        <v/>
      </c>
      <c r="AB1068" s="19">
        <f>IF(NOT(ISNUMBER($A1068)),NA(),IF(OR($A1068&lt;MIN(DKW_10Y!$A$2:$A$2918),$A1068&gt;MAX(DKW_10Y!$A$2:$A$2918),Settings!$B$16&lt;MIN(DKW_10Y!$A$2:$A$2918)),NA(),(INDEX(DKW_10Y!$H$2:$H$2918,MATCH($A1068,DKW_10Y!$A$2:$A$2918,1))-INDEX(DKW_10Y!$H$2:$H$2918,MATCH(Settings!$B$16,DKW_10Y!$A$2:$A$2918,1)))*100))</f>
        <v/>
      </c>
      <c r="AC1068" s="18">
        <f>IF(NOT(ISNUMBER($A1068)),NA(),IFERROR(1*INDEX(BBG_Data!$N$2:$N$4000,MATCH($A1068,BBG_Data!$M$2:$M$4000,0)),NA()))</f>
        <v/>
      </c>
      <c r="AD1068" s="18">
        <f>IF(NOT(ISNUMBER($A1068)),NA(),IFERROR(1*INDEX(BBG_Data!$P$2:$P$4000,MATCH($A1068,BBG_Data!$O$2:$O$4000,0)),NA()))</f>
        <v/>
      </c>
      <c r="AE1068" s="18">
        <f>IF(NOT(ISNUMBER($A1068)),NA(),IFERROR(1*INDEX(BBG_Data!$R$2:$R$4000,MATCH($A1068,BBG_Data!$Q$2:$Q$4000,0)),NA()))</f>
        <v/>
      </c>
      <c r="AF1068" s="20">
        <f>IF(AND(ISNUMBER(B1068),ISNUMBER(AC1068)),(B1068-AC1068)*100,NA())</f>
        <v/>
      </c>
      <c r="AG1068" s="20">
        <f>IF(AND(ISNUMBER(AE1068),ISNUMBER(AD1068)),(AE1068-AD1068)*100,NA())</f>
        <v/>
      </c>
      <c r="AH1068" s="19">
        <f>IF(NOT(ISNUMBER($A1068)),NA(),IFERROR(INDEX(BBG_Data!$T$2:$T$4000,MATCH($A1068,BBG_Data!$S$2:$S$4000,0))*Settings!$B$25,NA()))</f>
        <v/>
      </c>
      <c r="AI1068" s="19">
        <f>IF(NOT(ISNUMBER($A1068)),NA(),IFERROR(INDEX(BBG_Data!$V$2:$V$4000,MATCH($A1068,BBG_Data!$U$2:$U$4000,0))*Settings!$B$25,NA()))</f>
        <v/>
      </c>
      <c r="AJ1068" s="19">
        <f>IF(NOT(ISNUMBER($A1068)),NA(),IFERROR(1*INDEX(BBG_Data!$X$2:$X$4000,MATCH($A1068,BBG_Data!$W$2:$W$4000,0)),NA()))</f>
        <v/>
      </c>
      <c r="AK1068" s="19">
        <f>IF(NOT(ISNUMBER($A1068)),NA(),IFERROR(1*INDEX(BBG_Data!$Z$2:$Z$4000,MATCH($A1068,BBG_Data!$Y$2:$Y$4000,0)),NA()))</f>
        <v/>
      </c>
    </row>
    <row r="1069">
      <c r="A1069" s="17">
        <f>IF(ISNUMBER(BBG_Data!A1069),BBG_Data!A1069,"")</f>
        <v/>
      </c>
      <c r="B1069" s="18">
        <f>IF(AND(ISNUMBER($A1069),ISNUMBER(BBG_Data!B1069)),BBG_Data!B1069,NA())</f>
        <v/>
      </c>
      <c r="C1069" s="18">
        <f>IF(NOT(ISNUMBER($A1069)),NA(),IFERROR(1*INDEX(BBG_Data!$D$2:$D$4000,MATCH($A1069,BBG_Data!$C$2:$C$4000,0)),NA()))</f>
        <v/>
      </c>
      <c r="D1069" s="19">
        <f>IF(NOT(ISNUMBER($A1069)),NA(),IFERROR(1*INDEX(BBG_Data!$F$2:$F$4000,MATCH($A1069,BBG_Data!$E$2:$E$4000,0)),NA()))</f>
        <v/>
      </c>
      <c r="E1069" s="19">
        <f>IF(NOT(ISNUMBER($A1069)),NA(),IFERROR(1*INDEX(BBG_Data!$H$2:$H$4000,MATCH($A1069,BBG_Data!$G$2:$G$4000,0)),NA()))</f>
        <v/>
      </c>
      <c r="F1069" s="20">
        <f>IF(AND(ISNUMBER(B1069),ISNUMBER(B1068)),IF(B1069=B1068,"",(B1069-B1068)*100),"")</f>
        <v/>
      </c>
      <c r="G1069" s="20">
        <f>IF(AND(ISNUMBER(C1069),ISNUMBER(C1068)),IF(C1069=C1068,"",(C1069-C1068)*100),"")</f>
        <v/>
      </c>
      <c r="H1069" s="20">
        <f>IF(OR(NOT(ISNUMBER($A1069)),ROW()-2&lt;Settings!$B$11),NA(),IF(COUNT(OFFSET(F1069,1-Settings!$B$11,0,Settings!$B$11,1))&lt;ROUNDUP(Settings!$B$11*Settings!$B$26,0),NA(),STDEV(OFFSET(F1069,1-Settings!$B$11,0,Settings!$B$11,1))*SQRT(Settings!$B$13)))</f>
        <v/>
      </c>
      <c r="I1069" s="20">
        <f>IF(OR(NOT(ISNUMBER($A1069)),ROW()-2&lt;Settings!$B$12),NA(),IF(COUNT(OFFSET(F1069,1-Settings!$B$12,0,Settings!$B$12,1))&lt;ROUNDUP(Settings!$B$12*Settings!$B$26,0),NA(),STDEV(OFFSET(F1069,1-Settings!$B$12,0,Settings!$B$12,1))*SQRT(Settings!$B$13)))</f>
        <v/>
      </c>
      <c r="J1069" s="20">
        <f>IF(OR(NOT(ISNUMBER($A1069)),ROW()-2&lt;Settings!$B$11),NA(),IF(COUNT(OFFSET(G1069,1-Settings!$B$11,0,Settings!$B$11,1))&lt;ROUNDUP(Settings!$B$11*Settings!$B$26,0),NA(),STDEV(OFFSET(G1069,1-Settings!$B$11,0,Settings!$B$11,1))*SQRT(Settings!$B$13)))</f>
        <v/>
      </c>
      <c r="K1069" s="20">
        <f>IF(OR(NOT(ISNUMBER($A1069)),ROW()-2&lt;Settings!$B$12),NA(),IF(COUNT(OFFSET(G1069,1-Settings!$B$12,0,Settings!$B$12,1))&lt;ROUNDUP(Settings!$B$12*Settings!$B$26,0),NA(),STDEV(OFFSET(G1069,1-Settings!$B$12,0,Settings!$B$12,1))*SQRT(Settings!$B$13)))</f>
        <v/>
      </c>
      <c r="L1069" s="20">
        <f>IF(AND(ISNUMBER(D1069),ISNUMBER(H1069)),D1069-H1069,NA())</f>
        <v/>
      </c>
      <c r="M1069" s="20">
        <f>IF(AND(ISNUMBER(E1069),ISNUMBER(K1069)),E1069-K1069,NA())</f>
        <v/>
      </c>
      <c r="N1069" s="20">
        <f>IF(NOT(ISNUMBER($A1069)),NA(),IF(COUNT(OFFSET(G1069,1,0,Settings!$B$12,1))&lt;ROUNDUP(Settings!$B$12*Settings!$B$26,0),NA(),STDEV(OFFSET(G1069,1,0,Settings!$B$12,1))*SQRT(Settings!$B$13)))</f>
        <v/>
      </c>
      <c r="O1069" s="20">
        <f>IF(AND(ISNUMBER(E1069),ISNUMBER(N1069)),E1069-N1069,NA())</f>
        <v/>
      </c>
      <c r="P1069" s="19">
        <f>IF(NOT(ISNUMBER($A1069)),NA(),IF(OR($A1069&lt;MIN(KW_TP!$A$2:$A$2501),$A1069&gt;MAX(KW_TP!$A$2:$A$2501)),NA(),INDEX(KW_TP!$C$2:$C$2501,MATCH($A1069,KW_TP!$A$2:$A$2501,1))))</f>
        <v/>
      </c>
      <c r="Q1069" s="18">
        <f>IF(NOT(ISNUMBER($A1069)),NA(),IFERROR(1*INDEX(BBG_Data!$J$2:$J$4000,MATCH($A1069,BBG_Data!$I$2:$I$4000,0)),NA()))</f>
        <v/>
      </c>
      <c r="R1069" s="18">
        <f>IF(NOT(ISNUMBER($A1069)),NA(),IFERROR(1*INDEX(BBG_Data!$L$2:$L$4000,MATCH($A1069,BBG_Data!$K$2:$K$4000,0)),NA()))</f>
        <v/>
      </c>
      <c r="S1069" s="20">
        <f>IF(AND(ISNUMBER(B1069),ISNUMBER(Q1069),ISNUMBER(R1069)),(B1069-Q1069-R1069)*100,NA())</f>
        <v/>
      </c>
      <c r="T1069" s="20">
        <f>IF(AND(ISNUMBER(B1069),Settings!$B$17&gt;0),IF(ISNUMBER(INDEX($B:$B,Settings!$B$17)),(B1069-INDEX($B:$B,Settings!$B$17))*100,NA()),NA())</f>
        <v/>
      </c>
      <c r="U1069" s="20">
        <f>IF(AND(ISNUMBER(Q1069),Settings!$B$17&gt;0),IF(ISNUMBER(INDEX($Q:$Q,Settings!$B$17)),(Q1069-INDEX($Q:$Q,Settings!$B$17))*100,NA()),NA())</f>
        <v/>
      </c>
      <c r="V1069" s="20">
        <f>IF(AND(ISNUMBER(R1069),Settings!$B$17&gt;0),IF(ISNUMBER(INDEX($R:$R,Settings!$B$17)),(R1069-INDEX($R:$R,Settings!$B$17))*100,NA()),NA())</f>
        <v/>
      </c>
      <c r="W1069" s="20">
        <f>IF(AND(ISNUMBER(P1069),Settings!$B$17&gt;0),IF(ISNUMBER(INDEX($P:$P,Settings!$B$17)),P1069-INDEX($P:$P,Settings!$B$17),NA()),NA())</f>
        <v/>
      </c>
      <c r="X1069" s="19">
        <f>IF(NOT(ISNUMBER($A1069)),NA(),IF(OR($A1069&lt;MIN(DKW_10Y!$A$2:$A$2918),$A1069&gt;MAX(DKW_10Y!$A$2:$A$2918),Settings!$B$16&lt;MIN(DKW_10Y!$A$2:$A$2918)),NA(),(INDEX(DKW_10Y!$B$2:$B$2918,MATCH($A1069,DKW_10Y!$A$2:$A$2918,1))-INDEX(DKW_10Y!$B$2:$B$2918,MATCH(Settings!$B$16,DKW_10Y!$A$2:$A$2918,1)))*100))</f>
        <v/>
      </c>
      <c r="Y1069" s="19">
        <f>IF(NOT(ISNUMBER($A1069)),NA(),IF(OR($A1069&lt;MIN(DKW_10Y!$A$2:$A$2918),$A1069&gt;MAX(DKW_10Y!$A$2:$A$2918),Settings!$B$16&lt;MIN(DKW_10Y!$A$2:$A$2918)),NA(),(INDEX(DKW_10Y!$C$2:$C$2918,MATCH($A1069,DKW_10Y!$A$2:$A$2918,1))-INDEX(DKW_10Y!$C$2:$C$2918,MATCH(Settings!$B$16,DKW_10Y!$A$2:$A$2918,1)))*100))</f>
        <v/>
      </c>
      <c r="Z1069" s="19">
        <f>IF(NOT(ISNUMBER($A1069)),NA(),IF(OR($A1069&lt;MIN(DKW_10Y!$A$2:$A$2918),$A1069&gt;MAX(DKW_10Y!$A$2:$A$2918),Settings!$B$16&lt;MIN(DKW_10Y!$A$2:$A$2918)),NA(),(INDEX(DKW_10Y!$D$2:$D$2918,MATCH($A1069,DKW_10Y!$A$2:$A$2918,1))-INDEX(DKW_10Y!$D$2:$D$2918,MATCH(Settings!$B$16,DKW_10Y!$A$2:$A$2918,1)))*100))</f>
        <v/>
      </c>
      <c r="AA1069" s="19">
        <f>IF(NOT(ISNUMBER($A1069)),NA(),IF(OR($A1069&lt;MIN(DKW_10Y!$A$2:$A$2918),$A1069&gt;MAX(DKW_10Y!$A$2:$A$2918),Settings!$B$16&lt;MIN(DKW_10Y!$A$2:$A$2918)),NA(),(INDEX(DKW_10Y!$E$2:$E$2918,MATCH($A1069,DKW_10Y!$A$2:$A$2918,1))-INDEX(DKW_10Y!$E$2:$E$2918,MATCH(Settings!$B$16,DKW_10Y!$A$2:$A$2918,1)))*100))</f>
        <v/>
      </c>
      <c r="AB1069" s="19">
        <f>IF(NOT(ISNUMBER($A1069)),NA(),IF(OR($A1069&lt;MIN(DKW_10Y!$A$2:$A$2918),$A1069&gt;MAX(DKW_10Y!$A$2:$A$2918),Settings!$B$16&lt;MIN(DKW_10Y!$A$2:$A$2918)),NA(),(INDEX(DKW_10Y!$H$2:$H$2918,MATCH($A1069,DKW_10Y!$A$2:$A$2918,1))-INDEX(DKW_10Y!$H$2:$H$2918,MATCH(Settings!$B$16,DKW_10Y!$A$2:$A$2918,1)))*100))</f>
        <v/>
      </c>
      <c r="AC1069" s="18">
        <f>IF(NOT(ISNUMBER($A1069)),NA(),IFERROR(1*INDEX(BBG_Data!$N$2:$N$4000,MATCH($A1069,BBG_Data!$M$2:$M$4000,0)),NA()))</f>
        <v/>
      </c>
      <c r="AD1069" s="18">
        <f>IF(NOT(ISNUMBER($A1069)),NA(),IFERROR(1*INDEX(BBG_Data!$P$2:$P$4000,MATCH($A1069,BBG_Data!$O$2:$O$4000,0)),NA()))</f>
        <v/>
      </c>
      <c r="AE1069" s="18">
        <f>IF(NOT(ISNUMBER($A1069)),NA(),IFERROR(1*INDEX(BBG_Data!$R$2:$R$4000,MATCH($A1069,BBG_Data!$Q$2:$Q$4000,0)),NA()))</f>
        <v/>
      </c>
      <c r="AF1069" s="20">
        <f>IF(AND(ISNUMBER(B1069),ISNUMBER(AC1069)),(B1069-AC1069)*100,NA())</f>
        <v/>
      </c>
      <c r="AG1069" s="20">
        <f>IF(AND(ISNUMBER(AE1069),ISNUMBER(AD1069)),(AE1069-AD1069)*100,NA())</f>
        <v/>
      </c>
      <c r="AH1069" s="19">
        <f>IF(NOT(ISNUMBER($A1069)),NA(),IFERROR(INDEX(BBG_Data!$T$2:$T$4000,MATCH($A1069,BBG_Data!$S$2:$S$4000,0))*Settings!$B$25,NA()))</f>
        <v/>
      </c>
      <c r="AI1069" s="19">
        <f>IF(NOT(ISNUMBER($A1069)),NA(),IFERROR(INDEX(BBG_Data!$V$2:$V$4000,MATCH($A1069,BBG_Data!$U$2:$U$4000,0))*Settings!$B$25,NA()))</f>
        <v/>
      </c>
      <c r="AJ1069" s="19">
        <f>IF(NOT(ISNUMBER($A1069)),NA(),IFERROR(1*INDEX(BBG_Data!$X$2:$X$4000,MATCH($A1069,BBG_Data!$W$2:$W$4000,0)),NA()))</f>
        <v/>
      </c>
      <c r="AK1069" s="19">
        <f>IF(NOT(ISNUMBER($A1069)),NA(),IFERROR(1*INDEX(BBG_Data!$Z$2:$Z$4000,MATCH($A1069,BBG_Data!$Y$2:$Y$4000,0)),NA()))</f>
        <v/>
      </c>
    </row>
    <row r="1070">
      <c r="A1070" s="17">
        <f>IF(ISNUMBER(BBG_Data!A1070),BBG_Data!A1070,"")</f>
        <v/>
      </c>
      <c r="B1070" s="18">
        <f>IF(AND(ISNUMBER($A1070),ISNUMBER(BBG_Data!B1070)),BBG_Data!B1070,NA())</f>
        <v/>
      </c>
      <c r="C1070" s="18">
        <f>IF(NOT(ISNUMBER($A1070)),NA(),IFERROR(1*INDEX(BBG_Data!$D$2:$D$4000,MATCH($A1070,BBG_Data!$C$2:$C$4000,0)),NA()))</f>
        <v/>
      </c>
      <c r="D1070" s="19">
        <f>IF(NOT(ISNUMBER($A1070)),NA(),IFERROR(1*INDEX(BBG_Data!$F$2:$F$4000,MATCH($A1070,BBG_Data!$E$2:$E$4000,0)),NA()))</f>
        <v/>
      </c>
      <c r="E1070" s="19">
        <f>IF(NOT(ISNUMBER($A1070)),NA(),IFERROR(1*INDEX(BBG_Data!$H$2:$H$4000,MATCH($A1070,BBG_Data!$G$2:$G$4000,0)),NA()))</f>
        <v/>
      </c>
      <c r="F1070" s="20">
        <f>IF(AND(ISNUMBER(B1070),ISNUMBER(B1069)),IF(B1070=B1069,"",(B1070-B1069)*100),"")</f>
        <v/>
      </c>
      <c r="G1070" s="20">
        <f>IF(AND(ISNUMBER(C1070),ISNUMBER(C1069)),IF(C1070=C1069,"",(C1070-C1069)*100),"")</f>
        <v/>
      </c>
      <c r="H1070" s="20">
        <f>IF(OR(NOT(ISNUMBER($A1070)),ROW()-2&lt;Settings!$B$11),NA(),IF(COUNT(OFFSET(F1070,1-Settings!$B$11,0,Settings!$B$11,1))&lt;ROUNDUP(Settings!$B$11*Settings!$B$26,0),NA(),STDEV(OFFSET(F1070,1-Settings!$B$11,0,Settings!$B$11,1))*SQRT(Settings!$B$13)))</f>
        <v/>
      </c>
      <c r="I1070" s="20">
        <f>IF(OR(NOT(ISNUMBER($A1070)),ROW()-2&lt;Settings!$B$12),NA(),IF(COUNT(OFFSET(F1070,1-Settings!$B$12,0,Settings!$B$12,1))&lt;ROUNDUP(Settings!$B$12*Settings!$B$26,0),NA(),STDEV(OFFSET(F1070,1-Settings!$B$12,0,Settings!$B$12,1))*SQRT(Settings!$B$13)))</f>
        <v/>
      </c>
      <c r="J1070" s="20">
        <f>IF(OR(NOT(ISNUMBER($A1070)),ROW()-2&lt;Settings!$B$11),NA(),IF(COUNT(OFFSET(G1070,1-Settings!$B$11,0,Settings!$B$11,1))&lt;ROUNDUP(Settings!$B$11*Settings!$B$26,0),NA(),STDEV(OFFSET(G1070,1-Settings!$B$11,0,Settings!$B$11,1))*SQRT(Settings!$B$13)))</f>
        <v/>
      </c>
      <c r="K1070" s="20">
        <f>IF(OR(NOT(ISNUMBER($A1070)),ROW()-2&lt;Settings!$B$12),NA(),IF(COUNT(OFFSET(G1070,1-Settings!$B$12,0,Settings!$B$12,1))&lt;ROUNDUP(Settings!$B$12*Settings!$B$26,0),NA(),STDEV(OFFSET(G1070,1-Settings!$B$12,0,Settings!$B$12,1))*SQRT(Settings!$B$13)))</f>
        <v/>
      </c>
      <c r="L1070" s="20">
        <f>IF(AND(ISNUMBER(D1070),ISNUMBER(H1070)),D1070-H1070,NA())</f>
        <v/>
      </c>
      <c r="M1070" s="20">
        <f>IF(AND(ISNUMBER(E1070),ISNUMBER(K1070)),E1070-K1070,NA())</f>
        <v/>
      </c>
      <c r="N1070" s="20">
        <f>IF(NOT(ISNUMBER($A1070)),NA(),IF(COUNT(OFFSET(G1070,1,0,Settings!$B$12,1))&lt;ROUNDUP(Settings!$B$12*Settings!$B$26,0),NA(),STDEV(OFFSET(G1070,1,0,Settings!$B$12,1))*SQRT(Settings!$B$13)))</f>
        <v/>
      </c>
      <c r="O1070" s="20">
        <f>IF(AND(ISNUMBER(E1070),ISNUMBER(N1070)),E1070-N1070,NA())</f>
        <v/>
      </c>
      <c r="P1070" s="19">
        <f>IF(NOT(ISNUMBER($A1070)),NA(),IF(OR($A1070&lt;MIN(KW_TP!$A$2:$A$2501),$A1070&gt;MAX(KW_TP!$A$2:$A$2501)),NA(),INDEX(KW_TP!$C$2:$C$2501,MATCH($A1070,KW_TP!$A$2:$A$2501,1))))</f>
        <v/>
      </c>
      <c r="Q1070" s="18">
        <f>IF(NOT(ISNUMBER($A1070)),NA(),IFERROR(1*INDEX(BBG_Data!$J$2:$J$4000,MATCH($A1070,BBG_Data!$I$2:$I$4000,0)),NA()))</f>
        <v/>
      </c>
      <c r="R1070" s="18">
        <f>IF(NOT(ISNUMBER($A1070)),NA(),IFERROR(1*INDEX(BBG_Data!$L$2:$L$4000,MATCH($A1070,BBG_Data!$K$2:$K$4000,0)),NA()))</f>
        <v/>
      </c>
      <c r="S1070" s="20">
        <f>IF(AND(ISNUMBER(B1070),ISNUMBER(Q1070),ISNUMBER(R1070)),(B1070-Q1070-R1070)*100,NA())</f>
        <v/>
      </c>
      <c r="T1070" s="20">
        <f>IF(AND(ISNUMBER(B1070),Settings!$B$17&gt;0),IF(ISNUMBER(INDEX($B:$B,Settings!$B$17)),(B1070-INDEX($B:$B,Settings!$B$17))*100,NA()),NA())</f>
        <v/>
      </c>
      <c r="U1070" s="20">
        <f>IF(AND(ISNUMBER(Q1070),Settings!$B$17&gt;0),IF(ISNUMBER(INDEX($Q:$Q,Settings!$B$17)),(Q1070-INDEX($Q:$Q,Settings!$B$17))*100,NA()),NA())</f>
        <v/>
      </c>
      <c r="V1070" s="20">
        <f>IF(AND(ISNUMBER(R1070),Settings!$B$17&gt;0),IF(ISNUMBER(INDEX($R:$R,Settings!$B$17)),(R1070-INDEX($R:$R,Settings!$B$17))*100,NA()),NA())</f>
        <v/>
      </c>
      <c r="W1070" s="20">
        <f>IF(AND(ISNUMBER(P1070),Settings!$B$17&gt;0),IF(ISNUMBER(INDEX($P:$P,Settings!$B$17)),P1070-INDEX($P:$P,Settings!$B$17),NA()),NA())</f>
        <v/>
      </c>
      <c r="X1070" s="19">
        <f>IF(NOT(ISNUMBER($A1070)),NA(),IF(OR($A1070&lt;MIN(DKW_10Y!$A$2:$A$2918),$A1070&gt;MAX(DKW_10Y!$A$2:$A$2918),Settings!$B$16&lt;MIN(DKW_10Y!$A$2:$A$2918)),NA(),(INDEX(DKW_10Y!$B$2:$B$2918,MATCH($A1070,DKW_10Y!$A$2:$A$2918,1))-INDEX(DKW_10Y!$B$2:$B$2918,MATCH(Settings!$B$16,DKW_10Y!$A$2:$A$2918,1)))*100))</f>
        <v/>
      </c>
      <c r="Y1070" s="19">
        <f>IF(NOT(ISNUMBER($A1070)),NA(),IF(OR($A1070&lt;MIN(DKW_10Y!$A$2:$A$2918),$A1070&gt;MAX(DKW_10Y!$A$2:$A$2918),Settings!$B$16&lt;MIN(DKW_10Y!$A$2:$A$2918)),NA(),(INDEX(DKW_10Y!$C$2:$C$2918,MATCH($A1070,DKW_10Y!$A$2:$A$2918,1))-INDEX(DKW_10Y!$C$2:$C$2918,MATCH(Settings!$B$16,DKW_10Y!$A$2:$A$2918,1)))*100))</f>
        <v/>
      </c>
      <c r="Z1070" s="19">
        <f>IF(NOT(ISNUMBER($A1070)),NA(),IF(OR($A1070&lt;MIN(DKW_10Y!$A$2:$A$2918),$A1070&gt;MAX(DKW_10Y!$A$2:$A$2918),Settings!$B$16&lt;MIN(DKW_10Y!$A$2:$A$2918)),NA(),(INDEX(DKW_10Y!$D$2:$D$2918,MATCH($A1070,DKW_10Y!$A$2:$A$2918,1))-INDEX(DKW_10Y!$D$2:$D$2918,MATCH(Settings!$B$16,DKW_10Y!$A$2:$A$2918,1)))*100))</f>
        <v/>
      </c>
      <c r="AA1070" s="19">
        <f>IF(NOT(ISNUMBER($A1070)),NA(),IF(OR($A1070&lt;MIN(DKW_10Y!$A$2:$A$2918),$A1070&gt;MAX(DKW_10Y!$A$2:$A$2918),Settings!$B$16&lt;MIN(DKW_10Y!$A$2:$A$2918)),NA(),(INDEX(DKW_10Y!$E$2:$E$2918,MATCH($A1070,DKW_10Y!$A$2:$A$2918,1))-INDEX(DKW_10Y!$E$2:$E$2918,MATCH(Settings!$B$16,DKW_10Y!$A$2:$A$2918,1)))*100))</f>
        <v/>
      </c>
      <c r="AB1070" s="19">
        <f>IF(NOT(ISNUMBER($A1070)),NA(),IF(OR($A1070&lt;MIN(DKW_10Y!$A$2:$A$2918),$A1070&gt;MAX(DKW_10Y!$A$2:$A$2918),Settings!$B$16&lt;MIN(DKW_10Y!$A$2:$A$2918)),NA(),(INDEX(DKW_10Y!$H$2:$H$2918,MATCH($A1070,DKW_10Y!$A$2:$A$2918,1))-INDEX(DKW_10Y!$H$2:$H$2918,MATCH(Settings!$B$16,DKW_10Y!$A$2:$A$2918,1)))*100))</f>
        <v/>
      </c>
      <c r="AC1070" s="18">
        <f>IF(NOT(ISNUMBER($A1070)),NA(),IFERROR(1*INDEX(BBG_Data!$N$2:$N$4000,MATCH($A1070,BBG_Data!$M$2:$M$4000,0)),NA()))</f>
        <v/>
      </c>
      <c r="AD1070" s="18">
        <f>IF(NOT(ISNUMBER($A1070)),NA(),IFERROR(1*INDEX(BBG_Data!$P$2:$P$4000,MATCH($A1070,BBG_Data!$O$2:$O$4000,0)),NA()))</f>
        <v/>
      </c>
      <c r="AE1070" s="18">
        <f>IF(NOT(ISNUMBER($A1070)),NA(),IFERROR(1*INDEX(BBG_Data!$R$2:$R$4000,MATCH($A1070,BBG_Data!$Q$2:$Q$4000,0)),NA()))</f>
        <v/>
      </c>
      <c r="AF1070" s="20">
        <f>IF(AND(ISNUMBER(B1070),ISNUMBER(AC1070)),(B1070-AC1070)*100,NA())</f>
        <v/>
      </c>
      <c r="AG1070" s="20">
        <f>IF(AND(ISNUMBER(AE1070),ISNUMBER(AD1070)),(AE1070-AD1070)*100,NA())</f>
        <v/>
      </c>
      <c r="AH1070" s="19">
        <f>IF(NOT(ISNUMBER($A1070)),NA(),IFERROR(INDEX(BBG_Data!$T$2:$T$4000,MATCH($A1070,BBG_Data!$S$2:$S$4000,0))*Settings!$B$25,NA()))</f>
        <v/>
      </c>
      <c r="AI1070" s="19">
        <f>IF(NOT(ISNUMBER($A1070)),NA(),IFERROR(INDEX(BBG_Data!$V$2:$V$4000,MATCH($A1070,BBG_Data!$U$2:$U$4000,0))*Settings!$B$25,NA()))</f>
        <v/>
      </c>
      <c r="AJ1070" s="19">
        <f>IF(NOT(ISNUMBER($A1070)),NA(),IFERROR(1*INDEX(BBG_Data!$X$2:$X$4000,MATCH($A1070,BBG_Data!$W$2:$W$4000,0)),NA()))</f>
        <v/>
      </c>
      <c r="AK1070" s="19">
        <f>IF(NOT(ISNUMBER($A1070)),NA(),IFERROR(1*INDEX(BBG_Data!$Z$2:$Z$4000,MATCH($A1070,BBG_Data!$Y$2:$Y$4000,0)),NA()))</f>
        <v/>
      </c>
    </row>
    <row r="1071">
      <c r="A1071" s="17">
        <f>IF(ISNUMBER(BBG_Data!A1071),BBG_Data!A1071,"")</f>
        <v/>
      </c>
      <c r="B1071" s="18">
        <f>IF(AND(ISNUMBER($A1071),ISNUMBER(BBG_Data!B1071)),BBG_Data!B1071,NA())</f>
        <v/>
      </c>
      <c r="C1071" s="18">
        <f>IF(NOT(ISNUMBER($A1071)),NA(),IFERROR(1*INDEX(BBG_Data!$D$2:$D$4000,MATCH($A1071,BBG_Data!$C$2:$C$4000,0)),NA()))</f>
        <v/>
      </c>
      <c r="D1071" s="19">
        <f>IF(NOT(ISNUMBER($A1071)),NA(),IFERROR(1*INDEX(BBG_Data!$F$2:$F$4000,MATCH($A1071,BBG_Data!$E$2:$E$4000,0)),NA()))</f>
        <v/>
      </c>
      <c r="E1071" s="19">
        <f>IF(NOT(ISNUMBER($A1071)),NA(),IFERROR(1*INDEX(BBG_Data!$H$2:$H$4000,MATCH($A1071,BBG_Data!$G$2:$G$4000,0)),NA()))</f>
        <v/>
      </c>
      <c r="F1071" s="20">
        <f>IF(AND(ISNUMBER(B1071),ISNUMBER(B1070)),IF(B1071=B1070,"",(B1071-B1070)*100),"")</f>
        <v/>
      </c>
      <c r="G1071" s="20">
        <f>IF(AND(ISNUMBER(C1071),ISNUMBER(C1070)),IF(C1071=C1070,"",(C1071-C1070)*100),"")</f>
        <v/>
      </c>
      <c r="H1071" s="20">
        <f>IF(OR(NOT(ISNUMBER($A1071)),ROW()-2&lt;Settings!$B$11),NA(),IF(COUNT(OFFSET(F1071,1-Settings!$B$11,0,Settings!$B$11,1))&lt;ROUNDUP(Settings!$B$11*Settings!$B$26,0),NA(),STDEV(OFFSET(F1071,1-Settings!$B$11,0,Settings!$B$11,1))*SQRT(Settings!$B$13)))</f>
        <v/>
      </c>
      <c r="I1071" s="20">
        <f>IF(OR(NOT(ISNUMBER($A1071)),ROW()-2&lt;Settings!$B$12),NA(),IF(COUNT(OFFSET(F1071,1-Settings!$B$12,0,Settings!$B$12,1))&lt;ROUNDUP(Settings!$B$12*Settings!$B$26,0),NA(),STDEV(OFFSET(F1071,1-Settings!$B$12,0,Settings!$B$12,1))*SQRT(Settings!$B$13)))</f>
        <v/>
      </c>
      <c r="J1071" s="20">
        <f>IF(OR(NOT(ISNUMBER($A1071)),ROW()-2&lt;Settings!$B$11),NA(),IF(COUNT(OFFSET(G1071,1-Settings!$B$11,0,Settings!$B$11,1))&lt;ROUNDUP(Settings!$B$11*Settings!$B$26,0),NA(),STDEV(OFFSET(G1071,1-Settings!$B$11,0,Settings!$B$11,1))*SQRT(Settings!$B$13)))</f>
        <v/>
      </c>
      <c r="K1071" s="20">
        <f>IF(OR(NOT(ISNUMBER($A1071)),ROW()-2&lt;Settings!$B$12),NA(),IF(COUNT(OFFSET(G1071,1-Settings!$B$12,0,Settings!$B$12,1))&lt;ROUNDUP(Settings!$B$12*Settings!$B$26,0),NA(),STDEV(OFFSET(G1071,1-Settings!$B$12,0,Settings!$B$12,1))*SQRT(Settings!$B$13)))</f>
        <v/>
      </c>
      <c r="L1071" s="20">
        <f>IF(AND(ISNUMBER(D1071),ISNUMBER(H1071)),D1071-H1071,NA())</f>
        <v/>
      </c>
      <c r="M1071" s="20">
        <f>IF(AND(ISNUMBER(E1071),ISNUMBER(K1071)),E1071-K1071,NA())</f>
        <v/>
      </c>
      <c r="N1071" s="20">
        <f>IF(NOT(ISNUMBER($A1071)),NA(),IF(COUNT(OFFSET(G1071,1,0,Settings!$B$12,1))&lt;ROUNDUP(Settings!$B$12*Settings!$B$26,0),NA(),STDEV(OFFSET(G1071,1,0,Settings!$B$12,1))*SQRT(Settings!$B$13)))</f>
        <v/>
      </c>
      <c r="O1071" s="20">
        <f>IF(AND(ISNUMBER(E1071),ISNUMBER(N1071)),E1071-N1071,NA())</f>
        <v/>
      </c>
      <c r="P1071" s="19">
        <f>IF(NOT(ISNUMBER($A1071)),NA(),IF(OR($A1071&lt;MIN(KW_TP!$A$2:$A$2501),$A1071&gt;MAX(KW_TP!$A$2:$A$2501)),NA(),INDEX(KW_TP!$C$2:$C$2501,MATCH($A1071,KW_TP!$A$2:$A$2501,1))))</f>
        <v/>
      </c>
      <c r="Q1071" s="18">
        <f>IF(NOT(ISNUMBER($A1071)),NA(),IFERROR(1*INDEX(BBG_Data!$J$2:$J$4000,MATCH($A1071,BBG_Data!$I$2:$I$4000,0)),NA()))</f>
        <v/>
      </c>
      <c r="R1071" s="18">
        <f>IF(NOT(ISNUMBER($A1071)),NA(),IFERROR(1*INDEX(BBG_Data!$L$2:$L$4000,MATCH($A1071,BBG_Data!$K$2:$K$4000,0)),NA()))</f>
        <v/>
      </c>
      <c r="S1071" s="20">
        <f>IF(AND(ISNUMBER(B1071),ISNUMBER(Q1071),ISNUMBER(R1071)),(B1071-Q1071-R1071)*100,NA())</f>
        <v/>
      </c>
      <c r="T1071" s="20">
        <f>IF(AND(ISNUMBER(B1071),Settings!$B$17&gt;0),IF(ISNUMBER(INDEX($B:$B,Settings!$B$17)),(B1071-INDEX($B:$B,Settings!$B$17))*100,NA()),NA())</f>
        <v/>
      </c>
      <c r="U1071" s="20">
        <f>IF(AND(ISNUMBER(Q1071),Settings!$B$17&gt;0),IF(ISNUMBER(INDEX($Q:$Q,Settings!$B$17)),(Q1071-INDEX($Q:$Q,Settings!$B$17))*100,NA()),NA())</f>
        <v/>
      </c>
      <c r="V1071" s="20">
        <f>IF(AND(ISNUMBER(R1071),Settings!$B$17&gt;0),IF(ISNUMBER(INDEX($R:$R,Settings!$B$17)),(R1071-INDEX($R:$R,Settings!$B$17))*100,NA()),NA())</f>
        <v/>
      </c>
      <c r="W1071" s="20">
        <f>IF(AND(ISNUMBER(P1071),Settings!$B$17&gt;0),IF(ISNUMBER(INDEX($P:$P,Settings!$B$17)),P1071-INDEX($P:$P,Settings!$B$17),NA()),NA())</f>
        <v/>
      </c>
      <c r="X1071" s="19">
        <f>IF(NOT(ISNUMBER($A1071)),NA(),IF(OR($A1071&lt;MIN(DKW_10Y!$A$2:$A$2918),$A1071&gt;MAX(DKW_10Y!$A$2:$A$2918),Settings!$B$16&lt;MIN(DKW_10Y!$A$2:$A$2918)),NA(),(INDEX(DKW_10Y!$B$2:$B$2918,MATCH($A1071,DKW_10Y!$A$2:$A$2918,1))-INDEX(DKW_10Y!$B$2:$B$2918,MATCH(Settings!$B$16,DKW_10Y!$A$2:$A$2918,1)))*100))</f>
        <v/>
      </c>
      <c r="Y1071" s="19">
        <f>IF(NOT(ISNUMBER($A1071)),NA(),IF(OR($A1071&lt;MIN(DKW_10Y!$A$2:$A$2918),$A1071&gt;MAX(DKW_10Y!$A$2:$A$2918),Settings!$B$16&lt;MIN(DKW_10Y!$A$2:$A$2918)),NA(),(INDEX(DKW_10Y!$C$2:$C$2918,MATCH($A1071,DKW_10Y!$A$2:$A$2918,1))-INDEX(DKW_10Y!$C$2:$C$2918,MATCH(Settings!$B$16,DKW_10Y!$A$2:$A$2918,1)))*100))</f>
        <v/>
      </c>
      <c r="Z1071" s="19">
        <f>IF(NOT(ISNUMBER($A1071)),NA(),IF(OR($A1071&lt;MIN(DKW_10Y!$A$2:$A$2918),$A1071&gt;MAX(DKW_10Y!$A$2:$A$2918),Settings!$B$16&lt;MIN(DKW_10Y!$A$2:$A$2918)),NA(),(INDEX(DKW_10Y!$D$2:$D$2918,MATCH($A1071,DKW_10Y!$A$2:$A$2918,1))-INDEX(DKW_10Y!$D$2:$D$2918,MATCH(Settings!$B$16,DKW_10Y!$A$2:$A$2918,1)))*100))</f>
        <v/>
      </c>
      <c r="AA1071" s="19">
        <f>IF(NOT(ISNUMBER($A1071)),NA(),IF(OR($A1071&lt;MIN(DKW_10Y!$A$2:$A$2918),$A1071&gt;MAX(DKW_10Y!$A$2:$A$2918),Settings!$B$16&lt;MIN(DKW_10Y!$A$2:$A$2918)),NA(),(INDEX(DKW_10Y!$E$2:$E$2918,MATCH($A1071,DKW_10Y!$A$2:$A$2918,1))-INDEX(DKW_10Y!$E$2:$E$2918,MATCH(Settings!$B$16,DKW_10Y!$A$2:$A$2918,1)))*100))</f>
        <v/>
      </c>
      <c r="AB1071" s="19">
        <f>IF(NOT(ISNUMBER($A1071)),NA(),IF(OR($A1071&lt;MIN(DKW_10Y!$A$2:$A$2918),$A1071&gt;MAX(DKW_10Y!$A$2:$A$2918),Settings!$B$16&lt;MIN(DKW_10Y!$A$2:$A$2918)),NA(),(INDEX(DKW_10Y!$H$2:$H$2918,MATCH($A1071,DKW_10Y!$A$2:$A$2918,1))-INDEX(DKW_10Y!$H$2:$H$2918,MATCH(Settings!$B$16,DKW_10Y!$A$2:$A$2918,1)))*100))</f>
        <v/>
      </c>
      <c r="AC1071" s="18">
        <f>IF(NOT(ISNUMBER($A1071)),NA(),IFERROR(1*INDEX(BBG_Data!$N$2:$N$4000,MATCH($A1071,BBG_Data!$M$2:$M$4000,0)),NA()))</f>
        <v/>
      </c>
      <c r="AD1071" s="18">
        <f>IF(NOT(ISNUMBER($A1071)),NA(),IFERROR(1*INDEX(BBG_Data!$P$2:$P$4000,MATCH($A1071,BBG_Data!$O$2:$O$4000,0)),NA()))</f>
        <v/>
      </c>
      <c r="AE1071" s="18">
        <f>IF(NOT(ISNUMBER($A1071)),NA(),IFERROR(1*INDEX(BBG_Data!$R$2:$R$4000,MATCH($A1071,BBG_Data!$Q$2:$Q$4000,0)),NA()))</f>
        <v/>
      </c>
      <c r="AF1071" s="20">
        <f>IF(AND(ISNUMBER(B1071),ISNUMBER(AC1071)),(B1071-AC1071)*100,NA())</f>
        <v/>
      </c>
      <c r="AG1071" s="20">
        <f>IF(AND(ISNUMBER(AE1071),ISNUMBER(AD1071)),(AE1071-AD1071)*100,NA())</f>
        <v/>
      </c>
      <c r="AH1071" s="19">
        <f>IF(NOT(ISNUMBER($A1071)),NA(),IFERROR(INDEX(BBG_Data!$T$2:$T$4000,MATCH($A1071,BBG_Data!$S$2:$S$4000,0))*Settings!$B$25,NA()))</f>
        <v/>
      </c>
      <c r="AI1071" s="19">
        <f>IF(NOT(ISNUMBER($A1071)),NA(),IFERROR(INDEX(BBG_Data!$V$2:$V$4000,MATCH($A1071,BBG_Data!$U$2:$U$4000,0))*Settings!$B$25,NA()))</f>
        <v/>
      </c>
      <c r="AJ1071" s="19">
        <f>IF(NOT(ISNUMBER($A1071)),NA(),IFERROR(1*INDEX(BBG_Data!$X$2:$X$4000,MATCH($A1071,BBG_Data!$W$2:$W$4000,0)),NA()))</f>
        <v/>
      </c>
      <c r="AK1071" s="19">
        <f>IF(NOT(ISNUMBER($A1071)),NA(),IFERROR(1*INDEX(BBG_Data!$Z$2:$Z$4000,MATCH($A1071,BBG_Data!$Y$2:$Y$4000,0)),NA()))</f>
        <v/>
      </c>
    </row>
    <row r="1072">
      <c r="A1072" s="17">
        <f>IF(ISNUMBER(BBG_Data!A1072),BBG_Data!A1072,"")</f>
        <v/>
      </c>
      <c r="B1072" s="18">
        <f>IF(AND(ISNUMBER($A1072),ISNUMBER(BBG_Data!B1072)),BBG_Data!B1072,NA())</f>
        <v/>
      </c>
      <c r="C1072" s="18">
        <f>IF(NOT(ISNUMBER($A1072)),NA(),IFERROR(1*INDEX(BBG_Data!$D$2:$D$4000,MATCH($A1072,BBG_Data!$C$2:$C$4000,0)),NA()))</f>
        <v/>
      </c>
      <c r="D1072" s="19">
        <f>IF(NOT(ISNUMBER($A1072)),NA(),IFERROR(1*INDEX(BBG_Data!$F$2:$F$4000,MATCH($A1072,BBG_Data!$E$2:$E$4000,0)),NA()))</f>
        <v/>
      </c>
      <c r="E1072" s="19">
        <f>IF(NOT(ISNUMBER($A1072)),NA(),IFERROR(1*INDEX(BBG_Data!$H$2:$H$4000,MATCH($A1072,BBG_Data!$G$2:$G$4000,0)),NA()))</f>
        <v/>
      </c>
      <c r="F1072" s="20">
        <f>IF(AND(ISNUMBER(B1072),ISNUMBER(B1071)),IF(B1072=B1071,"",(B1072-B1071)*100),"")</f>
        <v/>
      </c>
      <c r="G1072" s="20">
        <f>IF(AND(ISNUMBER(C1072),ISNUMBER(C1071)),IF(C1072=C1071,"",(C1072-C1071)*100),"")</f>
        <v/>
      </c>
      <c r="H1072" s="20">
        <f>IF(OR(NOT(ISNUMBER($A1072)),ROW()-2&lt;Settings!$B$11),NA(),IF(COUNT(OFFSET(F1072,1-Settings!$B$11,0,Settings!$B$11,1))&lt;ROUNDUP(Settings!$B$11*Settings!$B$26,0),NA(),STDEV(OFFSET(F1072,1-Settings!$B$11,0,Settings!$B$11,1))*SQRT(Settings!$B$13)))</f>
        <v/>
      </c>
      <c r="I1072" s="20">
        <f>IF(OR(NOT(ISNUMBER($A1072)),ROW()-2&lt;Settings!$B$12),NA(),IF(COUNT(OFFSET(F1072,1-Settings!$B$12,0,Settings!$B$12,1))&lt;ROUNDUP(Settings!$B$12*Settings!$B$26,0),NA(),STDEV(OFFSET(F1072,1-Settings!$B$12,0,Settings!$B$12,1))*SQRT(Settings!$B$13)))</f>
        <v/>
      </c>
      <c r="J1072" s="20">
        <f>IF(OR(NOT(ISNUMBER($A1072)),ROW()-2&lt;Settings!$B$11),NA(),IF(COUNT(OFFSET(G1072,1-Settings!$B$11,0,Settings!$B$11,1))&lt;ROUNDUP(Settings!$B$11*Settings!$B$26,0),NA(),STDEV(OFFSET(G1072,1-Settings!$B$11,0,Settings!$B$11,1))*SQRT(Settings!$B$13)))</f>
        <v/>
      </c>
      <c r="K1072" s="20">
        <f>IF(OR(NOT(ISNUMBER($A1072)),ROW()-2&lt;Settings!$B$12),NA(),IF(COUNT(OFFSET(G1072,1-Settings!$B$12,0,Settings!$B$12,1))&lt;ROUNDUP(Settings!$B$12*Settings!$B$26,0),NA(),STDEV(OFFSET(G1072,1-Settings!$B$12,0,Settings!$B$12,1))*SQRT(Settings!$B$13)))</f>
        <v/>
      </c>
      <c r="L1072" s="20">
        <f>IF(AND(ISNUMBER(D1072),ISNUMBER(H1072)),D1072-H1072,NA())</f>
        <v/>
      </c>
      <c r="M1072" s="20">
        <f>IF(AND(ISNUMBER(E1072),ISNUMBER(K1072)),E1072-K1072,NA())</f>
        <v/>
      </c>
      <c r="N1072" s="20">
        <f>IF(NOT(ISNUMBER($A1072)),NA(),IF(COUNT(OFFSET(G1072,1,0,Settings!$B$12,1))&lt;ROUNDUP(Settings!$B$12*Settings!$B$26,0),NA(),STDEV(OFFSET(G1072,1,0,Settings!$B$12,1))*SQRT(Settings!$B$13)))</f>
        <v/>
      </c>
      <c r="O1072" s="20">
        <f>IF(AND(ISNUMBER(E1072),ISNUMBER(N1072)),E1072-N1072,NA())</f>
        <v/>
      </c>
      <c r="P1072" s="19">
        <f>IF(NOT(ISNUMBER($A1072)),NA(),IF(OR($A1072&lt;MIN(KW_TP!$A$2:$A$2501),$A1072&gt;MAX(KW_TP!$A$2:$A$2501)),NA(),INDEX(KW_TP!$C$2:$C$2501,MATCH($A1072,KW_TP!$A$2:$A$2501,1))))</f>
        <v/>
      </c>
      <c r="Q1072" s="18">
        <f>IF(NOT(ISNUMBER($A1072)),NA(),IFERROR(1*INDEX(BBG_Data!$J$2:$J$4000,MATCH($A1072,BBG_Data!$I$2:$I$4000,0)),NA()))</f>
        <v/>
      </c>
      <c r="R1072" s="18">
        <f>IF(NOT(ISNUMBER($A1072)),NA(),IFERROR(1*INDEX(BBG_Data!$L$2:$L$4000,MATCH($A1072,BBG_Data!$K$2:$K$4000,0)),NA()))</f>
        <v/>
      </c>
      <c r="S1072" s="20">
        <f>IF(AND(ISNUMBER(B1072),ISNUMBER(Q1072),ISNUMBER(R1072)),(B1072-Q1072-R1072)*100,NA())</f>
        <v/>
      </c>
      <c r="T1072" s="20">
        <f>IF(AND(ISNUMBER(B1072),Settings!$B$17&gt;0),IF(ISNUMBER(INDEX($B:$B,Settings!$B$17)),(B1072-INDEX($B:$B,Settings!$B$17))*100,NA()),NA())</f>
        <v/>
      </c>
      <c r="U1072" s="20">
        <f>IF(AND(ISNUMBER(Q1072),Settings!$B$17&gt;0),IF(ISNUMBER(INDEX($Q:$Q,Settings!$B$17)),(Q1072-INDEX($Q:$Q,Settings!$B$17))*100,NA()),NA())</f>
        <v/>
      </c>
      <c r="V1072" s="20">
        <f>IF(AND(ISNUMBER(R1072),Settings!$B$17&gt;0),IF(ISNUMBER(INDEX($R:$R,Settings!$B$17)),(R1072-INDEX($R:$R,Settings!$B$17))*100,NA()),NA())</f>
        <v/>
      </c>
      <c r="W1072" s="20">
        <f>IF(AND(ISNUMBER(P1072),Settings!$B$17&gt;0),IF(ISNUMBER(INDEX($P:$P,Settings!$B$17)),P1072-INDEX($P:$P,Settings!$B$17),NA()),NA())</f>
        <v/>
      </c>
      <c r="X1072" s="19">
        <f>IF(NOT(ISNUMBER($A1072)),NA(),IF(OR($A1072&lt;MIN(DKW_10Y!$A$2:$A$2918),$A1072&gt;MAX(DKW_10Y!$A$2:$A$2918),Settings!$B$16&lt;MIN(DKW_10Y!$A$2:$A$2918)),NA(),(INDEX(DKW_10Y!$B$2:$B$2918,MATCH($A1072,DKW_10Y!$A$2:$A$2918,1))-INDEX(DKW_10Y!$B$2:$B$2918,MATCH(Settings!$B$16,DKW_10Y!$A$2:$A$2918,1)))*100))</f>
        <v/>
      </c>
      <c r="Y1072" s="19">
        <f>IF(NOT(ISNUMBER($A1072)),NA(),IF(OR($A1072&lt;MIN(DKW_10Y!$A$2:$A$2918),$A1072&gt;MAX(DKW_10Y!$A$2:$A$2918),Settings!$B$16&lt;MIN(DKW_10Y!$A$2:$A$2918)),NA(),(INDEX(DKW_10Y!$C$2:$C$2918,MATCH($A1072,DKW_10Y!$A$2:$A$2918,1))-INDEX(DKW_10Y!$C$2:$C$2918,MATCH(Settings!$B$16,DKW_10Y!$A$2:$A$2918,1)))*100))</f>
        <v/>
      </c>
      <c r="Z1072" s="19">
        <f>IF(NOT(ISNUMBER($A1072)),NA(),IF(OR($A1072&lt;MIN(DKW_10Y!$A$2:$A$2918),$A1072&gt;MAX(DKW_10Y!$A$2:$A$2918),Settings!$B$16&lt;MIN(DKW_10Y!$A$2:$A$2918)),NA(),(INDEX(DKW_10Y!$D$2:$D$2918,MATCH($A1072,DKW_10Y!$A$2:$A$2918,1))-INDEX(DKW_10Y!$D$2:$D$2918,MATCH(Settings!$B$16,DKW_10Y!$A$2:$A$2918,1)))*100))</f>
        <v/>
      </c>
      <c r="AA1072" s="19">
        <f>IF(NOT(ISNUMBER($A1072)),NA(),IF(OR($A1072&lt;MIN(DKW_10Y!$A$2:$A$2918),$A1072&gt;MAX(DKW_10Y!$A$2:$A$2918),Settings!$B$16&lt;MIN(DKW_10Y!$A$2:$A$2918)),NA(),(INDEX(DKW_10Y!$E$2:$E$2918,MATCH($A1072,DKW_10Y!$A$2:$A$2918,1))-INDEX(DKW_10Y!$E$2:$E$2918,MATCH(Settings!$B$16,DKW_10Y!$A$2:$A$2918,1)))*100))</f>
        <v/>
      </c>
      <c r="AB1072" s="19">
        <f>IF(NOT(ISNUMBER($A1072)),NA(),IF(OR($A1072&lt;MIN(DKW_10Y!$A$2:$A$2918),$A1072&gt;MAX(DKW_10Y!$A$2:$A$2918),Settings!$B$16&lt;MIN(DKW_10Y!$A$2:$A$2918)),NA(),(INDEX(DKW_10Y!$H$2:$H$2918,MATCH($A1072,DKW_10Y!$A$2:$A$2918,1))-INDEX(DKW_10Y!$H$2:$H$2918,MATCH(Settings!$B$16,DKW_10Y!$A$2:$A$2918,1)))*100))</f>
        <v/>
      </c>
      <c r="AC1072" s="18">
        <f>IF(NOT(ISNUMBER($A1072)),NA(),IFERROR(1*INDEX(BBG_Data!$N$2:$N$4000,MATCH($A1072,BBG_Data!$M$2:$M$4000,0)),NA()))</f>
        <v/>
      </c>
      <c r="AD1072" s="18">
        <f>IF(NOT(ISNUMBER($A1072)),NA(),IFERROR(1*INDEX(BBG_Data!$P$2:$P$4000,MATCH($A1072,BBG_Data!$O$2:$O$4000,0)),NA()))</f>
        <v/>
      </c>
      <c r="AE1072" s="18">
        <f>IF(NOT(ISNUMBER($A1072)),NA(),IFERROR(1*INDEX(BBG_Data!$R$2:$R$4000,MATCH($A1072,BBG_Data!$Q$2:$Q$4000,0)),NA()))</f>
        <v/>
      </c>
      <c r="AF1072" s="20">
        <f>IF(AND(ISNUMBER(B1072),ISNUMBER(AC1072)),(B1072-AC1072)*100,NA())</f>
        <v/>
      </c>
      <c r="AG1072" s="20">
        <f>IF(AND(ISNUMBER(AE1072),ISNUMBER(AD1072)),(AE1072-AD1072)*100,NA())</f>
        <v/>
      </c>
      <c r="AH1072" s="19">
        <f>IF(NOT(ISNUMBER($A1072)),NA(),IFERROR(INDEX(BBG_Data!$T$2:$T$4000,MATCH($A1072,BBG_Data!$S$2:$S$4000,0))*Settings!$B$25,NA()))</f>
        <v/>
      </c>
      <c r="AI1072" s="19">
        <f>IF(NOT(ISNUMBER($A1072)),NA(),IFERROR(INDEX(BBG_Data!$V$2:$V$4000,MATCH($A1072,BBG_Data!$U$2:$U$4000,0))*Settings!$B$25,NA()))</f>
        <v/>
      </c>
      <c r="AJ1072" s="19">
        <f>IF(NOT(ISNUMBER($A1072)),NA(),IFERROR(1*INDEX(BBG_Data!$X$2:$X$4000,MATCH($A1072,BBG_Data!$W$2:$W$4000,0)),NA()))</f>
        <v/>
      </c>
      <c r="AK1072" s="19">
        <f>IF(NOT(ISNUMBER($A1072)),NA(),IFERROR(1*INDEX(BBG_Data!$Z$2:$Z$4000,MATCH($A1072,BBG_Data!$Y$2:$Y$4000,0)),NA()))</f>
        <v/>
      </c>
    </row>
    <row r="1073">
      <c r="A1073" s="17">
        <f>IF(ISNUMBER(BBG_Data!A1073),BBG_Data!A1073,"")</f>
        <v/>
      </c>
      <c r="B1073" s="18">
        <f>IF(AND(ISNUMBER($A1073),ISNUMBER(BBG_Data!B1073)),BBG_Data!B1073,NA())</f>
        <v/>
      </c>
      <c r="C1073" s="18">
        <f>IF(NOT(ISNUMBER($A1073)),NA(),IFERROR(1*INDEX(BBG_Data!$D$2:$D$4000,MATCH($A1073,BBG_Data!$C$2:$C$4000,0)),NA()))</f>
        <v/>
      </c>
      <c r="D1073" s="19">
        <f>IF(NOT(ISNUMBER($A1073)),NA(),IFERROR(1*INDEX(BBG_Data!$F$2:$F$4000,MATCH($A1073,BBG_Data!$E$2:$E$4000,0)),NA()))</f>
        <v/>
      </c>
      <c r="E1073" s="19">
        <f>IF(NOT(ISNUMBER($A1073)),NA(),IFERROR(1*INDEX(BBG_Data!$H$2:$H$4000,MATCH($A1073,BBG_Data!$G$2:$G$4000,0)),NA()))</f>
        <v/>
      </c>
      <c r="F1073" s="20">
        <f>IF(AND(ISNUMBER(B1073),ISNUMBER(B1072)),IF(B1073=B1072,"",(B1073-B1072)*100),"")</f>
        <v/>
      </c>
      <c r="G1073" s="20">
        <f>IF(AND(ISNUMBER(C1073),ISNUMBER(C1072)),IF(C1073=C1072,"",(C1073-C1072)*100),"")</f>
        <v/>
      </c>
      <c r="H1073" s="20">
        <f>IF(OR(NOT(ISNUMBER($A1073)),ROW()-2&lt;Settings!$B$11),NA(),IF(COUNT(OFFSET(F1073,1-Settings!$B$11,0,Settings!$B$11,1))&lt;ROUNDUP(Settings!$B$11*Settings!$B$26,0),NA(),STDEV(OFFSET(F1073,1-Settings!$B$11,0,Settings!$B$11,1))*SQRT(Settings!$B$13)))</f>
        <v/>
      </c>
      <c r="I1073" s="20">
        <f>IF(OR(NOT(ISNUMBER($A1073)),ROW()-2&lt;Settings!$B$12),NA(),IF(COUNT(OFFSET(F1073,1-Settings!$B$12,0,Settings!$B$12,1))&lt;ROUNDUP(Settings!$B$12*Settings!$B$26,0),NA(),STDEV(OFFSET(F1073,1-Settings!$B$12,0,Settings!$B$12,1))*SQRT(Settings!$B$13)))</f>
        <v/>
      </c>
      <c r="J1073" s="20">
        <f>IF(OR(NOT(ISNUMBER($A1073)),ROW()-2&lt;Settings!$B$11),NA(),IF(COUNT(OFFSET(G1073,1-Settings!$B$11,0,Settings!$B$11,1))&lt;ROUNDUP(Settings!$B$11*Settings!$B$26,0),NA(),STDEV(OFFSET(G1073,1-Settings!$B$11,0,Settings!$B$11,1))*SQRT(Settings!$B$13)))</f>
        <v/>
      </c>
      <c r="K1073" s="20">
        <f>IF(OR(NOT(ISNUMBER($A1073)),ROW()-2&lt;Settings!$B$12),NA(),IF(COUNT(OFFSET(G1073,1-Settings!$B$12,0,Settings!$B$12,1))&lt;ROUNDUP(Settings!$B$12*Settings!$B$26,0),NA(),STDEV(OFFSET(G1073,1-Settings!$B$12,0,Settings!$B$12,1))*SQRT(Settings!$B$13)))</f>
        <v/>
      </c>
      <c r="L1073" s="20">
        <f>IF(AND(ISNUMBER(D1073),ISNUMBER(H1073)),D1073-H1073,NA())</f>
        <v/>
      </c>
      <c r="M1073" s="20">
        <f>IF(AND(ISNUMBER(E1073),ISNUMBER(K1073)),E1073-K1073,NA())</f>
        <v/>
      </c>
      <c r="N1073" s="20">
        <f>IF(NOT(ISNUMBER($A1073)),NA(),IF(COUNT(OFFSET(G1073,1,0,Settings!$B$12,1))&lt;ROUNDUP(Settings!$B$12*Settings!$B$26,0),NA(),STDEV(OFFSET(G1073,1,0,Settings!$B$12,1))*SQRT(Settings!$B$13)))</f>
        <v/>
      </c>
      <c r="O1073" s="20">
        <f>IF(AND(ISNUMBER(E1073),ISNUMBER(N1073)),E1073-N1073,NA())</f>
        <v/>
      </c>
      <c r="P1073" s="19">
        <f>IF(NOT(ISNUMBER($A1073)),NA(),IF(OR($A1073&lt;MIN(KW_TP!$A$2:$A$2501),$A1073&gt;MAX(KW_TP!$A$2:$A$2501)),NA(),INDEX(KW_TP!$C$2:$C$2501,MATCH($A1073,KW_TP!$A$2:$A$2501,1))))</f>
        <v/>
      </c>
      <c r="Q1073" s="18">
        <f>IF(NOT(ISNUMBER($A1073)),NA(),IFERROR(1*INDEX(BBG_Data!$J$2:$J$4000,MATCH($A1073,BBG_Data!$I$2:$I$4000,0)),NA()))</f>
        <v/>
      </c>
      <c r="R1073" s="18">
        <f>IF(NOT(ISNUMBER($A1073)),NA(),IFERROR(1*INDEX(BBG_Data!$L$2:$L$4000,MATCH($A1073,BBG_Data!$K$2:$K$4000,0)),NA()))</f>
        <v/>
      </c>
      <c r="S1073" s="20">
        <f>IF(AND(ISNUMBER(B1073),ISNUMBER(Q1073),ISNUMBER(R1073)),(B1073-Q1073-R1073)*100,NA())</f>
        <v/>
      </c>
      <c r="T1073" s="20">
        <f>IF(AND(ISNUMBER(B1073),Settings!$B$17&gt;0),IF(ISNUMBER(INDEX($B:$B,Settings!$B$17)),(B1073-INDEX($B:$B,Settings!$B$17))*100,NA()),NA())</f>
        <v/>
      </c>
      <c r="U1073" s="20">
        <f>IF(AND(ISNUMBER(Q1073),Settings!$B$17&gt;0),IF(ISNUMBER(INDEX($Q:$Q,Settings!$B$17)),(Q1073-INDEX($Q:$Q,Settings!$B$17))*100,NA()),NA())</f>
        <v/>
      </c>
      <c r="V1073" s="20">
        <f>IF(AND(ISNUMBER(R1073),Settings!$B$17&gt;0),IF(ISNUMBER(INDEX($R:$R,Settings!$B$17)),(R1073-INDEX($R:$R,Settings!$B$17))*100,NA()),NA())</f>
        <v/>
      </c>
      <c r="W1073" s="20">
        <f>IF(AND(ISNUMBER(P1073),Settings!$B$17&gt;0),IF(ISNUMBER(INDEX($P:$P,Settings!$B$17)),P1073-INDEX($P:$P,Settings!$B$17),NA()),NA())</f>
        <v/>
      </c>
      <c r="X1073" s="19">
        <f>IF(NOT(ISNUMBER($A1073)),NA(),IF(OR($A1073&lt;MIN(DKW_10Y!$A$2:$A$2918),$A1073&gt;MAX(DKW_10Y!$A$2:$A$2918),Settings!$B$16&lt;MIN(DKW_10Y!$A$2:$A$2918)),NA(),(INDEX(DKW_10Y!$B$2:$B$2918,MATCH($A1073,DKW_10Y!$A$2:$A$2918,1))-INDEX(DKW_10Y!$B$2:$B$2918,MATCH(Settings!$B$16,DKW_10Y!$A$2:$A$2918,1)))*100))</f>
        <v/>
      </c>
      <c r="Y1073" s="19">
        <f>IF(NOT(ISNUMBER($A1073)),NA(),IF(OR($A1073&lt;MIN(DKW_10Y!$A$2:$A$2918),$A1073&gt;MAX(DKW_10Y!$A$2:$A$2918),Settings!$B$16&lt;MIN(DKW_10Y!$A$2:$A$2918)),NA(),(INDEX(DKW_10Y!$C$2:$C$2918,MATCH($A1073,DKW_10Y!$A$2:$A$2918,1))-INDEX(DKW_10Y!$C$2:$C$2918,MATCH(Settings!$B$16,DKW_10Y!$A$2:$A$2918,1)))*100))</f>
        <v/>
      </c>
      <c r="Z1073" s="19">
        <f>IF(NOT(ISNUMBER($A1073)),NA(),IF(OR($A1073&lt;MIN(DKW_10Y!$A$2:$A$2918),$A1073&gt;MAX(DKW_10Y!$A$2:$A$2918),Settings!$B$16&lt;MIN(DKW_10Y!$A$2:$A$2918)),NA(),(INDEX(DKW_10Y!$D$2:$D$2918,MATCH($A1073,DKW_10Y!$A$2:$A$2918,1))-INDEX(DKW_10Y!$D$2:$D$2918,MATCH(Settings!$B$16,DKW_10Y!$A$2:$A$2918,1)))*100))</f>
        <v/>
      </c>
      <c r="AA1073" s="19">
        <f>IF(NOT(ISNUMBER($A1073)),NA(),IF(OR($A1073&lt;MIN(DKW_10Y!$A$2:$A$2918),$A1073&gt;MAX(DKW_10Y!$A$2:$A$2918),Settings!$B$16&lt;MIN(DKW_10Y!$A$2:$A$2918)),NA(),(INDEX(DKW_10Y!$E$2:$E$2918,MATCH($A1073,DKW_10Y!$A$2:$A$2918,1))-INDEX(DKW_10Y!$E$2:$E$2918,MATCH(Settings!$B$16,DKW_10Y!$A$2:$A$2918,1)))*100))</f>
        <v/>
      </c>
      <c r="AB1073" s="19">
        <f>IF(NOT(ISNUMBER($A1073)),NA(),IF(OR($A1073&lt;MIN(DKW_10Y!$A$2:$A$2918),$A1073&gt;MAX(DKW_10Y!$A$2:$A$2918),Settings!$B$16&lt;MIN(DKW_10Y!$A$2:$A$2918)),NA(),(INDEX(DKW_10Y!$H$2:$H$2918,MATCH($A1073,DKW_10Y!$A$2:$A$2918,1))-INDEX(DKW_10Y!$H$2:$H$2918,MATCH(Settings!$B$16,DKW_10Y!$A$2:$A$2918,1)))*100))</f>
        <v/>
      </c>
      <c r="AC1073" s="18">
        <f>IF(NOT(ISNUMBER($A1073)),NA(),IFERROR(1*INDEX(BBG_Data!$N$2:$N$4000,MATCH($A1073,BBG_Data!$M$2:$M$4000,0)),NA()))</f>
        <v/>
      </c>
      <c r="AD1073" s="18">
        <f>IF(NOT(ISNUMBER($A1073)),NA(),IFERROR(1*INDEX(BBG_Data!$P$2:$P$4000,MATCH($A1073,BBG_Data!$O$2:$O$4000,0)),NA()))</f>
        <v/>
      </c>
      <c r="AE1073" s="18">
        <f>IF(NOT(ISNUMBER($A1073)),NA(),IFERROR(1*INDEX(BBG_Data!$R$2:$R$4000,MATCH($A1073,BBG_Data!$Q$2:$Q$4000,0)),NA()))</f>
        <v/>
      </c>
      <c r="AF1073" s="20">
        <f>IF(AND(ISNUMBER(B1073),ISNUMBER(AC1073)),(B1073-AC1073)*100,NA())</f>
        <v/>
      </c>
      <c r="AG1073" s="20">
        <f>IF(AND(ISNUMBER(AE1073),ISNUMBER(AD1073)),(AE1073-AD1073)*100,NA())</f>
        <v/>
      </c>
      <c r="AH1073" s="19">
        <f>IF(NOT(ISNUMBER($A1073)),NA(),IFERROR(INDEX(BBG_Data!$T$2:$T$4000,MATCH($A1073,BBG_Data!$S$2:$S$4000,0))*Settings!$B$25,NA()))</f>
        <v/>
      </c>
      <c r="AI1073" s="19">
        <f>IF(NOT(ISNUMBER($A1073)),NA(),IFERROR(INDEX(BBG_Data!$V$2:$V$4000,MATCH($A1073,BBG_Data!$U$2:$U$4000,0))*Settings!$B$25,NA()))</f>
        <v/>
      </c>
      <c r="AJ1073" s="19">
        <f>IF(NOT(ISNUMBER($A1073)),NA(),IFERROR(1*INDEX(BBG_Data!$X$2:$X$4000,MATCH($A1073,BBG_Data!$W$2:$W$4000,0)),NA()))</f>
        <v/>
      </c>
      <c r="AK1073" s="19">
        <f>IF(NOT(ISNUMBER($A1073)),NA(),IFERROR(1*INDEX(BBG_Data!$Z$2:$Z$4000,MATCH($A1073,BBG_Data!$Y$2:$Y$4000,0)),NA()))</f>
        <v/>
      </c>
    </row>
    <row r="1074">
      <c r="A1074" s="17">
        <f>IF(ISNUMBER(BBG_Data!A1074),BBG_Data!A1074,"")</f>
        <v/>
      </c>
      <c r="B1074" s="18">
        <f>IF(AND(ISNUMBER($A1074),ISNUMBER(BBG_Data!B1074)),BBG_Data!B1074,NA())</f>
        <v/>
      </c>
      <c r="C1074" s="18">
        <f>IF(NOT(ISNUMBER($A1074)),NA(),IFERROR(1*INDEX(BBG_Data!$D$2:$D$4000,MATCH($A1074,BBG_Data!$C$2:$C$4000,0)),NA()))</f>
        <v/>
      </c>
      <c r="D1074" s="19">
        <f>IF(NOT(ISNUMBER($A1074)),NA(),IFERROR(1*INDEX(BBG_Data!$F$2:$F$4000,MATCH($A1074,BBG_Data!$E$2:$E$4000,0)),NA()))</f>
        <v/>
      </c>
      <c r="E1074" s="19">
        <f>IF(NOT(ISNUMBER($A1074)),NA(),IFERROR(1*INDEX(BBG_Data!$H$2:$H$4000,MATCH($A1074,BBG_Data!$G$2:$G$4000,0)),NA()))</f>
        <v/>
      </c>
      <c r="F1074" s="20">
        <f>IF(AND(ISNUMBER(B1074),ISNUMBER(B1073)),IF(B1074=B1073,"",(B1074-B1073)*100),"")</f>
        <v/>
      </c>
      <c r="G1074" s="20">
        <f>IF(AND(ISNUMBER(C1074),ISNUMBER(C1073)),IF(C1074=C1073,"",(C1074-C1073)*100),"")</f>
        <v/>
      </c>
      <c r="H1074" s="20">
        <f>IF(OR(NOT(ISNUMBER($A1074)),ROW()-2&lt;Settings!$B$11),NA(),IF(COUNT(OFFSET(F1074,1-Settings!$B$11,0,Settings!$B$11,1))&lt;ROUNDUP(Settings!$B$11*Settings!$B$26,0),NA(),STDEV(OFFSET(F1074,1-Settings!$B$11,0,Settings!$B$11,1))*SQRT(Settings!$B$13)))</f>
        <v/>
      </c>
      <c r="I1074" s="20">
        <f>IF(OR(NOT(ISNUMBER($A1074)),ROW()-2&lt;Settings!$B$12),NA(),IF(COUNT(OFFSET(F1074,1-Settings!$B$12,0,Settings!$B$12,1))&lt;ROUNDUP(Settings!$B$12*Settings!$B$26,0),NA(),STDEV(OFFSET(F1074,1-Settings!$B$12,0,Settings!$B$12,1))*SQRT(Settings!$B$13)))</f>
        <v/>
      </c>
      <c r="J1074" s="20">
        <f>IF(OR(NOT(ISNUMBER($A1074)),ROW()-2&lt;Settings!$B$11),NA(),IF(COUNT(OFFSET(G1074,1-Settings!$B$11,0,Settings!$B$11,1))&lt;ROUNDUP(Settings!$B$11*Settings!$B$26,0),NA(),STDEV(OFFSET(G1074,1-Settings!$B$11,0,Settings!$B$11,1))*SQRT(Settings!$B$13)))</f>
        <v/>
      </c>
      <c r="K1074" s="20">
        <f>IF(OR(NOT(ISNUMBER($A1074)),ROW()-2&lt;Settings!$B$12),NA(),IF(COUNT(OFFSET(G1074,1-Settings!$B$12,0,Settings!$B$12,1))&lt;ROUNDUP(Settings!$B$12*Settings!$B$26,0),NA(),STDEV(OFFSET(G1074,1-Settings!$B$12,0,Settings!$B$12,1))*SQRT(Settings!$B$13)))</f>
        <v/>
      </c>
      <c r="L1074" s="20">
        <f>IF(AND(ISNUMBER(D1074),ISNUMBER(H1074)),D1074-H1074,NA())</f>
        <v/>
      </c>
      <c r="M1074" s="20">
        <f>IF(AND(ISNUMBER(E1074),ISNUMBER(K1074)),E1074-K1074,NA())</f>
        <v/>
      </c>
      <c r="N1074" s="20">
        <f>IF(NOT(ISNUMBER($A1074)),NA(),IF(COUNT(OFFSET(G1074,1,0,Settings!$B$12,1))&lt;ROUNDUP(Settings!$B$12*Settings!$B$26,0),NA(),STDEV(OFFSET(G1074,1,0,Settings!$B$12,1))*SQRT(Settings!$B$13)))</f>
        <v/>
      </c>
      <c r="O1074" s="20">
        <f>IF(AND(ISNUMBER(E1074),ISNUMBER(N1074)),E1074-N1074,NA())</f>
        <v/>
      </c>
      <c r="P1074" s="19">
        <f>IF(NOT(ISNUMBER($A1074)),NA(),IF(OR($A1074&lt;MIN(KW_TP!$A$2:$A$2501),$A1074&gt;MAX(KW_TP!$A$2:$A$2501)),NA(),INDEX(KW_TP!$C$2:$C$2501,MATCH($A1074,KW_TP!$A$2:$A$2501,1))))</f>
        <v/>
      </c>
      <c r="Q1074" s="18">
        <f>IF(NOT(ISNUMBER($A1074)),NA(),IFERROR(1*INDEX(BBG_Data!$J$2:$J$4000,MATCH($A1074,BBG_Data!$I$2:$I$4000,0)),NA()))</f>
        <v/>
      </c>
      <c r="R1074" s="18">
        <f>IF(NOT(ISNUMBER($A1074)),NA(),IFERROR(1*INDEX(BBG_Data!$L$2:$L$4000,MATCH($A1074,BBG_Data!$K$2:$K$4000,0)),NA()))</f>
        <v/>
      </c>
      <c r="S1074" s="20">
        <f>IF(AND(ISNUMBER(B1074),ISNUMBER(Q1074),ISNUMBER(R1074)),(B1074-Q1074-R1074)*100,NA())</f>
        <v/>
      </c>
      <c r="T1074" s="20">
        <f>IF(AND(ISNUMBER(B1074),Settings!$B$17&gt;0),IF(ISNUMBER(INDEX($B:$B,Settings!$B$17)),(B1074-INDEX($B:$B,Settings!$B$17))*100,NA()),NA())</f>
        <v/>
      </c>
      <c r="U1074" s="20">
        <f>IF(AND(ISNUMBER(Q1074),Settings!$B$17&gt;0),IF(ISNUMBER(INDEX($Q:$Q,Settings!$B$17)),(Q1074-INDEX($Q:$Q,Settings!$B$17))*100,NA()),NA())</f>
        <v/>
      </c>
      <c r="V1074" s="20">
        <f>IF(AND(ISNUMBER(R1074),Settings!$B$17&gt;0),IF(ISNUMBER(INDEX($R:$R,Settings!$B$17)),(R1074-INDEX($R:$R,Settings!$B$17))*100,NA()),NA())</f>
        <v/>
      </c>
      <c r="W1074" s="20">
        <f>IF(AND(ISNUMBER(P1074),Settings!$B$17&gt;0),IF(ISNUMBER(INDEX($P:$P,Settings!$B$17)),P1074-INDEX($P:$P,Settings!$B$17),NA()),NA())</f>
        <v/>
      </c>
      <c r="X1074" s="19">
        <f>IF(NOT(ISNUMBER($A1074)),NA(),IF(OR($A1074&lt;MIN(DKW_10Y!$A$2:$A$2918),$A1074&gt;MAX(DKW_10Y!$A$2:$A$2918),Settings!$B$16&lt;MIN(DKW_10Y!$A$2:$A$2918)),NA(),(INDEX(DKW_10Y!$B$2:$B$2918,MATCH($A1074,DKW_10Y!$A$2:$A$2918,1))-INDEX(DKW_10Y!$B$2:$B$2918,MATCH(Settings!$B$16,DKW_10Y!$A$2:$A$2918,1)))*100))</f>
        <v/>
      </c>
      <c r="Y1074" s="19">
        <f>IF(NOT(ISNUMBER($A1074)),NA(),IF(OR($A1074&lt;MIN(DKW_10Y!$A$2:$A$2918),$A1074&gt;MAX(DKW_10Y!$A$2:$A$2918),Settings!$B$16&lt;MIN(DKW_10Y!$A$2:$A$2918)),NA(),(INDEX(DKW_10Y!$C$2:$C$2918,MATCH($A1074,DKW_10Y!$A$2:$A$2918,1))-INDEX(DKW_10Y!$C$2:$C$2918,MATCH(Settings!$B$16,DKW_10Y!$A$2:$A$2918,1)))*100))</f>
        <v/>
      </c>
      <c r="Z1074" s="19">
        <f>IF(NOT(ISNUMBER($A1074)),NA(),IF(OR($A1074&lt;MIN(DKW_10Y!$A$2:$A$2918),$A1074&gt;MAX(DKW_10Y!$A$2:$A$2918),Settings!$B$16&lt;MIN(DKW_10Y!$A$2:$A$2918)),NA(),(INDEX(DKW_10Y!$D$2:$D$2918,MATCH($A1074,DKW_10Y!$A$2:$A$2918,1))-INDEX(DKW_10Y!$D$2:$D$2918,MATCH(Settings!$B$16,DKW_10Y!$A$2:$A$2918,1)))*100))</f>
        <v/>
      </c>
      <c r="AA1074" s="19">
        <f>IF(NOT(ISNUMBER($A1074)),NA(),IF(OR($A1074&lt;MIN(DKW_10Y!$A$2:$A$2918),$A1074&gt;MAX(DKW_10Y!$A$2:$A$2918),Settings!$B$16&lt;MIN(DKW_10Y!$A$2:$A$2918)),NA(),(INDEX(DKW_10Y!$E$2:$E$2918,MATCH($A1074,DKW_10Y!$A$2:$A$2918,1))-INDEX(DKW_10Y!$E$2:$E$2918,MATCH(Settings!$B$16,DKW_10Y!$A$2:$A$2918,1)))*100))</f>
        <v/>
      </c>
      <c r="AB1074" s="19">
        <f>IF(NOT(ISNUMBER($A1074)),NA(),IF(OR($A1074&lt;MIN(DKW_10Y!$A$2:$A$2918),$A1074&gt;MAX(DKW_10Y!$A$2:$A$2918),Settings!$B$16&lt;MIN(DKW_10Y!$A$2:$A$2918)),NA(),(INDEX(DKW_10Y!$H$2:$H$2918,MATCH($A1074,DKW_10Y!$A$2:$A$2918,1))-INDEX(DKW_10Y!$H$2:$H$2918,MATCH(Settings!$B$16,DKW_10Y!$A$2:$A$2918,1)))*100))</f>
        <v/>
      </c>
      <c r="AC1074" s="18">
        <f>IF(NOT(ISNUMBER($A1074)),NA(),IFERROR(1*INDEX(BBG_Data!$N$2:$N$4000,MATCH($A1074,BBG_Data!$M$2:$M$4000,0)),NA()))</f>
        <v/>
      </c>
      <c r="AD1074" s="18">
        <f>IF(NOT(ISNUMBER($A1074)),NA(),IFERROR(1*INDEX(BBG_Data!$P$2:$P$4000,MATCH($A1074,BBG_Data!$O$2:$O$4000,0)),NA()))</f>
        <v/>
      </c>
      <c r="AE1074" s="18">
        <f>IF(NOT(ISNUMBER($A1074)),NA(),IFERROR(1*INDEX(BBG_Data!$R$2:$R$4000,MATCH($A1074,BBG_Data!$Q$2:$Q$4000,0)),NA()))</f>
        <v/>
      </c>
      <c r="AF1074" s="20">
        <f>IF(AND(ISNUMBER(B1074),ISNUMBER(AC1074)),(B1074-AC1074)*100,NA())</f>
        <v/>
      </c>
      <c r="AG1074" s="20">
        <f>IF(AND(ISNUMBER(AE1074),ISNUMBER(AD1074)),(AE1074-AD1074)*100,NA())</f>
        <v/>
      </c>
      <c r="AH1074" s="19">
        <f>IF(NOT(ISNUMBER($A1074)),NA(),IFERROR(INDEX(BBG_Data!$T$2:$T$4000,MATCH($A1074,BBG_Data!$S$2:$S$4000,0))*Settings!$B$25,NA()))</f>
        <v/>
      </c>
      <c r="AI1074" s="19">
        <f>IF(NOT(ISNUMBER($A1074)),NA(),IFERROR(INDEX(BBG_Data!$V$2:$V$4000,MATCH($A1074,BBG_Data!$U$2:$U$4000,0))*Settings!$B$25,NA()))</f>
        <v/>
      </c>
      <c r="AJ1074" s="19">
        <f>IF(NOT(ISNUMBER($A1074)),NA(),IFERROR(1*INDEX(BBG_Data!$X$2:$X$4000,MATCH($A1074,BBG_Data!$W$2:$W$4000,0)),NA()))</f>
        <v/>
      </c>
      <c r="AK1074" s="19">
        <f>IF(NOT(ISNUMBER($A1074)),NA(),IFERROR(1*INDEX(BBG_Data!$Z$2:$Z$4000,MATCH($A1074,BBG_Data!$Y$2:$Y$4000,0)),NA()))</f>
        <v/>
      </c>
    </row>
    <row r="1075">
      <c r="A1075" s="17">
        <f>IF(ISNUMBER(BBG_Data!A1075),BBG_Data!A1075,"")</f>
        <v/>
      </c>
      <c r="B1075" s="18">
        <f>IF(AND(ISNUMBER($A1075),ISNUMBER(BBG_Data!B1075)),BBG_Data!B1075,NA())</f>
        <v/>
      </c>
      <c r="C1075" s="18">
        <f>IF(NOT(ISNUMBER($A1075)),NA(),IFERROR(1*INDEX(BBG_Data!$D$2:$D$4000,MATCH($A1075,BBG_Data!$C$2:$C$4000,0)),NA()))</f>
        <v/>
      </c>
      <c r="D1075" s="19">
        <f>IF(NOT(ISNUMBER($A1075)),NA(),IFERROR(1*INDEX(BBG_Data!$F$2:$F$4000,MATCH($A1075,BBG_Data!$E$2:$E$4000,0)),NA()))</f>
        <v/>
      </c>
      <c r="E1075" s="19">
        <f>IF(NOT(ISNUMBER($A1075)),NA(),IFERROR(1*INDEX(BBG_Data!$H$2:$H$4000,MATCH($A1075,BBG_Data!$G$2:$G$4000,0)),NA()))</f>
        <v/>
      </c>
      <c r="F1075" s="20">
        <f>IF(AND(ISNUMBER(B1075),ISNUMBER(B1074)),IF(B1075=B1074,"",(B1075-B1074)*100),"")</f>
        <v/>
      </c>
      <c r="G1075" s="20">
        <f>IF(AND(ISNUMBER(C1075),ISNUMBER(C1074)),IF(C1075=C1074,"",(C1075-C1074)*100),"")</f>
        <v/>
      </c>
      <c r="H1075" s="20">
        <f>IF(OR(NOT(ISNUMBER($A1075)),ROW()-2&lt;Settings!$B$11),NA(),IF(COUNT(OFFSET(F1075,1-Settings!$B$11,0,Settings!$B$11,1))&lt;ROUNDUP(Settings!$B$11*Settings!$B$26,0),NA(),STDEV(OFFSET(F1075,1-Settings!$B$11,0,Settings!$B$11,1))*SQRT(Settings!$B$13)))</f>
        <v/>
      </c>
      <c r="I1075" s="20">
        <f>IF(OR(NOT(ISNUMBER($A1075)),ROW()-2&lt;Settings!$B$12),NA(),IF(COUNT(OFFSET(F1075,1-Settings!$B$12,0,Settings!$B$12,1))&lt;ROUNDUP(Settings!$B$12*Settings!$B$26,0),NA(),STDEV(OFFSET(F1075,1-Settings!$B$12,0,Settings!$B$12,1))*SQRT(Settings!$B$13)))</f>
        <v/>
      </c>
      <c r="J1075" s="20">
        <f>IF(OR(NOT(ISNUMBER($A1075)),ROW()-2&lt;Settings!$B$11),NA(),IF(COUNT(OFFSET(G1075,1-Settings!$B$11,0,Settings!$B$11,1))&lt;ROUNDUP(Settings!$B$11*Settings!$B$26,0),NA(),STDEV(OFFSET(G1075,1-Settings!$B$11,0,Settings!$B$11,1))*SQRT(Settings!$B$13)))</f>
        <v/>
      </c>
      <c r="K1075" s="20">
        <f>IF(OR(NOT(ISNUMBER($A1075)),ROW()-2&lt;Settings!$B$12),NA(),IF(COUNT(OFFSET(G1075,1-Settings!$B$12,0,Settings!$B$12,1))&lt;ROUNDUP(Settings!$B$12*Settings!$B$26,0),NA(),STDEV(OFFSET(G1075,1-Settings!$B$12,0,Settings!$B$12,1))*SQRT(Settings!$B$13)))</f>
        <v/>
      </c>
      <c r="L1075" s="20">
        <f>IF(AND(ISNUMBER(D1075),ISNUMBER(H1075)),D1075-H1075,NA())</f>
        <v/>
      </c>
      <c r="M1075" s="20">
        <f>IF(AND(ISNUMBER(E1075),ISNUMBER(K1075)),E1075-K1075,NA())</f>
        <v/>
      </c>
      <c r="N1075" s="20">
        <f>IF(NOT(ISNUMBER($A1075)),NA(),IF(COUNT(OFFSET(G1075,1,0,Settings!$B$12,1))&lt;ROUNDUP(Settings!$B$12*Settings!$B$26,0),NA(),STDEV(OFFSET(G1075,1,0,Settings!$B$12,1))*SQRT(Settings!$B$13)))</f>
        <v/>
      </c>
      <c r="O1075" s="20">
        <f>IF(AND(ISNUMBER(E1075),ISNUMBER(N1075)),E1075-N1075,NA())</f>
        <v/>
      </c>
      <c r="P1075" s="19">
        <f>IF(NOT(ISNUMBER($A1075)),NA(),IF(OR($A1075&lt;MIN(KW_TP!$A$2:$A$2501),$A1075&gt;MAX(KW_TP!$A$2:$A$2501)),NA(),INDEX(KW_TP!$C$2:$C$2501,MATCH($A1075,KW_TP!$A$2:$A$2501,1))))</f>
        <v/>
      </c>
      <c r="Q1075" s="18">
        <f>IF(NOT(ISNUMBER($A1075)),NA(),IFERROR(1*INDEX(BBG_Data!$J$2:$J$4000,MATCH($A1075,BBG_Data!$I$2:$I$4000,0)),NA()))</f>
        <v/>
      </c>
      <c r="R1075" s="18">
        <f>IF(NOT(ISNUMBER($A1075)),NA(),IFERROR(1*INDEX(BBG_Data!$L$2:$L$4000,MATCH($A1075,BBG_Data!$K$2:$K$4000,0)),NA()))</f>
        <v/>
      </c>
      <c r="S1075" s="20">
        <f>IF(AND(ISNUMBER(B1075),ISNUMBER(Q1075),ISNUMBER(R1075)),(B1075-Q1075-R1075)*100,NA())</f>
        <v/>
      </c>
      <c r="T1075" s="20">
        <f>IF(AND(ISNUMBER(B1075),Settings!$B$17&gt;0),IF(ISNUMBER(INDEX($B:$B,Settings!$B$17)),(B1075-INDEX($B:$B,Settings!$B$17))*100,NA()),NA())</f>
        <v/>
      </c>
      <c r="U1075" s="20">
        <f>IF(AND(ISNUMBER(Q1075),Settings!$B$17&gt;0),IF(ISNUMBER(INDEX($Q:$Q,Settings!$B$17)),(Q1075-INDEX($Q:$Q,Settings!$B$17))*100,NA()),NA())</f>
        <v/>
      </c>
      <c r="V1075" s="20">
        <f>IF(AND(ISNUMBER(R1075),Settings!$B$17&gt;0),IF(ISNUMBER(INDEX($R:$R,Settings!$B$17)),(R1075-INDEX($R:$R,Settings!$B$17))*100,NA()),NA())</f>
        <v/>
      </c>
      <c r="W1075" s="20">
        <f>IF(AND(ISNUMBER(P1075),Settings!$B$17&gt;0),IF(ISNUMBER(INDEX($P:$P,Settings!$B$17)),P1075-INDEX($P:$P,Settings!$B$17),NA()),NA())</f>
        <v/>
      </c>
      <c r="X1075" s="19">
        <f>IF(NOT(ISNUMBER($A1075)),NA(),IF(OR($A1075&lt;MIN(DKW_10Y!$A$2:$A$2918),$A1075&gt;MAX(DKW_10Y!$A$2:$A$2918),Settings!$B$16&lt;MIN(DKW_10Y!$A$2:$A$2918)),NA(),(INDEX(DKW_10Y!$B$2:$B$2918,MATCH($A1075,DKW_10Y!$A$2:$A$2918,1))-INDEX(DKW_10Y!$B$2:$B$2918,MATCH(Settings!$B$16,DKW_10Y!$A$2:$A$2918,1)))*100))</f>
        <v/>
      </c>
      <c r="Y1075" s="19">
        <f>IF(NOT(ISNUMBER($A1075)),NA(),IF(OR($A1075&lt;MIN(DKW_10Y!$A$2:$A$2918),$A1075&gt;MAX(DKW_10Y!$A$2:$A$2918),Settings!$B$16&lt;MIN(DKW_10Y!$A$2:$A$2918)),NA(),(INDEX(DKW_10Y!$C$2:$C$2918,MATCH($A1075,DKW_10Y!$A$2:$A$2918,1))-INDEX(DKW_10Y!$C$2:$C$2918,MATCH(Settings!$B$16,DKW_10Y!$A$2:$A$2918,1)))*100))</f>
        <v/>
      </c>
      <c r="Z1075" s="19">
        <f>IF(NOT(ISNUMBER($A1075)),NA(),IF(OR($A1075&lt;MIN(DKW_10Y!$A$2:$A$2918),$A1075&gt;MAX(DKW_10Y!$A$2:$A$2918),Settings!$B$16&lt;MIN(DKW_10Y!$A$2:$A$2918)),NA(),(INDEX(DKW_10Y!$D$2:$D$2918,MATCH($A1075,DKW_10Y!$A$2:$A$2918,1))-INDEX(DKW_10Y!$D$2:$D$2918,MATCH(Settings!$B$16,DKW_10Y!$A$2:$A$2918,1)))*100))</f>
        <v/>
      </c>
      <c r="AA1075" s="19">
        <f>IF(NOT(ISNUMBER($A1075)),NA(),IF(OR($A1075&lt;MIN(DKW_10Y!$A$2:$A$2918),$A1075&gt;MAX(DKW_10Y!$A$2:$A$2918),Settings!$B$16&lt;MIN(DKW_10Y!$A$2:$A$2918)),NA(),(INDEX(DKW_10Y!$E$2:$E$2918,MATCH($A1075,DKW_10Y!$A$2:$A$2918,1))-INDEX(DKW_10Y!$E$2:$E$2918,MATCH(Settings!$B$16,DKW_10Y!$A$2:$A$2918,1)))*100))</f>
        <v/>
      </c>
      <c r="AB1075" s="19">
        <f>IF(NOT(ISNUMBER($A1075)),NA(),IF(OR($A1075&lt;MIN(DKW_10Y!$A$2:$A$2918),$A1075&gt;MAX(DKW_10Y!$A$2:$A$2918),Settings!$B$16&lt;MIN(DKW_10Y!$A$2:$A$2918)),NA(),(INDEX(DKW_10Y!$H$2:$H$2918,MATCH($A1075,DKW_10Y!$A$2:$A$2918,1))-INDEX(DKW_10Y!$H$2:$H$2918,MATCH(Settings!$B$16,DKW_10Y!$A$2:$A$2918,1)))*100))</f>
        <v/>
      </c>
      <c r="AC1075" s="18">
        <f>IF(NOT(ISNUMBER($A1075)),NA(),IFERROR(1*INDEX(BBG_Data!$N$2:$N$4000,MATCH($A1075,BBG_Data!$M$2:$M$4000,0)),NA()))</f>
        <v/>
      </c>
      <c r="AD1075" s="18">
        <f>IF(NOT(ISNUMBER($A1075)),NA(),IFERROR(1*INDEX(BBG_Data!$P$2:$P$4000,MATCH($A1075,BBG_Data!$O$2:$O$4000,0)),NA()))</f>
        <v/>
      </c>
      <c r="AE1075" s="18">
        <f>IF(NOT(ISNUMBER($A1075)),NA(),IFERROR(1*INDEX(BBG_Data!$R$2:$R$4000,MATCH($A1075,BBG_Data!$Q$2:$Q$4000,0)),NA()))</f>
        <v/>
      </c>
      <c r="AF1075" s="20">
        <f>IF(AND(ISNUMBER(B1075),ISNUMBER(AC1075)),(B1075-AC1075)*100,NA())</f>
        <v/>
      </c>
      <c r="AG1075" s="20">
        <f>IF(AND(ISNUMBER(AE1075),ISNUMBER(AD1075)),(AE1075-AD1075)*100,NA())</f>
        <v/>
      </c>
      <c r="AH1075" s="19">
        <f>IF(NOT(ISNUMBER($A1075)),NA(),IFERROR(INDEX(BBG_Data!$T$2:$T$4000,MATCH($A1075,BBG_Data!$S$2:$S$4000,0))*Settings!$B$25,NA()))</f>
        <v/>
      </c>
      <c r="AI1075" s="19">
        <f>IF(NOT(ISNUMBER($A1075)),NA(),IFERROR(INDEX(BBG_Data!$V$2:$V$4000,MATCH($A1075,BBG_Data!$U$2:$U$4000,0))*Settings!$B$25,NA()))</f>
        <v/>
      </c>
      <c r="AJ1075" s="19">
        <f>IF(NOT(ISNUMBER($A1075)),NA(),IFERROR(1*INDEX(BBG_Data!$X$2:$X$4000,MATCH($A1075,BBG_Data!$W$2:$W$4000,0)),NA()))</f>
        <v/>
      </c>
      <c r="AK1075" s="19">
        <f>IF(NOT(ISNUMBER($A1075)),NA(),IFERROR(1*INDEX(BBG_Data!$Z$2:$Z$4000,MATCH($A1075,BBG_Data!$Y$2:$Y$4000,0)),NA()))</f>
        <v/>
      </c>
    </row>
    <row r="1076">
      <c r="A1076" s="17">
        <f>IF(ISNUMBER(BBG_Data!A1076),BBG_Data!A1076,"")</f>
        <v/>
      </c>
      <c r="B1076" s="18">
        <f>IF(AND(ISNUMBER($A1076),ISNUMBER(BBG_Data!B1076)),BBG_Data!B1076,NA())</f>
        <v/>
      </c>
      <c r="C1076" s="18">
        <f>IF(NOT(ISNUMBER($A1076)),NA(),IFERROR(1*INDEX(BBG_Data!$D$2:$D$4000,MATCH($A1076,BBG_Data!$C$2:$C$4000,0)),NA()))</f>
        <v/>
      </c>
      <c r="D1076" s="19">
        <f>IF(NOT(ISNUMBER($A1076)),NA(),IFERROR(1*INDEX(BBG_Data!$F$2:$F$4000,MATCH($A1076,BBG_Data!$E$2:$E$4000,0)),NA()))</f>
        <v/>
      </c>
      <c r="E1076" s="19">
        <f>IF(NOT(ISNUMBER($A1076)),NA(),IFERROR(1*INDEX(BBG_Data!$H$2:$H$4000,MATCH($A1076,BBG_Data!$G$2:$G$4000,0)),NA()))</f>
        <v/>
      </c>
      <c r="F1076" s="20">
        <f>IF(AND(ISNUMBER(B1076),ISNUMBER(B1075)),IF(B1076=B1075,"",(B1076-B1075)*100),"")</f>
        <v/>
      </c>
      <c r="G1076" s="20">
        <f>IF(AND(ISNUMBER(C1076),ISNUMBER(C1075)),IF(C1076=C1075,"",(C1076-C1075)*100),"")</f>
        <v/>
      </c>
      <c r="H1076" s="20">
        <f>IF(OR(NOT(ISNUMBER($A1076)),ROW()-2&lt;Settings!$B$11),NA(),IF(COUNT(OFFSET(F1076,1-Settings!$B$11,0,Settings!$B$11,1))&lt;ROUNDUP(Settings!$B$11*Settings!$B$26,0),NA(),STDEV(OFFSET(F1076,1-Settings!$B$11,0,Settings!$B$11,1))*SQRT(Settings!$B$13)))</f>
        <v/>
      </c>
      <c r="I1076" s="20">
        <f>IF(OR(NOT(ISNUMBER($A1076)),ROW()-2&lt;Settings!$B$12),NA(),IF(COUNT(OFFSET(F1076,1-Settings!$B$12,0,Settings!$B$12,1))&lt;ROUNDUP(Settings!$B$12*Settings!$B$26,0),NA(),STDEV(OFFSET(F1076,1-Settings!$B$12,0,Settings!$B$12,1))*SQRT(Settings!$B$13)))</f>
        <v/>
      </c>
      <c r="J1076" s="20">
        <f>IF(OR(NOT(ISNUMBER($A1076)),ROW()-2&lt;Settings!$B$11),NA(),IF(COUNT(OFFSET(G1076,1-Settings!$B$11,0,Settings!$B$11,1))&lt;ROUNDUP(Settings!$B$11*Settings!$B$26,0),NA(),STDEV(OFFSET(G1076,1-Settings!$B$11,0,Settings!$B$11,1))*SQRT(Settings!$B$13)))</f>
        <v/>
      </c>
      <c r="K1076" s="20">
        <f>IF(OR(NOT(ISNUMBER($A1076)),ROW()-2&lt;Settings!$B$12),NA(),IF(COUNT(OFFSET(G1076,1-Settings!$B$12,0,Settings!$B$12,1))&lt;ROUNDUP(Settings!$B$12*Settings!$B$26,0),NA(),STDEV(OFFSET(G1076,1-Settings!$B$12,0,Settings!$B$12,1))*SQRT(Settings!$B$13)))</f>
        <v/>
      </c>
      <c r="L1076" s="20">
        <f>IF(AND(ISNUMBER(D1076),ISNUMBER(H1076)),D1076-H1076,NA())</f>
        <v/>
      </c>
      <c r="M1076" s="20">
        <f>IF(AND(ISNUMBER(E1076),ISNUMBER(K1076)),E1076-K1076,NA())</f>
        <v/>
      </c>
      <c r="N1076" s="20">
        <f>IF(NOT(ISNUMBER($A1076)),NA(),IF(COUNT(OFFSET(G1076,1,0,Settings!$B$12,1))&lt;ROUNDUP(Settings!$B$12*Settings!$B$26,0),NA(),STDEV(OFFSET(G1076,1,0,Settings!$B$12,1))*SQRT(Settings!$B$13)))</f>
        <v/>
      </c>
      <c r="O1076" s="20">
        <f>IF(AND(ISNUMBER(E1076),ISNUMBER(N1076)),E1076-N1076,NA())</f>
        <v/>
      </c>
      <c r="P1076" s="19">
        <f>IF(NOT(ISNUMBER($A1076)),NA(),IF(OR($A1076&lt;MIN(KW_TP!$A$2:$A$2501),$A1076&gt;MAX(KW_TP!$A$2:$A$2501)),NA(),INDEX(KW_TP!$C$2:$C$2501,MATCH($A1076,KW_TP!$A$2:$A$2501,1))))</f>
        <v/>
      </c>
      <c r="Q1076" s="18">
        <f>IF(NOT(ISNUMBER($A1076)),NA(),IFERROR(1*INDEX(BBG_Data!$J$2:$J$4000,MATCH($A1076,BBG_Data!$I$2:$I$4000,0)),NA()))</f>
        <v/>
      </c>
      <c r="R1076" s="18">
        <f>IF(NOT(ISNUMBER($A1076)),NA(),IFERROR(1*INDEX(BBG_Data!$L$2:$L$4000,MATCH($A1076,BBG_Data!$K$2:$K$4000,0)),NA()))</f>
        <v/>
      </c>
      <c r="S1076" s="20">
        <f>IF(AND(ISNUMBER(B1076),ISNUMBER(Q1076),ISNUMBER(R1076)),(B1076-Q1076-R1076)*100,NA())</f>
        <v/>
      </c>
      <c r="T1076" s="20">
        <f>IF(AND(ISNUMBER(B1076),Settings!$B$17&gt;0),IF(ISNUMBER(INDEX($B:$B,Settings!$B$17)),(B1076-INDEX($B:$B,Settings!$B$17))*100,NA()),NA())</f>
        <v/>
      </c>
      <c r="U1076" s="20">
        <f>IF(AND(ISNUMBER(Q1076),Settings!$B$17&gt;0),IF(ISNUMBER(INDEX($Q:$Q,Settings!$B$17)),(Q1076-INDEX($Q:$Q,Settings!$B$17))*100,NA()),NA())</f>
        <v/>
      </c>
      <c r="V1076" s="20">
        <f>IF(AND(ISNUMBER(R1076),Settings!$B$17&gt;0),IF(ISNUMBER(INDEX($R:$R,Settings!$B$17)),(R1076-INDEX($R:$R,Settings!$B$17))*100,NA()),NA())</f>
        <v/>
      </c>
      <c r="W1076" s="20">
        <f>IF(AND(ISNUMBER(P1076),Settings!$B$17&gt;0),IF(ISNUMBER(INDEX($P:$P,Settings!$B$17)),P1076-INDEX($P:$P,Settings!$B$17),NA()),NA())</f>
        <v/>
      </c>
      <c r="X1076" s="19">
        <f>IF(NOT(ISNUMBER($A1076)),NA(),IF(OR($A1076&lt;MIN(DKW_10Y!$A$2:$A$2918),$A1076&gt;MAX(DKW_10Y!$A$2:$A$2918),Settings!$B$16&lt;MIN(DKW_10Y!$A$2:$A$2918)),NA(),(INDEX(DKW_10Y!$B$2:$B$2918,MATCH($A1076,DKW_10Y!$A$2:$A$2918,1))-INDEX(DKW_10Y!$B$2:$B$2918,MATCH(Settings!$B$16,DKW_10Y!$A$2:$A$2918,1)))*100))</f>
        <v/>
      </c>
      <c r="Y1076" s="19">
        <f>IF(NOT(ISNUMBER($A1076)),NA(),IF(OR($A1076&lt;MIN(DKW_10Y!$A$2:$A$2918),$A1076&gt;MAX(DKW_10Y!$A$2:$A$2918),Settings!$B$16&lt;MIN(DKW_10Y!$A$2:$A$2918)),NA(),(INDEX(DKW_10Y!$C$2:$C$2918,MATCH($A1076,DKW_10Y!$A$2:$A$2918,1))-INDEX(DKW_10Y!$C$2:$C$2918,MATCH(Settings!$B$16,DKW_10Y!$A$2:$A$2918,1)))*100))</f>
        <v/>
      </c>
      <c r="Z1076" s="19">
        <f>IF(NOT(ISNUMBER($A1076)),NA(),IF(OR($A1076&lt;MIN(DKW_10Y!$A$2:$A$2918),$A1076&gt;MAX(DKW_10Y!$A$2:$A$2918),Settings!$B$16&lt;MIN(DKW_10Y!$A$2:$A$2918)),NA(),(INDEX(DKW_10Y!$D$2:$D$2918,MATCH($A1076,DKW_10Y!$A$2:$A$2918,1))-INDEX(DKW_10Y!$D$2:$D$2918,MATCH(Settings!$B$16,DKW_10Y!$A$2:$A$2918,1)))*100))</f>
        <v/>
      </c>
      <c r="AA1076" s="19">
        <f>IF(NOT(ISNUMBER($A1076)),NA(),IF(OR($A1076&lt;MIN(DKW_10Y!$A$2:$A$2918),$A1076&gt;MAX(DKW_10Y!$A$2:$A$2918),Settings!$B$16&lt;MIN(DKW_10Y!$A$2:$A$2918)),NA(),(INDEX(DKW_10Y!$E$2:$E$2918,MATCH($A1076,DKW_10Y!$A$2:$A$2918,1))-INDEX(DKW_10Y!$E$2:$E$2918,MATCH(Settings!$B$16,DKW_10Y!$A$2:$A$2918,1)))*100))</f>
        <v/>
      </c>
      <c r="AB1076" s="19">
        <f>IF(NOT(ISNUMBER($A1076)),NA(),IF(OR($A1076&lt;MIN(DKW_10Y!$A$2:$A$2918),$A1076&gt;MAX(DKW_10Y!$A$2:$A$2918),Settings!$B$16&lt;MIN(DKW_10Y!$A$2:$A$2918)),NA(),(INDEX(DKW_10Y!$H$2:$H$2918,MATCH($A1076,DKW_10Y!$A$2:$A$2918,1))-INDEX(DKW_10Y!$H$2:$H$2918,MATCH(Settings!$B$16,DKW_10Y!$A$2:$A$2918,1)))*100))</f>
        <v/>
      </c>
      <c r="AC1076" s="18">
        <f>IF(NOT(ISNUMBER($A1076)),NA(),IFERROR(1*INDEX(BBG_Data!$N$2:$N$4000,MATCH($A1076,BBG_Data!$M$2:$M$4000,0)),NA()))</f>
        <v/>
      </c>
      <c r="AD1076" s="18">
        <f>IF(NOT(ISNUMBER($A1076)),NA(),IFERROR(1*INDEX(BBG_Data!$P$2:$P$4000,MATCH($A1076,BBG_Data!$O$2:$O$4000,0)),NA()))</f>
        <v/>
      </c>
      <c r="AE1076" s="18">
        <f>IF(NOT(ISNUMBER($A1076)),NA(),IFERROR(1*INDEX(BBG_Data!$R$2:$R$4000,MATCH($A1076,BBG_Data!$Q$2:$Q$4000,0)),NA()))</f>
        <v/>
      </c>
      <c r="AF1076" s="20">
        <f>IF(AND(ISNUMBER(B1076),ISNUMBER(AC1076)),(B1076-AC1076)*100,NA())</f>
        <v/>
      </c>
      <c r="AG1076" s="20">
        <f>IF(AND(ISNUMBER(AE1076),ISNUMBER(AD1076)),(AE1076-AD1076)*100,NA())</f>
        <v/>
      </c>
      <c r="AH1076" s="19">
        <f>IF(NOT(ISNUMBER($A1076)),NA(),IFERROR(INDEX(BBG_Data!$T$2:$T$4000,MATCH($A1076,BBG_Data!$S$2:$S$4000,0))*Settings!$B$25,NA()))</f>
        <v/>
      </c>
      <c r="AI1076" s="19">
        <f>IF(NOT(ISNUMBER($A1076)),NA(),IFERROR(INDEX(BBG_Data!$V$2:$V$4000,MATCH($A1076,BBG_Data!$U$2:$U$4000,0))*Settings!$B$25,NA()))</f>
        <v/>
      </c>
      <c r="AJ1076" s="19">
        <f>IF(NOT(ISNUMBER($A1076)),NA(),IFERROR(1*INDEX(BBG_Data!$X$2:$X$4000,MATCH($A1076,BBG_Data!$W$2:$W$4000,0)),NA()))</f>
        <v/>
      </c>
      <c r="AK1076" s="19">
        <f>IF(NOT(ISNUMBER($A1076)),NA(),IFERROR(1*INDEX(BBG_Data!$Z$2:$Z$4000,MATCH($A1076,BBG_Data!$Y$2:$Y$4000,0)),NA()))</f>
        <v/>
      </c>
    </row>
    <row r="1077">
      <c r="A1077" s="17">
        <f>IF(ISNUMBER(BBG_Data!A1077),BBG_Data!A1077,"")</f>
        <v/>
      </c>
      <c r="B1077" s="18">
        <f>IF(AND(ISNUMBER($A1077),ISNUMBER(BBG_Data!B1077)),BBG_Data!B1077,NA())</f>
        <v/>
      </c>
      <c r="C1077" s="18">
        <f>IF(NOT(ISNUMBER($A1077)),NA(),IFERROR(1*INDEX(BBG_Data!$D$2:$D$4000,MATCH($A1077,BBG_Data!$C$2:$C$4000,0)),NA()))</f>
        <v/>
      </c>
      <c r="D1077" s="19">
        <f>IF(NOT(ISNUMBER($A1077)),NA(),IFERROR(1*INDEX(BBG_Data!$F$2:$F$4000,MATCH($A1077,BBG_Data!$E$2:$E$4000,0)),NA()))</f>
        <v/>
      </c>
      <c r="E1077" s="19">
        <f>IF(NOT(ISNUMBER($A1077)),NA(),IFERROR(1*INDEX(BBG_Data!$H$2:$H$4000,MATCH($A1077,BBG_Data!$G$2:$G$4000,0)),NA()))</f>
        <v/>
      </c>
      <c r="F1077" s="20">
        <f>IF(AND(ISNUMBER(B1077),ISNUMBER(B1076)),IF(B1077=B1076,"",(B1077-B1076)*100),"")</f>
        <v/>
      </c>
      <c r="G1077" s="20">
        <f>IF(AND(ISNUMBER(C1077),ISNUMBER(C1076)),IF(C1077=C1076,"",(C1077-C1076)*100),"")</f>
        <v/>
      </c>
      <c r="H1077" s="20">
        <f>IF(OR(NOT(ISNUMBER($A1077)),ROW()-2&lt;Settings!$B$11),NA(),IF(COUNT(OFFSET(F1077,1-Settings!$B$11,0,Settings!$B$11,1))&lt;ROUNDUP(Settings!$B$11*Settings!$B$26,0),NA(),STDEV(OFFSET(F1077,1-Settings!$B$11,0,Settings!$B$11,1))*SQRT(Settings!$B$13)))</f>
        <v/>
      </c>
      <c r="I1077" s="20">
        <f>IF(OR(NOT(ISNUMBER($A1077)),ROW()-2&lt;Settings!$B$12),NA(),IF(COUNT(OFFSET(F1077,1-Settings!$B$12,0,Settings!$B$12,1))&lt;ROUNDUP(Settings!$B$12*Settings!$B$26,0),NA(),STDEV(OFFSET(F1077,1-Settings!$B$12,0,Settings!$B$12,1))*SQRT(Settings!$B$13)))</f>
        <v/>
      </c>
      <c r="J1077" s="20">
        <f>IF(OR(NOT(ISNUMBER($A1077)),ROW()-2&lt;Settings!$B$11),NA(),IF(COUNT(OFFSET(G1077,1-Settings!$B$11,0,Settings!$B$11,1))&lt;ROUNDUP(Settings!$B$11*Settings!$B$26,0),NA(),STDEV(OFFSET(G1077,1-Settings!$B$11,0,Settings!$B$11,1))*SQRT(Settings!$B$13)))</f>
        <v/>
      </c>
      <c r="K1077" s="20">
        <f>IF(OR(NOT(ISNUMBER($A1077)),ROW()-2&lt;Settings!$B$12),NA(),IF(COUNT(OFFSET(G1077,1-Settings!$B$12,0,Settings!$B$12,1))&lt;ROUNDUP(Settings!$B$12*Settings!$B$26,0),NA(),STDEV(OFFSET(G1077,1-Settings!$B$12,0,Settings!$B$12,1))*SQRT(Settings!$B$13)))</f>
        <v/>
      </c>
      <c r="L1077" s="20">
        <f>IF(AND(ISNUMBER(D1077),ISNUMBER(H1077)),D1077-H1077,NA())</f>
        <v/>
      </c>
      <c r="M1077" s="20">
        <f>IF(AND(ISNUMBER(E1077),ISNUMBER(K1077)),E1077-K1077,NA())</f>
        <v/>
      </c>
      <c r="N1077" s="20">
        <f>IF(NOT(ISNUMBER($A1077)),NA(),IF(COUNT(OFFSET(G1077,1,0,Settings!$B$12,1))&lt;ROUNDUP(Settings!$B$12*Settings!$B$26,0),NA(),STDEV(OFFSET(G1077,1,0,Settings!$B$12,1))*SQRT(Settings!$B$13)))</f>
        <v/>
      </c>
      <c r="O1077" s="20">
        <f>IF(AND(ISNUMBER(E1077),ISNUMBER(N1077)),E1077-N1077,NA())</f>
        <v/>
      </c>
      <c r="P1077" s="19">
        <f>IF(NOT(ISNUMBER($A1077)),NA(),IF(OR($A1077&lt;MIN(KW_TP!$A$2:$A$2501),$A1077&gt;MAX(KW_TP!$A$2:$A$2501)),NA(),INDEX(KW_TP!$C$2:$C$2501,MATCH($A1077,KW_TP!$A$2:$A$2501,1))))</f>
        <v/>
      </c>
      <c r="Q1077" s="18">
        <f>IF(NOT(ISNUMBER($A1077)),NA(),IFERROR(1*INDEX(BBG_Data!$J$2:$J$4000,MATCH($A1077,BBG_Data!$I$2:$I$4000,0)),NA()))</f>
        <v/>
      </c>
      <c r="R1077" s="18">
        <f>IF(NOT(ISNUMBER($A1077)),NA(),IFERROR(1*INDEX(BBG_Data!$L$2:$L$4000,MATCH($A1077,BBG_Data!$K$2:$K$4000,0)),NA()))</f>
        <v/>
      </c>
      <c r="S1077" s="20">
        <f>IF(AND(ISNUMBER(B1077),ISNUMBER(Q1077),ISNUMBER(R1077)),(B1077-Q1077-R1077)*100,NA())</f>
        <v/>
      </c>
      <c r="T1077" s="20">
        <f>IF(AND(ISNUMBER(B1077),Settings!$B$17&gt;0),IF(ISNUMBER(INDEX($B:$B,Settings!$B$17)),(B1077-INDEX($B:$B,Settings!$B$17))*100,NA()),NA())</f>
        <v/>
      </c>
      <c r="U1077" s="20">
        <f>IF(AND(ISNUMBER(Q1077),Settings!$B$17&gt;0),IF(ISNUMBER(INDEX($Q:$Q,Settings!$B$17)),(Q1077-INDEX($Q:$Q,Settings!$B$17))*100,NA()),NA())</f>
        <v/>
      </c>
      <c r="V1077" s="20">
        <f>IF(AND(ISNUMBER(R1077),Settings!$B$17&gt;0),IF(ISNUMBER(INDEX($R:$R,Settings!$B$17)),(R1077-INDEX($R:$R,Settings!$B$17))*100,NA()),NA())</f>
        <v/>
      </c>
      <c r="W1077" s="20">
        <f>IF(AND(ISNUMBER(P1077),Settings!$B$17&gt;0),IF(ISNUMBER(INDEX($P:$P,Settings!$B$17)),P1077-INDEX($P:$P,Settings!$B$17),NA()),NA())</f>
        <v/>
      </c>
      <c r="X1077" s="19">
        <f>IF(NOT(ISNUMBER($A1077)),NA(),IF(OR($A1077&lt;MIN(DKW_10Y!$A$2:$A$2918),$A1077&gt;MAX(DKW_10Y!$A$2:$A$2918),Settings!$B$16&lt;MIN(DKW_10Y!$A$2:$A$2918)),NA(),(INDEX(DKW_10Y!$B$2:$B$2918,MATCH($A1077,DKW_10Y!$A$2:$A$2918,1))-INDEX(DKW_10Y!$B$2:$B$2918,MATCH(Settings!$B$16,DKW_10Y!$A$2:$A$2918,1)))*100))</f>
        <v/>
      </c>
      <c r="Y1077" s="19">
        <f>IF(NOT(ISNUMBER($A1077)),NA(),IF(OR($A1077&lt;MIN(DKW_10Y!$A$2:$A$2918),$A1077&gt;MAX(DKW_10Y!$A$2:$A$2918),Settings!$B$16&lt;MIN(DKW_10Y!$A$2:$A$2918)),NA(),(INDEX(DKW_10Y!$C$2:$C$2918,MATCH($A1077,DKW_10Y!$A$2:$A$2918,1))-INDEX(DKW_10Y!$C$2:$C$2918,MATCH(Settings!$B$16,DKW_10Y!$A$2:$A$2918,1)))*100))</f>
        <v/>
      </c>
      <c r="Z1077" s="19">
        <f>IF(NOT(ISNUMBER($A1077)),NA(),IF(OR($A1077&lt;MIN(DKW_10Y!$A$2:$A$2918),$A1077&gt;MAX(DKW_10Y!$A$2:$A$2918),Settings!$B$16&lt;MIN(DKW_10Y!$A$2:$A$2918)),NA(),(INDEX(DKW_10Y!$D$2:$D$2918,MATCH($A1077,DKW_10Y!$A$2:$A$2918,1))-INDEX(DKW_10Y!$D$2:$D$2918,MATCH(Settings!$B$16,DKW_10Y!$A$2:$A$2918,1)))*100))</f>
        <v/>
      </c>
      <c r="AA1077" s="19">
        <f>IF(NOT(ISNUMBER($A1077)),NA(),IF(OR($A1077&lt;MIN(DKW_10Y!$A$2:$A$2918),$A1077&gt;MAX(DKW_10Y!$A$2:$A$2918),Settings!$B$16&lt;MIN(DKW_10Y!$A$2:$A$2918)),NA(),(INDEX(DKW_10Y!$E$2:$E$2918,MATCH($A1077,DKW_10Y!$A$2:$A$2918,1))-INDEX(DKW_10Y!$E$2:$E$2918,MATCH(Settings!$B$16,DKW_10Y!$A$2:$A$2918,1)))*100))</f>
        <v/>
      </c>
      <c r="AB1077" s="19">
        <f>IF(NOT(ISNUMBER($A1077)),NA(),IF(OR($A1077&lt;MIN(DKW_10Y!$A$2:$A$2918),$A1077&gt;MAX(DKW_10Y!$A$2:$A$2918),Settings!$B$16&lt;MIN(DKW_10Y!$A$2:$A$2918)),NA(),(INDEX(DKW_10Y!$H$2:$H$2918,MATCH($A1077,DKW_10Y!$A$2:$A$2918,1))-INDEX(DKW_10Y!$H$2:$H$2918,MATCH(Settings!$B$16,DKW_10Y!$A$2:$A$2918,1)))*100))</f>
        <v/>
      </c>
      <c r="AC1077" s="18">
        <f>IF(NOT(ISNUMBER($A1077)),NA(),IFERROR(1*INDEX(BBG_Data!$N$2:$N$4000,MATCH($A1077,BBG_Data!$M$2:$M$4000,0)),NA()))</f>
        <v/>
      </c>
      <c r="AD1077" s="18">
        <f>IF(NOT(ISNUMBER($A1077)),NA(),IFERROR(1*INDEX(BBG_Data!$P$2:$P$4000,MATCH($A1077,BBG_Data!$O$2:$O$4000,0)),NA()))</f>
        <v/>
      </c>
      <c r="AE1077" s="18">
        <f>IF(NOT(ISNUMBER($A1077)),NA(),IFERROR(1*INDEX(BBG_Data!$R$2:$R$4000,MATCH($A1077,BBG_Data!$Q$2:$Q$4000,0)),NA()))</f>
        <v/>
      </c>
      <c r="AF1077" s="20">
        <f>IF(AND(ISNUMBER(B1077),ISNUMBER(AC1077)),(B1077-AC1077)*100,NA())</f>
        <v/>
      </c>
      <c r="AG1077" s="20">
        <f>IF(AND(ISNUMBER(AE1077),ISNUMBER(AD1077)),(AE1077-AD1077)*100,NA())</f>
        <v/>
      </c>
      <c r="AH1077" s="19">
        <f>IF(NOT(ISNUMBER($A1077)),NA(),IFERROR(INDEX(BBG_Data!$T$2:$T$4000,MATCH($A1077,BBG_Data!$S$2:$S$4000,0))*Settings!$B$25,NA()))</f>
        <v/>
      </c>
      <c r="AI1077" s="19">
        <f>IF(NOT(ISNUMBER($A1077)),NA(),IFERROR(INDEX(BBG_Data!$V$2:$V$4000,MATCH($A1077,BBG_Data!$U$2:$U$4000,0))*Settings!$B$25,NA()))</f>
        <v/>
      </c>
      <c r="AJ1077" s="19">
        <f>IF(NOT(ISNUMBER($A1077)),NA(),IFERROR(1*INDEX(BBG_Data!$X$2:$X$4000,MATCH($A1077,BBG_Data!$W$2:$W$4000,0)),NA()))</f>
        <v/>
      </c>
      <c r="AK1077" s="19">
        <f>IF(NOT(ISNUMBER($A1077)),NA(),IFERROR(1*INDEX(BBG_Data!$Z$2:$Z$4000,MATCH($A1077,BBG_Data!$Y$2:$Y$4000,0)),NA()))</f>
        <v/>
      </c>
    </row>
    <row r="1078">
      <c r="A1078" s="17">
        <f>IF(ISNUMBER(BBG_Data!A1078),BBG_Data!A1078,"")</f>
        <v/>
      </c>
      <c r="B1078" s="18">
        <f>IF(AND(ISNUMBER($A1078),ISNUMBER(BBG_Data!B1078)),BBG_Data!B1078,NA())</f>
        <v/>
      </c>
      <c r="C1078" s="18">
        <f>IF(NOT(ISNUMBER($A1078)),NA(),IFERROR(1*INDEX(BBG_Data!$D$2:$D$4000,MATCH($A1078,BBG_Data!$C$2:$C$4000,0)),NA()))</f>
        <v/>
      </c>
      <c r="D1078" s="19">
        <f>IF(NOT(ISNUMBER($A1078)),NA(),IFERROR(1*INDEX(BBG_Data!$F$2:$F$4000,MATCH($A1078,BBG_Data!$E$2:$E$4000,0)),NA()))</f>
        <v/>
      </c>
      <c r="E1078" s="19">
        <f>IF(NOT(ISNUMBER($A1078)),NA(),IFERROR(1*INDEX(BBG_Data!$H$2:$H$4000,MATCH($A1078,BBG_Data!$G$2:$G$4000,0)),NA()))</f>
        <v/>
      </c>
      <c r="F1078" s="20">
        <f>IF(AND(ISNUMBER(B1078),ISNUMBER(B1077)),IF(B1078=B1077,"",(B1078-B1077)*100),"")</f>
        <v/>
      </c>
      <c r="G1078" s="20">
        <f>IF(AND(ISNUMBER(C1078),ISNUMBER(C1077)),IF(C1078=C1077,"",(C1078-C1077)*100),"")</f>
        <v/>
      </c>
      <c r="H1078" s="20">
        <f>IF(OR(NOT(ISNUMBER($A1078)),ROW()-2&lt;Settings!$B$11),NA(),IF(COUNT(OFFSET(F1078,1-Settings!$B$11,0,Settings!$B$11,1))&lt;ROUNDUP(Settings!$B$11*Settings!$B$26,0),NA(),STDEV(OFFSET(F1078,1-Settings!$B$11,0,Settings!$B$11,1))*SQRT(Settings!$B$13)))</f>
        <v/>
      </c>
      <c r="I1078" s="20">
        <f>IF(OR(NOT(ISNUMBER($A1078)),ROW()-2&lt;Settings!$B$12),NA(),IF(COUNT(OFFSET(F1078,1-Settings!$B$12,0,Settings!$B$12,1))&lt;ROUNDUP(Settings!$B$12*Settings!$B$26,0),NA(),STDEV(OFFSET(F1078,1-Settings!$B$12,0,Settings!$B$12,1))*SQRT(Settings!$B$13)))</f>
        <v/>
      </c>
      <c r="J1078" s="20">
        <f>IF(OR(NOT(ISNUMBER($A1078)),ROW()-2&lt;Settings!$B$11),NA(),IF(COUNT(OFFSET(G1078,1-Settings!$B$11,0,Settings!$B$11,1))&lt;ROUNDUP(Settings!$B$11*Settings!$B$26,0),NA(),STDEV(OFFSET(G1078,1-Settings!$B$11,0,Settings!$B$11,1))*SQRT(Settings!$B$13)))</f>
        <v/>
      </c>
      <c r="K1078" s="20">
        <f>IF(OR(NOT(ISNUMBER($A1078)),ROW()-2&lt;Settings!$B$12),NA(),IF(COUNT(OFFSET(G1078,1-Settings!$B$12,0,Settings!$B$12,1))&lt;ROUNDUP(Settings!$B$12*Settings!$B$26,0),NA(),STDEV(OFFSET(G1078,1-Settings!$B$12,0,Settings!$B$12,1))*SQRT(Settings!$B$13)))</f>
        <v/>
      </c>
      <c r="L1078" s="20">
        <f>IF(AND(ISNUMBER(D1078),ISNUMBER(H1078)),D1078-H1078,NA())</f>
        <v/>
      </c>
      <c r="M1078" s="20">
        <f>IF(AND(ISNUMBER(E1078),ISNUMBER(K1078)),E1078-K1078,NA())</f>
        <v/>
      </c>
      <c r="N1078" s="20">
        <f>IF(NOT(ISNUMBER($A1078)),NA(),IF(COUNT(OFFSET(G1078,1,0,Settings!$B$12,1))&lt;ROUNDUP(Settings!$B$12*Settings!$B$26,0),NA(),STDEV(OFFSET(G1078,1,0,Settings!$B$12,1))*SQRT(Settings!$B$13)))</f>
        <v/>
      </c>
      <c r="O1078" s="20">
        <f>IF(AND(ISNUMBER(E1078),ISNUMBER(N1078)),E1078-N1078,NA())</f>
        <v/>
      </c>
      <c r="P1078" s="19">
        <f>IF(NOT(ISNUMBER($A1078)),NA(),IF(OR($A1078&lt;MIN(KW_TP!$A$2:$A$2501),$A1078&gt;MAX(KW_TP!$A$2:$A$2501)),NA(),INDEX(KW_TP!$C$2:$C$2501,MATCH($A1078,KW_TP!$A$2:$A$2501,1))))</f>
        <v/>
      </c>
      <c r="Q1078" s="18">
        <f>IF(NOT(ISNUMBER($A1078)),NA(),IFERROR(1*INDEX(BBG_Data!$J$2:$J$4000,MATCH($A1078,BBG_Data!$I$2:$I$4000,0)),NA()))</f>
        <v/>
      </c>
      <c r="R1078" s="18">
        <f>IF(NOT(ISNUMBER($A1078)),NA(),IFERROR(1*INDEX(BBG_Data!$L$2:$L$4000,MATCH($A1078,BBG_Data!$K$2:$K$4000,0)),NA()))</f>
        <v/>
      </c>
      <c r="S1078" s="20">
        <f>IF(AND(ISNUMBER(B1078),ISNUMBER(Q1078),ISNUMBER(R1078)),(B1078-Q1078-R1078)*100,NA())</f>
        <v/>
      </c>
      <c r="T1078" s="20">
        <f>IF(AND(ISNUMBER(B1078),Settings!$B$17&gt;0),IF(ISNUMBER(INDEX($B:$B,Settings!$B$17)),(B1078-INDEX($B:$B,Settings!$B$17))*100,NA()),NA())</f>
        <v/>
      </c>
      <c r="U1078" s="20">
        <f>IF(AND(ISNUMBER(Q1078),Settings!$B$17&gt;0),IF(ISNUMBER(INDEX($Q:$Q,Settings!$B$17)),(Q1078-INDEX($Q:$Q,Settings!$B$17))*100,NA()),NA())</f>
        <v/>
      </c>
      <c r="V1078" s="20">
        <f>IF(AND(ISNUMBER(R1078),Settings!$B$17&gt;0),IF(ISNUMBER(INDEX($R:$R,Settings!$B$17)),(R1078-INDEX($R:$R,Settings!$B$17))*100,NA()),NA())</f>
        <v/>
      </c>
      <c r="W1078" s="20">
        <f>IF(AND(ISNUMBER(P1078),Settings!$B$17&gt;0),IF(ISNUMBER(INDEX($P:$P,Settings!$B$17)),P1078-INDEX($P:$P,Settings!$B$17),NA()),NA())</f>
        <v/>
      </c>
      <c r="X1078" s="19">
        <f>IF(NOT(ISNUMBER($A1078)),NA(),IF(OR($A1078&lt;MIN(DKW_10Y!$A$2:$A$2918),$A1078&gt;MAX(DKW_10Y!$A$2:$A$2918),Settings!$B$16&lt;MIN(DKW_10Y!$A$2:$A$2918)),NA(),(INDEX(DKW_10Y!$B$2:$B$2918,MATCH($A1078,DKW_10Y!$A$2:$A$2918,1))-INDEX(DKW_10Y!$B$2:$B$2918,MATCH(Settings!$B$16,DKW_10Y!$A$2:$A$2918,1)))*100))</f>
        <v/>
      </c>
      <c r="Y1078" s="19">
        <f>IF(NOT(ISNUMBER($A1078)),NA(),IF(OR($A1078&lt;MIN(DKW_10Y!$A$2:$A$2918),$A1078&gt;MAX(DKW_10Y!$A$2:$A$2918),Settings!$B$16&lt;MIN(DKW_10Y!$A$2:$A$2918)),NA(),(INDEX(DKW_10Y!$C$2:$C$2918,MATCH($A1078,DKW_10Y!$A$2:$A$2918,1))-INDEX(DKW_10Y!$C$2:$C$2918,MATCH(Settings!$B$16,DKW_10Y!$A$2:$A$2918,1)))*100))</f>
        <v/>
      </c>
      <c r="Z1078" s="19">
        <f>IF(NOT(ISNUMBER($A1078)),NA(),IF(OR($A1078&lt;MIN(DKW_10Y!$A$2:$A$2918),$A1078&gt;MAX(DKW_10Y!$A$2:$A$2918),Settings!$B$16&lt;MIN(DKW_10Y!$A$2:$A$2918)),NA(),(INDEX(DKW_10Y!$D$2:$D$2918,MATCH($A1078,DKW_10Y!$A$2:$A$2918,1))-INDEX(DKW_10Y!$D$2:$D$2918,MATCH(Settings!$B$16,DKW_10Y!$A$2:$A$2918,1)))*100))</f>
        <v/>
      </c>
      <c r="AA1078" s="19">
        <f>IF(NOT(ISNUMBER($A1078)),NA(),IF(OR($A1078&lt;MIN(DKW_10Y!$A$2:$A$2918),$A1078&gt;MAX(DKW_10Y!$A$2:$A$2918),Settings!$B$16&lt;MIN(DKW_10Y!$A$2:$A$2918)),NA(),(INDEX(DKW_10Y!$E$2:$E$2918,MATCH($A1078,DKW_10Y!$A$2:$A$2918,1))-INDEX(DKW_10Y!$E$2:$E$2918,MATCH(Settings!$B$16,DKW_10Y!$A$2:$A$2918,1)))*100))</f>
        <v/>
      </c>
      <c r="AB1078" s="19">
        <f>IF(NOT(ISNUMBER($A1078)),NA(),IF(OR($A1078&lt;MIN(DKW_10Y!$A$2:$A$2918),$A1078&gt;MAX(DKW_10Y!$A$2:$A$2918),Settings!$B$16&lt;MIN(DKW_10Y!$A$2:$A$2918)),NA(),(INDEX(DKW_10Y!$H$2:$H$2918,MATCH($A1078,DKW_10Y!$A$2:$A$2918,1))-INDEX(DKW_10Y!$H$2:$H$2918,MATCH(Settings!$B$16,DKW_10Y!$A$2:$A$2918,1)))*100))</f>
        <v/>
      </c>
      <c r="AC1078" s="18">
        <f>IF(NOT(ISNUMBER($A1078)),NA(),IFERROR(1*INDEX(BBG_Data!$N$2:$N$4000,MATCH($A1078,BBG_Data!$M$2:$M$4000,0)),NA()))</f>
        <v/>
      </c>
      <c r="AD1078" s="18">
        <f>IF(NOT(ISNUMBER($A1078)),NA(),IFERROR(1*INDEX(BBG_Data!$P$2:$P$4000,MATCH($A1078,BBG_Data!$O$2:$O$4000,0)),NA()))</f>
        <v/>
      </c>
      <c r="AE1078" s="18">
        <f>IF(NOT(ISNUMBER($A1078)),NA(),IFERROR(1*INDEX(BBG_Data!$R$2:$R$4000,MATCH($A1078,BBG_Data!$Q$2:$Q$4000,0)),NA()))</f>
        <v/>
      </c>
      <c r="AF1078" s="20">
        <f>IF(AND(ISNUMBER(B1078),ISNUMBER(AC1078)),(B1078-AC1078)*100,NA())</f>
        <v/>
      </c>
      <c r="AG1078" s="20">
        <f>IF(AND(ISNUMBER(AE1078),ISNUMBER(AD1078)),(AE1078-AD1078)*100,NA())</f>
        <v/>
      </c>
      <c r="AH1078" s="19">
        <f>IF(NOT(ISNUMBER($A1078)),NA(),IFERROR(INDEX(BBG_Data!$T$2:$T$4000,MATCH($A1078,BBG_Data!$S$2:$S$4000,0))*Settings!$B$25,NA()))</f>
        <v/>
      </c>
      <c r="AI1078" s="19">
        <f>IF(NOT(ISNUMBER($A1078)),NA(),IFERROR(INDEX(BBG_Data!$V$2:$V$4000,MATCH($A1078,BBG_Data!$U$2:$U$4000,0))*Settings!$B$25,NA()))</f>
        <v/>
      </c>
      <c r="AJ1078" s="19">
        <f>IF(NOT(ISNUMBER($A1078)),NA(),IFERROR(1*INDEX(BBG_Data!$X$2:$X$4000,MATCH($A1078,BBG_Data!$W$2:$W$4000,0)),NA()))</f>
        <v/>
      </c>
      <c r="AK1078" s="19">
        <f>IF(NOT(ISNUMBER($A1078)),NA(),IFERROR(1*INDEX(BBG_Data!$Z$2:$Z$4000,MATCH($A1078,BBG_Data!$Y$2:$Y$4000,0)),NA()))</f>
        <v/>
      </c>
    </row>
    <row r="1079">
      <c r="A1079" s="17">
        <f>IF(ISNUMBER(BBG_Data!A1079),BBG_Data!A1079,"")</f>
        <v/>
      </c>
      <c r="B1079" s="18">
        <f>IF(AND(ISNUMBER($A1079),ISNUMBER(BBG_Data!B1079)),BBG_Data!B1079,NA())</f>
        <v/>
      </c>
      <c r="C1079" s="18">
        <f>IF(NOT(ISNUMBER($A1079)),NA(),IFERROR(1*INDEX(BBG_Data!$D$2:$D$4000,MATCH($A1079,BBG_Data!$C$2:$C$4000,0)),NA()))</f>
        <v/>
      </c>
      <c r="D1079" s="19">
        <f>IF(NOT(ISNUMBER($A1079)),NA(),IFERROR(1*INDEX(BBG_Data!$F$2:$F$4000,MATCH($A1079,BBG_Data!$E$2:$E$4000,0)),NA()))</f>
        <v/>
      </c>
      <c r="E1079" s="19">
        <f>IF(NOT(ISNUMBER($A1079)),NA(),IFERROR(1*INDEX(BBG_Data!$H$2:$H$4000,MATCH($A1079,BBG_Data!$G$2:$G$4000,0)),NA()))</f>
        <v/>
      </c>
      <c r="F1079" s="20">
        <f>IF(AND(ISNUMBER(B1079),ISNUMBER(B1078)),IF(B1079=B1078,"",(B1079-B1078)*100),"")</f>
        <v/>
      </c>
      <c r="G1079" s="20">
        <f>IF(AND(ISNUMBER(C1079),ISNUMBER(C1078)),IF(C1079=C1078,"",(C1079-C1078)*100),"")</f>
        <v/>
      </c>
      <c r="H1079" s="20">
        <f>IF(OR(NOT(ISNUMBER($A1079)),ROW()-2&lt;Settings!$B$11),NA(),IF(COUNT(OFFSET(F1079,1-Settings!$B$11,0,Settings!$B$11,1))&lt;ROUNDUP(Settings!$B$11*Settings!$B$26,0),NA(),STDEV(OFFSET(F1079,1-Settings!$B$11,0,Settings!$B$11,1))*SQRT(Settings!$B$13)))</f>
        <v/>
      </c>
      <c r="I1079" s="20">
        <f>IF(OR(NOT(ISNUMBER($A1079)),ROW()-2&lt;Settings!$B$12),NA(),IF(COUNT(OFFSET(F1079,1-Settings!$B$12,0,Settings!$B$12,1))&lt;ROUNDUP(Settings!$B$12*Settings!$B$26,0),NA(),STDEV(OFFSET(F1079,1-Settings!$B$12,0,Settings!$B$12,1))*SQRT(Settings!$B$13)))</f>
        <v/>
      </c>
      <c r="J1079" s="20">
        <f>IF(OR(NOT(ISNUMBER($A1079)),ROW()-2&lt;Settings!$B$11),NA(),IF(COUNT(OFFSET(G1079,1-Settings!$B$11,0,Settings!$B$11,1))&lt;ROUNDUP(Settings!$B$11*Settings!$B$26,0),NA(),STDEV(OFFSET(G1079,1-Settings!$B$11,0,Settings!$B$11,1))*SQRT(Settings!$B$13)))</f>
        <v/>
      </c>
      <c r="K1079" s="20">
        <f>IF(OR(NOT(ISNUMBER($A1079)),ROW()-2&lt;Settings!$B$12),NA(),IF(COUNT(OFFSET(G1079,1-Settings!$B$12,0,Settings!$B$12,1))&lt;ROUNDUP(Settings!$B$12*Settings!$B$26,0),NA(),STDEV(OFFSET(G1079,1-Settings!$B$12,0,Settings!$B$12,1))*SQRT(Settings!$B$13)))</f>
        <v/>
      </c>
      <c r="L1079" s="20">
        <f>IF(AND(ISNUMBER(D1079),ISNUMBER(H1079)),D1079-H1079,NA())</f>
        <v/>
      </c>
      <c r="M1079" s="20">
        <f>IF(AND(ISNUMBER(E1079),ISNUMBER(K1079)),E1079-K1079,NA())</f>
        <v/>
      </c>
      <c r="N1079" s="20">
        <f>IF(NOT(ISNUMBER($A1079)),NA(),IF(COUNT(OFFSET(G1079,1,0,Settings!$B$12,1))&lt;ROUNDUP(Settings!$B$12*Settings!$B$26,0),NA(),STDEV(OFFSET(G1079,1,0,Settings!$B$12,1))*SQRT(Settings!$B$13)))</f>
        <v/>
      </c>
      <c r="O1079" s="20">
        <f>IF(AND(ISNUMBER(E1079),ISNUMBER(N1079)),E1079-N1079,NA())</f>
        <v/>
      </c>
      <c r="P1079" s="19">
        <f>IF(NOT(ISNUMBER($A1079)),NA(),IF(OR($A1079&lt;MIN(KW_TP!$A$2:$A$2501),$A1079&gt;MAX(KW_TP!$A$2:$A$2501)),NA(),INDEX(KW_TP!$C$2:$C$2501,MATCH($A1079,KW_TP!$A$2:$A$2501,1))))</f>
        <v/>
      </c>
      <c r="Q1079" s="18">
        <f>IF(NOT(ISNUMBER($A1079)),NA(),IFERROR(1*INDEX(BBG_Data!$J$2:$J$4000,MATCH($A1079,BBG_Data!$I$2:$I$4000,0)),NA()))</f>
        <v/>
      </c>
      <c r="R1079" s="18">
        <f>IF(NOT(ISNUMBER($A1079)),NA(),IFERROR(1*INDEX(BBG_Data!$L$2:$L$4000,MATCH($A1079,BBG_Data!$K$2:$K$4000,0)),NA()))</f>
        <v/>
      </c>
      <c r="S1079" s="20">
        <f>IF(AND(ISNUMBER(B1079),ISNUMBER(Q1079),ISNUMBER(R1079)),(B1079-Q1079-R1079)*100,NA())</f>
        <v/>
      </c>
      <c r="T1079" s="20">
        <f>IF(AND(ISNUMBER(B1079),Settings!$B$17&gt;0),IF(ISNUMBER(INDEX($B:$B,Settings!$B$17)),(B1079-INDEX($B:$B,Settings!$B$17))*100,NA()),NA())</f>
        <v/>
      </c>
      <c r="U1079" s="20">
        <f>IF(AND(ISNUMBER(Q1079),Settings!$B$17&gt;0),IF(ISNUMBER(INDEX($Q:$Q,Settings!$B$17)),(Q1079-INDEX($Q:$Q,Settings!$B$17))*100,NA()),NA())</f>
        <v/>
      </c>
      <c r="V1079" s="20">
        <f>IF(AND(ISNUMBER(R1079),Settings!$B$17&gt;0),IF(ISNUMBER(INDEX($R:$R,Settings!$B$17)),(R1079-INDEX($R:$R,Settings!$B$17))*100,NA()),NA())</f>
        <v/>
      </c>
      <c r="W1079" s="20">
        <f>IF(AND(ISNUMBER(P1079),Settings!$B$17&gt;0),IF(ISNUMBER(INDEX($P:$P,Settings!$B$17)),P1079-INDEX($P:$P,Settings!$B$17),NA()),NA())</f>
        <v/>
      </c>
      <c r="X1079" s="19">
        <f>IF(NOT(ISNUMBER($A1079)),NA(),IF(OR($A1079&lt;MIN(DKW_10Y!$A$2:$A$2918),$A1079&gt;MAX(DKW_10Y!$A$2:$A$2918),Settings!$B$16&lt;MIN(DKW_10Y!$A$2:$A$2918)),NA(),(INDEX(DKW_10Y!$B$2:$B$2918,MATCH($A1079,DKW_10Y!$A$2:$A$2918,1))-INDEX(DKW_10Y!$B$2:$B$2918,MATCH(Settings!$B$16,DKW_10Y!$A$2:$A$2918,1)))*100))</f>
        <v/>
      </c>
      <c r="Y1079" s="19">
        <f>IF(NOT(ISNUMBER($A1079)),NA(),IF(OR($A1079&lt;MIN(DKW_10Y!$A$2:$A$2918),$A1079&gt;MAX(DKW_10Y!$A$2:$A$2918),Settings!$B$16&lt;MIN(DKW_10Y!$A$2:$A$2918)),NA(),(INDEX(DKW_10Y!$C$2:$C$2918,MATCH($A1079,DKW_10Y!$A$2:$A$2918,1))-INDEX(DKW_10Y!$C$2:$C$2918,MATCH(Settings!$B$16,DKW_10Y!$A$2:$A$2918,1)))*100))</f>
        <v/>
      </c>
      <c r="Z1079" s="19">
        <f>IF(NOT(ISNUMBER($A1079)),NA(),IF(OR($A1079&lt;MIN(DKW_10Y!$A$2:$A$2918),$A1079&gt;MAX(DKW_10Y!$A$2:$A$2918),Settings!$B$16&lt;MIN(DKW_10Y!$A$2:$A$2918)),NA(),(INDEX(DKW_10Y!$D$2:$D$2918,MATCH($A1079,DKW_10Y!$A$2:$A$2918,1))-INDEX(DKW_10Y!$D$2:$D$2918,MATCH(Settings!$B$16,DKW_10Y!$A$2:$A$2918,1)))*100))</f>
        <v/>
      </c>
      <c r="AA1079" s="19">
        <f>IF(NOT(ISNUMBER($A1079)),NA(),IF(OR($A1079&lt;MIN(DKW_10Y!$A$2:$A$2918),$A1079&gt;MAX(DKW_10Y!$A$2:$A$2918),Settings!$B$16&lt;MIN(DKW_10Y!$A$2:$A$2918)),NA(),(INDEX(DKW_10Y!$E$2:$E$2918,MATCH($A1079,DKW_10Y!$A$2:$A$2918,1))-INDEX(DKW_10Y!$E$2:$E$2918,MATCH(Settings!$B$16,DKW_10Y!$A$2:$A$2918,1)))*100))</f>
        <v/>
      </c>
      <c r="AB1079" s="19">
        <f>IF(NOT(ISNUMBER($A1079)),NA(),IF(OR($A1079&lt;MIN(DKW_10Y!$A$2:$A$2918),$A1079&gt;MAX(DKW_10Y!$A$2:$A$2918),Settings!$B$16&lt;MIN(DKW_10Y!$A$2:$A$2918)),NA(),(INDEX(DKW_10Y!$H$2:$H$2918,MATCH($A1079,DKW_10Y!$A$2:$A$2918,1))-INDEX(DKW_10Y!$H$2:$H$2918,MATCH(Settings!$B$16,DKW_10Y!$A$2:$A$2918,1)))*100))</f>
        <v/>
      </c>
      <c r="AC1079" s="18">
        <f>IF(NOT(ISNUMBER($A1079)),NA(),IFERROR(1*INDEX(BBG_Data!$N$2:$N$4000,MATCH($A1079,BBG_Data!$M$2:$M$4000,0)),NA()))</f>
        <v/>
      </c>
      <c r="AD1079" s="18">
        <f>IF(NOT(ISNUMBER($A1079)),NA(),IFERROR(1*INDEX(BBG_Data!$P$2:$P$4000,MATCH($A1079,BBG_Data!$O$2:$O$4000,0)),NA()))</f>
        <v/>
      </c>
      <c r="AE1079" s="18">
        <f>IF(NOT(ISNUMBER($A1079)),NA(),IFERROR(1*INDEX(BBG_Data!$R$2:$R$4000,MATCH($A1079,BBG_Data!$Q$2:$Q$4000,0)),NA()))</f>
        <v/>
      </c>
      <c r="AF1079" s="20">
        <f>IF(AND(ISNUMBER(B1079),ISNUMBER(AC1079)),(B1079-AC1079)*100,NA())</f>
        <v/>
      </c>
      <c r="AG1079" s="20">
        <f>IF(AND(ISNUMBER(AE1079),ISNUMBER(AD1079)),(AE1079-AD1079)*100,NA())</f>
        <v/>
      </c>
      <c r="AH1079" s="19">
        <f>IF(NOT(ISNUMBER($A1079)),NA(),IFERROR(INDEX(BBG_Data!$T$2:$T$4000,MATCH($A1079,BBG_Data!$S$2:$S$4000,0))*Settings!$B$25,NA()))</f>
        <v/>
      </c>
      <c r="AI1079" s="19">
        <f>IF(NOT(ISNUMBER($A1079)),NA(),IFERROR(INDEX(BBG_Data!$V$2:$V$4000,MATCH($A1079,BBG_Data!$U$2:$U$4000,0))*Settings!$B$25,NA()))</f>
        <v/>
      </c>
      <c r="AJ1079" s="19">
        <f>IF(NOT(ISNUMBER($A1079)),NA(),IFERROR(1*INDEX(BBG_Data!$X$2:$X$4000,MATCH($A1079,BBG_Data!$W$2:$W$4000,0)),NA()))</f>
        <v/>
      </c>
      <c r="AK1079" s="19">
        <f>IF(NOT(ISNUMBER($A1079)),NA(),IFERROR(1*INDEX(BBG_Data!$Z$2:$Z$4000,MATCH($A1079,BBG_Data!$Y$2:$Y$4000,0)),NA()))</f>
        <v/>
      </c>
    </row>
    <row r="1080">
      <c r="A1080" s="17">
        <f>IF(ISNUMBER(BBG_Data!A1080),BBG_Data!A1080,"")</f>
        <v/>
      </c>
      <c r="B1080" s="18">
        <f>IF(AND(ISNUMBER($A1080),ISNUMBER(BBG_Data!B1080)),BBG_Data!B1080,NA())</f>
        <v/>
      </c>
      <c r="C1080" s="18">
        <f>IF(NOT(ISNUMBER($A1080)),NA(),IFERROR(1*INDEX(BBG_Data!$D$2:$D$4000,MATCH($A1080,BBG_Data!$C$2:$C$4000,0)),NA()))</f>
        <v/>
      </c>
      <c r="D1080" s="19">
        <f>IF(NOT(ISNUMBER($A1080)),NA(),IFERROR(1*INDEX(BBG_Data!$F$2:$F$4000,MATCH($A1080,BBG_Data!$E$2:$E$4000,0)),NA()))</f>
        <v/>
      </c>
      <c r="E1080" s="19">
        <f>IF(NOT(ISNUMBER($A1080)),NA(),IFERROR(1*INDEX(BBG_Data!$H$2:$H$4000,MATCH($A1080,BBG_Data!$G$2:$G$4000,0)),NA()))</f>
        <v/>
      </c>
      <c r="F1080" s="20">
        <f>IF(AND(ISNUMBER(B1080),ISNUMBER(B1079)),IF(B1080=B1079,"",(B1080-B1079)*100),"")</f>
        <v/>
      </c>
      <c r="G1080" s="20">
        <f>IF(AND(ISNUMBER(C1080),ISNUMBER(C1079)),IF(C1080=C1079,"",(C1080-C1079)*100),"")</f>
        <v/>
      </c>
      <c r="H1080" s="20">
        <f>IF(OR(NOT(ISNUMBER($A1080)),ROW()-2&lt;Settings!$B$11),NA(),IF(COUNT(OFFSET(F1080,1-Settings!$B$11,0,Settings!$B$11,1))&lt;ROUNDUP(Settings!$B$11*Settings!$B$26,0),NA(),STDEV(OFFSET(F1080,1-Settings!$B$11,0,Settings!$B$11,1))*SQRT(Settings!$B$13)))</f>
        <v/>
      </c>
      <c r="I1080" s="20">
        <f>IF(OR(NOT(ISNUMBER($A1080)),ROW()-2&lt;Settings!$B$12),NA(),IF(COUNT(OFFSET(F1080,1-Settings!$B$12,0,Settings!$B$12,1))&lt;ROUNDUP(Settings!$B$12*Settings!$B$26,0),NA(),STDEV(OFFSET(F1080,1-Settings!$B$12,0,Settings!$B$12,1))*SQRT(Settings!$B$13)))</f>
        <v/>
      </c>
      <c r="J1080" s="20">
        <f>IF(OR(NOT(ISNUMBER($A1080)),ROW()-2&lt;Settings!$B$11),NA(),IF(COUNT(OFFSET(G1080,1-Settings!$B$11,0,Settings!$B$11,1))&lt;ROUNDUP(Settings!$B$11*Settings!$B$26,0),NA(),STDEV(OFFSET(G1080,1-Settings!$B$11,0,Settings!$B$11,1))*SQRT(Settings!$B$13)))</f>
        <v/>
      </c>
      <c r="K1080" s="20">
        <f>IF(OR(NOT(ISNUMBER($A1080)),ROW()-2&lt;Settings!$B$12),NA(),IF(COUNT(OFFSET(G1080,1-Settings!$B$12,0,Settings!$B$12,1))&lt;ROUNDUP(Settings!$B$12*Settings!$B$26,0),NA(),STDEV(OFFSET(G1080,1-Settings!$B$12,0,Settings!$B$12,1))*SQRT(Settings!$B$13)))</f>
        <v/>
      </c>
      <c r="L1080" s="20">
        <f>IF(AND(ISNUMBER(D1080),ISNUMBER(H1080)),D1080-H1080,NA())</f>
        <v/>
      </c>
      <c r="M1080" s="20">
        <f>IF(AND(ISNUMBER(E1080),ISNUMBER(K1080)),E1080-K1080,NA())</f>
        <v/>
      </c>
      <c r="N1080" s="20">
        <f>IF(NOT(ISNUMBER($A1080)),NA(),IF(COUNT(OFFSET(G1080,1,0,Settings!$B$12,1))&lt;ROUNDUP(Settings!$B$12*Settings!$B$26,0),NA(),STDEV(OFFSET(G1080,1,0,Settings!$B$12,1))*SQRT(Settings!$B$13)))</f>
        <v/>
      </c>
      <c r="O1080" s="20">
        <f>IF(AND(ISNUMBER(E1080),ISNUMBER(N1080)),E1080-N1080,NA())</f>
        <v/>
      </c>
      <c r="P1080" s="19">
        <f>IF(NOT(ISNUMBER($A1080)),NA(),IF(OR($A1080&lt;MIN(KW_TP!$A$2:$A$2501),$A1080&gt;MAX(KW_TP!$A$2:$A$2501)),NA(),INDEX(KW_TP!$C$2:$C$2501,MATCH($A1080,KW_TP!$A$2:$A$2501,1))))</f>
        <v/>
      </c>
      <c r="Q1080" s="18">
        <f>IF(NOT(ISNUMBER($A1080)),NA(),IFERROR(1*INDEX(BBG_Data!$J$2:$J$4000,MATCH($A1080,BBG_Data!$I$2:$I$4000,0)),NA()))</f>
        <v/>
      </c>
      <c r="R1080" s="18">
        <f>IF(NOT(ISNUMBER($A1080)),NA(),IFERROR(1*INDEX(BBG_Data!$L$2:$L$4000,MATCH($A1080,BBG_Data!$K$2:$K$4000,0)),NA()))</f>
        <v/>
      </c>
      <c r="S1080" s="20">
        <f>IF(AND(ISNUMBER(B1080),ISNUMBER(Q1080),ISNUMBER(R1080)),(B1080-Q1080-R1080)*100,NA())</f>
        <v/>
      </c>
      <c r="T1080" s="20">
        <f>IF(AND(ISNUMBER(B1080),Settings!$B$17&gt;0),IF(ISNUMBER(INDEX($B:$B,Settings!$B$17)),(B1080-INDEX($B:$B,Settings!$B$17))*100,NA()),NA())</f>
        <v/>
      </c>
      <c r="U1080" s="20">
        <f>IF(AND(ISNUMBER(Q1080),Settings!$B$17&gt;0),IF(ISNUMBER(INDEX($Q:$Q,Settings!$B$17)),(Q1080-INDEX($Q:$Q,Settings!$B$17))*100,NA()),NA())</f>
        <v/>
      </c>
      <c r="V1080" s="20">
        <f>IF(AND(ISNUMBER(R1080),Settings!$B$17&gt;0),IF(ISNUMBER(INDEX($R:$R,Settings!$B$17)),(R1080-INDEX($R:$R,Settings!$B$17))*100,NA()),NA())</f>
        <v/>
      </c>
      <c r="W1080" s="20">
        <f>IF(AND(ISNUMBER(P1080),Settings!$B$17&gt;0),IF(ISNUMBER(INDEX($P:$P,Settings!$B$17)),P1080-INDEX($P:$P,Settings!$B$17),NA()),NA())</f>
        <v/>
      </c>
      <c r="X1080" s="19">
        <f>IF(NOT(ISNUMBER($A1080)),NA(),IF(OR($A1080&lt;MIN(DKW_10Y!$A$2:$A$2918),$A1080&gt;MAX(DKW_10Y!$A$2:$A$2918),Settings!$B$16&lt;MIN(DKW_10Y!$A$2:$A$2918)),NA(),(INDEX(DKW_10Y!$B$2:$B$2918,MATCH($A1080,DKW_10Y!$A$2:$A$2918,1))-INDEX(DKW_10Y!$B$2:$B$2918,MATCH(Settings!$B$16,DKW_10Y!$A$2:$A$2918,1)))*100))</f>
        <v/>
      </c>
      <c r="Y1080" s="19">
        <f>IF(NOT(ISNUMBER($A1080)),NA(),IF(OR($A1080&lt;MIN(DKW_10Y!$A$2:$A$2918),$A1080&gt;MAX(DKW_10Y!$A$2:$A$2918),Settings!$B$16&lt;MIN(DKW_10Y!$A$2:$A$2918)),NA(),(INDEX(DKW_10Y!$C$2:$C$2918,MATCH($A1080,DKW_10Y!$A$2:$A$2918,1))-INDEX(DKW_10Y!$C$2:$C$2918,MATCH(Settings!$B$16,DKW_10Y!$A$2:$A$2918,1)))*100))</f>
        <v/>
      </c>
      <c r="Z1080" s="19">
        <f>IF(NOT(ISNUMBER($A1080)),NA(),IF(OR($A1080&lt;MIN(DKW_10Y!$A$2:$A$2918),$A1080&gt;MAX(DKW_10Y!$A$2:$A$2918),Settings!$B$16&lt;MIN(DKW_10Y!$A$2:$A$2918)),NA(),(INDEX(DKW_10Y!$D$2:$D$2918,MATCH($A1080,DKW_10Y!$A$2:$A$2918,1))-INDEX(DKW_10Y!$D$2:$D$2918,MATCH(Settings!$B$16,DKW_10Y!$A$2:$A$2918,1)))*100))</f>
        <v/>
      </c>
      <c r="AA1080" s="19">
        <f>IF(NOT(ISNUMBER($A1080)),NA(),IF(OR($A1080&lt;MIN(DKW_10Y!$A$2:$A$2918),$A1080&gt;MAX(DKW_10Y!$A$2:$A$2918),Settings!$B$16&lt;MIN(DKW_10Y!$A$2:$A$2918)),NA(),(INDEX(DKW_10Y!$E$2:$E$2918,MATCH($A1080,DKW_10Y!$A$2:$A$2918,1))-INDEX(DKW_10Y!$E$2:$E$2918,MATCH(Settings!$B$16,DKW_10Y!$A$2:$A$2918,1)))*100))</f>
        <v/>
      </c>
      <c r="AB1080" s="19">
        <f>IF(NOT(ISNUMBER($A1080)),NA(),IF(OR($A1080&lt;MIN(DKW_10Y!$A$2:$A$2918),$A1080&gt;MAX(DKW_10Y!$A$2:$A$2918),Settings!$B$16&lt;MIN(DKW_10Y!$A$2:$A$2918)),NA(),(INDEX(DKW_10Y!$H$2:$H$2918,MATCH($A1080,DKW_10Y!$A$2:$A$2918,1))-INDEX(DKW_10Y!$H$2:$H$2918,MATCH(Settings!$B$16,DKW_10Y!$A$2:$A$2918,1)))*100))</f>
        <v/>
      </c>
      <c r="AC1080" s="18">
        <f>IF(NOT(ISNUMBER($A1080)),NA(),IFERROR(1*INDEX(BBG_Data!$N$2:$N$4000,MATCH($A1080,BBG_Data!$M$2:$M$4000,0)),NA()))</f>
        <v/>
      </c>
      <c r="AD1080" s="18">
        <f>IF(NOT(ISNUMBER($A1080)),NA(),IFERROR(1*INDEX(BBG_Data!$P$2:$P$4000,MATCH($A1080,BBG_Data!$O$2:$O$4000,0)),NA()))</f>
        <v/>
      </c>
      <c r="AE1080" s="18">
        <f>IF(NOT(ISNUMBER($A1080)),NA(),IFERROR(1*INDEX(BBG_Data!$R$2:$R$4000,MATCH($A1080,BBG_Data!$Q$2:$Q$4000,0)),NA()))</f>
        <v/>
      </c>
      <c r="AF1080" s="20">
        <f>IF(AND(ISNUMBER(B1080),ISNUMBER(AC1080)),(B1080-AC1080)*100,NA())</f>
        <v/>
      </c>
      <c r="AG1080" s="20">
        <f>IF(AND(ISNUMBER(AE1080),ISNUMBER(AD1080)),(AE1080-AD1080)*100,NA())</f>
        <v/>
      </c>
      <c r="AH1080" s="19">
        <f>IF(NOT(ISNUMBER($A1080)),NA(),IFERROR(INDEX(BBG_Data!$T$2:$T$4000,MATCH($A1080,BBG_Data!$S$2:$S$4000,0))*Settings!$B$25,NA()))</f>
        <v/>
      </c>
      <c r="AI1080" s="19">
        <f>IF(NOT(ISNUMBER($A1080)),NA(),IFERROR(INDEX(BBG_Data!$V$2:$V$4000,MATCH($A1080,BBG_Data!$U$2:$U$4000,0))*Settings!$B$25,NA()))</f>
        <v/>
      </c>
      <c r="AJ1080" s="19">
        <f>IF(NOT(ISNUMBER($A1080)),NA(),IFERROR(1*INDEX(BBG_Data!$X$2:$X$4000,MATCH($A1080,BBG_Data!$W$2:$W$4000,0)),NA()))</f>
        <v/>
      </c>
      <c r="AK1080" s="19">
        <f>IF(NOT(ISNUMBER($A1080)),NA(),IFERROR(1*INDEX(BBG_Data!$Z$2:$Z$4000,MATCH($A1080,BBG_Data!$Y$2:$Y$4000,0)),NA()))</f>
        <v/>
      </c>
    </row>
    <row r="1081">
      <c r="A1081" s="17">
        <f>IF(ISNUMBER(BBG_Data!A1081),BBG_Data!A1081,"")</f>
        <v/>
      </c>
      <c r="B1081" s="18">
        <f>IF(AND(ISNUMBER($A1081),ISNUMBER(BBG_Data!B1081)),BBG_Data!B1081,NA())</f>
        <v/>
      </c>
      <c r="C1081" s="18">
        <f>IF(NOT(ISNUMBER($A1081)),NA(),IFERROR(1*INDEX(BBG_Data!$D$2:$D$4000,MATCH($A1081,BBG_Data!$C$2:$C$4000,0)),NA()))</f>
        <v/>
      </c>
      <c r="D1081" s="19">
        <f>IF(NOT(ISNUMBER($A1081)),NA(),IFERROR(1*INDEX(BBG_Data!$F$2:$F$4000,MATCH($A1081,BBG_Data!$E$2:$E$4000,0)),NA()))</f>
        <v/>
      </c>
      <c r="E1081" s="19">
        <f>IF(NOT(ISNUMBER($A1081)),NA(),IFERROR(1*INDEX(BBG_Data!$H$2:$H$4000,MATCH($A1081,BBG_Data!$G$2:$G$4000,0)),NA()))</f>
        <v/>
      </c>
      <c r="F1081" s="20">
        <f>IF(AND(ISNUMBER(B1081),ISNUMBER(B1080)),IF(B1081=B1080,"",(B1081-B1080)*100),"")</f>
        <v/>
      </c>
      <c r="G1081" s="20">
        <f>IF(AND(ISNUMBER(C1081),ISNUMBER(C1080)),IF(C1081=C1080,"",(C1081-C1080)*100),"")</f>
        <v/>
      </c>
      <c r="H1081" s="20">
        <f>IF(OR(NOT(ISNUMBER($A1081)),ROW()-2&lt;Settings!$B$11),NA(),IF(COUNT(OFFSET(F1081,1-Settings!$B$11,0,Settings!$B$11,1))&lt;ROUNDUP(Settings!$B$11*Settings!$B$26,0),NA(),STDEV(OFFSET(F1081,1-Settings!$B$11,0,Settings!$B$11,1))*SQRT(Settings!$B$13)))</f>
        <v/>
      </c>
      <c r="I1081" s="20">
        <f>IF(OR(NOT(ISNUMBER($A1081)),ROW()-2&lt;Settings!$B$12),NA(),IF(COUNT(OFFSET(F1081,1-Settings!$B$12,0,Settings!$B$12,1))&lt;ROUNDUP(Settings!$B$12*Settings!$B$26,0),NA(),STDEV(OFFSET(F1081,1-Settings!$B$12,0,Settings!$B$12,1))*SQRT(Settings!$B$13)))</f>
        <v/>
      </c>
      <c r="J1081" s="20">
        <f>IF(OR(NOT(ISNUMBER($A1081)),ROW()-2&lt;Settings!$B$11),NA(),IF(COUNT(OFFSET(G1081,1-Settings!$B$11,0,Settings!$B$11,1))&lt;ROUNDUP(Settings!$B$11*Settings!$B$26,0),NA(),STDEV(OFFSET(G1081,1-Settings!$B$11,0,Settings!$B$11,1))*SQRT(Settings!$B$13)))</f>
        <v/>
      </c>
      <c r="K1081" s="20">
        <f>IF(OR(NOT(ISNUMBER($A1081)),ROW()-2&lt;Settings!$B$12),NA(),IF(COUNT(OFFSET(G1081,1-Settings!$B$12,0,Settings!$B$12,1))&lt;ROUNDUP(Settings!$B$12*Settings!$B$26,0),NA(),STDEV(OFFSET(G1081,1-Settings!$B$12,0,Settings!$B$12,1))*SQRT(Settings!$B$13)))</f>
        <v/>
      </c>
      <c r="L1081" s="20">
        <f>IF(AND(ISNUMBER(D1081),ISNUMBER(H1081)),D1081-H1081,NA())</f>
        <v/>
      </c>
      <c r="M1081" s="20">
        <f>IF(AND(ISNUMBER(E1081),ISNUMBER(K1081)),E1081-K1081,NA())</f>
        <v/>
      </c>
      <c r="N1081" s="20">
        <f>IF(NOT(ISNUMBER($A1081)),NA(),IF(COUNT(OFFSET(G1081,1,0,Settings!$B$12,1))&lt;ROUNDUP(Settings!$B$12*Settings!$B$26,0),NA(),STDEV(OFFSET(G1081,1,0,Settings!$B$12,1))*SQRT(Settings!$B$13)))</f>
        <v/>
      </c>
      <c r="O1081" s="20">
        <f>IF(AND(ISNUMBER(E1081),ISNUMBER(N1081)),E1081-N1081,NA())</f>
        <v/>
      </c>
      <c r="P1081" s="19">
        <f>IF(NOT(ISNUMBER($A1081)),NA(),IF(OR($A1081&lt;MIN(KW_TP!$A$2:$A$2501),$A1081&gt;MAX(KW_TP!$A$2:$A$2501)),NA(),INDEX(KW_TP!$C$2:$C$2501,MATCH($A1081,KW_TP!$A$2:$A$2501,1))))</f>
        <v/>
      </c>
      <c r="Q1081" s="18">
        <f>IF(NOT(ISNUMBER($A1081)),NA(),IFERROR(1*INDEX(BBG_Data!$J$2:$J$4000,MATCH($A1081,BBG_Data!$I$2:$I$4000,0)),NA()))</f>
        <v/>
      </c>
      <c r="R1081" s="18">
        <f>IF(NOT(ISNUMBER($A1081)),NA(),IFERROR(1*INDEX(BBG_Data!$L$2:$L$4000,MATCH($A1081,BBG_Data!$K$2:$K$4000,0)),NA()))</f>
        <v/>
      </c>
      <c r="S1081" s="20">
        <f>IF(AND(ISNUMBER(B1081),ISNUMBER(Q1081),ISNUMBER(R1081)),(B1081-Q1081-R1081)*100,NA())</f>
        <v/>
      </c>
      <c r="T1081" s="20">
        <f>IF(AND(ISNUMBER(B1081),Settings!$B$17&gt;0),IF(ISNUMBER(INDEX($B:$B,Settings!$B$17)),(B1081-INDEX($B:$B,Settings!$B$17))*100,NA()),NA())</f>
        <v/>
      </c>
      <c r="U1081" s="20">
        <f>IF(AND(ISNUMBER(Q1081),Settings!$B$17&gt;0),IF(ISNUMBER(INDEX($Q:$Q,Settings!$B$17)),(Q1081-INDEX($Q:$Q,Settings!$B$17))*100,NA()),NA())</f>
        <v/>
      </c>
      <c r="V1081" s="20">
        <f>IF(AND(ISNUMBER(R1081),Settings!$B$17&gt;0),IF(ISNUMBER(INDEX($R:$R,Settings!$B$17)),(R1081-INDEX($R:$R,Settings!$B$17))*100,NA()),NA())</f>
        <v/>
      </c>
      <c r="W1081" s="20">
        <f>IF(AND(ISNUMBER(P1081),Settings!$B$17&gt;0),IF(ISNUMBER(INDEX($P:$P,Settings!$B$17)),P1081-INDEX($P:$P,Settings!$B$17),NA()),NA())</f>
        <v/>
      </c>
      <c r="X1081" s="19">
        <f>IF(NOT(ISNUMBER($A1081)),NA(),IF(OR($A1081&lt;MIN(DKW_10Y!$A$2:$A$2918),$A1081&gt;MAX(DKW_10Y!$A$2:$A$2918),Settings!$B$16&lt;MIN(DKW_10Y!$A$2:$A$2918)),NA(),(INDEX(DKW_10Y!$B$2:$B$2918,MATCH($A1081,DKW_10Y!$A$2:$A$2918,1))-INDEX(DKW_10Y!$B$2:$B$2918,MATCH(Settings!$B$16,DKW_10Y!$A$2:$A$2918,1)))*100))</f>
        <v/>
      </c>
      <c r="Y1081" s="19">
        <f>IF(NOT(ISNUMBER($A1081)),NA(),IF(OR($A1081&lt;MIN(DKW_10Y!$A$2:$A$2918),$A1081&gt;MAX(DKW_10Y!$A$2:$A$2918),Settings!$B$16&lt;MIN(DKW_10Y!$A$2:$A$2918)),NA(),(INDEX(DKW_10Y!$C$2:$C$2918,MATCH($A1081,DKW_10Y!$A$2:$A$2918,1))-INDEX(DKW_10Y!$C$2:$C$2918,MATCH(Settings!$B$16,DKW_10Y!$A$2:$A$2918,1)))*100))</f>
        <v/>
      </c>
      <c r="Z1081" s="19">
        <f>IF(NOT(ISNUMBER($A1081)),NA(),IF(OR($A1081&lt;MIN(DKW_10Y!$A$2:$A$2918),$A1081&gt;MAX(DKW_10Y!$A$2:$A$2918),Settings!$B$16&lt;MIN(DKW_10Y!$A$2:$A$2918)),NA(),(INDEX(DKW_10Y!$D$2:$D$2918,MATCH($A1081,DKW_10Y!$A$2:$A$2918,1))-INDEX(DKW_10Y!$D$2:$D$2918,MATCH(Settings!$B$16,DKW_10Y!$A$2:$A$2918,1)))*100))</f>
        <v/>
      </c>
      <c r="AA1081" s="19">
        <f>IF(NOT(ISNUMBER($A1081)),NA(),IF(OR($A1081&lt;MIN(DKW_10Y!$A$2:$A$2918),$A1081&gt;MAX(DKW_10Y!$A$2:$A$2918),Settings!$B$16&lt;MIN(DKW_10Y!$A$2:$A$2918)),NA(),(INDEX(DKW_10Y!$E$2:$E$2918,MATCH($A1081,DKW_10Y!$A$2:$A$2918,1))-INDEX(DKW_10Y!$E$2:$E$2918,MATCH(Settings!$B$16,DKW_10Y!$A$2:$A$2918,1)))*100))</f>
        <v/>
      </c>
      <c r="AB1081" s="19">
        <f>IF(NOT(ISNUMBER($A1081)),NA(),IF(OR($A1081&lt;MIN(DKW_10Y!$A$2:$A$2918),$A1081&gt;MAX(DKW_10Y!$A$2:$A$2918),Settings!$B$16&lt;MIN(DKW_10Y!$A$2:$A$2918)),NA(),(INDEX(DKW_10Y!$H$2:$H$2918,MATCH($A1081,DKW_10Y!$A$2:$A$2918,1))-INDEX(DKW_10Y!$H$2:$H$2918,MATCH(Settings!$B$16,DKW_10Y!$A$2:$A$2918,1)))*100))</f>
        <v/>
      </c>
      <c r="AC1081" s="18">
        <f>IF(NOT(ISNUMBER($A1081)),NA(),IFERROR(1*INDEX(BBG_Data!$N$2:$N$4000,MATCH($A1081,BBG_Data!$M$2:$M$4000,0)),NA()))</f>
        <v/>
      </c>
      <c r="AD1081" s="18">
        <f>IF(NOT(ISNUMBER($A1081)),NA(),IFERROR(1*INDEX(BBG_Data!$P$2:$P$4000,MATCH($A1081,BBG_Data!$O$2:$O$4000,0)),NA()))</f>
        <v/>
      </c>
      <c r="AE1081" s="18">
        <f>IF(NOT(ISNUMBER($A1081)),NA(),IFERROR(1*INDEX(BBG_Data!$R$2:$R$4000,MATCH($A1081,BBG_Data!$Q$2:$Q$4000,0)),NA()))</f>
        <v/>
      </c>
      <c r="AF1081" s="20">
        <f>IF(AND(ISNUMBER(B1081),ISNUMBER(AC1081)),(B1081-AC1081)*100,NA())</f>
        <v/>
      </c>
      <c r="AG1081" s="20">
        <f>IF(AND(ISNUMBER(AE1081),ISNUMBER(AD1081)),(AE1081-AD1081)*100,NA())</f>
        <v/>
      </c>
      <c r="AH1081" s="19">
        <f>IF(NOT(ISNUMBER($A1081)),NA(),IFERROR(INDEX(BBG_Data!$T$2:$T$4000,MATCH($A1081,BBG_Data!$S$2:$S$4000,0))*Settings!$B$25,NA()))</f>
        <v/>
      </c>
      <c r="AI1081" s="19">
        <f>IF(NOT(ISNUMBER($A1081)),NA(),IFERROR(INDEX(BBG_Data!$V$2:$V$4000,MATCH($A1081,BBG_Data!$U$2:$U$4000,0))*Settings!$B$25,NA()))</f>
        <v/>
      </c>
      <c r="AJ1081" s="19">
        <f>IF(NOT(ISNUMBER($A1081)),NA(),IFERROR(1*INDEX(BBG_Data!$X$2:$X$4000,MATCH($A1081,BBG_Data!$W$2:$W$4000,0)),NA()))</f>
        <v/>
      </c>
      <c r="AK1081" s="19">
        <f>IF(NOT(ISNUMBER($A1081)),NA(),IFERROR(1*INDEX(BBG_Data!$Z$2:$Z$4000,MATCH($A1081,BBG_Data!$Y$2:$Y$4000,0)),NA()))</f>
        <v/>
      </c>
    </row>
    <row r="1082">
      <c r="A1082" s="17">
        <f>IF(ISNUMBER(BBG_Data!A1082),BBG_Data!A1082,"")</f>
        <v/>
      </c>
      <c r="B1082" s="18">
        <f>IF(AND(ISNUMBER($A1082),ISNUMBER(BBG_Data!B1082)),BBG_Data!B1082,NA())</f>
        <v/>
      </c>
      <c r="C1082" s="18">
        <f>IF(NOT(ISNUMBER($A1082)),NA(),IFERROR(1*INDEX(BBG_Data!$D$2:$D$4000,MATCH($A1082,BBG_Data!$C$2:$C$4000,0)),NA()))</f>
        <v/>
      </c>
      <c r="D1082" s="19">
        <f>IF(NOT(ISNUMBER($A1082)),NA(),IFERROR(1*INDEX(BBG_Data!$F$2:$F$4000,MATCH($A1082,BBG_Data!$E$2:$E$4000,0)),NA()))</f>
        <v/>
      </c>
      <c r="E1082" s="19">
        <f>IF(NOT(ISNUMBER($A1082)),NA(),IFERROR(1*INDEX(BBG_Data!$H$2:$H$4000,MATCH($A1082,BBG_Data!$G$2:$G$4000,0)),NA()))</f>
        <v/>
      </c>
      <c r="F1082" s="20">
        <f>IF(AND(ISNUMBER(B1082),ISNUMBER(B1081)),IF(B1082=B1081,"",(B1082-B1081)*100),"")</f>
        <v/>
      </c>
      <c r="G1082" s="20">
        <f>IF(AND(ISNUMBER(C1082),ISNUMBER(C1081)),IF(C1082=C1081,"",(C1082-C1081)*100),"")</f>
        <v/>
      </c>
      <c r="H1082" s="20">
        <f>IF(OR(NOT(ISNUMBER($A1082)),ROW()-2&lt;Settings!$B$11),NA(),IF(COUNT(OFFSET(F1082,1-Settings!$B$11,0,Settings!$B$11,1))&lt;ROUNDUP(Settings!$B$11*Settings!$B$26,0),NA(),STDEV(OFFSET(F1082,1-Settings!$B$11,0,Settings!$B$11,1))*SQRT(Settings!$B$13)))</f>
        <v/>
      </c>
      <c r="I1082" s="20">
        <f>IF(OR(NOT(ISNUMBER($A1082)),ROW()-2&lt;Settings!$B$12),NA(),IF(COUNT(OFFSET(F1082,1-Settings!$B$12,0,Settings!$B$12,1))&lt;ROUNDUP(Settings!$B$12*Settings!$B$26,0),NA(),STDEV(OFFSET(F1082,1-Settings!$B$12,0,Settings!$B$12,1))*SQRT(Settings!$B$13)))</f>
        <v/>
      </c>
      <c r="J1082" s="20">
        <f>IF(OR(NOT(ISNUMBER($A1082)),ROW()-2&lt;Settings!$B$11),NA(),IF(COUNT(OFFSET(G1082,1-Settings!$B$11,0,Settings!$B$11,1))&lt;ROUNDUP(Settings!$B$11*Settings!$B$26,0),NA(),STDEV(OFFSET(G1082,1-Settings!$B$11,0,Settings!$B$11,1))*SQRT(Settings!$B$13)))</f>
        <v/>
      </c>
      <c r="K1082" s="20">
        <f>IF(OR(NOT(ISNUMBER($A1082)),ROW()-2&lt;Settings!$B$12),NA(),IF(COUNT(OFFSET(G1082,1-Settings!$B$12,0,Settings!$B$12,1))&lt;ROUNDUP(Settings!$B$12*Settings!$B$26,0),NA(),STDEV(OFFSET(G1082,1-Settings!$B$12,0,Settings!$B$12,1))*SQRT(Settings!$B$13)))</f>
        <v/>
      </c>
      <c r="L1082" s="20">
        <f>IF(AND(ISNUMBER(D1082),ISNUMBER(H1082)),D1082-H1082,NA())</f>
        <v/>
      </c>
      <c r="M1082" s="20">
        <f>IF(AND(ISNUMBER(E1082),ISNUMBER(K1082)),E1082-K1082,NA())</f>
        <v/>
      </c>
      <c r="N1082" s="20">
        <f>IF(NOT(ISNUMBER($A1082)),NA(),IF(COUNT(OFFSET(G1082,1,0,Settings!$B$12,1))&lt;ROUNDUP(Settings!$B$12*Settings!$B$26,0),NA(),STDEV(OFFSET(G1082,1,0,Settings!$B$12,1))*SQRT(Settings!$B$13)))</f>
        <v/>
      </c>
      <c r="O1082" s="20">
        <f>IF(AND(ISNUMBER(E1082),ISNUMBER(N1082)),E1082-N1082,NA())</f>
        <v/>
      </c>
      <c r="P1082" s="19">
        <f>IF(NOT(ISNUMBER($A1082)),NA(),IF(OR($A1082&lt;MIN(KW_TP!$A$2:$A$2501),$A1082&gt;MAX(KW_TP!$A$2:$A$2501)),NA(),INDEX(KW_TP!$C$2:$C$2501,MATCH($A1082,KW_TP!$A$2:$A$2501,1))))</f>
        <v/>
      </c>
      <c r="Q1082" s="18">
        <f>IF(NOT(ISNUMBER($A1082)),NA(),IFERROR(1*INDEX(BBG_Data!$J$2:$J$4000,MATCH($A1082,BBG_Data!$I$2:$I$4000,0)),NA()))</f>
        <v/>
      </c>
      <c r="R1082" s="18">
        <f>IF(NOT(ISNUMBER($A1082)),NA(),IFERROR(1*INDEX(BBG_Data!$L$2:$L$4000,MATCH($A1082,BBG_Data!$K$2:$K$4000,0)),NA()))</f>
        <v/>
      </c>
      <c r="S1082" s="20">
        <f>IF(AND(ISNUMBER(B1082),ISNUMBER(Q1082),ISNUMBER(R1082)),(B1082-Q1082-R1082)*100,NA())</f>
        <v/>
      </c>
      <c r="T1082" s="20">
        <f>IF(AND(ISNUMBER(B1082),Settings!$B$17&gt;0),IF(ISNUMBER(INDEX($B:$B,Settings!$B$17)),(B1082-INDEX($B:$B,Settings!$B$17))*100,NA()),NA())</f>
        <v/>
      </c>
      <c r="U1082" s="20">
        <f>IF(AND(ISNUMBER(Q1082),Settings!$B$17&gt;0),IF(ISNUMBER(INDEX($Q:$Q,Settings!$B$17)),(Q1082-INDEX($Q:$Q,Settings!$B$17))*100,NA()),NA())</f>
        <v/>
      </c>
      <c r="V1082" s="20">
        <f>IF(AND(ISNUMBER(R1082),Settings!$B$17&gt;0),IF(ISNUMBER(INDEX($R:$R,Settings!$B$17)),(R1082-INDEX($R:$R,Settings!$B$17))*100,NA()),NA())</f>
        <v/>
      </c>
      <c r="W1082" s="20">
        <f>IF(AND(ISNUMBER(P1082),Settings!$B$17&gt;0),IF(ISNUMBER(INDEX($P:$P,Settings!$B$17)),P1082-INDEX($P:$P,Settings!$B$17),NA()),NA())</f>
        <v/>
      </c>
      <c r="X1082" s="19">
        <f>IF(NOT(ISNUMBER($A1082)),NA(),IF(OR($A1082&lt;MIN(DKW_10Y!$A$2:$A$2918),$A1082&gt;MAX(DKW_10Y!$A$2:$A$2918),Settings!$B$16&lt;MIN(DKW_10Y!$A$2:$A$2918)),NA(),(INDEX(DKW_10Y!$B$2:$B$2918,MATCH($A1082,DKW_10Y!$A$2:$A$2918,1))-INDEX(DKW_10Y!$B$2:$B$2918,MATCH(Settings!$B$16,DKW_10Y!$A$2:$A$2918,1)))*100))</f>
        <v/>
      </c>
      <c r="Y1082" s="19">
        <f>IF(NOT(ISNUMBER($A1082)),NA(),IF(OR($A1082&lt;MIN(DKW_10Y!$A$2:$A$2918),$A1082&gt;MAX(DKW_10Y!$A$2:$A$2918),Settings!$B$16&lt;MIN(DKW_10Y!$A$2:$A$2918)),NA(),(INDEX(DKW_10Y!$C$2:$C$2918,MATCH($A1082,DKW_10Y!$A$2:$A$2918,1))-INDEX(DKW_10Y!$C$2:$C$2918,MATCH(Settings!$B$16,DKW_10Y!$A$2:$A$2918,1)))*100))</f>
        <v/>
      </c>
      <c r="Z1082" s="19">
        <f>IF(NOT(ISNUMBER($A1082)),NA(),IF(OR($A1082&lt;MIN(DKW_10Y!$A$2:$A$2918),$A1082&gt;MAX(DKW_10Y!$A$2:$A$2918),Settings!$B$16&lt;MIN(DKW_10Y!$A$2:$A$2918)),NA(),(INDEX(DKW_10Y!$D$2:$D$2918,MATCH($A1082,DKW_10Y!$A$2:$A$2918,1))-INDEX(DKW_10Y!$D$2:$D$2918,MATCH(Settings!$B$16,DKW_10Y!$A$2:$A$2918,1)))*100))</f>
        <v/>
      </c>
      <c r="AA1082" s="19">
        <f>IF(NOT(ISNUMBER($A1082)),NA(),IF(OR($A1082&lt;MIN(DKW_10Y!$A$2:$A$2918),$A1082&gt;MAX(DKW_10Y!$A$2:$A$2918),Settings!$B$16&lt;MIN(DKW_10Y!$A$2:$A$2918)),NA(),(INDEX(DKW_10Y!$E$2:$E$2918,MATCH($A1082,DKW_10Y!$A$2:$A$2918,1))-INDEX(DKW_10Y!$E$2:$E$2918,MATCH(Settings!$B$16,DKW_10Y!$A$2:$A$2918,1)))*100))</f>
        <v/>
      </c>
      <c r="AB1082" s="19">
        <f>IF(NOT(ISNUMBER($A1082)),NA(),IF(OR($A1082&lt;MIN(DKW_10Y!$A$2:$A$2918),$A1082&gt;MAX(DKW_10Y!$A$2:$A$2918),Settings!$B$16&lt;MIN(DKW_10Y!$A$2:$A$2918)),NA(),(INDEX(DKW_10Y!$H$2:$H$2918,MATCH($A1082,DKW_10Y!$A$2:$A$2918,1))-INDEX(DKW_10Y!$H$2:$H$2918,MATCH(Settings!$B$16,DKW_10Y!$A$2:$A$2918,1)))*100))</f>
        <v/>
      </c>
      <c r="AC1082" s="18">
        <f>IF(NOT(ISNUMBER($A1082)),NA(),IFERROR(1*INDEX(BBG_Data!$N$2:$N$4000,MATCH($A1082,BBG_Data!$M$2:$M$4000,0)),NA()))</f>
        <v/>
      </c>
      <c r="AD1082" s="18">
        <f>IF(NOT(ISNUMBER($A1082)),NA(),IFERROR(1*INDEX(BBG_Data!$P$2:$P$4000,MATCH($A1082,BBG_Data!$O$2:$O$4000,0)),NA()))</f>
        <v/>
      </c>
      <c r="AE1082" s="18">
        <f>IF(NOT(ISNUMBER($A1082)),NA(),IFERROR(1*INDEX(BBG_Data!$R$2:$R$4000,MATCH($A1082,BBG_Data!$Q$2:$Q$4000,0)),NA()))</f>
        <v/>
      </c>
      <c r="AF1082" s="20">
        <f>IF(AND(ISNUMBER(B1082),ISNUMBER(AC1082)),(B1082-AC1082)*100,NA())</f>
        <v/>
      </c>
      <c r="AG1082" s="20">
        <f>IF(AND(ISNUMBER(AE1082),ISNUMBER(AD1082)),(AE1082-AD1082)*100,NA())</f>
        <v/>
      </c>
      <c r="AH1082" s="19">
        <f>IF(NOT(ISNUMBER($A1082)),NA(),IFERROR(INDEX(BBG_Data!$T$2:$T$4000,MATCH($A1082,BBG_Data!$S$2:$S$4000,0))*Settings!$B$25,NA()))</f>
        <v/>
      </c>
      <c r="AI1082" s="19">
        <f>IF(NOT(ISNUMBER($A1082)),NA(),IFERROR(INDEX(BBG_Data!$V$2:$V$4000,MATCH($A1082,BBG_Data!$U$2:$U$4000,0))*Settings!$B$25,NA()))</f>
        <v/>
      </c>
      <c r="AJ1082" s="19">
        <f>IF(NOT(ISNUMBER($A1082)),NA(),IFERROR(1*INDEX(BBG_Data!$X$2:$X$4000,MATCH($A1082,BBG_Data!$W$2:$W$4000,0)),NA()))</f>
        <v/>
      </c>
      <c r="AK1082" s="19">
        <f>IF(NOT(ISNUMBER($A1082)),NA(),IFERROR(1*INDEX(BBG_Data!$Z$2:$Z$4000,MATCH($A1082,BBG_Data!$Y$2:$Y$4000,0)),NA()))</f>
        <v/>
      </c>
    </row>
    <row r="1083">
      <c r="A1083" s="17">
        <f>IF(ISNUMBER(BBG_Data!A1083),BBG_Data!A1083,"")</f>
        <v/>
      </c>
      <c r="B1083" s="18">
        <f>IF(AND(ISNUMBER($A1083),ISNUMBER(BBG_Data!B1083)),BBG_Data!B1083,NA())</f>
        <v/>
      </c>
      <c r="C1083" s="18">
        <f>IF(NOT(ISNUMBER($A1083)),NA(),IFERROR(1*INDEX(BBG_Data!$D$2:$D$4000,MATCH($A1083,BBG_Data!$C$2:$C$4000,0)),NA()))</f>
        <v/>
      </c>
      <c r="D1083" s="19">
        <f>IF(NOT(ISNUMBER($A1083)),NA(),IFERROR(1*INDEX(BBG_Data!$F$2:$F$4000,MATCH($A1083,BBG_Data!$E$2:$E$4000,0)),NA()))</f>
        <v/>
      </c>
      <c r="E1083" s="19">
        <f>IF(NOT(ISNUMBER($A1083)),NA(),IFERROR(1*INDEX(BBG_Data!$H$2:$H$4000,MATCH($A1083,BBG_Data!$G$2:$G$4000,0)),NA()))</f>
        <v/>
      </c>
      <c r="F1083" s="20">
        <f>IF(AND(ISNUMBER(B1083),ISNUMBER(B1082)),IF(B1083=B1082,"",(B1083-B1082)*100),"")</f>
        <v/>
      </c>
      <c r="G1083" s="20">
        <f>IF(AND(ISNUMBER(C1083),ISNUMBER(C1082)),IF(C1083=C1082,"",(C1083-C1082)*100),"")</f>
        <v/>
      </c>
      <c r="H1083" s="20">
        <f>IF(OR(NOT(ISNUMBER($A1083)),ROW()-2&lt;Settings!$B$11),NA(),IF(COUNT(OFFSET(F1083,1-Settings!$B$11,0,Settings!$B$11,1))&lt;ROUNDUP(Settings!$B$11*Settings!$B$26,0),NA(),STDEV(OFFSET(F1083,1-Settings!$B$11,0,Settings!$B$11,1))*SQRT(Settings!$B$13)))</f>
        <v/>
      </c>
      <c r="I1083" s="20">
        <f>IF(OR(NOT(ISNUMBER($A1083)),ROW()-2&lt;Settings!$B$12),NA(),IF(COUNT(OFFSET(F1083,1-Settings!$B$12,0,Settings!$B$12,1))&lt;ROUNDUP(Settings!$B$12*Settings!$B$26,0),NA(),STDEV(OFFSET(F1083,1-Settings!$B$12,0,Settings!$B$12,1))*SQRT(Settings!$B$13)))</f>
        <v/>
      </c>
      <c r="J1083" s="20">
        <f>IF(OR(NOT(ISNUMBER($A1083)),ROW()-2&lt;Settings!$B$11),NA(),IF(COUNT(OFFSET(G1083,1-Settings!$B$11,0,Settings!$B$11,1))&lt;ROUNDUP(Settings!$B$11*Settings!$B$26,0),NA(),STDEV(OFFSET(G1083,1-Settings!$B$11,0,Settings!$B$11,1))*SQRT(Settings!$B$13)))</f>
        <v/>
      </c>
      <c r="K1083" s="20">
        <f>IF(OR(NOT(ISNUMBER($A1083)),ROW()-2&lt;Settings!$B$12),NA(),IF(COUNT(OFFSET(G1083,1-Settings!$B$12,0,Settings!$B$12,1))&lt;ROUNDUP(Settings!$B$12*Settings!$B$26,0),NA(),STDEV(OFFSET(G1083,1-Settings!$B$12,0,Settings!$B$12,1))*SQRT(Settings!$B$13)))</f>
        <v/>
      </c>
      <c r="L1083" s="20">
        <f>IF(AND(ISNUMBER(D1083),ISNUMBER(H1083)),D1083-H1083,NA())</f>
        <v/>
      </c>
      <c r="M1083" s="20">
        <f>IF(AND(ISNUMBER(E1083),ISNUMBER(K1083)),E1083-K1083,NA())</f>
        <v/>
      </c>
      <c r="N1083" s="20">
        <f>IF(NOT(ISNUMBER($A1083)),NA(),IF(COUNT(OFFSET(G1083,1,0,Settings!$B$12,1))&lt;ROUNDUP(Settings!$B$12*Settings!$B$26,0),NA(),STDEV(OFFSET(G1083,1,0,Settings!$B$12,1))*SQRT(Settings!$B$13)))</f>
        <v/>
      </c>
      <c r="O1083" s="20">
        <f>IF(AND(ISNUMBER(E1083),ISNUMBER(N1083)),E1083-N1083,NA())</f>
        <v/>
      </c>
      <c r="P1083" s="19">
        <f>IF(NOT(ISNUMBER($A1083)),NA(),IF(OR($A1083&lt;MIN(KW_TP!$A$2:$A$2501),$A1083&gt;MAX(KW_TP!$A$2:$A$2501)),NA(),INDEX(KW_TP!$C$2:$C$2501,MATCH($A1083,KW_TP!$A$2:$A$2501,1))))</f>
        <v/>
      </c>
      <c r="Q1083" s="18">
        <f>IF(NOT(ISNUMBER($A1083)),NA(),IFERROR(1*INDEX(BBG_Data!$J$2:$J$4000,MATCH($A1083,BBG_Data!$I$2:$I$4000,0)),NA()))</f>
        <v/>
      </c>
      <c r="R1083" s="18">
        <f>IF(NOT(ISNUMBER($A1083)),NA(),IFERROR(1*INDEX(BBG_Data!$L$2:$L$4000,MATCH($A1083,BBG_Data!$K$2:$K$4000,0)),NA()))</f>
        <v/>
      </c>
      <c r="S1083" s="20">
        <f>IF(AND(ISNUMBER(B1083),ISNUMBER(Q1083),ISNUMBER(R1083)),(B1083-Q1083-R1083)*100,NA())</f>
        <v/>
      </c>
      <c r="T1083" s="20">
        <f>IF(AND(ISNUMBER(B1083),Settings!$B$17&gt;0),IF(ISNUMBER(INDEX($B:$B,Settings!$B$17)),(B1083-INDEX($B:$B,Settings!$B$17))*100,NA()),NA())</f>
        <v/>
      </c>
      <c r="U1083" s="20">
        <f>IF(AND(ISNUMBER(Q1083),Settings!$B$17&gt;0),IF(ISNUMBER(INDEX($Q:$Q,Settings!$B$17)),(Q1083-INDEX($Q:$Q,Settings!$B$17))*100,NA()),NA())</f>
        <v/>
      </c>
      <c r="V1083" s="20">
        <f>IF(AND(ISNUMBER(R1083),Settings!$B$17&gt;0),IF(ISNUMBER(INDEX($R:$R,Settings!$B$17)),(R1083-INDEX($R:$R,Settings!$B$17))*100,NA()),NA())</f>
        <v/>
      </c>
      <c r="W1083" s="20">
        <f>IF(AND(ISNUMBER(P1083),Settings!$B$17&gt;0),IF(ISNUMBER(INDEX($P:$P,Settings!$B$17)),P1083-INDEX($P:$P,Settings!$B$17),NA()),NA())</f>
        <v/>
      </c>
      <c r="X1083" s="19">
        <f>IF(NOT(ISNUMBER($A1083)),NA(),IF(OR($A1083&lt;MIN(DKW_10Y!$A$2:$A$2918),$A1083&gt;MAX(DKW_10Y!$A$2:$A$2918),Settings!$B$16&lt;MIN(DKW_10Y!$A$2:$A$2918)),NA(),(INDEX(DKW_10Y!$B$2:$B$2918,MATCH($A1083,DKW_10Y!$A$2:$A$2918,1))-INDEX(DKW_10Y!$B$2:$B$2918,MATCH(Settings!$B$16,DKW_10Y!$A$2:$A$2918,1)))*100))</f>
        <v/>
      </c>
      <c r="Y1083" s="19">
        <f>IF(NOT(ISNUMBER($A1083)),NA(),IF(OR($A1083&lt;MIN(DKW_10Y!$A$2:$A$2918),$A1083&gt;MAX(DKW_10Y!$A$2:$A$2918),Settings!$B$16&lt;MIN(DKW_10Y!$A$2:$A$2918)),NA(),(INDEX(DKW_10Y!$C$2:$C$2918,MATCH($A1083,DKW_10Y!$A$2:$A$2918,1))-INDEX(DKW_10Y!$C$2:$C$2918,MATCH(Settings!$B$16,DKW_10Y!$A$2:$A$2918,1)))*100))</f>
        <v/>
      </c>
      <c r="Z1083" s="19">
        <f>IF(NOT(ISNUMBER($A1083)),NA(),IF(OR($A1083&lt;MIN(DKW_10Y!$A$2:$A$2918),$A1083&gt;MAX(DKW_10Y!$A$2:$A$2918),Settings!$B$16&lt;MIN(DKW_10Y!$A$2:$A$2918)),NA(),(INDEX(DKW_10Y!$D$2:$D$2918,MATCH($A1083,DKW_10Y!$A$2:$A$2918,1))-INDEX(DKW_10Y!$D$2:$D$2918,MATCH(Settings!$B$16,DKW_10Y!$A$2:$A$2918,1)))*100))</f>
        <v/>
      </c>
      <c r="AA1083" s="19">
        <f>IF(NOT(ISNUMBER($A1083)),NA(),IF(OR($A1083&lt;MIN(DKW_10Y!$A$2:$A$2918),$A1083&gt;MAX(DKW_10Y!$A$2:$A$2918),Settings!$B$16&lt;MIN(DKW_10Y!$A$2:$A$2918)),NA(),(INDEX(DKW_10Y!$E$2:$E$2918,MATCH($A1083,DKW_10Y!$A$2:$A$2918,1))-INDEX(DKW_10Y!$E$2:$E$2918,MATCH(Settings!$B$16,DKW_10Y!$A$2:$A$2918,1)))*100))</f>
        <v/>
      </c>
      <c r="AB1083" s="19">
        <f>IF(NOT(ISNUMBER($A1083)),NA(),IF(OR($A1083&lt;MIN(DKW_10Y!$A$2:$A$2918),$A1083&gt;MAX(DKW_10Y!$A$2:$A$2918),Settings!$B$16&lt;MIN(DKW_10Y!$A$2:$A$2918)),NA(),(INDEX(DKW_10Y!$H$2:$H$2918,MATCH($A1083,DKW_10Y!$A$2:$A$2918,1))-INDEX(DKW_10Y!$H$2:$H$2918,MATCH(Settings!$B$16,DKW_10Y!$A$2:$A$2918,1)))*100))</f>
        <v/>
      </c>
      <c r="AC1083" s="18">
        <f>IF(NOT(ISNUMBER($A1083)),NA(),IFERROR(1*INDEX(BBG_Data!$N$2:$N$4000,MATCH($A1083,BBG_Data!$M$2:$M$4000,0)),NA()))</f>
        <v/>
      </c>
      <c r="AD1083" s="18">
        <f>IF(NOT(ISNUMBER($A1083)),NA(),IFERROR(1*INDEX(BBG_Data!$P$2:$P$4000,MATCH($A1083,BBG_Data!$O$2:$O$4000,0)),NA()))</f>
        <v/>
      </c>
      <c r="AE1083" s="18">
        <f>IF(NOT(ISNUMBER($A1083)),NA(),IFERROR(1*INDEX(BBG_Data!$R$2:$R$4000,MATCH($A1083,BBG_Data!$Q$2:$Q$4000,0)),NA()))</f>
        <v/>
      </c>
      <c r="AF1083" s="20">
        <f>IF(AND(ISNUMBER(B1083),ISNUMBER(AC1083)),(B1083-AC1083)*100,NA())</f>
        <v/>
      </c>
      <c r="AG1083" s="20">
        <f>IF(AND(ISNUMBER(AE1083),ISNUMBER(AD1083)),(AE1083-AD1083)*100,NA())</f>
        <v/>
      </c>
      <c r="AH1083" s="19">
        <f>IF(NOT(ISNUMBER($A1083)),NA(),IFERROR(INDEX(BBG_Data!$T$2:$T$4000,MATCH($A1083,BBG_Data!$S$2:$S$4000,0))*Settings!$B$25,NA()))</f>
        <v/>
      </c>
      <c r="AI1083" s="19">
        <f>IF(NOT(ISNUMBER($A1083)),NA(),IFERROR(INDEX(BBG_Data!$V$2:$V$4000,MATCH($A1083,BBG_Data!$U$2:$U$4000,0))*Settings!$B$25,NA()))</f>
        <v/>
      </c>
      <c r="AJ1083" s="19">
        <f>IF(NOT(ISNUMBER($A1083)),NA(),IFERROR(1*INDEX(BBG_Data!$X$2:$X$4000,MATCH($A1083,BBG_Data!$W$2:$W$4000,0)),NA()))</f>
        <v/>
      </c>
      <c r="AK1083" s="19">
        <f>IF(NOT(ISNUMBER($A1083)),NA(),IFERROR(1*INDEX(BBG_Data!$Z$2:$Z$4000,MATCH($A1083,BBG_Data!$Y$2:$Y$4000,0)),NA()))</f>
        <v/>
      </c>
    </row>
    <row r="1084">
      <c r="A1084" s="17">
        <f>IF(ISNUMBER(BBG_Data!A1084),BBG_Data!A1084,"")</f>
        <v/>
      </c>
      <c r="B1084" s="18">
        <f>IF(AND(ISNUMBER($A1084),ISNUMBER(BBG_Data!B1084)),BBG_Data!B1084,NA())</f>
        <v/>
      </c>
      <c r="C1084" s="18">
        <f>IF(NOT(ISNUMBER($A1084)),NA(),IFERROR(1*INDEX(BBG_Data!$D$2:$D$4000,MATCH($A1084,BBG_Data!$C$2:$C$4000,0)),NA()))</f>
        <v/>
      </c>
      <c r="D1084" s="19">
        <f>IF(NOT(ISNUMBER($A1084)),NA(),IFERROR(1*INDEX(BBG_Data!$F$2:$F$4000,MATCH($A1084,BBG_Data!$E$2:$E$4000,0)),NA()))</f>
        <v/>
      </c>
      <c r="E1084" s="19">
        <f>IF(NOT(ISNUMBER($A1084)),NA(),IFERROR(1*INDEX(BBG_Data!$H$2:$H$4000,MATCH($A1084,BBG_Data!$G$2:$G$4000,0)),NA()))</f>
        <v/>
      </c>
      <c r="F1084" s="20">
        <f>IF(AND(ISNUMBER(B1084),ISNUMBER(B1083)),IF(B1084=B1083,"",(B1084-B1083)*100),"")</f>
        <v/>
      </c>
      <c r="G1084" s="20">
        <f>IF(AND(ISNUMBER(C1084),ISNUMBER(C1083)),IF(C1084=C1083,"",(C1084-C1083)*100),"")</f>
        <v/>
      </c>
      <c r="H1084" s="20">
        <f>IF(OR(NOT(ISNUMBER($A1084)),ROW()-2&lt;Settings!$B$11),NA(),IF(COUNT(OFFSET(F1084,1-Settings!$B$11,0,Settings!$B$11,1))&lt;ROUNDUP(Settings!$B$11*Settings!$B$26,0),NA(),STDEV(OFFSET(F1084,1-Settings!$B$11,0,Settings!$B$11,1))*SQRT(Settings!$B$13)))</f>
        <v/>
      </c>
      <c r="I1084" s="20">
        <f>IF(OR(NOT(ISNUMBER($A1084)),ROW()-2&lt;Settings!$B$12),NA(),IF(COUNT(OFFSET(F1084,1-Settings!$B$12,0,Settings!$B$12,1))&lt;ROUNDUP(Settings!$B$12*Settings!$B$26,0),NA(),STDEV(OFFSET(F1084,1-Settings!$B$12,0,Settings!$B$12,1))*SQRT(Settings!$B$13)))</f>
        <v/>
      </c>
      <c r="J1084" s="20">
        <f>IF(OR(NOT(ISNUMBER($A1084)),ROW()-2&lt;Settings!$B$11),NA(),IF(COUNT(OFFSET(G1084,1-Settings!$B$11,0,Settings!$B$11,1))&lt;ROUNDUP(Settings!$B$11*Settings!$B$26,0),NA(),STDEV(OFFSET(G1084,1-Settings!$B$11,0,Settings!$B$11,1))*SQRT(Settings!$B$13)))</f>
        <v/>
      </c>
      <c r="K1084" s="20">
        <f>IF(OR(NOT(ISNUMBER($A1084)),ROW()-2&lt;Settings!$B$12),NA(),IF(COUNT(OFFSET(G1084,1-Settings!$B$12,0,Settings!$B$12,1))&lt;ROUNDUP(Settings!$B$12*Settings!$B$26,0),NA(),STDEV(OFFSET(G1084,1-Settings!$B$12,0,Settings!$B$12,1))*SQRT(Settings!$B$13)))</f>
        <v/>
      </c>
      <c r="L1084" s="20">
        <f>IF(AND(ISNUMBER(D1084),ISNUMBER(H1084)),D1084-H1084,NA())</f>
        <v/>
      </c>
      <c r="M1084" s="20">
        <f>IF(AND(ISNUMBER(E1084),ISNUMBER(K1084)),E1084-K1084,NA())</f>
        <v/>
      </c>
      <c r="N1084" s="20">
        <f>IF(NOT(ISNUMBER($A1084)),NA(),IF(COUNT(OFFSET(G1084,1,0,Settings!$B$12,1))&lt;ROUNDUP(Settings!$B$12*Settings!$B$26,0),NA(),STDEV(OFFSET(G1084,1,0,Settings!$B$12,1))*SQRT(Settings!$B$13)))</f>
        <v/>
      </c>
      <c r="O1084" s="20">
        <f>IF(AND(ISNUMBER(E1084),ISNUMBER(N1084)),E1084-N1084,NA())</f>
        <v/>
      </c>
      <c r="P1084" s="19">
        <f>IF(NOT(ISNUMBER($A1084)),NA(),IF(OR($A1084&lt;MIN(KW_TP!$A$2:$A$2501),$A1084&gt;MAX(KW_TP!$A$2:$A$2501)),NA(),INDEX(KW_TP!$C$2:$C$2501,MATCH($A1084,KW_TP!$A$2:$A$2501,1))))</f>
        <v/>
      </c>
      <c r="Q1084" s="18">
        <f>IF(NOT(ISNUMBER($A1084)),NA(),IFERROR(1*INDEX(BBG_Data!$J$2:$J$4000,MATCH($A1084,BBG_Data!$I$2:$I$4000,0)),NA()))</f>
        <v/>
      </c>
      <c r="R1084" s="18">
        <f>IF(NOT(ISNUMBER($A1084)),NA(),IFERROR(1*INDEX(BBG_Data!$L$2:$L$4000,MATCH($A1084,BBG_Data!$K$2:$K$4000,0)),NA()))</f>
        <v/>
      </c>
      <c r="S1084" s="20">
        <f>IF(AND(ISNUMBER(B1084),ISNUMBER(Q1084),ISNUMBER(R1084)),(B1084-Q1084-R1084)*100,NA())</f>
        <v/>
      </c>
      <c r="T1084" s="20">
        <f>IF(AND(ISNUMBER(B1084),Settings!$B$17&gt;0),IF(ISNUMBER(INDEX($B:$B,Settings!$B$17)),(B1084-INDEX($B:$B,Settings!$B$17))*100,NA()),NA())</f>
        <v/>
      </c>
      <c r="U1084" s="20">
        <f>IF(AND(ISNUMBER(Q1084),Settings!$B$17&gt;0),IF(ISNUMBER(INDEX($Q:$Q,Settings!$B$17)),(Q1084-INDEX($Q:$Q,Settings!$B$17))*100,NA()),NA())</f>
        <v/>
      </c>
      <c r="V1084" s="20">
        <f>IF(AND(ISNUMBER(R1084),Settings!$B$17&gt;0),IF(ISNUMBER(INDEX($R:$R,Settings!$B$17)),(R1084-INDEX($R:$R,Settings!$B$17))*100,NA()),NA())</f>
        <v/>
      </c>
      <c r="W1084" s="20">
        <f>IF(AND(ISNUMBER(P1084),Settings!$B$17&gt;0),IF(ISNUMBER(INDEX($P:$P,Settings!$B$17)),P1084-INDEX($P:$P,Settings!$B$17),NA()),NA())</f>
        <v/>
      </c>
      <c r="X1084" s="19">
        <f>IF(NOT(ISNUMBER($A1084)),NA(),IF(OR($A1084&lt;MIN(DKW_10Y!$A$2:$A$2918),$A1084&gt;MAX(DKW_10Y!$A$2:$A$2918),Settings!$B$16&lt;MIN(DKW_10Y!$A$2:$A$2918)),NA(),(INDEX(DKW_10Y!$B$2:$B$2918,MATCH($A1084,DKW_10Y!$A$2:$A$2918,1))-INDEX(DKW_10Y!$B$2:$B$2918,MATCH(Settings!$B$16,DKW_10Y!$A$2:$A$2918,1)))*100))</f>
        <v/>
      </c>
      <c r="Y1084" s="19">
        <f>IF(NOT(ISNUMBER($A1084)),NA(),IF(OR($A1084&lt;MIN(DKW_10Y!$A$2:$A$2918),$A1084&gt;MAX(DKW_10Y!$A$2:$A$2918),Settings!$B$16&lt;MIN(DKW_10Y!$A$2:$A$2918)),NA(),(INDEX(DKW_10Y!$C$2:$C$2918,MATCH($A1084,DKW_10Y!$A$2:$A$2918,1))-INDEX(DKW_10Y!$C$2:$C$2918,MATCH(Settings!$B$16,DKW_10Y!$A$2:$A$2918,1)))*100))</f>
        <v/>
      </c>
      <c r="Z1084" s="19">
        <f>IF(NOT(ISNUMBER($A1084)),NA(),IF(OR($A1084&lt;MIN(DKW_10Y!$A$2:$A$2918),$A1084&gt;MAX(DKW_10Y!$A$2:$A$2918),Settings!$B$16&lt;MIN(DKW_10Y!$A$2:$A$2918)),NA(),(INDEX(DKW_10Y!$D$2:$D$2918,MATCH($A1084,DKW_10Y!$A$2:$A$2918,1))-INDEX(DKW_10Y!$D$2:$D$2918,MATCH(Settings!$B$16,DKW_10Y!$A$2:$A$2918,1)))*100))</f>
        <v/>
      </c>
      <c r="AA1084" s="19">
        <f>IF(NOT(ISNUMBER($A1084)),NA(),IF(OR($A1084&lt;MIN(DKW_10Y!$A$2:$A$2918),$A1084&gt;MAX(DKW_10Y!$A$2:$A$2918),Settings!$B$16&lt;MIN(DKW_10Y!$A$2:$A$2918)),NA(),(INDEX(DKW_10Y!$E$2:$E$2918,MATCH($A1084,DKW_10Y!$A$2:$A$2918,1))-INDEX(DKW_10Y!$E$2:$E$2918,MATCH(Settings!$B$16,DKW_10Y!$A$2:$A$2918,1)))*100))</f>
        <v/>
      </c>
      <c r="AB1084" s="19">
        <f>IF(NOT(ISNUMBER($A1084)),NA(),IF(OR($A1084&lt;MIN(DKW_10Y!$A$2:$A$2918),$A1084&gt;MAX(DKW_10Y!$A$2:$A$2918),Settings!$B$16&lt;MIN(DKW_10Y!$A$2:$A$2918)),NA(),(INDEX(DKW_10Y!$H$2:$H$2918,MATCH($A1084,DKW_10Y!$A$2:$A$2918,1))-INDEX(DKW_10Y!$H$2:$H$2918,MATCH(Settings!$B$16,DKW_10Y!$A$2:$A$2918,1)))*100))</f>
        <v/>
      </c>
      <c r="AC1084" s="18">
        <f>IF(NOT(ISNUMBER($A1084)),NA(),IFERROR(1*INDEX(BBG_Data!$N$2:$N$4000,MATCH($A1084,BBG_Data!$M$2:$M$4000,0)),NA()))</f>
        <v/>
      </c>
      <c r="AD1084" s="18">
        <f>IF(NOT(ISNUMBER($A1084)),NA(),IFERROR(1*INDEX(BBG_Data!$P$2:$P$4000,MATCH($A1084,BBG_Data!$O$2:$O$4000,0)),NA()))</f>
        <v/>
      </c>
      <c r="AE1084" s="18">
        <f>IF(NOT(ISNUMBER($A1084)),NA(),IFERROR(1*INDEX(BBG_Data!$R$2:$R$4000,MATCH($A1084,BBG_Data!$Q$2:$Q$4000,0)),NA()))</f>
        <v/>
      </c>
      <c r="AF1084" s="20">
        <f>IF(AND(ISNUMBER(B1084),ISNUMBER(AC1084)),(B1084-AC1084)*100,NA())</f>
        <v/>
      </c>
      <c r="AG1084" s="20">
        <f>IF(AND(ISNUMBER(AE1084),ISNUMBER(AD1084)),(AE1084-AD1084)*100,NA())</f>
        <v/>
      </c>
      <c r="AH1084" s="19">
        <f>IF(NOT(ISNUMBER($A1084)),NA(),IFERROR(INDEX(BBG_Data!$T$2:$T$4000,MATCH($A1084,BBG_Data!$S$2:$S$4000,0))*Settings!$B$25,NA()))</f>
        <v/>
      </c>
      <c r="AI1084" s="19">
        <f>IF(NOT(ISNUMBER($A1084)),NA(),IFERROR(INDEX(BBG_Data!$V$2:$V$4000,MATCH($A1084,BBG_Data!$U$2:$U$4000,0))*Settings!$B$25,NA()))</f>
        <v/>
      </c>
      <c r="AJ1084" s="19">
        <f>IF(NOT(ISNUMBER($A1084)),NA(),IFERROR(1*INDEX(BBG_Data!$X$2:$X$4000,MATCH($A1084,BBG_Data!$W$2:$W$4000,0)),NA()))</f>
        <v/>
      </c>
      <c r="AK1084" s="19">
        <f>IF(NOT(ISNUMBER($A1084)),NA(),IFERROR(1*INDEX(BBG_Data!$Z$2:$Z$4000,MATCH($A1084,BBG_Data!$Y$2:$Y$4000,0)),NA()))</f>
        <v/>
      </c>
    </row>
    <row r="1085">
      <c r="A1085" s="17">
        <f>IF(ISNUMBER(BBG_Data!A1085),BBG_Data!A1085,"")</f>
        <v/>
      </c>
      <c r="B1085" s="18">
        <f>IF(AND(ISNUMBER($A1085),ISNUMBER(BBG_Data!B1085)),BBG_Data!B1085,NA())</f>
        <v/>
      </c>
      <c r="C1085" s="18">
        <f>IF(NOT(ISNUMBER($A1085)),NA(),IFERROR(1*INDEX(BBG_Data!$D$2:$D$4000,MATCH($A1085,BBG_Data!$C$2:$C$4000,0)),NA()))</f>
        <v/>
      </c>
      <c r="D1085" s="19">
        <f>IF(NOT(ISNUMBER($A1085)),NA(),IFERROR(1*INDEX(BBG_Data!$F$2:$F$4000,MATCH($A1085,BBG_Data!$E$2:$E$4000,0)),NA()))</f>
        <v/>
      </c>
      <c r="E1085" s="19">
        <f>IF(NOT(ISNUMBER($A1085)),NA(),IFERROR(1*INDEX(BBG_Data!$H$2:$H$4000,MATCH($A1085,BBG_Data!$G$2:$G$4000,0)),NA()))</f>
        <v/>
      </c>
      <c r="F1085" s="20">
        <f>IF(AND(ISNUMBER(B1085),ISNUMBER(B1084)),IF(B1085=B1084,"",(B1085-B1084)*100),"")</f>
        <v/>
      </c>
      <c r="G1085" s="20">
        <f>IF(AND(ISNUMBER(C1085),ISNUMBER(C1084)),IF(C1085=C1084,"",(C1085-C1084)*100),"")</f>
        <v/>
      </c>
      <c r="H1085" s="20">
        <f>IF(OR(NOT(ISNUMBER($A1085)),ROW()-2&lt;Settings!$B$11),NA(),IF(COUNT(OFFSET(F1085,1-Settings!$B$11,0,Settings!$B$11,1))&lt;ROUNDUP(Settings!$B$11*Settings!$B$26,0),NA(),STDEV(OFFSET(F1085,1-Settings!$B$11,0,Settings!$B$11,1))*SQRT(Settings!$B$13)))</f>
        <v/>
      </c>
      <c r="I1085" s="20">
        <f>IF(OR(NOT(ISNUMBER($A1085)),ROW()-2&lt;Settings!$B$12),NA(),IF(COUNT(OFFSET(F1085,1-Settings!$B$12,0,Settings!$B$12,1))&lt;ROUNDUP(Settings!$B$12*Settings!$B$26,0),NA(),STDEV(OFFSET(F1085,1-Settings!$B$12,0,Settings!$B$12,1))*SQRT(Settings!$B$13)))</f>
        <v/>
      </c>
      <c r="J1085" s="20">
        <f>IF(OR(NOT(ISNUMBER($A1085)),ROW()-2&lt;Settings!$B$11),NA(),IF(COUNT(OFFSET(G1085,1-Settings!$B$11,0,Settings!$B$11,1))&lt;ROUNDUP(Settings!$B$11*Settings!$B$26,0),NA(),STDEV(OFFSET(G1085,1-Settings!$B$11,0,Settings!$B$11,1))*SQRT(Settings!$B$13)))</f>
        <v/>
      </c>
      <c r="K1085" s="20">
        <f>IF(OR(NOT(ISNUMBER($A1085)),ROW()-2&lt;Settings!$B$12),NA(),IF(COUNT(OFFSET(G1085,1-Settings!$B$12,0,Settings!$B$12,1))&lt;ROUNDUP(Settings!$B$12*Settings!$B$26,0),NA(),STDEV(OFFSET(G1085,1-Settings!$B$12,0,Settings!$B$12,1))*SQRT(Settings!$B$13)))</f>
        <v/>
      </c>
      <c r="L1085" s="20">
        <f>IF(AND(ISNUMBER(D1085),ISNUMBER(H1085)),D1085-H1085,NA())</f>
        <v/>
      </c>
      <c r="M1085" s="20">
        <f>IF(AND(ISNUMBER(E1085),ISNUMBER(K1085)),E1085-K1085,NA())</f>
        <v/>
      </c>
      <c r="N1085" s="20">
        <f>IF(NOT(ISNUMBER($A1085)),NA(),IF(COUNT(OFFSET(G1085,1,0,Settings!$B$12,1))&lt;ROUNDUP(Settings!$B$12*Settings!$B$26,0),NA(),STDEV(OFFSET(G1085,1,0,Settings!$B$12,1))*SQRT(Settings!$B$13)))</f>
        <v/>
      </c>
      <c r="O1085" s="20">
        <f>IF(AND(ISNUMBER(E1085),ISNUMBER(N1085)),E1085-N1085,NA())</f>
        <v/>
      </c>
      <c r="P1085" s="19">
        <f>IF(NOT(ISNUMBER($A1085)),NA(),IF(OR($A1085&lt;MIN(KW_TP!$A$2:$A$2501),$A1085&gt;MAX(KW_TP!$A$2:$A$2501)),NA(),INDEX(KW_TP!$C$2:$C$2501,MATCH($A1085,KW_TP!$A$2:$A$2501,1))))</f>
        <v/>
      </c>
      <c r="Q1085" s="18">
        <f>IF(NOT(ISNUMBER($A1085)),NA(),IFERROR(1*INDEX(BBG_Data!$J$2:$J$4000,MATCH($A1085,BBG_Data!$I$2:$I$4000,0)),NA()))</f>
        <v/>
      </c>
      <c r="R1085" s="18">
        <f>IF(NOT(ISNUMBER($A1085)),NA(),IFERROR(1*INDEX(BBG_Data!$L$2:$L$4000,MATCH($A1085,BBG_Data!$K$2:$K$4000,0)),NA()))</f>
        <v/>
      </c>
      <c r="S1085" s="20">
        <f>IF(AND(ISNUMBER(B1085),ISNUMBER(Q1085),ISNUMBER(R1085)),(B1085-Q1085-R1085)*100,NA())</f>
        <v/>
      </c>
      <c r="T1085" s="20">
        <f>IF(AND(ISNUMBER(B1085),Settings!$B$17&gt;0),IF(ISNUMBER(INDEX($B:$B,Settings!$B$17)),(B1085-INDEX($B:$B,Settings!$B$17))*100,NA()),NA())</f>
        <v/>
      </c>
      <c r="U1085" s="20">
        <f>IF(AND(ISNUMBER(Q1085),Settings!$B$17&gt;0),IF(ISNUMBER(INDEX($Q:$Q,Settings!$B$17)),(Q1085-INDEX($Q:$Q,Settings!$B$17))*100,NA()),NA())</f>
        <v/>
      </c>
      <c r="V1085" s="20">
        <f>IF(AND(ISNUMBER(R1085),Settings!$B$17&gt;0),IF(ISNUMBER(INDEX($R:$R,Settings!$B$17)),(R1085-INDEX($R:$R,Settings!$B$17))*100,NA()),NA())</f>
        <v/>
      </c>
      <c r="W1085" s="20">
        <f>IF(AND(ISNUMBER(P1085),Settings!$B$17&gt;0),IF(ISNUMBER(INDEX($P:$P,Settings!$B$17)),P1085-INDEX($P:$P,Settings!$B$17),NA()),NA())</f>
        <v/>
      </c>
      <c r="X1085" s="19">
        <f>IF(NOT(ISNUMBER($A1085)),NA(),IF(OR($A1085&lt;MIN(DKW_10Y!$A$2:$A$2918),$A1085&gt;MAX(DKW_10Y!$A$2:$A$2918),Settings!$B$16&lt;MIN(DKW_10Y!$A$2:$A$2918)),NA(),(INDEX(DKW_10Y!$B$2:$B$2918,MATCH($A1085,DKW_10Y!$A$2:$A$2918,1))-INDEX(DKW_10Y!$B$2:$B$2918,MATCH(Settings!$B$16,DKW_10Y!$A$2:$A$2918,1)))*100))</f>
        <v/>
      </c>
      <c r="Y1085" s="19">
        <f>IF(NOT(ISNUMBER($A1085)),NA(),IF(OR($A1085&lt;MIN(DKW_10Y!$A$2:$A$2918),$A1085&gt;MAX(DKW_10Y!$A$2:$A$2918),Settings!$B$16&lt;MIN(DKW_10Y!$A$2:$A$2918)),NA(),(INDEX(DKW_10Y!$C$2:$C$2918,MATCH($A1085,DKW_10Y!$A$2:$A$2918,1))-INDEX(DKW_10Y!$C$2:$C$2918,MATCH(Settings!$B$16,DKW_10Y!$A$2:$A$2918,1)))*100))</f>
        <v/>
      </c>
      <c r="Z1085" s="19">
        <f>IF(NOT(ISNUMBER($A1085)),NA(),IF(OR($A1085&lt;MIN(DKW_10Y!$A$2:$A$2918),$A1085&gt;MAX(DKW_10Y!$A$2:$A$2918),Settings!$B$16&lt;MIN(DKW_10Y!$A$2:$A$2918)),NA(),(INDEX(DKW_10Y!$D$2:$D$2918,MATCH($A1085,DKW_10Y!$A$2:$A$2918,1))-INDEX(DKW_10Y!$D$2:$D$2918,MATCH(Settings!$B$16,DKW_10Y!$A$2:$A$2918,1)))*100))</f>
        <v/>
      </c>
      <c r="AA1085" s="19">
        <f>IF(NOT(ISNUMBER($A1085)),NA(),IF(OR($A1085&lt;MIN(DKW_10Y!$A$2:$A$2918),$A1085&gt;MAX(DKW_10Y!$A$2:$A$2918),Settings!$B$16&lt;MIN(DKW_10Y!$A$2:$A$2918)),NA(),(INDEX(DKW_10Y!$E$2:$E$2918,MATCH($A1085,DKW_10Y!$A$2:$A$2918,1))-INDEX(DKW_10Y!$E$2:$E$2918,MATCH(Settings!$B$16,DKW_10Y!$A$2:$A$2918,1)))*100))</f>
        <v/>
      </c>
      <c r="AB1085" s="19">
        <f>IF(NOT(ISNUMBER($A1085)),NA(),IF(OR($A1085&lt;MIN(DKW_10Y!$A$2:$A$2918),$A1085&gt;MAX(DKW_10Y!$A$2:$A$2918),Settings!$B$16&lt;MIN(DKW_10Y!$A$2:$A$2918)),NA(),(INDEX(DKW_10Y!$H$2:$H$2918,MATCH($A1085,DKW_10Y!$A$2:$A$2918,1))-INDEX(DKW_10Y!$H$2:$H$2918,MATCH(Settings!$B$16,DKW_10Y!$A$2:$A$2918,1)))*100))</f>
        <v/>
      </c>
      <c r="AC1085" s="18">
        <f>IF(NOT(ISNUMBER($A1085)),NA(),IFERROR(1*INDEX(BBG_Data!$N$2:$N$4000,MATCH($A1085,BBG_Data!$M$2:$M$4000,0)),NA()))</f>
        <v/>
      </c>
      <c r="AD1085" s="18">
        <f>IF(NOT(ISNUMBER($A1085)),NA(),IFERROR(1*INDEX(BBG_Data!$P$2:$P$4000,MATCH($A1085,BBG_Data!$O$2:$O$4000,0)),NA()))</f>
        <v/>
      </c>
      <c r="AE1085" s="18">
        <f>IF(NOT(ISNUMBER($A1085)),NA(),IFERROR(1*INDEX(BBG_Data!$R$2:$R$4000,MATCH($A1085,BBG_Data!$Q$2:$Q$4000,0)),NA()))</f>
        <v/>
      </c>
      <c r="AF1085" s="20">
        <f>IF(AND(ISNUMBER(B1085),ISNUMBER(AC1085)),(B1085-AC1085)*100,NA())</f>
        <v/>
      </c>
      <c r="AG1085" s="20">
        <f>IF(AND(ISNUMBER(AE1085),ISNUMBER(AD1085)),(AE1085-AD1085)*100,NA())</f>
        <v/>
      </c>
      <c r="AH1085" s="19">
        <f>IF(NOT(ISNUMBER($A1085)),NA(),IFERROR(INDEX(BBG_Data!$T$2:$T$4000,MATCH($A1085,BBG_Data!$S$2:$S$4000,0))*Settings!$B$25,NA()))</f>
        <v/>
      </c>
      <c r="AI1085" s="19">
        <f>IF(NOT(ISNUMBER($A1085)),NA(),IFERROR(INDEX(BBG_Data!$V$2:$V$4000,MATCH($A1085,BBG_Data!$U$2:$U$4000,0))*Settings!$B$25,NA()))</f>
        <v/>
      </c>
      <c r="AJ1085" s="19">
        <f>IF(NOT(ISNUMBER($A1085)),NA(),IFERROR(1*INDEX(BBG_Data!$X$2:$X$4000,MATCH($A1085,BBG_Data!$W$2:$W$4000,0)),NA()))</f>
        <v/>
      </c>
      <c r="AK1085" s="19">
        <f>IF(NOT(ISNUMBER($A1085)),NA(),IFERROR(1*INDEX(BBG_Data!$Z$2:$Z$4000,MATCH($A1085,BBG_Data!$Y$2:$Y$4000,0)),NA()))</f>
        <v/>
      </c>
    </row>
    <row r="1086">
      <c r="A1086" s="17">
        <f>IF(ISNUMBER(BBG_Data!A1086),BBG_Data!A1086,"")</f>
        <v/>
      </c>
      <c r="B1086" s="18">
        <f>IF(AND(ISNUMBER($A1086),ISNUMBER(BBG_Data!B1086)),BBG_Data!B1086,NA())</f>
        <v/>
      </c>
      <c r="C1086" s="18">
        <f>IF(NOT(ISNUMBER($A1086)),NA(),IFERROR(1*INDEX(BBG_Data!$D$2:$D$4000,MATCH($A1086,BBG_Data!$C$2:$C$4000,0)),NA()))</f>
        <v/>
      </c>
      <c r="D1086" s="19">
        <f>IF(NOT(ISNUMBER($A1086)),NA(),IFERROR(1*INDEX(BBG_Data!$F$2:$F$4000,MATCH($A1086,BBG_Data!$E$2:$E$4000,0)),NA()))</f>
        <v/>
      </c>
      <c r="E1086" s="19">
        <f>IF(NOT(ISNUMBER($A1086)),NA(),IFERROR(1*INDEX(BBG_Data!$H$2:$H$4000,MATCH($A1086,BBG_Data!$G$2:$G$4000,0)),NA()))</f>
        <v/>
      </c>
      <c r="F1086" s="20">
        <f>IF(AND(ISNUMBER(B1086),ISNUMBER(B1085)),IF(B1086=B1085,"",(B1086-B1085)*100),"")</f>
        <v/>
      </c>
      <c r="G1086" s="20">
        <f>IF(AND(ISNUMBER(C1086),ISNUMBER(C1085)),IF(C1086=C1085,"",(C1086-C1085)*100),"")</f>
        <v/>
      </c>
      <c r="H1086" s="20">
        <f>IF(OR(NOT(ISNUMBER($A1086)),ROW()-2&lt;Settings!$B$11),NA(),IF(COUNT(OFFSET(F1086,1-Settings!$B$11,0,Settings!$B$11,1))&lt;ROUNDUP(Settings!$B$11*Settings!$B$26,0),NA(),STDEV(OFFSET(F1086,1-Settings!$B$11,0,Settings!$B$11,1))*SQRT(Settings!$B$13)))</f>
        <v/>
      </c>
      <c r="I1086" s="20">
        <f>IF(OR(NOT(ISNUMBER($A1086)),ROW()-2&lt;Settings!$B$12),NA(),IF(COUNT(OFFSET(F1086,1-Settings!$B$12,0,Settings!$B$12,1))&lt;ROUNDUP(Settings!$B$12*Settings!$B$26,0),NA(),STDEV(OFFSET(F1086,1-Settings!$B$12,0,Settings!$B$12,1))*SQRT(Settings!$B$13)))</f>
        <v/>
      </c>
      <c r="J1086" s="20">
        <f>IF(OR(NOT(ISNUMBER($A1086)),ROW()-2&lt;Settings!$B$11),NA(),IF(COUNT(OFFSET(G1086,1-Settings!$B$11,0,Settings!$B$11,1))&lt;ROUNDUP(Settings!$B$11*Settings!$B$26,0),NA(),STDEV(OFFSET(G1086,1-Settings!$B$11,0,Settings!$B$11,1))*SQRT(Settings!$B$13)))</f>
        <v/>
      </c>
      <c r="K1086" s="20">
        <f>IF(OR(NOT(ISNUMBER($A1086)),ROW()-2&lt;Settings!$B$12),NA(),IF(COUNT(OFFSET(G1086,1-Settings!$B$12,0,Settings!$B$12,1))&lt;ROUNDUP(Settings!$B$12*Settings!$B$26,0),NA(),STDEV(OFFSET(G1086,1-Settings!$B$12,0,Settings!$B$12,1))*SQRT(Settings!$B$13)))</f>
        <v/>
      </c>
      <c r="L1086" s="20">
        <f>IF(AND(ISNUMBER(D1086),ISNUMBER(H1086)),D1086-H1086,NA())</f>
        <v/>
      </c>
      <c r="M1086" s="20">
        <f>IF(AND(ISNUMBER(E1086),ISNUMBER(K1086)),E1086-K1086,NA())</f>
        <v/>
      </c>
      <c r="N1086" s="20">
        <f>IF(NOT(ISNUMBER($A1086)),NA(),IF(COUNT(OFFSET(G1086,1,0,Settings!$B$12,1))&lt;ROUNDUP(Settings!$B$12*Settings!$B$26,0),NA(),STDEV(OFFSET(G1086,1,0,Settings!$B$12,1))*SQRT(Settings!$B$13)))</f>
        <v/>
      </c>
      <c r="O1086" s="20">
        <f>IF(AND(ISNUMBER(E1086),ISNUMBER(N1086)),E1086-N1086,NA())</f>
        <v/>
      </c>
      <c r="P1086" s="19">
        <f>IF(NOT(ISNUMBER($A1086)),NA(),IF(OR($A1086&lt;MIN(KW_TP!$A$2:$A$2501),$A1086&gt;MAX(KW_TP!$A$2:$A$2501)),NA(),INDEX(KW_TP!$C$2:$C$2501,MATCH($A1086,KW_TP!$A$2:$A$2501,1))))</f>
        <v/>
      </c>
      <c r="Q1086" s="18">
        <f>IF(NOT(ISNUMBER($A1086)),NA(),IFERROR(1*INDEX(BBG_Data!$J$2:$J$4000,MATCH($A1086,BBG_Data!$I$2:$I$4000,0)),NA()))</f>
        <v/>
      </c>
      <c r="R1086" s="18">
        <f>IF(NOT(ISNUMBER($A1086)),NA(),IFERROR(1*INDEX(BBG_Data!$L$2:$L$4000,MATCH($A1086,BBG_Data!$K$2:$K$4000,0)),NA()))</f>
        <v/>
      </c>
      <c r="S1086" s="20">
        <f>IF(AND(ISNUMBER(B1086),ISNUMBER(Q1086),ISNUMBER(R1086)),(B1086-Q1086-R1086)*100,NA())</f>
        <v/>
      </c>
      <c r="T1086" s="20">
        <f>IF(AND(ISNUMBER(B1086),Settings!$B$17&gt;0),IF(ISNUMBER(INDEX($B:$B,Settings!$B$17)),(B1086-INDEX($B:$B,Settings!$B$17))*100,NA()),NA())</f>
        <v/>
      </c>
      <c r="U1086" s="20">
        <f>IF(AND(ISNUMBER(Q1086),Settings!$B$17&gt;0),IF(ISNUMBER(INDEX($Q:$Q,Settings!$B$17)),(Q1086-INDEX($Q:$Q,Settings!$B$17))*100,NA()),NA())</f>
        <v/>
      </c>
      <c r="V1086" s="20">
        <f>IF(AND(ISNUMBER(R1086),Settings!$B$17&gt;0),IF(ISNUMBER(INDEX($R:$R,Settings!$B$17)),(R1086-INDEX($R:$R,Settings!$B$17))*100,NA()),NA())</f>
        <v/>
      </c>
      <c r="W1086" s="20">
        <f>IF(AND(ISNUMBER(P1086),Settings!$B$17&gt;0),IF(ISNUMBER(INDEX($P:$P,Settings!$B$17)),P1086-INDEX($P:$P,Settings!$B$17),NA()),NA())</f>
        <v/>
      </c>
      <c r="X1086" s="19">
        <f>IF(NOT(ISNUMBER($A1086)),NA(),IF(OR($A1086&lt;MIN(DKW_10Y!$A$2:$A$2918),$A1086&gt;MAX(DKW_10Y!$A$2:$A$2918),Settings!$B$16&lt;MIN(DKW_10Y!$A$2:$A$2918)),NA(),(INDEX(DKW_10Y!$B$2:$B$2918,MATCH($A1086,DKW_10Y!$A$2:$A$2918,1))-INDEX(DKW_10Y!$B$2:$B$2918,MATCH(Settings!$B$16,DKW_10Y!$A$2:$A$2918,1)))*100))</f>
        <v/>
      </c>
      <c r="Y1086" s="19">
        <f>IF(NOT(ISNUMBER($A1086)),NA(),IF(OR($A1086&lt;MIN(DKW_10Y!$A$2:$A$2918),$A1086&gt;MAX(DKW_10Y!$A$2:$A$2918),Settings!$B$16&lt;MIN(DKW_10Y!$A$2:$A$2918)),NA(),(INDEX(DKW_10Y!$C$2:$C$2918,MATCH($A1086,DKW_10Y!$A$2:$A$2918,1))-INDEX(DKW_10Y!$C$2:$C$2918,MATCH(Settings!$B$16,DKW_10Y!$A$2:$A$2918,1)))*100))</f>
        <v/>
      </c>
      <c r="Z1086" s="19">
        <f>IF(NOT(ISNUMBER($A1086)),NA(),IF(OR($A1086&lt;MIN(DKW_10Y!$A$2:$A$2918),$A1086&gt;MAX(DKW_10Y!$A$2:$A$2918),Settings!$B$16&lt;MIN(DKW_10Y!$A$2:$A$2918)),NA(),(INDEX(DKW_10Y!$D$2:$D$2918,MATCH($A1086,DKW_10Y!$A$2:$A$2918,1))-INDEX(DKW_10Y!$D$2:$D$2918,MATCH(Settings!$B$16,DKW_10Y!$A$2:$A$2918,1)))*100))</f>
        <v/>
      </c>
      <c r="AA1086" s="19">
        <f>IF(NOT(ISNUMBER($A1086)),NA(),IF(OR($A1086&lt;MIN(DKW_10Y!$A$2:$A$2918),$A1086&gt;MAX(DKW_10Y!$A$2:$A$2918),Settings!$B$16&lt;MIN(DKW_10Y!$A$2:$A$2918)),NA(),(INDEX(DKW_10Y!$E$2:$E$2918,MATCH($A1086,DKW_10Y!$A$2:$A$2918,1))-INDEX(DKW_10Y!$E$2:$E$2918,MATCH(Settings!$B$16,DKW_10Y!$A$2:$A$2918,1)))*100))</f>
        <v/>
      </c>
      <c r="AB1086" s="19">
        <f>IF(NOT(ISNUMBER($A1086)),NA(),IF(OR($A1086&lt;MIN(DKW_10Y!$A$2:$A$2918),$A1086&gt;MAX(DKW_10Y!$A$2:$A$2918),Settings!$B$16&lt;MIN(DKW_10Y!$A$2:$A$2918)),NA(),(INDEX(DKW_10Y!$H$2:$H$2918,MATCH($A1086,DKW_10Y!$A$2:$A$2918,1))-INDEX(DKW_10Y!$H$2:$H$2918,MATCH(Settings!$B$16,DKW_10Y!$A$2:$A$2918,1)))*100))</f>
        <v/>
      </c>
      <c r="AC1086" s="18">
        <f>IF(NOT(ISNUMBER($A1086)),NA(),IFERROR(1*INDEX(BBG_Data!$N$2:$N$4000,MATCH($A1086,BBG_Data!$M$2:$M$4000,0)),NA()))</f>
        <v/>
      </c>
      <c r="AD1086" s="18">
        <f>IF(NOT(ISNUMBER($A1086)),NA(),IFERROR(1*INDEX(BBG_Data!$P$2:$P$4000,MATCH($A1086,BBG_Data!$O$2:$O$4000,0)),NA()))</f>
        <v/>
      </c>
      <c r="AE1086" s="18">
        <f>IF(NOT(ISNUMBER($A1086)),NA(),IFERROR(1*INDEX(BBG_Data!$R$2:$R$4000,MATCH($A1086,BBG_Data!$Q$2:$Q$4000,0)),NA()))</f>
        <v/>
      </c>
      <c r="AF1086" s="20">
        <f>IF(AND(ISNUMBER(B1086),ISNUMBER(AC1086)),(B1086-AC1086)*100,NA())</f>
        <v/>
      </c>
      <c r="AG1086" s="20">
        <f>IF(AND(ISNUMBER(AE1086),ISNUMBER(AD1086)),(AE1086-AD1086)*100,NA())</f>
        <v/>
      </c>
      <c r="AH1086" s="19">
        <f>IF(NOT(ISNUMBER($A1086)),NA(),IFERROR(INDEX(BBG_Data!$T$2:$T$4000,MATCH($A1086,BBG_Data!$S$2:$S$4000,0))*Settings!$B$25,NA()))</f>
        <v/>
      </c>
      <c r="AI1086" s="19">
        <f>IF(NOT(ISNUMBER($A1086)),NA(),IFERROR(INDEX(BBG_Data!$V$2:$V$4000,MATCH($A1086,BBG_Data!$U$2:$U$4000,0))*Settings!$B$25,NA()))</f>
        <v/>
      </c>
      <c r="AJ1086" s="19">
        <f>IF(NOT(ISNUMBER($A1086)),NA(),IFERROR(1*INDEX(BBG_Data!$X$2:$X$4000,MATCH($A1086,BBG_Data!$W$2:$W$4000,0)),NA()))</f>
        <v/>
      </c>
      <c r="AK1086" s="19">
        <f>IF(NOT(ISNUMBER($A1086)),NA(),IFERROR(1*INDEX(BBG_Data!$Z$2:$Z$4000,MATCH($A1086,BBG_Data!$Y$2:$Y$4000,0)),NA()))</f>
        <v/>
      </c>
    </row>
    <row r="1087">
      <c r="A1087" s="17">
        <f>IF(ISNUMBER(BBG_Data!A1087),BBG_Data!A1087,"")</f>
        <v/>
      </c>
      <c r="B1087" s="18">
        <f>IF(AND(ISNUMBER($A1087),ISNUMBER(BBG_Data!B1087)),BBG_Data!B1087,NA())</f>
        <v/>
      </c>
      <c r="C1087" s="18">
        <f>IF(NOT(ISNUMBER($A1087)),NA(),IFERROR(1*INDEX(BBG_Data!$D$2:$D$4000,MATCH($A1087,BBG_Data!$C$2:$C$4000,0)),NA()))</f>
        <v/>
      </c>
      <c r="D1087" s="19">
        <f>IF(NOT(ISNUMBER($A1087)),NA(),IFERROR(1*INDEX(BBG_Data!$F$2:$F$4000,MATCH($A1087,BBG_Data!$E$2:$E$4000,0)),NA()))</f>
        <v/>
      </c>
      <c r="E1087" s="19">
        <f>IF(NOT(ISNUMBER($A1087)),NA(),IFERROR(1*INDEX(BBG_Data!$H$2:$H$4000,MATCH($A1087,BBG_Data!$G$2:$G$4000,0)),NA()))</f>
        <v/>
      </c>
      <c r="F1087" s="20">
        <f>IF(AND(ISNUMBER(B1087),ISNUMBER(B1086)),IF(B1087=B1086,"",(B1087-B1086)*100),"")</f>
        <v/>
      </c>
      <c r="G1087" s="20">
        <f>IF(AND(ISNUMBER(C1087),ISNUMBER(C1086)),IF(C1087=C1086,"",(C1087-C1086)*100),"")</f>
        <v/>
      </c>
      <c r="H1087" s="20">
        <f>IF(OR(NOT(ISNUMBER($A1087)),ROW()-2&lt;Settings!$B$11),NA(),IF(COUNT(OFFSET(F1087,1-Settings!$B$11,0,Settings!$B$11,1))&lt;ROUNDUP(Settings!$B$11*Settings!$B$26,0),NA(),STDEV(OFFSET(F1087,1-Settings!$B$11,0,Settings!$B$11,1))*SQRT(Settings!$B$13)))</f>
        <v/>
      </c>
      <c r="I1087" s="20">
        <f>IF(OR(NOT(ISNUMBER($A1087)),ROW()-2&lt;Settings!$B$12),NA(),IF(COUNT(OFFSET(F1087,1-Settings!$B$12,0,Settings!$B$12,1))&lt;ROUNDUP(Settings!$B$12*Settings!$B$26,0),NA(),STDEV(OFFSET(F1087,1-Settings!$B$12,0,Settings!$B$12,1))*SQRT(Settings!$B$13)))</f>
        <v/>
      </c>
      <c r="J1087" s="20">
        <f>IF(OR(NOT(ISNUMBER($A1087)),ROW()-2&lt;Settings!$B$11),NA(),IF(COUNT(OFFSET(G1087,1-Settings!$B$11,0,Settings!$B$11,1))&lt;ROUNDUP(Settings!$B$11*Settings!$B$26,0),NA(),STDEV(OFFSET(G1087,1-Settings!$B$11,0,Settings!$B$11,1))*SQRT(Settings!$B$13)))</f>
        <v/>
      </c>
      <c r="K1087" s="20">
        <f>IF(OR(NOT(ISNUMBER($A1087)),ROW()-2&lt;Settings!$B$12),NA(),IF(COUNT(OFFSET(G1087,1-Settings!$B$12,0,Settings!$B$12,1))&lt;ROUNDUP(Settings!$B$12*Settings!$B$26,0),NA(),STDEV(OFFSET(G1087,1-Settings!$B$12,0,Settings!$B$12,1))*SQRT(Settings!$B$13)))</f>
        <v/>
      </c>
      <c r="L1087" s="20">
        <f>IF(AND(ISNUMBER(D1087),ISNUMBER(H1087)),D1087-H1087,NA())</f>
        <v/>
      </c>
      <c r="M1087" s="20">
        <f>IF(AND(ISNUMBER(E1087),ISNUMBER(K1087)),E1087-K1087,NA())</f>
        <v/>
      </c>
      <c r="N1087" s="20">
        <f>IF(NOT(ISNUMBER($A1087)),NA(),IF(COUNT(OFFSET(G1087,1,0,Settings!$B$12,1))&lt;ROUNDUP(Settings!$B$12*Settings!$B$26,0),NA(),STDEV(OFFSET(G1087,1,0,Settings!$B$12,1))*SQRT(Settings!$B$13)))</f>
        <v/>
      </c>
      <c r="O1087" s="20">
        <f>IF(AND(ISNUMBER(E1087),ISNUMBER(N1087)),E1087-N1087,NA())</f>
        <v/>
      </c>
      <c r="P1087" s="19">
        <f>IF(NOT(ISNUMBER($A1087)),NA(),IF(OR($A1087&lt;MIN(KW_TP!$A$2:$A$2501),$A1087&gt;MAX(KW_TP!$A$2:$A$2501)),NA(),INDEX(KW_TP!$C$2:$C$2501,MATCH($A1087,KW_TP!$A$2:$A$2501,1))))</f>
        <v/>
      </c>
      <c r="Q1087" s="18">
        <f>IF(NOT(ISNUMBER($A1087)),NA(),IFERROR(1*INDEX(BBG_Data!$J$2:$J$4000,MATCH($A1087,BBG_Data!$I$2:$I$4000,0)),NA()))</f>
        <v/>
      </c>
      <c r="R1087" s="18">
        <f>IF(NOT(ISNUMBER($A1087)),NA(),IFERROR(1*INDEX(BBG_Data!$L$2:$L$4000,MATCH($A1087,BBG_Data!$K$2:$K$4000,0)),NA()))</f>
        <v/>
      </c>
      <c r="S1087" s="20">
        <f>IF(AND(ISNUMBER(B1087),ISNUMBER(Q1087),ISNUMBER(R1087)),(B1087-Q1087-R1087)*100,NA())</f>
        <v/>
      </c>
      <c r="T1087" s="20">
        <f>IF(AND(ISNUMBER(B1087),Settings!$B$17&gt;0),IF(ISNUMBER(INDEX($B:$B,Settings!$B$17)),(B1087-INDEX($B:$B,Settings!$B$17))*100,NA()),NA())</f>
        <v/>
      </c>
      <c r="U1087" s="20">
        <f>IF(AND(ISNUMBER(Q1087),Settings!$B$17&gt;0),IF(ISNUMBER(INDEX($Q:$Q,Settings!$B$17)),(Q1087-INDEX($Q:$Q,Settings!$B$17))*100,NA()),NA())</f>
        <v/>
      </c>
      <c r="V1087" s="20">
        <f>IF(AND(ISNUMBER(R1087),Settings!$B$17&gt;0),IF(ISNUMBER(INDEX($R:$R,Settings!$B$17)),(R1087-INDEX($R:$R,Settings!$B$17))*100,NA()),NA())</f>
        <v/>
      </c>
      <c r="W1087" s="20">
        <f>IF(AND(ISNUMBER(P1087),Settings!$B$17&gt;0),IF(ISNUMBER(INDEX($P:$P,Settings!$B$17)),P1087-INDEX($P:$P,Settings!$B$17),NA()),NA())</f>
        <v/>
      </c>
      <c r="X1087" s="19">
        <f>IF(NOT(ISNUMBER($A1087)),NA(),IF(OR($A1087&lt;MIN(DKW_10Y!$A$2:$A$2918),$A1087&gt;MAX(DKW_10Y!$A$2:$A$2918),Settings!$B$16&lt;MIN(DKW_10Y!$A$2:$A$2918)),NA(),(INDEX(DKW_10Y!$B$2:$B$2918,MATCH($A1087,DKW_10Y!$A$2:$A$2918,1))-INDEX(DKW_10Y!$B$2:$B$2918,MATCH(Settings!$B$16,DKW_10Y!$A$2:$A$2918,1)))*100))</f>
        <v/>
      </c>
      <c r="Y1087" s="19">
        <f>IF(NOT(ISNUMBER($A1087)),NA(),IF(OR($A1087&lt;MIN(DKW_10Y!$A$2:$A$2918),$A1087&gt;MAX(DKW_10Y!$A$2:$A$2918),Settings!$B$16&lt;MIN(DKW_10Y!$A$2:$A$2918)),NA(),(INDEX(DKW_10Y!$C$2:$C$2918,MATCH($A1087,DKW_10Y!$A$2:$A$2918,1))-INDEX(DKW_10Y!$C$2:$C$2918,MATCH(Settings!$B$16,DKW_10Y!$A$2:$A$2918,1)))*100))</f>
        <v/>
      </c>
      <c r="Z1087" s="19">
        <f>IF(NOT(ISNUMBER($A1087)),NA(),IF(OR($A1087&lt;MIN(DKW_10Y!$A$2:$A$2918),$A1087&gt;MAX(DKW_10Y!$A$2:$A$2918),Settings!$B$16&lt;MIN(DKW_10Y!$A$2:$A$2918)),NA(),(INDEX(DKW_10Y!$D$2:$D$2918,MATCH($A1087,DKW_10Y!$A$2:$A$2918,1))-INDEX(DKW_10Y!$D$2:$D$2918,MATCH(Settings!$B$16,DKW_10Y!$A$2:$A$2918,1)))*100))</f>
        <v/>
      </c>
      <c r="AA1087" s="19">
        <f>IF(NOT(ISNUMBER($A1087)),NA(),IF(OR($A1087&lt;MIN(DKW_10Y!$A$2:$A$2918),$A1087&gt;MAX(DKW_10Y!$A$2:$A$2918),Settings!$B$16&lt;MIN(DKW_10Y!$A$2:$A$2918)),NA(),(INDEX(DKW_10Y!$E$2:$E$2918,MATCH($A1087,DKW_10Y!$A$2:$A$2918,1))-INDEX(DKW_10Y!$E$2:$E$2918,MATCH(Settings!$B$16,DKW_10Y!$A$2:$A$2918,1)))*100))</f>
        <v/>
      </c>
      <c r="AB1087" s="19">
        <f>IF(NOT(ISNUMBER($A1087)),NA(),IF(OR($A1087&lt;MIN(DKW_10Y!$A$2:$A$2918),$A1087&gt;MAX(DKW_10Y!$A$2:$A$2918),Settings!$B$16&lt;MIN(DKW_10Y!$A$2:$A$2918)),NA(),(INDEX(DKW_10Y!$H$2:$H$2918,MATCH($A1087,DKW_10Y!$A$2:$A$2918,1))-INDEX(DKW_10Y!$H$2:$H$2918,MATCH(Settings!$B$16,DKW_10Y!$A$2:$A$2918,1)))*100))</f>
        <v/>
      </c>
      <c r="AC1087" s="18">
        <f>IF(NOT(ISNUMBER($A1087)),NA(),IFERROR(1*INDEX(BBG_Data!$N$2:$N$4000,MATCH($A1087,BBG_Data!$M$2:$M$4000,0)),NA()))</f>
        <v/>
      </c>
      <c r="AD1087" s="18">
        <f>IF(NOT(ISNUMBER($A1087)),NA(),IFERROR(1*INDEX(BBG_Data!$P$2:$P$4000,MATCH($A1087,BBG_Data!$O$2:$O$4000,0)),NA()))</f>
        <v/>
      </c>
      <c r="AE1087" s="18">
        <f>IF(NOT(ISNUMBER($A1087)),NA(),IFERROR(1*INDEX(BBG_Data!$R$2:$R$4000,MATCH($A1087,BBG_Data!$Q$2:$Q$4000,0)),NA()))</f>
        <v/>
      </c>
      <c r="AF1087" s="20">
        <f>IF(AND(ISNUMBER(B1087),ISNUMBER(AC1087)),(B1087-AC1087)*100,NA())</f>
        <v/>
      </c>
      <c r="AG1087" s="20">
        <f>IF(AND(ISNUMBER(AE1087),ISNUMBER(AD1087)),(AE1087-AD1087)*100,NA())</f>
        <v/>
      </c>
      <c r="AH1087" s="19">
        <f>IF(NOT(ISNUMBER($A1087)),NA(),IFERROR(INDEX(BBG_Data!$T$2:$T$4000,MATCH($A1087,BBG_Data!$S$2:$S$4000,0))*Settings!$B$25,NA()))</f>
        <v/>
      </c>
      <c r="AI1087" s="19">
        <f>IF(NOT(ISNUMBER($A1087)),NA(),IFERROR(INDEX(BBG_Data!$V$2:$V$4000,MATCH($A1087,BBG_Data!$U$2:$U$4000,0))*Settings!$B$25,NA()))</f>
        <v/>
      </c>
      <c r="AJ1087" s="19">
        <f>IF(NOT(ISNUMBER($A1087)),NA(),IFERROR(1*INDEX(BBG_Data!$X$2:$X$4000,MATCH($A1087,BBG_Data!$W$2:$W$4000,0)),NA()))</f>
        <v/>
      </c>
      <c r="AK1087" s="19">
        <f>IF(NOT(ISNUMBER($A1087)),NA(),IFERROR(1*INDEX(BBG_Data!$Z$2:$Z$4000,MATCH($A1087,BBG_Data!$Y$2:$Y$4000,0)),NA()))</f>
        <v/>
      </c>
    </row>
    <row r="1088">
      <c r="A1088" s="17">
        <f>IF(ISNUMBER(BBG_Data!A1088),BBG_Data!A1088,"")</f>
        <v/>
      </c>
      <c r="B1088" s="18">
        <f>IF(AND(ISNUMBER($A1088),ISNUMBER(BBG_Data!B1088)),BBG_Data!B1088,NA())</f>
        <v/>
      </c>
      <c r="C1088" s="18">
        <f>IF(NOT(ISNUMBER($A1088)),NA(),IFERROR(1*INDEX(BBG_Data!$D$2:$D$4000,MATCH($A1088,BBG_Data!$C$2:$C$4000,0)),NA()))</f>
        <v/>
      </c>
      <c r="D1088" s="19">
        <f>IF(NOT(ISNUMBER($A1088)),NA(),IFERROR(1*INDEX(BBG_Data!$F$2:$F$4000,MATCH($A1088,BBG_Data!$E$2:$E$4000,0)),NA()))</f>
        <v/>
      </c>
      <c r="E1088" s="19">
        <f>IF(NOT(ISNUMBER($A1088)),NA(),IFERROR(1*INDEX(BBG_Data!$H$2:$H$4000,MATCH($A1088,BBG_Data!$G$2:$G$4000,0)),NA()))</f>
        <v/>
      </c>
      <c r="F1088" s="20">
        <f>IF(AND(ISNUMBER(B1088),ISNUMBER(B1087)),IF(B1088=B1087,"",(B1088-B1087)*100),"")</f>
        <v/>
      </c>
      <c r="G1088" s="20">
        <f>IF(AND(ISNUMBER(C1088),ISNUMBER(C1087)),IF(C1088=C1087,"",(C1088-C1087)*100),"")</f>
        <v/>
      </c>
      <c r="H1088" s="20">
        <f>IF(OR(NOT(ISNUMBER($A1088)),ROW()-2&lt;Settings!$B$11),NA(),IF(COUNT(OFFSET(F1088,1-Settings!$B$11,0,Settings!$B$11,1))&lt;ROUNDUP(Settings!$B$11*Settings!$B$26,0),NA(),STDEV(OFFSET(F1088,1-Settings!$B$11,0,Settings!$B$11,1))*SQRT(Settings!$B$13)))</f>
        <v/>
      </c>
      <c r="I1088" s="20">
        <f>IF(OR(NOT(ISNUMBER($A1088)),ROW()-2&lt;Settings!$B$12),NA(),IF(COUNT(OFFSET(F1088,1-Settings!$B$12,0,Settings!$B$12,1))&lt;ROUNDUP(Settings!$B$12*Settings!$B$26,0),NA(),STDEV(OFFSET(F1088,1-Settings!$B$12,0,Settings!$B$12,1))*SQRT(Settings!$B$13)))</f>
        <v/>
      </c>
      <c r="J1088" s="20">
        <f>IF(OR(NOT(ISNUMBER($A1088)),ROW()-2&lt;Settings!$B$11),NA(),IF(COUNT(OFFSET(G1088,1-Settings!$B$11,0,Settings!$B$11,1))&lt;ROUNDUP(Settings!$B$11*Settings!$B$26,0),NA(),STDEV(OFFSET(G1088,1-Settings!$B$11,0,Settings!$B$11,1))*SQRT(Settings!$B$13)))</f>
        <v/>
      </c>
      <c r="K1088" s="20">
        <f>IF(OR(NOT(ISNUMBER($A1088)),ROW()-2&lt;Settings!$B$12),NA(),IF(COUNT(OFFSET(G1088,1-Settings!$B$12,0,Settings!$B$12,1))&lt;ROUNDUP(Settings!$B$12*Settings!$B$26,0),NA(),STDEV(OFFSET(G1088,1-Settings!$B$12,0,Settings!$B$12,1))*SQRT(Settings!$B$13)))</f>
        <v/>
      </c>
      <c r="L1088" s="20">
        <f>IF(AND(ISNUMBER(D1088),ISNUMBER(H1088)),D1088-H1088,NA())</f>
        <v/>
      </c>
      <c r="M1088" s="20">
        <f>IF(AND(ISNUMBER(E1088),ISNUMBER(K1088)),E1088-K1088,NA())</f>
        <v/>
      </c>
      <c r="N1088" s="20">
        <f>IF(NOT(ISNUMBER($A1088)),NA(),IF(COUNT(OFFSET(G1088,1,0,Settings!$B$12,1))&lt;ROUNDUP(Settings!$B$12*Settings!$B$26,0),NA(),STDEV(OFFSET(G1088,1,0,Settings!$B$12,1))*SQRT(Settings!$B$13)))</f>
        <v/>
      </c>
      <c r="O1088" s="20">
        <f>IF(AND(ISNUMBER(E1088),ISNUMBER(N1088)),E1088-N1088,NA())</f>
        <v/>
      </c>
      <c r="P1088" s="19">
        <f>IF(NOT(ISNUMBER($A1088)),NA(),IF(OR($A1088&lt;MIN(KW_TP!$A$2:$A$2501),$A1088&gt;MAX(KW_TP!$A$2:$A$2501)),NA(),INDEX(KW_TP!$C$2:$C$2501,MATCH($A1088,KW_TP!$A$2:$A$2501,1))))</f>
        <v/>
      </c>
      <c r="Q1088" s="18">
        <f>IF(NOT(ISNUMBER($A1088)),NA(),IFERROR(1*INDEX(BBG_Data!$J$2:$J$4000,MATCH($A1088,BBG_Data!$I$2:$I$4000,0)),NA()))</f>
        <v/>
      </c>
      <c r="R1088" s="18">
        <f>IF(NOT(ISNUMBER($A1088)),NA(),IFERROR(1*INDEX(BBG_Data!$L$2:$L$4000,MATCH($A1088,BBG_Data!$K$2:$K$4000,0)),NA()))</f>
        <v/>
      </c>
      <c r="S1088" s="20">
        <f>IF(AND(ISNUMBER(B1088),ISNUMBER(Q1088),ISNUMBER(R1088)),(B1088-Q1088-R1088)*100,NA())</f>
        <v/>
      </c>
      <c r="T1088" s="20">
        <f>IF(AND(ISNUMBER(B1088),Settings!$B$17&gt;0),IF(ISNUMBER(INDEX($B:$B,Settings!$B$17)),(B1088-INDEX($B:$B,Settings!$B$17))*100,NA()),NA())</f>
        <v/>
      </c>
      <c r="U1088" s="20">
        <f>IF(AND(ISNUMBER(Q1088),Settings!$B$17&gt;0),IF(ISNUMBER(INDEX($Q:$Q,Settings!$B$17)),(Q1088-INDEX($Q:$Q,Settings!$B$17))*100,NA()),NA())</f>
        <v/>
      </c>
      <c r="V1088" s="20">
        <f>IF(AND(ISNUMBER(R1088),Settings!$B$17&gt;0),IF(ISNUMBER(INDEX($R:$R,Settings!$B$17)),(R1088-INDEX($R:$R,Settings!$B$17))*100,NA()),NA())</f>
        <v/>
      </c>
      <c r="W1088" s="20">
        <f>IF(AND(ISNUMBER(P1088),Settings!$B$17&gt;0),IF(ISNUMBER(INDEX($P:$P,Settings!$B$17)),P1088-INDEX($P:$P,Settings!$B$17),NA()),NA())</f>
        <v/>
      </c>
      <c r="X1088" s="19">
        <f>IF(NOT(ISNUMBER($A1088)),NA(),IF(OR($A1088&lt;MIN(DKW_10Y!$A$2:$A$2918),$A1088&gt;MAX(DKW_10Y!$A$2:$A$2918),Settings!$B$16&lt;MIN(DKW_10Y!$A$2:$A$2918)),NA(),(INDEX(DKW_10Y!$B$2:$B$2918,MATCH($A1088,DKW_10Y!$A$2:$A$2918,1))-INDEX(DKW_10Y!$B$2:$B$2918,MATCH(Settings!$B$16,DKW_10Y!$A$2:$A$2918,1)))*100))</f>
        <v/>
      </c>
      <c r="Y1088" s="19">
        <f>IF(NOT(ISNUMBER($A1088)),NA(),IF(OR($A1088&lt;MIN(DKW_10Y!$A$2:$A$2918),$A1088&gt;MAX(DKW_10Y!$A$2:$A$2918),Settings!$B$16&lt;MIN(DKW_10Y!$A$2:$A$2918)),NA(),(INDEX(DKW_10Y!$C$2:$C$2918,MATCH($A1088,DKW_10Y!$A$2:$A$2918,1))-INDEX(DKW_10Y!$C$2:$C$2918,MATCH(Settings!$B$16,DKW_10Y!$A$2:$A$2918,1)))*100))</f>
        <v/>
      </c>
      <c r="Z1088" s="19">
        <f>IF(NOT(ISNUMBER($A1088)),NA(),IF(OR($A1088&lt;MIN(DKW_10Y!$A$2:$A$2918),$A1088&gt;MAX(DKW_10Y!$A$2:$A$2918),Settings!$B$16&lt;MIN(DKW_10Y!$A$2:$A$2918)),NA(),(INDEX(DKW_10Y!$D$2:$D$2918,MATCH($A1088,DKW_10Y!$A$2:$A$2918,1))-INDEX(DKW_10Y!$D$2:$D$2918,MATCH(Settings!$B$16,DKW_10Y!$A$2:$A$2918,1)))*100))</f>
        <v/>
      </c>
      <c r="AA1088" s="19">
        <f>IF(NOT(ISNUMBER($A1088)),NA(),IF(OR($A1088&lt;MIN(DKW_10Y!$A$2:$A$2918),$A1088&gt;MAX(DKW_10Y!$A$2:$A$2918),Settings!$B$16&lt;MIN(DKW_10Y!$A$2:$A$2918)),NA(),(INDEX(DKW_10Y!$E$2:$E$2918,MATCH($A1088,DKW_10Y!$A$2:$A$2918,1))-INDEX(DKW_10Y!$E$2:$E$2918,MATCH(Settings!$B$16,DKW_10Y!$A$2:$A$2918,1)))*100))</f>
        <v/>
      </c>
      <c r="AB1088" s="19">
        <f>IF(NOT(ISNUMBER($A1088)),NA(),IF(OR($A1088&lt;MIN(DKW_10Y!$A$2:$A$2918),$A1088&gt;MAX(DKW_10Y!$A$2:$A$2918),Settings!$B$16&lt;MIN(DKW_10Y!$A$2:$A$2918)),NA(),(INDEX(DKW_10Y!$H$2:$H$2918,MATCH($A1088,DKW_10Y!$A$2:$A$2918,1))-INDEX(DKW_10Y!$H$2:$H$2918,MATCH(Settings!$B$16,DKW_10Y!$A$2:$A$2918,1)))*100))</f>
        <v/>
      </c>
      <c r="AC1088" s="18">
        <f>IF(NOT(ISNUMBER($A1088)),NA(),IFERROR(1*INDEX(BBG_Data!$N$2:$N$4000,MATCH($A1088,BBG_Data!$M$2:$M$4000,0)),NA()))</f>
        <v/>
      </c>
      <c r="AD1088" s="18">
        <f>IF(NOT(ISNUMBER($A1088)),NA(),IFERROR(1*INDEX(BBG_Data!$P$2:$P$4000,MATCH($A1088,BBG_Data!$O$2:$O$4000,0)),NA()))</f>
        <v/>
      </c>
      <c r="AE1088" s="18">
        <f>IF(NOT(ISNUMBER($A1088)),NA(),IFERROR(1*INDEX(BBG_Data!$R$2:$R$4000,MATCH($A1088,BBG_Data!$Q$2:$Q$4000,0)),NA()))</f>
        <v/>
      </c>
      <c r="AF1088" s="20">
        <f>IF(AND(ISNUMBER(B1088),ISNUMBER(AC1088)),(B1088-AC1088)*100,NA())</f>
        <v/>
      </c>
      <c r="AG1088" s="20">
        <f>IF(AND(ISNUMBER(AE1088),ISNUMBER(AD1088)),(AE1088-AD1088)*100,NA())</f>
        <v/>
      </c>
      <c r="AH1088" s="19">
        <f>IF(NOT(ISNUMBER($A1088)),NA(),IFERROR(INDEX(BBG_Data!$T$2:$T$4000,MATCH($A1088,BBG_Data!$S$2:$S$4000,0))*Settings!$B$25,NA()))</f>
        <v/>
      </c>
      <c r="AI1088" s="19">
        <f>IF(NOT(ISNUMBER($A1088)),NA(),IFERROR(INDEX(BBG_Data!$V$2:$V$4000,MATCH($A1088,BBG_Data!$U$2:$U$4000,0))*Settings!$B$25,NA()))</f>
        <v/>
      </c>
      <c r="AJ1088" s="19">
        <f>IF(NOT(ISNUMBER($A1088)),NA(),IFERROR(1*INDEX(BBG_Data!$X$2:$X$4000,MATCH($A1088,BBG_Data!$W$2:$W$4000,0)),NA()))</f>
        <v/>
      </c>
      <c r="AK1088" s="19">
        <f>IF(NOT(ISNUMBER($A1088)),NA(),IFERROR(1*INDEX(BBG_Data!$Z$2:$Z$4000,MATCH($A1088,BBG_Data!$Y$2:$Y$4000,0)),NA()))</f>
        <v/>
      </c>
    </row>
    <row r="1089">
      <c r="A1089" s="17">
        <f>IF(ISNUMBER(BBG_Data!A1089),BBG_Data!A1089,"")</f>
        <v/>
      </c>
      <c r="B1089" s="18">
        <f>IF(AND(ISNUMBER($A1089),ISNUMBER(BBG_Data!B1089)),BBG_Data!B1089,NA())</f>
        <v/>
      </c>
      <c r="C1089" s="18">
        <f>IF(NOT(ISNUMBER($A1089)),NA(),IFERROR(1*INDEX(BBG_Data!$D$2:$D$4000,MATCH($A1089,BBG_Data!$C$2:$C$4000,0)),NA()))</f>
        <v/>
      </c>
      <c r="D1089" s="19">
        <f>IF(NOT(ISNUMBER($A1089)),NA(),IFERROR(1*INDEX(BBG_Data!$F$2:$F$4000,MATCH($A1089,BBG_Data!$E$2:$E$4000,0)),NA()))</f>
        <v/>
      </c>
      <c r="E1089" s="19">
        <f>IF(NOT(ISNUMBER($A1089)),NA(),IFERROR(1*INDEX(BBG_Data!$H$2:$H$4000,MATCH($A1089,BBG_Data!$G$2:$G$4000,0)),NA()))</f>
        <v/>
      </c>
      <c r="F1089" s="20">
        <f>IF(AND(ISNUMBER(B1089),ISNUMBER(B1088)),IF(B1089=B1088,"",(B1089-B1088)*100),"")</f>
        <v/>
      </c>
      <c r="G1089" s="20">
        <f>IF(AND(ISNUMBER(C1089),ISNUMBER(C1088)),IF(C1089=C1088,"",(C1089-C1088)*100),"")</f>
        <v/>
      </c>
      <c r="H1089" s="20">
        <f>IF(OR(NOT(ISNUMBER($A1089)),ROW()-2&lt;Settings!$B$11),NA(),IF(COUNT(OFFSET(F1089,1-Settings!$B$11,0,Settings!$B$11,1))&lt;ROUNDUP(Settings!$B$11*Settings!$B$26,0),NA(),STDEV(OFFSET(F1089,1-Settings!$B$11,0,Settings!$B$11,1))*SQRT(Settings!$B$13)))</f>
        <v/>
      </c>
      <c r="I1089" s="20">
        <f>IF(OR(NOT(ISNUMBER($A1089)),ROW()-2&lt;Settings!$B$12),NA(),IF(COUNT(OFFSET(F1089,1-Settings!$B$12,0,Settings!$B$12,1))&lt;ROUNDUP(Settings!$B$12*Settings!$B$26,0),NA(),STDEV(OFFSET(F1089,1-Settings!$B$12,0,Settings!$B$12,1))*SQRT(Settings!$B$13)))</f>
        <v/>
      </c>
      <c r="J1089" s="20">
        <f>IF(OR(NOT(ISNUMBER($A1089)),ROW()-2&lt;Settings!$B$11),NA(),IF(COUNT(OFFSET(G1089,1-Settings!$B$11,0,Settings!$B$11,1))&lt;ROUNDUP(Settings!$B$11*Settings!$B$26,0),NA(),STDEV(OFFSET(G1089,1-Settings!$B$11,0,Settings!$B$11,1))*SQRT(Settings!$B$13)))</f>
        <v/>
      </c>
      <c r="K1089" s="20">
        <f>IF(OR(NOT(ISNUMBER($A1089)),ROW()-2&lt;Settings!$B$12),NA(),IF(COUNT(OFFSET(G1089,1-Settings!$B$12,0,Settings!$B$12,1))&lt;ROUNDUP(Settings!$B$12*Settings!$B$26,0),NA(),STDEV(OFFSET(G1089,1-Settings!$B$12,0,Settings!$B$12,1))*SQRT(Settings!$B$13)))</f>
        <v/>
      </c>
      <c r="L1089" s="20">
        <f>IF(AND(ISNUMBER(D1089),ISNUMBER(H1089)),D1089-H1089,NA())</f>
        <v/>
      </c>
      <c r="M1089" s="20">
        <f>IF(AND(ISNUMBER(E1089),ISNUMBER(K1089)),E1089-K1089,NA())</f>
        <v/>
      </c>
      <c r="N1089" s="20">
        <f>IF(NOT(ISNUMBER($A1089)),NA(),IF(COUNT(OFFSET(G1089,1,0,Settings!$B$12,1))&lt;ROUNDUP(Settings!$B$12*Settings!$B$26,0),NA(),STDEV(OFFSET(G1089,1,0,Settings!$B$12,1))*SQRT(Settings!$B$13)))</f>
        <v/>
      </c>
      <c r="O1089" s="20">
        <f>IF(AND(ISNUMBER(E1089),ISNUMBER(N1089)),E1089-N1089,NA())</f>
        <v/>
      </c>
      <c r="P1089" s="19">
        <f>IF(NOT(ISNUMBER($A1089)),NA(),IF(OR($A1089&lt;MIN(KW_TP!$A$2:$A$2501),$A1089&gt;MAX(KW_TP!$A$2:$A$2501)),NA(),INDEX(KW_TP!$C$2:$C$2501,MATCH($A1089,KW_TP!$A$2:$A$2501,1))))</f>
        <v/>
      </c>
      <c r="Q1089" s="18">
        <f>IF(NOT(ISNUMBER($A1089)),NA(),IFERROR(1*INDEX(BBG_Data!$J$2:$J$4000,MATCH($A1089,BBG_Data!$I$2:$I$4000,0)),NA()))</f>
        <v/>
      </c>
      <c r="R1089" s="18">
        <f>IF(NOT(ISNUMBER($A1089)),NA(),IFERROR(1*INDEX(BBG_Data!$L$2:$L$4000,MATCH($A1089,BBG_Data!$K$2:$K$4000,0)),NA()))</f>
        <v/>
      </c>
      <c r="S1089" s="20">
        <f>IF(AND(ISNUMBER(B1089),ISNUMBER(Q1089),ISNUMBER(R1089)),(B1089-Q1089-R1089)*100,NA())</f>
        <v/>
      </c>
      <c r="T1089" s="20">
        <f>IF(AND(ISNUMBER(B1089),Settings!$B$17&gt;0),IF(ISNUMBER(INDEX($B:$B,Settings!$B$17)),(B1089-INDEX($B:$B,Settings!$B$17))*100,NA()),NA())</f>
        <v/>
      </c>
      <c r="U1089" s="20">
        <f>IF(AND(ISNUMBER(Q1089),Settings!$B$17&gt;0),IF(ISNUMBER(INDEX($Q:$Q,Settings!$B$17)),(Q1089-INDEX($Q:$Q,Settings!$B$17))*100,NA()),NA())</f>
        <v/>
      </c>
      <c r="V1089" s="20">
        <f>IF(AND(ISNUMBER(R1089),Settings!$B$17&gt;0),IF(ISNUMBER(INDEX($R:$R,Settings!$B$17)),(R1089-INDEX($R:$R,Settings!$B$17))*100,NA()),NA())</f>
        <v/>
      </c>
      <c r="W1089" s="20">
        <f>IF(AND(ISNUMBER(P1089),Settings!$B$17&gt;0),IF(ISNUMBER(INDEX($P:$P,Settings!$B$17)),P1089-INDEX($P:$P,Settings!$B$17),NA()),NA())</f>
        <v/>
      </c>
      <c r="X1089" s="19">
        <f>IF(NOT(ISNUMBER($A1089)),NA(),IF(OR($A1089&lt;MIN(DKW_10Y!$A$2:$A$2918),$A1089&gt;MAX(DKW_10Y!$A$2:$A$2918),Settings!$B$16&lt;MIN(DKW_10Y!$A$2:$A$2918)),NA(),(INDEX(DKW_10Y!$B$2:$B$2918,MATCH($A1089,DKW_10Y!$A$2:$A$2918,1))-INDEX(DKW_10Y!$B$2:$B$2918,MATCH(Settings!$B$16,DKW_10Y!$A$2:$A$2918,1)))*100))</f>
        <v/>
      </c>
      <c r="Y1089" s="19">
        <f>IF(NOT(ISNUMBER($A1089)),NA(),IF(OR($A1089&lt;MIN(DKW_10Y!$A$2:$A$2918),$A1089&gt;MAX(DKW_10Y!$A$2:$A$2918),Settings!$B$16&lt;MIN(DKW_10Y!$A$2:$A$2918)),NA(),(INDEX(DKW_10Y!$C$2:$C$2918,MATCH($A1089,DKW_10Y!$A$2:$A$2918,1))-INDEX(DKW_10Y!$C$2:$C$2918,MATCH(Settings!$B$16,DKW_10Y!$A$2:$A$2918,1)))*100))</f>
        <v/>
      </c>
      <c r="Z1089" s="19">
        <f>IF(NOT(ISNUMBER($A1089)),NA(),IF(OR($A1089&lt;MIN(DKW_10Y!$A$2:$A$2918),$A1089&gt;MAX(DKW_10Y!$A$2:$A$2918),Settings!$B$16&lt;MIN(DKW_10Y!$A$2:$A$2918)),NA(),(INDEX(DKW_10Y!$D$2:$D$2918,MATCH($A1089,DKW_10Y!$A$2:$A$2918,1))-INDEX(DKW_10Y!$D$2:$D$2918,MATCH(Settings!$B$16,DKW_10Y!$A$2:$A$2918,1)))*100))</f>
        <v/>
      </c>
      <c r="AA1089" s="19">
        <f>IF(NOT(ISNUMBER($A1089)),NA(),IF(OR($A1089&lt;MIN(DKW_10Y!$A$2:$A$2918),$A1089&gt;MAX(DKW_10Y!$A$2:$A$2918),Settings!$B$16&lt;MIN(DKW_10Y!$A$2:$A$2918)),NA(),(INDEX(DKW_10Y!$E$2:$E$2918,MATCH($A1089,DKW_10Y!$A$2:$A$2918,1))-INDEX(DKW_10Y!$E$2:$E$2918,MATCH(Settings!$B$16,DKW_10Y!$A$2:$A$2918,1)))*100))</f>
        <v/>
      </c>
      <c r="AB1089" s="19">
        <f>IF(NOT(ISNUMBER($A1089)),NA(),IF(OR($A1089&lt;MIN(DKW_10Y!$A$2:$A$2918),$A1089&gt;MAX(DKW_10Y!$A$2:$A$2918),Settings!$B$16&lt;MIN(DKW_10Y!$A$2:$A$2918)),NA(),(INDEX(DKW_10Y!$H$2:$H$2918,MATCH($A1089,DKW_10Y!$A$2:$A$2918,1))-INDEX(DKW_10Y!$H$2:$H$2918,MATCH(Settings!$B$16,DKW_10Y!$A$2:$A$2918,1)))*100))</f>
        <v/>
      </c>
      <c r="AC1089" s="18">
        <f>IF(NOT(ISNUMBER($A1089)),NA(),IFERROR(1*INDEX(BBG_Data!$N$2:$N$4000,MATCH($A1089,BBG_Data!$M$2:$M$4000,0)),NA()))</f>
        <v/>
      </c>
      <c r="AD1089" s="18">
        <f>IF(NOT(ISNUMBER($A1089)),NA(),IFERROR(1*INDEX(BBG_Data!$P$2:$P$4000,MATCH($A1089,BBG_Data!$O$2:$O$4000,0)),NA()))</f>
        <v/>
      </c>
      <c r="AE1089" s="18">
        <f>IF(NOT(ISNUMBER($A1089)),NA(),IFERROR(1*INDEX(BBG_Data!$R$2:$R$4000,MATCH($A1089,BBG_Data!$Q$2:$Q$4000,0)),NA()))</f>
        <v/>
      </c>
      <c r="AF1089" s="20">
        <f>IF(AND(ISNUMBER(B1089),ISNUMBER(AC1089)),(B1089-AC1089)*100,NA())</f>
        <v/>
      </c>
      <c r="AG1089" s="20">
        <f>IF(AND(ISNUMBER(AE1089),ISNUMBER(AD1089)),(AE1089-AD1089)*100,NA())</f>
        <v/>
      </c>
      <c r="AH1089" s="19">
        <f>IF(NOT(ISNUMBER($A1089)),NA(),IFERROR(INDEX(BBG_Data!$T$2:$T$4000,MATCH($A1089,BBG_Data!$S$2:$S$4000,0))*Settings!$B$25,NA()))</f>
        <v/>
      </c>
      <c r="AI1089" s="19">
        <f>IF(NOT(ISNUMBER($A1089)),NA(),IFERROR(INDEX(BBG_Data!$V$2:$V$4000,MATCH($A1089,BBG_Data!$U$2:$U$4000,0))*Settings!$B$25,NA()))</f>
        <v/>
      </c>
      <c r="AJ1089" s="19">
        <f>IF(NOT(ISNUMBER($A1089)),NA(),IFERROR(1*INDEX(BBG_Data!$X$2:$X$4000,MATCH($A1089,BBG_Data!$W$2:$W$4000,0)),NA()))</f>
        <v/>
      </c>
      <c r="AK1089" s="19">
        <f>IF(NOT(ISNUMBER($A1089)),NA(),IFERROR(1*INDEX(BBG_Data!$Z$2:$Z$4000,MATCH($A1089,BBG_Data!$Y$2:$Y$4000,0)),NA()))</f>
        <v/>
      </c>
    </row>
    <row r="1090">
      <c r="A1090" s="17">
        <f>IF(ISNUMBER(BBG_Data!A1090),BBG_Data!A1090,"")</f>
        <v/>
      </c>
      <c r="B1090" s="18">
        <f>IF(AND(ISNUMBER($A1090),ISNUMBER(BBG_Data!B1090)),BBG_Data!B1090,NA())</f>
        <v/>
      </c>
      <c r="C1090" s="18">
        <f>IF(NOT(ISNUMBER($A1090)),NA(),IFERROR(1*INDEX(BBG_Data!$D$2:$D$4000,MATCH($A1090,BBG_Data!$C$2:$C$4000,0)),NA()))</f>
        <v/>
      </c>
      <c r="D1090" s="19">
        <f>IF(NOT(ISNUMBER($A1090)),NA(),IFERROR(1*INDEX(BBG_Data!$F$2:$F$4000,MATCH($A1090,BBG_Data!$E$2:$E$4000,0)),NA()))</f>
        <v/>
      </c>
      <c r="E1090" s="19">
        <f>IF(NOT(ISNUMBER($A1090)),NA(),IFERROR(1*INDEX(BBG_Data!$H$2:$H$4000,MATCH($A1090,BBG_Data!$G$2:$G$4000,0)),NA()))</f>
        <v/>
      </c>
      <c r="F1090" s="20">
        <f>IF(AND(ISNUMBER(B1090),ISNUMBER(B1089)),IF(B1090=B1089,"",(B1090-B1089)*100),"")</f>
        <v/>
      </c>
      <c r="G1090" s="20">
        <f>IF(AND(ISNUMBER(C1090),ISNUMBER(C1089)),IF(C1090=C1089,"",(C1090-C1089)*100),"")</f>
        <v/>
      </c>
      <c r="H1090" s="20">
        <f>IF(OR(NOT(ISNUMBER($A1090)),ROW()-2&lt;Settings!$B$11),NA(),IF(COUNT(OFFSET(F1090,1-Settings!$B$11,0,Settings!$B$11,1))&lt;ROUNDUP(Settings!$B$11*Settings!$B$26,0),NA(),STDEV(OFFSET(F1090,1-Settings!$B$11,0,Settings!$B$11,1))*SQRT(Settings!$B$13)))</f>
        <v/>
      </c>
      <c r="I1090" s="20">
        <f>IF(OR(NOT(ISNUMBER($A1090)),ROW()-2&lt;Settings!$B$12),NA(),IF(COUNT(OFFSET(F1090,1-Settings!$B$12,0,Settings!$B$12,1))&lt;ROUNDUP(Settings!$B$12*Settings!$B$26,0),NA(),STDEV(OFFSET(F1090,1-Settings!$B$12,0,Settings!$B$12,1))*SQRT(Settings!$B$13)))</f>
        <v/>
      </c>
      <c r="J1090" s="20">
        <f>IF(OR(NOT(ISNUMBER($A1090)),ROW()-2&lt;Settings!$B$11),NA(),IF(COUNT(OFFSET(G1090,1-Settings!$B$11,0,Settings!$B$11,1))&lt;ROUNDUP(Settings!$B$11*Settings!$B$26,0),NA(),STDEV(OFFSET(G1090,1-Settings!$B$11,0,Settings!$B$11,1))*SQRT(Settings!$B$13)))</f>
        <v/>
      </c>
      <c r="K1090" s="20">
        <f>IF(OR(NOT(ISNUMBER($A1090)),ROW()-2&lt;Settings!$B$12),NA(),IF(COUNT(OFFSET(G1090,1-Settings!$B$12,0,Settings!$B$12,1))&lt;ROUNDUP(Settings!$B$12*Settings!$B$26,0),NA(),STDEV(OFFSET(G1090,1-Settings!$B$12,0,Settings!$B$12,1))*SQRT(Settings!$B$13)))</f>
        <v/>
      </c>
      <c r="L1090" s="20">
        <f>IF(AND(ISNUMBER(D1090),ISNUMBER(H1090)),D1090-H1090,NA())</f>
        <v/>
      </c>
      <c r="M1090" s="20">
        <f>IF(AND(ISNUMBER(E1090),ISNUMBER(K1090)),E1090-K1090,NA())</f>
        <v/>
      </c>
      <c r="N1090" s="20">
        <f>IF(NOT(ISNUMBER($A1090)),NA(),IF(COUNT(OFFSET(G1090,1,0,Settings!$B$12,1))&lt;ROUNDUP(Settings!$B$12*Settings!$B$26,0),NA(),STDEV(OFFSET(G1090,1,0,Settings!$B$12,1))*SQRT(Settings!$B$13)))</f>
        <v/>
      </c>
      <c r="O1090" s="20">
        <f>IF(AND(ISNUMBER(E1090),ISNUMBER(N1090)),E1090-N1090,NA())</f>
        <v/>
      </c>
      <c r="P1090" s="19">
        <f>IF(NOT(ISNUMBER($A1090)),NA(),IF(OR($A1090&lt;MIN(KW_TP!$A$2:$A$2501),$A1090&gt;MAX(KW_TP!$A$2:$A$2501)),NA(),INDEX(KW_TP!$C$2:$C$2501,MATCH($A1090,KW_TP!$A$2:$A$2501,1))))</f>
        <v/>
      </c>
      <c r="Q1090" s="18">
        <f>IF(NOT(ISNUMBER($A1090)),NA(),IFERROR(1*INDEX(BBG_Data!$J$2:$J$4000,MATCH($A1090,BBG_Data!$I$2:$I$4000,0)),NA()))</f>
        <v/>
      </c>
      <c r="R1090" s="18">
        <f>IF(NOT(ISNUMBER($A1090)),NA(),IFERROR(1*INDEX(BBG_Data!$L$2:$L$4000,MATCH($A1090,BBG_Data!$K$2:$K$4000,0)),NA()))</f>
        <v/>
      </c>
      <c r="S1090" s="20">
        <f>IF(AND(ISNUMBER(B1090),ISNUMBER(Q1090),ISNUMBER(R1090)),(B1090-Q1090-R1090)*100,NA())</f>
        <v/>
      </c>
      <c r="T1090" s="20">
        <f>IF(AND(ISNUMBER(B1090),Settings!$B$17&gt;0),IF(ISNUMBER(INDEX($B:$B,Settings!$B$17)),(B1090-INDEX($B:$B,Settings!$B$17))*100,NA()),NA())</f>
        <v/>
      </c>
      <c r="U1090" s="20">
        <f>IF(AND(ISNUMBER(Q1090),Settings!$B$17&gt;0),IF(ISNUMBER(INDEX($Q:$Q,Settings!$B$17)),(Q1090-INDEX($Q:$Q,Settings!$B$17))*100,NA()),NA())</f>
        <v/>
      </c>
      <c r="V1090" s="20">
        <f>IF(AND(ISNUMBER(R1090),Settings!$B$17&gt;0),IF(ISNUMBER(INDEX($R:$R,Settings!$B$17)),(R1090-INDEX($R:$R,Settings!$B$17))*100,NA()),NA())</f>
        <v/>
      </c>
      <c r="W1090" s="20">
        <f>IF(AND(ISNUMBER(P1090),Settings!$B$17&gt;0),IF(ISNUMBER(INDEX($P:$P,Settings!$B$17)),P1090-INDEX($P:$P,Settings!$B$17),NA()),NA())</f>
        <v/>
      </c>
      <c r="X1090" s="19">
        <f>IF(NOT(ISNUMBER($A1090)),NA(),IF(OR($A1090&lt;MIN(DKW_10Y!$A$2:$A$2918),$A1090&gt;MAX(DKW_10Y!$A$2:$A$2918),Settings!$B$16&lt;MIN(DKW_10Y!$A$2:$A$2918)),NA(),(INDEX(DKW_10Y!$B$2:$B$2918,MATCH($A1090,DKW_10Y!$A$2:$A$2918,1))-INDEX(DKW_10Y!$B$2:$B$2918,MATCH(Settings!$B$16,DKW_10Y!$A$2:$A$2918,1)))*100))</f>
        <v/>
      </c>
      <c r="Y1090" s="19">
        <f>IF(NOT(ISNUMBER($A1090)),NA(),IF(OR($A1090&lt;MIN(DKW_10Y!$A$2:$A$2918),$A1090&gt;MAX(DKW_10Y!$A$2:$A$2918),Settings!$B$16&lt;MIN(DKW_10Y!$A$2:$A$2918)),NA(),(INDEX(DKW_10Y!$C$2:$C$2918,MATCH($A1090,DKW_10Y!$A$2:$A$2918,1))-INDEX(DKW_10Y!$C$2:$C$2918,MATCH(Settings!$B$16,DKW_10Y!$A$2:$A$2918,1)))*100))</f>
        <v/>
      </c>
      <c r="Z1090" s="19">
        <f>IF(NOT(ISNUMBER($A1090)),NA(),IF(OR($A1090&lt;MIN(DKW_10Y!$A$2:$A$2918),$A1090&gt;MAX(DKW_10Y!$A$2:$A$2918),Settings!$B$16&lt;MIN(DKW_10Y!$A$2:$A$2918)),NA(),(INDEX(DKW_10Y!$D$2:$D$2918,MATCH($A1090,DKW_10Y!$A$2:$A$2918,1))-INDEX(DKW_10Y!$D$2:$D$2918,MATCH(Settings!$B$16,DKW_10Y!$A$2:$A$2918,1)))*100))</f>
        <v/>
      </c>
      <c r="AA1090" s="19">
        <f>IF(NOT(ISNUMBER($A1090)),NA(),IF(OR($A1090&lt;MIN(DKW_10Y!$A$2:$A$2918),$A1090&gt;MAX(DKW_10Y!$A$2:$A$2918),Settings!$B$16&lt;MIN(DKW_10Y!$A$2:$A$2918)),NA(),(INDEX(DKW_10Y!$E$2:$E$2918,MATCH($A1090,DKW_10Y!$A$2:$A$2918,1))-INDEX(DKW_10Y!$E$2:$E$2918,MATCH(Settings!$B$16,DKW_10Y!$A$2:$A$2918,1)))*100))</f>
        <v/>
      </c>
      <c r="AB1090" s="19">
        <f>IF(NOT(ISNUMBER($A1090)),NA(),IF(OR($A1090&lt;MIN(DKW_10Y!$A$2:$A$2918),$A1090&gt;MAX(DKW_10Y!$A$2:$A$2918),Settings!$B$16&lt;MIN(DKW_10Y!$A$2:$A$2918)),NA(),(INDEX(DKW_10Y!$H$2:$H$2918,MATCH($A1090,DKW_10Y!$A$2:$A$2918,1))-INDEX(DKW_10Y!$H$2:$H$2918,MATCH(Settings!$B$16,DKW_10Y!$A$2:$A$2918,1)))*100))</f>
        <v/>
      </c>
      <c r="AC1090" s="18">
        <f>IF(NOT(ISNUMBER($A1090)),NA(),IFERROR(1*INDEX(BBG_Data!$N$2:$N$4000,MATCH($A1090,BBG_Data!$M$2:$M$4000,0)),NA()))</f>
        <v/>
      </c>
      <c r="AD1090" s="18">
        <f>IF(NOT(ISNUMBER($A1090)),NA(),IFERROR(1*INDEX(BBG_Data!$P$2:$P$4000,MATCH($A1090,BBG_Data!$O$2:$O$4000,0)),NA()))</f>
        <v/>
      </c>
      <c r="AE1090" s="18">
        <f>IF(NOT(ISNUMBER($A1090)),NA(),IFERROR(1*INDEX(BBG_Data!$R$2:$R$4000,MATCH($A1090,BBG_Data!$Q$2:$Q$4000,0)),NA()))</f>
        <v/>
      </c>
      <c r="AF1090" s="20">
        <f>IF(AND(ISNUMBER(B1090),ISNUMBER(AC1090)),(B1090-AC1090)*100,NA())</f>
        <v/>
      </c>
      <c r="AG1090" s="20">
        <f>IF(AND(ISNUMBER(AE1090),ISNUMBER(AD1090)),(AE1090-AD1090)*100,NA())</f>
        <v/>
      </c>
      <c r="AH1090" s="19">
        <f>IF(NOT(ISNUMBER($A1090)),NA(),IFERROR(INDEX(BBG_Data!$T$2:$T$4000,MATCH($A1090,BBG_Data!$S$2:$S$4000,0))*Settings!$B$25,NA()))</f>
        <v/>
      </c>
      <c r="AI1090" s="19">
        <f>IF(NOT(ISNUMBER($A1090)),NA(),IFERROR(INDEX(BBG_Data!$V$2:$V$4000,MATCH($A1090,BBG_Data!$U$2:$U$4000,0))*Settings!$B$25,NA()))</f>
        <v/>
      </c>
      <c r="AJ1090" s="19">
        <f>IF(NOT(ISNUMBER($A1090)),NA(),IFERROR(1*INDEX(BBG_Data!$X$2:$X$4000,MATCH($A1090,BBG_Data!$W$2:$W$4000,0)),NA()))</f>
        <v/>
      </c>
      <c r="AK1090" s="19">
        <f>IF(NOT(ISNUMBER($A1090)),NA(),IFERROR(1*INDEX(BBG_Data!$Z$2:$Z$4000,MATCH($A1090,BBG_Data!$Y$2:$Y$4000,0)),NA()))</f>
        <v/>
      </c>
    </row>
    <row r="1091">
      <c r="A1091" s="17">
        <f>IF(ISNUMBER(BBG_Data!A1091),BBG_Data!A1091,"")</f>
        <v/>
      </c>
      <c r="B1091" s="18">
        <f>IF(AND(ISNUMBER($A1091),ISNUMBER(BBG_Data!B1091)),BBG_Data!B1091,NA())</f>
        <v/>
      </c>
      <c r="C1091" s="18">
        <f>IF(NOT(ISNUMBER($A1091)),NA(),IFERROR(1*INDEX(BBG_Data!$D$2:$D$4000,MATCH($A1091,BBG_Data!$C$2:$C$4000,0)),NA()))</f>
        <v/>
      </c>
      <c r="D1091" s="19">
        <f>IF(NOT(ISNUMBER($A1091)),NA(),IFERROR(1*INDEX(BBG_Data!$F$2:$F$4000,MATCH($A1091,BBG_Data!$E$2:$E$4000,0)),NA()))</f>
        <v/>
      </c>
      <c r="E1091" s="19">
        <f>IF(NOT(ISNUMBER($A1091)),NA(),IFERROR(1*INDEX(BBG_Data!$H$2:$H$4000,MATCH($A1091,BBG_Data!$G$2:$G$4000,0)),NA()))</f>
        <v/>
      </c>
      <c r="F1091" s="20">
        <f>IF(AND(ISNUMBER(B1091),ISNUMBER(B1090)),IF(B1091=B1090,"",(B1091-B1090)*100),"")</f>
        <v/>
      </c>
      <c r="G1091" s="20">
        <f>IF(AND(ISNUMBER(C1091),ISNUMBER(C1090)),IF(C1091=C1090,"",(C1091-C1090)*100),"")</f>
        <v/>
      </c>
      <c r="H1091" s="20">
        <f>IF(OR(NOT(ISNUMBER($A1091)),ROW()-2&lt;Settings!$B$11),NA(),IF(COUNT(OFFSET(F1091,1-Settings!$B$11,0,Settings!$B$11,1))&lt;ROUNDUP(Settings!$B$11*Settings!$B$26,0),NA(),STDEV(OFFSET(F1091,1-Settings!$B$11,0,Settings!$B$11,1))*SQRT(Settings!$B$13)))</f>
        <v/>
      </c>
      <c r="I1091" s="20">
        <f>IF(OR(NOT(ISNUMBER($A1091)),ROW()-2&lt;Settings!$B$12),NA(),IF(COUNT(OFFSET(F1091,1-Settings!$B$12,0,Settings!$B$12,1))&lt;ROUNDUP(Settings!$B$12*Settings!$B$26,0),NA(),STDEV(OFFSET(F1091,1-Settings!$B$12,0,Settings!$B$12,1))*SQRT(Settings!$B$13)))</f>
        <v/>
      </c>
      <c r="J1091" s="20">
        <f>IF(OR(NOT(ISNUMBER($A1091)),ROW()-2&lt;Settings!$B$11),NA(),IF(COUNT(OFFSET(G1091,1-Settings!$B$11,0,Settings!$B$11,1))&lt;ROUNDUP(Settings!$B$11*Settings!$B$26,0),NA(),STDEV(OFFSET(G1091,1-Settings!$B$11,0,Settings!$B$11,1))*SQRT(Settings!$B$13)))</f>
        <v/>
      </c>
      <c r="K1091" s="20">
        <f>IF(OR(NOT(ISNUMBER($A1091)),ROW()-2&lt;Settings!$B$12),NA(),IF(COUNT(OFFSET(G1091,1-Settings!$B$12,0,Settings!$B$12,1))&lt;ROUNDUP(Settings!$B$12*Settings!$B$26,0),NA(),STDEV(OFFSET(G1091,1-Settings!$B$12,0,Settings!$B$12,1))*SQRT(Settings!$B$13)))</f>
        <v/>
      </c>
      <c r="L1091" s="20">
        <f>IF(AND(ISNUMBER(D1091),ISNUMBER(H1091)),D1091-H1091,NA())</f>
        <v/>
      </c>
      <c r="M1091" s="20">
        <f>IF(AND(ISNUMBER(E1091),ISNUMBER(K1091)),E1091-K1091,NA())</f>
        <v/>
      </c>
      <c r="N1091" s="20">
        <f>IF(NOT(ISNUMBER($A1091)),NA(),IF(COUNT(OFFSET(G1091,1,0,Settings!$B$12,1))&lt;ROUNDUP(Settings!$B$12*Settings!$B$26,0),NA(),STDEV(OFFSET(G1091,1,0,Settings!$B$12,1))*SQRT(Settings!$B$13)))</f>
        <v/>
      </c>
      <c r="O1091" s="20">
        <f>IF(AND(ISNUMBER(E1091),ISNUMBER(N1091)),E1091-N1091,NA())</f>
        <v/>
      </c>
      <c r="P1091" s="19">
        <f>IF(NOT(ISNUMBER($A1091)),NA(),IF(OR($A1091&lt;MIN(KW_TP!$A$2:$A$2501),$A1091&gt;MAX(KW_TP!$A$2:$A$2501)),NA(),INDEX(KW_TP!$C$2:$C$2501,MATCH($A1091,KW_TP!$A$2:$A$2501,1))))</f>
        <v/>
      </c>
      <c r="Q1091" s="18">
        <f>IF(NOT(ISNUMBER($A1091)),NA(),IFERROR(1*INDEX(BBG_Data!$J$2:$J$4000,MATCH($A1091,BBG_Data!$I$2:$I$4000,0)),NA()))</f>
        <v/>
      </c>
      <c r="R1091" s="18">
        <f>IF(NOT(ISNUMBER($A1091)),NA(),IFERROR(1*INDEX(BBG_Data!$L$2:$L$4000,MATCH($A1091,BBG_Data!$K$2:$K$4000,0)),NA()))</f>
        <v/>
      </c>
      <c r="S1091" s="20">
        <f>IF(AND(ISNUMBER(B1091),ISNUMBER(Q1091),ISNUMBER(R1091)),(B1091-Q1091-R1091)*100,NA())</f>
        <v/>
      </c>
      <c r="T1091" s="20">
        <f>IF(AND(ISNUMBER(B1091),Settings!$B$17&gt;0),IF(ISNUMBER(INDEX($B:$B,Settings!$B$17)),(B1091-INDEX($B:$B,Settings!$B$17))*100,NA()),NA())</f>
        <v/>
      </c>
      <c r="U1091" s="20">
        <f>IF(AND(ISNUMBER(Q1091),Settings!$B$17&gt;0),IF(ISNUMBER(INDEX($Q:$Q,Settings!$B$17)),(Q1091-INDEX($Q:$Q,Settings!$B$17))*100,NA()),NA())</f>
        <v/>
      </c>
      <c r="V1091" s="20">
        <f>IF(AND(ISNUMBER(R1091),Settings!$B$17&gt;0),IF(ISNUMBER(INDEX($R:$R,Settings!$B$17)),(R1091-INDEX($R:$R,Settings!$B$17))*100,NA()),NA())</f>
        <v/>
      </c>
      <c r="W1091" s="20">
        <f>IF(AND(ISNUMBER(P1091),Settings!$B$17&gt;0),IF(ISNUMBER(INDEX($P:$P,Settings!$B$17)),P1091-INDEX($P:$P,Settings!$B$17),NA()),NA())</f>
        <v/>
      </c>
      <c r="X1091" s="19">
        <f>IF(NOT(ISNUMBER($A1091)),NA(),IF(OR($A1091&lt;MIN(DKW_10Y!$A$2:$A$2918),$A1091&gt;MAX(DKW_10Y!$A$2:$A$2918),Settings!$B$16&lt;MIN(DKW_10Y!$A$2:$A$2918)),NA(),(INDEX(DKW_10Y!$B$2:$B$2918,MATCH($A1091,DKW_10Y!$A$2:$A$2918,1))-INDEX(DKW_10Y!$B$2:$B$2918,MATCH(Settings!$B$16,DKW_10Y!$A$2:$A$2918,1)))*100))</f>
        <v/>
      </c>
      <c r="Y1091" s="19">
        <f>IF(NOT(ISNUMBER($A1091)),NA(),IF(OR($A1091&lt;MIN(DKW_10Y!$A$2:$A$2918),$A1091&gt;MAX(DKW_10Y!$A$2:$A$2918),Settings!$B$16&lt;MIN(DKW_10Y!$A$2:$A$2918)),NA(),(INDEX(DKW_10Y!$C$2:$C$2918,MATCH($A1091,DKW_10Y!$A$2:$A$2918,1))-INDEX(DKW_10Y!$C$2:$C$2918,MATCH(Settings!$B$16,DKW_10Y!$A$2:$A$2918,1)))*100))</f>
        <v/>
      </c>
      <c r="Z1091" s="19">
        <f>IF(NOT(ISNUMBER($A1091)),NA(),IF(OR($A1091&lt;MIN(DKW_10Y!$A$2:$A$2918),$A1091&gt;MAX(DKW_10Y!$A$2:$A$2918),Settings!$B$16&lt;MIN(DKW_10Y!$A$2:$A$2918)),NA(),(INDEX(DKW_10Y!$D$2:$D$2918,MATCH($A1091,DKW_10Y!$A$2:$A$2918,1))-INDEX(DKW_10Y!$D$2:$D$2918,MATCH(Settings!$B$16,DKW_10Y!$A$2:$A$2918,1)))*100))</f>
        <v/>
      </c>
      <c r="AA1091" s="19">
        <f>IF(NOT(ISNUMBER($A1091)),NA(),IF(OR($A1091&lt;MIN(DKW_10Y!$A$2:$A$2918),$A1091&gt;MAX(DKW_10Y!$A$2:$A$2918),Settings!$B$16&lt;MIN(DKW_10Y!$A$2:$A$2918)),NA(),(INDEX(DKW_10Y!$E$2:$E$2918,MATCH($A1091,DKW_10Y!$A$2:$A$2918,1))-INDEX(DKW_10Y!$E$2:$E$2918,MATCH(Settings!$B$16,DKW_10Y!$A$2:$A$2918,1)))*100))</f>
        <v/>
      </c>
      <c r="AB1091" s="19">
        <f>IF(NOT(ISNUMBER($A1091)),NA(),IF(OR($A1091&lt;MIN(DKW_10Y!$A$2:$A$2918),$A1091&gt;MAX(DKW_10Y!$A$2:$A$2918),Settings!$B$16&lt;MIN(DKW_10Y!$A$2:$A$2918)),NA(),(INDEX(DKW_10Y!$H$2:$H$2918,MATCH($A1091,DKW_10Y!$A$2:$A$2918,1))-INDEX(DKW_10Y!$H$2:$H$2918,MATCH(Settings!$B$16,DKW_10Y!$A$2:$A$2918,1)))*100))</f>
        <v/>
      </c>
      <c r="AC1091" s="18">
        <f>IF(NOT(ISNUMBER($A1091)),NA(),IFERROR(1*INDEX(BBG_Data!$N$2:$N$4000,MATCH($A1091,BBG_Data!$M$2:$M$4000,0)),NA()))</f>
        <v/>
      </c>
      <c r="AD1091" s="18">
        <f>IF(NOT(ISNUMBER($A1091)),NA(),IFERROR(1*INDEX(BBG_Data!$P$2:$P$4000,MATCH($A1091,BBG_Data!$O$2:$O$4000,0)),NA()))</f>
        <v/>
      </c>
      <c r="AE1091" s="18">
        <f>IF(NOT(ISNUMBER($A1091)),NA(),IFERROR(1*INDEX(BBG_Data!$R$2:$R$4000,MATCH($A1091,BBG_Data!$Q$2:$Q$4000,0)),NA()))</f>
        <v/>
      </c>
      <c r="AF1091" s="20">
        <f>IF(AND(ISNUMBER(B1091),ISNUMBER(AC1091)),(B1091-AC1091)*100,NA())</f>
        <v/>
      </c>
      <c r="AG1091" s="20">
        <f>IF(AND(ISNUMBER(AE1091),ISNUMBER(AD1091)),(AE1091-AD1091)*100,NA())</f>
        <v/>
      </c>
      <c r="AH1091" s="19">
        <f>IF(NOT(ISNUMBER($A1091)),NA(),IFERROR(INDEX(BBG_Data!$T$2:$T$4000,MATCH($A1091,BBG_Data!$S$2:$S$4000,0))*Settings!$B$25,NA()))</f>
        <v/>
      </c>
      <c r="AI1091" s="19">
        <f>IF(NOT(ISNUMBER($A1091)),NA(),IFERROR(INDEX(BBG_Data!$V$2:$V$4000,MATCH($A1091,BBG_Data!$U$2:$U$4000,0))*Settings!$B$25,NA()))</f>
        <v/>
      </c>
      <c r="AJ1091" s="19">
        <f>IF(NOT(ISNUMBER($A1091)),NA(),IFERROR(1*INDEX(BBG_Data!$X$2:$X$4000,MATCH($A1091,BBG_Data!$W$2:$W$4000,0)),NA()))</f>
        <v/>
      </c>
      <c r="AK1091" s="19">
        <f>IF(NOT(ISNUMBER($A1091)),NA(),IFERROR(1*INDEX(BBG_Data!$Z$2:$Z$4000,MATCH($A1091,BBG_Data!$Y$2:$Y$4000,0)),NA()))</f>
        <v/>
      </c>
    </row>
    <row r="1092">
      <c r="A1092" s="17">
        <f>IF(ISNUMBER(BBG_Data!A1092),BBG_Data!A1092,"")</f>
        <v/>
      </c>
      <c r="B1092" s="18">
        <f>IF(AND(ISNUMBER($A1092),ISNUMBER(BBG_Data!B1092)),BBG_Data!B1092,NA())</f>
        <v/>
      </c>
      <c r="C1092" s="18">
        <f>IF(NOT(ISNUMBER($A1092)),NA(),IFERROR(1*INDEX(BBG_Data!$D$2:$D$4000,MATCH($A1092,BBG_Data!$C$2:$C$4000,0)),NA()))</f>
        <v/>
      </c>
      <c r="D1092" s="19">
        <f>IF(NOT(ISNUMBER($A1092)),NA(),IFERROR(1*INDEX(BBG_Data!$F$2:$F$4000,MATCH($A1092,BBG_Data!$E$2:$E$4000,0)),NA()))</f>
        <v/>
      </c>
      <c r="E1092" s="19">
        <f>IF(NOT(ISNUMBER($A1092)),NA(),IFERROR(1*INDEX(BBG_Data!$H$2:$H$4000,MATCH($A1092,BBG_Data!$G$2:$G$4000,0)),NA()))</f>
        <v/>
      </c>
      <c r="F1092" s="20">
        <f>IF(AND(ISNUMBER(B1092),ISNUMBER(B1091)),IF(B1092=B1091,"",(B1092-B1091)*100),"")</f>
        <v/>
      </c>
      <c r="G1092" s="20">
        <f>IF(AND(ISNUMBER(C1092),ISNUMBER(C1091)),IF(C1092=C1091,"",(C1092-C1091)*100),"")</f>
        <v/>
      </c>
      <c r="H1092" s="20">
        <f>IF(OR(NOT(ISNUMBER($A1092)),ROW()-2&lt;Settings!$B$11),NA(),IF(COUNT(OFFSET(F1092,1-Settings!$B$11,0,Settings!$B$11,1))&lt;ROUNDUP(Settings!$B$11*Settings!$B$26,0),NA(),STDEV(OFFSET(F1092,1-Settings!$B$11,0,Settings!$B$11,1))*SQRT(Settings!$B$13)))</f>
        <v/>
      </c>
      <c r="I1092" s="20">
        <f>IF(OR(NOT(ISNUMBER($A1092)),ROW()-2&lt;Settings!$B$12),NA(),IF(COUNT(OFFSET(F1092,1-Settings!$B$12,0,Settings!$B$12,1))&lt;ROUNDUP(Settings!$B$12*Settings!$B$26,0),NA(),STDEV(OFFSET(F1092,1-Settings!$B$12,0,Settings!$B$12,1))*SQRT(Settings!$B$13)))</f>
        <v/>
      </c>
      <c r="J1092" s="20">
        <f>IF(OR(NOT(ISNUMBER($A1092)),ROW()-2&lt;Settings!$B$11),NA(),IF(COUNT(OFFSET(G1092,1-Settings!$B$11,0,Settings!$B$11,1))&lt;ROUNDUP(Settings!$B$11*Settings!$B$26,0),NA(),STDEV(OFFSET(G1092,1-Settings!$B$11,0,Settings!$B$11,1))*SQRT(Settings!$B$13)))</f>
        <v/>
      </c>
      <c r="K1092" s="20">
        <f>IF(OR(NOT(ISNUMBER($A1092)),ROW()-2&lt;Settings!$B$12),NA(),IF(COUNT(OFFSET(G1092,1-Settings!$B$12,0,Settings!$B$12,1))&lt;ROUNDUP(Settings!$B$12*Settings!$B$26,0),NA(),STDEV(OFFSET(G1092,1-Settings!$B$12,0,Settings!$B$12,1))*SQRT(Settings!$B$13)))</f>
        <v/>
      </c>
      <c r="L1092" s="20">
        <f>IF(AND(ISNUMBER(D1092),ISNUMBER(H1092)),D1092-H1092,NA())</f>
        <v/>
      </c>
      <c r="M1092" s="20">
        <f>IF(AND(ISNUMBER(E1092),ISNUMBER(K1092)),E1092-K1092,NA())</f>
        <v/>
      </c>
      <c r="N1092" s="20">
        <f>IF(NOT(ISNUMBER($A1092)),NA(),IF(COUNT(OFFSET(G1092,1,0,Settings!$B$12,1))&lt;ROUNDUP(Settings!$B$12*Settings!$B$26,0),NA(),STDEV(OFFSET(G1092,1,0,Settings!$B$12,1))*SQRT(Settings!$B$13)))</f>
        <v/>
      </c>
      <c r="O1092" s="20">
        <f>IF(AND(ISNUMBER(E1092),ISNUMBER(N1092)),E1092-N1092,NA())</f>
        <v/>
      </c>
      <c r="P1092" s="19">
        <f>IF(NOT(ISNUMBER($A1092)),NA(),IF(OR($A1092&lt;MIN(KW_TP!$A$2:$A$2501),$A1092&gt;MAX(KW_TP!$A$2:$A$2501)),NA(),INDEX(KW_TP!$C$2:$C$2501,MATCH($A1092,KW_TP!$A$2:$A$2501,1))))</f>
        <v/>
      </c>
      <c r="Q1092" s="18">
        <f>IF(NOT(ISNUMBER($A1092)),NA(),IFERROR(1*INDEX(BBG_Data!$J$2:$J$4000,MATCH($A1092,BBG_Data!$I$2:$I$4000,0)),NA()))</f>
        <v/>
      </c>
      <c r="R1092" s="18">
        <f>IF(NOT(ISNUMBER($A1092)),NA(),IFERROR(1*INDEX(BBG_Data!$L$2:$L$4000,MATCH($A1092,BBG_Data!$K$2:$K$4000,0)),NA()))</f>
        <v/>
      </c>
      <c r="S1092" s="20">
        <f>IF(AND(ISNUMBER(B1092),ISNUMBER(Q1092),ISNUMBER(R1092)),(B1092-Q1092-R1092)*100,NA())</f>
        <v/>
      </c>
      <c r="T1092" s="20">
        <f>IF(AND(ISNUMBER(B1092),Settings!$B$17&gt;0),IF(ISNUMBER(INDEX($B:$B,Settings!$B$17)),(B1092-INDEX($B:$B,Settings!$B$17))*100,NA()),NA())</f>
        <v/>
      </c>
      <c r="U1092" s="20">
        <f>IF(AND(ISNUMBER(Q1092),Settings!$B$17&gt;0),IF(ISNUMBER(INDEX($Q:$Q,Settings!$B$17)),(Q1092-INDEX($Q:$Q,Settings!$B$17))*100,NA()),NA())</f>
        <v/>
      </c>
      <c r="V1092" s="20">
        <f>IF(AND(ISNUMBER(R1092),Settings!$B$17&gt;0),IF(ISNUMBER(INDEX($R:$R,Settings!$B$17)),(R1092-INDEX($R:$R,Settings!$B$17))*100,NA()),NA())</f>
        <v/>
      </c>
      <c r="W1092" s="20">
        <f>IF(AND(ISNUMBER(P1092),Settings!$B$17&gt;0),IF(ISNUMBER(INDEX($P:$P,Settings!$B$17)),P1092-INDEX($P:$P,Settings!$B$17),NA()),NA())</f>
        <v/>
      </c>
      <c r="X1092" s="19">
        <f>IF(NOT(ISNUMBER($A1092)),NA(),IF(OR($A1092&lt;MIN(DKW_10Y!$A$2:$A$2918),$A1092&gt;MAX(DKW_10Y!$A$2:$A$2918),Settings!$B$16&lt;MIN(DKW_10Y!$A$2:$A$2918)),NA(),(INDEX(DKW_10Y!$B$2:$B$2918,MATCH($A1092,DKW_10Y!$A$2:$A$2918,1))-INDEX(DKW_10Y!$B$2:$B$2918,MATCH(Settings!$B$16,DKW_10Y!$A$2:$A$2918,1)))*100))</f>
        <v/>
      </c>
      <c r="Y1092" s="19">
        <f>IF(NOT(ISNUMBER($A1092)),NA(),IF(OR($A1092&lt;MIN(DKW_10Y!$A$2:$A$2918),$A1092&gt;MAX(DKW_10Y!$A$2:$A$2918),Settings!$B$16&lt;MIN(DKW_10Y!$A$2:$A$2918)),NA(),(INDEX(DKW_10Y!$C$2:$C$2918,MATCH($A1092,DKW_10Y!$A$2:$A$2918,1))-INDEX(DKW_10Y!$C$2:$C$2918,MATCH(Settings!$B$16,DKW_10Y!$A$2:$A$2918,1)))*100))</f>
        <v/>
      </c>
      <c r="Z1092" s="19">
        <f>IF(NOT(ISNUMBER($A1092)),NA(),IF(OR($A1092&lt;MIN(DKW_10Y!$A$2:$A$2918),$A1092&gt;MAX(DKW_10Y!$A$2:$A$2918),Settings!$B$16&lt;MIN(DKW_10Y!$A$2:$A$2918)),NA(),(INDEX(DKW_10Y!$D$2:$D$2918,MATCH($A1092,DKW_10Y!$A$2:$A$2918,1))-INDEX(DKW_10Y!$D$2:$D$2918,MATCH(Settings!$B$16,DKW_10Y!$A$2:$A$2918,1)))*100))</f>
        <v/>
      </c>
      <c r="AA1092" s="19">
        <f>IF(NOT(ISNUMBER($A1092)),NA(),IF(OR($A1092&lt;MIN(DKW_10Y!$A$2:$A$2918),$A1092&gt;MAX(DKW_10Y!$A$2:$A$2918),Settings!$B$16&lt;MIN(DKW_10Y!$A$2:$A$2918)),NA(),(INDEX(DKW_10Y!$E$2:$E$2918,MATCH($A1092,DKW_10Y!$A$2:$A$2918,1))-INDEX(DKW_10Y!$E$2:$E$2918,MATCH(Settings!$B$16,DKW_10Y!$A$2:$A$2918,1)))*100))</f>
        <v/>
      </c>
      <c r="AB1092" s="19">
        <f>IF(NOT(ISNUMBER($A1092)),NA(),IF(OR($A1092&lt;MIN(DKW_10Y!$A$2:$A$2918),$A1092&gt;MAX(DKW_10Y!$A$2:$A$2918),Settings!$B$16&lt;MIN(DKW_10Y!$A$2:$A$2918)),NA(),(INDEX(DKW_10Y!$H$2:$H$2918,MATCH($A1092,DKW_10Y!$A$2:$A$2918,1))-INDEX(DKW_10Y!$H$2:$H$2918,MATCH(Settings!$B$16,DKW_10Y!$A$2:$A$2918,1)))*100))</f>
        <v/>
      </c>
      <c r="AC1092" s="18">
        <f>IF(NOT(ISNUMBER($A1092)),NA(),IFERROR(1*INDEX(BBG_Data!$N$2:$N$4000,MATCH($A1092,BBG_Data!$M$2:$M$4000,0)),NA()))</f>
        <v/>
      </c>
      <c r="AD1092" s="18">
        <f>IF(NOT(ISNUMBER($A1092)),NA(),IFERROR(1*INDEX(BBG_Data!$P$2:$P$4000,MATCH($A1092,BBG_Data!$O$2:$O$4000,0)),NA()))</f>
        <v/>
      </c>
      <c r="AE1092" s="18">
        <f>IF(NOT(ISNUMBER($A1092)),NA(),IFERROR(1*INDEX(BBG_Data!$R$2:$R$4000,MATCH($A1092,BBG_Data!$Q$2:$Q$4000,0)),NA()))</f>
        <v/>
      </c>
      <c r="AF1092" s="20">
        <f>IF(AND(ISNUMBER(B1092),ISNUMBER(AC1092)),(B1092-AC1092)*100,NA())</f>
        <v/>
      </c>
      <c r="AG1092" s="20">
        <f>IF(AND(ISNUMBER(AE1092),ISNUMBER(AD1092)),(AE1092-AD1092)*100,NA())</f>
        <v/>
      </c>
      <c r="AH1092" s="19">
        <f>IF(NOT(ISNUMBER($A1092)),NA(),IFERROR(INDEX(BBG_Data!$T$2:$T$4000,MATCH($A1092,BBG_Data!$S$2:$S$4000,0))*Settings!$B$25,NA()))</f>
        <v/>
      </c>
      <c r="AI1092" s="19">
        <f>IF(NOT(ISNUMBER($A1092)),NA(),IFERROR(INDEX(BBG_Data!$V$2:$V$4000,MATCH($A1092,BBG_Data!$U$2:$U$4000,0))*Settings!$B$25,NA()))</f>
        <v/>
      </c>
      <c r="AJ1092" s="19">
        <f>IF(NOT(ISNUMBER($A1092)),NA(),IFERROR(1*INDEX(BBG_Data!$X$2:$X$4000,MATCH($A1092,BBG_Data!$W$2:$W$4000,0)),NA()))</f>
        <v/>
      </c>
      <c r="AK1092" s="19">
        <f>IF(NOT(ISNUMBER($A1092)),NA(),IFERROR(1*INDEX(BBG_Data!$Z$2:$Z$4000,MATCH($A1092,BBG_Data!$Y$2:$Y$4000,0)),NA()))</f>
        <v/>
      </c>
    </row>
    <row r="1093">
      <c r="A1093" s="17">
        <f>IF(ISNUMBER(BBG_Data!A1093),BBG_Data!A1093,"")</f>
        <v/>
      </c>
      <c r="B1093" s="18">
        <f>IF(AND(ISNUMBER($A1093),ISNUMBER(BBG_Data!B1093)),BBG_Data!B1093,NA())</f>
        <v/>
      </c>
      <c r="C1093" s="18">
        <f>IF(NOT(ISNUMBER($A1093)),NA(),IFERROR(1*INDEX(BBG_Data!$D$2:$D$4000,MATCH($A1093,BBG_Data!$C$2:$C$4000,0)),NA()))</f>
        <v/>
      </c>
      <c r="D1093" s="19">
        <f>IF(NOT(ISNUMBER($A1093)),NA(),IFERROR(1*INDEX(BBG_Data!$F$2:$F$4000,MATCH($A1093,BBG_Data!$E$2:$E$4000,0)),NA()))</f>
        <v/>
      </c>
      <c r="E1093" s="19">
        <f>IF(NOT(ISNUMBER($A1093)),NA(),IFERROR(1*INDEX(BBG_Data!$H$2:$H$4000,MATCH($A1093,BBG_Data!$G$2:$G$4000,0)),NA()))</f>
        <v/>
      </c>
      <c r="F1093" s="20">
        <f>IF(AND(ISNUMBER(B1093),ISNUMBER(B1092)),IF(B1093=B1092,"",(B1093-B1092)*100),"")</f>
        <v/>
      </c>
      <c r="G1093" s="20">
        <f>IF(AND(ISNUMBER(C1093),ISNUMBER(C1092)),IF(C1093=C1092,"",(C1093-C1092)*100),"")</f>
        <v/>
      </c>
      <c r="H1093" s="20">
        <f>IF(OR(NOT(ISNUMBER($A1093)),ROW()-2&lt;Settings!$B$11),NA(),IF(COUNT(OFFSET(F1093,1-Settings!$B$11,0,Settings!$B$11,1))&lt;ROUNDUP(Settings!$B$11*Settings!$B$26,0),NA(),STDEV(OFFSET(F1093,1-Settings!$B$11,0,Settings!$B$11,1))*SQRT(Settings!$B$13)))</f>
        <v/>
      </c>
      <c r="I1093" s="20">
        <f>IF(OR(NOT(ISNUMBER($A1093)),ROW()-2&lt;Settings!$B$12),NA(),IF(COUNT(OFFSET(F1093,1-Settings!$B$12,0,Settings!$B$12,1))&lt;ROUNDUP(Settings!$B$12*Settings!$B$26,0),NA(),STDEV(OFFSET(F1093,1-Settings!$B$12,0,Settings!$B$12,1))*SQRT(Settings!$B$13)))</f>
        <v/>
      </c>
      <c r="J1093" s="20">
        <f>IF(OR(NOT(ISNUMBER($A1093)),ROW()-2&lt;Settings!$B$11),NA(),IF(COUNT(OFFSET(G1093,1-Settings!$B$11,0,Settings!$B$11,1))&lt;ROUNDUP(Settings!$B$11*Settings!$B$26,0),NA(),STDEV(OFFSET(G1093,1-Settings!$B$11,0,Settings!$B$11,1))*SQRT(Settings!$B$13)))</f>
        <v/>
      </c>
      <c r="K1093" s="20">
        <f>IF(OR(NOT(ISNUMBER($A1093)),ROW()-2&lt;Settings!$B$12),NA(),IF(COUNT(OFFSET(G1093,1-Settings!$B$12,0,Settings!$B$12,1))&lt;ROUNDUP(Settings!$B$12*Settings!$B$26,0),NA(),STDEV(OFFSET(G1093,1-Settings!$B$12,0,Settings!$B$12,1))*SQRT(Settings!$B$13)))</f>
        <v/>
      </c>
      <c r="L1093" s="20">
        <f>IF(AND(ISNUMBER(D1093),ISNUMBER(H1093)),D1093-H1093,NA())</f>
        <v/>
      </c>
      <c r="M1093" s="20">
        <f>IF(AND(ISNUMBER(E1093),ISNUMBER(K1093)),E1093-K1093,NA())</f>
        <v/>
      </c>
      <c r="N1093" s="20">
        <f>IF(NOT(ISNUMBER($A1093)),NA(),IF(COUNT(OFFSET(G1093,1,0,Settings!$B$12,1))&lt;ROUNDUP(Settings!$B$12*Settings!$B$26,0),NA(),STDEV(OFFSET(G1093,1,0,Settings!$B$12,1))*SQRT(Settings!$B$13)))</f>
        <v/>
      </c>
      <c r="O1093" s="20">
        <f>IF(AND(ISNUMBER(E1093),ISNUMBER(N1093)),E1093-N1093,NA())</f>
        <v/>
      </c>
      <c r="P1093" s="19">
        <f>IF(NOT(ISNUMBER($A1093)),NA(),IF(OR($A1093&lt;MIN(KW_TP!$A$2:$A$2501),$A1093&gt;MAX(KW_TP!$A$2:$A$2501)),NA(),INDEX(KW_TP!$C$2:$C$2501,MATCH($A1093,KW_TP!$A$2:$A$2501,1))))</f>
        <v/>
      </c>
      <c r="Q1093" s="18">
        <f>IF(NOT(ISNUMBER($A1093)),NA(),IFERROR(1*INDEX(BBG_Data!$J$2:$J$4000,MATCH($A1093,BBG_Data!$I$2:$I$4000,0)),NA()))</f>
        <v/>
      </c>
      <c r="R1093" s="18">
        <f>IF(NOT(ISNUMBER($A1093)),NA(),IFERROR(1*INDEX(BBG_Data!$L$2:$L$4000,MATCH($A1093,BBG_Data!$K$2:$K$4000,0)),NA()))</f>
        <v/>
      </c>
      <c r="S1093" s="20">
        <f>IF(AND(ISNUMBER(B1093),ISNUMBER(Q1093),ISNUMBER(R1093)),(B1093-Q1093-R1093)*100,NA())</f>
        <v/>
      </c>
      <c r="T1093" s="20">
        <f>IF(AND(ISNUMBER(B1093),Settings!$B$17&gt;0),IF(ISNUMBER(INDEX($B:$B,Settings!$B$17)),(B1093-INDEX($B:$B,Settings!$B$17))*100,NA()),NA())</f>
        <v/>
      </c>
      <c r="U1093" s="20">
        <f>IF(AND(ISNUMBER(Q1093),Settings!$B$17&gt;0),IF(ISNUMBER(INDEX($Q:$Q,Settings!$B$17)),(Q1093-INDEX($Q:$Q,Settings!$B$17))*100,NA()),NA())</f>
        <v/>
      </c>
      <c r="V1093" s="20">
        <f>IF(AND(ISNUMBER(R1093),Settings!$B$17&gt;0),IF(ISNUMBER(INDEX($R:$R,Settings!$B$17)),(R1093-INDEX($R:$R,Settings!$B$17))*100,NA()),NA())</f>
        <v/>
      </c>
      <c r="W1093" s="20">
        <f>IF(AND(ISNUMBER(P1093),Settings!$B$17&gt;0),IF(ISNUMBER(INDEX($P:$P,Settings!$B$17)),P1093-INDEX($P:$P,Settings!$B$17),NA()),NA())</f>
        <v/>
      </c>
      <c r="X1093" s="19">
        <f>IF(NOT(ISNUMBER($A1093)),NA(),IF(OR($A1093&lt;MIN(DKW_10Y!$A$2:$A$2918),$A1093&gt;MAX(DKW_10Y!$A$2:$A$2918),Settings!$B$16&lt;MIN(DKW_10Y!$A$2:$A$2918)),NA(),(INDEX(DKW_10Y!$B$2:$B$2918,MATCH($A1093,DKW_10Y!$A$2:$A$2918,1))-INDEX(DKW_10Y!$B$2:$B$2918,MATCH(Settings!$B$16,DKW_10Y!$A$2:$A$2918,1)))*100))</f>
        <v/>
      </c>
      <c r="Y1093" s="19">
        <f>IF(NOT(ISNUMBER($A1093)),NA(),IF(OR($A1093&lt;MIN(DKW_10Y!$A$2:$A$2918),$A1093&gt;MAX(DKW_10Y!$A$2:$A$2918),Settings!$B$16&lt;MIN(DKW_10Y!$A$2:$A$2918)),NA(),(INDEX(DKW_10Y!$C$2:$C$2918,MATCH($A1093,DKW_10Y!$A$2:$A$2918,1))-INDEX(DKW_10Y!$C$2:$C$2918,MATCH(Settings!$B$16,DKW_10Y!$A$2:$A$2918,1)))*100))</f>
        <v/>
      </c>
      <c r="Z1093" s="19">
        <f>IF(NOT(ISNUMBER($A1093)),NA(),IF(OR($A1093&lt;MIN(DKW_10Y!$A$2:$A$2918),$A1093&gt;MAX(DKW_10Y!$A$2:$A$2918),Settings!$B$16&lt;MIN(DKW_10Y!$A$2:$A$2918)),NA(),(INDEX(DKW_10Y!$D$2:$D$2918,MATCH($A1093,DKW_10Y!$A$2:$A$2918,1))-INDEX(DKW_10Y!$D$2:$D$2918,MATCH(Settings!$B$16,DKW_10Y!$A$2:$A$2918,1)))*100))</f>
        <v/>
      </c>
      <c r="AA1093" s="19">
        <f>IF(NOT(ISNUMBER($A1093)),NA(),IF(OR($A1093&lt;MIN(DKW_10Y!$A$2:$A$2918),$A1093&gt;MAX(DKW_10Y!$A$2:$A$2918),Settings!$B$16&lt;MIN(DKW_10Y!$A$2:$A$2918)),NA(),(INDEX(DKW_10Y!$E$2:$E$2918,MATCH($A1093,DKW_10Y!$A$2:$A$2918,1))-INDEX(DKW_10Y!$E$2:$E$2918,MATCH(Settings!$B$16,DKW_10Y!$A$2:$A$2918,1)))*100))</f>
        <v/>
      </c>
      <c r="AB1093" s="19">
        <f>IF(NOT(ISNUMBER($A1093)),NA(),IF(OR($A1093&lt;MIN(DKW_10Y!$A$2:$A$2918),$A1093&gt;MAX(DKW_10Y!$A$2:$A$2918),Settings!$B$16&lt;MIN(DKW_10Y!$A$2:$A$2918)),NA(),(INDEX(DKW_10Y!$H$2:$H$2918,MATCH($A1093,DKW_10Y!$A$2:$A$2918,1))-INDEX(DKW_10Y!$H$2:$H$2918,MATCH(Settings!$B$16,DKW_10Y!$A$2:$A$2918,1)))*100))</f>
        <v/>
      </c>
      <c r="AC1093" s="18">
        <f>IF(NOT(ISNUMBER($A1093)),NA(),IFERROR(1*INDEX(BBG_Data!$N$2:$N$4000,MATCH($A1093,BBG_Data!$M$2:$M$4000,0)),NA()))</f>
        <v/>
      </c>
      <c r="AD1093" s="18">
        <f>IF(NOT(ISNUMBER($A1093)),NA(),IFERROR(1*INDEX(BBG_Data!$P$2:$P$4000,MATCH($A1093,BBG_Data!$O$2:$O$4000,0)),NA()))</f>
        <v/>
      </c>
      <c r="AE1093" s="18">
        <f>IF(NOT(ISNUMBER($A1093)),NA(),IFERROR(1*INDEX(BBG_Data!$R$2:$R$4000,MATCH($A1093,BBG_Data!$Q$2:$Q$4000,0)),NA()))</f>
        <v/>
      </c>
      <c r="AF1093" s="20">
        <f>IF(AND(ISNUMBER(B1093),ISNUMBER(AC1093)),(B1093-AC1093)*100,NA())</f>
        <v/>
      </c>
      <c r="AG1093" s="20">
        <f>IF(AND(ISNUMBER(AE1093),ISNUMBER(AD1093)),(AE1093-AD1093)*100,NA())</f>
        <v/>
      </c>
      <c r="AH1093" s="19">
        <f>IF(NOT(ISNUMBER($A1093)),NA(),IFERROR(INDEX(BBG_Data!$T$2:$T$4000,MATCH($A1093,BBG_Data!$S$2:$S$4000,0))*Settings!$B$25,NA()))</f>
        <v/>
      </c>
      <c r="AI1093" s="19">
        <f>IF(NOT(ISNUMBER($A1093)),NA(),IFERROR(INDEX(BBG_Data!$V$2:$V$4000,MATCH($A1093,BBG_Data!$U$2:$U$4000,0))*Settings!$B$25,NA()))</f>
        <v/>
      </c>
      <c r="AJ1093" s="19">
        <f>IF(NOT(ISNUMBER($A1093)),NA(),IFERROR(1*INDEX(BBG_Data!$X$2:$X$4000,MATCH($A1093,BBG_Data!$W$2:$W$4000,0)),NA()))</f>
        <v/>
      </c>
      <c r="AK1093" s="19">
        <f>IF(NOT(ISNUMBER($A1093)),NA(),IFERROR(1*INDEX(BBG_Data!$Z$2:$Z$4000,MATCH($A1093,BBG_Data!$Y$2:$Y$4000,0)),NA()))</f>
        <v/>
      </c>
    </row>
    <row r="1094">
      <c r="A1094" s="17">
        <f>IF(ISNUMBER(BBG_Data!A1094),BBG_Data!A1094,"")</f>
        <v/>
      </c>
      <c r="B1094" s="18">
        <f>IF(AND(ISNUMBER($A1094),ISNUMBER(BBG_Data!B1094)),BBG_Data!B1094,NA())</f>
        <v/>
      </c>
      <c r="C1094" s="18">
        <f>IF(NOT(ISNUMBER($A1094)),NA(),IFERROR(1*INDEX(BBG_Data!$D$2:$D$4000,MATCH($A1094,BBG_Data!$C$2:$C$4000,0)),NA()))</f>
        <v/>
      </c>
      <c r="D1094" s="19">
        <f>IF(NOT(ISNUMBER($A1094)),NA(),IFERROR(1*INDEX(BBG_Data!$F$2:$F$4000,MATCH($A1094,BBG_Data!$E$2:$E$4000,0)),NA()))</f>
        <v/>
      </c>
      <c r="E1094" s="19">
        <f>IF(NOT(ISNUMBER($A1094)),NA(),IFERROR(1*INDEX(BBG_Data!$H$2:$H$4000,MATCH($A1094,BBG_Data!$G$2:$G$4000,0)),NA()))</f>
        <v/>
      </c>
      <c r="F1094" s="20">
        <f>IF(AND(ISNUMBER(B1094),ISNUMBER(B1093)),IF(B1094=B1093,"",(B1094-B1093)*100),"")</f>
        <v/>
      </c>
      <c r="G1094" s="20">
        <f>IF(AND(ISNUMBER(C1094),ISNUMBER(C1093)),IF(C1094=C1093,"",(C1094-C1093)*100),"")</f>
        <v/>
      </c>
      <c r="H1094" s="20">
        <f>IF(OR(NOT(ISNUMBER($A1094)),ROW()-2&lt;Settings!$B$11),NA(),IF(COUNT(OFFSET(F1094,1-Settings!$B$11,0,Settings!$B$11,1))&lt;ROUNDUP(Settings!$B$11*Settings!$B$26,0),NA(),STDEV(OFFSET(F1094,1-Settings!$B$11,0,Settings!$B$11,1))*SQRT(Settings!$B$13)))</f>
        <v/>
      </c>
      <c r="I1094" s="20">
        <f>IF(OR(NOT(ISNUMBER($A1094)),ROW()-2&lt;Settings!$B$12),NA(),IF(COUNT(OFFSET(F1094,1-Settings!$B$12,0,Settings!$B$12,1))&lt;ROUNDUP(Settings!$B$12*Settings!$B$26,0),NA(),STDEV(OFFSET(F1094,1-Settings!$B$12,0,Settings!$B$12,1))*SQRT(Settings!$B$13)))</f>
        <v/>
      </c>
      <c r="J1094" s="20">
        <f>IF(OR(NOT(ISNUMBER($A1094)),ROW()-2&lt;Settings!$B$11),NA(),IF(COUNT(OFFSET(G1094,1-Settings!$B$11,0,Settings!$B$11,1))&lt;ROUNDUP(Settings!$B$11*Settings!$B$26,0),NA(),STDEV(OFFSET(G1094,1-Settings!$B$11,0,Settings!$B$11,1))*SQRT(Settings!$B$13)))</f>
        <v/>
      </c>
      <c r="K1094" s="20">
        <f>IF(OR(NOT(ISNUMBER($A1094)),ROW()-2&lt;Settings!$B$12),NA(),IF(COUNT(OFFSET(G1094,1-Settings!$B$12,0,Settings!$B$12,1))&lt;ROUNDUP(Settings!$B$12*Settings!$B$26,0),NA(),STDEV(OFFSET(G1094,1-Settings!$B$12,0,Settings!$B$12,1))*SQRT(Settings!$B$13)))</f>
        <v/>
      </c>
      <c r="L1094" s="20">
        <f>IF(AND(ISNUMBER(D1094),ISNUMBER(H1094)),D1094-H1094,NA())</f>
        <v/>
      </c>
      <c r="M1094" s="20">
        <f>IF(AND(ISNUMBER(E1094),ISNUMBER(K1094)),E1094-K1094,NA())</f>
        <v/>
      </c>
      <c r="N1094" s="20">
        <f>IF(NOT(ISNUMBER($A1094)),NA(),IF(COUNT(OFFSET(G1094,1,0,Settings!$B$12,1))&lt;ROUNDUP(Settings!$B$12*Settings!$B$26,0),NA(),STDEV(OFFSET(G1094,1,0,Settings!$B$12,1))*SQRT(Settings!$B$13)))</f>
        <v/>
      </c>
      <c r="O1094" s="20">
        <f>IF(AND(ISNUMBER(E1094),ISNUMBER(N1094)),E1094-N1094,NA())</f>
        <v/>
      </c>
      <c r="P1094" s="19">
        <f>IF(NOT(ISNUMBER($A1094)),NA(),IF(OR($A1094&lt;MIN(KW_TP!$A$2:$A$2501),$A1094&gt;MAX(KW_TP!$A$2:$A$2501)),NA(),INDEX(KW_TP!$C$2:$C$2501,MATCH($A1094,KW_TP!$A$2:$A$2501,1))))</f>
        <v/>
      </c>
      <c r="Q1094" s="18">
        <f>IF(NOT(ISNUMBER($A1094)),NA(),IFERROR(1*INDEX(BBG_Data!$J$2:$J$4000,MATCH($A1094,BBG_Data!$I$2:$I$4000,0)),NA()))</f>
        <v/>
      </c>
      <c r="R1094" s="18">
        <f>IF(NOT(ISNUMBER($A1094)),NA(),IFERROR(1*INDEX(BBG_Data!$L$2:$L$4000,MATCH($A1094,BBG_Data!$K$2:$K$4000,0)),NA()))</f>
        <v/>
      </c>
      <c r="S1094" s="20">
        <f>IF(AND(ISNUMBER(B1094),ISNUMBER(Q1094),ISNUMBER(R1094)),(B1094-Q1094-R1094)*100,NA())</f>
        <v/>
      </c>
      <c r="T1094" s="20">
        <f>IF(AND(ISNUMBER(B1094),Settings!$B$17&gt;0),IF(ISNUMBER(INDEX($B:$B,Settings!$B$17)),(B1094-INDEX($B:$B,Settings!$B$17))*100,NA()),NA())</f>
        <v/>
      </c>
      <c r="U1094" s="20">
        <f>IF(AND(ISNUMBER(Q1094),Settings!$B$17&gt;0),IF(ISNUMBER(INDEX($Q:$Q,Settings!$B$17)),(Q1094-INDEX($Q:$Q,Settings!$B$17))*100,NA()),NA())</f>
        <v/>
      </c>
      <c r="V1094" s="20">
        <f>IF(AND(ISNUMBER(R1094),Settings!$B$17&gt;0),IF(ISNUMBER(INDEX($R:$R,Settings!$B$17)),(R1094-INDEX($R:$R,Settings!$B$17))*100,NA()),NA())</f>
        <v/>
      </c>
      <c r="W1094" s="20">
        <f>IF(AND(ISNUMBER(P1094),Settings!$B$17&gt;0),IF(ISNUMBER(INDEX($P:$P,Settings!$B$17)),P1094-INDEX($P:$P,Settings!$B$17),NA()),NA())</f>
        <v/>
      </c>
      <c r="X1094" s="19">
        <f>IF(NOT(ISNUMBER($A1094)),NA(),IF(OR($A1094&lt;MIN(DKW_10Y!$A$2:$A$2918),$A1094&gt;MAX(DKW_10Y!$A$2:$A$2918),Settings!$B$16&lt;MIN(DKW_10Y!$A$2:$A$2918)),NA(),(INDEX(DKW_10Y!$B$2:$B$2918,MATCH($A1094,DKW_10Y!$A$2:$A$2918,1))-INDEX(DKW_10Y!$B$2:$B$2918,MATCH(Settings!$B$16,DKW_10Y!$A$2:$A$2918,1)))*100))</f>
        <v/>
      </c>
      <c r="Y1094" s="19">
        <f>IF(NOT(ISNUMBER($A1094)),NA(),IF(OR($A1094&lt;MIN(DKW_10Y!$A$2:$A$2918),$A1094&gt;MAX(DKW_10Y!$A$2:$A$2918),Settings!$B$16&lt;MIN(DKW_10Y!$A$2:$A$2918)),NA(),(INDEX(DKW_10Y!$C$2:$C$2918,MATCH($A1094,DKW_10Y!$A$2:$A$2918,1))-INDEX(DKW_10Y!$C$2:$C$2918,MATCH(Settings!$B$16,DKW_10Y!$A$2:$A$2918,1)))*100))</f>
        <v/>
      </c>
      <c r="Z1094" s="19">
        <f>IF(NOT(ISNUMBER($A1094)),NA(),IF(OR($A1094&lt;MIN(DKW_10Y!$A$2:$A$2918),$A1094&gt;MAX(DKW_10Y!$A$2:$A$2918),Settings!$B$16&lt;MIN(DKW_10Y!$A$2:$A$2918)),NA(),(INDEX(DKW_10Y!$D$2:$D$2918,MATCH($A1094,DKW_10Y!$A$2:$A$2918,1))-INDEX(DKW_10Y!$D$2:$D$2918,MATCH(Settings!$B$16,DKW_10Y!$A$2:$A$2918,1)))*100))</f>
        <v/>
      </c>
      <c r="AA1094" s="19">
        <f>IF(NOT(ISNUMBER($A1094)),NA(),IF(OR($A1094&lt;MIN(DKW_10Y!$A$2:$A$2918),$A1094&gt;MAX(DKW_10Y!$A$2:$A$2918),Settings!$B$16&lt;MIN(DKW_10Y!$A$2:$A$2918)),NA(),(INDEX(DKW_10Y!$E$2:$E$2918,MATCH($A1094,DKW_10Y!$A$2:$A$2918,1))-INDEX(DKW_10Y!$E$2:$E$2918,MATCH(Settings!$B$16,DKW_10Y!$A$2:$A$2918,1)))*100))</f>
        <v/>
      </c>
      <c r="AB1094" s="19">
        <f>IF(NOT(ISNUMBER($A1094)),NA(),IF(OR($A1094&lt;MIN(DKW_10Y!$A$2:$A$2918),$A1094&gt;MAX(DKW_10Y!$A$2:$A$2918),Settings!$B$16&lt;MIN(DKW_10Y!$A$2:$A$2918)),NA(),(INDEX(DKW_10Y!$H$2:$H$2918,MATCH($A1094,DKW_10Y!$A$2:$A$2918,1))-INDEX(DKW_10Y!$H$2:$H$2918,MATCH(Settings!$B$16,DKW_10Y!$A$2:$A$2918,1)))*100))</f>
        <v/>
      </c>
      <c r="AC1094" s="18">
        <f>IF(NOT(ISNUMBER($A1094)),NA(),IFERROR(1*INDEX(BBG_Data!$N$2:$N$4000,MATCH($A1094,BBG_Data!$M$2:$M$4000,0)),NA()))</f>
        <v/>
      </c>
      <c r="AD1094" s="18">
        <f>IF(NOT(ISNUMBER($A1094)),NA(),IFERROR(1*INDEX(BBG_Data!$P$2:$P$4000,MATCH($A1094,BBG_Data!$O$2:$O$4000,0)),NA()))</f>
        <v/>
      </c>
      <c r="AE1094" s="18">
        <f>IF(NOT(ISNUMBER($A1094)),NA(),IFERROR(1*INDEX(BBG_Data!$R$2:$R$4000,MATCH($A1094,BBG_Data!$Q$2:$Q$4000,0)),NA()))</f>
        <v/>
      </c>
      <c r="AF1094" s="20">
        <f>IF(AND(ISNUMBER(B1094),ISNUMBER(AC1094)),(B1094-AC1094)*100,NA())</f>
        <v/>
      </c>
      <c r="AG1094" s="20">
        <f>IF(AND(ISNUMBER(AE1094),ISNUMBER(AD1094)),(AE1094-AD1094)*100,NA())</f>
        <v/>
      </c>
      <c r="AH1094" s="19">
        <f>IF(NOT(ISNUMBER($A1094)),NA(),IFERROR(INDEX(BBG_Data!$T$2:$T$4000,MATCH($A1094,BBG_Data!$S$2:$S$4000,0))*Settings!$B$25,NA()))</f>
        <v/>
      </c>
      <c r="AI1094" s="19">
        <f>IF(NOT(ISNUMBER($A1094)),NA(),IFERROR(INDEX(BBG_Data!$V$2:$V$4000,MATCH($A1094,BBG_Data!$U$2:$U$4000,0))*Settings!$B$25,NA()))</f>
        <v/>
      </c>
      <c r="AJ1094" s="19">
        <f>IF(NOT(ISNUMBER($A1094)),NA(),IFERROR(1*INDEX(BBG_Data!$X$2:$X$4000,MATCH($A1094,BBG_Data!$W$2:$W$4000,0)),NA()))</f>
        <v/>
      </c>
      <c r="AK1094" s="19">
        <f>IF(NOT(ISNUMBER($A1094)),NA(),IFERROR(1*INDEX(BBG_Data!$Z$2:$Z$4000,MATCH($A1094,BBG_Data!$Y$2:$Y$4000,0)),NA()))</f>
        <v/>
      </c>
    </row>
    <row r="1095">
      <c r="A1095" s="17">
        <f>IF(ISNUMBER(BBG_Data!A1095),BBG_Data!A1095,"")</f>
        <v/>
      </c>
      <c r="B1095" s="18">
        <f>IF(AND(ISNUMBER($A1095),ISNUMBER(BBG_Data!B1095)),BBG_Data!B1095,NA())</f>
        <v/>
      </c>
      <c r="C1095" s="18">
        <f>IF(NOT(ISNUMBER($A1095)),NA(),IFERROR(1*INDEX(BBG_Data!$D$2:$D$4000,MATCH($A1095,BBG_Data!$C$2:$C$4000,0)),NA()))</f>
        <v/>
      </c>
      <c r="D1095" s="19">
        <f>IF(NOT(ISNUMBER($A1095)),NA(),IFERROR(1*INDEX(BBG_Data!$F$2:$F$4000,MATCH($A1095,BBG_Data!$E$2:$E$4000,0)),NA()))</f>
        <v/>
      </c>
      <c r="E1095" s="19">
        <f>IF(NOT(ISNUMBER($A1095)),NA(),IFERROR(1*INDEX(BBG_Data!$H$2:$H$4000,MATCH($A1095,BBG_Data!$G$2:$G$4000,0)),NA()))</f>
        <v/>
      </c>
      <c r="F1095" s="20">
        <f>IF(AND(ISNUMBER(B1095),ISNUMBER(B1094)),IF(B1095=B1094,"",(B1095-B1094)*100),"")</f>
        <v/>
      </c>
      <c r="G1095" s="20">
        <f>IF(AND(ISNUMBER(C1095),ISNUMBER(C1094)),IF(C1095=C1094,"",(C1095-C1094)*100),"")</f>
        <v/>
      </c>
      <c r="H1095" s="20">
        <f>IF(OR(NOT(ISNUMBER($A1095)),ROW()-2&lt;Settings!$B$11),NA(),IF(COUNT(OFFSET(F1095,1-Settings!$B$11,0,Settings!$B$11,1))&lt;ROUNDUP(Settings!$B$11*Settings!$B$26,0),NA(),STDEV(OFFSET(F1095,1-Settings!$B$11,0,Settings!$B$11,1))*SQRT(Settings!$B$13)))</f>
        <v/>
      </c>
      <c r="I1095" s="20">
        <f>IF(OR(NOT(ISNUMBER($A1095)),ROW()-2&lt;Settings!$B$12),NA(),IF(COUNT(OFFSET(F1095,1-Settings!$B$12,0,Settings!$B$12,1))&lt;ROUNDUP(Settings!$B$12*Settings!$B$26,0),NA(),STDEV(OFFSET(F1095,1-Settings!$B$12,0,Settings!$B$12,1))*SQRT(Settings!$B$13)))</f>
        <v/>
      </c>
      <c r="J1095" s="20">
        <f>IF(OR(NOT(ISNUMBER($A1095)),ROW()-2&lt;Settings!$B$11),NA(),IF(COUNT(OFFSET(G1095,1-Settings!$B$11,0,Settings!$B$11,1))&lt;ROUNDUP(Settings!$B$11*Settings!$B$26,0),NA(),STDEV(OFFSET(G1095,1-Settings!$B$11,0,Settings!$B$11,1))*SQRT(Settings!$B$13)))</f>
        <v/>
      </c>
      <c r="K1095" s="20">
        <f>IF(OR(NOT(ISNUMBER($A1095)),ROW()-2&lt;Settings!$B$12),NA(),IF(COUNT(OFFSET(G1095,1-Settings!$B$12,0,Settings!$B$12,1))&lt;ROUNDUP(Settings!$B$12*Settings!$B$26,0),NA(),STDEV(OFFSET(G1095,1-Settings!$B$12,0,Settings!$B$12,1))*SQRT(Settings!$B$13)))</f>
        <v/>
      </c>
      <c r="L1095" s="20">
        <f>IF(AND(ISNUMBER(D1095),ISNUMBER(H1095)),D1095-H1095,NA())</f>
        <v/>
      </c>
      <c r="M1095" s="20">
        <f>IF(AND(ISNUMBER(E1095),ISNUMBER(K1095)),E1095-K1095,NA())</f>
        <v/>
      </c>
      <c r="N1095" s="20">
        <f>IF(NOT(ISNUMBER($A1095)),NA(),IF(COUNT(OFFSET(G1095,1,0,Settings!$B$12,1))&lt;ROUNDUP(Settings!$B$12*Settings!$B$26,0),NA(),STDEV(OFFSET(G1095,1,0,Settings!$B$12,1))*SQRT(Settings!$B$13)))</f>
        <v/>
      </c>
      <c r="O1095" s="20">
        <f>IF(AND(ISNUMBER(E1095),ISNUMBER(N1095)),E1095-N1095,NA())</f>
        <v/>
      </c>
      <c r="P1095" s="19">
        <f>IF(NOT(ISNUMBER($A1095)),NA(),IF(OR($A1095&lt;MIN(KW_TP!$A$2:$A$2501),$A1095&gt;MAX(KW_TP!$A$2:$A$2501)),NA(),INDEX(KW_TP!$C$2:$C$2501,MATCH($A1095,KW_TP!$A$2:$A$2501,1))))</f>
        <v/>
      </c>
      <c r="Q1095" s="18">
        <f>IF(NOT(ISNUMBER($A1095)),NA(),IFERROR(1*INDEX(BBG_Data!$J$2:$J$4000,MATCH($A1095,BBG_Data!$I$2:$I$4000,0)),NA()))</f>
        <v/>
      </c>
      <c r="R1095" s="18">
        <f>IF(NOT(ISNUMBER($A1095)),NA(),IFERROR(1*INDEX(BBG_Data!$L$2:$L$4000,MATCH($A1095,BBG_Data!$K$2:$K$4000,0)),NA()))</f>
        <v/>
      </c>
      <c r="S1095" s="20">
        <f>IF(AND(ISNUMBER(B1095),ISNUMBER(Q1095),ISNUMBER(R1095)),(B1095-Q1095-R1095)*100,NA())</f>
        <v/>
      </c>
      <c r="T1095" s="20">
        <f>IF(AND(ISNUMBER(B1095),Settings!$B$17&gt;0),IF(ISNUMBER(INDEX($B:$B,Settings!$B$17)),(B1095-INDEX($B:$B,Settings!$B$17))*100,NA()),NA())</f>
        <v/>
      </c>
      <c r="U1095" s="20">
        <f>IF(AND(ISNUMBER(Q1095),Settings!$B$17&gt;0),IF(ISNUMBER(INDEX($Q:$Q,Settings!$B$17)),(Q1095-INDEX($Q:$Q,Settings!$B$17))*100,NA()),NA())</f>
        <v/>
      </c>
      <c r="V1095" s="20">
        <f>IF(AND(ISNUMBER(R1095),Settings!$B$17&gt;0),IF(ISNUMBER(INDEX($R:$R,Settings!$B$17)),(R1095-INDEX($R:$R,Settings!$B$17))*100,NA()),NA())</f>
        <v/>
      </c>
      <c r="W1095" s="20">
        <f>IF(AND(ISNUMBER(P1095),Settings!$B$17&gt;0),IF(ISNUMBER(INDEX($P:$P,Settings!$B$17)),P1095-INDEX($P:$P,Settings!$B$17),NA()),NA())</f>
        <v/>
      </c>
      <c r="X1095" s="19">
        <f>IF(NOT(ISNUMBER($A1095)),NA(),IF(OR($A1095&lt;MIN(DKW_10Y!$A$2:$A$2918),$A1095&gt;MAX(DKW_10Y!$A$2:$A$2918),Settings!$B$16&lt;MIN(DKW_10Y!$A$2:$A$2918)),NA(),(INDEX(DKW_10Y!$B$2:$B$2918,MATCH($A1095,DKW_10Y!$A$2:$A$2918,1))-INDEX(DKW_10Y!$B$2:$B$2918,MATCH(Settings!$B$16,DKW_10Y!$A$2:$A$2918,1)))*100))</f>
        <v/>
      </c>
      <c r="Y1095" s="19">
        <f>IF(NOT(ISNUMBER($A1095)),NA(),IF(OR($A1095&lt;MIN(DKW_10Y!$A$2:$A$2918),$A1095&gt;MAX(DKW_10Y!$A$2:$A$2918),Settings!$B$16&lt;MIN(DKW_10Y!$A$2:$A$2918)),NA(),(INDEX(DKW_10Y!$C$2:$C$2918,MATCH($A1095,DKW_10Y!$A$2:$A$2918,1))-INDEX(DKW_10Y!$C$2:$C$2918,MATCH(Settings!$B$16,DKW_10Y!$A$2:$A$2918,1)))*100))</f>
        <v/>
      </c>
      <c r="Z1095" s="19">
        <f>IF(NOT(ISNUMBER($A1095)),NA(),IF(OR($A1095&lt;MIN(DKW_10Y!$A$2:$A$2918),$A1095&gt;MAX(DKW_10Y!$A$2:$A$2918),Settings!$B$16&lt;MIN(DKW_10Y!$A$2:$A$2918)),NA(),(INDEX(DKW_10Y!$D$2:$D$2918,MATCH($A1095,DKW_10Y!$A$2:$A$2918,1))-INDEX(DKW_10Y!$D$2:$D$2918,MATCH(Settings!$B$16,DKW_10Y!$A$2:$A$2918,1)))*100))</f>
        <v/>
      </c>
      <c r="AA1095" s="19">
        <f>IF(NOT(ISNUMBER($A1095)),NA(),IF(OR($A1095&lt;MIN(DKW_10Y!$A$2:$A$2918),$A1095&gt;MAX(DKW_10Y!$A$2:$A$2918),Settings!$B$16&lt;MIN(DKW_10Y!$A$2:$A$2918)),NA(),(INDEX(DKW_10Y!$E$2:$E$2918,MATCH($A1095,DKW_10Y!$A$2:$A$2918,1))-INDEX(DKW_10Y!$E$2:$E$2918,MATCH(Settings!$B$16,DKW_10Y!$A$2:$A$2918,1)))*100))</f>
        <v/>
      </c>
      <c r="AB1095" s="19">
        <f>IF(NOT(ISNUMBER($A1095)),NA(),IF(OR($A1095&lt;MIN(DKW_10Y!$A$2:$A$2918),$A1095&gt;MAX(DKW_10Y!$A$2:$A$2918),Settings!$B$16&lt;MIN(DKW_10Y!$A$2:$A$2918)),NA(),(INDEX(DKW_10Y!$H$2:$H$2918,MATCH($A1095,DKW_10Y!$A$2:$A$2918,1))-INDEX(DKW_10Y!$H$2:$H$2918,MATCH(Settings!$B$16,DKW_10Y!$A$2:$A$2918,1)))*100))</f>
        <v/>
      </c>
      <c r="AC1095" s="18">
        <f>IF(NOT(ISNUMBER($A1095)),NA(),IFERROR(1*INDEX(BBG_Data!$N$2:$N$4000,MATCH($A1095,BBG_Data!$M$2:$M$4000,0)),NA()))</f>
        <v/>
      </c>
      <c r="AD1095" s="18">
        <f>IF(NOT(ISNUMBER($A1095)),NA(),IFERROR(1*INDEX(BBG_Data!$P$2:$P$4000,MATCH($A1095,BBG_Data!$O$2:$O$4000,0)),NA()))</f>
        <v/>
      </c>
      <c r="AE1095" s="18">
        <f>IF(NOT(ISNUMBER($A1095)),NA(),IFERROR(1*INDEX(BBG_Data!$R$2:$R$4000,MATCH($A1095,BBG_Data!$Q$2:$Q$4000,0)),NA()))</f>
        <v/>
      </c>
      <c r="AF1095" s="20">
        <f>IF(AND(ISNUMBER(B1095),ISNUMBER(AC1095)),(B1095-AC1095)*100,NA())</f>
        <v/>
      </c>
      <c r="AG1095" s="20">
        <f>IF(AND(ISNUMBER(AE1095),ISNUMBER(AD1095)),(AE1095-AD1095)*100,NA())</f>
        <v/>
      </c>
      <c r="AH1095" s="19">
        <f>IF(NOT(ISNUMBER($A1095)),NA(),IFERROR(INDEX(BBG_Data!$T$2:$T$4000,MATCH($A1095,BBG_Data!$S$2:$S$4000,0))*Settings!$B$25,NA()))</f>
        <v/>
      </c>
      <c r="AI1095" s="19">
        <f>IF(NOT(ISNUMBER($A1095)),NA(),IFERROR(INDEX(BBG_Data!$V$2:$V$4000,MATCH($A1095,BBG_Data!$U$2:$U$4000,0))*Settings!$B$25,NA()))</f>
        <v/>
      </c>
      <c r="AJ1095" s="19">
        <f>IF(NOT(ISNUMBER($A1095)),NA(),IFERROR(1*INDEX(BBG_Data!$X$2:$X$4000,MATCH($A1095,BBG_Data!$W$2:$W$4000,0)),NA()))</f>
        <v/>
      </c>
      <c r="AK1095" s="19">
        <f>IF(NOT(ISNUMBER($A1095)),NA(),IFERROR(1*INDEX(BBG_Data!$Z$2:$Z$4000,MATCH($A1095,BBG_Data!$Y$2:$Y$4000,0)),NA()))</f>
        <v/>
      </c>
    </row>
    <row r="1096">
      <c r="A1096" s="17">
        <f>IF(ISNUMBER(BBG_Data!A1096),BBG_Data!A1096,"")</f>
        <v/>
      </c>
      <c r="B1096" s="18">
        <f>IF(AND(ISNUMBER($A1096),ISNUMBER(BBG_Data!B1096)),BBG_Data!B1096,NA())</f>
        <v/>
      </c>
      <c r="C1096" s="18">
        <f>IF(NOT(ISNUMBER($A1096)),NA(),IFERROR(1*INDEX(BBG_Data!$D$2:$D$4000,MATCH($A1096,BBG_Data!$C$2:$C$4000,0)),NA()))</f>
        <v/>
      </c>
      <c r="D1096" s="19">
        <f>IF(NOT(ISNUMBER($A1096)),NA(),IFERROR(1*INDEX(BBG_Data!$F$2:$F$4000,MATCH($A1096,BBG_Data!$E$2:$E$4000,0)),NA()))</f>
        <v/>
      </c>
      <c r="E1096" s="19">
        <f>IF(NOT(ISNUMBER($A1096)),NA(),IFERROR(1*INDEX(BBG_Data!$H$2:$H$4000,MATCH($A1096,BBG_Data!$G$2:$G$4000,0)),NA()))</f>
        <v/>
      </c>
      <c r="F1096" s="20">
        <f>IF(AND(ISNUMBER(B1096),ISNUMBER(B1095)),IF(B1096=B1095,"",(B1096-B1095)*100),"")</f>
        <v/>
      </c>
      <c r="G1096" s="20">
        <f>IF(AND(ISNUMBER(C1096),ISNUMBER(C1095)),IF(C1096=C1095,"",(C1096-C1095)*100),"")</f>
        <v/>
      </c>
      <c r="H1096" s="20">
        <f>IF(OR(NOT(ISNUMBER($A1096)),ROW()-2&lt;Settings!$B$11),NA(),IF(COUNT(OFFSET(F1096,1-Settings!$B$11,0,Settings!$B$11,1))&lt;ROUNDUP(Settings!$B$11*Settings!$B$26,0),NA(),STDEV(OFFSET(F1096,1-Settings!$B$11,0,Settings!$B$11,1))*SQRT(Settings!$B$13)))</f>
        <v/>
      </c>
      <c r="I1096" s="20">
        <f>IF(OR(NOT(ISNUMBER($A1096)),ROW()-2&lt;Settings!$B$12),NA(),IF(COUNT(OFFSET(F1096,1-Settings!$B$12,0,Settings!$B$12,1))&lt;ROUNDUP(Settings!$B$12*Settings!$B$26,0),NA(),STDEV(OFFSET(F1096,1-Settings!$B$12,0,Settings!$B$12,1))*SQRT(Settings!$B$13)))</f>
        <v/>
      </c>
      <c r="J1096" s="20">
        <f>IF(OR(NOT(ISNUMBER($A1096)),ROW()-2&lt;Settings!$B$11),NA(),IF(COUNT(OFFSET(G1096,1-Settings!$B$11,0,Settings!$B$11,1))&lt;ROUNDUP(Settings!$B$11*Settings!$B$26,0),NA(),STDEV(OFFSET(G1096,1-Settings!$B$11,0,Settings!$B$11,1))*SQRT(Settings!$B$13)))</f>
        <v/>
      </c>
      <c r="K1096" s="20">
        <f>IF(OR(NOT(ISNUMBER($A1096)),ROW()-2&lt;Settings!$B$12),NA(),IF(COUNT(OFFSET(G1096,1-Settings!$B$12,0,Settings!$B$12,1))&lt;ROUNDUP(Settings!$B$12*Settings!$B$26,0),NA(),STDEV(OFFSET(G1096,1-Settings!$B$12,0,Settings!$B$12,1))*SQRT(Settings!$B$13)))</f>
        <v/>
      </c>
      <c r="L1096" s="20">
        <f>IF(AND(ISNUMBER(D1096),ISNUMBER(H1096)),D1096-H1096,NA())</f>
        <v/>
      </c>
      <c r="M1096" s="20">
        <f>IF(AND(ISNUMBER(E1096),ISNUMBER(K1096)),E1096-K1096,NA())</f>
        <v/>
      </c>
      <c r="N1096" s="20">
        <f>IF(NOT(ISNUMBER($A1096)),NA(),IF(COUNT(OFFSET(G1096,1,0,Settings!$B$12,1))&lt;ROUNDUP(Settings!$B$12*Settings!$B$26,0),NA(),STDEV(OFFSET(G1096,1,0,Settings!$B$12,1))*SQRT(Settings!$B$13)))</f>
        <v/>
      </c>
      <c r="O1096" s="20">
        <f>IF(AND(ISNUMBER(E1096),ISNUMBER(N1096)),E1096-N1096,NA())</f>
        <v/>
      </c>
      <c r="P1096" s="19">
        <f>IF(NOT(ISNUMBER($A1096)),NA(),IF(OR($A1096&lt;MIN(KW_TP!$A$2:$A$2501),$A1096&gt;MAX(KW_TP!$A$2:$A$2501)),NA(),INDEX(KW_TP!$C$2:$C$2501,MATCH($A1096,KW_TP!$A$2:$A$2501,1))))</f>
        <v/>
      </c>
      <c r="Q1096" s="18">
        <f>IF(NOT(ISNUMBER($A1096)),NA(),IFERROR(1*INDEX(BBG_Data!$J$2:$J$4000,MATCH($A1096,BBG_Data!$I$2:$I$4000,0)),NA()))</f>
        <v/>
      </c>
      <c r="R1096" s="18">
        <f>IF(NOT(ISNUMBER($A1096)),NA(),IFERROR(1*INDEX(BBG_Data!$L$2:$L$4000,MATCH($A1096,BBG_Data!$K$2:$K$4000,0)),NA()))</f>
        <v/>
      </c>
      <c r="S1096" s="20">
        <f>IF(AND(ISNUMBER(B1096),ISNUMBER(Q1096),ISNUMBER(R1096)),(B1096-Q1096-R1096)*100,NA())</f>
        <v/>
      </c>
      <c r="T1096" s="20">
        <f>IF(AND(ISNUMBER(B1096),Settings!$B$17&gt;0),IF(ISNUMBER(INDEX($B:$B,Settings!$B$17)),(B1096-INDEX($B:$B,Settings!$B$17))*100,NA()),NA())</f>
        <v/>
      </c>
      <c r="U1096" s="20">
        <f>IF(AND(ISNUMBER(Q1096),Settings!$B$17&gt;0),IF(ISNUMBER(INDEX($Q:$Q,Settings!$B$17)),(Q1096-INDEX($Q:$Q,Settings!$B$17))*100,NA()),NA())</f>
        <v/>
      </c>
      <c r="V1096" s="20">
        <f>IF(AND(ISNUMBER(R1096),Settings!$B$17&gt;0),IF(ISNUMBER(INDEX($R:$R,Settings!$B$17)),(R1096-INDEX($R:$R,Settings!$B$17))*100,NA()),NA())</f>
        <v/>
      </c>
      <c r="W1096" s="20">
        <f>IF(AND(ISNUMBER(P1096),Settings!$B$17&gt;0),IF(ISNUMBER(INDEX($P:$P,Settings!$B$17)),P1096-INDEX($P:$P,Settings!$B$17),NA()),NA())</f>
        <v/>
      </c>
      <c r="X1096" s="19">
        <f>IF(NOT(ISNUMBER($A1096)),NA(),IF(OR($A1096&lt;MIN(DKW_10Y!$A$2:$A$2918),$A1096&gt;MAX(DKW_10Y!$A$2:$A$2918),Settings!$B$16&lt;MIN(DKW_10Y!$A$2:$A$2918)),NA(),(INDEX(DKW_10Y!$B$2:$B$2918,MATCH($A1096,DKW_10Y!$A$2:$A$2918,1))-INDEX(DKW_10Y!$B$2:$B$2918,MATCH(Settings!$B$16,DKW_10Y!$A$2:$A$2918,1)))*100))</f>
        <v/>
      </c>
      <c r="Y1096" s="19">
        <f>IF(NOT(ISNUMBER($A1096)),NA(),IF(OR($A1096&lt;MIN(DKW_10Y!$A$2:$A$2918),$A1096&gt;MAX(DKW_10Y!$A$2:$A$2918),Settings!$B$16&lt;MIN(DKW_10Y!$A$2:$A$2918)),NA(),(INDEX(DKW_10Y!$C$2:$C$2918,MATCH($A1096,DKW_10Y!$A$2:$A$2918,1))-INDEX(DKW_10Y!$C$2:$C$2918,MATCH(Settings!$B$16,DKW_10Y!$A$2:$A$2918,1)))*100))</f>
        <v/>
      </c>
      <c r="Z1096" s="19">
        <f>IF(NOT(ISNUMBER($A1096)),NA(),IF(OR($A1096&lt;MIN(DKW_10Y!$A$2:$A$2918),$A1096&gt;MAX(DKW_10Y!$A$2:$A$2918),Settings!$B$16&lt;MIN(DKW_10Y!$A$2:$A$2918)),NA(),(INDEX(DKW_10Y!$D$2:$D$2918,MATCH($A1096,DKW_10Y!$A$2:$A$2918,1))-INDEX(DKW_10Y!$D$2:$D$2918,MATCH(Settings!$B$16,DKW_10Y!$A$2:$A$2918,1)))*100))</f>
        <v/>
      </c>
      <c r="AA1096" s="19">
        <f>IF(NOT(ISNUMBER($A1096)),NA(),IF(OR($A1096&lt;MIN(DKW_10Y!$A$2:$A$2918),$A1096&gt;MAX(DKW_10Y!$A$2:$A$2918),Settings!$B$16&lt;MIN(DKW_10Y!$A$2:$A$2918)),NA(),(INDEX(DKW_10Y!$E$2:$E$2918,MATCH($A1096,DKW_10Y!$A$2:$A$2918,1))-INDEX(DKW_10Y!$E$2:$E$2918,MATCH(Settings!$B$16,DKW_10Y!$A$2:$A$2918,1)))*100))</f>
        <v/>
      </c>
      <c r="AB1096" s="19">
        <f>IF(NOT(ISNUMBER($A1096)),NA(),IF(OR($A1096&lt;MIN(DKW_10Y!$A$2:$A$2918),$A1096&gt;MAX(DKW_10Y!$A$2:$A$2918),Settings!$B$16&lt;MIN(DKW_10Y!$A$2:$A$2918)),NA(),(INDEX(DKW_10Y!$H$2:$H$2918,MATCH($A1096,DKW_10Y!$A$2:$A$2918,1))-INDEX(DKW_10Y!$H$2:$H$2918,MATCH(Settings!$B$16,DKW_10Y!$A$2:$A$2918,1)))*100))</f>
        <v/>
      </c>
      <c r="AC1096" s="18">
        <f>IF(NOT(ISNUMBER($A1096)),NA(),IFERROR(1*INDEX(BBG_Data!$N$2:$N$4000,MATCH($A1096,BBG_Data!$M$2:$M$4000,0)),NA()))</f>
        <v/>
      </c>
      <c r="AD1096" s="18">
        <f>IF(NOT(ISNUMBER($A1096)),NA(),IFERROR(1*INDEX(BBG_Data!$P$2:$P$4000,MATCH($A1096,BBG_Data!$O$2:$O$4000,0)),NA()))</f>
        <v/>
      </c>
      <c r="AE1096" s="18">
        <f>IF(NOT(ISNUMBER($A1096)),NA(),IFERROR(1*INDEX(BBG_Data!$R$2:$R$4000,MATCH($A1096,BBG_Data!$Q$2:$Q$4000,0)),NA()))</f>
        <v/>
      </c>
      <c r="AF1096" s="20">
        <f>IF(AND(ISNUMBER(B1096),ISNUMBER(AC1096)),(B1096-AC1096)*100,NA())</f>
        <v/>
      </c>
      <c r="AG1096" s="20">
        <f>IF(AND(ISNUMBER(AE1096),ISNUMBER(AD1096)),(AE1096-AD1096)*100,NA())</f>
        <v/>
      </c>
      <c r="AH1096" s="19">
        <f>IF(NOT(ISNUMBER($A1096)),NA(),IFERROR(INDEX(BBG_Data!$T$2:$T$4000,MATCH($A1096,BBG_Data!$S$2:$S$4000,0))*Settings!$B$25,NA()))</f>
        <v/>
      </c>
      <c r="AI1096" s="19">
        <f>IF(NOT(ISNUMBER($A1096)),NA(),IFERROR(INDEX(BBG_Data!$V$2:$V$4000,MATCH($A1096,BBG_Data!$U$2:$U$4000,0))*Settings!$B$25,NA()))</f>
        <v/>
      </c>
      <c r="AJ1096" s="19">
        <f>IF(NOT(ISNUMBER($A1096)),NA(),IFERROR(1*INDEX(BBG_Data!$X$2:$X$4000,MATCH($A1096,BBG_Data!$W$2:$W$4000,0)),NA()))</f>
        <v/>
      </c>
      <c r="AK1096" s="19">
        <f>IF(NOT(ISNUMBER($A1096)),NA(),IFERROR(1*INDEX(BBG_Data!$Z$2:$Z$4000,MATCH($A1096,BBG_Data!$Y$2:$Y$4000,0)),NA()))</f>
        <v/>
      </c>
    </row>
    <row r="1097">
      <c r="A1097" s="17">
        <f>IF(ISNUMBER(BBG_Data!A1097),BBG_Data!A1097,"")</f>
        <v/>
      </c>
      <c r="B1097" s="18">
        <f>IF(AND(ISNUMBER($A1097),ISNUMBER(BBG_Data!B1097)),BBG_Data!B1097,NA())</f>
        <v/>
      </c>
      <c r="C1097" s="18">
        <f>IF(NOT(ISNUMBER($A1097)),NA(),IFERROR(1*INDEX(BBG_Data!$D$2:$D$4000,MATCH($A1097,BBG_Data!$C$2:$C$4000,0)),NA()))</f>
        <v/>
      </c>
      <c r="D1097" s="19">
        <f>IF(NOT(ISNUMBER($A1097)),NA(),IFERROR(1*INDEX(BBG_Data!$F$2:$F$4000,MATCH($A1097,BBG_Data!$E$2:$E$4000,0)),NA()))</f>
        <v/>
      </c>
      <c r="E1097" s="19">
        <f>IF(NOT(ISNUMBER($A1097)),NA(),IFERROR(1*INDEX(BBG_Data!$H$2:$H$4000,MATCH($A1097,BBG_Data!$G$2:$G$4000,0)),NA()))</f>
        <v/>
      </c>
      <c r="F1097" s="20">
        <f>IF(AND(ISNUMBER(B1097),ISNUMBER(B1096)),IF(B1097=B1096,"",(B1097-B1096)*100),"")</f>
        <v/>
      </c>
      <c r="G1097" s="20">
        <f>IF(AND(ISNUMBER(C1097),ISNUMBER(C1096)),IF(C1097=C1096,"",(C1097-C1096)*100),"")</f>
        <v/>
      </c>
      <c r="H1097" s="20">
        <f>IF(OR(NOT(ISNUMBER($A1097)),ROW()-2&lt;Settings!$B$11),NA(),IF(COUNT(OFFSET(F1097,1-Settings!$B$11,0,Settings!$B$11,1))&lt;ROUNDUP(Settings!$B$11*Settings!$B$26,0),NA(),STDEV(OFFSET(F1097,1-Settings!$B$11,0,Settings!$B$11,1))*SQRT(Settings!$B$13)))</f>
        <v/>
      </c>
      <c r="I1097" s="20">
        <f>IF(OR(NOT(ISNUMBER($A1097)),ROW()-2&lt;Settings!$B$12),NA(),IF(COUNT(OFFSET(F1097,1-Settings!$B$12,0,Settings!$B$12,1))&lt;ROUNDUP(Settings!$B$12*Settings!$B$26,0),NA(),STDEV(OFFSET(F1097,1-Settings!$B$12,0,Settings!$B$12,1))*SQRT(Settings!$B$13)))</f>
        <v/>
      </c>
      <c r="J1097" s="20">
        <f>IF(OR(NOT(ISNUMBER($A1097)),ROW()-2&lt;Settings!$B$11),NA(),IF(COUNT(OFFSET(G1097,1-Settings!$B$11,0,Settings!$B$11,1))&lt;ROUNDUP(Settings!$B$11*Settings!$B$26,0),NA(),STDEV(OFFSET(G1097,1-Settings!$B$11,0,Settings!$B$11,1))*SQRT(Settings!$B$13)))</f>
        <v/>
      </c>
      <c r="K1097" s="20">
        <f>IF(OR(NOT(ISNUMBER($A1097)),ROW()-2&lt;Settings!$B$12),NA(),IF(COUNT(OFFSET(G1097,1-Settings!$B$12,0,Settings!$B$12,1))&lt;ROUNDUP(Settings!$B$12*Settings!$B$26,0),NA(),STDEV(OFFSET(G1097,1-Settings!$B$12,0,Settings!$B$12,1))*SQRT(Settings!$B$13)))</f>
        <v/>
      </c>
      <c r="L1097" s="20">
        <f>IF(AND(ISNUMBER(D1097),ISNUMBER(H1097)),D1097-H1097,NA())</f>
        <v/>
      </c>
      <c r="M1097" s="20">
        <f>IF(AND(ISNUMBER(E1097),ISNUMBER(K1097)),E1097-K1097,NA())</f>
        <v/>
      </c>
      <c r="N1097" s="20">
        <f>IF(NOT(ISNUMBER($A1097)),NA(),IF(COUNT(OFFSET(G1097,1,0,Settings!$B$12,1))&lt;ROUNDUP(Settings!$B$12*Settings!$B$26,0),NA(),STDEV(OFFSET(G1097,1,0,Settings!$B$12,1))*SQRT(Settings!$B$13)))</f>
        <v/>
      </c>
      <c r="O1097" s="20">
        <f>IF(AND(ISNUMBER(E1097),ISNUMBER(N1097)),E1097-N1097,NA())</f>
        <v/>
      </c>
      <c r="P1097" s="19">
        <f>IF(NOT(ISNUMBER($A1097)),NA(),IF(OR($A1097&lt;MIN(KW_TP!$A$2:$A$2501),$A1097&gt;MAX(KW_TP!$A$2:$A$2501)),NA(),INDEX(KW_TP!$C$2:$C$2501,MATCH($A1097,KW_TP!$A$2:$A$2501,1))))</f>
        <v/>
      </c>
      <c r="Q1097" s="18">
        <f>IF(NOT(ISNUMBER($A1097)),NA(),IFERROR(1*INDEX(BBG_Data!$J$2:$J$4000,MATCH($A1097,BBG_Data!$I$2:$I$4000,0)),NA()))</f>
        <v/>
      </c>
      <c r="R1097" s="18">
        <f>IF(NOT(ISNUMBER($A1097)),NA(),IFERROR(1*INDEX(BBG_Data!$L$2:$L$4000,MATCH($A1097,BBG_Data!$K$2:$K$4000,0)),NA()))</f>
        <v/>
      </c>
      <c r="S1097" s="20">
        <f>IF(AND(ISNUMBER(B1097),ISNUMBER(Q1097),ISNUMBER(R1097)),(B1097-Q1097-R1097)*100,NA())</f>
        <v/>
      </c>
      <c r="T1097" s="20">
        <f>IF(AND(ISNUMBER(B1097),Settings!$B$17&gt;0),IF(ISNUMBER(INDEX($B:$B,Settings!$B$17)),(B1097-INDEX($B:$B,Settings!$B$17))*100,NA()),NA())</f>
        <v/>
      </c>
      <c r="U1097" s="20">
        <f>IF(AND(ISNUMBER(Q1097),Settings!$B$17&gt;0),IF(ISNUMBER(INDEX($Q:$Q,Settings!$B$17)),(Q1097-INDEX($Q:$Q,Settings!$B$17))*100,NA()),NA())</f>
        <v/>
      </c>
      <c r="V1097" s="20">
        <f>IF(AND(ISNUMBER(R1097),Settings!$B$17&gt;0),IF(ISNUMBER(INDEX($R:$R,Settings!$B$17)),(R1097-INDEX($R:$R,Settings!$B$17))*100,NA()),NA())</f>
        <v/>
      </c>
      <c r="W1097" s="20">
        <f>IF(AND(ISNUMBER(P1097),Settings!$B$17&gt;0),IF(ISNUMBER(INDEX($P:$P,Settings!$B$17)),P1097-INDEX($P:$P,Settings!$B$17),NA()),NA())</f>
        <v/>
      </c>
      <c r="X1097" s="19">
        <f>IF(NOT(ISNUMBER($A1097)),NA(),IF(OR($A1097&lt;MIN(DKW_10Y!$A$2:$A$2918),$A1097&gt;MAX(DKW_10Y!$A$2:$A$2918),Settings!$B$16&lt;MIN(DKW_10Y!$A$2:$A$2918)),NA(),(INDEX(DKW_10Y!$B$2:$B$2918,MATCH($A1097,DKW_10Y!$A$2:$A$2918,1))-INDEX(DKW_10Y!$B$2:$B$2918,MATCH(Settings!$B$16,DKW_10Y!$A$2:$A$2918,1)))*100))</f>
        <v/>
      </c>
      <c r="Y1097" s="19">
        <f>IF(NOT(ISNUMBER($A1097)),NA(),IF(OR($A1097&lt;MIN(DKW_10Y!$A$2:$A$2918),$A1097&gt;MAX(DKW_10Y!$A$2:$A$2918),Settings!$B$16&lt;MIN(DKW_10Y!$A$2:$A$2918)),NA(),(INDEX(DKW_10Y!$C$2:$C$2918,MATCH($A1097,DKW_10Y!$A$2:$A$2918,1))-INDEX(DKW_10Y!$C$2:$C$2918,MATCH(Settings!$B$16,DKW_10Y!$A$2:$A$2918,1)))*100))</f>
        <v/>
      </c>
      <c r="Z1097" s="19">
        <f>IF(NOT(ISNUMBER($A1097)),NA(),IF(OR($A1097&lt;MIN(DKW_10Y!$A$2:$A$2918),$A1097&gt;MAX(DKW_10Y!$A$2:$A$2918),Settings!$B$16&lt;MIN(DKW_10Y!$A$2:$A$2918)),NA(),(INDEX(DKW_10Y!$D$2:$D$2918,MATCH($A1097,DKW_10Y!$A$2:$A$2918,1))-INDEX(DKW_10Y!$D$2:$D$2918,MATCH(Settings!$B$16,DKW_10Y!$A$2:$A$2918,1)))*100))</f>
        <v/>
      </c>
      <c r="AA1097" s="19">
        <f>IF(NOT(ISNUMBER($A1097)),NA(),IF(OR($A1097&lt;MIN(DKW_10Y!$A$2:$A$2918),$A1097&gt;MAX(DKW_10Y!$A$2:$A$2918),Settings!$B$16&lt;MIN(DKW_10Y!$A$2:$A$2918)),NA(),(INDEX(DKW_10Y!$E$2:$E$2918,MATCH($A1097,DKW_10Y!$A$2:$A$2918,1))-INDEX(DKW_10Y!$E$2:$E$2918,MATCH(Settings!$B$16,DKW_10Y!$A$2:$A$2918,1)))*100))</f>
        <v/>
      </c>
      <c r="AB1097" s="19">
        <f>IF(NOT(ISNUMBER($A1097)),NA(),IF(OR($A1097&lt;MIN(DKW_10Y!$A$2:$A$2918),$A1097&gt;MAX(DKW_10Y!$A$2:$A$2918),Settings!$B$16&lt;MIN(DKW_10Y!$A$2:$A$2918)),NA(),(INDEX(DKW_10Y!$H$2:$H$2918,MATCH($A1097,DKW_10Y!$A$2:$A$2918,1))-INDEX(DKW_10Y!$H$2:$H$2918,MATCH(Settings!$B$16,DKW_10Y!$A$2:$A$2918,1)))*100))</f>
        <v/>
      </c>
      <c r="AC1097" s="18">
        <f>IF(NOT(ISNUMBER($A1097)),NA(),IFERROR(1*INDEX(BBG_Data!$N$2:$N$4000,MATCH($A1097,BBG_Data!$M$2:$M$4000,0)),NA()))</f>
        <v/>
      </c>
      <c r="AD1097" s="18">
        <f>IF(NOT(ISNUMBER($A1097)),NA(),IFERROR(1*INDEX(BBG_Data!$P$2:$P$4000,MATCH($A1097,BBG_Data!$O$2:$O$4000,0)),NA()))</f>
        <v/>
      </c>
      <c r="AE1097" s="18">
        <f>IF(NOT(ISNUMBER($A1097)),NA(),IFERROR(1*INDEX(BBG_Data!$R$2:$R$4000,MATCH($A1097,BBG_Data!$Q$2:$Q$4000,0)),NA()))</f>
        <v/>
      </c>
      <c r="AF1097" s="20">
        <f>IF(AND(ISNUMBER(B1097),ISNUMBER(AC1097)),(B1097-AC1097)*100,NA())</f>
        <v/>
      </c>
      <c r="AG1097" s="20">
        <f>IF(AND(ISNUMBER(AE1097),ISNUMBER(AD1097)),(AE1097-AD1097)*100,NA())</f>
        <v/>
      </c>
      <c r="AH1097" s="19">
        <f>IF(NOT(ISNUMBER($A1097)),NA(),IFERROR(INDEX(BBG_Data!$T$2:$T$4000,MATCH($A1097,BBG_Data!$S$2:$S$4000,0))*Settings!$B$25,NA()))</f>
        <v/>
      </c>
      <c r="AI1097" s="19">
        <f>IF(NOT(ISNUMBER($A1097)),NA(),IFERROR(INDEX(BBG_Data!$V$2:$V$4000,MATCH($A1097,BBG_Data!$U$2:$U$4000,0))*Settings!$B$25,NA()))</f>
        <v/>
      </c>
      <c r="AJ1097" s="19">
        <f>IF(NOT(ISNUMBER($A1097)),NA(),IFERROR(1*INDEX(BBG_Data!$X$2:$X$4000,MATCH($A1097,BBG_Data!$W$2:$W$4000,0)),NA()))</f>
        <v/>
      </c>
      <c r="AK1097" s="19">
        <f>IF(NOT(ISNUMBER($A1097)),NA(),IFERROR(1*INDEX(BBG_Data!$Z$2:$Z$4000,MATCH($A1097,BBG_Data!$Y$2:$Y$4000,0)),NA()))</f>
        <v/>
      </c>
    </row>
    <row r="1098">
      <c r="A1098" s="17">
        <f>IF(ISNUMBER(BBG_Data!A1098),BBG_Data!A1098,"")</f>
        <v/>
      </c>
      <c r="B1098" s="18">
        <f>IF(AND(ISNUMBER($A1098),ISNUMBER(BBG_Data!B1098)),BBG_Data!B1098,NA())</f>
        <v/>
      </c>
      <c r="C1098" s="18">
        <f>IF(NOT(ISNUMBER($A1098)),NA(),IFERROR(1*INDEX(BBG_Data!$D$2:$D$4000,MATCH($A1098,BBG_Data!$C$2:$C$4000,0)),NA()))</f>
        <v/>
      </c>
      <c r="D1098" s="19">
        <f>IF(NOT(ISNUMBER($A1098)),NA(),IFERROR(1*INDEX(BBG_Data!$F$2:$F$4000,MATCH($A1098,BBG_Data!$E$2:$E$4000,0)),NA()))</f>
        <v/>
      </c>
      <c r="E1098" s="19">
        <f>IF(NOT(ISNUMBER($A1098)),NA(),IFERROR(1*INDEX(BBG_Data!$H$2:$H$4000,MATCH($A1098,BBG_Data!$G$2:$G$4000,0)),NA()))</f>
        <v/>
      </c>
      <c r="F1098" s="20">
        <f>IF(AND(ISNUMBER(B1098),ISNUMBER(B1097)),IF(B1098=B1097,"",(B1098-B1097)*100),"")</f>
        <v/>
      </c>
      <c r="G1098" s="20">
        <f>IF(AND(ISNUMBER(C1098),ISNUMBER(C1097)),IF(C1098=C1097,"",(C1098-C1097)*100),"")</f>
        <v/>
      </c>
      <c r="H1098" s="20">
        <f>IF(OR(NOT(ISNUMBER($A1098)),ROW()-2&lt;Settings!$B$11),NA(),IF(COUNT(OFFSET(F1098,1-Settings!$B$11,0,Settings!$B$11,1))&lt;ROUNDUP(Settings!$B$11*Settings!$B$26,0),NA(),STDEV(OFFSET(F1098,1-Settings!$B$11,0,Settings!$B$11,1))*SQRT(Settings!$B$13)))</f>
        <v/>
      </c>
      <c r="I1098" s="20">
        <f>IF(OR(NOT(ISNUMBER($A1098)),ROW()-2&lt;Settings!$B$12),NA(),IF(COUNT(OFFSET(F1098,1-Settings!$B$12,0,Settings!$B$12,1))&lt;ROUNDUP(Settings!$B$12*Settings!$B$26,0),NA(),STDEV(OFFSET(F1098,1-Settings!$B$12,0,Settings!$B$12,1))*SQRT(Settings!$B$13)))</f>
        <v/>
      </c>
      <c r="J1098" s="20">
        <f>IF(OR(NOT(ISNUMBER($A1098)),ROW()-2&lt;Settings!$B$11),NA(),IF(COUNT(OFFSET(G1098,1-Settings!$B$11,0,Settings!$B$11,1))&lt;ROUNDUP(Settings!$B$11*Settings!$B$26,0),NA(),STDEV(OFFSET(G1098,1-Settings!$B$11,0,Settings!$B$11,1))*SQRT(Settings!$B$13)))</f>
        <v/>
      </c>
      <c r="K1098" s="20">
        <f>IF(OR(NOT(ISNUMBER($A1098)),ROW()-2&lt;Settings!$B$12),NA(),IF(COUNT(OFFSET(G1098,1-Settings!$B$12,0,Settings!$B$12,1))&lt;ROUNDUP(Settings!$B$12*Settings!$B$26,0),NA(),STDEV(OFFSET(G1098,1-Settings!$B$12,0,Settings!$B$12,1))*SQRT(Settings!$B$13)))</f>
        <v/>
      </c>
      <c r="L1098" s="20">
        <f>IF(AND(ISNUMBER(D1098),ISNUMBER(H1098)),D1098-H1098,NA())</f>
        <v/>
      </c>
      <c r="M1098" s="20">
        <f>IF(AND(ISNUMBER(E1098),ISNUMBER(K1098)),E1098-K1098,NA())</f>
        <v/>
      </c>
      <c r="N1098" s="20">
        <f>IF(NOT(ISNUMBER($A1098)),NA(),IF(COUNT(OFFSET(G1098,1,0,Settings!$B$12,1))&lt;ROUNDUP(Settings!$B$12*Settings!$B$26,0),NA(),STDEV(OFFSET(G1098,1,0,Settings!$B$12,1))*SQRT(Settings!$B$13)))</f>
        <v/>
      </c>
      <c r="O1098" s="20">
        <f>IF(AND(ISNUMBER(E1098),ISNUMBER(N1098)),E1098-N1098,NA())</f>
        <v/>
      </c>
      <c r="P1098" s="19">
        <f>IF(NOT(ISNUMBER($A1098)),NA(),IF(OR($A1098&lt;MIN(KW_TP!$A$2:$A$2501),$A1098&gt;MAX(KW_TP!$A$2:$A$2501)),NA(),INDEX(KW_TP!$C$2:$C$2501,MATCH($A1098,KW_TP!$A$2:$A$2501,1))))</f>
        <v/>
      </c>
      <c r="Q1098" s="18">
        <f>IF(NOT(ISNUMBER($A1098)),NA(),IFERROR(1*INDEX(BBG_Data!$J$2:$J$4000,MATCH($A1098,BBG_Data!$I$2:$I$4000,0)),NA()))</f>
        <v/>
      </c>
      <c r="R1098" s="18">
        <f>IF(NOT(ISNUMBER($A1098)),NA(),IFERROR(1*INDEX(BBG_Data!$L$2:$L$4000,MATCH($A1098,BBG_Data!$K$2:$K$4000,0)),NA()))</f>
        <v/>
      </c>
      <c r="S1098" s="20">
        <f>IF(AND(ISNUMBER(B1098),ISNUMBER(Q1098),ISNUMBER(R1098)),(B1098-Q1098-R1098)*100,NA())</f>
        <v/>
      </c>
      <c r="T1098" s="20">
        <f>IF(AND(ISNUMBER(B1098),Settings!$B$17&gt;0),IF(ISNUMBER(INDEX($B:$B,Settings!$B$17)),(B1098-INDEX($B:$B,Settings!$B$17))*100,NA()),NA())</f>
        <v/>
      </c>
      <c r="U1098" s="20">
        <f>IF(AND(ISNUMBER(Q1098),Settings!$B$17&gt;0),IF(ISNUMBER(INDEX($Q:$Q,Settings!$B$17)),(Q1098-INDEX($Q:$Q,Settings!$B$17))*100,NA()),NA())</f>
        <v/>
      </c>
      <c r="V1098" s="20">
        <f>IF(AND(ISNUMBER(R1098),Settings!$B$17&gt;0),IF(ISNUMBER(INDEX($R:$R,Settings!$B$17)),(R1098-INDEX($R:$R,Settings!$B$17))*100,NA()),NA())</f>
        <v/>
      </c>
      <c r="W1098" s="20">
        <f>IF(AND(ISNUMBER(P1098),Settings!$B$17&gt;0),IF(ISNUMBER(INDEX($P:$P,Settings!$B$17)),P1098-INDEX($P:$P,Settings!$B$17),NA()),NA())</f>
        <v/>
      </c>
      <c r="X1098" s="19">
        <f>IF(NOT(ISNUMBER($A1098)),NA(),IF(OR($A1098&lt;MIN(DKW_10Y!$A$2:$A$2918),$A1098&gt;MAX(DKW_10Y!$A$2:$A$2918),Settings!$B$16&lt;MIN(DKW_10Y!$A$2:$A$2918)),NA(),(INDEX(DKW_10Y!$B$2:$B$2918,MATCH($A1098,DKW_10Y!$A$2:$A$2918,1))-INDEX(DKW_10Y!$B$2:$B$2918,MATCH(Settings!$B$16,DKW_10Y!$A$2:$A$2918,1)))*100))</f>
        <v/>
      </c>
      <c r="Y1098" s="19">
        <f>IF(NOT(ISNUMBER($A1098)),NA(),IF(OR($A1098&lt;MIN(DKW_10Y!$A$2:$A$2918),$A1098&gt;MAX(DKW_10Y!$A$2:$A$2918),Settings!$B$16&lt;MIN(DKW_10Y!$A$2:$A$2918)),NA(),(INDEX(DKW_10Y!$C$2:$C$2918,MATCH($A1098,DKW_10Y!$A$2:$A$2918,1))-INDEX(DKW_10Y!$C$2:$C$2918,MATCH(Settings!$B$16,DKW_10Y!$A$2:$A$2918,1)))*100))</f>
        <v/>
      </c>
      <c r="Z1098" s="19">
        <f>IF(NOT(ISNUMBER($A1098)),NA(),IF(OR($A1098&lt;MIN(DKW_10Y!$A$2:$A$2918),$A1098&gt;MAX(DKW_10Y!$A$2:$A$2918),Settings!$B$16&lt;MIN(DKW_10Y!$A$2:$A$2918)),NA(),(INDEX(DKW_10Y!$D$2:$D$2918,MATCH($A1098,DKW_10Y!$A$2:$A$2918,1))-INDEX(DKW_10Y!$D$2:$D$2918,MATCH(Settings!$B$16,DKW_10Y!$A$2:$A$2918,1)))*100))</f>
        <v/>
      </c>
      <c r="AA1098" s="19">
        <f>IF(NOT(ISNUMBER($A1098)),NA(),IF(OR($A1098&lt;MIN(DKW_10Y!$A$2:$A$2918),$A1098&gt;MAX(DKW_10Y!$A$2:$A$2918),Settings!$B$16&lt;MIN(DKW_10Y!$A$2:$A$2918)),NA(),(INDEX(DKW_10Y!$E$2:$E$2918,MATCH($A1098,DKW_10Y!$A$2:$A$2918,1))-INDEX(DKW_10Y!$E$2:$E$2918,MATCH(Settings!$B$16,DKW_10Y!$A$2:$A$2918,1)))*100))</f>
        <v/>
      </c>
      <c r="AB1098" s="19">
        <f>IF(NOT(ISNUMBER($A1098)),NA(),IF(OR($A1098&lt;MIN(DKW_10Y!$A$2:$A$2918),$A1098&gt;MAX(DKW_10Y!$A$2:$A$2918),Settings!$B$16&lt;MIN(DKW_10Y!$A$2:$A$2918)),NA(),(INDEX(DKW_10Y!$H$2:$H$2918,MATCH($A1098,DKW_10Y!$A$2:$A$2918,1))-INDEX(DKW_10Y!$H$2:$H$2918,MATCH(Settings!$B$16,DKW_10Y!$A$2:$A$2918,1)))*100))</f>
        <v/>
      </c>
      <c r="AC1098" s="18">
        <f>IF(NOT(ISNUMBER($A1098)),NA(),IFERROR(1*INDEX(BBG_Data!$N$2:$N$4000,MATCH($A1098,BBG_Data!$M$2:$M$4000,0)),NA()))</f>
        <v/>
      </c>
      <c r="AD1098" s="18">
        <f>IF(NOT(ISNUMBER($A1098)),NA(),IFERROR(1*INDEX(BBG_Data!$P$2:$P$4000,MATCH($A1098,BBG_Data!$O$2:$O$4000,0)),NA()))</f>
        <v/>
      </c>
      <c r="AE1098" s="18">
        <f>IF(NOT(ISNUMBER($A1098)),NA(),IFERROR(1*INDEX(BBG_Data!$R$2:$R$4000,MATCH($A1098,BBG_Data!$Q$2:$Q$4000,0)),NA()))</f>
        <v/>
      </c>
      <c r="AF1098" s="20">
        <f>IF(AND(ISNUMBER(B1098),ISNUMBER(AC1098)),(B1098-AC1098)*100,NA())</f>
        <v/>
      </c>
      <c r="AG1098" s="20">
        <f>IF(AND(ISNUMBER(AE1098),ISNUMBER(AD1098)),(AE1098-AD1098)*100,NA())</f>
        <v/>
      </c>
      <c r="AH1098" s="19">
        <f>IF(NOT(ISNUMBER($A1098)),NA(),IFERROR(INDEX(BBG_Data!$T$2:$T$4000,MATCH($A1098,BBG_Data!$S$2:$S$4000,0))*Settings!$B$25,NA()))</f>
        <v/>
      </c>
      <c r="AI1098" s="19">
        <f>IF(NOT(ISNUMBER($A1098)),NA(),IFERROR(INDEX(BBG_Data!$V$2:$V$4000,MATCH($A1098,BBG_Data!$U$2:$U$4000,0))*Settings!$B$25,NA()))</f>
        <v/>
      </c>
      <c r="AJ1098" s="19">
        <f>IF(NOT(ISNUMBER($A1098)),NA(),IFERROR(1*INDEX(BBG_Data!$X$2:$X$4000,MATCH($A1098,BBG_Data!$W$2:$W$4000,0)),NA()))</f>
        <v/>
      </c>
      <c r="AK1098" s="19">
        <f>IF(NOT(ISNUMBER($A1098)),NA(),IFERROR(1*INDEX(BBG_Data!$Z$2:$Z$4000,MATCH($A1098,BBG_Data!$Y$2:$Y$4000,0)),NA()))</f>
        <v/>
      </c>
    </row>
    <row r="1099">
      <c r="A1099" s="17">
        <f>IF(ISNUMBER(BBG_Data!A1099),BBG_Data!A1099,"")</f>
        <v/>
      </c>
      <c r="B1099" s="18">
        <f>IF(AND(ISNUMBER($A1099),ISNUMBER(BBG_Data!B1099)),BBG_Data!B1099,NA())</f>
        <v/>
      </c>
      <c r="C1099" s="18">
        <f>IF(NOT(ISNUMBER($A1099)),NA(),IFERROR(1*INDEX(BBG_Data!$D$2:$D$4000,MATCH($A1099,BBG_Data!$C$2:$C$4000,0)),NA()))</f>
        <v/>
      </c>
      <c r="D1099" s="19">
        <f>IF(NOT(ISNUMBER($A1099)),NA(),IFERROR(1*INDEX(BBG_Data!$F$2:$F$4000,MATCH($A1099,BBG_Data!$E$2:$E$4000,0)),NA()))</f>
        <v/>
      </c>
      <c r="E1099" s="19">
        <f>IF(NOT(ISNUMBER($A1099)),NA(),IFERROR(1*INDEX(BBG_Data!$H$2:$H$4000,MATCH($A1099,BBG_Data!$G$2:$G$4000,0)),NA()))</f>
        <v/>
      </c>
      <c r="F1099" s="20">
        <f>IF(AND(ISNUMBER(B1099),ISNUMBER(B1098)),IF(B1099=B1098,"",(B1099-B1098)*100),"")</f>
        <v/>
      </c>
      <c r="G1099" s="20">
        <f>IF(AND(ISNUMBER(C1099),ISNUMBER(C1098)),IF(C1099=C1098,"",(C1099-C1098)*100),"")</f>
        <v/>
      </c>
      <c r="H1099" s="20">
        <f>IF(OR(NOT(ISNUMBER($A1099)),ROW()-2&lt;Settings!$B$11),NA(),IF(COUNT(OFFSET(F1099,1-Settings!$B$11,0,Settings!$B$11,1))&lt;ROUNDUP(Settings!$B$11*Settings!$B$26,0),NA(),STDEV(OFFSET(F1099,1-Settings!$B$11,0,Settings!$B$11,1))*SQRT(Settings!$B$13)))</f>
        <v/>
      </c>
      <c r="I1099" s="20">
        <f>IF(OR(NOT(ISNUMBER($A1099)),ROW()-2&lt;Settings!$B$12),NA(),IF(COUNT(OFFSET(F1099,1-Settings!$B$12,0,Settings!$B$12,1))&lt;ROUNDUP(Settings!$B$12*Settings!$B$26,0),NA(),STDEV(OFFSET(F1099,1-Settings!$B$12,0,Settings!$B$12,1))*SQRT(Settings!$B$13)))</f>
        <v/>
      </c>
      <c r="J1099" s="20">
        <f>IF(OR(NOT(ISNUMBER($A1099)),ROW()-2&lt;Settings!$B$11),NA(),IF(COUNT(OFFSET(G1099,1-Settings!$B$11,0,Settings!$B$11,1))&lt;ROUNDUP(Settings!$B$11*Settings!$B$26,0),NA(),STDEV(OFFSET(G1099,1-Settings!$B$11,0,Settings!$B$11,1))*SQRT(Settings!$B$13)))</f>
        <v/>
      </c>
      <c r="K1099" s="20">
        <f>IF(OR(NOT(ISNUMBER($A1099)),ROW()-2&lt;Settings!$B$12),NA(),IF(COUNT(OFFSET(G1099,1-Settings!$B$12,0,Settings!$B$12,1))&lt;ROUNDUP(Settings!$B$12*Settings!$B$26,0),NA(),STDEV(OFFSET(G1099,1-Settings!$B$12,0,Settings!$B$12,1))*SQRT(Settings!$B$13)))</f>
        <v/>
      </c>
      <c r="L1099" s="20">
        <f>IF(AND(ISNUMBER(D1099),ISNUMBER(H1099)),D1099-H1099,NA())</f>
        <v/>
      </c>
      <c r="M1099" s="20">
        <f>IF(AND(ISNUMBER(E1099),ISNUMBER(K1099)),E1099-K1099,NA())</f>
        <v/>
      </c>
      <c r="N1099" s="20">
        <f>IF(NOT(ISNUMBER($A1099)),NA(),IF(COUNT(OFFSET(G1099,1,0,Settings!$B$12,1))&lt;ROUNDUP(Settings!$B$12*Settings!$B$26,0),NA(),STDEV(OFFSET(G1099,1,0,Settings!$B$12,1))*SQRT(Settings!$B$13)))</f>
        <v/>
      </c>
      <c r="O1099" s="20">
        <f>IF(AND(ISNUMBER(E1099),ISNUMBER(N1099)),E1099-N1099,NA())</f>
        <v/>
      </c>
      <c r="P1099" s="19">
        <f>IF(NOT(ISNUMBER($A1099)),NA(),IF(OR($A1099&lt;MIN(KW_TP!$A$2:$A$2501),$A1099&gt;MAX(KW_TP!$A$2:$A$2501)),NA(),INDEX(KW_TP!$C$2:$C$2501,MATCH($A1099,KW_TP!$A$2:$A$2501,1))))</f>
        <v/>
      </c>
      <c r="Q1099" s="18">
        <f>IF(NOT(ISNUMBER($A1099)),NA(),IFERROR(1*INDEX(BBG_Data!$J$2:$J$4000,MATCH($A1099,BBG_Data!$I$2:$I$4000,0)),NA()))</f>
        <v/>
      </c>
      <c r="R1099" s="18">
        <f>IF(NOT(ISNUMBER($A1099)),NA(),IFERROR(1*INDEX(BBG_Data!$L$2:$L$4000,MATCH($A1099,BBG_Data!$K$2:$K$4000,0)),NA()))</f>
        <v/>
      </c>
      <c r="S1099" s="20">
        <f>IF(AND(ISNUMBER(B1099),ISNUMBER(Q1099),ISNUMBER(R1099)),(B1099-Q1099-R1099)*100,NA())</f>
        <v/>
      </c>
      <c r="T1099" s="20">
        <f>IF(AND(ISNUMBER(B1099),Settings!$B$17&gt;0),IF(ISNUMBER(INDEX($B:$B,Settings!$B$17)),(B1099-INDEX($B:$B,Settings!$B$17))*100,NA()),NA())</f>
        <v/>
      </c>
      <c r="U1099" s="20">
        <f>IF(AND(ISNUMBER(Q1099),Settings!$B$17&gt;0),IF(ISNUMBER(INDEX($Q:$Q,Settings!$B$17)),(Q1099-INDEX($Q:$Q,Settings!$B$17))*100,NA()),NA())</f>
        <v/>
      </c>
      <c r="V1099" s="20">
        <f>IF(AND(ISNUMBER(R1099),Settings!$B$17&gt;0),IF(ISNUMBER(INDEX($R:$R,Settings!$B$17)),(R1099-INDEX($R:$R,Settings!$B$17))*100,NA()),NA())</f>
        <v/>
      </c>
      <c r="W1099" s="20">
        <f>IF(AND(ISNUMBER(P1099),Settings!$B$17&gt;0),IF(ISNUMBER(INDEX($P:$P,Settings!$B$17)),P1099-INDEX($P:$P,Settings!$B$17),NA()),NA())</f>
        <v/>
      </c>
      <c r="X1099" s="19">
        <f>IF(NOT(ISNUMBER($A1099)),NA(),IF(OR($A1099&lt;MIN(DKW_10Y!$A$2:$A$2918),$A1099&gt;MAX(DKW_10Y!$A$2:$A$2918),Settings!$B$16&lt;MIN(DKW_10Y!$A$2:$A$2918)),NA(),(INDEX(DKW_10Y!$B$2:$B$2918,MATCH($A1099,DKW_10Y!$A$2:$A$2918,1))-INDEX(DKW_10Y!$B$2:$B$2918,MATCH(Settings!$B$16,DKW_10Y!$A$2:$A$2918,1)))*100))</f>
        <v/>
      </c>
      <c r="Y1099" s="19">
        <f>IF(NOT(ISNUMBER($A1099)),NA(),IF(OR($A1099&lt;MIN(DKW_10Y!$A$2:$A$2918),$A1099&gt;MAX(DKW_10Y!$A$2:$A$2918),Settings!$B$16&lt;MIN(DKW_10Y!$A$2:$A$2918)),NA(),(INDEX(DKW_10Y!$C$2:$C$2918,MATCH($A1099,DKW_10Y!$A$2:$A$2918,1))-INDEX(DKW_10Y!$C$2:$C$2918,MATCH(Settings!$B$16,DKW_10Y!$A$2:$A$2918,1)))*100))</f>
        <v/>
      </c>
      <c r="Z1099" s="19">
        <f>IF(NOT(ISNUMBER($A1099)),NA(),IF(OR($A1099&lt;MIN(DKW_10Y!$A$2:$A$2918),$A1099&gt;MAX(DKW_10Y!$A$2:$A$2918),Settings!$B$16&lt;MIN(DKW_10Y!$A$2:$A$2918)),NA(),(INDEX(DKW_10Y!$D$2:$D$2918,MATCH($A1099,DKW_10Y!$A$2:$A$2918,1))-INDEX(DKW_10Y!$D$2:$D$2918,MATCH(Settings!$B$16,DKW_10Y!$A$2:$A$2918,1)))*100))</f>
        <v/>
      </c>
      <c r="AA1099" s="19">
        <f>IF(NOT(ISNUMBER($A1099)),NA(),IF(OR($A1099&lt;MIN(DKW_10Y!$A$2:$A$2918),$A1099&gt;MAX(DKW_10Y!$A$2:$A$2918),Settings!$B$16&lt;MIN(DKW_10Y!$A$2:$A$2918)),NA(),(INDEX(DKW_10Y!$E$2:$E$2918,MATCH($A1099,DKW_10Y!$A$2:$A$2918,1))-INDEX(DKW_10Y!$E$2:$E$2918,MATCH(Settings!$B$16,DKW_10Y!$A$2:$A$2918,1)))*100))</f>
        <v/>
      </c>
      <c r="AB1099" s="19">
        <f>IF(NOT(ISNUMBER($A1099)),NA(),IF(OR($A1099&lt;MIN(DKW_10Y!$A$2:$A$2918),$A1099&gt;MAX(DKW_10Y!$A$2:$A$2918),Settings!$B$16&lt;MIN(DKW_10Y!$A$2:$A$2918)),NA(),(INDEX(DKW_10Y!$H$2:$H$2918,MATCH($A1099,DKW_10Y!$A$2:$A$2918,1))-INDEX(DKW_10Y!$H$2:$H$2918,MATCH(Settings!$B$16,DKW_10Y!$A$2:$A$2918,1)))*100))</f>
        <v/>
      </c>
      <c r="AC1099" s="18">
        <f>IF(NOT(ISNUMBER($A1099)),NA(),IFERROR(1*INDEX(BBG_Data!$N$2:$N$4000,MATCH($A1099,BBG_Data!$M$2:$M$4000,0)),NA()))</f>
        <v/>
      </c>
      <c r="AD1099" s="18">
        <f>IF(NOT(ISNUMBER($A1099)),NA(),IFERROR(1*INDEX(BBG_Data!$P$2:$P$4000,MATCH($A1099,BBG_Data!$O$2:$O$4000,0)),NA()))</f>
        <v/>
      </c>
      <c r="AE1099" s="18">
        <f>IF(NOT(ISNUMBER($A1099)),NA(),IFERROR(1*INDEX(BBG_Data!$R$2:$R$4000,MATCH($A1099,BBG_Data!$Q$2:$Q$4000,0)),NA()))</f>
        <v/>
      </c>
      <c r="AF1099" s="20">
        <f>IF(AND(ISNUMBER(B1099),ISNUMBER(AC1099)),(B1099-AC1099)*100,NA())</f>
        <v/>
      </c>
      <c r="AG1099" s="20">
        <f>IF(AND(ISNUMBER(AE1099),ISNUMBER(AD1099)),(AE1099-AD1099)*100,NA())</f>
        <v/>
      </c>
      <c r="AH1099" s="19">
        <f>IF(NOT(ISNUMBER($A1099)),NA(),IFERROR(INDEX(BBG_Data!$T$2:$T$4000,MATCH($A1099,BBG_Data!$S$2:$S$4000,0))*Settings!$B$25,NA()))</f>
        <v/>
      </c>
      <c r="AI1099" s="19">
        <f>IF(NOT(ISNUMBER($A1099)),NA(),IFERROR(INDEX(BBG_Data!$V$2:$V$4000,MATCH($A1099,BBG_Data!$U$2:$U$4000,0))*Settings!$B$25,NA()))</f>
        <v/>
      </c>
      <c r="AJ1099" s="19">
        <f>IF(NOT(ISNUMBER($A1099)),NA(),IFERROR(1*INDEX(BBG_Data!$X$2:$X$4000,MATCH($A1099,BBG_Data!$W$2:$W$4000,0)),NA()))</f>
        <v/>
      </c>
      <c r="AK1099" s="19">
        <f>IF(NOT(ISNUMBER($A1099)),NA(),IFERROR(1*INDEX(BBG_Data!$Z$2:$Z$4000,MATCH($A1099,BBG_Data!$Y$2:$Y$4000,0)),NA()))</f>
        <v/>
      </c>
    </row>
    <row r="1100">
      <c r="A1100" s="17">
        <f>IF(ISNUMBER(BBG_Data!A1100),BBG_Data!A1100,"")</f>
        <v/>
      </c>
      <c r="B1100" s="18">
        <f>IF(AND(ISNUMBER($A1100),ISNUMBER(BBG_Data!B1100)),BBG_Data!B1100,NA())</f>
        <v/>
      </c>
      <c r="C1100" s="18">
        <f>IF(NOT(ISNUMBER($A1100)),NA(),IFERROR(1*INDEX(BBG_Data!$D$2:$D$4000,MATCH($A1100,BBG_Data!$C$2:$C$4000,0)),NA()))</f>
        <v/>
      </c>
      <c r="D1100" s="19">
        <f>IF(NOT(ISNUMBER($A1100)),NA(),IFERROR(1*INDEX(BBG_Data!$F$2:$F$4000,MATCH($A1100,BBG_Data!$E$2:$E$4000,0)),NA()))</f>
        <v/>
      </c>
      <c r="E1100" s="19">
        <f>IF(NOT(ISNUMBER($A1100)),NA(),IFERROR(1*INDEX(BBG_Data!$H$2:$H$4000,MATCH($A1100,BBG_Data!$G$2:$G$4000,0)),NA()))</f>
        <v/>
      </c>
      <c r="F1100" s="20">
        <f>IF(AND(ISNUMBER(B1100),ISNUMBER(B1099)),IF(B1100=B1099,"",(B1100-B1099)*100),"")</f>
        <v/>
      </c>
      <c r="G1100" s="20">
        <f>IF(AND(ISNUMBER(C1100),ISNUMBER(C1099)),IF(C1100=C1099,"",(C1100-C1099)*100),"")</f>
        <v/>
      </c>
      <c r="H1100" s="20">
        <f>IF(OR(NOT(ISNUMBER($A1100)),ROW()-2&lt;Settings!$B$11),NA(),IF(COUNT(OFFSET(F1100,1-Settings!$B$11,0,Settings!$B$11,1))&lt;ROUNDUP(Settings!$B$11*Settings!$B$26,0),NA(),STDEV(OFFSET(F1100,1-Settings!$B$11,0,Settings!$B$11,1))*SQRT(Settings!$B$13)))</f>
        <v/>
      </c>
      <c r="I1100" s="20">
        <f>IF(OR(NOT(ISNUMBER($A1100)),ROW()-2&lt;Settings!$B$12),NA(),IF(COUNT(OFFSET(F1100,1-Settings!$B$12,0,Settings!$B$12,1))&lt;ROUNDUP(Settings!$B$12*Settings!$B$26,0),NA(),STDEV(OFFSET(F1100,1-Settings!$B$12,0,Settings!$B$12,1))*SQRT(Settings!$B$13)))</f>
        <v/>
      </c>
      <c r="J1100" s="20">
        <f>IF(OR(NOT(ISNUMBER($A1100)),ROW()-2&lt;Settings!$B$11),NA(),IF(COUNT(OFFSET(G1100,1-Settings!$B$11,0,Settings!$B$11,1))&lt;ROUNDUP(Settings!$B$11*Settings!$B$26,0),NA(),STDEV(OFFSET(G1100,1-Settings!$B$11,0,Settings!$B$11,1))*SQRT(Settings!$B$13)))</f>
        <v/>
      </c>
      <c r="K1100" s="20">
        <f>IF(OR(NOT(ISNUMBER($A1100)),ROW()-2&lt;Settings!$B$12),NA(),IF(COUNT(OFFSET(G1100,1-Settings!$B$12,0,Settings!$B$12,1))&lt;ROUNDUP(Settings!$B$12*Settings!$B$26,0),NA(),STDEV(OFFSET(G1100,1-Settings!$B$12,0,Settings!$B$12,1))*SQRT(Settings!$B$13)))</f>
        <v/>
      </c>
      <c r="L1100" s="20">
        <f>IF(AND(ISNUMBER(D1100),ISNUMBER(H1100)),D1100-H1100,NA())</f>
        <v/>
      </c>
      <c r="M1100" s="20">
        <f>IF(AND(ISNUMBER(E1100),ISNUMBER(K1100)),E1100-K1100,NA())</f>
        <v/>
      </c>
      <c r="N1100" s="20">
        <f>IF(NOT(ISNUMBER($A1100)),NA(),IF(COUNT(OFFSET(G1100,1,0,Settings!$B$12,1))&lt;ROUNDUP(Settings!$B$12*Settings!$B$26,0),NA(),STDEV(OFFSET(G1100,1,0,Settings!$B$12,1))*SQRT(Settings!$B$13)))</f>
        <v/>
      </c>
      <c r="O1100" s="20">
        <f>IF(AND(ISNUMBER(E1100),ISNUMBER(N1100)),E1100-N1100,NA())</f>
        <v/>
      </c>
      <c r="P1100" s="19">
        <f>IF(NOT(ISNUMBER($A1100)),NA(),IF(OR($A1100&lt;MIN(KW_TP!$A$2:$A$2501),$A1100&gt;MAX(KW_TP!$A$2:$A$2501)),NA(),INDEX(KW_TP!$C$2:$C$2501,MATCH($A1100,KW_TP!$A$2:$A$2501,1))))</f>
        <v/>
      </c>
      <c r="Q1100" s="18">
        <f>IF(NOT(ISNUMBER($A1100)),NA(),IFERROR(1*INDEX(BBG_Data!$J$2:$J$4000,MATCH($A1100,BBG_Data!$I$2:$I$4000,0)),NA()))</f>
        <v/>
      </c>
      <c r="R1100" s="18">
        <f>IF(NOT(ISNUMBER($A1100)),NA(),IFERROR(1*INDEX(BBG_Data!$L$2:$L$4000,MATCH($A1100,BBG_Data!$K$2:$K$4000,0)),NA()))</f>
        <v/>
      </c>
      <c r="S1100" s="20">
        <f>IF(AND(ISNUMBER(B1100),ISNUMBER(Q1100),ISNUMBER(R1100)),(B1100-Q1100-R1100)*100,NA())</f>
        <v/>
      </c>
      <c r="T1100" s="20">
        <f>IF(AND(ISNUMBER(B1100),Settings!$B$17&gt;0),IF(ISNUMBER(INDEX($B:$B,Settings!$B$17)),(B1100-INDEX($B:$B,Settings!$B$17))*100,NA()),NA())</f>
        <v/>
      </c>
      <c r="U1100" s="20">
        <f>IF(AND(ISNUMBER(Q1100),Settings!$B$17&gt;0),IF(ISNUMBER(INDEX($Q:$Q,Settings!$B$17)),(Q1100-INDEX($Q:$Q,Settings!$B$17))*100,NA()),NA())</f>
        <v/>
      </c>
      <c r="V1100" s="20">
        <f>IF(AND(ISNUMBER(R1100),Settings!$B$17&gt;0),IF(ISNUMBER(INDEX($R:$R,Settings!$B$17)),(R1100-INDEX($R:$R,Settings!$B$17))*100,NA()),NA())</f>
        <v/>
      </c>
      <c r="W1100" s="20">
        <f>IF(AND(ISNUMBER(P1100),Settings!$B$17&gt;0),IF(ISNUMBER(INDEX($P:$P,Settings!$B$17)),P1100-INDEX($P:$P,Settings!$B$17),NA()),NA())</f>
        <v/>
      </c>
      <c r="X1100" s="19">
        <f>IF(NOT(ISNUMBER($A1100)),NA(),IF(OR($A1100&lt;MIN(DKW_10Y!$A$2:$A$2918),$A1100&gt;MAX(DKW_10Y!$A$2:$A$2918),Settings!$B$16&lt;MIN(DKW_10Y!$A$2:$A$2918)),NA(),(INDEX(DKW_10Y!$B$2:$B$2918,MATCH($A1100,DKW_10Y!$A$2:$A$2918,1))-INDEX(DKW_10Y!$B$2:$B$2918,MATCH(Settings!$B$16,DKW_10Y!$A$2:$A$2918,1)))*100))</f>
        <v/>
      </c>
      <c r="Y1100" s="19">
        <f>IF(NOT(ISNUMBER($A1100)),NA(),IF(OR($A1100&lt;MIN(DKW_10Y!$A$2:$A$2918),$A1100&gt;MAX(DKW_10Y!$A$2:$A$2918),Settings!$B$16&lt;MIN(DKW_10Y!$A$2:$A$2918)),NA(),(INDEX(DKW_10Y!$C$2:$C$2918,MATCH($A1100,DKW_10Y!$A$2:$A$2918,1))-INDEX(DKW_10Y!$C$2:$C$2918,MATCH(Settings!$B$16,DKW_10Y!$A$2:$A$2918,1)))*100))</f>
        <v/>
      </c>
      <c r="Z1100" s="19">
        <f>IF(NOT(ISNUMBER($A1100)),NA(),IF(OR($A1100&lt;MIN(DKW_10Y!$A$2:$A$2918),$A1100&gt;MAX(DKW_10Y!$A$2:$A$2918),Settings!$B$16&lt;MIN(DKW_10Y!$A$2:$A$2918)),NA(),(INDEX(DKW_10Y!$D$2:$D$2918,MATCH($A1100,DKW_10Y!$A$2:$A$2918,1))-INDEX(DKW_10Y!$D$2:$D$2918,MATCH(Settings!$B$16,DKW_10Y!$A$2:$A$2918,1)))*100))</f>
        <v/>
      </c>
      <c r="AA1100" s="19">
        <f>IF(NOT(ISNUMBER($A1100)),NA(),IF(OR($A1100&lt;MIN(DKW_10Y!$A$2:$A$2918),$A1100&gt;MAX(DKW_10Y!$A$2:$A$2918),Settings!$B$16&lt;MIN(DKW_10Y!$A$2:$A$2918)),NA(),(INDEX(DKW_10Y!$E$2:$E$2918,MATCH($A1100,DKW_10Y!$A$2:$A$2918,1))-INDEX(DKW_10Y!$E$2:$E$2918,MATCH(Settings!$B$16,DKW_10Y!$A$2:$A$2918,1)))*100))</f>
        <v/>
      </c>
      <c r="AB1100" s="19">
        <f>IF(NOT(ISNUMBER($A1100)),NA(),IF(OR($A1100&lt;MIN(DKW_10Y!$A$2:$A$2918),$A1100&gt;MAX(DKW_10Y!$A$2:$A$2918),Settings!$B$16&lt;MIN(DKW_10Y!$A$2:$A$2918)),NA(),(INDEX(DKW_10Y!$H$2:$H$2918,MATCH($A1100,DKW_10Y!$A$2:$A$2918,1))-INDEX(DKW_10Y!$H$2:$H$2918,MATCH(Settings!$B$16,DKW_10Y!$A$2:$A$2918,1)))*100))</f>
        <v/>
      </c>
      <c r="AC1100" s="18">
        <f>IF(NOT(ISNUMBER($A1100)),NA(),IFERROR(1*INDEX(BBG_Data!$N$2:$N$4000,MATCH($A1100,BBG_Data!$M$2:$M$4000,0)),NA()))</f>
        <v/>
      </c>
      <c r="AD1100" s="18">
        <f>IF(NOT(ISNUMBER($A1100)),NA(),IFERROR(1*INDEX(BBG_Data!$P$2:$P$4000,MATCH($A1100,BBG_Data!$O$2:$O$4000,0)),NA()))</f>
        <v/>
      </c>
      <c r="AE1100" s="18">
        <f>IF(NOT(ISNUMBER($A1100)),NA(),IFERROR(1*INDEX(BBG_Data!$R$2:$R$4000,MATCH($A1100,BBG_Data!$Q$2:$Q$4000,0)),NA()))</f>
        <v/>
      </c>
      <c r="AF1100" s="20">
        <f>IF(AND(ISNUMBER(B1100),ISNUMBER(AC1100)),(B1100-AC1100)*100,NA())</f>
        <v/>
      </c>
      <c r="AG1100" s="20">
        <f>IF(AND(ISNUMBER(AE1100),ISNUMBER(AD1100)),(AE1100-AD1100)*100,NA())</f>
        <v/>
      </c>
      <c r="AH1100" s="19">
        <f>IF(NOT(ISNUMBER($A1100)),NA(),IFERROR(INDEX(BBG_Data!$T$2:$T$4000,MATCH($A1100,BBG_Data!$S$2:$S$4000,0))*Settings!$B$25,NA()))</f>
        <v/>
      </c>
      <c r="AI1100" s="19">
        <f>IF(NOT(ISNUMBER($A1100)),NA(),IFERROR(INDEX(BBG_Data!$V$2:$V$4000,MATCH($A1100,BBG_Data!$U$2:$U$4000,0))*Settings!$B$25,NA()))</f>
        <v/>
      </c>
      <c r="AJ1100" s="19">
        <f>IF(NOT(ISNUMBER($A1100)),NA(),IFERROR(1*INDEX(BBG_Data!$X$2:$X$4000,MATCH($A1100,BBG_Data!$W$2:$W$4000,0)),NA()))</f>
        <v/>
      </c>
      <c r="AK1100" s="19">
        <f>IF(NOT(ISNUMBER($A1100)),NA(),IFERROR(1*INDEX(BBG_Data!$Z$2:$Z$4000,MATCH($A1100,BBG_Data!$Y$2:$Y$4000,0)),NA()))</f>
        <v/>
      </c>
    </row>
    <row r="1101">
      <c r="A1101" s="17">
        <f>IF(ISNUMBER(BBG_Data!A1101),BBG_Data!A1101,"")</f>
        <v/>
      </c>
      <c r="B1101" s="18">
        <f>IF(AND(ISNUMBER($A1101),ISNUMBER(BBG_Data!B1101)),BBG_Data!B1101,NA())</f>
        <v/>
      </c>
      <c r="C1101" s="18">
        <f>IF(NOT(ISNUMBER($A1101)),NA(),IFERROR(1*INDEX(BBG_Data!$D$2:$D$4000,MATCH($A1101,BBG_Data!$C$2:$C$4000,0)),NA()))</f>
        <v/>
      </c>
      <c r="D1101" s="19">
        <f>IF(NOT(ISNUMBER($A1101)),NA(),IFERROR(1*INDEX(BBG_Data!$F$2:$F$4000,MATCH($A1101,BBG_Data!$E$2:$E$4000,0)),NA()))</f>
        <v/>
      </c>
      <c r="E1101" s="19">
        <f>IF(NOT(ISNUMBER($A1101)),NA(),IFERROR(1*INDEX(BBG_Data!$H$2:$H$4000,MATCH($A1101,BBG_Data!$G$2:$G$4000,0)),NA()))</f>
        <v/>
      </c>
      <c r="F1101" s="20">
        <f>IF(AND(ISNUMBER(B1101),ISNUMBER(B1100)),IF(B1101=B1100,"",(B1101-B1100)*100),"")</f>
        <v/>
      </c>
      <c r="G1101" s="20">
        <f>IF(AND(ISNUMBER(C1101),ISNUMBER(C1100)),IF(C1101=C1100,"",(C1101-C1100)*100),"")</f>
        <v/>
      </c>
      <c r="H1101" s="20">
        <f>IF(OR(NOT(ISNUMBER($A1101)),ROW()-2&lt;Settings!$B$11),NA(),IF(COUNT(OFFSET(F1101,1-Settings!$B$11,0,Settings!$B$11,1))&lt;ROUNDUP(Settings!$B$11*Settings!$B$26,0),NA(),STDEV(OFFSET(F1101,1-Settings!$B$11,0,Settings!$B$11,1))*SQRT(Settings!$B$13)))</f>
        <v/>
      </c>
      <c r="I1101" s="20">
        <f>IF(OR(NOT(ISNUMBER($A1101)),ROW()-2&lt;Settings!$B$12),NA(),IF(COUNT(OFFSET(F1101,1-Settings!$B$12,0,Settings!$B$12,1))&lt;ROUNDUP(Settings!$B$12*Settings!$B$26,0),NA(),STDEV(OFFSET(F1101,1-Settings!$B$12,0,Settings!$B$12,1))*SQRT(Settings!$B$13)))</f>
        <v/>
      </c>
      <c r="J1101" s="20">
        <f>IF(OR(NOT(ISNUMBER($A1101)),ROW()-2&lt;Settings!$B$11),NA(),IF(COUNT(OFFSET(G1101,1-Settings!$B$11,0,Settings!$B$11,1))&lt;ROUNDUP(Settings!$B$11*Settings!$B$26,0),NA(),STDEV(OFFSET(G1101,1-Settings!$B$11,0,Settings!$B$11,1))*SQRT(Settings!$B$13)))</f>
        <v/>
      </c>
      <c r="K1101" s="20">
        <f>IF(OR(NOT(ISNUMBER($A1101)),ROW()-2&lt;Settings!$B$12),NA(),IF(COUNT(OFFSET(G1101,1-Settings!$B$12,0,Settings!$B$12,1))&lt;ROUNDUP(Settings!$B$12*Settings!$B$26,0),NA(),STDEV(OFFSET(G1101,1-Settings!$B$12,0,Settings!$B$12,1))*SQRT(Settings!$B$13)))</f>
        <v/>
      </c>
      <c r="L1101" s="20">
        <f>IF(AND(ISNUMBER(D1101),ISNUMBER(H1101)),D1101-H1101,NA())</f>
        <v/>
      </c>
      <c r="M1101" s="20">
        <f>IF(AND(ISNUMBER(E1101),ISNUMBER(K1101)),E1101-K1101,NA())</f>
        <v/>
      </c>
      <c r="N1101" s="20">
        <f>IF(NOT(ISNUMBER($A1101)),NA(),IF(COUNT(OFFSET(G1101,1,0,Settings!$B$12,1))&lt;ROUNDUP(Settings!$B$12*Settings!$B$26,0),NA(),STDEV(OFFSET(G1101,1,0,Settings!$B$12,1))*SQRT(Settings!$B$13)))</f>
        <v/>
      </c>
      <c r="O1101" s="20">
        <f>IF(AND(ISNUMBER(E1101),ISNUMBER(N1101)),E1101-N1101,NA())</f>
        <v/>
      </c>
      <c r="P1101" s="19">
        <f>IF(NOT(ISNUMBER($A1101)),NA(),IF(OR($A1101&lt;MIN(KW_TP!$A$2:$A$2501),$A1101&gt;MAX(KW_TP!$A$2:$A$2501)),NA(),INDEX(KW_TP!$C$2:$C$2501,MATCH($A1101,KW_TP!$A$2:$A$2501,1))))</f>
        <v/>
      </c>
      <c r="Q1101" s="18">
        <f>IF(NOT(ISNUMBER($A1101)),NA(),IFERROR(1*INDEX(BBG_Data!$J$2:$J$4000,MATCH($A1101,BBG_Data!$I$2:$I$4000,0)),NA()))</f>
        <v/>
      </c>
      <c r="R1101" s="18">
        <f>IF(NOT(ISNUMBER($A1101)),NA(),IFERROR(1*INDEX(BBG_Data!$L$2:$L$4000,MATCH($A1101,BBG_Data!$K$2:$K$4000,0)),NA()))</f>
        <v/>
      </c>
      <c r="S1101" s="20">
        <f>IF(AND(ISNUMBER(B1101),ISNUMBER(Q1101),ISNUMBER(R1101)),(B1101-Q1101-R1101)*100,NA())</f>
        <v/>
      </c>
      <c r="T1101" s="20">
        <f>IF(AND(ISNUMBER(B1101),Settings!$B$17&gt;0),IF(ISNUMBER(INDEX($B:$B,Settings!$B$17)),(B1101-INDEX($B:$B,Settings!$B$17))*100,NA()),NA())</f>
        <v/>
      </c>
      <c r="U1101" s="20">
        <f>IF(AND(ISNUMBER(Q1101),Settings!$B$17&gt;0),IF(ISNUMBER(INDEX($Q:$Q,Settings!$B$17)),(Q1101-INDEX($Q:$Q,Settings!$B$17))*100,NA()),NA())</f>
        <v/>
      </c>
      <c r="V1101" s="20">
        <f>IF(AND(ISNUMBER(R1101),Settings!$B$17&gt;0),IF(ISNUMBER(INDEX($R:$R,Settings!$B$17)),(R1101-INDEX($R:$R,Settings!$B$17))*100,NA()),NA())</f>
        <v/>
      </c>
      <c r="W1101" s="20">
        <f>IF(AND(ISNUMBER(P1101),Settings!$B$17&gt;0),IF(ISNUMBER(INDEX($P:$P,Settings!$B$17)),P1101-INDEX($P:$P,Settings!$B$17),NA()),NA())</f>
        <v/>
      </c>
      <c r="X1101" s="19">
        <f>IF(NOT(ISNUMBER($A1101)),NA(),IF(OR($A1101&lt;MIN(DKW_10Y!$A$2:$A$2918),$A1101&gt;MAX(DKW_10Y!$A$2:$A$2918),Settings!$B$16&lt;MIN(DKW_10Y!$A$2:$A$2918)),NA(),(INDEX(DKW_10Y!$B$2:$B$2918,MATCH($A1101,DKW_10Y!$A$2:$A$2918,1))-INDEX(DKW_10Y!$B$2:$B$2918,MATCH(Settings!$B$16,DKW_10Y!$A$2:$A$2918,1)))*100))</f>
        <v/>
      </c>
      <c r="Y1101" s="19">
        <f>IF(NOT(ISNUMBER($A1101)),NA(),IF(OR($A1101&lt;MIN(DKW_10Y!$A$2:$A$2918),$A1101&gt;MAX(DKW_10Y!$A$2:$A$2918),Settings!$B$16&lt;MIN(DKW_10Y!$A$2:$A$2918)),NA(),(INDEX(DKW_10Y!$C$2:$C$2918,MATCH($A1101,DKW_10Y!$A$2:$A$2918,1))-INDEX(DKW_10Y!$C$2:$C$2918,MATCH(Settings!$B$16,DKW_10Y!$A$2:$A$2918,1)))*100))</f>
        <v/>
      </c>
      <c r="Z1101" s="19">
        <f>IF(NOT(ISNUMBER($A1101)),NA(),IF(OR($A1101&lt;MIN(DKW_10Y!$A$2:$A$2918),$A1101&gt;MAX(DKW_10Y!$A$2:$A$2918),Settings!$B$16&lt;MIN(DKW_10Y!$A$2:$A$2918)),NA(),(INDEX(DKW_10Y!$D$2:$D$2918,MATCH($A1101,DKW_10Y!$A$2:$A$2918,1))-INDEX(DKW_10Y!$D$2:$D$2918,MATCH(Settings!$B$16,DKW_10Y!$A$2:$A$2918,1)))*100))</f>
        <v/>
      </c>
      <c r="AA1101" s="19">
        <f>IF(NOT(ISNUMBER($A1101)),NA(),IF(OR($A1101&lt;MIN(DKW_10Y!$A$2:$A$2918),$A1101&gt;MAX(DKW_10Y!$A$2:$A$2918),Settings!$B$16&lt;MIN(DKW_10Y!$A$2:$A$2918)),NA(),(INDEX(DKW_10Y!$E$2:$E$2918,MATCH($A1101,DKW_10Y!$A$2:$A$2918,1))-INDEX(DKW_10Y!$E$2:$E$2918,MATCH(Settings!$B$16,DKW_10Y!$A$2:$A$2918,1)))*100))</f>
        <v/>
      </c>
      <c r="AB1101" s="19">
        <f>IF(NOT(ISNUMBER($A1101)),NA(),IF(OR($A1101&lt;MIN(DKW_10Y!$A$2:$A$2918),$A1101&gt;MAX(DKW_10Y!$A$2:$A$2918),Settings!$B$16&lt;MIN(DKW_10Y!$A$2:$A$2918)),NA(),(INDEX(DKW_10Y!$H$2:$H$2918,MATCH($A1101,DKW_10Y!$A$2:$A$2918,1))-INDEX(DKW_10Y!$H$2:$H$2918,MATCH(Settings!$B$16,DKW_10Y!$A$2:$A$2918,1)))*100))</f>
        <v/>
      </c>
      <c r="AC1101" s="18">
        <f>IF(NOT(ISNUMBER($A1101)),NA(),IFERROR(1*INDEX(BBG_Data!$N$2:$N$4000,MATCH($A1101,BBG_Data!$M$2:$M$4000,0)),NA()))</f>
        <v/>
      </c>
      <c r="AD1101" s="18">
        <f>IF(NOT(ISNUMBER($A1101)),NA(),IFERROR(1*INDEX(BBG_Data!$P$2:$P$4000,MATCH($A1101,BBG_Data!$O$2:$O$4000,0)),NA()))</f>
        <v/>
      </c>
      <c r="AE1101" s="18">
        <f>IF(NOT(ISNUMBER($A1101)),NA(),IFERROR(1*INDEX(BBG_Data!$R$2:$R$4000,MATCH($A1101,BBG_Data!$Q$2:$Q$4000,0)),NA()))</f>
        <v/>
      </c>
      <c r="AF1101" s="20">
        <f>IF(AND(ISNUMBER(B1101),ISNUMBER(AC1101)),(B1101-AC1101)*100,NA())</f>
        <v/>
      </c>
      <c r="AG1101" s="20">
        <f>IF(AND(ISNUMBER(AE1101),ISNUMBER(AD1101)),(AE1101-AD1101)*100,NA())</f>
        <v/>
      </c>
      <c r="AH1101" s="19">
        <f>IF(NOT(ISNUMBER($A1101)),NA(),IFERROR(INDEX(BBG_Data!$T$2:$T$4000,MATCH($A1101,BBG_Data!$S$2:$S$4000,0))*Settings!$B$25,NA()))</f>
        <v/>
      </c>
      <c r="AI1101" s="19">
        <f>IF(NOT(ISNUMBER($A1101)),NA(),IFERROR(INDEX(BBG_Data!$V$2:$V$4000,MATCH($A1101,BBG_Data!$U$2:$U$4000,0))*Settings!$B$25,NA()))</f>
        <v/>
      </c>
      <c r="AJ1101" s="19">
        <f>IF(NOT(ISNUMBER($A1101)),NA(),IFERROR(1*INDEX(BBG_Data!$X$2:$X$4000,MATCH($A1101,BBG_Data!$W$2:$W$4000,0)),NA()))</f>
        <v/>
      </c>
      <c r="AK1101" s="19">
        <f>IF(NOT(ISNUMBER($A1101)),NA(),IFERROR(1*INDEX(BBG_Data!$Z$2:$Z$4000,MATCH($A1101,BBG_Data!$Y$2:$Y$4000,0)),NA()))</f>
        <v/>
      </c>
    </row>
    <row r="1102">
      <c r="A1102" s="17">
        <f>IF(ISNUMBER(BBG_Data!A1102),BBG_Data!A1102,"")</f>
        <v/>
      </c>
      <c r="B1102" s="18">
        <f>IF(AND(ISNUMBER($A1102),ISNUMBER(BBG_Data!B1102)),BBG_Data!B1102,NA())</f>
        <v/>
      </c>
      <c r="C1102" s="18">
        <f>IF(NOT(ISNUMBER($A1102)),NA(),IFERROR(1*INDEX(BBG_Data!$D$2:$D$4000,MATCH($A1102,BBG_Data!$C$2:$C$4000,0)),NA()))</f>
        <v/>
      </c>
      <c r="D1102" s="19">
        <f>IF(NOT(ISNUMBER($A1102)),NA(),IFERROR(1*INDEX(BBG_Data!$F$2:$F$4000,MATCH($A1102,BBG_Data!$E$2:$E$4000,0)),NA()))</f>
        <v/>
      </c>
      <c r="E1102" s="19">
        <f>IF(NOT(ISNUMBER($A1102)),NA(),IFERROR(1*INDEX(BBG_Data!$H$2:$H$4000,MATCH($A1102,BBG_Data!$G$2:$G$4000,0)),NA()))</f>
        <v/>
      </c>
      <c r="F1102" s="20">
        <f>IF(AND(ISNUMBER(B1102),ISNUMBER(B1101)),IF(B1102=B1101,"",(B1102-B1101)*100),"")</f>
        <v/>
      </c>
      <c r="G1102" s="20">
        <f>IF(AND(ISNUMBER(C1102),ISNUMBER(C1101)),IF(C1102=C1101,"",(C1102-C1101)*100),"")</f>
        <v/>
      </c>
      <c r="H1102" s="20">
        <f>IF(OR(NOT(ISNUMBER($A1102)),ROW()-2&lt;Settings!$B$11),NA(),IF(COUNT(OFFSET(F1102,1-Settings!$B$11,0,Settings!$B$11,1))&lt;ROUNDUP(Settings!$B$11*Settings!$B$26,0),NA(),STDEV(OFFSET(F1102,1-Settings!$B$11,0,Settings!$B$11,1))*SQRT(Settings!$B$13)))</f>
        <v/>
      </c>
      <c r="I1102" s="20">
        <f>IF(OR(NOT(ISNUMBER($A1102)),ROW()-2&lt;Settings!$B$12),NA(),IF(COUNT(OFFSET(F1102,1-Settings!$B$12,0,Settings!$B$12,1))&lt;ROUNDUP(Settings!$B$12*Settings!$B$26,0),NA(),STDEV(OFFSET(F1102,1-Settings!$B$12,0,Settings!$B$12,1))*SQRT(Settings!$B$13)))</f>
        <v/>
      </c>
      <c r="J1102" s="20">
        <f>IF(OR(NOT(ISNUMBER($A1102)),ROW()-2&lt;Settings!$B$11),NA(),IF(COUNT(OFFSET(G1102,1-Settings!$B$11,0,Settings!$B$11,1))&lt;ROUNDUP(Settings!$B$11*Settings!$B$26,0),NA(),STDEV(OFFSET(G1102,1-Settings!$B$11,0,Settings!$B$11,1))*SQRT(Settings!$B$13)))</f>
        <v/>
      </c>
      <c r="K1102" s="20">
        <f>IF(OR(NOT(ISNUMBER($A1102)),ROW()-2&lt;Settings!$B$12),NA(),IF(COUNT(OFFSET(G1102,1-Settings!$B$12,0,Settings!$B$12,1))&lt;ROUNDUP(Settings!$B$12*Settings!$B$26,0),NA(),STDEV(OFFSET(G1102,1-Settings!$B$12,0,Settings!$B$12,1))*SQRT(Settings!$B$13)))</f>
        <v/>
      </c>
      <c r="L1102" s="20">
        <f>IF(AND(ISNUMBER(D1102),ISNUMBER(H1102)),D1102-H1102,NA())</f>
        <v/>
      </c>
      <c r="M1102" s="20">
        <f>IF(AND(ISNUMBER(E1102),ISNUMBER(K1102)),E1102-K1102,NA())</f>
        <v/>
      </c>
      <c r="N1102" s="20">
        <f>IF(NOT(ISNUMBER($A1102)),NA(),IF(COUNT(OFFSET(G1102,1,0,Settings!$B$12,1))&lt;ROUNDUP(Settings!$B$12*Settings!$B$26,0),NA(),STDEV(OFFSET(G1102,1,0,Settings!$B$12,1))*SQRT(Settings!$B$13)))</f>
        <v/>
      </c>
      <c r="O1102" s="20">
        <f>IF(AND(ISNUMBER(E1102),ISNUMBER(N1102)),E1102-N1102,NA())</f>
        <v/>
      </c>
      <c r="P1102" s="19">
        <f>IF(NOT(ISNUMBER($A1102)),NA(),IF(OR($A1102&lt;MIN(KW_TP!$A$2:$A$2501),$A1102&gt;MAX(KW_TP!$A$2:$A$2501)),NA(),INDEX(KW_TP!$C$2:$C$2501,MATCH($A1102,KW_TP!$A$2:$A$2501,1))))</f>
        <v/>
      </c>
      <c r="Q1102" s="18">
        <f>IF(NOT(ISNUMBER($A1102)),NA(),IFERROR(1*INDEX(BBG_Data!$J$2:$J$4000,MATCH($A1102,BBG_Data!$I$2:$I$4000,0)),NA()))</f>
        <v/>
      </c>
      <c r="R1102" s="18">
        <f>IF(NOT(ISNUMBER($A1102)),NA(),IFERROR(1*INDEX(BBG_Data!$L$2:$L$4000,MATCH($A1102,BBG_Data!$K$2:$K$4000,0)),NA()))</f>
        <v/>
      </c>
      <c r="S1102" s="20">
        <f>IF(AND(ISNUMBER(B1102),ISNUMBER(Q1102),ISNUMBER(R1102)),(B1102-Q1102-R1102)*100,NA())</f>
        <v/>
      </c>
      <c r="T1102" s="20">
        <f>IF(AND(ISNUMBER(B1102),Settings!$B$17&gt;0),IF(ISNUMBER(INDEX($B:$B,Settings!$B$17)),(B1102-INDEX($B:$B,Settings!$B$17))*100,NA()),NA())</f>
        <v/>
      </c>
      <c r="U1102" s="20">
        <f>IF(AND(ISNUMBER(Q1102),Settings!$B$17&gt;0),IF(ISNUMBER(INDEX($Q:$Q,Settings!$B$17)),(Q1102-INDEX($Q:$Q,Settings!$B$17))*100,NA()),NA())</f>
        <v/>
      </c>
      <c r="V1102" s="20">
        <f>IF(AND(ISNUMBER(R1102),Settings!$B$17&gt;0),IF(ISNUMBER(INDEX($R:$R,Settings!$B$17)),(R1102-INDEX($R:$R,Settings!$B$17))*100,NA()),NA())</f>
        <v/>
      </c>
      <c r="W1102" s="20">
        <f>IF(AND(ISNUMBER(P1102),Settings!$B$17&gt;0),IF(ISNUMBER(INDEX($P:$P,Settings!$B$17)),P1102-INDEX($P:$P,Settings!$B$17),NA()),NA())</f>
        <v/>
      </c>
      <c r="X1102" s="19">
        <f>IF(NOT(ISNUMBER($A1102)),NA(),IF(OR($A1102&lt;MIN(DKW_10Y!$A$2:$A$2918),$A1102&gt;MAX(DKW_10Y!$A$2:$A$2918),Settings!$B$16&lt;MIN(DKW_10Y!$A$2:$A$2918)),NA(),(INDEX(DKW_10Y!$B$2:$B$2918,MATCH($A1102,DKW_10Y!$A$2:$A$2918,1))-INDEX(DKW_10Y!$B$2:$B$2918,MATCH(Settings!$B$16,DKW_10Y!$A$2:$A$2918,1)))*100))</f>
        <v/>
      </c>
      <c r="Y1102" s="19">
        <f>IF(NOT(ISNUMBER($A1102)),NA(),IF(OR($A1102&lt;MIN(DKW_10Y!$A$2:$A$2918),$A1102&gt;MAX(DKW_10Y!$A$2:$A$2918),Settings!$B$16&lt;MIN(DKW_10Y!$A$2:$A$2918)),NA(),(INDEX(DKW_10Y!$C$2:$C$2918,MATCH($A1102,DKW_10Y!$A$2:$A$2918,1))-INDEX(DKW_10Y!$C$2:$C$2918,MATCH(Settings!$B$16,DKW_10Y!$A$2:$A$2918,1)))*100))</f>
        <v/>
      </c>
      <c r="Z1102" s="19">
        <f>IF(NOT(ISNUMBER($A1102)),NA(),IF(OR($A1102&lt;MIN(DKW_10Y!$A$2:$A$2918),$A1102&gt;MAX(DKW_10Y!$A$2:$A$2918),Settings!$B$16&lt;MIN(DKW_10Y!$A$2:$A$2918)),NA(),(INDEX(DKW_10Y!$D$2:$D$2918,MATCH($A1102,DKW_10Y!$A$2:$A$2918,1))-INDEX(DKW_10Y!$D$2:$D$2918,MATCH(Settings!$B$16,DKW_10Y!$A$2:$A$2918,1)))*100))</f>
        <v/>
      </c>
      <c r="AA1102" s="19">
        <f>IF(NOT(ISNUMBER($A1102)),NA(),IF(OR($A1102&lt;MIN(DKW_10Y!$A$2:$A$2918),$A1102&gt;MAX(DKW_10Y!$A$2:$A$2918),Settings!$B$16&lt;MIN(DKW_10Y!$A$2:$A$2918)),NA(),(INDEX(DKW_10Y!$E$2:$E$2918,MATCH($A1102,DKW_10Y!$A$2:$A$2918,1))-INDEX(DKW_10Y!$E$2:$E$2918,MATCH(Settings!$B$16,DKW_10Y!$A$2:$A$2918,1)))*100))</f>
        <v/>
      </c>
      <c r="AB1102" s="19">
        <f>IF(NOT(ISNUMBER($A1102)),NA(),IF(OR($A1102&lt;MIN(DKW_10Y!$A$2:$A$2918),$A1102&gt;MAX(DKW_10Y!$A$2:$A$2918),Settings!$B$16&lt;MIN(DKW_10Y!$A$2:$A$2918)),NA(),(INDEX(DKW_10Y!$H$2:$H$2918,MATCH($A1102,DKW_10Y!$A$2:$A$2918,1))-INDEX(DKW_10Y!$H$2:$H$2918,MATCH(Settings!$B$16,DKW_10Y!$A$2:$A$2918,1)))*100))</f>
        <v/>
      </c>
      <c r="AC1102" s="18">
        <f>IF(NOT(ISNUMBER($A1102)),NA(),IFERROR(1*INDEX(BBG_Data!$N$2:$N$4000,MATCH($A1102,BBG_Data!$M$2:$M$4000,0)),NA()))</f>
        <v/>
      </c>
      <c r="AD1102" s="18">
        <f>IF(NOT(ISNUMBER($A1102)),NA(),IFERROR(1*INDEX(BBG_Data!$P$2:$P$4000,MATCH($A1102,BBG_Data!$O$2:$O$4000,0)),NA()))</f>
        <v/>
      </c>
      <c r="AE1102" s="18">
        <f>IF(NOT(ISNUMBER($A1102)),NA(),IFERROR(1*INDEX(BBG_Data!$R$2:$R$4000,MATCH($A1102,BBG_Data!$Q$2:$Q$4000,0)),NA()))</f>
        <v/>
      </c>
      <c r="AF1102" s="20">
        <f>IF(AND(ISNUMBER(B1102),ISNUMBER(AC1102)),(B1102-AC1102)*100,NA())</f>
        <v/>
      </c>
      <c r="AG1102" s="20">
        <f>IF(AND(ISNUMBER(AE1102),ISNUMBER(AD1102)),(AE1102-AD1102)*100,NA())</f>
        <v/>
      </c>
      <c r="AH1102" s="19">
        <f>IF(NOT(ISNUMBER($A1102)),NA(),IFERROR(INDEX(BBG_Data!$T$2:$T$4000,MATCH($A1102,BBG_Data!$S$2:$S$4000,0))*Settings!$B$25,NA()))</f>
        <v/>
      </c>
      <c r="AI1102" s="19">
        <f>IF(NOT(ISNUMBER($A1102)),NA(),IFERROR(INDEX(BBG_Data!$V$2:$V$4000,MATCH($A1102,BBG_Data!$U$2:$U$4000,0))*Settings!$B$25,NA()))</f>
        <v/>
      </c>
      <c r="AJ1102" s="19">
        <f>IF(NOT(ISNUMBER($A1102)),NA(),IFERROR(1*INDEX(BBG_Data!$X$2:$X$4000,MATCH($A1102,BBG_Data!$W$2:$W$4000,0)),NA()))</f>
        <v/>
      </c>
      <c r="AK1102" s="19">
        <f>IF(NOT(ISNUMBER($A1102)),NA(),IFERROR(1*INDEX(BBG_Data!$Z$2:$Z$4000,MATCH($A1102,BBG_Data!$Y$2:$Y$4000,0)),NA()))</f>
        <v/>
      </c>
    </row>
    <row r="1103">
      <c r="A1103" s="17">
        <f>IF(ISNUMBER(BBG_Data!A1103),BBG_Data!A1103,"")</f>
        <v/>
      </c>
      <c r="B1103" s="18">
        <f>IF(AND(ISNUMBER($A1103),ISNUMBER(BBG_Data!B1103)),BBG_Data!B1103,NA())</f>
        <v/>
      </c>
      <c r="C1103" s="18">
        <f>IF(NOT(ISNUMBER($A1103)),NA(),IFERROR(1*INDEX(BBG_Data!$D$2:$D$4000,MATCH($A1103,BBG_Data!$C$2:$C$4000,0)),NA()))</f>
        <v/>
      </c>
      <c r="D1103" s="19">
        <f>IF(NOT(ISNUMBER($A1103)),NA(),IFERROR(1*INDEX(BBG_Data!$F$2:$F$4000,MATCH($A1103,BBG_Data!$E$2:$E$4000,0)),NA()))</f>
        <v/>
      </c>
      <c r="E1103" s="19">
        <f>IF(NOT(ISNUMBER($A1103)),NA(),IFERROR(1*INDEX(BBG_Data!$H$2:$H$4000,MATCH($A1103,BBG_Data!$G$2:$G$4000,0)),NA()))</f>
        <v/>
      </c>
      <c r="F1103" s="20">
        <f>IF(AND(ISNUMBER(B1103),ISNUMBER(B1102)),IF(B1103=B1102,"",(B1103-B1102)*100),"")</f>
        <v/>
      </c>
      <c r="G1103" s="20">
        <f>IF(AND(ISNUMBER(C1103),ISNUMBER(C1102)),IF(C1103=C1102,"",(C1103-C1102)*100),"")</f>
        <v/>
      </c>
      <c r="H1103" s="20">
        <f>IF(OR(NOT(ISNUMBER($A1103)),ROW()-2&lt;Settings!$B$11),NA(),IF(COUNT(OFFSET(F1103,1-Settings!$B$11,0,Settings!$B$11,1))&lt;ROUNDUP(Settings!$B$11*Settings!$B$26,0),NA(),STDEV(OFFSET(F1103,1-Settings!$B$11,0,Settings!$B$11,1))*SQRT(Settings!$B$13)))</f>
        <v/>
      </c>
      <c r="I1103" s="20">
        <f>IF(OR(NOT(ISNUMBER($A1103)),ROW()-2&lt;Settings!$B$12),NA(),IF(COUNT(OFFSET(F1103,1-Settings!$B$12,0,Settings!$B$12,1))&lt;ROUNDUP(Settings!$B$12*Settings!$B$26,0),NA(),STDEV(OFFSET(F1103,1-Settings!$B$12,0,Settings!$B$12,1))*SQRT(Settings!$B$13)))</f>
        <v/>
      </c>
      <c r="J1103" s="20">
        <f>IF(OR(NOT(ISNUMBER($A1103)),ROW()-2&lt;Settings!$B$11),NA(),IF(COUNT(OFFSET(G1103,1-Settings!$B$11,0,Settings!$B$11,1))&lt;ROUNDUP(Settings!$B$11*Settings!$B$26,0),NA(),STDEV(OFFSET(G1103,1-Settings!$B$11,0,Settings!$B$11,1))*SQRT(Settings!$B$13)))</f>
        <v/>
      </c>
      <c r="K1103" s="20">
        <f>IF(OR(NOT(ISNUMBER($A1103)),ROW()-2&lt;Settings!$B$12),NA(),IF(COUNT(OFFSET(G1103,1-Settings!$B$12,0,Settings!$B$12,1))&lt;ROUNDUP(Settings!$B$12*Settings!$B$26,0),NA(),STDEV(OFFSET(G1103,1-Settings!$B$12,0,Settings!$B$12,1))*SQRT(Settings!$B$13)))</f>
        <v/>
      </c>
      <c r="L1103" s="20">
        <f>IF(AND(ISNUMBER(D1103),ISNUMBER(H1103)),D1103-H1103,NA())</f>
        <v/>
      </c>
      <c r="M1103" s="20">
        <f>IF(AND(ISNUMBER(E1103),ISNUMBER(K1103)),E1103-K1103,NA())</f>
        <v/>
      </c>
      <c r="N1103" s="20">
        <f>IF(NOT(ISNUMBER($A1103)),NA(),IF(COUNT(OFFSET(G1103,1,0,Settings!$B$12,1))&lt;ROUNDUP(Settings!$B$12*Settings!$B$26,0),NA(),STDEV(OFFSET(G1103,1,0,Settings!$B$12,1))*SQRT(Settings!$B$13)))</f>
        <v/>
      </c>
      <c r="O1103" s="20">
        <f>IF(AND(ISNUMBER(E1103),ISNUMBER(N1103)),E1103-N1103,NA())</f>
        <v/>
      </c>
      <c r="P1103" s="19">
        <f>IF(NOT(ISNUMBER($A1103)),NA(),IF(OR($A1103&lt;MIN(KW_TP!$A$2:$A$2501),$A1103&gt;MAX(KW_TP!$A$2:$A$2501)),NA(),INDEX(KW_TP!$C$2:$C$2501,MATCH($A1103,KW_TP!$A$2:$A$2501,1))))</f>
        <v/>
      </c>
      <c r="Q1103" s="18">
        <f>IF(NOT(ISNUMBER($A1103)),NA(),IFERROR(1*INDEX(BBG_Data!$J$2:$J$4000,MATCH($A1103,BBG_Data!$I$2:$I$4000,0)),NA()))</f>
        <v/>
      </c>
      <c r="R1103" s="18">
        <f>IF(NOT(ISNUMBER($A1103)),NA(),IFERROR(1*INDEX(BBG_Data!$L$2:$L$4000,MATCH($A1103,BBG_Data!$K$2:$K$4000,0)),NA()))</f>
        <v/>
      </c>
      <c r="S1103" s="20">
        <f>IF(AND(ISNUMBER(B1103),ISNUMBER(Q1103),ISNUMBER(R1103)),(B1103-Q1103-R1103)*100,NA())</f>
        <v/>
      </c>
      <c r="T1103" s="20">
        <f>IF(AND(ISNUMBER(B1103),Settings!$B$17&gt;0),IF(ISNUMBER(INDEX($B:$B,Settings!$B$17)),(B1103-INDEX($B:$B,Settings!$B$17))*100,NA()),NA())</f>
        <v/>
      </c>
      <c r="U1103" s="20">
        <f>IF(AND(ISNUMBER(Q1103),Settings!$B$17&gt;0),IF(ISNUMBER(INDEX($Q:$Q,Settings!$B$17)),(Q1103-INDEX($Q:$Q,Settings!$B$17))*100,NA()),NA())</f>
        <v/>
      </c>
      <c r="V1103" s="20">
        <f>IF(AND(ISNUMBER(R1103),Settings!$B$17&gt;0),IF(ISNUMBER(INDEX($R:$R,Settings!$B$17)),(R1103-INDEX($R:$R,Settings!$B$17))*100,NA()),NA())</f>
        <v/>
      </c>
      <c r="W1103" s="20">
        <f>IF(AND(ISNUMBER(P1103),Settings!$B$17&gt;0),IF(ISNUMBER(INDEX($P:$P,Settings!$B$17)),P1103-INDEX($P:$P,Settings!$B$17),NA()),NA())</f>
        <v/>
      </c>
      <c r="X1103" s="19">
        <f>IF(NOT(ISNUMBER($A1103)),NA(),IF(OR($A1103&lt;MIN(DKW_10Y!$A$2:$A$2918),$A1103&gt;MAX(DKW_10Y!$A$2:$A$2918),Settings!$B$16&lt;MIN(DKW_10Y!$A$2:$A$2918)),NA(),(INDEX(DKW_10Y!$B$2:$B$2918,MATCH($A1103,DKW_10Y!$A$2:$A$2918,1))-INDEX(DKW_10Y!$B$2:$B$2918,MATCH(Settings!$B$16,DKW_10Y!$A$2:$A$2918,1)))*100))</f>
        <v/>
      </c>
      <c r="Y1103" s="19">
        <f>IF(NOT(ISNUMBER($A1103)),NA(),IF(OR($A1103&lt;MIN(DKW_10Y!$A$2:$A$2918),$A1103&gt;MAX(DKW_10Y!$A$2:$A$2918),Settings!$B$16&lt;MIN(DKW_10Y!$A$2:$A$2918)),NA(),(INDEX(DKW_10Y!$C$2:$C$2918,MATCH($A1103,DKW_10Y!$A$2:$A$2918,1))-INDEX(DKW_10Y!$C$2:$C$2918,MATCH(Settings!$B$16,DKW_10Y!$A$2:$A$2918,1)))*100))</f>
        <v/>
      </c>
      <c r="Z1103" s="19">
        <f>IF(NOT(ISNUMBER($A1103)),NA(),IF(OR($A1103&lt;MIN(DKW_10Y!$A$2:$A$2918),$A1103&gt;MAX(DKW_10Y!$A$2:$A$2918),Settings!$B$16&lt;MIN(DKW_10Y!$A$2:$A$2918)),NA(),(INDEX(DKW_10Y!$D$2:$D$2918,MATCH($A1103,DKW_10Y!$A$2:$A$2918,1))-INDEX(DKW_10Y!$D$2:$D$2918,MATCH(Settings!$B$16,DKW_10Y!$A$2:$A$2918,1)))*100))</f>
        <v/>
      </c>
      <c r="AA1103" s="19">
        <f>IF(NOT(ISNUMBER($A1103)),NA(),IF(OR($A1103&lt;MIN(DKW_10Y!$A$2:$A$2918),$A1103&gt;MAX(DKW_10Y!$A$2:$A$2918),Settings!$B$16&lt;MIN(DKW_10Y!$A$2:$A$2918)),NA(),(INDEX(DKW_10Y!$E$2:$E$2918,MATCH($A1103,DKW_10Y!$A$2:$A$2918,1))-INDEX(DKW_10Y!$E$2:$E$2918,MATCH(Settings!$B$16,DKW_10Y!$A$2:$A$2918,1)))*100))</f>
        <v/>
      </c>
      <c r="AB1103" s="19">
        <f>IF(NOT(ISNUMBER($A1103)),NA(),IF(OR($A1103&lt;MIN(DKW_10Y!$A$2:$A$2918),$A1103&gt;MAX(DKW_10Y!$A$2:$A$2918),Settings!$B$16&lt;MIN(DKW_10Y!$A$2:$A$2918)),NA(),(INDEX(DKW_10Y!$H$2:$H$2918,MATCH($A1103,DKW_10Y!$A$2:$A$2918,1))-INDEX(DKW_10Y!$H$2:$H$2918,MATCH(Settings!$B$16,DKW_10Y!$A$2:$A$2918,1)))*100))</f>
        <v/>
      </c>
      <c r="AC1103" s="18">
        <f>IF(NOT(ISNUMBER($A1103)),NA(),IFERROR(1*INDEX(BBG_Data!$N$2:$N$4000,MATCH($A1103,BBG_Data!$M$2:$M$4000,0)),NA()))</f>
        <v/>
      </c>
      <c r="AD1103" s="18">
        <f>IF(NOT(ISNUMBER($A1103)),NA(),IFERROR(1*INDEX(BBG_Data!$P$2:$P$4000,MATCH($A1103,BBG_Data!$O$2:$O$4000,0)),NA()))</f>
        <v/>
      </c>
      <c r="AE1103" s="18">
        <f>IF(NOT(ISNUMBER($A1103)),NA(),IFERROR(1*INDEX(BBG_Data!$R$2:$R$4000,MATCH($A1103,BBG_Data!$Q$2:$Q$4000,0)),NA()))</f>
        <v/>
      </c>
      <c r="AF1103" s="20">
        <f>IF(AND(ISNUMBER(B1103),ISNUMBER(AC1103)),(B1103-AC1103)*100,NA())</f>
        <v/>
      </c>
      <c r="AG1103" s="20">
        <f>IF(AND(ISNUMBER(AE1103),ISNUMBER(AD1103)),(AE1103-AD1103)*100,NA())</f>
        <v/>
      </c>
      <c r="AH1103" s="19">
        <f>IF(NOT(ISNUMBER($A1103)),NA(),IFERROR(INDEX(BBG_Data!$T$2:$T$4000,MATCH($A1103,BBG_Data!$S$2:$S$4000,0))*Settings!$B$25,NA()))</f>
        <v/>
      </c>
      <c r="AI1103" s="19">
        <f>IF(NOT(ISNUMBER($A1103)),NA(),IFERROR(INDEX(BBG_Data!$V$2:$V$4000,MATCH($A1103,BBG_Data!$U$2:$U$4000,0))*Settings!$B$25,NA()))</f>
        <v/>
      </c>
      <c r="AJ1103" s="19">
        <f>IF(NOT(ISNUMBER($A1103)),NA(),IFERROR(1*INDEX(BBG_Data!$X$2:$X$4000,MATCH($A1103,BBG_Data!$W$2:$W$4000,0)),NA()))</f>
        <v/>
      </c>
      <c r="AK1103" s="19">
        <f>IF(NOT(ISNUMBER($A1103)),NA(),IFERROR(1*INDEX(BBG_Data!$Z$2:$Z$4000,MATCH($A1103,BBG_Data!$Y$2:$Y$4000,0)),NA()))</f>
        <v/>
      </c>
    </row>
    <row r="1104">
      <c r="A1104" s="17">
        <f>IF(ISNUMBER(BBG_Data!A1104),BBG_Data!A1104,"")</f>
        <v/>
      </c>
      <c r="B1104" s="18">
        <f>IF(AND(ISNUMBER($A1104),ISNUMBER(BBG_Data!B1104)),BBG_Data!B1104,NA())</f>
        <v/>
      </c>
      <c r="C1104" s="18">
        <f>IF(NOT(ISNUMBER($A1104)),NA(),IFERROR(1*INDEX(BBG_Data!$D$2:$D$4000,MATCH($A1104,BBG_Data!$C$2:$C$4000,0)),NA()))</f>
        <v/>
      </c>
      <c r="D1104" s="19">
        <f>IF(NOT(ISNUMBER($A1104)),NA(),IFERROR(1*INDEX(BBG_Data!$F$2:$F$4000,MATCH($A1104,BBG_Data!$E$2:$E$4000,0)),NA()))</f>
        <v/>
      </c>
      <c r="E1104" s="19">
        <f>IF(NOT(ISNUMBER($A1104)),NA(),IFERROR(1*INDEX(BBG_Data!$H$2:$H$4000,MATCH($A1104,BBG_Data!$G$2:$G$4000,0)),NA()))</f>
        <v/>
      </c>
      <c r="F1104" s="20">
        <f>IF(AND(ISNUMBER(B1104),ISNUMBER(B1103)),IF(B1104=B1103,"",(B1104-B1103)*100),"")</f>
        <v/>
      </c>
      <c r="G1104" s="20">
        <f>IF(AND(ISNUMBER(C1104),ISNUMBER(C1103)),IF(C1104=C1103,"",(C1104-C1103)*100),"")</f>
        <v/>
      </c>
      <c r="H1104" s="20">
        <f>IF(OR(NOT(ISNUMBER($A1104)),ROW()-2&lt;Settings!$B$11),NA(),IF(COUNT(OFFSET(F1104,1-Settings!$B$11,0,Settings!$B$11,1))&lt;ROUNDUP(Settings!$B$11*Settings!$B$26,0),NA(),STDEV(OFFSET(F1104,1-Settings!$B$11,0,Settings!$B$11,1))*SQRT(Settings!$B$13)))</f>
        <v/>
      </c>
      <c r="I1104" s="20">
        <f>IF(OR(NOT(ISNUMBER($A1104)),ROW()-2&lt;Settings!$B$12),NA(),IF(COUNT(OFFSET(F1104,1-Settings!$B$12,0,Settings!$B$12,1))&lt;ROUNDUP(Settings!$B$12*Settings!$B$26,0),NA(),STDEV(OFFSET(F1104,1-Settings!$B$12,0,Settings!$B$12,1))*SQRT(Settings!$B$13)))</f>
        <v/>
      </c>
      <c r="J1104" s="20">
        <f>IF(OR(NOT(ISNUMBER($A1104)),ROW()-2&lt;Settings!$B$11),NA(),IF(COUNT(OFFSET(G1104,1-Settings!$B$11,0,Settings!$B$11,1))&lt;ROUNDUP(Settings!$B$11*Settings!$B$26,0),NA(),STDEV(OFFSET(G1104,1-Settings!$B$11,0,Settings!$B$11,1))*SQRT(Settings!$B$13)))</f>
        <v/>
      </c>
      <c r="K1104" s="20">
        <f>IF(OR(NOT(ISNUMBER($A1104)),ROW()-2&lt;Settings!$B$12),NA(),IF(COUNT(OFFSET(G1104,1-Settings!$B$12,0,Settings!$B$12,1))&lt;ROUNDUP(Settings!$B$12*Settings!$B$26,0),NA(),STDEV(OFFSET(G1104,1-Settings!$B$12,0,Settings!$B$12,1))*SQRT(Settings!$B$13)))</f>
        <v/>
      </c>
      <c r="L1104" s="20">
        <f>IF(AND(ISNUMBER(D1104),ISNUMBER(H1104)),D1104-H1104,NA())</f>
        <v/>
      </c>
      <c r="M1104" s="20">
        <f>IF(AND(ISNUMBER(E1104),ISNUMBER(K1104)),E1104-K1104,NA())</f>
        <v/>
      </c>
      <c r="N1104" s="20">
        <f>IF(NOT(ISNUMBER($A1104)),NA(),IF(COUNT(OFFSET(G1104,1,0,Settings!$B$12,1))&lt;ROUNDUP(Settings!$B$12*Settings!$B$26,0),NA(),STDEV(OFFSET(G1104,1,0,Settings!$B$12,1))*SQRT(Settings!$B$13)))</f>
        <v/>
      </c>
      <c r="O1104" s="20">
        <f>IF(AND(ISNUMBER(E1104),ISNUMBER(N1104)),E1104-N1104,NA())</f>
        <v/>
      </c>
      <c r="P1104" s="19">
        <f>IF(NOT(ISNUMBER($A1104)),NA(),IF(OR($A1104&lt;MIN(KW_TP!$A$2:$A$2501),$A1104&gt;MAX(KW_TP!$A$2:$A$2501)),NA(),INDEX(KW_TP!$C$2:$C$2501,MATCH($A1104,KW_TP!$A$2:$A$2501,1))))</f>
        <v/>
      </c>
      <c r="Q1104" s="18">
        <f>IF(NOT(ISNUMBER($A1104)),NA(),IFERROR(1*INDEX(BBG_Data!$J$2:$J$4000,MATCH($A1104,BBG_Data!$I$2:$I$4000,0)),NA()))</f>
        <v/>
      </c>
      <c r="R1104" s="18">
        <f>IF(NOT(ISNUMBER($A1104)),NA(),IFERROR(1*INDEX(BBG_Data!$L$2:$L$4000,MATCH($A1104,BBG_Data!$K$2:$K$4000,0)),NA()))</f>
        <v/>
      </c>
      <c r="S1104" s="20">
        <f>IF(AND(ISNUMBER(B1104),ISNUMBER(Q1104),ISNUMBER(R1104)),(B1104-Q1104-R1104)*100,NA())</f>
        <v/>
      </c>
      <c r="T1104" s="20">
        <f>IF(AND(ISNUMBER(B1104),Settings!$B$17&gt;0),IF(ISNUMBER(INDEX($B:$B,Settings!$B$17)),(B1104-INDEX($B:$B,Settings!$B$17))*100,NA()),NA())</f>
        <v/>
      </c>
      <c r="U1104" s="20">
        <f>IF(AND(ISNUMBER(Q1104),Settings!$B$17&gt;0),IF(ISNUMBER(INDEX($Q:$Q,Settings!$B$17)),(Q1104-INDEX($Q:$Q,Settings!$B$17))*100,NA()),NA())</f>
        <v/>
      </c>
      <c r="V1104" s="20">
        <f>IF(AND(ISNUMBER(R1104),Settings!$B$17&gt;0),IF(ISNUMBER(INDEX($R:$R,Settings!$B$17)),(R1104-INDEX($R:$R,Settings!$B$17))*100,NA()),NA())</f>
        <v/>
      </c>
      <c r="W1104" s="20">
        <f>IF(AND(ISNUMBER(P1104),Settings!$B$17&gt;0),IF(ISNUMBER(INDEX($P:$P,Settings!$B$17)),P1104-INDEX($P:$P,Settings!$B$17),NA()),NA())</f>
        <v/>
      </c>
      <c r="X1104" s="19">
        <f>IF(NOT(ISNUMBER($A1104)),NA(),IF(OR($A1104&lt;MIN(DKW_10Y!$A$2:$A$2918),$A1104&gt;MAX(DKW_10Y!$A$2:$A$2918),Settings!$B$16&lt;MIN(DKW_10Y!$A$2:$A$2918)),NA(),(INDEX(DKW_10Y!$B$2:$B$2918,MATCH($A1104,DKW_10Y!$A$2:$A$2918,1))-INDEX(DKW_10Y!$B$2:$B$2918,MATCH(Settings!$B$16,DKW_10Y!$A$2:$A$2918,1)))*100))</f>
        <v/>
      </c>
      <c r="Y1104" s="19">
        <f>IF(NOT(ISNUMBER($A1104)),NA(),IF(OR($A1104&lt;MIN(DKW_10Y!$A$2:$A$2918),$A1104&gt;MAX(DKW_10Y!$A$2:$A$2918),Settings!$B$16&lt;MIN(DKW_10Y!$A$2:$A$2918)),NA(),(INDEX(DKW_10Y!$C$2:$C$2918,MATCH($A1104,DKW_10Y!$A$2:$A$2918,1))-INDEX(DKW_10Y!$C$2:$C$2918,MATCH(Settings!$B$16,DKW_10Y!$A$2:$A$2918,1)))*100))</f>
        <v/>
      </c>
      <c r="Z1104" s="19">
        <f>IF(NOT(ISNUMBER($A1104)),NA(),IF(OR($A1104&lt;MIN(DKW_10Y!$A$2:$A$2918),$A1104&gt;MAX(DKW_10Y!$A$2:$A$2918),Settings!$B$16&lt;MIN(DKW_10Y!$A$2:$A$2918)),NA(),(INDEX(DKW_10Y!$D$2:$D$2918,MATCH($A1104,DKW_10Y!$A$2:$A$2918,1))-INDEX(DKW_10Y!$D$2:$D$2918,MATCH(Settings!$B$16,DKW_10Y!$A$2:$A$2918,1)))*100))</f>
        <v/>
      </c>
      <c r="AA1104" s="19">
        <f>IF(NOT(ISNUMBER($A1104)),NA(),IF(OR($A1104&lt;MIN(DKW_10Y!$A$2:$A$2918),$A1104&gt;MAX(DKW_10Y!$A$2:$A$2918),Settings!$B$16&lt;MIN(DKW_10Y!$A$2:$A$2918)),NA(),(INDEX(DKW_10Y!$E$2:$E$2918,MATCH($A1104,DKW_10Y!$A$2:$A$2918,1))-INDEX(DKW_10Y!$E$2:$E$2918,MATCH(Settings!$B$16,DKW_10Y!$A$2:$A$2918,1)))*100))</f>
        <v/>
      </c>
      <c r="AB1104" s="19">
        <f>IF(NOT(ISNUMBER($A1104)),NA(),IF(OR($A1104&lt;MIN(DKW_10Y!$A$2:$A$2918),$A1104&gt;MAX(DKW_10Y!$A$2:$A$2918),Settings!$B$16&lt;MIN(DKW_10Y!$A$2:$A$2918)),NA(),(INDEX(DKW_10Y!$H$2:$H$2918,MATCH($A1104,DKW_10Y!$A$2:$A$2918,1))-INDEX(DKW_10Y!$H$2:$H$2918,MATCH(Settings!$B$16,DKW_10Y!$A$2:$A$2918,1)))*100))</f>
        <v/>
      </c>
      <c r="AC1104" s="18">
        <f>IF(NOT(ISNUMBER($A1104)),NA(),IFERROR(1*INDEX(BBG_Data!$N$2:$N$4000,MATCH($A1104,BBG_Data!$M$2:$M$4000,0)),NA()))</f>
        <v/>
      </c>
      <c r="AD1104" s="18">
        <f>IF(NOT(ISNUMBER($A1104)),NA(),IFERROR(1*INDEX(BBG_Data!$P$2:$P$4000,MATCH($A1104,BBG_Data!$O$2:$O$4000,0)),NA()))</f>
        <v/>
      </c>
      <c r="AE1104" s="18">
        <f>IF(NOT(ISNUMBER($A1104)),NA(),IFERROR(1*INDEX(BBG_Data!$R$2:$R$4000,MATCH($A1104,BBG_Data!$Q$2:$Q$4000,0)),NA()))</f>
        <v/>
      </c>
      <c r="AF1104" s="20">
        <f>IF(AND(ISNUMBER(B1104),ISNUMBER(AC1104)),(B1104-AC1104)*100,NA())</f>
        <v/>
      </c>
      <c r="AG1104" s="20">
        <f>IF(AND(ISNUMBER(AE1104),ISNUMBER(AD1104)),(AE1104-AD1104)*100,NA())</f>
        <v/>
      </c>
      <c r="AH1104" s="19">
        <f>IF(NOT(ISNUMBER($A1104)),NA(),IFERROR(INDEX(BBG_Data!$T$2:$T$4000,MATCH($A1104,BBG_Data!$S$2:$S$4000,0))*Settings!$B$25,NA()))</f>
        <v/>
      </c>
      <c r="AI1104" s="19">
        <f>IF(NOT(ISNUMBER($A1104)),NA(),IFERROR(INDEX(BBG_Data!$V$2:$V$4000,MATCH($A1104,BBG_Data!$U$2:$U$4000,0))*Settings!$B$25,NA()))</f>
        <v/>
      </c>
      <c r="AJ1104" s="19">
        <f>IF(NOT(ISNUMBER($A1104)),NA(),IFERROR(1*INDEX(BBG_Data!$X$2:$X$4000,MATCH($A1104,BBG_Data!$W$2:$W$4000,0)),NA()))</f>
        <v/>
      </c>
      <c r="AK1104" s="19">
        <f>IF(NOT(ISNUMBER($A1104)),NA(),IFERROR(1*INDEX(BBG_Data!$Z$2:$Z$4000,MATCH($A1104,BBG_Data!$Y$2:$Y$4000,0)),NA()))</f>
        <v/>
      </c>
    </row>
    <row r="1105">
      <c r="A1105" s="17">
        <f>IF(ISNUMBER(BBG_Data!A1105),BBG_Data!A1105,"")</f>
        <v/>
      </c>
      <c r="B1105" s="18">
        <f>IF(AND(ISNUMBER($A1105),ISNUMBER(BBG_Data!B1105)),BBG_Data!B1105,NA())</f>
        <v/>
      </c>
      <c r="C1105" s="18">
        <f>IF(NOT(ISNUMBER($A1105)),NA(),IFERROR(1*INDEX(BBG_Data!$D$2:$D$4000,MATCH($A1105,BBG_Data!$C$2:$C$4000,0)),NA()))</f>
        <v/>
      </c>
      <c r="D1105" s="19">
        <f>IF(NOT(ISNUMBER($A1105)),NA(),IFERROR(1*INDEX(BBG_Data!$F$2:$F$4000,MATCH($A1105,BBG_Data!$E$2:$E$4000,0)),NA()))</f>
        <v/>
      </c>
      <c r="E1105" s="19">
        <f>IF(NOT(ISNUMBER($A1105)),NA(),IFERROR(1*INDEX(BBG_Data!$H$2:$H$4000,MATCH($A1105,BBG_Data!$G$2:$G$4000,0)),NA()))</f>
        <v/>
      </c>
      <c r="F1105" s="20">
        <f>IF(AND(ISNUMBER(B1105),ISNUMBER(B1104)),IF(B1105=B1104,"",(B1105-B1104)*100),"")</f>
        <v/>
      </c>
      <c r="G1105" s="20">
        <f>IF(AND(ISNUMBER(C1105),ISNUMBER(C1104)),IF(C1105=C1104,"",(C1105-C1104)*100),"")</f>
        <v/>
      </c>
      <c r="H1105" s="20">
        <f>IF(OR(NOT(ISNUMBER($A1105)),ROW()-2&lt;Settings!$B$11),NA(),IF(COUNT(OFFSET(F1105,1-Settings!$B$11,0,Settings!$B$11,1))&lt;ROUNDUP(Settings!$B$11*Settings!$B$26,0),NA(),STDEV(OFFSET(F1105,1-Settings!$B$11,0,Settings!$B$11,1))*SQRT(Settings!$B$13)))</f>
        <v/>
      </c>
      <c r="I1105" s="20">
        <f>IF(OR(NOT(ISNUMBER($A1105)),ROW()-2&lt;Settings!$B$12),NA(),IF(COUNT(OFFSET(F1105,1-Settings!$B$12,0,Settings!$B$12,1))&lt;ROUNDUP(Settings!$B$12*Settings!$B$26,0),NA(),STDEV(OFFSET(F1105,1-Settings!$B$12,0,Settings!$B$12,1))*SQRT(Settings!$B$13)))</f>
        <v/>
      </c>
      <c r="J1105" s="20">
        <f>IF(OR(NOT(ISNUMBER($A1105)),ROW()-2&lt;Settings!$B$11),NA(),IF(COUNT(OFFSET(G1105,1-Settings!$B$11,0,Settings!$B$11,1))&lt;ROUNDUP(Settings!$B$11*Settings!$B$26,0),NA(),STDEV(OFFSET(G1105,1-Settings!$B$11,0,Settings!$B$11,1))*SQRT(Settings!$B$13)))</f>
        <v/>
      </c>
      <c r="K1105" s="20">
        <f>IF(OR(NOT(ISNUMBER($A1105)),ROW()-2&lt;Settings!$B$12),NA(),IF(COUNT(OFFSET(G1105,1-Settings!$B$12,0,Settings!$B$12,1))&lt;ROUNDUP(Settings!$B$12*Settings!$B$26,0),NA(),STDEV(OFFSET(G1105,1-Settings!$B$12,0,Settings!$B$12,1))*SQRT(Settings!$B$13)))</f>
        <v/>
      </c>
      <c r="L1105" s="20">
        <f>IF(AND(ISNUMBER(D1105),ISNUMBER(H1105)),D1105-H1105,NA())</f>
        <v/>
      </c>
      <c r="M1105" s="20">
        <f>IF(AND(ISNUMBER(E1105),ISNUMBER(K1105)),E1105-K1105,NA())</f>
        <v/>
      </c>
      <c r="N1105" s="20">
        <f>IF(NOT(ISNUMBER($A1105)),NA(),IF(COUNT(OFFSET(G1105,1,0,Settings!$B$12,1))&lt;ROUNDUP(Settings!$B$12*Settings!$B$26,0),NA(),STDEV(OFFSET(G1105,1,0,Settings!$B$12,1))*SQRT(Settings!$B$13)))</f>
        <v/>
      </c>
      <c r="O1105" s="20">
        <f>IF(AND(ISNUMBER(E1105),ISNUMBER(N1105)),E1105-N1105,NA())</f>
        <v/>
      </c>
      <c r="P1105" s="19">
        <f>IF(NOT(ISNUMBER($A1105)),NA(),IF(OR($A1105&lt;MIN(KW_TP!$A$2:$A$2501),$A1105&gt;MAX(KW_TP!$A$2:$A$2501)),NA(),INDEX(KW_TP!$C$2:$C$2501,MATCH($A1105,KW_TP!$A$2:$A$2501,1))))</f>
        <v/>
      </c>
      <c r="Q1105" s="18">
        <f>IF(NOT(ISNUMBER($A1105)),NA(),IFERROR(1*INDEX(BBG_Data!$J$2:$J$4000,MATCH($A1105,BBG_Data!$I$2:$I$4000,0)),NA()))</f>
        <v/>
      </c>
      <c r="R1105" s="18">
        <f>IF(NOT(ISNUMBER($A1105)),NA(),IFERROR(1*INDEX(BBG_Data!$L$2:$L$4000,MATCH($A1105,BBG_Data!$K$2:$K$4000,0)),NA()))</f>
        <v/>
      </c>
      <c r="S1105" s="20">
        <f>IF(AND(ISNUMBER(B1105),ISNUMBER(Q1105),ISNUMBER(R1105)),(B1105-Q1105-R1105)*100,NA())</f>
        <v/>
      </c>
      <c r="T1105" s="20">
        <f>IF(AND(ISNUMBER(B1105),Settings!$B$17&gt;0),IF(ISNUMBER(INDEX($B:$B,Settings!$B$17)),(B1105-INDEX($B:$B,Settings!$B$17))*100,NA()),NA())</f>
        <v/>
      </c>
      <c r="U1105" s="20">
        <f>IF(AND(ISNUMBER(Q1105),Settings!$B$17&gt;0),IF(ISNUMBER(INDEX($Q:$Q,Settings!$B$17)),(Q1105-INDEX($Q:$Q,Settings!$B$17))*100,NA()),NA())</f>
        <v/>
      </c>
      <c r="V1105" s="20">
        <f>IF(AND(ISNUMBER(R1105),Settings!$B$17&gt;0),IF(ISNUMBER(INDEX($R:$R,Settings!$B$17)),(R1105-INDEX($R:$R,Settings!$B$17))*100,NA()),NA())</f>
        <v/>
      </c>
      <c r="W1105" s="20">
        <f>IF(AND(ISNUMBER(P1105),Settings!$B$17&gt;0),IF(ISNUMBER(INDEX($P:$P,Settings!$B$17)),P1105-INDEX($P:$P,Settings!$B$17),NA()),NA())</f>
        <v/>
      </c>
      <c r="X1105" s="19">
        <f>IF(NOT(ISNUMBER($A1105)),NA(),IF(OR($A1105&lt;MIN(DKW_10Y!$A$2:$A$2918),$A1105&gt;MAX(DKW_10Y!$A$2:$A$2918),Settings!$B$16&lt;MIN(DKW_10Y!$A$2:$A$2918)),NA(),(INDEX(DKW_10Y!$B$2:$B$2918,MATCH($A1105,DKW_10Y!$A$2:$A$2918,1))-INDEX(DKW_10Y!$B$2:$B$2918,MATCH(Settings!$B$16,DKW_10Y!$A$2:$A$2918,1)))*100))</f>
        <v/>
      </c>
      <c r="Y1105" s="19">
        <f>IF(NOT(ISNUMBER($A1105)),NA(),IF(OR($A1105&lt;MIN(DKW_10Y!$A$2:$A$2918),$A1105&gt;MAX(DKW_10Y!$A$2:$A$2918),Settings!$B$16&lt;MIN(DKW_10Y!$A$2:$A$2918)),NA(),(INDEX(DKW_10Y!$C$2:$C$2918,MATCH($A1105,DKW_10Y!$A$2:$A$2918,1))-INDEX(DKW_10Y!$C$2:$C$2918,MATCH(Settings!$B$16,DKW_10Y!$A$2:$A$2918,1)))*100))</f>
        <v/>
      </c>
      <c r="Z1105" s="19">
        <f>IF(NOT(ISNUMBER($A1105)),NA(),IF(OR($A1105&lt;MIN(DKW_10Y!$A$2:$A$2918),$A1105&gt;MAX(DKW_10Y!$A$2:$A$2918),Settings!$B$16&lt;MIN(DKW_10Y!$A$2:$A$2918)),NA(),(INDEX(DKW_10Y!$D$2:$D$2918,MATCH($A1105,DKW_10Y!$A$2:$A$2918,1))-INDEX(DKW_10Y!$D$2:$D$2918,MATCH(Settings!$B$16,DKW_10Y!$A$2:$A$2918,1)))*100))</f>
        <v/>
      </c>
      <c r="AA1105" s="19">
        <f>IF(NOT(ISNUMBER($A1105)),NA(),IF(OR($A1105&lt;MIN(DKW_10Y!$A$2:$A$2918),$A1105&gt;MAX(DKW_10Y!$A$2:$A$2918),Settings!$B$16&lt;MIN(DKW_10Y!$A$2:$A$2918)),NA(),(INDEX(DKW_10Y!$E$2:$E$2918,MATCH($A1105,DKW_10Y!$A$2:$A$2918,1))-INDEX(DKW_10Y!$E$2:$E$2918,MATCH(Settings!$B$16,DKW_10Y!$A$2:$A$2918,1)))*100))</f>
        <v/>
      </c>
      <c r="AB1105" s="19">
        <f>IF(NOT(ISNUMBER($A1105)),NA(),IF(OR($A1105&lt;MIN(DKW_10Y!$A$2:$A$2918),$A1105&gt;MAX(DKW_10Y!$A$2:$A$2918),Settings!$B$16&lt;MIN(DKW_10Y!$A$2:$A$2918)),NA(),(INDEX(DKW_10Y!$H$2:$H$2918,MATCH($A1105,DKW_10Y!$A$2:$A$2918,1))-INDEX(DKW_10Y!$H$2:$H$2918,MATCH(Settings!$B$16,DKW_10Y!$A$2:$A$2918,1)))*100))</f>
        <v/>
      </c>
      <c r="AC1105" s="18">
        <f>IF(NOT(ISNUMBER($A1105)),NA(),IFERROR(1*INDEX(BBG_Data!$N$2:$N$4000,MATCH($A1105,BBG_Data!$M$2:$M$4000,0)),NA()))</f>
        <v/>
      </c>
      <c r="AD1105" s="18">
        <f>IF(NOT(ISNUMBER($A1105)),NA(),IFERROR(1*INDEX(BBG_Data!$P$2:$P$4000,MATCH($A1105,BBG_Data!$O$2:$O$4000,0)),NA()))</f>
        <v/>
      </c>
      <c r="AE1105" s="18">
        <f>IF(NOT(ISNUMBER($A1105)),NA(),IFERROR(1*INDEX(BBG_Data!$R$2:$R$4000,MATCH($A1105,BBG_Data!$Q$2:$Q$4000,0)),NA()))</f>
        <v/>
      </c>
      <c r="AF1105" s="20">
        <f>IF(AND(ISNUMBER(B1105),ISNUMBER(AC1105)),(B1105-AC1105)*100,NA())</f>
        <v/>
      </c>
      <c r="AG1105" s="20">
        <f>IF(AND(ISNUMBER(AE1105),ISNUMBER(AD1105)),(AE1105-AD1105)*100,NA())</f>
        <v/>
      </c>
      <c r="AH1105" s="19">
        <f>IF(NOT(ISNUMBER($A1105)),NA(),IFERROR(INDEX(BBG_Data!$T$2:$T$4000,MATCH($A1105,BBG_Data!$S$2:$S$4000,0))*Settings!$B$25,NA()))</f>
        <v/>
      </c>
      <c r="AI1105" s="19">
        <f>IF(NOT(ISNUMBER($A1105)),NA(),IFERROR(INDEX(BBG_Data!$V$2:$V$4000,MATCH($A1105,BBG_Data!$U$2:$U$4000,0))*Settings!$B$25,NA()))</f>
        <v/>
      </c>
      <c r="AJ1105" s="19">
        <f>IF(NOT(ISNUMBER($A1105)),NA(),IFERROR(1*INDEX(BBG_Data!$X$2:$X$4000,MATCH($A1105,BBG_Data!$W$2:$W$4000,0)),NA()))</f>
        <v/>
      </c>
      <c r="AK1105" s="19">
        <f>IF(NOT(ISNUMBER($A1105)),NA(),IFERROR(1*INDEX(BBG_Data!$Z$2:$Z$4000,MATCH($A1105,BBG_Data!$Y$2:$Y$4000,0)),NA()))</f>
        <v/>
      </c>
    </row>
    <row r="1106">
      <c r="A1106" s="17">
        <f>IF(ISNUMBER(BBG_Data!A1106),BBG_Data!A1106,"")</f>
        <v/>
      </c>
      <c r="B1106" s="18">
        <f>IF(AND(ISNUMBER($A1106),ISNUMBER(BBG_Data!B1106)),BBG_Data!B1106,NA())</f>
        <v/>
      </c>
      <c r="C1106" s="18">
        <f>IF(NOT(ISNUMBER($A1106)),NA(),IFERROR(1*INDEX(BBG_Data!$D$2:$D$4000,MATCH($A1106,BBG_Data!$C$2:$C$4000,0)),NA()))</f>
        <v/>
      </c>
      <c r="D1106" s="19">
        <f>IF(NOT(ISNUMBER($A1106)),NA(),IFERROR(1*INDEX(BBG_Data!$F$2:$F$4000,MATCH($A1106,BBG_Data!$E$2:$E$4000,0)),NA()))</f>
        <v/>
      </c>
      <c r="E1106" s="19">
        <f>IF(NOT(ISNUMBER($A1106)),NA(),IFERROR(1*INDEX(BBG_Data!$H$2:$H$4000,MATCH($A1106,BBG_Data!$G$2:$G$4000,0)),NA()))</f>
        <v/>
      </c>
      <c r="F1106" s="20">
        <f>IF(AND(ISNUMBER(B1106),ISNUMBER(B1105)),IF(B1106=B1105,"",(B1106-B1105)*100),"")</f>
        <v/>
      </c>
      <c r="G1106" s="20">
        <f>IF(AND(ISNUMBER(C1106),ISNUMBER(C1105)),IF(C1106=C1105,"",(C1106-C1105)*100),"")</f>
        <v/>
      </c>
      <c r="H1106" s="20">
        <f>IF(OR(NOT(ISNUMBER($A1106)),ROW()-2&lt;Settings!$B$11),NA(),IF(COUNT(OFFSET(F1106,1-Settings!$B$11,0,Settings!$B$11,1))&lt;ROUNDUP(Settings!$B$11*Settings!$B$26,0),NA(),STDEV(OFFSET(F1106,1-Settings!$B$11,0,Settings!$B$11,1))*SQRT(Settings!$B$13)))</f>
        <v/>
      </c>
      <c r="I1106" s="20">
        <f>IF(OR(NOT(ISNUMBER($A1106)),ROW()-2&lt;Settings!$B$12),NA(),IF(COUNT(OFFSET(F1106,1-Settings!$B$12,0,Settings!$B$12,1))&lt;ROUNDUP(Settings!$B$12*Settings!$B$26,0),NA(),STDEV(OFFSET(F1106,1-Settings!$B$12,0,Settings!$B$12,1))*SQRT(Settings!$B$13)))</f>
        <v/>
      </c>
      <c r="J1106" s="20">
        <f>IF(OR(NOT(ISNUMBER($A1106)),ROW()-2&lt;Settings!$B$11),NA(),IF(COUNT(OFFSET(G1106,1-Settings!$B$11,0,Settings!$B$11,1))&lt;ROUNDUP(Settings!$B$11*Settings!$B$26,0),NA(),STDEV(OFFSET(G1106,1-Settings!$B$11,0,Settings!$B$11,1))*SQRT(Settings!$B$13)))</f>
        <v/>
      </c>
      <c r="K1106" s="20">
        <f>IF(OR(NOT(ISNUMBER($A1106)),ROW()-2&lt;Settings!$B$12),NA(),IF(COUNT(OFFSET(G1106,1-Settings!$B$12,0,Settings!$B$12,1))&lt;ROUNDUP(Settings!$B$12*Settings!$B$26,0),NA(),STDEV(OFFSET(G1106,1-Settings!$B$12,0,Settings!$B$12,1))*SQRT(Settings!$B$13)))</f>
        <v/>
      </c>
      <c r="L1106" s="20">
        <f>IF(AND(ISNUMBER(D1106),ISNUMBER(H1106)),D1106-H1106,NA())</f>
        <v/>
      </c>
      <c r="M1106" s="20">
        <f>IF(AND(ISNUMBER(E1106),ISNUMBER(K1106)),E1106-K1106,NA())</f>
        <v/>
      </c>
      <c r="N1106" s="20">
        <f>IF(NOT(ISNUMBER($A1106)),NA(),IF(COUNT(OFFSET(G1106,1,0,Settings!$B$12,1))&lt;ROUNDUP(Settings!$B$12*Settings!$B$26,0),NA(),STDEV(OFFSET(G1106,1,0,Settings!$B$12,1))*SQRT(Settings!$B$13)))</f>
        <v/>
      </c>
      <c r="O1106" s="20">
        <f>IF(AND(ISNUMBER(E1106),ISNUMBER(N1106)),E1106-N1106,NA())</f>
        <v/>
      </c>
      <c r="P1106" s="19">
        <f>IF(NOT(ISNUMBER($A1106)),NA(),IF(OR($A1106&lt;MIN(KW_TP!$A$2:$A$2501),$A1106&gt;MAX(KW_TP!$A$2:$A$2501)),NA(),INDEX(KW_TP!$C$2:$C$2501,MATCH($A1106,KW_TP!$A$2:$A$2501,1))))</f>
        <v/>
      </c>
      <c r="Q1106" s="18">
        <f>IF(NOT(ISNUMBER($A1106)),NA(),IFERROR(1*INDEX(BBG_Data!$J$2:$J$4000,MATCH($A1106,BBG_Data!$I$2:$I$4000,0)),NA()))</f>
        <v/>
      </c>
      <c r="R1106" s="18">
        <f>IF(NOT(ISNUMBER($A1106)),NA(),IFERROR(1*INDEX(BBG_Data!$L$2:$L$4000,MATCH($A1106,BBG_Data!$K$2:$K$4000,0)),NA()))</f>
        <v/>
      </c>
      <c r="S1106" s="20">
        <f>IF(AND(ISNUMBER(B1106),ISNUMBER(Q1106),ISNUMBER(R1106)),(B1106-Q1106-R1106)*100,NA())</f>
        <v/>
      </c>
      <c r="T1106" s="20">
        <f>IF(AND(ISNUMBER(B1106),Settings!$B$17&gt;0),IF(ISNUMBER(INDEX($B:$B,Settings!$B$17)),(B1106-INDEX($B:$B,Settings!$B$17))*100,NA()),NA())</f>
        <v/>
      </c>
      <c r="U1106" s="20">
        <f>IF(AND(ISNUMBER(Q1106),Settings!$B$17&gt;0),IF(ISNUMBER(INDEX($Q:$Q,Settings!$B$17)),(Q1106-INDEX($Q:$Q,Settings!$B$17))*100,NA()),NA())</f>
        <v/>
      </c>
      <c r="V1106" s="20">
        <f>IF(AND(ISNUMBER(R1106),Settings!$B$17&gt;0),IF(ISNUMBER(INDEX($R:$R,Settings!$B$17)),(R1106-INDEX($R:$R,Settings!$B$17))*100,NA()),NA())</f>
        <v/>
      </c>
      <c r="W1106" s="20">
        <f>IF(AND(ISNUMBER(P1106),Settings!$B$17&gt;0),IF(ISNUMBER(INDEX($P:$P,Settings!$B$17)),P1106-INDEX($P:$P,Settings!$B$17),NA()),NA())</f>
        <v/>
      </c>
      <c r="X1106" s="19">
        <f>IF(NOT(ISNUMBER($A1106)),NA(),IF(OR($A1106&lt;MIN(DKW_10Y!$A$2:$A$2918),$A1106&gt;MAX(DKW_10Y!$A$2:$A$2918),Settings!$B$16&lt;MIN(DKW_10Y!$A$2:$A$2918)),NA(),(INDEX(DKW_10Y!$B$2:$B$2918,MATCH($A1106,DKW_10Y!$A$2:$A$2918,1))-INDEX(DKW_10Y!$B$2:$B$2918,MATCH(Settings!$B$16,DKW_10Y!$A$2:$A$2918,1)))*100))</f>
        <v/>
      </c>
      <c r="Y1106" s="19">
        <f>IF(NOT(ISNUMBER($A1106)),NA(),IF(OR($A1106&lt;MIN(DKW_10Y!$A$2:$A$2918),$A1106&gt;MAX(DKW_10Y!$A$2:$A$2918),Settings!$B$16&lt;MIN(DKW_10Y!$A$2:$A$2918)),NA(),(INDEX(DKW_10Y!$C$2:$C$2918,MATCH($A1106,DKW_10Y!$A$2:$A$2918,1))-INDEX(DKW_10Y!$C$2:$C$2918,MATCH(Settings!$B$16,DKW_10Y!$A$2:$A$2918,1)))*100))</f>
        <v/>
      </c>
      <c r="Z1106" s="19">
        <f>IF(NOT(ISNUMBER($A1106)),NA(),IF(OR($A1106&lt;MIN(DKW_10Y!$A$2:$A$2918),$A1106&gt;MAX(DKW_10Y!$A$2:$A$2918),Settings!$B$16&lt;MIN(DKW_10Y!$A$2:$A$2918)),NA(),(INDEX(DKW_10Y!$D$2:$D$2918,MATCH($A1106,DKW_10Y!$A$2:$A$2918,1))-INDEX(DKW_10Y!$D$2:$D$2918,MATCH(Settings!$B$16,DKW_10Y!$A$2:$A$2918,1)))*100))</f>
        <v/>
      </c>
      <c r="AA1106" s="19">
        <f>IF(NOT(ISNUMBER($A1106)),NA(),IF(OR($A1106&lt;MIN(DKW_10Y!$A$2:$A$2918),$A1106&gt;MAX(DKW_10Y!$A$2:$A$2918),Settings!$B$16&lt;MIN(DKW_10Y!$A$2:$A$2918)),NA(),(INDEX(DKW_10Y!$E$2:$E$2918,MATCH($A1106,DKW_10Y!$A$2:$A$2918,1))-INDEX(DKW_10Y!$E$2:$E$2918,MATCH(Settings!$B$16,DKW_10Y!$A$2:$A$2918,1)))*100))</f>
        <v/>
      </c>
      <c r="AB1106" s="19">
        <f>IF(NOT(ISNUMBER($A1106)),NA(),IF(OR($A1106&lt;MIN(DKW_10Y!$A$2:$A$2918),$A1106&gt;MAX(DKW_10Y!$A$2:$A$2918),Settings!$B$16&lt;MIN(DKW_10Y!$A$2:$A$2918)),NA(),(INDEX(DKW_10Y!$H$2:$H$2918,MATCH($A1106,DKW_10Y!$A$2:$A$2918,1))-INDEX(DKW_10Y!$H$2:$H$2918,MATCH(Settings!$B$16,DKW_10Y!$A$2:$A$2918,1)))*100))</f>
        <v/>
      </c>
      <c r="AC1106" s="18">
        <f>IF(NOT(ISNUMBER($A1106)),NA(),IFERROR(1*INDEX(BBG_Data!$N$2:$N$4000,MATCH($A1106,BBG_Data!$M$2:$M$4000,0)),NA()))</f>
        <v/>
      </c>
      <c r="AD1106" s="18">
        <f>IF(NOT(ISNUMBER($A1106)),NA(),IFERROR(1*INDEX(BBG_Data!$P$2:$P$4000,MATCH($A1106,BBG_Data!$O$2:$O$4000,0)),NA()))</f>
        <v/>
      </c>
      <c r="AE1106" s="18">
        <f>IF(NOT(ISNUMBER($A1106)),NA(),IFERROR(1*INDEX(BBG_Data!$R$2:$R$4000,MATCH($A1106,BBG_Data!$Q$2:$Q$4000,0)),NA()))</f>
        <v/>
      </c>
      <c r="AF1106" s="20">
        <f>IF(AND(ISNUMBER(B1106),ISNUMBER(AC1106)),(B1106-AC1106)*100,NA())</f>
        <v/>
      </c>
      <c r="AG1106" s="20">
        <f>IF(AND(ISNUMBER(AE1106),ISNUMBER(AD1106)),(AE1106-AD1106)*100,NA())</f>
        <v/>
      </c>
      <c r="AH1106" s="19">
        <f>IF(NOT(ISNUMBER($A1106)),NA(),IFERROR(INDEX(BBG_Data!$T$2:$T$4000,MATCH($A1106,BBG_Data!$S$2:$S$4000,0))*Settings!$B$25,NA()))</f>
        <v/>
      </c>
      <c r="AI1106" s="19">
        <f>IF(NOT(ISNUMBER($A1106)),NA(),IFERROR(INDEX(BBG_Data!$V$2:$V$4000,MATCH($A1106,BBG_Data!$U$2:$U$4000,0))*Settings!$B$25,NA()))</f>
        <v/>
      </c>
      <c r="AJ1106" s="19">
        <f>IF(NOT(ISNUMBER($A1106)),NA(),IFERROR(1*INDEX(BBG_Data!$X$2:$X$4000,MATCH($A1106,BBG_Data!$W$2:$W$4000,0)),NA()))</f>
        <v/>
      </c>
      <c r="AK1106" s="19">
        <f>IF(NOT(ISNUMBER($A1106)),NA(),IFERROR(1*INDEX(BBG_Data!$Z$2:$Z$4000,MATCH($A1106,BBG_Data!$Y$2:$Y$4000,0)),NA()))</f>
        <v/>
      </c>
    </row>
    <row r="1107">
      <c r="A1107" s="17">
        <f>IF(ISNUMBER(BBG_Data!A1107),BBG_Data!A1107,"")</f>
        <v/>
      </c>
      <c r="B1107" s="18">
        <f>IF(AND(ISNUMBER($A1107),ISNUMBER(BBG_Data!B1107)),BBG_Data!B1107,NA())</f>
        <v/>
      </c>
      <c r="C1107" s="18">
        <f>IF(NOT(ISNUMBER($A1107)),NA(),IFERROR(1*INDEX(BBG_Data!$D$2:$D$4000,MATCH($A1107,BBG_Data!$C$2:$C$4000,0)),NA()))</f>
        <v/>
      </c>
      <c r="D1107" s="19">
        <f>IF(NOT(ISNUMBER($A1107)),NA(),IFERROR(1*INDEX(BBG_Data!$F$2:$F$4000,MATCH($A1107,BBG_Data!$E$2:$E$4000,0)),NA()))</f>
        <v/>
      </c>
      <c r="E1107" s="19">
        <f>IF(NOT(ISNUMBER($A1107)),NA(),IFERROR(1*INDEX(BBG_Data!$H$2:$H$4000,MATCH($A1107,BBG_Data!$G$2:$G$4000,0)),NA()))</f>
        <v/>
      </c>
      <c r="F1107" s="20">
        <f>IF(AND(ISNUMBER(B1107),ISNUMBER(B1106)),IF(B1107=B1106,"",(B1107-B1106)*100),"")</f>
        <v/>
      </c>
      <c r="G1107" s="20">
        <f>IF(AND(ISNUMBER(C1107),ISNUMBER(C1106)),IF(C1107=C1106,"",(C1107-C1106)*100),"")</f>
        <v/>
      </c>
      <c r="H1107" s="20">
        <f>IF(OR(NOT(ISNUMBER($A1107)),ROW()-2&lt;Settings!$B$11),NA(),IF(COUNT(OFFSET(F1107,1-Settings!$B$11,0,Settings!$B$11,1))&lt;ROUNDUP(Settings!$B$11*Settings!$B$26,0),NA(),STDEV(OFFSET(F1107,1-Settings!$B$11,0,Settings!$B$11,1))*SQRT(Settings!$B$13)))</f>
        <v/>
      </c>
      <c r="I1107" s="20">
        <f>IF(OR(NOT(ISNUMBER($A1107)),ROW()-2&lt;Settings!$B$12),NA(),IF(COUNT(OFFSET(F1107,1-Settings!$B$12,0,Settings!$B$12,1))&lt;ROUNDUP(Settings!$B$12*Settings!$B$26,0),NA(),STDEV(OFFSET(F1107,1-Settings!$B$12,0,Settings!$B$12,1))*SQRT(Settings!$B$13)))</f>
        <v/>
      </c>
      <c r="J1107" s="20">
        <f>IF(OR(NOT(ISNUMBER($A1107)),ROW()-2&lt;Settings!$B$11),NA(),IF(COUNT(OFFSET(G1107,1-Settings!$B$11,0,Settings!$B$11,1))&lt;ROUNDUP(Settings!$B$11*Settings!$B$26,0),NA(),STDEV(OFFSET(G1107,1-Settings!$B$11,0,Settings!$B$11,1))*SQRT(Settings!$B$13)))</f>
        <v/>
      </c>
      <c r="K1107" s="20">
        <f>IF(OR(NOT(ISNUMBER($A1107)),ROW()-2&lt;Settings!$B$12),NA(),IF(COUNT(OFFSET(G1107,1-Settings!$B$12,0,Settings!$B$12,1))&lt;ROUNDUP(Settings!$B$12*Settings!$B$26,0),NA(),STDEV(OFFSET(G1107,1-Settings!$B$12,0,Settings!$B$12,1))*SQRT(Settings!$B$13)))</f>
        <v/>
      </c>
      <c r="L1107" s="20">
        <f>IF(AND(ISNUMBER(D1107),ISNUMBER(H1107)),D1107-H1107,NA())</f>
        <v/>
      </c>
      <c r="M1107" s="20">
        <f>IF(AND(ISNUMBER(E1107),ISNUMBER(K1107)),E1107-K1107,NA())</f>
        <v/>
      </c>
      <c r="N1107" s="20">
        <f>IF(NOT(ISNUMBER($A1107)),NA(),IF(COUNT(OFFSET(G1107,1,0,Settings!$B$12,1))&lt;ROUNDUP(Settings!$B$12*Settings!$B$26,0),NA(),STDEV(OFFSET(G1107,1,0,Settings!$B$12,1))*SQRT(Settings!$B$13)))</f>
        <v/>
      </c>
      <c r="O1107" s="20">
        <f>IF(AND(ISNUMBER(E1107),ISNUMBER(N1107)),E1107-N1107,NA())</f>
        <v/>
      </c>
      <c r="P1107" s="19">
        <f>IF(NOT(ISNUMBER($A1107)),NA(),IF(OR($A1107&lt;MIN(KW_TP!$A$2:$A$2501),$A1107&gt;MAX(KW_TP!$A$2:$A$2501)),NA(),INDEX(KW_TP!$C$2:$C$2501,MATCH($A1107,KW_TP!$A$2:$A$2501,1))))</f>
        <v/>
      </c>
      <c r="Q1107" s="18">
        <f>IF(NOT(ISNUMBER($A1107)),NA(),IFERROR(1*INDEX(BBG_Data!$J$2:$J$4000,MATCH($A1107,BBG_Data!$I$2:$I$4000,0)),NA()))</f>
        <v/>
      </c>
      <c r="R1107" s="18">
        <f>IF(NOT(ISNUMBER($A1107)),NA(),IFERROR(1*INDEX(BBG_Data!$L$2:$L$4000,MATCH($A1107,BBG_Data!$K$2:$K$4000,0)),NA()))</f>
        <v/>
      </c>
      <c r="S1107" s="20">
        <f>IF(AND(ISNUMBER(B1107),ISNUMBER(Q1107),ISNUMBER(R1107)),(B1107-Q1107-R1107)*100,NA())</f>
        <v/>
      </c>
      <c r="T1107" s="20">
        <f>IF(AND(ISNUMBER(B1107),Settings!$B$17&gt;0),IF(ISNUMBER(INDEX($B:$B,Settings!$B$17)),(B1107-INDEX($B:$B,Settings!$B$17))*100,NA()),NA())</f>
        <v/>
      </c>
      <c r="U1107" s="20">
        <f>IF(AND(ISNUMBER(Q1107),Settings!$B$17&gt;0),IF(ISNUMBER(INDEX($Q:$Q,Settings!$B$17)),(Q1107-INDEX($Q:$Q,Settings!$B$17))*100,NA()),NA())</f>
        <v/>
      </c>
      <c r="V1107" s="20">
        <f>IF(AND(ISNUMBER(R1107),Settings!$B$17&gt;0),IF(ISNUMBER(INDEX($R:$R,Settings!$B$17)),(R1107-INDEX($R:$R,Settings!$B$17))*100,NA()),NA())</f>
        <v/>
      </c>
      <c r="W1107" s="20">
        <f>IF(AND(ISNUMBER(P1107),Settings!$B$17&gt;0),IF(ISNUMBER(INDEX($P:$P,Settings!$B$17)),P1107-INDEX($P:$P,Settings!$B$17),NA()),NA())</f>
        <v/>
      </c>
      <c r="X1107" s="19">
        <f>IF(NOT(ISNUMBER($A1107)),NA(),IF(OR($A1107&lt;MIN(DKW_10Y!$A$2:$A$2918),$A1107&gt;MAX(DKW_10Y!$A$2:$A$2918),Settings!$B$16&lt;MIN(DKW_10Y!$A$2:$A$2918)),NA(),(INDEX(DKW_10Y!$B$2:$B$2918,MATCH($A1107,DKW_10Y!$A$2:$A$2918,1))-INDEX(DKW_10Y!$B$2:$B$2918,MATCH(Settings!$B$16,DKW_10Y!$A$2:$A$2918,1)))*100))</f>
        <v/>
      </c>
      <c r="Y1107" s="19">
        <f>IF(NOT(ISNUMBER($A1107)),NA(),IF(OR($A1107&lt;MIN(DKW_10Y!$A$2:$A$2918),$A1107&gt;MAX(DKW_10Y!$A$2:$A$2918),Settings!$B$16&lt;MIN(DKW_10Y!$A$2:$A$2918)),NA(),(INDEX(DKW_10Y!$C$2:$C$2918,MATCH($A1107,DKW_10Y!$A$2:$A$2918,1))-INDEX(DKW_10Y!$C$2:$C$2918,MATCH(Settings!$B$16,DKW_10Y!$A$2:$A$2918,1)))*100))</f>
        <v/>
      </c>
      <c r="Z1107" s="19">
        <f>IF(NOT(ISNUMBER($A1107)),NA(),IF(OR($A1107&lt;MIN(DKW_10Y!$A$2:$A$2918),$A1107&gt;MAX(DKW_10Y!$A$2:$A$2918),Settings!$B$16&lt;MIN(DKW_10Y!$A$2:$A$2918)),NA(),(INDEX(DKW_10Y!$D$2:$D$2918,MATCH($A1107,DKW_10Y!$A$2:$A$2918,1))-INDEX(DKW_10Y!$D$2:$D$2918,MATCH(Settings!$B$16,DKW_10Y!$A$2:$A$2918,1)))*100))</f>
        <v/>
      </c>
      <c r="AA1107" s="19">
        <f>IF(NOT(ISNUMBER($A1107)),NA(),IF(OR($A1107&lt;MIN(DKW_10Y!$A$2:$A$2918),$A1107&gt;MAX(DKW_10Y!$A$2:$A$2918),Settings!$B$16&lt;MIN(DKW_10Y!$A$2:$A$2918)),NA(),(INDEX(DKW_10Y!$E$2:$E$2918,MATCH($A1107,DKW_10Y!$A$2:$A$2918,1))-INDEX(DKW_10Y!$E$2:$E$2918,MATCH(Settings!$B$16,DKW_10Y!$A$2:$A$2918,1)))*100))</f>
        <v/>
      </c>
      <c r="AB1107" s="19">
        <f>IF(NOT(ISNUMBER($A1107)),NA(),IF(OR($A1107&lt;MIN(DKW_10Y!$A$2:$A$2918),$A1107&gt;MAX(DKW_10Y!$A$2:$A$2918),Settings!$B$16&lt;MIN(DKW_10Y!$A$2:$A$2918)),NA(),(INDEX(DKW_10Y!$H$2:$H$2918,MATCH($A1107,DKW_10Y!$A$2:$A$2918,1))-INDEX(DKW_10Y!$H$2:$H$2918,MATCH(Settings!$B$16,DKW_10Y!$A$2:$A$2918,1)))*100))</f>
        <v/>
      </c>
      <c r="AC1107" s="18">
        <f>IF(NOT(ISNUMBER($A1107)),NA(),IFERROR(1*INDEX(BBG_Data!$N$2:$N$4000,MATCH($A1107,BBG_Data!$M$2:$M$4000,0)),NA()))</f>
        <v/>
      </c>
      <c r="AD1107" s="18">
        <f>IF(NOT(ISNUMBER($A1107)),NA(),IFERROR(1*INDEX(BBG_Data!$P$2:$P$4000,MATCH($A1107,BBG_Data!$O$2:$O$4000,0)),NA()))</f>
        <v/>
      </c>
      <c r="AE1107" s="18">
        <f>IF(NOT(ISNUMBER($A1107)),NA(),IFERROR(1*INDEX(BBG_Data!$R$2:$R$4000,MATCH($A1107,BBG_Data!$Q$2:$Q$4000,0)),NA()))</f>
        <v/>
      </c>
      <c r="AF1107" s="20">
        <f>IF(AND(ISNUMBER(B1107),ISNUMBER(AC1107)),(B1107-AC1107)*100,NA())</f>
        <v/>
      </c>
      <c r="AG1107" s="20">
        <f>IF(AND(ISNUMBER(AE1107),ISNUMBER(AD1107)),(AE1107-AD1107)*100,NA())</f>
        <v/>
      </c>
      <c r="AH1107" s="19">
        <f>IF(NOT(ISNUMBER($A1107)),NA(),IFERROR(INDEX(BBG_Data!$T$2:$T$4000,MATCH($A1107,BBG_Data!$S$2:$S$4000,0))*Settings!$B$25,NA()))</f>
        <v/>
      </c>
      <c r="AI1107" s="19">
        <f>IF(NOT(ISNUMBER($A1107)),NA(),IFERROR(INDEX(BBG_Data!$V$2:$V$4000,MATCH($A1107,BBG_Data!$U$2:$U$4000,0))*Settings!$B$25,NA()))</f>
        <v/>
      </c>
      <c r="AJ1107" s="19">
        <f>IF(NOT(ISNUMBER($A1107)),NA(),IFERROR(1*INDEX(BBG_Data!$X$2:$X$4000,MATCH($A1107,BBG_Data!$W$2:$W$4000,0)),NA()))</f>
        <v/>
      </c>
      <c r="AK1107" s="19">
        <f>IF(NOT(ISNUMBER($A1107)),NA(),IFERROR(1*INDEX(BBG_Data!$Z$2:$Z$4000,MATCH($A1107,BBG_Data!$Y$2:$Y$4000,0)),NA()))</f>
        <v/>
      </c>
    </row>
    <row r="1108">
      <c r="A1108" s="17">
        <f>IF(ISNUMBER(BBG_Data!A1108),BBG_Data!A1108,"")</f>
        <v/>
      </c>
      <c r="B1108" s="18">
        <f>IF(AND(ISNUMBER($A1108),ISNUMBER(BBG_Data!B1108)),BBG_Data!B1108,NA())</f>
        <v/>
      </c>
      <c r="C1108" s="18">
        <f>IF(NOT(ISNUMBER($A1108)),NA(),IFERROR(1*INDEX(BBG_Data!$D$2:$D$4000,MATCH($A1108,BBG_Data!$C$2:$C$4000,0)),NA()))</f>
        <v/>
      </c>
      <c r="D1108" s="19">
        <f>IF(NOT(ISNUMBER($A1108)),NA(),IFERROR(1*INDEX(BBG_Data!$F$2:$F$4000,MATCH($A1108,BBG_Data!$E$2:$E$4000,0)),NA()))</f>
        <v/>
      </c>
      <c r="E1108" s="19">
        <f>IF(NOT(ISNUMBER($A1108)),NA(),IFERROR(1*INDEX(BBG_Data!$H$2:$H$4000,MATCH($A1108,BBG_Data!$G$2:$G$4000,0)),NA()))</f>
        <v/>
      </c>
      <c r="F1108" s="20">
        <f>IF(AND(ISNUMBER(B1108),ISNUMBER(B1107)),IF(B1108=B1107,"",(B1108-B1107)*100),"")</f>
        <v/>
      </c>
      <c r="G1108" s="20">
        <f>IF(AND(ISNUMBER(C1108),ISNUMBER(C1107)),IF(C1108=C1107,"",(C1108-C1107)*100),"")</f>
        <v/>
      </c>
      <c r="H1108" s="20">
        <f>IF(OR(NOT(ISNUMBER($A1108)),ROW()-2&lt;Settings!$B$11),NA(),IF(COUNT(OFFSET(F1108,1-Settings!$B$11,0,Settings!$B$11,1))&lt;ROUNDUP(Settings!$B$11*Settings!$B$26,0),NA(),STDEV(OFFSET(F1108,1-Settings!$B$11,0,Settings!$B$11,1))*SQRT(Settings!$B$13)))</f>
        <v/>
      </c>
      <c r="I1108" s="20">
        <f>IF(OR(NOT(ISNUMBER($A1108)),ROW()-2&lt;Settings!$B$12),NA(),IF(COUNT(OFFSET(F1108,1-Settings!$B$12,0,Settings!$B$12,1))&lt;ROUNDUP(Settings!$B$12*Settings!$B$26,0),NA(),STDEV(OFFSET(F1108,1-Settings!$B$12,0,Settings!$B$12,1))*SQRT(Settings!$B$13)))</f>
        <v/>
      </c>
      <c r="J1108" s="20">
        <f>IF(OR(NOT(ISNUMBER($A1108)),ROW()-2&lt;Settings!$B$11),NA(),IF(COUNT(OFFSET(G1108,1-Settings!$B$11,0,Settings!$B$11,1))&lt;ROUNDUP(Settings!$B$11*Settings!$B$26,0),NA(),STDEV(OFFSET(G1108,1-Settings!$B$11,0,Settings!$B$11,1))*SQRT(Settings!$B$13)))</f>
        <v/>
      </c>
      <c r="K1108" s="20">
        <f>IF(OR(NOT(ISNUMBER($A1108)),ROW()-2&lt;Settings!$B$12),NA(),IF(COUNT(OFFSET(G1108,1-Settings!$B$12,0,Settings!$B$12,1))&lt;ROUNDUP(Settings!$B$12*Settings!$B$26,0),NA(),STDEV(OFFSET(G1108,1-Settings!$B$12,0,Settings!$B$12,1))*SQRT(Settings!$B$13)))</f>
        <v/>
      </c>
      <c r="L1108" s="20">
        <f>IF(AND(ISNUMBER(D1108),ISNUMBER(H1108)),D1108-H1108,NA())</f>
        <v/>
      </c>
      <c r="M1108" s="20">
        <f>IF(AND(ISNUMBER(E1108),ISNUMBER(K1108)),E1108-K1108,NA())</f>
        <v/>
      </c>
      <c r="N1108" s="20">
        <f>IF(NOT(ISNUMBER($A1108)),NA(),IF(COUNT(OFFSET(G1108,1,0,Settings!$B$12,1))&lt;ROUNDUP(Settings!$B$12*Settings!$B$26,0),NA(),STDEV(OFFSET(G1108,1,0,Settings!$B$12,1))*SQRT(Settings!$B$13)))</f>
        <v/>
      </c>
      <c r="O1108" s="20">
        <f>IF(AND(ISNUMBER(E1108),ISNUMBER(N1108)),E1108-N1108,NA())</f>
        <v/>
      </c>
      <c r="P1108" s="19">
        <f>IF(NOT(ISNUMBER($A1108)),NA(),IF(OR($A1108&lt;MIN(KW_TP!$A$2:$A$2501),$A1108&gt;MAX(KW_TP!$A$2:$A$2501)),NA(),INDEX(KW_TP!$C$2:$C$2501,MATCH($A1108,KW_TP!$A$2:$A$2501,1))))</f>
        <v/>
      </c>
      <c r="Q1108" s="18">
        <f>IF(NOT(ISNUMBER($A1108)),NA(),IFERROR(1*INDEX(BBG_Data!$J$2:$J$4000,MATCH($A1108,BBG_Data!$I$2:$I$4000,0)),NA()))</f>
        <v/>
      </c>
      <c r="R1108" s="18">
        <f>IF(NOT(ISNUMBER($A1108)),NA(),IFERROR(1*INDEX(BBG_Data!$L$2:$L$4000,MATCH($A1108,BBG_Data!$K$2:$K$4000,0)),NA()))</f>
        <v/>
      </c>
      <c r="S1108" s="20">
        <f>IF(AND(ISNUMBER(B1108),ISNUMBER(Q1108),ISNUMBER(R1108)),(B1108-Q1108-R1108)*100,NA())</f>
        <v/>
      </c>
      <c r="T1108" s="20">
        <f>IF(AND(ISNUMBER(B1108),Settings!$B$17&gt;0),IF(ISNUMBER(INDEX($B:$B,Settings!$B$17)),(B1108-INDEX($B:$B,Settings!$B$17))*100,NA()),NA())</f>
        <v/>
      </c>
      <c r="U1108" s="20">
        <f>IF(AND(ISNUMBER(Q1108),Settings!$B$17&gt;0),IF(ISNUMBER(INDEX($Q:$Q,Settings!$B$17)),(Q1108-INDEX($Q:$Q,Settings!$B$17))*100,NA()),NA())</f>
        <v/>
      </c>
      <c r="V1108" s="20">
        <f>IF(AND(ISNUMBER(R1108),Settings!$B$17&gt;0),IF(ISNUMBER(INDEX($R:$R,Settings!$B$17)),(R1108-INDEX($R:$R,Settings!$B$17))*100,NA()),NA())</f>
        <v/>
      </c>
      <c r="W1108" s="20">
        <f>IF(AND(ISNUMBER(P1108),Settings!$B$17&gt;0),IF(ISNUMBER(INDEX($P:$P,Settings!$B$17)),P1108-INDEX($P:$P,Settings!$B$17),NA()),NA())</f>
        <v/>
      </c>
      <c r="X1108" s="19">
        <f>IF(NOT(ISNUMBER($A1108)),NA(),IF(OR($A1108&lt;MIN(DKW_10Y!$A$2:$A$2918),$A1108&gt;MAX(DKW_10Y!$A$2:$A$2918),Settings!$B$16&lt;MIN(DKW_10Y!$A$2:$A$2918)),NA(),(INDEX(DKW_10Y!$B$2:$B$2918,MATCH($A1108,DKW_10Y!$A$2:$A$2918,1))-INDEX(DKW_10Y!$B$2:$B$2918,MATCH(Settings!$B$16,DKW_10Y!$A$2:$A$2918,1)))*100))</f>
        <v/>
      </c>
      <c r="Y1108" s="19">
        <f>IF(NOT(ISNUMBER($A1108)),NA(),IF(OR($A1108&lt;MIN(DKW_10Y!$A$2:$A$2918),$A1108&gt;MAX(DKW_10Y!$A$2:$A$2918),Settings!$B$16&lt;MIN(DKW_10Y!$A$2:$A$2918)),NA(),(INDEX(DKW_10Y!$C$2:$C$2918,MATCH($A1108,DKW_10Y!$A$2:$A$2918,1))-INDEX(DKW_10Y!$C$2:$C$2918,MATCH(Settings!$B$16,DKW_10Y!$A$2:$A$2918,1)))*100))</f>
        <v/>
      </c>
      <c r="Z1108" s="19">
        <f>IF(NOT(ISNUMBER($A1108)),NA(),IF(OR($A1108&lt;MIN(DKW_10Y!$A$2:$A$2918),$A1108&gt;MAX(DKW_10Y!$A$2:$A$2918),Settings!$B$16&lt;MIN(DKW_10Y!$A$2:$A$2918)),NA(),(INDEX(DKW_10Y!$D$2:$D$2918,MATCH($A1108,DKW_10Y!$A$2:$A$2918,1))-INDEX(DKW_10Y!$D$2:$D$2918,MATCH(Settings!$B$16,DKW_10Y!$A$2:$A$2918,1)))*100))</f>
        <v/>
      </c>
      <c r="AA1108" s="19">
        <f>IF(NOT(ISNUMBER($A1108)),NA(),IF(OR($A1108&lt;MIN(DKW_10Y!$A$2:$A$2918),$A1108&gt;MAX(DKW_10Y!$A$2:$A$2918),Settings!$B$16&lt;MIN(DKW_10Y!$A$2:$A$2918)),NA(),(INDEX(DKW_10Y!$E$2:$E$2918,MATCH($A1108,DKW_10Y!$A$2:$A$2918,1))-INDEX(DKW_10Y!$E$2:$E$2918,MATCH(Settings!$B$16,DKW_10Y!$A$2:$A$2918,1)))*100))</f>
        <v/>
      </c>
      <c r="AB1108" s="19">
        <f>IF(NOT(ISNUMBER($A1108)),NA(),IF(OR($A1108&lt;MIN(DKW_10Y!$A$2:$A$2918),$A1108&gt;MAX(DKW_10Y!$A$2:$A$2918),Settings!$B$16&lt;MIN(DKW_10Y!$A$2:$A$2918)),NA(),(INDEX(DKW_10Y!$H$2:$H$2918,MATCH($A1108,DKW_10Y!$A$2:$A$2918,1))-INDEX(DKW_10Y!$H$2:$H$2918,MATCH(Settings!$B$16,DKW_10Y!$A$2:$A$2918,1)))*100))</f>
        <v/>
      </c>
      <c r="AC1108" s="18">
        <f>IF(NOT(ISNUMBER($A1108)),NA(),IFERROR(1*INDEX(BBG_Data!$N$2:$N$4000,MATCH($A1108,BBG_Data!$M$2:$M$4000,0)),NA()))</f>
        <v/>
      </c>
      <c r="AD1108" s="18">
        <f>IF(NOT(ISNUMBER($A1108)),NA(),IFERROR(1*INDEX(BBG_Data!$P$2:$P$4000,MATCH($A1108,BBG_Data!$O$2:$O$4000,0)),NA()))</f>
        <v/>
      </c>
      <c r="AE1108" s="18">
        <f>IF(NOT(ISNUMBER($A1108)),NA(),IFERROR(1*INDEX(BBG_Data!$R$2:$R$4000,MATCH($A1108,BBG_Data!$Q$2:$Q$4000,0)),NA()))</f>
        <v/>
      </c>
      <c r="AF1108" s="20">
        <f>IF(AND(ISNUMBER(B1108),ISNUMBER(AC1108)),(B1108-AC1108)*100,NA())</f>
        <v/>
      </c>
      <c r="AG1108" s="20">
        <f>IF(AND(ISNUMBER(AE1108),ISNUMBER(AD1108)),(AE1108-AD1108)*100,NA())</f>
        <v/>
      </c>
      <c r="AH1108" s="19">
        <f>IF(NOT(ISNUMBER($A1108)),NA(),IFERROR(INDEX(BBG_Data!$T$2:$T$4000,MATCH($A1108,BBG_Data!$S$2:$S$4000,0))*Settings!$B$25,NA()))</f>
        <v/>
      </c>
      <c r="AI1108" s="19">
        <f>IF(NOT(ISNUMBER($A1108)),NA(),IFERROR(INDEX(BBG_Data!$V$2:$V$4000,MATCH($A1108,BBG_Data!$U$2:$U$4000,0))*Settings!$B$25,NA()))</f>
        <v/>
      </c>
      <c r="AJ1108" s="19">
        <f>IF(NOT(ISNUMBER($A1108)),NA(),IFERROR(1*INDEX(BBG_Data!$X$2:$X$4000,MATCH($A1108,BBG_Data!$W$2:$W$4000,0)),NA()))</f>
        <v/>
      </c>
      <c r="AK1108" s="19">
        <f>IF(NOT(ISNUMBER($A1108)),NA(),IFERROR(1*INDEX(BBG_Data!$Z$2:$Z$4000,MATCH($A1108,BBG_Data!$Y$2:$Y$4000,0)),NA()))</f>
        <v/>
      </c>
    </row>
    <row r="1109">
      <c r="A1109" s="17">
        <f>IF(ISNUMBER(BBG_Data!A1109),BBG_Data!A1109,"")</f>
        <v/>
      </c>
      <c r="B1109" s="18">
        <f>IF(AND(ISNUMBER($A1109),ISNUMBER(BBG_Data!B1109)),BBG_Data!B1109,NA())</f>
        <v/>
      </c>
      <c r="C1109" s="18">
        <f>IF(NOT(ISNUMBER($A1109)),NA(),IFERROR(1*INDEX(BBG_Data!$D$2:$D$4000,MATCH($A1109,BBG_Data!$C$2:$C$4000,0)),NA()))</f>
        <v/>
      </c>
      <c r="D1109" s="19">
        <f>IF(NOT(ISNUMBER($A1109)),NA(),IFERROR(1*INDEX(BBG_Data!$F$2:$F$4000,MATCH($A1109,BBG_Data!$E$2:$E$4000,0)),NA()))</f>
        <v/>
      </c>
      <c r="E1109" s="19">
        <f>IF(NOT(ISNUMBER($A1109)),NA(),IFERROR(1*INDEX(BBG_Data!$H$2:$H$4000,MATCH($A1109,BBG_Data!$G$2:$G$4000,0)),NA()))</f>
        <v/>
      </c>
      <c r="F1109" s="20">
        <f>IF(AND(ISNUMBER(B1109),ISNUMBER(B1108)),IF(B1109=B1108,"",(B1109-B1108)*100),"")</f>
        <v/>
      </c>
      <c r="G1109" s="20">
        <f>IF(AND(ISNUMBER(C1109),ISNUMBER(C1108)),IF(C1109=C1108,"",(C1109-C1108)*100),"")</f>
        <v/>
      </c>
      <c r="H1109" s="20">
        <f>IF(OR(NOT(ISNUMBER($A1109)),ROW()-2&lt;Settings!$B$11),NA(),IF(COUNT(OFFSET(F1109,1-Settings!$B$11,0,Settings!$B$11,1))&lt;ROUNDUP(Settings!$B$11*Settings!$B$26,0),NA(),STDEV(OFFSET(F1109,1-Settings!$B$11,0,Settings!$B$11,1))*SQRT(Settings!$B$13)))</f>
        <v/>
      </c>
      <c r="I1109" s="20">
        <f>IF(OR(NOT(ISNUMBER($A1109)),ROW()-2&lt;Settings!$B$12),NA(),IF(COUNT(OFFSET(F1109,1-Settings!$B$12,0,Settings!$B$12,1))&lt;ROUNDUP(Settings!$B$12*Settings!$B$26,0),NA(),STDEV(OFFSET(F1109,1-Settings!$B$12,0,Settings!$B$12,1))*SQRT(Settings!$B$13)))</f>
        <v/>
      </c>
      <c r="J1109" s="20">
        <f>IF(OR(NOT(ISNUMBER($A1109)),ROW()-2&lt;Settings!$B$11),NA(),IF(COUNT(OFFSET(G1109,1-Settings!$B$11,0,Settings!$B$11,1))&lt;ROUNDUP(Settings!$B$11*Settings!$B$26,0),NA(),STDEV(OFFSET(G1109,1-Settings!$B$11,0,Settings!$B$11,1))*SQRT(Settings!$B$13)))</f>
        <v/>
      </c>
      <c r="K1109" s="20">
        <f>IF(OR(NOT(ISNUMBER($A1109)),ROW()-2&lt;Settings!$B$12),NA(),IF(COUNT(OFFSET(G1109,1-Settings!$B$12,0,Settings!$B$12,1))&lt;ROUNDUP(Settings!$B$12*Settings!$B$26,0),NA(),STDEV(OFFSET(G1109,1-Settings!$B$12,0,Settings!$B$12,1))*SQRT(Settings!$B$13)))</f>
        <v/>
      </c>
      <c r="L1109" s="20">
        <f>IF(AND(ISNUMBER(D1109),ISNUMBER(H1109)),D1109-H1109,NA())</f>
        <v/>
      </c>
      <c r="M1109" s="20">
        <f>IF(AND(ISNUMBER(E1109),ISNUMBER(K1109)),E1109-K1109,NA())</f>
        <v/>
      </c>
      <c r="N1109" s="20">
        <f>IF(NOT(ISNUMBER($A1109)),NA(),IF(COUNT(OFFSET(G1109,1,0,Settings!$B$12,1))&lt;ROUNDUP(Settings!$B$12*Settings!$B$26,0),NA(),STDEV(OFFSET(G1109,1,0,Settings!$B$12,1))*SQRT(Settings!$B$13)))</f>
        <v/>
      </c>
      <c r="O1109" s="20">
        <f>IF(AND(ISNUMBER(E1109),ISNUMBER(N1109)),E1109-N1109,NA())</f>
        <v/>
      </c>
      <c r="P1109" s="19">
        <f>IF(NOT(ISNUMBER($A1109)),NA(),IF(OR($A1109&lt;MIN(KW_TP!$A$2:$A$2501),$A1109&gt;MAX(KW_TP!$A$2:$A$2501)),NA(),INDEX(KW_TP!$C$2:$C$2501,MATCH($A1109,KW_TP!$A$2:$A$2501,1))))</f>
        <v/>
      </c>
      <c r="Q1109" s="18">
        <f>IF(NOT(ISNUMBER($A1109)),NA(),IFERROR(1*INDEX(BBG_Data!$J$2:$J$4000,MATCH($A1109,BBG_Data!$I$2:$I$4000,0)),NA()))</f>
        <v/>
      </c>
      <c r="R1109" s="18">
        <f>IF(NOT(ISNUMBER($A1109)),NA(),IFERROR(1*INDEX(BBG_Data!$L$2:$L$4000,MATCH($A1109,BBG_Data!$K$2:$K$4000,0)),NA()))</f>
        <v/>
      </c>
      <c r="S1109" s="20">
        <f>IF(AND(ISNUMBER(B1109),ISNUMBER(Q1109),ISNUMBER(R1109)),(B1109-Q1109-R1109)*100,NA())</f>
        <v/>
      </c>
      <c r="T1109" s="20">
        <f>IF(AND(ISNUMBER(B1109),Settings!$B$17&gt;0),IF(ISNUMBER(INDEX($B:$B,Settings!$B$17)),(B1109-INDEX($B:$B,Settings!$B$17))*100,NA()),NA())</f>
        <v/>
      </c>
      <c r="U1109" s="20">
        <f>IF(AND(ISNUMBER(Q1109),Settings!$B$17&gt;0),IF(ISNUMBER(INDEX($Q:$Q,Settings!$B$17)),(Q1109-INDEX($Q:$Q,Settings!$B$17))*100,NA()),NA())</f>
        <v/>
      </c>
      <c r="V1109" s="20">
        <f>IF(AND(ISNUMBER(R1109),Settings!$B$17&gt;0),IF(ISNUMBER(INDEX($R:$R,Settings!$B$17)),(R1109-INDEX($R:$R,Settings!$B$17))*100,NA()),NA())</f>
        <v/>
      </c>
      <c r="W1109" s="20">
        <f>IF(AND(ISNUMBER(P1109),Settings!$B$17&gt;0),IF(ISNUMBER(INDEX($P:$P,Settings!$B$17)),P1109-INDEX($P:$P,Settings!$B$17),NA()),NA())</f>
        <v/>
      </c>
      <c r="X1109" s="19">
        <f>IF(NOT(ISNUMBER($A1109)),NA(),IF(OR($A1109&lt;MIN(DKW_10Y!$A$2:$A$2918),$A1109&gt;MAX(DKW_10Y!$A$2:$A$2918),Settings!$B$16&lt;MIN(DKW_10Y!$A$2:$A$2918)),NA(),(INDEX(DKW_10Y!$B$2:$B$2918,MATCH($A1109,DKW_10Y!$A$2:$A$2918,1))-INDEX(DKW_10Y!$B$2:$B$2918,MATCH(Settings!$B$16,DKW_10Y!$A$2:$A$2918,1)))*100))</f>
        <v/>
      </c>
      <c r="Y1109" s="19">
        <f>IF(NOT(ISNUMBER($A1109)),NA(),IF(OR($A1109&lt;MIN(DKW_10Y!$A$2:$A$2918),$A1109&gt;MAX(DKW_10Y!$A$2:$A$2918),Settings!$B$16&lt;MIN(DKW_10Y!$A$2:$A$2918)),NA(),(INDEX(DKW_10Y!$C$2:$C$2918,MATCH($A1109,DKW_10Y!$A$2:$A$2918,1))-INDEX(DKW_10Y!$C$2:$C$2918,MATCH(Settings!$B$16,DKW_10Y!$A$2:$A$2918,1)))*100))</f>
        <v/>
      </c>
      <c r="Z1109" s="19">
        <f>IF(NOT(ISNUMBER($A1109)),NA(),IF(OR($A1109&lt;MIN(DKW_10Y!$A$2:$A$2918),$A1109&gt;MAX(DKW_10Y!$A$2:$A$2918),Settings!$B$16&lt;MIN(DKW_10Y!$A$2:$A$2918)),NA(),(INDEX(DKW_10Y!$D$2:$D$2918,MATCH($A1109,DKW_10Y!$A$2:$A$2918,1))-INDEX(DKW_10Y!$D$2:$D$2918,MATCH(Settings!$B$16,DKW_10Y!$A$2:$A$2918,1)))*100))</f>
        <v/>
      </c>
      <c r="AA1109" s="19">
        <f>IF(NOT(ISNUMBER($A1109)),NA(),IF(OR($A1109&lt;MIN(DKW_10Y!$A$2:$A$2918),$A1109&gt;MAX(DKW_10Y!$A$2:$A$2918),Settings!$B$16&lt;MIN(DKW_10Y!$A$2:$A$2918)),NA(),(INDEX(DKW_10Y!$E$2:$E$2918,MATCH($A1109,DKW_10Y!$A$2:$A$2918,1))-INDEX(DKW_10Y!$E$2:$E$2918,MATCH(Settings!$B$16,DKW_10Y!$A$2:$A$2918,1)))*100))</f>
        <v/>
      </c>
      <c r="AB1109" s="19">
        <f>IF(NOT(ISNUMBER($A1109)),NA(),IF(OR($A1109&lt;MIN(DKW_10Y!$A$2:$A$2918),$A1109&gt;MAX(DKW_10Y!$A$2:$A$2918),Settings!$B$16&lt;MIN(DKW_10Y!$A$2:$A$2918)),NA(),(INDEX(DKW_10Y!$H$2:$H$2918,MATCH($A1109,DKW_10Y!$A$2:$A$2918,1))-INDEX(DKW_10Y!$H$2:$H$2918,MATCH(Settings!$B$16,DKW_10Y!$A$2:$A$2918,1)))*100))</f>
        <v/>
      </c>
      <c r="AC1109" s="18">
        <f>IF(NOT(ISNUMBER($A1109)),NA(),IFERROR(1*INDEX(BBG_Data!$N$2:$N$4000,MATCH($A1109,BBG_Data!$M$2:$M$4000,0)),NA()))</f>
        <v/>
      </c>
      <c r="AD1109" s="18">
        <f>IF(NOT(ISNUMBER($A1109)),NA(),IFERROR(1*INDEX(BBG_Data!$P$2:$P$4000,MATCH($A1109,BBG_Data!$O$2:$O$4000,0)),NA()))</f>
        <v/>
      </c>
      <c r="AE1109" s="18">
        <f>IF(NOT(ISNUMBER($A1109)),NA(),IFERROR(1*INDEX(BBG_Data!$R$2:$R$4000,MATCH($A1109,BBG_Data!$Q$2:$Q$4000,0)),NA()))</f>
        <v/>
      </c>
      <c r="AF1109" s="20">
        <f>IF(AND(ISNUMBER(B1109),ISNUMBER(AC1109)),(B1109-AC1109)*100,NA())</f>
        <v/>
      </c>
      <c r="AG1109" s="20">
        <f>IF(AND(ISNUMBER(AE1109),ISNUMBER(AD1109)),(AE1109-AD1109)*100,NA())</f>
        <v/>
      </c>
      <c r="AH1109" s="19">
        <f>IF(NOT(ISNUMBER($A1109)),NA(),IFERROR(INDEX(BBG_Data!$T$2:$T$4000,MATCH($A1109,BBG_Data!$S$2:$S$4000,0))*Settings!$B$25,NA()))</f>
        <v/>
      </c>
      <c r="AI1109" s="19">
        <f>IF(NOT(ISNUMBER($A1109)),NA(),IFERROR(INDEX(BBG_Data!$V$2:$V$4000,MATCH($A1109,BBG_Data!$U$2:$U$4000,0))*Settings!$B$25,NA()))</f>
        <v/>
      </c>
      <c r="AJ1109" s="19">
        <f>IF(NOT(ISNUMBER($A1109)),NA(),IFERROR(1*INDEX(BBG_Data!$X$2:$X$4000,MATCH($A1109,BBG_Data!$W$2:$W$4000,0)),NA()))</f>
        <v/>
      </c>
      <c r="AK1109" s="19">
        <f>IF(NOT(ISNUMBER($A1109)),NA(),IFERROR(1*INDEX(BBG_Data!$Z$2:$Z$4000,MATCH($A1109,BBG_Data!$Y$2:$Y$4000,0)),NA()))</f>
        <v/>
      </c>
    </row>
    <row r="1110">
      <c r="A1110" s="17">
        <f>IF(ISNUMBER(BBG_Data!A1110),BBG_Data!A1110,"")</f>
        <v/>
      </c>
      <c r="B1110" s="18">
        <f>IF(AND(ISNUMBER($A1110),ISNUMBER(BBG_Data!B1110)),BBG_Data!B1110,NA())</f>
        <v/>
      </c>
      <c r="C1110" s="18">
        <f>IF(NOT(ISNUMBER($A1110)),NA(),IFERROR(1*INDEX(BBG_Data!$D$2:$D$4000,MATCH($A1110,BBG_Data!$C$2:$C$4000,0)),NA()))</f>
        <v/>
      </c>
      <c r="D1110" s="19">
        <f>IF(NOT(ISNUMBER($A1110)),NA(),IFERROR(1*INDEX(BBG_Data!$F$2:$F$4000,MATCH($A1110,BBG_Data!$E$2:$E$4000,0)),NA()))</f>
        <v/>
      </c>
      <c r="E1110" s="19">
        <f>IF(NOT(ISNUMBER($A1110)),NA(),IFERROR(1*INDEX(BBG_Data!$H$2:$H$4000,MATCH($A1110,BBG_Data!$G$2:$G$4000,0)),NA()))</f>
        <v/>
      </c>
      <c r="F1110" s="20">
        <f>IF(AND(ISNUMBER(B1110),ISNUMBER(B1109)),IF(B1110=B1109,"",(B1110-B1109)*100),"")</f>
        <v/>
      </c>
      <c r="G1110" s="20">
        <f>IF(AND(ISNUMBER(C1110),ISNUMBER(C1109)),IF(C1110=C1109,"",(C1110-C1109)*100),"")</f>
        <v/>
      </c>
      <c r="H1110" s="20">
        <f>IF(OR(NOT(ISNUMBER($A1110)),ROW()-2&lt;Settings!$B$11),NA(),IF(COUNT(OFFSET(F1110,1-Settings!$B$11,0,Settings!$B$11,1))&lt;ROUNDUP(Settings!$B$11*Settings!$B$26,0),NA(),STDEV(OFFSET(F1110,1-Settings!$B$11,0,Settings!$B$11,1))*SQRT(Settings!$B$13)))</f>
        <v/>
      </c>
      <c r="I1110" s="20">
        <f>IF(OR(NOT(ISNUMBER($A1110)),ROW()-2&lt;Settings!$B$12),NA(),IF(COUNT(OFFSET(F1110,1-Settings!$B$12,0,Settings!$B$12,1))&lt;ROUNDUP(Settings!$B$12*Settings!$B$26,0),NA(),STDEV(OFFSET(F1110,1-Settings!$B$12,0,Settings!$B$12,1))*SQRT(Settings!$B$13)))</f>
        <v/>
      </c>
      <c r="J1110" s="20">
        <f>IF(OR(NOT(ISNUMBER($A1110)),ROW()-2&lt;Settings!$B$11),NA(),IF(COUNT(OFFSET(G1110,1-Settings!$B$11,0,Settings!$B$11,1))&lt;ROUNDUP(Settings!$B$11*Settings!$B$26,0),NA(),STDEV(OFFSET(G1110,1-Settings!$B$11,0,Settings!$B$11,1))*SQRT(Settings!$B$13)))</f>
        <v/>
      </c>
      <c r="K1110" s="20">
        <f>IF(OR(NOT(ISNUMBER($A1110)),ROW()-2&lt;Settings!$B$12),NA(),IF(COUNT(OFFSET(G1110,1-Settings!$B$12,0,Settings!$B$12,1))&lt;ROUNDUP(Settings!$B$12*Settings!$B$26,0),NA(),STDEV(OFFSET(G1110,1-Settings!$B$12,0,Settings!$B$12,1))*SQRT(Settings!$B$13)))</f>
        <v/>
      </c>
      <c r="L1110" s="20">
        <f>IF(AND(ISNUMBER(D1110),ISNUMBER(H1110)),D1110-H1110,NA())</f>
        <v/>
      </c>
      <c r="M1110" s="20">
        <f>IF(AND(ISNUMBER(E1110),ISNUMBER(K1110)),E1110-K1110,NA())</f>
        <v/>
      </c>
      <c r="N1110" s="20">
        <f>IF(NOT(ISNUMBER($A1110)),NA(),IF(COUNT(OFFSET(G1110,1,0,Settings!$B$12,1))&lt;ROUNDUP(Settings!$B$12*Settings!$B$26,0),NA(),STDEV(OFFSET(G1110,1,0,Settings!$B$12,1))*SQRT(Settings!$B$13)))</f>
        <v/>
      </c>
      <c r="O1110" s="20">
        <f>IF(AND(ISNUMBER(E1110),ISNUMBER(N1110)),E1110-N1110,NA())</f>
        <v/>
      </c>
      <c r="P1110" s="19">
        <f>IF(NOT(ISNUMBER($A1110)),NA(),IF(OR($A1110&lt;MIN(KW_TP!$A$2:$A$2501),$A1110&gt;MAX(KW_TP!$A$2:$A$2501)),NA(),INDEX(KW_TP!$C$2:$C$2501,MATCH($A1110,KW_TP!$A$2:$A$2501,1))))</f>
        <v/>
      </c>
      <c r="Q1110" s="18">
        <f>IF(NOT(ISNUMBER($A1110)),NA(),IFERROR(1*INDEX(BBG_Data!$J$2:$J$4000,MATCH($A1110,BBG_Data!$I$2:$I$4000,0)),NA()))</f>
        <v/>
      </c>
      <c r="R1110" s="18">
        <f>IF(NOT(ISNUMBER($A1110)),NA(),IFERROR(1*INDEX(BBG_Data!$L$2:$L$4000,MATCH($A1110,BBG_Data!$K$2:$K$4000,0)),NA()))</f>
        <v/>
      </c>
      <c r="S1110" s="20">
        <f>IF(AND(ISNUMBER(B1110),ISNUMBER(Q1110),ISNUMBER(R1110)),(B1110-Q1110-R1110)*100,NA())</f>
        <v/>
      </c>
      <c r="T1110" s="20">
        <f>IF(AND(ISNUMBER(B1110),Settings!$B$17&gt;0),IF(ISNUMBER(INDEX($B:$B,Settings!$B$17)),(B1110-INDEX($B:$B,Settings!$B$17))*100,NA()),NA())</f>
        <v/>
      </c>
      <c r="U1110" s="20">
        <f>IF(AND(ISNUMBER(Q1110),Settings!$B$17&gt;0),IF(ISNUMBER(INDEX($Q:$Q,Settings!$B$17)),(Q1110-INDEX($Q:$Q,Settings!$B$17))*100,NA()),NA())</f>
        <v/>
      </c>
      <c r="V1110" s="20">
        <f>IF(AND(ISNUMBER(R1110),Settings!$B$17&gt;0),IF(ISNUMBER(INDEX($R:$R,Settings!$B$17)),(R1110-INDEX($R:$R,Settings!$B$17))*100,NA()),NA())</f>
        <v/>
      </c>
      <c r="W1110" s="20">
        <f>IF(AND(ISNUMBER(P1110),Settings!$B$17&gt;0),IF(ISNUMBER(INDEX($P:$P,Settings!$B$17)),P1110-INDEX($P:$P,Settings!$B$17),NA()),NA())</f>
        <v/>
      </c>
      <c r="X1110" s="19">
        <f>IF(NOT(ISNUMBER($A1110)),NA(),IF(OR($A1110&lt;MIN(DKW_10Y!$A$2:$A$2918),$A1110&gt;MAX(DKW_10Y!$A$2:$A$2918),Settings!$B$16&lt;MIN(DKW_10Y!$A$2:$A$2918)),NA(),(INDEX(DKW_10Y!$B$2:$B$2918,MATCH($A1110,DKW_10Y!$A$2:$A$2918,1))-INDEX(DKW_10Y!$B$2:$B$2918,MATCH(Settings!$B$16,DKW_10Y!$A$2:$A$2918,1)))*100))</f>
        <v/>
      </c>
      <c r="Y1110" s="19">
        <f>IF(NOT(ISNUMBER($A1110)),NA(),IF(OR($A1110&lt;MIN(DKW_10Y!$A$2:$A$2918),$A1110&gt;MAX(DKW_10Y!$A$2:$A$2918),Settings!$B$16&lt;MIN(DKW_10Y!$A$2:$A$2918)),NA(),(INDEX(DKW_10Y!$C$2:$C$2918,MATCH($A1110,DKW_10Y!$A$2:$A$2918,1))-INDEX(DKW_10Y!$C$2:$C$2918,MATCH(Settings!$B$16,DKW_10Y!$A$2:$A$2918,1)))*100))</f>
        <v/>
      </c>
      <c r="Z1110" s="19">
        <f>IF(NOT(ISNUMBER($A1110)),NA(),IF(OR($A1110&lt;MIN(DKW_10Y!$A$2:$A$2918),$A1110&gt;MAX(DKW_10Y!$A$2:$A$2918),Settings!$B$16&lt;MIN(DKW_10Y!$A$2:$A$2918)),NA(),(INDEX(DKW_10Y!$D$2:$D$2918,MATCH($A1110,DKW_10Y!$A$2:$A$2918,1))-INDEX(DKW_10Y!$D$2:$D$2918,MATCH(Settings!$B$16,DKW_10Y!$A$2:$A$2918,1)))*100))</f>
        <v/>
      </c>
      <c r="AA1110" s="19">
        <f>IF(NOT(ISNUMBER($A1110)),NA(),IF(OR($A1110&lt;MIN(DKW_10Y!$A$2:$A$2918),$A1110&gt;MAX(DKW_10Y!$A$2:$A$2918),Settings!$B$16&lt;MIN(DKW_10Y!$A$2:$A$2918)),NA(),(INDEX(DKW_10Y!$E$2:$E$2918,MATCH($A1110,DKW_10Y!$A$2:$A$2918,1))-INDEX(DKW_10Y!$E$2:$E$2918,MATCH(Settings!$B$16,DKW_10Y!$A$2:$A$2918,1)))*100))</f>
        <v/>
      </c>
      <c r="AB1110" s="19">
        <f>IF(NOT(ISNUMBER($A1110)),NA(),IF(OR($A1110&lt;MIN(DKW_10Y!$A$2:$A$2918),$A1110&gt;MAX(DKW_10Y!$A$2:$A$2918),Settings!$B$16&lt;MIN(DKW_10Y!$A$2:$A$2918)),NA(),(INDEX(DKW_10Y!$H$2:$H$2918,MATCH($A1110,DKW_10Y!$A$2:$A$2918,1))-INDEX(DKW_10Y!$H$2:$H$2918,MATCH(Settings!$B$16,DKW_10Y!$A$2:$A$2918,1)))*100))</f>
        <v/>
      </c>
      <c r="AC1110" s="18">
        <f>IF(NOT(ISNUMBER($A1110)),NA(),IFERROR(1*INDEX(BBG_Data!$N$2:$N$4000,MATCH($A1110,BBG_Data!$M$2:$M$4000,0)),NA()))</f>
        <v/>
      </c>
      <c r="AD1110" s="18">
        <f>IF(NOT(ISNUMBER($A1110)),NA(),IFERROR(1*INDEX(BBG_Data!$P$2:$P$4000,MATCH($A1110,BBG_Data!$O$2:$O$4000,0)),NA()))</f>
        <v/>
      </c>
      <c r="AE1110" s="18">
        <f>IF(NOT(ISNUMBER($A1110)),NA(),IFERROR(1*INDEX(BBG_Data!$R$2:$R$4000,MATCH($A1110,BBG_Data!$Q$2:$Q$4000,0)),NA()))</f>
        <v/>
      </c>
      <c r="AF1110" s="20">
        <f>IF(AND(ISNUMBER(B1110),ISNUMBER(AC1110)),(B1110-AC1110)*100,NA())</f>
        <v/>
      </c>
      <c r="AG1110" s="20">
        <f>IF(AND(ISNUMBER(AE1110),ISNUMBER(AD1110)),(AE1110-AD1110)*100,NA())</f>
        <v/>
      </c>
      <c r="AH1110" s="19">
        <f>IF(NOT(ISNUMBER($A1110)),NA(),IFERROR(INDEX(BBG_Data!$T$2:$T$4000,MATCH($A1110,BBG_Data!$S$2:$S$4000,0))*Settings!$B$25,NA()))</f>
        <v/>
      </c>
      <c r="AI1110" s="19">
        <f>IF(NOT(ISNUMBER($A1110)),NA(),IFERROR(INDEX(BBG_Data!$V$2:$V$4000,MATCH($A1110,BBG_Data!$U$2:$U$4000,0))*Settings!$B$25,NA()))</f>
        <v/>
      </c>
      <c r="AJ1110" s="19">
        <f>IF(NOT(ISNUMBER($A1110)),NA(),IFERROR(1*INDEX(BBG_Data!$X$2:$X$4000,MATCH($A1110,BBG_Data!$W$2:$W$4000,0)),NA()))</f>
        <v/>
      </c>
      <c r="AK1110" s="19">
        <f>IF(NOT(ISNUMBER($A1110)),NA(),IFERROR(1*INDEX(BBG_Data!$Z$2:$Z$4000,MATCH($A1110,BBG_Data!$Y$2:$Y$4000,0)),NA()))</f>
        <v/>
      </c>
    </row>
    <row r="1111">
      <c r="A1111" s="17">
        <f>IF(ISNUMBER(BBG_Data!A1111),BBG_Data!A1111,"")</f>
        <v/>
      </c>
      <c r="B1111" s="18">
        <f>IF(AND(ISNUMBER($A1111),ISNUMBER(BBG_Data!B1111)),BBG_Data!B1111,NA())</f>
        <v/>
      </c>
      <c r="C1111" s="18">
        <f>IF(NOT(ISNUMBER($A1111)),NA(),IFERROR(1*INDEX(BBG_Data!$D$2:$D$4000,MATCH($A1111,BBG_Data!$C$2:$C$4000,0)),NA()))</f>
        <v/>
      </c>
      <c r="D1111" s="19">
        <f>IF(NOT(ISNUMBER($A1111)),NA(),IFERROR(1*INDEX(BBG_Data!$F$2:$F$4000,MATCH($A1111,BBG_Data!$E$2:$E$4000,0)),NA()))</f>
        <v/>
      </c>
      <c r="E1111" s="19">
        <f>IF(NOT(ISNUMBER($A1111)),NA(),IFERROR(1*INDEX(BBG_Data!$H$2:$H$4000,MATCH($A1111,BBG_Data!$G$2:$G$4000,0)),NA()))</f>
        <v/>
      </c>
      <c r="F1111" s="20">
        <f>IF(AND(ISNUMBER(B1111),ISNUMBER(B1110)),IF(B1111=B1110,"",(B1111-B1110)*100),"")</f>
        <v/>
      </c>
      <c r="G1111" s="20">
        <f>IF(AND(ISNUMBER(C1111),ISNUMBER(C1110)),IF(C1111=C1110,"",(C1111-C1110)*100),"")</f>
        <v/>
      </c>
      <c r="H1111" s="20">
        <f>IF(OR(NOT(ISNUMBER($A1111)),ROW()-2&lt;Settings!$B$11),NA(),IF(COUNT(OFFSET(F1111,1-Settings!$B$11,0,Settings!$B$11,1))&lt;ROUNDUP(Settings!$B$11*Settings!$B$26,0),NA(),STDEV(OFFSET(F1111,1-Settings!$B$11,0,Settings!$B$11,1))*SQRT(Settings!$B$13)))</f>
        <v/>
      </c>
      <c r="I1111" s="20">
        <f>IF(OR(NOT(ISNUMBER($A1111)),ROW()-2&lt;Settings!$B$12),NA(),IF(COUNT(OFFSET(F1111,1-Settings!$B$12,0,Settings!$B$12,1))&lt;ROUNDUP(Settings!$B$12*Settings!$B$26,0),NA(),STDEV(OFFSET(F1111,1-Settings!$B$12,0,Settings!$B$12,1))*SQRT(Settings!$B$13)))</f>
        <v/>
      </c>
      <c r="J1111" s="20">
        <f>IF(OR(NOT(ISNUMBER($A1111)),ROW()-2&lt;Settings!$B$11),NA(),IF(COUNT(OFFSET(G1111,1-Settings!$B$11,0,Settings!$B$11,1))&lt;ROUNDUP(Settings!$B$11*Settings!$B$26,0),NA(),STDEV(OFFSET(G1111,1-Settings!$B$11,0,Settings!$B$11,1))*SQRT(Settings!$B$13)))</f>
        <v/>
      </c>
      <c r="K1111" s="20">
        <f>IF(OR(NOT(ISNUMBER($A1111)),ROW()-2&lt;Settings!$B$12),NA(),IF(COUNT(OFFSET(G1111,1-Settings!$B$12,0,Settings!$B$12,1))&lt;ROUNDUP(Settings!$B$12*Settings!$B$26,0),NA(),STDEV(OFFSET(G1111,1-Settings!$B$12,0,Settings!$B$12,1))*SQRT(Settings!$B$13)))</f>
        <v/>
      </c>
      <c r="L1111" s="20">
        <f>IF(AND(ISNUMBER(D1111),ISNUMBER(H1111)),D1111-H1111,NA())</f>
        <v/>
      </c>
      <c r="M1111" s="20">
        <f>IF(AND(ISNUMBER(E1111),ISNUMBER(K1111)),E1111-K1111,NA())</f>
        <v/>
      </c>
      <c r="N1111" s="20">
        <f>IF(NOT(ISNUMBER($A1111)),NA(),IF(COUNT(OFFSET(G1111,1,0,Settings!$B$12,1))&lt;ROUNDUP(Settings!$B$12*Settings!$B$26,0),NA(),STDEV(OFFSET(G1111,1,0,Settings!$B$12,1))*SQRT(Settings!$B$13)))</f>
        <v/>
      </c>
      <c r="O1111" s="20">
        <f>IF(AND(ISNUMBER(E1111),ISNUMBER(N1111)),E1111-N1111,NA())</f>
        <v/>
      </c>
      <c r="P1111" s="19">
        <f>IF(NOT(ISNUMBER($A1111)),NA(),IF(OR($A1111&lt;MIN(KW_TP!$A$2:$A$2501),$A1111&gt;MAX(KW_TP!$A$2:$A$2501)),NA(),INDEX(KW_TP!$C$2:$C$2501,MATCH($A1111,KW_TP!$A$2:$A$2501,1))))</f>
        <v/>
      </c>
      <c r="Q1111" s="18">
        <f>IF(NOT(ISNUMBER($A1111)),NA(),IFERROR(1*INDEX(BBG_Data!$J$2:$J$4000,MATCH($A1111,BBG_Data!$I$2:$I$4000,0)),NA()))</f>
        <v/>
      </c>
      <c r="R1111" s="18">
        <f>IF(NOT(ISNUMBER($A1111)),NA(),IFERROR(1*INDEX(BBG_Data!$L$2:$L$4000,MATCH($A1111,BBG_Data!$K$2:$K$4000,0)),NA()))</f>
        <v/>
      </c>
      <c r="S1111" s="20">
        <f>IF(AND(ISNUMBER(B1111),ISNUMBER(Q1111),ISNUMBER(R1111)),(B1111-Q1111-R1111)*100,NA())</f>
        <v/>
      </c>
      <c r="T1111" s="20">
        <f>IF(AND(ISNUMBER(B1111),Settings!$B$17&gt;0),IF(ISNUMBER(INDEX($B:$B,Settings!$B$17)),(B1111-INDEX($B:$B,Settings!$B$17))*100,NA()),NA())</f>
        <v/>
      </c>
      <c r="U1111" s="20">
        <f>IF(AND(ISNUMBER(Q1111),Settings!$B$17&gt;0),IF(ISNUMBER(INDEX($Q:$Q,Settings!$B$17)),(Q1111-INDEX($Q:$Q,Settings!$B$17))*100,NA()),NA())</f>
        <v/>
      </c>
      <c r="V1111" s="20">
        <f>IF(AND(ISNUMBER(R1111),Settings!$B$17&gt;0),IF(ISNUMBER(INDEX($R:$R,Settings!$B$17)),(R1111-INDEX($R:$R,Settings!$B$17))*100,NA()),NA())</f>
        <v/>
      </c>
      <c r="W1111" s="20">
        <f>IF(AND(ISNUMBER(P1111),Settings!$B$17&gt;0),IF(ISNUMBER(INDEX($P:$P,Settings!$B$17)),P1111-INDEX($P:$P,Settings!$B$17),NA()),NA())</f>
        <v/>
      </c>
      <c r="X1111" s="19">
        <f>IF(NOT(ISNUMBER($A1111)),NA(),IF(OR($A1111&lt;MIN(DKW_10Y!$A$2:$A$2918),$A1111&gt;MAX(DKW_10Y!$A$2:$A$2918),Settings!$B$16&lt;MIN(DKW_10Y!$A$2:$A$2918)),NA(),(INDEX(DKW_10Y!$B$2:$B$2918,MATCH($A1111,DKW_10Y!$A$2:$A$2918,1))-INDEX(DKW_10Y!$B$2:$B$2918,MATCH(Settings!$B$16,DKW_10Y!$A$2:$A$2918,1)))*100))</f>
        <v/>
      </c>
      <c r="Y1111" s="19">
        <f>IF(NOT(ISNUMBER($A1111)),NA(),IF(OR($A1111&lt;MIN(DKW_10Y!$A$2:$A$2918),$A1111&gt;MAX(DKW_10Y!$A$2:$A$2918),Settings!$B$16&lt;MIN(DKW_10Y!$A$2:$A$2918)),NA(),(INDEX(DKW_10Y!$C$2:$C$2918,MATCH($A1111,DKW_10Y!$A$2:$A$2918,1))-INDEX(DKW_10Y!$C$2:$C$2918,MATCH(Settings!$B$16,DKW_10Y!$A$2:$A$2918,1)))*100))</f>
        <v/>
      </c>
      <c r="Z1111" s="19">
        <f>IF(NOT(ISNUMBER($A1111)),NA(),IF(OR($A1111&lt;MIN(DKW_10Y!$A$2:$A$2918),$A1111&gt;MAX(DKW_10Y!$A$2:$A$2918),Settings!$B$16&lt;MIN(DKW_10Y!$A$2:$A$2918)),NA(),(INDEX(DKW_10Y!$D$2:$D$2918,MATCH($A1111,DKW_10Y!$A$2:$A$2918,1))-INDEX(DKW_10Y!$D$2:$D$2918,MATCH(Settings!$B$16,DKW_10Y!$A$2:$A$2918,1)))*100))</f>
        <v/>
      </c>
      <c r="AA1111" s="19">
        <f>IF(NOT(ISNUMBER($A1111)),NA(),IF(OR($A1111&lt;MIN(DKW_10Y!$A$2:$A$2918),$A1111&gt;MAX(DKW_10Y!$A$2:$A$2918),Settings!$B$16&lt;MIN(DKW_10Y!$A$2:$A$2918)),NA(),(INDEX(DKW_10Y!$E$2:$E$2918,MATCH($A1111,DKW_10Y!$A$2:$A$2918,1))-INDEX(DKW_10Y!$E$2:$E$2918,MATCH(Settings!$B$16,DKW_10Y!$A$2:$A$2918,1)))*100))</f>
        <v/>
      </c>
      <c r="AB1111" s="19">
        <f>IF(NOT(ISNUMBER($A1111)),NA(),IF(OR($A1111&lt;MIN(DKW_10Y!$A$2:$A$2918),$A1111&gt;MAX(DKW_10Y!$A$2:$A$2918),Settings!$B$16&lt;MIN(DKW_10Y!$A$2:$A$2918)),NA(),(INDEX(DKW_10Y!$H$2:$H$2918,MATCH($A1111,DKW_10Y!$A$2:$A$2918,1))-INDEX(DKW_10Y!$H$2:$H$2918,MATCH(Settings!$B$16,DKW_10Y!$A$2:$A$2918,1)))*100))</f>
        <v/>
      </c>
      <c r="AC1111" s="18">
        <f>IF(NOT(ISNUMBER($A1111)),NA(),IFERROR(1*INDEX(BBG_Data!$N$2:$N$4000,MATCH($A1111,BBG_Data!$M$2:$M$4000,0)),NA()))</f>
        <v/>
      </c>
      <c r="AD1111" s="18">
        <f>IF(NOT(ISNUMBER($A1111)),NA(),IFERROR(1*INDEX(BBG_Data!$P$2:$P$4000,MATCH($A1111,BBG_Data!$O$2:$O$4000,0)),NA()))</f>
        <v/>
      </c>
      <c r="AE1111" s="18">
        <f>IF(NOT(ISNUMBER($A1111)),NA(),IFERROR(1*INDEX(BBG_Data!$R$2:$R$4000,MATCH($A1111,BBG_Data!$Q$2:$Q$4000,0)),NA()))</f>
        <v/>
      </c>
      <c r="AF1111" s="20">
        <f>IF(AND(ISNUMBER(B1111),ISNUMBER(AC1111)),(B1111-AC1111)*100,NA())</f>
        <v/>
      </c>
      <c r="AG1111" s="20">
        <f>IF(AND(ISNUMBER(AE1111),ISNUMBER(AD1111)),(AE1111-AD1111)*100,NA())</f>
        <v/>
      </c>
      <c r="AH1111" s="19">
        <f>IF(NOT(ISNUMBER($A1111)),NA(),IFERROR(INDEX(BBG_Data!$T$2:$T$4000,MATCH($A1111,BBG_Data!$S$2:$S$4000,0))*Settings!$B$25,NA()))</f>
        <v/>
      </c>
      <c r="AI1111" s="19">
        <f>IF(NOT(ISNUMBER($A1111)),NA(),IFERROR(INDEX(BBG_Data!$V$2:$V$4000,MATCH($A1111,BBG_Data!$U$2:$U$4000,0))*Settings!$B$25,NA()))</f>
        <v/>
      </c>
      <c r="AJ1111" s="19">
        <f>IF(NOT(ISNUMBER($A1111)),NA(),IFERROR(1*INDEX(BBG_Data!$X$2:$X$4000,MATCH($A1111,BBG_Data!$W$2:$W$4000,0)),NA()))</f>
        <v/>
      </c>
      <c r="AK1111" s="19">
        <f>IF(NOT(ISNUMBER($A1111)),NA(),IFERROR(1*INDEX(BBG_Data!$Z$2:$Z$4000,MATCH($A1111,BBG_Data!$Y$2:$Y$4000,0)),NA()))</f>
        <v/>
      </c>
    </row>
    <row r="1112">
      <c r="A1112" s="17">
        <f>IF(ISNUMBER(BBG_Data!A1112),BBG_Data!A1112,"")</f>
        <v/>
      </c>
      <c r="B1112" s="18">
        <f>IF(AND(ISNUMBER($A1112),ISNUMBER(BBG_Data!B1112)),BBG_Data!B1112,NA())</f>
        <v/>
      </c>
      <c r="C1112" s="18">
        <f>IF(NOT(ISNUMBER($A1112)),NA(),IFERROR(1*INDEX(BBG_Data!$D$2:$D$4000,MATCH($A1112,BBG_Data!$C$2:$C$4000,0)),NA()))</f>
        <v/>
      </c>
      <c r="D1112" s="19">
        <f>IF(NOT(ISNUMBER($A1112)),NA(),IFERROR(1*INDEX(BBG_Data!$F$2:$F$4000,MATCH($A1112,BBG_Data!$E$2:$E$4000,0)),NA()))</f>
        <v/>
      </c>
      <c r="E1112" s="19">
        <f>IF(NOT(ISNUMBER($A1112)),NA(),IFERROR(1*INDEX(BBG_Data!$H$2:$H$4000,MATCH($A1112,BBG_Data!$G$2:$G$4000,0)),NA()))</f>
        <v/>
      </c>
      <c r="F1112" s="20">
        <f>IF(AND(ISNUMBER(B1112),ISNUMBER(B1111)),IF(B1112=B1111,"",(B1112-B1111)*100),"")</f>
        <v/>
      </c>
      <c r="G1112" s="20">
        <f>IF(AND(ISNUMBER(C1112),ISNUMBER(C1111)),IF(C1112=C1111,"",(C1112-C1111)*100),"")</f>
        <v/>
      </c>
      <c r="H1112" s="20">
        <f>IF(OR(NOT(ISNUMBER($A1112)),ROW()-2&lt;Settings!$B$11),NA(),IF(COUNT(OFFSET(F1112,1-Settings!$B$11,0,Settings!$B$11,1))&lt;ROUNDUP(Settings!$B$11*Settings!$B$26,0),NA(),STDEV(OFFSET(F1112,1-Settings!$B$11,0,Settings!$B$11,1))*SQRT(Settings!$B$13)))</f>
        <v/>
      </c>
      <c r="I1112" s="20">
        <f>IF(OR(NOT(ISNUMBER($A1112)),ROW()-2&lt;Settings!$B$12),NA(),IF(COUNT(OFFSET(F1112,1-Settings!$B$12,0,Settings!$B$12,1))&lt;ROUNDUP(Settings!$B$12*Settings!$B$26,0),NA(),STDEV(OFFSET(F1112,1-Settings!$B$12,0,Settings!$B$12,1))*SQRT(Settings!$B$13)))</f>
        <v/>
      </c>
      <c r="J1112" s="20">
        <f>IF(OR(NOT(ISNUMBER($A1112)),ROW()-2&lt;Settings!$B$11),NA(),IF(COUNT(OFFSET(G1112,1-Settings!$B$11,0,Settings!$B$11,1))&lt;ROUNDUP(Settings!$B$11*Settings!$B$26,0),NA(),STDEV(OFFSET(G1112,1-Settings!$B$11,0,Settings!$B$11,1))*SQRT(Settings!$B$13)))</f>
        <v/>
      </c>
      <c r="K1112" s="20">
        <f>IF(OR(NOT(ISNUMBER($A1112)),ROW()-2&lt;Settings!$B$12),NA(),IF(COUNT(OFFSET(G1112,1-Settings!$B$12,0,Settings!$B$12,1))&lt;ROUNDUP(Settings!$B$12*Settings!$B$26,0),NA(),STDEV(OFFSET(G1112,1-Settings!$B$12,0,Settings!$B$12,1))*SQRT(Settings!$B$13)))</f>
        <v/>
      </c>
      <c r="L1112" s="20">
        <f>IF(AND(ISNUMBER(D1112),ISNUMBER(H1112)),D1112-H1112,NA())</f>
        <v/>
      </c>
      <c r="M1112" s="20">
        <f>IF(AND(ISNUMBER(E1112),ISNUMBER(K1112)),E1112-K1112,NA())</f>
        <v/>
      </c>
      <c r="N1112" s="20">
        <f>IF(NOT(ISNUMBER($A1112)),NA(),IF(COUNT(OFFSET(G1112,1,0,Settings!$B$12,1))&lt;ROUNDUP(Settings!$B$12*Settings!$B$26,0),NA(),STDEV(OFFSET(G1112,1,0,Settings!$B$12,1))*SQRT(Settings!$B$13)))</f>
        <v/>
      </c>
      <c r="O1112" s="20">
        <f>IF(AND(ISNUMBER(E1112),ISNUMBER(N1112)),E1112-N1112,NA())</f>
        <v/>
      </c>
      <c r="P1112" s="19">
        <f>IF(NOT(ISNUMBER($A1112)),NA(),IF(OR($A1112&lt;MIN(KW_TP!$A$2:$A$2501),$A1112&gt;MAX(KW_TP!$A$2:$A$2501)),NA(),INDEX(KW_TP!$C$2:$C$2501,MATCH($A1112,KW_TP!$A$2:$A$2501,1))))</f>
        <v/>
      </c>
      <c r="Q1112" s="18">
        <f>IF(NOT(ISNUMBER($A1112)),NA(),IFERROR(1*INDEX(BBG_Data!$J$2:$J$4000,MATCH($A1112,BBG_Data!$I$2:$I$4000,0)),NA()))</f>
        <v/>
      </c>
      <c r="R1112" s="18">
        <f>IF(NOT(ISNUMBER($A1112)),NA(),IFERROR(1*INDEX(BBG_Data!$L$2:$L$4000,MATCH($A1112,BBG_Data!$K$2:$K$4000,0)),NA()))</f>
        <v/>
      </c>
      <c r="S1112" s="20">
        <f>IF(AND(ISNUMBER(B1112),ISNUMBER(Q1112),ISNUMBER(R1112)),(B1112-Q1112-R1112)*100,NA())</f>
        <v/>
      </c>
      <c r="T1112" s="20">
        <f>IF(AND(ISNUMBER(B1112),Settings!$B$17&gt;0),IF(ISNUMBER(INDEX($B:$B,Settings!$B$17)),(B1112-INDEX($B:$B,Settings!$B$17))*100,NA()),NA())</f>
        <v/>
      </c>
      <c r="U1112" s="20">
        <f>IF(AND(ISNUMBER(Q1112),Settings!$B$17&gt;0),IF(ISNUMBER(INDEX($Q:$Q,Settings!$B$17)),(Q1112-INDEX($Q:$Q,Settings!$B$17))*100,NA()),NA())</f>
        <v/>
      </c>
      <c r="V1112" s="20">
        <f>IF(AND(ISNUMBER(R1112),Settings!$B$17&gt;0),IF(ISNUMBER(INDEX($R:$R,Settings!$B$17)),(R1112-INDEX($R:$R,Settings!$B$17))*100,NA()),NA())</f>
        <v/>
      </c>
      <c r="W1112" s="20">
        <f>IF(AND(ISNUMBER(P1112),Settings!$B$17&gt;0),IF(ISNUMBER(INDEX($P:$P,Settings!$B$17)),P1112-INDEX($P:$P,Settings!$B$17),NA()),NA())</f>
        <v/>
      </c>
      <c r="X1112" s="19">
        <f>IF(NOT(ISNUMBER($A1112)),NA(),IF(OR($A1112&lt;MIN(DKW_10Y!$A$2:$A$2918),$A1112&gt;MAX(DKW_10Y!$A$2:$A$2918),Settings!$B$16&lt;MIN(DKW_10Y!$A$2:$A$2918)),NA(),(INDEX(DKW_10Y!$B$2:$B$2918,MATCH($A1112,DKW_10Y!$A$2:$A$2918,1))-INDEX(DKW_10Y!$B$2:$B$2918,MATCH(Settings!$B$16,DKW_10Y!$A$2:$A$2918,1)))*100))</f>
        <v/>
      </c>
      <c r="Y1112" s="19">
        <f>IF(NOT(ISNUMBER($A1112)),NA(),IF(OR($A1112&lt;MIN(DKW_10Y!$A$2:$A$2918),$A1112&gt;MAX(DKW_10Y!$A$2:$A$2918),Settings!$B$16&lt;MIN(DKW_10Y!$A$2:$A$2918)),NA(),(INDEX(DKW_10Y!$C$2:$C$2918,MATCH($A1112,DKW_10Y!$A$2:$A$2918,1))-INDEX(DKW_10Y!$C$2:$C$2918,MATCH(Settings!$B$16,DKW_10Y!$A$2:$A$2918,1)))*100))</f>
        <v/>
      </c>
      <c r="Z1112" s="19">
        <f>IF(NOT(ISNUMBER($A1112)),NA(),IF(OR($A1112&lt;MIN(DKW_10Y!$A$2:$A$2918),$A1112&gt;MAX(DKW_10Y!$A$2:$A$2918),Settings!$B$16&lt;MIN(DKW_10Y!$A$2:$A$2918)),NA(),(INDEX(DKW_10Y!$D$2:$D$2918,MATCH($A1112,DKW_10Y!$A$2:$A$2918,1))-INDEX(DKW_10Y!$D$2:$D$2918,MATCH(Settings!$B$16,DKW_10Y!$A$2:$A$2918,1)))*100))</f>
        <v/>
      </c>
      <c r="AA1112" s="19">
        <f>IF(NOT(ISNUMBER($A1112)),NA(),IF(OR($A1112&lt;MIN(DKW_10Y!$A$2:$A$2918),$A1112&gt;MAX(DKW_10Y!$A$2:$A$2918),Settings!$B$16&lt;MIN(DKW_10Y!$A$2:$A$2918)),NA(),(INDEX(DKW_10Y!$E$2:$E$2918,MATCH($A1112,DKW_10Y!$A$2:$A$2918,1))-INDEX(DKW_10Y!$E$2:$E$2918,MATCH(Settings!$B$16,DKW_10Y!$A$2:$A$2918,1)))*100))</f>
        <v/>
      </c>
      <c r="AB1112" s="19">
        <f>IF(NOT(ISNUMBER($A1112)),NA(),IF(OR($A1112&lt;MIN(DKW_10Y!$A$2:$A$2918),$A1112&gt;MAX(DKW_10Y!$A$2:$A$2918),Settings!$B$16&lt;MIN(DKW_10Y!$A$2:$A$2918)),NA(),(INDEX(DKW_10Y!$H$2:$H$2918,MATCH($A1112,DKW_10Y!$A$2:$A$2918,1))-INDEX(DKW_10Y!$H$2:$H$2918,MATCH(Settings!$B$16,DKW_10Y!$A$2:$A$2918,1)))*100))</f>
        <v/>
      </c>
      <c r="AC1112" s="18">
        <f>IF(NOT(ISNUMBER($A1112)),NA(),IFERROR(1*INDEX(BBG_Data!$N$2:$N$4000,MATCH($A1112,BBG_Data!$M$2:$M$4000,0)),NA()))</f>
        <v/>
      </c>
      <c r="AD1112" s="18">
        <f>IF(NOT(ISNUMBER($A1112)),NA(),IFERROR(1*INDEX(BBG_Data!$P$2:$P$4000,MATCH($A1112,BBG_Data!$O$2:$O$4000,0)),NA()))</f>
        <v/>
      </c>
      <c r="AE1112" s="18">
        <f>IF(NOT(ISNUMBER($A1112)),NA(),IFERROR(1*INDEX(BBG_Data!$R$2:$R$4000,MATCH($A1112,BBG_Data!$Q$2:$Q$4000,0)),NA()))</f>
        <v/>
      </c>
      <c r="AF1112" s="20">
        <f>IF(AND(ISNUMBER(B1112),ISNUMBER(AC1112)),(B1112-AC1112)*100,NA())</f>
        <v/>
      </c>
      <c r="AG1112" s="20">
        <f>IF(AND(ISNUMBER(AE1112),ISNUMBER(AD1112)),(AE1112-AD1112)*100,NA())</f>
        <v/>
      </c>
      <c r="AH1112" s="19">
        <f>IF(NOT(ISNUMBER($A1112)),NA(),IFERROR(INDEX(BBG_Data!$T$2:$T$4000,MATCH($A1112,BBG_Data!$S$2:$S$4000,0))*Settings!$B$25,NA()))</f>
        <v/>
      </c>
      <c r="AI1112" s="19">
        <f>IF(NOT(ISNUMBER($A1112)),NA(),IFERROR(INDEX(BBG_Data!$V$2:$V$4000,MATCH($A1112,BBG_Data!$U$2:$U$4000,0))*Settings!$B$25,NA()))</f>
        <v/>
      </c>
      <c r="AJ1112" s="19">
        <f>IF(NOT(ISNUMBER($A1112)),NA(),IFERROR(1*INDEX(BBG_Data!$X$2:$X$4000,MATCH($A1112,BBG_Data!$W$2:$W$4000,0)),NA()))</f>
        <v/>
      </c>
      <c r="AK1112" s="19">
        <f>IF(NOT(ISNUMBER($A1112)),NA(),IFERROR(1*INDEX(BBG_Data!$Z$2:$Z$4000,MATCH($A1112,BBG_Data!$Y$2:$Y$4000,0)),NA()))</f>
        <v/>
      </c>
    </row>
    <row r="1113">
      <c r="A1113" s="17">
        <f>IF(ISNUMBER(BBG_Data!A1113),BBG_Data!A1113,"")</f>
        <v/>
      </c>
      <c r="B1113" s="18">
        <f>IF(AND(ISNUMBER($A1113),ISNUMBER(BBG_Data!B1113)),BBG_Data!B1113,NA())</f>
        <v/>
      </c>
      <c r="C1113" s="18">
        <f>IF(NOT(ISNUMBER($A1113)),NA(),IFERROR(1*INDEX(BBG_Data!$D$2:$D$4000,MATCH($A1113,BBG_Data!$C$2:$C$4000,0)),NA()))</f>
        <v/>
      </c>
      <c r="D1113" s="19">
        <f>IF(NOT(ISNUMBER($A1113)),NA(),IFERROR(1*INDEX(BBG_Data!$F$2:$F$4000,MATCH($A1113,BBG_Data!$E$2:$E$4000,0)),NA()))</f>
        <v/>
      </c>
      <c r="E1113" s="19">
        <f>IF(NOT(ISNUMBER($A1113)),NA(),IFERROR(1*INDEX(BBG_Data!$H$2:$H$4000,MATCH($A1113,BBG_Data!$G$2:$G$4000,0)),NA()))</f>
        <v/>
      </c>
      <c r="F1113" s="20">
        <f>IF(AND(ISNUMBER(B1113),ISNUMBER(B1112)),IF(B1113=B1112,"",(B1113-B1112)*100),"")</f>
        <v/>
      </c>
      <c r="G1113" s="20">
        <f>IF(AND(ISNUMBER(C1113),ISNUMBER(C1112)),IF(C1113=C1112,"",(C1113-C1112)*100),"")</f>
        <v/>
      </c>
      <c r="H1113" s="20">
        <f>IF(OR(NOT(ISNUMBER($A1113)),ROW()-2&lt;Settings!$B$11),NA(),IF(COUNT(OFFSET(F1113,1-Settings!$B$11,0,Settings!$B$11,1))&lt;ROUNDUP(Settings!$B$11*Settings!$B$26,0),NA(),STDEV(OFFSET(F1113,1-Settings!$B$11,0,Settings!$B$11,1))*SQRT(Settings!$B$13)))</f>
        <v/>
      </c>
      <c r="I1113" s="20">
        <f>IF(OR(NOT(ISNUMBER($A1113)),ROW()-2&lt;Settings!$B$12),NA(),IF(COUNT(OFFSET(F1113,1-Settings!$B$12,0,Settings!$B$12,1))&lt;ROUNDUP(Settings!$B$12*Settings!$B$26,0),NA(),STDEV(OFFSET(F1113,1-Settings!$B$12,0,Settings!$B$12,1))*SQRT(Settings!$B$13)))</f>
        <v/>
      </c>
      <c r="J1113" s="20">
        <f>IF(OR(NOT(ISNUMBER($A1113)),ROW()-2&lt;Settings!$B$11),NA(),IF(COUNT(OFFSET(G1113,1-Settings!$B$11,0,Settings!$B$11,1))&lt;ROUNDUP(Settings!$B$11*Settings!$B$26,0),NA(),STDEV(OFFSET(G1113,1-Settings!$B$11,0,Settings!$B$11,1))*SQRT(Settings!$B$13)))</f>
        <v/>
      </c>
      <c r="K1113" s="20">
        <f>IF(OR(NOT(ISNUMBER($A1113)),ROW()-2&lt;Settings!$B$12),NA(),IF(COUNT(OFFSET(G1113,1-Settings!$B$12,0,Settings!$B$12,1))&lt;ROUNDUP(Settings!$B$12*Settings!$B$26,0),NA(),STDEV(OFFSET(G1113,1-Settings!$B$12,0,Settings!$B$12,1))*SQRT(Settings!$B$13)))</f>
        <v/>
      </c>
      <c r="L1113" s="20">
        <f>IF(AND(ISNUMBER(D1113),ISNUMBER(H1113)),D1113-H1113,NA())</f>
        <v/>
      </c>
      <c r="M1113" s="20">
        <f>IF(AND(ISNUMBER(E1113),ISNUMBER(K1113)),E1113-K1113,NA())</f>
        <v/>
      </c>
      <c r="N1113" s="20">
        <f>IF(NOT(ISNUMBER($A1113)),NA(),IF(COUNT(OFFSET(G1113,1,0,Settings!$B$12,1))&lt;ROUNDUP(Settings!$B$12*Settings!$B$26,0),NA(),STDEV(OFFSET(G1113,1,0,Settings!$B$12,1))*SQRT(Settings!$B$13)))</f>
        <v/>
      </c>
      <c r="O1113" s="20">
        <f>IF(AND(ISNUMBER(E1113),ISNUMBER(N1113)),E1113-N1113,NA())</f>
        <v/>
      </c>
      <c r="P1113" s="19">
        <f>IF(NOT(ISNUMBER($A1113)),NA(),IF(OR($A1113&lt;MIN(KW_TP!$A$2:$A$2501),$A1113&gt;MAX(KW_TP!$A$2:$A$2501)),NA(),INDEX(KW_TP!$C$2:$C$2501,MATCH($A1113,KW_TP!$A$2:$A$2501,1))))</f>
        <v/>
      </c>
      <c r="Q1113" s="18">
        <f>IF(NOT(ISNUMBER($A1113)),NA(),IFERROR(1*INDEX(BBG_Data!$J$2:$J$4000,MATCH($A1113,BBG_Data!$I$2:$I$4000,0)),NA()))</f>
        <v/>
      </c>
      <c r="R1113" s="18">
        <f>IF(NOT(ISNUMBER($A1113)),NA(),IFERROR(1*INDEX(BBG_Data!$L$2:$L$4000,MATCH($A1113,BBG_Data!$K$2:$K$4000,0)),NA()))</f>
        <v/>
      </c>
      <c r="S1113" s="20">
        <f>IF(AND(ISNUMBER(B1113),ISNUMBER(Q1113),ISNUMBER(R1113)),(B1113-Q1113-R1113)*100,NA())</f>
        <v/>
      </c>
      <c r="T1113" s="20">
        <f>IF(AND(ISNUMBER(B1113),Settings!$B$17&gt;0),IF(ISNUMBER(INDEX($B:$B,Settings!$B$17)),(B1113-INDEX($B:$B,Settings!$B$17))*100,NA()),NA())</f>
        <v/>
      </c>
      <c r="U1113" s="20">
        <f>IF(AND(ISNUMBER(Q1113),Settings!$B$17&gt;0),IF(ISNUMBER(INDEX($Q:$Q,Settings!$B$17)),(Q1113-INDEX($Q:$Q,Settings!$B$17))*100,NA()),NA())</f>
        <v/>
      </c>
      <c r="V1113" s="20">
        <f>IF(AND(ISNUMBER(R1113),Settings!$B$17&gt;0),IF(ISNUMBER(INDEX($R:$R,Settings!$B$17)),(R1113-INDEX($R:$R,Settings!$B$17))*100,NA()),NA())</f>
        <v/>
      </c>
      <c r="W1113" s="20">
        <f>IF(AND(ISNUMBER(P1113),Settings!$B$17&gt;0),IF(ISNUMBER(INDEX($P:$P,Settings!$B$17)),P1113-INDEX($P:$P,Settings!$B$17),NA()),NA())</f>
        <v/>
      </c>
      <c r="X1113" s="19">
        <f>IF(NOT(ISNUMBER($A1113)),NA(),IF(OR($A1113&lt;MIN(DKW_10Y!$A$2:$A$2918),$A1113&gt;MAX(DKW_10Y!$A$2:$A$2918),Settings!$B$16&lt;MIN(DKW_10Y!$A$2:$A$2918)),NA(),(INDEX(DKW_10Y!$B$2:$B$2918,MATCH($A1113,DKW_10Y!$A$2:$A$2918,1))-INDEX(DKW_10Y!$B$2:$B$2918,MATCH(Settings!$B$16,DKW_10Y!$A$2:$A$2918,1)))*100))</f>
        <v/>
      </c>
      <c r="Y1113" s="19">
        <f>IF(NOT(ISNUMBER($A1113)),NA(),IF(OR($A1113&lt;MIN(DKW_10Y!$A$2:$A$2918),$A1113&gt;MAX(DKW_10Y!$A$2:$A$2918),Settings!$B$16&lt;MIN(DKW_10Y!$A$2:$A$2918)),NA(),(INDEX(DKW_10Y!$C$2:$C$2918,MATCH($A1113,DKW_10Y!$A$2:$A$2918,1))-INDEX(DKW_10Y!$C$2:$C$2918,MATCH(Settings!$B$16,DKW_10Y!$A$2:$A$2918,1)))*100))</f>
        <v/>
      </c>
      <c r="Z1113" s="19">
        <f>IF(NOT(ISNUMBER($A1113)),NA(),IF(OR($A1113&lt;MIN(DKW_10Y!$A$2:$A$2918),$A1113&gt;MAX(DKW_10Y!$A$2:$A$2918),Settings!$B$16&lt;MIN(DKW_10Y!$A$2:$A$2918)),NA(),(INDEX(DKW_10Y!$D$2:$D$2918,MATCH($A1113,DKW_10Y!$A$2:$A$2918,1))-INDEX(DKW_10Y!$D$2:$D$2918,MATCH(Settings!$B$16,DKW_10Y!$A$2:$A$2918,1)))*100))</f>
        <v/>
      </c>
      <c r="AA1113" s="19">
        <f>IF(NOT(ISNUMBER($A1113)),NA(),IF(OR($A1113&lt;MIN(DKW_10Y!$A$2:$A$2918),$A1113&gt;MAX(DKW_10Y!$A$2:$A$2918),Settings!$B$16&lt;MIN(DKW_10Y!$A$2:$A$2918)),NA(),(INDEX(DKW_10Y!$E$2:$E$2918,MATCH($A1113,DKW_10Y!$A$2:$A$2918,1))-INDEX(DKW_10Y!$E$2:$E$2918,MATCH(Settings!$B$16,DKW_10Y!$A$2:$A$2918,1)))*100))</f>
        <v/>
      </c>
      <c r="AB1113" s="19">
        <f>IF(NOT(ISNUMBER($A1113)),NA(),IF(OR($A1113&lt;MIN(DKW_10Y!$A$2:$A$2918),$A1113&gt;MAX(DKW_10Y!$A$2:$A$2918),Settings!$B$16&lt;MIN(DKW_10Y!$A$2:$A$2918)),NA(),(INDEX(DKW_10Y!$H$2:$H$2918,MATCH($A1113,DKW_10Y!$A$2:$A$2918,1))-INDEX(DKW_10Y!$H$2:$H$2918,MATCH(Settings!$B$16,DKW_10Y!$A$2:$A$2918,1)))*100))</f>
        <v/>
      </c>
      <c r="AC1113" s="18">
        <f>IF(NOT(ISNUMBER($A1113)),NA(),IFERROR(1*INDEX(BBG_Data!$N$2:$N$4000,MATCH($A1113,BBG_Data!$M$2:$M$4000,0)),NA()))</f>
        <v/>
      </c>
      <c r="AD1113" s="18">
        <f>IF(NOT(ISNUMBER($A1113)),NA(),IFERROR(1*INDEX(BBG_Data!$P$2:$P$4000,MATCH($A1113,BBG_Data!$O$2:$O$4000,0)),NA()))</f>
        <v/>
      </c>
      <c r="AE1113" s="18">
        <f>IF(NOT(ISNUMBER($A1113)),NA(),IFERROR(1*INDEX(BBG_Data!$R$2:$R$4000,MATCH($A1113,BBG_Data!$Q$2:$Q$4000,0)),NA()))</f>
        <v/>
      </c>
      <c r="AF1113" s="20">
        <f>IF(AND(ISNUMBER(B1113),ISNUMBER(AC1113)),(B1113-AC1113)*100,NA())</f>
        <v/>
      </c>
      <c r="AG1113" s="20">
        <f>IF(AND(ISNUMBER(AE1113),ISNUMBER(AD1113)),(AE1113-AD1113)*100,NA())</f>
        <v/>
      </c>
      <c r="AH1113" s="19">
        <f>IF(NOT(ISNUMBER($A1113)),NA(),IFERROR(INDEX(BBG_Data!$T$2:$T$4000,MATCH($A1113,BBG_Data!$S$2:$S$4000,0))*Settings!$B$25,NA()))</f>
        <v/>
      </c>
      <c r="AI1113" s="19">
        <f>IF(NOT(ISNUMBER($A1113)),NA(),IFERROR(INDEX(BBG_Data!$V$2:$V$4000,MATCH($A1113,BBG_Data!$U$2:$U$4000,0))*Settings!$B$25,NA()))</f>
        <v/>
      </c>
      <c r="AJ1113" s="19">
        <f>IF(NOT(ISNUMBER($A1113)),NA(),IFERROR(1*INDEX(BBG_Data!$X$2:$X$4000,MATCH($A1113,BBG_Data!$W$2:$W$4000,0)),NA()))</f>
        <v/>
      </c>
      <c r="AK1113" s="19">
        <f>IF(NOT(ISNUMBER($A1113)),NA(),IFERROR(1*INDEX(BBG_Data!$Z$2:$Z$4000,MATCH($A1113,BBG_Data!$Y$2:$Y$4000,0)),NA()))</f>
        <v/>
      </c>
    </row>
    <row r="1114">
      <c r="A1114" s="17">
        <f>IF(ISNUMBER(BBG_Data!A1114),BBG_Data!A1114,"")</f>
        <v/>
      </c>
      <c r="B1114" s="18">
        <f>IF(AND(ISNUMBER($A1114),ISNUMBER(BBG_Data!B1114)),BBG_Data!B1114,NA())</f>
        <v/>
      </c>
      <c r="C1114" s="18">
        <f>IF(NOT(ISNUMBER($A1114)),NA(),IFERROR(1*INDEX(BBG_Data!$D$2:$D$4000,MATCH($A1114,BBG_Data!$C$2:$C$4000,0)),NA()))</f>
        <v/>
      </c>
      <c r="D1114" s="19">
        <f>IF(NOT(ISNUMBER($A1114)),NA(),IFERROR(1*INDEX(BBG_Data!$F$2:$F$4000,MATCH($A1114,BBG_Data!$E$2:$E$4000,0)),NA()))</f>
        <v/>
      </c>
      <c r="E1114" s="19">
        <f>IF(NOT(ISNUMBER($A1114)),NA(),IFERROR(1*INDEX(BBG_Data!$H$2:$H$4000,MATCH($A1114,BBG_Data!$G$2:$G$4000,0)),NA()))</f>
        <v/>
      </c>
      <c r="F1114" s="20">
        <f>IF(AND(ISNUMBER(B1114),ISNUMBER(B1113)),IF(B1114=B1113,"",(B1114-B1113)*100),"")</f>
        <v/>
      </c>
      <c r="G1114" s="20">
        <f>IF(AND(ISNUMBER(C1114),ISNUMBER(C1113)),IF(C1114=C1113,"",(C1114-C1113)*100),"")</f>
        <v/>
      </c>
      <c r="H1114" s="20">
        <f>IF(OR(NOT(ISNUMBER($A1114)),ROW()-2&lt;Settings!$B$11),NA(),IF(COUNT(OFFSET(F1114,1-Settings!$B$11,0,Settings!$B$11,1))&lt;ROUNDUP(Settings!$B$11*Settings!$B$26,0),NA(),STDEV(OFFSET(F1114,1-Settings!$B$11,0,Settings!$B$11,1))*SQRT(Settings!$B$13)))</f>
        <v/>
      </c>
      <c r="I1114" s="20">
        <f>IF(OR(NOT(ISNUMBER($A1114)),ROW()-2&lt;Settings!$B$12),NA(),IF(COUNT(OFFSET(F1114,1-Settings!$B$12,0,Settings!$B$12,1))&lt;ROUNDUP(Settings!$B$12*Settings!$B$26,0),NA(),STDEV(OFFSET(F1114,1-Settings!$B$12,0,Settings!$B$12,1))*SQRT(Settings!$B$13)))</f>
        <v/>
      </c>
      <c r="J1114" s="20">
        <f>IF(OR(NOT(ISNUMBER($A1114)),ROW()-2&lt;Settings!$B$11),NA(),IF(COUNT(OFFSET(G1114,1-Settings!$B$11,0,Settings!$B$11,1))&lt;ROUNDUP(Settings!$B$11*Settings!$B$26,0),NA(),STDEV(OFFSET(G1114,1-Settings!$B$11,0,Settings!$B$11,1))*SQRT(Settings!$B$13)))</f>
        <v/>
      </c>
      <c r="K1114" s="20">
        <f>IF(OR(NOT(ISNUMBER($A1114)),ROW()-2&lt;Settings!$B$12),NA(),IF(COUNT(OFFSET(G1114,1-Settings!$B$12,0,Settings!$B$12,1))&lt;ROUNDUP(Settings!$B$12*Settings!$B$26,0),NA(),STDEV(OFFSET(G1114,1-Settings!$B$12,0,Settings!$B$12,1))*SQRT(Settings!$B$13)))</f>
        <v/>
      </c>
      <c r="L1114" s="20">
        <f>IF(AND(ISNUMBER(D1114),ISNUMBER(H1114)),D1114-H1114,NA())</f>
        <v/>
      </c>
      <c r="M1114" s="20">
        <f>IF(AND(ISNUMBER(E1114),ISNUMBER(K1114)),E1114-K1114,NA())</f>
        <v/>
      </c>
      <c r="N1114" s="20">
        <f>IF(NOT(ISNUMBER($A1114)),NA(),IF(COUNT(OFFSET(G1114,1,0,Settings!$B$12,1))&lt;ROUNDUP(Settings!$B$12*Settings!$B$26,0),NA(),STDEV(OFFSET(G1114,1,0,Settings!$B$12,1))*SQRT(Settings!$B$13)))</f>
        <v/>
      </c>
      <c r="O1114" s="20">
        <f>IF(AND(ISNUMBER(E1114),ISNUMBER(N1114)),E1114-N1114,NA())</f>
        <v/>
      </c>
      <c r="P1114" s="19">
        <f>IF(NOT(ISNUMBER($A1114)),NA(),IF(OR($A1114&lt;MIN(KW_TP!$A$2:$A$2501),$A1114&gt;MAX(KW_TP!$A$2:$A$2501)),NA(),INDEX(KW_TP!$C$2:$C$2501,MATCH($A1114,KW_TP!$A$2:$A$2501,1))))</f>
        <v/>
      </c>
      <c r="Q1114" s="18">
        <f>IF(NOT(ISNUMBER($A1114)),NA(),IFERROR(1*INDEX(BBG_Data!$J$2:$J$4000,MATCH($A1114,BBG_Data!$I$2:$I$4000,0)),NA()))</f>
        <v/>
      </c>
      <c r="R1114" s="18">
        <f>IF(NOT(ISNUMBER($A1114)),NA(),IFERROR(1*INDEX(BBG_Data!$L$2:$L$4000,MATCH($A1114,BBG_Data!$K$2:$K$4000,0)),NA()))</f>
        <v/>
      </c>
      <c r="S1114" s="20">
        <f>IF(AND(ISNUMBER(B1114),ISNUMBER(Q1114),ISNUMBER(R1114)),(B1114-Q1114-R1114)*100,NA())</f>
        <v/>
      </c>
      <c r="T1114" s="20">
        <f>IF(AND(ISNUMBER(B1114),Settings!$B$17&gt;0),IF(ISNUMBER(INDEX($B:$B,Settings!$B$17)),(B1114-INDEX($B:$B,Settings!$B$17))*100,NA()),NA())</f>
        <v/>
      </c>
      <c r="U1114" s="20">
        <f>IF(AND(ISNUMBER(Q1114),Settings!$B$17&gt;0),IF(ISNUMBER(INDEX($Q:$Q,Settings!$B$17)),(Q1114-INDEX($Q:$Q,Settings!$B$17))*100,NA()),NA())</f>
        <v/>
      </c>
      <c r="V1114" s="20">
        <f>IF(AND(ISNUMBER(R1114),Settings!$B$17&gt;0),IF(ISNUMBER(INDEX($R:$R,Settings!$B$17)),(R1114-INDEX($R:$R,Settings!$B$17))*100,NA()),NA())</f>
        <v/>
      </c>
      <c r="W1114" s="20">
        <f>IF(AND(ISNUMBER(P1114),Settings!$B$17&gt;0),IF(ISNUMBER(INDEX($P:$P,Settings!$B$17)),P1114-INDEX($P:$P,Settings!$B$17),NA()),NA())</f>
        <v/>
      </c>
      <c r="X1114" s="19">
        <f>IF(NOT(ISNUMBER($A1114)),NA(),IF(OR($A1114&lt;MIN(DKW_10Y!$A$2:$A$2918),$A1114&gt;MAX(DKW_10Y!$A$2:$A$2918),Settings!$B$16&lt;MIN(DKW_10Y!$A$2:$A$2918)),NA(),(INDEX(DKW_10Y!$B$2:$B$2918,MATCH($A1114,DKW_10Y!$A$2:$A$2918,1))-INDEX(DKW_10Y!$B$2:$B$2918,MATCH(Settings!$B$16,DKW_10Y!$A$2:$A$2918,1)))*100))</f>
        <v/>
      </c>
      <c r="Y1114" s="19">
        <f>IF(NOT(ISNUMBER($A1114)),NA(),IF(OR($A1114&lt;MIN(DKW_10Y!$A$2:$A$2918),$A1114&gt;MAX(DKW_10Y!$A$2:$A$2918),Settings!$B$16&lt;MIN(DKW_10Y!$A$2:$A$2918)),NA(),(INDEX(DKW_10Y!$C$2:$C$2918,MATCH($A1114,DKW_10Y!$A$2:$A$2918,1))-INDEX(DKW_10Y!$C$2:$C$2918,MATCH(Settings!$B$16,DKW_10Y!$A$2:$A$2918,1)))*100))</f>
        <v/>
      </c>
      <c r="Z1114" s="19">
        <f>IF(NOT(ISNUMBER($A1114)),NA(),IF(OR($A1114&lt;MIN(DKW_10Y!$A$2:$A$2918),$A1114&gt;MAX(DKW_10Y!$A$2:$A$2918),Settings!$B$16&lt;MIN(DKW_10Y!$A$2:$A$2918)),NA(),(INDEX(DKW_10Y!$D$2:$D$2918,MATCH($A1114,DKW_10Y!$A$2:$A$2918,1))-INDEX(DKW_10Y!$D$2:$D$2918,MATCH(Settings!$B$16,DKW_10Y!$A$2:$A$2918,1)))*100))</f>
        <v/>
      </c>
      <c r="AA1114" s="19">
        <f>IF(NOT(ISNUMBER($A1114)),NA(),IF(OR($A1114&lt;MIN(DKW_10Y!$A$2:$A$2918),$A1114&gt;MAX(DKW_10Y!$A$2:$A$2918),Settings!$B$16&lt;MIN(DKW_10Y!$A$2:$A$2918)),NA(),(INDEX(DKW_10Y!$E$2:$E$2918,MATCH($A1114,DKW_10Y!$A$2:$A$2918,1))-INDEX(DKW_10Y!$E$2:$E$2918,MATCH(Settings!$B$16,DKW_10Y!$A$2:$A$2918,1)))*100))</f>
        <v/>
      </c>
      <c r="AB1114" s="19">
        <f>IF(NOT(ISNUMBER($A1114)),NA(),IF(OR($A1114&lt;MIN(DKW_10Y!$A$2:$A$2918),$A1114&gt;MAX(DKW_10Y!$A$2:$A$2918),Settings!$B$16&lt;MIN(DKW_10Y!$A$2:$A$2918)),NA(),(INDEX(DKW_10Y!$H$2:$H$2918,MATCH($A1114,DKW_10Y!$A$2:$A$2918,1))-INDEX(DKW_10Y!$H$2:$H$2918,MATCH(Settings!$B$16,DKW_10Y!$A$2:$A$2918,1)))*100))</f>
        <v/>
      </c>
      <c r="AC1114" s="18">
        <f>IF(NOT(ISNUMBER($A1114)),NA(),IFERROR(1*INDEX(BBG_Data!$N$2:$N$4000,MATCH($A1114,BBG_Data!$M$2:$M$4000,0)),NA()))</f>
        <v/>
      </c>
      <c r="AD1114" s="18">
        <f>IF(NOT(ISNUMBER($A1114)),NA(),IFERROR(1*INDEX(BBG_Data!$P$2:$P$4000,MATCH($A1114,BBG_Data!$O$2:$O$4000,0)),NA()))</f>
        <v/>
      </c>
      <c r="AE1114" s="18">
        <f>IF(NOT(ISNUMBER($A1114)),NA(),IFERROR(1*INDEX(BBG_Data!$R$2:$R$4000,MATCH($A1114,BBG_Data!$Q$2:$Q$4000,0)),NA()))</f>
        <v/>
      </c>
      <c r="AF1114" s="20">
        <f>IF(AND(ISNUMBER(B1114),ISNUMBER(AC1114)),(B1114-AC1114)*100,NA())</f>
        <v/>
      </c>
      <c r="AG1114" s="20">
        <f>IF(AND(ISNUMBER(AE1114),ISNUMBER(AD1114)),(AE1114-AD1114)*100,NA())</f>
        <v/>
      </c>
      <c r="AH1114" s="19">
        <f>IF(NOT(ISNUMBER($A1114)),NA(),IFERROR(INDEX(BBG_Data!$T$2:$T$4000,MATCH($A1114,BBG_Data!$S$2:$S$4000,0))*Settings!$B$25,NA()))</f>
        <v/>
      </c>
      <c r="AI1114" s="19">
        <f>IF(NOT(ISNUMBER($A1114)),NA(),IFERROR(INDEX(BBG_Data!$V$2:$V$4000,MATCH($A1114,BBG_Data!$U$2:$U$4000,0))*Settings!$B$25,NA()))</f>
        <v/>
      </c>
      <c r="AJ1114" s="19">
        <f>IF(NOT(ISNUMBER($A1114)),NA(),IFERROR(1*INDEX(BBG_Data!$X$2:$X$4000,MATCH($A1114,BBG_Data!$W$2:$W$4000,0)),NA()))</f>
        <v/>
      </c>
      <c r="AK1114" s="19">
        <f>IF(NOT(ISNUMBER($A1114)),NA(),IFERROR(1*INDEX(BBG_Data!$Z$2:$Z$4000,MATCH($A1114,BBG_Data!$Y$2:$Y$4000,0)),NA()))</f>
        <v/>
      </c>
    </row>
    <row r="1115">
      <c r="A1115" s="17">
        <f>IF(ISNUMBER(BBG_Data!A1115),BBG_Data!A1115,"")</f>
        <v/>
      </c>
      <c r="B1115" s="18">
        <f>IF(AND(ISNUMBER($A1115),ISNUMBER(BBG_Data!B1115)),BBG_Data!B1115,NA())</f>
        <v/>
      </c>
      <c r="C1115" s="18">
        <f>IF(NOT(ISNUMBER($A1115)),NA(),IFERROR(1*INDEX(BBG_Data!$D$2:$D$4000,MATCH($A1115,BBG_Data!$C$2:$C$4000,0)),NA()))</f>
        <v/>
      </c>
      <c r="D1115" s="19">
        <f>IF(NOT(ISNUMBER($A1115)),NA(),IFERROR(1*INDEX(BBG_Data!$F$2:$F$4000,MATCH($A1115,BBG_Data!$E$2:$E$4000,0)),NA()))</f>
        <v/>
      </c>
      <c r="E1115" s="19">
        <f>IF(NOT(ISNUMBER($A1115)),NA(),IFERROR(1*INDEX(BBG_Data!$H$2:$H$4000,MATCH($A1115,BBG_Data!$G$2:$G$4000,0)),NA()))</f>
        <v/>
      </c>
      <c r="F1115" s="20">
        <f>IF(AND(ISNUMBER(B1115),ISNUMBER(B1114)),IF(B1115=B1114,"",(B1115-B1114)*100),"")</f>
        <v/>
      </c>
      <c r="G1115" s="20">
        <f>IF(AND(ISNUMBER(C1115),ISNUMBER(C1114)),IF(C1115=C1114,"",(C1115-C1114)*100),"")</f>
        <v/>
      </c>
      <c r="H1115" s="20">
        <f>IF(OR(NOT(ISNUMBER($A1115)),ROW()-2&lt;Settings!$B$11),NA(),IF(COUNT(OFFSET(F1115,1-Settings!$B$11,0,Settings!$B$11,1))&lt;ROUNDUP(Settings!$B$11*Settings!$B$26,0),NA(),STDEV(OFFSET(F1115,1-Settings!$B$11,0,Settings!$B$11,1))*SQRT(Settings!$B$13)))</f>
        <v/>
      </c>
      <c r="I1115" s="20">
        <f>IF(OR(NOT(ISNUMBER($A1115)),ROW()-2&lt;Settings!$B$12),NA(),IF(COUNT(OFFSET(F1115,1-Settings!$B$12,0,Settings!$B$12,1))&lt;ROUNDUP(Settings!$B$12*Settings!$B$26,0),NA(),STDEV(OFFSET(F1115,1-Settings!$B$12,0,Settings!$B$12,1))*SQRT(Settings!$B$13)))</f>
        <v/>
      </c>
      <c r="J1115" s="20">
        <f>IF(OR(NOT(ISNUMBER($A1115)),ROW()-2&lt;Settings!$B$11),NA(),IF(COUNT(OFFSET(G1115,1-Settings!$B$11,0,Settings!$B$11,1))&lt;ROUNDUP(Settings!$B$11*Settings!$B$26,0),NA(),STDEV(OFFSET(G1115,1-Settings!$B$11,0,Settings!$B$11,1))*SQRT(Settings!$B$13)))</f>
        <v/>
      </c>
      <c r="K1115" s="20">
        <f>IF(OR(NOT(ISNUMBER($A1115)),ROW()-2&lt;Settings!$B$12),NA(),IF(COUNT(OFFSET(G1115,1-Settings!$B$12,0,Settings!$B$12,1))&lt;ROUNDUP(Settings!$B$12*Settings!$B$26,0),NA(),STDEV(OFFSET(G1115,1-Settings!$B$12,0,Settings!$B$12,1))*SQRT(Settings!$B$13)))</f>
        <v/>
      </c>
      <c r="L1115" s="20">
        <f>IF(AND(ISNUMBER(D1115),ISNUMBER(H1115)),D1115-H1115,NA())</f>
        <v/>
      </c>
      <c r="M1115" s="20">
        <f>IF(AND(ISNUMBER(E1115),ISNUMBER(K1115)),E1115-K1115,NA())</f>
        <v/>
      </c>
      <c r="N1115" s="20">
        <f>IF(NOT(ISNUMBER($A1115)),NA(),IF(COUNT(OFFSET(G1115,1,0,Settings!$B$12,1))&lt;ROUNDUP(Settings!$B$12*Settings!$B$26,0),NA(),STDEV(OFFSET(G1115,1,0,Settings!$B$12,1))*SQRT(Settings!$B$13)))</f>
        <v/>
      </c>
      <c r="O1115" s="20">
        <f>IF(AND(ISNUMBER(E1115),ISNUMBER(N1115)),E1115-N1115,NA())</f>
        <v/>
      </c>
      <c r="P1115" s="19">
        <f>IF(NOT(ISNUMBER($A1115)),NA(),IF(OR($A1115&lt;MIN(KW_TP!$A$2:$A$2501),$A1115&gt;MAX(KW_TP!$A$2:$A$2501)),NA(),INDEX(KW_TP!$C$2:$C$2501,MATCH($A1115,KW_TP!$A$2:$A$2501,1))))</f>
        <v/>
      </c>
      <c r="Q1115" s="18">
        <f>IF(NOT(ISNUMBER($A1115)),NA(),IFERROR(1*INDEX(BBG_Data!$J$2:$J$4000,MATCH($A1115,BBG_Data!$I$2:$I$4000,0)),NA()))</f>
        <v/>
      </c>
      <c r="R1115" s="18">
        <f>IF(NOT(ISNUMBER($A1115)),NA(),IFERROR(1*INDEX(BBG_Data!$L$2:$L$4000,MATCH($A1115,BBG_Data!$K$2:$K$4000,0)),NA()))</f>
        <v/>
      </c>
      <c r="S1115" s="20">
        <f>IF(AND(ISNUMBER(B1115),ISNUMBER(Q1115),ISNUMBER(R1115)),(B1115-Q1115-R1115)*100,NA())</f>
        <v/>
      </c>
      <c r="T1115" s="20">
        <f>IF(AND(ISNUMBER(B1115),Settings!$B$17&gt;0),IF(ISNUMBER(INDEX($B:$B,Settings!$B$17)),(B1115-INDEX($B:$B,Settings!$B$17))*100,NA()),NA())</f>
        <v/>
      </c>
      <c r="U1115" s="20">
        <f>IF(AND(ISNUMBER(Q1115),Settings!$B$17&gt;0),IF(ISNUMBER(INDEX($Q:$Q,Settings!$B$17)),(Q1115-INDEX($Q:$Q,Settings!$B$17))*100,NA()),NA())</f>
        <v/>
      </c>
      <c r="V1115" s="20">
        <f>IF(AND(ISNUMBER(R1115),Settings!$B$17&gt;0),IF(ISNUMBER(INDEX($R:$R,Settings!$B$17)),(R1115-INDEX($R:$R,Settings!$B$17))*100,NA()),NA())</f>
        <v/>
      </c>
      <c r="W1115" s="20">
        <f>IF(AND(ISNUMBER(P1115),Settings!$B$17&gt;0),IF(ISNUMBER(INDEX($P:$P,Settings!$B$17)),P1115-INDEX($P:$P,Settings!$B$17),NA()),NA())</f>
        <v/>
      </c>
      <c r="X1115" s="19">
        <f>IF(NOT(ISNUMBER($A1115)),NA(),IF(OR($A1115&lt;MIN(DKW_10Y!$A$2:$A$2918),$A1115&gt;MAX(DKW_10Y!$A$2:$A$2918),Settings!$B$16&lt;MIN(DKW_10Y!$A$2:$A$2918)),NA(),(INDEX(DKW_10Y!$B$2:$B$2918,MATCH($A1115,DKW_10Y!$A$2:$A$2918,1))-INDEX(DKW_10Y!$B$2:$B$2918,MATCH(Settings!$B$16,DKW_10Y!$A$2:$A$2918,1)))*100))</f>
        <v/>
      </c>
      <c r="Y1115" s="19">
        <f>IF(NOT(ISNUMBER($A1115)),NA(),IF(OR($A1115&lt;MIN(DKW_10Y!$A$2:$A$2918),$A1115&gt;MAX(DKW_10Y!$A$2:$A$2918),Settings!$B$16&lt;MIN(DKW_10Y!$A$2:$A$2918)),NA(),(INDEX(DKW_10Y!$C$2:$C$2918,MATCH($A1115,DKW_10Y!$A$2:$A$2918,1))-INDEX(DKW_10Y!$C$2:$C$2918,MATCH(Settings!$B$16,DKW_10Y!$A$2:$A$2918,1)))*100))</f>
        <v/>
      </c>
      <c r="Z1115" s="19">
        <f>IF(NOT(ISNUMBER($A1115)),NA(),IF(OR($A1115&lt;MIN(DKW_10Y!$A$2:$A$2918),$A1115&gt;MAX(DKW_10Y!$A$2:$A$2918),Settings!$B$16&lt;MIN(DKW_10Y!$A$2:$A$2918)),NA(),(INDEX(DKW_10Y!$D$2:$D$2918,MATCH($A1115,DKW_10Y!$A$2:$A$2918,1))-INDEX(DKW_10Y!$D$2:$D$2918,MATCH(Settings!$B$16,DKW_10Y!$A$2:$A$2918,1)))*100))</f>
        <v/>
      </c>
      <c r="AA1115" s="19">
        <f>IF(NOT(ISNUMBER($A1115)),NA(),IF(OR($A1115&lt;MIN(DKW_10Y!$A$2:$A$2918),$A1115&gt;MAX(DKW_10Y!$A$2:$A$2918),Settings!$B$16&lt;MIN(DKW_10Y!$A$2:$A$2918)),NA(),(INDEX(DKW_10Y!$E$2:$E$2918,MATCH($A1115,DKW_10Y!$A$2:$A$2918,1))-INDEX(DKW_10Y!$E$2:$E$2918,MATCH(Settings!$B$16,DKW_10Y!$A$2:$A$2918,1)))*100))</f>
        <v/>
      </c>
      <c r="AB1115" s="19">
        <f>IF(NOT(ISNUMBER($A1115)),NA(),IF(OR($A1115&lt;MIN(DKW_10Y!$A$2:$A$2918),$A1115&gt;MAX(DKW_10Y!$A$2:$A$2918),Settings!$B$16&lt;MIN(DKW_10Y!$A$2:$A$2918)),NA(),(INDEX(DKW_10Y!$H$2:$H$2918,MATCH($A1115,DKW_10Y!$A$2:$A$2918,1))-INDEX(DKW_10Y!$H$2:$H$2918,MATCH(Settings!$B$16,DKW_10Y!$A$2:$A$2918,1)))*100))</f>
        <v/>
      </c>
      <c r="AC1115" s="18">
        <f>IF(NOT(ISNUMBER($A1115)),NA(),IFERROR(1*INDEX(BBG_Data!$N$2:$N$4000,MATCH($A1115,BBG_Data!$M$2:$M$4000,0)),NA()))</f>
        <v/>
      </c>
      <c r="AD1115" s="18">
        <f>IF(NOT(ISNUMBER($A1115)),NA(),IFERROR(1*INDEX(BBG_Data!$P$2:$P$4000,MATCH($A1115,BBG_Data!$O$2:$O$4000,0)),NA()))</f>
        <v/>
      </c>
      <c r="AE1115" s="18">
        <f>IF(NOT(ISNUMBER($A1115)),NA(),IFERROR(1*INDEX(BBG_Data!$R$2:$R$4000,MATCH($A1115,BBG_Data!$Q$2:$Q$4000,0)),NA()))</f>
        <v/>
      </c>
      <c r="AF1115" s="20">
        <f>IF(AND(ISNUMBER(B1115),ISNUMBER(AC1115)),(B1115-AC1115)*100,NA())</f>
        <v/>
      </c>
      <c r="AG1115" s="20">
        <f>IF(AND(ISNUMBER(AE1115),ISNUMBER(AD1115)),(AE1115-AD1115)*100,NA())</f>
        <v/>
      </c>
      <c r="AH1115" s="19">
        <f>IF(NOT(ISNUMBER($A1115)),NA(),IFERROR(INDEX(BBG_Data!$T$2:$T$4000,MATCH($A1115,BBG_Data!$S$2:$S$4000,0))*Settings!$B$25,NA()))</f>
        <v/>
      </c>
      <c r="AI1115" s="19">
        <f>IF(NOT(ISNUMBER($A1115)),NA(),IFERROR(INDEX(BBG_Data!$V$2:$V$4000,MATCH($A1115,BBG_Data!$U$2:$U$4000,0))*Settings!$B$25,NA()))</f>
        <v/>
      </c>
      <c r="AJ1115" s="19">
        <f>IF(NOT(ISNUMBER($A1115)),NA(),IFERROR(1*INDEX(BBG_Data!$X$2:$X$4000,MATCH($A1115,BBG_Data!$W$2:$W$4000,0)),NA()))</f>
        <v/>
      </c>
      <c r="AK1115" s="19">
        <f>IF(NOT(ISNUMBER($A1115)),NA(),IFERROR(1*INDEX(BBG_Data!$Z$2:$Z$4000,MATCH($A1115,BBG_Data!$Y$2:$Y$4000,0)),NA()))</f>
        <v/>
      </c>
    </row>
    <row r="1116">
      <c r="A1116" s="17">
        <f>IF(ISNUMBER(BBG_Data!A1116),BBG_Data!A1116,"")</f>
        <v/>
      </c>
      <c r="B1116" s="18">
        <f>IF(AND(ISNUMBER($A1116),ISNUMBER(BBG_Data!B1116)),BBG_Data!B1116,NA())</f>
        <v/>
      </c>
      <c r="C1116" s="18">
        <f>IF(NOT(ISNUMBER($A1116)),NA(),IFERROR(1*INDEX(BBG_Data!$D$2:$D$4000,MATCH($A1116,BBG_Data!$C$2:$C$4000,0)),NA()))</f>
        <v/>
      </c>
      <c r="D1116" s="19">
        <f>IF(NOT(ISNUMBER($A1116)),NA(),IFERROR(1*INDEX(BBG_Data!$F$2:$F$4000,MATCH($A1116,BBG_Data!$E$2:$E$4000,0)),NA()))</f>
        <v/>
      </c>
      <c r="E1116" s="19">
        <f>IF(NOT(ISNUMBER($A1116)),NA(),IFERROR(1*INDEX(BBG_Data!$H$2:$H$4000,MATCH($A1116,BBG_Data!$G$2:$G$4000,0)),NA()))</f>
        <v/>
      </c>
      <c r="F1116" s="20">
        <f>IF(AND(ISNUMBER(B1116),ISNUMBER(B1115)),IF(B1116=B1115,"",(B1116-B1115)*100),"")</f>
        <v/>
      </c>
      <c r="G1116" s="20">
        <f>IF(AND(ISNUMBER(C1116),ISNUMBER(C1115)),IF(C1116=C1115,"",(C1116-C1115)*100),"")</f>
        <v/>
      </c>
      <c r="H1116" s="20">
        <f>IF(OR(NOT(ISNUMBER($A1116)),ROW()-2&lt;Settings!$B$11),NA(),IF(COUNT(OFFSET(F1116,1-Settings!$B$11,0,Settings!$B$11,1))&lt;ROUNDUP(Settings!$B$11*Settings!$B$26,0),NA(),STDEV(OFFSET(F1116,1-Settings!$B$11,0,Settings!$B$11,1))*SQRT(Settings!$B$13)))</f>
        <v/>
      </c>
      <c r="I1116" s="20">
        <f>IF(OR(NOT(ISNUMBER($A1116)),ROW()-2&lt;Settings!$B$12),NA(),IF(COUNT(OFFSET(F1116,1-Settings!$B$12,0,Settings!$B$12,1))&lt;ROUNDUP(Settings!$B$12*Settings!$B$26,0),NA(),STDEV(OFFSET(F1116,1-Settings!$B$12,0,Settings!$B$12,1))*SQRT(Settings!$B$13)))</f>
        <v/>
      </c>
      <c r="J1116" s="20">
        <f>IF(OR(NOT(ISNUMBER($A1116)),ROW()-2&lt;Settings!$B$11),NA(),IF(COUNT(OFFSET(G1116,1-Settings!$B$11,0,Settings!$B$11,1))&lt;ROUNDUP(Settings!$B$11*Settings!$B$26,0),NA(),STDEV(OFFSET(G1116,1-Settings!$B$11,0,Settings!$B$11,1))*SQRT(Settings!$B$13)))</f>
        <v/>
      </c>
      <c r="K1116" s="20">
        <f>IF(OR(NOT(ISNUMBER($A1116)),ROW()-2&lt;Settings!$B$12),NA(),IF(COUNT(OFFSET(G1116,1-Settings!$B$12,0,Settings!$B$12,1))&lt;ROUNDUP(Settings!$B$12*Settings!$B$26,0),NA(),STDEV(OFFSET(G1116,1-Settings!$B$12,0,Settings!$B$12,1))*SQRT(Settings!$B$13)))</f>
        <v/>
      </c>
      <c r="L1116" s="20">
        <f>IF(AND(ISNUMBER(D1116),ISNUMBER(H1116)),D1116-H1116,NA())</f>
        <v/>
      </c>
      <c r="M1116" s="20">
        <f>IF(AND(ISNUMBER(E1116),ISNUMBER(K1116)),E1116-K1116,NA())</f>
        <v/>
      </c>
      <c r="N1116" s="20">
        <f>IF(NOT(ISNUMBER($A1116)),NA(),IF(COUNT(OFFSET(G1116,1,0,Settings!$B$12,1))&lt;ROUNDUP(Settings!$B$12*Settings!$B$26,0),NA(),STDEV(OFFSET(G1116,1,0,Settings!$B$12,1))*SQRT(Settings!$B$13)))</f>
        <v/>
      </c>
      <c r="O1116" s="20">
        <f>IF(AND(ISNUMBER(E1116),ISNUMBER(N1116)),E1116-N1116,NA())</f>
        <v/>
      </c>
      <c r="P1116" s="19">
        <f>IF(NOT(ISNUMBER($A1116)),NA(),IF(OR($A1116&lt;MIN(KW_TP!$A$2:$A$2501),$A1116&gt;MAX(KW_TP!$A$2:$A$2501)),NA(),INDEX(KW_TP!$C$2:$C$2501,MATCH($A1116,KW_TP!$A$2:$A$2501,1))))</f>
        <v/>
      </c>
      <c r="Q1116" s="18">
        <f>IF(NOT(ISNUMBER($A1116)),NA(),IFERROR(1*INDEX(BBG_Data!$J$2:$J$4000,MATCH($A1116,BBG_Data!$I$2:$I$4000,0)),NA()))</f>
        <v/>
      </c>
      <c r="R1116" s="18">
        <f>IF(NOT(ISNUMBER($A1116)),NA(),IFERROR(1*INDEX(BBG_Data!$L$2:$L$4000,MATCH($A1116,BBG_Data!$K$2:$K$4000,0)),NA()))</f>
        <v/>
      </c>
      <c r="S1116" s="20">
        <f>IF(AND(ISNUMBER(B1116),ISNUMBER(Q1116),ISNUMBER(R1116)),(B1116-Q1116-R1116)*100,NA())</f>
        <v/>
      </c>
      <c r="T1116" s="20">
        <f>IF(AND(ISNUMBER(B1116),Settings!$B$17&gt;0),IF(ISNUMBER(INDEX($B:$B,Settings!$B$17)),(B1116-INDEX($B:$B,Settings!$B$17))*100,NA()),NA())</f>
        <v/>
      </c>
      <c r="U1116" s="20">
        <f>IF(AND(ISNUMBER(Q1116),Settings!$B$17&gt;0),IF(ISNUMBER(INDEX($Q:$Q,Settings!$B$17)),(Q1116-INDEX($Q:$Q,Settings!$B$17))*100,NA()),NA())</f>
        <v/>
      </c>
      <c r="V1116" s="20">
        <f>IF(AND(ISNUMBER(R1116),Settings!$B$17&gt;0),IF(ISNUMBER(INDEX($R:$R,Settings!$B$17)),(R1116-INDEX($R:$R,Settings!$B$17))*100,NA()),NA())</f>
        <v/>
      </c>
      <c r="W1116" s="20">
        <f>IF(AND(ISNUMBER(P1116),Settings!$B$17&gt;0),IF(ISNUMBER(INDEX($P:$P,Settings!$B$17)),P1116-INDEX($P:$P,Settings!$B$17),NA()),NA())</f>
        <v/>
      </c>
      <c r="X1116" s="19">
        <f>IF(NOT(ISNUMBER($A1116)),NA(),IF(OR($A1116&lt;MIN(DKW_10Y!$A$2:$A$2918),$A1116&gt;MAX(DKW_10Y!$A$2:$A$2918),Settings!$B$16&lt;MIN(DKW_10Y!$A$2:$A$2918)),NA(),(INDEX(DKW_10Y!$B$2:$B$2918,MATCH($A1116,DKW_10Y!$A$2:$A$2918,1))-INDEX(DKW_10Y!$B$2:$B$2918,MATCH(Settings!$B$16,DKW_10Y!$A$2:$A$2918,1)))*100))</f>
        <v/>
      </c>
      <c r="Y1116" s="19">
        <f>IF(NOT(ISNUMBER($A1116)),NA(),IF(OR($A1116&lt;MIN(DKW_10Y!$A$2:$A$2918),$A1116&gt;MAX(DKW_10Y!$A$2:$A$2918),Settings!$B$16&lt;MIN(DKW_10Y!$A$2:$A$2918)),NA(),(INDEX(DKW_10Y!$C$2:$C$2918,MATCH($A1116,DKW_10Y!$A$2:$A$2918,1))-INDEX(DKW_10Y!$C$2:$C$2918,MATCH(Settings!$B$16,DKW_10Y!$A$2:$A$2918,1)))*100))</f>
        <v/>
      </c>
      <c r="Z1116" s="19">
        <f>IF(NOT(ISNUMBER($A1116)),NA(),IF(OR($A1116&lt;MIN(DKW_10Y!$A$2:$A$2918),$A1116&gt;MAX(DKW_10Y!$A$2:$A$2918),Settings!$B$16&lt;MIN(DKW_10Y!$A$2:$A$2918)),NA(),(INDEX(DKW_10Y!$D$2:$D$2918,MATCH($A1116,DKW_10Y!$A$2:$A$2918,1))-INDEX(DKW_10Y!$D$2:$D$2918,MATCH(Settings!$B$16,DKW_10Y!$A$2:$A$2918,1)))*100))</f>
        <v/>
      </c>
      <c r="AA1116" s="19">
        <f>IF(NOT(ISNUMBER($A1116)),NA(),IF(OR($A1116&lt;MIN(DKW_10Y!$A$2:$A$2918),$A1116&gt;MAX(DKW_10Y!$A$2:$A$2918),Settings!$B$16&lt;MIN(DKW_10Y!$A$2:$A$2918)),NA(),(INDEX(DKW_10Y!$E$2:$E$2918,MATCH($A1116,DKW_10Y!$A$2:$A$2918,1))-INDEX(DKW_10Y!$E$2:$E$2918,MATCH(Settings!$B$16,DKW_10Y!$A$2:$A$2918,1)))*100))</f>
        <v/>
      </c>
      <c r="AB1116" s="19">
        <f>IF(NOT(ISNUMBER($A1116)),NA(),IF(OR($A1116&lt;MIN(DKW_10Y!$A$2:$A$2918),$A1116&gt;MAX(DKW_10Y!$A$2:$A$2918),Settings!$B$16&lt;MIN(DKW_10Y!$A$2:$A$2918)),NA(),(INDEX(DKW_10Y!$H$2:$H$2918,MATCH($A1116,DKW_10Y!$A$2:$A$2918,1))-INDEX(DKW_10Y!$H$2:$H$2918,MATCH(Settings!$B$16,DKW_10Y!$A$2:$A$2918,1)))*100))</f>
        <v/>
      </c>
      <c r="AC1116" s="18">
        <f>IF(NOT(ISNUMBER($A1116)),NA(),IFERROR(1*INDEX(BBG_Data!$N$2:$N$4000,MATCH($A1116,BBG_Data!$M$2:$M$4000,0)),NA()))</f>
        <v/>
      </c>
      <c r="AD1116" s="18">
        <f>IF(NOT(ISNUMBER($A1116)),NA(),IFERROR(1*INDEX(BBG_Data!$P$2:$P$4000,MATCH($A1116,BBG_Data!$O$2:$O$4000,0)),NA()))</f>
        <v/>
      </c>
      <c r="AE1116" s="18">
        <f>IF(NOT(ISNUMBER($A1116)),NA(),IFERROR(1*INDEX(BBG_Data!$R$2:$R$4000,MATCH($A1116,BBG_Data!$Q$2:$Q$4000,0)),NA()))</f>
        <v/>
      </c>
      <c r="AF1116" s="20">
        <f>IF(AND(ISNUMBER(B1116),ISNUMBER(AC1116)),(B1116-AC1116)*100,NA())</f>
        <v/>
      </c>
      <c r="AG1116" s="20">
        <f>IF(AND(ISNUMBER(AE1116),ISNUMBER(AD1116)),(AE1116-AD1116)*100,NA())</f>
        <v/>
      </c>
      <c r="AH1116" s="19">
        <f>IF(NOT(ISNUMBER($A1116)),NA(),IFERROR(INDEX(BBG_Data!$T$2:$T$4000,MATCH($A1116,BBG_Data!$S$2:$S$4000,0))*Settings!$B$25,NA()))</f>
        <v/>
      </c>
      <c r="AI1116" s="19">
        <f>IF(NOT(ISNUMBER($A1116)),NA(),IFERROR(INDEX(BBG_Data!$V$2:$V$4000,MATCH($A1116,BBG_Data!$U$2:$U$4000,0))*Settings!$B$25,NA()))</f>
        <v/>
      </c>
      <c r="AJ1116" s="19">
        <f>IF(NOT(ISNUMBER($A1116)),NA(),IFERROR(1*INDEX(BBG_Data!$X$2:$X$4000,MATCH($A1116,BBG_Data!$W$2:$W$4000,0)),NA()))</f>
        <v/>
      </c>
      <c r="AK1116" s="19">
        <f>IF(NOT(ISNUMBER($A1116)),NA(),IFERROR(1*INDEX(BBG_Data!$Z$2:$Z$4000,MATCH($A1116,BBG_Data!$Y$2:$Y$4000,0)),NA()))</f>
        <v/>
      </c>
    </row>
    <row r="1117">
      <c r="A1117" s="17">
        <f>IF(ISNUMBER(BBG_Data!A1117),BBG_Data!A1117,"")</f>
        <v/>
      </c>
      <c r="B1117" s="18">
        <f>IF(AND(ISNUMBER($A1117),ISNUMBER(BBG_Data!B1117)),BBG_Data!B1117,NA())</f>
        <v/>
      </c>
      <c r="C1117" s="18">
        <f>IF(NOT(ISNUMBER($A1117)),NA(),IFERROR(1*INDEX(BBG_Data!$D$2:$D$4000,MATCH($A1117,BBG_Data!$C$2:$C$4000,0)),NA()))</f>
        <v/>
      </c>
      <c r="D1117" s="19">
        <f>IF(NOT(ISNUMBER($A1117)),NA(),IFERROR(1*INDEX(BBG_Data!$F$2:$F$4000,MATCH($A1117,BBG_Data!$E$2:$E$4000,0)),NA()))</f>
        <v/>
      </c>
      <c r="E1117" s="19">
        <f>IF(NOT(ISNUMBER($A1117)),NA(),IFERROR(1*INDEX(BBG_Data!$H$2:$H$4000,MATCH($A1117,BBG_Data!$G$2:$G$4000,0)),NA()))</f>
        <v/>
      </c>
      <c r="F1117" s="20">
        <f>IF(AND(ISNUMBER(B1117),ISNUMBER(B1116)),IF(B1117=B1116,"",(B1117-B1116)*100),"")</f>
        <v/>
      </c>
      <c r="G1117" s="20">
        <f>IF(AND(ISNUMBER(C1117),ISNUMBER(C1116)),IF(C1117=C1116,"",(C1117-C1116)*100),"")</f>
        <v/>
      </c>
      <c r="H1117" s="20">
        <f>IF(OR(NOT(ISNUMBER($A1117)),ROW()-2&lt;Settings!$B$11),NA(),IF(COUNT(OFFSET(F1117,1-Settings!$B$11,0,Settings!$B$11,1))&lt;ROUNDUP(Settings!$B$11*Settings!$B$26,0),NA(),STDEV(OFFSET(F1117,1-Settings!$B$11,0,Settings!$B$11,1))*SQRT(Settings!$B$13)))</f>
        <v/>
      </c>
      <c r="I1117" s="20">
        <f>IF(OR(NOT(ISNUMBER($A1117)),ROW()-2&lt;Settings!$B$12),NA(),IF(COUNT(OFFSET(F1117,1-Settings!$B$12,0,Settings!$B$12,1))&lt;ROUNDUP(Settings!$B$12*Settings!$B$26,0),NA(),STDEV(OFFSET(F1117,1-Settings!$B$12,0,Settings!$B$12,1))*SQRT(Settings!$B$13)))</f>
        <v/>
      </c>
      <c r="J1117" s="20">
        <f>IF(OR(NOT(ISNUMBER($A1117)),ROW()-2&lt;Settings!$B$11),NA(),IF(COUNT(OFFSET(G1117,1-Settings!$B$11,0,Settings!$B$11,1))&lt;ROUNDUP(Settings!$B$11*Settings!$B$26,0),NA(),STDEV(OFFSET(G1117,1-Settings!$B$11,0,Settings!$B$11,1))*SQRT(Settings!$B$13)))</f>
        <v/>
      </c>
      <c r="K1117" s="20">
        <f>IF(OR(NOT(ISNUMBER($A1117)),ROW()-2&lt;Settings!$B$12),NA(),IF(COUNT(OFFSET(G1117,1-Settings!$B$12,0,Settings!$B$12,1))&lt;ROUNDUP(Settings!$B$12*Settings!$B$26,0),NA(),STDEV(OFFSET(G1117,1-Settings!$B$12,0,Settings!$B$12,1))*SQRT(Settings!$B$13)))</f>
        <v/>
      </c>
      <c r="L1117" s="20">
        <f>IF(AND(ISNUMBER(D1117),ISNUMBER(H1117)),D1117-H1117,NA())</f>
        <v/>
      </c>
      <c r="M1117" s="20">
        <f>IF(AND(ISNUMBER(E1117),ISNUMBER(K1117)),E1117-K1117,NA())</f>
        <v/>
      </c>
      <c r="N1117" s="20">
        <f>IF(NOT(ISNUMBER($A1117)),NA(),IF(COUNT(OFFSET(G1117,1,0,Settings!$B$12,1))&lt;ROUNDUP(Settings!$B$12*Settings!$B$26,0),NA(),STDEV(OFFSET(G1117,1,0,Settings!$B$12,1))*SQRT(Settings!$B$13)))</f>
        <v/>
      </c>
      <c r="O1117" s="20">
        <f>IF(AND(ISNUMBER(E1117),ISNUMBER(N1117)),E1117-N1117,NA())</f>
        <v/>
      </c>
      <c r="P1117" s="19">
        <f>IF(NOT(ISNUMBER($A1117)),NA(),IF(OR($A1117&lt;MIN(KW_TP!$A$2:$A$2501),$A1117&gt;MAX(KW_TP!$A$2:$A$2501)),NA(),INDEX(KW_TP!$C$2:$C$2501,MATCH($A1117,KW_TP!$A$2:$A$2501,1))))</f>
        <v/>
      </c>
      <c r="Q1117" s="18">
        <f>IF(NOT(ISNUMBER($A1117)),NA(),IFERROR(1*INDEX(BBG_Data!$J$2:$J$4000,MATCH($A1117,BBG_Data!$I$2:$I$4000,0)),NA()))</f>
        <v/>
      </c>
      <c r="R1117" s="18">
        <f>IF(NOT(ISNUMBER($A1117)),NA(),IFERROR(1*INDEX(BBG_Data!$L$2:$L$4000,MATCH($A1117,BBG_Data!$K$2:$K$4000,0)),NA()))</f>
        <v/>
      </c>
      <c r="S1117" s="20">
        <f>IF(AND(ISNUMBER(B1117),ISNUMBER(Q1117),ISNUMBER(R1117)),(B1117-Q1117-R1117)*100,NA())</f>
        <v/>
      </c>
      <c r="T1117" s="20">
        <f>IF(AND(ISNUMBER(B1117),Settings!$B$17&gt;0),IF(ISNUMBER(INDEX($B:$B,Settings!$B$17)),(B1117-INDEX($B:$B,Settings!$B$17))*100,NA()),NA())</f>
        <v/>
      </c>
      <c r="U1117" s="20">
        <f>IF(AND(ISNUMBER(Q1117),Settings!$B$17&gt;0),IF(ISNUMBER(INDEX($Q:$Q,Settings!$B$17)),(Q1117-INDEX($Q:$Q,Settings!$B$17))*100,NA()),NA())</f>
        <v/>
      </c>
      <c r="V1117" s="20">
        <f>IF(AND(ISNUMBER(R1117),Settings!$B$17&gt;0),IF(ISNUMBER(INDEX($R:$R,Settings!$B$17)),(R1117-INDEX($R:$R,Settings!$B$17))*100,NA()),NA())</f>
        <v/>
      </c>
      <c r="W1117" s="20">
        <f>IF(AND(ISNUMBER(P1117),Settings!$B$17&gt;0),IF(ISNUMBER(INDEX($P:$P,Settings!$B$17)),P1117-INDEX($P:$P,Settings!$B$17),NA()),NA())</f>
        <v/>
      </c>
      <c r="X1117" s="19">
        <f>IF(NOT(ISNUMBER($A1117)),NA(),IF(OR($A1117&lt;MIN(DKW_10Y!$A$2:$A$2918),$A1117&gt;MAX(DKW_10Y!$A$2:$A$2918),Settings!$B$16&lt;MIN(DKW_10Y!$A$2:$A$2918)),NA(),(INDEX(DKW_10Y!$B$2:$B$2918,MATCH($A1117,DKW_10Y!$A$2:$A$2918,1))-INDEX(DKW_10Y!$B$2:$B$2918,MATCH(Settings!$B$16,DKW_10Y!$A$2:$A$2918,1)))*100))</f>
        <v/>
      </c>
      <c r="Y1117" s="19">
        <f>IF(NOT(ISNUMBER($A1117)),NA(),IF(OR($A1117&lt;MIN(DKW_10Y!$A$2:$A$2918),$A1117&gt;MAX(DKW_10Y!$A$2:$A$2918),Settings!$B$16&lt;MIN(DKW_10Y!$A$2:$A$2918)),NA(),(INDEX(DKW_10Y!$C$2:$C$2918,MATCH($A1117,DKW_10Y!$A$2:$A$2918,1))-INDEX(DKW_10Y!$C$2:$C$2918,MATCH(Settings!$B$16,DKW_10Y!$A$2:$A$2918,1)))*100))</f>
        <v/>
      </c>
      <c r="Z1117" s="19">
        <f>IF(NOT(ISNUMBER($A1117)),NA(),IF(OR($A1117&lt;MIN(DKW_10Y!$A$2:$A$2918),$A1117&gt;MAX(DKW_10Y!$A$2:$A$2918),Settings!$B$16&lt;MIN(DKW_10Y!$A$2:$A$2918)),NA(),(INDEX(DKW_10Y!$D$2:$D$2918,MATCH($A1117,DKW_10Y!$A$2:$A$2918,1))-INDEX(DKW_10Y!$D$2:$D$2918,MATCH(Settings!$B$16,DKW_10Y!$A$2:$A$2918,1)))*100))</f>
        <v/>
      </c>
      <c r="AA1117" s="19">
        <f>IF(NOT(ISNUMBER($A1117)),NA(),IF(OR($A1117&lt;MIN(DKW_10Y!$A$2:$A$2918),$A1117&gt;MAX(DKW_10Y!$A$2:$A$2918),Settings!$B$16&lt;MIN(DKW_10Y!$A$2:$A$2918)),NA(),(INDEX(DKW_10Y!$E$2:$E$2918,MATCH($A1117,DKW_10Y!$A$2:$A$2918,1))-INDEX(DKW_10Y!$E$2:$E$2918,MATCH(Settings!$B$16,DKW_10Y!$A$2:$A$2918,1)))*100))</f>
        <v/>
      </c>
      <c r="AB1117" s="19">
        <f>IF(NOT(ISNUMBER($A1117)),NA(),IF(OR($A1117&lt;MIN(DKW_10Y!$A$2:$A$2918),$A1117&gt;MAX(DKW_10Y!$A$2:$A$2918),Settings!$B$16&lt;MIN(DKW_10Y!$A$2:$A$2918)),NA(),(INDEX(DKW_10Y!$H$2:$H$2918,MATCH($A1117,DKW_10Y!$A$2:$A$2918,1))-INDEX(DKW_10Y!$H$2:$H$2918,MATCH(Settings!$B$16,DKW_10Y!$A$2:$A$2918,1)))*100))</f>
        <v/>
      </c>
      <c r="AC1117" s="18">
        <f>IF(NOT(ISNUMBER($A1117)),NA(),IFERROR(1*INDEX(BBG_Data!$N$2:$N$4000,MATCH($A1117,BBG_Data!$M$2:$M$4000,0)),NA()))</f>
        <v/>
      </c>
      <c r="AD1117" s="18">
        <f>IF(NOT(ISNUMBER($A1117)),NA(),IFERROR(1*INDEX(BBG_Data!$P$2:$P$4000,MATCH($A1117,BBG_Data!$O$2:$O$4000,0)),NA()))</f>
        <v/>
      </c>
      <c r="AE1117" s="18">
        <f>IF(NOT(ISNUMBER($A1117)),NA(),IFERROR(1*INDEX(BBG_Data!$R$2:$R$4000,MATCH($A1117,BBG_Data!$Q$2:$Q$4000,0)),NA()))</f>
        <v/>
      </c>
      <c r="AF1117" s="20">
        <f>IF(AND(ISNUMBER(B1117),ISNUMBER(AC1117)),(B1117-AC1117)*100,NA())</f>
        <v/>
      </c>
      <c r="AG1117" s="20">
        <f>IF(AND(ISNUMBER(AE1117),ISNUMBER(AD1117)),(AE1117-AD1117)*100,NA())</f>
        <v/>
      </c>
      <c r="AH1117" s="19">
        <f>IF(NOT(ISNUMBER($A1117)),NA(),IFERROR(INDEX(BBG_Data!$T$2:$T$4000,MATCH($A1117,BBG_Data!$S$2:$S$4000,0))*Settings!$B$25,NA()))</f>
        <v/>
      </c>
      <c r="AI1117" s="19">
        <f>IF(NOT(ISNUMBER($A1117)),NA(),IFERROR(INDEX(BBG_Data!$V$2:$V$4000,MATCH($A1117,BBG_Data!$U$2:$U$4000,0))*Settings!$B$25,NA()))</f>
        <v/>
      </c>
      <c r="AJ1117" s="19">
        <f>IF(NOT(ISNUMBER($A1117)),NA(),IFERROR(1*INDEX(BBG_Data!$X$2:$X$4000,MATCH($A1117,BBG_Data!$W$2:$W$4000,0)),NA()))</f>
        <v/>
      </c>
      <c r="AK1117" s="19">
        <f>IF(NOT(ISNUMBER($A1117)),NA(),IFERROR(1*INDEX(BBG_Data!$Z$2:$Z$4000,MATCH($A1117,BBG_Data!$Y$2:$Y$4000,0)),NA()))</f>
        <v/>
      </c>
    </row>
    <row r="1118">
      <c r="A1118" s="17">
        <f>IF(ISNUMBER(BBG_Data!A1118),BBG_Data!A1118,"")</f>
        <v/>
      </c>
      <c r="B1118" s="18">
        <f>IF(AND(ISNUMBER($A1118),ISNUMBER(BBG_Data!B1118)),BBG_Data!B1118,NA())</f>
        <v/>
      </c>
      <c r="C1118" s="18">
        <f>IF(NOT(ISNUMBER($A1118)),NA(),IFERROR(1*INDEX(BBG_Data!$D$2:$D$4000,MATCH($A1118,BBG_Data!$C$2:$C$4000,0)),NA()))</f>
        <v/>
      </c>
      <c r="D1118" s="19">
        <f>IF(NOT(ISNUMBER($A1118)),NA(),IFERROR(1*INDEX(BBG_Data!$F$2:$F$4000,MATCH($A1118,BBG_Data!$E$2:$E$4000,0)),NA()))</f>
        <v/>
      </c>
      <c r="E1118" s="19">
        <f>IF(NOT(ISNUMBER($A1118)),NA(),IFERROR(1*INDEX(BBG_Data!$H$2:$H$4000,MATCH($A1118,BBG_Data!$G$2:$G$4000,0)),NA()))</f>
        <v/>
      </c>
      <c r="F1118" s="20">
        <f>IF(AND(ISNUMBER(B1118),ISNUMBER(B1117)),IF(B1118=B1117,"",(B1118-B1117)*100),"")</f>
        <v/>
      </c>
      <c r="G1118" s="20">
        <f>IF(AND(ISNUMBER(C1118),ISNUMBER(C1117)),IF(C1118=C1117,"",(C1118-C1117)*100),"")</f>
        <v/>
      </c>
      <c r="H1118" s="20">
        <f>IF(OR(NOT(ISNUMBER($A1118)),ROW()-2&lt;Settings!$B$11),NA(),IF(COUNT(OFFSET(F1118,1-Settings!$B$11,0,Settings!$B$11,1))&lt;ROUNDUP(Settings!$B$11*Settings!$B$26,0),NA(),STDEV(OFFSET(F1118,1-Settings!$B$11,0,Settings!$B$11,1))*SQRT(Settings!$B$13)))</f>
        <v/>
      </c>
      <c r="I1118" s="20">
        <f>IF(OR(NOT(ISNUMBER($A1118)),ROW()-2&lt;Settings!$B$12),NA(),IF(COUNT(OFFSET(F1118,1-Settings!$B$12,0,Settings!$B$12,1))&lt;ROUNDUP(Settings!$B$12*Settings!$B$26,0),NA(),STDEV(OFFSET(F1118,1-Settings!$B$12,0,Settings!$B$12,1))*SQRT(Settings!$B$13)))</f>
        <v/>
      </c>
      <c r="J1118" s="20">
        <f>IF(OR(NOT(ISNUMBER($A1118)),ROW()-2&lt;Settings!$B$11),NA(),IF(COUNT(OFFSET(G1118,1-Settings!$B$11,0,Settings!$B$11,1))&lt;ROUNDUP(Settings!$B$11*Settings!$B$26,0),NA(),STDEV(OFFSET(G1118,1-Settings!$B$11,0,Settings!$B$11,1))*SQRT(Settings!$B$13)))</f>
        <v/>
      </c>
      <c r="K1118" s="20">
        <f>IF(OR(NOT(ISNUMBER($A1118)),ROW()-2&lt;Settings!$B$12),NA(),IF(COUNT(OFFSET(G1118,1-Settings!$B$12,0,Settings!$B$12,1))&lt;ROUNDUP(Settings!$B$12*Settings!$B$26,0),NA(),STDEV(OFFSET(G1118,1-Settings!$B$12,0,Settings!$B$12,1))*SQRT(Settings!$B$13)))</f>
        <v/>
      </c>
      <c r="L1118" s="20">
        <f>IF(AND(ISNUMBER(D1118),ISNUMBER(H1118)),D1118-H1118,NA())</f>
        <v/>
      </c>
      <c r="M1118" s="20">
        <f>IF(AND(ISNUMBER(E1118),ISNUMBER(K1118)),E1118-K1118,NA())</f>
        <v/>
      </c>
      <c r="N1118" s="20">
        <f>IF(NOT(ISNUMBER($A1118)),NA(),IF(COUNT(OFFSET(G1118,1,0,Settings!$B$12,1))&lt;ROUNDUP(Settings!$B$12*Settings!$B$26,0),NA(),STDEV(OFFSET(G1118,1,0,Settings!$B$12,1))*SQRT(Settings!$B$13)))</f>
        <v/>
      </c>
      <c r="O1118" s="20">
        <f>IF(AND(ISNUMBER(E1118),ISNUMBER(N1118)),E1118-N1118,NA())</f>
        <v/>
      </c>
      <c r="P1118" s="19">
        <f>IF(NOT(ISNUMBER($A1118)),NA(),IF(OR($A1118&lt;MIN(KW_TP!$A$2:$A$2501),$A1118&gt;MAX(KW_TP!$A$2:$A$2501)),NA(),INDEX(KW_TP!$C$2:$C$2501,MATCH($A1118,KW_TP!$A$2:$A$2501,1))))</f>
        <v/>
      </c>
      <c r="Q1118" s="18">
        <f>IF(NOT(ISNUMBER($A1118)),NA(),IFERROR(1*INDEX(BBG_Data!$J$2:$J$4000,MATCH($A1118,BBG_Data!$I$2:$I$4000,0)),NA()))</f>
        <v/>
      </c>
      <c r="R1118" s="18">
        <f>IF(NOT(ISNUMBER($A1118)),NA(),IFERROR(1*INDEX(BBG_Data!$L$2:$L$4000,MATCH($A1118,BBG_Data!$K$2:$K$4000,0)),NA()))</f>
        <v/>
      </c>
      <c r="S1118" s="20">
        <f>IF(AND(ISNUMBER(B1118),ISNUMBER(Q1118),ISNUMBER(R1118)),(B1118-Q1118-R1118)*100,NA())</f>
        <v/>
      </c>
      <c r="T1118" s="20">
        <f>IF(AND(ISNUMBER(B1118),Settings!$B$17&gt;0),IF(ISNUMBER(INDEX($B:$B,Settings!$B$17)),(B1118-INDEX($B:$B,Settings!$B$17))*100,NA()),NA())</f>
        <v/>
      </c>
      <c r="U1118" s="20">
        <f>IF(AND(ISNUMBER(Q1118),Settings!$B$17&gt;0),IF(ISNUMBER(INDEX($Q:$Q,Settings!$B$17)),(Q1118-INDEX($Q:$Q,Settings!$B$17))*100,NA()),NA())</f>
        <v/>
      </c>
      <c r="V1118" s="20">
        <f>IF(AND(ISNUMBER(R1118),Settings!$B$17&gt;0),IF(ISNUMBER(INDEX($R:$R,Settings!$B$17)),(R1118-INDEX($R:$R,Settings!$B$17))*100,NA()),NA())</f>
        <v/>
      </c>
      <c r="W1118" s="20">
        <f>IF(AND(ISNUMBER(P1118),Settings!$B$17&gt;0),IF(ISNUMBER(INDEX($P:$P,Settings!$B$17)),P1118-INDEX($P:$P,Settings!$B$17),NA()),NA())</f>
        <v/>
      </c>
      <c r="X1118" s="19">
        <f>IF(NOT(ISNUMBER($A1118)),NA(),IF(OR($A1118&lt;MIN(DKW_10Y!$A$2:$A$2918),$A1118&gt;MAX(DKW_10Y!$A$2:$A$2918),Settings!$B$16&lt;MIN(DKW_10Y!$A$2:$A$2918)),NA(),(INDEX(DKW_10Y!$B$2:$B$2918,MATCH($A1118,DKW_10Y!$A$2:$A$2918,1))-INDEX(DKW_10Y!$B$2:$B$2918,MATCH(Settings!$B$16,DKW_10Y!$A$2:$A$2918,1)))*100))</f>
        <v/>
      </c>
      <c r="Y1118" s="19">
        <f>IF(NOT(ISNUMBER($A1118)),NA(),IF(OR($A1118&lt;MIN(DKW_10Y!$A$2:$A$2918),$A1118&gt;MAX(DKW_10Y!$A$2:$A$2918),Settings!$B$16&lt;MIN(DKW_10Y!$A$2:$A$2918)),NA(),(INDEX(DKW_10Y!$C$2:$C$2918,MATCH($A1118,DKW_10Y!$A$2:$A$2918,1))-INDEX(DKW_10Y!$C$2:$C$2918,MATCH(Settings!$B$16,DKW_10Y!$A$2:$A$2918,1)))*100))</f>
        <v/>
      </c>
      <c r="Z1118" s="19">
        <f>IF(NOT(ISNUMBER($A1118)),NA(),IF(OR($A1118&lt;MIN(DKW_10Y!$A$2:$A$2918),$A1118&gt;MAX(DKW_10Y!$A$2:$A$2918),Settings!$B$16&lt;MIN(DKW_10Y!$A$2:$A$2918)),NA(),(INDEX(DKW_10Y!$D$2:$D$2918,MATCH($A1118,DKW_10Y!$A$2:$A$2918,1))-INDEX(DKW_10Y!$D$2:$D$2918,MATCH(Settings!$B$16,DKW_10Y!$A$2:$A$2918,1)))*100))</f>
        <v/>
      </c>
      <c r="AA1118" s="19">
        <f>IF(NOT(ISNUMBER($A1118)),NA(),IF(OR($A1118&lt;MIN(DKW_10Y!$A$2:$A$2918),$A1118&gt;MAX(DKW_10Y!$A$2:$A$2918),Settings!$B$16&lt;MIN(DKW_10Y!$A$2:$A$2918)),NA(),(INDEX(DKW_10Y!$E$2:$E$2918,MATCH($A1118,DKW_10Y!$A$2:$A$2918,1))-INDEX(DKW_10Y!$E$2:$E$2918,MATCH(Settings!$B$16,DKW_10Y!$A$2:$A$2918,1)))*100))</f>
        <v/>
      </c>
      <c r="AB1118" s="19">
        <f>IF(NOT(ISNUMBER($A1118)),NA(),IF(OR($A1118&lt;MIN(DKW_10Y!$A$2:$A$2918),$A1118&gt;MAX(DKW_10Y!$A$2:$A$2918),Settings!$B$16&lt;MIN(DKW_10Y!$A$2:$A$2918)),NA(),(INDEX(DKW_10Y!$H$2:$H$2918,MATCH($A1118,DKW_10Y!$A$2:$A$2918,1))-INDEX(DKW_10Y!$H$2:$H$2918,MATCH(Settings!$B$16,DKW_10Y!$A$2:$A$2918,1)))*100))</f>
        <v/>
      </c>
      <c r="AC1118" s="18">
        <f>IF(NOT(ISNUMBER($A1118)),NA(),IFERROR(1*INDEX(BBG_Data!$N$2:$N$4000,MATCH($A1118,BBG_Data!$M$2:$M$4000,0)),NA()))</f>
        <v/>
      </c>
      <c r="AD1118" s="18">
        <f>IF(NOT(ISNUMBER($A1118)),NA(),IFERROR(1*INDEX(BBG_Data!$P$2:$P$4000,MATCH($A1118,BBG_Data!$O$2:$O$4000,0)),NA()))</f>
        <v/>
      </c>
      <c r="AE1118" s="18">
        <f>IF(NOT(ISNUMBER($A1118)),NA(),IFERROR(1*INDEX(BBG_Data!$R$2:$R$4000,MATCH($A1118,BBG_Data!$Q$2:$Q$4000,0)),NA()))</f>
        <v/>
      </c>
      <c r="AF1118" s="20">
        <f>IF(AND(ISNUMBER(B1118),ISNUMBER(AC1118)),(B1118-AC1118)*100,NA())</f>
        <v/>
      </c>
      <c r="AG1118" s="20">
        <f>IF(AND(ISNUMBER(AE1118),ISNUMBER(AD1118)),(AE1118-AD1118)*100,NA())</f>
        <v/>
      </c>
      <c r="AH1118" s="19">
        <f>IF(NOT(ISNUMBER($A1118)),NA(),IFERROR(INDEX(BBG_Data!$T$2:$T$4000,MATCH($A1118,BBG_Data!$S$2:$S$4000,0))*Settings!$B$25,NA()))</f>
        <v/>
      </c>
      <c r="AI1118" s="19">
        <f>IF(NOT(ISNUMBER($A1118)),NA(),IFERROR(INDEX(BBG_Data!$V$2:$V$4000,MATCH($A1118,BBG_Data!$U$2:$U$4000,0))*Settings!$B$25,NA()))</f>
        <v/>
      </c>
      <c r="AJ1118" s="19">
        <f>IF(NOT(ISNUMBER($A1118)),NA(),IFERROR(1*INDEX(BBG_Data!$X$2:$X$4000,MATCH($A1118,BBG_Data!$W$2:$W$4000,0)),NA()))</f>
        <v/>
      </c>
      <c r="AK1118" s="19">
        <f>IF(NOT(ISNUMBER($A1118)),NA(),IFERROR(1*INDEX(BBG_Data!$Z$2:$Z$4000,MATCH($A1118,BBG_Data!$Y$2:$Y$4000,0)),NA()))</f>
        <v/>
      </c>
    </row>
    <row r="1119">
      <c r="A1119" s="17">
        <f>IF(ISNUMBER(BBG_Data!A1119),BBG_Data!A1119,"")</f>
        <v/>
      </c>
      <c r="B1119" s="18">
        <f>IF(AND(ISNUMBER($A1119),ISNUMBER(BBG_Data!B1119)),BBG_Data!B1119,NA())</f>
        <v/>
      </c>
      <c r="C1119" s="18">
        <f>IF(NOT(ISNUMBER($A1119)),NA(),IFERROR(1*INDEX(BBG_Data!$D$2:$D$4000,MATCH($A1119,BBG_Data!$C$2:$C$4000,0)),NA()))</f>
        <v/>
      </c>
      <c r="D1119" s="19">
        <f>IF(NOT(ISNUMBER($A1119)),NA(),IFERROR(1*INDEX(BBG_Data!$F$2:$F$4000,MATCH($A1119,BBG_Data!$E$2:$E$4000,0)),NA()))</f>
        <v/>
      </c>
      <c r="E1119" s="19">
        <f>IF(NOT(ISNUMBER($A1119)),NA(),IFERROR(1*INDEX(BBG_Data!$H$2:$H$4000,MATCH($A1119,BBG_Data!$G$2:$G$4000,0)),NA()))</f>
        <v/>
      </c>
      <c r="F1119" s="20">
        <f>IF(AND(ISNUMBER(B1119),ISNUMBER(B1118)),IF(B1119=B1118,"",(B1119-B1118)*100),"")</f>
        <v/>
      </c>
      <c r="G1119" s="20">
        <f>IF(AND(ISNUMBER(C1119),ISNUMBER(C1118)),IF(C1119=C1118,"",(C1119-C1118)*100),"")</f>
        <v/>
      </c>
      <c r="H1119" s="20">
        <f>IF(OR(NOT(ISNUMBER($A1119)),ROW()-2&lt;Settings!$B$11),NA(),IF(COUNT(OFFSET(F1119,1-Settings!$B$11,0,Settings!$B$11,1))&lt;ROUNDUP(Settings!$B$11*Settings!$B$26,0),NA(),STDEV(OFFSET(F1119,1-Settings!$B$11,0,Settings!$B$11,1))*SQRT(Settings!$B$13)))</f>
        <v/>
      </c>
      <c r="I1119" s="20">
        <f>IF(OR(NOT(ISNUMBER($A1119)),ROW()-2&lt;Settings!$B$12),NA(),IF(COUNT(OFFSET(F1119,1-Settings!$B$12,0,Settings!$B$12,1))&lt;ROUNDUP(Settings!$B$12*Settings!$B$26,0),NA(),STDEV(OFFSET(F1119,1-Settings!$B$12,0,Settings!$B$12,1))*SQRT(Settings!$B$13)))</f>
        <v/>
      </c>
      <c r="J1119" s="20">
        <f>IF(OR(NOT(ISNUMBER($A1119)),ROW()-2&lt;Settings!$B$11),NA(),IF(COUNT(OFFSET(G1119,1-Settings!$B$11,0,Settings!$B$11,1))&lt;ROUNDUP(Settings!$B$11*Settings!$B$26,0),NA(),STDEV(OFFSET(G1119,1-Settings!$B$11,0,Settings!$B$11,1))*SQRT(Settings!$B$13)))</f>
        <v/>
      </c>
      <c r="K1119" s="20">
        <f>IF(OR(NOT(ISNUMBER($A1119)),ROW()-2&lt;Settings!$B$12),NA(),IF(COUNT(OFFSET(G1119,1-Settings!$B$12,0,Settings!$B$12,1))&lt;ROUNDUP(Settings!$B$12*Settings!$B$26,0),NA(),STDEV(OFFSET(G1119,1-Settings!$B$12,0,Settings!$B$12,1))*SQRT(Settings!$B$13)))</f>
        <v/>
      </c>
      <c r="L1119" s="20">
        <f>IF(AND(ISNUMBER(D1119),ISNUMBER(H1119)),D1119-H1119,NA())</f>
        <v/>
      </c>
      <c r="M1119" s="20">
        <f>IF(AND(ISNUMBER(E1119),ISNUMBER(K1119)),E1119-K1119,NA())</f>
        <v/>
      </c>
      <c r="N1119" s="20">
        <f>IF(NOT(ISNUMBER($A1119)),NA(),IF(COUNT(OFFSET(G1119,1,0,Settings!$B$12,1))&lt;ROUNDUP(Settings!$B$12*Settings!$B$26,0),NA(),STDEV(OFFSET(G1119,1,0,Settings!$B$12,1))*SQRT(Settings!$B$13)))</f>
        <v/>
      </c>
      <c r="O1119" s="20">
        <f>IF(AND(ISNUMBER(E1119),ISNUMBER(N1119)),E1119-N1119,NA())</f>
        <v/>
      </c>
      <c r="P1119" s="19">
        <f>IF(NOT(ISNUMBER($A1119)),NA(),IF(OR($A1119&lt;MIN(KW_TP!$A$2:$A$2501),$A1119&gt;MAX(KW_TP!$A$2:$A$2501)),NA(),INDEX(KW_TP!$C$2:$C$2501,MATCH($A1119,KW_TP!$A$2:$A$2501,1))))</f>
        <v/>
      </c>
      <c r="Q1119" s="18">
        <f>IF(NOT(ISNUMBER($A1119)),NA(),IFERROR(1*INDEX(BBG_Data!$J$2:$J$4000,MATCH($A1119,BBG_Data!$I$2:$I$4000,0)),NA()))</f>
        <v/>
      </c>
      <c r="R1119" s="18">
        <f>IF(NOT(ISNUMBER($A1119)),NA(),IFERROR(1*INDEX(BBG_Data!$L$2:$L$4000,MATCH($A1119,BBG_Data!$K$2:$K$4000,0)),NA()))</f>
        <v/>
      </c>
      <c r="S1119" s="20">
        <f>IF(AND(ISNUMBER(B1119),ISNUMBER(Q1119),ISNUMBER(R1119)),(B1119-Q1119-R1119)*100,NA())</f>
        <v/>
      </c>
      <c r="T1119" s="20">
        <f>IF(AND(ISNUMBER(B1119),Settings!$B$17&gt;0),IF(ISNUMBER(INDEX($B:$B,Settings!$B$17)),(B1119-INDEX($B:$B,Settings!$B$17))*100,NA()),NA())</f>
        <v/>
      </c>
      <c r="U1119" s="20">
        <f>IF(AND(ISNUMBER(Q1119),Settings!$B$17&gt;0),IF(ISNUMBER(INDEX($Q:$Q,Settings!$B$17)),(Q1119-INDEX($Q:$Q,Settings!$B$17))*100,NA()),NA())</f>
        <v/>
      </c>
      <c r="V1119" s="20">
        <f>IF(AND(ISNUMBER(R1119),Settings!$B$17&gt;0),IF(ISNUMBER(INDEX($R:$R,Settings!$B$17)),(R1119-INDEX($R:$R,Settings!$B$17))*100,NA()),NA())</f>
        <v/>
      </c>
      <c r="W1119" s="20">
        <f>IF(AND(ISNUMBER(P1119),Settings!$B$17&gt;0),IF(ISNUMBER(INDEX($P:$P,Settings!$B$17)),P1119-INDEX($P:$P,Settings!$B$17),NA()),NA())</f>
        <v/>
      </c>
      <c r="X1119" s="19">
        <f>IF(NOT(ISNUMBER($A1119)),NA(),IF(OR($A1119&lt;MIN(DKW_10Y!$A$2:$A$2918),$A1119&gt;MAX(DKW_10Y!$A$2:$A$2918),Settings!$B$16&lt;MIN(DKW_10Y!$A$2:$A$2918)),NA(),(INDEX(DKW_10Y!$B$2:$B$2918,MATCH($A1119,DKW_10Y!$A$2:$A$2918,1))-INDEX(DKW_10Y!$B$2:$B$2918,MATCH(Settings!$B$16,DKW_10Y!$A$2:$A$2918,1)))*100))</f>
        <v/>
      </c>
      <c r="Y1119" s="19">
        <f>IF(NOT(ISNUMBER($A1119)),NA(),IF(OR($A1119&lt;MIN(DKW_10Y!$A$2:$A$2918),$A1119&gt;MAX(DKW_10Y!$A$2:$A$2918),Settings!$B$16&lt;MIN(DKW_10Y!$A$2:$A$2918)),NA(),(INDEX(DKW_10Y!$C$2:$C$2918,MATCH($A1119,DKW_10Y!$A$2:$A$2918,1))-INDEX(DKW_10Y!$C$2:$C$2918,MATCH(Settings!$B$16,DKW_10Y!$A$2:$A$2918,1)))*100))</f>
        <v/>
      </c>
      <c r="Z1119" s="19">
        <f>IF(NOT(ISNUMBER($A1119)),NA(),IF(OR($A1119&lt;MIN(DKW_10Y!$A$2:$A$2918),$A1119&gt;MAX(DKW_10Y!$A$2:$A$2918),Settings!$B$16&lt;MIN(DKW_10Y!$A$2:$A$2918)),NA(),(INDEX(DKW_10Y!$D$2:$D$2918,MATCH($A1119,DKW_10Y!$A$2:$A$2918,1))-INDEX(DKW_10Y!$D$2:$D$2918,MATCH(Settings!$B$16,DKW_10Y!$A$2:$A$2918,1)))*100))</f>
        <v/>
      </c>
      <c r="AA1119" s="19">
        <f>IF(NOT(ISNUMBER($A1119)),NA(),IF(OR($A1119&lt;MIN(DKW_10Y!$A$2:$A$2918),$A1119&gt;MAX(DKW_10Y!$A$2:$A$2918),Settings!$B$16&lt;MIN(DKW_10Y!$A$2:$A$2918)),NA(),(INDEX(DKW_10Y!$E$2:$E$2918,MATCH($A1119,DKW_10Y!$A$2:$A$2918,1))-INDEX(DKW_10Y!$E$2:$E$2918,MATCH(Settings!$B$16,DKW_10Y!$A$2:$A$2918,1)))*100))</f>
        <v/>
      </c>
      <c r="AB1119" s="19">
        <f>IF(NOT(ISNUMBER($A1119)),NA(),IF(OR($A1119&lt;MIN(DKW_10Y!$A$2:$A$2918),$A1119&gt;MAX(DKW_10Y!$A$2:$A$2918),Settings!$B$16&lt;MIN(DKW_10Y!$A$2:$A$2918)),NA(),(INDEX(DKW_10Y!$H$2:$H$2918,MATCH($A1119,DKW_10Y!$A$2:$A$2918,1))-INDEX(DKW_10Y!$H$2:$H$2918,MATCH(Settings!$B$16,DKW_10Y!$A$2:$A$2918,1)))*100))</f>
        <v/>
      </c>
      <c r="AC1119" s="18">
        <f>IF(NOT(ISNUMBER($A1119)),NA(),IFERROR(1*INDEX(BBG_Data!$N$2:$N$4000,MATCH($A1119,BBG_Data!$M$2:$M$4000,0)),NA()))</f>
        <v/>
      </c>
      <c r="AD1119" s="18">
        <f>IF(NOT(ISNUMBER($A1119)),NA(),IFERROR(1*INDEX(BBG_Data!$P$2:$P$4000,MATCH($A1119,BBG_Data!$O$2:$O$4000,0)),NA()))</f>
        <v/>
      </c>
      <c r="AE1119" s="18">
        <f>IF(NOT(ISNUMBER($A1119)),NA(),IFERROR(1*INDEX(BBG_Data!$R$2:$R$4000,MATCH($A1119,BBG_Data!$Q$2:$Q$4000,0)),NA()))</f>
        <v/>
      </c>
      <c r="AF1119" s="20">
        <f>IF(AND(ISNUMBER(B1119),ISNUMBER(AC1119)),(B1119-AC1119)*100,NA())</f>
        <v/>
      </c>
      <c r="AG1119" s="20">
        <f>IF(AND(ISNUMBER(AE1119),ISNUMBER(AD1119)),(AE1119-AD1119)*100,NA())</f>
        <v/>
      </c>
      <c r="AH1119" s="19">
        <f>IF(NOT(ISNUMBER($A1119)),NA(),IFERROR(INDEX(BBG_Data!$T$2:$T$4000,MATCH($A1119,BBG_Data!$S$2:$S$4000,0))*Settings!$B$25,NA()))</f>
        <v/>
      </c>
      <c r="AI1119" s="19">
        <f>IF(NOT(ISNUMBER($A1119)),NA(),IFERROR(INDEX(BBG_Data!$V$2:$V$4000,MATCH($A1119,BBG_Data!$U$2:$U$4000,0))*Settings!$B$25,NA()))</f>
        <v/>
      </c>
      <c r="AJ1119" s="19">
        <f>IF(NOT(ISNUMBER($A1119)),NA(),IFERROR(1*INDEX(BBG_Data!$X$2:$X$4000,MATCH($A1119,BBG_Data!$W$2:$W$4000,0)),NA()))</f>
        <v/>
      </c>
      <c r="AK1119" s="19">
        <f>IF(NOT(ISNUMBER($A1119)),NA(),IFERROR(1*INDEX(BBG_Data!$Z$2:$Z$4000,MATCH($A1119,BBG_Data!$Y$2:$Y$4000,0)),NA()))</f>
        <v/>
      </c>
    </row>
    <row r="1120">
      <c r="A1120" s="17">
        <f>IF(ISNUMBER(BBG_Data!A1120),BBG_Data!A1120,"")</f>
        <v/>
      </c>
      <c r="B1120" s="18">
        <f>IF(AND(ISNUMBER($A1120),ISNUMBER(BBG_Data!B1120)),BBG_Data!B1120,NA())</f>
        <v/>
      </c>
      <c r="C1120" s="18">
        <f>IF(NOT(ISNUMBER($A1120)),NA(),IFERROR(1*INDEX(BBG_Data!$D$2:$D$4000,MATCH($A1120,BBG_Data!$C$2:$C$4000,0)),NA()))</f>
        <v/>
      </c>
      <c r="D1120" s="19">
        <f>IF(NOT(ISNUMBER($A1120)),NA(),IFERROR(1*INDEX(BBG_Data!$F$2:$F$4000,MATCH($A1120,BBG_Data!$E$2:$E$4000,0)),NA()))</f>
        <v/>
      </c>
      <c r="E1120" s="19">
        <f>IF(NOT(ISNUMBER($A1120)),NA(),IFERROR(1*INDEX(BBG_Data!$H$2:$H$4000,MATCH($A1120,BBG_Data!$G$2:$G$4000,0)),NA()))</f>
        <v/>
      </c>
      <c r="F1120" s="20">
        <f>IF(AND(ISNUMBER(B1120),ISNUMBER(B1119)),IF(B1120=B1119,"",(B1120-B1119)*100),"")</f>
        <v/>
      </c>
      <c r="G1120" s="20">
        <f>IF(AND(ISNUMBER(C1120),ISNUMBER(C1119)),IF(C1120=C1119,"",(C1120-C1119)*100),"")</f>
        <v/>
      </c>
      <c r="H1120" s="20">
        <f>IF(OR(NOT(ISNUMBER($A1120)),ROW()-2&lt;Settings!$B$11),NA(),IF(COUNT(OFFSET(F1120,1-Settings!$B$11,0,Settings!$B$11,1))&lt;ROUNDUP(Settings!$B$11*Settings!$B$26,0),NA(),STDEV(OFFSET(F1120,1-Settings!$B$11,0,Settings!$B$11,1))*SQRT(Settings!$B$13)))</f>
        <v/>
      </c>
      <c r="I1120" s="20">
        <f>IF(OR(NOT(ISNUMBER($A1120)),ROW()-2&lt;Settings!$B$12),NA(),IF(COUNT(OFFSET(F1120,1-Settings!$B$12,0,Settings!$B$12,1))&lt;ROUNDUP(Settings!$B$12*Settings!$B$26,0),NA(),STDEV(OFFSET(F1120,1-Settings!$B$12,0,Settings!$B$12,1))*SQRT(Settings!$B$13)))</f>
        <v/>
      </c>
      <c r="J1120" s="20">
        <f>IF(OR(NOT(ISNUMBER($A1120)),ROW()-2&lt;Settings!$B$11),NA(),IF(COUNT(OFFSET(G1120,1-Settings!$B$11,0,Settings!$B$11,1))&lt;ROUNDUP(Settings!$B$11*Settings!$B$26,0),NA(),STDEV(OFFSET(G1120,1-Settings!$B$11,0,Settings!$B$11,1))*SQRT(Settings!$B$13)))</f>
        <v/>
      </c>
      <c r="K1120" s="20">
        <f>IF(OR(NOT(ISNUMBER($A1120)),ROW()-2&lt;Settings!$B$12),NA(),IF(COUNT(OFFSET(G1120,1-Settings!$B$12,0,Settings!$B$12,1))&lt;ROUNDUP(Settings!$B$12*Settings!$B$26,0),NA(),STDEV(OFFSET(G1120,1-Settings!$B$12,0,Settings!$B$12,1))*SQRT(Settings!$B$13)))</f>
        <v/>
      </c>
      <c r="L1120" s="20">
        <f>IF(AND(ISNUMBER(D1120),ISNUMBER(H1120)),D1120-H1120,NA())</f>
        <v/>
      </c>
      <c r="M1120" s="20">
        <f>IF(AND(ISNUMBER(E1120),ISNUMBER(K1120)),E1120-K1120,NA())</f>
        <v/>
      </c>
      <c r="N1120" s="20">
        <f>IF(NOT(ISNUMBER($A1120)),NA(),IF(COUNT(OFFSET(G1120,1,0,Settings!$B$12,1))&lt;ROUNDUP(Settings!$B$12*Settings!$B$26,0),NA(),STDEV(OFFSET(G1120,1,0,Settings!$B$12,1))*SQRT(Settings!$B$13)))</f>
        <v/>
      </c>
      <c r="O1120" s="20">
        <f>IF(AND(ISNUMBER(E1120),ISNUMBER(N1120)),E1120-N1120,NA())</f>
        <v/>
      </c>
      <c r="P1120" s="19">
        <f>IF(NOT(ISNUMBER($A1120)),NA(),IF(OR($A1120&lt;MIN(KW_TP!$A$2:$A$2501),$A1120&gt;MAX(KW_TP!$A$2:$A$2501)),NA(),INDEX(KW_TP!$C$2:$C$2501,MATCH($A1120,KW_TP!$A$2:$A$2501,1))))</f>
        <v/>
      </c>
      <c r="Q1120" s="18">
        <f>IF(NOT(ISNUMBER($A1120)),NA(),IFERROR(1*INDEX(BBG_Data!$J$2:$J$4000,MATCH($A1120,BBG_Data!$I$2:$I$4000,0)),NA()))</f>
        <v/>
      </c>
      <c r="R1120" s="18">
        <f>IF(NOT(ISNUMBER($A1120)),NA(),IFERROR(1*INDEX(BBG_Data!$L$2:$L$4000,MATCH($A1120,BBG_Data!$K$2:$K$4000,0)),NA()))</f>
        <v/>
      </c>
      <c r="S1120" s="20">
        <f>IF(AND(ISNUMBER(B1120),ISNUMBER(Q1120),ISNUMBER(R1120)),(B1120-Q1120-R1120)*100,NA())</f>
        <v/>
      </c>
      <c r="T1120" s="20">
        <f>IF(AND(ISNUMBER(B1120),Settings!$B$17&gt;0),IF(ISNUMBER(INDEX($B:$B,Settings!$B$17)),(B1120-INDEX($B:$B,Settings!$B$17))*100,NA()),NA())</f>
        <v/>
      </c>
      <c r="U1120" s="20">
        <f>IF(AND(ISNUMBER(Q1120),Settings!$B$17&gt;0),IF(ISNUMBER(INDEX($Q:$Q,Settings!$B$17)),(Q1120-INDEX($Q:$Q,Settings!$B$17))*100,NA()),NA())</f>
        <v/>
      </c>
      <c r="V1120" s="20">
        <f>IF(AND(ISNUMBER(R1120),Settings!$B$17&gt;0),IF(ISNUMBER(INDEX($R:$R,Settings!$B$17)),(R1120-INDEX($R:$R,Settings!$B$17))*100,NA()),NA())</f>
        <v/>
      </c>
      <c r="W1120" s="20">
        <f>IF(AND(ISNUMBER(P1120),Settings!$B$17&gt;0),IF(ISNUMBER(INDEX($P:$P,Settings!$B$17)),P1120-INDEX($P:$P,Settings!$B$17),NA()),NA())</f>
        <v/>
      </c>
      <c r="X1120" s="19">
        <f>IF(NOT(ISNUMBER($A1120)),NA(),IF(OR($A1120&lt;MIN(DKW_10Y!$A$2:$A$2918),$A1120&gt;MAX(DKW_10Y!$A$2:$A$2918),Settings!$B$16&lt;MIN(DKW_10Y!$A$2:$A$2918)),NA(),(INDEX(DKW_10Y!$B$2:$B$2918,MATCH($A1120,DKW_10Y!$A$2:$A$2918,1))-INDEX(DKW_10Y!$B$2:$B$2918,MATCH(Settings!$B$16,DKW_10Y!$A$2:$A$2918,1)))*100))</f>
        <v/>
      </c>
      <c r="Y1120" s="19">
        <f>IF(NOT(ISNUMBER($A1120)),NA(),IF(OR($A1120&lt;MIN(DKW_10Y!$A$2:$A$2918),$A1120&gt;MAX(DKW_10Y!$A$2:$A$2918),Settings!$B$16&lt;MIN(DKW_10Y!$A$2:$A$2918)),NA(),(INDEX(DKW_10Y!$C$2:$C$2918,MATCH($A1120,DKW_10Y!$A$2:$A$2918,1))-INDEX(DKW_10Y!$C$2:$C$2918,MATCH(Settings!$B$16,DKW_10Y!$A$2:$A$2918,1)))*100))</f>
        <v/>
      </c>
      <c r="Z1120" s="19">
        <f>IF(NOT(ISNUMBER($A1120)),NA(),IF(OR($A1120&lt;MIN(DKW_10Y!$A$2:$A$2918),$A1120&gt;MAX(DKW_10Y!$A$2:$A$2918),Settings!$B$16&lt;MIN(DKW_10Y!$A$2:$A$2918)),NA(),(INDEX(DKW_10Y!$D$2:$D$2918,MATCH($A1120,DKW_10Y!$A$2:$A$2918,1))-INDEX(DKW_10Y!$D$2:$D$2918,MATCH(Settings!$B$16,DKW_10Y!$A$2:$A$2918,1)))*100))</f>
        <v/>
      </c>
      <c r="AA1120" s="19">
        <f>IF(NOT(ISNUMBER($A1120)),NA(),IF(OR($A1120&lt;MIN(DKW_10Y!$A$2:$A$2918),$A1120&gt;MAX(DKW_10Y!$A$2:$A$2918),Settings!$B$16&lt;MIN(DKW_10Y!$A$2:$A$2918)),NA(),(INDEX(DKW_10Y!$E$2:$E$2918,MATCH($A1120,DKW_10Y!$A$2:$A$2918,1))-INDEX(DKW_10Y!$E$2:$E$2918,MATCH(Settings!$B$16,DKW_10Y!$A$2:$A$2918,1)))*100))</f>
        <v/>
      </c>
      <c r="AB1120" s="19">
        <f>IF(NOT(ISNUMBER($A1120)),NA(),IF(OR($A1120&lt;MIN(DKW_10Y!$A$2:$A$2918),$A1120&gt;MAX(DKW_10Y!$A$2:$A$2918),Settings!$B$16&lt;MIN(DKW_10Y!$A$2:$A$2918)),NA(),(INDEX(DKW_10Y!$H$2:$H$2918,MATCH($A1120,DKW_10Y!$A$2:$A$2918,1))-INDEX(DKW_10Y!$H$2:$H$2918,MATCH(Settings!$B$16,DKW_10Y!$A$2:$A$2918,1)))*100))</f>
        <v/>
      </c>
      <c r="AC1120" s="18">
        <f>IF(NOT(ISNUMBER($A1120)),NA(),IFERROR(1*INDEX(BBG_Data!$N$2:$N$4000,MATCH($A1120,BBG_Data!$M$2:$M$4000,0)),NA()))</f>
        <v/>
      </c>
      <c r="AD1120" s="18">
        <f>IF(NOT(ISNUMBER($A1120)),NA(),IFERROR(1*INDEX(BBG_Data!$P$2:$P$4000,MATCH($A1120,BBG_Data!$O$2:$O$4000,0)),NA()))</f>
        <v/>
      </c>
      <c r="AE1120" s="18">
        <f>IF(NOT(ISNUMBER($A1120)),NA(),IFERROR(1*INDEX(BBG_Data!$R$2:$R$4000,MATCH($A1120,BBG_Data!$Q$2:$Q$4000,0)),NA()))</f>
        <v/>
      </c>
      <c r="AF1120" s="20">
        <f>IF(AND(ISNUMBER(B1120),ISNUMBER(AC1120)),(B1120-AC1120)*100,NA())</f>
        <v/>
      </c>
      <c r="AG1120" s="20">
        <f>IF(AND(ISNUMBER(AE1120),ISNUMBER(AD1120)),(AE1120-AD1120)*100,NA())</f>
        <v/>
      </c>
      <c r="AH1120" s="19">
        <f>IF(NOT(ISNUMBER($A1120)),NA(),IFERROR(INDEX(BBG_Data!$T$2:$T$4000,MATCH($A1120,BBG_Data!$S$2:$S$4000,0))*Settings!$B$25,NA()))</f>
        <v/>
      </c>
      <c r="AI1120" s="19">
        <f>IF(NOT(ISNUMBER($A1120)),NA(),IFERROR(INDEX(BBG_Data!$V$2:$V$4000,MATCH($A1120,BBG_Data!$U$2:$U$4000,0))*Settings!$B$25,NA()))</f>
        <v/>
      </c>
      <c r="AJ1120" s="19">
        <f>IF(NOT(ISNUMBER($A1120)),NA(),IFERROR(1*INDEX(BBG_Data!$X$2:$X$4000,MATCH($A1120,BBG_Data!$W$2:$W$4000,0)),NA()))</f>
        <v/>
      </c>
      <c r="AK1120" s="19">
        <f>IF(NOT(ISNUMBER($A1120)),NA(),IFERROR(1*INDEX(BBG_Data!$Z$2:$Z$4000,MATCH($A1120,BBG_Data!$Y$2:$Y$4000,0)),NA()))</f>
        <v/>
      </c>
    </row>
    <row r="1121">
      <c r="A1121" s="17">
        <f>IF(ISNUMBER(BBG_Data!A1121),BBG_Data!A1121,"")</f>
        <v/>
      </c>
      <c r="B1121" s="18">
        <f>IF(AND(ISNUMBER($A1121),ISNUMBER(BBG_Data!B1121)),BBG_Data!B1121,NA())</f>
        <v/>
      </c>
      <c r="C1121" s="18">
        <f>IF(NOT(ISNUMBER($A1121)),NA(),IFERROR(1*INDEX(BBG_Data!$D$2:$D$4000,MATCH($A1121,BBG_Data!$C$2:$C$4000,0)),NA()))</f>
        <v/>
      </c>
      <c r="D1121" s="19">
        <f>IF(NOT(ISNUMBER($A1121)),NA(),IFERROR(1*INDEX(BBG_Data!$F$2:$F$4000,MATCH($A1121,BBG_Data!$E$2:$E$4000,0)),NA()))</f>
        <v/>
      </c>
      <c r="E1121" s="19">
        <f>IF(NOT(ISNUMBER($A1121)),NA(),IFERROR(1*INDEX(BBG_Data!$H$2:$H$4000,MATCH($A1121,BBG_Data!$G$2:$G$4000,0)),NA()))</f>
        <v/>
      </c>
      <c r="F1121" s="20">
        <f>IF(AND(ISNUMBER(B1121),ISNUMBER(B1120)),IF(B1121=B1120,"",(B1121-B1120)*100),"")</f>
        <v/>
      </c>
      <c r="G1121" s="20">
        <f>IF(AND(ISNUMBER(C1121),ISNUMBER(C1120)),IF(C1121=C1120,"",(C1121-C1120)*100),"")</f>
        <v/>
      </c>
      <c r="H1121" s="20">
        <f>IF(OR(NOT(ISNUMBER($A1121)),ROW()-2&lt;Settings!$B$11),NA(),IF(COUNT(OFFSET(F1121,1-Settings!$B$11,0,Settings!$B$11,1))&lt;ROUNDUP(Settings!$B$11*Settings!$B$26,0),NA(),STDEV(OFFSET(F1121,1-Settings!$B$11,0,Settings!$B$11,1))*SQRT(Settings!$B$13)))</f>
        <v/>
      </c>
      <c r="I1121" s="20">
        <f>IF(OR(NOT(ISNUMBER($A1121)),ROW()-2&lt;Settings!$B$12),NA(),IF(COUNT(OFFSET(F1121,1-Settings!$B$12,0,Settings!$B$12,1))&lt;ROUNDUP(Settings!$B$12*Settings!$B$26,0),NA(),STDEV(OFFSET(F1121,1-Settings!$B$12,0,Settings!$B$12,1))*SQRT(Settings!$B$13)))</f>
        <v/>
      </c>
      <c r="J1121" s="20">
        <f>IF(OR(NOT(ISNUMBER($A1121)),ROW()-2&lt;Settings!$B$11),NA(),IF(COUNT(OFFSET(G1121,1-Settings!$B$11,0,Settings!$B$11,1))&lt;ROUNDUP(Settings!$B$11*Settings!$B$26,0),NA(),STDEV(OFFSET(G1121,1-Settings!$B$11,0,Settings!$B$11,1))*SQRT(Settings!$B$13)))</f>
        <v/>
      </c>
      <c r="K1121" s="20">
        <f>IF(OR(NOT(ISNUMBER($A1121)),ROW()-2&lt;Settings!$B$12),NA(),IF(COUNT(OFFSET(G1121,1-Settings!$B$12,0,Settings!$B$12,1))&lt;ROUNDUP(Settings!$B$12*Settings!$B$26,0),NA(),STDEV(OFFSET(G1121,1-Settings!$B$12,0,Settings!$B$12,1))*SQRT(Settings!$B$13)))</f>
        <v/>
      </c>
      <c r="L1121" s="20">
        <f>IF(AND(ISNUMBER(D1121),ISNUMBER(H1121)),D1121-H1121,NA())</f>
        <v/>
      </c>
      <c r="M1121" s="20">
        <f>IF(AND(ISNUMBER(E1121),ISNUMBER(K1121)),E1121-K1121,NA())</f>
        <v/>
      </c>
      <c r="N1121" s="20">
        <f>IF(NOT(ISNUMBER($A1121)),NA(),IF(COUNT(OFFSET(G1121,1,0,Settings!$B$12,1))&lt;ROUNDUP(Settings!$B$12*Settings!$B$26,0),NA(),STDEV(OFFSET(G1121,1,0,Settings!$B$12,1))*SQRT(Settings!$B$13)))</f>
        <v/>
      </c>
      <c r="O1121" s="20">
        <f>IF(AND(ISNUMBER(E1121),ISNUMBER(N1121)),E1121-N1121,NA())</f>
        <v/>
      </c>
      <c r="P1121" s="19">
        <f>IF(NOT(ISNUMBER($A1121)),NA(),IF(OR($A1121&lt;MIN(KW_TP!$A$2:$A$2501),$A1121&gt;MAX(KW_TP!$A$2:$A$2501)),NA(),INDEX(KW_TP!$C$2:$C$2501,MATCH($A1121,KW_TP!$A$2:$A$2501,1))))</f>
        <v/>
      </c>
      <c r="Q1121" s="18">
        <f>IF(NOT(ISNUMBER($A1121)),NA(),IFERROR(1*INDEX(BBG_Data!$J$2:$J$4000,MATCH($A1121,BBG_Data!$I$2:$I$4000,0)),NA()))</f>
        <v/>
      </c>
      <c r="R1121" s="18">
        <f>IF(NOT(ISNUMBER($A1121)),NA(),IFERROR(1*INDEX(BBG_Data!$L$2:$L$4000,MATCH($A1121,BBG_Data!$K$2:$K$4000,0)),NA()))</f>
        <v/>
      </c>
      <c r="S1121" s="20">
        <f>IF(AND(ISNUMBER(B1121),ISNUMBER(Q1121),ISNUMBER(R1121)),(B1121-Q1121-R1121)*100,NA())</f>
        <v/>
      </c>
      <c r="T1121" s="20">
        <f>IF(AND(ISNUMBER(B1121),Settings!$B$17&gt;0),IF(ISNUMBER(INDEX($B:$B,Settings!$B$17)),(B1121-INDEX($B:$B,Settings!$B$17))*100,NA()),NA())</f>
        <v/>
      </c>
      <c r="U1121" s="20">
        <f>IF(AND(ISNUMBER(Q1121),Settings!$B$17&gt;0),IF(ISNUMBER(INDEX($Q:$Q,Settings!$B$17)),(Q1121-INDEX($Q:$Q,Settings!$B$17))*100,NA()),NA())</f>
        <v/>
      </c>
      <c r="V1121" s="20">
        <f>IF(AND(ISNUMBER(R1121),Settings!$B$17&gt;0),IF(ISNUMBER(INDEX($R:$R,Settings!$B$17)),(R1121-INDEX($R:$R,Settings!$B$17))*100,NA()),NA())</f>
        <v/>
      </c>
      <c r="W1121" s="20">
        <f>IF(AND(ISNUMBER(P1121),Settings!$B$17&gt;0),IF(ISNUMBER(INDEX($P:$P,Settings!$B$17)),P1121-INDEX($P:$P,Settings!$B$17),NA()),NA())</f>
        <v/>
      </c>
      <c r="X1121" s="19">
        <f>IF(NOT(ISNUMBER($A1121)),NA(),IF(OR($A1121&lt;MIN(DKW_10Y!$A$2:$A$2918),$A1121&gt;MAX(DKW_10Y!$A$2:$A$2918),Settings!$B$16&lt;MIN(DKW_10Y!$A$2:$A$2918)),NA(),(INDEX(DKW_10Y!$B$2:$B$2918,MATCH($A1121,DKW_10Y!$A$2:$A$2918,1))-INDEX(DKW_10Y!$B$2:$B$2918,MATCH(Settings!$B$16,DKW_10Y!$A$2:$A$2918,1)))*100))</f>
        <v/>
      </c>
      <c r="Y1121" s="19">
        <f>IF(NOT(ISNUMBER($A1121)),NA(),IF(OR($A1121&lt;MIN(DKW_10Y!$A$2:$A$2918),$A1121&gt;MAX(DKW_10Y!$A$2:$A$2918),Settings!$B$16&lt;MIN(DKW_10Y!$A$2:$A$2918)),NA(),(INDEX(DKW_10Y!$C$2:$C$2918,MATCH($A1121,DKW_10Y!$A$2:$A$2918,1))-INDEX(DKW_10Y!$C$2:$C$2918,MATCH(Settings!$B$16,DKW_10Y!$A$2:$A$2918,1)))*100))</f>
        <v/>
      </c>
      <c r="Z1121" s="19">
        <f>IF(NOT(ISNUMBER($A1121)),NA(),IF(OR($A1121&lt;MIN(DKW_10Y!$A$2:$A$2918),$A1121&gt;MAX(DKW_10Y!$A$2:$A$2918),Settings!$B$16&lt;MIN(DKW_10Y!$A$2:$A$2918)),NA(),(INDEX(DKW_10Y!$D$2:$D$2918,MATCH($A1121,DKW_10Y!$A$2:$A$2918,1))-INDEX(DKW_10Y!$D$2:$D$2918,MATCH(Settings!$B$16,DKW_10Y!$A$2:$A$2918,1)))*100))</f>
        <v/>
      </c>
      <c r="AA1121" s="19">
        <f>IF(NOT(ISNUMBER($A1121)),NA(),IF(OR($A1121&lt;MIN(DKW_10Y!$A$2:$A$2918),$A1121&gt;MAX(DKW_10Y!$A$2:$A$2918),Settings!$B$16&lt;MIN(DKW_10Y!$A$2:$A$2918)),NA(),(INDEX(DKW_10Y!$E$2:$E$2918,MATCH($A1121,DKW_10Y!$A$2:$A$2918,1))-INDEX(DKW_10Y!$E$2:$E$2918,MATCH(Settings!$B$16,DKW_10Y!$A$2:$A$2918,1)))*100))</f>
        <v/>
      </c>
      <c r="AB1121" s="19">
        <f>IF(NOT(ISNUMBER($A1121)),NA(),IF(OR($A1121&lt;MIN(DKW_10Y!$A$2:$A$2918),$A1121&gt;MAX(DKW_10Y!$A$2:$A$2918),Settings!$B$16&lt;MIN(DKW_10Y!$A$2:$A$2918)),NA(),(INDEX(DKW_10Y!$H$2:$H$2918,MATCH($A1121,DKW_10Y!$A$2:$A$2918,1))-INDEX(DKW_10Y!$H$2:$H$2918,MATCH(Settings!$B$16,DKW_10Y!$A$2:$A$2918,1)))*100))</f>
        <v/>
      </c>
      <c r="AC1121" s="18">
        <f>IF(NOT(ISNUMBER($A1121)),NA(),IFERROR(1*INDEX(BBG_Data!$N$2:$N$4000,MATCH($A1121,BBG_Data!$M$2:$M$4000,0)),NA()))</f>
        <v/>
      </c>
      <c r="AD1121" s="18">
        <f>IF(NOT(ISNUMBER($A1121)),NA(),IFERROR(1*INDEX(BBG_Data!$P$2:$P$4000,MATCH($A1121,BBG_Data!$O$2:$O$4000,0)),NA()))</f>
        <v/>
      </c>
      <c r="AE1121" s="18">
        <f>IF(NOT(ISNUMBER($A1121)),NA(),IFERROR(1*INDEX(BBG_Data!$R$2:$R$4000,MATCH($A1121,BBG_Data!$Q$2:$Q$4000,0)),NA()))</f>
        <v/>
      </c>
      <c r="AF1121" s="20">
        <f>IF(AND(ISNUMBER(B1121),ISNUMBER(AC1121)),(B1121-AC1121)*100,NA())</f>
        <v/>
      </c>
      <c r="AG1121" s="20">
        <f>IF(AND(ISNUMBER(AE1121),ISNUMBER(AD1121)),(AE1121-AD1121)*100,NA())</f>
        <v/>
      </c>
      <c r="AH1121" s="19">
        <f>IF(NOT(ISNUMBER($A1121)),NA(),IFERROR(INDEX(BBG_Data!$T$2:$T$4000,MATCH($A1121,BBG_Data!$S$2:$S$4000,0))*Settings!$B$25,NA()))</f>
        <v/>
      </c>
      <c r="AI1121" s="19">
        <f>IF(NOT(ISNUMBER($A1121)),NA(),IFERROR(INDEX(BBG_Data!$V$2:$V$4000,MATCH($A1121,BBG_Data!$U$2:$U$4000,0))*Settings!$B$25,NA()))</f>
        <v/>
      </c>
      <c r="AJ1121" s="19">
        <f>IF(NOT(ISNUMBER($A1121)),NA(),IFERROR(1*INDEX(BBG_Data!$X$2:$X$4000,MATCH($A1121,BBG_Data!$W$2:$W$4000,0)),NA()))</f>
        <v/>
      </c>
      <c r="AK1121" s="19">
        <f>IF(NOT(ISNUMBER($A1121)),NA(),IFERROR(1*INDEX(BBG_Data!$Z$2:$Z$4000,MATCH($A1121,BBG_Data!$Y$2:$Y$4000,0)),NA()))</f>
        <v/>
      </c>
    </row>
    <row r="1122">
      <c r="A1122" s="17">
        <f>IF(ISNUMBER(BBG_Data!A1122),BBG_Data!A1122,"")</f>
        <v/>
      </c>
      <c r="B1122" s="18">
        <f>IF(AND(ISNUMBER($A1122),ISNUMBER(BBG_Data!B1122)),BBG_Data!B1122,NA())</f>
        <v/>
      </c>
      <c r="C1122" s="18">
        <f>IF(NOT(ISNUMBER($A1122)),NA(),IFERROR(1*INDEX(BBG_Data!$D$2:$D$4000,MATCH($A1122,BBG_Data!$C$2:$C$4000,0)),NA()))</f>
        <v/>
      </c>
      <c r="D1122" s="19">
        <f>IF(NOT(ISNUMBER($A1122)),NA(),IFERROR(1*INDEX(BBG_Data!$F$2:$F$4000,MATCH($A1122,BBG_Data!$E$2:$E$4000,0)),NA()))</f>
        <v/>
      </c>
      <c r="E1122" s="19">
        <f>IF(NOT(ISNUMBER($A1122)),NA(),IFERROR(1*INDEX(BBG_Data!$H$2:$H$4000,MATCH($A1122,BBG_Data!$G$2:$G$4000,0)),NA()))</f>
        <v/>
      </c>
      <c r="F1122" s="20">
        <f>IF(AND(ISNUMBER(B1122),ISNUMBER(B1121)),IF(B1122=B1121,"",(B1122-B1121)*100),"")</f>
        <v/>
      </c>
      <c r="G1122" s="20">
        <f>IF(AND(ISNUMBER(C1122),ISNUMBER(C1121)),IF(C1122=C1121,"",(C1122-C1121)*100),"")</f>
        <v/>
      </c>
      <c r="H1122" s="20">
        <f>IF(OR(NOT(ISNUMBER($A1122)),ROW()-2&lt;Settings!$B$11),NA(),IF(COUNT(OFFSET(F1122,1-Settings!$B$11,0,Settings!$B$11,1))&lt;ROUNDUP(Settings!$B$11*Settings!$B$26,0),NA(),STDEV(OFFSET(F1122,1-Settings!$B$11,0,Settings!$B$11,1))*SQRT(Settings!$B$13)))</f>
        <v/>
      </c>
      <c r="I1122" s="20">
        <f>IF(OR(NOT(ISNUMBER($A1122)),ROW()-2&lt;Settings!$B$12),NA(),IF(COUNT(OFFSET(F1122,1-Settings!$B$12,0,Settings!$B$12,1))&lt;ROUNDUP(Settings!$B$12*Settings!$B$26,0),NA(),STDEV(OFFSET(F1122,1-Settings!$B$12,0,Settings!$B$12,1))*SQRT(Settings!$B$13)))</f>
        <v/>
      </c>
      <c r="J1122" s="20">
        <f>IF(OR(NOT(ISNUMBER($A1122)),ROW()-2&lt;Settings!$B$11),NA(),IF(COUNT(OFFSET(G1122,1-Settings!$B$11,0,Settings!$B$11,1))&lt;ROUNDUP(Settings!$B$11*Settings!$B$26,0),NA(),STDEV(OFFSET(G1122,1-Settings!$B$11,0,Settings!$B$11,1))*SQRT(Settings!$B$13)))</f>
        <v/>
      </c>
      <c r="K1122" s="20">
        <f>IF(OR(NOT(ISNUMBER($A1122)),ROW()-2&lt;Settings!$B$12),NA(),IF(COUNT(OFFSET(G1122,1-Settings!$B$12,0,Settings!$B$12,1))&lt;ROUNDUP(Settings!$B$12*Settings!$B$26,0),NA(),STDEV(OFFSET(G1122,1-Settings!$B$12,0,Settings!$B$12,1))*SQRT(Settings!$B$13)))</f>
        <v/>
      </c>
      <c r="L1122" s="20">
        <f>IF(AND(ISNUMBER(D1122),ISNUMBER(H1122)),D1122-H1122,NA())</f>
        <v/>
      </c>
      <c r="M1122" s="20">
        <f>IF(AND(ISNUMBER(E1122),ISNUMBER(K1122)),E1122-K1122,NA())</f>
        <v/>
      </c>
      <c r="N1122" s="20">
        <f>IF(NOT(ISNUMBER($A1122)),NA(),IF(COUNT(OFFSET(G1122,1,0,Settings!$B$12,1))&lt;ROUNDUP(Settings!$B$12*Settings!$B$26,0),NA(),STDEV(OFFSET(G1122,1,0,Settings!$B$12,1))*SQRT(Settings!$B$13)))</f>
        <v/>
      </c>
      <c r="O1122" s="20">
        <f>IF(AND(ISNUMBER(E1122),ISNUMBER(N1122)),E1122-N1122,NA())</f>
        <v/>
      </c>
      <c r="P1122" s="19">
        <f>IF(NOT(ISNUMBER($A1122)),NA(),IF(OR($A1122&lt;MIN(KW_TP!$A$2:$A$2501),$A1122&gt;MAX(KW_TP!$A$2:$A$2501)),NA(),INDEX(KW_TP!$C$2:$C$2501,MATCH($A1122,KW_TP!$A$2:$A$2501,1))))</f>
        <v/>
      </c>
      <c r="Q1122" s="18">
        <f>IF(NOT(ISNUMBER($A1122)),NA(),IFERROR(1*INDEX(BBG_Data!$J$2:$J$4000,MATCH($A1122,BBG_Data!$I$2:$I$4000,0)),NA()))</f>
        <v/>
      </c>
      <c r="R1122" s="18">
        <f>IF(NOT(ISNUMBER($A1122)),NA(),IFERROR(1*INDEX(BBG_Data!$L$2:$L$4000,MATCH($A1122,BBG_Data!$K$2:$K$4000,0)),NA()))</f>
        <v/>
      </c>
      <c r="S1122" s="20">
        <f>IF(AND(ISNUMBER(B1122),ISNUMBER(Q1122),ISNUMBER(R1122)),(B1122-Q1122-R1122)*100,NA())</f>
        <v/>
      </c>
      <c r="T1122" s="20">
        <f>IF(AND(ISNUMBER(B1122),Settings!$B$17&gt;0),IF(ISNUMBER(INDEX($B:$B,Settings!$B$17)),(B1122-INDEX($B:$B,Settings!$B$17))*100,NA()),NA())</f>
        <v/>
      </c>
      <c r="U1122" s="20">
        <f>IF(AND(ISNUMBER(Q1122),Settings!$B$17&gt;0),IF(ISNUMBER(INDEX($Q:$Q,Settings!$B$17)),(Q1122-INDEX($Q:$Q,Settings!$B$17))*100,NA()),NA())</f>
        <v/>
      </c>
      <c r="V1122" s="20">
        <f>IF(AND(ISNUMBER(R1122),Settings!$B$17&gt;0),IF(ISNUMBER(INDEX($R:$R,Settings!$B$17)),(R1122-INDEX($R:$R,Settings!$B$17))*100,NA()),NA())</f>
        <v/>
      </c>
      <c r="W1122" s="20">
        <f>IF(AND(ISNUMBER(P1122),Settings!$B$17&gt;0),IF(ISNUMBER(INDEX($P:$P,Settings!$B$17)),P1122-INDEX($P:$P,Settings!$B$17),NA()),NA())</f>
        <v/>
      </c>
      <c r="X1122" s="19">
        <f>IF(NOT(ISNUMBER($A1122)),NA(),IF(OR($A1122&lt;MIN(DKW_10Y!$A$2:$A$2918),$A1122&gt;MAX(DKW_10Y!$A$2:$A$2918),Settings!$B$16&lt;MIN(DKW_10Y!$A$2:$A$2918)),NA(),(INDEX(DKW_10Y!$B$2:$B$2918,MATCH($A1122,DKW_10Y!$A$2:$A$2918,1))-INDEX(DKW_10Y!$B$2:$B$2918,MATCH(Settings!$B$16,DKW_10Y!$A$2:$A$2918,1)))*100))</f>
        <v/>
      </c>
      <c r="Y1122" s="19">
        <f>IF(NOT(ISNUMBER($A1122)),NA(),IF(OR($A1122&lt;MIN(DKW_10Y!$A$2:$A$2918),$A1122&gt;MAX(DKW_10Y!$A$2:$A$2918),Settings!$B$16&lt;MIN(DKW_10Y!$A$2:$A$2918)),NA(),(INDEX(DKW_10Y!$C$2:$C$2918,MATCH($A1122,DKW_10Y!$A$2:$A$2918,1))-INDEX(DKW_10Y!$C$2:$C$2918,MATCH(Settings!$B$16,DKW_10Y!$A$2:$A$2918,1)))*100))</f>
        <v/>
      </c>
      <c r="Z1122" s="19">
        <f>IF(NOT(ISNUMBER($A1122)),NA(),IF(OR($A1122&lt;MIN(DKW_10Y!$A$2:$A$2918),$A1122&gt;MAX(DKW_10Y!$A$2:$A$2918),Settings!$B$16&lt;MIN(DKW_10Y!$A$2:$A$2918)),NA(),(INDEX(DKW_10Y!$D$2:$D$2918,MATCH($A1122,DKW_10Y!$A$2:$A$2918,1))-INDEX(DKW_10Y!$D$2:$D$2918,MATCH(Settings!$B$16,DKW_10Y!$A$2:$A$2918,1)))*100))</f>
        <v/>
      </c>
      <c r="AA1122" s="19">
        <f>IF(NOT(ISNUMBER($A1122)),NA(),IF(OR($A1122&lt;MIN(DKW_10Y!$A$2:$A$2918),$A1122&gt;MAX(DKW_10Y!$A$2:$A$2918),Settings!$B$16&lt;MIN(DKW_10Y!$A$2:$A$2918)),NA(),(INDEX(DKW_10Y!$E$2:$E$2918,MATCH($A1122,DKW_10Y!$A$2:$A$2918,1))-INDEX(DKW_10Y!$E$2:$E$2918,MATCH(Settings!$B$16,DKW_10Y!$A$2:$A$2918,1)))*100))</f>
        <v/>
      </c>
      <c r="AB1122" s="19">
        <f>IF(NOT(ISNUMBER($A1122)),NA(),IF(OR($A1122&lt;MIN(DKW_10Y!$A$2:$A$2918),$A1122&gt;MAX(DKW_10Y!$A$2:$A$2918),Settings!$B$16&lt;MIN(DKW_10Y!$A$2:$A$2918)),NA(),(INDEX(DKW_10Y!$H$2:$H$2918,MATCH($A1122,DKW_10Y!$A$2:$A$2918,1))-INDEX(DKW_10Y!$H$2:$H$2918,MATCH(Settings!$B$16,DKW_10Y!$A$2:$A$2918,1)))*100))</f>
        <v/>
      </c>
      <c r="AC1122" s="18">
        <f>IF(NOT(ISNUMBER($A1122)),NA(),IFERROR(1*INDEX(BBG_Data!$N$2:$N$4000,MATCH($A1122,BBG_Data!$M$2:$M$4000,0)),NA()))</f>
        <v/>
      </c>
      <c r="AD1122" s="18">
        <f>IF(NOT(ISNUMBER($A1122)),NA(),IFERROR(1*INDEX(BBG_Data!$P$2:$P$4000,MATCH($A1122,BBG_Data!$O$2:$O$4000,0)),NA()))</f>
        <v/>
      </c>
      <c r="AE1122" s="18">
        <f>IF(NOT(ISNUMBER($A1122)),NA(),IFERROR(1*INDEX(BBG_Data!$R$2:$R$4000,MATCH($A1122,BBG_Data!$Q$2:$Q$4000,0)),NA()))</f>
        <v/>
      </c>
      <c r="AF1122" s="20">
        <f>IF(AND(ISNUMBER(B1122),ISNUMBER(AC1122)),(B1122-AC1122)*100,NA())</f>
        <v/>
      </c>
      <c r="AG1122" s="20">
        <f>IF(AND(ISNUMBER(AE1122),ISNUMBER(AD1122)),(AE1122-AD1122)*100,NA())</f>
        <v/>
      </c>
      <c r="AH1122" s="19">
        <f>IF(NOT(ISNUMBER($A1122)),NA(),IFERROR(INDEX(BBG_Data!$T$2:$T$4000,MATCH($A1122,BBG_Data!$S$2:$S$4000,0))*Settings!$B$25,NA()))</f>
        <v/>
      </c>
      <c r="AI1122" s="19">
        <f>IF(NOT(ISNUMBER($A1122)),NA(),IFERROR(INDEX(BBG_Data!$V$2:$V$4000,MATCH($A1122,BBG_Data!$U$2:$U$4000,0))*Settings!$B$25,NA()))</f>
        <v/>
      </c>
      <c r="AJ1122" s="19">
        <f>IF(NOT(ISNUMBER($A1122)),NA(),IFERROR(1*INDEX(BBG_Data!$X$2:$X$4000,MATCH($A1122,BBG_Data!$W$2:$W$4000,0)),NA()))</f>
        <v/>
      </c>
      <c r="AK1122" s="19">
        <f>IF(NOT(ISNUMBER($A1122)),NA(),IFERROR(1*INDEX(BBG_Data!$Z$2:$Z$4000,MATCH($A1122,BBG_Data!$Y$2:$Y$4000,0)),NA()))</f>
        <v/>
      </c>
    </row>
    <row r="1123">
      <c r="A1123" s="17">
        <f>IF(ISNUMBER(BBG_Data!A1123),BBG_Data!A1123,"")</f>
        <v/>
      </c>
      <c r="B1123" s="18">
        <f>IF(AND(ISNUMBER($A1123),ISNUMBER(BBG_Data!B1123)),BBG_Data!B1123,NA())</f>
        <v/>
      </c>
      <c r="C1123" s="18">
        <f>IF(NOT(ISNUMBER($A1123)),NA(),IFERROR(1*INDEX(BBG_Data!$D$2:$D$4000,MATCH($A1123,BBG_Data!$C$2:$C$4000,0)),NA()))</f>
        <v/>
      </c>
      <c r="D1123" s="19">
        <f>IF(NOT(ISNUMBER($A1123)),NA(),IFERROR(1*INDEX(BBG_Data!$F$2:$F$4000,MATCH($A1123,BBG_Data!$E$2:$E$4000,0)),NA()))</f>
        <v/>
      </c>
      <c r="E1123" s="19">
        <f>IF(NOT(ISNUMBER($A1123)),NA(),IFERROR(1*INDEX(BBG_Data!$H$2:$H$4000,MATCH($A1123,BBG_Data!$G$2:$G$4000,0)),NA()))</f>
        <v/>
      </c>
      <c r="F1123" s="20">
        <f>IF(AND(ISNUMBER(B1123),ISNUMBER(B1122)),IF(B1123=B1122,"",(B1123-B1122)*100),"")</f>
        <v/>
      </c>
      <c r="G1123" s="20">
        <f>IF(AND(ISNUMBER(C1123),ISNUMBER(C1122)),IF(C1123=C1122,"",(C1123-C1122)*100),"")</f>
        <v/>
      </c>
      <c r="H1123" s="20">
        <f>IF(OR(NOT(ISNUMBER($A1123)),ROW()-2&lt;Settings!$B$11),NA(),IF(COUNT(OFFSET(F1123,1-Settings!$B$11,0,Settings!$B$11,1))&lt;ROUNDUP(Settings!$B$11*Settings!$B$26,0),NA(),STDEV(OFFSET(F1123,1-Settings!$B$11,0,Settings!$B$11,1))*SQRT(Settings!$B$13)))</f>
        <v/>
      </c>
      <c r="I1123" s="20">
        <f>IF(OR(NOT(ISNUMBER($A1123)),ROW()-2&lt;Settings!$B$12),NA(),IF(COUNT(OFFSET(F1123,1-Settings!$B$12,0,Settings!$B$12,1))&lt;ROUNDUP(Settings!$B$12*Settings!$B$26,0),NA(),STDEV(OFFSET(F1123,1-Settings!$B$12,0,Settings!$B$12,1))*SQRT(Settings!$B$13)))</f>
        <v/>
      </c>
      <c r="J1123" s="20">
        <f>IF(OR(NOT(ISNUMBER($A1123)),ROW()-2&lt;Settings!$B$11),NA(),IF(COUNT(OFFSET(G1123,1-Settings!$B$11,0,Settings!$B$11,1))&lt;ROUNDUP(Settings!$B$11*Settings!$B$26,0),NA(),STDEV(OFFSET(G1123,1-Settings!$B$11,0,Settings!$B$11,1))*SQRT(Settings!$B$13)))</f>
        <v/>
      </c>
      <c r="K1123" s="20">
        <f>IF(OR(NOT(ISNUMBER($A1123)),ROW()-2&lt;Settings!$B$12),NA(),IF(COUNT(OFFSET(G1123,1-Settings!$B$12,0,Settings!$B$12,1))&lt;ROUNDUP(Settings!$B$12*Settings!$B$26,0),NA(),STDEV(OFFSET(G1123,1-Settings!$B$12,0,Settings!$B$12,1))*SQRT(Settings!$B$13)))</f>
        <v/>
      </c>
      <c r="L1123" s="20">
        <f>IF(AND(ISNUMBER(D1123),ISNUMBER(H1123)),D1123-H1123,NA())</f>
        <v/>
      </c>
      <c r="M1123" s="20">
        <f>IF(AND(ISNUMBER(E1123),ISNUMBER(K1123)),E1123-K1123,NA())</f>
        <v/>
      </c>
      <c r="N1123" s="20">
        <f>IF(NOT(ISNUMBER($A1123)),NA(),IF(COUNT(OFFSET(G1123,1,0,Settings!$B$12,1))&lt;ROUNDUP(Settings!$B$12*Settings!$B$26,0),NA(),STDEV(OFFSET(G1123,1,0,Settings!$B$12,1))*SQRT(Settings!$B$13)))</f>
        <v/>
      </c>
      <c r="O1123" s="20">
        <f>IF(AND(ISNUMBER(E1123),ISNUMBER(N1123)),E1123-N1123,NA())</f>
        <v/>
      </c>
      <c r="P1123" s="19">
        <f>IF(NOT(ISNUMBER($A1123)),NA(),IF(OR($A1123&lt;MIN(KW_TP!$A$2:$A$2501),$A1123&gt;MAX(KW_TP!$A$2:$A$2501)),NA(),INDEX(KW_TP!$C$2:$C$2501,MATCH($A1123,KW_TP!$A$2:$A$2501,1))))</f>
        <v/>
      </c>
      <c r="Q1123" s="18">
        <f>IF(NOT(ISNUMBER($A1123)),NA(),IFERROR(1*INDEX(BBG_Data!$J$2:$J$4000,MATCH($A1123,BBG_Data!$I$2:$I$4000,0)),NA()))</f>
        <v/>
      </c>
      <c r="R1123" s="18">
        <f>IF(NOT(ISNUMBER($A1123)),NA(),IFERROR(1*INDEX(BBG_Data!$L$2:$L$4000,MATCH($A1123,BBG_Data!$K$2:$K$4000,0)),NA()))</f>
        <v/>
      </c>
      <c r="S1123" s="20">
        <f>IF(AND(ISNUMBER(B1123),ISNUMBER(Q1123),ISNUMBER(R1123)),(B1123-Q1123-R1123)*100,NA())</f>
        <v/>
      </c>
      <c r="T1123" s="20">
        <f>IF(AND(ISNUMBER(B1123),Settings!$B$17&gt;0),IF(ISNUMBER(INDEX($B:$B,Settings!$B$17)),(B1123-INDEX($B:$B,Settings!$B$17))*100,NA()),NA())</f>
        <v/>
      </c>
      <c r="U1123" s="20">
        <f>IF(AND(ISNUMBER(Q1123),Settings!$B$17&gt;0),IF(ISNUMBER(INDEX($Q:$Q,Settings!$B$17)),(Q1123-INDEX($Q:$Q,Settings!$B$17))*100,NA()),NA())</f>
        <v/>
      </c>
      <c r="V1123" s="20">
        <f>IF(AND(ISNUMBER(R1123),Settings!$B$17&gt;0),IF(ISNUMBER(INDEX($R:$R,Settings!$B$17)),(R1123-INDEX($R:$R,Settings!$B$17))*100,NA()),NA())</f>
        <v/>
      </c>
      <c r="W1123" s="20">
        <f>IF(AND(ISNUMBER(P1123),Settings!$B$17&gt;0),IF(ISNUMBER(INDEX($P:$P,Settings!$B$17)),P1123-INDEX($P:$P,Settings!$B$17),NA()),NA())</f>
        <v/>
      </c>
      <c r="X1123" s="19">
        <f>IF(NOT(ISNUMBER($A1123)),NA(),IF(OR($A1123&lt;MIN(DKW_10Y!$A$2:$A$2918),$A1123&gt;MAX(DKW_10Y!$A$2:$A$2918),Settings!$B$16&lt;MIN(DKW_10Y!$A$2:$A$2918)),NA(),(INDEX(DKW_10Y!$B$2:$B$2918,MATCH($A1123,DKW_10Y!$A$2:$A$2918,1))-INDEX(DKW_10Y!$B$2:$B$2918,MATCH(Settings!$B$16,DKW_10Y!$A$2:$A$2918,1)))*100))</f>
        <v/>
      </c>
      <c r="Y1123" s="19">
        <f>IF(NOT(ISNUMBER($A1123)),NA(),IF(OR($A1123&lt;MIN(DKW_10Y!$A$2:$A$2918),$A1123&gt;MAX(DKW_10Y!$A$2:$A$2918),Settings!$B$16&lt;MIN(DKW_10Y!$A$2:$A$2918)),NA(),(INDEX(DKW_10Y!$C$2:$C$2918,MATCH($A1123,DKW_10Y!$A$2:$A$2918,1))-INDEX(DKW_10Y!$C$2:$C$2918,MATCH(Settings!$B$16,DKW_10Y!$A$2:$A$2918,1)))*100))</f>
        <v/>
      </c>
      <c r="Z1123" s="19">
        <f>IF(NOT(ISNUMBER($A1123)),NA(),IF(OR($A1123&lt;MIN(DKW_10Y!$A$2:$A$2918),$A1123&gt;MAX(DKW_10Y!$A$2:$A$2918),Settings!$B$16&lt;MIN(DKW_10Y!$A$2:$A$2918)),NA(),(INDEX(DKW_10Y!$D$2:$D$2918,MATCH($A1123,DKW_10Y!$A$2:$A$2918,1))-INDEX(DKW_10Y!$D$2:$D$2918,MATCH(Settings!$B$16,DKW_10Y!$A$2:$A$2918,1)))*100))</f>
        <v/>
      </c>
      <c r="AA1123" s="19">
        <f>IF(NOT(ISNUMBER($A1123)),NA(),IF(OR($A1123&lt;MIN(DKW_10Y!$A$2:$A$2918),$A1123&gt;MAX(DKW_10Y!$A$2:$A$2918),Settings!$B$16&lt;MIN(DKW_10Y!$A$2:$A$2918)),NA(),(INDEX(DKW_10Y!$E$2:$E$2918,MATCH($A1123,DKW_10Y!$A$2:$A$2918,1))-INDEX(DKW_10Y!$E$2:$E$2918,MATCH(Settings!$B$16,DKW_10Y!$A$2:$A$2918,1)))*100))</f>
        <v/>
      </c>
      <c r="AB1123" s="19">
        <f>IF(NOT(ISNUMBER($A1123)),NA(),IF(OR($A1123&lt;MIN(DKW_10Y!$A$2:$A$2918),$A1123&gt;MAX(DKW_10Y!$A$2:$A$2918),Settings!$B$16&lt;MIN(DKW_10Y!$A$2:$A$2918)),NA(),(INDEX(DKW_10Y!$H$2:$H$2918,MATCH($A1123,DKW_10Y!$A$2:$A$2918,1))-INDEX(DKW_10Y!$H$2:$H$2918,MATCH(Settings!$B$16,DKW_10Y!$A$2:$A$2918,1)))*100))</f>
        <v/>
      </c>
      <c r="AC1123" s="18">
        <f>IF(NOT(ISNUMBER($A1123)),NA(),IFERROR(1*INDEX(BBG_Data!$N$2:$N$4000,MATCH($A1123,BBG_Data!$M$2:$M$4000,0)),NA()))</f>
        <v/>
      </c>
      <c r="AD1123" s="18">
        <f>IF(NOT(ISNUMBER($A1123)),NA(),IFERROR(1*INDEX(BBG_Data!$P$2:$P$4000,MATCH($A1123,BBG_Data!$O$2:$O$4000,0)),NA()))</f>
        <v/>
      </c>
      <c r="AE1123" s="18">
        <f>IF(NOT(ISNUMBER($A1123)),NA(),IFERROR(1*INDEX(BBG_Data!$R$2:$R$4000,MATCH($A1123,BBG_Data!$Q$2:$Q$4000,0)),NA()))</f>
        <v/>
      </c>
      <c r="AF1123" s="20">
        <f>IF(AND(ISNUMBER(B1123),ISNUMBER(AC1123)),(B1123-AC1123)*100,NA())</f>
        <v/>
      </c>
      <c r="AG1123" s="20">
        <f>IF(AND(ISNUMBER(AE1123),ISNUMBER(AD1123)),(AE1123-AD1123)*100,NA())</f>
        <v/>
      </c>
      <c r="AH1123" s="19">
        <f>IF(NOT(ISNUMBER($A1123)),NA(),IFERROR(INDEX(BBG_Data!$T$2:$T$4000,MATCH($A1123,BBG_Data!$S$2:$S$4000,0))*Settings!$B$25,NA()))</f>
        <v/>
      </c>
      <c r="AI1123" s="19">
        <f>IF(NOT(ISNUMBER($A1123)),NA(),IFERROR(INDEX(BBG_Data!$V$2:$V$4000,MATCH($A1123,BBG_Data!$U$2:$U$4000,0))*Settings!$B$25,NA()))</f>
        <v/>
      </c>
      <c r="AJ1123" s="19">
        <f>IF(NOT(ISNUMBER($A1123)),NA(),IFERROR(1*INDEX(BBG_Data!$X$2:$X$4000,MATCH($A1123,BBG_Data!$W$2:$W$4000,0)),NA()))</f>
        <v/>
      </c>
      <c r="AK1123" s="19">
        <f>IF(NOT(ISNUMBER($A1123)),NA(),IFERROR(1*INDEX(BBG_Data!$Z$2:$Z$4000,MATCH($A1123,BBG_Data!$Y$2:$Y$4000,0)),NA()))</f>
        <v/>
      </c>
    </row>
    <row r="1124">
      <c r="A1124" s="17">
        <f>IF(ISNUMBER(BBG_Data!A1124),BBG_Data!A1124,"")</f>
        <v/>
      </c>
      <c r="B1124" s="18">
        <f>IF(AND(ISNUMBER($A1124),ISNUMBER(BBG_Data!B1124)),BBG_Data!B1124,NA())</f>
        <v/>
      </c>
      <c r="C1124" s="18">
        <f>IF(NOT(ISNUMBER($A1124)),NA(),IFERROR(1*INDEX(BBG_Data!$D$2:$D$4000,MATCH($A1124,BBG_Data!$C$2:$C$4000,0)),NA()))</f>
        <v/>
      </c>
      <c r="D1124" s="19">
        <f>IF(NOT(ISNUMBER($A1124)),NA(),IFERROR(1*INDEX(BBG_Data!$F$2:$F$4000,MATCH($A1124,BBG_Data!$E$2:$E$4000,0)),NA()))</f>
        <v/>
      </c>
      <c r="E1124" s="19">
        <f>IF(NOT(ISNUMBER($A1124)),NA(),IFERROR(1*INDEX(BBG_Data!$H$2:$H$4000,MATCH($A1124,BBG_Data!$G$2:$G$4000,0)),NA()))</f>
        <v/>
      </c>
      <c r="F1124" s="20">
        <f>IF(AND(ISNUMBER(B1124),ISNUMBER(B1123)),IF(B1124=B1123,"",(B1124-B1123)*100),"")</f>
        <v/>
      </c>
      <c r="G1124" s="20">
        <f>IF(AND(ISNUMBER(C1124),ISNUMBER(C1123)),IF(C1124=C1123,"",(C1124-C1123)*100),"")</f>
        <v/>
      </c>
      <c r="H1124" s="20">
        <f>IF(OR(NOT(ISNUMBER($A1124)),ROW()-2&lt;Settings!$B$11),NA(),IF(COUNT(OFFSET(F1124,1-Settings!$B$11,0,Settings!$B$11,1))&lt;ROUNDUP(Settings!$B$11*Settings!$B$26,0),NA(),STDEV(OFFSET(F1124,1-Settings!$B$11,0,Settings!$B$11,1))*SQRT(Settings!$B$13)))</f>
        <v/>
      </c>
      <c r="I1124" s="20">
        <f>IF(OR(NOT(ISNUMBER($A1124)),ROW()-2&lt;Settings!$B$12),NA(),IF(COUNT(OFFSET(F1124,1-Settings!$B$12,0,Settings!$B$12,1))&lt;ROUNDUP(Settings!$B$12*Settings!$B$26,0),NA(),STDEV(OFFSET(F1124,1-Settings!$B$12,0,Settings!$B$12,1))*SQRT(Settings!$B$13)))</f>
        <v/>
      </c>
      <c r="J1124" s="20">
        <f>IF(OR(NOT(ISNUMBER($A1124)),ROW()-2&lt;Settings!$B$11),NA(),IF(COUNT(OFFSET(G1124,1-Settings!$B$11,0,Settings!$B$11,1))&lt;ROUNDUP(Settings!$B$11*Settings!$B$26,0),NA(),STDEV(OFFSET(G1124,1-Settings!$B$11,0,Settings!$B$11,1))*SQRT(Settings!$B$13)))</f>
        <v/>
      </c>
      <c r="K1124" s="20">
        <f>IF(OR(NOT(ISNUMBER($A1124)),ROW()-2&lt;Settings!$B$12),NA(),IF(COUNT(OFFSET(G1124,1-Settings!$B$12,0,Settings!$B$12,1))&lt;ROUNDUP(Settings!$B$12*Settings!$B$26,0),NA(),STDEV(OFFSET(G1124,1-Settings!$B$12,0,Settings!$B$12,1))*SQRT(Settings!$B$13)))</f>
        <v/>
      </c>
      <c r="L1124" s="20">
        <f>IF(AND(ISNUMBER(D1124),ISNUMBER(H1124)),D1124-H1124,NA())</f>
        <v/>
      </c>
      <c r="M1124" s="20">
        <f>IF(AND(ISNUMBER(E1124),ISNUMBER(K1124)),E1124-K1124,NA())</f>
        <v/>
      </c>
      <c r="N1124" s="20">
        <f>IF(NOT(ISNUMBER($A1124)),NA(),IF(COUNT(OFFSET(G1124,1,0,Settings!$B$12,1))&lt;ROUNDUP(Settings!$B$12*Settings!$B$26,0),NA(),STDEV(OFFSET(G1124,1,0,Settings!$B$12,1))*SQRT(Settings!$B$13)))</f>
        <v/>
      </c>
      <c r="O1124" s="20">
        <f>IF(AND(ISNUMBER(E1124),ISNUMBER(N1124)),E1124-N1124,NA())</f>
        <v/>
      </c>
      <c r="P1124" s="19">
        <f>IF(NOT(ISNUMBER($A1124)),NA(),IF(OR($A1124&lt;MIN(KW_TP!$A$2:$A$2501),$A1124&gt;MAX(KW_TP!$A$2:$A$2501)),NA(),INDEX(KW_TP!$C$2:$C$2501,MATCH($A1124,KW_TP!$A$2:$A$2501,1))))</f>
        <v/>
      </c>
      <c r="Q1124" s="18">
        <f>IF(NOT(ISNUMBER($A1124)),NA(),IFERROR(1*INDEX(BBG_Data!$J$2:$J$4000,MATCH($A1124,BBG_Data!$I$2:$I$4000,0)),NA()))</f>
        <v/>
      </c>
      <c r="R1124" s="18">
        <f>IF(NOT(ISNUMBER($A1124)),NA(),IFERROR(1*INDEX(BBG_Data!$L$2:$L$4000,MATCH($A1124,BBG_Data!$K$2:$K$4000,0)),NA()))</f>
        <v/>
      </c>
      <c r="S1124" s="20">
        <f>IF(AND(ISNUMBER(B1124),ISNUMBER(Q1124),ISNUMBER(R1124)),(B1124-Q1124-R1124)*100,NA())</f>
        <v/>
      </c>
      <c r="T1124" s="20">
        <f>IF(AND(ISNUMBER(B1124),Settings!$B$17&gt;0),IF(ISNUMBER(INDEX($B:$B,Settings!$B$17)),(B1124-INDEX($B:$B,Settings!$B$17))*100,NA()),NA())</f>
        <v/>
      </c>
      <c r="U1124" s="20">
        <f>IF(AND(ISNUMBER(Q1124),Settings!$B$17&gt;0),IF(ISNUMBER(INDEX($Q:$Q,Settings!$B$17)),(Q1124-INDEX($Q:$Q,Settings!$B$17))*100,NA()),NA())</f>
        <v/>
      </c>
      <c r="V1124" s="20">
        <f>IF(AND(ISNUMBER(R1124),Settings!$B$17&gt;0),IF(ISNUMBER(INDEX($R:$R,Settings!$B$17)),(R1124-INDEX($R:$R,Settings!$B$17))*100,NA()),NA())</f>
        <v/>
      </c>
      <c r="W1124" s="20">
        <f>IF(AND(ISNUMBER(P1124),Settings!$B$17&gt;0),IF(ISNUMBER(INDEX($P:$P,Settings!$B$17)),P1124-INDEX($P:$P,Settings!$B$17),NA()),NA())</f>
        <v/>
      </c>
      <c r="X1124" s="19">
        <f>IF(NOT(ISNUMBER($A1124)),NA(),IF(OR($A1124&lt;MIN(DKW_10Y!$A$2:$A$2918),$A1124&gt;MAX(DKW_10Y!$A$2:$A$2918),Settings!$B$16&lt;MIN(DKW_10Y!$A$2:$A$2918)),NA(),(INDEX(DKW_10Y!$B$2:$B$2918,MATCH($A1124,DKW_10Y!$A$2:$A$2918,1))-INDEX(DKW_10Y!$B$2:$B$2918,MATCH(Settings!$B$16,DKW_10Y!$A$2:$A$2918,1)))*100))</f>
        <v/>
      </c>
      <c r="Y1124" s="19">
        <f>IF(NOT(ISNUMBER($A1124)),NA(),IF(OR($A1124&lt;MIN(DKW_10Y!$A$2:$A$2918),$A1124&gt;MAX(DKW_10Y!$A$2:$A$2918),Settings!$B$16&lt;MIN(DKW_10Y!$A$2:$A$2918)),NA(),(INDEX(DKW_10Y!$C$2:$C$2918,MATCH($A1124,DKW_10Y!$A$2:$A$2918,1))-INDEX(DKW_10Y!$C$2:$C$2918,MATCH(Settings!$B$16,DKW_10Y!$A$2:$A$2918,1)))*100))</f>
        <v/>
      </c>
      <c r="Z1124" s="19">
        <f>IF(NOT(ISNUMBER($A1124)),NA(),IF(OR($A1124&lt;MIN(DKW_10Y!$A$2:$A$2918),$A1124&gt;MAX(DKW_10Y!$A$2:$A$2918),Settings!$B$16&lt;MIN(DKW_10Y!$A$2:$A$2918)),NA(),(INDEX(DKW_10Y!$D$2:$D$2918,MATCH($A1124,DKW_10Y!$A$2:$A$2918,1))-INDEX(DKW_10Y!$D$2:$D$2918,MATCH(Settings!$B$16,DKW_10Y!$A$2:$A$2918,1)))*100))</f>
        <v/>
      </c>
      <c r="AA1124" s="19">
        <f>IF(NOT(ISNUMBER($A1124)),NA(),IF(OR($A1124&lt;MIN(DKW_10Y!$A$2:$A$2918),$A1124&gt;MAX(DKW_10Y!$A$2:$A$2918),Settings!$B$16&lt;MIN(DKW_10Y!$A$2:$A$2918)),NA(),(INDEX(DKW_10Y!$E$2:$E$2918,MATCH($A1124,DKW_10Y!$A$2:$A$2918,1))-INDEX(DKW_10Y!$E$2:$E$2918,MATCH(Settings!$B$16,DKW_10Y!$A$2:$A$2918,1)))*100))</f>
        <v/>
      </c>
      <c r="AB1124" s="19">
        <f>IF(NOT(ISNUMBER($A1124)),NA(),IF(OR($A1124&lt;MIN(DKW_10Y!$A$2:$A$2918),$A1124&gt;MAX(DKW_10Y!$A$2:$A$2918),Settings!$B$16&lt;MIN(DKW_10Y!$A$2:$A$2918)),NA(),(INDEX(DKW_10Y!$H$2:$H$2918,MATCH($A1124,DKW_10Y!$A$2:$A$2918,1))-INDEX(DKW_10Y!$H$2:$H$2918,MATCH(Settings!$B$16,DKW_10Y!$A$2:$A$2918,1)))*100))</f>
        <v/>
      </c>
      <c r="AC1124" s="18">
        <f>IF(NOT(ISNUMBER($A1124)),NA(),IFERROR(1*INDEX(BBG_Data!$N$2:$N$4000,MATCH($A1124,BBG_Data!$M$2:$M$4000,0)),NA()))</f>
        <v/>
      </c>
      <c r="AD1124" s="18">
        <f>IF(NOT(ISNUMBER($A1124)),NA(),IFERROR(1*INDEX(BBG_Data!$P$2:$P$4000,MATCH($A1124,BBG_Data!$O$2:$O$4000,0)),NA()))</f>
        <v/>
      </c>
      <c r="AE1124" s="18">
        <f>IF(NOT(ISNUMBER($A1124)),NA(),IFERROR(1*INDEX(BBG_Data!$R$2:$R$4000,MATCH($A1124,BBG_Data!$Q$2:$Q$4000,0)),NA()))</f>
        <v/>
      </c>
      <c r="AF1124" s="20">
        <f>IF(AND(ISNUMBER(B1124),ISNUMBER(AC1124)),(B1124-AC1124)*100,NA())</f>
        <v/>
      </c>
      <c r="AG1124" s="20">
        <f>IF(AND(ISNUMBER(AE1124),ISNUMBER(AD1124)),(AE1124-AD1124)*100,NA())</f>
        <v/>
      </c>
      <c r="AH1124" s="19">
        <f>IF(NOT(ISNUMBER($A1124)),NA(),IFERROR(INDEX(BBG_Data!$T$2:$T$4000,MATCH($A1124,BBG_Data!$S$2:$S$4000,0))*Settings!$B$25,NA()))</f>
        <v/>
      </c>
      <c r="AI1124" s="19">
        <f>IF(NOT(ISNUMBER($A1124)),NA(),IFERROR(INDEX(BBG_Data!$V$2:$V$4000,MATCH($A1124,BBG_Data!$U$2:$U$4000,0))*Settings!$B$25,NA()))</f>
        <v/>
      </c>
      <c r="AJ1124" s="19">
        <f>IF(NOT(ISNUMBER($A1124)),NA(),IFERROR(1*INDEX(BBG_Data!$X$2:$X$4000,MATCH($A1124,BBG_Data!$W$2:$W$4000,0)),NA()))</f>
        <v/>
      </c>
      <c r="AK1124" s="19">
        <f>IF(NOT(ISNUMBER($A1124)),NA(),IFERROR(1*INDEX(BBG_Data!$Z$2:$Z$4000,MATCH($A1124,BBG_Data!$Y$2:$Y$4000,0)),NA()))</f>
        <v/>
      </c>
    </row>
    <row r="1125">
      <c r="A1125" s="17">
        <f>IF(ISNUMBER(BBG_Data!A1125),BBG_Data!A1125,"")</f>
        <v/>
      </c>
      <c r="B1125" s="18">
        <f>IF(AND(ISNUMBER($A1125),ISNUMBER(BBG_Data!B1125)),BBG_Data!B1125,NA())</f>
        <v/>
      </c>
      <c r="C1125" s="18">
        <f>IF(NOT(ISNUMBER($A1125)),NA(),IFERROR(1*INDEX(BBG_Data!$D$2:$D$4000,MATCH($A1125,BBG_Data!$C$2:$C$4000,0)),NA()))</f>
        <v/>
      </c>
      <c r="D1125" s="19">
        <f>IF(NOT(ISNUMBER($A1125)),NA(),IFERROR(1*INDEX(BBG_Data!$F$2:$F$4000,MATCH($A1125,BBG_Data!$E$2:$E$4000,0)),NA()))</f>
        <v/>
      </c>
      <c r="E1125" s="19">
        <f>IF(NOT(ISNUMBER($A1125)),NA(),IFERROR(1*INDEX(BBG_Data!$H$2:$H$4000,MATCH($A1125,BBG_Data!$G$2:$G$4000,0)),NA()))</f>
        <v/>
      </c>
      <c r="F1125" s="20">
        <f>IF(AND(ISNUMBER(B1125),ISNUMBER(B1124)),IF(B1125=B1124,"",(B1125-B1124)*100),"")</f>
        <v/>
      </c>
      <c r="G1125" s="20">
        <f>IF(AND(ISNUMBER(C1125),ISNUMBER(C1124)),IF(C1125=C1124,"",(C1125-C1124)*100),"")</f>
        <v/>
      </c>
      <c r="H1125" s="20">
        <f>IF(OR(NOT(ISNUMBER($A1125)),ROW()-2&lt;Settings!$B$11),NA(),IF(COUNT(OFFSET(F1125,1-Settings!$B$11,0,Settings!$B$11,1))&lt;ROUNDUP(Settings!$B$11*Settings!$B$26,0),NA(),STDEV(OFFSET(F1125,1-Settings!$B$11,0,Settings!$B$11,1))*SQRT(Settings!$B$13)))</f>
        <v/>
      </c>
      <c r="I1125" s="20">
        <f>IF(OR(NOT(ISNUMBER($A1125)),ROW()-2&lt;Settings!$B$12),NA(),IF(COUNT(OFFSET(F1125,1-Settings!$B$12,0,Settings!$B$12,1))&lt;ROUNDUP(Settings!$B$12*Settings!$B$26,0),NA(),STDEV(OFFSET(F1125,1-Settings!$B$12,0,Settings!$B$12,1))*SQRT(Settings!$B$13)))</f>
        <v/>
      </c>
      <c r="J1125" s="20">
        <f>IF(OR(NOT(ISNUMBER($A1125)),ROW()-2&lt;Settings!$B$11),NA(),IF(COUNT(OFFSET(G1125,1-Settings!$B$11,0,Settings!$B$11,1))&lt;ROUNDUP(Settings!$B$11*Settings!$B$26,0),NA(),STDEV(OFFSET(G1125,1-Settings!$B$11,0,Settings!$B$11,1))*SQRT(Settings!$B$13)))</f>
        <v/>
      </c>
      <c r="K1125" s="20">
        <f>IF(OR(NOT(ISNUMBER($A1125)),ROW()-2&lt;Settings!$B$12),NA(),IF(COUNT(OFFSET(G1125,1-Settings!$B$12,0,Settings!$B$12,1))&lt;ROUNDUP(Settings!$B$12*Settings!$B$26,0),NA(),STDEV(OFFSET(G1125,1-Settings!$B$12,0,Settings!$B$12,1))*SQRT(Settings!$B$13)))</f>
        <v/>
      </c>
      <c r="L1125" s="20">
        <f>IF(AND(ISNUMBER(D1125),ISNUMBER(H1125)),D1125-H1125,NA())</f>
        <v/>
      </c>
      <c r="M1125" s="20">
        <f>IF(AND(ISNUMBER(E1125),ISNUMBER(K1125)),E1125-K1125,NA())</f>
        <v/>
      </c>
      <c r="N1125" s="20">
        <f>IF(NOT(ISNUMBER($A1125)),NA(),IF(COUNT(OFFSET(G1125,1,0,Settings!$B$12,1))&lt;ROUNDUP(Settings!$B$12*Settings!$B$26,0),NA(),STDEV(OFFSET(G1125,1,0,Settings!$B$12,1))*SQRT(Settings!$B$13)))</f>
        <v/>
      </c>
      <c r="O1125" s="20">
        <f>IF(AND(ISNUMBER(E1125),ISNUMBER(N1125)),E1125-N1125,NA())</f>
        <v/>
      </c>
      <c r="P1125" s="19">
        <f>IF(NOT(ISNUMBER($A1125)),NA(),IF(OR($A1125&lt;MIN(KW_TP!$A$2:$A$2501),$A1125&gt;MAX(KW_TP!$A$2:$A$2501)),NA(),INDEX(KW_TP!$C$2:$C$2501,MATCH($A1125,KW_TP!$A$2:$A$2501,1))))</f>
        <v/>
      </c>
      <c r="Q1125" s="18">
        <f>IF(NOT(ISNUMBER($A1125)),NA(),IFERROR(1*INDEX(BBG_Data!$J$2:$J$4000,MATCH($A1125,BBG_Data!$I$2:$I$4000,0)),NA()))</f>
        <v/>
      </c>
      <c r="R1125" s="18">
        <f>IF(NOT(ISNUMBER($A1125)),NA(),IFERROR(1*INDEX(BBG_Data!$L$2:$L$4000,MATCH($A1125,BBG_Data!$K$2:$K$4000,0)),NA()))</f>
        <v/>
      </c>
      <c r="S1125" s="20">
        <f>IF(AND(ISNUMBER(B1125),ISNUMBER(Q1125),ISNUMBER(R1125)),(B1125-Q1125-R1125)*100,NA())</f>
        <v/>
      </c>
      <c r="T1125" s="20">
        <f>IF(AND(ISNUMBER(B1125),Settings!$B$17&gt;0),IF(ISNUMBER(INDEX($B:$B,Settings!$B$17)),(B1125-INDEX($B:$B,Settings!$B$17))*100,NA()),NA())</f>
        <v/>
      </c>
      <c r="U1125" s="20">
        <f>IF(AND(ISNUMBER(Q1125),Settings!$B$17&gt;0),IF(ISNUMBER(INDEX($Q:$Q,Settings!$B$17)),(Q1125-INDEX($Q:$Q,Settings!$B$17))*100,NA()),NA())</f>
        <v/>
      </c>
      <c r="V1125" s="20">
        <f>IF(AND(ISNUMBER(R1125),Settings!$B$17&gt;0),IF(ISNUMBER(INDEX($R:$R,Settings!$B$17)),(R1125-INDEX($R:$R,Settings!$B$17))*100,NA()),NA())</f>
        <v/>
      </c>
      <c r="W1125" s="20">
        <f>IF(AND(ISNUMBER(P1125),Settings!$B$17&gt;0),IF(ISNUMBER(INDEX($P:$P,Settings!$B$17)),P1125-INDEX($P:$P,Settings!$B$17),NA()),NA())</f>
        <v/>
      </c>
      <c r="X1125" s="19">
        <f>IF(NOT(ISNUMBER($A1125)),NA(),IF(OR($A1125&lt;MIN(DKW_10Y!$A$2:$A$2918),$A1125&gt;MAX(DKW_10Y!$A$2:$A$2918),Settings!$B$16&lt;MIN(DKW_10Y!$A$2:$A$2918)),NA(),(INDEX(DKW_10Y!$B$2:$B$2918,MATCH($A1125,DKW_10Y!$A$2:$A$2918,1))-INDEX(DKW_10Y!$B$2:$B$2918,MATCH(Settings!$B$16,DKW_10Y!$A$2:$A$2918,1)))*100))</f>
        <v/>
      </c>
      <c r="Y1125" s="19">
        <f>IF(NOT(ISNUMBER($A1125)),NA(),IF(OR($A1125&lt;MIN(DKW_10Y!$A$2:$A$2918),$A1125&gt;MAX(DKW_10Y!$A$2:$A$2918),Settings!$B$16&lt;MIN(DKW_10Y!$A$2:$A$2918)),NA(),(INDEX(DKW_10Y!$C$2:$C$2918,MATCH($A1125,DKW_10Y!$A$2:$A$2918,1))-INDEX(DKW_10Y!$C$2:$C$2918,MATCH(Settings!$B$16,DKW_10Y!$A$2:$A$2918,1)))*100))</f>
        <v/>
      </c>
      <c r="Z1125" s="19">
        <f>IF(NOT(ISNUMBER($A1125)),NA(),IF(OR($A1125&lt;MIN(DKW_10Y!$A$2:$A$2918),$A1125&gt;MAX(DKW_10Y!$A$2:$A$2918),Settings!$B$16&lt;MIN(DKW_10Y!$A$2:$A$2918)),NA(),(INDEX(DKW_10Y!$D$2:$D$2918,MATCH($A1125,DKW_10Y!$A$2:$A$2918,1))-INDEX(DKW_10Y!$D$2:$D$2918,MATCH(Settings!$B$16,DKW_10Y!$A$2:$A$2918,1)))*100))</f>
        <v/>
      </c>
      <c r="AA1125" s="19">
        <f>IF(NOT(ISNUMBER($A1125)),NA(),IF(OR($A1125&lt;MIN(DKW_10Y!$A$2:$A$2918),$A1125&gt;MAX(DKW_10Y!$A$2:$A$2918),Settings!$B$16&lt;MIN(DKW_10Y!$A$2:$A$2918)),NA(),(INDEX(DKW_10Y!$E$2:$E$2918,MATCH($A1125,DKW_10Y!$A$2:$A$2918,1))-INDEX(DKW_10Y!$E$2:$E$2918,MATCH(Settings!$B$16,DKW_10Y!$A$2:$A$2918,1)))*100))</f>
        <v/>
      </c>
      <c r="AB1125" s="19">
        <f>IF(NOT(ISNUMBER($A1125)),NA(),IF(OR($A1125&lt;MIN(DKW_10Y!$A$2:$A$2918),$A1125&gt;MAX(DKW_10Y!$A$2:$A$2918),Settings!$B$16&lt;MIN(DKW_10Y!$A$2:$A$2918)),NA(),(INDEX(DKW_10Y!$H$2:$H$2918,MATCH($A1125,DKW_10Y!$A$2:$A$2918,1))-INDEX(DKW_10Y!$H$2:$H$2918,MATCH(Settings!$B$16,DKW_10Y!$A$2:$A$2918,1)))*100))</f>
        <v/>
      </c>
      <c r="AC1125" s="18">
        <f>IF(NOT(ISNUMBER($A1125)),NA(),IFERROR(1*INDEX(BBG_Data!$N$2:$N$4000,MATCH($A1125,BBG_Data!$M$2:$M$4000,0)),NA()))</f>
        <v/>
      </c>
      <c r="AD1125" s="18">
        <f>IF(NOT(ISNUMBER($A1125)),NA(),IFERROR(1*INDEX(BBG_Data!$P$2:$P$4000,MATCH($A1125,BBG_Data!$O$2:$O$4000,0)),NA()))</f>
        <v/>
      </c>
      <c r="AE1125" s="18">
        <f>IF(NOT(ISNUMBER($A1125)),NA(),IFERROR(1*INDEX(BBG_Data!$R$2:$R$4000,MATCH($A1125,BBG_Data!$Q$2:$Q$4000,0)),NA()))</f>
        <v/>
      </c>
      <c r="AF1125" s="20">
        <f>IF(AND(ISNUMBER(B1125),ISNUMBER(AC1125)),(B1125-AC1125)*100,NA())</f>
        <v/>
      </c>
      <c r="AG1125" s="20">
        <f>IF(AND(ISNUMBER(AE1125),ISNUMBER(AD1125)),(AE1125-AD1125)*100,NA())</f>
        <v/>
      </c>
      <c r="AH1125" s="19">
        <f>IF(NOT(ISNUMBER($A1125)),NA(),IFERROR(INDEX(BBG_Data!$T$2:$T$4000,MATCH($A1125,BBG_Data!$S$2:$S$4000,0))*Settings!$B$25,NA()))</f>
        <v/>
      </c>
      <c r="AI1125" s="19">
        <f>IF(NOT(ISNUMBER($A1125)),NA(),IFERROR(INDEX(BBG_Data!$V$2:$V$4000,MATCH($A1125,BBG_Data!$U$2:$U$4000,0))*Settings!$B$25,NA()))</f>
        <v/>
      </c>
      <c r="AJ1125" s="19">
        <f>IF(NOT(ISNUMBER($A1125)),NA(),IFERROR(1*INDEX(BBG_Data!$X$2:$X$4000,MATCH($A1125,BBG_Data!$W$2:$W$4000,0)),NA()))</f>
        <v/>
      </c>
      <c r="AK1125" s="19">
        <f>IF(NOT(ISNUMBER($A1125)),NA(),IFERROR(1*INDEX(BBG_Data!$Z$2:$Z$4000,MATCH($A1125,BBG_Data!$Y$2:$Y$4000,0)),NA()))</f>
        <v/>
      </c>
    </row>
    <row r="1126">
      <c r="A1126" s="17">
        <f>IF(ISNUMBER(BBG_Data!A1126),BBG_Data!A1126,"")</f>
        <v/>
      </c>
      <c r="B1126" s="18">
        <f>IF(AND(ISNUMBER($A1126),ISNUMBER(BBG_Data!B1126)),BBG_Data!B1126,NA())</f>
        <v/>
      </c>
      <c r="C1126" s="18">
        <f>IF(NOT(ISNUMBER($A1126)),NA(),IFERROR(1*INDEX(BBG_Data!$D$2:$D$4000,MATCH($A1126,BBG_Data!$C$2:$C$4000,0)),NA()))</f>
        <v/>
      </c>
      <c r="D1126" s="19">
        <f>IF(NOT(ISNUMBER($A1126)),NA(),IFERROR(1*INDEX(BBG_Data!$F$2:$F$4000,MATCH($A1126,BBG_Data!$E$2:$E$4000,0)),NA()))</f>
        <v/>
      </c>
      <c r="E1126" s="19">
        <f>IF(NOT(ISNUMBER($A1126)),NA(),IFERROR(1*INDEX(BBG_Data!$H$2:$H$4000,MATCH($A1126,BBG_Data!$G$2:$G$4000,0)),NA()))</f>
        <v/>
      </c>
      <c r="F1126" s="20">
        <f>IF(AND(ISNUMBER(B1126),ISNUMBER(B1125)),IF(B1126=B1125,"",(B1126-B1125)*100),"")</f>
        <v/>
      </c>
      <c r="G1126" s="20">
        <f>IF(AND(ISNUMBER(C1126),ISNUMBER(C1125)),IF(C1126=C1125,"",(C1126-C1125)*100),"")</f>
        <v/>
      </c>
      <c r="H1126" s="20">
        <f>IF(OR(NOT(ISNUMBER($A1126)),ROW()-2&lt;Settings!$B$11),NA(),IF(COUNT(OFFSET(F1126,1-Settings!$B$11,0,Settings!$B$11,1))&lt;ROUNDUP(Settings!$B$11*Settings!$B$26,0),NA(),STDEV(OFFSET(F1126,1-Settings!$B$11,0,Settings!$B$11,1))*SQRT(Settings!$B$13)))</f>
        <v/>
      </c>
      <c r="I1126" s="20">
        <f>IF(OR(NOT(ISNUMBER($A1126)),ROW()-2&lt;Settings!$B$12),NA(),IF(COUNT(OFFSET(F1126,1-Settings!$B$12,0,Settings!$B$12,1))&lt;ROUNDUP(Settings!$B$12*Settings!$B$26,0),NA(),STDEV(OFFSET(F1126,1-Settings!$B$12,0,Settings!$B$12,1))*SQRT(Settings!$B$13)))</f>
        <v/>
      </c>
      <c r="J1126" s="20">
        <f>IF(OR(NOT(ISNUMBER($A1126)),ROW()-2&lt;Settings!$B$11),NA(),IF(COUNT(OFFSET(G1126,1-Settings!$B$11,0,Settings!$B$11,1))&lt;ROUNDUP(Settings!$B$11*Settings!$B$26,0),NA(),STDEV(OFFSET(G1126,1-Settings!$B$11,0,Settings!$B$11,1))*SQRT(Settings!$B$13)))</f>
        <v/>
      </c>
      <c r="K1126" s="20">
        <f>IF(OR(NOT(ISNUMBER($A1126)),ROW()-2&lt;Settings!$B$12),NA(),IF(COUNT(OFFSET(G1126,1-Settings!$B$12,0,Settings!$B$12,1))&lt;ROUNDUP(Settings!$B$12*Settings!$B$26,0),NA(),STDEV(OFFSET(G1126,1-Settings!$B$12,0,Settings!$B$12,1))*SQRT(Settings!$B$13)))</f>
        <v/>
      </c>
      <c r="L1126" s="20">
        <f>IF(AND(ISNUMBER(D1126),ISNUMBER(H1126)),D1126-H1126,NA())</f>
        <v/>
      </c>
      <c r="M1126" s="20">
        <f>IF(AND(ISNUMBER(E1126),ISNUMBER(K1126)),E1126-K1126,NA())</f>
        <v/>
      </c>
      <c r="N1126" s="20">
        <f>IF(NOT(ISNUMBER($A1126)),NA(),IF(COUNT(OFFSET(G1126,1,0,Settings!$B$12,1))&lt;ROUNDUP(Settings!$B$12*Settings!$B$26,0),NA(),STDEV(OFFSET(G1126,1,0,Settings!$B$12,1))*SQRT(Settings!$B$13)))</f>
        <v/>
      </c>
      <c r="O1126" s="20">
        <f>IF(AND(ISNUMBER(E1126),ISNUMBER(N1126)),E1126-N1126,NA())</f>
        <v/>
      </c>
      <c r="P1126" s="19">
        <f>IF(NOT(ISNUMBER($A1126)),NA(),IF(OR($A1126&lt;MIN(KW_TP!$A$2:$A$2501),$A1126&gt;MAX(KW_TP!$A$2:$A$2501)),NA(),INDEX(KW_TP!$C$2:$C$2501,MATCH($A1126,KW_TP!$A$2:$A$2501,1))))</f>
        <v/>
      </c>
      <c r="Q1126" s="18">
        <f>IF(NOT(ISNUMBER($A1126)),NA(),IFERROR(1*INDEX(BBG_Data!$J$2:$J$4000,MATCH($A1126,BBG_Data!$I$2:$I$4000,0)),NA()))</f>
        <v/>
      </c>
      <c r="R1126" s="18">
        <f>IF(NOT(ISNUMBER($A1126)),NA(),IFERROR(1*INDEX(BBG_Data!$L$2:$L$4000,MATCH($A1126,BBG_Data!$K$2:$K$4000,0)),NA()))</f>
        <v/>
      </c>
      <c r="S1126" s="20">
        <f>IF(AND(ISNUMBER(B1126),ISNUMBER(Q1126),ISNUMBER(R1126)),(B1126-Q1126-R1126)*100,NA())</f>
        <v/>
      </c>
      <c r="T1126" s="20">
        <f>IF(AND(ISNUMBER(B1126),Settings!$B$17&gt;0),IF(ISNUMBER(INDEX($B:$B,Settings!$B$17)),(B1126-INDEX($B:$B,Settings!$B$17))*100,NA()),NA())</f>
        <v/>
      </c>
      <c r="U1126" s="20">
        <f>IF(AND(ISNUMBER(Q1126),Settings!$B$17&gt;0),IF(ISNUMBER(INDEX($Q:$Q,Settings!$B$17)),(Q1126-INDEX($Q:$Q,Settings!$B$17))*100,NA()),NA())</f>
        <v/>
      </c>
      <c r="V1126" s="20">
        <f>IF(AND(ISNUMBER(R1126),Settings!$B$17&gt;0),IF(ISNUMBER(INDEX($R:$R,Settings!$B$17)),(R1126-INDEX($R:$R,Settings!$B$17))*100,NA()),NA())</f>
        <v/>
      </c>
      <c r="W1126" s="20">
        <f>IF(AND(ISNUMBER(P1126),Settings!$B$17&gt;0),IF(ISNUMBER(INDEX($P:$P,Settings!$B$17)),P1126-INDEX($P:$P,Settings!$B$17),NA()),NA())</f>
        <v/>
      </c>
      <c r="X1126" s="19">
        <f>IF(NOT(ISNUMBER($A1126)),NA(),IF(OR($A1126&lt;MIN(DKW_10Y!$A$2:$A$2918),$A1126&gt;MAX(DKW_10Y!$A$2:$A$2918),Settings!$B$16&lt;MIN(DKW_10Y!$A$2:$A$2918)),NA(),(INDEX(DKW_10Y!$B$2:$B$2918,MATCH($A1126,DKW_10Y!$A$2:$A$2918,1))-INDEX(DKW_10Y!$B$2:$B$2918,MATCH(Settings!$B$16,DKW_10Y!$A$2:$A$2918,1)))*100))</f>
        <v/>
      </c>
      <c r="Y1126" s="19">
        <f>IF(NOT(ISNUMBER($A1126)),NA(),IF(OR($A1126&lt;MIN(DKW_10Y!$A$2:$A$2918),$A1126&gt;MAX(DKW_10Y!$A$2:$A$2918),Settings!$B$16&lt;MIN(DKW_10Y!$A$2:$A$2918)),NA(),(INDEX(DKW_10Y!$C$2:$C$2918,MATCH($A1126,DKW_10Y!$A$2:$A$2918,1))-INDEX(DKW_10Y!$C$2:$C$2918,MATCH(Settings!$B$16,DKW_10Y!$A$2:$A$2918,1)))*100))</f>
        <v/>
      </c>
      <c r="Z1126" s="19">
        <f>IF(NOT(ISNUMBER($A1126)),NA(),IF(OR($A1126&lt;MIN(DKW_10Y!$A$2:$A$2918),$A1126&gt;MAX(DKW_10Y!$A$2:$A$2918),Settings!$B$16&lt;MIN(DKW_10Y!$A$2:$A$2918)),NA(),(INDEX(DKW_10Y!$D$2:$D$2918,MATCH($A1126,DKW_10Y!$A$2:$A$2918,1))-INDEX(DKW_10Y!$D$2:$D$2918,MATCH(Settings!$B$16,DKW_10Y!$A$2:$A$2918,1)))*100))</f>
        <v/>
      </c>
      <c r="AA1126" s="19">
        <f>IF(NOT(ISNUMBER($A1126)),NA(),IF(OR($A1126&lt;MIN(DKW_10Y!$A$2:$A$2918),$A1126&gt;MAX(DKW_10Y!$A$2:$A$2918),Settings!$B$16&lt;MIN(DKW_10Y!$A$2:$A$2918)),NA(),(INDEX(DKW_10Y!$E$2:$E$2918,MATCH($A1126,DKW_10Y!$A$2:$A$2918,1))-INDEX(DKW_10Y!$E$2:$E$2918,MATCH(Settings!$B$16,DKW_10Y!$A$2:$A$2918,1)))*100))</f>
        <v/>
      </c>
      <c r="AB1126" s="19">
        <f>IF(NOT(ISNUMBER($A1126)),NA(),IF(OR($A1126&lt;MIN(DKW_10Y!$A$2:$A$2918),$A1126&gt;MAX(DKW_10Y!$A$2:$A$2918),Settings!$B$16&lt;MIN(DKW_10Y!$A$2:$A$2918)),NA(),(INDEX(DKW_10Y!$H$2:$H$2918,MATCH($A1126,DKW_10Y!$A$2:$A$2918,1))-INDEX(DKW_10Y!$H$2:$H$2918,MATCH(Settings!$B$16,DKW_10Y!$A$2:$A$2918,1)))*100))</f>
        <v/>
      </c>
      <c r="AC1126" s="18">
        <f>IF(NOT(ISNUMBER($A1126)),NA(),IFERROR(1*INDEX(BBG_Data!$N$2:$N$4000,MATCH($A1126,BBG_Data!$M$2:$M$4000,0)),NA()))</f>
        <v/>
      </c>
      <c r="AD1126" s="18">
        <f>IF(NOT(ISNUMBER($A1126)),NA(),IFERROR(1*INDEX(BBG_Data!$P$2:$P$4000,MATCH($A1126,BBG_Data!$O$2:$O$4000,0)),NA()))</f>
        <v/>
      </c>
      <c r="AE1126" s="18">
        <f>IF(NOT(ISNUMBER($A1126)),NA(),IFERROR(1*INDEX(BBG_Data!$R$2:$R$4000,MATCH($A1126,BBG_Data!$Q$2:$Q$4000,0)),NA()))</f>
        <v/>
      </c>
      <c r="AF1126" s="20">
        <f>IF(AND(ISNUMBER(B1126),ISNUMBER(AC1126)),(B1126-AC1126)*100,NA())</f>
        <v/>
      </c>
      <c r="AG1126" s="20">
        <f>IF(AND(ISNUMBER(AE1126),ISNUMBER(AD1126)),(AE1126-AD1126)*100,NA())</f>
        <v/>
      </c>
      <c r="AH1126" s="19">
        <f>IF(NOT(ISNUMBER($A1126)),NA(),IFERROR(INDEX(BBG_Data!$T$2:$T$4000,MATCH($A1126,BBG_Data!$S$2:$S$4000,0))*Settings!$B$25,NA()))</f>
        <v/>
      </c>
      <c r="AI1126" s="19">
        <f>IF(NOT(ISNUMBER($A1126)),NA(),IFERROR(INDEX(BBG_Data!$V$2:$V$4000,MATCH($A1126,BBG_Data!$U$2:$U$4000,0))*Settings!$B$25,NA()))</f>
        <v/>
      </c>
      <c r="AJ1126" s="19">
        <f>IF(NOT(ISNUMBER($A1126)),NA(),IFERROR(1*INDEX(BBG_Data!$X$2:$X$4000,MATCH($A1126,BBG_Data!$W$2:$W$4000,0)),NA()))</f>
        <v/>
      </c>
      <c r="AK1126" s="19">
        <f>IF(NOT(ISNUMBER($A1126)),NA(),IFERROR(1*INDEX(BBG_Data!$Z$2:$Z$4000,MATCH($A1126,BBG_Data!$Y$2:$Y$4000,0)),NA()))</f>
        <v/>
      </c>
    </row>
    <row r="1127">
      <c r="A1127" s="17">
        <f>IF(ISNUMBER(BBG_Data!A1127),BBG_Data!A1127,"")</f>
        <v/>
      </c>
      <c r="B1127" s="18">
        <f>IF(AND(ISNUMBER($A1127),ISNUMBER(BBG_Data!B1127)),BBG_Data!B1127,NA())</f>
        <v/>
      </c>
      <c r="C1127" s="18">
        <f>IF(NOT(ISNUMBER($A1127)),NA(),IFERROR(1*INDEX(BBG_Data!$D$2:$D$4000,MATCH($A1127,BBG_Data!$C$2:$C$4000,0)),NA()))</f>
        <v/>
      </c>
      <c r="D1127" s="19">
        <f>IF(NOT(ISNUMBER($A1127)),NA(),IFERROR(1*INDEX(BBG_Data!$F$2:$F$4000,MATCH($A1127,BBG_Data!$E$2:$E$4000,0)),NA()))</f>
        <v/>
      </c>
      <c r="E1127" s="19">
        <f>IF(NOT(ISNUMBER($A1127)),NA(),IFERROR(1*INDEX(BBG_Data!$H$2:$H$4000,MATCH($A1127,BBG_Data!$G$2:$G$4000,0)),NA()))</f>
        <v/>
      </c>
      <c r="F1127" s="20">
        <f>IF(AND(ISNUMBER(B1127),ISNUMBER(B1126)),IF(B1127=B1126,"",(B1127-B1126)*100),"")</f>
        <v/>
      </c>
      <c r="G1127" s="20">
        <f>IF(AND(ISNUMBER(C1127),ISNUMBER(C1126)),IF(C1127=C1126,"",(C1127-C1126)*100),"")</f>
        <v/>
      </c>
      <c r="H1127" s="20">
        <f>IF(OR(NOT(ISNUMBER($A1127)),ROW()-2&lt;Settings!$B$11),NA(),IF(COUNT(OFFSET(F1127,1-Settings!$B$11,0,Settings!$B$11,1))&lt;ROUNDUP(Settings!$B$11*Settings!$B$26,0),NA(),STDEV(OFFSET(F1127,1-Settings!$B$11,0,Settings!$B$11,1))*SQRT(Settings!$B$13)))</f>
        <v/>
      </c>
      <c r="I1127" s="20">
        <f>IF(OR(NOT(ISNUMBER($A1127)),ROW()-2&lt;Settings!$B$12),NA(),IF(COUNT(OFFSET(F1127,1-Settings!$B$12,0,Settings!$B$12,1))&lt;ROUNDUP(Settings!$B$12*Settings!$B$26,0),NA(),STDEV(OFFSET(F1127,1-Settings!$B$12,0,Settings!$B$12,1))*SQRT(Settings!$B$13)))</f>
        <v/>
      </c>
      <c r="J1127" s="20">
        <f>IF(OR(NOT(ISNUMBER($A1127)),ROW()-2&lt;Settings!$B$11),NA(),IF(COUNT(OFFSET(G1127,1-Settings!$B$11,0,Settings!$B$11,1))&lt;ROUNDUP(Settings!$B$11*Settings!$B$26,0),NA(),STDEV(OFFSET(G1127,1-Settings!$B$11,0,Settings!$B$11,1))*SQRT(Settings!$B$13)))</f>
        <v/>
      </c>
      <c r="K1127" s="20">
        <f>IF(OR(NOT(ISNUMBER($A1127)),ROW()-2&lt;Settings!$B$12),NA(),IF(COUNT(OFFSET(G1127,1-Settings!$B$12,0,Settings!$B$12,1))&lt;ROUNDUP(Settings!$B$12*Settings!$B$26,0),NA(),STDEV(OFFSET(G1127,1-Settings!$B$12,0,Settings!$B$12,1))*SQRT(Settings!$B$13)))</f>
        <v/>
      </c>
      <c r="L1127" s="20">
        <f>IF(AND(ISNUMBER(D1127),ISNUMBER(H1127)),D1127-H1127,NA())</f>
        <v/>
      </c>
      <c r="M1127" s="20">
        <f>IF(AND(ISNUMBER(E1127),ISNUMBER(K1127)),E1127-K1127,NA())</f>
        <v/>
      </c>
      <c r="N1127" s="20">
        <f>IF(NOT(ISNUMBER($A1127)),NA(),IF(COUNT(OFFSET(G1127,1,0,Settings!$B$12,1))&lt;ROUNDUP(Settings!$B$12*Settings!$B$26,0),NA(),STDEV(OFFSET(G1127,1,0,Settings!$B$12,1))*SQRT(Settings!$B$13)))</f>
        <v/>
      </c>
      <c r="O1127" s="20">
        <f>IF(AND(ISNUMBER(E1127),ISNUMBER(N1127)),E1127-N1127,NA())</f>
        <v/>
      </c>
      <c r="P1127" s="19">
        <f>IF(NOT(ISNUMBER($A1127)),NA(),IF(OR($A1127&lt;MIN(KW_TP!$A$2:$A$2501),$A1127&gt;MAX(KW_TP!$A$2:$A$2501)),NA(),INDEX(KW_TP!$C$2:$C$2501,MATCH($A1127,KW_TP!$A$2:$A$2501,1))))</f>
        <v/>
      </c>
      <c r="Q1127" s="18">
        <f>IF(NOT(ISNUMBER($A1127)),NA(),IFERROR(1*INDEX(BBG_Data!$J$2:$J$4000,MATCH($A1127,BBG_Data!$I$2:$I$4000,0)),NA()))</f>
        <v/>
      </c>
      <c r="R1127" s="18">
        <f>IF(NOT(ISNUMBER($A1127)),NA(),IFERROR(1*INDEX(BBG_Data!$L$2:$L$4000,MATCH($A1127,BBG_Data!$K$2:$K$4000,0)),NA()))</f>
        <v/>
      </c>
      <c r="S1127" s="20">
        <f>IF(AND(ISNUMBER(B1127),ISNUMBER(Q1127),ISNUMBER(R1127)),(B1127-Q1127-R1127)*100,NA())</f>
        <v/>
      </c>
      <c r="T1127" s="20">
        <f>IF(AND(ISNUMBER(B1127),Settings!$B$17&gt;0),IF(ISNUMBER(INDEX($B:$B,Settings!$B$17)),(B1127-INDEX($B:$B,Settings!$B$17))*100,NA()),NA())</f>
        <v/>
      </c>
      <c r="U1127" s="20">
        <f>IF(AND(ISNUMBER(Q1127),Settings!$B$17&gt;0),IF(ISNUMBER(INDEX($Q:$Q,Settings!$B$17)),(Q1127-INDEX($Q:$Q,Settings!$B$17))*100,NA()),NA())</f>
        <v/>
      </c>
      <c r="V1127" s="20">
        <f>IF(AND(ISNUMBER(R1127),Settings!$B$17&gt;0),IF(ISNUMBER(INDEX($R:$R,Settings!$B$17)),(R1127-INDEX($R:$R,Settings!$B$17))*100,NA()),NA())</f>
        <v/>
      </c>
      <c r="W1127" s="20">
        <f>IF(AND(ISNUMBER(P1127),Settings!$B$17&gt;0),IF(ISNUMBER(INDEX($P:$P,Settings!$B$17)),P1127-INDEX($P:$P,Settings!$B$17),NA()),NA())</f>
        <v/>
      </c>
      <c r="X1127" s="19">
        <f>IF(NOT(ISNUMBER($A1127)),NA(),IF(OR($A1127&lt;MIN(DKW_10Y!$A$2:$A$2918),$A1127&gt;MAX(DKW_10Y!$A$2:$A$2918),Settings!$B$16&lt;MIN(DKW_10Y!$A$2:$A$2918)),NA(),(INDEX(DKW_10Y!$B$2:$B$2918,MATCH($A1127,DKW_10Y!$A$2:$A$2918,1))-INDEX(DKW_10Y!$B$2:$B$2918,MATCH(Settings!$B$16,DKW_10Y!$A$2:$A$2918,1)))*100))</f>
        <v/>
      </c>
      <c r="Y1127" s="19">
        <f>IF(NOT(ISNUMBER($A1127)),NA(),IF(OR($A1127&lt;MIN(DKW_10Y!$A$2:$A$2918),$A1127&gt;MAX(DKW_10Y!$A$2:$A$2918),Settings!$B$16&lt;MIN(DKW_10Y!$A$2:$A$2918)),NA(),(INDEX(DKW_10Y!$C$2:$C$2918,MATCH($A1127,DKW_10Y!$A$2:$A$2918,1))-INDEX(DKW_10Y!$C$2:$C$2918,MATCH(Settings!$B$16,DKW_10Y!$A$2:$A$2918,1)))*100))</f>
        <v/>
      </c>
      <c r="Z1127" s="19">
        <f>IF(NOT(ISNUMBER($A1127)),NA(),IF(OR($A1127&lt;MIN(DKW_10Y!$A$2:$A$2918),$A1127&gt;MAX(DKW_10Y!$A$2:$A$2918),Settings!$B$16&lt;MIN(DKW_10Y!$A$2:$A$2918)),NA(),(INDEX(DKW_10Y!$D$2:$D$2918,MATCH($A1127,DKW_10Y!$A$2:$A$2918,1))-INDEX(DKW_10Y!$D$2:$D$2918,MATCH(Settings!$B$16,DKW_10Y!$A$2:$A$2918,1)))*100))</f>
        <v/>
      </c>
      <c r="AA1127" s="19">
        <f>IF(NOT(ISNUMBER($A1127)),NA(),IF(OR($A1127&lt;MIN(DKW_10Y!$A$2:$A$2918),$A1127&gt;MAX(DKW_10Y!$A$2:$A$2918),Settings!$B$16&lt;MIN(DKW_10Y!$A$2:$A$2918)),NA(),(INDEX(DKW_10Y!$E$2:$E$2918,MATCH($A1127,DKW_10Y!$A$2:$A$2918,1))-INDEX(DKW_10Y!$E$2:$E$2918,MATCH(Settings!$B$16,DKW_10Y!$A$2:$A$2918,1)))*100))</f>
        <v/>
      </c>
      <c r="AB1127" s="19">
        <f>IF(NOT(ISNUMBER($A1127)),NA(),IF(OR($A1127&lt;MIN(DKW_10Y!$A$2:$A$2918),$A1127&gt;MAX(DKW_10Y!$A$2:$A$2918),Settings!$B$16&lt;MIN(DKW_10Y!$A$2:$A$2918)),NA(),(INDEX(DKW_10Y!$H$2:$H$2918,MATCH($A1127,DKW_10Y!$A$2:$A$2918,1))-INDEX(DKW_10Y!$H$2:$H$2918,MATCH(Settings!$B$16,DKW_10Y!$A$2:$A$2918,1)))*100))</f>
        <v/>
      </c>
      <c r="AC1127" s="18">
        <f>IF(NOT(ISNUMBER($A1127)),NA(),IFERROR(1*INDEX(BBG_Data!$N$2:$N$4000,MATCH($A1127,BBG_Data!$M$2:$M$4000,0)),NA()))</f>
        <v/>
      </c>
      <c r="AD1127" s="18">
        <f>IF(NOT(ISNUMBER($A1127)),NA(),IFERROR(1*INDEX(BBG_Data!$P$2:$P$4000,MATCH($A1127,BBG_Data!$O$2:$O$4000,0)),NA()))</f>
        <v/>
      </c>
      <c r="AE1127" s="18">
        <f>IF(NOT(ISNUMBER($A1127)),NA(),IFERROR(1*INDEX(BBG_Data!$R$2:$R$4000,MATCH($A1127,BBG_Data!$Q$2:$Q$4000,0)),NA()))</f>
        <v/>
      </c>
      <c r="AF1127" s="20">
        <f>IF(AND(ISNUMBER(B1127),ISNUMBER(AC1127)),(B1127-AC1127)*100,NA())</f>
        <v/>
      </c>
      <c r="AG1127" s="20">
        <f>IF(AND(ISNUMBER(AE1127),ISNUMBER(AD1127)),(AE1127-AD1127)*100,NA())</f>
        <v/>
      </c>
      <c r="AH1127" s="19">
        <f>IF(NOT(ISNUMBER($A1127)),NA(),IFERROR(INDEX(BBG_Data!$T$2:$T$4000,MATCH($A1127,BBG_Data!$S$2:$S$4000,0))*Settings!$B$25,NA()))</f>
        <v/>
      </c>
      <c r="AI1127" s="19">
        <f>IF(NOT(ISNUMBER($A1127)),NA(),IFERROR(INDEX(BBG_Data!$V$2:$V$4000,MATCH($A1127,BBG_Data!$U$2:$U$4000,0))*Settings!$B$25,NA()))</f>
        <v/>
      </c>
      <c r="AJ1127" s="19">
        <f>IF(NOT(ISNUMBER($A1127)),NA(),IFERROR(1*INDEX(BBG_Data!$X$2:$X$4000,MATCH($A1127,BBG_Data!$W$2:$W$4000,0)),NA()))</f>
        <v/>
      </c>
      <c r="AK1127" s="19">
        <f>IF(NOT(ISNUMBER($A1127)),NA(),IFERROR(1*INDEX(BBG_Data!$Z$2:$Z$4000,MATCH($A1127,BBG_Data!$Y$2:$Y$4000,0)),NA()))</f>
        <v/>
      </c>
    </row>
    <row r="1128">
      <c r="A1128" s="17">
        <f>IF(ISNUMBER(BBG_Data!A1128),BBG_Data!A1128,"")</f>
        <v/>
      </c>
      <c r="B1128" s="18">
        <f>IF(AND(ISNUMBER($A1128),ISNUMBER(BBG_Data!B1128)),BBG_Data!B1128,NA())</f>
        <v/>
      </c>
      <c r="C1128" s="18">
        <f>IF(NOT(ISNUMBER($A1128)),NA(),IFERROR(1*INDEX(BBG_Data!$D$2:$D$4000,MATCH($A1128,BBG_Data!$C$2:$C$4000,0)),NA()))</f>
        <v/>
      </c>
      <c r="D1128" s="19">
        <f>IF(NOT(ISNUMBER($A1128)),NA(),IFERROR(1*INDEX(BBG_Data!$F$2:$F$4000,MATCH($A1128,BBG_Data!$E$2:$E$4000,0)),NA()))</f>
        <v/>
      </c>
      <c r="E1128" s="19">
        <f>IF(NOT(ISNUMBER($A1128)),NA(),IFERROR(1*INDEX(BBG_Data!$H$2:$H$4000,MATCH($A1128,BBG_Data!$G$2:$G$4000,0)),NA()))</f>
        <v/>
      </c>
      <c r="F1128" s="20">
        <f>IF(AND(ISNUMBER(B1128),ISNUMBER(B1127)),IF(B1128=B1127,"",(B1128-B1127)*100),"")</f>
        <v/>
      </c>
      <c r="G1128" s="20">
        <f>IF(AND(ISNUMBER(C1128),ISNUMBER(C1127)),IF(C1128=C1127,"",(C1128-C1127)*100),"")</f>
        <v/>
      </c>
      <c r="H1128" s="20">
        <f>IF(OR(NOT(ISNUMBER($A1128)),ROW()-2&lt;Settings!$B$11),NA(),IF(COUNT(OFFSET(F1128,1-Settings!$B$11,0,Settings!$B$11,1))&lt;ROUNDUP(Settings!$B$11*Settings!$B$26,0),NA(),STDEV(OFFSET(F1128,1-Settings!$B$11,0,Settings!$B$11,1))*SQRT(Settings!$B$13)))</f>
        <v/>
      </c>
      <c r="I1128" s="20">
        <f>IF(OR(NOT(ISNUMBER($A1128)),ROW()-2&lt;Settings!$B$12),NA(),IF(COUNT(OFFSET(F1128,1-Settings!$B$12,0,Settings!$B$12,1))&lt;ROUNDUP(Settings!$B$12*Settings!$B$26,0),NA(),STDEV(OFFSET(F1128,1-Settings!$B$12,0,Settings!$B$12,1))*SQRT(Settings!$B$13)))</f>
        <v/>
      </c>
      <c r="J1128" s="20">
        <f>IF(OR(NOT(ISNUMBER($A1128)),ROW()-2&lt;Settings!$B$11),NA(),IF(COUNT(OFFSET(G1128,1-Settings!$B$11,0,Settings!$B$11,1))&lt;ROUNDUP(Settings!$B$11*Settings!$B$26,0),NA(),STDEV(OFFSET(G1128,1-Settings!$B$11,0,Settings!$B$11,1))*SQRT(Settings!$B$13)))</f>
        <v/>
      </c>
      <c r="K1128" s="20">
        <f>IF(OR(NOT(ISNUMBER($A1128)),ROW()-2&lt;Settings!$B$12),NA(),IF(COUNT(OFFSET(G1128,1-Settings!$B$12,0,Settings!$B$12,1))&lt;ROUNDUP(Settings!$B$12*Settings!$B$26,0),NA(),STDEV(OFFSET(G1128,1-Settings!$B$12,0,Settings!$B$12,1))*SQRT(Settings!$B$13)))</f>
        <v/>
      </c>
      <c r="L1128" s="20">
        <f>IF(AND(ISNUMBER(D1128),ISNUMBER(H1128)),D1128-H1128,NA())</f>
        <v/>
      </c>
      <c r="M1128" s="20">
        <f>IF(AND(ISNUMBER(E1128),ISNUMBER(K1128)),E1128-K1128,NA())</f>
        <v/>
      </c>
      <c r="N1128" s="20">
        <f>IF(NOT(ISNUMBER($A1128)),NA(),IF(COUNT(OFFSET(G1128,1,0,Settings!$B$12,1))&lt;ROUNDUP(Settings!$B$12*Settings!$B$26,0),NA(),STDEV(OFFSET(G1128,1,0,Settings!$B$12,1))*SQRT(Settings!$B$13)))</f>
        <v/>
      </c>
      <c r="O1128" s="20">
        <f>IF(AND(ISNUMBER(E1128),ISNUMBER(N1128)),E1128-N1128,NA())</f>
        <v/>
      </c>
      <c r="P1128" s="19">
        <f>IF(NOT(ISNUMBER($A1128)),NA(),IF(OR($A1128&lt;MIN(KW_TP!$A$2:$A$2501),$A1128&gt;MAX(KW_TP!$A$2:$A$2501)),NA(),INDEX(KW_TP!$C$2:$C$2501,MATCH($A1128,KW_TP!$A$2:$A$2501,1))))</f>
        <v/>
      </c>
      <c r="Q1128" s="18">
        <f>IF(NOT(ISNUMBER($A1128)),NA(),IFERROR(1*INDEX(BBG_Data!$J$2:$J$4000,MATCH($A1128,BBG_Data!$I$2:$I$4000,0)),NA()))</f>
        <v/>
      </c>
      <c r="R1128" s="18">
        <f>IF(NOT(ISNUMBER($A1128)),NA(),IFERROR(1*INDEX(BBG_Data!$L$2:$L$4000,MATCH($A1128,BBG_Data!$K$2:$K$4000,0)),NA()))</f>
        <v/>
      </c>
      <c r="S1128" s="20">
        <f>IF(AND(ISNUMBER(B1128),ISNUMBER(Q1128),ISNUMBER(R1128)),(B1128-Q1128-R1128)*100,NA())</f>
        <v/>
      </c>
      <c r="T1128" s="20">
        <f>IF(AND(ISNUMBER(B1128),Settings!$B$17&gt;0),IF(ISNUMBER(INDEX($B:$B,Settings!$B$17)),(B1128-INDEX($B:$B,Settings!$B$17))*100,NA()),NA())</f>
        <v/>
      </c>
      <c r="U1128" s="20">
        <f>IF(AND(ISNUMBER(Q1128),Settings!$B$17&gt;0),IF(ISNUMBER(INDEX($Q:$Q,Settings!$B$17)),(Q1128-INDEX($Q:$Q,Settings!$B$17))*100,NA()),NA())</f>
        <v/>
      </c>
      <c r="V1128" s="20">
        <f>IF(AND(ISNUMBER(R1128),Settings!$B$17&gt;0),IF(ISNUMBER(INDEX($R:$R,Settings!$B$17)),(R1128-INDEX($R:$R,Settings!$B$17))*100,NA()),NA())</f>
        <v/>
      </c>
      <c r="W1128" s="20">
        <f>IF(AND(ISNUMBER(P1128),Settings!$B$17&gt;0),IF(ISNUMBER(INDEX($P:$P,Settings!$B$17)),P1128-INDEX($P:$P,Settings!$B$17),NA()),NA())</f>
        <v/>
      </c>
      <c r="X1128" s="19">
        <f>IF(NOT(ISNUMBER($A1128)),NA(),IF(OR($A1128&lt;MIN(DKW_10Y!$A$2:$A$2918),$A1128&gt;MAX(DKW_10Y!$A$2:$A$2918),Settings!$B$16&lt;MIN(DKW_10Y!$A$2:$A$2918)),NA(),(INDEX(DKW_10Y!$B$2:$B$2918,MATCH($A1128,DKW_10Y!$A$2:$A$2918,1))-INDEX(DKW_10Y!$B$2:$B$2918,MATCH(Settings!$B$16,DKW_10Y!$A$2:$A$2918,1)))*100))</f>
        <v/>
      </c>
      <c r="Y1128" s="19">
        <f>IF(NOT(ISNUMBER($A1128)),NA(),IF(OR($A1128&lt;MIN(DKW_10Y!$A$2:$A$2918),$A1128&gt;MAX(DKW_10Y!$A$2:$A$2918),Settings!$B$16&lt;MIN(DKW_10Y!$A$2:$A$2918)),NA(),(INDEX(DKW_10Y!$C$2:$C$2918,MATCH($A1128,DKW_10Y!$A$2:$A$2918,1))-INDEX(DKW_10Y!$C$2:$C$2918,MATCH(Settings!$B$16,DKW_10Y!$A$2:$A$2918,1)))*100))</f>
        <v/>
      </c>
      <c r="Z1128" s="19">
        <f>IF(NOT(ISNUMBER($A1128)),NA(),IF(OR($A1128&lt;MIN(DKW_10Y!$A$2:$A$2918),$A1128&gt;MAX(DKW_10Y!$A$2:$A$2918),Settings!$B$16&lt;MIN(DKW_10Y!$A$2:$A$2918)),NA(),(INDEX(DKW_10Y!$D$2:$D$2918,MATCH($A1128,DKW_10Y!$A$2:$A$2918,1))-INDEX(DKW_10Y!$D$2:$D$2918,MATCH(Settings!$B$16,DKW_10Y!$A$2:$A$2918,1)))*100))</f>
        <v/>
      </c>
      <c r="AA1128" s="19">
        <f>IF(NOT(ISNUMBER($A1128)),NA(),IF(OR($A1128&lt;MIN(DKW_10Y!$A$2:$A$2918),$A1128&gt;MAX(DKW_10Y!$A$2:$A$2918),Settings!$B$16&lt;MIN(DKW_10Y!$A$2:$A$2918)),NA(),(INDEX(DKW_10Y!$E$2:$E$2918,MATCH($A1128,DKW_10Y!$A$2:$A$2918,1))-INDEX(DKW_10Y!$E$2:$E$2918,MATCH(Settings!$B$16,DKW_10Y!$A$2:$A$2918,1)))*100))</f>
        <v/>
      </c>
      <c r="AB1128" s="19">
        <f>IF(NOT(ISNUMBER($A1128)),NA(),IF(OR($A1128&lt;MIN(DKW_10Y!$A$2:$A$2918),$A1128&gt;MAX(DKW_10Y!$A$2:$A$2918),Settings!$B$16&lt;MIN(DKW_10Y!$A$2:$A$2918)),NA(),(INDEX(DKW_10Y!$H$2:$H$2918,MATCH($A1128,DKW_10Y!$A$2:$A$2918,1))-INDEX(DKW_10Y!$H$2:$H$2918,MATCH(Settings!$B$16,DKW_10Y!$A$2:$A$2918,1)))*100))</f>
        <v/>
      </c>
      <c r="AC1128" s="18">
        <f>IF(NOT(ISNUMBER($A1128)),NA(),IFERROR(1*INDEX(BBG_Data!$N$2:$N$4000,MATCH($A1128,BBG_Data!$M$2:$M$4000,0)),NA()))</f>
        <v/>
      </c>
      <c r="AD1128" s="18">
        <f>IF(NOT(ISNUMBER($A1128)),NA(),IFERROR(1*INDEX(BBG_Data!$P$2:$P$4000,MATCH($A1128,BBG_Data!$O$2:$O$4000,0)),NA()))</f>
        <v/>
      </c>
      <c r="AE1128" s="18">
        <f>IF(NOT(ISNUMBER($A1128)),NA(),IFERROR(1*INDEX(BBG_Data!$R$2:$R$4000,MATCH($A1128,BBG_Data!$Q$2:$Q$4000,0)),NA()))</f>
        <v/>
      </c>
      <c r="AF1128" s="20">
        <f>IF(AND(ISNUMBER(B1128),ISNUMBER(AC1128)),(B1128-AC1128)*100,NA())</f>
        <v/>
      </c>
      <c r="AG1128" s="20">
        <f>IF(AND(ISNUMBER(AE1128),ISNUMBER(AD1128)),(AE1128-AD1128)*100,NA())</f>
        <v/>
      </c>
      <c r="AH1128" s="19">
        <f>IF(NOT(ISNUMBER($A1128)),NA(),IFERROR(INDEX(BBG_Data!$T$2:$T$4000,MATCH($A1128,BBG_Data!$S$2:$S$4000,0))*Settings!$B$25,NA()))</f>
        <v/>
      </c>
      <c r="AI1128" s="19">
        <f>IF(NOT(ISNUMBER($A1128)),NA(),IFERROR(INDEX(BBG_Data!$V$2:$V$4000,MATCH($A1128,BBG_Data!$U$2:$U$4000,0))*Settings!$B$25,NA()))</f>
        <v/>
      </c>
      <c r="AJ1128" s="19">
        <f>IF(NOT(ISNUMBER($A1128)),NA(),IFERROR(1*INDEX(BBG_Data!$X$2:$X$4000,MATCH($A1128,BBG_Data!$W$2:$W$4000,0)),NA()))</f>
        <v/>
      </c>
      <c r="AK1128" s="19">
        <f>IF(NOT(ISNUMBER($A1128)),NA(),IFERROR(1*INDEX(BBG_Data!$Z$2:$Z$4000,MATCH($A1128,BBG_Data!$Y$2:$Y$4000,0)),NA()))</f>
        <v/>
      </c>
    </row>
    <row r="1129">
      <c r="A1129" s="17">
        <f>IF(ISNUMBER(BBG_Data!A1129),BBG_Data!A1129,"")</f>
        <v/>
      </c>
      <c r="B1129" s="18">
        <f>IF(AND(ISNUMBER($A1129),ISNUMBER(BBG_Data!B1129)),BBG_Data!B1129,NA())</f>
        <v/>
      </c>
      <c r="C1129" s="18">
        <f>IF(NOT(ISNUMBER($A1129)),NA(),IFERROR(1*INDEX(BBG_Data!$D$2:$D$4000,MATCH($A1129,BBG_Data!$C$2:$C$4000,0)),NA()))</f>
        <v/>
      </c>
      <c r="D1129" s="19">
        <f>IF(NOT(ISNUMBER($A1129)),NA(),IFERROR(1*INDEX(BBG_Data!$F$2:$F$4000,MATCH($A1129,BBG_Data!$E$2:$E$4000,0)),NA()))</f>
        <v/>
      </c>
      <c r="E1129" s="19">
        <f>IF(NOT(ISNUMBER($A1129)),NA(),IFERROR(1*INDEX(BBG_Data!$H$2:$H$4000,MATCH($A1129,BBG_Data!$G$2:$G$4000,0)),NA()))</f>
        <v/>
      </c>
      <c r="F1129" s="20">
        <f>IF(AND(ISNUMBER(B1129),ISNUMBER(B1128)),IF(B1129=B1128,"",(B1129-B1128)*100),"")</f>
        <v/>
      </c>
      <c r="G1129" s="20">
        <f>IF(AND(ISNUMBER(C1129),ISNUMBER(C1128)),IF(C1129=C1128,"",(C1129-C1128)*100),"")</f>
        <v/>
      </c>
      <c r="H1129" s="20">
        <f>IF(OR(NOT(ISNUMBER($A1129)),ROW()-2&lt;Settings!$B$11),NA(),IF(COUNT(OFFSET(F1129,1-Settings!$B$11,0,Settings!$B$11,1))&lt;ROUNDUP(Settings!$B$11*Settings!$B$26,0),NA(),STDEV(OFFSET(F1129,1-Settings!$B$11,0,Settings!$B$11,1))*SQRT(Settings!$B$13)))</f>
        <v/>
      </c>
      <c r="I1129" s="20">
        <f>IF(OR(NOT(ISNUMBER($A1129)),ROW()-2&lt;Settings!$B$12),NA(),IF(COUNT(OFFSET(F1129,1-Settings!$B$12,0,Settings!$B$12,1))&lt;ROUNDUP(Settings!$B$12*Settings!$B$26,0),NA(),STDEV(OFFSET(F1129,1-Settings!$B$12,0,Settings!$B$12,1))*SQRT(Settings!$B$13)))</f>
        <v/>
      </c>
      <c r="J1129" s="20">
        <f>IF(OR(NOT(ISNUMBER($A1129)),ROW()-2&lt;Settings!$B$11),NA(),IF(COUNT(OFFSET(G1129,1-Settings!$B$11,0,Settings!$B$11,1))&lt;ROUNDUP(Settings!$B$11*Settings!$B$26,0),NA(),STDEV(OFFSET(G1129,1-Settings!$B$11,0,Settings!$B$11,1))*SQRT(Settings!$B$13)))</f>
        <v/>
      </c>
      <c r="K1129" s="20">
        <f>IF(OR(NOT(ISNUMBER($A1129)),ROW()-2&lt;Settings!$B$12),NA(),IF(COUNT(OFFSET(G1129,1-Settings!$B$12,0,Settings!$B$12,1))&lt;ROUNDUP(Settings!$B$12*Settings!$B$26,0),NA(),STDEV(OFFSET(G1129,1-Settings!$B$12,0,Settings!$B$12,1))*SQRT(Settings!$B$13)))</f>
        <v/>
      </c>
      <c r="L1129" s="20">
        <f>IF(AND(ISNUMBER(D1129),ISNUMBER(H1129)),D1129-H1129,NA())</f>
        <v/>
      </c>
      <c r="M1129" s="20">
        <f>IF(AND(ISNUMBER(E1129),ISNUMBER(K1129)),E1129-K1129,NA())</f>
        <v/>
      </c>
      <c r="N1129" s="20">
        <f>IF(NOT(ISNUMBER($A1129)),NA(),IF(COUNT(OFFSET(G1129,1,0,Settings!$B$12,1))&lt;ROUNDUP(Settings!$B$12*Settings!$B$26,0),NA(),STDEV(OFFSET(G1129,1,0,Settings!$B$12,1))*SQRT(Settings!$B$13)))</f>
        <v/>
      </c>
      <c r="O1129" s="20">
        <f>IF(AND(ISNUMBER(E1129),ISNUMBER(N1129)),E1129-N1129,NA())</f>
        <v/>
      </c>
      <c r="P1129" s="19">
        <f>IF(NOT(ISNUMBER($A1129)),NA(),IF(OR($A1129&lt;MIN(KW_TP!$A$2:$A$2501),$A1129&gt;MAX(KW_TP!$A$2:$A$2501)),NA(),INDEX(KW_TP!$C$2:$C$2501,MATCH($A1129,KW_TP!$A$2:$A$2501,1))))</f>
        <v/>
      </c>
      <c r="Q1129" s="18">
        <f>IF(NOT(ISNUMBER($A1129)),NA(),IFERROR(1*INDEX(BBG_Data!$J$2:$J$4000,MATCH($A1129,BBG_Data!$I$2:$I$4000,0)),NA()))</f>
        <v/>
      </c>
      <c r="R1129" s="18">
        <f>IF(NOT(ISNUMBER($A1129)),NA(),IFERROR(1*INDEX(BBG_Data!$L$2:$L$4000,MATCH($A1129,BBG_Data!$K$2:$K$4000,0)),NA()))</f>
        <v/>
      </c>
      <c r="S1129" s="20">
        <f>IF(AND(ISNUMBER(B1129),ISNUMBER(Q1129),ISNUMBER(R1129)),(B1129-Q1129-R1129)*100,NA())</f>
        <v/>
      </c>
      <c r="T1129" s="20">
        <f>IF(AND(ISNUMBER(B1129),Settings!$B$17&gt;0),IF(ISNUMBER(INDEX($B:$B,Settings!$B$17)),(B1129-INDEX($B:$B,Settings!$B$17))*100,NA()),NA())</f>
        <v/>
      </c>
      <c r="U1129" s="20">
        <f>IF(AND(ISNUMBER(Q1129),Settings!$B$17&gt;0),IF(ISNUMBER(INDEX($Q:$Q,Settings!$B$17)),(Q1129-INDEX($Q:$Q,Settings!$B$17))*100,NA()),NA())</f>
        <v/>
      </c>
      <c r="V1129" s="20">
        <f>IF(AND(ISNUMBER(R1129),Settings!$B$17&gt;0),IF(ISNUMBER(INDEX($R:$R,Settings!$B$17)),(R1129-INDEX($R:$R,Settings!$B$17))*100,NA()),NA())</f>
        <v/>
      </c>
      <c r="W1129" s="20">
        <f>IF(AND(ISNUMBER(P1129),Settings!$B$17&gt;0),IF(ISNUMBER(INDEX($P:$P,Settings!$B$17)),P1129-INDEX($P:$P,Settings!$B$17),NA()),NA())</f>
        <v/>
      </c>
      <c r="X1129" s="19">
        <f>IF(NOT(ISNUMBER($A1129)),NA(),IF(OR($A1129&lt;MIN(DKW_10Y!$A$2:$A$2918),$A1129&gt;MAX(DKW_10Y!$A$2:$A$2918),Settings!$B$16&lt;MIN(DKW_10Y!$A$2:$A$2918)),NA(),(INDEX(DKW_10Y!$B$2:$B$2918,MATCH($A1129,DKW_10Y!$A$2:$A$2918,1))-INDEX(DKW_10Y!$B$2:$B$2918,MATCH(Settings!$B$16,DKW_10Y!$A$2:$A$2918,1)))*100))</f>
        <v/>
      </c>
      <c r="Y1129" s="19">
        <f>IF(NOT(ISNUMBER($A1129)),NA(),IF(OR($A1129&lt;MIN(DKW_10Y!$A$2:$A$2918),$A1129&gt;MAX(DKW_10Y!$A$2:$A$2918),Settings!$B$16&lt;MIN(DKW_10Y!$A$2:$A$2918)),NA(),(INDEX(DKW_10Y!$C$2:$C$2918,MATCH($A1129,DKW_10Y!$A$2:$A$2918,1))-INDEX(DKW_10Y!$C$2:$C$2918,MATCH(Settings!$B$16,DKW_10Y!$A$2:$A$2918,1)))*100))</f>
        <v/>
      </c>
      <c r="Z1129" s="19">
        <f>IF(NOT(ISNUMBER($A1129)),NA(),IF(OR($A1129&lt;MIN(DKW_10Y!$A$2:$A$2918),$A1129&gt;MAX(DKW_10Y!$A$2:$A$2918),Settings!$B$16&lt;MIN(DKW_10Y!$A$2:$A$2918)),NA(),(INDEX(DKW_10Y!$D$2:$D$2918,MATCH($A1129,DKW_10Y!$A$2:$A$2918,1))-INDEX(DKW_10Y!$D$2:$D$2918,MATCH(Settings!$B$16,DKW_10Y!$A$2:$A$2918,1)))*100))</f>
        <v/>
      </c>
      <c r="AA1129" s="19">
        <f>IF(NOT(ISNUMBER($A1129)),NA(),IF(OR($A1129&lt;MIN(DKW_10Y!$A$2:$A$2918),$A1129&gt;MAX(DKW_10Y!$A$2:$A$2918),Settings!$B$16&lt;MIN(DKW_10Y!$A$2:$A$2918)),NA(),(INDEX(DKW_10Y!$E$2:$E$2918,MATCH($A1129,DKW_10Y!$A$2:$A$2918,1))-INDEX(DKW_10Y!$E$2:$E$2918,MATCH(Settings!$B$16,DKW_10Y!$A$2:$A$2918,1)))*100))</f>
        <v/>
      </c>
      <c r="AB1129" s="19">
        <f>IF(NOT(ISNUMBER($A1129)),NA(),IF(OR($A1129&lt;MIN(DKW_10Y!$A$2:$A$2918),$A1129&gt;MAX(DKW_10Y!$A$2:$A$2918),Settings!$B$16&lt;MIN(DKW_10Y!$A$2:$A$2918)),NA(),(INDEX(DKW_10Y!$H$2:$H$2918,MATCH($A1129,DKW_10Y!$A$2:$A$2918,1))-INDEX(DKW_10Y!$H$2:$H$2918,MATCH(Settings!$B$16,DKW_10Y!$A$2:$A$2918,1)))*100))</f>
        <v/>
      </c>
      <c r="AC1129" s="18">
        <f>IF(NOT(ISNUMBER($A1129)),NA(),IFERROR(1*INDEX(BBG_Data!$N$2:$N$4000,MATCH($A1129,BBG_Data!$M$2:$M$4000,0)),NA()))</f>
        <v/>
      </c>
      <c r="AD1129" s="18">
        <f>IF(NOT(ISNUMBER($A1129)),NA(),IFERROR(1*INDEX(BBG_Data!$P$2:$P$4000,MATCH($A1129,BBG_Data!$O$2:$O$4000,0)),NA()))</f>
        <v/>
      </c>
      <c r="AE1129" s="18">
        <f>IF(NOT(ISNUMBER($A1129)),NA(),IFERROR(1*INDEX(BBG_Data!$R$2:$R$4000,MATCH($A1129,BBG_Data!$Q$2:$Q$4000,0)),NA()))</f>
        <v/>
      </c>
      <c r="AF1129" s="20">
        <f>IF(AND(ISNUMBER(B1129),ISNUMBER(AC1129)),(B1129-AC1129)*100,NA())</f>
        <v/>
      </c>
      <c r="AG1129" s="20">
        <f>IF(AND(ISNUMBER(AE1129),ISNUMBER(AD1129)),(AE1129-AD1129)*100,NA())</f>
        <v/>
      </c>
      <c r="AH1129" s="19">
        <f>IF(NOT(ISNUMBER($A1129)),NA(),IFERROR(INDEX(BBG_Data!$T$2:$T$4000,MATCH($A1129,BBG_Data!$S$2:$S$4000,0))*Settings!$B$25,NA()))</f>
        <v/>
      </c>
      <c r="AI1129" s="19">
        <f>IF(NOT(ISNUMBER($A1129)),NA(),IFERROR(INDEX(BBG_Data!$V$2:$V$4000,MATCH($A1129,BBG_Data!$U$2:$U$4000,0))*Settings!$B$25,NA()))</f>
        <v/>
      </c>
      <c r="AJ1129" s="19">
        <f>IF(NOT(ISNUMBER($A1129)),NA(),IFERROR(1*INDEX(BBG_Data!$X$2:$X$4000,MATCH($A1129,BBG_Data!$W$2:$W$4000,0)),NA()))</f>
        <v/>
      </c>
      <c r="AK1129" s="19">
        <f>IF(NOT(ISNUMBER($A1129)),NA(),IFERROR(1*INDEX(BBG_Data!$Z$2:$Z$4000,MATCH($A1129,BBG_Data!$Y$2:$Y$4000,0)),NA()))</f>
        <v/>
      </c>
    </row>
    <row r="1130">
      <c r="A1130" s="17">
        <f>IF(ISNUMBER(BBG_Data!A1130),BBG_Data!A1130,"")</f>
        <v/>
      </c>
      <c r="B1130" s="18">
        <f>IF(AND(ISNUMBER($A1130),ISNUMBER(BBG_Data!B1130)),BBG_Data!B1130,NA())</f>
        <v/>
      </c>
      <c r="C1130" s="18">
        <f>IF(NOT(ISNUMBER($A1130)),NA(),IFERROR(1*INDEX(BBG_Data!$D$2:$D$4000,MATCH($A1130,BBG_Data!$C$2:$C$4000,0)),NA()))</f>
        <v/>
      </c>
      <c r="D1130" s="19">
        <f>IF(NOT(ISNUMBER($A1130)),NA(),IFERROR(1*INDEX(BBG_Data!$F$2:$F$4000,MATCH($A1130,BBG_Data!$E$2:$E$4000,0)),NA()))</f>
        <v/>
      </c>
      <c r="E1130" s="19">
        <f>IF(NOT(ISNUMBER($A1130)),NA(),IFERROR(1*INDEX(BBG_Data!$H$2:$H$4000,MATCH($A1130,BBG_Data!$G$2:$G$4000,0)),NA()))</f>
        <v/>
      </c>
      <c r="F1130" s="20">
        <f>IF(AND(ISNUMBER(B1130),ISNUMBER(B1129)),IF(B1130=B1129,"",(B1130-B1129)*100),"")</f>
        <v/>
      </c>
      <c r="G1130" s="20">
        <f>IF(AND(ISNUMBER(C1130),ISNUMBER(C1129)),IF(C1130=C1129,"",(C1130-C1129)*100),"")</f>
        <v/>
      </c>
      <c r="H1130" s="20">
        <f>IF(OR(NOT(ISNUMBER($A1130)),ROW()-2&lt;Settings!$B$11),NA(),IF(COUNT(OFFSET(F1130,1-Settings!$B$11,0,Settings!$B$11,1))&lt;ROUNDUP(Settings!$B$11*Settings!$B$26,0),NA(),STDEV(OFFSET(F1130,1-Settings!$B$11,0,Settings!$B$11,1))*SQRT(Settings!$B$13)))</f>
        <v/>
      </c>
      <c r="I1130" s="20">
        <f>IF(OR(NOT(ISNUMBER($A1130)),ROW()-2&lt;Settings!$B$12),NA(),IF(COUNT(OFFSET(F1130,1-Settings!$B$12,0,Settings!$B$12,1))&lt;ROUNDUP(Settings!$B$12*Settings!$B$26,0),NA(),STDEV(OFFSET(F1130,1-Settings!$B$12,0,Settings!$B$12,1))*SQRT(Settings!$B$13)))</f>
        <v/>
      </c>
      <c r="J1130" s="20">
        <f>IF(OR(NOT(ISNUMBER($A1130)),ROW()-2&lt;Settings!$B$11),NA(),IF(COUNT(OFFSET(G1130,1-Settings!$B$11,0,Settings!$B$11,1))&lt;ROUNDUP(Settings!$B$11*Settings!$B$26,0),NA(),STDEV(OFFSET(G1130,1-Settings!$B$11,0,Settings!$B$11,1))*SQRT(Settings!$B$13)))</f>
        <v/>
      </c>
      <c r="K1130" s="20">
        <f>IF(OR(NOT(ISNUMBER($A1130)),ROW()-2&lt;Settings!$B$12),NA(),IF(COUNT(OFFSET(G1130,1-Settings!$B$12,0,Settings!$B$12,1))&lt;ROUNDUP(Settings!$B$12*Settings!$B$26,0),NA(),STDEV(OFFSET(G1130,1-Settings!$B$12,0,Settings!$B$12,1))*SQRT(Settings!$B$13)))</f>
        <v/>
      </c>
      <c r="L1130" s="20">
        <f>IF(AND(ISNUMBER(D1130),ISNUMBER(H1130)),D1130-H1130,NA())</f>
        <v/>
      </c>
      <c r="M1130" s="20">
        <f>IF(AND(ISNUMBER(E1130),ISNUMBER(K1130)),E1130-K1130,NA())</f>
        <v/>
      </c>
      <c r="N1130" s="20">
        <f>IF(NOT(ISNUMBER($A1130)),NA(),IF(COUNT(OFFSET(G1130,1,0,Settings!$B$12,1))&lt;ROUNDUP(Settings!$B$12*Settings!$B$26,0),NA(),STDEV(OFFSET(G1130,1,0,Settings!$B$12,1))*SQRT(Settings!$B$13)))</f>
        <v/>
      </c>
      <c r="O1130" s="20">
        <f>IF(AND(ISNUMBER(E1130),ISNUMBER(N1130)),E1130-N1130,NA())</f>
        <v/>
      </c>
      <c r="P1130" s="19">
        <f>IF(NOT(ISNUMBER($A1130)),NA(),IF(OR($A1130&lt;MIN(KW_TP!$A$2:$A$2501),$A1130&gt;MAX(KW_TP!$A$2:$A$2501)),NA(),INDEX(KW_TP!$C$2:$C$2501,MATCH($A1130,KW_TP!$A$2:$A$2501,1))))</f>
        <v/>
      </c>
      <c r="Q1130" s="18">
        <f>IF(NOT(ISNUMBER($A1130)),NA(),IFERROR(1*INDEX(BBG_Data!$J$2:$J$4000,MATCH($A1130,BBG_Data!$I$2:$I$4000,0)),NA()))</f>
        <v/>
      </c>
      <c r="R1130" s="18">
        <f>IF(NOT(ISNUMBER($A1130)),NA(),IFERROR(1*INDEX(BBG_Data!$L$2:$L$4000,MATCH($A1130,BBG_Data!$K$2:$K$4000,0)),NA()))</f>
        <v/>
      </c>
      <c r="S1130" s="20">
        <f>IF(AND(ISNUMBER(B1130),ISNUMBER(Q1130),ISNUMBER(R1130)),(B1130-Q1130-R1130)*100,NA())</f>
        <v/>
      </c>
      <c r="T1130" s="20">
        <f>IF(AND(ISNUMBER(B1130),Settings!$B$17&gt;0),IF(ISNUMBER(INDEX($B:$B,Settings!$B$17)),(B1130-INDEX($B:$B,Settings!$B$17))*100,NA()),NA())</f>
        <v/>
      </c>
      <c r="U1130" s="20">
        <f>IF(AND(ISNUMBER(Q1130),Settings!$B$17&gt;0),IF(ISNUMBER(INDEX($Q:$Q,Settings!$B$17)),(Q1130-INDEX($Q:$Q,Settings!$B$17))*100,NA()),NA())</f>
        <v/>
      </c>
      <c r="V1130" s="20">
        <f>IF(AND(ISNUMBER(R1130),Settings!$B$17&gt;0),IF(ISNUMBER(INDEX($R:$R,Settings!$B$17)),(R1130-INDEX($R:$R,Settings!$B$17))*100,NA()),NA())</f>
        <v/>
      </c>
      <c r="W1130" s="20">
        <f>IF(AND(ISNUMBER(P1130),Settings!$B$17&gt;0),IF(ISNUMBER(INDEX($P:$P,Settings!$B$17)),P1130-INDEX($P:$P,Settings!$B$17),NA()),NA())</f>
        <v/>
      </c>
      <c r="X1130" s="19">
        <f>IF(NOT(ISNUMBER($A1130)),NA(),IF(OR($A1130&lt;MIN(DKW_10Y!$A$2:$A$2918),$A1130&gt;MAX(DKW_10Y!$A$2:$A$2918),Settings!$B$16&lt;MIN(DKW_10Y!$A$2:$A$2918)),NA(),(INDEX(DKW_10Y!$B$2:$B$2918,MATCH($A1130,DKW_10Y!$A$2:$A$2918,1))-INDEX(DKW_10Y!$B$2:$B$2918,MATCH(Settings!$B$16,DKW_10Y!$A$2:$A$2918,1)))*100))</f>
        <v/>
      </c>
      <c r="Y1130" s="19">
        <f>IF(NOT(ISNUMBER($A1130)),NA(),IF(OR($A1130&lt;MIN(DKW_10Y!$A$2:$A$2918),$A1130&gt;MAX(DKW_10Y!$A$2:$A$2918),Settings!$B$16&lt;MIN(DKW_10Y!$A$2:$A$2918)),NA(),(INDEX(DKW_10Y!$C$2:$C$2918,MATCH($A1130,DKW_10Y!$A$2:$A$2918,1))-INDEX(DKW_10Y!$C$2:$C$2918,MATCH(Settings!$B$16,DKW_10Y!$A$2:$A$2918,1)))*100))</f>
        <v/>
      </c>
      <c r="Z1130" s="19">
        <f>IF(NOT(ISNUMBER($A1130)),NA(),IF(OR($A1130&lt;MIN(DKW_10Y!$A$2:$A$2918),$A1130&gt;MAX(DKW_10Y!$A$2:$A$2918),Settings!$B$16&lt;MIN(DKW_10Y!$A$2:$A$2918)),NA(),(INDEX(DKW_10Y!$D$2:$D$2918,MATCH($A1130,DKW_10Y!$A$2:$A$2918,1))-INDEX(DKW_10Y!$D$2:$D$2918,MATCH(Settings!$B$16,DKW_10Y!$A$2:$A$2918,1)))*100))</f>
        <v/>
      </c>
      <c r="AA1130" s="19">
        <f>IF(NOT(ISNUMBER($A1130)),NA(),IF(OR($A1130&lt;MIN(DKW_10Y!$A$2:$A$2918),$A1130&gt;MAX(DKW_10Y!$A$2:$A$2918),Settings!$B$16&lt;MIN(DKW_10Y!$A$2:$A$2918)),NA(),(INDEX(DKW_10Y!$E$2:$E$2918,MATCH($A1130,DKW_10Y!$A$2:$A$2918,1))-INDEX(DKW_10Y!$E$2:$E$2918,MATCH(Settings!$B$16,DKW_10Y!$A$2:$A$2918,1)))*100))</f>
        <v/>
      </c>
      <c r="AB1130" s="19">
        <f>IF(NOT(ISNUMBER($A1130)),NA(),IF(OR($A1130&lt;MIN(DKW_10Y!$A$2:$A$2918),$A1130&gt;MAX(DKW_10Y!$A$2:$A$2918),Settings!$B$16&lt;MIN(DKW_10Y!$A$2:$A$2918)),NA(),(INDEX(DKW_10Y!$H$2:$H$2918,MATCH($A1130,DKW_10Y!$A$2:$A$2918,1))-INDEX(DKW_10Y!$H$2:$H$2918,MATCH(Settings!$B$16,DKW_10Y!$A$2:$A$2918,1)))*100))</f>
        <v/>
      </c>
      <c r="AC1130" s="18">
        <f>IF(NOT(ISNUMBER($A1130)),NA(),IFERROR(1*INDEX(BBG_Data!$N$2:$N$4000,MATCH($A1130,BBG_Data!$M$2:$M$4000,0)),NA()))</f>
        <v/>
      </c>
      <c r="AD1130" s="18">
        <f>IF(NOT(ISNUMBER($A1130)),NA(),IFERROR(1*INDEX(BBG_Data!$P$2:$P$4000,MATCH($A1130,BBG_Data!$O$2:$O$4000,0)),NA()))</f>
        <v/>
      </c>
      <c r="AE1130" s="18">
        <f>IF(NOT(ISNUMBER($A1130)),NA(),IFERROR(1*INDEX(BBG_Data!$R$2:$R$4000,MATCH($A1130,BBG_Data!$Q$2:$Q$4000,0)),NA()))</f>
        <v/>
      </c>
      <c r="AF1130" s="20">
        <f>IF(AND(ISNUMBER(B1130),ISNUMBER(AC1130)),(B1130-AC1130)*100,NA())</f>
        <v/>
      </c>
      <c r="AG1130" s="20">
        <f>IF(AND(ISNUMBER(AE1130),ISNUMBER(AD1130)),(AE1130-AD1130)*100,NA())</f>
        <v/>
      </c>
      <c r="AH1130" s="19">
        <f>IF(NOT(ISNUMBER($A1130)),NA(),IFERROR(INDEX(BBG_Data!$T$2:$T$4000,MATCH($A1130,BBG_Data!$S$2:$S$4000,0))*Settings!$B$25,NA()))</f>
        <v/>
      </c>
      <c r="AI1130" s="19">
        <f>IF(NOT(ISNUMBER($A1130)),NA(),IFERROR(INDEX(BBG_Data!$V$2:$V$4000,MATCH($A1130,BBG_Data!$U$2:$U$4000,0))*Settings!$B$25,NA()))</f>
        <v/>
      </c>
      <c r="AJ1130" s="19">
        <f>IF(NOT(ISNUMBER($A1130)),NA(),IFERROR(1*INDEX(BBG_Data!$X$2:$X$4000,MATCH($A1130,BBG_Data!$W$2:$W$4000,0)),NA()))</f>
        <v/>
      </c>
      <c r="AK1130" s="19">
        <f>IF(NOT(ISNUMBER($A1130)),NA(),IFERROR(1*INDEX(BBG_Data!$Z$2:$Z$4000,MATCH($A1130,BBG_Data!$Y$2:$Y$4000,0)),NA()))</f>
        <v/>
      </c>
    </row>
    <row r="1131">
      <c r="A1131" s="17">
        <f>IF(ISNUMBER(BBG_Data!A1131),BBG_Data!A1131,"")</f>
        <v/>
      </c>
      <c r="B1131" s="18">
        <f>IF(AND(ISNUMBER($A1131),ISNUMBER(BBG_Data!B1131)),BBG_Data!B1131,NA())</f>
        <v/>
      </c>
      <c r="C1131" s="18">
        <f>IF(NOT(ISNUMBER($A1131)),NA(),IFERROR(1*INDEX(BBG_Data!$D$2:$D$4000,MATCH($A1131,BBG_Data!$C$2:$C$4000,0)),NA()))</f>
        <v/>
      </c>
      <c r="D1131" s="19">
        <f>IF(NOT(ISNUMBER($A1131)),NA(),IFERROR(1*INDEX(BBG_Data!$F$2:$F$4000,MATCH($A1131,BBG_Data!$E$2:$E$4000,0)),NA()))</f>
        <v/>
      </c>
      <c r="E1131" s="19">
        <f>IF(NOT(ISNUMBER($A1131)),NA(),IFERROR(1*INDEX(BBG_Data!$H$2:$H$4000,MATCH($A1131,BBG_Data!$G$2:$G$4000,0)),NA()))</f>
        <v/>
      </c>
      <c r="F1131" s="20">
        <f>IF(AND(ISNUMBER(B1131),ISNUMBER(B1130)),IF(B1131=B1130,"",(B1131-B1130)*100),"")</f>
        <v/>
      </c>
      <c r="G1131" s="20">
        <f>IF(AND(ISNUMBER(C1131),ISNUMBER(C1130)),IF(C1131=C1130,"",(C1131-C1130)*100),"")</f>
        <v/>
      </c>
      <c r="H1131" s="20">
        <f>IF(OR(NOT(ISNUMBER($A1131)),ROW()-2&lt;Settings!$B$11),NA(),IF(COUNT(OFFSET(F1131,1-Settings!$B$11,0,Settings!$B$11,1))&lt;ROUNDUP(Settings!$B$11*Settings!$B$26,0),NA(),STDEV(OFFSET(F1131,1-Settings!$B$11,0,Settings!$B$11,1))*SQRT(Settings!$B$13)))</f>
        <v/>
      </c>
      <c r="I1131" s="20">
        <f>IF(OR(NOT(ISNUMBER($A1131)),ROW()-2&lt;Settings!$B$12),NA(),IF(COUNT(OFFSET(F1131,1-Settings!$B$12,0,Settings!$B$12,1))&lt;ROUNDUP(Settings!$B$12*Settings!$B$26,0),NA(),STDEV(OFFSET(F1131,1-Settings!$B$12,0,Settings!$B$12,1))*SQRT(Settings!$B$13)))</f>
        <v/>
      </c>
      <c r="J1131" s="20">
        <f>IF(OR(NOT(ISNUMBER($A1131)),ROW()-2&lt;Settings!$B$11),NA(),IF(COUNT(OFFSET(G1131,1-Settings!$B$11,0,Settings!$B$11,1))&lt;ROUNDUP(Settings!$B$11*Settings!$B$26,0),NA(),STDEV(OFFSET(G1131,1-Settings!$B$11,0,Settings!$B$11,1))*SQRT(Settings!$B$13)))</f>
        <v/>
      </c>
      <c r="K1131" s="20">
        <f>IF(OR(NOT(ISNUMBER($A1131)),ROW()-2&lt;Settings!$B$12),NA(),IF(COUNT(OFFSET(G1131,1-Settings!$B$12,0,Settings!$B$12,1))&lt;ROUNDUP(Settings!$B$12*Settings!$B$26,0),NA(),STDEV(OFFSET(G1131,1-Settings!$B$12,0,Settings!$B$12,1))*SQRT(Settings!$B$13)))</f>
        <v/>
      </c>
      <c r="L1131" s="20">
        <f>IF(AND(ISNUMBER(D1131),ISNUMBER(H1131)),D1131-H1131,NA())</f>
        <v/>
      </c>
      <c r="M1131" s="20">
        <f>IF(AND(ISNUMBER(E1131),ISNUMBER(K1131)),E1131-K1131,NA())</f>
        <v/>
      </c>
      <c r="N1131" s="20">
        <f>IF(NOT(ISNUMBER($A1131)),NA(),IF(COUNT(OFFSET(G1131,1,0,Settings!$B$12,1))&lt;ROUNDUP(Settings!$B$12*Settings!$B$26,0),NA(),STDEV(OFFSET(G1131,1,0,Settings!$B$12,1))*SQRT(Settings!$B$13)))</f>
        <v/>
      </c>
      <c r="O1131" s="20">
        <f>IF(AND(ISNUMBER(E1131),ISNUMBER(N1131)),E1131-N1131,NA())</f>
        <v/>
      </c>
      <c r="P1131" s="19">
        <f>IF(NOT(ISNUMBER($A1131)),NA(),IF(OR($A1131&lt;MIN(KW_TP!$A$2:$A$2501),$A1131&gt;MAX(KW_TP!$A$2:$A$2501)),NA(),INDEX(KW_TP!$C$2:$C$2501,MATCH($A1131,KW_TP!$A$2:$A$2501,1))))</f>
        <v/>
      </c>
      <c r="Q1131" s="18">
        <f>IF(NOT(ISNUMBER($A1131)),NA(),IFERROR(1*INDEX(BBG_Data!$J$2:$J$4000,MATCH($A1131,BBG_Data!$I$2:$I$4000,0)),NA()))</f>
        <v/>
      </c>
      <c r="R1131" s="18">
        <f>IF(NOT(ISNUMBER($A1131)),NA(),IFERROR(1*INDEX(BBG_Data!$L$2:$L$4000,MATCH($A1131,BBG_Data!$K$2:$K$4000,0)),NA()))</f>
        <v/>
      </c>
      <c r="S1131" s="20">
        <f>IF(AND(ISNUMBER(B1131),ISNUMBER(Q1131),ISNUMBER(R1131)),(B1131-Q1131-R1131)*100,NA())</f>
        <v/>
      </c>
      <c r="T1131" s="20">
        <f>IF(AND(ISNUMBER(B1131),Settings!$B$17&gt;0),IF(ISNUMBER(INDEX($B:$B,Settings!$B$17)),(B1131-INDEX($B:$B,Settings!$B$17))*100,NA()),NA())</f>
        <v/>
      </c>
      <c r="U1131" s="20">
        <f>IF(AND(ISNUMBER(Q1131),Settings!$B$17&gt;0),IF(ISNUMBER(INDEX($Q:$Q,Settings!$B$17)),(Q1131-INDEX($Q:$Q,Settings!$B$17))*100,NA()),NA())</f>
        <v/>
      </c>
      <c r="V1131" s="20">
        <f>IF(AND(ISNUMBER(R1131),Settings!$B$17&gt;0),IF(ISNUMBER(INDEX($R:$R,Settings!$B$17)),(R1131-INDEX($R:$R,Settings!$B$17))*100,NA()),NA())</f>
        <v/>
      </c>
      <c r="W1131" s="20">
        <f>IF(AND(ISNUMBER(P1131),Settings!$B$17&gt;0),IF(ISNUMBER(INDEX($P:$P,Settings!$B$17)),P1131-INDEX($P:$P,Settings!$B$17),NA()),NA())</f>
        <v/>
      </c>
      <c r="X1131" s="19">
        <f>IF(NOT(ISNUMBER($A1131)),NA(),IF(OR($A1131&lt;MIN(DKW_10Y!$A$2:$A$2918),$A1131&gt;MAX(DKW_10Y!$A$2:$A$2918),Settings!$B$16&lt;MIN(DKW_10Y!$A$2:$A$2918)),NA(),(INDEX(DKW_10Y!$B$2:$B$2918,MATCH($A1131,DKW_10Y!$A$2:$A$2918,1))-INDEX(DKW_10Y!$B$2:$B$2918,MATCH(Settings!$B$16,DKW_10Y!$A$2:$A$2918,1)))*100))</f>
        <v/>
      </c>
      <c r="Y1131" s="19">
        <f>IF(NOT(ISNUMBER($A1131)),NA(),IF(OR($A1131&lt;MIN(DKW_10Y!$A$2:$A$2918),$A1131&gt;MAX(DKW_10Y!$A$2:$A$2918),Settings!$B$16&lt;MIN(DKW_10Y!$A$2:$A$2918)),NA(),(INDEX(DKW_10Y!$C$2:$C$2918,MATCH($A1131,DKW_10Y!$A$2:$A$2918,1))-INDEX(DKW_10Y!$C$2:$C$2918,MATCH(Settings!$B$16,DKW_10Y!$A$2:$A$2918,1)))*100))</f>
        <v/>
      </c>
      <c r="Z1131" s="19">
        <f>IF(NOT(ISNUMBER($A1131)),NA(),IF(OR($A1131&lt;MIN(DKW_10Y!$A$2:$A$2918),$A1131&gt;MAX(DKW_10Y!$A$2:$A$2918),Settings!$B$16&lt;MIN(DKW_10Y!$A$2:$A$2918)),NA(),(INDEX(DKW_10Y!$D$2:$D$2918,MATCH($A1131,DKW_10Y!$A$2:$A$2918,1))-INDEX(DKW_10Y!$D$2:$D$2918,MATCH(Settings!$B$16,DKW_10Y!$A$2:$A$2918,1)))*100))</f>
        <v/>
      </c>
      <c r="AA1131" s="19">
        <f>IF(NOT(ISNUMBER($A1131)),NA(),IF(OR($A1131&lt;MIN(DKW_10Y!$A$2:$A$2918),$A1131&gt;MAX(DKW_10Y!$A$2:$A$2918),Settings!$B$16&lt;MIN(DKW_10Y!$A$2:$A$2918)),NA(),(INDEX(DKW_10Y!$E$2:$E$2918,MATCH($A1131,DKW_10Y!$A$2:$A$2918,1))-INDEX(DKW_10Y!$E$2:$E$2918,MATCH(Settings!$B$16,DKW_10Y!$A$2:$A$2918,1)))*100))</f>
        <v/>
      </c>
      <c r="AB1131" s="19">
        <f>IF(NOT(ISNUMBER($A1131)),NA(),IF(OR($A1131&lt;MIN(DKW_10Y!$A$2:$A$2918),$A1131&gt;MAX(DKW_10Y!$A$2:$A$2918),Settings!$B$16&lt;MIN(DKW_10Y!$A$2:$A$2918)),NA(),(INDEX(DKW_10Y!$H$2:$H$2918,MATCH($A1131,DKW_10Y!$A$2:$A$2918,1))-INDEX(DKW_10Y!$H$2:$H$2918,MATCH(Settings!$B$16,DKW_10Y!$A$2:$A$2918,1)))*100))</f>
        <v/>
      </c>
      <c r="AC1131" s="18">
        <f>IF(NOT(ISNUMBER($A1131)),NA(),IFERROR(1*INDEX(BBG_Data!$N$2:$N$4000,MATCH($A1131,BBG_Data!$M$2:$M$4000,0)),NA()))</f>
        <v/>
      </c>
      <c r="AD1131" s="18">
        <f>IF(NOT(ISNUMBER($A1131)),NA(),IFERROR(1*INDEX(BBG_Data!$P$2:$P$4000,MATCH($A1131,BBG_Data!$O$2:$O$4000,0)),NA()))</f>
        <v/>
      </c>
      <c r="AE1131" s="18">
        <f>IF(NOT(ISNUMBER($A1131)),NA(),IFERROR(1*INDEX(BBG_Data!$R$2:$R$4000,MATCH($A1131,BBG_Data!$Q$2:$Q$4000,0)),NA()))</f>
        <v/>
      </c>
      <c r="AF1131" s="20">
        <f>IF(AND(ISNUMBER(B1131),ISNUMBER(AC1131)),(B1131-AC1131)*100,NA())</f>
        <v/>
      </c>
      <c r="AG1131" s="20">
        <f>IF(AND(ISNUMBER(AE1131),ISNUMBER(AD1131)),(AE1131-AD1131)*100,NA())</f>
        <v/>
      </c>
      <c r="AH1131" s="19">
        <f>IF(NOT(ISNUMBER($A1131)),NA(),IFERROR(INDEX(BBG_Data!$T$2:$T$4000,MATCH($A1131,BBG_Data!$S$2:$S$4000,0))*Settings!$B$25,NA()))</f>
        <v/>
      </c>
      <c r="AI1131" s="19">
        <f>IF(NOT(ISNUMBER($A1131)),NA(),IFERROR(INDEX(BBG_Data!$V$2:$V$4000,MATCH($A1131,BBG_Data!$U$2:$U$4000,0))*Settings!$B$25,NA()))</f>
        <v/>
      </c>
      <c r="AJ1131" s="19">
        <f>IF(NOT(ISNUMBER($A1131)),NA(),IFERROR(1*INDEX(BBG_Data!$X$2:$X$4000,MATCH($A1131,BBG_Data!$W$2:$W$4000,0)),NA()))</f>
        <v/>
      </c>
      <c r="AK1131" s="19">
        <f>IF(NOT(ISNUMBER($A1131)),NA(),IFERROR(1*INDEX(BBG_Data!$Z$2:$Z$4000,MATCH($A1131,BBG_Data!$Y$2:$Y$4000,0)),NA()))</f>
        <v/>
      </c>
    </row>
    <row r="1132">
      <c r="A1132" s="17">
        <f>IF(ISNUMBER(BBG_Data!A1132),BBG_Data!A1132,"")</f>
        <v/>
      </c>
      <c r="B1132" s="18">
        <f>IF(AND(ISNUMBER($A1132),ISNUMBER(BBG_Data!B1132)),BBG_Data!B1132,NA())</f>
        <v/>
      </c>
      <c r="C1132" s="18">
        <f>IF(NOT(ISNUMBER($A1132)),NA(),IFERROR(1*INDEX(BBG_Data!$D$2:$D$4000,MATCH($A1132,BBG_Data!$C$2:$C$4000,0)),NA()))</f>
        <v/>
      </c>
      <c r="D1132" s="19">
        <f>IF(NOT(ISNUMBER($A1132)),NA(),IFERROR(1*INDEX(BBG_Data!$F$2:$F$4000,MATCH($A1132,BBG_Data!$E$2:$E$4000,0)),NA()))</f>
        <v/>
      </c>
      <c r="E1132" s="19">
        <f>IF(NOT(ISNUMBER($A1132)),NA(),IFERROR(1*INDEX(BBG_Data!$H$2:$H$4000,MATCH($A1132,BBG_Data!$G$2:$G$4000,0)),NA()))</f>
        <v/>
      </c>
      <c r="F1132" s="20">
        <f>IF(AND(ISNUMBER(B1132),ISNUMBER(B1131)),IF(B1132=B1131,"",(B1132-B1131)*100),"")</f>
        <v/>
      </c>
      <c r="G1132" s="20">
        <f>IF(AND(ISNUMBER(C1132),ISNUMBER(C1131)),IF(C1132=C1131,"",(C1132-C1131)*100),"")</f>
        <v/>
      </c>
      <c r="H1132" s="20">
        <f>IF(OR(NOT(ISNUMBER($A1132)),ROW()-2&lt;Settings!$B$11),NA(),IF(COUNT(OFFSET(F1132,1-Settings!$B$11,0,Settings!$B$11,1))&lt;ROUNDUP(Settings!$B$11*Settings!$B$26,0),NA(),STDEV(OFFSET(F1132,1-Settings!$B$11,0,Settings!$B$11,1))*SQRT(Settings!$B$13)))</f>
        <v/>
      </c>
      <c r="I1132" s="20">
        <f>IF(OR(NOT(ISNUMBER($A1132)),ROW()-2&lt;Settings!$B$12),NA(),IF(COUNT(OFFSET(F1132,1-Settings!$B$12,0,Settings!$B$12,1))&lt;ROUNDUP(Settings!$B$12*Settings!$B$26,0),NA(),STDEV(OFFSET(F1132,1-Settings!$B$12,0,Settings!$B$12,1))*SQRT(Settings!$B$13)))</f>
        <v/>
      </c>
      <c r="J1132" s="20">
        <f>IF(OR(NOT(ISNUMBER($A1132)),ROW()-2&lt;Settings!$B$11),NA(),IF(COUNT(OFFSET(G1132,1-Settings!$B$11,0,Settings!$B$11,1))&lt;ROUNDUP(Settings!$B$11*Settings!$B$26,0),NA(),STDEV(OFFSET(G1132,1-Settings!$B$11,0,Settings!$B$11,1))*SQRT(Settings!$B$13)))</f>
        <v/>
      </c>
      <c r="K1132" s="20">
        <f>IF(OR(NOT(ISNUMBER($A1132)),ROW()-2&lt;Settings!$B$12),NA(),IF(COUNT(OFFSET(G1132,1-Settings!$B$12,0,Settings!$B$12,1))&lt;ROUNDUP(Settings!$B$12*Settings!$B$26,0),NA(),STDEV(OFFSET(G1132,1-Settings!$B$12,0,Settings!$B$12,1))*SQRT(Settings!$B$13)))</f>
        <v/>
      </c>
      <c r="L1132" s="20">
        <f>IF(AND(ISNUMBER(D1132),ISNUMBER(H1132)),D1132-H1132,NA())</f>
        <v/>
      </c>
      <c r="M1132" s="20">
        <f>IF(AND(ISNUMBER(E1132),ISNUMBER(K1132)),E1132-K1132,NA())</f>
        <v/>
      </c>
      <c r="N1132" s="20">
        <f>IF(NOT(ISNUMBER($A1132)),NA(),IF(COUNT(OFFSET(G1132,1,0,Settings!$B$12,1))&lt;ROUNDUP(Settings!$B$12*Settings!$B$26,0),NA(),STDEV(OFFSET(G1132,1,0,Settings!$B$12,1))*SQRT(Settings!$B$13)))</f>
        <v/>
      </c>
      <c r="O1132" s="20">
        <f>IF(AND(ISNUMBER(E1132),ISNUMBER(N1132)),E1132-N1132,NA())</f>
        <v/>
      </c>
      <c r="P1132" s="19">
        <f>IF(NOT(ISNUMBER($A1132)),NA(),IF(OR($A1132&lt;MIN(KW_TP!$A$2:$A$2501),$A1132&gt;MAX(KW_TP!$A$2:$A$2501)),NA(),INDEX(KW_TP!$C$2:$C$2501,MATCH($A1132,KW_TP!$A$2:$A$2501,1))))</f>
        <v/>
      </c>
      <c r="Q1132" s="18">
        <f>IF(NOT(ISNUMBER($A1132)),NA(),IFERROR(1*INDEX(BBG_Data!$J$2:$J$4000,MATCH($A1132,BBG_Data!$I$2:$I$4000,0)),NA()))</f>
        <v/>
      </c>
      <c r="R1132" s="18">
        <f>IF(NOT(ISNUMBER($A1132)),NA(),IFERROR(1*INDEX(BBG_Data!$L$2:$L$4000,MATCH($A1132,BBG_Data!$K$2:$K$4000,0)),NA()))</f>
        <v/>
      </c>
      <c r="S1132" s="20">
        <f>IF(AND(ISNUMBER(B1132),ISNUMBER(Q1132),ISNUMBER(R1132)),(B1132-Q1132-R1132)*100,NA())</f>
        <v/>
      </c>
      <c r="T1132" s="20">
        <f>IF(AND(ISNUMBER(B1132),Settings!$B$17&gt;0),IF(ISNUMBER(INDEX($B:$B,Settings!$B$17)),(B1132-INDEX($B:$B,Settings!$B$17))*100,NA()),NA())</f>
        <v/>
      </c>
      <c r="U1132" s="20">
        <f>IF(AND(ISNUMBER(Q1132),Settings!$B$17&gt;0),IF(ISNUMBER(INDEX($Q:$Q,Settings!$B$17)),(Q1132-INDEX($Q:$Q,Settings!$B$17))*100,NA()),NA())</f>
        <v/>
      </c>
      <c r="V1132" s="20">
        <f>IF(AND(ISNUMBER(R1132),Settings!$B$17&gt;0),IF(ISNUMBER(INDEX($R:$R,Settings!$B$17)),(R1132-INDEX($R:$R,Settings!$B$17))*100,NA()),NA())</f>
        <v/>
      </c>
      <c r="W1132" s="20">
        <f>IF(AND(ISNUMBER(P1132),Settings!$B$17&gt;0),IF(ISNUMBER(INDEX($P:$P,Settings!$B$17)),P1132-INDEX($P:$P,Settings!$B$17),NA()),NA())</f>
        <v/>
      </c>
      <c r="X1132" s="19">
        <f>IF(NOT(ISNUMBER($A1132)),NA(),IF(OR($A1132&lt;MIN(DKW_10Y!$A$2:$A$2918),$A1132&gt;MAX(DKW_10Y!$A$2:$A$2918),Settings!$B$16&lt;MIN(DKW_10Y!$A$2:$A$2918)),NA(),(INDEX(DKW_10Y!$B$2:$B$2918,MATCH($A1132,DKW_10Y!$A$2:$A$2918,1))-INDEX(DKW_10Y!$B$2:$B$2918,MATCH(Settings!$B$16,DKW_10Y!$A$2:$A$2918,1)))*100))</f>
        <v/>
      </c>
      <c r="Y1132" s="19">
        <f>IF(NOT(ISNUMBER($A1132)),NA(),IF(OR($A1132&lt;MIN(DKW_10Y!$A$2:$A$2918),$A1132&gt;MAX(DKW_10Y!$A$2:$A$2918),Settings!$B$16&lt;MIN(DKW_10Y!$A$2:$A$2918)),NA(),(INDEX(DKW_10Y!$C$2:$C$2918,MATCH($A1132,DKW_10Y!$A$2:$A$2918,1))-INDEX(DKW_10Y!$C$2:$C$2918,MATCH(Settings!$B$16,DKW_10Y!$A$2:$A$2918,1)))*100))</f>
        <v/>
      </c>
      <c r="Z1132" s="19">
        <f>IF(NOT(ISNUMBER($A1132)),NA(),IF(OR($A1132&lt;MIN(DKW_10Y!$A$2:$A$2918),$A1132&gt;MAX(DKW_10Y!$A$2:$A$2918),Settings!$B$16&lt;MIN(DKW_10Y!$A$2:$A$2918)),NA(),(INDEX(DKW_10Y!$D$2:$D$2918,MATCH($A1132,DKW_10Y!$A$2:$A$2918,1))-INDEX(DKW_10Y!$D$2:$D$2918,MATCH(Settings!$B$16,DKW_10Y!$A$2:$A$2918,1)))*100))</f>
        <v/>
      </c>
      <c r="AA1132" s="19">
        <f>IF(NOT(ISNUMBER($A1132)),NA(),IF(OR($A1132&lt;MIN(DKW_10Y!$A$2:$A$2918),$A1132&gt;MAX(DKW_10Y!$A$2:$A$2918),Settings!$B$16&lt;MIN(DKW_10Y!$A$2:$A$2918)),NA(),(INDEX(DKW_10Y!$E$2:$E$2918,MATCH($A1132,DKW_10Y!$A$2:$A$2918,1))-INDEX(DKW_10Y!$E$2:$E$2918,MATCH(Settings!$B$16,DKW_10Y!$A$2:$A$2918,1)))*100))</f>
        <v/>
      </c>
      <c r="AB1132" s="19">
        <f>IF(NOT(ISNUMBER($A1132)),NA(),IF(OR($A1132&lt;MIN(DKW_10Y!$A$2:$A$2918),$A1132&gt;MAX(DKW_10Y!$A$2:$A$2918),Settings!$B$16&lt;MIN(DKW_10Y!$A$2:$A$2918)),NA(),(INDEX(DKW_10Y!$H$2:$H$2918,MATCH($A1132,DKW_10Y!$A$2:$A$2918,1))-INDEX(DKW_10Y!$H$2:$H$2918,MATCH(Settings!$B$16,DKW_10Y!$A$2:$A$2918,1)))*100))</f>
        <v/>
      </c>
      <c r="AC1132" s="18">
        <f>IF(NOT(ISNUMBER($A1132)),NA(),IFERROR(1*INDEX(BBG_Data!$N$2:$N$4000,MATCH($A1132,BBG_Data!$M$2:$M$4000,0)),NA()))</f>
        <v/>
      </c>
      <c r="AD1132" s="18">
        <f>IF(NOT(ISNUMBER($A1132)),NA(),IFERROR(1*INDEX(BBG_Data!$P$2:$P$4000,MATCH($A1132,BBG_Data!$O$2:$O$4000,0)),NA()))</f>
        <v/>
      </c>
      <c r="AE1132" s="18">
        <f>IF(NOT(ISNUMBER($A1132)),NA(),IFERROR(1*INDEX(BBG_Data!$R$2:$R$4000,MATCH($A1132,BBG_Data!$Q$2:$Q$4000,0)),NA()))</f>
        <v/>
      </c>
      <c r="AF1132" s="20">
        <f>IF(AND(ISNUMBER(B1132),ISNUMBER(AC1132)),(B1132-AC1132)*100,NA())</f>
        <v/>
      </c>
      <c r="AG1132" s="20">
        <f>IF(AND(ISNUMBER(AE1132),ISNUMBER(AD1132)),(AE1132-AD1132)*100,NA())</f>
        <v/>
      </c>
      <c r="AH1132" s="19">
        <f>IF(NOT(ISNUMBER($A1132)),NA(),IFERROR(INDEX(BBG_Data!$T$2:$T$4000,MATCH($A1132,BBG_Data!$S$2:$S$4000,0))*Settings!$B$25,NA()))</f>
        <v/>
      </c>
      <c r="AI1132" s="19">
        <f>IF(NOT(ISNUMBER($A1132)),NA(),IFERROR(INDEX(BBG_Data!$V$2:$V$4000,MATCH($A1132,BBG_Data!$U$2:$U$4000,0))*Settings!$B$25,NA()))</f>
        <v/>
      </c>
      <c r="AJ1132" s="19">
        <f>IF(NOT(ISNUMBER($A1132)),NA(),IFERROR(1*INDEX(BBG_Data!$X$2:$X$4000,MATCH($A1132,BBG_Data!$W$2:$W$4000,0)),NA()))</f>
        <v/>
      </c>
      <c r="AK1132" s="19">
        <f>IF(NOT(ISNUMBER($A1132)),NA(),IFERROR(1*INDEX(BBG_Data!$Z$2:$Z$4000,MATCH($A1132,BBG_Data!$Y$2:$Y$4000,0)),NA()))</f>
        <v/>
      </c>
    </row>
    <row r="1133">
      <c r="A1133" s="17">
        <f>IF(ISNUMBER(BBG_Data!A1133),BBG_Data!A1133,"")</f>
        <v/>
      </c>
      <c r="B1133" s="18">
        <f>IF(AND(ISNUMBER($A1133),ISNUMBER(BBG_Data!B1133)),BBG_Data!B1133,NA())</f>
        <v/>
      </c>
      <c r="C1133" s="18">
        <f>IF(NOT(ISNUMBER($A1133)),NA(),IFERROR(1*INDEX(BBG_Data!$D$2:$D$4000,MATCH($A1133,BBG_Data!$C$2:$C$4000,0)),NA()))</f>
        <v/>
      </c>
      <c r="D1133" s="19">
        <f>IF(NOT(ISNUMBER($A1133)),NA(),IFERROR(1*INDEX(BBG_Data!$F$2:$F$4000,MATCH($A1133,BBG_Data!$E$2:$E$4000,0)),NA()))</f>
        <v/>
      </c>
      <c r="E1133" s="19">
        <f>IF(NOT(ISNUMBER($A1133)),NA(),IFERROR(1*INDEX(BBG_Data!$H$2:$H$4000,MATCH($A1133,BBG_Data!$G$2:$G$4000,0)),NA()))</f>
        <v/>
      </c>
      <c r="F1133" s="20">
        <f>IF(AND(ISNUMBER(B1133),ISNUMBER(B1132)),IF(B1133=B1132,"",(B1133-B1132)*100),"")</f>
        <v/>
      </c>
      <c r="G1133" s="20">
        <f>IF(AND(ISNUMBER(C1133),ISNUMBER(C1132)),IF(C1133=C1132,"",(C1133-C1132)*100),"")</f>
        <v/>
      </c>
      <c r="H1133" s="20">
        <f>IF(OR(NOT(ISNUMBER($A1133)),ROW()-2&lt;Settings!$B$11),NA(),IF(COUNT(OFFSET(F1133,1-Settings!$B$11,0,Settings!$B$11,1))&lt;ROUNDUP(Settings!$B$11*Settings!$B$26,0),NA(),STDEV(OFFSET(F1133,1-Settings!$B$11,0,Settings!$B$11,1))*SQRT(Settings!$B$13)))</f>
        <v/>
      </c>
      <c r="I1133" s="20">
        <f>IF(OR(NOT(ISNUMBER($A1133)),ROW()-2&lt;Settings!$B$12),NA(),IF(COUNT(OFFSET(F1133,1-Settings!$B$12,0,Settings!$B$12,1))&lt;ROUNDUP(Settings!$B$12*Settings!$B$26,0),NA(),STDEV(OFFSET(F1133,1-Settings!$B$12,0,Settings!$B$12,1))*SQRT(Settings!$B$13)))</f>
        <v/>
      </c>
      <c r="J1133" s="20">
        <f>IF(OR(NOT(ISNUMBER($A1133)),ROW()-2&lt;Settings!$B$11),NA(),IF(COUNT(OFFSET(G1133,1-Settings!$B$11,0,Settings!$B$11,1))&lt;ROUNDUP(Settings!$B$11*Settings!$B$26,0),NA(),STDEV(OFFSET(G1133,1-Settings!$B$11,0,Settings!$B$11,1))*SQRT(Settings!$B$13)))</f>
        <v/>
      </c>
      <c r="K1133" s="20">
        <f>IF(OR(NOT(ISNUMBER($A1133)),ROW()-2&lt;Settings!$B$12),NA(),IF(COUNT(OFFSET(G1133,1-Settings!$B$12,0,Settings!$B$12,1))&lt;ROUNDUP(Settings!$B$12*Settings!$B$26,0),NA(),STDEV(OFFSET(G1133,1-Settings!$B$12,0,Settings!$B$12,1))*SQRT(Settings!$B$13)))</f>
        <v/>
      </c>
      <c r="L1133" s="20">
        <f>IF(AND(ISNUMBER(D1133),ISNUMBER(H1133)),D1133-H1133,NA())</f>
        <v/>
      </c>
      <c r="M1133" s="20">
        <f>IF(AND(ISNUMBER(E1133),ISNUMBER(K1133)),E1133-K1133,NA())</f>
        <v/>
      </c>
      <c r="N1133" s="20">
        <f>IF(NOT(ISNUMBER($A1133)),NA(),IF(COUNT(OFFSET(G1133,1,0,Settings!$B$12,1))&lt;ROUNDUP(Settings!$B$12*Settings!$B$26,0),NA(),STDEV(OFFSET(G1133,1,0,Settings!$B$12,1))*SQRT(Settings!$B$13)))</f>
        <v/>
      </c>
      <c r="O1133" s="20">
        <f>IF(AND(ISNUMBER(E1133),ISNUMBER(N1133)),E1133-N1133,NA())</f>
        <v/>
      </c>
      <c r="P1133" s="19">
        <f>IF(NOT(ISNUMBER($A1133)),NA(),IF(OR($A1133&lt;MIN(KW_TP!$A$2:$A$2501),$A1133&gt;MAX(KW_TP!$A$2:$A$2501)),NA(),INDEX(KW_TP!$C$2:$C$2501,MATCH($A1133,KW_TP!$A$2:$A$2501,1))))</f>
        <v/>
      </c>
      <c r="Q1133" s="18">
        <f>IF(NOT(ISNUMBER($A1133)),NA(),IFERROR(1*INDEX(BBG_Data!$J$2:$J$4000,MATCH($A1133,BBG_Data!$I$2:$I$4000,0)),NA()))</f>
        <v/>
      </c>
      <c r="R1133" s="18">
        <f>IF(NOT(ISNUMBER($A1133)),NA(),IFERROR(1*INDEX(BBG_Data!$L$2:$L$4000,MATCH($A1133,BBG_Data!$K$2:$K$4000,0)),NA()))</f>
        <v/>
      </c>
      <c r="S1133" s="20">
        <f>IF(AND(ISNUMBER(B1133),ISNUMBER(Q1133),ISNUMBER(R1133)),(B1133-Q1133-R1133)*100,NA())</f>
        <v/>
      </c>
      <c r="T1133" s="20">
        <f>IF(AND(ISNUMBER(B1133),Settings!$B$17&gt;0),IF(ISNUMBER(INDEX($B:$B,Settings!$B$17)),(B1133-INDEX($B:$B,Settings!$B$17))*100,NA()),NA())</f>
        <v/>
      </c>
      <c r="U1133" s="20">
        <f>IF(AND(ISNUMBER(Q1133),Settings!$B$17&gt;0),IF(ISNUMBER(INDEX($Q:$Q,Settings!$B$17)),(Q1133-INDEX($Q:$Q,Settings!$B$17))*100,NA()),NA())</f>
        <v/>
      </c>
      <c r="V1133" s="20">
        <f>IF(AND(ISNUMBER(R1133),Settings!$B$17&gt;0),IF(ISNUMBER(INDEX($R:$R,Settings!$B$17)),(R1133-INDEX($R:$R,Settings!$B$17))*100,NA()),NA())</f>
        <v/>
      </c>
      <c r="W1133" s="20">
        <f>IF(AND(ISNUMBER(P1133),Settings!$B$17&gt;0),IF(ISNUMBER(INDEX($P:$P,Settings!$B$17)),P1133-INDEX($P:$P,Settings!$B$17),NA()),NA())</f>
        <v/>
      </c>
      <c r="X1133" s="19">
        <f>IF(NOT(ISNUMBER($A1133)),NA(),IF(OR($A1133&lt;MIN(DKW_10Y!$A$2:$A$2918),$A1133&gt;MAX(DKW_10Y!$A$2:$A$2918),Settings!$B$16&lt;MIN(DKW_10Y!$A$2:$A$2918)),NA(),(INDEX(DKW_10Y!$B$2:$B$2918,MATCH($A1133,DKW_10Y!$A$2:$A$2918,1))-INDEX(DKW_10Y!$B$2:$B$2918,MATCH(Settings!$B$16,DKW_10Y!$A$2:$A$2918,1)))*100))</f>
        <v/>
      </c>
      <c r="Y1133" s="19">
        <f>IF(NOT(ISNUMBER($A1133)),NA(),IF(OR($A1133&lt;MIN(DKW_10Y!$A$2:$A$2918),$A1133&gt;MAX(DKW_10Y!$A$2:$A$2918),Settings!$B$16&lt;MIN(DKW_10Y!$A$2:$A$2918)),NA(),(INDEX(DKW_10Y!$C$2:$C$2918,MATCH($A1133,DKW_10Y!$A$2:$A$2918,1))-INDEX(DKW_10Y!$C$2:$C$2918,MATCH(Settings!$B$16,DKW_10Y!$A$2:$A$2918,1)))*100))</f>
        <v/>
      </c>
      <c r="Z1133" s="19">
        <f>IF(NOT(ISNUMBER($A1133)),NA(),IF(OR($A1133&lt;MIN(DKW_10Y!$A$2:$A$2918),$A1133&gt;MAX(DKW_10Y!$A$2:$A$2918),Settings!$B$16&lt;MIN(DKW_10Y!$A$2:$A$2918)),NA(),(INDEX(DKW_10Y!$D$2:$D$2918,MATCH($A1133,DKW_10Y!$A$2:$A$2918,1))-INDEX(DKW_10Y!$D$2:$D$2918,MATCH(Settings!$B$16,DKW_10Y!$A$2:$A$2918,1)))*100))</f>
        <v/>
      </c>
      <c r="AA1133" s="19">
        <f>IF(NOT(ISNUMBER($A1133)),NA(),IF(OR($A1133&lt;MIN(DKW_10Y!$A$2:$A$2918),$A1133&gt;MAX(DKW_10Y!$A$2:$A$2918),Settings!$B$16&lt;MIN(DKW_10Y!$A$2:$A$2918)),NA(),(INDEX(DKW_10Y!$E$2:$E$2918,MATCH($A1133,DKW_10Y!$A$2:$A$2918,1))-INDEX(DKW_10Y!$E$2:$E$2918,MATCH(Settings!$B$16,DKW_10Y!$A$2:$A$2918,1)))*100))</f>
        <v/>
      </c>
      <c r="AB1133" s="19">
        <f>IF(NOT(ISNUMBER($A1133)),NA(),IF(OR($A1133&lt;MIN(DKW_10Y!$A$2:$A$2918),$A1133&gt;MAX(DKW_10Y!$A$2:$A$2918),Settings!$B$16&lt;MIN(DKW_10Y!$A$2:$A$2918)),NA(),(INDEX(DKW_10Y!$H$2:$H$2918,MATCH($A1133,DKW_10Y!$A$2:$A$2918,1))-INDEX(DKW_10Y!$H$2:$H$2918,MATCH(Settings!$B$16,DKW_10Y!$A$2:$A$2918,1)))*100))</f>
        <v/>
      </c>
      <c r="AC1133" s="18">
        <f>IF(NOT(ISNUMBER($A1133)),NA(),IFERROR(1*INDEX(BBG_Data!$N$2:$N$4000,MATCH($A1133,BBG_Data!$M$2:$M$4000,0)),NA()))</f>
        <v/>
      </c>
      <c r="AD1133" s="18">
        <f>IF(NOT(ISNUMBER($A1133)),NA(),IFERROR(1*INDEX(BBG_Data!$P$2:$P$4000,MATCH($A1133,BBG_Data!$O$2:$O$4000,0)),NA()))</f>
        <v/>
      </c>
      <c r="AE1133" s="18">
        <f>IF(NOT(ISNUMBER($A1133)),NA(),IFERROR(1*INDEX(BBG_Data!$R$2:$R$4000,MATCH($A1133,BBG_Data!$Q$2:$Q$4000,0)),NA()))</f>
        <v/>
      </c>
      <c r="AF1133" s="20">
        <f>IF(AND(ISNUMBER(B1133),ISNUMBER(AC1133)),(B1133-AC1133)*100,NA())</f>
        <v/>
      </c>
      <c r="AG1133" s="20">
        <f>IF(AND(ISNUMBER(AE1133),ISNUMBER(AD1133)),(AE1133-AD1133)*100,NA())</f>
        <v/>
      </c>
      <c r="AH1133" s="19">
        <f>IF(NOT(ISNUMBER($A1133)),NA(),IFERROR(INDEX(BBG_Data!$T$2:$T$4000,MATCH($A1133,BBG_Data!$S$2:$S$4000,0))*Settings!$B$25,NA()))</f>
        <v/>
      </c>
      <c r="AI1133" s="19">
        <f>IF(NOT(ISNUMBER($A1133)),NA(),IFERROR(INDEX(BBG_Data!$V$2:$V$4000,MATCH($A1133,BBG_Data!$U$2:$U$4000,0))*Settings!$B$25,NA()))</f>
        <v/>
      </c>
      <c r="AJ1133" s="19">
        <f>IF(NOT(ISNUMBER($A1133)),NA(),IFERROR(1*INDEX(BBG_Data!$X$2:$X$4000,MATCH($A1133,BBG_Data!$W$2:$W$4000,0)),NA()))</f>
        <v/>
      </c>
      <c r="AK1133" s="19">
        <f>IF(NOT(ISNUMBER($A1133)),NA(),IFERROR(1*INDEX(BBG_Data!$Z$2:$Z$4000,MATCH($A1133,BBG_Data!$Y$2:$Y$4000,0)),NA()))</f>
        <v/>
      </c>
    </row>
    <row r="1134">
      <c r="A1134" s="17">
        <f>IF(ISNUMBER(BBG_Data!A1134),BBG_Data!A1134,"")</f>
        <v/>
      </c>
      <c r="B1134" s="18">
        <f>IF(AND(ISNUMBER($A1134),ISNUMBER(BBG_Data!B1134)),BBG_Data!B1134,NA())</f>
        <v/>
      </c>
      <c r="C1134" s="18">
        <f>IF(NOT(ISNUMBER($A1134)),NA(),IFERROR(1*INDEX(BBG_Data!$D$2:$D$4000,MATCH($A1134,BBG_Data!$C$2:$C$4000,0)),NA()))</f>
        <v/>
      </c>
      <c r="D1134" s="19">
        <f>IF(NOT(ISNUMBER($A1134)),NA(),IFERROR(1*INDEX(BBG_Data!$F$2:$F$4000,MATCH($A1134,BBG_Data!$E$2:$E$4000,0)),NA()))</f>
        <v/>
      </c>
      <c r="E1134" s="19">
        <f>IF(NOT(ISNUMBER($A1134)),NA(),IFERROR(1*INDEX(BBG_Data!$H$2:$H$4000,MATCH($A1134,BBG_Data!$G$2:$G$4000,0)),NA()))</f>
        <v/>
      </c>
      <c r="F1134" s="20">
        <f>IF(AND(ISNUMBER(B1134),ISNUMBER(B1133)),IF(B1134=B1133,"",(B1134-B1133)*100),"")</f>
        <v/>
      </c>
      <c r="G1134" s="20">
        <f>IF(AND(ISNUMBER(C1134),ISNUMBER(C1133)),IF(C1134=C1133,"",(C1134-C1133)*100),"")</f>
        <v/>
      </c>
      <c r="H1134" s="20">
        <f>IF(OR(NOT(ISNUMBER($A1134)),ROW()-2&lt;Settings!$B$11),NA(),IF(COUNT(OFFSET(F1134,1-Settings!$B$11,0,Settings!$B$11,1))&lt;ROUNDUP(Settings!$B$11*Settings!$B$26,0),NA(),STDEV(OFFSET(F1134,1-Settings!$B$11,0,Settings!$B$11,1))*SQRT(Settings!$B$13)))</f>
        <v/>
      </c>
      <c r="I1134" s="20">
        <f>IF(OR(NOT(ISNUMBER($A1134)),ROW()-2&lt;Settings!$B$12),NA(),IF(COUNT(OFFSET(F1134,1-Settings!$B$12,0,Settings!$B$12,1))&lt;ROUNDUP(Settings!$B$12*Settings!$B$26,0),NA(),STDEV(OFFSET(F1134,1-Settings!$B$12,0,Settings!$B$12,1))*SQRT(Settings!$B$13)))</f>
        <v/>
      </c>
      <c r="J1134" s="20">
        <f>IF(OR(NOT(ISNUMBER($A1134)),ROW()-2&lt;Settings!$B$11),NA(),IF(COUNT(OFFSET(G1134,1-Settings!$B$11,0,Settings!$B$11,1))&lt;ROUNDUP(Settings!$B$11*Settings!$B$26,0),NA(),STDEV(OFFSET(G1134,1-Settings!$B$11,0,Settings!$B$11,1))*SQRT(Settings!$B$13)))</f>
        <v/>
      </c>
      <c r="K1134" s="20">
        <f>IF(OR(NOT(ISNUMBER($A1134)),ROW()-2&lt;Settings!$B$12),NA(),IF(COUNT(OFFSET(G1134,1-Settings!$B$12,0,Settings!$B$12,1))&lt;ROUNDUP(Settings!$B$12*Settings!$B$26,0),NA(),STDEV(OFFSET(G1134,1-Settings!$B$12,0,Settings!$B$12,1))*SQRT(Settings!$B$13)))</f>
        <v/>
      </c>
      <c r="L1134" s="20">
        <f>IF(AND(ISNUMBER(D1134),ISNUMBER(H1134)),D1134-H1134,NA())</f>
        <v/>
      </c>
      <c r="M1134" s="20">
        <f>IF(AND(ISNUMBER(E1134),ISNUMBER(K1134)),E1134-K1134,NA())</f>
        <v/>
      </c>
      <c r="N1134" s="20">
        <f>IF(NOT(ISNUMBER($A1134)),NA(),IF(COUNT(OFFSET(G1134,1,0,Settings!$B$12,1))&lt;ROUNDUP(Settings!$B$12*Settings!$B$26,0),NA(),STDEV(OFFSET(G1134,1,0,Settings!$B$12,1))*SQRT(Settings!$B$13)))</f>
        <v/>
      </c>
      <c r="O1134" s="20">
        <f>IF(AND(ISNUMBER(E1134),ISNUMBER(N1134)),E1134-N1134,NA())</f>
        <v/>
      </c>
      <c r="P1134" s="19">
        <f>IF(NOT(ISNUMBER($A1134)),NA(),IF(OR($A1134&lt;MIN(KW_TP!$A$2:$A$2501),$A1134&gt;MAX(KW_TP!$A$2:$A$2501)),NA(),INDEX(KW_TP!$C$2:$C$2501,MATCH($A1134,KW_TP!$A$2:$A$2501,1))))</f>
        <v/>
      </c>
      <c r="Q1134" s="18">
        <f>IF(NOT(ISNUMBER($A1134)),NA(),IFERROR(1*INDEX(BBG_Data!$J$2:$J$4000,MATCH($A1134,BBG_Data!$I$2:$I$4000,0)),NA()))</f>
        <v/>
      </c>
      <c r="R1134" s="18">
        <f>IF(NOT(ISNUMBER($A1134)),NA(),IFERROR(1*INDEX(BBG_Data!$L$2:$L$4000,MATCH($A1134,BBG_Data!$K$2:$K$4000,0)),NA()))</f>
        <v/>
      </c>
      <c r="S1134" s="20">
        <f>IF(AND(ISNUMBER(B1134),ISNUMBER(Q1134),ISNUMBER(R1134)),(B1134-Q1134-R1134)*100,NA())</f>
        <v/>
      </c>
      <c r="T1134" s="20">
        <f>IF(AND(ISNUMBER(B1134),Settings!$B$17&gt;0),IF(ISNUMBER(INDEX($B:$B,Settings!$B$17)),(B1134-INDEX($B:$B,Settings!$B$17))*100,NA()),NA())</f>
        <v/>
      </c>
      <c r="U1134" s="20">
        <f>IF(AND(ISNUMBER(Q1134),Settings!$B$17&gt;0),IF(ISNUMBER(INDEX($Q:$Q,Settings!$B$17)),(Q1134-INDEX($Q:$Q,Settings!$B$17))*100,NA()),NA())</f>
        <v/>
      </c>
      <c r="V1134" s="20">
        <f>IF(AND(ISNUMBER(R1134),Settings!$B$17&gt;0),IF(ISNUMBER(INDEX($R:$R,Settings!$B$17)),(R1134-INDEX($R:$R,Settings!$B$17))*100,NA()),NA())</f>
        <v/>
      </c>
      <c r="W1134" s="20">
        <f>IF(AND(ISNUMBER(P1134),Settings!$B$17&gt;0),IF(ISNUMBER(INDEX($P:$P,Settings!$B$17)),P1134-INDEX($P:$P,Settings!$B$17),NA()),NA())</f>
        <v/>
      </c>
      <c r="X1134" s="19">
        <f>IF(NOT(ISNUMBER($A1134)),NA(),IF(OR($A1134&lt;MIN(DKW_10Y!$A$2:$A$2918),$A1134&gt;MAX(DKW_10Y!$A$2:$A$2918),Settings!$B$16&lt;MIN(DKW_10Y!$A$2:$A$2918)),NA(),(INDEX(DKW_10Y!$B$2:$B$2918,MATCH($A1134,DKW_10Y!$A$2:$A$2918,1))-INDEX(DKW_10Y!$B$2:$B$2918,MATCH(Settings!$B$16,DKW_10Y!$A$2:$A$2918,1)))*100))</f>
        <v/>
      </c>
      <c r="Y1134" s="19">
        <f>IF(NOT(ISNUMBER($A1134)),NA(),IF(OR($A1134&lt;MIN(DKW_10Y!$A$2:$A$2918),$A1134&gt;MAX(DKW_10Y!$A$2:$A$2918),Settings!$B$16&lt;MIN(DKW_10Y!$A$2:$A$2918)),NA(),(INDEX(DKW_10Y!$C$2:$C$2918,MATCH($A1134,DKW_10Y!$A$2:$A$2918,1))-INDEX(DKW_10Y!$C$2:$C$2918,MATCH(Settings!$B$16,DKW_10Y!$A$2:$A$2918,1)))*100))</f>
        <v/>
      </c>
      <c r="Z1134" s="19">
        <f>IF(NOT(ISNUMBER($A1134)),NA(),IF(OR($A1134&lt;MIN(DKW_10Y!$A$2:$A$2918),$A1134&gt;MAX(DKW_10Y!$A$2:$A$2918),Settings!$B$16&lt;MIN(DKW_10Y!$A$2:$A$2918)),NA(),(INDEX(DKW_10Y!$D$2:$D$2918,MATCH($A1134,DKW_10Y!$A$2:$A$2918,1))-INDEX(DKW_10Y!$D$2:$D$2918,MATCH(Settings!$B$16,DKW_10Y!$A$2:$A$2918,1)))*100))</f>
        <v/>
      </c>
      <c r="AA1134" s="19">
        <f>IF(NOT(ISNUMBER($A1134)),NA(),IF(OR($A1134&lt;MIN(DKW_10Y!$A$2:$A$2918),$A1134&gt;MAX(DKW_10Y!$A$2:$A$2918),Settings!$B$16&lt;MIN(DKW_10Y!$A$2:$A$2918)),NA(),(INDEX(DKW_10Y!$E$2:$E$2918,MATCH($A1134,DKW_10Y!$A$2:$A$2918,1))-INDEX(DKW_10Y!$E$2:$E$2918,MATCH(Settings!$B$16,DKW_10Y!$A$2:$A$2918,1)))*100))</f>
        <v/>
      </c>
      <c r="AB1134" s="19">
        <f>IF(NOT(ISNUMBER($A1134)),NA(),IF(OR($A1134&lt;MIN(DKW_10Y!$A$2:$A$2918),$A1134&gt;MAX(DKW_10Y!$A$2:$A$2918),Settings!$B$16&lt;MIN(DKW_10Y!$A$2:$A$2918)),NA(),(INDEX(DKW_10Y!$H$2:$H$2918,MATCH($A1134,DKW_10Y!$A$2:$A$2918,1))-INDEX(DKW_10Y!$H$2:$H$2918,MATCH(Settings!$B$16,DKW_10Y!$A$2:$A$2918,1)))*100))</f>
        <v/>
      </c>
      <c r="AC1134" s="18">
        <f>IF(NOT(ISNUMBER($A1134)),NA(),IFERROR(1*INDEX(BBG_Data!$N$2:$N$4000,MATCH($A1134,BBG_Data!$M$2:$M$4000,0)),NA()))</f>
        <v/>
      </c>
      <c r="AD1134" s="18">
        <f>IF(NOT(ISNUMBER($A1134)),NA(),IFERROR(1*INDEX(BBG_Data!$P$2:$P$4000,MATCH($A1134,BBG_Data!$O$2:$O$4000,0)),NA()))</f>
        <v/>
      </c>
      <c r="AE1134" s="18">
        <f>IF(NOT(ISNUMBER($A1134)),NA(),IFERROR(1*INDEX(BBG_Data!$R$2:$R$4000,MATCH($A1134,BBG_Data!$Q$2:$Q$4000,0)),NA()))</f>
        <v/>
      </c>
      <c r="AF1134" s="20">
        <f>IF(AND(ISNUMBER(B1134),ISNUMBER(AC1134)),(B1134-AC1134)*100,NA())</f>
        <v/>
      </c>
      <c r="AG1134" s="20">
        <f>IF(AND(ISNUMBER(AE1134),ISNUMBER(AD1134)),(AE1134-AD1134)*100,NA())</f>
        <v/>
      </c>
      <c r="AH1134" s="19">
        <f>IF(NOT(ISNUMBER($A1134)),NA(),IFERROR(INDEX(BBG_Data!$T$2:$T$4000,MATCH($A1134,BBG_Data!$S$2:$S$4000,0))*Settings!$B$25,NA()))</f>
        <v/>
      </c>
      <c r="AI1134" s="19">
        <f>IF(NOT(ISNUMBER($A1134)),NA(),IFERROR(INDEX(BBG_Data!$V$2:$V$4000,MATCH($A1134,BBG_Data!$U$2:$U$4000,0))*Settings!$B$25,NA()))</f>
        <v/>
      </c>
      <c r="AJ1134" s="19">
        <f>IF(NOT(ISNUMBER($A1134)),NA(),IFERROR(1*INDEX(BBG_Data!$X$2:$X$4000,MATCH($A1134,BBG_Data!$W$2:$W$4000,0)),NA()))</f>
        <v/>
      </c>
      <c r="AK1134" s="19">
        <f>IF(NOT(ISNUMBER($A1134)),NA(),IFERROR(1*INDEX(BBG_Data!$Z$2:$Z$4000,MATCH($A1134,BBG_Data!$Y$2:$Y$4000,0)),NA()))</f>
        <v/>
      </c>
    </row>
    <row r="1135">
      <c r="A1135" s="17">
        <f>IF(ISNUMBER(BBG_Data!A1135),BBG_Data!A1135,"")</f>
        <v/>
      </c>
      <c r="B1135" s="18">
        <f>IF(AND(ISNUMBER($A1135),ISNUMBER(BBG_Data!B1135)),BBG_Data!B1135,NA())</f>
        <v/>
      </c>
      <c r="C1135" s="18">
        <f>IF(NOT(ISNUMBER($A1135)),NA(),IFERROR(1*INDEX(BBG_Data!$D$2:$D$4000,MATCH($A1135,BBG_Data!$C$2:$C$4000,0)),NA()))</f>
        <v/>
      </c>
      <c r="D1135" s="19">
        <f>IF(NOT(ISNUMBER($A1135)),NA(),IFERROR(1*INDEX(BBG_Data!$F$2:$F$4000,MATCH($A1135,BBG_Data!$E$2:$E$4000,0)),NA()))</f>
        <v/>
      </c>
      <c r="E1135" s="19">
        <f>IF(NOT(ISNUMBER($A1135)),NA(),IFERROR(1*INDEX(BBG_Data!$H$2:$H$4000,MATCH($A1135,BBG_Data!$G$2:$G$4000,0)),NA()))</f>
        <v/>
      </c>
      <c r="F1135" s="20">
        <f>IF(AND(ISNUMBER(B1135),ISNUMBER(B1134)),IF(B1135=B1134,"",(B1135-B1134)*100),"")</f>
        <v/>
      </c>
      <c r="G1135" s="20">
        <f>IF(AND(ISNUMBER(C1135),ISNUMBER(C1134)),IF(C1135=C1134,"",(C1135-C1134)*100),"")</f>
        <v/>
      </c>
      <c r="H1135" s="20">
        <f>IF(OR(NOT(ISNUMBER($A1135)),ROW()-2&lt;Settings!$B$11),NA(),IF(COUNT(OFFSET(F1135,1-Settings!$B$11,0,Settings!$B$11,1))&lt;ROUNDUP(Settings!$B$11*Settings!$B$26,0),NA(),STDEV(OFFSET(F1135,1-Settings!$B$11,0,Settings!$B$11,1))*SQRT(Settings!$B$13)))</f>
        <v/>
      </c>
      <c r="I1135" s="20">
        <f>IF(OR(NOT(ISNUMBER($A1135)),ROW()-2&lt;Settings!$B$12),NA(),IF(COUNT(OFFSET(F1135,1-Settings!$B$12,0,Settings!$B$12,1))&lt;ROUNDUP(Settings!$B$12*Settings!$B$26,0),NA(),STDEV(OFFSET(F1135,1-Settings!$B$12,0,Settings!$B$12,1))*SQRT(Settings!$B$13)))</f>
        <v/>
      </c>
      <c r="J1135" s="20">
        <f>IF(OR(NOT(ISNUMBER($A1135)),ROW()-2&lt;Settings!$B$11),NA(),IF(COUNT(OFFSET(G1135,1-Settings!$B$11,0,Settings!$B$11,1))&lt;ROUNDUP(Settings!$B$11*Settings!$B$26,0),NA(),STDEV(OFFSET(G1135,1-Settings!$B$11,0,Settings!$B$11,1))*SQRT(Settings!$B$13)))</f>
        <v/>
      </c>
      <c r="K1135" s="20">
        <f>IF(OR(NOT(ISNUMBER($A1135)),ROW()-2&lt;Settings!$B$12),NA(),IF(COUNT(OFFSET(G1135,1-Settings!$B$12,0,Settings!$B$12,1))&lt;ROUNDUP(Settings!$B$12*Settings!$B$26,0),NA(),STDEV(OFFSET(G1135,1-Settings!$B$12,0,Settings!$B$12,1))*SQRT(Settings!$B$13)))</f>
        <v/>
      </c>
      <c r="L1135" s="20">
        <f>IF(AND(ISNUMBER(D1135),ISNUMBER(H1135)),D1135-H1135,NA())</f>
        <v/>
      </c>
      <c r="M1135" s="20">
        <f>IF(AND(ISNUMBER(E1135),ISNUMBER(K1135)),E1135-K1135,NA())</f>
        <v/>
      </c>
      <c r="N1135" s="20">
        <f>IF(NOT(ISNUMBER($A1135)),NA(),IF(COUNT(OFFSET(G1135,1,0,Settings!$B$12,1))&lt;ROUNDUP(Settings!$B$12*Settings!$B$26,0),NA(),STDEV(OFFSET(G1135,1,0,Settings!$B$12,1))*SQRT(Settings!$B$13)))</f>
        <v/>
      </c>
      <c r="O1135" s="20">
        <f>IF(AND(ISNUMBER(E1135),ISNUMBER(N1135)),E1135-N1135,NA())</f>
        <v/>
      </c>
      <c r="P1135" s="19">
        <f>IF(NOT(ISNUMBER($A1135)),NA(),IF(OR($A1135&lt;MIN(KW_TP!$A$2:$A$2501),$A1135&gt;MAX(KW_TP!$A$2:$A$2501)),NA(),INDEX(KW_TP!$C$2:$C$2501,MATCH($A1135,KW_TP!$A$2:$A$2501,1))))</f>
        <v/>
      </c>
      <c r="Q1135" s="18">
        <f>IF(NOT(ISNUMBER($A1135)),NA(),IFERROR(1*INDEX(BBG_Data!$J$2:$J$4000,MATCH($A1135,BBG_Data!$I$2:$I$4000,0)),NA()))</f>
        <v/>
      </c>
      <c r="R1135" s="18">
        <f>IF(NOT(ISNUMBER($A1135)),NA(),IFERROR(1*INDEX(BBG_Data!$L$2:$L$4000,MATCH($A1135,BBG_Data!$K$2:$K$4000,0)),NA()))</f>
        <v/>
      </c>
      <c r="S1135" s="20">
        <f>IF(AND(ISNUMBER(B1135),ISNUMBER(Q1135),ISNUMBER(R1135)),(B1135-Q1135-R1135)*100,NA())</f>
        <v/>
      </c>
      <c r="T1135" s="20">
        <f>IF(AND(ISNUMBER(B1135),Settings!$B$17&gt;0),IF(ISNUMBER(INDEX($B:$B,Settings!$B$17)),(B1135-INDEX($B:$B,Settings!$B$17))*100,NA()),NA())</f>
        <v/>
      </c>
      <c r="U1135" s="20">
        <f>IF(AND(ISNUMBER(Q1135),Settings!$B$17&gt;0),IF(ISNUMBER(INDEX($Q:$Q,Settings!$B$17)),(Q1135-INDEX($Q:$Q,Settings!$B$17))*100,NA()),NA())</f>
        <v/>
      </c>
      <c r="V1135" s="20">
        <f>IF(AND(ISNUMBER(R1135),Settings!$B$17&gt;0),IF(ISNUMBER(INDEX($R:$R,Settings!$B$17)),(R1135-INDEX($R:$R,Settings!$B$17))*100,NA()),NA())</f>
        <v/>
      </c>
      <c r="W1135" s="20">
        <f>IF(AND(ISNUMBER(P1135),Settings!$B$17&gt;0),IF(ISNUMBER(INDEX($P:$P,Settings!$B$17)),P1135-INDEX($P:$P,Settings!$B$17),NA()),NA())</f>
        <v/>
      </c>
      <c r="X1135" s="19">
        <f>IF(NOT(ISNUMBER($A1135)),NA(),IF(OR($A1135&lt;MIN(DKW_10Y!$A$2:$A$2918),$A1135&gt;MAX(DKW_10Y!$A$2:$A$2918),Settings!$B$16&lt;MIN(DKW_10Y!$A$2:$A$2918)),NA(),(INDEX(DKW_10Y!$B$2:$B$2918,MATCH($A1135,DKW_10Y!$A$2:$A$2918,1))-INDEX(DKW_10Y!$B$2:$B$2918,MATCH(Settings!$B$16,DKW_10Y!$A$2:$A$2918,1)))*100))</f>
        <v/>
      </c>
      <c r="Y1135" s="19">
        <f>IF(NOT(ISNUMBER($A1135)),NA(),IF(OR($A1135&lt;MIN(DKW_10Y!$A$2:$A$2918),$A1135&gt;MAX(DKW_10Y!$A$2:$A$2918),Settings!$B$16&lt;MIN(DKW_10Y!$A$2:$A$2918)),NA(),(INDEX(DKW_10Y!$C$2:$C$2918,MATCH($A1135,DKW_10Y!$A$2:$A$2918,1))-INDEX(DKW_10Y!$C$2:$C$2918,MATCH(Settings!$B$16,DKW_10Y!$A$2:$A$2918,1)))*100))</f>
        <v/>
      </c>
      <c r="Z1135" s="19">
        <f>IF(NOT(ISNUMBER($A1135)),NA(),IF(OR($A1135&lt;MIN(DKW_10Y!$A$2:$A$2918),$A1135&gt;MAX(DKW_10Y!$A$2:$A$2918),Settings!$B$16&lt;MIN(DKW_10Y!$A$2:$A$2918)),NA(),(INDEX(DKW_10Y!$D$2:$D$2918,MATCH($A1135,DKW_10Y!$A$2:$A$2918,1))-INDEX(DKW_10Y!$D$2:$D$2918,MATCH(Settings!$B$16,DKW_10Y!$A$2:$A$2918,1)))*100))</f>
        <v/>
      </c>
      <c r="AA1135" s="19">
        <f>IF(NOT(ISNUMBER($A1135)),NA(),IF(OR($A1135&lt;MIN(DKW_10Y!$A$2:$A$2918),$A1135&gt;MAX(DKW_10Y!$A$2:$A$2918),Settings!$B$16&lt;MIN(DKW_10Y!$A$2:$A$2918)),NA(),(INDEX(DKW_10Y!$E$2:$E$2918,MATCH($A1135,DKW_10Y!$A$2:$A$2918,1))-INDEX(DKW_10Y!$E$2:$E$2918,MATCH(Settings!$B$16,DKW_10Y!$A$2:$A$2918,1)))*100))</f>
        <v/>
      </c>
      <c r="AB1135" s="19">
        <f>IF(NOT(ISNUMBER($A1135)),NA(),IF(OR($A1135&lt;MIN(DKW_10Y!$A$2:$A$2918),$A1135&gt;MAX(DKW_10Y!$A$2:$A$2918),Settings!$B$16&lt;MIN(DKW_10Y!$A$2:$A$2918)),NA(),(INDEX(DKW_10Y!$H$2:$H$2918,MATCH($A1135,DKW_10Y!$A$2:$A$2918,1))-INDEX(DKW_10Y!$H$2:$H$2918,MATCH(Settings!$B$16,DKW_10Y!$A$2:$A$2918,1)))*100))</f>
        <v/>
      </c>
      <c r="AC1135" s="18">
        <f>IF(NOT(ISNUMBER($A1135)),NA(),IFERROR(1*INDEX(BBG_Data!$N$2:$N$4000,MATCH($A1135,BBG_Data!$M$2:$M$4000,0)),NA()))</f>
        <v/>
      </c>
      <c r="AD1135" s="18">
        <f>IF(NOT(ISNUMBER($A1135)),NA(),IFERROR(1*INDEX(BBG_Data!$P$2:$P$4000,MATCH($A1135,BBG_Data!$O$2:$O$4000,0)),NA()))</f>
        <v/>
      </c>
      <c r="AE1135" s="18">
        <f>IF(NOT(ISNUMBER($A1135)),NA(),IFERROR(1*INDEX(BBG_Data!$R$2:$R$4000,MATCH($A1135,BBG_Data!$Q$2:$Q$4000,0)),NA()))</f>
        <v/>
      </c>
      <c r="AF1135" s="20">
        <f>IF(AND(ISNUMBER(B1135),ISNUMBER(AC1135)),(B1135-AC1135)*100,NA())</f>
        <v/>
      </c>
      <c r="AG1135" s="20">
        <f>IF(AND(ISNUMBER(AE1135),ISNUMBER(AD1135)),(AE1135-AD1135)*100,NA())</f>
        <v/>
      </c>
      <c r="AH1135" s="19">
        <f>IF(NOT(ISNUMBER($A1135)),NA(),IFERROR(INDEX(BBG_Data!$T$2:$T$4000,MATCH($A1135,BBG_Data!$S$2:$S$4000,0))*Settings!$B$25,NA()))</f>
        <v/>
      </c>
      <c r="AI1135" s="19">
        <f>IF(NOT(ISNUMBER($A1135)),NA(),IFERROR(INDEX(BBG_Data!$V$2:$V$4000,MATCH($A1135,BBG_Data!$U$2:$U$4000,0))*Settings!$B$25,NA()))</f>
        <v/>
      </c>
      <c r="AJ1135" s="19">
        <f>IF(NOT(ISNUMBER($A1135)),NA(),IFERROR(1*INDEX(BBG_Data!$X$2:$X$4000,MATCH($A1135,BBG_Data!$W$2:$W$4000,0)),NA()))</f>
        <v/>
      </c>
      <c r="AK1135" s="19">
        <f>IF(NOT(ISNUMBER($A1135)),NA(),IFERROR(1*INDEX(BBG_Data!$Z$2:$Z$4000,MATCH($A1135,BBG_Data!$Y$2:$Y$4000,0)),NA()))</f>
        <v/>
      </c>
    </row>
    <row r="1136">
      <c r="A1136" s="17">
        <f>IF(ISNUMBER(BBG_Data!A1136),BBG_Data!A1136,"")</f>
        <v/>
      </c>
      <c r="B1136" s="18">
        <f>IF(AND(ISNUMBER($A1136),ISNUMBER(BBG_Data!B1136)),BBG_Data!B1136,NA())</f>
        <v/>
      </c>
      <c r="C1136" s="18">
        <f>IF(NOT(ISNUMBER($A1136)),NA(),IFERROR(1*INDEX(BBG_Data!$D$2:$D$4000,MATCH($A1136,BBG_Data!$C$2:$C$4000,0)),NA()))</f>
        <v/>
      </c>
      <c r="D1136" s="19">
        <f>IF(NOT(ISNUMBER($A1136)),NA(),IFERROR(1*INDEX(BBG_Data!$F$2:$F$4000,MATCH($A1136,BBG_Data!$E$2:$E$4000,0)),NA()))</f>
        <v/>
      </c>
      <c r="E1136" s="19">
        <f>IF(NOT(ISNUMBER($A1136)),NA(),IFERROR(1*INDEX(BBG_Data!$H$2:$H$4000,MATCH($A1136,BBG_Data!$G$2:$G$4000,0)),NA()))</f>
        <v/>
      </c>
      <c r="F1136" s="20">
        <f>IF(AND(ISNUMBER(B1136),ISNUMBER(B1135)),IF(B1136=B1135,"",(B1136-B1135)*100),"")</f>
        <v/>
      </c>
      <c r="G1136" s="20">
        <f>IF(AND(ISNUMBER(C1136),ISNUMBER(C1135)),IF(C1136=C1135,"",(C1136-C1135)*100),"")</f>
        <v/>
      </c>
      <c r="H1136" s="20">
        <f>IF(OR(NOT(ISNUMBER($A1136)),ROW()-2&lt;Settings!$B$11),NA(),IF(COUNT(OFFSET(F1136,1-Settings!$B$11,0,Settings!$B$11,1))&lt;ROUNDUP(Settings!$B$11*Settings!$B$26,0),NA(),STDEV(OFFSET(F1136,1-Settings!$B$11,0,Settings!$B$11,1))*SQRT(Settings!$B$13)))</f>
        <v/>
      </c>
      <c r="I1136" s="20">
        <f>IF(OR(NOT(ISNUMBER($A1136)),ROW()-2&lt;Settings!$B$12),NA(),IF(COUNT(OFFSET(F1136,1-Settings!$B$12,0,Settings!$B$12,1))&lt;ROUNDUP(Settings!$B$12*Settings!$B$26,0),NA(),STDEV(OFFSET(F1136,1-Settings!$B$12,0,Settings!$B$12,1))*SQRT(Settings!$B$13)))</f>
        <v/>
      </c>
      <c r="J1136" s="20">
        <f>IF(OR(NOT(ISNUMBER($A1136)),ROW()-2&lt;Settings!$B$11),NA(),IF(COUNT(OFFSET(G1136,1-Settings!$B$11,0,Settings!$B$11,1))&lt;ROUNDUP(Settings!$B$11*Settings!$B$26,0),NA(),STDEV(OFFSET(G1136,1-Settings!$B$11,0,Settings!$B$11,1))*SQRT(Settings!$B$13)))</f>
        <v/>
      </c>
      <c r="K1136" s="20">
        <f>IF(OR(NOT(ISNUMBER($A1136)),ROW()-2&lt;Settings!$B$12),NA(),IF(COUNT(OFFSET(G1136,1-Settings!$B$12,0,Settings!$B$12,1))&lt;ROUNDUP(Settings!$B$12*Settings!$B$26,0),NA(),STDEV(OFFSET(G1136,1-Settings!$B$12,0,Settings!$B$12,1))*SQRT(Settings!$B$13)))</f>
        <v/>
      </c>
      <c r="L1136" s="20">
        <f>IF(AND(ISNUMBER(D1136),ISNUMBER(H1136)),D1136-H1136,NA())</f>
        <v/>
      </c>
      <c r="M1136" s="20">
        <f>IF(AND(ISNUMBER(E1136),ISNUMBER(K1136)),E1136-K1136,NA())</f>
        <v/>
      </c>
      <c r="N1136" s="20">
        <f>IF(NOT(ISNUMBER($A1136)),NA(),IF(COUNT(OFFSET(G1136,1,0,Settings!$B$12,1))&lt;ROUNDUP(Settings!$B$12*Settings!$B$26,0),NA(),STDEV(OFFSET(G1136,1,0,Settings!$B$12,1))*SQRT(Settings!$B$13)))</f>
        <v/>
      </c>
      <c r="O1136" s="20">
        <f>IF(AND(ISNUMBER(E1136),ISNUMBER(N1136)),E1136-N1136,NA())</f>
        <v/>
      </c>
      <c r="P1136" s="19">
        <f>IF(NOT(ISNUMBER($A1136)),NA(),IF(OR($A1136&lt;MIN(KW_TP!$A$2:$A$2501),$A1136&gt;MAX(KW_TP!$A$2:$A$2501)),NA(),INDEX(KW_TP!$C$2:$C$2501,MATCH($A1136,KW_TP!$A$2:$A$2501,1))))</f>
        <v/>
      </c>
      <c r="Q1136" s="18">
        <f>IF(NOT(ISNUMBER($A1136)),NA(),IFERROR(1*INDEX(BBG_Data!$J$2:$J$4000,MATCH($A1136,BBG_Data!$I$2:$I$4000,0)),NA()))</f>
        <v/>
      </c>
      <c r="R1136" s="18">
        <f>IF(NOT(ISNUMBER($A1136)),NA(),IFERROR(1*INDEX(BBG_Data!$L$2:$L$4000,MATCH($A1136,BBG_Data!$K$2:$K$4000,0)),NA()))</f>
        <v/>
      </c>
      <c r="S1136" s="20">
        <f>IF(AND(ISNUMBER(B1136),ISNUMBER(Q1136),ISNUMBER(R1136)),(B1136-Q1136-R1136)*100,NA())</f>
        <v/>
      </c>
      <c r="T1136" s="20">
        <f>IF(AND(ISNUMBER(B1136),Settings!$B$17&gt;0),IF(ISNUMBER(INDEX($B:$B,Settings!$B$17)),(B1136-INDEX($B:$B,Settings!$B$17))*100,NA()),NA())</f>
        <v/>
      </c>
      <c r="U1136" s="20">
        <f>IF(AND(ISNUMBER(Q1136),Settings!$B$17&gt;0),IF(ISNUMBER(INDEX($Q:$Q,Settings!$B$17)),(Q1136-INDEX($Q:$Q,Settings!$B$17))*100,NA()),NA())</f>
        <v/>
      </c>
      <c r="V1136" s="20">
        <f>IF(AND(ISNUMBER(R1136),Settings!$B$17&gt;0),IF(ISNUMBER(INDEX($R:$R,Settings!$B$17)),(R1136-INDEX($R:$R,Settings!$B$17))*100,NA()),NA())</f>
        <v/>
      </c>
      <c r="W1136" s="20">
        <f>IF(AND(ISNUMBER(P1136),Settings!$B$17&gt;0),IF(ISNUMBER(INDEX($P:$P,Settings!$B$17)),P1136-INDEX($P:$P,Settings!$B$17),NA()),NA())</f>
        <v/>
      </c>
      <c r="X1136" s="19">
        <f>IF(NOT(ISNUMBER($A1136)),NA(),IF(OR($A1136&lt;MIN(DKW_10Y!$A$2:$A$2918),$A1136&gt;MAX(DKW_10Y!$A$2:$A$2918),Settings!$B$16&lt;MIN(DKW_10Y!$A$2:$A$2918)),NA(),(INDEX(DKW_10Y!$B$2:$B$2918,MATCH($A1136,DKW_10Y!$A$2:$A$2918,1))-INDEX(DKW_10Y!$B$2:$B$2918,MATCH(Settings!$B$16,DKW_10Y!$A$2:$A$2918,1)))*100))</f>
        <v/>
      </c>
      <c r="Y1136" s="19">
        <f>IF(NOT(ISNUMBER($A1136)),NA(),IF(OR($A1136&lt;MIN(DKW_10Y!$A$2:$A$2918),$A1136&gt;MAX(DKW_10Y!$A$2:$A$2918),Settings!$B$16&lt;MIN(DKW_10Y!$A$2:$A$2918)),NA(),(INDEX(DKW_10Y!$C$2:$C$2918,MATCH($A1136,DKW_10Y!$A$2:$A$2918,1))-INDEX(DKW_10Y!$C$2:$C$2918,MATCH(Settings!$B$16,DKW_10Y!$A$2:$A$2918,1)))*100))</f>
        <v/>
      </c>
      <c r="Z1136" s="19">
        <f>IF(NOT(ISNUMBER($A1136)),NA(),IF(OR($A1136&lt;MIN(DKW_10Y!$A$2:$A$2918),$A1136&gt;MAX(DKW_10Y!$A$2:$A$2918),Settings!$B$16&lt;MIN(DKW_10Y!$A$2:$A$2918)),NA(),(INDEX(DKW_10Y!$D$2:$D$2918,MATCH($A1136,DKW_10Y!$A$2:$A$2918,1))-INDEX(DKW_10Y!$D$2:$D$2918,MATCH(Settings!$B$16,DKW_10Y!$A$2:$A$2918,1)))*100))</f>
        <v/>
      </c>
      <c r="AA1136" s="19">
        <f>IF(NOT(ISNUMBER($A1136)),NA(),IF(OR($A1136&lt;MIN(DKW_10Y!$A$2:$A$2918),$A1136&gt;MAX(DKW_10Y!$A$2:$A$2918),Settings!$B$16&lt;MIN(DKW_10Y!$A$2:$A$2918)),NA(),(INDEX(DKW_10Y!$E$2:$E$2918,MATCH($A1136,DKW_10Y!$A$2:$A$2918,1))-INDEX(DKW_10Y!$E$2:$E$2918,MATCH(Settings!$B$16,DKW_10Y!$A$2:$A$2918,1)))*100))</f>
        <v/>
      </c>
      <c r="AB1136" s="19">
        <f>IF(NOT(ISNUMBER($A1136)),NA(),IF(OR($A1136&lt;MIN(DKW_10Y!$A$2:$A$2918),$A1136&gt;MAX(DKW_10Y!$A$2:$A$2918),Settings!$B$16&lt;MIN(DKW_10Y!$A$2:$A$2918)),NA(),(INDEX(DKW_10Y!$H$2:$H$2918,MATCH($A1136,DKW_10Y!$A$2:$A$2918,1))-INDEX(DKW_10Y!$H$2:$H$2918,MATCH(Settings!$B$16,DKW_10Y!$A$2:$A$2918,1)))*100))</f>
        <v/>
      </c>
      <c r="AC1136" s="18">
        <f>IF(NOT(ISNUMBER($A1136)),NA(),IFERROR(1*INDEX(BBG_Data!$N$2:$N$4000,MATCH($A1136,BBG_Data!$M$2:$M$4000,0)),NA()))</f>
        <v/>
      </c>
      <c r="AD1136" s="18">
        <f>IF(NOT(ISNUMBER($A1136)),NA(),IFERROR(1*INDEX(BBG_Data!$P$2:$P$4000,MATCH($A1136,BBG_Data!$O$2:$O$4000,0)),NA()))</f>
        <v/>
      </c>
      <c r="AE1136" s="18">
        <f>IF(NOT(ISNUMBER($A1136)),NA(),IFERROR(1*INDEX(BBG_Data!$R$2:$R$4000,MATCH($A1136,BBG_Data!$Q$2:$Q$4000,0)),NA()))</f>
        <v/>
      </c>
      <c r="AF1136" s="20">
        <f>IF(AND(ISNUMBER(B1136),ISNUMBER(AC1136)),(B1136-AC1136)*100,NA())</f>
        <v/>
      </c>
      <c r="AG1136" s="20">
        <f>IF(AND(ISNUMBER(AE1136),ISNUMBER(AD1136)),(AE1136-AD1136)*100,NA())</f>
        <v/>
      </c>
      <c r="AH1136" s="19">
        <f>IF(NOT(ISNUMBER($A1136)),NA(),IFERROR(INDEX(BBG_Data!$T$2:$T$4000,MATCH($A1136,BBG_Data!$S$2:$S$4000,0))*Settings!$B$25,NA()))</f>
        <v/>
      </c>
      <c r="AI1136" s="19">
        <f>IF(NOT(ISNUMBER($A1136)),NA(),IFERROR(INDEX(BBG_Data!$V$2:$V$4000,MATCH($A1136,BBG_Data!$U$2:$U$4000,0))*Settings!$B$25,NA()))</f>
        <v/>
      </c>
      <c r="AJ1136" s="19">
        <f>IF(NOT(ISNUMBER($A1136)),NA(),IFERROR(1*INDEX(BBG_Data!$X$2:$X$4000,MATCH($A1136,BBG_Data!$W$2:$W$4000,0)),NA()))</f>
        <v/>
      </c>
      <c r="AK1136" s="19">
        <f>IF(NOT(ISNUMBER($A1136)),NA(),IFERROR(1*INDEX(BBG_Data!$Z$2:$Z$4000,MATCH($A1136,BBG_Data!$Y$2:$Y$4000,0)),NA()))</f>
        <v/>
      </c>
    </row>
    <row r="1137">
      <c r="A1137" s="17">
        <f>IF(ISNUMBER(BBG_Data!A1137),BBG_Data!A1137,"")</f>
        <v/>
      </c>
      <c r="B1137" s="18">
        <f>IF(AND(ISNUMBER($A1137),ISNUMBER(BBG_Data!B1137)),BBG_Data!B1137,NA())</f>
        <v/>
      </c>
      <c r="C1137" s="18">
        <f>IF(NOT(ISNUMBER($A1137)),NA(),IFERROR(1*INDEX(BBG_Data!$D$2:$D$4000,MATCH($A1137,BBG_Data!$C$2:$C$4000,0)),NA()))</f>
        <v/>
      </c>
      <c r="D1137" s="19">
        <f>IF(NOT(ISNUMBER($A1137)),NA(),IFERROR(1*INDEX(BBG_Data!$F$2:$F$4000,MATCH($A1137,BBG_Data!$E$2:$E$4000,0)),NA()))</f>
        <v/>
      </c>
      <c r="E1137" s="19">
        <f>IF(NOT(ISNUMBER($A1137)),NA(),IFERROR(1*INDEX(BBG_Data!$H$2:$H$4000,MATCH($A1137,BBG_Data!$G$2:$G$4000,0)),NA()))</f>
        <v/>
      </c>
      <c r="F1137" s="20">
        <f>IF(AND(ISNUMBER(B1137),ISNUMBER(B1136)),IF(B1137=B1136,"",(B1137-B1136)*100),"")</f>
        <v/>
      </c>
      <c r="G1137" s="20">
        <f>IF(AND(ISNUMBER(C1137),ISNUMBER(C1136)),IF(C1137=C1136,"",(C1137-C1136)*100),"")</f>
        <v/>
      </c>
      <c r="H1137" s="20">
        <f>IF(OR(NOT(ISNUMBER($A1137)),ROW()-2&lt;Settings!$B$11),NA(),IF(COUNT(OFFSET(F1137,1-Settings!$B$11,0,Settings!$B$11,1))&lt;ROUNDUP(Settings!$B$11*Settings!$B$26,0),NA(),STDEV(OFFSET(F1137,1-Settings!$B$11,0,Settings!$B$11,1))*SQRT(Settings!$B$13)))</f>
        <v/>
      </c>
      <c r="I1137" s="20">
        <f>IF(OR(NOT(ISNUMBER($A1137)),ROW()-2&lt;Settings!$B$12),NA(),IF(COUNT(OFFSET(F1137,1-Settings!$B$12,0,Settings!$B$12,1))&lt;ROUNDUP(Settings!$B$12*Settings!$B$26,0),NA(),STDEV(OFFSET(F1137,1-Settings!$B$12,0,Settings!$B$12,1))*SQRT(Settings!$B$13)))</f>
        <v/>
      </c>
      <c r="J1137" s="20">
        <f>IF(OR(NOT(ISNUMBER($A1137)),ROW()-2&lt;Settings!$B$11),NA(),IF(COUNT(OFFSET(G1137,1-Settings!$B$11,0,Settings!$B$11,1))&lt;ROUNDUP(Settings!$B$11*Settings!$B$26,0),NA(),STDEV(OFFSET(G1137,1-Settings!$B$11,0,Settings!$B$11,1))*SQRT(Settings!$B$13)))</f>
        <v/>
      </c>
      <c r="K1137" s="20">
        <f>IF(OR(NOT(ISNUMBER($A1137)),ROW()-2&lt;Settings!$B$12),NA(),IF(COUNT(OFFSET(G1137,1-Settings!$B$12,0,Settings!$B$12,1))&lt;ROUNDUP(Settings!$B$12*Settings!$B$26,0),NA(),STDEV(OFFSET(G1137,1-Settings!$B$12,0,Settings!$B$12,1))*SQRT(Settings!$B$13)))</f>
        <v/>
      </c>
      <c r="L1137" s="20">
        <f>IF(AND(ISNUMBER(D1137),ISNUMBER(H1137)),D1137-H1137,NA())</f>
        <v/>
      </c>
      <c r="M1137" s="20">
        <f>IF(AND(ISNUMBER(E1137),ISNUMBER(K1137)),E1137-K1137,NA())</f>
        <v/>
      </c>
      <c r="N1137" s="20">
        <f>IF(NOT(ISNUMBER($A1137)),NA(),IF(COUNT(OFFSET(G1137,1,0,Settings!$B$12,1))&lt;ROUNDUP(Settings!$B$12*Settings!$B$26,0),NA(),STDEV(OFFSET(G1137,1,0,Settings!$B$12,1))*SQRT(Settings!$B$13)))</f>
        <v/>
      </c>
      <c r="O1137" s="20">
        <f>IF(AND(ISNUMBER(E1137),ISNUMBER(N1137)),E1137-N1137,NA())</f>
        <v/>
      </c>
      <c r="P1137" s="19">
        <f>IF(NOT(ISNUMBER($A1137)),NA(),IF(OR($A1137&lt;MIN(KW_TP!$A$2:$A$2501),$A1137&gt;MAX(KW_TP!$A$2:$A$2501)),NA(),INDEX(KW_TP!$C$2:$C$2501,MATCH($A1137,KW_TP!$A$2:$A$2501,1))))</f>
        <v/>
      </c>
      <c r="Q1137" s="18">
        <f>IF(NOT(ISNUMBER($A1137)),NA(),IFERROR(1*INDEX(BBG_Data!$J$2:$J$4000,MATCH($A1137,BBG_Data!$I$2:$I$4000,0)),NA()))</f>
        <v/>
      </c>
      <c r="R1137" s="18">
        <f>IF(NOT(ISNUMBER($A1137)),NA(),IFERROR(1*INDEX(BBG_Data!$L$2:$L$4000,MATCH($A1137,BBG_Data!$K$2:$K$4000,0)),NA()))</f>
        <v/>
      </c>
      <c r="S1137" s="20">
        <f>IF(AND(ISNUMBER(B1137),ISNUMBER(Q1137),ISNUMBER(R1137)),(B1137-Q1137-R1137)*100,NA())</f>
        <v/>
      </c>
      <c r="T1137" s="20">
        <f>IF(AND(ISNUMBER(B1137),Settings!$B$17&gt;0),IF(ISNUMBER(INDEX($B:$B,Settings!$B$17)),(B1137-INDEX($B:$B,Settings!$B$17))*100,NA()),NA())</f>
        <v/>
      </c>
      <c r="U1137" s="20">
        <f>IF(AND(ISNUMBER(Q1137),Settings!$B$17&gt;0),IF(ISNUMBER(INDEX($Q:$Q,Settings!$B$17)),(Q1137-INDEX($Q:$Q,Settings!$B$17))*100,NA()),NA())</f>
        <v/>
      </c>
      <c r="V1137" s="20">
        <f>IF(AND(ISNUMBER(R1137),Settings!$B$17&gt;0),IF(ISNUMBER(INDEX($R:$R,Settings!$B$17)),(R1137-INDEX($R:$R,Settings!$B$17))*100,NA()),NA())</f>
        <v/>
      </c>
      <c r="W1137" s="20">
        <f>IF(AND(ISNUMBER(P1137),Settings!$B$17&gt;0),IF(ISNUMBER(INDEX($P:$P,Settings!$B$17)),P1137-INDEX($P:$P,Settings!$B$17),NA()),NA())</f>
        <v/>
      </c>
      <c r="X1137" s="19">
        <f>IF(NOT(ISNUMBER($A1137)),NA(),IF(OR($A1137&lt;MIN(DKW_10Y!$A$2:$A$2918),$A1137&gt;MAX(DKW_10Y!$A$2:$A$2918),Settings!$B$16&lt;MIN(DKW_10Y!$A$2:$A$2918)),NA(),(INDEX(DKW_10Y!$B$2:$B$2918,MATCH($A1137,DKW_10Y!$A$2:$A$2918,1))-INDEX(DKW_10Y!$B$2:$B$2918,MATCH(Settings!$B$16,DKW_10Y!$A$2:$A$2918,1)))*100))</f>
        <v/>
      </c>
      <c r="Y1137" s="19">
        <f>IF(NOT(ISNUMBER($A1137)),NA(),IF(OR($A1137&lt;MIN(DKW_10Y!$A$2:$A$2918),$A1137&gt;MAX(DKW_10Y!$A$2:$A$2918),Settings!$B$16&lt;MIN(DKW_10Y!$A$2:$A$2918)),NA(),(INDEX(DKW_10Y!$C$2:$C$2918,MATCH($A1137,DKW_10Y!$A$2:$A$2918,1))-INDEX(DKW_10Y!$C$2:$C$2918,MATCH(Settings!$B$16,DKW_10Y!$A$2:$A$2918,1)))*100))</f>
        <v/>
      </c>
      <c r="Z1137" s="19">
        <f>IF(NOT(ISNUMBER($A1137)),NA(),IF(OR($A1137&lt;MIN(DKW_10Y!$A$2:$A$2918),$A1137&gt;MAX(DKW_10Y!$A$2:$A$2918),Settings!$B$16&lt;MIN(DKW_10Y!$A$2:$A$2918)),NA(),(INDEX(DKW_10Y!$D$2:$D$2918,MATCH($A1137,DKW_10Y!$A$2:$A$2918,1))-INDEX(DKW_10Y!$D$2:$D$2918,MATCH(Settings!$B$16,DKW_10Y!$A$2:$A$2918,1)))*100))</f>
        <v/>
      </c>
      <c r="AA1137" s="19">
        <f>IF(NOT(ISNUMBER($A1137)),NA(),IF(OR($A1137&lt;MIN(DKW_10Y!$A$2:$A$2918),$A1137&gt;MAX(DKW_10Y!$A$2:$A$2918),Settings!$B$16&lt;MIN(DKW_10Y!$A$2:$A$2918)),NA(),(INDEX(DKW_10Y!$E$2:$E$2918,MATCH($A1137,DKW_10Y!$A$2:$A$2918,1))-INDEX(DKW_10Y!$E$2:$E$2918,MATCH(Settings!$B$16,DKW_10Y!$A$2:$A$2918,1)))*100))</f>
        <v/>
      </c>
      <c r="AB1137" s="19">
        <f>IF(NOT(ISNUMBER($A1137)),NA(),IF(OR($A1137&lt;MIN(DKW_10Y!$A$2:$A$2918),$A1137&gt;MAX(DKW_10Y!$A$2:$A$2918),Settings!$B$16&lt;MIN(DKW_10Y!$A$2:$A$2918)),NA(),(INDEX(DKW_10Y!$H$2:$H$2918,MATCH($A1137,DKW_10Y!$A$2:$A$2918,1))-INDEX(DKW_10Y!$H$2:$H$2918,MATCH(Settings!$B$16,DKW_10Y!$A$2:$A$2918,1)))*100))</f>
        <v/>
      </c>
      <c r="AC1137" s="18">
        <f>IF(NOT(ISNUMBER($A1137)),NA(),IFERROR(1*INDEX(BBG_Data!$N$2:$N$4000,MATCH($A1137,BBG_Data!$M$2:$M$4000,0)),NA()))</f>
        <v/>
      </c>
      <c r="AD1137" s="18">
        <f>IF(NOT(ISNUMBER($A1137)),NA(),IFERROR(1*INDEX(BBG_Data!$P$2:$P$4000,MATCH($A1137,BBG_Data!$O$2:$O$4000,0)),NA()))</f>
        <v/>
      </c>
      <c r="AE1137" s="18">
        <f>IF(NOT(ISNUMBER($A1137)),NA(),IFERROR(1*INDEX(BBG_Data!$R$2:$R$4000,MATCH($A1137,BBG_Data!$Q$2:$Q$4000,0)),NA()))</f>
        <v/>
      </c>
      <c r="AF1137" s="20">
        <f>IF(AND(ISNUMBER(B1137),ISNUMBER(AC1137)),(B1137-AC1137)*100,NA())</f>
        <v/>
      </c>
      <c r="AG1137" s="20">
        <f>IF(AND(ISNUMBER(AE1137),ISNUMBER(AD1137)),(AE1137-AD1137)*100,NA())</f>
        <v/>
      </c>
      <c r="AH1137" s="19">
        <f>IF(NOT(ISNUMBER($A1137)),NA(),IFERROR(INDEX(BBG_Data!$T$2:$T$4000,MATCH($A1137,BBG_Data!$S$2:$S$4000,0))*Settings!$B$25,NA()))</f>
        <v/>
      </c>
      <c r="AI1137" s="19">
        <f>IF(NOT(ISNUMBER($A1137)),NA(),IFERROR(INDEX(BBG_Data!$V$2:$V$4000,MATCH($A1137,BBG_Data!$U$2:$U$4000,0))*Settings!$B$25,NA()))</f>
        <v/>
      </c>
      <c r="AJ1137" s="19">
        <f>IF(NOT(ISNUMBER($A1137)),NA(),IFERROR(1*INDEX(BBG_Data!$X$2:$X$4000,MATCH($A1137,BBG_Data!$W$2:$W$4000,0)),NA()))</f>
        <v/>
      </c>
      <c r="AK1137" s="19">
        <f>IF(NOT(ISNUMBER($A1137)),NA(),IFERROR(1*INDEX(BBG_Data!$Z$2:$Z$4000,MATCH($A1137,BBG_Data!$Y$2:$Y$4000,0)),NA()))</f>
        <v/>
      </c>
    </row>
    <row r="1138">
      <c r="A1138" s="17">
        <f>IF(ISNUMBER(BBG_Data!A1138),BBG_Data!A1138,"")</f>
        <v/>
      </c>
      <c r="B1138" s="18">
        <f>IF(AND(ISNUMBER($A1138),ISNUMBER(BBG_Data!B1138)),BBG_Data!B1138,NA())</f>
        <v/>
      </c>
      <c r="C1138" s="18">
        <f>IF(NOT(ISNUMBER($A1138)),NA(),IFERROR(1*INDEX(BBG_Data!$D$2:$D$4000,MATCH($A1138,BBG_Data!$C$2:$C$4000,0)),NA()))</f>
        <v/>
      </c>
      <c r="D1138" s="19">
        <f>IF(NOT(ISNUMBER($A1138)),NA(),IFERROR(1*INDEX(BBG_Data!$F$2:$F$4000,MATCH($A1138,BBG_Data!$E$2:$E$4000,0)),NA()))</f>
        <v/>
      </c>
      <c r="E1138" s="19">
        <f>IF(NOT(ISNUMBER($A1138)),NA(),IFERROR(1*INDEX(BBG_Data!$H$2:$H$4000,MATCH($A1138,BBG_Data!$G$2:$G$4000,0)),NA()))</f>
        <v/>
      </c>
      <c r="F1138" s="20">
        <f>IF(AND(ISNUMBER(B1138),ISNUMBER(B1137)),IF(B1138=B1137,"",(B1138-B1137)*100),"")</f>
        <v/>
      </c>
      <c r="G1138" s="20">
        <f>IF(AND(ISNUMBER(C1138),ISNUMBER(C1137)),IF(C1138=C1137,"",(C1138-C1137)*100),"")</f>
        <v/>
      </c>
      <c r="H1138" s="20">
        <f>IF(OR(NOT(ISNUMBER($A1138)),ROW()-2&lt;Settings!$B$11),NA(),IF(COUNT(OFFSET(F1138,1-Settings!$B$11,0,Settings!$B$11,1))&lt;ROUNDUP(Settings!$B$11*Settings!$B$26,0),NA(),STDEV(OFFSET(F1138,1-Settings!$B$11,0,Settings!$B$11,1))*SQRT(Settings!$B$13)))</f>
        <v/>
      </c>
      <c r="I1138" s="20">
        <f>IF(OR(NOT(ISNUMBER($A1138)),ROW()-2&lt;Settings!$B$12),NA(),IF(COUNT(OFFSET(F1138,1-Settings!$B$12,0,Settings!$B$12,1))&lt;ROUNDUP(Settings!$B$12*Settings!$B$26,0),NA(),STDEV(OFFSET(F1138,1-Settings!$B$12,0,Settings!$B$12,1))*SQRT(Settings!$B$13)))</f>
        <v/>
      </c>
      <c r="J1138" s="20">
        <f>IF(OR(NOT(ISNUMBER($A1138)),ROW()-2&lt;Settings!$B$11),NA(),IF(COUNT(OFFSET(G1138,1-Settings!$B$11,0,Settings!$B$11,1))&lt;ROUNDUP(Settings!$B$11*Settings!$B$26,0),NA(),STDEV(OFFSET(G1138,1-Settings!$B$11,0,Settings!$B$11,1))*SQRT(Settings!$B$13)))</f>
        <v/>
      </c>
      <c r="K1138" s="20">
        <f>IF(OR(NOT(ISNUMBER($A1138)),ROW()-2&lt;Settings!$B$12),NA(),IF(COUNT(OFFSET(G1138,1-Settings!$B$12,0,Settings!$B$12,1))&lt;ROUNDUP(Settings!$B$12*Settings!$B$26,0),NA(),STDEV(OFFSET(G1138,1-Settings!$B$12,0,Settings!$B$12,1))*SQRT(Settings!$B$13)))</f>
        <v/>
      </c>
      <c r="L1138" s="20">
        <f>IF(AND(ISNUMBER(D1138),ISNUMBER(H1138)),D1138-H1138,NA())</f>
        <v/>
      </c>
      <c r="M1138" s="20">
        <f>IF(AND(ISNUMBER(E1138),ISNUMBER(K1138)),E1138-K1138,NA())</f>
        <v/>
      </c>
      <c r="N1138" s="20">
        <f>IF(NOT(ISNUMBER($A1138)),NA(),IF(COUNT(OFFSET(G1138,1,0,Settings!$B$12,1))&lt;ROUNDUP(Settings!$B$12*Settings!$B$26,0),NA(),STDEV(OFFSET(G1138,1,0,Settings!$B$12,1))*SQRT(Settings!$B$13)))</f>
        <v/>
      </c>
      <c r="O1138" s="20">
        <f>IF(AND(ISNUMBER(E1138),ISNUMBER(N1138)),E1138-N1138,NA())</f>
        <v/>
      </c>
      <c r="P1138" s="19">
        <f>IF(NOT(ISNUMBER($A1138)),NA(),IF(OR($A1138&lt;MIN(KW_TP!$A$2:$A$2501),$A1138&gt;MAX(KW_TP!$A$2:$A$2501)),NA(),INDEX(KW_TP!$C$2:$C$2501,MATCH($A1138,KW_TP!$A$2:$A$2501,1))))</f>
        <v/>
      </c>
      <c r="Q1138" s="18">
        <f>IF(NOT(ISNUMBER($A1138)),NA(),IFERROR(1*INDEX(BBG_Data!$J$2:$J$4000,MATCH($A1138,BBG_Data!$I$2:$I$4000,0)),NA()))</f>
        <v/>
      </c>
      <c r="R1138" s="18">
        <f>IF(NOT(ISNUMBER($A1138)),NA(),IFERROR(1*INDEX(BBG_Data!$L$2:$L$4000,MATCH($A1138,BBG_Data!$K$2:$K$4000,0)),NA()))</f>
        <v/>
      </c>
      <c r="S1138" s="20">
        <f>IF(AND(ISNUMBER(B1138),ISNUMBER(Q1138),ISNUMBER(R1138)),(B1138-Q1138-R1138)*100,NA())</f>
        <v/>
      </c>
      <c r="T1138" s="20">
        <f>IF(AND(ISNUMBER(B1138),Settings!$B$17&gt;0),IF(ISNUMBER(INDEX($B:$B,Settings!$B$17)),(B1138-INDEX($B:$B,Settings!$B$17))*100,NA()),NA())</f>
        <v/>
      </c>
      <c r="U1138" s="20">
        <f>IF(AND(ISNUMBER(Q1138),Settings!$B$17&gt;0),IF(ISNUMBER(INDEX($Q:$Q,Settings!$B$17)),(Q1138-INDEX($Q:$Q,Settings!$B$17))*100,NA()),NA())</f>
        <v/>
      </c>
      <c r="V1138" s="20">
        <f>IF(AND(ISNUMBER(R1138),Settings!$B$17&gt;0),IF(ISNUMBER(INDEX($R:$R,Settings!$B$17)),(R1138-INDEX($R:$R,Settings!$B$17))*100,NA()),NA())</f>
        <v/>
      </c>
      <c r="W1138" s="20">
        <f>IF(AND(ISNUMBER(P1138),Settings!$B$17&gt;0),IF(ISNUMBER(INDEX($P:$P,Settings!$B$17)),P1138-INDEX($P:$P,Settings!$B$17),NA()),NA())</f>
        <v/>
      </c>
      <c r="X1138" s="19">
        <f>IF(NOT(ISNUMBER($A1138)),NA(),IF(OR($A1138&lt;MIN(DKW_10Y!$A$2:$A$2918),$A1138&gt;MAX(DKW_10Y!$A$2:$A$2918),Settings!$B$16&lt;MIN(DKW_10Y!$A$2:$A$2918)),NA(),(INDEX(DKW_10Y!$B$2:$B$2918,MATCH($A1138,DKW_10Y!$A$2:$A$2918,1))-INDEX(DKW_10Y!$B$2:$B$2918,MATCH(Settings!$B$16,DKW_10Y!$A$2:$A$2918,1)))*100))</f>
        <v/>
      </c>
      <c r="Y1138" s="19">
        <f>IF(NOT(ISNUMBER($A1138)),NA(),IF(OR($A1138&lt;MIN(DKW_10Y!$A$2:$A$2918),$A1138&gt;MAX(DKW_10Y!$A$2:$A$2918),Settings!$B$16&lt;MIN(DKW_10Y!$A$2:$A$2918)),NA(),(INDEX(DKW_10Y!$C$2:$C$2918,MATCH($A1138,DKW_10Y!$A$2:$A$2918,1))-INDEX(DKW_10Y!$C$2:$C$2918,MATCH(Settings!$B$16,DKW_10Y!$A$2:$A$2918,1)))*100))</f>
        <v/>
      </c>
      <c r="Z1138" s="19">
        <f>IF(NOT(ISNUMBER($A1138)),NA(),IF(OR($A1138&lt;MIN(DKW_10Y!$A$2:$A$2918),$A1138&gt;MAX(DKW_10Y!$A$2:$A$2918),Settings!$B$16&lt;MIN(DKW_10Y!$A$2:$A$2918)),NA(),(INDEX(DKW_10Y!$D$2:$D$2918,MATCH($A1138,DKW_10Y!$A$2:$A$2918,1))-INDEX(DKW_10Y!$D$2:$D$2918,MATCH(Settings!$B$16,DKW_10Y!$A$2:$A$2918,1)))*100))</f>
        <v/>
      </c>
      <c r="AA1138" s="19">
        <f>IF(NOT(ISNUMBER($A1138)),NA(),IF(OR($A1138&lt;MIN(DKW_10Y!$A$2:$A$2918),$A1138&gt;MAX(DKW_10Y!$A$2:$A$2918),Settings!$B$16&lt;MIN(DKW_10Y!$A$2:$A$2918)),NA(),(INDEX(DKW_10Y!$E$2:$E$2918,MATCH($A1138,DKW_10Y!$A$2:$A$2918,1))-INDEX(DKW_10Y!$E$2:$E$2918,MATCH(Settings!$B$16,DKW_10Y!$A$2:$A$2918,1)))*100))</f>
        <v/>
      </c>
      <c r="AB1138" s="19">
        <f>IF(NOT(ISNUMBER($A1138)),NA(),IF(OR($A1138&lt;MIN(DKW_10Y!$A$2:$A$2918),$A1138&gt;MAX(DKW_10Y!$A$2:$A$2918),Settings!$B$16&lt;MIN(DKW_10Y!$A$2:$A$2918)),NA(),(INDEX(DKW_10Y!$H$2:$H$2918,MATCH($A1138,DKW_10Y!$A$2:$A$2918,1))-INDEX(DKW_10Y!$H$2:$H$2918,MATCH(Settings!$B$16,DKW_10Y!$A$2:$A$2918,1)))*100))</f>
        <v/>
      </c>
      <c r="AC1138" s="18">
        <f>IF(NOT(ISNUMBER($A1138)),NA(),IFERROR(1*INDEX(BBG_Data!$N$2:$N$4000,MATCH($A1138,BBG_Data!$M$2:$M$4000,0)),NA()))</f>
        <v/>
      </c>
      <c r="AD1138" s="18">
        <f>IF(NOT(ISNUMBER($A1138)),NA(),IFERROR(1*INDEX(BBG_Data!$P$2:$P$4000,MATCH($A1138,BBG_Data!$O$2:$O$4000,0)),NA()))</f>
        <v/>
      </c>
      <c r="AE1138" s="18">
        <f>IF(NOT(ISNUMBER($A1138)),NA(),IFERROR(1*INDEX(BBG_Data!$R$2:$R$4000,MATCH($A1138,BBG_Data!$Q$2:$Q$4000,0)),NA()))</f>
        <v/>
      </c>
      <c r="AF1138" s="20">
        <f>IF(AND(ISNUMBER(B1138),ISNUMBER(AC1138)),(B1138-AC1138)*100,NA())</f>
        <v/>
      </c>
      <c r="AG1138" s="20">
        <f>IF(AND(ISNUMBER(AE1138),ISNUMBER(AD1138)),(AE1138-AD1138)*100,NA())</f>
        <v/>
      </c>
      <c r="AH1138" s="19">
        <f>IF(NOT(ISNUMBER($A1138)),NA(),IFERROR(INDEX(BBG_Data!$T$2:$T$4000,MATCH($A1138,BBG_Data!$S$2:$S$4000,0))*Settings!$B$25,NA()))</f>
        <v/>
      </c>
      <c r="AI1138" s="19">
        <f>IF(NOT(ISNUMBER($A1138)),NA(),IFERROR(INDEX(BBG_Data!$V$2:$V$4000,MATCH($A1138,BBG_Data!$U$2:$U$4000,0))*Settings!$B$25,NA()))</f>
        <v/>
      </c>
      <c r="AJ1138" s="19">
        <f>IF(NOT(ISNUMBER($A1138)),NA(),IFERROR(1*INDEX(BBG_Data!$X$2:$X$4000,MATCH($A1138,BBG_Data!$W$2:$W$4000,0)),NA()))</f>
        <v/>
      </c>
      <c r="AK1138" s="19">
        <f>IF(NOT(ISNUMBER($A1138)),NA(),IFERROR(1*INDEX(BBG_Data!$Z$2:$Z$4000,MATCH($A1138,BBG_Data!$Y$2:$Y$4000,0)),NA()))</f>
        <v/>
      </c>
    </row>
    <row r="1139">
      <c r="A1139" s="17">
        <f>IF(ISNUMBER(BBG_Data!A1139),BBG_Data!A1139,"")</f>
        <v/>
      </c>
      <c r="B1139" s="18">
        <f>IF(AND(ISNUMBER($A1139),ISNUMBER(BBG_Data!B1139)),BBG_Data!B1139,NA())</f>
        <v/>
      </c>
      <c r="C1139" s="18">
        <f>IF(NOT(ISNUMBER($A1139)),NA(),IFERROR(1*INDEX(BBG_Data!$D$2:$D$4000,MATCH($A1139,BBG_Data!$C$2:$C$4000,0)),NA()))</f>
        <v/>
      </c>
      <c r="D1139" s="19">
        <f>IF(NOT(ISNUMBER($A1139)),NA(),IFERROR(1*INDEX(BBG_Data!$F$2:$F$4000,MATCH($A1139,BBG_Data!$E$2:$E$4000,0)),NA()))</f>
        <v/>
      </c>
      <c r="E1139" s="19">
        <f>IF(NOT(ISNUMBER($A1139)),NA(),IFERROR(1*INDEX(BBG_Data!$H$2:$H$4000,MATCH($A1139,BBG_Data!$G$2:$G$4000,0)),NA()))</f>
        <v/>
      </c>
      <c r="F1139" s="20">
        <f>IF(AND(ISNUMBER(B1139),ISNUMBER(B1138)),IF(B1139=B1138,"",(B1139-B1138)*100),"")</f>
        <v/>
      </c>
      <c r="G1139" s="20">
        <f>IF(AND(ISNUMBER(C1139),ISNUMBER(C1138)),IF(C1139=C1138,"",(C1139-C1138)*100),"")</f>
        <v/>
      </c>
      <c r="H1139" s="20">
        <f>IF(OR(NOT(ISNUMBER($A1139)),ROW()-2&lt;Settings!$B$11),NA(),IF(COUNT(OFFSET(F1139,1-Settings!$B$11,0,Settings!$B$11,1))&lt;ROUNDUP(Settings!$B$11*Settings!$B$26,0),NA(),STDEV(OFFSET(F1139,1-Settings!$B$11,0,Settings!$B$11,1))*SQRT(Settings!$B$13)))</f>
        <v/>
      </c>
      <c r="I1139" s="20">
        <f>IF(OR(NOT(ISNUMBER($A1139)),ROW()-2&lt;Settings!$B$12),NA(),IF(COUNT(OFFSET(F1139,1-Settings!$B$12,0,Settings!$B$12,1))&lt;ROUNDUP(Settings!$B$12*Settings!$B$26,0),NA(),STDEV(OFFSET(F1139,1-Settings!$B$12,0,Settings!$B$12,1))*SQRT(Settings!$B$13)))</f>
        <v/>
      </c>
      <c r="J1139" s="20">
        <f>IF(OR(NOT(ISNUMBER($A1139)),ROW()-2&lt;Settings!$B$11),NA(),IF(COUNT(OFFSET(G1139,1-Settings!$B$11,0,Settings!$B$11,1))&lt;ROUNDUP(Settings!$B$11*Settings!$B$26,0),NA(),STDEV(OFFSET(G1139,1-Settings!$B$11,0,Settings!$B$11,1))*SQRT(Settings!$B$13)))</f>
        <v/>
      </c>
      <c r="K1139" s="20">
        <f>IF(OR(NOT(ISNUMBER($A1139)),ROW()-2&lt;Settings!$B$12),NA(),IF(COUNT(OFFSET(G1139,1-Settings!$B$12,0,Settings!$B$12,1))&lt;ROUNDUP(Settings!$B$12*Settings!$B$26,0),NA(),STDEV(OFFSET(G1139,1-Settings!$B$12,0,Settings!$B$12,1))*SQRT(Settings!$B$13)))</f>
        <v/>
      </c>
      <c r="L1139" s="20">
        <f>IF(AND(ISNUMBER(D1139),ISNUMBER(H1139)),D1139-H1139,NA())</f>
        <v/>
      </c>
      <c r="M1139" s="20">
        <f>IF(AND(ISNUMBER(E1139),ISNUMBER(K1139)),E1139-K1139,NA())</f>
        <v/>
      </c>
      <c r="N1139" s="20">
        <f>IF(NOT(ISNUMBER($A1139)),NA(),IF(COUNT(OFFSET(G1139,1,0,Settings!$B$12,1))&lt;ROUNDUP(Settings!$B$12*Settings!$B$26,0),NA(),STDEV(OFFSET(G1139,1,0,Settings!$B$12,1))*SQRT(Settings!$B$13)))</f>
        <v/>
      </c>
      <c r="O1139" s="20">
        <f>IF(AND(ISNUMBER(E1139),ISNUMBER(N1139)),E1139-N1139,NA())</f>
        <v/>
      </c>
      <c r="P1139" s="19">
        <f>IF(NOT(ISNUMBER($A1139)),NA(),IF(OR($A1139&lt;MIN(KW_TP!$A$2:$A$2501),$A1139&gt;MAX(KW_TP!$A$2:$A$2501)),NA(),INDEX(KW_TP!$C$2:$C$2501,MATCH($A1139,KW_TP!$A$2:$A$2501,1))))</f>
        <v/>
      </c>
      <c r="Q1139" s="18">
        <f>IF(NOT(ISNUMBER($A1139)),NA(),IFERROR(1*INDEX(BBG_Data!$J$2:$J$4000,MATCH($A1139,BBG_Data!$I$2:$I$4000,0)),NA()))</f>
        <v/>
      </c>
      <c r="R1139" s="18">
        <f>IF(NOT(ISNUMBER($A1139)),NA(),IFERROR(1*INDEX(BBG_Data!$L$2:$L$4000,MATCH($A1139,BBG_Data!$K$2:$K$4000,0)),NA()))</f>
        <v/>
      </c>
      <c r="S1139" s="20">
        <f>IF(AND(ISNUMBER(B1139),ISNUMBER(Q1139),ISNUMBER(R1139)),(B1139-Q1139-R1139)*100,NA())</f>
        <v/>
      </c>
      <c r="T1139" s="20">
        <f>IF(AND(ISNUMBER(B1139),Settings!$B$17&gt;0),IF(ISNUMBER(INDEX($B:$B,Settings!$B$17)),(B1139-INDEX($B:$B,Settings!$B$17))*100,NA()),NA())</f>
        <v/>
      </c>
      <c r="U1139" s="20">
        <f>IF(AND(ISNUMBER(Q1139),Settings!$B$17&gt;0),IF(ISNUMBER(INDEX($Q:$Q,Settings!$B$17)),(Q1139-INDEX($Q:$Q,Settings!$B$17))*100,NA()),NA())</f>
        <v/>
      </c>
      <c r="V1139" s="20">
        <f>IF(AND(ISNUMBER(R1139),Settings!$B$17&gt;0),IF(ISNUMBER(INDEX($R:$R,Settings!$B$17)),(R1139-INDEX($R:$R,Settings!$B$17))*100,NA()),NA())</f>
        <v/>
      </c>
      <c r="W1139" s="20">
        <f>IF(AND(ISNUMBER(P1139),Settings!$B$17&gt;0),IF(ISNUMBER(INDEX($P:$P,Settings!$B$17)),P1139-INDEX($P:$P,Settings!$B$17),NA()),NA())</f>
        <v/>
      </c>
      <c r="X1139" s="19">
        <f>IF(NOT(ISNUMBER($A1139)),NA(),IF(OR($A1139&lt;MIN(DKW_10Y!$A$2:$A$2918),$A1139&gt;MAX(DKW_10Y!$A$2:$A$2918),Settings!$B$16&lt;MIN(DKW_10Y!$A$2:$A$2918)),NA(),(INDEX(DKW_10Y!$B$2:$B$2918,MATCH($A1139,DKW_10Y!$A$2:$A$2918,1))-INDEX(DKW_10Y!$B$2:$B$2918,MATCH(Settings!$B$16,DKW_10Y!$A$2:$A$2918,1)))*100))</f>
        <v/>
      </c>
      <c r="Y1139" s="19">
        <f>IF(NOT(ISNUMBER($A1139)),NA(),IF(OR($A1139&lt;MIN(DKW_10Y!$A$2:$A$2918),$A1139&gt;MAX(DKW_10Y!$A$2:$A$2918),Settings!$B$16&lt;MIN(DKW_10Y!$A$2:$A$2918)),NA(),(INDEX(DKW_10Y!$C$2:$C$2918,MATCH($A1139,DKW_10Y!$A$2:$A$2918,1))-INDEX(DKW_10Y!$C$2:$C$2918,MATCH(Settings!$B$16,DKW_10Y!$A$2:$A$2918,1)))*100))</f>
        <v/>
      </c>
      <c r="Z1139" s="19">
        <f>IF(NOT(ISNUMBER($A1139)),NA(),IF(OR($A1139&lt;MIN(DKW_10Y!$A$2:$A$2918),$A1139&gt;MAX(DKW_10Y!$A$2:$A$2918),Settings!$B$16&lt;MIN(DKW_10Y!$A$2:$A$2918)),NA(),(INDEX(DKW_10Y!$D$2:$D$2918,MATCH($A1139,DKW_10Y!$A$2:$A$2918,1))-INDEX(DKW_10Y!$D$2:$D$2918,MATCH(Settings!$B$16,DKW_10Y!$A$2:$A$2918,1)))*100))</f>
        <v/>
      </c>
      <c r="AA1139" s="19">
        <f>IF(NOT(ISNUMBER($A1139)),NA(),IF(OR($A1139&lt;MIN(DKW_10Y!$A$2:$A$2918),$A1139&gt;MAX(DKW_10Y!$A$2:$A$2918),Settings!$B$16&lt;MIN(DKW_10Y!$A$2:$A$2918)),NA(),(INDEX(DKW_10Y!$E$2:$E$2918,MATCH($A1139,DKW_10Y!$A$2:$A$2918,1))-INDEX(DKW_10Y!$E$2:$E$2918,MATCH(Settings!$B$16,DKW_10Y!$A$2:$A$2918,1)))*100))</f>
        <v/>
      </c>
      <c r="AB1139" s="19">
        <f>IF(NOT(ISNUMBER($A1139)),NA(),IF(OR($A1139&lt;MIN(DKW_10Y!$A$2:$A$2918),$A1139&gt;MAX(DKW_10Y!$A$2:$A$2918),Settings!$B$16&lt;MIN(DKW_10Y!$A$2:$A$2918)),NA(),(INDEX(DKW_10Y!$H$2:$H$2918,MATCH($A1139,DKW_10Y!$A$2:$A$2918,1))-INDEX(DKW_10Y!$H$2:$H$2918,MATCH(Settings!$B$16,DKW_10Y!$A$2:$A$2918,1)))*100))</f>
        <v/>
      </c>
      <c r="AC1139" s="18">
        <f>IF(NOT(ISNUMBER($A1139)),NA(),IFERROR(1*INDEX(BBG_Data!$N$2:$N$4000,MATCH($A1139,BBG_Data!$M$2:$M$4000,0)),NA()))</f>
        <v/>
      </c>
      <c r="AD1139" s="18">
        <f>IF(NOT(ISNUMBER($A1139)),NA(),IFERROR(1*INDEX(BBG_Data!$P$2:$P$4000,MATCH($A1139,BBG_Data!$O$2:$O$4000,0)),NA()))</f>
        <v/>
      </c>
      <c r="AE1139" s="18">
        <f>IF(NOT(ISNUMBER($A1139)),NA(),IFERROR(1*INDEX(BBG_Data!$R$2:$R$4000,MATCH($A1139,BBG_Data!$Q$2:$Q$4000,0)),NA()))</f>
        <v/>
      </c>
      <c r="AF1139" s="20">
        <f>IF(AND(ISNUMBER(B1139),ISNUMBER(AC1139)),(B1139-AC1139)*100,NA())</f>
        <v/>
      </c>
      <c r="AG1139" s="20">
        <f>IF(AND(ISNUMBER(AE1139),ISNUMBER(AD1139)),(AE1139-AD1139)*100,NA())</f>
        <v/>
      </c>
      <c r="AH1139" s="19">
        <f>IF(NOT(ISNUMBER($A1139)),NA(),IFERROR(INDEX(BBG_Data!$T$2:$T$4000,MATCH($A1139,BBG_Data!$S$2:$S$4000,0))*Settings!$B$25,NA()))</f>
        <v/>
      </c>
      <c r="AI1139" s="19">
        <f>IF(NOT(ISNUMBER($A1139)),NA(),IFERROR(INDEX(BBG_Data!$V$2:$V$4000,MATCH($A1139,BBG_Data!$U$2:$U$4000,0))*Settings!$B$25,NA()))</f>
        <v/>
      </c>
      <c r="AJ1139" s="19">
        <f>IF(NOT(ISNUMBER($A1139)),NA(),IFERROR(1*INDEX(BBG_Data!$X$2:$X$4000,MATCH($A1139,BBG_Data!$W$2:$W$4000,0)),NA()))</f>
        <v/>
      </c>
      <c r="AK1139" s="19">
        <f>IF(NOT(ISNUMBER($A1139)),NA(),IFERROR(1*INDEX(BBG_Data!$Z$2:$Z$4000,MATCH($A1139,BBG_Data!$Y$2:$Y$4000,0)),NA()))</f>
        <v/>
      </c>
    </row>
    <row r="1140">
      <c r="A1140" s="17">
        <f>IF(ISNUMBER(BBG_Data!A1140),BBG_Data!A1140,"")</f>
        <v/>
      </c>
      <c r="B1140" s="18">
        <f>IF(AND(ISNUMBER($A1140),ISNUMBER(BBG_Data!B1140)),BBG_Data!B1140,NA())</f>
        <v/>
      </c>
      <c r="C1140" s="18">
        <f>IF(NOT(ISNUMBER($A1140)),NA(),IFERROR(1*INDEX(BBG_Data!$D$2:$D$4000,MATCH($A1140,BBG_Data!$C$2:$C$4000,0)),NA()))</f>
        <v/>
      </c>
      <c r="D1140" s="19">
        <f>IF(NOT(ISNUMBER($A1140)),NA(),IFERROR(1*INDEX(BBG_Data!$F$2:$F$4000,MATCH($A1140,BBG_Data!$E$2:$E$4000,0)),NA()))</f>
        <v/>
      </c>
      <c r="E1140" s="19">
        <f>IF(NOT(ISNUMBER($A1140)),NA(),IFERROR(1*INDEX(BBG_Data!$H$2:$H$4000,MATCH($A1140,BBG_Data!$G$2:$G$4000,0)),NA()))</f>
        <v/>
      </c>
      <c r="F1140" s="20">
        <f>IF(AND(ISNUMBER(B1140),ISNUMBER(B1139)),IF(B1140=B1139,"",(B1140-B1139)*100),"")</f>
        <v/>
      </c>
      <c r="G1140" s="20">
        <f>IF(AND(ISNUMBER(C1140),ISNUMBER(C1139)),IF(C1140=C1139,"",(C1140-C1139)*100),"")</f>
        <v/>
      </c>
      <c r="H1140" s="20">
        <f>IF(OR(NOT(ISNUMBER($A1140)),ROW()-2&lt;Settings!$B$11),NA(),IF(COUNT(OFFSET(F1140,1-Settings!$B$11,0,Settings!$B$11,1))&lt;ROUNDUP(Settings!$B$11*Settings!$B$26,0),NA(),STDEV(OFFSET(F1140,1-Settings!$B$11,0,Settings!$B$11,1))*SQRT(Settings!$B$13)))</f>
        <v/>
      </c>
      <c r="I1140" s="20">
        <f>IF(OR(NOT(ISNUMBER($A1140)),ROW()-2&lt;Settings!$B$12),NA(),IF(COUNT(OFFSET(F1140,1-Settings!$B$12,0,Settings!$B$12,1))&lt;ROUNDUP(Settings!$B$12*Settings!$B$26,0),NA(),STDEV(OFFSET(F1140,1-Settings!$B$12,0,Settings!$B$12,1))*SQRT(Settings!$B$13)))</f>
        <v/>
      </c>
      <c r="J1140" s="20">
        <f>IF(OR(NOT(ISNUMBER($A1140)),ROW()-2&lt;Settings!$B$11),NA(),IF(COUNT(OFFSET(G1140,1-Settings!$B$11,0,Settings!$B$11,1))&lt;ROUNDUP(Settings!$B$11*Settings!$B$26,0),NA(),STDEV(OFFSET(G1140,1-Settings!$B$11,0,Settings!$B$11,1))*SQRT(Settings!$B$13)))</f>
        <v/>
      </c>
      <c r="K1140" s="20">
        <f>IF(OR(NOT(ISNUMBER($A1140)),ROW()-2&lt;Settings!$B$12),NA(),IF(COUNT(OFFSET(G1140,1-Settings!$B$12,0,Settings!$B$12,1))&lt;ROUNDUP(Settings!$B$12*Settings!$B$26,0),NA(),STDEV(OFFSET(G1140,1-Settings!$B$12,0,Settings!$B$12,1))*SQRT(Settings!$B$13)))</f>
        <v/>
      </c>
      <c r="L1140" s="20">
        <f>IF(AND(ISNUMBER(D1140),ISNUMBER(H1140)),D1140-H1140,NA())</f>
        <v/>
      </c>
      <c r="M1140" s="20">
        <f>IF(AND(ISNUMBER(E1140),ISNUMBER(K1140)),E1140-K1140,NA())</f>
        <v/>
      </c>
      <c r="N1140" s="20">
        <f>IF(NOT(ISNUMBER($A1140)),NA(),IF(COUNT(OFFSET(G1140,1,0,Settings!$B$12,1))&lt;ROUNDUP(Settings!$B$12*Settings!$B$26,0),NA(),STDEV(OFFSET(G1140,1,0,Settings!$B$12,1))*SQRT(Settings!$B$13)))</f>
        <v/>
      </c>
      <c r="O1140" s="20">
        <f>IF(AND(ISNUMBER(E1140),ISNUMBER(N1140)),E1140-N1140,NA())</f>
        <v/>
      </c>
      <c r="P1140" s="19">
        <f>IF(NOT(ISNUMBER($A1140)),NA(),IF(OR($A1140&lt;MIN(KW_TP!$A$2:$A$2501),$A1140&gt;MAX(KW_TP!$A$2:$A$2501)),NA(),INDEX(KW_TP!$C$2:$C$2501,MATCH($A1140,KW_TP!$A$2:$A$2501,1))))</f>
        <v/>
      </c>
      <c r="Q1140" s="18">
        <f>IF(NOT(ISNUMBER($A1140)),NA(),IFERROR(1*INDEX(BBG_Data!$J$2:$J$4000,MATCH($A1140,BBG_Data!$I$2:$I$4000,0)),NA()))</f>
        <v/>
      </c>
      <c r="R1140" s="18">
        <f>IF(NOT(ISNUMBER($A1140)),NA(),IFERROR(1*INDEX(BBG_Data!$L$2:$L$4000,MATCH($A1140,BBG_Data!$K$2:$K$4000,0)),NA()))</f>
        <v/>
      </c>
      <c r="S1140" s="20">
        <f>IF(AND(ISNUMBER(B1140),ISNUMBER(Q1140),ISNUMBER(R1140)),(B1140-Q1140-R1140)*100,NA())</f>
        <v/>
      </c>
      <c r="T1140" s="20">
        <f>IF(AND(ISNUMBER(B1140),Settings!$B$17&gt;0),IF(ISNUMBER(INDEX($B:$B,Settings!$B$17)),(B1140-INDEX($B:$B,Settings!$B$17))*100,NA()),NA())</f>
        <v/>
      </c>
      <c r="U1140" s="20">
        <f>IF(AND(ISNUMBER(Q1140),Settings!$B$17&gt;0),IF(ISNUMBER(INDEX($Q:$Q,Settings!$B$17)),(Q1140-INDEX($Q:$Q,Settings!$B$17))*100,NA()),NA())</f>
        <v/>
      </c>
      <c r="V1140" s="20">
        <f>IF(AND(ISNUMBER(R1140),Settings!$B$17&gt;0),IF(ISNUMBER(INDEX($R:$R,Settings!$B$17)),(R1140-INDEX($R:$R,Settings!$B$17))*100,NA()),NA())</f>
        <v/>
      </c>
      <c r="W1140" s="20">
        <f>IF(AND(ISNUMBER(P1140),Settings!$B$17&gt;0),IF(ISNUMBER(INDEX($P:$P,Settings!$B$17)),P1140-INDEX($P:$P,Settings!$B$17),NA()),NA())</f>
        <v/>
      </c>
      <c r="X1140" s="19">
        <f>IF(NOT(ISNUMBER($A1140)),NA(),IF(OR($A1140&lt;MIN(DKW_10Y!$A$2:$A$2918),$A1140&gt;MAX(DKW_10Y!$A$2:$A$2918),Settings!$B$16&lt;MIN(DKW_10Y!$A$2:$A$2918)),NA(),(INDEX(DKW_10Y!$B$2:$B$2918,MATCH($A1140,DKW_10Y!$A$2:$A$2918,1))-INDEX(DKW_10Y!$B$2:$B$2918,MATCH(Settings!$B$16,DKW_10Y!$A$2:$A$2918,1)))*100))</f>
        <v/>
      </c>
      <c r="Y1140" s="19">
        <f>IF(NOT(ISNUMBER($A1140)),NA(),IF(OR($A1140&lt;MIN(DKW_10Y!$A$2:$A$2918),$A1140&gt;MAX(DKW_10Y!$A$2:$A$2918),Settings!$B$16&lt;MIN(DKW_10Y!$A$2:$A$2918)),NA(),(INDEX(DKW_10Y!$C$2:$C$2918,MATCH($A1140,DKW_10Y!$A$2:$A$2918,1))-INDEX(DKW_10Y!$C$2:$C$2918,MATCH(Settings!$B$16,DKW_10Y!$A$2:$A$2918,1)))*100))</f>
        <v/>
      </c>
      <c r="Z1140" s="19">
        <f>IF(NOT(ISNUMBER($A1140)),NA(),IF(OR($A1140&lt;MIN(DKW_10Y!$A$2:$A$2918),$A1140&gt;MAX(DKW_10Y!$A$2:$A$2918),Settings!$B$16&lt;MIN(DKW_10Y!$A$2:$A$2918)),NA(),(INDEX(DKW_10Y!$D$2:$D$2918,MATCH($A1140,DKW_10Y!$A$2:$A$2918,1))-INDEX(DKW_10Y!$D$2:$D$2918,MATCH(Settings!$B$16,DKW_10Y!$A$2:$A$2918,1)))*100))</f>
        <v/>
      </c>
      <c r="AA1140" s="19">
        <f>IF(NOT(ISNUMBER($A1140)),NA(),IF(OR($A1140&lt;MIN(DKW_10Y!$A$2:$A$2918),$A1140&gt;MAX(DKW_10Y!$A$2:$A$2918),Settings!$B$16&lt;MIN(DKW_10Y!$A$2:$A$2918)),NA(),(INDEX(DKW_10Y!$E$2:$E$2918,MATCH($A1140,DKW_10Y!$A$2:$A$2918,1))-INDEX(DKW_10Y!$E$2:$E$2918,MATCH(Settings!$B$16,DKW_10Y!$A$2:$A$2918,1)))*100))</f>
        <v/>
      </c>
      <c r="AB1140" s="19">
        <f>IF(NOT(ISNUMBER($A1140)),NA(),IF(OR($A1140&lt;MIN(DKW_10Y!$A$2:$A$2918),$A1140&gt;MAX(DKW_10Y!$A$2:$A$2918),Settings!$B$16&lt;MIN(DKW_10Y!$A$2:$A$2918)),NA(),(INDEX(DKW_10Y!$H$2:$H$2918,MATCH($A1140,DKW_10Y!$A$2:$A$2918,1))-INDEX(DKW_10Y!$H$2:$H$2918,MATCH(Settings!$B$16,DKW_10Y!$A$2:$A$2918,1)))*100))</f>
        <v/>
      </c>
      <c r="AC1140" s="18">
        <f>IF(NOT(ISNUMBER($A1140)),NA(),IFERROR(1*INDEX(BBG_Data!$N$2:$N$4000,MATCH($A1140,BBG_Data!$M$2:$M$4000,0)),NA()))</f>
        <v/>
      </c>
      <c r="AD1140" s="18">
        <f>IF(NOT(ISNUMBER($A1140)),NA(),IFERROR(1*INDEX(BBG_Data!$P$2:$P$4000,MATCH($A1140,BBG_Data!$O$2:$O$4000,0)),NA()))</f>
        <v/>
      </c>
      <c r="AE1140" s="18">
        <f>IF(NOT(ISNUMBER($A1140)),NA(),IFERROR(1*INDEX(BBG_Data!$R$2:$R$4000,MATCH($A1140,BBG_Data!$Q$2:$Q$4000,0)),NA()))</f>
        <v/>
      </c>
      <c r="AF1140" s="20">
        <f>IF(AND(ISNUMBER(B1140),ISNUMBER(AC1140)),(B1140-AC1140)*100,NA())</f>
        <v/>
      </c>
      <c r="AG1140" s="20">
        <f>IF(AND(ISNUMBER(AE1140),ISNUMBER(AD1140)),(AE1140-AD1140)*100,NA())</f>
        <v/>
      </c>
      <c r="AH1140" s="19">
        <f>IF(NOT(ISNUMBER($A1140)),NA(),IFERROR(INDEX(BBG_Data!$T$2:$T$4000,MATCH($A1140,BBG_Data!$S$2:$S$4000,0))*Settings!$B$25,NA()))</f>
        <v/>
      </c>
      <c r="AI1140" s="19">
        <f>IF(NOT(ISNUMBER($A1140)),NA(),IFERROR(INDEX(BBG_Data!$V$2:$V$4000,MATCH($A1140,BBG_Data!$U$2:$U$4000,0))*Settings!$B$25,NA()))</f>
        <v/>
      </c>
      <c r="AJ1140" s="19">
        <f>IF(NOT(ISNUMBER($A1140)),NA(),IFERROR(1*INDEX(BBG_Data!$X$2:$X$4000,MATCH($A1140,BBG_Data!$W$2:$W$4000,0)),NA()))</f>
        <v/>
      </c>
      <c r="AK1140" s="19">
        <f>IF(NOT(ISNUMBER($A1140)),NA(),IFERROR(1*INDEX(BBG_Data!$Z$2:$Z$4000,MATCH($A1140,BBG_Data!$Y$2:$Y$4000,0)),NA()))</f>
        <v/>
      </c>
    </row>
    <row r="1141">
      <c r="A1141" s="17">
        <f>IF(ISNUMBER(BBG_Data!A1141),BBG_Data!A1141,"")</f>
        <v/>
      </c>
      <c r="B1141" s="18">
        <f>IF(AND(ISNUMBER($A1141),ISNUMBER(BBG_Data!B1141)),BBG_Data!B1141,NA())</f>
        <v/>
      </c>
      <c r="C1141" s="18">
        <f>IF(NOT(ISNUMBER($A1141)),NA(),IFERROR(1*INDEX(BBG_Data!$D$2:$D$4000,MATCH($A1141,BBG_Data!$C$2:$C$4000,0)),NA()))</f>
        <v/>
      </c>
      <c r="D1141" s="19">
        <f>IF(NOT(ISNUMBER($A1141)),NA(),IFERROR(1*INDEX(BBG_Data!$F$2:$F$4000,MATCH($A1141,BBG_Data!$E$2:$E$4000,0)),NA()))</f>
        <v/>
      </c>
      <c r="E1141" s="19">
        <f>IF(NOT(ISNUMBER($A1141)),NA(),IFERROR(1*INDEX(BBG_Data!$H$2:$H$4000,MATCH($A1141,BBG_Data!$G$2:$G$4000,0)),NA()))</f>
        <v/>
      </c>
      <c r="F1141" s="20">
        <f>IF(AND(ISNUMBER(B1141),ISNUMBER(B1140)),IF(B1141=B1140,"",(B1141-B1140)*100),"")</f>
        <v/>
      </c>
      <c r="G1141" s="20">
        <f>IF(AND(ISNUMBER(C1141),ISNUMBER(C1140)),IF(C1141=C1140,"",(C1141-C1140)*100),"")</f>
        <v/>
      </c>
      <c r="H1141" s="20">
        <f>IF(OR(NOT(ISNUMBER($A1141)),ROW()-2&lt;Settings!$B$11),NA(),IF(COUNT(OFFSET(F1141,1-Settings!$B$11,0,Settings!$B$11,1))&lt;ROUNDUP(Settings!$B$11*Settings!$B$26,0),NA(),STDEV(OFFSET(F1141,1-Settings!$B$11,0,Settings!$B$11,1))*SQRT(Settings!$B$13)))</f>
        <v/>
      </c>
      <c r="I1141" s="20">
        <f>IF(OR(NOT(ISNUMBER($A1141)),ROW()-2&lt;Settings!$B$12),NA(),IF(COUNT(OFFSET(F1141,1-Settings!$B$12,0,Settings!$B$12,1))&lt;ROUNDUP(Settings!$B$12*Settings!$B$26,0),NA(),STDEV(OFFSET(F1141,1-Settings!$B$12,0,Settings!$B$12,1))*SQRT(Settings!$B$13)))</f>
        <v/>
      </c>
      <c r="J1141" s="20">
        <f>IF(OR(NOT(ISNUMBER($A1141)),ROW()-2&lt;Settings!$B$11),NA(),IF(COUNT(OFFSET(G1141,1-Settings!$B$11,0,Settings!$B$11,1))&lt;ROUNDUP(Settings!$B$11*Settings!$B$26,0),NA(),STDEV(OFFSET(G1141,1-Settings!$B$11,0,Settings!$B$11,1))*SQRT(Settings!$B$13)))</f>
        <v/>
      </c>
      <c r="K1141" s="20">
        <f>IF(OR(NOT(ISNUMBER($A1141)),ROW()-2&lt;Settings!$B$12),NA(),IF(COUNT(OFFSET(G1141,1-Settings!$B$12,0,Settings!$B$12,1))&lt;ROUNDUP(Settings!$B$12*Settings!$B$26,0),NA(),STDEV(OFFSET(G1141,1-Settings!$B$12,0,Settings!$B$12,1))*SQRT(Settings!$B$13)))</f>
        <v/>
      </c>
      <c r="L1141" s="20">
        <f>IF(AND(ISNUMBER(D1141),ISNUMBER(H1141)),D1141-H1141,NA())</f>
        <v/>
      </c>
      <c r="M1141" s="20">
        <f>IF(AND(ISNUMBER(E1141),ISNUMBER(K1141)),E1141-K1141,NA())</f>
        <v/>
      </c>
      <c r="N1141" s="20">
        <f>IF(NOT(ISNUMBER($A1141)),NA(),IF(COUNT(OFFSET(G1141,1,0,Settings!$B$12,1))&lt;ROUNDUP(Settings!$B$12*Settings!$B$26,0),NA(),STDEV(OFFSET(G1141,1,0,Settings!$B$12,1))*SQRT(Settings!$B$13)))</f>
        <v/>
      </c>
      <c r="O1141" s="20">
        <f>IF(AND(ISNUMBER(E1141),ISNUMBER(N1141)),E1141-N1141,NA())</f>
        <v/>
      </c>
      <c r="P1141" s="19">
        <f>IF(NOT(ISNUMBER($A1141)),NA(),IF(OR($A1141&lt;MIN(KW_TP!$A$2:$A$2501),$A1141&gt;MAX(KW_TP!$A$2:$A$2501)),NA(),INDEX(KW_TP!$C$2:$C$2501,MATCH($A1141,KW_TP!$A$2:$A$2501,1))))</f>
        <v/>
      </c>
      <c r="Q1141" s="18">
        <f>IF(NOT(ISNUMBER($A1141)),NA(),IFERROR(1*INDEX(BBG_Data!$J$2:$J$4000,MATCH($A1141,BBG_Data!$I$2:$I$4000,0)),NA()))</f>
        <v/>
      </c>
      <c r="R1141" s="18">
        <f>IF(NOT(ISNUMBER($A1141)),NA(),IFERROR(1*INDEX(BBG_Data!$L$2:$L$4000,MATCH($A1141,BBG_Data!$K$2:$K$4000,0)),NA()))</f>
        <v/>
      </c>
      <c r="S1141" s="20">
        <f>IF(AND(ISNUMBER(B1141),ISNUMBER(Q1141),ISNUMBER(R1141)),(B1141-Q1141-R1141)*100,NA())</f>
        <v/>
      </c>
      <c r="T1141" s="20">
        <f>IF(AND(ISNUMBER(B1141),Settings!$B$17&gt;0),IF(ISNUMBER(INDEX($B:$B,Settings!$B$17)),(B1141-INDEX($B:$B,Settings!$B$17))*100,NA()),NA())</f>
        <v/>
      </c>
      <c r="U1141" s="20">
        <f>IF(AND(ISNUMBER(Q1141),Settings!$B$17&gt;0),IF(ISNUMBER(INDEX($Q:$Q,Settings!$B$17)),(Q1141-INDEX($Q:$Q,Settings!$B$17))*100,NA()),NA())</f>
        <v/>
      </c>
      <c r="V1141" s="20">
        <f>IF(AND(ISNUMBER(R1141),Settings!$B$17&gt;0),IF(ISNUMBER(INDEX($R:$R,Settings!$B$17)),(R1141-INDEX($R:$R,Settings!$B$17))*100,NA()),NA())</f>
        <v/>
      </c>
      <c r="W1141" s="20">
        <f>IF(AND(ISNUMBER(P1141),Settings!$B$17&gt;0),IF(ISNUMBER(INDEX($P:$P,Settings!$B$17)),P1141-INDEX($P:$P,Settings!$B$17),NA()),NA())</f>
        <v/>
      </c>
      <c r="X1141" s="19">
        <f>IF(NOT(ISNUMBER($A1141)),NA(),IF(OR($A1141&lt;MIN(DKW_10Y!$A$2:$A$2918),$A1141&gt;MAX(DKW_10Y!$A$2:$A$2918),Settings!$B$16&lt;MIN(DKW_10Y!$A$2:$A$2918)),NA(),(INDEX(DKW_10Y!$B$2:$B$2918,MATCH($A1141,DKW_10Y!$A$2:$A$2918,1))-INDEX(DKW_10Y!$B$2:$B$2918,MATCH(Settings!$B$16,DKW_10Y!$A$2:$A$2918,1)))*100))</f>
        <v/>
      </c>
      <c r="Y1141" s="19">
        <f>IF(NOT(ISNUMBER($A1141)),NA(),IF(OR($A1141&lt;MIN(DKW_10Y!$A$2:$A$2918),$A1141&gt;MAX(DKW_10Y!$A$2:$A$2918),Settings!$B$16&lt;MIN(DKW_10Y!$A$2:$A$2918)),NA(),(INDEX(DKW_10Y!$C$2:$C$2918,MATCH($A1141,DKW_10Y!$A$2:$A$2918,1))-INDEX(DKW_10Y!$C$2:$C$2918,MATCH(Settings!$B$16,DKW_10Y!$A$2:$A$2918,1)))*100))</f>
        <v/>
      </c>
      <c r="Z1141" s="19">
        <f>IF(NOT(ISNUMBER($A1141)),NA(),IF(OR($A1141&lt;MIN(DKW_10Y!$A$2:$A$2918),$A1141&gt;MAX(DKW_10Y!$A$2:$A$2918),Settings!$B$16&lt;MIN(DKW_10Y!$A$2:$A$2918)),NA(),(INDEX(DKW_10Y!$D$2:$D$2918,MATCH($A1141,DKW_10Y!$A$2:$A$2918,1))-INDEX(DKW_10Y!$D$2:$D$2918,MATCH(Settings!$B$16,DKW_10Y!$A$2:$A$2918,1)))*100))</f>
        <v/>
      </c>
      <c r="AA1141" s="19">
        <f>IF(NOT(ISNUMBER($A1141)),NA(),IF(OR($A1141&lt;MIN(DKW_10Y!$A$2:$A$2918),$A1141&gt;MAX(DKW_10Y!$A$2:$A$2918),Settings!$B$16&lt;MIN(DKW_10Y!$A$2:$A$2918)),NA(),(INDEX(DKW_10Y!$E$2:$E$2918,MATCH($A1141,DKW_10Y!$A$2:$A$2918,1))-INDEX(DKW_10Y!$E$2:$E$2918,MATCH(Settings!$B$16,DKW_10Y!$A$2:$A$2918,1)))*100))</f>
        <v/>
      </c>
      <c r="AB1141" s="19">
        <f>IF(NOT(ISNUMBER($A1141)),NA(),IF(OR($A1141&lt;MIN(DKW_10Y!$A$2:$A$2918),$A1141&gt;MAX(DKW_10Y!$A$2:$A$2918),Settings!$B$16&lt;MIN(DKW_10Y!$A$2:$A$2918)),NA(),(INDEX(DKW_10Y!$H$2:$H$2918,MATCH($A1141,DKW_10Y!$A$2:$A$2918,1))-INDEX(DKW_10Y!$H$2:$H$2918,MATCH(Settings!$B$16,DKW_10Y!$A$2:$A$2918,1)))*100))</f>
        <v/>
      </c>
      <c r="AC1141" s="18">
        <f>IF(NOT(ISNUMBER($A1141)),NA(),IFERROR(1*INDEX(BBG_Data!$N$2:$N$4000,MATCH($A1141,BBG_Data!$M$2:$M$4000,0)),NA()))</f>
        <v/>
      </c>
      <c r="AD1141" s="18">
        <f>IF(NOT(ISNUMBER($A1141)),NA(),IFERROR(1*INDEX(BBG_Data!$P$2:$P$4000,MATCH($A1141,BBG_Data!$O$2:$O$4000,0)),NA()))</f>
        <v/>
      </c>
      <c r="AE1141" s="18">
        <f>IF(NOT(ISNUMBER($A1141)),NA(),IFERROR(1*INDEX(BBG_Data!$R$2:$R$4000,MATCH($A1141,BBG_Data!$Q$2:$Q$4000,0)),NA()))</f>
        <v/>
      </c>
      <c r="AF1141" s="20">
        <f>IF(AND(ISNUMBER(B1141),ISNUMBER(AC1141)),(B1141-AC1141)*100,NA())</f>
        <v/>
      </c>
      <c r="AG1141" s="20">
        <f>IF(AND(ISNUMBER(AE1141),ISNUMBER(AD1141)),(AE1141-AD1141)*100,NA())</f>
        <v/>
      </c>
      <c r="AH1141" s="19">
        <f>IF(NOT(ISNUMBER($A1141)),NA(),IFERROR(INDEX(BBG_Data!$T$2:$T$4000,MATCH($A1141,BBG_Data!$S$2:$S$4000,0))*Settings!$B$25,NA()))</f>
        <v/>
      </c>
      <c r="AI1141" s="19">
        <f>IF(NOT(ISNUMBER($A1141)),NA(),IFERROR(INDEX(BBG_Data!$V$2:$V$4000,MATCH($A1141,BBG_Data!$U$2:$U$4000,0))*Settings!$B$25,NA()))</f>
        <v/>
      </c>
      <c r="AJ1141" s="19">
        <f>IF(NOT(ISNUMBER($A1141)),NA(),IFERROR(1*INDEX(BBG_Data!$X$2:$X$4000,MATCH($A1141,BBG_Data!$W$2:$W$4000,0)),NA()))</f>
        <v/>
      </c>
      <c r="AK1141" s="19">
        <f>IF(NOT(ISNUMBER($A1141)),NA(),IFERROR(1*INDEX(BBG_Data!$Z$2:$Z$4000,MATCH($A1141,BBG_Data!$Y$2:$Y$4000,0)),NA()))</f>
        <v/>
      </c>
    </row>
    <row r="1142">
      <c r="A1142" s="17">
        <f>IF(ISNUMBER(BBG_Data!A1142),BBG_Data!A1142,"")</f>
        <v/>
      </c>
      <c r="B1142" s="18">
        <f>IF(AND(ISNUMBER($A1142),ISNUMBER(BBG_Data!B1142)),BBG_Data!B1142,NA())</f>
        <v/>
      </c>
      <c r="C1142" s="18">
        <f>IF(NOT(ISNUMBER($A1142)),NA(),IFERROR(1*INDEX(BBG_Data!$D$2:$D$4000,MATCH($A1142,BBG_Data!$C$2:$C$4000,0)),NA()))</f>
        <v/>
      </c>
      <c r="D1142" s="19">
        <f>IF(NOT(ISNUMBER($A1142)),NA(),IFERROR(1*INDEX(BBG_Data!$F$2:$F$4000,MATCH($A1142,BBG_Data!$E$2:$E$4000,0)),NA()))</f>
        <v/>
      </c>
      <c r="E1142" s="19">
        <f>IF(NOT(ISNUMBER($A1142)),NA(),IFERROR(1*INDEX(BBG_Data!$H$2:$H$4000,MATCH($A1142,BBG_Data!$G$2:$G$4000,0)),NA()))</f>
        <v/>
      </c>
      <c r="F1142" s="20">
        <f>IF(AND(ISNUMBER(B1142),ISNUMBER(B1141)),IF(B1142=B1141,"",(B1142-B1141)*100),"")</f>
        <v/>
      </c>
      <c r="G1142" s="20">
        <f>IF(AND(ISNUMBER(C1142),ISNUMBER(C1141)),IF(C1142=C1141,"",(C1142-C1141)*100),"")</f>
        <v/>
      </c>
      <c r="H1142" s="20">
        <f>IF(OR(NOT(ISNUMBER($A1142)),ROW()-2&lt;Settings!$B$11),NA(),IF(COUNT(OFFSET(F1142,1-Settings!$B$11,0,Settings!$B$11,1))&lt;ROUNDUP(Settings!$B$11*Settings!$B$26,0),NA(),STDEV(OFFSET(F1142,1-Settings!$B$11,0,Settings!$B$11,1))*SQRT(Settings!$B$13)))</f>
        <v/>
      </c>
      <c r="I1142" s="20">
        <f>IF(OR(NOT(ISNUMBER($A1142)),ROW()-2&lt;Settings!$B$12),NA(),IF(COUNT(OFFSET(F1142,1-Settings!$B$12,0,Settings!$B$12,1))&lt;ROUNDUP(Settings!$B$12*Settings!$B$26,0),NA(),STDEV(OFFSET(F1142,1-Settings!$B$12,0,Settings!$B$12,1))*SQRT(Settings!$B$13)))</f>
        <v/>
      </c>
      <c r="J1142" s="20">
        <f>IF(OR(NOT(ISNUMBER($A1142)),ROW()-2&lt;Settings!$B$11),NA(),IF(COUNT(OFFSET(G1142,1-Settings!$B$11,0,Settings!$B$11,1))&lt;ROUNDUP(Settings!$B$11*Settings!$B$26,0),NA(),STDEV(OFFSET(G1142,1-Settings!$B$11,0,Settings!$B$11,1))*SQRT(Settings!$B$13)))</f>
        <v/>
      </c>
      <c r="K1142" s="20">
        <f>IF(OR(NOT(ISNUMBER($A1142)),ROW()-2&lt;Settings!$B$12),NA(),IF(COUNT(OFFSET(G1142,1-Settings!$B$12,0,Settings!$B$12,1))&lt;ROUNDUP(Settings!$B$12*Settings!$B$26,0),NA(),STDEV(OFFSET(G1142,1-Settings!$B$12,0,Settings!$B$12,1))*SQRT(Settings!$B$13)))</f>
        <v/>
      </c>
      <c r="L1142" s="20">
        <f>IF(AND(ISNUMBER(D1142),ISNUMBER(H1142)),D1142-H1142,NA())</f>
        <v/>
      </c>
      <c r="M1142" s="20">
        <f>IF(AND(ISNUMBER(E1142),ISNUMBER(K1142)),E1142-K1142,NA())</f>
        <v/>
      </c>
      <c r="N1142" s="20">
        <f>IF(NOT(ISNUMBER($A1142)),NA(),IF(COUNT(OFFSET(G1142,1,0,Settings!$B$12,1))&lt;ROUNDUP(Settings!$B$12*Settings!$B$26,0),NA(),STDEV(OFFSET(G1142,1,0,Settings!$B$12,1))*SQRT(Settings!$B$13)))</f>
        <v/>
      </c>
      <c r="O1142" s="20">
        <f>IF(AND(ISNUMBER(E1142),ISNUMBER(N1142)),E1142-N1142,NA())</f>
        <v/>
      </c>
      <c r="P1142" s="19">
        <f>IF(NOT(ISNUMBER($A1142)),NA(),IF(OR($A1142&lt;MIN(KW_TP!$A$2:$A$2501),$A1142&gt;MAX(KW_TP!$A$2:$A$2501)),NA(),INDEX(KW_TP!$C$2:$C$2501,MATCH($A1142,KW_TP!$A$2:$A$2501,1))))</f>
        <v/>
      </c>
      <c r="Q1142" s="18">
        <f>IF(NOT(ISNUMBER($A1142)),NA(),IFERROR(1*INDEX(BBG_Data!$J$2:$J$4000,MATCH($A1142,BBG_Data!$I$2:$I$4000,0)),NA()))</f>
        <v/>
      </c>
      <c r="R1142" s="18">
        <f>IF(NOT(ISNUMBER($A1142)),NA(),IFERROR(1*INDEX(BBG_Data!$L$2:$L$4000,MATCH($A1142,BBG_Data!$K$2:$K$4000,0)),NA()))</f>
        <v/>
      </c>
      <c r="S1142" s="20">
        <f>IF(AND(ISNUMBER(B1142),ISNUMBER(Q1142),ISNUMBER(R1142)),(B1142-Q1142-R1142)*100,NA())</f>
        <v/>
      </c>
      <c r="T1142" s="20">
        <f>IF(AND(ISNUMBER(B1142),Settings!$B$17&gt;0),IF(ISNUMBER(INDEX($B:$B,Settings!$B$17)),(B1142-INDEX($B:$B,Settings!$B$17))*100,NA()),NA())</f>
        <v/>
      </c>
      <c r="U1142" s="20">
        <f>IF(AND(ISNUMBER(Q1142),Settings!$B$17&gt;0),IF(ISNUMBER(INDEX($Q:$Q,Settings!$B$17)),(Q1142-INDEX($Q:$Q,Settings!$B$17))*100,NA()),NA())</f>
        <v/>
      </c>
      <c r="V1142" s="20">
        <f>IF(AND(ISNUMBER(R1142),Settings!$B$17&gt;0),IF(ISNUMBER(INDEX($R:$R,Settings!$B$17)),(R1142-INDEX($R:$R,Settings!$B$17))*100,NA()),NA())</f>
        <v/>
      </c>
      <c r="W1142" s="20">
        <f>IF(AND(ISNUMBER(P1142),Settings!$B$17&gt;0),IF(ISNUMBER(INDEX($P:$P,Settings!$B$17)),P1142-INDEX($P:$P,Settings!$B$17),NA()),NA())</f>
        <v/>
      </c>
      <c r="X1142" s="19">
        <f>IF(NOT(ISNUMBER($A1142)),NA(),IF(OR($A1142&lt;MIN(DKW_10Y!$A$2:$A$2918),$A1142&gt;MAX(DKW_10Y!$A$2:$A$2918),Settings!$B$16&lt;MIN(DKW_10Y!$A$2:$A$2918)),NA(),(INDEX(DKW_10Y!$B$2:$B$2918,MATCH($A1142,DKW_10Y!$A$2:$A$2918,1))-INDEX(DKW_10Y!$B$2:$B$2918,MATCH(Settings!$B$16,DKW_10Y!$A$2:$A$2918,1)))*100))</f>
        <v/>
      </c>
      <c r="Y1142" s="19">
        <f>IF(NOT(ISNUMBER($A1142)),NA(),IF(OR($A1142&lt;MIN(DKW_10Y!$A$2:$A$2918),$A1142&gt;MAX(DKW_10Y!$A$2:$A$2918),Settings!$B$16&lt;MIN(DKW_10Y!$A$2:$A$2918)),NA(),(INDEX(DKW_10Y!$C$2:$C$2918,MATCH($A1142,DKW_10Y!$A$2:$A$2918,1))-INDEX(DKW_10Y!$C$2:$C$2918,MATCH(Settings!$B$16,DKW_10Y!$A$2:$A$2918,1)))*100))</f>
        <v/>
      </c>
      <c r="Z1142" s="19">
        <f>IF(NOT(ISNUMBER($A1142)),NA(),IF(OR($A1142&lt;MIN(DKW_10Y!$A$2:$A$2918),$A1142&gt;MAX(DKW_10Y!$A$2:$A$2918),Settings!$B$16&lt;MIN(DKW_10Y!$A$2:$A$2918)),NA(),(INDEX(DKW_10Y!$D$2:$D$2918,MATCH($A1142,DKW_10Y!$A$2:$A$2918,1))-INDEX(DKW_10Y!$D$2:$D$2918,MATCH(Settings!$B$16,DKW_10Y!$A$2:$A$2918,1)))*100))</f>
        <v/>
      </c>
      <c r="AA1142" s="19">
        <f>IF(NOT(ISNUMBER($A1142)),NA(),IF(OR($A1142&lt;MIN(DKW_10Y!$A$2:$A$2918),$A1142&gt;MAX(DKW_10Y!$A$2:$A$2918),Settings!$B$16&lt;MIN(DKW_10Y!$A$2:$A$2918)),NA(),(INDEX(DKW_10Y!$E$2:$E$2918,MATCH($A1142,DKW_10Y!$A$2:$A$2918,1))-INDEX(DKW_10Y!$E$2:$E$2918,MATCH(Settings!$B$16,DKW_10Y!$A$2:$A$2918,1)))*100))</f>
        <v/>
      </c>
      <c r="AB1142" s="19">
        <f>IF(NOT(ISNUMBER($A1142)),NA(),IF(OR($A1142&lt;MIN(DKW_10Y!$A$2:$A$2918),$A1142&gt;MAX(DKW_10Y!$A$2:$A$2918),Settings!$B$16&lt;MIN(DKW_10Y!$A$2:$A$2918)),NA(),(INDEX(DKW_10Y!$H$2:$H$2918,MATCH($A1142,DKW_10Y!$A$2:$A$2918,1))-INDEX(DKW_10Y!$H$2:$H$2918,MATCH(Settings!$B$16,DKW_10Y!$A$2:$A$2918,1)))*100))</f>
        <v/>
      </c>
      <c r="AC1142" s="18">
        <f>IF(NOT(ISNUMBER($A1142)),NA(),IFERROR(1*INDEX(BBG_Data!$N$2:$N$4000,MATCH($A1142,BBG_Data!$M$2:$M$4000,0)),NA()))</f>
        <v/>
      </c>
      <c r="AD1142" s="18">
        <f>IF(NOT(ISNUMBER($A1142)),NA(),IFERROR(1*INDEX(BBG_Data!$P$2:$P$4000,MATCH($A1142,BBG_Data!$O$2:$O$4000,0)),NA()))</f>
        <v/>
      </c>
      <c r="AE1142" s="18">
        <f>IF(NOT(ISNUMBER($A1142)),NA(),IFERROR(1*INDEX(BBG_Data!$R$2:$R$4000,MATCH($A1142,BBG_Data!$Q$2:$Q$4000,0)),NA()))</f>
        <v/>
      </c>
      <c r="AF1142" s="20">
        <f>IF(AND(ISNUMBER(B1142),ISNUMBER(AC1142)),(B1142-AC1142)*100,NA())</f>
        <v/>
      </c>
      <c r="AG1142" s="20">
        <f>IF(AND(ISNUMBER(AE1142),ISNUMBER(AD1142)),(AE1142-AD1142)*100,NA())</f>
        <v/>
      </c>
      <c r="AH1142" s="19">
        <f>IF(NOT(ISNUMBER($A1142)),NA(),IFERROR(INDEX(BBG_Data!$T$2:$T$4000,MATCH($A1142,BBG_Data!$S$2:$S$4000,0))*Settings!$B$25,NA()))</f>
        <v/>
      </c>
      <c r="AI1142" s="19">
        <f>IF(NOT(ISNUMBER($A1142)),NA(),IFERROR(INDEX(BBG_Data!$V$2:$V$4000,MATCH($A1142,BBG_Data!$U$2:$U$4000,0))*Settings!$B$25,NA()))</f>
        <v/>
      </c>
      <c r="AJ1142" s="19">
        <f>IF(NOT(ISNUMBER($A1142)),NA(),IFERROR(1*INDEX(BBG_Data!$X$2:$X$4000,MATCH($A1142,BBG_Data!$W$2:$W$4000,0)),NA()))</f>
        <v/>
      </c>
      <c r="AK1142" s="19">
        <f>IF(NOT(ISNUMBER($A1142)),NA(),IFERROR(1*INDEX(BBG_Data!$Z$2:$Z$4000,MATCH($A1142,BBG_Data!$Y$2:$Y$4000,0)),NA()))</f>
        <v/>
      </c>
    </row>
    <row r="1143">
      <c r="A1143" s="17">
        <f>IF(ISNUMBER(BBG_Data!A1143),BBG_Data!A1143,"")</f>
        <v/>
      </c>
      <c r="B1143" s="18">
        <f>IF(AND(ISNUMBER($A1143),ISNUMBER(BBG_Data!B1143)),BBG_Data!B1143,NA())</f>
        <v/>
      </c>
      <c r="C1143" s="18">
        <f>IF(NOT(ISNUMBER($A1143)),NA(),IFERROR(1*INDEX(BBG_Data!$D$2:$D$4000,MATCH($A1143,BBG_Data!$C$2:$C$4000,0)),NA()))</f>
        <v/>
      </c>
      <c r="D1143" s="19">
        <f>IF(NOT(ISNUMBER($A1143)),NA(),IFERROR(1*INDEX(BBG_Data!$F$2:$F$4000,MATCH($A1143,BBG_Data!$E$2:$E$4000,0)),NA()))</f>
        <v/>
      </c>
      <c r="E1143" s="19">
        <f>IF(NOT(ISNUMBER($A1143)),NA(),IFERROR(1*INDEX(BBG_Data!$H$2:$H$4000,MATCH($A1143,BBG_Data!$G$2:$G$4000,0)),NA()))</f>
        <v/>
      </c>
      <c r="F1143" s="20">
        <f>IF(AND(ISNUMBER(B1143),ISNUMBER(B1142)),IF(B1143=B1142,"",(B1143-B1142)*100),"")</f>
        <v/>
      </c>
      <c r="G1143" s="20">
        <f>IF(AND(ISNUMBER(C1143),ISNUMBER(C1142)),IF(C1143=C1142,"",(C1143-C1142)*100),"")</f>
        <v/>
      </c>
      <c r="H1143" s="20">
        <f>IF(OR(NOT(ISNUMBER($A1143)),ROW()-2&lt;Settings!$B$11),NA(),IF(COUNT(OFFSET(F1143,1-Settings!$B$11,0,Settings!$B$11,1))&lt;ROUNDUP(Settings!$B$11*Settings!$B$26,0),NA(),STDEV(OFFSET(F1143,1-Settings!$B$11,0,Settings!$B$11,1))*SQRT(Settings!$B$13)))</f>
        <v/>
      </c>
      <c r="I1143" s="20">
        <f>IF(OR(NOT(ISNUMBER($A1143)),ROW()-2&lt;Settings!$B$12),NA(),IF(COUNT(OFFSET(F1143,1-Settings!$B$12,0,Settings!$B$12,1))&lt;ROUNDUP(Settings!$B$12*Settings!$B$26,0),NA(),STDEV(OFFSET(F1143,1-Settings!$B$12,0,Settings!$B$12,1))*SQRT(Settings!$B$13)))</f>
        <v/>
      </c>
      <c r="J1143" s="20">
        <f>IF(OR(NOT(ISNUMBER($A1143)),ROW()-2&lt;Settings!$B$11),NA(),IF(COUNT(OFFSET(G1143,1-Settings!$B$11,0,Settings!$B$11,1))&lt;ROUNDUP(Settings!$B$11*Settings!$B$26,0),NA(),STDEV(OFFSET(G1143,1-Settings!$B$11,0,Settings!$B$11,1))*SQRT(Settings!$B$13)))</f>
        <v/>
      </c>
      <c r="K1143" s="20">
        <f>IF(OR(NOT(ISNUMBER($A1143)),ROW()-2&lt;Settings!$B$12),NA(),IF(COUNT(OFFSET(G1143,1-Settings!$B$12,0,Settings!$B$12,1))&lt;ROUNDUP(Settings!$B$12*Settings!$B$26,0),NA(),STDEV(OFFSET(G1143,1-Settings!$B$12,0,Settings!$B$12,1))*SQRT(Settings!$B$13)))</f>
        <v/>
      </c>
      <c r="L1143" s="20">
        <f>IF(AND(ISNUMBER(D1143),ISNUMBER(H1143)),D1143-H1143,NA())</f>
        <v/>
      </c>
      <c r="M1143" s="20">
        <f>IF(AND(ISNUMBER(E1143),ISNUMBER(K1143)),E1143-K1143,NA())</f>
        <v/>
      </c>
      <c r="N1143" s="20">
        <f>IF(NOT(ISNUMBER($A1143)),NA(),IF(COUNT(OFFSET(G1143,1,0,Settings!$B$12,1))&lt;ROUNDUP(Settings!$B$12*Settings!$B$26,0),NA(),STDEV(OFFSET(G1143,1,0,Settings!$B$12,1))*SQRT(Settings!$B$13)))</f>
        <v/>
      </c>
      <c r="O1143" s="20">
        <f>IF(AND(ISNUMBER(E1143),ISNUMBER(N1143)),E1143-N1143,NA())</f>
        <v/>
      </c>
      <c r="P1143" s="19">
        <f>IF(NOT(ISNUMBER($A1143)),NA(),IF(OR($A1143&lt;MIN(KW_TP!$A$2:$A$2501),$A1143&gt;MAX(KW_TP!$A$2:$A$2501)),NA(),INDEX(KW_TP!$C$2:$C$2501,MATCH($A1143,KW_TP!$A$2:$A$2501,1))))</f>
        <v/>
      </c>
      <c r="Q1143" s="18">
        <f>IF(NOT(ISNUMBER($A1143)),NA(),IFERROR(1*INDEX(BBG_Data!$J$2:$J$4000,MATCH($A1143,BBG_Data!$I$2:$I$4000,0)),NA()))</f>
        <v/>
      </c>
      <c r="R1143" s="18">
        <f>IF(NOT(ISNUMBER($A1143)),NA(),IFERROR(1*INDEX(BBG_Data!$L$2:$L$4000,MATCH($A1143,BBG_Data!$K$2:$K$4000,0)),NA()))</f>
        <v/>
      </c>
      <c r="S1143" s="20">
        <f>IF(AND(ISNUMBER(B1143),ISNUMBER(Q1143),ISNUMBER(R1143)),(B1143-Q1143-R1143)*100,NA())</f>
        <v/>
      </c>
      <c r="T1143" s="20">
        <f>IF(AND(ISNUMBER(B1143),Settings!$B$17&gt;0),IF(ISNUMBER(INDEX($B:$B,Settings!$B$17)),(B1143-INDEX($B:$B,Settings!$B$17))*100,NA()),NA())</f>
        <v/>
      </c>
      <c r="U1143" s="20">
        <f>IF(AND(ISNUMBER(Q1143),Settings!$B$17&gt;0),IF(ISNUMBER(INDEX($Q:$Q,Settings!$B$17)),(Q1143-INDEX($Q:$Q,Settings!$B$17))*100,NA()),NA())</f>
        <v/>
      </c>
      <c r="V1143" s="20">
        <f>IF(AND(ISNUMBER(R1143),Settings!$B$17&gt;0),IF(ISNUMBER(INDEX($R:$R,Settings!$B$17)),(R1143-INDEX($R:$R,Settings!$B$17))*100,NA()),NA())</f>
        <v/>
      </c>
      <c r="W1143" s="20">
        <f>IF(AND(ISNUMBER(P1143),Settings!$B$17&gt;0),IF(ISNUMBER(INDEX($P:$P,Settings!$B$17)),P1143-INDEX($P:$P,Settings!$B$17),NA()),NA())</f>
        <v/>
      </c>
      <c r="X1143" s="19">
        <f>IF(NOT(ISNUMBER($A1143)),NA(),IF(OR($A1143&lt;MIN(DKW_10Y!$A$2:$A$2918),$A1143&gt;MAX(DKW_10Y!$A$2:$A$2918),Settings!$B$16&lt;MIN(DKW_10Y!$A$2:$A$2918)),NA(),(INDEX(DKW_10Y!$B$2:$B$2918,MATCH($A1143,DKW_10Y!$A$2:$A$2918,1))-INDEX(DKW_10Y!$B$2:$B$2918,MATCH(Settings!$B$16,DKW_10Y!$A$2:$A$2918,1)))*100))</f>
        <v/>
      </c>
      <c r="Y1143" s="19">
        <f>IF(NOT(ISNUMBER($A1143)),NA(),IF(OR($A1143&lt;MIN(DKW_10Y!$A$2:$A$2918),$A1143&gt;MAX(DKW_10Y!$A$2:$A$2918),Settings!$B$16&lt;MIN(DKW_10Y!$A$2:$A$2918)),NA(),(INDEX(DKW_10Y!$C$2:$C$2918,MATCH($A1143,DKW_10Y!$A$2:$A$2918,1))-INDEX(DKW_10Y!$C$2:$C$2918,MATCH(Settings!$B$16,DKW_10Y!$A$2:$A$2918,1)))*100))</f>
        <v/>
      </c>
      <c r="Z1143" s="19">
        <f>IF(NOT(ISNUMBER($A1143)),NA(),IF(OR($A1143&lt;MIN(DKW_10Y!$A$2:$A$2918),$A1143&gt;MAX(DKW_10Y!$A$2:$A$2918),Settings!$B$16&lt;MIN(DKW_10Y!$A$2:$A$2918)),NA(),(INDEX(DKW_10Y!$D$2:$D$2918,MATCH($A1143,DKW_10Y!$A$2:$A$2918,1))-INDEX(DKW_10Y!$D$2:$D$2918,MATCH(Settings!$B$16,DKW_10Y!$A$2:$A$2918,1)))*100))</f>
        <v/>
      </c>
      <c r="AA1143" s="19">
        <f>IF(NOT(ISNUMBER($A1143)),NA(),IF(OR($A1143&lt;MIN(DKW_10Y!$A$2:$A$2918),$A1143&gt;MAX(DKW_10Y!$A$2:$A$2918),Settings!$B$16&lt;MIN(DKW_10Y!$A$2:$A$2918)),NA(),(INDEX(DKW_10Y!$E$2:$E$2918,MATCH($A1143,DKW_10Y!$A$2:$A$2918,1))-INDEX(DKW_10Y!$E$2:$E$2918,MATCH(Settings!$B$16,DKW_10Y!$A$2:$A$2918,1)))*100))</f>
        <v/>
      </c>
      <c r="AB1143" s="19">
        <f>IF(NOT(ISNUMBER($A1143)),NA(),IF(OR($A1143&lt;MIN(DKW_10Y!$A$2:$A$2918),$A1143&gt;MAX(DKW_10Y!$A$2:$A$2918),Settings!$B$16&lt;MIN(DKW_10Y!$A$2:$A$2918)),NA(),(INDEX(DKW_10Y!$H$2:$H$2918,MATCH($A1143,DKW_10Y!$A$2:$A$2918,1))-INDEX(DKW_10Y!$H$2:$H$2918,MATCH(Settings!$B$16,DKW_10Y!$A$2:$A$2918,1)))*100))</f>
        <v/>
      </c>
      <c r="AC1143" s="18">
        <f>IF(NOT(ISNUMBER($A1143)),NA(),IFERROR(1*INDEX(BBG_Data!$N$2:$N$4000,MATCH($A1143,BBG_Data!$M$2:$M$4000,0)),NA()))</f>
        <v/>
      </c>
      <c r="AD1143" s="18">
        <f>IF(NOT(ISNUMBER($A1143)),NA(),IFERROR(1*INDEX(BBG_Data!$P$2:$P$4000,MATCH($A1143,BBG_Data!$O$2:$O$4000,0)),NA()))</f>
        <v/>
      </c>
      <c r="AE1143" s="18">
        <f>IF(NOT(ISNUMBER($A1143)),NA(),IFERROR(1*INDEX(BBG_Data!$R$2:$R$4000,MATCH($A1143,BBG_Data!$Q$2:$Q$4000,0)),NA()))</f>
        <v/>
      </c>
      <c r="AF1143" s="20">
        <f>IF(AND(ISNUMBER(B1143),ISNUMBER(AC1143)),(B1143-AC1143)*100,NA())</f>
        <v/>
      </c>
      <c r="AG1143" s="20">
        <f>IF(AND(ISNUMBER(AE1143),ISNUMBER(AD1143)),(AE1143-AD1143)*100,NA())</f>
        <v/>
      </c>
      <c r="AH1143" s="19">
        <f>IF(NOT(ISNUMBER($A1143)),NA(),IFERROR(INDEX(BBG_Data!$T$2:$T$4000,MATCH($A1143,BBG_Data!$S$2:$S$4000,0))*Settings!$B$25,NA()))</f>
        <v/>
      </c>
      <c r="AI1143" s="19">
        <f>IF(NOT(ISNUMBER($A1143)),NA(),IFERROR(INDEX(BBG_Data!$V$2:$V$4000,MATCH($A1143,BBG_Data!$U$2:$U$4000,0))*Settings!$B$25,NA()))</f>
        <v/>
      </c>
      <c r="AJ1143" s="19">
        <f>IF(NOT(ISNUMBER($A1143)),NA(),IFERROR(1*INDEX(BBG_Data!$X$2:$X$4000,MATCH($A1143,BBG_Data!$W$2:$W$4000,0)),NA()))</f>
        <v/>
      </c>
      <c r="AK1143" s="19">
        <f>IF(NOT(ISNUMBER($A1143)),NA(),IFERROR(1*INDEX(BBG_Data!$Z$2:$Z$4000,MATCH($A1143,BBG_Data!$Y$2:$Y$4000,0)),NA()))</f>
        <v/>
      </c>
    </row>
    <row r="1144">
      <c r="A1144" s="17">
        <f>IF(ISNUMBER(BBG_Data!A1144),BBG_Data!A1144,"")</f>
        <v/>
      </c>
      <c r="B1144" s="18">
        <f>IF(AND(ISNUMBER($A1144),ISNUMBER(BBG_Data!B1144)),BBG_Data!B1144,NA())</f>
        <v/>
      </c>
      <c r="C1144" s="18">
        <f>IF(NOT(ISNUMBER($A1144)),NA(),IFERROR(1*INDEX(BBG_Data!$D$2:$D$4000,MATCH($A1144,BBG_Data!$C$2:$C$4000,0)),NA()))</f>
        <v/>
      </c>
      <c r="D1144" s="19">
        <f>IF(NOT(ISNUMBER($A1144)),NA(),IFERROR(1*INDEX(BBG_Data!$F$2:$F$4000,MATCH($A1144,BBG_Data!$E$2:$E$4000,0)),NA()))</f>
        <v/>
      </c>
      <c r="E1144" s="19">
        <f>IF(NOT(ISNUMBER($A1144)),NA(),IFERROR(1*INDEX(BBG_Data!$H$2:$H$4000,MATCH($A1144,BBG_Data!$G$2:$G$4000,0)),NA()))</f>
        <v/>
      </c>
      <c r="F1144" s="20">
        <f>IF(AND(ISNUMBER(B1144),ISNUMBER(B1143)),IF(B1144=B1143,"",(B1144-B1143)*100),"")</f>
        <v/>
      </c>
      <c r="G1144" s="20">
        <f>IF(AND(ISNUMBER(C1144),ISNUMBER(C1143)),IF(C1144=C1143,"",(C1144-C1143)*100),"")</f>
        <v/>
      </c>
      <c r="H1144" s="20">
        <f>IF(OR(NOT(ISNUMBER($A1144)),ROW()-2&lt;Settings!$B$11),NA(),IF(COUNT(OFFSET(F1144,1-Settings!$B$11,0,Settings!$B$11,1))&lt;ROUNDUP(Settings!$B$11*Settings!$B$26,0),NA(),STDEV(OFFSET(F1144,1-Settings!$B$11,0,Settings!$B$11,1))*SQRT(Settings!$B$13)))</f>
        <v/>
      </c>
      <c r="I1144" s="20">
        <f>IF(OR(NOT(ISNUMBER($A1144)),ROW()-2&lt;Settings!$B$12),NA(),IF(COUNT(OFFSET(F1144,1-Settings!$B$12,0,Settings!$B$12,1))&lt;ROUNDUP(Settings!$B$12*Settings!$B$26,0),NA(),STDEV(OFFSET(F1144,1-Settings!$B$12,0,Settings!$B$12,1))*SQRT(Settings!$B$13)))</f>
        <v/>
      </c>
      <c r="J1144" s="20">
        <f>IF(OR(NOT(ISNUMBER($A1144)),ROW()-2&lt;Settings!$B$11),NA(),IF(COUNT(OFFSET(G1144,1-Settings!$B$11,0,Settings!$B$11,1))&lt;ROUNDUP(Settings!$B$11*Settings!$B$26,0),NA(),STDEV(OFFSET(G1144,1-Settings!$B$11,0,Settings!$B$11,1))*SQRT(Settings!$B$13)))</f>
        <v/>
      </c>
      <c r="K1144" s="20">
        <f>IF(OR(NOT(ISNUMBER($A1144)),ROW()-2&lt;Settings!$B$12),NA(),IF(COUNT(OFFSET(G1144,1-Settings!$B$12,0,Settings!$B$12,1))&lt;ROUNDUP(Settings!$B$12*Settings!$B$26,0),NA(),STDEV(OFFSET(G1144,1-Settings!$B$12,0,Settings!$B$12,1))*SQRT(Settings!$B$13)))</f>
        <v/>
      </c>
      <c r="L1144" s="20">
        <f>IF(AND(ISNUMBER(D1144),ISNUMBER(H1144)),D1144-H1144,NA())</f>
        <v/>
      </c>
      <c r="M1144" s="20">
        <f>IF(AND(ISNUMBER(E1144),ISNUMBER(K1144)),E1144-K1144,NA())</f>
        <v/>
      </c>
      <c r="N1144" s="20">
        <f>IF(NOT(ISNUMBER($A1144)),NA(),IF(COUNT(OFFSET(G1144,1,0,Settings!$B$12,1))&lt;ROUNDUP(Settings!$B$12*Settings!$B$26,0),NA(),STDEV(OFFSET(G1144,1,0,Settings!$B$12,1))*SQRT(Settings!$B$13)))</f>
        <v/>
      </c>
      <c r="O1144" s="20">
        <f>IF(AND(ISNUMBER(E1144),ISNUMBER(N1144)),E1144-N1144,NA())</f>
        <v/>
      </c>
      <c r="P1144" s="19">
        <f>IF(NOT(ISNUMBER($A1144)),NA(),IF(OR($A1144&lt;MIN(KW_TP!$A$2:$A$2501),$A1144&gt;MAX(KW_TP!$A$2:$A$2501)),NA(),INDEX(KW_TP!$C$2:$C$2501,MATCH($A1144,KW_TP!$A$2:$A$2501,1))))</f>
        <v/>
      </c>
      <c r="Q1144" s="18">
        <f>IF(NOT(ISNUMBER($A1144)),NA(),IFERROR(1*INDEX(BBG_Data!$J$2:$J$4000,MATCH($A1144,BBG_Data!$I$2:$I$4000,0)),NA()))</f>
        <v/>
      </c>
      <c r="R1144" s="18">
        <f>IF(NOT(ISNUMBER($A1144)),NA(),IFERROR(1*INDEX(BBG_Data!$L$2:$L$4000,MATCH($A1144,BBG_Data!$K$2:$K$4000,0)),NA()))</f>
        <v/>
      </c>
      <c r="S1144" s="20">
        <f>IF(AND(ISNUMBER(B1144),ISNUMBER(Q1144),ISNUMBER(R1144)),(B1144-Q1144-R1144)*100,NA())</f>
        <v/>
      </c>
      <c r="T1144" s="20">
        <f>IF(AND(ISNUMBER(B1144),Settings!$B$17&gt;0),IF(ISNUMBER(INDEX($B:$B,Settings!$B$17)),(B1144-INDEX($B:$B,Settings!$B$17))*100,NA()),NA())</f>
        <v/>
      </c>
      <c r="U1144" s="20">
        <f>IF(AND(ISNUMBER(Q1144),Settings!$B$17&gt;0),IF(ISNUMBER(INDEX($Q:$Q,Settings!$B$17)),(Q1144-INDEX($Q:$Q,Settings!$B$17))*100,NA()),NA())</f>
        <v/>
      </c>
      <c r="V1144" s="20">
        <f>IF(AND(ISNUMBER(R1144),Settings!$B$17&gt;0),IF(ISNUMBER(INDEX($R:$R,Settings!$B$17)),(R1144-INDEX($R:$R,Settings!$B$17))*100,NA()),NA())</f>
        <v/>
      </c>
      <c r="W1144" s="20">
        <f>IF(AND(ISNUMBER(P1144),Settings!$B$17&gt;0),IF(ISNUMBER(INDEX($P:$P,Settings!$B$17)),P1144-INDEX($P:$P,Settings!$B$17),NA()),NA())</f>
        <v/>
      </c>
      <c r="X1144" s="19">
        <f>IF(NOT(ISNUMBER($A1144)),NA(),IF(OR($A1144&lt;MIN(DKW_10Y!$A$2:$A$2918),$A1144&gt;MAX(DKW_10Y!$A$2:$A$2918),Settings!$B$16&lt;MIN(DKW_10Y!$A$2:$A$2918)),NA(),(INDEX(DKW_10Y!$B$2:$B$2918,MATCH($A1144,DKW_10Y!$A$2:$A$2918,1))-INDEX(DKW_10Y!$B$2:$B$2918,MATCH(Settings!$B$16,DKW_10Y!$A$2:$A$2918,1)))*100))</f>
        <v/>
      </c>
      <c r="Y1144" s="19">
        <f>IF(NOT(ISNUMBER($A1144)),NA(),IF(OR($A1144&lt;MIN(DKW_10Y!$A$2:$A$2918),$A1144&gt;MAX(DKW_10Y!$A$2:$A$2918),Settings!$B$16&lt;MIN(DKW_10Y!$A$2:$A$2918)),NA(),(INDEX(DKW_10Y!$C$2:$C$2918,MATCH($A1144,DKW_10Y!$A$2:$A$2918,1))-INDEX(DKW_10Y!$C$2:$C$2918,MATCH(Settings!$B$16,DKW_10Y!$A$2:$A$2918,1)))*100))</f>
        <v/>
      </c>
      <c r="Z1144" s="19">
        <f>IF(NOT(ISNUMBER($A1144)),NA(),IF(OR($A1144&lt;MIN(DKW_10Y!$A$2:$A$2918),$A1144&gt;MAX(DKW_10Y!$A$2:$A$2918),Settings!$B$16&lt;MIN(DKW_10Y!$A$2:$A$2918)),NA(),(INDEX(DKW_10Y!$D$2:$D$2918,MATCH($A1144,DKW_10Y!$A$2:$A$2918,1))-INDEX(DKW_10Y!$D$2:$D$2918,MATCH(Settings!$B$16,DKW_10Y!$A$2:$A$2918,1)))*100))</f>
        <v/>
      </c>
      <c r="AA1144" s="19">
        <f>IF(NOT(ISNUMBER($A1144)),NA(),IF(OR($A1144&lt;MIN(DKW_10Y!$A$2:$A$2918),$A1144&gt;MAX(DKW_10Y!$A$2:$A$2918),Settings!$B$16&lt;MIN(DKW_10Y!$A$2:$A$2918)),NA(),(INDEX(DKW_10Y!$E$2:$E$2918,MATCH($A1144,DKW_10Y!$A$2:$A$2918,1))-INDEX(DKW_10Y!$E$2:$E$2918,MATCH(Settings!$B$16,DKW_10Y!$A$2:$A$2918,1)))*100))</f>
        <v/>
      </c>
      <c r="AB1144" s="19">
        <f>IF(NOT(ISNUMBER($A1144)),NA(),IF(OR($A1144&lt;MIN(DKW_10Y!$A$2:$A$2918),$A1144&gt;MAX(DKW_10Y!$A$2:$A$2918),Settings!$B$16&lt;MIN(DKW_10Y!$A$2:$A$2918)),NA(),(INDEX(DKW_10Y!$H$2:$H$2918,MATCH($A1144,DKW_10Y!$A$2:$A$2918,1))-INDEX(DKW_10Y!$H$2:$H$2918,MATCH(Settings!$B$16,DKW_10Y!$A$2:$A$2918,1)))*100))</f>
        <v/>
      </c>
      <c r="AC1144" s="18">
        <f>IF(NOT(ISNUMBER($A1144)),NA(),IFERROR(1*INDEX(BBG_Data!$N$2:$N$4000,MATCH($A1144,BBG_Data!$M$2:$M$4000,0)),NA()))</f>
        <v/>
      </c>
      <c r="AD1144" s="18">
        <f>IF(NOT(ISNUMBER($A1144)),NA(),IFERROR(1*INDEX(BBG_Data!$P$2:$P$4000,MATCH($A1144,BBG_Data!$O$2:$O$4000,0)),NA()))</f>
        <v/>
      </c>
      <c r="AE1144" s="18">
        <f>IF(NOT(ISNUMBER($A1144)),NA(),IFERROR(1*INDEX(BBG_Data!$R$2:$R$4000,MATCH($A1144,BBG_Data!$Q$2:$Q$4000,0)),NA()))</f>
        <v/>
      </c>
      <c r="AF1144" s="20">
        <f>IF(AND(ISNUMBER(B1144),ISNUMBER(AC1144)),(B1144-AC1144)*100,NA())</f>
        <v/>
      </c>
      <c r="AG1144" s="20">
        <f>IF(AND(ISNUMBER(AE1144),ISNUMBER(AD1144)),(AE1144-AD1144)*100,NA())</f>
        <v/>
      </c>
      <c r="AH1144" s="19">
        <f>IF(NOT(ISNUMBER($A1144)),NA(),IFERROR(INDEX(BBG_Data!$T$2:$T$4000,MATCH($A1144,BBG_Data!$S$2:$S$4000,0))*Settings!$B$25,NA()))</f>
        <v/>
      </c>
      <c r="AI1144" s="19">
        <f>IF(NOT(ISNUMBER($A1144)),NA(),IFERROR(INDEX(BBG_Data!$V$2:$V$4000,MATCH($A1144,BBG_Data!$U$2:$U$4000,0))*Settings!$B$25,NA()))</f>
        <v/>
      </c>
      <c r="AJ1144" s="19">
        <f>IF(NOT(ISNUMBER($A1144)),NA(),IFERROR(1*INDEX(BBG_Data!$X$2:$X$4000,MATCH($A1144,BBG_Data!$W$2:$W$4000,0)),NA()))</f>
        <v/>
      </c>
      <c r="AK1144" s="19">
        <f>IF(NOT(ISNUMBER($A1144)),NA(),IFERROR(1*INDEX(BBG_Data!$Z$2:$Z$4000,MATCH($A1144,BBG_Data!$Y$2:$Y$4000,0)),NA()))</f>
        <v/>
      </c>
    </row>
    <row r="1145">
      <c r="A1145" s="17">
        <f>IF(ISNUMBER(BBG_Data!A1145),BBG_Data!A1145,"")</f>
        <v/>
      </c>
      <c r="B1145" s="18">
        <f>IF(AND(ISNUMBER($A1145),ISNUMBER(BBG_Data!B1145)),BBG_Data!B1145,NA())</f>
        <v/>
      </c>
      <c r="C1145" s="18">
        <f>IF(NOT(ISNUMBER($A1145)),NA(),IFERROR(1*INDEX(BBG_Data!$D$2:$D$4000,MATCH($A1145,BBG_Data!$C$2:$C$4000,0)),NA()))</f>
        <v/>
      </c>
      <c r="D1145" s="19">
        <f>IF(NOT(ISNUMBER($A1145)),NA(),IFERROR(1*INDEX(BBG_Data!$F$2:$F$4000,MATCH($A1145,BBG_Data!$E$2:$E$4000,0)),NA()))</f>
        <v/>
      </c>
      <c r="E1145" s="19">
        <f>IF(NOT(ISNUMBER($A1145)),NA(),IFERROR(1*INDEX(BBG_Data!$H$2:$H$4000,MATCH($A1145,BBG_Data!$G$2:$G$4000,0)),NA()))</f>
        <v/>
      </c>
      <c r="F1145" s="20">
        <f>IF(AND(ISNUMBER(B1145),ISNUMBER(B1144)),IF(B1145=B1144,"",(B1145-B1144)*100),"")</f>
        <v/>
      </c>
      <c r="G1145" s="20">
        <f>IF(AND(ISNUMBER(C1145),ISNUMBER(C1144)),IF(C1145=C1144,"",(C1145-C1144)*100),"")</f>
        <v/>
      </c>
      <c r="H1145" s="20">
        <f>IF(OR(NOT(ISNUMBER($A1145)),ROW()-2&lt;Settings!$B$11),NA(),IF(COUNT(OFFSET(F1145,1-Settings!$B$11,0,Settings!$B$11,1))&lt;ROUNDUP(Settings!$B$11*Settings!$B$26,0),NA(),STDEV(OFFSET(F1145,1-Settings!$B$11,0,Settings!$B$11,1))*SQRT(Settings!$B$13)))</f>
        <v/>
      </c>
      <c r="I1145" s="20">
        <f>IF(OR(NOT(ISNUMBER($A1145)),ROW()-2&lt;Settings!$B$12),NA(),IF(COUNT(OFFSET(F1145,1-Settings!$B$12,0,Settings!$B$12,1))&lt;ROUNDUP(Settings!$B$12*Settings!$B$26,0),NA(),STDEV(OFFSET(F1145,1-Settings!$B$12,0,Settings!$B$12,1))*SQRT(Settings!$B$13)))</f>
        <v/>
      </c>
      <c r="J1145" s="20">
        <f>IF(OR(NOT(ISNUMBER($A1145)),ROW()-2&lt;Settings!$B$11),NA(),IF(COUNT(OFFSET(G1145,1-Settings!$B$11,0,Settings!$B$11,1))&lt;ROUNDUP(Settings!$B$11*Settings!$B$26,0),NA(),STDEV(OFFSET(G1145,1-Settings!$B$11,0,Settings!$B$11,1))*SQRT(Settings!$B$13)))</f>
        <v/>
      </c>
      <c r="K1145" s="20">
        <f>IF(OR(NOT(ISNUMBER($A1145)),ROW()-2&lt;Settings!$B$12),NA(),IF(COUNT(OFFSET(G1145,1-Settings!$B$12,0,Settings!$B$12,1))&lt;ROUNDUP(Settings!$B$12*Settings!$B$26,0),NA(),STDEV(OFFSET(G1145,1-Settings!$B$12,0,Settings!$B$12,1))*SQRT(Settings!$B$13)))</f>
        <v/>
      </c>
      <c r="L1145" s="20">
        <f>IF(AND(ISNUMBER(D1145),ISNUMBER(H1145)),D1145-H1145,NA())</f>
        <v/>
      </c>
      <c r="M1145" s="20">
        <f>IF(AND(ISNUMBER(E1145),ISNUMBER(K1145)),E1145-K1145,NA())</f>
        <v/>
      </c>
      <c r="N1145" s="20">
        <f>IF(NOT(ISNUMBER($A1145)),NA(),IF(COUNT(OFFSET(G1145,1,0,Settings!$B$12,1))&lt;ROUNDUP(Settings!$B$12*Settings!$B$26,0),NA(),STDEV(OFFSET(G1145,1,0,Settings!$B$12,1))*SQRT(Settings!$B$13)))</f>
        <v/>
      </c>
      <c r="O1145" s="20">
        <f>IF(AND(ISNUMBER(E1145),ISNUMBER(N1145)),E1145-N1145,NA())</f>
        <v/>
      </c>
      <c r="P1145" s="19">
        <f>IF(NOT(ISNUMBER($A1145)),NA(),IF(OR($A1145&lt;MIN(KW_TP!$A$2:$A$2501),$A1145&gt;MAX(KW_TP!$A$2:$A$2501)),NA(),INDEX(KW_TP!$C$2:$C$2501,MATCH($A1145,KW_TP!$A$2:$A$2501,1))))</f>
        <v/>
      </c>
      <c r="Q1145" s="18">
        <f>IF(NOT(ISNUMBER($A1145)),NA(),IFERROR(1*INDEX(BBG_Data!$J$2:$J$4000,MATCH($A1145,BBG_Data!$I$2:$I$4000,0)),NA()))</f>
        <v/>
      </c>
      <c r="R1145" s="18">
        <f>IF(NOT(ISNUMBER($A1145)),NA(),IFERROR(1*INDEX(BBG_Data!$L$2:$L$4000,MATCH($A1145,BBG_Data!$K$2:$K$4000,0)),NA()))</f>
        <v/>
      </c>
      <c r="S1145" s="20">
        <f>IF(AND(ISNUMBER(B1145),ISNUMBER(Q1145),ISNUMBER(R1145)),(B1145-Q1145-R1145)*100,NA())</f>
        <v/>
      </c>
      <c r="T1145" s="20">
        <f>IF(AND(ISNUMBER(B1145),Settings!$B$17&gt;0),IF(ISNUMBER(INDEX($B:$B,Settings!$B$17)),(B1145-INDEX($B:$B,Settings!$B$17))*100,NA()),NA())</f>
        <v/>
      </c>
      <c r="U1145" s="20">
        <f>IF(AND(ISNUMBER(Q1145),Settings!$B$17&gt;0),IF(ISNUMBER(INDEX($Q:$Q,Settings!$B$17)),(Q1145-INDEX($Q:$Q,Settings!$B$17))*100,NA()),NA())</f>
        <v/>
      </c>
      <c r="V1145" s="20">
        <f>IF(AND(ISNUMBER(R1145),Settings!$B$17&gt;0),IF(ISNUMBER(INDEX($R:$R,Settings!$B$17)),(R1145-INDEX($R:$R,Settings!$B$17))*100,NA()),NA())</f>
        <v/>
      </c>
      <c r="W1145" s="20">
        <f>IF(AND(ISNUMBER(P1145),Settings!$B$17&gt;0),IF(ISNUMBER(INDEX($P:$P,Settings!$B$17)),P1145-INDEX($P:$P,Settings!$B$17),NA()),NA())</f>
        <v/>
      </c>
      <c r="X1145" s="19">
        <f>IF(NOT(ISNUMBER($A1145)),NA(),IF(OR($A1145&lt;MIN(DKW_10Y!$A$2:$A$2918),$A1145&gt;MAX(DKW_10Y!$A$2:$A$2918),Settings!$B$16&lt;MIN(DKW_10Y!$A$2:$A$2918)),NA(),(INDEX(DKW_10Y!$B$2:$B$2918,MATCH($A1145,DKW_10Y!$A$2:$A$2918,1))-INDEX(DKW_10Y!$B$2:$B$2918,MATCH(Settings!$B$16,DKW_10Y!$A$2:$A$2918,1)))*100))</f>
        <v/>
      </c>
      <c r="Y1145" s="19">
        <f>IF(NOT(ISNUMBER($A1145)),NA(),IF(OR($A1145&lt;MIN(DKW_10Y!$A$2:$A$2918),$A1145&gt;MAX(DKW_10Y!$A$2:$A$2918),Settings!$B$16&lt;MIN(DKW_10Y!$A$2:$A$2918)),NA(),(INDEX(DKW_10Y!$C$2:$C$2918,MATCH($A1145,DKW_10Y!$A$2:$A$2918,1))-INDEX(DKW_10Y!$C$2:$C$2918,MATCH(Settings!$B$16,DKW_10Y!$A$2:$A$2918,1)))*100))</f>
        <v/>
      </c>
      <c r="Z1145" s="19">
        <f>IF(NOT(ISNUMBER($A1145)),NA(),IF(OR($A1145&lt;MIN(DKW_10Y!$A$2:$A$2918),$A1145&gt;MAX(DKW_10Y!$A$2:$A$2918),Settings!$B$16&lt;MIN(DKW_10Y!$A$2:$A$2918)),NA(),(INDEX(DKW_10Y!$D$2:$D$2918,MATCH($A1145,DKW_10Y!$A$2:$A$2918,1))-INDEX(DKW_10Y!$D$2:$D$2918,MATCH(Settings!$B$16,DKW_10Y!$A$2:$A$2918,1)))*100))</f>
        <v/>
      </c>
      <c r="AA1145" s="19">
        <f>IF(NOT(ISNUMBER($A1145)),NA(),IF(OR($A1145&lt;MIN(DKW_10Y!$A$2:$A$2918),$A1145&gt;MAX(DKW_10Y!$A$2:$A$2918),Settings!$B$16&lt;MIN(DKW_10Y!$A$2:$A$2918)),NA(),(INDEX(DKW_10Y!$E$2:$E$2918,MATCH($A1145,DKW_10Y!$A$2:$A$2918,1))-INDEX(DKW_10Y!$E$2:$E$2918,MATCH(Settings!$B$16,DKW_10Y!$A$2:$A$2918,1)))*100))</f>
        <v/>
      </c>
      <c r="AB1145" s="19">
        <f>IF(NOT(ISNUMBER($A1145)),NA(),IF(OR($A1145&lt;MIN(DKW_10Y!$A$2:$A$2918),$A1145&gt;MAX(DKW_10Y!$A$2:$A$2918),Settings!$B$16&lt;MIN(DKW_10Y!$A$2:$A$2918)),NA(),(INDEX(DKW_10Y!$H$2:$H$2918,MATCH($A1145,DKW_10Y!$A$2:$A$2918,1))-INDEX(DKW_10Y!$H$2:$H$2918,MATCH(Settings!$B$16,DKW_10Y!$A$2:$A$2918,1)))*100))</f>
        <v/>
      </c>
      <c r="AC1145" s="18">
        <f>IF(NOT(ISNUMBER($A1145)),NA(),IFERROR(1*INDEX(BBG_Data!$N$2:$N$4000,MATCH($A1145,BBG_Data!$M$2:$M$4000,0)),NA()))</f>
        <v/>
      </c>
      <c r="AD1145" s="18">
        <f>IF(NOT(ISNUMBER($A1145)),NA(),IFERROR(1*INDEX(BBG_Data!$P$2:$P$4000,MATCH($A1145,BBG_Data!$O$2:$O$4000,0)),NA()))</f>
        <v/>
      </c>
      <c r="AE1145" s="18">
        <f>IF(NOT(ISNUMBER($A1145)),NA(),IFERROR(1*INDEX(BBG_Data!$R$2:$R$4000,MATCH($A1145,BBG_Data!$Q$2:$Q$4000,0)),NA()))</f>
        <v/>
      </c>
      <c r="AF1145" s="20">
        <f>IF(AND(ISNUMBER(B1145),ISNUMBER(AC1145)),(B1145-AC1145)*100,NA())</f>
        <v/>
      </c>
      <c r="AG1145" s="20">
        <f>IF(AND(ISNUMBER(AE1145),ISNUMBER(AD1145)),(AE1145-AD1145)*100,NA())</f>
        <v/>
      </c>
      <c r="AH1145" s="19">
        <f>IF(NOT(ISNUMBER($A1145)),NA(),IFERROR(INDEX(BBG_Data!$T$2:$T$4000,MATCH($A1145,BBG_Data!$S$2:$S$4000,0))*Settings!$B$25,NA()))</f>
        <v/>
      </c>
      <c r="AI1145" s="19">
        <f>IF(NOT(ISNUMBER($A1145)),NA(),IFERROR(INDEX(BBG_Data!$V$2:$V$4000,MATCH($A1145,BBG_Data!$U$2:$U$4000,0))*Settings!$B$25,NA()))</f>
        <v/>
      </c>
      <c r="AJ1145" s="19">
        <f>IF(NOT(ISNUMBER($A1145)),NA(),IFERROR(1*INDEX(BBG_Data!$X$2:$X$4000,MATCH($A1145,BBG_Data!$W$2:$W$4000,0)),NA()))</f>
        <v/>
      </c>
      <c r="AK1145" s="19">
        <f>IF(NOT(ISNUMBER($A1145)),NA(),IFERROR(1*INDEX(BBG_Data!$Z$2:$Z$4000,MATCH($A1145,BBG_Data!$Y$2:$Y$4000,0)),NA()))</f>
        <v/>
      </c>
    </row>
    <row r="1146">
      <c r="A1146" s="17">
        <f>IF(ISNUMBER(BBG_Data!A1146),BBG_Data!A1146,"")</f>
        <v/>
      </c>
      <c r="B1146" s="18">
        <f>IF(AND(ISNUMBER($A1146),ISNUMBER(BBG_Data!B1146)),BBG_Data!B1146,NA())</f>
        <v/>
      </c>
      <c r="C1146" s="18">
        <f>IF(NOT(ISNUMBER($A1146)),NA(),IFERROR(1*INDEX(BBG_Data!$D$2:$D$4000,MATCH($A1146,BBG_Data!$C$2:$C$4000,0)),NA()))</f>
        <v/>
      </c>
      <c r="D1146" s="19">
        <f>IF(NOT(ISNUMBER($A1146)),NA(),IFERROR(1*INDEX(BBG_Data!$F$2:$F$4000,MATCH($A1146,BBG_Data!$E$2:$E$4000,0)),NA()))</f>
        <v/>
      </c>
      <c r="E1146" s="19">
        <f>IF(NOT(ISNUMBER($A1146)),NA(),IFERROR(1*INDEX(BBG_Data!$H$2:$H$4000,MATCH($A1146,BBG_Data!$G$2:$G$4000,0)),NA()))</f>
        <v/>
      </c>
      <c r="F1146" s="20">
        <f>IF(AND(ISNUMBER(B1146),ISNUMBER(B1145)),IF(B1146=B1145,"",(B1146-B1145)*100),"")</f>
        <v/>
      </c>
      <c r="G1146" s="20">
        <f>IF(AND(ISNUMBER(C1146),ISNUMBER(C1145)),IF(C1146=C1145,"",(C1146-C1145)*100),"")</f>
        <v/>
      </c>
      <c r="H1146" s="20">
        <f>IF(OR(NOT(ISNUMBER($A1146)),ROW()-2&lt;Settings!$B$11),NA(),IF(COUNT(OFFSET(F1146,1-Settings!$B$11,0,Settings!$B$11,1))&lt;ROUNDUP(Settings!$B$11*Settings!$B$26,0),NA(),STDEV(OFFSET(F1146,1-Settings!$B$11,0,Settings!$B$11,1))*SQRT(Settings!$B$13)))</f>
        <v/>
      </c>
      <c r="I1146" s="20">
        <f>IF(OR(NOT(ISNUMBER($A1146)),ROW()-2&lt;Settings!$B$12),NA(),IF(COUNT(OFFSET(F1146,1-Settings!$B$12,0,Settings!$B$12,1))&lt;ROUNDUP(Settings!$B$12*Settings!$B$26,0),NA(),STDEV(OFFSET(F1146,1-Settings!$B$12,0,Settings!$B$12,1))*SQRT(Settings!$B$13)))</f>
        <v/>
      </c>
      <c r="J1146" s="20">
        <f>IF(OR(NOT(ISNUMBER($A1146)),ROW()-2&lt;Settings!$B$11),NA(),IF(COUNT(OFFSET(G1146,1-Settings!$B$11,0,Settings!$B$11,1))&lt;ROUNDUP(Settings!$B$11*Settings!$B$26,0),NA(),STDEV(OFFSET(G1146,1-Settings!$B$11,0,Settings!$B$11,1))*SQRT(Settings!$B$13)))</f>
        <v/>
      </c>
      <c r="K1146" s="20">
        <f>IF(OR(NOT(ISNUMBER($A1146)),ROW()-2&lt;Settings!$B$12),NA(),IF(COUNT(OFFSET(G1146,1-Settings!$B$12,0,Settings!$B$12,1))&lt;ROUNDUP(Settings!$B$12*Settings!$B$26,0),NA(),STDEV(OFFSET(G1146,1-Settings!$B$12,0,Settings!$B$12,1))*SQRT(Settings!$B$13)))</f>
        <v/>
      </c>
      <c r="L1146" s="20">
        <f>IF(AND(ISNUMBER(D1146),ISNUMBER(H1146)),D1146-H1146,NA())</f>
        <v/>
      </c>
      <c r="M1146" s="20">
        <f>IF(AND(ISNUMBER(E1146),ISNUMBER(K1146)),E1146-K1146,NA())</f>
        <v/>
      </c>
      <c r="N1146" s="20">
        <f>IF(NOT(ISNUMBER($A1146)),NA(),IF(COUNT(OFFSET(G1146,1,0,Settings!$B$12,1))&lt;ROUNDUP(Settings!$B$12*Settings!$B$26,0),NA(),STDEV(OFFSET(G1146,1,0,Settings!$B$12,1))*SQRT(Settings!$B$13)))</f>
        <v/>
      </c>
      <c r="O1146" s="20">
        <f>IF(AND(ISNUMBER(E1146),ISNUMBER(N1146)),E1146-N1146,NA())</f>
        <v/>
      </c>
      <c r="P1146" s="19">
        <f>IF(NOT(ISNUMBER($A1146)),NA(),IF(OR($A1146&lt;MIN(KW_TP!$A$2:$A$2501),$A1146&gt;MAX(KW_TP!$A$2:$A$2501)),NA(),INDEX(KW_TP!$C$2:$C$2501,MATCH($A1146,KW_TP!$A$2:$A$2501,1))))</f>
        <v/>
      </c>
      <c r="Q1146" s="18">
        <f>IF(NOT(ISNUMBER($A1146)),NA(),IFERROR(1*INDEX(BBG_Data!$J$2:$J$4000,MATCH($A1146,BBG_Data!$I$2:$I$4000,0)),NA()))</f>
        <v/>
      </c>
      <c r="R1146" s="18">
        <f>IF(NOT(ISNUMBER($A1146)),NA(),IFERROR(1*INDEX(BBG_Data!$L$2:$L$4000,MATCH($A1146,BBG_Data!$K$2:$K$4000,0)),NA()))</f>
        <v/>
      </c>
      <c r="S1146" s="20">
        <f>IF(AND(ISNUMBER(B1146),ISNUMBER(Q1146),ISNUMBER(R1146)),(B1146-Q1146-R1146)*100,NA())</f>
        <v/>
      </c>
      <c r="T1146" s="20">
        <f>IF(AND(ISNUMBER(B1146),Settings!$B$17&gt;0),IF(ISNUMBER(INDEX($B:$B,Settings!$B$17)),(B1146-INDEX($B:$B,Settings!$B$17))*100,NA()),NA())</f>
        <v/>
      </c>
      <c r="U1146" s="20">
        <f>IF(AND(ISNUMBER(Q1146),Settings!$B$17&gt;0),IF(ISNUMBER(INDEX($Q:$Q,Settings!$B$17)),(Q1146-INDEX($Q:$Q,Settings!$B$17))*100,NA()),NA())</f>
        <v/>
      </c>
      <c r="V1146" s="20">
        <f>IF(AND(ISNUMBER(R1146),Settings!$B$17&gt;0),IF(ISNUMBER(INDEX($R:$R,Settings!$B$17)),(R1146-INDEX($R:$R,Settings!$B$17))*100,NA()),NA())</f>
        <v/>
      </c>
      <c r="W1146" s="20">
        <f>IF(AND(ISNUMBER(P1146),Settings!$B$17&gt;0),IF(ISNUMBER(INDEX($P:$P,Settings!$B$17)),P1146-INDEX($P:$P,Settings!$B$17),NA()),NA())</f>
        <v/>
      </c>
      <c r="X1146" s="19">
        <f>IF(NOT(ISNUMBER($A1146)),NA(),IF(OR($A1146&lt;MIN(DKW_10Y!$A$2:$A$2918),$A1146&gt;MAX(DKW_10Y!$A$2:$A$2918),Settings!$B$16&lt;MIN(DKW_10Y!$A$2:$A$2918)),NA(),(INDEX(DKW_10Y!$B$2:$B$2918,MATCH($A1146,DKW_10Y!$A$2:$A$2918,1))-INDEX(DKW_10Y!$B$2:$B$2918,MATCH(Settings!$B$16,DKW_10Y!$A$2:$A$2918,1)))*100))</f>
        <v/>
      </c>
      <c r="Y1146" s="19">
        <f>IF(NOT(ISNUMBER($A1146)),NA(),IF(OR($A1146&lt;MIN(DKW_10Y!$A$2:$A$2918),$A1146&gt;MAX(DKW_10Y!$A$2:$A$2918),Settings!$B$16&lt;MIN(DKW_10Y!$A$2:$A$2918)),NA(),(INDEX(DKW_10Y!$C$2:$C$2918,MATCH($A1146,DKW_10Y!$A$2:$A$2918,1))-INDEX(DKW_10Y!$C$2:$C$2918,MATCH(Settings!$B$16,DKW_10Y!$A$2:$A$2918,1)))*100))</f>
        <v/>
      </c>
      <c r="Z1146" s="19">
        <f>IF(NOT(ISNUMBER($A1146)),NA(),IF(OR($A1146&lt;MIN(DKW_10Y!$A$2:$A$2918),$A1146&gt;MAX(DKW_10Y!$A$2:$A$2918),Settings!$B$16&lt;MIN(DKW_10Y!$A$2:$A$2918)),NA(),(INDEX(DKW_10Y!$D$2:$D$2918,MATCH($A1146,DKW_10Y!$A$2:$A$2918,1))-INDEX(DKW_10Y!$D$2:$D$2918,MATCH(Settings!$B$16,DKW_10Y!$A$2:$A$2918,1)))*100))</f>
        <v/>
      </c>
      <c r="AA1146" s="19">
        <f>IF(NOT(ISNUMBER($A1146)),NA(),IF(OR($A1146&lt;MIN(DKW_10Y!$A$2:$A$2918),$A1146&gt;MAX(DKW_10Y!$A$2:$A$2918),Settings!$B$16&lt;MIN(DKW_10Y!$A$2:$A$2918)),NA(),(INDEX(DKW_10Y!$E$2:$E$2918,MATCH($A1146,DKW_10Y!$A$2:$A$2918,1))-INDEX(DKW_10Y!$E$2:$E$2918,MATCH(Settings!$B$16,DKW_10Y!$A$2:$A$2918,1)))*100))</f>
        <v/>
      </c>
      <c r="AB1146" s="19">
        <f>IF(NOT(ISNUMBER($A1146)),NA(),IF(OR($A1146&lt;MIN(DKW_10Y!$A$2:$A$2918),$A1146&gt;MAX(DKW_10Y!$A$2:$A$2918),Settings!$B$16&lt;MIN(DKW_10Y!$A$2:$A$2918)),NA(),(INDEX(DKW_10Y!$H$2:$H$2918,MATCH($A1146,DKW_10Y!$A$2:$A$2918,1))-INDEX(DKW_10Y!$H$2:$H$2918,MATCH(Settings!$B$16,DKW_10Y!$A$2:$A$2918,1)))*100))</f>
        <v/>
      </c>
      <c r="AC1146" s="18">
        <f>IF(NOT(ISNUMBER($A1146)),NA(),IFERROR(1*INDEX(BBG_Data!$N$2:$N$4000,MATCH($A1146,BBG_Data!$M$2:$M$4000,0)),NA()))</f>
        <v/>
      </c>
      <c r="AD1146" s="18">
        <f>IF(NOT(ISNUMBER($A1146)),NA(),IFERROR(1*INDEX(BBG_Data!$P$2:$P$4000,MATCH($A1146,BBG_Data!$O$2:$O$4000,0)),NA()))</f>
        <v/>
      </c>
      <c r="AE1146" s="18">
        <f>IF(NOT(ISNUMBER($A1146)),NA(),IFERROR(1*INDEX(BBG_Data!$R$2:$R$4000,MATCH($A1146,BBG_Data!$Q$2:$Q$4000,0)),NA()))</f>
        <v/>
      </c>
      <c r="AF1146" s="20">
        <f>IF(AND(ISNUMBER(B1146),ISNUMBER(AC1146)),(B1146-AC1146)*100,NA())</f>
        <v/>
      </c>
      <c r="AG1146" s="20">
        <f>IF(AND(ISNUMBER(AE1146),ISNUMBER(AD1146)),(AE1146-AD1146)*100,NA())</f>
        <v/>
      </c>
      <c r="AH1146" s="19">
        <f>IF(NOT(ISNUMBER($A1146)),NA(),IFERROR(INDEX(BBG_Data!$T$2:$T$4000,MATCH($A1146,BBG_Data!$S$2:$S$4000,0))*Settings!$B$25,NA()))</f>
        <v/>
      </c>
      <c r="AI1146" s="19">
        <f>IF(NOT(ISNUMBER($A1146)),NA(),IFERROR(INDEX(BBG_Data!$V$2:$V$4000,MATCH($A1146,BBG_Data!$U$2:$U$4000,0))*Settings!$B$25,NA()))</f>
        <v/>
      </c>
      <c r="AJ1146" s="19">
        <f>IF(NOT(ISNUMBER($A1146)),NA(),IFERROR(1*INDEX(BBG_Data!$X$2:$X$4000,MATCH($A1146,BBG_Data!$W$2:$W$4000,0)),NA()))</f>
        <v/>
      </c>
      <c r="AK1146" s="19">
        <f>IF(NOT(ISNUMBER($A1146)),NA(),IFERROR(1*INDEX(BBG_Data!$Z$2:$Z$4000,MATCH($A1146,BBG_Data!$Y$2:$Y$4000,0)),NA()))</f>
        <v/>
      </c>
    </row>
    <row r="1147">
      <c r="A1147" s="17">
        <f>IF(ISNUMBER(BBG_Data!A1147),BBG_Data!A1147,"")</f>
        <v/>
      </c>
      <c r="B1147" s="18">
        <f>IF(AND(ISNUMBER($A1147),ISNUMBER(BBG_Data!B1147)),BBG_Data!B1147,NA())</f>
        <v/>
      </c>
      <c r="C1147" s="18">
        <f>IF(NOT(ISNUMBER($A1147)),NA(),IFERROR(1*INDEX(BBG_Data!$D$2:$D$4000,MATCH($A1147,BBG_Data!$C$2:$C$4000,0)),NA()))</f>
        <v/>
      </c>
      <c r="D1147" s="19">
        <f>IF(NOT(ISNUMBER($A1147)),NA(),IFERROR(1*INDEX(BBG_Data!$F$2:$F$4000,MATCH($A1147,BBG_Data!$E$2:$E$4000,0)),NA()))</f>
        <v/>
      </c>
      <c r="E1147" s="19">
        <f>IF(NOT(ISNUMBER($A1147)),NA(),IFERROR(1*INDEX(BBG_Data!$H$2:$H$4000,MATCH($A1147,BBG_Data!$G$2:$G$4000,0)),NA()))</f>
        <v/>
      </c>
      <c r="F1147" s="20">
        <f>IF(AND(ISNUMBER(B1147),ISNUMBER(B1146)),IF(B1147=B1146,"",(B1147-B1146)*100),"")</f>
        <v/>
      </c>
      <c r="G1147" s="20">
        <f>IF(AND(ISNUMBER(C1147),ISNUMBER(C1146)),IF(C1147=C1146,"",(C1147-C1146)*100),"")</f>
        <v/>
      </c>
      <c r="H1147" s="20">
        <f>IF(OR(NOT(ISNUMBER($A1147)),ROW()-2&lt;Settings!$B$11),NA(),IF(COUNT(OFFSET(F1147,1-Settings!$B$11,0,Settings!$B$11,1))&lt;ROUNDUP(Settings!$B$11*Settings!$B$26,0),NA(),STDEV(OFFSET(F1147,1-Settings!$B$11,0,Settings!$B$11,1))*SQRT(Settings!$B$13)))</f>
        <v/>
      </c>
      <c r="I1147" s="20">
        <f>IF(OR(NOT(ISNUMBER($A1147)),ROW()-2&lt;Settings!$B$12),NA(),IF(COUNT(OFFSET(F1147,1-Settings!$B$12,0,Settings!$B$12,1))&lt;ROUNDUP(Settings!$B$12*Settings!$B$26,0),NA(),STDEV(OFFSET(F1147,1-Settings!$B$12,0,Settings!$B$12,1))*SQRT(Settings!$B$13)))</f>
        <v/>
      </c>
      <c r="J1147" s="20">
        <f>IF(OR(NOT(ISNUMBER($A1147)),ROW()-2&lt;Settings!$B$11),NA(),IF(COUNT(OFFSET(G1147,1-Settings!$B$11,0,Settings!$B$11,1))&lt;ROUNDUP(Settings!$B$11*Settings!$B$26,0),NA(),STDEV(OFFSET(G1147,1-Settings!$B$11,0,Settings!$B$11,1))*SQRT(Settings!$B$13)))</f>
        <v/>
      </c>
      <c r="K1147" s="20">
        <f>IF(OR(NOT(ISNUMBER($A1147)),ROW()-2&lt;Settings!$B$12),NA(),IF(COUNT(OFFSET(G1147,1-Settings!$B$12,0,Settings!$B$12,1))&lt;ROUNDUP(Settings!$B$12*Settings!$B$26,0),NA(),STDEV(OFFSET(G1147,1-Settings!$B$12,0,Settings!$B$12,1))*SQRT(Settings!$B$13)))</f>
        <v/>
      </c>
      <c r="L1147" s="20">
        <f>IF(AND(ISNUMBER(D1147),ISNUMBER(H1147)),D1147-H1147,NA())</f>
        <v/>
      </c>
      <c r="M1147" s="20">
        <f>IF(AND(ISNUMBER(E1147),ISNUMBER(K1147)),E1147-K1147,NA())</f>
        <v/>
      </c>
      <c r="N1147" s="20">
        <f>IF(NOT(ISNUMBER($A1147)),NA(),IF(COUNT(OFFSET(G1147,1,0,Settings!$B$12,1))&lt;ROUNDUP(Settings!$B$12*Settings!$B$26,0),NA(),STDEV(OFFSET(G1147,1,0,Settings!$B$12,1))*SQRT(Settings!$B$13)))</f>
        <v/>
      </c>
      <c r="O1147" s="20">
        <f>IF(AND(ISNUMBER(E1147),ISNUMBER(N1147)),E1147-N1147,NA())</f>
        <v/>
      </c>
      <c r="P1147" s="19">
        <f>IF(NOT(ISNUMBER($A1147)),NA(),IF(OR($A1147&lt;MIN(KW_TP!$A$2:$A$2501),$A1147&gt;MAX(KW_TP!$A$2:$A$2501)),NA(),INDEX(KW_TP!$C$2:$C$2501,MATCH($A1147,KW_TP!$A$2:$A$2501,1))))</f>
        <v/>
      </c>
      <c r="Q1147" s="18">
        <f>IF(NOT(ISNUMBER($A1147)),NA(),IFERROR(1*INDEX(BBG_Data!$J$2:$J$4000,MATCH($A1147,BBG_Data!$I$2:$I$4000,0)),NA()))</f>
        <v/>
      </c>
      <c r="R1147" s="18">
        <f>IF(NOT(ISNUMBER($A1147)),NA(),IFERROR(1*INDEX(BBG_Data!$L$2:$L$4000,MATCH($A1147,BBG_Data!$K$2:$K$4000,0)),NA()))</f>
        <v/>
      </c>
      <c r="S1147" s="20">
        <f>IF(AND(ISNUMBER(B1147),ISNUMBER(Q1147),ISNUMBER(R1147)),(B1147-Q1147-R1147)*100,NA())</f>
        <v/>
      </c>
      <c r="T1147" s="20">
        <f>IF(AND(ISNUMBER(B1147),Settings!$B$17&gt;0),IF(ISNUMBER(INDEX($B:$B,Settings!$B$17)),(B1147-INDEX($B:$B,Settings!$B$17))*100,NA()),NA())</f>
        <v/>
      </c>
      <c r="U1147" s="20">
        <f>IF(AND(ISNUMBER(Q1147),Settings!$B$17&gt;0),IF(ISNUMBER(INDEX($Q:$Q,Settings!$B$17)),(Q1147-INDEX($Q:$Q,Settings!$B$17))*100,NA()),NA())</f>
        <v/>
      </c>
      <c r="V1147" s="20">
        <f>IF(AND(ISNUMBER(R1147),Settings!$B$17&gt;0),IF(ISNUMBER(INDEX($R:$R,Settings!$B$17)),(R1147-INDEX($R:$R,Settings!$B$17))*100,NA()),NA())</f>
        <v/>
      </c>
      <c r="W1147" s="20">
        <f>IF(AND(ISNUMBER(P1147),Settings!$B$17&gt;0),IF(ISNUMBER(INDEX($P:$P,Settings!$B$17)),P1147-INDEX($P:$P,Settings!$B$17),NA()),NA())</f>
        <v/>
      </c>
      <c r="X1147" s="19">
        <f>IF(NOT(ISNUMBER($A1147)),NA(),IF(OR($A1147&lt;MIN(DKW_10Y!$A$2:$A$2918),$A1147&gt;MAX(DKW_10Y!$A$2:$A$2918),Settings!$B$16&lt;MIN(DKW_10Y!$A$2:$A$2918)),NA(),(INDEX(DKW_10Y!$B$2:$B$2918,MATCH($A1147,DKW_10Y!$A$2:$A$2918,1))-INDEX(DKW_10Y!$B$2:$B$2918,MATCH(Settings!$B$16,DKW_10Y!$A$2:$A$2918,1)))*100))</f>
        <v/>
      </c>
      <c r="Y1147" s="19">
        <f>IF(NOT(ISNUMBER($A1147)),NA(),IF(OR($A1147&lt;MIN(DKW_10Y!$A$2:$A$2918),$A1147&gt;MAX(DKW_10Y!$A$2:$A$2918),Settings!$B$16&lt;MIN(DKW_10Y!$A$2:$A$2918)),NA(),(INDEX(DKW_10Y!$C$2:$C$2918,MATCH($A1147,DKW_10Y!$A$2:$A$2918,1))-INDEX(DKW_10Y!$C$2:$C$2918,MATCH(Settings!$B$16,DKW_10Y!$A$2:$A$2918,1)))*100))</f>
        <v/>
      </c>
      <c r="Z1147" s="19">
        <f>IF(NOT(ISNUMBER($A1147)),NA(),IF(OR($A1147&lt;MIN(DKW_10Y!$A$2:$A$2918),$A1147&gt;MAX(DKW_10Y!$A$2:$A$2918),Settings!$B$16&lt;MIN(DKW_10Y!$A$2:$A$2918)),NA(),(INDEX(DKW_10Y!$D$2:$D$2918,MATCH($A1147,DKW_10Y!$A$2:$A$2918,1))-INDEX(DKW_10Y!$D$2:$D$2918,MATCH(Settings!$B$16,DKW_10Y!$A$2:$A$2918,1)))*100))</f>
        <v/>
      </c>
      <c r="AA1147" s="19">
        <f>IF(NOT(ISNUMBER($A1147)),NA(),IF(OR($A1147&lt;MIN(DKW_10Y!$A$2:$A$2918),$A1147&gt;MAX(DKW_10Y!$A$2:$A$2918),Settings!$B$16&lt;MIN(DKW_10Y!$A$2:$A$2918)),NA(),(INDEX(DKW_10Y!$E$2:$E$2918,MATCH($A1147,DKW_10Y!$A$2:$A$2918,1))-INDEX(DKW_10Y!$E$2:$E$2918,MATCH(Settings!$B$16,DKW_10Y!$A$2:$A$2918,1)))*100))</f>
        <v/>
      </c>
      <c r="AB1147" s="19">
        <f>IF(NOT(ISNUMBER($A1147)),NA(),IF(OR($A1147&lt;MIN(DKW_10Y!$A$2:$A$2918),$A1147&gt;MAX(DKW_10Y!$A$2:$A$2918),Settings!$B$16&lt;MIN(DKW_10Y!$A$2:$A$2918)),NA(),(INDEX(DKW_10Y!$H$2:$H$2918,MATCH($A1147,DKW_10Y!$A$2:$A$2918,1))-INDEX(DKW_10Y!$H$2:$H$2918,MATCH(Settings!$B$16,DKW_10Y!$A$2:$A$2918,1)))*100))</f>
        <v/>
      </c>
      <c r="AC1147" s="18">
        <f>IF(NOT(ISNUMBER($A1147)),NA(),IFERROR(1*INDEX(BBG_Data!$N$2:$N$4000,MATCH($A1147,BBG_Data!$M$2:$M$4000,0)),NA()))</f>
        <v/>
      </c>
      <c r="AD1147" s="18">
        <f>IF(NOT(ISNUMBER($A1147)),NA(),IFERROR(1*INDEX(BBG_Data!$P$2:$P$4000,MATCH($A1147,BBG_Data!$O$2:$O$4000,0)),NA()))</f>
        <v/>
      </c>
      <c r="AE1147" s="18">
        <f>IF(NOT(ISNUMBER($A1147)),NA(),IFERROR(1*INDEX(BBG_Data!$R$2:$R$4000,MATCH($A1147,BBG_Data!$Q$2:$Q$4000,0)),NA()))</f>
        <v/>
      </c>
      <c r="AF1147" s="20">
        <f>IF(AND(ISNUMBER(B1147),ISNUMBER(AC1147)),(B1147-AC1147)*100,NA())</f>
        <v/>
      </c>
      <c r="AG1147" s="20">
        <f>IF(AND(ISNUMBER(AE1147),ISNUMBER(AD1147)),(AE1147-AD1147)*100,NA())</f>
        <v/>
      </c>
      <c r="AH1147" s="19">
        <f>IF(NOT(ISNUMBER($A1147)),NA(),IFERROR(INDEX(BBG_Data!$T$2:$T$4000,MATCH($A1147,BBG_Data!$S$2:$S$4000,0))*Settings!$B$25,NA()))</f>
        <v/>
      </c>
      <c r="AI1147" s="19">
        <f>IF(NOT(ISNUMBER($A1147)),NA(),IFERROR(INDEX(BBG_Data!$V$2:$V$4000,MATCH($A1147,BBG_Data!$U$2:$U$4000,0))*Settings!$B$25,NA()))</f>
        <v/>
      </c>
      <c r="AJ1147" s="19">
        <f>IF(NOT(ISNUMBER($A1147)),NA(),IFERROR(1*INDEX(BBG_Data!$X$2:$X$4000,MATCH($A1147,BBG_Data!$W$2:$W$4000,0)),NA()))</f>
        <v/>
      </c>
      <c r="AK1147" s="19">
        <f>IF(NOT(ISNUMBER($A1147)),NA(),IFERROR(1*INDEX(BBG_Data!$Z$2:$Z$4000,MATCH($A1147,BBG_Data!$Y$2:$Y$4000,0)),NA()))</f>
        <v/>
      </c>
    </row>
    <row r="1148">
      <c r="A1148" s="17">
        <f>IF(ISNUMBER(BBG_Data!A1148),BBG_Data!A1148,"")</f>
        <v/>
      </c>
      <c r="B1148" s="18">
        <f>IF(AND(ISNUMBER($A1148),ISNUMBER(BBG_Data!B1148)),BBG_Data!B1148,NA())</f>
        <v/>
      </c>
      <c r="C1148" s="18">
        <f>IF(NOT(ISNUMBER($A1148)),NA(),IFERROR(1*INDEX(BBG_Data!$D$2:$D$4000,MATCH($A1148,BBG_Data!$C$2:$C$4000,0)),NA()))</f>
        <v/>
      </c>
      <c r="D1148" s="19">
        <f>IF(NOT(ISNUMBER($A1148)),NA(),IFERROR(1*INDEX(BBG_Data!$F$2:$F$4000,MATCH($A1148,BBG_Data!$E$2:$E$4000,0)),NA()))</f>
        <v/>
      </c>
      <c r="E1148" s="19">
        <f>IF(NOT(ISNUMBER($A1148)),NA(),IFERROR(1*INDEX(BBG_Data!$H$2:$H$4000,MATCH($A1148,BBG_Data!$G$2:$G$4000,0)),NA()))</f>
        <v/>
      </c>
      <c r="F1148" s="20">
        <f>IF(AND(ISNUMBER(B1148),ISNUMBER(B1147)),IF(B1148=B1147,"",(B1148-B1147)*100),"")</f>
        <v/>
      </c>
      <c r="G1148" s="20">
        <f>IF(AND(ISNUMBER(C1148),ISNUMBER(C1147)),IF(C1148=C1147,"",(C1148-C1147)*100),"")</f>
        <v/>
      </c>
      <c r="H1148" s="20">
        <f>IF(OR(NOT(ISNUMBER($A1148)),ROW()-2&lt;Settings!$B$11),NA(),IF(COUNT(OFFSET(F1148,1-Settings!$B$11,0,Settings!$B$11,1))&lt;ROUNDUP(Settings!$B$11*Settings!$B$26,0),NA(),STDEV(OFFSET(F1148,1-Settings!$B$11,0,Settings!$B$11,1))*SQRT(Settings!$B$13)))</f>
        <v/>
      </c>
      <c r="I1148" s="20">
        <f>IF(OR(NOT(ISNUMBER($A1148)),ROW()-2&lt;Settings!$B$12),NA(),IF(COUNT(OFFSET(F1148,1-Settings!$B$12,0,Settings!$B$12,1))&lt;ROUNDUP(Settings!$B$12*Settings!$B$26,0),NA(),STDEV(OFFSET(F1148,1-Settings!$B$12,0,Settings!$B$12,1))*SQRT(Settings!$B$13)))</f>
        <v/>
      </c>
      <c r="J1148" s="20">
        <f>IF(OR(NOT(ISNUMBER($A1148)),ROW()-2&lt;Settings!$B$11),NA(),IF(COUNT(OFFSET(G1148,1-Settings!$B$11,0,Settings!$B$11,1))&lt;ROUNDUP(Settings!$B$11*Settings!$B$26,0),NA(),STDEV(OFFSET(G1148,1-Settings!$B$11,0,Settings!$B$11,1))*SQRT(Settings!$B$13)))</f>
        <v/>
      </c>
      <c r="K1148" s="20">
        <f>IF(OR(NOT(ISNUMBER($A1148)),ROW()-2&lt;Settings!$B$12),NA(),IF(COUNT(OFFSET(G1148,1-Settings!$B$12,0,Settings!$B$12,1))&lt;ROUNDUP(Settings!$B$12*Settings!$B$26,0),NA(),STDEV(OFFSET(G1148,1-Settings!$B$12,0,Settings!$B$12,1))*SQRT(Settings!$B$13)))</f>
        <v/>
      </c>
      <c r="L1148" s="20">
        <f>IF(AND(ISNUMBER(D1148),ISNUMBER(H1148)),D1148-H1148,NA())</f>
        <v/>
      </c>
      <c r="M1148" s="20">
        <f>IF(AND(ISNUMBER(E1148),ISNUMBER(K1148)),E1148-K1148,NA())</f>
        <v/>
      </c>
      <c r="N1148" s="20">
        <f>IF(NOT(ISNUMBER($A1148)),NA(),IF(COUNT(OFFSET(G1148,1,0,Settings!$B$12,1))&lt;ROUNDUP(Settings!$B$12*Settings!$B$26,0),NA(),STDEV(OFFSET(G1148,1,0,Settings!$B$12,1))*SQRT(Settings!$B$13)))</f>
        <v/>
      </c>
      <c r="O1148" s="20">
        <f>IF(AND(ISNUMBER(E1148),ISNUMBER(N1148)),E1148-N1148,NA())</f>
        <v/>
      </c>
      <c r="P1148" s="19">
        <f>IF(NOT(ISNUMBER($A1148)),NA(),IF(OR($A1148&lt;MIN(KW_TP!$A$2:$A$2501),$A1148&gt;MAX(KW_TP!$A$2:$A$2501)),NA(),INDEX(KW_TP!$C$2:$C$2501,MATCH($A1148,KW_TP!$A$2:$A$2501,1))))</f>
        <v/>
      </c>
      <c r="Q1148" s="18">
        <f>IF(NOT(ISNUMBER($A1148)),NA(),IFERROR(1*INDEX(BBG_Data!$J$2:$J$4000,MATCH($A1148,BBG_Data!$I$2:$I$4000,0)),NA()))</f>
        <v/>
      </c>
      <c r="R1148" s="18">
        <f>IF(NOT(ISNUMBER($A1148)),NA(),IFERROR(1*INDEX(BBG_Data!$L$2:$L$4000,MATCH($A1148,BBG_Data!$K$2:$K$4000,0)),NA()))</f>
        <v/>
      </c>
      <c r="S1148" s="20">
        <f>IF(AND(ISNUMBER(B1148),ISNUMBER(Q1148),ISNUMBER(R1148)),(B1148-Q1148-R1148)*100,NA())</f>
        <v/>
      </c>
      <c r="T1148" s="20">
        <f>IF(AND(ISNUMBER(B1148),Settings!$B$17&gt;0),IF(ISNUMBER(INDEX($B:$B,Settings!$B$17)),(B1148-INDEX($B:$B,Settings!$B$17))*100,NA()),NA())</f>
        <v/>
      </c>
      <c r="U1148" s="20">
        <f>IF(AND(ISNUMBER(Q1148),Settings!$B$17&gt;0),IF(ISNUMBER(INDEX($Q:$Q,Settings!$B$17)),(Q1148-INDEX($Q:$Q,Settings!$B$17))*100,NA()),NA())</f>
        <v/>
      </c>
      <c r="V1148" s="20">
        <f>IF(AND(ISNUMBER(R1148),Settings!$B$17&gt;0),IF(ISNUMBER(INDEX($R:$R,Settings!$B$17)),(R1148-INDEX($R:$R,Settings!$B$17))*100,NA()),NA())</f>
        <v/>
      </c>
      <c r="W1148" s="20">
        <f>IF(AND(ISNUMBER(P1148),Settings!$B$17&gt;0),IF(ISNUMBER(INDEX($P:$P,Settings!$B$17)),P1148-INDEX($P:$P,Settings!$B$17),NA()),NA())</f>
        <v/>
      </c>
      <c r="X1148" s="19">
        <f>IF(NOT(ISNUMBER($A1148)),NA(),IF(OR($A1148&lt;MIN(DKW_10Y!$A$2:$A$2918),$A1148&gt;MAX(DKW_10Y!$A$2:$A$2918),Settings!$B$16&lt;MIN(DKW_10Y!$A$2:$A$2918)),NA(),(INDEX(DKW_10Y!$B$2:$B$2918,MATCH($A1148,DKW_10Y!$A$2:$A$2918,1))-INDEX(DKW_10Y!$B$2:$B$2918,MATCH(Settings!$B$16,DKW_10Y!$A$2:$A$2918,1)))*100))</f>
        <v/>
      </c>
      <c r="Y1148" s="19">
        <f>IF(NOT(ISNUMBER($A1148)),NA(),IF(OR($A1148&lt;MIN(DKW_10Y!$A$2:$A$2918),$A1148&gt;MAX(DKW_10Y!$A$2:$A$2918),Settings!$B$16&lt;MIN(DKW_10Y!$A$2:$A$2918)),NA(),(INDEX(DKW_10Y!$C$2:$C$2918,MATCH($A1148,DKW_10Y!$A$2:$A$2918,1))-INDEX(DKW_10Y!$C$2:$C$2918,MATCH(Settings!$B$16,DKW_10Y!$A$2:$A$2918,1)))*100))</f>
        <v/>
      </c>
      <c r="Z1148" s="19">
        <f>IF(NOT(ISNUMBER($A1148)),NA(),IF(OR($A1148&lt;MIN(DKW_10Y!$A$2:$A$2918),$A1148&gt;MAX(DKW_10Y!$A$2:$A$2918),Settings!$B$16&lt;MIN(DKW_10Y!$A$2:$A$2918)),NA(),(INDEX(DKW_10Y!$D$2:$D$2918,MATCH($A1148,DKW_10Y!$A$2:$A$2918,1))-INDEX(DKW_10Y!$D$2:$D$2918,MATCH(Settings!$B$16,DKW_10Y!$A$2:$A$2918,1)))*100))</f>
        <v/>
      </c>
      <c r="AA1148" s="19">
        <f>IF(NOT(ISNUMBER($A1148)),NA(),IF(OR($A1148&lt;MIN(DKW_10Y!$A$2:$A$2918),$A1148&gt;MAX(DKW_10Y!$A$2:$A$2918),Settings!$B$16&lt;MIN(DKW_10Y!$A$2:$A$2918)),NA(),(INDEX(DKW_10Y!$E$2:$E$2918,MATCH($A1148,DKW_10Y!$A$2:$A$2918,1))-INDEX(DKW_10Y!$E$2:$E$2918,MATCH(Settings!$B$16,DKW_10Y!$A$2:$A$2918,1)))*100))</f>
        <v/>
      </c>
      <c r="AB1148" s="19">
        <f>IF(NOT(ISNUMBER($A1148)),NA(),IF(OR($A1148&lt;MIN(DKW_10Y!$A$2:$A$2918),$A1148&gt;MAX(DKW_10Y!$A$2:$A$2918),Settings!$B$16&lt;MIN(DKW_10Y!$A$2:$A$2918)),NA(),(INDEX(DKW_10Y!$H$2:$H$2918,MATCH($A1148,DKW_10Y!$A$2:$A$2918,1))-INDEX(DKW_10Y!$H$2:$H$2918,MATCH(Settings!$B$16,DKW_10Y!$A$2:$A$2918,1)))*100))</f>
        <v/>
      </c>
      <c r="AC1148" s="18">
        <f>IF(NOT(ISNUMBER($A1148)),NA(),IFERROR(1*INDEX(BBG_Data!$N$2:$N$4000,MATCH($A1148,BBG_Data!$M$2:$M$4000,0)),NA()))</f>
        <v/>
      </c>
      <c r="AD1148" s="18">
        <f>IF(NOT(ISNUMBER($A1148)),NA(),IFERROR(1*INDEX(BBG_Data!$P$2:$P$4000,MATCH($A1148,BBG_Data!$O$2:$O$4000,0)),NA()))</f>
        <v/>
      </c>
      <c r="AE1148" s="18">
        <f>IF(NOT(ISNUMBER($A1148)),NA(),IFERROR(1*INDEX(BBG_Data!$R$2:$R$4000,MATCH($A1148,BBG_Data!$Q$2:$Q$4000,0)),NA()))</f>
        <v/>
      </c>
      <c r="AF1148" s="20">
        <f>IF(AND(ISNUMBER(B1148),ISNUMBER(AC1148)),(B1148-AC1148)*100,NA())</f>
        <v/>
      </c>
      <c r="AG1148" s="20">
        <f>IF(AND(ISNUMBER(AE1148),ISNUMBER(AD1148)),(AE1148-AD1148)*100,NA())</f>
        <v/>
      </c>
      <c r="AH1148" s="19">
        <f>IF(NOT(ISNUMBER($A1148)),NA(),IFERROR(INDEX(BBG_Data!$T$2:$T$4000,MATCH($A1148,BBG_Data!$S$2:$S$4000,0))*Settings!$B$25,NA()))</f>
        <v/>
      </c>
      <c r="AI1148" s="19">
        <f>IF(NOT(ISNUMBER($A1148)),NA(),IFERROR(INDEX(BBG_Data!$V$2:$V$4000,MATCH($A1148,BBG_Data!$U$2:$U$4000,0))*Settings!$B$25,NA()))</f>
        <v/>
      </c>
      <c r="AJ1148" s="19">
        <f>IF(NOT(ISNUMBER($A1148)),NA(),IFERROR(1*INDEX(BBG_Data!$X$2:$X$4000,MATCH($A1148,BBG_Data!$W$2:$W$4000,0)),NA()))</f>
        <v/>
      </c>
      <c r="AK1148" s="19">
        <f>IF(NOT(ISNUMBER($A1148)),NA(),IFERROR(1*INDEX(BBG_Data!$Z$2:$Z$4000,MATCH($A1148,BBG_Data!$Y$2:$Y$4000,0)),NA()))</f>
        <v/>
      </c>
    </row>
    <row r="1149">
      <c r="A1149" s="17">
        <f>IF(ISNUMBER(BBG_Data!A1149),BBG_Data!A1149,"")</f>
        <v/>
      </c>
      <c r="B1149" s="18">
        <f>IF(AND(ISNUMBER($A1149),ISNUMBER(BBG_Data!B1149)),BBG_Data!B1149,NA())</f>
        <v/>
      </c>
      <c r="C1149" s="18">
        <f>IF(NOT(ISNUMBER($A1149)),NA(),IFERROR(1*INDEX(BBG_Data!$D$2:$D$4000,MATCH($A1149,BBG_Data!$C$2:$C$4000,0)),NA()))</f>
        <v/>
      </c>
      <c r="D1149" s="19">
        <f>IF(NOT(ISNUMBER($A1149)),NA(),IFERROR(1*INDEX(BBG_Data!$F$2:$F$4000,MATCH($A1149,BBG_Data!$E$2:$E$4000,0)),NA()))</f>
        <v/>
      </c>
      <c r="E1149" s="19">
        <f>IF(NOT(ISNUMBER($A1149)),NA(),IFERROR(1*INDEX(BBG_Data!$H$2:$H$4000,MATCH($A1149,BBG_Data!$G$2:$G$4000,0)),NA()))</f>
        <v/>
      </c>
      <c r="F1149" s="20">
        <f>IF(AND(ISNUMBER(B1149),ISNUMBER(B1148)),IF(B1149=B1148,"",(B1149-B1148)*100),"")</f>
        <v/>
      </c>
      <c r="G1149" s="20">
        <f>IF(AND(ISNUMBER(C1149),ISNUMBER(C1148)),IF(C1149=C1148,"",(C1149-C1148)*100),"")</f>
        <v/>
      </c>
      <c r="H1149" s="20">
        <f>IF(OR(NOT(ISNUMBER($A1149)),ROW()-2&lt;Settings!$B$11),NA(),IF(COUNT(OFFSET(F1149,1-Settings!$B$11,0,Settings!$B$11,1))&lt;ROUNDUP(Settings!$B$11*Settings!$B$26,0),NA(),STDEV(OFFSET(F1149,1-Settings!$B$11,0,Settings!$B$11,1))*SQRT(Settings!$B$13)))</f>
        <v/>
      </c>
      <c r="I1149" s="20">
        <f>IF(OR(NOT(ISNUMBER($A1149)),ROW()-2&lt;Settings!$B$12),NA(),IF(COUNT(OFFSET(F1149,1-Settings!$B$12,0,Settings!$B$12,1))&lt;ROUNDUP(Settings!$B$12*Settings!$B$26,0),NA(),STDEV(OFFSET(F1149,1-Settings!$B$12,0,Settings!$B$12,1))*SQRT(Settings!$B$13)))</f>
        <v/>
      </c>
      <c r="J1149" s="20">
        <f>IF(OR(NOT(ISNUMBER($A1149)),ROW()-2&lt;Settings!$B$11),NA(),IF(COUNT(OFFSET(G1149,1-Settings!$B$11,0,Settings!$B$11,1))&lt;ROUNDUP(Settings!$B$11*Settings!$B$26,0),NA(),STDEV(OFFSET(G1149,1-Settings!$B$11,0,Settings!$B$11,1))*SQRT(Settings!$B$13)))</f>
        <v/>
      </c>
      <c r="K1149" s="20">
        <f>IF(OR(NOT(ISNUMBER($A1149)),ROW()-2&lt;Settings!$B$12),NA(),IF(COUNT(OFFSET(G1149,1-Settings!$B$12,0,Settings!$B$12,1))&lt;ROUNDUP(Settings!$B$12*Settings!$B$26,0),NA(),STDEV(OFFSET(G1149,1-Settings!$B$12,0,Settings!$B$12,1))*SQRT(Settings!$B$13)))</f>
        <v/>
      </c>
      <c r="L1149" s="20">
        <f>IF(AND(ISNUMBER(D1149),ISNUMBER(H1149)),D1149-H1149,NA())</f>
        <v/>
      </c>
      <c r="M1149" s="20">
        <f>IF(AND(ISNUMBER(E1149),ISNUMBER(K1149)),E1149-K1149,NA())</f>
        <v/>
      </c>
      <c r="N1149" s="20">
        <f>IF(NOT(ISNUMBER($A1149)),NA(),IF(COUNT(OFFSET(G1149,1,0,Settings!$B$12,1))&lt;ROUNDUP(Settings!$B$12*Settings!$B$26,0),NA(),STDEV(OFFSET(G1149,1,0,Settings!$B$12,1))*SQRT(Settings!$B$13)))</f>
        <v/>
      </c>
      <c r="O1149" s="20">
        <f>IF(AND(ISNUMBER(E1149),ISNUMBER(N1149)),E1149-N1149,NA())</f>
        <v/>
      </c>
      <c r="P1149" s="19">
        <f>IF(NOT(ISNUMBER($A1149)),NA(),IF(OR($A1149&lt;MIN(KW_TP!$A$2:$A$2501),$A1149&gt;MAX(KW_TP!$A$2:$A$2501)),NA(),INDEX(KW_TP!$C$2:$C$2501,MATCH($A1149,KW_TP!$A$2:$A$2501,1))))</f>
        <v/>
      </c>
      <c r="Q1149" s="18">
        <f>IF(NOT(ISNUMBER($A1149)),NA(),IFERROR(1*INDEX(BBG_Data!$J$2:$J$4000,MATCH($A1149,BBG_Data!$I$2:$I$4000,0)),NA()))</f>
        <v/>
      </c>
      <c r="R1149" s="18">
        <f>IF(NOT(ISNUMBER($A1149)),NA(),IFERROR(1*INDEX(BBG_Data!$L$2:$L$4000,MATCH($A1149,BBG_Data!$K$2:$K$4000,0)),NA()))</f>
        <v/>
      </c>
      <c r="S1149" s="20">
        <f>IF(AND(ISNUMBER(B1149),ISNUMBER(Q1149),ISNUMBER(R1149)),(B1149-Q1149-R1149)*100,NA())</f>
        <v/>
      </c>
      <c r="T1149" s="20">
        <f>IF(AND(ISNUMBER(B1149),Settings!$B$17&gt;0),IF(ISNUMBER(INDEX($B:$B,Settings!$B$17)),(B1149-INDEX($B:$B,Settings!$B$17))*100,NA()),NA())</f>
        <v/>
      </c>
      <c r="U1149" s="20">
        <f>IF(AND(ISNUMBER(Q1149),Settings!$B$17&gt;0),IF(ISNUMBER(INDEX($Q:$Q,Settings!$B$17)),(Q1149-INDEX($Q:$Q,Settings!$B$17))*100,NA()),NA())</f>
        <v/>
      </c>
      <c r="V1149" s="20">
        <f>IF(AND(ISNUMBER(R1149),Settings!$B$17&gt;0),IF(ISNUMBER(INDEX($R:$R,Settings!$B$17)),(R1149-INDEX($R:$R,Settings!$B$17))*100,NA()),NA())</f>
        <v/>
      </c>
      <c r="W1149" s="20">
        <f>IF(AND(ISNUMBER(P1149),Settings!$B$17&gt;0),IF(ISNUMBER(INDEX($P:$P,Settings!$B$17)),P1149-INDEX($P:$P,Settings!$B$17),NA()),NA())</f>
        <v/>
      </c>
      <c r="X1149" s="19">
        <f>IF(NOT(ISNUMBER($A1149)),NA(),IF(OR($A1149&lt;MIN(DKW_10Y!$A$2:$A$2918),$A1149&gt;MAX(DKW_10Y!$A$2:$A$2918),Settings!$B$16&lt;MIN(DKW_10Y!$A$2:$A$2918)),NA(),(INDEX(DKW_10Y!$B$2:$B$2918,MATCH($A1149,DKW_10Y!$A$2:$A$2918,1))-INDEX(DKW_10Y!$B$2:$B$2918,MATCH(Settings!$B$16,DKW_10Y!$A$2:$A$2918,1)))*100))</f>
        <v/>
      </c>
      <c r="Y1149" s="19">
        <f>IF(NOT(ISNUMBER($A1149)),NA(),IF(OR($A1149&lt;MIN(DKW_10Y!$A$2:$A$2918),$A1149&gt;MAX(DKW_10Y!$A$2:$A$2918),Settings!$B$16&lt;MIN(DKW_10Y!$A$2:$A$2918)),NA(),(INDEX(DKW_10Y!$C$2:$C$2918,MATCH($A1149,DKW_10Y!$A$2:$A$2918,1))-INDEX(DKW_10Y!$C$2:$C$2918,MATCH(Settings!$B$16,DKW_10Y!$A$2:$A$2918,1)))*100))</f>
        <v/>
      </c>
      <c r="Z1149" s="19">
        <f>IF(NOT(ISNUMBER($A1149)),NA(),IF(OR($A1149&lt;MIN(DKW_10Y!$A$2:$A$2918),$A1149&gt;MAX(DKW_10Y!$A$2:$A$2918),Settings!$B$16&lt;MIN(DKW_10Y!$A$2:$A$2918)),NA(),(INDEX(DKW_10Y!$D$2:$D$2918,MATCH($A1149,DKW_10Y!$A$2:$A$2918,1))-INDEX(DKW_10Y!$D$2:$D$2918,MATCH(Settings!$B$16,DKW_10Y!$A$2:$A$2918,1)))*100))</f>
        <v/>
      </c>
      <c r="AA1149" s="19">
        <f>IF(NOT(ISNUMBER($A1149)),NA(),IF(OR($A1149&lt;MIN(DKW_10Y!$A$2:$A$2918),$A1149&gt;MAX(DKW_10Y!$A$2:$A$2918),Settings!$B$16&lt;MIN(DKW_10Y!$A$2:$A$2918)),NA(),(INDEX(DKW_10Y!$E$2:$E$2918,MATCH($A1149,DKW_10Y!$A$2:$A$2918,1))-INDEX(DKW_10Y!$E$2:$E$2918,MATCH(Settings!$B$16,DKW_10Y!$A$2:$A$2918,1)))*100))</f>
        <v/>
      </c>
      <c r="AB1149" s="19">
        <f>IF(NOT(ISNUMBER($A1149)),NA(),IF(OR($A1149&lt;MIN(DKW_10Y!$A$2:$A$2918),$A1149&gt;MAX(DKW_10Y!$A$2:$A$2918),Settings!$B$16&lt;MIN(DKW_10Y!$A$2:$A$2918)),NA(),(INDEX(DKW_10Y!$H$2:$H$2918,MATCH($A1149,DKW_10Y!$A$2:$A$2918,1))-INDEX(DKW_10Y!$H$2:$H$2918,MATCH(Settings!$B$16,DKW_10Y!$A$2:$A$2918,1)))*100))</f>
        <v/>
      </c>
      <c r="AC1149" s="18">
        <f>IF(NOT(ISNUMBER($A1149)),NA(),IFERROR(1*INDEX(BBG_Data!$N$2:$N$4000,MATCH($A1149,BBG_Data!$M$2:$M$4000,0)),NA()))</f>
        <v/>
      </c>
      <c r="AD1149" s="18">
        <f>IF(NOT(ISNUMBER($A1149)),NA(),IFERROR(1*INDEX(BBG_Data!$P$2:$P$4000,MATCH($A1149,BBG_Data!$O$2:$O$4000,0)),NA()))</f>
        <v/>
      </c>
      <c r="AE1149" s="18">
        <f>IF(NOT(ISNUMBER($A1149)),NA(),IFERROR(1*INDEX(BBG_Data!$R$2:$R$4000,MATCH($A1149,BBG_Data!$Q$2:$Q$4000,0)),NA()))</f>
        <v/>
      </c>
      <c r="AF1149" s="20">
        <f>IF(AND(ISNUMBER(B1149),ISNUMBER(AC1149)),(B1149-AC1149)*100,NA())</f>
        <v/>
      </c>
      <c r="AG1149" s="20">
        <f>IF(AND(ISNUMBER(AE1149),ISNUMBER(AD1149)),(AE1149-AD1149)*100,NA())</f>
        <v/>
      </c>
      <c r="AH1149" s="19">
        <f>IF(NOT(ISNUMBER($A1149)),NA(),IFERROR(INDEX(BBG_Data!$T$2:$T$4000,MATCH($A1149,BBG_Data!$S$2:$S$4000,0))*Settings!$B$25,NA()))</f>
        <v/>
      </c>
      <c r="AI1149" s="19">
        <f>IF(NOT(ISNUMBER($A1149)),NA(),IFERROR(INDEX(BBG_Data!$V$2:$V$4000,MATCH($A1149,BBG_Data!$U$2:$U$4000,0))*Settings!$B$25,NA()))</f>
        <v/>
      </c>
      <c r="AJ1149" s="19">
        <f>IF(NOT(ISNUMBER($A1149)),NA(),IFERROR(1*INDEX(BBG_Data!$X$2:$X$4000,MATCH($A1149,BBG_Data!$W$2:$W$4000,0)),NA()))</f>
        <v/>
      </c>
      <c r="AK1149" s="19">
        <f>IF(NOT(ISNUMBER($A1149)),NA(),IFERROR(1*INDEX(BBG_Data!$Z$2:$Z$4000,MATCH($A1149,BBG_Data!$Y$2:$Y$4000,0)),NA()))</f>
        <v/>
      </c>
    </row>
    <row r="1150">
      <c r="A1150" s="17">
        <f>IF(ISNUMBER(BBG_Data!A1150),BBG_Data!A1150,"")</f>
        <v/>
      </c>
      <c r="B1150" s="18">
        <f>IF(AND(ISNUMBER($A1150),ISNUMBER(BBG_Data!B1150)),BBG_Data!B1150,NA())</f>
        <v/>
      </c>
      <c r="C1150" s="18">
        <f>IF(NOT(ISNUMBER($A1150)),NA(),IFERROR(1*INDEX(BBG_Data!$D$2:$D$4000,MATCH($A1150,BBG_Data!$C$2:$C$4000,0)),NA()))</f>
        <v/>
      </c>
      <c r="D1150" s="19">
        <f>IF(NOT(ISNUMBER($A1150)),NA(),IFERROR(1*INDEX(BBG_Data!$F$2:$F$4000,MATCH($A1150,BBG_Data!$E$2:$E$4000,0)),NA()))</f>
        <v/>
      </c>
      <c r="E1150" s="19">
        <f>IF(NOT(ISNUMBER($A1150)),NA(),IFERROR(1*INDEX(BBG_Data!$H$2:$H$4000,MATCH($A1150,BBG_Data!$G$2:$G$4000,0)),NA()))</f>
        <v/>
      </c>
      <c r="F1150" s="20">
        <f>IF(AND(ISNUMBER(B1150),ISNUMBER(B1149)),IF(B1150=B1149,"",(B1150-B1149)*100),"")</f>
        <v/>
      </c>
      <c r="G1150" s="20">
        <f>IF(AND(ISNUMBER(C1150),ISNUMBER(C1149)),IF(C1150=C1149,"",(C1150-C1149)*100),"")</f>
        <v/>
      </c>
      <c r="H1150" s="20">
        <f>IF(OR(NOT(ISNUMBER($A1150)),ROW()-2&lt;Settings!$B$11),NA(),IF(COUNT(OFFSET(F1150,1-Settings!$B$11,0,Settings!$B$11,1))&lt;ROUNDUP(Settings!$B$11*Settings!$B$26,0),NA(),STDEV(OFFSET(F1150,1-Settings!$B$11,0,Settings!$B$11,1))*SQRT(Settings!$B$13)))</f>
        <v/>
      </c>
      <c r="I1150" s="20">
        <f>IF(OR(NOT(ISNUMBER($A1150)),ROW()-2&lt;Settings!$B$12),NA(),IF(COUNT(OFFSET(F1150,1-Settings!$B$12,0,Settings!$B$12,1))&lt;ROUNDUP(Settings!$B$12*Settings!$B$26,0),NA(),STDEV(OFFSET(F1150,1-Settings!$B$12,0,Settings!$B$12,1))*SQRT(Settings!$B$13)))</f>
        <v/>
      </c>
      <c r="J1150" s="20">
        <f>IF(OR(NOT(ISNUMBER($A1150)),ROW()-2&lt;Settings!$B$11),NA(),IF(COUNT(OFFSET(G1150,1-Settings!$B$11,0,Settings!$B$11,1))&lt;ROUNDUP(Settings!$B$11*Settings!$B$26,0),NA(),STDEV(OFFSET(G1150,1-Settings!$B$11,0,Settings!$B$11,1))*SQRT(Settings!$B$13)))</f>
        <v/>
      </c>
      <c r="K1150" s="20">
        <f>IF(OR(NOT(ISNUMBER($A1150)),ROW()-2&lt;Settings!$B$12),NA(),IF(COUNT(OFFSET(G1150,1-Settings!$B$12,0,Settings!$B$12,1))&lt;ROUNDUP(Settings!$B$12*Settings!$B$26,0),NA(),STDEV(OFFSET(G1150,1-Settings!$B$12,0,Settings!$B$12,1))*SQRT(Settings!$B$13)))</f>
        <v/>
      </c>
      <c r="L1150" s="20">
        <f>IF(AND(ISNUMBER(D1150),ISNUMBER(H1150)),D1150-H1150,NA())</f>
        <v/>
      </c>
      <c r="M1150" s="20">
        <f>IF(AND(ISNUMBER(E1150),ISNUMBER(K1150)),E1150-K1150,NA())</f>
        <v/>
      </c>
      <c r="N1150" s="20">
        <f>IF(NOT(ISNUMBER($A1150)),NA(),IF(COUNT(OFFSET(G1150,1,0,Settings!$B$12,1))&lt;ROUNDUP(Settings!$B$12*Settings!$B$26,0),NA(),STDEV(OFFSET(G1150,1,0,Settings!$B$12,1))*SQRT(Settings!$B$13)))</f>
        <v/>
      </c>
      <c r="O1150" s="20">
        <f>IF(AND(ISNUMBER(E1150),ISNUMBER(N1150)),E1150-N1150,NA())</f>
        <v/>
      </c>
      <c r="P1150" s="19">
        <f>IF(NOT(ISNUMBER($A1150)),NA(),IF(OR($A1150&lt;MIN(KW_TP!$A$2:$A$2501),$A1150&gt;MAX(KW_TP!$A$2:$A$2501)),NA(),INDEX(KW_TP!$C$2:$C$2501,MATCH($A1150,KW_TP!$A$2:$A$2501,1))))</f>
        <v/>
      </c>
      <c r="Q1150" s="18">
        <f>IF(NOT(ISNUMBER($A1150)),NA(),IFERROR(1*INDEX(BBG_Data!$J$2:$J$4000,MATCH($A1150,BBG_Data!$I$2:$I$4000,0)),NA()))</f>
        <v/>
      </c>
      <c r="R1150" s="18">
        <f>IF(NOT(ISNUMBER($A1150)),NA(),IFERROR(1*INDEX(BBG_Data!$L$2:$L$4000,MATCH($A1150,BBG_Data!$K$2:$K$4000,0)),NA()))</f>
        <v/>
      </c>
      <c r="S1150" s="20">
        <f>IF(AND(ISNUMBER(B1150),ISNUMBER(Q1150),ISNUMBER(R1150)),(B1150-Q1150-R1150)*100,NA())</f>
        <v/>
      </c>
      <c r="T1150" s="20">
        <f>IF(AND(ISNUMBER(B1150),Settings!$B$17&gt;0),IF(ISNUMBER(INDEX($B:$B,Settings!$B$17)),(B1150-INDEX($B:$B,Settings!$B$17))*100,NA()),NA())</f>
        <v/>
      </c>
      <c r="U1150" s="20">
        <f>IF(AND(ISNUMBER(Q1150),Settings!$B$17&gt;0),IF(ISNUMBER(INDEX($Q:$Q,Settings!$B$17)),(Q1150-INDEX($Q:$Q,Settings!$B$17))*100,NA()),NA())</f>
        <v/>
      </c>
      <c r="V1150" s="20">
        <f>IF(AND(ISNUMBER(R1150),Settings!$B$17&gt;0),IF(ISNUMBER(INDEX($R:$R,Settings!$B$17)),(R1150-INDEX($R:$R,Settings!$B$17))*100,NA()),NA())</f>
        <v/>
      </c>
      <c r="W1150" s="20">
        <f>IF(AND(ISNUMBER(P1150),Settings!$B$17&gt;0),IF(ISNUMBER(INDEX($P:$P,Settings!$B$17)),P1150-INDEX($P:$P,Settings!$B$17),NA()),NA())</f>
        <v/>
      </c>
      <c r="X1150" s="19">
        <f>IF(NOT(ISNUMBER($A1150)),NA(),IF(OR($A1150&lt;MIN(DKW_10Y!$A$2:$A$2918),$A1150&gt;MAX(DKW_10Y!$A$2:$A$2918),Settings!$B$16&lt;MIN(DKW_10Y!$A$2:$A$2918)),NA(),(INDEX(DKW_10Y!$B$2:$B$2918,MATCH($A1150,DKW_10Y!$A$2:$A$2918,1))-INDEX(DKW_10Y!$B$2:$B$2918,MATCH(Settings!$B$16,DKW_10Y!$A$2:$A$2918,1)))*100))</f>
        <v/>
      </c>
      <c r="Y1150" s="19">
        <f>IF(NOT(ISNUMBER($A1150)),NA(),IF(OR($A1150&lt;MIN(DKW_10Y!$A$2:$A$2918),$A1150&gt;MAX(DKW_10Y!$A$2:$A$2918),Settings!$B$16&lt;MIN(DKW_10Y!$A$2:$A$2918)),NA(),(INDEX(DKW_10Y!$C$2:$C$2918,MATCH($A1150,DKW_10Y!$A$2:$A$2918,1))-INDEX(DKW_10Y!$C$2:$C$2918,MATCH(Settings!$B$16,DKW_10Y!$A$2:$A$2918,1)))*100))</f>
        <v/>
      </c>
      <c r="Z1150" s="19">
        <f>IF(NOT(ISNUMBER($A1150)),NA(),IF(OR($A1150&lt;MIN(DKW_10Y!$A$2:$A$2918),$A1150&gt;MAX(DKW_10Y!$A$2:$A$2918),Settings!$B$16&lt;MIN(DKW_10Y!$A$2:$A$2918)),NA(),(INDEX(DKW_10Y!$D$2:$D$2918,MATCH($A1150,DKW_10Y!$A$2:$A$2918,1))-INDEX(DKW_10Y!$D$2:$D$2918,MATCH(Settings!$B$16,DKW_10Y!$A$2:$A$2918,1)))*100))</f>
        <v/>
      </c>
      <c r="AA1150" s="19">
        <f>IF(NOT(ISNUMBER($A1150)),NA(),IF(OR($A1150&lt;MIN(DKW_10Y!$A$2:$A$2918),$A1150&gt;MAX(DKW_10Y!$A$2:$A$2918),Settings!$B$16&lt;MIN(DKW_10Y!$A$2:$A$2918)),NA(),(INDEX(DKW_10Y!$E$2:$E$2918,MATCH($A1150,DKW_10Y!$A$2:$A$2918,1))-INDEX(DKW_10Y!$E$2:$E$2918,MATCH(Settings!$B$16,DKW_10Y!$A$2:$A$2918,1)))*100))</f>
        <v/>
      </c>
      <c r="AB1150" s="19">
        <f>IF(NOT(ISNUMBER($A1150)),NA(),IF(OR($A1150&lt;MIN(DKW_10Y!$A$2:$A$2918),$A1150&gt;MAX(DKW_10Y!$A$2:$A$2918),Settings!$B$16&lt;MIN(DKW_10Y!$A$2:$A$2918)),NA(),(INDEX(DKW_10Y!$H$2:$H$2918,MATCH($A1150,DKW_10Y!$A$2:$A$2918,1))-INDEX(DKW_10Y!$H$2:$H$2918,MATCH(Settings!$B$16,DKW_10Y!$A$2:$A$2918,1)))*100))</f>
        <v/>
      </c>
      <c r="AC1150" s="18">
        <f>IF(NOT(ISNUMBER($A1150)),NA(),IFERROR(1*INDEX(BBG_Data!$N$2:$N$4000,MATCH($A1150,BBG_Data!$M$2:$M$4000,0)),NA()))</f>
        <v/>
      </c>
      <c r="AD1150" s="18">
        <f>IF(NOT(ISNUMBER($A1150)),NA(),IFERROR(1*INDEX(BBG_Data!$P$2:$P$4000,MATCH($A1150,BBG_Data!$O$2:$O$4000,0)),NA()))</f>
        <v/>
      </c>
      <c r="AE1150" s="18">
        <f>IF(NOT(ISNUMBER($A1150)),NA(),IFERROR(1*INDEX(BBG_Data!$R$2:$R$4000,MATCH($A1150,BBG_Data!$Q$2:$Q$4000,0)),NA()))</f>
        <v/>
      </c>
      <c r="AF1150" s="20">
        <f>IF(AND(ISNUMBER(B1150),ISNUMBER(AC1150)),(B1150-AC1150)*100,NA())</f>
        <v/>
      </c>
      <c r="AG1150" s="20">
        <f>IF(AND(ISNUMBER(AE1150),ISNUMBER(AD1150)),(AE1150-AD1150)*100,NA())</f>
        <v/>
      </c>
      <c r="AH1150" s="19">
        <f>IF(NOT(ISNUMBER($A1150)),NA(),IFERROR(INDEX(BBG_Data!$T$2:$T$4000,MATCH($A1150,BBG_Data!$S$2:$S$4000,0))*Settings!$B$25,NA()))</f>
        <v/>
      </c>
      <c r="AI1150" s="19">
        <f>IF(NOT(ISNUMBER($A1150)),NA(),IFERROR(INDEX(BBG_Data!$V$2:$V$4000,MATCH($A1150,BBG_Data!$U$2:$U$4000,0))*Settings!$B$25,NA()))</f>
        <v/>
      </c>
      <c r="AJ1150" s="19">
        <f>IF(NOT(ISNUMBER($A1150)),NA(),IFERROR(1*INDEX(BBG_Data!$X$2:$X$4000,MATCH($A1150,BBG_Data!$W$2:$W$4000,0)),NA()))</f>
        <v/>
      </c>
      <c r="AK1150" s="19">
        <f>IF(NOT(ISNUMBER($A1150)),NA(),IFERROR(1*INDEX(BBG_Data!$Z$2:$Z$4000,MATCH($A1150,BBG_Data!$Y$2:$Y$4000,0)),NA()))</f>
        <v/>
      </c>
    </row>
    <row r="1151">
      <c r="A1151" s="17">
        <f>IF(ISNUMBER(BBG_Data!A1151),BBG_Data!A1151,"")</f>
        <v/>
      </c>
      <c r="B1151" s="18">
        <f>IF(AND(ISNUMBER($A1151),ISNUMBER(BBG_Data!B1151)),BBG_Data!B1151,NA())</f>
        <v/>
      </c>
      <c r="C1151" s="18">
        <f>IF(NOT(ISNUMBER($A1151)),NA(),IFERROR(1*INDEX(BBG_Data!$D$2:$D$4000,MATCH($A1151,BBG_Data!$C$2:$C$4000,0)),NA()))</f>
        <v/>
      </c>
      <c r="D1151" s="19">
        <f>IF(NOT(ISNUMBER($A1151)),NA(),IFERROR(1*INDEX(BBG_Data!$F$2:$F$4000,MATCH($A1151,BBG_Data!$E$2:$E$4000,0)),NA()))</f>
        <v/>
      </c>
      <c r="E1151" s="19">
        <f>IF(NOT(ISNUMBER($A1151)),NA(),IFERROR(1*INDEX(BBG_Data!$H$2:$H$4000,MATCH($A1151,BBG_Data!$G$2:$G$4000,0)),NA()))</f>
        <v/>
      </c>
      <c r="F1151" s="20">
        <f>IF(AND(ISNUMBER(B1151),ISNUMBER(B1150)),IF(B1151=B1150,"",(B1151-B1150)*100),"")</f>
        <v/>
      </c>
      <c r="G1151" s="20">
        <f>IF(AND(ISNUMBER(C1151),ISNUMBER(C1150)),IF(C1151=C1150,"",(C1151-C1150)*100),"")</f>
        <v/>
      </c>
      <c r="H1151" s="20">
        <f>IF(OR(NOT(ISNUMBER($A1151)),ROW()-2&lt;Settings!$B$11),NA(),IF(COUNT(OFFSET(F1151,1-Settings!$B$11,0,Settings!$B$11,1))&lt;ROUNDUP(Settings!$B$11*Settings!$B$26,0),NA(),STDEV(OFFSET(F1151,1-Settings!$B$11,0,Settings!$B$11,1))*SQRT(Settings!$B$13)))</f>
        <v/>
      </c>
      <c r="I1151" s="20">
        <f>IF(OR(NOT(ISNUMBER($A1151)),ROW()-2&lt;Settings!$B$12),NA(),IF(COUNT(OFFSET(F1151,1-Settings!$B$12,0,Settings!$B$12,1))&lt;ROUNDUP(Settings!$B$12*Settings!$B$26,0),NA(),STDEV(OFFSET(F1151,1-Settings!$B$12,0,Settings!$B$12,1))*SQRT(Settings!$B$13)))</f>
        <v/>
      </c>
      <c r="J1151" s="20">
        <f>IF(OR(NOT(ISNUMBER($A1151)),ROW()-2&lt;Settings!$B$11),NA(),IF(COUNT(OFFSET(G1151,1-Settings!$B$11,0,Settings!$B$11,1))&lt;ROUNDUP(Settings!$B$11*Settings!$B$26,0),NA(),STDEV(OFFSET(G1151,1-Settings!$B$11,0,Settings!$B$11,1))*SQRT(Settings!$B$13)))</f>
        <v/>
      </c>
      <c r="K1151" s="20">
        <f>IF(OR(NOT(ISNUMBER($A1151)),ROW()-2&lt;Settings!$B$12),NA(),IF(COUNT(OFFSET(G1151,1-Settings!$B$12,0,Settings!$B$12,1))&lt;ROUNDUP(Settings!$B$12*Settings!$B$26,0),NA(),STDEV(OFFSET(G1151,1-Settings!$B$12,0,Settings!$B$12,1))*SQRT(Settings!$B$13)))</f>
        <v/>
      </c>
      <c r="L1151" s="20">
        <f>IF(AND(ISNUMBER(D1151),ISNUMBER(H1151)),D1151-H1151,NA())</f>
        <v/>
      </c>
      <c r="M1151" s="20">
        <f>IF(AND(ISNUMBER(E1151),ISNUMBER(K1151)),E1151-K1151,NA())</f>
        <v/>
      </c>
      <c r="N1151" s="20">
        <f>IF(NOT(ISNUMBER($A1151)),NA(),IF(COUNT(OFFSET(G1151,1,0,Settings!$B$12,1))&lt;ROUNDUP(Settings!$B$12*Settings!$B$26,0),NA(),STDEV(OFFSET(G1151,1,0,Settings!$B$12,1))*SQRT(Settings!$B$13)))</f>
        <v/>
      </c>
      <c r="O1151" s="20">
        <f>IF(AND(ISNUMBER(E1151),ISNUMBER(N1151)),E1151-N1151,NA())</f>
        <v/>
      </c>
      <c r="P1151" s="19">
        <f>IF(NOT(ISNUMBER($A1151)),NA(),IF(OR($A1151&lt;MIN(KW_TP!$A$2:$A$2501),$A1151&gt;MAX(KW_TP!$A$2:$A$2501)),NA(),INDEX(KW_TP!$C$2:$C$2501,MATCH($A1151,KW_TP!$A$2:$A$2501,1))))</f>
        <v/>
      </c>
      <c r="Q1151" s="18">
        <f>IF(NOT(ISNUMBER($A1151)),NA(),IFERROR(1*INDEX(BBG_Data!$J$2:$J$4000,MATCH($A1151,BBG_Data!$I$2:$I$4000,0)),NA()))</f>
        <v/>
      </c>
      <c r="R1151" s="18">
        <f>IF(NOT(ISNUMBER($A1151)),NA(),IFERROR(1*INDEX(BBG_Data!$L$2:$L$4000,MATCH($A1151,BBG_Data!$K$2:$K$4000,0)),NA()))</f>
        <v/>
      </c>
      <c r="S1151" s="20">
        <f>IF(AND(ISNUMBER(B1151),ISNUMBER(Q1151),ISNUMBER(R1151)),(B1151-Q1151-R1151)*100,NA())</f>
        <v/>
      </c>
      <c r="T1151" s="20">
        <f>IF(AND(ISNUMBER(B1151),Settings!$B$17&gt;0),IF(ISNUMBER(INDEX($B:$B,Settings!$B$17)),(B1151-INDEX($B:$B,Settings!$B$17))*100,NA()),NA())</f>
        <v/>
      </c>
      <c r="U1151" s="20">
        <f>IF(AND(ISNUMBER(Q1151),Settings!$B$17&gt;0),IF(ISNUMBER(INDEX($Q:$Q,Settings!$B$17)),(Q1151-INDEX($Q:$Q,Settings!$B$17))*100,NA()),NA())</f>
        <v/>
      </c>
      <c r="V1151" s="20">
        <f>IF(AND(ISNUMBER(R1151),Settings!$B$17&gt;0),IF(ISNUMBER(INDEX($R:$R,Settings!$B$17)),(R1151-INDEX($R:$R,Settings!$B$17))*100,NA()),NA())</f>
        <v/>
      </c>
      <c r="W1151" s="20">
        <f>IF(AND(ISNUMBER(P1151),Settings!$B$17&gt;0),IF(ISNUMBER(INDEX($P:$P,Settings!$B$17)),P1151-INDEX($P:$P,Settings!$B$17),NA()),NA())</f>
        <v/>
      </c>
      <c r="X1151" s="19">
        <f>IF(NOT(ISNUMBER($A1151)),NA(),IF(OR($A1151&lt;MIN(DKW_10Y!$A$2:$A$2918),$A1151&gt;MAX(DKW_10Y!$A$2:$A$2918),Settings!$B$16&lt;MIN(DKW_10Y!$A$2:$A$2918)),NA(),(INDEX(DKW_10Y!$B$2:$B$2918,MATCH($A1151,DKW_10Y!$A$2:$A$2918,1))-INDEX(DKW_10Y!$B$2:$B$2918,MATCH(Settings!$B$16,DKW_10Y!$A$2:$A$2918,1)))*100))</f>
        <v/>
      </c>
      <c r="Y1151" s="19">
        <f>IF(NOT(ISNUMBER($A1151)),NA(),IF(OR($A1151&lt;MIN(DKW_10Y!$A$2:$A$2918),$A1151&gt;MAX(DKW_10Y!$A$2:$A$2918),Settings!$B$16&lt;MIN(DKW_10Y!$A$2:$A$2918)),NA(),(INDEX(DKW_10Y!$C$2:$C$2918,MATCH($A1151,DKW_10Y!$A$2:$A$2918,1))-INDEX(DKW_10Y!$C$2:$C$2918,MATCH(Settings!$B$16,DKW_10Y!$A$2:$A$2918,1)))*100))</f>
        <v/>
      </c>
      <c r="Z1151" s="19">
        <f>IF(NOT(ISNUMBER($A1151)),NA(),IF(OR($A1151&lt;MIN(DKW_10Y!$A$2:$A$2918),$A1151&gt;MAX(DKW_10Y!$A$2:$A$2918),Settings!$B$16&lt;MIN(DKW_10Y!$A$2:$A$2918)),NA(),(INDEX(DKW_10Y!$D$2:$D$2918,MATCH($A1151,DKW_10Y!$A$2:$A$2918,1))-INDEX(DKW_10Y!$D$2:$D$2918,MATCH(Settings!$B$16,DKW_10Y!$A$2:$A$2918,1)))*100))</f>
        <v/>
      </c>
      <c r="AA1151" s="19">
        <f>IF(NOT(ISNUMBER($A1151)),NA(),IF(OR($A1151&lt;MIN(DKW_10Y!$A$2:$A$2918),$A1151&gt;MAX(DKW_10Y!$A$2:$A$2918),Settings!$B$16&lt;MIN(DKW_10Y!$A$2:$A$2918)),NA(),(INDEX(DKW_10Y!$E$2:$E$2918,MATCH($A1151,DKW_10Y!$A$2:$A$2918,1))-INDEX(DKW_10Y!$E$2:$E$2918,MATCH(Settings!$B$16,DKW_10Y!$A$2:$A$2918,1)))*100))</f>
        <v/>
      </c>
      <c r="AB1151" s="19">
        <f>IF(NOT(ISNUMBER($A1151)),NA(),IF(OR($A1151&lt;MIN(DKW_10Y!$A$2:$A$2918),$A1151&gt;MAX(DKW_10Y!$A$2:$A$2918),Settings!$B$16&lt;MIN(DKW_10Y!$A$2:$A$2918)),NA(),(INDEX(DKW_10Y!$H$2:$H$2918,MATCH($A1151,DKW_10Y!$A$2:$A$2918,1))-INDEX(DKW_10Y!$H$2:$H$2918,MATCH(Settings!$B$16,DKW_10Y!$A$2:$A$2918,1)))*100))</f>
        <v/>
      </c>
      <c r="AC1151" s="18">
        <f>IF(NOT(ISNUMBER($A1151)),NA(),IFERROR(1*INDEX(BBG_Data!$N$2:$N$4000,MATCH($A1151,BBG_Data!$M$2:$M$4000,0)),NA()))</f>
        <v/>
      </c>
      <c r="AD1151" s="18">
        <f>IF(NOT(ISNUMBER($A1151)),NA(),IFERROR(1*INDEX(BBG_Data!$P$2:$P$4000,MATCH($A1151,BBG_Data!$O$2:$O$4000,0)),NA()))</f>
        <v/>
      </c>
      <c r="AE1151" s="18">
        <f>IF(NOT(ISNUMBER($A1151)),NA(),IFERROR(1*INDEX(BBG_Data!$R$2:$R$4000,MATCH($A1151,BBG_Data!$Q$2:$Q$4000,0)),NA()))</f>
        <v/>
      </c>
      <c r="AF1151" s="20">
        <f>IF(AND(ISNUMBER(B1151),ISNUMBER(AC1151)),(B1151-AC1151)*100,NA())</f>
        <v/>
      </c>
      <c r="AG1151" s="20">
        <f>IF(AND(ISNUMBER(AE1151),ISNUMBER(AD1151)),(AE1151-AD1151)*100,NA())</f>
        <v/>
      </c>
      <c r="AH1151" s="19">
        <f>IF(NOT(ISNUMBER($A1151)),NA(),IFERROR(INDEX(BBG_Data!$T$2:$T$4000,MATCH($A1151,BBG_Data!$S$2:$S$4000,0))*Settings!$B$25,NA()))</f>
        <v/>
      </c>
      <c r="AI1151" s="19">
        <f>IF(NOT(ISNUMBER($A1151)),NA(),IFERROR(INDEX(BBG_Data!$V$2:$V$4000,MATCH($A1151,BBG_Data!$U$2:$U$4000,0))*Settings!$B$25,NA()))</f>
        <v/>
      </c>
      <c r="AJ1151" s="19">
        <f>IF(NOT(ISNUMBER($A1151)),NA(),IFERROR(1*INDEX(BBG_Data!$X$2:$X$4000,MATCH($A1151,BBG_Data!$W$2:$W$4000,0)),NA()))</f>
        <v/>
      </c>
      <c r="AK1151" s="19">
        <f>IF(NOT(ISNUMBER($A1151)),NA(),IFERROR(1*INDEX(BBG_Data!$Z$2:$Z$4000,MATCH($A1151,BBG_Data!$Y$2:$Y$4000,0)),NA()))</f>
        <v/>
      </c>
    </row>
    <row r="1152">
      <c r="A1152" s="17">
        <f>IF(ISNUMBER(BBG_Data!A1152),BBG_Data!A1152,"")</f>
        <v/>
      </c>
      <c r="B1152" s="18">
        <f>IF(AND(ISNUMBER($A1152),ISNUMBER(BBG_Data!B1152)),BBG_Data!B1152,NA())</f>
        <v/>
      </c>
      <c r="C1152" s="18">
        <f>IF(NOT(ISNUMBER($A1152)),NA(),IFERROR(1*INDEX(BBG_Data!$D$2:$D$4000,MATCH($A1152,BBG_Data!$C$2:$C$4000,0)),NA()))</f>
        <v/>
      </c>
      <c r="D1152" s="19">
        <f>IF(NOT(ISNUMBER($A1152)),NA(),IFERROR(1*INDEX(BBG_Data!$F$2:$F$4000,MATCH($A1152,BBG_Data!$E$2:$E$4000,0)),NA()))</f>
        <v/>
      </c>
      <c r="E1152" s="19">
        <f>IF(NOT(ISNUMBER($A1152)),NA(),IFERROR(1*INDEX(BBG_Data!$H$2:$H$4000,MATCH($A1152,BBG_Data!$G$2:$G$4000,0)),NA()))</f>
        <v/>
      </c>
      <c r="F1152" s="20">
        <f>IF(AND(ISNUMBER(B1152),ISNUMBER(B1151)),IF(B1152=B1151,"",(B1152-B1151)*100),"")</f>
        <v/>
      </c>
      <c r="G1152" s="20">
        <f>IF(AND(ISNUMBER(C1152),ISNUMBER(C1151)),IF(C1152=C1151,"",(C1152-C1151)*100),"")</f>
        <v/>
      </c>
      <c r="H1152" s="20">
        <f>IF(OR(NOT(ISNUMBER($A1152)),ROW()-2&lt;Settings!$B$11),NA(),IF(COUNT(OFFSET(F1152,1-Settings!$B$11,0,Settings!$B$11,1))&lt;ROUNDUP(Settings!$B$11*Settings!$B$26,0),NA(),STDEV(OFFSET(F1152,1-Settings!$B$11,0,Settings!$B$11,1))*SQRT(Settings!$B$13)))</f>
        <v/>
      </c>
      <c r="I1152" s="20">
        <f>IF(OR(NOT(ISNUMBER($A1152)),ROW()-2&lt;Settings!$B$12),NA(),IF(COUNT(OFFSET(F1152,1-Settings!$B$12,0,Settings!$B$12,1))&lt;ROUNDUP(Settings!$B$12*Settings!$B$26,0),NA(),STDEV(OFFSET(F1152,1-Settings!$B$12,0,Settings!$B$12,1))*SQRT(Settings!$B$13)))</f>
        <v/>
      </c>
      <c r="J1152" s="20">
        <f>IF(OR(NOT(ISNUMBER($A1152)),ROW()-2&lt;Settings!$B$11),NA(),IF(COUNT(OFFSET(G1152,1-Settings!$B$11,0,Settings!$B$11,1))&lt;ROUNDUP(Settings!$B$11*Settings!$B$26,0),NA(),STDEV(OFFSET(G1152,1-Settings!$B$11,0,Settings!$B$11,1))*SQRT(Settings!$B$13)))</f>
        <v/>
      </c>
      <c r="K1152" s="20">
        <f>IF(OR(NOT(ISNUMBER($A1152)),ROW()-2&lt;Settings!$B$12),NA(),IF(COUNT(OFFSET(G1152,1-Settings!$B$12,0,Settings!$B$12,1))&lt;ROUNDUP(Settings!$B$12*Settings!$B$26,0),NA(),STDEV(OFFSET(G1152,1-Settings!$B$12,0,Settings!$B$12,1))*SQRT(Settings!$B$13)))</f>
        <v/>
      </c>
      <c r="L1152" s="20">
        <f>IF(AND(ISNUMBER(D1152),ISNUMBER(H1152)),D1152-H1152,NA())</f>
        <v/>
      </c>
      <c r="M1152" s="20">
        <f>IF(AND(ISNUMBER(E1152),ISNUMBER(K1152)),E1152-K1152,NA())</f>
        <v/>
      </c>
      <c r="N1152" s="20">
        <f>IF(NOT(ISNUMBER($A1152)),NA(),IF(COUNT(OFFSET(G1152,1,0,Settings!$B$12,1))&lt;ROUNDUP(Settings!$B$12*Settings!$B$26,0),NA(),STDEV(OFFSET(G1152,1,0,Settings!$B$12,1))*SQRT(Settings!$B$13)))</f>
        <v/>
      </c>
      <c r="O1152" s="20">
        <f>IF(AND(ISNUMBER(E1152),ISNUMBER(N1152)),E1152-N1152,NA())</f>
        <v/>
      </c>
      <c r="P1152" s="19">
        <f>IF(NOT(ISNUMBER($A1152)),NA(),IF(OR($A1152&lt;MIN(KW_TP!$A$2:$A$2501),$A1152&gt;MAX(KW_TP!$A$2:$A$2501)),NA(),INDEX(KW_TP!$C$2:$C$2501,MATCH($A1152,KW_TP!$A$2:$A$2501,1))))</f>
        <v/>
      </c>
      <c r="Q1152" s="18">
        <f>IF(NOT(ISNUMBER($A1152)),NA(),IFERROR(1*INDEX(BBG_Data!$J$2:$J$4000,MATCH($A1152,BBG_Data!$I$2:$I$4000,0)),NA()))</f>
        <v/>
      </c>
      <c r="R1152" s="18">
        <f>IF(NOT(ISNUMBER($A1152)),NA(),IFERROR(1*INDEX(BBG_Data!$L$2:$L$4000,MATCH($A1152,BBG_Data!$K$2:$K$4000,0)),NA()))</f>
        <v/>
      </c>
      <c r="S1152" s="20">
        <f>IF(AND(ISNUMBER(B1152),ISNUMBER(Q1152),ISNUMBER(R1152)),(B1152-Q1152-R1152)*100,NA())</f>
        <v/>
      </c>
      <c r="T1152" s="20">
        <f>IF(AND(ISNUMBER(B1152),Settings!$B$17&gt;0),IF(ISNUMBER(INDEX($B:$B,Settings!$B$17)),(B1152-INDEX($B:$B,Settings!$B$17))*100,NA()),NA())</f>
        <v/>
      </c>
      <c r="U1152" s="20">
        <f>IF(AND(ISNUMBER(Q1152),Settings!$B$17&gt;0),IF(ISNUMBER(INDEX($Q:$Q,Settings!$B$17)),(Q1152-INDEX($Q:$Q,Settings!$B$17))*100,NA()),NA())</f>
        <v/>
      </c>
      <c r="V1152" s="20">
        <f>IF(AND(ISNUMBER(R1152),Settings!$B$17&gt;0),IF(ISNUMBER(INDEX($R:$R,Settings!$B$17)),(R1152-INDEX($R:$R,Settings!$B$17))*100,NA()),NA())</f>
        <v/>
      </c>
      <c r="W1152" s="20">
        <f>IF(AND(ISNUMBER(P1152),Settings!$B$17&gt;0),IF(ISNUMBER(INDEX($P:$P,Settings!$B$17)),P1152-INDEX($P:$P,Settings!$B$17),NA()),NA())</f>
        <v/>
      </c>
      <c r="X1152" s="19">
        <f>IF(NOT(ISNUMBER($A1152)),NA(),IF(OR($A1152&lt;MIN(DKW_10Y!$A$2:$A$2918),$A1152&gt;MAX(DKW_10Y!$A$2:$A$2918),Settings!$B$16&lt;MIN(DKW_10Y!$A$2:$A$2918)),NA(),(INDEX(DKW_10Y!$B$2:$B$2918,MATCH($A1152,DKW_10Y!$A$2:$A$2918,1))-INDEX(DKW_10Y!$B$2:$B$2918,MATCH(Settings!$B$16,DKW_10Y!$A$2:$A$2918,1)))*100))</f>
        <v/>
      </c>
      <c r="Y1152" s="19">
        <f>IF(NOT(ISNUMBER($A1152)),NA(),IF(OR($A1152&lt;MIN(DKW_10Y!$A$2:$A$2918),$A1152&gt;MAX(DKW_10Y!$A$2:$A$2918),Settings!$B$16&lt;MIN(DKW_10Y!$A$2:$A$2918)),NA(),(INDEX(DKW_10Y!$C$2:$C$2918,MATCH($A1152,DKW_10Y!$A$2:$A$2918,1))-INDEX(DKW_10Y!$C$2:$C$2918,MATCH(Settings!$B$16,DKW_10Y!$A$2:$A$2918,1)))*100))</f>
        <v/>
      </c>
      <c r="Z1152" s="19">
        <f>IF(NOT(ISNUMBER($A1152)),NA(),IF(OR($A1152&lt;MIN(DKW_10Y!$A$2:$A$2918),$A1152&gt;MAX(DKW_10Y!$A$2:$A$2918),Settings!$B$16&lt;MIN(DKW_10Y!$A$2:$A$2918)),NA(),(INDEX(DKW_10Y!$D$2:$D$2918,MATCH($A1152,DKW_10Y!$A$2:$A$2918,1))-INDEX(DKW_10Y!$D$2:$D$2918,MATCH(Settings!$B$16,DKW_10Y!$A$2:$A$2918,1)))*100))</f>
        <v/>
      </c>
      <c r="AA1152" s="19">
        <f>IF(NOT(ISNUMBER($A1152)),NA(),IF(OR($A1152&lt;MIN(DKW_10Y!$A$2:$A$2918),$A1152&gt;MAX(DKW_10Y!$A$2:$A$2918),Settings!$B$16&lt;MIN(DKW_10Y!$A$2:$A$2918)),NA(),(INDEX(DKW_10Y!$E$2:$E$2918,MATCH($A1152,DKW_10Y!$A$2:$A$2918,1))-INDEX(DKW_10Y!$E$2:$E$2918,MATCH(Settings!$B$16,DKW_10Y!$A$2:$A$2918,1)))*100))</f>
        <v/>
      </c>
      <c r="AB1152" s="19">
        <f>IF(NOT(ISNUMBER($A1152)),NA(),IF(OR($A1152&lt;MIN(DKW_10Y!$A$2:$A$2918),$A1152&gt;MAX(DKW_10Y!$A$2:$A$2918),Settings!$B$16&lt;MIN(DKW_10Y!$A$2:$A$2918)),NA(),(INDEX(DKW_10Y!$H$2:$H$2918,MATCH($A1152,DKW_10Y!$A$2:$A$2918,1))-INDEX(DKW_10Y!$H$2:$H$2918,MATCH(Settings!$B$16,DKW_10Y!$A$2:$A$2918,1)))*100))</f>
        <v/>
      </c>
      <c r="AC1152" s="18">
        <f>IF(NOT(ISNUMBER($A1152)),NA(),IFERROR(1*INDEX(BBG_Data!$N$2:$N$4000,MATCH($A1152,BBG_Data!$M$2:$M$4000,0)),NA()))</f>
        <v/>
      </c>
      <c r="AD1152" s="18">
        <f>IF(NOT(ISNUMBER($A1152)),NA(),IFERROR(1*INDEX(BBG_Data!$P$2:$P$4000,MATCH($A1152,BBG_Data!$O$2:$O$4000,0)),NA()))</f>
        <v/>
      </c>
      <c r="AE1152" s="18">
        <f>IF(NOT(ISNUMBER($A1152)),NA(),IFERROR(1*INDEX(BBG_Data!$R$2:$R$4000,MATCH($A1152,BBG_Data!$Q$2:$Q$4000,0)),NA()))</f>
        <v/>
      </c>
      <c r="AF1152" s="20">
        <f>IF(AND(ISNUMBER(B1152),ISNUMBER(AC1152)),(B1152-AC1152)*100,NA())</f>
        <v/>
      </c>
      <c r="AG1152" s="20">
        <f>IF(AND(ISNUMBER(AE1152),ISNUMBER(AD1152)),(AE1152-AD1152)*100,NA())</f>
        <v/>
      </c>
      <c r="AH1152" s="19">
        <f>IF(NOT(ISNUMBER($A1152)),NA(),IFERROR(INDEX(BBG_Data!$T$2:$T$4000,MATCH($A1152,BBG_Data!$S$2:$S$4000,0))*Settings!$B$25,NA()))</f>
        <v/>
      </c>
      <c r="AI1152" s="19">
        <f>IF(NOT(ISNUMBER($A1152)),NA(),IFERROR(INDEX(BBG_Data!$V$2:$V$4000,MATCH($A1152,BBG_Data!$U$2:$U$4000,0))*Settings!$B$25,NA()))</f>
        <v/>
      </c>
      <c r="AJ1152" s="19">
        <f>IF(NOT(ISNUMBER($A1152)),NA(),IFERROR(1*INDEX(BBG_Data!$X$2:$X$4000,MATCH($A1152,BBG_Data!$W$2:$W$4000,0)),NA()))</f>
        <v/>
      </c>
      <c r="AK1152" s="19">
        <f>IF(NOT(ISNUMBER($A1152)),NA(),IFERROR(1*INDEX(BBG_Data!$Z$2:$Z$4000,MATCH($A1152,BBG_Data!$Y$2:$Y$4000,0)),NA()))</f>
        <v/>
      </c>
    </row>
    <row r="1153">
      <c r="A1153" s="17">
        <f>IF(ISNUMBER(BBG_Data!A1153),BBG_Data!A1153,"")</f>
        <v/>
      </c>
      <c r="B1153" s="18">
        <f>IF(AND(ISNUMBER($A1153),ISNUMBER(BBG_Data!B1153)),BBG_Data!B1153,NA())</f>
        <v/>
      </c>
      <c r="C1153" s="18">
        <f>IF(NOT(ISNUMBER($A1153)),NA(),IFERROR(1*INDEX(BBG_Data!$D$2:$D$4000,MATCH($A1153,BBG_Data!$C$2:$C$4000,0)),NA()))</f>
        <v/>
      </c>
      <c r="D1153" s="19">
        <f>IF(NOT(ISNUMBER($A1153)),NA(),IFERROR(1*INDEX(BBG_Data!$F$2:$F$4000,MATCH($A1153,BBG_Data!$E$2:$E$4000,0)),NA()))</f>
        <v/>
      </c>
      <c r="E1153" s="19">
        <f>IF(NOT(ISNUMBER($A1153)),NA(),IFERROR(1*INDEX(BBG_Data!$H$2:$H$4000,MATCH($A1153,BBG_Data!$G$2:$G$4000,0)),NA()))</f>
        <v/>
      </c>
      <c r="F1153" s="20">
        <f>IF(AND(ISNUMBER(B1153),ISNUMBER(B1152)),IF(B1153=B1152,"",(B1153-B1152)*100),"")</f>
        <v/>
      </c>
      <c r="G1153" s="20">
        <f>IF(AND(ISNUMBER(C1153),ISNUMBER(C1152)),IF(C1153=C1152,"",(C1153-C1152)*100),"")</f>
        <v/>
      </c>
      <c r="H1153" s="20">
        <f>IF(OR(NOT(ISNUMBER($A1153)),ROW()-2&lt;Settings!$B$11),NA(),IF(COUNT(OFFSET(F1153,1-Settings!$B$11,0,Settings!$B$11,1))&lt;ROUNDUP(Settings!$B$11*Settings!$B$26,0),NA(),STDEV(OFFSET(F1153,1-Settings!$B$11,0,Settings!$B$11,1))*SQRT(Settings!$B$13)))</f>
        <v/>
      </c>
      <c r="I1153" s="20">
        <f>IF(OR(NOT(ISNUMBER($A1153)),ROW()-2&lt;Settings!$B$12),NA(),IF(COUNT(OFFSET(F1153,1-Settings!$B$12,0,Settings!$B$12,1))&lt;ROUNDUP(Settings!$B$12*Settings!$B$26,0),NA(),STDEV(OFFSET(F1153,1-Settings!$B$12,0,Settings!$B$12,1))*SQRT(Settings!$B$13)))</f>
        <v/>
      </c>
      <c r="J1153" s="20">
        <f>IF(OR(NOT(ISNUMBER($A1153)),ROW()-2&lt;Settings!$B$11),NA(),IF(COUNT(OFFSET(G1153,1-Settings!$B$11,0,Settings!$B$11,1))&lt;ROUNDUP(Settings!$B$11*Settings!$B$26,0),NA(),STDEV(OFFSET(G1153,1-Settings!$B$11,0,Settings!$B$11,1))*SQRT(Settings!$B$13)))</f>
        <v/>
      </c>
      <c r="K1153" s="20">
        <f>IF(OR(NOT(ISNUMBER($A1153)),ROW()-2&lt;Settings!$B$12),NA(),IF(COUNT(OFFSET(G1153,1-Settings!$B$12,0,Settings!$B$12,1))&lt;ROUNDUP(Settings!$B$12*Settings!$B$26,0),NA(),STDEV(OFFSET(G1153,1-Settings!$B$12,0,Settings!$B$12,1))*SQRT(Settings!$B$13)))</f>
        <v/>
      </c>
      <c r="L1153" s="20">
        <f>IF(AND(ISNUMBER(D1153),ISNUMBER(H1153)),D1153-H1153,NA())</f>
        <v/>
      </c>
      <c r="M1153" s="20">
        <f>IF(AND(ISNUMBER(E1153),ISNUMBER(K1153)),E1153-K1153,NA())</f>
        <v/>
      </c>
      <c r="N1153" s="20">
        <f>IF(NOT(ISNUMBER($A1153)),NA(),IF(COUNT(OFFSET(G1153,1,0,Settings!$B$12,1))&lt;ROUNDUP(Settings!$B$12*Settings!$B$26,0),NA(),STDEV(OFFSET(G1153,1,0,Settings!$B$12,1))*SQRT(Settings!$B$13)))</f>
        <v/>
      </c>
      <c r="O1153" s="20">
        <f>IF(AND(ISNUMBER(E1153),ISNUMBER(N1153)),E1153-N1153,NA())</f>
        <v/>
      </c>
      <c r="P1153" s="19">
        <f>IF(NOT(ISNUMBER($A1153)),NA(),IF(OR($A1153&lt;MIN(KW_TP!$A$2:$A$2501),$A1153&gt;MAX(KW_TP!$A$2:$A$2501)),NA(),INDEX(KW_TP!$C$2:$C$2501,MATCH($A1153,KW_TP!$A$2:$A$2501,1))))</f>
        <v/>
      </c>
      <c r="Q1153" s="18">
        <f>IF(NOT(ISNUMBER($A1153)),NA(),IFERROR(1*INDEX(BBG_Data!$J$2:$J$4000,MATCH($A1153,BBG_Data!$I$2:$I$4000,0)),NA()))</f>
        <v/>
      </c>
      <c r="R1153" s="18">
        <f>IF(NOT(ISNUMBER($A1153)),NA(),IFERROR(1*INDEX(BBG_Data!$L$2:$L$4000,MATCH($A1153,BBG_Data!$K$2:$K$4000,0)),NA()))</f>
        <v/>
      </c>
      <c r="S1153" s="20">
        <f>IF(AND(ISNUMBER(B1153),ISNUMBER(Q1153),ISNUMBER(R1153)),(B1153-Q1153-R1153)*100,NA())</f>
        <v/>
      </c>
      <c r="T1153" s="20">
        <f>IF(AND(ISNUMBER(B1153),Settings!$B$17&gt;0),IF(ISNUMBER(INDEX($B:$B,Settings!$B$17)),(B1153-INDEX($B:$B,Settings!$B$17))*100,NA()),NA())</f>
        <v/>
      </c>
      <c r="U1153" s="20">
        <f>IF(AND(ISNUMBER(Q1153),Settings!$B$17&gt;0),IF(ISNUMBER(INDEX($Q:$Q,Settings!$B$17)),(Q1153-INDEX($Q:$Q,Settings!$B$17))*100,NA()),NA())</f>
        <v/>
      </c>
      <c r="V1153" s="20">
        <f>IF(AND(ISNUMBER(R1153),Settings!$B$17&gt;0),IF(ISNUMBER(INDEX($R:$R,Settings!$B$17)),(R1153-INDEX($R:$R,Settings!$B$17))*100,NA()),NA())</f>
        <v/>
      </c>
      <c r="W1153" s="20">
        <f>IF(AND(ISNUMBER(P1153),Settings!$B$17&gt;0),IF(ISNUMBER(INDEX($P:$P,Settings!$B$17)),P1153-INDEX($P:$P,Settings!$B$17),NA()),NA())</f>
        <v/>
      </c>
      <c r="X1153" s="19">
        <f>IF(NOT(ISNUMBER($A1153)),NA(),IF(OR($A1153&lt;MIN(DKW_10Y!$A$2:$A$2918),$A1153&gt;MAX(DKW_10Y!$A$2:$A$2918),Settings!$B$16&lt;MIN(DKW_10Y!$A$2:$A$2918)),NA(),(INDEX(DKW_10Y!$B$2:$B$2918,MATCH($A1153,DKW_10Y!$A$2:$A$2918,1))-INDEX(DKW_10Y!$B$2:$B$2918,MATCH(Settings!$B$16,DKW_10Y!$A$2:$A$2918,1)))*100))</f>
        <v/>
      </c>
      <c r="Y1153" s="19">
        <f>IF(NOT(ISNUMBER($A1153)),NA(),IF(OR($A1153&lt;MIN(DKW_10Y!$A$2:$A$2918),$A1153&gt;MAX(DKW_10Y!$A$2:$A$2918),Settings!$B$16&lt;MIN(DKW_10Y!$A$2:$A$2918)),NA(),(INDEX(DKW_10Y!$C$2:$C$2918,MATCH($A1153,DKW_10Y!$A$2:$A$2918,1))-INDEX(DKW_10Y!$C$2:$C$2918,MATCH(Settings!$B$16,DKW_10Y!$A$2:$A$2918,1)))*100))</f>
        <v/>
      </c>
      <c r="Z1153" s="19">
        <f>IF(NOT(ISNUMBER($A1153)),NA(),IF(OR($A1153&lt;MIN(DKW_10Y!$A$2:$A$2918),$A1153&gt;MAX(DKW_10Y!$A$2:$A$2918),Settings!$B$16&lt;MIN(DKW_10Y!$A$2:$A$2918)),NA(),(INDEX(DKW_10Y!$D$2:$D$2918,MATCH($A1153,DKW_10Y!$A$2:$A$2918,1))-INDEX(DKW_10Y!$D$2:$D$2918,MATCH(Settings!$B$16,DKW_10Y!$A$2:$A$2918,1)))*100))</f>
        <v/>
      </c>
      <c r="AA1153" s="19">
        <f>IF(NOT(ISNUMBER($A1153)),NA(),IF(OR($A1153&lt;MIN(DKW_10Y!$A$2:$A$2918),$A1153&gt;MAX(DKW_10Y!$A$2:$A$2918),Settings!$B$16&lt;MIN(DKW_10Y!$A$2:$A$2918)),NA(),(INDEX(DKW_10Y!$E$2:$E$2918,MATCH($A1153,DKW_10Y!$A$2:$A$2918,1))-INDEX(DKW_10Y!$E$2:$E$2918,MATCH(Settings!$B$16,DKW_10Y!$A$2:$A$2918,1)))*100))</f>
        <v/>
      </c>
      <c r="AB1153" s="19">
        <f>IF(NOT(ISNUMBER($A1153)),NA(),IF(OR($A1153&lt;MIN(DKW_10Y!$A$2:$A$2918),$A1153&gt;MAX(DKW_10Y!$A$2:$A$2918),Settings!$B$16&lt;MIN(DKW_10Y!$A$2:$A$2918)),NA(),(INDEX(DKW_10Y!$H$2:$H$2918,MATCH($A1153,DKW_10Y!$A$2:$A$2918,1))-INDEX(DKW_10Y!$H$2:$H$2918,MATCH(Settings!$B$16,DKW_10Y!$A$2:$A$2918,1)))*100))</f>
        <v/>
      </c>
      <c r="AC1153" s="18">
        <f>IF(NOT(ISNUMBER($A1153)),NA(),IFERROR(1*INDEX(BBG_Data!$N$2:$N$4000,MATCH($A1153,BBG_Data!$M$2:$M$4000,0)),NA()))</f>
        <v/>
      </c>
      <c r="AD1153" s="18">
        <f>IF(NOT(ISNUMBER($A1153)),NA(),IFERROR(1*INDEX(BBG_Data!$P$2:$P$4000,MATCH($A1153,BBG_Data!$O$2:$O$4000,0)),NA()))</f>
        <v/>
      </c>
      <c r="AE1153" s="18">
        <f>IF(NOT(ISNUMBER($A1153)),NA(),IFERROR(1*INDEX(BBG_Data!$R$2:$R$4000,MATCH($A1153,BBG_Data!$Q$2:$Q$4000,0)),NA()))</f>
        <v/>
      </c>
      <c r="AF1153" s="20">
        <f>IF(AND(ISNUMBER(B1153),ISNUMBER(AC1153)),(B1153-AC1153)*100,NA())</f>
        <v/>
      </c>
      <c r="AG1153" s="20">
        <f>IF(AND(ISNUMBER(AE1153),ISNUMBER(AD1153)),(AE1153-AD1153)*100,NA())</f>
        <v/>
      </c>
      <c r="AH1153" s="19">
        <f>IF(NOT(ISNUMBER($A1153)),NA(),IFERROR(INDEX(BBG_Data!$T$2:$T$4000,MATCH($A1153,BBG_Data!$S$2:$S$4000,0))*Settings!$B$25,NA()))</f>
        <v/>
      </c>
      <c r="AI1153" s="19">
        <f>IF(NOT(ISNUMBER($A1153)),NA(),IFERROR(INDEX(BBG_Data!$V$2:$V$4000,MATCH($A1153,BBG_Data!$U$2:$U$4000,0))*Settings!$B$25,NA()))</f>
        <v/>
      </c>
      <c r="AJ1153" s="19">
        <f>IF(NOT(ISNUMBER($A1153)),NA(),IFERROR(1*INDEX(BBG_Data!$X$2:$X$4000,MATCH($A1153,BBG_Data!$W$2:$W$4000,0)),NA()))</f>
        <v/>
      </c>
      <c r="AK1153" s="19">
        <f>IF(NOT(ISNUMBER($A1153)),NA(),IFERROR(1*INDEX(BBG_Data!$Z$2:$Z$4000,MATCH($A1153,BBG_Data!$Y$2:$Y$4000,0)),NA()))</f>
        <v/>
      </c>
    </row>
    <row r="1154">
      <c r="A1154" s="17">
        <f>IF(ISNUMBER(BBG_Data!A1154),BBG_Data!A1154,"")</f>
        <v/>
      </c>
      <c r="B1154" s="18">
        <f>IF(AND(ISNUMBER($A1154),ISNUMBER(BBG_Data!B1154)),BBG_Data!B1154,NA())</f>
        <v/>
      </c>
      <c r="C1154" s="18">
        <f>IF(NOT(ISNUMBER($A1154)),NA(),IFERROR(1*INDEX(BBG_Data!$D$2:$D$4000,MATCH($A1154,BBG_Data!$C$2:$C$4000,0)),NA()))</f>
        <v/>
      </c>
      <c r="D1154" s="19">
        <f>IF(NOT(ISNUMBER($A1154)),NA(),IFERROR(1*INDEX(BBG_Data!$F$2:$F$4000,MATCH($A1154,BBG_Data!$E$2:$E$4000,0)),NA()))</f>
        <v/>
      </c>
      <c r="E1154" s="19">
        <f>IF(NOT(ISNUMBER($A1154)),NA(),IFERROR(1*INDEX(BBG_Data!$H$2:$H$4000,MATCH($A1154,BBG_Data!$G$2:$G$4000,0)),NA()))</f>
        <v/>
      </c>
      <c r="F1154" s="20">
        <f>IF(AND(ISNUMBER(B1154),ISNUMBER(B1153)),IF(B1154=B1153,"",(B1154-B1153)*100),"")</f>
        <v/>
      </c>
      <c r="G1154" s="20">
        <f>IF(AND(ISNUMBER(C1154),ISNUMBER(C1153)),IF(C1154=C1153,"",(C1154-C1153)*100),"")</f>
        <v/>
      </c>
      <c r="H1154" s="20">
        <f>IF(OR(NOT(ISNUMBER($A1154)),ROW()-2&lt;Settings!$B$11),NA(),IF(COUNT(OFFSET(F1154,1-Settings!$B$11,0,Settings!$B$11,1))&lt;ROUNDUP(Settings!$B$11*Settings!$B$26,0),NA(),STDEV(OFFSET(F1154,1-Settings!$B$11,0,Settings!$B$11,1))*SQRT(Settings!$B$13)))</f>
        <v/>
      </c>
      <c r="I1154" s="20">
        <f>IF(OR(NOT(ISNUMBER($A1154)),ROW()-2&lt;Settings!$B$12),NA(),IF(COUNT(OFFSET(F1154,1-Settings!$B$12,0,Settings!$B$12,1))&lt;ROUNDUP(Settings!$B$12*Settings!$B$26,0),NA(),STDEV(OFFSET(F1154,1-Settings!$B$12,0,Settings!$B$12,1))*SQRT(Settings!$B$13)))</f>
        <v/>
      </c>
      <c r="J1154" s="20">
        <f>IF(OR(NOT(ISNUMBER($A1154)),ROW()-2&lt;Settings!$B$11),NA(),IF(COUNT(OFFSET(G1154,1-Settings!$B$11,0,Settings!$B$11,1))&lt;ROUNDUP(Settings!$B$11*Settings!$B$26,0),NA(),STDEV(OFFSET(G1154,1-Settings!$B$11,0,Settings!$B$11,1))*SQRT(Settings!$B$13)))</f>
        <v/>
      </c>
      <c r="K1154" s="20">
        <f>IF(OR(NOT(ISNUMBER($A1154)),ROW()-2&lt;Settings!$B$12),NA(),IF(COUNT(OFFSET(G1154,1-Settings!$B$12,0,Settings!$B$12,1))&lt;ROUNDUP(Settings!$B$12*Settings!$B$26,0),NA(),STDEV(OFFSET(G1154,1-Settings!$B$12,0,Settings!$B$12,1))*SQRT(Settings!$B$13)))</f>
        <v/>
      </c>
      <c r="L1154" s="20">
        <f>IF(AND(ISNUMBER(D1154),ISNUMBER(H1154)),D1154-H1154,NA())</f>
        <v/>
      </c>
      <c r="M1154" s="20">
        <f>IF(AND(ISNUMBER(E1154),ISNUMBER(K1154)),E1154-K1154,NA())</f>
        <v/>
      </c>
      <c r="N1154" s="20">
        <f>IF(NOT(ISNUMBER($A1154)),NA(),IF(COUNT(OFFSET(G1154,1,0,Settings!$B$12,1))&lt;ROUNDUP(Settings!$B$12*Settings!$B$26,0),NA(),STDEV(OFFSET(G1154,1,0,Settings!$B$12,1))*SQRT(Settings!$B$13)))</f>
        <v/>
      </c>
      <c r="O1154" s="20">
        <f>IF(AND(ISNUMBER(E1154),ISNUMBER(N1154)),E1154-N1154,NA())</f>
        <v/>
      </c>
      <c r="P1154" s="19">
        <f>IF(NOT(ISNUMBER($A1154)),NA(),IF(OR($A1154&lt;MIN(KW_TP!$A$2:$A$2501),$A1154&gt;MAX(KW_TP!$A$2:$A$2501)),NA(),INDEX(KW_TP!$C$2:$C$2501,MATCH($A1154,KW_TP!$A$2:$A$2501,1))))</f>
        <v/>
      </c>
      <c r="Q1154" s="18">
        <f>IF(NOT(ISNUMBER($A1154)),NA(),IFERROR(1*INDEX(BBG_Data!$J$2:$J$4000,MATCH($A1154,BBG_Data!$I$2:$I$4000,0)),NA()))</f>
        <v/>
      </c>
      <c r="R1154" s="18">
        <f>IF(NOT(ISNUMBER($A1154)),NA(),IFERROR(1*INDEX(BBG_Data!$L$2:$L$4000,MATCH($A1154,BBG_Data!$K$2:$K$4000,0)),NA()))</f>
        <v/>
      </c>
      <c r="S1154" s="20">
        <f>IF(AND(ISNUMBER(B1154),ISNUMBER(Q1154),ISNUMBER(R1154)),(B1154-Q1154-R1154)*100,NA())</f>
        <v/>
      </c>
      <c r="T1154" s="20">
        <f>IF(AND(ISNUMBER(B1154),Settings!$B$17&gt;0),IF(ISNUMBER(INDEX($B:$B,Settings!$B$17)),(B1154-INDEX($B:$B,Settings!$B$17))*100,NA()),NA())</f>
        <v/>
      </c>
      <c r="U1154" s="20">
        <f>IF(AND(ISNUMBER(Q1154),Settings!$B$17&gt;0),IF(ISNUMBER(INDEX($Q:$Q,Settings!$B$17)),(Q1154-INDEX($Q:$Q,Settings!$B$17))*100,NA()),NA())</f>
        <v/>
      </c>
      <c r="V1154" s="20">
        <f>IF(AND(ISNUMBER(R1154),Settings!$B$17&gt;0),IF(ISNUMBER(INDEX($R:$R,Settings!$B$17)),(R1154-INDEX($R:$R,Settings!$B$17))*100,NA()),NA())</f>
        <v/>
      </c>
      <c r="W1154" s="20">
        <f>IF(AND(ISNUMBER(P1154),Settings!$B$17&gt;0),IF(ISNUMBER(INDEX($P:$P,Settings!$B$17)),P1154-INDEX($P:$P,Settings!$B$17),NA()),NA())</f>
        <v/>
      </c>
      <c r="X1154" s="19">
        <f>IF(NOT(ISNUMBER($A1154)),NA(),IF(OR($A1154&lt;MIN(DKW_10Y!$A$2:$A$2918),$A1154&gt;MAX(DKW_10Y!$A$2:$A$2918),Settings!$B$16&lt;MIN(DKW_10Y!$A$2:$A$2918)),NA(),(INDEX(DKW_10Y!$B$2:$B$2918,MATCH($A1154,DKW_10Y!$A$2:$A$2918,1))-INDEX(DKW_10Y!$B$2:$B$2918,MATCH(Settings!$B$16,DKW_10Y!$A$2:$A$2918,1)))*100))</f>
        <v/>
      </c>
      <c r="Y1154" s="19">
        <f>IF(NOT(ISNUMBER($A1154)),NA(),IF(OR($A1154&lt;MIN(DKW_10Y!$A$2:$A$2918),$A1154&gt;MAX(DKW_10Y!$A$2:$A$2918),Settings!$B$16&lt;MIN(DKW_10Y!$A$2:$A$2918)),NA(),(INDEX(DKW_10Y!$C$2:$C$2918,MATCH($A1154,DKW_10Y!$A$2:$A$2918,1))-INDEX(DKW_10Y!$C$2:$C$2918,MATCH(Settings!$B$16,DKW_10Y!$A$2:$A$2918,1)))*100))</f>
        <v/>
      </c>
      <c r="Z1154" s="19">
        <f>IF(NOT(ISNUMBER($A1154)),NA(),IF(OR($A1154&lt;MIN(DKW_10Y!$A$2:$A$2918),$A1154&gt;MAX(DKW_10Y!$A$2:$A$2918),Settings!$B$16&lt;MIN(DKW_10Y!$A$2:$A$2918)),NA(),(INDEX(DKW_10Y!$D$2:$D$2918,MATCH($A1154,DKW_10Y!$A$2:$A$2918,1))-INDEX(DKW_10Y!$D$2:$D$2918,MATCH(Settings!$B$16,DKW_10Y!$A$2:$A$2918,1)))*100))</f>
        <v/>
      </c>
      <c r="AA1154" s="19">
        <f>IF(NOT(ISNUMBER($A1154)),NA(),IF(OR($A1154&lt;MIN(DKW_10Y!$A$2:$A$2918),$A1154&gt;MAX(DKW_10Y!$A$2:$A$2918),Settings!$B$16&lt;MIN(DKW_10Y!$A$2:$A$2918)),NA(),(INDEX(DKW_10Y!$E$2:$E$2918,MATCH($A1154,DKW_10Y!$A$2:$A$2918,1))-INDEX(DKW_10Y!$E$2:$E$2918,MATCH(Settings!$B$16,DKW_10Y!$A$2:$A$2918,1)))*100))</f>
        <v/>
      </c>
      <c r="AB1154" s="19">
        <f>IF(NOT(ISNUMBER($A1154)),NA(),IF(OR($A1154&lt;MIN(DKW_10Y!$A$2:$A$2918),$A1154&gt;MAX(DKW_10Y!$A$2:$A$2918),Settings!$B$16&lt;MIN(DKW_10Y!$A$2:$A$2918)),NA(),(INDEX(DKW_10Y!$H$2:$H$2918,MATCH($A1154,DKW_10Y!$A$2:$A$2918,1))-INDEX(DKW_10Y!$H$2:$H$2918,MATCH(Settings!$B$16,DKW_10Y!$A$2:$A$2918,1)))*100))</f>
        <v/>
      </c>
      <c r="AC1154" s="18">
        <f>IF(NOT(ISNUMBER($A1154)),NA(),IFERROR(1*INDEX(BBG_Data!$N$2:$N$4000,MATCH($A1154,BBG_Data!$M$2:$M$4000,0)),NA()))</f>
        <v/>
      </c>
      <c r="AD1154" s="18">
        <f>IF(NOT(ISNUMBER($A1154)),NA(),IFERROR(1*INDEX(BBG_Data!$P$2:$P$4000,MATCH($A1154,BBG_Data!$O$2:$O$4000,0)),NA()))</f>
        <v/>
      </c>
      <c r="AE1154" s="18">
        <f>IF(NOT(ISNUMBER($A1154)),NA(),IFERROR(1*INDEX(BBG_Data!$R$2:$R$4000,MATCH($A1154,BBG_Data!$Q$2:$Q$4000,0)),NA()))</f>
        <v/>
      </c>
      <c r="AF1154" s="20">
        <f>IF(AND(ISNUMBER(B1154),ISNUMBER(AC1154)),(B1154-AC1154)*100,NA())</f>
        <v/>
      </c>
      <c r="AG1154" s="20">
        <f>IF(AND(ISNUMBER(AE1154),ISNUMBER(AD1154)),(AE1154-AD1154)*100,NA())</f>
        <v/>
      </c>
      <c r="AH1154" s="19">
        <f>IF(NOT(ISNUMBER($A1154)),NA(),IFERROR(INDEX(BBG_Data!$T$2:$T$4000,MATCH($A1154,BBG_Data!$S$2:$S$4000,0))*Settings!$B$25,NA()))</f>
        <v/>
      </c>
      <c r="AI1154" s="19">
        <f>IF(NOT(ISNUMBER($A1154)),NA(),IFERROR(INDEX(BBG_Data!$V$2:$V$4000,MATCH($A1154,BBG_Data!$U$2:$U$4000,0))*Settings!$B$25,NA()))</f>
        <v/>
      </c>
      <c r="AJ1154" s="19">
        <f>IF(NOT(ISNUMBER($A1154)),NA(),IFERROR(1*INDEX(BBG_Data!$X$2:$X$4000,MATCH($A1154,BBG_Data!$W$2:$W$4000,0)),NA()))</f>
        <v/>
      </c>
      <c r="AK1154" s="19">
        <f>IF(NOT(ISNUMBER($A1154)),NA(),IFERROR(1*INDEX(BBG_Data!$Z$2:$Z$4000,MATCH($A1154,BBG_Data!$Y$2:$Y$4000,0)),NA()))</f>
        <v/>
      </c>
    </row>
    <row r="1155">
      <c r="A1155" s="17">
        <f>IF(ISNUMBER(BBG_Data!A1155),BBG_Data!A1155,"")</f>
        <v/>
      </c>
      <c r="B1155" s="18">
        <f>IF(AND(ISNUMBER($A1155),ISNUMBER(BBG_Data!B1155)),BBG_Data!B1155,NA())</f>
        <v/>
      </c>
      <c r="C1155" s="18">
        <f>IF(NOT(ISNUMBER($A1155)),NA(),IFERROR(1*INDEX(BBG_Data!$D$2:$D$4000,MATCH($A1155,BBG_Data!$C$2:$C$4000,0)),NA()))</f>
        <v/>
      </c>
      <c r="D1155" s="19">
        <f>IF(NOT(ISNUMBER($A1155)),NA(),IFERROR(1*INDEX(BBG_Data!$F$2:$F$4000,MATCH($A1155,BBG_Data!$E$2:$E$4000,0)),NA()))</f>
        <v/>
      </c>
      <c r="E1155" s="19">
        <f>IF(NOT(ISNUMBER($A1155)),NA(),IFERROR(1*INDEX(BBG_Data!$H$2:$H$4000,MATCH($A1155,BBG_Data!$G$2:$G$4000,0)),NA()))</f>
        <v/>
      </c>
      <c r="F1155" s="20">
        <f>IF(AND(ISNUMBER(B1155),ISNUMBER(B1154)),IF(B1155=B1154,"",(B1155-B1154)*100),"")</f>
        <v/>
      </c>
      <c r="G1155" s="20">
        <f>IF(AND(ISNUMBER(C1155),ISNUMBER(C1154)),IF(C1155=C1154,"",(C1155-C1154)*100),"")</f>
        <v/>
      </c>
      <c r="H1155" s="20">
        <f>IF(OR(NOT(ISNUMBER($A1155)),ROW()-2&lt;Settings!$B$11),NA(),IF(COUNT(OFFSET(F1155,1-Settings!$B$11,0,Settings!$B$11,1))&lt;ROUNDUP(Settings!$B$11*Settings!$B$26,0),NA(),STDEV(OFFSET(F1155,1-Settings!$B$11,0,Settings!$B$11,1))*SQRT(Settings!$B$13)))</f>
        <v/>
      </c>
      <c r="I1155" s="20">
        <f>IF(OR(NOT(ISNUMBER($A1155)),ROW()-2&lt;Settings!$B$12),NA(),IF(COUNT(OFFSET(F1155,1-Settings!$B$12,0,Settings!$B$12,1))&lt;ROUNDUP(Settings!$B$12*Settings!$B$26,0),NA(),STDEV(OFFSET(F1155,1-Settings!$B$12,0,Settings!$B$12,1))*SQRT(Settings!$B$13)))</f>
        <v/>
      </c>
      <c r="J1155" s="20">
        <f>IF(OR(NOT(ISNUMBER($A1155)),ROW()-2&lt;Settings!$B$11),NA(),IF(COUNT(OFFSET(G1155,1-Settings!$B$11,0,Settings!$B$11,1))&lt;ROUNDUP(Settings!$B$11*Settings!$B$26,0),NA(),STDEV(OFFSET(G1155,1-Settings!$B$11,0,Settings!$B$11,1))*SQRT(Settings!$B$13)))</f>
        <v/>
      </c>
      <c r="K1155" s="20">
        <f>IF(OR(NOT(ISNUMBER($A1155)),ROW()-2&lt;Settings!$B$12),NA(),IF(COUNT(OFFSET(G1155,1-Settings!$B$12,0,Settings!$B$12,1))&lt;ROUNDUP(Settings!$B$12*Settings!$B$26,0),NA(),STDEV(OFFSET(G1155,1-Settings!$B$12,0,Settings!$B$12,1))*SQRT(Settings!$B$13)))</f>
        <v/>
      </c>
      <c r="L1155" s="20">
        <f>IF(AND(ISNUMBER(D1155),ISNUMBER(H1155)),D1155-H1155,NA())</f>
        <v/>
      </c>
      <c r="M1155" s="20">
        <f>IF(AND(ISNUMBER(E1155),ISNUMBER(K1155)),E1155-K1155,NA())</f>
        <v/>
      </c>
      <c r="N1155" s="20">
        <f>IF(NOT(ISNUMBER($A1155)),NA(),IF(COUNT(OFFSET(G1155,1,0,Settings!$B$12,1))&lt;ROUNDUP(Settings!$B$12*Settings!$B$26,0),NA(),STDEV(OFFSET(G1155,1,0,Settings!$B$12,1))*SQRT(Settings!$B$13)))</f>
        <v/>
      </c>
      <c r="O1155" s="20">
        <f>IF(AND(ISNUMBER(E1155),ISNUMBER(N1155)),E1155-N1155,NA())</f>
        <v/>
      </c>
      <c r="P1155" s="19">
        <f>IF(NOT(ISNUMBER($A1155)),NA(),IF(OR($A1155&lt;MIN(KW_TP!$A$2:$A$2501),$A1155&gt;MAX(KW_TP!$A$2:$A$2501)),NA(),INDEX(KW_TP!$C$2:$C$2501,MATCH($A1155,KW_TP!$A$2:$A$2501,1))))</f>
        <v/>
      </c>
      <c r="Q1155" s="18">
        <f>IF(NOT(ISNUMBER($A1155)),NA(),IFERROR(1*INDEX(BBG_Data!$J$2:$J$4000,MATCH($A1155,BBG_Data!$I$2:$I$4000,0)),NA()))</f>
        <v/>
      </c>
      <c r="R1155" s="18">
        <f>IF(NOT(ISNUMBER($A1155)),NA(),IFERROR(1*INDEX(BBG_Data!$L$2:$L$4000,MATCH($A1155,BBG_Data!$K$2:$K$4000,0)),NA()))</f>
        <v/>
      </c>
      <c r="S1155" s="20">
        <f>IF(AND(ISNUMBER(B1155),ISNUMBER(Q1155),ISNUMBER(R1155)),(B1155-Q1155-R1155)*100,NA())</f>
        <v/>
      </c>
      <c r="T1155" s="20">
        <f>IF(AND(ISNUMBER(B1155),Settings!$B$17&gt;0),IF(ISNUMBER(INDEX($B:$B,Settings!$B$17)),(B1155-INDEX($B:$B,Settings!$B$17))*100,NA()),NA())</f>
        <v/>
      </c>
      <c r="U1155" s="20">
        <f>IF(AND(ISNUMBER(Q1155),Settings!$B$17&gt;0),IF(ISNUMBER(INDEX($Q:$Q,Settings!$B$17)),(Q1155-INDEX($Q:$Q,Settings!$B$17))*100,NA()),NA())</f>
        <v/>
      </c>
      <c r="V1155" s="20">
        <f>IF(AND(ISNUMBER(R1155),Settings!$B$17&gt;0),IF(ISNUMBER(INDEX($R:$R,Settings!$B$17)),(R1155-INDEX($R:$R,Settings!$B$17))*100,NA()),NA())</f>
        <v/>
      </c>
      <c r="W1155" s="20">
        <f>IF(AND(ISNUMBER(P1155),Settings!$B$17&gt;0),IF(ISNUMBER(INDEX($P:$P,Settings!$B$17)),P1155-INDEX($P:$P,Settings!$B$17),NA()),NA())</f>
        <v/>
      </c>
      <c r="X1155" s="19">
        <f>IF(NOT(ISNUMBER($A1155)),NA(),IF(OR($A1155&lt;MIN(DKW_10Y!$A$2:$A$2918),$A1155&gt;MAX(DKW_10Y!$A$2:$A$2918),Settings!$B$16&lt;MIN(DKW_10Y!$A$2:$A$2918)),NA(),(INDEX(DKW_10Y!$B$2:$B$2918,MATCH($A1155,DKW_10Y!$A$2:$A$2918,1))-INDEX(DKW_10Y!$B$2:$B$2918,MATCH(Settings!$B$16,DKW_10Y!$A$2:$A$2918,1)))*100))</f>
        <v/>
      </c>
      <c r="Y1155" s="19">
        <f>IF(NOT(ISNUMBER($A1155)),NA(),IF(OR($A1155&lt;MIN(DKW_10Y!$A$2:$A$2918),$A1155&gt;MAX(DKW_10Y!$A$2:$A$2918),Settings!$B$16&lt;MIN(DKW_10Y!$A$2:$A$2918)),NA(),(INDEX(DKW_10Y!$C$2:$C$2918,MATCH($A1155,DKW_10Y!$A$2:$A$2918,1))-INDEX(DKW_10Y!$C$2:$C$2918,MATCH(Settings!$B$16,DKW_10Y!$A$2:$A$2918,1)))*100))</f>
        <v/>
      </c>
      <c r="Z1155" s="19">
        <f>IF(NOT(ISNUMBER($A1155)),NA(),IF(OR($A1155&lt;MIN(DKW_10Y!$A$2:$A$2918),$A1155&gt;MAX(DKW_10Y!$A$2:$A$2918),Settings!$B$16&lt;MIN(DKW_10Y!$A$2:$A$2918)),NA(),(INDEX(DKW_10Y!$D$2:$D$2918,MATCH($A1155,DKW_10Y!$A$2:$A$2918,1))-INDEX(DKW_10Y!$D$2:$D$2918,MATCH(Settings!$B$16,DKW_10Y!$A$2:$A$2918,1)))*100))</f>
        <v/>
      </c>
      <c r="AA1155" s="19">
        <f>IF(NOT(ISNUMBER($A1155)),NA(),IF(OR($A1155&lt;MIN(DKW_10Y!$A$2:$A$2918),$A1155&gt;MAX(DKW_10Y!$A$2:$A$2918),Settings!$B$16&lt;MIN(DKW_10Y!$A$2:$A$2918)),NA(),(INDEX(DKW_10Y!$E$2:$E$2918,MATCH($A1155,DKW_10Y!$A$2:$A$2918,1))-INDEX(DKW_10Y!$E$2:$E$2918,MATCH(Settings!$B$16,DKW_10Y!$A$2:$A$2918,1)))*100))</f>
        <v/>
      </c>
      <c r="AB1155" s="19">
        <f>IF(NOT(ISNUMBER($A1155)),NA(),IF(OR($A1155&lt;MIN(DKW_10Y!$A$2:$A$2918),$A1155&gt;MAX(DKW_10Y!$A$2:$A$2918),Settings!$B$16&lt;MIN(DKW_10Y!$A$2:$A$2918)),NA(),(INDEX(DKW_10Y!$H$2:$H$2918,MATCH($A1155,DKW_10Y!$A$2:$A$2918,1))-INDEX(DKW_10Y!$H$2:$H$2918,MATCH(Settings!$B$16,DKW_10Y!$A$2:$A$2918,1)))*100))</f>
        <v/>
      </c>
      <c r="AC1155" s="18">
        <f>IF(NOT(ISNUMBER($A1155)),NA(),IFERROR(1*INDEX(BBG_Data!$N$2:$N$4000,MATCH($A1155,BBG_Data!$M$2:$M$4000,0)),NA()))</f>
        <v/>
      </c>
      <c r="AD1155" s="18">
        <f>IF(NOT(ISNUMBER($A1155)),NA(),IFERROR(1*INDEX(BBG_Data!$P$2:$P$4000,MATCH($A1155,BBG_Data!$O$2:$O$4000,0)),NA()))</f>
        <v/>
      </c>
      <c r="AE1155" s="18">
        <f>IF(NOT(ISNUMBER($A1155)),NA(),IFERROR(1*INDEX(BBG_Data!$R$2:$R$4000,MATCH($A1155,BBG_Data!$Q$2:$Q$4000,0)),NA()))</f>
        <v/>
      </c>
      <c r="AF1155" s="20">
        <f>IF(AND(ISNUMBER(B1155),ISNUMBER(AC1155)),(B1155-AC1155)*100,NA())</f>
        <v/>
      </c>
      <c r="AG1155" s="20">
        <f>IF(AND(ISNUMBER(AE1155),ISNUMBER(AD1155)),(AE1155-AD1155)*100,NA())</f>
        <v/>
      </c>
      <c r="AH1155" s="19">
        <f>IF(NOT(ISNUMBER($A1155)),NA(),IFERROR(INDEX(BBG_Data!$T$2:$T$4000,MATCH($A1155,BBG_Data!$S$2:$S$4000,0))*Settings!$B$25,NA()))</f>
        <v/>
      </c>
      <c r="AI1155" s="19">
        <f>IF(NOT(ISNUMBER($A1155)),NA(),IFERROR(INDEX(BBG_Data!$V$2:$V$4000,MATCH($A1155,BBG_Data!$U$2:$U$4000,0))*Settings!$B$25,NA()))</f>
        <v/>
      </c>
      <c r="AJ1155" s="19">
        <f>IF(NOT(ISNUMBER($A1155)),NA(),IFERROR(1*INDEX(BBG_Data!$X$2:$X$4000,MATCH($A1155,BBG_Data!$W$2:$W$4000,0)),NA()))</f>
        <v/>
      </c>
      <c r="AK1155" s="19">
        <f>IF(NOT(ISNUMBER($A1155)),NA(),IFERROR(1*INDEX(BBG_Data!$Z$2:$Z$4000,MATCH($A1155,BBG_Data!$Y$2:$Y$4000,0)),NA()))</f>
        <v/>
      </c>
    </row>
    <row r="1156">
      <c r="A1156" s="17">
        <f>IF(ISNUMBER(BBG_Data!A1156),BBG_Data!A1156,"")</f>
        <v/>
      </c>
      <c r="B1156" s="18">
        <f>IF(AND(ISNUMBER($A1156),ISNUMBER(BBG_Data!B1156)),BBG_Data!B1156,NA())</f>
        <v/>
      </c>
      <c r="C1156" s="18">
        <f>IF(NOT(ISNUMBER($A1156)),NA(),IFERROR(1*INDEX(BBG_Data!$D$2:$D$4000,MATCH($A1156,BBG_Data!$C$2:$C$4000,0)),NA()))</f>
        <v/>
      </c>
      <c r="D1156" s="19">
        <f>IF(NOT(ISNUMBER($A1156)),NA(),IFERROR(1*INDEX(BBG_Data!$F$2:$F$4000,MATCH($A1156,BBG_Data!$E$2:$E$4000,0)),NA()))</f>
        <v/>
      </c>
      <c r="E1156" s="19">
        <f>IF(NOT(ISNUMBER($A1156)),NA(),IFERROR(1*INDEX(BBG_Data!$H$2:$H$4000,MATCH($A1156,BBG_Data!$G$2:$G$4000,0)),NA()))</f>
        <v/>
      </c>
      <c r="F1156" s="20">
        <f>IF(AND(ISNUMBER(B1156),ISNUMBER(B1155)),IF(B1156=B1155,"",(B1156-B1155)*100),"")</f>
        <v/>
      </c>
      <c r="G1156" s="20">
        <f>IF(AND(ISNUMBER(C1156),ISNUMBER(C1155)),IF(C1156=C1155,"",(C1156-C1155)*100),"")</f>
        <v/>
      </c>
      <c r="H1156" s="20">
        <f>IF(OR(NOT(ISNUMBER($A1156)),ROW()-2&lt;Settings!$B$11),NA(),IF(COUNT(OFFSET(F1156,1-Settings!$B$11,0,Settings!$B$11,1))&lt;ROUNDUP(Settings!$B$11*Settings!$B$26,0),NA(),STDEV(OFFSET(F1156,1-Settings!$B$11,0,Settings!$B$11,1))*SQRT(Settings!$B$13)))</f>
        <v/>
      </c>
      <c r="I1156" s="20">
        <f>IF(OR(NOT(ISNUMBER($A1156)),ROW()-2&lt;Settings!$B$12),NA(),IF(COUNT(OFFSET(F1156,1-Settings!$B$12,0,Settings!$B$12,1))&lt;ROUNDUP(Settings!$B$12*Settings!$B$26,0),NA(),STDEV(OFFSET(F1156,1-Settings!$B$12,0,Settings!$B$12,1))*SQRT(Settings!$B$13)))</f>
        <v/>
      </c>
      <c r="J1156" s="20">
        <f>IF(OR(NOT(ISNUMBER($A1156)),ROW()-2&lt;Settings!$B$11),NA(),IF(COUNT(OFFSET(G1156,1-Settings!$B$11,0,Settings!$B$11,1))&lt;ROUNDUP(Settings!$B$11*Settings!$B$26,0),NA(),STDEV(OFFSET(G1156,1-Settings!$B$11,0,Settings!$B$11,1))*SQRT(Settings!$B$13)))</f>
        <v/>
      </c>
      <c r="K1156" s="20">
        <f>IF(OR(NOT(ISNUMBER($A1156)),ROW()-2&lt;Settings!$B$12),NA(),IF(COUNT(OFFSET(G1156,1-Settings!$B$12,0,Settings!$B$12,1))&lt;ROUNDUP(Settings!$B$12*Settings!$B$26,0),NA(),STDEV(OFFSET(G1156,1-Settings!$B$12,0,Settings!$B$12,1))*SQRT(Settings!$B$13)))</f>
        <v/>
      </c>
      <c r="L1156" s="20">
        <f>IF(AND(ISNUMBER(D1156),ISNUMBER(H1156)),D1156-H1156,NA())</f>
        <v/>
      </c>
      <c r="M1156" s="20">
        <f>IF(AND(ISNUMBER(E1156),ISNUMBER(K1156)),E1156-K1156,NA())</f>
        <v/>
      </c>
      <c r="N1156" s="20">
        <f>IF(NOT(ISNUMBER($A1156)),NA(),IF(COUNT(OFFSET(G1156,1,0,Settings!$B$12,1))&lt;ROUNDUP(Settings!$B$12*Settings!$B$26,0),NA(),STDEV(OFFSET(G1156,1,0,Settings!$B$12,1))*SQRT(Settings!$B$13)))</f>
        <v/>
      </c>
      <c r="O1156" s="20">
        <f>IF(AND(ISNUMBER(E1156),ISNUMBER(N1156)),E1156-N1156,NA())</f>
        <v/>
      </c>
      <c r="P1156" s="19">
        <f>IF(NOT(ISNUMBER($A1156)),NA(),IF(OR($A1156&lt;MIN(KW_TP!$A$2:$A$2501),$A1156&gt;MAX(KW_TP!$A$2:$A$2501)),NA(),INDEX(KW_TP!$C$2:$C$2501,MATCH($A1156,KW_TP!$A$2:$A$2501,1))))</f>
        <v/>
      </c>
      <c r="Q1156" s="18">
        <f>IF(NOT(ISNUMBER($A1156)),NA(),IFERROR(1*INDEX(BBG_Data!$J$2:$J$4000,MATCH($A1156,BBG_Data!$I$2:$I$4000,0)),NA()))</f>
        <v/>
      </c>
      <c r="R1156" s="18">
        <f>IF(NOT(ISNUMBER($A1156)),NA(),IFERROR(1*INDEX(BBG_Data!$L$2:$L$4000,MATCH($A1156,BBG_Data!$K$2:$K$4000,0)),NA()))</f>
        <v/>
      </c>
      <c r="S1156" s="20">
        <f>IF(AND(ISNUMBER(B1156),ISNUMBER(Q1156),ISNUMBER(R1156)),(B1156-Q1156-R1156)*100,NA())</f>
        <v/>
      </c>
      <c r="T1156" s="20">
        <f>IF(AND(ISNUMBER(B1156),Settings!$B$17&gt;0),IF(ISNUMBER(INDEX($B:$B,Settings!$B$17)),(B1156-INDEX($B:$B,Settings!$B$17))*100,NA()),NA())</f>
        <v/>
      </c>
      <c r="U1156" s="20">
        <f>IF(AND(ISNUMBER(Q1156),Settings!$B$17&gt;0),IF(ISNUMBER(INDEX($Q:$Q,Settings!$B$17)),(Q1156-INDEX($Q:$Q,Settings!$B$17))*100,NA()),NA())</f>
        <v/>
      </c>
      <c r="V1156" s="20">
        <f>IF(AND(ISNUMBER(R1156),Settings!$B$17&gt;0),IF(ISNUMBER(INDEX($R:$R,Settings!$B$17)),(R1156-INDEX($R:$R,Settings!$B$17))*100,NA()),NA())</f>
        <v/>
      </c>
      <c r="W1156" s="20">
        <f>IF(AND(ISNUMBER(P1156),Settings!$B$17&gt;0),IF(ISNUMBER(INDEX($P:$P,Settings!$B$17)),P1156-INDEX($P:$P,Settings!$B$17),NA()),NA())</f>
        <v/>
      </c>
      <c r="X1156" s="19">
        <f>IF(NOT(ISNUMBER($A1156)),NA(),IF(OR($A1156&lt;MIN(DKW_10Y!$A$2:$A$2918),$A1156&gt;MAX(DKW_10Y!$A$2:$A$2918),Settings!$B$16&lt;MIN(DKW_10Y!$A$2:$A$2918)),NA(),(INDEX(DKW_10Y!$B$2:$B$2918,MATCH($A1156,DKW_10Y!$A$2:$A$2918,1))-INDEX(DKW_10Y!$B$2:$B$2918,MATCH(Settings!$B$16,DKW_10Y!$A$2:$A$2918,1)))*100))</f>
        <v/>
      </c>
      <c r="Y1156" s="19">
        <f>IF(NOT(ISNUMBER($A1156)),NA(),IF(OR($A1156&lt;MIN(DKW_10Y!$A$2:$A$2918),$A1156&gt;MAX(DKW_10Y!$A$2:$A$2918),Settings!$B$16&lt;MIN(DKW_10Y!$A$2:$A$2918)),NA(),(INDEX(DKW_10Y!$C$2:$C$2918,MATCH($A1156,DKW_10Y!$A$2:$A$2918,1))-INDEX(DKW_10Y!$C$2:$C$2918,MATCH(Settings!$B$16,DKW_10Y!$A$2:$A$2918,1)))*100))</f>
        <v/>
      </c>
      <c r="Z1156" s="19">
        <f>IF(NOT(ISNUMBER($A1156)),NA(),IF(OR($A1156&lt;MIN(DKW_10Y!$A$2:$A$2918),$A1156&gt;MAX(DKW_10Y!$A$2:$A$2918),Settings!$B$16&lt;MIN(DKW_10Y!$A$2:$A$2918)),NA(),(INDEX(DKW_10Y!$D$2:$D$2918,MATCH($A1156,DKW_10Y!$A$2:$A$2918,1))-INDEX(DKW_10Y!$D$2:$D$2918,MATCH(Settings!$B$16,DKW_10Y!$A$2:$A$2918,1)))*100))</f>
        <v/>
      </c>
      <c r="AA1156" s="19">
        <f>IF(NOT(ISNUMBER($A1156)),NA(),IF(OR($A1156&lt;MIN(DKW_10Y!$A$2:$A$2918),$A1156&gt;MAX(DKW_10Y!$A$2:$A$2918),Settings!$B$16&lt;MIN(DKW_10Y!$A$2:$A$2918)),NA(),(INDEX(DKW_10Y!$E$2:$E$2918,MATCH($A1156,DKW_10Y!$A$2:$A$2918,1))-INDEX(DKW_10Y!$E$2:$E$2918,MATCH(Settings!$B$16,DKW_10Y!$A$2:$A$2918,1)))*100))</f>
        <v/>
      </c>
      <c r="AB1156" s="19">
        <f>IF(NOT(ISNUMBER($A1156)),NA(),IF(OR($A1156&lt;MIN(DKW_10Y!$A$2:$A$2918),$A1156&gt;MAX(DKW_10Y!$A$2:$A$2918),Settings!$B$16&lt;MIN(DKW_10Y!$A$2:$A$2918)),NA(),(INDEX(DKW_10Y!$H$2:$H$2918,MATCH($A1156,DKW_10Y!$A$2:$A$2918,1))-INDEX(DKW_10Y!$H$2:$H$2918,MATCH(Settings!$B$16,DKW_10Y!$A$2:$A$2918,1)))*100))</f>
        <v/>
      </c>
      <c r="AC1156" s="18">
        <f>IF(NOT(ISNUMBER($A1156)),NA(),IFERROR(1*INDEX(BBG_Data!$N$2:$N$4000,MATCH($A1156,BBG_Data!$M$2:$M$4000,0)),NA()))</f>
        <v/>
      </c>
      <c r="AD1156" s="18">
        <f>IF(NOT(ISNUMBER($A1156)),NA(),IFERROR(1*INDEX(BBG_Data!$P$2:$P$4000,MATCH($A1156,BBG_Data!$O$2:$O$4000,0)),NA()))</f>
        <v/>
      </c>
      <c r="AE1156" s="18">
        <f>IF(NOT(ISNUMBER($A1156)),NA(),IFERROR(1*INDEX(BBG_Data!$R$2:$R$4000,MATCH($A1156,BBG_Data!$Q$2:$Q$4000,0)),NA()))</f>
        <v/>
      </c>
      <c r="AF1156" s="20">
        <f>IF(AND(ISNUMBER(B1156),ISNUMBER(AC1156)),(B1156-AC1156)*100,NA())</f>
        <v/>
      </c>
      <c r="AG1156" s="20">
        <f>IF(AND(ISNUMBER(AE1156),ISNUMBER(AD1156)),(AE1156-AD1156)*100,NA())</f>
        <v/>
      </c>
      <c r="AH1156" s="19">
        <f>IF(NOT(ISNUMBER($A1156)),NA(),IFERROR(INDEX(BBG_Data!$T$2:$T$4000,MATCH($A1156,BBG_Data!$S$2:$S$4000,0))*Settings!$B$25,NA()))</f>
        <v/>
      </c>
      <c r="AI1156" s="19">
        <f>IF(NOT(ISNUMBER($A1156)),NA(),IFERROR(INDEX(BBG_Data!$V$2:$V$4000,MATCH($A1156,BBG_Data!$U$2:$U$4000,0))*Settings!$B$25,NA()))</f>
        <v/>
      </c>
      <c r="AJ1156" s="19">
        <f>IF(NOT(ISNUMBER($A1156)),NA(),IFERROR(1*INDEX(BBG_Data!$X$2:$X$4000,MATCH($A1156,BBG_Data!$W$2:$W$4000,0)),NA()))</f>
        <v/>
      </c>
      <c r="AK1156" s="19">
        <f>IF(NOT(ISNUMBER($A1156)),NA(),IFERROR(1*INDEX(BBG_Data!$Z$2:$Z$4000,MATCH($A1156,BBG_Data!$Y$2:$Y$4000,0)),NA()))</f>
        <v/>
      </c>
    </row>
    <row r="1157">
      <c r="A1157" s="17">
        <f>IF(ISNUMBER(BBG_Data!A1157),BBG_Data!A1157,"")</f>
        <v/>
      </c>
      <c r="B1157" s="18">
        <f>IF(AND(ISNUMBER($A1157),ISNUMBER(BBG_Data!B1157)),BBG_Data!B1157,NA())</f>
        <v/>
      </c>
      <c r="C1157" s="18">
        <f>IF(NOT(ISNUMBER($A1157)),NA(),IFERROR(1*INDEX(BBG_Data!$D$2:$D$4000,MATCH($A1157,BBG_Data!$C$2:$C$4000,0)),NA()))</f>
        <v/>
      </c>
      <c r="D1157" s="19">
        <f>IF(NOT(ISNUMBER($A1157)),NA(),IFERROR(1*INDEX(BBG_Data!$F$2:$F$4000,MATCH($A1157,BBG_Data!$E$2:$E$4000,0)),NA()))</f>
        <v/>
      </c>
      <c r="E1157" s="19">
        <f>IF(NOT(ISNUMBER($A1157)),NA(),IFERROR(1*INDEX(BBG_Data!$H$2:$H$4000,MATCH($A1157,BBG_Data!$G$2:$G$4000,0)),NA()))</f>
        <v/>
      </c>
      <c r="F1157" s="20">
        <f>IF(AND(ISNUMBER(B1157),ISNUMBER(B1156)),IF(B1157=B1156,"",(B1157-B1156)*100),"")</f>
        <v/>
      </c>
      <c r="G1157" s="20">
        <f>IF(AND(ISNUMBER(C1157),ISNUMBER(C1156)),IF(C1157=C1156,"",(C1157-C1156)*100),"")</f>
        <v/>
      </c>
      <c r="H1157" s="20">
        <f>IF(OR(NOT(ISNUMBER($A1157)),ROW()-2&lt;Settings!$B$11),NA(),IF(COUNT(OFFSET(F1157,1-Settings!$B$11,0,Settings!$B$11,1))&lt;ROUNDUP(Settings!$B$11*Settings!$B$26,0),NA(),STDEV(OFFSET(F1157,1-Settings!$B$11,0,Settings!$B$11,1))*SQRT(Settings!$B$13)))</f>
        <v/>
      </c>
      <c r="I1157" s="20">
        <f>IF(OR(NOT(ISNUMBER($A1157)),ROW()-2&lt;Settings!$B$12),NA(),IF(COUNT(OFFSET(F1157,1-Settings!$B$12,0,Settings!$B$12,1))&lt;ROUNDUP(Settings!$B$12*Settings!$B$26,0),NA(),STDEV(OFFSET(F1157,1-Settings!$B$12,0,Settings!$B$12,1))*SQRT(Settings!$B$13)))</f>
        <v/>
      </c>
      <c r="J1157" s="20">
        <f>IF(OR(NOT(ISNUMBER($A1157)),ROW()-2&lt;Settings!$B$11),NA(),IF(COUNT(OFFSET(G1157,1-Settings!$B$11,0,Settings!$B$11,1))&lt;ROUNDUP(Settings!$B$11*Settings!$B$26,0),NA(),STDEV(OFFSET(G1157,1-Settings!$B$11,0,Settings!$B$11,1))*SQRT(Settings!$B$13)))</f>
        <v/>
      </c>
      <c r="K1157" s="20">
        <f>IF(OR(NOT(ISNUMBER($A1157)),ROW()-2&lt;Settings!$B$12),NA(),IF(COUNT(OFFSET(G1157,1-Settings!$B$12,0,Settings!$B$12,1))&lt;ROUNDUP(Settings!$B$12*Settings!$B$26,0),NA(),STDEV(OFFSET(G1157,1-Settings!$B$12,0,Settings!$B$12,1))*SQRT(Settings!$B$13)))</f>
        <v/>
      </c>
      <c r="L1157" s="20">
        <f>IF(AND(ISNUMBER(D1157),ISNUMBER(H1157)),D1157-H1157,NA())</f>
        <v/>
      </c>
      <c r="M1157" s="20">
        <f>IF(AND(ISNUMBER(E1157),ISNUMBER(K1157)),E1157-K1157,NA())</f>
        <v/>
      </c>
      <c r="N1157" s="20">
        <f>IF(NOT(ISNUMBER($A1157)),NA(),IF(COUNT(OFFSET(G1157,1,0,Settings!$B$12,1))&lt;ROUNDUP(Settings!$B$12*Settings!$B$26,0),NA(),STDEV(OFFSET(G1157,1,0,Settings!$B$12,1))*SQRT(Settings!$B$13)))</f>
        <v/>
      </c>
      <c r="O1157" s="20">
        <f>IF(AND(ISNUMBER(E1157),ISNUMBER(N1157)),E1157-N1157,NA())</f>
        <v/>
      </c>
      <c r="P1157" s="19">
        <f>IF(NOT(ISNUMBER($A1157)),NA(),IF(OR($A1157&lt;MIN(KW_TP!$A$2:$A$2501),$A1157&gt;MAX(KW_TP!$A$2:$A$2501)),NA(),INDEX(KW_TP!$C$2:$C$2501,MATCH($A1157,KW_TP!$A$2:$A$2501,1))))</f>
        <v/>
      </c>
      <c r="Q1157" s="18">
        <f>IF(NOT(ISNUMBER($A1157)),NA(),IFERROR(1*INDEX(BBG_Data!$J$2:$J$4000,MATCH($A1157,BBG_Data!$I$2:$I$4000,0)),NA()))</f>
        <v/>
      </c>
      <c r="R1157" s="18">
        <f>IF(NOT(ISNUMBER($A1157)),NA(),IFERROR(1*INDEX(BBG_Data!$L$2:$L$4000,MATCH($A1157,BBG_Data!$K$2:$K$4000,0)),NA()))</f>
        <v/>
      </c>
      <c r="S1157" s="20">
        <f>IF(AND(ISNUMBER(B1157),ISNUMBER(Q1157),ISNUMBER(R1157)),(B1157-Q1157-R1157)*100,NA())</f>
        <v/>
      </c>
      <c r="T1157" s="20">
        <f>IF(AND(ISNUMBER(B1157),Settings!$B$17&gt;0),IF(ISNUMBER(INDEX($B:$B,Settings!$B$17)),(B1157-INDEX($B:$B,Settings!$B$17))*100,NA()),NA())</f>
        <v/>
      </c>
      <c r="U1157" s="20">
        <f>IF(AND(ISNUMBER(Q1157),Settings!$B$17&gt;0),IF(ISNUMBER(INDEX($Q:$Q,Settings!$B$17)),(Q1157-INDEX($Q:$Q,Settings!$B$17))*100,NA()),NA())</f>
        <v/>
      </c>
      <c r="V1157" s="20">
        <f>IF(AND(ISNUMBER(R1157),Settings!$B$17&gt;0),IF(ISNUMBER(INDEX($R:$R,Settings!$B$17)),(R1157-INDEX($R:$R,Settings!$B$17))*100,NA()),NA())</f>
        <v/>
      </c>
      <c r="W1157" s="20">
        <f>IF(AND(ISNUMBER(P1157),Settings!$B$17&gt;0),IF(ISNUMBER(INDEX($P:$P,Settings!$B$17)),P1157-INDEX($P:$P,Settings!$B$17),NA()),NA())</f>
        <v/>
      </c>
      <c r="X1157" s="19">
        <f>IF(NOT(ISNUMBER($A1157)),NA(),IF(OR($A1157&lt;MIN(DKW_10Y!$A$2:$A$2918),$A1157&gt;MAX(DKW_10Y!$A$2:$A$2918),Settings!$B$16&lt;MIN(DKW_10Y!$A$2:$A$2918)),NA(),(INDEX(DKW_10Y!$B$2:$B$2918,MATCH($A1157,DKW_10Y!$A$2:$A$2918,1))-INDEX(DKW_10Y!$B$2:$B$2918,MATCH(Settings!$B$16,DKW_10Y!$A$2:$A$2918,1)))*100))</f>
        <v/>
      </c>
      <c r="Y1157" s="19">
        <f>IF(NOT(ISNUMBER($A1157)),NA(),IF(OR($A1157&lt;MIN(DKW_10Y!$A$2:$A$2918),$A1157&gt;MAX(DKW_10Y!$A$2:$A$2918),Settings!$B$16&lt;MIN(DKW_10Y!$A$2:$A$2918)),NA(),(INDEX(DKW_10Y!$C$2:$C$2918,MATCH($A1157,DKW_10Y!$A$2:$A$2918,1))-INDEX(DKW_10Y!$C$2:$C$2918,MATCH(Settings!$B$16,DKW_10Y!$A$2:$A$2918,1)))*100))</f>
        <v/>
      </c>
      <c r="Z1157" s="19">
        <f>IF(NOT(ISNUMBER($A1157)),NA(),IF(OR($A1157&lt;MIN(DKW_10Y!$A$2:$A$2918),$A1157&gt;MAX(DKW_10Y!$A$2:$A$2918),Settings!$B$16&lt;MIN(DKW_10Y!$A$2:$A$2918)),NA(),(INDEX(DKW_10Y!$D$2:$D$2918,MATCH($A1157,DKW_10Y!$A$2:$A$2918,1))-INDEX(DKW_10Y!$D$2:$D$2918,MATCH(Settings!$B$16,DKW_10Y!$A$2:$A$2918,1)))*100))</f>
        <v/>
      </c>
      <c r="AA1157" s="19">
        <f>IF(NOT(ISNUMBER($A1157)),NA(),IF(OR($A1157&lt;MIN(DKW_10Y!$A$2:$A$2918),$A1157&gt;MAX(DKW_10Y!$A$2:$A$2918),Settings!$B$16&lt;MIN(DKW_10Y!$A$2:$A$2918)),NA(),(INDEX(DKW_10Y!$E$2:$E$2918,MATCH($A1157,DKW_10Y!$A$2:$A$2918,1))-INDEX(DKW_10Y!$E$2:$E$2918,MATCH(Settings!$B$16,DKW_10Y!$A$2:$A$2918,1)))*100))</f>
        <v/>
      </c>
      <c r="AB1157" s="19">
        <f>IF(NOT(ISNUMBER($A1157)),NA(),IF(OR($A1157&lt;MIN(DKW_10Y!$A$2:$A$2918),$A1157&gt;MAX(DKW_10Y!$A$2:$A$2918),Settings!$B$16&lt;MIN(DKW_10Y!$A$2:$A$2918)),NA(),(INDEX(DKW_10Y!$H$2:$H$2918,MATCH($A1157,DKW_10Y!$A$2:$A$2918,1))-INDEX(DKW_10Y!$H$2:$H$2918,MATCH(Settings!$B$16,DKW_10Y!$A$2:$A$2918,1)))*100))</f>
        <v/>
      </c>
      <c r="AC1157" s="18">
        <f>IF(NOT(ISNUMBER($A1157)),NA(),IFERROR(1*INDEX(BBG_Data!$N$2:$N$4000,MATCH($A1157,BBG_Data!$M$2:$M$4000,0)),NA()))</f>
        <v/>
      </c>
      <c r="AD1157" s="18">
        <f>IF(NOT(ISNUMBER($A1157)),NA(),IFERROR(1*INDEX(BBG_Data!$P$2:$P$4000,MATCH($A1157,BBG_Data!$O$2:$O$4000,0)),NA()))</f>
        <v/>
      </c>
      <c r="AE1157" s="18">
        <f>IF(NOT(ISNUMBER($A1157)),NA(),IFERROR(1*INDEX(BBG_Data!$R$2:$R$4000,MATCH($A1157,BBG_Data!$Q$2:$Q$4000,0)),NA()))</f>
        <v/>
      </c>
      <c r="AF1157" s="20">
        <f>IF(AND(ISNUMBER(B1157),ISNUMBER(AC1157)),(B1157-AC1157)*100,NA())</f>
        <v/>
      </c>
      <c r="AG1157" s="20">
        <f>IF(AND(ISNUMBER(AE1157),ISNUMBER(AD1157)),(AE1157-AD1157)*100,NA())</f>
        <v/>
      </c>
      <c r="AH1157" s="19">
        <f>IF(NOT(ISNUMBER($A1157)),NA(),IFERROR(INDEX(BBG_Data!$T$2:$T$4000,MATCH($A1157,BBG_Data!$S$2:$S$4000,0))*Settings!$B$25,NA()))</f>
        <v/>
      </c>
      <c r="AI1157" s="19">
        <f>IF(NOT(ISNUMBER($A1157)),NA(),IFERROR(INDEX(BBG_Data!$V$2:$V$4000,MATCH($A1157,BBG_Data!$U$2:$U$4000,0))*Settings!$B$25,NA()))</f>
        <v/>
      </c>
      <c r="AJ1157" s="19">
        <f>IF(NOT(ISNUMBER($A1157)),NA(),IFERROR(1*INDEX(BBG_Data!$X$2:$X$4000,MATCH($A1157,BBG_Data!$W$2:$W$4000,0)),NA()))</f>
        <v/>
      </c>
      <c r="AK1157" s="19">
        <f>IF(NOT(ISNUMBER($A1157)),NA(),IFERROR(1*INDEX(BBG_Data!$Z$2:$Z$4000,MATCH($A1157,BBG_Data!$Y$2:$Y$4000,0)),NA()))</f>
        <v/>
      </c>
    </row>
    <row r="1158">
      <c r="A1158" s="17">
        <f>IF(ISNUMBER(BBG_Data!A1158),BBG_Data!A1158,"")</f>
        <v/>
      </c>
      <c r="B1158" s="18">
        <f>IF(AND(ISNUMBER($A1158),ISNUMBER(BBG_Data!B1158)),BBG_Data!B1158,NA())</f>
        <v/>
      </c>
      <c r="C1158" s="18">
        <f>IF(NOT(ISNUMBER($A1158)),NA(),IFERROR(1*INDEX(BBG_Data!$D$2:$D$4000,MATCH($A1158,BBG_Data!$C$2:$C$4000,0)),NA()))</f>
        <v/>
      </c>
      <c r="D1158" s="19">
        <f>IF(NOT(ISNUMBER($A1158)),NA(),IFERROR(1*INDEX(BBG_Data!$F$2:$F$4000,MATCH($A1158,BBG_Data!$E$2:$E$4000,0)),NA()))</f>
        <v/>
      </c>
      <c r="E1158" s="19">
        <f>IF(NOT(ISNUMBER($A1158)),NA(),IFERROR(1*INDEX(BBG_Data!$H$2:$H$4000,MATCH($A1158,BBG_Data!$G$2:$G$4000,0)),NA()))</f>
        <v/>
      </c>
      <c r="F1158" s="20">
        <f>IF(AND(ISNUMBER(B1158),ISNUMBER(B1157)),IF(B1158=B1157,"",(B1158-B1157)*100),"")</f>
        <v/>
      </c>
      <c r="G1158" s="20">
        <f>IF(AND(ISNUMBER(C1158),ISNUMBER(C1157)),IF(C1158=C1157,"",(C1158-C1157)*100),"")</f>
        <v/>
      </c>
      <c r="H1158" s="20">
        <f>IF(OR(NOT(ISNUMBER($A1158)),ROW()-2&lt;Settings!$B$11),NA(),IF(COUNT(OFFSET(F1158,1-Settings!$B$11,0,Settings!$B$11,1))&lt;ROUNDUP(Settings!$B$11*Settings!$B$26,0),NA(),STDEV(OFFSET(F1158,1-Settings!$B$11,0,Settings!$B$11,1))*SQRT(Settings!$B$13)))</f>
        <v/>
      </c>
      <c r="I1158" s="20">
        <f>IF(OR(NOT(ISNUMBER($A1158)),ROW()-2&lt;Settings!$B$12),NA(),IF(COUNT(OFFSET(F1158,1-Settings!$B$12,0,Settings!$B$12,1))&lt;ROUNDUP(Settings!$B$12*Settings!$B$26,0),NA(),STDEV(OFFSET(F1158,1-Settings!$B$12,0,Settings!$B$12,1))*SQRT(Settings!$B$13)))</f>
        <v/>
      </c>
      <c r="J1158" s="20">
        <f>IF(OR(NOT(ISNUMBER($A1158)),ROW()-2&lt;Settings!$B$11),NA(),IF(COUNT(OFFSET(G1158,1-Settings!$B$11,0,Settings!$B$11,1))&lt;ROUNDUP(Settings!$B$11*Settings!$B$26,0),NA(),STDEV(OFFSET(G1158,1-Settings!$B$11,0,Settings!$B$11,1))*SQRT(Settings!$B$13)))</f>
        <v/>
      </c>
      <c r="K1158" s="20">
        <f>IF(OR(NOT(ISNUMBER($A1158)),ROW()-2&lt;Settings!$B$12),NA(),IF(COUNT(OFFSET(G1158,1-Settings!$B$12,0,Settings!$B$12,1))&lt;ROUNDUP(Settings!$B$12*Settings!$B$26,0),NA(),STDEV(OFFSET(G1158,1-Settings!$B$12,0,Settings!$B$12,1))*SQRT(Settings!$B$13)))</f>
        <v/>
      </c>
      <c r="L1158" s="20">
        <f>IF(AND(ISNUMBER(D1158),ISNUMBER(H1158)),D1158-H1158,NA())</f>
        <v/>
      </c>
      <c r="M1158" s="20">
        <f>IF(AND(ISNUMBER(E1158),ISNUMBER(K1158)),E1158-K1158,NA())</f>
        <v/>
      </c>
      <c r="N1158" s="20">
        <f>IF(NOT(ISNUMBER($A1158)),NA(),IF(COUNT(OFFSET(G1158,1,0,Settings!$B$12,1))&lt;ROUNDUP(Settings!$B$12*Settings!$B$26,0),NA(),STDEV(OFFSET(G1158,1,0,Settings!$B$12,1))*SQRT(Settings!$B$13)))</f>
        <v/>
      </c>
      <c r="O1158" s="20">
        <f>IF(AND(ISNUMBER(E1158),ISNUMBER(N1158)),E1158-N1158,NA())</f>
        <v/>
      </c>
      <c r="P1158" s="19">
        <f>IF(NOT(ISNUMBER($A1158)),NA(),IF(OR($A1158&lt;MIN(KW_TP!$A$2:$A$2501),$A1158&gt;MAX(KW_TP!$A$2:$A$2501)),NA(),INDEX(KW_TP!$C$2:$C$2501,MATCH($A1158,KW_TP!$A$2:$A$2501,1))))</f>
        <v/>
      </c>
      <c r="Q1158" s="18">
        <f>IF(NOT(ISNUMBER($A1158)),NA(),IFERROR(1*INDEX(BBG_Data!$J$2:$J$4000,MATCH($A1158,BBG_Data!$I$2:$I$4000,0)),NA()))</f>
        <v/>
      </c>
      <c r="R1158" s="18">
        <f>IF(NOT(ISNUMBER($A1158)),NA(),IFERROR(1*INDEX(BBG_Data!$L$2:$L$4000,MATCH($A1158,BBG_Data!$K$2:$K$4000,0)),NA()))</f>
        <v/>
      </c>
      <c r="S1158" s="20">
        <f>IF(AND(ISNUMBER(B1158),ISNUMBER(Q1158),ISNUMBER(R1158)),(B1158-Q1158-R1158)*100,NA())</f>
        <v/>
      </c>
      <c r="T1158" s="20">
        <f>IF(AND(ISNUMBER(B1158),Settings!$B$17&gt;0),IF(ISNUMBER(INDEX($B:$B,Settings!$B$17)),(B1158-INDEX($B:$B,Settings!$B$17))*100,NA()),NA())</f>
        <v/>
      </c>
      <c r="U1158" s="20">
        <f>IF(AND(ISNUMBER(Q1158),Settings!$B$17&gt;0),IF(ISNUMBER(INDEX($Q:$Q,Settings!$B$17)),(Q1158-INDEX($Q:$Q,Settings!$B$17))*100,NA()),NA())</f>
        <v/>
      </c>
      <c r="V1158" s="20">
        <f>IF(AND(ISNUMBER(R1158),Settings!$B$17&gt;0),IF(ISNUMBER(INDEX($R:$R,Settings!$B$17)),(R1158-INDEX($R:$R,Settings!$B$17))*100,NA()),NA())</f>
        <v/>
      </c>
      <c r="W1158" s="20">
        <f>IF(AND(ISNUMBER(P1158),Settings!$B$17&gt;0),IF(ISNUMBER(INDEX($P:$P,Settings!$B$17)),P1158-INDEX($P:$P,Settings!$B$17),NA()),NA())</f>
        <v/>
      </c>
      <c r="X1158" s="19">
        <f>IF(NOT(ISNUMBER($A1158)),NA(),IF(OR($A1158&lt;MIN(DKW_10Y!$A$2:$A$2918),$A1158&gt;MAX(DKW_10Y!$A$2:$A$2918),Settings!$B$16&lt;MIN(DKW_10Y!$A$2:$A$2918)),NA(),(INDEX(DKW_10Y!$B$2:$B$2918,MATCH($A1158,DKW_10Y!$A$2:$A$2918,1))-INDEX(DKW_10Y!$B$2:$B$2918,MATCH(Settings!$B$16,DKW_10Y!$A$2:$A$2918,1)))*100))</f>
        <v/>
      </c>
      <c r="Y1158" s="19">
        <f>IF(NOT(ISNUMBER($A1158)),NA(),IF(OR($A1158&lt;MIN(DKW_10Y!$A$2:$A$2918),$A1158&gt;MAX(DKW_10Y!$A$2:$A$2918),Settings!$B$16&lt;MIN(DKW_10Y!$A$2:$A$2918)),NA(),(INDEX(DKW_10Y!$C$2:$C$2918,MATCH($A1158,DKW_10Y!$A$2:$A$2918,1))-INDEX(DKW_10Y!$C$2:$C$2918,MATCH(Settings!$B$16,DKW_10Y!$A$2:$A$2918,1)))*100))</f>
        <v/>
      </c>
      <c r="Z1158" s="19">
        <f>IF(NOT(ISNUMBER($A1158)),NA(),IF(OR($A1158&lt;MIN(DKW_10Y!$A$2:$A$2918),$A1158&gt;MAX(DKW_10Y!$A$2:$A$2918),Settings!$B$16&lt;MIN(DKW_10Y!$A$2:$A$2918)),NA(),(INDEX(DKW_10Y!$D$2:$D$2918,MATCH($A1158,DKW_10Y!$A$2:$A$2918,1))-INDEX(DKW_10Y!$D$2:$D$2918,MATCH(Settings!$B$16,DKW_10Y!$A$2:$A$2918,1)))*100))</f>
        <v/>
      </c>
      <c r="AA1158" s="19">
        <f>IF(NOT(ISNUMBER($A1158)),NA(),IF(OR($A1158&lt;MIN(DKW_10Y!$A$2:$A$2918),$A1158&gt;MAX(DKW_10Y!$A$2:$A$2918),Settings!$B$16&lt;MIN(DKW_10Y!$A$2:$A$2918)),NA(),(INDEX(DKW_10Y!$E$2:$E$2918,MATCH($A1158,DKW_10Y!$A$2:$A$2918,1))-INDEX(DKW_10Y!$E$2:$E$2918,MATCH(Settings!$B$16,DKW_10Y!$A$2:$A$2918,1)))*100))</f>
        <v/>
      </c>
      <c r="AB1158" s="19">
        <f>IF(NOT(ISNUMBER($A1158)),NA(),IF(OR($A1158&lt;MIN(DKW_10Y!$A$2:$A$2918),$A1158&gt;MAX(DKW_10Y!$A$2:$A$2918),Settings!$B$16&lt;MIN(DKW_10Y!$A$2:$A$2918)),NA(),(INDEX(DKW_10Y!$H$2:$H$2918,MATCH($A1158,DKW_10Y!$A$2:$A$2918,1))-INDEX(DKW_10Y!$H$2:$H$2918,MATCH(Settings!$B$16,DKW_10Y!$A$2:$A$2918,1)))*100))</f>
        <v/>
      </c>
      <c r="AC1158" s="18">
        <f>IF(NOT(ISNUMBER($A1158)),NA(),IFERROR(1*INDEX(BBG_Data!$N$2:$N$4000,MATCH($A1158,BBG_Data!$M$2:$M$4000,0)),NA()))</f>
        <v/>
      </c>
      <c r="AD1158" s="18">
        <f>IF(NOT(ISNUMBER($A1158)),NA(),IFERROR(1*INDEX(BBG_Data!$P$2:$P$4000,MATCH($A1158,BBG_Data!$O$2:$O$4000,0)),NA()))</f>
        <v/>
      </c>
      <c r="AE1158" s="18">
        <f>IF(NOT(ISNUMBER($A1158)),NA(),IFERROR(1*INDEX(BBG_Data!$R$2:$R$4000,MATCH($A1158,BBG_Data!$Q$2:$Q$4000,0)),NA()))</f>
        <v/>
      </c>
      <c r="AF1158" s="20">
        <f>IF(AND(ISNUMBER(B1158),ISNUMBER(AC1158)),(B1158-AC1158)*100,NA())</f>
        <v/>
      </c>
      <c r="AG1158" s="20">
        <f>IF(AND(ISNUMBER(AE1158),ISNUMBER(AD1158)),(AE1158-AD1158)*100,NA())</f>
        <v/>
      </c>
      <c r="AH1158" s="19">
        <f>IF(NOT(ISNUMBER($A1158)),NA(),IFERROR(INDEX(BBG_Data!$T$2:$T$4000,MATCH($A1158,BBG_Data!$S$2:$S$4000,0))*Settings!$B$25,NA()))</f>
        <v/>
      </c>
      <c r="AI1158" s="19">
        <f>IF(NOT(ISNUMBER($A1158)),NA(),IFERROR(INDEX(BBG_Data!$V$2:$V$4000,MATCH($A1158,BBG_Data!$U$2:$U$4000,0))*Settings!$B$25,NA()))</f>
        <v/>
      </c>
      <c r="AJ1158" s="19">
        <f>IF(NOT(ISNUMBER($A1158)),NA(),IFERROR(1*INDEX(BBG_Data!$X$2:$X$4000,MATCH($A1158,BBG_Data!$W$2:$W$4000,0)),NA()))</f>
        <v/>
      </c>
      <c r="AK1158" s="19">
        <f>IF(NOT(ISNUMBER($A1158)),NA(),IFERROR(1*INDEX(BBG_Data!$Z$2:$Z$4000,MATCH($A1158,BBG_Data!$Y$2:$Y$4000,0)),NA()))</f>
        <v/>
      </c>
    </row>
    <row r="1159">
      <c r="A1159" s="17">
        <f>IF(ISNUMBER(BBG_Data!A1159),BBG_Data!A1159,"")</f>
        <v/>
      </c>
      <c r="B1159" s="18">
        <f>IF(AND(ISNUMBER($A1159),ISNUMBER(BBG_Data!B1159)),BBG_Data!B1159,NA())</f>
        <v/>
      </c>
      <c r="C1159" s="18">
        <f>IF(NOT(ISNUMBER($A1159)),NA(),IFERROR(1*INDEX(BBG_Data!$D$2:$D$4000,MATCH($A1159,BBG_Data!$C$2:$C$4000,0)),NA()))</f>
        <v/>
      </c>
      <c r="D1159" s="19">
        <f>IF(NOT(ISNUMBER($A1159)),NA(),IFERROR(1*INDEX(BBG_Data!$F$2:$F$4000,MATCH($A1159,BBG_Data!$E$2:$E$4000,0)),NA()))</f>
        <v/>
      </c>
      <c r="E1159" s="19">
        <f>IF(NOT(ISNUMBER($A1159)),NA(),IFERROR(1*INDEX(BBG_Data!$H$2:$H$4000,MATCH($A1159,BBG_Data!$G$2:$G$4000,0)),NA()))</f>
        <v/>
      </c>
      <c r="F1159" s="20">
        <f>IF(AND(ISNUMBER(B1159),ISNUMBER(B1158)),IF(B1159=B1158,"",(B1159-B1158)*100),"")</f>
        <v/>
      </c>
      <c r="G1159" s="20">
        <f>IF(AND(ISNUMBER(C1159),ISNUMBER(C1158)),IF(C1159=C1158,"",(C1159-C1158)*100),"")</f>
        <v/>
      </c>
      <c r="H1159" s="20">
        <f>IF(OR(NOT(ISNUMBER($A1159)),ROW()-2&lt;Settings!$B$11),NA(),IF(COUNT(OFFSET(F1159,1-Settings!$B$11,0,Settings!$B$11,1))&lt;ROUNDUP(Settings!$B$11*Settings!$B$26,0),NA(),STDEV(OFFSET(F1159,1-Settings!$B$11,0,Settings!$B$11,1))*SQRT(Settings!$B$13)))</f>
        <v/>
      </c>
      <c r="I1159" s="20">
        <f>IF(OR(NOT(ISNUMBER($A1159)),ROW()-2&lt;Settings!$B$12),NA(),IF(COUNT(OFFSET(F1159,1-Settings!$B$12,0,Settings!$B$12,1))&lt;ROUNDUP(Settings!$B$12*Settings!$B$26,0),NA(),STDEV(OFFSET(F1159,1-Settings!$B$12,0,Settings!$B$12,1))*SQRT(Settings!$B$13)))</f>
        <v/>
      </c>
      <c r="J1159" s="20">
        <f>IF(OR(NOT(ISNUMBER($A1159)),ROW()-2&lt;Settings!$B$11),NA(),IF(COUNT(OFFSET(G1159,1-Settings!$B$11,0,Settings!$B$11,1))&lt;ROUNDUP(Settings!$B$11*Settings!$B$26,0),NA(),STDEV(OFFSET(G1159,1-Settings!$B$11,0,Settings!$B$11,1))*SQRT(Settings!$B$13)))</f>
        <v/>
      </c>
      <c r="K1159" s="20">
        <f>IF(OR(NOT(ISNUMBER($A1159)),ROW()-2&lt;Settings!$B$12),NA(),IF(COUNT(OFFSET(G1159,1-Settings!$B$12,0,Settings!$B$12,1))&lt;ROUNDUP(Settings!$B$12*Settings!$B$26,0),NA(),STDEV(OFFSET(G1159,1-Settings!$B$12,0,Settings!$B$12,1))*SQRT(Settings!$B$13)))</f>
        <v/>
      </c>
      <c r="L1159" s="20">
        <f>IF(AND(ISNUMBER(D1159),ISNUMBER(H1159)),D1159-H1159,NA())</f>
        <v/>
      </c>
      <c r="M1159" s="20">
        <f>IF(AND(ISNUMBER(E1159),ISNUMBER(K1159)),E1159-K1159,NA())</f>
        <v/>
      </c>
      <c r="N1159" s="20">
        <f>IF(NOT(ISNUMBER($A1159)),NA(),IF(COUNT(OFFSET(G1159,1,0,Settings!$B$12,1))&lt;ROUNDUP(Settings!$B$12*Settings!$B$26,0),NA(),STDEV(OFFSET(G1159,1,0,Settings!$B$12,1))*SQRT(Settings!$B$13)))</f>
        <v/>
      </c>
      <c r="O1159" s="20">
        <f>IF(AND(ISNUMBER(E1159),ISNUMBER(N1159)),E1159-N1159,NA())</f>
        <v/>
      </c>
      <c r="P1159" s="19">
        <f>IF(NOT(ISNUMBER($A1159)),NA(),IF(OR($A1159&lt;MIN(KW_TP!$A$2:$A$2501),$A1159&gt;MAX(KW_TP!$A$2:$A$2501)),NA(),INDEX(KW_TP!$C$2:$C$2501,MATCH($A1159,KW_TP!$A$2:$A$2501,1))))</f>
        <v/>
      </c>
      <c r="Q1159" s="18">
        <f>IF(NOT(ISNUMBER($A1159)),NA(),IFERROR(1*INDEX(BBG_Data!$J$2:$J$4000,MATCH($A1159,BBG_Data!$I$2:$I$4000,0)),NA()))</f>
        <v/>
      </c>
      <c r="R1159" s="18">
        <f>IF(NOT(ISNUMBER($A1159)),NA(),IFERROR(1*INDEX(BBG_Data!$L$2:$L$4000,MATCH($A1159,BBG_Data!$K$2:$K$4000,0)),NA()))</f>
        <v/>
      </c>
      <c r="S1159" s="20">
        <f>IF(AND(ISNUMBER(B1159),ISNUMBER(Q1159),ISNUMBER(R1159)),(B1159-Q1159-R1159)*100,NA())</f>
        <v/>
      </c>
      <c r="T1159" s="20">
        <f>IF(AND(ISNUMBER(B1159),Settings!$B$17&gt;0),IF(ISNUMBER(INDEX($B:$B,Settings!$B$17)),(B1159-INDEX($B:$B,Settings!$B$17))*100,NA()),NA())</f>
        <v/>
      </c>
      <c r="U1159" s="20">
        <f>IF(AND(ISNUMBER(Q1159),Settings!$B$17&gt;0),IF(ISNUMBER(INDEX($Q:$Q,Settings!$B$17)),(Q1159-INDEX($Q:$Q,Settings!$B$17))*100,NA()),NA())</f>
        <v/>
      </c>
      <c r="V1159" s="20">
        <f>IF(AND(ISNUMBER(R1159),Settings!$B$17&gt;0),IF(ISNUMBER(INDEX($R:$R,Settings!$B$17)),(R1159-INDEX($R:$R,Settings!$B$17))*100,NA()),NA())</f>
        <v/>
      </c>
      <c r="W1159" s="20">
        <f>IF(AND(ISNUMBER(P1159),Settings!$B$17&gt;0),IF(ISNUMBER(INDEX($P:$P,Settings!$B$17)),P1159-INDEX($P:$P,Settings!$B$17),NA()),NA())</f>
        <v/>
      </c>
      <c r="X1159" s="19">
        <f>IF(NOT(ISNUMBER($A1159)),NA(),IF(OR($A1159&lt;MIN(DKW_10Y!$A$2:$A$2918),$A1159&gt;MAX(DKW_10Y!$A$2:$A$2918),Settings!$B$16&lt;MIN(DKW_10Y!$A$2:$A$2918)),NA(),(INDEX(DKW_10Y!$B$2:$B$2918,MATCH($A1159,DKW_10Y!$A$2:$A$2918,1))-INDEX(DKW_10Y!$B$2:$B$2918,MATCH(Settings!$B$16,DKW_10Y!$A$2:$A$2918,1)))*100))</f>
        <v/>
      </c>
      <c r="Y1159" s="19">
        <f>IF(NOT(ISNUMBER($A1159)),NA(),IF(OR($A1159&lt;MIN(DKW_10Y!$A$2:$A$2918),$A1159&gt;MAX(DKW_10Y!$A$2:$A$2918),Settings!$B$16&lt;MIN(DKW_10Y!$A$2:$A$2918)),NA(),(INDEX(DKW_10Y!$C$2:$C$2918,MATCH($A1159,DKW_10Y!$A$2:$A$2918,1))-INDEX(DKW_10Y!$C$2:$C$2918,MATCH(Settings!$B$16,DKW_10Y!$A$2:$A$2918,1)))*100))</f>
        <v/>
      </c>
      <c r="Z1159" s="19">
        <f>IF(NOT(ISNUMBER($A1159)),NA(),IF(OR($A1159&lt;MIN(DKW_10Y!$A$2:$A$2918),$A1159&gt;MAX(DKW_10Y!$A$2:$A$2918),Settings!$B$16&lt;MIN(DKW_10Y!$A$2:$A$2918)),NA(),(INDEX(DKW_10Y!$D$2:$D$2918,MATCH($A1159,DKW_10Y!$A$2:$A$2918,1))-INDEX(DKW_10Y!$D$2:$D$2918,MATCH(Settings!$B$16,DKW_10Y!$A$2:$A$2918,1)))*100))</f>
        <v/>
      </c>
      <c r="AA1159" s="19">
        <f>IF(NOT(ISNUMBER($A1159)),NA(),IF(OR($A1159&lt;MIN(DKW_10Y!$A$2:$A$2918),$A1159&gt;MAX(DKW_10Y!$A$2:$A$2918),Settings!$B$16&lt;MIN(DKW_10Y!$A$2:$A$2918)),NA(),(INDEX(DKW_10Y!$E$2:$E$2918,MATCH($A1159,DKW_10Y!$A$2:$A$2918,1))-INDEX(DKW_10Y!$E$2:$E$2918,MATCH(Settings!$B$16,DKW_10Y!$A$2:$A$2918,1)))*100))</f>
        <v/>
      </c>
      <c r="AB1159" s="19">
        <f>IF(NOT(ISNUMBER($A1159)),NA(),IF(OR($A1159&lt;MIN(DKW_10Y!$A$2:$A$2918),$A1159&gt;MAX(DKW_10Y!$A$2:$A$2918),Settings!$B$16&lt;MIN(DKW_10Y!$A$2:$A$2918)),NA(),(INDEX(DKW_10Y!$H$2:$H$2918,MATCH($A1159,DKW_10Y!$A$2:$A$2918,1))-INDEX(DKW_10Y!$H$2:$H$2918,MATCH(Settings!$B$16,DKW_10Y!$A$2:$A$2918,1)))*100))</f>
        <v/>
      </c>
      <c r="AC1159" s="18">
        <f>IF(NOT(ISNUMBER($A1159)),NA(),IFERROR(1*INDEX(BBG_Data!$N$2:$N$4000,MATCH($A1159,BBG_Data!$M$2:$M$4000,0)),NA()))</f>
        <v/>
      </c>
      <c r="AD1159" s="18">
        <f>IF(NOT(ISNUMBER($A1159)),NA(),IFERROR(1*INDEX(BBG_Data!$P$2:$P$4000,MATCH($A1159,BBG_Data!$O$2:$O$4000,0)),NA()))</f>
        <v/>
      </c>
      <c r="AE1159" s="18">
        <f>IF(NOT(ISNUMBER($A1159)),NA(),IFERROR(1*INDEX(BBG_Data!$R$2:$R$4000,MATCH($A1159,BBG_Data!$Q$2:$Q$4000,0)),NA()))</f>
        <v/>
      </c>
      <c r="AF1159" s="20">
        <f>IF(AND(ISNUMBER(B1159),ISNUMBER(AC1159)),(B1159-AC1159)*100,NA())</f>
        <v/>
      </c>
      <c r="AG1159" s="20">
        <f>IF(AND(ISNUMBER(AE1159),ISNUMBER(AD1159)),(AE1159-AD1159)*100,NA())</f>
        <v/>
      </c>
      <c r="AH1159" s="19">
        <f>IF(NOT(ISNUMBER($A1159)),NA(),IFERROR(INDEX(BBG_Data!$T$2:$T$4000,MATCH($A1159,BBG_Data!$S$2:$S$4000,0))*Settings!$B$25,NA()))</f>
        <v/>
      </c>
      <c r="AI1159" s="19">
        <f>IF(NOT(ISNUMBER($A1159)),NA(),IFERROR(INDEX(BBG_Data!$V$2:$V$4000,MATCH($A1159,BBG_Data!$U$2:$U$4000,0))*Settings!$B$25,NA()))</f>
        <v/>
      </c>
      <c r="AJ1159" s="19">
        <f>IF(NOT(ISNUMBER($A1159)),NA(),IFERROR(1*INDEX(BBG_Data!$X$2:$X$4000,MATCH($A1159,BBG_Data!$W$2:$W$4000,0)),NA()))</f>
        <v/>
      </c>
      <c r="AK1159" s="19">
        <f>IF(NOT(ISNUMBER($A1159)),NA(),IFERROR(1*INDEX(BBG_Data!$Z$2:$Z$4000,MATCH($A1159,BBG_Data!$Y$2:$Y$4000,0)),NA()))</f>
        <v/>
      </c>
    </row>
    <row r="1160">
      <c r="A1160" s="17">
        <f>IF(ISNUMBER(BBG_Data!A1160),BBG_Data!A1160,"")</f>
        <v/>
      </c>
      <c r="B1160" s="18">
        <f>IF(AND(ISNUMBER($A1160),ISNUMBER(BBG_Data!B1160)),BBG_Data!B1160,NA())</f>
        <v/>
      </c>
      <c r="C1160" s="18">
        <f>IF(NOT(ISNUMBER($A1160)),NA(),IFERROR(1*INDEX(BBG_Data!$D$2:$D$4000,MATCH($A1160,BBG_Data!$C$2:$C$4000,0)),NA()))</f>
        <v/>
      </c>
      <c r="D1160" s="19">
        <f>IF(NOT(ISNUMBER($A1160)),NA(),IFERROR(1*INDEX(BBG_Data!$F$2:$F$4000,MATCH($A1160,BBG_Data!$E$2:$E$4000,0)),NA()))</f>
        <v/>
      </c>
      <c r="E1160" s="19">
        <f>IF(NOT(ISNUMBER($A1160)),NA(),IFERROR(1*INDEX(BBG_Data!$H$2:$H$4000,MATCH($A1160,BBG_Data!$G$2:$G$4000,0)),NA()))</f>
        <v/>
      </c>
      <c r="F1160" s="20">
        <f>IF(AND(ISNUMBER(B1160),ISNUMBER(B1159)),IF(B1160=B1159,"",(B1160-B1159)*100),"")</f>
        <v/>
      </c>
      <c r="G1160" s="20">
        <f>IF(AND(ISNUMBER(C1160),ISNUMBER(C1159)),IF(C1160=C1159,"",(C1160-C1159)*100),"")</f>
        <v/>
      </c>
      <c r="H1160" s="20">
        <f>IF(OR(NOT(ISNUMBER($A1160)),ROW()-2&lt;Settings!$B$11),NA(),IF(COUNT(OFFSET(F1160,1-Settings!$B$11,0,Settings!$B$11,1))&lt;ROUNDUP(Settings!$B$11*Settings!$B$26,0),NA(),STDEV(OFFSET(F1160,1-Settings!$B$11,0,Settings!$B$11,1))*SQRT(Settings!$B$13)))</f>
        <v/>
      </c>
      <c r="I1160" s="20">
        <f>IF(OR(NOT(ISNUMBER($A1160)),ROW()-2&lt;Settings!$B$12),NA(),IF(COUNT(OFFSET(F1160,1-Settings!$B$12,0,Settings!$B$12,1))&lt;ROUNDUP(Settings!$B$12*Settings!$B$26,0),NA(),STDEV(OFFSET(F1160,1-Settings!$B$12,0,Settings!$B$12,1))*SQRT(Settings!$B$13)))</f>
        <v/>
      </c>
      <c r="J1160" s="20">
        <f>IF(OR(NOT(ISNUMBER($A1160)),ROW()-2&lt;Settings!$B$11),NA(),IF(COUNT(OFFSET(G1160,1-Settings!$B$11,0,Settings!$B$11,1))&lt;ROUNDUP(Settings!$B$11*Settings!$B$26,0),NA(),STDEV(OFFSET(G1160,1-Settings!$B$11,0,Settings!$B$11,1))*SQRT(Settings!$B$13)))</f>
        <v/>
      </c>
      <c r="K1160" s="20">
        <f>IF(OR(NOT(ISNUMBER($A1160)),ROW()-2&lt;Settings!$B$12),NA(),IF(COUNT(OFFSET(G1160,1-Settings!$B$12,0,Settings!$B$12,1))&lt;ROUNDUP(Settings!$B$12*Settings!$B$26,0),NA(),STDEV(OFFSET(G1160,1-Settings!$B$12,0,Settings!$B$12,1))*SQRT(Settings!$B$13)))</f>
        <v/>
      </c>
      <c r="L1160" s="20">
        <f>IF(AND(ISNUMBER(D1160),ISNUMBER(H1160)),D1160-H1160,NA())</f>
        <v/>
      </c>
      <c r="M1160" s="20">
        <f>IF(AND(ISNUMBER(E1160),ISNUMBER(K1160)),E1160-K1160,NA())</f>
        <v/>
      </c>
      <c r="N1160" s="20">
        <f>IF(NOT(ISNUMBER($A1160)),NA(),IF(COUNT(OFFSET(G1160,1,0,Settings!$B$12,1))&lt;ROUNDUP(Settings!$B$12*Settings!$B$26,0),NA(),STDEV(OFFSET(G1160,1,0,Settings!$B$12,1))*SQRT(Settings!$B$13)))</f>
        <v/>
      </c>
      <c r="O1160" s="20">
        <f>IF(AND(ISNUMBER(E1160),ISNUMBER(N1160)),E1160-N1160,NA())</f>
        <v/>
      </c>
      <c r="P1160" s="19">
        <f>IF(NOT(ISNUMBER($A1160)),NA(),IF(OR($A1160&lt;MIN(KW_TP!$A$2:$A$2501),$A1160&gt;MAX(KW_TP!$A$2:$A$2501)),NA(),INDEX(KW_TP!$C$2:$C$2501,MATCH($A1160,KW_TP!$A$2:$A$2501,1))))</f>
        <v/>
      </c>
      <c r="Q1160" s="18">
        <f>IF(NOT(ISNUMBER($A1160)),NA(),IFERROR(1*INDEX(BBG_Data!$J$2:$J$4000,MATCH($A1160,BBG_Data!$I$2:$I$4000,0)),NA()))</f>
        <v/>
      </c>
      <c r="R1160" s="18">
        <f>IF(NOT(ISNUMBER($A1160)),NA(),IFERROR(1*INDEX(BBG_Data!$L$2:$L$4000,MATCH($A1160,BBG_Data!$K$2:$K$4000,0)),NA()))</f>
        <v/>
      </c>
      <c r="S1160" s="20">
        <f>IF(AND(ISNUMBER(B1160),ISNUMBER(Q1160),ISNUMBER(R1160)),(B1160-Q1160-R1160)*100,NA())</f>
        <v/>
      </c>
      <c r="T1160" s="20">
        <f>IF(AND(ISNUMBER(B1160),Settings!$B$17&gt;0),IF(ISNUMBER(INDEX($B:$B,Settings!$B$17)),(B1160-INDEX($B:$B,Settings!$B$17))*100,NA()),NA())</f>
        <v/>
      </c>
      <c r="U1160" s="20">
        <f>IF(AND(ISNUMBER(Q1160),Settings!$B$17&gt;0),IF(ISNUMBER(INDEX($Q:$Q,Settings!$B$17)),(Q1160-INDEX($Q:$Q,Settings!$B$17))*100,NA()),NA())</f>
        <v/>
      </c>
      <c r="V1160" s="20">
        <f>IF(AND(ISNUMBER(R1160),Settings!$B$17&gt;0),IF(ISNUMBER(INDEX($R:$R,Settings!$B$17)),(R1160-INDEX($R:$R,Settings!$B$17))*100,NA()),NA())</f>
        <v/>
      </c>
      <c r="W1160" s="20">
        <f>IF(AND(ISNUMBER(P1160),Settings!$B$17&gt;0),IF(ISNUMBER(INDEX($P:$P,Settings!$B$17)),P1160-INDEX($P:$P,Settings!$B$17),NA()),NA())</f>
        <v/>
      </c>
      <c r="X1160" s="19">
        <f>IF(NOT(ISNUMBER($A1160)),NA(),IF(OR($A1160&lt;MIN(DKW_10Y!$A$2:$A$2918),$A1160&gt;MAX(DKW_10Y!$A$2:$A$2918),Settings!$B$16&lt;MIN(DKW_10Y!$A$2:$A$2918)),NA(),(INDEX(DKW_10Y!$B$2:$B$2918,MATCH($A1160,DKW_10Y!$A$2:$A$2918,1))-INDEX(DKW_10Y!$B$2:$B$2918,MATCH(Settings!$B$16,DKW_10Y!$A$2:$A$2918,1)))*100))</f>
        <v/>
      </c>
      <c r="Y1160" s="19">
        <f>IF(NOT(ISNUMBER($A1160)),NA(),IF(OR($A1160&lt;MIN(DKW_10Y!$A$2:$A$2918),$A1160&gt;MAX(DKW_10Y!$A$2:$A$2918),Settings!$B$16&lt;MIN(DKW_10Y!$A$2:$A$2918)),NA(),(INDEX(DKW_10Y!$C$2:$C$2918,MATCH($A1160,DKW_10Y!$A$2:$A$2918,1))-INDEX(DKW_10Y!$C$2:$C$2918,MATCH(Settings!$B$16,DKW_10Y!$A$2:$A$2918,1)))*100))</f>
        <v/>
      </c>
      <c r="Z1160" s="19">
        <f>IF(NOT(ISNUMBER($A1160)),NA(),IF(OR($A1160&lt;MIN(DKW_10Y!$A$2:$A$2918),$A1160&gt;MAX(DKW_10Y!$A$2:$A$2918),Settings!$B$16&lt;MIN(DKW_10Y!$A$2:$A$2918)),NA(),(INDEX(DKW_10Y!$D$2:$D$2918,MATCH($A1160,DKW_10Y!$A$2:$A$2918,1))-INDEX(DKW_10Y!$D$2:$D$2918,MATCH(Settings!$B$16,DKW_10Y!$A$2:$A$2918,1)))*100))</f>
        <v/>
      </c>
      <c r="AA1160" s="19">
        <f>IF(NOT(ISNUMBER($A1160)),NA(),IF(OR($A1160&lt;MIN(DKW_10Y!$A$2:$A$2918),$A1160&gt;MAX(DKW_10Y!$A$2:$A$2918),Settings!$B$16&lt;MIN(DKW_10Y!$A$2:$A$2918)),NA(),(INDEX(DKW_10Y!$E$2:$E$2918,MATCH($A1160,DKW_10Y!$A$2:$A$2918,1))-INDEX(DKW_10Y!$E$2:$E$2918,MATCH(Settings!$B$16,DKW_10Y!$A$2:$A$2918,1)))*100))</f>
        <v/>
      </c>
      <c r="AB1160" s="19">
        <f>IF(NOT(ISNUMBER($A1160)),NA(),IF(OR($A1160&lt;MIN(DKW_10Y!$A$2:$A$2918),$A1160&gt;MAX(DKW_10Y!$A$2:$A$2918),Settings!$B$16&lt;MIN(DKW_10Y!$A$2:$A$2918)),NA(),(INDEX(DKW_10Y!$H$2:$H$2918,MATCH($A1160,DKW_10Y!$A$2:$A$2918,1))-INDEX(DKW_10Y!$H$2:$H$2918,MATCH(Settings!$B$16,DKW_10Y!$A$2:$A$2918,1)))*100))</f>
        <v/>
      </c>
      <c r="AC1160" s="18">
        <f>IF(NOT(ISNUMBER($A1160)),NA(),IFERROR(1*INDEX(BBG_Data!$N$2:$N$4000,MATCH($A1160,BBG_Data!$M$2:$M$4000,0)),NA()))</f>
        <v/>
      </c>
      <c r="AD1160" s="18">
        <f>IF(NOT(ISNUMBER($A1160)),NA(),IFERROR(1*INDEX(BBG_Data!$P$2:$P$4000,MATCH($A1160,BBG_Data!$O$2:$O$4000,0)),NA()))</f>
        <v/>
      </c>
      <c r="AE1160" s="18">
        <f>IF(NOT(ISNUMBER($A1160)),NA(),IFERROR(1*INDEX(BBG_Data!$R$2:$R$4000,MATCH($A1160,BBG_Data!$Q$2:$Q$4000,0)),NA()))</f>
        <v/>
      </c>
      <c r="AF1160" s="20">
        <f>IF(AND(ISNUMBER(B1160),ISNUMBER(AC1160)),(B1160-AC1160)*100,NA())</f>
        <v/>
      </c>
      <c r="AG1160" s="20">
        <f>IF(AND(ISNUMBER(AE1160),ISNUMBER(AD1160)),(AE1160-AD1160)*100,NA())</f>
        <v/>
      </c>
      <c r="AH1160" s="19">
        <f>IF(NOT(ISNUMBER($A1160)),NA(),IFERROR(INDEX(BBG_Data!$T$2:$T$4000,MATCH($A1160,BBG_Data!$S$2:$S$4000,0))*Settings!$B$25,NA()))</f>
        <v/>
      </c>
      <c r="AI1160" s="19">
        <f>IF(NOT(ISNUMBER($A1160)),NA(),IFERROR(INDEX(BBG_Data!$V$2:$V$4000,MATCH($A1160,BBG_Data!$U$2:$U$4000,0))*Settings!$B$25,NA()))</f>
        <v/>
      </c>
      <c r="AJ1160" s="19">
        <f>IF(NOT(ISNUMBER($A1160)),NA(),IFERROR(1*INDEX(BBG_Data!$X$2:$X$4000,MATCH($A1160,BBG_Data!$W$2:$W$4000,0)),NA()))</f>
        <v/>
      </c>
      <c r="AK1160" s="19">
        <f>IF(NOT(ISNUMBER($A1160)),NA(),IFERROR(1*INDEX(BBG_Data!$Z$2:$Z$4000,MATCH($A1160,BBG_Data!$Y$2:$Y$4000,0)),NA()))</f>
        <v/>
      </c>
    </row>
    <row r="1161">
      <c r="A1161" s="17">
        <f>IF(ISNUMBER(BBG_Data!A1161),BBG_Data!A1161,"")</f>
        <v/>
      </c>
      <c r="B1161" s="18">
        <f>IF(AND(ISNUMBER($A1161),ISNUMBER(BBG_Data!B1161)),BBG_Data!B1161,NA())</f>
        <v/>
      </c>
      <c r="C1161" s="18">
        <f>IF(NOT(ISNUMBER($A1161)),NA(),IFERROR(1*INDEX(BBG_Data!$D$2:$D$4000,MATCH($A1161,BBG_Data!$C$2:$C$4000,0)),NA()))</f>
        <v/>
      </c>
      <c r="D1161" s="19">
        <f>IF(NOT(ISNUMBER($A1161)),NA(),IFERROR(1*INDEX(BBG_Data!$F$2:$F$4000,MATCH($A1161,BBG_Data!$E$2:$E$4000,0)),NA()))</f>
        <v/>
      </c>
      <c r="E1161" s="19">
        <f>IF(NOT(ISNUMBER($A1161)),NA(),IFERROR(1*INDEX(BBG_Data!$H$2:$H$4000,MATCH($A1161,BBG_Data!$G$2:$G$4000,0)),NA()))</f>
        <v/>
      </c>
      <c r="F1161" s="20">
        <f>IF(AND(ISNUMBER(B1161),ISNUMBER(B1160)),IF(B1161=B1160,"",(B1161-B1160)*100),"")</f>
        <v/>
      </c>
      <c r="G1161" s="20">
        <f>IF(AND(ISNUMBER(C1161),ISNUMBER(C1160)),IF(C1161=C1160,"",(C1161-C1160)*100),"")</f>
        <v/>
      </c>
      <c r="H1161" s="20">
        <f>IF(OR(NOT(ISNUMBER($A1161)),ROW()-2&lt;Settings!$B$11),NA(),IF(COUNT(OFFSET(F1161,1-Settings!$B$11,0,Settings!$B$11,1))&lt;ROUNDUP(Settings!$B$11*Settings!$B$26,0),NA(),STDEV(OFFSET(F1161,1-Settings!$B$11,0,Settings!$B$11,1))*SQRT(Settings!$B$13)))</f>
        <v/>
      </c>
      <c r="I1161" s="20">
        <f>IF(OR(NOT(ISNUMBER($A1161)),ROW()-2&lt;Settings!$B$12),NA(),IF(COUNT(OFFSET(F1161,1-Settings!$B$12,0,Settings!$B$12,1))&lt;ROUNDUP(Settings!$B$12*Settings!$B$26,0),NA(),STDEV(OFFSET(F1161,1-Settings!$B$12,0,Settings!$B$12,1))*SQRT(Settings!$B$13)))</f>
        <v/>
      </c>
      <c r="J1161" s="20">
        <f>IF(OR(NOT(ISNUMBER($A1161)),ROW()-2&lt;Settings!$B$11),NA(),IF(COUNT(OFFSET(G1161,1-Settings!$B$11,0,Settings!$B$11,1))&lt;ROUNDUP(Settings!$B$11*Settings!$B$26,0),NA(),STDEV(OFFSET(G1161,1-Settings!$B$11,0,Settings!$B$11,1))*SQRT(Settings!$B$13)))</f>
        <v/>
      </c>
      <c r="K1161" s="20">
        <f>IF(OR(NOT(ISNUMBER($A1161)),ROW()-2&lt;Settings!$B$12),NA(),IF(COUNT(OFFSET(G1161,1-Settings!$B$12,0,Settings!$B$12,1))&lt;ROUNDUP(Settings!$B$12*Settings!$B$26,0),NA(),STDEV(OFFSET(G1161,1-Settings!$B$12,0,Settings!$B$12,1))*SQRT(Settings!$B$13)))</f>
        <v/>
      </c>
      <c r="L1161" s="20">
        <f>IF(AND(ISNUMBER(D1161),ISNUMBER(H1161)),D1161-H1161,NA())</f>
        <v/>
      </c>
      <c r="M1161" s="20">
        <f>IF(AND(ISNUMBER(E1161),ISNUMBER(K1161)),E1161-K1161,NA())</f>
        <v/>
      </c>
      <c r="N1161" s="20">
        <f>IF(NOT(ISNUMBER($A1161)),NA(),IF(COUNT(OFFSET(G1161,1,0,Settings!$B$12,1))&lt;ROUNDUP(Settings!$B$12*Settings!$B$26,0),NA(),STDEV(OFFSET(G1161,1,0,Settings!$B$12,1))*SQRT(Settings!$B$13)))</f>
        <v/>
      </c>
      <c r="O1161" s="20">
        <f>IF(AND(ISNUMBER(E1161),ISNUMBER(N1161)),E1161-N1161,NA())</f>
        <v/>
      </c>
      <c r="P1161" s="19">
        <f>IF(NOT(ISNUMBER($A1161)),NA(),IF(OR($A1161&lt;MIN(KW_TP!$A$2:$A$2501),$A1161&gt;MAX(KW_TP!$A$2:$A$2501)),NA(),INDEX(KW_TP!$C$2:$C$2501,MATCH($A1161,KW_TP!$A$2:$A$2501,1))))</f>
        <v/>
      </c>
      <c r="Q1161" s="18">
        <f>IF(NOT(ISNUMBER($A1161)),NA(),IFERROR(1*INDEX(BBG_Data!$J$2:$J$4000,MATCH($A1161,BBG_Data!$I$2:$I$4000,0)),NA()))</f>
        <v/>
      </c>
      <c r="R1161" s="18">
        <f>IF(NOT(ISNUMBER($A1161)),NA(),IFERROR(1*INDEX(BBG_Data!$L$2:$L$4000,MATCH($A1161,BBG_Data!$K$2:$K$4000,0)),NA()))</f>
        <v/>
      </c>
      <c r="S1161" s="20">
        <f>IF(AND(ISNUMBER(B1161),ISNUMBER(Q1161),ISNUMBER(R1161)),(B1161-Q1161-R1161)*100,NA())</f>
        <v/>
      </c>
      <c r="T1161" s="20">
        <f>IF(AND(ISNUMBER(B1161),Settings!$B$17&gt;0),IF(ISNUMBER(INDEX($B:$B,Settings!$B$17)),(B1161-INDEX($B:$B,Settings!$B$17))*100,NA()),NA())</f>
        <v/>
      </c>
      <c r="U1161" s="20">
        <f>IF(AND(ISNUMBER(Q1161),Settings!$B$17&gt;0),IF(ISNUMBER(INDEX($Q:$Q,Settings!$B$17)),(Q1161-INDEX($Q:$Q,Settings!$B$17))*100,NA()),NA())</f>
        <v/>
      </c>
      <c r="V1161" s="20">
        <f>IF(AND(ISNUMBER(R1161),Settings!$B$17&gt;0),IF(ISNUMBER(INDEX($R:$R,Settings!$B$17)),(R1161-INDEX($R:$R,Settings!$B$17))*100,NA()),NA())</f>
        <v/>
      </c>
      <c r="W1161" s="20">
        <f>IF(AND(ISNUMBER(P1161),Settings!$B$17&gt;0),IF(ISNUMBER(INDEX($P:$P,Settings!$B$17)),P1161-INDEX($P:$P,Settings!$B$17),NA()),NA())</f>
        <v/>
      </c>
      <c r="X1161" s="19">
        <f>IF(NOT(ISNUMBER($A1161)),NA(),IF(OR($A1161&lt;MIN(DKW_10Y!$A$2:$A$2918),$A1161&gt;MAX(DKW_10Y!$A$2:$A$2918),Settings!$B$16&lt;MIN(DKW_10Y!$A$2:$A$2918)),NA(),(INDEX(DKW_10Y!$B$2:$B$2918,MATCH($A1161,DKW_10Y!$A$2:$A$2918,1))-INDEX(DKW_10Y!$B$2:$B$2918,MATCH(Settings!$B$16,DKW_10Y!$A$2:$A$2918,1)))*100))</f>
        <v/>
      </c>
      <c r="Y1161" s="19">
        <f>IF(NOT(ISNUMBER($A1161)),NA(),IF(OR($A1161&lt;MIN(DKW_10Y!$A$2:$A$2918),$A1161&gt;MAX(DKW_10Y!$A$2:$A$2918),Settings!$B$16&lt;MIN(DKW_10Y!$A$2:$A$2918)),NA(),(INDEX(DKW_10Y!$C$2:$C$2918,MATCH($A1161,DKW_10Y!$A$2:$A$2918,1))-INDEX(DKW_10Y!$C$2:$C$2918,MATCH(Settings!$B$16,DKW_10Y!$A$2:$A$2918,1)))*100))</f>
        <v/>
      </c>
      <c r="Z1161" s="19">
        <f>IF(NOT(ISNUMBER($A1161)),NA(),IF(OR($A1161&lt;MIN(DKW_10Y!$A$2:$A$2918),$A1161&gt;MAX(DKW_10Y!$A$2:$A$2918),Settings!$B$16&lt;MIN(DKW_10Y!$A$2:$A$2918)),NA(),(INDEX(DKW_10Y!$D$2:$D$2918,MATCH($A1161,DKW_10Y!$A$2:$A$2918,1))-INDEX(DKW_10Y!$D$2:$D$2918,MATCH(Settings!$B$16,DKW_10Y!$A$2:$A$2918,1)))*100))</f>
        <v/>
      </c>
      <c r="AA1161" s="19">
        <f>IF(NOT(ISNUMBER($A1161)),NA(),IF(OR($A1161&lt;MIN(DKW_10Y!$A$2:$A$2918),$A1161&gt;MAX(DKW_10Y!$A$2:$A$2918),Settings!$B$16&lt;MIN(DKW_10Y!$A$2:$A$2918)),NA(),(INDEX(DKW_10Y!$E$2:$E$2918,MATCH($A1161,DKW_10Y!$A$2:$A$2918,1))-INDEX(DKW_10Y!$E$2:$E$2918,MATCH(Settings!$B$16,DKW_10Y!$A$2:$A$2918,1)))*100))</f>
        <v/>
      </c>
      <c r="AB1161" s="19">
        <f>IF(NOT(ISNUMBER($A1161)),NA(),IF(OR($A1161&lt;MIN(DKW_10Y!$A$2:$A$2918),$A1161&gt;MAX(DKW_10Y!$A$2:$A$2918),Settings!$B$16&lt;MIN(DKW_10Y!$A$2:$A$2918)),NA(),(INDEX(DKW_10Y!$H$2:$H$2918,MATCH($A1161,DKW_10Y!$A$2:$A$2918,1))-INDEX(DKW_10Y!$H$2:$H$2918,MATCH(Settings!$B$16,DKW_10Y!$A$2:$A$2918,1)))*100))</f>
        <v/>
      </c>
      <c r="AC1161" s="18">
        <f>IF(NOT(ISNUMBER($A1161)),NA(),IFERROR(1*INDEX(BBG_Data!$N$2:$N$4000,MATCH($A1161,BBG_Data!$M$2:$M$4000,0)),NA()))</f>
        <v/>
      </c>
      <c r="AD1161" s="18">
        <f>IF(NOT(ISNUMBER($A1161)),NA(),IFERROR(1*INDEX(BBG_Data!$P$2:$P$4000,MATCH($A1161,BBG_Data!$O$2:$O$4000,0)),NA()))</f>
        <v/>
      </c>
      <c r="AE1161" s="18">
        <f>IF(NOT(ISNUMBER($A1161)),NA(),IFERROR(1*INDEX(BBG_Data!$R$2:$R$4000,MATCH($A1161,BBG_Data!$Q$2:$Q$4000,0)),NA()))</f>
        <v/>
      </c>
      <c r="AF1161" s="20">
        <f>IF(AND(ISNUMBER(B1161),ISNUMBER(AC1161)),(B1161-AC1161)*100,NA())</f>
        <v/>
      </c>
      <c r="AG1161" s="20">
        <f>IF(AND(ISNUMBER(AE1161),ISNUMBER(AD1161)),(AE1161-AD1161)*100,NA())</f>
        <v/>
      </c>
      <c r="AH1161" s="19">
        <f>IF(NOT(ISNUMBER($A1161)),NA(),IFERROR(INDEX(BBG_Data!$T$2:$T$4000,MATCH($A1161,BBG_Data!$S$2:$S$4000,0))*Settings!$B$25,NA()))</f>
        <v/>
      </c>
      <c r="AI1161" s="19">
        <f>IF(NOT(ISNUMBER($A1161)),NA(),IFERROR(INDEX(BBG_Data!$V$2:$V$4000,MATCH($A1161,BBG_Data!$U$2:$U$4000,0))*Settings!$B$25,NA()))</f>
        <v/>
      </c>
      <c r="AJ1161" s="19">
        <f>IF(NOT(ISNUMBER($A1161)),NA(),IFERROR(1*INDEX(BBG_Data!$X$2:$X$4000,MATCH($A1161,BBG_Data!$W$2:$W$4000,0)),NA()))</f>
        <v/>
      </c>
      <c r="AK1161" s="19">
        <f>IF(NOT(ISNUMBER($A1161)),NA(),IFERROR(1*INDEX(BBG_Data!$Z$2:$Z$4000,MATCH($A1161,BBG_Data!$Y$2:$Y$4000,0)),NA()))</f>
        <v/>
      </c>
    </row>
    <row r="1162">
      <c r="A1162" s="17">
        <f>IF(ISNUMBER(BBG_Data!A1162),BBG_Data!A1162,"")</f>
        <v/>
      </c>
      <c r="B1162" s="18">
        <f>IF(AND(ISNUMBER($A1162),ISNUMBER(BBG_Data!B1162)),BBG_Data!B1162,NA())</f>
        <v/>
      </c>
      <c r="C1162" s="18">
        <f>IF(NOT(ISNUMBER($A1162)),NA(),IFERROR(1*INDEX(BBG_Data!$D$2:$D$4000,MATCH($A1162,BBG_Data!$C$2:$C$4000,0)),NA()))</f>
        <v/>
      </c>
      <c r="D1162" s="19">
        <f>IF(NOT(ISNUMBER($A1162)),NA(),IFERROR(1*INDEX(BBG_Data!$F$2:$F$4000,MATCH($A1162,BBG_Data!$E$2:$E$4000,0)),NA()))</f>
        <v/>
      </c>
      <c r="E1162" s="19">
        <f>IF(NOT(ISNUMBER($A1162)),NA(),IFERROR(1*INDEX(BBG_Data!$H$2:$H$4000,MATCH($A1162,BBG_Data!$G$2:$G$4000,0)),NA()))</f>
        <v/>
      </c>
      <c r="F1162" s="20">
        <f>IF(AND(ISNUMBER(B1162),ISNUMBER(B1161)),IF(B1162=B1161,"",(B1162-B1161)*100),"")</f>
        <v/>
      </c>
      <c r="G1162" s="20">
        <f>IF(AND(ISNUMBER(C1162),ISNUMBER(C1161)),IF(C1162=C1161,"",(C1162-C1161)*100),"")</f>
        <v/>
      </c>
      <c r="H1162" s="20">
        <f>IF(OR(NOT(ISNUMBER($A1162)),ROW()-2&lt;Settings!$B$11),NA(),IF(COUNT(OFFSET(F1162,1-Settings!$B$11,0,Settings!$B$11,1))&lt;ROUNDUP(Settings!$B$11*Settings!$B$26,0),NA(),STDEV(OFFSET(F1162,1-Settings!$B$11,0,Settings!$B$11,1))*SQRT(Settings!$B$13)))</f>
        <v/>
      </c>
      <c r="I1162" s="20">
        <f>IF(OR(NOT(ISNUMBER($A1162)),ROW()-2&lt;Settings!$B$12),NA(),IF(COUNT(OFFSET(F1162,1-Settings!$B$12,0,Settings!$B$12,1))&lt;ROUNDUP(Settings!$B$12*Settings!$B$26,0),NA(),STDEV(OFFSET(F1162,1-Settings!$B$12,0,Settings!$B$12,1))*SQRT(Settings!$B$13)))</f>
        <v/>
      </c>
      <c r="J1162" s="20">
        <f>IF(OR(NOT(ISNUMBER($A1162)),ROW()-2&lt;Settings!$B$11),NA(),IF(COUNT(OFFSET(G1162,1-Settings!$B$11,0,Settings!$B$11,1))&lt;ROUNDUP(Settings!$B$11*Settings!$B$26,0),NA(),STDEV(OFFSET(G1162,1-Settings!$B$11,0,Settings!$B$11,1))*SQRT(Settings!$B$13)))</f>
        <v/>
      </c>
      <c r="K1162" s="20">
        <f>IF(OR(NOT(ISNUMBER($A1162)),ROW()-2&lt;Settings!$B$12),NA(),IF(COUNT(OFFSET(G1162,1-Settings!$B$12,0,Settings!$B$12,1))&lt;ROUNDUP(Settings!$B$12*Settings!$B$26,0),NA(),STDEV(OFFSET(G1162,1-Settings!$B$12,0,Settings!$B$12,1))*SQRT(Settings!$B$13)))</f>
        <v/>
      </c>
      <c r="L1162" s="20">
        <f>IF(AND(ISNUMBER(D1162),ISNUMBER(H1162)),D1162-H1162,NA())</f>
        <v/>
      </c>
      <c r="M1162" s="20">
        <f>IF(AND(ISNUMBER(E1162),ISNUMBER(K1162)),E1162-K1162,NA())</f>
        <v/>
      </c>
      <c r="N1162" s="20">
        <f>IF(NOT(ISNUMBER($A1162)),NA(),IF(COUNT(OFFSET(G1162,1,0,Settings!$B$12,1))&lt;ROUNDUP(Settings!$B$12*Settings!$B$26,0),NA(),STDEV(OFFSET(G1162,1,0,Settings!$B$12,1))*SQRT(Settings!$B$13)))</f>
        <v/>
      </c>
      <c r="O1162" s="20">
        <f>IF(AND(ISNUMBER(E1162),ISNUMBER(N1162)),E1162-N1162,NA())</f>
        <v/>
      </c>
      <c r="P1162" s="19">
        <f>IF(NOT(ISNUMBER($A1162)),NA(),IF(OR($A1162&lt;MIN(KW_TP!$A$2:$A$2501),$A1162&gt;MAX(KW_TP!$A$2:$A$2501)),NA(),INDEX(KW_TP!$C$2:$C$2501,MATCH($A1162,KW_TP!$A$2:$A$2501,1))))</f>
        <v/>
      </c>
      <c r="Q1162" s="18">
        <f>IF(NOT(ISNUMBER($A1162)),NA(),IFERROR(1*INDEX(BBG_Data!$J$2:$J$4000,MATCH($A1162,BBG_Data!$I$2:$I$4000,0)),NA()))</f>
        <v/>
      </c>
      <c r="R1162" s="18">
        <f>IF(NOT(ISNUMBER($A1162)),NA(),IFERROR(1*INDEX(BBG_Data!$L$2:$L$4000,MATCH($A1162,BBG_Data!$K$2:$K$4000,0)),NA()))</f>
        <v/>
      </c>
      <c r="S1162" s="20">
        <f>IF(AND(ISNUMBER(B1162),ISNUMBER(Q1162),ISNUMBER(R1162)),(B1162-Q1162-R1162)*100,NA())</f>
        <v/>
      </c>
      <c r="T1162" s="20">
        <f>IF(AND(ISNUMBER(B1162),Settings!$B$17&gt;0),IF(ISNUMBER(INDEX($B:$B,Settings!$B$17)),(B1162-INDEX($B:$B,Settings!$B$17))*100,NA()),NA())</f>
        <v/>
      </c>
      <c r="U1162" s="20">
        <f>IF(AND(ISNUMBER(Q1162),Settings!$B$17&gt;0),IF(ISNUMBER(INDEX($Q:$Q,Settings!$B$17)),(Q1162-INDEX($Q:$Q,Settings!$B$17))*100,NA()),NA())</f>
        <v/>
      </c>
      <c r="V1162" s="20">
        <f>IF(AND(ISNUMBER(R1162),Settings!$B$17&gt;0),IF(ISNUMBER(INDEX($R:$R,Settings!$B$17)),(R1162-INDEX($R:$R,Settings!$B$17))*100,NA()),NA())</f>
        <v/>
      </c>
      <c r="W1162" s="20">
        <f>IF(AND(ISNUMBER(P1162),Settings!$B$17&gt;0),IF(ISNUMBER(INDEX($P:$P,Settings!$B$17)),P1162-INDEX($P:$P,Settings!$B$17),NA()),NA())</f>
        <v/>
      </c>
      <c r="X1162" s="19">
        <f>IF(NOT(ISNUMBER($A1162)),NA(),IF(OR($A1162&lt;MIN(DKW_10Y!$A$2:$A$2918),$A1162&gt;MAX(DKW_10Y!$A$2:$A$2918),Settings!$B$16&lt;MIN(DKW_10Y!$A$2:$A$2918)),NA(),(INDEX(DKW_10Y!$B$2:$B$2918,MATCH($A1162,DKW_10Y!$A$2:$A$2918,1))-INDEX(DKW_10Y!$B$2:$B$2918,MATCH(Settings!$B$16,DKW_10Y!$A$2:$A$2918,1)))*100))</f>
        <v/>
      </c>
      <c r="Y1162" s="19">
        <f>IF(NOT(ISNUMBER($A1162)),NA(),IF(OR($A1162&lt;MIN(DKW_10Y!$A$2:$A$2918),$A1162&gt;MAX(DKW_10Y!$A$2:$A$2918),Settings!$B$16&lt;MIN(DKW_10Y!$A$2:$A$2918)),NA(),(INDEX(DKW_10Y!$C$2:$C$2918,MATCH($A1162,DKW_10Y!$A$2:$A$2918,1))-INDEX(DKW_10Y!$C$2:$C$2918,MATCH(Settings!$B$16,DKW_10Y!$A$2:$A$2918,1)))*100))</f>
        <v/>
      </c>
      <c r="Z1162" s="19">
        <f>IF(NOT(ISNUMBER($A1162)),NA(),IF(OR($A1162&lt;MIN(DKW_10Y!$A$2:$A$2918),$A1162&gt;MAX(DKW_10Y!$A$2:$A$2918),Settings!$B$16&lt;MIN(DKW_10Y!$A$2:$A$2918)),NA(),(INDEX(DKW_10Y!$D$2:$D$2918,MATCH($A1162,DKW_10Y!$A$2:$A$2918,1))-INDEX(DKW_10Y!$D$2:$D$2918,MATCH(Settings!$B$16,DKW_10Y!$A$2:$A$2918,1)))*100))</f>
        <v/>
      </c>
      <c r="AA1162" s="19">
        <f>IF(NOT(ISNUMBER($A1162)),NA(),IF(OR($A1162&lt;MIN(DKW_10Y!$A$2:$A$2918),$A1162&gt;MAX(DKW_10Y!$A$2:$A$2918),Settings!$B$16&lt;MIN(DKW_10Y!$A$2:$A$2918)),NA(),(INDEX(DKW_10Y!$E$2:$E$2918,MATCH($A1162,DKW_10Y!$A$2:$A$2918,1))-INDEX(DKW_10Y!$E$2:$E$2918,MATCH(Settings!$B$16,DKW_10Y!$A$2:$A$2918,1)))*100))</f>
        <v/>
      </c>
      <c r="AB1162" s="19">
        <f>IF(NOT(ISNUMBER($A1162)),NA(),IF(OR($A1162&lt;MIN(DKW_10Y!$A$2:$A$2918),$A1162&gt;MAX(DKW_10Y!$A$2:$A$2918),Settings!$B$16&lt;MIN(DKW_10Y!$A$2:$A$2918)),NA(),(INDEX(DKW_10Y!$H$2:$H$2918,MATCH($A1162,DKW_10Y!$A$2:$A$2918,1))-INDEX(DKW_10Y!$H$2:$H$2918,MATCH(Settings!$B$16,DKW_10Y!$A$2:$A$2918,1)))*100))</f>
        <v/>
      </c>
      <c r="AC1162" s="18">
        <f>IF(NOT(ISNUMBER($A1162)),NA(),IFERROR(1*INDEX(BBG_Data!$N$2:$N$4000,MATCH($A1162,BBG_Data!$M$2:$M$4000,0)),NA()))</f>
        <v/>
      </c>
      <c r="AD1162" s="18">
        <f>IF(NOT(ISNUMBER($A1162)),NA(),IFERROR(1*INDEX(BBG_Data!$P$2:$P$4000,MATCH($A1162,BBG_Data!$O$2:$O$4000,0)),NA()))</f>
        <v/>
      </c>
      <c r="AE1162" s="18">
        <f>IF(NOT(ISNUMBER($A1162)),NA(),IFERROR(1*INDEX(BBG_Data!$R$2:$R$4000,MATCH($A1162,BBG_Data!$Q$2:$Q$4000,0)),NA()))</f>
        <v/>
      </c>
      <c r="AF1162" s="20">
        <f>IF(AND(ISNUMBER(B1162),ISNUMBER(AC1162)),(B1162-AC1162)*100,NA())</f>
        <v/>
      </c>
      <c r="AG1162" s="20">
        <f>IF(AND(ISNUMBER(AE1162),ISNUMBER(AD1162)),(AE1162-AD1162)*100,NA())</f>
        <v/>
      </c>
      <c r="AH1162" s="19">
        <f>IF(NOT(ISNUMBER($A1162)),NA(),IFERROR(INDEX(BBG_Data!$T$2:$T$4000,MATCH($A1162,BBG_Data!$S$2:$S$4000,0))*Settings!$B$25,NA()))</f>
        <v/>
      </c>
      <c r="AI1162" s="19">
        <f>IF(NOT(ISNUMBER($A1162)),NA(),IFERROR(INDEX(BBG_Data!$V$2:$V$4000,MATCH($A1162,BBG_Data!$U$2:$U$4000,0))*Settings!$B$25,NA()))</f>
        <v/>
      </c>
      <c r="AJ1162" s="19">
        <f>IF(NOT(ISNUMBER($A1162)),NA(),IFERROR(1*INDEX(BBG_Data!$X$2:$X$4000,MATCH($A1162,BBG_Data!$W$2:$W$4000,0)),NA()))</f>
        <v/>
      </c>
      <c r="AK1162" s="19">
        <f>IF(NOT(ISNUMBER($A1162)),NA(),IFERROR(1*INDEX(BBG_Data!$Z$2:$Z$4000,MATCH($A1162,BBG_Data!$Y$2:$Y$4000,0)),NA()))</f>
        <v/>
      </c>
    </row>
    <row r="1163">
      <c r="A1163" s="17">
        <f>IF(ISNUMBER(BBG_Data!A1163),BBG_Data!A1163,"")</f>
        <v/>
      </c>
      <c r="B1163" s="18">
        <f>IF(AND(ISNUMBER($A1163),ISNUMBER(BBG_Data!B1163)),BBG_Data!B1163,NA())</f>
        <v/>
      </c>
      <c r="C1163" s="18">
        <f>IF(NOT(ISNUMBER($A1163)),NA(),IFERROR(1*INDEX(BBG_Data!$D$2:$D$4000,MATCH($A1163,BBG_Data!$C$2:$C$4000,0)),NA()))</f>
        <v/>
      </c>
      <c r="D1163" s="19">
        <f>IF(NOT(ISNUMBER($A1163)),NA(),IFERROR(1*INDEX(BBG_Data!$F$2:$F$4000,MATCH($A1163,BBG_Data!$E$2:$E$4000,0)),NA()))</f>
        <v/>
      </c>
      <c r="E1163" s="19">
        <f>IF(NOT(ISNUMBER($A1163)),NA(),IFERROR(1*INDEX(BBG_Data!$H$2:$H$4000,MATCH($A1163,BBG_Data!$G$2:$G$4000,0)),NA()))</f>
        <v/>
      </c>
      <c r="F1163" s="20">
        <f>IF(AND(ISNUMBER(B1163),ISNUMBER(B1162)),IF(B1163=B1162,"",(B1163-B1162)*100),"")</f>
        <v/>
      </c>
      <c r="G1163" s="20">
        <f>IF(AND(ISNUMBER(C1163),ISNUMBER(C1162)),IF(C1163=C1162,"",(C1163-C1162)*100),"")</f>
        <v/>
      </c>
      <c r="H1163" s="20">
        <f>IF(OR(NOT(ISNUMBER($A1163)),ROW()-2&lt;Settings!$B$11),NA(),IF(COUNT(OFFSET(F1163,1-Settings!$B$11,0,Settings!$B$11,1))&lt;ROUNDUP(Settings!$B$11*Settings!$B$26,0),NA(),STDEV(OFFSET(F1163,1-Settings!$B$11,0,Settings!$B$11,1))*SQRT(Settings!$B$13)))</f>
        <v/>
      </c>
      <c r="I1163" s="20">
        <f>IF(OR(NOT(ISNUMBER($A1163)),ROW()-2&lt;Settings!$B$12),NA(),IF(COUNT(OFFSET(F1163,1-Settings!$B$12,0,Settings!$B$12,1))&lt;ROUNDUP(Settings!$B$12*Settings!$B$26,0),NA(),STDEV(OFFSET(F1163,1-Settings!$B$12,0,Settings!$B$12,1))*SQRT(Settings!$B$13)))</f>
        <v/>
      </c>
      <c r="J1163" s="20">
        <f>IF(OR(NOT(ISNUMBER($A1163)),ROW()-2&lt;Settings!$B$11),NA(),IF(COUNT(OFFSET(G1163,1-Settings!$B$11,0,Settings!$B$11,1))&lt;ROUNDUP(Settings!$B$11*Settings!$B$26,0),NA(),STDEV(OFFSET(G1163,1-Settings!$B$11,0,Settings!$B$11,1))*SQRT(Settings!$B$13)))</f>
        <v/>
      </c>
      <c r="K1163" s="20">
        <f>IF(OR(NOT(ISNUMBER($A1163)),ROW()-2&lt;Settings!$B$12),NA(),IF(COUNT(OFFSET(G1163,1-Settings!$B$12,0,Settings!$B$12,1))&lt;ROUNDUP(Settings!$B$12*Settings!$B$26,0),NA(),STDEV(OFFSET(G1163,1-Settings!$B$12,0,Settings!$B$12,1))*SQRT(Settings!$B$13)))</f>
        <v/>
      </c>
      <c r="L1163" s="20">
        <f>IF(AND(ISNUMBER(D1163),ISNUMBER(H1163)),D1163-H1163,NA())</f>
        <v/>
      </c>
      <c r="M1163" s="20">
        <f>IF(AND(ISNUMBER(E1163),ISNUMBER(K1163)),E1163-K1163,NA())</f>
        <v/>
      </c>
      <c r="N1163" s="20">
        <f>IF(NOT(ISNUMBER($A1163)),NA(),IF(COUNT(OFFSET(G1163,1,0,Settings!$B$12,1))&lt;ROUNDUP(Settings!$B$12*Settings!$B$26,0),NA(),STDEV(OFFSET(G1163,1,0,Settings!$B$12,1))*SQRT(Settings!$B$13)))</f>
        <v/>
      </c>
      <c r="O1163" s="20">
        <f>IF(AND(ISNUMBER(E1163),ISNUMBER(N1163)),E1163-N1163,NA())</f>
        <v/>
      </c>
      <c r="P1163" s="19">
        <f>IF(NOT(ISNUMBER($A1163)),NA(),IF(OR($A1163&lt;MIN(KW_TP!$A$2:$A$2501),$A1163&gt;MAX(KW_TP!$A$2:$A$2501)),NA(),INDEX(KW_TP!$C$2:$C$2501,MATCH($A1163,KW_TP!$A$2:$A$2501,1))))</f>
        <v/>
      </c>
      <c r="Q1163" s="18">
        <f>IF(NOT(ISNUMBER($A1163)),NA(),IFERROR(1*INDEX(BBG_Data!$J$2:$J$4000,MATCH($A1163,BBG_Data!$I$2:$I$4000,0)),NA()))</f>
        <v/>
      </c>
      <c r="R1163" s="18">
        <f>IF(NOT(ISNUMBER($A1163)),NA(),IFERROR(1*INDEX(BBG_Data!$L$2:$L$4000,MATCH($A1163,BBG_Data!$K$2:$K$4000,0)),NA()))</f>
        <v/>
      </c>
      <c r="S1163" s="20">
        <f>IF(AND(ISNUMBER(B1163),ISNUMBER(Q1163),ISNUMBER(R1163)),(B1163-Q1163-R1163)*100,NA())</f>
        <v/>
      </c>
      <c r="T1163" s="20">
        <f>IF(AND(ISNUMBER(B1163),Settings!$B$17&gt;0),IF(ISNUMBER(INDEX($B:$B,Settings!$B$17)),(B1163-INDEX($B:$B,Settings!$B$17))*100,NA()),NA())</f>
        <v/>
      </c>
      <c r="U1163" s="20">
        <f>IF(AND(ISNUMBER(Q1163),Settings!$B$17&gt;0),IF(ISNUMBER(INDEX($Q:$Q,Settings!$B$17)),(Q1163-INDEX($Q:$Q,Settings!$B$17))*100,NA()),NA())</f>
        <v/>
      </c>
      <c r="V1163" s="20">
        <f>IF(AND(ISNUMBER(R1163),Settings!$B$17&gt;0),IF(ISNUMBER(INDEX($R:$R,Settings!$B$17)),(R1163-INDEX($R:$R,Settings!$B$17))*100,NA()),NA())</f>
        <v/>
      </c>
      <c r="W1163" s="20">
        <f>IF(AND(ISNUMBER(P1163),Settings!$B$17&gt;0),IF(ISNUMBER(INDEX($P:$P,Settings!$B$17)),P1163-INDEX($P:$P,Settings!$B$17),NA()),NA())</f>
        <v/>
      </c>
      <c r="X1163" s="19">
        <f>IF(NOT(ISNUMBER($A1163)),NA(),IF(OR($A1163&lt;MIN(DKW_10Y!$A$2:$A$2918),$A1163&gt;MAX(DKW_10Y!$A$2:$A$2918),Settings!$B$16&lt;MIN(DKW_10Y!$A$2:$A$2918)),NA(),(INDEX(DKW_10Y!$B$2:$B$2918,MATCH($A1163,DKW_10Y!$A$2:$A$2918,1))-INDEX(DKW_10Y!$B$2:$B$2918,MATCH(Settings!$B$16,DKW_10Y!$A$2:$A$2918,1)))*100))</f>
        <v/>
      </c>
      <c r="Y1163" s="19">
        <f>IF(NOT(ISNUMBER($A1163)),NA(),IF(OR($A1163&lt;MIN(DKW_10Y!$A$2:$A$2918),$A1163&gt;MAX(DKW_10Y!$A$2:$A$2918),Settings!$B$16&lt;MIN(DKW_10Y!$A$2:$A$2918)),NA(),(INDEX(DKW_10Y!$C$2:$C$2918,MATCH($A1163,DKW_10Y!$A$2:$A$2918,1))-INDEX(DKW_10Y!$C$2:$C$2918,MATCH(Settings!$B$16,DKW_10Y!$A$2:$A$2918,1)))*100))</f>
        <v/>
      </c>
      <c r="Z1163" s="19">
        <f>IF(NOT(ISNUMBER($A1163)),NA(),IF(OR($A1163&lt;MIN(DKW_10Y!$A$2:$A$2918),$A1163&gt;MAX(DKW_10Y!$A$2:$A$2918),Settings!$B$16&lt;MIN(DKW_10Y!$A$2:$A$2918)),NA(),(INDEX(DKW_10Y!$D$2:$D$2918,MATCH($A1163,DKW_10Y!$A$2:$A$2918,1))-INDEX(DKW_10Y!$D$2:$D$2918,MATCH(Settings!$B$16,DKW_10Y!$A$2:$A$2918,1)))*100))</f>
        <v/>
      </c>
      <c r="AA1163" s="19">
        <f>IF(NOT(ISNUMBER($A1163)),NA(),IF(OR($A1163&lt;MIN(DKW_10Y!$A$2:$A$2918),$A1163&gt;MAX(DKW_10Y!$A$2:$A$2918),Settings!$B$16&lt;MIN(DKW_10Y!$A$2:$A$2918)),NA(),(INDEX(DKW_10Y!$E$2:$E$2918,MATCH($A1163,DKW_10Y!$A$2:$A$2918,1))-INDEX(DKW_10Y!$E$2:$E$2918,MATCH(Settings!$B$16,DKW_10Y!$A$2:$A$2918,1)))*100))</f>
        <v/>
      </c>
      <c r="AB1163" s="19">
        <f>IF(NOT(ISNUMBER($A1163)),NA(),IF(OR($A1163&lt;MIN(DKW_10Y!$A$2:$A$2918),$A1163&gt;MAX(DKW_10Y!$A$2:$A$2918),Settings!$B$16&lt;MIN(DKW_10Y!$A$2:$A$2918)),NA(),(INDEX(DKW_10Y!$H$2:$H$2918,MATCH($A1163,DKW_10Y!$A$2:$A$2918,1))-INDEX(DKW_10Y!$H$2:$H$2918,MATCH(Settings!$B$16,DKW_10Y!$A$2:$A$2918,1)))*100))</f>
        <v/>
      </c>
      <c r="AC1163" s="18">
        <f>IF(NOT(ISNUMBER($A1163)),NA(),IFERROR(1*INDEX(BBG_Data!$N$2:$N$4000,MATCH($A1163,BBG_Data!$M$2:$M$4000,0)),NA()))</f>
        <v/>
      </c>
      <c r="AD1163" s="18">
        <f>IF(NOT(ISNUMBER($A1163)),NA(),IFERROR(1*INDEX(BBG_Data!$P$2:$P$4000,MATCH($A1163,BBG_Data!$O$2:$O$4000,0)),NA()))</f>
        <v/>
      </c>
      <c r="AE1163" s="18">
        <f>IF(NOT(ISNUMBER($A1163)),NA(),IFERROR(1*INDEX(BBG_Data!$R$2:$R$4000,MATCH($A1163,BBG_Data!$Q$2:$Q$4000,0)),NA()))</f>
        <v/>
      </c>
      <c r="AF1163" s="20">
        <f>IF(AND(ISNUMBER(B1163),ISNUMBER(AC1163)),(B1163-AC1163)*100,NA())</f>
        <v/>
      </c>
      <c r="AG1163" s="20">
        <f>IF(AND(ISNUMBER(AE1163),ISNUMBER(AD1163)),(AE1163-AD1163)*100,NA())</f>
        <v/>
      </c>
      <c r="AH1163" s="19">
        <f>IF(NOT(ISNUMBER($A1163)),NA(),IFERROR(INDEX(BBG_Data!$T$2:$T$4000,MATCH($A1163,BBG_Data!$S$2:$S$4000,0))*Settings!$B$25,NA()))</f>
        <v/>
      </c>
      <c r="AI1163" s="19">
        <f>IF(NOT(ISNUMBER($A1163)),NA(),IFERROR(INDEX(BBG_Data!$V$2:$V$4000,MATCH($A1163,BBG_Data!$U$2:$U$4000,0))*Settings!$B$25,NA()))</f>
        <v/>
      </c>
      <c r="AJ1163" s="19">
        <f>IF(NOT(ISNUMBER($A1163)),NA(),IFERROR(1*INDEX(BBG_Data!$X$2:$X$4000,MATCH($A1163,BBG_Data!$W$2:$W$4000,0)),NA()))</f>
        <v/>
      </c>
      <c r="AK1163" s="19">
        <f>IF(NOT(ISNUMBER($A1163)),NA(),IFERROR(1*INDEX(BBG_Data!$Z$2:$Z$4000,MATCH($A1163,BBG_Data!$Y$2:$Y$4000,0)),NA()))</f>
        <v/>
      </c>
    </row>
    <row r="1164">
      <c r="A1164" s="17">
        <f>IF(ISNUMBER(BBG_Data!A1164),BBG_Data!A1164,"")</f>
        <v/>
      </c>
      <c r="B1164" s="18">
        <f>IF(AND(ISNUMBER($A1164),ISNUMBER(BBG_Data!B1164)),BBG_Data!B1164,NA())</f>
        <v/>
      </c>
      <c r="C1164" s="18">
        <f>IF(NOT(ISNUMBER($A1164)),NA(),IFERROR(1*INDEX(BBG_Data!$D$2:$D$4000,MATCH($A1164,BBG_Data!$C$2:$C$4000,0)),NA()))</f>
        <v/>
      </c>
      <c r="D1164" s="19">
        <f>IF(NOT(ISNUMBER($A1164)),NA(),IFERROR(1*INDEX(BBG_Data!$F$2:$F$4000,MATCH($A1164,BBG_Data!$E$2:$E$4000,0)),NA()))</f>
        <v/>
      </c>
      <c r="E1164" s="19">
        <f>IF(NOT(ISNUMBER($A1164)),NA(),IFERROR(1*INDEX(BBG_Data!$H$2:$H$4000,MATCH($A1164,BBG_Data!$G$2:$G$4000,0)),NA()))</f>
        <v/>
      </c>
      <c r="F1164" s="20">
        <f>IF(AND(ISNUMBER(B1164),ISNUMBER(B1163)),IF(B1164=B1163,"",(B1164-B1163)*100),"")</f>
        <v/>
      </c>
      <c r="G1164" s="20">
        <f>IF(AND(ISNUMBER(C1164),ISNUMBER(C1163)),IF(C1164=C1163,"",(C1164-C1163)*100),"")</f>
        <v/>
      </c>
      <c r="H1164" s="20">
        <f>IF(OR(NOT(ISNUMBER($A1164)),ROW()-2&lt;Settings!$B$11),NA(),IF(COUNT(OFFSET(F1164,1-Settings!$B$11,0,Settings!$B$11,1))&lt;ROUNDUP(Settings!$B$11*Settings!$B$26,0),NA(),STDEV(OFFSET(F1164,1-Settings!$B$11,0,Settings!$B$11,1))*SQRT(Settings!$B$13)))</f>
        <v/>
      </c>
      <c r="I1164" s="20">
        <f>IF(OR(NOT(ISNUMBER($A1164)),ROW()-2&lt;Settings!$B$12),NA(),IF(COUNT(OFFSET(F1164,1-Settings!$B$12,0,Settings!$B$12,1))&lt;ROUNDUP(Settings!$B$12*Settings!$B$26,0),NA(),STDEV(OFFSET(F1164,1-Settings!$B$12,0,Settings!$B$12,1))*SQRT(Settings!$B$13)))</f>
        <v/>
      </c>
      <c r="J1164" s="20">
        <f>IF(OR(NOT(ISNUMBER($A1164)),ROW()-2&lt;Settings!$B$11),NA(),IF(COUNT(OFFSET(G1164,1-Settings!$B$11,0,Settings!$B$11,1))&lt;ROUNDUP(Settings!$B$11*Settings!$B$26,0),NA(),STDEV(OFFSET(G1164,1-Settings!$B$11,0,Settings!$B$11,1))*SQRT(Settings!$B$13)))</f>
        <v/>
      </c>
      <c r="K1164" s="20">
        <f>IF(OR(NOT(ISNUMBER($A1164)),ROW()-2&lt;Settings!$B$12),NA(),IF(COUNT(OFFSET(G1164,1-Settings!$B$12,0,Settings!$B$12,1))&lt;ROUNDUP(Settings!$B$12*Settings!$B$26,0),NA(),STDEV(OFFSET(G1164,1-Settings!$B$12,0,Settings!$B$12,1))*SQRT(Settings!$B$13)))</f>
        <v/>
      </c>
      <c r="L1164" s="20">
        <f>IF(AND(ISNUMBER(D1164),ISNUMBER(H1164)),D1164-H1164,NA())</f>
        <v/>
      </c>
      <c r="M1164" s="20">
        <f>IF(AND(ISNUMBER(E1164),ISNUMBER(K1164)),E1164-K1164,NA())</f>
        <v/>
      </c>
      <c r="N1164" s="20">
        <f>IF(NOT(ISNUMBER($A1164)),NA(),IF(COUNT(OFFSET(G1164,1,0,Settings!$B$12,1))&lt;ROUNDUP(Settings!$B$12*Settings!$B$26,0),NA(),STDEV(OFFSET(G1164,1,0,Settings!$B$12,1))*SQRT(Settings!$B$13)))</f>
        <v/>
      </c>
      <c r="O1164" s="20">
        <f>IF(AND(ISNUMBER(E1164),ISNUMBER(N1164)),E1164-N1164,NA())</f>
        <v/>
      </c>
      <c r="P1164" s="19">
        <f>IF(NOT(ISNUMBER($A1164)),NA(),IF(OR($A1164&lt;MIN(KW_TP!$A$2:$A$2501),$A1164&gt;MAX(KW_TP!$A$2:$A$2501)),NA(),INDEX(KW_TP!$C$2:$C$2501,MATCH($A1164,KW_TP!$A$2:$A$2501,1))))</f>
        <v/>
      </c>
      <c r="Q1164" s="18">
        <f>IF(NOT(ISNUMBER($A1164)),NA(),IFERROR(1*INDEX(BBG_Data!$J$2:$J$4000,MATCH($A1164,BBG_Data!$I$2:$I$4000,0)),NA()))</f>
        <v/>
      </c>
      <c r="R1164" s="18">
        <f>IF(NOT(ISNUMBER($A1164)),NA(),IFERROR(1*INDEX(BBG_Data!$L$2:$L$4000,MATCH($A1164,BBG_Data!$K$2:$K$4000,0)),NA()))</f>
        <v/>
      </c>
      <c r="S1164" s="20">
        <f>IF(AND(ISNUMBER(B1164),ISNUMBER(Q1164),ISNUMBER(R1164)),(B1164-Q1164-R1164)*100,NA())</f>
        <v/>
      </c>
      <c r="T1164" s="20">
        <f>IF(AND(ISNUMBER(B1164),Settings!$B$17&gt;0),IF(ISNUMBER(INDEX($B:$B,Settings!$B$17)),(B1164-INDEX($B:$B,Settings!$B$17))*100,NA()),NA())</f>
        <v/>
      </c>
      <c r="U1164" s="20">
        <f>IF(AND(ISNUMBER(Q1164),Settings!$B$17&gt;0),IF(ISNUMBER(INDEX($Q:$Q,Settings!$B$17)),(Q1164-INDEX($Q:$Q,Settings!$B$17))*100,NA()),NA())</f>
        <v/>
      </c>
      <c r="V1164" s="20">
        <f>IF(AND(ISNUMBER(R1164),Settings!$B$17&gt;0),IF(ISNUMBER(INDEX($R:$R,Settings!$B$17)),(R1164-INDEX($R:$R,Settings!$B$17))*100,NA()),NA())</f>
        <v/>
      </c>
      <c r="W1164" s="20">
        <f>IF(AND(ISNUMBER(P1164),Settings!$B$17&gt;0),IF(ISNUMBER(INDEX($P:$P,Settings!$B$17)),P1164-INDEX($P:$P,Settings!$B$17),NA()),NA())</f>
        <v/>
      </c>
      <c r="X1164" s="19">
        <f>IF(NOT(ISNUMBER($A1164)),NA(),IF(OR($A1164&lt;MIN(DKW_10Y!$A$2:$A$2918),$A1164&gt;MAX(DKW_10Y!$A$2:$A$2918),Settings!$B$16&lt;MIN(DKW_10Y!$A$2:$A$2918)),NA(),(INDEX(DKW_10Y!$B$2:$B$2918,MATCH($A1164,DKW_10Y!$A$2:$A$2918,1))-INDEX(DKW_10Y!$B$2:$B$2918,MATCH(Settings!$B$16,DKW_10Y!$A$2:$A$2918,1)))*100))</f>
        <v/>
      </c>
      <c r="Y1164" s="19">
        <f>IF(NOT(ISNUMBER($A1164)),NA(),IF(OR($A1164&lt;MIN(DKW_10Y!$A$2:$A$2918),$A1164&gt;MAX(DKW_10Y!$A$2:$A$2918),Settings!$B$16&lt;MIN(DKW_10Y!$A$2:$A$2918)),NA(),(INDEX(DKW_10Y!$C$2:$C$2918,MATCH($A1164,DKW_10Y!$A$2:$A$2918,1))-INDEX(DKW_10Y!$C$2:$C$2918,MATCH(Settings!$B$16,DKW_10Y!$A$2:$A$2918,1)))*100))</f>
        <v/>
      </c>
      <c r="Z1164" s="19">
        <f>IF(NOT(ISNUMBER($A1164)),NA(),IF(OR($A1164&lt;MIN(DKW_10Y!$A$2:$A$2918),$A1164&gt;MAX(DKW_10Y!$A$2:$A$2918),Settings!$B$16&lt;MIN(DKW_10Y!$A$2:$A$2918)),NA(),(INDEX(DKW_10Y!$D$2:$D$2918,MATCH($A1164,DKW_10Y!$A$2:$A$2918,1))-INDEX(DKW_10Y!$D$2:$D$2918,MATCH(Settings!$B$16,DKW_10Y!$A$2:$A$2918,1)))*100))</f>
        <v/>
      </c>
      <c r="AA1164" s="19">
        <f>IF(NOT(ISNUMBER($A1164)),NA(),IF(OR($A1164&lt;MIN(DKW_10Y!$A$2:$A$2918),$A1164&gt;MAX(DKW_10Y!$A$2:$A$2918),Settings!$B$16&lt;MIN(DKW_10Y!$A$2:$A$2918)),NA(),(INDEX(DKW_10Y!$E$2:$E$2918,MATCH($A1164,DKW_10Y!$A$2:$A$2918,1))-INDEX(DKW_10Y!$E$2:$E$2918,MATCH(Settings!$B$16,DKW_10Y!$A$2:$A$2918,1)))*100))</f>
        <v/>
      </c>
      <c r="AB1164" s="19">
        <f>IF(NOT(ISNUMBER($A1164)),NA(),IF(OR($A1164&lt;MIN(DKW_10Y!$A$2:$A$2918),$A1164&gt;MAX(DKW_10Y!$A$2:$A$2918),Settings!$B$16&lt;MIN(DKW_10Y!$A$2:$A$2918)),NA(),(INDEX(DKW_10Y!$H$2:$H$2918,MATCH($A1164,DKW_10Y!$A$2:$A$2918,1))-INDEX(DKW_10Y!$H$2:$H$2918,MATCH(Settings!$B$16,DKW_10Y!$A$2:$A$2918,1)))*100))</f>
        <v/>
      </c>
      <c r="AC1164" s="18">
        <f>IF(NOT(ISNUMBER($A1164)),NA(),IFERROR(1*INDEX(BBG_Data!$N$2:$N$4000,MATCH($A1164,BBG_Data!$M$2:$M$4000,0)),NA()))</f>
        <v/>
      </c>
      <c r="AD1164" s="18">
        <f>IF(NOT(ISNUMBER($A1164)),NA(),IFERROR(1*INDEX(BBG_Data!$P$2:$P$4000,MATCH($A1164,BBG_Data!$O$2:$O$4000,0)),NA()))</f>
        <v/>
      </c>
      <c r="AE1164" s="18">
        <f>IF(NOT(ISNUMBER($A1164)),NA(),IFERROR(1*INDEX(BBG_Data!$R$2:$R$4000,MATCH($A1164,BBG_Data!$Q$2:$Q$4000,0)),NA()))</f>
        <v/>
      </c>
      <c r="AF1164" s="20">
        <f>IF(AND(ISNUMBER(B1164),ISNUMBER(AC1164)),(B1164-AC1164)*100,NA())</f>
        <v/>
      </c>
      <c r="AG1164" s="20">
        <f>IF(AND(ISNUMBER(AE1164),ISNUMBER(AD1164)),(AE1164-AD1164)*100,NA())</f>
        <v/>
      </c>
      <c r="AH1164" s="19">
        <f>IF(NOT(ISNUMBER($A1164)),NA(),IFERROR(INDEX(BBG_Data!$T$2:$T$4000,MATCH($A1164,BBG_Data!$S$2:$S$4000,0))*Settings!$B$25,NA()))</f>
        <v/>
      </c>
      <c r="AI1164" s="19">
        <f>IF(NOT(ISNUMBER($A1164)),NA(),IFERROR(INDEX(BBG_Data!$V$2:$V$4000,MATCH($A1164,BBG_Data!$U$2:$U$4000,0))*Settings!$B$25,NA()))</f>
        <v/>
      </c>
      <c r="AJ1164" s="19">
        <f>IF(NOT(ISNUMBER($A1164)),NA(),IFERROR(1*INDEX(BBG_Data!$X$2:$X$4000,MATCH($A1164,BBG_Data!$W$2:$W$4000,0)),NA()))</f>
        <v/>
      </c>
      <c r="AK1164" s="19">
        <f>IF(NOT(ISNUMBER($A1164)),NA(),IFERROR(1*INDEX(BBG_Data!$Z$2:$Z$4000,MATCH($A1164,BBG_Data!$Y$2:$Y$4000,0)),NA()))</f>
        <v/>
      </c>
    </row>
    <row r="1165">
      <c r="A1165" s="17">
        <f>IF(ISNUMBER(BBG_Data!A1165),BBG_Data!A1165,"")</f>
        <v/>
      </c>
      <c r="B1165" s="18">
        <f>IF(AND(ISNUMBER($A1165),ISNUMBER(BBG_Data!B1165)),BBG_Data!B1165,NA())</f>
        <v/>
      </c>
      <c r="C1165" s="18">
        <f>IF(NOT(ISNUMBER($A1165)),NA(),IFERROR(1*INDEX(BBG_Data!$D$2:$D$4000,MATCH($A1165,BBG_Data!$C$2:$C$4000,0)),NA()))</f>
        <v/>
      </c>
      <c r="D1165" s="19">
        <f>IF(NOT(ISNUMBER($A1165)),NA(),IFERROR(1*INDEX(BBG_Data!$F$2:$F$4000,MATCH($A1165,BBG_Data!$E$2:$E$4000,0)),NA()))</f>
        <v/>
      </c>
      <c r="E1165" s="19">
        <f>IF(NOT(ISNUMBER($A1165)),NA(),IFERROR(1*INDEX(BBG_Data!$H$2:$H$4000,MATCH($A1165,BBG_Data!$G$2:$G$4000,0)),NA()))</f>
        <v/>
      </c>
      <c r="F1165" s="20">
        <f>IF(AND(ISNUMBER(B1165),ISNUMBER(B1164)),IF(B1165=B1164,"",(B1165-B1164)*100),"")</f>
        <v/>
      </c>
      <c r="G1165" s="20">
        <f>IF(AND(ISNUMBER(C1165),ISNUMBER(C1164)),IF(C1165=C1164,"",(C1165-C1164)*100),"")</f>
        <v/>
      </c>
      <c r="H1165" s="20">
        <f>IF(OR(NOT(ISNUMBER($A1165)),ROW()-2&lt;Settings!$B$11),NA(),IF(COUNT(OFFSET(F1165,1-Settings!$B$11,0,Settings!$B$11,1))&lt;ROUNDUP(Settings!$B$11*Settings!$B$26,0),NA(),STDEV(OFFSET(F1165,1-Settings!$B$11,0,Settings!$B$11,1))*SQRT(Settings!$B$13)))</f>
        <v/>
      </c>
      <c r="I1165" s="20">
        <f>IF(OR(NOT(ISNUMBER($A1165)),ROW()-2&lt;Settings!$B$12),NA(),IF(COUNT(OFFSET(F1165,1-Settings!$B$12,0,Settings!$B$12,1))&lt;ROUNDUP(Settings!$B$12*Settings!$B$26,0),NA(),STDEV(OFFSET(F1165,1-Settings!$B$12,0,Settings!$B$12,1))*SQRT(Settings!$B$13)))</f>
        <v/>
      </c>
      <c r="J1165" s="20">
        <f>IF(OR(NOT(ISNUMBER($A1165)),ROW()-2&lt;Settings!$B$11),NA(),IF(COUNT(OFFSET(G1165,1-Settings!$B$11,0,Settings!$B$11,1))&lt;ROUNDUP(Settings!$B$11*Settings!$B$26,0),NA(),STDEV(OFFSET(G1165,1-Settings!$B$11,0,Settings!$B$11,1))*SQRT(Settings!$B$13)))</f>
        <v/>
      </c>
      <c r="K1165" s="20">
        <f>IF(OR(NOT(ISNUMBER($A1165)),ROW()-2&lt;Settings!$B$12),NA(),IF(COUNT(OFFSET(G1165,1-Settings!$B$12,0,Settings!$B$12,1))&lt;ROUNDUP(Settings!$B$12*Settings!$B$26,0),NA(),STDEV(OFFSET(G1165,1-Settings!$B$12,0,Settings!$B$12,1))*SQRT(Settings!$B$13)))</f>
        <v/>
      </c>
      <c r="L1165" s="20">
        <f>IF(AND(ISNUMBER(D1165),ISNUMBER(H1165)),D1165-H1165,NA())</f>
        <v/>
      </c>
      <c r="M1165" s="20">
        <f>IF(AND(ISNUMBER(E1165),ISNUMBER(K1165)),E1165-K1165,NA())</f>
        <v/>
      </c>
      <c r="N1165" s="20">
        <f>IF(NOT(ISNUMBER($A1165)),NA(),IF(COUNT(OFFSET(G1165,1,0,Settings!$B$12,1))&lt;ROUNDUP(Settings!$B$12*Settings!$B$26,0),NA(),STDEV(OFFSET(G1165,1,0,Settings!$B$12,1))*SQRT(Settings!$B$13)))</f>
        <v/>
      </c>
      <c r="O1165" s="20">
        <f>IF(AND(ISNUMBER(E1165),ISNUMBER(N1165)),E1165-N1165,NA())</f>
        <v/>
      </c>
      <c r="P1165" s="19">
        <f>IF(NOT(ISNUMBER($A1165)),NA(),IF(OR($A1165&lt;MIN(KW_TP!$A$2:$A$2501),$A1165&gt;MAX(KW_TP!$A$2:$A$2501)),NA(),INDEX(KW_TP!$C$2:$C$2501,MATCH($A1165,KW_TP!$A$2:$A$2501,1))))</f>
        <v/>
      </c>
      <c r="Q1165" s="18">
        <f>IF(NOT(ISNUMBER($A1165)),NA(),IFERROR(1*INDEX(BBG_Data!$J$2:$J$4000,MATCH($A1165,BBG_Data!$I$2:$I$4000,0)),NA()))</f>
        <v/>
      </c>
      <c r="R1165" s="18">
        <f>IF(NOT(ISNUMBER($A1165)),NA(),IFERROR(1*INDEX(BBG_Data!$L$2:$L$4000,MATCH($A1165,BBG_Data!$K$2:$K$4000,0)),NA()))</f>
        <v/>
      </c>
      <c r="S1165" s="20">
        <f>IF(AND(ISNUMBER(B1165),ISNUMBER(Q1165),ISNUMBER(R1165)),(B1165-Q1165-R1165)*100,NA())</f>
        <v/>
      </c>
      <c r="T1165" s="20">
        <f>IF(AND(ISNUMBER(B1165),Settings!$B$17&gt;0),IF(ISNUMBER(INDEX($B:$B,Settings!$B$17)),(B1165-INDEX($B:$B,Settings!$B$17))*100,NA()),NA())</f>
        <v/>
      </c>
      <c r="U1165" s="20">
        <f>IF(AND(ISNUMBER(Q1165),Settings!$B$17&gt;0),IF(ISNUMBER(INDEX($Q:$Q,Settings!$B$17)),(Q1165-INDEX($Q:$Q,Settings!$B$17))*100,NA()),NA())</f>
        <v/>
      </c>
      <c r="V1165" s="20">
        <f>IF(AND(ISNUMBER(R1165),Settings!$B$17&gt;0),IF(ISNUMBER(INDEX($R:$R,Settings!$B$17)),(R1165-INDEX($R:$R,Settings!$B$17))*100,NA()),NA())</f>
        <v/>
      </c>
      <c r="W1165" s="20">
        <f>IF(AND(ISNUMBER(P1165),Settings!$B$17&gt;0),IF(ISNUMBER(INDEX($P:$P,Settings!$B$17)),P1165-INDEX($P:$P,Settings!$B$17),NA()),NA())</f>
        <v/>
      </c>
      <c r="X1165" s="19">
        <f>IF(NOT(ISNUMBER($A1165)),NA(),IF(OR($A1165&lt;MIN(DKW_10Y!$A$2:$A$2918),$A1165&gt;MAX(DKW_10Y!$A$2:$A$2918),Settings!$B$16&lt;MIN(DKW_10Y!$A$2:$A$2918)),NA(),(INDEX(DKW_10Y!$B$2:$B$2918,MATCH($A1165,DKW_10Y!$A$2:$A$2918,1))-INDEX(DKW_10Y!$B$2:$B$2918,MATCH(Settings!$B$16,DKW_10Y!$A$2:$A$2918,1)))*100))</f>
        <v/>
      </c>
      <c r="Y1165" s="19">
        <f>IF(NOT(ISNUMBER($A1165)),NA(),IF(OR($A1165&lt;MIN(DKW_10Y!$A$2:$A$2918),$A1165&gt;MAX(DKW_10Y!$A$2:$A$2918),Settings!$B$16&lt;MIN(DKW_10Y!$A$2:$A$2918)),NA(),(INDEX(DKW_10Y!$C$2:$C$2918,MATCH($A1165,DKW_10Y!$A$2:$A$2918,1))-INDEX(DKW_10Y!$C$2:$C$2918,MATCH(Settings!$B$16,DKW_10Y!$A$2:$A$2918,1)))*100))</f>
        <v/>
      </c>
      <c r="Z1165" s="19">
        <f>IF(NOT(ISNUMBER($A1165)),NA(),IF(OR($A1165&lt;MIN(DKW_10Y!$A$2:$A$2918),$A1165&gt;MAX(DKW_10Y!$A$2:$A$2918),Settings!$B$16&lt;MIN(DKW_10Y!$A$2:$A$2918)),NA(),(INDEX(DKW_10Y!$D$2:$D$2918,MATCH($A1165,DKW_10Y!$A$2:$A$2918,1))-INDEX(DKW_10Y!$D$2:$D$2918,MATCH(Settings!$B$16,DKW_10Y!$A$2:$A$2918,1)))*100))</f>
        <v/>
      </c>
      <c r="AA1165" s="19">
        <f>IF(NOT(ISNUMBER($A1165)),NA(),IF(OR($A1165&lt;MIN(DKW_10Y!$A$2:$A$2918),$A1165&gt;MAX(DKW_10Y!$A$2:$A$2918),Settings!$B$16&lt;MIN(DKW_10Y!$A$2:$A$2918)),NA(),(INDEX(DKW_10Y!$E$2:$E$2918,MATCH($A1165,DKW_10Y!$A$2:$A$2918,1))-INDEX(DKW_10Y!$E$2:$E$2918,MATCH(Settings!$B$16,DKW_10Y!$A$2:$A$2918,1)))*100))</f>
        <v/>
      </c>
      <c r="AB1165" s="19">
        <f>IF(NOT(ISNUMBER($A1165)),NA(),IF(OR($A1165&lt;MIN(DKW_10Y!$A$2:$A$2918),$A1165&gt;MAX(DKW_10Y!$A$2:$A$2918),Settings!$B$16&lt;MIN(DKW_10Y!$A$2:$A$2918)),NA(),(INDEX(DKW_10Y!$H$2:$H$2918,MATCH($A1165,DKW_10Y!$A$2:$A$2918,1))-INDEX(DKW_10Y!$H$2:$H$2918,MATCH(Settings!$B$16,DKW_10Y!$A$2:$A$2918,1)))*100))</f>
        <v/>
      </c>
      <c r="AC1165" s="18">
        <f>IF(NOT(ISNUMBER($A1165)),NA(),IFERROR(1*INDEX(BBG_Data!$N$2:$N$4000,MATCH($A1165,BBG_Data!$M$2:$M$4000,0)),NA()))</f>
        <v/>
      </c>
      <c r="AD1165" s="18">
        <f>IF(NOT(ISNUMBER($A1165)),NA(),IFERROR(1*INDEX(BBG_Data!$P$2:$P$4000,MATCH($A1165,BBG_Data!$O$2:$O$4000,0)),NA()))</f>
        <v/>
      </c>
      <c r="AE1165" s="18">
        <f>IF(NOT(ISNUMBER($A1165)),NA(),IFERROR(1*INDEX(BBG_Data!$R$2:$R$4000,MATCH($A1165,BBG_Data!$Q$2:$Q$4000,0)),NA()))</f>
        <v/>
      </c>
      <c r="AF1165" s="20">
        <f>IF(AND(ISNUMBER(B1165),ISNUMBER(AC1165)),(B1165-AC1165)*100,NA())</f>
        <v/>
      </c>
      <c r="AG1165" s="20">
        <f>IF(AND(ISNUMBER(AE1165),ISNUMBER(AD1165)),(AE1165-AD1165)*100,NA())</f>
        <v/>
      </c>
      <c r="AH1165" s="19">
        <f>IF(NOT(ISNUMBER($A1165)),NA(),IFERROR(INDEX(BBG_Data!$T$2:$T$4000,MATCH($A1165,BBG_Data!$S$2:$S$4000,0))*Settings!$B$25,NA()))</f>
        <v/>
      </c>
      <c r="AI1165" s="19">
        <f>IF(NOT(ISNUMBER($A1165)),NA(),IFERROR(INDEX(BBG_Data!$V$2:$V$4000,MATCH($A1165,BBG_Data!$U$2:$U$4000,0))*Settings!$B$25,NA()))</f>
        <v/>
      </c>
      <c r="AJ1165" s="19">
        <f>IF(NOT(ISNUMBER($A1165)),NA(),IFERROR(1*INDEX(BBG_Data!$X$2:$X$4000,MATCH($A1165,BBG_Data!$W$2:$W$4000,0)),NA()))</f>
        <v/>
      </c>
      <c r="AK1165" s="19">
        <f>IF(NOT(ISNUMBER($A1165)),NA(),IFERROR(1*INDEX(BBG_Data!$Z$2:$Z$4000,MATCH($A1165,BBG_Data!$Y$2:$Y$4000,0)),NA()))</f>
        <v/>
      </c>
    </row>
    <row r="1166">
      <c r="A1166" s="17">
        <f>IF(ISNUMBER(BBG_Data!A1166),BBG_Data!A1166,"")</f>
        <v/>
      </c>
      <c r="B1166" s="18">
        <f>IF(AND(ISNUMBER($A1166),ISNUMBER(BBG_Data!B1166)),BBG_Data!B1166,NA())</f>
        <v/>
      </c>
      <c r="C1166" s="18">
        <f>IF(NOT(ISNUMBER($A1166)),NA(),IFERROR(1*INDEX(BBG_Data!$D$2:$D$4000,MATCH($A1166,BBG_Data!$C$2:$C$4000,0)),NA()))</f>
        <v/>
      </c>
      <c r="D1166" s="19">
        <f>IF(NOT(ISNUMBER($A1166)),NA(),IFERROR(1*INDEX(BBG_Data!$F$2:$F$4000,MATCH($A1166,BBG_Data!$E$2:$E$4000,0)),NA()))</f>
        <v/>
      </c>
      <c r="E1166" s="19">
        <f>IF(NOT(ISNUMBER($A1166)),NA(),IFERROR(1*INDEX(BBG_Data!$H$2:$H$4000,MATCH($A1166,BBG_Data!$G$2:$G$4000,0)),NA()))</f>
        <v/>
      </c>
      <c r="F1166" s="20">
        <f>IF(AND(ISNUMBER(B1166),ISNUMBER(B1165)),IF(B1166=B1165,"",(B1166-B1165)*100),"")</f>
        <v/>
      </c>
      <c r="G1166" s="20">
        <f>IF(AND(ISNUMBER(C1166),ISNUMBER(C1165)),IF(C1166=C1165,"",(C1166-C1165)*100),"")</f>
        <v/>
      </c>
      <c r="H1166" s="20">
        <f>IF(OR(NOT(ISNUMBER($A1166)),ROW()-2&lt;Settings!$B$11),NA(),IF(COUNT(OFFSET(F1166,1-Settings!$B$11,0,Settings!$B$11,1))&lt;ROUNDUP(Settings!$B$11*Settings!$B$26,0),NA(),STDEV(OFFSET(F1166,1-Settings!$B$11,0,Settings!$B$11,1))*SQRT(Settings!$B$13)))</f>
        <v/>
      </c>
      <c r="I1166" s="20">
        <f>IF(OR(NOT(ISNUMBER($A1166)),ROW()-2&lt;Settings!$B$12),NA(),IF(COUNT(OFFSET(F1166,1-Settings!$B$12,0,Settings!$B$12,1))&lt;ROUNDUP(Settings!$B$12*Settings!$B$26,0),NA(),STDEV(OFFSET(F1166,1-Settings!$B$12,0,Settings!$B$12,1))*SQRT(Settings!$B$13)))</f>
        <v/>
      </c>
      <c r="J1166" s="20">
        <f>IF(OR(NOT(ISNUMBER($A1166)),ROW()-2&lt;Settings!$B$11),NA(),IF(COUNT(OFFSET(G1166,1-Settings!$B$11,0,Settings!$B$11,1))&lt;ROUNDUP(Settings!$B$11*Settings!$B$26,0),NA(),STDEV(OFFSET(G1166,1-Settings!$B$11,0,Settings!$B$11,1))*SQRT(Settings!$B$13)))</f>
        <v/>
      </c>
      <c r="K1166" s="20">
        <f>IF(OR(NOT(ISNUMBER($A1166)),ROW()-2&lt;Settings!$B$12),NA(),IF(COUNT(OFFSET(G1166,1-Settings!$B$12,0,Settings!$B$12,1))&lt;ROUNDUP(Settings!$B$12*Settings!$B$26,0),NA(),STDEV(OFFSET(G1166,1-Settings!$B$12,0,Settings!$B$12,1))*SQRT(Settings!$B$13)))</f>
        <v/>
      </c>
      <c r="L1166" s="20">
        <f>IF(AND(ISNUMBER(D1166),ISNUMBER(H1166)),D1166-H1166,NA())</f>
        <v/>
      </c>
      <c r="M1166" s="20">
        <f>IF(AND(ISNUMBER(E1166),ISNUMBER(K1166)),E1166-K1166,NA())</f>
        <v/>
      </c>
      <c r="N1166" s="20">
        <f>IF(NOT(ISNUMBER($A1166)),NA(),IF(COUNT(OFFSET(G1166,1,0,Settings!$B$12,1))&lt;ROUNDUP(Settings!$B$12*Settings!$B$26,0),NA(),STDEV(OFFSET(G1166,1,0,Settings!$B$12,1))*SQRT(Settings!$B$13)))</f>
        <v/>
      </c>
      <c r="O1166" s="20">
        <f>IF(AND(ISNUMBER(E1166),ISNUMBER(N1166)),E1166-N1166,NA())</f>
        <v/>
      </c>
      <c r="P1166" s="19">
        <f>IF(NOT(ISNUMBER($A1166)),NA(),IF(OR($A1166&lt;MIN(KW_TP!$A$2:$A$2501),$A1166&gt;MAX(KW_TP!$A$2:$A$2501)),NA(),INDEX(KW_TP!$C$2:$C$2501,MATCH($A1166,KW_TP!$A$2:$A$2501,1))))</f>
        <v/>
      </c>
      <c r="Q1166" s="18">
        <f>IF(NOT(ISNUMBER($A1166)),NA(),IFERROR(1*INDEX(BBG_Data!$J$2:$J$4000,MATCH($A1166,BBG_Data!$I$2:$I$4000,0)),NA()))</f>
        <v/>
      </c>
      <c r="R1166" s="18">
        <f>IF(NOT(ISNUMBER($A1166)),NA(),IFERROR(1*INDEX(BBG_Data!$L$2:$L$4000,MATCH($A1166,BBG_Data!$K$2:$K$4000,0)),NA()))</f>
        <v/>
      </c>
      <c r="S1166" s="20">
        <f>IF(AND(ISNUMBER(B1166),ISNUMBER(Q1166),ISNUMBER(R1166)),(B1166-Q1166-R1166)*100,NA())</f>
        <v/>
      </c>
      <c r="T1166" s="20">
        <f>IF(AND(ISNUMBER(B1166),Settings!$B$17&gt;0),IF(ISNUMBER(INDEX($B:$B,Settings!$B$17)),(B1166-INDEX($B:$B,Settings!$B$17))*100,NA()),NA())</f>
        <v/>
      </c>
      <c r="U1166" s="20">
        <f>IF(AND(ISNUMBER(Q1166),Settings!$B$17&gt;0),IF(ISNUMBER(INDEX($Q:$Q,Settings!$B$17)),(Q1166-INDEX($Q:$Q,Settings!$B$17))*100,NA()),NA())</f>
        <v/>
      </c>
      <c r="V1166" s="20">
        <f>IF(AND(ISNUMBER(R1166),Settings!$B$17&gt;0),IF(ISNUMBER(INDEX($R:$R,Settings!$B$17)),(R1166-INDEX($R:$R,Settings!$B$17))*100,NA()),NA())</f>
        <v/>
      </c>
      <c r="W1166" s="20">
        <f>IF(AND(ISNUMBER(P1166),Settings!$B$17&gt;0),IF(ISNUMBER(INDEX($P:$P,Settings!$B$17)),P1166-INDEX($P:$P,Settings!$B$17),NA()),NA())</f>
        <v/>
      </c>
      <c r="X1166" s="19">
        <f>IF(NOT(ISNUMBER($A1166)),NA(),IF(OR($A1166&lt;MIN(DKW_10Y!$A$2:$A$2918),$A1166&gt;MAX(DKW_10Y!$A$2:$A$2918),Settings!$B$16&lt;MIN(DKW_10Y!$A$2:$A$2918)),NA(),(INDEX(DKW_10Y!$B$2:$B$2918,MATCH($A1166,DKW_10Y!$A$2:$A$2918,1))-INDEX(DKW_10Y!$B$2:$B$2918,MATCH(Settings!$B$16,DKW_10Y!$A$2:$A$2918,1)))*100))</f>
        <v/>
      </c>
      <c r="Y1166" s="19">
        <f>IF(NOT(ISNUMBER($A1166)),NA(),IF(OR($A1166&lt;MIN(DKW_10Y!$A$2:$A$2918),$A1166&gt;MAX(DKW_10Y!$A$2:$A$2918),Settings!$B$16&lt;MIN(DKW_10Y!$A$2:$A$2918)),NA(),(INDEX(DKW_10Y!$C$2:$C$2918,MATCH($A1166,DKW_10Y!$A$2:$A$2918,1))-INDEX(DKW_10Y!$C$2:$C$2918,MATCH(Settings!$B$16,DKW_10Y!$A$2:$A$2918,1)))*100))</f>
        <v/>
      </c>
      <c r="Z1166" s="19">
        <f>IF(NOT(ISNUMBER($A1166)),NA(),IF(OR($A1166&lt;MIN(DKW_10Y!$A$2:$A$2918),$A1166&gt;MAX(DKW_10Y!$A$2:$A$2918),Settings!$B$16&lt;MIN(DKW_10Y!$A$2:$A$2918)),NA(),(INDEX(DKW_10Y!$D$2:$D$2918,MATCH($A1166,DKW_10Y!$A$2:$A$2918,1))-INDEX(DKW_10Y!$D$2:$D$2918,MATCH(Settings!$B$16,DKW_10Y!$A$2:$A$2918,1)))*100))</f>
        <v/>
      </c>
      <c r="AA1166" s="19">
        <f>IF(NOT(ISNUMBER($A1166)),NA(),IF(OR($A1166&lt;MIN(DKW_10Y!$A$2:$A$2918),$A1166&gt;MAX(DKW_10Y!$A$2:$A$2918),Settings!$B$16&lt;MIN(DKW_10Y!$A$2:$A$2918)),NA(),(INDEX(DKW_10Y!$E$2:$E$2918,MATCH($A1166,DKW_10Y!$A$2:$A$2918,1))-INDEX(DKW_10Y!$E$2:$E$2918,MATCH(Settings!$B$16,DKW_10Y!$A$2:$A$2918,1)))*100))</f>
        <v/>
      </c>
      <c r="AB1166" s="19">
        <f>IF(NOT(ISNUMBER($A1166)),NA(),IF(OR($A1166&lt;MIN(DKW_10Y!$A$2:$A$2918),$A1166&gt;MAX(DKW_10Y!$A$2:$A$2918),Settings!$B$16&lt;MIN(DKW_10Y!$A$2:$A$2918)),NA(),(INDEX(DKW_10Y!$H$2:$H$2918,MATCH($A1166,DKW_10Y!$A$2:$A$2918,1))-INDEX(DKW_10Y!$H$2:$H$2918,MATCH(Settings!$B$16,DKW_10Y!$A$2:$A$2918,1)))*100))</f>
        <v/>
      </c>
      <c r="AC1166" s="18">
        <f>IF(NOT(ISNUMBER($A1166)),NA(),IFERROR(1*INDEX(BBG_Data!$N$2:$N$4000,MATCH($A1166,BBG_Data!$M$2:$M$4000,0)),NA()))</f>
        <v/>
      </c>
      <c r="AD1166" s="18">
        <f>IF(NOT(ISNUMBER($A1166)),NA(),IFERROR(1*INDEX(BBG_Data!$P$2:$P$4000,MATCH($A1166,BBG_Data!$O$2:$O$4000,0)),NA()))</f>
        <v/>
      </c>
      <c r="AE1166" s="18">
        <f>IF(NOT(ISNUMBER($A1166)),NA(),IFERROR(1*INDEX(BBG_Data!$R$2:$R$4000,MATCH($A1166,BBG_Data!$Q$2:$Q$4000,0)),NA()))</f>
        <v/>
      </c>
      <c r="AF1166" s="20">
        <f>IF(AND(ISNUMBER(B1166),ISNUMBER(AC1166)),(B1166-AC1166)*100,NA())</f>
        <v/>
      </c>
      <c r="AG1166" s="20">
        <f>IF(AND(ISNUMBER(AE1166),ISNUMBER(AD1166)),(AE1166-AD1166)*100,NA())</f>
        <v/>
      </c>
      <c r="AH1166" s="19">
        <f>IF(NOT(ISNUMBER($A1166)),NA(),IFERROR(INDEX(BBG_Data!$T$2:$T$4000,MATCH($A1166,BBG_Data!$S$2:$S$4000,0))*Settings!$B$25,NA()))</f>
        <v/>
      </c>
      <c r="AI1166" s="19">
        <f>IF(NOT(ISNUMBER($A1166)),NA(),IFERROR(INDEX(BBG_Data!$V$2:$V$4000,MATCH($A1166,BBG_Data!$U$2:$U$4000,0))*Settings!$B$25,NA()))</f>
        <v/>
      </c>
      <c r="AJ1166" s="19">
        <f>IF(NOT(ISNUMBER($A1166)),NA(),IFERROR(1*INDEX(BBG_Data!$X$2:$X$4000,MATCH($A1166,BBG_Data!$W$2:$W$4000,0)),NA()))</f>
        <v/>
      </c>
      <c r="AK1166" s="19">
        <f>IF(NOT(ISNUMBER($A1166)),NA(),IFERROR(1*INDEX(BBG_Data!$Z$2:$Z$4000,MATCH($A1166,BBG_Data!$Y$2:$Y$4000,0)),NA()))</f>
        <v/>
      </c>
    </row>
    <row r="1167">
      <c r="A1167" s="17">
        <f>IF(ISNUMBER(BBG_Data!A1167),BBG_Data!A1167,"")</f>
        <v/>
      </c>
      <c r="B1167" s="18">
        <f>IF(AND(ISNUMBER($A1167),ISNUMBER(BBG_Data!B1167)),BBG_Data!B1167,NA())</f>
        <v/>
      </c>
      <c r="C1167" s="18">
        <f>IF(NOT(ISNUMBER($A1167)),NA(),IFERROR(1*INDEX(BBG_Data!$D$2:$D$4000,MATCH($A1167,BBG_Data!$C$2:$C$4000,0)),NA()))</f>
        <v/>
      </c>
      <c r="D1167" s="19">
        <f>IF(NOT(ISNUMBER($A1167)),NA(),IFERROR(1*INDEX(BBG_Data!$F$2:$F$4000,MATCH($A1167,BBG_Data!$E$2:$E$4000,0)),NA()))</f>
        <v/>
      </c>
      <c r="E1167" s="19">
        <f>IF(NOT(ISNUMBER($A1167)),NA(),IFERROR(1*INDEX(BBG_Data!$H$2:$H$4000,MATCH($A1167,BBG_Data!$G$2:$G$4000,0)),NA()))</f>
        <v/>
      </c>
      <c r="F1167" s="20">
        <f>IF(AND(ISNUMBER(B1167),ISNUMBER(B1166)),IF(B1167=B1166,"",(B1167-B1166)*100),"")</f>
        <v/>
      </c>
      <c r="G1167" s="20">
        <f>IF(AND(ISNUMBER(C1167),ISNUMBER(C1166)),IF(C1167=C1166,"",(C1167-C1166)*100),"")</f>
        <v/>
      </c>
      <c r="H1167" s="20">
        <f>IF(OR(NOT(ISNUMBER($A1167)),ROW()-2&lt;Settings!$B$11),NA(),IF(COUNT(OFFSET(F1167,1-Settings!$B$11,0,Settings!$B$11,1))&lt;ROUNDUP(Settings!$B$11*Settings!$B$26,0),NA(),STDEV(OFFSET(F1167,1-Settings!$B$11,0,Settings!$B$11,1))*SQRT(Settings!$B$13)))</f>
        <v/>
      </c>
      <c r="I1167" s="20">
        <f>IF(OR(NOT(ISNUMBER($A1167)),ROW()-2&lt;Settings!$B$12),NA(),IF(COUNT(OFFSET(F1167,1-Settings!$B$12,0,Settings!$B$12,1))&lt;ROUNDUP(Settings!$B$12*Settings!$B$26,0),NA(),STDEV(OFFSET(F1167,1-Settings!$B$12,0,Settings!$B$12,1))*SQRT(Settings!$B$13)))</f>
        <v/>
      </c>
      <c r="J1167" s="20">
        <f>IF(OR(NOT(ISNUMBER($A1167)),ROW()-2&lt;Settings!$B$11),NA(),IF(COUNT(OFFSET(G1167,1-Settings!$B$11,0,Settings!$B$11,1))&lt;ROUNDUP(Settings!$B$11*Settings!$B$26,0),NA(),STDEV(OFFSET(G1167,1-Settings!$B$11,0,Settings!$B$11,1))*SQRT(Settings!$B$13)))</f>
        <v/>
      </c>
      <c r="K1167" s="20">
        <f>IF(OR(NOT(ISNUMBER($A1167)),ROW()-2&lt;Settings!$B$12),NA(),IF(COUNT(OFFSET(G1167,1-Settings!$B$12,0,Settings!$B$12,1))&lt;ROUNDUP(Settings!$B$12*Settings!$B$26,0),NA(),STDEV(OFFSET(G1167,1-Settings!$B$12,0,Settings!$B$12,1))*SQRT(Settings!$B$13)))</f>
        <v/>
      </c>
      <c r="L1167" s="20">
        <f>IF(AND(ISNUMBER(D1167),ISNUMBER(H1167)),D1167-H1167,NA())</f>
        <v/>
      </c>
      <c r="M1167" s="20">
        <f>IF(AND(ISNUMBER(E1167),ISNUMBER(K1167)),E1167-K1167,NA())</f>
        <v/>
      </c>
      <c r="N1167" s="20">
        <f>IF(NOT(ISNUMBER($A1167)),NA(),IF(COUNT(OFFSET(G1167,1,0,Settings!$B$12,1))&lt;ROUNDUP(Settings!$B$12*Settings!$B$26,0),NA(),STDEV(OFFSET(G1167,1,0,Settings!$B$12,1))*SQRT(Settings!$B$13)))</f>
        <v/>
      </c>
      <c r="O1167" s="20">
        <f>IF(AND(ISNUMBER(E1167),ISNUMBER(N1167)),E1167-N1167,NA())</f>
        <v/>
      </c>
      <c r="P1167" s="19">
        <f>IF(NOT(ISNUMBER($A1167)),NA(),IF(OR($A1167&lt;MIN(KW_TP!$A$2:$A$2501),$A1167&gt;MAX(KW_TP!$A$2:$A$2501)),NA(),INDEX(KW_TP!$C$2:$C$2501,MATCH($A1167,KW_TP!$A$2:$A$2501,1))))</f>
        <v/>
      </c>
      <c r="Q1167" s="18">
        <f>IF(NOT(ISNUMBER($A1167)),NA(),IFERROR(1*INDEX(BBG_Data!$J$2:$J$4000,MATCH($A1167,BBG_Data!$I$2:$I$4000,0)),NA()))</f>
        <v/>
      </c>
      <c r="R1167" s="18">
        <f>IF(NOT(ISNUMBER($A1167)),NA(),IFERROR(1*INDEX(BBG_Data!$L$2:$L$4000,MATCH($A1167,BBG_Data!$K$2:$K$4000,0)),NA()))</f>
        <v/>
      </c>
      <c r="S1167" s="20">
        <f>IF(AND(ISNUMBER(B1167),ISNUMBER(Q1167),ISNUMBER(R1167)),(B1167-Q1167-R1167)*100,NA())</f>
        <v/>
      </c>
      <c r="T1167" s="20">
        <f>IF(AND(ISNUMBER(B1167),Settings!$B$17&gt;0),IF(ISNUMBER(INDEX($B:$B,Settings!$B$17)),(B1167-INDEX($B:$B,Settings!$B$17))*100,NA()),NA())</f>
        <v/>
      </c>
      <c r="U1167" s="20">
        <f>IF(AND(ISNUMBER(Q1167),Settings!$B$17&gt;0),IF(ISNUMBER(INDEX($Q:$Q,Settings!$B$17)),(Q1167-INDEX($Q:$Q,Settings!$B$17))*100,NA()),NA())</f>
        <v/>
      </c>
      <c r="V1167" s="20">
        <f>IF(AND(ISNUMBER(R1167),Settings!$B$17&gt;0),IF(ISNUMBER(INDEX($R:$R,Settings!$B$17)),(R1167-INDEX($R:$R,Settings!$B$17))*100,NA()),NA())</f>
        <v/>
      </c>
      <c r="W1167" s="20">
        <f>IF(AND(ISNUMBER(P1167),Settings!$B$17&gt;0),IF(ISNUMBER(INDEX($P:$P,Settings!$B$17)),P1167-INDEX($P:$P,Settings!$B$17),NA()),NA())</f>
        <v/>
      </c>
      <c r="X1167" s="19">
        <f>IF(NOT(ISNUMBER($A1167)),NA(),IF(OR($A1167&lt;MIN(DKW_10Y!$A$2:$A$2918),$A1167&gt;MAX(DKW_10Y!$A$2:$A$2918),Settings!$B$16&lt;MIN(DKW_10Y!$A$2:$A$2918)),NA(),(INDEX(DKW_10Y!$B$2:$B$2918,MATCH($A1167,DKW_10Y!$A$2:$A$2918,1))-INDEX(DKW_10Y!$B$2:$B$2918,MATCH(Settings!$B$16,DKW_10Y!$A$2:$A$2918,1)))*100))</f>
        <v/>
      </c>
      <c r="Y1167" s="19">
        <f>IF(NOT(ISNUMBER($A1167)),NA(),IF(OR($A1167&lt;MIN(DKW_10Y!$A$2:$A$2918),$A1167&gt;MAX(DKW_10Y!$A$2:$A$2918),Settings!$B$16&lt;MIN(DKW_10Y!$A$2:$A$2918)),NA(),(INDEX(DKW_10Y!$C$2:$C$2918,MATCH($A1167,DKW_10Y!$A$2:$A$2918,1))-INDEX(DKW_10Y!$C$2:$C$2918,MATCH(Settings!$B$16,DKW_10Y!$A$2:$A$2918,1)))*100))</f>
        <v/>
      </c>
      <c r="Z1167" s="19">
        <f>IF(NOT(ISNUMBER($A1167)),NA(),IF(OR($A1167&lt;MIN(DKW_10Y!$A$2:$A$2918),$A1167&gt;MAX(DKW_10Y!$A$2:$A$2918),Settings!$B$16&lt;MIN(DKW_10Y!$A$2:$A$2918)),NA(),(INDEX(DKW_10Y!$D$2:$D$2918,MATCH($A1167,DKW_10Y!$A$2:$A$2918,1))-INDEX(DKW_10Y!$D$2:$D$2918,MATCH(Settings!$B$16,DKW_10Y!$A$2:$A$2918,1)))*100))</f>
        <v/>
      </c>
      <c r="AA1167" s="19">
        <f>IF(NOT(ISNUMBER($A1167)),NA(),IF(OR($A1167&lt;MIN(DKW_10Y!$A$2:$A$2918),$A1167&gt;MAX(DKW_10Y!$A$2:$A$2918),Settings!$B$16&lt;MIN(DKW_10Y!$A$2:$A$2918)),NA(),(INDEX(DKW_10Y!$E$2:$E$2918,MATCH($A1167,DKW_10Y!$A$2:$A$2918,1))-INDEX(DKW_10Y!$E$2:$E$2918,MATCH(Settings!$B$16,DKW_10Y!$A$2:$A$2918,1)))*100))</f>
        <v/>
      </c>
      <c r="AB1167" s="19">
        <f>IF(NOT(ISNUMBER($A1167)),NA(),IF(OR($A1167&lt;MIN(DKW_10Y!$A$2:$A$2918),$A1167&gt;MAX(DKW_10Y!$A$2:$A$2918),Settings!$B$16&lt;MIN(DKW_10Y!$A$2:$A$2918)),NA(),(INDEX(DKW_10Y!$H$2:$H$2918,MATCH($A1167,DKW_10Y!$A$2:$A$2918,1))-INDEX(DKW_10Y!$H$2:$H$2918,MATCH(Settings!$B$16,DKW_10Y!$A$2:$A$2918,1)))*100))</f>
        <v/>
      </c>
      <c r="AC1167" s="18">
        <f>IF(NOT(ISNUMBER($A1167)),NA(),IFERROR(1*INDEX(BBG_Data!$N$2:$N$4000,MATCH($A1167,BBG_Data!$M$2:$M$4000,0)),NA()))</f>
        <v/>
      </c>
      <c r="AD1167" s="18">
        <f>IF(NOT(ISNUMBER($A1167)),NA(),IFERROR(1*INDEX(BBG_Data!$P$2:$P$4000,MATCH($A1167,BBG_Data!$O$2:$O$4000,0)),NA()))</f>
        <v/>
      </c>
      <c r="AE1167" s="18">
        <f>IF(NOT(ISNUMBER($A1167)),NA(),IFERROR(1*INDEX(BBG_Data!$R$2:$R$4000,MATCH($A1167,BBG_Data!$Q$2:$Q$4000,0)),NA()))</f>
        <v/>
      </c>
      <c r="AF1167" s="20">
        <f>IF(AND(ISNUMBER(B1167),ISNUMBER(AC1167)),(B1167-AC1167)*100,NA())</f>
        <v/>
      </c>
      <c r="AG1167" s="20">
        <f>IF(AND(ISNUMBER(AE1167),ISNUMBER(AD1167)),(AE1167-AD1167)*100,NA())</f>
        <v/>
      </c>
      <c r="AH1167" s="19">
        <f>IF(NOT(ISNUMBER($A1167)),NA(),IFERROR(INDEX(BBG_Data!$T$2:$T$4000,MATCH($A1167,BBG_Data!$S$2:$S$4000,0))*Settings!$B$25,NA()))</f>
        <v/>
      </c>
      <c r="AI1167" s="19">
        <f>IF(NOT(ISNUMBER($A1167)),NA(),IFERROR(INDEX(BBG_Data!$V$2:$V$4000,MATCH($A1167,BBG_Data!$U$2:$U$4000,0))*Settings!$B$25,NA()))</f>
        <v/>
      </c>
      <c r="AJ1167" s="19">
        <f>IF(NOT(ISNUMBER($A1167)),NA(),IFERROR(1*INDEX(BBG_Data!$X$2:$X$4000,MATCH($A1167,BBG_Data!$W$2:$W$4000,0)),NA()))</f>
        <v/>
      </c>
      <c r="AK1167" s="19">
        <f>IF(NOT(ISNUMBER($A1167)),NA(),IFERROR(1*INDEX(BBG_Data!$Z$2:$Z$4000,MATCH($A1167,BBG_Data!$Y$2:$Y$4000,0)),NA()))</f>
        <v/>
      </c>
    </row>
    <row r="1168">
      <c r="A1168" s="17">
        <f>IF(ISNUMBER(BBG_Data!A1168),BBG_Data!A1168,"")</f>
        <v/>
      </c>
      <c r="B1168" s="18">
        <f>IF(AND(ISNUMBER($A1168),ISNUMBER(BBG_Data!B1168)),BBG_Data!B1168,NA())</f>
        <v/>
      </c>
      <c r="C1168" s="18">
        <f>IF(NOT(ISNUMBER($A1168)),NA(),IFERROR(1*INDEX(BBG_Data!$D$2:$D$4000,MATCH($A1168,BBG_Data!$C$2:$C$4000,0)),NA()))</f>
        <v/>
      </c>
      <c r="D1168" s="19">
        <f>IF(NOT(ISNUMBER($A1168)),NA(),IFERROR(1*INDEX(BBG_Data!$F$2:$F$4000,MATCH($A1168,BBG_Data!$E$2:$E$4000,0)),NA()))</f>
        <v/>
      </c>
      <c r="E1168" s="19">
        <f>IF(NOT(ISNUMBER($A1168)),NA(),IFERROR(1*INDEX(BBG_Data!$H$2:$H$4000,MATCH($A1168,BBG_Data!$G$2:$G$4000,0)),NA()))</f>
        <v/>
      </c>
      <c r="F1168" s="20">
        <f>IF(AND(ISNUMBER(B1168),ISNUMBER(B1167)),IF(B1168=B1167,"",(B1168-B1167)*100),"")</f>
        <v/>
      </c>
      <c r="G1168" s="20">
        <f>IF(AND(ISNUMBER(C1168),ISNUMBER(C1167)),IF(C1168=C1167,"",(C1168-C1167)*100),"")</f>
        <v/>
      </c>
      <c r="H1168" s="20">
        <f>IF(OR(NOT(ISNUMBER($A1168)),ROW()-2&lt;Settings!$B$11),NA(),IF(COUNT(OFFSET(F1168,1-Settings!$B$11,0,Settings!$B$11,1))&lt;ROUNDUP(Settings!$B$11*Settings!$B$26,0),NA(),STDEV(OFFSET(F1168,1-Settings!$B$11,0,Settings!$B$11,1))*SQRT(Settings!$B$13)))</f>
        <v/>
      </c>
      <c r="I1168" s="20">
        <f>IF(OR(NOT(ISNUMBER($A1168)),ROW()-2&lt;Settings!$B$12),NA(),IF(COUNT(OFFSET(F1168,1-Settings!$B$12,0,Settings!$B$12,1))&lt;ROUNDUP(Settings!$B$12*Settings!$B$26,0),NA(),STDEV(OFFSET(F1168,1-Settings!$B$12,0,Settings!$B$12,1))*SQRT(Settings!$B$13)))</f>
        <v/>
      </c>
      <c r="J1168" s="20">
        <f>IF(OR(NOT(ISNUMBER($A1168)),ROW()-2&lt;Settings!$B$11),NA(),IF(COUNT(OFFSET(G1168,1-Settings!$B$11,0,Settings!$B$11,1))&lt;ROUNDUP(Settings!$B$11*Settings!$B$26,0),NA(),STDEV(OFFSET(G1168,1-Settings!$B$11,0,Settings!$B$11,1))*SQRT(Settings!$B$13)))</f>
        <v/>
      </c>
      <c r="K1168" s="20">
        <f>IF(OR(NOT(ISNUMBER($A1168)),ROW()-2&lt;Settings!$B$12),NA(),IF(COUNT(OFFSET(G1168,1-Settings!$B$12,0,Settings!$B$12,1))&lt;ROUNDUP(Settings!$B$12*Settings!$B$26,0),NA(),STDEV(OFFSET(G1168,1-Settings!$B$12,0,Settings!$B$12,1))*SQRT(Settings!$B$13)))</f>
        <v/>
      </c>
      <c r="L1168" s="20">
        <f>IF(AND(ISNUMBER(D1168),ISNUMBER(H1168)),D1168-H1168,NA())</f>
        <v/>
      </c>
      <c r="M1168" s="20">
        <f>IF(AND(ISNUMBER(E1168),ISNUMBER(K1168)),E1168-K1168,NA())</f>
        <v/>
      </c>
      <c r="N1168" s="20">
        <f>IF(NOT(ISNUMBER($A1168)),NA(),IF(COUNT(OFFSET(G1168,1,0,Settings!$B$12,1))&lt;ROUNDUP(Settings!$B$12*Settings!$B$26,0),NA(),STDEV(OFFSET(G1168,1,0,Settings!$B$12,1))*SQRT(Settings!$B$13)))</f>
        <v/>
      </c>
      <c r="O1168" s="20">
        <f>IF(AND(ISNUMBER(E1168),ISNUMBER(N1168)),E1168-N1168,NA())</f>
        <v/>
      </c>
      <c r="P1168" s="19">
        <f>IF(NOT(ISNUMBER($A1168)),NA(),IF(OR($A1168&lt;MIN(KW_TP!$A$2:$A$2501),$A1168&gt;MAX(KW_TP!$A$2:$A$2501)),NA(),INDEX(KW_TP!$C$2:$C$2501,MATCH($A1168,KW_TP!$A$2:$A$2501,1))))</f>
        <v/>
      </c>
      <c r="Q1168" s="18">
        <f>IF(NOT(ISNUMBER($A1168)),NA(),IFERROR(1*INDEX(BBG_Data!$J$2:$J$4000,MATCH($A1168,BBG_Data!$I$2:$I$4000,0)),NA()))</f>
        <v/>
      </c>
      <c r="R1168" s="18">
        <f>IF(NOT(ISNUMBER($A1168)),NA(),IFERROR(1*INDEX(BBG_Data!$L$2:$L$4000,MATCH($A1168,BBG_Data!$K$2:$K$4000,0)),NA()))</f>
        <v/>
      </c>
      <c r="S1168" s="20">
        <f>IF(AND(ISNUMBER(B1168),ISNUMBER(Q1168),ISNUMBER(R1168)),(B1168-Q1168-R1168)*100,NA())</f>
        <v/>
      </c>
      <c r="T1168" s="20">
        <f>IF(AND(ISNUMBER(B1168),Settings!$B$17&gt;0),IF(ISNUMBER(INDEX($B:$B,Settings!$B$17)),(B1168-INDEX($B:$B,Settings!$B$17))*100,NA()),NA())</f>
        <v/>
      </c>
      <c r="U1168" s="20">
        <f>IF(AND(ISNUMBER(Q1168),Settings!$B$17&gt;0),IF(ISNUMBER(INDEX($Q:$Q,Settings!$B$17)),(Q1168-INDEX($Q:$Q,Settings!$B$17))*100,NA()),NA())</f>
        <v/>
      </c>
      <c r="V1168" s="20">
        <f>IF(AND(ISNUMBER(R1168),Settings!$B$17&gt;0),IF(ISNUMBER(INDEX($R:$R,Settings!$B$17)),(R1168-INDEX($R:$R,Settings!$B$17))*100,NA()),NA())</f>
        <v/>
      </c>
      <c r="W1168" s="20">
        <f>IF(AND(ISNUMBER(P1168),Settings!$B$17&gt;0),IF(ISNUMBER(INDEX($P:$P,Settings!$B$17)),P1168-INDEX($P:$P,Settings!$B$17),NA()),NA())</f>
        <v/>
      </c>
      <c r="X1168" s="19">
        <f>IF(NOT(ISNUMBER($A1168)),NA(),IF(OR($A1168&lt;MIN(DKW_10Y!$A$2:$A$2918),$A1168&gt;MAX(DKW_10Y!$A$2:$A$2918),Settings!$B$16&lt;MIN(DKW_10Y!$A$2:$A$2918)),NA(),(INDEX(DKW_10Y!$B$2:$B$2918,MATCH($A1168,DKW_10Y!$A$2:$A$2918,1))-INDEX(DKW_10Y!$B$2:$B$2918,MATCH(Settings!$B$16,DKW_10Y!$A$2:$A$2918,1)))*100))</f>
        <v/>
      </c>
      <c r="Y1168" s="19">
        <f>IF(NOT(ISNUMBER($A1168)),NA(),IF(OR($A1168&lt;MIN(DKW_10Y!$A$2:$A$2918),$A1168&gt;MAX(DKW_10Y!$A$2:$A$2918),Settings!$B$16&lt;MIN(DKW_10Y!$A$2:$A$2918)),NA(),(INDEX(DKW_10Y!$C$2:$C$2918,MATCH($A1168,DKW_10Y!$A$2:$A$2918,1))-INDEX(DKW_10Y!$C$2:$C$2918,MATCH(Settings!$B$16,DKW_10Y!$A$2:$A$2918,1)))*100))</f>
        <v/>
      </c>
      <c r="Z1168" s="19">
        <f>IF(NOT(ISNUMBER($A1168)),NA(),IF(OR($A1168&lt;MIN(DKW_10Y!$A$2:$A$2918),$A1168&gt;MAX(DKW_10Y!$A$2:$A$2918),Settings!$B$16&lt;MIN(DKW_10Y!$A$2:$A$2918)),NA(),(INDEX(DKW_10Y!$D$2:$D$2918,MATCH($A1168,DKW_10Y!$A$2:$A$2918,1))-INDEX(DKW_10Y!$D$2:$D$2918,MATCH(Settings!$B$16,DKW_10Y!$A$2:$A$2918,1)))*100))</f>
        <v/>
      </c>
      <c r="AA1168" s="19">
        <f>IF(NOT(ISNUMBER($A1168)),NA(),IF(OR($A1168&lt;MIN(DKW_10Y!$A$2:$A$2918),$A1168&gt;MAX(DKW_10Y!$A$2:$A$2918),Settings!$B$16&lt;MIN(DKW_10Y!$A$2:$A$2918)),NA(),(INDEX(DKW_10Y!$E$2:$E$2918,MATCH($A1168,DKW_10Y!$A$2:$A$2918,1))-INDEX(DKW_10Y!$E$2:$E$2918,MATCH(Settings!$B$16,DKW_10Y!$A$2:$A$2918,1)))*100))</f>
        <v/>
      </c>
      <c r="AB1168" s="19">
        <f>IF(NOT(ISNUMBER($A1168)),NA(),IF(OR($A1168&lt;MIN(DKW_10Y!$A$2:$A$2918),$A1168&gt;MAX(DKW_10Y!$A$2:$A$2918),Settings!$B$16&lt;MIN(DKW_10Y!$A$2:$A$2918)),NA(),(INDEX(DKW_10Y!$H$2:$H$2918,MATCH($A1168,DKW_10Y!$A$2:$A$2918,1))-INDEX(DKW_10Y!$H$2:$H$2918,MATCH(Settings!$B$16,DKW_10Y!$A$2:$A$2918,1)))*100))</f>
        <v/>
      </c>
      <c r="AC1168" s="18">
        <f>IF(NOT(ISNUMBER($A1168)),NA(),IFERROR(1*INDEX(BBG_Data!$N$2:$N$4000,MATCH($A1168,BBG_Data!$M$2:$M$4000,0)),NA()))</f>
        <v/>
      </c>
      <c r="AD1168" s="18">
        <f>IF(NOT(ISNUMBER($A1168)),NA(),IFERROR(1*INDEX(BBG_Data!$P$2:$P$4000,MATCH($A1168,BBG_Data!$O$2:$O$4000,0)),NA()))</f>
        <v/>
      </c>
      <c r="AE1168" s="18">
        <f>IF(NOT(ISNUMBER($A1168)),NA(),IFERROR(1*INDEX(BBG_Data!$R$2:$R$4000,MATCH($A1168,BBG_Data!$Q$2:$Q$4000,0)),NA()))</f>
        <v/>
      </c>
      <c r="AF1168" s="20">
        <f>IF(AND(ISNUMBER(B1168),ISNUMBER(AC1168)),(B1168-AC1168)*100,NA())</f>
        <v/>
      </c>
      <c r="AG1168" s="20">
        <f>IF(AND(ISNUMBER(AE1168),ISNUMBER(AD1168)),(AE1168-AD1168)*100,NA())</f>
        <v/>
      </c>
      <c r="AH1168" s="19">
        <f>IF(NOT(ISNUMBER($A1168)),NA(),IFERROR(INDEX(BBG_Data!$T$2:$T$4000,MATCH($A1168,BBG_Data!$S$2:$S$4000,0))*Settings!$B$25,NA()))</f>
        <v/>
      </c>
      <c r="AI1168" s="19">
        <f>IF(NOT(ISNUMBER($A1168)),NA(),IFERROR(INDEX(BBG_Data!$V$2:$V$4000,MATCH($A1168,BBG_Data!$U$2:$U$4000,0))*Settings!$B$25,NA()))</f>
        <v/>
      </c>
      <c r="AJ1168" s="19">
        <f>IF(NOT(ISNUMBER($A1168)),NA(),IFERROR(1*INDEX(BBG_Data!$X$2:$X$4000,MATCH($A1168,BBG_Data!$W$2:$W$4000,0)),NA()))</f>
        <v/>
      </c>
      <c r="AK1168" s="19">
        <f>IF(NOT(ISNUMBER($A1168)),NA(),IFERROR(1*INDEX(BBG_Data!$Z$2:$Z$4000,MATCH($A1168,BBG_Data!$Y$2:$Y$4000,0)),NA()))</f>
        <v/>
      </c>
    </row>
    <row r="1169">
      <c r="A1169" s="17">
        <f>IF(ISNUMBER(BBG_Data!A1169),BBG_Data!A1169,"")</f>
        <v/>
      </c>
      <c r="B1169" s="18">
        <f>IF(AND(ISNUMBER($A1169),ISNUMBER(BBG_Data!B1169)),BBG_Data!B1169,NA())</f>
        <v/>
      </c>
      <c r="C1169" s="18">
        <f>IF(NOT(ISNUMBER($A1169)),NA(),IFERROR(1*INDEX(BBG_Data!$D$2:$D$4000,MATCH($A1169,BBG_Data!$C$2:$C$4000,0)),NA()))</f>
        <v/>
      </c>
      <c r="D1169" s="19">
        <f>IF(NOT(ISNUMBER($A1169)),NA(),IFERROR(1*INDEX(BBG_Data!$F$2:$F$4000,MATCH($A1169,BBG_Data!$E$2:$E$4000,0)),NA()))</f>
        <v/>
      </c>
      <c r="E1169" s="19">
        <f>IF(NOT(ISNUMBER($A1169)),NA(),IFERROR(1*INDEX(BBG_Data!$H$2:$H$4000,MATCH($A1169,BBG_Data!$G$2:$G$4000,0)),NA()))</f>
        <v/>
      </c>
      <c r="F1169" s="20">
        <f>IF(AND(ISNUMBER(B1169),ISNUMBER(B1168)),IF(B1169=B1168,"",(B1169-B1168)*100),"")</f>
        <v/>
      </c>
      <c r="G1169" s="20">
        <f>IF(AND(ISNUMBER(C1169),ISNUMBER(C1168)),IF(C1169=C1168,"",(C1169-C1168)*100),"")</f>
        <v/>
      </c>
      <c r="H1169" s="20">
        <f>IF(OR(NOT(ISNUMBER($A1169)),ROW()-2&lt;Settings!$B$11),NA(),IF(COUNT(OFFSET(F1169,1-Settings!$B$11,0,Settings!$B$11,1))&lt;ROUNDUP(Settings!$B$11*Settings!$B$26,0),NA(),STDEV(OFFSET(F1169,1-Settings!$B$11,0,Settings!$B$11,1))*SQRT(Settings!$B$13)))</f>
        <v/>
      </c>
      <c r="I1169" s="20">
        <f>IF(OR(NOT(ISNUMBER($A1169)),ROW()-2&lt;Settings!$B$12),NA(),IF(COUNT(OFFSET(F1169,1-Settings!$B$12,0,Settings!$B$12,1))&lt;ROUNDUP(Settings!$B$12*Settings!$B$26,0),NA(),STDEV(OFFSET(F1169,1-Settings!$B$12,0,Settings!$B$12,1))*SQRT(Settings!$B$13)))</f>
        <v/>
      </c>
      <c r="J1169" s="20">
        <f>IF(OR(NOT(ISNUMBER($A1169)),ROW()-2&lt;Settings!$B$11),NA(),IF(COUNT(OFFSET(G1169,1-Settings!$B$11,0,Settings!$B$11,1))&lt;ROUNDUP(Settings!$B$11*Settings!$B$26,0),NA(),STDEV(OFFSET(G1169,1-Settings!$B$11,0,Settings!$B$11,1))*SQRT(Settings!$B$13)))</f>
        <v/>
      </c>
      <c r="K1169" s="20">
        <f>IF(OR(NOT(ISNUMBER($A1169)),ROW()-2&lt;Settings!$B$12),NA(),IF(COUNT(OFFSET(G1169,1-Settings!$B$12,0,Settings!$B$12,1))&lt;ROUNDUP(Settings!$B$12*Settings!$B$26,0),NA(),STDEV(OFFSET(G1169,1-Settings!$B$12,0,Settings!$B$12,1))*SQRT(Settings!$B$13)))</f>
        <v/>
      </c>
      <c r="L1169" s="20">
        <f>IF(AND(ISNUMBER(D1169),ISNUMBER(H1169)),D1169-H1169,NA())</f>
        <v/>
      </c>
      <c r="M1169" s="20">
        <f>IF(AND(ISNUMBER(E1169),ISNUMBER(K1169)),E1169-K1169,NA())</f>
        <v/>
      </c>
      <c r="N1169" s="20">
        <f>IF(NOT(ISNUMBER($A1169)),NA(),IF(COUNT(OFFSET(G1169,1,0,Settings!$B$12,1))&lt;ROUNDUP(Settings!$B$12*Settings!$B$26,0),NA(),STDEV(OFFSET(G1169,1,0,Settings!$B$12,1))*SQRT(Settings!$B$13)))</f>
        <v/>
      </c>
      <c r="O1169" s="20">
        <f>IF(AND(ISNUMBER(E1169),ISNUMBER(N1169)),E1169-N1169,NA())</f>
        <v/>
      </c>
      <c r="P1169" s="19">
        <f>IF(NOT(ISNUMBER($A1169)),NA(),IF(OR($A1169&lt;MIN(KW_TP!$A$2:$A$2501),$A1169&gt;MAX(KW_TP!$A$2:$A$2501)),NA(),INDEX(KW_TP!$C$2:$C$2501,MATCH($A1169,KW_TP!$A$2:$A$2501,1))))</f>
        <v/>
      </c>
      <c r="Q1169" s="18">
        <f>IF(NOT(ISNUMBER($A1169)),NA(),IFERROR(1*INDEX(BBG_Data!$J$2:$J$4000,MATCH($A1169,BBG_Data!$I$2:$I$4000,0)),NA()))</f>
        <v/>
      </c>
      <c r="R1169" s="18">
        <f>IF(NOT(ISNUMBER($A1169)),NA(),IFERROR(1*INDEX(BBG_Data!$L$2:$L$4000,MATCH($A1169,BBG_Data!$K$2:$K$4000,0)),NA()))</f>
        <v/>
      </c>
      <c r="S1169" s="20">
        <f>IF(AND(ISNUMBER(B1169),ISNUMBER(Q1169),ISNUMBER(R1169)),(B1169-Q1169-R1169)*100,NA())</f>
        <v/>
      </c>
      <c r="T1169" s="20">
        <f>IF(AND(ISNUMBER(B1169),Settings!$B$17&gt;0),IF(ISNUMBER(INDEX($B:$B,Settings!$B$17)),(B1169-INDEX($B:$B,Settings!$B$17))*100,NA()),NA())</f>
        <v/>
      </c>
      <c r="U1169" s="20">
        <f>IF(AND(ISNUMBER(Q1169),Settings!$B$17&gt;0),IF(ISNUMBER(INDEX($Q:$Q,Settings!$B$17)),(Q1169-INDEX($Q:$Q,Settings!$B$17))*100,NA()),NA())</f>
        <v/>
      </c>
      <c r="V1169" s="20">
        <f>IF(AND(ISNUMBER(R1169),Settings!$B$17&gt;0),IF(ISNUMBER(INDEX($R:$R,Settings!$B$17)),(R1169-INDEX($R:$R,Settings!$B$17))*100,NA()),NA())</f>
        <v/>
      </c>
      <c r="W1169" s="20">
        <f>IF(AND(ISNUMBER(P1169),Settings!$B$17&gt;0),IF(ISNUMBER(INDEX($P:$P,Settings!$B$17)),P1169-INDEX($P:$P,Settings!$B$17),NA()),NA())</f>
        <v/>
      </c>
      <c r="X1169" s="19">
        <f>IF(NOT(ISNUMBER($A1169)),NA(),IF(OR($A1169&lt;MIN(DKW_10Y!$A$2:$A$2918),$A1169&gt;MAX(DKW_10Y!$A$2:$A$2918),Settings!$B$16&lt;MIN(DKW_10Y!$A$2:$A$2918)),NA(),(INDEX(DKW_10Y!$B$2:$B$2918,MATCH($A1169,DKW_10Y!$A$2:$A$2918,1))-INDEX(DKW_10Y!$B$2:$B$2918,MATCH(Settings!$B$16,DKW_10Y!$A$2:$A$2918,1)))*100))</f>
        <v/>
      </c>
      <c r="Y1169" s="19">
        <f>IF(NOT(ISNUMBER($A1169)),NA(),IF(OR($A1169&lt;MIN(DKW_10Y!$A$2:$A$2918),$A1169&gt;MAX(DKW_10Y!$A$2:$A$2918),Settings!$B$16&lt;MIN(DKW_10Y!$A$2:$A$2918)),NA(),(INDEX(DKW_10Y!$C$2:$C$2918,MATCH($A1169,DKW_10Y!$A$2:$A$2918,1))-INDEX(DKW_10Y!$C$2:$C$2918,MATCH(Settings!$B$16,DKW_10Y!$A$2:$A$2918,1)))*100))</f>
        <v/>
      </c>
      <c r="Z1169" s="19">
        <f>IF(NOT(ISNUMBER($A1169)),NA(),IF(OR($A1169&lt;MIN(DKW_10Y!$A$2:$A$2918),$A1169&gt;MAX(DKW_10Y!$A$2:$A$2918),Settings!$B$16&lt;MIN(DKW_10Y!$A$2:$A$2918)),NA(),(INDEX(DKW_10Y!$D$2:$D$2918,MATCH($A1169,DKW_10Y!$A$2:$A$2918,1))-INDEX(DKW_10Y!$D$2:$D$2918,MATCH(Settings!$B$16,DKW_10Y!$A$2:$A$2918,1)))*100))</f>
        <v/>
      </c>
      <c r="AA1169" s="19">
        <f>IF(NOT(ISNUMBER($A1169)),NA(),IF(OR($A1169&lt;MIN(DKW_10Y!$A$2:$A$2918),$A1169&gt;MAX(DKW_10Y!$A$2:$A$2918),Settings!$B$16&lt;MIN(DKW_10Y!$A$2:$A$2918)),NA(),(INDEX(DKW_10Y!$E$2:$E$2918,MATCH($A1169,DKW_10Y!$A$2:$A$2918,1))-INDEX(DKW_10Y!$E$2:$E$2918,MATCH(Settings!$B$16,DKW_10Y!$A$2:$A$2918,1)))*100))</f>
        <v/>
      </c>
      <c r="AB1169" s="19">
        <f>IF(NOT(ISNUMBER($A1169)),NA(),IF(OR($A1169&lt;MIN(DKW_10Y!$A$2:$A$2918),$A1169&gt;MAX(DKW_10Y!$A$2:$A$2918),Settings!$B$16&lt;MIN(DKW_10Y!$A$2:$A$2918)),NA(),(INDEX(DKW_10Y!$H$2:$H$2918,MATCH($A1169,DKW_10Y!$A$2:$A$2918,1))-INDEX(DKW_10Y!$H$2:$H$2918,MATCH(Settings!$B$16,DKW_10Y!$A$2:$A$2918,1)))*100))</f>
        <v/>
      </c>
      <c r="AC1169" s="18">
        <f>IF(NOT(ISNUMBER($A1169)),NA(),IFERROR(1*INDEX(BBG_Data!$N$2:$N$4000,MATCH($A1169,BBG_Data!$M$2:$M$4000,0)),NA()))</f>
        <v/>
      </c>
      <c r="AD1169" s="18">
        <f>IF(NOT(ISNUMBER($A1169)),NA(),IFERROR(1*INDEX(BBG_Data!$P$2:$P$4000,MATCH($A1169,BBG_Data!$O$2:$O$4000,0)),NA()))</f>
        <v/>
      </c>
      <c r="AE1169" s="18">
        <f>IF(NOT(ISNUMBER($A1169)),NA(),IFERROR(1*INDEX(BBG_Data!$R$2:$R$4000,MATCH($A1169,BBG_Data!$Q$2:$Q$4000,0)),NA()))</f>
        <v/>
      </c>
      <c r="AF1169" s="20">
        <f>IF(AND(ISNUMBER(B1169),ISNUMBER(AC1169)),(B1169-AC1169)*100,NA())</f>
        <v/>
      </c>
      <c r="AG1169" s="20">
        <f>IF(AND(ISNUMBER(AE1169),ISNUMBER(AD1169)),(AE1169-AD1169)*100,NA())</f>
        <v/>
      </c>
      <c r="AH1169" s="19">
        <f>IF(NOT(ISNUMBER($A1169)),NA(),IFERROR(INDEX(BBG_Data!$T$2:$T$4000,MATCH($A1169,BBG_Data!$S$2:$S$4000,0))*Settings!$B$25,NA()))</f>
        <v/>
      </c>
      <c r="AI1169" s="19">
        <f>IF(NOT(ISNUMBER($A1169)),NA(),IFERROR(INDEX(BBG_Data!$V$2:$V$4000,MATCH($A1169,BBG_Data!$U$2:$U$4000,0))*Settings!$B$25,NA()))</f>
        <v/>
      </c>
      <c r="AJ1169" s="19">
        <f>IF(NOT(ISNUMBER($A1169)),NA(),IFERROR(1*INDEX(BBG_Data!$X$2:$X$4000,MATCH($A1169,BBG_Data!$W$2:$W$4000,0)),NA()))</f>
        <v/>
      </c>
      <c r="AK1169" s="19">
        <f>IF(NOT(ISNUMBER($A1169)),NA(),IFERROR(1*INDEX(BBG_Data!$Z$2:$Z$4000,MATCH($A1169,BBG_Data!$Y$2:$Y$4000,0)),NA()))</f>
        <v/>
      </c>
    </row>
    <row r="1170">
      <c r="A1170" s="17">
        <f>IF(ISNUMBER(BBG_Data!A1170),BBG_Data!A1170,"")</f>
        <v/>
      </c>
      <c r="B1170" s="18">
        <f>IF(AND(ISNUMBER($A1170),ISNUMBER(BBG_Data!B1170)),BBG_Data!B1170,NA())</f>
        <v/>
      </c>
      <c r="C1170" s="18">
        <f>IF(NOT(ISNUMBER($A1170)),NA(),IFERROR(1*INDEX(BBG_Data!$D$2:$D$4000,MATCH($A1170,BBG_Data!$C$2:$C$4000,0)),NA()))</f>
        <v/>
      </c>
      <c r="D1170" s="19">
        <f>IF(NOT(ISNUMBER($A1170)),NA(),IFERROR(1*INDEX(BBG_Data!$F$2:$F$4000,MATCH($A1170,BBG_Data!$E$2:$E$4000,0)),NA()))</f>
        <v/>
      </c>
      <c r="E1170" s="19">
        <f>IF(NOT(ISNUMBER($A1170)),NA(),IFERROR(1*INDEX(BBG_Data!$H$2:$H$4000,MATCH($A1170,BBG_Data!$G$2:$G$4000,0)),NA()))</f>
        <v/>
      </c>
      <c r="F1170" s="20">
        <f>IF(AND(ISNUMBER(B1170),ISNUMBER(B1169)),IF(B1170=B1169,"",(B1170-B1169)*100),"")</f>
        <v/>
      </c>
      <c r="G1170" s="20">
        <f>IF(AND(ISNUMBER(C1170),ISNUMBER(C1169)),IF(C1170=C1169,"",(C1170-C1169)*100),"")</f>
        <v/>
      </c>
      <c r="H1170" s="20">
        <f>IF(OR(NOT(ISNUMBER($A1170)),ROW()-2&lt;Settings!$B$11),NA(),IF(COUNT(OFFSET(F1170,1-Settings!$B$11,0,Settings!$B$11,1))&lt;ROUNDUP(Settings!$B$11*Settings!$B$26,0),NA(),STDEV(OFFSET(F1170,1-Settings!$B$11,0,Settings!$B$11,1))*SQRT(Settings!$B$13)))</f>
        <v/>
      </c>
      <c r="I1170" s="20">
        <f>IF(OR(NOT(ISNUMBER($A1170)),ROW()-2&lt;Settings!$B$12),NA(),IF(COUNT(OFFSET(F1170,1-Settings!$B$12,0,Settings!$B$12,1))&lt;ROUNDUP(Settings!$B$12*Settings!$B$26,0),NA(),STDEV(OFFSET(F1170,1-Settings!$B$12,0,Settings!$B$12,1))*SQRT(Settings!$B$13)))</f>
        <v/>
      </c>
      <c r="J1170" s="20">
        <f>IF(OR(NOT(ISNUMBER($A1170)),ROW()-2&lt;Settings!$B$11),NA(),IF(COUNT(OFFSET(G1170,1-Settings!$B$11,0,Settings!$B$11,1))&lt;ROUNDUP(Settings!$B$11*Settings!$B$26,0),NA(),STDEV(OFFSET(G1170,1-Settings!$B$11,0,Settings!$B$11,1))*SQRT(Settings!$B$13)))</f>
        <v/>
      </c>
      <c r="K1170" s="20">
        <f>IF(OR(NOT(ISNUMBER($A1170)),ROW()-2&lt;Settings!$B$12),NA(),IF(COUNT(OFFSET(G1170,1-Settings!$B$12,0,Settings!$B$12,1))&lt;ROUNDUP(Settings!$B$12*Settings!$B$26,0),NA(),STDEV(OFFSET(G1170,1-Settings!$B$12,0,Settings!$B$12,1))*SQRT(Settings!$B$13)))</f>
        <v/>
      </c>
      <c r="L1170" s="20">
        <f>IF(AND(ISNUMBER(D1170),ISNUMBER(H1170)),D1170-H1170,NA())</f>
        <v/>
      </c>
      <c r="M1170" s="20">
        <f>IF(AND(ISNUMBER(E1170),ISNUMBER(K1170)),E1170-K1170,NA())</f>
        <v/>
      </c>
      <c r="N1170" s="20">
        <f>IF(NOT(ISNUMBER($A1170)),NA(),IF(COUNT(OFFSET(G1170,1,0,Settings!$B$12,1))&lt;ROUNDUP(Settings!$B$12*Settings!$B$26,0),NA(),STDEV(OFFSET(G1170,1,0,Settings!$B$12,1))*SQRT(Settings!$B$13)))</f>
        <v/>
      </c>
      <c r="O1170" s="20">
        <f>IF(AND(ISNUMBER(E1170),ISNUMBER(N1170)),E1170-N1170,NA())</f>
        <v/>
      </c>
      <c r="P1170" s="19">
        <f>IF(NOT(ISNUMBER($A1170)),NA(),IF(OR($A1170&lt;MIN(KW_TP!$A$2:$A$2501),$A1170&gt;MAX(KW_TP!$A$2:$A$2501)),NA(),INDEX(KW_TP!$C$2:$C$2501,MATCH($A1170,KW_TP!$A$2:$A$2501,1))))</f>
        <v/>
      </c>
      <c r="Q1170" s="18">
        <f>IF(NOT(ISNUMBER($A1170)),NA(),IFERROR(1*INDEX(BBG_Data!$J$2:$J$4000,MATCH($A1170,BBG_Data!$I$2:$I$4000,0)),NA()))</f>
        <v/>
      </c>
      <c r="R1170" s="18">
        <f>IF(NOT(ISNUMBER($A1170)),NA(),IFERROR(1*INDEX(BBG_Data!$L$2:$L$4000,MATCH($A1170,BBG_Data!$K$2:$K$4000,0)),NA()))</f>
        <v/>
      </c>
      <c r="S1170" s="20">
        <f>IF(AND(ISNUMBER(B1170),ISNUMBER(Q1170),ISNUMBER(R1170)),(B1170-Q1170-R1170)*100,NA())</f>
        <v/>
      </c>
      <c r="T1170" s="20">
        <f>IF(AND(ISNUMBER(B1170),Settings!$B$17&gt;0),IF(ISNUMBER(INDEX($B:$B,Settings!$B$17)),(B1170-INDEX($B:$B,Settings!$B$17))*100,NA()),NA())</f>
        <v/>
      </c>
      <c r="U1170" s="20">
        <f>IF(AND(ISNUMBER(Q1170),Settings!$B$17&gt;0),IF(ISNUMBER(INDEX($Q:$Q,Settings!$B$17)),(Q1170-INDEX($Q:$Q,Settings!$B$17))*100,NA()),NA())</f>
        <v/>
      </c>
      <c r="V1170" s="20">
        <f>IF(AND(ISNUMBER(R1170),Settings!$B$17&gt;0),IF(ISNUMBER(INDEX($R:$R,Settings!$B$17)),(R1170-INDEX($R:$R,Settings!$B$17))*100,NA()),NA())</f>
        <v/>
      </c>
      <c r="W1170" s="20">
        <f>IF(AND(ISNUMBER(P1170),Settings!$B$17&gt;0),IF(ISNUMBER(INDEX($P:$P,Settings!$B$17)),P1170-INDEX($P:$P,Settings!$B$17),NA()),NA())</f>
        <v/>
      </c>
      <c r="X1170" s="19">
        <f>IF(NOT(ISNUMBER($A1170)),NA(),IF(OR($A1170&lt;MIN(DKW_10Y!$A$2:$A$2918),$A1170&gt;MAX(DKW_10Y!$A$2:$A$2918),Settings!$B$16&lt;MIN(DKW_10Y!$A$2:$A$2918)),NA(),(INDEX(DKW_10Y!$B$2:$B$2918,MATCH($A1170,DKW_10Y!$A$2:$A$2918,1))-INDEX(DKW_10Y!$B$2:$B$2918,MATCH(Settings!$B$16,DKW_10Y!$A$2:$A$2918,1)))*100))</f>
        <v/>
      </c>
      <c r="Y1170" s="19">
        <f>IF(NOT(ISNUMBER($A1170)),NA(),IF(OR($A1170&lt;MIN(DKW_10Y!$A$2:$A$2918),$A1170&gt;MAX(DKW_10Y!$A$2:$A$2918),Settings!$B$16&lt;MIN(DKW_10Y!$A$2:$A$2918)),NA(),(INDEX(DKW_10Y!$C$2:$C$2918,MATCH($A1170,DKW_10Y!$A$2:$A$2918,1))-INDEX(DKW_10Y!$C$2:$C$2918,MATCH(Settings!$B$16,DKW_10Y!$A$2:$A$2918,1)))*100))</f>
        <v/>
      </c>
      <c r="Z1170" s="19">
        <f>IF(NOT(ISNUMBER($A1170)),NA(),IF(OR($A1170&lt;MIN(DKW_10Y!$A$2:$A$2918),$A1170&gt;MAX(DKW_10Y!$A$2:$A$2918),Settings!$B$16&lt;MIN(DKW_10Y!$A$2:$A$2918)),NA(),(INDEX(DKW_10Y!$D$2:$D$2918,MATCH($A1170,DKW_10Y!$A$2:$A$2918,1))-INDEX(DKW_10Y!$D$2:$D$2918,MATCH(Settings!$B$16,DKW_10Y!$A$2:$A$2918,1)))*100))</f>
        <v/>
      </c>
      <c r="AA1170" s="19">
        <f>IF(NOT(ISNUMBER($A1170)),NA(),IF(OR($A1170&lt;MIN(DKW_10Y!$A$2:$A$2918),$A1170&gt;MAX(DKW_10Y!$A$2:$A$2918),Settings!$B$16&lt;MIN(DKW_10Y!$A$2:$A$2918)),NA(),(INDEX(DKW_10Y!$E$2:$E$2918,MATCH($A1170,DKW_10Y!$A$2:$A$2918,1))-INDEX(DKW_10Y!$E$2:$E$2918,MATCH(Settings!$B$16,DKW_10Y!$A$2:$A$2918,1)))*100))</f>
        <v/>
      </c>
      <c r="AB1170" s="19">
        <f>IF(NOT(ISNUMBER($A1170)),NA(),IF(OR($A1170&lt;MIN(DKW_10Y!$A$2:$A$2918),$A1170&gt;MAX(DKW_10Y!$A$2:$A$2918),Settings!$B$16&lt;MIN(DKW_10Y!$A$2:$A$2918)),NA(),(INDEX(DKW_10Y!$H$2:$H$2918,MATCH($A1170,DKW_10Y!$A$2:$A$2918,1))-INDEX(DKW_10Y!$H$2:$H$2918,MATCH(Settings!$B$16,DKW_10Y!$A$2:$A$2918,1)))*100))</f>
        <v/>
      </c>
      <c r="AC1170" s="18">
        <f>IF(NOT(ISNUMBER($A1170)),NA(),IFERROR(1*INDEX(BBG_Data!$N$2:$N$4000,MATCH($A1170,BBG_Data!$M$2:$M$4000,0)),NA()))</f>
        <v/>
      </c>
      <c r="AD1170" s="18">
        <f>IF(NOT(ISNUMBER($A1170)),NA(),IFERROR(1*INDEX(BBG_Data!$P$2:$P$4000,MATCH($A1170,BBG_Data!$O$2:$O$4000,0)),NA()))</f>
        <v/>
      </c>
      <c r="AE1170" s="18">
        <f>IF(NOT(ISNUMBER($A1170)),NA(),IFERROR(1*INDEX(BBG_Data!$R$2:$R$4000,MATCH($A1170,BBG_Data!$Q$2:$Q$4000,0)),NA()))</f>
        <v/>
      </c>
      <c r="AF1170" s="20">
        <f>IF(AND(ISNUMBER(B1170),ISNUMBER(AC1170)),(B1170-AC1170)*100,NA())</f>
        <v/>
      </c>
      <c r="AG1170" s="20">
        <f>IF(AND(ISNUMBER(AE1170),ISNUMBER(AD1170)),(AE1170-AD1170)*100,NA())</f>
        <v/>
      </c>
      <c r="AH1170" s="19">
        <f>IF(NOT(ISNUMBER($A1170)),NA(),IFERROR(INDEX(BBG_Data!$T$2:$T$4000,MATCH($A1170,BBG_Data!$S$2:$S$4000,0))*Settings!$B$25,NA()))</f>
        <v/>
      </c>
      <c r="AI1170" s="19">
        <f>IF(NOT(ISNUMBER($A1170)),NA(),IFERROR(INDEX(BBG_Data!$V$2:$V$4000,MATCH($A1170,BBG_Data!$U$2:$U$4000,0))*Settings!$B$25,NA()))</f>
        <v/>
      </c>
      <c r="AJ1170" s="19">
        <f>IF(NOT(ISNUMBER($A1170)),NA(),IFERROR(1*INDEX(BBG_Data!$X$2:$X$4000,MATCH($A1170,BBG_Data!$W$2:$W$4000,0)),NA()))</f>
        <v/>
      </c>
      <c r="AK1170" s="19">
        <f>IF(NOT(ISNUMBER($A1170)),NA(),IFERROR(1*INDEX(BBG_Data!$Z$2:$Z$4000,MATCH($A1170,BBG_Data!$Y$2:$Y$4000,0)),NA()))</f>
        <v/>
      </c>
    </row>
    <row r="1171">
      <c r="A1171" s="17">
        <f>IF(ISNUMBER(BBG_Data!A1171),BBG_Data!A1171,"")</f>
        <v/>
      </c>
      <c r="B1171" s="18">
        <f>IF(AND(ISNUMBER($A1171),ISNUMBER(BBG_Data!B1171)),BBG_Data!B1171,NA())</f>
        <v/>
      </c>
      <c r="C1171" s="18">
        <f>IF(NOT(ISNUMBER($A1171)),NA(),IFERROR(1*INDEX(BBG_Data!$D$2:$D$4000,MATCH($A1171,BBG_Data!$C$2:$C$4000,0)),NA()))</f>
        <v/>
      </c>
      <c r="D1171" s="19">
        <f>IF(NOT(ISNUMBER($A1171)),NA(),IFERROR(1*INDEX(BBG_Data!$F$2:$F$4000,MATCH($A1171,BBG_Data!$E$2:$E$4000,0)),NA()))</f>
        <v/>
      </c>
      <c r="E1171" s="19">
        <f>IF(NOT(ISNUMBER($A1171)),NA(),IFERROR(1*INDEX(BBG_Data!$H$2:$H$4000,MATCH($A1171,BBG_Data!$G$2:$G$4000,0)),NA()))</f>
        <v/>
      </c>
      <c r="F1171" s="20">
        <f>IF(AND(ISNUMBER(B1171),ISNUMBER(B1170)),IF(B1171=B1170,"",(B1171-B1170)*100),"")</f>
        <v/>
      </c>
      <c r="G1171" s="20">
        <f>IF(AND(ISNUMBER(C1171),ISNUMBER(C1170)),IF(C1171=C1170,"",(C1171-C1170)*100),"")</f>
        <v/>
      </c>
      <c r="H1171" s="20">
        <f>IF(OR(NOT(ISNUMBER($A1171)),ROW()-2&lt;Settings!$B$11),NA(),IF(COUNT(OFFSET(F1171,1-Settings!$B$11,0,Settings!$B$11,1))&lt;ROUNDUP(Settings!$B$11*Settings!$B$26,0),NA(),STDEV(OFFSET(F1171,1-Settings!$B$11,0,Settings!$B$11,1))*SQRT(Settings!$B$13)))</f>
        <v/>
      </c>
      <c r="I1171" s="20">
        <f>IF(OR(NOT(ISNUMBER($A1171)),ROW()-2&lt;Settings!$B$12),NA(),IF(COUNT(OFFSET(F1171,1-Settings!$B$12,0,Settings!$B$12,1))&lt;ROUNDUP(Settings!$B$12*Settings!$B$26,0),NA(),STDEV(OFFSET(F1171,1-Settings!$B$12,0,Settings!$B$12,1))*SQRT(Settings!$B$13)))</f>
        <v/>
      </c>
      <c r="J1171" s="20">
        <f>IF(OR(NOT(ISNUMBER($A1171)),ROW()-2&lt;Settings!$B$11),NA(),IF(COUNT(OFFSET(G1171,1-Settings!$B$11,0,Settings!$B$11,1))&lt;ROUNDUP(Settings!$B$11*Settings!$B$26,0),NA(),STDEV(OFFSET(G1171,1-Settings!$B$11,0,Settings!$B$11,1))*SQRT(Settings!$B$13)))</f>
        <v/>
      </c>
      <c r="K1171" s="20">
        <f>IF(OR(NOT(ISNUMBER($A1171)),ROW()-2&lt;Settings!$B$12),NA(),IF(COUNT(OFFSET(G1171,1-Settings!$B$12,0,Settings!$B$12,1))&lt;ROUNDUP(Settings!$B$12*Settings!$B$26,0),NA(),STDEV(OFFSET(G1171,1-Settings!$B$12,0,Settings!$B$12,1))*SQRT(Settings!$B$13)))</f>
        <v/>
      </c>
      <c r="L1171" s="20">
        <f>IF(AND(ISNUMBER(D1171),ISNUMBER(H1171)),D1171-H1171,NA())</f>
        <v/>
      </c>
      <c r="M1171" s="20">
        <f>IF(AND(ISNUMBER(E1171),ISNUMBER(K1171)),E1171-K1171,NA())</f>
        <v/>
      </c>
      <c r="N1171" s="20">
        <f>IF(NOT(ISNUMBER($A1171)),NA(),IF(COUNT(OFFSET(G1171,1,0,Settings!$B$12,1))&lt;ROUNDUP(Settings!$B$12*Settings!$B$26,0),NA(),STDEV(OFFSET(G1171,1,0,Settings!$B$12,1))*SQRT(Settings!$B$13)))</f>
        <v/>
      </c>
      <c r="O1171" s="20">
        <f>IF(AND(ISNUMBER(E1171),ISNUMBER(N1171)),E1171-N1171,NA())</f>
        <v/>
      </c>
      <c r="P1171" s="19">
        <f>IF(NOT(ISNUMBER($A1171)),NA(),IF(OR($A1171&lt;MIN(KW_TP!$A$2:$A$2501),$A1171&gt;MAX(KW_TP!$A$2:$A$2501)),NA(),INDEX(KW_TP!$C$2:$C$2501,MATCH($A1171,KW_TP!$A$2:$A$2501,1))))</f>
        <v/>
      </c>
      <c r="Q1171" s="18">
        <f>IF(NOT(ISNUMBER($A1171)),NA(),IFERROR(1*INDEX(BBG_Data!$J$2:$J$4000,MATCH($A1171,BBG_Data!$I$2:$I$4000,0)),NA()))</f>
        <v/>
      </c>
      <c r="R1171" s="18">
        <f>IF(NOT(ISNUMBER($A1171)),NA(),IFERROR(1*INDEX(BBG_Data!$L$2:$L$4000,MATCH($A1171,BBG_Data!$K$2:$K$4000,0)),NA()))</f>
        <v/>
      </c>
      <c r="S1171" s="20">
        <f>IF(AND(ISNUMBER(B1171),ISNUMBER(Q1171),ISNUMBER(R1171)),(B1171-Q1171-R1171)*100,NA())</f>
        <v/>
      </c>
      <c r="T1171" s="20">
        <f>IF(AND(ISNUMBER(B1171),Settings!$B$17&gt;0),IF(ISNUMBER(INDEX($B:$B,Settings!$B$17)),(B1171-INDEX($B:$B,Settings!$B$17))*100,NA()),NA())</f>
        <v/>
      </c>
      <c r="U1171" s="20">
        <f>IF(AND(ISNUMBER(Q1171),Settings!$B$17&gt;0),IF(ISNUMBER(INDEX($Q:$Q,Settings!$B$17)),(Q1171-INDEX($Q:$Q,Settings!$B$17))*100,NA()),NA())</f>
        <v/>
      </c>
      <c r="V1171" s="20">
        <f>IF(AND(ISNUMBER(R1171),Settings!$B$17&gt;0),IF(ISNUMBER(INDEX($R:$R,Settings!$B$17)),(R1171-INDEX($R:$R,Settings!$B$17))*100,NA()),NA())</f>
        <v/>
      </c>
      <c r="W1171" s="20">
        <f>IF(AND(ISNUMBER(P1171),Settings!$B$17&gt;0),IF(ISNUMBER(INDEX($P:$P,Settings!$B$17)),P1171-INDEX($P:$P,Settings!$B$17),NA()),NA())</f>
        <v/>
      </c>
      <c r="X1171" s="19">
        <f>IF(NOT(ISNUMBER($A1171)),NA(),IF(OR($A1171&lt;MIN(DKW_10Y!$A$2:$A$2918),$A1171&gt;MAX(DKW_10Y!$A$2:$A$2918),Settings!$B$16&lt;MIN(DKW_10Y!$A$2:$A$2918)),NA(),(INDEX(DKW_10Y!$B$2:$B$2918,MATCH($A1171,DKW_10Y!$A$2:$A$2918,1))-INDEX(DKW_10Y!$B$2:$B$2918,MATCH(Settings!$B$16,DKW_10Y!$A$2:$A$2918,1)))*100))</f>
        <v/>
      </c>
      <c r="Y1171" s="19">
        <f>IF(NOT(ISNUMBER($A1171)),NA(),IF(OR($A1171&lt;MIN(DKW_10Y!$A$2:$A$2918),$A1171&gt;MAX(DKW_10Y!$A$2:$A$2918),Settings!$B$16&lt;MIN(DKW_10Y!$A$2:$A$2918)),NA(),(INDEX(DKW_10Y!$C$2:$C$2918,MATCH($A1171,DKW_10Y!$A$2:$A$2918,1))-INDEX(DKW_10Y!$C$2:$C$2918,MATCH(Settings!$B$16,DKW_10Y!$A$2:$A$2918,1)))*100))</f>
        <v/>
      </c>
      <c r="Z1171" s="19">
        <f>IF(NOT(ISNUMBER($A1171)),NA(),IF(OR($A1171&lt;MIN(DKW_10Y!$A$2:$A$2918),$A1171&gt;MAX(DKW_10Y!$A$2:$A$2918),Settings!$B$16&lt;MIN(DKW_10Y!$A$2:$A$2918)),NA(),(INDEX(DKW_10Y!$D$2:$D$2918,MATCH($A1171,DKW_10Y!$A$2:$A$2918,1))-INDEX(DKW_10Y!$D$2:$D$2918,MATCH(Settings!$B$16,DKW_10Y!$A$2:$A$2918,1)))*100))</f>
        <v/>
      </c>
      <c r="AA1171" s="19">
        <f>IF(NOT(ISNUMBER($A1171)),NA(),IF(OR($A1171&lt;MIN(DKW_10Y!$A$2:$A$2918),$A1171&gt;MAX(DKW_10Y!$A$2:$A$2918),Settings!$B$16&lt;MIN(DKW_10Y!$A$2:$A$2918)),NA(),(INDEX(DKW_10Y!$E$2:$E$2918,MATCH($A1171,DKW_10Y!$A$2:$A$2918,1))-INDEX(DKW_10Y!$E$2:$E$2918,MATCH(Settings!$B$16,DKW_10Y!$A$2:$A$2918,1)))*100))</f>
        <v/>
      </c>
      <c r="AB1171" s="19">
        <f>IF(NOT(ISNUMBER($A1171)),NA(),IF(OR($A1171&lt;MIN(DKW_10Y!$A$2:$A$2918),$A1171&gt;MAX(DKW_10Y!$A$2:$A$2918),Settings!$B$16&lt;MIN(DKW_10Y!$A$2:$A$2918)),NA(),(INDEX(DKW_10Y!$H$2:$H$2918,MATCH($A1171,DKW_10Y!$A$2:$A$2918,1))-INDEX(DKW_10Y!$H$2:$H$2918,MATCH(Settings!$B$16,DKW_10Y!$A$2:$A$2918,1)))*100))</f>
        <v/>
      </c>
      <c r="AC1171" s="18">
        <f>IF(NOT(ISNUMBER($A1171)),NA(),IFERROR(1*INDEX(BBG_Data!$N$2:$N$4000,MATCH($A1171,BBG_Data!$M$2:$M$4000,0)),NA()))</f>
        <v/>
      </c>
      <c r="AD1171" s="18">
        <f>IF(NOT(ISNUMBER($A1171)),NA(),IFERROR(1*INDEX(BBG_Data!$P$2:$P$4000,MATCH($A1171,BBG_Data!$O$2:$O$4000,0)),NA()))</f>
        <v/>
      </c>
      <c r="AE1171" s="18">
        <f>IF(NOT(ISNUMBER($A1171)),NA(),IFERROR(1*INDEX(BBG_Data!$R$2:$R$4000,MATCH($A1171,BBG_Data!$Q$2:$Q$4000,0)),NA()))</f>
        <v/>
      </c>
      <c r="AF1171" s="20">
        <f>IF(AND(ISNUMBER(B1171),ISNUMBER(AC1171)),(B1171-AC1171)*100,NA())</f>
        <v/>
      </c>
      <c r="AG1171" s="20">
        <f>IF(AND(ISNUMBER(AE1171),ISNUMBER(AD1171)),(AE1171-AD1171)*100,NA())</f>
        <v/>
      </c>
      <c r="AH1171" s="19">
        <f>IF(NOT(ISNUMBER($A1171)),NA(),IFERROR(INDEX(BBG_Data!$T$2:$T$4000,MATCH($A1171,BBG_Data!$S$2:$S$4000,0))*Settings!$B$25,NA()))</f>
        <v/>
      </c>
      <c r="AI1171" s="19">
        <f>IF(NOT(ISNUMBER($A1171)),NA(),IFERROR(INDEX(BBG_Data!$V$2:$V$4000,MATCH($A1171,BBG_Data!$U$2:$U$4000,0))*Settings!$B$25,NA()))</f>
        <v/>
      </c>
      <c r="AJ1171" s="19">
        <f>IF(NOT(ISNUMBER($A1171)),NA(),IFERROR(1*INDEX(BBG_Data!$X$2:$X$4000,MATCH($A1171,BBG_Data!$W$2:$W$4000,0)),NA()))</f>
        <v/>
      </c>
      <c r="AK1171" s="19">
        <f>IF(NOT(ISNUMBER($A1171)),NA(),IFERROR(1*INDEX(BBG_Data!$Z$2:$Z$4000,MATCH($A1171,BBG_Data!$Y$2:$Y$4000,0)),NA()))</f>
        <v/>
      </c>
    </row>
    <row r="1172">
      <c r="A1172" s="17">
        <f>IF(ISNUMBER(BBG_Data!A1172),BBG_Data!A1172,"")</f>
        <v/>
      </c>
      <c r="B1172" s="18">
        <f>IF(AND(ISNUMBER($A1172),ISNUMBER(BBG_Data!B1172)),BBG_Data!B1172,NA())</f>
        <v/>
      </c>
      <c r="C1172" s="18">
        <f>IF(NOT(ISNUMBER($A1172)),NA(),IFERROR(1*INDEX(BBG_Data!$D$2:$D$4000,MATCH($A1172,BBG_Data!$C$2:$C$4000,0)),NA()))</f>
        <v/>
      </c>
      <c r="D1172" s="19">
        <f>IF(NOT(ISNUMBER($A1172)),NA(),IFERROR(1*INDEX(BBG_Data!$F$2:$F$4000,MATCH($A1172,BBG_Data!$E$2:$E$4000,0)),NA()))</f>
        <v/>
      </c>
      <c r="E1172" s="19">
        <f>IF(NOT(ISNUMBER($A1172)),NA(),IFERROR(1*INDEX(BBG_Data!$H$2:$H$4000,MATCH($A1172,BBG_Data!$G$2:$G$4000,0)),NA()))</f>
        <v/>
      </c>
      <c r="F1172" s="20">
        <f>IF(AND(ISNUMBER(B1172),ISNUMBER(B1171)),IF(B1172=B1171,"",(B1172-B1171)*100),"")</f>
        <v/>
      </c>
      <c r="G1172" s="20">
        <f>IF(AND(ISNUMBER(C1172),ISNUMBER(C1171)),IF(C1172=C1171,"",(C1172-C1171)*100),"")</f>
        <v/>
      </c>
      <c r="H1172" s="20">
        <f>IF(OR(NOT(ISNUMBER($A1172)),ROW()-2&lt;Settings!$B$11),NA(),IF(COUNT(OFFSET(F1172,1-Settings!$B$11,0,Settings!$B$11,1))&lt;ROUNDUP(Settings!$B$11*Settings!$B$26,0),NA(),STDEV(OFFSET(F1172,1-Settings!$B$11,0,Settings!$B$11,1))*SQRT(Settings!$B$13)))</f>
        <v/>
      </c>
      <c r="I1172" s="20">
        <f>IF(OR(NOT(ISNUMBER($A1172)),ROW()-2&lt;Settings!$B$12),NA(),IF(COUNT(OFFSET(F1172,1-Settings!$B$12,0,Settings!$B$12,1))&lt;ROUNDUP(Settings!$B$12*Settings!$B$26,0),NA(),STDEV(OFFSET(F1172,1-Settings!$B$12,0,Settings!$B$12,1))*SQRT(Settings!$B$13)))</f>
        <v/>
      </c>
      <c r="J1172" s="20">
        <f>IF(OR(NOT(ISNUMBER($A1172)),ROW()-2&lt;Settings!$B$11),NA(),IF(COUNT(OFFSET(G1172,1-Settings!$B$11,0,Settings!$B$11,1))&lt;ROUNDUP(Settings!$B$11*Settings!$B$26,0),NA(),STDEV(OFFSET(G1172,1-Settings!$B$11,0,Settings!$B$11,1))*SQRT(Settings!$B$13)))</f>
        <v/>
      </c>
      <c r="K1172" s="20">
        <f>IF(OR(NOT(ISNUMBER($A1172)),ROW()-2&lt;Settings!$B$12),NA(),IF(COUNT(OFFSET(G1172,1-Settings!$B$12,0,Settings!$B$12,1))&lt;ROUNDUP(Settings!$B$12*Settings!$B$26,0),NA(),STDEV(OFFSET(G1172,1-Settings!$B$12,0,Settings!$B$12,1))*SQRT(Settings!$B$13)))</f>
        <v/>
      </c>
      <c r="L1172" s="20">
        <f>IF(AND(ISNUMBER(D1172),ISNUMBER(H1172)),D1172-H1172,NA())</f>
        <v/>
      </c>
      <c r="M1172" s="20">
        <f>IF(AND(ISNUMBER(E1172),ISNUMBER(K1172)),E1172-K1172,NA())</f>
        <v/>
      </c>
      <c r="N1172" s="20">
        <f>IF(NOT(ISNUMBER($A1172)),NA(),IF(COUNT(OFFSET(G1172,1,0,Settings!$B$12,1))&lt;ROUNDUP(Settings!$B$12*Settings!$B$26,0),NA(),STDEV(OFFSET(G1172,1,0,Settings!$B$12,1))*SQRT(Settings!$B$13)))</f>
        <v/>
      </c>
      <c r="O1172" s="20">
        <f>IF(AND(ISNUMBER(E1172),ISNUMBER(N1172)),E1172-N1172,NA())</f>
        <v/>
      </c>
      <c r="P1172" s="19">
        <f>IF(NOT(ISNUMBER($A1172)),NA(),IF(OR($A1172&lt;MIN(KW_TP!$A$2:$A$2501),$A1172&gt;MAX(KW_TP!$A$2:$A$2501)),NA(),INDEX(KW_TP!$C$2:$C$2501,MATCH($A1172,KW_TP!$A$2:$A$2501,1))))</f>
        <v/>
      </c>
      <c r="Q1172" s="18">
        <f>IF(NOT(ISNUMBER($A1172)),NA(),IFERROR(1*INDEX(BBG_Data!$J$2:$J$4000,MATCH($A1172,BBG_Data!$I$2:$I$4000,0)),NA()))</f>
        <v/>
      </c>
      <c r="R1172" s="18">
        <f>IF(NOT(ISNUMBER($A1172)),NA(),IFERROR(1*INDEX(BBG_Data!$L$2:$L$4000,MATCH($A1172,BBG_Data!$K$2:$K$4000,0)),NA()))</f>
        <v/>
      </c>
      <c r="S1172" s="20">
        <f>IF(AND(ISNUMBER(B1172),ISNUMBER(Q1172),ISNUMBER(R1172)),(B1172-Q1172-R1172)*100,NA())</f>
        <v/>
      </c>
      <c r="T1172" s="20">
        <f>IF(AND(ISNUMBER(B1172),Settings!$B$17&gt;0),IF(ISNUMBER(INDEX($B:$B,Settings!$B$17)),(B1172-INDEX($B:$B,Settings!$B$17))*100,NA()),NA())</f>
        <v/>
      </c>
      <c r="U1172" s="20">
        <f>IF(AND(ISNUMBER(Q1172),Settings!$B$17&gt;0),IF(ISNUMBER(INDEX($Q:$Q,Settings!$B$17)),(Q1172-INDEX($Q:$Q,Settings!$B$17))*100,NA()),NA())</f>
        <v/>
      </c>
      <c r="V1172" s="20">
        <f>IF(AND(ISNUMBER(R1172),Settings!$B$17&gt;0),IF(ISNUMBER(INDEX($R:$R,Settings!$B$17)),(R1172-INDEX($R:$R,Settings!$B$17))*100,NA()),NA())</f>
        <v/>
      </c>
      <c r="W1172" s="20">
        <f>IF(AND(ISNUMBER(P1172),Settings!$B$17&gt;0),IF(ISNUMBER(INDEX($P:$P,Settings!$B$17)),P1172-INDEX($P:$P,Settings!$B$17),NA()),NA())</f>
        <v/>
      </c>
      <c r="X1172" s="19">
        <f>IF(NOT(ISNUMBER($A1172)),NA(),IF(OR($A1172&lt;MIN(DKW_10Y!$A$2:$A$2918),$A1172&gt;MAX(DKW_10Y!$A$2:$A$2918),Settings!$B$16&lt;MIN(DKW_10Y!$A$2:$A$2918)),NA(),(INDEX(DKW_10Y!$B$2:$B$2918,MATCH($A1172,DKW_10Y!$A$2:$A$2918,1))-INDEX(DKW_10Y!$B$2:$B$2918,MATCH(Settings!$B$16,DKW_10Y!$A$2:$A$2918,1)))*100))</f>
        <v/>
      </c>
      <c r="Y1172" s="19">
        <f>IF(NOT(ISNUMBER($A1172)),NA(),IF(OR($A1172&lt;MIN(DKW_10Y!$A$2:$A$2918),$A1172&gt;MAX(DKW_10Y!$A$2:$A$2918),Settings!$B$16&lt;MIN(DKW_10Y!$A$2:$A$2918)),NA(),(INDEX(DKW_10Y!$C$2:$C$2918,MATCH($A1172,DKW_10Y!$A$2:$A$2918,1))-INDEX(DKW_10Y!$C$2:$C$2918,MATCH(Settings!$B$16,DKW_10Y!$A$2:$A$2918,1)))*100))</f>
        <v/>
      </c>
      <c r="Z1172" s="19">
        <f>IF(NOT(ISNUMBER($A1172)),NA(),IF(OR($A1172&lt;MIN(DKW_10Y!$A$2:$A$2918),$A1172&gt;MAX(DKW_10Y!$A$2:$A$2918),Settings!$B$16&lt;MIN(DKW_10Y!$A$2:$A$2918)),NA(),(INDEX(DKW_10Y!$D$2:$D$2918,MATCH($A1172,DKW_10Y!$A$2:$A$2918,1))-INDEX(DKW_10Y!$D$2:$D$2918,MATCH(Settings!$B$16,DKW_10Y!$A$2:$A$2918,1)))*100))</f>
        <v/>
      </c>
      <c r="AA1172" s="19">
        <f>IF(NOT(ISNUMBER($A1172)),NA(),IF(OR($A1172&lt;MIN(DKW_10Y!$A$2:$A$2918),$A1172&gt;MAX(DKW_10Y!$A$2:$A$2918),Settings!$B$16&lt;MIN(DKW_10Y!$A$2:$A$2918)),NA(),(INDEX(DKW_10Y!$E$2:$E$2918,MATCH($A1172,DKW_10Y!$A$2:$A$2918,1))-INDEX(DKW_10Y!$E$2:$E$2918,MATCH(Settings!$B$16,DKW_10Y!$A$2:$A$2918,1)))*100))</f>
        <v/>
      </c>
      <c r="AB1172" s="19">
        <f>IF(NOT(ISNUMBER($A1172)),NA(),IF(OR($A1172&lt;MIN(DKW_10Y!$A$2:$A$2918),$A1172&gt;MAX(DKW_10Y!$A$2:$A$2918),Settings!$B$16&lt;MIN(DKW_10Y!$A$2:$A$2918)),NA(),(INDEX(DKW_10Y!$H$2:$H$2918,MATCH($A1172,DKW_10Y!$A$2:$A$2918,1))-INDEX(DKW_10Y!$H$2:$H$2918,MATCH(Settings!$B$16,DKW_10Y!$A$2:$A$2918,1)))*100))</f>
        <v/>
      </c>
      <c r="AC1172" s="18">
        <f>IF(NOT(ISNUMBER($A1172)),NA(),IFERROR(1*INDEX(BBG_Data!$N$2:$N$4000,MATCH($A1172,BBG_Data!$M$2:$M$4000,0)),NA()))</f>
        <v/>
      </c>
      <c r="AD1172" s="18">
        <f>IF(NOT(ISNUMBER($A1172)),NA(),IFERROR(1*INDEX(BBG_Data!$P$2:$P$4000,MATCH($A1172,BBG_Data!$O$2:$O$4000,0)),NA()))</f>
        <v/>
      </c>
      <c r="AE1172" s="18">
        <f>IF(NOT(ISNUMBER($A1172)),NA(),IFERROR(1*INDEX(BBG_Data!$R$2:$R$4000,MATCH($A1172,BBG_Data!$Q$2:$Q$4000,0)),NA()))</f>
        <v/>
      </c>
      <c r="AF1172" s="20">
        <f>IF(AND(ISNUMBER(B1172),ISNUMBER(AC1172)),(B1172-AC1172)*100,NA())</f>
        <v/>
      </c>
      <c r="AG1172" s="20">
        <f>IF(AND(ISNUMBER(AE1172),ISNUMBER(AD1172)),(AE1172-AD1172)*100,NA())</f>
        <v/>
      </c>
      <c r="AH1172" s="19">
        <f>IF(NOT(ISNUMBER($A1172)),NA(),IFERROR(INDEX(BBG_Data!$T$2:$T$4000,MATCH($A1172,BBG_Data!$S$2:$S$4000,0))*Settings!$B$25,NA()))</f>
        <v/>
      </c>
      <c r="AI1172" s="19">
        <f>IF(NOT(ISNUMBER($A1172)),NA(),IFERROR(INDEX(BBG_Data!$V$2:$V$4000,MATCH($A1172,BBG_Data!$U$2:$U$4000,0))*Settings!$B$25,NA()))</f>
        <v/>
      </c>
      <c r="AJ1172" s="19">
        <f>IF(NOT(ISNUMBER($A1172)),NA(),IFERROR(1*INDEX(BBG_Data!$X$2:$X$4000,MATCH($A1172,BBG_Data!$W$2:$W$4000,0)),NA()))</f>
        <v/>
      </c>
      <c r="AK1172" s="19">
        <f>IF(NOT(ISNUMBER($A1172)),NA(),IFERROR(1*INDEX(BBG_Data!$Z$2:$Z$4000,MATCH($A1172,BBG_Data!$Y$2:$Y$4000,0)),NA()))</f>
        <v/>
      </c>
    </row>
    <row r="1173">
      <c r="A1173" s="17">
        <f>IF(ISNUMBER(BBG_Data!A1173),BBG_Data!A1173,"")</f>
        <v/>
      </c>
      <c r="B1173" s="18">
        <f>IF(AND(ISNUMBER($A1173),ISNUMBER(BBG_Data!B1173)),BBG_Data!B1173,NA())</f>
        <v/>
      </c>
      <c r="C1173" s="18">
        <f>IF(NOT(ISNUMBER($A1173)),NA(),IFERROR(1*INDEX(BBG_Data!$D$2:$D$4000,MATCH($A1173,BBG_Data!$C$2:$C$4000,0)),NA()))</f>
        <v/>
      </c>
      <c r="D1173" s="19">
        <f>IF(NOT(ISNUMBER($A1173)),NA(),IFERROR(1*INDEX(BBG_Data!$F$2:$F$4000,MATCH($A1173,BBG_Data!$E$2:$E$4000,0)),NA()))</f>
        <v/>
      </c>
      <c r="E1173" s="19">
        <f>IF(NOT(ISNUMBER($A1173)),NA(),IFERROR(1*INDEX(BBG_Data!$H$2:$H$4000,MATCH($A1173,BBG_Data!$G$2:$G$4000,0)),NA()))</f>
        <v/>
      </c>
      <c r="F1173" s="20">
        <f>IF(AND(ISNUMBER(B1173),ISNUMBER(B1172)),IF(B1173=B1172,"",(B1173-B1172)*100),"")</f>
        <v/>
      </c>
      <c r="G1173" s="20">
        <f>IF(AND(ISNUMBER(C1173),ISNUMBER(C1172)),IF(C1173=C1172,"",(C1173-C1172)*100),"")</f>
        <v/>
      </c>
      <c r="H1173" s="20">
        <f>IF(OR(NOT(ISNUMBER($A1173)),ROW()-2&lt;Settings!$B$11),NA(),IF(COUNT(OFFSET(F1173,1-Settings!$B$11,0,Settings!$B$11,1))&lt;ROUNDUP(Settings!$B$11*Settings!$B$26,0),NA(),STDEV(OFFSET(F1173,1-Settings!$B$11,0,Settings!$B$11,1))*SQRT(Settings!$B$13)))</f>
        <v/>
      </c>
      <c r="I1173" s="20">
        <f>IF(OR(NOT(ISNUMBER($A1173)),ROW()-2&lt;Settings!$B$12),NA(),IF(COUNT(OFFSET(F1173,1-Settings!$B$12,0,Settings!$B$12,1))&lt;ROUNDUP(Settings!$B$12*Settings!$B$26,0),NA(),STDEV(OFFSET(F1173,1-Settings!$B$12,0,Settings!$B$12,1))*SQRT(Settings!$B$13)))</f>
        <v/>
      </c>
      <c r="J1173" s="20">
        <f>IF(OR(NOT(ISNUMBER($A1173)),ROW()-2&lt;Settings!$B$11),NA(),IF(COUNT(OFFSET(G1173,1-Settings!$B$11,0,Settings!$B$11,1))&lt;ROUNDUP(Settings!$B$11*Settings!$B$26,0),NA(),STDEV(OFFSET(G1173,1-Settings!$B$11,0,Settings!$B$11,1))*SQRT(Settings!$B$13)))</f>
        <v/>
      </c>
      <c r="K1173" s="20">
        <f>IF(OR(NOT(ISNUMBER($A1173)),ROW()-2&lt;Settings!$B$12),NA(),IF(COUNT(OFFSET(G1173,1-Settings!$B$12,0,Settings!$B$12,1))&lt;ROUNDUP(Settings!$B$12*Settings!$B$26,0),NA(),STDEV(OFFSET(G1173,1-Settings!$B$12,0,Settings!$B$12,1))*SQRT(Settings!$B$13)))</f>
        <v/>
      </c>
      <c r="L1173" s="20">
        <f>IF(AND(ISNUMBER(D1173),ISNUMBER(H1173)),D1173-H1173,NA())</f>
        <v/>
      </c>
      <c r="M1173" s="20">
        <f>IF(AND(ISNUMBER(E1173),ISNUMBER(K1173)),E1173-K1173,NA())</f>
        <v/>
      </c>
      <c r="N1173" s="20">
        <f>IF(NOT(ISNUMBER($A1173)),NA(),IF(COUNT(OFFSET(G1173,1,0,Settings!$B$12,1))&lt;ROUNDUP(Settings!$B$12*Settings!$B$26,0),NA(),STDEV(OFFSET(G1173,1,0,Settings!$B$12,1))*SQRT(Settings!$B$13)))</f>
        <v/>
      </c>
      <c r="O1173" s="20">
        <f>IF(AND(ISNUMBER(E1173),ISNUMBER(N1173)),E1173-N1173,NA())</f>
        <v/>
      </c>
      <c r="P1173" s="19">
        <f>IF(NOT(ISNUMBER($A1173)),NA(),IF(OR($A1173&lt;MIN(KW_TP!$A$2:$A$2501),$A1173&gt;MAX(KW_TP!$A$2:$A$2501)),NA(),INDEX(KW_TP!$C$2:$C$2501,MATCH($A1173,KW_TP!$A$2:$A$2501,1))))</f>
        <v/>
      </c>
      <c r="Q1173" s="18">
        <f>IF(NOT(ISNUMBER($A1173)),NA(),IFERROR(1*INDEX(BBG_Data!$J$2:$J$4000,MATCH($A1173,BBG_Data!$I$2:$I$4000,0)),NA()))</f>
        <v/>
      </c>
      <c r="R1173" s="18">
        <f>IF(NOT(ISNUMBER($A1173)),NA(),IFERROR(1*INDEX(BBG_Data!$L$2:$L$4000,MATCH($A1173,BBG_Data!$K$2:$K$4000,0)),NA()))</f>
        <v/>
      </c>
      <c r="S1173" s="20">
        <f>IF(AND(ISNUMBER(B1173),ISNUMBER(Q1173),ISNUMBER(R1173)),(B1173-Q1173-R1173)*100,NA())</f>
        <v/>
      </c>
      <c r="T1173" s="20">
        <f>IF(AND(ISNUMBER(B1173),Settings!$B$17&gt;0),IF(ISNUMBER(INDEX($B:$B,Settings!$B$17)),(B1173-INDEX($B:$B,Settings!$B$17))*100,NA()),NA())</f>
        <v/>
      </c>
      <c r="U1173" s="20">
        <f>IF(AND(ISNUMBER(Q1173),Settings!$B$17&gt;0),IF(ISNUMBER(INDEX($Q:$Q,Settings!$B$17)),(Q1173-INDEX($Q:$Q,Settings!$B$17))*100,NA()),NA())</f>
        <v/>
      </c>
      <c r="V1173" s="20">
        <f>IF(AND(ISNUMBER(R1173),Settings!$B$17&gt;0),IF(ISNUMBER(INDEX($R:$R,Settings!$B$17)),(R1173-INDEX($R:$R,Settings!$B$17))*100,NA()),NA())</f>
        <v/>
      </c>
      <c r="W1173" s="20">
        <f>IF(AND(ISNUMBER(P1173),Settings!$B$17&gt;0),IF(ISNUMBER(INDEX($P:$P,Settings!$B$17)),P1173-INDEX($P:$P,Settings!$B$17),NA()),NA())</f>
        <v/>
      </c>
      <c r="X1173" s="19">
        <f>IF(NOT(ISNUMBER($A1173)),NA(),IF(OR($A1173&lt;MIN(DKW_10Y!$A$2:$A$2918),$A1173&gt;MAX(DKW_10Y!$A$2:$A$2918),Settings!$B$16&lt;MIN(DKW_10Y!$A$2:$A$2918)),NA(),(INDEX(DKW_10Y!$B$2:$B$2918,MATCH($A1173,DKW_10Y!$A$2:$A$2918,1))-INDEX(DKW_10Y!$B$2:$B$2918,MATCH(Settings!$B$16,DKW_10Y!$A$2:$A$2918,1)))*100))</f>
        <v/>
      </c>
      <c r="Y1173" s="19">
        <f>IF(NOT(ISNUMBER($A1173)),NA(),IF(OR($A1173&lt;MIN(DKW_10Y!$A$2:$A$2918),$A1173&gt;MAX(DKW_10Y!$A$2:$A$2918),Settings!$B$16&lt;MIN(DKW_10Y!$A$2:$A$2918)),NA(),(INDEX(DKW_10Y!$C$2:$C$2918,MATCH($A1173,DKW_10Y!$A$2:$A$2918,1))-INDEX(DKW_10Y!$C$2:$C$2918,MATCH(Settings!$B$16,DKW_10Y!$A$2:$A$2918,1)))*100))</f>
        <v/>
      </c>
      <c r="Z1173" s="19">
        <f>IF(NOT(ISNUMBER($A1173)),NA(),IF(OR($A1173&lt;MIN(DKW_10Y!$A$2:$A$2918),$A1173&gt;MAX(DKW_10Y!$A$2:$A$2918),Settings!$B$16&lt;MIN(DKW_10Y!$A$2:$A$2918)),NA(),(INDEX(DKW_10Y!$D$2:$D$2918,MATCH($A1173,DKW_10Y!$A$2:$A$2918,1))-INDEX(DKW_10Y!$D$2:$D$2918,MATCH(Settings!$B$16,DKW_10Y!$A$2:$A$2918,1)))*100))</f>
        <v/>
      </c>
      <c r="AA1173" s="19">
        <f>IF(NOT(ISNUMBER($A1173)),NA(),IF(OR($A1173&lt;MIN(DKW_10Y!$A$2:$A$2918),$A1173&gt;MAX(DKW_10Y!$A$2:$A$2918),Settings!$B$16&lt;MIN(DKW_10Y!$A$2:$A$2918)),NA(),(INDEX(DKW_10Y!$E$2:$E$2918,MATCH($A1173,DKW_10Y!$A$2:$A$2918,1))-INDEX(DKW_10Y!$E$2:$E$2918,MATCH(Settings!$B$16,DKW_10Y!$A$2:$A$2918,1)))*100))</f>
        <v/>
      </c>
      <c r="AB1173" s="19">
        <f>IF(NOT(ISNUMBER($A1173)),NA(),IF(OR($A1173&lt;MIN(DKW_10Y!$A$2:$A$2918),$A1173&gt;MAX(DKW_10Y!$A$2:$A$2918),Settings!$B$16&lt;MIN(DKW_10Y!$A$2:$A$2918)),NA(),(INDEX(DKW_10Y!$H$2:$H$2918,MATCH($A1173,DKW_10Y!$A$2:$A$2918,1))-INDEX(DKW_10Y!$H$2:$H$2918,MATCH(Settings!$B$16,DKW_10Y!$A$2:$A$2918,1)))*100))</f>
        <v/>
      </c>
      <c r="AC1173" s="18">
        <f>IF(NOT(ISNUMBER($A1173)),NA(),IFERROR(1*INDEX(BBG_Data!$N$2:$N$4000,MATCH($A1173,BBG_Data!$M$2:$M$4000,0)),NA()))</f>
        <v/>
      </c>
      <c r="AD1173" s="18">
        <f>IF(NOT(ISNUMBER($A1173)),NA(),IFERROR(1*INDEX(BBG_Data!$P$2:$P$4000,MATCH($A1173,BBG_Data!$O$2:$O$4000,0)),NA()))</f>
        <v/>
      </c>
      <c r="AE1173" s="18">
        <f>IF(NOT(ISNUMBER($A1173)),NA(),IFERROR(1*INDEX(BBG_Data!$R$2:$R$4000,MATCH($A1173,BBG_Data!$Q$2:$Q$4000,0)),NA()))</f>
        <v/>
      </c>
      <c r="AF1173" s="20">
        <f>IF(AND(ISNUMBER(B1173),ISNUMBER(AC1173)),(B1173-AC1173)*100,NA())</f>
        <v/>
      </c>
      <c r="AG1173" s="20">
        <f>IF(AND(ISNUMBER(AE1173),ISNUMBER(AD1173)),(AE1173-AD1173)*100,NA())</f>
        <v/>
      </c>
      <c r="AH1173" s="19">
        <f>IF(NOT(ISNUMBER($A1173)),NA(),IFERROR(INDEX(BBG_Data!$T$2:$T$4000,MATCH($A1173,BBG_Data!$S$2:$S$4000,0))*Settings!$B$25,NA()))</f>
        <v/>
      </c>
      <c r="AI1173" s="19">
        <f>IF(NOT(ISNUMBER($A1173)),NA(),IFERROR(INDEX(BBG_Data!$V$2:$V$4000,MATCH($A1173,BBG_Data!$U$2:$U$4000,0))*Settings!$B$25,NA()))</f>
        <v/>
      </c>
      <c r="AJ1173" s="19">
        <f>IF(NOT(ISNUMBER($A1173)),NA(),IFERROR(1*INDEX(BBG_Data!$X$2:$X$4000,MATCH($A1173,BBG_Data!$W$2:$W$4000,0)),NA()))</f>
        <v/>
      </c>
      <c r="AK1173" s="19">
        <f>IF(NOT(ISNUMBER($A1173)),NA(),IFERROR(1*INDEX(BBG_Data!$Z$2:$Z$4000,MATCH($A1173,BBG_Data!$Y$2:$Y$4000,0)),NA()))</f>
        <v/>
      </c>
    </row>
    <row r="1174">
      <c r="A1174" s="17">
        <f>IF(ISNUMBER(BBG_Data!A1174),BBG_Data!A1174,"")</f>
        <v/>
      </c>
      <c r="B1174" s="18">
        <f>IF(AND(ISNUMBER($A1174),ISNUMBER(BBG_Data!B1174)),BBG_Data!B1174,NA())</f>
        <v/>
      </c>
      <c r="C1174" s="18">
        <f>IF(NOT(ISNUMBER($A1174)),NA(),IFERROR(1*INDEX(BBG_Data!$D$2:$D$4000,MATCH($A1174,BBG_Data!$C$2:$C$4000,0)),NA()))</f>
        <v/>
      </c>
      <c r="D1174" s="19">
        <f>IF(NOT(ISNUMBER($A1174)),NA(),IFERROR(1*INDEX(BBG_Data!$F$2:$F$4000,MATCH($A1174,BBG_Data!$E$2:$E$4000,0)),NA()))</f>
        <v/>
      </c>
      <c r="E1174" s="19">
        <f>IF(NOT(ISNUMBER($A1174)),NA(),IFERROR(1*INDEX(BBG_Data!$H$2:$H$4000,MATCH($A1174,BBG_Data!$G$2:$G$4000,0)),NA()))</f>
        <v/>
      </c>
      <c r="F1174" s="20">
        <f>IF(AND(ISNUMBER(B1174),ISNUMBER(B1173)),IF(B1174=B1173,"",(B1174-B1173)*100),"")</f>
        <v/>
      </c>
      <c r="G1174" s="20">
        <f>IF(AND(ISNUMBER(C1174),ISNUMBER(C1173)),IF(C1174=C1173,"",(C1174-C1173)*100),"")</f>
        <v/>
      </c>
      <c r="H1174" s="20">
        <f>IF(OR(NOT(ISNUMBER($A1174)),ROW()-2&lt;Settings!$B$11),NA(),IF(COUNT(OFFSET(F1174,1-Settings!$B$11,0,Settings!$B$11,1))&lt;ROUNDUP(Settings!$B$11*Settings!$B$26,0),NA(),STDEV(OFFSET(F1174,1-Settings!$B$11,0,Settings!$B$11,1))*SQRT(Settings!$B$13)))</f>
        <v/>
      </c>
      <c r="I1174" s="20">
        <f>IF(OR(NOT(ISNUMBER($A1174)),ROW()-2&lt;Settings!$B$12),NA(),IF(COUNT(OFFSET(F1174,1-Settings!$B$12,0,Settings!$B$12,1))&lt;ROUNDUP(Settings!$B$12*Settings!$B$26,0),NA(),STDEV(OFFSET(F1174,1-Settings!$B$12,0,Settings!$B$12,1))*SQRT(Settings!$B$13)))</f>
        <v/>
      </c>
      <c r="J1174" s="20">
        <f>IF(OR(NOT(ISNUMBER($A1174)),ROW()-2&lt;Settings!$B$11),NA(),IF(COUNT(OFFSET(G1174,1-Settings!$B$11,0,Settings!$B$11,1))&lt;ROUNDUP(Settings!$B$11*Settings!$B$26,0),NA(),STDEV(OFFSET(G1174,1-Settings!$B$11,0,Settings!$B$11,1))*SQRT(Settings!$B$13)))</f>
        <v/>
      </c>
      <c r="K1174" s="20">
        <f>IF(OR(NOT(ISNUMBER($A1174)),ROW()-2&lt;Settings!$B$12),NA(),IF(COUNT(OFFSET(G1174,1-Settings!$B$12,0,Settings!$B$12,1))&lt;ROUNDUP(Settings!$B$12*Settings!$B$26,0),NA(),STDEV(OFFSET(G1174,1-Settings!$B$12,0,Settings!$B$12,1))*SQRT(Settings!$B$13)))</f>
        <v/>
      </c>
      <c r="L1174" s="20">
        <f>IF(AND(ISNUMBER(D1174),ISNUMBER(H1174)),D1174-H1174,NA())</f>
        <v/>
      </c>
      <c r="M1174" s="20">
        <f>IF(AND(ISNUMBER(E1174),ISNUMBER(K1174)),E1174-K1174,NA())</f>
        <v/>
      </c>
      <c r="N1174" s="20">
        <f>IF(NOT(ISNUMBER($A1174)),NA(),IF(COUNT(OFFSET(G1174,1,0,Settings!$B$12,1))&lt;ROUNDUP(Settings!$B$12*Settings!$B$26,0),NA(),STDEV(OFFSET(G1174,1,0,Settings!$B$12,1))*SQRT(Settings!$B$13)))</f>
        <v/>
      </c>
      <c r="O1174" s="20">
        <f>IF(AND(ISNUMBER(E1174),ISNUMBER(N1174)),E1174-N1174,NA())</f>
        <v/>
      </c>
      <c r="P1174" s="19">
        <f>IF(NOT(ISNUMBER($A1174)),NA(),IF(OR($A1174&lt;MIN(KW_TP!$A$2:$A$2501),$A1174&gt;MAX(KW_TP!$A$2:$A$2501)),NA(),INDEX(KW_TP!$C$2:$C$2501,MATCH($A1174,KW_TP!$A$2:$A$2501,1))))</f>
        <v/>
      </c>
      <c r="Q1174" s="18">
        <f>IF(NOT(ISNUMBER($A1174)),NA(),IFERROR(1*INDEX(BBG_Data!$J$2:$J$4000,MATCH($A1174,BBG_Data!$I$2:$I$4000,0)),NA()))</f>
        <v/>
      </c>
      <c r="R1174" s="18">
        <f>IF(NOT(ISNUMBER($A1174)),NA(),IFERROR(1*INDEX(BBG_Data!$L$2:$L$4000,MATCH($A1174,BBG_Data!$K$2:$K$4000,0)),NA()))</f>
        <v/>
      </c>
      <c r="S1174" s="20">
        <f>IF(AND(ISNUMBER(B1174),ISNUMBER(Q1174),ISNUMBER(R1174)),(B1174-Q1174-R1174)*100,NA())</f>
        <v/>
      </c>
      <c r="T1174" s="20">
        <f>IF(AND(ISNUMBER(B1174),Settings!$B$17&gt;0),IF(ISNUMBER(INDEX($B:$B,Settings!$B$17)),(B1174-INDEX($B:$B,Settings!$B$17))*100,NA()),NA())</f>
        <v/>
      </c>
      <c r="U1174" s="20">
        <f>IF(AND(ISNUMBER(Q1174),Settings!$B$17&gt;0),IF(ISNUMBER(INDEX($Q:$Q,Settings!$B$17)),(Q1174-INDEX($Q:$Q,Settings!$B$17))*100,NA()),NA())</f>
        <v/>
      </c>
      <c r="V1174" s="20">
        <f>IF(AND(ISNUMBER(R1174),Settings!$B$17&gt;0),IF(ISNUMBER(INDEX($R:$R,Settings!$B$17)),(R1174-INDEX($R:$R,Settings!$B$17))*100,NA()),NA())</f>
        <v/>
      </c>
      <c r="W1174" s="20">
        <f>IF(AND(ISNUMBER(P1174),Settings!$B$17&gt;0),IF(ISNUMBER(INDEX($P:$P,Settings!$B$17)),P1174-INDEX($P:$P,Settings!$B$17),NA()),NA())</f>
        <v/>
      </c>
      <c r="X1174" s="19">
        <f>IF(NOT(ISNUMBER($A1174)),NA(),IF(OR($A1174&lt;MIN(DKW_10Y!$A$2:$A$2918),$A1174&gt;MAX(DKW_10Y!$A$2:$A$2918),Settings!$B$16&lt;MIN(DKW_10Y!$A$2:$A$2918)),NA(),(INDEX(DKW_10Y!$B$2:$B$2918,MATCH($A1174,DKW_10Y!$A$2:$A$2918,1))-INDEX(DKW_10Y!$B$2:$B$2918,MATCH(Settings!$B$16,DKW_10Y!$A$2:$A$2918,1)))*100))</f>
        <v/>
      </c>
      <c r="Y1174" s="19">
        <f>IF(NOT(ISNUMBER($A1174)),NA(),IF(OR($A1174&lt;MIN(DKW_10Y!$A$2:$A$2918),$A1174&gt;MAX(DKW_10Y!$A$2:$A$2918),Settings!$B$16&lt;MIN(DKW_10Y!$A$2:$A$2918)),NA(),(INDEX(DKW_10Y!$C$2:$C$2918,MATCH($A1174,DKW_10Y!$A$2:$A$2918,1))-INDEX(DKW_10Y!$C$2:$C$2918,MATCH(Settings!$B$16,DKW_10Y!$A$2:$A$2918,1)))*100))</f>
        <v/>
      </c>
      <c r="Z1174" s="19">
        <f>IF(NOT(ISNUMBER($A1174)),NA(),IF(OR($A1174&lt;MIN(DKW_10Y!$A$2:$A$2918),$A1174&gt;MAX(DKW_10Y!$A$2:$A$2918),Settings!$B$16&lt;MIN(DKW_10Y!$A$2:$A$2918)),NA(),(INDEX(DKW_10Y!$D$2:$D$2918,MATCH($A1174,DKW_10Y!$A$2:$A$2918,1))-INDEX(DKW_10Y!$D$2:$D$2918,MATCH(Settings!$B$16,DKW_10Y!$A$2:$A$2918,1)))*100))</f>
        <v/>
      </c>
      <c r="AA1174" s="19">
        <f>IF(NOT(ISNUMBER($A1174)),NA(),IF(OR($A1174&lt;MIN(DKW_10Y!$A$2:$A$2918),$A1174&gt;MAX(DKW_10Y!$A$2:$A$2918),Settings!$B$16&lt;MIN(DKW_10Y!$A$2:$A$2918)),NA(),(INDEX(DKW_10Y!$E$2:$E$2918,MATCH($A1174,DKW_10Y!$A$2:$A$2918,1))-INDEX(DKW_10Y!$E$2:$E$2918,MATCH(Settings!$B$16,DKW_10Y!$A$2:$A$2918,1)))*100))</f>
        <v/>
      </c>
      <c r="AB1174" s="19">
        <f>IF(NOT(ISNUMBER($A1174)),NA(),IF(OR($A1174&lt;MIN(DKW_10Y!$A$2:$A$2918),$A1174&gt;MAX(DKW_10Y!$A$2:$A$2918),Settings!$B$16&lt;MIN(DKW_10Y!$A$2:$A$2918)),NA(),(INDEX(DKW_10Y!$H$2:$H$2918,MATCH($A1174,DKW_10Y!$A$2:$A$2918,1))-INDEX(DKW_10Y!$H$2:$H$2918,MATCH(Settings!$B$16,DKW_10Y!$A$2:$A$2918,1)))*100))</f>
        <v/>
      </c>
      <c r="AC1174" s="18">
        <f>IF(NOT(ISNUMBER($A1174)),NA(),IFERROR(1*INDEX(BBG_Data!$N$2:$N$4000,MATCH($A1174,BBG_Data!$M$2:$M$4000,0)),NA()))</f>
        <v/>
      </c>
      <c r="AD1174" s="18">
        <f>IF(NOT(ISNUMBER($A1174)),NA(),IFERROR(1*INDEX(BBG_Data!$P$2:$P$4000,MATCH($A1174,BBG_Data!$O$2:$O$4000,0)),NA()))</f>
        <v/>
      </c>
      <c r="AE1174" s="18">
        <f>IF(NOT(ISNUMBER($A1174)),NA(),IFERROR(1*INDEX(BBG_Data!$R$2:$R$4000,MATCH($A1174,BBG_Data!$Q$2:$Q$4000,0)),NA()))</f>
        <v/>
      </c>
      <c r="AF1174" s="20">
        <f>IF(AND(ISNUMBER(B1174),ISNUMBER(AC1174)),(B1174-AC1174)*100,NA())</f>
        <v/>
      </c>
      <c r="AG1174" s="20">
        <f>IF(AND(ISNUMBER(AE1174),ISNUMBER(AD1174)),(AE1174-AD1174)*100,NA())</f>
        <v/>
      </c>
      <c r="AH1174" s="19">
        <f>IF(NOT(ISNUMBER($A1174)),NA(),IFERROR(INDEX(BBG_Data!$T$2:$T$4000,MATCH($A1174,BBG_Data!$S$2:$S$4000,0))*Settings!$B$25,NA()))</f>
        <v/>
      </c>
      <c r="AI1174" s="19">
        <f>IF(NOT(ISNUMBER($A1174)),NA(),IFERROR(INDEX(BBG_Data!$V$2:$V$4000,MATCH($A1174,BBG_Data!$U$2:$U$4000,0))*Settings!$B$25,NA()))</f>
        <v/>
      </c>
      <c r="AJ1174" s="19">
        <f>IF(NOT(ISNUMBER($A1174)),NA(),IFERROR(1*INDEX(BBG_Data!$X$2:$X$4000,MATCH($A1174,BBG_Data!$W$2:$W$4000,0)),NA()))</f>
        <v/>
      </c>
      <c r="AK1174" s="19">
        <f>IF(NOT(ISNUMBER($A1174)),NA(),IFERROR(1*INDEX(BBG_Data!$Z$2:$Z$4000,MATCH($A1174,BBG_Data!$Y$2:$Y$4000,0)),NA()))</f>
        <v/>
      </c>
    </row>
    <row r="1175">
      <c r="A1175" s="17">
        <f>IF(ISNUMBER(BBG_Data!A1175),BBG_Data!A1175,"")</f>
        <v/>
      </c>
      <c r="B1175" s="18">
        <f>IF(AND(ISNUMBER($A1175),ISNUMBER(BBG_Data!B1175)),BBG_Data!B1175,NA())</f>
        <v/>
      </c>
      <c r="C1175" s="18">
        <f>IF(NOT(ISNUMBER($A1175)),NA(),IFERROR(1*INDEX(BBG_Data!$D$2:$D$4000,MATCH($A1175,BBG_Data!$C$2:$C$4000,0)),NA()))</f>
        <v/>
      </c>
      <c r="D1175" s="19">
        <f>IF(NOT(ISNUMBER($A1175)),NA(),IFERROR(1*INDEX(BBG_Data!$F$2:$F$4000,MATCH($A1175,BBG_Data!$E$2:$E$4000,0)),NA()))</f>
        <v/>
      </c>
      <c r="E1175" s="19">
        <f>IF(NOT(ISNUMBER($A1175)),NA(),IFERROR(1*INDEX(BBG_Data!$H$2:$H$4000,MATCH($A1175,BBG_Data!$G$2:$G$4000,0)),NA()))</f>
        <v/>
      </c>
      <c r="F1175" s="20">
        <f>IF(AND(ISNUMBER(B1175),ISNUMBER(B1174)),IF(B1175=B1174,"",(B1175-B1174)*100),"")</f>
        <v/>
      </c>
      <c r="G1175" s="20">
        <f>IF(AND(ISNUMBER(C1175),ISNUMBER(C1174)),IF(C1175=C1174,"",(C1175-C1174)*100),"")</f>
        <v/>
      </c>
      <c r="H1175" s="20">
        <f>IF(OR(NOT(ISNUMBER($A1175)),ROW()-2&lt;Settings!$B$11),NA(),IF(COUNT(OFFSET(F1175,1-Settings!$B$11,0,Settings!$B$11,1))&lt;ROUNDUP(Settings!$B$11*Settings!$B$26,0),NA(),STDEV(OFFSET(F1175,1-Settings!$B$11,0,Settings!$B$11,1))*SQRT(Settings!$B$13)))</f>
        <v/>
      </c>
      <c r="I1175" s="20">
        <f>IF(OR(NOT(ISNUMBER($A1175)),ROW()-2&lt;Settings!$B$12),NA(),IF(COUNT(OFFSET(F1175,1-Settings!$B$12,0,Settings!$B$12,1))&lt;ROUNDUP(Settings!$B$12*Settings!$B$26,0),NA(),STDEV(OFFSET(F1175,1-Settings!$B$12,0,Settings!$B$12,1))*SQRT(Settings!$B$13)))</f>
        <v/>
      </c>
      <c r="J1175" s="20">
        <f>IF(OR(NOT(ISNUMBER($A1175)),ROW()-2&lt;Settings!$B$11),NA(),IF(COUNT(OFFSET(G1175,1-Settings!$B$11,0,Settings!$B$11,1))&lt;ROUNDUP(Settings!$B$11*Settings!$B$26,0),NA(),STDEV(OFFSET(G1175,1-Settings!$B$11,0,Settings!$B$11,1))*SQRT(Settings!$B$13)))</f>
        <v/>
      </c>
      <c r="K1175" s="20">
        <f>IF(OR(NOT(ISNUMBER($A1175)),ROW()-2&lt;Settings!$B$12),NA(),IF(COUNT(OFFSET(G1175,1-Settings!$B$12,0,Settings!$B$12,1))&lt;ROUNDUP(Settings!$B$12*Settings!$B$26,0),NA(),STDEV(OFFSET(G1175,1-Settings!$B$12,0,Settings!$B$12,1))*SQRT(Settings!$B$13)))</f>
        <v/>
      </c>
      <c r="L1175" s="20">
        <f>IF(AND(ISNUMBER(D1175),ISNUMBER(H1175)),D1175-H1175,NA())</f>
        <v/>
      </c>
      <c r="M1175" s="20">
        <f>IF(AND(ISNUMBER(E1175),ISNUMBER(K1175)),E1175-K1175,NA())</f>
        <v/>
      </c>
      <c r="N1175" s="20">
        <f>IF(NOT(ISNUMBER($A1175)),NA(),IF(COUNT(OFFSET(G1175,1,0,Settings!$B$12,1))&lt;ROUNDUP(Settings!$B$12*Settings!$B$26,0),NA(),STDEV(OFFSET(G1175,1,0,Settings!$B$12,1))*SQRT(Settings!$B$13)))</f>
        <v/>
      </c>
      <c r="O1175" s="20">
        <f>IF(AND(ISNUMBER(E1175),ISNUMBER(N1175)),E1175-N1175,NA())</f>
        <v/>
      </c>
      <c r="P1175" s="19">
        <f>IF(NOT(ISNUMBER($A1175)),NA(),IF(OR($A1175&lt;MIN(KW_TP!$A$2:$A$2501),$A1175&gt;MAX(KW_TP!$A$2:$A$2501)),NA(),INDEX(KW_TP!$C$2:$C$2501,MATCH($A1175,KW_TP!$A$2:$A$2501,1))))</f>
        <v/>
      </c>
      <c r="Q1175" s="18">
        <f>IF(NOT(ISNUMBER($A1175)),NA(),IFERROR(1*INDEX(BBG_Data!$J$2:$J$4000,MATCH($A1175,BBG_Data!$I$2:$I$4000,0)),NA()))</f>
        <v/>
      </c>
      <c r="R1175" s="18">
        <f>IF(NOT(ISNUMBER($A1175)),NA(),IFERROR(1*INDEX(BBG_Data!$L$2:$L$4000,MATCH($A1175,BBG_Data!$K$2:$K$4000,0)),NA()))</f>
        <v/>
      </c>
      <c r="S1175" s="20">
        <f>IF(AND(ISNUMBER(B1175),ISNUMBER(Q1175),ISNUMBER(R1175)),(B1175-Q1175-R1175)*100,NA())</f>
        <v/>
      </c>
      <c r="T1175" s="20">
        <f>IF(AND(ISNUMBER(B1175),Settings!$B$17&gt;0),IF(ISNUMBER(INDEX($B:$B,Settings!$B$17)),(B1175-INDEX($B:$B,Settings!$B$17))*100,NA()),NA())</f>
        <v/>
      </c>
      <c r="U1175" s="20">
        <f>IF(AND(ISNUMBER(Q1175),Settings!$B$17&gt;0),IF(ISNUMBER(INDEX($Q:$Q,Settings!$B$17)),(Q1175-INDEX($Q:$Q,Settings!$B$17))*100,NA()),NA())</f>
        <v/>
      </c>
      <c r="V1175" s="20">
        <f>IF(AND(ISNUMBER(R1175),Settings!$B$17&gt;0),IF(ISNUMBER(INDEX($R:$R,Settings!$B$17)),(R1175-INDEX($R:$R,Settings!$B$17))*100,NA()),NA())</f>
        <v/>
      </c>
      <c r="W1175" s="20">
        <f>IF(AND(ISNUMBER(P1175),Settings!$B$17&gt;0),IF(ISNUMBER(INDEX($P:$P,Settings!$B$17)),P1175-INDEX($P:$P,Settings!$B$17),NA()),NA())</f>
        <v/>
      </c>
      <c r="X1175" s="19">
        <f>IF(NOT(ISNUMBER($A1175)),NA(),IF(OR($A1175&lt;MIN(DKW_10Y!$A$2:$A$2918),$A1175&gt;MAX(DKW_10Y!$A$2:$A$2918),Settings!$B$16&lt;MIN(DKW_10Y!$A$2:$A$2918)),NA(),(INDEX(DKW_10Y!$B$2:$B$2918,MATCH($A1175,DKW_10Y!$A$2:$A$2918,1))-INDEX(DKW_10Y!$B$2:$B$2918,MATCH(Settings!$B$16,DKW_10Y!$A$2:$A$2918,1)))*100))</f>
        <v/>
      </c>
      <c r="Y1175" s="19">
        <f>IF(NOT(ISNUMBER($A1175)),NA(),IF(OR($A1175&lt;MIN(DKW_10Y!$A$2:$A$2918),$A1175&gt;MAX(DKW_10Y!$A$2:$A$2918),Settings!$B$16&lt;MIN(DKW_10Y!$A$2:$A$2918)),NA(),(INDEX(DKW_10Y!$C$2:$C$2918,MATCH($A1175,DKW_10Y!$A$2:$A$2918,1))-INDEX(DKW_10Y!$C$2:$C$2918,MATCH(Settings!$B$16,DKW_10Y!$A$2:$A$2918,1)))*100))</f>
        <v/>
      </c>
      <c r="Z1175" s="19">
        <f>IF(NOT(ISNUMBER($A1175)),NA(),IF(OR($A1175&lt;MIN(DKW_10Y!$A$2:$A$2918),$A1175&gt;MAX(DKW_10Y!$A$2:$A$2918),Settings!$B$16&lt;MIN(DKW_10Y!$A$2:$A$2918)),NA(),(INDEX(DKW_10Y!$D$2:$D$2918,MATCH($A1175,DKW_10Y!$A$2:$A$2918,1))-INDEX(DKW_10Y!$D$2:$D$2918,MATCH(Settings!$B$16,DKW_10Y!$A$2:$A$2918,1)))*100))</f>
        <v/>
      </c>
      <c r="AA1175" s="19">
        <f>IF(NOT(ISNUMBER($A1175)),NA(),IF(OR($A1175&lt;MIN(DKW_10Y!$A$2:$A$2918),$A1175&gt;MAX(DKW_10Y!$A$2:$A$2918),Settings!$B$16&lt;MIN(DKW_10Y!$A$2:$A$2918)),NA(),(INDEX(DKW_10Y!$E$2:$E$2918,MATCH($A1175,DKW_10Y!$A$2:$A$2918,1))-INDEX(DKW_10Y!$E$2:$E$2918,MATCH(Settings!$B$16,DKW_10Y!$A$2:$A$2918,1)))*100))</f>
        <v/>
      </c>
      <c r="AB1175" s="19">
        <f>IF(NOT(ISNUMBER($A1175)),NA(),IF(OR($A1175&lt;MIN(DKW_10Y!$A$2:$A$2918),$A1175&gt;MAX(DKW_10Y!$A$2:$A$2918),Settings!$B$16&lt;MIN(DKW_10Y!$A$2:$A$2918)),NA(),(INDEX(DKW_10Y!$H$2:$H$2918,MATCH($A1175,DKW_10Y!$A$2:$A$2918,1))-INDEX(DKW_10Y!$H$2:$H$2918,MATCH(Settings!$B$16,DKW_10Y!$A$2:$A$2918,1)))*100))</f>
        <v/>
      </c>
      <c r="AC1175" s="18">
        <f>IF(NOT(ISNUMBER($A1175)),NA(),IFERROR(1*INDEX(BBG_Data!$N$2:$N$4000,MATCH($A1175,BBG_Data!$M$2:$M$4000,0)),NA()))</f>
        <v/>
      </c>
      <c r="AD1175" s="18">
        <f>IF(NOT(ISNUMBER($A1175)),NA(),IFERROR(1*INDEX(BBG_Data!$P$2:$P$4000,MATCH($A1175,BBG_Data!$O$2:$O$4000,0)),NA()))</f>
        <v/>
      </c>
      <c r="AE1175" s="18">
        <f>IF(NOT(ISNUMBER($A1175)),NA(),IFERROR(1*INDEX(BBG_Data!$R$2:$R$4000,MATCH($A1175,BBG_Data!$Q$2:$Q$4000,0)),NA()))</f>
        <v/>
      </c>
      <c r="AF1175" s="20">
        <f>IF(AND(ISNUMBER(B1175),ISNUMBER(AC1175)),(B1175-AC1175)*100,NA())</f>
        <v/>
      </c>
      <c r="AG1175" s="20">
        <f>IF(AND(ISNUMBER(AE1175),ISNUMBER(AD1175)),(AE1175-AD1175)*100,NA())</f>
        <v/>
      </c>
      <c r="AH1175" s="19">
        <f>IF(NOT(ISNUMBER($A1175)),NA(),IFERROR(INDEX(BBG_Data!$T$2:$T$4000,MATCH($A1175,BBG_Data!$S$2:$S$4000,0))*Settings!$B$25,NA()))</f>
        <v/>
      </c>
      <c r="AI1175" s="19">
        <f>IF(NOT(ISNUMBER($A1175)),NA(),IFERROR(INDEX(BBG_Data!$V$2:$V$4000,MATCH($A1175,BBG_Data!$U$2:$U$4000,0))*Settings!$B$25,NA()))</f>
        <v/>
      </c>
      <c r="AJ1175" s="19">
        <f>IF(NOT(ISNUMBER($A1175)),NA(),IFERROR(1*INDEX(BBG_Data!$X$2:$X$4000,MATCH($A1175,BBG_Data!$W$2:$W$4000,0)),NA()))</f>
        <v/>
      </c>
      <c r="AK1175" s="19">
        <f>IF(NOT(ISNUMBER($A1175)),NA(),IFERROR(1*INDEX(BBG_Data!$Z$2:$Z$4000,MATCH($A1175,BBG_Data!$Y$2:$Y$4000,0)),NA()))</f>
        <v/>
      </c>
    </row>
    <row r="1176">
      <c r="A1176" s="17">
        <f>IF(ISNUMBER(BBG_Data!A1176),BBG_Data!A1176,"")</f>
        <v/>
      </c>
      <c r="B1176" s="18">
        <f>IF(AND(ISNUMBER($A1176),ISNUMBER(BBG_Data!B1176)),BBG_Data!B1176,NA())</f>
        <v/>
      </c>
      <c r="C1176" s="18">
        <f>IF(NOT(ISNUMBER($A1176)),NA(),IFERROR(1*INDEX(BBG_Data!$D$2:$D$4000,MATCH($A1176,BBG_Data!$C$2:$C$4000,0)),NA()))</f>
        <v/>
      </c>
      <c r="D1176" s="19">
        <f>IF(NOT(ISNUMBER($A1176)),NA(),IFERROR(1*INDEX(BBG_Data!$F$2:$F$4000,MATCH($A1176,BBG_Data!$E$2:$E$4000,0)),NA()))</f>
        <v/>
      </c>
      <c r="E1176" s="19">
        <f>IF(NOT(ISNUMBER($A1176)),NA(),IFERROR(1*INDEX(BBG_Data!$H$2:$H$4000,MATCH($A1176,BBG_Data!$G$2:$G$4000,0)),NA()))</f>
        <v/>
      </c>
      <c r="F1176" s="20">
        <f>IF(AND(ISNUMBER(B1176),ISNUMBER(B1175)),IF(B1176=B1175,"",(B1176-B1175)*100),"")</f>
        <v/>
      </c>
      <c r="G1176" s="20">
        <f>IF(AND(ISNUMBER(C1176),ISNUMBER(C1175)),IF(C1176=C1175,"",(C1176-C1175)*100),"")</f>
        <v/>
      </c>
      <c r="H1176" s="20">
        <f>IF(OR(NOT(ISNUMBER($A1176)),ROW()-2&lt;Settings!$B$11),NA(),IF(COUNT(OFFSET(F1176,1-Settings!$B$11,0,Settings!$B$11,1))&lt;ROUNDUP(Settings!$B$11*Settings!$B$26,0),NA(),STDEV(OFFSET(F1176,1-Settings!$B$11,0,Settings!$B$11,1))*SQRT(Settings!$B$13)))</f>
        <v/>
      </c>
      <c r="I1176" s="20">
        <f>IF(OR(NOT(ISNUMBER($A1176)),ROW()-2&lt;Settings!$B$12),NA(),IF(COUNT(OFFSET(F1176,1-Settings!$B$12,0,Settings!$B$12,1))&lt;ROUNDUP(Settings!$B$12*Settings!$B$26,0),NA(),STDEV(OFFSET(F1176,1-Settings!$B$12,0,Settings!$B$12,1))*SQRT(Settings!$B$13)))</f>
        <v/>
      </c>
      <c r="J1176" s="20">
        <f>IF(OR(NOT(ISNUMBER($A1176)),ROW()-2&lt;Settings!$B$11),NA(),IF(COUNT(OFFSET(G1176,1-Settings!$B$11,0,Settings!$B$11,1))&lt;ROUNDUP(Settings!$B$11*Settings!$B$26,0),NA(),STDEV(OFFSET(G1176,1-Settings!$B$11,0,Settings!$B$11,1))*SQRT(Settings!$B$13)))</f>
        <v/>
      </c>
      <c r="K1176" s="20">
        <f>IF(OR(NOT(ISNUMBER($A1176)),ROW()-2&lt;Settings!$B$12),NA(),IF(COUNT(OFFSET(G1176,1-Settings!$B$12,0,Settings!$B$12,1))&lt;ROUNDUP(Settings!$B$12*Settings!$B$26,0),NA(),STDEV(OFFSET(G1176,1-Settings!$B$12,0,Settings!$B$12,1))*SQRT(Settings!$B$13)))</f>
        <v/>
      </c>
      <c r="L1176" s="20">
        <f>IF(AND(ISNUMBER(D1176),ISNUMBER(H1176)),D1176-H1176,NA())</f>
        <v/>
      </c>
      <c r="M1176" s="20">
        <f>IF(AND(ISNUMBER(E1176),ISNUMBER(K1176)),E1176-K1176,NA())</f>
        <v/>
      </c>
      <c r="N1176" s="20">
        <f>IF(NOT(ISNUMBER($A1176)),NA(),IF(COUNT(OFFSET(G1176,1,0,Settings!$B$12,1))&lt;ROUNDUP(Settings!$B$12*Settings!$B$26,0),NA(),STDEV(OFFSET(G1176,1,0,Settings!$B$12,1))*SQRT(Settings!$B$13)))</f>
        <v/>
      </c>
      <c r="O1176" s="20">
        <f>IF(AND(ISNUMBER(E1176),ISNUMBER(N1176)),E1176-N1176,NA())</f>
        <v/>
      </c>
      <c r="P1176" s="19">
        <f>IF(NOT(ISNUMBER($A1176)),NA(),IF(OR($A1176&lt;MIN(KW_TP!$A$2:$A$2501),$A1176&gt;MAX(KW_TP!$A$2:$A$2501)),NA(),INDEX(KW_TP!$C$2:$C$2501,MATCH($A1176,KW_TP!$A$2:$A$2501,1))))</f>
        <v/>
      </c>
      <c r="Q1176" s="18">
        <f>IF(NOT(ISNUMBER($A1176)),NA(),IFERROR(1*INDEX(BBG_Data!$J$2:$J$4000,MATCH($A1176,BBG_Data!$I$2:$I$4000,0)),NA()))</f>
        <v/>
      </c>
      <c r="R1176" s="18">
        <f>IF(NOT(ISNUMBER($A1176)),NA(),IFERROR(1*INDEX(BBG_Data!$L$2:$L$4000,MATCH($A1176,BBG_Data!$K$2:$K$4000,0)),NA()))</f>
        <v/>
      </c>
      <c r="S1176" s="20">
        <f>IF(AND(ISNUMBER(B1176),ISNUMBER(Q1176),ISNUMBER(R1176)),(B1176-Q1176-R1176)*100,NA())</f>
        <v/>
      </c>
      <c r="T1176" s="20">
        <f>IF(AND(ISNUMBER(B1176),Settings!$B$17&gt;0),IF(ISNUMBER(INDEX($B:$B,Settings!$B$17)),(B1176-INDEX($B:$B,Settings!$B$17))*100,NA()),NA())</f>
        <v/>
      </c>
      <c r="U1176" s="20">
        <f>IF(AND(ISNUMBER(Q1176),Settings!$B$17&gt;0),IF(ISNUMBER(INDEX($Q:$Q,Settings!$B$17)),(Q1176-INDEX($Q:$Q,Settings!$B$17))*100,NA()),NA())</f>
        <v/>
      </c>
      <c r="V1176" s="20">
        <f>IF(AND(ISNUMBER(R1176),Settings!$B$17&gt;0),IF(ISNUMBER(INDEX($R:$R,Settings!$B$17)),(R1176-INDEX($R:$R,Settings!$B$17))*100,NA()),NA())</f>
        <v/>
      </c>
      <c r="W1176" s="20">
        <f>IF(AND(ISNUMBER(P1176),Settings!$B$17&gt;0),IF(ISNUMBER(INDEX($P:$P,Settings!$B$17)),P1176-INDEX($P:$P,Settings!$B$17),NA()),NA())</f>
        <v/>
      </c>
      <c r="X1176" s="19">
        <f>IF(NOT(ISNUMBER($A1176)),NA(),IF(OR($A1176&lt;MIN(DKW_10Y!$A$2:$A$2918),$A1176&gt;MAX(DKW_10Y!$A$2:$A$2918),Settings!$B$16&lt;MIN(DKW_10Y!$A$2:$A$2918)),NA(),(INDEX(DKW_10Y!$B$2:$B$2918,MATCH($A1176,DKW_10Y!$A$2:$A$2918,1))-INDEX(DKW_10Y!$B$2:$B$2918,MATCH(Settings!$B$16,DKW_10Y!$A$2:$A$2918,1)))*100))</f>
        <v/>
      </c>
      <c r="Y1176" s="19">
        <f>IF(NOT(ISNUMBER($A1176)),NA(),IF(OR($A1176&lt;MIN(DKW_10Y!$A$2:$A$2918),$A1176&gt;MAX(DKW_10Y!$A$2:$A$2918),Settings!$B$16&lt;MIN(DKW_10Y!$A$2:$A$2918)),NA(),(INDEX(DKW_10Y!$C$2:$C$2918,MATCH($A1176,DKW_10Y!$A$2:$A$2918,1))-INDEX(DKW_10Y!$C$2:$C$2918,MATCH(Settings!$B$16,DKW_10Y!$A$2:$A$2918,1)))*100))</f>
        <v/>
      </c>
      <c r="Z1176" s="19">
        <f>IF(NOT(ISNUMBER($A1176)),NA(),IF(OR($A1176&lt;MIN(DKW_10Y!$A$2:$A$2918),$A1176&gt;MAX(DKW_10Y!$A$2:$A$2918),Settings!$B$16&lt;MIN(DKW_10Y!$A$2:$A$2918)),NA(),(INDEX(DKW_10Y!$D$2:$D$2918,MATCH($A1176,DKW_10Y!$A$2:$A$2918,1))-INDEX(DKW_10Y!$D$2:$D$2918,MATCH(Settings!$B$16,DKW_10Y!$A$2:$A$2918,1)))*100))</f>
        <v/>
      </c>
      <c r="AA1176" s="19">
        <f>IF(NOT(ISNUMBER($A1176)),NA(),IF(OR($A1176&lt;MIN(DKW_10Y!$A$2:$A$2918),$A1176&gt;MAX(DKW_10Y!$A$2:$A$2918),Settings!$B$16&lt;MIN(DKW_10Y!$A$2:$A$2918)),NA(),(INDEX(DKW_10Y!$E$2:$E$2918,MATCH($A1176,DKW_10Y!$A$2:$A$2918,1))-INDEX(DKW_10Y!$E$2:$E$2918,MATCH(Settings!$B$16,DKW_10Y!$A$2:$A$2918,1)))*100))</f>
        <v/>
      </c>
      <c r="AB1176" s="19">
        <f>IF(NOT(ISNUMBER($A1176)),NA(),IF(OR($A1176&lt;MIN(DKW_10Y!$A$2:$A$2918),$A1176&gt;MAX(DKW_10Y!$A$2:$A$2918),Settings!$B$16&lt;MIN(DKW_10Y!$A$2:$A$2918)),NA(),(INDEX(DKW_10Y!$H$2:$H$2918,MATCH($A1176,DKW_10Y!$A$2:$A$2918,1))-INDEX(DKW_10Y!$H$2:$H$2918,MATCH(Settings!$B$16,DKW_10Y!$A$2:$A$2918,1)))*100))</f>
        <v/>
      </c>
      <c r="AC1176" s="18">
        <f>IF(NOT(ISNUMBER($A1176)),NA(),IFERROR(1*INDEX(BBG_Data!$N$2:$N$4000,MATCH($A1176,BBG_Data!$M$2:$M$4000,0)),NA()))</f>
        <v/>
      </c>
      <c r="AD1176" s="18">
        <f>IF(NOT(ISNUMBER($A1176)),NA(),IFERROR(1*INDEX(BBG_Data!$P$2:$P$4000,MATCH($A1176,BBG_Data!$O$2:$O$4000,0)),NA()))</f>
        <v/>
      </c>
      <c r="AE1176" s="18">
        <f>IF(NOT(ISNUMBER($A1176)),NA(),IFERROR(1*INDEX(BBG_Data!$R$2:$R$4000,MATCH($A1176,BBG_Data!$Q$2:$Q$4000,0)),NA()))</f>
        <v/>
      </c>
      <c r="AF1176" s="20">
        <f>IF(AND(ISNUMBER(B1176),ISNUMBER(AC1176)),(B1176-AC1176)*100,NA())</f>
        <v/>
      </c>
      <c r="AG1176" s="20">
        <f>IF(AND(ISNUMBER(AE1176),ISNUMBER(AD1176)),(AE1176-AD1176)*100,NA())</f>
        <v/>
      </c>
      <c r="AH1176" s="19">
        <f>IF(NOT(ISNUMBER($A1176)),NA(),IFERROR(INDEX(BBG_Data!$T$2:$T$4000,MATCH($A1176,BBG_Data!$S$2:$S$4000,0))*Settings!$B$25,NA()))</f>
        <v/>
      </c>
      <c r="AI1176" s="19">
        <f>IF(NOT(ISNUMBER($A1176)),NA(),IFERROR(INDEX(BBG_Data!$V$2:$V$4000,MATCH($A1176,BBG_Data!$U$2:$U$4000,0))*Settings!$B$25,NA()))</f>
        <v/>
      </c>
      <c r="AJ1176" s="19">
        <f>IF(NOT(ISNUMBER($A1176)),NA(),IFERROR(1*INDEX(BBG_Data!$X$2:$X$4000,MATCH($A1176,BBG_Data!$W$2:$W$4000,0)),NA()))</f>
        <v/>
      </c>
      <c r="AK1176" s="19">
        <f>IF(NOT(ISNUMBER($A1176)),NA(),IFERROR(1*INDEX(BBG_Data!$Z$2:$Z$4000,MATCH($A1176,BBG_Data!$Y$2:$Y$4000,0)),NA()))</f>
        <v/>
      </c>
    </row>
    <row r="1177">
      <c r="A1177" s="17">
        <f>IF(ISNUMBER(BBG_Data!A1177),BBG_Data!A1177,"")</f>
        <v/>
      </c>
      <c r="B1177" s="18">
        <f>IF(AND(ISNUMBER($A1177),ISNUMBER(BBG_Data!B1177)),BBG_Data!B1177,NA())</f>
        <v/>
      </c>
      <c r="C1177" s="18">
        <f>IF(NOT(ISNUMBER($A1177)),NA(),IFERROR(1*INDEX(BBG_Data!$D$2:$D$4000,MATCH($A1177,BBG_Data!$C$2:$C$4000,0)),NA()))</f>
        <v/>
      </c>
      <c r="D1177" s="19">
        <f>IF(NOT(ISNUMBER($A1177)),NA(),IFERROR(1*INDEX(BBG_Data!$F$2:$F$4000,MATCH($A1177,BBG_Data!$E$2:$E$4000,0)),NA()))</f>
        <v/>
      </c>
      <c r="E1177" s="19">
        <f>IF(NOT(ISNUMBER($A1177)),NA(),IFERROR(1*INDEX(BBG_Data!$H$2:$H$4000,MATCH($A1177,BBG_Data!$G$2:$G$4000,0)),NA()))</f>
        <v/>
      </c>
      <c r="F1177" s="20">
        <f>IF(AND(ISNUMBER(B1177),ISNUMBER(B1176)),IF(B1177=B1176,"",(B1177-B1176)*100),"")</f>
        <v/>
      </c>
      <c r="G1177" s="20">
        <f>IF(AND(ISNUMBER(C1177),ISNUMBER(C1176)),IF(C1177=C1176,"",(C1177-C1176)*100),"")</f>
        <v/>
      </c>
      <c r="H1177" s="20">
        <f>IF(OR(NOT(ISNUMBER($A1177)),ROW()-2&lt;Settings!$B$11),NA(),IF(COUNT(OFFSET(F1177,1-Settings!$B$11,0,Settings!$B$11,1))&lt;ROUNDUP(Settings!$B$11*Settings!$B$26,0),NA(),STDEV(OFFSET(F1177,1-Settings!$B$11,0,Settings!$B$11,1))*SQRT(Settings!$B$13)))</f>
        <v/>
      </c>
      <c r="I1177" s="20">
        <f>IF(OR(NOT(ISNUMBER($A1177)),ROW()-2&lt;Settings!$B$12),NA(),IF(COUNT(OFFSET(F1177,1-Settings!$B$12,0,Settings!$B$12,1))&lt;ROUNDUP(Settings!$B$12*Settings!$B$26,0),NA(),STDEV(OFFSET(F1177,1-Settings!$B$12,0,Settings!$B$12,1))*SQRT(Settings!$B$13)))</f>
        <v/>
      </c>
      <c r="J1177" s="20">
        <f>IF(OR(NOT(ISNUMBER($A1177)),ROW()-2&lt;Settings!$B$11),NA(),IF(COUNT(OFFSET(G1177,1-Settings!$B$11,0,Settings!$B$11,1))&lt;ROUNDUP(Settings!$B$11*Settings!$B$26,0),NA(),STDEV(OFFSET(G1177,1-Settings!$B$11,0,Settings!$B$11,1))*SQRT(Settings!$B$13)))</f>
        <v/>
      </c>
      <c r="K1177" s="20">
        <f>IF(OR(NOT(ISNUMBER($A1177)),ROW()-2&lt;Settings!$B$12),NA(),IF(COUNT(OFFSET(G1177,1-Settings!$B$12,0,Settings!$B$12,1))&lt;ROUNDUP(Settings!$B$12*Settings!$B$26,0),NA(),STDEV(OFFSET(G1177,1-Settings!$B$12,0,Settings!$B$12,1))*SQRT(Settings!$B$13)))</f>
        <v/>
      </c>
      <c r="L1177" s="20">
        <f>IF(AND(ISNUMBER(D1177),ISNUMBER(H1177)),D1177-H1177,NA())</f>
        <v/>
      </c>
      <c r="M1177" s="20">
        <f>IF(AND(ISNUMBER(E1177),ISNUMBER(K1177)),E1177-K1177,NA())</f>
        <v/>
      </c>
      <c r="N1177" s="20">
        <f>IF(NOT(ISNUMBER($A1177)),NA(),IF(COUNT(OFFSET(G1177,1,0,Settings!$B$12,1))&lt;ROUNDUP(Settings!$B$12*Settings!$B$26,0),NA(),STDEV(OFFSET(G1177,1,0,Settings!$B$12,1))*SQRT(Settings!$B$13)))</f>
        <v/>
      </c>
      <c r="O1177" s="20">
        <f>IF(AND(ISNUMBER(E1177),ISNUMBER(N1177)),E1177-N1177,NA())</f>
        <v/>
      </c>
      <c r="P1177" s="19">
        <f>IF(NOT(ISNUMBER($A1177)),NA(),IF(OR($A1177&lt;MIN(KW_TP!$A$2:$A$2501),$A1177&gt;MAX(KW_TP!$A$2:$A$2501)),NA(),INDEX(KW_TP!$C$2:$C$2501,MATCH($A1177,KW_TP!$A$2:$A$2501,1))))</f>
        <v/>
      </c>
      <c r="Q1177" s="18">
        <f>IF(NOT(ISNUMBER($A1177)),NA(),IFERROR(1*INDEX(BBG_Data!$J$2:$J$4000,MATCH($A1177,BBG_Data!$I$2:$I$4000,0)),NA()))</f>
        <v/>
      </c>
      <c r="R1177" s="18">
        <f>IF(NOT(ISNUMBER($A1177)),NA(),IFERROR(1*INDEX(BBG_Data!$L$2:$L$4000,MATCH($A1177,BBG_Data!$K$2:$K$4000,0)),NA()))</f>
        <v/>
      </c>
      <c r="S1177" s="20">
        <f>IF(AND(ISNUMBER(B1177),ISNUMBER(Q1177),ISNUMBER(R1177)),(B1177-Q1177-R1177)*100,NA())</f>
        <v/>
      </c>
      <c r="T1177" s="20">
        <f>IF(AND(ISNUMBER(B1177),Settings!$B$17&gt;0),IF(ISNUMBER(INDEX($B:$B,Settings!$B$17)),(B1177-INDEX($B:$B,Settings!$B$17))*100,NA()),NA())</f>
        <v/>
      </c>
      <c r="U1177" s="20">
        <f>IF(AND(ISNUMBER(Q1177),Settings!$B$17&gt;0),IF(ISNUMBER(INDEX($Q:$Q,Settings!$B$17)),(Q1177-INDEX($Q:$Q,Settings!$B$17))*100,NA()),NA())</f>
        <v/>
      </c>
      <c r="V1177" s="20">
        <f>IF(AND(ISNUMBER(R1177),Settings!$B$17&gt;0),IF(ISNUMBER(INDEX($R:$R,Settings!$B$17)),(R1177-INDEX($R:$R,Settings!$B$17))*100,NA()),NA())</f>
        <v/>
      </c>
      <c r="W1177" s="20">
        <f>IF(AND(ISNUMBER(P1177),Settings!$B$17&gt;0),IF(ISNUMBER(INDEX($P:$P,Settings!$B$17)),P1177-INDEX($P:$P,Settings!$B$17),NA()),NA())</f>
        <v/>
      </c>
      <c r="X1177" s="19">
        <f>IF(NOT(ISNUMBER($A1177)),NA(),IF(OR($A1177&lt;MIN(DKW_10Y!$A$2:$A$2918),$A1177&gt;MAX(DKW_10Y!$A$2:$A$2918),Settings!$B$16&lt;MIN(DKW_10Y!$A$2:$A$2918)),NA(),(INDEX(DKW_10Y!$B$2:$B$2918,MATCH($A1177,DKW_10Y!$A$2:$A$2918,1))-INDEX(DKW_10Y!$B$2:$B$2918,MATCH(Settings!$B$16,DKW_10Y!$A$2:$A$2918,1)))*100))</f>
        <v/>
      </c>
      <c r="Y1177" s="19">
        <f>IF(NOT(ISNUMBER($A1177)),NA(),IF(OR($A1177&lt;MIN(DKW_10Y!$A$2:$A$2918),$A1177&gt;MAX(DKW_10Y!$A$2:$A$2918),Settings!$B$16&lt;MIN(DKW_10Y!$A$2:$A$2918)),NA(),(INDEX(DKW_10Y!$C$2:$C$2918,MATCH($A1177,DKW_10Y!$A$2:$A$2918,1))-INDEX(DKW_10Y!$C$2:$C$2918,MATCH(Settings!$B$16,DKW_10Y!$A$2:$A$2918,1)))*100))</f>
        <v/>
      </c>
      <c r="Z1177" s="19">
        <f>IF(NOT(ISNUMBER($A1177)),NA(),IF(OR($A1177&lt;MIN(DKW_10Y!$A$2:$A$2918),$A1177&gt;MAX(DKW_10Y!$A$2:$A$2918),Settings!$B$16&lt;MIN(DKW_10Y!$A$2:$A$2918)),NA(),(INDEX(DKW_10Y!$D$2:$D$2918,MATCH($A1177,DKW_10Y!$A$2:$A$2918,1))-INDEX(DKW_10Y!$D$2:$D$2918,MATCH(Settings!$B$16,DKW_10Y!$A$2:$A$2918,1)))*100))</f>
        <v/>
      </c>
      <c r="AA1177" s="19">
        <f>IF(NOT(ISNUMBER($A1177)),NA(),IF(OR($A1177&lt;MIN(DKW_10Y!$A$2:$A$2918),$A1177&gt;MAX(DKW_10Y!$A$2:$A$2918),Settings!$B$16&lt;MIN(DKW_10Y!$A$2:$A$2918)),NA(),(INDEX(DKW_10Y!$E$2:$E$2918,MATCH($A1177,DKW_10Y!$A$2:$A$2918,1))-INDEX(DKW_10Y!$E$2:$E$2918,MATCH(Settings!$B$16,DKW_10Y!$A$2:$A$2918,1)))*100))</f>
        <v/>
      </c>
      <c r="AB1177" s="19">
        <f>IF(NOT(ISNUMBER($A1177)),NA(),IF(OR($A1177&lt;MIN(DKW_10Y!$A$2:$A$2918),$A1177&gt;MAX(DKW_10Y!$A$2:$A$2918),Settings!$B$16&lt;MIN(DKW_10Y!$A$2:$A$2918)),NA(),(INDEX(DKW_10Y!$H$2:$H$2918,MATCH($A1177,DKW_10Y!$A$2:$A$2918,1))-INDEX(DKW_10Y!$H$2:$H$2918,MATCH(Settings!$B$16,DKW_10Y!$A$2:$A$2918,1)))*100))</f>
        <v/>
      </c>
      <c r="AC1177" s="18">
        <f>IF(NOT(ISNUMBER($A1177)),NA(),IFERROR(1*INDEX(BBG_Data!$N$2:$N$4000,MATCH($A1177,BBG_Data!$M$2:$M$4000,0)),NA()))</f>
        <v/>
      </c>
      <c r="AD1177" s="18">
        <f>IF(NOT(ISNUMBER($A1177)),NA(),IFERROR(1*INDEX(BBG_Data!$P$2:$P$4000,MATCH($A1177,BBG_Data!$O$2:$O$4000,0)),NA()))</f>
        <v/>
      </c>
      <c r="AE1177" s="18">
        <f>IF(NOT(ISNUMBER($A1177)),NA(),IFERROR(1*INDEX(BBG_Data!$R$2:$R$4000,MATCH($A1177,BBG_Data!$Q$2:$Q$4000,0)),NA()))</f>
        <v/>
      </c>
      <c r="AF1177" s="20">
        <f>IF(AND(ISNUMBER(B1177),ISNUMBER(AC1177)),(B1177-AC1177)*100,NA())</f>
        <v/>
      </c>
      <c r="AG1177" s="20">
        <f>IF(AND(ISNUMBER(AE1177),ISNUMBER(AD1177)),(AE1177-AD1177)*100,NA())</f>
        <v/>
      </c>
      <c r="AH1177" s="19">
        <f>IF(NOT(ISNUMBER($A1177)),NA(),IFERROR(INDEX(BBG_Data!$T$2:$T$4000,MATCH($A1177,BBG_Data!$S$2:$S$4000,0))*Settings!$B$25,NA()))</f>
        <v/>
      </c>
      <c r="AI1177" s="19">
        <f>IF(NOT(ISNUMBER($A1177)),NA(),IFERROR(INDEX(BBG_Data!$V$2:$V$4000,MATCH($A1177,BBG_Data!$U$2:$U$4000,0))*Settings!$B$25,NA()))</f>
        <v/>
      </c>
      <c r="AJ1177" s="19">
        <f>IF(NOT(ISNUMBER($A1177)),NA(),IFERROR(1*INDEX(BBG_Data!$X$2:$X$4000,MATCH($A1177,BBG_Data!$W$2:$W$4000,0)),NA()))</f>
        <v/>
      </c>
      <c r="AK1177" s="19">
        <f>IF(NOT(ISNUMBER($A1177)),NA(),IFERROR(1*INDEX(BBG_Data!$Z$2:$Z$4000,MATCH($A1177,BBG_Data!$Y$2:$Y$4000,0)),NA()))</f>
        <v/>
      </c>
    </row>
    <row r="1178">
      <c r="A1178" s="17">
        <f>IF(ISNUMBER(BBG_Data!A1178),BBG_Data!A1178,"")</f>
        <v/>
      </c>
      <c r="B1178" s="18">
        <f>IF(AND(ISNUMBER($A1178),ISNUMBER(BBG_Data!B1178)),BBG_Data!B1178,NA())</f>
        <v/>
      </c>
      <c r="C1178" s="18">
        <f>IF(NOT(ISNUMBER($A1178)),NA(),IFERROR(1*INDEX(BBG_Data!$D$2:$D$4000,MATCH($A1178,BBG_Data!$C$2:$C$4000,0)),NA()))</f>
        <v/>
      </c>
      <c r="D1178" s="19">
        <f>IF(NOT(ISNUMBER($A1178)),NA(),IFERROR(1*INDEX(BBG_Data!$F$2:$F$4000,MATCH($A1178,BBG_Data!$E$2:$E$4000,0)),NA()))</f>
        <v/>
      </c>
      <c r="E1178" s="19">
        <f>IF(NOT(ISNUMBER($A1178)),NA(),IFERROR(1*INDEX(BBG_Data!$H$2:$H$4000,MATCH($A1178,BBG_Data!$G$2:$G$4000,0)),NA()))</f>
        <v/>
      </c>
      <c r="F1178" s="20">
        <f>IF(AND(ISNUMBER(B1178),ISNUMBER(B1177)),IF(B1178=B1177,"",(B1178-B1177)*100),"")</f>
        <v/>
      </c>
      <c r="G1178" s="20">
        <f>IF(AND(ISNUMBER(C1178),ISNUMBER(C1177)),IF(C1178=C1177,"",(C1178-C1177)*100),"")</f>
        <v/>
      </c>
      <c r="H1178" s="20">
        <f>IF(OR(NOT(ISNUMBER($A1178)),ROW()-2&lt;Settings!$B$11),NA(),IF(COUNT(OFFSET(F1178,1-Settings!$B$11,0,Settings!$B$11,1))&lt;ROUNDUP(Settings!$B$11*Settings!$B$26,0),NA(),STDEV(OFFSET(F1178,1-Settings!$B$11,0,Settings!$B$11,1))*SQRT(Settings!$B$13)))</f>
        <v/>
      </c>
      <c r="I1178" s="20">
        <f>IF(OR(NOT(ISNUMBER($A1178)),ROW()-2&lt;Settings!$B$12),NA(),IF(COUNT(OFFSET(F1178,1-Settings!$B$12,0,Settings!$B$12,1))&lt;ROUNDUP(Settings!$B$12*Settings!$B$26,0),NA(),STDEV(OFFSET(F1178,1-Settings!$B$12,0,Settings!$B$12,1))*SQRT(Settings!$B$13)))</f>
        <v/>
      </c>
      <c r="J1178" s="20">
        <f>IF(OR(NOT(ISNUMBER($A1178)),ROW()-2&lt;Settings!$B$11),NA(),IF(COUNT(OFFSET(G1178,1-Settings!$B$11,0,Settings!$B$11,1))&lt;ROUNDUP(Settings!$B$11*Settings!$B$26,0),NA(),STDEV(OFFSET(G1178,1-Settings!$B$11,0,Settings!$B$11,1))*SQRT(Settings!$B$13)))</f>
        <v/>
      </c>
      <c r="K1178" s="20">
        <f>IF(OR(NOT(ISNUMBER($A1178)),ROW()-2&lt;Settings!$B$12),NA(),IF(COUNT(OFFSET(G1178,1-Settings!$B$12,0,Settings!$B$12,1))&lt;ROUNDUP(Settings!$B$12*Settings!$B$26,0),NA(),STDEV(OFFSET(G1178,1-Settings!$B$12,0,Settings!$B$12,1))*SQRT(Settings!$B$13)))</f>
        <v/>
      </c>
      <c r="L1178" s="20">
        <f>IF(AND(ISNUMBER(D1178),ISNUMBER(H1178)),D1178-H1178,NA())</f>
        <v/>
      </c>
      <c r="M1178" s="20">
        <f>IF(AND(ISNUMBER(E1178),ISNUMBER(K1178)),E1178-K1178,NA())</f>
        <v/>
      </c>
      <c r="N1178" s="20">
        <f>IF(NOT(ISNUMBER($A1178)),NA(),IF(COUNT(OFFSET(G1178,1,0,Settings!$B$12,1))&lt;ROUNDUP(Settings!$B$12*Settings!$B$26,0),NA(),STDEV(OFFSET(G1178,1,0,Settings!$B$12,1))*SQRT(Settings!$B$13)))</f>
        <v/>
      </c>
      <c r="O1178" s="20">
        <f>IF(AND(ISNUMBER(E1178),ISNUMBER(N1178)),E1178-N1178,NA())</f>
        <v/>
      </c>
      <c r="P1178" s="19">
        <f>IF(NOT(ISNUMBER($A1178)),NA(),IF(OR($A1178&lt;MIN(KW_TP!$A$2:$A$2501),$A1178&gt;MAX(KW_TP!$A$2:$A$2501)),NA(),INDEX(KW_TP!$C$2:$C$2501,MATCH($A1178,KW_TP!$A$2:$A$2501,1))))</f>
        <v/>
      </c>
      <c r="Q1178" s="18">
        <f>IF(NOT(ISNUMBER($A1178)),NA(),IFERROR(1*INDEX(BBG_Data!$J$2:$J$4000,MATCH($A1178,BBG_Data!$I$2:$I$4000,0)),NA()))</f>
        <v/>
      </c>
      <c r="R1178" s="18">
        <f>IF(NOT(ISNUMBER($A1178)),NA(),IFERROR(1*INDEX(BBG_Data!$L$2:$L$4000,MATCH($A1178,BBG_Data!$K$2:$K$4000,0)),NA()))</f>
        <v/>
      </c>
      <c r="S1178" s="20">
        <f>IF(AND(ISNUMBER(B1178),ISNUMBER(Q1178),ISNUMBER(R1178)),(B1178-Q1178-R1178)*100,NA())</f>
        <v/>
      </c>
      <c r="T1178" s="20">
        <f>IF(AND(ISNUMBER(B1178),Settings!$B$17&gt;0),IF(ISNUMBER(INDEX($B:$B,Settings!$B$17)),(B1178-INDEX($B:$B,Settings!$B$17))*100,NA()),NA())</f>
        <v/>
      </c>
      <c r="U1178" s="20">
        <f>IF(AND(ISNUMBER(Q1178),Settings!$B$17&gt;0),IF(ISNUMBER(INDEX($Q:$Q,Settings!$B$17)),(Q1178-INDEX($Q:$Q,Settings!$B$17))*100,NA()),NA())</f>
        <v/>
      </c>
      <c r="V1178" s="20">
        <f>IF(AND(ISNUMBER(R1178),Settings!$B$17&gt;0),IF(ISNUMBER(INDEX($R:$R,Settings!$B$17)),(R1178-INDEX($R:$R,Settings!$B$17))*100,NA()),NA())</f>
        <v/>
      </c>
      <c r="W1178" s="20">
        <f>IF(AND(ISNUMBER(P1178),Settings!$B$17&gt;0),IF(ISNUMBER(INDEX($P:$P,Settings!$B$17)),P1178-INDEX($P:$P,Settings!$B$17),NA()),NA())</f>
        <v/>
      </c>
      <c r="X1178" s="19">
        <f>IF(NOT(ISNUMBER($A1178)),NA(),IF(OR($A1178&lt;MIN(DKW_10Y!$A$2:$A$2918),$A1178&gt;MAX(DKW_10Y!$A$2:$A$2918),Settings!$B$16&lt;MIN(DKW_10Y!$A$2:$A$2918)),NA(),(INDEX(DKW_10Y!$B$2:$B$2918,MATCH($A1178,DKW_10Y!$A$2:$A$2918,1))-INDEX(DKW_10Y!$B$2:$B$2918,MATCH(Settings!$B$16,DKW_10Y!$A$2:$A$2918,1)))*100))</f>
        <v/>
      </c>
      <c r="Y1178" s="19">
        <f>IF(NOT(ISNUMBER($A1178)),NA(),IF(OR($A1178&lt;MIN(DKW_10Y!$A$2:$A$2918),$A1178&gt;MAX(DKW_10Y!$A$2:$A$2918),Settings!$B$16&lt;MIN(DKW_10Y!$A$2:$A$2918)),NA(),(INDEX(DKW_10Y!$C$2:$C$2918,MATCH($A1178,DKW_10Y!$A$2:$A$2918,1))-INDEX(DKW_10Y!$C$2:$C$2918,MATCH(Settings!$B$16,DKW_10Y!$A$2:$A$2918,1)))*100))</f>
        <v/>
      </c>
      <c r="Z1178" s="19">
        <f>IF(NOT(ISNUMBER($A1178)),NA(),IF(OR($A1178&lt;MIN(DKW_10Y!$A$2:$A$2918),$A1178&gt;MAX(DKW_10Y!$A$2:$A$2918),Settings!$B$16&lt;MIN(DKW_10Y!$A$2:$A$2918)),NA(),(INDEX(DKW_10Y!$D$2:$D$2918,MATCH($A1178,DKW_10Y!$A$2:$A$2918,1))-INDEX(DKW_10Y!$D$2:$D$2918,MATCH(Settings!$B$16,DKW_10Y!$A$2:$A$2918,1)))*100))</f>
        <v/>
      </c>
      <c r="AA1178" s="19">
        <f>IF(NOT(ISNUMBER($A1178)),NA(),IF(OR($A1178&lt;MIN(DKW_10Y!$A$2:$A$2918),$A1178&gt;MAX(DKW_10Y!$A$2:$A$2918),Settings!$B$16&lt;MIN(DKW_10Y!$A$2:$A$2918)),NA(),(INDEX(DKW_10Y!$E$2:$E$2918,MATCH($A1178,DKW_10Y!$A$2:$A$2918,1))-INDEX(DKW_10Y!$E$2:$E$2918,MATCH(Settings!$B$16,DKW_10Y!$A$2:$A$2918,1)))*100))</f>
        <v/>
      </c>
      <c r="AB1178" s="19">
        <f>IF(NOT(ISNUMBER($A1178)),NA(),IF(OR($A1178&lt;MIN(DKW_10Y!$A$2:$A$2918),$A1178&gt;MAX(DKW_10Y!$A$2:$A$2918),Settings!$B$16&lt;MIN(DKW_10Y!$A$2:$A$2918)),NA(),(INDEX(DKW_10Y!$H$2:$H$2918,MATCH($A1178,DKW_10Y!$A$2:$A$2918,1))-INDEX(DKW_10Y!$H$2:$H$2918,MATCH(Settings!$B$16,DKW_10Y!$A$2:$A$2918,1)))*100))</f>
        <v/>
      </c>
      <c r="AC1178" s="18">
        <f>IF(NOT(ISNUMBER($A1178)),NA(),IFERROR(1*INDEX(BBG_Data!$N$2:$N$4000,MATCH($A1178,BBG_Data!$M$2:$M$4000,0)),NA()))</f>
        <v/>
      </c>
      <c r="AD1178" s="18">
        <f>IF(NOT(ISNUMBER($A1178)),NA(),IFERROR(1*INDEX(BBG_Data!$P$2:$P$4000,MATCH($A1178,BBG_Data!$O$2:$O$4000,0)),NA()))</f>
        <v/>
      </c>
      <c r="AE1178" s="18">
        <f>IF(NOT(ISNUMBER($A1178)),NA(),IFERROR(1*INDEX(BBG_Data!$R$2:$R$4000,MATCH($A1178,BBG_Data!$Q$2:$Q$4000,0)),NA()))</f>
        <v/>
      </c>
      <c r="AF1178" s="20">
        <f>IF(AND(ISNUMBER(B1178),ISNUMBER(AC1178)),(B1178-AC1178)*100,NA())</f>
        <v/>
      </c>
      <c r="AG1178" s="20">
        <f>IF(AND(ISNUMBER(AE1178),ISNUMBER(AD1178)),(AE1178-AD1178)*100,NA())</f>
        <v/>
      </c>
      <c r="AH1178" s="19">
        <f>IF(NOT(ISNUMBER($A1178)),NA(),IFERROR(INDEX(BBG_Data!$T$2:$T$4000,MATCH($A1178,BBG_Data!$S$2:$S$4000,0))*Settings!$B$25,NA()))</f>
        <v/>
      </c>
      <c r="AI1178" s="19">
        <f>IF(NOT(ISNUMBER($A1178)),NA(),IFERROR(INDEX(BBG_Data!$V$2:$V$4000,MATCH($A1178,BBG_Data!$U$2:$U$4000,0))*Settings!$B$25,NA()))</f>
        <v/>
      </c>
      <c r="AJ1178" s="19">
        <f>IF(NOT(ISNUMBER($A1178)),NA(),IFERROR(1*INDEX(BBG_Data!$X$2:$X$4000,MATCH($A1178,BBG_Data!$W$2:$W$4000,0)),NA()))</f>
        <v/>
      </c>
      <c r="AK1178" s="19">
        <f>IF(NOT(ISNUMBER($A1178)),NA(),IFERROR(1*INDEX(BBG_Data!$Z$2:$Z$4000,MATCH($A1178,BBG_Data!$Y$2:$Y$4000,0)),NA()))</f>
        <v/>
      </c>
    </row>
    <row r="1179">
      <c r="A1179" s="17">
        <f>IF(ISNUMBER(BBG_Data!A1179),BBG_Data!A1179,"")</f>
        <v/>
      </c>
      <c r="B1179" s="18">
        <f>IF(AND(ISNUMBER($A1179),ISNUMBER(BBG_Data!B1179)),BBG_Data!B1179,NA())</f>
        <v/>
      </c>
      <c r="C1179" s="18">
        <f>IF(NOT(ISNUMBER($A1179)),NA(),IFERROR(1*INDEX(BBG_Data!$D$2:$D$4000,MATCH($A1179,BBG_Data!$C$2:$C$4000,0)),NA()))</f>
        <v/>
      </c>
      <c r="D1179" s="19">
        <f>IF(NOT(ISNUMBER($A1179)),NA(),IFERROR(1*INDEX(BBG_Data!$F$2:$F$4000,MATCH($A1179,BBG_Data!$E$2:$E$4000,0)),NA()))</f>
        <v/>
      </c>
      <c r="E1179" s="19">
        <f>IF(NOT(ISNUMBER($A1179)),NA(),IFERROR(1*INDEX(BBG_Data!$H$2:$H$4000,MATCH($A1179,BBG_Data!$G$2:$G$4000,0)),NA()))</f>
        <v/>
      </c>
      <c r="F1179" s="20">
        <f>IF(AND(ISNUMBER(B1179),ISNUMBER(B1178)),IF(B1179=B1178,"",(B1179-B1178)*100),"")</f>
        <v/>
      </c>
      <c r="G1179" s="20">
        <f>IF(AND(ISNUMBER(C1179),ISNUMBER(C1178)),IF(C1179=C1178,"",(C1179-C1178)*100),"")</f>
        <v/>
      </c>
      <c r="H1179" s="20">
        <f>IF(OR(NOT(ISNUMBER($A1179)),ROW()-2&lt;Settings!$B$11),NA(),IF(COUNT(OFFSET(F1179,1-Settings!$B$11,0,Settings!$B$11,1))&lt;ROUNDUP(Settings!$B$11*Settings!$B$26,0),NA(),STDEV(OFFSET(F1179,1-Settings!$B$11,0,Settings!$B$11,1))*SQRT(Settings!$B$13)))</f>
        <v/>
      </c>
      <c r="I1179" s="20">
        <f>IF(OR(NOT(ISNUMBER($A1179)),ROW()-2&lt;Settings!$B$12),NA(),IF(COUNT(OFFSET(F1179,1-Settings!$B$12,0,Settings!$B$12,1))&lt;ROUNDUP(Settings!$B$12*Settings!$B$26,0),NA(),STDEV(OFFSET(F1179,1-Settings!$B$12,0,Settings!$B$12,1))*SQRT(Settings!$B$13)))</f>
        <v/>
      </c>
      <c r="J1179" s="20">
        <f>IF(OR(NOT(ISNUMBER($A1179)),ROW()-2&lt;Settings!$B$11),NA(),IF(COUNT(OFFSET(G1179,1-Settings!$B$11,0,Settings!$B$11,1))&lt;ROUNDUP(Settings!$B$11*Settings!$B$26,0),NA(),STDEV(OFFSET(G1179,1-Settings!$B$11,0,Settings!$B$11,1))*SQRT(Settings!$B$13)))</f>
        <v/>
      </c>
      <c r="K1179" s="20">
        <f>IF(OR(NOT(ISNUMBER($A1179)),ROW()-2&lt;Settings!$B$12),NA(),IF(COUNT(OFFSET(G1179,1-Settings!$B$12,0,Settings!$B$12,1))&lt;ROUNDUP(Settings!$B$12*Settings!$B$26,0),NA(),STDEV(OFFSET(G1179,1-Settings!$B$12,0,Settings!$B$12,1))*SQRT(Settings!$B$13)))</f>
        <v/>
      </c>
      <c r="L1179" s="20">
        <f>IF(AND(ISNUMBER(D1179),ISNUMBER(H1179)),D1179-H1179,NA())</f>
        <v/>
      </c>
      <c r="M1179" s="20">
        <f>IF(AND(ISNUMBER(E1179),ISNUMBER(K1179)),E1179-K1179,NA())</f>
        <v/>
      </c>
      <c r="N1179" s="20">
        <f>IF(NOT(ISNUMBER($A1179)),NA(),IF(COUNT(OFFSET(G1179,1,0,Settings!$B$12,1))&lt;ROUNDUP(Settings!$B$12*Settings!$B$26,0),NA(),STDEV(OFFSET(G1179,1,0,Settings!$B$12,1))*SQRT(Settings!$B$13)))</f>
        <v/>
      </c>
      <c r="O1179" s="20">
        <f>IF(AND(ISNUMBER(E1179),ISNUMBER(N1179)),E1179-N1179,NA())</f>
        <v/>
      </c>
      <c r="P1179" s="19">
        <f>IF(NOT(ISNUMBER($A1179)),NA(),IF(OR($A1179&lt;MIN(KW_TP!$A$2:$A$2501),$A1179&gt;MAX(KW_TP!$A$2:$A$2501)),NA(),INDEX(KW_TP!$C$2:$C$2501,MATCH($A1179,KW_TP!$A$2:$A$2501,1))))</f>
        <v/>
      </c>
      <c r="Q1179" s="18">
        <f>IF(NOT(ISNUMBER($A1179)),NA(),IFERROR(1*INDEX(BBG_Data!$J$2:$J$4000,MATCH($A1179,BBG_Data!$I$2:$I$4000,0)),NA()))</f>
        <v/>
      </c>
      <c r="R1179" s="18">
        <f>IF(NOT(ISNUMBER($A1179)),NA(),IFERROR(1*INDEX(BBG_Data!$L$2:$L$4000,MATCH($A1179,BBG_Data!$K$2:$K$4000,0)),NA()))</f>
        <v/>
      </c>
      <c r="S1179" s="20">
        <f>IF(AND(ISNUMBER(B1179),ISNUMBER(Q1179),ISNUMBER(R1179)),(B1179-Q1179-R1179)*100,NA())</f>
        <v/>
      </c>
      <c r="T1179" s="20">
        <f>IF(AND(ISNUMBER(B1179),Settings!$B$17&gt;0),IF(ISNUMBER(INDEX($B:$B,Settings!$B$17)),(B1179-INDEX($B:$B,Settings!$B$17))*100,NA()),NA())</f>
        <v/>
      </c>
      <c r="U1179" s="20">
        <f>IF(AND(ISNUMBER(Q1179),Settings!$B$17&gt;0),IF(ISNUMBER(INDEX($Q:$Q,Settings!$B$17)),(Q1179-INDEX($Q:$Q,Settings!$B$17))*100,NA()),NA())</f>
        <v/>
      </c>
      <c r="V1179" s="20">
        <f>IF(AND(ISNUMBER(R1179),Settings!$B$17&gt;0),IF(ISNUMBER(INDEX($R:$R,Settings!$B$17)),(R1179-INDEX($R:$R,Settings!$B$17))*100,NA()),NA())</f>
        <v/>
      </c>
      <c r="W1179" s="20">
        <f>IF(AND(ISNUMBER(P1179),Settings!$B$17&gt;0),IF(ISNUMBER(INDEX($P:$P,Settings!$B$17)),P1179-INDEX($P:$P,Settings!$B$17),NA()),NA())</f>
        <v/>
      </c>
      <c r="X1179" s="19">
        <f>IF(NOT(ISNUMBER($A1179)),NA(),IF(OR($A1179&lt;MIN(DKW_10Y!$A$2:$A$2918),$A1179&gt;MAX(DKW_10Y!$A$2:$A$2918),Settings!$B$16&lt;MIN(DKW_10Y!$A$2:$A$2918)),NA(),(INDEX(DKW_10Y!$B$2:$B$2918,MATCH($A1179,DKW_10Y!$A$2:$A$2918,1))-INDEX(DKW_10Y!$B$2:$B$2918,MATCH(Settings!$B$16,DKW_10Y!$A$2:$A$2918,1)))*100))</f>
        <v/>
      </c>
      <c r="Y1179" s="19">
        <f>IF(NOT(ISNUMBER($A1179)),NA(),IF(OR($A1179&lt;MIN(DKW_10Y!$A$2:$A$2918),$A1179&gt;MAX(DKW_10Y!$A$2:$A$2918),Settings!$B$16&lt;MIN(DKW_10Y!$A$2:$A$2918)),NA(),(INDEX(DKW_10Y!$C$2:$C$2918,MATCH($A1179,DKW_10Y!$A$2:$A$2918,1))-INDEX(DKW_10Y!$C$2:$C$2918,MATCH(Settings!$B$16,DKW_10Y!$A$2:$A$2918,1)))*100))</f>
        <v/>
      </c>
      <c r="Z1179" s="19">
        <f>IF(NOT(ISNUMBER($A1179)),NA(),IF(OR($A1179&lt;MIN(DKW_10Y!$A$2:$A$2918),$A1179&gt;MAX(DKW_10Y!$A$2:$A$2918),Settings!$B$16&lt;MIN(DKW_10Y!$A$2:$A$2918)),NA(),(INDEX(DKW_10Y!$D$2:$D$2918,MATCH($A1179,DKW_10Y!$A$2:$A$2918,1))-INDEX(DKW_10Y!$D$2:$D$2918,MATCH(Settings!$B$16,DKW_10Y!$A$2:$A$2918,1)))*100))</f>
        <v/>
      </c>
      <c r="AA1179" s="19">
        <f>IF(NOT(ISNUMBER($A1179)),NA(),IF(OR($A1179&lt;MIN(DKW_10Y!$A$2:$A$2918),$A1179&gt;MAX(DKW_10Y!$A$2:$A$2918),Settings!$B$16&lt;MIN(DKW_10Y!$A$2:$A$2918)),NA(),(INDEX(DKW_10Y!$E$2:$E$2918,MATCH($A1179,DKW_10Y!$A$2:$A$2918,1))-INDEX(DKW_10Y!$E$2:$E$2918,MATCH(Settings!$B$16,DKW_10Y!$A$2:$A$2918,1)))*100))</f>
        <v/>
      </c>
      <c r="AB1179" s="19">
        <f>IF(NOT(ISNUMBER($A1179)),NA(),IF(OR($A1179&lt;MIN(DKW_10Y!$A$2:$A$2918),$A1179&gt;MAX(DKW_10Y!$A$2:$A$2918),Settings!$B$16&lt;MIN(DKW_10Y!$A$2:$A$2918)),NA(),(INDEX(DKW_10Y!$H$2:$H$2918,MATCH($A1179,DKW_10Y!$A$2:$A$2918,1))-INDEX(DKW_10Y!$H$2:$H$2918,MATCH(Settings!$B$16,DKW_10Y!$A$2:$A$2918,1)))*100))</f>
        <v/>
      </c>
      <c r="AC1179" s="18">
        <f>IF(NOT(ISNUMBER($A1179)),NA(),IFERROR(1*INDEX(BBG_Data!$N$2:$N$4000,MATCH($A1179,BBG_Data!$M$2:$M$4000,0)),NA()))</f>
        <v/>
      </c>
      <c r="AD1179" s="18">
        <f>IF(NOT(ISNUMBER($A1179)),NA(),IFERROR(1*INDEX(BBG_Data!$P$2:$P$4000,MATCH($A1179,BBG_Data!$O$2:$O$4000,0)),NA()))</f>
        <v/>
      </c>
      <c r="AE1179" s="18">
        <f>IF(NOT(ISNUMBER($A1179)),NA(),IFERROR(1*INDEX(BBG_Data!$R$2:$R$4000,MATCH($A1179,BBG_Data!$Q$2:$Q$4000,0)),NA()))</f>
        <v/>
      </c>
      <c r="AF1179" s="20">
        <f>IF(AND(ISNUMBER(B1179),ISNUMBER(AC1179)),(B1179-AC1179)*100,NA())</f>
        <v/>
      </c>
      <c r="AG1179" s="20">
        <f>IF(AND(ISNUMBER(AE1179),ISNUMBER(AD1179)),(AE1179-AD1179)*100,NA())</f>
        <v/>
      </c>
      <c r="AH1179" s="19">
        <f>IF(NOT(ISNUMBER($A1179)),NA(),IFERROR(INDEX(BBG_Data!$T$2:$T$4000,MATCH($A1179,BBG_Data!$S$2:$S$4000,0))*Settings!$B$25,NA()))</f>
        <v/>
      </c>
      <c r="AI1179" s="19">
        <f>IF(NOT(ISNUMBER($A1179)),NA(),IFERROR(INDEX(BBG_Data!$V$2:$V$4000,MATCH($A1179,BBG_Data!$U$2:$U$4000,0))*Settings!$B$25,NA()))</f>
        <v/>
      </c>
      <c r="AJ1179" s="19">
        <f>IF(NOT(ISNUMBER($A1179)),NA(),IFERROR(1*INDEX(BBG_Data!$X$2:$X$4000,MATCH($A1179,BBG_Data!$W$2:$W$4000,0)),NA()))</f>
        <v/>
      </c>
      <c r="AK1179" s="19">
        <f>IF(NOT(ISNUMBER($A1179)),NA(),IFERROR(1*INDEX(BBG_Data!$Z$2:$Z$4000,MATCH($A1179,BBG_Data!$Y$2:$Y$4000,0)),NA()))</f>
        <v/>
      </c>
    </row>
    <row r="1180">
      <c r="A1180" s="17">
        <f>IF(ISNUMBER(BBG_Data!A1180),BBG_Data!A1180,"")</f>
        <v/>
      </c>
      <c r="B1180" s="18">
        <f>IF(AND(ISNUMBER($A1180),ISNUMBER(BBG_Data!B1180)),BBG_Data!B1180,NA())</f>
        <v/>
      </c>
      <c r="C1180" s="18">
        <f>IF(NOT(ISNUMBER($A1180)),NA(),IFERROR(1*INDEX(BBG_Data!$D$2:$D$4000,MATCH($A1180,BBG_Data!$C$2:$C$4000,0)),NA()))</f>
        <v/>
      </c>
      <c r="D1180" s="19">
        <f>IF(NOT(ISNUMBER($A1180)),NA(),IFERROR(1*INDEX(BBG_Data!$F$2:$F$4000,MATCH($A1180,BBG_Data!$E$2:$E$4000,0)),NA()))</f>
        <v/>
      </c>
      <c r="E1180" s="19">
        <f>IF(NOT(ISNUMBER($A1180)),NA(),IFERROR(1*INDEX(BBG_Data!$H$2:$H$4000,MATCH($A1180,BBG_Data!$G$2:$G$4000,0)),NA()))</f>
        <v/>
      </c>
      <c r="F1180" s="20">
        <f>IF(AND(ISNUMBER(B1180),ISNUMBER(B1179)),IF(B1180=B1179,"",(B1180-B1179)*100),"")</f>
        <v/>
      </c>
      <c r="G1180" s="20">
        <f>IF(AND(ISNUMBER(C1180),ISNUMBER(C1179)),IF(C1180=C1179,"",(C1180-C1179)*100),"")</f>
        <v/>
      </c>
      <c r="H1180" s="20">
        <f>IF(OR(NOT(ISNUMBER($A1180)),ROW()-2&lt;Settings!$B$11),NA(),IF(COUNT(OFFSET(F1180,1-Settings!$B$11,0,Settings!$B$11,1))&lt;ROUNDUP(Settings!$B$11*Settings!$B$26,0),NA(),STDEV(OFFSET(F1180,1-Settings!$B$11,0,Settings!$B$11,1))*SQRT(Settings!$B$13)))</f>
        <v/>
      </c>
      <c r="I1180" s="20">
        <f>IF(OR(NOT(ISNUMBER($A1180)),ROW()-2&lt;Settings!$B$12),NA(),IF(COUNT(OFFSET(F1180,1-Settings!$B$12,0,Settings!$B$12,1))&lt;ROUNDUP(Settings!$B$12*Settings!$B$26,0),NA(),STDEV(OFFSET(F1180,1-Settings!$B$12,0,Settings!$B$12,1))*SQRT(Settings!$B$13)))</f>
        <v/>
      </c>
      <c r="J1180" s="20">
        <f>IF(OR(NOT(ISNUMBER($A1180)),ROW()-2&lt;Settings!$B$11),NA(),IF(COUNT(OFFSET(G1180,1-Settings!$B$11,0,Settings!$B$11,1))&lt;ROUNDUP(Settings!$B$11*Settings!$B$26,0),NA(),STDEV(OFFSET(G1180,1-Settings!$B$11,0,Settings!$B$11,1))*SQRT(Settings!$B$13)))</f>
        <v/>
      </c>
      <c r="K1180" s="20">
        <f>IF(OR(NOT(ISNUMBER($A1180)),ROW()-2&lt;Settings!$B$12),NA(),IF(COUNT(OFFSET(G1180,1-Settings!$B$12,0,Settings!$B$12,1))&lt;ROUNDUP(Settings!$B$12*Settings!$B$26,0),NA(),STDEV(OFFSET(G1180,1-Settings!$B$12,0,Settings!$B$12,1))*SQRT(Settings!$B$13)))</f>
        <v/>
      </c>
      <c r="L1180" s="20">
        <f>IF(AND(ISNUMBER(D1180),ISNUMBER(H1180)),D1180-H1180,NA())</f>
        <v/>
      </c>
      <c r="M1180" s="20">
        <f>IF(AND(ISNUMBER(E1180),ISNUMBER(K1180)),E1180-K1180,NA())</f>
        <v/>
      </c>
      <c r="N1180" s="20">
        <f>IF(NOT(ISNUMBER($A1180)),NA(),IF(COUNT(OFFSET(G1180,1,0,Settings!$B$12,1))&lt;ROUNDUP(Settings!$B$12*Settings!$B$26,0),NA(),STDEV(OFFSET(G1180,1,0,Settings!$B$12,1))*SQRT(Settings!$B$13)))</f>
        <v/>
      </c>
      <c r="O1180" s="20">
        <f>IF(AND(ISNUMBER(E1180),ISNUMBER(N1180)),E1180-N1180,NA())</f>
        <v/>
      </c>
      <c r="P1180" s="19">
        <f>IF(NOT(ISNUMBER($A1180)),NA(),IF(OR($A1180&lt;MIN(KW_TP!$A$2:$A$2501),$A1180&gt;MAX(KW_TP!$A$2:$A$2501)),NA(),INDEX(KW_TP!$C$2:$C$2501,MATCH($A1180,KW_TP!$A$2:$A$2501,1))))</f>
        <v/>
      </c>
      <c r="Q1180" s="18">
        <f>IF(NOT(ISNUMBER($A1180)),NA(),IFERROR(1*INDEX(BBG_Data!$J$2:$J$4000,MATCH($A1180,BBG_Data!$I$2:$I$4000,0)),NA()))</f>
        <v/>
      </c>
      <c r="R1180" s="18">
        <f>IF(NOT(ISNUMBER($A1180)),NA(),IFERROR(1*INDEX(BBG_Data!$L$2:$L$4000,MATCH($A1180,BBG_Data!$K$2:$K$4000,0)),NA()))</f>
        <v/>
      </c>
      <c r="S1180" s="20">
        <f>IF(AND(ISNUMBER(B1180),ISNUMBER(Q1180),ISNUMBER(R1180)),(B1180-Q1180-R1180)*100,NA())</f>
        <v/>
      </c>
      <c r="T1180" s="20">
        <f>IF(AND(ISNUMBER(B1180),Settings!$B$17&gt;0),IF(ISNUMBER(INDEX($B:$B,Settings!$B$17)),(B1180-INDEX($B:$B,Settings!$B$17))*100,NA()),NA())</f>
        <v/>
      </c>
      <c r="U1180" s="20">
        <f>IF(AND(ISNUMBER(Q1180),Settings!$B$17&gt;0),IF(ISNUMBER(INDEX($Q:$Q,Settings!$B$17)),(Q1180-INDEX($Q:$Q,Settings!$B$17))*100,NA()),NA())</f>
        <v/>
      </c>
      <c r="V1180" s="20">
        <f>IF(AND(ISNUMBER(R1180),Settings!$B$17&gt;0),IF(ISNUMBER(INDEX($R:$R,Settings!$B$17)),(R1180-INDEX($R:$R,Settings!$B$17))*100,NA()),NA())</f>
        <v/>
      </c>
      <c r="W1180" s="20">
        <f>IF(AND(ISNUMBER(P1180),Settings!$B$17&gt;0),IF(ISNUMBER(INDEX($P:$P,Settings!$B$17)),P1180-INDEX($P:$P,Settings!$B$17),NA()),NA())</f>
        <v/>
      </c>
      <c r="X1180" s="19">
        <f>IF(NOT(ISNUMBER($A1180)),NA(),IF(OR($A1180&lt;MIN(DKW_10Y!$A$2:$A$2918),$A1180&gt;MAX(DKW_10Y!$A$2:$A$2918),Settings!$B$16&lt;MIN(DKW_10Y!$A$2:$A$2918)),NA(),(INDEX(DKW_10Y!$B$2:$B$2918,MATCH($A1180,DKW_10Y!$A$2:$A$2918,1))-INDEX(DKW_10Y!$B$2:$B$2918,MATCH(Settings!$B$16,DKW_10Y!$A$2:$A$2918,1)))*100))</f>
        <v/>
      </c>
      <c r="Y1180" s="19">
        <f>IF(NOT(ISNUMBER($A1180)),NA(),IF(OR($A1180&lt;MIN(DKW_10Y!$A$2:$A$2918),$A1180&gt;MAX(DKW_10Y!$A$2:$A$2918),Settings!$B$16&lt;MIN(DKW_10Y!$A$2:$A$2918)),NA(),(INDEX(DKW_10Y!$C$2:$C$2918,MATCH($A1180,DKW_10Y!$A$2:$A$2918,1))-INDEX(DKW_10Y!$C$2:$C$2918,MATCH(Settings!$B$16,DKW_10Y!$A$2:$A$2918,1)))*100))</f>
        <v/>
      </c>
      <c r="Z1180" s="19">
        <f>IF(NOT(ISNUMBER($A1180)),NA(),IF(OR($A1180&lt;MIN(DKW_10Y!$A$2:$A$2918),$A1180&gt;MAX(DKW_10Y!$A$2:$A$2918),Settings!$B$16&lt;MIN(DKW_10Y!$A$2:$A$2918)),NA(),(INDEX(DKW_10Y!$D$2:$D$2918,MATCH($A1180,DKW_10Y!$A$2:$A$2918,1))-INDEX(DKW_10Y!$D$2:$D$2918,MATCH(Settings!$B$16,DKW_10Y!$A$2:$A$2918,1)))*100))</f>
        <v/>
      </c>
      <c r="AA1180" s="19">
        <f>IF(NOT(ISNUMBER($A1180)),NA(),IF(OR($A1180&lt;MIN(DKW_10Y!$A$2:$A$2918),$A1180&gt;MAX(DKW_10Y!$A$2:$A$2918),Settings!$B$16&lt;MIN(DKW_10Y!$A$2:$A$2918)),NA(),(INDEX(DKW_10Y!$E$2:$E$2918,MATCH($A1180,DKW_10Y!$A$2:$A$2918,1))-INDEX(DKW_10Y!$E$2:$E$2918,MATCH(Settings!$B$16,DKW_10Y!$A$2:$A$2918,1)))*100))</f>
        <v/>
      </c>
      <c r="AB1180" s="19">
        <f>IF(NOT(ISNUMBER($A1180)),NA(),IF(OR($A1180&lt;MIN(DKW_10Y!$A$2:$A$2918),$A1180&gt;MAX(DKW_10Y!$A$2:$A$2918),Settings!$B$16&lt;MIN(DKW_10Y!$A$2:$A$2918)),NA(),(INDEX(DKW_10Y!$H$2:$H$2918,MATCH($A1180,DKW_10Y!$A$2:$A$2918,1))-INDEX(DKW_10Y!$H$2:$H$2918,MATCH(Settings!$B$16,DKW_10Y!$A$2:$A$2918,1)))*100))</f>
        <v/>
      </c>
      <c r="AC1180" s="18">
        <f>IF(NOT(ISNUMBER($A1180)),NA(),IFERROR(1*INDEX(BBG_Data!$N$2:$N$4000,MATCH($A1180,BBG_Data!$M$2:$M$4000,0)),NA()))</f>
        <v/>
      </c>
      <c r="AD1180" s="18">
        <f>IF(NOT(ISNUMBER($A1180)),NA(),IFERROR(1*INDEX(BBG_Data!$P$2:$P$4000,MATCH($A1180,BBG_Data!$O$2:$O$4000,0)),NA()))</f>
        <v/>
      </c>
      <c r="AE1180" s="18">
        <f>IF(NOT(ISNUMBER($A1180)),NA(),IFERROR(1*INDEX(BBG_Data!$R$2:$R$4000,MATCH($A1180,BBG_Data!$Q$2:$Q$4000,0)),NA()))</f>
        <v/>
      </c>
      <c r="AF1180" s="20">
        <f>IF(AND(ISNUMBER(B1180),ISNUMBER(AC1180)),(B1180-AC1180)*100,NA())</f>
        <v/>
      </c>
      <c r="AG1180" s="20">
        <f>IF(AND(ISNUMBER(AE1180),ISNUMBER(AD1180)),(AE1180-AD1180)*100,NA())</f>
        <v/>
      </c>
      <c r="AH1180" s="19">
        <f>IF(NOT(ISNUMBER($A1180)),NA(),IFERROR(INDEX(BBG_Data!$T$2:$T$4000,MATCH($A1180,BBG_Data!$S$2:$S$4000,0))*Settings!$B$25,NA()))</f>
        <v/>
      </c>
      <c r="AI1180" s="19">
        <f>IF(NOT(ISNUMBER($A1180)),NA(),IFERROR(INDEX(BBG_Data!$V$2:$V$4000,MATCH($A1180,BBG_Data!$U$2:$U$4000,0))*Settings!$B$25,NA()))</f>
        <v/>
      </c>
      <c r="AJ1180" s="19">
        <f>IF(NOT(ISNUMBER($A1180)),NA(),IFERROR(1*INDEX(BBG_Data!$X$2:$X$4000,MATCH($A1180,BBG_Data!$W$2:$W$4000,0)),NA()))</f>
        <v/>
      </c>
      <c r="AK1180" s="19">
        <f>IF(NOT(ISNUMBER($A1180)),NA(),IFERROR(1*INDEX(BBG_Data!$Z$2:$Z$4000,MATCH($A1180,BBG_Data!$Y$2:$Y$4000,0)),NA()))</f>
        <v/>
      </c>
    </row>
    <row r="1181">
      <c r="A1181" s="17">
        <f>IF(ISNUMBER(BBG_Data!A1181),BBG_Data!A1181,"")</f>
        <v/>
      </c>
      <c r="B1181" s="18">
        <f>IF(AND(ISNUMBER($A1181),ISNUMBER(BBG_Data!B1181)),BBG_Data!B1181,NA())</f>
        <v/>
      </c>
      <c r="C1181" s="18">
        <f>IF(NOT(ISNUMBER($A1181)),NA(),IFERROR(1*INDEX(BBG_Data!$D$2:$D$4000,MATCH($A1181,BBG_Data!$C$2:$C$4000,0)),NA()))</f>
        <v/>
      </c>
      <c r="D1181" s="19">
        <f>IF(NOT(ISNUMBER($A1181)),NA(),IFERROR(1*INDEX(BBG_Data!$F$2:$F$4000,MATCH($A1181,BBG_Data!$E$2:$E$4000,0)),NA()))</f>
        <v/>
      </c>
      <c r="E1181" s="19">
        <f>IF(NOT(ISNUMBER($A1181)),NA(),IFERROR(1*INDEX(BBG_Data!$H$2:$H$4000,MATCH($A1181,BBG_Data!$G$2:$G$4000,0)),NA()))</f>
        <v/>
      </c>
      <c r="F1181" s="20">
        <f>IF(AND(ISNUMBER(B1181),ISNUMBER(B1180)),IF(B1181=B1180,"",(B1181-B1180)*100),"")</f>
        <v/>
      </c>
      <c r="G1181" s="20">
        <f>IF(AND(ISNUMBER(C1181),ISNUMBER(C1180)),IF(C1181=C1180,"",(C1181-C1180)*100),"")</f>
        <v/>
      </c>
      <c r="H1181" s="20">
        <f>IF(OR(NOT(ISNUMBER($A1181)),ROW()-2&lt;Settings!$B$11),NA(),IF(COUNT(OFFSET(F1181,1-Settings!$B$11,0,Settings!$B$11,1))&lt;ROUNDUP(Settings!$B$11*Settings!$B$26,0),NA(),STDEV(OFFSET(F1181,1-Settings!$B$11,0,Settings!$B$11,1))*SQRT(Settings!$B$13)))</f>
        <v/>
      </c>
      <c r="I1181" s="20">
        <f>IF(OR(NOT(ISNUMBER($A1181)),ROW()-2&lt;Settings!$B$12),NA(),IF(COUNT(OFFSET(F1181,1-Settings!$B$12,0,Settings!$B$12,1))&lt;ROUNDUP(Settings!$B$12*Settings!$B$26,0),NA(),STDEV(OFFSET(F1181,1-Settings!$B$12,0,Settings!$B$12,1))*SQRT(Settings!$B$13)))</f>
        <v/>
      </c>
      <c r="J1181" s="20">
        <f>IF(OR(NOT(ISNUMBER($A1181)),ROW()-2&lt;Settings!$B$11),NA(),IF(COUNT(OFFSET(G1181,1-Settings!$B$11,0,Settings!$B$11,1))&lt;ROUNDUP(Settings!$B$11*Settings!$B$26,0),NA(),STDEV(OFFSET(G1181,1-Settings!$B$11,0,Settings!$B$11,1))*SQRT(Settings!$B$13)))</f>
        <v/>
      </c>
      <c r="K1181" s="20">
        <f>IF(OR(NOT(ISNUMBER($A1181)),ROW()-2&lt;Settings!$B$12),NA(),IF(COUNT(OFFSET(G1181,1-Settings!$B$12,0,Settings!$B$12,1))&lt;ROUNDUP(Settings!$B$12*Settings!$B$26,0),NA(),STDEV(OFFSET(G1181,1-Settings!$B$12,0,Settings!$B$12,1))*SQRT(Settings!$B$13)))</f>
        <v/>
      </c>
      <c r="L1181" s="20">
        <f>IF(AND(ISNUMBER(D1181),ISNUMBER(H1181)),D1181-H1181,NA())</f>
        <v/>
      </c>
      <c r="M1181" s="20">
        <f>IF(AND(ISNUMBER(E1181),ISNUMBER(K1181)),E1181-K1181,NA())</f>
        <v/>
      </c>
      <c r="N1181" s="20">
        <f>IF(NOT(ISNUMBER($A1181)),NA(),IF(COUNT(OFFSET(G1181,1,0,Settings!$B$12,1))&lt;ROUNDUP(Settings!$B$12*Settings!$B$26,0),NA(),STDEV(OFFSET(G1181,1,0,Settings!$B$12,1))*SQRT(Settings!$B$13)))</f>
        <v/>
      </c>
      <c r="O1181" s="20">
        <f>IF(AND(ISNUMBER(E1181),ISNUMBER(N1181)),E1181-N1181,NA())</f>
        <v/>
      </c>
      <c r="P1181" s="19">
        <f>IF(NOT(ISNUMBER($A1181)),NA(),IF(OR($A1181&lt;MIN(KW_TP!$A$2:$A$2501),$A1181&gt;MAX(KW_TP!$A$2:$A$2501)),NA(),INDEX(KW_TP!$C$2:$C$2501,MATCH($A1181,KW_TP!$A$2:$A$2501,1))))</f>
        <v/>
      </c>
      <c r="Q1181" s="18">
        <f>IF(NOT(ISNUMBER($A1181)),NA(),IFERROR(1*INDEX(BBG_Data!$J$2:$J$4000,MATCH($A1181,BBG_Data!$I$2:$I$4000,0)),NA()))</f>
        <v/>
      </c>
      <c r="R1181" s="18">
        <f>IF(NOT(ISNUMBER($A1181)),NA(),IFERROR(1*INDEX(BBG_Data!$L$2:$L$4000,MATCH($A1181,BBG_Data!$K$2:$K$4000,0)),NA()))</f>
        <v/>
      </c>
      <c r="S1181" s="20">
        <f>IF(AND(ISNUMBER(B1181),ISNUMBER(Q1181),ISNUMBER(R1181)),(B1181-Q1181-R1181)*100,NA())</f>
        <v/>
      </c>
      <c r="T1181" s="20">
        <f>IF(AND(ISNUMBER(B1181),Settings!$B$17&gt;0),IF(ISNUMBER(INDEX($B:$B,Settings!$B$17)),(B1181-INDEX($B:$B,Settings!$B$17))*100,NA()),NA())</f>
        <v/>
      </c>
      <c r="U1181" s="20">
        <f>IF(AND(ISNUMBER(Q1181),Settings!$B$17&gt;0),IF(ISNUMBER(INDEX($Q:$Q,Settings!$B$17)),(Q1181-INDEX($Q:$Q,Settings!$B$17))*100,NA()),NA())</f>
        <v/>
      </c>
      <c r="V1181" s="20">
        <f>IF(AND(ISNUMBER(R1181),Settings!$B$17&gt;0),IF(ISNUMBER(INDEX($R:$R,Settings!$B$17)),(R1181-INDEX($R:$R,Settings!$B$17))*100,NA()),NA())</f>
        <v/>
      </c>
      <c r="W1181" s="20">
        <f>IF(AND(ISNUMBER(P1181),Settings!$B$17&gt;0),IF(ISNUMBER(INDEX($P:$P,Settings!$B$17)),P1181-INDEX($P:$P,Settings!$B$17),NA()),NA())</f>
        <v/>
      </c>
      <c r="X1181" s="19">
        <f>IF(NOT(ISNUMBER($A1181)),NA(),IF(OR($A1181&lt;MIN(DKW_10Y!$A$2:$A$2918),$A1181&gt;MAX(DKW_10Y!$A$2:$A$2918),Settings!$B$16&lt;MIN(DKW_10Y!$A$2:$A$2918)),NA(),(INDEX(DKW_10Y!$B$2:$B$2918,MATCH($A1181,DKW_10Y!$A$2:$A$2918,1))-INDEX(DKW_10Y!$B$2:$B$2918,MATCH(Settings!$B$16,DKW_10Y!$A$2:$A$2918,1)))*100))</f>
        <v/>
      </c>
      <c r="Y1181" s="19">
        <f>IF(NOT(ISNUMBER($A1181)),NA(),IF(OR($A1181&lt;MIN(DKW_10Y!$A$2:$A$2918),$A1181&gt;MAX(DKW_10Y!$A$2:$A$2918),Settings!$B$16&lt;MIN(DKW_10Y!$A$2:$A$2918)),NA(),(INDEX(DKW_10Y!$C$2:$C$2918,MATCH($A1181,DKW_10Y!$A$2:$A$2918,1))-INDEX(DKW_10Y!$C$2:$C$2918,MATCH(Settings!$B$16,DKW_10Y!$A$2:$A$2918,1)))*100))</f>
        <v/>
      </c>
      <c r="Z1181" s="19">
        <f>IF(NOT(ISNUMBER($A1181)),NA(),IF(OR($A1181&lt;MIN(DKW_10Y!$A$2:$A$2918),$A1181&gt;MAX(DKW_10Y!$A$2:$A$2918),Settings!$B$16&lt;MIN(DKW_10Y!$A$2:$A$2918)),NA(),(INDEX(DKW_10Y!$D$2:$D$2918,MATCH($A1181,DKW_10Y!$A$2:$A$2918,1))-INDEX(DKW_10Y!$D$2:$D$2918,MATCH(Settings!$B$16,DKW_10Y!$A$2:$A$2918,1)))*100))</f>
        <v/>
      </c>
      <c r="AA1181" s="19">
        <f>IF(NOT(ISNUMBER($A1181)),NA(),IF(OR($A1181&lt;MIN(DKW_10Y!$A$2:$A$2918),$A1181&gt;MAX(DKW_10Y!$A$2:$A$2918),Settings!$B$16&lt;MIN(DKW_10Y!$A$2:$A$2918)),NA(),(INDEX(DKW_10Y!$E$2:$E$2918,MATCH($A1181,DKW_10Y!$A$2:$A$2918,1))-INDEX(DKW_10Y!$E$2:$E$2918,MATCH(Settings!$B$16,DKW_10Y!$A$2:$A$2918,1)))*100))</f>
        <v/>
      </c>
      <c r="AB1181" s="19">
        <f>IF(NOT(ISNUMBER($A1181)),NA(),IF(OR($A1181&lt;MIN(DKW_10Y!$A$2:$A$2918),$A1181&gt;MAX(DKW_10Y!$A$2:$A$2918),Settings!$B$16&lt;MIN(DKW_10Y!$A$2:$A$2918)),NA(),(INDEX(DKW_10Y!$H$2:$H$2918,MATCH($A1181,DKW_10Y!$A$2:$A$2918,1))-INDEX(DKW_10Y!$H$2:$H$2918,MATCH(Settings!$B$16,DKW_10Y!$A$2:$A$2918,1)))*100))</f>
        <v/>
      </c>
      <c r="AC1181" s="18">
        <f>IF(NOT(ISNUMBER($A1181)),NA(),IFERROR(1*INDEX(BBG_Data!$N$2:$N$4000,MATCH($A1181,BBG_Data!$M$2:$M$4000,0)),NA()))</f>
        <v/>
      </c>
      <c r="AD1181" s="18">
        <f>IF(NOT(ISNUMBER($A1181)),NA(),IFERROR(1*INDEX(BBG_Data!$P$2:$P$4000,MATCH($A1181,BBG_Data!$O$2:$O$4000,0)),NA()))</f>
        <v/>
      </c>
      <c r="AE1181" s="18">
        <f>IF(NOT(ISNUMBER($A1181)),NA(),IFERROR(1*INDEX(BBG_Data!$R$2:$R$4000,MATCH($A1181,BBG_Data!$Q$2:$Q$4000,0)),NA()))</f>
        <v/>
      </c>
      <c r="AF1181" s="20">
        <f>IF(AND(ISNUMBER(B1181),ISNUMBER(AC1181)),(B1181-AC1181)*100,NA())</f>
        <v/>
      </c>
      <c r="AG1181" s="20">
        <f>IF(AND(ISNUMBER(AE1181),ISNUMBER(AD1181)),(AE1181-AD1181)*100,NA())</f>
        <v/>
      </c>
      <c r="AH1181" s="19">
        <f>IF(NOT(ISNUMBER($A1181)),NA(),IFERROR(INDEX(BBG_Data!$T$2:$T$4000,MATCH($A1181,BBG_Data!$S$2:$S$4000,0))*Settings!$B$25,NA()))</f>
        <v/>
      </c>
      <c r="AI1181" s="19">
        <f>IF(NOT(ISNUMBER($A1181)),NA(),IFERROR(INDEX(BBG_Data!$V$2:$V$4000,MATCH($A1181,BBG_Data!$U$2:$U$4000,0))*Settings!$B$25,NA()))</f>
        <v/>
      </c>
      <c r="AJ1181" s="19">
        <f>IF(NOT(ISNUMBER($A1181)),NA(),IFERROR(1*INDEX(BBG_Data!$X$2:$X$4000,MATCH($A1181,BBG_Data!$W$2:$W$4000,0)),NA()))</f>
        <v/>
      </c>
      <c r="AK1181" s="19">
        <f>IF(NOT(ISNUMBER($A1181)),NA(),IFERROR(1*INDEX(BBG_Data!$Z$2:$Z$4000,MATCH($A1181,BBG_Data!$Y$2:$Y$4000,0)),NA()))</f>
        <v/>
      </c>
    </row>
    <row r="1182">
      <c r="A1182" s="17">
        <f>IF(ISNUMBER(BBG_Data!A1182),BBG_Data!A1182,"")</f>
        <v/>
      </c>
      <c r="B1182" s="18">
        <f>IF(AND(ISNUMBER($A1182),ISNUMBER(BBG_Data!B1182)),BBG_Data!B1182,NA())</f>
        <v/>
      </c>
      <c r="C1182" s="18">
        <f>IF(NOT(ISNUMBER($A1182)),NA(),IFERROR(1*INDEX(BBG_Data!$D$2:$D$4000,MATCH($A1182,BBG_Data!$C$2:$C$4000,0)),NA()))</f>
        <v/>
      </c>
      <c r="D1182" s="19">
        <f>IF(NOT(ISNUMBER($A1182)),NA(),IFERROR(1*INDEX(BBG_Data!$F$2:$F$4000,MATCH($A1182,BBG_Data!$E$2:$E$4000,0)),NA()))</f>
        <v/>
      </c>
      <c r="E1182" s="19">
        <f>IF(NOT(ISNUMBER($A1182)),NA(),IFERROR(1*INDEX(BBG_Data!$H$2:$H$4000,MATCH($A1182,BBG_Data!$G$2:$G$4000,0)),NA()))</f>
        <v/>
      </c>
      <c r="F1182" s="20">
        <f>IF(AND(ISNUMBER(B1182),ISNUMBER(B1181)),IF(B1182=B1181,"",(B1182-B1181)*100),"")</f>
        <v/>
      </c>
      <c r="G1182" s="20">
        <f>IF(AND(ISNUMBER(C1182),ISNUMBER(C1181)),IF(C1182=C1181,"",(C1182-C1181)*100),"")</f>
        <v/>
      </c>
      <c r="H1182" s="20">
        <f>IF(OR(NOT(ISNUMBER($A1182)),ROW()-2&lt;Settings!$B$11),NA(),IF(COUNT(OFFSET(F1182,1-Settings!$B$11,0,Settings!$B$11,1))&lt;ROUNDUP(Settings!$B$11*Settings!$B$26,0),NA(),STDEV(OFFSET(F1182,1-Settings!$B$11,0,Settings!$B$11,1))*SQRT(Settings!$B$13)))</f>
        <v/>
      </c>
      <c r="I1182" s="20">
        <f>IF(OR(NOT(ISNUMBER($A1182)),ROW()-2&lt;Settings!$B$12),NA(),IF(COUNT(OFFSET(F1182,1-Settings!$B$12,0,Settings!$B$12,1))&lt;ROUNDUP(Settings!$B$12*Settings!$B$26,0),NA(),STDEV(OFFSET(F1182,1-Settings!$B$12,0,Settings!$B$12,1))*SQRT(Settings!$B$13)))</f>
        <v/>
      </c>
      <c r="J1182" s="20">
        <f>IF(OR(NOT(ISNUMBER($A1182)),ROW()-2&lt;Settings!$B$11),NA(),IF(COUNT(OFFSET(G1182,1-Settings!$B$11,0,Settings!$B$11,1))&lt;ROUNDUP(Settings!$B$11*Settings!$B$26,0),NA(),STDEV(OFFSET(G1182,1-Settings!$B$11,0,Settings!$B$11,1))*SQRT(Settings!$B$13)))</f>
        <v/>
      </c>
      <c r="K1182" s="20">
        <f>IF(OR(NOT(ISNUMBER($A1182)),ROW()-2&lt;Settings!$B$12),NA(),IF(COUNT(OFFSET(G1182,1-Settings!$B$12,0,Settings!$B$12,1))&lt;ROUNDUP(Settings!$B$12*Settings!$B$26,0),NA(),STDEV(OFFSET(G1182,1-Settings!$B$12,0,Settings!$B$12,1))*SQRT(Settings!$B$13)))</f>
        <v/>
      </c>
      <c r="L1182" s="20">
        <f>IF(AND(ISNUMBER(D1182),ISNUMBER(H1182)),D1182-H1182,NA())</f>
        <v/>
      </c>
      <c r="M1182" s="20">
        <f>IF(AND(ISNUMBER(E1182),ISNUMBER(K1182)),E1182-K1182,NA())</f>
        <v/>
      </c>
      <c r="N1182" s="20">
        <f>IF(NOT(ISNUMBER($A1182)),NA(),IF(COUNT(OFFSET(G1182,1,0,Settings!$B$12,1))&lt;ROUNDUP(Settings!$B$12*Settings!$B$26,0),NA(),STDEV(OFFSET(G1182,1,0,Settings!$B$12,1))*SQRT(Settings!$B$13)))</f>
        <v/>
      </c>
      <c r="O1182" s="20">
        <f>IF(AND(ISNUMBER(E1182),ISNUMBER(N1182)),E1182-N1182,NA())</f>
        <v/>
      </c>
      <c r="P1182" s="19">
        <f>IF(NOT(ISNUMBER($A1182)),NA(),IF(OR($A1182&lt;MIN(KW_TP!$A$2:$A$2501),$A1182&gt;MAX(KW_TP!$A$2:$A$2501)),NA(),INDEX(KW_TP!$C$2:$C$2501,MATCH($A1182,KW_TP!$A$2:$A$2501,1))))</f>
        <v/>
      </c>
      <c r="Q1182" s="18">
        <f>IF(NOT(ISNUMBER($A1182)),NA(),IFERROR(1*INDEX(BBG_Data!$J$2:$J$4000,MATCH($A1182,BBG_Data!$I$2:$I$4000,0)),NA()))</f>
        <v/>
      </c>
      <c r="R1182" s="18">
        <f>IF(NOT(ISNUMBER($A1182)),NA(),IFERROR(1*INDEX(BBG_Data!$L$2:$L$4000,MATCH($A1182,BBG_Data!$K$2:$K$4000,0)),NA()))</f>
        <v/>
      </c>
      <c r="S1182" s="20">
        <f>IF(AND(ISNUMBER(B1182),ISNUMBER(Q1182),ISNUMBER(R1182)),(B1182-Q1182-R1182)*100,NA())</f>
        <v/>
      </c>
      <c r="T1182" s="20">
        <f>IF(AND(ISNUMBER(B1182),Settings!$B$17&gt;0),IF(ISNUMBER(INDEX($B:$B,Settings!$B$17)),(B1182-INDEX($B:$B,Settings!$B$17))*100,NA()),NA())</f>
        <v/>
      </c>
      <c r="U1182" s="20">
        <f>IF(AND(ISNUMBER(Q1182),Settings!$B$17&gt;0),IF(ISNUMBER(INDEX($Q:$Q,Settings!$B$17)),(Q1182-INDEX($Q:$Q,Settings!$B$17))*100,NA()),NA())</f>
        <v/>
      </c>
      <c r="V1182" s="20">
        <f>IF(AND(ISNUMBER(R1182),Settings!$B$17&gt;0),IF(ISNUMBER(INDEX($R:$R,Settings!$B$17)),(R1182-INDEX($R:$R,Settings!$B$17))*100,NA()),NA())</f>
        <v/>
      </c>
      <c r="W1182" s="20">
        <f>IF(AND(ISNUMBER(P1182),Settings!$B$17&gt;0),IF(ISNUMBER(INDEX($P:$P,Settings!$B$17)),P1182-INDEX($P:$P,Settings!$B$17),NA()),NA())</f>
        <v/>
      </c>
      <c r="X1182" s="19">
        <f>IF(NOT(ISNUMBER($A1182)),NA(),IF(OR($A1182&lt;MIN(DKW_10Y!$A$2:$A$2918),$A1182&gt;MAX(DKW_10Y!$A$2:$A$2918),Settings!$B$16&lt;MIN(DKW_10Y!$A$2:$A$2918)),NA(),(INDEX(DKW_10Y!$B$2:$B$2918,MATCH($A1182,DKW_10Y!$A$2:$A$2918,1))-INDEX(DKW_10Y!$B$2:$B$2918,MATCH(Settings!$B$16,DKW_10Y!$A$2:$A$2918,1)))*100))</f>
        <v/>
      </c>
      <c r="Y1182" s="19">
        <f>IF(NOT(ISNUMBER($A1182)),NA(),IF(OR($A1182&lt;MIN(DKW_10Y!$A$2:$A$2918),$A1182&gt;MAX(DKW_10Y!$A$2:$A$2918),Settings!$B$16&lt;MIN(DKW_10Y!$A$2:$A$2918)),NA(),(INDEX(DKW_10Y!$C$2:$C$2918,MATCH($A1182,DKW_10Y!$A$2:$A$2918,1))-INDEX(DKW_10Y!$C$2:$C$2918,MATCH(Settings!$B$16,DKW_10Y!$A$2:$A$2918,1)))*100))</f>
        <v/>
      </c>
      <c r="Z1182" s="19">
        <f>IF(NOT(ISNUMBER($A1182)),NA(),IF(OR($A1182&lt;MIN(DKW_10Y!$A$2:$A$2918),$A1182&gt;MAX(DKW_10Y!$A$2:$A$2918),Settings!$B$16&lt;MIN(DKW_10Y!$A$2:$A$2918)),NA(),(INDEX(DKW_10Y!$D$2:$D$2918,MATCH($A1182,DKW_10Y!$A$2:$A$2918,1))-INDEX(DKW_10Y!$D$2:$D$2918,MATCH(Settings!$B$16,DKW_10Y!$A$2:$A$2918,1)))*100))</f>
        <v/>
      </c>
      <c r="AA1182" s="19">
        <f>IF(NOT(ISNUMBER($A1182)),NA(),IF(OR($A1182&lt;MIN(DKW_10Y!$A$2:$A$2918),$A1182&gt;MAX(DKW_10Y!$A$2:$A$2918),Settings!$B$16&lt;MIN(DKW_10Y!$A$2:$A$2918)),NA(),(INDEX(DKW_10Y!$E$2:$E$2918,MATCH($A1182,DKW_10Y!$A$2:$A$2918,1))-INDEX(DKW_10Y!$E$2:$E$2918,MATCH(Settings!$B$16,DKW_10Y!$A$2:$A$2918,1)))*100))</f>
        <v/>
      </c>
      <c r="AB1182" s="19">
        <f>IF(NOT(ISNUMBER($A1182)),NA(),IF(OR($A1182&lt;MIN(DKW_10Y!$A$2:$A$2918),$A1182&gt;MAX(DKW_10Y!$A$2:$A$2918),Settings!$B$16&lt;MIN(DKW_10Y!$A$2:$A$2918)),NA(),(INDEX(DKW_10Y!$H$2:$H$2918,MATCH($A1182,DKW_10Y!$A$2:$A$2918,1))-INDEX(DKW_10Y!$H$2:$H$2918,MATCH(Settings!$B$16,DKW_10Y!$A$2:$A$2918,1)))*100))</f>
        <v/>
      </c>
      <c r="AC1182" s="18">
        <f>IF(NOT(ISNUMBER($A1182)),NA(),IFERROR(1*INDEX(BBG_Data!$N$2:$N$4000,MATCH($A1182,BBG_Data!$M$2:$M$4000,0)),NA()))</f>
        <v/>
      </c>
      <c r="AD1182" s="18">
        <f>IF(NOT(ISNUMBER($A1182)),NA(),IFERROR(1*INDEX(BBG_Data!$P$2:$P$4000,MATCH($A1182,BBG_Data!$O$2:$O$4000,0)),NA()))</f>
        <v/>
      </c>
      <c r="AE1182" s="18">
        <f>IF(NOT(ISNUMBER($A1182)),NA(),IFERROR(1*INDEX(BBG_Data!$R$2:$R$4000,MATCH($A1182,BBG_Data!$Q$2:$Q$4000,0)),NA()))</f>
        <v/>
      </c>
      <c r="AF1182" s="20">
        <f>IF(AND(ISNUMBER(B1182),ISNUMBER(AC1182)),(B1182-AC1182)*100,NA())</f>
        <v/>
      </c>
      <c r="AG1182" s="20">
        <f>IF(AND(ISNUMBER(AE1182),ISNUMBER(AD1182)),(AE1182-AD1182)*100,NA())</f>
        <v/>
      </c>
      <c r="AH1182" s="19">
        <f>IF(NOT(ISNUMBER($A1182)),NA(),IFERROR(INDEX(BBG_Data!$T$2:$T$4000,MATCH($A1182,BBG_Data!$S$2:$S$4000,0))*Settings!$B$25,NA()))</f>
        <v/>
      </c>
      <c r="AI1182" s="19">
        <f>IF(NOT(ISNUMBER($A1182)),NA(),IFERROR(INDEX(BBG_Data!$V$2:$V$4000,MATCH($A1182,BBG_Data!$U$2:$U$4000,0))*Settings!$B$25,NA()))</f>
        <v/>
      </c>
      <c r="AJ1182" s="19">
        <f>IF(NOT(ISNUMBER($A1182)),NA(),IFERROR(1*INDEX(BBG_Data!$X$2:$X$4000,MATCH($A1182,BBG_Data!$W$2:$W$4000,0)),NA()))</f>
        <v/>
      </c>
      <c r="AK1182" s="19">
        <f>IF(NOT(ISNUMBER($A1182)),NA(),IFERROR(1*INDEX(BBG_Data!$Z$2:$Z$4000,MATCH($A1182,BBG_Data!$Y$2:$Y$4000,0)),NA()))</f>
        <v/>
      </c>
    </row>
    <row r="1183">
      <c r="A1183" s="17">
        <f>IF(ISNUMBER(BBG_Data!A1183),BBG_Data!A1183,"")</f>
        <v/>
      </c>
      <c r="B1183" s="18">
        <f>IF(AND(ISNUMBER($A1183),ISNUMBER(BBG_Data!B1183)),BBG_Data!B1183,NA())</f>
        <v/>
      </c>
      <c r="C1183" s="18">
        <f>IF(NOT(ISNUMBER($A1183)),NA(),IFERROR(1*INDEX(BBG_Data!$D$2:$D$4000,MATCH($A1183,BBG_Data!$C$2:$C$4000,0)),NA()))</f>
        <v/>
      </c>
      <c r="D1183" s="19">
        <f>IF(NOT(ISNUMBER($A1183)),NA(),IFERROR(1*INDEX(BBG_Data!$F$2:$F$4000,MATCH($A1183,BBG_Data!$E$2:$E$4000,0)),NA()))</f>
        <v/>
      </c>
      <c r="E1183" s="19">
        <f>IF(NOT(ISNUMBER($A1183)),NA(),IFERROR(1*INDEX(BBG_Data!$H$2:$H$4000,MATCH($A1183,BBG_Data!$G$2:$G$4000,0)),NA()))</f>
        <v/>
      </c>
      <c r="F1183" s="20">
        <f>IF(AND(ISNUMBER(B1183),ISNUMBER(B1182)),IF(B1183=B1182,"",(B1183-B1182)*100),"")</f>
        <v/>
      </c>
      <c r="G1183" s="20">
        <f>IF(AND(ISNUMBER(C1183),ISNUMBER(C1182)),IF(C1183=C1182,"",(C1183-C1182)*100),"")</f>
        <v/>
      </c>
      <c r="H1183" s="20">
        <f>IF(OR(NOT(ISNUMBER($A1183)),ROW()-2&lt;Settings!$B$11),NA(),IF(COUNT(OFFSET(F1183,1-Settings!$B$11,0,Settings!$B$11,1))&lt;ROUNDUP(Settings!$B$11*Settings!$B$26,0),NA(),STDEV(OFFSET(F1183,1-Settings!$B$11,0,Settings!$B$11,1))*SQRT(Settings!$B$13)))</f>
        <v/>
      </c>
      <c r="I1183" s="20">
        <f>IF(OR(NOT(ISNUMBER($A1183)),ROW()-2&lt;Settings!$B$12),NA(),IF(COUNT(OFFSET(F1183,1-Settings!$B$12,0,Settings!$B$12,1))&lt;ROUNDUP(Settings!$B$12*Settings!$B$26,0),NA(),STDEV(OFFSET(F1183,1-Settings!$B$12,0,Settings!$B$12,1))*SQRT(Settings!$B$13)))</f>
        <v/>
      </c>
      <c r="J1183" s="20">
        <f>IF(OR(NOT(ISNUMBER($A1183)),ROW()-2&lt;Settings!$B$11),NA(),IF(COUNT(OFFSET(G1183,1-Settings!$B$11,0,Settings!$B$11,1))&lt;ROUNDUP(Settings!$B$11*Settings!$B$26,0),NA(),STDEV(OFFSET(G1183,1-Settings!$B$11,0,Settings!$B$11,1))*SQRT(Settings!$B$13)))</f>
        <v/>
      </c>
      <c r="K1183" s="20">
        <f>IF(OR(NOT(ISNUMBER($A1183)),ROW()-2&lt;Settings!$B$12),NA(),IF(COUNT(OFFSET(G1183,1-Settings!$B$12,0,Settings!$B$12,1))&lt;ROUNDUP(Settings!$B$12*Settings!$B$26,0),NA(),STDEV(OFFSET(G1183,1-Settings!$B$12,0,Settings!$B$12,1))*SQRT(Settings!$B$13)))</f>
        <v/>
      </c>
      <c r="L1183" s="20">
        <f>IF(AND(ISNUMBER(D1183),ISNUMBER(H1183)),D1183-H1183,NA())</f>
        <v/>
      </c>
      <c r="M1183" s="20">
        <f>IF(AND(ISNUMBER(E1183),ISNUMBER(K1183)),E1183-K1183,NA())</f>
        <v/>
      </c>
      <c r="N1183" s="20">
        <f>IF(NOT(ISNUMBER($A1183)),NA(),IF(COUNT(OFFSET(G1183,1,0,Settings!$B$12,1))&lt;ROUNDUP(Settings!$B$12*Settings!$B$26,0),NA(),STDEV(OFFSET(G1183,1,0,Settings!$B$12,1))*SQRT(Settings!$B$13)))</f>
        <v/>
      </c>
      <c r="O1183" s="20">
        <f>IF(AND(ISNUMBER(E1183),ISNUMBER(N1183)),E1183-N1183,NA())</f>
        <v/>
      </c>
      <c r="P1183" s="19">
        <f>IF(NOT(ISNUMBER($A1183)),NA(),IF(OR($A1183&lt;MIN(KW_TP!$A$2:$A$2501),$A1183&gt;MAX(KW_TP!$A$2:$A$2501)),NA(),INDEX(KW_TP!$C$2:$C$2501,MATCH($A1183,KW_TP!$A$2:$A$2501,1))))</f>
        <v/>
      </c>
      <c r="Q1183" s="18">
        <f>IF(NOT(ISNUMBER($A1183)),NA(),IFERROR(1*INDEX(BBG_Data!$J$2:$J$4000,MATCH($A1183,BBG_Data!$I$2:$I$4000,0)),NA()))</f>
        <v/>
      </c>
      <c r="R1183" s="18">
        <f>IF(NOT(ISNUMBER($A1183)),NA(),IFERROR(1*INDEX(BBG_Data!$L$2:$L$4000,MATCH($A1183,BBG_Data!$K$2:$K$4000,0)),NA()))</f>
        <v/>
      </c>
      <c r="S1183" s="20">
        <f>IF(AND(ISNUMBER(B1183),ISNUMBER(Q1183),ISNUMBER(R1183)),(B1183-Q1183-R1183)*100,NA())</f>
        <v/>
      </c>
      <c r="T1183" s="20">
        <f>IF(AND(ISNUMBER(B1183),Settings!$B$17&gt;0),IF(ISNUMBER(INDEX($B:$B,Settings!$B$17)),(B1183-INDEX($B:$B,Settings!$B$17))*100,NA()),NA())</f>
        <v/>
      </c>
      <c r="U1183" s="20">
        <f>IF(AND(ISNUMBER(Q1183),Settings!$B$17&gt;0),IF(ISNUMBER(INDEX($Q:$Q,Settings!$B$17)),(Q1183-INDEX($Q:$Q,Settings!$B$17))*100,NA()),NA())</f>
        <v/>
      </c>
      <c r="V1183" s="20">
        <f>IF(AND(ISNUMBER(R1183),Settings!$B$17&gt;0),IF(ISNUMBER(INDEX($R:$R,Settings!$B$17)),(R1183-INDEX($R:$R,Settings!$B$17))*100,NA()),NA())</f>
        <v/>
      </c>
      <c r="W1183" s="20">
        <f>IF(AND(ISNUMBER(P1183),Settings!$B$17&gt;0),IF(ISNUMBER(INDEX($P:$P,Settings!$B$17)),P1183-INDEX($P:$P,Settings!$B$17),NA()),NA())</f>
        <v/>
      </c>
      <c r="X1183" s="19">
        <f>IF(NOT(ISNUMBER($A1183)),NA(),IF(OR($A1183&lt;MIN(DKW_10Y!$A$2:$A$2918),$A1183&gt;MAX(DKW_10Y!$A$2:$A$2918),Settings!$B$16&lt;MIN(DKW_10Y!$A$2:$A$2918)),NA(),(INDEX(DKW_10Y!$B$2:$B$2918,MATCH($A1183,DKW_10Y!$A$2:$A$2918,1))-INDEX(DKW_10Y!$B$2:$B$2918,MATCH(Settings!$B$16,DKW_10Y!$A$2:$A$2918,1)))*100))</f>
        <v/>
      </c>
      <c r="Y1183" s="19">
        <f>IF(NOT(ISNUMBER($A1183)),NA(),IF(OR($A1183&lt;MIN(DKW_10Y!$A$2:$A$2918),$A1183&gt;MAX(DKW_10Y!$A$2:$A$2918),Settings!$B$16&lt;MIN(DKW_10Y!$A$2:$A$2918)),NA(),(INDEX(DKW_10Y!$C$2:$C$2918,MATCH($A1183,DKW_10Y!$A$2:$A$2918,1))-INDEX(DKW_10Y!$C$2:$C$2918,MATCH(Settings!$B$16,DKW_10Y!$A$2:$A$2918,1)))*100))</f>
        <v/>
      </c>
      <c r="Z1183" s="19">
        <f>IF(NOT(ISNUMBER($A1183)),NA(),IF(OR($A1183&lt;MIN(DKW_10Y!$A$2:$A$2918),$A1183&gt;MAX(DKW_10Y!$A$2:$A$2918),Settings!$B$16&lt;MIN(DKW_10Y!$A$2:$A$2918)),NA(),(INDEX(DKW_10Y!$D$2:$D$2918,MATCH($A1183,DKW_10Y!$A$2:$A$2918,1))-INDEX(DKW_10Y!$D$2:$D$2918,MATCH(Settings!$B$16,DKW_10Y!$A$2:$A$2918,1)))*100))</f>
        <v/>
      </c>
      <c r="AA1183" s="19">
        <f>IF(NOT(ISNUMBER($A1183)),NA(),IF(OR($A1183&lt;MIN(DKW_10Y!$A$2:$A$2918),$A1183&gt;MAX(DKW_10Y!$A$2:$A$2918),Settings!$B$16&lt;MIN(DKW_10Y!$A$2:$A$2918)),NA(),(INDEX(DKW_10Y!$E$2:$E$2918,MATCH($A1183,DKW_10Y!$A$2:$A$2918,1))-INDEX(DKW_10Y!$E$2:$E$2918,MATCH(Settings!$B$16,DKW_10Y!$A$2:$A$2918,1)))*100))</f>
        <v/>
      </c>
      <c r="AB1183" s="19">
        <f>IF(NOT(ISNUMBER($A1183)),NA(),IF(OR($A1183&lt;MIN(DKW_10Y!$A$2:$A$2918),$A1183&gt;MAX(DKW_10Y!$A$2:$A$2918),Settings!$B$16&lt;MIN(DKW_10Y!$A$2:$A$2918)),NA(),(INDEX(DKW_10Y!$H$2:$H$2918,MATCH($A1183,DKW_10Y!$A$2:$A$2918,1))-INDEX(DKW_10Y!$H$2:$H$2918,MATCH(Settings!$B$16,DKW_10Y!$A$2:$A$2918,1)))*100))</f>
        <v/>
      </c>
      <c r="AC1183" s="18">
        <f>IF(NOT(ISNUMBER($A1183)),NA(),IFERROR(1*INDEX(BBG_Data!$N$2:$N$4000,MATCH($A1183,BBG_Data!$M$2:$M$4000,0)),NA()))</f>
        <v/>
      </c>
      <c r="AD1183" s="18">
        <f>IF(NOT(ISNUMBER($A1183)),NA(),IFERROR(1*INDEX(BBG_Data!$P$2:$P$4000,MATCH($A1183,BBG_Data!$O$2:$O$4000,0)),NA()))</f>
        <v/>
      </c>
      <c r="AE1183" s="18">
        <f>IF(NOT(ISNUMBER($A1183)),NA(),IFERROR(1*INDEX(BBG_Data!$R$2:$R$4000,MATCH($A1183,BBG_Data!$Q$2:$Q$4000,0)),NA()))</f>
        <v/>
      </c>
      <c r="AF1183" s="20">
        <f>IF(AND(ISNUMBER(B1183),ISNUMBER(AC1183)),(B1183-AC1183)*100,NA())</f>
        <v/>
      </c>
      <c r="AG1183" s="20">
        <f>IF(AND(ISNUMBER(AE1183),ISNUMBER(AD1183)),(AE1183-AD1183)*100,NA())</f>
        <v/>
      </c>
      <c r="AH1183" s="19">
        <f>IF(NOT(ISNUMBER($A1183)),NA(),IFERROR(INDEX(BBG_Data!$T$2:$T$4000,MATCH($A1183,BBG_Data!$S$2:$S$4000,0))*Settings!$B$25,NA()))</f>
        <v/>
      </c>
      <c r="AI1183" s="19">
        <f>IF(NOT(ISNUMBER($A1183)),NA(),IFERROR(INDEX(BBG_Data!$V$2:$V$4000,MATCH($A1183,BBG_Data!$U$2:$U$4000,0))*Settings!$B$25,NA()))</f>
        <v/>
      </c>
      <c r="AJ1183" s="19">
        <f>IF(NOT(ISNUMBER($A1183)),NA(),IFERROR(1*INDEX(BBG_Data!$X$2:$X$4000,MATCH($A1183,BBG_Data!$W$2:$W$4000,0)),NA()))</f>
        <v/>
      </c>
      <c r="AK1183" s="19">
        <f>IF(NOT(ISNUMBER($A1183)),NA(),IFERROR(1*INDEX(BBG_Data!$Z$2:$Z$4000,MATCH($A1183,BBG_Data!$Y$2:$Y$4000,0)),NA()))</f>
        <v/>
      </c>
    </row>
    <row r="1184">
      <c r="A1184" s="17">
        <f>IF(ISNUMBER(BBG_Data!A1184),BBG_Data!A1184,"")</f>
        <v/>
      </c>
      <c r="B1184" s="18">
        <f>IF(AND(ISNUMBER($A1184),ISNUMBER(BBG_Data!B1184)),BBG_Data!B1184,NA())</f>
        <v/>
      </c>
      <c r="C1184" s="18">
        <f>IF(NOT(ISNUMBER($A1184)),NA(),IFERROR(1*INDEX(BBG_Data!$D$2:$D$4000,MATCH($A1184,BBG_Data!$C$2:$C$4000,0)),NA()))</f>
        <v/>
      </c>
      <c r="D1184" s="19">
        <f>IF(NOT(ISNUMBER($A1184)),NA(),IFERROR(1*INDEX(BBG_Data!$F$2:$F$4000,MATCH($A1184,BBG_Data!$E$2:$E$4000,0)),NA()))</f>
        <v/>
      </c>
      <c r="E1184" s="19">
        <f>IF(NOT(ISNUMBER($A1184)),NA(),IFERROR(1*INDEX(BBG_Data!$H$2:$H$4000,MATCH($A1184,BBG_Data!$G$2:$G$4000,0)),NA()))</f>
        <v/>
      </c>
      <c r="F1184" s="20">
        <f>IF(AND(ISNUMBER(B1184),ISNUMBER(B1183)),IF(B1184=B1183,"",(B1184-B1183)*100),"")</f>
        <v/>
      </c>
      <c r="G1184" s="20">
        <f>IF(AND(ISNUMBER(C1184),ISNUMBER(C1183)),IF(C1184=C1183,"",(C1184-C1183)*100),"")</f>
        <v/>
      </c>
      <c r="H1184" s="20">
        <f>IF(OR(NOT(ISNUMBER($A1184)),ROW()-2&lt;Settings!$B$11),NA(),IF(COUNT(OFFSET(F1184,1-Settings!$B$11,0,Settings!$B$11,1))&lt;ROUNDUP(Settings!$B$11*Settings!$B$26,0),NA(),STDEV(OFFSET(F1184,1-Settings!$B$11,0,Settings!$B$11,1))*SQRT(Settings!$B$13)))</f>
        <v/>
      </c>
      <c r="I1184" s="20">
        <f>IF(OR(NOT(ISNUMBER($A1184)),ROW()-2&lt;Settings!$B$12),NA(),IF(COUNT(OFFSET(F1184,1-Settings!$B$12,0,Settings!$B$12,1))&lt;ROUNDUP(Settings!$B$12*Settings!$B$26,0),NA(),STDEV(OFFSET(F1184,1-Settings!$B$12,0,Settings!$B$12,1))*SQRT(Settings!$B$13)))</f>
        <v/>
      </c>
      <c r="J1184" s="20">
        <f>IF(OR(NOT(ISNUMBER($A1184)),ROW()-2&lt;Settings!$B$11),NA(),IF(COUNT(OFFSET(G1184,1-Settings!$B$11,0,Settings!$B$11,1))&lt;ROUNDUP(Settings!$B$11*Settings!$B$26,0),NA(),STDEV(OFFSET(G1184,1-Settings!$B$11,0,Settings!$B$11,1))*SQRT(Settings!$B$13)))</f>
        <v/>
      </c>
      <c r="K1184" s="20">
        <f>IF(OR(NOT(ISNUMBER($A1184)),ROW()-2&lt;Settings!$B$12),NA(),IF(COUNT(OFFSET(G1184,1-Settings!$B$12,0,Settings!$B$12,1))&lt;ROUNDUP(Settings!$B$12*Settings!$B$26,0),NA(),STDEV(OFFSET(G1184,1-Settings!$B$12,0,Settings!$B$12,1))*SQRT(Settings!$B$13)))</f>
        <v/>
      </c>
      <c r="L1184" s="20">
        <f>IF(AND(ISNUMBER(D1184),ISNUMBER(H1184)),D1184-H1184,NA())</f>
        <v/>
      </c>
      <c r="M1184" s="20">
        <f>IF(AND(ISNUMBER(E1184),ISNUMBER(K1184)),E1184-K1184,NA())</f>
        <v/>
      </c>
      <c r="N1184" s="20">
        <f>IF(NOT(ISNUMBER($A1184)),NA(),IF(COUNT(OFFSET(G1184,1,0,Settings!$B$12,1))&lt;ROUNDUP(Settings!$B$12*Settings!$B$26,0),NA(),STDEV(OFFSET(G1184,1,0,Settings!$B$12,1))*SQRT(Settings!$B$13)))</f>
        <v/>
      </c>
      <c r="O1184" s="20">
        <f>IF(AND(ISNUMBER(E1184),ISNUMBER(N1184)),E1184-N1184,NA())</f>
        <v/>
      </c>
      <c r="P1184" s="19">
        <f>IF(NOT(ISNUMBER($A1184)),NA(),IF(OR($A1184&lt;MIN(KW_TP!$A$2:$A$2501),$A1184&gt;MAX(KW_TP!$A$2:$A$2501)),NA(),INDEX(KW_TP!$C$2:$C$2501,MATCH($A1184,KW_TP!$A$2:$A$2501,1))))</f>
        <v/>
      </c>
      <c r="Q1184" s="18">
        <f>IF(NOT(ISNUMBER($A1184)),NA(),IFERROR(1*INDEX(BBG_Data!$J$2:$J$4000,MATCH($A1184,BBG_Data!$I$2:$I$4000,0)),NA()))</f>
        <v/>
      </c>
      <c r="R1184" s="18">
        <f>IF(NOT(ISNUMBER($A1184)),NA(),IFERROR(1*INDEX(BBG_Data!$L$2:$L$4000,MATCH($A1184,BBG_Data!$K$2:$K$4000,0)),NA()))</f>
        <v/>
      </c>
      <c r="S1184" s="20">
        <f>IF(AND(ISNUMBER(B1184),ISNUMBER(Q1184),ISNUMBER(R1184)),(B1184-Q1184-R1184)*100,NA())</f>
        <v/>
      </c>
      <c r="T1184" s="20">
        <f>IF(AND(ISNUMBER(B1184),Settings!$B$17&gt;0),IF(ISNUMBER(INDEX($B:$B,Settings!$B$17)),(B1184-INDEX($B:$B,Settings!$B$17))*100,NA()),NA())</f>
        <v/>
      </c>
      <c r="U1184" s="20">
        <f>IF(AND(ISNUMBER(Q1184),Settings!$B$17&gt;0),IF(ISNUMBER(INDEX($Q:$Q,Settings!$B$17)),(Q1184-INDEX($Q:$Q,Settings!$B$17))*100,NA()),NA())</f>
        <v/>
      </c>
      <c r="V1184" s="20">
        <f>IF(AND(ISNUMBER(R1184),Settings!$B$17&gt;0),IF(ISNUMBER(INDEX($R:$R,Settings!$B$17)),(R1184-INDEX($R:$R,Settings!$B$17))*100,NA()),NA())</f>
        <v/>
      </c>
      <c r="W1184" s="20">
        <f>IF(AND(ISNUMBER(P1184),Settings!$B$17&gt;0),IF(ISNUMBER(INDEX($P:$P,Settings!$B$17)),P1184-INDEX($P:$P,Settings!$B$17),NA()),NA())</f>
        <v/>
      </c>
      <c r="X1184" s="19">
        <f>IF(NOT(ISNUMBER($A1184)),NA(),IF(OR($A1184&lt;MIN(DKW_10Y!$A$2:$A$2918),$A1184&gt;MAX(DKW_10Y!$A$2:$A$2918),Settings!$B$16&lt;MIN(DKW_10Y!$A$2:$A$2918)),NA(),(INDEX(DKW_10Y!$B$2:$B$2918,MATCH($A1184,DKW_10Y!$A$2:$A$2918,1))-INDEX(DKW_10Y!$B$2:$B$2918,MATCH(Settings!$B$16,DKW_10Y!$A$2:$A$2918,1)))*100))</f>
        <v/>
      </c>
      <c r="Y1184" s="19">
        <f>IF(NOT(ISNUMBER($A1184)),NA(),IF(OR($A1184&lt;MIN(DKW_10Y!$A$2:$A$2918),$A1184&gt;MAX(DKW_10Y!$A$2:$A$2918),Settings!$B$16&lt;MIN(DKW_10Y!$A$2:$A$2918)),NA(),(INDEX(DKW_10Y!$C$2:$C$2918,MATCH($A1184,DKW_10Y!$A$2:$A$2918,1))-INDEX(DKW_10Y!$C$2:$C$2918,MATCH(Settings!$B$16,DKW_10Y!$A$2:$A$2918,1)))*100))</f>
        <v/>
      </c>
      <c r="Z1184" s="19">
        <f>IF(NOT(ISNUMBER($A1184)),NA(),IF(OR($A1184&lt;MIN(DKW_10Y!$A$2:$A$2918),$A1184&gt;MAX(DKW_10Y!$A$2:$A$2918),Settings!$B$16&lt;MIN(DKW_10Y!$A$2:$A$2918)),NA(),(INDEX(DKW_10Y!$D$2:$D$2918,MATCH($A1184,DKW_10Y!$A$2:$A$2918,1))-INDEX(DKW_10Y!$D$2:$D$2918,MATCH(Settings!$B$16,DKW_10Y!$A$2:$A$2918,1)))*100))</f>
        <v/>
      </c>
      <c r="AA1184" s="19">
        <f>IF(NOT(ISNUMBER($A1184)),NA(),IF(OR($A1184&lt;MIN(DKW_10Y!$A$2:$A$2918),$A1184&gt;MAX(DKW_10Y!$A$2:$A$2918),Settings!$B$16&lt;MIN(DKW_10Y!$A$2:$A$2918)),NA(),(INDEX(DKW_10Y!$E$2:$E$2918,MATCH($A1184,DKW_10Y!$A$2:$A$2918,1))-INDEX(DKW_10Y!$E$2:$E$2918,MATCH(Settings!$B$16,DKW_10Y!$A$2:$A$2918,1)))*100))</f>
        <v/>
      </c>
      <c r="AB1184" s="19">
        <f>IF(NOT(ISNUMBER($A1184)),NA(),IF(OR($A1184&lt;MIN(DKW_10Y!$A$2:$A$2918),$A1184&gt;MAX(DKW_10Y!$A$2:$A$2918),Settings!$B$16&lt;MIN(DKW_10Y!$A$2:$A$2918)),NA(),(INDEX(DKW_10Y!$H$2:$H$2918,MATCH($A1184,DKW_10Y!$A$2:$A$2918,1))-INDEX(DKW_10Y!$H$2:$H$2918,MATCH(Settings!$B$16,DKW_10Y!$A$2:$A$2918,1)))*100))</f>
        <v/>
      </c>
      <c r="AC1184" s="18">
        <f>IF(NOT(ISNUMBER($A1184)),NA(),IFERROR(1*INDEX(BBG_Data!$N$2:$N$4000,MATCH($A1184,BBG_Data!$M$2:$M$4000,0)),NA()))</f>
        <v/>
      </c>
      <c r="AD1184" s="18">
        <f>IF(NOT(ISNUMBER($A1184)),NA(),IFERROR(1*INDEX(BBG_Data!$P$2:$P$4000,MATCH($A1184,BBG_Data!$O$2:$O$4000,0)),NA()))</f>
        <v/>
      </c>
      <c r="AE1184" s="18">
        <f>IF(NOT(ISNUMBER($A1184)),NA(),IFERROR(1*INDEX(BBG_Data!$R$2:$R$4000,MATCH($A1184,BBG_Data!$Q$2:$Q$4000,0)),NA()))</f>
        <v/>
      </c>
      <c r="AF1184" s="20">
        <f>IF(AND(ISNUMBER(B1184),ISNUMBER(AC1184)),(B1184-AC1184)*100,NA())</f>
        <v/>
      </c>
      <c r="AG1184" s="20">
        <f>IF(AND(ISNUMBER(AE1184),ISNUMBER(AD1184)),(AE1184-AD1184)*100,NA())</f>
        <v/>
      </c>
      <c r="AH1184" s="19">
        <f>IF(NOT(ISNUMBER($A1184)),NA(),IFERROR(INDEX(BBG_Data!$T$2:$T$4000,MATCH($A1184,BBG_Data!$S$2:$S$4000,0))*Settings!$B$25,NA()))</f>
        <v/>
      </c>
      <c r="AI1184" s="19">
        <f>IF(NOT(ISNUMBER($A1184)),NA(),IFERROR(INDEX(BBG_Data!$V$2:$V$4000,MATCH($A1184,BBG_Data!$U$2:$U$4000,0))*Settings!$B$25,NA()))</f>
        <v/>
      </c>
      <c r="AJ1184" s="19">
        <f>IF(NOT(ISNUMBER($A1184)),NA(),IFERROR(1*INDEX(BBG_Data!$X$2:$X$4000,MATCH($A1184,BBG_Data!$W$2:$W$4000,0)),NA()))</f>
        <v/>
      </c>
      <c r="AK1184" s="19">
        <f>IF(NOT(ISNUMBER($A1184)),NA(),IFERROR(1*INDEX(BBG_Data!$Z$2:$Z$4000,MATCH($A1184,BBG_Data!$Y$2:$Y$4000,0)),NA()))</f>
        <v/>
      </c>
    </row>
    <row r="1185">
      <c r="A1185" s="17">
        <f>IF(ISNUMBER(BBG_Data!A1185),BBG_Data!A1185,"")</f>
        <v/>
      </c>
      <c r="B1185" s="18">
        <f>IF(AND(ISNUMBER($A1185),ISNUMBER(BBG_Data!B1185)),BBG_Data!B1185,NA())</f>
        <v/>
      </c>
      <c r="C1185" s="18">
        <f>IF(NOT(ISNUMBER($A1185)),NA(),IFERROR(1*INDEX(BBG_Data!$D$2:$D$4000,MATCH($A1185,BBG_Data!$C$2:$C$4000,0)),NA()))</f>
        <v/>
      </c>
      <c r="D1185" s="19">
        <f>IF(NOT(ISNUMBER($A1185)),NA(),IFERROR(1*INDEX(BBG_Data!$F$2:$F$4000,MATCH($A1185,BBG_Data!$E$2:$E$4000,0)),NA()))</f>
        <v/>
      </c>
      <c r="E1185" s="19">
        <f>IF(NOT(ISNUMBER($A1185)),NA(),IFERROR(1*INDEX(BBG_Data!$H$2:$H$4000,MATCH($A1185,BBG_Data!$G$2:$G$4000,0)),NA()))</f>
        <v/>
      </c>
      <c r="F1185" s="20">
        <f>IF(AND(ISNUMBER(B1185),ISNUMBER(B1184)),IF(B1185=B1184,"",(B1185-B1184)*100),"")</f>
        <v/>
      </c>
      <c r="G1185" s="20">
        <f>IF(AND(ISNUMBER(C1185),ISNUMBER(C1184)),IF(C1185=C1184,"",(C1185-C1184)*100),"")</f>
        <v/>
      </c>
      <c r="H1185" s="20">
        <f>IF(OR(NOT(ISNUMBER($A1185)),ROW()-2&lt;Settings!$B$11),NA(),IF(COUNT(OFFSET(F1185,1-Settings!$B$11,0,Settings!$B$11,1))&lt;ROUNDUP(Settings!$B$11*Settings!$B$26,0),NA(),STDEV(OFFSET(F1185,1-Settings!$B$11,0,Settings!$B$11,1))*SQRT(Settings!$B$13)))</f>
        <v/>
      </c>
      <c r="I1185" s="20">
        <f>IF(OR(NOT(ISNUMBER($A1185)),ROW()-2&lt;Settings!$B$12),NA(),IF(COUNT(OFFSET(F1185,1-Settings!$B$12,0,Settings!$B$12,1))&lt;ROUNDUP(Settings!$B$12*Settings!$B$26,0),NA(),STDEV(OFFSET(F1185,1-Settings!$B$12,0,Settings!$B$12,1))*SQRT(Settings!$B$13)))</f>
        <v/>
      </c>
      <c r="J1185" s="20">
        <f>IF(OR(NOT(ISNUMBER($A1185)),ROW()-2&lt;Settings!$B$11),NA(),IF(COUNT(OFFSET(G1185,1-Settings!$B$11,0,Settings!$B$11,1))&lt;ROUNDUP(Settings!$B$11*Settings!$B$26,0),NA(),STDEV(OFFSET(G1185,1-Settings!$B$11,0,Settings!$B$11,1))*SQRT(Settings!$B$13)))</f>
        <v/>
      </c>
      <c r="K1185" s="20">
        <f>IF(OR(NOT(ISNUMBER($A1185)),ROW()-2&lt;Settings!$B$12),NA(),IF(COUNT(OFFSET(G1185,1-Settings!$B$12,0,Settings!$B$12,1))&lt;ROUNDUP(Settings!$B$12*Settings!$B$26,0),NA(),STDEV(OFFSET(G1185,1-Settings!$B$12,0,Settings!$B$12,1))*SQRT(Settings!$B$13)))</f>
        <v/>
      </c>
      <c r="L1185" s="20">
        <f>IF(AND(ISNUMBER(D1185),ISNUMBER(H1185)),D1185-H1185,NA())</f>
        <v/>
      </c>
      <c r="M1185" s="20">
        <f>IF(AND(ISNUMBER(E1185),ISNUMBER(K1185)),E1185-K1185,NA())</f>
        <v/>
      </c>
      <c r="N1185" s="20">
        <f>IF(NOT(ISNUMBER($A1185)),NA(),IF(COUNT(OFFSET(G1185,1,0,Settings!$B$12,1))&lt;ROUNDUP(Settings!$B$12*Settings!$B$26,0),NA(),STDEV(OFFSET(G1185,1,0,Settings!$B$12,1))*SQRT(Settings!$B$13)))</f>
        <v/>
      </c>
      <c r="O1185" s="20">
        <f>IF(AND(ISNUMBER(E1185),ISNUMBER(N1185)),E1185-N1185,NA())</f>
        <v/>
      </c>
      <c r="P1185" s="19">
        <f>IF(NOT(ISNUMBER($A1185)),NA(),IF(OR($A1185&lt;MIN(KW_TP!$A$2:$A$2501),$A1185&gt;MAX(KW_TP!$A$2:$A$2501)),NA(),INDEX(KW_TP!$C$2:$C$2501,MATCH($A1185,KW_TP!$A$2:$A$2501,1))))</f>
        <v/>
      </c>
      <c r="Q1185" s="18">
        <f>IF(NOT(ISNUMBER($A1185)),NA(),IFERROR(1*INDEX(BBG_Data!$J$2:$J$4000,MATCH($A1185,BBG_Data!$I$2:$I$4000,0)),NA()))</f>
        <v/>
      </c>
      <c r="R1185" s="18">
        <f>IF(NOT(ISNUMBER($A1185)),NA(),IFERROR(1*INDEX(BBG_Data!$L$2:$L$4000,MATCH($A1185,BBG_Data!$K$2:$K$4000,0)),NA()))</f>
        <v/>
      </c>
      <c r="S1185" s="20">
        <f>IF(AND(ISNUMBER(B1185),ISNUMBER(Q1185),ISNUMBER(R1185)),(B1185-Q1185-R1185)*100,NA())</f>
        <v/>
      </c>
      <c r="T1185" s="20">
        <f>IF(AND(ISNUMBER(B1185),Settings!$B$17&gt;0),IF(ISNUMBER(INDEX($B:$B,Settings!$B$17)),(B1185-INDEX($B:$B,Settings!$B$17))*100,NA()),NA())</f>
        <v/>
      </c>
      <c r="U1185" s="20">
        <f>IF(AND(ISNUMBER(Q1185),Settings!$B$17&gt;0),IF(ISNUMBER(INDEX($Q:$Q,Settings!$B$17)),(Q1185-INDEX($Q:$Q,Settings!$B$17))*100,NA()),NA())</f>
        <v/>
      </c>
      <c r="V1185" s="20">
        <f>IF(AND(ISNUMBER(R1185),Settings!$B$17&gt;0),IF(ISNUMBER(INDEX($R:$R,Settings!$B$17)),(R1185-INDEX($R:$R,Settings!$B$17))*100,NA()),NA())</f>
        <v/>
      </c>
      <c r="W1185" s="20">
        <f>IF(AND(ISNUMBER(P1185),Settings!$B$17&gt;0),IF(ISNUMBER(INDEX($P:$P,Settings!$B$17)),P1185-INDEX($P:$P,Settings!$B$17),NA()),NA())</f>
        <v/>
      </c>
      <c r="X1185" s="19">
        <f>IF(NOT(ISNUMBER($A1185)),NA(),IF(OR($A1185&lt;MIN(DKW_10Y!$A$2:$A$2918),$A1185&gt;MAX(DKW_10Y!$A$2:$A$2918),Settings!$B$16&lt;MIN(DKW_10Y!$A$2:$A$2918)),NA(),(INDEX(DKW_10Y!$B$2:$B$2918,MATCH($A1185,DKW_10Y!$A$2:$A$2918,1))-INDEX(DKW_10Y!$B$2:$B$2918,MATCH(Settings!$B$16,DKW_10Y!$A$2:$A$2918,1)))*100))</f>
        <v/>
      </c>
      <c r="Y1185" s="19">
        <f>IF(NOT(ISNUMBER($A1185)),NA(),IF(OR($A1185&lt;MIN(DKW_10Y!$A$2:$A$2918),$A1185&gt;MAX(DKW_10Y!$A$2:$A$2918),Settings!$B$16&lt;MIN(DKW_10Y!$A$2:$A$2918)),NA(),(INDEX(DKW_10Y!$C$2:$C$2918,MATCH($A1185,DKW_10Y!$A$2:$A$2918,1))-INDEX(DKW_10Y!$C$2:$C$2918,MATCH(Settings!$B$16,DKW_10Y!$A$2:$A$2918,1)))*100))</f>
        <v/>
      </c>
      <c r="Z1185" s="19">
        <f>IF(NOT(ISNUMBER($A1185)),NA(),IF(OR($A1185&lt;MIN(DKW_10Y!$A$2:$A$2918),$A1185&gt;MAX(DKW_10Y!$A$2:$A$2918),Settings!$B$16&lt;MIN(DKW_10Y!$A$2:$A$2918)),NA(),(INDEX(DKW_10Y!$D$2:$D$2918,MATCH($A1185,DKW_10Y!$A$2:$A$2918,1))-INDEX(DKW_10Y!$D$2:$D$2918,MATCH(Settings!$B$16,DKW_10Y!$A$2:$A$2918,1)))*100))</f>
        <v/>
      </c>
      <c r="AA1185" s="19">
        <f>IF(NOT(ISNUMBER($A1185)),NA(),IF(OR($A1185&lt;MIN(DKW_10Y!$A$2:$A$2918),$A1185&gt;MAX(DKW_10Y!$A$2:$A$2918),Settings!$B$16&lt;MIN(DKW_10Y!$A$2:$A$2918)),NA(),(INDEX(DKW_10Y!$E$2:$E$2918,MATCH($A1185,DKW_10Y!$A$2:$A$2918,1))-INDEX(DKW_10Y!$E$2:$E$2918,MATCH(Settings!$B$16,DKW_10Y!$A$2:$A$2918,1)))*100))</f>
        <v/>
      </c>
      <c r="AB1185" s="19">
        <f>IF(NOT(ISNUMBER($A1185)),NA(),IF(OR($A1185&lt;MIN(DKW_10Y!$A$2:$A$2918),$A1185&gt;MAX(DKW_10Y!$A$2:$A$2918),Settings!$B$16&lt;MIN(DKW_10Y!$A$2:$A$2918)),NA(),(INDEX(DKW_10Y!$H$2:$H$2918,MATCH($A1185,DKW_10Y!$A$2:$A$2918,1))-INDEX(DKW_10Y!$H$2:$H$2918,MATCH(Settings!$B$16,DKW_10Y!$A$2:$A$2918,1)))*100))</f>
        <v/>
      </c>
      <c r="AC1185" s="18">
        <f>IF(NOT(ISNUMBER($A1185)),NA(),IFERROR(1*INDEX(BBG_Data!$N$2:$N$4000,MATCH($A1185,BBG_Data!$M$2:$M$4000,0)),NA()))</f>
        <v/>
      </c>
      <c r="AD1185" s="18">
        <f>IF(NOT(ISNUMBER($A1185)),NA(),IFERROR(1*INDEX(BBG_Data!$P$2:$P$4000,MATCH($A1185,BBG_Data!$O$2:$O$4000,0)),NA()))</f>
        <v/>
      </c>
      <c r="AE1185" s="18">
        <f>IF(NOT(ISNUMBER($A1185)),NA(),IFERROR(1*INDEX(BBG_Data!$R$2:$R$4000,MATCH($A1185,BBG_Data!$Q$2:$Q$4000,0)),NA()))</f>
        <v/>
      </c>
      <c r="AF1185" s="20">
        <f>IF(AND(ISNUMBER(B1185),ISNUMBER(AC1185)),(B1185-AC1185)*100,NA())</f>
        <v/>
      </c>
      <c r="AG1185" s="20">
        <f>IF(AND(ISNUMBER(AE1185),ISNUMBER(AD1185)),(AE1185-AD1185)*100,NA())</f>
        <v/>
      </c>
      <c r="AH1185" s="19">
        <f>IF(NOT(ISNUMBER($A1185)),NA(),IFERROR(INDEX(BBG_Data!$T$2:$T$4000,MATCH($A1185,BBG_Data!$S$2:$S$4000,0))*Settings!$B$25,NA()))</f>
        <v/>
      </c>
      <c r="AI1185" s="19">
        <f>IF(NOT(ISNUMBER($A1185)),NA(),IFERROR(INDEX(BBG_Data!$V$2:$V$4000,MATCH($A1185,BBG_Data!$U$2:$U$4000,0))*Settings!$B$25,NA()))</f>
        <v/>
      </c>
      <c r="AJ1185" s="19">
        <f>IF(NOT(ISNUMBER($A1185)),NA(),IFERROR(1*INDEX(BBG_Data!$X$2:$X$4000,MATCH($A1185,BBG_Data!$W$2:$W$4000,0)),NA()))</f>
        <v/>
      </c>
      <c r="AK1185" s="19">
        <f>IF(NOT(ISNUMBER($A1185)),NA(),IFERROR(1*INDEX(BBG_Data!$Z$2:$Z$4000,MATCH($A1185,BBG_Data!$Y$2:$Y$4000,0)),NA()))</f>
        <v/>
      </c>
    </row>
    <row r="1186">
      <c r="A1186" s="17">
        <f>IF(ISNUMBER(BBG_Data!A1186),BBG_Data!A1186,"")</f>
        <v/>
      </c>
      <c r="B1186" s="18">
        <f>IF(AND(ISNUMBER($A1186),ISNUMBER(BBG_Data!B1186)),BBG_Data!B1186,NA())</f>
        <v/>
      </c>
      <c r="C1186" s="18">
        <f>IF(NOT(ISNUMBER($A1186)),NA(),IFERROR(1*INDEX(BBG_Data!$D$2:$D$4000,MATCH($A1186,BBG_Data!$C$2:$C$4000,0)),NA()))</f>
        <v/>
      </c>
      <c r="D1186" s="19">
        <f>IF(NOT(ISNUMBER($A1186)),NA(),IFERROR(1*INDEX(BBG_Data!$F$2:$F$4000,MATCH($A1186,BBG_Data!$E$2:$E$4000,0)),NA()))</f>
        <v/>
      </c>
      <c r="E1186" s="19">
        <f>IF(NOT(ISNUMBER($A1186)),NA(),IFERROR(1*INDEX(BBG_Data!$H$2:$H$4000,MATCH($A1186,BBG_Data!$G$2:$G$4000,0)),NA()))</f>
        <v/>
      </c>
      <c r="F1186" s="20">
        <f>IF(AND(ISNUMBER(B1186),ISNUMBER(B1185)),IF(B1186=B1185,"",(B1186-B1185)*100),"")</f>
        <v/>
      </c>
      <c r="G1186" s="20">
        <f>IF(AND(ISNUMBER(C1186),ISNUMBER(C1185)),IF(C1186=C1185,"",(C1186-C1185)*100),"")</f>
        <v/>
      </c>
      <c r="H1186" s="20">
        <f>IF(OR(NOT(ISNUMBER($A1186)),ROW()-2&lt;Settings!$B$11),NA(),IF(COUNT(OFFSET(F1186,1-Settings!$B$11,0,Settings!$B$11,1))&lt;ROUNDUP(Settings!$B$11*Settings!$B$26,0),NA(),STDEV(OFFSET(F1186,1-Settings!$B$11,0,Settings!$B$11,1))*SQRT(Settings!$B$13)))</f>
        <v/>
      </c>
      <c r="I1186" s="20">
        <f>IF(OR(NOT(ISNUMBER($A1186)),ROW()-2&lt;Settings!$B$12),NA(),IF(COUNT(OFFSET(F1186,1-Settings!$B$12,0,Settings!$B$12,1))&lt;ROUNDUP(Settings!$B$12*Settings!$B$26,0),NA(),STDEV(OFFSET(F1186,1-Settings!$B$12,0,Settings!$B$12,1))*SQRT(Settings!$B$13)))</f>
        <v/>
      </c>
      <c r="J1186" s="20">
        <f>IF(OR(NOT(ISNUMBER($A1186)),ROW()-2&lt;Settings!$B$11),NA(),IF(COUNT(OFFSET(G1186,1-Settings!$B$11,0,Settings!$B$11,1))&lt;ROUNDUP(Settings!$B$11*Settings!$B$26,0),NA(),STDEV(OFFSET(G1186,1-Settings!$B$11,0,Settings!$B$11,1))*SQRT(Settings!$B$13)))</f>
        <v/>
      </c>
      <c r="K1186" s="20">
        <f>IF(OR(NOT(ISNUMBER($A1186)),ROW()-2&lt;Settings!$B$12),NA(),IF(COUNT(OFFSET(G1186,1-Settings!$B$12,0,Settings!$B$12,1))&lt;ROUNDUP(Settings!$B$12*Settings!$B$26,0),NA(),STDEV(OFFSET(G1186,1-Settings!$B$12,0,Settings!$B$12,1))*SQRT(Settings!$B$13)))</f>
        <v/>
      </c>
      <c r="L1186" s="20">
        <f>IF(AND(ISNUMBER(D1186),ISNUMBER(H1186)),D1186-H1186,NA())</f>
        <v/>
      </c>
      <c r="M1186" s="20">
        <f>IF(AND(ISNUMBER(E1186),ISNUMBER(K1186)),E1186-K1186,NA())</f>
        <v/>
      </c>
      <c r="N1186" s="20">
        <f>IF(NOT(ISNUMBER($A1186)),NA(),IF(COUNT(OFFSET(G1186,1,0,Settings!$B$12,1))&lt;ROUNDUP(Settings!$B$12*Settings!$B$26,0),NA(),STDEV(OFFSET(G1186,1,0,Settings!$B$12,1))*SQRT(Settings!$B$13)))</f>
        <v/>
      </c>
      <c r="O1186" s="20">
        <f>IF(AND(ISNUMBER(E1186),ISNUMBER(N1186)),E1186-N1186,NA())</f>
        <v/>
      </c>
      <c r="P1186" s="19">
        <f>IF(NOT(ISNUMBER($A1186)),NA(),IF(OR($A1186&lt;MIN(KW_TP!$A$2:$A$2501),$A1186&gt;MAX(KW_TP!$A$2:$A$2501)),NA(),INDEX(KW_TP!$C$2:$C$2501,MATCH($A1186,KW_TP!$A$2:$A$2501,1))))</f>
        <v/>
      </c>
      <c r="Q1186" s="18">
        <f>IF(NOT(ISNUMBER($A1186)),NA(),IFERROR(1*INDEX(BBG_Data!$J$2:$J$4000,MATCH($A1186,BBG_Data!$I$2:$I$4000,0)),NA()))</f>
        <v/>
      </c>
      <c r="R1186" s="18">
        <f>IF(NOT(ISNUMBER($A1186)),NA(),IFERROR(1*INDEX(BBG_Data!$L$2:$L$4000,MATCH($A1186,BBG_Data!$K$2:$K$4000,0)),NA()))</f>
        <v/>
      </c>
      <c r="S1186" s="20">
        <f>IF(AND(ISNUMBER(B1186),ISNUMBER(Q1186),ISNUMBER(R1186)),(B1186-Q1186-R1186)*100,NA())</f>
        <v/>
      </c>
      <c r="T1186" s="20">
        <f>IF(AND(ISNUMBER(B1186),Settings!$B$17&gt;0),IF(ISNUMBER(INDEX($B:$B,Settings!$B$17)),(B1186-INDEX($B:$B,Settings!$B$17))*100,NA()),NA())</f>
        <v/>
      </c>
      <c r="U1186" s="20">
        <f>IF(AND(ISNUMBER(Q1186),Settings!$B$17&gt;0),IF(ISNUMBER(INDEX($Q:$Q,Settings!$B$17)),(Q1186-INDEX($Q:$Q,Settings!$B$17))*100,NA()),NA())</f>
        <v/>
      </c>
      <c r="V1186" s="20">
        <f>IF(AND(ISNUMBER(R1186),Settings!$B$17&gt;0),IF(ISNUMBER(INDEX($R:$R,Settings!$B$17)),(R1186-INDEX($R:$R,Settings!$B$17))*100,NA()),NA())</f>
        <v/>
      </c>
      <c r="W1186" s="20">
        <f>IF(AND(ISNUMBER(P1186),Settings!$B$17&gt;0),IF(ISNUMBER(INDEX($P:$P,Settings!$B$17)),P1186-INDEX($P:$P,Settings!$B$17),NA()),NA())</f>
        <v/>
      </c>
      <c r="X1186" s="19">
        <f>IF(NOT(ISNUMBER($A1186)),NA(),IF(OR($A1186&lt;MIN(DKW_10Y!$A$2:$A$2918),$A1186&gt;MAX(DKW_10Y!$A$2:$A$2918),Settings!$B$16&lt;MIN(DKW_10Y!$A$2:$A$2918)),NA(),(INDEX(DKW_10Y!$B$2:$B$2918,MATCH($A1186,DKW_10Y!$A$2:$A$2918,1))-INDEX(DKW_10Y!$B$2:$B$2918,MATCH(Settings!$B$16,DKW_10Y!$A$2:$A$2918,1)))*100))</f>
        <v/>
      </c>
      <c r="Y1186" s="19">
        <f>IF(NOT(ISNUMBER($A1186)),NA(),IF(OR($A1186&lt;MIN(DKW_10Y!$A$2:$A$2918),$A1186&gt;MAX(DKW_10Y!$A$2:$A$2918),Settings!$B$16&lt;MIN(DKW_10Y!$A$2:$A$2918)),NA(),(INDEX(DKW_10Y!$C$2:$C$2918,MATCH($A1186,DKW_10Y!$A$2:$A$2918,1))-INDEX(DKW_10Y!$C$2:$C$2918,MATCH(Settings!$B$16,DKW_10Y!$A$2:$A$2918,1)))*100))</f>
        <v/>
      </c>
      <c r="Z1186" s="19">
        <f>IF(NOT(ISNUMBER($A1186)),NA(),IF(OR($A1186&lt;MIN(DKW_10Y!$A$2:$A$2918),$A1186&gt;MAX(DKW_10Y!$A$2:$A$2918),Settings!$B$16&lt;MIN(DKW_10Y!$A$2:$A$2918)),NA(),(INDEX(DKW_10Y!$D$2:$D$2918,MATCH($A1186,DKW_10Y!$A$2:$A$2918,1))-INDEX(DKW_10Y!$D$2:$D$2918,MATCH(Settings!$B$16,DKW_10Y!$A$2:$A$2918,1)))*100))</f>
        <v/>
      </c>
      <c r="AA1186" s="19">
        <f>IF(NOT(ISNUMBER($A1186)),NA(),IF(OR($A1186&lt;MIN(DKW_10Y!$A$2:$A$2918),$A1186&gt;MAX(DKW_10Y!$A$2:$A$2918),Settings!$B$16&lt;MIN(DKW_10Y!$A$2:$A$2918)),NA(),(INDEX(DKW_10Y!$E$2:$E$2918,MATCH($A1186,DKW_10Y!$A$2:$A$2918,1))-INDEX(DKW_10Y!$E$2:$E$2918,MATCH(Settings!$B$16,DKW_10Y!$A$2:$A$2918,1)))*100))</f>
        <v/>
      </c>
      <c r="AB1186" s="19">
        <f>IF(NOT(ISNUMBER($A1186)),NA(),IF(OR($A1186&lt;MIN(DKW_10Y!$A$2:$A$2918),$A1186&gt;MAX(DKW_10Y!$A$2:$A$2918),Settings!$B$16&lt;MIN(DKW_10Y!$A$2:$A$2918)),NA(),(INDEX(DKW_10Y!$H$2:$H$2918,MATCH($A1186,DKW_10Y!$A$2:$A$2918,1))-INDEX(DKW_10Y!$H$2:$H$2918,MATCH(Settings!$B$16,DKW_10Y!$A$2:$A$2918,1)))*100))</f>
        <v/>
      </c>
      <c r="AC1186" s="18">
        <f>IF(NOT(ISNUMBER($A1186)),NA(),IFERROR(1*INDEX(BBG_Data!$N$2:$N$4000,MATCH($A1186,BBG_Data!$M$2:$M$4000,0)),NA()))</f>
        <v/>
      </c>
      <c r="AD1186" s="18">
        <f>IF(NOT(ISNUMBER($A1186)),NA(),IFERROR(1*INDEX(BBG_Data!$P$2:$P$4000,MATCH($A1186,BBG_Data!$O$2:$O$4000,0)),NA()))</f>
        <v/>
      </c>
      <c r="AE1186" s="18">
        <f>IF(NOT(ISNUMBER($A1186)),NA(),IFERROR(1*INDEX(BBG_Data!$R$2:$R$4000,MATCH($A1186,BBG_Data!$Q$2:$Q$4000,0)),NA()))</f>
        <v/>
      </c>
      <c r="AF1186" s="20">
        <f>IF(AND(ISNUMBER(B1186),ISNUMBER(AC1186)),(B1186-AC1186)*100,NA())</f>
        <v/>
      </c>
      <c r="AG1186" s="20">
        <f>IF(AND(ISNUMBER(AE1186),ISNUMBER(AD1186)),(AE1186-AD1186)*100,NA())</f>
        <v/>
      </c>
      <c r="AH1186" s="19">
        <f>IF(NOT(ISNUMBER($A1186)),NA(),IFERROR(INDEX(BBG_Data!$T$2:$T$4000,MATCH($A1186,BBG_Data!$S$2:$S$4000,0))*Settings!$B$25,NA()))</f>
        <v/>
      </c>
      <c r="AI1186" s="19">
        <f>IF(NOT(ISNUMBER($A1186)),NA(),IFERROR(INDEX(BBG_Data!$V$2:$V$4000,MATCH($A1186,BBG_Data!$U$2:$U$4000,0))*Settings!$B$25,NA()))</f>
        <v/>
      </c>
      <c r="AJ1186" s="19">
        <f>IF(NOT(ISNUMBER($A1186)),NA(),IFERROR(1*INDEX(BBG_Data!$X$2:$X$4000,MATCH($A1186,BBG_Data!$W$2:$W$4000,0)),NA()))</f>
        <v/>
      </c>
      <c r="AK1186" s="19">
        <f>IF(NOT(ISNUMBER($A1186)),NA(),IFERROR(1*INDEX(BBG_Data!$Z$2:$Z$4000,MATCH($A1186,BBG_Data!$Y$2:$Y$4000,0)),NA()))</f>
        <v/>
      </c>
    </row>
    <row r="1187">
      <c r="A1187" s="17">
        <f>IF(ISNUMBER(BBG_Data!A1187),BBG_Data!A1187,"")</f>
        <v/>
      </c>
      <c r="B1187" s="18">
        <f>IF(AND(ISNUMBER($A1187),ISNUMBER(BBG_Data!B1187)),BBG_Data!B1187,NA())</f>
        <v/>
      </c>
      <c r="C1187" s="18">
        <f>IF(NOT(ISNUMBER($A1187)),NA(),IFERROR(1*INDEX(BBG_Data!$D$2:$D$4000,MATCH($A1187,BBG_Data!$C$2:$C$4000,0)),NA()))</f>
        <v/>
      </c>
      <c r="D1187" s="19">
        <f>IF(NOT(ISNUMBER($A1187)),NA(),IFERROR(1*INDEX(BBG_Data!$F$2:$F$4000,MATCH($A1187,BBG_Data!$E$2:$E$4000,0)),NA()))</f>
        <v/>
      </c>
      <c r="E1187" s="19">
        <f>IF(NOT(ISNUMBER($A1187)),NA(),IFERROR(1*INDEX(BBG_Data!$H$2:$H$4000,MATCH($A1187,BBG_Data!$G$2:$G$4000,0)),NA()))</f>
        <v/>
      </c>
      <c r="F1187" s="20">
        <f>IF(AND(ISNUMBER(B1187),ISNUMBER(B1186)),IF(B1187=B1186,"",(B1187-B1186)*100),"")</f>
        <v/>
      </c>
      <c r="G1187" s="20">
        <f>IF(AND(ISNUMBER(C1187),ISNUMBER(C1186)),IF(C1187=C1186,"",(C1187-C1186)*100),"")</f>
        <v/>
      </c>
      <c r="H1187" s="20">
        <f>IF(OR(NOT(ISNUMBER($A1187)),ROW()-2&lt;Settings!$B$11),NA(),IF(COUNT(OFFSET(F1187,1-Settings!$B$11,0,Settings!$B$11,1))&lt;ROUNDUP(Settings!$B$11*Settings!$B$26,0),NA(),STDEV(OFFSET(F1187,1-Settings!$B$11,0,Settings!$B$11,1))*SQRT(Settings!$B$13)))</f>
        <v/>
      </c>
      <c r="I1187" s="20">
        <f>IF(OR(NOT(ISNUMBER($A1187)),ROW()-2&lt;Settings!$B$12),NA(),IF(COUNT(OFFSET(F1187,1-Settings!$B$12,0,Settings!$B$12,1))&lt;ROUNDUP(Settings!$B$12*Settings!$B$26,0),NA(),STDEV(OFFSET(F1187,1-Settings!$B$12,0,Settings!$B$12,1))*SQRT(Settings!$B$13)))</f>
        <v/>
      </c>
      <c r="J1187" s="20">
        <f>IF(OR(NOT(ISNUMBER($A1187)),ROW()-2&lt;Settings!$B$11),NA(),IF(COUNT(OFFSET(G1187,1-Settings!$B$11,0,Settings!$B$11,1))&lt;ROUNDUP(Settings!$B$11*Settings!$B$26,0),NA(),STDEV(OFFSET(G1187,1-Settings!$B$11,0,Settings!$B$11,1))*SQRT(Settings!$B$13)))</f>
        <v/>
      </c>
      <c r="K1187" s="20">
        <f>IF(OR(NOT(ISNUMBER($A1187)),ROW()-2&lt;Settings!$B$12),NA(),IF(COUNT(OFFSET(G1187,1-Settings!$B$12,0,Settings!$B$12,1))&lt;ROUNDUP(Settings!$B$12*Settings!$B$26,0),NA(),STDEV(OFFSET(G1187,1-Settings!$B$12,0,Settings!$B$12,1))*SQRT(Settings!$B$13)))</f>
        <v/>
      </c>
      <c r="L1187" s="20">
        <f>IF(AND(ISNUMBER(D1187),ISNUMBER(H1187)),D1187-H1187,NA())</f>
        <v/>
      </c>
      <c r="M1187" s="20">
        <f>IF(AND(ISNUMBER(E1187),ISNUMBER(K1187)),E1187-K1187,NA())</f>
        <v/>
      </c>
      <c r="N1187" s="20">
        <f>IF(NOT(ISNUMBER($A1187)),NA(),IF(COUNT(OFFSET(G1187,1,0,Settings!$B$12,1))&lt;ROUNDUP(Settings!$B$12*Settings!$B$26,0),NA(),STDEV(OFFSET(G1187,1,0,Settings!$B$12,1))*SQRT(Settings!$B$13)))</f>
        <v/>
      </c>
      <c r="O1187" s="20">
        <f>IF(AND(ISNUMBER(E1187),ISNUMBER(N1187)),E1187-N1187,NA())</f>
        <v/>
      </c>
      <c r="P1187" s="19">
        <f>IF(NOT(ISNUMBER($A1187)),NA(),IF(OR($A1187&lt;MIN(KW_TP!$A$2:$A$2501),$A1187&gt;MAX(KW_TP!$A$2:$A$2501)),NA(),INDEX(KW_TP!$C$2:$C$2501,MATCH($A1187,KW_TP!$A$2:$A$2501,1))))</f>
        <v/>
      </c>
      <c r="Q1187" s="18">
        <f>IF(NOT(ISNUMBER($A1187)),NA(),IFERROR(1*INDEX(BBG_Data!$J$2:$J$4000,MATCH($A1187,BBG_Data!$I$2:$I$4000,0)),NA()))</f>
        <v/>
      </c>
      <c r="R1187" s="18">
        <f>IF(NOT(ISNUMBER($A1187)),NA(),IFERROR(1*INDEX(BBG_Data!$L$2:$L$4000,MATCH($A1187,BBG_Data!$K$2:$K$4000,0)),NA()))</f>
        <v/>
      </c>
      <c r="S1187" s="20">
        <f>IF(AND(ISNUMBER(B1187),ISNUMBER(Q1187),ISNUMBER(R1187)),(B1187-Q1187-R1187)*100,NA())</f>
        <v/>
      </c>
      <c r="T1187" s="20">
        <f>IF(AND(ISNUMBER(B1187),Settings!$B$17&gt;0),IF(ISNUMBER(INDEX($B:$B,Settings!$B$17)),(B1187-INDEX($B:$B,Settings!$B$17))*100,NA()),NA())</f>
        <v/>
      </c>
      <c r="U1187" s="20">
        <f>IF(AND(ISNUMBER(Q1187),Settings!$B$17&gt;0),IF(ISNUMBER(INDEX($Q:$Q,Settings!$B$17)),(Q1187-INDEX($Q:$Q,Settings!$B$17))*100,NA()),NA())</f>
        <v/>
      </c>
      <c r="V1187" s="20">
        <f>IF(AND(ISNUMBER(R1187),Settings!$B$17&gt;0),IF(ISNUMBER(INDEX($R:$R,Settings!$B$17)),(R1187-INDEX($R:$R,Settings!$B$17))*100,NA()),NA())</f>
        <v/>
      </c>
      <c r="W1187" s="20">
        <f>IF(AND(ISNUMBER(P1187),Settings!$B$17&gt;0),IF(ISNUMBER(INDEX($P:$P,Settings!$B$17)),P1187-INDEX($P:$P,Settings!$B$17),NA()),NA())</f>
        <v/>
      </c>
      <c r="X1187" s="19">
        <f>IF(NOT(ISNUMBER($A1187)),NA(),IF(OR($A1187&lt;MIN(DKW_10Y!$A$2:$A$2918),$A1187&gt;MAX(DKW_10Y!$A$2:$A$2918),Settings!$B$16&lt;MIN(DKW_10Y!$A$2:$A$2918)),NA(),(INDEX(DKW_10Y!$B$2:$B$2918,MATCH($A1187,DKW_10Y!$A$2:$A$2918,1))-INDEX(DKW_10Y!$B$2:$B$2918,MATCH(Settings!$B$16,DKW_10Y!$A$2:$A$2918,1)))*100))</f>
        <v/>
      </c>
      <c r="Y1187" s="19">
        <f>IF(NOT(ISNUMBER($A1187)),NA(),IF(OR($A1187&lt;MIN(DKW_10Y!$A$2:$A$2918),$A1187&gt;MAX(DKW_10Y!$A$2:$A$2918),Settings!$B$16&lt;MIN(DKW_10Y!$A$2:$A$2918)),NA(),(INDEX(DKW_10Y!$C$2:$C$2918,MATCH($A1187,DKW_10Y!$A$2:$A$2918,1))-INDEX(DKW_10Y!$C$2:$C$2918,MATCH(Settings!$B$16,DKW_10Y!$A$2:$A$2918,1)))*100))</f>
        <v/>
      </c>
      <c r="Z1187" s="19">
        <f>IF(NOT(ISNUMBER($A1187)),NA(),IF(OR($A1187&lt;MIN(DKW_10Y!$A$2:$A$2918),$A1187&gt;MAX(DKW_10Y!$A$2:$A$2918),Settings!$B$16&lt;MIN(DKW_10Y!$A$2:$A$2918)),NA(),(INDEX(DKW_10Y!$D$2:$D$2918,MATCH($A1187,DKW_10Y!$A$2:$A$2918,1))-INDEX(DKW_10Y!$D$2:$D$2918,MATCH(Settings!$B$16,DKW_10Y!$A$2:$A$2918,1)))*100))</f>
        <v/>
      </c>
      <c r="AA1187" s="19">
        <f>IF(NOT(ISNUMBER($A1187)),NA(),IF(OR($A1187&lt;MIN(DKW_10Y!$A$2:$A$2918),$A1187&gt;MAX(DKW_10Y!$A$2:$A$2918),Settings!$B$16&lt;MIN(DKW_10Y!$A$2:$A$2918)),NA(),(INDEX(DKW_10Y!$E$2:$E$2918,MATCH($A1187,DKW_10Y!$A$2:$A$2918,1))-INDEX(DKW_10Y!$E$2:$E$2918,MATCH(Settings!$B$16,DKW_10Y!$A$2:$A$2918,1)))*100))</f>
        <v/>
      </c>
      <c r="AB1187" s="19">
        <f>IF(NOT(ISNUMBER($A1187)),NA(),IF(OR($A1187&lt;MIN(DKW_10Y!$A$2:$A$2918),$A1187&gt;MAX(DKW_10Y!$A$2:$A$2918),Settings!$B$16&lt;MIN(DKW_10Y!$A$2:$A$2918)),NA(),(INDEX(DKW_10Y!$H$2:$H$2918,MATCH($A1187,DKW_10Y!$A$2:$A$2918,1))-INDEX(DKW_10Y!$H$2:$H$2918,MATCH(Settings!$B$16,DKW_10Y!$A$2:$A$2918,1)))*100))</f>
        <v/>
      </c>
      <c r="AC1187" s="18">
        <f>IF(NOT(ISNUMBER($A1187)),NA(),IFERROR(1*INDEX(BBG_Data!$N$2:$N$4000,MATCH($A1187,BBG_Data!$M$2:$M$4000,0)),NA()))</f>
        <v/>
      </c>
      <c r="AD1187" s="18">
        <f>IF(NOT(ISNUMBER($A1187)),NA(),IFERROR(1*INDEX(BBG_Data!$P$2:$P$4000,MATCH($A1187,BBG_Data!$O$2:$O$4000,0)),NA()))</f>
        <v/>
      </c>
      <c r="AE1187" s="18">
        <f>IF(NOT(ISNUMBER($A1187)),NA(),IFERROR(1*INDEX(BBG_Data!$R$2:$R$4000,MATCH($A1187,BBG_Data!$Q$2:$Q$4000,0)),NA()))</f>
        <v/>
      </c>
      <c r="AF1187" s="20">
        <f>IF(AND(ISNUMBER(B1187),ISNUMBER(AC1187)),(B1187-AC1187)*100,NA())</f>
        <v/>
      </c>
      <c r="AG1187" s="20">
        <f>IF(AND(ISNUMBER(AE1187),ISNUMBER(AD1187)),(AE1187-AD1187)*100,NA())</f>
        <v/>
      </c>
      <c r="AH1187" s="19">
        <f>IF(NOT(ISNUMBER($A1187)),NA(),IFERROR(INDEX(BBG_Data!$T$2:$T$4000,MATCH($A1187,BBG_Data!$S$2:$S$4000,0))*Settings!$B$25,NA()))</f>
        <v/>
      </c>
      <c r="AI1187" s="19">
        <f>IF(NOT(ISNUMBER($A1187)),NA(),IFERROR(INDEX(BBG_Data!$V$2:$V$4000,MATCH($A1187,BBG_Data!$U$2:$U$4000,0))*Settings!$B$25,NA()))</f>
        <v/>
      </c>
      <c r="AJ1187" s="19">
        <f>IF(NOT(ISNUMBER($A1187)),NA(),IFERROR(1*INDEX(BBG_Data!$X$2:$X$4000,MATCH($A1187,BBG_Data!$W$2:$W$4000,0)),NA()))</f>
        <v/>
      </c>
      <c r="AK1187" s="19">
        <f>IF(NOT(ISNUMBER($A1187)),NA(),IFERROR(1*INDEX(BBG_Data!$Z$2:$Z$4000,MATCH($A1187,BBG_Data!$Y$2:$Y$4000,0)),NA()))</f>
        <v/>
      </c>
    </row>
    <row r="1188">
      <c r="A1188" s="17">
        <f>IF(ISNUMBER(BBG_Data!A1188),BBG_Data!A1188,"")</f>
        <v/>
      </c>
      <c r="B1188" s="18">
        <f>IF(AND(ISNUMBER($A1188),ISNUMBER(BBG_Data!B1188)),BBG_Data!B1188,NA())</f>
        <v/>
      </c>
      <c r="C1188" s="18">
        <f>IF(NOT(ISNUMBER($A1188)),NA(),IFERROR(1*INDEX(BBG_Data!$D$2:$D$4000,MATCH($A1188,BBG_Data!$C$2:$C$4000,0)),NA()))</f>
        <v/>
      </c>
      <c r="D1188" s="19">
        <f>IF(NOT(ISNUMBER($A1188)),NA(),IFERROR(1*INDEX(BBG_Data!$F$2:$F$4000,MATCH($A1188,BBG_Data!$E$2:$E$4000,0)),NA()))</f>
        <v/>
      </c>
      <c r="E1188" s="19">
        <f>IF(NOT(ISNUMBER($A1188)),NA(),IFERROR(1*INDEX(BBG_Data!$H$2:$H$4000,MATCH($A1188,BBG_Data!$G$2:$G$4000,0)),NA()))</f>
        <v/>
      </c>
      <c r="F1188" s="20">
        <f>IF(AND(ISNUMBER(B1188),ISNUMBER(B1187)),IF(B1188=B1187,"",(B1188-B1187)*100),"")</f>
        <v/>
      </c>
      <c r="G1188" s="20">
        <f>IF(AND(ISNUMBER(C1188),ISNUMBER(C1187)),IF(C1188=C1187,"",(C1188-C1187)*100),"")</f>
        <v/>
      </c>
      <c r="H1188" s="20">
        <f>IF(OR(NOT(ISNUMBER($A1188)),ROW()-2&lt;Settings!$B$11),NA(),IF(COUNT(OFFSET(F1188,1-Settings!$B$11,0,Settings!$B$11,1))&lt;ROUNDUP(Settings!$B$11*Settings!$B$26,0),NA(),STDEV(OFFSET(F1188,1-Settings!$B$11,0,Settings!$B$11,1))*SQRT(Settings!$B$13)))</f>
        <v/>
      </c>
      <c r="I1188" s="20">
        <f>IF(OR(NOT(ISNUMBER($A1188)),ROW()-2&lt;Settings!$B$12),NA(),IF(COUNT(OFFSET(F1188,1-Settings!$B$12,0,Settings!$B$12,1))&lt;ROUNDUP(Settings!$B$12*Settings!$B$26,0),NA(),STDEV(OFFSET(F1188,1-Settings!$B$12,0,Settings!$B$12,1))*SQRT(Settings!$B$13)))</f>
        <v/>
      </c>
      <c r="J1188" s="20">
        <f>IF(OR(NOT(ISNUMBER($A1188)),ROW()-2&lt;Settings!$B$11),NA(),IF(COUNT(OFFSET(G1188,1-Settings!$B$11,0,Settings!$B$11,1))&lt;ROUNDUP(Settings!$B$11*Settings!$B$26,0),NA(),STDEV(OFFSET(G1188,1-Settings!$B$11,0,Settings!$B$11,1))*SQRT(Settings!$B$13)))</f>
        <v/>
      </c>
      <c r="K1188" s="20">
        <f>IF(OR(NOT(ISNUMBER($A1188)),ROW()-2&lt;Settings!$B$12),NA(),IF(COUNT(OFFSET(G1188,1-Settings!$B$12,0,Settings!$B$12,1))&lt;ROUNDUP(Settings!$B$12*Settings!$B$26,0),NA(),STDEV(OFFSET(G1188,1-Settings!$B$12,0,Settings!$B$12,1))*SQRT(Settings!$B$13)))</f>
        <v/>
      </c>
      <c r="L1188" s="20">
        <f>IF(AND(ISNUMBER(D1188),ISNUMBER(H1188)),D1188-H1188,NA())</f>
        <v/>
      </c>
      <c r="M1188" s="20">
        <f>IF(AND(ISNUMBER(E1188),ISNUMBER(K1188)),E1188-K1188,NA())</f>
        <v/>
      </c>
      <c r="N1188" s="20">
        <f>IF(NOT(ISNUMBER($A1188)),NA(),IF(COUNT(OFFSET(G1188,1,0,Settings!$B$12,1))&lt;ROUNDUP(Settings!$B$12*Settings!$B$26,0),NA(),STDEV(OFFSET(G1188,1,0,Settings!$B$12,1))*SQRT(Settings!$B$13)))</f>
        <v/>
      </c>
      <c r="O1188" s="20">
        <f>IF(AND(ISNUMBER(E1188),ISNUMBER(N1188)),E1188-N1188,NA())</f>
        <v/>
      </c>
      <c r="P1188" s="19">
        <f>IF(NOT(ISNUMBER($A1188)),NA(),IF(OR($A1188&lt;MIN(KW_TP!$A$2:$A$2501),$A1188&gt;MAX(KW_TP!$A$2:$A$2501)),NA(),INDEX(KW_TP!$C$2:$C$2501,MATCH($A1188,KW_TP!$A$2:$A$2501,1))))</f>
        <v/>
      </c>
      <c r="Q1188" s="18">
        <f>IF(NOT(ISNUMBER($A1188)),NA(),IFERROR(1*INDEX(BBG_Data!$J$2:$J$4000,MATCH($A1188,BBG_Data!$I$2:$I$4000,0)),NA()))</f>
        <v/>
      </c>
      <c r="R1188" s="18">
        <f>IF(NOT(ISNUMBER($A1188)),NA(),IFERROR(1*INDEX(BBG_Data!$L$2:$L$4000,MATCH($A1188,BBG_Data!$K$2:$K$4000,0)),NA()))</f>
        <v/>
      </c>
      <c r="S1188" s="20">
        <f>IF(AND(ISNUMBER(B1188),ISNUMBER(Q1188),ISNUMBER(R1188)),(B1188-Q1188-R1188)*100,NA())</f>
        <v/>
      </c>
      <c r="T1188" s="20">
        <f>IF(AND(ISNUMBER(B1188),Settings!$B$17&gt;0),IF(ISNUMBER(INDEX($B:$B,Settings!$B$17)),(B1188-INDEX($B:$B,Settings!$B$17))*100,NA()),NA())</f>
        <v/>
      </c>
      <c r="U1188" s="20">
        <f>IF(AND(ISNUMBER(Q1188),Settings!$B$17&gt;0),IF(ISNUMBER(INDEX($Q:$Q,Settings!$B$17)),(Q1188-INDEX($Q:$Q,Settings!$B$17))*100,NA()),NA())</f>
        <v/>
      </c>
      <c r="V1188" s="20">
        <f>IF(AND(ISNUMBER(R1188),Settings!$B$17&gt;0),IF(ISNUMBER(INDEX($R:$R,Settings!$B$17)),(R1188-INDEX($R:$R,Settings!$B$17))*100,NA()),NA())</f>
        <v/>
      </c>
      <c r="W1188" s="20">
        <f>IF(AND(ISNUMBER(P1188),Settings!$B$17&gt;0),IF(ISNUMBER(INDEX($P:$P,Settings!$B$17)),P1188-INDEX($P:$P,Settings!$B$17),NA()),NA())</f>
        <v/>
      </c>
      <c r="X1188" s="19">
        <f>IF(NOT(ISNUMBER($A1188)),NA(),IF(OR($A1188&lt;MIN(DKW_10Y!$A$2:$A$2918),$A1188&gt;MAX(DKW_10Y!$A$2:$A$2918),Settings!$B$16&lt;MIN(DKW_10Y!$A$2:$A$2918)),NA(),(INDEX(DKW_10Y!$B$2:$B$2918,MATCH($A1188,DKW_10Y!$A$2:$A$2918,1))-INDEX(DKW_10Y!$B$2:$B$2918,MATCH(Settings!$B$16,DKW_10Y!$A$2:$A$2918,1)))*100))</f>
        <v/>
      </c>
      <c r="Y1188" s="19">
        <f>IF(NOT(ISNUMBER($A1188)),NA(),IF(OR($A1188&lt;MIN(DKW_10Y!$A$2:$A$2918),$A1188&gt;MAX(DKW_10Y!$A$2:$A$2918),Settings!$B$16&lt;MIN(DKW_10Y!$A$2:$A$2918)),NA(),(INDEX(DKW_10Y!$C$2:$C$2918,MATCH($A1188,DKW_10Y!$A$2:$A$2918,1))-INDEX(DKW_10Y!$C$2:$C$2918,MATCH(Settings!$B$16,DKW_10Y!$A$2:$A$2918,1)))*100))</f>
        <v/>
      </c>
      <c r="Z1188" s="19">
        <f>IF(NOT(ISNUMBER($A1188)),NA(),IF(OR($A1188&lt;MIN(DKW_10Y!$A$2:$A$2918),$A1188&gt;MAX(DKW_10Y!$A$2:$A$2918),Settings!$B$16&lt;MIN(DKW_10Y!$A$2:$A$2918)),NA(),(INDEX(DKW_10Y!$D$2:$D$2918,MATCH($A1188,DKW_10Y!$A$2:$A$2918,1))-INDEX(DKW_10Y!$D$2:$D$2918,MATCH(Settings!$B$16,DKW_10Y!$A$2:$A$2918,1)))*100))</f>
        <v/>
      </c>
      <c r="AA1188" s="19">
        <f>IF(NOT(ISNUMBER($A1188)),NA(),IF(OR($A1188&lt;MIN(DKW_10Y!$A$2:$A$2918),$A1188&gt;MAX(DKW_10Y!$A$2:$A$2918),Settings!$B$16&lt;MIN(DKW_10Y!$A$2:$A$2918)),NA(),(INDEX(DKW_10Y!$E$2:$E$2918,MATCH($A1188,DKW_10Y!$A$2:$A$2918,1))-INDEX(DKW_10Y!$E$2:$E$2918,MATCH(Settings!$B$16,DKW_10Y!$A$2:$A$2918,1)))*100))</f>
        <v/>
      </c>
      <c r="AB1188" s="19">
        <f>IF(NOT(ISNUMBER($A1188)),NA(),IF(OR($A1188&lt;MIN(DKW_10Y!$A$2:$A$2918),$A1188&gt;MAX(DKW_10Y!$A$2:$A$2918),Settings!$B$16&lt;MIN(DKW_10Y!$A$2:$A$2918)),NA(),(INDEX(DKW_10Y!$H$2:$H$2918,MATCH($A1188,DKW_10Y!$A$2:$A$2918,1))-INDEX(DKW_10Y!$H$2:$H$2918,MATCH(Settings!$B$16,DKW_10Y!$A$2:$A$2918,1)))*100))</f>
        <v/>
      </c>
      <c r="AC1188" s="18">
        <f>IF(NOT(ISNUMBER($A1188)),NA(),IFERROR(1*INDEX(BBG_Data!$N$2:$N$4000,MATCH($A1188,BBG_Data!$M$2:$M$4000,0)),NA()))</f>
        <v/>
      </c>
      <c r="AD1188" s="18">
        <f>IF(NOT(ISNUMBER($A1188)),NA(),IFERROR(1*INDEX(BBG_Data!$P$2:$P$4000,MATCH($A1188,BBG_Data!$O$2:$O$4000,0)),NA()))</f>
        <v/>
      </c>
      <c r="AE1188" s="18">
        <f>IF(NOT(ISNUMBER($A1188)),NA(),IFERROR(1*INDEX(BBG_Data!$R$2:$R$4000,MATCH($A1188,BBG_Data!$Q$2:$Q$4000,0)),NA()))</f>
        <v/>
      </c>
      <c r="AF1188" s="20">
        <f>IF(AND(ISNUMBER(B1188),ISNUMBER(AC1188)),(B1188-AC1188)*100,NA())</f>
        <v/>
      </c>
      <c r="AG1188" s="20">
        <f>IF(AND(ISNUMBER(AE1188),ISNUMBER(AD1188)),(AE1188-AD1188)*100,NA())</f>
        <v/>
      </c>
      <c r="AH1188" s="19">
        <f>IF(NOT(ISNUMBER($A1188)),NA(),IFERROR(INDEX(BBG_Data!$T$2:$T$4000,MATCH($A1188,BBG_Data!$S$2:$S$4000,0))*Settings!$B$25,NA()))</f>
        <v/>
      </c>
      <c r="AI1188" s="19">
        <f>IF(NOT(ISNUMBER($A1188)),NA(),IFERROR(INDEX(BBG_Data!$V$2:$V$4000,MATCH($A1188,BBG_Data!$U$2:$U$4000,0))*Settings!$B$25,NA()))</f>
        <v/>
      </c>
      <c r="AJ1188" s="19">
        <f>IF(NOT(ISNUMBER($A1188)),NA(),IFERROR(1*INDEX(BBG_Data!$X$2:$X$4000,MATCH($A1188,BBG_Data!$W$2:$W$4000,0)),NA()))</f>
        <v/>
      </c>
      <c r="AK1188" s="19">
        <f>IF(NOT(ISNUMBER($A1188)),NA(),IFERROR(1*INDEX(BBG_Data!$Z$2:$Z$4000,MATCH($A1188,BBG_Data!$Y$2:$Y$4000,0)),NA()))</f>
        <v/>
      </c>
    </row>
    <row r="1189">
      <c r="A1189" s="17">
        <f>IF(ISNUMBER(BBG_Data!A1189),BBG_Data!A1189,"")</f>
        <v/>
      </c>
      <c r="B1189" s="18">
        <f>IF(AND(ISNUMBER($A1189),ISNUMBER(BBG_Data!B1189)),BBG_Data!B1189,NA())</f>
        <v/>
      </c>
      <c r="C1189" s="18">
        <f>IF(NOT(ISNUMBER($A1189)),NA(),IFERROR(1*INDEX(BBG_Data!$D$2:$D$4000,MATCH($A1189,BBG_Data!$C$2:$C$4000,0)),NA()))</f>
        <v/>
      </c>
      <c r="D1189" s="19">
        <f>IF(NOT(ISNUMBER($A1189)),NA(),IFERROR(1*INDEX(BBG_Data!$F$2:$F$4000,MATCH($A1189,BBG_Data!$E$2:$E$4000,0)),NA()))</f>
        <v/>
      </c>
      <c r="E1189" s="19">
        <f>IF(NOT(ISNUMBER($A1189)),NA(),IFERROR(1*INDEX(BBG_Data!$H$2:$H$4000,MATCH($A1189,BBG_Data!$G$2:$G$4000,0)),NA()))</f>
        <v/>
      </c>
      <c r="F1189" s="20">
        <f>IF(AND(ISNUMBER(B1189),ISNUMBER(B1188)),IF(B1189=B1188,"",(B1189-B1188)*100),"")</f>
        <v/>
      </c>
      <c r="G1189" s="20">
        <f>IF(AND(ISNUMBER(C1189),ISNUMBER(C1188)),IF(C1189=C1188,"",(C1189-C1188)*100),"")</f>
        <v/>
      </c>
      <c r="H1189" s="20">
        <f>IF(OR(NOT(ISNUMBER($A1189)),ROW()-2&lt;Settings!$B$11),NA(),IF(COUNT(OFFSET(F1189,1-Settings!$B$11,0,Settings!$B$11,1))&lt;ROUNDUP(Settings!$B$11*Settings!$B$26,0),NA(),STDEV(OFFSET(F1189,1-Settings!$B$11,0,Settings!$B$11,1))*SQRT(Settings!$B$13)))</f>
        <v/>
      </c>
      <c r="I1189" s="20">
        <f>IF(OR(NOT(ISNUMBER($A1189)),ROW()-2&lt;Settings!$B$12),NA(),IF(COUNT(OFFSET(F1189,1-Settings!$B$12,0,Settings!$B$12,1))&lt;ROUNDUP(Settings!$B$12*Settings!$B$26,0),NA(),STDEV(OFFSET(F1189,1-Settings!$B$12,0,Settings!$B$12,1))*SQRT(Settings!$B$13)))</f>
        <v/>
      </c>
      <c r="J1189" s="20">
        <f>IF(OR(NOT(ISNUMBER($A1189)),ROW()-2&lt;Settings!$B$11),NA(),IF(COUNT(OFFSET(G1189,1-Settings!$B$11,0,Settings!$B$11,1))&lt;ROUNDUP(Settings!$B$11*Settings!$B$26,0),NA(),STDEV(OFFSET(G1189,1-Settings!$B$11,0,Settings!$B$11,1))*SQRT(Settings!$B$13)))</f>
        <v/>
      </c>
      <c r="K1189" s="20">
        <f>IF(OR(NOT(ISNUMBER($A1189)),ROW()-2&lt;Settings!$B$12),NA(),IF(COUNT(OFFSET(G1189,1-Settings!$B$12,0,Settings!$B$12,1))&lt;ROUNDUP(Settings!$B$12*Settings!$B$26,0),NA(),STDEV(OFFSET(G1189,1-Settings!$B$12,0,Settings!$B$12,1))*SQRT(Settings!$B$13)))</f>
        <v/>
      </c>
      <c r="L1189" s="20">
        <f>IF(AND(ISNUMBER(D1189),ISNUMBER(H1189)),D1189-H1189,NA())</f>
        <v/>
      </c>
      <c r="M1189" s="20">
        <f>IF(AND(ISNUMBER(E1189),ISNUMBER(K1189)),E1189-K1189,NA())</f>
        <v/>
      </c>
      <c r="N1189" s="20">
        <f>IF(NOT(ISNUMBER($A1189)),NA(),IF(COUNT(OFFSET(G1189,1,0,Settings!$B$12,1))&lt;ROUNDUP(Settings!$B$12*Settings!$B$26,0),NA(),STDEV(OFFSET(G1189,1,0,Settings!$B$12,1))*SQRT(Settings!$B$13)))</f>
        <v/>
      </c>
      <c r="O1189" s="20">
        <f>IF(AND(ISNUMBER(E1189),ISNUMBER(N1189)),E1189-N1189,NA())</f>
        <v/>
      </c>
      <c r="P1189" s="19">
        <f>IF(NOT(ISNUMBER($A1189)),NA(),IF(OR($A1189&lt;MIN(KW_TP!$A$2:$A$2501),$A1189&gt;MAX(KW_TP!$A$2:$A$2501)),NA(),INDEX(KW_TP!$C$2:$C$2501,MATCH($A1189,KW_TP!$A$2:$A$2501,1))))</f>
        <v/>
      </c>
      <c r="Q1189" s="18">
        <f>IF(NOT(ISNUMBER($A1189)),NA(),IFERROR(1*INDEX(BBG_Data!$J$2:$J$4000,MATCH($A1189,BBG_Data!$I$2:$I$4000,0)),NA()))</f>
        <v/>
      </c>
      <c r="R1189" s="18">
        <f>IF(NOT(ISNUMBER($A1189)),NA(),IFERROR(1*INDEX(BBG_Data!$L$2:$L$4000,MATCH($A1189,BBG_Data!$K$2:$K$4000,0)),NA()))</f>
        <v/>
      </c>
      <c r="S1189" s="20">
        <f>IF(AND(ISNUMBER(B1189),ISNUMBER(Q1189),ISNUMBER(R1189)),(B1189-Q1189-R1189)*100,NA())</f>
        <v/>
      </c>
      <c r="T1189" s="20">
        <f>IF(AND(ISNUMBER(B1189),Settings!$B$17&gt;0),IF(ISNUMBER(INDEX($B:$B,Settings!$B$17)),(B1189-INDEX($B:$B,Settings!$B$17))*100,NA()),NA())</f>
        <v/>
      </c>
      <c r="U1189" s="20">
        <f>IF(AND(ISNUMBER(Q1189),Settings!$B$17&gt;0),IF(ISNUMBER(INDEX($Q:$Q,Settings!$B$17)),(Q1189-INDEX($Q:$Q,Settings!$B$17))*100,NA()),NA())</f>
        <v/>
      </c>
      <c r="V1189" s="20">
        <f>IF(AND(ISNUMBER(R1189),Settings!$B$17&gt;0),IF(ISNUMBER(INDEX($R:$R,Settings!$B$17)),(R1189-INDEX($R:$R,Settings!$B$17))*100,NA()),NA())</f>
        <v/>
      </c>
      <c r="W1189" s="20">
        <f>IF(AND(ISNUMBER(P1189),Settings!$B$17&gt;0),IF(ISNUMBER(INDEX($P:$P,Settings!$B$17)),P1189-INDEX($P:$P,Settings!$B$17),NA()),NA())</f>
        <v/>
      </c>
      <c r="X1189" s="19">
        <f>IF(NOT(ISNUMBER($A1189)),NA(),IF(OR($A1189&lt;MIN(DKW_10Y!$A$2:$A$2918),$A1189&gt;MAX(DKW_10Y!$A$2:$A$2918),Settings!$B$16&lt;MIN(DKW_10Y!$A$2:$A$2918)),NA(),(INDEX(DKW_10Y!$B$2:$B$2918,MATCH($A1189,DKW_10Y!$A$2:$A$2918,1))-INDEX(DKW_10Y!$B$2:$B$2918,MATCH(Settings!$B$16,DKW_10Y!$A$2:$A$2918,1)))*100))</f>
        <v/>
      </c>
      <c r="Y1189" s="19">
        <f>IF(NOT(ISNUMBER($A1189)),NA(),IF(OR($A1189&lt;MIN(DKW_10Y!$A$2:$A$2918),$A1189&gt;MAX(DKW_10Y!$A$2:$A$2918),Settings!$B$16&lt;MIN(DKW_10Y!$A$2:$A$2918)),NA(),(INDEX(DKW_10Y!$C$2:$C$2918,MATCH($A1189,DKW_10Y!$A$2:$A$2918,1))-INDEX(DKW_10Y!$C$2:$C$2918,MATCH(Settings!$B$16,DKW_10Y!$A$2:$A$2918,1)))*100))</f>
        <v/>
      </c>
      <c r="Z1189" s="19">
        <f>IF(NOT(ISNUMBER($A1189)),NA(),IF(OR($A1189&lt;MIN(DKW_10Y!$A$2:$A$2918),$A1189&gt;MAX(DKW_10Y!$A$2:$A$2918),Settings!$B$16&lt;MIN(DKW_10Y!$A$2:$A$2918)),NA(),(INDEX(DKW_10Y!$D$2:$D$2918,MATCH($A1189,DKW_10Y!$A$2:$A$2918,1))-INDEX(DKW_10Y!$D$2:$D$2918,MATCH(Settings!$B$16,DKW_10Y!$A$2:$A$2918,1)))*100))</f>
        <v/>
      </c>
      <c r="AA1189" s="19">
        <f>IF(NOT(ISNUMBER($A1189)),NA(),IF(OR($A1189&lt;MIN(DKW_10Y!$A$2:$A$2918),$A1189&gt;MAX(DKW_10Y!$A$2:$A$2918),Settings!$B$16&lt;MIN(DKW_10Y!$A$2:$A$2918)),NA(),(INDEX(DKW_10Y!$E$2:$E$2918,MATCH($A1189,DKW_10Y!$A$2:$A$2918,1))-INDEX(DKW_10Y!$E$2:$E$2918,MATCH(Settings!$B$16,DKW_10Y!$A$2:$A$2918,1)))*100))</f>
        <v/>
      </c>
      <c r="AB1189" s="19">
        <f>IF(NOT(ISNUMBER($A1189)),NA(),IF(OR($A1189&lt;MIN(DKW_10Y!$A$2:$A$2918),$A1189&gt;MAX(DKW_10Y!$A$2:$A$2918),Settings!$B$16&lt;MIN(DKW_10Y!$A$2:$A$2918)),NA(),(INDEX(DKW_10Y!$H$2:$H$2918,MATCH($A1189,DKW_10Y!$A$2:$A$2918,1))-INDEX(DKW_10Y!$H$2:$H$2918,MATCH(Settings!$B$16,DKW_10Y!$A$2:$A$2918,1)))*100))</f>
        <v/>
      </c>
      <c r="AC1189" s="18">
        <f>IF(NOT(ISNUMBER($A1189)),NA(),IFERROR(1*INDEX(BBG_Data!$N$2:$N$4000,MATCH($A1189,BBG_Data!$M$2:$M$4000,0)),NA()))</f>
        <v/>
      </c>
      <c r="AD1189" s="18">
        <f>IF(NOT(ISNUMBER($A1189)),NA(),IFERROR(1*INDEX(BBG_Data!$P$2:$P$4000,MATCH($A1189,BBG_Data!$O$2:$O$4000,0)),NA()))</f>
        <v/>
      </c>
      <c r="AE1189" s="18">
        <f>IF(NOT(ISNUMBER($A1189)),NA(),IFERROR(1*INDEX(BBG_Data!$R$2:$R$4000,MATCH($A1189,BBG_Data!$Q$2:$Q$4000,0)),NA()))</f>
        <v/>
      </c>
      <c r="AF1189" s="20">
        <f>IF(AND(ISNUMBER(B1189),ISNUMBER(AC1189)),(B1189-AC1189)*100,NA())</f>
        <v/>
      </c>
      <c r="AG1189" s="20">
        <f>IF(AND(ISNUMBER(AE1189),ISNUMBER(AD1189)),(AE1189-AD1189)*100,NA())</f>
        <v/>
      </c>
      <c r="AH1189" s="19">
        <f>IF(NOT(ISNUMBER($A1189)),NA(),IFERROR(INDEX(BBG_Data!$T$2:$T$4000,MATCH($A1189,BBG_Data!$S$2:$S$4000,0))*Settings!$B$25,NA()))</f>
        <v/>
      </c>
      <c r="AI1189" s="19">
        <f>IF(NOT(ISNUMBER($A1189)),NA(),IFERROR(INDEX(BBG_Data!$V$2:$V$4000,MATCH($A1189,BBG_Data!$U$2:$U$4000,0))*Settings!$B$25,NA()))</f>
        <v/>
      </c>
      <c r="AJ1189" s="19">
        <f>IF(NOT(ISNUMBER($A1189)),NA(),IFERROR(1*INDEX(BBG_Data!$X$2:$X$4000,MATCH($A1189,BBG_Data!$W$2:$W$4000,0)),NA()))</f>
        <v/>
      </c>
      <c r="AK1189" s="19">
        <f>IF(NOT(ISNUMBER($A1189)),NA(),IFERROR(1*INDEX(BBG_Data!$Z$2:$Z$4000,MATCH($A1189,BBG_Data!$Y$2:$Y$4000,0)),NA()))</f>
        <v/>
      </c>
    </row>
    <row r="1190">
      <c r="A1190" s="17">
        <f>IF(ISNUMBER(BBG_Data!A1190),BBG_Data!A1190,"")</f>
        <v/>
      </c>
      <c r="B1190" s="18">
        <f>IF(AND(ISNUMBER($A1190),ISNUMBER(BBG_Data!B1190)),BBG_Data!B1190,NA())</f>
        <v/>
      </c>
      <c r="C1190" s="18">
        <f>IF(NOT(ISNUMBER($A1190)),NA(),IFERROR(1*INDEX(BBG_Data!$D$2:$D$4000,MATCH($A1190,BBG_Data!$C$2:$C$4000,0)),NA()))</f>
        <v/>
      </c>
      <c r="D1190" s="19">
        <f>IF(NOT(ISNUMBER($A1190)),NA(),IFERROR(1*INDEX(BBG_Data!$F$2:$F$4000,MATCH($A1190,BBG_Data!$E$2:$E$4000,0)),NA()))</f>
        <v/>
      </c>
      <c r="E1190" s="19">
        <f>IF(NOT(ISNUMBER($A1190)),NA(),IFERROR(1*INDEX(BBG_Data!$H$2:$H$4000,MATCH($A1190,BBG_Data!$G$2:$G$4000,0)),NA()))</f>
        <v/>
      </c>
      <c r="F1190" s="20">
        <f>IF(AND(ISNUMBER(B1190),ISNUMBER(B1189)),IF(B1190=B1189,"",(B1190-B1189)*100),"")</f>
        <v/>
      </c>
      <c r="G1190" s="20">
        <f>IF(AND(ISNUMBER(C1190),ISNUMBER(C1189)),IF(C1190=C1189,"",(C1190-C1189)*100),"")</f>
        <v/>
      </c>
      <c r="H1190" s="20">
        <f>IF(OR(NOT(ISNUMBER($A1190)),ROW()-2&lt;Settings!$B$11),NA(),IF(COUNT(OFFSET(F1190,1-Settings!$B$11,0,Settings!$B$11,1))&lt;ROUNDUP(Settings!$B$11*Settings!$B$26,0),NA(),STDEV(OFFSET(F1190,1-Settings!$B$11,0,Settings!$B$11,1))*SQRT(Settings!$B$13)))</f>
        <v/>
      </c>
      <c r="I1190" s="20">
        <f>IF(OR(NOT(ISNUMBER($A1190)),ROW()-2&lt;Settings!$B$12),NA(),IF(COUNT(OFFSET(F1190,1-Settings!$B$12,0,Settings!$B$12,1))&lt;ROUNDUP(Settings!$B$12*Settings!$B$26,0),NA(),STDEV(OFFSET(F1190,1-Settings!$B$12,0,Settings!$B$12,1))*SQRT(Settings!$B$13)))</f>
        <v/>
      </c>
      <c r="J1190" s="20">
        <f>IF(OR(NOT(ISNUMBER($A1190)),ROW()-2&lt;Settings!$B$11),NA(),IF(COUNT(OFFSET(G1190,1-Settings!$B$11,0,Settings!$B$11,1))&lt;ROUNDUP(Settings!$B$11*Settings!$B$26,0),NA(),STDEV(OFFSET(G1190,1-Settings!$B$11,0,Settings!$B$11,1))*SQRT(Settings!$B$13)))</f>
        <v/>
      </c>
      <c r="K1190" s="20">
        <f>IF(OR(NOT(ISNUMBER($A1190)),ROW()-2&lt;Settings!$B$12),NA(),IF(COUNT(OFFSET(G1190,1-Settings!$B$12,0,Settings!$B$12,1))&lt;ROUNDUP(Settings!$B$12*Settings!$B$26,0),NA(),STDEV(OFFSET(G1190,1-Settings!$B$12,0,Settings!$B$12,1))*SQRT(Settings!$B$13)))</f>
        <v/>
      </c>
      <c r="L1190" s="20">
        <f>IF(AND(ISNUMBER(D1190),ISNUMBER(H1190)),D1190-H1190,NA())</f>
        <v/>
      </c>
      <c r="M1190" s="20">
        <f>IF(AND(ISNUMBER(E1190),ISNUMBER(K1190)),E1190-K1190,NA())</f>
        <v/>
      </c>
      <c r="N1190" s="20">
        <f>IF(NOT(ISNUMBER($A1190)),NA(),IF(COUNT(OFFSET(G1190,1,0,Settings!$B$12,1))&lt;ROUNDUP(Settings!$B$12*Settings!$B$26,0),NA(),STDEV(OFFSET(G1190,1,0,Settings!$B$12,1))*SQRT(Settings!$B$13)))</f>
        <v/>
      </c>
      <c r="O1190" s="20">
        <f>IF(AND(ISNUMBER(E1190),ISNUMBER(N1190)),E1190-N1190,NA())</f>
        <v/>
      </c>
      <c r="P1190" s="19">
        <f>IF(NOT(ISNUMBER($A1190)),NA(),IF(OR($A1190&lt;MIN(KW_TP!$A$2:$A$2501),$A1190&gt;MAX(KW_TP!$A$2:$A$2501)),NA(),INDEX(KW_TP!$C$2:$C$2501,MATCH($A1190,KW_TP!$A$2:$A$2501,1))))</f>
        <v/>
      </c>
      <c r="Q1190" s="18">
        <f>IF(NOT(ISNUMBER($A1190)),NA(),IFERROR(1*INDEX(BBG_Data!$J$2:$J$4000,MATCH($A1190,BBG_Data!$I$2:$I$4000,0)),NA()))</f>
        <v/>
      </c>
      <c r="R1190" s="18">
        <f>IF(NOT(ISNUMBER($A1190)),NA(),IFERROR(1*INDEX(BBG_Data!$L$2:$L$4000,MATCH($A1190,BBG_Data!$K$2:$K$4000,0)),NA()))</f>
        <v/>
      </c>
      <c r="S1190" s="20">
        <f>IF(AND(ISNUMBER(B1190),ISNUMBER(Q1190),ISNUMBER(R1190)),(B1190-Q1190-R1190)*100,NA())</f>
        <v/>
      </c>
      <c r="T1190" s="20">
        <f>IF(AND(ISNUMBER(B1190),Settings!$B$17&gt;0),IF(ISNUMBER(INDEX($B:$B,Settings!$B$17)),(B1190-INDEX($B:$B,Settings!$B$17))*100,NA()),NA())</f>
        <v/>
      </c>
      <c r="U1190" s="20">
        <f>IF(AND(ISNUMBER(Q1190),Settings!$B$17&gt;0),IF(ISNUMBER(INDEX($Q:$Q,Settings!$B$17)),(Q1190-INDEX($Q:$Q,Settings!$B$17))*100,NA()),NA())</f>
        <v/>
      </c>
      <c r="V1190" s="20">
        <f>IF(AND(ISNUMBER(R1190),Settings!$B$17&gt;0),IF(ISNUMBER(INDEX($R:$R,Settings!$B$17)),(R1190-INDEX($R:$R,Settings!$B$17))*100,NA()),NA())</f>
        <v/>
      </c>
      <c r="W1190" s="20">
        <f>IF(AND(ISNUMBER(P1190),Settings!$B$17&gt;0),IF(ISNUMBER(INDEX($P:$P,Settings!$B$17)),P1190-INDEX($P:$P,Settings!$B$17),NA()),NA())</f>
        <v/>
      </c>
      <c r="X1190" s="19">
        <f>IF(NOT(ISNUMBER($A1190)),NA(),IF(OR($A1190&lt;MIN(DKW_10Y!$A$2:$A$2918),$A1190&gt;MAX(DKW_10Y!$A$2:$A$2918),Settings!$B$16&lt;MIN(DKW_10Y!$A$2:$A$2918)),NA(),(INDEX(DKW_10Y!$B$2:$B$2918,MATCH($A1190,DKW_10Y!$A$2:$A$2918,1))-INDEX(DKW_10Y!$B$2:$B$2918,MATCH(Settings!$B$16,DKW_10Y!$A$2:$A$2918,1)))*100))</f>
        <v/>
      </c>
      <c r="Y1190" s="19">
        <f>IF(NOT(ISNUMBER($A1190)),NA(),IF(OR($A1190&lt;MIN(DKW_10Y!$A$2:$A$2918),$A1190&gt;MAX(DKW_10Y!$A$2:$A$2918),Settings!$B$16&lt;MIN(DKW_10Y!$A$2:$A$2918)),NA(),(INDEX(DKW_10Y!$C$2:$C$2918,MATCH($A1190,DKW_10Y!$A$2:$A$2918,1))-INDEX(DKW_10Y!$C$2:$C$2918,MATCH(Settings!$B$16,DKW_10Y!$A$2:$A$2918,1)))*100))</f>
        <v/>
      </c>
      <c r="Z1190" s="19">
        <f>IF(NOT(ISNUMBER($A1190)),NA(),IF(OR($A1190&lt;MIN(DKW_10Y!$A$2:$A$2918),$A1190&gt;MAX(DKW_10Y!$A$2:$A$2918),Settings!$B$16&lt;MIN(DKW_10Y!$A$2:$A$2918)),NA(),(INDEX(DKW_10Y!$D$2:$D$2918,MATCH($A1190,DKW_10Y!$A$2:$A$2918,1))-INDEX(DKW_10Y!$D$2:$D$2918,MATCH(Settings!$B$16,DKW_10Y!$A$2:$A$2918,1)))*100))</f>
        <v/>
      </c>
      <c r="AA1190" s="19">
        <f>IF(NOT(ISNUMBER($A1190)),NA(),IF(OR($A1190&lt;MIN(DKW_10Y!$A$2:$A$2918),$A1190&gt;MAX(DKW_10Y!$A$2:$A$2918),Settings!$B$16&lt;MIN(DKW_10Y!$A$2:$A$2918)),NA(),(INDEX(DKW_10Y!$E$2:$E$2918,MATCH($A1190,DKW_10Y!$A$2:$A$2918,1))-INDEX(DKW_10Y!$E$2:$E$2918,MATCH(Settings!$B$16,DKW_10Y!$A$2:$A$2918,1)))*100))</f>
        <v/>
      </c>
      <c r="AB1190" s="19">
        <f>IF(NOT(ISNUMBER($A1190)),NA(),IF(OR($A1190&lt;MIN(DKW_10Y!$A$2:$A$2918),$A1190&gt;MAX(DKW_10Y!$A$2:$A$2918),Settings!$B$16&lt;MIN(DKW_10Y!$A$2:$A$2918)),NA(),(INDEX(DKW_10Y!$H$2:$H$2918,MATCH($A1190,DKW_10Y!$A$2:$A$2918,1))-INDEX(DKW_10Y!$H$2:$H$2918,MATCH(Settings!$B$16,DKW_10Y!$A$2:$A$2918,1)))*100))</f>
        <v/>
      </c>
      <c r="AC1190" s="18">
        <f>IF(NOT(ISNUMBER($A1190)),NA(),IFERROR(1*INDEX(BBG_Data!$N$2:$N$4000,MATCH($A1190,BBG_Data!$M$2:$M$4000,0)),NA()))</f>
        <v/>
      </c>
      <c r="AD1190" s="18">
        <f>IF(NOT(ISNUMBER($A1190)),NA(),IFERROR(1*INDEX(BBG_Data!$P$2:$P$4000,MATCH($A1190,BBG_Data!$O$2:$O$4000,0)),NA()))</f>
        <v/>
      </c>
      <c r="AE1190" s="18">
        <f>IF(NOT(ISNUMBER($A1190)),NA(),IFERROR(1*INDEX(BBG_Data!$R$2:$R$4000,MATCH($A1190,BBG_Data!$Q$2:$Q$4000,0)),NA()))</f>
        <v/>
      </c>
      <c r="AF1190" s="20">
        <f>IF(AND(ISNUMBER(B1190),ISNUMBER(AC1190)),(B1190-AC1190)*100,NA())</f>
        <v/>
      </c>
      <c r="AG1190" s="20">
        <f>IF(AND(ISNUMBER(AE1190),ISNUMBER(AD1190)),(AE1190-AD1190)*100,NA())</f>
        <v/>
      </c>
      <c r="AH1190" s="19">
        <f>IF(NOT(ISNUMBER($A1190)),NA(),IFERROR(INDEX(BBG_Data!$T$2:$T$4000,MATCH($A1190,BBG_Data!$S$2:$S$4000,0))*Settings!$B$25,NA()))</f>
        <v/>
      </c>
      <c r="AI1190" s="19">
        <f>IF(NOT(ISNUMBER($A1190)),NA(),IFERROR(INDEX(BBG_Data!$V$2:$V$4000,MATCH($A1190,BBG_Data!$U$2:$U$4000,0))*Settings!$B$25,NA()))</f>
        <v/>
      </c>
      <c r="AJ1190" s="19">
        <f>IF(NOT(ISNUMBER($A1190)),NA(),IFERROR(1*INDEX(BBG_Data!$X$2:$X$4000,MATCH($A1190,BBG_Data!$W$2:$W$4000,0)),NA()))</f>
        <v/>
      </c>
      <c r="AK1190" s="19">
        <f>IF(NOT(ISNUMBER($A1190)),NA(),IFERROR(1*INDEX(BBG_Data!$Z$2:$Z$4000,MATCH($A1190,BBG_Data!$Y$2:$Y$4000,0)),NA()))</f>
        <v/>
      </c>
    </row>
    <row r="1191">
      <c r="A1191" s="17">
        <f>IF(ISNUMBER(BBG_Data!A1191),BBG_Data!A1191,"")</f>
        <v/>
      </c>
      <c r="B1191" s="18">
        <f>IF(AND(ISNUMBER($A1191),ISNUMBER(BBG_Data!B1191)),BBG_Data!B1191,NA())</f>
        <v/>
      </c>
      <c r="C1191" s="18">
        <f>IF(NOT(ISNUMBER($A1191)),NA(),IFERROR(1*INDEX(BBG_Data!$D$2:$D$4000,MATCH($A1191,BBG_Data!$C$2:$C$4000,0)),NA()))</f>
        <v/>
      </c>
      <c r="D1191" s="19">
        <f>IF(NOT(ISNUMBER($A1191)),NA(),IFERROR(1*INDEX(BBG_Data!$F$2:$F$4000,MATCH($A1191,BBG_Data!$E$2:$E$4000,0)),NA()))</f>
        <v/>
      </c>
      <c r="E1191" s="19">
        <f>IF(NOT(ISNUMBER($A1191)),NA(),IFERROR(1*INDEX(BBG_Data!$H$2:$H$4000,MATCH($A1191,BBG_Data!$G$2:$G$4000,0)),NA()))</f>
        <v/>
      </c>
      <c r="F1191" s="20">
        <f>IF(AND(ISNUMBER(B1191),ISNUMBER(B1190)),IF(B1191=B1190,"",(B1191-B1190)*100),"")</f>
        <v/>
      </c>
      <c r="G1191" s="20">
        <f>IF(AND(ISNUMBER(C1191),ISNUMBER(C1190)),IF(C1191=C1190,"",(C1191-C1190)*100),"")</f>
        <v/>
      </c>
      <c r="H1191" s="20">
        <f>IF(OR(NOT(ISNUMBER($A1191)),ROW()-2&lt;Settings!$B$11),NA(),IF(COUNT(OFFSET(F1191,1-Settings!$B$11,0,Settings!$B$11,1))&lt;ROUNDUP(Settings!$B$11*Settings!$B$26,0),NA(),STDEV(OFFSET(F1191,1-Settings!$B$11,0,Settings!$B$11,1))*SQRT(Settings!$B$13)))</f>
        <v/>
      </c>
      <c r="I1191" s="20">
        <f>IF(OR(NOT(ISNUMBER($A1191)),ROW()-2&lt;Settings!$B$12),NA(),IF(COUNT(OFFSET(F1191,1-Settings!$B$12,0,Settings!$B$12,1))&lt;ROUNDUP(Settings!$B$12*Settings!$B$26,0),NA(),STDEV(OFFSET(F1191,1-Settings!$B$12,0,Settings!$B$12,1))*SQRT(Settings!$B$13)))</f>
        <v/>
      </c>
      <c r="J1191" s="20">
        <f>IF(OR(NOT(ISNUMBER($A1191)),ROW()-2&lt;Settings!$B$11),NA(),IF(COUNT(OFFSET(G1191,1-Settings!$B$11,0,Settings!$B$11,1))&lt;ROUNDUP(Settings!$B$11*Settings!$B$26,0),NA(),STDEV(OFFSET(G1191,1-Settings!$B$11,0,Settings!$B$11,1))*SQRT(Settings!$B$13)))</f>
        <v/>
      </c>
      <c r="K1191" s="20">
        <f>IF(OR(NOT(ISNUMBER($A1191)),ROW()-2&lt;Settings!$B$12),NA(),IF(COUNT(OFFSET(G1191,1-Settings!$B$12,0,Settings!$B$12,1))&lt;ROUNDUP(Settings!$B$12*Settings!$B$26,0),NA(),STDEV(OFFSET(G1191,1-Settings!$B$12,0,Settings!$B$12,1))*SQRT(Settings!$B$13)))</f>
        <v/>
      </c>
      <c r="L1191" s="20">
        <f>IF(AND(ISNUMBER(D1191),ISNUMBER(H1191)),D1191-H1191,NA())</f>
        <v/>
      </c>
      <c r="M1191" s="20">
        <f>IF(AND(ISNUMBER(E1191),ISNUMBER(K1191)),E1191-K1191,NA())</f>
        <v/>
      </c>
      <c r="N1191" s="20">
        <f>IF(NOT(ISNUMBER($A1191)),NA(),IF(COUNT(OFFSET(G1191,1,0,Settings!$B$12,1))&lt;ROUNDUP(Settings!$B$12*Settings!$B$26,0),NA(),STDEV(OFFSET(G1191,1,0,Settings!$B$12,1))*SQRT(Settings!$B$13)))</f>
        <v/>
      </c>
      <c r="O1191" s="20">
        <f>IF(AND(ISNUMBER(E1191),ISNUMBER(N1191)),E1191-N1191,NA())</f>
        <v/>
      </c>
      <c r="P1191" s="19">
        <f>IF(NOT(ISNUMBER($A1191)),NA(),IF(OR($A1191&lt;MIN(KW_TP!$A$2:$A$2501),$A1191&gt;MAX(KW_TP!$A$2:$A$2501)),NA(),INDEX(KW_TP!$C$2:$C$2501,MATCH($A1191,KW_TP!$A$2:$A$2501,1))))</f>
        <v/>
      </c>
      <c r="Q1191" s="18">
        <f>IF(NOT(ISNUMBER($A1191)),NA(),IFERROR(1*INDEX(BBG_Data!$J$2:$J$4000,MATCH($A1191,BBG_Data!$I$2:$I$4000,0)),NA()))</f>
        <v/>
      </c>
      <c r="R1191" s="18">
        <f>IF(NOT(ISNUMBER($A1191)),NA(),IFERROR(1*INDEX(BBG_Data!$L$2:$L$4000,MATCH($A1191,BBG_Data!$K$2:$K$4000,0)),NA()))</f>
        <v/>
      </c>
      <c r="S1191" s="20">
        <f>IF(AND(ISNUMBER(B1191),ISNUMBER(Q1191),ISNUMBER(R1191)),(B1191-Q1191-R1191)*100,NA())</f>
        <v/>
      </c>
      <c r="T1191" s="20">
        <f>IF(AND(ISNUMBER(B1191),Settings!$B$17&gt;0),IF(ISNUMBER(INDEX($B:$B,Settings!$B$17)),(B1191-INDEX($B:$B,Settings!$B$17))*100,NA()),NA())</f>
        <v/>
      </c>
      <c r="U1191" s="20">
        <f>IF(AND(ISNUMBER(Q1191),Settings!$B$17&gt;0),IF(ISNUMBER(INDEX($Q:$Q,Settings!$B$17)),(Q1191-INDEX($Q:$Q,Settings!$B$17))*100,NA()),NA())</f>
        <v/>
      </c>
      <c r="V1191" s="20">
        <f>IF(AND(ISNUMBER(R1191),Settings!$B$17&gt;0),IF(ISNUMBER(INDEX($R:$R,Settings!$B$17)),(R1191-INDEX($R:$R,Settings!$B$17))*100,NA()),NA())</f>
        <v/>
      </c>
      <c r="W1191" s="20">
        <f>IF(AND(ISNUMBER(P1191),Settings!$B$17&gt;0),IF(ISNUMBER(INDEX($P:$P,Settings!$B$17)),P1191-INDEX($P:$P,Settings!$B$17),NA()),NA())</f>
        <v/>
      </c>
      <c r="X1191" s="19">
        <f>IF(NOT(ISNUMBER($A1191)),NA(),IF(OR($A1191&lt;MIN(DKW_10Y!$A$2:$A$2918),$A1191&gt;MAX(DKW_10Y!$A$2:$A$2918),Settings!$B$16&lt;MIN(DKW_10Y!$A$2:$A$2918)),NA(),(INDEX(DKW_10Y!$B$2:$B$2918,MATCH($A1191,DKW_10Y!$A$2:$A$2918,1))-INDEX(DKW_10Y!$B$2:$B$2918,MATCH(Settings!$B$16,DKW_10Y!$A$2:$A$2918,1)))*100))</f>
        <v/>
      </c>
      <c r="Y1191" s="19">
        <f>IF(NOT(ISNUMBER($A1191)),NA(),IF(OR($A1191&lt;MIN(DKW_10Y!$A$2:$A$2918),$A1191&gt;MAX(DKW_10Y!$A$2:$A$2918),Settings!$B$16&lt;MIN(DKW_10Y!$A$2:$A$2918)),NA(),(INDEX(DKW_10Y!$C$2:$C$2918,MATCH($A1191,DKW_10Y!$A$2:$A$2918,1))-INDEX(DKW_10Y!$C$2:$C$2918,MATCH(Settings!$B$16,DKW_10Y!$A$2:$A$2918,1)))*100))</f>
        <v/>
      </c>
      <c r="Z1191" s="19">
        <f>IF(NOT(ISNUMBER($A1191)),NA(),IF(OR($A1191&lt;MIN(DKW_10Y!$A$2:$A$2918),$A1191&gt;MAX(DKW_10Y!$A$2:$A$2918),Settings!$B$16&lt;MIN(DKW_10Y!$A$2:$A$2918)),NA(),(INDEX(DKW_10Y!$D$2:$D$2918,MATCH($A1191,DKW_10Y!$A$2:$A$2918,1))-INDEX(DKW_10Y!$D$2:$D$2918,MATCH(Settings!$B$16,DKW_10Y!$A$2:$A$2918,1)))*100))</f>
        <v/>
      </c>
      <c r="AA1191" s="19">
        <f>IF(NOT(ISNUMBER($A1191)),NA(),IF(OR($A1191&lt;MIN(DKW_10Y!$A$2:$A$2918),$A1191&gt;MAX(DKW_10Y!$A$2:$A$2918),Settings!$B$16&lt;MIN(DKW_10Y!$A$2:$A$2918)),NA(),(INDEX(DKW_10Y!$E$2:$E$2918,MATCH($A1191,DKW_10Y!$A$2:$A$2918,1))-INDEX(DKW_10Y!$E$2:$E$2918,MATCH(Settings!$B$16,DKW_10Y!$A$2:$A$2918,1)))*100))</f>
        <v/>
      </c>
      <c r="AB1191" s="19">
        <f>IF(NOT(ISNUMBER($A1191)),NA(),IF(OR($A1191&lt;MIN(DKW_10Y!$A$2:$A$2918),$A1191&gt;MAX(DKW_10Y!$A$2:$A$2918),Settings!$B$16&lt;MIN(DKW_10Y!$A$2:$A$2918)),NA(),(INDEX(DKW_10Y!$H$2:$H$2918,MATCH($A1191,DKW_10Y!$A$2:$A$2918,1))-INDEX(DKW_10Y!$H$2:$H$2918,MATCH(Settings!$B$16,DKW_10Y!$A$2:$A$2918,1)))*100))</f>
        <v/>
      </c>
      <c r="AC1191" s="18">
        <f>IF(NOT(ISNUMBER($A1191)),NA(),IFERROR(1*INDEX(BBG_Data!$N$2:$N$4000,MATCH($A1191,BBG_Data!$M$2:$M$4000,0)),NA()))</f>
        <v/>
      </c>
      <c r="AD1191" s="18">
        <f>IF(NOT(ISNUMBER($A1191)),NA(),IFERROR(1*INDEX(BBG_Data!$P$2:$P$4000,MATCH($A1191,BBG_Data!$O$2:$O$4000,0)),NA()))</f>
        <v/>
      </c>
      <c r="AE1191" s="18">
        <f>IF(NOT(ISNUMBER($A1191)),NA(),IFERROR(1*INDEX(BBG_Data!$R$2:$R$4000,MATCH($A1191,BBG_Data!$Q$2:$Q$4000,0)),NA()))</f>
        <v/>
      </c>
      <c r="AF1191" s="20">
        <f>IF(AND(ISNUMBER(B1191),ISNUMBER(AC1191)),(B1191-AC1191)*100,NA())</f>
        <v/>
      </c>
      <c r="AG1191" s="20">
        <f>IF(AND(ISNUMBER(AE1191),ISNUMBER(AD1191)),(AE1191-AD1191)*100,NA())</f>
        <v/>
      </c>
      <c r="AH1191" s="19">
        <f>IF(NOT(ISNUMBER($A1191)),NA(),IFERROR(INDEX(BBG_Data!$T$2:$T$4000,MATCH($A1191,BBG_Data!$S$2:$S$4000,0))*Settings!$B$25,NA()))</f>
        <v/>
      </c>
      <c r="AI1191" s="19">
        <f>IF(NOT(ISNUMBER($A1191)),NA(),IFERROR(INDEX(BBG_Data!$V$2:$V$4000,MATCH($A1191,BBG_Data!$U$2:$U$4000,0))*Settings!$B$25,NA()))</f>
        <v/>
      </c>
      <c r="AJ1191" s="19">
        <f>IF(NOT(ISNUMBER($A1191)),NA(),IFERROR(1*INDEX(BBG_Data!$X$2:$X$4000,MATCH($A1191,BBG_Data!$W$2:$W$4000,0)),NA()))</f>
        <v/>
      </c>
      <c r="AK1191" s="19">
        <f>IF(NOT(ISNUMBER($A1191)),NA(),IFERROR(1*INDEX(BBG_Data!$Z$2:$Z$4000,MATCH($A1191,BBG_Data!$Y$2:$Y$4000,0)),NA()))</f>
        <v/>
      </c>
    </row>
    <row r="1192">
      <c r="A1192" s="17">
        <f>IF(ISNUMBER(BBG_Data!A1192),BBG_Data!A1192,"")</f>
        <v/>
      </c>
      <c r="B1192" s="18">
        <f>IF(AND(ISNUMBER($A1192),ISNUMBER(BBG_Data!B1192)),BBG_Data!B1192,NA())</f>
        <v/>
      </c>
      <c r="C1192" s="18">
        <f>IF(NOT(ISNUMBER($A1192)),NA(),IFERROR(1*INDEX(BBG_Data!$D$2:$D$4000,MATCH($A1192,BBG_Data!$C$2:$C$4000,0)),NA()))</f>
        <v/>
      </c>
      <c r="D1192" s="19">
        <f>IF(NOT(ISNUMBER($A1192)),NA(),IFERROR(1*INDEX(BBG_Data!$F$2:$F$4000,MATCH($A1192,BBG_Data!$E$2:$E$4000,0)),NA()))</f>
        <v/>
      </c>
      <c r="E1192" s="19">
        <f>IF(NOT(ISNUMBER($A1192)),NA(),IFERROR(1*INDEX(BBG_Data!$H$2:$H$4000,MATCH($A1192,BBG_Data!$G$2:$G$4000,0)),NA()))</f>
        <v/>
      </c>
      <c r="F1192" s="20">
        <f>IF(AND(ISNUMBER(B1192),ISNUMBER(B1191)),IF(B1192=B1191,"",(B1192-B1191)*100),"")</f>
        <v/>
      </c>
      <c r="G1192" s="20">
        <f>IF(AND(ISNUMBER(C1192),ISNUMBER(C1191)),IF(C1192=C1191,"",(C1192-C1191)*100),"")</f>
        <v/>
      </c>
      <c r="H1192" s="20">
        <f>IF(OR(NOT(ISNUMBER($A1192)),ROW()-2&lt;Settings!$B$11),NA(),IF(COUNT(OFFSET(F1192,1-Settings!$B$11,0,Settings!$B$11,1))&lt;ROUNDUP(Settings!$B$11*Settings!$B$26,0),NA(),STDEV(OFFSET(F1192,1-Settings!$B$11,0,Settings!$B$11,1))*SQRT(Settings!$B$13)))</f>
        <v/>
      </c>
      <c r="I1192" s="20">
        <f>IF(OR(NOT(ISNUMBER($A1192)),ROW()-2&lt;Settings!$B$12),NA(),IF(COUNT(OFFSET(F1192,1-Settings!$B$12,0,Settings!$B$12,1))&lt;ROUNDUP(Settings!$B$12*Settings!$B$26,0),NA(),STDEV(OFFSET(F1192,1-Settings!$B$12,0,Settings!$B$12,1))*SQRT(Settings!$B$13)))</f>
        <v/>
      </c>
      <c r="J1192" s="20">
        <f>IF(OR(NOT(ISNUMBER($A1192)),ROW()-2&lt;Settings!$B$11),NA(),IF(COUNT(OFFSET(G1192,1-Settings!$B$11,0,Settings!$B$11,1))&lt;ROUNDUP(Settings!$B$11*Settings!$B$26,0),NA(),STDEV(OFFSET(G1192,1-Settings!$B$11,0,Settings!$B$11,1))*SQRT(Settings!$B$13)))</f>
        <v/>
      </c>
      <c r="K1192" s="20">
        <f>IF(OR(NOT(ISNUMBER($A1192)),ROW()-2&lt;Settings!$B$12),NA(),IF(COUNT(OFFSET(G1192,1-Settings!$B$12,0,Settings!$B$12,1))&lt;ROUNDUP(Settings!$B$12*Settings!$B$26,0),NA(),STDEV(OFFSET(G1192,1-Settings!$B$12,0,Settings!$B$12,1))*SQRT(Settings!$B$13)))</f>
        <v/>
      </c>
      <c r="L1192" s="20">
        <f>IF(AND(ISNUMBER(D1192),ISNUMBER(H1192)),D1192-H1192,NA())</f>
        <v/>
      </c>
      <c r="M1192" s="20">
        <f>IF(AND(ISNUMBER(E1192),ISNUMBER(K1192)),E1192-K1192,NA())</f>
        <v/>
      </c>
      <c r="N1192" s="20">
        <f>IF(NOT(ISNUMBER($A1192)),NA(),IF(COUNT(OFFSET(G1192,1,0,Settings!$B$12,1))&lt;ROUNDUP(Settings!$B$12*Settings!$B$26,0),NA(),STDEV(OFFSET(G1192,1,0,Settings!$B$12,1))*SQRT(Settings!$B$13)))</f>
        <v/>
      </c>
      <c r="O1192" s="20">
        <f>IF(AND(ISNUMBER(E1192),ISNUMBER(N1192)),E1192-N1192,NA())</f>
        <v/>
      </c>
      <c r="P1192" s="19">
        <f>IF(NOT(ISNUMBER($A1192)),NA(),IF(OR($A1192&lt;MIN(KW_TP!$A$2:$A$2501),$A1192&gt;MAX(KW_TP!$A$2:$A$2501)),NA(),INDEX(KW_TP!$C$2:$C$2501,MATCH($A1192,KW_TP!$A$2:$A$2501,1))))</f>
        <v/>
      </c>
      <c r="Q1192" s="18">
        <f>IF(NOT(ISNUMBER($A1192)),NA(),IFERROR(1*INDEX(BBG_Data!$J$2:$J$4000,MATCH($A1192,BBG_Data!$I$2:$I$4000,0)),NA()))</f>
        <v/>
      </c>
      <c r="R1192" s="18">
        <f>IF(NOT(ISNUMBER($A1192)),NA(),IFERROR(1*INDEX(BBG_Data!$L$2:$L$4000,MATCH($A1192,BBG_Data!$K$2:$K$4000,0)),NA()))</f>
        <v/>
      </c>
      <c r="S1192" s="20">
        <f>IF(AND(ISNUMBER(B1192),ISNUMBER(Q1192),ISNUMBER(R1192)),(B1192-Q1192-R1192)*100,NA())</f>
        <v/>
      </c>
      <c r="T1192" s="20">
        <f>IF(AND(ISNUMBER(B1192),Settings!$B$17&gt;0),IF(ISNUMBER(INDEX($B:$B,Settings!$B$17)),(B1192-INDEX($B:$B,Settings!$B$17))*100,NA()),NA())</f>
        <v/>
      </c>
      <c r="U1192" s="20">
        <f>IF(AND(ISNUMBER(Q1192),Settings!$B$17&gt;0),IF(ISNUMBER(INDEX($Q:$Q,Settings!$B$17)),(Q1192-INDEX($Q:$Q,Settings!$B$17))*100,NA()),NA())</f>
        <v/>
      </c>
      <c r="V1192" s="20">
        <f>IF(AND(ISNUMBER(R1192),Settings!$B$17&gt;0),IF(ISNUMBER(INDEX($R:$R,Settings!$B$17)),(R1192-INDEX($R:$R,Settings!$B$17))*100,NA()),NA())</f>
        <v/>
      </c>
      <c r="W1192" s="20">
        <f>IF(AND(ISNUMBER(P1192),Settings!$B$17&gt;0),IF(ISNUMBER(INDEX($P:$P,Settings!$B$17)),P1192-INDEX($P:$P,Settings!$B$17),NA()),NA())</f>
        <v/>
      </c>
      <c r="X1192" s="19">
        <f>IF(NOT(ISNUMBER($A1192)),NA(),IF(OR($A1192&lt;MIN(DKW_10Y!$A$2:$A$2918),$A1192&gt;MAX(DKW_10Y!$A$2:$A$2918),Settings!$B$16&lt;MIN(DKW_10Y!$A$2:$A$2918)),NA(),(INDEX(DKW_10Y!$B$2:$B$2918,MATCH($A1192,DKW_10Y!$A$2:$A$2918,1))-INDEX(DKW_10Y!$B$2:$B$2918,MATCH(Settings!$B$16,DKW_10Y!$A$2:$A$2918,1)))*100))</f>
        <v/>
      </c>
      <c r="Y1192" s="19">
        <f>IF(NOT(ISNUMBER($A1192)),NA(),IF(OR($A1192&lt;MIN(DKW_10Y!$A$2:$A$2918),$A1192&gt;MAX(DKW_10Y!$A$2:$A$2918),Settings!$B$16&lt;MIN(DKW_10Y!$A$2:$A$2918)),NA(),(INDEX(DKW_10Y!$C$2:$C$2918,MATCH($A1192,DKW_10Y!$A$2:$A$2918,1))-INDEX(DKW_10Y!$C$2:$C$2918,MATCH(Settings!$B$16,DKW_10Y!$A$2:$A$2918,1)))*100))</f>
        <v/>
      </c>
      <c r="Z1192" s="19">
        <f>IF(NOT(ISNUMBER($A1192)),NA(),IF(OR($A1192&lt;MIN(DKW_10Y!$A$2:$A$2918),$A1192&gt;MAX(DKW_10Y!$A$2:$A$2918),Settings!$B$16&lt;MIN(DKW_10Y!$A$2:$A$2918)),NA(),(INDEX(DKW_10Y!$D$2:$D$2918,MATCH($A1192,DKW_10Y!$A$2:$A$2918,1))-INDEX(DKW_10Y!$D$2:$D$2918,MATCH(Settings!$B$16,DKW_10Y!$A$2:$A$2918,1)))*100))</f>
        <v/>
      </c>
      <c r="AA1192" s="19">
        <f>IF(NOT(ISNUMBER($A1192)),NA(),IF(OR($A1192&lt;MIN(DKW_10Y!$A$2:$A$2918),$A1192&gt;MAX(DKW_10Y!$A$2:$A$2918),Settings!$B$16&lt;MIN(DKW_10Y!$A$2:$A$2918)),NA(),(INDEX(DKW_10Y!$E$2:$E$2918,MATCH($A1192,DKW_10Y!$A$2:$A$2918,1))-INDEX(DKW_10Y!$E$2:$E$2918,MATCH(Settings!$B$16,DKW_10Y!$A$2:$A$2918,1)))*100))</f>
        <v/>
      </c>
      <c r="AB1192" s="19">
        <f>IF(NOT(ISNUMBER($A1192)),NA(),IF(OR($A1192&lt;MIN(DKW_10Y!$A$2:$A$2918),$A1192&gt;MAX(DKW_10Y!$A$2:$A$2918),Settings!$B$16&lt;MIN(DKW_10Y!$A$2:$A$2918)),NA(),(INDEX(DKW_10Y!$H$2:$H$2918,MATCH($A1192,DKW_10Y!$A$2:$A$2918,1))-INDEX(DKW_10Y!$H$2:$H$2918,MATCH(Settings!$B$16,DKW_10Y!$A$2:$A$2918,1)))*100))</f>
        <v/>
      </c>
      <c r="AC1192" s="18">
        <f>IF(NOT(ISNUMBER($A1192)),NA(),IFERROR(1*INDEX(BBG_Data!$N$2:$N$4000,MATCH($A1192,BBG_Data!$M$2:$M$4000,0)),NA()))</f>
        <v/>
      </c>
      <c r="AD1192" s="18">
        <f>IF(NOT(ISNUMBER($A1192)),NA(),IFERROR(1*INDEX(BBG_Data!$P$2:$P$4000,MATCH($A1192,BBG_Data!$O$2:$O$4000,0)),NA()))</f>
        <v/>
      </c>
      <c r="AE1192" s="18">
        <f>IF(NOT(ISNUMBER($A1192)),NA(),IFERROR(1*INDEX(BBG_Data!$R$2:$R$4000,MATCH($A1192,BBG_Data!$Q$2:$Q$4000,0)),NA()))</f>
        <v/>
      </c>
      <c r="AF1192" s="20">
        <f>IF(AND(ISNUMBER(B1192),ISNUMBER(AC1192)),(B1192-AC1192)*100,NA())</f>
        <v/>
      </c>
      <c r="AG1192" s="20">
        <f>IF(AND(ISNUMBER(AE1192),ISNUMBER(AD1192)),(AE1192-AD1192)*100,NA())</f>
        <v/>
      </c>
      <c r="AH1192" s="19">
        <f>IF(NOT(ISNUMBER($A1192)),NA(),IFERROR(INDEX(BBG_Data!$T$2:$T$4000,MATCH($A1192,BBG_Data!$S$2:$S$4000,0))*Settings!$B$25,NA()))</f>
        <v/>
      </c>
      <c r="AI1192" s="19">
        <f>IF(NOT(ISNUMBER($A1192)),NA(),IFERROR(INDEX(BBG_Data!$V$2:$V$4000,MATCH($A1192,BBG_Data!$U$2:$U$4000,0))*Settings!$B$25,NA()))</f>
        <v/>
      </c>
      <c r="AJ1192" s="19">
        <f>IF(NOT(ISNUMBER($A1192)),NA(),IFERROR(1*INDEX(BBG_Data!$X$2:$X$4000,MATCH($A1192,BBG_Data!$W$2:$W$4000,0)),NA()))</f>
        <v/>
      </c>
      <c r="AK1192" s="19">
        <f>IF(NOT(ISNUMBER($A1192)),NA(),IFERROR(1*INDEX(BBG_Data!$Z$2:$Z$4000,MATCH($A1192,BBG_Data!$Y$2:$Y$4000,0)),NA()))</f>
        <v/>
      </c>
    </row>
    <row r="1193">
      <c r="A1193" s="17">
        <f>IF(ISNUMBER(BBG_Data!A1193),BBG_Data!A1193,"")</f>
        <v/>
      </c>
      <c r="B1193" s="18">
        <f>IF(AND(ISNUMBER($A1193),ISNUMBER(BBG_Data!B1193)),BBG_Data!B1193,NA())</f>
        <v/>
      </c>
      <c r="C1193" s="18">
        <f>IF(NOT(ISNUMBER($A1193)),NA(),IFERROR(1*INDEX(BBG_Data!$D$2:$D$4000,MATCH($A1193,BBG_Data!$C$2:$C$4000,0)),NA()))</f>
        <v/>
      </c>
      <c r="D1193" s="19">
        <f>IF(NOT(ISNUMBER($A1193)),NA(),IFERROR(1*INDEX(BBG_Data!$F$2:$F$4000,MATCH($A1193,BBG_Data!$E$2:$E$4000,0)),NA()))</f>
        <v/>
      </c>
      <c r="E1193" s="19">
        <f>IF(NOT(ISNUMBER($A1193)),NA(),IFERROR(1*INDEX(BBG_Data!$H$2:$H$4000,MATCH($A1193,BBG_Data!$G$2:$G$4000,0)),NA()))</f>
        <v/>
      </c>
      <c r="F1193" s="20">
        <f>IF(AND(ISNUMBER(B1193),ISNUMBER(B1192)),IF(B1193=B1192,"",(B1193-B1192)*100),"")</f>
        <v/>
      </c>
      <c r="G1193" s="20">
        <f>IF(AND(ISNUMBER(C1193),ISNUMBER(C1192)),IF(C1193=C1192,"",(C1193-C1192)*100),"")</f>
        <v/>
      </c>
      <c r="H1193" s="20">
        <f>IF(OR(NOT(ISNUMBER($A1193)),ROW()-2&lt;Settings!$B$11),NA(),IF(COUNT(OFFSET(F1193,1-Settings!$B$11,0,Settings!$B$11,1))&lt;ROUNDUP(Settings!$B$11*Settings!$B$26,0),NA(),STDEV(OFFSET(F1193,1-Settings!$B$11,0,Settings!$B$11,1))*SQRT(Settings!$B$13)))</f>
        <v/>
      </c>
      <c r="I1193" s="20">
        <f>IF(OR(NOT(ISNUMBER($A1193)),ROW()-2&lt;Settings!$B$12),NA(),IF(COUNT(OFFSET(F1193,1-Settings!$B$12,0,Settings!$B$12,1))&lt;ROUNDUP(Settings!$B$12*Settings!$B$26,0),NA(),STDEV(OFFSET(F1193,1-Settings!$B$12,0,Settings!$B$12,1))*SQRT(Settings!$B$13)))</f>
        <v/>
      </c>
      <c r="J1193" s="20">
        <f>IF(OR(NOT(ISNUMBER($A1193)),ROW()-2&lt;Settings!$B$11),NA(),IF(COUNT(OFFSET(G1193,1-Settings!$B$11,0,Settings!$B$11,1))&lt;ROUNDUP(Settings!$B$11*Settings!$B$26,0),NA(),STDEV(OFFSET(G1193,1-Settings!$B$11,0,Settings!$B$11,1))*SQRT(Settings!$B$13)))</f>
        <v/>
      </c>
      <c r="K1193" s="20">
        <f>IF(OR(NOT(ISNUMBER($A1193)),ROW()-2&lt;Settings!$B$12),NA(),IF(COUNT(OFFSET(G1193,1-Settings!$B$12,0,Settings!$B$12,1))&lt;ROUNDUP(Settings!$B$12*Settings!$B$26,0),NA(),STDEV(OFFSET(G1193,1-Settings!$B$12,0,Settings!$B$12,1))*SQRT(Settings!$B$13)))</f>
        <v/>
      </c>
      <c r="L1193" s="20">
        <f>IF(AND(ISNUMBER(D1193),ISNUMBER(H1193)),D1193-H1193,NA())</f>
        <v/>
      </c>
      <c r="M1193" s="20">
        <f>IF(AND(ISNUMBER(E1193),ISNUMBER(K1193)),E1193-K1193,NA())</f>
        <v/>
      </c>
      <c r="N1193" s="20">
        <f>IF(NOT(ISNUMBER($A1193)),NA(),IF(COUNT(OFFSET(G1193,1,0,Settings!$B$12,1))&lt;ROUNDUP(Settings!$B$12*Settings!$B$26,0),NA(),STDEV(OFFSET(G1193,1,0,Settings!$B$12,1))*SQRT(Settings!$B$13)))</f>
        <v/>
      </c>
      <c r="O1193" s="20">
        <f>IF(AND(ISNUMBER(E1193),ISNUMBER(N1193)),E1193-N1193,NA())</f>
        <v/>
      </c>
      <c r="P1193" s="19">
        <f>IF(NOT(ISNUMBER($A1193)),NA(),IF(OR($A1193&lt;MIN(KW_TP!$A$2:$A$2501),$A1193&gt;MAX(KW_TP!$A$2:$A$2501)),NA(),INDEX(KW_TP!$C$2:$C$2501,MATCH($A1193,KW_TP!$A$2:$A$2501,1))))</f>
        <v/>
      </c>
      <c r="Q1193" s="18">
        <f>IF(NOT(ISNUMBER($A1193)),NA(),IFERROR(1*INDEX(BBG_Data!$J$2:$J$4000,MATCH($A1193,BBG_Data!$I$2:$I$4000,0)),NA()))</f>
        <v/>
      </c>
      <c r="R1193" s="18">
        <f>IF(NOT(ISNUMBER($A1193)),NA(),IFERROR(1*INDEX(BBG_Data!$L$2:$L$4000,MATCH($A1193,BBG_Data!$K$2:$K$4000,0)),NA()))</f>
        <v/>
      </c>
      <c r="S1193" s="20">
        <f>IF(AND(ISNUMBER(B1193),ISNUMBER(Q1193),ISNUMBER(R1193)),(B1193-Q1193-R1193)*100,NA())</f>
        <v/>
      </c>
      <c r="T1193" s="20">
        <f>IF(AND(ISNUMBER(B1193),Settings!$B$17&gt;0),IF(ISNUMBER(INDEX($B:$B,Settings!$B$17)),(B1193-INDEX($B:$B,Settings!$B$17))*100,NA()),NA())</f>
        <v/>
      </c>
      <c r="U1193" s="20">
        <f>IF(AND(ISNUMBER(Q1193),Settings!$B$17&gt;0),IF(ISNUMBER(INDEX($Q:$Q,Settings!$B$17)),(Q1193-INDEX($Q:$Q,Settings!$B$17))*100,NA()),NA())</f>
        <v/>
      </c>
      <c r="V1193" s="20">
        <f>IF(AND(ISNUMBER(R1193),Settings!$B$17&gt;0),IF(ISNUMBER(INDEX($R:$R,Settings!$B$17)),(R1193-INDEX($R:$R,Settings!$B$17))*100,NA()),NA())</f>
        <v/>
      </c>
      <c r="W1193" s="20">
        <f>IF(AND(ISNUMBER(P1193),Settings!$B$17&gt;0),IF(ISNUMBER(INDEX($P:$P,Settings!$B$17)),P1193-INDEX($P:$P,Settings!$B$17),NA()),NA())</f>
        <v/>
      </c>
      <c r="X1193" s="19">
        <f>IF(NOT(ISNUMBER($A1193)),NA(),IF(OR($A1193&lt;MIN(DKW_10Y!$A$2:$A$2918),$A1193&gt;MAX(DKW_10Y!$A$2:$A$2918),Settings!$B$16&lt;MIN(DKW_10Y!$A$2:$A$2918)),NA(),(INDEX(DKW_10Y!$B$2:$B$2918,MATCH($A1193,DKW_10Y!$A$2:$A$2918,1))-INDEX(DKW_10Y!$B$2:$B$2918,MATCH(Settings!$B$16,DKW_10Y!$A$2:$A$2918,1)))*100))</f>
        <v/>
      </c>
      <c r="Y1193" s="19">
        <f>IF(NOT(ISNUMBER($A1193)),NA(),IF(OR($A1193&lt;MIN(DKW_10Y!$A$2:$A$2918),$A1193&gt;MAX(DKW_10Y!$A$2:$A$2918),Settings!$B$16&lt;MIN(DKW_10Y!$A$2:$A$2918)),NA(),(INDEX(DKW_10Y!$C$2:$C$2918,MATCH($A1193,DKW_10Y!$A$2:$A$2918,1))-INDEX(DKW_10Y!$C$2:$C$2918,MATCH(Settings!$B$16,DKW_10Y!$A$2:$A$2918,1)))*100))</f>
        <v/>
      </c>
      <c r="Z1193" s="19">
        <f>IF(NOT(ISNUMBER($A1193)),NA(),IF(OR($A1193&lt;MIN(DKW_10Y!$A$2:$A$2918),$A1193&gt;MAX(DKW_10Y!$A$2:$A$2918),Settings!$B$16&lt;MIN(DKW_10Y!$A$2:$A$2918)),NA(),(INDEX(DKW_10Y!$D$2:$D$2918,MATCH($A1193,DKW_10Y!$A$2:$A$2918,1))-INDEX(DKW_10Y!$D$2:$D$2918,MATCH(Settings!$B$16,DKW_10Y!$A$2:$A$2918,1)))*100))</f>
        <v/>
      </c>
      <c r="AA1193" s="19">
        <f>IF(NOT(ISNUMBER($A1193)),NA(),IF(OR($A1193&lt;MIN(DKW_10Y!$A$2:$A$2918),$A1193&gt;MAX(DKW_10Y!$A$2:$A$2918),Settings!$B$16&lt;MIN(DKW_10Y!$A$2:$A$2918)),NA(),(INDEX(DKW_10Y!$E$2:$E$2918,MATCH($A1193,DKW_10Y!$A$2:$A$2918,1))-INDEX(DKW_10Y!$E$2:$E$2918,MATCH(Settings!$B$16,DKW_10Y!$A$2:$A$2918,1)))*100))</f>
        <v/>
      </c>
      <c r="AB1193" s="19">
        <f>IF(NOT(ISNUMBER($A1193)),NA(),IF(OR($A1193&lt;MIN(DKW_10Y!$A$2:$A$2918),$A1193&gt;MAX(DKW_10Y!$A$2:$A$2918),Settings!$B$16&lt;MIN(DKW_10Y!$A$2:$A$2918)),NA(),(INDEX(DKW_10Y!$H$2:$H$2918,MATCH($A1193,DKW_10Y!$A$2:$A$2918,1))-INDEX(DKW_10Y!$H$2:$H$2918,MATCH(Settings!$B$16,DKW_10Y!$A$2:$A$2918,1)))*100))</f>
        <v/>
      </c>
      <c r="AC1193" s="18">
        <f>IF(NOT(ISNUMBER($A1193)),NA(),IFERROR(1*INDEX(BBG_Data!$N$2:$N$4000,MATCH($A1193,BBG_Data!$M$2:$M$4000,0)),NA()))</f>
        <v/>
      </c>
      <c r="AD1193" s="18">
        <f>IF(NOT(ISNUMBER($A1193)),NA(),IFERROR(1*INDEX(BBG_Data!$P$2:$P$4000,MATCH($A1193,BBG_Data!$O$2:$O$4000,0)),NA()))</f>
        <v/>
      </c>
      <c r="AE1193" s="18">
        <f>IF(NOT(ISNUMBER($A1193)),NA(),IFERROR(1*INDEX(BBG_Data!$R$2:$R$4000,MATCH($A1193,BBG_Data!$Q$2:$Q$4000,0)),NA()))</f>
        <v/>
      </c>
      <c r="AF1193" s="20">
        <f>IF(AND(ISNUMBER(B1193),ISNUMBER(AC1193)),(B1193-AC1193)*100,NA())</f>
        <v/>
      </c>
      <c r="AG1193" s="20">
        <f>IF(AND(ISNUMBER(AE1193),ISNUMBER(AD1193)),(AE1193-AD1193)*100,NA())</f>
        <v/>
      </c>
      <c r="AH1193" s="19">
        <f>IF(NOT(ISNUMBER($A1193)),NA(),IFERROR(INDEX(BBG_Data!$T$2:$T$4000,MATCH($A1193,BBG_Data!$S$2:$S$4000,0))*Settings!$B$25,NA()))</f>
        <v/>
      </c>
      <c r="AI1193" s="19">
        <f>IF(NOT(ISNUMBER($A1193)),NA(),IFERROR(INDEX(BBG_Data!$V$2:$V$4000,MATCH($A1193,BBG_Data!$U$2:$U$4000,0))*Settings!$B$25,NA()))</f>
        <v/>
      </c>
      <c r="AJ1193" s="19">
        <f>IF(NOT(ISNUMBER($A1193)),NA(),IFERROR(1*INDEX(BBG_Data!$X$2:$X$4000,MATCH($A1193,BBG_Data!$W$2:$W$4000,0)),NA()))</f>
        <v/>
      </c>
      <c r="AK1193" s="19">
        <f>IF(NOT(ISNUMBER($A1193)),NA(),IFERROR(1*INDEX(BBG_Data!$Z$2:$Z$4000,MATCH($A1193,BBG_Data!$Y$2:$Y$4000,0)),NA()))</f>
        <v/>
      </c>
    </row>
    <row r="1194">
      <c r="A1194" s="17">
        <f>IF(ISNUMBER(BBG_Data!A1194),BBG_Data!A1194,"")</f>
        <v/>
      </c>
      <c r="B1194" s="18">
        <f>IF(AND(ISNUMBER($A1194),ISNUMBER(BBG_Data!B1194)),BBG_Data!B1194,NA())</f>
        <v/>
      </c>
      <c r="C1194" s="18">
        <f>IF(NOT(ISNUMBER($A1194)),NA(),IFERROR(1*INDEX(BBG_Data!$D$2:$D$4000,MATCH($A1194,BBG_Data!$C$2:$C$4000,0)),NA()))</f>
        <v/>
      </c>
      <c r="D1194" s="19">
        <f>IF(NOT(ISNUMBER($A1194)),NA(),IFERROR(1*INDEX(BBG_Data!$F$2:$F$4000,MATCH($A1194,BBG_Data!$E$2:$E$4000,0)),NA()))</f>
        <v/>
      </c>
      <c r="E1194" s="19">
        <f>IF(NOT(ISNUMBER($A1194)),NA(),IFERROR(1*INDEX(BBG_Data!$H$2:$H$4000,MATCH($A1194,BBG_Data!$G$2:$G$4000,0)),NA()))</f>
        <v/>
      </c>
      <c r="F1194" s="20">
        <f>IF(AND(ISNUMBER(B1194),ISNUMBER(B1193)),IF(B1194=B1193,"",(B1194-B1193)*100),"")</f>
        <v/>
      </c>
      <c r="G1194" s="20">
        <f>IF(AND(ISNUMBER(C1194),ISNUMBER(C1193)),IF(C1194=C1193,"",(C1194-C1193)*100),"")</f>
        <v/>
      </c>
      <c r="H1194" s="20">
        <f>IF(OR(NOT(ISNUMBER($A1194)),ROW()-2&lt;Settings!$B$11),NA(),IF(COUNT(OFFSET(F1194,1-Settings!$B$11,0,Settings!$B$11,1))&lt;ROUNDUP(Settings!$B$11*Settings!$B$26,0),NA(),STDEV(OFFSET(F1194,1-Settings!$B$11,0,Settings!$B$11,1))*SQRT(Settings!$B$13)))</f>
        <v/>
      </c>
      <c r="I1194" s="20">
        <f>IF(OR(NOT(ISNUMBER($A1194)),ROW()-2&lt;Settings!$B$12),NA(),IF(COUNT(OFFSET(F1194,1-Settings!$B$12,0,Settings!$B$12,1))&lt;ROUNDUP(Settings!$B$12*Settings!$B$26,0),NA(),STDEV(OFFSET(F1194,1-Settings!$B$12,0,Settings!$B$12,1))*SQRT(Settings!$B$13)))</f>
        <v/>
      </c>
      <c r="J1194" s="20">
        <f>IF(OR(NOT(ISNUMBER($A1194)),ROW()-2&lt;Settings!$B$11),NA(),IF(COUNT(OFFSET(G1194,1-Settings!$B$11,0,Settings!$B$11,1))&lt;ROUNDUP(Settings!$B$11*Settings!$B$26,0),NA(),STDEV(OFFSET(G1194,1-Settings!$B$11,0,Settings!$B$11,1))*SQRT(Settings!$B$13)))</f>
        <v/>
      </c>
      <c r="K1194" s="20">
        <f>IF(OR(NOT(ISNUMBER($A1194)),ROW()-2&lt;Settings!$B$12),NA(),IF(COUNT(OFFSET(G1194,1-Settings!$B$12,0,Settings!$B$12,1))&lt;ROUNDUP(Settings!$B$12*Settings!$B$26,0),NA(),STDEV(OFFSET(G1194,1-Settings!$B$12,0,Settings!$B$12,1))*SQRT(Settings!$B$13)))</f>
        <v/>
      </c>
      <c r="L1194" s="20">
        <f>IF(AND(ISNUMBER(D1194),ISNUMBER(H1194)),D1194-H1194,NA())</f>
        <v/>
      </c>
      <c r="M1194" s="20">
        <f>IF(AND(ISNUMBER(E1194),ISNUMBER(K1194)),E1194-K1194,NA())</f>
        <v/>
      </c>
      <c r="N1194" s="20">
        <f>IF(NOT(ISNUMBER($A1194)),NA(),IF(COUNT(OFFSET(G1194,1,0,Settings!$B$12,1))&lt;ROUNDUP(Settings!$B$12*Settings!$B$26,0),NA(),STDEV(OFFSET(G1194,1,0,Settings!$B$12,1))*SQRT(Settings!$B$13)))</f>
        <v/>
      </c>
      <c r="O1194" s="20">
        <f>IF(AND(ISNUMBER(E1194),ISNUMBER(N1194)),E1194-N1194,NA())</f>
        <v/>
      </c>
      <c r="P1194" s="19">
        <f>IF(NOT(ISNUMBER($A1194)),NA(),IF(OR($A1194&lt;MIN(KW_TP!$A$2:$A$2501),$A1194&gt;MAX(KW_TP!$A$2:$A$2501)),NA(),INDEX(KW_TP!$C$2:$C$2501,MATCH($A1194,KW_TP!$A$2:$A$2501,1))))</f>
        <v/>
      </c>
      <c r="Q1194" s="18">
        <f>IF(NOT(ISNUMBER($A1194)),NA(),IFERROR(1*INDEX(BBG_Data!$J$2:$J$4000,MATCH($A1194,BBG_Data!$I$2:$I$4000,0)),NA()))</f>
        <v/>
      </c>
      <c r="R1194" s="18">
        <f>IF(NOT(ISNUMBER($A1194)),NA(),IFERROR(1*INDEX(BBG_Data!$L$2:$L$4000,MATCH($A1194,BBG_Data!$K$2:$K$4000,0)),NA()))</f>
        <v/>
      </c>
      <c r="S1194" s="20">
        <f>IF(AND(ISNUMBER(B1194),ISNUMBER(Q1194),ISNUMBER(R1194)),(B1194-Q1194-R1194)*100,NA())</f>
        <v/>
      </c>
      <c r="T1194" s="20">
        <f>IF(AND(ISNUMBER(B1194),Settings!$B$17&gt;0),IF(ISNUMBER(INDEX($B:$B,Settings!$B$17)),(B1194-INDEX($B:$B,Settings!$B$17))*100,NA()),NA())</f>
        <v/>
      </c>
      <c r="U1194" s="20">
        <f>IF(AND(ISNUMBER(Q1194),Settings!$B$17&gt;0),IF(ISNUMBER(INDEX($Q:$Q,Settings!$B$17)),(Q1194-INDEX($Q:$Q,Settings!$B$17))*100,NA()),NA())</f>
        <v/>
      </c>
      <c r="V1194" s="20">
        <f>IF(AND(ISNUMBER(R1194),Settings!$B$17&gt;0),IF(ISNUMBER(INDEX($R:$R,Settings!$B$17)),(R1194-INDEX($R:$R,Settings!$B$17))*100,NA()),NA())</f>
        <v/>
      </c>
      <c r="W1194" s="20">
        <f>IF(AND(ISNUMBER(P1194),Settings!$B$17&gt;0),IF(ISNUMBER(INDEX($P:$P,Settings!$B$17)),P1194-INDEX($P:$P,Settings!$B$17),NA()),NA())</f>
        <v/>
      </c>
      <c r="X1194" s="19">
        <f>IF(NOT(ISNUMBER($A1194)),NA(),IF(OR($A1194&lt;MIN(DKW_10Y!$A$2:$A$2918),$A1194&gt;MAX(DKW_10Y!$A$2:$A$2918),Settings!$B$16&lt;MIN(DKW_10Y!$A$2:$A$2918)),NA(),(INDEX(DKW_10Y!$B$2:$B$2918,MATCH($A1194,DKW_10Y!$A$2:$A$2918,1))-INDEX(DKW_10Y!$B$2:$B$2918,MATCH(Settings!$B$16,DKW_10Y!$A$2:$A$2918,1)))*100))</f>
        <v/>
      </c>
      <c r="Y1194" s="19">
        <f>IF(NOT(ISNUMBER($A1194)),NA(),IF(OR($A1194&lt;MIN(DKW_10Y!$A$2:$A$2918),$A1194&gt;MAX(DKW_10Y!$A$2:$A$2918),Settings!$B$16&lt;MIN(DKW_10Y!$A$2:$A$2918)),NA(),(INDEX(DKW_10Y!$C$2:$C$2918,MATCH($A1194,DKW_10Y!$A$2:$A$2918,1))-INDEX(DKW_10Y!$C$2:$C$2918,MATCH(Settings!$B$16,DKW_10Y!$A$2:$A$2918,1)))*100))</f>
        <v/>
      </c>
      <c r="Z1194" s="19">
        <f>IF(NOT(ISNUMBER($A1194)),NA(),IF(OR($A1194&lt;MIN(DKW_10Y!$A$2:$A$2918),$A1194&gt;MAX(DKW_10Y!$A$2:$A$2918),Settings!$B$16&lt;MIN(DKW_10Y!$A$2:$A$2918)),NA(),(INDEX(DKW_10Y!$D$2:$D$2918,MATCH($A1194,DKW_10Y!$A$2:$A$2918,1))-INDEX(DKW_10Y!$D$2:$D$2918,MATCH(Settings!$B$16,DKW_10Y!$A$2:$A$2918,1)))*100))</f>
        <v/>
      </c>
      <c r="AA1194" s="19">
        <f>IF(NOT(ISNUMBER($A1194)),NA(),IF(OR($A1194&lt;MIN(DKW_10Y!$A$2:$A$2918),$A1194&gt;MAX(DKW_10Y!$A$2:$A$2918),Settings!$B$16&lt;MIN(DKW_10Y!$A$2:$A$2918)),NA(),(INDEX(DKW_10Y!$E$2:$E$2918,MATCH($A1194,DKW_10Y!$A$2:$A$2918,1))-INDEX(DKW_10Y!$E$2:$E$2918,MATCH(Settings!$B$16,DKW_10Y!$A$2:$A$2918,1)))*100))</f>
        <v/>
      </c>
      <c r="AB1194" s="19">
        <f>IF(NOT(ISNUMBER($A1194)),NA(),IF(OR($A1194&lt;MIN(DKW_10Y!$A$2:$A$2918),$A1194&gt;MAX(DKW_10Y!$A$2:$A$2918),Settings!$B$16&lt;MIN(DKW_10Y!$A$2:$A$2918)),NA(),(INDEX(DKW_10Y!$H$2:$H$2918,MATCH($A1194,DKW_10Y!$A$2:$A$2918,1))-INDEX(DKW_10Y!$H$2:$H$2918,MATCH(Settings!$B$16,DKW_10Y!$A$2:$A$2918,1)))*100))</f>
        <v/>
      </c>
      <c r="AC1194" s="18">
        <f>IF(NOT(ISNUMBER($A1194)),NA(),IFERROR(1*INDEX(BBG_Data!$N$2:$N$4000,MATCH($A1194,BBG_Data!$M$2:$M$4000,0)),NA()))</f>
        <v/>
      </c>
      <c r="AD1194" s="18">
        <f>IF(NOT(ISNUMBER($A1194)),NA(),IFERROR(1*INDEX(BBG_Data!$P$2:$P$4000,MATCH($A1194,BBG_Data!$O$2:$O$4000,0)),NA()))</f>
        <v/>
      </c>
      <c r="AE1194" s="18">
        <f>IF(NOT(ISNUMBER($A1194)),NA(),IFERROR(1*INDEX(BBG_Data!$R$2:$R$4000,MATCH($A1194,BBG_Data!$Q$2:$Q$4000,0)),NA()))</f>
        <v/>
      </c>
      <c r="AF1194" s="20">
        <f>IF(AND(ISNUMBER(B1194),ISNUMBER(AC1194)),(B1194-AC1194)*100,NA())</f>
        <v/>
      </c>
      <c r="AG1194" s="20">
        <f>IF(AND(ISNUMBER(AE1194),ISNUMBER(AD1194)),(AE1194-AD1194)*100,NA())</f>
        <v/>
      </c>
      <c r="AH1194" s="19">
        <f>IF(NOT(ISNUMBER($A1194)),NA(),IFERROR(INDEX(BBG_Data!$T$2:$T$4000,MATCH($A1194,BBG_Data!$S$2:$S$4000,0))*Settings!$B$25,NA()))</f>
        <v/>
      </c>
      <c r="AI1194" s="19">
        <f>IF(NOT(ISNUMBER($A1194)),NA(),IFERROR(INDEX(BBG_Data!$V$2:$V$4000,MATCH($A1194,BBG_Data!$U$2:$U$4000,0))*Settings!$B$25,NA()))</f>
        <v/>
      </c>
      <c r="AJ1194" s="19">
        <f>IF(NOT(ISNUMBER($A1194)),NA(),IFERROR(1*INDEX(BBG_Data!$X$2:$X$4000,MATCH($A1194,BBG_Data!$W$2:$W$4000,0)),NA()))</f>
        <v/>
      </c>
      <c r="AK1194" s="19">
        <f>IF(NOT(ISNUMBER($A1194)),NA(),IFERROR(1*INDEX(BBG_Data!$Z$2:$Z$4000,MATCH($A1194,BBG_Data!$Y$2:$Y$4000,0)),NA()))</f>
        <v/>
      </c>
    </row>
    <row r="1195">
      <c r="A1195" s="17">
        <f>IF(ISNUMBER(BBG_Data!A1195),BBG_Data!A1195,"")</f>
        <v/>
      </c>
      <c r="B1195" s="18">
        <f>IF(AND(ISNUMBER($A1195),ISNUMBER(BBG_Data!B1195)),BBG_Data!B1195,NA())</f>
        <v/>
      </c>
      <c r="C1195" s="18">
        <f>IF(NOT(ISNUMBER($A1195)),NA(),IFERROR(1*INDEX(BBG_Data!$D$2:$D$4000,MATCH($A1195,BBG_Data!$C$2:$C$4000,0)),NA()))</f>
        <v/>
      </c>
      <c r="D1195" s="19">
        <f>IF(NOT(ISNUMBER($A1195)),NA(),IFERROR(1*INDEX(BBG_Data!$F$2:$F$4000,MATCH($A1195,BBG_Data!$E$2:$E$4000,0)),NA()))</f>
        <v/>
      </c>
      <c r="E1195" s="19">
        <f>IF(NOT(ISNUMBER($A1195)),NA(),IFERROR(1*INDEX(BBG_Data!$H$2:$H$4000,MATCH($A1195,BBG_Data!$G$2:$G$4000,0)),NA()))</f>
        <v/>
      </c>
      <c r="F1195" s="20">
        <f>IF(AND(ISNUMBER(B1195),ISNUMBER(B1194)),IF(B1195=B1194,"",(B1195-B1194)*100),"")</f>
        <v/>
      </c>
      <c r="G1195" s="20">
        <f>IF(AND(ISNUMBER(C1195),ISNUMBER(C1194)),IF(C1195=C1194,"",(C1195-C1194)*100),"")</f>
        <v/>
      </c>
      <c r="H1195" s="20">
        <f>IF(OR(NOT(ISNUMBER($A1195)),ROW()-2&lt;Settings!$B$11),NA(),IF(COUNT(OFFSET(F1195,1-Settings!$B$11,0,Settings!$B$11,1))&lt;ROUNDUP(Settings!$B$11*Settings!$B$26,0),NA(),STDEV(OFFSET(F1195,1-Settings!$B$11,0,Settings!$B$11,1))*SQRT(Settings!$B$13)))</f>
        <v/>
      </c>
      <c r="I1195" s="20">
        <f>IF(OR(NOT(ISNUMBER($A1195)),ROW()-2&lt;Settings!$B$12),NA(),IF(COUNT(OFFSET(F1195,1-Settings!$B$12,0,Settings!$B$12,1))&lt;ROUNDUP(Settings!$B$12*Settings!$B$26,0),NA(),STDEV(OFFSET(F1195,1-Settings!$B$12,0,Settings!$B$12,1))*SQRT(Settings!$B$13)))</f>
        <v/>
      </c>
      <c r="J1195" s="20">
        <f>IF(OR(NOT(ISNUMBER($A1195)),ROW()-2&lt;Settings!$B$11),NA(),IF(COUNT(OFFSET(G1195,1-Settings!$B$11,0,Settings!$B$11,1))&lt;ROUNDUP(Settings!$B$11*Settings!$B$26,0),NA(),STDEV(OFFSET(G1195,1-Settings!$B$11,0,Settings!$B$11,1))*SQRT(Settings!$B$13)))</f>
        <v/>
      </c>
      <c r="K1195" s="20">
        <f>IF(OR(NOT(ISNUMBER($A1195)),ROW()-2&lt;Settings!$B$12),NA(),IF(COUNT(OFFSET(G1195,1-Settings!$B$12,0,Settings!$B$12,1))&lt;ROUNDUP(Settings!$B$12*Settings!$B$26,0),NA(),STDEV(OFFSET(G1195,1-Settings!$B$12,0,Settings!$B$12,1))*SQRT(Settings!$B$13)))</f>
        <v/>
      </c>
      <c r="L1195" s="20">
        <f>IF(AND(ISNUMBER(D1195),ISNUMBER(H1195)),D1195-H1195,NA())</f>
        <v/>
      </c>
      <c r="M1195" s="20">
        <f>IF(AND(ISNUMBER(E1195),ISNUMBER(K1195)),E1195-K1195,NA())</f>
        <v/>
      </c>
      <c r="N1195" s="20">
        <f>IF(NOT(ISNUMBER($A1195)),NA(),IF(COUNT(OFFSET(G1195,1,0,Settings!$B$12,1))&lt;ROUNDUP(Settings!$B$12*Settings!$B$26,0),NA(),STDEV(OFFSET(G1195,1,0,Settings!$B$12,1))*SQRT(Settings!$B$13)))</f>
        <v/>
      </c>
      <c r="O1195" s="20">
        <f>IF(AND(ISNUMBER(E1195),ISNUMBER(N1195)),E1195-N1195,NA())</f>
        <v/>
      </c>
      <c r="P1195" s="19">
        <f>IF(NOT(ISNUMBER($A1195)),NA(),IF(OR($A1195&lt;MIN(KW_TP!$A$2:$A$2501),$A1195&gt;MAX(KW_TP!$A$2:$A$2501)),NA(),INDEX(KW_TP!$C$2:$C$2501,MATCH($A1195,KW_TP!$A$2:$A$2501,1))))</f>
        <v/>
      </c>
      <c r="Q1195" s="18">
        <f>IF(NOT(ISNUMBER($A1195)),NA(),IFERROR(1*INDEX(BBG_Data!$J$2:$J$4000,MATCH($A1195,BBG_Data!$I$2:$I$4000,0)),NA()))</f>
        <v/>
      </c>
      <c r="R1195" s="18">
        <f>IF(NOT(ISNUMBER($A1195)),NA(),IFERROR(1*INDEX(BBG_Data!$L$2:$L$4000,MATCH($A1195,BBG_Data!$K$2:$K$4000,0)),NA()))</f>
        <v/>
      </c>
      <c r="S1195" s="20">
        <f>IF(AND(ISNUMBER(B1195),ISNUMBER(Q1195),ISNUMBER(R1195)),(B1195-Q1195-R1195)*100,NA())</f>
        <v/>
      </c>
      <c r="T1195" s="20">
        <f>IF(AND(ISNUMBER(B1195),Settings!$B$17&gt;0),IF(ISNUMBER(INDEX($B:$B,Settings!$B$17)),(B1195-INDEX($B:$B,Settings!$B$17))*100,NA()),NA())</f>
        <v/>
      </c>
      <c r="U1195" s="20">
        <f>IF(AND(ISNUMBER(Q1195),Settings!$B$17&gt;0),IF(ISNUMBER(INDEX($Q:$Q,Settings!$B$17)),(Q1195-INDEX($Q:$Q,Settings!$B$17))*100,NA()),NA())</f>
        <v/>
      </c>
      <c r="V1195" s="20">
        <f>IF(AND(ISNUMBER(R1195),Settings!$B$17&gt;0),IF(ISNUMBER(INDEX($R:$R,Settings!$B$17)),(R1195-INDEX($R:$R,Settings!$B$17))*100,NA()),NA())</f>
        <v/>
      </c>
      <c r="W1195" s="20">
        <f>IF(AND(ISNUMBER(P1195),Settings!$B$17&gt;0),IF(ISNUMBER(INDEX($P:$P,Settings!$B$17)),P1195-INDEX($P:$P,Settings!$B$17),NA()),NA())</f>
        <v/>
      </c>
      <c r="X1195" s="19">
        <f>IF(NOT(ISNUMBER($A1195)),NA(),IF(OR($A1195&lt;MIN(DKW_10Y!$A$2:$A$2918),$A1195&gt;MAX(DKW_10Y!$A$2:$A$2918),Settings!$B$16&lt;MIN(DKW_10Y!$A$2:$A$2918)),NA(),(INDEX(DKW_10Y!$B$2:$B$2918,MATCH($A1195,DKW_10Y!$A$2:$A$2918,1))-INDEX(DKW_10Y!$B$2:$B$2918,MATCH(Settings!$B$16,DKW_10Y!$A$2:$A$2918,1)))*100))</f>
        <v/>
      </c>
      <c r="Y1195" s="19">
        <f>IF(NOT(ISNUMBER($A1195)),NA(),IF(OR($A1195&lt;MIN(DKW_10Y!$A$2:$A$2918),$A1195&gt;MAX(DKW_10Y!$A$2:$A$2918),Settings!$B$16&lt;MIN(DKW_10Y!$A$2:$A$2918)),NA(),(INDEX(DKW_10Y!$C$2:$C$2918,MATCH($A1195,DKW_10Y!$A$2:$A$2918,1))-INDEX(DKW_10Y!$C$2:$C$2918,MATCH(Settings!$B$16,DKW_10Y!$A$2:$A$2918,1)))*100))</f>
        <v/>
      </c>
      <c r="Z1195" s="19">
        <f>IF(NOT(ISNUMBER($A1195)),NA(),IF(OR($A1195&lt;MIN(DKW_10Y!$A$2:$A$2918),$A1195&gt;MAX(DKW_10Y!$A$2:$A$2918),Settings!$B$16&lt;MIN(DKW_10Y!$A$2:$A$2918)),NA(),(INDEX(DKW_10Y!$D$2:$D$2918,MATCH($A1195,DKW_10Y!$A$2:$A$2918,1))-INDEX(DKW_10Y!$D$2:$D$2918,MATCH(Settings!$B$16,DKW_10Y!$A$2:$A$2918,1)))*100))</f>
        <v/>
      </c>
      <c r="AA1195" s="19">
        <f>IF(NOT(ISNUMBER($A1195)),NA(),IF(OR($A1195&lt;MIN(DKW_10Y!$A$2:$A$2918),$A1195&gt;MAX(DKW_10Y!$A$2:$A$2918),Settings!$B$16&lt;MIN(DKW_10Y!$A$2:$A$2918)),NA(),(INDEX(DKW_10Y!$E$2:$E$2918,MATCH($A1195,DKW_10Y!$A$2:$A$2918,1))-INDEX(DKW_10Y!$E$2:$E$2918,MATCH(Settings!$B$16,DKW_10Y!$A$2:$A$2918,1)))*100))</f>
        <v/>
      </c>
      <c r="AB1195" s="19">
        <f>IF(NOT(ISNUMBER($A1195)),NA(),IF(OR($A1195&lt;MIN(DKW_10Y!$A$2:$A$2918),$A1195&gt;MAX(DKW_10Y!$A$2:$A$2918),Settings!$B$16&lt;MIN(DKW_10Y!$A$2:$A$2918)),NA(),(INDEX(DKW_10Y!$H$2:$H$2918,MATCH($A1195,DKW_10Y!$A$2:$A$2918,1))-INDEX(DKW_10Y!$H$2:$H$2918,MATCH(Settings!$B$16,DKW_10Y!$A$2:$A$2918,1)))*100))</f>
        <v/>
      </c>
      <c r="AC1195" s="18">
        <f>IF(NOT(ISNUMBER($A1195)),NA(),IFERROR(1*INDEX(BBG_Data!$N$2:$N$4000,MATCH($A1195,BBG_Data!$M$2:$M$4000,0)),NA()))</f>
        <v/>
      </c>
      <c r="AD1195" s="18">
        <f>IF(NOT(ISNUMBER($A1195)),NA(),IFERROR(1*INDEX(BBG_Data!$P$2:$P$4000,MATCH($A1195,BBG_Data!$O$2:$O$4000,0)),NA()))</f>
        <v/>
      </c>
      <c r="AE1195" s="18">
        <f>IF(NOT(ISNUMBER($A1195)),NA(),IFERROR(1*INDEX(BBG_Data!$R$2:$R$4000,MATCH($A1195,BBG_Data!$Q$2:$Q$4000,0)),NA()))</f>
        <v/>
      </c>
      <c r="AF1195" s="20">
        <f>IF(AND(ISNUMBER(B1195),ISNUMBER(AC1195)),(B1195-AC1195)*100,NA())</f>
        <v/>
      </c>
      <c r="AG1195" s="20">
        <f>IF(AND(ISNUMBER(AE1195),ISNUMBER(AD1195)),(AE1195-AD1195)*100,NA())</f>
        <v/>
      </c>
      <c r="AH1195" s="19">
        <f>IF(NOT(ISNUMBER($A1195)),NA(),IFERROR(INDEX(BBG_Data!$T$2:$T$4000,MATCH($A1195,BBG_Data!$S$2:$S$4000,0))*Settings!$B$25,NA()))</f>
        <v/>
      </c>
      <c r="AI1195" s="19">
        <f>IF(NOT(ISNUMBER($A1195)),NA(),IFERROR(INDEX(BBG_Data!$V$2:$V$4000,MATCH($A1195,BBG_Data!$U$2:$U$4000,0))*Settings!$B$25,NA()))</f>
        <v/>
      </c>
      <c r="AJ1195" s="19">
        <f>IF(NOT(ISNUMBER($A1195)),NA(),IFERROR(1*INDEX(BBG_Data!$X$2:$X$4000,MATCH($A1195,BBG_Data!$W$2:$W$4000,0)),NA()))</f>
        <v/>
      </c>
      <c r="AK1195" s="19">
        <f>IF(NOT(ISNUMBER($A1195)),NA(),IFERROR(1*INDEX(BBG_Data!$Z$2:$Z$4000,MATCH($A1195,BBG_Data!$Y$2:$Y$4000,0)),NA()))</f>
        <v/>
      </c>
    </row>
    <row r="1196">
      <c r="A1196" s="17">
        <f>IF(ISNUMBER(BBG_Data!A1196),BBG_Data!A1196,"")</f>
        <v/>
      </c>
      <c r="B1196" s="18">
        <f>IF(AND(ISNUMBER($A1196),ISNUMBER(BBG_Data!B1196)),BBG_Data!B1196,NA())</f>
        <v/>
      </c>
      <c r="C1196" s="18">
        <f>IF(NOT(ISNUMBER($A1196)),NA(),IFERROR(1*INDEX(BBG_Data!$D$2:$D$4000,MATCH($A1196,BBG_Data!$C$2:$C$4000,0)),NA()))</f>
        <v/>
      </c>
      <c r="D1196" s="19">
        <f>IF(NOT(ISNUMBER($A1196)),NA(),IFERROR(1*INDEX(BBG_Data!$F$2:$F$4000,MATCH($A1196,BBG_Data!$E$2:$E$4000,0)),NA()))</f>
        <v/>
      </c>
      <c r="E1196" s="19">
        <f>IF(NOT(ISNUMBER($A1196)),NA(),IFERROR(1*INDEX(BBG_Data!$H$2:$H$4000,MATCH($A1196,BBG_Data!$G$2:$G$4000,0)),NA()))</f>
        <v/>
      </c>
      <c r="F1196" s="20">
        <f>IF(AND(ISNUMBER(B1196),ISNUMBER(B1195)),IF(B1196=B1195,"",(B1196-B1195)*100),"")</f>
        <v/>
      </c>
      <c r="G1196" s="20">
        <f>IF(AND(ISNUMBER(C1196),ISNUMBER(C1195)),IF(C1196=C1195,"",(C1196-C1195)*100),"")</f>
        <v/>
      </c>
      <c r="H1196" s="20">
        <f>IF(OR(NOT(ISNUMBER($A1196)),ROW()-2&lt;Settings!$B$11),NA(),IF(COUNT(OFFSET(F1196,1-Settings!$B$11,0,Settings!$B$11,1))&lt;ROUNDUP(Settings!$B$11*Settings!$B$26,0),NA(),STDEV(OFFSET(F1196,1-Settings!$B$11,0,Settings!$B$11,1))*SQRT(Settings!$B$13)))</f>
        <v/>
      </c>
      <c r="I1196" s="20">
        <f>IF(OR(NOT(ISNUMBER($A1196)),ROW()-2&lt;Settings!$B$12),NA(),IF(COUNT(OFFSET(F1196,1-Settings!$B$12,0,Settings!$B$12,1))&lt;ROUNDUP(Settings!$B$12*Settings!$B$26,0),NA(),STDEV(OFFSET(F1196,1-Settings!$B$12,0,Settings!$B$12,1))*SQRT(Settings!$B$13)))</f>
        <v/>
      </c>
      <c r="J1196" s="20">
        <f>IF(OR(NOT(ISNUMBER($A1196)),ROW()-2&lt;Settings!$B$11),NA(),IF(COUNT(OFFSET(G1196,1-Settings!$B$11,0,Settings!$B$11,1))&lt;ROUNDUP(Settings!$B$11*Settings!$B$26,0),NA(),STDEV(OFFSET(G1196,1-Settings!$B$11,0,Settings!$B$11,1))*SQRT(Settings!$B$13)))</f>
        <v/>
      </c>
      <c r="K1196" s="20">
        <f>IF(OR(NOT(ISNUMBER($A1196)),ROW()-2&lt;Settings!$B$12),NA(),IF(COUNT(OFFSET(G1196,1-Settings!$B$12,0,Settings!$B$12,1))&lt;ROUNDUP(Settings!$B$12*Settings!$B$26,0),NA(),STDEV(OFFSET(G1196,1-Settings!$B$12,0,Settings!$B$12,1))*SQRT(Settings!$B$13)))</f>
        <v/>
      </c>
      <c r="L1196" s="20">
        <f>IF(AND(ISNUMBER(D1196),ISNUMBER(H1196)),D1196-H1196,NA())</f>
        <v/>
      </c>
      <c r="M1196" s="20">
        <f>IF(AND(ISNUMBER(E1196),ISNUMBER(K1196)),E1196-K1196,NA())</f>
        <v/>
      </c>
      <c r="N1196" s="20">
        <f>IF(NOT(ISNUMBER($A1196)),NA(),IF(COUNT(OFFSET(G1196,1,0,Settings!$B$12,1))&lt;ROUNDUP(Settings!$B$12*Settings!$B$26,0),NA(),STDEV(OFFSET(G1196,1,0,Settings!$B$12,1))*SQRT(Settings!$B$13)))</f>
        <v/>
      </c>
      <c r="O1196" s="20">
        <f>IF(AND(ISNUMBER(E1196),ISNUMBER(N1196)),E1196-N1196,NA())</f>
        <v/>
      </c>
      <c r="P1196" s="19">
        <f>IF(NOT(ISNUMBER($A1196)),NA(),IF(OR($A1196&lt;MIN(KW_TP!$A$2:$A$2501),$A1196&gt;MAX(KW_TP!$A$2:$A$2501)),NA(),INDEX(KW_TP!$C$2:$C$2501,MATCH($A1196,KW_TP!$A$2:$A$2501,1))))</f>
        <v/>
      </c>
      <c r="Q1196" s="18">
        <f>IF(NOT(ISNUMBER($A1196)),NA(),IFERROR(1*INDEX(BBG_Data!$J$2:$J$4000,MATCH($A1196,BBG_Data!$I$2:$I$4000,0)),NA()))</f>
        <v/>
      </c>
      <c r="R1196" s="18">
        <f>IF(NOT(ISNUMBER($A1196)),NA(),IFERROR(1*INDEX(BBG_Data!$L$2:$L$4000,MATCH($A1196,BBG_Data!$K$2:$K$4000,0)),NA()))</f>
        <v/>
      </c>
      <c r="S1196" s="20">
        <f>IF(AND(ISNUMBER(B1196),ISNUMBER(Q1196),ISNUMBER(R1196)),(B1196-Q1196-R1196)*100,NA())</f>
        <v/>
      </c>
      <c r="T1196" s="20">
        <f>IF(AND(ISNUMBER(B1196),Settings!$B$17&gt;0),IF(ISNUMBER(INDEX($B:$B,Settings!$B$17)),(B1196-INDEX($B:$B,Settings!$B$17))*100,NA()),NA())</f>
        <v/>
      </c>
      <c r="U1196" s="20">
        <f>IF(AND(ISNUMBER(Q1196),Settings!$B$17&gt;0),IF(ISNUMBER(INDEX($Q:$Q,Settings!$B$17)),(Q1196-INDEX($Q:$Q,Settings!$B$17))*100,NA()),NA())</f>
        <v/>
      </c>
      <c r="V1196" s="20">
        <f>IF(AND(ISNUMBER(R1196),Settings!$B$17&gt;0),IF(ISNUMBER(INDEX($R:$R,Settings!$B$17)),(R1196-INDEX($R:$R,Settings!$B$17))*100,NA()),NA())</f>
        <v/>
      </c>
      <c r="W1196" s="20">
        <f>IF(AND(ISNUMBER(P1196),Settings!$B$17&gt;0),IF(ISNUMBER(INDEX($P:$P,Settings!$B$17)),P1196-INDEX($P:$P,Settings!$B$17),NA()),NA())</f>
        <v/>
      </c>
      <c r="X1196" s="19">
        <f>IF(NOT(ISNUMBER($A1196)),NA(),IF(OR($A1196&lt;MIN(DKW_10Y!$A$2:$A$2918),$A1196&gt;MAX(DKW_10Y!$A$2:$A$2918),Settings!$B$16&lt;MIN(DKW_10Y!$A$2:$A$2918)),NA(),(INDEX(DKW_10Y!$B$2:$B$2918,MATCH($A1196,DKW_10Y!$A$2:$A$2918,1))-INDEX(DKW_10Y!$B$2:$B$2918,MATCH(Settings!$B$16,DKW_10Y!$A$2:$A$2918,1)))*100))</f>
        <v/>
      </c>
      <c r="Y1196" s="19">
        <f>IF(NOT(ISNUMBER($A1196)),NA(),IF(OR($A1196&lt;MIN(DKW_10Y!$A$2:$A$2918),$A1196&gt;MAX(DKW_10Y!$A$2:$A$2918),Settings!$B$16&lt;MIN(DKW_10Y!$A$2:$A$2918)),NA(),(INDEX(DKW_10Y!$C$2:$C$2918,MATCH($A1196,DKW_10Y!$A$2:$A$2918,1))-INDEX(DKW_10Y!$C$2:$C$2918,MATCH(Settings!$B$16,DKW_10Y!$A$2:$A$2918,1)))*100))</f>
        <v/>
      </c>
      <c r="Z1196" s="19">
        <f>IF(NOT(ISNUMBER($A1196)),NA(),IF(OR($A1196&lt;MIN(DKW_10Y!$A$2:$A$2918),$A1196&gt;MAX(DKW_10Y!$A$2:$A$2918),Settings!$B$16&lt;MIN(DKW_10Y!$A$2:$A$2918)),NA(),(INDEX(DKW_10Y!$D$2:$D$2918,MATCH($A1196,DKW_10Y!$A$2:$A$2918,1))-INDEX(DKW_10Y!$D$2:$D$2918,MATCH(Settings!$B$16,DKW_10Y!$A$2:$A$2918,1)))*100))</f>
        <v/>
      </c>
      <c r="AA1196" s="19">
        <f>IF(NOT(ISNUMBER($A1196)),NA(),IF(OR($A1196&lt;MIN(DKW_10Y!$A$2:$A$2918),$A1196&gt;MAX(DKW_10Y!$A$2:$A$2918),Settings!$B$16&lt;MIN(DKW_10Y!$A$2:$A$2918)),NA(),(INDEX(DKW_10Y!$E$2:$E$2918,MATCH($A1196,DKW_10Y!$A$2:$A$2918,1))-INDEX(DKW_10Y!$E$2:$E$2918,MATCH(Settings!$B$16,DKW_10Y!$A$2:$A$2918,1)))*100))</f>
        <v/>
      </c>
      <c r="AB1196" s="19">
        <f>IF(NOT(ISNUMBER($A1196)),NA(),IF(OR($A1196&lt;MIN(DKW_10Y!$A$2:$A$2918),$A1196&gt;MAX(DKW_10Y!$A$2:$A$2918),Settings!$B$16&lt;MIN(DKW_10Y!$A$2:$A$2918)),NA(),(INDEX(DKW_10Y!$H$2:$H$2918,MATCH($A1196,DKW_10Y!$A$2:$A$2918,1))-INDEX(DKW_10Y!$H$2:$H$2918,MATCH(Settings!$B$16,DKW_10Y!$A$2:$A$2918,1)))*100))</f>
        <v/>
      </c>
      <c r="AC1196" s="18">
        <f>IF(NOT(ISNUMBER($A1196)),NA(),IFERROR(1*INDEX(BBG_Data!$N$2:$N$4000,MATCH($A1196,BBG_Data!$M$2:$M$4000,0)),NA()))</f>
        <v/>
      </c>
      <c r="AD1196" s="18">
        <f>IF(NOT(ISNUMBER($A1196)),NA(),IFERROR(1*INDEX(BBG_Data!$P$2:$P$4000,MATCH($A1196,BBG_Data!$O$2:$O$4000,0)),NA()))</f>
        <v/>
      </c>
      <c r="AE1196" s="18">
        <f>IF(NOT(ISNUMBER($A1196)),NA(),IFERROR(1*INDEX(BBG_Data!$R$2:$R$4000,MATCH($A1196,BBG_Data!$Q$2:$Q$4000,0)),NA()))</f>
        <v/>
      </c>
      <c r="AF1196" s="20">
        <f>IF(AND(ISNUMBER(B1196),ISNUMBER(AC1196)),(B1196-AC1196)*100,NA())</f>
        <v/>
      </c>
      <c r="AG1196" s="20">
        <f>IF(AND(ISNUMBER(AE1196),ISNUMBER(AD1196)),(AE1196-AD1196)*100,NA())</f>
        <v/>
      </c>
      <c r="AH1196" s="19">
        <f>IF(NOT(ISNUMBER($A1196)),NA(),IFERROR(INDEX(BBG_Data!$T$2:$T$4000,MATCH($A1196,BBG_Data!$S$2:$S$4000,0))*Settings!$B$25,NA()))</f>
        <v/>
      </c>
      <c r="AI1196" s="19">
        <f>IF(NOT(ISNUMBER($A1196)),NA(),IFERROR(INDEX(BBG_Data!$V$2:$V$4000,MATCH($A1196,BBG_Data!$U$2:$U$4000,0))*Settings!$B$25,NA()))</f>
        <v/>
      </c>
      <c r="AJ1196" s="19">
        <f>IF(NOT(ISNUMBER($A1196)),NA(),IFERROR(1*INDEX(BBG_Data!$X$2:$X$4000,MATCH($A1196,BBG_Data!$W$2:$W$4000,0)),NA()))</f>
        <v/>
      </c>
      <c r="AK1196" s="19">
        <f>IF(NOT(ISNUMBER($A1196)),NA(),IFERROR(1*INDEX(BBG_Data!$Z$2:$Z$4000,MATCH($A1196,BBG_Data!$Y$2:$Y$4000,0)),NA()))</f>
        <v/>
      </c>
    </row>
    <row r="1197">
      <c r="A1197" s="17">
        <f>IF(ISNUMBER(BBG_Data!A1197),BBG_Data!A1197,"")</f>
        <v/>
      </c>
      <c r="B1197" s="18">
        <f>IF(AND(ISNUMBER($A1197),ISNUMBER(BBG_Data!B1197)),BBG_Data!B1197,NA())</f>
        <v/>
      </c>
      <c r="C1197" s="18">
        <f>IF(NOT(ISNUMBER($A1197)),NA(),IFERROR(1*INDEX(BBG_Data!$D$2:$D$4000,MATCH($A1197,BBG_Data!$C$2:$C$4000,0)),NA()))</f>
        <v/>
      </c>
      <c r="D1197" s="19">
        <f>IF(NOT(ISNUMBER($A1197)),NA(),IFERROR(1*INDEX(BBG_Data!$F$2:$F$4000,MATCH($A1197,BBG_Data!$E$2:$E$4000,0)),NA()))</f>
        <v/>
      </c>
      <c r="E1197" s="19">
        <f>IF(NOT(ISNUMBER($A1197)),NA(),IFERROR(1*INDEX(BBG_Data!$H$2:$H$4000,MATCH($A1197,BBG_Data!$G$2:$G$4000,0)),NA()))</f>
        <v/>
      </c>
      <c r="F1197" s="20">
        <f>IF(AND(ISNUMBER(B1197),ISNUMBER(B1196)),IF(B1197=B1196,"",(B1197-B1196)*100),"")</f>
        <v/>
      </c>
      <c r="G1197" s="20">
        <f>IF(AND(ISNUMBER(C1197),ISNUMBER(C1196)),IF(C1197=C1196,"",(C1197-C1196)*100),"")</f>
        <v/>
      </c>
      <c r="H1197" s="20">
        <f>IF(OR(NOT(ISNUMBER($A1197)),ROW()-2&lt;Settings!$B$11),NA(),IF(COUNT(OFFSET(F1197,1-Settings!$B$11,0,Settings!$B$11,1))&lt;ROUNDUP(Settings!$B$11*Settings!$B$26,0),NA(),STDEV(OFFSET(F1197,1-Settings!$B$11,0,Settings!$B$11,1))*SQRT(Settings!$B$13)))</f>
        <v/>
      </c>
      <c r="I1197" s="20">
        <f>IF(OR(NOT(ISNUMBER($A1197)),ROW()-2&lt;Settings!$B$12),NA(),IF(COUNT(OFFSET(F1197,1-Settings!$B$12,0,Settings!$B$12,1))&lt;ROUNDUP(Settings!$B$12*Settings!$B$26,0),NA(),STDEV(OFFSET(F1197,1-Settings!$B$12,0,Settings!$B$12,1))*SQRT(Settings!$B$13)))</f>
        <v/>
      </c>
      <c r="J1197" s="20">
        <f>IF(OR(NOT(ISNUMBER($A1197)),ROW()-2&lt;Settings!$B$11),NA(),IF(COUNT(OFFSET(G1197,1-Settings!$B$11,0,Settings!$B$11,1))&lt;ROUNDUP(Settings!$B$11*Settings!$B$26,0),NA(),STDEV(OFFSET(G1197,1-Settings!$B$11,0,Settings!$B$11,1))*SQRT(Settings!$B$13)))</f>
        <v/>
      </c>
      <c r="K1197" s="20">
        <f>IF(OR(NOT(ISNUMBER($A1197)),ROW()-2&lt;Settings!$B$12),NA(),IF(COUNT(OFFSET(G1197,1-Settings!$B$12,0,Settings!$B$12,1))&lt;ROUNDUP(Settings!$B$12*Settings!$B$26,0),NA(),STDEV(OFFSET(G1197,1-Settings!$B$12,0,Settings!$B$12,1))*SQRT(Settings!$B$13)))</f>
        <v/>
      </c>
      <c r="L1197" s="20">
        <f>IF(AND(ISNUMBER(D1197),ISNUMBER(H1197)),D1197-H1197,NA())</f>
        <v/>
      </c>
      <c r="M1197" s="20">
        <f>IF(AND(ISNUMBER(E1197),ISNUMBER(K1197)),E1197-K1197,NA())</f>
        <v/>
      </c>
      <c r="N1197" s="20">
        <f>IF(NOT(ISNUMBER($A1197)),NA(),IF(COUNT(OFFSET(G1197,1,0,Settings!$B$12,1))&lt;ROUNDUP(Settings!$B$12*Settings!$B$26,0),NA(),STDEV(OFFSET(G1197,1,0,Settings!$B$12,1))*SQRT(Settings!$B$13)))</f>
        <v/>
      </c>
      <c r="O1197" s="20">
        <f>IF(AND(ISNUMBER(E1197),ISNUMBER(N1197)),E1197-N1197,NA())</f>
        <v/>
      </c>
      <c r="P1197" s="19">
        <f>IF(NOT(ISNUMBER($A1197)),NA(),IF(OR($A1197&lt;MIN(KW_TP!$A$2:$A$2501),$A1197&gt;MAX(KW_TP!$A$2:$A$2501)),NA(),INDEX(KW_TP!$C$2:$C$2501,MATCH($A1197,KW_TP!$A$2:$A$2501,1))))</f>
        <v/>
      </c>
      <c r="Q1197" s="18">
        <f>IF(NOT(ISNUMBER($A1197)),NA(),IFERROR(1*INDEX(BBG_Data!$J$2:$J$4000,MATCH($A1197,BBG_Data!$I$2:$I$4000,0)),NA()))</f>
        <v/>
      </c>
      <c r="R1197" s="18">
        <f>IF(NOT(ISNUMBER($A1197)),NA(),IFERROR(1*INDEX(BBG_Data!$L$2:$L$4000,MATCH($A1197,BBG_Data!$K$2:$K$4000,0)),NA()))</f>
        <v/>
      </c>
      <c r="S1197" s="20">
        <f>IF(AND(ISNUMBER(B1197),ISNUMBER(Q1197),ISNUMBER(R1197)),(B1197-Q1197-R1197)*100,NA())</f>
        <v/>
      </c>
      <c r="T1197" s="20">
        <f>IF(AND(ISNUMBER(B1197),Settings!$B$17&gt;0),IF(ISNUMBER(INDEX($B:$B,Settings!$B$17)),(B1197-INDEX($B:$B,Settings!$B$17))*100,NA()),NA())</f>
        <v/>
      </c>
      <c r="U1197" s="20">
        <f>IF(AND(ISNUMBER(Q1197),Settings!$B$17&gt;0),IF(ISNUMBER(INDEX($Q:$Q,Settings!$B$17)),(Q1197-INDEX($Q:$Q,Settings!$B$17))*100,NA()),NA())</f>
        <v/>
      </c>
      <c r="V1197" s="20">
        <f>IF(AND(ISNUMBER(R1197),Settings!$B$17&gt;0),IF(ISNUMBER(INDEX($R:$R,Settings!$B$17)),(R1197-INDEX($R:$R,Settings!$B$17))*100,NA()),NA())</f>
        <v/>
      </c>
      <c r="W1197" s="20">
        <f>IF(AND(ISNUMBER(P1197),Settings!$B$17&gt;0),IF(ISNUMBER(INDEX($P:$P,Settings!$B$17)),P1197-INDEX($P:$P,Settings!$B$17),NA()),NA())</f>
        <v/>
      </c>
      <c r="X1197" s="19">
        <f>IF(NOT(ISNUMBER($A1197)),NA(),IF(OR($A1197&lt;MIN(DKW_10Y!$A$2:$A$2918),$A1197&gt;MAX(DKW_10Y!$A$2:$A$2918),Settings!$B$16&lt;MIN(DKW_10Y!$A$2:$A$2918)),NA(),(INDEX(DKW_10Y!$B$2:$B$2918,MATCH($A1197,DKW_10Y!$A$2:$A$2918,1))-INDEX(DKW_10Y!$B$2:$B$2918,MATCH(Settings!$B$16,DKW_10Y!$A$2:$A$2918,1)))*100))</f>
        <v/>
      </c>
      <c r="Y1197" s="19">
        <f>IF(NOT(ISNUMBER($A1197)),NA(),IF(OR($A1197&lt;MIN(DKW_10Y!$A$2:$A$2918),$A1197&gt;MAX(DKW_10Y!$A$2:$A$2918),Settings!$B$16&lt;MIN(DKW_10Y!$A$2:$A$2918)),NA(),(INDEX(DKW_10Y!$C$2:$C$2918,MATCH($A1197,DKW_10Y!$A$2:$A$2918,1))-INDEX(DKW_10Y!$C$2:$C$2918,MATCH(Settings!$B$16,DKW_10Y!$A$2:$A$2918,1)))*100))</f>
        <v/>
      </c>
      <c r="Z1197" s="19">
        <f>IF(NOT(ISNUMBER($A1197)),NA(),IF(OR($A1197&lt;MIN(DKW_10Y!$A$2:$A$2918),$A1197&gt;MAX(DKW_10Y!$A$2:$A$2918),Settings!$B$16&lt;MIN(DKW_10Y!$A$2:$A$2918)),NA(),(INDEX(DKW_10Y!$D$2:$D$2918,MATCH($A1197,DKW_10Y!$A$2:$A$2918,1))-INDEX(DKW_10Y!$D$2:$D$2918,MATCH(Settings!$B$16,DKW_10Y!$A$2:$A$2918,1)))*100))</f>
        <v/>
      </c>
      <c r="AA1197" s="19">
        <f>IF(NOT(ISNUMBER($A1197)),NA(),IF(OR($A1197&lt;MIN(DKW_10Y!$A$2:$A$2918),$A1197&gt;MAX(DKW_10Y!$A$2:$A$2918),Settings!$B$16&lt;MIN(DKW_10Y!$A$2:$A$2918)),NA(),(INDEX(DKW_10Y!$E$2:$E$2918,MATCH($A1197,DKW_10Y!$A$2:$A$2918,1))-INDEX(DKW_10Y!$E$2:$E$2918,MATCH(Settings!$B$16,DKW_10Y!$A$2:$A$2918,1)))*100))</f>
        <v/>
      </c>
      <c r="AB1197" s="19">
        <f>IF(NOT(ISNUMBER($A1197)),NA(),IF(OR($A1197&lt;MIN(DKW_10Y!$A$2:$A$2918),$A1197&gt;MAX(DKW_10Y!$A$2:$A$2918),Settings!$B$16&lt;MIN(DKW_10Y!$A$2:$A$2918)),NA(),(INDEX(DKW_10Y!$H$2:$H$2918,MATCH($A1197,DKW_10Y!$A$2:$A$2918,1))-INDEX(DKW_10Y!$H$2:$H$2918,MATCH(Settings!$B$16,DKW_10Y!$A$2:$A$2918,1)))*100))</f>
        <v/>
      </c>
      <c r="AC1197" s="18">
        <f>IF(NOT(ISNUMBER($A1197)),NA(),IFERROR(1*INDEX(BBG_Data!$N$2:$N$4000,MATCH($A1197,BBG_Data!$M$2:$M$4000,0)),NA()))</f>
        <v/>
      </c>
      <c r="AD1197" s="18">
        <f>IF(NOT(ISNUMBER($A1197)),NA(),IFERROR(1*INDEX(BBG_Data!$P$2:$P$4000,MATCH($A1197,BBG_Data!$O$2:$O$4000,0)),NA()))</f>
        <v/>
      </c>
      <c r="AE1197" s="18">
        <f>IF(NOT(ISNUMBER($A1197)),NA(),IFERROR(1*INDEX(BBG_Data!$R$2:$R$4000,MATCH($A1197,BBG_Data!$Q$2:$Q$4000,0)),NA()))</f>
        <v/>
      </c>
      <c r="AF1197" s="20">
        <f>IF(AND(ISNUMBER(B1197),ISNUMBER(AC1197)),(B1197-AC1197)*100,NA())</f>
        <v/>
      </c>
      <c r="AG1197" s="20">
        <f>IF(AND(ISNUMBER(AE1197),ISNUMBER(AD1197)),(AE1197-AD1197)*100,NA())</f>
        <v/>
      </c>
      <c r="AH1197" s="19">
        <f>IF(NOT(ISNUMBER($A1197)),NA(),IFERROR(INDEX(BBG_Data!$T$2:$T$4000,MATCH($A1197,BBG_Data!$S$2:$S$4000,0))*Settings!$B$25,NA()))</f>
        <v/>
      </c>
      <c r="AI1197" s="19">
        <f>IF(NOT(ISNUMBER($A1197)),NA(),IFERROR(INDEX(BBG_Data!$V$2:$V$4000,MATCH($A1197,BBG_Data!$U$2:$U$4000,0))*Settings!$B$25,NA()))</f>
        <v/>
      </c>
      <c r="AJ1197" s="19">
        <f>IF(NOT(ISNUMBER($A1197)),NA(),IFERROR(1*INDEX(BBG_Data!$X$2:$X$4000,MATCH($A1197,BBG_Data!$W$2:$W$4000,0)),NA()))</f>
        <v/>
      </c>
      <c r="AK1197" s="19">
        <f>IF(NOT(ISNUMBER($A1197)),NA(),IFERROR(1*INDEX(BBG_Data!$Z$2:$Z$4000,MATCH($A1197,BBG_Data!$Y$2:$Y$4000,0)),NA()))</f>
        <v/>
      </c>
    </row>
    <row r="1198">
      <c r="A1198" s="17">
        <f>IF(ISNUMBER(BBG_Data!A1198),BBG_Data!A1198,"")</f>
        <v/>
      </c>
      <c r="B1198" s="18">
        <f>IF(AND(ISNUMBER($A1198),ISNUMBER(BBG_Data!B1198)),BBG_Data!B1198,NA())</f>
        <v/>
      </c>
      <c r="C1198" s="18">
        <f>IF(NOT(ISNUMBER($A1198)),NA(),IFERROR(1*INDEX(BBG_Data!$D$2:$D$4000,MATCH($A1198,BBG_Data!$C$2:$C$4000,0)),NA()))</f>
        <v/>
      </c>
      <c r="D1198" s="19">
        <f>IF(NOT(ISNUMBER($A1198)),NA(),IFERROR(1*INDEX(BBG_Data!$F$2:$F$4000,MATCH($A1198,BBG_Data!$E$2:$E$4000,0)),NA()))</f>
        <v/>
      </c>
      <c r="E1198" s="19">
        <f>IF(NOT(ISNUMBER($A1198)),NA(),IFERROR(1*INDEX(BBG_Data!$H$2:$H$4000,MATCH($A1198,BBG_Data!$G$2:$G$4000,0)),NA()))</f>
        <v/>
      </c>
      <c r="F1198" s="20">
        <f>IF(AND(ISNUMBER(B1198),ISNUMBER(B1197)),IF(B1198=B1197,"",(B1198-B1197)*100),"")</f>
        <v/>
      </c>
      <c r="G1198" s="20">
        <f>IF(AND(ISNUMBER(C1198),ISNUMBER(C1197)),IF(C1198=C1197,"",(C1198-C1197)*100),"")</f>
        <v/>
      </c>
      <c r="H1198" s="20">
        <f>IF(OR(NOT(ISNUMBER($A1198)),ROW()-2&lt;Settings!$B$11),NA(),IF(COUNT(OFFSET(F1198,1-Settings!$B$11,0,Settings!$B$11,1))&lt;ROUNDUP(Settings!$B$11*Settings!$B$26,0),NA(),STDEV(OFFSET(F1198,1-Settings!$B$11,0,Settings!$B$11,1))*SQRT(Settings!$B$13)))</f>
        <v/>
      </c>
      <c r="I1198" s="20">
        <f>IF(OR(NOT(ISNUMBER($A1198)),ROW()-2&lt;Settings!$B$12),NA(),IF(COUNT(OFFSET(F1198,1-Settings!$B$12,0,Settings!$B$12,1))&lt;ROUNDUP(Settings!$B$12*Settings!$B$26,0),NA(),STDEV(OFFSET(F1198,1-Settings!$B$12,0,Settings!$B$12,1))*SQRT(Settings!$B$13)))</f>
        <v/>
      </c>
      <c r="J1198" s="20">
        <f>IF(OR(NOT(ISNUMBER($A1198)),ROW()-2&lt;Settings!$B$11),NA(),IF(COUNT(OFFSET(G1198,1-Settings!$B$11,0,Settings!$B$11,1))&lt;ROUNDUP(Settings!$B$11*Settings!$B$26,0),NA(),STDEV(OFFSET(G1198,1-Settings!$B$11,0,Settings!$B$11,1))*SQRT(Settings!$B$13)))</f>
        <v/>
      </c>
      <c r="K1198" s="20">
        <f>IF(OR(NOT(ISNUMBER($A1198)),ROW()-2&lt;Settings!$B$12),NA(),IF(COUNT(OFFSET(G1198,1-Settings!$B$12,0,Settings!$B$12,1))&lt;ROUNDUP(Settings!$B$12*Settings!$B$26,0),NA(),STDEV(OFFSET(G1198,1-Settings!$B$12,0,Settings!$B$12,1))*SQRT(Settings!$B$13)))</f>
        <v/>
      </c>
      <c r="L1198" s="20">
        <f>IF(AND(ISNUMBER(D1198),ISNUMBER(H1198)),D1198-H1198,NA())</f>
        <v/>
      </c>
      <c r="M1198" s="20">
        <f>IF(AND(ISNUMBER(E1198),ISNUMBER(K1198)),E1198-K1198,NA())</f>
        <v/>
      </c>
      <c r="N1198" s="20">
        <f>IF(NOT(ISNUMBER($A1198)),NA(),IF(COUNT(OFFSET(G1198,1,0,Settings!$B$12,1))&lt;ROUNDUP(Settings!$B$12*Settings!$B$26,0),NA(),STDEV(OFFSET(G1198,1,0,Settings!$B$12,1))*SQRT(Settings!$B$13)))</f>
        <v/>
      </c>
      <c r="O1198" s="20">
        <f>IF(AND(ISNUMBER(E1198),ISNUMBER(N1198)),E1198-N1198,NA())</f>
        <v/>
      </c>
      <c r="P1198" s="19">
        <f>IF(NOT(ISNUMBER($A1198)),NA(),IF(OR($A1198&lt;MIN(KW_TP!$A$2:$A$2501),$A1198&gt;MAX(KW_TP!$A$2:$A$2501)),NA(),INDEX(KW_TP!$C$2:$C$2501,MATCH($A1198,KW_TP!$A$2:$A$2501,1))))</f>
        <v/>
      </c>
      <c r="Q1198" s="18">
        <f>IF(NOT(ISNUMBER($A1198)),NA(),IFERROR(1*INDEX(BBG_Data!$J$2:$J$4000,MATCH($A1198,BBG_Data!$I$2:$I$4000,0)),NA()))</f>
        <v/>
      </c>
      <c r="R1198" s="18">
        <f>IF(NOT(ISNUMBER($A1198)),NA(),IFERROR(1*INDEX(BBG_Data!$L$2:$L$4000,MATCH($A1198,BBG_Data!$K$2:$K$4000,0)),NA()))</f>
        <v/>
      </c>
      <c r="S1198" s="20">
        <f>IF(AND(ISNUMBER(B1198),ISNUMBER(Q1198),ISNUMBER(R1198)),(B1198-Q1198-R1198)*100,NA())</f>
        <v/>
      </c>
      <c r="T1198" s="20">
        <f>IF(AND(ISNUMBER(B1198),Settings!$B$17&gt;0),IF(ISNUMBER(INDEX($B:$B,Settings!$B$17)),(B1198-INDEX($B:$B,Settings!$B$17))*100,NA()),NA())</f>
        <v/>
      </c>
      <c r="U1198" s="20">
        <f>IF(AND(ISNUMBER(Q1198),Settings!$B$17&gt;0),IF(ISNUMBER(INDEX($Q:$Q,Settings!$B$17)),(Q1198-INDEX($Q:$Q,Settings!$B$17))*100,NA()),NA())</f>
        <v/>
      </c>
      <c r="V1198" s="20">
        <f>IF(AND(ISNUMBER(R1198),Settings!$B$17&gt;0),IF(ISNUMBER(INDEX($R:$R,Settings!$B$17)),(R1198-INDEX($R:$R,Settings!$B$17))*100,NA()),NA())</f>
        <v/>
      </c>
      <c r="W1198" s="20">
        <f>IF(AND(ISNUMBER(P1198),Settings!$B$17&gt;0),IF(ISNUMBER(INDEX($P:$P,Settings!$B$17)),P1198-INDEX($P:$P,Settings!$B$17),NA()),NA())</f>
        <v/>
      </c>
      <c r="X1198" s="19">
        <f>IF(NOT(ISNUMBER($A1198)),NA(),IF(OR($A1198&lt;MIN(DKW_10Y!$A$2:$A$2918),$A1198&gt;MAX(DKW_10Y!$A$2:$A$2918),Settings!$B$16&lt;MIN(DKW_10Y!$A$2:$A$2918)),NA(),(INDEX(DKW_10Y!$B$2:$B$2918,MATCH($A1198,DKW_10Y!$A$2:$A$2918,1))-INDEX(DKW_10Y!$B$2:$B$2918,MATCH(Settings!$B$16,DKW_10Y!$A$2:$A$2918,1)))*100))</f>
        <v/>
      </c>
      <c r="Y1198" s="19">
        <f>IF(NOT(ISNUMBER($A1198)),NA(),IF(OR($A1198&lt;MIN(DKW_10Y!$A$2:$A$2918),$A1198&gt;MAX(DKW_10Y!$A$2:$A$2918),Settings!$B$16&lt;MIN(DKW_10Y!$A$2:$A$2918)),NA(),(INDEX(DKW_10Y!$C$2:$C$2918,MATCH($A1198,DKW_10Y!$A$2:$A$2918,1))-INDEX(DKW_10Y!$C$2:$C$2918,MATCH(Settings!$B$16,DKW_10Y!$A$2:$A$2918,1)))*100))</f>
        <v/>
      </c>
      <c r="Z1198" s="19">
        <f>IF(NOT(ISNUMBER($A1198)),NA(),IF(OR($A1198&lt;MIN(DKW_10Y!$A$2:$A$2918),$A1198&gt;MAX(DKW_10Y!$A$2:$A$2918),Settings!$B$16&lt;MIN(DKW_10Y!$A$2:$A$2918)),NA(),(INDEX(DKW_10Y!$D$2:$D$2918,MATCH($A1198,DKW_10Y!$A$2:$A$2918,1))-INDEX(DKW_10Y!$D$2:$D$2918,MATCH(Settings!$B$16,DKW_10Y!$A$2:$A$2918,1)))*100))</f>
        <v/>
      </c>
      <c r="AA1198" s="19">
        <f>IF(NOT(ISNUMBER($A1198)),NA(),IF(OR($A1198&lt;MIN(DKW_10Y!$A$2:$A$2918),$A1198&gt;MAX(DKW_10Y!$A$2:$A$2918),Settings!$B$16&lt;MIN(DKW_10Y!$A$2:$A$2918)),NA(),(INDEX(DKW_10Y!$E$2:$E$2918,MATCH($A1198,DKW_10Y!$A$2:$A$2918,1))-INDEX(DKW_10Y!$E$2:$E$2918,MATCH(Settings!$B$16,DKW_10Y!$A$2:$A$2918,1)))*100))</f>
        <v/>
      </c>
      <c r="AB1198" s="19">
        <f>IF(NOT(ISNUMBER($A1198)),NA(),IF(OR($A1198&lt;MIN(DKW_10Y!$A$2:$A$2918),$A1198&gt;MAX(DKW_10Y!$A$2:$A$2918),Settings!$B$16&lt;MIN(DKW_10Y!$A$2:$A$2918)),NA(),(INDEX(DKW_10Y!$H$2:$H$2918,MATCH($A1198,DKW_10Y!$A$2:$A$2918,1))-INDEX(DKW_10Y!$H$2:$H$2918,MATCH(Settings!$B$16,DKW_10Y!$A$2:$A$2918,1)))*100))</f>
        <v/>
      </c>
      <c r="AC1198" s="18">
        <f>IF(NOT(ISNUMBER($A1198)),NA(),IFERROR(1*INDEX(BBG_Data!$N$2:$N$4000,MATCH($A1198,BBG_Data!$M$2:$M$4000,0)),NA()))</f>
        <v/>
      </c>
      <c r="AD1198" s="18">
        <f>IF(NOT(ISNUMBER($A1198)),NA(),IFERROR(1*INDEX(BBG_Data!$P$2:$P$4000,MATCH($A1198,BBG_Data!$O$2:$O$4000,0)),NA()))</f>
        <v/>
      </c>
      <c r="AE1198" s="18">
        <f>IF(NOT(ISNUMBER($A1198)),NA(),IFERROR(1*INDEX(BBG_Data!$R$2:$R$4000,MATCH($A1198,BBG_Data!$Q$2:$Q$4000,0)),NA()))</f>
        <v/>
      </c>
      <c r="AF1198" s="20">
        <f>IF(AND(ISNUMBER(B1198),ISNUMBER(AC1198)),(B1198-AC1198)*100,NA())</f>
        <v/>
      </c>
      <c r="AG1198" s="20">
        <f>IF(AND(ISNUMBER(AE1198),ISNUMBER(AD1198)),(AE1198-AD1198)*100,NA())</f>
        <v/>
      </c>
      <c r="AH1198" s="19">
        <f>IF(NOT(ISNUMBER($A1198)),NA(),IFERROR(INDEX(BBG_Data!$T$2:$T$4000,MATCH($A1198,BBG_Data!$S$2:$S$4000,0))*Settings!$B$25,NA()))</f>
        <v/>
      </c>
      <c r="AI1198" s="19">
        <f>IF(NOT(ISNUMBER($A1198)),NA(),IFERROR(INDEX(BBG_Data!$V$2:$V$4000,MATCH($A1198,BBG_Data!$U$2:$U$4000,0))*Settings!$B$25,NA()))</f>
        <v/>
      </c>
      <c r="AJ1198" s="19">
        <f>IF(NOT(ISNUMBER($A1198)),NA(),IFERROR(1*INDEX(BBG_Data!$X$2:$X$4000,MATCH($A1198,BBG_Data!$W$2:$W$4000,0)),NA()))</f>
        <v/>
      </c>
      <c r="AK1198" s="19">
        <f>IF(NOT(ISNUMBER($A1198)),NA(),IFERROR(1*INDEX(BBG_Data!$Z$2:$Z$4000,MATCH($A1198,BBG_Data!$Y$2:$Y$4000,0)),NA()))</f>
        <v/>
      </c>
    </row>
    <row r="1199">
      <c r="A1199" s="17">
        <f>IF(ISNUMBER(BBG_Data!A1199),BBG_Data!A1199,"")</f>
        <v/>
      </c>
      <c r="B1199" s="18">
        <f>IF(AND(ISNUMBER($A1199),ISNUMBER(BBG_Data!B1199)),BBG_Data!B1199,NA())</f>
        <v/>
      </c>
      <c r="C1199" s="18">
        <f>IF(NOT(ISNUMBER($A1199)),NA(),IFERROR(1*INDEX(BBG_Data!$D$2:$D$4000,MATCH($A1199,BBG_Data!$C$2:$C$4000,0)),NA()))</f>
        <v/>
      </c>
      <c r="D1199" s="19">
        <f>IF(NOT(ISNUMBER($A1199)),NA(),IFERROR(1*INDEX(BBG_Data!$F$2:$F$4000,MATCH($A1199,BBG_Data!$E$2:$E$4000,0)),NA()))</f>
        <v/>
      </c>
      <c r="E1199" s="19">
        <f>IF(NOT(ISNUMBER($A1199)),NA(),IFERROR(1*INDEX(BBG_Data!$H$2:$H$4000,MATCH($A1199,BBG_Data!$G$2:$G$4000,0)),NA()))</f>
        <v/>
      </c>
      <c r="F1199" s="20">
        <f>IF(AND(ISNUMBER(B1199),ISNUMBER(B1198)),IF(B1199=B1198,"",(B1199-B1198)*100),"")</f>
        <v/>
      </c>
      <c r="G1199" s="20">
        <f>IF(AND(ISNUMBER(C1199),ISNUMBER(C1198)),IF(C1199=C1198,"",(C1199-C1198)*100),"")</f>
        <v/>
      </c>
      <c r="H1199" s="20">
        <f>IF(OR(NOT(ISNUMBER($A1199)),ROW()-2&lt;Settings!$B$11),NA(),IF(COUNT(OFFSET(F1199,1-Settings!$B$11,0,Settings!$B$11,1))&lt;ROUNDUP(Settings!$B$11*Settings!$B$26,0),NA(),STDEV(OFFSET(F1199,1-Settings!$B$11,0,Settings!$B$11,1))*SQRT(Settings!$B$13)))</f>
        <v/>
      </c>
      <c r="I1199" s="20">
        <f>IF(OR(NOT(ISNUMBER($A1199)),ROW()-2&lt;Settings!$B$12),NA(),IF(COUNT(OFFSET(F1199,1-Settings!$B$12,0,Settings!$B$12,1))&lt;ROUNDUP(Settings!$B$12*Settings!$B$26,0),NA(),STDEV(OFFSET(F1199,1-Settings!$B$12,0,Settings!$B$12,1))*SQRT(Settings!$B$13)))</f>
        <v/>
      </c>
      <c r="J1199" s="20">
        <f>IF(OR(NOT(ISNUMBER($A1199)),ROW()-2&lt;Settings!$B$11),NA(),IF(COUNT(OFFSET(G1199,1-Settings!$B$11,0,Settings!$B$11,1))&lt;ROUNDUP(Settings!$B$11*Settings!$B$26,0),NA(),STDEV(OFFSET(G1199,1-Settings!$B$11,0,Settings!$B$11,1))*SQRT(Settings!$B$13)))</f>
        <v/>
      </c>
      <c r="K1199" s="20">
        <f>IF(OR(NOT(ISNUMBER($A1199)),ROW()-2&lt;Settings!$B$12),NA(),IF(COUNT(OFFSET(G1199,1-Settings!$B$12,0,Settings!$B$12,1))&lt;ROUNDUP(Settings!$B$12*Settings!$B$26,0),NA(),STDEV(OFFSET(G1199,1-Settings!$B$12,0,Settings!$B$12,1))*SQRT(Settings!$B$13)))</f>
        <v/>
      </c>
      <c r="L1199" s="20">
        <f>IF(AND(ISNUMBER(D1199),ISNUMBER(H1199)),D1199-H1199,NA())</f>
        <v/>
      </c>
      <c r="M1199" s="20">
        <f>IF(AND(ISNUMBER(E1199),ISNUMBER(K1199)),E1199-K1199,NA())</f>
        <v/>
      </c>
      <c r="N1199" s="20">
        <f>IF(NOT(ISNUMBER($A1199)),NA(),IF(COUNT(OFFSET(G1199,1,0,Settings!$B$12,1))&lt;ROUNDUP(Settings!$B$12*Settings!$B$26,0),NA(),STDEV(OFFSET(G1199,1,0,Settings!$B$12,1))*SQRT(Settings!$B$13)))</f>
        <v/>
      </c>
      <c r="O1199" s="20">
        <f>IF(AND(ISNUMBER(E1199),ISNUMBER(N1199)),E1199-N1199,NA())</f>
        <v/>
      </c>
      <c r="P1199" s="19">
        <f>IF(NOT(ISNUMBER($A1199)),NA(),IF(OR($A1199&lt;MIN(KW_TP!$A$2:$A$2501),$A1199&gt;MAX(KW_TP!$A$2:$A$2501)),NA(),INDEX(KW_TP!$C$2:$C$2501,MATCH($A1199,KW_TP!$A$2:$A$2501,1))))</f>
        <v/>
      </c>
      <c r="Q1199" s="18">
        <f>IF(NOT(ISNUMBER($A1199)),NA(),IFERROR(1*INDEX(BBG_Data!$J$2:$J$4000,MATCH($A1199,BBG_Data!$I$2:$I$4000,0)),NA()))</f>
        <v/>
      </c>
      <c r="R1199" s="18">
        <f>IF(NOT(ISNUMBER($A1199)),NA(),IFERROR(1*INDEX(BBG_Data!$L$2:$L$4000,MATCH($A1199,BBG_Data!$K$2:$K$4000,0)),NA()))</f>
        <v/>
      </c>
      <c r="S1199" s="20">
        <f>IF(AND(ISNUMBER(B1199),ISNUMBER(Q1199),ISNUMBER(R1199)),(B1199-Q1199-R1199)*100,NA())</f>
        <v/>
      </c>
      <c r="T1199" s="20">
        <f>IF(AND(ISNUMBER(B1199),Settings!$B$17&gt;0),IF(ISNUMBER(INDEX($B:$B,Settings!$B$17)),(B1199-INDEX($B:$B,Settings!$B$17))*100,NA()),NA())</f>
        <v/>
      </c>
      <c r="U1199" s="20">
        <f>IF(AND(ISNUMBER(Q1199),Settings!$B$17&gt;0),IF(ISNUMBER(INDEX($Q:$Q,Settings!$B$17)),(Q1199-INDEX($Q:$Q,Settings!$B$17))*100,NA()),NA())</f>
        <v/>
      </c>
      <c r="V1199" s="20">
        <f>IF(AND(ISNUMBER(R1199),Settings!$B$17&gt;0),IF(ISNUMBER(INDEX($R:$R,Settings!$B$17)),(R1199-INDEX($R:$R,Settings!$B$17))*100,NA()),NA())</f>
        <v/>
      </c>
      <c r="W1199" s="20">
        <f>IF(AND(ISNUMBER(P1199),Settings!$B$17&gt;0),IF(ISNUMBER(INDEX($P:$P,Settings!$B$17)),P1199-INDEX($P:$P,Settings!$B$17),NA()),NA())</f>
        <v/>
      </c>
      <c r="X1199" s="19">
        <f>IF(NOT(ISNUMBER($A1199)),NA(),IF(OR($A1199&lt;MIN(DKW_10Y!$A$2:$A$2918),$A1199&gt;MAX(DKW_10Y!$A$2:$A$2918),Settings!$B$16&lt;MIN(DKW_10Y!$A$2:$A$2918)),NA(),(INDEX(DKW_10Y!$B$2:$B$2918,MATCH($A1199,DKW_10Y!$A$2:$A$2918,1))-INDEX(DKW_10Y!$B$2:$B$2918,MATCH(Settings!$B$16,DKW_10Y!$A$2:$A$2918,1)))*100))</f>
        <v/>
      </c>
      <c r="Y1199" s="19">
        <f>IF(NOT(ISNUMBER($A1199)),NA(),IF(OR($A1199&lt;MIN(DKW_10Y!$A$2:$A$2918),$A1199&gt;MAX(DKW_10Y!$A$2:$A$2918),Settings!$B$16&lt;MIN(DKW_10Y!$A$2:$A$2918)),NA(),(INDEX(DKW_10Y!$C$2:$C$2918,MATCH($A1199,DKW_10Y!$A$2:$A$2918,1))-INDEX(DKW_10Y!$C$2:$C$2918,MATCH(Settings!$B$16,DKW_10Y!$A$2:$A$2918,1)))*100))</f>
        <v/>
      </c>
      <c r="Z1199" s="19">
        <f>IF(NOT(ISNUMBER($A1199)),NA(),IF(OR($A1199&lt;MIN(DKW_10Y!$A$2:$A$2918),$A1199&gt;MAX(DKW_10Y!$A$2:$A$2918),Settings!$B$16&lt;MIN(DKW_10Y!$A$2:$A$2918)),NA(),(INDEX(DKW_10Y!$D$2:$D$2918,MATCH($A1199,DKW_10Y!$A$2:$A$2918,1))-INDEX(DKW_10Y!$D$2:$D$2918,MATCH(Settings!$B$16,DKW_10Y!$A$2:$A$2918,1)))*100))</f>
        <v/>
      </c>
      <c r="AA1199" s="19">
        <f>IF(NOT(ISNUMBER($A1199)),NA(),IF(OR($A1199&lt;MIN(DKW_10Y!$A$2:$A$2918),$A1199&gt;MAX(DKW_10Y!$A$2:$A$2918),Settings!$B$16&lt;MIN(DKW_10Y!$A$2:$A$2918)),NA(),(INDEX(DKW_10Y!$E$2:$E$2918,MATCH($A1199,DKW_10Y!$A$2:$A$2918,1))-INDEX(DKW_10Y!$E$2:$E$2918,MATCH(Settings!$B$16,DKW_10Y!$A$2:$A$2918,1)))*100))</f>
        <v/>
      </c>
      <c r="AB1199" s="19">
        <f>IF(NOT(ISNUMBER($A1199)),NA(),IF(OR($A1199&lt;MIN(DKW_10Y!$A$2:$A$2918),$A1199&gt;MAX(DKW_10Y!$A$2:$A$2918),Settings!$B$16&lt;MIN(DKW_10Y!$A$2:$A$2918)),NA(),(INDEX(DKW_10Y!$H$2:$H$2918,MATCH($A1199,DKW_10Y!$A$2:$A$2918,1))-INDEX(DKW_10Y!$H$2:$H$2918,MATCH(Settings!$B$16,DKW_10Y!$A$2:$A$2918,1)))*100))</f>
        <v/>
      </c>
      <c r="AC1199" s="18">
        <f>IF(NOT(ISNUMBER($A1199)),NA(),IFERROR(1*INDEX(BBG_Data!$N$2:$N$4000,MATCH($A1199,BBG_Data!$M$2:$M$4000,0)),NA()))</f>
        <v/>
      </c>
      <c r="AD1199" s="18">
        <f>IF(NOT(ISNUMBER($A1199)),NA(),IFERROR(1*INDEX(BBG_Data!$P$2:$P$4000,MATCH($A1199,BBG_Data!$O$2:$O$4000,0)),NA()))</f>
        <v/>
      </c>
      <c r="AE1199" s="18">
        <f>IF(NOT(ISNUMBER($A1199)),NA(),IFERROR(1*INDEX(BBG_Data!$R$2:$R$4000,MATCH($A1199,BBG_Data!$Q$2:$Q$4000,0)),NA()))</f>
        <v/>
      </c>
      <c r="AF1199" s="20">
        <f>IF(AND(ISNUMBER(B1199),ISNUMBER(AC1199)),(B1199-AC1199)*100,NA())</f>
        <v/>
      </c>
      <c r="AG1199" s="20">
        <f>IF(AND(ISNUMBER(AE1199),ISNUMBER(AD1199)),(AE1199-AD1199)*100,NA())</f>
        <v/>
      </c>
      <c r="AH1199" s="19">
        <f>IF(NOT(ISNUMBER($A1199)),NA(),IFERROR(INDEX(BBG_Data!$T$2:$T$4000,MATCH($A1199,BBG_Data!$S$2:$S$4000,0))*Settings!$B$25,NA()))</f>
        <v/>
      </c>
      <c r="AI1199" s="19">
        <f>IF(NOT(ISNUMBER($A1199)),NA(),IFERROR(INDEX(BBG_Data!$V$2:$V$4000,MATCH($A1199,BBG_Data!$U$2:$U$4000,0))*Settings!$B$25,NA()))</f>
        <v/>
      </c>
      <c r="AJ1199" s="19">
        <f>IF(NOT(ISNUMBER($A1199)),NA(),IFERROR(1*INDEX(BBG_Data!$X$2:$X$4000,MATCH($A1199,BBG_Data!$W$2:$W$4000,0)),NA()))</f>
        <v/>
      </c>
      <c r="AK1199" s="19">
        <f>IF(NOT(ISNUMBER($A1199)),NA(),IFERROR(1*INDEX(BBG_Data!$Z$2:$Z$4000,MATCH($A1199,BBG_Data!$Y$2:$Y$4000,0)),NA()))</f>
        <v/>
      </c>
    </row>
    <row r="1200">
      <c r="A1200" s="17">
        <f>IF(ISNUMBER(BBG_Data!A1200),BBG_Data!A1200,"")</f>
        <v/>
      </c>
      <c r="B1200" s="18">
        <f>IF(AND(ISNUMBER($A1200),ISNUMBER(BBG_Data!B1200)),BBG_Data!B1200,NA())</f>
        <v/>
      </c>
      <c r="C1200" s="18">
        <f>IF(NOT(ISNUMBER($A1200)),NA(),IFERROR(1*INDEX(BBG_Data!$D$2:$D$4000,MATCH($A1200,BBG_Data!$C$2:$C$4000,0)),NA()))</f>
        <v/>
      </c>
      <c r="D1200" s="19">
        <f>IF(NOT(ISNUMBER($A1200)),NA(),IFERROR(1*INDEX(BBG_Data!$F$2:$F$4000,MATCH($A1200,BBG_Data!$E$2:$E$4000,0)),NA()))</f>
        <v/>
      </c>
      <c r="E1200" s="19">
        <f>IF(NOT(ISNUMBER($A1200)),NA(),IFERROR(1*INDEX(BBG_Data!$H$2:$H$4000,MATCH($A1200,BBG_Data!$G$2:$G$4000,0)),NA()))</f>
        <v/>
      </c>
      <c r="F1200" s="20">
        <f>IF(AND(ISNUMBER(B1200),ISNUMBER(B1199)),IF(B1200=B1199,"",(B1200-B1199)*100),"")</f>
        <v/>
      </c>
      <c r="G1200" s="20">
        <f>IF(AND(ISNUMBER(C1200),ISNUMBER(C1199)),IF(C1200=C1199,"",(C1200-C1199)*100),"")</f>
        <v/>
      </c>
      <c r="H1200" s="20">
        <f>IF(OR(NOT(ISNUMBER($A1200)),ROW()-2&lt;Settings!$B$11),NA(),IF(COUNT(OFFSET(F1200,1-Settings!$B$11,0,Settings!$B$11,1))&lt;ROUNDUP(Settings!$B$11*Settings!$B$26,0),NA(),STDEV(OFFSET(F1200,1-Settings!$B$11,0,Settings!$B$11,1))*SQRT(Settings!$B$13)))</f>
        <v/>
      </c>
      <c r="I1200" s="20">
        <f>IF(OR(NOT(ISNUMBER($A1200)),ROW()-2&lt;Settings!$B$12),NA(),IF(COUNT(OFFSET(F1200,1-Settings!$B$12,0,Settings!$B$12,1))&lt;ROUNDUP(Settings!$B$12*Settings!$B$26,0),NA(),STDEV(OFFSET(F1200,1-Settings!$B$12,0,Settings!$B$12,1))*SQRT(Settings!$B$13)))</f>
        <v/>
      </c>
      <c r="J1200" s="20">
        <f>IF(OR(NOT(ISNUMBER($A1200)),ROW()-2&lt;Settings!$B$11),NA(),IF(COUNT(OFFSET(G1200,1-Settings!$B$11,0,Settings!$B$11,1))&lt;ROUNDUP(Settings!$B$11*Settings!$B$26,0),NA(),STDEV(OFFSET(G1200,1-Settings!$B$11,0,Settings!$B$11,1))*SQRT(Settings!$B$13)))</f>
        <v/>
      </c>
      <c r="K1200" s="20">
        <f>IF(OR(NOT(ISNUMBER($A1200)),ROW()-2&lt;Settings!$B$12),NA(),IF(COUNT(OFFSET(G1200,1-Settings!$B$12,0,Settings!$B$12,1))&lt;ROUNDUP(Settings!$B$12*Settings!$B$26,0),NA(),STDEV(OFFSET(G1200,1-Settings!$B$12,0,Settings!$B$12,1))*SQRT(Settings!$B$13)))</f>
        <v/>
      </c>
      <c r="L1200" s="20">
        <f>IF(AND(ISNUMBER(D1200),ISNUMBER(H1200)),D1200-H1200,NA())</f>
        <v/>
      </c>
      <c r="M1200" s="20">
        <f>IF(AND(ISNUMBER(E1200),ISNUMBER(K1200)),E1200-K1200,NA())</f>
        <v/>
      </c>
      <c r="N1200" s="20">
        <f>IF(NOT(ISNUMBER($A1200)),NA(),IF(COUNT(OFFSET(G1200,1,0,Settings!$B$12,1))&lt;ROUNDUP(Settings!$B$12*Settings!$B$26,0),NA(),STDEV(OFFSET(G1200,1,0,Settings!$B$12,1))*SQRT(Settings!$B$13)))</f>
        <v/>
      </c>
      <c r="O1200" s="20">
        <f>IF(AND(ISNUMBER(E1200),ISNUMBER(N1200)),E1200-N1200,NA())</f>
        <v/>
      </c>
      <c r="P1200" s="19">
        <f>IF(NOT(ISNUMBER($A1200)),NA(),IF(OR($A1200&lt;MIN(KW_TP!$A$2:$A$2501),$A1200&gt;MAX(KW_TP!$A$2:$A$2501)),NA(),INDEX(KW_TP!$C$2:$C$2501,MATCH($A1200,KW_TP!$A$2:$A$2501,1))))</f>
        <v/>
      </c>
      <c r="Q1200" s="18">
        <f>IF(NOT(ISNUMBER($A1200)),NA(),IFERROR(1*INDEX(BBG_Data!$J$2:$J$4000,MATCH($A1200,BBG_Data!$I$2:$I$4000,0)),NA()))</f>
        <v/>
      </c>
      <c r="R1200" s="18">
        <f>IF(NOT(ISNUMBER($A1200)),NA(),IFERROR(1*INDEX(BBG_Data!$L$2:$L$4000,MATCH($A1200,BBG_Data!$K$2:$K$4000,0)),NA()))</f>
        <v/>
      </c>
      <c r="S1200" s="20">
        <f>IF(AND(ISNUMBER(B1200),ISNUMBER(Q1200),ISNUMBER(R1200)),(B1200-Q1200-R1200)*100,NA())</f>
        <v/>
      </c>
      <c r="T1200" s="20">
        <f>IF(AND(ISNUMBER(B1200),Settings!$B$17&gt;0),IF(ISNUMBER(INDEX($B:$B,Settings!$B$17)),(B1200-INDEX($B:$B,Settings!$B$17))*100,NA()),NA())</f>
        <v/>
      </c>
      <c r="U1200" s="20">
        <f>IF(AND(ISNUMBER(Q1200),Settings!$B$17&gt;0),IF(ISNUMBER(INDEX($Q:$Q,Settings!$B$17)),(Q1200-INDEX($Q:$Q,Settings!$B$17))*100,NA()),NA())</f>
        <v/>
      </c>
      <c r="V1200" s="20">
        <f>IF(AND(ISNUMBER(R1200),Settings!$B$17&gt;0),IF(ISNUMBER(INDEX($R:$R,Settings!$B$17)),(R1200-INDEX($R:$R,Settings!$B$17))*100,NA()),NA())</f>
        <v/>
      </c>
      <c r="W1200" s="20">
        <f>IF(AND(ISNUMBER(P1200),Settings!$B$17&gt;0),IF(ISNUMBER(INDEX($P:$P,Settings!$B$17)),P1200-INDEX($P:$P,Settings!$B$17),NA()),NA())</f>
        <v/>
      </c>
      <c r="X1200" s="19">
        <f>IF(NOT(ISNUMBER($A1200)),NA(),IF(OR($A1200&lt;MIN(DKW_10Y!$A$2:$A$2918),$A1200&gt;MAX(DKW_10Y!$A$2:$A$2918),Settings!$B$16&lt;MIN(DKW_10Y!$A$2:$A$2918)),NA(),(INDEX(DKW_10Y!$B$2:$B$2918,MATCH($A1200,DKW_10Y!$A$2:$A$2918,1))-INDEX(DKW_10Y!$B$2:$B$2918,MATCH(Settings!$B$16,DKW_10Y!$A$2:$A$2918,1)))*100))</f>
        <v/>
      </c>
      <c r="Y1200" s="19">
        <f>IF(NOT(ISNUMBER($A1200)),NA(),IF(OR($A1200&lt;MIN(DKW_10Y!$A$2:$A$2918),$A1200&gt;MAX(DKW_10Y!$A$2:$A$2918),Settings!$B$16&lt;MIN(DKW_10Y!$A$2:$A$2918)),NA(),(INDEX(DKW_10Y!$C$2:$C$2918,MATCH($A1200,DKW_10Y!$A$2:$A$2918,1))-INDEX(DKW_10Y!$C$2:$C$2918,MATCH(Settings!$B$16,DKW_10Y!$A$2:$A$2918,1)))*100))</f>
        <v/>
      </c>
      <c r="Z1200" s="19">
        <f>IF(NOT(ISNUMBER($A1200)),NA(),IF(OR($A1200&lt;MIN(DKW_10Y!$A$2:$A$2918),$A1200&gt;MAX(DKW_10Y!$A$2:$A$2918),Settings!$B$16&lt;MIN(DKW_10Y!$A$2:$A$2918)),NA(),(INDEX(DKW_10Y!$D$2:$D$2918,MATCH($A1200,DKW_10Y!$A$2:$A$2918,1))-INDEX(DKW_10Y!$D$2:$D$2918,MATCH(Settings!$B$16,DKW_10Y!$A$2:$A$2918,1)))*100))</f>
        <v/>
      </c>
      <c r="AA1200" s="19">
        <f>IF(NOT(ISNUMBER($A1200)),NA(),IF(OR($A1200&lt;MIN(DKW_10Y!$A$2:$A$2918),$A1200&gt;MAX(DKW_10Y!$A$2:$A$2918),Settings!$B$16&lt;MIN(DKW_10Y!$A$2:$A$2918)),NA(),(INDEX(DKW_10Y!$E$2:$E$2918,MATCH($A1200,DKW_10Y!$A$2:$A$2918,1))-INDEX(DKW_10Y!$E$2:$E$2918,MATCH(Settings!$B$16,DKW_10Y!$A$2:$A$2918,1)))*100))</f>
        <v/>
      </c>
      <c r="AB1200" s="19">
        <f>IF(NOT(ISNUMBER($A1200)),NA(),IF(OR($A1200&lt;MIN(DKW_10Y!$A$2:$A$2918),$A1200&gt;MAX(DKW_10Y!$A$2:$A$2918),Settings!$B$16&lt;MIN(DKW_10Y!$A$2:$A$2918)),NA(),(INDEX(DKW_10Y!$H$2:$H$2918,MATCH($A1200,DKW_10Y!$A$2:$A$2918,1))-INDEX(DKW_10Y!$H$2:$H$2918,MATCH(Settings!$B$16,DKW_10Y!$A$2:$A$2918,1)))*100))</f>
        <v/>
      </c>
      <c r="AC1200" s="18">
        <f>IF(NOT(ISNUMBER($A1200)),NA(),IFERROR(1*INDEX(BBG_Data!$N$2:$N$4000,MATCH($A1200,BBG_Data!$M$2:$M$4000,0)),NA()))</f>
        <v/>
      </c>
      <c r="AD1200" s="18">
        <f>IF(NOT(ISNUMBER($A1200)),NA(),IFERROR(1*INDEX(BBG_Data!$P$2:$P$4000,MATCH($A1200,BBG_Data!$O$2:$O$4000,0)),NA()))</f>
        <v/>
      </c>
      <c r="AE1200" s="18">
        <f>IF(NOT(ISNUMBER($A1200)),NA(),IFERROR(1*INDEX(BBG_Data!$R$2:$R$4000,MATCH($A1200,BBG_Data!$Q$2:$Q$4000,0)),NA()))</f>
        <v/>
      </c>
      <c r="AF1200" s="20">
        <f>IF(AND(ISNUMBER(B1200),ISNUMBER(AC1200)),(B1200-AC1200)*100,NA())</f>
        <v/>
      </c>
      <c r="AG1200" s="20">
        <f>IF(AND(ISNUMBER(AE1200),ISNUMBER(AD1200)),(AE1200-AD1200)*100,NA())</f>
        <v/>
      </c>
      <c r="AH1200" s="19">
        <f>IF(NOT(ISNUMBER($A1200)),NA(),IFERROR(INDEX(BBG_Data!$T$2:$T$4000,MATCH($A1200,BBG_Data!$S$2:$S$4000,0))*Settings!$B$25,NA()))</f>
        <v/>
      </c>
      <c r="AI1200" s="19">
        <f>IF(NOT(ISNUMBER($A1200)),NA(),IFERROR(INDEX(BBG_Data!$V$2:$V$4000,MATCH($A1200,BBG_Data!$U$2:$U$4000,0))*Settings!$B$25,NA()))</f>
        <v/>
      </c>
      <c r="AJ1200" s="19">
        <f>IF(NOT(ISNUMBER($A1200)),NA(),IFERROR(1*INDEX(BBG_Data!$X$2:$X$4000,MATCH($A1200,BBG_Data!$W$2:$W$4000,0)),NA()))</f>
        <v/>
      </c>
      <c r="AK1200" s="19">
        <f>IF(NOT(ISNUMBER($A1200)),NA(),IFERROR(1*INDEX(BBG_Data!$Z$2:$Z$4000,MATCH($A1200,BBG_Data!$Y$2:$Y$4000,0)),NA()))</f>
        <v/>
      </c>
    </row>
    <row r="1201">
      <c r="A1201" s="17">
        <f>IF(ISNUMBER(BBG_Data!A1201),BBG_Data!A1201,"")</f>
        <v/>
      </c>
      <c r="B1201" s="18">
        <f>IF(AND(ISNUMBER($A1201),ISNUMBER(BBG_Data!B1201)),BBG_Data!B1201,NA())</f>
        <v/>
      </c>
      <c r="C1201" s="18">
        <f>IF(NOT(ISNUMBER($A1201)),NA(),IFERROR(1*INDEX(BBG_Data!$D$2:$D$4000,MATCH($A1201,BBG_Data!$C$2:$C$4000,0)),NA()))</f>
        <v/>
      </c>
      <c r="D1201" s="19">
        <f>IF(NOT(ISNUMBER($A1201)),NA(),IFERROR(1*INDEX(BBG_Data!$F$2:$F$4000,MATCH($A1201,BBG_Data!$E$2:$E$4000,0)),NA()))</f>
        <v/>
      </c>
      <c r="E1201" s="19">
        <f>IF(NOT(ISNUMBER($A1201)),NA(),IFERROR(1*INDEX(BBG_Data!$H$2:$H$4000,MATCH($A1201,BBG_Data!$G$2:$G$4000,0)),NA()))</f>
        <v/>
      </c>
      <c r="F1201" s="20">
        <f>IF(AND(ISNUMBER(B1201),ISNUMBER(B1200)),IF(B1201=B1200,"",(B1201-B1200)*100),"")</f>
        <v/>
      </c>
      <c r="G1201" s="20">
        <f>IF(AND(ISNUMBER(C1201),ISNUMBER(C1200)),IF(C1201=C1200,"",(C1201-C1200)*100),"")</f>
        <v/>
      </c>
      <c r="H1201" s="20">
        <f>IF(OR(NOT(ISNUMBER($A1201)),ROW()-2&lt;Settings!$B$11),NA(),IF(COUNT(OFFSET(F1201,1-Settings!$B$11,0,Settings!$B$11,1))&lt;ROUNDUP(Settings!$B$11*Settings!$B$26,0),NA(),STDEV(OFFSET(F1201,1-Settings!$B$11,0,Settings!$B$11,1))*SQRT(Settings!$B$13)))</f>
        <v/>
      </c>
      <c r="I1201" s="20">
        <f>IF(OR(NOT(ISNUMBER($A1201)),ROW()-2&lt;Settings!$B$12),NA(),IF(COUNT(OFFSET(F1201,1-Settings!$B$12,0,Settings!$B$12,1))&lt;ROUNDUP(Settings!$B$12*Settings!$B$26,0),NA(),STDEV(OFFSET(F1201,1-Settings!$B$12,0,Settings!$B$12,1))*SQRT(Settings!$B$13)))</f>
        <v/>
      </c>
      <c r="J1201" s="20">
        <f>IF(OR(NOT(ISNUMBER($A1201)),ROW()-2&lt;Settings!$B$11),NA(),IF(COUNT(OFFSET(G1201,1-Settings!$B$11,0,Settings!$B$11,1))&lt;ROUNDUP(Settings!$B$11*Settings!$B$26,0),NA(),STDEV(OFFSET(G1201,1-Settings!$B$11,0,Settings!$B$11,1))*SQRT(Settings!$B$13)))</f>
        <v/>
      </c>
      <c r="K1201" s="20">
        <f>IF(OR(NOT(ISNUMBER($A1201)),ROW()-2&lt;Settings!$B$12),NA(),IF(COUNT(OFFSET(G1201,1-Settings!$B$12,0,Settings!$B$12,1))&lt;ROUNDUP(Settings!$B$12*Settings!$B$26,0),NA(),STDEV(OFFSET(G1201,1-Settings!$B$12,0,Settings!$B$12,1))*SQRT(Settings!$B$13)))</f>
        <v/>
      </c>
      <c r="L1201" s="20">
        <f>IF(AND(ISNUMBER(D1201),ISNUMBER(H1201)),D1201-H1201,NA())</f>
        <v/>
      </c>
      <c r="M1201" s="20">
        <f>IF(AND(ISNUMBER(E1201),ISNUMBER(K1201)),E1201-K1201,NA())</f>
        <v/>
      </c>
      <c r="N1201" s="20">
        <f>IF(NOT(ISNUMBER($A1201)),NA(),IF(COUNT(OFFSET(G1201,1,0,Settings!$B$12,1))&lt;ROUNDUP(Settings!$B$12*Settings!$B$26,0),NA(),STDEV(OFFSET(G1201,1,0,Settings!$B$12,1))*SQRT(Settings!$B$13)))</f>
        <v/>
      </c>
      <c r="O1201" s="20">
        <f>IF(AND(ISNUMBER(E1201),ISNUMBER(N1201)),E1201-N1201,NA())</f>
        <v/>
      </c>
      <c r="P1201" s="19">
        <f>IF(NOT(ISNUMBER($A1201)),NA(),IF(OR($A1201&lt;MIN(KW_TP!$A$2:$A$2501),$A1201&gt;MAX(KW_TP!$A$2:$A$2501)),NA(),INDEX(KW_TP!$C$2:$C$2501,MATCH($A1201,KW_TP!$A$2:$A$2501,1))))</f>
        <v/>
      </c>
      <c r="Q1201" s="18">
        <f>IF(NOT(ISNUMBER($A1201)),NA(),IFERROR(1*INDEX(BBG_Data!$J$2:$J$4000,MATCH($A1201,BBG_Data!$I$2:$I$4000,0)),NA()))</f>
        <v/>
      </c>
      <c r="R1201" s="18">
        <f>IF(NOT(ISNUMBER($A1201)),NA(),IFERROR(1*INDEX(BBG_Data!$L$2:$L$4000,MATCH($A1201,BBG_Data!$K$2:$K$4000,0)),NA()))</f>
        <v/>
      </c>
      <c r="S1201" s="20">
        <f>IF(AND(ISNUMBER(B1201),ISNUMBER(Q1201),ISNUMBER(R1201)),(B1201-Q1201-R1201)*100,NA())</f>
        <v/>
      </c>
      <c r="T1201" s="20">
        <f>IF(AND(ISNUMBER(B1201),Settings!$B$17&gt;0),IF(ISNUMBER(INDEX($B:$B,Settings!$B$17)),(B1201-INDEX($B:$B,Settings!$B$17))*100,NA()),NA())</f>
        <v/>
      </c>
      <c r="U1201" s="20">
        <f>IF(AND(ISNUMBER(Q1201),Settings!$B$17&gt;0),IF(ISNUMBER(INDEX($Q:$Q,Settings!$B$17)),(Q1201-INDEX($Q:$Q,Settings!$B$17))*100,NA()),NA())</f>
        <v/>
      </c>
      <c r="V1201" s="20">
        <f>IF(AND(ISNUMBER(R1201),Settings!$B$17&gt;0),IF(ISNUMBER(INDEX($R:$R,Settings!$B$17)),(R1201-INDEX($R:$R,Settings!$B$17))*100,NA()),NA())</f>
        <v/>
      </c>
      <c r="W1201" s="20">
        <f>IF(AND(ISNUMBER(P1201),Settings!$B$17&gt;0),IF(ISNUMBER(INDEX($P:$P,Settings!$B$17)),P1201-INDEX($P:$P,Settings!$B$17),NA()),NA())</f>
        <v/>
      </c>
      <c r="X1201" s="19">
        <f>IF(NOT(ISNUMBER($A1201)),NA(),IF(OR($A1201&lt;MIN(DKW_10Y!$A$2:$A$2918),$A1201&gt;MAX(DKW_10Y!$A$2:$A$2918),Settings!$B$16&lt;MIN(DKW_10Y!$A$2:$A$2918)),NA(),(INDEX(DKW_10Y!$B$2:$B$2918,MATCH($A1201,DKW_10Y!$A$2:$A$2918,1))-INDEX(DKW_10Y!$B$2:$B$2918,MATCH(Settings!$B$16,DKW_10Y!$A$2:$A$2918,1)))*100))</f>
        <v/>
      </c>
      <c r="Y1201" s="19">
        <f>IF(NOT(ISNUMBER($A1201)),NA(),IF(OR($A1201&lt;MIN(DKW_10Y!$A$2:$A$2918),$A1201&gt;MAX(DKW_10Y!$A$2:$A$2918),Settings!$B$16&lt;MIN(DKW_10Y!$A$2:$A$2918)),NA(),(INDEX(DKW_10Y!$C$2:$C$2918,MATCH($A1201,DKW_10Y!$A$2:$A$2918,1))-INDEX(DKW_10Y!$C$2:$C$2918,MATCH(Settings!$B$16,DKW_10Y!$A$2:$A$2918,1)))*100))</f>
        <v/>
      </c>
      <c r="Z1201" s="19">
        <f>IF(NOT(ISNUMBER($A1201)),NA(),IF(OR($A1201&lt;MIN(DKW_10Y!$A$2:$A$2918),$A1201&gt;MAX(DKW_10Y!$A$2:$A$2918),Settings!$B$16&lt;MIN(DKW_10Y!$A$2:$A$2918)),NA(),(INDEX(DKW_10Y!$D$2:$D$2918,MATCH($A1201,DKW_10Y!$A$2:$A$2918,1))-INDEX(DKW_10Y!$D$2:$D$2918,MATCH(Settings!$B$16,DKW_10Y!$A$2:$A$2918,1)))*100))</f>
        <v/>
      </c>
      <c r="AA1201" s="19">
        <f>IF(NOT(ISNUMBER($A1201)),NA(),IF(OR($A1201&lt;MIN(DKW_10Y!$A$2:$A$2918),$A1201&gt;MAX(DKW_10Y!$A$2:$A$2918),Settings!$B$16&lt;MIN(DKW_10Y!$A$2:$A$2918)),NA(),(INDEX(DKW_10Y!$E$2:$E$2918,MATCH($A1201,DKW_10Y!$A$2:$A$2918,1))-INDEX(DKW_10Y!$E$2:$E$2918,MATCH(Settings!$B$16,DKW_10Y!$A$2:$A$2918,1)))*100))</f>
        <v/>
      </c>
      <c r="AB1201" s="19">
        <f>IF(NOT(ISNUMBER($A1201)),NA(),IF(OR($A1201&lt;MIN(DKW_10Y!$A$2:$A$2918),$A1201&gt;MAX(DKW_10Y!$A$2:$A$2918),Settings!$B$16&lt;MIN(DKW_10Y!$A$2:$A$2918)),NA(),(INDEX(DKW_10Y!$H$2:$H$2918,MATCH($A1201,DKW_10Y!$A$2:$A$2918,1))-INDEX(DKW_10Y!$H$2:$H$2918,MATCH(Settings!$B$16,DKW_10Y!$A$2:$A$2918,1)))*100))</f>
        <v/>
      </c>
      <c r="AC1201" s="18">
        <f>IF(NOT(ISNUMBER($A1201)),NA(),IFERROR(1*INDEX(BBG_Data!$N$2:$N$4000,MATCH($A1201,BBG_Data!$M$2:$M$4000,0)),NA()))</f>
        <v/>
      </c>
      <c r="AD1201" s="18">
        <f>IF(NOT(ISNUMBER($A1201)),NA(),IFERROR(1*INDEX(BBG_Data!$P$2:$P$4000,MATCH($A1201,BBG_Data!$O$2:$O$4000,0)),NA()))</f>
        <v/>
      </c>
      <c r="AE1201" s="18">
        <f>IF(NOT(ISNUMBER($A1201)),NA(),IFERROR(1*INDEX(BBG_Data!$R$2:$R$4000,MATCH($A1201,BBG_Data!$Q$2:$Q$4000,0)),NA()))</f>
        <v/>
      </c>
      <c r="AF1201" s="20">
        <f>IF(AND(ISNUMBER(B1201),ISNUMBER(AC1201)),(B1201-AC1201)*100,NA())</f>
        <v/>
      </c>
      <c r="AG1201" s="20">
        <f>IF(AND(ISNUMBER(AE1201),ISNUMBER(AD1201)),(AE1201-AD1201)*100,NA())</f>
        <v/>
      </c>
      <c r="AH1201" s="19">
        <f>IF(NOT(ISNUMBER($A1201)),NA(),IFERROR(INDEX(BBG_Data!$T$2:$T$4000,MATCH($A1201,BBG_Data!$S$2:$S$4000,0))*Settings!$B$25,NA()))</f>
        <v/>
      </c>
      <c r="AI1201" s="19">
        <f>IF(NOT(ISNUMBER($A1201)),NA(),IFERROR(INDEX(BBG_Data!$V$2:$V$4000,MATCH($A1201,BBG_Data!$U$2:$U$4000,0))*Settings!$B$25,NA()))</f>
        <v/>
      </c>
      <c r="AJ1201" s="19">
        <f>IF(NOT(ISNUMBER($A1201)),NA(),IFERROR(1*INDEX(BBG_Data!$X$2:$X$4000,MATCH($A1201,BBG_Data!$W$2:$W$4000,0)),NA()))</f>
        <v/>
      </c>
      <c r="AK1201" s="19">
        <f>IF(NOT(ISNUMBER($A1201)),NA(),IFERROR(1*INDEX(BBG_Data!$Z$2:$Z$4000,MATCH($A1201,BBG_Data!$Y$2:$Y$4000,0)),NA()))</f>
        <v/>
      </c>
    </row>
    <row r="1202">
      <c r="A1202" s="17">
        <f>IF(ISNUMBER(BBG_Data!A1202),BBG_Data!A1202,"")</f>
        <v/>
      </c>
      <c r="B1202" s="18">
        <f>IF(AND(ISNUMBER($A1202),ISNUMBER(BBG_Data!B1202)),BBG_Data!B1202,NA())</f>
        <v/>
      </c>
      <c r="C1202" s="18">
        <f>IF(NOT(ISNUMBER($A1202)),NA(),IFERROR(1*INDEX(BBG_Data!$D$2:$D$4000,MATCH($A1202,BBG_Data!$C$2:$C$4000,0)),NA()))</f>
        <v/>
      </c>
      <c r="D1202" s="19">
        <f>IF(NOT(ISNUMBER($A1202)),NA(),IFERROR(1*INDEX(BBG_Data!$F$2:$F$4000,MATCH($A1202,BBG_Data!$E$2:$E$4000,0)),NA()))</f>
        <v/>
      </c>
      <c r="E1202" s="19">
        <f>IF(NOT(ISNUMBER($A1202)),NA(),IFERROR(1*INDEX(BBG_Data!$H$2:$H$4000,MATCH($A1202,BBG_Data!$G$2:$G$4000,0)),NA()))</f>
        <v/>
      </c>
      <c r="F1202" s="20">
        <f>IF(AND(ISNUMBER(B1202),ISNUMBER(B1201)),IF(B1202=B1201,"",(B1202-B1201)*100),"")</f>
        <v/>
      </c>
      <c r="G1202" s="20">
        <f>IF(AND(ISNUMBER(C1202),ISNUMBER(C1201)),IF(C1202=C1201,"",(C1202-C1201)*100),"")</f>
        <v/>
      </c>
      <c r="H1202" s="20">
        <f>IF(OR(NOT(ISNUMBER($A1202)),ROW()-2&lt;Settings!$B$11),NA(),IF(COUNT(OFFSET(F1202,1-Settings!$B$11,0,Settings!$B$11,1))&lt;ROUNDUP(Settings!$B$11*Settings!$B$26,0),NA(),STDEV(OFFSET(F1202,1-Settings!$B$11,0,Settings!$B$11,1))*SQRT(Settings!$B$13)))</f>
        <v/>
      </c>
      <c r="I1202" s="20">
        <f>IF(OR(NOT(ISNUMBER($A1202)),ROW()-2&lt;Settings!$B$12),NA(),IF(COUNT(OFFSET(F1202,1-Settings!$B$12,0,Settings!$B$12,1))&lt;ROUNDUP(Settings!$B$12*Settings!$B$26,0),NA(),STDEV(OFFSET(F1202,1-Settings!$B$12,0,Settings!$B$12,1))*SQRT(Settings!$B$13)))</f>
        <v/>
      </c>
      <c r="J1202" s="20">
        <f>IF(OR(NOT(ISNUMBER($A1202)),ROW()-2&lt;Settings!$B$11),NA(),IF(COUNT(OFFSET(G1202,1-Settings!$B$11,0,Settings!$B$11,1))&lt;ROUNDUP(Settings!$B$11*Settings!$B$26,0),NA(),STDEV(OFFSET(G1202,1-Settings!$B$11,0,Settings!$B$11,1))*SQRT(Settings!$B$13)))</f>
        <v/>
      </c>
      <c r="K1202" s="20">
        <f>IF(OR(NOT(ISNUMBER($A1202)),ROW()-2&lt;Settings!$B$12),NA(),IF(COUNT(OFFSET(G1202,1-Settings!$B$12,0,Settings!$B$12,1))&lt;ROUNDUP(Settings!$B$12*Settings!$B$26,0),NA(),STDEV(OFFSET(G1202,1-Settings!$B$12,0,Settings!$B$12,1))*SQRT(Settings!$B$13)))</f>
        <v/>
      </c>
      <c r="L1202" s="20">
        <f>IF(AND(ISNUMBER(D1202),ISNUMBER(H1202)),D1202-H1202,NA())</f>
        <v/>
      </c>
      <c r="M1202" s="20">
        <f>IF(AND(ISNUMBER(E1202),ISNUMBER(K1202)),E1202-K1202,NA())</f>
        <v/>
      </c>
      <c r="N1202" s="20">
        <f>IF(NOT(ISNUMBER($A1202)),NA(),IF(COUNT(OFFSET(G1202,1,0,Settings!$B$12,1))&lt;ROUNDUP(Settings!$B$12*Settings!$B$26,0),NA(),STDEV(OFFSET(G1202,1,0,Settings!$B$12,1))*SQRT(Settings!$B$13)))</f>
        <v/>
      </c>
      <c r="O1202" s="20">
        <f>IF(AND(ISNUMBER(E1202),ISNUMBER(N1202)),E1202-N1202,NA())</f>
        <v/>
      </c>
      <c r="P1202" s="19">
        <f>IF(NOT(ISNUMBER($A1202)),NA(),IF(OR($A1202&lt;MIN(KW_TP!$A$2:$A$2501),$A1202&gt;MAX(KW_TP!$A$2:$A$2501)),NA(),INDEX(KW_TP!$C$2:$C$2501,MATCH($A1202,KW_TP!$A$2:$A$2501,1))))</f>
        <v/>
      </c>
      <c r="Q1202" s="18">
        <f>IF(NOT(ISNUMBER($A1202)),NA(),IFERROR(1*INDEX(BBG_Data!$J$2:$J$4000,MATCH($A1202,BBG_Data!$I$2:$I$4000,0)),NA()))</f>
        <v/>
      </c>
      <c r="R1202" s="18">
        <f>IF(NOT(ISNUMBER($A1202)),NA(),IFERROR(1*INDEX(BBG_Data!$L$2:$L$4000,MATCH($A1202,BBG_Data!$K$2:$K$4000,0)),NA()))</f>
        <v/>
      </c>
      <c r="S1202" s="20">
        <f>IF(AND(ISNUMBER(B1202),ISNUMBER(Q1202),ISNUMBER(R1202)),(B1202-Q1202-R1202)*100,NA())</f>
        <v/>
      </c>
      <c r="T1202" s="20">
        <f>IF(AND(ISNUMBER(B1202),Settings!$B$17&gt;0),IF(ISNUMBER(INDEX($B:$B,Settings!$B$17)),(B1202-INDEX($B:$B,Settings!$B$17))*100,NA()),NA())</f>
        <v/>
      </c>
      <c r="U1202" s="20">
        <f>IF(AND(ISNUMBER(Q1202),Settings!$B$17&gt;0),IF(ISNUMBER(INDEX($Q:$Q,Settings!$B$17)),(Q1202-INDEX($Q:$Q,Settings!$B$17))*100,NA()),NA())</f>
        <v/>
      </c>
      <c r="V1202" s="20">
        <f>IF(AND(ISNUMBER(R1202),Settings!$B$17&gt;0),IF(ISNUMBER(INDEX($R:$R,Settings!$B$17)),(R1202-INDEX($R:$R,Settings!$B$17))*100,NA()),NA())</f>
        <v/>
      </c>
      <c r="W1202" s="20">
        <f>IF(AND(ISNUMBER(P1202),Settings!$B$17&gt;0),IF(ISNUMBER(INDEX($P:$P,Settings!$B$17)),P1202-INDEX($P:$P,Settings!$B$17),NA()),NA())</f>
        <v/>
      </c>
      <c r="X1202" s="19">
        <f>IF(NOT(ISNUMBER($A1202)),NA(),IF(OR($A1202&lt;MIN(DKW_10Y!$A$2:$A$2918),$A1202&gt;MAX(DKW_10Y!$A$2:$A$2918),Settings!$B$16&lt;MIN(DKW_10Y!$A$2:$A$2918)),NA(),(INDEX(DKW_10Y!$B$2:$B$2918,MATCH($A1202,DKW_10Y!$A$2:$A$2918,1))-INDEX(DKW_10Y!$B$2:$B$2918,MATCH(Settings!$B$16,DKW_10Y!$A$2:$A$2918,1)))*100))</f>
        <v/>
      </c>
      <c r="Y1202" s="19">
        <f>IF(NOT(ISNUMBER($A1202)),NA(),IF(OR($A1202&lt;MIN(DKW_10Y!$A$2:$A$2918),$A1202&gt;MAX(DKW_10Y!$A$2:$A$2918),Settings!$B$16&lt;MIN(DKW_10Y!$A$2:$A$2918)),NA(),(INDEX(DKW_10Y!$C$2:$C$2918,MATCH($A1202,DKW_10Y!$A$2:$A$2918,1))-INDEX(DKW_10Y!$C$2:$C$2918,MATCH(Settings!$B$16,DKW_10Y!$A$2:$A$2918,1)))*100))</f>
        <v/>
      </c>
      <c r="Z1202" s="19">
        <f>IF(NOT(ISNUMBER($A1202)),NA(),IF(OR($A1202&lt;MIN(DKW_10Y!$A$2:$A$2918),$A1202&gt;MAX(DKW_10Y!$A$2:$A$2918),Settings!$B$16&lt;MIN(DKW_10Y!$A$2:$A$2918)),NA(),(INDEX(DKW_10Y!$D$2:$D$2918,MATCH($A1202,DKW_10Y!$A$2:$A$2918,1))-INDEX(DKW_10Y!$D$2:$D$2918,MATCH(Settings!$B$16,DKW_10Y!$A$2:$A$2918,1)))*100))</f>
        <v/>
      </c>
      <c r="AA1202" s="19">
        <f>IF(NOT(ISNUMBER($A1202)),NA(),IF(OR($A1202&lt;MIN(DKW_10Y!$A$2:$A$2918),$A1202&gt;MAX(DKW_10Y!$A$2:$A$2918),Settings!$B$16&lt;MIN(DKW_10Y!$A$2:$A$2918)),NA(),(INDEX(DKW_10Y!$E$2:$E$2918,MATCH($A1202,DKW_10Y!$A$2:$A$2918,1))-INDEX(DKW_10Y!$E$2:$E$2918,MATCH(Settings!$B$16,DKW_10Y!$A$2:$A$2918,1)))*100))</f>
        <v/>
      </c>
      <c r="AB1202" s="19">
        <f>IF(NOT(ISNUMBER($A1202)),NA(),IF(OR($A1202&lt;MIN(DKW_10Y!$A$2:$A$2918),$A1202&gt;MAX(DKW_10Y!$A$2:$A$2918),Settings!$B$16&lt;MIN(DKW_10Y!$A$2:$A$2918)),NA(),(INDEX(DKW_10Y!$H$2:$H$2918,MATCH($A1202,DKW_10Y!$A$2:$A$2918,1))-INDEX(DKW_10Y!$H$2:$H$2918,MATCH(Settings!$B$16,DKW_10Y!$A$2:$A$2918,1)))*100))</f>
        <v/>
      </c>
      <c r="AC1202" s="18">
        <f>IF(NOT(ISNUMBER($A1202)),NA(),IFERROR(1*INDEX(BBG_Data!$N$2:$N$4000,MATCH($A1202,BBG_Data!$M$2:$M$4000,0)),NA()))</f>
        <v/>
      </c>
      <c r="AD1202" s="18">
        <f>IF(NOT(ISNUMBER($A1202)),NA(),IFERROR(1*INDEX(BBG_Data!$P$2:$P$4000,MATCH($A1202,BBG_Data!$O$2:$O$4000,0)),NA()))</f>
        <v/>
      </c>
      <c r="AE1202" s="18">
        <f>IF(NOT(ISNUMBER($A1202)),NA(),IFERROR(1*INDEX(BBG_Data!$R$2:$R$4000,MATCH($A1202,BBG_Data!$Q$2:$Q$4000,0)),NA()))</f>
        <v/>
      </c>
      <c r="AF1202" s="20">
        <f>IF(AND(ISNUMBER(B1202),ISNUMBER(AC1202)),(B1202-AC1202)*100,NA())</f>
        <v/>
      </c>
      <c r="AG1202" s="20">
        <f>IF(AND(ISNUMBER(AE1202),ISNUMBER(AD1202)),(AE1202-AD1202)*100,NA())</f>
        <v/>
      </c>
      <c r="AH1202" s="19">
        <f>IF(NOT(ISNUMBER($A1202)),NA(),IFERROR(INDEX(BBG_Data!$T$2:$T$4000,MATCH($A1202,BBG_Data!$S$2:$S$4000,0))*Settings!$B$25,NA()))</f>
        <v/>
      </c>
      <c r="AI1202" s="19">
        <f>IF(NOT(ISNUMBER($A1202)),NA(),IFERROR(INDEX(BBG_Data!$V$2:$V$4000,MATCH($A1202,BBG_Data!$U$2:$U$4000,0))*Settings!$B$25,NA()))</f>
        <v/>
      </c>
      <c r="AJ1202" s="19">
        <f>IF(NOT(ISNUMBER($A1202)),NA(),IFERROR(1*INDEX(BBG_Data!$X$2:$X$4000,MATCH($A1202,BBG_Data!$W$2:$W$4000,0)),NA()))</f>
        <v/>
      </c>
      <c r="AK1202" s="19">
        <f>IF(NOT(ISNUMBER($A1202)),NA(),IFERROR(1*INDEX(BBG_Data!$Z$2:$Z$4000,MATCH($A1202,BBG_Data!$Y$2:$Y$4000,0)),NA()))</f>
        <v/>
      </c>
    </row>
    <row r="1203">
      <c r="A1203" s="17">
        <f>IF(ISNUMBER(BBG_Data!A1203),BBG_Data!A1203,"")</f>
        <v/>
      </c>
      <c r="B1203" s="18">
        <f>IF(AND(ISNUMBER($A1203),ISNUMBER(BBG_Data!B1203)),BBG_Data!B1203,NA())</f>
        <v/>
      </c>
      <c r="C1203" s="18">
        <f>IF(NOT(ISNUMBER($A1203)),NA(),IFERROR(1*INDEX(BBG_Data!$D$2:$D$4000,MATCH($A1203,BBG_Data!$C$2:$C$4000,0)),NA()))</f>
        <v/>
      </c>
      <c r="D1203" s="19">
        <f>IF(NOT(ISNUMBER($A1203)),NA(),IFERROR(1*INDEX(BBG_Data!$F$2:$F$4000,MATCH($A1203,BBG_Data!$E$2:$E$4000,0)),NA()))</f>
        <v/>
      </c>
      <c r="E1203" s="19">
        <f>IF(NOT(ISNUMBER($A1203)),NA(),IFERROR(1*INDEX(BBG_Data!$H$2:$H$4000,MATCH($A1203,BBG_Data!$G$2:$G$4000,0)),NA()))</f>
        <v/>
      </c>
      <c r="F1203" s="20">
        <f>IF(AND(ISNUMBER(B1203),ISNUMBER(B1202)),IF(B1203=B1202,"",(B1203-B1202)*100),"")</f>
        <v/>
      </c>
      <c r="G1203" s="20">
        <f>IF(AND(ISNUMBER(C1203),ISNUMBER(C1202)),IF(C1203=C1202,"",(C1203-C1202)*100),"")</f>
        <v/>
      </c>
      <c r="H1203" s="20">
        <f>IF(OR(NOT(ISNUMBER($A1203)),ROW()-2&lt;Settings!$B$11),NA(),IF(COUNT(OFFSET(F1203,1-Settings!$B$11,0,Settings!$B$11,1))&lt;ROUNDUP(Settings!$B$11*Settings!$B$26,0),NA(),STDEV(OFFSET(F1203,1-Settings!$B$11,0,Settings!$B$11,1))*SQRT(Settings!$B$13)))</f>
        <v/>
      </c>
      <c r="I1203" s="20">
        <f>IF(OR(NOT(ISNUMBER($A1203)),ROW()-2&lt;Settings!$B$12),NA(),IF(COUNT(OFFSET(F1203,1-Settings!$B$12,0,Settings!$B$12,1))&lt;ROUNDUP(Settings!$B$12*Settings!$B$26,0),NA(),STDEV(OFFSET(F1203,1-Settings!$B$12,0,Settings!$B$12,1))*SQRT(Settings!$B$13)))</f>
        <v/>
      </c>
      <c r="J1203" s="20">
        <f>IF(OR(NOT(ISNUMBER($A1203)),ROW()-2&lt;Settings!$B$11),NA(),IF(COUNT(OFFSET(G1203,1-Settings!$B$11,0,Settings!$B$11,1))&lt;ROUNDUP(Settings!$B$11*Settings!$B$26,0),NA(),STDEV(OFFSET(G1203,1-Settings!$B$11,0,Settings!$B$11,1))*SQRT(Settings!$B$13)))</f>
        <v/>
      </c>
      <c r="K1203" s="20">
        <f>IF(OR(NOT(ISNUMBER($A1203)),ROW()-2&lt;Settings!$B$12),NA(),IF(COUNT(OFFSET(G1203,1-Settings!$B$12,0,Settings!$B$12,1))&lt;ROUNDUP(Settings!$B$12*Settings!$B$26,0),NA(),STDEV(OFFSET(G1203,1-Settings!$B$12,0,Settings!$B$12,1))*SQRT(Settings!$B$13)))</f>
        <v/>
      </c>
      <c r="L1203" s="20">
        <f>IF(AND(ISNUMBER(D1203),ISNUMBER(H1203)),D1203-H1203,NA())</f>
        <v/>
      </c>
      <c r="M1203" s="20">
        <f>IF(AND(ISNUMBER(E1203),ISNUMBER(K1203)),E1203-K1203,NA())</f>
        <v/>
      </c>
      <c r="N1203" s="20">
        <f>IF(NOT(ISNUMBER($A1203)),NA(),IF(COUNT(OFFSET(G1203,1,0,Settings!$B$12,1))&lt;ROUNDUP(Settings!$B$12*Settings!$B$26,0),NA(),STDEV(OFFSET(G1203,1,0,Settings!$B$12,1))*SQRT(Settings!$B$13)))</f>
        <v/>
      </c>
      <c r="O1203" s="20">
        <f>IF(AND(ISNUMBER(E1203),ISNUMBER(N1203)),E1203-N1203,NA())</f>
        <v/>
      </c>
      <c r="P1203" s="19">
        <f>IF(NOT(ISNUMBER($A1203)),NA(),IF(OR($A1203&lt;MIN(KW_TP!$A$2:$A$2501),$A1203&gt;MAX(KW_TP!$A$2:$A$2501)),NA(),INDEX(KW_TP!$C$2:$C$2501,MATCH($A1203,KW_TP!$A$2:$A$2501,1))))</f>
        <v/>
      </c>
      <c r="Q1203" s="18">
        <f>IF(NOT(ISNUMBER($A1203)),NA(),IFERROR(1*INDEX(BBG_Data!$J$2:$J$4000,MATCH($A1203,BBG_Data!$I$2:$I$4000,0)),NA()))</f>
        <v/>
      </c>
      <c r="R1203" s="18">
        <f>IF(NOT(ISNUMBER($A1203)),NA(),IFERROR(1*INDEX(BBG_Data!$L$2:$L$4000,MATCH($A1203,BBG_Data!$K$2:$K$4000,0)),NA()))</f>
        <v/>
      </c>
      <c r="S1203" s="20">
        <f>IF(AND(ISNUMBER(B1203),ISNUMBER(Q1203),ISNUMBER(R1203)),(B1203-Q1203-R1203)*100,NA())</f>
        <v/>
      </c>
      <c r="T1203" s="20">
        <f>IF(AND(ISNUMBER(B1203),Settings!$B$17&gt;0),IF(ISNUMBER(INDEX($B:$B,Settings!$B$17)),(B1203-INDEX($B:$B,Settings!$B$17))*100,NA()),NA())</f>
        <v/>
      </c>
      <c r="U1203" s="20">
        <f>IF(AND(ISNUMBER(Q1203),Settings!$B$17&gt;0),IF(ISNUMBER(INDEX($Q:$Q,Settings!$B$17)),(Q1203-INDEX($Q:$Q,Settings!$B$17))*100,NA()),NA())</f>
        <v/>
      </c>
      <c r="V1203" s="20">
        <f>IF(AND(ISNUMBER(R1203),Settings!$B$17&gt;0),IF(ISNUMBER(INDEX($R:$R,Settings!$B$17)),(R1203-INDEX($R:$R,Settings!$B$17))*100,NA()),NA())</f>
        <v/>
      </c>
      <c r="W1203" s="20">
        <f>IF(AND(ISNUMBER(P1203),Settings!$B$17&gt;0),IF(ISNUMBER(INDEX($P:$P,Settings!$B$17)),P1203-INDEX($P:$P,Settings!$B$17),NA()),NA())</f>
        <v/>
      </c>
      <c r="X1203" s="19">
        <f>IF(NOT(ISNUMBER($A1203)),NA(),IF(OR($A1203&lt;MIN(DKW_10Y!$A$2:$A$2918),$A1203&gt;MAX(DKW_10Y!$A$2:$A$2918),Settings!$B$16&lt;MIN(DKW_10Y!$A$2:$A$2918)),NA(),(INDEX(DKW_10Y!$B$2:$B$2918,MATCH($A1203,DKW_10Y!$A$2:$A$2918,1))-INDEX(DKW_10Y!$B$2:$B$2918,MATCH(Settings!$B$16,DKW_10Y!$A$2:$A$2918,1)))*100))</f>
        <v/>
      </c>
      <c r="Y1203" s="19">
        <f>IF(NOT(ISNUMBER($A1203)),NA(),IF(OR($A1203&lt;MIN(DKW_10Y!$A$2:$A$2918),$A1203&gt;MAX(DKW_10Y!$A$2:$A$2918),Settings!$B$16&lt;MIN(DKW_10Y!$A$2:$A$2918)),NA(),(INDEX(DKW_10Y!$C$2:$C$2918,MATCH($A1203,DKW_10Y!$A$2:$A$2918,1))-INDEX(DKW_10Y!$C$2:$C$2918,MATCH(Settings!$B$16,DKW_10Y!$A$2:$A$2918,1)))*100))</f>
        <v/>
      </c>
      <c r="Z1203" s="19">
        <f>IF(NOT(ISNUMBER($A1203)),NA(),IF(OR($A1203&lt;MIN(DKW_10Y!$A$2:$A$2918),$A1203&gt;MAX(DKW_10Y!$A$2:$A$2918),Settings!$B$16&lt;MIN(DKW_10Y!$A$2:$A$2918)),NA(),(INDEX(DKW_10Y!$D$2:$D$2918,MATCH($A1203,DKW_10Y!$A$2:$A$2918,1))-INDEX(DKW_10Y!$D$2:$D$2918,MATCH(Settings!$B$16,DKW_10Y!$A$2:$A$2918,1)))*100))</f>
        <v/>
      </c>
      <c r="AA1203" s="19">
        <f>IF(NOT(ISNUMBER($A1203)),NA(),IF(OR($A1203&lt;MIN(DKW_10Y!$A$2:$A$2918),$A1203&gt;MAX(DKW_10Y!$A$2:$A$2918),Settings!$B$16&lt;MIN(DKW_10Y!$A$2:$A$2918)),NA(),(INDEX(DKW_10Y!$E$2:$E$2918,MATCH($A1203,DKW_10Y!$A$2:$A$2918,1))-INDEX(DKW_10Y!$E$2:$E$2918,MATCH(Settings!$B$16,DKW_10Y!$A$2:$A$2918,1)))*100))</f>
        <v/>
      </c>
      <c r="AB1203" s="19">
        <f>IF(NOT(ISNUMBER($A1203)),NA(),IF(OR($A1203&lt;MIN(DKW_10Y!$A$2:$A$2918),$A1203&gt;MAX(DKW_10Y!$A$2:$A$2918),Settings!$B$16&lt;MIN(DKW_10Y!$A$2:$A$2918)),NA(),(INDEX(DKW_10Y!$H$2:$H$2918,MATCH($A1203,DKW_10Y!$A$2:$A$2918,1))-INDEX(DKW_10Y!$H$2:$H$2918,MATCH(Settings!$B$16,DKW_10Y!$A$2:$A$2918,1)))*100))</f>
        <v/>
      </c>
      <c r="AC1203" s="18">
        <f>IF(NOT(ISNUMBER($A1203)),NA(),IFERROR(1*INDEX(BBG_Data!$N$2:$N$4000,MATCH($A1203,BBG_Data!$M$2:$M$4000,0)),NA()))</f>
        <v/>
      </c>
      <c r="AD1203" s="18">
        <f>IF(NOT(ISNUMBER($A1203)),NA(),IFERROR(1*INDEX(BBG_Data!$P$2:$P$4000,MATCH($A1203,BBG_Data!$O$2:$O$4000,0)),NA()))</f>
        <v/>
      </c>
      <c r="AE1203" s="18">
        <f>IF(NOT(ISNUMBER($A1203)),NA(),IFERROR(1*INDEX(BBG_Data!$R$2:$R$4000,MATCH($A1203,BBG_Data!$Q$2:$Q$4000,0)),NA()))</f>
        <v/>
      </c>
      <c r="AF1203" s="20">
        <f>IF(AND(ISNUMBER(B1203),ISNUMBER(AC1203)),(B1203-AC1203)*100,NA())</f>
        <v/>
      </c>
      <c r="AG1203" s="20">
        <f>IF(AND(ISNUMBER(AE1203),ISNUMBER(AD1203)),(AE1203-AD1203)*100,NA())</f>
        <v/>
      </c>
      <c r="AH1203" s="19">
        <f>IF(NOT(ISNUMBER($A1203)),NA(),IFERROR(INDEX(BBG_Data!$T$2:$T$4000,MATCH($A1203,BBG_Data!$S$2:$S$4000,0))*Settings!$B$25,NA()))</f>
        <v/>
      </c>
      <c r="AI1203" s="19">
        <f>IF(NOT(ISNUMBER($A1203)),NA(),IFERROR(INDEX(BBG_Data!$V$2:$V$4000,MATCH($A1203,BBG_Data!$U$2:$U$4000,0))*Settings!$B$25,NA()))</f>
        <v/>
      </c>
      <c r="AJ1203" s="19">
        <f>IF(NOT(ISNUMBER($A1203)),NA(),IFERROR(1*INDEX(BBG_Data!$X$2:$X$4000,MATCH($A1203,BBG_Data!$W$2:$W$4000,0)),NA()))</f>
        <v/>
      </c>
      <c r="AK1203" s="19">
        <f>IF(NOT(ISNUMBER($A1203)),NA(),IFERROR(1*INDEX(BBG_Data!$Z$2:$Z$4000,MATCH($A1203,BBG_Data!$Y$2:$Y$4000,0)),NA()))</f>
        <v/>
      </c>
    </row>
    <row r="1204">
      <c r="A1204" s="17">
        <f>IF(ISNUMBER(BBG_Data!A1204),BBG_Data!A1204,"")</f>
        <v/>
      </c>
      <c r="B1204" s="18">
        <f>IF(AND(ISNUMBER($A1204),ISNUMBER(BBG_Data!B1204)),BBG_Data!B1204,NA())</f>
        <v/>
      </c>
      <c r="C1204" s="18">
        <f>IF(NOT(ISNUMBER($A1204)),NA(),IFERROR(1*INDEX(BBG_Data!$D$2:$D$4000,MATCH($A1204,BBG_Data!$C$2:$C$4000,0)),NA()))</f>
        <v/>
      </c>
      <c r="D1204" s="19">
        <f>IF(NOT(ISNUMBER($A1204)),NA(),IFERROR(1*INDEX(BBG_Data!$F$2:$F$4000,MATCH($A1204,BBG_Data!$E$2:$E$4000,0)),NA()))</f>
        <v/>
      </c>
      <c r="E1204" s="19">
        <f>IF(NOT(ISNUMBER($A1204)),NA(),IFERROR(1*INDEX(BBG_Data!$H$2:$H$4000,MATCH($A1204,BBG_Data!$G$2:$G$4000,0)),NA()))</f>
        <v/>
      </c>
      <c r="F1204" s="20">
        <f>IF(AND(ISNUMBER(B1204),ISNUMBER(B1203)),IF(B1204=B1203,"",(B1204-B1203)*100),"")</f>
        <v/>
      </c>
      <c r="G1204" s="20">
        <f>IF(AND(ISNUMBER(C1204),ISNUMBER(C1203)),IF(C1204=C1203,"",(C1204-C1203)*100),"")</f>
        <v/>
      </c>
      <c r="H1204" s="20">
        <f>IF(OR(NOT(ISNUMBER($A1204)),ROW()-2&lt;Settings!$B$11),NA(),IF(COUNT(OFFSET(F1204,1-Settings!$B$11,0,Settings!$B$11,1))&lt;ROUNDUP(Settings!$B$11*Settings!$B$26,0),NA(),STDEV(OFFSET(F1204,1-Settings!$B$11,0,Settings!$B$11,1))*SQRT(Settings!$B$13)))</f>
        <v/>
      </c>
      <c r="I1204" s="20">
        <f>IF(OR(NOT(ISNUMBER($A1204)),ROW()-2&lt;Settings!$B$12),NA(),IF(COUNT(OFFSET(F1204,1-Settings!$B$12,0,Settings!$B$12,1))&lt;ROUNDUP(Settings!$B$12*Settings!$B$26,0),NA(),STDEV(OFFSET(F1204,1-Settings!$B$12,0,Settings!$B$12,1))*SQRT(Settings!$B$13)))</f>
        <v/>
      </c>
      <c r="J1204" s="20">
        <f>IF(OR(NOT(ISNUMBER($A1204)),ROW()-2&lt;Settings!$B$11),NA(),IF(COUNT(OFFSET(G1204,1-Settings!$B$11,0,Settings!$B$11,1))&lt;ROUNDUP(Settings!$B$11*Settings!$B$26,0),NA(),STDEV(OFFSET(G1204,1-Settings!$B$11,0,Settings!$B$11,1))*SQRT(Settings!$B$13)))</f>
        <v/>
      </c>
      <c r="K1204" s="20">
        <f>IF(OR(NOT(ISNUMBER($A1204)),ROW()-2&lt;Settings!$B$12),NA(),IF(COUNT(OFFSET(G1204,1-Settings!$B$12,0,Settings!$B$12,1))&lt;ROUNDUP(Settings!$B$12*Settings!$B$26,0),NA(),STDEV(OFFSET(G1204,1-Settings!$B$12,0,Settings!$B$12,1))*SQRT(Settings!$B$13)))</f>
        <v/>
      </c>
      <c r="L1204" s="20">
        <f>IF(AND(ISNUMBER(D1204),ISNUMBER(H1204)),D1204-H1204,NA())</f>
        <v/>
      </c>
      <c r="M1204" s="20">
        <f>IF(AND(ISNUMBER(E1204),ISNUMBER(K1204)),E1204-K1204,NA())</f>
        <v/>
      </c>
      <c r="N1204" s="20">
        <f>IF(NOT(ISNUMBER($A1204)),NA(),IF(COUNT(OFFSET(G1204,1,0,Settings!$B$12,1))&lt;ROUNDUP(Settings!$B$12*Settings!$B$26,0),NA(),STDEV(OFFSET(G1204,1,0,Settings!$B$12,1))*SQRT(Settings!$B$13)))</f>
        <v/>
      </c>
      <c r="O1204" s="20">
        <f>IF(AND(ISNUMBER(E1204),ISNUMBER(N1204)),E1204-N1204,NA())</f>
        <v/>
      </c>
      <c r="P1204" s="19">
        <f>IF(NOT(ISNUMBER($A1204)),NA(),IF(OR($A1204&lt;MIN(KW_TP!$A$2:$A$2501),$A1204&gt;MAX(KW_TP!$A$2:$A$2501)),NA(),INDEX(KW_TP!$C$2:$C$2501,MATCH($A1204,KW_TP!$A$2:$A$2501,1))))</f>
        <v/>
      </c>
      <c r="Q1204" s="18">
        <f>IF(NOT(ISNUMBER($A1204)),NA(),IFERROR(1*INDEX(BBG_Data!$J$2:$J$4000,MATCH($A1204,BBG_Data!$I$2:$I$4000,0)),NA()))</f>
        <v/>
      </c>
      <c r="R1204" s="18">
        <f>IF(NOT(ISNUMBER($A1204)),NA(),IFERROR(1*INDEX(BBG_Data!$L$2:$L$4000,MATCH($A1204,BBG_Data!$K$2:$K$4000,0)),NA()))</f>
        <v/>
      </c>
      <c r="S1204" s="20">
        <f>IF(AND(ISNUMBER(B1204),ISNUMBER(Q1204),ISNUMBER(R1204)),(B1204-Q1204-R1204)*100,NA())</f>
        <v/>
      </c>
      <c r="T1204" s="20">
        <f>IF(AND(ISNUMBER(B1204),Settings!$B$17&gt;0),IF(ISNUMBER(INDEX($B:$B,Settings!$B$17)),(B1204-INDEX($B:$B,Settings!$B$17))*100,NA()),NA())</f>
        <v/>
      </c>
      <c r="U1204" s="20">
        <f>IF(AND(ISNUMBER(Q1204),Settings!$B$17&gt;0),IF(ISNUMBER(INDEX($Q:$Q,Settings!$B$17)),(Q1204-INDEX($Q:$Q,Settings!$B$17))*100,NA()),NA())</f>
        <v/>
      </c>
      <c r="V1204" s="20">
        <f>IF(AND(ISNUMBER(R1204),Settings!$B$17&gt;0),IF(ISNUMBER(INDEX($R:$R,Settings!$B$17)),(R1204-INDEX($R:$R,Settings!$B$17))*100,NA()),NA())</f>
        <v/>
      </c>
      <c r="W1204" s="20">
        <f>IF(AND(ISNUMBER(P1204),Settings!$B$17&gt;0),IF(ISNUMBER(INDEX($P:$P,Settings!$B$17)),P1204-INDEX($P:$P,Settings!$B$17),NA()),NA())</f>
        <v/>
      </c>
      <c r="X1204" s="19">
        <f>IF(NOT(ISNUMBER($A1204)),NA(),IF(OR($A1204&lt;MIN(DKW_10Y!$A$2:$A$2918),$A1204&gt;MAX(DKW_10Y!$A$2:$A$2918),Settings!$B$16&lt;MIN(DKW_10Y!$A$2:$A$2918)),NA(),(INDEX(DKW_10Y!$B$2:$B$2918,MATCH($A1204,DKW_10Y!$A$2:$A$2918,1))-INDEX(DKW_10Y!$B$2:$B$2918,MATCH(Settings!$B$16,DKW_10Y!$A$2:$A$2918,1)))*100))</f>
        <v/>
      </c>
      <c r="Y1204" s="19">
        <f>IF(NOT(ISNUMBER($A1204)),NA(),IF(OR($A1204&lt;MIN(DKW_10Y!$A$2:$A$2918),$A1204&gt;MAX(DKW_10Y!$A$2:$A$2918),Settings!$B$16&lt;MIN(DKW_10Y!$A$2:$A$2918)),NA(),(INDEX(DKW_10Y!$C$2:$C$2918,MATCH($A1204,DKW_10Y!$A$2:$A$2918,1))-INDEX(DKW_10Y!$C$2:$C$2918,MATCH(Settings!$B$16,DKW_10Y!$A$2:$A$2918,1)))*100))</f>
        <v/>
      </c>
      <c r="Z1204" s="19">
        <f>IF(NOT(ISNUMBER($A1204)),NA(),IF(OR($A1204&lt;MIN(DKW_10Y!$A$2:$A$2918),$A1204&gt;MAX(DKW_10Y!$A$2:$A$2918),Settings!$B$16&lt;MIN(DKW_10Y!$A$2:$A$2918)),NA(),(INDEX(DKW_10Y!$D$2:$D$2918,MATCH($A1204,DKW_10Y!$A$2:$A$2918,1))-INDEX(DKW_10Y!$D$2:$D$2918,MATCH(Settings!$B$16,DKW_10Y!$A$2:$A$2918,1)))*100))</f>
        <v/>
      </c>
      <c r="AA1204" s="19">
        <f>IF(NOT(ISNUMBER($A1204)),NA(),IF(OR($A1204&lt;MIN(DKW_10Y!$A$2:$A$2918),$A1204&gt;MAX(DKW_10Y!$A$2:$A$2918),Settings!$B$16&lt;MIN(DKW_10Y!$A$2:$A$2918)),NA(),(INDEX(DKW_10Y!$E$2:$E$2918,MATCH($A1204,DKW_10Y!$A$2:$A$2918,1))-INDEX(DKW_10Y!$E$2:$E$2918,MATCH(Settings!$B$16,DKW_10Y!$A$2:$A$2918,1)))*100))</f>
        <v/>
      </c>
      <c r="AB1204" s="19">
        <f>IF(NOT(ISNUMBER($A1204)),NA(),IF(OR($A1204&lt;MIN(DKW_10Y!$A$2:$A$2918),$A1204&gt;MAX(DKW_10Y!$A$2:$A$2918),Settings!$B$16&lt;MIN(DKW_10Y!$A$2:$A$2918)),NA(),(INDEX(DKW_10Y!$H$2:$H$2918,MATCH($A1204,DKW_10Y!$A$2:$A$2918,1))-INDEX(DKW_10Y!$H$2:$H$2918,MATCH(Settings!$B$16,DKW_10Y!$A$2:$A$2918,1)))*100))</f>
        <v/>
      </c>
      <c r="AC1204" s="18">
        <f>IF(NOT(ISNUMBER($A1204)),NA(),IFERROR(1*INDEX(BBG_Data!$N$2:$N$4000,MATCH($A1204,BBG_Data!$M$2:$M$4000,0)),NA()))</f>
        <v/>
      </c>
      <c r="AD1204" s="18">
        <f>IF(NOT(ISNUMBER($A1204)),NA(),IFERROR(1*INDEX(BBG_Data!$P$2:$P$4000,MATCH($A1204,BBG_Data!$O$2:$O$4000,0)),NA()))</f>
        <v/>
      </c>
      <c r="AE1204" s="18">
        <f>IF(NOT(ISNUMBER($A1204)),NA(),IFERROR(1*INDEX(BBG_Data!$R$2:$R$4000,MATCH($A1204,BBG_Data!$Q$2:$Q$4000,0)),NA()))</f>
        <v/>
      </c>
      <c r="AF1204" s="20">
        <f>IF(AND(ISNUMBER(B1204),ISNUMBER(AC1204)),(B1204-AC1204)*100,NA())</f>
        <v/>
      </c>
      <c r="AG1204" s="20">
        <f>IF(AND(ISNUMBER(AE1204),ISNUMBER(AD1204)),(AE1204-AD1204)*100,NA())</f>
        <v/>
      </c>
      <c r="AH1204" s="19">
        <f>IF(NOT(ISNUMBER($A1204)),NA(),IFERROR(INDEX(BBG_Data!$T$2:$T$4000,MATCH($A1204,BBG_Data!$S$2:$S$4000,0))*Settings!$B$25,NA()))</f>
        <v/>
      </c>
      <c r="AI1204" s="19">
        <f>IF(NOT(ISNUMBER($A1204)),NA(),IFERROR(INDEX(BBG_Data!$V$2:$V$4000,MATCH($A1204,BBG_Data!$U$2:$U$4000,0))*Settings!$B$25,NA()))</f>
        <v/>
      </c>
      <c r="AJ1204" s="19">
        <f>IF(NOT(ISNUMBER($A1204)),NA(),IFERROR(1*INDEX(BBG_Data!$X$2:$X$4000,MATCH($A1204,BBG_Data!$W$2:$W$4000,0)),NA()))</f>
        <v/>
      </c>
      <c r="AK1204" s="19">
        <f>IF(NOT(ISNUMBER($A1204)),NA(),IFERROR(1*INDEX(BBG_Data!$Z$2:$Z$4000,MATCH($A1204,BBG_Data!$Y$2:$Y$4000,0)),NA()))</f>
        <v/>
      </c>
    </row>
    <row r="1205">
      <c r="A1205" s="17">
        <f>IF(ISNUMBER(BBG_Data!A1205),BBG_Data!A1205,"")</f>
        <v/>
      </c>
      <c r="B1205" s="18">
        <f>IF(AND(ISNUMBER($A1205),ISNUMBER(BBG_Data!B1205)),BBG_Data!B1205,NA())</f>
        <v/>
      </c>
      <c r="C1205" s="18">
        <f>IF(NOT(ISNUMBER($A1205)),NA(),IFERROR(1*INDEX(BBG_Data!$D$2:$D$4000,MATCH($A1205,BBG_Data!$C$2:$C$4000,0)),NA()))</f>
        <v/>
      </c>
      <c r="D1205" s="19">
        <f>IF(NOT(ISNUMBER($A1205)),NA(),IFERROR(1*INDEX(BBG_Data!$F$2:$F$4000,MATCH($A1205,BBG_Data!$E$2:$E$4000,0)),NA()))</f>
        <v/>
      </c>
      <c r="E1205" s="19">
        <f>IF(NOT(ISNUMBER($A1205)),NA(),IFERROR(1*INDEX(BBG_Data!$H$2:$H$4000,MATCH($A1205,BBG_Data!$G$2:$G$4000,0)),NA()))</f>
        <v/>
      </c>
      <c r="F1205" s="20">
        <f>IF(AND(ISNUMBER(B1205),ISNUMBER(B1204)),IF(B1205=B1204,"",(B1205-B1204)*100),"")</f>
        <v/>
      </c>
      <c r="G1205" s="20">
        <f>IF(AND(ISNUMBER(C1205),ISNUMBER(C1204)),IF(C1205=C1204,"",(C1205-C1204)*100),"")</f>
        <v/>
      </c>
      <c r="H1205" s="20">
        <f>IF(OR(NOT(ISNUMBER($A1205)),ROW()-2&lt;Settings!$B$11),NA(),IF(COUNT(OFFSET(F1205,1-Settings!$B$11,0,Settings!$B$11,1))&lt;ROUNDUP(Settings!$B$11*Settings!$B$26,0),NA(),STDEV(OFFSET(F1205,1-Settings!$B$11,0,Settings!$B$11,1))*SQRT(Settings!$B$13)))</f>
        <v/>
      </c>
      <c r="I1205" s="20">
        <f>IF(OR(NOT(ISNUMBER($A1205)),ROW()-2&lt;Settings!$B$12),NA(),IF(COUNT(OFFSET(F1205,1-Settings!$B$12,0,Settings!$B$12,1))&lt;ROUNDUP(Settings!$B$12*Settings!$B$26,0),NA(),STDEV(OFFSET(F1205,1-Settings!$B$12,0,Settings!$B$12,1))*SQRT(Settings!$B$13)))</f>
        <v/>
      </c>
      <c r="J1205" s="20">
        <f>IF(OR(NOT(ISNUMBER($A1205)),ROW()-2&lt;Settings!$B$11),NA(),IF(COUNT(OFFSET(G1205,1-Settings!$B$11,0,Settings!$B$11,1))&lt;ROUNDUP(Settings!$B$11*Settings!$B$26,0),NA(),STDEV(OFFSET(G1205,1-Settings!$B$11,0,Settings!$B$11,1))*SQRT(Settings!$B$13)))</f>
        <v/>
      </c>
      <c r="K1205" s="20">
        <f>IF(OR(NOT(ISNUMBER($A1205)),ROW()-2&lt;Settings!$B$12),NA(),IF(COUNT(OFFSET(G1205,1-Settings!$B$12,0,Settings!$B$12,1))&lt;ROUNDUP(Settings!$B$12*Settings!$B$26,0),NA(),STDEV(OFFSET(G1205,1-Settings!$B$12,0,Settings!$B$12,1))*SQRT(Settings!$B$13)))</f>
        <v/>
      </c>
      <c r="L1205" s="20">
        <f>IF(AND(ISNUMBER(D1205),ISNUMBER(H1205)),D1205-H1205,NA())</f>
        <v/>
      </c>
      <c r="M1205" s="20">
        <f>IF(AND(ISNUMBER(E1205),ISNUMBER(K1205)),E1205-K1205,NA())</f>
        <v/>
      </c>
      <c r="N1205" s="20">
        <f>IF(NOT(ISNUMBER($A1205)),NA(),IF(COUNT(OFFSET(G1205,1,0,Settings!$B$12,1))&lt;ROUNDUP(Settings!$B$12*Settings!$B$26,0),NA(),STDEV(OFFSET(G1205,1,0,Settings!$B$12,1))*SQRT(Settings!$B$13)))</f>
        <v/>
      </c>
      <c r="O1205" s="20">
        <f>IF(AND(ISNUMBER(E1205),ISNUMBER(N1205)),E1205-N1205,NA())</f>
        <v/>
      </c>
      <c r="P1205" s="19">
        <f>IF(NOT(ISNUMBER($A1205)),NA(),IF(OR($A1205&lt;MIN(KW_TP!$A$2:$A$2501),$A1205&gt;MAX(KW_TP!$A$2:$A$2501)),NA(),INDEX(KW_TP!$C$2:$C$2501,MATCH($A1205,KW_TP!$A$2:$A$2501,1))))</f>
        <v/>
      </c>
      <c r="Q1205" s="18">
        <f>IF(NOT(ISNUMBER($A1205)),NA(),IFERROR(1*INDEX(BBG_Data!$J$2:$J$4000,MATCH($A1205,BBG_Data!$I$2:$I$4000,0)),NA()))</f>
        <v/>
      </c>
      <c r="R1205" s="18">
        <f>IF(NOT(ISNUMBER($A1205)),NA(),IFERROR(1*INDEX(BBG_Data!$L$2:$L$4000,MATCH($A1205,BBG_Data!$K$2:$K$4000,0)),NA()))</f>
        <v/>
      </c>
      <c r="S1205" s="20">
        <f>IF(AND(ISNUMBER(B1205),ISNUMBER(Q1205),ISNUMBER(R1205)),(B1205-Q1205-R1205)*100,NA())</f>
        <v/>
      </c>
      <c r="T1205" s="20">
        <f>IF(AND(ISNUMBER(B1205),Settings!$B$17&gt;0),IF(ISNUMBER(INDEX($B:$B,Settings!$B$17)),(B1205-INDEX($B:$B,Settings!$B$17))*100,NA()),NA())</f>
        <v/>
      </c>
      <c r="U1205" s="20">
        <f>IF(AND(ISNUMBER(Q1205),Settings!$B$17&gt;0),IF(ISNUMBER(INDEX($Q:$Q,Settings!$B$17)),(Q1205-INDEX($Q:$Q,Settings!$B$17))*100,NA()),NA())</f>
        <v/>
      </c>
      <c r="V1205" s="20">
        <f>IF(AND(ISNUMBER(R1205),Settings!$B$17&gt;0),IF(ISNUMBER(INDEX($R:$R,Settings!$B$17)),(R1205-INDEX($R:$R,Settings!$B$17))*100,NA()),NA())</f>
        <v/>
      </c>
      <c r="W1205" s="20">
        <f>IF(AND(ISNUMBER(P1205),Settings!$B$17&gt;0),IF(ISNUMBER(INDEX($P:$P,Settings!$B$17)),P1205-INDEX($P:$P,Settings!$B$17),NA()),NA())</f>
        <v/>
      </c>
      <c r="X1205" s="19">
        <f>IF(NOT(ISNUMBER($A1205)),NA(),IF(OR($A1205&lt;MIN(DKW_10Y!$A$2:$A$2918),$A1205&gt;MAX(DKW_10Y!$A$2:$A$2918),Settings!$B$16&lt;MIN(DKW_10Y!$A$2:$A$2918)),NA(),(INDEX(DKW_10Y!$B$2:$B$2918,MATCH($A1205,DKW_10Y!$A$2:$A$2918,1))-INDEX(DKW_10Y!$B$2:$B$2918,MATCH(Settings!$B$16,DKW_10Y!$A$2:$A$2918,1)))*100))</f>
        <v/>
      </c>
      <c r="Y1205" s="19">
        <f>IF(NOT(ISNUMBER($A1205)),NA(),IF(OR($A1205&lt;MIN(DKW_10Y!$A$2:$A$2918),$A1205&gt;MAX(DKW_10Y!$A$2:$A$2918),Settings!$B$16&lt;MIN(DKW_10Y!$A$2:$A$2918)),NA(),(INDEX(DKW_10Y!$C$2:$C$2918,MATCH($A1205,DKW_10Y!$A$2:$A$2918,1))-INDEX(DKW_10Y!$C$2:$C$2918,MATCH(Settings!$B$16,DKW_10Y!$A$2:$A$2918,1)))*100))</f>
        <v/>
      </c>
      <c r="Z1205" s="19">
        <f>IF(NOT(ISNUMBER($A1205)),NA(),IF(OR($A1205&lt;MIN(DKW_10Y!$A$2:$A$2918),$A1205&gt;MAX(DKW_10Y!$A$2:$A$2918),Settings!$B$16&lt;MIN(DKW_10Y!$A$2:$A$2918)),NA(),(INDEX(DKW_10Y!$D$2:$D$2918,MATCH($A1205,DKW_10Y!$A$2:$A$2918,1))-INDEX(DKW_10Y!$D$2:$D$2918,MATCH(Settings!$B$16,DKW_10Y!$A$2:$A$2918,1)))*100))</f>
        <v/>
      </c>
      <c r="AA1205" s="19">
        <f>IF(NOT(ISNUMBER($A1205)),NA(),IF(OR($A1205&lt;MIN(DKW_10Y!$A$2:$A$2918),$A1205&gt;MAX(DKW_10Y!$A$2:$A$2918),Settings!$B$16&lt;MIN(DKW_10Y!$A$2:$A$2918)),NA(),(INDEX(DKW_10Y!$E$2:$E$2918,MATCH($A1205,DKW_10Y!$A$2:$A$2918,1))-INDEX(DKW_10Y!$E$2:$E$2918,MATCH(Settings!$B$16,DKW_10Y!$A$2:$A$2918,1)))*100))</f>
        <v/>
      </c>
      <c r="AB1205" s="19">
        <f>IF(NOT(ISNUMBER($A1205)),NA(),IF(OR($A1205&lt;MIN(DKW_10Y!$A$2:$A$2918),$A1205&gt;MAX(DKW_10Y!$A$2:$A$2918),Settings!$B$16&lt;MIN(DKW_10Y!$A$2:$A$2918)),NA(),(INDEX(DKW_10Y!$H$2:$H$2918,MATCH($A1205,DKW_10Y!$A$2:$A$2918,1))-INDEX(DKW_10Y!$H$2:$H$2918,MATCH(Settings!$B$16,DKW_10Y!$A$2:$A$2918,1)))*100))</f>
        <v/>
      </c>
      <c r="AC1205" s="18">
        <f>IF(NOT(ISNUMBER($A1205)),NA(),IFERROR(1*INDEX(BBG_Data!$N$2:$N$4000,MATCH($A1205,BBG_Data!$M$2:$M$4000,0)),NA()))</f>
        <v/>
      </c>
      <c r="AD1205" s="18">
        <f>IF(NOT(ISNUMBER($A1205)),NA(),IFERROR(1*INDEX(BBG_Data!$P$2:$P$4000,MATCH($A1205,BBG_Data!$O$2:$O$4000,0)),NA()))</f>
        <v/>
      </c>
      <c r="AE1205" s="18">
        <f>IF(NOT(ISNUMBER($A1205)),NA(),IFERROR(1*INDEX(BBG_Data!$R$2:$R$4000,MATCH($A1205,BBG_Data!$Q$2:$Q$4000,0)),NA()))</f>
        <v/>
      </c>
      <c r="AF1205" s="20">
        <f>IF(AND(ISNUMBER(B1205),ISNUMBER(AC1205)),(B1205-AC1205)*100,NA())</f>
        <v/>
      </c>
      <c r="AG1205" s="20">
        <f>IF(AND(ISNUMBER(AE1205),ISNUMBER(AD1205)),(AE1205-AD1205)*100,NA())</f>
        <v/>
      </c>
      <c r="AH1205" s="19">
        <f>IF(NOT(ISNUMBER($A1205)),NA(),IFERROR(INDEX(BBG_Data!$T$2:$T$4000,MATCH($A1205,BBG_Data!$S$2:$S$4000,0))*Settings!$B$25,NA()))</f>
        <v/>
      </c>
      <c r="AI1205" s="19">
        <f>IF(NOT(ISNUMBER($A1205)),NA(),IFERROR(INDEX(BBG_Data!$V$2:$V$4000,MATCH($A1205,BBG_Data!$U$2:$U$4000,0))*Settings!$B$25,NA()))</f>
        <v/>
      </c>
      <c r="AJ1205" s="19">
        <f>IF(NOT(ISNUMBER($A1205)),NA(),IFERROR(1*INDEX(BBG_Data!$X$2:$X$4000,MATCH($A1205,BBG_Data!$W$2:$W$4000,0)),NA()))</f>
        <v/>
      </c>
      <c r="AK1205" s="19">
        <f>IF(NOT(ISNUMBER($A1205)),NA(),IFERROR(1*INDEX(BBG_Data!$Z$2:$Z$4000,MATCH($A1205,BBG_Data!$Y$2:$Y$4000,0)),NA()))</f>
        <v/>
      </c>
    </row>
    <row r="1206">
      <c r="A1206" s="17">
        <f>IF(ISNUMBER(BBG_Data!A1206),BBG_Data!A1206,"")</f>
        <v/>
      </c>
      <c r="B1206" s="18">
        <f>IF(AND(ISNUMBER($A1206),ISNUMBER(BBG_Data!B1206)),BBG_Data!B1206,NA())</f>
        <v/>
      </c>
      <c r="C1206" s="18">
        <f>IF(NOT(ISNUMBER($A1206)),NA(),IFERROR(1*INDEX(BBG_Data!$D$2:$D$4000,MATCH($A1206,BBG_Data!$C$2:$C$4000,0)),NA()))</f>
        <v/>
      </c>
      <c r="D1206" s="19">
        <f>IF(NOT(ISNUMBER($A1206)),NA(),IFERROR(1*INDEX(BBG_Data!$F$2:$F$4000,MATCH($A1206,BBG_Data!$E$2:$E$4000,0)),NA()))</f>
        <v/>
      </c>
      <c r="E1206" s="19">
        <f>IF(NOT(ISNUMBER($A1206)),NA(),IFERROR(1*INDEX(BBG_Data!$H$2:$H$4000,MATCH($A1206,BBG_Data!$G$2:$G$4000,0)),NA()))</f>
        <v/>
      </c>
      <c r="F1206" s="20">
        <f>IF(AND(ISNUMBER(B1206),ISNUMBER(B1205)),IF(B1206=B1205,"",(B1206-B1205)*100),"")</f>
        <v/>
      </c>
      <c r="G1206" s="20">
        <f>IF(AND(ISNUMBER(C1206),ISNUMBER(C1205)),IF(C1206=C1205,"",(C1206-C1205)*100),"")</f>
        <v/>
      </c>
      <c r="H1206" s="20">
        <f>IF(OR(NOT(ISNUMBER($A1206)),ROW()-2&lt;Settings!$B$11),NA(),IF(COUNT(OFFSET(F1206,1-Settings!$B$11,0,Settings!$B$11,1))&lt;ROUNDUP(Settings!$B$11*Settings!$B$26,0),NA(),STDEV(OFFSET(F1206,1-Settings!$B$11,0,Settings!$B$11,1))*SQRT(Settings!$B$13)))</f>
        <v/>
      </c>
      <c r="I1206" s="20">
        <f>IF(OR(NOT(ISNUMBER($A1206)),ROW()-2&lt;Settings!$B$12),NA(),IF(COUNT(OFFSET(F1206,1-Settings!$B$12,0,Settings!$B$12,1))&lt;ROUNDUP(Settings!$B$12*Settings!$B$26,0),NA(),STDEV(OFFSET(F1206,1-Settings!$B$12,0,Settings!$B$12,1))*SQRT(Settings!$B$13)))</f>
        <v/>
      </c>
      <c r="J1206" s="20">
        <f>IF(OR(NOT(ISNUMBER($A1206)),ROW()-2&lt;Settings!$B$11),NA(),IF(COUNT(OFFSET(G1206,1-Settings!$B$11,0,Settings!$B$11,1))&lt;ROUNDUP(Settings!$B$11*Settings!$B$26,0),NA(),STDEV(OFFSET(G1206,1-Settings!$B$11,0,Settings!$B$11,1))*SQRT(Settings!$B$13)))</f>
        <v/>
      </c>
      <c r="K1206" s="20">
        <f>IF(OR(NOT(ISNUMBER($A1206)),ROW()-2&lt;Settings!$B$12),NA(),IF(COUNT(OFFSET(G1206,1-Settings!$B$12,0,Settings!$B$12,1))&lt;ROUNDUP(Settings!$B$12*Settings!$B$26,0),NA(),STDEV(OFFSET(G1206,1-Settings!$B$12,0,Settings!$B$12,1))*SQRT(Settings!$B$13)))</f>
        <v/>
      </c>
      <c r="L1206" s="20">
        <f>IF(AND(ISNUMBER(D1206),ISNUMBER(H1206)),D1206-H1206,NA())</f>
        <v/>
      </c>
      <c r="M1206" s="20">
        <f>IF(AND(ISNUMBER(E1206),ISNUMBER(K1206)),E1206-K1206,NA())</f>
        <v/>
      </c>
      <c r="N1206" s="20">
        <f>IF(NOT(ISNUMBER($A1206)),NA(),IF(COUNT(OFFSET(G1206,1,0,Settings!$B$12,1))&lt;ROUNDUP(Settings!$B$12*Settings!$B$26,0),NA(),STDEV(OFFSET(G1206,1,0,Settings!$B$12,1))*SQRT(Settings!$B$13)))</f>
        <v/>
      </c>
      <c r="O1206" s="20">
        <f>IF(AND(ISNUMBER(E1206),ISNUMBER(N1206)),E1206-N1206,NA())</f>
        <v/>
      </c>
      <c r="P1206" s="19">
        <f>IF(NOT(ISNUMBER($A1206)),NA(),IF(OR($A1206&lt;MIN(KW_TP!$A$2:$A$2501),$A1206&gt;MAX(KW_TP!$A$2:$A$2501)),NA(),INDEX(KW_TP!$C$2:$C$2501,MATCH($A1206,KW_TP!$A$2:$A$2501,1))))</f>
        <v/>
      </c>
      <c r="Q1206" s="18">
        <f>IF(NOT(ISNUMBER($A1206)),NA(),IFERROR(1*INDEX(BBG_Data!$J$2:$J$4000,MATCH($A1206,BBG_Data!$I$2:$I$4000,0)),NA()))</f>
        <v/>
      </c>
      <c r="R1206" s="18">
        <f>IF(NOT(ISNUMBER($A1206)),NA(),IFERROR(1*INDEX(BBG_Data!$L$2:$L$4000,MATCH($A1206,BBG_Data!$K$2:$K$4000,0)),NA()))</f>
        <v/>
      </c>
      <c r="S1206" s="20">
        <f>IF(AND(ISNUMBER(B1206),ISNUMBER(Q1206),ISNUMBER(R1206)),(B1206-Q1206-R1206)*100,NA())</f>
        <v/>
      </c>
      <c r="T1206" s="20">
        <f>IF(AND(ISNUMBER(B1206),Settings!$B$17&gt;0),IF(ISNUMBER(INDEX($B:$B,Settings!$B$17)),(B1206-INDEX($B:$B,Settings!$B$17))*100,NA()),NA())</f>
        <v/>
      </c>
      <c r="U1206" s="20">
        <f>IF(AND(ISNUMBER(Q1206),Settings!$B$17&gt;0),IF(ISNUMBER(INDEX($Q:$Q,Settings!$B$17)),(Q1206-INDEX($Q:$Q,Settings!$B$17))*100,NA()),NA())</f>
        <v/>
      </c>
      <c r="V1206" s="20">
        <f>IF(AND(ISNUMBER(R1206),Settings!$B$17&gt;0),IF(ISNUMBER(INDEX($R:$R,Settings!$B$17)),(R1206-INDEX($R:$R,Settings!$B$17))*100,NA()),NA())</f>
        <v/>
      </c>
      <c r="W1206" s="20">
        <f>IF(AND(ISNUMBER(P1206),Settings!$B$17&gt;0),IF(ISNUMBER(INDEX($P:$P,Settings!$B$17)),P1206-INDEX($P:$P,Settings!$B$17),NA()),NA())</f>
        <v/>
      </c>
      <c r="X1206" s="19">
        <f>IF(NOT(ISNUMBER($A1206)),NA(),IF(OR($A1206&lt;MIN(DKW_10Y!$A$2:$A$2918),$A1206&gt;MAX(DKW_10Y!$A$2:$A$2918),Settings!$B$16&lt;MIN(DKW_10Y!$A$2:$A$2918)),NA(),(INDEX(DKW_10Y!$B$2:$B$2918,MATCH($A1206,DKW_10Y!$A$2:$A$2918,1))-INDEX(DKW_10Y!$B$2:$B$2918,MATCH(Settings!$B$16,DKW_10Y!$A$2:$A$2918,1)))*100))</f>
        <v/>
      </c>
      <c r="Y1206" s="19">
        <f>IF(NOT(ISNUMBER($A1206)),NA(),IF(OR($A1206&lt;MIN(DKW_10Y!$A$2:$A$2918),$A1206&gt;MAX(DKW_10Y!$A$2:$A$2918),Settings!$B$16&lt;MIN(DKW_10Y!$A$2:$A$2918)),NA(),(INDEX(DKW_10Y!$C$2:$C$2918,MATCH($A1206,DKW_10Y!$A$2:$A$2918,1))-INDEX(DKW_10Y!$C$2:$C$2918,MATCH(Settings!$B$16,DKW_10Y!$A$2:$A$2918,1)))*100))</f>
        <v/>
      </c>
      <c r="Z1206" s="19">
        <f>IF(NOT(ISNUMBER($A1206)),NA(),IF(OR($A1206&lt;MIN(DKW_10Y!$A$2:$A$2918),$A1206&gt;MAX(DKW_10Y!$A$2:$A$2918),Settings!$B$16&lt;MIN(DKW_10Y!$A$2:$A$2918)),NA(),(INDEX(DKW_10Y!$D$2:$D$2918,MATCH($A1206,DKW_10Y!$A$2:$A$2918,1))-INDEX(DKW_10Y!$D$2:$D$2918,MATCH(Settings!$B$16,DKW_10Y!$A$2:$A$2918,1)))*100))</f>
        <v/>
      </c>
      <c r="AA1206" s="19">
        <f>IF(NOT(ISNUMBER($A1206)),NA(),IF(OR($A1206&lt;MIN(DKW_10Y!$A$2:$A$2918),$A1206&gt;MAX(DKW_10Y!$A$2:$A$2918),Settings!$B$16&lt;MIN(DKW_10Y!$A$2:$A$2918)),NA(),(INDEX(DKW_10Y!$E$2:$E$2918,MATCH($A1206,DKW_10Y!$A$2:$A$2918,1))-INDEX(DKW_10Y!$E$2:$E$2918,MATCH(Settings!$B$16,DKW_10Y!$A$2:$A$2918,1)))*100))</f>
        <v/>
      </c>
      <c r="AB1206" s="19">
        <f>IF(NOT(ISNUMBER($A1206)),NA(),IF(OR($A1206&lt;MIN(DKW_10Y!$A$2:$A$2918),$A1206&gt;MAX(DKW_10Y!$A$2:$A$2918),Settings!$B$16&lt;MIN(DKW_10Y!$A$2:$A$2918)),NA(),(INDEX(DKW_10Y!$H$2:$H$2918,MATCH($A1206,DKW_10Y!$A$2:$A$2918,1))-INDEX(DKW_10Y!$H$2:$H$2918,MATCH(Settings!$B$16,DKW_10Y!$A$2:$A$2918,1)))*100))</f>
        <v/>
      </c>
      <c r="AC1206" s="18">
        <f>IF(NOT(ISNUMBER($A1206)),NA(),IFERROR(1*INDEX(BBG_Data!$N$2:$N$4000,MATCH($A1206,BBG_Data!$M$2:$M$4000,0)),NA()))</f>
        <v/>
      </c>
      <c r="AD1206" s="18">
        <f>IF(NOT(ISNUMBER($A1206)),NA(),IFERROR(1*INDEX(BBG_Data!$P$2:$P$4000,MATCH($A1206,BBG_Data!$O$2:$O$4000,0)),NA()))</f>
        <v/>
      </c>
      <c r="AE1206" s="18">
        <f>IF(NOT(ISNUMBER($A1206)),NA(),IFERROR(1*INDEX(BBG_Data!$R$2:$R$4000,MATCH($A1206,BBG_Data!$Q$2:$Q$4000,0)),NA()))</f>
        <v/>
      </c>
      <c r="AF1206" s="20">
        <f>IF(AND(ISNUMBER(B1206),ISNUMBER(AC1206)),(B1206-AC1206)*100,NA())</f>
        <v/>
      </c>
      <c r="AG1206" s="20">
        <f>IF(AND(ISNUMBER(AE1206),ISNUMBER(AD1206)),(AE1206-AD1206)*100,NA())</f>
        <v/>
      </c>
      <c r="AH1206" s="19">
        <f>IF(NOT(ISNUMBER($A1206)),NA(),IFERROR(INDEX(BBG_Data!$T$2:$T$4000,MATCH($A1206,BBG_Data!$S$2:$S$4000,0))*Settings!$B$25,NA()))</f>
        <v/>
      </c>
      <c r="AI1206" s="19">
        <f>IF(NOT(ISNUMBER($A1206)),NA(),IFERROR(INDEX(BBG_Data!$V$2:$V$4000,MATCH($A1206,BBG_Data!$U$2:$U$4000,0))*Settings!$B$25,NA()))</f>
        <v/>
      </c>
      <c r="AJ1206" s="19">
        <f>IF(NOT(ISNUMBER($A1206)),NA(),IFERROR(1*INDEX(BBG_Data!$X$2:$X$4000,MATCH($A1206,BBG_Data!$W$2:$W$4000,0)),NA()))</f>
        <v/>
      </c>
      <c r="AK1206" s="19">
        <f>IF(NOT(ISNUMBER($A1206)),NA(),IFERROR(1*INDEX(BBG_Data!$Z$2:$Z$4000,MATCH($A1206,BBG_Data!$Y$2:$Y$4000,0)),NA()))</f>
        <v/>
      </c>
    </row>
    <row r="1207">
      <c r="A1207" s="17">
        <f>IF(ISNUMBER(BBG_Data!A1207),BBG_Data!A1207,"")</f>
        <v/>
      </c>
      <c r="B1207" s="18">
        <f>IF(AND(ISNUMBER($A1207),ISNUMBER(BBG_Data!B1207)),BBG_Data!B1207,NA())</f>
        <v/>
      </c>
      <c r="C1207" s="18">
        <f>IF(NOT(ISNUMBER($A1207)),NA(),IFERROR(1*INDEX(BBG_Data!$D$2:$D$4000,MATCH($A1207,BBG_Data!$C$2:$C$4000,0)),NA()))</f>
        <v/>
      </c>
      <c r="D1207" s="19">
        <f>IF(NOT(ISNUMBER($A1207)),NA(),IFERROR(1*INDEX(BBG_Data!$F$2:$F$4000,MATCH($A1207,BBG_Data!$E$2:$E$4000,0)),NA()))</f>
        <v/>
      </c>
      <c r="E1207" s="19">
        <f>IF(NOT(ISNUMBER($A1207)),NA(),IFERROR(1*INDEX(BBG_Data!$H$2:$H$4000,MATCH($A1207,BBG_Data!$G$2:$G$4000,0)),NA()))</f>
        <v/>
      </c>
      <c r="F1207" s="20">
        <f>IF(AND(ISNUMBER(B1207),ISNUMBER(B1206)),IF(B1207=B1206,"",(B1207-B1206)*100),"")</f>
        <v/>
      </c>
      <c r="G1207" s="20">
        <f>IF(AND(ISNUMBER(C1207),ISNUMBER(C1206)),IF(C1207=C1206,"",(C1207-C1206)*100),"")</f>
        <v/>
      </c>
      <c r="H1207" s="20">
        <f>IF(OR(NOT(ISNUMBER($A1207)),ROW()-2&lt;Settings!$B$11),NA(),IF(COUNT(OFFSET(F1207,1-Settings!$B$11,0,Settings!$B$11,1))&lt;ROUNDUP(Settings!$B$11*Settings!$B$26,0),NA(),STDEV(OFFSET(F1207,1-Settings!$B$11,0,Settings!$B$11,1))*SQRT(Settings!$B$13)))</f>
        <v/>
      </c>
      <c r="I1207" s="20">
        <f>IF(OR(NOT(ISNUMBER($A1207)),ROW()-2&lt;Settings!$B$12),NA(),IF(COUNT(OFFSET(F1207,1-Settings!$B$12,0,Settings!$B$12,1))&lt;ROUNDUP(Settings!$B$12*Settings!$B$26,0),NA(),STDEV(OFFSET(F1207,1-Settings!$B$12,0,Settings!$B$12,1))*SQRT(Settings!$B$13)))</f>
        <v/>
      </c>
      <c r="J1207" s="20">
        <f>IF(OR(NOT(ISNUMBER($A1207)),ROW()-2&lt;Settings!$B$11),NA(),IF(COUNT(OFFSET(G1207,1-Settings!$B$11,0,Settings!$B$11,1))&lt;ROUNDUP(Settings!$B$11*Settings!$B$26,0),NA(),STDEV(OFFSET(G1207,1-Settings!$B$11,0,Settings!$B$11,1))*SQRT(Settings!$B$13)))</f>
        <v/>
      </c>
      <c r="K1207" s="20">
        <f>IF(OR(NOT(ISNUMBER($A1207)),ROW()-2&lt;Settings!$B$12),NA(),IF(COUNT(OFFSET(G1207,1-Settings!$B$12,0,Settings!$B$12,1))&lt;ROUNDUP(Settings!$B$12*Settings!$B$26,0),NA(),STDEV(OFFSET(G1207,1-Settings!$B$12,0,Settings!$B$12,1))*SQRT(Settings!$B$13)))</f>
        <v/>
      </c>
      <c r="L1207" s="20">
        <f>IF(AND(ISNUMBER(D1207),ISNUMBER(H1207)),D1207-H1207,NA())</f>
        <v/>
      </c>
      <c r="M1207" s="20">
        <f>IF(AND(ISNUMBER(E1207),ISNUMBER(K1207)),E1207-K1207,NA())</f>
        <v/>
      </c>
      <c r="N1207" s="20">
        <f>IF(NOT(ISNUMBER($A1207)),NA(),IF(COUNT(OFFSET(G1207,1,0,Settings!$B$12,1))&lt;ROUNDUP(Settings!$B$12*Settings!$B$26,0),NA(),STDEV(OFFSET(G1207,1,0,Settings!$B$12,1))*SQRT(Settings!$B$13)))</f>
        <v/>
      </c>
      <c r="O1207" s="20">
        <f>IF(AND(ISNUMBER(E1207),ISNUMBER(N1207)),E1207-N1207,NA())</f>
        <v/>
      </c>
      <c r="P1207" s="19">
        <f>IF(NOT(ISNUMBER($A1207)),NA(),IF(OR($A1207&lt;MIN(KW_TP!$A$2:$A$2501),$A1207&gt;MAX(KW_TP!$A$2:$A$2501)),NA(),INDEX(KW_TP!$C$2:$C$2501,MATCH($A1207,KW_TP!$A$2:$A$2501,1))))</f>
        <v/>
      </c>
      <c r="Q1207" s="18">
        <f>IF(NOT(ISNUMBER($A1207)),NA(),IFERROR(1*INDEX(BBG_Data!$J$2:$J$4000,MATCH($A1207,BBG_Data!$I$2:$I$4000,0)),NA()))</f>
        <v/>
      </c>
      <c r="R1207" s="18">
        <f>IF(NOT(ISNUMBER($A1207)),NA(),IFERROR(1*INDEX(BBG_Data!$L$2:$L$4000,MATCH($A1207,BBG_Data!$K$2:$K$4000,0)),NA()))</f>
        <v/>
      </c>
      <c r="S1207" s="20">
        <f>IF(AND(ISNUMBER(B1207),ISNUMBER(Q1207),ISNUMBER(R1207)),(B1207-Q1207-R1207)*100,NA())</f>
        <v/>
      </c>
      <c r="T1207" s="20">
        <f>IF(AND(ISNUMBER(B1207),Settings!$B$17&gt;0),IF(ISNUMBER(INDEX($B:$B,Settings!$B$17)),(B1207-INDEX($B:$B,Settings!$B$17))*100,NA()),NA())</f>
        <v/>
      </c>
      <c r="U1207" s="20">
        <f>IF(AND(ISNUMBER(Q1207),Settings!$B$17&gt;0),IF(ISNUMBER(INDEX($Q:$Q,Settings!$B$17)),(Q1207-INDEX($Q:$Q,Settings!$B$17))*100,NA()),NA())</f>
        <v/>
      </c>
      <c r="V1207" s="20">
        <f>IF(AND(ISNUMBER(R1207),Settings!$B$17&gt;0),IF(ISNUMBER(INDEX($R:$R,Settings!$B$17)),(R1207-INDEX($R:$R,Settings!$B$17))*100,NA()),NA())</f>
        <v/>
      </c>
      <c r="W1207" s="20">
        <f>IF(AND(ISNUMBER(P1207),Settings!$B$17&gt;0),IF(ISNUMBER(INDEX($P:$P,Settings!$B$17)),P1207-INDEX($P:$P,Settings!$B$17),NA()),NA())</f>
        <v/>
      </c>
      <c r="X1207" s="19">
        <f>IF(NOT(ISNUMBER($A1207)),NA(),IF(OR($A1207&lt;MIN(DKW_10Y!$A$2:$A$2918),$A1207&gt;MAX(DKW_10Y!$A$2:$A$2918),Settings!$B$16&lt;MIN(DKW_10Y!$A$2:$A$2918)),NA(),(INDEX(DKW_10Y!$B$2:$B$2918,MATCH($A1207,DKW_10Y!$A$2:$A$2918,1))-INDEX(DKW_10Y!$B$2:$B$2918,MATCH(Settings!$B$16,DKW_10Y!$A$2:$A$2918,1)))*100))</f>
        <v/>
      </c>
      <c r="Y1207" s="19">
        <f>IF(NOT(ISNUMBER($A1207)),NA(),IF(OR($A1207&lt;MIN(DKW_10Y!$A$2:$A$2918),$A1207&gt;MAX(DKW_10Y!$A$2:$A$2918),Settings!$B$16&lt;MIN(DKW_10Y!$A$2:$A$2918)),NA(),(INDEX(DKW_10Y!$C$2:$C$2918,MATCH($A1207,DKW_10Y!$A$2:$A$2918,1))-INDEX(DKW_10Y!$C$2:$C$2918,MATCH(Settings!$B$16,DKW_10Y!$A$2:$A$2918,1)))*100))</f>
        <v/>
      </c>
      <c r="Z1207" s="19">
        <f>IF(NOT(ISNUMBER($A1207)),NA(),IF(OR($A1207&lt;MIN(DKW_10Y!$A$2:$A$2918),$A1207&gt;MAX(DKW_10Y!$A$2:$A$2918),Settings!$B$16&lt;MIN(DKW_10Y!$A$2:$A$2918)),NA(),(INDEX(DKW_10Y!$D$2:$D$2918,MATCH($A1207,DKW_10Y!$A$2:$A$2918,1))-INDEX(DKW_10Y!$D$2:$D$2918,MATCH(Settings!$B$16,DKW_10Y!$A$2:$A$2918,1)))*100))</f>
        <v/>
      </c>
      <c r="AA1207" s="19">
        <f>IF(NOT(ISNUMBER($A1207)),NA(),IF(OR($A1207&lt;MIN(DKW_10Y!$A$2:$A$2918),$A1207&gt;MAX(DKW_10Y!$A$2:$A$2918),Settings!$B$16&lt;MIN(DKW_10Y!$A$2:$A$2918)),NA(),(INDEX(DKW_10Y!$E$2:$E$2918,MATCH($A1207,DKW_10Y!$A$2:$A$2918,1))-INDEX(DKW_10Y!$E$2:$E$2918,MATCH(Settings!$B$16,DKW_10Y!$A$2:$A$2918,1)))*100))</f>
        <v/>
      </c>
      <c r="AB1207" s="19">
        <f>IF(NOT(ISNUMBER($A1207)),NA(),IF(OR($A1207&lt;MIN(DKW_10Y!$A$2:$A$2918),$A1207&gt;MAX(DKW_10Y!$A$2:$A$2918),Settings!$B$16&lt;MIN(DKW_10Y!$A$2:$A$2918)),NA(),(INDEX(DKW_10Y!$H$2:$H$2918,MATCH($A1207,DKW_10Y!$A$2:$A$2918,1))-INDEX(DKW_10Y!$H$2:$H$2918,MATCH(Settings!$B$16,DKW_10Y!$A$2:$A$2918,1)))*100))</f>
        <v/>
      </c>
      <c r="AC1207" s="18">
        <f>IF(NOT(ISNUMBER($A1207)),NA(),IFERROR(1*INDEX(BBG_Data!$N$2:$N$4000,MATCH($A1207,BBG_Data!$M$2:$M$4000,0)),NA()))</f>
        <v/>
      </c>
      <c r="AD1207" s="18">
        <f>IF(NOT(ISNUMBER($A1207)),NA(),IFERROR(1*INDEX(BBG_Data!$P$2:$P$4000,MATCH($A1207,BBG_Data!$O$2:$O$4000,0)),NA()))</f>
        <v/>
      </c>
      <c r="AE1207" s="18">
        <f>IF(NOT(ISNUMBER($A1207)),NA(),IFERROR(1*INDEX(BBG_Data!$R$2:$R$4000,MATCH($A1207,BBG_Data!$Q$2:$Q$4000,0)),NA()))</f>
        <v/>
      </c>
      <c r="AF1207" s="20">
        <f>IF(AND(ISNUMBER(B1207),ISNUMBER(AC1207)),(B1207-AC1207)*100,NA())</f>
        <v/>
      </c>
      <c r="AG1207" s="20">
        <f>IF(AND(ISNUMBER(AE1207),ISNUMBER(AD1207)),(AE1207-AD1207)*100,NA())</f>
        <v/>
      </c>
      <c r="AH1207" s="19">
        <f>IF(NOT(ISNUMBER($A1207)),NA(),IFERROR(INDEX(BBG_Data!$T$2:$T$4000,MATCH($A1207,BBG_Data!$S$2:$S$4000,0))*Settings!$B$25,NA()))</f>
        <v/>
      </c>
      <c r="AI1207" s="19">
        <f>IF(NOT(ISNUMBER($A1207)),NA(),IFERROR(INDEX(BBG_Data!$V$2:$V$4000,MATCH($A1207,BBG_Data!$U$2:$U$4000,0))*Settings!$B$25,NA()))</f>
        <v/>
      </c>
      <c r="AJ1207" s="19">
        <f>IF(NOT(ISNUMBER($A1207)),NA(),IFERROR(1*INDEX(BBG_Data!$X$2:$X$4000,MATCH($A1207,BBG_Data!$W$2:$W$4000,0)),NA()))</f>
        <v/>
      </c>
      <c r="AK1207" s="19">
        <f>IF(NOT(ISNUMBER($A1207)),NA(),IFERROR(1*INDEX(BBG_Data!$Z$2:$Z$4000,MATCH($A1207,BBG_Data!$Y$2:$Y$4000,0)),NA()))</f>
        <v/>
      </c>
    </row>
    <row r="1208">
      <c r="A1208" s="17">
        <f>IF(ISNUMBER(BBG_Data!A1208),BBG_Data!A1208,"")</f>
        <v/>
      </c>
      <c r="B1208" s="18">
        <f>IF(AND(ISNUMBER($A1208),ISNUMBER(BBG_Data!B1208)),BBG_Data!B1208,NA())</f>
        <v/>
      </c>
      <c r="C1208" s="18">
        <f>IF(NOT(ISNUMBER($A1208)),NA(),IFERROR(1*INDEX(BBG_Data!$D$2:$D$4000,MATCH($A1208,BBG_Data!$C$2:$C$4000,0)),NA()))</f>
        <v/>
      </c>
      <c r="D1208" s="19">
        <f>IF(NOT(ISNUMBER($A1208)),NA(),IFERROR(1*INDEX(BBG_Data!$F$2:$F$4000,MATCH($A1208,BBG_Data!$E$2:$E$4000,0)),NA()))</f>
        <v/>
      </c>
      <c r="E1208" s="19">
        <f>IF(NOT(ISNUMBER($A1208)),NA(),IFERROR(1*INDEX(BBG_Data!$H$2:$H$4000,MATCH($A1208,BBG_Data!$G$2:$G$4000,0)),NA()))</f>
        <v/>
      </c>
      <c r="F1208" s="20">
        <f>IF(AND(ISNUMBER(B1208),ISNUMBER(B1207)),IF(B1208=B1207,"",(B1208-B1207)*100),"")</f>
        <v/>
      </c>
      <c r="G1208" s="20">
        <f>IF(AND(ISNUMBER(C1208),ISNUMBER(C1207)),IF(C1208=C1207,"",(C1208-C1207)*100),"")</f>
        <v/>
      </c>
      <c r="H1208" s="20">
        <f>IF(OR(NOT(ISNUMBER($A1208)),ROW()-2&lt;Settings!$B$11),NA(),IF(COUNT(OFFSET(F1208,1-Settings!$B$11,0,Settings!$B$11,1))&lt;ROUNDUP(Settings!$B$11*Settings!$B$26,0),NA(),STDEV(OFFSET(F1208,1-Settings!$B$11,0,Settings!$B$11,1))*SQRT(Settings!$B$13)))</f>
        <v/>
      </c>
      <c r="I1208" s="20">
        <f>IF(OR(NOT(ISNUMBER($A1208)),ROW()-2&lt;Settings!$B$12),NA(),IF(COUNT(OFFSET(F1208,1-Settings!$B$12,0,Settings!$B$12,1))&lt;ROUNDUP(Settings!$B$12*Settings!$B$26,0),NA(),STDEV(OFFSET(F1208,1-Settings!$B$12,0,Settings!$B$12,1))*SQRT(Settings!$B$13)))</f>
        <v/>
      </c>
      <c r="J1208" s="20">
        <f>IF(OR(NOT(ISNUMBER($A1208)),ROW()-2&lt;Settings!$B$11),NA(),IF(COUNT(OFFSET(G1208,1-Settings!$B$11,0,Settings!$B$11,1))&lt;ROUNDUP(Settings!$B$11*Settings!$B$26,0),NA(),STDEV(OFFSET(G1208,1-Settings!$B$11,0,Settings!$B$11,1))*SQRT(Settings!$B$13)))</f>
        <v/>
      </c>
      <c r="K1208" s="20">
        <f>IF(OR(NOT(ISNUMBER($A1208)),ROW()-2&lt;Settings!$B$12),NA(),IF(COUNT(OFFSET(G1208,1-Settings!$B$12,0,Settings!$B$12,1))&lt;ROUNDUP(Settings!$B$12*Settings!$B$26,0),NA(),STDEV(OFFSET(G1208,1-Settings!$B$12,0,Settings!$B$12,1))*SQRT(Settings!$B$13)))</f>
        <v/>
      </c>
      <c r="L1208" s="20">
        <f>IF(AND(ISNUMBER(D1208),ISNUMBER(H1208)),D1208-H1208,NA())</f>
        <v/>
      </c>
      <c r="M1208" s="20">
        <f>IF(AND(ISNUMBER(E1208),ISNUMBER(K1208)),E1208-K1208,NA())</f>
        <v/>
      </c>
      <c r="N1208" s="20">
        <f>IF(NOT(ISNUMBER($A1208)),NA(),IF(COUNT(OFFSET(G1208,1,0,Settings!$B$12,1))&lt;ROUNDUP(Settings!$B$12*Settings!$B$26,0),NA(),STDEV(OFFSET(G1208,1,0,Settings!$B$12,1))*SQRT(Settings!$B$13)))</f>
        <v/>
      </c>
      <c r="O1208" s="20">
        <f>IF(AND(ISNUMBER(E1208),ISNUMBER(N1208)),E1208-N1208,NA())</f>
        <v/>
      </c>
      <c r="P1208" s="19">
        <f>IF(NOT(ISNUMBER($A1208)),NA(),IF(OR($A1208&lt;MIN(KW_TP!$A$2:$A$2501),$A1208&gt;MAX(KW_TP!$A$2:$A$2501)),NA(),INDEX(KW_TP!$C$2:$C$2501,MATCH($A1208,KW_TP!$A$2:$A$2501,1))))</f>
        <v/>
      </c>
      <c r="Q1208" s="18">
        <f>IF(NOT(ISNUMBER($A1208)),NA(),IFERROR(1*INDEX(BBG_Data!$J$2:$J$4000,MATCH($A1208,BBG_Data!$I$2:$I$4000,0)),NA()))</f>
        <v/>
      </c>
      <c r="R1208" s="18">
        <f>IF(NOT(ISNUMBER($A1208)),NA(),IFERROR(1*INDEX(BBG_Data!$L$2:$L$4000,MATCH($A1208,BBG_Data!$K$2:$K$4000,0)),NA()))</f>
        <v/>
      </c>
      <c r="S1208" s="20">
        <f>IF(AND(ISNUMBER(B1208),ISNUMBER(Q1208),ISNUMBER(R1208)),(B1208-Q1208-R1208)*100,NA())</f>
        <v/>
      </c>
      <c r="T1208" s="20">
        <f>IF(AND(ISNUMBER(B1208),Settings!$B$17&gt;0),IF(ISNUMBER(INDEX($B:$B,Settings!$B$17)),(B1208-INDEX($B:$B,Settings!$B$17))*100,NA()),NA())</f>
        <v/>
      </c>
      <c r="U1208" s="20">
        <f>IF(AND(ISNUMBER(Q1208),Settings!$B$17&gt;0),IF(ISNUMBER(INDEX($Q:$Q,Settings!$B$17)),(Q1208-INDEX($Q:$Q,Settings!$B$17))*100,NA()),NA())</f>
        <v/>
      </c>
      <c r="V1208" s="20">
        <f>IF(AND(ISNUMBER(R1208),Settings!$B$17&gt;0),IF(ISNUMBER(INDEX($R:$R,Settings!$B$17)),(R1208-INDEX($R:$R,Settings!$B$17))*100,NA()),NA())</f>
        <v/>
      </c>
      <c r="W1208" s="20">
        <f>IF(AND(ISNUMBER(P1208),Settings!$B$17&gt;0),IF(ISNUMBER(INDEX($P:$P,Settings!$B$17)),P1208-INDEX($P:$P,Settings!$B$17),NA()),NA())</f>
        <v/>
      </c>
      <c r="X1208" s="19">
        <f>IF(NOT(ISNUMBER($A1208)),NA(),IF(OR($A1208&lt;MIN(DKW_10Y!$A$2:$A$2918),$A1208&gt;MAX(DKW_10Y!$A$2:$A$2918),Settings!$B$16&lt;MIN(DKW_10Y!$A$2:$A$2918)),NA(),(INDEX(DKW_10Y!$B$2:$B$2918,MATCH($A1208,DKW_10Y!$A$2:$A$2918,1))-INDEX(DKW_10Y!$B$2:$B$2918,MATCH(Settings!$B$16,DKW_10Y!$A$2:$A$2918,1)))*100))</f>
        <v/>
      </c>
      <c r="Y1208" s="19">
        <f>IF(NOT(ISNUMBER($A1208)),NA(),IF(OR($A1208&lt;MIN(DKW_10Y!$A$2:$A$2918),$A1208&gt;MAX(DKW_10Y!$A$2:$A$2918),Settings!$B$16&lt;MIN(DKW_10Y!$A$2:$A$2918)),NA(),(INDEX(DKW_10Y!$C$2:$C$2918,MATCH($A1208,DKW_10Y!$A$2:$A$2918,1))-INDEX(DKW_10Y!$C$2:$C$2918,MATCH(Settings!$B$16,DKW_10Y!$A$2:$A$2918,1)))*100))</f>
        <v/>
      </c>
      <c r="Z1208" s="19">
        <f>IF(NOT(ISNUMBER($A1208)),NA(),IF(OR($A1208&lt;MIN(DKW_10Y!$A$2:$A$2918),$A1208&gt;MAX(DKW_10Y!$A$2:$A$2918),Settings!$B$16&lt;MIN(DKW_10Y!$A$2:$A$2918)),NA(),(INDEX(DKW_10Y!$D$2:$D$2918,MATCH($A1208,DKW_10Y!$A$2:$A$2918,1))-INDEX(DKW_10Y!$D$2:$D$2918,MATCH(Settings!$B$16,DKW_10Y!$A$2:$A$2918,1)))*100))</f>
        <v/>
      </c>
      <c r="AA1208" s="19">
        <f>IF(NOT(ISNUMBER($A1208)),NA(),IF(OR($A1208&lt;MIN(DKW_10Y!$A$2:$A$2918),$A1208&gt;MAX(DKW_10Y!$A$2:$A$2918),Settings!$B$16&lt;MIN(DKW_10Y!$A$2:$A$2918)),NA(),(INDEX(DKW_10Y!$E$2:$E$2918,MATCH($A1208,DKW_10Y!$A$2:$A$2918,1))-INDEX(DKW_10Y!$E$2:$E$2918,MATCH(Settings!$B$16,DKW_10Y!$A$2:$A$2918,1)))*100))</f>
        <v/>
      </c>
      <c r="AB1208" s="19">
        <f>IF(NOT(ISNUMBER($A1208)),NA(),IF(OR($A1208&lt;MIN(DKW_10Y!$A$2:$A$2918),$A1208&gt;MAX(DKW_10Y!$A$2:$A$2918),Settings!$B$16&lt;MIN(DKW_10Y!$A$2:$A$2918)),NA(),(INDEX(DKW_10Y!$H$2:$H$2918,MATCH($A1208,DKW_10Y!$A$2:$A$2918,1))-INDEX(DKW_10Y!$H$2:$H$2918,MATCH(Settings!$B$16,DKW_10Y!$A$2:$A$2918,1)))*100))</f>
        <v/>
      </c>
      <c r="AC1208" s="18">
        <f>IF(NOT(ISNUMBER($A1208)),NA(),IFERROR(1*INDEX(BBG_Data!$N$2:$N$4000,MATCH($A1208,BBG_Data!$M$2:$M$4000,0)),NA()))</f>
        <v/>
      </c>
      <c r="AD1208" s="18">
        <f>IF(NOT(ISNUMBER($A1208)),NA(),IFERROR(1*INDEX(BBG_Data!$P$2:$P$4000,MATCH($A1208,BBG_Data!$O$2:$O$4000,0)),NA()))</f>
        <v/>
      </c>
      <c r="AE1208" s="18">
        <f>IF(NOT(ISNUMBER($A1208)),NA(),IFERROR(1*INDEX(BBG_Data!$R$2:$R$4000,MATCH($A1208,BBG_Data!$Q$2:$Q$4000,0)),NA()))</f>
        <v/>
      </c>
      <c r="AF1208" s="20">
        <f>IF(AND(ISNUMBER(B1208),ISNUMBER(AC1208)),(B1208-AC1208)*100,NA())</f>
        <v/>
      </c>
      <c r="AG1208" s="20">
        <f>IF(AND(ISNUMBER(AE1208),ISNUMBER(AD1208)),(AE1208-AD1208)*100,NA())</f>
        <v/>
      </c>
      <c r="AH1208" s="19">
        <f>IF(NOT(ISNUMBER($A1208)),NA(),IFERROR(INDEX(BBG_Data!$T$2:$T$4000,MATCH($A1208,BBG_Data!$S$2:$S$4000,0))*Settings!$B$25,NA()))</f>
        <v/>
      </c>
      <c r="AI1208" s="19">
        <f>IF(NOT(ISNUMBER($A1208)),NA(),IFERROR(INDEX(BBG_Data!$V$2:$V$4000,MATCH($A1208,BBG_Data!$U$2:$U$4000,0))*Settings!$B$25,NA()))</f>
        <v/>
      </c>
      <c r="AJ1208" s="19">
        <f>IF(NOT(ISNUMBER($A1208)),NA(),IFERROR(1*INDEX(BBG_Data!$X$2:$X$4000,MATCH($A1208,BBG_Data!$W$2:$W$4000,0)),NA()))</f>
        <v/>
      </c>
      <c r="AK1208" s="19">
        <f>IF(NOT(ISNUMBER($A1208)),NA(),IFERROR(1*INDEX(BBG_Data!$Z$2:$Z$4000,MATCH($A1208,BBG_Data!$Y$2:$Y$4000,0)),NA()))</f>
        <v/>
      </c>
    </row>
    <row r="1209">
      <c r="A1209" s="17">
        <f>IF(ISNUMBER(BBG_Data!A1209),BBG_Data!A1209,"")</f>
        <v/>
      </c>
      <c r="B1209" s="18">
        <f>IF(AND(ISNUMBER($A1209),ISNUMBER(BBG_Data!B1209)),BBG_Data!B1209,NA())</f>
        <v/>
      </c>
      <c r="C1209" s="18">
        <f>IF(NOT(ISNUMBER($A1209)),NA(),IFERROR(1*INDEX(BBG_Data!$D$2:$D$4000,MATCH($A1209,BBG_Data!$C$2:$C$4000,0)),NA()))</f>
        <v/>
      </c>
      <c r="D1209" s="19">
        <f>IF(NOT(ISNUMBER($A1209)),NA(),IFERROR(1*INDEX(BBG_Data!$F$2:$F$4000,MATCH($A1209,BBG_Data!$E$2:$E$4000,0)),NA()))</f>
        <v/>
      </c>
      <c r="E1209" s="19">
        <f>IF(NOT(ISNUMBER($A1209)),NA(),IFERROR(1*INDEX(BBG_Data!$H$2:$H$4000,MATCH($A1209,BBG_Data!$G$2:$G$4000,0)),NA()))</f>
        <v/>
      </c>
      <c r="F1209" s="20">
        <f>IF(AND(ISNUMBER(B1209),ISNUMBER(B1208)),IF(B1209=B1208,"",(B1209-B1208)*100),"")</f>
        <v/>
      </c>
      <c r="G1209" s="20">
        <f>IF(AND(ISNUMBER(C1209),ISNUMBER(C1208)),IF(C1209=C1208,"",(C1209-C1208)*100),"")</f>
        <v/>
      </c>
      <c r="H1209" s="20">
        <f>IF(OR(NOT(ISNUMBER($A1209)),ROW()-2&lt;Settings!$B$11),NA(),IF(COUNT(OFFSET(F1209,1-Settings!$B$11,0,Settings!$B$11,1))&lt;ROUNDUP(Settings!$B$11*Settings!$B$26,0),NA(),STDEV(OFFSET(F1209,1-Settings!$B$11,0,Settings!$B$11,1))*SQRT(Settings!$B$13)))</f>
        <v/>
      </c>
      <c r="I1209" s="20">
        <f>IF(OR(NOT(ISNUMBER($A1209)),ROW()-2&lt;Settings!$B$12),NA(),IF(COUNT(OFFSET(F1209,1-Settings!$B$12,0,Settings!$B$12,1))&lt;ROUNDUP(Settings!$B$12*Settings!$B$26,0),NA(),STDEV(OFFSET(F1209,1-Settings!$B$12,0,Settings!$B$12,1))*SQRT(Settings!$B$13)))</f>
        <v/>
      </c>
      <c r="J1209" s="20">
        <f>IF(OR(NOT(ISNUMBER($A1209)),ROW()-2&lt;Settings!$B$11),NA(),IF(COUNT(OFFSET(G1209,1-Settings!$B$11,0,Settings!$B$11,1))&lt;ROUNDUP(Settings!$B$11*Settings!$B$26,0),NA(),STDEV(OFFSET(G1209,1-Settings!$B$11,0,Settings!$B$11,1))*SQRT(Settings!$B$13)))</f>
        <v/>
      </c>
      <c r="K1209" s="20">
        <f>IF(OR(NOT(ISNUMBER($A1209)),ROW()-2&lt;Settings!$B$12),NA(),IF(COUNT(OFFSET(G1209,1-Settings!$B$12,0,Settings!$B$12,1))&lt;ROUNDUP(Settings!$B$12*Settings!$B$26,0),NA(),STDEV(OFFSET(G1209,1-Settings!$B$12,0,Settings!$B$12,1))*SQRT(Settings!$B$13)))</f>
        <v/>
      </c>
      <c r="L1209" s="20">
        <f>IF(AND(ISNUMBER(D1209),ISNUMBER(H1209)),D1209-H1209,NA())</f>
        <v/>
      </c>
      <c r="M1209" s="20">
        <f>IF(AND(ISNUMBER(E1209),ISNUMBER(K1209)),E1209-K1209,NA())</f>
        <v/>
      </c>
      <c r="N1209" s="20">
        <f>IF(NOT(ISNUMBER($A1209)),NA(),IF(COUNT(OFFSET(G1209,1,0,Settings!$B$12,1))&lt;ROUNDUP(Settings!$B$12*Settings!$B$26,0),NA(),STDEV(OFFSET(G1209,1,0,Settings!$B$12,1))*SQRT(Settings!$B$13)))</f>
        <v/>
      </c>
      <c r="O1209" s="20">
        <f>IF(AND(ISNUMBER(E1209),ISNUMBER(N1209)),E1209-N1209,NA())</f>
        <v/>
      </c>
      <c r="P1209" s="19">
        <f>IF(NOT(ISNUMBER($A1209)),NA(),IF(OR($A1209&lt;MIN(KW_TP!$A$2:$A$2501),$A1209&gt;MAX(KW_TP!$A$2:$A$2501)),NA(),INDEX(KW_TP!$C$2:$C$2501,MATCH($A1209,KW_TP!$A$2:$A$2501,1))))</f>
        <v/>
      </c>
      <c r="Q1209" s="18">
        <f>IF(NOT(ISNUMBER($A1209)),NA(),IFERROR(1*INDEX(BBG_Data!$J$2:$J$4000,MATCH($A1209,BBG_Data!$I$2:$I$4000,0)),NA()))</f>
        <v/>
      </c>
      <c r="R1209" s="18">
        <f>IF(NOT(ISNUMBER($A1209)),NA(),IFERROR(1*INDEX(BBG_Data!$L$2:$L$4000,MATCH($A1209,BBG_Data!$K$2:$K$4000,0)),NA()))</f>
        <v/>
      </c>
      <c r="S1209" s="20">
        <f>IF(AND(ISNUMBER(B1209),ISNUMBER(Q1209),ISNUMBER(R1209)),(B1209-Q1209-R1209)*100,NA())</f>
        <v/>
      </c>
      <c r="T1209" s="20">
        <f>IF(AND(ISNUMBER(B1209),Settings!$B$17&gt;0),IF(ISNUMBER(INDEX($B:$B,Settings!$B$17)),(B1209-INDEX($B:$B,Settings!$B$17))*100,NA()),NA())</f>
        <v/>
      </c>
      <c r="U1209" s="20">
        <f>IF(AND(ISNUMBER(Q1209),Settings!$B$17&gt;0),IF(ISNUMBER(INDEX($Q:$Q,Settings!$B$17)),(Q1209-INDEX($Q:$Q,Settings!$B$17))*100,NA()),NA())</f>
        <v/>
      </c>
      <c r="V1209" s="20">
        <f>IF(AND(ISNUMBER(R1209),Settings!$B$17&gt;0),IF(ISNUMBER(INDEX($R:$R,Settings!$B$17)),(R1209-INDEX($R:$R,Settings!$B$17))*100,NA()),NA())</f>
        <v/>
      </c>
      <c r="W1209" s="20">
        <f>IF(AND(ISNUMBER(P1209),Settings!$B$17&gt;0),IF(ISNUMBER(INDEX($P:$P,Settings!$B$17)),P1209-INDEX($P:$P,Settings!$B$17),NA()),NA())</f>
        <v/>
      </c>
      <c r="X1209" s="19">
        <f>IF(NOT(ISNUMBER($A1209)),NA(),IF(OR($A1209&lt;MIN(DKW_10Y!$A$2:$A$2918),$A1209&gt;MAX(DKW_10Y!$A$2:$A$2918),Settings!$B$16&lt;MIN(DKW_10Y!$A$2:$A$2918)),NA(),(INDEX(DKW_10Y!$B$2:$B$2918,MATCH($A1209,DKW_10Y!$A$2:$A$2918,1))-INDEX(DKW_10Y!$B$2:$B$2918,MATCH(Settings!$B$16,DKW_10Y!$A$2:$A$2918,1)))*100))</f>
        <v/>
      </c>
      <c r="Y1209" s="19">
        <f>IF(NOT(ISNUMBER($A1209)),NA(),IF(OR($A1209&lt;MIN(DKW_10Y!$A$2:$A$2918),$A1209&gt;MAX(DKW_10Y!$A$2:$A$2918),Settings!$B$16&lt;MIN(DKW_10Y!$A$2:$A$2918)),NA(),(INDEX(DKW_10Y!$C$2:$C$2918,MATCH($A1209,DKW_10Y!$A$2:$A$2918,1))-INDEX(DKW_10Y!$C$2:$C$2918,MATCH(Settings!$B$16,DKW_10Y!$A$2:$A$2918,1)))*100))</f>
        <v/>
      </c>
      <c r="Z1209" s="19">
        <f>IF(NOT(ISNUMBER($A1209)),NA(),IF(OR($A1209&lt;MIN(DKW_10Y!$A$2:$A$2918),$A1209&gt;MAX(DKW_10Y!$A$2:$A$2918),Settings!$B$16&lt;MIN(DKW_10Y!$A$2:$A$2918)),NA(),(INDEX(DKW_10Y!$D$2:$D$2918,MATCH($A1209,DKW_10Y!$A$2:$A$2918,1))-INDEX(DKW_10Y!$D$2:$D$2918,MATCH(Settings!$B$16,DKW_10Y!$A$2:$A$2918,1)))*100))</f>
        <v/>
      </c>
      <c r="AA1209" s="19">
        <f>IF(NOT(ISNUMBER($A1209)),NA(),IF(OR($A1209&lt;MIN(DKW_10Y!$A$2:$A$2918),$A1209&gt;MAX(DKW_10Y!$A$2:$A$2918),Settings!$B$16&lt;MIN(DKW_10Y!$A$2:$A$2918)),NA(),(INDEX(DKW_10Y!$E$2:$E$2918,MATCH($A1209,DKW_10Y!$A$2:$A$2918,1))-INDEX(DKW_10Y!$E$2:$E$2918,MATCH(Settings!$B$16,DKW_10Y!$A$2:$A$2918,1)))*100))</f>
        <v/>
      </c>
      <c r="AB1209" s="19">
        <f>IF(NOT(ISNUMBER($A1209)),NA(),IF(OR($A1209&lt;MIN(DKW_10Y!$A$2:$A$2918),$A1209&gt;MAX(DKW_10Y!$A$2:$A$2918),Settings!$B$16&lt;MIN(DKW_10Y!$A$2:$A$2918)),NA(),(INDEX(DKW_10Y!$H$2:$H$2918,MATCH($A1209,DKW_10Y!$A$2:$A$2918,1))-INDEX(DKW_10Y!$H$2:$H$2918,MATCH(Settings!$B$16,DKW_10Y!$A$2:$A$2918,1)))*100))</f>
        <v/>
      </c>
      <c r="AC1209" s="18">
        <f>IF(NOT(ISNUMBER($A1209)),NA(),IFERROR(1*INDEX(BBG_Data!$N$2:$N$4000,MATCH($A1209,BBG_Data!$M$2:$M$4000,0)),NA()))</f>
        <v/>
      </c>
      <c r="AD1209" s="18">
        <f>IF(NOT(ISNUMBER($A1209)),NA(),IFERROR(1*INDEX(BBG_Data!$P$2:$P$4000,MATCH($A1209,BBG_Data!$O$2:$O$4000,0)),NA()))</f>
        <v/>
      </c>
      <c r="AE1209" s="18">
        <f>IF(NOT(ISNUMBER($A1209)),NA(),IFERROR(1*INDEX(BBG_Data!$R$2:$R$4000,MATCH($A1209,BBG_Data!$Q$2:$Q$4000,0)),NA()))</f>
        <v/>
      </c>
      <c r="AF1209" s="20">
        <f>IF(AND(ISNUMBER(B1209),ISNUMBER(AC1209)),(B1209-AC1209)*100,NA())</f>
        <v/>
      </c>
      <c r="AG1209" s="20">
        <f>IF(AND(ISNUMBER(AE1209),ISNUMBER(AD1209)),(AE1209-AD1209)*100,NA())</f>
        <v/>
      </c>
      <c r="AH1209" s="19">
        <f>IF(NOT(ISNUMBER($A1209)),NA(),IFERROR(INDEX(BBG_Data!$T$2:$T$4000,MATCH($A1209,BBG_Data!$S$2:$S$4000,0))*Settings!$B$25,NA()))</f>
        <v/>
      </c>
      <c r="AI1209" s="19">
        <f>IF(NOT(ISNUMBER($A1209)),NA(),IFERROR(INDEX(BBG_Data!$V$2:$V$4000,MATCH($A1209,BBG_Data!$U$2:$U$4000,0))*Settings!$B$25,NA()))</f>
        <v/>
      </c>
      <c r="AJ1209" s="19">
        <f>IF(NOT(ISNUMBER($A1209)),NA(),IFERROR(1*INDEX(BBG_Data!$X$2:$X$4000,MATCH($A1209,BBG_Data!$W$2:$W$4000,0)),NA()))</f>
        <v/>
      </c>
      <c r="AK1209" s="19">
        <f>IF(NOT(ISNUMBER($A1209)),NA(),IFERROR(1*INDEX(BBG_Data!$Z$2:$Z$4000,MATCH($A1209,BBG_Data!$Y$2:$Y$4000,0)),NA()))</f>
        <v/>
      </c>
    </row>
    <row r="1210">
      <c r="A1210" s="17">
        <f>IF(ISNUMBER(BBG_Data!A1210),BBG_Data!A1210,"")</f>
        <v/>
      </c>
      <c r="B1210" s="18">
        <f>IF(AND(ISNUMBER($A1210),ISNUMBER(BBG_Data!B1210)),BBG_Data!B1210,NA())</f>
        <v/>
      </c>
      <c r="C1210" s="18">
        <f>IF(NOT(ISNUMBER($A1210)),NA(),IFERROR(1*INDEX(BBG_Data!$D$2:$D$4000,MATCH($A1210,BBG_Data!$C$2:$C$4000,0)),NA()))</f>
        <v/>
      </c>
      <c r="D1210" s="19">
        <f>IF(NOT(ISNUMBER($A1210)),NA(),IFERROR(1*INDEX(BBG_Data!$F$2:$F$4000,MATCH($A1210,BBG_Data!$E$2:$E$4000,0)),NA()))</f>
        <v/>
      </c>
      <c r="E1210" s="19">
        <f>IF(NOT(ISNUMBER($A1210)),NA(),IFERROR(1*INDEX(BBG_Data!$H$2:$H$4000,MATCH($A1210,BBG_Data!$G$2:$G$4000,0)),NA()))</f>
        <v/>
      </c>
      <c r="F1210" s="20">
        <f>IF(AND(ISNUMBER(B1210),ISNUMBER(B1209)),IF(B1210=B1209,"",(B1210-B1209)*100),"")</f>
        <v/>
      </c>
      <c r="G1210" s="20">
        <f>IF(AND(ISNUMBER(C1210),ISNUMBER(C1209)),IF(C1210=C1209,"",(C1210-C1209)*100),"")</f>
        <v/>
      </c>
      <c r="H1210" s="20">
        <f>IF(OR(NOT(ISNUMBER($A1210)),ROW()-2&lt;Settings!$B$11),NA(),IF(COUNT(OFFSET(F1210,1-Settings!$B$11,0,Settings!$B$11,1))&lt;ROUNDUP(Settings!$B$11*Settings!$B$26,0),NA(),STDEV(OFFSET(F1210,1-Settings!$B$11,0,Settings!$B$11,1))*SQRT(Settings!$B$13)))</f>
        <v/>
      </c>
      <c r="I1210" s="20">
        <f>IF(OR(NOT(ISNUMBER($A1210)),ROW()-2&lt;Settings!$B$12),NA(),IF(COUNT(OFFSET(F1210,1-Settings!$B$12,0,Settings!$B$12,1))&lt;ROUNDUP(Settings!$B$12*Settings!$B$26,0),NA(),STDEV(OFFSET(F1210,1-Settings!$B$12,0,Settings!$B$12,1))*SQRT(Settings!$B$13)))</f>
        <v/>
      </c>
      <c r="J1210" s="20">
        <f>IF(OR(NOT(ISNUMBER($A1210)),ROW()-2&lt;Settings!$B$11),NA(),IF(COUNT(OFFSET(G1210,1-Settings!$B$11,0,Settings!$B$11,1))&lt;ROUNDUP(Settings!$B$11*Settings!$B$26,0),NA(),STDEV(OFFSET(G1210,1-Settings!$B$11,0,Settings!$B$11,1))*SQRT(Settings!$B$13)))</f>
        <v/>
      </c>
      <c r="K1210" s="20">
        <f>IF(OR(NOT(ISNUMBER($A1210)),ROW()-2&lt;Settings!$B$12),NA(),IF(COUNT(OFFSET(G1210,1-Settings!$B$12,0,Settings!$B$12,1))&lt;ROUNDUP(Settings!$B$12*Settings!$B$26,0),NA(),STDEV(OFFSET(G1210,1-Settings!$B$12,0,Settings!$B$12,1))*SQRT(Settings!$B$13)))</f>
        <v/>
      </c>
      <c r="L1210" s="20">
        <f>IF(AND(ISNUMBER(D1210),ISNUMBER(H1210)),D1210-H1210,NA())</f>
        <v/>
      </c>
      <c r="M1210" s="20">
        <f>IF(AND(ISNUMBER(E1210),ISNUMBER(K1210)),E1210-K1210,NA())</f>
        <v/>
      </c>
      <c r="N1210" s="20">
        <f>IF(NOT(ISNUMBER($A1210)),NA(),IF(COUNT(OFFSET(G1210,1,0,Settings!$B$12,1))&lt;ROUNDUP(Settings!$B$12*Settings!$B$26,0),NA(),STDEV(OFFSET(G1210,1,0,Settings!$B$12,1))*SQRT(Settings!$B$13)))</f>
        <v/>
      </c>
      <c r="O1210" s="20">
        <f>IF(AND(ISNUMBER(E1210),ISNUMBER(N1210)),E1210-N1210,NA())</f>
        <v/>
      </c>
      <c r="P1210" s="19">
        <f>IF(NOT(ISNUMBER($A1210)),NA(),IF(OR($A1210&lt;MIN(KW_TP!$A$2:$A$2501),$A1210&gt;MAX(KW_TP!$A$2:$A$2501)),NA(),INDEX(KW_TP!$C$2:$C$2501,MATCH($A1210,KW_TP!$A$2:$A$2501,1))))</f>
        <v/>
      </c>
      <c r="Q1210" s="18">
        <f>IF(NOT(ISNUMBER($A1210)),NA(),IFERROR(1*INDEX(BBG_Data!$J$2:$J$4000,MATCH($A1210,BBG_Data!$I$2:$I$4000,0)),NA()))</f>
        <v/>
      </c>
      <c r="R1210" s="18">
        <f>IF(NOT(ISNUMBER($A1210)),NA(),IFERROR(1*INDEX(BBG_Data!$L$2:$L$4000,MATCH($A1210,BBG_Data!$K$2:$K$4000,0)),NA()))</f>
        <v/>
      </c>
      <c r="S1210" s="20">
        <f>IF(AND(ISNUMBER(B1210),ISNUMBER(Q1210),ISNUMBER(R1210)),(B1210-Q1210-R1210)*100,NA())</f>
        <v/>
      </c>
      <c r="T1210" s="20">
        <f>IF(AND(ISNUMBER(B1210),Settings!$B$17&gt;0),IF(ISNUMBER(INDEX($B:$B,Settings!$B$17)),(B1210-INDEX($B:$B,Settings!$B$17))*100,NA()),NA())</f>
        <v/>
      </c>
      <c r="U1210" s="20">
        <f>IF(AND(ISNUMBER(Q1210),Settings!$B$17&gt;0),IF(ISNUMBER(INDEX($Q:$Q,Settings!$B$17)),(Q1210-INDEX($Q:$Q,Settings!$B$17))*100,NA()),NA())</f>
        <v/>
      </c>
      <c r="V1210" s="20">
        <f>IF(AND(ISNUMBER(R1210),Settings!$B$17&gt;0),IF(ISNUMBER(INDEX($R:$R,Settings!$B$17)),(R1210-INDEX($R:$R,Settings!$B$17))*100,NA()),NA())</f>
        <v/>
      </c>
      <c r="W1210" s="20">
        <f>IF(AND(ISNUMBER(P1210),Settings!$B$17&gt;0),IF(ISNUMBER(INDEX($P:$P,Settings!$B$17)),P1210-INDEX($P:$P,Settings!$B$17),NA()),NA())</f>
        <v/>
      </c>
      <c r="X1210" s="19">
        <f>IF(NOT(ISNUMBER($A1210)),NA(),IF(OR($A1210&lt;MIN(DKW_10Y!$A$2:$A$2918),$A1210&gt;MAX(DKW_10Y!$A$2:$A$2918),Settings!$B$16&lt;MIN(DKW_10Y!$A$2:$A$2918)),NA(),(INDEX(DKW_10Y!$B$2:$B$2918,MATCH($A1210,DKW_10Y!$A$2:$A$2918,1))-INDEX(DKW_10Y!$B$2:$B$2918,MATCH(Settings!$B$16,DKW_10Y!$A$2:$A$2918,1)))*100))</f>
        <v/>
      </c>
      <c r="Y1210" s="19">
        <f>IF(NOT(ISNUMBER($A1210)),NA(),IF(OR($A1210&lt;MIN(DKW_10Y!$A$2:$A$2918),$A1210&gt;MAX(DKW_10Y!$A$2:$A$2918),Settings!$B$16&lt;MIN(DKW_10Y!$A$2:$A$2918)),NA(),(INDEX(DKW_10Y!$C$2:$C$2918,MATCH($A1210,DKW_10Y!$A$2:$A$2918,1))-INDEX(DKW_10Y!$C$2:$C$2918,MATCH(Settings!$B$16,DKW_10Y!$A$2:$A$2918,1)))*100))</f>
        <v/>
      </c>
      <c r="Z1210" s="19">
        <f>IF(NOT(ISNUMBER($A1210)),NA(),IF(OR($A1210&lt;MIN(DKW_10Y!$A$2:$A$2918),$A1210&gt;MAX(DKW_10Y!$A$2:$A$2918),Settings!$B$16&lt;MIN(DKW_10Y!$A$2:$A$2918)),NA(),(INDEX(DKW_10Y!$D$2:$D$2918,MATCH($A1210,DKW_10Y!$A$2:$A$2918,1))-INDEX(DKW_10Y!$D$2:$D$2918,MATCH(Settings!$B$16,DKW_10Y!$A$2:$A$2918,1)))*100))</f>
        <v/>
      </c>
      <c r="AA1210" s="19">
        <f>IF(NOT(ISNUMBER($A1210)),NA(),IF(OR($A1210&lt;MIN(DKW_10Y!$A$2:$A$2918),$A1210&gt;MAX(DKW_10Y!$A$2:$A$2918),Settings!$B$16&lt;MIN(DKW_10Y!$A$2:$A$2918)),NA(),(INDEX(DKW_10Y!$E$2:$E$2918,MATCH($A1210,DKW_10Y!$A$2:$A$2918,1))-INDEX(DKW_10Y!$E$2:$E$2918,MATCH(Settings!$B$16,DKW_10Y!$A$2:$A$2918,1)))*100))</f>
        <v/>
      </c>
      <c r="AB1210" s="19">
        <f>IF(NOT(ISNUMBER($A1210)),NA(),IF(OR($A1210&lt;MIN(DKW_10Y!$A$2:$A$2918),$A1210&gt;MAX(DKW_10Y!$A$2:$A$2918),Settings!$B$16&lt;MIN(DKW_10Y!$A$2:$A$2918)),NA(),(INDEX(DKW_10Y!$H$2:$H$2918,MATCH($A1210,DKW_10Y!$A$2:$A$2918,1))-INDEX(DKW_10Y!$H$2:$H$2918,MATCH(Settings!$B$16,DKW_10Y!$A$2:$A$2918,1)))*100))</f>
        <v/>
      </c>
      <c r="AC1210" s="18">
        <f>IF(NOT(ISNUMBER($A1210)),NA(),IFERROR(1*INDEX(BBG_Data!$N$2:$N$4000,MATCH($A1210,BBG_Data!$M$2:$M$4000,0)),NA()))</f>
        <v/>
      </c>
      <c r="AD1210" s="18">
        <f>IF(NOT(ISNUMBER($A1210)),NA(),IFERROR(1*INDEX(BBG_Data!$P$2:$P$4000,MATCH($A1210,BBG_Data!$O$2:$O$4000,0)),NA()))</f>
        <v/>
      </c>
      <c r="AE1210" s="18">
        <f>IF(NOT(ISNUMBER($A1210)),NA(),IFERROR(1*INDEX(BBG_Data!$R$2:$R$4000,MATCH($A1210,BBG_Data!$Q$2:$Q$4000,0)),NA()))</f>
        <v/>
      </c>
      <c r="AF1210" s="20">
        <f>IF(AND(ISNUMBER(B1210),ISNUMBER(AC1210)),(B1210-AC1210)*100,NA())</f>
        <v/>
      </c>
      <c r="AG1210" s="20">
        <f>IF(AND(ISNUMBER(AE1210),ISNUMBER(AD1210)),(AE1210-AD1210)*100,NA())</f>
        <v/>
      </c>
      <c r="AH1210" s="19">
        <f>IF(NOT(ISNUMBER($A1210)),NA(),IFERROR(INDEX(BBG_Data!$T$2:$T$4000,MATCH($A1210,BBG_Data!$S$2:$S$4000,0))*Settings!$B$25,NA()))</f>
        <v/>
      </c>
      <c r="AI1210" s="19">
        <f>IF(NOT(ISNUMBER($A1210)),NA(),IFERROR(INDEX(BBG_Data!$V$2:$V$4000,MATCH($A1210,BBG_Data!$U$2:$U$4000,0))*Settings!$B$25,NA()))</f>
        <v/>
      </c>
      <c r="AJ1210" s="19">
        <f>IF(NOT(ISNUMBER($A1210)),NA(),IFERROR(1*INDEX(BBG_Data!$X$2:$X$4000,MATCH($A1210,BBG_Data!$W$2:$W$4000,0)),NA()))</f>
        <v/>
      </c>
      <c r="AK1210" s="19">
        <f>IF(NOT(ISNUMBER($A1210)),NA(),IFERROR(1*INDEX(BBG_Data!$Z$2:$Z$4000,MATCH($A1210,BBG_Data!$Y$2:$Y$4000,0)),NA()))</f>
        <v/>
      </c>
    </row>
    <row r="1211">
      <c r="A1211" s="17">
        <f>IF(ISNUMBER(BBG_Data!A1211),BBG_Data!A1211,"")</f>
        <v/>
      </c>
      <c r="B1211" s="18">
        <f>IF(AND(ISNUMBER($A1211),ISNUMBER(BBG_Data!B1211)),BBG_Data!B1211,NA())</f>
        <v/>
      </c>
      <c r="C1211" s="18">
        <f>IF(NOT(ISNUMBER($A1211)),NA(),IFERROR(1*INDEX(BBG_Data!$D$2:$D$4000,MATCH($A1211,BBG_Data!$C$2:$C$4000,0)),NA()))</f>
        <v/>
      </c>
      <c r="D1211" s="19">
        <f>IF(NOT(ISNUMBER($A1211)),NA(),IFERROR(1*INDEX(BBG_Data!$F$2:$F$4000,MATCH($A1211,BBG_Data!$E$2:$E$4000,0)),NA()))</f>
        <v/>
      </c>
      <c r="E1211" s="19">
        <f>IF(NOT(ISNUMBER($A1211)),NA(),IFERROR(1*INDEX(BBG_Data!$H$2:$H$4000,MATCH($A1211,BBG_Data!$G$2:$G$4000,0)),NA()))</f>
        <v/>
      </c>
      <c r="F1211" s="20">
        <f>IF(AND(ISNUMBER(B1211),ISNUMBER(B1210)),IF(B1211=B1210,"",(B1211-B1210)*100),"")</f>
        <v/>
      </c>
      <c r="G1211" s="20">
        <f>IF(AND(ISNUMBER(C1211),ISNUMBER(C1210)),IF(C1211=C1210,"",(C1211-C1210)*100),"")</f>
        <v/>
      </c>
      <c r="H1211" s="20">
        <f>IF(OR(NOT(ISNUMBER($A1211)),ROW()-2&lt;Settings!$B$11),NA(),IF(COUNT(OFFSET(F1211,1-Settings!$B$11,0,Settings!$B$11,1))&lt;ROUNDUP(Settings!$B$11*Settings!$B$26,0),NA(),STDEV(OFFSET(F1211,1-Settings!$B$11,0,Settings!$B$11,1))*SQRT(Settings!$B$13)))</f>
        <v/>
      </c>
      <c r="I1211" s="20">
        <f>IF(OR(NOT(ISNUMBER($A1211)),ROW()-2&lt;Settings!$B$12),NA(),IF(COUNT(OFFSET(F1211,1-Settings!$B$12,0,Settings!$B$12,1))&lt;ROUNDUP(Settings!$B$12*Settings!$B$26,0),NA(),STDEV(OFFSET(F1211,1-Settings!$B$12,0,Settings!$B$12,1))*SQRT(Settings!$B$13)))</f>
        <v/>
      </c>
      <c r="J1211" s="20">
        <f>IF(OR(NOT(ISNUMBER($A1211)),ROW()-2&lt;Settings!$B$11),NA(),IF(COUNT(OFFSET(G1211,1-Settings!$B$11,0,Settings!$B$11,1))&lt;ROUNDUP(Settings!$B$11*Settings!$B$26,0),NA(),STDEV(OFFSET(G1211,1-Settings!$B$11,0,Settings!$B$11,1))*SQRT(Settings!$B$13)))</f>
        <v/>
      </c>
      <c r="K1211" s="20">
        <f>IF(OR(NOT(ISNUMBER($A1211)),ROW()-2&lt;Settings!$B$12),NA(),IF(COUNT(OFFSET(G1211,1-Settings!$B$12,0,Settings!$B$12,1))&lt;ROUNDUP(Settings!$B$12*Settings!$B$26,0),NA(),STDEV(OFFSET(G1211,1-Settings!$B$12,0,Settings!$B$12,1))*SQRT(Settings!$B$13)))</f>
        <v/>
      </c>
      <c r="L1211" s="20">
        <f>IF(AND(ISNUMBER(D1211),ISNUMBER(H1211)),D1211-H1211,NA())</f>
        <v/>
      </c>
      <c r="M1211" s="20">
        <f>IF(AND(ISNUMBER(E1211),ISNUMBER(K1211)),E1211-K1211,NA())</f>
        <v/>
      </c>
      <c r="N1211" s="20">
        <f>IF(NOT(ISNUMBER($A1211)),NA(),IF(COUNT(OFFSET(G1211,1,0,Settings!$B$12,1))&lt;ROUNDUP(Settings!$B$12*Settings!$B$26,0),NA(),STDEV(OFFSET(G1211,1,0,Settings!$B$12,1))*SQRT(Settings!$B$13)))</f>
        <v/>
      </c>
      <c r="O1211" s="20">
        <f>IF(AND(ISNUMBER(E1211),ISNUMBER(N1211)),E1211-N1211,NA())</f>
        <v/>
      </c>
      <c r="P1211" s="19">
        <f>IF(NOT(ISNUMBER($A1211)),NA(),IF(OR($A1211&lt;MIN(KW_TP!$A$2:$A$2501),$A1211&gt;MAX(KW_TP!$A$2:$A$2501)),NA(),INDEX(KW_TP!$C$2:$C$2501,MATCH($A1211,KW_TP!$A$2:$A$2501,1))))</f>
        <v/>
      </c>
      <c r="Q1211" s="18">
        <f>IF(NOT(ISNUMBER($A1211)),NA(),IFERROR(1*INDEX(BBG_Data!$J$2:$J$4000,MATCH($A1211,BBG_Data!$I$2:$I$4000,0)),NA()))</f>
        <v/>
      </c>
      <c r="R1211" s="18">
        <f>IF(NOT(ISNUMBER($A1211)),NA(),IFERROR(1*INDEX(BBG_Data!$L$2:$L$4000,MATCH($A1211,BBG_Data!$K$2:$K$4000,0)),NA()))</f>
        <v/>
      </c>
      <c r="S1211" s="20">
        <f>IF(AND(ISNUMBER(B1211),ISNUMBER(Q1211),ISNUMBER(R1211)),(B1211-Q1211-R1211)*100,NA())</f>
        <v/>
      </c>
      <c r="T1211" s="20">
        <f>IF(AND(ISNUMBER(B1211),Settings!$B$17&gt;0),IF(ISNUMBER(INDEX($B:$B,Settings!$B$17)),(B1211-INDEX($B:$B,Settings!$B$17))*100,NA()),NA())</f>
        <v/>
      </c>
      <c r="U1211" s="20">
        <f>IF(AND(ISNUMBER(Q1211),Settings!$B$17&gt;0),IF(ISNUMBER(INDEX($Q:$Q,Settings!$B$17)),(Q1211-INDEX($Q:$Q,Settings!$B$17))*100,NA()),NA())</f>
        <v/>
      </c>
      <c r="V1211" s="20">
        <f>IF(AND(ISNUMBER(R1211),Settings!$B$17&gt;0),IF(ISNUMBER(INDEX($R:$R,Settings!$B$17)),(R1211-INDEX($R:$R,Settings!$B$17))*100,NA()),NA())</f>
        <v/>
      </c>
      <c r="W1211" s="20">
        <f>IF(AND(ISNUMBER(P1211),Settings!$B$17&gt;0),IF(ISNUMBER(INDEX($P:$P,Settings!$B$17)),P1211-INDEX($P:$P,Settings!$B$17),NA()),NA())</f>
        <v/>
      </c>
      <c r="X1211" s="19">
        <f>IF(NOT(ISNUMBER($A1211)),NA(),IF(OR($A1211&lt;MIN(DKW_10Y!$A$2:$A$2918),$A1211&gt;MAX(DKW_10Y!$A$2:$A$2918),Settings!$B$16&lt;MIN(DKW_10Y!$A$2:$A$2918)),NA(),(INDEX(DKW_10Y!$B$2:$B$2918,MATCH($A1211,DKW_10Y!$A$2:$A$2918,1))-INDEX(DKW_10Y!$B$2:$B$2918,MATCH(Settings!$B$16,DKW_10Y!$A$2:$A$2918,1)))*100))</f>
        <v/>
      </c>
      <c r="Y1211" s="19">
        <f>IF(NOT(ISNUMBER($A1211)),NA(),IF(OR($A1211&lt;MIN(DKW_10Y!$A$2:$A$2918),$A1211&gt;MAX(DKW_10Y!$A$2:$A$2918),Settings!$B$16&lt;MIN(DKW_10Y!$A$2:$A$2918)),NA(),(INDEX(DKW_10Y!$C$2:$C$2918,MATCH($A1211,DKW_10Y!$A$2:$A$2918,1))-INDEX(DKW_10Y!$C$2:$C$2918,MATCH(Settings!$B$16,DKW_10Y!$A$2:$A$2918,1)))*100))</f>
        <v/>
      </c>
      <c r="Z1211" s="19">
        <f>IF(NOT(ISNUMBER($A1211)),NA(),IF(OR($A1211&lt;MIN(DKW_10Y!$A$2:$A$2918),$A1211&gt;MAX(DKW_10Y!$A$2:$A$2918),Settings!$B$16&lt;MIN(DKW_10Y!$A$2:$A$2918)),NA(),(INDEX(DKW_10Y!$D$2:$D$2918,MATCH($A1211,DKW_10Y!$A$2:$A$2918,1))-INDEX(DKW_10Y!$D$2:$D$2918,MATCH(Settings!$B$16,DKW_10Y!$A$2:$A$2918,1)))*100))</f>
        <v/>
      </c>
      <c r="AA1211" s="19">
        <f>IF(NOT(ISNUMBER($A1211)),NA(),IF(OR($A1211&lt;MIN(DKW_10Y!$A$2:$A$2918),$A1211&gt;MAX(DKW_10Y!$A$2:$A$2918),Settings!$B$16&lt;MIN(DKW_10Y!$A$2:$A$2918)),NA(),(INDEX(DKW_10Y!$E$2:$E$2918,MATCH($A1211,DKW_10Y!$A$2:$A$2918,1))-INDEX(DKW_10Y!$E$2:$E$2918,MATCH(Settings!$B$16,DKW_10Y!$A$2:$A$2918,1)))*100))</f>
        <v/>
      </c>
      <c r="AB1211" s="19">
        <f>IF(NOT(ISNUMBER($A1211)),NA(),IF(OR($A1211&lt;MIN(DKW_10Y!$A$2:$A$2918),$A1211&gt;MAX(DKW_10Y!$A$2:$A$2918),Settings!$B$16&lt;MIN(DKW_10Y!$A$2:$A$2918)),NA(),(INDEX(DKW_10Y!$H$2:$H$2918,MATCH($A1211,DKW_10Y!$A$2:$A$2918,1))-INDEX(DKW_10Y!$H$2:$H$2918,MATCH(Settings!$B$16,DKW_10Y!$A$2:$A$2918,1)))*100))</f>
        <v/>
      </c>
      <c r="AC1211" s="18">
        <f>IF(NOT(ISNUMBER($A1211)),NA(),IFERROR(1*INDEX(BBG_Data!$N$2:$N$4000,MATCH($A1211,BBG_Data!$M$2:$M$4000,0)),NA()))</f>
        <v/>
      </c>
      <c r="AD1211" s="18">
        <f>IF(NOT(ISNUMBER($A1211)),NA(),IFERROR(1*INDEX(BBG_Data!$P$2:$P$4000,MATCH($A1211,BBG_Data!$O$2:$O$4000,0)),NA()))</f>
        <v/>
      </c>
      <c r="AE1211" s="18">
        <f>IF(NOT(ISNUMBER($A1211)),NA(),IFERROR(1*INDEX(BBG_Data!$R$2:$R$4000,MATCH($A1211,BBG_Data!$Q$2:$Q$4000,0)),NA()))</f>
        <v/>
      </c>
      <c r="AF1211" s="20">
        <f>IF(AND(ISNUMBER(B1211),ISNUMBER(AC1211)),(B1211-AC1211)*100,NA())</f>
        <v/>
      </c>
      <c r="AG1211" s="20">
        <f>IF(AND(ISNUMBER(AE1211),ISNUMBER(AD1211)),(AE1211-AD1211)*100,NA())</f>
        <v/>
      </c>
      <c r="AH1211" s="19">
        <f>IF(NOT(ISNUMBER($A1211)),NA(),IFERROR(INDEX(BBG_Data!$T$2:$T$4000,MATCH($A1211,BBG_Data!$S$2:$S$4000,0))*Settings!$B$25,NA()))</f>
        <v/>
      </c>
      <c r="AI1211" s="19">
        <f>IF(NOT(ISNUMBER($A1211)),NA(),IFERROR(INDEX(BBG_Data!$V$2:$V$4000,MATCH($A1211,BBG_Data!$U$2:$U$4000,0))*Settings!$B$25,NA()))</f>
        <v/>
      </c>
      <c r="AJ1211" s="19">
        <f>IF(NOT(ISNUMBER($A1211)),NA(),IFERROR(1*INDEX(BBG_Data!$X$2:$X$4000,MATCH($A1211,BBG_Data!$W$2:$W$4000,0)),NA()))</f>
        <v/>
      </c>
      <c r="AK1211" s="19">
        <f>IF(NOT(ISNUMBER($A1211)),NA(),IFERROR(1*INDEX(BBG_Data!$Z$2:$Z$4000,MATCH($A1211,BBG_Data!$Y$2:$Y$4000,0)),NA()))</f>
        <v/>
      </c>
    </row>
    <row r="1212">
      <c r="A1212" s="17">
        <f>IF(ISNUMBER(BBG_Data!A1212),BBG_Data!A1212,"")</f>
        <v/>
      </c>
      <c r="B1212" s="18">
        <f>IF(AND(ISNUMBER($A1212),ISNUMBER(BBG_Data!B1212)),BBG_Data!B1212,NA())</f>
        <v/>
      </c>
      <c r="C1212" s="18">
        <f>IF(NOT(ISNUMBER($A1212)),NA(),IFERROR(1*INDEX(BBG_Data!$D$2:$D$4000,MATCH($A1212,BBG_Data!$C$2:$C$4000,0)),NA()))</f>
        <v/>
      </c>
      <c r="D1212" s="19">
        <f>IF(NOT(ISNUMBER($A1212)),NA(),IFERROR(1*INDEX(BBG_Data!$F$2:$F$4000,MATCH($A1212,BBG_Data!$E$2:$E$4000,0)),NA()))</f>
        <v/>
      </c>
      <c r="E1212" s="19">
        <f>IF(NOT(ISNUMBER($A1212)),NA(),IFERROR(1*INDEX(BBG_Data!$H$2:$H$4000,MATCH($A1212,BBG_Data!$G$2:$G$4000,0)),NA()))</f>
        <v/>
      </c>
      <c r="F1212" s="20">
        <f>IF(AND(ISNUMBER(B1212),ISNUMBER(B1211)),IF(B1212=B1211,"",(B1212-B1211)*100),"")</f>
        <v/>
      </c>
      <c r="G1212" s="20">
        <f>IF(AND(ISNUMBER(C1212),ISNUMBER(C1211)),IF(C1212=C1211,"",(C1212-C1211)*100),"")</f>
        <v/>
      </c>
      <c r="H1212" s="20">
        <f>IF(OR(NOT(ISNUMBER($A1212)),ROW()-2&lt;Settings!$B$11),NA(),IF(COUNT(OFFSET(F1212,1-Settings!$B$11,0,Settings!$B$11,1))&lt;ROUNDUP(Settings!$B$11*Settings!$B$26,0),NA(),STDEV(OFFSET(F1212,1-Settings!$B$11,0,Settings!$B$11,1))*SQRT(Settings!$B$13)))</f>
        <v/>
      </c>
      <c r="I1212" s="20">
        <f>IF(OR(NOT(ISNUMBER($A1212)),ROW()-2&lt;Settings!$B$12),NA(),IF(COUNT(OFFSET(F1212,1-Settings!$B$12,0,Settings!$B$12,1))&lt;ROUNDUP(Settings!$B$12*Settings!$B$26,0),NA(),STDEV(OFFSET(F1212,1-Settings!$B$12,0,Settings!$B$12,1))*SQRT(Settings!$B$13)))</f>
        <v/>
      </c>
      <c r="J1212" s="20">
        <f>IF(OR(NOT(ISNUMBER($A1212)),ROW()-2&lt;Settings!$B$11),NA(),IF(COUNT(OFFSET(G1212,1-Settings!$B$11,0,Settings!$B$11,1))&lt;ROUNDUP(Settings!$B$11*Settings!$B$26,0),NA(),STDEV(OFFSET(G1212,1-Settings!$B$11,0,Settings!$B$11,1))*SQRT(Settings!$B$13)))</f>
        <v/>
      </c>
      <c r="K1212" s="20">
        <f>IF(OR(NOT(ISNUMBER($A1212)),ROW()-2&lt;Settings!$B$12),NA(),IF(COUNT(OFFSET(G1212,1-Settings!$B$12,0,Settings!$B$12,1))&lt;ROUNDUP(Settings!$B$12*Settings!$B$26,0),NA(),STDEV(OFFSET(G1212,1-Settings!$B$12,0,Settings!$B$12,1))*SQRT(Settings!$B$13)))</f>
        <v/>
      </c>
      <c r="L1212" s="20">
        <f>IF(AND(ISNUMBER(D1212),ISNUMBER(H1212)),D1212-H1212,NA())</f>
        <v/>
      </c>
      <c r="M1212" s="20">
        <f>IF(AND(ISNUMBER(E1212),ISNUMBER(K1212)),E1212-K1212,NA())</f>
        <v/>
      </c>
      <c r="N1212" s="20">
        <f>IF(NOT(ISNUMBER($A1212)),NA(),IF(COUNT(OFFSET(G1212,1,0,Settings!$B$12,1))&lt;ROUNDUP(Settings!$B$12*Settings!$B$26,0),NA(),STDEV(OFFSET(G1212,1,0,Settings!$B$12,1))*SQRT(Settings!$B$13)))</f>
        <v/>
      </c>
      <c r="O1212" s="20">
        <f>IF(AND(ISNUMBER(E1212),ISNUMBER(N1212)),E1212-N1212,NA())</f>
        <v/>
      </c>
      <c r="P1212" s="19">
        <f>IF(NOT(ISNUMBER($A1212)),NA(),IF(OR($A1212&lt;MIN(KW_TP!$A$2:$A$2501),$A1212&gt;MAX(KW_TP!$A$2:$A$2501)),NA(),INDEX(KW_TP!$C$2:$C$2501,MATCH($A1212,KW_TP!$A$2:$A$2501,1))))</f>
        <v/>
      </c>
      <c r="Q1212" s="18">
        <f>IF(NOT(ISNUMBER($A1212)),NA(),IFERROR(1*INDEX(BBG_Data!$J$2:$J$4000,MATCH($A1212,BBG_Data!$I$2:$I$4000,0)),NA()))</f>
        <v/>
      </c>
      <c r="R1212" s="18">
        <f>IF(NOT(ISNUMBER($A1212)),NA(),IFERROR(1*INDEX(BBG_Data!$L$2:$L$4000,MATCH($A1212,BBG_Data!$K$2:$K$4000,0)),NA()))</f>
        <v/>
      </c>
      <c r="S1212" s="20">
        <f>IF(AND(ISNUMBER(B1212),ISNUMBER(Q1212),ISNUMBER(R1212)),(B1212-Q1212-R1212)*100,NA())</f>
        <v/>
      </c>
      <c r="T1212" s="20">
        <f>IF(AND(ISNUMBER(B1212),Settings!$B$17&gt;0),IF(ISNUMBER(INDEX($B:$B,Settings!$B$17)),(B1212-INDEX($B:$B,Settings!$B$17))*100,NA()),NA())</f>
        <v/>
      </c>
      <c r="U1212" s="20">
        <f>IF(AND(ISNUMBER(Q1212),Settings!$B$17&gt;0),IF(ISNUMBER(INDEX($Q:$Q,Settings!$B$17)),(Q1212-INDEX($Q:$Q,Settings!$B$17))*100,NA()),NA())</f>
        <v/>
      </c>
      <c r="V1212" s="20">
        <f>IF(AND(ISNUMBER(R1212),Settings!$B$17&gt;0),IF(ISNUMBER(INDEX($R:$R,Settings!$B$17)),(R1212-INDEX($R:$R,Settings!$B$17))*100,NA()),NA())</f>
        <v/>
      </c>
      <c r="W1212" s="20">
        <f>IF(AND(ISNUMBER(P1212),Settings!$B$17&gt;0),IF(ISNUMBER(INDEX($P:$P,Settings!$B$17)),P1212-INDEX($P:$P,Settings!$B$17),NA()),NA())</f>
        <v/>
      </c>
      <c r="X1212" s="19">
        <f>IF(NOT(ISNUMBER($A1212)),NA(),IF(OR($A1212&lt;MIN(DKW_10Y!$A$2:$A$2918),$A1212&gt;MAX(DKW_10Y!$A$2:$A$2918),Settings!$B$16&lt;MIN(DKW_10Y!$A$2:$A$2918)),NA(),(INDEX(DKW_10Y!$B$2:$B$2918,MATCH($A1212,DKW_10Y!$A$2:$A$2918,1))-INDEX(DKW_10Y!$B$2:$B$2918,MATCH(Settings!$B$16,DKW_10Y!$A$2:$A$2918,1)))*100))</f>
        <v/>
      </c>
      <c r="Y1212" s="19">
        <f>IF(NOT(ISNUMBER($A1212)),NA(),IF(OR($A1212&lt;MIN(DKW_10Y!$A$2:$A$2918),$A1212&gt;MAX(DKW_10Y!$A$2:$A$2918),Settings!$B$16&lt;MIN(DKW_10Y!$A$2:$A$2918)),NA(),(INDEX(DKW_10Y!$C$2:$C$2918,MATCH($A1212,DKW_10Y!$A$2:$A$2918,1))-INDEX(DKW_10Y!$C$2:$C$2918,MATCH(Settings!$B$16,DKW_10Y!$A$2:$A$2918,1)))*100))</f>
        <v/>
      </c>
      <c r="Z1212" s="19">
        <f>IF(NOT(ISNUMBER($A1212)),NA(),IF(OR($A1212&lt;MIN(DKW_10Y!$A$2:$A$2918),$A1212&gt;MAX(DKW_10Y!$A$2:$A$2918),Settings!$B$16&lt;MIN(DKW_10Y!$A$2:$A$2918)),NA(),(INDEX(DKW_10Y!$D$2:$D$2918,MATCH($A1212,DKW_10Y!$A$2:$A$2918,1))-INDEX(DKW_10Y!$D$2:$D$2918,MATCH(Settings!$B$16,DKW_10Y!$A$2:$A$2918,1)))*100))</f>
        <v/>
      </c>
      <c r="AA1212" s="19">
        <f>IF(NOT(ISNUMBER($A1212)),NA(),IF(OR($A1212&lt;MIN(DKW_10Y!$A$2:$A$2918),$A1212&gt;MAX(DKW_10Y!$A$2:$A$2918),Settings!$B$16&lt;MIN(DKW_10Y!$A$2:$A$2918)),NA(),(INDEX(DKW_10Y!$E$2:$E$2918,MATCH($A1212,DKW_10Y!$A$2:$A$2918,1))-INDEX(DKW_10Y!$E$2:$E$2918,MATCH(Settings!$B$16,DKW_10Y!$A$2:$A$2918,1)))*100))</f>
        <v/>
      </c>
      <c r="AB1212" s="19">
        <f>IF(NOT(ISNUMBER($A1212)),NA(),IF(OR($A1212&lt;MIN(DKW_10Y!$A$2:$A$2918),$A1212&gt;MAX(DKW_10Y!$A$2:$A$2918),Settings!$B$16&lt;MIN(DKW_10Y!$A$2:$A$2918)),NA(),(INDEX(DKW_10Y!$H$2:$H$2918,MATCH($A1212,DKW_10Y!$A$2:$A$2918,1))-INDEX(DKW_10Y!$H$2:$H$2918,MATCH(Settings!$B$16,DKW_10Y!$A$2:$A$2918,1)))*100))</f>
        <v/>
      </c>
      <c r="AC1212" s="18">
        <f>IF(NOT(ISNUMBER($A1212)),NA(),IFERROR(1*INDEX(BBG_Data!$N$2:$N$4000,MATCH($A1212,BBG_Data!$M$2:$M$4000,0)),NA()))</f>
        <v/>
      </c>
      <c r="AD1212" s="18">
        <f>IF(NOT(ISNUMBER($A1212)),NA(),IFERROR(1*INDEX(BBG_Data!$P$2:$P$4000,MATCH($A1212,BBG_Data!$O$2:$O$4000,0)),NA()))</f>
        <v/>
      </c>
      <c r="AE1212" s="18">
        <f>IF(NOT(ISNUMBER($A1212)),NA(),IFERROR(1*INDEX(BBG_Data!$R$2:$R$4000,MATCH($A1212,BBG_Data!$Q$2:$Q$4000,0)),NA()))</f>
        <v/>
      </c>
      <c r="AF1212" s="20">
        <f>IF(AND(ISNUMBER(B1212),ISNUMBER(AC1212)),(B1212-AC1212)*100,NA())</f>
        <v/>
      </c>
      <c r="AG1212" s="20">
        <f>IF(AND(ISNUMBER(AE1212),ISNUMBER(AD1212)),(AE1212-AD1212)*100,NA())</f>
        <v/>
      </c>
      <c r="AH1212" s="19">
        <f>IF(NOT(ISNUMBER($A1212)),NA(),IFERROR(INDEX(BBG_Data!$T$2:$T$4000,MATCH($A1212,BBG_Data!$S$2:$S$4000,0))*Settings!$B$25,NA()))</f>
        <v/>
      </c>
      <c r="AI1212" s="19">
        <f>IF(NOT(ISNUMBER($A1212)),NA(),IFERROR(INDEX(BBG_Data!$V$2:$V$4000,MATCH($A1212,BBG_Data!$U$2:$U$4000,0))*Settings!$B$25,NA()))</f>
        <v/>
      </c>
      <c r="AJ1212" s="19">
        <f>IF(NOT(ISNUMBER($A1212)),NA(),IFERROR(1*INDEX(BBG_Data!$X$2:$X$4000,MATCH($A1212,BBG_Data!$W$2:$W$4000,0)),NA()))</f>
        <v/>
      </c>
      <c r="AK1212" s="19">
        <f>IF(NOT(ISNUMBER($A1212)),NA(),IFERROR(1*INDEX(BBG_Data!$Z$2:$Z$4000,MATCH($A1212,BBG_Data!$Y$2:$Y$4000,0)),NA()))</f>
        <v/>
      </c>
    </row>
    <row r="1213">
      <c r="A1213" s="17">
        <f>IF(ISNUMBER(BBG_Data!A1213),BBG_Data!A1213,"")</f>
        <v/>
      </c>
      <c r="B1213" s="18">
        <f>IF(AND(ISNUMBER($A1213),ISNUMBER(BBG_Data!B1213)),BBG_Data!B1213,NA())</f>
        <v/>
      </c>
      <c r="C1213" s="18">
        <f>IF(NOT(ISNUMBER($A1213)),NA(),IFERROR(1*INDEX(BBG_Data!$D$2:$D$4000,MATCH($A1213,BBG_Data!$C$2:$C$4000,0)),NA()))</f>
        <v/>
      </c>
      <c r="D1213" s="19">
        <f>IF(NOT(ISNUMBER($A1213)),NA(),IFERROR(1*INDEX(BBG_Data!$F$2:$F$4000,MATCH($A1213,BBG_Data!$E$2:$E$4000,0)),NA()))</f>
        <v/>
      </c>
      <c r="E1213" s="19">
        <f>IF(NOT(ISNUMBER($A1213)),NA(),IFERROR(1*INDEX(BBG_Data!$H$2:$H$4000,MATCH($A1213,BBG_Data!$G$2:$G$4000,0)),NA()))</f>
        <v/>
      </c>
      <c r="F1213" s="20">
        <f>IF(AND(ISNUMBER(B1213),ISNUMBER(B1212)),IF(B1213=B1212,"",(B1213-B1212)*100),"")</f>
        <v/>
      </c>
      <c r="G1213" s="20">
        <f>IF(AND(ISNUMBER(C1213),ISNUMBER(C1212)),IF(C1213=C1212,"",(C1213-C1212)*100),"")</f>
        <v/>
      </c>
      <c r="H1213" s="20">
        <f>IF(OR(NOT(ISNUMBER($A1213)),ROW()-2&lt;Settings!$B$11),NA(),IF(COUNT(OFFSET(F1213,1-Settings!$B$11,0,Settings!$B$11,1))&lt;ROUNDUP(Settings!$B$11*Settings!$B$26,0),NA(),STDEV(OFFSET(F1213,1-Settings!$B$11,0,Settings!$B$11,1))*SQRT(Settings!$B$13)))</f>
        <v/>
      </c>
      <c r="I1213" s="20">
        <f>IF(OR(NOT(ISNUMBER($A1213)),ROW()-2&lt;Settings!$B$12),NA(),IF(COUNT(OFFSET(F1213,1-Settings!$B$12,0,Settings!$B$12,1))&lt;ROUNDUP(Settings!$B$12*Settings!$B$26,0),NA(),STDEV(OFFSET(F1213,1-Settings!$B$12,0,Settings!$B$12,1))*SQRT(Settings!$B$13)))</f>
        <v/>
      </c>
      <c r="J1213" s="20">
        <f>IF(OR(NOT(ISNUMBER($A1213)),ROW()-2&lt;Settings!$B$11),NA(),IF(COUNT(OFFSET(G1213,1-Settings!$B$11,0,Settings!$B$11,1))&lt;ROUNDUP(Settings!$B$11*Settings!$B$26,0),NA(),STDEV(OFFSET(G1213,1-Settings!$B$11,0,Settings!$B$11,1))*SQRT(Settings!$B$13)))</f>
        <v/>
      </c>
      <c r="K1213" s="20">
        <f>IF(OR(NOT(ISNUMBER($A1213)),ROW()-2&lt;Settings!$B$12),NA(),IF(COUNT(OFFSET(G1213,1-Settings!$B$12,0,Settings!$B$12,1))&lt;ROUNDUP(Settings!$B$12*Settings!$B$26,0),NA(),STDEV(OFFSET(G1213,1-Settings!$B$12,0,Settings!$B$12,1))*SQRT(Settings!$B$13)))</f>
        <v/>
      </c>
      <c r="L1213" s="20">
        <f>IF(AND(ISNUMBER(D1213),ISNUMBER(H1213)),D1213-H1213,NA())</f>
        <v/>
      </c>
      <c r="M1213" s="20">
        <f>IF(AND(ISNUMBER(E1213),ISNUMBER(K1213)),E1213-K1213,NA())</f>
        <v/>
      </c>
      <c r="N1213" s="20">
        <f>IF(NOT(ISNUMBER($A1213)),NA(),IF(COUNT(OFFSET(G1213,1,0,Settings!$B$12,1))&lt;ROUNDUP(Settings!$B$12*Settings!$B$26,0),NA(),STDEV(OFFSET(G1213,1,0,Settings!$B$12,1))*SQRT(Settings!$B$13)))</f>
        <v/>
      </c>
      <c r="O1213" s="20">
        <f>IF(AND(ISNUMBER(E1213),ISNUMBER(N1213)),E1213-N1213,NA())</f>
        <v/>
      </c>
      <c r="P1213" s="19">
        <f>IF(NOT(ISNUMBER($A1213)),NA(),IF(OR($A1213&lt;MIN(KW_TP!$A$2:$A$2501),$A1213&gt;MAX(KW_TP!$A$2:$A$2501)),NA(),INDEX(KW_TP!$C$2:$C$2501,MATCH($A1213,KW_TP!$A$2:$A$2501,1))))</f>
        <v/>
      </c>
      <c r="Q1213" s="18">
        <f>IF(NOT(ISNUMBER($A1213)),NA(),IFERROR(1*INDEX(BBG_Data!$J$2:$J$4000,MATCH($A1213,BBG_Data!$I$2:$I$4000,0)),NA()))</f>
        <v/>
      </c>
      <c r="R1213" s="18">
        <f>IF(NOT(ISNUMBER($A1213)),NA(),IFERROR(1*INDEX(BBG_Data!$L$2:$L$4000,MATCH($A1213,BBG_Data!$K$2:$K$4000,0)),NA()))</f>
        <v/>
      </c>
      <c r="S1213" s="20">
        <f>IF(AND(ISNUMBER(B1213),ISNUMBER(Q1213),ISNUMBER(R1213)),(B1213-Q1213-R1213)*100,NA())</f>
        <v/>
      </c>
      <c r="T1213" s="20">
        <f>IF(AND(ISNUMBER(B1213),Settings!$B$17&gt;0),IF(ISNUMBER(INDEX($B:$B,Settings!$B$17)),(B1213-INDEX($B:$B,Settings!$B$17))*100,NA()),NA())</f>
        <v/>
      </c>
      <c r="U1213" s="20">
        <f>IF(AND(ISNUMBER(Q1213),Settings!$B$17&gt;0),IF(ISNUMBER(INDEX($Q:$Q,Settings!$B$17)),(Q1213-INDEX($Q:$Q,Settings!$B$17))*100,NA()),NA())</f>
        <v/>
      </c>
      <c r="V1213" s="20">
        <f>IF(AND(ISNUMBER(R1213),Settings!$B$17&gt;0),IF(ISNUMBER(INDEX($R:$R,Settings!$B$17)),(R1213-INDEX($R:$R,Settings!$B$17))*100,NA()),NA())</f>
        <v/>
      </c>
      <c r="W1213" s="20">
        <f>IF(AND(ISNUMBER(P1213),Settings!$B$17&gt;0),IF(ISNUMBER(INDEX($P:$P,Settings!$B$17)),P1213-INDEX($P:$P,Settings!$B$17),NA()),NA())</f>
        <v/>
      </c>
      <c r="X1213" s="19">
        <f>IF(NOT(ISNUMBER($A1213)),NA(),IF(OR($A1213&lt;MIN(DKW_10Y!$A$2:$A$2918),$A1213&gt;MAX(DKW_10Y!$A$2:$A$2918),Settings!$B$16&lt;MIN(DKW_10Y!$A$2:$A$2918)),NA(),(INDEX(DKW_10Y!$B$2:$B$2918,MATCH($A1213,DKW_10Y!$A$2:$A$2918,1))-INDEX(DKW_10Y!$B$2:$B$2918,MATCH(Settings!$B$16,DKW_10Y!$A$2:$A$2918,1)))*100))</f>
        <v/>
      </c>
      <c r="Y1213" s="19">
        <f>IF(NOT(ISNUMBER($A1213)),NA(),IF(OR($A1213&lt;MIN(DKW_10Y!$A$2:$A$2918),$A1213&gt;MAX(DKW_10Y!$A$2:$A$2918),Settings!$B$16&lt;MIN(DKW_10Y!$A$2:$A$2918)),NA(),(INDEX(DKW_10Y!$C$2:$C$2918,MATCH($A1213,DKW_10Y!$A$2:$A$2918,1))-INDEX(DKW_10Y!$C$2:$C$2918,MATCH(Settings!$B$16,DKW_10Y!$A$2:$A$2918,1)))*100))</f>
        <v/>
      </c>
      <c r="Z1213" s="19">
        <f>IF(NOT(ISNUMBER($A1213)),NA(),IF(OR($A1213&lt;MIN(DKW_10Y!$A$2:$A$2918),$A1213&gt;MAX(DKW_10Y!$A$2:$A$2918),Settings!$B$16&lt;MIN(DKW_10Y!$A$2:$A$2918)),NA(),(INDEX(DKW_10Y!$D$2:$D$2918,MATCH($A1213,DKW_10Y!$A$2:$A$2918,1))-INDEX(DKW_10Y!$D$2:$D$2918,MATCH(Settings!$B$16,DKW_10Y!$A$2:$A$2918,1)))*100))</f>
        <v/>
      </c>
      <c r="AA1213" s="19">
        <f>IF(NOT(ISNUMBER($A1213)),NA(),IF(OR($A1213&lt;MIN(DKW_10Y!$A$2:$A$2918),$A1213&gt;MAX(DKW_10Y!$A$2:$A$2918),Settings!$B$16&lt;MIN(DKW_10Y!$A$2:$A$2918)),NA(),(INDEX(DKW_10Y!$E$2:$E$2918,MATCH($A1213,DKW_10Y!$A$2:$A$2918,1))-INDEX(DKW_10Y!$E$2:$E$2918,MATCH(Settings!$B$16,DKW_10Y!$A$2:$A$2918,1)))*100))</f>
        <v/>
      </c>
      <c r="AB1213" s="19">
        <f>IF(NOT(ISNUMBER($A1213)),NA(),IF(OR($A1213&lt;MIN(DKW_10Y!$A$2:$A$2918),$A1213&gt;MAX(DKW_10Y!$A$2:$A$2918),Settings!$B$16&lt;MIN(DKW_10Y!$A$2:$A$2918)),NA(),(INDEX(DKW_10Y!$H$2:$H$2918,MATCH($A1213,DKW_10Y!$A$2:$A$2918,1))-INDEX(DKW_10Y!$H$2:$H$2918,MATCH(Settings!$B$16,DKW_10Y!$A$2:$A$2918,1)))*100))</f>
        <v/>
      </c>
      <c r="AC1213" s="18">
        <f>IF(NOT(ISNUMBER($A1213)),NA(),IFERROR(1*INDEX(BBG_Data!$N$2:$N$4000,MATCH($A1213,BBG_Data!$M$2:$M$4000,0)),NA()))</f>
        <v/>
      </c>
      <c r="AD1213" s="18">
        <f>IF(NOT(ISNUMBER($A1213)),NA(),IFERROR(1*INDEX(BBG_Data!$P$2:$P$4000,MATCH($A1213,BBG_Data!$O$2:$O$4000,0)),NA()))</f>
        <v/>
      </c>
      <c r="AE1213" s="18">
        <f>IF(NOT(ISNUMBER($A1213)),NA(),IFERROR(1*INDEX(BBG_Data!$R$2:$R$4000,MATCH($A1213,BBG_Data!$Q$2:$Q$4000,0)),NA()))</f>
        <v/>
      </c>
      <c r="AF1213" s="20">
        <f>IF(AND(ISNUMBER(B1213),ISNUMBER(AC1213)),(B1213-AC1213)*100,NA())</f>
        <v/>
      </c>
      <c r="AG1213" s="20">
        <f>IF(AND(ISNUMBER(AE1213),ISNUMBER(AD1213)),(AE1213-AD1213)*100,NA())</f>
        <v/>
      </c>
      <c r="AH1213" s="19">
        <f>IF(NOT(ISNUMBER($A1213)),NA(),IFERROR(INDEX(BBG_Data!$T$2:$T$4000,MATCH($A1213,BBG_Data!$S$2:$S$4000,0))*Settings!$B$25,NA()))</f>
        <v/>
      </c>
      <c r="AI1213" s="19">
        <f>IF(NOT(ISNUMBER($A1213)),NA(),IFERROR(INDEX(BBG_Data!$V$2:$V$4000,MATCH($A1213,BBG_Data!$U$2:$U$4000,0))*Settings!$B$25,NA()))</f>
        <v/>
      </c>
      <c r="AJ1213" s="19">
        <f>IF(NOT(ISNUMBER($A1213)),NA(),IFERROR(1*INDEX(BBG_Data!$X$2:$X$4000,MATCH($A1213,BBG_Data!$W$2:$W$4000,0)),NA()))</f>
        <v/>
      </c>
      <c r="AK1213" s="19">
        <f>IF(NOT(ISNUMBER($A1213)),NA(),IFERROR(1*INDEX(BBG_Data!$Z$2:$Z$4000,MATCH($A1213,BBG_Data!$Y$2:$Y$4000,0)),NA()))</f>
        <v/>
      </c>
    </row>
    <row r="1214">
      <c r="A1214" s="17">
        <f>IF(ISNUMBER(BBG_Data!A1214),BBG_Data!A1214,"")</f>
        <v/>
      </c>
      <c r="B1214" s="18">
        <f>IF(AND(ISNUMBER($A1214),ISNUMBER(BBG_Data!B1214)),BBG_Data!B1214,NA())</f>
        <v/>
      </c>
      <c r="C1214" s="18">
        <f>IF(NOT(ISNUMBER($A1214)),NA(),IFERROR(1*INDEX(BBG_Data!$D$2:$D$4000,MATCH($A1214,BBG_Data!$C$2:$C$4000,0)),NA()))</f>
        <v/>
      </c>
      <c r="D1214" s="19">
        <f>IF(NOT(ISNUMBER($A1214)),NA(),IFERROR(1*INDEX(BBG_Data!$F$2:$F$4000,MATCH($A1214,BBG_Data!$E$2:$E$4000,0)),NA()))</f>
        <v/>
      </c>
      <c r="E1214" s="19">
        <f>IF(NOT(ISNUMBER($A1214)),NA(),IFERROR(1*INDEX(BBG_Data!$H$2:$H$4000,MATCH($A1214,BBG_Data!$G$2:$G$4000,0)),NA()))</f>
        <v/>
      </c>
      <c r="F1214" s="20">
        <f>IF(AND(ISNUMBER(B1214),ISNUMBER(B1213)),IF(B1214=B1213,"",(B1214-B1213)*100),"")</f>
        <v/>
      </c>
      <c r="G1214" s="20">
        <f>IF(AND(ISNUMBER(C1214),ISNUMBER(C1213)),IF(C1214=C1213,"",(C1214-C1213)*100),"")</f>
        <v/>
      </c>
      <c r="H1214" s="20">
        <f>IF(OR(NOT(ISNUMBER($A1214)),ROW()-2&lt;Settings!$B$11),NA(),IF(COUNT(OFFSET(F1214,1-Settings!$B$11,0,Settings!$B$11,1))&lt;ROUNDUP(Settings!$B$11*Settings!$B$26,0),NA(),STDEV(OFFSET(F1214,1-Settings!$B$11,0,Settings!$B$11,1))*SQRT(Settings!$B$13)))</f>
        <v/>
      </c>
      <c r="I1214" s="20">
        <f>IF(OR(NOT(ISNUMBER($A1214)),ROW()-2&lt;Settings!$B$12),NA(),IF(COUNT(OFFSET(F1214,1-Settings!$B$12,0,Settings!$B$12,1))&lt;ROUNDUP(Settings!$B$12*Settings!$B$26,0),NA(),STDEV(OFFSET(F1214,1-Settings!$B$12,0,Settings!$B$12,1))*SQRT(Settings!$B$13)))</f>
        <v/>
      </c>
      <c r="J1214" s="20">
        <f>IF(OR(NOT(ISNUMBER($A1214)),ROW()-2&lt;Settings!$B$11),NA(),IF(COUNT(OFFSET(G1214,1-Settings!$B$11,0,Settings!$B$11,1))&lt;ROUNDUP(Settings!$B$11*Settings!$B$26,0),NA(),STDEV(OFFSET(G1214,1-Settings!$B$11,0,Settings!$B$11,1))*SQRT(Settings!$B$13)))</f>
        <v/>
      </c>
      <c r="K1214" s="20">
        <f>IF(OR(NOT(ISNUMBER($A1214)),ROW()-2&lt;Settings!$B$12),NA(),IF(COUNT(OFFSET(G1214,1-Settings!$B$12,0,Settings!$B$12,1))&lt;ROUNDUP(Settings!$B$12*Settings!$B$26,0),NA(),STDEV(OFFSET(G1214,1-Settings!$B$12,0,Settings!$B$12,1))*SQRT(Settings!$B$13)))</f>
        <v/>
      </c>
      <c r="L1214" s="20">
        <f>IF(AND(ISNUMBER(D1214),ISNUMBER(H1214)),D1214-H1214,NA())</f>
        <v/>
      </c>
      <c r="M1214" s="20">
        <f>IF(AND(ISNUMBER(E1214),ISNUMBER(K1214)),E1214-K1214,NA())</f>
        <v/>
      </c>
      <c r="N1214" s="20">
        <f>IF(NOT(ISNUMBER($A1214)),NA(),IF(COUNT(OFFSET(G1214,1,0,Settings!$B$12,1))&lt;ROUNDUP(Settings!$B$12*Settings!$B$26,0),NA(),STDEV(OFFSET(G1214,1,0,Settings!$B$12,1))*SQRT(Settings!$B$13)))</f>
        <v/>
      </c>
      <c r="O1214" s="20">
        <f>IF(AND(ISNUMBER(E1214),ISNUMBER(N1214)),E1214-N1214,NA())</f>
        <v/>
      </c>
      <c r="P1214" s="19">
        <f>IF(NOT(ISNUMBER($A1214)),NA(),IF(OR($A1214&lt;MIN(KW_TP!$A$2:$A$2501),$A1214&gt;MAX(KW_TP!$A$2:$A$2501)),NA(),INDEX(KW_TP!$C$2:$C$2501,MATCH($A1214,KW_TP!$A$2:$A$2501,1))))</f>
        <v/>
      </c>
      <c r="Q1214" s="18">
        <f>IF(NOT(ISNUMBER($A1214)),NA(),IFERROR(1*INDEX(BBG_Data!$J$2:$J$4000,MATCH($A1214,BBG_Data!$I$2:$I$4000,0)),NA()))</f>
        <v/>
      </c>
      <c r="R1214" s="18">
        <f>IF(NOT(ISNUMBER($A1214)),NA(),IFERROR(1*INDEX(BBG_Data!$L$2:$L$4000,MATCH($A1214,BBG_Data!$K$2:$K$4000,0)),NA()))</f>
        <v/>
      </c>
      <c r="S1214" s="20">
        <f>IF(AND(ISNUMBER(B1214),ISNUMBER(Q1214),ISNUMBER(R1214)),(B1214-Q1214-R1214)*100,NA())</f>
        <v/>
      </c>
      <c r="T1214" s="20">
        <f>IF(AND(ISNUMBER(B1214),Settings!$B$17&gt;0),IF(ISNUMBER(INDEX($B:$B,Settings!$B$17)),(B1214-INDEX($B:$B,Settings!$B$17))*100,NA()),NA())</f>
        <v/>
      </c>
      <c r="U1214" s="20">
        <f>IF(AND(ISNUMBER(Q1214),Settings!$B$17&gt;0),IF(ISNUMBER(INDEX($Q:$Q,Settings!$B$17)),(Q1214-INDEX($Q:$Q,Settings!$B$17))*100,NA()),NA())</f>
        <v/>
      </c>
      <c r="V1214" s="20">
        <f>IF(AND(ISNUMBER(R1214),Settings!$B$17&gt;0),IF(ISNUMBER(INDEX($R:$R,Settings!$B$17)),(R1214-INDEX($R:$R,Settings!$B$17))*100,NA()),NA())</f>
        <v/>
      </c>
      <c r="W1214" s="20">
        <f>IF(AND(ISNUMBER(P1214),Settings!$B$17&gt;0),IF(ISNUMBER(INDEX($P:$P,Settings!$B$17)),P1214-INDEX($P:$P,Settings!$B$17),NA()),NA())</f>
        <v/>
      </c>
      <c r="X1214" s="19">
        <f>IF(NOT(ISNUMBER($A1214)),NA(),IF(OR($A1214&lt;MIN(DKW_10Y!$A$2:$A$2918),$A1214&gt;MAX(DKW_10Y!$A$2:$A$2918),Settings!$B$16&lt;MIN(DKW_10Y!$A$2:$A$2918)),NA(),(INDEX(DKW_10Y!$B$2:$B$2918,MATCH($A1214,DKW_10Y!$A$2:$A$2918,1))-INDEX(DKW_10Y!$B$2:$B$2918,MATCH(Settings!$B$16,DKW_10Y!$A$2:$A$2918,1)))*100))</f>
        <v/>
      </c>
      <c r="Y1214" s="19">
        <f>IF(NOT(ISNUMBER($A1214)),NA(),IF(OR($A1214&lt;MIN(DKW_10Y!$A$2:$A$2918),$A1214&gt;MAX(DKW_10Y!$A$2:$A$2918),Settings!$B$16&lt;MIN(DKW_10Y!$A$2:$A$2918)),NA(),(INDEX(DKW_10Y!$C$2:$C$2918,MATCH($A1214,DKW_10Y!$A$2:$A$2918,1))-INDEX(DKW_10Y!$C$2:$C$2918,MATCH(Settings!$B$16,DKW_10Y!$A$2:$A$2918,1)))*100))</f>
        <v/>
      </c>
      <c r="Z1214" s="19">
        <f>IF(NOT(ISNUMBER($A1214)),NA(),IF(OR($A1214&lt;MIN(DKW_10Y!$A$2:$A$2918),$A1214&gt;MAX(DKW_10Y!$A$2:$A$2918),Settings!$B$16&lt;MIN(DKW_10Y!$A$2:$A$2918)),NA(),(INDEX(DKW_10Y!$D$2:$D$2918,MATCH($A1214,DKW_10Y!$A$2:$A$2918,1))-INDEX(DKW_10Y!$D$2:$D$2918,MATCH(Settings!$B$16,DKW_10Y!$A$2:$A$2918,1)))*100))</f>
        <v/>
      </c>
      <c r="AA1214" s="19">
        <f>IF(NOT(ISNUMBER($A1214)),NA(),IF(OR($A1214&lt;MIN(DKW_10Y!$A$2:$A$2918),$A1214&gt;MAX(DKW_10Y!$A$2:$A$2918),Settings!$B$16&lt;MIN(DKW_10Y!$A$2:$A$2918)),NA(),(INDEX(DKW_10Y!$E$2:$E$2918,MATCH($A1214,DKW_10Y!$A$2:$A$2918,1))-INDEX(DKW_10Y!$E$2:$E$2918,MATCH(Settings!$B$16,DKW_10Y!$A$2:$A$2918,1)))*100))</f>
        <v/>
      </c>
      <c r="AB1214" s="19">
        <f>IF(NOT(ISNUMBER($A1214)),NA(),IF(OR($A1214&lt;MIN(DKW_10Y!$A$2:$A$2918),$A1214&gt;MAX(DKW_10Y!$A$2:$A$2918),Settings!$B$16&lt;MIN(DKW_10Y!$A$2:$A$2918)),NA(),(INDEX(DKW_10Y!$H$2:$H$2918,MATCH($A1214,DKW_10Y!$A$2:$A$2918,1))-INDEX(DKW_10Y!$H$2:$H$2918,MATCH(Settings!$B$16,DKW_10Y!$A$2:$A$2918,1)))*100))</f>
        <v/>
      </c>
      <c r="AC1214" s="18">
        <f>IF(NOT(ISNUMBER($A1214)),NA(),IFERROR(1*INDEX(BBG_Data!$N$2:$N$4000,MATCH($A1214,BBG_Data!$M$2:$M$4000,0)),NA()))</f>
        <v/>
      </c>
      <c r="AD1214" s="18">
        <f>IF(NOT(ISNUMBER($A1214)),NA(),IFERROR(1*INDEX(BBG_Data!$P$2:$P$4000,MATCH($A1214,BBG_Data!$O$2:$O$4000,0)),NA()))</f>
        <v/>
      </c>
      <c r="AE1214" s="18">
        <f>IF(NOT(ISNUMBER($A1214)),NA(),IFERROR(1*INDEX(BBG_Data!$R$2:$R$4000,MATCH($A1214,BBG_Data!$Q$2:$Q$4000,0)),NA()))</f>
        <v/>
      </c>
      <c r="AF1214" s="20">
        <f>IF(AND(ISNUMBER(B1214),ISNUMBER(AC1214)),(B1214-AC1214)*100,NA())</f>
        <v/>
      </c>
      <c r="AG1214" s="20">
        <f>IF(AND(ISNUMBER(AE1214),ISNUMBER(AD1214)),(AE1214-AD1214)*100,NA())</f>
        <v/>
      </c>
      <c r="AH1214" s="19">
        <f>IF(NOT(ISNUMBER($A1214)),NA(),IFERROR(INDEX(BBG_Data!$T$2:$T$4000,MATCH($A1214,BBG_Data!$S$2:$S$4000,0))*Settings!$B$25,NA()))</f>
        <v/>
      </c>
      <c r="AI1214" s="19">
        <f>IF(NOT(ISNUMBER($A1214)),NA(),IFERROR(INDEX(BBG_Data!$V$2:$V$4000,MATCH($A1214,BBG_Data!$U$2:$U$4000,0))*Settings!$B$25,NA()))</f>
        <v/>
      </c>
      <c r="AJ1214" s="19">
        <f>IF(NOT(ISNUMBER($A1214)),NA(),IFERROR(1*INDEX(BBG_Data!$X$2:$X$4000,MATCH($A1214,BBG_Data!$W$2:$W$4000,0)),NA()))</f>
        <v/>
      </c>
      <c r="AK1214" s="19">
        <f>IF(NOT(ISNUMBER($A1214)),NA(),IFERROR(1*INDEX(BBG_Data!$Z$2:$Z$4000,MATCH($A1214,BBG_Data!$Y$2:$Y$4000,0)),NA()))</f>
        <v/>
      </c>
    </row>
    <row r="1215">
      <c r="A1215" s="17">
        <f>IF(ISNUMBER(BBG_Data!A1215),BBG_Data!A1215,"")</f>
        <v/>
      </c>
      <c r="B1215" s="18">
        <f>IF(AND(ISNUMBER($A1215),ISNUMBER(BBG_Data!B1215)),BBG_Data!B1215,NA())</f>
        <v/>
      </c>
      <c r="C1215" s="18">
        <f>IF(NOT(ISNUMBER($A1215)),NA(),IFERROR(1*INDEX(BBG_Data!$D$2:$D$4000,MATCH($A1215,BBG_Data!$C$2:$C$4000,0)),NA()))</f>
        <v/>
      </c>
      <c r="D1215" s="19">
        <f>IF(NOT(ISNUMBER($A1215)),NA(),IFERROR(1*INDEX(BBG_Data!$F$2:$F$4000,MATCH($A1215,BBG_Data!$E$2:$E$4000,0)),NA()))</f>
        <v/>
      </c>
      <c r="E1215" s="19">
        <f>IF(NOT(ISNUMBER($A1215)),NA(),IFERROR(1*INDEX(BBG_Data!$H$2:$H$4000,MATCH($A1215,BBG_Data!$G$2:$G$4000,0)),NA()))</f>
        <v/>
      </c>
      <c r="F1215" s="20">
        <f>IF(AND(ISNUMBER(B1215),ISNUMBER(B1214)),IF(B1215=B1214,"",(B1215-B1214)*100),"")</f>
        <v/>
      </c>
      <c r="G1215" s="20">
        <f>IF(AND(ISNUMBER(C1215),ISNUMBER(C1214)),IF(C1215=C1214,"",(C1215-C1214)*100),"")</f>
        <v/>
      </c>
      <c r="H1215" s="20">
        <f>IF(OR(NOT(ISNUMBER($A1215)),ROW()-2&lt;Settings!$B$11),NA(),IF(COUNT(OFFSET(F1215,1-Settings!$B$11,0,Settings!$B$11,1))&lt;ROUNDUP(Settings!$B$11*Settings!$B$26,0),NA(),STDEV(OFFSET(F1215,1-Settings!$B$11,0,Settings!$B$11,1))*SQRT(Settings!$B$13)))</f>
        <v/>
      </c>
      <c r="I1215" s="20">
        <f>IF(OR(NOT(ISNUMBER($A1215)),ROW()-2&lt;Settings!$B$12),NA(),IF(COUNT(OFFSET(F1215,1-Settings!$B$12,0,Settings!$B$12,1))&lt;ROUNDUP(Settings!$B$12*Settings!$B$26,0),NA(),STDEV(OFFSET(F1215,1-Settings!$B$12,0,Settings!$B$12,1))*SQRT(Settings!$B$13)))</f>
        <v/>
      </c>
      <c r="J1215" s="20">
        <f>IF(OR(NOT(ISNUMBER($A1215)),ROW()-2&lt;Settings!$B$11),NA(),IF(COUNT(OFFSET(G1215,1-Settings!$B$11,0,Settings!$B$11,1))&lt;ROUNDUP(Settings!$B$11*Settings!$B$26,0),NA(),STDEV(OFFSET(G1215,1-Settings!$B$11,0,Settings!$B$11,1))*SQRT(Settings!$B$13)))</f>
        <v/>
      </c>
      <c r="K1215" s="20">
        <f>IF(OR(NOT(ISNUMBER($A1215)),ROW()-2&lt;Settings!$B$12),NA(),IF(COUNT(OFFSET(G1215,1-Settings!$B$12,0,Settings!$B$12,1))&lt;ROUNDUP(Settings!$B$12*Settings!$B$26,0),NA(),STDEV(OFFSET(G1215,1-Settings!$B$12,0,Settings!$B$12,1))*SQRT(Settings!$B$13)))</f>
        <v/>
      </c>
      <c r="L1215" s="20">
        <f>IF(AND(ISNUMBER(D1215),ISNUMBER(H1215)),D1215-H1215,NA())</f>
        <v/>
      </c>
      <c r="M1215" s="20">
        <f>IF(AND(ISNUMBER(E1215),ISNUMBER(K1215)),E1215-K1215,NA())</f>
        <v/>
      </c>
      <c r="N1215" s="20">
        <f>IF(NOT(ISNUMBER($A1215)),NA(),IF(COUNT(OFFSET(G1215,1,0,Settings!$B$12,1))&lt;ROUNDUP(Settings!$B$12*Settings!$B$26,0),NA(),STDEV(OFFSET(G1215,1,0,Settings!$B$12,1))*SQRT(Settings!$B$13)))</f>
        <v/>
      </c>
      <c r="O1215" s="20">
        <f>IF(AND(ISNUMBER(E1215),ISNUMBER(N1215)),E1215-N1215,NA())</f>
        <v/>
      </c>
      <c r="P1215" s="19">
        <f>IF(NOT(ISNUMBER($A1215)),NA(),IF(OR($A1215&lt;MIN(KW_TP!$A$2:$A$2501),$A1215&gt;MAX(KW_TP!$A$2:$A$2501)),NA(),INDEX(KW_TP!$C$2:$C$2501,MATCH($A1215,KW_TP!$A$2:$A$2501,1))))</f>
        <v/>
      </c>
      <c r="Q1215" s="18">
        <f>IF(NOT(ISNUMBER($A1215)),NA(),IFERROR(1*INDEX(BBG_Data!$J$2:$J$4000,MATCH($A1215,BBG_Data!$I$2:$I$4000,0)),NA()))</f>
        <v/>
      </c>
      <c r="R1215" s="18">
        <f>IF(NOT(ISNUMBER($A1215)),NA(),IFERROR(1*INDEX(BBG_Data!$L$2:$L$4000,MATCH($A1215,BBG_Data!$K$2:$K$4000,0)),NA()))</f>
        <v/>
      </c>
      <c r="S1215" s="20">
        <f>IF(AND(ISNUMBER(B1215),ISNUMBER(Q1215),ISNUMBER(R1215)),(B1215-Q1215-R1215)*100,NA())</f>
        <v/>
      </c>
      <c r="T1215" s="20">
        <f>IF(AND(ISNUMBER(B1215),Settings!$B$17&gt;0),IF(ISNUMBER(INDEX($B:$B,Settings!$B$17)),(B1215-INDEX($B:$B,Settings!$B$17))*100,NA()),NA())</f>
        <v/>
      </c>
      <c r="U1215" s="20">
        <f>IF(AND(ISNUMBER(Q1215),Settings!$B$17&gt;0),IF(ISNUMBER(INDEX($Q:$Q,Settings!$B$17)),(Q1215-INDEX($Q:$Q,Settings!$B$17))*100,NA()),NA())</f>
        <v/>
      </c>
      <c r="V1215" s="20">
        <f>IF(AND(ISNUMBER(R1215),Settings!$B$17&gt;0),IF(ISNUMBER(INDEX($R:$R,Settings!$B$17)),(R1215-INDEX($R:$R,Settings!$B$17))*100,NA()),NA())</f>
        <v/>
      </c>
      <c r="W1215" s="20">
        <f>IF(AND(ISNUMBER(P1215),Settings!$B$17&gt;0),IF(ISNUMBER(INDEX($P:$P,Settings!$B$17)),P1215-INDEX($P:$P,Settings!$B$17),NA()),NA())</f>
        <v/>
      </c>
      <c r="X1215" s="19">
        <f>IF(NOT(ISNUMBER($A1215)),NA(),IF(OR($A1215&lt;MIN(DKW_10Y!$A$2:$A$2918),$A1215&gt;MAX(DKW_10Y!$A$2:$A$2918),Settings!$B$16&lt;MIN(DKW_10Y!$A$2:$A$2918)),NA(),(INDEX(DKW_10Y!$B$2:$B$2918,MATCH($A1215,DKW_10Y!$A$2:$A$2918,1))-INDEX(DKW_10Y!$B$2:$B$2918,MATCH(Settings!$B$16,DKW_10Y!$A$2:$A$2918,1)))*100))</f>
        <v/>
      </c>
      <c r="Y1215" s="19">
        <f>IF(NOT(ISNUMBER($A1215)),NA(),IF(OR($A1215&lt;MIN(DKW_10Y!$A$2:$A$2918),$A1215&gt;MAX(DKW_10Y!$A$2:$A$2918),Settings!$B$16&lt;MIN(DKW_10Y!$A$2:$A$2918)),NA(),(INDEX(DKW_10Y!$C$2:$C$2918,MATCH($A1215,DKW_10Y!$A$2:$A$2918,1))-INDEX(DKW_10Y!$C$2:$C$2918,MATCH(Settings!$B$16,DKW_10Y!$A$2:$A$2918,1)))*100))</f>
        <v/>
      </c>
      <c r="Z1215" s="19">
        <f>IF(NOT(ISNUMBER($A1215)),NA(),IF(OR($A1215&lt;MIN(DKW_10Y!$A$2:$A$2918),$A1215&gt;MAX(DKW_10Y!$A$2:$A$2918),Settings!$B$16&lt;MIN(DKW_10Y!$A$2:$A$2918)),NA(),(INDEX(DKW_10Y!$D$2:$D$2918,MATCH($A1215,DKW_10Y!$A$2:$A$2918,1))-INDEX(DKW_10Y!$D$2:$D$2918,MATCH(Settings!$B$16,DKW_10Y!$A$2:$A$2918,1)))*100))</f>
        <v/>
      </c>
      <c r="AA1215" s="19">
        <f>IF(NOT(ISNUMBER($A1215)),NA(),IF(OR($A1215&lt;MIN(DKW_10Y!$A$2:$A$2918),$A1215&gt;MAX(DKW_10Y!$A$2:$A$2918),Settings!$B$16&lt;MIN(DKW_10Y!$A$2:$A$2918)),NA(),(INDEX(DKW_10Y!$E$2:$E$2918,MATCH($A1215,DKW_10Y!$A$2:$A$2918,1))-INDEX(DKW_10Y!$E$2:$E$2918,MATCH(Settings!$B$16,DKW_10Y!$A$2:$A$2918,1)))*100))</f>
        <v/>
      </c>
      <c r="AB1215" s="19">
        <f>IF(NOT(ISNUMBER($A1215)),NA(),IF(OR($A1215&lt;MIN(DKW_10Y!$A$2:$A$2918),$A1215&gt;MAX(DKW_10Y!$A$2:$A$2918),Settings!$B$16&lt;MIN(DKW_10Y!$A$2:$A$2918)),NA(),(INDEX(DKW_10Y!$H$2:$H$2918,MATCH($A1215,DKW_10Y!$A$2:$A$2918,1))-INDEX(DKW_10Y!$H$2:$H$2918,MATCH(Settings!$B$16,DKW_10Y!$A$2:$A$2918,1)))*100))</f>
        <v/>
      </c>
      <c r="AC1215" s="18">
        <f>IF(NOT(ISNUMBER($A1215)),NA(),IFERROR(1*INDEX(BBG_Data!$N$2:$N$4000,MATCH($A1215,BBG_Data!$M$2:$M$4000,0)),NA()))</f>
        <v/>
      </c>
      <c r="AD1215" s="18">
        <f>IF(NOT(ISNUMBER($A1215)),NA(),IFERROR(1*INDEX(BBG_Data!$P$2:$P$4000,MATCH($A1215,BBG_Data!$O$2:$O$4000,0)),NA()))</f>
        <v/>
      </c>
      <c r="AE1215" s="18">
        <f>IF(NOT(ISNUMBER($A1215)),NA(),IFERROR(1*INDEX(BBG_Data!$R$2:$R$4000,MATCH($A1215,BBG_Data!$Q$2:$Q$4000,0)),NA()))</f>
        <v/>
      </c>
      <c r="AF1215" s="20">
        <f>IF(AND(ISNUMBER(B1215),ISNUMBER(AC1215)),(B1215-AC1215)*100,NA())</f>
        <v/>
      </c>
      <c r="AG1215" s="20">
        <f>IF(AND(ISNUMBER(AE1215),ISNUMBER(AD1215)),(AE1215-AD1215)*100,NA())</f>
        <v/>
      </c>
      <c r="AH1215" s="19">
        <f>IF(NOT(ISNUMBER($A1215)),NA(),IFERROR(INDEX(BBG_Data!$T$2:$T$4000,MATCH($A1215,BBG_Data!$S$2:$S$4000,0))*Settings!$B$25,NA()))</f>
        <v/>
      </c>
      <c r="AI1215" s="19">
        <f>IF(NOT(ISNUMBER($A1215)),NA(),IFERROR(INDEX(BBG_Data!$V$2:$V$4000,MATCH($A1215,BBG_Data!$U$2:$U$4000,0))*Settings!$B$25,NA()))</f>
        <v/>
      </c>
      <c r="AJ1215" s="19">
        <f>IF(NOT(ISNUMBER($A1215)),NA(),IFERROR(1*INDEX(BBG_Data!$X$2:$X$4000,MATCH($A1215,BBG_Data!$W$2:$W$4000,0)),NA()))</f>
        <v/>
      </c>
      <c r="AK1215" s="19">
        <f>IF(NOT(ISNUMBER($A1215)),NA(),IFERROR(1*INDEX(BBG_Data!$Z$2:$Z$4000,MATCH($A1215,BBG_Data!$Y$2:$Y$4000,0)),NA()))</f>
        <v/>
      </c>
    </row>
    <row r="1216">
      <c r="A1216" s="17">
        <f>IF(ISNUMBER(BBG_Data!A1216),BBG_Data!A1216,"")</f>
        <v/>
      </c>
      <c r="B1216" s="18">
        <f>IF(AND(ISNUMBER($A1216),ISNUMBER(BBG_Data!B1216)),BBG_Data!B1216,NA())</f>
        <v/>
      </c>
      <c r="C1216" s="18">
        <f>IF(NOT(ISNUMBER($A1216)),NA(),IFERROR(1*INDEX(BBG_Data!$D$2:$D$4000,MATCH($A1216,BBG_Data!$C$2:$C$4000,0)),NA()))</f>
        <v/>
      </c>
      <c r="D1216" s="19">
        <f>IF(NOT(ISNUMBER($A1216)),NA(),IFERROR(1*INDEX(BBG_Data!$F$2:$F$4000,MATCH($A1216,BBG_Data!$E$2:$E$4000,0)),NA()))</f>
        <v/>
      </c>
      <c r="E1216" s="19">
        <f>IF(NOT(ISNUMBER($A1216)),NA(),IFERROR(1*INDEX(BBG_Data!$H$2:$H$4000,MATCH($A1216,BBG_Data!$G$2:$G$4000,0)),NA()))</f>
        <v/>
      </c>
      <c r="F1216" s="20">
        <f>IF(AND(ISNUMBER(B1216),ISNUMBER(B1215)),IF(B1216=B1215,"",(B1216-B1215)*100),"")</f>
        <v/>
      </c>
      <c r="G1216" s="20">
        <f>IF(AND(ISNUMBER(C1216),ISNUMBER(C1215)),IF(C1216=C1215,"",(C1216-C1215)*100),"")</f>
        <v/>
      </c>
      <c r="H1216" s="20">
        <f>IF(OR(NOT(ISNUMBER($A1216)),ROW()-2&lt;Settings!$B$11),NA(),IF(COUNT(OFFSET(F1216,1-Settings!$B$11,0,Settings!$B$11,1))&lt;ROUNDUP(Settings!$B$11*Settings!$B$26,0),NA(),STDEV(OFFSET(F1216,1-Settings!$B$11,0,Settings!$B$11,1))*SQRT(Settings!$B$13)))</f>
        <v/>
      </c>
      <c r="I1216" s="20">
        <f>IF(OR(NOT(ISNUMBER($A1216)),ROW()-2&lt;Settings!$B$12),NA(),IF(COUNT(OFFSET(F1216,1-Settings!$B$12,0,Settings!$B$12,1))&lt;ROUNDUP(Settings!$B$12*Settings!$B$26,0),NA(),STDEV(OFFSET(F1216,1-Settings!$B$12,0,Settings!$B$12,1))*SQRT(Settings!$B$13)))</f>
        <v/>
      </c>
      <c r="J1216" s="20">
        <f>IF(OR(NOT(ISNUMBER($A1216)),ROW()-2&lt;Settings!$B$11),NA(),IF(COUNT(OFFSET(G1216,1-Settings!$B$11,0,Settings!$B$11,1))&lt;ROUNDUP(Settings!$B$11*Settings!$B$26,0),NA(),STDEV(OFFSET(G1216,1-Settings!$B$11,0,Settings!$B$11,1))*SQRT(Settings!$B$13)))</f>
        <v/>
      </c>
      <c r="K1216" s="20">
        <f>IF(OR(NOT(ISNUMBER($A1216)),ROW()-2&lt;Settings!$B$12),NA(),IF(COUNT(OFFSET(G1216,1-Settings!$B$12,0,Settings!$B$12,1))&lt;ROUNDUP(Settings!$B$12*Settings!$B$26,0),NA(),STDEV(OFFSET(G1216,1-Settings!$B$12,0,Settings!$B$12,1))*SQRT(Settings!$B$13)))</f>
        <v/>
      </c>
      <c r="L1216" s="20">
        <f>IF(AND(ISNUMBER(D1216),ISNUMBER(H1216)),D1216-H1216,NA())</f>
        <v/>
      </c>
      <c r="M1216" s="20">
        <f>IF(AND(ISNUMBER(E1216),ISNUMBER(K1216)),E1216-K1216,NA())</f>
        <v/>
      </c>
      <c r="N1216" s="20">
        <f>IF(NOT(ISNUMBER($A1216)),NA(),IF(COUNT(OFFSET(G1216,1,0,Settings!$B$12,1))&lt;ROUNDUP(Settings!$B$12*Settings!$B$26,0),NA(),STDEV(OFFSET(G1216,1,0,Settings!$B$12,1))*SQRT(Settings!$B$13)))</f>
        <v/>
      </c>
      <c r="O1216" s="20">
        <f>IF(AND(ISNUMBER(E1216),ISNUMBER(N1216)),E1216-N1216,NA())</f>
        <v/>
      </c>
      <c r="P1216" s="19">
        <f>IF(NOT(ISNUMBER($A1216)),NA(),IF(OR($A1216&lt;MIN(KW_TP!$A$2:$A$2501),$A1216&gt;MAX(KW_TP!$A$2:$A$2501)),NA(),INDEX(KW_TP!$C$2:$C$2501,MATCH($A1216,KW_TP!$A$2:$A$2501,1))))</f>
        <v/>
      </c>
      <c r="Q1216" s="18">
        <f>IF(NOT(ISNUMBER($A1216)),NA(),IFERROR(1*INDEX(BBG_Data!$J$2:$J$4000,MATCH($A1216,BBG_Data!$I$2:$I$4000,0)),NA()))</f>
        <v/>
      </c>
      <c r="R1216" s="18">
        <f>IF(NOT(ISNUMBER($A1216)),NA(),IFERROR(1*INDEX(BBG_Data!$L$2:$L$4000,MATCH($A1216,BBG_Data!$K$2:$K$4000,0)),NA()))</f>
        <v/>
      </c>
      <c r="S1216" s="20">
        <f>IF(AND(ISNUMBER(B1216),ISNUMBER(Q1216),ISNUMBER(R1216)),(B1216-Q1216-R1216)*100,NA())</f>
        <v/>
      </c>
      <c r="T1216" s="20">
        <f>IF(AND(ISNUMBER(B1216),Settings!$B$17&gt;0),IF(ISNUMBER(INDEX($B:$B,Settings!$B$17)),(B1216-INDEX($B:$B,Settings!$B$17))*100,NA()),NA())</f>
        <v/>
      </c>
      <c r="U1216" s="20">
        <f>IF(AND(ISNUMBER(Q1216),Settings!$B$17&gt;0),IF(ISNUMBER(INDEX($Q:$Q,Settings!$B$17)),(Q1216-INDEX($Q:$Q,Settings!$B$17))*100,NA()),NA())</f>
        <v/>
      </c>
      <c r="V1216" s="20">
        <f>IF(AND(ISNUMBER(R1216),Settings!$B$17&gt;0),IF(ISNUMBER(INDEX($R:$R,Settings!$B$17)),(R1216-INDEX($R:$R,Settings!$B$17))*100,NA()),NA())</f>
        <v/>
      </c>
      <c r="W1216" s="20">
        <f>IF(AND(ISNUMBER(P1216),Settings!$B$17&gt;0),IF(ISNUMBER(INDEX($P:$P,Settings!$B$17)),P1216-INDEX($P:$P,Settings!$B$17),NA()),NA())</f>
        <v/>
      </c>
      <c r="X1216" s="19">
        <f>IF(NOT(ISNUMBER($A1216)),NA(),IF(OR($A1216&lt;MIN(DKW_10Y!$A$2:$A$2918),$A1216&gt;MAX(DKW_10Y!$A$2:$A$2918),Settings!$B$16&lt;MIN(DKW_10Y!$A$2:$A$2918)),NA(),(INDEX(DKW_10Y!$B$2:$B$2918,MATCH($A1216,DKW_10Y!$A$2:$A$2918,1))-INDEX(DKW_10Y!$B$2:$B$2918,MATCH(Settings!$B$16,DKW_10Y!$A$2:$A$2918,1)))*100))</f>
        <v/>
      </c>
      <c r="Y1216" s="19">
        <f>IF(NOT(ISNUMBER($A1216)),NA(),IF(OR($A1216&lt;MIN(DKW_10Y!$A$2:$A$2918),$A1216&gt;MAX(DKW_10Y!$A$2:$A$2918),Settings!$B$16&lt;MIN(DKW_10Y!$A$2:$A$2918)),NA(),(INDEX(DKW_10Y!$C$2:$C$2918,MATCH($A1216,DKW_10Y!$A$2:$A$2918,1))-INDEX(DKW_10Y!$C$2:$C$2918,MATCH(Settings!$B$16,DKW_10Y!$A$2:$A$2918,1)))*100))</f>
        <v/>
      </c>
      <c r="Z1216" s="19">
        <f>IF(NOT(ISNUMBER($A1216)),NA(),IF(OR($A1216&lt;MIN(DKW_10Y!$A$2:$A$2918),$A1216&gt;MAX(DKW_10Y!$A$2:$A$2918),Settings!$B$16&lt;MIN(DKW_10Y!$A$2:$A$2918)),NA(),(INDEX(DKW_10Y!$D$2:$D$2918,MATCH($A1216,DKW_10Y!$A$2:$A$2918,1))-INDEX(DKW_10Y!$D$2:$D$2918,MATCH(Settings!$B$16,DKW_10Y!$A$2:$A$2918,1)))*100))</f>
        <v/>
      </c>
      <c r="AA1216" s="19">
        <f>IF(NOT(ISNUMBER($A1216)),NA(),IF(OR($A1216&lt;MIN(DKW_10Y!$A$2:$A$2918),$A1216&gt;MAX(DKW_10Y!$A$2:$A$2918),Settings!$B$16&lt;MIN(DKW_10Y!$A$2:$A$2918)),NA(),(INDEX(DKW_10Y!$E$2:$E$2918,MATCH($A1216,DKW_10Y!$A$2:$A$2918,1))-INDEX(DKW_10Y!$E$2:$E$2918,MATCH(Settings!$B$16,DKW_10Y!$A$2:$A$2918,1)))*100))</f>
        <v/>
      </c>
      <c r="AB1216" s="19">
        <f>IF(NOT(ISNUMBER($A1216)),NA(),IF(OR($A1216&lt;MIN(DKW_10Y!$A$2:$A$2918),$A1216&gt;MAX(DKW_10Y!$A$2:$A$2918),Settings!$B$16&lt;MIN(DKW_10Y!$A$2:$A$2918)),NA(),(INDEX(DKW_10Y!$H$2:$H$2918,MATCH($A1216,DKW_10Y!$A$2:$A$2918,1))-INDEX(DKW_10Y!$H$2:$H$2918,MATCH(Settings!$B$16,DKW_10Y!$A$2:$A$2918,1)))*100))</f>
        <v/>
      </c>
      <c r="AC1216" s="18">
        <f>IF(NOT(ISNUMBER($A1216)),NA(),IFERROR(1*INDEX(BBG_Data!$N$2:$N$4000,MATCH($A1216,BBG_Data!$M$2:$M$4000,0)),NA()))</f>
        <v/>
      </c>
      <c r="AD1216" s="18">
        <f>IF(NOT(ISNUMBER($A1216)),NA(),IFERROR(1*INDEX(BBG_Data!$P$2:$P$4000,MATCH($A1216,BBG_Data!$O$2:$O$4000,0)),NA()))</f>
        <v/>
      </c>
      <c r="AE1216" s="18">
        <f>IF(NOT(ISNUMBER($A1216)),NA(),IFERROR(1*INDEX(BBG_Data!$R$2:$R$4000,MATCH($A1216,BBG_Data!$Q$2:$Q$4000,0)),NA()))</f>
        <v/>
      </c>
      <c r="AF1216" s="20">
        <f>IF(AND(ISNUMBER(B1216),ISNUMBER(AC1216)),(B1216-AC1216)*100,NA())</f>
        <v/>
      </c>
      <c r="AG1216" s="20">
        <f>IF(AND(ISNUMBER(AE1216),ISNUMBER(AD1216)),(AE1216-AD1216)*100,NA())</f>
        <v/>
      </c>
      <c r="AH1216" s="19">
        <f>IF(NOT(ISNUMBER($A1216)),NA(),IFERROR(INDEX(BBG_Data!$T$2:$T$4000,MATCH($A1216,BBG_Data!$S$2:$S$4000,0))*Settings!$B$25,NA()))</f>
        <v/>
      </c>
      <c r="AI1216" s="19">
        <f>IF(NOT(ISNUMBER($A1216)),NA(),IFERROR(INDEX(BBG_Data!$V$2:$V$4000,MATCH($A1216,BBG_Data!$U$2:$U$4000,0))*Settings!$B$25,NA()))</f>
        <v/>
      </c>
      <c r="AJ1216" s="19">
        <f>IF(NOT(ISNUMBER($A1216)),NA(),IFERROR(1*INDEX(BBG_Data!$X$2:$X$4000,MATCH($A1216,BBG_Data!$W$2:$W$4000,0)),NA()))</f>
        <v/>
      </c>
      <c r="AK1216" s="19">
        <f>IF(NOT(ISNUMBER($A1216)),NA(),IFERROR(1*INDEX(BBG_Data!$Z$2:$Z$4000,MATCH($A1216,BBG_Data!$Y$2:$Y$4000,0)),NA()))</f>
        <v/>
      </c>
    </row>
    <row r="1217">
      <c r="A1217" s="17">
        <f>IF(ISNUMBER(BBG_Data!A1217),BBG_Data!A1217,"")</f>
        <v/>
      </c>
      <c r="B1217" s="18">
        <f>IF(AND(ISNUMBER($A1217),ISNUMBER(BBG_Data!B1217)),BBG_Data!B1217,NA())</f>
        <v/>
      </c>
      <c r="C1217" s="18">
        <f>IF(NOT(ISNUMBER($A1217)),NA(),IFERROR(1*INDEX(BBG_Data!$D$2:$D$4000,MATCH($A1217,BBG_Data!$C$2:$C$4000,0)),NA()))</f>
        <v/>
      </c>
      <c r="D1217" s="19">
        <f>IF(NOT(ISNUMBER($A1217)),NA(),IFERROR(1*INDEX(BBG_Data!$F$2:$F$4000,MATCH($A1217,BBG_Data!$E$2:$E$4000,0)),NA()))</f>
        <v/>
      </c>
      <c r="E1217" s="19">
        <f>IF(NOT(ISNUMBER($A1217)),NA(),IFERROR(1*INDEX(BBG_Data!$H$2:$H$4000,MATCH($A1217,BBG_Data!$G$2:$G$4000,0)),NA()))</f>
        <v/>
      </c>
      <c r="F1217" s="20">
        <f>IF(AND(ISNUMBER(B1217),ISNUMBER(B1216)),IF(B1217=B1216,"",(B1217-B1216)*100),"")</f>
        <v/>
      </c>
      <c r="G1217" s="20">
        <f>IF(AND(ISNUMBER(C1217),ISNUMBER(C1216)),IF(C1217=C1216,"",(C1217-C1216)*100),"")</f>
        <v/>
      </c>
      <c r="H1217" s="20">
        <f>IF(OR(NOT(ISNUMBER($A1217)),ROW()-2&lt;Settings!$B$11),NA(),IF(COUNT(OFFSET(F1217,1-Settings!$B$11,0,Settings!$B$11,1))&lt;ROUNDUP(Settings!$B$11*Settings!$B$26,0),NA(),STDEV(OFFSET(F1217,1-Settings!$B$11,0,Settings!$B$11,1))*SQRT(Settings!$B$13)))</f>
        <v/>
      </c>
      <c r="I1217" s="20">
        <f>IF(OR(NOT(ISNUMBER($A1217)),ROW()-2&lt;Settings!$B$12),NA(),IF(COUNT(OFFSET(F1217,1-Settings!$B$12,0,Settings!$B$12,1))&lt;ROUNDUP(Settings!$B$12*Settings!$B$26,0),NA(),STDEV(OFFSET(F1217,1-Settings!$B$12,0,Settings!$B$12,1))*SQRT(Settings!$B$13)))</f>
        <v/>
      </c>
      <c r="J1217" s="20">
        <f>IF(OR(NOT(ISNUMBER($A1217)),ROW()-2&lt;Settings!$B$11),NA(),IF(COUNT(OFFSET(G1217,1-Settings!$B$11,0,Settings!$B$11,1))&lt;ROUNDUP(Settings!$B$11*Settings!$B$26,0),NA(),STDEV(OFFSET(G1217,1-Settings!$B$11,0,Settings!$B$11,1))*SQRT(Settings!$B$13)))</f>
        <v/>
      </c>
      <c r="K1217" s="20">
        <f>IF(OR(NOT(ISNUMBER($A1217)),ROW()-2&lt;Settings!$B$12),NA(),IF(COUNT(OFFSET(G1217,1-Settings!$B$12,0,Settings!$B$12,1))&lt;ROUNDUP(Settings!$B$12*Settings!$B$26,0),NA(),STDEV(OFFSET(G1217,1-Settings!$B$12,0,Settings!$B$12,1))*SQRT(Settings!$B$13)))</f>
        <v/>
      </c>
      <c r="L1217" s="20">
        <f>IF(AND(ISNUMBER(D1217),ISNUMBER(H1217)),D1217-H1217,NA())</f>
        <v/>
      </c>
      <c r="M1217" s="20">
        <f>IF(AND(ISNUMBER(E1217),ISNUMBER(K1217)),E1217-K1217,NA())</f>
        <v/>
      </c>
      <c r="N1217" s="20">
        <f>IF(NOT(ISNUMBER($A1217)),NA(),IF(COUNT(OFFSET(G1217,1,0,Settings!$B$12,1))&lt;ROUNDUP(Settings!$B$12*Settings!$B$26,0),NA(),STDEV(OFFSET(G1217,1,0,Settings!$B$12,1))*SQRT(Settings!$B$13)))</f>
        <v/>
      </c>
      <c r="O1217" s="20">
        <f>IF(AND(ISNUMBER(E1217),ISNUMBER(N1217)),E1217-N1217,NA())</f>
        <v/>
      </c>
      <c r="P1217" s="19">
        <f>IF(NOT(ISNUMBER($A1217)),NA(),IF(OR($A1217&lt;MIN(KW_TP!$A$2:$A$2501),$A1217&gt;MAX(KW_TP!$A$2:$A$2501)),NA(),INDEX(KW_TP!$C$2:$C$2501,MATCH($A1217,KW_TP!$A$2:$A$2501,1))))</f>
        <v/>
      </c>
      <c r="Q1217" s="18">
        <f>IF(NOT(ISNUMBER($A1217)),NA(),IFERROR(1*INDEX(BBG_Data!$J$2:$J$4000,MATCH($A1217,BBG_Data!$I$2:$I$4000,0)),NA()))</f>
        <v/>
      </c>
      <c r="R1217" s="18">
        <f>IF(NOT(ISNUMBER($A1217)),NA(),IFERROR(1*INDEX(BBG_Data!$L$2:$L$4000,MATCH($A1217,BBG_Data!$K$2:$K$4000,0)),NA()))</f>
        <v/>
      </c>
      <c r="S1217" s="20">
        <f>IF(AND(ISNUMBER(B1217),ISNUMBER(Q1217),ISNUMBER(R1217)),(B1217-Q1217-R1217)*100,NA())</f>
        <v/>
      </c>
      <c r="T1217" s="20">
        <f>IF(AND(ISNUMBER(B1217),Settings!$B$17&gt;0),IF(ISNUMBER(INDEX($B:$B,Settings!$B$17)),(B1217-INDEX($B:$B,Settings!$B$17))*100,NA()),NA())</f>
        <v/>
      </c>
      <c r="U1217" s="20">
        <f>IF(AND(ISNUMBER(Q1217),Settings!$B$17&gt;0),IF(ISNUMBER(INDEX($Q:$Q,Settings!$B$17)),(Q1217-INDEX($Q:$Q,Settings!$B$17))*100,NA()),NA())</f>
        <v/>
      </c>
      <c r="V1217" s="20">
        <f>IF(AND(ISNUMBER(R1217),Settings!$B$17&gt;0),IF(ISNUMBER(INDEX($R:$R,Settings!$B$17)),(R1217-INDEX($R:$R,Settings!$B$17))*100,NA()),NA())</f>
        <v/>
      </c>
      <c r="W1217" s="20">
        <f>IF(AND(ISNUMBER(P1217),Settings!$B$17&gt;0),IF(ISNUMBER(INDEX($P:$P,Settings!$B$17)),P1217-INDEX($P:$P,Settings!$B$17),NA()),NA())</f>
        <v/>
      </c>
      <c r="X1217" s="19">
        <f>IF(NOT(ISNUMBER($A1217)),NA(),IF(OR($A1217&lt;MIN(DKW_10Y!$A$2:$A$2918),$A1217&gt;MAX(DKW_10Y!$A$2:$A$2918),Settings!$B$16&lt;MIN(DKW_10Y!$A$2:$A$2918)),NA(),(INDEX(DKW_10Y!$B$2:$B$2918,MATCH($A1217,DKW_10Y!$A$2:$A$2918,1))-INDEX(DKW_10Y!$B$2:$B$2918,MATCH(Settings!$B$16,DKW_10Y!$A$2:$A$2918,1)))*100))</f>
        <v/>
      </c>
      <c r="Y1217" s="19">
        <f>IF(NOT(ISNUMBER($A1217)),NA(),IF(OR($A1217&lt;MIN(DKW_10Y!$A$2:$A$2918),$A1217&gt;MAX(DKW_10Y!$A$2:$A$2918),Settings!$B$16&lt;MIN(DKW_10Y!$A$2:$A$2918)),NA(),(INDEX(DKW_10Y!$C$2:$C$2918,MATCH($A1217,DKW_10Y!$A$2:$A$2918,1))-INDEX(DKW_10Y!$C$2:$C$2918,MATCH(Settings!$B$16,DKW_10Y!$A$2:$A$2918,1)))*100))</f>
        <v/>
      </c>
      <c r="Z1217" s="19">
        <f>IF(NOT(ISNUMBER($A1217)),NA(),IF(OR($A1217&lt;MIN(DKW_10Y!$A$2:$A$2918),$A1217&gt;MAX(DKW_10Y!$A$2:$A$2918),Settings!$B$16&lt;MIN(DKW_10Y!$A$2:$A$2918)),NA(),(INDEX(DKW_10Y!$D$2:$D$2918,MATCH($A1217,DKW_10Y!$A$2:$A$2918,1))-INDEX(DKW_10Y!$D$2:$D$2918,MATCH(Settings!$B$16,DKW_10Y!$A$2:$A$2918,1)))*100))</f>
        <v/>
      </c>
      <c r="AA1217" s="19">
        <f>IF(NOT(ISNUMBER($A1217)),NA(),IF(OR($A1217&lt;MIN(DKW_10Y!$A$2:$A$2918),$A1217&gt;MAX(DKW_10Y!$A$2:$A$2918),Settings!$B$16&lt;MIN(DKW_10Y!$A$2:$A$2918)),NA(),(INDEX(DKW_10Y!$E$2:$E$2918,MATCH($A1217,DKW_10Y!$A$2:$A$2918,1))-INDEX(DKW_10Y!$E$2:$E$2918,MATCH(Settings!$B$16,DKW_10Y!$A$2:$A$2918,1)))*100))</f>
        <v/>
      </c>
      <c r="AB1217" s="19">
        <f>IF(NOT(ISNUMBER($A1217)),NA(),IF(OR($A1217&lt;MIN(DKW_10Y!$A$2:$A$2918),$A1217&gt;MAX(DKW_10Y!$A$2:$A$2918),Settings!$B$16&lt;MIN(DKW_10Y!$A$2:$A$2918)),NA(),(INDEX(DKW_10Y!$H$2:$H$2918,MATCH($A1217,DKW_10Y!$A$2:$A$2918,1))-INDEX(DKW_10Y!$H$2:$H$2918,MATCH(Settings!$B$16,DKW_10Y!$A$2:$A$2918,1)))*100))</f>
        <v/>
      </c>
      <c r="AC1217" s="18">
        <f>IF(NOT(ISNUMBER($A1217)),NA(),IFERROR(1*INDEX(BBG_Data!$N$2:$N$4000,MATCH($A1217,BBG_Data!$M$2:$M$4000,0)),NA()))</f>
        <v/>
      </c>
      <c r="AD1217" s="18">
        <f>IF(NOT(ISNUMBER($A1217)),NA(),IFERROR(1*INDEX(BBG_Data!$P$2:$P$4000,MATCH($A1217,BBG_Data!$O$2:$O$4000,0)),NA()))</f>
        <v/>
      </c>
      <c r="AE1217" s="18">
        <f>IF(NOT(ISNUMBER($A1217)),NA(),IFERROR(1*INDEX(BBG_Data!$R$2:$R$4000,MATCH($A1217,BBG_Data!$Q$2:$Q$4000,0)),NA()))</f>
        <v/>
      </c>
      <c r="AF1217" s="20">
        <f>IF(AND(ISNUMBER(B1217),ISNUMBER(AC1217)),(B1217-AC1217)*100,NA())</f>
        <v/>
      </c>
      <c r="AG1217" s="20">
        <f>IF(AND(ISNUMBER(AE1217),ISNUMBER(AD1217)),(AE1217-AD1217)*100,NA())</f>
        <v/>
      </c>
      <c r="AH1217" s="19">
        <f>IF(NOT(ISNUMBER($A1217)),NA(),IFERROR(INDEX(BBG_Data!$T$2:$T$4000,MATCH($A1217,BBG_Data!$S$2:$S$4000,0))*Settings!$B$25,NA()))</f>
        <v/>
      </c>
      <c r="AI1217" s="19">
        <f>IF(NOT(ISNUMBER($A1217)),NA(),IFERROR(INDEX(BBG_Data!$V$2:$V$4000,MATCH($A1217,BBG_Data!$U$2:$U$4000,0))*Settings!$B$25,NA()))</f>
        <v/>
      </c>
      <c r="AJ1217" s="19">
        <f>IF(NOT(ISNUMBER($A1217)),NA(),IFERROR(1*INDEX(BBG_Data!$X$2:$X$4000,MATCH($A1217,BBG_Data!$W$2:$W$4000,0)),NA()))</f>
        <v/>
      </c>
      <c r="AK1217" s="19">
        <f>IF(NOT(ISNUMBER($A1217)),NA(),IFERROR(1*INDEX(BBG_Data!$Z$2:$Z$4000,MATCH($A1217,BBG_Data!$Y$2:$Y$4000,0)),NA()))</f>
        <v/>
      </c>
    </row>
    <row r="1218">
      <c r="A1218" s="17">
        <f>IF(ISNUMBER(BBG_Data!A1218),BBG_Data!A1218,"")</f>
        <v/>
      </c>
      <c r="B1218" s="18">
        <f>IF(AND(ISNUMBER($A1218),ISNUMBER(BBG_Data!B1218)),BBG_Data!B1218,NA())</f>
        <v/>
      </c>
      <c r="C1218" s="18">
        <f>IF(NOT(ISNUMBER($A1218)),NA(),IFERROR(1*INDEX(BBG_Data!$D$2:$D$4000,MATCH($A1218,BBG_Data!$C$2:$C$4000,0)),NA()))</f>
        <v/>
      </c>
      <c r="D1218" s="19">
        <f>IF(NOT(ISNUMBER($A1218)),NA(),IFERROR(1*INDEX(BBG_Data!$F$2:$F$4000,MATCH($A1218,BBG_Data!$E$2:$E$4000,0)),NA()))</f>
        <v/>
      </c>
      <c r="E1218" s="19">
        <f>IF(NOT(ISNUMBER($A1218)),NA(),IFERROR(1*INDEX(BBG_Data!$H$2:$H$4000,MATCH($A1218,BBG_Data!$G$2:$G$4000,0)),NA()))</f>
        <v/>
      </c>
      <c r="F1218" s="20">
        <f>IF(AND(ISNUMBER(B1218),ISNUMBER(B1217)),IF(B1218=B1217,"",(B1218-B1217)*100),"")</f>
        <v/>
      </c>
      <c r="G1218" s="20">
        <f>IF(AND(ISNUMBER(C1218),ISNUMBER(C1217)),IF(C1218=C1217,"",(C1218-C1217)*100),"")</f>
        <v/>
      </c>
      <c r="H1218" s="20">
        <f>IF(OR(NOT(ISNUMBER($A1218)),ROW()-2&lt;Settings!$B$11),NA(),IF(COUNT(OFFSET(F1218,1-Settings!$B$11,0,Settings!$B$11,1))&lt;ROUNDUP(Settings!$B$11*Settings!$B$26,0),NA(),STDEV(OFFSET(F1218,1-Settings!$B$11,0,Settings!$B$11,1))*SQRT(Settings!$B$13)))</f>
        <v/>
      </c>
      <c r="I1218" s="20">
        <f>IF(OR(NOT(ISNUMBER($A1218)),ROW()-2&lt;Settings!$B$12),NA(),IF(COUNT(OFFSET(F1218,1-Settings!$B$12,0,Settings!$B$12,1))&lt;ROUNDUP(Settings!$B$12*Settings!$B$26,0),NA(),STDEV(OFFSET(F1218,1-Settings!$B$12,0,Settings!$B$12,1))*SQRT(Settings!$B$13)))</f>
        <v/>
      </c>
      <c r="J1218" s="20">
        <f>IF(OR(NOT(ISNUMBER($A1218)),ROW()-2&lt;Settings!$B$11),NA(),IF(COUNT(OFFSET(G1218,1-Settings!$B$11,0,Settings!$B$11,1))&lt;ROUNDUP(Settings!$B$11*Settings!$B$26,0),NA(),STDEV(OFFSET(G1218,1-Settings!$B$11,0,Settings!$B$11,1))*SQRT(Settings!$B$13)))</f>
        <v/>
      </c>
      <c r="K1218" s="20">
        <f>IF(OR(NOT(ISNUMBER($A1218)),ROW()-2&lt;Settings!$B$12),NA(),IF(COUNT(OFFSET(G1218,1-Settings!$B$12,0,Settings!$B$12,1))&lt;ROUNDUP(Settings!$B$12*Settings!$B$26,0),NA(),STDEV(OFFSET(G1218,1-Settings!$B$12,0,Settings!$B$12,1))*SQRT(Settings!$B$13)))</f>
        <v/>
      </c>
      <c r="L1218" s="20">
        <f>IF(AND(ISNUMBER(D1218),ISNUMBER(H1218)),D1218-H1218,NA())</f>
        <v/>
      </c>
      <c r="M1218" s="20">
        <f>IF(AND(ISNUMBER(E1218),ISNUMBER(K1218)),E1218-K1218,NA())</f>
        <v/>
      </c>
      <c r="N1218" s="20">
        <f>IF(NOT(ISNUMBER($A1218)),NA(),IF(COUNT(OFFSET(G1218,1,0,Settings!$B$12,1))&lt;ROUNDUP(Settings!$B$12*Settings!$B$26,0),NA(),STDEV(OFFSET(G1218,1,0,Settings!$B$12,1))*SQRT(Settings!$B$13)))</f>
        <v/>
      </c>
      <c r="O1218" s="20">
        <f>IF(AND(ISNUMBER(E1218),ISNUMBER(N1218)),E1218-N1218,NA())</f>
        <v/>
      </c>
      <c r="P1218" s="19">
        <f>IF(NOT(ISNUMBER($A1218)),NA(),IF(OR($A1218&lt;MIN(KW_TP!$A$2:$A$2501),$A1218&gt;MAX(KW_TP!$A$2:$A$2501)),NA(),INDEX(KW_TP!$C$2:$C$2501,MATCH($A1218,KW_TP!$A$2:$A$2501,1))))</f>
        <v/>
      </c>
      <c r="Q1218" s="18">
        <f>IF(NOT(ISNUMBER($A1218)),NA(),IFERROR(1*INDEX(BBG_Data!$J$2:$J$4000,MATCH($A1218,BBG_Data!$I$2:$I$4000,0)),NA()))</f>
        <v/>
      </c>
      <c r="R1218" s="18">
        <f>IF(NOT(ISNUMBER($A1218)),NA(),IFERROR(1*INDEX(BBG_Data!$L$2:$L$4000,MATCH($A1218,BBG_Data!$K$2:$K$4000,0)),NA()))</f>
        <v/>
      </c>
      <c r="S1218" s="20">
        <f>IF(AND(ISNUMBER(B1218),ISNUMBER(Q1218),ISNUMBER(R1218)),(B1218-Q1218-R1218)*100,NA())</f>
        <v/>
      </c>
      <c r="T1218" s="20">
        <f>IF(AND(ISNUMBER(B1218),Settings!$B$17&gt;0),IF(ISNUMBER(INDEX($B:$B,Settings!$B$17)),(B1218-INDEX($B:$B,Settings!$B$17))*100,NA()),NA())</f>
        <v/>
      </c>
      <c r="U1218" s="20">
        <f>IF(AND(ISNUMBER(Q1218),Settings!$B$17&gt;0),IF(ISNUMBER(INDEX($Q:$Q,Settings!$B$17)),(Q1218-INDEX($Q:$Q,Settings!$B$17))*100,NA()),NA())</f>
        <v/>
      </c>
      <c r="V1218" s="20">
        <f>IF(AND(ISNUMBER(R1218),Settings!$B$17&gt;0),IF(ISNUMBER(INDEX($R:$R,Settings!$B$17)),(R1218-INDEX($R:$R,Settings!$B$17))*100,NA()),NA())</f>
        <v/>
      </c>
      <c r="W1218" s="20">
        <f>IF(AND(ISNUMBER(P1218),Settings!$B$17&gt;0),IF(ISNUMBER(INDEX($P:$P,Settings!$B$17)),P1218-INDEX($P:$P,Settings!$B$17),NA()),NA())</f>
        <v/>
      </c>
      <c r="X1218" s="19">
        <f>IF(NOT(ISNUMBER($A1218)),NA(),IF(OR($A1218&lt;MIN(DKW_10Y!$A$2:$A$2918),$A1218&gt;MAX(DKW_10Y!$A$2:$A$2918),Settings!$B$16&lt;MIN(DKW_10Y!$A$2:$A$2918)),NA(),(INDEX(DKW_10Y!$B$2:$B$2918,MATCH($A1218,DKW_10Y!$A$2:$A$2918,1))-INDEX(DKW_10Y!$B$2:$B$2918,MATCH(Settings!$B$16,DKW_10Y!$A$2:$A$2918,1)))*100))</f>
        <v/>
      </c>
      <c r="Y1218" s="19">
        <f>IF(NOT(ISNUMBER($A1218)),NA(),IF(OR($A1218&lt;MIN(DKW_10Y!$A$2:$A$2918),$A1218&gt;MAX(DKW_10Y!$A$2:$A$2918),Settings!$B$16&lt;MIN(DKW_10Y!$A$2:$A$2918)),NA(),(INDEX(DKW_10Y!$C$2:$C$2918,MATCH($A1218,DKW_10Y!$A$2:$A$2918,1))-INDEX(DKW_10Y!$C$2:$C$2918,MATCH(Settings!$B$16,DKW_10Y!$A$2:$A$2918,1)))*100))</f>
        <v/>
      </c>
      <c r="Z1218" s="19">
        <f>IF(NOT(ISNUMBER($A1218)),NA(),IF(OR($A1218&lt;MIN(DKW_10Y!$A$2:$A$2918),$A1218&gt;MAX(DKW_10Y!$A$2:$A$2918),Settings!$B$16&lt;MIN(DKW_10Y!$A$2:$A$2918)),NA(),(INDEX(DKW_10Y!$D$2:$D$2918,MATCH($A1218,DKW_10Y!$A$2:$A$2918,1))-INDEX(DKW_10Y!$D$2:$D$2918,MATCH(Settings!$B$16,DKW_10Y!$A$2:$A$2918,1)))*100))</f>
        <v/>
      </c>
      <c r="AA1218" s="19">
        <f>IF(NOT(ISNUMBER($A1218)),NA(),IF(OR($A1218&lt;MIN(DKW_10Y!$A$2:$A$2918),$A1218&gt;MAX(DKW_10Y!$A$2:$A$2918),Settings!$B$16&lt;MIN(DKW_10Y!$A$2:$A$2918)),NA(),(INDEX(DKW_10Y!$E$2:$E$2918,MATCH($A1218,DKW_10Y!$A$2:$A$2918,1))-INDEX(DKW_10Y!$E$2:$E$2918,MATCH(Settings!$B$16,DKW_10Y!$A$2:$A$2918,1)))*100))</f>
        <v/>
      </c>
      <c r="AB1218" s="19">
        <f>IF(NOT(ISNUMBER($A1218)),NA(),IF(OR($A1218&lt;MIN(DKW_10Y!$A$2:$A$2918),$A1218&gt;MAX(DKW_10Y!$A$2:$A$2918),Settings!$B$16&lt;MIN(DKW_10Y!$A$2:$A$2918)),NA(),(INDEX(DKW_10Y!$H$2:$H$2918,MATCH($A1218,DKW_10Y!$A$2:$A$2918,1))-INDEX(DKW_10Y!$H$2:$H$2918,MATCH(Settings!$B$16,DKW_10Y!$A$2:$A$2918,1)))*100))</f>
        <v/>
      </c>
      <c r="AC1218" s="18">
        <f>IF(NOT(ISNUMBER($A1218)),NA(),IFERROR(1*INDEX(BBG_Data!$N$2:$N$4000,MATCH($A1218,BBG_Data!$M$2:$M$4000,0)),NA()))</f>
        <v/>
      </c>
      <c r="AD1218" s="18">
        <f>IF(NOT(ISNUMBER($A1218)),NA(),IFERROR(1*INDEX(BBG_Data!$P$2:$P$4000,MATCH($A1218,BBG_Data!$O$2:$O$4000,0)),NA()))</f>
        <v/>
      </c>
      <c r="AE1218" s="18">
        <f>IF(NOT(ISNUMBER($A1218)),NA(),IFERROR(1*INDEX(BBG_Data!$R$2:$R$4000,MATCH($A1218,BBG_Data!$Q$2:$Q$4000,0)),NA()))</f>
        <v/>
      </c>
      <c r="AF1218" s="20">
        <f>IF(AND(ISNUMBER(B1218),ISNUMBER(AC1218)),(B1218-AC1218)*100,NA())</f>
        <v/>
      </c>
      <c r="AG1218" s="20">
        <f>IF(AND(ISNUMBER(AE1218),ISNUMBER(AD1218)),(AE1218-AD1218)*100,NA())</f>
        <v/>
      </c>
      <c r="AH1218" s="19">
        <f>IF(NOT(ISNUMBER($A1218)),NA(),IFERROR(INDEX(BBG_Data!$T$2:$T$4000,MATCH($A1218,BBG_Data!$S$2:$S$4000,0))*Settings!$B$25,NA()))</f>
        <v/>
      </c>
      <c r="AI1218" s="19">
        <f>IF(NOT(ISNUMBER($A1218)),NA(),IFERROR(INDEX(BBG_Data!$V$2:$V$4000,MATCH($A1218,BBG_Data!$U$2:$U$4000,0))*Settings!$B$25,NA()))</f>
        <v/>
      </c>
      <c r="AJ1218" s="19">
        <f>IF(NOT(ISNUMBER($A1218)),NA(),IFERROR(1*INDEX(BBG_Data!$X$2:$X$4000,MATCH($A1218,BBG_Data!$W$2:$W$4000,0)),NA()))</f>
        <v/>
      </c>
      <c r="AK1218" s="19">
        <f>IF(NOT(ISNUMBER($A1218)),NA(),IFERROR(1*INDEX(BBG_Data!$Z$2:$Z$4000,MATCH($A1218,BBG_Data!$Y$2:$Y$4000,0)),NA()))</f>
        <v/>
      </c>
    </row>
    <row r="1219">
      <c r="A1219" s="17">
        <f>IF(ISNUMBER(BBG_Data!A1219),BBG_Data!A1219,"")</f>
        <v/>
      </c>
      <c r="B1219" s="18">
        <f>IF(AND(ISNUMBER($A1219),ISNUMBER(BBG_Data!B1219)),BBG_Data!B1219,NA())</f>
        <v/>
      </c>
      <c r="C1219" s="18">
        <f>IF(NOT(ISNUMBER($A1219)),NA(),IFERROR(1*INDEX(BBG_Data!$D$2:$D$4000,MATCH($A1219,BBG_Data!$C$2:$C$4000,0)),NA()))</f>
        <v/>
      </c>
      <c r="D1219" s="19">
        <f>IF(NOT(ISNUMBER($A1219)),NA(),IFERROR(1*INDEX(BBG_Data!$F$2:$F$4000,MATCH($A1219,BBG_Data!$E$2:$E$4000,0)),NA()))</f>
        <v/>
      </c>
      <c r="E1219" s="19">
        <f>IF(NOT(ISNUMBER($A1219)),NA(),IFERROR(1*INDEX(BBG_Data!$H$2:$H$4000,MATCH($A1219,BBG_Data!$G$2:$G$4000,0)),NA()))</f>
        <v/>
      </c>
      <c r="F1219" s="20">
        <f>IF(AND(ISNUMBER(B1219),ISNUMBER(B1218)),IF(B1219=B1218,"",(B1219-B1218)*100),"")</f>
        <v/>
      </c>
      <c r="G1219" s="20">
        <f>IF(AND(ISNUMBER(C1219),ISNUMBER(C1218)),IF(C1219=C1218,"",(C1219-C1218)*100),"")</f>
        <v/>
      </c>
      <c r="H1219" s="20">
        <f>IF(OR(NOT(ISNUMBER($A1219)),ROW()-2&lt;Settings!$B$11),NA(),IF(COUNT(OFFSET(F1219,1-Settings!$B$11,0,Settings!$B$11,1))&lt;ROUNDUP(Settings!$B$11*Settings!$B$26,0),NA(),STDEV(OFFSET(F1219,1-Settings!$B$11,0,Settings!$B$11,1))*SQRT(Settings!$B$13)))</f>
        <v/>
      </c>
      <c r="I1219" s="20">
        <f>IF(OR(NOT(ISNUMBER($A1219)),ROW()-2&lt;Settings!$B$12),NA(),IF(COUNT(OFFSET(F1219,1-Settings!$B$12,0,Settings!$B$12,1))&lt;ROUNDUP(Settings!$B$12*Settings!$B$26,0),NA(),STDEV(OFFSET(F1219,1-Settings!$B$12,0,Settings!$B$12,1))*SQRT(Settings!$B$13)))</f>
        <v/>
      </c>
      <c r="J1219" s="20">
        <f>IF(OR(NOT(ISNUMBER($A1219)),ROW()-2&lt;Settings!$B$11),NA(),IF(COUNT(OFFSET(G1219,1-Settings!$B$11,0,Settings!$B$11,1))&lt;ROUNDUP(Settings!$B$11*Settings!$B$26,0),NA(),STDEV(OFFSET(G1219,1-Settings!$B$11,0,Settings!$B$11,1))*SQRT(Settings!$B$13)))</f>
        <v/>
      </c>
      <c r="K1219" s="20">
        <f>IF(OR(NOT(ISNUMBER($A1219)),ROW()-2&lt;Settings!$B$12),NA(),IF(COUNT(OFFSET(G1219,1-Settings!$B$12,0,Settings!$B$12,1))&lt;ROUNDUP(Settings!$B$12*Settings!$B$26,0),NA(),STDEV(OFFSET(G1219,1-Settings!$B$12,0,Settings!$B$12,1))*SQRT(Settings!$B$13)))</f>
        <v/>
      </c>
      <c r="L1219" s="20">
        <f>IF(AND(ISNUMBER(D1219),ISNUMBER(H1219)),D1219-H1219,NA())</f>
        <v/>
      </c>
      <c r="M1219" s="20">
        <f>IF(AND(ISNUMBER(E1219),ISNUMBER(K1219)),E1219-K1219,NA())</f>
        <v/>
      </c>
      <c r="N1219" s="20">
        <f>IF(NOT(ISNUMBER($A1219)),NA(),IF(COUNT(OFFSET(G1219,1,0,Settings!$B$12,1))&lt;ROUNDUP(Settings!$B$12*Settings!$B$26,0),NA(),STDEV(OFFSET(G1219,1,0,Settings!$B$12,1))*SQRT(Settings!$B$13)))</f>
        <v/>
      </c>
      <c r="O1219" s="20">
        <f>IF(AND(ISNUMBER(E1219),ISNUMBER(N1219)),E1219-N1219,NA())</f>
        <v/>
      </c>
      <c r="P1219" s="19">
        <f>IF(NOT(ISNUMBER($A1219)),NA(),IF(OR($A1219&lt;MIN(KW_TP!$A$2:$A$2501),$A1219&gt;MAX(KW_TP!$A$2:$A$2501)),NA(),INDEX(KW_TP!$C$2:$C$2501,MATCH($A1219,KW_TP!$A$2:$A$2501,1))))</f>
        <v/>
      </c>
      <c r="Q1219" s="18">
        <f>IF(NOT(ISNUMBER($A1219)),NA(),IFERROR(1*INDEX(BBG_Data!$J$2:$J$4000,MATCH($A1219,BBG_Data!$I$2:$I$4000,0)),NA()))</f>
        <v/>
      </c>
      <c r="R1219" s="18">
        <f>IF(NOT(ISNUMBER($A1219)),NA(),IFERROR(1*INDEX(BBG_Data!$L$2:$L$4000,MATCH($A1219,BBG_Data!$K$2:$K$4000,0)),NA()))</f>
        <v/>
      </c>
      <c r="S1219" s="20">
        <f>IF(AND(ISNUMBER(B1219),ISNUMBER(Q1219),ISNUMBER(R1219)),(B1219-Q1219-R1219)*100,NA())</f>
        <v/>
      </c>
      <c r="T1219" s="20">
        <f>IF(AND(ISNUMBER(B1219),Settings!$B$17&gt;0),IF(ISNUMBER(INDEX($B:$B,Settings!$B$17)),(B1219-INDEX($B:$B,Settings!$B$17))*100,NA()),NA())</f>
        <v/>
      </c>
      <c r="U1219" s="20">
        <f>IF(AND(ISNUMBER(Q1219),Settings!$B$17&gt;0),IF(ISNUMBER(INDEX($Q:$Q,Settings!$B$17)),(Q1219-INDEX($Q:$Q,Settings!$B$17))*100,NA()),NA())</f>
        <v/>
      </c>
      <c r="V1219" s="20">
        <f>IF(AND(ISNUMBER(R1219),Settings!$B$17&gt;0),IF(ISNUMBER(INDEX($R:$R,Settings!$B$17)),(R1219-INDEX($R:$R,Settings!$B$17))*100,NA()),NA())</f>
        <v/>
      </c>
      <c r="W1219" s="20">
        <f>IF(AND(ISNUMBER(P1219),Settings!$B$17&gt;0),IF(ISNUMBER(INDEX($P:$P,Settings!$B$17)),P1219-INDEX($P:$P,Settings!$B$17),NA()),NA())</f>
        <v/>
      </c>
      <c r="X1219" s="19">
        <f>IF(NOT(ISNUMBER($A1219)),NA(),IF(OR($A1219&lt;MIN(DKW_10Y!$A$2:$A$2918),$A1219&gt;MAX(DKW_10Y!$A$2:$A$2918),Settings!$B$16&lt;MIN(DKW_10Y!$A$2:$A$2918)),NA(),(INDEX(DKW_10Y!$B$2:$B$2918,MATCH($A1219,DKW_10Y!$A$2:$A$2918,1))-INDEX(DKW_10Y!$B$2:$B$2918,MATCH(Settings!$B$16,DKW_10Y!$A$2:$A$2918,1)))*100))</f>
        <v/>
      </c>
      <c r="Y1219" s="19">
        <f>IF(NOT(ISNUMBER($A1219)),NA(),IF(OR($A1219&lt;MIN(DKW_10Y!$A$2:$A$2918),$A1219&gt;MAX(DKW_10Y!$A$2:$A$2918),Settings!$B$16&lt;MIN(DKW_10Y!$A$2:$A$2918)),NA(),(INDEX(DKW_10Y!$C$2:$C$2918,MATCH($A1219,DKW_10Y!$A$2:$A$2918,1))-INDEX(DKW_10Y!$C$2:$C$2918,MATCH(Settings!$B$16,DKW_10Y!$A$2:$A$2918,1)))*100))</f>
        <v/>
      </c>
      <c r="Z1219" s="19">
        <f>IF(NOT(ISNUMBER($A1219)),NA(),IF(OR($A1219&lt;MIN(DKW_10Y!$A$2:$A$2918),$A1219&gt;MAX(DKW_10Y!$A$2:$A$2918),Settings!$B$16&lt;MIN(DKW_10Y!$A$2:$A$2918)),NA(),(INDEX(DKW_10Y!$D$2:$D$2918,MATCH($A1219,DKW_10Y!$A$2:$A$2918,1))-INDEX(DKW_10Y!$D$2:$D$2918,MATCH(Settings!$B$16,DKW_10Y!$A$2:$A$2918,1)))*100))</f>
        <v/>
      </c>
      <c r="AA1219" s="19">
        <f>IF(NOT(ISNUMBER($A1219)),NA(),IF(OR($A1219&lt;MIN(DKW_10Y!$A$2:$A$2918),$A1219&gt;MAX(DKW_10Y!$A$2:$A$2918),Settings!$B$16&lt;MIN(DKW_10Y!$A$2:$A$2918)),NA(),(INDEX(DKW_10Y!$E$2:$E$2918,MATCH($A1219,DKW_10Y!$A$2:$A$2918,1))-INDEX(DKW_10Y!$E$2:$E$2918,MATCH(Settings!$B$16,DKW_10Y!$A$2:$A$2918,1)))*100))</f>
        <v/>
      </c>
      <c r="AB1219" s="19">
        <f>IF(NOT(ISNUMBER($A1219)),NA(),IF(OR($A1219&lt;MIN(DKW_10Y!$A$2:$A$2918),$A1219&gt;MAX(DKW_10Y!$A$2:$A$2918),Settings!$B$16&lt;MIN(DKW_10Y!$A$2:$A$2918)),NA(),(INDEX(DKW_10Y!$H$2:$H$2918,MATCH($A1219,DKW_10Y!$A$2:$A$2918,1))-INDEX(DKW_10Y!$H$2:$H$2918,MATCH(Settings!$B$16,DKW_10Y!$A$2:$A$2918,1)))*100))</f>
        <v/>
      </c>
      <c r="AC1219" s="18">
        <f>IF(NOT(ISNUMBER($A1219)),NA(),IFERROR(1*INDEX(BBG_Data!$N$2:$N$4000,MATCH($A1219,BBG_Data!$M$2:$M$4000,0)),NA()))</f>
        <v/>
      </c>
      <c r="AD1219" s="18">
        <f>IF(NOT(ISNUMBER($A1219)),NA(),IFERROR(1*INDEX(BBG_Data!$P$2:$P$4000,MATCH($A1219,BBG_Data!$O$2:$O$4000,0)),NA()))</f>
        <v/>
      </c>
      <c r="AE1219" s="18">
        <f>IF(NOT(ISNUMBER($A1219)),NA(),IFERROR(1*INDEX(BBG_Data!$R$2:$R$4000,MATCH($A1219,BBG_Data!$Q$2:$Q$4000,0)),NA()))</f>
        <v/>
      </c>
      <c r="AF1219" s="20">
        <f>IF(AND(ISNUMBER(B1219),ISNUMBER(AC1219)),(B1219-AC1219)*100,NA())</f>
        <v/>
      </c>
      <c r="AG1219" s="20">
        <f>IF(AND(ISNUMBER(AE1219),ISNUMBER(AD1219)),(AE1219-AD1219)*100,NA())</f>
        <v/>
      </c>
      <c r="AH1219" s="19">
        <f>IF(NOT(ISNUMBER($A1219)),NA(),IFERROR(INDEX(BBG_Data!$T$2:$T$4000,MATCH($A1219,BBG_Data!$S$2:$S$4000,0))*Settings!$B$25,NA()))</f>
        <v/>
      </c>
      <c r="AI1219" s="19">
        <f>IF(NOT(ISNUMBER($A1219)),NA(),IFERROR(INDEX(BBG_Data!$V$2:$V$4000,MATCH($A1219,BBG_Data!$U$2:$U$4000,0))*Settings!$B$25,NA()))</f>
        <v/>
      </c>
      <c r="AJ1219" s="19">
        <f>IF(NOT(ISNUMBER($A1219)),NA(),IFERROR(1*INDEX(BBG_Data!$X$2:$X$4000,MATCH($A1219,BBG_Data!$W$2:$W$4000,0)),NA()))</f>
        <v/>
      </c>
      <c r="AK1219" s="19">
        <f>IF(NOT(ISNUMBER($A1219)),NA(),IFERROR(1*INDEX(BBG_Data!$Z$2:$Z$4000,MATCH($A1219,BBG_Data!$Y$2:$Y$4000,0)),NA()))</f>
        <v/>
      </c>
    </row>
    <row r="1220">
      <c r="A1220" s="17">
        <f>IF(ISNUMBER(BBG_Data!A1220),BBG_Data!A1220,"")</f>
        <v/>
      </c>
      <c r="B1220" s="18">
        <f>IF(AND(ISNUMBER($A1220),ISNUMBER(BBG_Data!B1220)),BBG_Data!B1220,NA())</f>
        <v/>
      </c>
      <c r="C1220" s="18">
        <f>IF(NOT(ISNUMBER($A1220)),NA(),IFERROR(1*INDEX(BBG_Data!$D$2:$D$4000,MATCH($A1220,BBG_Data!$C$2:$C$4000,0)),NA()))</f>
        <v/>
      </c>
      <c r="D1220" s="19">
        <f>IF(NOT(ISNUMBER($A1220)),NA(),IFERROR(1*INDEX(BBG_Data!$F$2:$F$4000,MATCH($A1220,BBG_Data!$E$2:$E$4000,0)),NA()))</f>
        <v/>
      </c>
      <c r="E1220" s="19">
        <f>IF(NOT(ISNUMBER($A1220)),NA(),IFERROR(1*INDEX(BBG_Data!$H$2:$H$4000,MATCH($A1220,BBG_Data!$G$2:$G$4000,0)),NA()))</f>
        <v/>
      </c>
      <c r="F1220" s="20">
        <f>IF(AND(ISNUMBER(B1220),ISNUMBER(B1219)),IF(B1220=B1219,"",(B1220-B1219)*100),"")</f>
        <v/>
      </c>
      <c r="G1220" s="20">
        <f>IF(AND(ISNUMBER(C1220),ISNUMBER(C1219)),IF(C1220=C1219,"",(C1220-C1219)*100),"")</f>
        <v/>
      </c>
      <c r="H1220" s="20">
        <f>IF(OR(NOT(ISNUMBER($A1220)),ROW()-2&lt;Settings!$B$11),NA(),IF(COUNT(OFFSET(F1220,1-Settings!$B$11,0,Settings!$B$11,1))&lt;ROUNDUP(Settings!$B$11*Settings!$B$26,0),NA(),STDEV(OFFSET(F1220,1-Settings!$B$11,0,Settings!$B$11,1))*SQRT(Settings!$B$13)))</f>
        <v/>
      </c>
      <c r="I1220" s="20">
        <f>IF(OR(NOT(ISNUMBER($A1220)),ROW()-2&lt;Settings!$B$12),NA(),IF(COUNT(OFFSET(F1220,1-Settings!$B$12,0,Settings!$B$12,1))&lt;ROUNDUP(Settings!$B$12*Settings!$B$26,0),NA(),STDEV(OFFSET(F1220,1-Settings!$B$12,0,Settings!$B$12,1))*SQRT(Settings!$B$13)))</f>
        <v/>
      </c>
      <c r="J1220" s="20">
        <f>IF(OR(NOT(ISNUMBER($A1220)),ROW()-2&lt;Settings!$B$11),NA(),IF(COUNT(OFFSET(G1220,1-Settings!$B$11,0,Settings!$B$11,1))&lt;ROUNDUP(Settings!$B$11*Settings!$B$26,0),NA(),STDEV(OFFSET(G1220,1-Settings!$B$11,0,Settings!$B$11,1))*SQRT(Settings!$B$13)))</f>
        <v/>
      </c>
      <c r="K1220" s="20">
        <f>IF(OR(NOT(ISNUMBER($A1220)),ROW()-2&lt;Settings!$B$12),NA(),IF(COUNT(OFFSET(G1220,1-Settings!$B$12,0,Settings!$B$12,1))&lt;ROUNDUP(Settings!$B$12*Settings!$B$26,0),NA(),STDEV(OFFSET(G1220,1-Settings!$B$12,0,Settings!$B$12,1))*SQRT(Settings!$B$13)))</f>
        <v/>
      </c>
      <c r="L1220" s="20">
        <f>IF(AND(ISNUMBER(D1220),ISNUMBER(H1220)),D1220-H1220,NA())</f>
        <v/>
      </c>
      <c r="M1220" s="20">
        <f>IF(AND(ISNUMBER(E1220),ISNUMBER(K1220)),E1220-K1220,NA())</f>
        <v/>
      </c>
      <c r="N1220" s="20">
        <f>IF(NOT(ISNUMBER($A1220)),NA(),IF(COUNT(OFFSET(G1220,1,0,Settings!$B$12,1))&lt;ROUNDUP(Settings!$B$12*Settings!$B$26,0),NA(),STDEV(OFFSET(G1220,1,0,Settings!$B$12,1))*SQRT(Settings!$B$13)))</f>
        <v/>
      </c>
      <c r="O1220" s="20">
        <f>IF(AND(ISNUMBER(E1220),ISNUMBER(N1220)),E1220-N1220,NA())</f>
        <v/>
      </c>
      <c r="P1220" s="19">
        <f>IF(NOT(ISNUMBER($A1220)),NA(),IF(OR($A1220&lt;MIN(KW_TP!$A$2:$A$2501),$A1220&gt;MAX(KW_TP!$A$2:$A$2501)),NA(),INDEX(KW_TP!$C$2:$C$2501,MATCH($A1220,KW_TP!$A$2:$A$2501,1))))</f>
        <v/>
      </c>
      <c r="Q1220" s="18">
        <f>IF(NOT(ISNUMBER($A1220)),NA(),IFERROR(1*INDEX(BBG_Data!$J$2:$J$4000,MATCH($A1220,BBG_Data!$I$2:$I$4000,0)),NA()))</f>
        <v/>
      </c>
      <c r="R1220" s="18">
        <f>IF(NOT(ISNUMBER($A1220)),NA(),IFERROR(1*INDEX(BBG_Data!$L$2:$L$4000,MATCH($A1220,BBG_Data!$K$2:$K$4000,0)),NA()))</f>
        <v/>
      </c>
      <c r="S1220" s="20">
        <f>IF(AND(ISNUMBER(B1220),ISNUMBER(Q1220),ISNUMBER(R1220)),(B1220-Q1220-R1220)*100,NA())</f>
        <v/>
      </c>
      <c r="T1220" s="20">
        <f>IF(AND(ISNUMBER(B1220),Settings!$B$17&gt;0),IF(ISNUMBER(INDEX($B:$B,Settings!$B$17)),(B1220-INDEX($B:$B,Settings!$B$17))*100,NA()),NA())</f>
        <v/>
      </c>
      <c r="U1220" s="20">
        <f>IF(AND(ISNUMBER(Q1220),Settings!$B$17&gt;0),IF(ISNUMBER(INDEX($Q:$Q,Settings!$B$17)),(Q1220-INDEX($Q:$Q,Settings!$B$17))*100,NA()),NA())</f>
        <v/>
      </c>
      <c r="V1220" s="20">
        <f>IF(AND(ISNUMBER(R1220),Settings!$B$17&gt;0),IF(ISNUMBER(INDEX($R:$R,Settings!$B$17)),(R1220-INDEX($R:$R,Settings!$B$17))*100,NA()),NA())</f>
        <v/>
      </c>
      <c r="W1220" s="20">
        <f>IF(AND(ISNUMBER(P1220),Settings!$B$17&gt;0),IF(ISNUMBER(INDEX($P:$P,Settings!$B$17)),P1220-INDEX($P:$P,Settings!$B$17),NA()),NA())</f>
        <v/>
      </c>
      <c r="X1220" s="19">
        <f>IF(NOT(ISNUMBER($A1220)),NA(),IF(OR($A1220&lt;MIN(DKW_10Y!$A$2:$A$2918),$A1220&gt;MAX(DKW_10Y!$A$2:$A$2918),Settings!$B$16&lt;MIN(DKW_10Y!$A$2:$A$2918)),NA(),(INDEX(DKW_10Y!$B$2:$B$2918,MATCH($A1220,DKW_10Y!$A$2:$A$2918,1))-INDEX(DKW_10Y!$B$2:$B$2918,MATCH(Settings!$B$16,DKW_10Y!$A$2:$A$2918,1)))*100))</f>
        <v/>
      </c>
      <c r="Y1220" s="19">
        <f>IF(NOT(ISNUMBER($A1220)),NA(),IF(OR($A1220&lt;MIN(DKW_10Y!$A$2:$A$2918),$A1220&gt;MAX(DKW_10Y!$A$2:$A$2918),Settings!$B$16&lt;MIN(DKW_10Y!$A$2:$A$2918)),NA(),(INDEX(DKW_10Y!$C$2:$C$2918,MATCH($A1220,DKW_10Y!$A$2:$A$2918,1))-INDEX(DKW_10Y!$C$2:$C$2918,MATCH(Settings!$B$16,DKW_10Y!$A$2:$A$2918,1)))*100))</f>
        <v/>
      </c>
      <c r="Z1220" s="19">
        <f>IF(NOT(ISNUMBER($A1220)),NA(),IF(OR($A1220&lt;MIN(DKW_10Y!$A$2:$A$2918),$A1220&gt;MAX(DKW_10Y!$A$2:$A$2918),Settings!$B$16&lt;MIN(DKW_10Y!$A$2:$A$2918)),NA(),(INDEX(DKW_10Y!$D$2:$D$2918,MATCH($A1220,DKW_10Y!$A$2:$A$2918,1))-INDEX(DKW_10Y!$D$2:$D$2918,MATCH(Settings!$B$16,DKW_10Y!$A$2:$A$2918,1)))*100))</f>
        <v/>
      </c>
      <c r="AA1220" s="19">
        <f>IF(NOT(ISNUMBER($A1220)),NA(),IF(OR($A1220&lt;MIN(DKW_10Y!$A$2:$A$2918),$A1220&gt;MAX(DKW_10Y!$A$2:$A$2918),Settings!$B$16&lt;MIN(DKW_10Y!$A$2:$A$2918)),NA(),(INDEX(DKW_10Y!$E$2:$E$2918,MATCH($A1220,DKW_10Y!$A$2:$A$2918,1))-INDEX(DKW_10Y!$E$2:$E$2918,MATCH(Settings!$B$16,DKW_10Y!$A$2:$A$2918,1)))*100))</f>
        <v/>
      </c>
      <c r="AB1220" s="19">
        <f>IF(NOT(ISNUMBER($A1220)),NA(),IF(OR($A1220&lt;MIN(DKW_10Y!$A$2:$A$2918),$A1220&gt;MAX(DKW_10Y!$A$2:$A$2918),Settings!$B$16&lt;MIN(DKW_10Y!$A$2:$A$2918)),NA(),(INDEX(DKW_10Y!$H$2:$H$2918,MATCH($A1220,DKW_10Y!$A$2:$A$2918,1))-INDEX(DKW_10Y!$H$2:$H$2918,MATCH(Settings!$B$16,DKW_10Y!$A$2:$A$2918,1)))*100))</f>
        <v/>
      </c>
      <c r="AC1220" s="18">
        <f>IF(NOT(ISNUMBER($A1220)),NA(),IFERROR(1*INDEX(BBG_Data!$N$2:$N$4000,MATCH($A1220,BBG_Data!$M$2:$M$4000,0)),NA()))</f>
        <v/>
      </c>
      <c r="AD1220" s="18">
        <f>IF(NOT(ISNUMBER($A1220)),NA(),IFERROR(1*INDEX(BBG_Data!$P$2:$P$4000,MATCH($A1220,BBG_Data!$O$2:$O$4000,0)),NA()))</f>
        <v/>
      </c>
      <c r="AE1220" s="18">
        <f>IF(NOT(ISNUMBER($A1220)),NA(),IFERROR(1*INDEX(BBG_Data!$R$2:$R$4000,MATCH($A1220,BBG_Data!$Q$2:$Q$4000,0)),NA()))</f>
        <v/>
      </c>
      <c r="AF1220" s="20">
        <f>IF(AND(ISNUMBER(B1220),ISNUMBER(AC1220)),(B1220-AC1220)*100,NA())</f>
        <v/>
      </c>
      <c r="AG1220" s="20">
        <f>IF(AND(ISNUMBER(AE1220),ISNUMBER(AD1220)),(AE1220-AD1220)*100,NA())</f>
        <v/>
      </c>
      <c r="AH1220" s="19">
        <f>IF(NOT(ISNUMBER($A1220)),NA(),IFERROR(INDEX(BBG_Data!$T$2:$T$4000,MATCH($A1220,BBG_Data!$S$2:$S$4000,0))*Settings!$B$25,NA()))</f>
        <v/>
      </c>
      <c r="AI1220" s="19">
        <f>IF(NOT(ISNUMBER($A1220)),NA(),IFERROR(INDEX(BBG_Data!$V$2:$V$4000,MATCH($A1220,BBG_Data!$U$2:$U$4000,0))*Settings!$B$25,NA()))</f>
        <v/>
      </c>
      <c r="AJ1220" s="19">
        <f>IF(NOT(ISNUMBER($A1220)),NA(),IFERROR(1*INDEX(BBG_Data!$X$2:$X$4000,MATCH($A1220,BBG_Data!$W$2:$W$4000,0)),NA()))</f>
        <v/>
      </c>
      <c r="AK1220" s="19">
        <f>IF(NOT(ISNUMBER($A1220)),NA(),IFERROR(1*INDEX(BBG_Data!$Z$2:$Z$4000,MATCH($A1220,BBG_Data!$Y$2:$Y$4000,0)),NA()))</f>
        <v/>
      </c>
    </row>
    <row r="1221">
      <c r="A1221" s="17">
        <f>IF(ISNUMBER(BBG_Data!A1221),BBG_Data!A1221,"")</f>
        <v/>
      </c>
      <c r="B1221" s="18">
        <f>IF(AND(ISNUMBER($A1221),ISNUMBER(BBG_Data!B1221)),BBG_Data!B1221,NA())</f>
        <v/>
      </c>
      <c r="C1221" s="18">
        <f>IF(NOT(ISNUMBER($A1221)),NA(),IFERROR(1*INDEX(BBG_Data!$D$2:$D$4000,MATCH($A1221,BBG_Data!$C$2:$C$4000,0)),NA()))</f>
        <v/>
      </c>
      <c r="D1221" s="19">
        <f>IF(NOT(ISNUMBER($A1221)),NA(),IFERROR(1*INDEX(BBG_Data!$F$2:$F$4000,MATCH($A1221,BBG_Data!$E$2:$E$4000,0)),NA()))</f>
        <v/>
      </c>
      <c r="E1221" s="19">
        <f>IF(NOT(ISNUMBER($A1221)),NA(),IFERROR(1*INDEX(BBG_Data!$H$2:$H$4000,MATCH($A1221,BBG_Data!$G$2:$G$4000,0)),NA()))</f>
        <v/>
      </c>
      <c r="F1221" s="20">
        <f>IF(AND(ISNUMBER(B1221),ISNUMBER(B1220)),IF(B1221=B1220,"",(B1221-B1220)*100),"")</f>
        <v/>
      </c>
      <c r="G1221" s="20">
        <f>IF(AND(ISNUMBER(C1221),ISNUMBER(C1220)),IF(C1221=C1220,"",(C1221-C1220)*100),"")</f>
        <v/>
      </c>
      <c r="H1221" s="20">
        <f>IF(OR(NOT(ISNUMBER($A1221)),ROW()-2&lt;Settings!$B$11),NA(),IF(COUNT(OFFSET(F1221,1-Settings!$B$11,0,Settings!$B$11,1))&lt;ROUNDUP(Settings!$B$11*Settings!$B$26,0),NA(),STDEV(OFFSET(F1221,1-Settings!$B$11,0,Settings!$B$11,1))*SQRT(Settings!$B$13)))</f>
        <v/>
      </c>
      <c r="I1221" s="20">
        <f>IF(OR(NOT(ISNUMBER($A1221)),ROW()-2&lt;Settings!$B$12),NA(),IF(COUNT(OFFSET(F1221,1-Settings!$B$12,0,Settings!$B$12,1))&lt;ROUNDUP(Settings!$B$12*Settings!$B$26,0),NA(),STDEV(OFFSET(F1221,1-Settings!$B$12,0,Settings!$B$12,1))*SQRT(Settings!$B$13)))</f>
        <v/>
      </c>
      <c r="J1221" s="20">
        <f>IF(OR(NOT(ISNUMBER($A1221)),ROW()-2&lt;Settings!$B$11),NA(),IF(COUNT(OFFSET(G1221,1-Settings!$B$11,0,Settings!$B$11,1))&lt;ROUNDUP(Settings!$B$11*Settings!$B$26,0),NA(),STDEV(OFFSET(G1221,1-Settings!$B$11,0,Settings!$B$11,1))*SQRT(Settings!$B$13)))</f>
        <v/>
      </c>
      <c r="K1221" s="20">
        <f>IF(OR(NOT(ISNUMBER($A1221)),ROW()-2&lt;Settings!$B$12),NA(),IF(COUNT(OFFSET(G1221,1-Settings!$B$12,0,Settings!$B$12,1))&lt;ROUNDUP(Settings!$B$12*Settings!$B$26,0),NA(),STDEV(OFFSET(G1221,1-Settings!$B$12,0,Settings!$B$12,1))*SQRT(Settings!$B$13)))</f>
        <v/>
      </c>
      <c r="L1221" s="20">
        <f>IF(AND(ISNUMBER(D1221),ISNUMBER(H1221)),D1221-H1221,NA())</f>
        <v/>
      </c>
      <c r="M1221" s="20">
        <f>IF(AND(ISNUMBER(E1221),ISNUMBER(K1221)),E1221-K1221,NA())</f>
        <v/>
      </c>
      <c r="N1221" s="20">
        <f>IF(NOT(ISNUMBER($A1221)),NA(),IF(COUNT(OFFSET(G1221,1,0,Settings!$B$12,1))&lt;ROUNDUP(Settings!$B$12*Settings!$B$26,0),NA(),STDEV(OFFSET(G1221,1,0,Settings!$B$12,1))*SQRT(Settings!$B$13)))</f>
        <v/>
      </c>
      <c r="O1221" s="20">
        <f>IF(AND(ISNUMBER(E1221),ISNUMBER(N1221)),E1221-N1221,NA())</f>
        <v/>
      </c>
      <c r="P1221" s="19">
        <f>IF(NOT(ISNUMBER($A1221)),NA(),IF(OR($A1221&lt;MIN(KW_TP!$A$2:$A$2501),$A1221&gt;MAX(KW_TP!$A$2:$A$2501)),NA(),INDEX(KW_TP!$C$2:$C$2501,MATCH($A1221,KW_TP!$A$2:$A$2501,1))))</f>
        <v/>
      </c>
      <c r="Q1221" s="18">
        <f>IF(NOT(ISNUMBER($A1221)),NA(),IFERROR(1*INDEX(BBG_Data!$J$2:$J$4000,MATCH($A1221,BBG_Data!$I$2:$I$4000,0)),NA()))</f>
        <v/>
      </c>
      <c r="R1221" s="18">
        <f>IF(NOT(ISNUMBER($A1221)),NA(),IFERROR(1*INDEX(BBG_Data!$L$2:$L$4000,MATCH($A1221,BBG_Data!$K$2:$K$4000,0)),NA()))</f>
        <v/>
      </c>
      <c r="S1221" s="20">
        <f>IF(AND(ISNUMBER(B1221),ISNUMBER(Q1221),ISNUMBER(R1221)),(B1221-Q1221-R1221)*100,NA())</f>
        <v/>
      </c>
      <c r="T1221" s="20">
        <f>IF(AND(ISNUMBER(B1221),Settings!$B$17&gt;0),IF(ISNUMBER(INDEX($B:$B,Settings!$B$17)),(B1221-INDEX($B:$B,Settings!$B$17))*100,NA()),NA())</f>
        <v/>
      </c>
      <c r="U1221" s="20">
        <f>IF(AND(ISNUMBER(Q1221),Settings!$B$17&gt;0),IF(ISNUMBER(INDEX($Q:$Q,Settings!$B$17)),(Q1221-INDEX($Q:$Q,Settings!$B$17))*100,NA()),NA())</f>
        <v/>
      </c>
      <c r="V1221" s="20">
        <f>IF(AND(ISNUMBER(R1221),Settings!$B$17&gt;0),IF(ISNUMBER(INDEX($R:$R,Settings!$B$17)),(R1221-INDEX($R:$R,Settings!$B$17))*100,NA()),NA())</f>
        <v/>
      </c>
      <c r="W1221" s="20">
        <f>IF(AND(ISNUMBER(P1221),Settings!$B$17&gt;0),IF(ISNUMBER(INDEX($P:$P,Settings!$B$17)),P1221-INDEX($P:$P,Settings!$B$17),NA()),NA())</f>
        <v/>
      </c>
      <c r="X1221" s="19">
        <f>IF(NOT(ISNUMBER($A1221)),NA(),IF(OR($A1221&lt;MIN(DKW_10Y!$A$2:$A$2918),$A1221&gt;MAX(DKW_10Y!$A$2:$A$2918),Settings!$B$16&lt;MIN(DKW_10Y!$A$2:$A$2918)),NA(),(INDEX(DKW_10Y!$B$2:$B$2918,MATCH($A1221,DKW_10Y!$A$2:$A$2918,1))-INDEX(DKW_10Y!$B$2:$B$2918,MATCH(Settings!$B$16,DKW_10Y!$A$2:$A$2918,1)))*100))</f>
        <v/>
      </c>
      <c r="Y1221" s="19">
        <f>IF(NOT(ISNUMBER($A1221)),NA(),IF(OR($A1221&lt;MIN(DKW_10Y!$A$2:$A$2918),$A1221&gt;MAX(DKW_10Y!$A$2:$A$2918),Settings!$B$16&lt;MIN(DKW_10Y!$A$2:$A$2918)),NA(),(INDEX(DKW_10Y!$C$2:$C$2918,MATCH($A1221,DKW_10Y!$A$2:$A$2918,1))-INDEX(DKW_10Y!$C$2:$C$2918,MATCH(Settings!$B$16,DKW_10Y!$A$2:$A$2918,1)))*100))</f>
        <v/>
      </c>
      <c r="Z1221" s="19">
        <f>IF(NOT(ISNUMBER($A1221)),NA(),IF(OR($A1221&lt;MIN(DKW_10Y!$A$2:$A$2918),$A1221&gt;MAX(DKW_10Y!$A$2:$A$2918),Settings!$B$16&lt;MIN(DKW_10Y!$A$2:$A$2918)),NA(),(INDEX(DKW_10Y!$D$2:$D$2918,MATCH($A1221,DKW_10Y!$A$2:$A$2918,1))-INDEX(DKW_10Y!$D$2:$D$2918,MATCH(Settings!$B$16,DKW_10Y!$A$2:$A$2918,1)))*100))</f>
        <v/>
      </c>
      <c r="AA1221" s="19">
        <f>IF(NOT(ISNUMBER($A1221)),NA(),IF(OR($A1221&lt;MIN(DKW_10Y!$A$2:$A$2918),$A1221&gt;MAX(DKW_10Y!$A$2:$A$2918),Settings!$B$16&lt;MIN(DKW_10Y!$A$2:$A$2918)),NA(),(INDEX(DKW_10Y!$E$2:$E$2918,MATCH($A1221,DKW_10Y!$A$2:$A$2918,1))-INDEX(DKW_10Y!$E$2:$E$2918,MATCH(Settings!$B$16,DKW_10Y!$A$2:$A$2918,1)))*100))</f>
        <v/>
      </c>
      <c r="AB1221" s="19">
        <f>IF(NOT(ISNUMBER($A1221)),NA(),IF(OR($A1221&lt;MIN(DKW_10Y!$A$2:$A$2918),$A1221&gt;MAX(DKW_10Y!$A$2:$A$2918),Settings!$B$16&lt;MIN(DKW_10Y!$A$2:$A$2918)),NA(),(INDEX(DKW_10Y!$H$2:$H$2918,MATCH($A1221,DKW_10Y!$A$2:$A$2918,1))-INDEX(DKW_10Y!$H$2:$H$2918,MATCH(Settings!$B$16,DKW_10Y!$A$2:$A$2918,1)))*100))</f>
        <v/>
      </c>
      <c r="AC1221" s="18">
        <f>IF(NOT(ISNUMBER($A1221)),NA(),IFERROR(1*INDEX(BBG_Data!$N$2:$N$4000,MATCH($A1221,BBG_Data!$M$2:$M$4000,0)),NA()))</f>
        <v/>
      </c>
      <c r="AD1221" s="18">
        <f>IF(NOT(ISNUMBER($A1221)),NA(),IFERROR(1*INDEX(BBG_Data!$P$2:$P$4000,MATCH($A1221,BBG_Data!$O$2:$O$4000,0)),NA()))</f>
        <v/>
      </c>
      <c r="AE1221" s="18">
        <f>IF(NOT(ISNUMBER($A1221)),NA(),IFERROR(1*INDEX(BBG_Data!$R$2:$R$4000,MATCH($A1221,BBG_Data!$Q$2:$Q$4000,0)),NA()))</f>
        <v/>
      </c>
      <c r="AF1221" s="20">
        <f>IF(AND(ISNUMBER(B1221),ISNUMBER(AC1221)),(B1221-AC1221)*100,NA())</f>
        <v/>
      </c>
      <c r="AG1221" s="20">
        <f>IF(AND(ISNUMBER(AE1221),ISNUMBER(AD1221)),(AE1221-AD1221)*100,NA())</f>
        <v/>
      </c>
      <c r="AH1221" s="19">
        <f>IF(NOT(ISNUMBER($A1221)),NA(),IFERROR(INDEX(BBG_Data!$T$2:$T$4000,MATCH($A1221,BBG_Data!$S$2:$S$4000,0))*Settings!$B$25,NA()))</f>
        <v/>
      </c>
      <c r="AI1221" s="19">
        <f>IF(NOT(ISNUMBER($A1221)),NA(),IFERROR(INDEX(BBG_Data!$V$2:$V$4000,MATCH($A1221,BBG_Data!$U$2:$U$4000,0))*Settings!$B$25,NA()))</f>
        <v/>
      </c>
      <c r="AJ1221" s="19">
        <f>IF(NOT(ISNUMBER($A1221)),NA(),IFERROR(1*INDEX(BBG_Data!$X$2:$X$4000,MATCH($A1221,BBG_Data!$W$2:$W$4000,0)),NA()))</f>
        <v/>
      </c>
      <c r="AK1221" s="19">
        <f>IF(NOT(ISNUMBER($A1221)),NA(),IFERROR(1*INDEX(BBG_Data!$Z$2:$Z$4000,MATCH($A1221,BBG_Data!$Y$2:$Y$4000,0)),NA()))</f>
        <v/>
      </c>
    </row>
    <row r="1222">
      <c r="A1222" s="17">
        <f>IF(ISNUMBER(BBG_Data!A1222),BBG_Data!A1222,"")</f>
        <v/>
      </c>
      <c r="B1222" s="18">
        <f>IF(AND(ISNUMBER($A1222),ISNUMBER(BBG_Data!B1222)),BBG_Data!B1222,NA())</f>
        <v/>
      </c>
      <c r="C1222" s="18">
        <f>IF(NOT(ISNUMBER($A1222)),NA(),IFERROR(1*INDEX(BBG_Data!$D$2:$D$4000,MATCH($A1222,BBG_Data!$C$2:$C$4000,0)),NA()))</f>
        <v/>
      </c>
      <c r="D1222" s="19">
        <f>IF(NOT(ISNUMBER($A1222)),NA(),IFERROR(1*INDEX(BBG_Data!$F$2:$F$4000,MATCH($A1222,BBG_Data!$E$2:$E$4000,0)),NA()))</f>
        <v/>
      </c>
      <c r="E1222" s="19">
        <f>IF(NOT(ISNUMBER($A1222)),NA(),IFERROR(1*INDEX(BBG_Data!$H$2:$H$4000,MATCH($A1222,BBG_Data!$G$2:$G$4000,0)),NA()))</f>
        <v/>
      </c>
      <c r="F1222" s="20">
        <f>IF(AND(ISNUMBER(B1222),ISNUMBER(B1221)),IF(B1222=B1221,"",(B1222-B1221)*100),"")</f>
        <v/>
      </c>
      <c r="G1222" s="20">
        <f>IF(AND(ISNUMBER(C1222),ISNUMBER(C1221)),IF(C1222=C1221,"",(C1222-C1221)*100),"")</f>
        <v/>
      </c>
      <c r="H1222" s="20">
        <f>IF(OR(NOT(ISNUMBER($A1222)),ROW()-2&lt;Settings!$B$11),NA(),IF(COUNT(OFFSET(F1222,1-Settings!$B$11,0,Settings!$B$11,1))&lt;ROUNDUP(Settings!$B$11*Settings!$B$26,0),NA(),STDEV(OFFSET(F1222,1-Settings!$B$11,0,Settings!$B$11,1))*SQRT(Settings!$B$13)))</f>
        <v/>
      </c>
      <c r="I1222" s="20">
        <f>IF(OR(NOT(ISNUMBER($A1222)),ROW()-2&lt;Settings!$B$12),NA(),IF(COUNT(OFFSET(F1222,1-Settings!$B$12,0,Settings!$B$12,1))&lt;ROUNDUP(Settings!$B$12*Settings!$B$26,0),NA(),STDEV(OFFSET(F1222,1-Settings!$B$12,0,Settings!$B$12,1))*SQRT(Settings!$B$13)))</f>
        <v/>
      </c>
      <c r="J1222" s="20">
        <f>IF(OR(NOT(ISNUMBER($A1222)),ROW()-2&lt;Settings!$B$11),NA(),IF(COUNT(OFFSET(G1222,1-Settings!$B$11,0,Settings!$B$11,1))&lt;ROUNDUP(Settings!$B$11*Settings!$B$26,0),NA(),STDEV(OFFSET(G1222,1-Settings!$B$11,0,Settings!$B$11,1))*SQRT(Settings!$B$13)))</f>
        <v/>
      </c>
      <c r="K1222" s="20">
        <f>IF(OR(NOT(ISNUMBER($A1222)),ROW()-2&lt;Settings!$B$12),NA(),IF(COUNT(OFFSET(G1222,1-Settings!$B$12,0,Settings!$B$12,1))&lt;ROUNDUP(Settings!$B$12*Settings!$B$26,0),NA(),STDEV(OFFSET(G1222,1-Settings!$B$12,0,Settings!$B$12,1))*SQRT(Settings!$B$13)))</f>
        <v/>
      </c>
      <c r="L1222" s="20">
        <f>IF(AND(ISNUMBER(D1222),ISNUMBER(H1222)),D1222-H1222,NA())</f>
        <v/>
      </c>
      <c r="M1222" s="20">
        <f>IF(AND(ISNUMBER(E1222),ISNUMBER(K1222)),E1222-K1222,NA())</f>
        <v/>
      </c>
      <c r="N1222" s="20">
        <f>IF(NOT(ISNUMBER($A1222)),NA(),IF(COUNT(OFFSET(G1222,1,0,Settings!$B$12,1))&lt;ROUNDUP(Settings!$B$12*Settings!$B$26,0),NA(),STDEV(OFFSET(G1222,1,0,Settings!$B$12,1))*SQRT(Settings!$B$13)))</f>
        <v/>
      </c>
      <c r="O1222" s="20">
        <f>IF(AND(ISNUMBER(E1222),ISNUMBER(N1222)),E1222-N1222,NA())</f>
        <v/>
      </c>
      <c r="P1222" s="19">
        <f>IF(NOT(ISNUMBER($A1222)),NA(),IF(OR($A1222&lt;MIN(KW_TP!$A$2:$A$2501),$A1222&gt;MAX(KW_TP!$A$2:$A$2501)),NA(),INDEX(KW_TP!$C$2:$C$2501,MATCH($A1222,KW_TP!$A$2:$A$2501,1))))</f>
        <v/>
      </c>
      <c r="Q1222" s="18">
        <f>IF(NOT(ISNUMBER($A1222)),NA(),IFERROR(1*INDEX(BBG_Data!$J$2:$J$4000,MATCH($A1222,BBG_Data!$I$2:$I$4000,0)),NA()))</f>
        <v/>
      </c>
      <c r="R1222" s="18">
        <f>IF(NOT(ISNUMBER($A1222)),NA(),IFERROR(1*INDEX(BBG_Data!$L$2:$L$4000,MATCH($A1222,BBG_Data!$K$2:$K$4000,0)),NA()))</f>
        <v/>
      </c>
      <c r="S1222" s="20">
        <f>IF(AND(ISNUMBER(B1222),ISNUMBER(Q1222),ISNUMBER(R1222)),(B1222-Q1222-R1222)*100,NA())</f>
        <v/>
      </c>
      <c r="T1222" s="20">
        <f>IF(AND(ISNUMBER(B1222),Settings!$B$17&gt;0),IF(ISNUMBER(INDEX($B:$B,Settings!$B$17)),(B1222-INDEX($B:$B,Settings!$B$17))*100,NA()),NA())</f>
        <v/>
      </c>
      <c r="U1222" s="20">
        <f>IF(AND(ISNUMBER(Q1222),Settings!$B$17&gt;0),IF(ISNUMBER(INDEX($Q:$Q,Settings!$B$17)),(Q1222-INDEX($Q:$Q,Settings!$B$17))*100,NA()),NA())</f>
        <v/>
      </c>
      <c r="V1222" s="20">
        <f>IF(AND(ISNUMBER(R1222),Settings!$B$17&gt;0),IF(ISNUMBER(INDEX($R:$R,Settings!$B$17)),(R1222-INDEX($R:$R,Settings!$B$17))*100,NA()),NA())</f>
        <v/>
      </c>
      <c r="W1222" s="20">
        <f>IF(AND(ISNUMBER(P1222),Settings!$B$17&gt;0),IF(ISNUMBER(INDEX($P:$P,Settings!$B$17)),P1222-INDEX($P:$P,Settings!$B$17),NA()),NA())</f>
        <v/>
      </c>
      <c r="X1222" s="19">
        <f>IF(NOT(ISNUMBER($A1222)),NA(),IF(OR($A1222&lt;MIN(DKW_10Y!$A$2:$A$2918),$A1222&gt;MAX(DKW_10Y!$A$2:$A$2918),Settings!$B$16&lt;MIN(DKW_10Y!$A$2:$A$2918)),NA(),(INDEX(DKW_10Y!$B$2:$B$2918,MATCH($A1222,DKW_10Y!$A$2:$A$2918,1))-INDEX(DKW_10Y!$B$2:$B$2918,MATCH(Settings!$B$16,DKW_10Y!$A$2:$A$2918,1)))*100))</f>
        <v/>
      </c>
      <c r="Y1222" s="19">
        <f>IF(NOT(ISNUMBER($A1222)),NA(),IF(OR($A1222&lt;MIN(DKW_10Y!$A$2:$A$2918),$A1222&gt;MAX(DKW_10Y!$A$2:$A$2918),Settings!$B$16&lt;MIN(DKW_10Y!$A$2:$A$2918)),NA(),(INDEX(DKW_10Y!$C$2:$C$2918,MATCH($A1222,DKW_10Y!$A$2:$A$2918,1))-INDEX(DKW_10Y!$C$2:$C$2918,MATCH(Settings!$B$16,DKW_10Y!$A$2:$A$2918,1)))*100))</f>
        <v/>
      </c>
      <c r="Z1222" s="19">
        <f>IF(NOT(ISNUMBER($A1222)),NA(),IF(OR($A1222&lt;MIN(DKW_10Y!$A$2:$A$2918),$A1222&gt;MAX(DKW_10Y!$A$2:$A$2918),Settings!$B$16&lt;MIN(DKW_10Y!$A$2:$A$2918)),NA(),(INDEX(DKW_10Y!$D$2:$D$2918,MATCH($A1222,DKW_10Y!$A$2:$A$2918,1))-INDEX(DKW_10Y!$D$2:$D$2918,MATCH(Settings!$B$16,DKW_10Y!$A$2:$A$2918,1)))*100))</f>
        <v/>
      </c>
      <c r="AA1222" s="19">
        <f>IF(NOT(ISNUMBER($A1222)),NA(),IF(OR($A1222&lt;MIN(DKW_10Y!$A$2:$A$2918),$A1222&gt;MAX(DKW_10Y!$A$2:$A$2918),Settings!$B$16&lt;MIN(DKW_10Y!$A$2:$A$2918)),NA(),(INDEX(DKW_10Y!$E$2:$E$2918,MATCH($A1222,DKW_10Y!$A$2:$A$2918,1))-INDEX(DKW_10Y!$E$2:$E$2918,MATCH(Settings!$B$16,DKW_10Y!$A$2:$A$2918,1)))*100))</f>
        <v/>
      </c>
      <c r="AB1222" s="19">
        <f>IF(NOT(ISNUMBER($A1222)),NA(),IF(OR($A1222&lt;MIN(DKW_10Y!$A$2:$A$2918),$A1222&gt;MAX(DKW_10Y!$A$2:$A$2918),Settings!$B$16&lt;MIN(DKW_10Y!$A$2:$A$2918)),NA(),(INDEX(DKW_10Y!$H$2:$H$2918,MATCH($A1222,DKW_10Y!$A$2:$A$2918,1))-INDEX(DKW_10Y!$H$2:$H$2918,MATCH(Settings!$B$16,DKW_10Y!$A$2:$A$2918,1)))*100))</f>
        <v/>
      </c>
      <c r="AC1222" s="18">
        <f>IF(NOT(ISNUMBER($A1222)),NA(),IFERROR(1*INDEX(BBG_Data!$N$2:$N$4000,MATCH($A1222,BBG_Data!$M$2:$M$4000,0)),NA()))</f>
        <v/>
      </c>
      <c r="AD1222" s="18">
        <f>IF(NOT(ISNUMBER($A1222)),NA(),IFERROR(1*INDEX(BBG_Data!$P$2:$P$4000,MATCH($A1222,BBG_Data!$O$2:$O$4000,0)),NA()))</f>
        <v/>
      </c>
      <c r="AE1222" s="18">
        <f>IF(NOT(ISNUMBER($A1222)),NA(),IFERROR(1*INDEX(BBG_Data!$R$2:$R$4000,MATCH($A1222,BBG_Data!$Q$2:$Q$4000,0)),NA()))</f>
        <v/>
      </c>
      <c r="AF1222" s="20">
        <f>IF(AND(ISNUMBER(B1222),ISNUMBER(AC1222)),(B1222-AC1222)*100,NA())</f>
        <v/>
      </c>
      <c r="AG1222" s="20">
        <f>IF(AND(ISNUMBER(AE1222),ISNUMBER(AD1222)),(AE1222-AD1222)*100,NA())</f>
        <v/>
      </c>
      <c r="AH1222" s="19">
        <f>IF(NOT(ISNUMBER($A1222)),NA(),IFERROR(INDEX(BBG_Data!$T$2:$T$4000,MATCH($A1222,BBG_Data!$S$2:$S$4000,0))*Settings!$B$25,NA()))</f>
        <v/>
      </c>
      <c r="AI1222" s="19">
        <f>IF(NOT(ISNUMBER($A1222)),NA(),IFERROR(INDEX(BBG_Data!$V$2:$V$4000,MATCH($A1222,BBG_Data!$U$2:$U$4000,0))*Settings!$B$25,NA()))</f>
        <v/>
      </c>
      <c r="AJ1222" s="19">
        <f>IF(NOT(ISNUMBER($A1222)),NA(),IFERROR(1*INDEX(BBG_Data!$X$2:$X$4000,MATCH($A1222,BBG_Data!$W$2:$W$4000,0)),NA()))</f>
        <v/>
      </c>
      <c r="AK1222" s="19">
        <f>IF(NOT(ISNUMBER($A1222)),NA(),IFERROR(1*INDEX(BBG_Data!$Z$2:$Z$4000,MATCH($A1222,BBG_Data!$Y$2:$Y$4000,0)),NA()))</f>
        <v/>
      </c>
    </row>
    <row r="1223">
      <c r="A1223" s="17">
        <f>IF(ISNUMBER(BBG_Data!A1223),BBG_Data!A1223,"")</f>
        <v/>
      </c>
      <c r="B1223" s="18">
        <f>IF(AND(ISNUMBER($A1223),ISNUMBER(BBG_Data!B1223)),BBG_Data!B1223,NA())</f>
        <v/>
      </c>
      <c r="C1223" s="18">
        <f>IF(NOT(ISNUMBER($A1223)),NA(),IFERROR(1*INDEX(BBG_Data!$D$2:$D$4000,MATCH($A1223,BBG_Data!$C$2:$C$4000,0)),NA()))</f>
        <v/>
      </c>
      <c r="D1223" s="19">
        <f>IF(NOT(ISNUMBER($A1223)),NA(),IFERROR(1*INDEX(BBG_Data!$F$2:$F$4000,MATCH($A1223,BBG_Data!$E$2:$E$4000,0)),NA()))</f>
        <v/>
      </c>
      <c r="E1223" s="19">
        <f>IF(NOT(ISNUMBER($A1223)),NA(),IFERROR(1*INDEX(BBG_Data!$H$2:$H$4000,MATCH($A1223,BBG_Data!$G$2:$G$4000,0)),NA()))</f>
        <v/>
      </c>
      <c r="F1223" s="20">
        <f>IF(AND(ISNUMBER(B1223),ISNUMBER(B1222)),IF(B1223=B1222,"",(B1223-B1222)*100),"")</f>
        <v/>
      </c>
      <c r="G1223" s="20">
        <f>IF(AND(ISNUMBER(C1223),ISNUMBER(C1222)),IF(C1223=C1222,"",(C1223-C1222)*100),"")</f>
        <v/>
      </c>
      <c r="H1223" s="20">
        <f>IF(OR(NOT(ISNUMBER($A1223)),ROW()-2&lt;Settings!$B$11),NA(),IF(COUNT(OFFSET(F1223,1-Settings!$B$11,0,Settings!$B$11,1))&lt;ROUNDUP(Settings!$B$11*Settings!$B$26,0),NA(),STDEV(OFFSET(F1223,1-Settings!$B$11,0,Settings!$B$11,1))*SQRT(Settings!$B$13)))</f>
        <v/>
      </c>
      <c r="I1223" s="20">
        <f>IF(OR(NOT(ISNUMBER($A1223)),ROW()-2&lt;Settings!$B$12),NA(),IF(COUNT(OFFSET(F1223,1-Settings!$B$12,0,Settings!$B$12,1))&lt;ROUNDUP(Settings!$B$12*Settings!$B$26,0),NA(),STDEV(OFFSET(F1223,1-Settings!$B$12,0,Settings!$B$12,1))*SQRT(Settings!$B$13)))</f>
        <v/>
      </c>
      <c r="J1223" s="20">
        <f>IF(OR(NOT(ISNUMBER($A1223)),ROW()-2&lt;Settings!$B$11),NA(),IF(COUNT(OFFSET(G1223,1-Settings!$B$11,0,Settings!$B$11,1))&lt;ROUNDUP(Settings!$B$11*Settings!$B$26,0),NA(),STDEV(OFFSET(G1223,1-Settings!$B$11,0,Settings!$B$11,1))*SQRT(Settings!$B$13)))</f>
        <v/>
      </c>
      <c r="K1223" s="20">
        <f>IF(OR(NOT(ISNUMBER($A1223)),ROW()-2&lt;Settings!$B$12),NA(),IF(COUNT(OFFSET(G1223,1-Settings!$B$12,0,Settings!$B$12,1))&lt;ROUNDUP(Settings!$B$12*Settings!$B$26,0),NA(),STDEV(OFFSET(G1223,1-Settings!$B$12,0,Settings!$B$12,1))*SQRT(Settings!$B$13)))</f>
        <v/>
      </c>
      <c r="L1223" s="20">
        <f>IF(AND(ISNUMBER(D1223),ISNUMBER(H1223)),D1223-H1223,NA())</f>
        <v/>
      </c>
      <c r="M1223" s="20">
        <f>IF(AND(ISNUMBER(E1223),ISNUMBER(K1223)),E1223-K1223,NA())</f>
        <v/>
      </c>
      <c r="N1223" s="20">
        <f>IF(NOT(ISNUMBER($A1223)),NA(),IF(COUNT(OFFSET(G1223,1,0,Settings!$B$12,1))&lt;ROUNDUP(Settings!$B$12*Settings!$B$26,0),NA(),STDEV(OFFSET(G1223,1,0,Settings!$B$12,1))*SQRT(Settings!$B$13)))</f>
        <v/>
      </c>
      <c r="O1223" s="20">
        <f>IF(AND(ISNUMBER(E1223),ISNUMBER(N1223)),E1223-N1223,NA())</f>
        <v/>
      </c>
      <c r="P1223" s="19">
        <f>IF(NOT(ISNUMBER($A1223)),NA(),IF(OR($A1223&lt;MIN(KW_TP!$A$2:$A$2501),$A1223&gt;MAX(KW_TP!$A$2:$A$2501)),NA(),INDEX(KW_TP!$C$2:$C$2501,MATCH($A1223,KW_TP!$A$2:$A$2501,1))))</f>
        <v/>
      </c>
      <c r="Q1223" s="18">
        <f>IF(NOT(ISNUMBER($A1223)),NA(),IFERROR(1*INDEX(BBG_Data!$J$2:$J$4000,MATCH($A1223,BBG_Data!$I$2:$I$4000,0)),NA()))</f>
        <v/>
      </c>
      <c r="R1223" s="18">
        <f>IF(NOT(ISNUMBER($A1223)),NA(),IFERROR(1*INDEX(BBG_Data!$L$2:$L$4000,MATCH($A1223,BBG_Data!$K$2:$K$4000,0)),NA()))</f>
        <v/>
      </c>
      <c r="S1223" s="20">
        <f>IF(AND(ISNUMBER(B1223),ISNUMBER(Q1223),ISNUMBER(R1223)),(B1223-Q1223-R1223)*100,NA())</f>
        <v/>
      </c>
      <c r="T1223" s="20">
        <f>IF(AND(ISNUMBER(B1223),Settings!$B$17&gt;0),IF(ISNUMBER(INDEX($B:$B,Settings!$B$17)),(B1223-INDEX($B:$B,Settings!$B$17))*100,NA()),NA())</f>
        <v/>
      </c>
      <c r="U1223" s="20">
        <f>IF(AND(ISNUMBER(Q1223),Settings!$B$17&gt;0),IF(ISNUMBER(INDEX($Q:$Q,Settings!$B$17)),(Q1223-INDEX($Q:$Q,Settings!$B$17))*100,NA()),NA())</f>
        <v/>
      </c>
      <c r="V1223" s="20">
        <f>IF(AND(ISNUMBER(R1223),Settings!$B$17&gt;0),IF(ISNUMBER(INDEX($R:$R,Settings!$B$17)),(R1223-INDEX($R:$R,Settings!$B$17))*100,NA()),NA())</f>
        <v/>
      </c>
      <c r="W1223" s="20">
        <f>IF(AND(ISNUMBER(P1223),Settings!$B$17&gt;0),IF(ISNUMBER(INDEX($P:$P,Settings!$B$17)),P1223-INDEX($P:$P,Settings!$B$17),NA()),NA())</f>
        <v/>
      </c>
      <c r="X1223" s="19">
        <f>IF(NOT(ISNUMBER($A1223)),NA(),IF(OR($A1223&lt;MIN(DKW_10Y!$A$2:$A$2918),$A1223&gt;MAX(DKW_10Y!$A$2:$A$2918),Settings!$B$16&lt;MIN(DKW_10Y!$A$2:$A$2918)),NA(),(INDEX(DKW_10Y!$B$2:$B$2918,MATCH($A1223,DKW_10Y!$A$2:$A$2918,1))-INDEX(DKW_10Y!$B$2:$B$2918,MATCH(Settings!$B$16,DKW_10Y!$A$2:$A$2918,1)))*100))</f>
        <v/>
      </c>
      <c r="Y1223" s="19">
        <f>IF(NOT(ISNUMBER($A1223)),NA(),IF(OR($A1223&lt;MIN(DKW_10Y!$A$2:$A$2918),$A1223&gt;MAX(DKW_10Y!$A$2:$A$2918),Settings!$B$16&lt;MIN(DKW_10Y!$A$2:$A$2918)),NA(),(INDEX(DKW_10Y!$C$2:$C$2918,MATCH($A1223,DKW_10Y!$A$2:$A$2918,1))-INDEX(DKW_10Y!$C$2:$C$2918,MATCH(Settings!$B$16,DKW_10Y!$A$2:$A$2918,1)))*100))</f>
        <v/>
      </c>
      <c r="Z1223" s="19">
        <f>IF(NOT(ISNUMBER($A1223)),NA(),IF(OR($A1223&lt;MIN(DKW_10Y!$A$2:$A$2918),$A1223&gt;MAX(DKW_10Y!$A$2:$A$2918),Settings!$B$16&lt;MIN(DKW_10Y!$A$2:$A$2918)),NA(),(INDEX(DKW_10Y!$D$2:$D$2918,MATCH($A1223,DKW_10Y!$A$2:$A$2918,1))-INDEX(DKW_10Y!$D$2:$D$2918,MATCH(Settings!$B$16,DKW_10Y!$A$2:$A$2918,1)))*100))</f>
        <v/>
      </c>
      <c r="AA1223" s="19">
        <f>IF(NOT(ISNUMBER($A1223)),NA(),IF(OR($A1223&lt;MIN(DKW_10Y!$A$2:$A$2918),$A1223&gt;MAX(DKW_10Y!$A$2:$A$2918),Settings!$B$16&lt;MIN(DKW_10Y!$A$2:$A$2918)),NA(),(INDEX(DKW_10Y!$E$2:$E$2918,MATCH($A1223,DKW_10Y!$A$2:$A$2918,1))-INDEX(DKW_10Y!$E$2:$E$2918,MATCH(Settings!$B$16,DKW_10Y!$A$2:$A$2918,1)))*100))</f>
        <v/>
      </c>
      <c r="AB1223" s="19">
        <f>IF(NOT(ISNUMBER($A1223)),NA(),IF(OR($A1223&lt;MIN(DKW_10Y!$A$2:$A$2918),$A1223&gt;MAX(DKW_10Y!$A$2:$A$2918),Settings!$B$16&lt;MIN(DKW_10Y!$A$2:$A$2918)),NA(),(INDEX(DKW_10Y!$H$2:$H$2918,MATCH($A1223,DKW_10Y!$A$2:$A$2918,1))-INDEX(DKW_10Y!$H$2:$H$2918,MATCH(Settings!$B$16,DKW_10Y!$A$2:$A$2918,1)))*100))</f>
        <v/>
      </c>
      <c r="AC1223" s="18">
        <f>IF(NOT(ISNUMBER($A1223)),NA(),IFERROR(1*INDEX(BBG_Data!$N$2:$N$4000,MATCH($A1223,BBG_Data!$M$2:$M$4000,0)),NA()))</f>
        <v/>
      </c>
      <c r="AD1223" s="18">
        <f>IF(NOT(ISNUMBER($A1223)),NA(),IFERROR(1*INDEX(BBG_Data!$P$2:$P$4000,MATCH($A1223,BBG_Data!$O$2:$O$4000,0)),NA()))</f>
        <v/>
      </c>
      <c r="AE1223" s="18">
        <f>IF(NOT(ISNUMBER($A1223)),NA(),IFERROR(1*INDEX(BBG_Data!$R$2:$R$4000,MATCH($A1223,BBG_Data!$Q$2:$Q$4000,0)),NA()))</f>
        <v/>
      </c>
      <c r="AF1223" s="20">
        <f>IF(AND(ISNUMBER(B1223),ISNUMBER(AC1223)),(B1223-AC1223)*100,NA())</f>
        <v/>
      </c>
      <c r="AG1223" s="20">
        <f>IF(AND(ISNUMBER(AE1223),ISNUMBER(AD1223)),(AE1223-AD1223)*100,NA())</f>
        <v/>
      </c>
      <c r="AH1223" s="19">
        <f>IF(NOT(ISNUMBER($A1223)),NA(),IFERROR(INDEX(BBG_Data!$T$2:$T$4000,MATCH($A1223,BBG_Data!$S$2:$S$4000,0))*Settings!$B$25,NA()))</f>
        <v/>
      </c>
      <c r="AI1223" s="19">
        <f>IF(NOT(ISNUMBER($A1223)),NA(),IFERROR(INDEX(BBG_Data!$V$2:$V$4000,MATCH($A1223,BBG_Data!$U$2:$U$4000,0))*Settings!$B$25,NA()))</f>
        <v/>
      </c>
      <c r="AJ1223" s="19">
        <f>IF(NOT(ISNUMBER($A1223)),NA(),IFERROR(1*INDEX(BBG_Data!$X$2:$X$4000,MATCH($A1223,BBG_Data!$W$2:$W$4000,0)),NA()))</f>
        <v/>
      </c>
      <c r="AK1223" s="19">
        <f>IF(NOT(ISNUMBER($A1223)),NA(),IFERROR(1*INDEX(BBG_Data!$Z$2:$Z$4000,MATCH($A1223,BBG_Data!$Y$2:$Y$4000,0)),NA()))</f>
        <v/>
      </c>
    </row>
    <row r="1224">
      <c r="A1224" s="17">
        <f>IF(ISNUMBER(BBG_Data!A1224),BBG_Data!A1224,"")</f>
        <v/>
      </c>
      <c r="B1224" s="18">
        <f>IF(AND(ISNUMBER($A1224),ISNUMBER(BBG_Data!B1224)),BBG_Data!B1224,NA())</f>
        <v/>
      </c>
      <c r="C1224" s="18">
        <f>IF(NOT(ISNUMBER($A1224)),NA(),IFERROR(1*INDEX(BBG_Data!$D$2:$D$4000,MATCH($A1224,BBG_Data!$C$2:$C$4000,0)),NA()))</f>
        <v/>
      </c>
      <c r="D1224" s="19">
        <f>IF(NOT(ISNUMBER($A1224)),NA(),IFERROR(1*INDEX(BBG_Data!$F$2:$F$4000,MATCH($A1224,BBG_Data!$E$2:$E$4000,0)),NA()))</f>
        <v/>
      </c>
      <c r="E1224" s="19">
        <f>IF(NOT(ISNUMBER($A1224)),NA(),IFERROR(1*INDEX(BBG_Data!$H$2:$H$4000,MATCH($A1224,BBG_Data!$G$2:$G$4000,0)),NA()))</f>
        <v/>
      </c>
      <c r="F1224" s="20">
        <f>IF(AND(ISNUMBER(B1224),ISNUMBER(B1223)),IF(B1224=B1223,"",(B1224-B1223)*100),"")</f>
        <v/>
      </c>
      <c r="G1224" s="20">
        <f>IF(AND(ISNUMBER(C1224),ISNUMBER(C1223)),IF(C1224=C1223,"",(C1224-C1223)*100),"")</f>
        <v/>
      </c>
      <c r="H1224" s="20">
        <f>IF(OR(NOT(ISNUMBER($A1224)),ROW()-2&lt;Settings!$B$11),NA(),IF(COUNT(OFFSET(F1224,1-Settings!$B$11,0,Settings!$B$11,1))&lt;ROUNDUP(Settings!$B$11*Settings!$B$26,0),NA(),STDEV(OFFSET(F1224,1-Settings!$B$11,0,Settings!$B$11,1))*SQRT(Settings!$B$13)))</f>
        <v/>
      </c>
      <c r="I1224" s="20">
        <f>IF(OR(NOT(ISNUMBER($A1224)),ROW()-2&lt;Settings!$B$12),NA(),IF(COUNT(OFFSET(F1224,1-Settings!$B$12,0,Settings!$B$12,1))&lt;ROUNDUP(Settings!$B$12*Settings!$B$26,0),NA(),STDEV(OFFSET(F1224,1-Settings!$B$12,0,Settings!$B$12,1))*SQRT(Settings!$B$13)))</f>
        <v/>
      </c>
      <c r="J1224" s="20">
        <f>IF(OR(NOT(ISNUMBER($A1224)),ROW()-2&lt;Settings!$B$11),NA(),IF(COUNT(OFFSET(G1224,1-Settings!$B$11,0,Settings!$B$11,1))&lt;ROUNDUP(Settings!$B$11*Settings!$B$26,0),NA(),STDEV(OFFSET(G1224,1-Settings!$B$11,0,Settings!$B$11,1))*SQRT(Settings!$B$13)))</f>
        <v/>
      </c>
      <c r="K1224" s="20">
        <f>IF(OR(NOT(ISNUMBER($A1224)),ROW()-2&lt;Settings!$B$12),NA(),IF(COUNT(OFFSET(G1224,1-Settings!$B$12,0,Settings!$B$12,1))&lt;ROUNDUP(Settings!$B$12*Settings!$B$26,0),NA(),STDEV(OFFSET(G1224,1-Settings!$B$12,0,Settings!$B$12,1))*SQRT(Settings!$B$13)))</f>
        <v/>
      </c>
      <c r="L1224" s="20">
        <f>IF(AND(ISNUMBER(D1224),ISNUMBER(H1224)),D1224-H1224,NA())</f>
        <v/>
      </c>
      <c r="M1224" s="20">
        <f>IF(AND(ISNUMBER(E1224),ISNUMBER(K1224)),E1224-K1224,NA())</f>
        <v/>
      </c>
      <c r="N1224" s="20">
        <f>IF(NOT(ISNUMBER($A1224)),NA(),IF(COUNT(OFFSET(G1224,1,0,Settings!$B$12,1))&lt;ROUNDUP(Settings!$B$12*Settings!$B$26,0),NA(),STDEV(OFFSET(G1224,1,0,Settings!$B$12,1))*SQRT(Settings!$B$13)))</f>
        <v/>
      </c>
      <c r="O1224" s="20">
        <f>IF(AND(ISNUMBER(E1224),ISNUMBER(N1224)),E1224-N1224,NA())</f>
        <v/>
      </c>
      <c r="P1224" s="19">
        <f>IF(NOT(ISNUMBER($A1224)),NA(),IF(OR($A1224&lt;MIN(KW_TP!$A$2:$A$2501),$A1224&gt;MAX(KW_TP!$A$2:$A$2501)),NA(),INDEX(KW_TP!$C$2:$C$2501,MATCH($A1224,KW_TP!$A$2:$A$2501,1))))</f>
        <v/>
      </c>
      <c r="Q1224" s="18">
        <f>IF(NOT(ISNUMBER($A1224)),NA(),IFERROR(1*INDEX(BBG_Data!$J$2:$J$4000,MATCH($A1224,BBG_Data!$I$2:$I$4000,0)),NA()))</f>
        <v/>
      </c>
      <c r="R1224" s="18">
        <f>IF(NOT(ISNUMBER($A1224)),NA(),IFERROR(1*INDEX(BBG_Data!$L$2:$L$4000,MATCH($A1224,BBG_Data!$K$2:$K$4000,0)),NA()))</f>
        <v/>
      </c>
      <c r="S1224" s="20">
        <f>IF(AND(ISNUMBER(B1224),ISNUMBER(Q1224),ISNUMBER(R1224)),(B1224-Q1224-R1224)*100,NA())</f>
        <v/>
      </c>
      <c r="T1224" s="20">
        <f>IF(AND(ISNUMBER(B1224),Settings!$B$17&gt;0),IF(ISNUMBER(INDEX($B:$B,Settings!$B$17)),(B1224-INDEX($B:$B,Settings!$B$17))*100,NA()),NA())</f>
        <v/>
      </c>
      <c r="U1224" s="20">
        <f>IF(AND(ISNUMBER(Q1224),Settings!$B$17&gt;0),IF(ISNUMBER(INDEX($Q:$Q,Settings!$B$17)),(Q1224-INDEX($Q:$Q,Settings!$B$17))*100,NA()),NA())</f>
        <v/>
      </c>
      <c r="V1224" s="20">
        <f>IF(AND(ISNUMBER(R1224),Settings!$B$17&gt;0),IF(ISNUMBER(INDEX($R:$R,Settings!$B$17)),(R1224-INDEX($R:$R,Settings!$B$17))*100,NA()),NA())</f>
        <v/>
      </c>
      <c r="W1224" s="20">
        <f>IF(AND(ISNUMBER(P1224),Settings!$B$17&gt;0),IF(ISNUMBER(INDEX($P:$P,Settings!$B$17)),P1224-INDEX($P:$P,Settings!$B$17),NA()),NA())</f>
        <v/>
      </c>
      <c r="X1224" s="19">
        <f>IF(NOT(ISNUMBER($A1224)),NA(),IF(OR($A1224&lt;MIN(DKW_10Y!$A$2:$A$2918),$A1224&gt;MAX(DKW_10Y!$A$2:$A$2918),Settings!$B$16&lt;MIN(DKW_10Y!$A$2:$A$2918)),NA(),(INDEX(DKW_10Y!$B$2:$B$2918,MATCH($A1224,DKW_10Y!$A$2:$A$2918,1))-INDEX(DKW_10Y!$B$2:$B$2918,MATCH(Settings!$B$16,DKW_10Y!$A$2:$A$2918,1)))*100))</f>
        <v/>
      </c>
      <c r="Y1224" s="19">
        <f>IF(NOT(ISNUMBER($A1224)),NA(),IF(OR($A1224&lt;MIN(DKW_10Y!$A$2:$A$2918),$A1224&gt;MAX(DKW_10Y!$A$2:$A$2918),Settings!$B$16&lt;MIN(DKW_10Y!$A$2:$A$2918)),NA(),(INDEX(DKW_10Y!$C$2:$C$2918,MATCH($A1224,DKW_10Y!$A$2:$A$2918,1))-INDEX(DKW_10Y!$C$2:$C$2918,MATCH(Settings!$B$16,DKW_10Y!$A$2:$A$2918,1)))*100))</f>
        <v/>
      </c>
      <c r="Z1224" s="19">
        <f>IF(NOT(ISNUMBER($A1224)),NA(),IF(OR($A1224&lt;MIN(DKW_10Y!$A$2:$A$2918),$A1224&gt;MAX(DKW_10Y!$A$2:$A$2918),Settings!$B$16&lt;MIN(DKW_10Y!$A$2:$A$2918)),NA(),(INDEX(DKW_10Y!$D$2:$D$2918,MATCH($A1224,DKW_10Y!$A$2:$A$2918,1))-INDEX(DKW_10Y!$D$2:$D$2918,MATCH(Settings!$B$16,DKW_10Y!$A$2:$A$2918,1)))*100))</f>
        <v/>
      </c>
      <c r="AA1224" s="19">
        <f>IF(NOT(ISNUMBER($A1224)),NA(),IF(OR($A1224&lt;MIN(DKW_10Y!$A$2:$A$2918),$A1224&gt;MAX(DKW_10Y!$A$2:$A$2918),Settings!$B$16&lt;MIN(DKW_10Y!$A$2:$A$2918)),NA(),(INDEX(DKW_10Y!$E$2:$E$2918,MATCH($A1224,DKW_10Y!$A$2:$A$2918,1))-INDEX(DKW_10Y!$E$2:$E$2918,MATCH(Settings!$B$16,DKW_10Y!$A$2:$A$2918,1)))*100))</f>
        <v/>
      </c>
      <c r="AB1224" s="19">
        <f>IF(NOT(ISNUMBER($A1224)),NA(),IF(OR($A1224&lt;MIN(DKW_10Y!$A$2:$A$2918),$A1224&gt;MAX(DKW_10Y!$A$2:$A$2918),Settings!$B$16&lt;MIN(DKW_10Y!$A$2:$A$2918)),NA(),(INDEX(DKW_10Y!$H$2:$H$2918,MATCH($A1224,DKW_10Y!$A$2:$A$2918,1))-INDEX(DKW_10Y!$H$2:$H$2918,MATCH(Settings!$B$16,DKW_10Y!$A$2:$A$2918,1)))*100))</f>
        <v/>
      </c>
      <c r="AC1224" s="18">
        <f>IF(NOT(ISNUMBER($A1224)),NA(),IFERROR(1*INDEX(BBG_Data!$N$2:$N$4000,MATCH($A1224,BBG_Data!$M$2:$M$4000,0)),NA()))</f>
        <v/>
      </c>
      <c r="AD1224" s="18">
        <f>IF(NOT(ISNUMBER($A1224)),NA(),IFERROR(1*INDEX(BBG_Data!$P$2:$P$4000,MATCH($A1224,BBG_Data!$O$2:$O$4000,0)),NA()))</f>
        <v/>
      </c>
      <c r="AE1224" s="18">
        <f>IF(NOT(ISNUMBER($A1224)),NA(),IFERROR(1*INDEX(BBG_Data!$R$2:$R$4000,MATCH($A1224,BBG_Data!$Q$2:$Q$4000,0)),NA()))</f>
        <v/>
      </c>
      <c r="AF1224" s="20">
        <f>IF(AND(ISNUMBER(B1224),ISNUMBER(AC1224)),(B1224-AC1224)*100,NA())</f>
        <v/>
      </c>
      <c r="AG1224" s="20">
        <f>IF(AND(ISNUMBER(AE1224),ISNUMBER(AD1224)),(AE1224-AD1224)*100,NA())</f>
        <v/>
      </c>
      <c r="AH1224" s="19">
        <f>IF(NOT(ISNUMBER($A1224)),NA(),IFERROR(INDEX(BBG_Data!$T$2:$T$4000,MATCH($A1224,BBG_Data!$S$2:$S$4000,0))*Settings!$B$25,NA()))</f>
        <v/>
      </c>
      <c r="AI1224" s="19">
        <f>IF(NOT(ISNUMBER($A1224)),NA(),IFERROR(INDEX(BBG_Data!$V$2:$V$4000,MATCH($A1224,BBG_Data!$U$2:$U$4000,0))*Settings!$B$25,NA()))</f>
        <v/>
      </c>
      <c r="AJ1224" s="19">
        <f>IF(NOT(ISNUMBER($A1224)),NA(),IFERROR(1*INDEX(BBG_Data!$X$2:$X$4000,MATCH($A1224,BBG_Data!$W$2:$W$4000,0)),NA()))</f>
        <v/>
      </c>
      <c r="AK1224" s="19">
        <f>IF(NOT(ISNUMBER($A1224)),NA(),IFERROR(1*INDEX(BBG_Data!$Z$2:$Z$4000,MATCH($A1224,BBG_Data!$Y$2:$Y$4000,0)),NA()))</f>
        <v/>
      </c>
    </row>
    <row r="1225">
      <c r="A1225" s="17">
        <f>IF(ISNUMBER(BBG_Data!A1225),BBG_Data!A1225,"")</f>
        <v/>
      </c>
      <c r="B1225" s="18">
        <f>IF(AND(ISNUMBER($A1225),ISNUMBER(BBG_Data!B1225)),BBG_Data!B1225,NA())</f>
        <v/>
      </c>
      <c r="C1225" s="18">
        <f>IF(NOT(ISNUMBER($A1225)),NA(),IFERROR(1*INDEX(BBG_Data!$D$2:$D$4000,MATCH($A1225,BBG_Data!$C$2:$C$4000,0)),NA()))</f>
        <v/>
      </c>
      <c r="D1225" s="19">
        <f>IF(NOT(ISNUMBER($A1225)),NA(),IFERROR(1*INDEX(BBG_Data!$F$2:$F$4000,MATCH($A1225,BBG_Data!$E$2:$E$4000,0)),NA()))</f>
        <v/>
      </c>
      <c r="E1225" s="19">
        <f>IF(NOT(ISNUMBER($A1225)),NA(),IFERROR(1*INDEX(BBG_Data!$H$2:$H$4000,MATCH($A1225,BBG_Data!$G$2:$G$4000,0)),NA()))</f>
        <v/>
      </c>
      <c r="F1225" s="20">
        <f>IF(AND(ISNUMBER(B1225),ISNUMBER(B1224)),IF(B1225=B1224,"",(B1225-B1224)*100),"")</f>
        <v/>
      </c>
      <c r="G1225" s="20">
        <f>IF(AND(ISNUMBER(C1225),ISNUMBER(C1224)),IF(C1225=C1224,"",(C1225-C1224)*100),"")</f>
        <v/>
      </c>
      <c r="H1225" s="20">
        <f>IF(OR(NOT(ISNUMBER($A1225)),ROW()-2&lt;Settings!$B$11),NA(),IF(COUNT(OFFSET(F1225,1-Settings!$B$11,0,Settings!$B$11,1))&lt;ROUNDUP(Settings!$B$11*Settings!$B$26,0),NA(),STDEV(OFFSET(F1225,1-Settings!$B$11,0,Settings!$B$11,1))*SQRT(Settings!$B$13)))</f>
        <v/>
      </c>
      <c r="I1225" s="20">
        <f>IF(OR(NOT(ISNUMBER($A1225)),ROW()-2&lt;Settings!$B$12),NA(),IF(COUNT(OFFSET(F1225,1-Settings!$B$12,0,Settings!$B$12,1))&lt;ROUNDUP(Settings!$B$12*Settings!$B$26,0),NA(),STDEV(OFFSET(F1225,1-Settings!$B$12,0,Settings!$B$12,1))*SQRT(Settings!$B$13)))</f>
        <v/>
      </c>
      <c r="J1225" s="20">
        <f>IF(OR(NOT(ISNUMBER($A1225)),ROW()-2&lt;Settings!$B$11),NA(),IF(COUNT(OFFSET(G1225,1-Settings!$B$11,0,Settings!$B$11,1))&lt;ROUNDUP(Settings!$B$11*Settings!$B$26,0),NA(),STDEV(OFFSET(G1225,1-Settings!$B$11,0,Settings!$B$11,1))*SQRT(Settings!$B$13)))</f>
        <v/>
      </c>
      <c r="K1225" s="20">
        <f>IF(OR(NOT(ISNUMBER($A1225)),ROW()-2&lt;Settings!$B$12),NA(),IF(COUNT(OFFSET(G1225,1-Settings!$B$12,0,Settings!$B$12,1))&lt;ROUNDUP(Settings!$B$12*Settings!$B$26,0),NA(),STDEV(OFFSET(G1225,1-Settings!$B$12,0,Settings!$B$12,1))*SQRT(Settings!$B$13)))</f>
        <v/>
      </c>
      <c r="L1225" s="20">
        <f>IF(AND(ISNUMBER(D1225),ISNUMBER(H1225)),D1225-H1225,NA())</f>
        <v/>
      </c>
      <c r="M1225" s="20">
        <f>IF(AND(ISNUMBER(E1225),ISNUMBER(K1225)),E1225-K1225,NA())</f>
        <v/>
      </c>
      <c r="N1225" s="20">
        <f>IF(NOT(ISNUMBER($A1225)),NA(),IF(COUNT(OFFSET(G1225,1,0,Settings!$B$12,1))&lt;ROUNDUP(Settings!$B$12*Settings!$B$26,0),NA(),STDEV(OFFSET(G1225,1,0,Settings!$B$12,1))*SQRT(Settings!$B$13)))</f>
        <v/>
      </c>
      <c r="O1225" s="20">
        <f>IF(AND(ISNUMBER(E1225),ISNUMBER(N1225)),E1225-N1225,NA())</f>
        <v/>
      </c>
      <c r="P1225" s="19">
        <f>IF(NOT(ISNUMBER($A1225)),NA(),IF(OR($A1225&lt;MIN(KW_TP!$A$2:$A$2501),$A1225&gt;MAX(KW_TP!$A$2:$A$2501)),NA(),INDEX(KW_TP!$C$2:$C$2501,MATCH($A1225,KW_TP!$A$2:$A$2501,1))))</f>
        <v/>
      </c>
      <c r="Q1225" s="18">
        <f>IF(NOT(ISNUMBER($A1225)),NA(),IFERROR(1*INDEX(BBG_Data!$J$2:$J$4000,MATCH($A1225,BBG_Data!$I$2:$I$4000,0)),NA()))</f>
        <v/>
      </c>
      <c r="R1225" s="18">
        <f>IF(NOT(ISNUMBER($A1225)),NA(),IFERROR(1*INDEX(BBG_Data!$L$2:$L$4000,MATCH($A1225,BBG_Data!$K$2:$K$4000,0)),NA()))</f>
        <v/>
      </c>
      <c r="S1225" s="20">
        <f>IF(AND(ISNUMBER(B1225),ISNUMBER(Q1225),ISNUMBER(R1225)),(B1225-Q1225-R1225)*100,NA())</f>
        <v/>
      </c>
      <c r="T1225" s="20">
        <f>IF(AND(ISNUMBER(B1225),Settings!$B$17&gt;0),IF(ISNUMBER(INDEX($B:$B,Settings!$B$17)),(B1225-INDEX($B:$B,Settings!$B$17))*100,NA()),NA())</f>
        <v/>
      </c>
      <c r="U1225" s="20">
        <f>IF(AND(ISNUMBER(Q1225),Settings!$B$17&gt;0),IF(ISNUMBER(INDEX($Q:$Q,Settings!$B$17)),(Q1225-INDEX($Q:$Q,Settings!$B$17))*100,NA()),NA())</f>
        <v/>
      </c>
      <c r="V1225" s="20">
        <f>IF(AND(ISNUMBER(R1225),Settings!$B$17&gt;0),IF(ISNUMBER(INDEX($R:$R,Settings!$B$17)),(R1225-INDEX($R:$R,Settings!$B$17))*100,NA()),NA())</f>
        <v/>
      </c>
      <c r="W1225" s="20">
        <f>IF(AND(ISNUMBER(P1225),Settings!$B$17&gt;0),IF(ISNUMBER(INDEX($P:$P,Settings!$B$17)),P1225-INDEX($P:$P,Settings!$B$17),NA()),NA())</f>
        <v/>
      </c>
      <c r="X1225" s="19">
        <f>IF(NOT(ISNUMBER($A1225)),NA(),IF(OR($A1225&lt;MIN(DKW_10Y!$A$2:$A$2918),$A1225&gt;MAX(DKW_10Y!$A$2:$A$2918),Settings!$B$16&lt;MIN(DKW_10Y!$A$2:$A$2918)),NA(),(INDEX(DKW_10Y!$B$2:$B$2918,MATCH($A1225,DKW_10Y!$A$2:$A$2918,1))-INDEX(DKW_10Y!$B$2:$B$2918,MATCH(Settings!$B$16,DKW_10Y!$A$2:$A$2918,1)))*100))</f>
        <v/>
      </c>
      <c r="Y1225" s="19">
        <f>IF(NOT(ISNUMBER($A1225)),NA(),IF(OR($A1225&lt;MIN(DKW_10Y!$A$2:$A$2918),$A1225&gt;MAX(DKW_10Y!$A$2:$A$2918),Settings!$B$16&lt;MIN(DKW_10Y!$A$2:$A$2918)),NA(),(INDEX(DKW_10Y!$C$2:$C$2918,MATCH($A1225,DKW_10Y!$A$2:$A$2918,1))-INDEX(DKW_10Y!$C$2:$C$2918,MATCH(Settings!$B$16,DKW_10Y!$A$2:$A$2918,1)))*100))</f>
        <v/>
      </c>
      <c r="Z1225" s="19">
        <f>IF(NOT(ISNUMBER($A1225)),NA(),IF(OR($A1225&lt;MIN(DKW_10Y!$A$2:$A$2918),$A1225&gt;MAX(DKW_10Y!$A$2:$A$2918),Settings!$B$16&lt;MIN(DKW_10Y!$A$2:$A$2918)),NA(),(INDEX(DKW_10Y!$D$2:$D$2918,MATCH($A1225,DKW_10Y!$A$2:$A$2918,1))-INDEX(DKW_10Y!$D$2:$D$2918,MATCH(Settings!$B$16,DKW_10Y!$A$2:$A$2918,1)))*100))</f>
        <v/>
      </c>
      <c r="AA1225" s="19">
        <f>IF(NOT(ISNUMBER($A1225)),NA(),IF(OR($A1225&lt;MIN(DKW_10Y!$A$2:$A$2918),$A1225&gt;MAX(DKW_10Y!$A$2:$A$2918),Settings!$B$16&lt;MIN(DKW_10Y!$A$2:$A$2918)),NA(),(INDEX(DKW_10Y!$E$2:$E$2918,MATCH($A1225,DKW_10Y!$A$2:$A$2918,1))-INDEX(DKW_10Y!$E$2:$E$2918,MATCH(Settings!$B$16,DKW_10Y!$A$2:$A$2918,1)))*100))</f>
        <v/>
      </c>
      <c r="AB1225" s="19">
        <f>IF(NOT(ISNUMBER($A1225)),NA(),IF(OR($A1225&lt;MIN(DKW_10Y!$A$2:$A$2918),$A1225&gt;MAX(DKW_10Y!$A$2:$A$2918),Settings!$B$16&lt;MIN(DKW_10Y!$A$2:$A$2918)),NA(),(INDEX(DKW_10Y!$H$2:$H$2918,MATCH($A1225,DKW_10Y!$A$2:$A$2918,1))-INDEX(DKW_10Y!$H$2:$H$2918,MATCH(Settings!$B$16,DKW_10Y!$A$2:$A$2918,1)))*100))</f>
        <v/>
      </c>
      <c r="AC1225" s="18">
        <f>IF(NOT(ISNUMBER($A1225)),NA(),IFERROR(1*INDEX(BBG_Data!$N$2:$N$4000,MATCH($A1225,BBG_Data!$M$2:$M$4000,0)),NA()))</f>
        <v/>
      </c>
      <c r="AD1225" s="18">
        <f>IF(NOT(ISNUMBER($A1225)),NA(),IFERROR(1*INDEX(BBG_Data!$P$2:$P$4000,MATCH($A1225,BBG_Data!$O$2:$O$4000,0)),NA()))</f>
        <v/>
      </c>
      <c r="AE1225" s="18">
        <f>IF(NOT(ISNUMBER($A1225)),NA(),IFERROR(1*INDEX(BBG_Data!$R$2:$R$4000,MATCH($A1225,BBG_Data!$Q$2:$Q$4000,0)),NA()))</f>
        <v/>
      </c>
      <c r="AF1225" s="20">
        <f>IF(AND(ISNUMBER(B1225),ISNUMBER(AC1225)),(B1225-AC1225)*100,NA())</f>
        <v/>
      </c>
      <c r="AG1225" s="20">
        <f>IF(AND(ISNUMBER(AE1225),ISNUMBER(AD1225)),(AE1225-AD1225)*100,NA())</f>
        <v/>
      </c>
      <c r="AH1225" s="19">
        <f>IF(NOT(ISNUMBER($A1225)),NA(),IFERROR(INDEX(BBG_Data!$T$2:$T$4000,MATCH($A1225,BBG_Data!$S$2:$S$4000,0))*Settings!$B$25,NA()))</f>
        <v/>
      </c>
      <c r="AI1225" s="19">
        <f>IF(NOT(ISNUMBER($A1225)),NA(),IFERROR(INDEX(BBG_Data!$V$2:$V$4000,MATCH($A1225,BBG_Data!$U$2:$U$4000,0))*Settings!$B$25,NA()))</f>
        <v/>
      </c>
      <c r="AJ1225" s="19">
        <f>IF(NOT(ISNUMBER($A1225)),NA(),IFERROR(1*INDEX(BBG_Data!$X$2:$X$4000,MATCH($A1225,BBG_Data!$W$2:$W$4000,0)),NA()))</f>
        <v/>
      </c>
      <c r="AK1225" s="19">
        <f>IF(NOT(ISNUMBER($A1225)),NA(),IFERROR(1*INDEX(BBG_Data!$Z$2:$Z$4000,MATCH($A1225,BBG_Data!$Y$2:$Y$4000,0)),NA()))</f>
        <v/>
      </c>
    </row>
    <row r="1226">
      <c r="A1226" s="17">
        <f>IF(ISNUMBER(BBG_Data!A1226),BBG_Data!A1226,"")</f>
        <v/>
      </c>
      <c r="B1226" s="18">
        <f>IF(AND(ISNUMBER($A1226),ISNUMBER(BBG_Data!B1226)),BBG_Data!B1226,NA())</f>
        <v/>
      </c>
      <c r="C1226" s="18">
        <f>IF(NOT(ISNUMBER($A1226)),NA(),IFERROR(1*INDEX(BBG_Data!$D$2:$D$4000,MATCH($A1226,BBG_Data!$C$2:$C$4000,0)),NA()))</f>
        <v/>
      </c>
      <c r="D1226" s="19">
        <f>IF(NOT(ISNUMBER($A1226)),NA(),IFERROR(1*INDEX(BBG_Data!$F$2:$F$4000,MATCH($A1226,BBG_Data!$E$2:$E$4000,0)),NA()))</f>
        <v/>
      </c>
      <c r="E1226" s="19">
        <f>IF(NOT(ISNUMBER($A1226)),NA(),IFERROR(1*INDEX(BBG_Data!$H$2:$H$4000,MATCH($A1226,BBG_Data!$G$2:$G$4000,0)),NA()))</f>
        <v/>
      </c>
      <c r="F1226" s="20">
        <f>IF(AND(ISNUMBER(B1226),ISNUMBER(B1225)),IF(B1226=B1225,"",(B1226-B1225)*100),"")</f>
        <v/>
      </c>
      <c r="G1226" s="20">
        <f>IF(AND(ISNUMBER(C1226),ISNUMBER(C1225)),IF(C1226=C1225,"",(C1226-C1225)*100),"")</f>
        <v/>
      </c>
      <c r="H1226" s="20">
        <f>IF(OR(NOT(ISNUMBER($A1226)),ROW()-2&lt;Settings!$B$11),NA(),IF(COUNT(OFFSET(F1226,1-Settings!$B$11,0,Settings!$B$11,1))&lt;ROUNDUP(Settings!$B$11*Settings!$B$26,0),NA(),STDEV(OFFSET(F1226,1-Settings!$B$11,0,Settings!$B$11,1))*SQRT(Settings!$B$13)))</f>
        <v/>
      </c>
      <c r="I1226" s="20">
        <f>IF(OR(NOT(ISNUMBER($A1226)),ROW()-2&lt;Settings!$B$12),NA(),IF(COUNT(OFFSET(F1226,1-Settings!$B$12,0,Settings!$B$12,1))&lt;ROUNDUP(Settings!$B$12*Settings!$B$26,0),NA(),STDEV(OFFSET(F1226,1-Settings!$B$12,0,Settings!$B$12,1))*SQRT(Settings!$B$13)))</f>
        <v/>
      </c>
      <c r="J1226" s="20">
        <f>IF(OR(NOT(ISNUMBER($A1226)),ROW()-2&lt;Settings!$B$11),NA(),IF(COUNT(OFFSET(G1226,1-Settings!$B$11,0,Settings!$B$11,1))&lt;ROUNDUP(Settings!$B$11*Settings!$B$26,0),NA(),STDEV(OFFSET(G1226,1-Settings!$B$11,0,Settings!$B$11,1))*SQRT(Settings!$B$13)))</f>
        <v/>
      </c>
      <c r="K1226" s="20">
        <f>IF(OR(NOT(ISNUMBER($A1226)),ROW()-2&lt;Settings!$B$12),NA(),IF(COUNT(OFFSET(G1226,1-Settings!$B$12,0,Settings!$B$12,1))&lt;ROUNDUP(Settings!$B$12*Settings!$B$26,0),NA(),STDEV(OFFSET(G1226,1-Settings!$B$12,0,Settings!$B$12,1))*SQRT(Settings!$B$13)))</f>
        <v/>
      </c>
      <c r="L1226" s="20">
        <f>IF(AND(ISNUMBER(D1226),ISNUMBER(H1226)),D1226-H1226,NA())</f>
        <v/>
      </c>
      <c r="M1226" s="20">
        <f>IF(AND(ISNUMBER(E1226),ISNUMBER(K1226)),E1226-K1226,NA())</f>
        <v/>
      </c>
      <c r="N1226" s="20">
        <f>IF(NOT(ISNUMBER($A1226)),NA(),IF(COUNT(OFFSET(G1226,1,0,Settings!$B$12,1))&lt;ROUNDUP(Settings!$B$12*Settings!$B$26,0),NA(),STDEV(OFFSET(G1226,1,0,Settings!$B$12,1))*SQRT(Settings!$B$13)))</f>
        <v/>
      </c>
      <c r="O1226" s="20">
        <f>IF(AND(ISNUMBER(E1226),ISNUMBER(N1226)),E1226-N1226,NA())</f>
        <v/>
      </c>
      <c r="P1226" s="19">
        <f>IF(NOT(ISNUMBER($A1226)),NA(),IF(OR($A1226&lt;MIN(KW_TP!$A$2:$A$2501),$A1226&gt;MAX(KW_TP!$A$2:$A$2501)),NA(),INDEX(KW_TP!$C$2:$C$2501,MATCH($A1226,KW_TP!$A$2:$A$2501,1))))</f>
        <v/>
      </c>
      <c r="Q1226" s="18">
        <f>IF(NOT(ISNUMBER($A1226)),NA(),IFERROR(1*INDEX(BBG_Data!$J$2:$J$4000,MATCH($A1226,BBG_Data!$I$2:$I$4000,0)),NA()))</f>
        <v/>
      </c>
      <c r="R1226" s="18">
        <f>IF(NOT(ISNUMBER($A1226)),NA(),IFERROR(1*INDEX(BBG_Data!$L$2:$L$4000,MATCH($A1226,BBG_Data!$K$2:$K$4000,0)),NA()))</f>
        <v/>
      </c>
      <c r="S1226" s="20">
        <f>IF(AND(ISNUMBER(B1226),ISNUMBER(Q1226),ISNUMBER(R1226)),(B1226-Q1226-R1226)*100,NA())</f>
        <v/>
      </c>
      <c r="T1226" s="20">
        <f>IF(AND(ISNUMBER(B1226),Settings!$B$17&gt;0),IF(ISNUMBER(INDEX($B:$B,Settings!$B$17)),(B1226-INDEX($B:$B,Settings!$B$17))*100,NA()),NA())</f>
        <v/>
      </c>
      <c r="U1226" s="20">
        <f>IF(AND(ISNUMBER(Q1226),Settings!$B$17&gt;0),IF(ISNUMBER(INDEX($Q:$Q,Settings!$B$17)),(Q1226-INDEX($Q:$Q,Settings!$B$17))*100,NA()),NA())</f>
        <v/>
      </c>
      <c r="V1226" s="20">
        <f>IF(AND(ISNUMBER(R1226),Settings!$B$17&gt;0),IF(ISNUMBER(INDEX($R:$R,Settings!$B$17)),(R1226-INDEX($R:$R,Settings!$B$17))*100,NA()),NA())</f>
        <v/>
      </c>
      <c r="W1226" s="20">
        <f>IF(AND(ISNUMBER(P1226),Settings!$B$17&gt;0),IF(ISNUMBER(INDEX($P:$P,Settings!$B$17)),P1226-INDEX($P:$P,Settings!$B$17),NA()),NA())</f>
        <v/>
      </c>
      <c r="X1226" s="19">
        <f>IF(NOT(ISNUMBER($A1226)),NA(),IF(OR($A1226&lt;MIN(DKW_10Y!$A$2:$A$2918),$A1226&gt;MAX(DKW_10Y!$A$2:$A$2918),Settings!$B$16&lt;MIN(DKW_10Y!$A$2:$A$2918)),NA(),(INDEX(DKW_10Y!$B$2:$B$2918,MATCH($A1226,DKW_10Y!$A$2:$A$2918,1))-INDEX(DKW_10Y!$B$2:$B$2918,MATCH(Settings!$B$16,DKW_10Y!$A$2:$A$2918,1)))*100))</f>
        <v/>
      </c>
      <c r="Y1226" s="19">
        <f>IF(NOT(ISNUMBER($A1226)),NA(),IF(OR($A1226&lt;MIN(DKW_10Y!$A$2:$A$2918),$A1226&gt;MAX(DKW_10Y!$A$2:$A$2918),Settings!$B$16&lt;MIN(DKW_10Y!$A$2:$A$2918)),NA(),(INDEX(DKW_10Y!$C$2:$C$2918,MATCH($A1226,DKW_10Y!$A$2:$A$2918,1))-INDEX(DKW_10Y!$C$2:$C$2918,MATCH(Settings!$B$16,DKW_10Y!$A$2:$A$2918,1)))*100))</f>
        <v/>
      </c>
      <c r="Z1226" s="19">
        <f>IF(NOT(ISNUMBER($A1226)),NA(),IF(OR($A1226&lt;MIN(DKW_10Y!$A$2:$A$2918),$A1226&gt;MAX(DKW_10Y!$A$2:$A$2918),Settings!$B$16&lt;MIN(DKW_10Y!$A$2:$A$2918)),NA(),(INDEX(DKW_10Y!$D$2:$D$2918,MATCH($A1226,DKW_10Y!$A$2:$A$2918,1))-INDEX(DKW_10Y!$D$2:$D$2918,MATCH(Settings!$B$16,DKW_10Y!$A$2:$A$2918,1)))*100))</f>
        <v/>
      </c>
      <c r="AA1226" s="19">
        <f>IF(NOT(ISNUMBER($A1226)),NA(),IF(OR($A1226&lt;MIN(DKW_10Y!$A$2:$A$2918),$A1226&gt;MAX(DKW_10Y!$A$2:$A$2918),Settings!$B$16&lt;MIN(DKW_10Y!$A$2:$A$2918)),NA(),(INDEX(DKW_10Y!$E$2:$E$2918,MATCH($A1226,DKW_10Y!$A$2:$A$2918,1))-INDEX(DKW_10Y!$E$2:$E$2918,MATCH(Settings!$B$16,DKW_10Y!$A$2:$A$2918,1)))*100))</f>
        <v/>
      </c>
      <c r="AB1226" s="19">
        <f>IF(NOT(ISNUMBER($A1226)),NA(),IF(OR($A1226&lt;MIN(DKW_10Y!$A$2:$A$2918),$A1226&gt;MAX(DKW_10Y!$A$2:$A$2918),Settings!$B$16&lt;MIN(DKW_10Y!$A$2:$A$2918)),NA(),(INDEX(DKW_10Y!$H$2:$H$2918,MATCH($A1226,DKW_10Y!$A$2:$A$2918,1))-INDEX(DKW_10Y!$H$2:$H$2918,MATCH(Settings!$B$16,DKW_10Y!$A$2:$A$2918,1)))*100))</f>
        <v/>
      </c>
      <c r="AC1226" s="18">
        <f>IF(NOT(ISNUMBER($A1226)),NA(),IFERROR(1*INDEX(BBG_Data!$N$2:$N$4000,MATCH($A1226,BBG_Data!$M$2:$M$4000,0)),NA()))</f>
        <v/>
      </c>
      <c r="AD1226" s="18">
        <f>IF(NOT(ISNUMBER($A1226)),NA(),IFERROR(1*INDEX(BBG_Data!$P$2:$P$4000,MATCH($A1226,BBG_Data!$O$2:$O$4000,0)),NA()))</f>
        <v/>
      </c>
      <c r="AE1226" s="18">
        <f>IF(NOT(ISNUMBER($A1226)),NA(),IFERROR(1*INDEX(BBG_Data!$R$2:$R$4000,MATCH($A1226,BBG_Data!$Q$2:$Q$4000,0)),NA()))</f>
        <v/>
      </c>
      <c r="AF1226" s="20">
        <f>IF(AND(ISNUMBER(B1226),ISNUMBER(AC1226)),(B1226-AC1226)*100,NA())</f>
        <v/>
      </c>
      <c r="AG1226" s="20">
        <f>IF(AND(ISNUMBER(AE1226),ISNUMBER(AD1226)),(AE1226-AD1226)*100,NA())</f>
        <v/>
      </c>
      <c r="AH1226" s="19">
        <f>IF(NOT(ISNUMBER($A1226)),NA(),IFERROR(INDEX(BBG_Data!$T$2:$T$4000,MATCH($A1226,BBG_Data!$S$2:$S$4000,0))*Settings!$B$25,NA()))</f>
        <v/>
      </c>
      <c r="AI1226" s="19">
        <f>IF(NOT(ISNUMBER($A1226)),NA(),IFERROR(INDEX(BBG_Data!$V$2:$V$4000,MATCH($A1226,BBG_Data!$U$2:$U$4000,0))*Settings!$B$25,NA()))</f>
        <v/>
      </c>
      <c r="AJ1226" s="19">
        <f>IF(NOT(ISNUMBER($A1226)),NA(),IFERROR(1*INDEX(BBG_Data!$X$2:$X$4000,MATCH($A1226,BBG_Data!$W$2:$W$4000,0)),NA()))</f>
        <v/>
      </c>
      <c r="AK1226" s="19">
        <f>IF(NOT(ISNUMBER($A1226)),NA(),IFERROR(1*INDEX(BBG_Data!$Z$2:$Z$4000,MATCH($A1226,BBG_Data!$Y$2:$Y$4000,0)),NA()))</f>
        <v/>
      </c>
    </row>
    <row r="1227">
      <c r="A1227" s="17">
        <f>IF(ISNUMBER(BBG_Data!A1227),BBG_Data!A1227,"")</f>
        <v/>
      </c>
      <c r="B1227" s="18">
        <f>IF(AND(ISNUMBER($A1227),ISNUMBER(BBG_Data!B1227)),BBG_Data!B1227,NA())</f>
        <v/>
      </c>
      <c r="C1227" s="18">
        <f>IF(NOT(ISNUMBER($A1227)),NA(),IFERROR(1*INDEX(BBG_Data!$D$2:$D$4000,MATCH($A1227,BBG_Data!$C$2:$C$4000,0)),NA()))</f>
        <v/>
      </c>
      <c r="D1227" s="19">
        <f>IF(NOT(ISNUMBER($A1227)),NA(),IFERROR(1*INDEX(BBG_Data!$F$2:$F$4000,MATCH($A1227,BBG_Data!$E$2:$E$4000,0)),NA()))</f>
        <v/>
      </c>
      <c r="E1227" s="19">
        <f>IF(NOT(ISNUMBER($A1227)),NA(),IFERROR(1*INDEX(BBG_Data!$H$2:$H$4000,MATCH($A1227,BBG_Data!$G$2:$G$4000,0)),NA()))</f>
        <v/>
      </c>
      <c r="F1227" s="20">
        <f>IF(AND(ISNUMBER(B1227),ISNUMBER(B1226)),IF(B1227=B1226,"",(B1227-B1226)*100),"")</f>
        <v/>
      </c>
      <c r="G1227" s="20">
        <f>IF(AND(ISNUMBER(C1227),ISNUMBER(C1226)),IF(C1227=C1226,"",(C1227-C1226)*100),"")</f>
        <v/>
      </c>
      <c r="H1227" s="20">
        <f>IF(OR(NOT(ISNUMBER($A1227)),ROW()-2&lt;Settings!$B$11),NA(),IF(COUNT(OFFSET(F1227,1-Settings!$B$11,0,Settings!$B$11,1))&lt;ROUNDUP(Settings!$B$11*Settings!$B$26,0),NA(),STDEV(OFFSET(F1227,1-Settings!$B$11,0,Settings!$B$11,1))*SQRT(Settings!$B$13)))</f>
        <v/>
      </c>
      <c r="I1227" s="20">
        <f>IF(OR(NOT(ISNUMBER($A1227)),ROW()-2&lt;Settings!$B$12),NA(),IF(COUNT(OFFSET(F1227,1-Settings!$B$12,0,Settings!$B$12,1))&lt;ROUNDUP(Settings!$B$12*Settings!$B$26,0),NA(),STDEV(OFFSET(F1227,1-Settings!$B$12,0,Settings!$B$12,1))*SQRT(Settings!$B$13)))</f>
        <v/>
      </c>
      <c r="J1227" s="20">
        <f>IF(OR(NOT(ISNUMBER($A1227)),ROW()-2&lt;Settings!$B$11),NA(),IF(COUNT(OFFSET(G1227,1-Settings!$B$11,0,Settings!$B$11,1))&lt;ROUNDUP(Settings!$B$11*Settings!$B$26,0),NA(),STDEV(OFFSET(G1227,1-Settings!$B$11,0,Settings!$B$11,1))*SQRT(Settings!$B$13)))</f>
        <v/>
      </c>
      <c r="K1227" s="20">
        <f>IF(OR(NOT(ISNUMBER($A1227)),ROW()-2&lt;Settings!$B$12),NA(),IF(COUNT(OFFSET(G1227,1-Settings!$B$12,0,Settings!$B$12,1))&lt;ROUNDUP(Settings!$B$12*Settings!$B$26,0),NA(),STDEV(OFFSET(G1227,1-Settings!$B$12,0,Settings!$B$12,1))*SQRT(Settings!$B$13)))</f>
        <v/>
      </c>
      <c r="L1227" s="20">
        <f>IF(AND(ISNUMBER(D1227),ISNUMBER(H1227)),D1227-H1227,NA())</f>
        <v/>
      </c>
      <c r="M1227" s="20">
        <f>IF(AND(ISNUMBER(E1227),ISNUMBER(K1227)),E1227-K1227,NA())</f>
        <v/>
      </c>
      <c r="N1227" s="20">
        <f>IF(NOT(ISNUMBER($A1227)),NA(),IF(COUNT(OFFSET(G1227,1,0,Settings!$B$12,1))&lt;ROUNDUP(Settings!$B$12*Settings!$B$26,0),NA(),STDEV(OFFSET(G1227,1,0,Settings!$B$12,1))*SQRT(Settings!$B$13)))</f>
        <v/>
      </c>
      <c r="O1227" s="20">
        <f>IF(AND(ISNUMBER(E1227),ISNUMBER(N1227)),E1227-N1227,NA())</f>
        <v/>
      </c>
      <c r="P1227" s="19">
        <f>IF(NOT(ISNUMBER($A1227)),NA(),IF(OR($A1227&lt;MIN(KW_TP!$A$2:$A$2501),$A1227&gt;MAX(KW_TP!$A$2:$A$2501)),NA(),INDEX(KW_TP!$C$2:$C$2501,MATCH($A1227,KW_TP!$A$2:$A$2501,1))))</f>
        <v/>
      </c>
      <c r="Q1227" s="18">
        <f>IF(NOT(ISNUMBER($A1227)),NA(),IFERROR(1*INDEX(BBG_Data!$J$2:$J$4000,MATCH($A1227,BBG_Data!$I$2:$I$4000,0)),NA()))</f>
        <v/>
      </c>
      <c r="R1227" s="18">
        <f>IF(NOT(ISNUMBER($A1227)),NA(),IFERROR(1*INDEX(BBG_Data!$L$2:$L$4000,MATCH($A1227,BBG_Data!$K$2:$K$4000,0)),NA()))</f>
        <v/>
      </c>
      <c r="S1227" s="20">
        <f>IF(AND(ISNUMBER(B1227),ISNUMBER(Q1227),ISNUMBER(R1227)),(B1227-Q1227-R1227)*100,NA())</f>
        <v/>
      </c>
      <c r="T1227" s="20">
        <f>IF(AND(ISNUMBER(B1227),Settings!$B$17&gt;0),IF(ISNUMBER(INDEX($B:$B,Settings!$B$17)),(B1227-INDEX($B:$B,Settings!$B$17))*100,NA()),NA())</f>
        <v/>
      </c>
      <c r="U1227" s="20">
        <f>IF(AND(ISNUMBER(Q1227),Settings!$B$17&gt;0),IF(ISNUMBER(INDEX($Q:$Q,Settings!$B$17)),(Q1227-INDEX($Q:$Q,Settings!$B$17))*100,NA()),NA())</f>
        <v/>
      </c>
      <c r="V1227" s="20">
        <f>IF(AND(ISNUMBER(R1227),Settings!$B$17&gt;0),IF(ISNUMBER(INDEX($R:$R,Settings!$B$17)),(R1227-INDEX($R:$R,Settings!$B$17))*100,NA()),NA())</f>
        <v/>
      </c>
      <c r="W1227" s="20">
        <f>IF(AND(ISNUMBER(P1227),Settings!$B$17&gt;0),IF(ISNUMBER(INDEX($P:$P,Settings!$B$17)),P1227-INDEX($P:$P,Settings!$B$17),NA()),NA())</f>
        <v/>
      </c>
      <c r="X1227" s="19">
        <f>IF(NOT(ISNUMBER($A1227)),NA(),IF(OR($A1227&lt;MIN(DKW_10Y!$A$2:$A$2918),$A1227&gt;MAX(DKW_10Y!$A$2:$A$2918),Settings!$B$16&lt;MIN(DKW_10Y!$A$2:$A$2918)),NA(),(INDEX(DKW_10Y!$B$2:$B$2918,MATCH($A1227,DKW_10Y!$A$2:$A$2918,1))-INDEX(DKW_10Y!$B$2:$B$2918,MATCH(Settings!$B$16,DKW_10Y!$A$2:$A$2918,1)))*100))</f>
        <v/>
      </c>
      <c r="Y1227" s="19">
        <f>IF(NOT(ISNUMBER($A1227)),NA(),IF(OR($A1227&lt;MIN(DKW_10Y!$A$2:$A$2918),$A1227&gt;MAX(DKW_10Y!$A$2:$A$2918),Settings!$B$16&lt;MIN(DKW_10Y!$A$2:$A$2918)),NA(),(INDEX(DKW_10Y!$C$2:$C$2918,MATCH($A1227,DKW_10Y!$A$2:$A$2918,1))-INDEX(DKW_10Y!$C$2:$C$2918,MATCH(Settings!$B$16,DKW_10Y!$A$2:$A$2918,1)))*100))</f>
        <v/>
      </c>
      <c r="Z1227" s="19">
        <f>IF(NOT(ISNUMBER($A1227)),NA(),IF(OR($A1227&lt;MIN(DKW_10Y!$A$2:$A$2918),$A1227&gt;MAX(DKW_10Y!$A$2:$A$2918),Settings!$B$16&lt;MIN(DKW_10Y!$A$2:$A$2918)),NA(),(INDEX(DKW_10Y!$D$2:$D$2918,MATCH($A1227,DKW_10Y!$A$2:$A$2918,1))-INDEX(DKW_10Y!$D$2:$D$2918,MATCH(Settings!$B$16,DKW_10Y!$A$2:$A$2918,1)))*100))</f>
        <v/>
      </c>
      <c r="AA1227" s="19">
        <f>IF(NOT(ISNUMBER($A1227)),NA(),IF(OR($A1227&lt;MIN(DKW_10Y!$A$2:$A$2918),$A1227&gt;MAX(DKW_10Y!$A$2:$A$2918),Settings!$B$16&lt;MIN(DKW_10Y!$A$2:$A$2918)),NA(),(INDEX(DKW_10Y!$E$2:$E$2918,MATCH($A1227,DKW_10Y!$A$2:$A$2918,1))-INDEX(DKW_10Y!$E$2:$E$2918,MATCH(Settings!$B$16,DKW_10Y!$A$2:$A$2918,1)))*100))</f>
        <v/>
      </c>
      <c r="AB1227" s="19">
        <f>IF(NOT(ISNUMBER($A1227)),NA(),IF(OR($A1227&lt;MIN(DKW_10Y!$A$2:$A$2918),$A1227&gt;MAX(DKW_10Y!$A$2:$A$2918),Settings!$B$16&lt;MIN(DKW_10Y!$A$2:$A$2918)),NA(),(INDEX(DKW_10Y!$H$2:$H$2918,MATCH($A1227,DKW_10Y!$A$2:$A$2918,1))-INDEX(DKW_10Y!$H$2:$H$2918,MATCH(Settings!$B$16,DKW_10Y!$A$2:$A$2918,1)))*100))</f>
        <v/>
      </c>
      <c r="AC1227" s="18">
        <f>IF(NOT(ISNUMBER($A1227)),NA(),IFERROR(1*INDEX(BBG_Data!$N$2:$N$4000,MATCH($A1227,BBG_Data!$M$2:$M$4000,0)),NA()))</f>
        <v/>
      </c>
      <c r="AD1227" s="18">
        <f>IF(NOT(ISNUMBER($A1227)),NA(),IFERROR(1*INDEX(BBG_Data!$P$2:$P$4000,MATCH($A1227,BBG_Data!$O$2:$O$4000,0)),NA()))</f>
        <v/>
      </c>
      <c r="AE1227" s="18">
        <f>IF(NOT(ISNUMBER($A1227)),NA(),IFERROR(1*INDEX(BBG_Data!$R$2:$R$4000,MATCH($A1227,BBG_Data!$Q$2:$Q$4000,0)),NA()))</f>
        <v/>
      </c>
      <c r="AF1227" s="20">
        <f>IF(AND(ISNUMBER(B1227),ISNUMBER(AC1227)),(B1227-AC1227)*100,NA())</f>
        <v/>
      </c>
      <c r="AG1227" s="20">
        <f>IF(AND(ISNUMBER(AE1227),ISNUMBER(AD1227)),(AE1227-AD1227)*100,NA())</f>
        <v/>
      </c>
      <c r="AH1227" s="19">
        <f>IF(NOT(ISNUMBER($A1227)),NA(),IFERROR(INDEX(BBG_Data!$T$2:$T$4000,MATCH($A1227,BBG_Data!$S$2:$S$4000,0))*Settings!$B$25,NA()))</f>
        <v/>
      </c>
      <c r="AI1227" s="19">
        <f>IF(NOT(ISNUMBER($A1227)),NA(),IFERROR(INDEX(BBG_Data!$V$2:$V$4000,MATCH($A1227,BBG_Data!$U$2:$U$4000,0))*Settings!$B$25,NA()))</f>
        <v/>
      </c>
      <c r="AJ1227" s="19">
        <f>IF(NOT(ISNUMBER($A1227)),NA(),IFERROR(1*INDEX(BBG_Data!$X$2:$X$4000,MATCH($A1227,BBG_Data!$W$2:$W$4000,0)),NA()))</f>
        <v/>
      </c>
      <c r="AK1227" s="19">
        <f>IF(NOT(ISNUMBER($A1227)),NA(),IFERROR(1*INDEX(BBG_Data!$Z$2:$Z$4000,MATCH($A1227,BBG_Data!$Y$2:$Y$4000,0)),NA()))</f>
        <v/>
      </c>
    </row>
    <row r="1228">
      <c r="A1228" s="17">
        <f>IF(ISNUMBER(BBG_Data!A1228),BBG_Data!A1228,"")</f>
        <v/>
      </c>
      <c r="B1228" s="18">
        <f>IF(AND(ISNUMBER($A1228),ISNUMBER(BBG_Data!B1228)),BBG_Data!B1228,NA())</f>
        <v/>
      </c>
      <c r="C1228" s="18">
        <f>IF(NOT(ISNUMBER($A1228)),NA(),IFERROR(1*INDEX(BBG_Data!$D$2:$D$4000,MATCH($A1228,BBG_Data!$C$2:$C$4000,0)),NA()))</f>
        <v/>
      </c>
      <c r="D1228" s="19">
        <f>IF(NOT(ISNUMBER($A1228)),NA(),IFERROR(1*INDEX(BBG_Data!$F$2:$F$4000,MATCH($A1228,BBG_Data!$E$2:$E$4000,0)),NA()))</f>
        <v/>
      </c>
      <c r="E1228" s="19">
        <f>IF(NOT(ISNUMBER($A1228)),NA(),IFERROR(1*INDEX(BBG_Data!$H$2:$H$4000,MATCH($A1228,BBG_Data!$G$2:$G$4000,0)),NA()))</f>
        <v/>
      </c>
      <c r="F1228" s="20">
        <f>IF(AND(ISNUMBER(B1228),ISNUMBER(B1227)),IF(B1228=B1227,"",(B1228-B1227)*100),"")</f>
        <v/>
      </c>
      <c r="G1228" s="20">
        <f>IF(AND(ISNUMBER(C1228),ISNUMBER(C1227)),IF(C1228=C1227,"",(C1228-C1227)*100),"")</f>
        <v/>
      </c>
      <c r="H1228" s="20">
        <f>IF(OR(NOT(ISNUMBER($A1228)),ROW()-2&lt;Settings!$B$11),NA(),IF(COUNT(OFFSET(F1228,1-Settings!$B$11,0,Settings!$B$11,1))&lt;ROUNDUP(Settings!$B$11*Settings!$B$26,0),NA(),STDEV(OFFSET(F1228,1-Settings!$B$11,0,Settings!$B$11,1))*SQRT(Settings!$B$13)))</f>
        <v/>
      </c>
      <c r="I1228" s="20">
        <f>IF(OR(NOT(ISNUMBER($A1228)),ROW()-2&lt;Settings!$B$12),NA(),IF(COUNT(OFFSET(F1228,1-Settings!$B$12,0,Settings!$B$12,1))&lt;ROUNDUP(Settings!$B$12*Settings!$B$26,0),NA(),STDEV(OFFSET(F1228,1-Settings!$B$12,0,Settings!$B$12,1))*SQRT(Settings!$B$13)))</f>
        <v/>
      </c>
      <c r="J1228" s="20">
        <f>IF(OR(NOT(ISNUMBER($A1228)),ROW()-2&lt;Settings!$B$11),NA(),IF(COUNT(OFFSET(G1228,1-Settings!$B$11,0,Settings!$B$11,1))&lt;ROUNDUP(Settings!$B$11*Settings!$B$26,0),NA(),STDEV(OFFSET(G1228,1-Settings!$B$11,0,Settings!$B$11,1))*SQRT(Settings!$B$13)))</f>
        <v/>
      </c>
      <c r="K1228" s="20">
        <f>IF(OR(NOT(ISNUMBER($A1228)),ROW()-2&lt;Settings!$B$12),NA(),IF(COUNT(OFFSET(G1228,1-Settings!$B$12,0,Settings!$B$12,1))&lt;ROUNDUP(Settings!$B$12*Settings!$B$26,0),NA(),STDEV(OFFSET(G1228,1-Settings!$B$12,0,Settings!$B$12,1))*SQRT(Settings!$B$13)))</f>
        <v/>
      </c>
      <c r="L1228" s="20">
        <f>IF(AND(ISNUMBER(D1228),ISNUMBER(H1228)),D1228-H1228,NA())</f>
        <v/>
      </c>
      <c r="M1228" s="20">
        <f>IF(AND(ISNUMBER(E1228),ISNUMBER(K1228)),E1228-K1228,NA())</f>
        <v/>
      </c>
      <c r="N1228" s="20">
        <f>IF(NOT(ISNUMBER($A1228)),NA(),IF(COUNT(OFFSET(G1228,1,0,Settings!$B$12,1))&lt;ROUNDUP(Settings!$B$12*Settings!$B$26,0),NA(),STDEV(OFFSET(G1228,1,0,Settings!$B$12,1))*SQRT(Settings!$B$13)))</f>
        <v/>
      </c>
      <c r="O1228" s="20">
        <f>IF(AND(ISNUMBER(E1228),ISNUMBER(N1228)),E1228-N1228,NA())</f>
        <v/>
      </c>
      <c r="P1228" s="19">
        <f>IF(NOT(ISNUMBER($A1228)),NA(),IF(OR($A1228&lt;MIN(KW_TP!$A$2:$A$2501),$A1228&gt;MAX(KW_TP!$A$2:$A$2501)),NA(),INDEX(KW_TP!$C$2:$C$2501,MATCH($A1228,KW_TP!$A$2:$A$2501,1))))</f>
        <v/>
      </c>
      <c r="Q1228" s="18">
        <f>IF(NOT(ISNUMBER($A1228)),NA(),IFERROR(1*INDEX(BBG_Data!$J$2:$J$4000,MATCH($A1228,BBG_Data!$I$2:$I$4000,0)),NA()))</f>
        <v/>
      </c>
      <c r="R1228" s="18">
        <f>IF(NOT(ISNUMBER($A1228)),NA(),IFERROR(1*INDEX(BBG_Data!$L$2:$L$4000,MATCH($A1228,BBG_Data!$K$2:$K$4000,0)),NA()))</f>
        <v/>
      </c>
      <c r="S1228" s="20">
        <f>IF(AND(ISNUMBER(B1228),ISNUMBER(Q1228),ISNUMBER(R1228)),(B1228-Q1228-R1228)*100,NA())</f>
        <v/>
      </c>
      <c r="T1228" s="20">
        <f>IF(AND(ISNUMBER(B1228),Settings!$B$17&gt;0),IF(ISNUMBER(INDEX($B:$B,Settings!$B$17)),(B1228-INDEX($B:$B,Settings!$B$17))*100,NA()),NA())</f>
        <v/>
      </c>
      <c r="U1228" s="20">
        <f>IF(AND(ISNUMBER(Q1228),Settings!$B$17&gt;0),IF(ISNUMBER(INDEX($Q:$Q,Settings!$B$17)),(Q1228-INDEX($Q:$Q,Settings!$B$17))*100,NA()),NA())</f>
        <v/>
      </c>
      <c r="V1228" s="20">
        <f>IF(AND(ISNUMBER(R1228),Settings!$B$17&gt;0),IF(ISNUMBER(INDEX($R:$R,Settings!$B$17)),(R1228-INDEX($R:$R,Settings!$B$17))*100,NA()),NA())</f>
        <v/>
      </c>
      <c r="W1228" s="20">
        <f>IF(AND(ISNUMBER(P1228),Settings!$B$17&gt;0),IF(ISNUMBER(INDEX($P:$P,Settings!$B$17)),P1228-INDEX($P:$P,Settings!$B$17),NA()),NA())</f>
        <v/>
      </c>
      <c r="X1228" s="19">
        <f>IF(NOT(ISNUMBER($A1228)),NA(),IF(OR($A1228&lt;MIN(DKW_10Y!$A$2:$A$2918),$A1228&gt;MAX(DKW_10Y!$A$2:$A$2918),Settings!$B$16&lt;MIN(DKW_10Y!$A$2:$A$2918)),NA(),(INDEX(DKW_10Y!$B$2:$B$2918,MATCH($A1228,DKW_10Y!$A$2:$A$2918,1))-INDEX(DKW_10Y!$B$2:$B$2918,MATCH(Settings!$B$16,DKW_10Y!$A$2:$A$2918,1)))*100))</f>
        <v/>
      </c>
      <c r="Y1228" s="19">
        <f>IF(NOT(ISNUMBER($A1228)),NA(),IF(OR($A1228&lt;MIN(DKW_10Y!$A$2:$A$2918),$A1228&gt;MAX(DKW_10Y!$A$2:$A$2918),Settings!$B$16&lt;MIN(DKW_10Y!$A$2:$A$2918)),NA(),(INDEX(DKW_10Y!$C$2:$C$2918,MATCH($A1228,DKW_10Y!$A$2:$A$2918,1))-INDEX(DKW_10Y!$C$2:$C$2918,MATCH(Settings!$B$16,DKW_10Y!$A$2:$A$2918,1)))*100))</f>
        <v/>
      </c>
      <c r="Z1228" s="19">
        <f>IF(NOT(ISNUMBER($A1228)),NA(),IF(OR($A1228&lt;MIN(DKW_10Y!$A$2:$A$2918),$A1228&gt;MAX(DKW_10Y!$A$2:$A$2918),Settings!$B$16&lt;MIN(DKW_10Y!$A$2:$A$2918)),NA(),(INDEX(DKW_10Y!$D$2:$D$2918,MATCH($A1228,DKW_10Y!$A$2:$A$2918,1))-INDEX(DKW_10Y!$D$2:$D$2918,MATCH(Settings!$B$16,DKW_10Y!$A$2:$A$2918,1)))*100))</f>
        <v/>
      </c>
      <c r="AA1228" s="19">
        <f>IF(NOT(ISNUMBER($A1228)),NA(),IF(OR($A1228&lt;MIN(DKW_10Y!$A$2:$A$2918),$A1228&gt;MAX(DKW_10Y!$A$2:$A$2918),Settings!$B$16&lt;MIN(DKW_10Y!$A$2:$A$2918)),NA(),(INDEX(DKW_10Y!$E$2:$E$2918,MATCH($A1228,DKW_10Y!$A$2:$A$2918,1))-INDEX(DKW_10Y!$E$2:$E$2918,MATCH(Settings!$B$16,DKW_10Y!$A$2:$A$2918,1)))*100))</f>
        <v/>
      </c>
      <c r="AB1228" s="19">
        <f>IF(NOT(ISNUMBER($A1228)),NA(),IF(OR($A1228&lt;MIN(DKW_10Y!$A$2:$A$2918),$A1228&gt;MAX(DKW_10Y!$A$2:$A$2918),Settings!$B$16&lt;MIN(DKW_10Y!$A$2:$A$2918)),NA(),(INDEX(DKW_10Y!$H$2:$H$2918,MATCH($A1228,DKW_10Y!$A$2:$A$2918,1))-INDEX(DKW_10Y!$H$2:$H$2918,MATCH(Settings!$B$16,DKW_10Y!$A$2:$A$2918,1)))*100))</f>
        <v/>
      </c>
      <c r="AC1228" s="18">
        <f>IF(NOT(ISNUMBER($A1228)),NA(),IFERROR(1*INDEX(BBG_Data!$N$2:$N$4000,MATCH($A1228,BBG_Data!$M$2:$M$4000,0)),NA()))</f>
        <v/>
      </c>
      <c r="AD1228" s="18">
        <f>IF(NOT(ISNUMBER($A1228)),NA(),IFERROR(1*INDEX(BBG_Data!$P$2:$P$4000,MATCH($A1228,BBG_Data!$O$2:$O$4000,0)),NA()))</f>
        <v/>
      </c>
      <c r="AE1228" s="18">
        <f>IF(NOT(ISNUMBER($A1228)),NA(),IFERROR(1*INDEX(BBG_Data!$R$2:$R$4000,MATCH($A1228,BBG_Data!$Q$2:$Q$4000,0)),NA()))</f>
        <v/>
      </c>
      <c r="AF1228" s="20">
        <f>IF(AND(ISNUMBER(B1228),ISNUMBER(AC1228)),(B1228-AC1228)*100,NA())</f>
        <v/>
      </c>
      <c r="AG1228" s="20">
        <f>IF(AND(ISNUMBER(AE1228),ISNUMBER(AD1228)),(AE1228-AD1228)*100,NA())</f>
        <v/>
      </c>
      <c r="AH1228" s="19">
        <f>IF(NOT(ISNUMBER($A1228)),NA(),IFERROR(INDEX(BBG_Data!$T$2:$T$4000,MATCH($A1228,BBG_Data!$S$2:$S$4000,0))*Settings!$B$25,NA()))</f>
        <v/>
      </c>
      <c r="AI1228" s="19">
        <f>IF(NOT(ISNUMBER($A1228)),NA(),IFERROR(INDEX(BBG_Data!$V$2:$V$4000,MATCH($A1228,BBG_Data!$U$2:$U$4000,0))*Settings!$B$25,NA()))</f>
        <v/>
      </c>
      <c r="AJ1228" s="19">
        <f>IF(NOT(ISNUMBER($A1228)),NA(),IFERROR(1*INDEX(BBG_Data!$X$2:$X$4000,MATCH($A1228,BBG_Data!$W$2:$W$4000,0)),NA()))</f>
        <v/>
      </c>
      <c r="AK1228" s="19">
        <f>IF(NOT(ISNUMBER($A1228)),NA(),IFERROR(1*INDEX(BBG_Data!$Z$2:$Z$4000,MATCH($A1228,BBG_Data!$Y$2:$Y$4000,0)),NA()))</f>
        <v/>
      </c>
    </row>
    <row r="1229">
      <c r="A1229" s="17">
        <f>IF(ISNUMBER(BBG_Data!A1229),BBG_Data!A1229,"")</f>
        <v/>
      </c>
      <c r="B1229" s="18">
        <f>IF(AND(ISNUMBER($A1229),ISNUMBER(BBG_Data!B1229)),BBG_Data!B1229,NA())</f>
        <v/>
      </c>
      <c r="C1229" s="18">
        <f>IF(NOT(ISNUMBER($A1229)),NA(),IFERROR(1*INDEX(BBG_Data!$D$2:$D$4000,MATCH($A1229,BBG_Data!$C$2:$C$4000,0)),NA()))</f>
        <v/>
      </c>
      <c r="D1229" s="19">
        <f>IF(NOT(ISNUMBER($A1229)),NA(),IFERROR(1*INDEX(BBG_Data!$F$2:$F$4000,MATCH($A1229,BBG_Data!$E$2:$E$4000,0)),NA()))</f>
        <v/>
      </c>
      <c r="E1229" s="19">
        <f>IF(NOT(ISNUMBER($A1229)),NA(),IFERROR(1*INDEX(BBG_Data!$H$2:$H$4000,MATCH($A1229,BBG_Data!$G$2:$G$4000,0)),NA()))</f>
        <v/>
      </c>
      <c r="F1229" s="20">
        <f>IF(AND(ISNUMBER(B1229),ISNUMBER(B1228)),IF(B1229=B1228,"",(B1229-B1228)*100),"")</f>
        <v/>
      </c>
      <c r="G1229" s="20">
        <f>IF(AND(ISNUMBER(C1229),ISNUMBER(C1228)),IF(C1229=C1228,"",(C1229-C1228)*100),"")</f>
        <v/>
      </c>
      <c r="H1229" s="20">
        <f>IF(OR(NOT(ISNUMBER($A1229)),ROW()-2&lt;Settings!$B$11),NA(),IF(COUNT(OFFSET(F1229,1-Settings!$B$11,0,Settings!$B$11,1))&lt;ROUNDUP(Settings!$B$11*Settings!$B$26,0),NA(),STDEV(OFFSET(F1229,1-Settings!$B$11,0,Settings!$B$11,1))*SQRT(Settings!$B$13)))</f>
        <v/>
      </c>
      <c r="I1229" s="20">
        <f>IF(OR(NOT(ISNUMBER($A1229)),ROW()-2&lt;Settings!$B$12),NA(),IF(COUNT(OFFSET(F1229,1-Settings!$B$12,0,Settings!$B$12,1))&lt;ROUNDUP(Settings!$B$12*Settings!$B$26,0),NA(),STDEV(OFFSET(F1229,1-Settings!$B$12,0,Settings!$B$12,1))*SQRT(Settings!$B$13)))</f>
        <v/>
      </c>
      <c r="J1229" s="20">
        <f>IF(OR(NOT(ISNUMBER($A1229)),ROW()-2&lt;Settings!$B$11),NA(),IF(COUNT(OFFSET(G1229,1-Settings!$B$11,0,Settings!$B$11,1))&lt;ROUNDUP(Settings!$B$11*Settings!$B$26,0),NA(),STDEV(OFFSET(G1229,1-Settings!$B$11,0,Settings!$B$11,1))*SQRT(Settings!$B$13)))</f>
        <v/>
      </c>
      <c r="K1229" s="20">
        <f>IF(OR(NOT(ISNUMBER($A1229)),ROW()-2&lt;Settings!$B$12),NA(),IF(COUNT(OFFSET(G1229,1-Settings!$B$12,0,Settings!$B$12,1))&lt;ROUNDUP(Settings!$B$12*Settings!$B$26,0),NA(),STDEV(OFFSET(G1229,1-Settings!$B$12,0,Settings!$B$12,1))*SQRT(Settings!$B$13)))</f>
        <v/>
      </c>
      <c r="L1229" s="20">
        <f>IF(AND(ISNUMBER(D1229),ISNUMBER(H1229)),D1229-H1229,NA())</f>
        <v/>
      </c>
      <c r="M1229" s="20">
        <f>IF(AND(ISNUMBER(E1229),ISNUMBER(K1229)),E1229-K1229,NA())</f>
        <v/>
      </c>
      <c r="N1229" s="20">
        <f>IF(NOT(ISNUMBER($A1229)),NA(),IF(COUNT(OFFSET(G1229,1,0,Settings!$B$12,1))&lt;ROUNDUP(Settings!$B$12*Settings!$B$26,0),NA(),STDEV(OFFSET(G1229,1,0,Settings!$B$12,1))*SQRT(Settings!$B$13)))</f>
        <v/>
      </c>
      <c r="O1229" s="20">
        <f>IF(AND(ISNUMBER(E1229),ISNUMBER(N1229)),E1229-N1229,NA())</f>
        <v/>
      </c>
      <c r="P1229" s="19">
        <f>IF(NOT(ISNUMBER($A1229)),NA(),IF(OR($A1229&lt;MIN(KW_TP!$A$2:$A$2501),$A1229&gt;MAX(KW_TP!$A$2:$A$2501)),NA(),INDEX(KW_TP!$C$2:$C$2501,MATCH($A1229,KW_TP!$A$2:$A$2501,1))))</f>
        <v/>
      </c>
      <c r="Q1229" s="18">
        <f>IF(NOT(ISNUMBER($A1229)),NA(),IFERROR(1*INDEX(BBG_Data!$J$2:$J$4000,MATCH($A1229,BBG_Data!$I$2:$I$4000,0)),NA()))</f>
        <v/>
      </c>
      <c r="R1229" s="18">
        <f>IF(NOT(ISNUMBER($A1229)),NA(),IFERROR(1*INDEX(BBG_Data!$L$2:$L$4000,MATCH($A1229,BBG_Data!$K$2:$K$4000,0)),NA()))</f>
        <v/>
      </c>
      <c r="S1229" s="20">
        <f>IF(AND(ISNUMBER(B1229),ISNUMBER(Q1229),ISNUMBER(R1229)),(B1229-Q1229-R1229)*100,NA())</f>
        <v/>
      </c>
      <c r="T1229" s="20">
        <f>IF(AND(ISNUMBER(B1229),Settings!$B$17&gt;0),IF(ISNUMBER(INDEX($B:$B,Settings!$B$17)),(B1229-INDEX($B:$B,Settings!$B$17))*100,NA()),NA())</f>
        <v/>
      </c>
      <c r="U1229" s="20">
        <f>IF(AND(ISNUMBER(Q1229),Settings!$B$17&gt;0),IF(ISNUMBER(INDEX($Q:$Q,Settings!$B$17)),(Q1229-INDEX($Q:$Q,Settings!$B$17))*100,NA()),NA())</f>
        <v/>
      </c>
      <c r="V1229" s="20">
        <f>IF(AND(ISNUMBER(R1229),Settings!$B$17&gt;0),IF(ISNUMBER(INDEX($R:$R,Settings!$B$17)),(R1229-INDEX($R:$R,Settings!$B$17))*100,NA()),NA())</f>
        <v/>
      </c>
      <c r="W1229" s="20">
        <f>IF(AND(ISNUMBER(P1229),Settings!$B$17&gt;0),IF(ISNUMBER(INDEX($P:$P,Settings!$B$17)),P1229-INDEX($P:$P,Settings!$B$17),NA()),NA())</f>
        <v/>
      </c>
      <c r="X1229" s="19">
        <f>IF(NOT(ISNUMBER($A1229)),NA(),IF(OR($A1229&lt;MIN(DKW_10Y!$A$2:$A$2918),$A1229&gt;MAX(DKW_10Y!$A$2:$A$2918),Settings!$B$16&lt;MIN(DKW_10Y!$A$2:$A$2918)),NA(),(INDEX(DKW_10Y!$B$2:$B$2918,MATCH($A1229,DKW_10Y!$A$2:$A$2918,1))-INDEX(DKW_10Y!$B$2:$B$2918,MATCH(Settings!$B$16,DKW_10Y!$A$2:$A$2918,1)))*100))</f>
        <v/>
      </c>
      <c r="Y1229" s="19">
        <f>IF(NOT(ISNUMBER($A1229)),NA(),IF(OR($A1229&lt;MIN(DKW_10Y!$A$2:$A$2918),$A1229&gt;MAX(DKW_10Y!$A$2:$A$2918),Settings!$B$16&lt;MIN(DKW_10Y!$A$2:$A$2918)),NA(),(INDEX(DKW_10Y!$C$2:$C$2918,MATCH($A1229,DKW_10Y!$A$2:$A$2918,1))-INDEX(DKW_10Y!$C$2:$C$2918,MATCH(Settings!$B$16,DKW_10Y!$A$2:$A$2918,1)))*100))</f>
        <v/>
      </c>
      <c r="Z1229" s="19">
        <f>IF(NOT(ISNUMBER($A1229)),NA(),IF(OR($A1229&lt;MIN(DKW_10Y!$A$2:$A$2918),$A1229&gt;MAX(DKW_10Y!$A$2:$A$2918),Settings!$B$16&lt;MIN(DKW_10Y!$A$2:$A$2918)),NA(),(INDEX(DKW_10Y!$D$2:$D$2918,MATCH($A1229,DKW_10Y!$A$2:$A$2918,1))-INDEX(DKW_10Y!$D$2:$D$2918,MATCH(Settings!$B$16,DKW_10Y!$A$2:$A$2918,1)))*100))</f>
        <v/>
      </c>
      <c r="AA1229" s="19">
        <f>IF(NOT(ISNUMBER($A1229)),NA(),IF(OR($A1229&lt;MIN(DKW_10Y!$A$2:$A$2918),$A1229&gt;MAX(DKW_10Y!$A$2:$A$2918),Settings!$B$16&lt;MIN(DKW_10Y!$A$2:$A$2918)),NA(),(INDEX(DKW_10Y!$E$2:$E$2918,MATCH($A1229,DKW_10Y!$A$2:$A$2918,1))-INDEX(DKW_10Y!$E$2:$E$2918,MATCH(Settings!$B$16,DKW_10Y!$A$2:$A$2918,1)))*100))</f>
        <v/>
      </c>
      <c r="AB1229" s="19">
        <f>IF(NOT(ISNUMBER($A1229)),NA(),IF(OR($A1229&lt;MIN(DKW_10Y!$A$2:$A$2918),$A1229&gt;MAX(DKW_10Y!$A$2:$A$2918),Settings!$B$16&lt;MIN(DKW_10Y!$A$2:$A$2918)),NA(),(INDEX(DKW_10Y!$H$2:$H$2918,MATCH($A1229,DKW_10Y!$A$2:$A$2918,1))-INDEX(DKW_10Y!$H$2:$H$2918,MATCH(Settings!$B$16,DKW_10Y!$A$2:$A$2918,1)))*100))</f>
        <v/>
      </c>
      <c r="AC1229" s="18">
        <f>IF(NOT(ISNUMBER($A1229)),NA(),IFERROR(1*INDEX(BBG_Data!$N$2:$N$4000,MATCH($A1229,BBG_Data!$M$2:$M$4000,0)),NA()))</f>
        <v/>
      </c>
      <c r="AD1229" s="18">
        <f>IF(NOT(ISNUMBER($A1229)),NA(),IFERROR(1*INDEX(BBG_Data!$P$2:$P$4000,MATCH($A1229,BBG_Data!$O$2:$O$4000,0)),NA()))</f>
        <v/>
      </c>
      <c r="AE1229" s="18">
        <f>IF(NOT(ISNUMBER($A1229)),NA(),IFERROR(1*INDEX(BBG_Data!$R$2:$R$4000,MATCH($A1229,BBG_Data!$Q$2:$Q$4000,0)),NA()))</f>
        <v/>
      </c>
      <c r="AF1229" s="20">
        <f>IF(AND(ISNUMBER(B1229),ISNUMBER(AC1229)),(B1229-AC1229)*100,NA())</f>
        <v/>
      </c>
      <c r="AG1229" s="20">
        <f>IF(AND(ISNUMBER(AE1229),ISNUMBER(AD1229)),(AE1229-AD1229)*100,NA())</f>
        <v/>
      </c>
      <c r="AH1229" s="19">
        <f>IF(NOT(ISNUMBER($A1229)),NA(),IFERROR(INDEX(BBG_Data!$T$2:$T$4000,MATCH($A1229,BBG_Data!$S$2:$S$4000,0))*Settings!$B$25,NA()))</f>
        <v/>
      </c>
      <c r="AI1229" s="19">
        <f>IF(NOT(ISNUMBER($A1229)),NA(),IFERROR(INDEX(BBG_Data!$V$2:$V$4000,MATCH($A1229,BBG_Data!$U$2:$U$4000,0))*Settings!$B$25,NA()))</f>
        <v/>
      </c>
      <c r="AJ1229" s="19">
        <f>IF(NOT(ISNUMBER($A1229)),NA(),IFERROR(1*INDEX(BBG_Data!$X$2:$X$4000,MATCH($A1229,BBG_Data!$W$2:$W$4000,0)),NA()))</f>
        <v/>
      </c>
      <c r="AK1229" s="19">
        <f>IF(NOT(ISNUMBER($A1229)),NA(),IFERROR(1*INDEX(BBG_Data!$Z$2:$Z$4000,MATCH($A1229,BBG_Data!$Y$2:$Y$4000,0)),NA()))</f>
        <v/>
      </c>
    </row>
    <row r="1230">
      <c r="A1230" s="17">
        <f>IF(ISNUMBER(BBG_Data!A1230),BBG_Data!A1230,"")</f>
        <v/>
      </c>
      <c r="B1230" s="18">
        <f>IF(AND(ISNUMBER($A1230),ISNUMBER(BBG_Data!B1230)),BBG_Data!B1230,NA())</f>
        <v/>
      </c>
      <c r="C1230" s="18">
        <f>IF(NOT(ISNUMBER($A1230)),NA(),IFERROR(1*INDEX(BBG_Data!$D$2:$D$4000,MATCH($A1230,BBG_Data!$C$2:$C$4000,0)),NA()))</f>
        <v/>
      </c>
      <c r="D1230" s="19">
        <f>IF(NOT(ISNUMBER($A1230)),NA(),IFERROR(1*INDEX(BBG_Data!$F$2:$F$4000,MATCH($A1230,BBG_Data!$E$2:$E$4000,0)),NA()))</f>
        <v/>
      </c>
      <c r="E1230" s="19">
        <f>IF(NOT(ISNUMBER($A1230)),NA(),IFERROR(1*INDEX(BBG_Data!$H$2:$H$4000,MATCH($A1230,BBG_Data!$G$2:$G$4000,0)),NA()))</f>
        <v/>
      </c>
      <c r="F1230" s="20">
        <f>IF(AND(ISNUMBER(B1230),ISNUMBER(B1229)),IF(B1230=B1229,"",(B1230-B1229)*100),"")</f>
        <v/>
      </c>
      <c r="G1230" s="20">
        <f>IF(AND(ISNUMBER(C1230),ISNUMBER(C1229)),IF(C1230=C1229,"",(C1230-C1229)*100),"")</f>
        <v/>
      </c>
      <c r="H1230" s="20">
        <f>IF(OR(NOT(ISNUMBER($A1230)),ROW()-2&lt;Settings!$B$11),NA(),IF(COUNT(OFFSET(F1230,1-Settings!$B$11,0,Settings!$B$11,1))&lt;ROUNDUP(Settings!$B$11*Settings!$B$26,0),NA(),STDEV(OFFSET(F1230,1-Settings!$B$11,0,Settings!$B$11,1))*SQRT(Settings!$B$13)))</f>
        <v/>
      </c>
      <c r="I1230" s="20">
        <f>IF(OR(NOT(ISNUMBER($A1230)),ROW()-2&lt;Settings!$B$12),NA(),IF(COUNT(OFFSET(F1230,1-Settings!$B$12,0,Settings!$B$12,1))&lt;ROUNDUP(Settings!$B$12*Settings!$B$26,0),NA(),STDEV(OFFSET(F1230,1-Settings!$B$12,0,Settings!$B$12,1))*SQRT(Settings!$B$13)))</f>
        <v/>
      </c>
      <c r="J1230" s="20">
        <f>IF(OR(NOT(ISNUMBER($A1230)),ROW()-2&lt;Settings!$B$11),NA(),IF(COUNT(OFFSET(G1230,1-Settings!$B$11,0,Settings!$B$11,1))&lt;ROUNDUP(Settings!$B$11*Settings!$B$26,0),NA(),STDEV(OFFSET(G1230,1-Settings!$B$11,0,Settings!$B$11,1))*SQRT(Settings!$B$13)))</f>
        <v/>
      </c>
      <c r="K1230" s="20">
        <f>IF(OR(NOT(ISNUMBER($A1230)),ROW()-2&lt;Settings!$B$12),NA(),IF(COUNT(OFFSET(G1230,1-Settings!$B$12,0,Settings!$B$12,1))&lt;ROUNDUP(Settings!$B$12*Settings!$B$26,0),NA(),STDEV(OFFSET(G1230,1-Settings!$B$12,0,Settings!$B$12,1))*SQRT(Settings!$B$13)))</f>
        <v/>
      </c>
      <c r="L1230" s="20">
        <f>IF(AND(ISNUMBER(D1230),ISNUMBER(H1230)),D1230-H1230,NA())</f>
        <v/>
      </c>
      <c r="M1230" s="20">
        <f>IF(AND(ISNUMBER(E1230),ISNUMBER(K1230)),E1230-K1230,NA())</f>
        <v/>
      </c>
      <c r="N1230" s="20">
        <f>IF(NOT(ISNUMBER($A1230)),NA(),IF(COUNT(OFFSET(G1230,1,0,Settings!$B$12,1))&lt;ROUNDUP(Settings!$B$12*Settings!$B$26,0),NA(),STDEV(OFFSET(G1230,1,0,Settings!$B$12,1))*SQRT(Settings!$B$13)))</f>
        <v/>
      </c>
      <c r="O1230" s="20">
        <f>IF(AND(ISNUMBER(E1230),ISNUMBER(N1230)),E1230-N1230,NA())</f>
        <v/>
      </c>
      <c r="P1230" s="19">
        <f>IF(NOT(ISNUMBER($A1230)),NA(),IF(OR($A1230&lt;MIN(KW_TP!$A$2:$A$2501),$A1230&gt;MAX(KW_TP!$A$2:$A$2501)),NA(),INDEX(KW_TP!$C$2:$C$2501,MATCH($A1230,KW_TP!$A$2:$A$2501,1))))</f>
        <v/>
      </c>
      <c r="Q1230" s="18">
        <f>IF(NOT(ISNUMBER($A1230)),NA(),IFERROR(1*INDEX(BBG_Data!$J$2:$J$4000,MATCH($A1230,BBG_Data!$I$2:$I$4000,0)),NA()))</f>
        <v/>
      </c>
      <c r="R1230" s="18">
        <f>IF(NOT(ISNUMBER($A1230)),NA(),IFERROR(1*INDEX(BBG_Data!$L$2:$L$4000,MATCH($A1230,BBG_Data!$K$2:$K$4000,0)),NA()))</f>
        <v/>
      </c>
      <c r="S1230" s="20">
        <f>IF(AND(ISNUMBER(B1230),ISNUMBER(Q1230),ISNUMBER(R1230)),(B1230-Q1230-R1230)*100,NA())</f>
        <v/>
      </c>
      <c r="T1230" s="20">
        <f>IF(AND(ISNUMBER(B1230),Settings!$B$17&gt;0),IF(ISNUMBER(INDEX($B:$B,Settings!$B$17)),(B1230-INDEX($B:$B,Settings!$B$17))*100,NA()),NA())</f>
        <v/>
      </c>
      <c r="U1230" s="20">
        <f>IF(AND(ISNUMBER(Q1230),Settings!$B$17&gt;0),IF(ISNUMBER(INDEX($Q:$Q,Settings!$B$17)),(Q1230-INDEX($Q:$Q,Settings!$B$17))*100,NA()),NA())</f>
        <v/>
      </c>
      <c r="V1230" s="20">
        <f>IF(AND(ISNUMBER(R1230),Settings!$B$17&gt;0),IF(ISNUMBER(INDEX($R:$R,Settings!$B$17)),(R1230-INDEX($R:$R,Settings!$B$17))*100,NA()),NA())</f>
        <v/>
      </c>
      <c r="W1230" s="20">
        <f>IF(AND(ISNUMBER(P1230),Settings!$B$17&gt;0),IF(ISNUMBER(INDEX($P:$P,Settings!$B$17)),P1230-INDEX($P:$P,Settings!$B$17),NA()),NA())</f>
        <v/>
      </c>
      <c r="X1230" s="19">
        <f>IF(NOT(ISNUMBER($A1230)),NA(),IF(OR($A1230&lt;MIN(DKW_10Y!$A$2:$A$2918),$A1230&gt;MAX(DKW_10Y!$A$2:$A$2918),Settings!$B$16&lt;MIN(DKW_10Y!$A$2:$A$2918)),NA(),(INDEX(DKW_10Y!$B$2:$B$2918,MATCH($A1230,DKW_10Y!$A$2:$A$2918,1))-INDEX(DKW_10Y!$B$2:$B$2918,MATCH(Settings!$B$16,DKW_10Y!$A$2:$A$2918,1)))*100))</f>
        <v/>
      </c>
      <c r="Y1230" s="19">
        <f>IF(NOT(ISNUMBER($A1230)),NA(),IF(OR($A1230&lt;MIN(DKW_10Y!$A$2:$A$2918),$A1230&gt;MAX(DKW_10Y!$A$2:$A$2918),Settings!$B$16&lt;MIN(DKW_10Y!$A$2:$A$2918)),NA(),(INDEX(DKW_10Y!$C$2:$C$2918,MATCH($A1230,DKW_10Y!$A$2:$A$2918,1))-INDEX(DKW_10Y!$C$2:$C$2918,MATCH(Settings!$B$16,DKW_10Y!$A$2:$A$2918,1)))*100))</f>
        <v/>
      </c>
      <c r="Z1230" s="19">
        <f>IF(NOT(ISNUMBER($A1230)),NA(),IF(OR($A1230&lt;MIN(DKW_10Y!$A$2:$A$2918),$A1230&gt;MAX(DKW_10Y!$A$2:$A$2918),Settings!$B$16&lt;MIN(DKW_10Y!$A$2:$A$2918)),NA(),(INDEX(DKW_10Y!$D$2:$D$2918,MATCH($A1230,DKW_10Y!$A$2:$A$2918,1))-INDEX(DKW_10Y!$D$2:$D$2918,MATCH(Settings!$B$16,DKW_10Y!$A$2:$A$2918,1)))*100))</f>
        <v/>
      </c>
      <c r="AA1230" s="19">
        <f>IF(NOT(ISNUMBER($A1230)),NA(),IF(OR($A1230&lt;MIN(DKW_10Y!$A$2:$A$2918),$A1230&gt;MAX(DKW_10Y!$A$2:$A$2918),Settings!$B$16&lt;MIN(DKW_10Y!$A$2:$A$2918)),NA(),(INDEX(DKW_10Y!$E$2:$E$2918,MATCH($A1230,DKW_10Y!$A$2:$A$2918,1))-INDEX(DKW_10Y!$E$2:$E$2918,MATCH(Settings!$B$16,DKW_10Y!$A$2:$A$2918,1)))*100))</f>
        <v/>
      </c>
      <c r="AB1230" s="19">
        <f>IF(NOT(ISNUMBER($A1230)),NA(),IF(OR($A1230&lt;MIN(DKW_10Y!$A$2:$A$2918),$A1230&gt;MAX(DKW_10Y!$A$2:$A$2918),Settings!$B$16&lt;MIN(DKW_10Y!$A$2:$A$2918)),NA(),(INDEX(DKW_10Y!$H$2:$H$2918,MATCH($A1230,DKW_10Y!$A$2:$A$2918,1))-INDEX(DKW_10Y!$H$2:$H$2918,MATCH(Settings!$B$16,DKW_10Y!$A$2:$A$2918,1)))*100))</f>
        <v/>
      </c>
      <c r="AC1230" s="18">
        <f>IF(NOT(ISNUMBER($A1230)),NA(),IFERROR(1*INDEX(BBG_Data!$N$2:$N$4000,MATCH($A1230,BBG_Data!$M$2:$M$4000,0)),NA()))</f>
        <v/>
      </c>
      <c r="AD1230" s="18">
        <f>IF(NOT(ISNUMBER($A1230)),NA(),IFERROR(1*INDEX(BBG_Data!$P$2:$P$4000,MATCH($A1230,BBG_Data!$O$2:$O$4000,0)),NA()))</f>
        <v/>
      </c>
      <c r="AE1230" s="18">
        <f>IF(NOT(ISNUMBER($A1230)),NA(),IFERROR(1*INDEX(BBG_Data!$R$2:$R$4000,MATCH($A1230,BBG_Data!$Q$2:$Q$4000,0)),NA()))</f>
        <v/>
      </c>
      <c r="AF1230" s="20">
        <f>IF(AND(ISNUMBER(B1230),ISNUMBER(AC1230)),(B1230-AC1230)*100,NA())</f>
        <v/>
      </c>
      <c r="AG1230" s="20">
        <f>IF(AND(ISNUMBER(AE1230),ISNUMBER(AD1230)),(AE1230-AD1230)*100,NA())</f>
        <v/>
      </c>
      <c r="AH1230" s="19">
        <f>IF(NOT(ISNUMBER($A1230)),NA(),IFERROR(INDEX(BBG_Data!$T$2:$T$4000,MATCH($A1230,BBG_Data!$S$2:$S$4000,0))*Settings!$B$25,NA()))</f>
        <v/>
      </c>
      <c r="AI1230" s="19">
        <f>IF(NOT(ISNUMBER($A1230)),NA(),IFERROR(INDEX(BBG_Data!$V$2:$V$4000,MATCH($A1230,BBG_Data!$U$2:$U$4000,0))*Settings!$B$25,NA()))</f>
        <v/>
      </c>
      <c r="AJ1230" s="19">
        <f>IF(NOT(ISNUMBER($A1230)),NA(),IFERROR(1*INDEX(BBG_Data!$X$2:$X$4000,MATCH($A1230,BBG_Data!$W$2:$W$4000,0)),NA()))</f>
        <v/>
      </c>
      <c r="AK1230" s="19">
        <f>IF(NOT(ISNUMBER($A1230)),NA(),IFERROR(1*INDEX(BBG_Data!$Z$2:$Z$4000,MATCH($A1230,BBG_Data!$Y$2:$Y$4000,0)),NA()))</f>
        <v/>
      </c>
    </row>
    <row r="1231">
      <c r="A1231" s="17">
        <f>IF(ISNUMBER(BBG_Data!A1231),BBG_Data!A1231,"")</f>
        <v/>
      </c>
      <c r="B1231" s="18">
        <f>IF(AND(ISNUMBER($A1231),ISNUMBER(BBG_Data!B1231)),BBG_Data!B1231,NA())</f>
        <v/>
      </c>
      <c r="C1231" s="18">
        <f>IF(NOT(ISNUMBER($A1231)),NA(),IFERROR(1*INDEX(BBG_Data!$D$2:$D$4000,MATCH($A1231,BBG_Data!$C$2:$C$4000,0)),NA()))</f>
        <v/>
      </c>
      <c r="D1231" s="19">
        <f>IF(NOT(ISNUMBER($A1231)),NA(),IFERROR(1*INDEX(BBG_Data!$F$2:$F$4000,MATCH($A1231,BBG_Data!$E$2:$E$4000,0)),NA()))</f>
        <v/>
      </c>
      <c r="E1231" s="19">
        <f>IF(NOT(ISNUMBER($A1231)),NA(),IFERROR(1*INDEX(BBG_Data!$H$2:$H$4000,MATCH($A1231,BBG_Data!$G$2:$G$4000,0)),NA()))</f>
        <v/>
      </c>
      <c r="F1231" s="20">
        <f>IF(AND(ISNUMBER(B1231),ISNUMBER(B1230)),IF(B1231=B1230,"",(B1231-B1230)*100),"")</f>
        <v/>
      </c>
      <c r="G1231" s="20">
        <f>IF(AND(ISNUMBER(C1231),ISNUMBER(C1230)),IF(C1231=C1230,"",(C1231-C1230)*100),"")</f>
        <v/>
      </c>
      <c r="H1231" s="20">
        <f>IF(OR(NOT(ISNUMBER($A1231)),ROW()-2&lt;Settings!$B$11),NA(),IF(COUNT(OFFSET(F1231,1-Settings!$B$11,0,Settings!$B$11,1))&lt;ROUNDUP(Settings!$B$11*Settings!$B$26,0),NA(),STDEV(OFFSET(F1231,1-Settings!$B$11,0,Settings!$B$11,1))*SQRT(Settings!$B$13)))</f>
        <v/>
      </c>
      <c r="I1231" s="20">
        <f>IF(OR(NOT(ISNUMBER($A1231)),ROW()-2&lt;Settings!$B$12),NA(),IF(COUNT(OFFSET(F1231,1-Settings!$B$12,0,Settings!$B$12,1))&lt;ROUNDUP(Settings!$B$12*Settings!$B$26,0),NA(),STDEV(OFFSET(F1231,1-Settings!$B$12,0,Settings!$B$12,1))*SQRT(Settings!$B$13)))</f>
        <v/>
      </c>
      <c r="J1231" s="20">
        <f>IF(OR(NOT(ISNUMBER($A1231)),ROW()-2&lt;Settings!$B$11),NA(),IF(COUNT(OFFSET(G1231,1-Settings!$B$11,0,Settings!$B$11,1))&lt;ROUNDUP(Settings!$B$11*Settings!$B$26,0),NA(),STDEV(OFFSET(G1231,1-Settings!$B$11,0,Settings!$B$11,1))*SQRT(Settings!$B$13)))</f>
        <v/>
      </c>
      <c r="K1231" s="20">
        <f>IF(OR(NOT(ISNUMBER($A1231)),ROW()-2&lt;Settings!$B$12),NA(),IF(COUNT(OFFSET(G1231,1-Settings!$B$12,0,Settings!$B$12,1))&lt;ROUNDUP(Settings!$B$12*Settings!$B$26,0),NA(),STDEV(OFFSET(G1231,1-Settings!$B$12,0,Settings!$B$12,1))*SQRT(Settings!$B$13)))</f>
        <v/>
      </c>
      <c r="L1231" s="20">
        <f>IF(AND(ISNUMBER(D1231),ISNUMBER(H1231)),D1231-H1231,NA())</f>
        <v/>
      </c>
      <c r="M1231" s="20">
        <f>IF(AND(ISNUMBER(E1231),ISNUMBER(K1231)),E1231-K1231,NA())</f>
        <v/>
      </c>
      <c r="N1231" s="20">
        <f>IF(NOT(ISNUMBER($A1231)),NA(),IF(COUNT(OFFSET(G1231,1,0,Settings!$B$12,1))&lt;ROUNDUP(Settings!$B$12*Settings!$B$26,0),NA(),STDEV(OFFSET(G1231,1,0,Settings!$B$12,1))*SQRT(Settings!$B$13)))</f>
        <v/>
      </c>
      <c r="O1231" s="20">
        <f>IF(AND(ISNUMBER(E1231),ISNUMBER(N1231)),E1231-N1231,NA())</f>
        <v/>
      </c>
      <c r="P1231" s="19">
        <f>IF(NOT(ISNUMBER($A1231)),NA(),IF(OR($A1231&lt;MIN(KW_TP!$A$2:$A$2501),$A1231&gt;MAX(KW_TP!$A$2:$A$2501)),NA(),INDEX(KW_TP!$C$2:$C$2501,MATCH($A1231,KW_TP!$A$2:$A$2501,1))))</f>
        <v/>
      </c>
      <c r="Q1231" s="18">
        <f>IF(NOT(ISNUMBER($A1231)),NA(),IFERROR(1*INDEX(BBG_Data!$J$2:$J$4000,MATCH($A1231,BBG_Data!$I$2:$I$4000,0)),NA()))</f>
        <v/>
      </c>
      <c r="R1231" s="18">
        <f>IF(NOT(ISNUMBER($A1231)),NA(),IFERROR(1*INDEX(BBG_Data!$L$2:$L$4000,MATCH($A1231,BBG_Data!$K$2:$K$4000,0)),NA()))</f>
        <v/>
      </c>
      <c r="S1231" s="20">
        <f>IF(AND(ISNUMBER(B1231),ISNUMBER(Q1231),ISNUMBER(R1231)),(B1231-Q1231-R1231)*100,NA())</f>
        <v/>
      </c>
      <c r="T1231" s="20">
        <f>IF(AND(ISNUMBER(B1231),Settings!$B$17&gt;0),IF(ISNUMBER(INDEX($B:$B,Settings!$B$17)),(B1231-INDEX($B:$B,Settings!$B$17))*100,NA()),NA())</f>
        <v/>
      </c>
      <c r="U1231" s="20">
        <f>IF(AND(ISNUMBER(Q1231),Settings!$B$17&gt;0),IF(ISNUMBER(INDEX($Q:$Q,Settings!$B$17)),(Q1231-INDEX($Q:$Q,Settings!$B$17))*100,NA()),NA())</f>
        <v/>
      </c>
      <c r="V1231" s="20">
        <f>IF(AND(ISNUMBER(R1231),Settings!$B$17&gt;0),IF(ISNUMBER(INDEX($R:$R,Settings!$B$17)),(R1231-INDEX($R:$R,Settings!$B$17))*100,NA()),NA())</f>
        <v/>
      </c>
      <c r="W1231" s="20">
        <f>IF(AND(ISNUMBER(P1231),Settings!$B$17&gt;0),IF(ISNUMBER(INDEX($P:$P,Settings!$B$17)),P1231-INDEX($P:$P,Settings!$B$17),NA()),NA())</f>
        <v/>
      </c>
      <c r="X1231" s="19">
        <f>IF(NOT(ISNUMBER($A1231)),NA(),IF(OR($A1231&lt;MIN(DKW_10Y!$A$2:$A$2918),$A1231&gt;MAX(DKW_10Y!$A$2:$A$2918),Settings!$B$16&lt;MIN(DKW_10Y!$A$2:$A$2918)),NA(),(INDEX(DKW_10Y!$B$2:$B$2918,MATCH($A1231,DKW_10Y!$A$2:$A$2918,1))-INDEX(DKW_10Y!$B$2:$B$2918,MATCH(Settings!$B$16,DKW_10Y!$A$2:$A$2918,1)))*100))</f>
        <v/>
      </c>
      <c r="Y1231" s="19">
        <f>IF(NOT(ISNUMBER($A1231)),NA(),IF(OR($A1231&lt;MIN(DKW_10Y!$A$2:$A$2918),$A1231&gt;MAX(DKW_10Y!$A$2:$A$2918),Settings!$B$16&lt;MIN(DKW_10Y!$A$2:$A$2918)),NA(),(INDEX(DKW_10Y!$C$2:$C$2918,MATCH($A1231,DKW_10Y!$A$2:$A$2918,1))-INDEX(DKW_10Y!$C$2:$C$2918,MATCH(Settings!$B$16,DKW_10Y!$A$2:$A$2918,1)))*100))</f>
        <v/>
      </c>
      <c r="Z1231" s="19">
        <f>IF(NOT(ISNUMBER($A1231)),NA(),IF(OR($A1231&lt;MIN(DKW_10Y!$A$2:$A$2918),$A1231&gt;MAX(DKW_10Y!$A$2:$A$2918),Settings!$B$16&lt;MIN(DKW_10Y!$A$2:$A$2918)),NA(),(INDEX(DKW_10Y!$D$2:$D$2918,MATCH($A1231,DKW_10Y!$A$2:$A$2918,1))-INDEX(DKW_10Y!$D$2:$D$2918,MATCH(Settings!$B$16,DKW_10Y!$A$2:$A$2918,1)))*100))</f>
        <v/>
      </c>
      <c r="AA1231" s="19">
        <f>IF(NOT(ISNUMBER($A1231)),NA(),IF(OR($A1231&lt;MIN(DKW_10Y!$A$2:$A$2918),$A1231&gt;MAX(DKW_10Y!$A$2:$A$2918),Settings!$B$16&lt;MIN(DKW_10Y!$A$2:$A$2918)),NA(),(INDEX(DKW_10Y!$E$2:$E$2918,MATCH($A1231,DKW_10Y!$A$2:$A$2918,1))-INDEX(DKW_10Y!$E$2:$E$2918,MATCH(Settings!$B$16,DKW_10Y!$A$2:$A$2918,1)))*100))</f>
        <v/>
      </c>
      <c r="AB1231" s="19">
        <f>IF(NOT(ISNUMBER($A1231)),NA(),IF(OR($A1231&lt;MIN(DKW_10Y!$A$2:$A$2918),$A1231&gt;MAX(DKW_10Y!$A$2:$A$2918),Settings!$B$16&lt;MIN(DKW_10Y!$A$2:$A$2918)),NA(),(INDEX(DKW_10Y!$H$2:$H$2918,MATCH($A1231,DKW_10Y!$A$2:$A$2918,1))-INDEX(DKW_10Y!$H$2:$H$2918,MATCH(Settings!$B$16,DKW_10Y!$A$2:$A$2918,1)))*100))</f>
        <v/>
      </c>
      <c r="AC1231" s="18">
        <f>IF(NOT(ISNUMBER($A1231)),NA(),IFERROR(1*INDEX(BBG_Data!$N$2:$N$4000,MATCH($A1231,BBG_Data!$M$2:$M$4000,0)),NA()))</f>
        <v/>
      </c>
      <c r="AD1231" s="18">
        <f>IF(NOT(ISNUMBER($A1231)),NA(),IFERROR(1*INDEX(BBG_Data!$P$2:$P$4000,MATCH($A1231,BBG_Data!$O$2:$O$4000,0)),NA()))</f>
        <v/>
      </c>
      <c r="AE1231" s="18">
        <f>IF(NOT(ISNUMBER($A1231)),NA(),IFERROR(1*INDEX(BBG_Data!$R$2:$R$4000,MATCH($A1231,BBG_Data!$Q$2:$Q$4000,0)),NA()))</f>
        <v/>
      </c>
      <c r="AF1231" s="20">
        <f>IF(AND(ISNUMBER(B1231),ISNUMBER(AC1231)),(B1231-AC1231)*100,NA())</f>
        <v/>
      </c>
      <c r="AG1231" s="20">
        <f>IF(AND(ISNUMBER(AE1231),ISNUMBER(AD1231)),(AE1231-AD1231)*100,NA())</f>
        <v/>
      </c>
      <c r="AH1231" s="19">
        <f>IF(NOT(ISNUMBER($A1231)),NA(),IFERROR(INDEX(BBG_Data!$T$2:$T$4000,MATCH($A1231,BBG_Data!$S$2:$S$4000,0))*Settings!$B$25,NA()))</f>
        <v/>
      </c>
      <c r="AI1231" s="19">
        <f>IF(NOT(ISNUMBER($A1231)),NA(),IFERROR(INDEX(BBG_Data!$V$2:$V$4000,MATCH($A1231,BBG_Data!$U$2:$U$4000,0))*Settings!$B$25,NA()))</f>
        <v/>
      </c>
      <c r="AJ1231" s="19">
        <f>IF(NOT(ISNUMBER($A1231)),NA(),IFERROR(1*INDEX(BBG_Data!$X$2:$X$4000,MATCH($A1231,BBG_Data!$W$2:$W$4000,0)),NA()))</f>
        <v/>
      </c>
      <c r="AK1231" s="19">
        <f>IF(NOT(ISNUMBER($A1231)),NA(),IFERROR(1*INDEX(BBG_Data!$Z$2:$Z$4000,MATCH($A1231,BBG_Data!$Y$2:$Y$4000,0)),NA()))</f>
        <v/>
      </c>
    </row>
    <row r="1232">
      <c r="A1232" s="17">
        <f>IF(ISNUMBER(BBG_Data!A1232),BBG_Data!A1232,"")</f>
        <v/>
      </c>
      <c r="B1232" s="18">
        <f>IF(AND(ISNUMBER($A1232),ISNUMBER(BBG_Data!B1232)),BBG_Data!B1232,NA())</f>
        <v/>
      </c>
      <c r="C1232" s="18">
        <f>IF(NOT(ISNUMBER($A1232)),NA(),IFERROR(1*INDEX(BBG_Data!$D$2:$D$4000,MATCH($A1232,BBG_Data!$C$2:$C$4000,0)),NA()))</f>
        <v/>
      </c>
      <c r="D1232" s="19">
        <f>IF(NOT(ISNUMBER($A1232)),NA(),IFERROR(1*INDEX(BBG_Data!$F$2:$F$4000,MATCH($A1232,BBG_Data!$E$2:$E$4000,0)),NA()))</f>
        <v/>
      </c>
      <c r="E1232" s="19">
        <f>IF(NOT(ISNUMBER($A1232)),NA(),IFERROR(1*INDEX(BBG_Data!$H$2:$H$4000,MATCH($A1232,BBG_Data!$G$2:$G$4000,0)),NA()))</f>
        <v/>
      </c>
      <c r="F1232" s="20">
        <f>IF(AND(ISNUMBER(B1232),ISNUMBER(B1231)),IF(B1232=B1231,"",(B1232-B1231)*100),"")</f>
        <v/>
      </c>
      <c r="G1232" s="20">
        <f>IF(AND(ISNUMBER(C1232),ISNUMBER(C1231)),IF(C1232=C1231,"",(C1232-C1231)*100),"")</f>
        <v/>
      </c>
      <c r="H1232" s="20">
        <f>IF(OR(NOT(ISNUMBER($A1232)),ROW()-2&lt;Settings!$B$11),NA(),IF(COUNT(OFFSET(F1232,1-Settings!$B$11,0,Settings!$B$11,1))&lt;ROUNDUP(Settings!$B$11*Settings!$B$26,0),NA(),STDEV(OFFSET(F1232,1-Settings!$B$11,0,Settings!$B$11,1))*SQRT(Settings!$B$13)))</f>
        <v/>
      </c>
      <c r="I1232" s="20">
        <f>IF(OR(NOT(ISNUMBER($A1232)),ROW()-2&lt;Settings!$B$12),NA(),IF(COUNT(OFFSET(F1232,1-Settings!$B$12,0,Settings!$B$12,1))&lt;ROUNDUP(Settings!$B$12*Settings!$B$26,0),NA(),STDEV(OFFSET(F1232,1-Settings!$B$12,0,Settings!$B$12,1))*SQRT(Settings!$B$13)))</f>
        <v/>
      </c>
      <c r="J1232" s="20">
        <f>IF(OR(NOT(ISNUMBER($A1232)),ROW()-2&lt;Settings!$B$11),NA(),IF(COUNT(OFFSET(G1232,1-Settings!$B$11,0,Settings!$B$11,1))&lt;ROUNDUP(Settings!$B$11*Settings!$B$26,0),NA(),STDEV(OFFSET(G1232,1-Settings!$B$11,0,Settings!$B$11,1))*SQRT(Settings!$B$13)))</f>
        <v/>
      </c>
      <c r="K1232" s="20">
        <f>IF(OR(NOT(ISNUMBER($A1232)),ROW()-2&lt;Settings!$B$12),NA(),IF(COUNT(OFFSET(G1232,1-Settings!$B$12,0,Settings!$B$12,1))&lt;ROUNDUP(Settings!$B$12*Settings!$B$26,0),NA(),STDEV(OFFSET(G1232,1-Settings!$B$12,0,Settings!$B$12,1))*SQRT(Settings!$B$13)))</f>
        <v/>
      </c>
      <c r="L1232" s="20">
        <f>IF(AND(ISNUMBER(D1232),ISNUMBER(H1232)),D1232-H1232,NA())</f>
        <v/>
      </c>
      <c r="M1232" s="20">
        <f>IF(AND(ISNUMBER(E1232),ISNUMBER(K1232)),E1232-K1232,NA())</f>
        <v/>
      </c>
      <c r="N1232" s="20">
        <f>IF(NOT(ISNUMBER($A1232)),NA(),IF(COUNT(OFFSET(G1232,1,0,Settings!$B$12,1))&lt;ROUNDUP(Settings!$B$12*Settings!$B$26,0),NA(),STDEV(OFFSET(G1232,1,0,Settings!$B$12,1))*SQRT(Settings!$B$13)))</f>
        <v/>
      </c>
      <c r="O1232" s="20">
        <f>IF(AND(ISNUMBER(E1232),ISNUMBER(N1232)),E1232-N1232,NA())</f>
        <v/>
      </c>
      <c r="P1232" s="19">
        <f>IF(NOT(ISNUMBER($A1232)),NA(),IF(OR($A1232&lt;MIN(KW_TP!$A$2:$A$2501),$A1232&gt;MAX(KW_TP!$A$2:$A$2501)),NA(),INDEX(KW_TP!$C$2:$C$2501,MATCH($A1232,KW_TP!$A$2:$A$2501,1))))</f>
        <v/>
      </c>
      <c r="Q1232" s="18">
        <f>IF(NOT(ISNUMBER($A1232)),NA(),IFERROR(1*INDEX(BBG_Data!$J$2:$J$4000,MATCH($A1232,BBG_Data!$I$2:$I$4000,0)),NA()))</f>
        <v/>
      </c>
      <c r="R1232" s="18">
        <f>IF(NOT(ISNUMBER($A1232)),NA(),IFERROR(1*INDEX(BBG_Data!$L$2:$L$4000,MATCH($A1232,BBG_Data!$K$2:$K$4000,0)),NA()))</f>
        <v/>
      </c>
      <c r="S1232" s="20">
        <f>IF(AND(ISNUMBER(B1232),ISNUMBER(Q1232),ISNUMBER(R1232)),(B1232-Q1232-R1232)*100,NA())</f>
        <v/>
      </c>
      <c r="T1232" s="20">
        <f>IF(AND(ISNUMBER(B1232),Settings!$B$17&gt;0),IF(ISNUMBER(INDEX($B:$B,Settings!$B$17)),(B1232-INDEX($B:$B,Settings!$B$17))*100,NA()),NA())</f>
        <v/>
      </c>
      <c r="U1232" s="20">
        <f>IF(AND(ISNUMBER(Q1232),Settings!$B$17&gt;0),IF(ISNUMBER(INDEX($Q:$Q,Settings!$B$17)),(Q1232-INDEX($Q:$Q,Settings!$B$17))*100,NA()),NA())</f>
        <v/>
      </c>
      <c r="V1232" s="20">
        <f>IF(AND(ISNUMBER(R1232),Settings!$B$17&gt;0),IF(ISNUMBER(INDEX($R:$R,Settings!$B$17)),(R1232-INDEX($R:$R,Settings!$B$17))*100,NA()),NA())</f>
        <v/>
      </c>
      <c r="W1232" s="20">
        <f>IF(AND(ISNUMBER(P1232),Settings!$B$17&gt;0),IF(ISNUMBER(INDEX($P:$P,Settings!$B$17)),P1232-INDEX($P:$P,Settings!$B$17),NA()),NA())</f>
        <v/>
      </c>
      <c r="X1232" s="19">
        <f>IF(NOT(ISNUMBER($A1232)),NA(),IF(OR($A1232&lt;MIN(DKW_10Y!$A$2:$A$2918),$A1232&gt;MAX(DKW_10Y!$A$2:$A$2918),Settings!$B$16&lt;MIN(DKW_10Y!$A$2:$A$2918)),NA(),(INDEX(DKW_10Y!$B$2:$B$2918,MATCH($A1232,DKW_10Y!$A$2:$A$2918,1))-INDEX(DKW_10Y!$B$2:$B$2918,MATCH(Settings!$B$16,DKW_10Y!$A$2:$A$2918,1)))*100))</f>
        <v/>
      </c>
      <c r="Y1232" s="19">
        <f>IF(NOT(ISNUMBER($A1232)),NA(),IF(OR($A1232&lt;MIN(DKW_10Y!$A$2:$A$2918),$A1232&gt;MAX(DKW_10Y!$A$2:$A$2918),Settings!$B$16&lt;MIN(DKW_10Y!$A$2:$A$2918)),NA(),(INDEX(DKW_10Y!$C$2:$C$2918,MATCH($A1232,DKW_10Y!$A$2:$A$2918,1))-INDEX(DKW_10Y!$C$2:$C$2918,MATCH(Settings!$B$16,DKW_10Y!$A$2:$A$2918,1)))*100))</f>
        <v/>
      </c>
      <c r="Z1232" s="19">
        <f>IF(NOT(ISNUMBER($A1232)),NA(),IF(OR($A1232&lt;MIN(DKW_10Y!$A$2:$A$2918),$A1232&gt;MAX(DKW_10Y!$A$2:$A$2918),Settings!$B$16&lt;MIN(DKW_10Y!$A$2:$A$2918)),NA(),(INDEX(DKW_10Y!$D$2:$D$2918,MATCH($A1232,DKW_10Y!$A$2:$A$2918,1))-INDEX(DKW_10Y!$D$2:$D$2918,MATCH(Settings!$B$16,DKW_10Y!$A$2:$A$2918,1)))*100))</f>
        <v/>
      </c>
      <c r="AA1232" s="19">
        <f>IF(NOT(ISNUMBER($A1232)),NA(),IF(OR($A1232&lt;MIN(DKW_10Y!$A$2:$A$2918),$A1232&gt;MAX(DKW_10Y!$A$2:$A$2918),Settings!$B$16&lt;MIN(DKW_10Y!$A$2:$A$2918)),NA(),(INDEX(DKW_10Y!$E$2:$E$2918,MATCH($A1232,DKW_10Y!$A$2:$A$2918,1))-INDEX(DKW_10Y!$E$2:$E$2918,MATCH(Settings!$B$16,DKW_10Y!$A$2:$A$2918,1)))*100))</f>
        <v/>
      </c>
      <c r="AB1232" s="19">
        <f>IF(NOT(ISNUMBER($A1232)),NA(),IF(OR($A1232&lt;MIN(DKW_10Y!$A$2:$A$2918),$A1232&gt;MAX(DKW_10Y!$A$2:$A$2918),Settings!$B$16&lt;MIN(DKW_10Y!$A$2:$A$2918)),NA(),(INDEX(DKW_10Y!$H$2:$H$2918,MATCH($A1232,DKW_10Y!$A$2:$A$2918,1))-INDEX(DKW_10Y!$H$2:$H$2918,MATCH(Settings!$B$16,DKW_10Y!$A$2:$A$2918,1)))*100))</f>
        <v/>
      </c>
      <c r="AC1232" s="18">
        <f>IF(NOT(ISNUMBER($A1232)),NA(),IFERROR(1*INDEX(BBG_Data!$N$2:$N$4000,MATCH($A1232,BBG_Data!$M$2:$M$4000,0)),NA()))</f>
        <v/>
      </c>
      <c r="AD1232" s="18">
        <f>IF(NOT(ISNUMBER($A1232)),NA(),IFERROR(1*INDEX(BBG_Data!$P$2:$P$4000,MATCH($A1232,BBG_Data!$O$2:$O$4000,0)),NA()))</f>
        <v/>
      </c>
      <c r="AE1232" s="18">
        <f>IF(NOT(ISNUMBER($A1232)),NA(),IFERROR(1*INDEX(BBG_Data!$R$2:$R$4000,MATCH($A1232,BBG_Data!$Q$2:$Q$4000,0)),NA()))</f>
        <v/>
      </c>
      <c r="AF1232" s="20">
        <f>IF(AND(ISNUMBER(B1232),ISNUMBER(AC1232)),(B1232-AC1232)*100,NA())</f>
        <v/>
      </c>
      <c r="AG1232" s="20">
        <f>IF(AND(ISNUMBER(AE1232),ISNUMBER(AD1232)),(AE1232-AD1232)*100,NA())</f>
        <v/>
      </c>
      <c r="AH1232" s="19">
        <f>IF(NOT(ISNUMBER($A1232)),NA(),IFERROR(INDEX(BBG_Data!$T$2:$T$4000,MATCH($A1232,BBG_Data!$S$2:$S$4000,0))*Settings!$B$25,NA()))</f>
        <v/>
      </c>
      <c r="AI1232" s="19">
        <f>IF(NOT(ISNUMBER($A1232)),NA(),IFERROR(INDEX(BBG_Data!$V$2:$V$4000,MATCH($A1232,BBG_Data!$U$2:$U$4000,0))*Settings!$B$25,NA()))</f>
        <v/>
      </c>
      <c r="AJ1232" s="19">
        <f>IF(NOT(ISNUMBER($A1232)),NA(),IFERROR(1*INDEX(BBG_Data!$X$2:$X$4000,MATCH($A1232,BBG_Data!$W$2:$W$4000,0)),NA()))</f>
        <v/>
      </c>
      <c r="AK1232" s="19">
        <f>IF(NOT(ISNUMBER($A1232)),NA(),IFERROR(1*INDEX(BBG_Data!$Z$2:$Z$4000,MATCH($A1232,BBG_Data!$Y$2:$Y$4000,0)),NA()))</f>
        <v/>
      </c>
    </row>
    <row r="1233">
      <c r="A1233" s="17">
        <f>IF(ISNUMBER(BBG_Data!A1233),BBG_Data!A1233,"")</f>
        <v/>
      </c>
      <c r="B1233" s="18">
        <f>IF(AND(ISNUMBER($A1233),ISNUMBER(BBG_Data!B1233)),BBG_Data!B1233,NA())</f>
        <v/>
      </c>
      <c r="C1233" s="18">
        <f>IF(NOT(ISNUMBER($A1233)),NA(),IFERROR(1*INDEX(BBG_Data!$D$2:$D$4000,MATCH($A1233,BBG_Data!$C$2:$C$4000,0)),NA()))</f>
        <v/>
      </c>
      <c r="D1233" s="19">
        <f>IF(NOT(ISNUMBER($A1233)),NA(),IFERROR(1*INDEX(BBG_Data!$F$2:$F$4000,MATCH($A1233,BBG_Data!$E$2:$E$4000,0)),NA()))</f>
        <v/>
      </c>
      <c r="E1233" s="19">
        <f>IF(NOT(ISNUMBER($A1233)),NA(),IFERROR(1*INDEX(BBG_Data!$H$2:$H$4000,MATCH($A1233,BBG_Data!$G$2:$G$4000,0)),NA()))</f>
        <v/>
      </c>
      <c r="F1233" s="20">
        <f>IF(AND(ISNUMBER(B1233),ISNUMBER(B1232)),IF(B1233=B1232,"",(B1233-B1232)*100),"")</f>
        <v/>
      </c>
      <c r="G1233" s="20">
        <f>IF(AND(ISNUMBER(C1233),ISNUMBER(C1232)),IF(C1233=C1232,"",(C1233-C1232)*100),"")</f>
        <v/>
      </c>
      <c r="H1233" s="20">
        <f>IF(OR(NOT(ISNUMBER($A1233)),ROW()-2&lt;Settings!$B$11),NA(),IF(COUNT(OFFSET(F1233,1-Settings!$B$11,0,Settings!$B$11,1))&lt;ROUNDUP(Settings!$B$11*Settings!$B$26,0),NA(),STDEV(OFFSET(F1233,1-Settings!$B$11,0,Settings!$B$11,1))*SQRT(Settings!$B$13)))</f>
        <v/>
      </c>
      <c r="I1233" s="20">
        <f>IF(OR(NOT(ISNUMBER($A1233)),ROW()-2&lt;Settings!$B$12),NA(),IF(COUNT(OFFSET(F1233,1-Settings!$B$12,0,Settings!$B$12,1))&lt;ROUNDUP(Settings!$B$12*Settings!$B$26,0),NA(),STDEV(OFFSET(F1233,1-Settings!$B$12,0,Settings!$B$12,1))*SQRT(Settings!$B$13)))</f>
        <v/>
      </c>
      <c r="J1233" s="20">
        <f>IF(OR(NOT(ISNUMBER($A1233)),ROW()-2&lt;Settings!$B$11),NA(),IF(COUNT(OFFSET(G1233,1-Settings!$B$11,0,Settings!$B$11,1))&lt;ROUNDUP(Settings!$B$11*Settings!$B$26,0),NA(),STDEV(OFFSET(G1233,1-Settings!$B$11,0,Settings!$B$11,1))*SQRT(Settings!$B$13)))</f>
        <v/>
      </c>
      <c r="K1233" s="20">
        <f>IF(OR(NOT(ISNUMBER($A1233)),ROW()-2&lt;Settings!$B$12),NA(),IF(COUNT(OFFSET(G1233,1-Settings!$B$12,0,Settings!$B$12,1))&lt;ROUNDUP(Settings!$B$12*Settings!$B$26,0),NA(),STDEV(OFFSET(G1233,1-Settings!$B$12,0,Settings!$B$12,1))*SQRT(Settings!$B$13)))</f>
        <v/>
      </c>
      <c r="L1233" s="20">
        <f>IF(AND(ISNUMBER(D1233),ISNUMBER(H1233)),D1233-H1233,NA())</f>
        <v/>
      </c>
      <c r="M1233" s="20">
        <f>IF(AND(ISNUMBER(E1233),ISNUMBER(K1233)),E1233-K1233,NA())</f>
        <v/>
      </c>
      <c r="N1233" s="20">
        <f>IF(NOT(ISNUMBER($A1233)),NA(),IF(COUNT(OFFSET(G1233,1,0,Settings!$B$12,1))&lt;ROUNDUP(Settings!$B$12*Settings!$B$26,0),NA(),STDEV(OFFSET(G1233,1,0,Settings!$B$12,1))*SQRT(Settings!$B$13)))</f>
        <v/>
      </c>
      <c r="O1233" s="20">
        <f>IF(AND(ISNUMBER(E1233),ISNUMBER(N1233)),E1233-N1233,NA())</f>
        <v/>
      </c>
      <c r="P1233" s="19">
        <f>IF(NOT(ISNUMBER($A1233)),NA(),IF(OR($A1233&lt;MIN(KW_TP!$A$2:$A$2501),$A1233&gt;MAX(KW_TP!$A$2:$A$2501)),NA(),INDEX(KW_TP!$C$2:$C$2501,MATCH($A1233,KW_TP!$A$2:$A$2501,1))))</f>
        <v/>
      </c>
      <c r="Q1233" s="18">
        <f>IF(NOT(ISNUMBER($A1233)),NA(),IFERROR(1*INDEX(BBG_Data!$J$2:$J$4000,MATCH($A1233,BBG_Data!$I$2:$I$4000,0)),NA()))</f>
        <v/>
      </c>
      <c r="R1233" s="18">
        <f>IF(NOT(ISNUMBER($A1233)),NA(),IFERROR(1*INDEX(BBG_Data!$L$2:$L$4000,MATCH($A1233,BBG_Data!$K$2:$K$4000,0)),NA()))</f>
        <v/>
      </c>
      <c r="S1233" s="20">
        <f>IF(AND(ISNUMBER(B1233),ISNUMBER(Q1233),ISNUMBER(R1233)),(B1233-Q1233-R1233)*100,NA())</f>
        <v/>
      </c>
      <c r="T1233" s="20">
        <f>IF(AND(ISNUMBER(B1233),Settings!$B$17&gt;0),IF(ISNUMBER(INDEX($B:$B,Settings!$B$17)),(B1233-INDEX($B:$B,Settings!$B$17))*100,NA()),NA())</f>
        <v/>
      </c>
      <c r="U1233" s="20">
        <f>IF(AND(ISNUMBER(Q1233),Settings!$B$17&gt;0),IF(ISNUMBER(INDEX($Q:$Q,Settings!$B$17)),(Q1233-INDEX($Q:$Q,Settings!$B$17))*100,NA()),NA())</f>
        <v/>
      </c>
      <c r="V1233" s="20">
        <f>IF(AND(ISNUMBER(R1233),Settings!$B$17&gt;0),IF(ISNUMBER(INDEX($R:$R,Settings!$B$17)),(R1233-INDEX($R:$R,Settings!$B$17))*100,NA()),NA())</f>
        <v/>
      </c>
      <c r="W1233" s="20">
        <f>IF(AND(ISNUMBER(P1233),Settings!$B$17&gt;0),IF(ISNUMBER(INDEX($P:$P,Settings!$B$17)),P1233-INDEX($P:$P,Settings!$B$17),NA()),NA())</f>
        <v/>
      </c>
      <c r="X1233" s="19">
        <f>IF(NOT(ISNUMBER($A1233)),NA(),IF(OR($A1233&lt;MIN(DKW_10Y!$A$2:$A$2918),$A1233&gt;MAX(DKW_10Y!$A$2:$A$2918),Settings!$B$16&lt;MIN(DKW_10Y!$A$2:$A$2918)),NA(),(INDEX(DKW_10Y!$B$2:$B$2918,MATCH($A1233,DKW_10Y!$A$2:$A$2918,1))-INDEX(DKW_10Y!$B$2:$B$2918,MATCH(Settings!$B$16,DKW_10Y!$A$2:$A$2918,1)))*100))</f>
        <v/>
      </c>
      <c r="Y1233" s="19">
        <f>IF(NOT(ISNUMBER($A1233)),NA(),IF(OR($A1233&lt;MIN(DKW_10Y!$A$2:$A$2918),$A1233&gt;MAX(DKW_10Y!$A$2:$A$2918),Settings!$B$16&lt;MIN(DKW_10Y!$A$2:$A$2918)),NA(),(INDEX(DKW_10Y!$C$2:$C$2918,MATCH($A1233,DKW_10Y!$A$2:$A$2918,1))-INDEX(DKW_10Y!$C$2:$C$2918,MATCH(Settings!$B$16,DKW_10Y!$A$2:$A$2918,1)))*100))</f>
        <v/>
      </c>
      <c r="Z1233" s="19">
        <f>IF(NOT(ISNUMBER($A1233)),NA(),IF(OR($A1233&lt;MIN(DKW_10Y!$A$2:$A$2918),$A1233&gt;MAX(DKW_10Y!$A$2:$A$2918),Settings!$B$16&lt;MIN(DKW_10Y!$A$2:$A$2918)),NA(),(INDEX(DKW_10Y!$D$2:$D$2918,MATCH($A1233,DKW_10Y!$A$2:$A$2918,1))-INDEX(DKW_10Y!$D$2:$D$2918,MATCH(Settings!$B$16,DKW_10Y!$A$2:$A$2918,1)))*100))</f>
        <v/>
      </c>
      <c r="AA1233" s="19">
        <f>IF(NOT(ISNUMBER($A1233)),NA(),IF(OR($A1233&lt;MIN(DKW_10Y!$A$2:$A$2918),$A1233&gt;MAX(DKW_10Y!$A$2:$A$2918),Settings!$B$16&lt;MIN(DKW_10Y!$A$2:$A$2918)),NA(),(INDEX(DKW_10Y!$E$2:$E$2918,MATCH($A1233,DKW_10Y!$A$2:$A$2918,1))-INDEX(DKW_10Y!$E$2:$E$2918,MATCH(Settings!$B$16,DKW_10Y!$A$2:$A$2918,1)))*100))</f>
        <v/>
      </c>
      <c r="AB1233" s="19">
        <f>IF(NOT(ISNUMBER($A1233)),NA(),IF(OR($A1233&lt;MIN(DKW_10Y!$A$2:$A$2918),$A1233&gt;MAX(DKW_10Y!$A$2:$A$2918),Settings!$B$16&lt;MIN(DKW_10Y!$A$2:$A$2918)),NA(),(INDEX(DKW_10Y!$H$2:$H$2918,MATCH($A1233,DKW_10Y!$A$2:$A$2918,1))-INDEX(DKW_10Y!$H$2:$H$2918,MATCH(Settings!$B$16,DKW_10Y!$A$2:$A$2918,1)))*100))</f>
        <v/>
      </c>
      <c r="AC1233" s="18">
        <f>IF(NOT(ISNUMBER($A1233)),NA(),IFERROR(1*INDEX(BBG_Data!$N$2:$N$4000,MATCH($A1233,BBG_Data!$M$2:$M$4000,0)),NA()))</f>
        <v/>
      </c>
      <c r="AD1233" s="18">
        <f>IF(NOT(ISNUMBER($A1233)),NA(),IFERROR(1*INDEX(BBG_Data!$P$2:$P$4000,MATCH($A1233,BBG_Data!$O$2:$O$4000,0)),NA()))</f>
        <v/>
      </c>
      <c r="AE1233" s="18">
        <f>IF(NOT(ISNUMBER($A1233)),NA(),IFERROR(1*INDEX(BBG_Data!$R$2:$R$4000,MATCH($A1233,BBG_Data!$Q$2:$Q$4000,0)),NA()))</f>
        <v/>
      </c>
      <c r="AF1233" s="20">
        <f>IF(AND(ISNUMBER(B1233),ISNUMBER(AC1233)),(B1233-AC1233)*100,NA())</f>
        <v/>
      </c>
      <c r="AG1233" s="20">
        <f>IF(AND(ISNUMBER(AE1233),ISNUMBER(AD1233)),(AE1233-AD1233)*100,NA())</f>
        <v/>
      </c>
      <c r="AH1233" s="19">
        <f>IF(NOT(ISNUMBER($A1233)),NA(),IFERROR(INDEX(BBG_Data!$T$2:$T$4000,MATCH($A1233,BBG_Data!$S$2:$S$4000,0))*Settings!$B$25,NA()))</f>
        <v/>
      </c>
      <c r="AI1233" s="19">
        <f>IF(NOT(ISNUMBER($A1233)),NA(),IFERROR(INDEX(BBG_Data!$V$2:$V$4000,MATCH($A1233,BBG_Data!$U$2:$U$4000,0))*Settings!$B$25,NA()))</f>
        <v/>
      </c>
      <c r="AJ1233" s="19">
        <f>IF(NOT(ISNUMBER($A1233)),NA(),IFERROR(1*INDEX(BBG_Data!$X$2:$X$4000,MATCH($A1233,BBG_Data!$W$2:$W$4000,0)),NA()))</f>
        <v/>
      </c>
      <c r="AK1233" s="19">
        <f>IF(NOT(ISNUMBER($A1233)),NA(),IFERROR(1*INDEX(BBG_Data!$Z$2:$Z$4000,MATCH($A1233,BBG_Data!$Y$2:$Y$4000,0)),NA()))</f>
        <v/>
      </c>
    </row>
    <row r="1234">
      <c r="A1234" s="17">
        <f>IF(ISNUMBER(BBG_Data!A1234),BBG_Data!A1234,"")</f>
        <v/>
      </c>
      <c r="B1234" s="18">
        <f>IF(AND(ISNUMBER($A1234),ISNUMBER(BBG_Data!B1234)),BBG_Data!B1234,NA())</f>
        <v/>
      </c>
      <c r="C1234" s="18">
        <f>IF(NOT(ISNUMBER($A1234)),NA(),IFERROR(1*INDEX(BBG_Data!$D$2:$D$4000,MATCH($A1234,BBG_Data!$C$2:$C$4000,0)),NA()))</f>
        <v/>
      </c>
      <c r="D1234" s="19">
        <f>IF(NOT(ISNUMBER($A1234)),NA(),IFERROR(1*INDEX(BBG_Data!$F$2:$F$4000,MATCH($A1234,BBG_Data!$E$2:$E$4000,0)),NA()))</f>
        <v/>
      </c>
      <c r="E1234" s="19">
        <f>IF(NOT(ISNUMBER($A1234)),NA(),IFERROR(1*INDEX(BBG_Data!$H$2:$H$4000,MATCH($A1234,BBG_Data!$G$2:$G$4000,0)),NA()))</f>
        <v/>
      </c>
      <c r="F1234" s="20">
        <f>IF(AND(ISNUMBER(B1234),ISNUMBER(B1233)),IF(B1234=B1233,"",(B1234-B1233)*100),"")</f>
        <v/>
      </c>
      <c r="G1234" s="20">
        <f>IF(AND(ISNUMBER(C1234),ISNUMBER(C1233)),IF(C1234=C1233,"",(C1234-C1233)*100),"")</f>
        <v/>
      </c>
      <c r="H1234" s="20">
        <f>IF(OR(NOT(ISNUMBER($A1234)),ROW()-2&lt;Settings!$B$11),NA(),IF(COUNT(OFFSET(F1234,1-Settings!$B$11,0,Settings!$B$11,1))&lt;ROUNDUP(Settings!$B$11*Settings!$B$26,0),NA(),STDEV(OFFSET(F1234,1-Settings!$B$11,0,Settings!$B$11,1))*SQRT(Settings!$B$13)))</f>
        <v/>
      </c>
      <c r="I1234" s="20">
        <f>IF(OR(NOT(ISNUMBER($A1234)),ROW()-2&lt;Settings!$B$12),NA(),IF(COUNT(OFFSET(F1234,1-Settings!$B$12,0,Settings!$B$12,1))&lt;ROUNDUP(Settings!$B$12*Settings!$B$26,0),NA(),STDEV(OFFSET(F1234,1-Settings!$B$12,0,Settings!$B$12,1))*SQRT(Settings!$B$13)))</f>
        <v/>
      </c>
      <c r="J1234" s="20">
        <f>IF(OR(NOT(ISNUMBER($A1234)),ROW()-2&lt;Settings!$B$11),NA(),IF(COUNT(OFFSET(G1234,1-Settings!$B$11,0,Settings!$B$11,1))&lt;ROUNDUP(Settings!$B$11*Settings!$B$26,0),NA(),STDEV(OFFSET(G1234,1-Settings!$B$11,0,Settings!$B$11,1))*SQRT(Settings!$B$13)))</f>
        <v/>
      </c>
      <c r="K1234" s="20">
        <f>IF(OR(NOT(ISNUMBER($A1234)),ROW()-2&lt;Settings!$B$12),NA(),IF(COUNT(OFFSET(G1234,1-Settings!$B$12,0,Settings!$B$12,1))&lt;ROUNDUP(Settings!$B$12*Settings!$B$26,0),NA(),STDEV(OFFSET(G1234,1-Settings!$B$12,0,Settings!$B$12,1))*SQRT(Settings!$B$13)))</f>
        <v/>
      </c>
      <c r="L1234" s="20">
        <f>IF(AND(ISNUMBER(D1234),ISNUMBER(H1234)),D1234-H1234,NA())</f>
        <v/>
      </c>
      <c r="M1234" s="20">
        <f>IF(AND(ISNUMBER(E1234),ISNUMBER(K1234)),E1234-K1234,NA())</f>
        <v/>
      </c>
      <c r="N1234" s="20">
        <f>IF(NOT(ISNUMBER($A1234)),NA(),IF(COUNT(OFFSET(G1234,1,0,Settings!$B$12,1))&lt;ROUNDUP(Settings!$B$12*Settings!$B$26,0),NA(),STDEV(OFFSET(G1234,1,0,Settings!$B$12,1))*SQRT(Settings!$B$13)))</f>
        <v/>
      </c>
      <c r="O1234" s="20">
        <f>IF(AND(ISNUMBER(E1234),ISNUMBER(N1234)),E1234-N1234,NA())</f>
        <v/>
      </c>
      <c r="P1234" s="19">
        <f>IF(NOT(ISNUMBER($A1234)),NA(),IF(OR($A1234&lt;MIN(KW_TP!$A$2:$A$2501),$A1234&gt;MAX(KW_TP!$A$2:$A$2501)),NA(),INDEX(KW_TP!$C$2:$C$2501,MATCH($A1234,KW_TP!$A$2:$A$2501,1))))</f>
        <v/>
      </c>
      <c r="Q1234" s="18">
        <f>IF(NOT(ISNUMBER($A1234)),NA(),IFERROR(1*INDEX(BBG_Data!$J$2:$J$4000,MATCH($A1234,BBG_Data!$I$2:$I$4000,0)),NA()))</f>
        <v/>
      </c>
      <c r="R1234" s="18">
        <f>IF(NOT(ISNUMBER($A1234)),NA(),IFERROR(1*INDEX(BBG_Data!$L$2:$L$4000,MATCH($A1234,BBG_Data!$K$2:$K$4000,0)),NA()))</f>
        <v/>
      </c>
      <c r="S1234" s="20">
        <f>IF(AND(ISNUMBER(B1234),ISNUMBER(Q1234),ISNUMBER(R1234)),(B1234-Q1234-R1234)*100,NA())</f>
        <v/>
      </c>
      <c r="T1234" s="20">
        <f>IF(AND(ISNUMBER(B1234),Settings!$B$17&gt;0),IF(ISNUMBER(INDEX($B:$B,Settings!$B$17)),(B1234-INDEX($B:$B,Settings!$B$17))*100,NA()),NA())</f>
        <v/>
      </c>
      <c r="U1234" s="20">
        <f>IF(AND(ISNUMBER(Q1234),Settings!$B$17&gt;0),IF(ISNUMBER(INDEX($Q:$Q,Settings!$B$17)),(Q1234-INDEX($Q:$Q,Settings!$B$17))*100,NA()),NA())</f>
        <v/>
      </c>
      <c r="V1234" s="20">
        <f>IF(AND(ISNUMBER(R1234),Settings!$B$17&gt;0),IF(ISNUMBER(INDEX($R:$R,Settings!$B$17)),(R1234-INDEX($R:$R,Settings!$B$17))*100,NA()),NA())</f>
        <v/>
      </c>
      <c r="W1234" s="20">
        <f>IF(AND(ISNUMBER(P1234),Settings!$B$17&gt;0),IF(ISNUMBER(INDEX($P:$P,Settings!$B$17)),P1234-INDEX($P:$P,Settings!$B$17),NA()),NA())</f>
        <v/>
      </c>
      <c r="X1234" s="19">
        <f>IF(NOT(ISNUMBER($A1234)),NA(),IF(OR($A1234&lt;MIN(DKW_10Y!$A$2:$A$2918),$A1234&gt;MAX(DKW_10Y!$A$2:$A$2918),Settings!$B$16&lt;MIN(DKW_10Y!$A$2:$A$2918)),NA(),(INDEX(DKW_10Y!$B$2:$B$2918,MATCH($A1234,DKW_10Y!$A$2:$A$2918,1))-INDEX(DKW_10Y!$B$2:$B$2918,MATCH(Settings!$B$16,DKW_10Y!$A$2:$A$2918,1)))*100))</f>
        <v/>
      </c>
      <c r="Y1234" s="19">
        <f>IF(NOT(ISNUMBER($A1234)),NA(),IF(OR($A1234&lt;MIN(DKW_10Y!$A$2:$A$2918),$A1234&gt;MAX(DKW_10Y!$A$2:$A$2918),Settings!$B$16&lt;MIN(DKW_10Y!$A$2:$A$2918)),NA(),(INDEX(DKW_10Y!$C$2:$C$2918,MATCH($A1234,DKW_10Y!$A$2:$A$2918,1))-INDEX(DKW_10Y!$C$2:$C$2918,MATCH(Settings!$B$16,DKW_10Y!$A$2:$A$2918,1)))*100))</f>
        <v/>
      </c>
      <c r="Z1234" s="19">
        <f>IF(NOT(ISNUMBER($A1234)),NA(),IF(OR($A1234&lt;MIN(DKW_10Y!$A$2:$A$2918),$A1234&gt;MAX(DKW_10Y!$A$2:$A$2918),Settings!$B$16&lt;MIN(DKW_10Y!$A$2:$A$2918)),NA(),(INDEX(DKW_10Y!$D$2:$D$2918,MATCH($A1234,DKW_10Y!$A$2:$A$2918,1))-INDEX(DKW_10Y!$D$2:$D$2918,MATCH(Settings!$B$16,DKW_10Y!$A$2:$A$2918,1)))*100))</f>
        <v/>
      </c>
      <c r="AA1234" s="19">
        <f>IF(NOT(ISNUMBER($A1234)),NA(),IF(OR($A1234&lt;MIN(DKW_10Y!$A$2:$A$2918),$A1234&gt;MAX(DKW_10Y!$A$2:$A$2918),Settings!$B$16&lt;MIN(DKW_10Y!$A$2:$A$2918)),NA(),(INDEX(DKW_10Y!$E$2:$E$2918,MATCH($A1234,DKW_10Y!$A$2:$A$2918,1))-INDEX(DKW_10Y!$E$2:$E$2918,MATCH(Settings!$B$16,DKW_10Y!$A$2:$A$2918,1)))*100))</f>
        <v/>
      </c>
      <c r="AB1234" s="19">
        <f>IF(NOT(ISNUMBER($A1234)),NA(),IF(OR($A1234&lt;MIN(DKW_10Y!$A$2:$A$2918),$A1234&gt;MAX(DKW_10Y!$A$2:$A$2918),Settings!$B$16&lt;MIN(DKW_10Y!$A$2:$A$2918)),NA(),(INDEX(DKW_10Y!$H$2:$H$2918,MATCH($A1234,DKW_10Y!$A$2:$A$2918,1))-INDEX(DKW_10Y!$H$2:$H$2918,MATCH(Settings!$B$16,DKW_10Y!$A$2:$A$2918,1)))*100))</f>
        <v/>
      </c>
      <c r="AC1234" s="18">
        <f>IF(NOT(ISNUMBER($A1234)),NA(),IFERROR(1*INDEX(BBG_Data!$N$2:$N$4000,MATCH($A1234,BBG_Data!$M$2:$M$4000,0)),NA()))</f>
        <v/>
      </c>
      <c r="AD1234" s="18">
        <f>IF(NOT(ISNUMBER($A1234)),NA(),IFERROR(1*INDEX(BBG_Data!$P$2:$P$4000,MATCH($A1234,BBG_Data!$O$2:$O$4000,0)),NA()))</f>
        <v/>
      </c>
      <c r="AE1234" s="18">
        <f>IF(NOT(ISNUMBER($A1234)),NA(),IFERROR(1*INDEX(BBG_Data!$R$2:$R$4000,MATCH($A1234,BBG_Data!$Q$2:$Q$4000,0)),NA()))</f>
        <v/>
      </c>
      <c r="AF1234" s="20">
        <f>IF(AND(ISNUMBER(B1234),ISNUMBER(AC1234)),(B1234-AC1234)*100,NA())</f>
        <v/>
      </c>
      <c r="AG1234" s="20">
        <f>IF(AND(ISNUMBER(AE1234),ISNUMBER(AD1234)),(AE1234-AD1234)*100,NA())</f>
        <v/>
      </c>
      <c r="AH1234" s="19">
        <f>IF(NOT(ISNUMBER($A1234)),NA(),IFERROR(INDEX(BBG_Data!$T$2:$T$4000,MATCH($A1234,BBG_Data!$S$2:$S$4000,0))*Settings!$B$25,NA()))</f>
        <v/>
      </c>
      <c r="AI1234" s="19">
        <f>IF(NOT(ISNUMBER($A1234)),NA(),IFERROR(INDEX(BBG_Data!$V$2:$V$4000,MATCH($A1234,BBG_Data!$U$2:$U$4000,0))*Settings!$B$25,NA()))</f>
        <v/>
      </c>
      <c r="AJ1234" s="19">
        <f>IF(NOT(ISNUMBER($A1234)),NA(),IFERROR(1*INDEX(BBG_Data!$X$2:$X$4000,MATCH($A1234,BBG_Data!$W$2:$W$4000,0)),NA()))</f>
        <v/>
      </c>
      <c r="AK1234" s="19">
        <f>IF(NOT(ISNUMBER($A1234)),NA(),IFERROR(1*INDEX(BBG_Data!$Z$2:$Z$4000,MATCH($A1234,BBG_Data!$Y$2:$Y$4000,0)),NA()))</f>
        <v/>
      </c>
    </row>
    <row r="1235">
      <c r="A1235" s="17">
        <f>IF(ISNUMBER(BBG_Data!A1235),BBG_Data!A1235,"")</f>
        <v/>
      </c>
      <c r="B1235" s="18">
        <f>IF(AND(ISNUMBER($A1235),ISNUMBER(BBG_Data!B1235)),BBG_Data!B1235,NA())</f>
        <v/>
      </c>
      <c r="C1235" s="18">
        <f>IF(NOT(ISNUMBER($A1235)),NA(),IFERROR(1*INDEX(BBG_Data!$D$2:$D$4000,MATCH($A1235,BBG_Data!$C$2:$C$4000,0)),NA()))</f>
        <v/>
      </c>
      <c r="D1235" s="19">
        <f>IF(NOT(ISNUMBER($A1235)),NA(),IFERROR(1*INDEX(BBG_Data!$F$2:$F$4000,MATCH($A1235,BBG_Data!$E$2:$E$4000,0)),NA()))</f>
        <v/>
      </c>
      <c r="E1235" s="19">
        <f>IF(NOT(ISNUMBER($A1235)),NA(),IFERROR(1*INDEX(BBG_Data!$H$2:$H$4000,MATCH($A1235,BBG_Data!$G$2:$G$4000,0)),NA()))</f>
        <v/>
      </c>
      <c r="F1235" s="20">
        <f>IF(AND(ISNUMBER(B1235),ISNUMBER(B1234)),IF(B1235=B1234,"",(B1235-B1234)*100),"")</f>
        <v/>
      </c>
      <c r="G1235" s="20">
        <f>IF(AND(ISNUMBER(C1235),ISNUMBER(C1234)),IF(C1235=C1234,"",(C1235-C1234)*100),"")</f>
        <v/>
      </c>
      <c r="H1235" s="20">
        <f>IF(OR(NOT(ISNUMBER($A1235)),ROW()-2&lt;Settings!$B$11),NA(),IF(COUNT(OFFSET(F1235,1-Settings!$B$11,0,Settings!$B$11,1))&lt;ROUNDUP(Settings!$B$11*Settings!$B$26,0),NA(),STDEV(OFFSET(F1235,1-Settings!$B$11,0,Settings!$B$11,1))*SQRT(Settings!$B$13)))</f>
        <v/>
      </c>
      <c r="I1235" s="20">
        <f>IF(OR(NOT(ISNUMBER($A1235)),ROW()-2&lt;Settings!$B$12),NA(),IF(COUNT(OFFSET(F1235,1-Settings!$B$12,0,Settings!$B$12,1))&lt;ROUNDUP(Settings!$B$12*Settings!$B$26,0),NA(),STDEV(OFFSET(F1235,1-Settings!$B$12,0,Settings!$B$12,1))*SQRT(Settings!$B$13)))</f>
        <v/>
      </c>
      <c r="J1235" s="20">
        <f>IF(OR(NOT(ISNUMBER($A1235)),ROW()-2&lt;Settings!$B$11),NA(),IF(COUNT(OFFSET(G1235,1-Settings!$B$11,0,Settings!$B$11,1))&lt;ROUNDUP(Settings!$B$11*Settings!$B$26,0),NA(),STDEV(OFFSET(G1235,1-Settings!$B$11,0,Settings!$B$11,1))*SQRT(Settings!$B$13)))</f>
        <v/>
      </c>
      <c r="K1235" s="20">
        <f>IF(OR(NOT(ISNUMBER($A1235)),ROW()-2&lt;Settings!$B$12),NA(),IF(COUNT(OFFSET(G1235,1-Settings!$B$12,0,Settings!$B$12,1))&lt;ROUNDUP(Settings!$B$12*Settings!$B$26,0),NA(),STDEV(OFFSET(G1235,1-Settings!$B$12,0,Settings!$B$12,1))*SQRT(Settings!$B$13)))</f>
        <v/>
      </c>
      <c r="L1235" s="20">
        <f>IF(AND(ISNUMBER(D1235),ISNUMBER(H1235)),D1235-H1235,NA())</f>
        <v/>
      </c>
      <c r="M1235" s="20">
        <f>IF(AND(ISNUMBER(E1235),ISNUMBER(K1235)),E1235-K1235,NA())</f>
        <v/>
      </c>
      <c r="N1235" s="20">
        <f>IF(NOT(ISNUMBER($A1235)),NA(),IF(COUNT(OFFSET(G1235,1,0,Settings!$B$12,1))&lt;ROUNDUP(Settings!$B$12*Settings!$B$26,0),NA(),STDEV(OFFSET(G1235,1,0,Settings!$B$12,1))*SQRT(Settings!$B$13)))</f>
        <v/>
      </c>
      <c r="O1235" s="20">
        <f>IF(AND(ISNUMBER(E1235),ISNUMBER(N1235)),E1235-N1235,NA())</f>
        <v/>
      </c>
      <c r="P1235" s="19">
        <f>IF(NOT(ISNUMBER($A1235)),NA(),IF(OR($A1235&lt;MIN(KW_TP!$A$2:$A$2501),$A1235&gt;MAX(KW_TP!$A$2:$A$2501)),NA(),INDEX(KW_TP!$C$2:$C$2501,MATCH($A1235,KW_TP!$A$2:$A$2501,1))))</f>
        <v/>
      </c>
      <c r="Q1235" s="18">
        <f>IF(NOT(ISNUMBER($A1235)),NA(),IFERROR(1*INDEX(BBG_Data!$J$2:$J$4000,MATCH($A1235,BBG_Data!$I$2:$I$4000,0)),NA()))</f>
        <v/>
      </c>
      <c r="R1235" s="18">
        <f>IF(NOT(ISNUMBER($A1235)),NA(),IFERROR(1*INDEX(BBG_Data!$L$2:$L$4000,MATCH($A1235,BBG_Data!$K$2:$K$4000,0)),NA()))</f>
        <v/>
      </c>
      <c r="S1235" s="20">
        <f>IF(AND(ISNUMBER(B1235),ISNUMBER(Q1235),ISNUMBER(R1235)),(B1235-Q1235-R1235)*100,NA())</f>
        <v/>
      </c>
      <c r="T1235" s="20">
        <f>IF(AND(ISNUMBER(B1235),Settings!$B$17&gt;0),IF(ISNUMBER(INDEX($B:$B,Settings!$B$17)),(B1235-INDEX($B:$B,Settings!$B$17))*100,NA()),NA())</f>
        <v/>
      </c>
      <c r="U1235" s="20">
        <f>IF(AND(ISNUMBER(Q1235),Settings!$B$17&gt;0),IF(ISNUMBER(INDEX($Q:$Q,Settings!$B$17)),(Q1235-INDEX($Q:$Q,Settings!$B$17))*100,NA()),NA())</f>
        <v/>
      </c>
      <c r="V1235" s="20">
        <f>IF(AND(ISNUMBER(R1235),Settings!$B$17&gt;0),IF(ISNUMBER(INDEX($R:$R,Settings!$B$17)),(R1235-INDEX($R:$R,Settings!$B$17))*100,NA()),NA())</f>
        <v/>
      </c>
      <c r="W1235" s="20">
        <f>IF(AND(ISNUMBER(P1235),Settings!$B$17&gt;0),IF(ISNUMBER(INDEX($P:$P,Settings!$B$17)),P1235-INDEX($P:$P,Settings!$B$17),NA()),NA())</f>
        <v/>
      </c>
      <c r="X1235" s="19">
        <f>IF(NOT(ISNUMBER($A1235)),NA(),IF(OR($A1235&lt;MIN(DKW_10Y!$A$2:$A$2918),$A1235&gt;MAX(DKW_10Y!$A$2:$A$2918),Settings!$B$16&lt;MIN(DKW_10Y!$A$2:$A$2918)),NA(),(INDEX(DKW_10Y!$B$2:$B$2918,MATCH($A1235,DKW_10Y!$A$2:$A$2918,1))-INDEX(DKW_10Y!$B$2:$B$2918,MATCH(Settings!$B$16,DKW_10Y!$A$2:$A$2918,1)))*100))</f>
        <v/>
      </c>
      <c r="Y1235" s="19">
        <f>IF(NOT(ISNUMBER($A1235)),NA(),IF(OR($A1235&lt;MIN(DKW_10Y!$A$2:$A$2918),$A1235&gt;MAX(DKW_10Y!$A$2:$A$2918),Settings!$B$16&lt;MIN(DKW_10Y!$A$2:$A$2918)),NA(),(INDEX(DKW_10Y!$C$2:$C$2918,MATCH($A1235,DKW_10Y!$A$2:$A$2918,1))-INDEX(DKW_10Y!$C$2:$C$2918,MATCH(Settings!$B$16,DKW_10Y!$A$2:$A$2918,1)))*100))</f>
        <v/>
      </c>
      <c r="Z1235" s="19">
        <f>IF(NOT(ISNUMBER($A1235)),NA(),IF(OR($A1235&lt;MIN(DKW_10Y!$A$2:$A$2918),$A1235&gt;MAX(DKW_10Y!$A$2:$A$2918),Settings!$B$16&lt;MIN(DKW_10Y!$A$2:$A$2918)),NA(),(INDEX(DKW_10Y!$D$2:$D$2918,MATCH($A1235,DKW_10Y!$A$2:$A$2918,1))-INDEX(DKW_10Y!$D$2:$D$2918,MATCH(Settings!$B$16,DKW_10Y!$A$2:$A$2918,1)))*100))</f>
        <v/>
      </c>
      <c r="AA1235" s="19">
        <f>IF(NOT(ISNUMBER($A1235)),NA(),IF(OR($A1235&lt;MIN(DKW_10Y!$A$2:$A$2918),$A1235&gt;MAX(DKW_10Y!$A$2:$A$2918),Settings!$B$16&lt;MIN(DKW_10Y!$A$2:$A$2918)),NA(),(INDEX(DKW_10Y!$E$2:$E$2918,MATCH($A1235,DKW_10Y!$A$2:$A$2918,1))-INDEX(DKW_10Y!$E$2:$E$2918,MATCH(Settings!$B$16,DKW_10Y!$A$2:$A$2918,1)))*100))</f>
        <v/>
      </c>
      <c r="AB1235" s="19">
        <f>IF(NOT(ISNUMBER($A1235)),NA(),IF(OR($A1235&lt;MIN(DKW_10Y!$A$2:$A$2918),$A1235&gt;MAX(DKW_10Y!$A$2:$A$2918),Settings!$B$16&lt;MIN(DKW_10Y!$A$2:$A$2918)),NA(),(INDEX(DKW_10Y!$H$2:$H$2918,MATCH($A1235,DKW_10Y!$A$2:$A$2918,1))-INDEX(DKW_10Y!$H$2:$H$2918,MATCH(Settings!$B$16,DKW_10Y!$A$2:$A$2918,1)))*100))</f>
        <v/>
      </c>
      <c r="AC1235" s="18">
        <f>IF(NOT(ISNUMBER($A1235)),NA(),IFERROR(1*INDEX(BBG_Data!$N$2:$N$4000,MATCH($A1235,BBG_Data!$M$2:$M$4000,0)),NA()))</f>
        <v/>
      </c>
      <c r="AD1235" s="18">
        <f>IF(NOT(ISNUMBER($A1235)),NA(),IFERROR(1*INDEX(BBG_Data!$P$2:$P$4000,MATCH($A1235,BBG_Data!$O$2:$O$4000,0)),NA()))</f>
        <v/>
      </c>
      <c r="AE1235" s="18">
        <f>IF(NOT(ISNUMBER($A1235)),NA(),IFERROR(1*INDEX(BBG_Data!$R$2:$R$4000,MATCH($A1235,BBG_Data!$Q$2:$Q$4000,0)),NA()))</f>
        <v/>
      </c>
      <c r="AF1235" s="20">
        <f>IF(AND(ISNUMBER(B1235),ISNUMBER(AC1235)),(B1235-AC1235)*100,NA())</f>
        <v/>
      </c>
      <c r="AG1235" s="20">
        <f>IF(AND(ISNUMBER(AE1235),ISNUMBER(AD1235)),(AE1235-AD1235)*100,NA())</f>
        <v/>
      </c>
      <c r="AH1235" s="19">
        <f>IF(NOT(ISNUMBER($A1235)),NA(),IFERROR(INDEX(BBG_Data!$T$2:$T$4000,MATCH($A1235,BBG_Data!$S$2:$S$4000,0))*Settings!$B$25,NA()))</f>
        <v/>
      </c>
      <c r="AI1235" s="19">
        <f>IF(NOT(ISNUMBER($A1235)),NA(),IFERROR(INDEX(BBG_Data!$V$2:$V$4000,MATCH($A1235,BBG_Data!$U$2:$U$4000,0))*Settings!$B$25,NA()))</f>
        <v/>
      </c>
      <c r="AJ1235" s="19">
        <f>IF(NOT(ISNUMBER($A1235)),NA(),IFERROR(1*INDEX(BBG_Data!$X$2:$X$4000,MATCH($A1235,BBG_Data!$W$2:$W$4000,0)),NA()))</f>
        <v/>
      </c>
      <c r="AK1235" s="19">
        <f>IF(NOT(ISNUMBER($A1235)),NA(),IFERROR(1*INDEX(BBG_Data!$Z$2:$Z$4000,MATCH($A1235,BBG_Data!$Y$2:$Y$4000,0)),NA()))</f>
        <v/>
      </c>
    </row>
    <row r="1236">
      <c r="A1236" s="17">
        <f>IF(ISNUMBER(BBG_Data!A1236),BBG_Data!A1236,"")</f>
        <v/>
      </c>
      <c r="B1236" s="18">
        <f>IF(AND(ISNUMBER($A1236),ISNUMBER(BBG_Data!B1236)),BBG_Data!B1236,NA())</f>
        <v/>
      </c>
      <c r="C1236" s="18">
        <f>IF(NOT(ISNUMBER($A1236)),NA(),IFERROR(1*INDEX(BBG_Data!$D$2:$D$4000,MATCH($A1236,BBG_Data!$C$2:$C$4000,0)),NA()))</f>
        <v/>
      </c>
      <c r="D1236" s="19">
        <f>IF(NOT(ISNUMBER($A1236)),NA(),IFERROR(1*INDEX(BBG_Data!$F$2:$F$4000,MATCH($A1236,BBG_Data!$E$2:$E$4000,0)),NA()))</f>
        <v/>
      </c>
      <c r="E1236" s="19">
        <f>IF(NOT(ISNUMBER($A1236)),NA(),IFERROR(1*INDEX(BBG_Data!$H$2:$H$4000,MATCH($A1236,BBG_Data!$G$2:$G$4000,0)),NA()))</f>
        <v/>
      </c>
      <c r="F1236" s="20">
        <f>IF(AND(ISNUMBER(B1236),ISNUMBER(B1235)),IF(B1236=B1235,"",(B1236-B1235)*100),"")</f>
        <v/>
      </c>
      <c r="G1236" s="20">
        <f>IF(AND(ISNUMBER(C1236),ISNUMBER(C1235)),IF(C1236=C1235,"",(C1236-C1235)*100),"")</f>
        <v/>
      </c>
      <c r="H1236" s="20">
        <f>IF(OR(NOT(ISNUMBER($A1236)),ROW()-2&lt;Settings!$B$11),NA(),IF(COUNT(OFFSET(F1236,1-Settings!$B$11,0,Settings!$B$11,1))&lt;ROUNDUP(Settings!$B$11*Settings!$B$26,0),NA(),STDEV(OFFSET(F1236,1-Settings!$B$11,0,Settings!$B$11,1))*SQRT(Settings!$B$13)))</f>
        <v/>
      </c>
      <c r="I1236" s="20">
        <f>IF(OR(NOT(ISNUMBER($A1236)),ROW()-2&lt;Settings!$B$12),NA(),IF(COUNT(OFFSET(F1236,1-Settings!$B$12,0,Settings!$B$12,1))&lt;ROUNDUP(Settings!$B$12*Settings!$B$26,0),NA(),STDEV(OFFSET(F1236,1-Settings!$B$12,0,Settings!$B$12,1))*SQRT(Settings!$B$13)))</f>
        <v/>
      </c>
      <c r="J1236" s="20">
        <f>IF(OR(NOT(ISNUMBER($A1236)),ROW()-2&lt;Settings!$B$11),NA(),IF(COUNT(OFFSET(G1236,1-Settings!$B$11,0,Settings!$B$11,1))&lt;ROUNDUP(Settings!$B$11*Settings!$B$26,0),NA(),STDEV(OFFSET(G1236,1-Settings!$B$11,0,Settings!$B$11,1))*SQRT(Settings!$B$13)))</f>
        <v/>
      </c>
      <c r="K1236" s="20">
        <f>IF(OR(NOT(ISNUMBER($A1236)),ROW()-2&lt;Settings!$B$12),NA(),IF(COUNT(OFFSET(G1236,1-Settings!$B$12,0,Settings!$B$12,1))&lt;ROUNDUP(Settings!$B$12*Settings!$B$26,0),NA(),STDEV(OFFSET(G1236,1-Settings!$B$12,0,Settings!$B$12,1))*SQRT(Settings!$B$13)))</f>
        <v/>
      </c>
      <c r="L1236" s="20">
        <f>IF(AND(ISNUMBER(D1236),ISNUMBER(H1236)),D1236-H1236,NA())</f>
        <v/>
      </c>
      <c r="M1236" s="20">
        <f>IF(AND(ISNUMBER(E1236),ISNUMBER(K1236)),E1236-K1236,NA())</f>
        <v/>
      </c>
      <c r="N1236" s="20">
        <f>IF(NOT(ISNUMBER($A1236)),NA(),IF(COUNT(OFFSET(G1236,1,0,Settings!$B$12,1))&lt;ROUNDUP(Settings!$B$12*Settings!$B$26,0),NA(),STDEV(OFFSET(G1236,1,0,Settings!$B$12,1))*SQRT(Settings!$B$13)))</f>
        <v/>
      </c>
      <c r="O1236" s="20">
        <f>IF(AND(ISNUMBER(E1236),ISNUMBER(N1236)),E1236-N1236,NA())</f>
        <v/>
      </c>
      <c r="P1236" s="19">
        <f>IF(NOT(ISNUMBER($A1236)),NA(),IF(OR($A1236&lt;MIN(KW_TP!$A$2:$A$2501),$A1236&gt;MAX(KW_TP!$A$2:$A$2501)),NA(),INDEX(KW_TP!$C$2:$C$2501,MATCH($A1236,KW_TP!$A$2:$A$2501,1))))</f>
        <v/>
      </c>
      <c r="Q1236" s="18">
        <f>IF(NOT(ISNUMBER($A1236)),NA(),IFERROR(1*INDEX(BBG_Data!$J$2:$J$4000,MATCH($A1236,BBG_Data!$I$2:$I$4000,0)),NA()))</f>
        <v/>
      </c>
      <c r="R1236" s="18">
        <f>IF(NOT(ISNUMBER($A1236)),NA(),IFERROR(1*INDEX(BBG_Data!$L$2:$L$4000,MATCH($A1236,BBG_Data!$K$2:$K$4000,0)),NA()))</f>
        <v/>
      </c>
      <c r="S1236" s="20">
        <f>IF(AND(ISNUMBER(B1236),ISNUMBER(Q1236),ISNUMBER(R1236)),(B1236-Q1236-R1236)*100,NA())</f>
        <v/>
      </c>
      <c r="T1236" s="20">
        <f>IF(AND(ISNUMBER(B1236),Settings!$B$17&gt;0),IF(ISNUMBER(INDEX($B:$B,Settings!$B$17)),(B1236-INDEX($B:$B,Settings!$B$17))*100,NA()),NA())</f>
        <v/>
      </c>
      <c r="U1236" s="20">
        <f>IF(AND(ISNUMBER(Q1236),Settings!$B$17&gt;0),IF(ISNUMBER(INDEX($Q:$Q,Settings!$B$17)),(Q1236-INDEX($Q:$Q,Settings!$B$17))*100,NA()),NA())</f>
        <v/>
      </c>
      <c r="V1236" s="20">
        <f>IF(AND(ISNUMBER(R1236),Settings!$B$17&gt;0),IF(ISNUMBER(INDEX($R:$R,Settings!$B$17)),(R1236-INDEX($R:$R,Settings!$B$17))*100,NA()),NA())</f>
        <v/>
      </c>
      <c r="W1236" s="20">
        <f>IF(AND(ISNUMBER(P1236),Settings!$B$17&gt;0),IF(ISNUMBER(INDEX($P:$P,Settings!$B$17)),P1236-INDEX($P:$P,Settings!$B$17),NA()),NA())</f>
        <v/>
      </c>
      <c r="X1236" s="19">
        <f>IF(NOT(ISNUMBER($A1236)),NA(),IF(OR($A1236&lt;MIN(DKW_10Y!$A$2:$A$2918),$A1236&gt;MAX(DKW_10Y!$A$2:$A$2918),Settings!$B$16&lt;MIN(DKW_10Y!$A$2:$A$2918)),NA(),(INDEX(DKW_10Y!$B$2:$B$2918,MATCH($A1236,DKW_10Y!$A$2:$A$2918,1))-INDEX(DKW_10Y!$B$2:$B$2918,MATCH(Settings!$B$16,DKW_10Y!$A$2:$A$2918,1)))*100))</f>
        <v/>
      </c>
      <c r="Y1236" s="19">
        <f>IF(NOT(ISNUMBER($A1236)),NA(),IF(OR($A1236&lt;MIN(DKW_10Y!$A$2:$A$2918),$A1236&gt;MAX(DKW_10Y!$A$2:$A$2918),Settings!$B$16&lt;MIN(DKW_10Y!$A$2:$A$2918)),NA(),(INDEX(DKW_10Y!$C$2:$C$2918,MATCH($A1236,DKW_10Y!$A$2:$A$2918,1))-INDEX(DKW_10Y!$C$2:$C$2918,MATCH(Settings!$B$16,DKW_10Y!$A$2:$A$2918,1)))*100))</f>
        <v/>
      </c>
      <c r="Z1236" s="19">
        <f>IF(NOT(ISNUMBER($A1236)),NA(),IF(OR($A1236&lt;MIN(DKW_10Y!$A$2:$A$2918),$A1236&gt;MAX(DKW_10Y!$A$2:$A$2918),Settings!$B$16&lt;MIN(DKW_10Y!$A$2:$A$2918)),NA(),(INDEX(DKW_10Y!$D$2:$D$2918,MATCH($A1236,DKW_10Y!$A$2:$A$2918,1))-INDEX(DKW_10Y!$D$2:$D$2918,MATCH(Settings!$B$16,DKW_10Y!$A$2:$A$2918,1)))*100))</f>
        <v/>
      </c>
      <c r="AA1236" s="19">
        <f>IF(NOT(ISNUMBER($A1236)),NA(),IF(OR($A1236&lt;MIN(DKW_10Y!$A$2:$A$2918),$A1236&gt;MAX(DKW_10Y!$A$2:$A$2918),Settings!$B$16&lt;MIN(DKW_10Y!$A$2:$A$2918)),NA(),(INDEX(DKW_10Y!$E$2:$E$2918,MATCH($A1236,DKW_10Y!$A$2:$A$2918,1))-INDEX(DKW_10Y!$E$2:$E$2918,MATCH(Settings!$B$16,DKW_10Y!$A$2:$A$2918,1)))*100))</f>
        <v/>
      </c>
      <c r="AB1236" s="19">
        <f>IF(NOT(ISNUMBER($A1236)),NA(),IF(OR($A1236&lt;MIN(DKW_10Y!$A$2:$A$2918),$A1236&gt;MAX(DKW_10Y!$A$2:$A$2918),Settings!$B$16&lt;MIN(DKW_10Y!$A$2:$A$2918)),NA(),(INDEX(DKW_10Y!$H$2:$H$2918,MATCH($A1236,DKW_10Y!$A$2:$A$2918,1))-INDEX(DKW_10Y!$H$2:$H$2918,MATCH(Settings!$B$16,DKW_10Y!$A$2:$A$2918,1)))*100))</f>
        <v/>
      </c>
      <c r="AC1236" s="18">
        <f>IF(NOT(ISNUMBER($A1236)),NA(),IFERROR(1*INDEX(BBG_Data!$N$2:$N$4000,MATCH($A1236,BBG_Data!$M$2:$M$4000,0)),NA()))</f>
        <v/>
      </c>
      <c r="AD1236" s="18">
        <f>IF(NOT(ISNUMBER($A1236)),NA(),IFERROR(1*INDEX(BBG_Data!$P$2:$P$4000,MATCH($A1236,BBG_Data!$O$2:$O$4000,0)),NA()))</f>
        <v/>
      </c>
      <c r="AE1236" s="18">
        <f>IF(NOT(ISNUMBER($A1236)),NA(),IFERROR(1*INDEX(BBG_Data!$R$2:$R$4000,MATCH($A1236,BBG_Data!$Q$2:$Q$4000,0)),NA()))</f>
        <v/>
      </c>
      <c r="AF1236" s="20">
        <f>IF(AND(ISNUMBER(B1236),ISNUMBER(AC1236)),(B1236-AC1236)*100,NA())</f>
        <v/>
      </c>
      <c r="AG1236" s="20">
        <f>IF(AND(ISNUMBER(AE1236),ISNUMBER(AD1236)),(AE1236-AD1236)*100,NA())</f>
        <v/>
      </c>
      <c r="AH1236" s="19">
        <f>IF(NOT(ISNUMBER($A1236)),NA(),IFERROR(INDEX(BBG_Data!$T$2:$T$4000,MATCH($A1236,BBG_Data!$S$2:$S$4000,0))*Settings!$B$25,NA()))</f>
        <v/>
      </c>
      <c r="AI1236" s="19">
        <f>IF(NOT(ISNUMBER($A1236)),NA(),IFERROR(INDEX(BBG_Data!$V$2:$V$4000,MATCH($A1236,BBG_Data!$U$2:$U$4000,0))*Settings!$B$25,NA()))</f>
        <v/>
      </c>
      <c r="AJ1236" s="19">
        <f>IF(NOT(ISNUMBER($A1236)),NA(),IFERROR(1*INDEX(BBG_Data!$X$2:$X$4000,MATCH($A1236,BBG_Data!$W$2:$W$4000,0)),NA()))</f>
        <v/>
      </c>
      <c r="AK1236" s="19">
        <f>IF(NOT(ISNUMBER($A1236)),NA(),IFERROR(1*INDEX(BBG_Data!$Z$2:$Z$4000,MATCH($A1236,BBG_Data!$Y$2:$Y$4000,0)),NA()))</f>
        <v/>
      </c>
    </row>
    <row r="1237">
      <c r="A1237" s="17">
        <f>IF(ISNUMBER(BBG_Data!A1237),BBG_Data!A1237,"")</f>
        <v/>
      </c>
      <c r="B1237" s="18">
        <f>IF(AND(ISNUMBER($A1237),ISNUMBER(BBG_Data!B1237)),BBG_Data!B1237,NA())</f>
        <v/>
      </c>
      <c r="C1237" s="18">
        <f>IF(NOT(ISNUMBER($A1237)),NA(),IFERROR(1*INDEX(BBG_Data!$D$2:$D$4000,MATCH($A1237,BBG_Data!$C$2:$C$4000,0)),NA()))</f>
        <v/>
      </c>
      <c r="D1237" s="19">
        <f>IF(NOT(ISNUMBER($A1237)),NA(),IFERROR(1*INDEX(BBG_Data!$F$2:$F$4000,MATCH($A1237,BBG_Data!$E$2:$E$4000,0)),NA()))</f>
        <v/>
      </c>
      <c r="E1237" s="19">
        <f>IF(NOT(ISNUMBER($A1237)),NA(),IFERROR(1*INDEX(BBG_Data!$H$2:$H$4000,MATCH($A1237,BBG_Data!$G$2:$G$4000,0)),NA()))</f>
        <v/>
      </c>
      <c r="F1237" s="20">
        <f>IF(AND(ISNUMBER(B1237),ISNUMBER(B1236)),IF(B1237=B1236,"",(B1237-B1236)*100),"")</f>
        <v/>
      </c>
      <c r="G1237" s="20">
        <f>IF(AND(ISNUMBER(C1237),ISNUMBER(C1236)),IF(C1237=C1236,"",(C1237-C1236)*100),"")</f>
        <v/>
      </c>
      <c r="H1237" s="20">
        <f>IF(OR(NOT(ISNUMBER($A1237)),ROW()-2&lt;Settings!$B$11),NA(),IF(COUNT(OFFSET(F1237,1-Settings!$B$11,0,Settings!$B$11,1))&lt;ROUNDUP(Settings!$B$11*Settings!$B$26,0),NA(),STDEV(OFFSET(F1237,1-Settings!$B$11,0,Settings!$B$11,1))*SQRT(Settings!$B$13)))</f>
        <v/>
      </c>
      <c r="I1237" s="20">
        <f>IF(OR(NOT(ISNUMBER($A1237)),ROW()-2&lt;Settings!$B$12),NA(),IF(COUNT(OFFSET(F1237,1-Settings!$B$12,0,Settings!$B$12,1))&lt;ROUNDUP(Settings!$B$12*Settings!$B$26,0),NA(),STDEV(OFFSET(F1237,1-Settings!$B$12,0,Settings!$B$12,1))*SQRT(Settings!$B$13)))</f>
        <v/>
      </c>
      <c r="J1237" s="20">
        <f>IF(OR(NOT(ISNUMBER($A1237)),ROW()-2&lt;Settings!$B$11),NA(),IF(COUNT(OFFSET(G1237,1-Settings!$B$11,0,Settings!$B$11,1))&lt;ROUNDUP(Settings!$B$11*Settings!$B$26,0),NA(),STDEV(OFFSET(G1237,1-Settings!$B$11,0,Settings!$B$11,1))*SQRT(Settings!$B$13)))</f>
        <v/>
      </c>
      <c r="K1237" s="20">
        <f>IF(OR(NOT(ISNUMBER($A1237)),ROW()-2&lt;Settings!$B$12),NA(),IF(COUNT(OFFSET(G1237,1-Settings!$B$12,0,Settings!$B$12,1))&lt;ROUNDUP(Settings!$B$12*Settings!$B$26,0),NA(),STDEV(OFFSET(G1237,1-Settings!$B$12,0,Settings!$B$12,1))*SQRT(Settings!$B$13)))</f>
        <v/>
      </c>
      <c r="L1237" s="20">
        <f>IF(AND(ISNUMBER(D1237),ISNUMBER(H1237)),D1237-H1237,NA())</f>
        <v/>
      </c>
      <c r="M1237" s="20">
        <f>IF(AND(ISNUMBER(E1237),ISNUMBER(K1237)),E1237-K1237,NA())</f>
        <v/>
      </c>
      <c r="N1237" s="20">
        <f>IF(NOT(ISNUMBER($A1237)),NA(),IF(COUNT(OFFSET(G1237,1,0,Settings!$B$12,1))&lt;ROUNDUP(Settings!$B$12*Settings!$B$26,0),NA(),STDEV(OFFSET(G1237,1,0,Settings!$B$12,1))*SQRT(Settings!$B$13)))</f>
        <v/>
      </c>
      <c r="O1237" s="20">
        <f>IF(AND(ISNUMBER(E1237),ISNUMBER(N1237)),E1237-N1237,NA())</f>
        <v/>
      </c>
      <c r="P1237" s="19">
        <f>IF(NOT(ISNUMBER($A1237)),NA(),IF(OR($A1237&lt;MIN(KW_TP!$A$2:$A$2501),$A1237&gt;MAX(KW_TP!$A$2:$A$2501)),NA(),INDEX(KW_TP!$C$2:$C$2501,MATCH($A1237,KW_TP!$A$2:$A$2501,1))))</f>
        <v/>
      </c>
      <c r="Q1237" s="18">
        <f>IF(NOT(ISNUMBER($A1237)),NA(),IFERROR(1*INDEX(BBG_Data!$J$2:$J$4000,MATCH($A1237,BBG_Data!$I$2:$I$4000,0)),NA()))</f>
        <v/>
      </c>
      <c r="R1237" s="18">
        <f>IF(NOT(ISNUMBER($A1237)),NA(),IFERROR(1*INDEX(BBG_Data!$L$2:$L$4000,MATCH($A1237,BBG_Data!$K$2:$K$4000,0)),NA()))</f>
        <v/>
      </c>
      <c r="S1237" s="20">
        <f>IF(AND(ISNUMBER(B1237),ISNUMBER(Q1237),ISNUMBER(R1237)),(B1237-Q1237-R1237)*100,NA())</f>
        <v/>
      </c>
      <c r="T1237" s="20">
        <f>IF(AND(ISNUMBER(B1237),Settings!$B$17&gt;0),IF(ISNUMBER(INDEX($B:$B,Settings!$B$17)),(B1237-INDEX($B:$B,Settings!$B$17))*100,NA()),NA())</f>
        <v/>
      </c>
      <c r="U1237" s="20">
        <f>IF(AND(ISNUMBER(Q1237),Settings!$B$17&gt;0),IF(ISNUMBER(INDEX($Q:$Q,Settings!$B$17)),(Q1237-INDEX($Q:$Q,Settings!$B$17))*100,NA()),NA())</f>
        <v/>
      </c>
      <c r="V1237" s="20">
        <f>IF(AND(ISNUMBER(R1237),Settings!$B$17&gt;0),IF(ISNUMBER(INDEX($R:$R,Settings!$B$17)),(R1237-INDEX($R:$R,Settings!$B$17))*100,NA()),NA())</f>
        <v/>
      </c>
      <c r="W1237" s="20">
        <f>IF(AND(ISNUMBER(P1237),Settings!$B$17&gt;0),IF(ISNUMBER(INDEX($P:$P,Settings!$B$17)),P1237-INDEX($P:$P,Settings!$B$17),NA()),NA())</f>
        <v/>
      </c>
      <c r="X1237" s="19">
        <f>IF(NOT(ISNUMBER($A1237)),NA(),IF(OR($A1237&lt;MIN(DKW_10Y!$A$2:$A$2918),$A1237&gt;MAX(DKW_10Y!$A$2:$A$2918),Settings!$B$16&lt;MIN(DKW_10Y!$A$2:$A$2918)),NA(),(INDEX(DKW_10Y!$B$2:$B$2918,MATCH($A1237,DKW_10Y!$A$2:$A$2918,1))-INDEX(DKW_10Y!$B$2:$B$2918,MATCH(Settings!$B$16,DKW_10Y!$A$2:$A$2918,1)))*100))</f>
        <v/>
      </c>
      <c r="Y1237" s="19">
        <f>IF(NOT(ISNUMBER($A1237)),NA(),IF(OR($A1237&lt;MIN(DKW_10Y!$A$2:$A$2918),$A1237&gt;MAX(DKW_10Y!$A$2:$A$2918),Settings!$B$16&lt;MIN(DKW_10Y!$A$2:$A$2918)),NA(),(INDEX(DKW_10Y!$C$2:$C$2918,MATCH($A1237,DKW_10Y!$A$2:$A$2918,1))-INDEX(DKW_10Y!$C$2:$C$2918,MATCH(Settings!$B$16,DKW_10Y!$A$2:$A$2918,1)))*100))</f>
        <v/>
      </c>
      <c r="Z1237" s="19">
        <f>IF(NOT(ISNUMBER($A1237)),NA(),IF(OR($A1237&lt;MIN(DKW_10Y!$A$2:$A$2918),$A1237&gt;MAX(DKW_10Y!$A$2:$A$2918),Settings!$B$16&lt;MIN(DKW_10Y!$A$2:$A$2918)),NA(),(INDEX(DKW_10Y!$D$2:$D$2918,MATCH($A1237,DKW_10Y!$A$2:$A$2918,1))-INDEX(DKW_10Y!$D$2:$D$2918,MATCH(Settings!$B$16,DKW_10Y!$A$2:$A$2918,1)))*100))</f>
        <v/>
      </c>
      <c r="AA1237" s="19">
        <f>IF(NOT(ISNUMBER($A1237)),NA(),IF(OR($A1237&lt;MIN(DKW_10Y!$A$2:$A$2918),$A1237&gt;MAX(DKW_10Y!$A$2:$A$2918),Settings!$B$16&lt;MIN(DKW_10Y!$A$2:$A$2918)),NA(),(INDEX(DKW_10Y!$E$2:$E$2918,MATCH($A1237,DKW_10Y!$A$2:$A$2918,1))-INDEX(DKW_10Y!$E$2:$E$2918,MATCH(Settings!$B$16,DKW_10Y!$A$2:$A$2918,1)))*100))</f>
        <v/>
      </c>
      <c r="AB1237" s="19">
        <f>IF(NOT(ISNUMBER($A1237)),NA(),IF(OR($A1237&lt;MIN(DKW_10Y!$A$2:$A$2918),$A1237&gt;MAX(DKW_10Y!$A$2:$A$2918),Settings!$B$16&lt;MIN(DKW_10Y!$A$2:$A$2918)),NA(),(INDEX(DKW_10Y!$H$2:$H$2918,MATCH($A1237,DKW_10Y!$A$2:$A$2918,1))-INDEX(DKW_10Y!$H$2:$H$2918,MATCH(Settings!$B$16,DKW_10Y!$A$2:$A$2918,1)))*100))</f>
        <v/>
      </c>
      <c r="AC1237" s="18">
        <f>IF(NOT(ISNUMBER($A1237)),NA(),IFERROR(1*INDEX(BBG_Data!$N$2:$N$4000,MATCH($A1237,BBG_Data!$M$2:$M$4000,0)),NA()))</f>
        <v/>
      </c>
      <c r="AD1237" s="18">
        <f>IF(NOT(ISNUMBER($A1237)),NA(),IFERROR(1*INDEX(BBG_Data!$P$2:$P$4000,MATCH($A1237,BBG_Data!$O$2:$O$4000,0)),NA()))</f>
        <v/>
      </c>
      <c r="AE1237" s="18">
        <f>IF(NOT(ISNUMBER($A1237)),NA(),IFERROR(1*INDEX(BBG_Data!$R$2:$R$4000,MATCH($A1237,BBG_Data!$Q$2:$Q$4000,0)),NA()))</f>
        <v/>
      </c>
      <c r="AF1237" s="20">
        <f>IF(AND(ISNUMBER(B1237),ISNUMBER(AC1237)),(B1237-AC1237)*100,NA())</f>
        <v/>
      </c>
      <c r="AG1237" s="20">
        <f>IF(AND(ISNUMBER(AE1237),ISNUMBER(AD1237)),(AE1237-AD1237)*100,NA())</f>
        <v/>
      </c>
      <c r="AH1237" s="19">
        <f>IF(NOT(ISNUMBER($A1237)),NA(),IFERROR(INDEX(BBG_Data!$T$2:$T$4000,MATCH($A1237,BBG_Data!$S$2:$S$4000,0))*Settings!$B$25,NA()))</f>
        <v/>
      </c>
      <c r="AI1237" s="19">
        <f>IF(NOT(ISNUMBER($A1237)),NA(),IFERROR(INDEX(BBG_Data!$V$2:$V$4000,MATCH($A1237,BBG_Data!$U$2:$U$4000,0))*Settings!$B$25,NA()))</f>
        <v/>
      </c>
      <c r="AJ1237" s="19">
        <f>IF(NOT(ISNUMBER($A1237)),NA(),IFERROR(1*INDEX(BBG_Data!$X$2:$X$4000,MATCH($A1237,BBG_Data!$W$2:$W$4000,0)),NA()))</f>
        <v/>
      </c>
      <c r="AK1237" s="19">
        <f>IF(NOT(ISNUMBER($A1237)),NA(),IFERROR(1*INDEX(BBG_Data!$Z$2:$Z$4000,MATCH($A1237,BBG_Data!$Y$2:$Y$4000,0)),NA()))</f>
        <v/>
      </c>
    </row>
    <row r="1238">
      <c r="A1238" s="17">
        <f>IF(ISNUMBER(BBG_Data!A1238),BBG_Data!A1238,"")</f>
        <v/>
      </c>
      <c r="B1238" s="18">
        <f>IF(AND(ISNUMBER($A1238),ISNUMBER(BBG_Data!B1238)),BBG_Data!B1238,NA())</f>
        <v/>
      </c>
      <c r="C1238" s="18">
        <f>IF(NOT(ISNUMBER($A1238)),NA(),IFERROR(1*INDEX(BBG_Data!$D$2:$D$4000,MATCH($A1238,BBG_Data!$C$2:$C$4000,0)),NA()))</f>
        <v/>
      </c>
      <c r="D1238" s="19">
        <f>IF(NOT(ISNUMBER($A1238)),NA(),IFERROR(1*INDEX(BBG_Data!$F$2:$F$4000,MATCH($A1238,BBG_Data!$E$2:$E$4000,0)),NA()))</f>
        <v/>
      </c>
      <c r="E1238" s="19">
        <f>IF(NOT(ISNUMBER($A1238)),NA(),IFERROR(1*INDEX(BBG_Data!$H$2:$H$4000,MATCH($A1238,BBG_Data!$G$2:$G$4000,0)),NA()))</f>
        <v/>
      </c>
      <c r="F1238" s="20">
        <f>IF(AND(ISNUMBER(B1238),ISNUMBER(B1237)),IF(B1238=B1237,"",(B1238-B1237)*100),"")</f>
        <v/>
      </c>
      <c r="G1238" s="20">
        <f>IF(AND(ISNUMBER(C1238),ISNUMBER(C1237)),IF(C1238=C1237,"",(C1238-C1237)*100),"")</f>
        <v/>
      </c>
      <c r="H1238" s="20">
        <f>IF(OR(NOT(ISNUMBER($A1238)),ROW()-2&lt;Settings!$B$11),NA(),IF(COUNT(OFFSET(F1238,1-Settings!$B$11,0,Settings!$B$11,1))&lt;ROUNDUP(Settings!$B$11*Settings!$B$26,0),NA(),STDEV(OFFSET(F1238,1-Settings!$B$11,0,Settings!$B$11,1))*SQRT(Settings!$B$13)))</f>
        <v/>
      </c>
      <c r="I1238" s="20">
        <f>IF(OR(NOT(ISNUMBER($A1238)),ROW()-2&lt;Settings!$B$12),NA(),IF(COUNT(OFFSET(F1238,1-Settings!$B$12,0,Settings!$B$12,1))&lt;ROUNDUP(Settings!$B$12*Settings!$B$26,0),NA(),STDEV(OFFSET(F1238,1-Settings!$B$12,0,Settings!$B$12,1))*SQRT(Settings!$B$13)))</f>
        <v/>
      </c>
      <c r="J1238" s="20">
        <f>IF(OR(NOT(ISNUMBER($A1238)),ROW()-2&lt;Settings!$B$11),NA(),IF(COUNT(OFFSET(G1238,1-Settings!$B$11,0,Settings!$B$11,1))&lt;ROUNDUP(Settings!$B$11*Settings!$B$26,0),NA(),STDEV(OFFSET(G1238,1-Settings!$B$11,0,Settings!$B$11,1))*SQRT(Settings!$B$13)))</f>
        <v/>
      </c>
      <c r="K1238" s="20">
        <f>IF(OR(NOT(ISNUMBER($A1238)),ROW()-2&lt;Settings!$B$12),NA(),IF(COUNT(OFFSET(G1238,1-Settings!$B$12,0,Settings!$B$12,1))&lt;ROUNDUP(Settings!$B$12*Settings!$B$26,0),NA(),STDEV(OFFSET(G1238,1-Settings!$B$12,0,Settings!$B$12,1))*SQRT(Settings!$B$13)))</f>
        <v/>
      </c>
      <c r="L1238" s="20">
        <f>IF(AND(ISNUMBER(D1238),ISNUMBER(H1238)),D1238-H1238,NA())</f>
        <v/>
      </c>
      <c r="M1238" s="20">
        <f>IF(AND(ISNUMBER(E1238),ISNUMBER(K1238)),E1238-K1238,NA())</f>
        <v/>
      </c>
      <c r="N1238" s="20">
        <f>IF(NOT(ISNUMBER($A1238)),NA(),IF(COUNT(OFFSET(G1238,1,0,Settings!$B$12,1))&lt;ROUNDUP(Settings!$B$12*Settings!$B$26,0),NA(),STDEV(OFFSET(G1238,1,0,Settings!$B$12,1))*SQRT(Settings!$B$13)))</f>
        <v/>
      </c>
      <c r="O1238" s="20">
        <f>IF(AND(ISNUMBER(E1238),ISNUMBER(N1238)),E1238-N1238,NA())</f>
        <v/>
      </c>
      <c r="P1238" s="19">
        <f>IF(NOT(ISNUMBER($A1238)),NA(),IF(OR($A1238&lt;MIN(KW_TP!$A$2:$A$2501),$A1238&gt;MAX(KW_TP!$A$2:$A$2501)),NA(),INDEX(KW_TP!$C$2:$C$2501,MATCH($A1238,KW_TP!$A$2:$A$2501,1))))</f>
        <v/>
      </c>
      <c r="Q1238" s="18">
        <f>IF(NOT(ISNUMBER($A1238)),NA(),IFERROR(1*INDEX(BBG_Data!$J$2:$J$4000,MATCH($A1238,BBG_Data!$I$2:$I$4000,0)),NA()))</f>
        <v/>
      </c>
      <c r="R1238" s="18">
        <f>IF(NOT(ISNUMBER($A1238)),NA(),IFERROR(1*INDEX(BBG_Data!$L$2:$L$4000,MATCH($A1238,BBG_Data!$K$2:$K$4000,0)),NA()))</f>
        <v/>
      </c>
      <c r="S1238" s="20">
        <f>IF(AND(ISNUMBER(B1238),ISNUMBER(Q1238),ISNUMBER(R1238)),(B1238-Q1238-R1238)*100,NA())</f>
        <v/>
      </c>
      <c r="T1238" s="20">
        <f>IF(AND(ISNUMBER(B1238),Settings!$B$17&gt;0),IF(ISNUMBER(INDEX($B:$B,Settings!$B$17)),(B1238-INDEX($B:$B,Settings!$B$17))*100,NA()),NA())</f>
        <v/>
      </c>
      <c r="U1238" s="20">
        <f>IF(AND(ISNUMBER(Q1238),Settings!$B$17&gt;0),IF(ISNUMBER(INDEX($Q:$Q,Settings!$B$17)),(Q1238-INDEX($Q:$Q,Settings!$B$17))*100,NA()),NA())</f>
        <v/>
      </c>
      <c r="V1238" s="20">
        <f>IF(AND(ISNUMBER(R1238),Settings!$B$17&gt;0),IF(ISNUMBER(INDEX($R:$R,Settings!$B$17)),(R1238-INDEX($R:$R,Settings!$B$17))*100,NA()),NA())</f>
        <v/>
      </c>
      <c r="W1238" s="20">
        <f>IF(AND(ISNUMBER(P1238),Settings!$B$17&gt;0),IF(ISNUMBER(INDEX($P:$P,Settings!$B$17)),P1238-INDEX($P:$P,Settings!$B$17),NA()),NA())</f>
        <v/>
      </c>
      <c r="X1238" s="19">
        <f>IF(NOT(ISNUMBER($A1238)),NA(),IF(OR($A1238&lt;MIN(DKW_10Y!$A$2:$A$2918),$A1238&gt;MAX(DKW_10Y!$A$2:$A$2918),Settings!$B$16&lt;MIN(DKW_10Y!$A$2:$A$2918)),NA(),(INDEX(DKW_10Y!$B$2:$B$2918,MATCH($A1238,DKW_10Y!$A$2:$A$2918,1))-INDEX(DKW_10Y!$B$2:$B$2918,MATCH(Settings!$B$16,DKW_10Y!$A$2:$A$2918,1)))*100))</f>
        <v/>
      </c>
      <c r="Y1238" s="19">
        <f>IF(NOT(ISNUMBER($A1238)),NA(),IF(OR($A1238&lt;MIN(DKW_10Y!$A$2:$A$2918),$A1238&gt;MAX(DKW_10Y!$A$2:$A$2918),Settings!$B$16&lt;MIN(DKW_10Y!$A$2:$A$2918)),NA(),(INDEX(DKW_10Y!$C$2:$C$2918,MATCH($A1238,DKW_10Y!$A$2:$A$2918,1))-INDEX(DKW_10Y!$C$2:$C$2918,MATCH(Settings!$B$16,DKW_10Y!$A$2:$A$2918,1)))*100))</f>
        <v/>
      </c>
      <c r="Z1238" s="19">
        <f>IF(NOT(ISNUMBER($A1238)),NA(),IF(OR($A1238&lt;MIN(DKW_10Y!$A$2:$A$2918),$A1238&gt;MAX(DKW_10Y!$A$2:$A$2918),Settings!$B$16&lt;MIN(DKW_10Y!$A$2:$A$2918)),NA(),(INDEX(DKW_10Y!$D$2:$D$2918,MATCH($A1238,DKW_10Y!$A$2:$A$2918,1))-INDEX(DKW_10Y!$D$2:$D$2918,MATCH(Settings!$B$16,DKW_10Y!$A$2:$A$2918,1)))*100))</f>
        <v/>
      </c>
      <c r="AA1238" s="19">
        <f>IF(NOT(ISNUMBER($A1238)),NA(),IF(OR($A1238&lt;MIN(DKW_10Y!$A$2:$A$2918),$A1238&gt;MAX(DKW_10Y!$A$2:$A$2918),Settings!$B$16&lt;MIN(DKW_10Y!$A$2:$A$2918)),NA(),(INDEX(DKW_10Y!$E$2:$E$2918,MATCH($A1238,DKW_10Y!$A$2:$A$2918,1))-INDEX(DKW_10Y!$E$2:$E$2918,MATCH(Settings!$B$16,DKW_10Y!$A$2:$A$2918,1)))*100))</f>
        <v/>
      </c>
      <c r="AB1238" s="19">
        <f>IF(NOT(ISNUMBER($A1238)),NA(),IF(OR($A1238&lt;MIN(DKW_10Y!$A$2:$A$2918),$A1238&gt;MAX(DKW_10Y!$A$2:$A$2918),Settings!$B$16&lt;MIN(DKW_10Y!$A$2:$A$2918)),NA(),(INDEX(DKW_10Y!$H$2:$H$2918,MATCH($A1238,DKW_10Y!$A$2:$A$2918,1))-INDEX(DKW_10Y!$H$2:$H$2918,MATCH(Settings!$B$16,DKW_10Y!$A$2:$A$2918,1)))*100))</f>
        <v/>
      </c>
      <c r="AC1238" s="18">
        <f>IF(NOT(ISNUMBER($A1238)),NA(),IFERROR(1*INDEX(BBG_Data!$N$2:$N$4000,MATCH($A1238,BBG_Data!$M$2:$M$4000,0)),NA()))</f>
        <v/>
      </c>
      <c r="AD1238" s="18">
        <f>IF(NOT(ISNUMBER($A1238)),NA(),IFERROR(1*INDEX(BBG_Data!$P$2:$P$4000,MATCH($A1238,BBG_Data!$O$2:$O$4000,0)),NA()))</f>
        <v/>
      </c>
      <c r="AE1238" s="18">
        <f>IF(NOT(ISNUMBER($A1238)),NA(),IFERROR(1*INDEX(BBG_Data!$R$2:$R$4000,MATCH($A1238,BBG_Data!$Q$2:$Q$4000,0)),NA()))</f>
        <v/>
      </c>
      <c r="AF1238" s="20">
        <f>IF(AND(ISNUMBER(B1238),ISNUMBER(AC1238)),(B1238-AC1238)*100,NA())</f>
        <v/>
      </c>
      <c r="AG1238" s="20">
        <f>IF(AND(ISNUMBER(AE1238),ISNUMBER(AD1238)),(AE1238-AD1238)*100,NA())</f>
        <v/>
      </c>
      <c r="AH1238" s="19">
        <f>IF(NOT(ISNUMBER($A1238)),NA(),IFERROR(INDEX(BBG_Data!$T$2:$T$4000,MATCH($A1238,BBG_Data!$S$2:$S$4000,0))*Settings!$B$25,NA()))</f>
        <v/>
      </c>
      <c r="AI1238" s="19">
        <f>IF(NOT(ISNUMBER($A1238)),NA(),IFERROR(INDEX(BBG_Data!$V$2:$V$4000,MATCH($A1238,BBG_Data!$U$2:$U$4000,0))*Settings!$B$25,NA()))</f>
        <v/>
      </c>
      <c r="AJ1238" s="19">
        <f>IF(NOT(ISNUMBER($A1238)),NA(),IFERROR(1*INDEX(BBG_Data!$X$2:$X$4000,MATCH($A1238,BBG_Data!$W$2:$W$4000,0)),NA()))</f>
        <v/>
      </c>
      <c r="AK1238" s="19">
        <f>IF(NOT(ISNUMBER($A1238)),NA(),IFERROR(1*INDEX(BBG_Data!$Z$2:$Z$4000,MATCH($A1238,BBG_Data!$Y$2:$Y$4000,0)),NA()))</f>
        <v/>
      </c>
    </row>
    <row r="1239">
      <c r="A1239" s="17">
        <f>IF(ISNUMBER(BBG_Data!A1239),BBG_Data!A1239,"")</f>
        <v/>
      </c>
      <c r="B1239" s="18">
        <f>IF(AND(ISNUMBER($A1239),ISNUMBER(BBG_Data!B1239)),BBG_Data!B1239,NA())</f>
        <v/>
      </c>
      <c r="C1239" s="18">
        <f>IF(NOT(ISNUMBER($A1239)),NA(),IFERROR(1*INDEX(BBG_Data!$D$2:$D$4000,MATCH($A1239,BBG_Data!$C$2:$C$4000,0)),NA()))</f>
        <v/>
      </c>
      <c r="D1239" s="19">
        <f>IF(NOT(ISNUMBER($A1239)),NA(),IFERROR(1*INDEX(BBG_Data!$F$2:$F$4000,MATCH($A1239,BBG_Data!$E$2:$E$4000,0)),NA()))</f>
        <v/>
      </c>
      <c r="E1239" s="19">
        <f>IF(NOT(ISNUMBER($A1239)),NA(),IFERROR(1*INDEX(BBG_Data!$H$2:$H$4000,MATCH($A1239,BBG_Data!$G$2:$G$4000,0)),NA()))</f>
        <v/>
      </c>
      <c r="F1239" s="20">
        <f>IF(AND(ISNUMBER(B1239),ISNUMBER(B1238)),IF(B1239=B1238,"",(B1239-B1238)*100),"")</f>
        <v/>
      </c>
      <c r="G1239" s="20">
        <f>IF(AND(ISNUMBER(C1239),ISNUMBER(C1238)),IF(C1239=C1238,"",(C1239-C1238)*100),"")</f>
        <v/>
      </c>
      <c r="H1239" s="20">
        <f>IF(OR(NOT(ISNUMBER($A1239)),ROW()-2&lt;Settings!$B$11),NA(),IF(COUNT(OFFSET(F1239,1-Settings!$B$11,0,Settings!$B$11,1))&lt;ROUNDUP(Settings!$B$11*Settings!$B$26,0),NA(),STDEV(OFFSET(F1239,1-Settings!$B$11,0,Settings!$B$11,1))*SQRT(Settings!$B$13)))</f>
        <v/>
      </c>
      <c r="I1239" s="20">
        <f>IF(OR(NOT(ISNUMBER($A1239)),ROW()-2&lt;Settings!$B$12),NA(),IF(COUNT(OFFSET(F1239,1-Settings!$B$12,0,Settings!$B$12,1))&lt;ROUNDUP(Settings!$B$12*Settings!$B$26,0),NA(),STDEV(OFFSET(F1239,1-Settings!$B$12,0,Settings!$B$12,1))*SQRT(Settings!$B$13)))</f>
        <v/>
      </c>
      <c r="J1239" s="20">
        <f>IF(OR(NOT(ISNUMBER($A1239)),ROW()-2&lt;Settings!$B$11),NA(),IF(COUNT(OFFSET(G1239,1-Settings!$B$11,0,Settings!$B$11,1))&lt;ROUNDUP(Settings!$B$11*Settings!$B$26,0),NA(),STDEV(OFFSET(G1239,1-Settings!$B$11,0,Settings!$B$11,1))*SQRT(Settings!$B$13)))</f>
        <v/>
      </c>
      <c r="K1239" s="20">
        <f>IF(OR(NOT(ISNUMBER($A1239)),ROW()-2&lt;Settings!$B$12),NA(),IF(COUNT(OFFSET(G1239,1-Settings!$B$12,0,Settings!$B$12,1))&lt;ROUNDUP(Settings!$B$12*Settings!$B$26,0),NA(),STDEV(OFFSET(G1239,1-Settings!$B$12,0,Settings!$B$12,1))*SQRT(Settings!$B$13)))</f>
        <v/>
      </c>
      <c r="L1239" s="20">
        <f>IF(AND(ISNUMBER(D1239),ISNUMBER(H1239)),D1239-H1239,NA())</f>
        <v/>
      </c>
      <c r="M1239" s="20">
        <f>IF(AND(ISNUMBER(E1239),ISNUMBER(K1239)),E1239-K1239,NA())</f>
        <v/>
      </c>
      <c r="N1239" s="20">
        <f>IF(NOT(ISNUMBER($A1239)),NA(),IF(COUNT(OFFSET(G1239,1,0,Settings!$B$12,1))&lt;ROUNDUP(Settings!$B$12*Settings!$B$26,0),NA(),STDEV(OFFSET(G1239,1,0,Settings!$B$12,1))*SQRT(Settings!$B$13)))</f>
        <v/>
      </c>
      <c r="O1239" s="20">
        <f>IF(AND(ISNUMBER(E1239),ISNUMBER(N1239)),E1239-N1239,NA())</f>
        <v/>
      </c>
      <c r="P1239" s="19">
        <f>IF(NOT(ISNUMBER($A1239)),NA(),IF(OR($A1239&lt;MIN(KW_TP!$A$2:$A$2501),$A1239&gt;MAX(KW_TP!$A$2:$A$2501)),NA(),INDEX(KW_TP!$C$2:$C$2501,MATCH($A1239,KW_TP!$A$2:$A$2501,1))))</f>
        <v/>
      </c>
      <c r="Q1239" s="18">
        <f>IF(NOT(ISNUMBER($A1239)),NA(),IFERROR(1*INDEX(BBG_Data!$J$2:$J$4000,MATCH($A1239,BBG_Data!$I$2:$I$4000,0)),NA()))</f>
        <v/>
      </c>
      <c r="R1239" s="18">
        <f>IF(NOT(ISNUMBER($A1239)),NA(),IFERROR(1*INDEX(BBG_Data!$L$2:$L$4000,MATCH($A1239,BBG_Data!$K$2:$K$4000,0)),NA()))</f>
        <v/>
      </c>
      <c r="S1239" s="20">
        <f>IF(AND(ISNUMBER(B1239),ISNUMBER(Q1239),ISNUMBER(R1239)),(B1239-Q1239-R1239)*100,NA())</f>
        <v/>
      </c>
      <c r="T1239" s="20">
        <f>IF(AND(ISNUMBER(B1239),Settings!$B$17&gt;0),IF(ISNUMBER(INDEX($B:$B,Settings!$B$17)),(B1239-INDEX($B:$B,Settings!$B$17))*100,NA()),NA())</f>
        <v/>
      </c>
      <c r="U1239" s="20">
        <f>IF(AND(ISNUMBER(Q1239),Settings!$B$17&gt;0),IF(ISNUMBER(INDEX($Q:$Q,Settings!$B$17)),(Q1239-INDEX($Q:$Q,Settings!$B$17))*100,NA()),NA())</f>
        <v/>
      </c>
      <c r="V1239" s="20">
        <f>IF(AND(ISNUMBER(R1239),Settings!$B$17&gt;0),IF(ISNUMBER(INDEX($R:$R,Settings!$B$17)),(R1239-INDEX($R:$R,Settings!$B$17))*100,NA()),NA())</f>
        <v/>
      </c>
      <c r="W1239" s="20">
        <f>IF(AND(ISNUMBER(P1239),Settings!$B$17&gt;0),IF(ISNUMBER(INDEX($P:$P,Settings!$B$17)),P1239-INDEX($P:$P,Settings!$B$17),NA()),NA())</f>
        <v/>
      </c>
      <c r="X1239" s="19">
        <f>IF(NOT(ISNUMBER($A1239)),NA(),IF(OR($A1239&lt;MIN(DKW_10Y!$A$2:$A$2918),$A1239&gt;MAX(DKW_10Y!$A$2:$A$2918),Settings!$B$16&lt;MIN(DKW_10Y!$A$2:$A$2918)),NA(),(INDEX(DKW_10Y!$B$2:$B$2918,MATCH($A1239,DKW_10Y!$A$2:$A$2918,1))-INDEX(DKW_10Y!$B$2:$B$2918,MATCH(Settings!$B$16,DKW_10Y!$A$2:$A$2918,1)))*100))</f>
        <v/>
      </c>
      <c r="Y1239" s="19">
        <f>IF(NOT(ISNUMBER($A1239)),NA(),IF(OR($A1239&lt;MIN(DKW_10Y!$A$2:$A$2918),$A1239&gt;MAX(DKW_10Y!$A$2:$A$2918),Settings!$B$16&lt;MIN(DKW_10Y!$A$2:$A$2918)),NA(),(INDEX(DKW_10Y!$C$2:$C$2918,MATCH($A1239,DKW_10Y!$A$2:$A$2918,1))-INDEX(DKW_10Y!$C$2:$C$2918,MATCH(Settings!$B$16,DKW_10Y!$A$2:$A$2918,1)))*100))</f>
        <v/>
      </c>
      <c r="Z1239" s="19">
        <f>IF(NOT(ISNUMBER($A1239)),NA(),IF(OR($A1239&lt;MIN(DKW_10Y!$A$2:$A$2918),$A1239&gt;MAX(DKW_10Y!$A$2:$A$2918),Settings!$B$16&lt;MIN(DKW_10Y!$A$2:$A$2918)),NA(),(INDEX(DKW_10Y!$D$2:$D$2918,MATCH($A1239,DKW_10Y!$A$2:$A$2918,1))-INDEX(DKW_10Y!$D$2:$D$2918,MATCH(Settings!$B$16,DKW_10Y!$A$2:$A$2918,1)))*100))</f>
        <v/>
      </c>
      <c r="AA1239" s="19">
        <f>IF(NOT(ISNUMBER($A1239)),NA(),IF(OR($A1239&lt;MIN(DKW_10Y!$A$2:$A$2918),$A1239&gt;MAX(DKW_10Y!$A$2:$A$2918),Settings!$B$16&lt;MIN(DKW_10Y!$A$2:$A$2918)),NA(),(INDEX(DKW_10Y!$E$2:$E$2918,MATCH($A1239,DKW_10Y!$A$2:$A$2918,1))-INDEX(DKW_10Y!$E$2:$E$2918,MATCH(Settings!$B$16,DKW_10Y!$A$2:$A$2918,1)))*100))</f>
        <v/>
      </c>
      <c r="AB1239" s="19">
        <f>IF(NOT(ISNUMBER($A1239)),NA(),IF(OR($A1239&lt;MIN(DKW_10Y!$A$2:$A$2918),$A1239&gt;MAX(DKW_10Y!$A$2:$A$2918),Settings!$B$16&lt;MIN(DKW_10Y!$A$2:$A$2918)),NA(),(INDEX(DKW_10Y!$H$2:$H$2918,MATCH($A1239,DKW_10Y!$A$2:$A$2918,1))-INDEX(DKW_10Y!$H$2:$H$2918,MATCH(Settings!$B$16,DKW_10Y!$A$2:$A$2918,1)))*100))</f>
        <v/>
      </c>
      <c r="AC1239" s="18">
        <f>IF(NOT(ISNUMBER($A1239)),NA(),IFERROR(1*INDEX(BBG_Data!$N$2:$N$4000,MATCH($A1239,BBG_Data!$M$2:$M$4000,0)),NA()))</f>
        <v/>
      </c>
      <c r="AD1239" s="18">
        <f>IF(NOT(ISNUMBER($A1239)),NA(),IFERROR(1*INDEX(BBG_Data!$P$2:$P$4000,MATCH($A1239,BBG_Data!$O$2:$O$4000,0)),NA()))</f>
        <v/>
      </c>
      <c r="AE1239" s="18">
        <f>IF(NOT(ISNUMBER($A1239)),NA(),IFERROR(1*INDEX(BBG_Data!$R$2:$R$4000,MATCH($A1239,BBG_Data!$Q$2:$Q$4000,0)),NA()))</f>
        <v/>
      </c>
      <c r="AF1239" s="20">
        <f>IF(AND(ISNUMBER(B1239),ISNUMBER(AC1239)),(B1239-AC1239)*100,NA())</f>
        <v/>
      </c>
      <c r="AG1239" s="20">
        <f>IF(AND(ISNUMBER(AE1239),ISNUMBER(AD1239)),(AE1239-AD1239)*100,NA())</f>
        <v/>
      </c>
      <c r="AH1239" s="19">
        <f>IF(NOT(ISNUMBER($A1239)),NA(),IFERROR(INDEX(BBG_Data!$T$2:$T$4000,MATCH($A1239,BBG_Data!$S$2:$S$4000,0))*Settings!$B$25,NA()))</f>
        <v/>
      </c>
      <c r="AI1239" s="19">
        <f>IF(NOT(ISNUMBER($A1239)),NA(),IFERROR(INDEX(BBG_Data!$V$2:$V$4000,MATCH($A1239,BBG_Data!$U$2:$U$4000,0))*Settings!$B$25,NA()))</f>
        <v/>
      </c>
      <c r="AJ1239" s="19">
        <f>IF(NOT(ISNUMBER($A1239)),NA(),IFERROR(1*INDEX(BBG_Data!$X$2:$X$4000,MATCH($A1239,BBG_Data!$W$2:$W$4000,0)),NA()))</f>
        <v/>
      </c>
      <c r="AK1239" s="19">
        <f>IF(NOT(ISNUMBER($A1239)),NA(),IFERROR(1*INDEX(BBG_Data!$Z$2:$Z$4000,MATCH($A1239,BBG_Data!$Y$2:$Y$4000,0)),NA()))</f>
        <v/>
      </c>
    </row>
    <row r="1240">
      <c r="A1240" s="17">
        <f>IF(ISNUMBER(BBG_Data!A1240),BBG_Data!A1240,"")</f>
        <v/>
      </c>
      <c r="B1240" s="18">
        <f>IF(AND(ISNUMBER($A1240),ISNUMBER(BBG_Data!B1240)),BBG_Data!B1240,NA())</f>
        <v/>
      </c>
      <c r="C1240" s="18">
        <f>IF(NOT(ISNUMBER($A1240)),NA(),IFERROR(1*INDEX(BBG_Data!$D$2:$D$4000,MATCH($A1240,BBG_Data!$C$2:$C$4000,0)),NA()))</f>
        <v/>
      </c>
      <c r="D1240" s="19">
        <f>IF(NOT(ISNUMBER($A1240)),NA(),IFERROR(1*INDEX(BBG_Data!$F$2:$F$4000,MATCH($A1240,BBG_Data!$E$2:$E$4000,0)),NA()))</f>
        <v/>
      </c>
      <c r="E1240" s="19">
        <f>IF(NOT(ISNUMBER($A1240)),NA(),IFERROR(1*INDEX(BBG_Data!$H$2:$H$4000,MATCH($A1240,BBG_Data!$G$2:$G$4000,0)),NA()))</f>
        <v/>
      </c>
      <c r="F1240" s="20">
        <f>IF(AND(ISNUMBER(B1240),ISNUMBER(B1239)),IF(B1240=B1239,"",(B1240-B1239)*100),"")</f>
        <v/>
      </c>
      <c r="G1240" s="20">
        <f>IF(AND(ISNUMBER(C1240),ISNUMBER(C1239)),IF(C1240=C1239,"",(C1240-C1239)*100),"")</f>
        <v/>
      </c>
      <c r="H1240" s="20">
        <f>IF(OR(NOT(ISNUMBER($A1240)),ROW()-2&lt;Settings!$B$11),NA(),IF(COUNT(OFFSET(F1240,1-Settings!$B$11,0,Settings!$B$11,1))&lt;ROUNDUP(Settings!$B$11*Settings!$B$26,0),NA(),STDEV(OFFSET(F1240,1-Settings!$B$11,0,Settings!$B$11,1))*SQRT(Settings!$B$13)))</f>
        <v/>
      </c>
      <c r="I1240" s="20">
        <f>IF(OR(NOT(ISNUMBER($A1240)),ROW()-2&lt;Settings!$B$12),NA(),IF(COUNT(OFFSET(F1240,1-Settings!$B$12,0,Settings!$B$12,1))&lt;ROUNDUP(Settings!$B$12*Settings!$B$26,0),NA(),STDEV(OFFSET(F1240,1-Settings!$B$12,0,Settings!$B$12,1))*SQRT(Settings!$B$13)))</f>
        <v/>
      </c>
      <c r="J1240" s="20">
        <f>IF(OR(NOT(ISNUMBER($A1240)),ROW()-2&lt;Settings!$B$11),NA(),IF(COUNT(OFFSET(G1240,1-Settings!$B$11,0,Settings!$B$11,1))&lt;ROUNDUP(Settings!$B$11*Settings!$B$26,0),NA(),STDEV(OFFSET(G1240,1-Settings!$B$11,0,Settings!$B$11,1))*SQRT(Settings!$B$13)))</f>
        <v/>
      </c>
      <c r="K1240" s="20">
        <f>IF(OR(NOT(ISNUMBER($A1240)),ROW()-2&lt;Settings!$B$12),NA(),IF(COUNT(OFFSET(G1240,1-Settings!$B$12,0,Settings!$B$12,1))&lt;ROUNDUP(Settings!$B$12*Settings!$B$26,0),NA(),STDEV(OFFSET(G1240,1-Settings!$B$12,0,Settings!$B$12,1))*SQRT(Settings!$B$13)))</f>
        <v/>
      </c>
      <c r="L1240" s="20">
        <f>IF(AND(ISNUMBER(D1240),ISNUMBER(H1240)),D1240-H1240,NA())</f>
        <v/>
      </c>
      <c r="M1240" s="20">
        <f>IF(AND(ISNUMBER(E1240),ISNUMBER(K1240)),E1240-K1240,NA())</f>
        <v/>
      </c>
      <c r="N1240" s="20">
        <f>IF(NOT(ISNUMBER($A1240)),NA(),IF(COUNT(OFFSET(G1240,1,0,Settings!$B$12,1))&lt;ROUNDUP(Settings!$B$12*Settings!$B$26,0),NA(),STDEV(OFFSET(G1240,1,0,Settings!$B$12,1))*SQRT(Settings!$B$13)))</f>
        <v/>
      </c>
      <c r="O1240" s="20">
        <f>IF(AND(ISNUMBER(E1240),ISNUMBER(N1240)),E1240-N1240,NA())</f>
        <v/>
      </c>
      <c r="P1240" s="19">
        <f>IF(NOT(ISNUMBER($A1240)),NA(),IF(OR($A1240&lt;MIN(KW_TP!$A$2:$A$2501),$A1240&gt;MAX(KW_TP!$A$2:$A$2501)),NA(),INDEX(KW_TP!$C$2:$C$2501,MATCH($A1240,KW_TP!$A$2:$A$2501,1))))</f>
        <v/>
      </c>
      <c r="Q1240" s="18">
        <f>IF(NOT(ISNUMBER($A1240)),NA(),IFERROR(1*INDEX(BBG_Data!$J$2:$J$4000,MATCH($A1240,BBG_Data!$I$2:$I$4000,0)),NA()))</f>
        <v/>
      </c>
      <c r="R1240" s="18">
        <f>IF(NOT(ISNUMBER($A1240)),NA(),IFERROR(1*INDEX(BBG_Data!$L$2:$L$4000,MATCH($A1240,BBG_Data!$K$2:$K$4000,0)),NA()))</f>
        <v/>
      </c>
      <c r="S1240" s="20">
        <f>IF(AND(ISNUMBER(B1240),ISNUMBER(Q1240),ISNUMBER(R1240)),(B1240-Q1240-R1240)*100,NA())</f>
        <v/>
      </c>
      <c r="T1240" s="20">
        <f>IF(AND(ISNUMBER(B1240),Settings!$B$17&gt;0),IF(ISNUMBER(INDEX($B:$B,Settings!$B$17)),(B1240-INDEX($B:$B,Settings!$B$17))*100,NA()),NA())</f>
        <v/>
      </c>
      <c r="U1240" s="20">
        <f>IF(AND(ISNUMBER(Q1240),Settings!$B$17&gt;0),IF(ISNUMBER(INDEX($Q:$Q,Settings!$B$17)),(Q1240-INDEX($Q:$Q,Settings!$B$17))*100,NA()),NA())</f>
        <v/>
      </c>
      <c r="V1240" s="20">
        <f>IF(AND(ISNUMBER(R1240),Settings!$B$17&gt;0),IF(ISNUMBER(INDEX($R:$R,Settings!$B$17)),(R1240-INDEX($R:$R,Settings!$B$17))*100,NA()),NA())</f>
        <v/>
      </c>
      <c r="W1240" s="20">
        <f>IF(AND(ISNUMBER(P1240),Settings!$B$17&gt;0),IF(ISNUMBER(INDEX($P:$P,Settings!$B$17)),P1240-INDEX($P:$P,Settings!$B$17),NA()),NA())</f>
        <v/>
      </c>
      <c r="X1240" s="19">
        <f>IF(NOT(ISNUMBER($A1240)),NA(),IF(OR($A1240&lt;MIN(DKW_10Y!$A$2:$A$2918),$A1240&gt;MAX(DKW_10Y!$A$2:$A$2918),Settings!$B$16&lt;MIN(DKW_10Y!$A$2:$A$2918)),NA(),(INDEX(DKW_10Y!$B$2:$B$2918,MATCH($A1240,DKW_10Y!$A$2:$A$2918,1))-INDEX(DKW_10Y!$B$2:$B$2918,MATCH(Settings!$B$16,DKW_10Y!$A$2:$A$2918,1)))*100))</f>
        <v/>
      </c>
      <c r="Y1240" s="19">
        <f>IF(NOT(ISNUMBER($A1240)),NA(),IF(OR($A1240&lt;MIN(DKW_10Y!$A$2:$A$2918),$A1240&gt;MAX(DKW_10Y!$A$2:$A$2918),Settings!$B$16&lt;MIN(DKW_10Y!$A$2:$A$2918)),NA(),(INDEX(DKW_10Y!$C$2:$C$2918,MATCH($A1240,DKW_10Y!$A$2:$A$2918,1))-INDEX(DKW_10Y!$C$2:$C$2918,MATCH(Settings!$B$16,DKW_10Y!$A$2:$A$2918,1)))*100))</f>
        <v/>
      </c>
      <c r="Z1240" s="19">
        <f>IF(NOT(ISNUMBER($A1240)),NA(),IF(OR($A1240&lt;MIN(DKW_10Y!$A$2:$A$2918),$A1240&gt;MAX(DKW_10Y!$A$2:$A$2918),Settings!$B$16&lt;MIN(DKW_10Y!$A$2:$A$2918)),NA(),(INDEX(DKW_10Y!$D$2:$D$2918,MATCH($A1240,DKW_10Y!$A$2:$A$2918,1))-INDEX(DKW_10Y!$D$2:$D$2918,MATCH(Settings!$B$16,DKW_10Y!$A$2:$A$2918,1)))*100))</f>
        <v/>
      </c>
      <c r="AA1240" s="19">
        <f>IF(NOT(ISNUMBER($A1240)),NA(),IF(OR($A1240&lt;MIN(DKW_10Y!$A$2:$A$2918),$A1240&gt;MAX(DKW_10Y!$A$2:$A$2918),Settings!$B$16&lt;MIN(DKW_10Y!$A$2:$A$2918)),NA(),(INDEX(DKW_10Y!$E$2:$E$2918,MATCH($A1240,DKW_10Y!$A$2:$A$2918,1))-INDEX(DKW_10Y!$E$2:$E$2918,MATCH(Settings!$B$16,DKW_10Y!$A$2:$A$2918,1)))*100))</f>
        <v/>
      </c>
      <c r="AB1240" s="19">
        <f>IF(NOT(ISNUMBER($A1240)),NA(),IF(OR($A1240&lt;MIN(DKW_10Y!$A$2:$A$2918),$A1240&gt;MAX(DKW_10Y!$A$2:$A$2918),Settings!$B$16&lt;MIN(DKW_10Y!$A$2:$A$2918)),NA(),(INDEX(DKW_10Y!$H$2:$H$2918,MATCH($A1240,DKW_10Y!$A$2:$A$2918,1))-INDEX(DKW_10Y!$H$2:$H$2918,MATCH(Settings!$B$16,DKW_10Y!$A$2:$A$2918,1)))*100))</f>
        <v/>
      </c>
      <c r="AC1240" s="18">
        <f>IF(NOT(ISNUMBER($A1240)),NA(),IFERROR(1*INDEX(BBG_Data!$N$2:$N$4000,MATCH($A1240,BBG_Data!$M$2:$M$4000,0)),NA()))</f>
        <v/>
      </c>
      <c r="AD1240" s="18">
        <f>IF(NOT(ISNUMBER($A1240)),NA(),IFERROR(1*INDEX(BBG_Data!$P$2:$P$4000,MATCH($A1240,BBG_Data!$O$2:$O$4000,0)),NA()))</f>
        <v/>
      </c>
      <c r="AE1240" s="18">
        <f>IF(NOT(ISNUMBER($A1240)),NA(),IFERROR(1*INDEX(BBG_Data!$R$2:$R$4000,MATCH($A1240,BBG_Data!$Q$2:$Q$4000,0)),NA()))</f>
        <v/>
      </c>
      <c r="AF1240" s="20">
        <f>IF(AND(ISNUMBER(B1240),ISNUMBER(AC1240)),(B1240-AC1240)*100,NA())</f>
        <v/>
      </c>
      <c r="AG1240" s="20">
        <f>IF(AND(ISNUMBER(AE1240),ISNUMBER(AD1240)),(AE1240-AD1240)*100,NA())</f>
        <v/>
      </c>
      <c r="AH1240" s="19">
        <f>IF(NOT(ISNUMBER($A1240)),NA(),IFERROR(INDEX(BBG_Data!$T$2:$T$4000,MATCH($A1240,BBG_Data!$S$2:$S$4000,0))*Settings!$B$25,NA()))</f>
        <v/>
      </c>
      <c r="AI1240" s="19">
        <f>IF(NOT(ISNUMBER($A1240)),NA(),IFERROR(INDEX(BBG_Data!$V$2:$V$4000,MATCH($A1240,BBG_Data!$U$2:$U$4000,0))*Settings!$B$25,NA()))</f>
        <v/>
      </c>
      <c r="AJ1240" s="19">
        <f>IF(NOT(ISNUMBER($A1240)),NA(),IFERROR(1*INDEX(BBG_Data!$X$2:$X$4000,MATCH($A1240,BBG_Data!$W$2:$W$4000,0)),NA()))</f>
        <v/>
      </c>
      <c r="AK1240" s="19">
        <f>IF(NOT(ISNUMBER($A1240)),NA(),IFERROR(1*INDEX(BBG_Data!$Z$2:$Z$4000,MATCH($A1240,BBG_Data!$Y$2:$Y$4000,0)),NA()))</f>
        <v/>
      </c>
    </row>
    <row r="1241">
      <c r="A1241" s="17">
        <f>IF(ISNUMBER(BBG_Data!A1241),BBG_Data!A1241,"")</f>
        <v/>
      </c>
      <c r="B1241" s="18">
        <f>IF(AND(ISNUMBER($A1241),ISNUMBER(BBG_Data!B1241)),BBG_Data!B1241,NA())</f>
        <v/>
      </c>
      <c r="C1241" s="18">
        <f>IF(NOT(ISNUMBER($A1241)),NA(),IFERROR(1*INDEX(BBG_Data!$D$2:$D$4000,MATCH($A1241,BBG_Data!$C$2:$C$4000,0)),NA()))</f>
        <v/>
      </c>
      <c r="D1241" s="19">
        <f>IF(NOT(ISNUMBER($A1241)),NA(),IFERROR(1*INDEX(BBG_Data!$F$2:$F$4000,MATCH($A1241,BBG_Data!$E$2:$E$4000,0)),NA()))</f>
        <v/>
      </c>
      <c r="E1241" s="19">
        <f>IF(NOT(ISNUMBER($A1241)),NA(),IFERROR(1*INDEX(BBG_Data!$H$2:$H$4000,MATCH($A1241,BBG_Data!$G$2:$G$4000,0)),NA()))</f>
        <v/>
      </c>
      <c r="F1241" s="20">
        <f>IF(AND(ISNUMBER(B1241),ISNUMBER(B1240)),IF(B1241=B1240,"",(B1241-B1240)*100),"")</f>
        <v/>
      </c>
      <c r="G1241" s="20">
        <f>IF(AND(ISNUMBER(C1241),ISNUMBER(C1240)),IF(C1241=C1240,"",(C1241-C1240)*100),"")</f>
        <v/>
      </c>
      <c r="H1241" s="20">
        <f>IF(OR(NOT(ISNUMBER($A1241)),ROW()-2&lt;Settings!$B$11),NA(),IF(COUNT(OFFSET(F1241,1-Settings!$B$11,0,Settings!$B$11,1))&lt;ROUNDUP(Settings!$B$11*Settings!$B$26,0),NA(),STDEV(OFFSET(F1241,1-Settings!$B$11,0,Settings!$B$11,1))*SQRT(Settings!$B$13)))</f>
        <v/>
      </c>
      <c r="I1241" s="20">
        <f>IF(OR(NOT(ISNUMBER($A1241)),ROW()-2&lt;Settings!$B$12),NA(),IF(COUNT(OFFSET(F1241,1-Settings!$B$12,0,Settings!$B$12,1))&lt;ROUNDUP(Settings!$B$12*Settings!$B$26,0),NA(),STDEV(OFFSET(F1241,1-Settings!$B$12,0,Settings!$B$12,1))*SQRT(Settings!$B$13)))</f>
        <v/>
      </c>
      <c r="J1241" s="20">
        <f>IF(OR(NOT(ISNUMBER($A1241)),ROW()-2&lt;Settings!$B$11),NA(),IF(COUNT(OFFSET(G1241,1-Settings!$B$11,0,Settings!$B$11,1))&lt;ROUNDUP(Settings!$B$11*Settings!$B$26,0),NA(),STDEV(OFFSET(G1241,1-Settings!$B$11,0,Settings!$B$11,1))*SQRT(Settings!$B$13)))</f>
        <v/>
      </c>
      <c r="K1241" s="20">
        <f>IF(OR(NOT(ISNUMBER($A1241)),ROW()-2&lt;Settings!$B$12),NA(),IF(COUNT(OFFSET(G1241,1-Settings!$B$12,0,Settings!$B$12,1))&lt;ROUNDUP(Settings!$B$12*Settings!$B$26,0),NA(),STDEV(OFFSET(G1241,1-Settings!$B$12,0,Settings!$B$12,1))*SQRT(Settings!$B$13)))</f>
        <v/>
      </c>
      <c r="L1241" s="20">
        <f>IF(AND(ISNUMBER(D1241),ISNUMBER(H1241)),D1241-H1241,NA())</f>
        <v/>
      </c>
      <c r="M1241" s="20">
        <f>IF(AND(ISNUMBER(E1241),ISNUMBER(K1241)),E1241-K1241,NA())</f>
        <v/>
      </c>
      <c r="N1241" s="20">
        <f>IF(NOT(ISNUMBER($A1241)),NA(),IF(COUNT(OFFSET(G1241,1,0,Settings!$B$12,1))&lt;ROUNDUP(Settings!$B$12*Settings!$B$26,0),NA(),STDEV(OFFSET(G1241,1,0,Settings!$B$12,1))*SQRT(Settings!$B$13)))</f>
        <v/>
      </c>
      <c r="O1241" s="20">
        <f>IF(AND(ISNUMBER(E1241),ISNUMBER(N1241)),E1241-N1241,NA())</f>
        <v/>
      </c>
      <c r="P1241" s="19">
        <f>IF(NOT(ISNUMBER($A1241)),NA(),IF(OR($A1241&lt;MIN(KW_TP!$A$2:$A$2501),$A1241&gt;MAX(KW_TP!$A$2:$A$2501)),NA(),INDEX(KW_TP!$C$2:$C$2501,MATCH($A1241,KW_TP!$A$2:$A$2501,1))))</f>
        <v/>
      </c>
      <c r="Q1241" s="18">
        <f>IF(NOT(ISNUMBER($A1241)),NA(),IFERROR(1*INDEX(BBG_Data!$J$2:$J$4000,MATCH($A1241,BBG_Data!$I$2:$I$4000,0)),NA()))</f>
        <v/>
      </c>
      <c r="R1241" s="18">
        <f>IF(NOT(ISNUMBER($A1241)),NA(),IFERROR(1*INDEX(BBG_Data!$L$2:$L$4000,MATCH($A1241,BBG_Data!$K$2:$K$4000,0)),NA()))</f>
        <v/>
      </c>
      <c r="S1241" s="20">
        <f>IF(AND(ISNUMBER(B1241),ISNUMBER(Q1241),ISNUMBER(R1241)),(B1241-Q1241-R1241)*100,NA())</f>
        <v/>
      </c>
      <c r="T1241" s="20">
        <f>IF(AND(ISNUMBER(B1241),Settings!$B$17&gt;0),IF(ISNUMBER(INDEX($B:$B,Settings!$B$17)),(B1241-INDEX($B:$B,Settings!$B$17))*100,NA()),NA())</f>
        <v/>
      </c>
      <c r="U1241" s="20">
        <f>IF(AND(ISNUMBER(Q1241),Settings!$B$17&gt;0),IF(ISNUMBER(INDEX($Q:$Q,Settings!$B$17)),(Q1241-INDEX($Q:$Q,Settings!$B$17))*100,NA()),NA())</f>
        <v/>
      </c>
      <c r="V1241" s="20">
        <f>IF(AND(ISNUMBER(R1241),Settings!$B$17&gt;0),IF(ISNUMBER(INDEX($R:$R,Settings!$B$17)),(R1241-INDEX($R:$R,Settings!$B$17))*100,NA()),NA())</f>
        <v/>
      </c>
      <c r="W1241" s="20">
        <f>IF(AND(ISNUMBER(P1241),Settings!$B$17&gt;0),IF(ISNUMBER(INDEX($P:$P,Settings!$B$17)),P1241-INDEX($P:$P,Settings!$B$17),NA()),NA())</f>
        <v/>
      </c>
      <c r="X1241" s="19">
        <f>IF(NOT(ISNUMBER($A1241)),NA(),IF(OR($A1241&lt;MIN(DKW_10Y!$A$2:$A$2918),$A1241&gt;MAX(DKW_10Y!$A$2:$A$2918),Settings!$B$16&lt;MIN(DKW_10Y!$A$2:$A$2918)),NA(),(INDEX(DKW_10Y!$B$2:$B$2918,MATCH($A1241,DKW_10Y!$A$2:$A$2918,1))-INDEX(DKW_10Y!$B$2:$B$2918,MATCH(Settings!$B$16,DKW_10Y!$A$2:$A$2918,1)))*100))</f>
        <v/>
      </c>
      <c r="Y1241" s="19">
        <f>IF(NOT(ISNUMBER($A1241)),NA(),IF(OR($A1241&lt;MIN(DKW_10Y!$A$2:$A$2918),$A1241&gt;MAX(DKW_10Y!$A$2:$A$2918),Settings!$B$16&lt;MIN(DKW_10Y!$A$2:$A$2918)),NA(),(INDEX(DKW_10Y!$C$2:$C$2918,MATCH($A1241,DKW_10Y!$A$2:$A$2918,1))-INDEX(DKW_10Y!$C$2:$C$2918,MATCH(Settings!$B$16,DKW_10Y!$A$2:$A$2918,1)))*100))</f>
        <v/>
      </c>
      <c r="Z1241" s="19">
        <f>IF(NOT(ISNUMBER($A1241)),NA(),IF(OR($A1241&lt;MIN(DKW_10Y!$A$2:$A$2918),$A1241&gt;MAX(DKW_10Y!$A$2:$A$2918),Settings!$B$16&lt;MIN(DKW_10Y!$A$2:$A$2918)),NA(),(INDEX(DKW_10Y!$D$2:$D$2918,MATCH($A1241,DKW_10Y!$A$2:$A$2918,1))-INDEX(DKW_10Y!$D$2:$D$2918,MATCH(Settings!$B$16,DKW_10Y!$A$2:$A$2918,1)))*100))</f>
        <v/>
      </c>
      <c r="AA1241" s="19">
        <f>IF(NOT(ISNUMBER($A1241)),NA(),IF(OR($A1241&lt;MIN(DKW_10Y!$A$2:$A$2918),$A1241&gt;MAX(DKW_10Y!$A$2:$A$2918),Settings!$B$16&lt;MIN(DKW_10Y!$A$2:$A$2918)),NA(),(INDEX(DKW_10Y!$E$2:$E$2918,MATCH($A1241,DKW_10Y!$A$2:$A$2918,1))-INDEX(DKW_10Y!$E$2:$E$2918,MATCH(Settings!$B$16,DKW_10Y!$A$2:$A$2918,1)))*100))</f>
        <v/>
      </c>
      <c r="AB1241" s="19">
        <f>IF(NOT(ISNUMBER($A1241)),NA(),IF(OR($A1241&lt;MIN(DKW_10Y!$A$2:$A$2918),$A1241&gt;MAX(DKW_10Y!$A$2:$A$2918),Settings!$B$16&lt;MIN(DKW_10Y!$A$2:$A$2918)),NA(),(INDEX(DKW_10Y!$H$2:$H$2918,MATCH($A1241,DKW_10Y!$A$2:$A$2918,1))-INDEX(DKW_10Y!$H$2:$H$2918,MATCH(Settings!$B$16,DKW_10Y!$A$2:$A$2918,1)))*100))</f>
        <v/>
      </c>
      <c r="AC1241" s="18">
        <f>IF(NOT(ISNUMBER($A1241)),NA(),IFERROR(1*INDEX(BBG_Data!$N$2:$N$4000,MATCH($A1241,BBG_Data!$M$2:$M$4000,0)),NA()))</f>
        <v/>
      </c>
      <c r="AD1241" s="18">
        <f>IF(NOT(ISNUMBER($A1241)),NA(),IFERROR(1*INDEX(BBG_Data!$P$2:$P$4000,MATCH($A1241,BBG_Data!$O$2:$O$4000,0)),NA()))</f>
        <v/>
      </c>
      <c r="AE1241" s="18">
        <f>IF(NOT(ISNUMBER($A1241)),NA(),IFERROR(1*INDEX(BBG_Data!$R$2:$R$4000,MATCH($A1241,BBG_Data!$Q$2:$Q$4000,0)),NA()))</f>
        <v/>
      </c>
      <c r="AF1241" s="20">
        <f>IF(AND(ISNUMBER(B1241),ISNUMBER(AC1241)),(B1241-AC1241)*100,NA())</f>
        <v/>
      </c>
      <c r="AG1241" s="20">
        <f>IF(AND(ISNUMBER(AE1241),ISNUMBER(AD1241)),(AE1241-AD1241)*100,NA())</f>
        <v/>
      </c>
      <c r="AH1241" s="19">
        <f>IF(NOT(ISNUMBER($A1241)),NA(),IFERROR(INDEX(BBG_Data!$T$2:$T$4000,MATCH($A1241,BBG_Data!$S$2:$S$4000,0))*Settings!$B$25,NA()))</f>
        <v/>
      </c>
      <c r="AI1241" s="19">
        <f>IF(NOT(ISNUMBER($A1241)),NA(),IFERROR(INDEX(BBG_Data!$V$2:$V$4000,MATCH($A1241,BBG_Data!$U$2:$U$4000,0))*Settings!$B$25,NA()))</f>
        <v/>
      </c>
      <c r="AJ1241" s="19">
        <f>IF(NOT(ISNUMBER($A1241)),NA(),IFERROR(1*INDEX(BBG_Data!$X$2:$X$4000,MATCH($A1241,BBG_Data!$W$2:$W$4000,0)),NA()))</f>
        <v/>
      </c>
      <c r="AK1241" s="19">
        <f>IF(NOT(ISNUMBER($A1241)),NA(),IFERROR(1*INDEX(BBG_Data!$Z$2:$Z$4000,MATCH($A1241,BBG_Data!$Y$2:$Y$4000,0)),NA()))</f>
        <v/>
      </c>
    </row>
    <row r="1242">
      <c r="A1242" s="17">
        <f>IF(ISNUMBER(BBG_Data!A1242),BBG_Data!A1242,"")</f>
        <v/>
      </c>
      <c r="B1242" s="18">
        <f>IF(AND(ISNUMBER($A1242),ISNUMBER(BBG_Data!B1242)),BBG_Data!B1242,NA())</f>
        <v/>
      </c>
      <c r="C1242" s="18">
        <f>IF(NOT(ISNUMBER($A1242)),NA(),IFERROR(1*INDEX(BBG_Data!$D$2:$D$4000,MATCH($A1242,BBG_Data!$C$2:$C$4000,0)),NA()))</f>
        <v/>
      </c>
      <c r="D1242" s="19">
        <f>IF(NOT(ISNUMBER($A1242)),NA(),IFERROR(1*INDEX(BBG_Data!$F$2:$F$4000,MATCH($A1242,BBG_Data!$E$2:$E$4000,0)),NA()))</f>
        <v/>
      </c>
      <c r="E1242" s="19">
        <f>IF(NOT(ISNUMBER($A1242)),NA(),IFERROR(1*INDEX(BBG_Data!$H$2:$H$4000,MATCH($A1242,BBG_Data!$G$2:$G$4000,0)),NA()))</f>
        <v/>
      </c>
      <c r="F1242" s="20">
        <f>IF(AND(ISNUMBER(B1242),ISNUMBER(B1241)),IF(B1242=B1241,"",(B1242-B1241)*100),"")</f>
        <v/>
      </c>
      <c r="G1242" s="20">
        <f>IF(AND(ISNUMBER(C1242),ISNUMBER(C1241)),IF(C1242=C1241,"",(C1242-C1241)*100),"")</f>
        <v/>
      </c>
      <c r="H1242" s="20">
        <f>IF(OR(NOT(ISNUMBER($A1242)),ROW()-2&lt;Settings!$B$11),NA(),IF(COUNT(OFFSET(F1242,1-Settings!$B$11,0,Settings!$B$11,1))&lt;ROUNDUP(Settings!$B$11*Settings!$B$26,0),NA(),STDEV(OFFSET(F1242,1-Settings!$B$11,0,Settings!$B$11,1))*SQRT(Settings!$B$13)))</f>
        <v/>
      </c>
      <c r="I1242" s="20">
        <f>IF(OR(NOT(ISNUMBER($A1242)),ROW()-2&lt;Settings!$B$12),NA(),IF(COUNT(OFFSET(F1242,1-Settings!$B$12,0,Settings!$B$12,1))&lt;ROUNDUP(Settings!$B$12*Settings!$B$26,0),NA(),STDEV(OFFSET(F1242,1-Settings!$B$12,0,Settings!$B$12,1))*SQRT(Settings!$B$13)))</f>
        <v/>
      </c>
      <c r="J1242" s="20">
        <f>IF(OR(NOT(ISNUMBER($A1242)),ROW()-2&lt;Settings!$B$11),NA(),IF(COUNT(OFFSET(G1242,1-Settings!$B$11,0,Settings!$B$11,1))&lt;ROUNDUP(Settings!$B$11*Settings!$B$26,0),NA(),STDEV(OFFSET(G1242,1-Settings!$B$11,0,Settings!$B$11,1))*SQRT(Settings!$B$13)))</f>
        <v/>
      </c>
      <c r="K1242" s="20">
        <f>IF(OR(NOT(ISNUMBER($A1242)),ROW()-2&lt;Settings!$B$12),NA(),IF(COUNT(OFFSET(G1242,1-Settings!$B$12,0,Settings!$B$12,1))&lt;ROUNDUP(Settings!$B$12*Settings!$B$26,0),NA(),STDEV(OFFSET(G1242,1-Settings!$B$12,0,Settings!$B$12,1))*SQRT(Settings!$B$13)))</f>
        <v/>
      </c>
      <c r="L1242" s="20">
        <f>IF(AND(ISNUMBER(D1242),ISNUMBER(H1242)),D1242-H1242,NA())</f>
        <v/>
      </c>
      <c r="M1242" s="20">
        <f>IF(AND(ISNUMBER(E1242),ISNUMBER(K1242)),E1242-K1242,NA())</f>
        <v/>
      </c>
      <c r="N1242" s="20">
        <f>IF(NOT(ISNUMBER($A1242)),NA(),IF(COUNT(OFFSET(G1242,1,0,Settings!$B$12,1))&lt;ROUNDUP(Settings!$B$12*Settings!$B$26,0),NA(),STDEV(OFFSET(G1242,1,0,Settings!$B$12,1))*SQRT(Settings!$B$13)))</f>
        <v/>
      </c>
      <c r="O1242" s="20">
        <f>IF(AND(ISNUMBER(E1242),ISNUMBER(N1242)),E1242-N1242,NA())</f>
        <v/>
      </c>
      <c r="P1242" s="19">
        <f>IF(NOT(ISNUMBER($A1242)),NA(),IF(OR($A1242&lt;MIN(KW_TP!$A$2:$A$2501),$A1242&gt;MAX(KW_TP!$A$2:$A$2501)),NA(),INDEX(KW_TP!$C$2:$C$2501,MATCH($A1242,KW_TP!$A$2:$A$2501,1))))</f>
        <v/>
      </c>
      <c r="Q1242" s="18">
        <f>IF(NOT(ISNUMBER($A1242)),NA(),IFERROR(1*INDEX(BBG_Data!$J$2:$J$4000,MATCH($A1242,BBG_Data!$I$2:$I$4000,0)),NA()))</f>
        <v/>
      </c>
      <c r="R1242" s="18">
        <f>IF(NOT(ISNUMBER($A1242)),NA(),IFERROR(1*INDEX(BBG_Data!$L$2:$L$4000,MATCH($A1242,BBG_Data!$K$2:$K$4000,0)),NA()))</f>
        <v/>
      </c>
      <c r="S1242" s="20">
        <f>IF(AND(ISNUMBER(B1242),ISNUMBER(Q1242),ISNUMBER(R1242)),(B1242-Q1242-R1242)*100,NA())</f>
        <v/>
      </c>
      <c r="T1242" s="20">
        <f>IF(AND(ISNUMBER(B1242),Settings!$B$17&gt;0),IF(ISNUMBER(INDEX($B:$B,Settings!$B$17)),(B1242-INDEX($B:$B,Settings!$B$17))*100,NA()),NA())</f>
        <v/>
      </c>
      <c r="U1242" s="20">
        <f>IF(AND(ISNUMBER(Q1242),Settings!$B$17&gt;0),IF(ISNUMBER(INDEX($Q:$Q,Settings!$B$17)),(Q1242-INDEX($Q:$Q,Settings!$B$17))*100,NA()),NA())</f>
        <v/>
      </c>
      <c r="V1242" s="20">
        <f>IF(AND(ISNUMBER(R1242),Settings!$B$17&gt;0),IF(ISNUMBER(INDEX($R:$R,Settings!$B$17)),(R1242-INDEX($R:$R,Settings!$B$17))*100,NA()),NA())</f>
        <v/>
      </c>
      <c r="W1242" s="20">
        <f>IF(AND(ISNUMBER(P1242),Settings!$B$17&gt;0),IF(ISNUMBER(INDEX($P:$P,Settings!$B$17)),P1242-INDEX($P:$P,Settings!$B$17),NA()),NA())</f>
        <v/>
      </c>
      <c r="X1242" s="19">
        <f>IF(NOT(ISNUMBER($A1242)),NA(),IF(OR($A1242&lt;MIN(DKW_10Y!$A$2:$A$2918),$A1242&gt;MAX(DKW_10Y!$A$2:$A$2918),Settings!$B$16&lt;MIN(DKW_10Y!$A$2:$A$2918)),NA(),(INDEX(DKW_10Y!$B$2:$B$2918,MATCH($A1242,DKW_10Y!$A$2:$A$2918,1))-INDEX(DKW_10Y!$B$2:$B$2918,MATCH(Settings!$B$16,DKW_10Y!$A$2:$A$2918,1)))*100))</f>
        <v/>
      </c>
      <c r="Y1242" s="19">
        <f>IF(NOT(ISNUMBER($A1242)),NA(),IF(OR($A1242&lt;MIN(DKW_10Y!$A$2:$A$2918),$A1242&gt;MAX(DKW_10Y!$A$2:$A$2918),Settings!$B$16&lt;MIN(DKW_10Y!$A$2:$A$2918)),NA(),(INDEX(DKW_10Y!$C$2:$C$2918,MATCH($A1242,DKW_10Y!$A$2:$A$2918,1))-INDEX(DKW_10Y!$C$2:$C$2918,MATCH(Settings!$B$16,DKW_10Y!$A$2:$A$2918,1)))*100))</f>
        <v/>
      </c>
      <c r="Z1242" s="19">
        <f>IF(NOT(ISNUMBER($A1242)),NA(),IF(OR($A1242&lt;MIN(DKW_10Y!$A$2:$A$2918),$A1242&gt;MAX(DKW_10Y!$A$2:$A$2918),Settings!$B$16&lt;MIN(DKW_10Y!$A$2:$A$2918)),NA(),(INDEX(DKW_10Y!$D$2:$D$2918,MATCH($A1242,DKW_10Y!$A$2:$A$2918,1))-INDEX(DKW_10Y!$D$2:$D$2918,MATCH(Settings!$B$16,DKW_10Y!$A$2:$A$2918,1)))*100))</f>
        <v/>
      </c>
      <c r="AA1242" s="19">
        <f>IF(NOT(ISNUMBER($A1242)),NA(),IF(OR($A1242&lt;MIN(DKW_10Y!$A$2:$A$2918),$A1242&gt;MAX(DKW_10Y!$A$2:$A$2918),Settings!$B$16&lt;MIN(DKW_10Y!$A$2:$A$2918)),NA(),(INDEX(DKW_10Y!$E$2:$E$2918,MATCH($A1242,DKW_10Y!$A$2:$A$2918,1))-INDEX(DKW_10Y!$E$2:$E$2918,MATCH(Settings!$B$16,DKW_10Y!$A$2:$A$2918,1)))*100))</f>
        <v/>
      </c>
      <c r="AB1242" s="19">
        <f>IF(NOT(ISNUMBER($A1242)),NA(),IF(OR($A1242&lt;MIN(DKW_10Y!$A$2:$A$2918),$A1242&gt;MAX(DKW_10Y!$A$2:$A$2918),Settings!$B$16&lt;MIN(DKW_10Y!$A$2:$A$2918)),NA(),(INDEX(DKW_10Y!$H$2:$H$2918,MATCH($A1242,DKW_10Y!$A$2:$A$2918,1))-INDEX(DKW_10Y!$H$2:$H$2918,MATCH(Settings!$B$16,DKW_10Y!$A$2:$A$2918,1)))*100))</f>
        <v/>
      </c>
      <c r="AC1242" s="18">
        <f>IF(NOT(ISNUMBER($A1242)),NA(),IFERROR(1*INDEX(BBG_Data!$N$2:$N$4000,MATCH($A1242,BBG_Data!$M$2:$M$4000,0)),NA()))</f>
        <v/>
      </c>
      <c r="AD1242" s="18">
        <f>IF(NOT(ISNUMBER($A1242)),NA(),IFERROR(1*INDEX(BBG_Data!$P$2:$P$4000,MATCH($A1242,BBG_Data!$O$2:$O$4000,0)),NA()))</f>
        <v/>
      </c>
      <c r="AE1242" s="18">
        <f>IF(NOT(ISNUMBER($A1242)),NA(),IFERROR(1*INDEX(BBG_Data!$R$2:$R$4000,MATCH($A1242,BBG_Data!$Q$2:$Q$4000,0)),NA()))</f>
        <v/>
      </c>
      <c r="AF1242" s="20">
        <f>IF(AND(ISNUMBER(B1242),ISNUMBER(AC1242)),(B1242-AC1242)*100,NA())</f>
        <v/>
      </c>
      <c r="AG1242" s="20">
        <f>IF(AND(ISNUMBER(AE1242),ISNUMBER(AD1242)),(AE1242-AD1242)*100,NA())</f>
        <v/>
      </c>
      <c r="AH1242" s="19">
        <f>IF(NOT(ISNUMBER($A1242)),NA(),IFERROR(INDEX(BBG_Data!$T$2:$T$4000,MATCH($A1242,BBG_Data!$S$2:$S$4000,0))*Settings!$B$25,NA()))</f>
        <v/>
      </c>
      <c r="AI1242" s="19">
        <f>IF(NOT(ISNUMBER($A1242)),NA(),IFERROR(INDEX(BBG_Data!$V$2:$V$4000,MATCH($A1242,BBG_Data!$U$2:$U$4000,0))*Settings!$B$25,NA()))</f>
        <v/>
      </c>
      <c r="AJ1242" s="19">
        <f>IF(NOT(ISNUMBER($A1242)),NA(),IFERROR(1*INDEX(BBG_Data!$X$2:$X$4000,MATCH($A1242,BBG_Data!$W$2:$W$4000,0)),NA()))</f>
        <v/>
      </c>
      <c r="AK1242" s="19">
        <f>IF(NOT(ISNUMBER($A1242)),NA(),IFERROR(1*INDEX(BBG_Data!$Z$2:$Z$4000,MATCH($A1242,BBG_Data!$Y$2:$Y$4000,0)),NA()))</f>
        <v/>
      </c>
    </row>
    <row r="1243">
      <c r="A1243" s="17">
        <f>IF(ISNUMBER(BBG_Data!A1243),BBG_Data!A1243,"")</f>
        <v/>
      </c>
      <c r="B1243" s="18">
        <f>IF(AND(ISNUMBER($A1243),ISNUMBER(BBG_Data!B1243)),BBG_Data!B1243,NA())</f>
        <v/>
      </c>
      <c r="C1243" s="18">
        <f>IF(NOT(ISNUMBER($A1243)),NA(),IFERROR(1*INDEX(BBG_Data!$D$2:$D$4000,MATCH($A1243,BBG_Data!$C$2:$C$4000,0)),NA()))</f>
        <v/>
      </c>
      <c r="D1243" s="19">
        <f>IF(NOT(ISNUMBER($A1243)),NA(),IFERROR(1*INDEX(BBG_Data!$F$2:$F$4000,MATCH($A1243,BBG_Data!$E$2:$E$4000,0)),NA()))</f>
        <v/>
      </c>
      <c r="E1243" s="19">
        <f>IF(NOT(ISNUMBER($A1243)),NA(),IFERROR(1*INDEX(BBG_Data!$H$2:$H$4000,MATCH($A1243,BBG_Data!$G$2:$G$4000,0)),NA()))</f>
        <v/>
      </c>
      <c r="F1243" s="20">
        <f>IF(AND(ISNUMBER(B1243),ISNUMBER(B1242)),IF(B1243=B1242,"",(B1243-B1242)*100),"")</f>
        <v/>
      </c>
      <c r="G1243" s="20">
        <f>IF(AND(ISNUMBER(C1243),ISNUMBER(C1242)),IF(C1243=C1242,"",(C1243-C1242)*100),"")</f>
        <v/>
      </c>
      <c r="H1243" s="20">
        <f>IF(OR(NOT(ISNUMBER($A1243)),ROW()-2&lt;Settings!$B$11),NA(),IF(COUNT(OFFSET(F1243,1-Settings!$B$11,0,Settings!$B$11,1))&lt;ROUNDUP(Settings!$B$11*Settings!$B$26,0),NA(),STDEV(OFFSET(F1243,1-Settings!$B$11,0,Settings!$B$11,1))*SQRT(Settings!$B$13)))</f>
        <v/>
      </c>
      <c r="I1243" s="20">
        <f>IF(OR(NOT(ISNUMBER($A1243)),ROW()-2&lt;Settings!$B$12),NA(),IF(COUNT(OFFSET(F1243,1-Settings!$B$12,0,Settings!$B$12,1))&lt;ROUNDUP(Settings!$B$12*Settings!$B$26,0),NA(),STDEV(OFFSET(F1243,1-Settings!$B$12,0,Settings!$B$12,1))*SQRT(Settings!$B$13)))</f>
        <v/>
      </c>
      <c r="J1243" s="20">
        <f>IF(OR(NOT(ISNUMBER($A1243)),ROW()-2&lt;Settings!$B$11),NA(),IF(COUNT(OFFSET(G1243,1-Settings!$B$11,0,Settings!$B$11,1))&lt;ROUNDUP(Settings!$B$11*Settings!$B$26,0),NA(),STDEV(OFFSET(G1243,1-Settings!$B$11,0,Settings!$B$11,1))*SQRT(Settings!$B$13)))</f>
        <v/>
      </c>
      <c r="K1243" s="20">
        <f>IF(OR(NOT(ISNUMBER($A1243)),ROW()-2&lt;Settings!$B$12),NA(),IF(COUNT(OFFSET(G1243,1-Settings!$B$12,0,Settings!$B$12,1))&lt;ROUNDUP(Settings!$B$12*Settings!$B$26,0),NA(),STDEV(OFFSET(G1243,1-Settings!$B$12,0,Settings!$B$12,1))*SQRT(Settings!$B$13)))</f>
        <v/>
      </c>
      <c r="L1243" s="20">
        <f>IF(AND(ISNUMBER(D1243),ISNUMBER(H1243)),D1243-H1243,NA())</f>
        <v/>
      </c>
      <c r="M1243" s="20">
        <f>IF(AND(ISNUMBER(E1243),ISNUMBER(K1243)),E1243-K1243,NA())</f>
        <v/>
      </c>
      <c r="N1243" s="20">
        <f>IF(NOT(ISNUMBER($A1243)),NA(),IF(COUNT(OFFSET(G1243,1,0,Settings!$B$12,1))&lt;ROUNDUP(Settings!$B$12*Settings!$B$26,0),NA(),STDEV(OFFSET(G1243,1,0,Settings!$B$12,1))*SQRT(Settings!$B$13)))</f>
        <v/>
      </c>
      <c r="O1243" s="20">
        <f>IF(AND(ISNUMBER(E1243),ISNUMBER(N1243)),E1243-N1243,NA())</f>
        <v/>
      </c>
      <c r="P1243" s="19">
        <f>IF(NOT(ISNUMBER($A1243)),NA(),IF(OR($A1243&lt;MIN(KW_TP!$A$2:$A$2501),$A1243&gt;MAX(KW_TP!$A$2:$A$2501)),NA(),INDEX(KW_TP!$C$2:$C$2501,MATCH($A1243,KW_TP!$A$2:$A$2501,1))))</f>
        <v/>
      </c>
      <c r="Q1243" s="18">
        <f>IF(NOT(ISNUMBER($A1243)),NA(),IFERROR(1*INDEX(BBG_Data!$J$2:$J$4000,MATCH($A1243,BBG_Data!$I$2:$I$4000,0)),NA()))</f>
        <v/>
      </c>
      <c r="R1243" s="18">
        <f>IF(NOT(ISNUMBER($A1243)),NA(),IFERROR(1*INDEX(BBG_Data!$L$2:$L$4000,MATCH($A1243,BBG_Data!$K$2:$K$4000,0)),NA()))</f>
        <v/>
      </c>
      <c r="S1243" s="20">
        <f>IF(AND(ISNUMBER(B1243),ISNUMBER(Q1243),ISNUMBER(R1243)),(B1243-Q1243-R1243)*100,NA())</f>
        <v/>
      </c>
      <c r="T1243" s="20">
        <f>IF(AND(ISNUMBER(B1243),Settings!$B$17&gt;0),IF(ISNUMBER(INDEX($B:$B,Settings!$B$17)),(B1243-INDEX($B:$B,Settings!$B$17))*100,NA()),NA())</f>
        <v/>
      </c>
      <c r="U1243" s="20">
        <f>IF(AND(ISNUMBER(Q1243),Settings!$B$17&gt;0),IF(ISNUMBER(INDEX($Q:$Q,Settings!$B$17)),(Q1243-INDEX($Q:$Q,Settings!$B$17))*100,NA()),NA())</f>
        <v/>
      </c>
      <c r="V1243" s="20">
        <f>IF(AND(ISNUMBER(R1243),Settings!$B$17&gt;0),IF(ISNUMBER(INDEX($R:$R,Settings!$B$17)),(R1243-INDEX($R:$R,Settings!$B$17))*100,NA()),NA())</f>
        <v/>
      </c>
      <c r="W1243" s="20">
        <f>IF(AND(ISNUMBER(P1243),Settings!$B$17&gt;0),IF(ISNUMBER(INDEX($P:$P,Settings!$B$17)),P1243-INDEX($P:$P,Settings!$B$17),NA()),NA())</f>
        <v/>
      </c>
      <c r="X1243" s="19">
        <f>IF(NOT(ISNUMBER($A1243)),NA(),IF(OR($A1243&lt;MIN(DKW_10Y!$A$2:$A$2918),$A1243&gt;MAX(DKW_10Y!$A$2:$A$2918),Settings!$B$16&lt;MIN(DKW_10Y!$A$2:$A$2918)),NA(),(INDEX(DKW_10Y!$B$2:$B$2918,MATCH($A1243,DKW_10Y!$A$2:$A$2918,1))-INDEX(DKW_10Y!$B$2:$B$2918,MATCH(Settings!$B$16,DKW_10Y!$A$2:$A$2918,1)))*100))</f>
        <v/>
      </c>
      <c r="Y1243" s="19">
        <f>IF(NOT(ISNUMBER($A1243)),NA(),IF(OR($A1243&lt;MIN(DKW_10Y!$A$2:$A$2918),$A1243&gt;MAX(DKW_10Y!$A$2:$A$2918),Settings!$B$16&lt;MIN(DKW_10Y!$A$2:$A$2918)),NA(),(INDEX(DKW_10Y!$C$2:$C$2918,MATCH($A1243,DKW_10Y!$A$2:$A$2918,1))-INDEX(DKW_10Y!$C$2:$C$2918,MATCH(Settings!$B$16,DKW_10Y!$A$2:$A$2918,1)))*100))</f>
        <v/>
      </c>
      <c r="Z1243" s="19">
        <f>IF(NOT(ISNUMBER($A1243)),NA(),IF(OR($A1243&lt;MIN(DKW_10Y!$A$2:$A$2918),$A1243&gt;MAX(DKW_10Y!$A$2:$A$2918),Settings!$B$16&lt;MIN(DKW_10Y!$A$2:$A$2918)),NA(),(INDEX(DKW_10Y!$D$2:$D$2918,MATCH($A1243,DKW_10Y!$A$2:$A$2918,1))-INDEX(DKW_10Y!$D$2:$D$2918,MATCH(Settings!$B$16,DKW_10Y!$A$2:$A$2918,1)))*100))</f>
        <v/>
      </c>
      <c r="AA1243" s="19">
        <f>IF(NOT(ISNUMBER($A1243)),NA(),IF(OR($A1243&lt;MIN(DKW_10Y!$A$2:$A$2918),$A1243&gt;MAX(DKW_10Y!$A$2:$A$2918),Settings!$B$16&lt;MIN(DKW_10Y!$A$2:$A$2918)),NA(),(INDEX(DKW_10Y!$E$2:$E$2918,MATCH($A1243,DKW_10Y!$A$2:$A$2918,1))-INDEX(DKW_10Y!$E$2:$E$2918,MATCH(Settings!$B$16,DKW_10Y!$A$2:$A$2918,1)))*100))</f>
        <v/>
      </c>
      <c r="AB1243" s="19">
        <f>IF(NOT(ISNUMBER($A1243)),NA(),IF(OR($A1243&lt;MIN(DKW_10Y!$A$2:$A$2918),$A1243&gt;MAX(DKW_10Y!$A$2:$A$2918),Settings!$B$16&lt;MIN(DKW_10Y!$A$2:$A$2918)),NA(),(INDEX(DKW_10Y!$H$2:$H$2918,MATCH($A1243,DKW_10Y!$A$2:$A$2918,1))-INDEX(DKW_10Y!$H$2:$H$2918,MATCH(Settings!$B$16,DKW_10Y!$A$2:$A$2918,1)))*100))</f>
        <v/>
      </c>
      <c r="AC1243" s="18">
        <f>IF(NOT(ISNUMBER($A1243)),NA(),IFERROR(1*INDEX(BBG_Data!$N$2:$N$4000,MATCH($A1243,BBG_Data!$M$2:$M$4000,0)),NA()))</f>
        <v/>
      </c>
      <c r="AD1243" s="18">
        <f>IF(NOT(ISNUMBER($A1243)),NA(),IFERROR(1*INDEX(BBG_Data!$P$2:$P$4000,MATCH($A1243,BBG_Data!$O$2:$O$4000,0)),NA()))</f>
        <v/>
      </c>
      <c r="AE1243" s="18">
        <f>IF(NOT(ISNUMBER($A1243)),NA(),IFERROR(1*INDEX(BBG_Data!$R$2:$R$4000,MATCH($A1243,BBG_Data!$Q$2:$Q$4000,0)),NA()))</f>
        <v/>
      </c>
      <c r="AF1243" s="20">
        <f>IF(AND(ISNUMBER(B1243),ISNUMBER(AC1243)),(B1243-AC1243)*100,NA())</f>
        <v/>
      </c>
      <c r="AG1243" s="20">
        <f>IF(AND(ISNUMBER(AE1243),ISNUMBER(AD1243)),(AE1243-AD1243)*100,NA())</f>
        <v/>
      </c>
      <c r="AH1243" s="19">
        <f>IF(NOT(ISNUMBER($A1243)),NA(),IFERROR(INDEX(BBG_Data!$T$2:$T$4000,MATCH($A1243,BBG_Data!$S$2:$S$4000,0))*Settings!$B$25,NA()))</f>
        <v/>
      </c>
      <c r="AI1243" s="19">
        <f>IF(NOT(ISNUMBER($A1243)),NA(),IFERROR(INDEX(BBG_Data!$V$2:$V$4000,MATCH($A1243,BBG_Data!$U$2:$U$4000,0))*Settings!$B$25,NA()))</f>
        <v/>
      </c>
      <c r="AJ1243" s="19">
        <f>IF(NOT(ISNUMBER($A1243)),NA(),IFERROR(1*INDEX(BBG_Data!$X$2:$X$4000,MATCH($A1243,BBG_Data!$W$2:$W$4000,0)),NA()))</f>
        <v/>
      </c>
      <c r="AK1243" s="19">
        <f>IF(NOT(ISNUMBER($A1243)),NA(),IFERROR(1*INDEX(BBG_Data!$Z$2:$Z$4000,MATCH($A1243,BBG_Data!$Y$2:$Y$4000,0)),NA()))</f>
        <v/>
      </c>
    </row>
    <row r="1244">
      <c r="A1244" s="17">
        <f>IF(ISNUMBER(BBG_Data!A1244),BBG_Data!A1244,"")</f>
        <v/>
      </c>
      <c r="B1244" s="18">
        <f>IF(AND(ISNUMBER($A1244),ISNUMBER(BBG_Data!B1244)),BBG_Data!B1244,NA())</f>
        <v/>
      </c>
      <c r="C1244" s="18">
        <f>IF(NOT(ISNUMBER($A1244)),NA(),IFERROR(1*INDEX(BBG_Data!$D$2:$D$4000,MATCH($A1244,BBG_Data!$C$2:$C$4000,0)),NA()))</f>
        <v/>
      </c>
      <c r="D1244" s="19">
        <f>IF(NOT(ISNUMBER($A1244)),NA(),IFERROR(1*INDEX(BBG_Data!$F$2:$F$4000,MATCH($A1244,BBG_Data!$E$2:$E$4000,0)),NA()))</f>
        <v/>
      </c>
      <c r="E1244" s="19">
        <f>IF(NOT(ISNUMBER($A1244)),NA(),IFERROR(1*INDEX(BBG_Data!$H$2:$H$4000,MATCH($A1244,BBG_Data!$G$2:$G$4000,0)),NA()))</f>
        <v/>
      </c>
      <c r="F1244" s="20">
        <f>IF(AND(ISNUMBER(B1244),ISNUMBER(B1243)),IF(B1244=B1243,"",(B1244-B1243)*100),"")</f>
        <v/>
      </c>
      <c r="G1244" s="20">
        <f>IF(AND(ISNUMBER(C1244),ISNUMBER(C1243)),IF(C1244=C1243,"",(C1244-C1243)*100),"")</f>
        <v/>
      </c>
      <c r="H1244" s="20">
        <f>IF(OR(NOT(ISNUMBER($A1244)),ROW()-2&lt;Settings!$B$11),NA(),IF(COUNT(OFFSET(F1244,1-Settings!$B$11,0,Settings!$B$11,1))&lt;ROUNDUP(Settings!$B$11*Settings!$B$26,0),NA(),STDEV(OFFSET(F1244,1-Settings!$B$11,0,Settings!$B$11,1))*SQRT(Settings!$B$13)))</f>
        <v/>
      </c>
      <c r="I1244" s="20">
        <f>IF(OR(NOT(ISNUMBER($A1244)),ROW()-2&lt;Settings!$B$12),NA(),IF(COUNT(OFFSET(F1244,1-Settings!$B$12,0,Settings!$B$12,1))&lt;ROUNDUP(Settings!$B$12*Settings!$B$26,0),NA(),STDEV(OFFSET(F1244,1-Settings!$B$12,0,Settings!$B$12,1))*SQRT(Settings!$B$13)))</f>
        <v/>
      </c>
      <c r="J1244" s="20">
        <f>IF(OR(NOT(ISNUMBER($A1244)),ROW()-2&lt;Settings!$B$11),NA(),IF(COUNT(OFFSET(G1244,1-Settings!$B$11,0,Settings!$B$11,1))&lt;ROUNDUP(Settings!$B$11*Settings!$B$26,0),NA(),STDEV(OFFSET(G1244,1-Settings!$B$11,0,Settings!$B$11,1))*SQRT(Settings!$B$13)))</f>
        <v/>
      </c>
      <c r="K1244" s="20">
        <f>IF(OR(NOT(ISNUMBER($A1244)),ROW()-2&lt;Settings!$B$12),NA(),IF(COUNT(OFFSET(G1244,1-Settings!$B$12,0,Settings!$B$12,1))&lt;ROUNDUP(Settings!$B$12*Settings!$B$26,0),NA(),STDEV(OFFSET(G1244,1-Settings!$B$12,0,Settings!$B$12,1))*SQRT(Settings!$B$13)))</f>
        <v/>
      </c>
      <c r="L1244" s="20">
        <f>IF(AND(ISNUMBER(D1244),ISNUMBER(H1244)),D1244-H1244,NA())</f>
        <v/>
      </c>
      <c r="M1244" s="20">
        <f>IF(AND(ISNUMBER(E1244),ISNUMBER(K1244)),E1244-K1244,NA())</f>
        <v/>
      </c>
      <c r="N1244" s="20">
        <f>IF(NOT(ISNUMBER($A1244)),NA(),IF(COUNT(OFFSET(G1244,1,0,Settings!$B$12,1))&lt;ROUNDUP(Settings!$B$12*Settings!$B$26,0),NA(),STDEV(OFFSET(G1244,1,0,Settings!$B$12,1))*SQRT(Settings!$B$13)))</f>
        <v/>
      </c>
      <c r="O1244" s="20">
        <f>IF(AND(ISNUMBER(E1244),ISNUMBER(N1244)),E1244-N1244,NA())</f>
        <v/>
      </c>
      <c r="P1244" s="19">
        <f>IF(NOT(ISNUMBER($A1244)),NA(),IF(OR($A1244&lt;MIN(KW_TP!$A$2:$A$2501),$A1244&gt;MAX(KW_TP!$A$2:$A$2501)),NA(),INDEX(KW_TP!$C$2:$C$2501,MATCH($A1244,KW_TP!$A$2:$A$2501,1))))</f>
        <v/>
      </c>
      <c r="Q1244" s="18">
        <f>IF(NOT(ISNUMBER($A1244)),NA(),IFERROR(1*INDEX(BBG_Data!$J$2:$J$4000,MATCH($A1244,BBG_Data!$I$2:$I$4000,0)),NA()))</f>
        <v/>
      </c>
      <c r="R1244" s="18">
        <f>IF(NOT(ISNUMBER($A1244)),NA(),IFERROR(1*INDEX(BBG_Data!$L$2:$L$4000,MATCH($A1244,BBG_Data!$K$2:$K$4000,0)),NA()))</f>
        <v/>
      </c>
      <c r="S1244" s="20">
        <f>IF(AND(ISNUMBER(B1244),ISNUMBER(Q1244),ISNUMBER(R1244)),(B1244-Q1244-R1244)*100,NA())</f>
        <v/>
      </c>
      <c r="T1244" s="20">
        <f>IF(AND(ISNUMBER(B1244),Settings!$B$17&gt;0),IF(ISNUMBER(INDEX($B:$B,Settings!$B$17)),(B1244-INDEX($B:$B,Settings!$B$17))*100,NA()),NA())</f>
        <v/>
      </c>
      <c r="U1244" s="20">
        <f>IF(AND(ISNUMBER(Q1244),Settings!$B$17&gt;0),IF(ISNUMBER(INDEX($Q:$Q,Settings!$B$17)),(Q1244-INDEX($Q:$Q,Settings!$B$17))*100,NA()),NA())</f>
        <v/>
      </c>
      <c r="V1244" s="20">
        <f>IF(AND(ISNUMBER(R1244),Settings!$B$17&gt;0),IF(ISNUMBER(INDEX($R:$R,Settings!$B$17)),(R1244-INDEX($R:$R,Settings!$B$17))*100,NA()),NA())</f>
        <v/>
      </c>
      <c r="W1244" s="20">
        <f>IF(AND(ISNUMBER(P1244),Settings!$B$17&gt;0),IF(ISNUMBER(INDEX($P:$P,Settings!$B$17)),P1244-INDEX($P:$P,Settings!$B$17),NA()),NA())</f>
        <v/>
      </c>
      <c r="X1244" s="19">
        <f>IF(NOT(ISNUMBER($A1244)),NA(),IF(OR($A1244&lt;MIN(DKW_10Y!$A$2:$A$2918),$A1244&gt;MAX(DKW_10Y!$A$2:$A$2918),Settings!$B$16&lt;MIN(DKW_10Y!$A$2:$A$2918)),NA(),(INDEX(DKW_10Y!$B$2:$B$2918,MATCH($A1244,DKW_10Y!$A$2:$A$2918,1))-INDEX(DKW_10Y!$B$2:$B$2918,MATCH(Settings!$B$16,DKW_10Y!$A$2:$A$2918,1)))*100))</f>
        <v/>
      </c>
      <c r="Y1244" s="19">
        <f>IF(NOT(ISNUMBER($A1244)),NA(),IF(OR($A1244&lt;MIN(DKW_10Y!$A$2:$A$2918),$A1244&gt;MAX(DKW_10Y!$A$2:$A$2918),Settings!$B$16&lt;MIN(DKW_10Y!$A$2:$A$2918)),NA(),(INDEX(DKW_10Y!$C$2:$C$2918,MATCH($A1244,DKW_10Y!$A$2:$A$2918,1))-INDEX(DKW_10Y!$C$2:$C$2918,MATCH(Settings!$B$16,DKW_10Y!$A$2:$A$2918,1)))*100))</f>
        <v/>
      </c>
      <c r="Z1244" s="19">
        <f>IF(NOT(ISNUMBER($A1244)),NA(),IF(OR($A1244&lt;MIN(DKW_10Y!$A$2:$A$2918),$A1244&gt;MAX(DKW_10Y!$A$2:$A$2918),Settings!$B$16&lt;MIN(DKW_10Y!$A$2:$A$2918)),NA(),(INDEX(DKW_10Y!$D$2:$D$2918,MATCH($A1244,DKW_10Y!$A$2:$A$2918,1))-INDEX(DKW_10Y!$D$2:$D$2918,MATCH(Settings!$B$16,DKW_10Y!$A$2:$A$2918,1)))*100))</f>
        <v/>
      </c>
      <c r="AA1244" s="19">
        <f>IF(NOT(ISNUMBER($A1244)),NA(),IF(OR($A1244&lt;MIN(DKW_10Y!$A$2:$A$2918),$A1244&gt;MAX(DKW_10Y!$A$2:$A$2918),Settings!$B$16&lt;MIN(DKW_10Y!$A$2:$A$2918)),NA(),(INDEX(DKW_10Y!$E$2:$E$2918,MATCH($A1244,DKW_10Y!$A$2:$A$2918,1))-INDEX(DKW_10Y!$E$2:$E$2918,MATCH(Settings!$B$16,DKW_10Y!$A$2:$A$2918,1)))*100))</f>
        <v/>
      </c>
      <c r="AB1244" s="19">
        <f>IF(NOT(ISNUMBER($A1244)),NA(),IF(OR($A1244&lt;MIN(DKW_10Y!$A$2:$A$2918),$A1244&gt;MAX(DKW_10Y!$A$2:$A$2918),Settings!$B$16&lt;MIN(DKW_10Y!$A$2:$A$2918)),NA(),(INDEX(DKW_10Y!$H$2:$H$2918,MATCH($A1244,DKW_10Y!$A$2:$A$2918,1))-INDEX(DKW_10Y!$H$2:$H$2918,MATCH(Settings!$B$16,DKW_10Y!$A$2:$A$2918,1)))*100))</f>
        <v/>
      </c>
      <c r="AC1244" s="18">
        <f>IF(NOT(ISNUMBER($A1244)),NA(),IFERROR(1*INDEX(BBG_Data!$N$2:$N$4000,MATCH($A1244,BBG_Data!$M$2:$M$4000,0)),NA()))</f>
        <v/>
      </c>
      <c r="AD1244" s="18">
        <f>IF(NOT(ISNUMBER($A1244)),NA(),IFERROR(1*INDEX(BBG_Data!$P$2:$P$4000,MATCH($A1244,BBG_Data!$O$2:$O$4000,0)),NA()))</f>
        <v/>
      </c>
      <c r="AE1244" s="18">
        <f>IF(NOT(ISNUMBER($A1244)),NA(),IFERROR(1*INDEX(BBG_Data!$R$2:$R$4000,MATCH($A1244,BBG_Data!$Q$2:$Q$4000,0)),NA()))</f>
        <v/>
      </c>
      <c r="AF1244" s="20">
        <f>IF(AND(ISNUMBER(B1244),ISNUMBER(AC1244)),(B1244-AC1244)*100,NA())</f>
        <v/>
      </c>
      <c r="AG1244" s="20">
        <f>IF(AND(ISNUMBER(AE1244),ISNUMBER(AD1244)),(AE1244-AD1244)*100,NA())</f>
        <v/>
      </c>
      <c r="AH1244" s="19">
        <f>IF(NOT(ISNUMBER($A1244)),NA(),IFERROR(INDEX(BBG_Data!$T$2:$T$4000,MATCH($A1244,BBG_Data!$S$2:$S$4000,0))*Settings!$B$25,NA()))</f>
        <v/>
      </c>
      <c r="AI1244" s="19">
        <f>IF(NOT(ISNUMBER($A1244)),NA(),IFERROR(INDEX(BBG_Data!$V$2:$V$4000,MATCH($A1244,BBG_Data!$U$2:$U$4000,0))*Settings!$B$25,NA()))</f>
        <v/>
      </c>
      <c r="AJ1244" s="19">
        <f>IF(NOT(ISNUMBER($A1244)),NA(),IFERROR(1*INDEX(BBG_Data!$X$2:$X$4000,MATCH($A1244,BBG_Data!$W$2:$W$4000,0)),NA()))</f>
        <v/>
      </c>
      <c r="AK1244" s="19">
        <f>IF(NOT(ISNUMBER($A1244)),NA(),IFERROR(1*INDEX(BBG_Data!$Z$2:$Z$4000,MATCH($A1244,BBG_Data!$Y$2:$Y$4000,0)),NA()))</f>
        <v/>
      </c>
    </row>
    <row r="1245">
      <c r="A1245" s="17">
        <f>IF(ISNUMBER(BBG_Data!A1245),BBG_Data!A1245,"")</f>
        <v/>
      </c>
      <c r="B1245" s="18">
        <f>IF(AND(ISNUMBER($A1245),ISNUMBER(BBG_Data!B1245)),BBG_Data!B1245,NA())</f>
        <v/>
      </c>
      <c r="C1245" s="18">
        <f>IF(NOT(ISNUMBER($A1245)),NA(),IFERROR(1*INDEX(BBG_Data!$D$2:$D$4000,MATCH($A1245,BBG_Data!$C$2:$C$4000,0)),NA()))</f>
        <v/>
      </c>
      <c r="D1245" s="19">
        <f>IF(NOT(ISNUMBER($A1245)),NA(),IFERROR(1*INDEX(BBG_Data!$F$2:$F$4000,MATCH($A1245,BBG_Data!$E$2:$E$4000,0)),NA()))</f>
        <v/>
      </c>
      <c r="E1245" s="19">
        <f>IF(NOT(ISNUMBER($A1245)),NA(),IFERROR(1*INDEX(BBG_Data!$H$2:$H$4000,MATCH($A1245,BBG_Data!$G$2:$G$4000,0)),NA()))</f>
        <v/>
      </c>
      <c r="F1245" s="20">
        <f>IF(AND(ISNUMBER(B1245),ISNUMBER(B1244)),IF(B1245=B1244,"",(B1245-B1244)*100),"")</f>
        <v/>
      </c>
      <c r="G1245" s="20">
        <f>IF(AND(ISNUMBER(C1245),ISNUMBER(C1244)),IF(C1245=C1244,"",(C1245-C1244)*100),"")</f>
        <v/>
      </c>
      <c r="H1245" s="20">
        <f>IF(OR(NOT(ISNUMBER($A1245)),ROW()-2&lt;Settings!$B$11),NA(),IF(COUNT(OFFSET(F1245,1-Settings!$B$11,0,Settings!$B$11,1))&lt;ROUNDUP(Settings!$B$11*Settings!$B$26,0),NA(),STDEV(OFFSET(F1245,1-Settings!$B$11,0,Settings!$B$11,1))*SQRT(Settings!$B$13)))</f>
        <v/>
      </c>
      <c r="I1245" s="20">
        <f>IF(OR(NOT(ISNUMBER($A1245)),ROW()-2&lt;Settings!$B$12),NA(),IF(COUNT(OFFSET(F1245,1-Settings!$B$12,0,Settings!$B$12,1))&lt;ROUNDUP(Settings!$B$12*Settings!$B$26,0),NA(),STDEV(OFFSET(F1245,1-Settings!$B$12,0,Settings!$B$12,1))*SQRT(Settings!$B$13)))</f>
        <v/>
      </c>
      <c r="J1245" s="20">
        <f>IF(OR(NOT(ISNUMBER($A1245)),ROW()-2&lt;Settings!$B$11),NA(),IF(COUNT(OFFSET(G1245,1-Settings!$B$11,0,Settings!$B$11,1))&lt;ROUNDUP(Settings!$B$11*Settings!$B$26,0),NA(),STDEV(OFFSET(G1245,1-Settings!$B$11,0,Settings!$B$11,1))*SQRT(Settings!$B$13)))</f>
        <v/>
      </c>
      <c r="K1245" s="20">
        <f>IF(OR(NOT(ISNUMBER($A1245)),ROW()-2&lt;Settings!$B$12),NA(),IF(COUNT(OFFSET(G1245,1-Settings!$B$12,0,Settings!$B$12,1))&lt;ROUNDUP(Settings!$B$12*Settings!$B$26,0),NA(),STDEV(OFFSET(G1245,1-Settings!$B$12,0,Settings!$B$12,1))*SQRT(Settings!$B$13)))</f>
        <v/>
      </c>
      <c r="L1245" s="20">
        <f>IF(AND(ISNUMBER(D1245),ISNUMBER(H1245)),D1245-H1245,NA())</f>
        <v/>
      </c>
      <c r="M1245" s="20">
        <f>IF(AND(ISNUMBER(E1245),ISNUMBER(K1245)),E1245-K1245,NA())</f>
        <v/>
      </c>
      <c r="N1245" s="20">
        <f>IF(NOT(ISNUMBER($A1245)),NA(),IF(COUNT(OFFSET(G1245,1,0,Settings!$B$12,1))&lt;ROUNDUP(Settings!$B$12*Settings!$B$26,0),NA(),STDEV(OFFSET(G1245,1,0,Settings!$B$12,1))*SQRT(Settings!$B$13)))</f>
        <v/>
      </c>
      <c r="O1245" s="20">
        <f>IF(AND(ISNUMBER(E1245),ISNUMBER(N1245)),E1245-N1245,NA())</f>
        <v/>
      </c>
      <c r="P1245" s="19">
        <f>IF(NOT(ISNUMBER($A1245)),NA(),IF(OR($A1245&lt;MIN(KW_TP!$A$2:$A$2501),$A1245&gt;MAX(KW_TP!$A$2:$A$2501)),NA(),INDEX(KW_TP!$C$2:$C$2501,MATCH($A1245,KW_TP!$A$2:$A$2501,1))))</f>
        <v/>
      </c>
      <c r="Q1245" s="18">
        <f>IF(NOT(ISNUMBER($A1245)),NA(),IFERROR(1*INDEX(BBG_Data!$J$2:$J$4000,MATCH($A1245,BBG_Data!$I$2:$I$4000,0)),NA()))</f>
        <v/>
      </c>
      <c r="R1245" s="18">
        <f>IF(NOT(ISNUMBER($A1245)),NA(),IFERROR(1*INDEX(BBG_Data!$L$2:$L$4000,MATCH($A1245,BBG_Data!$K$2:$K$4000,0)),NA()))</f>
        <v/>
      </c>
      <c r="S1245" s="20">
        <f>IF(AND(ISNUMBER(B1245),ISNUMBER(Q1245),ISNUMBER(R1245)),(B1245-Q1245-R1245)*100,NA())</f>
        <v/>
      </c>
      <c r="T1245" s="20">
        <f>IF(AND(ISNUMBER(B1245),Settings!$B$17&gt;0),IF(ISNUMBER(INDEX($B:$B,Settings!$B$17)),(B1245-INDEX($B:$B,Settings!$B$17))*100,NA()),NA())</f>
        <v/>
      </c>
      <c r="U1245" s="20">
        <f>IF(AND(ISNUMBER(Q1245),Settings!$B$17&gt;0),IF(ISNUMBER(INDEX($Q:$Q,Settings!$B$17)),(Q1245-INDEX($Q:$Q,Settings!$B$17))*100,NA()),NA())</f>
        <v/>
      </c>
      <c r="V1245" s="20">
        <f>IF(AND(ISNUMBER(R1245),Settings!$B$17&gt;0),IF(ISNUMBER(INDEX($R:$R,Settings!$B$17)),(R1245-INDEX($R:$R,Settings!$B$17))*100,NA()),NA())</f>
        <v/>
      </c>
      <c r="W1245" s="20">
        <f>IF(AND(ISNUMBER(P1245),Settings!$B$17&gt;0),IF(ISNUMBER(INDEX($P:$P,Settings!$B$17)),P1245-INDEX($P:$P,Settings!$B$17),NA()),NA())</f>
        <v/>
      </c>
      <c r="X1245" s="19">
        <f>IF(NOT(ISNUMBER($A1245)),NA(),IF(OR($A1245&lt;MIN(DKW_10Y!$A$2:$A$2918),$A1245&gt;MAX(DKW_10Y!$A$2:$A$2918),Settings!$B$16&lt;MIN(DKW_10Y!$A$2:$A$2918)),NA(),(INDEX(DKW_10Y!$B$2:$B$2918,MATCH($A1245,DKW_10Y!$A$2:$A$2918,1))-INDEX(DKW_10Y!$B$2:$B$2918,MATCH(Settings!$B$16,DKW_10Y!$A$2:$A$2918,1)))*100))</f>
        <v/>
      </c>
      <c r="Y1245" s="19">
        <f>IF(NOT(ISNUMBER($A1245)),NA(),IF(OR($A1245&lt;MIN(DKW_10Y!$A$2:$A$2918),$A1245&gt;MAX(DKW_10Y!$A$2:$A$2918),Settings!$B$16&lt;MIN(DKW_10Y!$A$2:$A$2918)),NA(),(INDEX(DKW_10Y!$C$2:$C$2918,MATCH($A1245,DKW_10Y!$A$2:$A$2918,1))-INDEX(DKW_10Y!$C$2:$C$2918,MATCH(Settings!$B$16,DKW_10Y!$A$2:$A$2918,1)))*100))</f>
        <v/>
      </c>
      <c r="Z1245" s="19">
        <f>IF(NOT(ISNUMBER($A1245)),NA(),IF(OR($A1245&lt;MIN(DKW_10Y!$A$2:$A$2918),$A1245&gt;MAX(DKW_10Y!$A$2:$A$2918),Settings!$B$16&lt;MIN(DKW_10Y!$A$2:$A$2918)),NA(),(INDEX(DKW_10Y!$D$2:$D$2918,MATCH($A1245,DKW_10Y!$A$2:$A$2918,1))-INDEX(DKW_10Y!$D$2:$D$2918,MATCH(Settings!$B$16,DKW_10Y!$A$2:$A$2918,1)))*100))</f>
        <v/>
      </c>
      <c r="AA1245" s="19">
        <f>IF(NOT(ISNUMBER($A1245)),NA(),IF(OR($A1245&lt;MIN(DKW_10Y!$A$2:$A$2918),$A1245&gt;MAX(DKW_10Y!$A$2:$A$2918),Settings!$B$16&lt;MIN(DKW_10Y!$A$2:$A$2918)),NA(),(INDEX(DKW_10Y!$E$2:$E$2918,MATCH($A1245,DKW_10Y!$A$2:$A$2918,1))-INDEX(DKW_10Y!$E$2:$E$2918,MATCH(Settings!$B$16,DKW_10Y!$A$2:$A$2918,1)))*100))</f>
        <v/>
      </c>
      <c r="AB1245" s="19">
        <f>IF(NOT(ISNUMBER($A1245)),NA(),IF(OR($A1245&lt;MIN(DKW_10Y!$A$2:$A$2918),$A1245&gt;MAX(DKW_10Y!$A$2:$A$2918),Settings!$B$16&lt;MIN(DKW_10Y!$A$2:$A$2918)),NA(),(INDEX(DKW_10Y!$H$2:$H$2918,MATCH($A1245,DKW_10Y!$A$2:$A$2918,1))-INDEX(DKW_10Y!$H$2:$H$2918,MATCH(Settings!$B$16,DKW_10Y!$A$2:$A$2918,1)))*100))</f>
        <v/>
      </c>
      <c r="AC1245" s="18">
        <f>IF(NOT(ISNUMBER($A1245)),NA(),IFERROR(1*INDEX(BBG_Data!$N$2:$N$4000,MATCH($A1245,BBG_Data!$M$2:$M$4000,0)),NA()))</f>
        <v/>
      </c>
      <c r="AD1245" s="18">
        <f>IF(NOT(ISNUMBER($A1245)),NA(),IFERROR(1*INDEX(BBG_Data!$P$2:$P$4000,MATCH($A1245,BBG_Data!$O$2:$O$4000,0)),NA()))</f>
        <v/>
      </c>
      <c r="AE1245" s="18">
        <f>IF(NOT(ISNUMBER($A1245)),NA(),IFERROR(1*INDEX(BBG_Data!$R$2:$R$4000,MATCH($A1245,BBG_Data!$Q$2:$Q$4000,0)),NA()))</f>
        <v/>
      </c>
      <c r="AF1245" s="20">
        <f>IF(AND(ISNUMBER(B1245),ISNUMBER(AC1245)),(B1245-AC1245)*100,NA())</f>
        <v/>
      </c>
      <c r="AG1245" s="20">
        <f>IF(AND(ISNUMBER(AE1245),ISNUMBER(AD1245)),(AE1245-AD1245)*100,NA())</f>
        <v/>
      </c>
      <c r="AH1245" s="19">
        <f>IF(NOT(ISNUMBER($A1245)),NA(),IFERROR(INDEX(BBG_Data!$T$2:$T$4000,MATCH($A1245,BBG_Data!$S$2:$S$4000,0))*Settings!$B$25,NA()))</f>
        <v/>
      </c>
      <c r="AI1245" s="19">
        <f>IF(NOT(ISNUMBER($A1245)),NA(),IFERROR(INDEX(BBG_Data!$V$2:$V$4000,MATCH($A1245,BBG_Data!$U$2:$U$4000,0))*Settings!$B$25,NA()))</f>
        <v/>
      </c>
      <c r="AJ1245" s="19">
        <f>IF(NOT(ISNUMBER($A1245)),NA(),IFERROR(1*INDEX(BBG_Data!$X$2:$X$4000,MATCH($A1245,BBG_Data!$W$2:$W$4000,0)),NA()))</f>
        <v/>
      </c>
      <c r="AK1245" s="19">
        <f>IF(NOT(ISNUMBER($A1245)),NA(),IFERROR(1*INDEX(BBG_Data!$Z$2:$Z$4000,MATCH($A1245,BBG_Data!$Y$2:$Y$4000,0)),NA()))</f>
        <v/>
      </c>
    </row>
    <row r="1246">
      <c r="A1246" s="17">
        <f>IF(ISNUMBER(BBG_Data!A1246),BBG_Data!A1246,"")</f>
        <v/>
      </c>
      <c r="B1246" s="18">
        <f>IF(AND(ISNUMBER($A1246),ISNUMBER(BBG_Data!B1246)),BBG_Data!B1246,NA())</f>
        <v/>
      </c>
      <c r="C1246" s="18">
        <f>IF(NOT(ISNUMBER($A1246)),NA(),IFERROR(1*INDEX(BBG_Data!$D$2:$D$4000,MATCH($A1246,BBG_Data!$C$2:$C$4000,0)),NA()))</f>
        <v/>
      </c>
      <c r="D1246" s="19">
        <f>IF(NOT(ISNUMBER($A1246)),NA(),IFERROR(1*INDEX(BBG_Data!$F$2:$F$4000,MATCH($A1246,BBG_Data!$E$2:$E$4000,0)),NA()))</f>
        <v/>
      </c>
      <c r="E1246" s="19">
        <f>IF(NOT(ISNUMBER($A1246)),NA(),IFERROR(1*INDEX(BBG_Data!$H$2:$H$4000,MATCH($A1246,BBG_Data!$G$2:$G$4000,0)),NA()))</f>
        <v/>
      </c>
      <c r="F1246" s="20">
        <f>IF(AND(ISNUMBER(B1246),ISNUMBER(B1245)),IF(B1246=B1245,"",(B1246-B1245)*100),"")</f>
        <v/>
      </c>
      <c r="G1246" s="20">
        <f>IF(AND(ISNUMBER(C1246),ISNUMBER(C1245)),IF(C1246=C1245,"",(C1246-C1245)*100),"")</f>
        <v/>
      </c>
      <c r="H1246" s="20">
        <f>IF(OR(NOT(ISNUMBER($A1246)),ROW()-2&lt;Settings!$B$11),NA(),IF(COUNT(OFFSET(F1246,1-Settings!$B$11,0,Settings!$B$11,1))&lt;ROUNDUP(Settings!$B$11*Settings!$B$26,0),NA(),STDEV(OFFSET(F1246,1-Settings!$B$11,0,Settings!$B$11,1))*SQRT(Settings!$B$13)))</f>
        <v/>
      </c>
      <c r="I1246" s="20">
        <f>IF(OR(NOT(ISNUMBER($A1246)),ROW()-2&lt;Settings!$B$12),NA(),IF(COUNT(OFFSET(F1246,1-Settings!$B$12,0,Settings!$B$12,1))&lt;ROUNDUP(Settings!$B$12*Settings!$B$26,0),NA(),STDEV(OFFSET(F1246,1-Settings!$B$12,0,Settings!$B$12,1))*SQRT(Settings!$B$13)))</f>
        <v/>
      </c>
      <c r="J1246" s="20">
        <f>IF(OR(NOT(ISNUMBER($A1246)),ROW()-2&lt;Settings!$B$11),NA(),IF(COUNT(OFFSET(G1246,1-Settings!$B$11,0,Settings!$B$11,1))&lt;ROUNDUP(Settings!$B$11*Settings!$B$26,0),NA(),STDEV(OFFSET(G1246,1-Settings!$B$11,0,Settings!$B$11,1))*SQRT(Settings!$B$13)))</f>
        <v/>
      </c>
      <c r="K1246" s="20">
        <f>IF(OR(NOT(ISNUMBER($A1246)),ROW()-2&lt;Settings!$B$12),NA(),IF(COUNT(OFFSET(G1246,1-Settings!$B$12,0,Settings!$B$12,1))&lt;ROUNDUP(Settings!$B$12*Settings!$B$26,0),NA(),STDEV(OFFSET(G1246,1-Settings!$B$12,0,Settings!$B$12,1))*SQRT(Settings!$B$13)))</f>
        <v/>
      </c>
      <c r="L1246" s="20">
        <f>IF(AND(ISNUMBER(D1246),ISNUMBER(H1246)),D1246-H1246,NA())</f>
        <v/>
      </c>
      <c r="M1246" s="20">
        <f>IF(AND(ISNUMBER(E1246),ISNUMBER(K1246)),E1246-K1246,NA())</f>
        <v/>
      </c>
      <c r="N1246" s="20">
        <f>IF(NOT(ISNUMBER($A1246)),NA(),IF(COUNT(OFFSET(G1246,1,0,Settings!$B$12,1))&lt;ROUNDUP(Settings!$B$12*Settings!$B$26,0),NA(),STDEV(OFFSET(G1246,1,0,Settings!$B$12,1))*SQRT(Settings!$B$13)))</f>
        <v/>
      </c>
      <c r="O1246" s="20">
        <f>IF(AND(ISNUMBER(E1246),ISNUMBER(N1246)),E1246-N1246,NA())</f>
        <v/>
      </c>
      <c r="P1246" s="19">
        <f>IF(NOT(ISNUMBER($A1246)),NA(),IF(OR($A1246&lt;MIN(KW_TP!$A$2:$A$2501),$A1246&gt;MAX(KW_TP!$A$2:$A$2501)),NA(),INDEX(KW_TP!$C$2:$C$2501,MATCH($A1246,KW_TP!$A$2:$A$2501,1))))</f>
        <v/>
      </c>
      <c r="Q1246" s="18">
        <f>IF(NOT(ISNUMBER($A1246)),NA(),IFERROR(1*INDEX(BBG_Data!$J$2:$J$4000,MATCH($A1246,BBG_Data!$I$2:$I$4000,0)),NA()))</f>
        <v/>
      </c>
      <c r="R1246" s="18">
        <f>IF(NOT(ISNUMBER($A1246)),NA(),IFERROR(1*INDEX(BBG_Data!$L$2:$L$4000,MATCH($A1246,BBG_Data!$K$2:$K$4000,0)),NA()))</f>
        <v/>
      </c>
      <c r="S1246" s="20">
        <f>IF(AND(ISNUMBER(B1246),ISNUMBER(Q1246),ISNUMBER(R1246)),(B1246-Q1246-R1246)*100,NA())</f>
        <v/>
      </c>
      <c r="T1246" s="20">
        <f>IF(AND(ISNUMBER(B1246),Settings!$B$17&gt;0),IF(ISNUMBER(INDEX($B:$B,Settings!$B$17)),(B1246-INDEX($B:$B,Settings!$B$17))*100,NA()),NA())</f>
        <v/>
      </c>
      <c r="U1246" s="20">
        <f>IF(AND(ISNUMBER(Q1246),Settings!$B$17&gt;0),IF(ISNUMBER(INDEX($Q:$Q,Settings!$B$17)),(Q1246-INDEX($Q:$Q,Settings!$B$17))*100,NA()),NA())</f>
        <v/>
      </c>
      <c r="V1246" s="20">
        <f>IF(AND(ISNUMBER(R1246),Settings!$B$17&gt;0),IF(ISNUMBER(INDEX($R:$R,Settings!$B$17)),(R1246-INDEX($R:$R,Settings!$B$17))*100,NA()),NA())</f>
        <v/>
      </c>
      <c r="W1246" s="20">
        <f>IF(AND(ISNUMBER(P1246),Settings!$B$17&gt;0),IF(ISNUMBER(INDEX($P:$P,Settings!$B$17)),P1246-INDEX($P:$P,Settings!$B$17),NA()),NA())</f>
        <v/>
      </c>
      <c r="X1246" s="19">
        <f>IF(NOT(ISNUMBER($A1246)),NA(),IF(OR($A1246&lt;MIN(DKW_10Y!$A$2:$A$2918),$A1246&gt;MAX(DKW_10Y!$A$2:$A$2918),Settings!$B$16&lt;MIN(DKW_10Y!$A$2:$A$2918)),NA(),(INDEX(DKW_10Y!$B$2:$B$2918,MATCH($A1246,DKW_10Y!$A$2:$A$2918,1))-INDEX(DKW_10Y!$B$2:$B$2918,MATCH(Settings!$B$16,DKW_10Y!$A$2:$A$2918,1)))*100))</f>
        <v/>
      </c>
      <c r="Y1246" s="19">
        <f>IF(NOT(ISNUMBER($A1246)),NA(),IF(OR($A1246&lt;MIN(DKW_10Y!$A$2:$A$2918),$A1246&gt;MAX(DKW_10Y!$A$2:$A$2918),Settings!$B$16&lt;MIN(DKW_10Y!$A$2:$A$2918)),NA(),(INDEX(DKW_10Y!$C$2:$C$2918,MATCH($A1246,DKW_10Y!$A$2:$A$2918,1))-INDEX(DKW_10Y!$C$2:$C$2918,MATCH(Settings!$B$16,DKW_10Y!$A$2:$A$2918,1)))*100))</f>
        <v/>
      </c>
      <c r="Z1246" s="19">
        <f>IF(NOT(ISNUMBER($A1246)),NA(),IF(OR($A1246&lt;MIN(DKW_10Y!$A$2:$A$2918),$A1246&gt;MAX(DKW_10Y!$A$2:$A$2918),Settings!$B$16&lt;MIN(DKW_10Y!$A$2:$A$2918)),NA(),(INDEX(DKW_10Y!$D$2:$D$2918,MATCH($A1246,DKW_10Y!$A$2:$A$2918,1))-INDEX(DKW_10Y!$D$2:$D$2918,MATCH(Settings!$B$16,DKW_10Y!$A$2:$A$2918,1)))*100))</f>
        <v/>
      </c>
      <c r="AA1246" s="19">
        <f>IF(NOT(ISNUMBER($A1246)),NA(),IF(OR($A1246&lt;MIN(DKW_10Y!$A$2:$A$2918),$A1246&gt;MAX(DKW_10Y!$A$2:$A$2918),Settings!$B$16&lt;MIN(DKW_10Y!$A$2:$A$2918)),NA(),(INDEX(DKW_10Y!$E$2:$E$2918,MATCH($A1246,DKW_10Y!$A$2:$A$2918,1))-INDEX(DKW_10Y!$E$2:$E$2918,MATCH(Settings!$B$16,DKW_10Y!$A$2:$A$2918,1)))*100))</f>
        <v/>
      </c>
      <c r="AB1246" s="19">
        <f>IF(NOT(ISNUMBER($A1246)),NA(),IF(OR($A1246&lt;MIN(DKW_10Y!$A$2:$A$2918),$A1246&gt;MAX(DKW_10Y!$A$2:$A$2918),Settings!$B$16&lt;MIN(DKW_10Y!$A$2:$A$2918)),NA(),(INDEX(DKW_10Y!$H$2:$H$2918,MATCH($A1246,DKW_10Y!$A$2:$A$2918,1))-INDEX(DKW_10Y!$H$2:$H$2918,MATCH(Settings!$B$16,DKW_10Y!$A$2:$A$2918,1)))*100))</f>
        <v/>
      </c>
      <c r="AC1246" s="18">
        <f>IF(NOT(ISNUMBER($A1246)),NA(),IFERROR(1*INDEX(BBG_Data!$N$2:$N$4000,MATCH($A1246,BBG_Data!$M$2:$M$4000,0)),NA()))</f>
        <v/>
      </c>
      <c r="AD1246" s="18">
        <f>IF(NOT(ISNUMBER($A1246)),NA(),IFERROR(1*INDEX(BBG_Data!$P$2:$P$4000,MATCH($A1246,BBG_Data!$O$2:$O$4000,0)),NA()))</f>
        <v/>
      </c>
      <c r="AE1246" s="18">
        <f>IF(NOT(ISNUMBER($A1246)),NA(),IFERROR(1*INDEX(BBG_Data!$R$2:$R$4000,MATCH($A1246,BBG_Data!$Q$2:$Q$4000,0)),NA()))</f>
        <v/>
      </c>
      <c r="AF1246" s="20">
        <f>IF(AND(ISNUMBER(B1246),ISNUMBER(AC1246)),(B1246-AC1246)*100,NA())</f>
        <v/>
      </c>
      <c r="AG1246" s="20">
        <f>IF(AND(ISNUMBER(AE1246),ISNUMBER(AD1246)),(AE1246-AD1246)*100,NA())</f>
        <v/>
      </c>
      <c r="AH1246" s="19">
        <f>IF(NOT(ISNUMBER($A1246)),NA(),IFERROR(INDEX(BBG_Data!$T$2:$T$4000,MATCH($A1246,BBG_Data!$S$2:$S$4000,0))*Settings!$B$25,NA()))</f>
        <v/>
      </c>
      <c r="AI1246" s="19">
        <f>IF(NOT(ISNUMBER($A1246)),NA(),IFERROR(INDEX(BBG_Data!$V$2:$V$4000,MATCH($A1246,BBG_Data!$U$2:$U$4000,0))*Settings!$B$25,NA()))</f>
        <v/>
      </c>
      <c r="AJ1246" s="19">
        <f>IF(NOT(ISNUMBER($A1246)),NA(),IFERROR(1*INDEX(BBG_Data!$X$2:$X$4000,MATCH($A1246,BBG_Data!$W$2:$W$4000,0)),NA()))</f>
        <v/>
      </c>
      <c r="AK1246" s="19">
        <f>IF(NOT(ISNUMBER($A1246)),NA(),IFERROR(1*INDEX(BBG_Data!$Z$2:$Z$4000,MATCH($A1246,BBG_Data!$Y$2:$Y$4000,0)),NA()))</f>
        <v/>
      </c>
    </row>
    <row r="1247">
      <c r="A1247" s="17">
        <f>IF(ISNUMBER(BBG_Data!A1247),BBG_Data!A1247,"")</f>
        <v/>
      </c>
      <c r="B1247" s="18">
        <f>IF(AND(ISNUMBER($A1247),ISNUMBER(BBG_Data!B1247)),BBG_Data!B1247,NA())</f>
        <v/>
      </c>
      <c r="C1247" s="18">
        <f>IF(NOT(ISNUMBER($A1247)),NA(),IFERROR(1*INDEX(BBG_Data!$D$2:$D$4000,MATCH($A1247,BBG_Data!$C$2:$C$4000,0)),NA()))</f>
        <v/>
      </c>
      <c r="D1247" s="19">
        <f>IF(NOT(ISNUMBER($A1247)),NA(),IFERROR(1*INDEX(BBG_Data!$F$2:$F$4000,MATCH($A1247,BBG_Data!$E$2:$E$4000,0)),NA()))</f>
        <v/>
      </c>
      <c r="E1247" s="19">
        <f>IF(NOT(ISNUMBER($A1247)),NA(),IFERROR(1*INDEX(BBG_Data!$H$2:$H$4000,MATCH($A1247,BBG_Data!$G$2:$G$4000,0)),NA()))</f>
        <v/>
      </c>
      <c r="F1247" s="20">
        <f>IF(AND(ISNUMBER(B1247),ISNUMBER(B1246)),IF(B1247=B1246,"",(B1247-B1246)*100),"")</f>
        <v/>
      </c>
      <c r="G1247" s="20">
        <f>IF(AND(ISNUMBER(C1247),ISNUMBER(C1246)),IF(C1247=C1246,"",(C1247-C1246)*100),"")</f>
        <v/>
      </c>
      <c r="H1247" s="20">
        <f>IF(OR(NOT(ISNUMBER($A1247)),ROW()-2&lt;Settings!$B$11),NA(),IF(COUNT(OFFSET(F1247,1-Settings!$B$11,0,Settings!$B$11,1))&lt;ROUNDUP(Settings!$B$11*Settings!$B$26,0),NA(),STDEV(OFFSET(F1247,1-Settings!$B$11,0,Settings!$B$11,1))*SQRT(Settings!$B$13)))</f>
        <v/>
      </c>
      <c r="I1247" s="20">
        <f>IF(OR(NOT(ISNUMBER($A1247)),ROW()-2&lt;Settings!$B$12),NA(),IF(COUNT(OFFSET(F1247,1-Settings!$B$12,0,Settings!$B$12,1))&lt;ROUNDUP(Settings!$B$12*Settings!$B$26,0),NA(),STDEV(OFFSET(F1247,1-Settings!$B$12,0,Settings!$B$12,1))*SQRT(Settings!$B$13)))</f>
        <v/>
      </c>
      <c r="J1247" s="20">
        <f>IF(OR(NOT(ISNUMBER($A1247)),ROW()-2&lt;Settings!$B$11),NA(),IF(COUNT(OFFSET(G1247,1-Settings!$B$11,0,Settings!$B$11,1))&lt;ROUNDUP(Settings!$B$11*Settings!$B$26,0),NA(),STDEV(OFFSET(G1247,1-Settings!$B$11,0,Settings!$B$11,1))*SQRT(Settings!$B$13)))</f>
        <v/>
      </c>
      <c r="K1247" s="20">
        <f>IF(OR(NOT(ISNUMBER($A1247)),ROW()-2&lt;Settings!$B$12),NA(),IF(COUNT(OFFSET(G1247,1-Settings!$B$12,0,Settings!$B$12,1))&lt;ROUNDUP(Settings!$B$12*Settings!$B$26,0),NA(),STDEV(OFFSET(G1247,1-Settings!$B$12,0,Settings!$B$12,1))*SQRT(Settings!$B$13)))</f>
        <v/>
      </c>
      <c r="L1247" s="20">
        <f>IF(AND(ISNUMBER(D1247),ISNUMBER(H1247)),D1247-H1247,NA())</f>
        <v/>
      </c>
      <c r="M1247" s="20">
        <f>IF(AND(ISNUMBER(E1247),ISNUMBER(K1247)),E1247-K1247,NA())</f>
        <v/>
      </c>
      <c r="N1247" s="20">
        <f>IF(NOT(ISNUMBER($A1247)),NA(),IF(COUNT(OFFSET(G1247,1,0,Settings!$B$12,1))&lt;ROUNDUP(Settings!$B$12*Settings!$B$26,0),NA(),STDEV(OFFSET(G1247,1,0,Settings!$B$12,1))*SQRT(Settings!$B$13)))</f>
        <v/>
      </c>
      <c r="O1247" s="20">
        <f>IF(AND(ISNUMBER(E1247),ISNUMBER(N1247)),E1247-N1247,NA())</f>
        <v/>
      </c>
      <c r="P1247" s="19">
        <f>IF(NOT(ISNUMBER($A1247)),NA(),IF(OR($A1247&lt;MIN(KW_TP!$A$2:$A$2501),$A1247&gt;MAX(KW_TP!$A$2:$A$2501)),NA(),INDEX(KW_TP!$C$2:$C$2501,MATCH($A1247,KW_TP!$A$2:$A$2501,1))))</f>
        <v/>
      </c>
      <c r="Q1247" s="18">
        <f>IF(NOT(ISNUMBER($A1247)),NA(),IFERROR(1*INDEX(BBG_Data!$J$2:$J$4000,MATCH($A1247,BBG_Data!$I$2:$I$4000,0)),NA()))</f>
        <v/>
      </c>
      <c r="R1247" s="18">
        <f>IF(NOT(ISNUMBER($A1247)),NA(),IFERROR(1*INDEX(BBG_Data!$L$2:$L$4000,MATCH($A1247,BBG_Data!$K$2:$K$4000,0)),NA()))</f>
        <v/>
      </c>
      <c r="S1247" s="20">
        <f>IF(AND(ISNUMBER(B1247),ISNUMBER(Q1247),ISNUMBER(R1247)),(B1247-Q1247-R1247)*100,NA())</f>
        <v/>
      </c>
      <c r="T1247" s="20">
        <f>IF(AND(ISNUMBER(B1247),Settings!$B$17&gt;0),IF(ISNUMBER(INDEX($B:$B,Settings!$B$17)),(B1247-INDEX($B:$B,Settings!$B$17))*100,NA()),NA())</f>
        <v/>
      </c>
      <c r="U1247" s="20">
        <f>IF(AND(ISNUMBER(Q1247),Settings!$B$17&gt;0),IF(ISNUMBER(INDEX($Q:$Q,Settings!$B$17)),(Q1247-INDEX($Q:$Q,Settings!$B$17))*100,NA()),NA())</f>
        <v/>
      </c>
      <c r="V1247" s="20">
        <f>IF(AND(ISNUMBER(R1247),Settings!$B$17&gt;0),IF(ISNUMBER(INDEX($R:$R,Settings!$B$17)),(R1247-INDEX($R:$R,Settings!$B$17))*100,NA()),NA())</f>
        <v/>
      </c>
      <c r="W1247" s="20">
        <f>IF(AND(ISNUMBER(P1247),Settings!$B$17&gt;0),IF(ISNUMBER(INDEX($P:$P,Settings!$B$17)),P1247-INDEX($P:$P,Settings!$B$17),NA()),NA())</f>
        <v/>
      </c>
      <c r="X1247" s="19">
        <f>IF(NOT(ISNUMBER($A1247)),NA(),IF(OR($A1247&lt;MIN(DKW_10Y!$A$2:$A$2918),$A1247&gt;MAX(DKW_10Y!$A$2:$A$2918),Settings!$B$16&lt;MIN(DKW_10Y!$A$2:$A$2918)),NA(),(INDEX(DKW_10Y!$B$2:$B$2918,MATCH($A1247,DKW_10Y!$A$2:$A$2918,1))-INDEX(DKW_10Y!$B$2:$B$2918,MATCH(Settings!$B$16,DKW_10Y!$A$2:$A$2918,1)))*100))</f>
        <v/>
      </c>
      <c r="Y1247" s="19">
        <f>IF(NOT(ISNUMBER($A1247)),NA(),IF(OR($A1247&lt;MIN(DKW_10Y!$A$2:$A$2918),$A1247&gt;MAX(DKW_10Y!$A$2:$A$2918),Settings!$B$16&lt;MIN(DKW_10Y!$A$2:$A$2918)),NA(),(INDEX(DKW_10Y!$C$2:$C$2918,MATCH($A1247,DKW_10Y!$A$2:$A$2918,1))-INDEX(DKW_10Y!$C$2:$C$2918,MATCH(Settings!$B$16,DKW_10Y!$A$2:$A$2918,1)))*100))</f>
        <v/>
      </c>
      <c r="Z1247" s="19">
        <f>IF(NOT(ISNUMBER($A1247)),NA(),IF(OR($A1247&lt;MIN(DKW_10Y!$A$2:$A$2918),$A1247&gt;MAX(DKW_10Y!$A$2:$A$2918),Settings!$B$16&lt;MIN(DKW_10Y!$A$2:$A$2918)),NA(),(INDEX(DKW_10Y!$D$2:$D$2918,MATCH($A1247,DKW_10Y!$A$2:$A$2918,1))-INDEX(DKW_10Y!$D$2:$D$2918,MATCH(Settings!$B$16,DKW_10Y!$A$2:$A$2918,1)))*100))</f>
        <v/>
      </c>
      <c r="AA1247" s="19">
        <f>IF(NOT(ISNUMBER($A1247)),NA(),IF(OR($A1247&lt;MIN(DKW_10Y!$A$2:$A$2918),$A1247&gt;MAX(DKW_10Y!$A$2:$A$2918),Settings!$B$16&lt;MIN(DKW_10Y!$A$2:$A$2918)),NA(),(INDEX(DKW_10Y!$E$2:$E$2918,MATCH($A1247,DKW_10Y!$A$2:$A$2918,1))-INDEX(DKW_10Y!$E$2:$E$2918,MATCH(Settings!$B$16,DKW_10Y!$A$2:$A$2918,1)))*100))</f>
        <v/>
      </c>
      <c r="AB1247" s="19">
        <f>IF(NOT(ISNUMBER($A1247)),NA(),IF(OR($A1247&lt;MIN(DKW_10Y!$A$2:$A$2918),$A1247&gt;MAX(DKW_10Y!$A$2:$A$2918),Settings!$B$16&lt;MIN(DKW_10Y!$A$2:$A$2918)),NA(),(INDEX(DKW_10Y!$H$2:$H$2918,MATCH($A1247,DKW_10Y!$A$2:$A$2918,1))-INDEX(DKW_10Y!$H$2:$H$2918,MATCH(Settings!$B$16,DKW_10Y!$A$2:$A$2918,1)))*100))</f>
        <v/>
      </c>
      <c r="AC1247" s="18">
        <f>IF(NOT(ISNUMBER($A1247)),NA(),IFERROR(1*INDEX(BBG_Data!$N$2:$N$4000,MATCH($A1247,BBG_Data!$M$2:$M$4000,0)),NA()))</f>
        <v/>
      </c>
      <c r="AD1247" s="18">
        <f>IF(NOT(ISNUMBER($A1247)),NA(),IFERROR(1*INDEX(BBG_Data!$P$2:$P$4000,MATCH($A1247,BBG_Data!$O$2:$O$4000,0)),NA()))</f>
        <v/>
      </c>
      <c r="AE1247" s="18">
        <f>IF(NOT(ISNUMBER($A1247)),NA(),IFERROR(1*INDEX(BBG_Data!$R$2:$R$4000,MATCH($A1247,BBG_Data!$Q$2:$Q$4000,0)),NA()))</f>
        <v/>
      </c>
      <c r="AF1247" s="20">
        <f>IF(AND(ISNUMBER(B1247),ISNUMBER(AC1247)),(B1247-AC1247)*100,NA())</f>
        <v/>
      </c>
      <c r="AG1247" s="20">
        <f>IF(AND(ISNUMBER(AE1247),ISNUMBER(AD1247)),(AE1247-AD1247)*100,NA())</f>
        <v/>
      </c>
      <c r="AH1247" s="19">
        <f>IF(NOT(ISNUMBER($A1247)),NA(),IFERROR(INDEX(BBG_Data!$T$2:$T$4000,MATCH($A1247,BBG_Data!$S$2:$S$4000,0))*Settings!$B$25,NA()))</f>
        <v/>
      </c>
      <c r="AI1247" s="19">
        <f>IF(NOT(ISNUMBER($A1247)),NA(),IFERROR(INDEX(BBG_Data!$V$2:$V$4000,MATCH($A1247,BBG_Data!$U$2:$U$4000,0))*Settings!$B$25,NA()))</f>
        <v/>
      </c>
      <c r="AJ1247" s="19">
        <f>IF(NOT(ISNUMBER($A1247)),NA(),IFERROR(1*INDEX(BBG_Data!$X$2:$X$4000,MATCH($A1247,BBG_Data!$W$2:$W$4000,0)),NA()))</f>
        <v/>
      </c>
      <c r="AK1247" s="19">
        <f>IF(NOT(ISNUMBER($A1247)),NA(),IFERROR(1*INDEX(BBG_Data!$Z$2:$Z$4000,MATCH($A1247,BBG_Data!$Y$2:$Y$4000,0)),NA()))</f>
        <v/>
      </c>
    </row>
    <row r="1248">
      <c r="A1248" s="17">
        <f>IF(ISNUMBER(BBG_Data!A1248),BBG_Data!A1248,"")</f>
        <v/>
      </c>
      <c r="B1248" s="18">
        <f>IF(AND(ISNUMBER($A1248),ISNUMBER(BBG_Data!B1248)),BBG_Data!B1248,NA())</f>
        <v/>
      </c>
      <c r="C1248" s="18">
        <f>IF(NOT(ISNUMBER($A1248)),NA(),IFERROR(1*INDEX(BBG_Data!$D$2:$D$4000,MATCH($A1248,BBG_Data!$C$2:$C$4000,0)),NA()))</f>
        <v/>
      </c>
      <c r="D1248" s="19">
        <f>IF(NOT(ISNUMBER($A1248)),NA(),IFERROR(1*INDEX(BBG_Data!$F$2:$F$4000,MATCH($A1248,BBG_Data!$E$2:$E$4000,0)),NA()))</f>
        <v/>
      </c>
      <c r="E1248" s="19">
        <f>IF(NOT(ISNUMBER($A1248)),NA(),IFERROR(1*INDEX(BBG_Data!$H$2:$H$4000,MATCH($A1248,BBG_Data!$G$2:$G$4000,0)),NA()))</f>
        <v/>
      </c>
      <c r="F1248" s="20">
        <f>IF(AND(ISNUMBER(B1248),ISNUMBER(B1247)),IF(B1248=B1247,"",(B1248-B1247)*100),"")</f>
        <v/>
      </c>
      <c r="G1248" s="20">
        <f>IF(AND(ISNUMBER(C1248),ISNUMBER(C1247)),IF(C1248=C1247,"",(C1248-C1247)*100),"")</f>
        <v/>
      </c>
      <c r="H1248" s="20">
        <f>IF(OR(NOT(ISNUMBER($A1248)),ROW()-2&lt;Settings!$B$11),NA(),IF(COUNT(OFFSET(F1248,1-Settings!$B$11,0,Settings!$B$11,1))&lt;ROUNDUP(Settings!$B$11*Settings!$B$26,0),NA(),STDEV(OFFSET(F1248,1-Settings!$B$11,0,Settings!$B$11,1))*SQRT(Settings!$B$13)))</f>
        <v/>
      </c>
      <c r="I1248" s="20">
        <f>IF(OR(NOT(ISNUMBER($A1248)),ROW()-2&lt;Settings!$B$12),NA(),IF(COUNT(OFFSET(F1248,1-Settings!$B$12,0,Settings!$B$12,1))&lt;ROUNDUP(Settings!$B$12*Settings!$B$26,0),NA(),STDEV(OFFSET(F1248,1-Settings!$B$12,0,Settings!$B$12,1))*SQRT(Settings!$B$13)))</f>
        <v/>
      </c>
      <c r="J1248" s="20">
        <f>IF(OR(NOT(ISNUMBER($A1248)),ROW()-2&lt;Settings!$B$11),NA(),IF(COUNT(OFFSET(G1248,1-Settings!$B$11,0,Settings!$B$11,1))&lt;ROUNDUP(Settings!$B$11*Settings!$B$26,0),NA(),STDEV(OFFSET(G1248,1-Settings!$B$11,0,Settings!$B$11,1))*SQRT(Settings!$B$13)))</f>
        <v/>
      </c>
      <c r="K1248" s="20">
        <f>IF(OR(NOT(ISNUMBER($A1248)),ROW()-2&lt;Settings!$B$12),NA(),IF(COUNT(OFFSET(G1248,1-Settings!$B$12,0,Settings!$B$12,1))&lt;ROUNDUP(Settings!$B$12*Settings!$B$26,0),NA(),STDEV(OFFSET(G1248,1-Settings!$B$12,0,Settings!$B$12,1))*SQRT(Settings!$B$13)))</f>
        <v/>
      </c>
      <c r="L1248" s="20">
        <f>IF(AND(ISNUMBER(D1248),ISNUMBER(H1248)),D1248-H1248,NA())</f>
        <v/>
      </c>
      <c r="M1248" s="20">
        <f>IF(AND(ISNUMBER(E1248),ISNUMBER(K1248)),E1248-K1248,NA())</f>
        <v/>
      </c>
      <c r="N1248" s="20">
        <f>IF(NOT(ISNUMBER($A1248)),NA(),IF(COUNT(OFFSET(G1248,1,0,Settings!$B$12,1))&lt;ROUNDUP(Settings!$B$12*Settings!$B$26,0),NA(),STDEV(OFFSET(G1248,1,0,Settings!$B$12,1))*SQRT(Settings!$B$13)))</f>
        <v/>
      </c>
      <c r="O1248" s="20">
        <f>IF(AND(ISNUMBER(E1248),ISNUMBER(N1248)),E1248-N1248,NA())</f>
        <v/>
      </c>
      <c r="P1248" s="19">
        <f>IF(NOT(ISNUMBER($A1248)),NA(),IF(OR($A1248&lt;MIN(KW_TP!$A$2:$A$2501),$A1248&gt;MAX(KW_TP!$A$2:$A$2501)),NA(),INDEX(KW_TP!$C$2:$C$2501,MATCH($A1248,KW_TP!$A$2:$A$2501,1))))</f>
        <v/>
      </c>
      <c r="Q1248" s="18">
        <f>IF(NOT(ISNUMBER($A1248)),NA(),IFERROR(1*INDEX(BBG_Data!$J$2:$J$4000,MATCH($A1248,BBG_Data!$I$2:$I$4000,0)),NA()))</f>
        <v/>
      </c>
      <c r="R1248" s="18">
        <f>IF(NOT(ISNUMBER($A1248)),NA(),IFERROR(1*INDEX(BBG_Data!$L$2:$L$4000,MATCH($A1248,BBG_Data!$K$2:$K$4000,0)),NA()))</f>
        <v/>
      </c>
      <c r="S1248" s="20">
        <f>IF(AND(ISNUMBER(B1248),ISNUMBER(Q1248),ISNUMBER(R1248)),(B1248-Q1248-R1248)*100,NA())</f>
        <v/>
      </c>
      <c r="T1248" s="20">
        <f>IF(AND(ISNUMBER(B1248),Settings!$B$17&gt;0),IF(ISNUMBER(INDEX($B:$B,Settings!$B$17)),(B1248-INDEX($B:$B,Settings!$B$17))*100,NA()),NA())</f>
        <v/>
      </c>
      <c r="U1248" s="20">
        <f>IF(AND(ISNUMBER(Q1248),Settings!$B$17&gt;0),IF(ISNUMBER(INDEX($Q:$Q,Settings!$B$17)),(Q1248-INDEX($Q:$Q,Settings!$B$17))*100,NA()),NA())</f>
        <v/>
      </c>
      <c r="V1248" s="20">
        <f>IF(AND(ISNUMBER(R1248),Settings!$B$17&gt;0),IF(ISNUMBER(INDEX($R:$R,Settings!$B$17)),(R1248-INDEX($R:$R,Settings!$B$17))*100,NA()),NA())</f>
        <v/>
      </c>
      <c r="W1248" s="20">
        <f>IF(AND(ISNUMBER(P1248),Settings!$B$17&gt;0),IF(ISNUMBER(INDEX($P:$P,Settings!$B$17)),P1248-INDEX($P:$P,Settings!$B$17),NA()),NA())</f>
        <v/>
      </c>
      <c r="X1248" s="19">
        <f>IF(NOT(ISNUMBER($A1248)),NA(),IF(OR($A1248&lt;MIN(DKW_10Y!$A$2:$A$2918),$A1248&gt;MAX(DKW_10Y!$A$2:$A$2918),Settings!$B$16&lt;MIN(DKW_10Y!$A$2:$A$2918)),NA(),(INDEX(DKW_10Y!$B$2:$B$2918,MATCH($A1248,DKW_10Y!$A$2:$A$2918,1))-INDEX(DKW_10Y!$B$2:$B$2918,MATCH(Settings!$B$16,DKW_10Y!$A$2:$A$2918,1)))*100))</f>
        <v/>
      </c>
      <c r="Y1248" s="19">
        <f>IF(NOT(ISNUMBER($A1248)),NA(),IF(OR($A1248&lt;MIN(DKW_10Y!$A$2:$A$2918),$A1248&gt;MAX(DKW_10Y!$A$2:$A$2918),Settings!$B$16&lt;MIN(DKW_10Y!$A$2:$A$2918)),NA(),(INDEX(DKW_10Y!$C$2:$C$2918,MATCH($A1248,DKW_10Y!$A$2:$A$2918,1))-INDEX(DKW_10Y!$C$2:$C$2918,MATCH(Settings!$B$16,DKW_10Y!$A$2:$A$2918,1)))*100))</f>
        <v/>
      </c>
      <c r="Z1248" s="19">
        <f>IF(NOT(ISNUMBER($A1248)),NA(),IF(OR($A1248&lt;MIN(DKW_10Y!$A$2:$A$2918),$A1248&gt;MAX(DKW_10Y!$A$2:$A$2918),Settings!$B$16&lt;MIN(DKW_10Y!$A$2:$A$2918)),NA(),(INDEX(DKW_10Y!$D$2:$D$2918,MATCH($A1248,DKW_10Y!$A$2:$A$2918,1))-INDEX(DKW_10Y!$D$2:$D$2918,MATCH(Settings!$B$16,DKW_10Y!$A$2:$A$2918,1)))*100))</f>
        <v/>
      </c>
      <c r="AA1248" s="19">
        <f>IF(NOT(ISNUMBER($A1248)),NA(),IF(OR($A1248&lt;MIN(DKW_10Y!$A$2:$A$2918),$A1248&gt;MAX(DKW_10Y!$A$2:$A$2918),Settings!$B$16&lt;MIN(DKW_10Y!$A$2:$A$2918)),NA(),(INDEX(DKW_10Y!$E$2:$E$2918,MATCH($A1248,DKW_10Y!$A$2:$A$2918,1))-INDEX(DKW_10Y!$E$2:$E$2918,MATCH(Settings!$B$16,DKW_10Y!$A$2:$A$2918,1)))*100))</f>
        <v/>
      </c>
      <c r="AB1248" s="19">
        <f>IF(NOT(ISNUMBER($A1248)),NA(),IF(OR($A1248&lt;MIN(DKW_10Y!$A$2:$A$2918),$A1248&gt;MAX(DKW_10Y!$A$2:$A$2918),Settings!$B$16&lt;MIN(DKW_10Y!$A$2:$A$2918)),NA(),(INDEX(DKW_10Y!$H$2:$H$2918,MATCH($A1248,DKW_10Y!$A$2:$A$2918,1))-INDEX(DKW_10Y!$H$2:$H$2918,MATCH(Settings!$B$16,DKW_10Y!$A$2:$A$2918,1)))*100))</f>
        <v/>
      </c>
      <c r="AC1248" s="18">
        <f>IF(NOT(ISNUMBER($A1248)),NA(),IFERROR(1*INDEX(BBG_Data!$N$2:$N$4000,MATCH($A1248,BBG_Data!$M$2:$M$4000,0)),NA()))</f>
        <v/>
      </c>
      <c r="AD1248" s="18">
        <f>IF(NOT(ISNUMBER($A1248)),NA(),IFERROR(1*INDEX(BBG_Data!$P$2:$P$4000,MATCH($A1248,BBG_Data!$O$2:$O$4000,0)),NA()))</f>
        <v/>
      </c>
      <c r="AE1248" s="18">
        <f>IF(NOT(ISNUMBER($A1248)),NA(),IFERROR(1*INDEX(BBG_Data!$R$2:$R$4000,MATCH($A1248,BBG_Data!$Q$2:$Q$4000,0)),NA()))</f>
        <v/>
      </c>
      <c r="AF1248" s="20">
        <f>IF(AND(ISNUMBER(B1248),ISNUMBER(AC1248)),(B1248-AC1248)*100,NA())</f>
        <v/>
      </c>
      <c r="AG1248" s="20">
        <f>IF(AND(ISNUMBER(AE1248),ISNUMBER(AD1248)),(AE1248-AD1248)*100,NA())</f>
        <v/>
      </c>
      <c r="AH1248" s="19">
        <f>IF(NOT(ISNUMBER($A1248)),NA(),IFERROR(INDEX(BBG_Data!$T$2:$T$4000,MATCH($A1248,BBG_Data!$S$2:$S$4000,0))*Settings!$B$25,NA()))</f>
        <v/>
      </c>
      <c r="AI1248" s="19">
        <f>IF(NOT(ISNUMBER($A1248)),NA(),IFERROR(INDEX(BBG_Data!$V$2:$V$4000,MATCH($A1248,BBG_Data!$U$2:$U$4000,0))*Settings!$B$25,NA()))</f>
        <v/>
      </c>
      <c r="AJ1248" s="19">
        <f>IF(NOT(ISNUMBER($A1248)),NA(),IFERROR(1*INDEX(BBG_Data!$X$2:$X$4000,MATCH($A1248,BBG_Data!$W$2:$W$4000,0)),NA()))</f>
        <v/>
      </c>
      <c r="AK1248" s="19">
        <f>IF(NOT(ISNUMBER($A1248)),NA(),IFERROR(1*INDEX(BBG_Data!$Z$2:$Z$4000,MATCH($A1248,BBG_Data!$Y$2:$Y$4000,0)),NA()))</f>
        <v/>
      </c>
    </row>
    <row r="1249">
      <c r="A1249" s="17">
        <f>IF(ISNUMBER(BBG_Data!A1249),BBG_Data!A1249,"")</f>
        <v/>
      </c>
      <c r="B1249" s="18">
        <f>IF(AND(ISNUMBER($A1249),ISNUMBER(BBG_Data!B1249)),BBG_Data!B1249,NA())</f>
        <v/>
      </c>
      <c r="C1249" s="18">
        <f>IF(NOT(ISNUMBER($A1249)),NA(),IFERROR(1*INDEX(BBG_Data!$D$2:$D$4000,MATCH($A1249,BBG_Data!$C$2:$C$4000,0)),NA()))</f>
        <v/>
      </c>
      <c r="D1249" s="19">
        <f>IF(NOT(ISNUMBER($A1249)),NA(),IFERROR(1*INDEX(BBG_Data!$F$2:$F$4000,MATCH($A1249,BBG_Data!$E$2:$E$4000,0)),NA()))</f>
        <v/>
      </c>
      <c r="E1249" s="19">
        <f>IF(NOT(ISNUMBER($A1249)),NA(),IFERROR(1*INDEX(BBG_Data!$H$2:$H$4000,MATCH($A1249,BBG_Data!$G$2:$G$4000,0)),NA()))</f>
        <v/>
      </c>
      <c r="F1249" s="20">
        <f>IF(AND(ISNUMBER(B1249),ISNUMBER(B1248)),IF(B1249=B1248,"",(B1249-B1248)*100),"")</f>
        <v/>
      </c>
      <c r="G1249" s="20">
        <f>IF(AND(ISNUMBER(C1249),ISNUMBER(C1248)),IF(C1249=C1248,"",(C1249-C1248)*100),"")</f>
        <v/>
      </c>
      <c r="H1249" s="20">
        <f>IF(OR(NOT(ISNUMBER($A1249)),ROW()-2&lt;Settings!$B$11),NA(),IF(COUNT(OFFSET(F1249,1-Settings!$B$11,0,Settings!$B$11,1))&lt;ROUNDUP(Settings!$B$11*Settings!$B$26,0),NA(),STDEV(OFFSET(F1249,1-Settings!$B$11,0,Settings!$B$11,1))*SQRT(Settings!$B$13)))</f>
        <v/>
      </c>
      <c r="I1249" s="20">
        <f>IF(OR(NOT(ISNUMBER($A1249)),ROW()-2&lt;Settings!$B$12),NA(),IF(COUNT(OFFSET(F1249,1-Settings!$B$12,0,Settings!$B$12,1))&lt;ROUNDUP(Settings!$B$12*Settings!$B$26,0),NA(),STDEV(OFFSET(F1249,1-Settings!$B$12,0,Settings!$B$12,1))*SQRT(Settings!$B$13)))</f>
        <v/>
      </c>
      <c r="J1249" s="20">
        <f>IF(OR(NOT(ISNUMBER($A1249)),ROW()-2&lt;Settings!$B$11),NA(),IF(COUNT(OFFSET(G1249,1-Settings!$B$11,0,Settings!$B$11,1))&lt;ROUNDUP(Settings!$B$11*Settings!$B$26,0),NA(),STDEV(OFFSET(G1249,1-Settings!$B$11,0,Settings!$B$11,1))*SQRT(Settings!$B$13)))</f>
        <v/>
      </c>
      <c r="K1249" s="20">
        <f>IF(OR(NOT(ISNUMBER($A1249)),ROW()-2&lt;Settings!$B$12),NA(),IF(COUNT(OFFSET(G1249,1-Settings!$B$12,0,Settings!$B$12,1))&lt;ROUNDUP(Settings!$B$12*Settings!$B$26,0),NA(),STDEV(OFFSET(G1249,1-Settings!$B$12,0,Settings!$B$12,1))*SQRT(Settings!$B$13)))</f>
        <v/>
      </c>
      <c r="L1249" s="20">
        <f>IF(AND(ISNUMBER(D1249),ISNUMBER(H1249)),D1249-H1249,NA())</f>
        <v/>
      </c>
      <c r="M1249" s="20">
        <f>IF(AND(ISNUMBER(E1249),ISNUMBER(K1249)),E1249-K1249,NA())</f>
        <v/>
      </c>
      <c r="N1249" s="20">
        <f>IF(NOT(ISNUMBER($A1249)),NA(),IF(COUNT(OFFSET(G1249,1,0,Settings!$B$12,1))&lt;ROUNDUP(Settings!$B$12*Settings!$B$26,0),NA(),STDEV(OFFSET(G1249,1,0,Settings!$B$12,1))*SQRT(Settings!$B$13)))</f>
        <v/>
      </c>
      <c r="O1249" s="20">
        <f>IF(AND(ISNUMBER(E1249),ISNUMBER(N1249)),E1249-N1249,NA())</f>
        <v/>
      </c>
      <c r="P1249" s="19">
        <f>IF(NOT(ISNUMBER($A1249)),NA(),IF(OR($A1249&lt;MIN(KW_TP!$A$2:$A$2501),$A1249&gt;MAX(KW_TP!$A$2:$A$2501)),NA(),INDEX(KW_TP!$C$2:$C$2501,MATCH($A1249,KW_TP!$A$2:$A$2501,1))))</f>
        <v/>
      </c>
      <c r="Q1249" s="18">
        <f>IF(NOT(ISNUMBER($A1249)),NA(),IFERROR(1*INDEX(BBG_Data!$J$2:$J$4000,MATCH($A1249,BBG_Data!$I$2:$I$4000,0)),NA()))</f>
        <v/>
      </c>
      <c r="R1249" s="18">
        <f>IF(NOT(ISNUMBER($A1249)),NA(),IFERROR(1*INDEX(BBG_Data!$L$2:$L$4000,MATCH($A1249,BBG_Data!$K$2:$K$4000,0)),NA()))</f>
        <v/>
      </c>
      <c r="S1249" s="20">
        <f>IF(AND(ISNUMBER(B1249),ISNUMBER(Q1249),ISNUMBER(R1249)),(B1249-Q1249-R1249)*100,NA())</f>
        <v/>
      </c>
      <c r="T1249" s="20">
        <f>IF(AND(ISNUMBER(B1249),Settings!$B$17&gt;0),IF(ISNUMBER(INDEX($B:$B,Settings!$B$17)),(B1249-INDEX($B:$B,Settings!$B$17))*100,NA()),NA())</f>
        <v/>
      </c>
      <c r="U1249" s="20">
        <f>IF(AND(ISNUMBER(Q1249),Settings!$B$17&gt;0),IF(ISNUMBER(INDEX($Q:$Q,Settings!$B$17)),(Q1249-INDEX($Q:$Q,Settings!$B$17))*100,NA()),NA())</f>
        <v/>
      </c>
      <c r="V1249" s="20">
        <f>IF(AND(ISNUMBER(R1249),Settings!$B$17&gt;0),IF(ISNUMBER(INDEX($R:$R,Settings!$B$17)),(R1249-INDEX($R:$R,Settings!$B$17))*100,NA()),NA())</f>
        <v/>
      </c>
      <c r="W1249" s="20">
        <f>IF(AND(ISNUMBER(P1249),Settings!$B$17&gt;0),IF(ISNUMBER(INDEX($P:$P,Settings!$B$17)),P1249-INDEX($P:$P,Settings!$B$17),NA()),NA())</f>
        <v/>
      </c>
      <c r="X1249" s="19">
        <f>IF(NOT(ISNUMBER($A1249)),NA(),IF(OR($A1249&lt;MIN(DKW_10Y!$A$2:$A$2918),$A1249&gt;MAX(DKW_10Y!$A$2:$A$2918),Settings!$B$16&lt;MIN(DKW_10Y!$A$2:$A$2918)),NA(),(INDEX(DKW_10Y!$B$2:$B$2918,MATCH($A1249,DKW_10Y!$A$2:$A$2918,1))-INDEX(DKW_10Y!$B$2:$B$2918,MATCH(Settings!$B$16,DKW_10Y!$A$2:$A$2918,1)))*100))</f>
        <v/>
      </c>
      <c r="Y1249" s="19">
        <f>IF(NOT(ISNUMBER($A1249)),NA(),IF(OR($A1249&lt;MIN(DKW_10Y!$A$2:$A$2918),$A1249&gt;MAX(DKW_10Y!$A$2:$A$2918),Settings!$B$16&lt;MIN(DKW_10Y!$A$2:$A$2918)),NA(),(INDEX(DKW_10Y!$C$2:$C$2918,MATCH($A1249,DKW_10Y!$A$2:$A$2918,1))-INDEX(DKW_10Y!$C$2:$C$2918,MATCH(Settings!$B$16,DKW_10Y!$A$2:$A$2918,1)))*100))</f>
        <v/>
      </c>
      <c r="Z1249" s="19">
        <f>IF(NOT(ISNUMBER($A1249)),NA(),IF(OR($A1249&lt;MIN(DKW_10Y!$A$2:$A$2918),$A1249&gt;MAX(DKW_10Y!$A$2:$A$2918),Settings!$B$16&lt;MIN(DKW_10Y!$A$2:$A$2918)),NA(),(INDEX(DKW_10Y!$D$2:$D$2918,MATCH($A1249,DKW_10Y!$A$2:$A$2918,1))-INDEX(DKW_10Y!$D$2:$D$2918,MATCH(Settings!$B$16,DKW_10Y!$A$2:$A$2918,1)))*100))</f>
        <v/>
      </c>
      <c r="AA1249" s="19">
        <f>IF(NOT(ISNUMBER($A1249)),NA(),IF(OR($A1249&lt;MIN(DKW_10Y!$A$2:$A$2918),$A1249&gt;MAX(DKW_10Y!$A$2:$A$2918),Settings!$B$16&lt;MIN(DKW_10Y!$A$2:$A$2918)),NA(),(INDEX(DKW_10Y!$E$2:$E$2918,MATCH($A1249,DKW_10Y!$A$2:$A$2918,1))-INDEX(DKW_10Y!$E$2:$E$2918,MATCH(Settings!$B$16,DKW_10Y!$A$2:$A$2918,1)))*100))</f>
        <v/>
      </c>
      <c r="AB1249" s="19">
        <f>IF(NOT(ISNUMBER($A1249)),NA(),IF(OR($A1249&lt;MIN(DKW_10Y!$A$2:$A$2918),$A1249&gt;MAX(DKW_10Y!$A$2:$A$2918),Settings!$B$16&lt;MIN(DKW_10Y!$A$2:$A$2918)),NA(),(INDEX(DKW_10Y!$H$2:$H$2918,MATCH($A1249,DKW_10Y!$A$2:$A$2918,1))-INDEX(DKW_10Y!$H$2:$H$2918,MATCH(Settings!$B$16,DKW_10Y!$A$2:$A$2918,1)))*100))</f>
        <v/>
      </c>
      <c r="AC1249" s="18">
        <f>IF(NOT(ISNUMBER($A1249)),NA(),IFERROR(1*INDEX(BBG_Data!$N$2:$N$4000,MATCH($A1249,BBG_Data!$M$2:$M$4000,0)),NA()))</f>
        <v/>
      </c>
      <c r="AD1249" s="18">
        <f>IF(NOT(ISNUMBER($A1249)),NA(),IFERROR(1*INDEX(BBG_Data!$P$2:$P$4000,MATCH($A1249,BBG_Data!$O$2:$O$4000,0)),NA()))</f>
        <v/>
      </c>
      <c r="AE1249" s="18">
        <f>IF(NOT(ISNUMBER($A1249)),NA(),IFERROR(1*INDEX(BBG_Data!$R$2:$R$4000,MATCH($A1249,BBG_Data!$Q$2:$Q$4000,0)),NA()))</f>
        <v/>
      </c>
      <c r="AF1249" s="20">
        <f>IF(AND(ISNUMBER(B1249),ISNUMBER(AC1249)),(B1249-AC1249)*100,NA())</f>
        <v/>
      </c>
      <c r="AG1249" s="20">
        <f>IF(AND(ISNUMBER(AE1249),ISNUMBER(AD1249)),(AE1249-AD1249)*100,NA())</f>
        <v/>
      </c>
      <c r="AH1249" s="19">
        <f>IF(NOT(ISNUMBER($A1249)),NA(),IFERROR(INDEX(BBG_Data!$T$2:$T$4000,MATCH($A1249,BBG_Data!$S$2:$S$4000,0))*Settings!$B$25,NA()))</f>
        <v/>
      </c>
      <c r="AI1249" s="19">
        <f>IF(NOT(ISNUMBER($A1249)),NA(),IFERROR(INDEX(BBG_Data!$V$2:$V$4000,MATCH($A1249,BBG_Data!$U$2:$U$4000,0))*Settings!$B$25,NA()))</f>
        <v/>
      </c>
      <c r="AJ1249" s="19">
        <f>IF(NOT(ISNUMBER($A1249)),NA(),IFERROR(1*INDEX(BBG_Data!$X$2:$X$4000,MATCH($A1249,BBG_Data!$W$2:$W$4000,0)),NA()))</f>
        <v/>
      </c>
      <c r="AK1249" s="19">
        <f>IF(NOT(ISNUMBER($A1249)),NA(),IFERROR(1*INDEX(BBG_Data!$Z$2:$Z$4000,MATCH($A1249,BBG_Data!$Y$2:$Y$4000,0)),NA()))</f>
        <v/>
      </c>
    </row>
    <row r="1250">
      <c r="A1250" s="17">
        <f>IF(ISNUMBER(BBG_Data!A1250),BBG_Data!A1250,"")</f>
        <v/>
      </c>
      <c r="B1250" s="18">
        <f>IF(AND(ISNUMBER($A1250),ISNUMBER(BBG_Data!B1250)),BBG_Data!B1250,NA())</f>
        <v/>
      </c>
      <c r="C1250" s="18">
        <f>IF(NOT(ISNUMBER($A1250)),NA(),IFERROR(1*INDEX(BBG_Data!$D$2:$D$4000,MATCH($A1250,BBG_Data!$C$2:$C$4000,0)),NA()))</f>
        <v/>
      </c>
      <c r="D1250" s="19">
        <f>IF(NOT(ISNUMBER($A1250)),NA(),IFERROR(1*INDEX(BBG_Data!$F$2:$F$4000,MATCH($A1250,BBG_Data!$E$2:$E$4000,0)),NA()))</f>
        <v/>
      </c>
      <c r="E1250" s="19">
        <f>IF(NOT(ISNUMBER($A1250)),NA(),IFERROR(1*INDEX(BBG_Data!$H$2:$H$4000,MATCH($A1250,BBG_Data!$G$2:$G$4000,0)),NA()))</f>
        <v/>
      </c>
      <c r="F1250" s="20">
        <f>IF(AND(ISNUMBER(B1250),ISNUMBER(B1249)),IF(B1250=B1249,"",(B1250-B1249)*100),"")</f>
        <v/>
      </c>
      <c r="G1250" s="20">
        <f>IF(AND(ISNUMBER(C1250),ISNUMBER(C1249)),IF(C1250=C1249,"",(C1250-C1249)*100),"")</f>
        <v/>
      </c>
      <c r="H1250" s="20">
        <f>IF(OR(NOT(ISNUMBER($A1250)),ROW()-2&lt;Settings!$B$11),NA(),IF(COUNT(OFFSET(F1250,1-Settings!$B$11,0,Settings!$B$11,1))&lt;ROUNDUP(Settings!$B$11*Settings!$B$26,0),NA(),STDEV(OFFSET(F1250,1-Settings!$B$11,0,Settings!$B$11,1))*SQRT(Settings!$B$13)))</f>
        <v/>
      </c>
      <c r="I1250" s="20">
        <f>IF(OR(NOT(ISNUMBER($A1250)),ROW()-2&lt;Settings!$B$12),NA(),IF(COUNT(OFFSET(F1250,1-Settings!$B$12,0,Settings!$B$12,1))&lt;ROUNDUP(Settings!$B$12*Settings!$B$26,0),NA(),STDEV(OFFSET(F1250,1-Settings!$B$12,0,Settings!$B$12,1))*SQRT(Settings!$B$13)))</f>
        <v/>
      </c>
      <c r="J1250" s="20">
        <f>IF(OR(NOT(ISNUMBER($A1250)),ROW()-2&lt;Settings!$B$11),NA(),IF(COUNT(OFFSET(G1250,1-Settings!$B$11,0,Settings!$B$11,1))&lt;ROUNDUP(Settings!$B$11*Settings!$B$26,0),NA(),STDEV(OFFSET(G1250,1-Settings!$B$11,0,Settings!$B$11,1))*SQRT(Settings!$B$13)))</f>
        <v/>
      </c>
      <c r="K1250" s="20">
        <f>IF(OR(NOT(ISNUMBER($A1250)),ROW()-2&lt;Settings!$B$12),NA(),IF(COUNT(OFFSET(G1250,1-Settings!$B$12,0,Settings!$B$12,1))&lt;ROUNDUP(Settings!$B$12*Settings!$B$26,0),NA(),STDEV(OFFSET(G1250,1-Settings!$B$12,0,Settings!$B$12,1))*SQRT(Settings!$B$13)))</f>
        <v/>
      </c>
      <c r="L1250" s="20">
        <f>IF(AND(ISNUMBER(D1250),ISNUMBER(H1250)),D1250-H1250,NA())</f>
        <v/>
      </c>
      <c r="M1250" s="20">
        <f>IF(AND(ISNUMBER(E1250),ISNUMBER(K1250)),E1250-K1250,NA())</f>
        <v/>
      </c>
      <c r="N1250" s="20">
        <f>IF(NOT(ISNUMBER($A1250)),NA(),IF(COUNT(OFFSET(G1250,1,0,Settings!$B$12,1))&lt;ROUNDUP(Settings!$B$12*Settings!$B$26,0),NA(),STDEV(OFFSET(G1250,1,0,Settings!$B$12,1))*SQRT(Settings!$B$13)))</f>
        <v/>
      </c>
      <c r="O1250" s="20">
        <f>IF(AND(ISNUMBER(E1250),ISNUMBER(N1250)),E1250-N1250,NA())</f>
        <v/>
      </c>
      <c r="P1250" s="19">
        <f>IF(NOT(ISNUMBER($A1250)),NA(),IF(OR($A1250&lt;MIN(KW_TP!$A$2:$A$2501),$A1250&gt;MAX(KW_TP!$A$2:$A$2501)),NA(),INDEX(KW_TP!$C$2:$C$2501,MATCH($A1250,KW_TP!$A$2:$A$2501,1))))</f>
        <v/>
      </c>
      <c r="Q1250" s="18">
        <f>IF(NOT(ISNUMBER($A1250)),NA(),IFERROR(1*INDEX(BBG_Data!$J$2:$J$4000,MATCH($A1250,BBG_Data!$I$2:$I$4000,0)),NA()))</f>
        <v/>
      </c>
      <c r="R1250" s="18">
        <f>IF(NOT(ISNUMBER($A1250)),NA(),IFERROR(1*INDEX(BBG_Data!$L$2:$L$4000,MATCH($A1250,BBG_Data!$K$2:$K$4000,0)),NA()))</f>
        <v/>
      </c>
      <c r="S1250" s="20">
        <f>IF(AND(ISNUMBER(B1250),ISNUMBER(Q1250),ISNUMBER(R1250)),(B1250-Q1250-R1250)*100,NA())</f>
        <v/>
      </c>
      <c r="T1250" s="20">
        <f>IF(AND(ISNUMBER(B1250),Settings!$B$17&gt;0),IF(ISNUMBER(INDEX($B:$B,Settings!$B$17)),(B1250-INDEX($B:$B,Settings!$B$17))*100,NA()),NA())</f>
        <v/>
      </c>
      <c r="U1250" s="20">
        <f>IF(AND(ISNUMBER(Q1250),Settings!$B$17&gt;0),IF(ISNUMBER(INDEX($Q:$Q,Settings!$B$17)),(Q1250-INDEX($Q:$Q,Settings!$B$17))*100,NA()),NA())</f>
        <v/>
      </c>
      <c r="V1250" s="20">
        <f>IF(AND(ISNUMBER(R1250),Settings!$B$17&gt;0),IF(ISNUMBER(INDEX($R:$R,Settings!$B$17)),(R1250-INDEX($R:$R,Settings!$B$17))*100,NA()),NA())</f>
        <v/>
      </c>
      <c r="W1250" s="20">
        <f>IF(AND(ISNUMBER(P1250),Settings!$B$17&gt;0),IF(ISNUMBER(INDEX($P:$P,Settings!$B$17)),P1250-INDEX($P:$P,Settings!$B$17),NA()),NA())</f>
        <v/>
      </c>
      <c r="X1250" s="19">
        <f>IF(NOT(ISNUMBER($A1250)),NA(),IF(OR($A1250&lt;MIN(DKW_10Y!$A$2:$A$2918),$A1250&gt;MAX(DKW_10Y!$A$2:$A$2918),Settings!$B$16&lt;MIN(DKW_10Y!$A$2:$A$2918)),NA(),(INDEX(DKW_10Y!$B$2:$B$2918,MATCH($A1250,DKW_10Y!$A$2:$A$2918,1))-INDEX(DKW_10Y!$B$2:$B$2918,MATCH(Settings!$B$16,DKW_10Y!$A$2:$A$2918,1)))*100))</f>
        <v/>
      </c>
      <c r="Y1250" s="19">
        <f>IF(NOT(ISNUMBER($A1250)),NA(),IF(OR($A1250&lt;MIN(DKW_10Y!$A$2:$A$2918),$A1250&gt;MAX(DKW_10Y!$A$2:$A$2918),Settings!$B$16&lt;MIN(DKW_10Y!$A$2:$A$2918)),NA(),(INDEX(DKW_10Y!$C$2:$C$2918,MATCH($A1250,DKW_10Y!$A$2:$A$2918,1))-INDEX(DKW_10Y!$C$2:$C$2918,MATCH(Settings!$B$16,DKW_10Y!$A$2:$A$2918,1)))*100))</f>
        <v/>
      </c>
      <c r="Z1250" s="19">
        <f>IF(NOT(ISNUMBER($A1250)),NA(),IF(OR($A1250&lt;MIN(DKW_10Y!$A$2:$A$2918),$A1250&gt;MAX(DKW_10Y!$A$2:$A$2918),Settings!$B$16&lt;MIN(DKW_10Y!$A$2:$A$2918)),NA(),(INDEX(DKW_10Y!$D$2:$D$2918,MATCH($A1250,DKW_10Y!$A$2:$A$2918,1))-INDEX(DKW_10Y!$D$2:$D$2918,MATCH(Settings!$B$16,DKW_10Y!$A$2:$A$2918,1)))*100))</f>
        <v/>
      </c>
      <c r="AA1250" s="19">
        <f>IF(NOT(ISNUMBER($A1250)),NA(),IF(OR($A1250&lt;MIN(DKW_10Y!$A$2:$A$2918),$A1250&gt;MAX(DKW_10Y!$A$2:$A$2918),Settings!$B$16&lt;MIN(DKW_10Y!$A$2:$A$2918)),NA(),(INDEX(DKW_10Y!$E$2:$E$2918,MATCH($A1250,DKW_10Y!$A$2:$A$2918,1))-INDEX(DKW_10Y!$E$2:$E$2918,MATCH(Settings!$B$16,DKW_10Y!$A$2:$A$2918,1)))*100))</f>
        <v/>
      </c>
      <c r="AB1250" s="19">
        <f>IF(NOT(ISNUMBER($A1250)),NA(),IF(OR($A1250&lt;MIN(DKW_10Y!$A$2:$A$2918),$A1250&gt;MAX(DKW_10Y!$A$2:$A$2918),Settings!$B$16&lt;MIN(DKW_10Y!$A$2:$A$2918)),NA(),(INDEX(DKW_10Y!$H$2:$H$2918,MATCH($A1250,DKW_10Y!$A$2:$A$2918,1))-INDEX(DKW_10Y!$H$2:$H$2918,MATCH(Settings!$B$16,DKW_10Y!$A$2:$A$2918,1)))*100))</f>
        <v/>
      </c>
      <c r="AC1250" s="18">
        <f>IF(NOT(ISNUMBER($A1250)),NA(),IFERROR(1*INDEX(BBG_Data!$N$2:$N$4000,MATCH($A1250,BBG_Data!$M$2:$M$4000,0)),NA()))</f>
        <v/>
      </c>
      <c r="AD1250" s="18">
        <f>IF(NOT(ISNUMBER($A1250)),NA(),IFERROR(1*INDEX(BBG_Data!$P$2:$P$4000,MATCH($A1250,BBG_Data!$O$2:$O$4000,0)),NA()))</f>
        <v/>
      </c>
      <c r="AE1250" s="18">
        <f>IF(NOT(ISNUMBER($A1250)),NA(),IFERROR(1*INDEX(BBG_Data!$R$2:$R$4000,MATCH($A1250,BBG_Data!$Q$2:$Q$4000,0)),NA()))</f>
        <v/>
      </c>
      <c r="AF1250" s="20">
        <f>IF(AND(ISNUMBER(B1250),ISNUMBER(AC1250)),(B1250-AC1250)*100,NA())</f>
        <v/>
      </c>
      <c r="AG1250" s="20">
        <f>IF(AND(ISNUMBER(AE1250),ISNUMBER(AD1250)),(AE1250-AD1250)*100,NA())</f>
        <v/>
      </c>
      <c r="AH1250" s="19">
        <f>IF(NOT(ISNUMBER($A1250)),NA(),IFERROR(INDEX(BBG_Data!$T$2:$T$4000,MATCH($A1250,BBG_Data!$S$2:$S$4000,0))*Settings!$B$25,NA()))</f>
        <v/>
      </c>
      <c r="AI1250" s="19">
        <f>IF(NOT(ISNUMBER($A1250)),NA(),IFERROR(INDEX(BBG_Data!$V$2:$V$4000,MATCH($A1250,BBG_Data!$U$2:$U$4000,0))*Settings!$B$25,NA()))</f>
        <v/>
      </c>
      <c r="AJ1250" s="19">
        <f>IF(NOT(ISNUMBER($A1250)),NA(),IFERROR(1*INDEX(BBG_Data!$X$2:$X$4000,MATCH($A1250,BBG_Data!$W$2:$W$4000,0)),NA()))</f>
        <v/>
      </c>
      <c r="AK1250" s="19">
        <f>IF(NOT(ISNUMBER($A1250)),NA(),IFERROR(1*INDEX(BBG_Data!$Z$2:$Z$4000,MATCH($A1250,BBG_Data!$Y$2:$Y$4000,0)),NA()))</f>
        <v/>
      </c>
    </row>
    <row r="1251">
      <c r="A1251" s="17">
        <f>IF(ISNUMBER(BBG_Data!A1251),BBG_Data!A1251,"")</f>
        <v/>
      </c>
      <c r="B1251" s="18">
        <f>IF(AND(ISNUMBER($A1251),ISNUMBER(BBG_Data!B1251)),BBG_Data!B1251,NA())</f>
        <v/>
      </c>
      <c r="C1251" s="18">
        <f>IF(NOT(ISNUMBER($A1251)),NA(),IFERROR(1*INDEX(BBG_Data!$D$2:$D$4000,MATCH($A1251,BBG_Data!$C$2:$C$4000,0)),NA()))</f>
        <v/>
      </c>
      <c r="D1251" s="19">
        <f>IF(NOT(ISNUMBER($A1251)),NA(),IFERROR(1*INDEX(BBG_Data!$F$2:$F$4000,MATCH($A1251,BBG_Data!$E$2:$E$4000,0)),NA()))</f>
        <v/>
      </c>
      <c r="E1251" s="19">
        <f>IF(NOT(ISNUMBER($A1251)),NA(),IFERROR(1*INDEX(BBG_Data!$H$2:$H$4000,MATCH($A1251,BBG_Data!$G$2:$G$4000,0)),NA()))</f>
        <v/>
      </c>
      <c r="F1251" s="20">
        <f>IF(AND(ISNUMBER(B1251),ISNUMBER(B1250)),IF(B1251=B1250,"",(B1251-B1250)*100),"")</f>
        <v/>
      </c>
      <c r="G1251" s="20">
        <f>IF(AND(ISNUMBER(C1251),ISNUMBER(C1250)),IF(C1251=C1250,"",(C1251-C1250)*100),"")</f>
        <v/>
      </c>
      <c r="H1251" s="20">
        <f>IF(OR(NOT(ISNUMBER($A1251)),ROW()-2&lt;Settings!$B$11),NA(),IF(COUNT(OFFSET(F1251,1-Settings!$B$11,0,Settings!$B$11,1))&lt;ROUNDUP(Settings!$B$11*Settings!$B$26,0),NA(),STDEV(OFFSET(F1251,1-Settings!$B$11,0,Settings!$B$11,1))*SQRT(Settings!$B$13)))</f>
        <v/>
      </c>
      <c r="I1251" s="20">
        <f>IF(OR(NOT(ISNUMBER($A1251)),ROW()-2&lt;Settings!$B$12),NA(),IF(COUNT(OFFSET(F1251,1-Settings!$B$12,0,Settings!$B$12,1))&lt;ROUNDUP(Settings!$B$12*Settings!$B$26,0),NA(),STDEV(OFFSET(F1251,1-Settings!$B$12,0,Settings!$B$12,1))*SQRT(Settings!$B$13)))</f>
        <v/>
      </c>
      <c r="J1251" s="20">
        <f>IF(OR(NOT(ISNUMBER($A1251)),ROW()-2&lt;Settings!$B$11),NA(),IF(COUNT(OFFSET(G1251,1-Settings!$B$11,0,Settings!$B$11,1))&lt;ROUNDUP(Settings!$B$11*Settings!$B$26,0),NA(),STDEV(OFFSET(G1251,1-Settings!$B$11,0,Settings!$B$11,1))*SQRT(Settings!$B$13)))</f>
        <v/>
      </c>
      <c r="K1251" s="20">
        <f>IF(OR(NOT(ISNUMBER($A1251)),ROW()-2&lt;Settings!$B$12),NA(),IF(COUNT(OFFSET(G1251,1-Settings!$B$12,0,Settings!$B$12,1))&lt;ROUNDUP(Settings!$B$12*Settings!$B$26,0),NA(),STDEV(OFFSET(G1251,1-Settings!$B$12,0,Settings!$B$12,1))*SQRT(Settings!$B$13)))</f>
        <v/>
      </c>
      <c r="L1251" s="20">
        <f>IF(AND(ISNUMBER(D1251),ISNUMBER(H1251)),D1251-H1251,NA())</f>
        <v/>
      </c>
      <c r="M1251" s="20">
        <f>IF(AND(ISNUMBER(E1251),ISNUMBER(K1251)),E1251-K1251,NA())</f>
        <v/>
      </c>
      <c r="N1251" s="20">
        <f>IF(NOT(ISNUMBER($A1251)),NA(),IF(COUNT(OFFSET(G1251,1,0,Settings!$B$12,1))&lt;ROUNDUP(Settings!$B$12*Settings!$B$26,0),NA(),STDEV(OFFSET(G1251,1,0,Settings!$B$12,1))*SQRT(Settings!$B$13)))</f>
        <v/>
      </c>
      <c r="O1251" s="20">
        <f>IF(AND(ISNUMBER(E1251),ISNUMBER(N1251)),E1251-N1251,NA())</f>
        <v/>
      </c>
      <c r="P1251" s="19">
        <f>IF(NOT(ISNUMBER($A1251)),NA(),IF(OR($A1251&lt;MIN(KW_TP!$A$2:$A$2501),$A1251&gt;MAX(KW_TP!$A$2:$A$2501)),NA(),INDEX(KW_TP!$C$2:$C$2501,MATCH($A1251,KW_TP!$A$2:$A$2501,1))))</f>
        <v/>
      </c>
      <c r="Q1251" s="18">
        <f>IF(NOT(ISNUMBER($A1251)),NA(),IFERROR(1*INDEX(BBG_Data!$J$2:$J$4000,MATCH($A1251,BBG_Data!$I$2:$I$4000,0)),NA()))</f>
        <v/>
      </c>
      <c r="R1251" s="18">
        <f>IF(NOT(ISNUMBER($A1251)),NA(),IFERROR(1*INDEX(BBG_Data!$L$2:$L$4000,MATCH($A1251,BBG_Data!$K$2:$K$4000,0)),NA()))</f>
        <v/>
      </c>
      <c r="S1251" s="20">
        <f>IF(AND(ISNUMBER(B1251),ISNUMBER(Q1251),ISNUMBER(R1251)),(B1251-Q1251-R1251)*100,NA())</f>
        <v/>
      </c>
      <c r="T1251" s="20">
        <f>IF(AND(ISNUMBER(B1251),Settings!$B$17&gt;0),IF(ISNUMBER(INDEX($B:$B,Settings!$B$17)),(B1251-INDEX($B:$B,Settings!$B$17))*100,NA()),NA())</f>
        <v/>
      </c>
      <c r="U1251" s="20">
        <f>IF(AND(ISNUMBER(Q1251),Settings!$B$17&gt;0),IF(ISNUMBER(INDEX($Q:$Q,Settings!$B$17)),(Q1251-INDEX($Q:$Q,Settings!$B$17))*100,NA()),NA())</f>
        <v/>
      </c>
      <c r="V1251" s="20">
        <f>IF(AND(ISNUMBER(R1251),Settings!$B$17&gt;0),IF(ISNUMBER(INDEX($R:$R,Settings!$B$17)),(R1251-INDEX($R:$R,Settings!$B$17))*100,NA()),NA())</f>
        <v/>
      </c>
      <c r="W1251" s="20">
        <f>IF(AND(ISNUMBER(P1251),Settings!$B$17&gt;0),IF(ISNUMBER(INDEX($P:$P,Settings!$B$17)),P1251-INDEX($P:$P,Settings!$B$17),NA()),NA())</f>
        <v/>
      </c>
      <c r="X1251" s="19">
        <f>IF(NOT(ISNUMBER($A1251)),NA(),IF(OR($A1251&lt;MIN(DKW_10Y!$A$2:$A$2918),$A1251&gt;MAX(DKW_10Y!$A$2:$A$2918),Settings!$B$16&lt;MIN(DKW_10Y!$A$2:$A$2918)),NA(),(INDEX(DKW_10Y!$B$2:$B$2918,MATCH($A1251,DKW_10Y!$A$2:$A$2918,1))-INDEX(DKW_10Y!$B$2:$B$2918,MATCH(Settings!$B$16,DKW_10Y!$A$2:$A$2918,1)))*100))</f>
        <v/>
      </c>
      <c r="Y1251" s="19">
        <f>IF(NOT(ISNUMBER($A1251)),NA(),IF(OR($A1251&lt;MIN(DKW_10Y!$A$2:$A$2918),$A1251&gt;MAX(DKW_10Y!$A$2:$A$2918),Settings!$B$16&lt;MIN(DKW_10Y!$A$2:$A$2918)),NA(),(INDEX(DKW_10Y!$C$2:$C$2918,MATCH($A1251,DKW_10Y!$A$2:$A$2918,1))-INDEX(DKW_10Y!$C$2:$C$2918,MATCH(Settings!$B$16,DKW_10Y!$A$2:$A$2918,1)))*100))</f>
        <v/>
      </c>
      <c r="Z1251" s="19">
        <f>IF(NOT(ISNUMBER($A1251)),NA(),IF(OR($A1251&lt;MIN(DKW_10Y!$A$2:$A$2918),$A1251&gt;MAX(DKW_10Y!$A$2:$A$2918),Settings!$B$16&lt;MIN(DKW_10Y!$A$2:$A$2918)),NA(),(INDEX(DKW_10Y!$D$2:$D$2918,MATCH($A1251,DKW_10Y!$A$2:$A$2918,1))-INDEX(DKW_10Y!$D$2:$D$2918,MATCH(Settings!$B$16,DKW_10Y!$A$2:$A$2918,1)))*100))</f>
        <v/>
      </c>
      <c r="AA1251" s="19">
        <f>IF(NOT(ISNUMBER($A1251)),NA(),IF(OR($A1251&lt;MIN(DKW_10Y!$A$2:$A$2918),$A1251&gt;MAX(DKW_10Y!$A$2:$A$2918),Settings!$B$16&lt;MIN(DKW_10Y!$A$2:$A$2918)),NA(),(INDEX(DKW_10Y!$E$2:$E$2918,MATCH($A1251,DKW_10Y!$A$2:$A$2918,1))-INDEX(DKW_10Y!$E$2:$E$2918,MATCH(Settings!$B$16,DKW_10Y!$A$2:$A$2918,1)))*100))</f>
        <v/>
      </c>
      <c r="AB1251" s="19">
        <f>IF(NOT(ISNUMBER($A1251)),NA(),IF(OR($A1251&lt;MIN(DKW_10Y!$A$2:$A$2918),$A1251&gt;MAX(DKW_10Y!$A$2:$A$2918),Settings!$B$16&lt;MIN(DKW_10Y!$A$2:$A$2918)),NA(),(INDEX(DKW_10Y!$H$2:$H$2918,MATCH($A1251,DKW_10Y!$A$2:$A$2918,1))-INDEX(DKW_10Y!$H$2:$H$2918,MATCH(Settings!$B$16,DKW_10Y!$A$2:$A$2918,1)))*100))</f>
        <v/>
      </c>
      <c r="AC1251" s="18">
        <f>IF(NOT(ISNUMBER($A1251)),NA(),IFERROR(1*INDEX(BBG_Data!$N$2:$N$4000,MATCH($A1251,BBG_Data!$M$2:$M$4000,0)),NA()))</f>
        <v/>
      </c>
      <c r="AD1251" s="18">
        <f>IF(NOT(ISNUMBER($A1251)),NA(),IFERROR(1*INDEX(BBG_Data!$P$2:$P$4000,MATCH($A1251,BBG_Data!$O$2:$O$4000,0)),NA()))</f>
        <v/>
      </c>
      <c r="AE1251" s="18">
        <f>IF(NOT(ISNUMBER($A1251)),NA(),IFERROR(1*INDEX(BBG_Data!$R$2:$R$4000,MATCH($A1251,BBG_Data!$Q$2:$Q$4000,0)),NA()))</f>
        <v/>
      </c>
      <c r="AF1251" s="20">
        <f>IF(AND(ISNUMBER(B1251),ISNUMBER(AC1251)),(B1251-AC1251)*100,NA())</f>
        <v/>
      </c>
      <c r="AG1251" s="20">
        <f>IF(AND(ISNUMBER(AE1251),ISNUMBER(AD1251)),(AE1251-AD1251)*100,NA())</f>
        <v/>
      </c>
      <c r="AH1251" s="19">
        <f>IF(NOT(ISNUMBER($A1251)),NA(),IFERROR(INDEX(BBG_Data!$T$2:$T$4000,MATCH($A1251,BBG_Data!$S$2:$S$4000,0))*Settings!$B$25,NA()))</f>
        <v/>
      </c>
      <c r="AI1251" s="19">
        <f>IF(NOT(ISNUMBER($A1251)),NA(),IFERROR(INDEX(BBG_Data!$V$2:$V$4000,MATCH($A1251,BBG_Data!$U$2:$U$4000,0))*Settings!$B$25,NA()))</f>
        <v/>
      </c>
      <c r="AJ1251" s="19">
        <f>IF(NOT(ISNUMBER($A1251)),NA(),IFERROR(1*INDEX(BBG_Data!$X$2:$X$4000,MATCH($A1251,BBG_Data!$W$2:$W$4000,0)),NA()))</f>
        <v/>
      </c>
      <c r="AK1251" s="19">
        <f>IF(NOT(ISNUMBER($A1251)),NA(),IFERROR(1*INDEX(BBG_Data!$Z$2:$Z$4000,MATCH($A1251,BBG_Data!$Y$2:$Y$4000,0)),NA()))</f>
        <v/>
      </c>
    </row>
    <row r="1252">
      <c r="A1252" s="17">
        <f>IF(ISNUMBER(BBG_Data!A1252),BBG_Data!A1252,"")</f>
        <v/>
      </c>
      <c r="B1252" s="18">
        <f>IF(AND(ISNUMBER($A1252),ISNUMBER(BBG_Data!B1252)),BBG_Data!B1252,NA())</f>
        <v/>
      </c>
      <c r="C1252" s="18">
        <f>IF(NOT(ISNUMBER($A1252)),NA(),IFERROR(1*INDEX(BBG_Data!$D$2:$D$4000,MATCH($A1252,BBG_Data!$C$2:$C$4000,0)),NA()))</f>
        <v/>
      </c>
      <c r="D1252" s="19">
        <f>IF(NOT(ISNUMBER($A1252)),NA(),IFERROR(1*INDEX(BBG_Data!$F$2:$F$4000,MATCH($A1252,BBG_Data!$E$2:$E$4000,0)),NA()))</f>
        <v/>
      </c>
      <c r="E1252" s="19">
        <f>IF(NOT(ISNUMBER($A1252)),NA(),IFERROR(1*INDEX(BBG_Data!$H$2:$H$4000,MATCH($A1252,BBG_Data!$G$2:$G$4000,0)),NA()))</f>
        <v/>
      </c>
      <c r="F1252" s="20">
        <f>IF(AND(ISNUMBER(B1252),ISNUMBER(B1251)),IF(B1252=B1251,"",(B1252-B1251)*100),"")</f>
        <v/>
      </c>
      <c r="G1252" s="20">
        <f>IF(AND(ISNUMBER(C1252),ISNUMBER(C1251)),IF(C1252=C1251,"",(C1252-C1251)*100),"")</f>
        <v/>
      </c>
      <c r="H1252" s="20">
        <f>IF(OR(NOT(ISNUMBER($A1252)),ROW()-2&lt;Settings!$B$11),NA(),IF(COUNT(OFFSET(F1252,1-Settings!$B$11,0,Settings!$B$11,1))&lt;ROUNDUP(Settings!$B$11*Settings!$B$26,0),NA(),STDEV(OFFSET(F1252,1-Settings!$B$11,0,Settings!$B$11,1))*SQRT(Settings!$B$13)))</f>
        <v/>
      </c>
      <c r="I1252" s="20">
        <f>IF(OR(NOT(ISNUMBER($A1252)),ROW()-2&lt;Settings!$B$12),NA(),IF(COUNT(OFFSET(F1252,1-Settings!$B$12,0,Settings!$B$12,1))&lt;ROUNDUP(Settings!$B$12*Settings!$B$26,0),NA(),STDEV(OFFSET(F1252,1-Settings!$B$12,0,Settings!$B$12,1))*SQRT(Settings!$B$13)))</f>
        <v/>
      </c>
      <c r="J1252" s="20">
        <f>IF(OR(NOT(ISNUMBER($A1252)),ROW()-2&lt;Settings!$B$11),NA(),IF(COUNT(OFFSET(G1252,1-Settings!$B$11,0,Settings!$B$11,1))&lt;ROUNDUP(Settings!$B$11*Settings!$B$26,0),NA(),STDEV(OFFSET(G1252,1-Settings!$B$11,0,Settings!$B$11,1))*SQRT(Settings!$B$13)))</f>
        <v/>
      </c>
      <c r="K1252" s="20">
        <f>IF(OR(NOT(ISNUMBER($A1252)),ROW()-2&lt;Settings!$B$12),NA(),IF(COUNT(OFFSET(G1252,1-Settings!$B$12,0,Settings!$B$12,1))&lt;ROUNDUP(Settings!$B$12*Settings!$B$26,0),NA(),STDEV(OFFSET(G1252,1-Settings!$B$12,0,Settings!$B$12,1))*SQRT(Settings!$B$13)))</f>
        <v/>
      </c>
      <c r="L1252" s="20">
        <f>IF(AND(ISNUMBER(D1252),ISNUMBER(H1252)),D1252-H1252,NA())</f>
        <v/>
      </c>
      <c r="M1252" s="20">
        <f>IF(AND(ISNUMBER(E1252),ISNUMBER(K1252)),E1252-K1252,NA())</f>
        <v/>
      </c>
      <c r="N1252" s="20">
        <f>IF(NOT(ISNUMBER($A1252)),NA(),IF(COUNT(OFFSET(G1252,1,0,Settings!$B$12,1))&lt;ROUNDUP(Settings!$B$12*Settings!$B$26,0),NA(),STDEV(OFFSET(G1252,1,0,Settings!$B$12,1))*SQRT(Settings!$B$13)))</f>
        <v/>
      </c>
      <c r="O1252" s="20">
        <f>IF(AND(ISNUMBER(E1252),ISNUMBER(N1252)),E1252-N1252,NA())</f>
        <v/>
      </c>
      <c r="P1252" s="19">
        <f>IF(NOT(ISNUMBER($A1252)),NA(),IF(OR($A1252&lt;MIN(KW_TP!$A$2:$A$2501),$A1252&gt;MAX(KW_TP!$A$2:$A$2501)),NA(),INDEX(KW_TP!$C$2:$C$2501,MATCH($A1252,KW_TP!$A$2:$A$2501,1))))</f>
        <v/>
      </c>
      <c r="Q1252" s="18">
        <f>IF(NOT(ISNUMBER($A1252)),NA(),IFERROR(1*INDEX(BBG_Data!$J$2:$J$4000,MATCH($A1252,BBG_Data!$I$2:$I$4000,0)),NA()))</f>
        <v/>
      </c>
      <c r="R1252" s="18">
        <f>IF(NOT(ISNUMBER($A1252)),NA(),IFERROR(1*INDEX(BBG_Data!$L$2:$L$4000,MATCH($A1252,BBG_Data!$K$2:$K$4000,0)),NA()))</f>
        <v/>
      </c>
      <c r="S1252" s="20">
        <f>IF(AND(ISNUMBER(B1252),ISNUMBER(Q1252),ISNUMBER(R1252)),(B1252-Q1252-R1252)*100,NA())</f>
        <v/>
      </c>
      <c r="T1252" s="20">
        <f>IF(AND(ISNUMBER(B1252),Settings!$B$17&gt;0),IF(ISNUMBER(INDEX($B:$B,Settings!$B$17)),(B1252-INDEX($B:$B,Settings!$B$17))*100,NA()),NA())</f>
        <v/>
      </c>
      <c r="U1252" s="20">
        <f>IF(AND(ISNUMBER(Q1252),Settings!$B$17&gt;0),IF(ISNUMBER(INDEX($Q:$Q,Settings!$B$17)),(Q1252-INDEX($Q:$Q,Settings!$B$17))*100,NA()),NA())</f>
        <v/>
      </c>
      <c r="V1252" s="20">
        <f>IF(AND(ISNUMBER(R1252),Settings!$B$17&gt;0),IF(ISNUMBER(INDEX($R:$R,Settings!$B$17)),(R1252-INDEX($R:$R,Settings!$B$17))*100,NA()),NA())</f>
        <v/>
      </c>
      <c r="W1252" s="20">
        <f>IF(AND(ISNUMBER(P1252),Settings!$B$17&gt;0),IF(ISNUMBER(INDEX($P:$P,Settings!$B$17)),P1252-INDEX($P:$P,Settings!$B$17),NA()),NA())</f>
        <v/>
      </c>
      <c r="X1252" s="19">
        <f>IF(NOT(ISNUMBER($A1252)),NA(),IF(OR($A1252&lt;MIN(DKW_10Y!$A$2:$A$2918),$A1252&gt;MAX(DKW_10Y!$A$2:$A$2918),Settings!$B$16&lt;MIN(DKW_10Y!$A$2:$A$2918)),NA(),(INDEX(DKW_10Y!$B$2:$B$2918,MATCH($A1252,DKW_10Y!$A$2:$A$2918,1))-INDEX(DKW_10Y!$B$2:$B$2918,MATCH(Settings!$B$16,DKW_10Y!$A$2:$A$2918,1)))*100))</f>
        <v/>
      </c>
      <c r="Y1252" s="19">
        <f>IF(NOT(ISNUMBER($A1252)),NA(),IF(OR($A1252&lt;MIN(DKW_10Y!$A$2:$A$2918),$A1252&gt;MAX(DKW_10Y!$A$2:$A$2918),Settings!$B$16&lt;MIN(DKW_10Y!$A$2:$A$2918)),NA(),(INDEX(DKW_10Y!$C$2:$C$2918,MATCH($A1252,DKW_10Y!$A$2:$A$2918,1))-INDEX(DKW_10Y!$C$2:$C$2918,MATCH(Settings!$B$16,DKW_10Y!$A$2:$A$2918,1)))*100))</f>
        <v/>
      </c>
      <c r="Z1252" s="19">
        <f>IF(NOT(ISNUMBER($A1252)),NA(),IF(OR($A1252&lt;MIN(DKW_10Y!$A$2:$A$2918),$A1252&gt;MAX(DKW_10Y!$A$2:$A$2918),Settings!$B$16&lt;MIN(DKW_10Y!$A$2:$A$2918)),NA(),(INDEX(DKW_10Y!$D$2:$D$2918,MATCH($A1252,DKW_10Y!$A$2:$A$2918,1))-INDEX(DKW_10Y!$D$2:$D$2918,MATCH(Settings!$B$16,DKW_10Y!$A$2:$A$2918,1)))*100))</f>
        <v/>
      </c>
      <c r="AA1252" s="19">
        <f>IF(NOT(ISNUMBER($A1252)),NA(),IF(OR($A1252&lt;MIN(DKW_10Y!$A$2:$A$2918),$A1252&gt;MAX(DKW_10Y!$A$2:$A$2918),Settings!$B$16&lt;MIN(DKW_10Y!$A$2:$A$2918)),NA(),(INDEX(DKW_10Y!$E$2:$E$2918,MATCH($A1252,DKW_10Y!$A$2:$A$2918,1))-INDEX(DKW_10Y!$E$2:$E$2918,MATCH(Settings!$B$16,DKW_10Y!$A$2:$A$2918,1)))*100))</f>
        <v/>
      </c>
      <c r="AB1252" s="19">
        <f>IF(NOT(ISNUMBER($A1252)),NA(),IF(OR($A1252&lt;MIN(DKW_10Y!$A$2:$A$2918),$A1252&gt;MAX(DKW_10Y!$A$2:$A$2918),Settings!$B$16&lt;MIN(DKW_10Y!$A$2:$A$2918)),NA(),(INDEX(DKW_10Y!$H$2:$H$2918,MATCH($A1252,DKW_10Y!$A$2:$A$2918,1))-INDEX(DKW_10Y!$H$2:$H$2918,MATCH(Settings!$B$16,DKW_10Y!$A$2:$A$2918,1)))*100))</f>
        <v/>
      </c>
      <c r="AC1252" s="18">
        <f>IF(NOT(ISNUMBER($A1252)),NA(),IFERROR(1*INDEX(BBG_Data!$N$2:$N$4000,MATCH($A1252,BBG_Data!$M$2:$M$4000,0)),NA()))</f>
        <v/>
      </c>
      <c r="AD1252" s="18">
        <f>IF(NOT(ISNUMBER($A1252)),NA(),IFERROR(1*INDEX(BBG_Data!$P$2:$P$4000,MATCH($A1252,BBG_Data!$O$2:$O$4000,0)),NA()))</f>
        <v/>
      </c>
      <c r="AE1252" s="18">
        <f>IF(NOT(ISNUMBER($A1252)),NA(),IFERROR(1*INDEX(BBG_Data!$R$2:$R$4000,MATCH($A1252,BBG_Data!$Q$2:$Q$4000,0)),NA()))</f>
        <v/>
      </c>
      <c r="AF1252" s="20">
        <f>IF(AND(ISNUMBER(B1252),ISNUMBER(AC1252)),(B1252-AC1252)*100,NA())</f>
        <v/>
      </c>
      <c r="AG1252" s="20">
        <f>IF(AND(ISNUMBER(AE1252),ISNUMBER(AD1252)),(AE1252-AD1252)*100,NA())</f>
        <v/>
      </c>
      <c r="AH1252" s="19">
        <f>IF(NOT(ISNUMBER($A1252)),NA(),IFERROR(INDEX(BBG_Data!$T$2:$T$4000,MATCH($A1252,BBG_Data!$S$2:$S$4000,0))*Settings!$B$25,NA()))</f>
        <v/>
      </c>
      <c r="AI1252" s="19">
        <f>IF(NOT(ISNUMBER($A1252)),NA(),IFERROR(INDEX(BBG_Data!$V$2:$V$4000,MATCH($A1252,BBG_Data!$U$2:$U$4000,0))*Settings!$B$25,NA()))</f>
        <v/>
      </c>
      <c r="AJ1252" s="19">
        <f>IF(NOT(ISNUMBER($A1252)),NA(),IFERROR(1*INDEX(BBG_Data!$X$2:$X$4000,MATCH($A1252,BBG_Data!$W$2:$W$4000,0)),NA()))</f>
        <v/>
      </c>
      <c r="AK1252" s="19">
        <f>IF(NOT(ISNUMBER($A1252)),NA(),IFERROR(1*INDEX(BBG_Data!$Z$2:$Z$4000,MATCH($A1252,BBG_Data!$Y$2:$Y$4000,0)),NA()))</f>
        <v/>
      </c>
    </row>
    <row r="1253">
      <c r="A1253" s="17">
        <f>IF(ISNUMBER(BBG_Data!A1253),BBG_Data!A1253,"")</f>
        <v/>
      </c>
      <c r="B1253" s="18">
        <f>IF(AND(ISNUMBER($A1253),ISNUMBER(BBG_Data!B1253)),BBG_Data!B1253,NA())</f>
        <v/>
      </c>
      <c r="C1253" s="18">
        <f>IF(NOT(ISNUMBER($A1253)),NA(),IFERROR(1*INDEX(BBG_Data!$D$2:$D$4000,MATCH($A1253,BBG_Data!$C$2:$C$4000,0)),NA()))</f>
        <v/>
      </c>
      <c r="D1253" s="19">
        <f>IF(NOT(ISNUMBER($A1253)),NA(),IFERROR(1*INDEX(BBG_Data!$F$2:$F$4000,MATCH($A1253,BBG_Data!$E$2:$E$4000,0)),NA()))</f>
        <v/>
      </c>
      <c r="E1253" s="19">
        <f>IF(NOT(ISNUMBER($A1253)),NA(),IFERROR(1*INDEX(BBG_Data!$H$2:$H$4000,MATCH($A1253,BBG_Data!$G$2:$G$4000,0)),NA()))</f>
        <v/>
      </c>
      <c r="F1253" s="20">
        <f>IF(AND(ISNUMBER(B1253),ISNUMBER(B1252)),IF(B1253=B1252,"",(B1253-B1252)*100),"")</f>
        <v/>
      </c>
      <c r="G1253" s="20">
        <f>IF(AND(ISNUMBER(C1253),ISNUMBER(C1252)),IF(C1253=C1252,"",(C1253-C1252)*100),"")</f>
        <v/>
      </c>
      <c r="H1253" s="20">
        <f>IF(OR(NOT(ISNUMBER($A1253)),ROW()-2&lt;Settings!$B$11),NA(),IF(COUNT(OFFSET(F1253,1-Settings!$B$11,0,Settings!$B$11,1))&lt;ROUNDUP(Settings!$B$11*Settings!$B$26,0),NA(),STDEV(OFFSET(F1253,1-Settings!$B$11,0,Settings!$B$11,1))*SQRT(Settings!$B$13)))</f>
        <v/>
      </c>
      <c r="I1253" s="20">
        <f>IF(OR(NOT(ISNUMBER($A1253)),ROW()-2&lt;Settings!$B$12),NA(),IF(COUNT(OFFSET(F1253,1-Settings!$B$12,0,Settings!$B$12,1))&lt;ROUNDUP(Settings!$B$12*Settings!$B$26,0),NA(),STDEV(OFFSET(F1253,1-Settings!$B$12,0,Settings!$B$12,1))*SQRT(Settings!$B$13)))</f>
        <v/>
      </c>
      <c r="J1253" s="20">
        <f>IF(OR(NOT(ISNUMBER($A1253)),ROW()-2&lt;Settings!$B$11),NA(),IF(COUNT(OFFSET(G1253,1-Settings!$B$11,0,Settings!$B$11,1))&lt;ROUNDUP(Settings!$B$11*Settings!$B$26,0),NA(),STDEV(OFFSET(G1253,1-Settings!$B$11,0,Settings!$B$11,1))*SQRT(Settings!$B$13)))</f>
        <v/>
      </c>
      <c r="K1253" s="20">
        <f>IF(OR(NOT(ISNUMBER($A1253)),ROW()-2&lt;Settings!$B$12),NA(),IF(COUNT(OFFSET(G1253,1-Settings!$B$12,0,Settings!$B$12,1))&lt;ROUNDUP(Settings!$B$12*Settings!$B$26,0),NA(),STDEV(OFFSET(G1253,1-Settings!$B$12,0,Settings!$B$12,1))*SQRT(Settings!$B$13)))</f>
        <v/>
      </c>
      <c r="L1253" s="20">
        <f>IF(AND(ISNUMBER(D1253),ISNUMBER(H1253)),D1253-H1253,NA())</f>
        <v/>
      </c>
      <c r="M1253" s="20">
        <f>IF(AND(ISNUMBER(E1253),ISNUMBER(K1253)),E1253-K1253,NA())</f>
        <v/>
      </c>
      <c r="N1253" s="20">
        <f>IF(NOT(ISNUMBER($A1253)),NA(),IF(COUNT(OFFSET(G1253,1,0,Settings!$B$12,1))&lt;ROUNDUP(Settings!$B$12*Settings!$B$26,0),NA(),STDEV(OFFSET(G1253,1,0,Settings!$B$12,1))*SQRT(Settings!$B$13)))</f>
        <v/>
      </c>
      <c r="O1253" s="20">
        <f>IF(AND(ISNUMBER(E1253),ISNUMBER(N1253)),E1253-N1253,NA())</f>
        <v/>
      </c>
      <c r="P1253" s="19">
        <f>IF(NOT(ISNUMBER($A1253)),NA(),IF(OR($A1253&lt;MIN(KW_TP!$A$2:$A$2501),$A1253&gt;MAX(KW_TP!$A$2:$A$2501)),NA(),INDEX(KW_TP!$C$2:$C$2501,MATCH($A1253,KW_TP!$A$2:$A$2501,1))))</f>
        <v/>
      </c>
      <c r="Q1253" s="18">
        <f>IF(NOT(ISNUMBER($A1253)),NA(),IFERROR(1*INDEX(BBG_Data!$J$2:$J$4000,MATCH($A1253,BBG_Data!$I$2:$I$4000,0)),NA()))</f>
        <v/>
      </c>
      <c r="R1253" s="18">
        <f>IF(NOT(ISNUMBER($A1253)),NA(),IFERROR(1*INDEX(BBG_Data!$L$2:$L$4000,MATCH($A1253,BBG_Data!$K$2:$K$4000,0)),NA()))</f>
        <v/>
      </c>
      <c r="S1253" s="20">
        <f>IF(AND(ISNUMBER(B1253),ISNUMBER(Q1253),ISNUMBER(R1253)),(B1253-Q1253-R1253)*100,NA())</f>
        <v/>
      </c>
      <c r="T1253" s="20">
        <f>IF(AND(ISNUMBER(B1253),Settings!$B$17&gt;0),IF(ISNUMBER(INDEX($B:$B,Settings!$B$17)),(B1253-INDEX($B:$B,Settings!$B$17))*100,NA()),NA())</f>
        <v/>
      </c>
      <c r="U1253" s="20">
        <f>IF(AND(ISNUMBER(Q1253),Settings!$B$17&gt;0),IF(ISNUMBER(INDEX($Q:$Q,Settings!$B$17)),(Q1253-INDEX($Q:$Q,Settings!$B$17))*100,NA()),NA())</f>
        <v/>
      </c>
      <c r="V1253" s="20">
        <f>IF(AND(ISNUMBER(R1253),Settings!$B$17&gt;0),IF(ISNUMBER(INDEX($R:$R,Settings!$B$17)),(R1253-INDEX($R:$R,Settings!$B$17))*100,NA()),NA())</f>
        <v/>
      </c>
      <c r="W1253" s="20">
        <f>IF(AND(ISNUMBER(P1253),Settings!$B$17&gt;0),IF(ISNUMBER(INDEX($P:$P,Settings!$B$17)),P1253-INDEX($P:$P,Settings!$B$17),NA()),NA())</f>
        <v/>
      </c>
      <c r="X1253" s="19">
        <f>IF(NOT(ISNUMBER($A1253)),NA(),IF(OR($A1253&lt;MIN(DKW_10Y!$A$2:$A$2918),$A1253&gt;MAX(DKW_10Y!$A$2:$A$2918),Settings!$B$16&lt;MIN(DKW_10Y!$A$2:$A$2918)),NA(),(INDEX(DKW_10Y!$B$2:$B$2918,MATCH($A1253,DKW_10Y!$A$2:$A$2918,1))-INDEX(DKW_10Y!$B$2:$B$2918,MATCH(Settings!$B$16,DKW_10Y!$A$2:$A$2918,1)))*100))</f>
        <v/>
      </c>
      <c r="Y1253" s="19">
        <f>IF(NOT(ISNUMBER($A1253)),NA(),IF(OR($A1253&lt;MIN(DKW_10Y!$A$2:$A$2918),$A1253&gt;MAX(DKW_10Y!$A$2:$A$2918),Settings!$B$16&lt;MIN(DKW_10Y!$A$2:$A$2918)),NA(),(INDEX(DKW_10Y!$C$2:$C$2918,MATCH($A1253,DKW_10Y!$A$2:$A$2918,1))-INDEX(DKW_10Y!$C$2:$C$2918,MATCH(Settings!$B$16,DKW_10Y!$A$2:$A$2918,1)))*100))</f>
        <v/>
      </c>
      <c r="Z1253" s="19">
        <f>IF(NOT(ISNUMBER($A1253)),NA(),IF(OR($A1253&lt;MIN(DKW_10Y!$A$2:$A$2918),$A1253&gt;MAX(DKW_10Y!$A$2:$A$2918),Settings!$B$16&lt;MIN(DKW_10Y!$A$2:$A$2918)),NA(),(INDEX(DKW_10Y!$D$2:$D$2918,MATCH($A1253,DKW_10Y!$A$2:$A$2918,1))-INDEX(DKW_10Y!$D$2:$D$2918,MATCH(Settings!$B$16,DKW_10Y!$A$2:$A$2918,1)))*100))</f>
        <v/>
      </c>
      <c r="AA1253" s="19">
        <f>IF(NOT(ISNUMBER($A1253)),NA(),IF(OR($A1253&lt;MIN(DKW_10Y!$A$2:$A$2918),$A1253&gt;MAX(DKW_10Y!$A$2:$A$2918),Settings!$B$16&lt;MIN(DKW_10Y!$A$2:$A$2918)),NA(),(INDEX(DKW_10Y!$E$2:$E$2918,MATCH($A1253,DKW_10Y!$A$2:$A$2918,1))-INDEX(DKW_10Y!$E$2:$E$2918,MATCH(Settings!$B$16,DKW_10Y!$A$2:$A$2918,1)))*100))</f>
        <v/>
      </c>
      <c r="AB1253" s="19">
        <f>IF(NOT(ISNUMBER($A1253)),NA(),IF(OR($A1253&lt;MIN(DKW_10Y!$A$2:$A$2918),$A1253&gt;MAX(DKW_10Y!$A$2:$A$2918),Settings!$B$16&lt;MIN(DKW_10Y!$A$2:$A$2918)),NA(),(INDEX(DKW_10Y!$H$2:$H$2918,MATCH($A1253,DKW_10Y!$A$2:$A$2918,1))-INDEX(DKW_10Y!$H$2:$H$2918,MATCH(Settings!$B$16,DKW_10Y!$A$2:$A$2918,1)))*100))</f>
        <v/>
      </c>
      <c r="AC1253" s="18">
        <f>IF(NOT(ISNUMBER($A1253)),NA(),IFERROR(1*INDEX(BBG_Data!$N$2:$N$4000,MATCH($A1253,BBG_Data!$M$2:$M$4000,0)),NA()))</f>
        <v/>
      </c>
      <c r="AD1253" s="18">
        <f>IF(NOT(ISNUMBER($A1253)),NA(),IFERROR(1*INDEX(BBG_Data!$P$2:$P$4000,MATCH($A1253,BBG_Data!$O$2:$O$4000,0)),NA()))</f>
        <v/>
      </c>
      <c r="AE1253" s="18">
        <f>IF(NOT(ISNUMBER($A1253)),NA(),IFERROR(1*INDEX(BBG_Data!$R$2:$R$4000,MATCH($A1253,BBG_Data!$Q$2:$Q$4000,0)),NA()))</f>
        <v/>
      </c>
      <c r="AF1253" s="20">
        <f>IF(AND(ISNUMBER(B1253),ISNUMBER(AC1253)),(B1253-AC1253)*100,NA())</f>
        <v/>
      </c>
      <c r="AG1253" s="20">
        <f>IF(AND(ISNUMBER(AE1253),ISNUMBER(AD1253)),(AE1253-AD1253)*100,NA())</f>
        <v/>
      </c>
      <c r="AH1253" s="19">
        <f>IF(NOT(ISNUMBER($A1253)),NA(),IFERROR(INDEX(BBG_Data!$T$2:$T$4000,MATCH($A1253,BBG_Data!$S$2:$S$4000,0))*Settings!$B$25,NA()))</f>
        <v/>
      </c>
      <c r="AI1253" s="19">
        <f>IF(NOT(ISNUMBER($A1253)),NA(),IFERROR(INDEX(BBG_Data!$V$2:$V$4000,MATCH($A1253,BBG_Data!$U$2:$U$4000,0))*Settings!$B$25,NA()))</f>
        <v/>
      </c>
      <c r="AJ1253" s="19">
        <f>IF(NOT(ISNUMBER($A1253)),NA(),IFERROR(1*INDEX(BBG_Data!$X$2:$X$4000,MATCH($A1253,BBG_Data!$W$2:$W$4000,0)),NA()))</f>
        <v/>
      </c>
      <c r="AK1253" s="19">
        <f>IF(NOT(ISNUMBER($A1253)),NA(),IFERROR(1*INDEX(BBG_Data!$Z$2:$Z$4000,MATCH($A1253,BBG_Data!$Y$2:$Y$4000,0)),NA()))</f>
        <v/>
      </c>
    </row>
    <row r="1254">
      <c r="A1254" s="17">
        <f>IF(ISNUMBER(BBG_Data!A1254),BBG_Data!A1254,"")</f>
        <v/>
      </c>
      <c r="B1254" s="18">
        <f>IF(AND(ISNUMBER($A1254),ISNUMBER(BBG_Data!B1254)),BBG_Data!B1254,NA())</f>
        <v/>
      </c>
      <c r="C1254" s="18">
        <f>IF(NOT(ISNUMBER($A1254)),NA(),IFERROR(1*INDEX(BBG_Data!$D$2:$D$4000,MATCH($A1254,BBG_Data!$C$2:$C$4000,0)),NA()))</f>
        <v/>
      </c>
      <c r="D1254" s="19">
        <f>IF(NOT(ISNUMBER($A1254)),NA(),IFERROR(1*INDEX(BBG_Data!$F$2:$F$4000,MATCH($A1254,BBG_Data!$E$2:$E$4000,0)),NA()))</f>
        <v/>
      </c>
      <c r="E1254" s="19">
        <f>IF(NOT(ISNUMBER($A1254)),NA(),IFERROR(1*INDEX(BBG_Data!$H$2:$H$4000,MATCH($A1254,BBG_Data!$G$2:$G$4000,0)),NA()))</f>
        <v/>
      </c>
      <c r="F1254" s="20">
        <f>IF(AND(ISNUMBER(B1254),ISNUMBER(B1253)),IF(B1254=B1253,"",(B1254-B1253)*100),"")</f>
        <v/>
      </c>
      <c r="G1254" s="20">
        <f>IF(AND(ISNUMBER(C1254),ISNUMBER(C1253)),IF(C1254=C1253,"",(C1254-C1253)*100),"")</f>
        <v/>
      </c>
      <c r="H1254" s="20">
        <f>IF(OR(NOT(ISNUMBER($A1254)),ROW()-2&lt;Settings!$B$11),NA(),IF(COUNT(OFFSET(F1254,1-Settings!$B$11,0,Settings!$B$11,1))&lt;ROUNDUP(Settings!$B$11*Settings!$B$26,0),NA(),STDEV(OFFSET(F1254,1-Settings!$B$11,0,Settings!$B$11,1))*SQRT(Settings!$B$13)))</f>
        <v/>
      </c>
      <c r="I1254" s="20">
        <f>IF(OR(NOT(ISNUMBER($A1254)),ROW()-2&lt;Settings!$B$12),NA(),IF(COUNT(OFFSET(F1254,1-Settings!$B$12,0,Settings!$B$12,1))&lt;ROUNDUP(Settings!$B$12*Settings!$B$26,0),NA(),STDEV(OFFSET(F1254,1-Settings!$B$12,0,Settings!$B$12,1))*SQRT(Settings!$B$13)))</f>
        <v/>
      </c>
      <c r="J1254" s="20">
        <f>IF(OR(NOT(ISNUMBER($A1254)),ROW()-2&lt;Settings!$B$11),NA(),IF(COUNT(OFFSET(G1254,1-Settings!$B$11,0,Settings!$B$11,1))&lt;ROUNDUP(Settings!$B$11*Settings!$B$26,0),NA(),STDEV(OFFSET(G1254,1-Settings!$B$11,0,Settings!$B$11,1))*SQRT(Settings!$B$13)))</f>
        <v/>
      </c>
      <c r="K1254" s="20">
        <f>IF(OR(NOT(ISNUMBER($A1254)),ROW()-2&lt;Settings!$B$12),NA(),IF(COUNT(OFFSET(G1254,1-Settings!$B$12,0,Settings!$B$12,1))&lt;ROUNDUP(Settings!$B$12*Settings!$B$26,0),NA(),STDEV(OFFSET(G1254,1-Settings!$B$12,0,Settings!$B$12,1))*SQRT(Settings!$B$13)))</f>
        <v/>
      </c>
      <c r="L1254" s="20">
        <f>IF(AND(ISNUMBER(D1254),ISNUMBER(H1254)),D1254-H1254,NA())</f>
        <v/>
      </c>
      <c r="M1254" s="20">
        <f>IF(AND(ISNUMBER(E1254),ISNUMBER(K1254)),E1254-K1254,NA())</f>
        <v/>
      </c>
      <c r="N1254" s="20">
        <f>IF(NOT(ISNUMBER($A1254)),NA(),IF(COUNT(OFFSET(G1254,1,0,Settings!$B$12,1))&lt;ROUNDUP(Settings!$B$12*Settings!$B$26,0),NA(),STDEV(OFFSET(G1254,1,0,Settings!$B$12,1))*SQRT(Settings!$B$13)))</f>
        <v/>
      </c>
      <c r="O1254" s="20">
        <f>IF(AND(ISNUMBER(E1254),ISNUMBER(N1254)),E1254-N1254,NA())</f>
        <v/>
      </c>
      <c r="P1254" s="19">
        <f>IF(NOT(ISNUMBER($A1254)),NA(),IF(OR($A1254&lt;MIN(KW_TP!$A$2:$A$2501),$A1254&gt;MAX(KW_TP!$A$2:$A$2501)),NA(),INDEX(KW_TP!$C$2:$C$2501,MATCH($A1254,KW_TP!$A$2:$A$2501,1))))</f>
        <v/>
      </c>
      <c r="Q1254" s="18">
        <f>IF(NOT(ISNUMBER($A1254)),NA(),IFERROR(1*INDEX(BBG_Data!$J$2:$J$4000,MATCH($A1254,BBG_Data!$I$2:$I$4000,0)),NA()))</f>
        <v/>
      </c>
      <c r="R1254" s="18">
        <f>IF(NOT(ISNUMBER($A1254)),NA(),IFERROR(1*INDEX(BBG_Data!$L$2:$L$4000,MATCH($A1254,BBG_Data!$K$2:$K$4000,0)),NA()))</f>
        <v/>
      </c>
      <c r="S1254" s="20">
        <f>IF(AND(ISNUMBER(B1254),ISNUMBER(Q1254),ISNUMBER(R1254)),(B1254-Q1254-R1254)*100,NA())</f>
        <v/>
      </c>
      <c r="T1254" s="20">
        <f>IF(AND(ISNUMBER(B1254),Settings!$B$17&gt;0),IF(ISNUMBER(INDEX($B:$B,Settings!$B$17)),(B1254-INDEX($B:$B,Settings!$B$17))*100,NA()),NA())</f>
        <v/>
      </c>
      <c r="U1254" s="20">
        <f>IF(AND(ISNUMBER(Q1254),Settings!$B$17&gt;0),IF(ISNUMBER(INDEX($Q:$Q,Settings!$B$17)),(Q1254-INDEX($Q:$Q,Settings!$B$17))*100,NA()),NA())</f>
        <v/>
      </c>
      <c r="V1254" s="20">
        <f>IF(AND(ISNUMBER(R1254),Settings!$B$17&gt;0),IF(ISNUMBER(INDEX($R:$R,Settings!$B$17)),(R1254-INDEX($R:$R,Settings!$B$17))*100,NA()),NA())</f>
        <v/>
      </c>
      <c r="W1254" s="20">
        <f>IF(AND(ISNUMBER(P1254),Settings!$B$17&gt;0),IF(ISNUMBER(INDEX($P:$P,Settings!$B$17)),P1254-INDEX($P:$P,Settings!$B$17),NA()),NA())</f>
        <v/>
      </c>
      <c r="X1254" s="19">
        <f>IF(NOT(ISNUMBER($A1254)),NA(),IF(OR($A1254&lt;MIN(DKW_10Y!$A$2:$A$2918),$A1254&gt;MAX(DKW_10Y!$A$2:$A$2918),Settings!$B$16&lt;MIN(DKW_10Y!$A$2:$A$2918)),NA(),(INDEX(DKW_10Y!$B$2:$B$2918,MATCH($A1254,DKW_10Y!$A$2:$A$2918,1))-INDEX(DKW_10Y!$B$2:$B$2918,MATCH(Settings!$B$16,DKW_10Y!$A$2:$A$2918,1)))*100))</f>
        <v/>
      </c>
      <c r="Y1254" s="19">
        <f>IF(NOT(ISNUMBER($A1254)),NA(),IF(OR($A1254&lt;MIN(DKW_10Y!$A$2:$A$2918),$A1254&gt;MAX(DKW_10Y!$A$2:$A$2918),Settings!$B$16&lt;MIN(DKW_10Y!$A$2:$A$2918)),NA(),(INDEX(DKW_10Y!$C$2:$C$2918,MATCH($A1254,DKW_10Y!$A$2:$A$2918,1))-INDEX(DKW_10Y!$C$2:$C$2918,MATCH(Settings!$B$16,DKW_10Y!$A$2:$A$2918,1)))*100))</f>
        <v/>
      </c>
      <c r="Z1254" s="19">
        <f>IF(NOT(ISNUMBER($A1254)),NA(),IF(OR($A1254&lt;MIN(DKW_10Y!$A$2:$A$2918),$A1254&gt;MAX(DKW_10Y!$A$2:$A$2918),Settings!$B$16&lt;MIN(DKW_10Y!$A$2:$A$2918)),NA(),(INDEX(DKW_10Y!$D$2:$D$2918,MATCH($A1254,DKW_10Y!$A$2:$A$2918,1))-INDEX(DKW_10Y!$D$2:$D$2918,MATCH(Settings!$B$16,DKW_10Y!$A$2:$A$2918,1)))*100))</f>
        <v/>
      </c>
      <c r="AA1254" s="19">
        <f>IF(NOT(ISNUMBER($A1254)),NA(),IF(OR($A1254&lt;MIN(DKW_10Y!$A$2:$A$2918),$A1254&gt;MAX(DKW_10Y!$A$2:$A$2918),Settings!$B$16&lt;MIN(DKW_10Y!$A$2:$A$2918)),NA(),(INDEX(DKW_10Y!$E$2:$E$2918,MATCH($A1254,DKW_10Y!$A$2:$A$2918,1))-INDEX(DKW_10Y!$E$2:$E$2918,MATCH(Settings!$B$16,DKW_10Y!$A$2:$A$2918,1)))*100))</f>
        <v/>
      </c>
      <c r="AB1254" s="19">
        <f>IF(NOT(ISNUMBER($A1254)),NA(),IF(OR($A1254&lt;MIN(DKW_10Y!$A$2:$A$2918),$A1254&gt;MAX(DKW_10Y!$A$2:$A$2918),Settings!$B$16&lt;MIN(DKW_10Y!$A$2:$A$2918)),NA(),(INDEX(DKW_10Y!$H$2:$H$2918,MATCH($A1254,DKW_10Y!$A$2:$A$2918,1))-INDEX(DKW_10Y!$H$2:$H$2918,MATCH(Settings!$B$16,DKW_10Y!$A$2:$A$2918,1)))*100))</f>
        <v/>
      </c>
      <c r="AC1254" s="18">
        <f>IF(NOT(ISNUMBER($A1254)),NA(),IFERROR(1*INDEX(BBG_Data!$N$2:$N$4000,MATCH($A1254,BBG_Data!$M$2:$M$4000,0)),NA()))</f>
        <v/>
      </c>
      <c r="AD1254" s="18">
        <f>IF(NOT(ISNUMBER($A1254)),NA(),IFERROR(1*INDEX(BBG_Data!$P$2:$P$4000,MATCH($A1254,BBG_Data!$O$2:$O$4000,0)),NA()))</f>
        <v/>
      </c>
      <c r="AE1254" s="18">
        <f>IF(NOT(ISNUMBER($A1254)),NA(),IFERROR(1*INDEX(BBG_Data!$R$2:$R$4000,MATCH($A1254,BBG_Data!$Q$2:$Q$4000,0)),NA()))</f>
        <v/>
      </c>
      <c r="AF1254" s="20">
        <f>IF(AND(ISNUMBER(B1254),ISNUMBER(AC1254)),(B1254-AC1254)*100,NA())</f>
        <v/>
      </c>
      <c r="AG1254" s="20">
        <f>IF(AND(ISNUMBER(AE1254),ISNUMBER(AD1254)),(AE1254-AD1254)*100,NA())</f>
        <v/>
      </c>
      <c r="AH1254" s="19">
        <f>IF(NOT(ISNUMBER($A1254)),NA(),IFERROR(INDEX(BBG_Data!$T$2:$T$4000,MATCH($A1254,BBG_Data!$S$2:$S$4000,0))*Settings!$B$25,NA()))</f>
        <v/>
      </c>
      <c r="AI1254" s="19">
        <f>IF(NOT(ISNUMBER($A1254)),NA(),IFERROR(INDEX(BBG_Data!$V$2:$V$4000,MATCH($A1254,BBG_Data!$U$2:$U$4000,0))*Settings!$B$25,NA()))</f>
        <v/>
      </c>
      <c r="AJ1254" s="19">
        <f>IF(NOT(ISNUMBER($A1254)),NA(),IFERROR(1*INDEX(BBG_Data!$X$2:$X$4000,MATCH($A1254,BBG_Data!$W$2:$W$4000,0)),NA()))</f>
        <v/>
      </c>
      <c r="AK1254" s="19">
        <f>IF(NOT(ISNUMBER($A1254)),NA(),IFERROR(1*INDEX(BBG_Data!$Z$2:$Z$4000,MATCH($A1254,BBG_Data!$Y$2:$Y$4000,0)),NA()))</f>
        <v/>
      </c>
    </row>
    <row r="1255">
      <c r="A1255" s="17">
        <f>IF(ISNUMBER(BBG_Data!A1255),BBG_Data!A1255,"")</f>
        <v/>
      </c>
      <c r="B1255" s="18">
        <f>IF(AND(ISNUMBER($A1255),ISNUMBER(BBG_Data!B1255)),BBG_Data!B1255,NA())</f>
        <v/>
      </c>
      <c r="C1255" s="18">
        <f>IF(NOT(ISNUMBER($A1255)),NA(),IFERROR(1*INDEX(BBG_Data!$D$2:$D$4000,MATCH($A1255,BBG_Data!$C$2:$C$4000,0)),NA()))</f>
        <v/>
      </c>
      <c r="D1255" s="19">
        <f>IF(NOT(ISNUMBER($A1255)),NA(),IFERROR(1*INDEX(BBG_Data!$F$2:$F$4000,MATCH($A1255,BBG_Data!$E$2:$E$4000,0)),NA()))</f>
        <v/>
      </c>
      <c r="E1255" s="19">
        <f>IF(NOT(ISNUMBER($A1255)),NA(),IFERROR(1*INDEX(BBG_Data!$H$2:$H$4000,MATCH($A1255,BBG_Data!$G$2:$G$4000,0)),NA()))</f>
        <v/>
      </c>
      <c r="F1255" s="20">
        <f>IF(AND(ISNUMBER(B1255),ISNUMBER(B1254)),IF(B1255=B1254,"",(B1255-B1254)*100),"")</f>
        <v/>
      </c>
      <c r="G1255" s="20">
        <f>IF(AND(ISNUMBER(C1255),ISNUMBER(C1254)),IF(C1255=C1254,"",(C1255-C1254)*100),"")</f>
        <v/>
      </c>
      <c r="H1255" s="20">
        <f>IF(OR(NOT(ISNUMBER($A1255)),ROW()-2&lt;Settings!$B$11),NA(),IF(COUNT(OFFSET(F1255,1-Settings!$B$11,0,Settings!$B$11,1))&lt;ROUNDUP(Settings!$B$11*Settings!$B$26,0),NA(),STDEV(OFFSET(F1255,1-Settings!$B$11,0,Settings!$B$11,1))*SQRT(Settings!$B$13)))</f>
        <v/>
      </c>
      <c r="I1255" s="20">
        <f>IF(OR(NOT(ISNUMBER($A1255)),ROW()-2&lt;Settings!$B$12),NA(),IF(COUNT(OFFSET(F1255,1-Settings!$B$12,0,Settings!$B$12,1))&lt;ROUNDUP(Settings!$B$12*Settings!$B$26,0),NA(),STDEV(OFFSET(F1255,1-Settings!$B$12,0,Settings!$B$12,1))*SQRT(Settings!$B$13)))</f>
        <v/>
      </c>
      <c r="J1255" s="20">
        <f>IF(OR(NOT(ISNUMBER($A1255)),ROW()-2&lt;Settings!$B$11),NA(),IF(COUNT(OFFSET(G1255,1-Settings!$B$11,0,Settings!$B$11,1))&lt;ROUNDUP(Settings!$B$11*Settings!$B$26,0),NA(),STDEV(OFFSET(G1255,1-Settings!$B$11,0,Settings!$B$11,1))*SQRT(Settings!$B$13)))</f>
        <v/>
      </c>
      <c r="K1255" s="20">
        <f>IF(OR(NOT(ISNUMBER($A1255)),ROW()-2&lt;Settings!$B$12),NA(),IF(COUNT(OFFSET(G1255,1-Settings!$B$12,0,Settings!$B$12,1))&lt;ROUNDUP(Settings!$B$12*Settings!$B$26,0),NA(),STDEV(OFFSET(G1255,1-Settings!$B$12,0,Settings!$B$12,1))*SQRT(Settings!$B$13)))</f>
        <v/>
      </c>
      <c r="L1255" s="20">
        <f>IF(AND(ISNUMBER(D1255),ISNUMBER(H1255)),D1255-H1255,NA())</f>
        <v/>
      </c>
      <c r="M1255" s="20">
        <f>IF(AND(ISNUMBER(E1255),ISNUMBER(K1255)),E1255-K1255,NA())</f>
        <v/>
      </c>
      <c r="N1255" s="20">
        <f>IF(NOT(ISNUMBER($A1255)),NA(),IF(COUNT(OFFSET(G1255,1,0,Settings!$B$12,1))&lt;ROUNDUP(Settings!$B$12*Settings!$B$26,0),NA(),STDEV(OFFSET(G1255,1,0,Settings!$B$12,1))*SQRT(Settings!$B$13)))</f>
        <v/>
      </c>
      <c r="O1255" s="20">
        <f>IF(AND(ISNUMBER(E1255),ISNUMBER(N1255)),E1255-N1255,NA())</f>
        <v/>
      </c>
      <c r="P1255" s="19">
        <f>IF(NOT(ISNUMBER($A1255)),NA(),IF(OR($A1255&lt;MIN(KW_TP!$A$2:$A$2501),$A1255&gt;MAX(KW_TP!$A$2:$A$2501)),NA(),INDEX(KW_TP!$C$2:$C$2501,MATCH($A1255,KW_TP!$A$2:$A$2501,1))))</f>
        <v/>
      </c>
      <c r="Q1255" s="18">
        <f>IF(NOT(ISNUMBER($A1255)),NA(),IFERROR(1*INDEX(BBG_Data!$J$2:$J$4000,MATCH($A1255,BBG_Data!$I$2:$I$4000,0)),NA()))</f>
        <v/>
      </c>
      <c r="R1255" s="18">
        <f>IF(NOT(ISNUMBER($A1255)),NA(),IFERROR(1*INDEX(BBG_Data!$L$2:$L$4000,MATCH($A1255,BBG_Data!$K$2:$K$4000,0)),NA()))</f>
        <v/>
      </c>
      <c r="S1255" s="20">
        <f>IF(AND(ISNUMBER(B1255),ISNUMBER(Q1255),ISNUMBER(R1255)),(B1255-Q1255-R1255)*100,NA())</f>
        <v/>
      </c>
      <c r="T1255" s="20">
        <f>IF(AND(ISNUMBER(B1255),Settings!$B$17&gt;0),IF(ISNUMBER(INDEX($B:$B,Settings!$B$17)),(B1255-INDEX($B:$B,Settings!$B$17))*100,NA()),NA())</f>
        <v/>
      </c>
      <c r="U1255" s="20">
        <f>IF(AND(ISNUMBER(Q1255),Settings!$B$17&gt;0),IF(ISNUMBER(INDEX($Q:$Q,Settings!$B$17)),(Q1255-INDEX($Q:$Q,Settings!$B$17))*100,NA()),NA())</f>
        <v/>
      </c>
      <c r="V1255" s="20">
        <f>IF(AND(ISNUMBER(R1255),Settings!$B$17&gt;0),IF(ISNUMBER(INDEX($R:$R,Settings!$B$17)),(R1255-INDEX($R:$R,Settings!$B$17))*100,NA()),NA())</f>
        <v/>
      </c>
      <c r="W1255" s="20">
        <f>IF(AND(ISNUMBER(P1255),Settings!$B$17&gt;0),IF(ISNUMBER(INDEX($P:$P,Settings!$B$17)),P1255-INDEX($P:$P,Settings!$B$17),NA()),NA())</f>
        <v/>
      </c>
      <c r="X1255" s="19">
        <f>IF(NOT(ISNUMBER($A1255)),NA(),IF(OR($A1255&lt;MIN(DKW_10Y!$A$2:$A$2918),$A1255&gt;MAX(DKW_10Y!$A$2:$A$2918),Settings!$B$16&lt;MIN(DKW_10Y!$A$2:$A$2918)),NA(),(INDEX(DKW_10Y!$B$2:$B$2918,MATCH($A1255,DKW_10Y!$A$2:$A$2918,1))-INDEX(DKW_10Y!$B$2:$B$2918,MATCH(Settings!$B$16,DKW_10Y!$A$2:$A$2918,1)))*100))</f>
        <v/>
      </c>
      <c r="Y1255" s="19">
        <f>IF(NOT(ISNUMBER($A1255)),NA(),IF(OR($A1255&lt;MIN(DKW_10Y!$A$2:$A$2918),$A1255&gt;MAX(DKW_10Y!$A$2:$A$2918),Settings!$B$16&lt;MIN(DKW_10Y!$A$2:$A$2918)),NA(),(INDEX(DKW_10Y!$C$2:$C$2918,MATCH($A1255,DKW_10Y!$A$2:$A$2918,1))-INDEX(DKW_10Y!$C$2:$C$2918,MATCH(Settings!$B$16,DKW_10Y!$A$2:$A$2918,1)))*100))</f>
        <v/>
      </c>
      <c r="Z1255" s="19">
        <f>IF(NOT(ISNUMBER($A1255)),NA(),IF(OR($A1255&lt;MIN(DKW_10Y!$A$2:$A$2918),$A1255&gt;MAX(DKW_10Y!$A$2:$A$2918),Settings!$B$16&lt;MIN(DKW_10Y!$A$2:$A$2918)),NA(),(INDEX(DKW_10Y!$D$2:$D$2918,MATCH($A1255,DKW_10Y!$A$2:$A$2918,1))-INDEX(DKW_10Y!$D$2:$D$2918,MATCH(Settings!$B$16,DKW_10Y!$A$2:$A$2918,1)))*100))</f>
        <v/>
      </c>
      <c r="AA1255" s="19">
        <f>IF(NOT(ISNUMBER($A1255)),NA(),IF(OR($A1255&lt;MIN(DKW_10Y!$A$2:$A$2918),$A1255&gt;MAX(DKW_10Y!$A$2:$A$2918),Settings!$B$16&lt;MIN(DKW_10Y!$A$2:$A$2918)),NA(),(INDEX(DKW_10Y!$E$2:$E$2918,MATCH($A1255,DKW_10Y!$A$2:$A$2918,1))-INDEX(DKW_10Y!$E$2:$E$2918,MATCH(Settings!$B$16,DKW_10Y!$A$2:$A$2918,1)))*100))</f>
        <v/>
      </c>
      <c r="AB1255" s="19">
        <f>IF(NOT(ISNUMBER($A1255)),NA(),IF(OR($A1255&lt;MIN(DKW_10Y!$A$2:$A$2918),$A1255&gt;MAX(DKW_10Y!$A$2:$A$2918),Settings!$B$16&lt;MIN(DKW_10Y!$A$2:$A$2918)),NA(),(INDEX(DKW_10Y!$H$2:$H$2918,MATCH($A1255,DKW_10Y!$A$2:$A$2918,1))-INDEX(DKW_10Y!$H$2:$H$2918,MATCH(Settings!$B$16,DKW_10Y!$A$2:$A$2918,1)))*100))</f>
        <v/>
      </c>
      <c r="AC1255" s="18">
        <f>IF(NOT(ISNUMBER($A1255)),NA(),IFERROR(1*INDEX(BBG_Data!$N$2:$N$4000,MATCH($A1255,BBG_Data!$M$2:$M$4000,0)),NA()))</f>
        <v/>
      </c>
      <c r="AD1255" s="18">
        <f>IF(NOT(ISNUMBER($A1255)),NA(),IFERROR(1*INDEX(BBG_Data!$P$2:$P$4000,MATCH($A1255,BBG_Data!$O$2:$O$4000,0)),NA()))</f>
        <v/>
      </c>
      <c r="AE1255" s="18">
        <f>IF(NOT(ISNUMBER($A1255)),NA(),IFERROR(1*INDEX(BBG_Data!$R$2:$R$4000,MATCH($A1255,BBG_Data!$Q$2:$Q$4000,0)),NA()))</f>
        <v/>
      </c>
      <c r="AF1255" s="20">
        <f>IF(AND(ISNUMBER(B1255),ISNUMBER(AC1255)),(B1255-AC1255)*100,NA())</f>
        <v/>
      </c>
      <c r="AG1255" s="20">
        <f>IF(AND(ISNUMBER(AE1255),ISNUMBER(AD1255)),(AE1255-AD1255)*100,NA())</f>
        <v/>
      </c>
      <c r="AH1255" s="19">
        <f>IF(NOT(ISNUMBER($A1255)),NA(),IFERROR(INDEX(BBG_Data!$T$2:$T$4000,MATCH($A1255,BBG_Data!$S$2:$S$4000,0))*Settings!$B$25,NA()))</f>
        <v/>
      </c>
      <c r="AI1255" s="19">
        <f>IF(NOT(ISNUMBER($A1255)),NA(),IFERROR(INDEX(BBG_Data!$V$2:$V$4000,MATCH($A1255,BBG_Data!$U$2:$U$4000,0))*Settings!$B$25,NA()))</f>
        <v/>
      </c>
      <c r="AJ1255" s="19">
        <f>IF(NOT(ISNUMBER($A1255)),NA(),IFERROR(1*INDEX(BBG_Data!$X$2:$X$4000,MATCH($A1255,BBG_Data!$W$2:$W$4000,0)),NA()))</f>
        <v/>
      </c>
      <c r="AK1255" s="19">
        <f>IF(NOT(ISNUMBER($A1255)),NA(),IFERROR(1*INDEX(BBG_Data!$Z$2:$Z$4000,MATCH($A1255,BBG_Data!$Y$2:$Y$4000,0)),NA()))</f>
        <v/>
      </c>
    </row>
    <row r="1256">
      <c r="A1256" s="17">
        <f>IF(ISNUMBER(BBG_Data!A1256),BBG_Data!A1256,"")</f>
        <v/>
      </c>
      <c r="B1256" s="18">
        <f>IF(AND(ISNUMBER($A1256),ISNUMBER(BBG_Data!B1256)),BBG_Data!B1256,NA())</f>
        <v/>
      </c>
      <c r="C1256" s="18">
        <f>IF(NOT(ISNUMBER($A1256)),NA(),IFERROR(1*INDEX(BBG_Data!$D$2:$D$4000,MATCH($A1256,BBG_Data!$C$2:$C$4000,0)),NA()))</f>
        <v/>
      </c>
      <c r="D1256" s="19">
        <f>IF(NOT(ISNUMBER($A1256)),NA(),IFERROR(1*INDEX(BBG_Data!$F$2:$F$4000,MATCH($A1256,BBG_Data!$E$2:$E$4000,0)),NA()))</f>
        <v/>
      </c>
      <c r="E1256" s="19">
        <f>IF(NOT(ISNUMBER($A1256)),NA(),IFERROR(1*INDEX(BBG_Data!$H$2:$H$4000,MATCH($A1256,BBG_Data!$G$2:$G$4000,0)),NA()))</f>
        <v/>
      </c>
      <c r="F1256" s="20">
        <f>IF(AND(ISNUMBER(B1256),ISNUMBER(B1255)),IF(B1256=B1255,"",(B1256-B1255)*100),"")</f>
        <v/>
      </c>
      <c r="G1256" s="20">
        <f>IF(AND(ISNUMBER(C1256),ISNUMBER(C1255)),IF(C1256=C1255,"",(C1256-C1255)*100),"")</f>
        <v/>
      </c>
      <c r="H1256" s="20">
        <f>IF(OR(NOT(ISNUMBER($A1256)),ROW()-2&lt;Settings!$B$11),NA(),IF(COUNT(OFFSET(F1256,1-Settings!$B$11,0,Settings!$B$11,1))&lt;ROUNDUP(Settings!$B$11*Settings!$B$26,0),NA(),STDEV(OFFSET(F1256,1-Settings!$B$11,0,Settings!$B$11,1))*SQRT(Settings!$B$13)))</f>
        <v/>
      </c>
      <c r="I1256" s="20">
        <f>IF(OR(NOT(ISNUMBER($A1256)),ROW()-2&lt;Settings!$B$12),NA(),IF(COUNT(OFFSET(F1256,1-Settings!$B$12,0,Settings!$B$12,1))&lt;ROUNDUP(Settings!$B$12*Settings!$B$26,0),NA(),STDEV(OFFSET(F1256,1-Settings!$B$12,0,Settings!$B$12,1))*SQRT(Settings!$B$13)))</f>
        <v/>
      </c>
      <c r="J1256" s="20">
        <f>IF(OR(NOT(ISNUMBER($A1256)),ROW()-2&lt;Settings!$B$11),NA(),IF(COUNT(OFFSET(G1256,1-Settings!$B$11,0,Settings!$B$11,1))&lt;ROUNDUP(Settings!$B$11*Settings!$B$26,0),NA(),STDEV(OFFSET(G1256,1-Settings!$B$11,0,Settings!$B$11,1))*SQRT(Settings!$B$13)))</f>
        <v/>
      </c>
      <c r="K1256" s="20">
        <f>IF(OR(NOT(ISNUMBER($A1256)),ROW()-2&lt;Settings!$B$12),NA(),IF(COUNT(OFFSET(G1256,1-Settings!$B$12,0,Settings!$B$12,1))&lt;ROUNDUP(Settings!$B$12*Settings!$B$26,0),NA(),STDEV(OFFSET(G1256,1-Settings!$B$12,0,Settings!$B$12,1))*SQRT(Settings!$B$13)))</f>
        <v/>
      </c>
      <c r="L1256" s="20">
        <f>IF(AND(ISNUMBER(D1256),ISNUMBER(H1256)),D1256-H1256,NA())</f>
        <v/>
      </c>
      <c r="M1256" s="20">
        <f>IF(AND(ISNUMBER(E1256),ISNUMBER(K1256)),E1256-K1256,NA())</f>
        <v/>
      </c>
      <c r="N1256" s="20">
        <f>IF(NOT(ISNUMBER($A1256)),NA(),IF(COUNT(OFFSET(G1256,1,0,Settings!$B$12,1))&lt;ROUNDUP(Settings!$B$12*Settings!$B$26,0),NA(),STDEV(OFFSET(G1256,1,0,Settings!$B$12,1))*SQRT(Settings!$B$13)))</f>
        <v/>
      </c>
      <c r="O1256" s="20">
        <f>IF(AND(ISNUMBER(E1256),ISNUMBER(N1256)),E1256-N1256,NA())</f>
        <v/>
      </c>
      <c r="P1256" s="19">
        <f>IF(NOT(ISNUMBER($A1256)),NA(),IF(OR($A1256&lt;MIN(KW_TP!$A$2:$A$2501),$A1256&gt;MAX(KW_TP!$A$2:$A$2501)),NA(),INDEX(KW_TP!$C$2:$C$2501,MATCH($A1256,KW_TP!$A$2:$A$2501,1))))</f>
        <v/>
      </c>
      <c r="Q1256" s="18">
        <f>IF(NOT(ISNUMBER($A1256)),NA(),IFERROR(1*INDEX(BBG_Data!$J$2:$J$4000,MATCH($A1256,BBG_Data!$I$2:$I$4000,0)),NA()))</f>
        <v/>
      </c>
      <c r="R1256" s="18">
        <f>IF(NOT(ISNUMBER($A1256)),NA(),IFERROR(1*INDEX(BBG_Data!$L$2:$L$4000,MATCH($A1256,BBG_Data!$K$2:$K$4000,0)),NA()))</f>
        <v/>
      </c>
      <c r="S1256" s="20">
        <f>IF(AND(ISNUMBER(B1256),ISNUMBER(Q1256),ISNUMBER(R1256)),(B1256-Q1256-R1256)*100,NA())</f>
        <v/>
      </c>
      <c r="T1256" s="20">
        <f>IF(AND(ISNUMBER(B1256),Settings!$B$17&gt;0),IF(ISNUMBER(INDEX($B:$B,Settings!$B$17)),(B1256-INDEX($B:$B,Settings!$B$17))*100,NA()),NA())</f>
        <v/>
      </c>
      <c r="U1256" s="20">
        <f>IF(AND(ISNUMBER(Q1256),Settings!$B$17&gt;0),IF(ISNUMBER(INDEX($Q:$Q,Settings!$B$17)),(Q1256-INDEX($Q:$Q,Settings!$B$17))*100,NA()),NA())</f>
        <v/>
      </c>
      <c r="V1256" s="20">
        <f>IF(AND(ISNUMBER(R1256),Settings!$B$17&gt;0),IF(ISNUMBER(INDEX($R:$R,Settings!$B$17)),(R1256-INDEX($R:$R,Settings!$B$17))*100,NA()),NA())</f>
        <v/>
      </c>
      <c r="W1256" s="20">
        <f>IF(AND(ISNUMBER(P1256),Settings!$B$17&gt;0),IF(ISNUMBER(INDEX($P:$P,Settings!$B$17)),P1256-INDEX($P:$P,Settings!$B$17),NA()),NA())</f>
        <v/>
      </c>
      <c r="X1256" s="19">
        <f>IF(NOT(ISNUMBER($A1256)),NA(),IF(OR($A1256&lt;MIN(DKW_10Y!$A$2:$A$2918),$A1256&gt;MAX(DKW_10Y!$A$2:$A$2918),Settings!$B$16&lt;MIN(DKW_10Y!$A$2:$A$2918)),NA(),(INDEX(DKW_10Y!$B$2:$B$2918,MATCH($A1256,DKW_10Y!$A$2:$A$2918,1))-INDEX(DKW_10Y!$B$2:$B$2918,MATCH(Settings!$B$16,DKW_10Y!$A$2:$A$2918,1)))*100))</f>
        <v/>
      </c>
      <c r="Y1256" s="19">
        <f>IF(NOT(ISNUMBER($A1256)),NA(),IF(OR($A1256&lt;MIN(DKW_10Y!$A$2:$A$2918),$A1256&gt;MAX(DKW_10Y!$A$2:$A$2918),Settings!$B$16&lt;MIN(DKW_10Y!$A$2:$A$2918)),NA(),(INDEX(DKW_10Y!$C$2:$C$2918,MATCH($A1256,DKW_10Y!$A$2:$A$2918,1))-INDEX(DKW_10Y!$C$2:$C$2918,MATCH(Settings!$B$16,DKW_10Y!$A$2:$A$2918,1)))*100))</f>
        <v/>
      </c>
      <c r="Z1256" s="19">
        <f>IF(NOT(ISNUMBER($A1256)),NA(),IF(OR($A1256&lt;MIN(DKW_10Y!$A$2:$A$2918),$A1256&gt;MAX(DKW_10Y!$A$2:$A$2918),Settings!$B$16&lt;MIN(DKW_10Y!$A$2:$A$2918)),NA(),(INDEX(DKW_10Y!$D$2:$D$2918,MATCH($A1256,DKW_10Y!$A$2:$A$2918,1))-INDEX(DKW_10Y!$D$2:$D$2918,MATCH(Settings!$B$16,DKW_10Y!$A$2:$A$2918,1)))*100))</f>
        <v/>
      </c>
      <c r="AA1256" s="19">
        <f>IF(NOT(ISNUMBER($A1256)),NA(),IF(OR($A1256&lt;MIN(DKW_10Y!$A$2:$A$2918),$A1256&gt;MAX(DKW_10Y!$A$2:$A$2918),Settings!$B$16&lt;MIN(DKW_10Y!$A$2:$A$2918)),NA(),(INDEX(DKW_10Y!$E$2:$E$2918,MATCH($A1256,DKW_10Y!$A$2:$A$2918,1))-INDEX(DKW_10Y!$E$2:$E$2918,MATCH(Settings!$B$16,DKW_10Y!$A$2:$A$2918,1)))*100))</f>
        <v/>
      </c>
      <c r="AB1256" s="19">
        <f>IF(NOT(ISNUMBER($A1256)),NA(),IF(OR($A1256&lt;MIN(DKW_10Y!$A$2:$A$2918),$A1256&gt;MAX(DKW_10Y!$A$2:$A$2918),Settings!$B$16&lt;MIN(DKW_10Y!$A$2:$A$2918)),NA(),(INDEX(DKW_10Y!$H$2:$H$2918,MATCH($A1256,DKW_10Y!$A$2:$A$2918,1))-INDEX(DKW_10Y!$H$2:$H$2918,MATCH(Settings!$B$16,DKW_10Y!$A$2:$A$2918,1)))*100))</f>
        <v/>
      </c>
      <c r="AC1256" s="18">
        <f>IF(NOT(ISNUMBER($A1256)),NA(),IFERROR(1*INDEX(BBG_Data!$N$2:$N$4000,MATCH($A1256,BBG_Data!$M$2:$M$4000,0)),NA()))</f>
        <v/>
      </c>
      <c r="AD1256" s="18">
        <f>IF(NOT(ISNUMBER($A1256)),NA(),IFERROR(1*INDEX(BBG_Data!$P$2:$P$4000,MATCH($A1256,BBG_Data!$O$2:$O$4000,0)),NA()))</f>
        <v/>
      </c>
      <c r="AE1256" s="18">
        <f>IF(NOT(ISNUMBER($A1256)),NA(),IFERROR(1*INDEX(BBG_Data!$R$2:$R$4000,MATCH($A1256,BBG_Data!$Q$2:$Q$4000,0)),NA()))</f>
        <v/>
      </c>
      <c r="AF1256" s="20">
        <f>IF(AND(ISNUMBER(B1256),ISNUMBER(AC1256)),(B1256-AC1256)*100,NA())</f>
        <v/>
      </c>
      <c r="AG1256" s="20">
        <f>IF(AND(ISNUMBER(AE1256),ISNUMBER(AD1256)),(AE1256-AD1256)*100,NA())</f>
        <v/>
      </c>
      <c r="AH1256" s="19">
        <f>IF(NOT(ISNUMBER($A1256)),NA(),IFERROR(INDEX(BBG_Data!$T$2:$T$4000,MATCH($A1256,BBG_Data!$S$2:$S$4000,0))*Settings!$B$25,NA()))</f>
        <v/>
      </c>
      <c r="AI1256" s="19">
        <f>IF(NOT(ISNUMBER($A1256)),NA(),IFERROR(INDEX(BBG_Data!$V$2:$V$4000,MATCH($A1256,BBG_Data!$U$2:$U$4000,0))*Settings!$B$25,NA()))</f>
        <v/>
      </c>
      <c r="AJ1256" s="19">
        <f>IF(NOT(ISNUMBER($A1256)),NA(),IFERROR(1*INDEX(BBG_Data!$X$2:$X$4000,MATCH($A1256,BBG_Data!$W$2:$W$4000,0)),NA()))</f>
        <v/>
      </c>
      <c r="AK1256" s="19">
        <f>IF(NOT(ISNUMBER($A1256)),NA(),IFERROR(1*INDEX(BBG_Data!$Z$2:$Z$4000,MATCH($A1256,BBG_Data!$Y$2:$Y$4000,0)),NA()))</f>
        <v/>
      </c>
    </row>
    <row r="1257">
      <c r="A1257" s="17">
        <f>IF(ISNUMBER(BBG_Data!A1257),BBG_Data!A1257,"")</f>
        <v/>
      </c>
      <c r="B1257" s="18">
        <f>IF(AND(ISNUMBER($A1257),ISNUMBER(BBG_Data!B1257)),BBG_Data!B1257,NA())</f>
        <v/>
      </c>
      <c r="C1257" s="18">
        <f>IF(NOT(ISNUMBER($A1257)),NA(),IFERROR(1*INDEX(BBG_Data!$D$2:$D$4000,MATCH($A1257,BBG_Data!$C$2:$C$4000,0)),NA()))</f>
        <v/>
      </c>
      <c r="D1257" s="19">
        <f>IF(NOT(ISNUMBER($A1257)),NA(),IFERROR(1*INDEX(BBG_Data!$F$2:$F$4000,MATCH($A1257,BBG_Data!$E$2:$E$4000,0)),NA()))</f>
        <v/>
      </c>
      <c r="E1257" s="19">
        <f>IF(NOT(ISNUMBER($A1257)),NA(),IFERROR(1*INDEX(BBG_Data!$H$2:$H$4000,MATCH($A1257,BBG_Data!$G$2:$G$4000,0)),NA()))</f>
        <v/>
      </c>
      <c r="F1257" s="20">
        <f>IF(AND(ISNUMBER(B1257),ISNUMBER(B1256)),IF(B1257=B1256,"",(B1257-B1256)*100),"")</f>
        <v/>
      </c>
      <c r="G1257" s="20">
        <f>IF(AND(ISNUMBER(C1257),ISNUMBER(C1256)),IF(C1257=C1256,"",(C1257-C1256)*100),"")</f>
        <v/>
      </c>
      <c r="H1257" s="20">
        <f>IF(OR(NOT(ISNUMBER($A1257)),ROW()-2&lt;Settings!$B$11),NA(),IF(COUNT(OFFSET(F1257,1-Settings!$B$11,0,Settings!$B$11,1))&lt;ROUNDUP(Settings!$B$11*Settings!$B$26,0),NA(),STDEV(OFFSET(F1257,1-Settings!$B$11,0,Settings!$B$11,1))*SQRT(Settings!$B$13)))</f>
        <v/>
      </c>
      <c r="I1257" s="20">
        <f>IF(OR(NOT(ISNUMBER($A1257)),ROW()-2&lt;Settings!$B$12),NA(),IF(COUNT(OFFSET(F1257,1-Settings!$B$12,0,Settings!$B$12,1))&lt;ROUNDUP(Settings!$B$12*Settings!$B$26,0),NA(),STDEV(OFFSET(F1257,1-Settings!$B$12,0,Settings!$B$12,1))*SQRT(Settings!$B$13)))</f>
        <v/>
      </c>
      <c r="J1257" s="20">
        <f>IF(OR(NOT(ISNUMBER($A1257)),ROW()-2&lt;Settings!$B$11),NA(),IF(COUNT(OFFSET(G1257,1-Settings!$B$11,0,Settings!$B$11,1))&lt;ROUNDUP(Settings!$B$11*Settings!$B$26,0),NA(),STDEV(OFFSET(G1257,1-Settings!$B$11,0,Settings!$B$11,1))*SQRT(Settings!$B$13)))</f>
        <v/>
      </c>
      <c r="K1257" s="20">
        <f>IF(OR(NOT(ISNUMBER($A1257)),ROW()-2&lt;Settings!$B$12),NA(),IF(COUNT(OFFSET(G1257,1-Settings!$B$12,0,Settings!$B$12,1))&lt;ROUNDUP(Settings!$B$12*Settings!$B$26,0),NA(),STDEV(OFFSET(G1257,1-Settings!$B$12,0,Settings!$B$12,1))*SQRT(Settings!$B$13)))</f>
        <v/>
      </c>
      <c r="L1257" s="20">
        <f>IF(AND(ISNUMBER(D1257),ISNUMBER(H1257)),D1257-H1257,NA())</f>
        <v/>
      </c>
      <c r="M1257" s="20">
        <f>IF(AND(ISNUMBER(E1257),ISNUMBER(K1257)),E1257-K1257,NA())</f>
        <v/>
      </c>
      <c r="N1257" s="20">
        <f>IF(NOT(ISNUMBER($A1257)),NA(),IF(COUNT(OFFSET(G1257,1,0,Settings!$B$12,1))&lt;ROUNDUP(Settings!$B$12*Settings!$B$26,0),NA(),STDEV(OFFSET(G1257,1,0,Settings!$B$12,1))*SQRT(Settings!$B$13)))</f>
        <v/>
      </c>
      <c r="O1257" s="20">
        <f>IF(AND(ISNUMBER(E1257),ISNUMBER(N1257)),E1257-N1257,NA())</f>
        <v/>
      </c>
      <c r="P1257" s="19">
        <f>IF(NOT(ISNUMBER($A1257)),NA(),IF(OR($A1257&lt;MIN(KW_TP!$A$2:$A$2501),$A1257&gt;MAX(KW_TP!$A$2:$A$2501)),NA(),INDEX(KW_TP!$C$2:$C$2501,MATCH($A1257,KW_TP!$A$2:$A$2501,1))))</f>
        <v/>
      </c>
      <c r="Q1257" s="18">
        <f>IF(NOT(ISNUMBER($A1257)),NA(),IFERROR(1*INDEX(BBG_Data!$J$2:$J$4000,MATCH($A1257,BBG_Data!$I$2:$I$4000,0)),NA()))</f>
        <v/>
      </c>
      <c r="R1257" s="18">
        <f>IF(NOT(ISNUMBER($A1257)),NA(),IFERROR(1*INDEX(BBG_Data!$L$2:$L$4000,MATCH($A1257,BBG_Data!$K$2:$K$4000,0)),NA()))</f>
        <v/>
      </c>
      <c r="S1257" s="20">
        <f>IF(AND(ISNUMBER(B1257),ISNUMBER(Q1257),ISNUMBER(R1257)),(B1257-Q1257-R1257)*100,NA())</f>
        <v/>
      </c>
      <c r="T1257" s="20">
        <f>IF(AND(ISNUMBER(B1257),Settings!$B$17&gt;0),IF(ISNUMBER(INDEX($B:$B,Settings!$B$17)),(B1257-INDEX($B:$B,Settings!$B$17))*100,NA()),NA())</f>
        <v/>
      </c>
      <c r="U1257" s="20">
        <f>IF(AND(ISNUMBER(Q1257),Settings!$B$17&gt;0),IF(ISNUMBER(INDEX($Q:$Q,Settings!$B$17)),(Q1257-INDEX($Q:$Q,Settings!$B$17))*100,NA()),NA())</f>
        <v/>
      </c>
      <c r="V1257" s="20">
        <f>IF(AND(ISNUMBER(R1257),Settings!$B$17&gt;0),IF(ISNUMBER(INDEX($R:$R,Settings!$B$17)),(R1257-INDEX($R:$R,Settings!$B$17))*100,NA()),NA())</f>
        <v/>
      </c>
      <c r="W1257" s="20">
        <f>IF(AND(ISNUMBER(P1257),Settings!$B$17&gt;0),IF(ISNUMBER(INDEX($P:$P,Settings!$B$17)),P1257-INDEX($P:$P,Settings!$B$17),NA()),NA())</f>
        <v/>
      </c>
      <c r="X1257" s="19">
        <f>IF(NOT(ISNUMBER($A1257)),NA(),IF(OR($A1257&lt;MIN(DKW_10Y!$A$2:$A$2918),$A1257&gt;MAX(DKW_10Y!$A$2:$A$2918),Settings!$B$16&lt;MIN(DKW_10Y!$A$2:$A$2918)),NA(),(INDEX(DKW_10Y!$B$2:$B$2918,MATCH($A1257,DKW_10Y!$A$2:$A$2918,1))-INDEX(DKW_10Y!$B$2:$B$2918,MATCH(Settings!$B$16,DKW_10Y!$A$2:$A$2918,1)))*100))</f>
        <v/>
      </c>
      <c r="Y1257" s="19">
        <f>IF(NOT(ISNUMBER($A1257)),NA(),IF(OR($A1257&lt;MIN(DKW_10Y!$A$2:$A$2918),$A1257&gt;MAX(DKW_10Y!$A$2:$A$2918),Settings!$B$16&lt;MIN(DKW_10Y!$A$2:$A$2918)),NA(),(INDEX(DKW_10Y!$C$2:$C$2918,MATCH($A1257,DKW_10Y!$A$2:$A$2918,1))-INDEX(DKW_10Y!$C$2:$C$2918,MATCH(Settings!$B$16,DKW_10Y!$A$2:$A$2918,1)))*100))</f>
        <v/>
      </c>
      <c r="Z1257" s="19">
        <f>IF(NOT(ISNUMBER($A1257)),NA(),IF(OR($A1257&lt;MIN(DKW_10Y!$A$2:$A$2918),$A1257&gt;MAX(DKW_10Y!$A$2:$A$2918),Settings!$B$16&lt;MIN(DKW_10Y!$A$2:$A$2918)),NA(),(INDEX(DKW_10Y!$D$2:$D$2918,MATCH($A1257,DKW_10Y!$A$2:$A$2918,1))-INDEX(DKW_10Y!$D$2:$D$2918,MATCH(Settings!$B$16,DKW_10Y!$A$2:$A$2918,1)))*100))</f>
        <v/>
      </c>
      <c r="AA1257" s="19">
        <f>IF(NOT(ISNUMBER($A1257)),NA(),IF(OR($A1257&lt;MIN(DKW_10Y!$A$2:$A$2918),$A1257&gt;MAX(DKW_10Y!$A$2:$A$2918),Settings!$B$16&lt;MIN(DKW_10Y!$A$2:$A$2918)),NA(),(INDEX(DKW_10Y!$E$2:$E$2918,MATCH($A1257,DKW_10Y!$A$2:$A$2918,1))-INDEX(DKW_10Y!$E$2:$E$2918,MATCH(Settings!$B$16,DKW_10Y!$A$2:$A$2918,1)))*100))</f>
        <v/>
      </c>
      <c r="AB1257" s="19">
        <f>IF(NOT(ISNUMBER($A1257)),NA(),IF(OR($A1257&lt;MIN(DKW_10Y!$A$2:$A$2918),$A1257&gt;MAX(DKW_10Y!$A$2:$A$2918),Settings!$B$16&lt;MIN(DKW_10Y!$A$2:$A$2918)),NA(),(INDEX(DKW_10Y!$H$2:$H$2918,MATCH($A1257,DKW_10Y!$A$2:$A$2918,1))-INDEX(DKW_10Y!$H$2:$H$2918,MATCH(Settings!$B$16,DKW_10Y!$A$2:$A$2918,1)))*100))</f>
        <v/>
      </c>
      <c r="AC1257" s="18">
        <f>IF(NOT(ISNUMBER($A1257)),NA(),IFERROR(1*INDEX(BBG_Data!$N$2:$N$4000,MATCH($A1257,BBG_Data!$M$2:$M$4000,0)),NA()))</f>
        <v/>
      </c>
      <c r="AD1257" s="18">
        <f>IF(NOT(ISNUMBER($A1257)),NA(),IFERROR(1*INDEX(BBG_Data!$P$2:$P$4000,MATCH($A1257,BBG_Data!$O$2:$O$4000,0)),NA()))</f>
        <v/>
      </c>
      <c r="AE1257" s="18">
        <f>IF(NOT(ISNUMBER($A1257)),NA(),IFERROR(1*INDEX(BBG_Data!$R$2:$R$4000,MATCH($A1257,BBG_Data!$Q$2:$Q$4000,0)),NA()))</f>
        <v/>
      </c>
      <c r="AF1257" s="20">
        <f>IF(AND(ISNUMBER(B1257),ISNUMBER(AC1257)),(B1257-AC1257)*100,NA())</f>
        <v/>
      </c>
      <c r="AG1257" s="20">
        <f>IF(AND(ISNUMBER(AE1257),ISNUMBER(AD1257)),(AE1257-AD1257)*100,NA())</f>
        <v/>
      </c>
      <c r="AH1257" s="19">
        <f>IF(NOT(ISNUMBER($A1257)),NA(),IFERROR(INDEX(BBG_Data!$T$2:$T$4000,MATCH($A1257,BBG_Data!$S$2:$S$4000,0))*Settings!$B$25,NA()))</f>
        <v/>
      </c>
      <c r="AI1257" s="19">
        <f>IF(NOT(ISNUMBER($A1257)),NA(),IFERROR(INDEX(BBG_Data!$V$2:$V$4000,MATCH($A1257,BBG_Data!$U$2:$U$4000,0))*Settings!$B$25,NA()))</f>
        <v/>
      </c>
      <c r="AJ1257" s="19">
        <f>IF(NOT(ISNUMBER($A1257)),NA(),IFERROR(1*INDEX(BBG_Data!$X$2:$X$4000,MATCH($A1257,BBG_Data!$W$2:$W$4000,0)),NA()))</f>
        <v/>
      </c>
      <c r="AK1257" s="19">
        <f>IF(NOT(ISNUMBER($A1257)),NA(),IFERROR(1*INDEX(BBG_Data!$Z$2:$Z$4000,MATCH($A1257,BBG_Data!$Y$2:$Y$4000,0)),NA()))</f>
        <v/>
      </c>
    </row>
    <row r="1258">
      <c r="A1258" s="17">
        <f>IF(ISNUMBER(BBG_Data!A1258),BBG_Data!A1258,"")</f>
        <v/>
      </c>
      <c r="B1258" s="18">
        <f>IF(AND(ISNUMBER($A1258),ISNUMBER(BBG_Data!B1258)),BBG_Data!B1258,NA())</f>
        <v/>
      </c>
      <c r="C1258" s="18">
        <f>IF(NOT(ISNUMBER($A1258)),NA(),IFERROR(1*INDEX(BBG_Data!$D$2:$D$4000,MATCH($A1258,BBG_Data!$C$2:$C$4000,0)),NA()))</f>
        <v/>
      </c>
      <c r="D1258" s="19">
        <f>IF(NOT(ISNUMBER($A1258)),NA(),IFERROR(1*INDEX(BBG_Data!$F$2:$F$4000,MATCH($A1258,BBG_Data!$E$2:$E$4000,0)),NA()))</f>
        <v/>
      </c>
      <c r="E1258" s="19">
        <f>IF(NOT(ISNUMBER($A1258)),NA(),IFERROR(1*INDEX(BBG_Data!$H$2:$H$4000,MATCH($A1258,BBG_Data!$G$2:$G$4000,0)),NA()))</f>
        <v/>
      </c>
      <c r="F1258" s="20">
        <f>IF(AND(ISNUMBER(B1258),ISNUMBER(B1257)),IF(B1258=B1257,"",(B1258-B1257)*100),"")</f>
        <v/>
      </c>
      <c r="G1258" s="20">
        <f>IF(AND(ISNUMBER(C1258),ISNUMBER(C1257)),IF(C1258=C1257,"",(C1258-C1257)*100),"")</f>
        <v/>
      </c>
      <c r="H1258" s="20">
        <f>IF(OR(NOT(ISNUMBER($A1258)),ROW()-2&lt;Settings!$B$11),NA(),IF(COUNT(OFFSET(F1258,1-Settings!$B$11,0,Settings!$B$11,1))&lt;ROUNDUP(Settings!$B$11*Settings!$B$26,0),NA(),STDEV(OFFSET(F1258,1-Settings!$B$11,0,Settings!$B$11,1))*SQRT(Settings!$B$13)))</f>
        <v/>
      </c>
      <c r="I1258" s="20">
        <f>IF(OR(NOT(ISNUMBER($A1258)),ROW()-2&lt;Settings!$B$12),NA(),IF(COUNT(OFFSET(F1258,1-Settings!$B$12,0,Settings!$B$12,1))&lt;ROUNDUP(Settings!$B$12*Settings!$B$26,0),NA(),STDEV(OFFSET(F1258,1-Settings!$B$12,0,Settings!$B$12,1))*SQRT(Settings!$B$13)))</f>
        <v/>
      </c>
      <c r="J1258" s="20">
        <f>IF(OR(NOT(ISNUMBER($A1258)),ROW()-2&lt;Settings!$B$11),NA(),IF(COUNT(OFFSET(G1258,1-Settings!$B$11,0,Settings!$B$11,1))&lt;ROUNDUP(Settings!$B$11*Settings!$B$26,0),NA(),STDEV(OFFSET(G1258,1-Settings!$B$11,0,Settings!$B$11,1))*SQRT(Settings!$B$13)))</f>
        <v/>
      </c>
      <c r="K1258" s="20">
        <f>IF(OR(NOT(ISNUMBER($A1258)),ROW()-2&lt;Settings!$B$12),NA(),IF(COUNT(OFFSET(G1258,1-Settings!$B$12,0,Settings!$B$12,1))&lt;ROUNDUP(Settings!$B$12*Settings!$B$26,0),NA(),STDEV(OFFSET(G1258,1-Settings!$B$12,0,Settings!$B$12,1))*SQRT(Settings!$B$13)))</f>
        <v/>
      </c>
      <c r="L1258" s="20">
        <f>IF(AND(ISNUMBER(D1258),ISNUMBER(H1258)),D1258-H1258,NA())</f>
        <v/>
      </c>
      <c r="M1258" s="20">
        <f>IF(AND(ISNUMBER(E1258),ISNUMBER(K1258)),E1258-K1258,NA())</f>
        <v/>
      </c>
      <c r="N1258" s="20">
        <f>IF(NOT(ISNUMBER($A1258)),NA(),IF(COUNT(OFFSET(G1258,1,0,Settings!$B$12,1))&lt;ROUNDUP(Settings!$B$12*Settings!$B$26,0),NA(),STDEV(OFFSET(G1258,1,0,Settings!$B$12,1))*SQRT(Settings!$B$13)))</f>
        <v/>
      </c>
      <c r="O1258" s="20">
        <f>IF(AND(ISNUMBER(E1258),ISNUMBER(N1258)),E1258-N1258,NA())</f>
        <v/>
      </c>
      <c r="P1258" s="19">
        <f>IF(NOT(ISNUMBER($A1258)),NA(),IF(OR($A1258&lt;MIN(KW_TP!$A$2:$A$2501),$A1258&gt;MAX(KW_TP!$A$2:$A$2501)),NA(),INDEX(KW_TP!$C$2:$C$2501,MATCH($A1258,KW_TP!$A$2:$A$2501,1))))</f>
        <v/>
      </c>
      <c r="Q1258" s="18">
        <f>IF(NOT(ISNUMBER($A1258)),NA(),IFERROR(1*INDEX(BBG_Data!$J$2:$J$4000,MATCH($A1258,BBG_Data!$I$2:$I$4000,0)),NA()))</f>
        <v/>
      </c>
      <c r="R1258" s="18">
        <f>IF(NOT(ISNUMBER($A1258)),NA(),IFERROR(1*INDEX(BBG_Data!$L$2:$L$4000,MATCH($A1258,BBG_Data!$K$2:$K$4000,0)),NA()))</f>
        <v/>
      </c>
      <c r="S1258" s="20">
        <f>IF(AND(ISNUMBER(B1258),ISNUMBER(Q1258),ISNUMBER(R1258)),(B1258-Q1258-R1258)*100,NA())</f>
        <v/>
      </c>
      <c r="T1258" s="20">
        <f>IF(AND(ISNUMBER(B1258),Settings!$B$17&gt;0),IF(ISNUMBER(INDEX($B:$B,Settings!$B$17)),(B1258-INDEX($B:$B,Settings!$B$17))*100,NA()),NA())</f>
        <v/>
      </c>
      <c r="U1258" s="20">
        <f>IF(AND(ISNUMBER(Q1258),Settings!$B$17&gt;0),IF(ISNUMBER(INDEX($Q:$Q,Settings!$B$17)),(Q1258-INDEX($Q:$Q,Settings!$B$17))*100,NA()),NA())</f>
        <v/>
      </c>
      <c r="V1258" s="20">
        <f>IF(AND(ISNUMBER(R1258),Settings!$B$17&gt;0),IF(ISNUMBER(INDEX($R:$R,Settings!$B$17)),(R1258-INDEX($R:$R,Settings!$B$17))*100,NA()),NA())</f>
        <v/>
      </c>
      <c r="W1258" s="20">
        <f>IF(AND(ISNUMBER(P1258),Settings!$B$17&gt;0),IF(ISNUMBER(INDEX($P:$P,Settings!$B$17)),P1258-INDEX($P:$P,Settings!$B$17),NA()),NA())</f>
        <v/>
      </c>
      <c r="X1258" s="19">
        <f>IF(NOT(ISNUMBER($A1258)),NA(),IF(OR($A1258&lt;MIN(DKW_10Y!$A$2:$A$2918),$A1258&gt;MAX(DKW_10Y!$A$2:$A$2918),Settings!$B$16&lt;MIN(DKW_10Y!$A$2:$A$2918)),NA(),(INDEX(DKW_10Y!$B$2:$B$2918,MATCH($A1258,DKW_10Y!$A$2:$A$2918,1))-INDEX(DKW_10Y!$B$2:$B$2918,MATCH(Settings!$B$16,DKW_10Y!$A$2:$A$2918,1)))*100))</f>
        <v/>
      </c>
      <c r="Y1258" s="19">
        <f>IF(NOT(ISNUMBER($A1258)),NA(),IF(OR($A1258&lt;MIN(DKW_10Y!$A$2:$A$2918),$A1258&gt;MAX(DKW_10Y!$A$2:$A$2918),Settings!$B$16&lt;MIN(DKW_10Y!$A$2:$A$2918)),NA(),(INDEX(DKW_10Y!$C$2:$C$2918,MATCH($A1258,DKW_10Y!$A$2:$A$2918,1))-INDEX(DKW_10Y!$C$2:$C$2918,MATCH(Settings!$B$16,DKW_10Y!$A$2:$A$2918,1)))*100))</f>
        <v/>
      </c>
      <c r="Z1258" s="19">
        <f>IF(NOT(ISNUMBER($A1258)),NA(),IF(OR($A1258&lt;MIN(DKW_10Y!$A$2:$A$2918),$A1258&gt;MAX(DKW_10Y!$A$2:$A$2918),Settings!$B$16&lt;MIN(DKW_10Y!$A$2:$A$2918)),NA(),(INDEX(DKW_10Y!$D$2:$D$2918,MATCH($A1258,DKW_10Y!$A$2:$A$2918,1))-INDEX(DKW_10Y!$D$2:$D$2918,MATCH(Settings!$B$16,DKW_10Y!$A$2:$A$2918,1)))*100))</f>
        <v/>
      </c>
      <c r="AA1258" s="19">
        <f>IF(NOT(ISNUMBER($A1258)),NA(),IF(OR($A1258&lt;MIN(DKW_10Y!$A$2:$A$2918),$A1258&gt;MAX(DKW_10Y!$A$2:$A$2918),Settings!$B$16&lt;MIN(DKW_10Y!$A$2:$A$2918)),NA(),(INDEX(DKW_10Y!$E$2:$E$2918,MATCH($A1258,DKW_10Y!$A$2:$A$2918,1))-INDEX(DKW_10Y!$E$2:$E$2918,MATCH(Settings!$B$16,DKW_10Y!$A$2:$A$2918,1)))*100))</f>
        <v/>
      </c>
      <c r="AB1258" s="19">
        <f>IF(NOT(ISNUMBER($A1258)),NA(),IF(OR($A1258&lt;MIN(DKW_10Y!$A$2:$A$2918),$A1258&gt;MAX(DKW_10Y!$A$2:$A$2918),Settings!$B$16&lt;MIN(DKW_10Y!$A$2:$A$2918)),NA(),(INDEX(DKW_10Y!$H$2:$H$2918,MATCH($A1258,DKW_10Y!$A$2:$A$2918,1))-INDEX(DKW_10Y!$H$2:$H$2918,MATCH(Settings!$B$16,DKW_10Y!$A$2:$A$2918,1)))*100))</f>
        <v/>
      </c>
      <c r="AC1258" s="18">
        <f>IF(NOT(ISNUMBER($A1258)),NA(),IFERROR(1*INDEX(BBG_Data!$N$2:$N$4000,MATCH($A1258,BBG_Data!$M$2:$M$4000,0)),NA()))</f>
        <v/>
      </c>
      <c r="AD1258" s="18">
        <f>IF(NOT(ISNUMBER($A1258)),NA(),IFERROR(1*INDEX(BBG_Data!$P$2:$P$4000,MATCH($A1258,BBG_Data!$O$2:$O$4000,0)),NA()))</f>
        <v/>
      </c>
      <c r="AE1258" s="18">
        <f>IF(NOT(ISNUMBER($A1258)),NA(),IFERROR(1*INDEX(BBG_Data!$R$2:$R$4000,MATCH($A1258,BBG_Data!$Q$2:$Q$4000,0)),NA()))</f>
        <v/>
      </c>
      <c r="AF1258" s="20">
        <f>IF(AND(ISNUMBER(B1258),ISNUMBER(AC1258)),(B1258-AC1258)*100,NA())</f>
        <v/>
      </c>
      <c r="AG1258" s="20">
        <f>IF(AND(ISNUMBER(AE1258),ISNUMBER(AD1258)),(AE1258-AD1258)*100,NA())</f>
        <v/>
      </c>
      <c r="AH1258" s="19">
        <f>IF(NOT(ISNUMBER($A1258)),NA(),IFERROR(INDEX(BBG_Data!$T$2:$T$4000,MATCH($A1258,BBG_Data!$S$2:$S$4000,0))*Settings!$B$25,NA()))</f>
        <v/>
      </c>
      <c r="AI1258" s="19">
        <f>IF(NOT(ISNUMBER($A1258)),NA(),IFERROR(INDEX(BBG_Data!$V$2:$V$4000,MATCH($A1258,BBG_Data!$U$2:$U$4000,0))*Settings!$B$25,NA()))</f>
        <v/>
      </c>
      <c r="AJ1258" s="19">
        <f>IF(NOT(ISNUMBER($A1258)),NA(),IFERROR(1*INDEX(BBG_Data!$X$2:$X$4000,MATCH($A1258,BBG_Data!$W$2:$W$4000,0)),NA()))</f>
        <v/>
      </c>
      <c r="AK1258" s="19">
        <f>IF(NOT(ISNUMBER($A1258)),NA(),IFERROR(1*INDEX(BBG_Data!$Z$2:$Z$4000,MATCH($A1258,BBG_Data!$Y$2:$Y$4000,0)),NA()))</f>
        <v/>
      </c>
    </row>
    <row r="1259">
      <c r="A1259" s="17">
        <f>IF(ISNUMBER(BBG_Data!A1259),BBG_Data!A1259,"")</f>
        <v/>
      </c>
      <c r="B1259" s="18">
        <f>IF(AND(ISNUMBER($A1259),ISNUMBER(BBG_Data!B1259)),BBG_Data!B1259,NA())</f>
        <v/>
      </c>
      <c r="C1259" s="18">
        <f>IF(NOT(ISNUMBER($A1259)),NA(),IFERROR(1*INDEX(BBG_Data!$D$2:$D$4000,MATCH($A1259,BBG_Data!$C$2:$C$4000,0)),NA()))</f>
        <v/>
      </c>
      <c r="D1259" s="19">
        <f>IF(NOT(ISNUMBER($A1259)),NA(),IFERROR(1*INDEX(BBG_Data!$F$2:$F$4000,MATCH($A1259,BBG_Data!$E$2:$E$4000,0)),NA()))</f>
        <v/>
      </c>
      <c r="E1259" s="19">
        <f>IF(NOT(ISNUMBER($A1259)),NA(),IFERROR(1*INDEX(BBG_Data!$H$2:$H$4000,MATCH($A1259,BBG_Data!$G$2:$G$4000,0)),NA()))</f>
        <v/>
      </c>
      <c r="F1259" s="20">
        <f>IF(AND(ISNUMBER(B1259),ISNUMBER(B1258)),IF(B1259=B1258,"",(B1259-B1258)*100),"")</f>
        <v/>
      </c>
      <c r="G1259" s="20">
        <f>IF(AND(ISNUMBER(C1259),ISNUMBER(C1258)),IF(C1259=C1258,"",(C1259-C1258)*100),"")</f>
        <v/>
      </c>
      <c r="H1259" s="20">
        <f>IF(OR(NOT(ISNUMBER($A1259)),ROW()-2&lt;Settings!$B$11),NA(),IF(COUNT(OFFSET(F1259,1-Settings!$B$11,0,Settings!$B$11,1))&lt;ROUNDUP(Settings!$B$11*Settings!$B$26,0),NA(),STDEV(OFFSET(F1259,1-Settings!$B$11,0,Settings!$B$11,1))*SQRT(Settings!$B$13)))</f>
        <v/>
      </c>
      <c r="I1259" s="20">
        <f>IF(OR(NOT(ISNUMBER($A1259)),ROW()-2&lt;Settings!$B$12),NA(),IF(COUNT(OFFSET(F1259,1-Settings!$B$12,0,Settings!$B$12,1))&lt;ROUNDUP(Settings!$B$12*Settings!$B$26,0),NA(),STDEV(OFFSET(F1259,1-Settings!$B$12,0,Settings!$B$12,1))*SQRT(Settings!$B$13)))</f>
        <v/>
      </c>
      <c r="J1259" s="20">
        <f>IF(OR(NOT(ISNUMBER($A1259)),ROW()-2&lt;Settings!$B$11),NA(),IF(COUNT(OFFSET(G1259,1-Settings!$B$11,0,Settings!$B$11,1))&lt;ROUNDUP(Settings!$B$11*Settings!$B$26,0),NA(),STDEV(OFFSET(G1259,1-Settings!$B$11,0,Settings!$B$11,1))*SQRT(Settings!$B$13)))</f>
        <v/>
      </c>
      <c r="K1259" s="20">
        <f>IF(OR(NOT(ISNUMBER($A1259)),ROW()-2&lt;Settings!$B$12),NA(),IF(COUNT(OFFSET(G1259,1-Settings!$B$12,0,Settings!$B$12,1))&lt;ROUNDUP(Settings!$B$12*Settings!$B$26,0),NA(),STDEV(OFFSET(G1259,1-Settings!$B$12,0,Settings!$B$12,1))*SQRT(Settings!$B$13)))</f>
        <v/>
      </c>
      <c r="L1259" s="20">
        <f>IF(AND(ISNUMBER(D1259),ISNUMBER(H1259)),D1259-H1259,NA())</f>
        <v/>
      </c>
      <c r="M1259" s="20">
        <f>IF(AND(ISNUMBER(E1259),ISNUMBER(K1259)),E1259-K1259,NA())</f>
        <v/>
      </c>
      <c r="N1259" s="20">
        <f>IF(NOT(ISNUMBER($A1259)),NA(),IF(COUNT(OFFSET(G1259,1,0,Settings!$B$12,1))&lt;ROUNDUP(Settings!$B$12*Settings!$B$26,0),NA(),STDEV(OFFSET(G1259,1,0,Settings!$B$12,1))*SQRT(Settings!$B$13)))</f>
        <v/>
      </c>
      <c r="O1259" s="20">
        <f>IF(AND(ISNUMBER(E1259),ISNUMBER(N1259)),E1259-N1259,NA())</f>
        <v/>
      </c>
      <c r="P1259" s="19">
        <f>IF(NOT(ISNUMBER($A1259)),NA(),IF(OR($A1259&lt;MIN(KW_TP!$A$2:$A$2501),$A1259&gt;MAX(KW_TP!$A$2:$A$2501)),NA(),INDEX(KW_TP!$C$2:$C$2501,MATCH($A1259,KW_TP!$A$2:$A$2501,1))))</f>
        <v/>
      </c>
      <c r="Q1259" s="18">
        <f>IF(NOT(ISNUMBER($A1259)),NA(),IFERROR(1*INDEX(BBG_Data!$J$2:$J$4000,MATCH($A1259,BBG_Data!$I$2:$I$4000,0)),NA()))</f>
        <v/>
      </c>
      <c r="R1259" s="18">
        <f>IF(NOT(ISNUMBER($A1259)),NA(),IFERROR(1*INDEX(BBG_Data!$L$2:$L$4000,MATCH($A1259,BBG_Data!$K$2:$K$4000,0)),NA()))</f>
        <v/>
      </c>
      <c r="S1259" s="20">
        <f>IF(AND(ISNUMBER(B1259),ISNUMBER(Q1259),ISNUMBER(R1259)),(B1259-Q1259-R1259)*100,NA())</f>
        <v/>
      </c>
      <c r="T1259" s="20">
        <f>IF(AND(ISNUMBER(B1259),Settings!$B$17&gt;0),IF(ISNUMBER(INDEX($B:$B,Settings!$B$17)),(B1259-INDEX($B:$B,Settings!$B$17))*100,NA()),NA())</f>
        <v/>
      </c>
      <c r="U1259" s="20">
        <f>IF(AND(ISNUMBER(Q1259),Settings!$B$17&gt;0),IF(ISNUMBER(INDEX($Q:$Q,Settings!$B$17)),(Q1259-INDEX($Q:$Q,Settings!$B$17))*100,NA()),NA())</f>
        <v/>
      </c>
      <c r="V1259" s="20">
        <f>IF(AND(ISNUMBER(R1259),Settings!$B$17&gt;0),IF(ISNUMBER(INDEX($R:$R,Settings!$B$17)),(R1259-INDEX($R:$R,Settings!$B$17))*100,NA()),NA())</f>
        <v/>
      </c>
      <c r="W1259" s="20">
        <f>IF(AND(ISNUMBER(P1259),Settings!$B$17&gt;0),IF(ISNUMBER(INDEX($P:$P,Settings!$B$17)),P1259-INDEX($P:$P,Settings!$B$17),NA()),NA())</f>
        <v/>
      </c>
      <c r="X1259" s="19">
        <f>IF(NOT(ISNUMBER($A1259)),NA(),IF(OR($A1259&lt;MIN(DKW_10Y!$A$2:$A$2918),$A1259&gt;MAX(DKW_10Y!$A$2:$A$2918),Settings!$B$16&lt;MIN(DKW_10Y!$A$2:$A$2918)),NA(),(INDEX(DKW_10Y!$B$2:$B$2918,MATCH($A1259,DKW_10Y!$A$2:$A$2918,1))-INDEX(DKW_10Y!$B$2:$B$2918,MATCH(Settings!$B$16,DKW_10Y!$A$2:$A$2918,1)))*100))</f>
        <v/>
      </c>
      <c r="Y1259" s="19">
        <f>IF(NOT(ISNUMBER($A1259)),NA(),IF(OR($A1259&lt;MIN(DKW_10Y!$A$2:$A$2918),$A1259&gt;MAX(DKW_10Y!$A$2:$A$2918),Settings!$B$16&lt;MIN(DKW_10Y!$A$2:$A$2918)),NA(),(INDEX(DKW_10Y!$C$2:$C$2918,MATCH($A1259,DKW_10Y!$A$2:$A$2918,1))-INDEX(DKW_10Y!$C$2:$C$2918,MATCH(Settings!$B$16,DKW_10Y!$A$2:$A$2918,1)))*100))</f>
        <v/>
      </c>
      <c r="Z1259" s="19">
        <f>IF(NOT(ISNUMBER($A1259)),NA(),IF(OR($A1259&lt;MIN(DKW_10Y!$A$2:$A$2918),$A1259&gt;MAX(DKW_10Y!$A$2:$A$2918),Settings!$B$16&lt;MIN(DKW_10Y!$A$2:$A$2918)),NA(),(INDEX(DKW_10Y!$D$2:$D$2918,MATCH($A1259,DKW_10Y!$A$2:$A$2918,1))-INDEX(DKW_10Y!$D$2:$D$2918,MATCH(Settings!$B$16,DKW_10Y!$A$2:$A$2918,1)))*100))</f>
        <v/>
      </c>
      <c r="AA1259" s="19">
        <f>IF(NOT(ISNUMBER($A1259)),NA(),IF(OR($A1259&lt;MIN(DKW_10Y!$A$2:$A$2918),$A1259&gt;MAX(DKW_10Y!$A$2:$A$2918),Settings!$B$16&lt;MIN(DKW_10Y!$A$2:$A$2918)),NA(),(INDEX(DKW_10Y!$E$2:$E$2918,MATCH($A1259,DKW_10Y!$A$2:$A$2918,1))-INDEX(DKW_10Y!$E$2:$E$2918,MATCH(Settings!$B$16,DKW_10Y!$A$2:$A$2918,1)))*100))</f>
        <v/>
      </c>
      <c r="AB1259" s="19">
        <f>IF(NOT(ISNUMBER($A1259)),NA(),IF(OR($A1259&lt;MIN(DKW_10Y!$A$2:$A$2918),$A1259&gt;MAX(DKW_10Y!$A$2:$A$2918),Settings!$B$16&lt;MIN(DKW_10Y!$A$2:$A$2918)),NA(),(INDEX(DKW_10Y!$H$2:$H$2918,MATCH($A1259,DKW_10Y!$A$2:$A$2918,1))-INDEX(DKW_10Y!$H$2:$H$2918,MATCH(Settings!$B$16,DKW_10Y!$A$2:$A$2918,1)))*100))</f>
        <v/>
      </c>
      <c r="AC1259" s="18">
        <f>IF(NOT(ISNUMBER($A1259)),NA(),IFERROR(1*INDEX(BBG_Data!$N$2:$N$4000,MATCH($A1259,BBG_Data!$M$2:$M$4000,0)),NA()))</f>
        <v/>
      </c>
      <c r="AD1259" s="18">
        <f>IF(NOT(ISNUMBER($A1259)),NA(),IFERROR(1*INDEX(BBG_Data!$P$2:$P$4000,MATCH($A1259,BBG_Data!$O$2:$O$4000,0)),NA()))</f>
        <v/>
      </c>
      <c r="AE1259" s="18">
        <f>IF(NOT(ISNUMBER($A1259)),NA(),IFERROR(1*INDEX(BBG_Data!$R$2:$R$4000,MATCH($A1259,BBG_Data!$Q$2:$Q$4000,0)),NA()))</f>
        <v/>
      </c>
      <c r="AF1259" s="20">
        <f>IF(AND(ISNUMBER(B1259),ISNUMBER(AC1259)),(B1259-AC1259)*100,NA())</f>
        <v/>
      </c>
      <c r="AG1259" s="20">
        <f>IF(AND(ISNUMBER(AE1259),ISNUMBER(AD1259)),(AE1259-AD1259)*100,NA())</f>
        <v/>
      </c>
      <c r="AH1259" s="19">
        <f>IF(NOT(ISNUMBER($A1259)),NA(),IFERROR(INDEX(BBG_Data!$T$2:$T$4000,MATCH($A1259,BBG_Data!$S$2:$S$4000,0))*Settings!$B$25,NA()))</f>
        <v/>
      </c>
      <c r="AI1259" s="19">
        <f>IF(NOT(ISNUMBER($A1259)),NA(),IFERROR(INDEX(BBG_Data!$V$2:$V$4000,MATCH($A1259,BBG_Data!$U$2:$U$4000,0))*Settings!$B$25,NA()))</f>
        <v/>
      </c>
      <c r="AJ1259" s="19">
        <f>IF(NOT(ISNUMBER($A1259)),NA(),IFERROR(1*INDEX(BBG_Data!$X$2:$X$4000,MATCH($A1259,BBG_Data!$W$2:$W$4000,0)),NA()))</f>
        <v/>
      </c>
      <c r="AK1259" s="19">
        <f>IF(NOT(ISNUMBER($A1259)),NA(),IFERROR(1*INDEX(BBG_Data!$Z$2:$Z$4000,MATCH($A1259,BBG_Data!$Y$2:$Y$4000,0)),NA()))</f>
        <v/>
      </c>
    </row>
    <row r="1260">
      <c r="A1260" s="17">
        <f>IF(ISNUMBER(BBG_Data!A1260),BBG_Data!A1260,"")</f>
        <v/>
      </c>
      <c r="B1260" s="18">
        <f>IF(AND(ISNUMBER($A1260),ISNUMBER(BBG_Data!B1260)),BBG_Data!B1260,NA())</f>
        <v/>
      </c>
      <c r="C1260" s="18">
        <f>IF(NOT(ISNUMBER($A1260)),NA(),IFERROR(1*INDEX(BBG_Data!$D$2:$D$4000,MATCH($A1260,BBG_Data!$C$2:$C$4000,0)),NA()))</f>
        <v/>
      </c>
      <c r="D1260" s="19">
        <f>IF(NOT(ISNUMBER($A1260)),NA(),IFERROR(1*INDEX(BBG_Data!$F$2:$F$4000,MATCH($A1260,BBG_Data!$E$2:$E$4000,0)),NA()))</f>
        <v/>
      </c>
      <c r="E1260" s="19">
        <f>IF(NOT(ISNUMBER($A1260)),NA(),IFERROR(1*INDEX(BBG_Data!$H$2:$H$4000,MATCH($A1260,BBG_Data!$G$2:$G$4000,0)),NA()))</f>
        <v/>
      </c>
      <c r="F1260" s="20">
        <f>IF(AND(ISNUMBER(B1260),ISNUMBER(B1259)),IF(B1260=B1259,"",(B1260-B1259)*100),"")</f>
        <v/>
      </c>
      <c r="G1260" s="20">
        <f>IF(AND(ISNUMBER(C1260),ISNUMBER(C1259)),IF(C1260=C1259,"",(C1260-C1259)*100),"")</f>
        <v/>
      </c>
      <c r="H1260" s="20">
        <f>IF(OR(NOT(ISNUMBER($A1260)),ROW()-2&lt;Settings!$B$11),NA(),IF(COUNT(OFFSET(F1260,1-Settings!$B$11,0,Settings!$B$11,1))&lt;ROUNDUP(Settings!$B$11*Settings!$B$26,0),NA(),STDEV(OFFSET(F1260,1-Settings!$B$11,0,Settings!$B$11,1))*SQRT(Settings!$B$13)))</f>
        <v/>
      </c>
      <c r="I1260" s="20">
        <f>IF(OR(NOT(ISNUMBER($A1260)),ROW()-2&lt;Settings!$B$12),NA(),IF(COUNT(OFFSET(F1260,1-Settings!$B$12,0,Settings!$B$12,1))&lt;ROUNDUP(Settings!$B$12*Settings!$B$26,0),NA(),STDEV(OFFSET(F1260,1-Settings!$B$12,0,Settings!$B$12,1))*SQRT(Settings!$B$13)))</f>
        <v/>
      </c>
      <c r="J1260" s="20">
        <f>IF(OR(NOT(ISNUMBER($A1260)),ROW()-2&lt;Settings!$B$11),NA(),IF(COUNT(OFFSET(G1260,1-Settings!$B$11,0,Settings!$B$11,1))&lt;ROUNDUP(Settings!$B$11*Settings!$B$26,0),NA(),STDEV(OFFSET(G1260,1-Settings!$B$11,0,Settings!$B$11,1))*SQRT(Settings!$B$13)))</f>
        <v/>
      </c>
      <c r="K1260" s="20">
        <f>IF(OR(NOT(ISNUMBER($A1260)),ROW()-2&lt;Settings!$B$12),NA(),IF(COUNT(OFFSET(G1260,1-Settings!$B$12,0,Settings!$B$12,1))&lt;ROUNDUP(Settings!$B$12*Settings!$B$26,0),NA(),STDEV(OFFSET(G1260,1-Settings!$B$12,0,Settings!$B$12,1))*SQRT(Settings!$B$13)))</f>
        <v/>
      </c>
      <c r="L1260" s="20">
        <f>IF(AND(ISNUMBER(D1260),ISNUMBER(H1260)),D1260-H1260,NA())</f>
        <v/>
      </c>
      <c r="M1260" s="20">
        <f>IF(AND(ISNUMBER(E1260),ISNUMBER(K1260)),E1260-K1260,NA())</f>
        <v/>
      </c>
      <c r="N1260" s="20">
        <f>IF(NOT(ISNUMBER($A1260)),NA(),IF(COUNT(OFFSET(G1260,1,0,Settings!$B$12,1))&lt;ROUNDUP(Settings!$B$12*Settings!$B$26,0),NA(),STDEV(OFFSET(G1260,1,0,Settings!$B$12,1))*SQRT(Settings!$B$13)))</f>
        <v/>
      </c>
      <c r="O1260" s="20">
        <f>IF(AND(ISNUMBER(E1260),ISNUMBER(N1260)),E1260-N1260,NA())</f>
        <v/>
      </c>
      <c r="P1260" s="19">
        <f>IF(NOT(ISNUMBER($A1260)),NA(),IF(OR($A1260&lt;MIN(KW_TP!$A$2:$A$2501),$A1260&gt;MAX(KW_TP!$A$2:$A$2501)),NA(),INDEX(KW_TP!$C$2:$C$2501,MATCH($A1260,KW_TP!$A$2:$A$2501,1))))</f>
        <v/>
      </c>
      <c r="Q1260" s="18">
        <f>IF(NOT(ISNUMBER($A1260)),NA(),IFERROR(1*INDEX(BBG_Data!$J$2:$J$4000,MATCH($A1260,BBG_Data!$I$2:$I$4000,0)),NA()))</f>
        <v/>
      </c>
      <c r="R1260" s="18">
        <f>IF(NOT(ISNUMBER($A1260)),NA(),IFERROR(1*INDEX(BBG_Data!$L$2:$L$4000,MATCH($A1260,BBG_Data!$K$2:$K$4000,0)),NA()))</f>
        <v/>
      </c>
      <c r="S1260" s="20">
        <f>IF(AND(ISNUMBER(B1260),ISNUMBER(Q1260),ISNUMBER(R1260)),(B1260-Q1260-R1260)*100,NA())</f>
        <v/>
      </c>
      <c r="T1260" s="20">
        <f>IF(AND(ISNUMBER(B1260),Settings!$B$17&gt;0),IF(ISNUMBER(INDEX($B:$B,Settings!$B$17)),(B1260-INDEX($B:$B,Settings!$B$17))*100,NA()),NA())</f>
        <v/>
      </c>
      <c r="U1260" s="20">
        <f>IF(AND(ISNUMBER(Q1260),Settings!$B$17&gt;0),IF(ISNUMBER(INDEX($Q:$Q,Settings!$B$17)),(Q1260-INDEX($Q:$Q,Settings!$B$17))*100,NA()),NA())</f>
        <v/>
      </c>
      <c r="V1260" s="20">
        <f>IF(AND(ISNUMBER(R1260),Settings!$B$17&gt;0),IF(ISNUMBER(INDEX($R:$R,Settings!$B$17)),(R1260-INDEX($R:$R,Settings!$B$17))*100,NA()),NA())</f>
        <v/>
      </c>
      <c r="W1260" s="20">
        <f>IF(AND(ISNUMBER(P1260),Settings!$B$17&gt;0),IF(ISNUMBER(INDEX($P:$P,Settings!$B$17)),P1260-INDEX($P:$P,Settings!$B$17),NA()),NA())</f>
        <v/>
      </c>
      <c r="X1260" s="19">
        <f>IF(NOT(ISNUMBER($A1260)),NA(),IF(OR($A1260&lt;MIN(DKW_10Y!$A$2:$A$2918),$A1260&gt;MAX(DKW_10Y!$A$2:$A$2918),Settings!$B$16&lt;MIN(DKW_10Y!$A$2:$A$2918)),NA(),(INDEX(DKW_10Y!$B$2:$B$2918,MATCH($A1260,DKW_10Y!$A$2:$A$2918,1))-INDEX(DKW_10Y!$B$2:$B$2918,MATCH(Settings!$B$16,DKW_10Y!$A$2:$A$2918,1)))*100))</f>
        <v/>
      </c>
      <c r="Y1260" s="19">
        <f>IF(NOT(ISNUMBER($A1260)),NA(),IF(OR($A1260&lt;MIN(DKW_10Y!$A$2:$A$2918),$A1260&gt;MAX(DKW_10Y!$A$2:$A$2918),Settings!$B$16&lt;MIN(DKW_10Y!$A$2:$A$2918)),NA(),(INDEX(DKW_10Y!$C$2:$C$2918,MATCH($A1260,DKW_10Y!$A$2:$A$2918,1))-INDEX(DKW_10Y!$C$2:$C$2918,MATCH(Settings!$B$16,DKW_10Y!$A$2:$A$2918,1)))*100))</f>
        <v/>
      </c>
      <c r="Z1260" s="19">
        <f>IF(NOT(ISNUMBER($A1260)),NA(),IF(OR($A1260&lt;MIN(DKW_10Y!$A$2:$A$2918),$A1260&gt;MAX(DKW_10Y!$A$2:$A$2918),Settings!$B$16&lt;MIN(DKW_10Y!$A$2:$A$2918)),NA(),(INDEX(DKW_10Y!$D$2:$D$2918,MATCH($A1260,DKW_10Y!$A$2:$A$2918,1))-INDEX(DKW_10Y!$D$2:$D$2918,MATCH(Settings!$B$16,DKW_10Y!$A$2:$A$2918,1)))*100))</f>
        <v/>
      </c>
      <c r="AA1260" s="19">
        <f>IF(NOT(ISNUMBER($A1260)),NA(),IF(OR($A1260&lt;MIN(DKW_10Y!$A$2:$A$2918),$A1260&gt;MAX(DKW_10Y!$A$2:$A$2918),Settings!$B$16&lt;MIN(DKW_10Y!$A$2:$A$2918)),NA(),(INDEX(DKW_10Y!$E$2:$E$2918,MATCH($A1260,DKW_10Y!$A$2:$A$2918,1))-INDEX(DKW_10Y!$E$2:$E$2918,MATCH(Settings!$B$16,DKW_10Y!$A$2:$A$2918,1)))*100))</f>
        <v/>
      </c>
      <c r="AB1260" s="19">
        <f>IF(NOT(ISNUMBER($A1260)),NA(),IF(OR($A1260&lt;MIN(DKW_10Y!$A$2:$A$2918),$A1260&gt;MAX(DKW_10Y!$A$2:$A$2918),Settings!$B$16&lt;MIN(DKW_10Y!$A$2:$A$2918)),NA(),(INDEX(DKW_10Y!$H$2:$H$2918,MATCH($A1260,DKW_10Y!$A$2:$A$2918,1))-INDEX(DKW_10Y!$H$2:$H$2918,MATCH(Settings!$B$16,DKW_10Y!$A$2:$A$2918,1)))*100))</f>
        <v/>
      </c>
      <c r="AC1260" s="18">
        <f>IF(NOT(ISNUMBER($A1260)),NA(),IFERROR(1*INDEX(BBG_Data!$N$2:$N$4000,MATCH($A1260,BBG_Data!$M$2:$M$4000,0)),NA()))</f>
        <v/>
      </c>
      <c r="AD1260" s="18">
        <f>IF(NOT(ISNUMBER($A1260)),NA(),IFERROR(1*INDEX(BBG_Data!$P$2:$P$4000,MATCH($A1260,BBG_Data!$O$2:$O$4000,0)),NA()))</f>
        <v/>
      </c>
      <c r="AE1260" s="18">
        <f>IF(NOT(ISNUMBER($A1260)),NA(),IFERROR(1*INDEX(BBG_Data!$R$2:$R$4000,MATCH($A1260,BBG_Data!$Q$2:$Q$4000,0)),NA()))</f>
        <v/>
      </c>
      <c r="AF1260" s="20">
        <f>IF(AND(ISNUMBER(B1260),ISNUMBER(AC1260)),(B1260-AC1260)*100,NA())</f>
        <v/>
      </c>
      <c r="AG1260" s="20">
        <f>IF(AND(ISNUMBER(AE1260),ISNUMBER(AD1260)),(AE1260-AD1260)*100,NA())</f>
        <v/>
      </c>
      <c r="AH1260" s="19">
        <f>IF(NOT(ISNUMBER($A1260)),NA(),IFERROR(INDEX(BBG_Data!$T$2:$T$4000,MATCH($A1260,BBG_Data!$S$2:$S$4000,0))*Settings!$B$25,NA()))</f>
        <v/>
      </c>
      <c r="AI1260" s="19">
        <f>IF(NOT(ISNUMBER($A1260)),NA(),IFERROR(INDEX(BBG_Data!$V$2:$V$4000,MATCH($A1260,BBG_Data!$U$2:$U$4000,0))*Settings!$B$25,NA()))</f>
        <v/>
      </c>
      <c r="AJ1260" s="19">
        <f>IF(NOT(ISNUMBER($A1260)),NA(),IFERROR(1*INDEX(BBG_Data!$X$2:$X$4000,MATCH($A1260,BBG_Data!$W$2:$W$4000,0)),NA()))</f>
        <v/>
      </c>
      <c r="AK1260" s="19">
        <f>IF(NOT(ISNUMBER($A1260)),NA(),IFERROR(1*INDEX(BBG_Data!$Z$2:$Z$4000,MATCH($A1260,BBG_Data!$Y$2:$Y$4000,0)),NA()))</f>
        <v/>
      </c>
    </row>
    <row r="1261">
      <c r="A1261" s="17">
        <f>IF(ISNUMBER(BBG_Data!A1261),BBG_Data!A1261,"")</f>
        <v/>
      </c>
      <c r="B1261" s="18">
        <f>IF(AND(ISNUMBER($A1261),ISNUMBER(BBG_Data!B1261)),BBG_Data!B1261,NA())</f>
        <v/>
      </c>
      <c r="C1261" s="18">
        <f>IF(NOT(ISNUMBER($A1261)),NA(),IFERROR(1*INDEX(BBG_Data!$D$2:$D$4000,MATCH($A1261,BBG_Data!$C$2:$C$4000,0)),NA()))</f>
        <v/>
      </c>
      <c r="D1261" s="19">
        <f>IF(NOT(ISNUMBER($A1261)),NA(),IFERROR(1*INDEX(BBG_Data!$F$2:$F$4000,MATCH($A1261,BBG_Data!$E$2:$E$4000,0)),NA()))</f>
        <v/>
      </c>
      <c r="E1261" s="19">
        <f>IF(NOT(ISNUMBER($A1261)),NA(),IFERROR(1*INDEX(BBG_Data!$H$2:$H$4000,MATCH($A1261,BBG_Data!$G$2:$G$4000,0)),NA()))</f>
        <v/>
      </c>
      <c r="F1261" s="20">
        <f>IF(AND(ISNUMBER(B1261),ISNUMBER(B1260)),IF(B1261=B1260,"",(B1261-B1260)*100),"")</f>
        <v/>
      </c>
      <c r="G1261" s="20">
        <f>IF(AND(ISNUMBER(C1261),ISNUMBER(C1260)),IF(C1261=C1260,"",(C1261-C1260)*100),"")</f>
        <v/>
      </c>
      <c r="H1261" s="20">
        <f>IF(OR(NOT(ISNUMBER($A1261)),ROW()-2&lt;Settings!$B$11),NA(),IF(COUNT(OFFSET(F1261,1-Settings!$B$11,0,Settings!$B$11,1))&lt;ROUNDUP(Settings!$B$11*Settings!$B$26,0),NA(),STDEV(OFFSET(F1261,1-Settings!$B$11,0,Settings!$B$11,1))*SQRT(Settings!$B$13)))</f>
        <v/>
      </c>
      <c r="I1261" s="20">
        <f>IF(OR(NOT(ISNUMBER($A1261)),ROW()-2&lt;Settings!$B$12),NA(),IF(COUNT(OFFSET(F1261,1-Settings!$B$12,0,Settings!$B$12,1))&lt;ROUNDUP(Settings!$B$12*Settings!$B$26,0),NA(),STDEV(OFFSET(F1261,1-Settings!$B$12,0,Settings!$B$12,1))*SQRT(Settings!$B$13)))</f>
        <v/>
      </c>
      <c r="J1261" s="20">
        <f>IF(OR(NOT(ISNUMBER($A1261)),ROW()-2&lt;Settings!$B$11),NA(),IF(COUNT(OFFSET(G1261,1-Settings!$B$11,0,Settings!$B$11,1))&lt;ROUNDUP(Settings!$B$11*Settings!$B$26,0),NA(),STDEV(OFFSET(G1261,1-Settings!$B$11,0,Settings!$B$11,1))*SQRT(Settings!$B$13)))</f>
        <v/>
      </c>
      <c r="K1261" s="20">
        <f>IF(OR(NOT(ISNUMBER($A1261)),ROW()-2&lt;Settings!$B$12),NA(),IF(COUNT(OFFSET(G1261,1-Settings!$B$12,0,Settings!$B$12,1))&lt;ROUNDUP(Settings!$B$12*Settings!$B$26,0),NA(),STDEV(OFFSET(G1261,1-Settings!$B$12,0,Settings!$B$12,1))*SQRT(Settings!$B$13)))</f>
        <v/>
      </c>
      <c r="L1261" s="20">
        <f>IF(AND(ISNUMBER(D1261),ISNUMBER(H1261)),D1261-H1261,NA())</f>
        <v/>
      </c>
      <c r="M1261" s="20">
        <f>IF(AND(ISNUMBER(E1261),ISNUMBER(K1261)),E1261-K1261,NA())</f>
        <v/>
      </c>
      <c r="N1261" s="20">
        <f>IF(NOT(ISNUMBER($A1261)),NA(),IF(COUNT(OFFSET(G1261,1,0,Settings!$B$12,1))&lt;ROUNDUP(Settings!$B$12*Settings!$B$26,0),NA(),STDEV(OFFSET(G1261,1,0,Settings!$B$12,1))*SQRT(Settings!$B$13)))</f>
        <v/>
      </c>
      <c r="O1261" s="20">
        <f>IF(AND(ISNUMBER(E1261),ISNUMBER(N1261)),E1261-N1261,NA())</f>
        <v/>
      </c>
      <c r="P1261" s="19">
        <f>IF(NOT(ISNUMBER($A1261)),NA(),IF(OR($A1261&lt;MIN(KW_TP!$A$2:$A$2501),$A1261&gt;MAX(KW_TP!$A$2:$A$2501)),NA(),INDEX(KW_TP!$C$2:$C$2501,MATCH($A1261,KW_TP!$A$2:$A$2501,1))))</f>
        <v/>
      </c>
      <c r="Q1261" s="18">
        <f>IF(NOT(ISNUMBER($A1261)),NA(),IFERROR(1*INDEX(BBG_Data!$J$2:$J$4000,MATCH($A1261,BBG_Data!$I$2:$I$4000,0)),NA()))</f>
        <v/>
      </c>
      <c r="R1261" s="18">
        <f>IF(NOT(ISNUMBER($A1261)),NA(),IFERROR(1*INDEX(BBG_Data!$L$2:$L$4000,MATCH($A1261,BBG_Data!$K$2:$K$4000,0)),NA()))</f>
        <v/>
      </c>
      <c r="S1261" s="20">
        <f>IF(AND(ISNUMBER(B1261),ISNUMBER(Q1261),ISNUMBER(R1261)),(B1261-Q1261-R1261)*100,NA())</f>
        <v/>
      </c>
      <c r="T1261" s="20">
        <f>IF(AND(ISNUMBER(B1261),Settings!$B$17&gt;0),IF(ISNUMBER(INDEX($B:$B,Settings!$B$17)),(B1261-INDEX($B:$B,Settings!$B$17))*100,NA()),NA())</f>
        <v/>
      </c>
      <c r="U1261" s="20">
        <f>IF(AND(ISNUMBER(Q1261),Settings!$B$17&gt;0),IF(ISNUMBER(INDEX($Q:$Q,Settings!$B$17)),(Q1261-INDEX($Q:$Q,Settings!$B$17))*100,NA()),NA())</f>
        <v/>
      </c>
      <c r="V1261" s="20">
        <f>IF(AND(ISNUMBER(R1261),Settings!$B$17&gt;0),IF(ISNUMBER(INDEX($R:$R,Settings!$B$17)),(R1261-INDEX($R:$R,Settings!$B$17))*100,NA()),NA())</f>
        <v/>
      </c>
      <c r="W1261" s="20">
        <f>IF(AND(ISNUMBER(P1261),Settings!$B$17&gt;0),IF(ISNUMBER(INDEX($P:$P,Settings!$B$17)),P1261-INDEX($P:$P,Settings!$B$17),NA()),NA())</f>
        <v/>
      </c>
      <c r="X1261" s="19">
        <f>IF(NOT(ISNUMBER($A1261)),NA(),IF(OR($A1261&lt;MIN(DKW_10Y!$A$2:$A$2918),$A1261&gt;MAX(DKW_10Y!$A$2:$A$2918),Settings!$B$16&lt;MIN(DKW_10Y!$A$2:$A$2918)),NA(),(INDEX(DKW_10Y!$B$2:$B$2918,MATCH($A1261,DKW_10Y!$A$2:$A$2918,1))-INDEX(DKW_10Y!$B$2:$B$2918,MATCH(Settings!$B$16,DKW_10Y!$A$2:$A$2918,1)))*100))</f>
        <v/>
      </c>
      <c r="Y1261" s="19">
        <f>IF(NOT(ISNUMBER($A1261)),NA(),IF(OR($A1261&lt;MIN(DKW_10Y!$A$2:$A$2918),$A1261&gt;MAX(DKW_10Y!$A$2:$A$2918),Settings!$B$16&lt;MIN(DKW_10Y!$A$2:$A$2918)),NA(),(INDEX(DKW_10Y!$C$2:$C$2918,MATCH($A1261,DKW_10Y!$A$2:$A$2918,1))-INDEX(DKW_10Y!$C$2:$C$2918,MATCH(Settings!$B$16,DKW_10Y!$A$2:$A$2918,1)))*100))</f>
        <v/>
      </c>
      <c r="Z1261" s="19">
        <f>IF(NOT(ISNUMBER($A1261)),NA(),IF(OR($A1261&lt;MIN(DKW_10Y!$A$2:$A$2918),$A1261&gt;MAX(DKW_10Y!$A$2:$A$2918),Settings!$B$16&lt;MIN(DKW_10Y!$A$2:$A$2918)),NA(),(INDEX(DKW_10Y!$D$2:$D$2918,MATCH($A1261,DKW_10Y!$A$2:$A$2918,1))-INDEX(DKW_10Y!$D$2:$D$2918,MATCH(Settings!$B$16,DKW_10Y!$A$2:$A$2918,1)))*100))</f>
        <v/>
      </c>
      <c r="AA1261" s="19">
        <f>IF(NOT(ISNUMBER($A1261)),NA(),IF(OR($A1261&lt;MIN(DKW_10Y!$A$2:$A$2918),$A1261&gt;MAX(DKW_10Y!$A$2:$A$2918),Settings!$B$16&lt;MIN(DKW_10Y!$A$2:$A$2918)),NA(),(INDEX(DKW_10Y!$E$2:$E$2918,MATCH($A1261,DKW_10Y!$A$2:$A$2918,1))-INDEX(DKW_10Y!$E$2:$E$2918,MATCH(Settings!$B$16,DKW_10Y!$A$2:$A$2918,1)))*100))</f>
        <v/>
      </c>
      <c r="AB1261" s="19">
        <f>IF(NOT(ISNUMBER($A1261)),NA(),IF(OR($A1261&lt;MIN(DKW_10Y!$A$2:$A$2918),$A1261&gt;MAX(DKW_10Y!$A$2:$A$2918),Settings!$B$16&lt;MIN(DKW_10Y!$A$2:$A$2918)),NA(),(INDEX(DKW_10Y!$H$2:$H$2918,MATCH($A1261,DKW_10Y!$A$2:$A$2918,1))-INDEX(DKW_10Y!$H$2:$H$2918,MATCH(Settings!$B$16,DKW_10Y!$A$2:$A$2918,1)))*100))</f>
        <v/>
      </c>
      <c r="AC1261" s="18">
        <f>IF(NOT(ISNUMBER($A1261)),NA(),IFERROR(1*INDEX(BBG_Data!$N$2:$N$4000,MATCH($A1261,BBG_Data!$M$2:$M$4000,0)),NA()))</f>
        <v/>
      </c>
      <c r="AD1261" s="18">
        <f>IF(NOT(ISNUMBER($A1261)),NA(),IFERROR(1*INDEX(BBG_Data!$P$2:$P$4000,MATCH($A1261,BBG_Data!$O$2:$O$4000,0)),NA()))</f>
        <v/>
      </c>
      <c r="AE1261" s="18">
        <f>IF(NOT(ISNUMBER($A1261)),NA(),IFERROR(1*INDEX(BBG_Data!$R$2:$R$4000,MATCH($A1261,BBG_Data!$Q$2:$Q$4000,0)),NA()))</f>
        <v/>
      </c>
      <c r="AF1261" s="20">
        <f>IF(AND(ISNUMBER(B1261),ISNUMBER(AC1261)),(B1261-AC1261)*100,NA())</f>
        <v/>
      </c>
      <c r="AG1261" s="20">
        <f>IF(AND(ISNUMBER(AE1261),ISNUMBER(AD1261)),(AE1261-AD1261)*100,NA())</f>
        <v/>
      </c>
      <c r="AH1261" s="19">
        <f>IF(NOT(ISNUMBER($A1261)),NA(),IFERROR(INDEX(BBG_Data!$T$2:$T$4000,MATCH($A1261,BBG_Data!$S$2:$S$4000,0))*Settings!$B$25,NA()))</f>
        <v/>
      </c>
      <c r="AI1261" s="19">
        <f>IF(NOT(ISNUMBER($A1261)),NA(),IFERROR(INDEX(BBG_Data!$V$2:$V$4000,MATCH($A1261,BBG_Data!$U$2:$U$4000,0))*Settings!$B$25,NA()))</f>
        <v/>
      </c>
      <c r="AJ1261" s="19">
        <f>IF(NOT(ISNUMBER($A1261)),NA(),IFERROR(1*INDEX(BBG_Data!$X$2:$X$4000,MATCH($A1261,BBG_Data!$W$2:$W$4000,0)),NA()))</f>
        <v/>
      </c>
      <c r="AK1261" s="19">
        <f>IF(NOT(ISNUMBER($A1261)),NA(),IFERROR(1*INDEX(BBG_Data!$Z$2:$Z$4000,MATCH($A1261,BBG_Data!$Y$2:$Y$4000,0)),NA()))</f>
        <v/>
      </c>
    </row>
    <row r="1262">
      <c r="A1262" s="17">
        <f>IF(ISNUMBER(BBG_Data!A1262),BBG_Data!A1262,"")</f>
        <v/>
      </c>
      <c r="B1262" s="18">
        <f>IF(AND(ISNUMBER($A1262),ISNUMBER(BBG_Data!B1262)),BBG_Data!B1262,NA())</f>
        <v/>
      </c>
      <c r="C1262" s="18">
        <f>IF(NOT(ISNUMBER($A1262)),NA(),IFERROR(1*INDEX(BBG_Data!$D$2:$D$4000,MATCH($A1262,BBG_Data!$C$2:$C$4000,0)),NA()))</f>
        <v/>
      </c>
      <c r="D1262" s="19">
        <f>IF(NOT(ISNUMBER($A1262)),NA(),IFERROR(1*INDEX(BBG_Data!$F$2:$F$4000,MATCH($A1262,BBG_Data!$E$2:$E$4000,0)),NA()))</f>
        <v/>
      </c>
      <c r="E1262" s="19">
        <f>IF(NOT(ISNUMBER($A1262)),NA(),IFERROR(1*INDEX(BBG_Data!$H$2:$H$4000,MATCH($A1262,BBG_Data!$G$2:$G$4000,0)),NA()))</f>
        <v/>
      </c>
      <c r="F1262" s="20">
        <f>IF(AND(ISNUMBER(B1262),ISNUMBER(B1261)),IF(B1262=B1261,"",(B1262-B1261)*100),"")</f>
        <v/>
      </c>
      <c r="G1262" s="20">
        <f>IF(AND(ISNUMBER(C1262),ISNUMBER(C1261)),IF(C1262=C1261,"",(C1262-C1261)*100),"")</f>
        <v/>
      </c>
      <c r="H1262" s="20">
        <f>IF(OR(NOT(ISNUMBER($A1262)),ROW()-2&lt;Settings!$B$11),NA(),IF(COUNT(OFFSET(F1262,1-Settings!$B$11,0,Settings!$B$11,1))&lt;ROUNDUP(Settings!$B$11*Settings!$B$26,0),NA(),STDEV(OFFSET(F1262,1-Settings!$B$11,0,Settings!$B$11,1))*SQRT(Settings!$B$13)))</f>
        <v/>
      </c>
      <c r="I1262" s="20">
        <f>IF(OR(NOT(ISNUMBER($A1262)),ROW()-2&lt;Settings!$B$12),NA(),IF(COUNT(OFFSET(F1262,1-Settings!$B$12,0,Settings!$B$12,1))&lt;ROUNDUP(Settings!$B$12*Settings!$B$26,0),NA(),STDEV(OFFSET(F1262,1-Settings!$B$12,0,Settings!$B$12,1))*SQRT(Settings!$B$13)))</f>
        <v/>
      </c>
      <c r="J1262" s="20">
        <f>IF(OR(NOT(ISNUMBER($A1262)),ROW()-2&lt;Settings!$B$11),NA(),IF(COUNT(OFFSET(G1262,1-Settings!$B$11,0,Settings!$B$11,1))&lt;ROUNDUP(Settings!$B$11*Settings!$B$26,0),NA(),STDEV(OFFSET(G1262,1-Settings!$B$11,0,Settings!$B$11,1))*SQRT(Settings!$B$13)))</f>
        <v/>
      </c>
      <c r="K1262" s="20">
        <f>IF(OR(NOT(ISNUMBER($A1262)),ROW()-2&lt;Settings!$B$12),NA(),IF(COUNT(OFFSET(G1262,1-Settings!$B$12,0,Settings!$B$12,1))&lt;ROUNDUP(Settings!$B$12*Settings!$B$26,0),NA(),STDEV(OFFSET(G1262,1-Settings!$B$12,0,Settings!$B$12,1))*SQRT(Settings!$B$13)))</f>
        <v/>
      </c>
      <c r="L1262" s="20">
        <f>IF(AND(ISNUMBER(D1262),ISNUMBER(H1262)),D1262-H1262,NA())</f>
        <v/>
      </c>
      <c r="M1262" s="20">
        <f>IF(AND(ISNUMBER(E1262),ISNUMBER(K1262)),E1262-K1262,NA())</f>
        <v/>
      </c>
      <c r="N1262" s="20">
        <f>IF(NOT(ISNUMBER($A1262)),NA(),IF(COUNT(OFFSET(G1262,1,0,Settings!$B$12,1))&lt;ROUNDUP(Settings!$B$12*Settings!$B$26,0),NA(),STDEV(OFFSET(G1262,1,0,Settings!$B$12,1))*SQRT(Settings!$B$13)))</f>
        <v/>
      </c>
      <c r="O1262" s="20">
        <f>IF(AND(ISNUMBER(E1262),ISNUMBER(N1262)),E1262-N1262,NA())</f>
        <v/>
      </c>
      <c r="P1262" s="19">
        <f>IF(NOT(ISNUMBER($A1262)),NA(),IF(OR($A1262&lt;MIN(KW_TP!$A$2:$A$2501),$A1262&gt;MAX(KW_TP!$A$2:$A$2501)),NA(),INDEX(KW_TP!$C$2:$C$2501,MATCH($A1262,KW_TP!$A$2:$A$2501,1))))</f>
        <v/>
      </c>
      <c r="Q1262" s="18">
        <f>IF(NOT(ISNUMBER($A1262)),NA(),IFERROR(1*INDEX(BBG_Data!$J$2:$J$4000,MATCH($A1262,BBG_Data!$I$2:$I$4000,0)),NA()))</f>
        <v/>
      </c>
      <c r="R1262" s="18">
        <f>IF(NOT(ISNUMBER($A1262)),NA(),IFERROR(1*INDEX(BBG_Data!$L$2:$L$4000,MATCH($A1262,BBG_Data!$K$2:$K$4000,0)),NA()))</f>
        <v/>
      </c>
      <c r="S1262" s="20">
        <f>IF(AND(ISNUMBER(B1262),ISNUMBER(Q1262),ISNUMBER(R1262)),(B1262-Q1262-R1262)*100,NA())</f>
        <v/>
      </c>
      <c r="T1262" s="20">
        <f>IF(AND(ISNUMBER(B1262),Settings!$B$17&gt;0),IF(ISNUMBER(INDEX($B:$B,Settings!$B$17)),(B1262-INDEX($B:$B,Settings!$B$17))*100,NA()),NA())</f>
        <v/>
      </c>
      <c r="U1262" s="20">
        <f>IF(AND(ISNUMBER(Q1262),Settings!$B$17&gt;0),IF(ISNUMBER(INDEX($Q:$Q,Settings!$B$17)),(Q1262-INDEX($Q:$Q,Settings!$B$17))*100,NA()),NA())</f>
        <v/>
      </c>
      <c r="V1262" s="20">
        <f>IF(AND(ISNUMBER(R1262),Settings!$B$17&gt;0),IF(ISNUMBER(INDEX($R:$R,Settings!$B$17)),(R1262-INDEX($R:$R,Settings!$B$17))*100,NA()),NA())</f>
        <v/>
      </c>
      <c r="W1262" s="20">
        <f>IF(AND(ISNUMBER(P1262),Settings!$B$17&gt;0),IF(ISNUMBER(INDEX($P:$P,Settings!$B$17)),P1262-INDEX($P:$P,Settings!$B$17),NA()),NA())</f>
        <v/>
      </c>
      <c r="X1262" s="19">
        <f>IF(NOT(ISNUMBER($A1262)),NA(),IF(OR($A1262&lt;MIN(DKW_10Y!$A$2:$A$2918),$A1262&gt;MAX(DKW_10Y!$A$2:$A$2918),Settings!$B$16&lt;MIN(DKW_10Y!$A$2:$A$2918)),NA(),(INDEX(DKW_10Y!$B$2:$B$2918,MATCH($A1262,DKW_10Y!$A$2:$A$2918,1))-INDEX(DKW_10Y!$B$2:$B$2918,MATCH(Settings!$B$16,DKW_10Y!$A$2:$A$2918,1)))*100))</f>
        <v/>
      </c>
      <c r="Y1262" s="19">
        <f>IF(NOT(ISNUMBER($A1262)),NA(),IF(OR($A1262&lt;MIN(DKW_10Y!$A$2:$A$2918),$A1262&gt;MAX(DKW_10Y!$A$2:$A$2918),Settings!$B$16&lt;MIN(DKW_10Y!$A$2:$A$2918)),NA(),(INDEX(DKW_10Y!$C$2:$C$2918,MATCH($A1262,DKW_10Y!$A$2:$A$2918,1))-INDEX(DKW_10Y!$C$2:$C$2918,MATCH(Settings!$B$16,DKW_10Y!$A$2:$A$2918,1)))*100))</f>
        <v/>
      </c>
      <c r="Z1262" s="19">
        <f>IF(NOT(ISNUMBER($A1262)),NA(),IF(OR($A1262&lt;MIN(DKW_10Y!$A$2:$A$2918),$A1262&gt;MAX(DKW_10Y!$A$2:$A$2918),Settings!$B$16&lt;MIN(DKW_10Y!$A$2:$A$2918)),NA(),(INDEX(DKW_10Y!$D$2:$D$2918,MATCH($A1262,DKW_10Y!$A$2:$A$2918,1))-INDEX(DKW_10Y!$D$2:$D$2918,MATCH(Settings!$B$16,DKW_10Y!$A$2:$A$2918,1)))*100))</f>
        <v/>
      </c>
      <c r="AA1262" s="19">
        <f>IF(NOT(ISNUMBER($A1262)),NA(),IF(OR($A1262&lt;MIN(DKW_10Y!$A$2:$A$2918),$A1262&gt;MAX(DKW_10Y!$A$2:$A$2918),Settings!$B$16&lt;MIN(DKW_10Y!$A$2:$A$2918)),NA(),(INDEX(DKW_10Y!$E$2:$E$2918,MATCH($A1262,DKW_10Y!$A$2:$A$2918,1))-INDEX(DKW_10Y!$E$2:$E$2918,MATCH(Settings!$B$16,DKW_10Y!$A$2:$A$2918,1)))*100))</f>
        <v/>
      </c>
      <c r="AB1262" s="19">
        <f>IF(NOT(ISNUMBER($A1262)),NA(),IF(OR($A1262&lt;MIN(DKW_10Y!$A$2:$A$2918),$A1262&gt;MAX(DKW_10Y!$A$2:$A$2918),Settings!$B$16&lt;MIN(DKW_10Y!$A$2:$A$2918)),NA(),(INDEX(DKW_10Y!$H$2:$H$2918,MATCH($A1262,DKW_10Y!$A$2:$A$2918,1))-INDEX(DKW_10Y!$H$2:$H$2918,MATCH(Settings!$B$16,DKW_10Y!$A$2:$A$2918,1)))*100))</f>
        <v/>
      </c>
      <c r="AC1262" s="18">
        <f>IF(NOT(ISNUMBER($A1262)),NA(),IFERROR(1*INDEX(BBG_Data!$N$2:$N$4000,MATCH($A1262,BBG_Data!$M$2:$M$4000,0)),NA()))</f>
        <v/>
      </c>
      <c r="AD1262" s="18">
        <f>IF(NOT(ISNUMBER($A1262)),NA(),IFERROR(1*INDEX(BBG_Data!$P$2:$P$4000,MATCH($A1262,BBG_Data!$O$2:$O$4000,0)),NA()))</f>
        <v/>
      </c>
      <c r="AE1262" s="18">
        <f>IF(NOT(ISNUMBER($A1262)),NA(),IFERROR(1*INDEX(BBG_Data!$R$2:$R$4000,MATCH($A1262,BBG_Data!$Q$2:$Q$4000,0)),NA()))</f>
        <v/>
      </c>
      <c r="AF1262" s="20">
        <f>IF(AND(ISNUMBER(B1262),ISNUMBER(AC1262)),(B1262-AC1262)*100,NA())</f>
        <v/>
      </c>
      <c r="AG1262" s="20">
        <f>IF(AND(ISNUMBER(AE1262),ISNUMBER(AD1262)),(AE1262-AD1262)*100,NA())</f>
        <v/>
      </c>
      <c r="AH1262" s="19">
        <f>IF(NOT(ISNUMBER($A1262)),NA(),IFERROR(INDEX(BBG_Data!$T$2:$T$4000,MATCH($A1262,BBG_Data!$S$2:$S$4000,0))*Settings!$B$25,NA()))</f>
        <v/>
      </c>
      <c r="AI1262" s="19">
        <f>IF(NOT(ISNUMBER($A1262)),NA(),IFERROR(INDEX(BBG_Data!$V$2:$V$4000,MATCH($A1262,BBG_Data!$U$2:$U$4000,0))*Settings!$B$25,NA()))</f>
        <v/>
      </c>
      <c r="AJ1262" s="19">
        <f>IF(NOT(ISNUMBER($A1262)),NA(),IFERROR(1*INDEX(BBG_Data!$X$2:$X$4000,MATCH($A1262,BBG_Data!$W$2:$W$4000,0)),NA()))</f>
        <v/>
      </c>
      <c r="AK1262" s="19">
        <f>IF(NOT(ISNUMBER($A1262)),NA(),IFERROR(1*INDEX(BBG_Data!$Z$2:$Z$4000,MATCH($A1262,BBG_Data!$Y$2:$Y$4000,0)),NA()))</f>
        <v/>
      </c>
    </row>
    <row r="1263">
      <c r="A1263" s="17">
        <f>IF(ISNUMBER(BBG_Data!A1263),BBG_Data!A1263,"")</f>
        <v/>
      </c>
      <c r="B1263" s="18">
        <f>IF(AND(ISNUMBER($A1263),ISNUMBER(BBG_Data!B1263)),BBG_Data!B1263,NA())</f>
        <v/>
      </c>
      <c r="C1263" s="18">
        <f>IF(NOT(ISNUMBER($A1263)),NA(),IFERROR(1*INDEX(BBG_Data!$D$2:$D$4000,MATCH($A1263,BBG_Data!$C$2:$C$4000,0)),NA()))</f>
        <v/>
      </c>
      <c r="D1263" s="19">
        <f>IF(NOT(ISNUMBER($A1263)),NA(),IFERROR(1*INDEX(BBG_Data!$F$2:$F$4000,MATCH($A1263,BBG_Data!$E$2:$E$4000,0)),NA()))</f>
        <v/>
      </c>
      <c r="E1263" s="19">
        <f>IF(NOT(ISNUMBER($A1263)),NA(),IFERROR(1*INDEX(BBG_Data!$H$2:$H$4000,MATCH($A1263,BBG_Data!$G$2:$G$4000,0)),NA()))</f>
        <v/>
      </c>
      <c r="F1263" s="20">
        <f>IF(AND(ISNUMBER(B1263),ISNUMBER(B1262)),IF(B1263=B1262,"",(B1263-B1262)*100),"")</f>
        <v/>
      </c>
      <c r="G1263" s="20">
        <f>IF(AND(ISNUMBER(C1263),ISNUMBER(C1262)),IF(C1263=C1262,"",(C1263-C1262)*100),"")</f>
        <v/>
      </c>
      <c r="H1263" s="20">
        <f>IF(OR(NOT(ISNUMBER($A1263)),ROW()-2&lt;Settings!$B$11),NA(),IF(COUNT(OFFSET(F1263,1-Settings!$B$11,0,Settings!$B$11,1))&lt;ROUNDUP(Settings!$B$11*Settings!$B$26,0),NA(),STDEV(OFFSET(F1263,1-Settings!$B$11,0,Settings!$B$11,1))*SQRT(Settings!$B$13)))</f>
        <v/>
      </c>
      <c r="I1263" s="20">
        <f>IF(OR(NOT(ISNUMBER($A1263)),ROW()-2&lt;Settings!$B$12),NA(),IF(COUNT(OFFSET(F1263,1-Settings!$B$12,0,Settings!$B$12,1))&lt;ROUNDUP(Settings!$B$12*Settings!$B$26,0),NA(),STDEV(OFFSET(F1263,1-Settings!$B$12,0,Settings!$B$12,1))*SQRT(Settings!$B$13)))</f>
        <v/>
      </c>
      <c r="J1263" s="20">
        <f>IF(OR(NOT(ISNUMBER($A1263)),ROW()-2&lt;Settings!$B$11),NA(),IF(COUNT(OFFSET(G1263,1-Settings!$B$11,0,Settings!$B$11,1))&lt;ROUNDUP(Settings!$B$11*Settings!$B$26,0),NA(),STDEV(OFFSET(G1263,1-Settings!$B$11,0,Settings!$B$11,1))*SQRT(Settings!$B$13)))</f>
        <v/>
      </c>
      <c r="K1263" s="20">
        <f>IF(OR(NOT(ISNUMBER($A1263)),ROW()-2&lt;Settings!$B$12),NA(),IF(COUNT(OFFSET(G1263,1-Settings!$B$12,0,Settings!$B$12,1))&lt;ROUNDUP(Settings!$B$12*Settings!$B$26,0),NA(),STDEV(OFFSET(G1263,1-Settings!$B$12,0,Settings!$B$12,1))*SQRT(Settings!$B$13)))</f>
        <v/>
      </c>
      <c r="L1263" s="20">
        <f>IF(AND(ISNUMBER(D1263),ISNUMBER(H1263)),D1263-H1263,NA())</f>
        <v/>
      </c>
      <c r="M1263" s="20">
        <f>IF(AND(ISNUMBER(E1263),ISNUMBER(K1263)),E1263-K1263,NA())</f>
        <v/>
      </c>
      <c r="N1263" s="20">
        <f>IF(NOT(ISNUMBER($A1263)),NA(),IF(COUNT(OFFSET(G1263,1,0,Settings!$B$12,1))&lt;ROUNDUP(Settings!$B$12*Settings!$B$26,0),NA(),STDEV(OFFSET(G1263,1,0,Settings!$B$12,1))*SQRT(Settings!$B$13)))</f>
        <v/>
      </c>
      <c r="O1263" s="20">
        <f>IF(AND(ISNUMBER(E1263),ISNUMBER(N1263)),E1263-N1263,NA())</f>
        <v/>
      </c>
      <c r="P1263" s="19">
        <f>IF(NOT(ISNUMBER($A1263)),NA(),IF(OR($A1263&lt;MIN(KW_TP!$A$2:$A$2501),$A1263&gt;MAX(KW_TP!$A$2:$A$2501)),NA(),INDEX(KW_TP!$C$2:$C$2501,MATCH($A1263,KW_TP!$A$2:$A$2501,1))))</f>
        <v/>
      </c>
      <c r="Q1263" s="18">
        <f>IF(NOT(ISNUMBER($A1263)),NA(),IFERROR(1*INDEX(BBG_Data!$J$2:$J$4000,MATCH($A1263,BBG_Data!$I$2:$I$4000,0)),NA()))</f>
        <v/>
      </c>
      <c r="R1263" s="18">
        <f>IF(NOT(ISNUMBER($A1263)),NA(),IFERROR(1*INDEX(BBG_Data!$L$2:$L$4000,MATCH($A1263,BBG_Data!$K$2:$K$4000,0)),NA()))</f>
        <v/>
      </c>
      <c r="S1263" s="20">
        <f>IF(AND(ISNUMBER(B1263),ISNUMBER(Q1263),ISNUMBER(R1263)),(B1263-Q1263-R1263)*100,NA())</f>
        <v/>
      </c>
      <c r="T1263" s="20">
        <f>IF(AND(ISNUMBER(B1263),Settings!$B$17&gt;0),IF(ISNUMBER(INDEX($B:$B,Settings!$B$17)),(B1263-INDEX($B:$B,Settings!$B$17))*100,NA()),NA())</f>
        <v/>
      </c>
      <c r="U1263" s="20">
        <f>IF(AND(ISNUMBER(Q1263),Settings!$B$17&gt;0),IF(ISNUMBER(INDEX($Q:$Q,Settings!$B$17)),(Q1263-INDEX($Q:$Q,Settings!$B$17))*100,NA()),NA())</f>
        <v/>
      </c>
      <c r="V1263" s="20">
        <f>IF(AND(ISNUMBER(R1263),Settings!$B$17&gt;0),IF(ISNUMBER(INDEX($R:$R,Settings!$B$17)),(R1263-INDEX($R:$R,Settings!$B$17))*100,NA()),NA())</f>
        <v/>
      </c>
      <c r="W1263" s="20">
        <f>IF(AND(ISNUMBER(P1263),Settings!$B$17&gt;0),IF(ISNUMBER(INDEX($P:$P,Settings!$B$17)),P1263-INDEX($P:$P,Settings!$B$17),NA()),NA())</f>
        <v/>
      </c>
      <c r="X1263" s="19">
        <f>IF(NOT(ISNUMBER($A1263)),NA(),IF(OR($A1263&lt;MIN(DKW_10Y!$A$2:$A$2918),$A1263&gt;MAX(DKW_10Y!$A$2:$A$2918),Settings!$B$16&lt;MIN(DKW_10Y!$A$2:$A$2918)),NA(),(INDEX(DKW_10Y!$B$2:$B$2918,MATCH($A1263,DKW_10Y!$A$2:$A$2918,1))-INDEX(DKW_10Y!$B$2:$B$2918,MATCH(Settings!$B$16,DKW_10Y!$A$2:$A$2918,1)))*100))</f>
        <v/>
      </c>
      <c r="Y1263" s="19">
        <f>IF(NOT(ISNUMBER($A1263)),NA(),IF(OR($A1263&lt;MIN(DKW_10Y!$A$2:$A$2918),$A1263&gt;MAX(DKW_10Y!$A$2:$A$2918),Settings!$B$16&lt;MIN(DKW_10Y!$A$2:$A$2918)),NA(),(INDEX(DKW_10Y!$C$2:$C$2918,MATCH($A1263,DKW_10Y!$A$2:$A$2918,1))-INDEX(DKW_10Y!$C$2:$C$2918,MATCH(Settings!$B$16,DKW_10Y!$A$2:$A$2918,1)))*100))</f>
        <v/>
      </c>
      <c r="Z1263" s="19">
        <f>IF(NOT(ISNUMBER($A1263)),NA(),IF(OR($A1263&lt;MIN(DKW_10Y!$A$2:$A$2918),$A1263&gt;MAX(DKW_10Y!$A$2:$A$2918),Settings!$B$16&lt;MIN(DKW_10Y!$A$2:$A$2918)),NA(),(INDEX(DKW_10Y!$D$2:$D$2918,MATCH($A1263,DKW_10Y!$A$2:$A$2918,1))-INDEX(DKW_10Y!$D$2:$D$2918,MATCH(Settings!$B$16,DKW_10Y!$A$2:$A$2918,1)))*100))</f>
        <v/>
      </c>
      <c r="AA1263" s="19">
        <f>IF(NOT(ISNUMBER($A1263)),NA(),IF(OR($A1263&lt;MIN(DKW_10Y!$A$2:$A$2918),$A1263&gt;MAX(DKW_10Y!$A$2:$A$2918),Settings!$B$16&lt;MIN(DKW_10Y!$A$2:$A$2918)),NA(),(INDEX(DKW_10Y!$E$2:$E$2918,MATCH($A1263,DKW_10Y!$A$2:$A$2918,1))-INDEX(DKW_10Y!$E$2:$E$2918,MATCH(Settings!$B$16,DKW_10Y!$A$2:$A$2918,1)))*100))</f>
        <v/>
      </c>
      <c r="AB1263" s="19">
        <f>IF(NOT(ISNUMBER($A1263)),NA(),IF(OR($A1263&lt;MIN(DKW_10Y!$A$2:$A$2918),$A1263&gt;MAX(DKW_10Y!$A$2:$A$2918),Settings!$B$16&lt;MIN(DKW_10Y!$A$2:$A$2918)),NA(),(INDEX(DKW_10Y!$H$2:$H$2918,MATCH($A1263,DKW_10Y!$A$2:$A$2918,1))-INDEX(DKW_10Y!$H$2:$H$2918,MATCH(Settings!$B$16,DKW_10Y!$A$2:$A$2918,1)))*100))</f>
        <v/>
      </c>
      <c r="AC1263" s="18">
        <f>IF(NOT(ISNUMBER($A1263)),NA(),IFERROR(1*INDEX(BBG_Data!$N$2:$N$4000,MATCH($A1263,BBG_Data!$M$2:$M$4000,0)),NA()))</f>
        <v/>
      </c>
      <c r="AD1263" s="18">
        <f>IF(NOT(ISNUMBER($A1263)),NA(),IFERROR(1*INDEX(BBG_Data!$P$2:$P$4000,MATCH($A1263,BBG_Data!$O$2:$O$4000,0)),NA()))</f>
        <v/>
      </c>
      <c r="AE1263" s="18">
        <f>IF(NOT(ISNUMBER($A1263)),NA(),IFERROR(1*INDEX(BBG_Data!$R$2:$R$4000,MATCH($A1263,BBG_Data!$Q$2:$Q$4000,0)),NA()))</f>
        <v/>
      </c>
      <c r="AF1263" s="20">
        <f>IF(AND(ISNUMBER(B1263),ISNUMBER(AC1263)),(B1263-AC1263)*100,NA())</f>
        <v/>
      </c>
      <c r="AG1263" s="20">
        <f>IF(AND(ISNUMBER(AE1263),ISNUMBER(AD1263)),(AE1263-AD1263)*100,NA())</f>
        <v/>
      </c>
      <c r="AH1263" s="19">
        <f>IF(NOT(ISNUMBER($A1263)),NA(),IFERROR(INDEX(BBG_Data!$T$2:$T$4000,MATCH($A1263,BBG_Data!$S$2:$S$4000,0))*Settings!$B$25,NA()))</f>
        <v/>
      </c>
      <c r="AI1263" s="19">
        <f>IF(NOT(ISNUMBER($A1263)),NA(),IFERROR(INDEX(BBG_Data!$V$2:$V$4000,MATCH($A1263,BBG_Data!$U$2:$U$4000,0))*Settings!$B$25,NA()))</f>
        <v/>
      </c>
      <c r="AJ1263" s="19">
        <f>IF(NOT(ISNUMBER($A1263)),NA(),IFERROR(1*INDEX(BBG_Data!$X$2:$X$4000,MATCH($A1263,BBG_Data!$W$2:$W$4000,0)),NA()))</f>
        <v/>
      </c>
      <c r="AK1263" s="19">
        <f>IF(NOT(ISNUMBER($A1263)),NA(),IFERROR(1*INDEX(BBG_Data!$Z$2:$Z$4000,MATCH($A1263,BBG_Data!$Y$2:$Y$4000,0)),NA()))</f>
        <v/>
      </c>
    </row>
    <row r="1264">
      <c r="A1264" s="17">
        <f>IF(ISNUMBER(BBG_Data!A1264),BBG_Data!A1264,"")</f>
        <v/>
      </c>
      <c r="B1264" s="18">
        <f>IF(AND(ISNUMBER($A1264),ISNUMBER(BBG_Data!B1264)),BBG_Data!B1264,NA())</f>
        <v/>
      </c>
      <c r="C1264" s="18">
        <f>IF(NOT(ISNUMBER($A1264)),NA(),IFERROR(1*INDEX(BBG_Data!$D$2:$D$4000,MATCH($A1264,BBG_Data!$C$2:$C$4000,0)),NA()))</f>
        <v/>
      </c>
      <c r="D1264" s="19">
        <f>IF(NOT(ISNUMBER($A1264)),NA(),IFERROR(1*INDEX(BBG_Data!$F$2:$F$4000,MATCH($A1264,BBG_Data!$E$2:$E$4000,0)),NA()))</f>
        <v/>
      </c>
      <c r="E1264" s="19">
        <f>IF(NOT(ISNUMBER($A1264)),NA(),IFERROR(1*INDEX(BBG_Data!$H$2:$H$4000,MATCH($A1264,BBG_Data!$G$2:$G$4000,0)),NA()))</f>
        <v/>
      </c>
      <c r="F1264" s="20">
        <f>IF(AND(ISNUMBER(B1264),ISNUMBER(B1263)),IF(B1264=B1263,"",(B1264-B1263)*100),"")</f>
        <v/>
      </c>
      <c r="G1264" s="20">
        <f>IF(AND(ISNUMBER(C1264),ISNUMBER(C1263)),IF(C1264=C1263,"",(C1264-C1263)*100),"")</f>
        <v/>
      </c>
      <c r="H1264" s="20">
        <f>IF(OR(NOT(ISNUMBER($A1264)),ROW()-2&lt;Settings!$B$11),NA(),IF(COUNT(OFFSET(F1264,1-Settings!$B$11,0,Settings!$B$11,1))&lt;ROUNDUP(Settings!$B$11*Settings!$B$26,0),NA(),STDEV(OFFSET(F1264,1-Settings!$B$11,0,Settings!$B$11,1))*SQRT(Settings!$B$13)))</f>
        <v/>
      </c>
      <c r="I1264" s="20">
        <f>IF(OR(NOT(ISNUMBER($A1264)),ROW()-2&lt;Settings!$B$12),NA(),IF(COUNT(OFFSET(F1264,1-Settings!$B$12,0,Settings!$B$12,1))&lt;ROUNDUP(Settings!$B$12*Settings!$B$26,0),NA(),STDEV(OFFSET(F1264,1-Settings!$B$12,0,Settings!$B$12,1))*SQRT(Settings!$B$13)))</f>
        <v/>
      </c>
      <c r="J1264" s="20">
        <f>IF(OR(NOT(ISNUMBER($A1264)),ROW()-2&lt;Settings!$B$11),NA(),IF(COUNT(OFFSET(G1264,1-Settings!$B$11,0,Settings!$B$11,1))&lt;ROUNDUP(Settings!$B$11*Settings!$B$26,0),NA(),STDEV(OFFSET(G1264,1-Settings!$B$11,0,Settings!$B$11,1))*SQRT(Settings!$B$13)))</f>
        <v/>
      </c>
      <c r="K1264" s="20">
        <f>IF(OR(NOT(ISNUMBER($A1264)),ROW()-2&lt;Settings!$B$12),NA(),IF(COUNT(OFFSET(G1264,1-Settings!$B$12,0,Settings!$B$12,1))&lt;ROUNDUP(Settings!$B$12*Settings!$B$26,0),NA(),STDEV(OFFSET(G1264,1-Settings!$B$12,0,Settings!$B$12,1))*SQRT(Settings!$B$13)))</f>
        <v/>
      </c>
      <c r="L1264" s="20">
        <f>IF(AND(ISNUMBER(D1264),ISNUMBER(H1264)),D1264-H1264,NA())</f>
        <v/>
      </c>
      <c r="M1264" s="20">
        <f>IF(AND(ISNUMBER(E1264),ISNUMBER(K1264)),E1264-K1264,NA())</f>
        <v/>
      </c>
      <c r="N1264" s="20">
        <f>IF(NOT(ISNUMBER($A1264)),NA(),IF(COUNT(OFFSET(G1264,1,0,Settings!$B$12,1))&lt;ROUNDUP(Settings!$B$12*Settings!$B$26,0),NA(),STDEV(OFFSET(G1264,1,0,Settings!$B$12,1))*SQRT(Settings!$B$13)))</f>
        <v/>
      </c>
      <c r="O1264" s="20">
        <f>IF(AND(ISNUMBER(E1264),ISNUMBER(N1264)),E1264-N1264,NA())</f>
        <v/>
      </c>
      <c r="P1264" s="19">
        <f>IF(NOT(ISNUMBER($A1264)),NA(),IF(OR($A1264&lt;MIN(KW_TP!$A$2:$A$2501),$A1264&gt;MAX(KW_TP!$A$2:$A$2501)),NA(),INDEX(KW_TP!$C$2:$C$2501,MATCH($A1264,KW_TP!$A$2:$A$2501,1))))</f>
        <v/>
      </c>
      <c r="Q1264" s="18">
        <f>IF(NOT(ISNUMBER($A1264)),NA(),IFERROR(1*INDEX(BBG_Data!$J$2:$J$4000,MATCH($A1264,BBG_Data!$I$2:$I$4000,0)),NA()))</f>
        <v/>
      </c>
      <c r="R1264" s="18">
        <f>IF(NOT(ISNUMBER($A1264)),NA(),IFERROR(1*INDEX(BBG_Data!$L$2:$L$4000,MATCH($A1264,BBG_Data!$K$2:$K$4000,0)),NA()))</f>
        <v/>
      </c>
      <c r="S1264" s="20">
        <f>IF(AND(ISNUMBER(B1264),ISNUMBER(Q1264),ISNUMBER(R1264)),(B1264-Q1264-R1264)*100,NA())</f>
        <v/>
      </c>
      <c r="T1264" s="20">
        <f>IF(AND(ISNUMBER(B1264),Settings!$B$17&gt;0),IF(ISNUMBER(INDEX($B:$B,Settings!$B$17)),(B1264-INDEX($B:$B,Settings!$B$17))*100,NA()),NA())</f>
        <v/>
      </c>
      <c r="U1264" s="20">
        <f>IF(AND(ISNUMBER(Q1264),Settings!$B$17&gt;0),IF(ISNUMBER(INDEX($Q:$Q,Settings!$B$17)),(Q1264-INDEX($Q:$Q,Settings!$B$17))*100,NA()),NA())</f>
        <v/>
      </c>
      <c r="V1264" s="20">
        <f>IF(AND(ISNUMBER(R1264),Settings!$B$17&gt;0),IF(ISNUMBER(INDEX($R:$R,Settings!$B$17)),(R1264-INDEX($R:$R,Settings!$B$17))*100,NA()),NA())</f>
        <v/>
      </c>
      <c r="W1264" s="20">
        <f>IF(AND(ISNUMBER(P1264),Settings!$B$17&gt;0),IF(ISNUMBER(INDEX($P:$P,Settings!$B$17)),P1264-INDEX($P:$P,Settings!$B$17),NA()),NA())</f>
        <v/>
      </c>
      <c r="X1264" s="19">
        <f>IF(NOT(ISNUMBER($A1264)),NA(),IF(OR($A1264&lt;MIN(DKW_10Y!$A$2:$A$2918),$A1264&gt;MAX(DKW_10Y!$A$2:$A$2918),Settings!$B$16&lt;MIN(DKW_10Y!$A$2:$A$2918)),NA(),(INDEX(DKW_10Y!$B$2:$B$2918,MATCH($A1264,DKW_10Y!$A$2:$A$2918,1))-INDEX(DKW_10Y!$B$2:$B$2918,MATCH(Settings!$B$16,DKW_10Y!$A$2:$A$2918,1)))*100))</f>
        <v/>
      </c>
      <c r="Y1264" s="19">
        <f>IF(NOT(ISNUMBER($A1264)),NA(),IF(OR($A1264&lt;MIN(DKW_10Y!$A$2:$A$2918),$A1264&gt;MAX(DKW_10Y!$A$2:$A$2918),Settings!$B$16&lt;MIN(DKW_10Y!$A$2:$A$2918)),NA(),(INDEX(DKW_10Y!$C$2:$C$2918,MATCH($A1264,DKW_10Y!$A$2:$A$2918,1))-INDEX(DKW_10Y!$C$2:$C$2918,MATCH(Settings!$B$16,DKW_10Y!$A$2:$A$2918,1)))*100))</f>
        <v/>
      </c>
      <c r="Z1264" s="19">
        <f>IF(NOT(ISNUMBER($A1264)),NA(),IF(OR($A1264&lt;MIN(DKW_10Y!$A$2:$A$2918),$A1264&gt;MAX(DKW_10Y!$A$2:$A$2918),Settings!$B$16&lt;MIN(DKW_10Y!$A$2:$A$2918)),NA(),(INDEX(DKW_10Y!$D$2:$D$2918,MATCH($A1264,DKW_10Y!$A$2:$A$2918,1))-INDEX(DKW_10Y!$D$2:$D$2918,MATCH(Settings!$B$16,DKW_10Y!$A$2:$A$2918,1)))*100))</f>
        <v/>
      </c>
      <c r="AA1264" s="19">
        <f>IF(NOT(ISNUMBER($A1264)),NA(),IF(OR($A1264&lt;MIN(DKW_10Y!$A$2:$A$2918),$A1264&gt;MAX(DKW_10Y!$A$2:$A$2918),Settings!$B$16&lt;MIN(DKW_10Y!$A$2:$A$2918)),NA(),(INDEX(DKW_10Y!$E$2:$E$2918,MATCH($A1264,DKW_10Y!$A$2:$A$2918,1))-INDEX(DKW_10Y!$E$2:$E$2918,MATCH(Settings!$B$16,DKW_10Y!$A$2:$A$2918,1)))*100))</f>
        <v/>
      </c>
      <c r="AB1264" s="19">
        <f>IF(NOT(ISNUMBER($A1264)),NA(),IF(OR($A1264&lt;MIN(DKW_10Y!$A$2:$A$2918),$A1264&gt;MAX(DKW_10Y!$A$2:$A$2918),Settings!$B$16&lt;MIN(DKW_10Y!$A$2:$A$2918)),NA(),(INDEX(DKW_10Y!$H$2:$H$2918,MATCH($A1264,DKW_10Y!$A$2:$A$2918,1))-INDEX(DKW_10Y!$H$2:$H$2918,MATCH(Settings!$B$16,DKW_10Y!$A$2:$A$2918,1)))*100))</f>
        <v/>
      </c>
      <c r="AC1264" s="18">
        <f>IF(NOT(ISNUMBER($A1264)),NA(),IFERROR(1*INDEX(BBG_Data!$N$2:$N$4000,MATCH($A1264,BBG_Data!$M$2:$M$4000,0)),NA()))</f>
        <v/>
      </c>
      <c r="AD1264" s="18">
        <f>IF(NOT(ISNUMBER($A1264)),NA(),IFERROR(1*INDEX(BBG_Data!$P$2:$P$4000,MATCH($A1264,BBG_Data!$O$2:$O$4000,0)),NA()))</f>
        <v/>
      </c>
      <c r="AE1264" s="18">
        <f>IF(NOT(ISNUMBER($A1264)),NA(),IFERROR(1*INDEX(BBG_Data!$R$2:$R$4000,MATCH($A1264,BBG_Data!$Q$2:$Q$4000,0)),NA()))</f>
        <v/>
      </c>
      <c r="AF1264" s="20">
        <f>IF(AND(ISNUMBER(B1264),ISNUMBER(AC1264)),(B1264-AC1264)*100,NA())</f>
        <v/>
      </c>
      <c r="AG1264" s="20">
        <f>IF(AND(ISNUMBER(AE1264),ISNUMBER(AD1264)),(AE1264-AD1264)*100,NA())</f>
        <v/>
      </c>
      <c r="AH1264" s="19">
        <f>IF(NOT(ISNUMBER($A1264)),NA(),IFERROR(INDEX(BBG_Data!$T$2:$T$4000,MATCH($A1264,BBG_Data!$S$2:$S$4000,0))*Settings!$B$25,NA()))</f>
        <v/>
      </c>
      <c r="AI1264" s="19">
        <f>IF(NOT(ISNUMBER($A1264)),NA(),IFERROR(INDEX(BBG_Data!$V$2:$V$4000,MATCH($A1264,BBG_Data!$U$2:$U$4000,0))*Settings!$B$25,NA()))</f>
        <v/>
      </c>
      <c r="AJ1264" s="19">
        <f>IF(NOT(ISNUMBER($A1264)),NA(),IFERROR(1*INDEX(BBG_Data!$X$2:$X$4000,MATCH($A1264,BBG_Data!$W$2:$W$4000,0)),NA()))</f>
        <v/>
      </c>
      <c r="AK1264" s="19">
        <f>IF(NOT(ISNUMBER($A1264)),NA(),IFERROR(1*INDEX(BBG_Data!$Z$2:$Z$4000,MATCH($A1264,BBG_Data!$Y$2:$Y$4000,0)),NA()))</f>
        <v/>
      </c>
    </row>
    <row r="1265">
      <c r="A1265" s="17">
        <f>IF(ISNUMBER(BBG_Data!A1265),BBG_Data!A1265,"")</f>
        <v/>
      </c>
      <c r="B1265" s="18">
        <f>IF(AND(ISNUMBER($A1265),ISNUMBER(BBG_Data!B1265)),BBG_Data!B1265,NA())</f>
        <v/>
      </c>
      <c r="C1265" s="18">
        <f>IF(NOT(ISNUMBER($A1265)),NA(),IFERROR(1*INDEX(BBG_Data!$D$2:$D$4000,MATCH($A1265,BBG_Data!$C$2:$C$4000,0)),NA()))</f>
        <v/>
      </c>
      <c r="D1265" s="19">
        <f>IF(NOT(ISNUMBER($A1265)),NA(),IFERROR(1*INDEX(BBG_Data!$F$2:$F$4000,MATCH($A1265,BBG_Data!$E$2:$E$4000,0)),NA()))</f>
        <v/>
      </c>
      <c r="E1265" s="19">
        <f>IF(NOT(ISNUMBER($A1265)),NA(),IFERROR(1*INDEX(BBG_Data!$H$2:$H$4000,MATCH($A1265,BBG_Data!$G$2:$G$4000,0)),NA()))</f>
        <v/>
      </c>
      <c r="F1265" s="20">
        <f>IF(AND(ISNUMBER(B1265),ISNUMBER(B1264)),IF(B1265=B1264,"",(B1265-B1264)*100),"")</f>
        <v/>
      </c>
      <c r="G1265" s="20">
        <f>IF(AND(ISNUMBER(C1265),ISNUMBER(C1264)),IF(C1265=C1264,"",(C1265-C1264)*100),"")</f>
        <v/>
      </c>
      <c r="H1265" s="20">
        <f>IF(OR(NOT(ISNUMBER($A1265)),ROW()-2&lt;Settings!$B$11),NA(),IF(COUNT(OFFSET(F1265,1-Settings!$B$11,0,Settings!$B$11,1))&lt;ROUNDUP(Settings!$B$11*Settings!$B$26,0),NA(),STDEV(OFFSET(F1265,1-Settings!$B$11,0,Settings!$B$11,1))*SQRT(Settings!$B$13)))</f>
        <v/>
      </c>
      <c r="I1265" s="20">
        <f>IF(OR(NOT(ISNUMBER($A1265)),ROW()-2&lt;Settings!$B$12),NA(),IF(COUNT(OFFSET(F1265,1-Settings!$B$12,0,Settings!$B$12,1))&lt;ROUNDUP(Settings!$B$12*Settings!$B$26,0),NA(),STDEV(OFFSET(F1265,1-Settings!$B$12,0,Settings!$B$12,1))*SQRT(Settings!$B$13)))</f>
        <v/>
      </c>
      <c r="J1265" s="20">
        <f>IF(OR(NOT(ISNUMBER($A1265)),ROW()-2&lt;Settings!$B$11),NA(),IF(COUNT(OFFSET(G1265,1-Settings!$B$11,0,Settings!$B$11,1))&lt;ROUNDUP(Settings!$B$11*Settings!$B$26,0),NA(),STDEV(OFFSET(G1265,1-Settings!$B$11,0,Settings!$B$11,1))*SQRT(Settings!$B$13)))</f>
        <v/>
      </c>
      <c r="K1265" s="20">
        <f>IF(OR(NOT(ISNUMBER($A1265)),ROW()-2&lt;Settings!$B$12),NA(),IF(COUNT(OFFSET(G1265,1-Settings!$B$12,0,Settings!$B$12,1))&lt;ROUNDUP(Settings!$B$12*Settings!$B$26,0),NA(),STDEV(OFFSET(G1265,1-Settings!$B$12,0,Settings!$B$12,1))*SQRT(Settings!$B$13)))</f>
        <v/>
      </c>
      <c r="L1265" s="20">
        <f>IF(AND(ISNUMBER(D1265),ISNUMBER(H1265)),D1265-H1265,NA())</f>
        <v/>
      </c>
      <c r="M1265" s="20">
        <f>IF(AND(ISNUMBER(E1265),ISNUMBER(K1265)),E1265-K1265,NA())</f>
        <v/>
      </c>
      <c r="N1265" s="20">
        <f>IF(NOT(ISNUMBER($A1265)),NA(),IF(COUNT(OFFSET(G1265,1,0,Settings!$B$12,1))&lt;ROUNDUP(Settings!$B$12*Settings!$B$26,0),NA(),STDEV(OFFSET(G1265,1,0,Settings!$B$12,1))*SQRT(Settings!$B$13)))</f>
        <v/>
      </c>
      <c r="O1265" s="20">
        <f>IF(AND(ISNUMBER(E1265),ISNUMBER(N1265)),E1265-N1265,NA())</f>
        <v/>
      </c>
      <c r="P1265" s="19">
        <f>IF(NOT(ISNUMBER($A1265)),NA(),IF(OR($A1265&lt;MIN(KW_TP!$A$2:$A$2501),$A1265&gt;MAX(KW_TP!$A$2:$A$2501)),NA(),INDEX(KW_TP!$C$2:$C$2501,MATCH($A1265,KW_TP!$A$2:$A$2501,1))))</f>
        <v/>
      </c>
      <c r="Q1265" s="18">
        <f>IF(NOT(ISNUMBER($A1265)),NA(),IFERROR(1*INDEX(BBG_Data!$J$2:$J$4000,MATCH($A1265,BBG_Data!$I$2:$I$4000,0)),NA()))</f>
        <v/>
      </c>
      <c r="R1265" s="18">
        <f>IF(NOT(ISNUMBER($A1265)),NA(),IFERROR(1*INDEX(BBG_Data!$L$2:$L$4000,MATCH($A1265,BBG_Data!$K$2:$K$4000,0)),NA()))</f>
        <v/>
      </c>
      <c r="S1265" s="20">
        <f>IF(AND(ISNUMBER(B1265),ISNUMBER(Q1265),ISNUMBER(R1265)),(B1265-Q1265-R1265)*100,NA())</f>
        <v/>
      </c>
      <c r="T1265" s="20">
        <f>IF(AND(ISNUMBER(B1265),Settings!$B$17&gt;0),IF(ISNUMBER(INDEX($B:$B,Settings!$B$17)),(B1265-INDEX($B:$B,Settings!$B$17))*100,NA()),NA())</f>
        <v/>
      </c>
      <c r="U1265" s="20">
        <f>IF(AND(ISNUMBER(Q1265),Settings!$B$17&gt;0),IF(ISNUMBER(INDEX($Q:$Q,Settings!$B$17)),(Q1265-INDEX($Q:$Q,Settings!$B$17))*100,NA()),NA())</f>
        <v/>
      </c>
      <c r="V1265" s="20">
        <f>IF(AND(ISNUMBER(R1265),Settings!$B$17&gt;0),IF(ISNUMBER(INDEX($R:$R,Settings!$B$17)),(R1265-INDEX($R:$R,Settings!$B$17))*100,NA()),NA())</f>
        <v/>
      </c>
      <c r="W1265" s="20">
        <f>IF(AND(ISNUMBER(P1265),Settings!$B$17&gt;0),IF(ISNUMBER(INDEX($P:$P,Settings!$B$17)),P1265-INDEX($P:$P,Settings!$B$17),NA()),NA())</f>
        <v/>
      </c>
      <c r="X1265" s="19">
        <f>IF(NOT(ISNUMBER($A1265)),NA(),IF(OR($A1265&lt;MIN(DKW_10Y!$A$2:$A$2918),$A1265&gt;MAX(DKW_10Y!$A$2:$A$2918),Settings!$B$16&lt;MIN(DKW_10Y!$A$2:$A$2918)),NA(),(INDEX(DKW_10Y!$B$2:$B$2918,MATCH($A1265,DKW_10Y!$A$2:$A$2918,1))-INDEX(DKW_10Y!$B$2:$B$2918,MATCH(Settings!$B$16,DKW_10Y!$A$2:$A$2918,1)))*100))</f>
        <v/>
      </c>
      <c r="Y1265" s="19">
        <f>IF(NOT(ISNUMBER($A1265)),NA(),IF(OR($A1265&lt;MIN(DKW_10Y!$A$2:$A$2918),$A1265&gt;MAX(DKW_10Y!$A$2:$A$2918),Settings!$B$16&lt;MIN(DKW_10Y!$A$2:$A$2918)),NA(),(INDEX(DKW_10Y!$C$2:$C$2918,MATCH($A1265,DKW_10Y!$A$2:$A$2918,1))-INDEX(DKW_10Y!$C$2:$C$2918,MATCH(Settings!$B$16,DKW_10Y!$A$2:$A$2918,1)))*100))</f>
        <v/>
      </c>
      <c r="Z1265" s="19">
        <f>IF(NOT(ISNUMBER($A1265)),NA(),IF(OR($A1265&lt;MIN(DKW_10Y!$A$2:$A$2918),$A1265&gt;MAX(DKW_10Y!$A$2:$A$2918),Settings!$B$16&lt;MIN(DKW_10Y!$A$2:$A$2918)),NA(),(INDEX(DKW_10Y!$D$2:$D$2918,MATCH($A1265,DKW_10Y!$A$2:$A$2918,1))-INDEX(DKW_10Y!$D$2:$D$2918,MATCH(Settings!$B$16,DKW_10Y!$A$2:$A$2918,1)))*100))</f>
        <v/>
      </c>
      <c r="AA1265" s="19">
        <f>IF(NOT(ISNUMBER($A1265)),NA(),IF(OR($A1265&lt;MIN(DKW_10Y!$A$2:$A$2918),$A1265&gt;MAX(DKW_10Y!$A$2:$A$2918),Settings!$B$16&lt;MIN(DKW_10Y!$A$2:$A$2918)),NA(),(INDEX(DKW_10Y!$E$2:$E$2918,MATCH($A1265,DKW_10Y!$A$2:$A$2918,1))-INDEX(DKW_10Y!$E$2:$E$2918,MATCH(Settings!$B$16,DKW_10Y!$A$2:$A$2918,1)))*100))</f>
        <v/>
      </c>
      <c r="AB1265" s="19">
        <f>IF(NOT(ISNUMBER($A1265)),NA(),IF(OR($A1265&lt;MIN(DKW_10Y!$A$2:$A$2918),$A1265&gt;MAX(DKW_10Y!$A$2:$A$2918),Settings!$B$16&lt;MIN(DKW_10Y!$A$2:$A$2918)),NA(),(INDEX(DKW_10Y!$H$2:$H$2918,MATCH($A1265,DKW_10Y!$A$2:$A$2918,1))-INDEX(DKW_10Y!$H$2:$H$2918,MATCH(Settings!$B$16,DKW_10Y!$A$2:$A$2918,1)))*100))</f>
        <v/>
      </c>
      <c r="AC1265" s="18">
        <f>IF(NOT(ISNUMBER($A1265)),NA(),IFERROR(1*INDEX(BBG_Data!$N$2:$N$4000,MATCH($A1265,BBG_Data!$M$2:$M$4000,0)),NA()))</f>
        <v/>
      </c>
      <c r="AD1265" s="18">
        <f>IF(NOT(ISNUMBER($A1265)),NA(),IFERROR(1*INDEX(BBG_Data!$P$2:$P$4000,MATCH($A1265,BBG_Data!$O$2:$O$4000,0)),NA()))</f>
        <v/>
      </c>
      <c r="AE1265" s="18">
        <f>IF(NOT(ISNUMBER($A1265)),NA(),IFERROR(1*INDEX(BBG_Data!$R$2:$R$4000,MATCH($A1265,BBG_Data!$Q$2:$Q$4000,0)),NA()))</f>
        <v/>
      </c>
      <c r="AF1265" s="20">
        <f>IF(AND(ISNUMBER(B1265),ISNUMBER(AC1265)),(B1265-AC1265)*100,NA())</f>
        <v/>
      </c>
      <c r="AG1265" s="20">
        <f>IF(AND(ISNUMBER(AE1265),ISNUMBER(AD1265)),(AE1265-AD1265)*100,NA())</f>
        <v/>
      </c>
      <c r="AH1265" s="19">
        <f>IF(NOT(ISNUMBER($A1265)),NA(),IFERROR(INDEX(BBG_Data!$T$2:$T$4000,MATCH($A1265,BBG_Data!$S$2:$S$4000,0))*Settings!$B$25,NA()))</f>
        <v/>
      </c>
      <c r="AI1265" s="19">
        <f>IF(NOT(ISNUMBER($A1265)),NA(),IFERROR(INDEX(BBG_Data!$V$2:$V$4000,MATCH($A1265,BBG_Data!$U$2:$U$4000,0))*Settings!$B$25,NA()))</f>
        <v/>
      </c>
      <c r="AJ1265" s="19">
        <f>IF(NOT(ISNUMBER($A1265)),NA(),IFERROR(1*INDEX(BBG_Data!$X$2:$X$4000,MATCH($A1265,BBG_Data!$W$2:$W$4000,0)),NA()))</f>
        <v/>
      </c>
      <c r="AK1265" s="19">
        <f>IF(NOT(ISNUMBER($A1265)),NA(),IFERROR(1*INDEX(BBG_Data!$Z$2:$Z$4000,MATCH($A1265,BBG_Data!$Y$2:$Y$4000,0)),NA()))</f>
        <v/>
      </c>
    </row>
    <row r="1266">
      <c r="A1266" s="17">
        <f>IF(ISNUMBER(BBG_Data!A1266),BBG_Data!A1266,"")</f>
        <v/>
      </c>
      <c r="B1266" s="18">
        <f>IF(AND(ISNUMBER($A1266),ISNUMBER(BBG_Data!B1266)),BBG_Data!B1266,NA())</f>
        <v/>
      </c>
      <c r="C1266" s="18">
        <f>IF(NOT(ISNUMBER($A1266)),NA(),IFERROR(1*INDEX(BBG_Data!$D$2:$D$4000,MATCH($A1266,BBG_Data!$C$2:$C$4000,0)),NA()))</f>
        <v/>
      </c>
      <c r="D1266" s="19">
        <f>IF(NOT(ISNUMBER($A1266)),NA(),IFERROR(1*INDEX(BBG_Data!$F$2:$F$4000,MATCH($A1266,BBG_Data!$E$2:$E$4000,0)),NA()))</f>
        <v/>
      </c>
      <c r="E1266" s="19">
        <f>IF(NOT(ISNUMBER($A1266)),NA(),IFERROR(1*INDEX(BBG_Data!$H$2:$H$4000,MATCH($A1266,BBG_Data!$G$2:$G$4000,0)),NA()))</f>
        <v/>
      </c>
      <c r="F1266" s="20">
        <f>IF(AND(ISNUMBER(B1266),ISNUMBER(B1265)),IF(B1266=B1265,"",(B1266-B1265)*100),"")</f>
        <v/>
      </c>
      <c r="G1266" s="20">
        <f>IF(AND(ISNUMBER(C1266),ISNUMBER(C1265)),IF(C1266=C1265,"",(C1266-C1265)*100),"")</f>
        <v/>
      </c>
      <c r="H1266" s="20">
        <f>IF(OR(NOT(ISNUMBER($A1266)),ROW()-2&lt;Settings!$B$11),NA(),IF(COUNT(OFFSET(F1266,1-Settings!$B$11,0,Settings!$B$11,1))&lt;ROUNDUP(Settings!$B$11*Settings!$B$26,0),NA(),STDEV(OFFSET(F1266,1-Settings!$B$11,0,Settings!$B$11,1))*SQRT(Settings!$B$13)))</f>
        <v/>
      </c>
      <c r="I1266" s="20">
        <f>IF(OR(NOT(ISNUMBER($A1266)),ROW()-2&lt;Settings!$B$12),NA(),IF(COUNT(OFFSET(F1266,1-Settings!$B$12,0,Settings!$B$12,1))&lt;ROUNDUP(Settings!$B$12*Settings!$B$26,0),NA(),STDEV(OFFSET(F1266,1-Settings!$B$12,0,Settings!$B$12,1))*SQRT(Settings!$B$13)))</f>
        <v/>
      </c>
      <c r="J1266" s="20">
        <f>IF(OR(NOT(ISNUMBER($A1266)),ROW()-2&lt;Settings!$B$11),NA(),IF(COUNT(OFFSET(G1266,1-Settings!$B$11,0,Settings!$B$11,1))&lt;ROUNDUP(Settings!$B$11*Settings!$B$26,0),NA(),STDEV(OFFSET(G1266,1-Settings!$B$11,0,Settings!$B$11,1))*SQRT(Settings!$B$13)))</f>
        <v/>
      </c>
      <c r="K1266" s="20">
        <f>IF(OR(NOT(ISNUMBER($A1266)),ROW()-2&lt;Settings!$B$12),NA(),IF(COUNT(OFFSET(G1266,1-Settings!$B$12,0,Settings!$B$12,1))&lt;ROUNDUP(Settings!$B$12*Settings!$B$26,0),NA(),STDEV(OFFSET(G1266,1-Settings!$B$12,0,Settings!$B$12,1))*SQRT(Settings!$B$13)))</f>
        <v/>
      </c>
      <c r="L1266" s="20">
        <f>IF(AND(ISNUMBER(D1266),ISNUMBER(H1266)),D1266-H1266,NA())</f>
        <v/>
      </c>
      <c r="M1266" s="20">
        <f>IF(AND(ISNUMBER(E1266),ISNUMBER(K1266)),E1266-K1266,NA())</f>
        <v/>
      </c>
      <c r="N1266" s="20">
        <f>IF(NOT(ISNUMBER($A1266)),NA(),IF(COUNT(OFFSET(G1266,1,0,Settings!$B$12,1))&lt;ROUNDUP(Settings!$B$12*Settings!$B$26,0),NA(),STDEV(OFFSET(G1266,1,0,Settings!$B$12,1))*SQRT(Settings!$B$13)))</f>
        <v/>
      </c>
      <c r="O1266" s="20">
        <f>IF(AND(ISNUMBER(E1266),ISNUMBER(N1266)),E1266-N1266,NA())</f>
        <v/>
      </c>
      <c r="P1266" s="19">
        <f>IF(NOT(ISNUMBER($A1266)),NA(),IF(OR($A1266&lt;MIN(KW_TP!$A$2:$A$2501),$A1266&gt;MAX(KW_TP!$A$2:$A$2501)),NA(),INDEX(KW_TP!$C$2:$C$2501,MATCH($A1266,KW_TP!$A$2:$A$2501,1))))</f>
        <v/>
      </c>
      <c r="Q1266" s="18">
        <f>IF(NOT(ISNUMBER($A1266)),NA(),IFERROR(1*INDEX(BBG_Data!$J$2:$J$4000,MATCH($A1266,BBG_Data!$I$2:$I$4000,0)),NA()))</f>
        <v/>
      </c>
      <c r="R1266" s="18">
        <f>IF(NOT(ISNUMBER($A1266)),NA(),IFERROR(1*INDEX(BBG_Data!$L$2:$L$4000,MATCH($A1266,BBG_Data!$K$2:$K$4000,0)),NA()))</f>
        <v/>
      </c>
      <c r="S1266" s="20">
        <f>IF(AND(ISNUMBER(B1266),ISNUMBER(Q1266),ISNUMBER(R1266)),(B1266-Q1266-R1266)*100,NA())</f>
        <v/>
      </c>
      <c r="T1266" s="20">
        <f>IF(AND(ISNUMBER(B1266),Settings!$B$17&gt;0),IF(ISNUMBER(INDEX($B:$B,Settings!$B$17)),(B1266-INDEX($B:$B,Settings!$B$17))*100,NA()),NA())</f>
        <v/>
      </c>
      <c r="U1266" s="20">
        <f>IF(AND(ISNUMBER(Q1266),Settings!$B$17&gt;0),IF(ISNUMBER(INDEX($Q:$Q,Settings!$B$17)),(Q1266-INDEX($Q:$Q,Settings!$B$17))*100,NA()),NA())</f>
        <v/>
      </c>
      <c r="V1266" s="20">
        <f>IF(AND(ISNUMBER(R1266),Settings!$B$17&gt;0),IF(ISNUMBER(INDEX($R:$R,Settings!$B$17)),(R1266-INDEX($R:$R,Settings!$B$17))*100,NA()),NA())</f>
        <v/>
      </c>
      <c r="W1266" s="20">
        <f>IF(AND(ISNUMBER(P1266),Settings!$B$17&gt;0),IF(ISNUMBER(INDEX($P:$P,Settings!$B$17)),P1266-INDEX($P:$P,Settings!$B$17),NA()),NA())</f>
        <v/>
      </c>
      <c r="X1266" s="19">
        <f>IF(NOT(ISNUMBER($A1266)),NA(),IF(OR($A1266&lt;MIN(DKW_10Y!$A$2:$A$2918),$A1266&gt;MAX(DKW_10Y!$A$2:$A$2918),Settings!$B$16&lt;MIN(DKW_10Y!$A$2:$A$2918)),NA(),(INDEX(DKW_10Y!$B$2:$B$2918,MATCH($A1266,DKW_10Y!$A$2:$A$2918,1))-INDEX(DKW_10Y!$B$2:$B$2918,MATCH(Settings!$B$16,DKW_10Y!$A$2:$A$2918,1)))*100))</f>
        <v/>
      </c>
      <c r="Y1266" s="19">
        <f>IF(NOT(ISNUMBER($A1266)),NA(),IF(OR($A1266&lt;MIN(DKW_10Y!$A$2:$A$2918),$A1266&gt;MAX(DKW_10Y!$A$2:$A$2918),Settings!$B$16&lt;MIN(DKW_10Y!$A$2:$A$2918)),NA(),(INDEX(DKW_10Y!$C$2:$C$2918,MATCH($A1266,DKW_10Y!$A$2:$A$2918,1))-INDEX(DKW_10Y!$C$2:$C$2918,MATCH(Settings!$B$16,DKW_10Y!$A$2:$A$2918,1)))*100))</f>
        <v/>
      </c>
      <c r="Z1266" s="19">
        <f>IF(NOT(ISNUMBER($A1266)),NA(),IF(OR($A1266&lt;MIN(DKW_10Y!$A$2:$A$2918),$A1266&gt;MAX(DKW_10Y!$A$2:$A$2918),Settings!$B$16&lt;MIN(DKW_10Y!$A$2:$A$2918)),NA(),(INDEX(DKW_10Y!$D$2:$D$2918,MATCH($A1266,DKW_10Y!$A$2:$A$2918,1))-INDEX(DKW_10Y!$D$2:$D$2918,MATCH(Settings!$B$16,DKW_10Y!$A$2:$A$2918,1)))*100))</f>
        <v/>
      </c>
      <c r="AA1266" s="19">
        <f>IF(NOT(ISNUMBER($A1266)),NA(),IF(OR($A1266&lt;MIN(DKW_10Y!$A$2:$A$2918),$A1266&gt;MAX(DKW_10Y!$A$2:$A$2918),Settings!$B$16&lt;MIN(DKW_10Y!$A$2:$A$2918)),NA(),(INDEX(DKW_10Y!$E$2:$E$2918,MATCH($A1266,DKW_10Y!$A$2:$A$2918,1))-INDEX(DKW_10Y!$E$2:$E$2918,MATCH(Settings!$B$16,DKW_10Y!$A$2:$A$2918,1)))*100))</f>
        <v/>
      </c>
      <c r="AB1266" s="19">
        <f>IF(NOT(ISNUMBER($A1266)),NA(),IF(OR($A1266&lt;MIN(DKW_10Y!$A$2:$A$2918),$A1266&gt;MAX(DKW_10Y!$A$2:$A$2918),Settings!$B$16&lt;MIN(DKW_10Y!$A$2:$A$2918)),NA(),(INDEX(DKW_10Y!$H$2:$H$2918,MATCH($A1266,DKW_10Y!$A$2:$A$2918,1))-INDEX(DKW_10Y!$H$2:$H$2918,MATCH(Settings!$B$16,DKW_10Y!$A$2:$A$2918,1)))*100))</f>
        <v/>
      </c>
      <c r="AC1266" s="18">
        <f>IF(NOT(ISNUMBER($A1266)),NA(),IFERROR(1*INDEX(BBG_Data!$N$2:$N$4000,MATCH($A1266,BBG_Data!$M$2:$M$4000,0)),NA()))</f>
        <v/>
      </c>
      <c r="AD1266" s="18">
        <f>IF(NOT(ISNUMBER($A1266)),NA(),IFERROR(1*INDEX(BBG_Data!$P$2:$P$4000,MATCH($A1266,BBG_Data!$O$2:$O$4000,0)),NA()))</f>
        <v/>
      </c>
      <c r="AE1266" s="18">
        <f>IF(NOT(ISNUMBER($A1266)),NA(),IFERROR(1*INDEX(BBG_Data!$R$2:$R$4000,MATCH($A1266,BBG_Data!$Q$2:$Q$4000,0)),NA()))</f>
        <v/>
      </c>
      <c r="AF1266" s="20">
        <f>IF(AND(ISNUMBER(B1266),ISNUMBER(AC1266)),(B1266-AC1266)*100,NA())</f>
        <v/>
      </c>
      <c r="AG1266" s="20">
        <f>IF(AND(ISNUMBER(AE1266),ISNUMBER(AD1266)),(AE1266-AD1266)*100,NA())</f>
        <v/>
      </c>
      <c r="AH1266" s="19">
        <f>IF(NOT(ISNUMBER($A1266)),NA(),IFERROR(INDEX(BBG_Data!$T$2:$T$4000,MATCH($A1266,BBG_Data!$S$2:$S$4000,0))*Settings!$B$25,NA()))</f>
        <v/>
      </c>
      <c r="AI1266" s="19">
        <f>IF(NOT(ISNUMBER($A1266)),NA(),IFERROR(INDEX(BBG_Data!$V$2:$V$4000,MATCH($A1266,BBG_Data!$U$2:$U$4000,0))*Settings!$B$25,NA()))</f>
        <v/>
      </c>
      <c r="AJ1266" s="19">
        <f>IF(NOT(ISNUMBER($A1266)),NA(),IFERROR(1*INDEX(BBG_Data!$X$2:$X$4000,MATCH($A1266,BBG_Data!$W$2:$W$4000,0)),NA()))</f>
        <v/>
      </c>
      <c r="AK1266" s="19">
        <f>IF(NOT(ISNUMBER($A1266)),NA(),IFERROR(1*INDEX(BBG_Data!$Z$2:$Z$4000,MATCH($A1266,BBG_Data!$Y$2:$Y$4000,0)),NA()))</f>
        <v/>
      </c>
    </row>
    <row r="1267">
      <c r="A1267" s="17">
        <f>IF(ISNUMBER(BBG_Data!A1267),BBG_Data!A1267,"")</f>
        <v/>
      </c>
      <c r="B1267" s="18">
        <f>IF(AND(ISNUMBER($A1267),ISNUMBER(BBG_Data!B1267)),BBG_Data!B1267,NA())</f>
        <v/>
      </c>
      <c r="C1267" s="18">
        <f>IF(NOT(ISNUMBER($A1267)),NA(),IFERROR(1*INDEX(BBG_Data!$D$2:$D$4000,MATCH($A1267,BBG_Data!$C$2:$C$4000,0)),NA()))</f>
        <v/>
      </c>
      <c r="D1267" s="19">
        <f>IF(NOT(ISNUMBER($A1267)),NA(),IFERROR(1*INDEX(BBG_Data!$F$2:$F$4000,MATCH($A1267,BBG_Data!$E$2:$E$4000,0)),NA()))</f>
        <v/>
      </c>
      <c r="E1267" s="19">
        <f>IF(NOT(ISNUMBER($A1267)),NA(),IFERROR(1*INDEX(BBG_Data!$H$2:$H$4000,MATCH($A1267,BBG_Data!$G$2:$G$4000,0)),NA()))</f>
        <v/>
      </c>
      <c r="F1267" s="20">
        <f>IF(AND(ISNUMBER(B1267),ISNUMBER(B1266)),IF(B1267=B1266,"",(B1267-B1266)*100),"")</f>
        <v/>
      </c>
      <c r="G1267" s="20">
        <f>IF(AND(ISNUMBER(C1267),ISNUMBER(C1266)),IF(C1267=C1266,"",(C1267-C1266)*100),"")</f>
        <v/>
      </c>
      <c r="H1267" s="20">
        <f>IF(OR(NOT(ISNUMBER($A1267)),ROW()-2&lt;Settings!$B$11),NA(),IF(COUNT(OFFSET(F1267,1-Settings!$B$11,0,Settings!$B$11,1))&lt;ROUNDUP(Settings!$B$11*Settings!$B$26,0),NA(),STDEV(OFFSET(F1267,1-Settings!$B$11,0,Settings!$B$11,1))*SQRT(Settings!$B$13)))</f>
        <v/>
      </c>
      <c r="I1267" s="20">
        <f>IF(OR(NOT(ISNUMBER($A1267)),ROW()-2&lt;Settings!$B$12),NA(),IF(COUNT(OFFSET(F1267,1-Settings!$B$12,0,Settings!$B$12,1))&lt;ROUNDUP(Settings!$B$12*Settings!$B$26,0),NA(),STDEV(OFFSET(F1267,1-Settings!$B$12,0,Settings!$B$12,1))*SQRT(Settings!$B$13)))</f>
        <v/>
      </c>
      <c r="J1267" s="20">
        <f>IF(OR(NOT(ISNUMBER($A1267)),ROW()-2&lt;Settings!$B$11),NA(),IF(COUNT(OFFSET(G1267,1-Settings!$B$11,0,Settings!$B$11,1))&lt;ROUNDUP(Settings!$B$11*Settings!$B$26,0),NA(),STDEV(OFFSET(G1267,1-Settings!$B$11,0,Settings!$B$11,1))*SQRT(Settings!$B$13)))</f>
        <v/>
      </c>
      <c r="K1267" s="20">
        <f>IF(OR(NOT(ISNUMBER($A1267)),ROW()-2&lt;Settings!$B$12),NA(),IF(COUNT(OFFSET(G1267,1-Settings!$B$12,0,Settings!$B$12,1))&lt;ROUNDUP(Settings!$B$12*Settings!$B$26,0),NA(),STDEV(OFFSET(G1267,1-Settings!$B$12,0,Settings!$B$12,1))*SQRT(Settings!$B$13)))</f>
        <v/>
      </c>
      <c r="L1267" s="20">
        <f>IF(AND(ISNUMBER(D1267),ISNUMBER(H1267)),D1267-H1267,NA())</f>
        <v/>
      </c>
      <c r="M1267" s="20">
        <f>IF(AND(ISNUMBER(E1267),ISNUMBER(K1267)),E1267-K1267,NA())</f>
        <v/>
      </c>
      <c r="N1267" s="20">
        <f>IF(NOT(ISNUMBER($A1267)),NA(),IF(COUNT(OFFSET(G1267,1,0,Settings!$B$12,1))&lt;ROUNDUP(Settings!$B$12*Settings!$B$26,0),NA(),STDEV(OFFSET(G1267,1,0,Settings!$B$12,1))*SQRT(Settings!$B$13)))</f>
        <v/>
      </c>
      <c r="O1267" s="20">
        <f>IF(AND(ISNUMBER(E1267),ISNUMBER(N1267)),E1267-N1267,NA())</f>
        <v/>
      </c>
      <c r="P1267" s="19">
        <f>IF(NOT(ISNUMBER($A1267)),NA(),IF(OR($A1267&lt;MIN(KW_TP!$A$2:$A$2501),$A1267&gt;MAX(KW_TP!$A$2:$A$2501)),NA(),INDEX(KW_TP!$C$2:$C$2501,MATCH($A1267,KW_TP!$A$2:$A$2501,1))))</f>
        <v/>
      </c>
      <c r="Q1267" s="18">
        <f>IF(NOT(ISNUMBER($A1267)),NA(),IFERROR(1*INDEX(BBG_Data!$J$2:$J$4000,MATCH($A1267,BBG_Data!$I$2:$I$4000,0)),NA()))</f>
        <v/>
      </c>
      <c r="R1267" s="18">
        <f>IF(NOT(ISNUMBER($A1267)),NA(),IFERROR(1*INDEX(BBG_Data!$L$2:$L$4000,MATCH($A1267,BBG_Data!$K$2:$K$4000,0)),NA()))</f>
        <v/>
      </c>
      <c r="S1267" s="20">
        <f>IF(AND(ISNUMBER(B1267),ISNUMBER(Q1267),ISNUMBER(R1267)),(B1267-Q1267-R1267)*100,NA())</f>
        <v/>
      </c>
      <c r="T1267" s="20">
        <f>IF(AND(ISNUMBER(B1267),Settings!$B$17&gt;0),IF(ISNUMBER(INDEX($B:$B,Settings!$B$17)),(B1267-INDEX($B:$B,Settings!$B$17))*100,NA()),NA())</f>
        <v/>
      </c>
      <c r="U1267" s="20">
        <f>IF(AND(ISNUMBER(Q1267),Settings!$B$17&gt;0),IF(ISNUMBER(INDEX($Q:$Q,Settings!$B$17)),(Q1267-INDEX($Q:$Q,Settings!$B$17))*100,NA()),NA())</f>
        <v/>
      </c>
      <c r="V1267" s="20">
        <f>IF(AND(ISNUMBER(R1267),Settings!$B$17&gt;0),IF(ISNUMBER(INDEX($R:$R,Settings!$B$17)),(R1267-INDEX($R:$R,Settings!$B$17))*100,NA()),NA())</f>
        <v/>
      </c>
      <c r="W1267" s="20">
        <f>IF(AND(ISNUMBER(P1267),Settings!$B$17&gt;0),IF(ISNUMBER(INDEX($P:$P,Settings!$B$17)),P1267-INDEX($P:$P,Settings!$B$17),NA()),NA())</f>
        <v/>
      </c>
      <c r="X1267" s="19">
        <f>IF(NOT(ISNUMBER($A1267)),NA(),IF(OR($A1267&lt;MIN(DKW_10Y!$A$2:$A$2918),$A1267&gt;MAX(DKW_10Y!$A$2:$A$2918),Settings!$B$16&lt;MIN(DKW_10Y!$A$2:$A$2918)),NA(),(INDEX(DKW_10Y!$B$2:$B$2918,MATCH($A1267,DKW_10Y!$A$2:$A$2918,1))-INDEX(DKW_10Y!$B$2:$B$2918,MATCH(Settings!$B$16,DKW_10Y!$A$2:$A$2918,1)))*100))</f>
        <v/>
      </c>
      <c r="Y1267" s="19">
        <f>IF(NOT(ISNUMBER($A1267)),NA(),IF(OR($A1267&lt;MIN(DKW_10Y!$A$2:$A$2918),$A1267&gt;MAX(DKW_10Y!$A$2:$A$2918),Settings!$B$16&lt;MIN(DKW_10Y!$A$2:$A$2918)),NA(),(INDEX(DKW_10Y!$C$2:$C$2918,MATCH($A1267,DKW_10Y!$A$2:$A$2918,1))-INDEX(DKW_10Y!$C$2:$C$2918,MATCH(Settings!$B$16,DKW_10Y!$A$2:$A$2918,1)))*100))</f>
        <v/>
      </c>
      <c r="Z1267" s="19">
        <f>IF(NOT(ISNUMBER($A1267)),NA(),IF(OR($A1267&lt;MIN(DKW_10Y!$A$2:$A$2918),$A1267&gt;MAX(DKW_10Y!$A$2:$A$2918),Settings!$B$16&lt;MIN(DKW_10Y!$A$2:$A$2918)),NA(),(INDEX(DKW_10Y!$D$2:$D$2918,MATCH($A1267,DKW_10Y!$A$2:$A$2918,1))-INDEX(DKW_10Y!$D$2:$D$2918,MATCH(Settings!$B$16,DKW_10Y!$A$2:$A$2918,1)))*100))</f>
        <v/>
      </c>
      <c r="AA1267" s="19">
        <f>IF(NOT(ISNUMBER($A1267)),NA(),IF(OR($A1267&lt;MIN(DKW_10Y!$A$2:$A$2918),$A1267&gt;MAX(DKW_10Y!$A$2:$A$2918),Settings!$B$16&lt;MIN(DKW_10Y!$A$2:$A$2918)),NA(),(INDEX(DKW_10Y!$E$2:$E$2918,MATCH($A1267,DKW_10Y!$A$2:$A$2918,1))-INDEX(DKW_10Y!$E$2:$E$2918,MATCH(Settings!$B$16,DKW_10Y!$A$2:$A$2918,1)))*100))</f>
        <v/>
      </c>
      <c r="AB1267" s="19">
        <f>IF(NOT(ISNUMBER($A1267)),NA(),IF(OR($A1267&lt;MIN(DKW_10Y!$A$2:$A$2918),$A1267&gt;MAX(DKW_10Y!$A$2:$A$2918),Settings!$B$16&lt;MIN(DKW_10Y!$A$2:$A$2918)),NA(),(INDEX(DKW_10Y!$H$2:$H$2918,MATCH($A1267,DKW_10Y!$A$2:$A$2918,1))-INDEX(DKW_10Y!$H$2:$H$2918,MATCH(Settings!$B$16,DKW_10Y!$A$2:$A$2918,1)))*100))</f>
        <v/>
      </c>
      <c r="AC1267" s="18">
        <f>IF(NOT(ISNUMBER($A1267)),NA(),IFERROR(1*INDEX(BBG_Data!$N$2:$N$4000,MATCH($A1267,BBG_Data!$M$2:$M$4000,0)),NA()))</f>
        <v/>
      </c>
      <c r="AD1267" s="18">
        <f>IF(NOT(ISNUMBER($A1267)),NA(),IFERROR(1*INDEX(BBG_Data!$P$2:$P$4000,MATCH($A1267,BBG_Data!$O$2:$O$4000,0)),NA()))</f>
        <v/>
      </c>
      <c r="AE1267" s="18">
        <f>IF(NOT(ISNUMBER($A1267)),NA(),IFERROR(1*INDEX(BBG_Data!$R$2:$R$4000,MATCH($A1267,BBG_Data!$Q$2:$Q$4000,0)),NA()))</f>
        <v/>
      </c>
      <c r="AF1267" s="20">
        <f>IF(AND(ISNUMBER(B1267),ISNUMBER(AC1267)),(B1267-AC1267)*100,NA())</f>
        <v/>
      </c>
      <c r="AG1267" s="20">
        <f>IF(AND(ISNUMBER(AE1267),ISNUMBER(AD1267)),(AE1267-AD1267)*100,NA())</f>
        <v/>
      </c>
      <c r="AH1267" s="19">
        <f>IF(NOT(ISNUMBER($A1267)),NA(),IFERROR(INDEX(BBG_Data!$T$2:$T$4000,MATCH($A1267,BBG_Data!$S$2:$S$4000,0))*Settings!$B$25,NA()))</f>
        <v/>
      </c>
      <c r="AI1267" s="19">
        <f>IF(NOT(ISNUMBER($A1267)),NA(),IFERROR(INDEX(BBG_Data!$V$2:$V$4000,MATCH($A1267,BBG_Data!$U$2:$U$4000,0))*Settings!$B$25,NA()))</f>
        <v/>
      </c>
      <c r="AJ1267" s="19">
        <f>IF(NOT(ISNUMBER($A1267)),NA(),IFERROR(1*INDEX(BBG_Data!$X$2:$X$4000,MATCH($A1267,BBG_Data!$W$2:$W$4000,0)),NA()))</f>
        <v/>
      </c>
      <c r="AK1267" s="19">
        <f>IF(NOT(ISNUMBER($A1267)),NA(),IFERROR(1*INDEX(BBG_Data!$Z$2:$Z$4000,MATCH($A1267,BBG_Data!$Y$2:$Y$4000,0)),NA()))</f>
        <v/>
      </c>
    </row>
    <row r="1268">
      <c r="A1268" s="17">
        <f>IF(ISNUMBER(BBG_Data!A1268),BBG_Data!A1268,"")</f>
        <v/>
      </c>
      <c r="B1268" s="18">
        <f>IF(AND(ISNUMBER($A1268),ISNUMBER(BBG_Data!B1268)),BBG_Data!B1268,NA())</f>
        <v/>
      </c>
      <c r="C1268" s="18">
        <f>IF(NOT(ISNUMBER($A1268)),NA(),IFERROR(1*INDEX(BBG_Data!$D$2:$D$4000,MATCH($A1268,BBG_Data!$C$2:$C$4000,0)),NA()))</f>
        <v/>
      </c>
      <c r="D1268" s="19">
        <f>IF(NOT(ISNUMBER($A1268)),NA(),IFERROR(1*INDEX(BBG_Data!$F$2:$F$4000,MATCH($A1268,BBG_Data!$E$2:$E$4000,0)),NA()))</f>
        <v/>
      </c>
      <c r="E1268" s="19">
        <f>IF(NOT(ISNUMBER($A1268)),NA(),IFERROR(1*INDEX(BBG_Data!$H$2:$H$4000,MATCH($A1268,BBG_Data!$G$2:$G$4000,0)),NA()))</f>
        <v/>
      </c>
      <c r="F1268" s="20">
        <f>IF(AND(ISNUMBER(B1268),ISNUMBER(B1267)),IF(B1268=B1267,"",(B1268-B1267)*100),"")</f>
        <v/>
      </c>
      <c r="G1268" s="20">
        <f>IF(AND(ISNUMBER(C1268),ISNUMBER(C1267)),IF(C1268=C1267,"",(C1268-C1267)*100),"")</f>
        <v/>
      </c>
      <c r="H1268" s="20">
        <f>IF(OR(NOT(ISNUMBER($A1268)),ROW()-2&lt;Settings!$B$11),NA(),IF(COUNT(OFFSET(F1268,1-Settings!$B$11,0,Settings!$B$11,1))&lt;ROUNDUP(Settings!$B$11*Settings!$B$26,0),NA(),STDEV(OFFSET(F1268,1-Settings!$B$11,0,Settings!$B$11,1))*SQRT(Settings!$B$13)))</f>
        <v/>
      </c>
      <c r="I1268" s="20">
        <f>IF(OR(NOT(ISNUMBER($A1268)),ROW()-2&lt;Settings!$B$12),NA(),IF(COUNT(OFFSET(F1268,1-Settings!$B$12,0,Settings!$B$12,1))&lt;ROUNDUP(Settings!$B$12*Settings!$B$26,0),NA(),STDEV(OFFSET(F1268,1-Settings!$B$12,0,Settings!$B$12,1))*SQRT(Settings!$B$13)))</f>
        <v/>
      </c>
      <c r="J1268" s="20">
        <f>IF(OR(NOT(ISNUMBER($A1268)),ROW()-2&lt;Settings!$B$11),NA(),IF(COUNT(OFFSET(G1268,1-Settings!$B$11,0,Settings!$B$11,1))&lt;ROUNDUP(Settings!$B$11*Settings!$B$26,0),NA(),STDEV(OFFSET(G1268,1-Settings!$B$11,0,Settings!$B$11,1))*SQRT(Settings!$B$13)))</f>
        <v/>
      </c>
      <c r="K1268" s="20">
        <f>IF(OR(NOT(ISNUMBER($A1268)),ROW()-2&lt;Settings!$B$12),NA(),IF(COUNT(OFFSET(G1268,1-Settings!$B$12,0,Settings!$B$12,1))&lt;ROUNDUP(Settings!$B$12*Settings!$B$26,0),NA(),STDEV(OFFSET(G1268,1-Settings!$B$12,0,Settings!$B$12,1))*SQRT(Settings!$B$13)))</f>
        <v/>
      </c>
      <c r="L1268" s="20">
        <f>IF(AND(ISNUMBER(D1268),ISNUMBER(H1268)),D1268-H1268,NA())</f>
        <v/>
      </c>
      <c r="M1268" s="20">
        <f>IF(AND(ISNUMBER(E1268),ISNUMBER(K1268)),E1268-K1268,NA())</f>
        <v/>
      </c>
      <c r="N1268" s="20">
        <f>IF(NOT(ISNUMBER($A1268)),NA(),IF(COUNT(OFFSET(G1268,1,0,Settings!$B$12,1))&lt;ROUNDUP(Settings!$B$12*Settings!$B$26,0),NA(),STDEV(OFFSET(G1268,1,0,Settings!$B$12,1))*SQRT(Settings!$B$13)))</f>
        <v/>
      </c>
      <c r="O1268" s="20">
        <f>IF(AND(ISNUMBER(E1268),ISNUMBER(N1268)),E1268-N1268,NA())</f>
        <v/>
      </c>
      <c r="P1268" s="19">
        <f>IF(NOT(ISNUMBER($A1268)),NA(),IF(OR($A1268&lt;MIN(KW_TP!$A$2:$A$2501),$A1268&gt;MAX(KW_TP!$A$2:$A$2501)),NA(),INDEX(KW_TP!$C$2:$C$2501,MATCH($A1268,KW_TP!$A$2:$A$2501,1))))</f>
        <v/>
      </c>
      <c r="Q1268" s="18">
        <f>IF(NOT(ISNUMBER($A1268)),NA(),IFERROR(1*INDEX(BBG_Data!$J$2:$J$4000,MATCH($A1268,BBG_Data!$I$2:$I$4000,0)),NA()))</f>
        <v/>
      </c>
      <c r="R1268" s="18">
        <f>IF(NOT(ISNUMBER($A1268)),NA(),IFERROR(1*INDEX(BBG_Data!$L$2:$L$4000,MATCH($A1268,BBG_Data!$K$2:$K$4000,0)),NA()))</f>
        <v/>
      </c>
      <c r="S1268" s="20">
        <f>IF(AND(ISNUMBER(B1268),ISNUMBER(Q1268),ISNUMBER(R1268)),(B1268-Q1268-R1268)*100,NA())</f>
        <v/>
      </c>
      <c r="T1268" s="20">
        <f>IF(AND(ISNUMBER(B1268),Settings!$B$17&gt;0),IF(ISNUMBER(INDEX($B:$B,Settings!$B$17)),(B1268-INDEX($B:$B,Settings!$B$17))*100,NA()),NA())</f>
        <v/>
      </c>
      <c r="U1268" s="20">
        <f>IF(AND(ISNUMBER(Q1268),Settings!$B$17&gt;0),IF(ISNUMBER(INDEX($Q:$Q,Settings!$B$17)),(Q1268-INDEX($Q:$Q,Settings!$B$17))*100,NA()),NA())</f>
        <v/>
      </c>
      <c r="V1268" s="20">
        <f>IF(AND(ISNUMBER(R1268),Settings!$B$17&gt;0),IF(ISNUMBER(INDEX($R:$R,Settings!$B$17)),(R1268-INDEX($R:$R,Settings!$B$17))*100,NA()),NA())</f>
        <v/>
      </c>
      <c r="W1268" s="20">
        <f>IF(AND(ISNUMBER(P1268),Settings!$B$17&gt;0),IF(ISNUMBER(INDEX($P:$P,Settings!$B$17)),P1268-INDEX($P:$P,Settings!$B$17),NA()),NA())</f>
        <v/>
      </c>
      <c r="X1268" s="19">
        <f>IF(NOT(ISNUMBER($A1268)),NA(),IF(OR($A1268&lt;MIN(DKW_10Y!$A$2:$A$2918),$A1268&gt;MAX(DKW_10Y!$A$2:$A$2918),Settings!$B$16&lt;MIN(DKW_10Y!$A$2:$A$2918)),NA(),(INDEX(DKW_10Y!$B$2:$B$2918,MATCH($A1268,DKW_10Y!$A$2:$A$2918,1))-INDEX(DKW_10Y!$B$2:$B$2918,MATCH(Settings!$B$16,DKW_10Y!$A$2:$A$2918,1)))*100))</f>
        <v/>
      </c>
      <c r="Y1268" s="19">
        <f>IF(NOT(ISNUMBER($A1268)),NA(),IF(OR($A1268&lt;MIN(DKW_10Y!$A$2:$A$2918),$A1268&gt;MAX(DKW_10Y!$A$2:$A$2918),Settings!$B$16&lt;MIN(DKW_10Y!$A$2:$A$2918)),NA(),(INDEX(DKW_10Y!$C$2:$C$2918,MATCH($A1268,DKW_10Y!$A$2:$A$2918,1))-INDEX(DKW_10Y!$C$2:$C$2918,MATCH(Settings!$B$16,DKW_10Y!$A$2:$A$2918,1)))*100))</f>
        <v/>
      </c>
      <c r="Z1268" s="19">
        <f>IF(NOT(ISNUMBER($A1268)),NA(),IF(OR($A1268&lt;MIN(DKW_10Y!$A$2:$A$2918),$A1268&gt;MAX(DKW_10Y!$A$2:$A$2918),Settings!$B$16&lt;MIN(DKW_10Y!$A$2:$A$2918)),NA(),(INDEX(DKW_10Y!$D$2:$D$2918,MATCH($A1268,DKW_10Y!$A$2:$A$2918,1))-INDEX(DKW_10Y!$D$2:$D$2918,MATCH(Settings!$B$16,DKW_10Y!$A$2:$A$2918,1)))*100))</f>
        <v/>
      </c>
      <c r="AA1268" s="19">
        <f>IF(NOT(ISNUMBER($A1268)),NA(),IF(OR($A1268&lt;MIN(DKW_10Y!$A$2:$A$2918),$A1268&gt;MAX(DKW_10Y!$A$2:$A$2918),Settings!$B$16&lt;MIN(DKW_10Y!$A$2:$A$2918)),NA(),(INDEX(DKW_10Y!$E$2:$E$2918,MATCH($A1268,DKW_10Y!$A$2:$A$2918,1))-INDEX(DKW_10Y!$E$2:$E$2918,MATCH(Settings!$B$16,DKW_10Y!$A$2:$A$2918,1)))*100))</f>
        <v/>
      </c>
      <c r="AB1268" s="19">
        <f>IF(NOT(ISNUMBER($A1268)),NA(),IF(OR($A1268&lt;MIN(DKW_10Y!$A$2:$A$2918),$A1268&gt;MAX(DKW_10Y!$A$2:$A$2918),Settings!$B$16&lt;MIN(DKW_10Y!$A$2:$A$2918)),NA(),(INDEX(DKW_10Y!$H$2:$H$2918,MATCH($A1268,DKW_10Y!$A$2:$A$2918,1))-INDEX(DKW_10Y!$H$2:$H$2918,MATCH(Settings!$B$16,DKW_10Y!$A$2:$A$2918,1)))*100))</f>
        <v/>
      </c>
      <c r="AC1268" s="18">
        <f>IF(NOT(ISNUMBER($A1268)),NA(),IFERROR(1*INDEX(BBG_Data!$N$2:$N$4000,MATCH($A1268,BBG_Data!$M$2:$M$4000,0)),NA()))</f>
        <v/>
      </c>
      <c r="AD1268" s="18">
        <f>IF(NOT(ISNUMBER($A1268)),NA(),IFERROR(1*INDEX(BBG_Data!$P$2:$P$4000,MATCH($A1268,BBG_Data!$O$2:$O$4000,0)),NA()))</f>
        <v/>
      </c>
      <c r="AE1268" s="18">
        <f>IF(NOT(ISNUMBER($A1268)),NA(),IFERROR(1*INDEX(BBG_Data!$R$2:$R$4000,MATCH($A1268,BBG_Data!$Q$2:$Q$4000,0)),NA()))</f>
        <v/>
      </c>
      <c r="AF1268" s="20">
        <f>IF(AND(ISNUMBER(B1268),ISNUMBER(AC1268)),(B1268-AC1268)*100,NA())</f>
        <v/>
      </c>
      <c r="AG1268" s="20">
        <f>IF(AND(ISNUMBER(AE1268),ISNUMBER(AD1268)),(AE1268-AD1268)*100,NA())</f>
        <v/>
      </c>
      <c r="AH1268" s="19">
        <f>IF(NOT(ISNUMBER($A1268)),NA(),IFERROR(INDEX(BBG_Data!$T$2:$T$4000,MATCH($A1268,BBG_Data!$S$2:$S$4000,0))*Settings!$B$25,NA()))</f>
        <v/>
      </c>
      <c r="AI1268" s="19">
        <f>IF(NOT(ISNUMBER($A1268)),NA(),IFERROR(INDEX(BBG_Data!$V$2:$V$4000,MATCH($A1268,BBG_Data!$U$2:$U$4000,0))*Settings!$B$25,NA()))</f>
        <v/>
      </c>
      <c r="AJ1268" s="19">
        <f>IF(NOT(ISNUMBER($A1268)),NA(),IFERROR(1*INDEX(BBG_Data!$X$2:$X$4000,MATCH($A1268,BBG_Data!$W$2:$W$4000,0)),NA()))</f>
        <v/>
      </c>
      <c r="AK1268" s="19">
        <f>IF(NOT(ISNUMBER($A1268)),NA(),IFERROR(1*INDEX(BBG_Data!$Z$2:$Z$4000,MATCH($A1268,BBG_Data!$Y$2:$Y$4000,0)),NA()))</f>
        <v/>
      </c>
    </row>
    <row r="1269">
      <c r="A1269" s="17">
        <f>IF(ISNUMBER(BBG_Data!A1269),BBG_Data!A1269,"")</f>
        <v/>
      </c>
      <c r="B1269" s="18">
        <f>IF(AND(ISNUMBER($A1269),ISNUMBER(BBG_Data!B1269)),BBG_Data!B1269,NA())</f>
        <v/>
      </c>
      <c r="C1269" s="18">
        <f>IF(NOT(ISNUMBER($A1269)),NA(),IFERROR(1*INDEX(BBG_Data!$D$2:$D$4000,MATCH($A1269,BBG_Data!$C$2:$C$4000,0)),NA()))</f>
        <v/>
      </c>
      <c r="D1269" s="19">
        <f>IF(NOT(ISNUMBER($A1269)),NA(),IFERROR(1*INDEX(BBG_Data!$F$2:$F$4000,MATCH($A1269,BBG_Data!$E$2:$E$4000,0)),NA()))</f>
        <v/>
      </c>
      <c r="E1269" s="19">
        <f>IF(NOT(ISNUMBER($A1269)),NA(),IFERROR(1*INDEX(BBG_Data!$H$2:$H$4000,MATCH($A1269,BBG_Data!$G$2:$G$4000,0)),NA()))</f>
        <v/>
      </c>
      <c r="F1269" s="20">
        <f>IF(AND(ISNUMBER(B1269),ISNUMBER(B1268)),IF(B1269=B1268,"",(B1269-B1268)*100),"")</f>
        <v/>
      </c>
      <c r="G1269" s="20">
        <f>IF(AND(ISNUMBER(C1269),ISNUMBER(C1268)),IF(C1269=C1268,"",(C1269-C1268)*100),"")</f>
        <v/>
      </c>
      <c r="H1269" s="20">
        <f>IF(OR(NOT(ISNUMBER($A1269)),ROW()-2&lt;Settings!$B$11),NA(),IF(COUNT(OFFSET(F1269,1-Settings!$B$11,0,Settings!$B$11,1))&lt;ROUNDUP(Settings!$B$11*Settings!$B$26,0),NA(),STDEV(OFFSET(F1269,1-Settings!$B$11,0,Settings!$B$11,1))*SQRT(Settings!$B$13)))</f>
        <v/>
      </c>
      <c r="I1269" s="20">
        <f>IF(OR(NOT(ISNUMBER($A1269)),ROW()-2&lt;Settings!$B$12),NA(),IF(COUNT(OFFSET(F1269,1-Settings!$B$12,0,Settings!$B$12,1))&lt;ROUNDUP(Settings!$B$12*Settings!$B$26,0),NA(),STDEV(OFFSET(F1269,1-Settings!$B$12,0,Settings!$B$12,1))*SQRT(Settings!$B$13)))</f>
        <v/>
      </c>
      <c r="J1269" s="20">
        <f>IF(OR(NOT(ISNUMBER($A1269)),ROW()-2&lt;Settings!$B$11),NA(),IF(COUNT(OFFSET(G1269,1-Settings!$B$11,0,Settings!$B$11,1))&lt;ROUNDUP(Settings!$B$11*Settings!$B$26,0),NA(),STDEV(OFFSET(G1269,1-Settings!$B$11,0,Settings!$B$11,1))*SQRT(Settings!$B$13)))</f>
        <v/>
      </c>
      <c r="K1269" s="20">
        <f>IF(OR(NOT(ISNUMBER($A1269)),ROW()-2&lt;Settings!$B$12),NA(),IF(COUNT(OFFSET(G1269,1-Settings!$B$12,0,Settings!$B$12,1))&lt;ROUNDUP(Settings!$B$12*Settings!$B$26,0),NA(),STDEV(OFFSET(G1269,1-Settings!$B$12,0,Settings!$B$12,1))*SQRT(Settings!$B$13)))</f>
        <v/>
      </c>
      <c r="L1269" s="20">
        <f>IF(AND(ISNUMBER(D1269),ISNUMBER(H1269)),D1269-H1269,NA())</f>
        <v/>
      </c>
      <c r="M1269" s="20">
        <f>IF(AND(ISNUMBER(E1269),ISNUMBER(K1269)),E1269-K1269,NA())</f>
        <v/>
      </c>
      <c r="N1269" s="20">
        <f>IF(NOT(ISNUMBER($A1269)),NA(),IF(COUNT(OFFSET(G1269,1,0,Settings!$B$12,1))&lt;ROUNDUP(Settings!$B$12*Settings!$B$26,0),NA(),STDEV(OFFSET(G1269,1,0,Settings!$B$12,1))*SQRT(Settings!$B$13)))</f>
        <v/>
      </c>
      <c r="O1269" s="20">
        <f>IF(AND(ISNUMBER(E1269),ISNUMBER(N1269)),E1269-N1269,NA())</f>
        <v/>
      </c>
      <c r="P1269" s="19">
        <f>IF(NOT(ISNUMBER($A1269)),NA(),IF(OR($A1269&lt;MIN(KW_TP!$A$2:$A$2501),$A1269&gt;MAX(KW_TP!$A$2:$A$2501)),NA(),INDEX(KW_TP!$C$2:$C$2501,MATCH($A1269,KW_TP!$A$2:$A$2501,1))))</f>
        <v/>
      </c>
      <c r="Q1269" s="18">
        <f>IF(NOT(ISNUMBER($A1269)),NA(),IFERROR(1*INDEX(BBG_Data!$J$2:$J$4000,MATCH($A1269,BBG_Data!$I$2:$I$4000,0)),NA()))</f>
        <v/>
      </c>
      <c r="R1269" s="18">
        <f>IF(NOT(ISNUMBER($A1269)),NA(),IFERROR(1*INDEX(BBG_Data!$L$2:$L$4000,MATCH($A1269,BBG_Data!$K$2:$K$4000,0)),NA()))</f>
        <v/>
      </c>
      <c r="S1269" s="20">
        <f>IF(AND(ISNUMBER(B1269),ISNUMBER(Q1269),ISNUMBER(R1269)),(B1269-Q1269-R1269)*100,NA())</f>
        <v/>
      </c>
      <c r="T1269" s="20">
        <f>IF(AND(ISNUMBER(B1269),Settings!$B$17&gt;0),IF(ISNUMBER(INDEX($B:$B,Settings!$B$17)),(B1269-INDEX($B:$B,Settings!$B$17))*100,NA()),NA())</f>
        <v/>
      </c>
      <c r="U1269" s="20">
        <f>IF(AND(ISNUMBER(Q1269),Settings!$B$17&gt;0),IF(ISNUMBER(INDEX($Q:$Q,Settings!$B$17)),(Q1269-INDEX($Q:$Q,Settings!$B$17))*100,NA()),NA())</f>
        <v/>
      </c>
      <c r="V1269" s="20">
        <f>IF(AND(ISNUMBER(R1269),Settings!$B$17&gt;0),IF(ISNUMBER(INDEX($R:$R,Settings!$B$17)),(R1269-INDEX($R:$R,Settings!$B$17))*100,NA()),NA())</f>
        <v/>
      </c>
      <c r="W1269" s="20">
        <f>IF(AND(ISNUMBER(P1269),Settings!$B$17&gt;0),IF(ISNUMBER(INDEX($P:$P,Settings!$B$17)),P1269-INDEX($P:$P,Settings!$B$17),NA()),NA())</f>
        <v/>
      </c>
      <c r="X1269" s="19">
        <f>IF(NOT(ISNUMBER($A1269)),NA(),IF(OR($A1269&lt;MIN(DKW_10Y!$A$2:$A$2918),$A1269&gt;MAX(DKW_10Y!$A$2:$A$2918),Settings!$B$16&lt;MIN(DKW_10Y!$A$2:$A$2918)),NA(),(INDEX(DKW_10Y!$B$2:$B$2918,MATCH($A1269,DKW_10Y!$A$2:$A$2918,1))-INDEX(DKW_10Y!$B$2:$B$2918,MATCH(Settings!$B$16,DKW_10Y!$A$2:$A$2918,1)))*100))</f>
        <v/>
      </c>
      <c r="Y1269" s="19">
        <f>IF(NOT(ISNUMBER($A1269)),NA(),IF(OR($A1269&lt;MIN(DKW_10Y!$A$2:$A$2918),$A1269&gt;MAX(DKW_10Y!$A$2:$A$2918),Settings!$B$16&lt;MIN(DKW_10Y!$A$2:$A$2918)),NA(),(INDEX(DKW_10Y!$C$2:$C$2918,MATCH($A1269,DKW_10Y!$A$2:$A$2918,1))-INDEX(DKW_10Y!$C$2:$C$2918,MATCH(Settings!$B$16,DKW_10Y!$A$2:$A$2918,1)))*100))</f>
        <v/>
      </c>
      <c r="Z1269" s="19">
        <f>IF(NOT(ISNUMBER($A1269)),NA(),IF(OR($A1269&lt;MIN(DKW_10Y!$A$2:$A$2918),$A1269&gt;MAX(DKW_10Y!$A$2:$A$2918),Settings!$B$16&lt;MIN(DKW_10Y!$A$2:$A$2918)),NA(),(INDEX(DKW_10Y!$D$2:$D$2918,MATCH($A1269,DKW_10Y!$A$2:$A$2918,1))-INDEX(DKW_10Y!$D$2:$D$2918,MATCH(Settings!$B$16,DKW_10Y!$A$2:$A$2918,1)))*100))</f>
        <v/>
      </c>
      <c r="AA1269" s="19">
        <f>IF(NOT(ISNUMBER($A1269)),NA(),IF(OR($A1269&lt;MIN(DKW_10Y!$A$2:$A$2918),$A1269&gt;MAX(DKW_10Y!$A$2:$A$2918),Settings!$B$16&lt;MIN(DKW_10Y!$A$2:$A$2918)),NA(),(INDEX(DKW_10Y!$E$2:$E$2918,MATCH($A1269,DKW_10Y!$A$2:$A$2918,1))-INDEX(DKW_10Y!$E$2:$E$2918,MATCH(Settings!$B$16,DKW_10Y!$A$2:$A$2918,1)))*100))</f>
        <v/>
      </c>
      <c r="AB1269" s="19">
        <f>IF(NOT(ISNUMBER($A1269)),NA(),IF(OR($A1269&lt;MIN(DKW_10Y!$A$2:$A$2918),$A1269&gt;MAX(DKW_10Y!$A$2:$A$2918),Settings!$B$16&lt;MIN(DKW_10Y!$A$2:$A$2918)),NA(),(INDEX(DKW_10Y!$H$2:$H$2918,MATCH($A1269,DKW_10Y!$A$2:$A$2918,1))-INDEX(DKW_10Y!$H$2:$H$2918,MATCH(Settings!$B$16,DKW_10Y!$A$2:$A$2918,1)))*100))</f>
        <v/>
      </c>
      <c r="AC1269" s="18">
        <f>IF(NOT(ISNUMBER($A1269)),NA(),IFERROR(1*INDEX(BBG_Data!$N$2:$N$4000,MATCH($A1269,BBG_Data!$M$2:$M$4000,0)),NA()))</f>
        <v/>
      </c>
      <c r="AD1269" s="18">
        <f>IF(NOT(ISNUMBER($A1269)),NA(),IFERROR(1*INDEX(BBG_Data!$P$2:$P$4000,MATCH($A1269,BBG_Data!$O$2:$O$4000,0)),NA()))</f>
        <v/>
      </c>
      <c r="AE1269" s="18">
        <f>IF(NOT(ISNUMBER($A1269)),NA(),IFERROR(1*INDEX(BBG_Data!$R$2:$R$4000,MATCH($A1269,BBG_Data!$Q$2:$Q$4000,0)),NA()))</f>
        <v/>
      </c>
      <c r="AF1269" s="20">
        <f>IF(AND(ISNUMBER(B1269),ISNUMBER(AC1269)),(B1269-AC1269)*100,NA())</f>
        <v/>
      </c>
      <c r="AG1269" s="20">
        <f>IF(AND(ISNUMBER(AE1269),ISNUMBER(AD1269)),(AE1269-AD1269)*100,NA())</f>
        <v/>
      </c>
      <c r="AH1269" s="19">
        <f>IF(NOT(ISNUMBER($A1269)),NA(),IFERROR(INDEX(BBG_Data!$T$2:$T$4000,MATCH($A1269,BBG_Data!$S$2:$S$4000,0))*Settings!$B$25,NA()))</f>
        <v/>
      </c>
      <c r="AI1269" s="19">
        <f>IF(NOT(ISNUMBER($A1269)),NA(),IFERROR(INDEX(BBG_Data!$V$2:$V$4000,MATCH($A1269,BBG_Data!$U$2:$U$4000,0))*Settings!$B$25,NA()))</f>
        <v/>
      </c>
      <c r="AJ1269" s="19">
        <f>IF(NOT(ISNUMBER($A1269)),NA(),IFERROR(1*INDEX(BBG_Data!$X$2:$X$4000,MATCH($A1269,BBG_Data!$W$2:$W$4000,0)),NA()))</f>
        <v/>
      </c>
      <c r="AK1269" s="19">
        <f>IF(NOT(ISNUMBER($A1269)),NA(),IFERROR(1*INDEX(BBG_Data!$Z$2:$Z$4000,MATCH($A1269,BBG_Data!$Y$2:$Y$4000,0)),NA()))</f>
        <v/>
      </c>
    </row>
    <row r="1270">
      <c r="A1270" s="17">
        <f>IF(ISNUMBER(BBG_Data!A1270),BBG_Data!A1270,"")</f>
        <v/>
      </c>
      <c r="B1270" s="18">
        <f>IF(AND(ISNUMBER($A1270),ISNUMBER(BBG_Data!B1270)),BBG_Data!B1270,NA())</f>
        <v/>
      </c>
      <c r="C1270" s="18">
        <f>IF(NOT(ISNUMBER($A1270)),NA(),IFERROR(1*INDEX(BBG_Data!$D$2:$D$4000,MATCH($A1270,BBG_Data!$C$2:$C$4000,0)),NA()))</f>
        <v/>
      </c>
      <c r="D1270" s="19">
        <f>IF(NOT(ISNUMBER($A1270)),NA(),IFERROR(1*INDEX(BBG_Data!$F$2:$F$4000,MATCH($A1270,BBG_Data!$E$2:$E$4000,0)),NA()))</f>
        <v/>
      </c>
      <c r="E1270" s="19">
        <f>IF(NOT(ISNUMBER($A1270)),NA(),IFERROR(1*INDEX(BBG_Data!$H$2:$H$4000,MATCH($A1270,BBG_Data!$G$2:$G$4000,0)),NA()))</f>
        <v/>
      </c>
      <c r="F1270" s="20">
        <f>IF(AND(ISNUMBER(B1270),ISNUMBER(B1269)),IF(B1270=B1269,"",(B1270-B1269)*100),"")</f>
        <v/>
      </c>
      <c r="G1270" s="20">
        <f>IF(AND(ISNUMBER(C1270),ISNUMBER(C1269)),IF(C1270=C1269,"",(C1270-C1269)*100),"")</f>
        <v/>
      </c>
      <c r="H1270" s="20">
        <f>IF(OR(NOT(ISNUMBER($A1270)),ROW()-2&lt;Settings!$B$11),NA(),IF(COUNT(OFFSET(F1270,1-Settings!$B$11,0,Settings!$B$11,1))&lt;ROUNDUP(Settings!$B$11*Settings!$B$26,0),NA(),STDEV(OFFSET(F1270,1-Settings!$B$11,0,Settings!$B$11,1))*SQRT(Settings!$B$13)))</f>
        <v/>
      </c>
      <c r="I1270" s="20">
        <f>IF(OR(NOT(ISNUMBER($A1270)),ROW()-2&lt;Settings!$B$12),NA(),IF(COUNT(OFFSET(F1270,1-Settings!$B$12,0,Settings!$B$12,1))&lt;ROUNDUP(Settings!$B$12*Settings!$B$26,0),NA(),STDEV(OFFSET(F1270,1-Settings!$B$12,0,Settings!$B$12,1))*SQRT(Settings!$B$13)))</f>
        <v/>
      </c>
      <c r="J1270" s="20">
        <f>IF(OR(NOT(ISNUMBER($A1270)),ROW()-2&lt;Settings!$B$11),NA(),IF(COUNT(OFFSET(G1270,1-Settings!$B$11,0,Settings!$B$11,1))&lt;ROUNDUP(Settings!$B$11*Settings!$B$26,0),NA(),STDEV(OFFSET(G1270,1-Settings!$B$11,0,Settings!$B$11,1))*SQRT(Settings!$B$13)))</f>
        <v/>
      </c>
      <c r="K1270" s="20">
        <f>IF(OR(NOT(ISNUMBER($A1270)),ROW()-2&lt;Settings!$B$12),NA(),IF(COUNT(OFFSET(G1270,1-Settings!$B$12,0,Settings!$B$12,1))&lt;ROUNDUP(Settings!$B$12*Settings!$B$26,0),NA(),STDEV(OFFSET(G1270,1-Settings!$B$12,0,Settings!$B$12,1))*SQRT(Settings!$B$13)))</f>
        <v/>
      </c>
      <c r="L1270" s="20">
        <f>IF(AND(ISNUMBER(D1270),ISNUMBER(H1270)),D1270-H1270,NA())</f>
        <v/>
      </c>
      <c r="M1270" s="20">
        <f>IF(AND(ISNUMBER(E1270),ISNUMBER(K1270)),E1270-K1270,NA())</f>
        <v/>
      </c>
      <c r="N1270" s="20">
        <f>IF(NOT(ISNUMBER($A1270)),NA(),IF(COUNT(OFFSET(G1270,1,0,Settings!$B$12,1))&lt;ROUNDUP(Settings!$B$12*Settings!$B$26,0),NA(),STDEV(OFFSET(G1270,1,0,Settings!$B$12,1))*SQRT(Settings!$B$13)))</f>
        <v/>
      </c>
      <c r="O1270" s="20">
        <f>IF(AND(ISNUMBER(E1270),ISNUMBER(N1270)),E1270-N1270,NA())</f>
        <v/>
      </c>
      <c r="P1270" s="19">
        <f>IF(NOT(ISNUMBER($A1270)),NA(),IF(OR($A1270&lt;MIN(KW_TP!$A$2:$A$2501),$A1270&gt;MAX(KW_TP!$A$2:$A$2501)),NA(),INDEX(KW_TP!$C$2:$C$2501,MATCH($A1270,KW_TP!$A$2:$A$2501,1))))</f>
        <v/>
      </c>
      <c r="Q1270" s="18">
        <f>IF(NOT(ISNUMBER($A1270)),NA(),IFERROR(1*INDEX(BBG_Data!$J$2:$J$4000,MATCH($A1270,BBG_Data!$I$2:$I$4000,0)),NA()))</f>
        <v/>
      </c>
      <c r="R1270" s="18">
        <f>IF(NOT(ISNUMBER($A1270)),NA(),IFERROR(1*INDEX(BBG_Data!$L$2:$L$4000,MATCH($A1270,BBG_Data!$K$2:$K$4000,0)),NA()))</f>
        <v/>
      </c>
      <c r="S1270" s="20">
        <f>IF(AND(ISNUMBER(B1270),ISNUMBER(Q1270),ISNUMBER(R1270)),(B1270-Q1270-R1270)*100,NA())</f>
        <v/>
      </c>
      <c r="T1270" s="20">
        <f>IF(AND(ISNUMBER(B1270),Settings!$B$17&gt;0),IF(ISNUMBER(INDEX($B:$B,Settings!$B$17)),(B1270-INDEX($B:$B,Settings!$B$17))*100,NA()),NA())</f>
        <v/>
      </c>
      <c r="U1270" s="20">
        <f>IF(AND(ISNUMBER(Q1270),Settings!$B$17&gt;0),IF(ISNUMBER(INDEX($Q:$Q,Settings!$B$17)),(Q1270-INDEX($Q:$Q,Settings!$B$17))*100,NA()),NA())</f>
        <v/>
      </c>
      <c r="V1270" s="20">
        <f>IF(AND(ISNUMBER(R1270),Settings!$B$17&gt;0),IF(ISNUMBER(INDEX($R:$R,Settings!$B$17)),(R1270-INDEX($R:$R,Settings!$B$17))*100,NA()),NA())</f>
        <v/>
      </c>
      <c r="W1270" s="20">
        <f>IF(AND(ISNUMBER(P1270),Settings!$B$17&gt;0),IF(ISNUMBER(INDEX($P:$P,Settings!$B$17)),P1270-INDEX($P:$P,Settings!$B$17),NA()),NA())</f>
        <v/>
      </c>
      <c r="X1270" s="19">
        <f>IF(NOT(ISNUMBER($A1270)),NA(),IF(OR($A1270&lt;MIN(DKW_10Y!$A$2:$A$2918),$A1270&gt;MAX(DKW_10Y!$A$2:$A$2918),Settings!$B$16&lt;MIN(DKW_10Y!$A$2:$A$2918)),NA(),(INDEX(DKW_10Y!$B$2:$B$2918,MATCH($A1270,DKW_10Y!$A$2:$A$2918,1))-INDEX(DKW_10Y!$B$2:$B$2918,MATCH(Settings!$B$16,DKW_10Y!$A$2:$A$2918,1)))*100))</f>
        <v/>
      </c>
      <c r="Y1270" s="19">
        <f>IF(NOT(ISNUMBER($A1270)),NA(),IF(OR($A1270&lt;MIN(DKW_10Y!$A$2:$A$2918),$A1270&gt;MAX(DKW_10Y!$A$2:$A$2918),Settings!$B$16&lt;MIN(DKW_10Y!$A$2:$A$2918)),NA(),(INDEX(DKW_10Y!$C$2:$C$2918,MATCH($A1270,DKW_10Y!$A$2:$A$2918,1))-INDEX(DKW_10Y!$C$2:$C$2918,MATCH(Settings!$B$16,DKW_10Y!$A$2:$A$2918,1)))*100))</f>
        <v/>
      </c>
      <c r="Z1270" s="19">
        <f>IF(NOT(ISNUMBER($A1270)),NA(),IF(OR($A1270&lt;MIN(DKW_10Y!$A$2:$A$2918),$A1270&gt;MAX(DKW_10Y!$A$2:$A$2918),Settings!$B$16&lt;MIN(DKW_10Y!$A$2:$A$2918)),NA(),(INDEX(DKW_10Y!$D$2:$D$2918,MATCH($A1270,DKW_10Y!$A$2:$A$2918,1))-INDEX(DKW_10Y!$D$2:$D$2918,MATCH(Settings!$B$16,DKW_10Y!$A$2:$A$2918,1)))*100))</f>
        <v/>
      </c>
      <c r="AA1270" s="19">
        <f>IF(NOT(ISNUMBER($A1270)),NA(),IF(OR($A1270&lt;MIN(DKW_10Y!$A$2:$A$2918),$A1270&gt;MAX(DKW_10Y!$A$2:$A$2918),Settings!$B$16&lt;MIN(DKW_10Y!$A$2:$A$2918)),NA(),(INDEX(DKW_10Y!$E$2:$E$2918,MATCH($A1270,DKW_10Y!$A$2:$A$2918,1))-INDEX(DKW_10Y!$E$2:$E$2918,MATCH(Settings!$B$16,DKW_10Y!$A$2:$A$2918,1)))*100))</f>
        <v/>
      </c>
      <c r="AB1270" s="19">
        <f>IF(NOT(ISNUMBER($A1270)),NA(),IF(OR($A1270&lt;MIN(DKW_10Y!$A$2:$A$2918),$A1270&gt;MAX(DKW_10Y!$A$2:$A$2918),Settings!$B$16&lt;MIN(DKW_10Y!$A$2:$A$2918)),NA(),(INDEX(DKW_10Y!$H$2:$H$2918,MATCH($A1270,DKW_10Y!$A$2:$A$2918,1))-INDEX(DKW_10Y!$H$2:$H$2918,MATCH(Settings!$B$16,DKW_10Y!$A$2:$A$2918,1)))*100))</f>
        <v/>
      </c>
      <c r="AC1270" s="18">
        <f>IF(NOT(ISNUMBER($A1270)),NA(),IFERROR(1*INDEX(BBG_Data!$N$2:$N$4000,MATCH($A1270,BBG_Data!$M$2:$M$4000,0)),NA()))</f>
        <v/>
      </c>
      <c r="AD1270" s="18">
        <f>IF(NOT(ISNUMBER($A1270)),NA(),IFERROR(1*INDEX(BBG_Data!$P$2:$P$4000,MATCH($A1270,BBG_Data!$O$2:$O$4000,0)),NA()))</f>
        <v/>
      </c>
      <c r="AE1270" s="18">
        <f>IF(NOT(ISNUMBER($A1270)),NA(),IFERROR(1*INDEX(BBG_Data!$R$2:$R$4000,MATCH($A1270,BBG_Data!$Q$2:$Q$4000,0)),NA()))</f>
        <v/>
      </c>
      <c r="AF1270" s="20">
        <f>IF(AND(ISNUMBER(B1270),ISNUMBER(AC1270)),(B1270-AC1270)*100,NA())</f>
        <v/>
      </c>
      <c r="AG1270" s="20">
        <f>IF(AND(ISNUMBER(AE1270),ISNUMBER(AD1270)),(AE1270-AD1270)*100,NA())</f>
        <v/>
      </c>
      <c r="AH1270" s="19">
        <f>IF(NOT(ISNUMBER($A1270)),NA(),IFERROR(INDEX(BBG_Data!$T$2:$T$4000,MATCH($A1270,BBG_Data!$S$2:$S$4000,0))*Settings!$B$25,NA()))</f>
        <v/>
      </c>
      <c r="AI1270" s="19">
        <f>IF(NOT(ISNUMBER($A1270)),NA(),IFERROR(INDEX(BBG_Data!$V$2:$V$4000,MATCH($A1270,BBG_Data!$U$2:$U$4000,0))*Settings!$B$25,NA()))</f>
        <v/>
      </c>
      <c r="AJ1270" s="19">
        <f>IF(NOT(ISNUMBER($A1270)),NA(),IFERROR(1*INDEX(BBG_Data!$X$2:$X$4000,MATCH($A1270,BBG_Data!$W$2:$W$4000,0)),NA()))</f>
        <v/>
      </c>
      <c r="AK1270" s="19">
        <f>IF(NOT(ISNUMBER($A1270)),NA(),IFERROR(1*INDEX(BBG_Data!$Z$2:$Z$4000,MATCH($A1270,BBG_Data!$Y$2:$Y$4000,0)),NA()))</f>
        <v/>
      </c>
    </row>
    <row r="1271">
      <c r="A1271" s="17">
        <f>IF(ISNUMBER(BBG_Data!A1271),BBG_Data!A1271,"")</f>
        <v/>
      </c>
      <c r="B1271" s="18">
        <f>IF(AND(ISNUMBER($A1271),ISNUMBER(BBG_Data!B1271)),BBG_Data!B1271,NA())</f>
        <v/>
      </c>
      <c r="C1271" s="18">
        <f>IF(NOT(ISNUMBER($A1271)),NA(),IFERROR(1*INDEX(BBG_Data!$D$2:$D$4000,MATCH($A1271,BBG_Data!$C$2:$C$4000,0)),NA()))</f>
        <v/>
      </c>
      <c r="D1271" s="19">
        <f>IF(NOT(ISNUMBER($A1271)),NA(),IFERROR(1*INDEX(BBG_Data!$F$2:$F$4000,MATCH($A1271,BBG_Data!$E$2:$E$4000,0)),NA()))</f>
        <v/>
      </c>
      <c r="E1271" s="19">
        <f>IF(NOT(ISNUMBER($A1271)),NA(),IFERROR(1*INDEX(BBG_Data!$H$2:$H$4000,MATCH($A1271,BBG_Data!$G$2:$G$4000,0)),NA()))</f>
        <v/>
      </c>
      <c r="F1271" s="20">
        <f>IF(AND(ISNUMBER(B1271),ISNUMBER(B1270)),IF(B1271=B1270,"",(B1271-B1270)*100),"")</f>
        <v/>
      </c>
      <c r="G1271" s="20">
        <f>IF(AND(ISNUMBER(C1271),ISNUMBER(C1270)),IF(C1271=C1270,"",(C1271-C1270)*100),"")</f>
        <v/>
      </c>
      <c r="H1271" s="20">
        <f>IF(OR(NOT(ISNUMBER($A1271)),ROW()-2&lt;Settings!$B$11),NA(),IF(COUNT(OFFSET(F1271,1-Settings!$B$11,0,Settings!$B$11,1))&lt;ROUNDUP(Settings!$B$11*Settings!$B$26,0),NA(),STDEV(OFFSET(F1271,1-Settings!$B$11,0,Settings!$B$11,1))*SQRT(Settings!$B$13)))</f>
        <v/>
      </c>
      <c r="I1271" s="20">
        <f>IF(OR(NOT(ISNUMBER($A1271)),ROW()-2&lt;Settings!$B$12),NA(),IF(COUNT(OFFSET(F1271,1-Settings!$B$12,0,Settings!$B$12,1))&lt;ROUNDUP(Settings!$B$12*Settings!$B$26,0),NA(),STDEV(OFFSET(F1271,1-Settings!$B$12,0,Settings!$B$12,1))*SQRT(Settings!$B$13)))</f>
        <v/>
      </c>
      <c r="J1271" s="20">
        <f>IF(OR(NOT(ISNUMBER($A1271)),ROW()-2&lt;Settings!$B$11),NA(),IF(COUNT(OFFSET(G1271,1-Settings!$B$11,0,Settings!$B$11,1))&lt;ROUNDUP(Settings!$B$11*Settings!$B$26,0),NA(),STDEV(OFFSET(G1271,1-Settings!$B$11,0,Settings!$B$11,1))*SQRT(Settings!$B$13)))</f>
        <v/>
      </c>
      <c r="K1271" s="20">
        <f>IF(OR(NOT(ISNUMBER($A1271)),ROW()-2&lt;Settings!$B$12),NA(),IF(COUNT(OFFSET(G1271,1-Settings!$B$12,0,Settings!$B$12,1))&lt;ROUNDUP(Settings!$B$12*Settings!$B$26,0),NA(),STDEV(OFFSET(G1271,1-Settings!$B$12,0,Settings!$B$12,1))*SQRT(Settings!$B$13)))</f>
        <v/>
      </c>
      <c r="L1271" s="20">
        <f>IF(AND(ISNUMBER(D1271),ISNUMBER(H1271)),D1271-H1271,NA())</f>
        <v/>
      </c>
      <c r="M1271" s="20">
        <f>IF(AND(ISNUMBER(E1271),ISNUMBER(K1271)),E1271-K1271,NA())</f>
        <v/>
      </c>
      <c r="N1271" s="20">
        <f>IF(NOT(ISNUMBER($A1271)),NA(),IF(COUNT(OFFSET(G1271,1,0,Settings!$B$12,1))&lt;ROUNDUP(Settings!$B$12*Settings!$B$26,0),NA(),STDEV(OFFSET(G1271,1,0,Settings!$B$12,1))*SQRT(Settings!$B$13)))</f>
        <v/>
      </c>
      <c r="O1271" s="20">
        <f>IF(AND(ISNUMBER(E1271),ISNUMBER(N1271)),E1271-N1271,NA())</f>
        <v/>
      </c>
      <c r="P1271" s="19">
        <f>IF(NOT(ISNUMBER($A1271)),NA(),IF(OR($A1271&lt;MIN(KW_TP!$A$2:$A$2501),$A1271&gt;MAX(KW_TP!$A$2:$A$2501)),NA(),INDEX(KW_TP!$C$2:$C$2501,MATCH($A1271,KW_TP!$A$2:$A$2501,1))))</f>
        <v/>
      </c>
      <c r="Q1271" s="18">
        <f>IF(NOT(ISNUMBER($A1271)),NA(),IFERROR(1*INDEX(BBG_Data!$J$2:$J$4000,MATCH($A1271,BBG_Data!$I$2:$I$4000,0)),NA()))</f>
        <v/>
      </c>
      <c r="R1271" s="18">
        <f>IF(NOT(ISNUMBER($A1271)),NA(),IFERROR(1*INDEX(BBG_Data!$L$2:$L$4000,MATCH($A1271,BBG_Data!$K$2:$K$4000,0)),NA()))</f>
        <v/>
      </c>
      <c r="S1271" s="20">
        <f>IF(AND(ISNUMBER(B1271),ISNUMBER(Q1271),ISNUMBER(R1271)),(B1271-Q1271-R1271)*100,NA())</f>
        <v/>
      </c>
      <c r="T1271" s="20">
        <f>IF(AND(ISNUMBER(B1271),Settings!$B$17&gt;0),IF(ISNUMBER(INDEX($B:$B,Settings!$B$17)),(B1271-INDEX($B:$B,Settings!$B$17))*100,NA()),NA())</f>
        <v/>
      </c>
      <c r="U1271" s="20">
        <f>IF(AND(ISNUMBER(Q1271),Settings!$B$17&gt;0),IF(ISNUMBER(INDEX($Q:$Q,Settings!$B$17)),(Q1271-INDEX($Q:$Q,Settings!$B$17))*100,NA()),NA())</f>
        <v/>
      </c>
      <c r="V1271" s="20">
        <f>IF(AND(ISNUMBER(R1271),Settings!$B$17&gt;0),IF(ISNUMBER(INDEX($R:$R,Settings!$B$17)),(R1271-INDEX($R:$R,Settings!$B$17))*100,NA()),NA())</f>
        <v/>
      </c>
      <c r="W1271" s="20">
        <f>IF(AND(ISNUMBER(P1271),Settings!$B$17&gt;0),IF(ISNUMBER(INDEX($P:$P,Settings!$B$17)),P1271-INDEX($P:$P,Settings!$B$17),NA()),NA())</f>
        <v/>
      </c>
      <c r="X1271" s="19">
        <f>IF(NOT(ISNUMBER($A1271)),NA(),IF(OR($A1271&lt;MIN(DKW_10Y!$A$2:$A$2918),$A1271&gt;MAX(DKW_10Y!$A$2:$A$2918),Settings!$B$16&lt;MIN(DKW_10Y!$A$2:$A$2918)),NA(),(INDEX(DKW_10Y!$B$2:$B$2918,MATCH($A1271,DKW_10Y!$A$2:$A$2918,1))-INDEX(DKW_10Y!$B$2:$B$2918,MATCH(Settings!$B$16,DKW_10Y!$A$2:$A$2918,1)))*100))</f>
        <v/>
      </c>
      <c r="Y1271" s="19">
        <f>IF(NOT(ISNUMBER($A1271)),NA(),IF(OR($A1271&lt;MIN(DKW_10Y!$A$2:$A$2918),$A1271&gt;MAX(DKW_10Y!$A$2:$A$2918),Settings!$B$16&lt;MIN(DKW_10Y!$A$2:$A$2918)),NA(),(INDEX(DKW_10Y!$C$2:$C$2918,MATCH($A1271,DKW_10Y!$A$2:$A$2918,1))-INDEX(DKW_10Y!$C$2:$C$2918,MATCH(Settings!$B$16,DKW_10Y!$A$2:$A$2918,1)))*100))</f>
        <v/>
      </c>
      <c r="Z1271" s="19">
        <f>IF(NOT(ISNUMBER($A1271)),NA(),IF(OR($A1271&lt;MIN(DKW_10Y!$A$2:$A$2918),$A1271&gt;MAX(DKW_10Y!$A$2:$A$2918),Settings!$B$16&lt;MIN(DKW_10Y!$A$2:$A$2918)),NA(),(INDEX(DKW_10Y!$D$2:$D$2918,MATCH($A1271,DKW_10Y!$A$2:$A$2918,1))-INDEX(DKW_10Y!$D$2:$D$2918,MATCH(Settings!$B$16,DKW_10Y!$A$2:$A$2918,1)))*100))</f>
        <v/>
      </c>
      <c r="AA1271" s="19">
        <f>IF(NOT(ISNUMBER($A1271)),NA(),IF(OR($A1271&lt;MIN(DKW_10Y!$A$2:$A$2918),$A1271&gt;MAX(DKW_10Y!$A$2:$A$2918),Settings!$B$16&lt;MIN(DKW_10Y!$A$2:$A$2918)),NA(),(INDEX(DKW_10Y!$E$2:$E$2918,MATCH($A1271,DKW_10Y!$A$2:$A$2918,1))-INDEX(DKW_10Y!$E$2:$E$2918,MATCH(Settings!$B$16,DKW_10Y!$A$2:$A$2918,1)))*100))</f>
        <v/>
      </c>
      <c r="AB1271" s="19">
        <f>IF(NOT(ISNUMBER($A1271)),NA(),IF(OR($A1271&lt;MIN(DKW_10Y!$A$2:$A$2918),$A1271&gt;MAX(DKW_10Y!$A$2:$A$2918),Settings!$B$16&lt;MIN(DKW_10Y!$A$2:$A$2918)),NA(),(INDEX(DKW_10Y!$H$2:$H$2918,MATCH($A1271,DKW_10Y!$A$2:$A$2918,1))-INDEX(DKW_10Y!$H$2:$H$2918,MATCH(Settings!$B$16,DKW_10Y!$A$2:$A$2918,1)))*100))</f>
        <v/>
      </c>
      <c r="AC1271" s="18">
        <f>IF(NOT(ISNUMBER($A1271)),NA(),IFERROR(1*INDEX(BBG_Data!$N$2:$N$4000,MATCH($A1271,BBG_Data!$M$2:$M$4000,0)),NA()))</f>
        <v/>
      </c>
      <c r="AD1271" s="18">
        <f>IF(NOT(ISNUMBER($A1271)),NA(),IFERROR(1*INDEX(BBG_Data!$P$2:$P$4000,MATCH($A1271,BBG_Data!$O$2:$O$4000,0)),NA()))</f>
        <v/>
      </c>
      <c r="AE1271" s="18">
        <f>IF(NOT(ISNUMBER($A1271)),NA(),IFERROR(1*INDEX(BBG_Data!$R$2:$R$4000,MATCH($A1271,BBG_Data!$Q$2:$Q$4000,0)),NA()))</f>
        <v/>
      </c>
      <c r="AF1271" s="20">
        <f>IF(AND(ISNUMBER(B1271),ISNUMBER(AC1271)),(B1271-AC1271)*100,NA())</f>
        <v/>
      </c>
      <c r="AG1271" s="20">
        <f>IF(AND(ISNUMBER(AE1271),ISNUMBER(AD1271)),(AE1271-AD1271)*100,NA())</f>
        <v/>
      </c>
      <c r="AH1271" s="19">
        <f>IF(NOT(ISNUMBER($A1271)),NA(),IFERROR(INDEX(BBG_Data!$T$2:$T$4000,MATCH($A1271,BBG_Data!$S$2:$S$4000,0))*Settings!$B$25,NA()))</f>
        <v/>
      </c>
      <c r="AI1271" s="19">
        <f>IF(NOT(ISNUMBER($A1271)),NA(),IFERROR(INDEX(BBG_Data!$V$2:$V$4000,MATCH($A1271,BBG_Data!$U$2:$U$4000,0))*Settings!$B$25,NA()))</f>
        <v/>
      </c>
      <c r="AJ1271" s="19">
        <f>IF(NOT(ISNUMBER($A1271)),NA(),IFERROR(1*INDEX(BBG_Data!$X$2:$X$4000,MATCH($A1271,BBG_Data!$W$2:$W$4000,0)),NA()))</f>
        <v/>
      </c>
      <c r="AK1271" s="19">
        <f>IF(NOT(ISNUMBER($A1271)),NA(),IFERROR(1*INDEX(BBG_Data!$Z$2:$Z$4000,MATCH($A1271,BBG_Data!$Y$2:$Y$4000,0)),NA()))</f>
        <v/>
      </c>
    </row>
    <row r="1272">
      <c r="A1272" s="17">
        <f>IF(ISNUMBER(BBG_Data!A1272),BBG_Data!A1272,"")</f>
        <v/>
      </c>
      <c r="B1272" s="18">
        <f>IF(AND(ISNUMBER($A1272),ISNUMBER(BBG_Data!B1272)),BBG_Data!B1272,NA())</f>
        <v/>
      </c>
      <c r="C1272" s="18">
        <f>IF(NOT(ISNUMBER($A1272)),NA(),IFERROR(1*INDEX(BBG_Data!$D$2:$D$4000,MATCH($A1272,BBG_Data!$C$2:$C$4000,0)),NA()))</f>
        <v/>
      </c>
      <c r="D1272" s="19">
        <f>IF(NOT(ISNUMBER($A1272)),NA(),IFERROR(1*INDEX(BBG_Data!$F$2:$F$4000,MATCH($A1272,BBG_Data!$E$2:$E$4000,0)),NA()))</f>
        <v/>
      </c>
      <c r="E1272" s="19">
        <f>IF(NOT(ISNUMBER($A1272)),NA(),IFERROR(1*INDEX(BBG_Data!$H$2:$H$4000,MATCH($A1272,BBG_Data!$G$2:$G$4000,0)),NA()))</f>
        <v/>
      </c>
      <c r="F1272" s="20">
        <f>IF(AND(ISNUMBER(B1272),ISNUMBER(B1271)),IF(B1272=B1271,"",(B1272-B1271)*100),"")</f>
        <v/>
      </c>
      <c r="G1272" s="20">
        <f>IF(AND(ISNUMBER(C1272),ISNUMBER(C1271)),IF(C1272=C1271,"",(C1272-C1271)*100),"")</f>
        <v/>
      </c>
      <c r="H1272" s="20">
        <f>IF(OR(NOT(ISNUMBER($A1272)),ROW()-2&lt;Settings!$B$11),NA(),IF(COUNT(OFFSET(F1272,1-Settings!$B$11,0,Settings!$B$11,1))&lt;ROUNDUP(Settings!$B$11*Settings!$B$26,0),NA(),STDEV(OFFSET(F1272,1-Settings!$B$11,0,Settings!$B$11,1))*SQRT(Settings!$B$13)))</f>
        <v/>
      </c>
      <c r="I1272" s="20">
        <f>IF(OR(NOT(ISNUMBER($A1272)),ROW()-2&lt;Settings!$B$12),NA(),IF(COUNT(OFFSET(F1272,1-Settings!$B$12,0,Settings!$B$12,1))&lt;ROUNDUP(Settings!$B$12*Settings!$B$26,0),NA(),STDEV(OFFSET(F1272,1-Settings!$B$12,0,Settings!$B$12,1))*SQRT(Settings!$B$13)))</f>
        <v/>
      </c>
      <c r="J1272" s="20">
        <f>IF(OR(NOT(ISNUMBER($A1272)),ROW()-2&lt;Settings!$B$11),NA(),IF(COUNT(OFFSET(G1272,1-Settings!$B$11,0,Settings!$B$11,1))&lt;ROUNDUP(Settings!$B$11*Settings!$B$26,0),NA(),STDEV(OFFSET(G1272,1-Settings!$B$11,0,Settings!$B$11,1))*SQRT(Settings!$B$13)))</f>
        <v/>
      </c>
      <c r="K1272" s="20">
        <f>IF(OR(NOT(ISNUMBER($A1272)),ROW()-2&lt;Settings!$B$12),NA(),IF(COUNT(OFFSET(G1272,1-Settings!$B$12,0,Settings!$B$12,1))&lt;ROUNDUP(Settings!$B$12*Settings!$B$26,0),NA(),STDEV(OFFSET(G1272,1-Settings!$B$12,0,Settings!$B$12,1))*SQRT(Settings!$B$13)))</f>
        <v/>
      </c>
      <c r="L1272" s="20">
        <f>IF(AND(ISNUMBER(D1272),ISNUMBER(H1272)),D1272-H1272,NA())</f>
        <v/>
      </c>
      <c r="M1272" s="20">
        <f>IF(AND(ISNUMBER(E1272),ISNUMBER(K1272)),E1272-K1272,NA())</f>
        <v/>
      </c>
      <c r="N1272" s="20">
        <f>IF(NOT(ISNUMBER($A1272)),NA(),IF(COUNT(OFFSET(G1272,1,0,Settings!$B$12,1))&lt;ROUNDUP(Settings!$B$12*Settings!$B$26,0),NA(),STDEV(OFFSET(G1272,1,0,Settings!$B$12,1))*SQRT(Settings!$B$13)))</f>
        <v/>
      </c>
      <c r="O1272" s="20">
        <f>IF(AND(ISNUMBER(E1272),ISNUMBER(N1272)),E1272-N1272,NA())</f>
        <v/>
      </c>
      <c r="P1272" s="19">
        <f>IF(NOT(ISNUMBER($A1272)),NA(),IF(OR($A1272&lt;MIN(KW_TP!$A$2:$A$2501),$A1272&gt;MAX(KW_TP!$A$2:$A$2501)),NA(),INDEX(KW_TP!$C$2:$C$2501,MATCH($A1272,KW_TP!$A$2:$A$2501,1))))</f>
        <v/>
      </c>
      <c r="Q1272" s="18">
        <f>IF(NOT(ISNUMBER($A1272)),NA(),IFERROR(1*INDEX(BBG_Data!$J$2:$J$4000,MATCH($A1272,BBG_Data!$I$2:$I$4000,0)),NA()))</f>
        <v/>
      </c>
      <c r="R1272" s="18">
        <f>IF(NOT(ISNUMBER($A1272)),NA(),IFERROR(1*INDEX(BBG_Data!$L$2:$L$4000,MATCH($A1272,BBG_Data!$K$2:$K$4000,0)),NA()))</f>
        <v/>
      </c>
      <c r="S1272" s="20">
        <f>IF(AND(ISNUMBER(B1272),ISNUMBER(Q1272),ISNUMBER(R1272)),(B1272-Q1272-R1272)*100,NA())</f>
        <v/>
      </c>
      <c r="T1272" s="20">
        <f>IF(AND(ISNUMBER(B1272),Settings!$B$17&gt;0),IF(ISNUMBER(INDEX($B:$B,Settings!$B$17)),(B1272-INDEX($B:$B,Settings!$B$17))*100,NA()),NA())</f>
        <v/>
      </c>
      <c r="U1272" s="20">
        <f>IF(AND(ISNUMBER(Q1272),Settings!$B$17&gt;0),IF(ISNUMBER(INDEX($Q:$Q,Settings!$B$17)),(Q1272-INDEX($Q:$Q,Settings!$B$17))*100,NA()),NA())</f>
        <v/>
      </c>
      <c r="V1272" s="20">
        <f>IF(AND(ISNUMBER(R1272),Settings!$B$17&gt;0),IF(ISNUMBER(INDEX($R:$R,Settings!$B$17)),(R1272-INDEX($R:$R,Settings!$B$17))*100,NA()),NA())</f>
        <v/>
      </c>
      <c r="W1272" s="20">
        <f>IF(AND(ISNUMBER(P1272),Settings!$B$17&gt;0),IF(ISNUMBER(INDEX($P:$P,Settings!$B$17)),P1272-INDEX($P:$P,Settings!$B$17),NA()),NA())</f>
        <v/>
      </c>
      <c r="X1272" s="19">
        <f>IF(NOT(ISNUMBER($A1272)),NA(),IF(OR($A1272&lt;MIN(DKW_10Y!$A$2:$A$2918),$A1272&gt;MAX(DKW_10Y!$A$2:$A$2918),Settings!$B$16&lt;MIN(DKW_10Y!$A$2:$A$2918)),NA(),(INDEX(DKW_10Y!$B$2:$B$2918,MATCH($A1272,DKW_10Y!$A$2:$A$2918,1))-INDEX(DKW_10Y!$B$2:$B$2918,MATCH(Settings!$B$16,DKW_10Y!$A$2:$A$2918,1)))*100))</f>
        <v/>
      </c>
      <c r="Y1272" s="19">
        <f>IF(NOT(ISNUMBER($A1272)),NA(),IF(OR($A1272&lt;MIN(DKW_10Y!$A$2:$A$2918),$A1272&gt;MAX(DKW_10Y!$A$2:$A$2918),Settings!$B$16&lt;MIN(DKW_10Y!$A$2:$A$2918)),NA(),(INDEX(DKW_10Y!$C$2:$C$2918,MATCH($A1272,DKW_10Y!$A$2:$A$2918,1))-INDEX(DKW_10Y!$C$2:$C$2918,MATCH(Settings!$B$16,DKW_10Y!$A$2:$A$2918,1)))*100))</f>
        <v/>
      </c>
      <c r="Z1272" s="19">
        <f>IF(NOT(ISNUMBER($A1272)),NA(),IF(OR($A1272&lt;MIN(DKW_10Y!$A$2:$A$2918),$A1272&gt;MAX(DKW_10Y!$A$2:$A$2918),Settings!$B$16&lt;MIN(DKW_10Y!$A$2:$A$2918)),NA(),(INDEX(DKW_10Y!$D$2:$D$2918,MATCH($A1272,DKW_10Y!$A$2:$A$2918,1))-INDEX(DKW_10Y!$D$2:$D$2918,MATCH(Settings!$B$16,DKW_10Y!$A$2:$A$2918,1)))*100))</f>
        <v/>
      </c>
      <c r="AA1272" s="19">
        <f>IF(NOT(ISNUMBER($A1272)),NA(),IF(OR($A1272&lt;MIN(DKW_10Y!$A$2:$A$2918),$A1272&gt;MAX(DKW_10Y!$A$2:$A$2918),Settings!$B$16&lt;MIN(DKW_10Y!$A$2:$A$2918)),NA(),(INDEX(DKW_10Y!$E$2:$E$2918,MATCH($A1272,DKW_10Y!$A$2:$A$2918,1))-INDEX(DKW_10Y!$E$2:$E$2918,MATCH(Settings!$B$16,DKW_10Y!$A$2:$A$2918,1)))*100))</f>
        <v/>
      </c>
      <c r="AB1272" s="19">
        <f>IF(NOT(ISNUMBER($A1272)),NA(),IF(OR($A1272&lt;MIN(DKW_10Y!$A$2:$A$2918),$A1272&gt;MAX(DKW_10Y!$A$2:$A$2918),Settings!$B$16&lt;MIN(DKW_10Y!$A$2:$A$2918)),NA(),(INDEX(DKW_10Y!$H$2:$H$2918,MATCH($A1272,DKW_10Y!$A$2:$A$2918,1))-INDEX(DKW_10Y!$H$2:$H$2918,MATCH(Settings!$B$16,DKW_10Y!$A$2:$A$2918,1)))*100))</f>
        <v/>
      </c>
      <c r="AC1272" s="18">
        <f>IF(NOT(ISNUMBER($A1272)),NA(),IFERROR(1*INDEX(BBG_Data!$N$2:$N$4000,MATCH($A1272,BBG_Data!$M$2:$M$4000,0)),NA()))</f>
        <v/>
      </c>
      <c r="AD1272" s="18">
        <f>IF(NOT(ISNUMBER($A1272)),NA(),IFERROR(1*INDEX(BBG_Data!$P$2:$P$4000,MATCH($A1272,BBG_Data!$O$2:$O$4000,0)),NA()))</f>
        <v/>
      </c>
      <c r="AE1272" s="18">
        <f>IF(NOT(ISNUMBER($A1272)),NA(),IFERROR(1*INDEX(BBG_Data!$R$2:$R$4000,MATCH($A1272,BBG_Data!$Q$2:$Q$4000,0)),NA()))</f>
        <v/>
      </c>
      <c r="AF1272" s="20">
        <f>IF(AND(ISNUMBER(B1272),ISNUMBER(AC1272)),(B1272-AC1272)*100,NA())</f>
        <v/>
      </c>
      <c r="AG1272" s="20">
        <f>IF(AND(ISNUMBER(AE1272),ISNUMBER(AD1272)),(AE1272-AD1272)*100,NA())</f>
        <v/>
      </c>
      <c r="AH1272" s="19">
        <f>IF(NOT(ISNUMBER($A1272)),NA(),IFERROR(INDEX(BBG_Data!$T$2:$T$4000,MATCH($A1272,BBG_Data!$S$2:$S$4000,0))*Settings!$B$25,NA()))</f>
        <v/>
      </c>
      <c r="AI1272" s="19">
        <f>IF(NOT(ISNUMBER($A1272)),NA(),IFERROR(INDEX(BBG_Data!$V$2:$V$4000,MATCH($A1272,BBG_Data!$U$2:$U$4000,0))*Settings!$B$25,NA()))</f>
        <v/>
      </c>
      <c r="AJ1272" s="19">
        <f>IF(NOT(ISNUMBER($A1272)),NA(),IFERROR(1*INDEX(BBG_Data!$X$2:$X$4000,MATCH($A1272,BBG_Data!$W$2:$W$4000,0)),NA()))</f>
        <v/>
      </c>
      <c r="AK1272" s="19">
        <f>IF(NOT(ISNUMBER($A1272)),NA(),IFERROR(1*INDEX(BBG_Data!$Z$2:$Z$4000,MATCH($A1272,BBG_Data!$Y$2:$Y$4000,0)),NA()))</f>
        <v/>
      </c>
    </row>
    <row r="1273">
      <c r="A1273" s="17">
        <f>IF(ISNUMBER(BBG_Data!A1273),BBG_Data!A1273,"")</f>
        <v/>
      </c>
      <c r="B1273" s="18">
        <f>IF(AND(ISNUMBER($A1273),ISNUMBER(BBG_Data!B1273)),BBG_Data!B1273,NA())</f>
        <v/>
      </c>
      <c r="C1273" s="18">
        <f>IF(NOT(ISNUMBER($A1273)),NA(),IFERROR(1*INDEX(BBG_Data!$D$2:$D$4000,MATCH($A1273,BBG_Data!$C$2:$C$4000,0)),NA()))</f>
        <v/>
      </c>
      <c r="D1273" s="19">
        <f>IF(NOT(ISNUMBER($A1273)),NA(),IFERROR(1*INDEX(BBG_Data!$F$2:$F$4000,MATCH($A1273,BBG_Data!$E$2:$E$4000,0)),NA()))</f>
        <v/>
      </c>
      <c r="E1273" s="19">
        <f>IF(NOT(ISNUMBER($A1273)),NA(),IFERROR(1*INDEX(BBG_Data!$H$2:$H$4000,MATCH($A1273,BBG_Data!$G$2:$G$4000,0)),NA()))</f>
        <v/>
      </c>
      <c r="F1273" s="20">
        <f>IF(AND(ISNUMBER(B1273),ISNUMBER(B1272)),IF(B1273=B1272,"",(B1273-B1272)*100),"")</f>
        <v/>
      </c>
      <c r="G1273" s="20">
        <f>IF(AND(ISNUMBER(C1273),ISNUMBER(C1272)),IF(C1273=C1272,"",(C1273-C1272)*100),"")</f>
        <v/>
      </c>
      <c r="H1273" s="20">
        <f>IF(OR(NOT(ISNUMBER($A1273)),ROW()-2&lt;Settings!$B$11),NA(),IF(COUNT(OFFSET(F1273,1-Settings!$B$11,0,Settings!$B$11,1))&lt;ROUNDUP(Settings!$B$11*Settings!$B$26,0),NA(),STDEV(OFFSET(F1273,1-Settings!$B$11,0,Settings!$B$11,1))*SQRT(Settings!$B$13)))</f>
        <v/>
      </c>
      <c r="I1273" s="20">
        <f>IF(OR(NOT(ISNUMBER($A1273)),ROW()-2&lt;Settings!$B$12),NA(),IF(COUNT(OFFSET(F1273,1-Settings!$B$12,0,Settings!$B$12,1))&lt;ROUNDUP(Settings!$B$12*Settings!$B$26,0),NA(),STDEV(OFFSET(F1273,1-Settings!$B$12,0,Settings!$B$12,1))*SQRT(Settings!$B$13)))</f>
        <v/>
      </c>
      <c r="J1273" s="20">
        <f>IF(OR(NOT(ISNUMBER($A1273)),ROW()-2&lt;Settings!$B$11),NA(),IF(COUNT(OFFSET(G1273,1-Settings!$B$11,0,Settings!$B$11,1))&lt;ROUNDUP(Settings!$B$11*Settings!$B$26,0),NA(),STDEV(OFFSET(G1273,1-Settings!$B$11,0,Settings!$B$11,1))*SQRT(Settings!$B$13)))</f>
        <v/>
      </c>
      <c r="K1273" s="20">
        <f>IF(OR(NOT(ISNUMBER($A1273)),ROW()-2&lt;Settings!$B$12),NA(),IF(COUNT(OFFSET(G1273,1-Settings!$B$12,0,Settings!$B$12,1))&lt;ROUNDUP(Settings!$B$12*Settings!$B$26,0),NA(),STDEV(OFFSET(G1273,1-Settings!$B$12,0,Settings!$B$12,1))*SQRT(Settings!$B$13)))</f>
        <v/>
      </c>
      <c r="L1273" s="20">
        <f>IF(AND(ISNUMBER(D1273),ISNUMBER(H1273)),D1273-H1273,NA())</f>
        <v/>
      </c>
      <c r="M1273" s="20">
        <f>IF(AND(ISNUMBER(E1273),ISNUMBER(K1273)),E1273-K1273,NA())</f>
        <v/>
      </c>
      <c r="N1273" s="20">
        <f>IF(NOT(ISNUMBER($A1273)),NA(),IF(COUNT(OFFSET(G1273,1,0,Settings!$B$12,1))&lt;ROUNDUP(Settings!$B$12*Settings!$B$26,0),NA(),STDEV(OFFSET(G1273,1,0,Settings!$B$12,1))*SQRT(Settings!$B$13)))</f>
        <v/>
      </c>
      <c r="O1273" s="20">
        <f>IF(AND(ISNUMBER(E1273),ISNUMBER(N1273)),E1273-N1273,NA())</f>
        <v/>
      </c>
      <c r="P1273" s="19">
        <f>IF(NOT(ISNUMBER($A1273)),NA(),IF(OR($A1273&lt;MIN(KW_TP!$A$2:$A$2501),$A1273&gt;MAX(KW_TP!$A$2:$A$2501)),NA(),INDEX(KW_TP!$C$2:$C$2501,MATCH($A1273,KW_TP!$A$2:$A$2501,1))))</f>
        <v/>
      </c>
      <c r="Q1273" s="18">
        <f>IF(NOT(ISNUMBER($A1273)),NA(),IFERROR(1*INDEX(BBG_Data!$J$2:$J$4000,MATCH($A1273,BBG_Data!$I$2:$I$4000,0)),NA()))</f>
        <v/>
      </c>
      <c r="R1273" s="18">
        <f>IF(NOT(ISNUMBER($A1273)),NA(),IFERROR(1*INDEX(BBG_Data!$L$2:$L$4000,MATCH($A1273,BBG_Data!$K$2:$K$4000,0)),NA()))</f>
        <v/>
      </c>
      <c r="S1273" s="20">
        <f>IF(AND(ISNUMBER(B1273),ISNUMBER(Q1273),ISNUMBER(R1273)),(B1273-Q1273-R1273)*100,NA())</f>
        <v/>
      </c>
      <c r="T1273" s="20">
        <f>IF(AND(ISNUMBER(B1273),Settings!$B$17&gt;0),IF(ISNUMBER(INDEX($B:$B,Settings!$B$17)),(B1273-INDEX($B:$B,Settings!$B$17))*100,NA()),NA())</f>
        <v/>
      </c>
      <c r="U1273" s="20">
        <f>IF(AND(ISNUMBER(Q1273),Settings!$B$17&gt;0),IF(ISNUMBER(INDEX($Q:$Q,Settings!$B$17)),(Q1273-INDEX($Q:$Q,Settings!$B$17))*100,NA()),NA())</f>
        <v/>
      </c>
      <c r="V1273" s="20">
        <f>IF(AND(ISNUMBER(R1273),Settings!$B$17&gt;0),IF(ISNUMBER(INDEX($R:$R,Settings!$B$17)),(R1273-INDEX($R:$R,Settings!$B$17))*100,NA()),NA())</f>
        <v/>
      </c>
      <c r="W1273" s="20">
        <f>IF(AND(ISNUMBER(P1273),Settings!$B$17&gt;0),IF(ISNUMBER(INDEX($P:$P,Settings!$B$17)),P1273-INDEX($P:$P,Settings!$B$17),NA()),NA())</f>
        <v/>
      </c>
      <c r="X1273" s="19">
        <f>IF(NOT(ISNUMBER($A1273)),NA(),IF(OR($A1273&lt;MIN(DKW_10Y!$A$2:$A$2918),$A1273&gt;MAX(DKW_10Y!$A$2:$A$2918),Settings!$B$16&lt;MIN(DKW_10Y!$A$2:$A$2918)),NA(),(INDEX(DKW_10Y!$B$2:$B$2918,MATCH($A1273,DKW_10Y!$A$2:$A$2918,1))-INDEX(DKW_10Y!$B$2:$B$2918,MATCH(Settings!$B$16,DKW_10Y!$A$2:$A$2918,1)))*100))</f>
        <v/>
      </c>
      <c r="Y1273" s="19">
        <f>IF(NOT(ISNUMBER($A1273)),NA(),IF(OR($A1273&lt;MIN(DKW_10Y!$A$2:$A$2918),$A1273&gt;MAX(DKW_10Y!$A$2:$A$2918),Settings!$B$16&lt;MIN(DKW_10Y!$A$2:$A$2918)),NA(),(INDEX(DKW_10Y!$C$2:$C$2918,MATCH($A1273,DKW_10Y!$A$2:$A$2918,1))-INDEX(DKW_10Y!$C$2:$C$2918,MATCH(Settings!$B$16,DKW_10Y!$A$2:$A$2918,1)))*100))</f>
        <v/>
      </c>
      <c r="Z1273" s="19">
        <f>IF(NOT(ISNUMBER($A1273)),NA(),IF(OR($A1273&lt;MIN(DKW_10Y!$A$2:$A$2918),$A1273&gt;MAX(DKW_10Y!$A$2:$A$2918),Settings!$B$16&lt;MIN(DKW_10Y!$A$2:$A$2918)),NA(),(INDEX(DKW_10Y!$D$2:$D$2918,MATCH($A1273,DKW_10Y!$A$2:$A$2918,1))-INDEX(DKW_10Y!$D$2:$D$2918,MATCH(Settings!$B$16,DKW_10Y!$A$2:$A$2918,1)))*100))</f>
        <v/>
      </c>
      <c r="AA1273" s="19">
        <f>IF(NOT(ISNUMBER($A1273)),NA(),IF(OR($A1273&lt;MIN(DKW_10Y!$A$2:$A$2918),$A1273&gt;MAX(DKW_10Y!$A$2:$A$2918),Settings!$B$16&lt;MIN(DKW_10Y!$A$2:$A$2918)),NA(),(INDEX(DKW_10Y!$E$2:$E$2918,MATCH($A1273,DKW_10Y!$A$2:$A$2918,1))-INDEX(DKW_10Y!$E$2:$E$2918,MATCH(Settings!$B$16,DKW_10Y!$A$2:$A$2918,1)))*100))</f>
        <v/>
      </c>
      <c r="AB1273" s="19">
        <f>IF(NOT(ISNUMBER($A1273)),NA(),IF(OR($A1273&lt;MIN(DKW_10Y!$A$2:$A$2918),$A1273&gt;MAX(DKW_10Y!$A$2:$A$2918),Settings!$B$16&lt;MIN(DKW_10Y!$A$2:$A$2918)),NA(),(INDEX(DKW_10Y!$H$2:$H$2918,MATCH($A1273,DKW_10Y!$A$2:$A$2918,1))-INDEX(DKW_10Y!$H$2:$H$2918,MATCH(Settings!$B$16,DKW_10Y!$A$2:$A$2918,1)))*100))</f>
        <v/>
      </c>
      <c r="AC1273" s="18">
        <f>IF(NOT(ISNUMBER($A1273)),NA(),IFERROR(1*INDEX(BBG_Data!$N$2:$N$4000,MATCH($A1273,BBG_Data!$M$2:$M$4000,0)),NA()))</f>
        <v/>
      </c>
      <c r="AD1273" s="18">
        <f>IF(NOT(ISNUMBER($A1273)),NA(),IFERROR(1*INDEX(BBG_Data!$P$2:$P$4000,MATCH($A1273,BBG_Data!$O$2:$O$4000,0)),NA()))</f>
        <v/>
      </c>
      <c r="AE1273" s="18">
        <f>IF(NOT(ISNUMBER($A1273)),NA(),IFERROR(1*INDEX(BBG_Data!$R$2:$R$4000,MATCH($A1273,BBG_Data!$Q$2:$Q$4000,0)),NA()))</f>
        <v/>
      </c>
      <c r="AF1273" s="20">
        <f>IF(AND(ISNUMBER(B1273),ISNUMBER(AC1273)),(B1273-AC1273)*100,NA())</f>
        <v/>
      </c>
      <c r="AG1273" s="20">
        <f>IF(AND(ISNUMBER(AE1273),ISNUMBER(AD1273)),(AE1273-AD1273)*100,NA())</f>
        <v/>
      </c>
      <c r="AH1273" s="19">
        <f>IF(NOT(ISNUMBER($A1273)),NA(),IFERROR(INDEX(BBG_Data!$T$2:$T$4000,MATCH($A1273,BBG_Data!$S$2:$S$4000,0))*Settings!$B$25,NA()))</f>
        <v/>
      </c>
      <c r="AI1273" s="19">
        <f>IF(NOT(ISNUMBER($A1273)),NA(),IFERROR(INDEX(BBG_Data!$V$2:$V$4000,MATCH($A1273,BBG_Data!$U$2:$U$4000,0))*Settings!$B$25,NA()))</f>
        <v/>
      </c>
      <c r="AJ1273" s="19">
        <f>IF(NOT(ISNUMBER($A1273)),NA(),IFERROR(1*INDEX(BBG_Data!$X$2:$X$4000,MATCH($A1273,BBG_Data!$W$2:$W$4000,0)),NA()))</f>
        <v/>
      </c>
      <c r="AK1273" s="19">
        <f>IF(NOT(ISNUMBER($A1273)),NA(),IFERROR(1*INDEX(BBG_Data!$Z$2:$Z$4000,MATCH($A1273,BBG_Data!$Y$2:$Y$4000,0)),NA()))</f>
        <v/>
      </c>
    </row>
    <row r="1274">
      <c r="A1274" s="17">
        <f>IF(ISNUMBER(BBG_Data!A1274),BBG_Data!A1274,"")</f>
        <v/>
      </c>
      <c r="B1274" s="18">
        <f>IF(AND(ISNUMBER($A1274),ISNUMBER(BBG_Data!B1274)),BBG_Data!B1274,NA())</f>
        <v/>
      </c>
      <c r="C1274" s="18">
        <f>IF(NOT(ISNUMBER($A1274)),NA(),IFERROR(1*INDEX(BBG_Data!$D$2:$D$4000,MATCH($A1274,BBG_Data!$C$2:$C$4000,0)),NA()))</f>
        <v/>
      </c>
      <c r="D1274" s="19">
        <f>IF(NOT(ISNUMBER($A1274)),NA(),IFERROR(1*INDEX(BBG_Data!$F$2:$F$4000,MATCH($A1274,BBG_Data!$E$2:$E$4000,0)),NA()))</f>
        <v/>
      </c>
      <c r="E1274" s="19">
        <f>IF(NOT(ISNUMBER($A1274)),NA(),IFERROR(1*INDEX(BBG_Data!$H$2:$H$4000,MATCH($A1274,BBG_Data!$G$2:$G$4000,0)),NA()))</f>
        <v/>
      </c>
      <c r="F1274" s="20">
        <f>IF(AND(ISNUMBER(B1274),ISNUMBER(B1273)),IF(B1274=B1273,"",(B1274-B1273)*100),"")</f>
        <v/>
      </c>
      <c r="G1274" s="20">
        <f>IF(AND(ISNUMBER(C1274),ISNUMBER(C1273)),IF(C1274=C1273,"",(C1274-C1273)*100),"")</f>
        <v/>
      </c>
      <c r="H1274" s="20">
        <f>IF(OR(NOT(ISNUMBER($A1274)),ROW()-2&lt;Settings!$B$11),NA(),IF(COUNT(OFFSET(F1274,1-Settings!$B$11,0,Settings!$B$11,1))&lt;ROUNDUP(Settings!$B$11*Settings!$B$26,0),NA(),STDEV(OFFSET(F1274,1-Settings!$B$11,0,Settings!$B$11,1))*SQRT(Settings!$B$13)))</f>
        <v/>
      </c>
      <c r="I1274" s="20">
        <f>IF(OR(NOT(ISNUMBER($A1274)),ROW()-2&lt;Settings!$B$12),NA(),IF(COUNT(OFFSET(F1274,1-Settings!$B$12,0,Settings!$B$12,1))&lt;ROUNDUP(Settings!$B$12*Settings!$B$26,0),NA(),STDEV(OFFSET(F1274,1-Settings!$B$12,0,Settings!$B$12,1))*SQRT(Settings!$B$13)))</f>
        <v/>
      </c>
      <c r="J1274" s="20">
        <f>IF(OR(NOT(ISNUMBER($A1274)),ROW()-2&lt;Settings!$B$11),NA(),IF(COUNT(OFFSET(G1274,1-Settings!$B$11,0,Settings!$B$11,1))&lt;ROUNDUP(Settings!$B$11*Settings!$B$26,0),NA(),STDEV(OFFSET(G1274,1-Settings!$B$11,0,Settings!$B$11,1))*SQRT(Settings!$B$13)))</f>
        <v/>
      </c>
      <c r="K1274" s="20">
        <f>IF(OR(NOT(ISNUMBER($A1274)),ROW()-2&lt;Settings!$B$12),NA(),IF(COUNT(OFFSET(G1274,1-Settings!$B$12,0,Settings!$B$12,1))&lt;ROUNDUP(Settings!$B$12*Settings!$B$26,0),NA(),STDEV(OFFSET(G1274,1-Settings!$B$12,0,Settings!$B$12,1))*SQRT(Settings!$B$13)))</f>
        <v/>
      </c>
      <c r="L1274" s="20">
        <f>IF(AND(ISNUMBER(D1274),ISNUMBER(H1274)),D1274-H1274,NA())</f>
        <v/>
      </c>
      <c r="M1274" s="20">
        <f>IF(AND(ISNUMBER(E1274),ISNUMBER(K1274)),E1274-K1274,NA())</f>
        <v/>
      </c>
      <c r="N1274" s="20">
        <f>IF(NOT(ISNUMBER($A1274)),NA(),IF(COUNT(OFFSET(G1274,1,0,Settings!$B$12,1))&lt;ROUNDUP(Settings!$B$12*Settings!$B$26,0),NA(),STDEV(OFFSET(G1274,1,0,Settings!$B$12,1))*SQRT(Settings!$B$13)))</f>
        <v/>
      </c>
      <c r="O1274" s="20">
        <f>IF(AND(ISNUMBER(E1274),ISNUMBER(N1274)),E1274-N1274,NA())</f>
        <v/>
      </c>
      <c r="P1274" s="19">
        <f>IF(NOT(ISNUMBER($A1274)),NA(),IF(OR($A1274&lt;MIN(KW_TP!$A$2:$A$2501),$A1274&gt;MAX(KW_TP!$A$2:$A$2501)),NA(),INDEX(KW_TP!$C$2:$C$2501,MATCH($A1274,KW_TP!$A$2:$A$2501,1))))</f>
        <v/>
      </c>
      <c r="Q1274" s="18">
        <f>IF(NOT(ISNUMBER($A1274)),NA(),IFERROR(1*INDEX(BBG_Data!$J$2:$J$4000,MATCH($A1274,BBG_Data!$I$2:$I$4000,0)),NA()))</f>
        <v/>
      </c>
      <c r="R1274" s="18">
        <f>IF(NOT(ISNUMBER($A1274)),NA(),IFERROR(1*INDEX(BBG_Data!$L$2:$L$4000,MATCH($A1274,BBG_Data!$K$2:$K$4000,0)),NA()))</f>
        <v/>
      </c>
      <c r="S1274" s="20">
        <f>IF(AND(ISNUMBER(B1274),ISNUMBER(Q1274),ISNUMBER(R1274)),(B1274-Q1274-R1274)*100,NA())</f>
        <v/>
      </c>
      <c r="T1274" s="20">
        <f>IF(AND(ISNUMBER(B1274),Settings!$B$17&gt;0),IF(ISNUMBER(INDEX($B:$B,Settings!$B$17)),(B1274-INDEX($B:$B,Settings!$B$17))*100,NA()),NA())</f>
        <v/>
      </c>
      <c r="U1274" s="20">
        <f>IF(AND(ISNUMBER(Q1274),Settings!$B$17&gt;0),IF(ISNUMBER(INDEX($Q:$Q,Settings!$B$17)),(Q1274-INDEX($Q:$Q,Settings!$B$17))*100,NA()),NA())</f>
        <v/>
      </c>
      <c r="V1274" s="20">
        <f>IF(AND(ISNUMBER(R1274),Settings!$B$17&gt;0),IF(ISNUMBER(INDEX($R:$R,Settings!$B$17)),(R1274-INDEX($R:$R,Settings!$B$17))*100,NA()),NA())</f>
        <v/>
      </c>
      <c r="W1274" s="20">
        <f>IF(AND(ISNUMBER(P1274),Settings!$B$17&gt;0),IF(ISNUMBER(INDEX($P:$P,Settings!$B$17)),P1274-INDEX($P:$P,Settings!$B$17),NA()),NA())</f>
        <v/>
      </c>
      <c r="X1274" s="19">
        <f>IF(NOT(ISNUMBER($A1274)),NA(),IF(OR($A1274&lt;MIN(DKW_10Y!$A$2:$A$2918),$A1274&gt;MAX(DKW_10Y!$A$2:$A$2918),Settings!$B$16&lt;MIN(DKW_10Y!$A$2:$A$2918)),NA(),(INDEX(DKW_10Y!$B$2:$B$2918,MATCH($A1274,DKW_10Y!$A$2:$A$2918,1))-INDEX(DKW_10Y!$B$2:$B$2918,MATCH(Settings!$B$16,DKW_10Y!$A$2:$A$2918,1)))*100))</f>
        <v/>
      </c>
      <c r="Y1274" s="19">
        <f>IF(NOT(ISNUMBER($A1274)),NA(),IF(OR($A1274&lt;MIN(DKW_10Y!$A$2:$A$2918),$A1274&gt;MAX(DKW_10Y!$A$2:$A$2918),Settings!$B$16&lt;MIN(DKW_10Y!$A$2:$A$2918)),NA(),(INDEX(DKW_10Y!$C$2:$C$2918,MATCH($A1274,DKW_10Y!$A$2:$A$2918,1))-INDEX(DKW_10Y!$C$2:$C$2918,MATCH(Settings!$B$16,DKW_10Y!$A$2:$A$2918,1)))*100))</f>
        <v/>
      </c>
      <c r="Z1274" s="19">
        <f>IF(NOT(ISNUMBER($A1274)),NA(),IF(OR($A1274&lt;MIN(DKW_10Y!$A$2:$A$2918),$A1274&gt;MAX(DKW_10Y!$A$2:$A$2918),Settings!$B$16&lt;MIN(DKW_10Y!$A$2:$A$2918)),NA(),(INDEX(DKW_10Y!$D$2:$D$2918,MATCH($A1274,DKW_10Y!$A$2:$A$2918,1))-INDEX(DKW_10Y!$D$2:$D$2918,MATCH(Settings!$B$16,DKW_10Y!$A$2:$A$2918,1)))*100))</f>
        <v/>
      </c>
      <c r="AA1274" s="19">
        <f>IF(NOT(ISNUMBER($A1274)),NA(),IF(OR($A1274&lt;MIN(DKW_10Y!$A$2:$A$2918),$A1274&gt;MAX(DKW_10Y!$A$2:$A$2918),Settings!$B$16&lt;MIN(DKW_10Y!$A$2:$A$2918)),NA(),(INDEX(DKW_10Y!$E$2:$E$2918,MATCH($A1274,DKW_10Y!$A$2:$A$2918,1))-INDEX(DKW_10Y!$E$2:$E$2918,MATCH(Settings!$B$16,DKW_10Y!$A$2:$A$2918,1)))*100))</f>
        <v/>
      </c>
      <c r="AB1274" s="19">
        <f>IF(NOT(ISNUMBER($A1274)),NA(),IF(OR($A1274&lt;MIN(DKW_10Y!$A$2:$A$2918),$A1274&gt;MAX(DKW_10Y!$A$2:$A$2918),Settings!$B$16&lt;MIN(DKW_10Y!$A$2:$A$2918)),NA(),(INDEX(DKW_10Y!$H$2:$H$2918,MATCH($A1274,DKW_10Y!$A$2:$A$2918,1))-INDEX(DKW_10Y!$H$2:$H$2918,MATCH(Settings!$B$16,DKW_10Y!$A$2:$A$2918,1)))*100))</f>
        <v/>
      </c>
      <c r="AC1274" s="18">
        <f>IF(NOT(ISNUMBER($A1274)),NA(),IFERROR(1*INDEX(BBG_Data!$N$2:$N$4000,MATCH($A1274,BBG_Data!$M$2:$M$4000,0)),NA()))</f>
        <v/>
      </c>
      <c r="AD1274" s="18">
        <f>IF(NOT(ISNUMBER($A1274)),NA(),IFERROR(1*INDEX(BBG_Data!$P$2:$P$4000,MATCH($A1274,BBG_Data!$O$2:$O$4000,0)),NA()))</f>
        <v/>
      </c>
      <c r="AE1274" s="18">
        <f>IF(NOT(ISNUMBER($A1274)),NA(),IFERROR(1*INDEX(BBG_Data!$R$2:$R$4000,MATCH($A1274,BBG_Data!$Q$2:$Q$4000,0)),NA()))</f>
        <v/>
      </c>
      <c r="AF1274" s="20">
        <f>IF(AND(ISNUMBER(B1274),ISNUMBER(AC1274)),(B1274-AC1274)*100,NA())</f>
        <v/>
      </c>
      <c r="AG1274" s="20">
        <f>IF(AND(ISNUMBER(AE1274),ISNUMBER(AD1274)),(AE1274-AD1274)*100,NA())</f>
        <v/>
      </c>
      <c r="AH1274" s="19">
        <f>IF(NOT(ISNUMBER($A1274)),NA(),IFERROR(INDEX(BBG_Data!$T$2:$T$4000,MATCH($A1274,BBG_Data!$S$2:$S$4000,0))*Settings!$B$25,NA()))</f>
        <v/>
      </c>
      <c r="AI1274" s="19">
        <f>IF(NOT(ISNUMBER($A1274)),NA(),IFERROR(INDEX(BBG_Data!$V$2:$V$4000,MATCH($A1274,BBG_Data!$U$2:$U$4000,0))*Settings!$B$25,NA()))</f>
        <v/>
      </c>
      <c r="AJ1274" s="19">
        <f>IF(NOT(ISNUMBER($A1274)),NA(),IFERROR(1*INDEX(BBG_Data!$X$2:$X$4000,MATCH($A1274,BBG_Data!$W$2:$W$4000,0)),NA()))</f>
        <v/>
      </c>
      <c r="AK1274" s="19">
        <f>IF(NOT(ISNUMBER($A1274)),NA(),IFERROR(1*INDEX(BBG_Data!$Z$2:$Z$4000,MATCH($A1274,BBG_Data!$Y$2:$Y$4000,0)),NA()))</f>
        <v/>
      </c>
    </row>
    <row r="1275">
      <c r="A1275" s="17">
        <f>IF(ISNUMBER(BBG_Data!A1275),BBG_Data!A1275,"")</f>
        <v/>
      </c>
      <c r="B1275" s="18">
        <f>IF(AND(ISNUMBER($A1275),ISNUMBER(BBG_Data!B1275)),BBG_Data!B1275,NA())</f>
        <v/>
      </c>
      <c r="C1275" s="18">
        <f>IF(NOT(ISNUMBER($A1275)),NA(),IFERROR(1*INDEX(BBG_Data!$D$2:$D$4000,MATCH($A1275,BBG_Data!$C$2:$C$4000,0)),NA()))</f>
        <v/>
      </c>
      <c r="D1275" s="19">
        <f>IF(NOT(ISNUMBER($A1275)),NA(),IFERROR(1*INDEX(BBG_Data!$F$2:$F$4000,MATCH($A1275,BBG_Data!$E$2:$E$4000,0)),NA()))</f>
        <v/>
      </c>
      <c r="E1275" s="19">
        <f>IF(NOT(ISNUMBER($A1275)),NA(),IFERROR(1*INDEX(BBG_Data!$H$2:$H$4000,MATCH($A1275,BBG_Data!$G$2:$G$4000,0)),NA()))</f>
        <v/>
      </c>
      <c r="F1275" s="20">
        <f>IF(AND(ISNUMBER(B1275),ISNUMBER(B1274)),IF(B1275=B1274,"",(B1275-B1274)*100),"")</f>
        <v/>
      </c>
      <c r="G1275" s="20">
        <f>IF(AND(ISNUMBER(C1275),ISNUMBER(C1274)),IF(C1275=C1274,"",(C1275-C1274)*100),"")</f>
        <v/>
      </c>
      <c r="H1275" s="20">
        <f>IF(OR(NOT(ISNUMBER($A1275)),ROW()-2&lt;Settings!$B$11),NA(),IF(COUNT(OFFSET(F1275,1-Settings!$B$11,0,Settings!$B$11,1))&lt;ROUNDUP(Settings!$B$11*Settings!$B$26,0),NA(),STDEV(OFFSET(F1275,1-Settings!$B$11,0,Settings!$B$11,1))*SQRT(Settings!$B$13)))</f>
        <v/>
      </c>
      <c r="I1275" s="20">
        <f>IF(OR(NOT(ISNUMBER($A1275)),ROW()-2&lt;Settings!$B$12),NA(),IF(COUNT(OFFSET(F1275,1-Settings!$B$12,0,Settings!$B$12,1))&lt;ROUNDUP(Settings!$B$12*Settings!$B$26,0),NA(),STDEV(OFFSET(F1275,1-Settings!$B$12,0,Settings!$B$12,1))*SQRT(Settings!$B$13)))</f>
        <v/>
      </c>
      <c r="J1275" s="20">
        <f>IF(OR(NOT(ISNUMBER($A1275)),ROW()-2&lt;Settings!$B$11),NA(),IF(COUNT(OFFSET(G1275,1-Settings!$B$11,0,Settings!$B$11,1))&lt;ROUNDUP(Settings!$B$11*Settings!$B$26,0),NA(),STDEV(OFFSET(G1275,1-Settings!$B$11,0,Settings!$B$11,1))*SQRT(Settings!$B$13)))</f>
        <v/>
      </c>
      <c r="K1275" s="20">
        <f>IF(OR(NOT(ISNUMBER($A1275)),ROW()-2&lt;Settings!$B$12),NA(),IF(COUNT(OFFSET(G1275,1-Settings!$B$12,0,Settings!$B$12,1))&lt;ROUNDUP(Settings!$B$12*Settings!$B$26,0),NA(),STDEV(OFFSET(G1275,1-Settings!$B$12,0,Settings!$B$12,1))*SQRT(Settings!$B$13)))</f>
        <v/>
      </c>
      <c r="L1275" s="20">
        <f>IF(AND(ISNUMBER(D1275),ISNUMBER(H1275)),D1275-H1275,NA())</f>
        <v/>
      </c>
      <c r="M1275" s="20">
        <f>IF(AND(ISNUMBER(E1275),ISNUMBER(K1275)),E1275-K1275,NA())</f>
        <v/>
      </c>
      <c r="N1275" s="20">
        <f>IF(NOT(ISNUMBER($A1275)),NA(),IF(COUNT(OFFSET(G1275,1,0,Settings!$B$12,1))&lt;ROUNDUP(Settings!$B$12*Settings!$B$26,0),NA(),STDEV(OFFSET(G1275,1,0,Settings!$B$12,1))*SQRT(Settings!$B$13)))</f>
        <v/>
      </c>
      <c r="O1275" s="20">
        <f>IF(AND(ISNUMBER(E1275),ISNUMBER(N1275)),E1275-N1275,NA())</f>
        <v/>
      </c>
      <c r="P1275" s="19">
        <f>IF(NOT(ISNUMBER($A1275)),NA(),IF(OR($A1275&lt;MIN(KW_TP!$A$2:$A$2501),$A1275&gt;MAX(KW_TP!$A$2:$A$2501)),NA(),INDEX(KW_TP!$C$2:$C$2501,MATCH($A1275,KW_TP!$A$2:$A$2501,1))))</f>
        <v/>
      </c>
      <c r="Q1275" s="18">
        <f>IF(NOT(ISNUMBER($A1275)),NA(),IFERROR(1*INDEX(BBG_Data!$J$2:$J$4000,MATCH($A1275,BBG_Data!$I$2:$I$4000,0)),NA()))</f>
        <v/>
      </c>
      <c r="R1275" s="18">
        <f>IF(NOT(ISNUMBER($A1275)),NA(),IFERROR(1*INDEX(BBG_Data!$L$2:$L$4000,MATCH($A1275,BBG_Data!$K$2:$K$4000,0)),NA()))</f>
        <v/>
      </c>
      <c r="S1275" s="20">
        <f>IF(AND(ISNUMBER(B1275),ISNUMBER(Q1275),ISNUMBER(R1275)),(B1275-Q1275-R1275)*100,NA())</f>
        <v/>
      </c>
      <c r="T1275" s="20">
        <f>IF(AND(ISNUMBER(B1275),Settings!$B$17&gt;0),IF(ISNUMBER(INDEX($B:$B,Settings!$B$17)),(B1275-INDEX($B:$B,Settings!$B$17))*100,NA()),NA())</f>
        <v/>
      </c>
      <c r="U1275" s="20">
        <f>IF(AND(ISNUMBER(Q1275),Settings!$B$17&gt;0),IF(ISNUMBER(INDEX($Q:$Q,Settings!$B$17)),(Q1275-INDEX($Q:$Q,Settings!$B$17))*100,NA()),NA())</f>
        <v/>
      </c>
      <c r="V1275" s="20">
        <f>IF(AND(ISNUMBER(R1275),Settings!$B$17&gt;0),IF(ISNUMBER(INDEX($R:$R,Settings!$B$17)),(R1275-INDEX($R:$R,Settings!$B$17))*100,NA()),NA())</f>
        <v/>
      </c>
      <c r="W1275" s="20">
        <f>IF(AND(ISNUMBER(P1275),Settings!$B$17&gt;0),IF(ISNUMBER(INDEX($P:$P,Settings!$B$17)),P1275-INDEX($P:$P,Settings!$B$17),NA()),NA())</f>
        <v/>
      </c>
      <c r="X1275" s="19">
        <f>IF(NOT(ISNUMBER($A1275)),NA(),IF(OR($A1275&lt;MIN(DKW_10Y!$A$2:$A$2918),$A1275&gt;MAX(DKW_10Y!$A$2:$A$2918),Settings!$B$16&lt;MIN(DKW_10Y!$A$2:$A$2918)),NA(),(INDEX(DKW_10Y!$B$2:$B$2918,MATCH($A1275,DKW_10Y!$A$2:$A$2918,1))-INDEX(DKW_10Y!$B$2:$B$2918,MATCH(Settings!$B$16,DKW_10Y!$A$2:$A$2918,1)))*100))</f>
        <v/>
      </c>
      <c r="Y1275" s="19">
        <f>IF(NOT(ISNUMBER($A1275)),NA(),IF(OR($A1275&lt;MIN(DKW_10Y!$A$2:$A$2918),$A1275&gt;MAX(DKW_10Y!$A$2:$A$2918),Settings!$B$16&lt;MIN(DKW_10Y!$A$2:$A$2918)),NA(),(INDEX(DKW_10Y!$C$2:$C$2918,MATCH($A1275,DKW_10Y!$A$2:$A$2918,1))-INDEX(DKW_10Y!$C$2:$C$2918,MATCH(Settings!$B$16,DKW_10Y!$A$2:$A$2918,1)))*100))</f>
        <v/>
      </c>
      <c r="Z1275" s="19">
        <f>IF(NOT(ISNUMBER($A1275)),NA(),IF(OR($A1275&lt;MIN(DKW_10Y!$A$2:$A$2918),$A1275&gt;MAX(DKW_10Y!$A$2:$A$2918),Settings!$B$16&lt;MIN(DKW_10Y!$A$2:$A$2918)),NA(),(INDEX(DKW_10Y!$D$2:$D$2918,MATCH($A1275,DKW_10Y!$A$2:$A$2918,1))-INDEX(DKW_10Y!$D$2:$D$2918,MATCH(Settings!$B$16,DKW_10Y!$A$2:$A$2918,1)))*100))</f>
        <v/>
      </c>
      <c r="AA1275" s="19">
        <f>IF(NOT(ISNUMBER($A1275)),NA(),IF(OR($A1275&lt;MIN(DKW_10Y!$A$2:$A$2918),$A1275&gt;MAX(DKW_10Y!$A$2:$A$2918),Settings!$B$16&lt;MIN(DKW_10Y!$A$2:$A$2918)),NA(),(INDEX(DKW_10Y!$E$2:$E$2918,MATCH($A1275,DKW_10Y!$A$2:$A$2918,1))-INDEX(DKW_10Y!$E$2:$E$2918,MATCH(Settings!$B$16,DKW_10Y!$A$2:$A$2918,1)))*100))</f>
        <v/>
      </c>
      <c r="AB1275" s="19">
        <f>IF(NOT(ISNUMBER($A1275)),NA(),IF(OR($A1275&lt;MIN(DKW_10Y!$A$2:$A$2918),$A1275&gt;MAX(DKW_10Y!$A$2:$A$2918),Settings!$B$16&lt;MIN(DKW_10Y!$A$2:$A$2918)),NA(),(INDEX(DKW_10Y!$H$2:$H$2918,MATCH($A1275,DKW_10Y!$A$2:$A$2918,1))-INDEX(DKW_10Y!$H$2:$H$2918,MATCH(Settings!$B$16,DKW_10Y!$A$2:$A$2918,1)))*100))</f>
        <v/>
      </c>
      <c r="AC1275" s="18">
        <f>IF(NOT(ISNUMBER($A1275)),NA(),IFERROR(1*INDEX(BBG_Data!$N$2:$N$4000,MATCH($A1275,BBG_Data!$M$2:$M$4000,0)),NA()))</f>
        <v/>
      </c>
      <c r="AD1275" s="18">
        <f>IF(NOT(ISNUMBER($A1275)),NA(),IFERROR(1*INDEX(BBG_Data!$P$2:$P$4000,MATCH($A1275,BBG_Data!$O$2:$O$4000,0)),NA()))</f>
        <v/>
      </c>
      <c r="AE1275" s="18">
        <f>IF(NOT(ISNUMBER($A1275)),NA(),IFERROR(1*INDEX(BBG_Data!$R$2:$R$4000,MATCH($A1275,BBG_Data!$Q$2:$Q$4000,0)),NA()))</f>
        <v/>
      </c>
      <c r="AF1275" s="20">
        <f>IF(AND(ISNUMBER(B1275),ISNUMBER(AC1275)),(B1275-AC1275)*100,NA())</f>
        <v/>
      </c>
      <c r="AG1275" s="20">
        <f>IF(AND(ISNUMBER(AE1275),ISNUMBER(AD1275)),(AE1275-AD1275)*100,NA())</f>
        <v/>
      </c>
      <c r="AH1275" s="19">
        <f>IF(NOT(ISNUMBER($A1275)),NA(),IFERROR(INDEX(BBG_Data!$T$2:$T$4000,MATCH($A1275,BBG_Data!$S$2:$S$4000,0))*Settings!$B$25,NA()))</f>
        <v/>
      </c>
      <c r="AI1275" s="19">
        <f>IF(NOT(ISNUMBER($A1275)),NA(),IFERROR(INDEX(BBG_Data!$V$2:$V$4000,MATCH($A1275,BBG_Data!$U$2:$U$4000,0))*Settings!$B$25,NA()))</f>
        <v/>
      </c>
      <c r="AJ1275" s="19">
        <f>IF(NOT(ISNUMBER($A1275)),NA(),IFERROR(1*INDEX(BBG_Data!$X$2:$X$4000,MATCH($A1275,BBG_Data!$W$2:$W$4000,0)),NA()))</f>
        <v/>
      </c>
      <c r="AK1275" s="19">
        <f>IF(NOT(ISNUMBER($A1275)),NA(),IFERROR(1*INDEX(BBG_Data!$Z$2:$Z$4000,MATCH($A1275,BBG_Data!$Y$2:$Y$4000,0)),NA()))</f>
        <v/>
      </c>
    </row>
    <row r="1276">
      <c r="A1276" s="17">
        <f>IF(ISNUMBER(BBG_Data!A1276),BBG_Data!A1276,"")</f>
        <v/>
      </c>
      <c r="B1276" s="18">
        <f>IF(AND(ISNUMBER($A1276),ISNUMBER(BBG_Data!B1276)),BBG_Data!B1276,NA())</f>
        <v/>
      </c>
      <c r="C1276" s="18">
        <f>IF(NOT(ISNUMBER($A1276)),NA(),IFERROR(1*INDEX(BBG_Data!$D$2:$D$4000,MATCH($A1276,BBG_Data!$C$2:$C$4000,0)),NA()))</f>
        <v/>
      </c>
      <c r="D1276" s="19">
        <f>IF(NOT(ISNUMBER($A1276)),NA(),IFERROR(1*INDEX(BBG_Data!$F$2:$F$4000,MATCH($A1276,BBG_Data!$E$2:$E$4000,0)),NA()))</f>
        <v/>
      </c>
      <c r="E1276" s="19">
        <f>IF(NOT(ISNUMBER($A1276)),NA(),IFERROR(1*INDEX(BBG_Data!$H$2:$H$4000,MATCH($A1276,BBG_Data!$G$2:$G$4000,0)),NA()))</f>
        <v/>
      </c>
      <c r="F1276" s="20">
        <f>IF(AND(ISNUMBER(B1276),ISNUMBER(B1275)),IF(B1276=B1275,"",(B1276-B1275)*100),"")</f>
        <v/>
      </c>
      <c r="G1276" s="20">
        <f>IF(AND(ISNUMBER(C1276),ISNUMBER(C1275)),IF(C1276=C1275,"",(C1276-C1275)*100),"")</f>
        <v/>
      </c>
      <c r="H1276" s="20">
        <f>IF(OR(NOT(ISNUMBER($A1276)),ROW()-2&lt;Settings!$B$11),NA(),IF(COUNT(OFFSET(F1276,1-Settings!$B$11,0,Settings!$B$11,1))&lt;ROUNDUP(Settings!$B$11*Settings!$B$26,0),NA(),STDEV(OFFSET(F1276,1-Settings!$B$11,0,Settings!$B$11,1))*SQRT(Settings!$B$13)))</f>
        <v/>
      </c>
      <c r="I1276" s="20">
        <f>IF(OR(NOT(ISNUMBER($A1276)),ROW()-2&lt;Settings!$B$12),NA(),IF(COUNT(OFFSET(F1276,1-Settings!$B$12,0,Settings!$B$12,1))&lt;ROUNDUP(Settings!$B$12*Settings!$B$26,0),NA(),STDEV(OFFSET(F1276,1-Settings!$B$12,0,Settings!$B$12,1))*SQRT(Settings!$B$13)))</f>
        <v/>
      </c>
      <c r="J1276" s="20">
        <f>IF(OR(NOT(ISNUMBER($A1276)),ROW()-2&lt;Settings!$B$11),NA(),IF(COUNT(OFFSET(G1276,1-Settings!$B$11,0,Settings!$B$11,1))&lt;ROUNDUP(Settings!$B$11*Settings!$B$26,0),NA(),STDEV(OFFSET(G1276,1-Settings!$B$11,0,Settings!$B$11,1))*SQRT(Settings!$B$13)))</f>
        <v/>
      </c>
      <c r="K1276" s="20">
        <f>IF(OR(NOT(ISNUMBER($A1276)),ROW()-2&lt;Settings!$B$12),NA(),IF(COUNT(OFFSET(G1276,1-Settings!$B$12,0,Settings!$B$12,1))&lt;ROUNDUP(Settings!$B$12*Settings!$B$26,0),NA(),STDEV(OFFSET(G1276,1-Settings!$B$12,0,Settings!$B$12,1))*SQRT(Settings!$B$13)))</f>
        <v/>
      </c>
      <c r="L1276" s="20">
        <f>IF(AND(ISNUMBER(D1276),ISNUMBER(H1276)),D1276-H1276,NA())</f>
        <v/>
      </c>
      <c r="M1276" s="20">
        <f>IF(AND(ISNUMBER(E1276),ISNUMBER(K1276)),E1276-K1276,NA())</f>
        <v/>
      </c>
      <c r="N1276" s="20">
        <f>IF(NOT(ISNUMBER($A1276)),NA(),IF(COUNT(OFFSET(G1276,1,0,Settings!$B$12,1))&lt;ROUNDUP(Settings!$B$12*Settings!$B$26,0),NA(),STDEV(OFFSET(G1276,1,0,Settings!$B$12,1))*SQRT(Settings!$B$13)))</f>
        <v/>
      </c>
      <c r="O1276" s="20">
        <f>IF(AND(ISNUMBER(E1276),ISNUMBER(N1276)),E1276-N1276,NA())</f>
        <v/>
      </c>
      <c r="P1276" s="19">
        <f>IF(NOT(ISNUMBER($A1276)),NA(),IF(OR($A1276&lt;MIN(KW_TP!$A$2:$A$2501),$A1276&gt;MAX(KW_TP!$A$2:$A$2501)),NA(),INDEX(KW_TP!$C$2:$C$2501,MATCH($A1276,KW_TP!$A$2:$A$2501,1))))</f>
        <v/>
      </c>
      <c r="Q1276" s="18">
        <f>IF(NOT(ISNUMBER($A1276)),NA(),IFERROR(1*INDEX(BBG_Data!$J$2:$J$4000,MATCH($A1276,BBG_Data!$I$2:$I$4000,0)),NA()))</f>
        <v/>
      </c>
      <c r="R1276" s="18">
        <f>IF(NOT(ISNUMBER($A1276)),NA(),IFERROR(1*INDEX(BBG_Data!$L$2:$L$4000,MATCH($A1276,BBG_Data!$K$2:$K$4000,0)),NA()))</f>
        <v/>
      </c>
      <c r="S1276" s="20">
        <f>IF(AND(ISNUMBER(B1276),ISNUMBER(Q1276),ISNUMBER(R1276)),(B1276-Q1276-R1276)*100,NA())</f>
        <v/>
      </c>
      <c r="T1276" s="20">
        <f>IF(AND(ISNUMBER(B1276),Settings!$B$17&gt;0),IF(ISNUMBER(INDEX($B:$B,Settings!$B$17)),(B1276-INDEX($B:$B,Settings!$B$17))*100,NA()),NA())</f>
        <v/>
      </c>
      <c r="U1276" s="20">
        <f>IF(AND(ISNUMBER(Q1276),Settings!$B$17&gt;0),IF(ISNUMBER(INDEX($Q:$Q,Settings!$B$17)),(Q1276-INDEX($Q:$Q,Settings!$B$17))*100,NA()),NA())</f>
        <v/>
      </c>
      <c r="V1276" s="20">
        <f>IF(AND(ISNUMBER(R1276),Settings!$B$17&gt;0),IF(ISNUMBER(INDEX($R:$R,Settings!$B$17)),(R1276-INDEX($R:$R,Settings!$B$17))*100,NA()),NA())</f>
        <v/>
      </c>
      <c r="W1276" s="20">
        <f>IF(AND(ISNUMBER(P1276),Settings!$B$17&gt;0),IF(ISNUMBER(INDEX($P:$P,Settings!$B$17)),P1276-INDEX($P:$P,Settings!$B$17),NA()),NA())</f>
        <v/>
      </c>
      <c r="X1276" s="19">
        <f>IF(NOT(ISNUMBER($A1276)),NA(),IF(OR($A1276&lt;MIN(DKW_10Y!$A$2:$A$2918),$A1276&gt;MAX(DKW_10Y!$A$2:$A$2918),Settings!$B$16&lt;MIN(DKW_10Y!$A$2:$A$2918)),NA(),(INDEX(DKW_10Y!$B$2:$B$2918,MATCH($A1276,DKW_10Y!$A$2:$A$2918,1))-INDEX(DKW_10Y!$B$2:$B$2918,MATCH(Settings!$B$16,DKW_10Y!$A$2:$A$2918,1)))*100))</f>
        <v/>
      </c>
      <c r="Y1276" s="19">
        <f>IF(NOT(ISNUMBER($A1276)),NA(),IF(OR($A1276&lt;MIN(DKW_10Y!$A$2:$A$2918),$A1276&gt;MAX(DKW_10Y!$A$2:$A$2918),Settings!$B$16&lt;MIN(DKW_10Y!$A$2:$A$2918)),NA(),(INDEX(DKW_10Y!$C$2:$C$2918,MATCH($A1276,DKW_10Y!$A$2:$A$2918,1))-INDEX(DKW_10Y!$C$2:$C$2918,MATCH(Settings!$B$16,DKW_10Y!$A$2:$A$2918,1)))*100))</f>
        <v/>
      </c>
      <c r="Z1276" s="19">
        <f>IF(NOT(ISNUMBER($A1276)),NA(),IF(OR($A1276&lt;MIN(DKW_10Y!$A$2:$A$2918),$A1276&gt;MAX(DKW_10Y!$A$2:$A$2918),Settings!$B$16&lt;MIN(DKW_10Y!$A$2:$A$2918)),NA(),(INDEX(DKW_10Y!$D$2:$D$2918,MATCH($A1276,DKW_10Y!$A$2:$A$2918,1))-INDEX(DKW_10Y!$D$2:$D$2918,MATCH(Settings!$B$16,DKW_10Y!$A$2:$A$2918,1)))*100))</f>
        <v/>
      </c>
      <c r="AA1276" s="19">
        <f>IF(NOT(ISNUMBER($A1276)),NA(),IF(OR($A1276&lt;MIN(DKW_10Y!$A$2:$A$2918),$A1276&gt;MAX(DKW_10Y!$A$2:$A$2918),Settings!$B$16&lt;MIN(DKW_10Y!$A$2:$A$2918)),NA(),(INDEX(DKW_10Y!$E$2:$E$2918,MATCH($A1276,DKW_10Y!$A$2:$A$2918,1))-INDEX(DKW_10Y!$E$2:$E$2918,MATCH(Settings!$B$16,DKW_10Y!$A$2:$A$2918,1)))*100))</f>
        <v/>
      </c>
      <c r="AB1276" s="19">
        <f>IF(NOT(ISNUMBER($A1276)),NA(),IF(OR($A1276&lt;MIN(DKW_10Y!$A$2:$A$2918),$A1276&gt;MAX(DKW_10Y!$A$2:$A$2918),Settings!$B$16&lt;MIN(DKW_10Y!$A$2:$A$2918)),NA(),(INDEX(DKW_10Y!$H$2:$H$2918,MATCH($A1276,DKW_10Y!$A$2:$A$2918,1))-INDEX(DKW_10Y!$H$2:$H$2918,MATCH(Settings!$B$16,DKW_10Y!$A$2:$A$2918,1)))*100))</f>
        <v/>
      </c>
      <c r="AC1276" s="18">
        <f>IF(NOT(ISNUMBER($A1276)),NA(),IFERROR(1*INDEX(BBG_Data!$N$2:$N$4000,MATCH($A1276,BBG_Data!$M$2:$M$4000,0)),NA()))</f>
        <v/>
      </c>
      <c r="AD1276" s="18">
        <f>IF(NOT(ISNUMBER($A1276)),NA(),IFERROR(1*INDEX(BBG_Data!$P$2:$P$4000,MATCH($A1276,BBG_Data!$O$2:$O$4000,0)),NA()))</f>
        <v/>
      </c>
      <c r="AE1276" s="18">
        <f>IF(NOT(ISNUMBER($A1276)),NA(),IFERROR(1*INDEX(BBG_Data!$R$2:$R$4000,MATCH($A1276,BBG_Data!$Q$2:$Q$4000,0)),NA()))</f>
        <v/>
      </c>
      <c r="AF1276" s="20">
        <f>IF(AND(ISNUMBER(B1276),ISNUMBER(AC1276)),(B1276-AC1276)*100,NA())</f>
        <v/>
      </c>
      <c r="AG1276" s="20">
        <f>IF(AND(ISNUMBER(AE1276),ISNUMBER(AD1276)),(AE1276-AD1276)*100,NA())</f>
        <v/>
      </c>
      <c r="AH1276" s="19">
        <f>IF(NOT(ISNUMBER($A1276)),NA(),IFERROR(INDEX(BBG_Data!$T$2:$T$4000,MATCH($A1276,BBG_Data!$S$2:$S$4000,0))*Settings!$B$25,NA()))</f>
        <v/>
      </c>
      <c r="AI1276" s="19">
        <f>IF(NOT(ISNUMBER($A1276)),NA(),IFERROR(INDEX(BBG_Data!$V$2:$V$4000,MATCH($A1276,BBG_Data!$U$2:$U$4000,0))*Settings!$B$25,NA()))</f>
        <v/>
      </c>
      <c r="AJ1276" s="19">
        <f>IF(NOT(ISNUMBER($A1276)),NA(),IFERROR(1*INDEX(BBG_Data!$X$2:$X$4000,MATCH($A1276,BBG_Data!$W$2:$W$4000,0)),NA()))</f>
        <v/>
      </c>
      <c r="AK1276" s="19">
        <f>IF(NOT(ISNUMBER($A1276)),NA(),IFERROR(1*INDEX(BBG_Data!$Z$2:$Z$4000,MATCH($A1276,BBG_Data!$Y$2:$Y$4000,0)),NA()))</f>
        <v/>
      </c>
    </row>
    <row r="1277">
      <c r="A1277" s="17">
        <f>IF(ISNUMBER(BBG_Data!A1277),BBG_Data!A1277,"")</f>
        <v/>
      </c>
      <c r="B1277" s="18">
        <f>IF(AND(ISNUMBER($A1277),ISNUMBER(BBG_Data!B1277)),BBG_Data!B1277,NA())</f>
        <v/>
      </c>
      <c r="C1277" s="18">
        <f>IF(NOT(ISNUMBER($A1277)),NA(),IFERROR(1*INDEX(BBG_Data!$D$2:$D$4000,MATCH($A1277,BBG_Data!$C$2:$C$4000,0)),NA()))</f>
        <v/>
      </c>
      <c r="D1277" s="19">
        <f>IF(NOT(ISNUMBER($A1277)),NA(),IFERROR(1*INDEX(BBG_Data!$F$2:$F$4000,MATCH($A1277,BBG_Data!$E$2:$E$4000,0)),NA()))</f>
        <v/>
      </c>
      <c r="E1277" s="19">
        <f>IF(NOT(ISNUMBER($A1277)),NA(),IFERROR(1*INDEX(BBG_Data!$H$2:$H$4000,MATCH($A1277,BBG_Data!$G$2:$G$4000,0)),NA()))</f>
        <v/>
      </c>
      <c r="F1277" s="20">
        <f>IF(AND(ISNUMBER(B1277),ISNUMBER(B1276)),IF(B1277=B1276,"",(B1277-B1276)*100),"")</f>
        <v/>
      </c>
      <c r="G1277" s="20">
        <f>IF(AND(ISNUMBER(C1277),ISNUMBER(C1276)),IF(C1277=C1276,"",(C1277-C1276)*100),"")</f>
        <v/>
      </c>
      <c r="H1277" s="20">
        <f>IF(OR(NOT(ISNUMBER($A1277)),ROW()-2&lt;Settings!$B$11),NA(),IF(COUNT(OFFSET(F1277,1-Settings!$B$11,0,Settings!$B$11,1))&lt;ROUNDUP(Settings!$B$11*Settings!$B$26,0),NA(),STDEV(OFFSET(F1277,1-Settings!$B$11,0,Settings!$B$11,1))*SQRT(Settings!$B$13)))</f>
        <v/>
      </c>
      <c r="I1277" s="20">
        <f>IF(OR(NOT(ISNUMBER($A1277)),ROW()-2&lt;Settings!$B$12),NA(),IF(COUNT(OFFSET(F1277,1-Settings!$B$12,0,Settings!$B$12,1))&lt;ROUNDUP(Settings!$B$12*Settings!$B$26,0),NA(),STDEV(OFFSET(F1277,1-Settings!$B$12,0,Settings!$B$12,1))*SQRT(Settings!$B$13)))</f>
        <v/>
      </c>
      <c r="J1277" s="20">
        <f>IF(OR(NOT(ISNUMBER($A1277)),ROW()-2&lt;Settings!$B$11),NA(),IF(COUNT(OFFSET(G1277,1-Settings!$B$11,0,Settings!$B$11,1))&lt;ROUNDUP(Settings!$B$11*Settings!$B$26,0),NA(),STDEV(OFFSET(G1277,1-Settings!$B$11,0,Settings!$B$11,1))*SQRT(Settings!$B$13)))</f>
        <v/>
      </c>
      <c r="K1277" s="20">
        <f>IF(OR(NOT(ISNUMBER($A1277)),ROW()-2&lt;Settings!$B$12),NA(),IF(COUNT(OFFSET(G1277,1-Settings!$B$12,0,Settings!$B$12,1))&lt;ROUNDUP(Settings!$B$12*Settings!$B$26,0),NA(),STDEV(OFFSET(G1277,1-Settings!$B$12,0,Settings!$B$12,1))*SQRT(Settings!$B$13)))</f>
        <v/>
      </c>
      <c r="L1277" s="20">
        <f>IF(AND(ISNUMBER(D1277),ISNUMBER(H1277)),D1277-H1277,NA())</f>
        <v/>
      </c>
      <c r="M1277" s="20">
        <f>IF(AND(ISNUMBER(E1277),ISNUMBER(K1277)),E1277-K1277,NA())</f>
        <v/>
      </c>
      <c r="N1277" s="20">
        <f>IF(NOT(ISNUMBER($A1277)),NA(),IF(COUNT(OFFSET(G1277,1,0,Settings!$B$12,1))&lt;ROUNDUP(Settings!$B$12*Settings!$B$26,0),NA(),STDEV(OFFSET(G1277,1,0,Settings!$B$12,1))*SQRT(Settings!$B$13)))</f>
        <v/>
      </c>
      <c r="O1277" s="20">
        <f>IF(AND(ISNUMBER(E1277),ISNUMBER(N1277)),E1277-N1277,NA())</f>
        <v/>
      </c>
      <c r="P1277" s="19">
        <f>IF(NOT(ISNUMBER($A1277)),NA(),IF(OR($A1277&lt;MIN(KW_TP!$A$2:$A$2501),$A1277&gt;MAX(KW_TP!$A$2:$A$2501)),NA(),INDEX(KW_TP!$C$2:$C$2501,MATCH($A1277,KW_TP!$A$2:$A$2501,1))))</f>
        <v/>
      </c>
      <c r="Q1277" s="18">
        <f>IF(NOT(ISNUMBER($A1277)),NA(),IFERROR(1*INDEX(BBG_Data!$J$2:$J$4000,MATCH($A1277,BBG_Data!$I$2:$I$4000,0)),NA()))</f>
        <v/>
      </c>
      <c r="R1277" s="18">
        <f>IF(NOT(ISNUMBER($A1277)),NA(),IFERROR(1*INDEX(BBG_Data!$L$2:$L$4000,MATCH($A1277,BBG_Data!$K$2:$K$4000,0)),NA()))</f>
        <v/>
      </c>
      <c r="S1277" s="20">
        <f>IF(AND(ISNUMBER(B1277),ISNUMBER(Q1277),ISNUMBER(R1277)),(B1277-Q1277-R1277)*100,NA())</f>
        <v/>
      </c>
      <c r="T1277" s="20">
        <f>IF(AND(ISNUMBER(B1277),Settings!$B$17&gt;0),IF(ISNUMBER(INDEX($B:$B,Settings!$B$17)),(B1277-INDEX($B:$B,Settings!$B$17))*100,NA()),NA())</f>
        <v/>
      </c>
      <c r="U1277" s="20">
        <f>IF(AND(ISNUMBER(Q1277),Settings!$B$17&gt;0),IF(ISNUMBER(INDEX($Q:$Q,Settings!$B$17)),(Q1277-INDEX($Q:$Q,Settings!$B$17))*100,NA()),NA())</f>
        <v/>
      </c>
      <c r="V1277" s="20">
        <f>IF(AND(ISNUMBER(R1277),Settings!$B$17&gt;0),IF(ISNUMBER(INDEX($R:$R,Settings!$B$17)),(R1277-INDEX($R:$R,Settings!$B$17))*100,NA()),NA())</f>
        <v/>
      </c>
      <c r="W1277" s="20">
        <f>IF(AND(ISNUMBER(P1277),Settings!$B$17&gt;0),IF(ISNUMBER(INDEX($P:$P,Settings!$B$17)),P1277-INDEX($P:$P,Settings!$B$17),NA()),NA())</f>
        <v/>
      </c>
      <c r="X1277" s="19">
        <f>IF(NOT(ISNUMBER($A1277)),NA(),IF(OR($A1277&lt;MIN(DKW_10Y!$A$2:$A$2918),$A1277&gt;MAX(DKW_10Y!$A$2:$A$2918),Settings!$B$16&lt;MIN(DKW_10Y!$A$2:$A$2918)),NA(),(INDEX(DKW_10Y!$B$2:$B$2918,MATCH($A1277,DKW_10Y!$A$2:$A$2918,1))-INDEX(DKW_10Y!$B$2:$B$2918,MATCH(Settings!$B$16,DKW_10Y!$A$2:$A$2918,1)))*100))</f>
        <v/>
      </c>
      <c r="Y1277" s="19">
        <f>IF(NOT(ISNUMBER($A1277)),NA(),IF(OR($A1277&lt;MIN(DKW_10Y!$A$2:$A$2918),$A1277&gt;MAX(DKW_10Y!$A$2:$A$2918),Settings!$B$16&lt;MIN(DKW_10Y!$A$2:$A$2918)),NA(),(INDEX(DKW_10Y!$C$2:$C$2918,MATCH($A1277,DKW_10Y!$A$2:$A$2918,1))-INDEX(DKW_10Y!$C$2:$C$2918,MATCH(Settings!$B$16,DKW_10Y!$A$2:$A$2918,1)))*100))</f>
        <v/>
      </c>
      <c r="Z1277" s="19">
        <f>IF(NOT(ISNUMBER($A1277)),NA(),IF(OR($A1277&lt;MIN(DKW_10Y!$A$2:$A$2918),$A1277&gt;MAX(DKW_10Y!$A$2:$A$2918),Settings!$B$16&lt;MIN(DKW_10Y!$A$2:$A$2918)),NA(),(INDEX(DKW_10Y!$D$2:$D$2918,MATCH($A1277,DKW_10Y!$A$2:$A$2918,1))-INDEX(DKW_10Y!$D$2:$D$2918,MATCH(Settings!$B$16,DKW_10Y!$A$2:$A$2918,1)))*100))</f>
        <v/>
      </c>
      <c r="AA1277" s="19">
        <f>IF(NOT(ISNUMBER($A1277)),NA(),IF(OR($A1277&lt;MIN(DKW_10Y!$A$2:$A$2918),$A1277&gt;MAX(DKW_10Y!$A$2:$A$2918),Settings!$B$16&lt;MIN(DKW_10Y!$A$2:$A$2918)),NA(),(INDEX(DKW_10Y!$E$2:$E$2918,MATCH($A1277,DKW_10Y!$A$2:$A$2918,1))-INDEX(DKW_10Y!$E$2:$E$2918,MATCH(Settings!$B$16,DKW_10Y!$A$2:$A$2918,1)))*100))</f>
        <v/>
      </c>
      <c r="AB1277" s="19">
        <f>IF(NOT(ISNUMBER($A1277)),NA(),IF(OR($A1277&lt;MIN(DKW_10Y!$A$2:$A$2918),$A1277&gt;MAX(DKW_10Y!$A$2:$A$2918),Settings!$B$16&lt;MIN(DKW_10Y!$A$2:$A$2918)),NA(),(INDEX(DKW_10Y!$H$2:$H$2918,MATCH($A1277,DKW_10Y!$A$2:$A$2918,1))-INDEX(DKW_10Y!$H$2:$H$2918,MATCH(Settings!$B$16,DKW_10Y!$A$2:$A$2918,1)))*100))</f>
        <v/>
      </c>
      <c r="AC1277" s="18">
        <f>IF(NOT(ISNUMBER($A1277)),NA(),IFERROR(1*INDEX(BBG_Data!$N$2:$N$4000,MATCH($A1277,BBG_Data!$M$2:$M$4000,0)),NA()))</f>
        <v/>
      </c>
      <c r="AD1277" s="18">
        <f>IF(NOT(ISNUMBER($A1277)),NA(),IFERROR(1*INDEX(BBG_Data!$P$2:$P$4000,MATCH($A1277,BBG_Data!$O$2:$O$4000,0)),NA()))</f>
        <v/>
      </c>
      <c r="AE1277" s="18">
        <f>IF(NOT(ISNUMBER($A1277)),NA(),IFERROR(1*INDEX(BBG_Data!$R$2:$R$4000,MATCH($A1277,BBG_Data!$Q$2:$Q$4000,0)),NA()))</f>
        <v/>
      </c>
      <c r="AF1277" s="20">
        <f>IF(AND(ISNUMBER(B1277),ISNUMBER(AC1277)),(B1277-AC1277)*100,NA())</f>
        <v/>
      </c>
      <c r="AG1277" s="20">
        <f>IF(AND(ISNUMBER(AE1277),ISNUMBER(AD1277)),(AE1277-AD1277)*100,NA())</f>
        <v/>
      </c>
      <c r="AH1277" s="19">
        <f>IF(NOT(ISNUMBER($A1277)),NA(),IFERROR(INDEX(BBG_Data!$T$2:$T$4000,MATCH($A1277,BBG_Data!$S$2:$S$4000,0))*Settings!$B$25,NA()))</f>
        <v/>
      </c>
      <c r="AI1277" s="19">
        <f>IF(NOT(ISNUMBER($A1277)),NA(),IFERROR(INDEX(BBG_Data!$V$2:$V$4000,MATCH($A1277,BBG_Data!$U$2:$U$4000,0))*Settings!$B$25,NA()))</f>
        <v/>
      </c>
      <c r="AJ1277" s="19">
        <f>IF(NOT(ISNUMBER($A1277)),NA(),IFERROR(1*INDEX(BBG_Data!$X$2:$X$4000,MATCH($A1277,BBG_Data!$W$2:$W$4000,0)),NA()))</f>
        <v/>
      </c>
      <c r="AK1277" s="19">
        <f>IF(NOT(ISNUMBER($A1277)),NA(),IFERROR(1*INDEX(BBG_Data!$Z$2:$Z$4000,MATCH($A1277,BBG_Data!$Y$2:$Y$4000,0)),NA()))</f>
        <v/>
      </c>
    </row>
    <row r="1278">
      <c r="A1278" s="17">
        <f>IF(ISNUMBER(BBG_Data!A1278),BBG_Data!A1278,"")</f>
        <v/>
      </c>
      <c r="B1278" s="18">
        <f>IF(AND(ISNUMBER($A1278),ISNUMBER(BBG_Data!B1278)),BBG_Data!B1278,NA())</f>
        <v/>
      </c>
      <c r="C1278" s="18">
        <f>IF(NOT(ISNUMBER($A1278)),NA(),IFERROR(1*INDEX(BBG_Data!$D$2:$D$4000,MATCH($A1278,BBG_Data!$C$2:$C$4000,0)),NA()))</f>
        <v/>
      </c>
      <c r="D1278" s="19">
        <f>IF(NOT(ISNUMBER($A1278)),NA(),IFERROR(1*INDEX(BBG_Data!$F$2:$F$4000,MATCH($A1278,BBG_Data!$E$2:$E$4000,0)),NA()))</f>
        <v/>
      </c>
      <c r="E1278" s="19">
        <f>IF(NOT(ISNUMBER($A1278)),NA(),IFERROR(1*INDEX(BBG_Data!$H$2:$H$4000,MATCH($A1278,BBG_Data!$G$2:$G$4000,0)),NA()))</f>
        <v/>
      </c>
      <c r="F1278" s="20">
        <f>IF(AND(ISNUMBER(B1278),ISNUMBER(B1277)),IF(B1278=B1277,"",(B1278-B1277)*100),"")</f>
        <v/>
      </c>
      <c r="G1278" s="20">
        <f>IF(AND(ISNUMBER(C1278),ISNUMBER(C1277)),IF(C1278=C1277,"",(C1278-C1277)*100),"")</f>
        <v/>
      </c>
      <c r="H1278" s="20">
        <f>IF(OR(NOT(ISNUMBER($A1278)),ROW()-2&lt;Settings!$B$11),NA(),IF(COUNT(OFFSET(F1278,1-Settings!$B$11,0,Settings!$B$11,1))&lt;ROUNDUP(Settings!$B$11*Settings!$B$26,0),NA(),STDEV(OFFSET(F1278,1-Settings!$B$11,0,Settings!$B$11,1))*SQRT(Settings!$B$13)))</f>
        <v/>
      </c>
      <c r="I1278" s="20">
        <f>IF(OR(NOT(ISNUMBER($A1278)),ROW()-2&lt;Settings!$B$12),NA(),IF(COUNT(OFFSET(F1278,1-Settings!$B$12,0,Settings!$B$12,1))&lt;ROUNDUP(Settings!$B$12*Settings!$B$26,0),NA(),STDEV(OFFSET(F1278,1-Settings!$B$12,0,Settings!$B$12,1))*SQRT(Settings!$B$13)))</f>
        <v/>
      </c>
      <c r="J1278" s="20">
        <f>IF(OR(NOT(ISNUMBER($A1278)),ROW()-2&lt;Settings!$B$11),NA(),IF(COUNT(OFFSET(G1278,1-Settings!$B$11,0,Settings!$B$11,1))&lt;ROUNDUP(Settings!$B$11*Settings!$B$26,0),NA(),STDEV(OFFSET(G1278,1-Settings!$B$11,0,Settings!$B$11,1))*SQRT(Settings!$B$13)))</f>
        <v/>
      </c>
      <c r="K1278" s="20">
        <f>IF(OR(NOT(ISNUMBER($A1278)),ROW()-2&lt;Settings!$B$12),NA(),IF(COUNT(OFFSET(G1278,1-Settings!$B$12,0,Settings!$B$12,1))&lt;ROUNDUP(Settings!$B$12*Settings!$B$26,0),NA(),STDEV(OFFSET(G1278,1-Settings!$B$12,0,Settings!$B$12,1))*SQRT(Settings!$B$13)))</f>
        <v/>
      </c>
      <c r="L1278" s="20">
        <f>IF(AND(ISNUMBER(D1278),ISNUMBER(H1278)),D1278-H1278,NA())</f>
        <v/>
      </c>
      <c r="M1278" s="20">
        <f>IF(AND(ISNUMBER(E1278),ISNUMBER(K1278)),E1278-K1278,NA())</f>
        <v/>
      </c>
      <c r="N1278" s="20">
        <f>IF(NOT(ISNUMBER($A1278)),NA(),IF(COUNT(OFFSET(G1278,1,0,Settings!$B$12,1))&lt;ROUNDUP(Settings!$B$12*Settings!$B$26,0),NA(),STDEV(OFFSET(G1278,1,0,Settings!$B$12,1))*SQRT(Settings!$B$13)))</f>
        <v/>
      </c>
      <c r="O1278" s="20">
        <f>IF(AND(ISNUMBER(E1278),ISNUMBER(N1278)),E1278-N1278,NA())</f>
        <v/>
      </c>
      <c r="P1278" s="19">
        <f>IF(NOT(ISNUMBER($A1278)),NA(),IF(OR($A1278&lt;MIN(KW_TP!$A$2:$A$2501),$A1278&gt;MAX(KW_TP!$A$2:$A$2501)),NA(),INDEX(KW_TP!$C$2:$C$2501,MATCH($A1278,KW_TP!$A$2:$A$2501,1))))</f>
        <v/>
      </c>
      <c r="Q1278" s="18">
        <f>IF(NOT(ISNUMBER($A1278)),NA(),IFERROR(1*INDEX(BBG_Data!$J$2:$J$4000,MATCH($A1278,BBG_Data!$I$2:$I$4000,0)),NA()))</f>
        <v/>
      </c>
      <c r="R1278" s="18">
        <f>IF(NOT(ISNUMBER($A1278)),NA(),IFERROR(1*INDEX(BBG_Data!$L$2:$L$4000,MATCH($A1278,BBG_Data!$K$2:$K$4000,0)),NA()))</f>
        <v/>
      </c>
      <c r="S1278" s="20">
        <f>IF(AND(ISNUMBER(B1278),ISNUMBER(Q1278),ISNUMBER(R1278)),(B1278-Q1278-R1278)*100,NA())</f>
        <v/>
      </c>
      <c r="T1278" s="20">
        <f>IF(AND(ISNUMBER(B1278),Settings!$B$17&gt;0),IF(ISNUMBER(INDEX($B:$B,Settings!$B$17)),(B1278-INDEX($B:$B,Settings!$B$17))*100,NA()),NA())</f>
        <v/>
      </c>
      <c r="U1278" s="20">
        <f>IF(AND(ISNUMBER(Q1278),Settings!$B$17&gt;0),IF(ISNUMBER(INDEX($Q:$Q,Settings!$B$17)),(Q1278-INDEX($Q:$Q,Settings!$B$17))*100,NA()),NA())</f>
        <v/>
      </c>
      <c r="V1278" s="20">
        <f>IF(AND(ISNUMBER(R1278),Settings!$B$17&gt;0),IF(ISNUMBER(INDEX($R:$R,Settings!$B$17)),(R1278-INDEX($R:$R,Settings!$B$17))*100,NA()),NA())</f>
        <v/>
      </c>
      <c r="W1278" s="20">
        <f>IF(AND(ISNUMBER(P1278),Settings!$B$17&gt;0),IF(ISNUMBER(INDEX($P:$P,Settings!$B$17)),P1278-INDEX($P:$P,Settings!$B$17),NA()),NA())</f>
        <v/>
      </c>
      <c r="X1278" s="19">
        <f>IF(NOT(ISNUMBER($A1278)),NA(),IF(OR($A1278&lt;MIN(DKW_10Y!$A$2:$A$2918),$A1278&gt;MAX(DKW_10Y!$A$2:$A$2918),Settings!$B$16&lt;MIN(DKW_10Y!$A$2:$A$2918)),NA(),(INDEX(DKW_10Y!$B$2:$B$2918,MATCH($A1278,DKW_10Y!$A$2:$A$2918,1))-INDEX(DKW_10Y!$B$2:$B$2918,MATCH(Settings!$B$16,DKW_10Y!$A$2:$A$2918,1)))*100))</f>
        <v/>
      </c>
      <c r="Y1278" s="19">
        <f>IF(NOT(ISNUMBER($A1278)),NA(),IF(OR($A1278&lt;MIN(DKW_10Y!$A$2:$A$2918),$A1278&gt;MAX(DKW_10Y!$A$2:$A$2918),Settings!$B$16&lt;MIN(DKW_10Y!$A$2:$A$2918)),NA(),(INDEX(DKW_10Y!$C$2:$C$2918,MATCH($A1278,DKW_10Y!$A$2:$A$2918,1))-INDEX(DKW_10Y!$C$2:$C$2918,MATCH(Settings!$B$16,DKW_10Y!$A$2:$A$2918,1)))*100))</f>
        <v/>
      </c>
      <c r="Z1278" s="19">
        <f>IF(NOT(ISNUMBER($A1278)),NA(),IF(OR($A1278&lt;MIN(DKW_10Y!$A$2:$A$2918),$A1278&gt;MAX(DKW_10Y!$A$2:$A$2918),Settings!$B$16&lt;MIN(DKW_10Y!$A$2:$A$2918)),NA(),(INDEX(DKW_10Y!$D$2:$D$2918,MATCH($A1278,DKW_10Y!$A$2:$A$2918,1))-INDEX(DKW_10Y!$D$2:$D$2918,MATCH(Settings!$B$16,DKW_10Y!$A$2:$A$2918,1)))*100))</f>
        <v/>
      </c>
      <c r="AA1278" s="19">
        <f>IF(NOT(ISNUMBER($A1278)),NA(),IF(OR($A1278&lt;MIN(DKW_10Y!$A$2:$A$2918),$A1278&gt;MAX(DKW_10Y!$A$2:$A$2918),Settings!$B$16&lt;MIN(DKW_10Y!$A$2:$A$2918)),NA(),(INDEX(DKW_10Y!$E$2:$E$2918,MATCH($A1278,DKW_10Y!$A$2:$A$2918,1))-INDEX(DKW_10Y!$E$2:$E$2918,MATCH(Settings!$B$16,DKW_10Y!$A$2:$A$2918,1)))*100))</f>
        <v/>
      </c>
      <c r="AB1278" s="19">
        <f>IF(NOT(ISNUMBER($A1278)),NA(),IF(OR($A1278&lt;MIN(DKW_10Y!$A$2:$A$2918),$A1278&gt;MAX(DKW_10Y!$A$2:$A$2918),Settings!$B$16&lt;MIN(DKW_10Y!$A$2:$A$2918)),NA(),(INDEX(DKW_10Y!$H$2:$H$2918,MATCH($A1278,DKW_10Y!$A$2:$A$2918,1))-INDEX(DKW_10Y!$H$2:$H$2918,MATCH(Settings!$B$16,DKW_10Y!$A$2:$A$2918,1)))*100))</f>
        <v/>
      </c>
      <c r="AC1278" s="18">
        <f>IF(NOT(ISNUMBER($A1278)),NA(),IFERROR(1*INDEX(BBG_Data!$N$2:$N$4000,MATCH($A1278,BBG_Data!$M$2:$M$4000,0)),NA()))</f>
        <v/>
      </c>
      <c r="AD1278" s="18">
        <f>IF(NOT(ISNUMBER($A1278)),NA(),IFERROR(1*INDEX(BBG_Data!$P$2:$P$4000,MATCH($A1278,BBG_Data!$O$2:$O$4000,0)),NA()))</f>
        <v/>
      </c>
      <c r="AE1278" s="18">
        <f>IF(NOT(ISNUMBER($A1278)),NA(),IFERROR(1*INDEX(BBG_Data!$R$2:$R$4000,MATCH($A1278,BBG_Data!$Q$2:$Q$4000,0)),NA()))</f>
        <v/>
      </c>
      <c r="AF1278" s="20">
        <f>IF(AND(ISNUMBER(B1278),ISNUMBER(AC1278)),(B1278-AC1278)*100,NA())</f>
        <v/>
      </c>
      <c r="AG1278" s="20">
        <f>IF(AND(ISNUMBER(AE1278),ISNUMBER(AD1278)),(AE1278-AD1278)*100,NA())</f>
        <v/>
      </c>
      <c r="AH1278" s="19">
        <f>IF(NOT(ISNUMBER($A1278)),NA(),IFERROR(INDEX(BBG_Data!$T$2:$T$4000,MATCH($A1278,BBG_Data!$S$2:$S$4000,0))*Settings!$B$25,NA()))</f>
        <v/>
      </c>
      <c r="AI1278" s="19">
        <f>IF(NOT(ISNUMBER($A1278)),NA(),IFERROR(INDEX(BBG_Data!$V$2:$V$4000,MATCH($A1278,BBG_Data!$U$2:$U$4000,0))*Settings!$B$25,NA()))</f>
        <v/>
      </c>
      <c r="AJ1278" s="19">
        <f>IF(NOT(ISNUMBER($A1278)),NA(),IFERROR(1*INDEX(BBG_Data!$X$2:$X$4000,MATCH($A1278,BBG_Data!$W$2:$W$4000,0)),NA()))</f>
        <v/>
      </c>
      <c r="AK1278" s="19">
        <f>IF(NOT(ISNUMBER($A1278)),NA(),IFERROR(1*INDEX(BBG_Data!$Z$2:$Z$4000,MATCH($A1278,BBG_Data!$Y$2:$Y$4000,0)),NA()))</f>
        <v/>
      </c>
    </row>
    <row r="1279">
      <c r="A1279" s="17">
        <f>IF(ISNUMBER(BBG_Data!A1279),BBG_Data!A1279,"")</f>
        <v/>
      </c>
      <c r="B1279" s="18">
        <f>IF(AND(ISNUMBER($A1279),ISNUMBER(BBG_Data!B1279)),BBG_Data!B1279,NA())</f>
        <v/>
      </c>
      <c r="C1279" s="18">
        <f>IF(NOT(ISNUMBER($A1279)),NA(),IFERROR(1*INDEX(BBG_Data!$D$2:$D$4000,MATCH($A1279,BBG_Data!$C$2:$C$4000,0)),NA()))</f>
        <v/>
      </c>
      <c r="D1279" s="19">
        <f>IF(NOT(ISNUMBER($A1279)),NA(),IFERROR(1*INDEX(BBG_Data!$F$2:$F$4000,MATCH($A1279,BBG_Data!$E$2:$E$4000,0)),NA()))</f>
        <v/>
      </c>
      <c r="E1279" s="19">
        <f>IF(NOT(ISNUMBER($A1279)),NA(),IFERROR(1*INDEX(BBG_Data!$H$2:$H$4000,MATCH($A1279,BBG_Data!$G$2:$G$4000,0)),NA()))</f>
        <v/>
      </c>
      <c r="F1279" s="20">
        <f>IF(AND(ISNUMBER(B1279),ISNUMBER(B1278)),IF(B1279=B1278,"",(B1279-B1278)*100),"")</f>
        <v/>
      </c>
      <c r="G1279" s="20">
        <f>IF(AND(ISNUMBER(C1279),ISNUMBER(C1278)),IF(C1279=C1278,"",(C1279-C1278)*100),"")</f>
        <v/>
      </c>
      <c r="H1279" s="20">
        <f>IF(OR(NOT(ISNUMBER($A1279)),ROW()-2&lt;Settings!$B$11),NA(),IF(COUNT(OFFSET(F1279,1-Settings!$B$11,0,Settings!$B$11,1))&lt;ROUNDUP(Settings!$B$11*Settings!$B$26,0),NA(),STDEV(OFFSET(F1279,1-Settings!$B$11,0,Settings!$B$11,1))*SQRT(Settings!$B$13)))</f>
        <v/>
      </c>
      <c r="I1279" s="20">
        <f>IF(OR(NOT(ISNUMBER($A1279)),ROW()-2&lt;Settings!$B$12),NA(),IF(COUNT(OFFSET(F1279,1-Settings!$B$12,0,Settings!$B$12,1))&lt;ROUNDUP(Settings!$B$12*Settings!$B$26,0),NA(),STDEV(OFFSET(F1279,1-Settings!$B$12,0,Settings!$B$12,1))*SQRT(Settings!$B$13)))</f>
        <v/>
      </c>
      <c r="J1279" s="20">
        <f>IF(OR(NOT(ISNUMBER($A1279)),ROW()-2&lt;Settings!$B$11),NA(),IF(COUNT(OFFSET(G1279,1-Settings!$B$11,0,Settings!$B$11,1))&lt;ROUNDUP(Settings!$B$11*Settings!$B$26,0),NA(),STDEV(OFFSET(G1279,1-Settings!$B$11,0,Settings!$B$11,1))*SQRT(Settings!$B$13)))</f>
        <v/>
      </c>
      <c r="K1279" s="20">
        <f>IF(OR(NOT(ISNUMBER($A1279)),ROW()-2&lt;Settings!$B$12),NA(),IF(COUNT(OFFSET(G1279,1-Settings!$B$12,0,Settings!$B$12,1))&lt;ROUNDUP(Settings!$B$12*Settings!$B$26,0),NA(),STDEV(OFFSET(G1279,1-Settings!$B$12,0,Settings!$B$12,1))*SQRT(Settings!$B$13)))</f>
        <v/>
      </c>
      <c r="L1279" s="20">
        <f>IF(AND(ISNUMBER(D1279),ISNUMBER(H1279)),D1279-H1279,NA())</f>
        <v/>
      </c>
      <c r="M1279" s="20">
        <f>IF(AND(ISNUMBER(E1279),ISNUMBER(K1279)),E1279-K1279,NA())</f>
        <v/>
      </c>
      <c r="N1279" s="20">
        <f>IF(NOT(ISNUMBER($A1279)),NA(),IF(COUNT(OFFSET(G1279,1,0,Settings!$B$12,1))&lt;ROUNDUP(Settings!$B$12*Settings!$B$26,0),NA(),STDEV(OFFSET(G1279,1,0,Settings!$B$12,1))*SQRT(Settings!$B$13)))</f>
        <v/>
      </c>
      <c r="O1279" s="20">
        <f>IF(AND(ISNUMBER(E1279),ISNUMBER(N1279)),E1279-N1279,NA())</f>
        <v/>
      </c>
      <c r="P1279" s="19">
        <f>IF(NOT(ISNUMBER($A1279)),NA(),IF(OR($A1279&lt;MIN(KW_TP!$A$2:$A$2501),$A1279&gt;MAX(KW_TP!$A$2:$A$2501)),NA(),INDEX(KW_TP!$C$2:$C$2501,MATCH($A1279,KW_TP!$A$2:$A$2501,1))))</f>
        <v/>
      </c>
      <c r="Q1279" s="18">
        <f>IF(NOT(ISNUMBER($A1279)),NA(),IFERROR(1*INDEX(BBG_Data!$J$2:$J$4000,MATCH($A1279,BBG_Data!$I$2:$I$4000,0)),NA()))</f>
        <v/>
      </c>
      <c r="R1279" s="18">
        <f>IF(NOT(ISNUMBER($A1279)),NA(),IFERROR(1*INDEX(BBG_Data!$L$2:$L$4000,MATCH($A1279,BBG_Data!$K$2:$K$4000,0)),NA()))</f>
        <v/>
      </c>
      <c r="S1279" s="20">
        <f>IF(AND(ISNUMBER(B1279),ISNUMBER(Q1279),ISNUMBER(R1279)),(B1279-Q1279-R1279)*100,NA())</f>
        <v/>
      </c>
      <c r="T1279" s="20">
        <f>IF(AND(ISNUMBER(B1279),Settings!$B$17&gt;0),IF(ISNUMBER(INDEX($B:$B,Settings!$B$17)),(B1279-INDEX($B:$B,Settings!$B$17))*100,NA()),NA())</f>
        <v/>
      </c>
      <c r="U1279" s="20">
        <f>IF(AND(ISNUMBER(Q1279),Settings!$B$17&gt;0),IF(ISNUMBER(INDEX($Q:$Q,Settings!$B$17)),(Q1279-INDEX($Q:$Q,Settings!$B$17))*100,NA()),NA())</f>
        <v/>
      </c>
      <c r="V1279" s="20">
        <f>IF(AND(ISNUMBER(R1279),Settings!$B$17&gt;0),IF(ISNUMBER(INDEX($R:$R,Settings!$B$17)),(R1279-INDEX($R:$R,Settings!$B$17))*100,NA()),NA())</f>
        <v/>
      </c>
      <c r="W1279" s="20">
        <f>IF(AND(ISNUMBER(P1279),Settings!$B$17&gt;0),IF(ISNUMBER(INDEX($P:$P,Settings!$B$17)),P1279-INDEX($P:$P,Settings!$B$17),NA()),NA())</f>
        <v/>
      </c>
      <c r="X1279" s="19">
        <f>IF(NOT(ISNUMBER($A1279)),NA(),IF(OR($A1279&lt;MIN(DKW_10Y!$A$2:$A$2918),$A1279&gt;MAX(DKW_10Y!$A$2:$A$2918),Settings!$B$16&lt;MIN(DKW_10Y!$A$2:$A$2918)),NA(),(INDEX(DKW_10Y!$B$2:$B$2918,MATCH($A1279,DKW_10Y!$A$2:$A$2918,1))-INDEX(DKW_10Y!$B$2:$B$2918,MATCH(Settings!$B$16,DKW_10Y!$A$2:$A$2918,1)))*100))</f>
        <v/>
      </c>
      <c r="Y1279" s="19">
        <f>IF(NOT(ISNUMBER($A1279)),NA(),IF(OR($A1279&lt;MIN(DKW_10Y!$A$2:$A$2918),$A1279&gt;MAX(DKW_10Y!$A$2:$A$2918),Settings!$B$16&lt;MIN(DKW_10Y!$A$2:$A$2918)),NA(),(INDEX(DKW_10Y!$C$2:$C$2918,MATCH($A1279,DKW_10Y!$A$2:$A$2918,1))-INDEX(DKW_10Y!$C$2:$C$2918,MATCH(Settings!$B$16,DKW_10Y!$A$2:$A$2918,1)))*100))</f>
        <v/>
      </c>
      <c r="Z1279" s="19">
        <f>IF(NOT(ISNUMBER($A1279)),NA(),IF(OR($A1279&lt;MIN(DKW_10Y!$A$2:$A$2918),$A1279&gt;MAX(DKW_10Y!$A$2:$A$2918),Settings!$B$16&lt;MIN(DKW_10Y!$A$2:$A$2918)),NA(),(INDEX(DKW_10Y!$D$2:$D$2918,MATCH($A1279,DKW_10Y!$A$2:$A$2918,1))-INDEX(DKW_10Y!$D$2:$D$2918,MATCH(Settings!$B$16,DKW_10Y!$A$2:$A$2918,1)))*100))</f>
        <v/>
      </c>
      <c r="AA1279" s="19">
        <f>IF(NOT(ISNUMBER($A1279)),NA(),IF(OR($A1279&lt;MIN(DKW_10Y!$A$2:$A$2918),$A1279&gt;MAX(DKW_10Y!$A$2:$A$2918),Settings!$B$16&lt;MIN(DKW_10Y!$A$2:$A$2918)),NA(),(INDEX(DKW_10Y!$E$2:$E$2918,MATCH($A1279,DKW_10Y!$A$2:$A$2918,1))-INDEX(DKW_10Y!$E$2:$E$2918,MATCH(Settings!$B$16,DKW_10Y!$A$2:$A$2918,1)))*100))</f>
        <v/>
      </c>
      <c r="AB1279" s="19">
        <f>IF(NOT(ISNUMBER($A1279)),NA(),IF(OR($A1279&lt;MIN(DKW_10Y!$A$2:$A$2918),$A1279&gt;MAX(DKW_10Y!$A$2:$A$2918),Settings!$B$16&lt;MIN(DKW_10Y!$A$2:$A$2918)),NA(),(INDEX(DKW_10Y!$H$2:$H$2918,MATCH($A1279,DKW_10Y!$A$2:$A$2918,1))-INDEX(DKW_10Y!$H$2:$H$2918,MATCH(Settings!$B$16,DKW_10Y!$A$2:$A$2918,1)))*100))</f>
        <v/>
      </c>
      <c r="AC1279" s="18">
        <f>IF(NOT(ISNUMBER($A1279)),NA(),IFERROR(1*INDEX(BBG_Data!$N$2:$N$4000,MATCH($A1279,BBG_Data!$M$2:$M$4000,0)),NA()))</f>
        <v/>
      </c>
      <c r="AD1279" s="18">
        <f>IF(NOT(ISNUMBER($A1279)),NA(),IFERROR(1*INDEX(BBG_Data!$P$2:$P$4000,MATCH($A1279,BBG_Data!$O$2:$O$4000,0)),NA()))</f>
        <v/>
      </c>
      <c r="AE1279" s="18">
        <f>IF(NOT(ISNUMBER($A1279)),NA(),IFERROR(1*INDEX(BBG_Data!$R$2:$R$4000,MATCH($A1279,BBG_Data!$Q$2:$Q$4000,0)),NA()))</f>
        <v/>
      </c>
      <c r="AF1279" s="20">
        <f>IF(AND(ISNUMBER(B1279),ISNUMBER(AC1279)),(B1279-AC1279)*100,NA())</f>
        <v/>
      </c>
      <c r="AG1279" s="20">
        <f>IF(AND(ISNUMBER(AE1279),ISNUMBER(AD1279)),(AE1279-AD1279)*100,NA())</f>
        <v/>
      </c>
      <c r="AH1279" s="19">
        <f>IF(NOT(ISNUMBER($A1279)),NA(),IFERROR(INDEX(BBG_Data!$T$2:$T$4000,MATCH($A1279,BBG_Data!$S$2:$S$4000,0))*Settings!$B$25,NA()))</f>
        <v/>
      </c>
      <c r="AI1279" s="19">
        <f>IF(NOT(ISNUMBER($A1279)),NA(),IFERROR(INDEX(BBG_Data!$V$2:$V$4000,MATCH($A1279,BBG_Data!$U$2:$U$4000,0))*Settings!$B$25,NA()))</f>
        <v/>
      </c>
      <c r="AJ1279" s="19">
        <f>IF(NOT(ISNUMBER($A1279)),NA(),IFERROR(1*INDEX(BBG_Data!$X$2:$X$4000,MATCH($A1279,BBG_Data!$W$2:$W$4000,0)),NA()))</f>
        <v/>
      </c>
      <c r="AK1279" s="19">
        <f>IF(NOT(ISNUMBER($A1279)),NA(),IFERROR(1*INDEX(BBG_Data!$Z$2:$Z$4000,MATCH($A1279,BBG_Data!$Y$2:$Y$4000,0)),NA()))</f>
        <v/>
      </c>
    </row>
    <row r="1280">
      <c r="A1280" s="17">
        <f>IF(ISNUMBER(BBG_Data!A1280),BBG_Data!A1280,"")</f>
        <v/>
      </c>
      <c r="B1280" s="18">
        <f>IF(AND(ISNUMBER($A1280),ISNUMBER(BBG_Data!B1280)),BBG_Data!B1280,NA())</f>
        <v/>
      </c>
      <c r="C1280" s="18">
        <f>IF(NOT(ISNUMBER($A1280)),NA(),IFERROR(1*INDEX(BBG_Data!$D$2:$D$4000,MATCH($A1280,BBG_Data!$C$2:$C$4000,0)),NA()))</f>
        <v/>
      </c>
      <c r="D1280" s="19">
        <f>IF(NOT(ISNUMBER($A1280)),NA(),IFERROR(1*INDEX(BBG_Data!$F$2:$F$4000,MATCH($A1280,BBG_Data!$E$2:$E$4000,0)),NA()))</f>
        <v/>
      </c>
      <c r="E1280" s="19">
        <f>IF(NOT(ISNUMBER($A1280)),NA(),IFERROR(1*INDEX(BBG_Data!$H$2:$H$4000,MATCH($A1280,BBG_Data!$G$2:$G$4000,0)),NA()))</f>
        <v/>
      </c>
      <c r="F1280" s="20">
        <f>IF(AND(ISNUMBER(B1280),ISNUMBER(B1279)),IF(B1280=B1279,"",(B1280-B1279)*100),"")</f>
        <v/>
      </c>
      <c r="G1280" s="20">
        <f>IF(AND(ISNUMBER(C1280),ISNUMBER(C1279)),IF(C1280=C1279,"",(C1280-C1279)*100),"")</f>
        <v/>
      </c>
      <c r="H1280" s="20">
        <f>IF(OR(NOT(ISNUMBER($A1280)),ROW()-2&lt;Settings!$B$11),NA(),IF(COUNT(OFFSET(F1280,1-Settings!$B$11,0,Settings!$B$11,1))&lt;ROUNDUP(Settings!$B$11*Settings!$B$26,0),NA(),STDEV(OFFSET(F1280,1-Settings!$B$11,0,Settings!$B$11,1))*SQRT(Settings!$B$13)))</f>
        <v/>
      </c>
      <c r="I1280" s="20">
        <f>IF(OR(NOT(ISNUMBER($A1280)),ROW()-2&lt;Settings!$B$12),NA(),IF(COUNT(OFFSET(F1280,1-Settings!$B$12,0,Settings!$B$12,1))&lt;ROUNDUP(Settings!$B$12*Settings!$B$26,0),NA(),STDEV(OFFSET(F1280,1-Settings!$B$12,0,Settings!$B$12,1))*SQRT(Settings!$B$13)))</f>
        <v/>
      </c>
      <c r="J1280" s="20">
        <f>IF(OR(NOT(ISNUMBER($A1280)),ROW()-2&lt;Settings!$B$11),NA(),IF(COUNT(OFFSET(G1280,1-Settings!$B$11,0,Settings!$B$11,1))&lt;ROUNDUP(Settings!$B$11*Settings!$B$26,0),NA(),STDEV(OFFSET(G1280,1-Settings!$B$11,0,Settings!$B$11,1))*SQRT(Settings!$B$13)))</f>
        <v/>
      </c>
      <c r="K1280" s="20">
        <f>IF(OR(NOT(ISNUMBER($A1280)),ROW()-2&lt;Settings!$B$12),NA(),IF(COUNT(OFFSET(G1280,1-Settings!$B$12,0,Settings!$B$12,1))&lt;ROUNDUP(Settings!$B$12*Settings!$B$26,0),NA(),STDEV(OFFSET(G1280,1-Settings!$B$12,0,Settings!$B$12,1))*SQRT(Settings!$B$13)))</f>
        <v/>
      </c>
      <c r="L1280" s="20">
        <f>IF(AND(ISNUMBER(D1280),ISNUMBER(H1280)),D1280-H1280,NA())</f>
        <v/>
      </c>
      <c r="M1280" s="20">
        <f>IF(AND(ISNUMBER(E1280),ISNUMBER(K1280)),E1280-K1280,NA())</f>
        <v/>
      </c>
      <c r="N1280" s="20">
        <f>IF(NOT(ISNUMBER($A1280)),NA(),IF(COUNT(OFFSET(G1280,1,0,Settings!$B$12,1))&lt;ROUNDUP(Settings!$B$12*Settings!$B$26,0),NA(),STDEV(OFFSET(G1280,1,0,Settings!$B$12,1))*SQRT(Settings!$B$13)))</f>
        <v/>
      </c>
      <c r="O1280" s="20">
        <f>IF(AND(ISNUMBER(E1280),ISNUMBER(N1280)),E1280-N1280,NA())</f>
        <v/>
      </c>
      <c r="P1280" s="19">
        <f>IF(NOT(ISNUMBER($A1280)),NA(),IF(OR($A1280&lt;MIN(KW_TP!$A$2:$A$2501),$A1280&gt;MAX(KW_TP!$A$2:$A$2501)),NA(),INDEX(KW_TP!$C$2:$C$2501,MATCH($A1280,KW_TP!$A$2:$A$2501,1))))</f>
        <v/>
      </c>
      <c r="Q1280" s="18">
        <f>IF(NOT(ISNUMBER($A1280)),NA(),IFERROR(1*INDEX(BBG_Data!$J$2:$J$4000,MATCH($A1280,BBG_Data!$I$2:$I$4000,0)),NA()))</f>
        <v/>
      </c>
      <c r="R1280" s="18">
        <f>IF(NOT(ISNUMBER($A1280)),NA(),IFERROR(1*INDEX(BBG_Data!$L$2:$L$4000,MATCH($A1280,BBG_Data!$K$2:$K$4000,0)),NA()))</f>
        <v/>
      </c>
      <c r="S1280" s="20">
        <f>IF(AND(ISNUMBER(B1280),ISNUMBER(Q1280),ISNUMBER(R1280)),(B1280-Q1280-R1280)*100,NA())</f>
        <v/>
      </c>
      <c r="T1280" s="20">
        <f>IF(AND(ISNUMBER(B1280),Settings!$B$17&gt;0),IF(ISNUMBER(INDEX($B:$B,Settings!$B$17)),(B1280-INDEX($B:$B,Settings!$B$17))*100,NA()),NA())</f>
        <v/>
      </c>
      <c r="U1280" s="20">
        <f>IF(AND(ISNUMBER(Q1280),Settings!$B$17&gt;0),IF(ISNUMBER(INDEX($Q:$Q,Settings!$B$17)),(Q1280-INDEX($Q:$Q,Settings!$B$17))*100,NA()),NA())</f>
        <v/>
      </c>
      <c r="V1280" s="20">
        <f>IF(AND(ISNUMBER(R1280),Settings!$B$17&gt;0),IF(ISNUMBER(INDEX($R:$R,Settings!$B$17)),(R1280-INDEX($R:$R,Settings!$B$17))*100,NA()),NA())</f>
        <v/>
      </c>
      <c r="W1280" s="20">
        <f>IF(AND(ISNUMBER(P1280),Settings!$B$17&gt;0),IF(ISNUMBER(INDEX($P:$P,Settings!$B$17)),P1280-INDEX($P:$P,Settings!$B$17),NA()),NA())</f>
        <v/>
      </c>
      <c r="X1280" s="19">
        <f>IF(NOT(ISNUMBER($A1280)),NA(),IF(OR($A1280&lt;MIN(DKW_10Y!$A$2:$A$2918),$A1280&gt;MAX(DKW_10Y!$A$2:$A$2918),Settings!$B$16&lt;MIN(DKW_10Y!$A$2:$A$2918)),NA(),(INDEX(DKW_10Y!$B$2:$B$2918,MATCH($A1280,DKW_10Y!$A$2:$A$2918,1))-INDEX(DKW_10Y!$B$2:$B$2918,MATCH(Settings!$B$16,DKW_10Y!$A$2:$A$2918,1)))*100))</f>
        <v/>
      </c>
      <c r="Y1280" s="19">
        <f>IF(NOT(ISNUMBER($A1280)),NA(),IF(OR($A1280&lt;MIN(DKW_10Y!$A$2:$A$2918),$A1280&gt;MAX(DKW_10Y!$A$2:$A$2918),Settings!$B$16&lt;MIN(DKW_10Y!$A$2:$A$2918)),NA(),(INDEX(DKW_10Y!$C$2:$C$2918,MATCH($A1280,DKW_10Y!$A$2:$A$2918,1))-INDEX(DKW_10Y!$C$2:$C$2918,MATCH(Settings!$B$16,DKW_10Y!$A$2:$A$2918,1)))*100))</f>
        <v/>
      </c>
      <c r="Z1280" s="19">
        <f>IF(NOT(ISNUMBER($A1280)),NA(),IF(OR($A1280&lt;MIN(DKW_10Y!$A$2:$A$2918),$A1280&gt;MAX(DKW_10Y!$A$2:$A$2918),Settings!$B$16&lt;MIN(DKW_10Y!$A$2:$A$2918)),NA(),(INDEX(DKW_10Y!$D$2:$D$2918,MATCH($A1280,DKW_10Y!$A$2:$A$2918,1))-INDEX(DKW_10Y!$D$2:$D$2918,MATCH(Settings!$B$16,DKW_10Y!$A$2:$A$2918,1)))*100))</f>
        <v/>
      </c>
      <c r="AA1280" s="19">
        <f>IF(NOT(ISNUMBER($A1280)),NA(),IF(OR($A1280&lt;MIN(DKW_10Y!$A$2:$A$2918),$A1280&gt;MAX(DKW_10Y!$A$2:$A$2918),Settings!$B$16&lt;MIN(DKW_10Y!$A$2:$A$2918)),NA(),(INDEX(DKW_10Y!$E$2:$E$2918,MATCH($A1280,DKW_10Y!$A$2:$A$2918,1))-INDEX(DKW_10Y!$E$2:$E$2918,MATCH(Settings!$B$16,DKW_10Y!$A$2:$A$2918,1)))*100))</f>
        <v/>
      </c>
      <c r="AB1280" s="19">
        <f>IF(NOT(ISNUMBER($A1280)),NA(),IF(OR($A1280&lt;MIN(DKW_10Y!$A$2:$A$2918),$A1280&gt;MAX(DKW_10Y!$A$2:$A$2918),Settings!$B$16&lt;MIN(DKW_10Y!$A$2:$A$2918)),NA(),(INDEX(DKW_10Y!$H$2:$H$2918,MATCH($A1280,DKW_10Y!$A$2:$A$2918,1))-INDEX(DKW_10Y!$H$2:$H$2918,MATCH(Settings!$B$16,DKW_10Y!$A$2:$A$2918,1)))*100))</f>
        <v/>
      </c>
      <c r="AC1280" s="18">
        <f>IF(NOT(ISNUMBER($A1280)),NA(),IFERROR(1*INDEX(BBG_Data!$N$2:$N$4000,MATCH($A1280,BBG_Data!$M$2:$M$4000,0)),NA()))</f>
        <v/>
      </c>
      <c r="AD1280" s="18">
        <f>IF(NOT(ISNUMBER($A1280)),NA(),IFERROR(1*INDEX(BBG_Data!$P$2:$P$4000,MATCH($A1280,BBG_Data!$O$2:$O$4000,0)),NA()))</f>
        <v/>
      </c>
      <c r="AE1280" s="18">
        <f>IF(NOT(ISNUMBER($A1280)),NA(),IFERROR(1*INDEX(BBG_Data!$R$2:$R$4000,MATCH($A1280,BBG_Data!$Q$2:$Q$4000,0)),NA()))</f>
        <v/>
      </c>
      <c r="AF1280" s="20">
        <f>IF(AND(ISNUMBER(B1280),ISNUMBER(AC1280)),(B1280-AC1280)*100,NA())</f>
        <v/>
      </c>
      <c r="AG1280" s="20">
        <f>IF(AND(ISNUMBER(AE1280),ISNUMBER(AD1280)),(AE1280-AD1280)*100,NA())</f>
        <v/>
      </c>
      <c r="AH1280" s="19">
        <f>IF(NOT(ISNUMBER($A1280)),NA(),IFERROR(INDEX(BBG_Data!$T$2:$T$4000,MATCH($A1280,BBG_Data!$S$2:$S$4000,0))*Settings!$B$25,NA()))</f>
        <v/>
      </c>
      <c r="AI1280" s="19">
        <f>IF(NOT(ISNUMBER($A1280)),NA(),IFERROR(INDEX(BBG_Data!$V$2:$V$4000,MATCH($A1280,BBG_Data!$U$2:$U$4000,0))*Settings!$B$25,NA()))</f>
        <v/>
      </c>
      <c r="AJ1280" s="19">
        <f>IF(NOT(ISNUMBER($A1280)),NA(),IFERROR(1*INDEX(BBG_Data!$X$2:$X$4000,MATCH($A1280,BBG_Data!$W$2:$W$4000,0)),NA()))</f>
        <v/>
      </c>
      <c r="AK1280" s="19">
        <f>IF(NOT(ISNUMBER($A1280)),NA(),IFERROR(1*INDEX(BBG_Data!$Z$2:$Z$4000,MATCH($A1280,BBG_Data!$Y$2:$Y$4000,0)),NA()))</f>
        <v/>
      </c>
    </row>
    <row r="1281">
      <c r="A1281" s="17">
        <f>IF(ISNUMBER(BBG_Data!A1281),BBG_Data!A1281,"")</f>
        <v/>
      </c>
      <c r="B1281" s="18">
        <f>IF(AND(ISNUMBER($A1281),ISNUMBER(BBG_Data!B1281)),BBG_Data!B1281,NA())</f>
        <v/>
      </c>
      <c r="C1281" s="18">
        <f>IF(NOT(ISNUMBER($A1281)),NA(),IFERROR(1*INDEX(BBG_Data!$D$2:$D$4000,MATCH($A1281,BBG_Data!$C$2:$C$4000,0)),NA()))</f>
        <v/>
      </c>
      <c r="D1281" s="19">
        <f>IF(NOT(ISNUMBER($A1281)),NA(),IFERROR(1*INDEX(BBG_Data!$F$2:$F$4000,MATCH($A1281,BBG_Data!$E$2:$E$4000,0)),NA()))</f>
        <v/>
      </c>
      <c r="E1281" s="19">
        <f>IF(NOT(ISNUMBER($A1281)),NA(),IFERROR(1*INDEX(BBG_Data!$H$2:$H$4000,MATCH($A1281,BBG_Data!$G$2:$G$4000,0)),NA()))</f>
        <v/>
      </c>
      <c r="F1281" s="20">
        <f>IF(AND(ISNUMBER(B1281),ISNUMBER(B1280)),IF(B1281=B1280,"",(B1281-B1280)*100),"")</f>
        <v/>
      </c>
      <c r="G1281" s="20">
        <f>IF(AND(ISNUMBER(C1281),ISNUMBER(C1280)),IF(C1281=C1280,"",(C1281-C1280)*100),"")</f>
        <v/>
      </c>
      <c r="H1281" s="20">
        <f>IF(OR(NOT(ISNUMBER($A1281)),ROW()-2&lt;Settings!$B$11),NA(),IF(COUNT(OFFSET(F1281,1-Settings!$B$11,0,Settings!$B$11,1))&lt;ROUNDUP(Settings!$B$11*Settings!$B$26,0),NA(),STDEV(OFFSET(F1281,1-Settings!$B$11,0,Settings!$B$11,1))*SQRT(Settings!$B$13)))</f>
        <v/>
      </c>
      <c r="I1281" s="20">
        <f>IF(OR(NOT(ISNUMBER($A1281)),ROW()-2&lt;Settings!$B$12),NA(),IF(COUNT(OFFSET(F1281,1-Settings!$B$12,0,Settings!$B$12,1))&lt;ROUNDUP(Settings!$B$12*Settings!$B$26,0),NA(),STDEV(OFFSET(F1281,1-Settings!$B$12,0,Settings!$B$12,1))*SQRT(Settings!$B$13)))</f>
        <v/>
      </c>
      <c r="J1281" s="20">
        <f>IF(OR(NOT(ISNUMBER($A1281)),ROW()-2&lt;Settings!$B$11),NA(),IF(COUNT(OFFSET(G1281,1-Settings!$B$11,0,Settings!$B$11,1))&lt;ROUNDUP(Settings!$B$11*Settings!$B$26,0),NA(),STDEV(OFFSET(G1281,1-Settings!$B$11,0,Settings!$B$11,1))*SQRT(Settings!$B$13)))</f>
        <v/>
      </c>
      <c r="K1281" s="20">
        <f>IF(OR(NOT(ISNUMBER($A1281)),ROW()-2&lt;Settings!$B$12),NA(),IF(COUNT(OFFSET(G1281,1-Settings!$B$12,0,Settings!$B$12,1))&lt;ROUNDUP(Settings!$B$12*Settings!$B$26,0),NA(),STDEV(OFFSET(G1281,1-Settings!$B$12,0,Settings!$B$12,1))*SQRT(Settings!$B$13)))</f>
        <v/>
      </c>
      <c r="L1281" s="20">
        <f>IF(AND(ISNUMBER(D1281),ISNUMBER(H1281)),D1281-H1281,NA())</f>
        <v/>
      </c>
      <c r="M1281" s="20">
        <f>IF(AND(ISNUMBER(E1281),ISNUMBER(K1281)),E1281-K1281,NA())</f>
        <v/>
      </c>
      <c r="N1281" s="20">
        <f>IF(NOT(ISNUMBER($A1281)),NA(),IF(COUNT(OFFSET(G1281,1,0,Settings!$B$12,1))&lt;ROUNDUP(Settings!$B$12*Settings!$B$26,0),NA(),STDEV(OFFSET(G1281,1,0,Settings!$B$12,1))*SQRT(Settings!$B$13)))</f>
        <v/>
      </c>
      <c r="O1281" s="20">
        <f>IF(AND(ISNUMBER(E1281),ISNUMBER(N1281)),E1281-N1281,NA())</f>
        <v/>
      </c>
      <c r="P1281" s="19">
        <f>IF(NOT(ISNUMBER($A1281)),NA(),IF(OR($A1281&lt;MIN(KW_TP!$A$2:$A$2501),$A1281&gt;MAX(KW_TP!$A$2:$A$2501)),NA(),INDEX(KW_TP!$C$2:$C$2501,MATCH($A1281,KW_TP!$A$2:$A$2501,1))))</f>
        <v/>
      </c>
      <c r="Q1281" s="18">
        <f>IF(NOT(ISNUMBER($A1281)),NA(),IFERROR(1*INDEX(BBG_Data!$J$2:$J$4000,MATCH($A1281,BBG_Data!$I$2:$I$4000,0)),NA()))</f>
        <v/>
      </c>
      <c r="R1281" s="18">
        <f>IF(NOT(ISNUMBER($A1281)),NA(),IFERROR(1*INDEX(BBG_Data!$L$2:$L$4000,MATCH($A1281,BBG_Data!$K$2:$K$4000,0)),NA()))</f>
        <v/>
      </c>
      <c r="S1281" s="20">
        <f>IF(AND(ISNUMBER(B1281),ISNUMBER(Q1281),ISNUMBER(R1281)),(B1281-Q1281-R1281)*100,NA())</f>
        <v/>
      </c>
      <c r="T1281" s="20">
        <f>IF(AND(ISNUMBER(B1281),Settings!$B$17&gt;0),IF(ISNUMBER(INDEX($B:$B,Settings!$B$17)),(B1281-INDEX($B:$B,Settings!$B$17))*100,NA()),NA())</f>
        <v/>
      </c>
      <c r="U1281" s="20">
        <f>IF(AND(ISNUMBER(Q1281),Settings!$B$17&gt;0),IF(ISNUMBER(INDEX($Q:$Q,Settings!$B$17)),(Q1281-INDEX($Q:$Q,Settings!$B$17))*100,NA()),NA())</f>
        <v/>
      </c>
      <c r="V1281" s="20">
        <f>IF(AND(ISNUMBER(R1281),Settings!$B$17&gt;0),IF(ISNUMBER(INDEX($R:$R,Settings!$B$17)),(R1281-INDEX($R:$R,Settings!$B$17))*100,NA()),NA())</f>
        <v/>
      </c>
      <c r="W1281" s="20">
        <f>IF(AND(ISNUMBER(P1281),Settings!$B$17&gt;0),IF(ISNUMBER(INDEX($P:$P,Settings!$B$17)),P1281-INDEX($P:$P,Settings!$B$17),NA()),NA())</f>
        <v/>
      </c>
      <c r="X1281" s="19">
        <f>IF(NOT(ISNUMBER($A1281)),NA(),IF(OR($A1281&lt;MIN(DKW_10Y!$A$2:$A$2918),$A1281&gt;MAX(DKW_10Y!$A$2:$A$2918),Settings!$B$16&lt;MIN(DKW_10Y!$A$2:$A$2918)),NA(),(INDEX(DKW_10Y!$B$2:$B$2918,MATCH($A1281,DKW_10Y!$A$2:$A$2918,1))-INDEX(DKW_10Y!$B$2:$B$2918,MATCH(Settings!$B$16,DKW_10Y!$A$2:$A$2918,1)))*100))</f>
        <v/>
      </c>
      <c r="Y1281" s="19">
        <f>IF(NOT(ISNUMBER($A1281)),NA(),IF(OR($A1281&lt;MIN(DKW_10Y!$A$2:$A$2918),$A1281&gt;MAX(DKW_10Y!$A$2:$A$2918),Settings!$B$16&lt;MIN(DKW_10Y!$A$2:$A$2918)),NA(),(INDEX(DKW_10Y!$C$2:$C$2918,MATCH($A1281,DKW_10Y!$A$2:$A$2918,1))-INDEX(DKW_10Y!$C$2:$C$2918,MATCH(Settings!$B$16,DKW_10Y!$A$2:$A$2918,1)))*100))</f>
        <v/>
      </c>
      <c r="Z1281" s="19">
        <f>IF(NOT(ISNUMBER($A1281)),NA(),IF(OR($A1281&lt;MIN(DKW_10Y!$A$2:$A$2918),$A1281&gt;MAX(DKW_10Y!$A$2:$A$2918),Settings!$B$16&lt;MIN(DKW_10Y!$A$2:$A$2918)),NA(),(INDEX(DKW_10Y!$D$2:$D$2918,MATCH($A1281,DKW_10Y!$A$2:$A$2918,1))-INDEX(DKW_10Y!$D$2:$D$2918,MATCH(Settings!$B$16,DKW_10Y!$A$2:$A$2918,1)))*100))</f>
        <v/>
      </c>
      <c r="AA1281" s="19">
        <f>IF(NOT(ISNUMBER($A1281)),NA(),IF(OR($A1281&lt;MIN(DKW_10Y!$A$2:$A$2918),$A1281&gt;MAX(DKW_10Y!$A$2:$A$2918),Settings!$B$16&lt;MIN(DKW_10Y!$A$2:$A$2918)),NA(),(INDEX(DKW_10Y!$E$2:$E$2918,MATCH($A1281,DKW_10Y!$A$2:$A$2918,1))-INDEX(DKW_10Y!$E$2:$E$2918,MATCH(Settings!$B$16,DKW_10Y!$A$2:$A$2918,1)))*100))</f>
        <v/>
      </c>
      <c r="AB1281" s="19">
        <f>IF(NOT(ISNUMBER($A1281)),NA(),IF(OR($A1281&lt;MIN(DKW_10Y!$A$2:$A$2918),$A1281&gt;MAX(DKW_10Y!$A$2:$A$2918),Settings!$B$16&lt;MIN(DKW_10Y!$A$2:$A$2918)),NA(),(INDEX(DKW_10Y!$H$2:$H$2918,MATCH($A1281,DKW_10Y!$A$2:$A$2918,1))-INDEX(DKW_10Y!$H$2:$H$2918,MATCH(Settings!$B$16,DKW_10Y!$A$2:$A$2918,1)))*100))</f>
        <v/>
      </c>
      <c r="AC1281" s="18">
        <f>IF(NOT(ISNUMBER($A1281)),NA(),IFERROR(1*INDEX(BBG_Data!$N$2:$N$4000,MATCH($A1281,BBG_Data!$M$2:$M$4000,0)),NA()))</f>
        <v/>
      </c>
      <c r="AD1281" s="18">
        <f>IF(NOT(ISNUMBER($A1281)),NA(),IFERROR(1*INDEX(BBG_Data!$P$2:$P$4000,MATCH($A1281,BBG_Data!$O$2:$O$4000,0)),NA()))</f>
        <v/>
      </c>
      <c r="AE1281" s="18">
        <f>IF(NOT(ISNUMBER($A1281)),NA(),IFERROR(1*INDEX(BBG_Data!$R$2:$R$4000,MATCH($A1281,BBG_Data!$Q$2:$Q$4000,0)),NA()))</f>
        <v/>
      </c>
      <c r="AF1281" s="20">
        <f>IF(AND(ISNUMBER(B1281),ISNUMBER(AC1281)),(B1281-AC1281)*100,NA())</f>
        <v/>
      </c>
      <c r="AG1281" s="20">
        <f>IF(AND(ISNUMBER(AE1281),ISNUMBER(AD1281)),(AE1281-AD1281)*100,NA())</f>
        <v/>
      </c>
      <c r="AH1281" s="19">
        <f>IF(NOT(ISNUMBER($A1281)),NA(),IFERROR(INDEX(BBG_Data!$T$2:$T$4000,MATCH($A1281,BBG_Data!$S$2:$S$4000,0))*Settings!$B$25,NA()))</f>
        <v/>
      </c>
      <c r="AI1281" s="19">
        <f>IF(NOT(ISNUMBER($A1281)),NA(),IFERROR(INDEX(BBG_Data!$V$2:$V$4000,MATCH($A1281,BBG_Data!$U$2:$U$4000,0))*Settings!$B$25,NA()))</f>
        <v/>
      </c>
      <c r="AJ1281" s="19">
        <f>IF(NOT(ISNUMBER($A1281)),NA(),IFERROR(1*INDEX(BBG_Data!$X$2:$X$4000,MATCH($A1281,BBG_Data!$W$2:$W$4000,0)),NA()))</f>
        <v/>
      </c>
      <c r="AK1281" s="19">
        <f>IF(NOT(ISNUMBER($A1281)),NA(),IFERROR(1*INDEX(BBG_Data!$Z$2:$Z$4000,MATCH($A1281,BBG_Data!$Y$2:$Y$4000,0)),NA()))</f>
        <v/>
      </c>
    </row>
    <row r="1282">
      <c r="A1282" s="17">
        <f>IF(ISNUMBER(BBG_Data!A1282),BBG_Data!A1282,"")</f>
        <v/>
      </c>
      <c r="B1282" s="18">
        <f>IF(AND(ISNUMBER($A1282),ISNUMBER(BBG_Data!B1282)),BBG_Data!B1282,NA())</f>
        <v/>
      </c>
      <c r="C1282" s="18">
        <f>IF(NOT(ISNUMBER($A1282)),NA(),IFERROR(1*INDEX(BBG_Data!$D$2:$D$4000,MATCH($A1282,BBG_Data!$C$2:$C$4000,0)),NA()))</f>
        <v/>
      </c>
      <c r="D1282" s="19">
        <f>IF(NOT(ISNUMBER($A1282)),NA(),IFERROR(1*INDEX(BBG_Data!$F$2:$F$4000,MATCH($A1282,BBG_Data!$E$2:$E$4000,0)),NA()))</f>
        <v/>
      </c>
      <c r="E1282" s="19">
        <f>IF(NOT(ISNUMBER($A1282)),NA(),IFERROR(1*INDEX(BBG_Data!$H$2:$H$4000,MATCH($A1282,BBG_Data!$G$2:$G$4000,0)),NA()))</f>
        <v/>
      </c>
      <c r="F1282" s="20">
        <f>IF(AND(ISNUMBER(B1282),ISNUMBER(B1281)),IF(B1282=B1281,"",(B1282-B1281)*100),"")</f>
        <v/>
      </c>
      <c r="G1282" s="20">
        <f>IF(AND(ISNUMBER(C1282),ISNUMBER(C1281)),IF(C1282=C1281,"",(C1282-C1281)*100),"")</f>
        <v/>
      </c>
      <c r="H1282" s="20">
        <f>IF(OR(NOT(ISNUMBER($A1282)),ROW()-2&lt;Settings!$B$11),NA(),IF(COUNT(OFFSET(F1282,1-Settings!$B$11,0,Settings!$B$11,1))&lt;ROUNDUP(Settings!$B$11*Settings!$B$26,0),NA(),STDEV(OFFSET(F1282,1-Settings!$B$11,0,Settings!$B$11,1))*SQRT(Settings!$B$13)))</f>
        <v/>
      </c>
      <c r="I1282" s="20">
        <f>IF(OR(NOT(ISNUMBER($A1282)),ROW()-2&lt;Settings!$B$12),NA(),IF(COUNT(OFFSET(F1282,1-Settings!$B$12,0,Settings!$B$12,1))&lt;ROUNDUP(Settings!$B$12*Settings!$B$26,0),NA(),STDEV(OFFSET(F1282,1-Settings!$B$12,0,Settings!$B$12,1))*SQRT(Settings!$B$13)))</f>
        <v/>
      </c>
      <c r="J1282" s="20">
        <f>IF(OR(NOT(ISNUMBER($A1282)),ROW()-2&lt;Settings!$B$11),NA(),IF(COUNT(OFFSET(G1282,1-Settings!$B$11,0,Settings!$B$11,1))&lt;ROUNDUP(Settings!$B$11*Settings!$B$26,0),NA(),STDEV(OFFSET(G1282,1-Settings!$B$11,0,Settings!$B$11,1))*SQRT(Settings!$B$13)))</f>
        <v/>
      </c>
      <c r="K1282" s="20">
        <f>IF(OR(NOT(ISNUMBER($A1282)),ROW()-2&lt;Settings!$B$12),NA(),IF(COUNT(OFFSET(G1282,1-Settings!$B$12,0,Settings!$B$12,1))&lt;ROUNDUP(Settings!$B$12*Settings!$B$26,0),NA(),STDEV(OFFSET(G1282,1-Settings!$B$12,0,Settings!$B$12,1))*SQRT(Settings!$B$13)))</f>
        <v/>
      </c>
      <c r="L1282" s="20">
        <f>IF(AND(ISNUMBER(D1282),ISNUMBER(H1282)),D1282-H1282,NA())</f>
        <v/>
      </c>
      <c r="M1282" s="20">
        <f>IF(AND(ISNUMBER(E1282),ISNUMBER(K1282)),E1282-K1282,NA())</f>
        <v/>
      </c>
      <c r="N1282" s="20">
        <f>IF(NOT(ISNUMBER($A1282)),NA(),IF(COUNT(OFFSET(G1282,1,0,Settings!$B$12,1))&lt;ROUNDUP(Settings!$B$12*Settings!$B$26,0),NA(),STDEV(OFFSET(G1282,1,0,Settings!$B$12,1))*SQRT(Settings!$B$13)))</f>
        <v/>
      </c>
      <c r="O1282" s="20">
        <f>IF(AND(ISNUMBER(E1282),ISNUMBER(N1282)),E1282-N1282,NA())</f>
        <v/>
      </c>
      <c r="P1282" s="19">
        <f>IF(NOT(ISNUMBER($A1282)),NA(),IF(OR($A1282&lt;MIN(KW_TP!$A$2:$A$2501),$A1282&gt;MAX(KW_TP!$A$2:$A$2501)),NA(),INDEX(KW_TP!$C$2:$C$2501,MATCH($A1282,KW_TP!$A$2:$A$2501,1))))</f>
        <v/>
      </c>
      <c r="Q1282" s="18">
        <f>IF(NOT(ISNUMBER($A1282)),NA(),IFERROR(1*INDEX(BBG_Data!$J$2:$J$4000,MATCH($A1282,BBG_Data!$I$2:$I$4000,0)),NA()))</f>
        <v/>
      </c>
      <c r="R1282" s="18">
        <f>IF(NOT(ISNUMBER($A1282)),NA(),IFERROR(1*INDEX(BBG_Data!$L$2:$L$4000,MATCH($A1282,BBG_Data!$K$2:$K$4000,0)),NA()))</f>
        <v/>
      </c>
      <c r="S1282" s="20">
        <f>IF(AND(ISNUMBER(B1282),ISNUMBER(Q1282),ISNUMBER(R1282)),(B1282-Q1282-R1282)*100,NA())</f>
        <v/>
      </c>
      <c r="T1282" s="20">
        <f>IF(AND(ISNUMBER(B1282),Settings!$B$17&gt;0),IF(ISNUMBER(INDEX($B:$B,Settings!$B$17)),(B1282-INDEX($B:$B,Settings!$B$17))*100,NA()),NA())</f>
        <v/>
      </c>
      <c r="U1282" s="20">
        <f>IF(AND(ISNUMBER(Q1282),Settings!$B$17&gt;0),IF(ISNUMBER(INDEX($Q:$Q,Settings!$B$17)),(Q1282-INDEX($Q:$Q,Settings!$B$17))*100,NA()),NA())</f>
        <v/>
      </c>
      <c r="V1282" s="20">
        <f>IF(AND(ISNUMBER(R1282),Settings!$B$17&gt;0),IF(ISNUMBER(INDEX($R:$R,Settings!$B$17)),(R1282-INDEX($R:$R,Settings!$B$17))*100,NA()),NA())</f>
        <v/>
      </c>
      <c r="W1282" s="20">
        <f>IF(AND(ISNUMBER(P1282),Settings!$B$17&gt;0),IF(ISNUMBER(INDEX($P:$P,Settings!$B$17)),P1282-INDEX($P:$P,Settings!$B$17),NA()),NA())</f>
        <v/>
      </c>
      <c r="X1282" s="19">
        <f>IF(NOT(ISNUMBER($A1282)),NA(),IF(OR($A1282&lt;MIN(DKW_10Y!$A$2:$A$2918),$A1282&gt;MAX(DKW_10Y!$A$2:$A$2918),Settings!$B$16&lt;MIN(DKW_10Y!$A$2:$A$2918)),NA(),(INDEX(DKW_10Y!$B$2:$B$2918,MATCH($A1282,DKW_10Y!$A$2:$A$2918,1))-INDEX(DKW_10Y!$B$2:$B$2918,MATCH(Settings!$B$16,DKW_10Y!$A$2:$A$2918,1)))*100))</f>
        <v/>
      </c>
      <c r="Y1282" s="19">
        <f>IF(NOT(ISNUMBER($A1282)),NA(),IF(OR($A1282&lt;MIN(DKW_10Y!$A$2:$A$2918),$A1282&gt;MAX(DKW_10Y!$A$2:$A$2918),Settings!$B$16&lt;MIN(DKW_10Y!$A$2:$A$2918)),NA(),(INDEX(DKW_10Y!$C$2:$C$2918,MATCH($A1282,DKW_10Y!$A$2:$A$2918,1))-INDEX(DKW_10Y!$C$2:$C$2918,MATCH(Settings!$B$16,DKW_10Y!$A$2:$A$2918,1)))*100))</f>
        <v/>
      </c>
      <c r="Z1282" s="19">
        <f>IF(NOT(ISNUMBER($A1282)),NA(),IF(OR($A1282&lt;MIN(DKW_10Y!$A$2:$A$2918),$A1282&gt;MAX(DKW_10Y!$A$2:$A$2918),Settings!$B$16&lt;MIN(DKW_10Y!$A$2:$A$2918)),NA(),(INDEX(DKW_10Y!$D$2:$D$2918,MATCH($A1282,DKW_10Y!$A$2:$A$2918,1))-INDEX(DKW_10Y!$D$2:$D$2918,MATCH(Settings!$B$16,DKW_10Y!$A$2:$A$2918,1)))*100))</f>
        <v/>
      </c>
      <c r="AA1282" s="19">
        <f>IF(NOT(ISNUMBER($A1282)),NA(),IF(OR($A1282&lt;MIN(DKW_10Y!$A$2:$A$2918),$A1282&gt;MAX(DKW_10Y!$A$2:$A$2918),Settings!$B$16&lt;MIN(DKW_10Y!$A$2:$A$2918)),NA(),(INDEX(DKW_10Y!$E$2:$E$2918,MATCH($A1282,DKW_10Y!$A$2:$A$2918,1))-INDEX(DKW_10Y!$E$2:$E$2918,MATCH(Settings!$B$16,DKW_10Y!$A$2:$A$2918,1)))*100))</f>
        <v/>
      </c>
      <c r="AB1282" s="19">
        <f>IF(NOT(ISNUMBER($A1282)),NA(),IF(OR($A1282&lt;MIN(DKW_10Y!$A$2:$A$2918),$A1282&gt;MAX(DKW_10Y!$A$2:$A$2918),Settings!$B$16&lt;MIN(DKW_10Y!$A$2:$A$2918)),NA(),(INDEX(DKW_10Y!$H$2:$H$2918,MATCH($A1282,DKW_10Y!$A$2:$A$2918,1))-INDEX(DKW_10Y!$H$2:$H$2918,MATCH(Settings!$B$16,DKW_10Y!$A$2:$A$2918,1)))*100))</f>
        <v/>
      </c>
      <c r="AC1282" s="18">
        <f>IF(NOT(ISNUMBER($A1282)),NA(),IFERROR(1*INDEX(BBG_Data!$N$2:$N$4000,MATCH($A1282,BBG_Data!$M$2:$M$4000,0)),NA()))</f>
        <v/>
      </c>
      <c r="AD1282" s="18">
        <f>IF(NOT(ISNUMBER($A1282)),NA(),IFERROR(1*INDEX(BBG_Data!$P$2:$P$4000,MATCH($A1282,BBG_Data!$O$2:$O$4000,0)),NA()))</f>
        <v/>
      </c>
      <c r="AE1282" s="18">
        <f>IF(NOT(ISNUMBER($A1282)),NA(),IFERROR(1*INDEX(BBG_Data!$R$2:$R$4000,MATCH($A1282,BBG_Data!$Q$2:$Q$4000,0)),NA()))</f>
        <v/>
      </c>
      <c r="AF1282" s="20">
        <f>IF(AND(ISNUMBER(B1282),ISNUMBER(AC1282)),(B1282-AC1282)*100,NA())</f>
        <v/>
      </c>
      <c r="AG1282" s="20">
        <f>IF(AND(ISNUMBER(AE1282),ISNUMBER(AD1282)),(AE1282-AD1282)*100,NA())</f>
        <v/>
      </c>
      <c r="AH1282" s="19">
        <f>IF(NOT(ISNUMBER($A1282)),NA(),IFERROR(INDEX(BBG_Data!$T$2:$T$4000,MATCH($A1282,BBG_Data!$S$2:$S$4000,0))*Settings!$B$25,NA()))</f>
        <v/>
      </c>
      <c r="AI1282" s="19">
        <f>IF(NOT(ISNUMBER($A1282)),NA(),IFERROR(INDEX(BBG_Data!$V$2:$V$4000,MATCH($A1282,BBG_Data!$U$2:$U$4000,0))*Settings!$B$25,NA()))</f>
        <v/>
      </c>
      <c r="AJ1282" s="19">
        <f>IF(NOT(ISNUMBER($A1282)),NA(),IFERROR(1*INDEX(BBG_Data!$X$2:$X$4000,MATCH($A1282,BBG_Data!$W$2:$W$4000,0)),NA()))</f>
        <v/>
      </c>
      <c r="AK1282" s="19">
        <f>IF(NOT(ISNUMBER($A1282)),NA(),IFERROR(1*INDEX(BBG_Data!$Z$2:$Z$4000,MATCH($A1282,BBG_Data!$Y$2:$Y$4000,0)),NA()))</f>
        <v/>
      </c>
    </row>
    <row r="1283">
      <c r="A1283" s="17">
        <f>IF(ISNUMBER(BBG_Data!A1283),BBG_Data!A1283,"")</f>
        <v/>
      </c>
      <c r="B1283" s="18">
        <f>IF(AND(ISNUMBER($A1283),ISNUMBER(BBG_Data!B1283)),BBG_Data!B1283,NA())</f>
        <v/>
      </c>
      <c r="C1283" s="18">
        <f>IF(NOT(ISNUMBER($A1283)),NA(),IFERROR(1*INDEX(BBG_Data!$D$2:$D$4000,MATCH($A1283,BBG_Data!$C$2:$C$4000,0)),NA()))</f>
        <v/>
      </c>
      <c r="D1283" s="19">
        <f>IF(NOT(ISNUMBER($A1283)),NA(),IFERROR(1*INDEX(BBG_Data!$F$2:$F$4000,MATCH($A1283,BBG_Data!$E$2:$E$4000,0)),NA()))</f>
        <v/>
      </c>
      <c r="E1283" s="19">
        <f>IF(NOT(ISNUMBER($A1283)),NA(),IFERROR(1*INDEX(BBG_Data!$H$2:$H$4000,MATCH($A1283,BBG_Data!$G$2:$G$4000,0)),NA()))</f>
        <v/>
      </c>
      <c r="F1283" s="20">
        <f>IF(AND(ISNUMBER(B1283),ISNUMBER(B1282)),IF(B1283=B1282,"",(B1283-B1282)*100),"")</f>
        <v/>
      </c>
      <c r="G1283" s="20">
        <f>IF(AND(ISNUMBER(C1283),ISNUMBER(C1282)),IF(C1283=C1282,"",(C1283-C1282)*100),"")</f>
        <v/>
      </c>
      <c r="H1283" s="20">
        <f>IF(OR(NOT(ISNUMBER($A1283)),ROW()-2&lt;Settings!$B$11),NA(),IF(COUNT(OFFSET(F1283,1-Settings!$B$11,0,Settings!$B$11,1))&lt;ROUNDUP(Settings!$B$11*Settings!$B$26,0),NA(),STDEV(OFFSET(F1283,1-Settings!$B$11,0,Settings!$B$11,1))*SQRT(Settings!$B$13)))</f>
        <v/>
      </c>
      <c r="I1283" s="20">
        <f>IF(OR(NOT(ISNUMBER($A1283)),ROW()-2&lt;Settings!$B$12),NA(),IF(COUNT(OFFSET(F1283,1-Settings!$B$12,0,Settings!$B$12,1))&lt;ROUNDUP(Settings!$B$12*Settings!$B$26,0),NA(),STDEV(OFFSET(F1283,1-Settings!$B$12,0,Settings!$B$12,1))*SQRT(Settings!$B$13)))</f>
        <v/>
      </c>
      <c r="J1283" s="20">
        <f>IF(OR(NOT(ISNUMBER($A1283)),ROW()-2&lt;Settings!$B$11),NA(),IF(COUNT(OFFSET(G1283,1-Settings!$B$11,0,Settings!$B$11,1))&lt;ROUNDUP(Settings!$B$11*Settings!$B$26,0),NA(),STDEV(OFFSET(G1283,1-Settings!$B$11,0,Settings!$B$11,1))*SQRT(Settings!$B$13)))</f>
        <v/>
      </c>
      <c r="K1283" s="20">
        <f>IF(OR(NOT(ISNUMBER($A1283)),ROW()-2&lt;Settings!$B$12),NA(),IF(COUNT(OFFSET(G1283,1-Settings!$B$12,0,Settings!$B$12,1))&lt;ROUNDUP(Settings!$B$12*Settings!$B$26,0),NA(),STDEV(OFFSET(G1283,1-Settings!$B$12,0,Settings!$B$12,1))*SQRT(Settings!$B$13)))</f>
        <v/>
      </c>
      <c r="L1283" s="20">
        <f>IF(AND(ISNUMBER(D1283),ISNUMBER(H1283)),D1283-H1283,NA())</f>
        <v/>
      </c>
      <c r="M1283" s="20">
        <f>IF(AND(ISNUMBER(E1283),ISNUMBER(K1283)),E1283-K1283,NA())</f>
        <v/>
      </c>
      <c r="N1283" s="20">
        <f>IF(NOT(ISNUMBER($A1283)),NA(),IF(COUNT(OFFSET(G1283,1,0,Settings!$B$12,1))&lt;ROUNDUP(Settings!$B$12*Settings!$B$26,0),NA(),STDEV(OFFSET(G1283,1,0,Settings!$B$12,1))*SQRT(Settings!$B$13)))</f>
        <v/>
      </c>
      <c r="O1283" s="20">
        <f>IF(AND(ISNUMBER(E1283),ISNUMBER(N1283)),E1283-N1283,NA())</f>
        <v/>
      </c>
      <c r="P1283" s="19">
        <f>IF(NOT(ISNUMBER($A1283)),NA(),IF(OR($A1283&lt;MIN(KW_TP!$A$2:$A$2501),$A1283&gt;MAX(KW_TP!$A$2:$A$2501)),NA(),INDEX(KW_TP!$C$2:$C$2501,MATCH($A1283,KW_TP!$A$2:$A$2501,1))))</f>
        <v/>
      </c>
      <c r="Q1283" s="18">
        <f>IF(NOT(ISNUMBER($A1283)),NA(),IFERROR(1*INDEX(BBG_Data!$J$2:$J$4000,MATCH($A1283,BBG_Data!$I$2:$I$4000,0)),NA()))</f>
        <v/>
      </c>
      <c r="R1283" s="18">
        <f>IF(NOT(ISNUMBER($A1283)),NA(),IFERROR(1*INDEX(BBG_Data!$L$2:$L$4000,MATCH($A1283,BBG_Data!$K$2:$K$4000,0)),NA()))</f>
        <v/>
      </c>
      <c r="S1283" s="20">
        <f>IF(AND(ISNUMBER(B1283),ISNUMBER(Q1283),ISNUMBER(R1283)),(B1283-Q1283-R1283)*100,NA())</f>
        <v/>
      </c>
      <c r="T1283" s="20">
        <f>IF(AND(ISNUMBER(B1283),Settings!$B$17&gt;0),IF(ISNUMBER(INDEX($B:$B,Settings!$B$17)),(B1283-INDEX($B:$B,Settings!$B$17))*100,NA()),NA())</f>
        <v/>
      </c>
      <c r="U1283" s="20">
        <f>IF(AND(ISNUMBER(Q1283),Settings!$B$17&gt;0),IF(ISNUMBER(INDEX($Q:$Q,Settings!$B$17)),(Q1283-INDEX($Q:$Q,Settings!$B$17))*100,NA()),NA())</f>
        <v/>
      </c>
      <c r="V1283" s="20">
        <f>IF(AND(ISNUMBER(R1283),Settings!$B$17&gt;0),IF(ISNUMBER(INDEX($R:$R,Settings!$B$17)),(R1283-INDEX($R:$R,Settings!$B$17))*100,NA()),NA())</f>
        <v/>
      </c>
      <c r="W1283" s="20">
        <f>IF(AND(ISNUMBER(P1283),Settings!$B$17&gt;0),IF(ISNUMBER(INDEX($P:$P,Settings!$B$17)),P1283-INDEX($P:$P,Settings!$B$17),NA()),NA())</f>
        <v/>
      </c>
      <c r="X1283" s="19">
        <f>IF(NOT(ISNUMBER($A1283)),NA(),IF(OR($A1283&lt;MIN(DKW_10Y!$A$2:$A$2918),$A1283&gt;MAX(DKW_10Y!$A$2:$A$2918),Settings!$B$16&lt;MIN(DKW_10Y!$A$2:$A$2918)),NA(),(INDEX(DKW_10Y!$B$2:$B$2918,MATCH($A1283,DKW_10Y!$A$2:$A$2918,1))-INDEX(DKW_10Y!$B$2:$B$2918,MATCH(Settings!$B$16,DKW_10Y!$A$2:$A$2918,1)))*100))</f>
        <v/>
      </c>
      <c r="Y1283" s="19">
        <f>IF(NOT(ISNUMBER($A1283)),NA(),IF(OR($A1283&lt;MIN(DKW_10Y!$A$2:$A$2918),$A1283&gt;MAX(DKW_10Y!$A$2:$A$2918),Settings!$B$16&lt;MIN(DKW_10Y!$A$2:$A$2918)),NA(),(INDEX(DKW_10Y!$C$2:$C$2918,MATCH($A1283,DKW_10Y!$A$2:$A$2918,1))-INDEX(DKW_10Y!$C$2:$C$2918,MATCH(Settings!$B$16,DKW_10Y!$A$2:$A$2918,1)))*100))</f>
        <v/>
      </c>
      <c r="Z1283" s="19">
        <f>IF(NOT(ISNUMBER($A1283)),NA(),IF(OR($A1283&lt;MIN(DKW_10Y!$A$2:$A$2918),$A1283&gt;MAX(DKW_10Y!$A$2:$A$2918),Settings!$B$16&lt;MIN(DKW_10Y!$A$2:$A$2918)),NA(),(INDEX(DKW_10Y!$D$2:$D$2918,MATCH($A1283,DKW_10Y!$A$2:$A$2918,1))-INDEX(DKW_10Y!$D$2:$D$2918,MATCH(Settings!$B$16,DKW_10Y!$A$2:$A$2918,1)))*100))</f>
        <v/>
      </c>
      <c r="AA1283" s="19">
        <f>IF(NOT(ISNUMBER($A1283)),NA(),IF(OR($A1283&lt;MIN(DKW_10Y!$A$2:$A$2918),$A1283&gt;MAX(DKW_10Y!$A$2:$A$2918),Settings!$B$16&lt;MIN(DKW_10Y!$A$2:$A$2918)),NA(),(INDEX(DKW_10Y!$E$2:$E$2918,MATCH($A1283,DKW_10Y!$A$2:$A$2918,1))-INDEX(DKW_10Y!$E$2:$E$2918,MATCH(Settings!$B$16,DKW_10Y!$A$2:$A$2918,1)))*100))</f>
        <v/>
      </c>
      <c r="AB1283" s="19">
        <f>IF(NOT(ISNUMBER($A1283)),NA(),IF(OR($A1283&lt;MIN(DKW_10Y!$A$2:$A$2918),$A1283&gt;MAX(DKW_10Y!$A$2:$A$2918),Settings!$B$16&lt;MIN(DKW_10Y!$A$2:$A$2918)),NA(),(INDEX(DKW_10Y!$H$2:$H$2918,MATCH($A1283,DKW_10Y!$A$2:$A$2918,1))-INDEX(DKW_10Y!$H$2:$H$2918,MATCH(Settings!$B$16,DKW_10Y!$A$2:$A$2918,1)))*100))</f>
        <v/>
      </c>
      <c r="AC1283" s="18">
        <f>IF(NOT(ISNUMBER($A1283)),NA(),IFERROR(1*INDEX(BBG_Data!$N$2:$N$4000,MATCH($A1283,BBG_Data!$M$2:$M$4000,0)),NA()))</f>
        <v/>
      </c>
      <c r="AD1283" s="18">
        <f>IF(NOT(ISNUMBER($A1283)),NA(),IFERROR(1*INDEX(BBG_Data!$P$2:$P$4000,MATCH($A1283,BBG_Data!$O$2:$O$4000,0)),NA()))</f>
        <v/>
      </c>
      <c r="AE1283" s="18">
        <f>IF(NOT(ISNUMBER($A1283)),NA(),IFERROR(1*INDEX(BBG_Data!$R$2:$R$4000,MATCH($A1283,BBG_Data!$Q$2:$Q$4000,0)),NA()))</f>
        <v/>
      </c>
      <c r="AF1283" s="20">
        <f>IF(AND(ISNUMBER(B1283),ISNUMBER(AC1283)),(B1283-AC1283)*100,NA())</f>
        <v/>
      </c>
      <c r="AG1283" s="20">
        <f>IF(AND(ISNUMBER(AE1283),ISNUMBER(AD1283)),(AE1283-AD1283)*100,NA())</f>
        <v/>
      </c>
      <c r="AH1283" s="19">
        <f>IF(NOT(ISNUMBER($A1283)),NA(),IFERROR(INDEX(BBG_Data!$T$2:$T$4000,MATCH($A1283,BBG_Data!$S$2:$S$4000,0))*Settings!$B$25,NA()))</f>
        <v/>
      </c>
      <c r="AI1283" s="19">
        <f>IF(NOT(ISNUMBER($A1283)),NA(),IFERROR(INDEX(BBG_Data!$V$2:$V$4000,MATCH($A1283,BBG_Data!$U$2:$U$4000,0))*Settings!$B$25,NA()))</f>
        <v/>
      </c>
      <c r="AJ1283" s="19">
        <f>IF(NOT(ISNUMBER($A1283)),NA(),IFERROR(1*INDEX(BBG_Data!$X$2:$X$4000,MATCH($A1283,BBG_Data!$W$2:$W$4000,0)),NA()))</f>
        <v/>
      </c>
      <c r="AK1283" s="19">
        <f>IF(NOT(ISNUMBER($A1283)),NA(),IFERROR(1*INDEX(BBG_Data!$Z$2:$Z$4000,MATCH($A1283,BBG_Data!$Y$2:$Y$4000,0)),NA()))</f>
        <v/>
      </c>
    </row>
    <row r="1284">
      <c r="A1284" s="17">
        <f>IF(ISNUMBER(BBG_Data!A1284),BBG_Data!A1284,"")</f>
        <v/>
      </c>
      <c r="B1284" s="18">
        <f>IF(AND(ISNUMBER($A1284),ISNUMBER(BBG_Data!B1284)),BBG_Data!B1284,NA())</f>
        <v/>
      </c>
      <c r="C1284" s="18">
        <f>IF(NOT(ISNUMBER($A1284)),NA(),IFERROR(1*INDEX(BBG_Data!$D$2:$D$4000,MATCH($A1284,BBG_Data!$C$2:$C$4000,0)),NA()))</f>
        <v/>
      </c>
      <c r="D1284" s="19">
        <f>IF(NOT(ISNUMBER($A1284)),NA(),IFERROR(1*INDEX(BBG_Data!$F$2:$F$4000,MATCH($A1284,BBG_Data!$E$2:$E$4000,0)),NA()))</f>
        <v/>
      </c>
      <c r="E1284" s="19">
        <f>IF(NOT(ISNUMBER($A1284)),NA(),IFERROR(1*INDEX(BBG_Data!$H$2:$H$4000,MATCH($A1284,BBG_Data!$G$2:$G$4000,0)),NA()))</f>
        <v/>
      </c>
      <c r="F1284" s="20">
        <f>IF(AND(ISNUMBER(B1284),ISNUMBER(B1283)),IF(B1284=B1283,"",(B1284-B1283)*100),"")</f>
        <v/>
      </c>
      <c r="G1284" s="20">
        <f>IF(AND(ISNUMBER(C1284),ISNUMBER(C1283)),IF(C1284=C1283,"",(C1284-C1283)*100),"")</f>
        <v/>
      </c>
      <c r="H1284" s="20">
        <f>IF(OR(NOT(ISNUMBER($A1284)),ROW()-2&lt;Settings!$B$11),NA(),IF(COUNT(OFFSET(F1284,1-Settings!$B$11,0,Settings!$B$11,1))&lt;ROUNDUP(Settings!$B$11*Settings!$B$26,0),NA(),STDEV(OFFSET(F1284,1-Settings!$B$11,0,Settings!$B$11,1))*SQRT(Settings!$B$13)))</f>
        <v/>
      </c>
      <c r="I1284" s="20">
        <f>IF(OR(NOT(ISNUMBER($A1284)),ROW()-2&lt;Settings!$B$12),NA(),IF(COUNT(OFFSET(F1284,1-Settings!$B$12,0,Settings!$B$12,1))&lt;ROUNDUP(Settings!$B$12*Settings!$B$26,0),NA(),STDEV(OFFSET(F1284,1-Settings!$B$12,0,Settings!$B$12,1))*SQRT(Settings!$B$13)))</f>
        <v/>
      </c>
      <c r="J1284" s="20">
        <f>IF(OR(NOT(ISNUMBER($A1284)),ROW()-2&lt;Settings!$B$11),NA(),IF(COUNT(OFFSET(G1284,1-Settings!$B$11,0,Settings!$B$11,1))&lt;ROUNDUP(Settings!$B$11*Settings!$B$26,0),NA(),STDEV(OFFSET(G1284,1-Settings!$B$11,0,Settings!$B$11,1))*SQRT(Settings!$B$13)))</f>
        <v/>
      </c>
      <c r="K1284" s="20">
        <f>IF(OR(NOT(ISNUMBER($A1284)),ROW()-2&lt;Settings!$B$12),NA(),IF(COUNT(OFFSET(G1284,1-Settings!$B$12,0,Settings!$B$12,1))&lt;ROUNDUP(Settings!$B$12*Settings!$B$26,0),NA(),STDEV(OFFSET(G1284,1-Settings!$B$12,0,Settings!$B$12,1))*SQRT(Settings!$B$13)))</f>
        <v/>
      </c>
      <c r="L1284" s="20">
        <f>IF(AND(ISNUMBER(D1284),ISNUMBER(H1284)),D1284-H1284,NA())</f>
        <v/>
      </c>
      <c r="M1284" s="20">
        <f>IF(AND(ISNUMBER(E1284),ISNUMBER(K1284)),E1284-K1284,NA())</f>
        <v/>
      </c>
      <c r="N1284" s="20">
        <f>IF(NOT(ISNUMBER($A1284)),NA(),IF(COUNT(OFFSET(G1284,1,0,Settings!$B$12,1))&lt;ROUNDUP(Settings!$B$12*Settings!$B$26,0),NA(),STDEV(OFFSET(G1284,1,0,Settings!$B$12,1))*SQRT(Settings!$B$13)))</f>
        <v/>
      </c>
      <c r="O1284" s="20">
        <f>IF(AND(ISNUMBER(E1284),ISNUMBER(N1284)),E1284-N1284,NA())</f>
        <v/>
      </c>
      <c r="P1284" s="19">
        <f>IF(NOT(ISNUMBER($A1284)),NA(),IF(OR($A1284&lt;MIN(KW_TP!$A$2:$A$2501),$A1284&gt;MAX(KW_TP!$A$2:$A$2501)),NA(),INDEX(KW_TP!$C$2:$C$2501,MATCH($A1284,KW_TP!$A$2:$A$2501,1))))</f>
        <v/>
      </c>
      <c r="Q1284" s="18">
        <f>IF(NOT(ISNUMBER($A1284)),NA(),IFERROR(1*INDEX(BBG_Data!$J$2:$J$4000,MATCH($A1284,BBG_Data!$I$2:$I$4000,0)),NA()))</f>
        <v/>
      </c>
      <c r="R1284" s="18">
        <f>IF(NOT(ISNUMBER($A1284)),NA(),IFERROR(1*INDEX(BBG_Data!$L$2:$L$4000,MATCH($A1284,BBG_Data!$K$2:$K$4000,0)),NA()))</f>
        <v/>
      </c>
      <c r="S1284" s="20">
        <f>IF(AND(ISNUMBER(B1284),ISNUMBER(Q1284),ISNUMBER(R1284)),(B1284-Q1284-R1284)*100,NA())</f>
        <v/>
      </c>
      <c r="T1284" s="20">
        <f>IF(AND(ISNUMBER(B1284),Settings!$B$17&gt;0),IF(ISNUMBER(INDEX($B:$B,Settings!$B$17)),(B1284-INDEX($B:$B,Settings!$B$17))*100,NA()),NA())</f>
        <v/>
      </c>
      <c r="U1284" s="20">
        <f>IF(AND(ISNUMBER(Q1284),Settings!$B$17&gt;0),IF(ISNUMBER(INDEX($Q:$Q,Settings!$B$17)),(Q1284-INDEX($Q:$Q,Settings!$B$17))*100,NA()),NA())</f>
        <v/>
      </c>
      <c r="V1284" s="20">
        <f>IF(AND(ISNUMBER(R1284),Settings!$B$17&gt;0),IF(ISNUMBER(INDEX($R:$R,Settings!$B$17)),(R1284-INDEX($R:$R,Settings!$B$17))*100,NA()),NA())</f>
        <v/>
      </c>
      <c r="W1284" s="20">
        <f>IF(AND(ISNUMBER(P1284),Settings!$B$17&gt;0),IF(ISNUMBER(INDEX($P:$P,Settings!$B$17)),P1284-INDEX($P:$P,Settings!$B$17),NA()),NA())</f>
        <v/>
      </c>
      <c r="X1284" s="19">
        <f>IF(NOT(ISNUMBER($A1284)),NA(),IF(OR($A1284&lt;MIN(DKW_10Y!$A$2:$A$2918),$A1284&gt;MAX(DKW_10Y!$A$2:$A$2918),Settings!$B$16&lt;MIN(DKW_10Y!$A$2:$A$2918)),NA(),(INDEX(DKW_10Y!$B$2:$B$2918,MATCH($A1284,DKW_10Y!$A$2:$A$2918,1))-INDEX(DKW_10Y!$B$2:$B$2918,MATCH(Settings!$B$16,DKW_10Y!$A$2:$A$2918,1)))*100))</f>
        <v/>
      </c>
      <c r="Y1284" s="19">
        <f>IF(NOT(ISNUMBER($A1284)),NA(),IF(OR($A1284&lt;MIN(DKW_10Y!$A$2:$A$2918),$A1284&gt;MAX(DKW_10Y!$A$2:$A$2918),Settings!$B$16&lt;MIN(DKW_10Y!$A$2:$A$2918)),NA(),(INDEX(DKW_10Y!$C$2:$C$2918,MATCH($A1284,DKW_10Y!$A$2:$A$2918,1))-INDEX(DKW_10Y!$C$2:$C$2918,MATCH(Settings!$B$16,DKW_10Y!$A$2:$A$2918,1)))*100))</f>
        <v/>
      </c>
      <c r="Z1284" s="19">
        <f>IF(NOT(ISNUMBER($A1284)),NA(),IF(OR($A1284&lt;MIN(DKW_10Y!$A$2:$A$2918),$A1284&gt;MAX(DKW_10Y!$A$2:$A$2918),Settings!$B$16&lt;MIN(DKW_10Y!$A$2:$A$2918)),NA(),(INDEX(DKW_10Y!$D$2:$D$2918,MATCH($A1284,DKW_10Y!$A$2:$A$2918,1))-INDEX(DKW_10Y!$D$2:$D$2918,MATCH(Settings!$B$16,DKW_10Y!$A$2:$A$2918,1)))*100))</f>
        <v/>
      </c>
      <c r="AA1284" s="19">
        <f>IF(NOT(ISNUMBER($A1284)),NA(),IF(OR($A1284&lt;MIN(DKW_10Y!$A$2:$A$2918),$A1284&gt;MAX(DKW_10Y!$A$2:$A$2918),Settings!$B$16&lt;MIN(DKW_10Y!$A$2:$A$2918)),NA(),(INDEX(DKW_10Y!$E$2:$E$2918,MATCH($A1284,DKW_10Y!$A$2:$A$2918,1))-INDEX(DKW_10Y!$E$2:$E$2918,MATCH(Settings!$B$16,DKW_10Y!$A$2:$A$2918,1)))*100))</f>
        <v/>
      </c>
      <c r="AB1284" s="19">
        <f>IF(NOT(ISNUMBER($A1284)),NA(),IF(OR($A1284&lt;MIN(DKW_10Y!$A$2:$A$2918),$A1284&gt;MAX(DKW_10Y!$A$2:$A$2918),Settings!$B$16&lt;MIN(DKW_10Y!$A$2:$A$2918)),NA(),(INDEX(DKW_10Y!$H$2:$H$2918,MATCH($A1284,DKW_10Y!$A$2:$A$2918,1))-INDEX(DKW_10Y!$H$2:$H$2918,MATCH(Settings!$B$16,DKW_10Y!$A$2:$A$2918,1)))*100))</f>
        <v/>
      </c>
      <c r="AC1284" s="18">
        <f>IF(NOT(ISNUMBER($A1284)),NA(),IFERROR(1*INDEX(BBG_Data!$N$2:$N$4000,MATCH($A1284,BBG_Data!$M$2:$M$4000,0)),NA()))</f>
        <v/>
      </c>
      <c r="AD1284" s="18">
        <f>IF(NOT(ISNUMBER($A1284)),NA(),IFERROR(1*INDEX(BBG_Data!$P$2:$P$4000,MATCH($A1284,BBG_Data!$O$2:$O$4000,0)),NA()))</f>
        <v/>
      </c>
      <c r="AE1284" s="18">
        <f>IF(NOT(ISNUMBER($A1284)),NA(),IFERROR(1*INDEX(BBG_Data!$R$2:$R$4000,MATCH($A1284,BBG_Data!$Q$2:$Q$4000,0)),NA()))</f>
        <v/>
      </c>
      <c r="AF1284" s="20">
        <f>IF(AND(ISNUMBER(B1284),ISNUMBER(AC1284)),(B1284-AC1284)*100,NA())</f>
        <v/>
      </c>
      <c r="AG1284" s="20">
        <f>IF(AND(ISNUMBER(AE1284),ISNUMBER(AD1284)),(AE1284-AD1284)*100,NA())</f>
        <v/>
      </c>
      <c r="AH1284" s="19">
        <f>IF(NOT(ISNUMBER($A1284)),NA(),IFERROR(INDEX(BBG_Data!$T$2:$T$4000,MATCH($A1284,BBG_Data!$S$2:$S$4000,0))*Settings!$B$25,NA()))</f>
        <v/>
      </c>
      <c r="AI1284" s="19">
        <f>IF(NOT(ISNUMBER($A1284)),NA(),IFERROR(INDEX(BBG_Data!$V$2:$V$4000,MATCH($A1284,BBG_Data!$U$2:$U$4000,0))*Settings!$B$25,NA()))</f>
        <v/>
      </c>
      <c r="AJ1284" s="19">
        <f>IF(NOT(ISNUMBER($A1284)),NA(),IFERROR(1*INDEX(BBG_Data!$X$2:$X$4000,MATCH($A1284,BBG_Data!$W$2:$W$4000,0)),NA()))</f>
        <v/>
      </c>
      <c r="AK1284" s="19">
        <f>IF(NOT(ISNUMBER($A1284)),NA(),IFERROR(1*INDEX(BBG_Data!$Z$2:$Z$4000,MATCH($A1284,BBG_Data!$Y$2:$Y$4000,0)),NA()))</f>
        <v/>
      </c>
    </row>
    <row r="1285">
      <c r="A1285" s="17">
        <f>IF(ISNUMBER(BBG_Data!A1285),BBG_Data!A1285,"")</f>
        <v/>
      </c>
      <c r="B1285" s="18">
        <f>IF(AND(ISNUMBER($A1285),ISNUMBER(BBG_Data!B1285)),BBG_Data!B1285,NA())</f>
        <v/>
      </c>
      <c r="C1285" s="18">
        <f>IF(NOT(ISNUMBER($A1285)),NA(),IFERROR(1*INDEX(BBG_Data!$D$2:$D$4000,MATCH($A1285,BBG_Data!$C$2:$C$4000,0)),NA()))</f>
        <v/>
      </c>
      <c r="D1285" s="19">
        <f>IF(NOT(ISNUMBER($A1285)),NA(),IFERROR(1*INDEX(BBG_Data!$F$2:$F$4000,MATCH($A1285,BBG_Data!$E$2:$E$4000,0)),NA()))</f>
        <v/>
      </c>
      <c r="E1285" s="19">
        <f>IF(NOT(ISNUMBER($A1285)),NA(),IFERROR(1*INDEX(BBG_Data!$H$2:$H$4000,MATCH($A1285,BBG_Data!$G$2:$G$4000,0)),NA()))</f>
        <v/>
      </c>
      <c r="F1285" s="20">
        <f>IF(AND(ISNUMBER(B1285),ISNUMBER(B1284)),IF(B1285=B1284,"",(B1285-B1284)*100),"")</f>
        <v/>
      </c>
      <c r="G1285" s="20">
        <f>IF(AND(ISNUMBER(C1285),ISNUMBER(C1284)),IF(C1285=C1284,"",(C1285-C1284)*100),"")</f>
        <v/>
      </c>
      <c r="H1285" s="20">
        <f>IF(OR(NOT(ISNUMBER($A1285)),ROW()-2&lt;Settings!$B$11),NA(),IF(COUNT(OFFSET(F1285,1-Settings!$B$11,0,Settings!$B$11,1))&lt;ROUNDUP(Settings!$B$11*Settings!$B$26,0),NA(),STDEV(OFFSET(F1285,1-Settings!$B$11,0,Settings!$B$11,1))*SQRT(Settings!$B$13)))</f>
        <v/>
      </c>
      <c r="I1285" s="20">
        <f>IF(OR(NOT(ISNUMBER($A1285)),ROW()-2&lt;Settings!$B$12),NA(),IF(COUNT(OFFSET(F1285,1-Settings!$B$12,0,Settings!$B$12,1))&lt;ROUNDUP(Settings!$B$12*Settings!$B$26,0),NA(),STDEV(OFFSET(F1285,1-Settings!$B$12,0,Settings!$B$12,1))*SQRT(Settings!$B$13)))</f>
        <v/>
      </c>
      <c r="J1285" s="20">
        <f>IF(OR(NOT(ISNUMBER($A1285)),ROW()-2&lt;Settings!$B$11),NA(),IF(COUNT(OFFSET(G1285,1-Settings!$B$11,0,Settings!$B$11,1))&lt;ROUNDUP(Settings!$B$11*Settings!$B$26,0),NA(),STDEV(OFFSET(G1285,1-Settings!$B$11,0,Settings!$B$11,1))*SQRT(Settings!$B$13)))</f>
        <v/>
      </c>
      <c r="K1285" s="20">
        <f>IF(OR(NOT(ISNUMBER($A1285)),ROW()-2&lt;Settings!$B$12),NA(),IF(COUNT(OFFSET(G1285,1-Settings!$B$12,0,Settings!$B$12,1))&lt;ROUNDUP(Settings!$B$12*Settings!$B$26,0),NA(),STDEV(OFFSET(G1285,1-Settings!$B$12,0,Settings!$B$12,1))*SQRT(Settings!$B$13)))</f>
        <v/>
      </c>
      <c r="L1285" s="20">
        <f>IF(AND(ISNUMBER(D1285),ISNUMBER(H1285)),D1285-H1285,NA())</f>
        <v/>
      </c>
      <c r="M1285" s="20">
        <f>IF(AND(ISNUMBER(E1285),ISNUMBER(K1285)),E1285-K1285,NA())</f>
        <v/>
      </c>
      <c r="N1285" s="20">
        <f>IF(NOT(ISNUMBER($A1285)),NA(),IF(COUNT(OFFSET(G1285,1,0,Settings!$B$12,1))&lt;ROUNDUP(Settings!$B$12*Settings!$B$26,0),NA(),STDEV(OFFSET(G1285,1,0,Settings!$B$12,1))*SQRT(Settings!$B$13)))</f>
        <v/>
      </c>
      <c r="O1285" s="20">
        <f>IF(AND(ISNUMBER(E1285),ISNUMBER(N1285)),E1285-N1285,NA())</f>
        <v/>
      </c>
      <c r="P1285" s="19">
        <f>IF(NOT(ISNUMBER($A1285)),NA(),IF(OR($A1285&lt;MIN(KW_TP!$A$2:$A$2501),$A1285&gt;MAX(KW_TP!$A$2:$A$2501)),NA(),INDEX(KW_TP!$C$2:$C$2501,MATCH($A1285,KW_TP!$A$2:$A$2501,1))))</f>
        <v/>
      </c>
      <c r="Q1285" s="18">
        <f>IF(NOT(ISNUMBER($A1285)),NA(),IFERROR(1*INDEX(BBG_Data!$J$2:$J$4000,MATCH($A1285,BBG_Data!$I$2:$I$4000,0)),NA()))</f>
        <v/>
      </c>
      <c r="R1285" s="18">
        <f>IF(NOT(ISNUMBER($A1285)),NA(),IFERROR(1*INDEX(BBG_Data!$L$2:$L$4000,MATCH($A1285,BBG_Data!$K$2:$K$4000,0)),NA()))</f>
        <v/>
      </c>
      <c r="S1285" s="20">
        <f>IF(AND(ISNUMBER(B1285),ISNUMBER(Q1285),ISNUMBER(R1285)),(B1285-Q1285-R1285)*100,NA())</f>
        <v/>
      </c>
      <c r="T1285" s="20">
        <f>IF(AND(ISNUMBER(B1285),Settings!$B$17&gt;0),IF(ISNUMBER(INDEX($B:$B,Settings!$B$17)),(B1285-INDEX($B:$B,Settings!$B$17))*100,NA()),NA())</f>
        <v/>
      </c>
      <c r="U1285" s="20">
        <f>IF(AND(ISNUMBER(Q1285),Settings!$B$17&gt;0),IF(ISNUMBER(INDEX($Q:$Q,Settings!$B$17)),(Q1285-INDEX($Q:$Q,Settings!$B$17))*100,NA()),NA())</f>
        <v/>
      </c>
      <c r="V1285" s="20">
        <f>IF(AND(ISNUMBER(R1285),Settings!$B$17&gt;0),IF(ISNUMBER(INDEX($R:$R,Settings!$B$17)),(R1285-INDEX($R:$R,Settings!$B$17))*100,NA()),NA())</f>
        <v/>
      </c>
      <c r="W1285" s="20">
        <f>IF(AND(ISNUMBER(P1285),Settings!$B$17&gt;0),IF(ISNUMBER(INDEX($P:$P,Settings!$B$17)),P1285-INDEX($P:$P,Settings!$B$17),NA()),NA())</f>
        <v/>
      </c>
      <c r="X1285" s="19">
        <f>IF(NOT(ISNUMBER($A1285)),NA(),IF(OR($A1285&lt;MIN(DKW_10Y!$A$2:$A$2918),$A1285&gt;MAX(DKW_10Y!$A$2:$A$2918),Settings!$B$16&lt;MIN(DKW_10Y!$A$2:$A$2918)),NA(),(INDEX(DKW_10Y!$B$2:$B$2918,MATCH($A1285,DKW_10Y!$A$2:$A$2918,1))-INDEX(DKW_10Y!$B$2:$B$2918,MATCH(Settings!$B$16,DKW_10Y!$A$2:$A$2918,1)))*100))</f>
        <v/>
      </c>
      <c r="Y1285" s="19">
        <f>IF(NOT(ISNUMBER($A1285)),NA(),IF(OR($A1285&lt;MIN(DKW_10Y!$A$2:$A$2918),$A1285&gt;MAX(DKW_10Y!$A$2:$A$2918),Settings!$B$16&lt;MIN(DKW_10Y!$A$2:$A$2918)),NA(),(INDEX(DKW_10Y!$C$2:$C$2918,MATCH($A1285,DKW_10Y!$A$2:$A$2918,1))-INDEX(DKW_10Y!$C$2:$C$2918,MATCH(Settings!$B$16,DKW_10Y!$A$2:$A$2918,1)))*100))</f>
        <v/>
      </c>
      <c r="Z1285" s="19">
        <f>IF(NOT(ISNUMBER($A1285)),NA(),IF(OR($A1285&lt;MIN(DKW_10Y!$A$2:$A$2918),$A1285&gt;MAX(DKW_10Y!$A$2:$A$2918),Settings!$B$16&lt;MIN(DKW_10Y!$A$2:$A$2918)),NA(),(INDEX(DKW_10Y!$D$2:$D$2918,MATCH($A1285,DKW_10Y!$A$2:$A$2918,1))-INDEX(DKW_10Y!$D$2:$D$2918,MATCH(Settings!$B$16,DKW_10Y!$A$2:$A$2918,1)))*100))</f>
        <v/>
      </c>
      <c r="AA1285" s="19">
        <f>IF(NOT(ISNUMBER($A1285)),NA(),IF(OR($A1285&lt;MIN(DKW_10Y!$A$2:$A$2918),$A1285&gt;MAX(DKW_10Y!$A$2:$A$2918),Settings!$B$16&lt;MIN(DKW_10Y!$A$2:$A$2918)),NA(),(INDEX(DKW_10Y!$E$2:$E$2918,MATCH($A1285,DKW_10Y!$A$2:$A$2918,1))-INDEX(DKW_10Y!$E$2:$E$2918,MATCH(Settings!$B$16,DKW_10Y!$A$2:$A$2918,1)))*100))</f>
        <v/>
      </c>
      <c r="AB1285" s="19">
        <f>IF(NOT(ISNUMBER($A1285)),NA(),IF(OR($A1285&lt;MIN(DKW_10Y!$A$2:$A$2918),$A1285&gt;MAX(DKW_10Y!$A$2:$A$2918),Settings!$B$16&lt;MIN(DKW_10Y!$A$2:$A$2918)),NA(),(INDEX(DKW_10Y!$H$2:$H$2918,MATCH($A1285,DKW_10Y!$A$2:$A$2918,1))-INDEX(DKW_10Y!$H$2:$H$2918,MATCH(Settings!$B$16,DKW_10Y!$A$2:$A$2918,1)))*100))</f>
        <v/>
      </c>
      <c r="AC1285" s="18">
        <f>IF(NOT(ISNUMBER($A1285)),NA(),IFERROR(1*INDEX(BBG_Data!$N$2:$N$4000,MATCH($A1285,BBG_Data!$M$2:$M$4000,0)),NA()))</f>
        <v/>
      </c>
      <c r="AD1285" s="18">
        <f>IF(NOT(ISNUMBER($A1285)),NA(),IFERROR(1*INDEX(BBG_Data!$P$2:$P$4000,MATCH($A1285,BBG_Data!$O$2:$O$4000,0)),NA()))</f>
        <v/>
      </c>
      <c r="AE1285" s="18">
        <f>IF(NOT(ISNUMBER($A1285)),NA(),IFERROR(1*INDEX(BBG_Data!$R$2:$R$4000,MATCH($A1285,BBG_Data!$Q$2:$Q$4000,0)),NA()))</f>
        <v/>
      </c>
      <c r="AF1285" s="20">
        <f>IF(AND(ISNUMBER(B1285),ISNUMBER(AC1285)),(B1285-AC1285)*100,NA())</f>
        <v/>
      </c>
      <c r="AG1285" s="20">
        <f>IF(AND(ISNUMBER(AE1285),ISNUMBER(AD1285)),(AE1285-AD1285)*100,NA())</f>
        <v/>
      </c>
      <c r="AH1285" s="19">
        <f>IF(NOT(ISNUMBER($A1285)),NA(),IFERROR(INDEX(BBG_Data!$T$2:$T$4000,MATCH($A1285,BBG_Data!$S$2:$S$4000,0))*Settings!$B$25,NA()))</f>
        <v/>
      </c>
      <c r="AI1285" s="19">
        <f>IF(NOT(ISNUMBER($A1285)),NA(),IFERROR(INDEX(BBG_Data!$V$2:$V$4000,MATCH($A1285,BBG_Data!$U$2:$U$4000,0))*Settings!$B$25,NA()))</f>
        <v/>
      </c>
      <c r="AJ1285" s="19">
        <f>IF(NOT(ISNUMBER($A1285)),NA(),IFERROR(1*INDEX(BBG_Data!$X$2:$X$4000,MATCH($A1285,BBG_Data!$W$2:$W$4000,0)),NA()))</f>
        <v/>
      </c>
      <c r="AK1285" s="19">
        <f>IF(NOT(ISNUMBER($A1285)),NA(),IFERROR(1*INDEX(BBG_Data!$Z$2:$Z$4000,MATCH($A1285,BBG_Data!$Y$2:$Y$4000,0)),NA()))</f>
        <v/>
      </c>
    </row>
    <row r="1286">
      <c r="A1286" s="17">
        <f>IF(ISNUMBER(BBG_Data!A1286),BBG_Data!A1286,"")</f>
        <v/>
      </c>
      <c r="B1286" s="18">
        <f>IF(AND(ISNUMBER($A1286),ISNUMBER(BBG_Data!B1286)),BBG_Data!B1286,NA())</f>
        <v/>
      </c>
      <c r="C1286" s="18">
        <f>IF(NOT(ISNUMBER($A1286)),NA(),IFERROR(1*INDEX(BBG_Data!$D$2:$D$4000,MATCH($A1286,BBG_Data!$C$2:$C$4000,0)),NA()))</f>
        <v/>
      </c>
      <c r="D1286" s="19">
        <f>IF(NOT(ISNUMBER($A1286)),NA(),IFERROR(1*INDEX(BBG_Data!$F$2:$F$4000,MATCH($A1286,BBG_Data!$E$2:$E$4000,0)),NA()))</f>
        <v/>
      </c>
      <c r="E1286" s="19">
        <f>IF(NOT(ISNUMBER($A1286)),NA(),IFERROR(1*INDEX(BBG_Data!$H$2:$H$4000,MATCH($A1286,BBG_Data!$G$2:$G$4000,0)),NA()))</f>
        <v/>
      </c>
      <c r="F1286" s="20">
        <f>IF(AND(ISNUMBER(B1286),ISNUMBER(B1285)),IF(B1286=B1285,"",(B1286-B1285)*100),"")</f>
        <v/>
      </c>
      <c r="G1286" s="20">
        <f>IF(AND(ISNUMBER(C1286),ISNUMBER(C1285)),IF(C1286=C1285,"",(C1286-C1285)*100),"")</f>
        <v/>
      </c>
      <c r="H1286" s="20">
        <f>IF(OR(NOT(ISNUMBER($A1286)),ROW()-2&lt;Settings!$B$11),NA(),IF(COUNT(OFFSET(F1286,1-Settings!$B$11,0,Settings!$B$11,1))&lt;ROUNDUP(Settings!$B$11*Settings!$B$26,0),NA(),STDEV(OFFSET(F1286,1-Settings!$B$11,0,Settings!$B$11,1))*SQRT(Settings!$B$13)))</f>
        <v/>
      </c>
      <c r="I1286" s="20">
        <f>IF(OR(NOT(ISNUMBER($A1286)),ROW()-2&lt;Settings!$B$12),NA(),IF(COUNT(OFFSET(F1286,1-Settings!$B$12,0,Settings!$B$12,1))&lt;ROUNDUP(Settings!$B$12*Settings!$B$26,0),NA(),STDEV(OFFSET(F1286,1-Settings!$B$12,0,Settings!$B$12,1))*SQRT(Settings!$B$13)))</f>
        <v/>
      </c>
      <c r="J1286" s="20">
        <f>IF(OR(NOT(ISNUMBER($A1286)),ROW()-2&lt;Settings!$B$11),NA(),IF(COUNT(OFFSET(G1286,1-Settings!$B$11,0,Settings!$B$11,1))&lt;ROUNDUP(Settings!$B$11*Settings!$B$26,0),NA(),STDEV(OFFSET(G1286,1-Settings!$B$11,0,Settings!$B$11,1))*SQRT(Settings!$B$13)))</f>
        <v/>
      </c>
      <c r="K1286" s="20">
        <f>IF(OR(NOT(ISNUMBER($A1286)),ROW()-2&lt;Settings!$B$12),NA(),IF(COUNT(OFFSET(G1286,1-Settings!$B$12,0,Settings!$B$12,1))&lt;ROUNDUP(Settings!$B$12*Settings!$B$26,0),NA(),STDEV(OFFSET(G1286,1-Settings!$B$12,0,Settings!$B$12,1))*SQRT(Settings!$B$13)))</f>
        <v/>
      </c>
      <c r="L1286" s="20">
        <f>IF(AND(ISNUMBER(D1286),ISNUMBER(H1286)),D1286-H1286,NA())</f>
        <v/>
      </c>
      <c r="M1286" s="20">
        <f>IF(AND(ISNUMBER(E1286),ISNUMBER(K1286)),E1286-K1286,NA())</f>
        <v/>
      </c>
      <c r="N1286" s="20">
        <f>IF(NOT(ISNUMBER($A1286)),NA(),IF(COUNT(OFFSET(G1286,1,0,Settings!$B$12,1))&lt;ROUNDUP(Settings!$B$12*Settings!$B$26,0),NA(),STDEV(OFFSET(G1286,1,0,Settings!$B$12,1))*SQRT(Settings!$B$13)))</f>
        <v/>
      </c>
      <c r="O1286" s="20">
        <f>IF(AND(ISNUMBER(E1286),ISNUMBER(N1286)),E1286-N1286,NA())</f>
        <v/>
      </c>
      <c r="P1286" s="19">
        <f>IF(NOT(ISNUMBER($A1286)),NA(),IF(OR($A1286&lt;MIN(KW_TP!$A$2:$A$2501),$A1286&gt;MAX(KW_TP!$A$2:$A$2501)),NA(),INDEX(KW_TP!$C$2:$C$2501,MATCH($A1286,KW_TP!$A$2:$A$2501,1))))</f>
        <v/>
      </c>
      <c r="Q1286" s="18">
        <f>IF(NOT(ISNUMBER($A1286)),NA(),IFERROR(1*INDEX(BBG_Data!$J$2:$J$4000,MATCH($A1286,BBG_Data!$I$2:$I$4000,0)),NA()))</f>
        <v/>
      </c>
      <c r="R1286" s="18">
        <f>IF(NOT(ISNUMBER($A1286)),NA(),IFERROR(1*INDEX(BBG_Data!$L$2:$L$4000,MATCH($A1286,BBG_Data!$K$2:$K$4000,0)),NA()))</f>
        <v/>
      </c>
      <c r="S1286" s="20">
        <f>IF(AND(ISNUMBER(B1286),ISNUMBER(Q1286),ISNUMBER(R1286)),(B1286-Q1286-R1286)*100,NA())</f>
        <v/>
      </c>
      <c r="T1286" s="20">
        <f>IF(AND(ISNUMBER(B1286),Settings!$B$17&gt;0),IF(ISNUMBER(INDEX($B:$B,Settings!$B$17)),(B1286-INDEX($B:$B,Settings!$B$17))*100,NA()),NA())</f>
        <v/>
      </c>
      <c r="U1286" s="20">
        <f>IF(AND(ISNUMBER(Q1286),Settings!$B$17&gt;0),IF(ISNUMBER(INDEX($Q:$Q,Settings!$B$17)),(Q1286-INDEX($Q:$Q,Settings!$B$17))*100,NA()),NA())</f>
        <v/>
      </c>
      <c r="V1286" s="20">
        <f>IF(AND(ISNUMBER(R1286),Settings!$B$17&gt;0),IF(ISNUMBER(INDEX($R:$R,Settings!$B$17)),(R1286-INDEX($R:$R,Settings!$B$17))*100,NA()),NA())</f>
        <v/>
      </c>
      <c r="W1286" s="20">
        <f>IF(AND(ISNUMBER(P1286),Settings!$B$17&gt;0),IF(ISNUMBER(INDEX($P:$P,Settings!$B$17)),P1286-INDEX($P:$P,Settings!$B$17),NA()),NA())</f>
        <v/>
      </c>
      <c r="X1286" s="19">
        <f>IF(NOT(ISNUMBER($A1286)),NA(),IF(OR($A1286&lt;MIN(DKW_10Y!$A$2:$A$2918),$A1286&gt;MAX(DKW_10Y!$A$2:$A$2918),Settings!$B$16&lt;MIN(DKW_10Y!$A$2:$A$2918)),NA(),(INDEX(DKW_10Y!$B$2:$B$2918,MATCH($A1286,DKW_10Y!$A$2:$A$2918,1))-INDEX(DKW_10Y!$B$2:$B$2918,MATCH(Settings!$B$16,DKW_10Y!$A$2:$A$2918,1)))*100))</f>
        <v/>
      </c>
      <c r="Y1286" s="19">
        <f>IF(NOT(ISNUMBER($A1286)),NA(),IF(OR($A1286&lt;MIN(DKW_10Y!$A$2:$A$2918),$A1286&gt;MAX(DKW_10Y!$A$2:$A$2918),Settings!$B$16&lt;MIN(DKW_10Y!$A$2:$A$2918)),NA(),(INDEX(DKW_10Y!$C$2:$C$2918,MATCH($A1286,DKW_10Y!$A$2:$A$2918,1))-INDEX(DKW_10Y!$C$2:$C$2918,MATCH(Settings!$B$16,DKW_10Y!$A$2:$A$2918,1)))*100))</f>
        <v/>
      </c>
      <c r="Z1286" s="19">
        <f>IF(NOT(ISNUMBER($A1286)),NA(),IF(OR($A1286&lt;MIN(DKW_10Y!$A$2:$A$2918),$A1286&gt;MAX(DKW_10Y!$A$2:$A$2918),Settings!$B$16&lt;MIN(DKW_10Y!$A$2:$A$2918)),NA(),(INDEX(DKW_10Y!$D$2:$D$2918,MATCH($A1286,DKW_10Y!$A$2:$A$2918,1))-INDEX(DKW_10Y!$D$2:$D$2918,MATCH(Settings!$B$16,DKW_10Y!$A$2:$A$2918,1)))*100))</f>
        <v/>
      </c>
      <c r="AA1286" s="19">
        <f>IF(NOT(ISNUMBER($A1286)),NA(),IF(OR($A1286&lt;MIN(DKW_10Y!$A$2:$A$2918),$A1286&gt;MAX(DKW_10Y!$A$2:$A$2918),Settings!$B$16&lt;MIN(DKW_10Y!$A$2:$A$2918)),NA(),(INDEX(DKW_10Y!$E$2:$E$2918,MATCH($A1286,DKW_10Y!$A$2:$A$2918,1))-INDEX(DKW_10Y!$E$2:$E$2918,MATCH(Settings!$B$16,DKW_10Y!$A$2:$A$2918,1)))*100))</f>
        <v/>
      </c>
      <c r="AB1286" s="19">
        <f>IF(NOT(ISNUMBER($A1286)),NA(),IF(OR($A1286&lt;MIN(DKW_10Y!$A$2:$A$2918),$A1286&gt;MAX(DKW_10Y!$A$2:$A$2918),Settings!$B$16&lt;MIN(DKW_10Y!$A$2:$A$2918)),NA(),(INDEX(DKW_10Y!$H$2:$H$2918,MATCH($A1286,DKW_10Y!$A$2:$A$2918,1))-INDEX(DKW_10Y!$H$2:$H$2918,MATCH(Settings!$B$16,DKW_10Y!$A$2:$A$2918,1)))*100))</f>
        <v/>
      </c>
      <c r="AC1286" s="18">
        <f>IF(NOT(ISNUMBER($A1286)),NA(),IFERROR(1*INDEX(BBG_Data!$N$2:$N$4000,MATCH($A1286,BBG_Data!$M$2:$M$4000,0)),NA()))</f>
        <v/>
      </c>
      <c r="AD1286" s="18">
        <f>IF(NOT(ISNUMBER($A1286)),NA(),IFERROR(1*INDEX(BBG_Data!$P$2:$P$4000,MATCH($A1286,BBG_Data!$O$2:$O$4000,0)),NA()))</f>
        <v/>
      </c>
      <c r="AE1286" s="18">
        <f>IF(NOT(ISNUMBER($A1286)),NA(),IFERROR(1*INDEX(BBG_Data!$R$2:$R$4000,MATCH($A1286,BBG_Data!$Q$2:$Q$4000,0)),NA()))</f>
        <v/>
      </c>
      <c r="AF1286" s="20">
        <f>IF(AND(ISNUMBER(B1286),ISNUMBER(AC1286)),(B1286-AC1286)*100,NA())</f>
        <v/>
      </c>
      <c r="AG1286" s="20">
        <f>IF(AND(ISNUMBER(AE1286),ISNUMBER(AD1286)),(AE1286-AD1286)*100,NA())</f>
        <v/>
      </c>
      <c r="AH1286" s="19">
        <f>IF(NOT(ISNUMBER($A1286)),NA(),IFERROR(INDEX(BBG_Data!$T$2:$T$4000,MATCH($A1286,BBG_Data!$S$2:$S$4000,0))*Settings!$B$25,NA()))</f>
        <v/>
      </c>
      <c r="AI1286" s="19">
        <f>IF(NOT(ISNUMBER($A1286)),NA(),IFERROR(INDEX(BBG_Data!$V$2:$V$4000,MATCH($A1286,BBG_Data!$U$2:$U$4000,0))*Settings!$B$25,NA()))</f>
        <v/>
      </c>
      <c r="AJ1286" s="19">
        <f>IF(NOT(ISNUMBER($A1286)),NA(),IFERROR(1*INDEX(BBG_Data!$X$2:$X$4000,MATCH($A1286,BBG_Data!$W$2:$W$4000,0)),NA()))</f>
        <v/>
      </c>
      <c r="AK1286" s="19">
        <f>IF(NOT(ISNUMBER($A1286)),NA(),IFERROR(1*INDEX(BBG_Data!$Z$2:$Z$4000,MATCH($A1286,BBG_Data!$Y$2:$Y$4000,0)),NA()))</f>
        <v/>
      </c>
    </row>
    <row r="1287">
      <c r="A1287" s="17">
        <f>IF(ISNUMBER(BBG_Data!A1287),BBG_Data!A1287,"")</f>
        <v/>
      </c>
      <c r="B1287" s="18">
        <f>IF(AND(ISNUMBER($A1287),ISNUMBER(BBG_Data!B1287)),BBG_Data!B1287,NA())</f>
        <v/>
      </c>
      <c r="C1287" s="18">
        <f>IF(NOT(ISNUMBER($A1287)),NA(),IFERROR(1*INDEX(BBG_Data!$D$2:$D$4000,MATCH($A1287,BBG_Data!$C$2:$C$4000,0)),NA()))</f>
        <v/>
      </c>
      <c r="D1287" s="19">
        <f>IF(NOT(ISNUMBER($A1287)),NA(),IFERROR(1*INDEX(BBG_Data!$F$2:$F$4000,MATCH($A1287,BBG_Data!$E$2:$E$4000,0)),NA()))</f>
        <v/>
      </c>
      <c r="E1287" s="19">
        <f>IF(NOT(ISNUMBER($A1287)),NA(),IFERROR(1*INDEX(BBG_Data!$H$2:$H$4000,MATCH($A1287,BBG_Data!$G$2:$G$4000,0)),NA()))</f>
        <v/>
      </c>
      <c r="F1287" s="20">
        <f>IF(AND(ISNUMBER(B1287),ISNUMBER(B1286)),IF(B1287=B1286,"",(B1287-B1286)*100),"")</f>
        <v/>
      </c>
      <c r="G1287" s="20">
        <f>IF(AND(ISNUMBER(C1287),ISNUMBER(C1286)),IF(C1287=C1286,"",(C1287-C1286)*100),"")</f>
        <v/>
      </c>
      <c r="H1287" s="20">
        <f>IF(OR(NOT(ISNUMBER($A1287)),ROW()-2&lt;Settings!$B$11),NA(),IF(COUNT(OFFSET(F1287,1-Settings!$B$11,0,Settings!$B$11,1))&lt;ROUNDUP(Settings!$B$11*Settings!$B$26,0),NA(),STDEV(OFFSET(F1287,1-Settings!$B$11,0,Settings!$B$11,1))*SQRT(Settings!$B$13)))</f>
        <v/>
      </c>
      <c r="I1287" s="20">
        <f>IF(OR(NOT(ISNUMBER($A1287)),ROW()-2&lt;Settings!$B$12),NA(),IF(COUNT(OFFSET(F1287,1-Settings!$B$12,0,Settings!$B$12,1))&lt;ROUNDUP(Settings!$B$12*Settings!$B$26,0),NA(),STDEV(OFFSET(F1287,1-Settings!$B$12,0,Settings!$B$12,1))*SQRT(Settings!$B$13)))</f>
        <v/>
      </c>
      <c r="J1287" s="20">
        <f>IF(OR(NOT(ISNUMBER($A1287)),ROW()-2&lt;Settings!$B$11),NA(),IF(COUNT(OFFSET(G1287,1-Settings!$B$11,0,Settings!$B$11,1))&lt;ROUNDUP(Settings!$B$11*Settings!$B$26,0),NA(),STDEV(OFFSET(G1287,1-Settings!$B$11,0,Settings!$B$11,1))*SQRT(Settings!$B$13)))</f>
        <v/>
      </c>
      <c r="K1287" s="20">
        <f>IF(OR(NOT(ISNUMBER($A1287)),ROW()-2&lt;Settings!$B$12),NA(),IF(COUNT(OFFSET(G1287,1-Settings!$B$12,0,Settings!$B$12,1))&lt;ROUNDUP(Settings!$B$12*Settings!$B$26,0),NA(),STDEV(OFFSET(G1287,1-Settings!$B$12,0,Settings!$B$12,1))*SQRT(Settings!$B$13)))</f>
        <v/>
      </c>
      <c r="L1287" s="20">
        <f>IF(AND(ISNUMBER(D1287),ISNUMBER(H1287)),D1287-H1287,NA())</f>
        <v/>
      </c>
      <c r="M1287" s="20">
        <f>IF(AND(ISNUMBER(E1287),ISNUMBER(K1287)),E1287-K1287,NA())</f>
        <v/>
      </c>
      <c r="N1287" s="20">
        <f>IF(NOT(ISNUMBER($A1287)),NA(),IF(COUNT(OFFSET(G1287,1,0,Settings!$B$12,1))&lt;ROUNDUP(Settings!$B$12*Settings!$B$26,0),NA(),STDEV(OFFSET(G1287,1,0,Settings!$B$12,1))*SQRT(Settings!$B$13)))</f>
        <v/>
      </c>
      <c r="O1287" s="20">
        <f>IF(AND(ISNUMBER(E1287),ISNUMBER(N1287)),E1287-N1287,NA())</f>
        <v/>
      </c>
      <c r="P1287" s="19">
        <f>IF(NOT(ISNUMBER($A1287)),NA(),IF(OR($A1287&lt;MIN(KW_TP!$A$2:$A$2501),$A1287&gt;MAX(KW_TP!$A$2:$A$2501)),NA(),INDEX(KW_TP!$C$2:$C$2501,MATCH($A1287,KW_TP!$A$2:$A$2501,1))))</f>
        <v/>
      </c>
      <c r="Q1287" s="18">
        <f>IF(NOT(ISNUMBER($A1287)),NA(),IFERROR(1*INDEX(BBG_Data!$J$2:$J$4000,MATCH($A1287,BBG_Data!$I$2:$I$4000,0)),NA()))</f>
        <v/>
      </c>
      <c r="R1287" s="18">
        <f>IF(NOT(ISNUMBER($A1287)),NA(),IFERROR(1*INDEX(BBG_Data!$L$2:$L$4000,MATCH($A1287,BBG_Data!$K$2:$K$4000,0)),NA()))</f>
        <v/>
      </c>
      <c r="S1287" s="20">
        <f>IF(AND(ISNUMBER(B1287),ISNUMBER(Q1287),ISNUMBER(R1287)),(B1287-Q1287-R1287)*100,NA())</f>
        <v/>
      </c>
      <c r="T1287" s="20">
        <f>IF(AND(ISNUMBER(B1287),Settings!$B$17&gt;0),IF(ISNUMBER(INDEX($B:$B,Settings!$B$17)),(B1287-INDEX($B:$B,Settings!$B$17))*100,NA()),NA())</f>
        <v/>
      </c>
      <c r="U1287" s="20">
        <f>IF(AND(ISNUMBER(Q1287),Settings!$B$17&gt;0),IF(ISNUMBER(INDEX($Q:$Q,Settings!$B$17)),(Q1287-INDEX($Q:$Q,Settings!$B$17))*100,NA()),NA())</f>
        <v/>
      </c>
      <c r="V1287" s="20">
        <f>IF(AND(ISNUMBER(R1287),Settings!$B$17&gt;0),IF(ISNUMBER(INDEX($R:$R,Settings!$B$17)),(R1287-INDEX($R:$R,Settings!$B$17))*100,NA()),NA())</f>
        <v/>
      </c>
      <c r="W1287" s="20">
        <f>IF(AND(ISNUMBER(P1287),Settings!$B$17&gt;0),IF(ISNUMBER(INDEX($P:$P,Settings!$B$17)),P1287-INDEX($P:$P,Settings!$B$17),NA()),NA())</f>
        <v/>
      </c>
      <c r="X1287" s="19">
        <f>IF(NOT(ISNUMBER($A1287)),NA(),IF(OR($A1287&lt;MIN(DKW_10Y!$A$2:$A$2918),$A1287&gt;MAX(DKW_10Y!$A$2:$A$2918),Settings!$B$16&lt;MIN(DKW_10Y!$A$2:$A$2918)),NA(),(INDEX(DKW_10Y!$B$2:$B$2918,MATCH($A1287,DKW_10Y!$A$2:$A$2918,1))-INDEX(DKW_10Y!$B$2:$B$2918,MATCH(Settings!$B$16,DKW_10Y!$A$2:$A$2918,1)))*100))</f>
        <v/>
      </c>
      <c r="Y1287" s="19">
        <f>IF(NOT(ISNUMBER($A1287)),NA(),IF(OR($A1287&lt;MIN(DKW_10Y!$A$2:$A$2918),$A1287&gt;MAX(DKW_10Y!$A$2:$A$2918),Settings!$B$16&lt;MIN(DKW_10Y!$A$2:$A$2918)),NA(),(INDEX(DKW_10Y!$C$2:$C$2918,MATCH($A1287,DKW_10Y!$A$2:$A$2918,1))-INDEX(DKW_10Y!$C$2:$C$2918,MATCH(Settings!$B$16,DKW_10Y!$A$2:$A$2918,1)))*100))</f>
        <v/>
      </c>
      <c r="Z1287" s="19">
        <f>IF(NOT(ISNUMBER($A1287)),NA(),IF(OR($A1287&lt;MIN(DKW_10Y!$A$2:$A$2918),$A1287&gt;MAX(DKW_10Y!$A$2:$A$2918),Settings!$B$16&lt;MIN(DKW_10Y!$A$2:$A$2918)),NA(),(INDEX(DKW_10Y!$D$2:$D$2918,MATCH($A1287,DKW_10Y!$A$2:$A$2918,1))-INDEX(DKW_10Y!$D$2:$D$2918,MATCH(Settings!$B$16,DKW_10Y!$A$2:$A$2918,1)))*100))</f>
        <v/>
      </c>
      <c r="AA1287" s="19">
        <f>IF(NOT(ISNUMBER($A1287)),NA(),IF(OR($A1287&lt;MIN(DKW_10Y!$A$2:$A$2918),$A1287&gt;MAX(DKW_10Y!$A$2:$A$2918),Settings!$B$16&lt;MIN(DKW_10Y!$A$2:$A$2918)),NA(),(INDEX(DKW_10Y!$E$2:$E$2918,MATCH($A1287,DKW_10Y!$A$2:$A$2918,1))-INDEX(DKW_10Y!$E$2:$E$2918,MATCH(Settings!$B$16,DKW_10Y!$A$2:$A$2918,1)))*100))</f>
        <v/>
      </c>
      <c r="AB1287" s="19">
        <f>IF(NOT(ISNUMBER($A1287)),NA(),IF(OR($A1287&lt;MIN(DKW_10Y!$A$2:$A$2918),$A1287&gt;MAX(DKW_10Y!$A$2:$A$2918),Settings!$B$16&lt;MIN(DKW_10Y!$A$2:$A$2918)),NA(),(INDEX(DKW_10Y!$H$2:$H$2918,MATCH($A1287,DKW_10Y!$A$2:$A$2918,1))-INDEX(DKW_10Y!$H$2:$H$2918,MATCH(Settings!$B$16,DKW_10Y!$A$2:$A$2918,1)))*100))</f>
        <v/>
      </c>
      <c r="AC1287" s="18">
        <f>IF(NOT(ISNUMBER($A1287)),NA(),IFERROR(1*INDEX(BBG_Data!$N$2:$N$4000,MATCH($A1287,BBG_Data!$M$2:$M$4000,0)),NA()))</f>
        <v/>
      </c>
      <c r="AD1287" s="18">
        <f>IF(NOT(ISNUMBER($A1287)),NA(),IFERROR(1*INDEX(BBG_Data!$P$2:$P$4000,MATCH($A1287,BBG_Data!$O$2:$O$4000,0)),NA()))</f>
        <v/>
      </c>
      <c r="AE1287" s="18">
        <f>IF(NOT(ISNUMBER($A1287)),NA(),IFERROR(1*INDEX(BBG_Data!$R$2:$R$4000,MATCH($A1287,BBG_Data!$Q$2:$Q$4000,0)),NA()))</f>
        <v/>
      </c>
      <c r="AF1287" s="20">
        <f>IF(AND(ISNUMBER(B1287),ISNUMBER(AC1287)),(B1287-AC1287)*100,NA())</f>
        <v/>
      </c>
      <c r="AG1287" s="20">
        <f>IF(AND(ISNUMBER(AE1287),ISNUMBER(AD1287)),(AE1287-AD1287)*100,NA())</f>
        <v/>
      </c>
      <c r="AH1287" s="19">
        <f>IF(NOT(ISNUMBER($A1287)),NA(),IFERROR(INDEX(BBG_Data!$T$2:$T$4000,MATCH($A1287,BBG_Data!$S$2:$S$4000,0))*Settings!$B$25,NA()))</f>
        <v/>
      </c>
      <c r="AI1287" s="19">
        <f>IF(NOT(ISNUMBER($A1287)),NA(),IFERROR(INDEX(BBG_Data!$V$2:$V$4000,MATCH($A1287,BBG_Data!$U$2:$U$4000,0))*Settings!$B$25,NA()))</f>
        <v/>
      </c>
      <c r="AJ1287" s="19">
        <f>IF(NOT(ISNUMBER($A1287)),NA(),IFERROR(1*INDEX(BBG_Data!$X$2:$X$4000,MATCH($A1287,BBG_Data!$W$2:$W$4000,0)),NA()))</f>
        <v/>
      </c>
      <c r="AK1287" s="19">
        <f>IF(NOT(ISNUMBER($A1287)),NA(),IFERROR(1*INDEX(BBG_Data!$Z$2:$Z$4000,MATCH($A1287,BBG_Data!$Y$2:$Y$4000,0)),NA()))</f>
        <v/>
      </c>
    </row>
    <row r="1288">
      <c r="A1288" s="17">
        <f>IF(ISNUMBER(BBG_Data!A1288),BBG_Data!A1288,"")</f>
        <v/>
      </c>
      <c r="B1288" s="18">
        <f>IF(AND(ISNUMBER($A1288),ISNUMBER(BBG_Data!B1288)),BBG_Data!B1288,NA())</f>
        <v/>
      </c>
      <c r="C1288" s="18">
        <f>IF(NOT(ISNUMBER($A1288)),NA(),IFERROR(1*INDEX(BBG_Data!$D$2:$D$4000,MATCH($A1288,BBG_Data!$C$2:$C$4000,0)),NA()))</f>
        <v/>
      </c>
      <c r="D1288" s="19">
        <f>IF(NOT(ISNUMBER($A1288)),NA(),IFERROR(1*INDEX(BBG_Data!$F$2:$F$4000,MATCH($A1288,BBG_Data!$E$2:$E$4000,0)),NA()))</f>
        <v/>
      </c>
      <c r="E1288" s="19">
        <f>IF(NOT(ISNUMBER($A1288)),NA(),IFERROR(1*INDEX(BBG_Data!$H$2:$H$4000,MATCH($A1288,BBG_Data!$G$2:$G$4000,0)),NA()))</f>
        <v/>
      </c>
      <c r="F1288" s="20">
        <f>IF(AND(ISNUMBER(B1288),ISNUMBER(B1287)),IF(B1288=B1287,"",(B1288-B1287)*100),"")</f>
        <v/>
      </c>
      <c r="G1288" s="20">
        <f>IF(AND(ISNUMBER(C1288),ISNUMBER(C1287)),IF(C1288=C1287,"",(C1288-C1287)*100),"")</f>
        <v/>
      </c>
      <c r="H1288" s="20">
        <f>IF(OR(NOT(ISNUMBER($A1288)),ROW()-2&lt;Settings!$B$11),NA(),IF(COUNT(OFFSET(F1288,1-Settings!$B$11,0,Settings!$B$11,1))&lt;ROUNDUP(Settings!$B$11*Settings!$B$26,0),NA(),STDEV(OFFSET(F1288,1-Settings!$B$11,0,Settings!$B$11,1))*SQRT(Settings!$B$13)))</f>
        <v/>
      </c>
      <c r="I1288" s="20">
        <f>IF(OR(NOT(ISNUMBER($A1288)),ROW()-2&lt;Settings!$B$12),NA(),IF(COUNT(OFFSET(F1288,1-Settings!$B$12,0,Settings!$B$12,1))&lt;ROUNDUP(Settings!$B$12*Settings!$B$26,0),NA(),STDEV(OFFSET(F1288,1-Settings!$B$12,0,Settings!$B$12,1))*SQRT(Settings!$B$13)))</f>
        <v/>
      </c>
      <c r="J1288" s="20">
        <f>IF(OR(NOT(ISNUMBER($A1288)),ROW()-2&lt;Settings!$B$11),NA(),IF(COUNT(OFFSET(G1288,1-Settings!$B$11,0,Settings!$B$11,1))&lt;ROUNDUP(Settings!$B$11*Settings!$B$26,0),NA(),STDEV(OFFSET(G1288,1-Settings!$B$11,0,Settings!$B$11,1))*SQRT(Settings!$B$13)))</f>
        <v/>
      </c>
      <c r="K1288" s="20">
        <f>IF(OR(NOT(ISNUMBER($A1288)),ROW()-2&lt;Settings!$B$12),NA(),IF(COUNT(OFFSET(G1288,1-Settings!$B$12,0,Settings!$B$12,1))&lt;ROUNDUP(Settings!$B$12*Settings!$B$26,0),NA(),STDEV(OFFSET(G1288,1-Settings!$B$12,0,Settings!$B$12,1))*SQRT(Settings!$B$13)))</f>
        <v/>
      </c>
      <c r="L1288" s="20">
        <f>IF(AND(ISNUMBER(D1288),ISNUMBER(H1288)),D1288-H1288,NA())</f>
        <v/>
      </c>
      <c r="M1288" s="20">
        <f>IF(AND(ISNUMBER(E1288),ISNUMBER(K1288)),E1288-K1288,NA())</f>
        <v/>
      </c>
      <c r="N1288" s="20">
        <f>IF(NOT(ISNUMBER($A1288)),NA(),IF(COUNT(OFFSET(G1288,1,0,Settings!$B$12,1))&lt;ROUNDUP(Settings!$B$12*Settings!$B$26,0),NA(),STDEV(OFFSET(G1288,1,0,Settings!$B$12,1))*SQRT(Settings!$B$13)))</f>
        <v/>
      </c>
      <c r="O1288" s="20">
        <f>IF(AND(ISNUMBER(E1288),ISNUMBER(N1288)),E1288-N1288,NA())</f>
        <v/>
      </c>
      <c r="P1288" s="19">
        <f>IF(NOT(ISNUMBER($A1288)),NA(),IF(OR($A1288&lt;MIN(KW_TP!$A$2:$A$2501),$A1288&gt;MAX(KW_TP!$A$2:$A$2501)),NA(),INDEX(KW_TP!$C$2:$C$2501,MATCH($A1288,KW_TP!$A$2:$A$2501,1))))</f>
        <v/>
      </c>
      <c r="Q1288" s="18">
        <f>IF(NOT(ISNUMBER($A1288)),NA(),IFERROR(1*INDEX(BBG_Data!$J$2:$J$4000,MATCH($A1288,BBG_Data!$I$2:$I$4000,0)),NA()))</f>
        <v/>
      </c>
      <c r="R1288" s="18">
        <f>IF(NOT(ISNUMBER($A1288)),NA(),IFERROR(1*INDEX(BBG_Data!$L$2:$L$4000,MATCH($A1288,BBG_Data!$K$2:$K$4000,0)),NA()))</f>
        <v/>
      </c>
      <c r="S1288" s="20">
        <f>IF(AND(ISNUMBER(B1288),ISNUMBER(Q1288),ISNUMBER(R1288)),(B1288-Q1288-R1288)*100,NA())</f>
        <v/>
      </c>
      <c r="T1288" s="20">
        <f>IF(AND(ISNUMBER(B1288),Settings!$B$17&gt;0),IF(ISNUMBER(INDEX($B:$B,Settings!$B$17)),(B1288-INDEX($B:$B,Settings!$B$17))*100,NA()),NA())</f>
        <v/>
      </c>
      <c r="U1288" s="20">
        <f>IF(AND(ISNUMBER(Q1288),Settings!$B$17&gt;0),IF(ISNUMBER(INDEX($Q:$Q,Settings!$B$17)),(Q1288-INDEX($Q:$Q,Settings!$B$17))*100,NA()),NA())</f>
        <v/>
      </c>
      <c r="V1288" s="20">
        <f>IF(AND(ISNUMBER(R1288),Settings!$B$17&gt;0),IF(ISNUMBER(INDEX($R:$R,Settings!$B$17)),(R1288-INDEX($R:$R,Settings!$B$17))*100,NA()),NA())</f>
        <v/>
      </c>
      <c r="W1288" s="20">
        <f>IF(AND(ISNUMBER(P1288),Settings!$B$17&gt;0),IF(ISNUMBER(INDEX($P:$P,Settings!$B$17)),P1288-INDEX($P:$P,Settings!$B$17),NA()),NA())</f>
        <v/>
      </c>
      <c r="X1288" s="19">
        <f>IF(NOT(ISNUMBER($A1288)),NA(),IF(OR($A1288&lt;MIN(DKW_10Y!$A$2:$A$2918),$A1288&gt;MAX(DKW_10Y!$A$2:$A$2918),Settings!$B$16&lt;MIN(DKW_10Y!$A$2:$A$2918)),NA(),(INDEX(DKW_10Y!$B$2:$B$2918,MATCH($A1288,DKW_10Y!$A$2:$A$2918,1))-INDEX(DKW_10Y!$B$2:$B$2918,MATCH(Settings!$B$16,DKW_10Y!$A$2:$A$2918,1)))*100))</f>
        <v/>
      </c>
      <c r="Y1288" s="19">
        <f>IF(NOT(ISNUMBER($A1288)),NA(),IF(OR($A1288&lt;MIN(DKW_10Y!$A$2:$A$2918),$A1288&gt;MAX(DKW_10Y!$A$2:$A$2918),Settings!$B$16&lt;MIN(DKW_10Y!$A$2:$A$2918)),NA(),(INDEX(DKW_10Y!$C$2:$C$2918,MATCH($A1288,DKW_10Y!$A$2:$A$2918,1))-INDEX(DKW_10Y!$C$2:$C$2918,MATCH(Settings!$B$16,DKW_10Y!$A$2:$A$2918,1)))*100))</f>
        <v/>
      </c>
      <c r="Z1288" s="19">
        <f>IF(NOT(ISNUMBER($A1288)),NA(),IF(OR($A1288&lt;MIN(DKW_10Y!$A$2:$A$2918),$A1288&gt;MAX(DKW_10Y!$A$2:$A$2918),Settings!$B$16&lt;MIN(DKW_10Y!$A$2:$A$2918)),NA(),(INDEX(DKW_10Y!$D$2:$D$2918,MATCH($A1288,DKW_10Y!$A$2:$A$2918,1))-INDEX(DKW_10Y!$D$2:$D$2918,MATCH(Settings!$B$16,DKW_10Y!$A$2:$A$2918,1)))*100))</f>
        <v/>
      </c>
      <c r="AA1288" s="19">
        <f>IF(NOT(ISNUMBER($A1288)),NA(),IF(OR($A1288&lt;MIN(DKW_10Y!$A$2:$A$2918),$A1288&gt;MAX(DKW_10Y!$A$2:$A$2918),Settings!$B$16&lt;MIN(DKW_10Y!$A$2:$A$2918)),NA(),(INDEX(DKW_10Y!$E$2:$E$2918,MATCH($A1288,DKW_10Y!$A$2:$A$2918,1))-INDEX(DKW_10Y!$E$2:$E$2918,MATCH(Settings!$B$16,DKW_10Y!$A$2:$A$2918,1)))*100))</f>
        <v/>
      </c>
      <c r="AB1288" s="19">
        <f>IF(NOT(ISNUMBER($A1288)),NA(),IF(OR($A1288&lt;MIN(DKW_10Y!$A$2:$A$2918),$A1288&gt;MAX(DKW_10Y!$A$2:$A$2918),Settings!$B$16&lt;MIN(DKW_10Y!$A$2:$A$2918)),NA(),(INDEX(DKW_10Y!$H$2:$H$2918,MATCH($A1288,DKW_10Y!$A$2:$A$2918,1))-INDEX(DKW_10Y!$H$2:$H$2918,MATCH(Settings!$B$16,DKW_10Y!$A$2:$A$2918,1)))*100))</f>
        <v/>
      </c>
      <c r="AC1288" s="18">
        <f>IF(NOT(ISNUMBER($A1288)),NA(),IFERROR(1*INDEX(BBG_Data!$N$2:$N$4000,MATCH($A1288,BBG_Data!$M$2:$M$4000,0)),NA()))</f>
        <v/>
      </c>
      <c r="AD1288" s="18">
        <f>IF(NOT(ISNUMBER($A1288)),NA(),IFERROR(1*INDEX(BBG_Data!$P$2:$P$4000,MATCH($A1288,BBG_Data!$O$2:$O$4000,0)),NA()))</f>
        <v/>
      </c>
      <c r="AE1288" s="18">
        <f>IF(NOT(ISNUMBER($A1288)),NA(),IFERROR(1*INDEX(BBG_Data!$R$2:$R$4000,MATCH($A1288,BBG_Data!$Q$2:$Q$4000,0)),NA()))</f>
        <v/>
      </c>
      <c r="AF1288" s="20">
        <f>IF(AND(ISNUMBER(B1288),ISNUMBER(AC1288)),(B1288-AC1288)*100,NA())</f>
        <v/>
      </c>
      <c r="AG1288" s="20">
        <f>IF(AND(ISNUMBER(AE1288),ISNUMBER(AD1288)),(AE1288-AD1288)*100,NA())</f>
        <v/>
      </c>
      <c r="AH1288" s="19">
        <f>IF(NOT(ISNUMBER($A1288)),NA(),IFERROR(INDEX(BBG_Data!$T$2:$T$4000,MATCH($A1288,BBG_Data!$S$2:$S$4000,0))*Settings!$B$25,NA()))</f>
        <v/>
      </c>
      <c r="AI1288" s="19">
        <f>IF(NOT(ISNUMBER($A1288)),NA(),IFERROR(INDEX(BBG_Data!$V$2:$V$4000,MATCH($A1288,BBG_Data!$U$2:$U$4000,0))*Settings!$B$25,NA()))</f>
        <v/>
      </c>
      <c r="AJ1288" s="19">
        <f>IF(NOT(ISNUMBER($A1288)),NA(),IFERROR(1*INDEX(BBG_Data!$X$2:$X$4000,MATCH($A1288,BBG_Data!$W$2:$W$4000,0)),NA()))</f>
        <v/>
      </c>
      <c r="AK1288" s="19">
        <f>IF(NOT(ISNUMBER($A1288)),NA(),IFERROR(1*INDEX(BBG_Data!$Z$2:$Z$4000,MATCH($A1288,BBG_Data!$Y$2:$Y$4000,0)),NA()))</f>
        <v/>
      </c>
    </row>
    <row r="1289">
      <c r="A1289" s="17">
        <f>IF(ISNUMBER(BBG_Data!A1289),BBG_Data!A1289,"")</f>
        <v/>
      </c>
      <c r="B1289" s="18">
        <f>IF(AND(ISNUMBER($A1289),ISNUMBER(BBG_Data!B1289)),BBG_Data!B1289,NA())</f>
        <v/>
      </c>
      <c r="C1289" s="18">
        <f>IF(NOT(ISNUMBER($A1289)),NA(),IFERROR(1*INDEX(BBG_Data!$D$2:$D$4000,MATCH($A1289,BBG_Data!$C$2:$C$4000,0)),NA()))</f>
        <v/>
      </c>
      <c r="D1289" s="19">
        <f>IF(NOT(ISNUMBER($A1289)),NA(),IFERROR(1*INDEX(BBG_Data!$F$2:$F$4000,MATCH($A1289,BBG_Data!$E$2:$E$4000,0)),NA()))</f>
        <v/>
      </c>
      <c r="E1289" s="19">
        <f>IF(NOT(ISNUMBER($A1289)),NA(),IFERROR(1*INDEX(BBG_Data!$H$2:$H$4000,MATCH($A1289,BBG_Data!$G$2:$G$4000,0)),NA()))</f>
        <v/>
      </c>
      <c r="F1289" s="20">
        <f>IF(AND(ISNUMBER(B1289),ISNUMBER(B1288)),IF(B1289=B1288,"",(B1289-B1288)*100),"")</f>
        <v/>
      </c>
      <c r="G1289" s="20">
        <f>IF(AND(ISNUMBER(C1289),ISNUMBER(C1288)),IF(C1289=C1288,"",(C1289-C1288)*100),"")</f>
        <v/>
      </c>
      <c r="H1289" s="20">
        <f>IF(OR(NOT(ISNUMBER($A1289)),ROW()-2&lt;Settings!$B$11),NA(),IF(COUNT(OFFSET(F1289,1-Settings!$B$11,0,Settings!$B$11,1))&lt;ROUNDUP(Settings!$B$11*Settings!$B$26,0),NA(),STDEV(OFFSET(F1289,1-Settings!$B$11,0,Settings!$B$11,1))*SQRT(Settings!$B$13)))</f>
        <v/>
      </c>
      <c r="I1289" s="20">
        <f>IF(OR(NOT(ISNUMBER($A1289)),ROW()-2&lt;Settings!$B$12),NA(),IF(COUNT(OFFSET(F1289,1-Settings!$B$12,0,Settings!$B$12,1))&lt;ROUNDUP(Settings!$B$12*Settings!$B$26,0),NA(),STDEV(OFFSET(F1289,1-Settings!$B$12,0,Settings!$B$12,1))*SQRT(Settings!$B$13)))</f>
        <v/>
      </c>
      <c r="J1289" s="20">
        <f>IF(OR(NOT(ISNUMBER($A1289)),ROW()-2&lt;Settings!$B$11),NA(),IF(COUNT(OFFSET(G1289,1-Settings!$B$11,0,Settings!$B$11,1))&lt;ROUNDUP(Settings!$B$11*Settings!$B$26,0),NA(),STDEV(OFFSET(G1289,1-Settings!$B$11,0,Settings!$B$11,1))*SQRT(Settings!$B$13)))</f>
        <v/>
      </c>
      <c r="K1289" s="20">
        <f>IF(OR(NOT(ISNUMBER($A1289)),ROW()-2&lt;Settings!$B$12),NA(),IF(COUNT(OFFSET(G1289,1-Settings!$B$12,0,Settings!$B$12,1))&lt;ROUNDUP(Settings!$B$12*Settings!$B$26,0),NA(),STDEV(OFFSET(G1289,1-Settings!$B$12,0,Settings!$B$12,1))*SQRT(Settings!$B$13)))</f>
        <v/>
      </c>
      <c r="L1289" s="20">
        <f>IF(AND(ISNUMBER(D1289),ISNUMBER(H1289)),D1289-H1289,NA())</f>
        <v/>
      </c>
      <c r="M1289" s="20">
        <f>IF(AND(ISNUMBER(E1289),ISNUMBER(K1289)),E1289-K1289,NA())</f>
        <v/>
      </c>
      <c r="N1289" s="20">
        <f>IF(NOT(ISNUMBER($A1289)),NA(),IF(COUNT(OFFSET(G1289,1,0,Settings!$B$12,1))&lt;ROUNDUP(Settings!$B$12*Settings!$B$26,0),NA(),STDEV(OFFSET(G1289,1,0,Settings!$B$12,1))*SQRT(Settings!$B$13)))</f>
        <v/>
      </c>
      <c r="O1289" s="20">
        <f>IF(AND(ISNUMBER(E1289),ISNUMBER(N1289)),E1289-N1289,NA())</f>
        <v/>
      </c>
      <c r="P1289" s="19">
        <f>IF(NOT(ISNUMBER($A1289)),NA(),IF(OR($A1289&lt;MIN(KW_TP!$A$2:$A$2501),$A1289&gt;MAX(KW_TP!$A$2:$A$2501)),NA(),INDEX(KW_TP!$C$2:$C$2501,MATCH($A1289,KW_TP!$A$2:$A$2501,1))))</f>
        <v/>
      </c>
      <c r="Q1289" s="18">
        <f>IF(NOT(ISNUMBER($A1289)),NA(),IFERROR(1*INDEX(BBG_Data!$J$2:$J$4000,MATCH($A1289,BBG_Data!$I$2:$I$4000,0)),NA()))</f>
        <v/>
      </c>
      <c r="R1289" s="18">
        <f>IF(NOT(ISNUMBER($A1289)),NA(),IFERROR(1*INDEX(BBG_Data!$L$2:$L$4000,MATCH($A1289,BBG_Data!$K$2:$K$4000,0)),NA()))</f>
        <v/>
      </c>
      <c r="S1289" s="20">
        <f>IF(AND(ISNUMBER(B1289),ISNUMBER(Q1289),ISNUMBER(R1289)),(B1289-Q1289-R1289)*100,NA())</f>
        <v/>
      </c>
      <c r="T1289" s="20">
        <f>IF(AND(ISNUMBER(B1289),Settings!$B$17&gt;0),IF(ISNUMBER(INDEX($B:$B,Settings!$B$17)),(B1289-INDEX($B:$B,Settings!$B$17))*100,NA()),NA())</f>
        <v/>
      </c>
      <c r="U1289" s="20">
        <f>IF(AND(ISNUMBER(Q1289),Settings!$B$17&gt;0),IF(ISNUMBER(INDEX($Q:$Q,Settings!$B$17)),(Q1289-INDEX($Q:$Q,Settings!$B$17))*100,NA()),NA())</f>
        <v/>
      </c>
      <c r="V1289" s="20">
        <f>IF(AND(ISNUMBER(R1289),Settings!$B$17&gt;0),IF(ISNUMBER(INDEX($R:$R,Settings!$B$17)),(R1289-INDEX($R:$R,Settings!$B$17))*100,NA()),NA())</f>
        <v/>
      </c>
      <c r="W1289" s="20">
        <f>IF(AND(ISNUMBER(P1289),Settings!$B$17&gt;0),IF(ISNUMBER(INDEX($P:$P,Settings!$B$17)),P1289-INDEX($P:$P,Settings!$B$17),NA()),NA())</f>
        <v/>
      </c>
      <c r="X1289" s="19">
        <f>IF(NOT(ISNUMBER($A1289)),NA(),IF(OR($A1289&lt;MIN(DKW_10Y!$A$2:$A$2918),$A1289&gt;MAX(DKW_10Y!$A$2:$A$2918),Settings!$B$16&lt;MIN(DKW_10Y!$A$2:$A$2918)),NA(),(INDEX(DKW_10Y!$B$2:$B$2918,MATCH($A1289,DKW_10Y!$A$2:$A$2918,1))-INDEX(DKW_10Y!$B$2:$B$2918,MATCH(Settings!$B$16,DKW_10Y!$A$2:$A$2918,1)))*100))</f>
        <v/>
      </c>
      <c r="Y1289" s="19">
        <f>IF(NOT(ISNUMBER($A1289)),NA(),IF(OR($A1289&lt;MIN(DKW_10Y!$A$2:$A$2918),$A1289&gt;MAX(DKW_10Y!$A$2:$A$2918),Settings!$B$16&lt;MIN(DKW_10Y!$A$2:$A$2918)),NA(),(INDEX(DKW_10Y!$C$2:$C$2918,MATCH($A1289,DKW_10Y!$A$2:$A$2918,1))-INDEX(DKW_10Y!$C$2:$C$2918,MATCH(Settings!$B$16,DKW_10Y!$A$2:$A$2918,1)))*100))</f>
        <v/>
      </c>
      <c r="Z1289" s="19">
        <f>IF(NOT(ISNUMBER($A1289)),NA(),IF(OR($A1289&lt;MIN(DKW_10Y!$A$2:$A$2918),$A1289&gt;MAX(DKW_10Y!$A$2:$A$2918),Settings!$B$16&lt;MIN(DKW_10Y!$A$2:$A$2918)),NA(),(INDEX(DKW_10Y!$D$2:$D$2918,MATCH($A1289,DKW_10Y!$A$2:$A$2918,1))-INDEX(DKW_10Y!$D$2:$D$2918,MATCH(Settings!$B$16,DKW_10Y!$A$2:$A$2918,1)))*100))</f>
        <v/>
      </c>
      <c r="AA1289" s="19">
        <f>IF(NOT(ISNUMBER($A1289)),NA(),IF(OR($A1289&lt;MIN(DKW_10Y!$A$2:$A$2918),$A1289&gt;MAX(DKW_10Y!$A$2:$A$2918),Settings!$B$16&lt;MIN(DKW_10Y!$A$2:$A$2918)),NA(),(INDEX(DKW_10Y!$E$2:$E$2918,MATCH($A1289,DKW_10Y!$A$2:$A$2918,1))-INDEX(DKW_10Y!$E$2:$E$2918,MATCH(Settings!$B$16,DKW_10Y!$A$2:$A$2918,1)))*100))</f>
        <v/>
      </c>
      <c r="AB1289" s="19">
        <f>IF(NOT(ISNUMBER($A1289)),NA(),IF(OR($A1289&lt;MIN(DKW_10Y!$A$2:$A$2918),$A1289&gt;MAX(DKW_10Y!$A$2:$A$2918),Settings!$B$16&lt;MIN(DKW_10Y!$A$2:$A$2918)),NA(),(INDEX(DKW_10Y!$H$2:$H$2918,MATCH($A1289,DKW_10Y!$A$2:$A$2918,1))-INDEX(DKW_10Y!$H$2:$H$2918,MATCH(Settings!$B$16,DKW_10Y!$A$2:$A$2918,1)))*100))</f>
        <v/>
      </c>
      <c r="AC1289" s="18">
        <f>IF(NOT(ISNUMBER($A1289)),NA(),IFERROR(1*INDEX(BBG_Data!$N$2:$N$4000,MATCH($A1289,BBG_Data!$M$2:$M$4000,0)),NA()))</f>
        <v/>
      </c>
      <c r="AD1289" s="18">
        <f>IF(NOT(ISNUMBER($A1289)),NA(),IFERROR(1*INDEX(BBG_Data!$P$2:$P$4000,MATCH($A1289,BBG_Data!$O$2:$O$4000,0)),NA()))</f>
        <v/>
      </c>
      <c r="AE1289" s="18">
        <f>IF(NOT(ISNUMBER($A1289)),NA(),IFERROR(1*INDEX(BBG_Data!$R$2:$R$4000,MATCH($A1289,BBG_Data!$Q$2:$Q$4000,0)),NA()))</f>
        <v/>
      </c>
      <c r="AF1289" s="20">
        <f>IF(AND(ISNUMBER(B1289),ISNUMBER(AC1289)),(B1289-AC1289)*100,NA())</f>
        <v/>
      </c>
      <c r="AG1289" s="20">
        <f>IF(AND(ISNUMBER(AE1289),ISNUMBER(AD1289)),(AE1289-AD1289)*100,NA())</f>
        <v/>
      </c>
      <c r="AH1289" s="19">
        <f>IF(NOT(ISNUMBER($A1289)),NA(),IFERROR(INDEX(BBG_Data!$T$2:$T$4000,MATCH($A1289,BBG_Data!$S$2:$S$4000,0))*Settings!$B$25,NA()))</f>
        <v/>
      </c>
      <c r="AI1289" s="19">
        <f>IF(NOT(ISNUMBER($A1289)),NA(),IFERROR(INDEX(BBG_Data!$V$2:$V$4000,MATCH($A1289,BBG_Data!$U$2:$U$4000,0))*Settings!$B$25,NA()))</f>
        <v/>
      </c>
      <c r="AJ1289" s="19">
        <f>IF(NOT(ISNUMBER($A1289)),NA(),IFERROR(1*INDEX(BBG_Data!$X$2:$X$4000,MATCH($A1289,BBG_Data!$W$2:$W$4000,0)),NA()))</f>
        <v/>
      </c>
      <c r="AK1289" s="19">
        <f>IF(NOT(ISNUMBER($A1289)),NA(),IFERROR(1*INDEX(BBG_Data!$Z$2:$Z$4000,MATCH($A1289,BBG_Data!$Y$2:$Y$4000,0)),NA()))</f>
        <v/>
      </c>
    </row>
    <row r="1290">
      <c r="A1290" s="17">
        <f>IF(ISNUMBER(BBG_Data!A1290),BBG_Data!A1290,"")</f>
        <v/>
      </c>
      <c r="B1290" s="18">
        <f>IF(AND(ISNUMBER($A1290),ISNUMBER(BBG_Data!B1290)),BBG_Data!B1290,NA())</f>
        <v/>
      </c>
      <c r="C1290" s="18">
        <f>IF(NOT(ISNUMBER($A1290)),NA(),IFERROR(1*INDEX(BBG_Data!$D$2:$D$4000,MATCH($A1290,BBG_Data!$C$2:$C$4000,0)),NA()))</f>
        <v/>
      </c>
      <c r="D1290" s="19">
        <f>IF(NOT(ISNUMBER($A1290)),NA(),IFERROR(1*INDEX(BBG_Data!$F$2:$F$4000,MATCH($A1290,BBG_Data!$E$2:$E$4000,0)),NA()))</f>
        <v/>
      </c>
      <c r="E1290" s="19">
        <f>IF(NOT(ISNUMBER($A1290)),NA(),IFERROR(1*INDEX(BBG_Data!$H$2:$H$4000,MATCH($A1290,BBG_Data!$G$2:$G$4000,0)),NA()))</f>
        <v/>
      </c>
      <c r="F1290" s="20">
        <f>IF(AND(ISNUMBER(B1290),ISNUMBER(B1289)),IF(B1290=B1289,"",(B1290-B1289)*100),"")</f>
        <v/>
      </c>
      <c r="G1290" s="20">
        <f>IF(AND(ISNUMBER(C1290),ISNUMBER(C1289)),IF(C1290=C1289,"",(C1290-C1289)*100),"")</f>
        <v/>
      </c>
      <c r="H1290" s="20">
        <f>IF(OR(NOT(ISNUMBER($A1290)),ROW()-2&lt;Settings!$B$11),NA(),IF(COUNT(OFFSET(F1290,1-Settings!$B$11,0,Settings!$B$11,1))&lt;ROUNDUP(Settings!$B$11*Settings!$B$26,0),NA(),STDEV(OFFSET(F1290,1-Settings!$B$11,0,Settings!$B$11,1))*SQRT(Settings!$B$13)))</f>
        <v/>
      </c>
      <c r="I1290" s="20">
        <f>IF(OR(NOT(ISNUMBER($A1290)),ROW()-2&lt;Settings!$B$12),NA(),IF(COUNT(OFFSET(F1290,1-Settings!$B$12,0,Settings!$B$12,1))&lt;ROUNDUP(Settings!$B$12*Settings!$B$26,0),NA(),STDEV(OFFSET(F1290,1-Settings!$B$12,0,Settings!$B$12,1))*SQRT(Settings!$B$13)))</f>
        <v/>
      </c>
      <c r="J1290" s="20">
        <f>IF(OR(NOT(ISNUMBER($A1290)),ROW()-2&lt;Settings!$B$11),NA(),IF(COUNT(OFFSET(G1290,1-Settings!$B$11,0,Settings!$B$11,1))&lt;ROUNDUP(Settings!$B$11*Settings!$B$26,0),NA(),STDEV(OFFSET(G1290,1-Settings!$B$11,0,Settings!$B$11,1))*SQRT(Settings!$B$13)))</f>
        <v/>
      </c>
      <c r="K1290" s="20">
        <f>IF(OR(NOT(ISNUMBER($A1290)),ROW()-2&lt;Settings!$B$12),NA(),IF(COUNT(OFFSET(G1290,1-Settings!$B$12,0,Settings!$B$12,1))&lt;ROUNDUP(Settings!$B$12*Settings!$B$26,0),NA(),STDEV(OFFSET(G1290,1-Settings!$B$12,0,Settings!$B$12,1))*SQRT(Settings!$B$13)))</f>
        <v/>
      </c>
      <c r="L1290" s="20">
        <f>IF(AND(ISNUMBER(D1290),ISNUMBER(H1290)),D1290-H1290,NA())</f>
        <v/>
      </c>
      <c r="M1290" s="20">
        <f>IF(AND(ISNUMBER(E1290),ISNUMBER(K1290)),E1290-K1290,NA())</f>
        <v/>
      </c>
      <c r="N1290" s="20">
        <f>IF(NOT(ISNUMBER($A1290)),NA(),IF(COUNT(OFFSET(G1290,1,0,Settings!$B$12,1))&lt;ROUNDUP(Settings!$B$12*Settings!$B$26,0),NA(),STDEV(OFFSET(G1290,1,0,Settings!$B$12,1))*SQRT(Settings!$B$13)))</f>
        <v/>
      </c>
      <c r="O1290" s="20">
        <f>IF(AND(ISNUMBER(E1290),ISNUMBER(N1290)),E1290-N1290,NA())</f>
        <v/>
      </c>
      <c r="P1290" s="19">
        <f>IF(NOT(ISNUMBER($A1290)),NA(),IF(OR($A1290&lt;MIN(KW_TP!$A$2:$A$2501),$A1290&gt;MAX(KW_TP!$A$2:$A$2501)),NA(),INDEX(KW_TP!$C$2:$C$2501,MATCH($A1290,KW_TP!$A$2:$A$2501,1))))</f>
        <v/>
      </c>
      <c r="Q1290" s="18">
        <f>IF(NOT(ISNUMBER($A1290)),NA(),IFERROR(1*INDEX(BBG_Data!$J$2:$J$4000,MATCH($A1290,BBG_Data!$I$2:$I$4000,0)),NA()))</f>
        <v/>
      </c>
      <c r="R1290" s="18">
        <f>IF(NOT(ISNUMBER($A1290)),NA(),IFERROR(1*INDEX(BBG_Data!$L$2:$L$4000,MATCH($A1290,BBG_Data!$K$2:$K$4000,0)),NA()))</f>
        <v/>
      </c>
      <c r="S1290" s="20">
        <f>IF(AND(ISNUMBER(B1290),ISNUMBER(Q1290),ISNUMBER(R1290)),(B1290-Q1290-R1290)*100,NA())</f>
        <v/>
      </c>
      <c r="T1290" s="20">
        <f>IF(AND(ISNUMBER(B1290),Settings!$B$17&gt;0),IF(ISNUMBER(INDEX($B:$B,Settings!$B$17)),(B1290-INDEX($B:$B,Settings!$B$17))*100,NA()),NA())</f>
        <v/>
      </c>
      <c r="U1290" s="20">
        <f>IF(AND(ISNUMBER(Q1290),Settings!$B$17&gt;0),IF(ISNUMBER(INDEX($Q:$Q,Settings!$B$17)),(Q1290-INDEX($Q:$Q,Settings!$B$17))*100,NA()),NA())</f>
        <v/>
      </c>
      <c r="V1290" s="20">
        <f>IF(AND(ISNUMBER(R1290),Settings!$B$17&gt;0),IF(ISNUMBER(INDEX($R:$R,Settings!$B$17)),(R1290-INDEX($R:$R,Settings!$B$17))*100,NA()),NA())</f>
        <v/>
      </c>
      <c r="W1290" s="20">
        <f>IF(AND(ISNUMBER(P1290),Settings!$B$17&gt;0),IF(ISNUMBER(INDEX($P:$P,Settings!$B$17)),P1290-INDEX($P:$P,Settings!$B$17),NA()),NA())</f>
        <v/>
      </c>
      <c r="X1290" s="19">
        <f>IF(NOT(ISNUMBER($A1290)),NA(),IF(OR($A1290&lt;MIN(DKW_10Y!$A$2:$A$2918),$A1290&gt;MAX(DKW_10Y!$A$2:$A$2918),Settings!$B$16&lt;MIN(DKW_10Y!$A$2:$A$2918)),NA(),(INDEX(DKW_10Y!$B$2:$B$2918,MATCH($A1290,DKW_10Y!$A$2:$A$2918,1))-INDEX(DKW_10Y!$B$2:$B$2918,MATCH(Settings!$B$16,DKW_10Y!$A$2:$A$2918,1)))*100))</f>
        <v/>
      </c>
      <c r="Y1290" s="19">
        <f>IF(NOT(ISNUMBER($A1290)),NA(),IF(OR($A1290&lt;MIN(DKW_10Y!$A$2:$A$2918),$A1290&gt;MAX(DKW_10Y!$A$2:$A$2918),Settings!$B$16&lt;MIN(DKW_10Y!$A$2:$A$2918)),NA(),(INDEX(DKW_10Y!$C$2:$C$2918,MATCH($A1290,DKW_10Y!$A$2:$A$2918,1))-INDEX(DKW_10Y!$C$2:$C$2918,MATCH(Settings!$B$16,DKW_10Y!$A$2:$A$2918,1)))*100))</f>
        <v/>
      </c>
      <c r="Z1290" s="19">
        <f>IF(NOT(ISNUMBER($A1290)),NA(),IF(OR($A1290&lt;MIN(DKW_10Y!$A$2:$A$2918),$A1290&gt;MAX(DKW_10Y!$A$2:$A$2918),Settings!$B$16&lt;MIN(DKW_10Y!$A$2:$A$2918)),NA(),(INDEX(DKW_10Y!$D$2:$D$2918,MATCH($A1290,DKW_10Y!$A$2:$A$2918,1))-INDEX(DKW_10Y!$D$2:$D$2918,MATCH(Settings!$B$16,DKW_10Y!$A$2:$A$2918,1)))*100))</f>
        <v/>
      </c>
      <c r="AA1290" s="19">
        <f>IF(NOT(ISNUMBER($A1290)),NA(),IF(OR($A1290&lt;MIN(DKW_10Y!$A$2:$A$2918),$A1290&gt;MAX(DKW_10Y!$A$2:$A$2918),Settings!$B$16&lt;MIN(DKW_10Y!$A$2:$A$2918)),NA(),(INDEX(DKW_10Y!$E$2:$E$2918,MATCH($A1290,DKW_10Y!$A$2:$A$2918,1))-INDEX(DKW_10Y!$E$2:$E$2918,MATCH(Settings!$B$16,DKW_10Y!$A$2:$A$2918,1)))*100))</f>
        <v/>
      </c>
      <c r="AB1290" s="19">
        <f>IF(NOT(ISNUMBER($A1290)),NA(),IF(OR($A1290&lt;MIN(DKW_10Y!$A$2:$A$2918),$A1290&gt;MAX(DKW_10Y!$A$2:$A$2918),Settings!$B$16&lt;MIN(DKW_10Y!$A$2:$A$2918)),NA(),(INDEX(DKW_10Y!$H$2:$H$2918,MATCH($A1290,DKW_10Y!$A$2:$A$2918,1))-INDEX(DKW_10Y!$H$2:$H$2918,MATCH(Settings!$B$16,DKW_10Y!$A$2:$A$2918,1)))*100))</f>
        <v/>
      </c>
      <c r="AC1290" s="18">
        <f>IF(NOT(ISNUMBER($A1290)),NA(),IFERROR(1*INDEX(BBG_Data!$N$2:$N$4000,MATCH($A1290,BBG_Data!$M$2:$M$4000,0)),NA()))</f>
        <v/>
      </c>
      <c r="AD1290" s="18">
        <f>IF(NOT(ISNUMBER($A1290)),NA(),IFERROR(1*INDEX(BBG_Data!$P$2:$P$4000,MATCH($A1290,BBG_Data!$O$2:$O$4000,0)),NA()))</f>
        <v/>
      </c>
      <c r="AE1290" s="18">
        <f>IF(NOT(ISNUMBER($A1290)),NA(),IFERROR(1*INDEX(BBG_Data!$R$2:$R$4000,MATCH($A1290,BBG_Data!$Q$2:$Q$4000,0)),NA()))</f>
        <v/>
      </c>
      <c r="AF1290" s="20">
        <f>IF(AND(ISNUMBER(B1290),ISNUMBER(AC1290)),(B1290-AC1290)*100,NA())</f>
        <v/>
      </c>
      <c r="AG1290" s="20">
        <f>IF(AND(ISNUMBER(AE1290),ISNUMBER(AD1290)),(AE1290-AD1290)*100,NA())</f>
        <v/>
      </c>
      <c r="AH1290" s="19">
        <f>IF(NOT(ISNUMBER($A1290)),NA(),IFERROR(INDEX(BBG_Data!$T$2:$T$4000,MATCH($A1290,BBG_Data!$S$2:$S$4000,0))*Settings!$B$25,NA()))</f>
        <v/>
      </c>
      <c r="AI1290" s="19">
        <f>IF(NOT(ISNUMBER($A1290)),NA(),IFERROR(INDEX(BBG_Data!$V$2:$V$4000,MATCH($A1290,BBG_Data!$U$2:$U$4000,0))*Settings!$B$25,NA()))</f>
        <v/>
      </c>
      <c r="AJ1290" s="19">
        <f>IF(NOT(ISNUMBER($A1290)),NA(),IFERROR(1*INDEX(BBG_Data!$X$2:$X$4000,MATCH($A1290,BBG_Data!$W$2:$W$4000,0)),NA()))</f>
        <v/>
      </c>
      <c r="AK1290" s="19">
        <f>IF(NOT(ISNUMBER($A1290)),NA(),IFERROR(1*INDEX(BBG_Data!$Z$2:$Z$4000,MATCH($A1290,BBG_Data!$Y$2:$Y$4000,0)),NA()))</f>
        <v/>
      </c>
    </row>
    <row r="1291">
      <c r="A1291" s="17">
        <f>IF(ISNUMBER(BBG_Data!A1291),BBG_Data!A1291,"")</f>
        <v/>
      </c>
      <c r="B1291" s="18">
        <f>IF(AND(ISNUMBER($A1291),ISNUMBER(BBG_Data!B1291)),BBG_Data!B1291,NA())</f>
        <v/>
      </c>
      <c r="C1291" s="18">
        <f>IF(NOT(ISNUMBER($A1291)),NA(),IFERROR(1*INDEX(BBG_Data!$D$2:$D$4000,MATCH($A1291,BBG_Data!$C$2:$C$4000,0)),NA()))</f>
        <v/>
      </c>
      <c r="D1291" s="19">
        <f>IF(NOT(ISNUMBER($A1291)),NA(),IFERROR(1*INDEX(BBG_Data!$F$2:$F$4000,MATCH($A1291,BBG_Data!$E$2:$E$4000,0)),NA()))</f>
        <v/>
      </c>
      <c r="E1291" s="19">
        <f>IF(NOT(ISNUMBER($A1291)),NA(),IFERROR(1*INDEX(BBG_Data!$H$2:$H$4000,MATCH($A1291,BBG_Data!$G$2:$G$4000,0)),NA()))</f>
        <v/>
      </c>
      <c r="F1291" s="20">
        <f>IF(AND(ISNUMBER(B1291),ISNUMBER(B1290)),IF(B1291=B1290,"",(B1291-B1290)*100),"")</f>
        <v/>
      </c>
      <c r="G1291" s="20">
        <f>IF(AND(ISNUMBER(C1291),ISNUMBER(C1290)),IF(C1291=C1290,"",(C1291-C1290)*100),"")</f>
        <v/>
      </c>
      <c r="H1291" s="20">
        <f>IF(OR(NOT(ISNUMBER($A1291)),ROW()-2&lt;Settings!$B$11),NA(),IF(COUNT(OFFSET(F1291,1-Settings!$B$11,0,Settings!$B$11,1))&lt;ROUNDUP(Settings!$B$11*Settings!$B$26,0),NA(),STDEV(OFFSET(F1291,1-Settings!$B$11,0,Settings!$B$11,1))*SQRT(Settings!$B$13)))</f>
        <v/>
      </c>
      <c r="I1291" s="20">
        <f>IF(OR(NOT(ISNUMBER($A1291)),ROW()-2&lt;Settings!$B$12),NA(),IF(COUNT(OFFSET(F1291,1-Settings!$B$12,0,Settings!$B$12,1))&lt;ROUNDUP(Settings!$B$12*Settings!$B$26,0),NA(),STDEV(OFFSET(F1291,1-Settings!$B$12,0,Settings!$B$12,1))*SQRT(Settings!$B$13)))</f>
        <v/>
      </c>
      <c r="J1291" s="20">
        <f>IF(OR(NOT(ISNUMBER($A1291)),ROW()-2&lt;Settings!$B$11),NA(),IF(COUNT(OFFSET(G1291,1-Settings!$B$11,0,Settings!$B$11,1))&lt;ROUNDUP(Settings!$B$11*Settings!$B$26,0),NA(),STDEV(OFFSET(G1291,1-Settings!$B$11,0,Settings!$B$11,1))*SQRT(Settings!$B$13)))</f>
        <v/>
      </c>
      <c r="K1291" s="20">
        <f>IF(OR(NOT(ISNUMBER($A1291)),ROW()-2&lt;Settings!$B$12),NA(),IF(COUNT(OFFSET(G1291,1-Settings!$B$12,0,Settings!$B$12,1))&lt;ROUNDUP(Settings!$B$12*Settings!$B$26,0),NA(),STDEV(OFFSET(G1291,1-Settings!$B$12,0,Settings!$B$12,1))*SQRT(Settings!$B$13)))</f>
        <v/>
      </c>
      <c r="L1291" s="20">
        <f>IF(AND(ISNUMBER(D1291),ISNUMBER(H1291)),D1291-H1291,NA())</f>
        <v/>
      </c>
      <c r="M1291" s="20">
        <f>IF(AND(ISNUMBER(E1291),ISNUMBER(K1291)),E1291-K1291,NA())</f>
        <v/>
      </c>
      <c r="N1291" s="20">
        <f>IF(NOT(ISNUMBER($A1291)),NA(),IF(COUNT(OFFSET(G1291,1,0,Settings!$B$12,1))&lt;ROUNDUP(Settings!$B$12*Settings!$B$26,0),NA(),STDEV(OFFSET(G1291,1,0,Settings!$B$12,1))*SQRT(Settings!$B$13)))</f>
        <v/>
      </c>
      <c r="O1291" s="20">
        <f>IF(AND(ISNUMBER(E1291),ISNUMBER(N1291)),E1291-N1291,NA())</f>
        <v/>
      </c>
      <c r="P1291" s="19">
        <f>IF(NOT(ISNUMBER($A1291)),NA(),IF(OR($A1291&lt;MIN(KW_TP!$A$2:$A$2501),$A1291&gt;MAX(KW_TP!$A$2:$A$2501)),NA(),INDEX(KW_TP!$C$2:$C$2501,MATCH($A1291,KW_TP!$A$2:$A$2501,1))))</f>
        <v/>
      </c>
      <c r="Q1291" s="18">
        <f>IF(NOT(ISNUMBER($A1291)),NA(),IFERROR(1*INDEX(BBG_Data!$J$2:$J$4000,MATCH($A1291,BBG_Data!$I$2:$I$4000,0)),NA()))</f>
        <v/>
      </c>
      <c r="R1291" s="18">
        <f>IF(NOT(ISNUMBER($A1291)),NA(),IFERROR(1*INDEX(BBG_Data!$L$2:$L$4000,MATCH($A1291,BBG_Data!$K$2:$K$4000,0)),NA()))</f>
        <v/>
      </c>
      <c r="S1291" s="20">
        <f>IF(AND(ISNUMBER(B1291),ISNUMBER(Q1291),ISNUMBER(R1291)),(B1291-Q1291-R1291)*100,NA())</f>
        <v/>
      </c>
      <c r="T1291" s="20">
        <f>IF(AND(ISNUMBER(B1291),Settings!$B$17&gt;0),IF(ISNUMBER(INDEX($B:$B,Settings!$B$17)),(B1291-INDEX($B:$B,Settings!$B$17))*100,NA()),NA())</f>
        <v/>
      </c>
      <c r="U1291" s="20">
        <f>IF(AND(ISNUMBER(Q1291),Settings!$B$17&gt;0),IF(ISNUMBER(INDEX($Q:$Q,Settings!$B$17)),(Q1291-INDEX($Q:$Q,Settings!$B$17))*100,NA()),NA())</f>
        <v/>
      </c>
      <c r="V1291" s="20">
        <f>IF(AND(ISNUMBER(R1291),Settings!$B$17&gt;0),IF(ISNUMBER(INDEX($R:$R,Settings!$B$17)),(R1291-INDEX($R:$R,Settings!$B$17))*100,NA()),NA())</f>
        <v/>
      </c>
      <c r="W1291" s="20">
        <f>IF(AND(ISNUMBER(P1291),Settings!$B$17&gt;0),IF(ISNUMBER(INDEX($P:$P,Settings!$B$17)),P1291-INDEX($P:$P,Settings!$B$17),NA()),NA())</f>
        <v/>
      </c>
      <c r="X1291" s="19">
        <f>IF(NOT(ISNUMBER($A1291)),NA(),IF(OR($A1291&lt;MIN(DKW_10Y!$A$2:$A$2918),$A1291&gt;MAX(DKW_10Y!$A$2:$A$2918),Settings!$B$16&lt;MIN(DKW_10Y!$A$2:$A$2918)),NA(),(INDEX(DKW_10Y!$B$2:$B$2918,MATCH($A1291,DKW_10Y!$A$2:$A$2918,1))-INDEX(DKW_10Y!$B$2:$B$2918,MATCH(Settings!$B$16,DKW_10Y!$A$2:$A$2918,1)))*100))</f>
        <v/>
      </c>
      <c r="Y1291" s="19">
        <f>IF(NOT(ISNUMBER($A1291)),NA(),IF(OR($A1291&lt;MIN(DKW_10Y!$A$2:$A$2918),$A1291&gt;MAX(DKW_10Y!$A$2:$A$2918),Settings!$B$16&lt;MIN(DKW_10Y!$A$2:$A$2918)),NA(),(INDEX(DKW_10Y!$C$2:$C$2918,MATCH($A1291,DKW_10Y!$A$2:$A$2918,1))-INDEX(DKW_10Y!$C$2:$C$2918,MATCH(Settings!$B$16,DKW_10Y!$A$2:$A$2918,1)))*100))</f>
        <v/>
      </c>
      <c r="Z1291" s="19">
        <f>IF(NOT(ISNUMBER($A1291)),NA(),IF(OR($A1291&lt;MIN(DKW_10Y!$A$2:$A$2918),$A1291&gt;MAX(DKW_10Y!$A$2:$A$2918),Settings!$B$16&lt;MIN(DKW_10Y!$A$2:$A$2918)),NA(),(INDEX(DKW_10Y!$D$2:$D$2918,MATCH($A1291,DKW_10Y!$A$2:$A$2918,1))-INDEX(DKW_10Y!$D$2:$D$2918,MATCH(Settings!$B$16,DKW_10Y!$A$2:$A$2918,1)))*100))</f>
        <v/>
      </c>
      <c r="AA1291" s="19">
        <f>IF(NOT(ISNUMBER($A1291)),NA(),IF(OR($A1291&lt;MIN(DKW_10Y!$A$2:$A$2918),$A1291&gt;MAX(DKW_10Y!$A$2:$A$2918),Settings!$B$16&lt;MIN(DKW_10Y!$A$2:$A$2918)),NA(),(INDEX(DKW_10Y!$E$2:$E$2918,MATCH($A1291,DKW_10Y!$A$2:$A$2918,1))-INDEX(DKW_10Y!$E$2:$E$2918,MATCH(Settings!$B$16,DKW_10Y!$A$2:$A$2918,1)))*100))</f>
        <v/>
      </c>
      <c r="AB1291" s="19">
        <f>IF(NOT(ISNUMBER($A1291)),NA(),IF(OR($A1291&lt;MIN(DKW_10Y!$A$2:$A$2918),$A1291&gt;MAX(DKW_10Y!$A$2:$A$2918),Settings!$B$16&lt;MIN(DKW_10Y!$A$2:$A$2918)),NA(),(INDEX(DKW_10Y!$H$2:$H$2918,MATCH($A1291,DKW_10Y!$A$2:$A$2918,1))-INDEX(DKW_10Y!$H$2:$H$2918,MATCH(Settings!$B$16,DKW_10Y!$A$2:$A$2918,1)))*100))</f>
        <v/>
      </c>
      <c r="AC1291" s="18">
        <f>IF(NOT(ISNUMBER($A1291)),NA(),IFERROR(1*INDEX(BBG_Data!$N$2:$N$4000,MATCH($A1291,BBG_Data!$M$2:$M$4000,0)),NA()))</f>
        <v/>
      </c>
      <c r="AD1291" s="18">
        <f>IF(NOT(ISNUMBER($A1291)),NA(),IFERROR(1*INDEX(BBG_Data!$P$2:$P$4000,MATCH($A1291,BBG_Data!$O$2:$O$4000,0)),NA()))</f>
        <v/>
      </c>
      <c r="AE1291" s="18">
        <f>IF(NOT(ISNUMBER($A1291)),NA(),IFERROR(1*INDEX(BBG_Data!$R$2:$R$4000,MATCH($A1291,BBG_Data!$Q$2:$Q$4000,0)),NA()))</f>
        <v/>
      </c>
      <c r="AF1291" s="20">
        <f>IF(AND(ISNUMBER(B1291),ISNUMBER(AC1291)),(B1291-AC1291)*100,NA())</f>
        <v/>
      </c>
      <c r="AG1291" s="20">
        <f>IF(AND(ISNUMBER(AE1291),ISNUMBER(AD1291)),(AE1291-AD1291)*100,NA())</f>
        <v/>
      </c>
      <c r="AH1291" s="19">
        <f>IF(NOT(ISNUMBER($A1291)),NA(),IFERROR(INDEX(BBG_Data!$T$2:$T$4000,MATCH($A1291,BBG_Data!$S$2:$S$4000,0))*Settings!$B$25,NA()))</f>
        <v/>
      </c>
      <c r="AI1291" s="19">
        <f>IF(NOT(ISNUMBER($A1291)),NA(),IFERROR(INDEX(BBG_Data!$V$2:$V$4000,MATCH($A1291,BBG_Data!$U$2:$U$4000,0))*Settings!$B$25,NA()))</f>
        <v/>
      </c>
      <c r="AJ1291" s="19">
        <f>IF(NOT(ISNUMBER($A1291)),NA(),IFERROR(1*INDEX(BBG_Data!$X$2:$X$4000,MATCH($A1291,BBG_Data!$W$2:$W$4000,0)),NA()))</f>
        <v/>
      </c>
      <c r="AK1291" s="19">
        <f>IF(NOT(ISNUMBER($A1291)),NA(),IFERROR(1*INDEX(BBG_Data!$Z$2:$Z$4000,MATCH($A1291,BBG_Data!$Y$2:$Y$4000,0)),NA()))</f>
        <v/>
      </c>
    </row>
    <row r="1292">
      <c r="A1292" s="17">
        <f>IF(ISNUMBER(BBG_Data!A1292),BBG_Data!A1292,"")</f>
        <v/>
      </c>
      <c r="B1292" s="18">
        <f>IF(AND(ISNUMBER($A1292),ISNUMBER(BBG_Data!B1292)),BBG_Data!B1292,NA())</f>
        <v/>
      </c>
      <c r="C1292" s="18">
        <f>IF(NOT(ISNUMBER($A1292)),NA(),IFERROR(1*INDEX(BBG_Data!$D$2:$D$4000,MATCH($A1292,BBG_Data!$C$2:$C$4000,0)),NA()))</f>
        <v/>
      </c>
      <c r="D1292" s="19">
        <f>IF(NOT(ISNUMBER($A1292)),NA(),IFERROR(1*INDEX(BBG_Data!$F$2:$F$4000,MATCH($A1292,BBG_Data!$E$2:$E$4000,0)),NA()))</f>
        <v/>
      </c>
      <c r="E1292" s="19">
        <f>IF(NOT(ISNUMBER($A1292)),NA(),IFERROR(1*INDEX(BBG_Data!$H$2:$H$4000,MATCH($A1292,BBG_Data!$G$2:$G$4000,0)),NA()))</f>
        <v/>
      </c>
      <c r="F1292" s="20">
        <f>IF(AND(ISNUMBER(B1292),ISNUMBER(B1291)),IF(B1292=B1291,"",(B1292-B1291)*100),"")</f>
        <v/>
      </c>
      <c r="G1292" s="20">
        <f>IF(AND(ISNUMBER(C1292),ISNUMBER(C1291)),IF(C1292=C1291,"",(C1292-C1291)*100),"")</f>
        <v/>
      </c>
      <c r="H1292" s="20">
        <f>IF(OR(NOT(ISNUMBER($A1292)),ROW()-2&lt;Settings!$B$11),NA(),IF(COUNT(OFFSET(F1292,1-Settings!$B$11,0,Settings!$B$11,1))&lt;ROUNDUP(Settings!$B$11*Settings!$B$26,0),NA(),STDEV(OFFSET(F1292,1-Settings!$B$11,0,Settings!$B$11,1))*SQRT(Settings!$B$13)))</f>
        <v/>
      </c>
      <c r="I1292" s="20">
        <f>IF(OR(NOT(ISNUMBER($A1292)),ROW()-2&lt;Settings!$B$12),NA(),IF(COUNT(OFFSET(F1292,1-Settings!$B$12,0,Settings!$B$12,1))&lt;ROUNDUP(Settings!$B$12*Settings!$B$26,0),NA(),STDEV(OFFSET(F1292,1-Settings!$B$12,0,Settings!$B$12,1))*SQRT(Settings!$B$13)))</f>
        <v/>
      </c>
      <c r="J1292" s="20">
        <f>IF(OR(NOT(ISNUMBER($A1292)),ROW()-2&lt;Settings!$B$11),NA(),IF(COUNT(OFFSET(G1292,1-Settings!$B$11,0,Settings!$B$11,1))&lt;ROUNDUP(Settings!$B$11*Settings!$B$26,0),NA(),STDEV(OFFSET(G1292,1-Settings!$B$11,0,Settings!$B$11,1))*SQRT(Settings!$B$13)))</f>
        <v/>
      </c>
      <c r="K1292" s="20">
        <f>IF(OR(NOT(ISNUMBER($A1292)),ROW()-2&lt;Settings!$B$12),NA(),IF(COUNT(OFFSET(G1292,1-Settings!$B$12,0,Settings!$B$12,1))&lt;ROUNDUP(Settings!$B$12*Settings!$B$26,0),NA(),STDEV(OFFSET(G1292,1-Settings!$B$12,0,Settings!$B$12,1))*SQRT(Settings!$B$13)))</f>
        <v/>
      </c>
      <c r="L1292" s="20">
        <f>IF(AND(ISNUMBER(D1292),ISNUMBER(H1292)),D1292-H1292,NA())</f>
        <v/>
      </c>
      <c r="M1292" s="20">
        <f>IF(AND(ISNUMBER(E1292),ISNUMBER(K1292)),E1292-K1292,NA())</f>
        <v/>
      </c>
      <c r="N1292" s="20">
        <f>IF(NOT(ISNUMBER($A1292)),NA(),IF(COUNT(OFFSET(G1292,1,0,Settings!$B$12,1))&lt;ROUNDUP(Settings!$B$12*Settings!$B$26,0),NA(),STDEV(OFFSET(G1292,1,0,Settings!$B$12,1))*SQRT(Settings!$B$13)))</f>
        <v/>
      </c>
      <c r="O1292" s="20">
        <f>IF(AND(ISNUMBER(E1292),ISNUMBER(N1292)),E1292-N1292,NA())</f>
        <v/>
      </c>
      <c r="P1292" s="19">
        <f>IF(NOT(ISNUMBER($A1292)),NA(),IF(OR($A1292&lt;MIN(KW_TP!$A$2:$A$2501),$A1292&gt;MAX(KW_TP!$A$2:$A$2501)),NA(),INDEX(KW_TP!$C$2:$C$2501,MATCH($A1292,KW_TP!$A$2:$A$2501,1))))</f>
        <v/>
      </c>
      <c r="Q1292" s="18">
        <f>IF(NOT(ISNUMBER($A1292)),NA(),IFERROR(1*INDEX(BBG_Data!$J$2:$J$4000,MATCH($A1292,BBG_Data!$I$2:$I$4000,0)),NA()))</f>
        <v/>
      </c>
      <c r="R1292" s="18">
        <f>IF(NOT(ISNUMBER($A1292)),NA(),IFERROR(1*INDEX(BBG_Data!$L$2:$L$4000,MATCH($A1292,BBG_Data!$K$2:$K$4000,0)),NA()))</f>
        <v/>
      </c>
      <c r="S1292" s="20">
        <f>IF(AND(ISNUMBER(B1292),ISNUMBER(Q1292),ISNUMBER(R1292)),(B1292-Q1292-R1292)*100,NA())</f>
        <v/>
      </c>
      <c r="T1292" s="20">
        <f>IF(AND(ISNUMBER(B1292),Settings!$B$17&gt;0),IF(ISNUMBER(INDEX($B:$B,Settings!$B$17)),(B1292-INDEX($B:$B,Settings!$B$17))*100,NA()),NA())</f>
        <v/>
      </c>
      <c r="U1292" s="20">
        <f>IF(AND(ISNUMBER(Q1292),Settings!$B$17&gt;0),IF(ISNUMBER(INDEX($Q:$Q,Settings!$B$17)),(Q1292-INDEX($Q:$Q,Settings!$B$17))*100,NA()),NA())</f>
        <v/>
      </c>
      <c r="V1292" s="20">
        <f>IF(AND(ISNUMBER(R1292),Settings!$B$17&gt;0),IF(ISNUMBER(INDEX($R:$R,Settings!$B$17)),(R1292-INDEX($R:$R,Settings!$B$17))*100,NA()),NA())</f>
        <v/>
      </c>
      <c r="W1292" s="20">
        <f>IF(AND(ISNUMBER(P1292),Settings!$B$17&gt;0),IF(ISNUMBER(INDEX($P:$P,Settings!$B$17)),P1292-INDEX($P:$P,Settings!$B$17),NA()),NA())</f>
        <v/>
      </c>
      <c r="X1292" s="19">
        <f>IF(NOT(ISNUMBER($A1292)),NA(),IF(OR($A1292&lt;MIN(DKW_10Y!$A$2:$A$2918),$A1292&gt;MAX(DKW_10Y!$A$2:$A$2918),Settings!$B$16&lt;MIN(DKW_10Y!$A$2:$A$2918)),NA(),(INDEX(DKW_10Y!$B$2:$B$2918,MATCH($A1292,DKW_10Y!$A$2:$A$2918,1))-INDEX(DKW_10Y!$B$2:$B$2918,MATCH(Settings!$B$16,DKW_10Y!$A$2:$A$2918,1)))*100))</f>
        <v/>
      </c>
      <c r="Y1292" s="19">
        <f>IF(NOT(ISNUMBER($A1292)),NA(),IF(OR($A1292&lt;MIN(DKW_10Y!$A$2:$A$2918),$A1292&gt;MAX(DKW_10Y!$A$2:$A$2918),Settings!$B$16&lt;MIN(DKW_10Y!$A$2:$A$2918)),NA(),(INDEX(DKW_10Y!$C$2:$C$2918,MATCH($A1292,DKW_10Y!$A$2:$A$2918,1))-INDEX(DKW_10Y!$C$2:$C$2918,MATCH(Settings!$B$16,DKW_10Y!$A$2:$A$2918,1)))*100))</f>
        <v/>
      </c>
      <c r="Z1292" s="19">
        <f>IF(NOT(ISNUMBER($A1292)),NA(),IF(OR($A1292&lt;MIN(DKW_10Y!$A$2:$A$2918),$A1292&gt;MAX(DKW_10Y!$A$2:$A$2918),Settings!$B$16&lt;MIN(DKW_10Y!$A$2:$A$2918)),NA(),(INDEX(DKW_10Y!$D$2:$D$2918,MATCH($A1292,DKW_10Y!$A$2:$A$2918,1))-INDEX(DKW_10Y!$D$2:$D$2918,MATCH(Settings!$B$16,DKW_10Y!$A$2:$A$2918,1)))*100))</f>
        <v/>
      </c>
      <c r="AA1292" s="19">
        <f>IF(NOT(ISNUMBER($A1292)),NA(),IF(OR($A1292&lt;MIN(DKW_10Y!$A$2:$A$2918),$A1292&gt;MAX(DKW_10Y!$A$2:$A$2918),Settings!$B$16&lt;MIN(DKW_10Y!$A$2:$A$2918)),NA(),(INDEX(DKW_10Y!$E$2:$E$2918,MATCH($A1292,DKW_10Y!$A$2:$A$2918,1))-INDEX(DKW_10Y!$E$2:$E$2918,MATCH(Settings!$B$16,DKW_10Y!$A$2:$A$2918,1)))*100))</f>
        <v/>
      </c>
      <c r="AB1292" s="19">
        <f>IF(NOT(ISNUMBER($A1292)),NA(),IF(OR($A1292&lt;MIN(DKW_10Y!$A$2:$A$2918),$A1292&gt;MAX(DKW_10Y!$A$2:$A$2918),Settings!$B$16&lt;MIN(DKW_10Y!$A$2:$A$2918)),NA(),(INDEX(DKW_10Y!$H$2:$H$2918,MATCH($A1292,DKW_10Y!$A$2:$A$2918,1))-INDEX(DKW_10Y!$H$2:$H$2918,MATCH(Settings!$B$16,DKW_10Y!$A$2:$A$2918,1)))*100))</f>
        <v/>
      </c>
      <c r="AC1292" s="18">
        <f>IF(NOT(ISNUMBER($A1292)),NA(),IFERROR(1*INDEX(BBG_Data!$N$2:$N$4000,MATCH($A1292,BBG_Data!$M$2:$M$4000,0)),NA()))</f>
        <v/>
      </c>
      <c r="AD1292" s="18">
        <f>IF(NOT(ISNUMBER($A1292)),NA(),IFERROR(1*INDEX(BBG_Data!$P$2:$P$4000,MATCH($A1292,BBG_Data!$O$2:$O$4000,0)),NA()))</f>
        <v/>
      </c>
      <c r="AE1292" s="18">
        <f>IF(NOT(ISNUMBER($A1292)),NA(),IFERROR(1*INDEX(BBG_Data!$R$2:$R$4000,MATCH($A1292,BBG_Data!$Q$2:$Q$4000,0)),NA()))</f>
        <v/>
      </c>
      <c r="AF1292" s="20">
        <f>IF(AND(ISNUMBER(B1292),ISNUMBER(AC1292)),(B1292-AC1292)*100,NA())</f>
        <v/>
      </c>
      <c r="AG1292" s="20">
        <f>IF(AND(ISNUMBER(AE1292),ISNUMBER(AD1292)),(AE1292-AD1292)*100,NA())</f>
        <v/>
      </c>
      <c r="AH1292" s="19">
        <f>IF(NOT(ISNUMBER($A1292)),NA(),IFERROR(INDEX(BBG_Data!$T$2:$T$4000,MATCH($A1292,BBG_Data!$S$2:$S$4000,0))*Settings!$B$25,NA()))</f>
        <v/>
      </c>
      <c r="AI1292" s="19">
        <f>IF(NOT(ISNUMBER($A1292)),NA(),IFERROR(INDEX(BBG_Data!$V$2:$V$4000,MATCH($A1292,BBG_Data!$U$2:$U$4000,0))*Settings!$B$25,NA()))</f>
        <v/>
      </c>
      <c r="AJ1292" s="19">
        <f>IF(NOT(ISNUMBER($A1292)),NA(),IFERROR(1*INDEX(BBG_Data!$X$2:$X$4000,MATCH($A1292,BBG_Data!$W$2:$W$4000,0)),NA()))</f>
        <v/>
      </c>
      <c r="AK1292" s="19">
        <f>IF(NOT(ISNUMBER($A1292)),NA(),IFERROR(1*INDEX(BBG_Data!$Z$2:$Z$4000,MATCH($A1292,BBG_Data!$Y$2:$Y$4000,0)),NA()))</f>
        <v/>
      </c>
    </row>
    <row r="1293">
      <c r="A1293" s="17">
        <f>IF(ISNUMBER(BBG_Data!A1293),BBG_Data!A1293,"")</f>
        <v/>
      </c>
      <c r="B1293" s="18">
        <f>IF(AND(ISNUMBER($A1293),ISNUMBER(BBG_Data!B1293)),BBG_Data!B1293,NA())</f>
        <v/>
      </c>
      <c r="C1293" s="18">
        <f>IF(NOT(ISNUMBER($A1293)),NA(),IFERROR(1*INDEX(BBG_Data!$D$2:$D$4000,MATCH($A1293,BBG_Data!$C$2:$C$4000,0)),NA()))</f>
        <v/>
      </c>
      <c r="D1293" s="19">
        <f>IF(NOT(ISNUMBER($A1293)),NA(),IFERROR(1*INDEX(BBG_Data!$F$2:$F$4000,MATCH($A1293,BBG_Data!$E$2:$E$4000,0)),NA()))</f>
        <v/>
      </c>
      <c r="E1293" s="19">
        <f>IF(NOT(ISNUMBER($A1293)),NA(),IFERROR(1*INDEX(BBG_Data!$H$2:$H$4000,MATCH($A1293,BBG_Data!$G$2:$G$4000,0)),NA()))</f>
        <v/>
      </c>
      <c r="F1293" s="20">
        <f>IF(AND(ISNUMBER(B1293),ISNUMBER(B1292)),IF(B1293=B1292,"",(B1293-B1292)*100),"")</f>
        <v/>
      </c>
      <c r="G1293" s="20">
        <f>IF(AND(ISNUMBER(C1293),ISNUMBER(C1292)),IF(C1293=C1292,"",(C1293-C1292)*100),"")</f>
        <v/>
      </c>
      <c r="H1293" s="20">
        <f>IF(OR(NOT(ISNUMBER($A1293)),ROW()-2&lt;Settings!$B$11),NA(),IF(COUNT(OFFSET(F1293,1-Settings!$B$11,0,Settings!$B$11,1))&lt;ROUNDUP(Settings!$B$11*Settings!$B$26,0),NA(),STDEV(OFFSET(F1293,1-Settings!$B$11,0,Settings!$B$11,1))*SQRT(Settings!$B$13)))</f>
        <v/>
      </c>
      <c r="I1293" s="20">
        <f>IF(OR(NOT(ISNUMBER($A1293)),ROW()-2&lt;Settings!$B$12),NA(),IF(COUNT(OFFSET(F1293,1-Settings!$B$12,0,Settings!$B$12,1))&lt;ROUNDUP(Settings!$B$12*Settings!$B$26,0),NA(),STDEV(OFFSET(F1293,1-Settings!$B$12,0,Settings!$B$12,1))*SQRT(Settings!$B$13)))</f>
        <v/>
      </c>
      <c r="J1293" s="20">
        <f>IF(OR(NOT(ISNUMBER($A1293)),ROW()-2&lt;Settings!$B$11),NA(),IF(COUNT(OFFSET(G1293,1-Settings!$B$11,0,Settings!$B$11,1))&lt;ROUNDUP(Settings!$B$11*Settings!$B$26,0),NA(),STDEV(OFFSET(G1293,1-Settings!$B$11,0,Settings!$B$11,1))*SQRT(Settings!$B$13)))</f>
        <v/>
      </c>
      <c r="K1293" s="20">
        <f>IF(OR(NOT(ISNUMBER($A1293)),ROW()-2&lt;Settings!$B$12),NA(),IF(COUNT(OFFSET(G1293,1-Settings!$B$12,0,Settings!$B$12,1))&lt;ROUNDUP(Settings!$B$12*Settings!$B$26,0),NA(),STDEV(OFFSET(G1293,1-Settings!$B$12,0,Settings!$B$12,1))*SQRT(Settings!$B$13)))</f>
        <v/>
      </c>
      <c r="L1293" s="20">
        <f>IF(AND(ISNUMBER(D1293),ISNUMBER(H1293)),D1293-H1293,NA())</f>
        <v/>
      </c>
      <c r="M1293" s="20">
        <f>IF(AND(ISNUMBER(E1293),ISNUMBER(K1293)),E1293-K1293,NA())</f>
        <v/>
      </c>
      <c r="N1293" s="20">
        <f>IF(NOT(ISNUMBER($A1293)),NA(),IF(COUNT(OFFSET(G1293,1,0,Settings!$B$12,1))&lt;ROUNDUP(Settings!$B$12*Settings!$B$26,0),NA(),STDEV(OFFSET(G1293,1,0,Settings!$B$12,1))*SQRT(Settings!$B$13)))</f>
        <v/>
      </c>
      <c r="O1293" s="20">
        <f>IF(AND(ISNUMBER(E1293),ISNUMBER(N1293)),E1293-N1293,NA())</f>
        <v/>
      </c>
      <c r="P1293" s="19">
        <f>IF(NOT(ISNUMBER($A1293)),NA(),IF(OR($A1293&lt;MIN(KW_TP!$A$2:$A$2501),$A1293&gt;MAX(KW_TP!$A$2:$A$2501)),NA(),INDEX(KW_TP!$C$2:$C$2501,MATCH($A1293,KW_TP!$A$2:$A$2501,1))))</f>
        <v/>
      </c>
      <c r="Q1293" s="18">
        <f>IF(NOT(ISNUMBER($A1293)),NA(),IFERROR(1*INDEX(BBG_Data!$J$2:$J$4000,MATCH($A1293,BBG_Data!$I$2:$I$4000,0)),NA()))</f>
        <v/>
      </c>
      <c r="R1293" s="18">
        <f>IF(NOT(ISNUMBER($A1293)),NA(),IFERROR(1*INDEX(BBG_Data!$L$2:$L$4000,MATCH($A1293,BBG_Data!$K$2:$K$4000,0)),NA()))</f>
        <v/>
      </c>
      <c r="S1293" s="20">
        <f>IF(AND(ISNUMBER(B1293),ISNUMBER(Q1293),ISNUMBER(R1293)),(B1293-Q1293-R1293)*100,NA())</f>
        <v/>
      </c>
      <c r="T1293" s="20">
        <f>IF(AND(ISNUMBER(B1293),Settings!$B$17&gt;0),IF(ISNUMBER(INDEX($B:$B,Settings!$B$17)),(B1293-INDEX($B:$B,Settings!$B$17))*100,NA()),NA())</f>
        <v/>
      </c>
      <c r="U1293" s="20">
        <f>IF(AND(ISNUMBER(Q1293),Settings!$B$17&gt;0),IF(ISNUMBER(INDEX($Q:$Q,Settings!$B$17)),(Q1293-INDEX($Q:$Q,Settings!$B$17))*100,NA()),NA())</f>
        <v/>
      </c>
      <c r="V1293" s="20">
        <f>IF(AND(ISNUMBER(R1293),Settings!$B$17&gt;0),IF(ISNUMBER(INDEX($R:$R,Settings!$B$17)),(R1293-INDEX($R:$R,Settings!$B$17))*100,NA()),NA())</f>
        <v/>
      </c>
      <c r="W1293" s="20">
        <f>IF(AND(ISNUMBER(P1293),Settings!$B$17&gt;0),IF(ISNUMBER(INDEX($P:$P,Settings!$B$17)),P1293-INDEX($P:$P,Settings!$B$17),NA()),NA())</f>
        <v/>
      </c>
      <c r="X1293" s="19">
        <f>IF(NOT(ISNUMBER($A1293)),NA(),IF(OR($A1293&lt;MIN(DKW_10Y!$A$2:$A$2918),$A1293&gt;MAX(DKW_10Y!$A$2:$A$2918),Settings!$B$16&lt;MIN(DKW_10Y!$A$2:$A$2918)),NA(),(INDEX(DKW_10Y!$B$2:$B$2918,MATCH($A1293,DKW_10Y!$A$2:$A$2918,1))-INDEX(DKW_10Y!$B$2:$B$2918,MATCH(Settings!$B$16,DKW_10Y!$A$2:$A$2918,1)))*100))</f>
        <v/>
      </c>
      <c r="Y1293" s="19">
        <f>IF(NOT(ISNUMBER($A1293)),NA(),IF(OR($A1293&lt;MIN(DKW_10Y!$A$2:$A$2918),$A1293&gt;MAX(DKW_10Y!$A$2:$A$2918),Settings!$B$16&lt;MIN(DKW_10Y!$A$2:$A$2918)),NA(),(INDEX(DKW_10Y!$C$2:$C$2918,MATCH($A1293,DKW_10Y!$A$2:$A$2918,1))-INDEX(DKW_10Y!$C$2:$C$2918,MATCH(Settings!$B$16,DKW_10Y!$A$2:$A$2918,1)))*100))</f>
        <v/>
      </c>
      <c r="Z1293" s="19">
        <f>IF(NOT(ISNUMBER($A1293)),NA(),IF(OR($A1293&lt;MIN(DKW_10Y!$A$2:$A$2918),$A1293&gt;MAX(DKW_10Y!$A$2:$A$2918),Settings!$B$16&lt;MIN(DKW_10Y!$A$2:$A$2918)),NA(),(INDEX(DKW_10Y!$D$2:$D$2918,MATCH($A1293,DKW_10Y!$A$2:$A$2918,1))-INDEX(DKW_10Y!$D$2:$D$2918,MATCH(Settings!$B$16,DKW_10Y!$A$2:$A$2918,1)))*100))</f>
        <v/>
      </c>
      <c r="AA1293" s="19">
        <f>IF(NOT(ISNUMBER($A1293)),NA(),IF(OR($A1293&lt;MIN(DKW_10Y!$A$2:$A$2918),$A1293&gt;MAX(DKW_10Y!$A$2:$A$2918),Settings!$B$16&lt;MIN(DKW_10Y!$A$2:$A$2918)),NA(),(INDEX(DKW_10Y!$E$2:$E$2918,MATCH($A1293,DKW_10Y!$A$2:$A$2918,1))-INDEX(DKW_10Y!$E$2:$E$2918,MATCH(Settings!$B$16,DKW_10Y!$A$2:$A$2918,1)))*100))</f>
        <v/>
      </c>
      <c r="AB1293" s="19">
        <f>IF(NOT(ISNUMBER($A1293)),NA(),IF(OR($A1293&lt;MIN(DKW_10Y!$A$2:$A$2918),$A1293&gt;MAX(DKW_10Y!$A$2:$A$2918),Settings!$B$16&lt;MIN(DKW_10Y!$A$2:$A$2918)),NA(),(INDEX(DKW_10Y!$H$2:$H$2918,MATCH($A1293,DKW_10Y!$A$2:$A$2918,1))-INDEX(DKW_10Y!$H$2:$H$2918,MATCH(Settings!$B$16,DKW_10Y!$A$2:$A$2918,1)))*100))</f>
        <v/>
      </c>
      <c r="AC1293" s="18">
        <f>IF(NOT(ISNUMBER($A1293)),NA(),IFERROR(1*INDEX(BBG_Data!$N$2:$N$4000,MATCH($A1293,BBG_Data!$M$2:$M$4000,0)),NA()))</f>
        <v/>
      </c>
      <c r="AD1293" s="18">
        <f>IF(NOT(ISNUMBER($A1293)),NA(),IFERROR(1*INDEX(BBG_Data!$P$2:$P$4000,MATCH($A1293,BBG_Data!$O$2:$O$4000,0)),NA()))</f>
        <v/>
      </c>
      <c r="AE1293" s="18">
        <f>IF(NOT(ISNUMBER($A1293)),NA(),IFERROR(1*INDEX(BBG_Data!$R$2:$R$4000,MATCH($A1293,BBG_Data!$Q$2:$Q$4000,0)),NA()))</f>
        <v/>
      </c>
      <c r="AF1293" s="20">
        <f>IF(AND(ISNUMBER(B1293),ISNUMBER(AC1293)),(B1293-AC1293)*100,NA())</f>
        <v/>
      </c>
      <c r="AG1293" s="20">
        <f>IF(AND(ISNUMBER(AE1293),ISNUMBER(AD1293)),(AE1293-AD1293)*100,NA())</f>
        <v/>
      </c>
      <c r="AH1293" s="19">
        <f>IF(NOT(ISNUMBER($A1293)),NA(),IFERROR(INDEX(BBG_Data!$T$2:$T$4000,MATCH($A1293,BBG_Data!$S$2:$S$4000,0))*Settings!$B$25,NA()))</f>
        <v/>
      </c>
      <c r="AI1293" s="19">
        <f>IF(NOT(ISNUMBER($A1293)),NA(),IFERROR(INDEX(BBG_Data!$V$2:$V$4000,MATCH($A1293,BBG_Data!$U$2:$U$4000,0))*Settings!$B$25,NA()))</f>
        <v/>
      </c>
      <c r="AJ1293" s="19">
        <f>IF(NOT(ISNUMBER($A1293)),NA(),IFERROR(1*INDEX(BBG_Data!$X$2:$X$4000,MATCH($A1293,BBG_Data!$W$2:$W$4000,0)),NA()))</f>
        <v/>
      </c>
      <c r="AK1293" s="19">
        <f>IF(NOT(ISNUMBER($A1293)),NA(),IFERROR(1*INDEX(BBG_Data!$Z$2:$Z$4000,MATCH($A1293,BBG_Data!$Y$2:$Y$4000,0)),NA()))</f>
        <v/>
      </c>
    </row>
    <row r="1294">
      <c r="A1294" s="17">
        <f>IF(ISNUMBER(BBG_Data!A1294),BBG_Data!A1294,"")</f>
        <v/>
      </c>
      <c r="B1294" s="18">
        <f>IF(AND(ISNUMBER($A1294),ISNUMBER(BBG_Data!B1294)),BBG_Data!B1294,NA())</f>
        <v/>
      </c>
      <c r="C1294" s="18">
        <f>IF(NOT(ISNUMBER($A1294)),NA(),IFERROR(1*INDEX(BBG_Data!$D$2:$D$4000,MATCH($A1294,BBG_Data!$C$2:$C$4000,0)),NA()))</f>
        <v/>
      </c>
      <c r="D1294" s="19">
        <f>IF(NOT(ISNUMBER($A1294)),NA(),IFERROR(1*INDEX(BBG_Data!$F$2:$F$4000,MATCH($A1294,BBG_Data!$E$2:$E$4000,0)),NA()))</f>
        <v/>
      </c>
      <c r="E1294" s="19">
        <f>IF(NOT(ISNUMBER($A1294)),NA(),IFERROR(1*INDEX(BBG_Data!$H$2:$H$4000,MATCH($A1294,BBG_Data!$G$2:$G$4000,0)),NA()))</f>
        <v/>
      </c>
      <c r="F1294" s="20">
        <f>IF(AND(ISNUMBER(B1294),ISNUMBER(B1293)),IF(B1294=B1293,"",(B1294-B1293)*100),"")</f>
        <v/>
      </c>
      <c r="G1294" s="20">
        <f>IF(AND(ISNUMBER(C1294),ISNUMBER(C1293)),IF(C1294=C1293,"",(C1294-C1293)*100),"")</f>
        <v/>
      </c>
      <c r="H1294" s="20">
        <f>IF(OR(NOT(ISNUMBER($A1294)),ROW()-2&lt;Settings!$B$11),NA(),IF(COUNT(OFFSET(F1294,1-Settings!$B$11,0,Settings!$B$11,1))&lt;ROUNDUP(Settings!$B$11*Settings!$B$26,0),NA(),STDEV(OFFSET(F1294,1-Settings!$B$11,0,Settings!$B$11,1))*SQRT(Settings!$B$13)))</f>
        <v/>
      </c>
      <c r="I1294" s="20">
        <f>IF(OR(NOT(ISNUMBER($A1294)),ROW()-2&lt;Settings!$B$12),NA(),IF(COUNT(OFFSET(F1294,1-Settings!$B$12,0,Settings!$B$12,1))&lt;ROUNDUP(Settings!$B$12*Settings!$B$26,0),NA(),STDEV(OFFSET(F1294,1-Settings!$B$12,0,Settings!$B$12,1))*SQRT(Settings!$B$13)))</f>
        <v/>
      </c>
      <c r="J1294" s="20">
        <f>IF(OR(NOT(ISNUMBER($A1294)),ROW()-2&lt;Settings!$B$11),NA(),IF(COUNT(OFFSET(G1294,1-Settings!$B$11,0,Settings!$B$11,1))&lt;ROUNDUP(Settings!$B$11*Settings!$B$26,0),NA(),STDEV(OFFSET(G1294,1-Settings!$B$11,0,Settings!$B$11,1))*SQRT(Settings!$B$13)))</f>
        <v/>
      </c>
      <c r="K1294" s="20">
        <f>IF(OR(NOT(ISNUMBER($A1294)),ROW()-2&lt;Settings!$B$12),NA(),IF(COUNT(OFFSET(G1294,1-Settings!$B$12,0,Settings!$B$12,1))&lt;ROUNDUP(Settings!$B$12*Settings!$B$26,0),NA(),STDEV(OFFSET(G1294,1-Settings!$B$12,0,Settings!$B$12,1))*SQRT(Settings!$B$13)))</f>
        <v/>
      </c>
      <c r="L1294" s="20">
        <f>IF(AND(ISNUMBER(D1294),ISNUMBER(H1294)),D1294-H1294,NA())</f>
        <v/>
      </c>
      <c r="M1294" s="20">
        <f>IF(AND(ISNUMBER(E1294),ISNUMBER(K1294)),E1294-K1294,NA())</f>
        <v/>
      </c>
      <c r="N1294" s="20">
        <f>IF(NOT(ISNUMBER($A1294)),NA(),IF(COUNT(OFFSET(G1294,1,0,Settings!$B$12,1))&lt;ROUNDUP(Settings!$B$12*Settings!$B$26,0),NA(),STDEV(OFFSET(G1294,1,0,Settings!$B$12,1))*SQRT(Settings!$B$13)))</f>
        <v/>
      </c>
      <c r="O1294" s="20">
        <f>IF(AND(ISNUMBER(E1294),ISNUMBER(N1294)),E1294-N1294,NA())</f>
        <v/>
      </c>
      <c r="P1294" s="19">
        <f>IF(NOT(ISNUMBER($A1294)),NA(),IF(OR($A1294&lt;MIN(KW_TP!$A$2:$A$2501),$A1294&gt;MAX(KW_TP!$A$2:$A$2501)),NA(),INDEX(KW_TP!$C$2:$C$2501,MATCH($A1294,KW_TP!$A$2:$A$2501,1))))</f>
        <v/>
      </c>
      <c r="Q1294" s="18">
        <f>IF(NOT(ISNUMBER($A1294)),NA(),IFERROR(1*INDEX(BBG_Data!$J$2:$J$4000,MATCH($A1294,BBG_Data!$I$2:$I$4000,0)),NA()))</f>
        <v/>
      </c>
      <c r="R1294" s="18">
        <f>IF(NOT(ISNUMBER($A1294)),NA(),IFERROR(1*INDEX(BBG_Data!$L$2:$L$4000,MATCH($A1294,BBG_Data!$K$2:$K$4000,0)),NA()))</f>
        <v/>
      </c>
      <c r="S1294" s="20">
        <f>IF(AND(ISNUMBER(B1294),ISNUMBER(Q1294),ISNUMBER(R1294)),(B1294-Q1294-R1294)*100,NA())</f>
        <v/>
      </c>
      <c r="T1294" s="20">
        <f>IF(AND(ISNUMBER(B1294),Settings!$B$17&gt;0),IF(ISNUMBER(INDEX($B:$B,Settings!$B$17)),(B1294-INDEX($B:$B,Settings!$B$17))*100,NA()),NA())</f>
        <v/>
      </c>
      <c r="U1294" s="20">
        <f>IF(AND(ISNUMBER(Q1294),Settings!$B$17&gt;0),IF(ISNUMBER(INDEX($Q:$Q,Settings!$B$17)),(Q1294-INDEX($Q:$Q,Settings!$B$17))*100,NA()),NA())</f>
        <v/>
      </c>
      <c r="V1294" s="20">
        <f>IF(AND(ISNUMBER(R1294),Settings!$B$17&gt;0),IF(ISNUMBER(INDEX($R:$R,Settings!$B$17)),(R1294-INDEX($R:$R,Settings!$B$17))*100,NA()),NA())</f>
        <v/>
      </c>
      <c r="W1294" s="20">
        <f>IF(AND(ISNUMBER(P1294),Settings!$B$17&gt;0),IF(ISNUMBER(INDEX($P:$P,Settings!$B$17)),P1294-INDEX($P:$P,Settings!$B$17),NA()),NA())</f>
        <v/>
      </c>
      <c r="X1294" s="19">
        <f>IF(NOT(ISNUMBER($A1294)),NA(),IF(OR($A1294&lt;MIN(DKW_10Y!$A$2:$A$2918),$A1294&gt;MAX(DKW_10Y!$A$2:$A$2918),Settings!$B$16&lt;MIN(DKW_10Y!$A$2:$A$2918)),NA(),(INDEX(DKW_10Y!$B$2:$B$2918,MATCH($A1294,DKW_10Y!$A$2:$A$2918,1))-INDEX(DKW_10Y!$B$2:$B$2918,MATCH(Settings!$B$16,DKW_10Y!$A$2:$A$2918,1)))*100))</f>
        <v/>
      </c>
      <c r="Y1294" s="19">
        <f>IF(NOT(ISNUMBER($A1294)),NA(),IF(OR($A1294&lt;MIN(DKW_10Y!$A$2:$A$2918),$A1294&gt;MAX(DKW_10Y!$A$2:$A$2918),Settings!$B$16&lt;MIN(DKW_10Y!$A$2:$A$2918)),NA(),(INDEX(DKW_10Y!$C$2:$C$2918,MATCH($A1294,DKW_10Y!$A$2:$A$2918,1))-INDEX(DKW_10Y!$C$2:$C$2918,MATCH(Settings!$B$16,DKW_10Y!$A$2:$A$2918,1)))*100))</f>
        <v/>
      </c>
      <c r="Z1294" s="19">
        <f>IF(NOT(ISNUMBER($A1294)),NA(),IF(OR($A1294&lt;MIN(DKW_10Y!$A$2:$A$2918),$A1294&gt;MAX(DKW_10Y!$A$2:$A$2918),Settings!$B$16&lt;MIN(DKW_10Y!$A$2:$A$2918)),NA(),(INDEX(DKW_10Y!$D$2:$D$2918,MATCH($A1294,DKW_10Y!$A$2:$A$2918,1))-INDEX(DKW_10Y!$D$2:$D$2918,MATCH(Settings!$B$16,DKW_10Y!$A$2:$A$2918,1)))*100))</f>
        <v/>
      </c>
      <c r="AA1294" s="19">
        <f>IF(NOT(ISNUMBER($A1294)),NA(),IF(OR($A1294&lt;MIN(DKW_10Y!$A$2:$A$2918),$A1294&gt;MAX(DKW_10Y!$A$2:$A$2918),Settings!$B$16&lt;MIN(DKW_10Y!$A$2:$A$2918)),NA(),(INDEX(DKW_10Y!$E$2:$E$2918,MATCH($A1294,DKW_10Y!$A$2:$A$2918,1))-INDEX(DKW_10Y!$E$2:$E$2918,MATCH(Settings!$B$16,DKW_10Y!$A$2:$A$2918,1)))*100))</f>
        <v/>
      </c>
      <c r="AB1294" s="19">
        <f>IF(NOT(ISNUMBER($A1294)),NA(),IF(OR($A1294&lt;MIN(DKW_10Y!$A$2:$A$2918),$A1294&gt;MAX(DKW_10Y!$A$2:$A$2918),Settings!$B$16&lt;MIN(DKW_10Y!$A$2:$A$2918)),NA(),(INDEX(DKW_10Y!$H$2:$H$2918,MATCH($A1294,DKW_10Y!$A$2:$A$2918,1))-INDEX(DKW_10Y!$H$2:$H$2918,MATCH(Settings!$B$16,DKW_10Y!$A$2:$A$2918,1)))*100))</f>
        <v/>
      </c>
      <c r="AC1294" s="18">
        <f>IF(NOT(ISNUMBER($A1294)),NA(),IFERROR(1*INDEX(BBG_Data!$N$2:$N$4000,MATCH($A1294,BBG_Data!$M$2:$M$4000,0)),NA()))</f>
        <v/>
      </c>
      <c r="AD1294" s="18">
        <f>IF(NOT(ISNUMBER($A1294)),NA(),IFERROR(1*INDEX(BBG_Data!$P$2:$P$4000,MATCH($A1294,BBG_Data!$O$2:$O$4000,0)),NA()))</f>
        <v/>
      </c>
      <c r="AE1294" s="18">
        <f>IF(NOT(ISNUMBER($A1294)),NA(),IFERROR(1*INDEX(BBG_Data!$R$2:$R$4000,MATCH($A1294,BBG_Data!$Q$2:$Q$4000,0)),NA()))</f>
        <v/>
      </c>
      <c r="AF1294" s="20">
        <f>IF(AND(ISNUMBER(B1294),ISNUMBER(AC1294)),(B1294-AC1294)*100,NA())</f>
        <v/>
      </c>
      <c r="AG1294" s="20">
        <f>IF(AND(ISNUMBER(AE1294),ISNUMBER(AD1294)),(AE1294-AD1294)*100,NA())</f>
        <v/>
      </c>
      <c r="AH1294" s="19">
        <f>IF(NOT(ISNUMBER($A1294)),NA(),IFERROR(INDEX(BBG_Data!$T$2:$T$4000,MATCH($A1294,BBG_Data!$S$2:$S$4000,0))*Settings!$B$25,NA()))</f>
        <v/>
      </c>
      <c r="AI1294" s="19">
        <f>IF(NOT(ISNUMBER($A1294)),NA(),IFERROR(INDEX(BBG_Data!$V$2:$V$4000,MATCH($A1294,BBG_Data!$U$2:$U$4000,0))*Settings!$B$25,NA()))</f>
        <v/>
      </c>
      <c r="AJ1294" s="19">
        <f>IF(NOT(ISNUMBER($A1294)),NA(),IFERROR(1*INDEX(BBG_Data!$X$2:$X$4000,MATCH($A1294,BBG_Data!$W$2:$W$4000,0)),NA()))</f>
        <v/>
      </c>
      <c r="AK1294" s="19">
        <f>IF(NOT(ISNUMBER($A1294)),NA(),IFERROR(1*INDEX(BBG_Data!$Z$2:$Z$4000,MATCH($A1294,BBG_Data!$Y$2:$Y$4000,0)),NA()))</f>
        <v/>
      </c>
    </row>
    <row r="1295">
      <c r="A1295" s="17">
        <f>IF(ISNUMBER(BBG_Data!A1295),BBG_Data!A1295,"")</f>
        <v/>
      </c>
      <c r="B1295" s="18">
        <f>IF(AND(ISNUMBER($A1295),ISNUMBER(BBG_Data!B1295)),BBG_Data!B1295,NA())</f>
        <v/>
      </c>
      <c r="C1295" s="18">
        <f>IF(NOT(ISNUMBER($A1295)),NA(),IFERROR(1*INDEX(BBG_Data!$D$2:$D$4000,MATCH($A1295,BBG_Data!$C$2:$C$4000,0)),NA()))</f>
        <v/>
      </c>
      <c r="D1295" s="19">
        <f>IF(NOT(ISNUMBER($A1295)),NA(),IFERROR(1*INDEX(BBG_Data!$F$2:$F$4000,MATCH($A1295,BBG_Data!$E$2:$E$4000,0)),NA()))</f>
        <v/>
      </c>
      <c r="E1295" s="19">
        <f>IF(NOT(ISNUMBER($A1295)),NA(),IFERROR(1*INDEX(BBG_Data!$H$2:$H$4000,MATCH($A1295,BBG_Data!$G$2:$G$4000,0)),NA()))</f>
        <v/>
      </c>
      <c r="F1295" s="20">
        <f>IF(AND(ISNUMBER(B1295),ISNUMBER(B1294)),IF(B1295=B1294,"",(B1295-B1294)*100),"")</f>
        <v/>
      </c>
      <c r="G1295" s="20">
        <f>IF(AND(ISNUMBER(C1295),ISNUMBER(C1294)),IF(C1295=C1294,"",(C1295-C1294)*100),"")</f>
        <v/>
      </c>
      <c r="H1295" s="20">
        <f>IF(OR(NOT(ISNUMBER($A1295)),ROW()-2&lt;Settings!$B$11),NA(),IF(COUNT(OFFSET(F1295,1-Settings!$B$11,0,Settings!$B$11,1))&lt;ROUNDUP(Settings!$B$11*Settings!$B$26,0),NA(),STDEV(OFFSET(F1295,1-Settings!$B$11,0,Settings!$B$11,1))*SQRT(Settings!$B$13)))</f>
        <v/>
      </c>
      <c r="I1295" s="20">
        <f>IF(OR(NOT(ISNUMBER($A1295)),ROW()-2&lt;Settings!$B$12),NA(),IF(COUNT(OFFSET(F1295,1-Settings!$B$12,0,Settings!$B$12,1))&lt;ROUNDUP(Settings!$B$12*Settings!$B$26,0),NA(),STDEV(OFFSET(F1295,1-Settings!$B$12,0,Settings!$B$12,1))*SQRT(Settings!$B$13)))</f>
        <v/>
      </c>
      <c r="J1295" s="20">
        <f>IF(OR(NOT(ISNUMBER($A1295)),ROW()-2&lt;Settings!$B$11),NA(),IF(COUNT(OFFSET(G1295,1-Settings!$B$11,0,Settings!$B$11,1))&lt;ROUNDUP(Settings!$B$11*Settings!$B$26,0),NA(),STDEV(OFFSET(G1295,1-Settings!$B$11,0,Settings!$B$11,1))*SQRT(Settings!$B$13)))</f>
        <v/>
      </c>
      <c r="K1295" s="20">
        <f>IF(OR(NOT(ISNUMBER($A1295)),ROW()-2&lt;Settings!$B$12),NA(),IF(COUNT(OFFSET(G1295,1-Settings!$B$12,0,Settings!$B$12,1))&lt;ROUNDUP(Settings!$B$12*Settings!$B$26,0),NA(),STDEV(OFFSET(G1295,1-Settings!$B$12,0,Settings!$B$12,1))*SQRT(Settings!$B$13)))</f>
        <v/>
      </c>
      <c r="L1295" s="20">
        <f>IF(AND(ISNUMBER(D1295),ISNUMBER(H1295)),D1295-H1295,NA())</f>
        <v/>
      </c>
      <c r="M1295" s="20">
        <f>IF(AND(ISNUMBER(E1295),ISNUMBER(K1295)),E1295-K1295,NA())</f>
        <v/>
      </c>
      <c r="N1295" s="20">
        <f>IF(NOT(ISNUMBER($A1295)),NA(),IF(COUNT(OFFSET(G1295,1,0,Settings!$B$12,1))&lt;ROUNDUP(Settings!$B$12*Settings!$B$26,0),NA(),STDEV(OFFSET(G1295,1,0,Settings!$B$12,1))*SQRT(Settings!$B$13)))</f>
        <v/>
      </c>
      <c r="O1295" s="20">
        <f>IF(AND(ISNUMBER(E1295),ISNUMBER(N1295)),E1295-N1295,NA())</f>
        <v/>
      </c>
      <c r="P1295" s="19">
        <f>IF(NOT(ISNUMBER($A1295)),NA(),IF(OR($A1295&lt;MIN(KW_TP!$A$2:$A$2501),$A1295&gt;MAX(KW_TP!$A$2:$A$2501)),NA(),INDEX(KW_TP!$C$2:$C$2501,MATCH($A1295,KW_TP!$A$2:$A$2501,1))))</f>
        <v/>
      </c>
      <c r="Q1295" s="18">
        <f>IF(NOT(ISNUMBER($A1295)),NA(),IFERROR(1*INDEX(BBG_Data!$J$2:$J$4000,MATCH($A1295,BBG_Data!$I$2:$I$4000,0)),NA()))</f>
        <v/>
      </c>
      <c r="R1295" s="18">
        <f>IF(NOT(ISNUMBER($A1295)),NA(),IFERROR(1*INDEX(BBG_Data!$L$2:$L$4000,MATCH($A1295,BBG_Data!$K$2:$K$4000,0)),NA()))</f>
        <v/>
      </c>
      <c r="S1295" s="20">
        <f>IF(AND(ISNUMBER(B1295),ISNUMBER(Q1295),ISNUMBER(R1295)),(B1295-Q1295-R1295)*100,NA())</f>
        <v/>
      </c>
      <c r="T1295" s="20">
        <f>IF(AND(ISNUMBER(B1295),Settings!$B$17&gt;0),IF(ISNUMBER(INDEX($B:$B,Settings!$B$17)),(B1295-INDEX($B:$B,Settings!$B$17))*100,NA()),NA())</f>
        <v/>
      </c>
      <c r="U1295" s="20">
        <f>IF(AND(ISNUMBER(Q1295),Settings!$B$17&gt;0),IF(ISNUMBER(INDEX($Q:$Q,Settings!$B$17)),(Q1295-INDEX($Q:$Q,Settings!$B$17))*100,NA()),NA())</f>
        <v/>
      </c>
      <c r="V1295" s="20">
        <f>IF(AND(ISNUMBER(R1295),Settings!$B$17&gt;0),IF(ISNUMBER(INDEX($R:$R,Settings!$B$17)),(R1295-INDEX($R:$R,Settings!$B$17))*100,NA()),NA())</f>
        <v/>
      </c>
      <c r="W1295" s="20">
        <f>IF(AND(ISNUMBER(P1295),Settings!$B$17&gt;0),IF(ISNUMBER(INDEX($P:$P,Settings!$B$17)),P1295-INDEX($P:$P,Settings!$B$17),NA()),NA())</f>
        <v/>
      </c>
      <c r="X1295" s="19">
        <f>IF(NOT(ISNUMBER($A1295)),NA(),IF(OR($A1295&lt;MIN(DKW_10Y!$A$2:$A$2918),$A1295&gt;MAX(DKW_10Y!$A$2:$A$2918),Settings!$B$16&lt;MIN(DKW_10Y!$A$2:$A$2918)),NA(),(INDEX(DKW_10Y!$B$2:$B$2918,MATCH($A1295,DKW_10Y!$A$2:$A$2918,1))-INDEX(DKW_10Y!$B$2:$B$2918,MATCH(Settings!$B$16,DKW_10Y!$A$2:$A$2918,1)))*100))</f>
        <v/>
      </c>
      <c r="Y1295" s="19">
        <f>IF(NOT(ISNUMBER($A1295)),NA(),IF(OR($A1295&lt;MIN(DKW_10Y!$A$2:$A$2918),$A1295&gt;MAX(DKW_10Y!$A$2:$A$2918),Settings!$B$16&lt;MIN(DKW_10Y!$A$2:$A$2918)),NA(),(INDEX(DKW_10Y!$C$2:$C$2918,MATCH($A1295,DKW_10Y!$A$2:$A$2918,1))-INDEX(DKW_10Y!$C$2:$C$2918,MATCH(Settings!$B$16,DKW_10Y!$A$2:$A$2918,1)))*100))</f>
        <v/>
      </c>
      <c r="Z1295" s="19">
        <f>IF(NOT(ISNUMBER($A1295)),NA(),IF(OR($A1295&lt;MIN(DKW_10Y!$A$2:$A$2918),$A1295&gt;MAX(DKW_10Y!$A$2:$A$2918),Settings!$B$16&lt;MIN(DKW_10Y!$A$2:$A$2918)),NA(),(INDEX(DKW_10Y!$D$2:$D$2918,MATCH($A1295,DKW_10Y!$A$2:$A$2918,1))-INDEX(DKW_10Y!$D$2:$D$2918,MATCH(Settings!$B$16,DKW_10Y!$A$2:$A$2918,1)))*100))</f>
        <v/>
      </c>
      <c r="AA1295" s="19">
        <f>IF(NOT(ISNUMBER($A1295)),NA(),IF(OR($A1295&lt;MIN(DKW_10Y!$A$2:$A$2918),$A1295&gt;MAX(DKW_10Y!$A$2:$A$2918),Settings!$B$16&lt;MIN(DKW_10Y!$A$2:$A$2918)),NA(),(INDEX(DKW_10Y!$E$2:$E$2918,MATCH($A1295,DKW_10Y!$A$2:$A$2918,1))-INDEX(DKW_10Y!$E$2:$E$2918,MATCH(Settings!$B$16,DKW_10Y!$A$2:$A$2918,1)))*100))</f>
        <v/>
      </c>
      <c r="AB1295" s="19">
        <f>IF(NOT(ISNUMBER($A1295)),NA(),IF(OR($A1295&lt;MIN(DKW_10Y!$A$2:$A$2918),$A1295&gt;MAX(DKW_10Y!$A$2:$A$2918),Settings!$B$16&lt;MIN(DKW_10Y!$A$2:$A$2918)),NA(),(INDEX(DKW_10Y!$H$2:$H$2918,MATCH($A1295,DKW_10Y!$A$2:$A$2918,1))-INDEX(DKW_10Y!$H$2:$H$2918,MATCH(Settings!$B$16,DKW_10Y!$A$2:$A$2918,1)))*100))</f>
        <v/>
      </c>
      <c r="AC1295" s="18">
        <f>IF(NOT(ISNUMBER($A1295)),NA(),IFERROR(1*INDEX(BBG_Data!$N$2:$N$4000,MATCH($A1295,BBG_Data!$M$2:$M$4000,0)),NA()))</f>
        <v/>
      </c>
      <c r="AD1295" s="18">
        <f>IF(NOT(ISNUMBER($A1295)),NA(),IFERROR(1*INDEX(BBG_Data!$P$2:$P$4000,MATCH($A1295,BBG_Data!$O$2:$O$4000,0)),NA()))</f>
        <v/>
      </c>
      <c r="AE1295" s="18">
        <f>IF(NOT(ISNUMBER($A1295)),NA(),IFERROR(1*INDEX(BBG_Data!$R$2:$R$4000,MATCH($A1295,BBG_Data!$Q$2:$Q$4000,0)),NA()))</f>
        <v/>
      </c>
      <c r="AF1295" s="20">
        <f>IF(AND(ISNUMBER(B1295),ISNUMBER(AC1295)),(B1295-AC1295)*100,NA())</f>
        <v/>
      </c>
      <c r="AG1295" s="20">
        <f>IF(AND(ISNUMBER(AE1295),ISNUMBER(AD1295)),(AE1295-AD1295)*100,NA())</f>
        <v/>
      </c>
      <c r="AH1295" s="19">
        <f>IF(NOT(ISNUMBER($A1295)),NA(),IFERROR(INDEX(BBG_Data!$T$2:$T$4000,MATCH($A1295,BBG_Data!$S$2:$S$4000,0))*Settings!$B$25,NA()))</f>
        <v/>
      </c>
      <c r="AI1295" s="19">
        <f>IF(NOT(ISNUMBER($A1295)),NA(),IFERROR(INDEX(BBG_Data!$V$2:$V$4000,MATCH($A1295,BBG_Data!$U$2:$U$4000,0))*Settings!$B$25,NA()))</f>
        <v/>
      </c>
      <c r="AJ1295" s="19">
        <f>IF(NOT(ISNUMBER($A1295)),NA(),IFERROR(1*INDEX(BBG_Data!$X$2:$X$4000,MATCH($A1295,BBG_Data!$W$2:$W$4000,0)),NA()))</f>
        <v/>
      </c>
      <c r="AK1295" s="19">
        <f>IF(NOT(ISNUMBER($A1295)),NA(),IFERROR(1*INDEX(BBG_Data!$Z$2:$Z$4000,MATCH($A1295,BBG_Data!$Y$2:$Y$4000,0)),NA()))</f>
        <v/>
      </c>
    </row>
    <row r="1296">
      <c r="A1296" s="17">
        <f>IF(ISNUMBER(BBG_Data!A1296),BBG_Data!A1296,"")</f>
        <v/>
      </c>
      <c r="B1296" s="18">
        <f>IF(AND(ISNUMBER($A1296),ISNUMBER(BBG_Data!B1296)),BBG_Data!B1296,NA())</f>
        <v/>
      </c>
      <c r="C1296" s="18">
        <f>IF(NOT(ISNUMBER($A1296)),NA(),IFERROR(1*INDEX(BBG_Data!$D$2:$D$4000,MATCH($A1296,BBG_Data!$C$2:$C$4000,0)),NA()))</f>
        <v/>
      </c>
      <c r="D1296" s="19">
        <f>IF(NOT(ISNUMBER($A1296)),NA(),IFERROR(1*INDEX(BBG_Data!$F$2:$F$4000,MATCH($A1296,BBG_Data!$E$2:$E$4000,0)),NA()))</f>
        <v/>
      </c>
      <c r="E1296" s="19">
        <f>IF(NOT(ISNUMBER($A1296)),NA(),IFERROR(1*INDEX(BBG_Data!$H$2:$H$4000,MATCH($A1296,BBG_Data!$G$2:$G$4000,0)),NA()))</f>
        <v/>
      </c>
      <c r="F1296" s="20">
        <f>IF(AND(ISNUMBER(B1296),ISNUMBER(B1295)),IF(B1296=B1295,"",(B1296-B1295)*100),"")</f>
        <v/>
      </c>
      <c r="G1296" s="20">
        <f>IF(AND(ISNUMBER(C1296),ISNUMBER(C1295)),IF(C1296=C1295,"",(C1296-C1295)*100),"")</f>
        <v/>
      </c>
      <c r="H1296" s="20">
        <f>IF(OR(NOT(ISNUMBER($A1296)),ROW()-2&lt;Settings!$B$11),NA(),IF(COUNT(OFFSET(F1296,1-Settings!$B$11,0,Settings!$B$11,1))&lt;ROUNDUP(Settings!$B$11*Settings!$B$26,0),NA(),STDEV(OFFSET(F1296,1-Settings!$B$11,0,Settings!$B$11,1))*SQRT(Settings!$B$13)))</f>
        <v/>
      </c>
      <c r="I1296" s="20">
        <f>IF(OR(NOT(ISNUMBER($A1296)),ROW()-2&lt;Settings!$B$12),NA(),IF(COUNT(OFFSET(F1296,1-Settings!$B$12,0,Settings!$B$12,1))&lt;ROUNDUP(Settings!$B$12*Settings!$B$26,0),NA(),STDEV(OFFSET(F1296,1-Settings!$B$12,0,Settings!$B$12,1))*SQRT(Settings!$B$13)))</f>
        <v/>
      </c>
      <c r="J1296" s="20">
        <f>IF(OR(NOT(ISNUMBER($A1296)),ROW()-2&lt;Settings!$B$11),NA(),IF(COUNT(OFFSET(G1296,1-Settings!$B$11,0,Settings!$B$11,1))&lt;ROUNDUP(Settings!$B$11*Settings!$B$26,0),NA(),STDEV(OFFSET(G1296,1-Settings!$B$11,0,Settings!$B$11,1))*SQRT(Settings!$B$13)))</f>
        <v/>
      </c>
      <c r="K1296" s="20">
        <f>IF(OR(NOT(ISNUMBER($A1296)),ROW()-2&lt;Settings!$B$12),NA(),IF(COUNT(OFFSET(G1296,1-Settings!$B$12,0,Settings!$B$12,1))&lt;ROUNDUP(Settings!$B$12*Settings!$B$26,0),NA(),STDEV(OFFSET(G1296,1-Settings!$B$12,0,Settings!$B$12,1))*SQRT(Settings!$B$13)))</f>
        <v/>
      </c>
      <c r="L1296" s="20">
        <f>IF(AND(ISNUMBER(D1296),ISNUMBER(H1296)),D1296-H1296,NA())</f>
        <v/>
      </c>
      <c r="M1296" s="20">
        <f>IF(AND(ISNUMBER(E1296),ISNUMBER(K1296)),E1296-K1296,NA())</f>
        <v/>
      </c>
      <c r="N1296" s="20">
        <f>IF(NOT(ISNUMBER($A1296)),NA(),IF(COUNT(OFFSET(G1296,1,0,Settings!$B$12,1))&lt;ROUNDUP(Settings!$B$12*Settings!$B$26,0),NA(),STDEV(OFFSET(G1296,1,0,Settings!$B$12,1))*SQRT(Settings!$B$13)))</f>
        <v/>
      </c>
      <c r="O1296" s="20">
        <f>IF(AND(ISNUMBER(E1296),ISNUMBER(N1296)),E1296-N1296,NA())</f>
        <v/>
      </c>
      <c r="P1296" s="19">
        <f>IF(NOT(ISNUMBER($A1296)),NA(),IF(OR($A1296&lt;MIN(KW_TP!$A$2:$A$2501),$A1296&gt;MAX(KW_TP!$A$2:$A$2501)),NA(),INDEX(KW_TP!$C$2:$C$2501,MATCH($A1296,KW_TP!$A$2:$A$2501,1))))</f>
        <v/>
      </c>
      <c r="Q1296" s="18">
        <f>IF(NOT(ISNUMBER($A1296)),NA(),IFERROR(1*INDEX(BBG_Data!$J$2:$J$4000,MATCH($A1296,BBG_Data!$I$2:$I$4000,0)),NA()))</f>
        <v/>
      </c>
      <c r="R1296" s="18">
        <f>IF(NOT(ISNUMBER($A1296)),NA(),IFERROR(1*INDEX(BBG_Data!$L$2:$L$4000,MATCH($A1296,BBG_Data!$K$2:$K$4000,0)),NA()))</f>
        <v/>
      </c>
      <c r="S1296" s="20">
        <f>IF(AND(ISNUMBER(B1296),ISNUMBER(Q1296),ISNUMBER(R1296)),(B1296-Q1296-R1296)*100,NA())</f>
        <v/>
      </c>
      <c r="T1296" s="20">
        <f>IF(AND(ISNUMBER(B1296),Settings!$B$17&gt;0),IF(ISNUMBER(INDEX($B:$B,Settings!$B$17)),(B1296-INDEX($B:$B,Settings!$B$17))*100,NA()),NA())</f>
        <v/>
      </c>
      <c r="U1296" s="20">
        <f>IF(AND(ISNUMBER(Q1296),Settings!$B$17&gt;0),IF(ISNUMBER(INDEX($Q:$Q,Settings!$B$17)),(Q1296-INDEX($Q:$Q,Settings!$B$17))*100,NA()),NA())</f>
        <v/>
      </c>
      <c r="V1296" s="20">
        <f>IF(AND(ISNUMBER(R1296),Settings!$B$17&gt;0),IF(ISNUMBER(INDEX($R:$R,Settings!$B$17)),(R1296-INDEX($R:$R,Settings!$B$17))*100,NA()),NA())</f>
        <v/>
      </c>
      <c r="W1296" s="20">
        <f>IF(AND(ISNUMBER(P1296),Settings!$B$17&gt;0),IF(ISNUMBER(INDEX($P:$P,Settings!$B$17)),P1296-INDEX($P:$P,Settings!$B$17),NA()),NA())</f>
        <v/>
      </c>
      <c r="X1296" s="19">
        <f>IF(NOT(ISNUMBER($A1296)),NA(),IF(OR($A1296&lt;MIN(DKW_10Y!$A$2:$A$2918),$A1296&gt;MAX(DKW_10Y!$A$2:$A$2918),Settings!$B$16&lt;MIN(DKW_10Y!$A$2:$A$2918)),NA(),(INDEX(DKW_10Y!$B$2:$B$2918,MATCH($A1296,DKW_10Y!$A$2:$A$2918,1))-INDEX(DKW_10Y!$B$2:$B$2918,MATCH(Settings!$B$16,DKW_10Y!$A$2:$A$2918,1)))*100))</f>
        <v/>
      </c>
      <c r="Y1296" s="19">
        <f>IF(NOT(ISNUMBER($A1296)),NA(),IF(OR($A1296&lt;MIN(DKW_10Y!$A$2:$A$2918),$A1296&gt;MAX(DKW_10Y!$A$2:$A$2918),Settings!$B$16&lt;MIN(DKW_10Y!$A$2:$A$2918)),NA(),(INDEX(DKW_10Y!$C$2:$C$2918,MATCH($A1296,DKW_10Y!$A$2:$A$2918,1))-INDEX(DKW_10Y!$C$2:$C$2918,MATCH(Settings!$B$16,DKW_10Y!$A$2:$A$2918,1)))*100))</f>
        <v/>
      </c>
      <c r="Z1296" s="19">
        <f>IF(NOT(ISNUMBER($A1296)),NA(),IF(OR($A1296&lt;MIN(DKW_10Y!$A$2:$A$2918),$A1296&gt;MAX(DKW_10Y!$A$2:$A$2918),Settings!$B$16&lt;MIN(DKW_10Y!$A$2:$A$2918)),NA(),(INDEX(DKW_10Y!$D$2:$D$2918,MATCH($A1296,DKW_10Y!$A$2:$A$2918,1))-INDEX(DKW_10Y!$D$2:$D$2918,MATCH(Settings!$B$16,DKW_10Y!$A$2:$A$2918,1)))*100))</f>
        <v/>
      </c>
      <c r="AA1296" s="19">
        <f>IF(NOT(ISNUMBER($A1296)),NA(),IF(OR($A1296&lt;MIN(DKW_10Y!$A$2:$A$2918),$A1296&gt;MAX(DKW_10Y!$A$2:$A$2918),Settings!$B$16&lt;MIN(DKW_10Y!$A$2:$A$2918)),NA(),(INDEX(DKW_10Y!$E$2:$E$2918,MATCH($A1296,DKW_10Y!$A$2:$A$2918,1))-INDEX(DKW_10Y!$E$2:$E$2918,MATCH(Settings!$B$16,DKW_10Y!$A$2:$A$2918,1)))*100))</f>
        <v/>
      </c>
      <c r="AB1296" s="19">
        <f>IF(NOT(ISNUMBER($A1296)),NA(),IF(OR($A1296&lt;MIN(DKW_10Y!$A$2:$A$2918),$A1296&gt;MAX(DKW_10Y!$A$2:$A$2918),Settings!$B$16&lt;MIN(DKW_10Y!$A$2:$A$2918)),NA(),(INDEX(DKW_10Y!$H$2:$H$2918,MATCH($A1296,DKW_10Y!$A$2:$A$2918,1))-INDEX(DKW_10Y!$H$2:$H$2918,MATCH(Settings!$B$16,DKW_10Y!$A$2:$A$2918,1)))*100))</f>
        <v/>
      </c>
      <c r="AC1296" s="18">
        <f>IF(NOT(ISNUMBER($A1296)),NA(),IFERROR(1*INDEX(BBG_Data!$N$2:$N$4000,MATCH($A1296,BBG_Data!$M$2:$M$4000,0)),NA()))</f>
        <v/>
      </c>
      <c r="AD1296" s="18">
        <f>IF(NOT(ISNUMBER($A1296)),NA(),IFERROR(1*INDEX(BBG_Data!$P$2:$P$4000,MATCH($A1296,BBG_Data!$O$2:$O$4000,0)),NA()))</f>
        <v/>
      </c>
      <c r="AE1296" s="18">
        <f>IF(NOT(ISNUMBER($A1296)),NA(),IFERROR(1*INDEX(BBG_Data!$R$2:$R$4000,MATCH($A1296,BBG_Data!$Q$2:$Q$4000,0)),NA()))</f>
        <v/>
      </c>
      <c r="AF1296" s="20">
        <f>IF(AND(ISNUMBER(B1296),ISNUMBER(AC1296)),(B1296-AC1296)*100,NA())</f>
        <v/>
      </c>
      <c r="AG1296" s="20">
        <f>IF(AND(ISNUMBER(AE1296),ISNUMBER(AD1296)),(AE1296-AD1296)*100,NA())</f>
        <v/>
      </c>
      <c r="AH1296" s="19">
        <f>IF(NOT(ISNUMBER($A1296)),NA(),IFERROR(INDEX(BBG_Data!$T$2:$T$4000,MATCH($A1296,BBG_Data!$S$2:$S$4000,0))*Settings!$B$25,NA()))</f>
        <v/>
      </c>
      <c r="AI1296" s="19">
        <f>IF(NOT(ISNUMBER($A1296)),NA(),IFERROR(INDEX(BBG_Data!$V$2:$V$4000,MATCH($A1296,BBG_Data!$U$2:$U$4000,0))*Settings!$B$25,NA()))</f>
        <v/>
      </c>
      <c r="AJ1296" s="19">
        <f>IF(NOT(ISNUMBER($A1296)),NA(),IFERROR(1*INDEX(BBG_Data!$X$2:$X$4000,MATCH($A1296,BBG_Data!$W$2:$W$4000,0)),NA()))</f>
        <v/>
      </c>
      <c r="AK1296" s="19">
        <f>IF(NOT(ISNUMBER($A1296)),NA(),IFERROR(1*INDEX(BBG_Data!$Z$2:$Z$4000,MATCH($A1296,BBG_Data!$Y$2:$Y$4000,0)),NA()))</f>
        <v/>
      </c>
    </row>
    <row r="1297">
      <c r="A1297" s="17">
        <f>IF(ISNUMBER(BBG_Data!A1297),BBG_Data!A1297,"")</f>
        <v/>
      </c>
      <c r="B1297" s="18">
        <f>IF(AND(ISNUMBER($A1297),ISNUMBER(BBG_Data!B1297)),BBG_Data!B1297,NA())</f>
        <v/>
      </c>
      <c r="C1297" s="18">
        <f>IF(NOT(ISNUMBER($A1297)),NA(),IFERROR(1*INDEX(BBG_Data!$D$2:$D$4000,MATCH($A1297,BBG_Data!$C$2:$C$4000,0)),NA()))</f>
        <v/>
      </c>
      <c r="D1297" s="19">
        <f>IF(NOT(ISNUMBER($A1297)),NA(),IFERROR(1*INDEX(BBG_Data!$F$2:$F$4000,MATCH($A1297,BBG_Data!$E$2:$E$4000,0)),NA()))</f>
        <v/>
      </c>
      <c r="E1297" s="19">
        <f>IF(NOT(ISNUMBER($A1297)),NA(),IFERROR(1*INDEX(BBG_Data!$H$2:$H$4000,MATCH($A1297,BBG_Data!$G$2:$G$4000,0)),NA()))</f>
        <v/>
      </c>
      <c r="F1297" s="20">
        <f>IF(AND(ISNUMBER(B1297),ISNUMBER(B1296)),IF(B1297=B1296,"",(B1297-B1296)*100),"")</f>
        <v/>
      </c>
      <c r="G1297" s="20">
        <f>IF(AND(ISNUMBER(C1297),ISNUMBER(C1296)),IF(C1297=C1296,"",(C1297-C1296)*100),"")</f>
        <v/>
      </c>
      <c r="H1297" s="20">
        <f>IF(OR(NOT(ISNUMBER($A1297)),ROW()-2&lt;Settings!$B$11),NA(),IF(COUNT(OFFSET(F1297,1-Settings!$B$11,0,Settings!$B$11,1))&lt;ROUNDUP(Settings!$B$11*Settings!$B$26,0),NA(),STDEV(OFFSET(F1297,1-Settings!$B$11,0,Settings!$B$11,1))*SQRT(Settings!$B$13)))</f>
        <v/>
      </c>
      <c r="I1297" s="20">
        <f>IF(OR(NOT(ISNUMBER($A1297)),ROW()-2&lt;Settings!$B$12),NA(),IF(COUNT(OFFSET(F1297,1-Settings!$B$12,0,Settings!$B$12,1))&lt;ROUNDUP(Settings!$B$12*Settings!$B$26,0),NA(),STDEV(OFFSET(F1297,1-Settings!$B$12,0,Settings!$B$12,1))*SQRT(Settings!$B$13)))</f>
        <v/>
      </c>
      <c r="J1297" s="20">
        <f>IF(OR(NOT(ISNUMBER($A1297)),ROW()-2&lt;Settings!$B$11),NA(),IF(COUNT(OFFSET(G1297,1-Settings!$B$11,0,Settings!$B$11,1))&lt;ROUNDUP(Settings!$B$11*Settings!$B$26,0),NA(),STDEV(OFFSET(G1297,1-Settings!$B$11,0,Settings!$B$11,1))*SQRT(Settings!$B$13)))</f>
        <v/>
      </c>
      <c r="K1297" s="20">
        <f>IF(OR(NOT(ISNUMBER($A1297)),ROW()-2&lt;Settings!$B$12),NA(),IF(COUNT(OFFSET(G1297,1-Settings!$B$12,0,Settings!$B$12,1))&lt;ROUNDUP(Settings!$B$12*Settings!$B$26,0),NA(),STDEV(OFFSET(G1297,1-Settings!$B$12,0,Settings!$B$12,1))*SQRT(Settings!$B$13)))</f>
        <v/>
      </c>
      <c r="L1297" s="20">
        <f>IF(AND(ISNUMBER(D1297),ISNUMBER(H1297)),D1297-H1297,NA())</f>
        <v/>
      </c>
      <c r="M1297" s="20">
        <f>IF(AND(ISNUMBER(E1297),ISNUMBER(K1297)),E1297-K1297,NA())</f>
        <v/>
      </c>
      <c r="N1297" s="20">
        <f>IF(NOT(ISNUMBER($A1297)),NA(),IF(COUNT(OFFSET(G1297,1,0,Settings!$B$12,1))&lt;ROUNDUP(Settings!$B$12*Settings!$B$26,0),NA(),STDEV(OFFSET(G1297,1,0,Settings!$B$12,1))*SQRT(Settings!$B$13)))</f>
        <v/>
      </c>
      <c r="O1297" s="20">
        <f>IF(AND(ISNUMBER(E1297),ISNUMBER(N1297)),E1297-N1297,NA())</f>
        <v/>
      </c>
      <c r="P1297" s="19">
        <f>IF(NOT(ISNUMBER($A1297)),NA(),IF(OR($A1297&lt;MIN(KW_TP!$A$2:$A$2501),$A1297&gt;MAX(KW_TP!$A$2:$A$2501)),NA(),INDEX(KW_TP!$C$2:$C$2501,MATCH($A1297,KW_TP!$A$2:$A$2501,1))))</f>
        <v/>
      </c>
      <c r="Q1297" s="18">
        <f>IF(NOT(ISNUMBER($A1297)),NA(),IFERROR(1*INDEX(BBG_Data!$J$2:$J$4000,MATCH($A1297,BBG_Data!$I$2:$I$4000,0)),NA()))</f>
        <v/>
      </c>
      <c r="R1297" s="18">
        <f>IF(NOT(ISNUMBER($A1297)),NA(),IFERROR(1*INDEX(BBG_Data!$L$2:$L$4000,MATCH($A1297,BBG_Data!$K$2:$K$4000,0)),NA()))</f>
        <v/>
      </c>
      <c r="S1297" s="20">
        <f>IF(AND(ISNUMBER(B1297),ISNUMBER(Q1297),ISNUMBER(R1297)),(B1297-Q1297-R1297)*100,NA())</f>
        <v/>
      </c>
      <c r="T1297" s="20">
        <f>IF(AND(ISNUMBER(B1297),Settings!$B$17&gt;0),IF(ISNUMBER(INDEX($B:$B,Settings!$B$17)),(B1297-INDEX($B:$B,Settings!$B$17))*100,NA()),NA())</f>
        <v/>
      </c>
      <c r="U1297" s="20">
        <f>IF(AND(ISNUMBER(Q1297),Settings!$B$17&gt;0),IF(ISNUMBER(INDEX($Q:$Q,Settings!$B$17)),(Q1297-INDEX($Q:$Q,Settings!$B$17))*100,NA()),NA())</f>
        <v/>
      </c>
      <c r="V1297" s="20">
        <f>IF(AND(ISNUMBER(R1297),Settings!$B$17&gt;0),IF(ISNUMBER(INDEX($R:$R,Settings!$B$17)),(R1297-INDEX($R:$R,Settings!$B$17))*100,NA()),NA())</f>
        <v/>
      </c>
      <c r="W1297" s="20">
        <f>IF(AND(ISNUMBER(P1297),Settings!$B$17&gt;0),IF(ISNUMBER(INDEX($P:$P,Settings!$B$17)),P1297-INDEX($P:$P,Settings!$B$17),NA()),NA())</f>
        <v/>
      </c>
      <c r="X1297" s="19">
        <f>IF(NOT(ISNUMBER($A1297)),NA(),IF(OR($A1297&lt;MIN(DKW_10Y!$A$2:$A$2918),$A1297&gt;MAX(DKW_10Y!$A$2:$A$2918),Settings!$B$16&lt;MIN(DKW_10Y!$A$2:$A$2918)),NA(),(INDEX(DKW_10Y!$B$2:$B$2918,MATCH($A1297,DKW_10Y!$A$2:$A$2918,1))-INDEX(DKW_10Y!$B$2:$B$2918,MATCH(Settings!$B$16,DKW_10Y!$A$2:$A$2918,1)))*100))</f>
        <v/>
      </c>
      <c r="Y1297" s="19">
        <f>IF(NOT(ISNUMBER($A1297)),NA(),IF(OR($A1297&lt;MIN(DKW_10Y!$A$2:$A$2918),$A1297&gt;MAX(DKW_10Y!$A$2:$A$2918),Settings!$B$16&lt;MIN(DKW_10Y!$A$2:$A$2918)),NA(),(INDEX(DKW_10Y!$C$2:$C$2918,MATCH($A1297,DKW_10Y!$A$2:$A$2918,1))-INDEX(DKW_10Y!$C$2:$C$2918,MATCH(Settings!$B$16,DKW_10Y!$A$2:$A$2918,1)))*100))</f>
        <v/>
      </c>
      <c r="Z1297" s="19">
        <f>IF(NOT(ISNUMBER($A1297)),NA(),IF(OR($A1297&lt;MIN(DKW_10Y!$A$2:$A$2918),$A1297&gt;MAX(DKW_10Y!$A$2:$A$2918),Settings!$B$16&lt;MIN(DKW_10Y!$A$2:$A$2918)),NA(),(INDEX(DKW_10Y!$D$2:$D$2918,MATCH($A1297,DKW_10Y!$A$2:$A$2918,1))-INDEX(DKW_10Y!$D$2:$D$2918,MATCH(Settings!$B$16,DKW_10Y!$A$2:$A$2918,1)))*100))</f>
        <v/>
      </c>
      <c r="AA1297" s="19">
        <f>IF(NOT(ISNUMBER($A1297)),NA(),IF(OR($A1297&lt;MIN(DKW_10Y!$A$2:$A$2918),$A1297&gt;MAX(DKW_10Y!$A$2:$A$2918),Settings!$B$16&lt;MIN(DKW_10Y!$A$2:$A$2918)),NA(),(INDEX(DKW_10Y!$E$2:$E$2918,MATCH($A1297,DKW_10Y!$A$2:$A$2918,1))-INDEX(DKW_10Y!$E$2:$E$2918,MATCH(Settings!$B$16,DKW_10Y!$A$2:$A$2918,1)))*100))</f>
        <v/>
      </c>
      <c r="AB1297" s="19">
        <f>IF(NOT(ISNUMBER($A1297)),NA(),IF(OR($A1297&lt;MIN(DKW_10Y!$A$2:$A$2918),$A1297&gt;MAX(DKW_10Y!$A$2:$A$2918),Settings!$B$16&lt;MIN(DKW_10Y!$A$2:$A$2918)),NA(),(INDEX(DKW_10Y!$H$2:$H$2918,MATCH($A1297,DKW_10Y!$A$2:$A$2918,1))-INDEX(DKW_10Y!$H$2:$H$2918,MATCH(Settings!$B$16,DKW_10Y!$A$2:$A$2918,1)))*100))</f>
        <v/>
      </c>
      <c r="AC1297" s="18">
        <f>IF(NOT(ISNUMBER($A1297)),NA(),IFERROR(1*INDEX(BBG_Data!$N$2:$N$4000,MATCH($A1297,BBG_Data!$M$2:$M$4000,0)),NA()))</f>
        <v/>
      </c>
      <c r="AD1297" s="18">
        <f>IF(NOT(ISNUMBER($A1297)),NA(),IFERROR(1*INDEX(BBG_Data!$P$2:$P$4000,MATCH($A1297,BBG_Data!$O$2:$O$4000,0)),NA()))</f>
        <v/>
      </c>
      <c r="AE1297" s="18">
        <f>IF(NOT(ISNUMBER($A1297)),NA(),IFERROR(1*INDEX(BBG_Data!$R$2:$R$4000,MATCH($A1297,BBG_Data!$Q$2:$Q$4000,0)),NA()))</f>
        <v/>
      </c>
      <c r="AF1297" s="20">
        <f>IF(AND(ISNUMBER(B1297),ISNUMBER(AC1297)),(B1297-AC1297)*100,NA())</f>
        <v/>
      </c>
      <c r="AG1297" s="20">
        <f>IF(AND(ISNUMBER(AE1297),ISNUMBER(AD1297)),(AE1297-AD1297)*100,NA())</f>
        <v/>
      </c>
      <c r="AH1297" s="19">
        <f>IF(NOT(ISNUMBER($A1297)),NA(),IFERROR(INDEX(BBG_Data!$T$2:$T$4000,MATCH($A1297,BBG_Data!$S$2:$S$4000,0))*Settings!$B$25,NA()))</f>
        <v/>
      </c>
      <c r="AI1297" s="19">
        <f>IF(NOT(ISNUMBER($A1297)),NA(),IFERROR(INDEX(BBG_Data!$V$2:$V$4000,MATCH($A1297,BBG_Data!$U$2:$U$4000,0))*Settings!$B$25,NA()))</f>
        <v/>
      </c>
      <c r="AJ1297" s="19">
        <f>IF(NOT(ISNUMBER($A1297)),NA(),IFERROR(1*INDEX(BBG_Data!$X$2:$X$4000,MATCH($A1297,BBG_Data!$W$2:$W$4000,0)),NA()))</f>
        <v/>
      </c>
      <c r="AK1297" s="19">
        <f>IF(NOT(ISNUMBER($A1297)),NA(),IFERROR(1*INDEX(BBG_Data!$Z$2:$Z$4000,MATCH($A1297,BBG_Data!$Y$2:$Y$4000,0)),NA()))</f>
        <v/>
      </c>
    </row>
    <row r="1298">
      <c r="A1298" s="17">
        <f>IF(ISNUMBER(BBG_Data!A1298),BBG_Data!A1298,"")</f>
        <v/>
      </c>
      <c r="B1298" s="18">
        <f>IF(AND(ISNUMBER($A1298),ISNUMBER(BBG_Data!B1298)),BBG_Data!B1298,NA())</f>
        <v/>
      </c>
      <c r="C1298" s="18">
        <f>IF(NOT(ISNUMBER($A1298)),NA(),IFERROR(1*INDEX(BBG_Data!$D$2:$D$4000,MATCH($A1298,BBG_Data!$C$2:$C$4000,0)),NA()))</f>
        <v/>
      </c>
      <c r="D1298" s="19">
        <f>IF(NOT(ISNUMBER($A1298)),NA(),IFERROR(1*INDEX(BBG_Data!$F$2:$F$4000,MATCH($A1298,BBG_Data!$E$2:$E$4000,0)),NA()))</f>
        <v/>
      </c>
      <c r="E1298" s="19">
        <f>IF(NOT(ISNUMBER($A1298)),NA(),IFERROR(1*INDEX(BBG_Data!$H$2:$H$4000,MATCH($A1298,BBG_Data!$G$2:$G$4000,0)),NA()))</f>
        <v/>
      </c>
      <c r="F1298" s="20">
        <f>IF(AND(ISNUMBER(B1298),ISNUMBER(B1297)),IF(B1298=B1297,"",(B1298-B1297)*100),"")</f>
        <v/>
      </c>
      <c r="G1298" s="20">
        <f>IF(AND(ISNUMBER(C1298),ISNUMBER(C1297)),IF(C1298=C1297,"",(C1298-C1297)*100),"")</f>
        <v/>
      </c>
      <c r="H1298" s="20">
        <f>IF(OR(NOT(ISNUMBER($A1298)),ROW()-2&lt;Settings!$B$11),NA(),IF(COUNT(OFFSET(F1298,1-Settings!$B$11,0,Settings!$B$11,1))&lt;ROUNDUP(Settings!$B$11*Settings!$B$26,0),NA(),STDEV(OFFSET(F1298,1-Settings!$B$11,0,Settings!$B$11,1))*SQRT(Settings!$B$13)))</f>
        <v/>
      </c>
      <c r="I1298" s="20">
        <f>IF(OR(NOT(ISNUMBER($A1298)),ROW()-2&lt;Settings!$B$12),NA(),IF(COUNT(OFFSET(F1298,1-Settings!$B$12,0,Settings!$B$12,1))&lt;ROUNDUP(Settings!$B$12*Settings!$B$26,0),NA(),STDEV(OFFSET(F1298,1-Settings!$B$12,0,Settings!$B$12,1))*SQRT(Settings!$B$13)))</f>
        <v/>
      </c>
      <c r="J1298" s="20">
        <f>IF(OR(NOT(ISNUMBER($A1298)),ROW()-2&lt;Settings!$B$11),NA(),IF(COUNT(OFFSET(G1298,1-Settings!$B$11,0,Settings!$B$11,1))&lt;ROUNDUP(Settings!$B$11*Settings!$B$26,0),NA(),STDEV(OFFSET(G1298,1-Settings!$B$11,0,Settings!$B$11,1))*SQRT(Settings!$B$13)))</f>
        <v/>
      </c>
      <c r="K1298" s="20">
        <f>IF(OR(NOT(ISNUMBER($A1298)),ROW()-2&lt;Settings!$B$12),NA(),IF(COUNT(OFFSET(G1298,1-Settings!$B$12,0,Settings!$B$12,1))&lt;ROUNDUP(Settings!$B$12*Settings!$B$26,0),NA(),STDEV(OFFSET(G1298,1-Settings!$B$12,0,Settings!$B$12,1))*SQRT(Settings!$B$13)))</f>
        <v/>
      </c>
      <c r="L1298" s="20">
        <f>IF(AND(ISNUMBER(D1298),ISNUMBER(H1298)),D1298-H1298,NA())</f>
        <v/>
      </c>
      <c r="M1298" s="20">
        <f>IF(AND(ISNUMBER(E1298),ISNUMBER(K1298)),E1298-K1298,NA())</f>
        <v/>
      </c>
      <c r="N1298" s="20">
        <f>IF(NOT(ISNUMBER($A1298)),NA(),IF(COUNT(OFFSET(G1298,1,0,Settings!$B$12,1))&lt;ROUNDUP(Settings!$B$12*Settings!$B$26,0),NA(),STDEV(OFFSET(G1298,1,0,Settings!$B$12,1))*SQRT(Settings!$B$13)))</f>
        <v/>
      </c>
      <c r="O1298" s="20">
        <f>IF(AND(ISNUMBER(E1298),ISNUMBER(N1298)),E1298-N1298,NA())</f>
        <v/>
      </c>
      <c r="P1298" s="19">
        <f>IF(NOT(ISNUMBER($A1298)),NA(),IF(OR($A1298&lt;MIN(KW_TP!$A$2:$A$2501),$A1298&gt;MAX(KW_TP!$A$2:$A$2501)),NA(),INDEX(KW_TP!$C$2:$C$2501,MATCH($A1298,KW_TP!$A$2:$A$2501,1))))</f>
        <v/>
      </c>
      <c r="Q1298" s="18">
        <f>IF(NOT(ISNUMBER($A1298)),NA(),IFERROR(1*INDEX(BBG_Data!$J$2:$J$4000,MATCH($A1298,BBG_Data!$I$2:$I$4000,0)),NA()))</f>
        <v/>
      </c>
      <c r="R1298" s="18">
        <f>IF(NOT(ISNUMBER($A1298)),NA(),IFERROR(1*INDEX(BBG_Data!$L$2:$L$4000,MATCH($A1298,BBG_Data!$K$2:$K$4000,0)),NA()))</f>
        <v/>
      </c>
      <c r="S1298" s="20">
        <f>IF(AND(ISNUMBER(B1298),ISNUMBER(Q1298),ISNUMBER(R1298)),(B1298-Q1298-R1298)*100,NA())</f>
        <v/>
      </c>
      <c r="T1298" s="20">
        <f>IF(AND(ISNUMBER(B1298),Settings!$B$17&gt;0),IF(ISNUMBER(INDEX($B:$B,Settings!$B$17)),(B1298-INDEX($B:$B,Settings!$B$17))*100,NA()),NA())</f>
        <v/>
      </c>
      <c r="U1298" s="20">
        <f>IF(AND(ISNUMBER(Q1298),Settings!$B$17&gt;0),IF(ISNUMBER(INDEX($Q:$Q,Settings!$B$17)),(Q1298-INDEX($Q:$Q,Settings!$B$17))*100,NA()),NA())</f>
        <v/>
      </c>
      <c r="V1298" s="20">
        <f>IF(AND(ISNUMBER(R1298),Settings!$B$17&gt;0),IF(ISNUMBER(INDEX($R:$R,Settings!$B$17)),(R1298-INDEX($R:$R,Settings!$B$17))*100,NA()),NA())</f>
        <v/>
      </c>
      <c r="W1298" s="20">
        <f>IF(AND(ISNUMBER(P1298),Settings!$B$17&gt;0),IF(ISNUMBER(INDEX($P:$P,Settings!$B$17)),P1298-INDEX($P:$P,Settings!$B$17),NA()),NA())</f>
        <v/>
      </c>
      <c r="X1298" s="19">
        <f>IF(NOT(ISNUMBER($A1298)),NA(),IF(OR($A1298&lt;MIN(DKW_10Y!$A$2:$A$2918),$A1298&gt;MAX(DKW_10Y!$A$2:$A$2918),Settings!$B$16&lt;MIN(DKW_10Y!$A$2:$A$2918)),NA(),(INDEX(DKW_10Y!$B$2:$B$2918,MATCH($A1298,DKW_10Y!$A$2:$A$2918,1))-INDEX(DKW_10Y!$B$2:$B$2918,MATCH(Settings!$B$16,DKW_10Y!$A$2:$A$2918,1)))*100))</f>
        <v/>
      </c>
      <c r="Y1298" s="19">
        <f>IF(NOT(ISNUMBER($A1298)),NA(),IF(OR($A1298&lt;MIN(DKW_10Y!$A$2:$A$2918),$A1298&gt;MAX(DKW_10Y!$A$2:$A$2918),Settings!$B$16&lt;MIN(DKW_10Y!$A$2:$A$2918)),NA(),(INDEX(DKW_10Y!$C$2:$C$2918,MATCH($A1298,DKW_10Y!$A$2:$A$2918,1))-INDEX(DKW_10Y!$C$2:$C$2918,MATCH(Settings!$B$16,DKW_10Y!$A$2:$A$2918,1)))*100))</f>
        <v/>
      </c>
      <c r="Z1298" s="19">
        <f>IF(NOT(ISNUMBER($A1298)),NA(),IF(OR($A1298&lt;MIN(DKW_10Y!$A$2:$A$2918),$A1298&gt;MAX(DKW_10Y!$A$2:$A$2918),Settings!$B$16&lt;MIN(DKW_10Y!$A$2:$A$2918)),NA(),(INDEX(DKW_10Y!$D$2:$D$2918,MATCH($A1298,DKW_10Y!$A$2:$A$2918,1))-INDEX(DKW_10Y!$D$2:$D$2918,MATCH(Settings!$B$16,DKW_10Y!$A$2:$A$2918,1)))*100))</f>
        <v/>
      </c>
      <c r="AA1298" s="19">
        <f>IF(NOT(ISNUMBER($A1298)),NA(),IF(OR($A1298&lt;MIN(DKW_10Y!$A$2:$A$2918),$A1298&gt;MAX(DKW_10Y!$A$2:$A$2918),Settings!$B$16&lt;MIN(DKW_10Y!$A$2:$A$2918)),NA(),(INDEX(DKW_10Y!$E$2:$E$2918,MATCH($A1298,DKW_10Y!$A$2:$A$2918,1))-INDEX(DKW_10Y!$E$2:$E$2918,MATCH(Settings!$B$16,DKW_10Y!$A$2:$A$2918,1)))*100))</f>
        <v/>
      </c>
      <c r="AB1298" s="19">
        <f>IF(NOT(ISNUMBER($A1298)),NA(),IF(OR($A1298&lt;MIN(DKW_10Y!$A$2:$A$2918),$A1298&gt;MAX(DKW_10Y!$A$2:$A$2918),Settings!$B$16&lt;MIN(DKW_10Y!$A$2:$A$2918)),NA(),(INDEX(DKW_10Y!$H$2:$H$2918,MATCH($A1298,DKW_10Y!$A$2:$A$2918,1))-INDEX(DKW_10Y!$H$2:$H$2918,MATCH(Settings!$B$16,DKW_10Y!$A$2:$A$2918,1)))*100))</f>
        <v/>
      </c>
      <c r="AC1298" s="18">
        <f>IF(NOT(ISNUMBER($A1298)),NA(),IFERROR(1*INDEX(BBG_Data!$N$2:$N$4000,MATCH($A1298,BBG_Data!$M$2:$M$4000,0)),NA()))</f>
        <v/>
      </c>
      <c r="AD1298" s="18">
        <f>IF(NOT(ISNUMBER($A1298)),NA(),IFERROR(1*INDEX(BBG_Data!$P$2:$P$4000,MATCH($A1298,BBG_Data!$O$2:$O$4000,0)),NA()))</f>
        <v/>
      </c>
      <c r="AE1298" s="18">
        <f>IF(NOT(ISNUMBER($A1298)),NA(),IFERROR(1*INDEX(BBG_Data!$R$2:$R$4000,MATCH($A1298,BBG_Data!$Q$2:$Q$4000,0)),NA()))</f>
        <v/>
      </c>
      <c r="AF1298" s="20">
        <f>IF(AND(ISNUMBER(B1298),ISNUMBER(AC1298)),(B1298-AC1298)*100,NA())</f>
        <v/>
      </c>
      <c r="AG1298" s="20">
        <f>IF(AND(ISNUMBER(AE1298),ISNUMBER(AD1298)),(AE1298-AD1298)*100,NA())</f>
        <v/>
      </c>
      <c r="AH1298" s="19">
        <f>IF(NOT(ISNUMBER($A1298)),NA(),IFERROR(INDEX(BBG_Data!$T$2:$T$4000,MATCH($A1298,BBG_Data!$S$2:$S$4000,0))*Settings!$B$25,NA()))</f>
        <v/>
      </c>
      <c r="AI1298" s="19">
        <f>IF(NOT(ISNUMBER($A1298)),NA(),IFERROR(INDEX(BBG_Data!$V$2:$V$4000,MATCH($A1298,BBG_Data!$U$2:$U$4000,0))*Settings!$B$25,NA()))</f>
        <v/>
      </c>
      <c r="AJ1298" s="19">
        <f>IF(NOT(ISNUMBER($A1298)),NA(),IFERROR(1*INDEX(BBG_Data!$X$2:$X$4000,MATCH($A1298,BBG_Data!$W$2:$W$4000,0)),NA()))</f>
        <v/>
      </c>
      <c r="AK1298" s="19">
        <f>IF(NOT(ISNUMBER($A1298)),NA(),IFERROR(1*INDEX(BBG_Data!$Z$2:$Z$4000,MATCH($A1298,BBG_Data!$Y$2:$Y$4000,0)),NA()))</f>
        <v/>
      </c>
    </row>
    <row r="1299">
      <c r="A1299" s="17">
        <f>IF(ISNUMBER(BBG_Data!A1299),BBG_Data!A1299,"")</f>
        <v/>
      </c>
      <c r="B1299" s="18">
        <f>IF(AND(ISNUMBER($A1299),ISNUMBER(BBG_Data!B1299)),BBG_Data!B1299,NA())</f>
        <v/>
      </c>
      <c r="C1299" s="18">
        <f>IF(NOT(ISNUMBER($A1299)),NA(),IFERROR(1*INDEX(BBG_Data!$D$2:$D$4000,MATCH($A1299,BBG_Data!$C$2:$C$4000,0)),NA()))</f>
        <v/>
      </c>
      <c r="D1299" s="19">
        <f>IF(NOT(ISNUMBER($A1299)),NA(),IFERROR(1*INDEX(BBG_Data!$F$2:$F$4000,MATCH($A1299,BBG_Data!$E$2:$E$4000,0)),NA()))</f>
        <v/>
      </c>
      <c r="E1299" s="19">
        <f>IF(NOT(ISNUMBER($A1299)),NA(),IFERROR(1*INDEX(BBG_Data!$H$2:$H$4000,MATCH($A1299,BBG_Data!$G$2:$G$4000,0)),NA()))</f>
        <v/>
      </c>
      <c r="F1299" s="20">
        <f>IF(AND(ISNUMBER(B1299),ISNUMBER(B1298)),IF(B1299=B1298,"",(B1299-B1298)*100),"")</f>
        <v/>
      </c>
      <c r="G1299" s="20">
        <f>IF(AND(ISNUMBER(C1299),ISNUMBER(C1298)),IF(C1299=C1298,"",(C1299-C1298)*100),"")</f>
        <v/>
      </c>
      <c r="H1299" s="20">
        <f>IF(OR(NOT(ISNUMBER($A1299)),ROW()-2&lt;Settings!$B$11),NA(),IF(COUNT(OFFSET(F1299,1-Settings!$B$11,0,Settings!$B$11,1))&lt;ROUNDUP(Settings!$B$11*Settings!$B$26,0),NA(),STDEV(OFFSET(F1299,1-Settings!$B$11,0,Settings!$B$11,1))*SQRT(Settings!$B$13)))</f>
        <v/>
      </c>
      <c r="I1299" s="20">
        <f>IF(OR(NOT(ISNUMBER($A1299)),ROW()-2&lt;Settings!$B$12),NA(),IF(COUNT(OFFSET(F1299,1-Settings!$B$12,0,Settings!$B$12,1))&lt;ROUNDUP(Settings!$B$12*Settings!$B$26,0),NA(),STDEV(OFFSET(F1299,1-Settings!$B$12,0,Settings!$B$12,1))*SQRT(Settings!$B$13)))</f>
        <v/>
      </c>
      <c r="J1299" s="20">
        <f>IF(OR(NOT(ISNUMBER($A1299)),ROW()-2&lt;Settings!$B$11),NA(),IF(COUNT(OFFSET(G1299,1-Settings!$B$11,0,Settings!$B$11,1))&lt;ROUNDUP(Settings!$B$11*Settings!$B$26,0),NA(),STDEV(OFFSET(G1299,1-Settings!$B$11,0,Settings!$B$11,1))*SQRT(Settings!$B$13)))</f>
        <v/>
      </c>
      <c r="K1299" s="20">
        <f>IF(OR(NOT(ISNUMBER($A1299)),ROW()-2&lt;Settings!$B$12),NA(),IF(COUNT(OFFSET(G1299,1-Settings!$B$12,0,Settings!$B$12,1))&lt;ROUNDUP(Settings!$B$12*Settings!$B$26,0),NA(),STDEV(OFFSET(G1299,1-Settings!$B$12,0,Settings!$B$12,1))*SQRT(Settings!$B$13)))</f>
        <v/>
      </c>
      <c r="L1299" s="20">
        <f>IF(AND(ISNUMBER(D1299),ISNUMBER(H1299)),D1299-H1299,NA())</f>
        <v/>
      </c>
      <c r="M1299" s="20">
        <f>IF(AND(ISNUMBER(E1299),ISNUMBER(K1299)),E1299-K1299,NA())</f>
        <v/>
      </c>
      <c r="N1299" s="20">
        <f>IF(NOT(ISNUMBER($A1299)),NA(),IF(COUNT(OFFSET(G1299,1,0,Settings!$B$12,1))&lt;ROUNDUP(Settings!$B$12*Settings!$B$26,0),NA(),STDEV(OFFSET(G1299,1,0,Settings!$B$12,1))*SQRT(Settings!$B$13)))</f>
        <v/>
      </c>
      <c r="O1299" s="20">
        <f>IF(AND(ISNUMBER(E1299),ISNUMBER(N1299)),E1299-N1299,NA())</f>
        <v/>
      </c>
      <c r="P1299" s="19">
        <f>IF(NOT(ISNUMBER($A1299)),NA(),IF(OR($A1299&lt;MIN(KW_TP!$A$2:$A$2501),$A1299&gt;MAX(KW_TP!$A$2:$A$2501)),NA(),INDEX(KW_TP!$C$2:$C$2501,MATCH($A1299,KW_TP!$A$2:$A$2501,1))))</f>
        <v/>
      </c>
      <c r="Q1299" s="18">
        <f>IF(NOT(ISNUMBER($A1299)),NA(),IFERROR(1*INDEX(BBG_Data!$J$2:$J$4000,MATCH($A1299,BBG_Data!$I$2:$I$4000,0)),NA()))</f>
        <v/>
      </c>
      <c r="R1299" s="18">
        <f>IF(NOT(ISNUMBER($A1299)),NA(),IFERROR(1*INDEX(BBG_Data!$L$2:$L$4000,MATCH($A1299,BBG_Data!$K$2:$K$4000,0)),NA()))</f>
        <v/>
      </c>
      <c r="S1299" s="20">
        <f>IF(AND(ISNUMBER(B1299),ISNUMBER(Q1299),ISNUMBER(R1299)),(B1299-Q1299-R1299)*100,NA())</f>
        <v/>
      </c>
      <c r="T1299" s="20">
        <f>IF(AND(ISNUMBER(B1299),Settings!$B$17&gt;0),IF(ISNUMBER(INDEX($B:$B,Settings!$B$17)),(B1299-INDEX($B:$B,Settings!$B$17))*100,NA()),NA())</f>
        <v/>
      </c>
      <c r="U1299" s="20">
        <f>IF(AND(ISNUMBER(Q1299),Settings!$B$17&gt;0),IF(ISNUMBER(INDEX($Q:$Q,Settings!$B$17)),(Q1299-INDEX($Q:$Q,Settings!$B$17))*100,NA()),NA())</f>
        <v/>
      </c>
      <c r="V1299" s="20">
        <f>IF(AND(ISNUMBER(R1299),Settings!$B$17&gt;0),IF(ISNUMBER(INDEX($R:$R,Settings!$B$17)),(R1299-INDEX($R:$R,Settings!$B$17))*100,NA()),NA())</f>
        <v/>
      </c>
      <c r="W1299" s="20">
        <f>IF(AND(ISNUMBER(P1299),Settings!$B$17&gt;0),IF(ISNUMBER(INDEX($P:$P,Settings!$B$17)),P1299-INDEX($P:$P,Settings!$B$17),NA()),NA())</f>
        <v/>
      </c>
      <c r="X1299" s="19">
        <f>IF(NOT(ISNUMBER($A1299)),NA(),IF(OR($A1299&lt;MIN(DKW_10Y!$A$2:$A$2918),$A1299&gt;MAX(DKW_10Y!$A$2:$A$2918),Settings!$B$16&lt;MIN(DKW_10Y!$A$2:$A$2918)),NA(),(INDEX(DKW_10Y!$B$2:$B$2918,MATCH($A1299,DKW_10Y!$A$2:$A$2918,1))-INDEX(DKW_10Y!$B$2:$B$2918,MATCH(Settings!$B$16,DKW_10Y!$A$2:$A$2918,1)))*100))</f>
        <v/>
      </c>
      <c r="Y1299" s="19">
        <f>IF(NOT(ISNUMBER($A1299)),NA(),IF(OR($A1299&lt;MIN(DKW_10Y!$A$2:$A$2918),$A1299&gt;MAX(DKW_10Y!$A$2:$A$2918),Settings!$B$16&lt;MIN(DKW_10Y!$A$2:$A$2918)),NA(),(INDEX(DKW_10Y!$C$2:$C$2918,MATCH($A1299,DKW_10Y!$A$2:$A$2918,1))-INDEX(DKW_10Y!$C$2:$C$2918,MATCH(Settings!$B$16,DKW_10Y!$A$2:$A$2918,1)))*100))</f>
        <v/>
      </c>
      <c r="Z1299" s="19">
        <f>IF(NOT(ISNUMBER($A1299)),NA(),IF(OR($A1299&lt;MIN(DKW_10Y!$A$2:$A$2918),$A1299&gt;MAX(DKW_10Y!$A$2:$A$2918),Settings!$B$16&lt;MIN(DKW_10Y!$A$2:$A$2918)),NA(),(INDEX(DKW_10Y!$D$2:$D$2918,MATCH($A1299,DKW_10Y!$A$2:$A$2918,1))-INDEX(DKW_10Y!$D$2:$D$2918,MATCH(Settings!$B$16,DKW_10Y!$A$2:$A$2918,1)))*100))</f>
        <v/>
      </c>
      <c r="AA1299" s="19">
        <f>IF(NOT(ISNUMBER($A1299)),NA(),IF(OR($A1299&lt;MIN(DKW_10Y!$A$2:$A$2918),$A1299&gt;MAX(DKW_10Y!$A$2:$A$2918),Settings!$B$16&lt;MIN(DKW_10Y!$A$2:$A$2918)),NA(),(INDEX(DKW_10Y!$E$2:$E$2918,MATCH($A1299,DKW_10Y!$A$2:$A$2918,1))-INDEX(DKW_10Y!$E$2:$E$2918,MATCH(Settings!$B$16,DKW_10Y!$A$2:$A$2918,1)))*100))</f>
        <v/>
      </c>
      <c r="AB1299" s="19">
        <f>IF(NOT(ISNUMBER($A1299)),NA(),IF(OR($A1299&lt;MIN(DKW_10Y!$A$2:$A$2918),$A1299&gt;MAX(DKW_10Y!$A$2:$A$2918),Settings!$B$16&lt;MIN(DKW_10Y!$A$2:$A$2918)),NA(),(INDEX(DKW_10Y!$H$2:$H$2918,MATCH($A1299,DKW_10Y!$A$2:$A$2918,1))-INDEX(DKW_10Y!$H$2:$H$2918,MATCH(Settings!$B$16,DKW_10Y!$A$2:$A$2918,1)))*100))</f>
        <v/>
      </c>
      <c r="AC1299" s="18">
        <f>IF(NOT(ISNUMBER($A1299)),NA(),IFERROR(1*INDEX(BBG_Data!$N$2:$N$4000,MATCH($A1299,BBG_Data!$M$2:$M$4000,0)),NA()))</f>
        <v/>
      </c>
      <c r="AD1299" s="18">
        <f>IF(NOT(ISNUMBER($A1299)),NA(),IFERROR(1*INDEX(BBG_Data!$P$2:$P$4000,MATCH($A1299,BBG_Data!$O$2:$O$4000,0)),NA()))</f>
        <v/>
      </c>
      <c r="AE1299" s="18">
        <f>IF(NOT(ISNUMBER($A1299)),NA(),IFERROR(1*INDEX(BBG_Data!$R$2:$R$4000,MATCH($A1299,BBG_Data!$Q$2:$Q$4000,0)),NA()))</f>
        <v/>
      </c>
      <c r="AF1299" s="20">
        <f>IF(AND(ISNUMBER(B1299),ISNUMBER(AC1299)),(B1299-AC1299)*100,NA())</f>
        <v/>
      </c>
      <c r="AG1299" s="20">
        <f>IF(AND(ISNUMBER(AE1299),ISNUMBER(AD1299)),(AE1299-AD1299)*100,NA())</f>
        <v/>
      </c>
      <c r="AH1299" s="19">
        <f>IF(NOT(ISNUMBER($A1299)),NA(),IFERROR(INDEX(BBG_Data!$T$2:$T$4000,MATCH($A1299,BBG_Data!$S$2:$S$4000,0))*Settings!$B$25,NA()))</f>
        <v/>
      </c>
      <c r="AI1299" s="19">
        <f>IF(NOT(ISNUMBER($A1299)),NA(),IFERROR(INDEX(BBG_Data!$V$2:$V$4000,MATCH($A1299,BBG_Data!$U$2:$U$4000,0))*Settings!$B$25,NA()))</f>
        <v/>
      </c>
      <c r="AJ1299" s="19">
        <f>IF(NOT(ISNUMBER($A1299)),NA(),IFERROR(1*INDEX(BBG_Data!$X$2:$X$4000,MATCH($A1299,BBG_Data!$W$2:$W$4000,0)),NA()))</f>
        <v/>
      </c>
      <c r="AK1299" s="19">
        <f>IF(NOT(ISNUMBER($A1299)),NA(),IFERROR(1*INDEX(BBG_Data!$Z$2:$Z$4000,MATCH($A1299,BBG_Data!$Y$2:$Y$4000,0)),NA()))</f>
        <v/>
      </c>
    </row>
    <row r="1300">
      <c r="A1300" s="17">
        <f>IF(ISNUMBER(BBG_Data!A1300),BBG_Data!A1300,"")</f>
        <v/>
      </c>
      <c r="B1300" s="18">
        <f>IF(AND(ISNUMBER($A1300),ISNUMBER(BBG_Data!B1300)),BBG_Data!B1300,NA())</f>
        <v/>
      </c>
      <c r="C1300" s="18">
        <f>IF(NOT(ISNUMBER($A1300)),NA(),IFERROR(1*INDEX(BBG_Data!$D$2:$D$4000,MATCH($A1300,BBG_Data!$C$2:$C$4000,0)),NA()))</f>
        <v/>
      </c>
      <c r="D1300" s="19">
        <f>IF(NOT(ISNUMBER($A1300)),NA(),IFERROR(1*INDEX(BBG_Data!$F$2:$F$4000,MATCH($A1300,BBG_Data!$E$2:$E$4000,0)),NA()))</f>
        <v/>
      </c>
      <c r="E1300" s="19">
        <f>IF(NOT(ISNUMBER($A1300)),NA(),IFERROR(1*INDEX(BBG_Data!$H$2:$H$4000,MATCH($A1300,BBG_Data!$G$2:$G$4000,0)),NA()))</f>
        <v/>
      </c>
      <c r="F1300" s="20">
        <f>IF(AND(ISNUMBER(B1300),ISNUMBER(B1299)),IF(B1300=B1299,"",(B1300-B1299)*100),"")</f>
        <v/>
      </c>
      <c r="G1300" s="20">
        <f>IF(AND(ISNUMBER(C1300),ISNUMBER(C1299)),IF(C1300=C1299,"",(C1300-C1299)*100),"")</f>
        <v/>
      </c>
      <c r="H1300" s="20">
        <f>IF(OR(NOT(ISNUMBER($A1300)),ROW()-2&lt;Settings!$B$11),NA(),IF(COUNT(OFFSET(F1300,1-Settings!$B$11,0,Settings!$B$11,1))&lt;ROUNDUP(Settings!$B$11*Settings!$B$26,0),NA(),STDEV(OFFSET(F1300,1-Settings!$B$11,0,Settings!$B$11,1))*SQRT(Settings!$B$13)))</f>
        <v/>
      </c>
      <c r="I1300" s="20">
        <f>IF(OR(NOT(ISNUMBER($A1300)),ROW()-2&lt;Settings!$B$12),NA(),IF(COUNT(OFFSET(F1300,1-Settings!$B$12,0,Settings!$B$12,1))&lt;ROUNDUP(Settings!$B$12*Settings!$B$26,0),NA(),STDEV(OFFSET(F1300,1-Settings!$B$12,0,Settings!$B$12,1))*SQRT(Settings!$B$13)))</f>
        <v/>
      </c>
      <c r="J1300" s="20">
        <f>IF(OR(NOT(ISNUMBER($A1300)),ROW()-2&lt;Settings!$B$11),NA(),IF(COUNT(OFFSET(G1300,1-Settings!$B$11,0,Settings!$B$11,1))&lt;ROUNDUP(Settings!$B$11*Settings!$B$26,0),NA(),STDEV(OFFSET(G1300,1-Settings!$B$11,0,Settings!$B$11,1))*SQRT(Settings!$B$13)))</f>
        <v/>
      </c>
      <c r="K1300" s="20">
        <f>IF(OR(NOT(ISNUMBER($A1300)),ROW()-2&lt;Settings!$B$12),NA(),IF(COUNT(OFFSET(G1300,1-Settings!$B$12,0,Settings!$B$12,1))&lt;ROUNDUP(Settings!$B$12*Settings!$B$26,0),NA(),STDEV(OFFSET(G1300,1-Settings!$B$12,0,Settings!$B$12,1))*SQRT(Settings!$B$13)))</f>
        <v/>
      </c>
      <c r="L1300" s="20">
        <f>IF(AND(ISNUMBER(D1300),ISNUMBER(H1300)),D1300-H1300,NA())</f>
        <v/>
      </c>
      <c r="M1300" s="20">
        <f>IF(AND(ISNUMBER(E1300),ISNUMBER(K1300)),E1300-K1300,NA())</f>
        <v/>
      </c>
      <c r="N1300" s="20">
        <f>IF(NOT(ISNUMBER($A1300)),NA(),IF(COUNT(OFFSET(G1300,1,0,Settings!$B$12,1))&lt;ROUNDUP(Settings!$B$12*Settings!$B$26,0),NA(),STDEV(OFFSET(G1300,1,0,Settings!$B$12,1))*SQRT(Settings!$B$13)))</f>
        <v/>
      </c>
      <c r="O1300" s="20">
        <f>IF(AND(ISNUMBER(E1300),ISNUMBER(N1300)),E1300-N1300,NA())</f>
        <v/>
      </c>
      <c r="P1300" s="19">
        <f>IF(NOT(ISNUMBER($A1300)),NA(),IF(OR($A1300&lt;MIN(KW_TP!$A$2:$A$2501),$A1300&gt;MAX(KW_TP!$A$2:$A$2501)),NA(),INDEX(KW_TP!$C$2:$C$2501,MATCH($A1300,KW_TP!$A$2:$A$2501,1))))</f>
        <v/>
      </c>
      <c r="Q1300" s="18">
        <f>IF(NOT(ISNUMBER($A1300)),NA(),IFERROR(1*INDEX(BBG_Data!$J$2:$J$4000,MATCH($A1300,BBG_Data!$I$2:$I$4000,0)),NA()))</f>
        <v/>
      </c>
      <c r="R1300" s="18">
        <f>IF(NOT(ISNUMBER($A1300)),NA(),IFERROR(1*INDEX(BBG_Data!$L$2:$L$4000,MATCH($A1300,BBG_Data!$K$2:$K$4000,0)),NA()))</f>
        <v/>
      </c>
      <c r="S1300" s="20">
        <f>IF(AND(ISNUMBER(B1300),ISNUMBER(Q1300),ISNUMBER(R1300)),(B1300-Q1300-R1300)*100,NA())</f>
        <v/>
      </c>
      <c r="T1300" s="20">
        <f>IF(AND(ISNUMBER(B1300),Settings!$B$17&gt;0),IF(ISNUMBER(INDEX($B:$B,Settings!$B$17)),(B1300-INDEX($B:$B,Settings!$B$17))*100,NA()),NA())</f>
        <v/>
      </c>
      <c r="U1300" s="20">
        <f>IF(AND(ISNUMBER(Q1300),Settings!$B$17&gt;0),IF(ISNUMBER(INDEX($Q:$Q,Settings!$B$17)),(Q1300-INDEX($Q:$Q,Settings!$B$17))*100,NA()),NA())</f>
        <v/>
      </c>
      <c r="V1300" s="20">
        <f>IF(AND(ISNUMBER(R1300),Settings!$B$17&gt;0),IF(ISNUMBER(INDEX($R:$R,Settings!$B$17)),(R1300-INDEX($R:$R,Settings!$B$17))*100,NA()),NA())</f>
        <v/>
      </c>
      <c r="W1300" s="20">
        <f>IF(AND(ISNUMBER(P1300),Settings!$B$17&gt;0),IF(ISNUMBER(INDEX($P:$P,Settings!$B$17)),P1300-INDEX($P:$P,Settings!$B$17),NA()),NA())</f>
        <v/>
      </c>
      <c r="X1300" s="19">
        <f>IF(NOT(ISNUMBER($A1300)),NA(),IF(OR($A1300&lt;MIN(DKW_10Y!$A$2:$A$2918),$A1300&gt;MAX(DKW_10Y!$A$2:$A$2918),Settings!$B$16&lt;MIN(DKW_10Y!$A$2:$A$2918)),NA(),(INDEX(DKW_10Y!$B$2:$B$2918,MATCH($A1300,DKW_10Y!$A$2:$A$2918,1))-INDEX(DKW_10Y!$B$2:$B$2918,MATCH(Settings!$B$16,DKW_10Y!$A$2:$A$2918,1)))*100))</f>
        <v/>
      </c>
      <c r="Y1300" s="19">
        <f>IF(NOT(ISNUMBER($A1300)),NA(),IF(OR($A1300&lt;MIN(DKW_10Y!$A$2:$A$2918),$A1300&gt;MAX(DKW_10Y!$A$2:$A$2918),Settings!$B$16&lt;MIN(DKW_10Y!$A$2:$A$2918)),NA(),(INDEX(DKW_10Y!$C$2:$C$2918,MATCH($A1300,DKW_10Y!$A$2:$A$2918,1))-INDEX(DKW_10Y!$C$2:$C$2918,MATCH(Settings!$B$16,DKW_10Y!$A$2:$A$2918,1)))*100))</f>
        <v/>
      </c>
      <c r="Z1300" s="19">
        <f>IF(NOT(ISNUMBER($A1300)),NA(),IF(OR($A1300&lt;MIN(DKW_10Y!$A$2:$A$2918),$A1300&gt;MAX(DKW_10Y!$A$2:$A$2918),Settings!$B$16&lt;MIN(DKW_10Y!$A$2:$A$2918)),NA(),(INDEX(DKW_10Y!$D$2:$D$2918,MATCH($A1300,DKW_10Y!$A$2:$A$2918,1))-INDEX(DKW_10Y!$D$2:$D$2918,MATCH(Settings!$B$16,DKW_10Y!$A$2:$A$2918,1)))*100))</f>
        <v/>
      </c>
      <c r="AA1300" s="19">
        <f>IF(NOT(ISNUMBER($A1300)),NA(),IF(OR($A1300&lt;MIN(DKW_10Y!$A$2:$A$2918),$A1300&gt;MAX(DKW_10Y!$A$2:$A$2918),Settings!$B$16&lt;MIN(DKW_10Y!$A$2:$A$2918)),NA(),(INDEX(DKW_10Y!$E$2:$E$2918,MATCH($A1300,DKW_10Y!$A$2:$A$2918,1))-INDEX(DKW_10Y!$E$2:$E$2918,MATCH(Settings!$B$16,DKW_10Y!$A$2:$A$2918,1)))*100))</f>
        <v/>
      </c>
      <c r="AB1300" s="19">
        <f>IF(NOT(ISNUMBER($A1300)),NA(),IF(OR($A1300&lt;MIN(DKW_10Y!$A$2:$A$2918),$A1300&gt;MAX(DKW_10Y!$A$2:$A$2918),Settings!$B$16&lt;MIN(DKW_10Y!$A$2:$A$2918)),NA(),(INDEX(DKW_10Y!$H$2:$H$2918,MATCH($A1300,DKW_10Y!$A$2:$A$2918,1))-INDEX(DKW_10Y!$H$2:$H$2918,MATCH(Settings!$B$16,DKW_10Y!$A$2:$A$2918,1)))*100))</f>
        <v/>
      </c>
      <c r="AC1300" s="18">
        <f>IF(NOT(ISNUMBER($A1300)),NA(),IFERROR(1*INDEX(BBG_Data!$N$2:$N$4000,MATCH($A1300,BBG_Data!$M$2:$M$4000,0)),NA()))</f>
        <v/>
      </c>
      <c r="AD1300" s="18">
        <f>IF(NOT(ISNUMBER($A1300)),NA(),IFERROR(1*INDEX(BBG_Data!$P$2:$P$4000,MATCH($A1300,BBG_Data!$O$2:$O$4000,0)),NA()))</f>
        <v/>
      </c>
      <c r="AE1300" s="18">
        <f>IF(NOT(ISNUMBER($A1300)),NA(),IFERROR(1*INDEX(BBG_Data!$R$2:$R$4000,MATCH($A1300,BBG_Data!$Q$2:$Q$4000,0)),NA()))</f>
        <v/>
      </c>
      <c r="AF1300" s="20">
        <f>IF(AND(ISNUMBER(B1300),ISNUMBER(AC1300)),(B1300-AC1300)*100,NA())</f>
        <v/>
      </c>
      <c r="AG1300" s="20">
        <f>IF(AND(ISNUMBER(AE1300),ISNUMBER(AD1300)),(AE1300-AD1300)*100,NA())</f>
        <v/>
      </c>
      <c r="AH1300" s="19">
        <f>IF(NOT(ISNUMBER($A1300)),NA(),IFERROR(INDEX(BBG_Data!$T$2:$T$4000,MATCH($A1300,BBG_Data!$S$2:$S$4000,0))*Settings!$B$25,NA()))</f>
        <v/>
      </c>
      <c r="AI1300" s="19">
        <f>IF(NOT(ISNUMBER($A1300)),NA(),IFERROR(INDEX(BBG_Data!$V$2:$V$4000,MATCH($A1300,BBG_Data!$U$2:$U$4000,0))*Settings!$B$25,NA()))</f>
        <v/>
      </c>
      <c r="AJ1300" s="19">
        <f>IF(NOT(ISNUMBER($A1300)),NA(),IFERROR(1*INDEX(BBG_Data!$X$2:$X$4000,MATCH($A1300,BBG_Data!$W$2:$W$4000,0)),NA()))</f>
        <v/>
      </c>
      <c r="AK1300" s="19">
        <f>IF(NOT(ISNUMBER($A1300)),NA(),IFERROR(1*INDEX(BBG_Data!$Z$2:$Z$4000,MATCH($A1300,BBG_Data!$Y$2:$Y$4000,0)),NA()))</f>
        <v/>
      </c>
    </row>
    <row r="1301">
      <c r="A1301" s="17">
        <f>IF(ISNUMBER(BBG_Data!A1301),BBG_Data!A1301,"")</f>
        <v/>
      </c>
      <c r="B1301" s="18">
        <f>IF(AND(ISNUMBER($A1301),ISNUMBER(BBG_Data!B1301)),BBG_Data!B1301,NA())</f>
        <v/>
      </c>
      <c r="C1301" s="18">
        <f>IF(NOT(ISNUMBER($A1301)),NA(),IFERROR(1*INDEX(BBG_Data!$D$2:$D$4000,MATCH($A1301,BBG_Data!$C$2:$C$4000,0)),NA()))</f>
        <v/>
      </c>
      <c r="D1301" s="19">
        <f>IF(NOT(ISNUMBER($A1301)),NA(),IFERROR(1*INDEX(BBG_Data!$F$2:$F$4000,MATCH($A1301,BBG_Data!$E$2:$E$4000,0)),NA()))</f>
        <v/>
      </c>
      <c r="E1301" s="19">
        <f>IF(NOT(ISNUMBER($A1301)),NA(),IFERROR(1*INDEX(BBG_Data!$H$2:$H$4000,MATCH($A1301,BBG_Data!$G$2:$G$4000,0)),NA()))</f>
        <v/>
      </c>
      <c r="F1301" s="20">
        <f>IF(AND(ISNUMBER(B1301),ISNUMBER(B1300)),IF(B1301=B1300,"",(B1301-B1300)*100),"")</f>
        <v/>
      </c>
      <c r="G1301" s="20">
        <f>IF(AND(ISNUMBER(C1301),ISNUMBER(C1300)),IF(C1301=C1300,"",(C1301-C1300)*100),"")</f>
        <v/>
      </c>
      <c r="H1301" s="20">
        <f>IF(OR(NOT(ISNUMBER($A1301)),ROW()-2&lt;Settings!$B$11),NA(),IF(COUNT(OFFSET(F1301,1-Settings!$B$11,0,Settings!$B$11,1))&lt;ROUNDUP(Settings!$B$11*Settings!$B$26,0),NA(),STDEV(OFFSET(F1301,1-Settings!$B$11,0,Settings!$B$11,1))*SQRT(Settings!$B$13)))</f>
        <v/>
      </c>
      <c r="I1301" s="20">
        <f>IF(OR(NOT(ISNUMBER($A1301)),ROW()-2&lt;Settings!$B$12),NA(),IF(COUNT(OFFSET(F1301,1-Settings!$B$12,0,Settings!$B$12,1))&lt;ROUNDUP(Settings!$B$12*Settings!$B$26,0),NA(),STDEV(OFFSET(F1301,1-Settings!$B$12,0,Settings!$B$12,1))*SQRT(Settings!$B$13)))</f>
        <v/>
      </c>
      <c r="J1301" s="20">
        <f>IF(OR(NOT(ISNUMBER($A1301)),ROW()-2&lt;Settings!$B$11),NA(),IF(COUNT(OFFSET(G1301,1-Settings!$B$11,0,Settings!$B$11,1))&lt;ROUNDUP(Settings!$B$11*Settings!$B$26,0),NA(),STDEV(OFFSET(G1301,1-Settings!$B$11,0,Settings!$B$11,1))*SQRT(Settings!$B$13)))</f>
        <v/>
      </c>
      <c r="K1301" s="20">
        <f>IF(OR(NOT(ISNUMBER($A1301)),ROW()-2&lt;Settings!$B$12),NA(),IF(COUNT(OFFSET(G1301,1-Settings!$B$12,0,Settings!$B$12,1))&lt;ROUNDUP(Settings!$B$12*Settings!$B$26,0),NA(),STDEV(OFFSET(G1301,1-Settings!$B$12,0,Settings!$B$12,1))*SQRT(Settings!$B$13)))</f>
        <v/>
      </c>
      <c r="L1301" s="20">
        <f>IF(AND(ISNUMBER(D1301),ISNUMBER(H1301)),D1301-H1301,NA())</f>
        <v/>
      </c>
      <c r="M1301" s="20">
        <f>IF(AND(ISNUMBER(E1301),ISNUMBER(K1301)),E1301-K1301,NA())</f>
        <v/>
      </c>
      <c r="N1301" s="20">
        <f>IF(NOT(ISNUMBER($A1301)),NA(),IF(COUNT(OFFSET(G1301,1,0,Settings!$B$12,1))&lt;ROUNDUP(Settings!$B$12*Settings!$B$26,0),NA(),STDEV(OFFSET(G1301,1,0,Settings!$B$12,1))*SQRT(Settings!$B$13)))</f>
        <v/>
      </c>
      <c r="O1301" s="20">
        <f>IF(AND(ISNUMBER(E1301),ISNUMBER(N1301)),E1301-N1301,NA())</f>
        <v/>
      </c>
      <c r="P1301" s="19">
        <f>IF(NOT(ISNUMBER($A1301)),NA(),IF(OR($A1301&lt;MIN(KW_TP!$A$2:$A$2501),$A1301&gt;MAX(KW_TP!$A$2:$A$2501)),NA(),INDEX(KW_TP!$C$2:$C$2501,MATCH($A1301,KW_TP!$A$2:$A$2501,1))))</f>
        <v/>
      </c>
      <c r="Q1301" s="18">
        <f>IF(NOT(ISNUMBER($A1301)),NA(),IFERROR(1*INDEX(BBG_Data!$J$2:$J$4000,MATCH($A1301,BBG_Data!$I$2:$I$4000,0)),NA()))</f>
        <v/>
      </c>
      <c r="R1301" s="18">
        <f>IF(NOT(ISNUMBER($A1301)),NA(),IFERROR(1*INDEX(BBG_Data!$L$2:$L$4000,MATCH($A1301,BBG_Data!$K$2:$K$4000,0)),NA()))</f>
        <v/>
      </c>
      <c r="S1301" s="20">
        <f>IF(AND(ISNUMBER(B1301),ISNUMBER(Q1301),ISNUMBER(R1301)),(B1301-Q1301-R1301)*100,NA())</f>
        <v/>
      </c>
      <c r="T1301" s="20">
        <f>IF(AND(ISNUMBER(B1301),Settings!$B$17&gt;0),IF(ISNUMBER(INDEX($B:$B,Settings!$B$17)),(B1301-INDEX($B:$B,Settings!$B$17))*100,NA()),NA())</f>
        <v/>
      </c>
      <c r="U1301" s="20">
        <f>IF(AND(ISNUMBER(Q1301),Settings!$B$17&gt;0),IF(ISNUMBER(INDEX($Q:$Q,Settings!$B$17)),(Q1301-INDEX($Q:$Q,Settings!$B$17))*100,NA()),NA())</f>
        <v/>
      </c>
      <c r="V1301" s="20">
        <f>IF(AND(ISNUMBER(R1301),Settings!$B$17&gt;0),IF(ISNUMBER(INDEX($R:$R,Settings!$B$17)),(R1301-INDEX($R:$R,Settings!$B$17))*100,NA()),NA())</f>
        <v/>
      </c>
      <c r="W1301" s="20">
        <f>IF(AND(ISNUMBER(P1301),Settings!$B$17&gt;0),IF(ISNUMBER(INDEX($P:$P,Settings!$B$17)),P1301-INDEX($P:$P,Settings!$B$17),NA()),NA())</f>
        <v/>
      </c>
      <c r="X1301" s="19">
        <f>IF(NOT(ISNUMBER($A1301)),NA(),IF(OR($A1301&lt;MIN(DKW_10Y!$A$2:$A$2918),$A1301&gt;MAX(DKW_10Y!$A$2:$A$2918),Settings!$B$16&lt;MIN(DKW_10Y!$A$2:$A$2918)),NA(),(INDEX(DKW_10Y!$B$2:$B$2918,MATCH($A1301,DKW_10Y!$A$2:$A$2918,1))-INDEX(DKW_10Y!$B$2:$B$2918,MATCH(Settings!$B$16,DKW_10Y!$A$2:$A$2918,1)))*100))</f>
        <v/>
      </c>
      <c r="Y1301" s="19">
        <f>IF(NOT(ISNUMBER($A1301)),NA(),IF(OR($A1301&lt;MIN(DKW_10Y!$A$2:$A$2918),$A1301&gt;MAX(DKW_10Y!$A$2:$A$2918),Settings!$B$16&lt;MIN(DKW_10Y!$A$2:$A$2918)),NA(),(INDEX(DKW_10Y!$C$2:$C$2918,MATCH($A1301,DKW_10Y!$A$2:$A$2918,1))-INDEX(DKW_10Y!$C$2:$C$2918,MATCH(Settings!$B$16,DKW_10Y!$A$2:$A$2918,1)))*100))</f>
        <v/>
      </c>
      <c r="Z1301" s="19">
        <f>IF(NOT(ISNUMBER($A1301)),NA(),IF(OR($A1301&lt;MIN(DKW_10Y!$A$2:$A$2918),$A1301&gt;MAX(DKW_10Y!$A$2:$A$2918),Settings!$B$16&lt;MIN(DKW_10Y!$A$2:$A$2918)),NA(),(INDEX(DKW_10Y!$D$2:$D$2918,MATCH($A1301,DKW_10Y!$A$2:$A$2918,1))-INDEX(DKW_10Y!$D$2:$D$2918,MATCH(Settings!$B$16,DKW_10Y!$A$2:$A$2918,1)))*100))</f>
        <v/>
      </c>
      <c r="AA1301" s="19">
        <f>IF(NOT(ISNUMBER($A1301)),NA(),IF(OR($A1301&lt;MIN(DKW_10Y!$A$2:$A$2918),$A1301&gt;MAX(DKW_10Y!$A$2:$A$2918),Settings!$B$16&lt;MIN(DKW_10Y!$A$2:$A$2918)),NA(),(INDEX(DKW_10Y!$E$2:$E$2918,MATCH($A1301,DKW_10Y!$A$2:$A$2918,1))-INDEX(DKW_10Y!$E$2:$E$2918,MATCH(Settings!$B$16,DKW_10Y!$A$2:$A$2918,1)))*100))</f>
        <v/>
      </c>
      <c r="AB1301" s="19">
        <f>IF(NOT(ISNUMBER($A1301)),NA(),IF(OR($A1301&lt;MIN(DKW_10Y!$A$2:$A$2918),$A1301&gt;MAX(DKW_10Y!$A$2:$A$2918),Settings!$B$16&lt;MIN(DKW_10Y!$A$2:$A$2918)),NA(),(INDEX(DKW_10Y!$H$2:$H$2918,MATCH($A1301,DKW_10Y!$A$2:$A$2918,1))-INDEX(DKW_10Y!$H$2:$H$2918,MATCH(Settings!$B$16,DKW_10Y!$A$2:$A$2918,1)))*100))</f>
        <v/>
      </c>
      <c r="AC1301" s="18">
        <f>IF(NOT(ISNUMBER($A1301)),NA(),IFERROR(1*INDEX(BBG_Data!$N$2:$N$4000,MATCH($A1301,BBG_Data!$M$2:$M$4000,0)),NA()))</f>
        <v/>
      </c>
      <c r="AD1301" s="18">
        <f>IF(NOT(ISNUMBER($A1301)),NA(),IFERROR(1*INDEX(BBG_Data!$P$2:$P$4000,MATCH($A1301,BBG_Data!$O$2:$O$4000,0)),NA()))</f>
        <v/>
      </c>
      <c r="AE1301" s="18">
        <f>IF(NOT(ISNUMBER($A1301)),NA(),IFERROR(1*INDEX(BBG_Data!$R$2:$R$4000,MATCH($A1301,BBG_Data!$Q$2:$Q$4000,0)),NA()))</f>
        <v/>
      </c>
      <c r="AF1301" s="20">
        <f>IF(AND(ISNUMBER(B1301),ISNUMBER(AC1301)),(B1301-AC1301)*100,NA())</f>
        <v/>
      </c>
      <c r="AG1301" s="20">
        <f>IF(AND(ISNUMBER(AE1301),ISNUMBER(AD1301)),(AE1301-AD1301)*100,NA())</f>
        <v/>
      </c>
      <c r="AH1301" s="19">
        <f>IF(NOT(ISNUMBER($A1301)),NA(),IFERROR(INDEX(BBG_Data!$T$2:$T$4000,MATCH($A1301,BBG_Data!$S$2:$S$4000,0))*Settings!$B$25,NA()))</f>
        <v/>
      </c>
      <c r="AI1301" s="19">
        <f>IF(NOT(ISNUMBER($A1301)),NA(),IFERROR(INDEX(BBG_Data!$V$2:$V$4000,MATCH($A1301,BBG_Data!$U$2:$U$4000,0))*Settings!$B$25,NA()))</f>
        <v/>
      </c>
      <c r="AJ1301" s="19">
        <f>IF(NOT(ISNUMBER($A1301)),NA(),IFERROR(1*INDEX(BBG_Data!$X$2:$X$4000,MATCH($A1301,BBG_Data!$W$2:$W$4000,0)),NA()))</f>
        <v/>
      </c>
      <c r="AK1301" s="19">
        <f>IF(NOT(ISNUMBER($A1301)),NA(),IFERROR(1*INDEX(BBG_Data!$Z$2:$Z$4000,MATCH($A1301,BBG_Data!$Y$2:$Y$4000,0)),NA()))</f>
        <v/>
      </c>
    </row>
    <row r="1302">
      <c r="A1302" s="17">
        <f>IF(ISNUMBER(BBG_Data!A1302),BBG_Data!A1302,"")</f>
        <v/>
      </c>
      <c r="B1302" s="18">
        <f>IF(AND(ISNUMBER($A1302),ISNUMBER(BBG_Data!B1302)),BBG_Data!B1302,NA())</f>
        <v/>
      </c>
      <c r="C1302" s="18">
        <f>IF(NOT(ISNUMBER($A1302)),NA(),IFERROR(1*INDEX(BBG_Data!$D$2:$D$4000,MATCH($A1302,BBG_Data!$C$2:$C$4000,0)),NA()))</f>
        <v/>
      </c>
      <c r="D1302" s="19">
        <f>IF(NOT(ISNUMBER($A1302)),NA(),IFERROR(1*INDEX(BBG_Data!$F$2:$F$4000,MATCH($A1302,BBG_Data!$E$2:$E$4000,0)),NA()))</f>
        <v/>
      </c>
      <c r="E1302" s="19">
        <f>IF(NOT(ISNUMBER($A1302)),NA(),IFERROR(1*INDEX(BBG_Data!$H$2:$H$4000,MATCH($A1302,BBG_Data!$G$2:$G$4000,0)),NA()))</f>
        <v/>
      </c>
      <c r="F1302" s="20">
        <f>IF(AND(ISNUMBER(B1302),ISNUMBER(B1301)),IF(B1302=B1301,"",(B1302-B1301)*100),"")</f>
        <v/>
      </c>
      <c r="G1302" s="20">
        <f>IF(AND(ISNUMBER(C1302),ISNUMBER(C1301)),IF(C1302=C1301,"",(C1302-C1301)*100),"")</f>
        <v/>
      </c>
      <c r="H1302" s="20">
        <f>IF(OR(NOT(ISNUMBER($A1302)),ROW()-2&lt;Settings!$B$11),NA(),IF(COUNT(OFFSET(F1302,1-Settings!$B$11,0,Settings!$B$11,1))&lt;ROUNDUP(Settings!$B$11*Settings!$B$26,0),NA(),STDEV(OFFSET(F1302,1-Settings!$B$11,0,Settings!$B$11,1))*SQRT(Settings!$B$13)))</f>
        <v/>
      </c>
      <c r="I1302" s="20">
        <f>IF(OR(NOT(ISNUMBER($A1302)),ROW()-2&lt;Settings!$B$12),NA(),IF(COUNT(OFFSET(F1302,1-Settings!$B$12,0,Settings!$B$12,1))&lt;ROUNDUP(Settings!$B$12*Settings!$B$26,0),NA(),STDEV(OFFSET(F1302,1-Settings!$B$12,0,Settings!$B$12,1))*SQRT(Settings!$B$13)))</f>
        <v/>
      </c>
      <c r="J1302" s="20">
        <f>IF(OR(NOT(ISNUMBER($A1302)),ROW()-2&lt;Settings!$B$11),NA(),IF(COUNT(OFFSET(G1302,1-Settings!$B$11,0,Settings!$B$11,1))&lt;ROUNDUP(Settings!$B$11*Settings!$B$26,0),NA(),STDEV(OFFSET(G1302,1-Settings!$B$11,0,Settings!$B$11,1))*SQRT(Settings!$B$13)))</f>
        <v/>
      </c>
      <c r="K1302" s="20">
        <f>IF(OR(NOT(ISNUMBER($A1302)),ROW()-2&lt;Settings!$B$12),NA(),IF(COUNT(OFFSET(G1302,1-Settings!$B$12,0,Settings!$B$12,1))&lt;ROUNDUP(Settings!$B$12*Settings!$B$26,0),NA(),STDEV(OFFSET(G1302,1-Settings!$B$12,0,Settings!$B$12,1))*SQRT(Settings!$B$13)))</f>
        <v/>
      </c>
      <c r="L1302" s="20">
        <f>IF(AND(ISNUMBER(D1302),ISNUMBER(H1302)),D1302-H1302,NA())</f>
        <v/>
      </c>
      <c r="M1302" s="20">
        <f>IF(AND(ISNUMBER(E1302),ISNUMBER(K1302)),E1302-K1302,NA())</f>
        <v/>
      </c>
      <c r="N1302" s="20">
        <f>IF(NOT(ISNUMBER($A1302)),NA(),IF(COUNT(OFFSET(G1302,1,0,Settings!$B$12,1))&lt;ROUNDUP(Settings!$B$12*Settings!$B$26,0),NA(),STDEV(OFFSET(G1302,1,0,Settings!$B$12,1))*SQRT(Settings!$B$13)))</f>
        <v/>
      </c>
      <c r="O1302" s="20">
        <f>IF(AND(ISNUMBER(E1302),ISNUMBER(N1302)),E1302-N1302,NA())</f>
        <v/>
      </c>
      <c r="P1302" s="19">
        <f>IF(NOT(ISNUMBER($A1302)),NA(),IF(OR($A1302&lt;MIN(KW_TP!$A$2:$A$2501),$A1302&gt;MAX(KW_TP!$A$2:$A$2501)),NA(),INDEX(KW_TP!$C$2:$C$2501,MATCH($A1302,KW_TP!$A$2:$A$2501,1))))</f>
        <v/>
      </c>
      <c r="Q1302" s="18">
        <f>IF(NOT(ISNUMBER($A1302)),NA(),IFERROR(1*INDEX(BBG_Data!$J$2:$J$4000,MATCH($A1302,BBG_Data!$I$2:$I$4000,0)),NA()))</f>
        <v/>
      </c>
      <c r="R1302" s="18">
        <f>IF(NOT(ISNUMBER($A1302)),NA(),IFERROR(1*INDEX(BBG_Data!$L$2:$L$4000,MATCH($A1302,BBG_Data!$K$2:$K$4000,0)),NA()))</f>
        <v/>
      </c>
      <c r="S1302" s="20">
        <f>IF(AND(ISNUMBER(B1302),ISNUMBER(Q1302),ISNUMBER(R1302)),(B1302-Q1302-R1302)*100,NA())</f>
        <v/>
      </c>
      <c r="T1302" s="20">
        <f>IF(AND(ISNUMBER(B1302),Settings!$B$17&gt;0),IF(ISNUMBER(INDEX($B:$B,Settings!$B$17)),(B1302-INDEX($B:$B,Settings!$B$17))*100,NA()),NA())</f>
        <v/>
      </c>
      <c r="U1302" s="20">
        <f>IF(AND(ISNUMBER(Q1302),Settings!$B$17&gt;0),IF(ISNUMBER(INDEX($Q:$Q,Settings!$B$17)),(Q1302-INDEX($Q:$Q,Settings!$B$17))*100,NA()),NA())</f>
        <v/>
      </c>
      <c r="V1302" s="20">
        <f>IF(AND(ISNUMBER(R1302),Settings!$B$17&gt;0),IF(ISNUMBER(INDEX($R:$R,Settings!$B$17)),(R1302-INDEX($R:$R,Settings!$B$17))*100,NA()),NA())</f>
        <v/>
      </c>
      <c r="W1302" s="20">
        <f>IF(AND(ISNUMBER(P1302),Settings!$B$17&gt;0),IF(ISNUMBER(INDEX($P:$P,Settings!$B$17)),P1302-INDEX($P:$P,Settings!$B$17),NA()),NA())</f>
        <v/>
      </c>
      <c r="X1302" s="19">
        <f>IF(NOT(ISNUMBER($A1302)),NA(),IF(OR($A1302&lt;MIN(DKW_10Y!$A$2:$A$2918),$A1302&gt;MAX(DKW_10Y!$A$2:$A$2918),Settings!$B$16&lt;MIN(DKW_10Y!$A$2:$A$2918)),NA(),(INDEX(DKW_10Y!$B$2:$B$2918,MATCH($A1302,DKW_10Y!$A$2:$A$2918,1))-INDEX(DKW_10Y!$B$2:$B$2918,MATCH(Settings!$B$16,DKW_10Y!$A$2:$A$2918,1)))*100))</f>
        <v/>
      </c>
      <c r="Y1302" s="19">
        <f>IF(NOT(ISNUMBER($A1302)),NA(),IF(OR($A1302&lt;MIN(DKW_10Y!$A$2:$A$2918),$A1302&gt;MAX(DKW_10Y!$A$2:$A$2918),Settings!$B$16&lt;MIN(DKW_10Y!$A$2:$A$2918)),NA(),(INDEX(DKW_10Y!$C$2:$C$2918,MATCH($A1302,DKW_10Y!$A$2:$A$2918,1))-INDEX(DKW_10Y!$C$2:$C$2918,MATCH(Settings!$B$16,DKW_10Y!$A$2:$A$2918,1)))*100))</f>
        <v/>
      </c>
      <c r="Z1302" s="19">
        <f>IF(NOT(ISNUMBER($A1302)),NA(),IF(OR($A1302&lt;MIN(DKW_10Y!$A$2:$A$2918),$A1302&gt;MAX(DKW_10Y!$A$2:$A$2918),Settings!$B$16&lt;MIN(DKW_10Y!$A$2:$A$2918)),NA(),(INDEX(DKW_10Y!$D$2:$D$2918,MATCH($A1302,DKW_10Y!$A$2:$A$2918,1))-INDEX(DKW_10Y!$D$2:$D$2918,MATCH(Settings!$B$16,DKW_10Y!$A$2:$A$2918,1)))*100))</f>
        <v/>
      </c>
      <c r="AA1302" s="19">
        <f>IF(NOT(ISNUMBER($A1302)),NA(),IF(OR($A1302&lt;MIN(DKW_10Y!$A$2:$A$2918),$A1302&gt;MAX(DKW_10Y!$A$2:$A$2918),Settings!$B$16&lt;MIN(DKW_10Y!$A$2:$A$2918)),NA(),(INDEX(DKW_10Y!$E$2:$E$2918,MATCH($A1302,DKW_10Y!$A$2:$A$2918,1))-INDEX(DKW_10Y!$E$2:$E$2918,MATCH(Settings!$B$16,DKW_10Y!$A$2:$A$2918,1)))*100))</f>
        <v/>
      </c>
      <c r="AB1302" s="19">
        <f>IF(NOT(ISNUMBER($A1302)),NA(),IF(OR($A1302&lt;MIN(DKW_10Y!$A$2:$A$2918),$A1302&gt;MAX(DKW_10Y!$A$2:$A$2918),Settings!$B$16&lt;MIN(DKW_10Y!$A$2:$A$2918)),NA(),(INDEX(DKW_10Y!$H$2:$H$2918,MATCH($A1302,DKW_10Y!$A$2:$A$2918,1))-INDEX(DKW_10Y!$H$2:$H$2918,MATCH(Settings!$B$16,DKW_10Y!$A$2:$A$2918,1)))*100))</f>
        <v/>
      </c>
      <c r="AC1302" s="18">
        <f>IF(NOT(ISNUMBER($A1302)),NA(),IFERROR(1*INDEX(BBG_Data!$N$2:$N$4000,MATCH($A1302,BBG_Data!$M$2:$M$4000,0)),NA()))</f>
        <v/>
      </c>
      <c r="AD1302" s="18">
        <f>IF(NOT(ISNUMBER($A1302)),NA(),IFERROR(1*INDEX(BBG_Data!$P$2:$P$4000,MATCH($A1302,BBG_Data!$O$2:$O$4000,0)),NA()))</f>
        <v/>
      </c>
      <c r="AE1302" s="18">
        <f>IF(NOT(ISNUMBER($A1302)),NA(),IFERROR(1*INDEX(BBG_Data!$R$2:$R$4000,MATCH($A1302,BBG_Data!$Q$2:$Q$4000,0)),NA()))</f>
        <v/>
      </c>
      <c r="AF1302" s="20">
        <f>IF(AND(ISNUMBER(B1302),ISNUMBER(AC1302)),(B1302-AC1302)*100,NA())</f>
        <v/>
      </c>
      <c r="AG1302" s="20">
        <f>IF(AND(ISNUMBER(AE1302),ISNUMBER(AD1302)),(AE1302-AD1302)*100,NA())</f>
        <v/>
      </c>
      <c r="AH1302" s="19">
        <f>IF(NOT(ISNUMBER($A1302)),NA(),IFERROR(INDEX(BBG_Data!$T$2:$T$4000,MATCH($A1302,BBG_Data!$S$2:$S$4000,0))*Settings!$B$25,NA()))</f>
        <v/>
      </c>
      <c r="AI1302" s="19">
        <f>IF(NOT(ISNUMBER($A1302)),NA(),IFERROR(INDEX(BBG_Data!$V$2:$V$4000,MATCH($A1302,BBG_Data!$U$2:$U$4000,0))*Settings!$B$25,NA()))</f>
        <v/>
      </c>
      <c r="AJ1302" s="19">
        <f>IF(NOT(ISNUMBER($A1302)),NA(),IFERROR(1*INDEX(BBG_Data!$X$2:$X$4000,MATCH($A1302,BBG_Data!$W$2:$W$4000,0)),NA()))</f>
        <v/>
      </c>
      <c r="AK1302" s="19">
        <f>IF(NOT(ISNUMBER($A1302)),NA(),IFERROR(1*INDEX(BBG_Data!$Z$2:$Z$4000,MATCH($A1302,BBG_Data!$Y$2:$Y$4000,0)),NA()))</f>
        <v/>
      </c>
    </row>
    <row r="1303">
      <c r="A1303" s="17">
        <f>IF(ISNUMBER(BBG_Data!A1303),BBG_Data!A1303,"")</f>
        <v/>
      </c>
      <c r="B1303" s="18">
        <f>IF(AND(ISNUMBER($A1303),ISNUMBER(BBG_Data!B1303)),BBG_Data!B1303,NA())</f>
        <v/>
      </c>
      <c r="C1303" s="18">
        <f>IF(NOT(ISNUMBER($A1303)),NA(),IFERROR(1*INDEX(BBG_Data!$D$2:$D$4000,MATCH($A1303,BBG_Data!$C$2:$C$4000,0)),NA()))</f>
        <v/>
      </c>
      <c r="D1303" s="19">
        <f>IF(NOT(ISNUMBER($A1303)),NA(),IFERROR(1*INDEX(BBG_Data!$F$2:$F$4000,MATCH($A1303,BBG_Data!$E$2:$E$4000,0)),NA()))</f>
        <v/>
      </c>
      <c r="E1303" s="19">
        <f>IF(NOT(ISNUMBER($A1303)),NA(),IFERROR(1*INDEX(BBG_Data!$H$2:$H$4000,MATCH($A1303,BBG_Data!$G$2:$G$4000,0)),NA()))</f>
        <v/>
      </c>
      <c r="F1303" s="20">
        <f>IF(AND(ISNUMBER(B1303),ISNUMBER(B1302)),IF(B1303=B1302,"",(B1303-B1302)*100),"")</f>
        <v/>
      </c>
      <c r="G1303" s="20">
        <f>IF(AND(ISNUMBER(C1303),ISNUMBER(C1302)),IF(C1303=C1302,"",(C1303-C1302)*100),"")</f>
        <v/>
      </c>
      <c r="H1303" s="20">
        <f>IF(OR(NOT(ISNUMBER($A1303)),ROW()-2&lt;Settings!$B$11),NA(),IF(COUNT(OFFSET(F1303,1-Settings!$B$11,0,Settings!$B$11,1))&lt;ROUNDUP(Settings!$B$11*Settings!$B$26,0),NA(),STDEV(OFFSET(F1303,1-Settings!$B$11,0,Settings!$B$11,1))*SQRT(Settings!$B$13)))</f>
        <v/>
      </c>
      <c r="I1303" s="20">
        <f>IF(OR(NOT(ISNUMBER($A1303)),ROW()-2&lt;Settings!$B$12),NA(),IF(COUNT(OFFSET(F1303,1-Settings!$B$12,0,Settings!$B$12,1))&lt;ROUNDUP(Settings!$B$12*Settings!$B$26,0),NA(),STDEV(OFFSET(F1303,1-Settings!$B$12,0,Settings!$B$12,1))*SQRT(Settings!$B$13)))</f>
        <v/>
      </c>
      <c r="J1303" s="20">
        <f>IF(OR(NOT(ISNUMBER($A1303)),ROW()-2&lt;Settings!$B$11),NA(),IF(COUNT(OFFSET(G1303,1-Settings!$B$11,0,Settings!$B$11,1))&lt;ROUNDUP(Settings!$B$11*Settings!$B$26,0),NA(),STDEV(OFFSET(G1303,1-Settings!$B$11,0,Settings!$B$11,1))*SQRT(Settings!$B$13)))</f>
        <v/>
      </c>
      <c r="K1303" s="20">
        <f>IF(OR(NOT(ISNUMBER($A1303)),ROW()-2&lt;Settings!$B$12),NA(),IF(COUNT(OFFSET(G1303,1-Settings!$B$12,0,Settings!$B$12,1))&lt;ROUNDUP(Settings!$B$12*Settings!$B$26,0),NA(),STDEV(OFFSET(G1303,1-Settings!$B$12,0,Settings!$B$12,1))*SQRT(Settings!$B$13)))</f>
        <v/>
      </c>
      <c r="L1303" s="20">
        <f>IF(AND(ISNUMBER(D1303),ISNUMBER(H1303)),D1303-H1303,NA())</f>
        <v/>
      </c>
      <c r="M1303" s="20">
        <f>IF(AND(ISNUMBER(E1303),ISNUMBER(K1303)),E1303-K1303,NA())</f>
        <v/>
      </c>
      <c r="N1303" s="20">
        <f>IF(NOT(ISNUMBER($A1303)),NA(),IF(COUNT(OFFSET(G1303,1,0,Settings!$B$12,1))&lt;ROUNDUP(Settings!$B$12*Settings!$B$26,0),NA(),STDEV(OFFSET(G1303,1,0,Settings!$B$12,1))*SQRT(Settings!$B$13)))</f>
        <v/>
      </c>
      <c r="O1303" s="20">
        <f>IF(AND(ISNUMBER(E1303),ISNUMBER(N1303)),E1303-N1303,NA())</f>
        <v/>
      </c>
      <c r="P1303" s="19">
        <f>IF(NOT(ISNUMBER($A1303)),NA(),IF(OR($A1303&lt;MIN(KW_TP!$A$2:$A$2501),$A1303&gt;MAX(KW_TP!$A$2:$A$2501)),NA(),INDEX(KW_TP!$C$2:$C$2501,MATCH($A1303,KW_TP!$A$2:$A$2501,1))))</f>
        <v/>
      </c>
      <c r="Q1303" s="18">
        <f>IF(NOT(ISNUMBER($A1303)),NA(),IFERROR(1*INDEX(BBG_Data!$J$2:$J$4000,MATCH($A1303,BBG_Data!$I$2:$I$4000,0)),NA()))</f>
        <v/>
      </c>
      <c r="R1303" s="18">
        <f>IF(NOT(ISNUMBER($A1303)),NA(),IFERROR(1*INDEX(BBG_Data!$L$2:$L$4000,MATCH($A1303,BBG_Data!$K$2:$K$4000,0)),NA()))</f>
        <v/>
      </c>
      <c r="S1303" s="20">
        <f>IF(AND(ISNUMBER(B1303),ISNUMBER(Q1303),ISNUMBER(R1303)),(B1303-Q1303-R1303)*100,NA())</f>
        <v/>
      </c>
      <c r="T1303" s="20">
        <f>IF(AND(ISNUMBER(B1303),Settings!$B$17&gt;0),IF(ISNUMBER(INDEX($B:$B,Settings!$B$17)),(B1303-INDEX($B:$B,Settings!$B$17))*100,NA()),NA())</f>
        <v/>
      </c>
      <c r="U1303" s="20">
        <f>IF(AND(ISNUMBER(Q1303),Settings!$B$17&gt;0),IF(ISNUMBER(INDEX($Q:$Q,Settings!$B$17)),(Q1303-INDEX($Q:$Q,Settings!$B$17))*100,NA()),NA())</f>
        <v/>
      </c>
      <c r="V1303" s="20">
        <f>IF(AND(ISNUMBER(R1303),Settings!$B$17&gt;0),IF(ISNUMBER(INDEX($R:$R,Settings!$B$17)),(R1303-INDEX($R:$R,Settings!$B$17))*100,NA()),NA())</f>
        <v/>
      </c>
      <c r="W1303" s="20">
        <f>IF(AND(ISNUMBER(P1303),Settings!$B$17&gt;0),IF(ISNUMBER(INDEX($P:$P,Settings!$B$17)),P1303-INDEX($P:$P,Settings!$B$17),NA()),NA())</f>
        <v/>
      </c>
      <c r="X1303" s="19">
        <f>IF(NOT(ISNUMBER($A1303)),NA(),IF(OR($A1303&lt;MIN(DKW_10Y!$A$2:$A$2918),$A1303&gt;MAX(DKW_10Y!$A$2:$A$2918),Settings!$B$16&lt;MIN(DKW_10Y!$A$2:$A$2918)),NA(),(INDEX(DKW_10Y!$B$2:$B$2918,MATCH($A1303,DKW_10Y!$A$2:$A$2918,1))-INDEX(DKW_10Y!$B$2:$B$2918,MATCH(Settings!$B$16,DKW_10Y!$A$2:$A$2918,1)))*100))</f>
        <v/>
      </c>
      <c r="Y1303" s="19">
        <f>IF(NOT(ISNUMBER($A1303)),NA(),IF(OR($A1303&lt;MIN(DKW_10Y!$A$2:$A$2918),$A1303&gt;MAX(DKW_10Y!$A$2:$A$2918),Settings!$B$16&lt;MIN(DKW_10Y!$A$2:$A$2918)),NA(),(INDEX(DKW_10Y!$C$2:$C$2918,MATCH($A1303,DKW_10Y!$A$2:$A$2918,1))-INDEX(DKW_10Y!$C$2:$C$2918,MATCH(Settings!$B$16,DKW_10Y!$A$2:$A$2918,1)))*100))</f>
        <v/>
      </c>
      <c r="Z1303" s="19">
        <f>IF(NOT(ISNUMBER($A1303)),NA(),IF(OR($A1303&lt;MIN(DKW_10Y!$A$2:$A$2918),$A1303&gt;MAX(DKW_10Y!$A$2:$A$2918),Settings!$B$16&lt;MIN(DKW_10Y!$A$2:$A$2918)),NA(),(INDEX(DKW_10Y!$D$2:$D$2918,MATCH($A1303,DKW_10Y!$A$2:$A$2918,1))-INDEX(DKW_10Y!$D$2:$D$2918,MATCH(Settings!$B$16,DKW_10Y!$A$2:$A$2918,1)))*100))</f>
        <v/>
      </c>
      <c r="AA1303" s="19">
        <f>IF(NOT(ISNUMBER($A1303)),NA(),IF(OR($A1303&lt;MIN(DKW_10Y!$A$2:$A$2918),$A1303&gt;MAX(DKW_10Y!$A$2:$A$2918),Settings!$B$16&lt;MIN(DKW_10Y!$A$2:$A$2918)),NA(),(INDEX(DKW_10Y!$E$2:$E$2918,MATCH($A1303,DKW_10Y!$A$2:$A$2918,1))-INDEX(DKW_10Y!$E$2:$E$2918,MATCH(Settings!$B$16,DKW_10Y!$A$2:$A$2918,1)))*100))</f>
        <v/>
      </c>
      <c r="AB1303" s="19">
        <f>IF(NOT(ISNUMBER($A1303)),NA(),IF(OR($A1303&lt;MIN(DKW_10Y!$A$2:$A$2918),$A1303&gt;MAX(DKW_10Y!$A$2:$A$2918),Settings!$B$16&lt;MIN(DKW_10Y!$A$2:$A$2918)),NA(),(INDEX(DKW_10Y!$H$2:$H$2918,MATCH($A1303,DKW_10Y!$A$2:$A$2918,1))-INDEX(DKW_10Y!$H$2:$H$2918,MATCH(Settings!$B$16,DKW_10Y!$A$2:$A$2918,1)))*100))</f>
        <v/>
      </c>
      <c r="AC1303" s="18">
        <f>IF(NOT(ISNUMBER($A1303)),NA(),IFERROR(1*INDEX(BBG_Data!$N$2:$N$4000,MATCH($A1303,BBG_Data!$M$2:$M$4000,0)),NA()))</f>
        <v/>
      </c>
      <c r="AD1303" s="18">
        <f>IF(NOT(ISNUMBER($A1303)),NA(),IFERROR(1*INDEX(BBG_Data!$P$2:$P$4000,MATCH($A1303,BBG_Data!$O$2:$O$4000,0)),NA()))</f>
        <v/>
      </c>
      <c r="AE1303" s="18">
        <f>IF(NOT(ISNUMBER($A1303)),NA(),IFERROR(1*INDEX(BBG_Data!$R$2:$R$4000,MATCH($A1303,BBG_Data!$Q$2:$Q$4000,0)),NA()))</f>
        <v/>
      </c>
      <c r="AF1303" s="20">
        <f>IF(AND(ISNUMBER(B1303),ISNUMBER(AC1303)),(B1303-AC1303)*100,NA())</f>
        <v/>
      </c>
      <c r="AG1303" s="20">
        <f>IF(AND(ISNUMBER(AE1303),ISNUMBER(AD1303)),(AE1303-AD1303)*100,NA())</f>
        <v/>
      </c>
      <c r="AH1303" s="19">
        <f>IF(NOT(ISNUMBER($A1303)),NA(),IFERROR(INDEX(BBG_Data!$T$2:$T$4000,MATCH($A1303,BBG_Data!$S$2:$S$4000,0))*Settings!$B$25,NA()))</f>
        <v/>
      </c>
      <c r="AI1303" s="19">
        <f>IF(NOT(ISNUMBER($A1303)),NA(),IFERROR(INDEX(BBG_Data!$V$2:$V$4000,MATCH($A1303,BBG_Data!$U$2:$U$4000,0))*Settings!$B$25,NA()))</f>
        <v/>
      </c>
      <c r="AJ1303" s="19">
        <f>IF(NOT(ISNUMBER($A1303)),NA(),IFERROR(1*INDEX(BBG_Data!$X$2:$X$4000,MATCH($A1303,BBG_Data!$W$2:$W$4000,0)),NA()))</f>
        <v/>
      </c>
      <c r="AK1303" s="19">
        <f>IF(NOT(ISNUMBER($A1303)),NA(),IFERROR(1*INDEX(BBG_Data!$Z$2:$Z$4000,MATCH($A1303,BBG_Data!$Y$2:$Y$4000,0)),NA()))</f>
        <v/>
      </c>
    </row>
    <row r="1304">
      <c r="A1304" s="17">
        <f>IF(ISNUMBER(BBG_Data!A1304),BBG_Data!A1304,"")</f>
        <v/>
      </c>
      <c r="B1304" s="18">
        <f>IF(AND(ISNUMBER($A1304),ISNUMBER(BBG_Data!B1304)),BBG_Data!B1304,NA())</f>
        <v/>
      </c>
      <c r="C1304" s="18">
        <f>IF(NOT(ISNUMBER($A1304)),NA(),IFERROR(1*INDEX(BBG_Data!$D$2:$D$4000,MATCH($A1304,BBG_Data!$C$2:$C$4000,0)),NA()))</f>
        <v/>
      </c>
      <c r="D1304" s="19">
        <f>IF(NOT(ISNUMBER($A1304)),NA(),IFERROR(1*INDEX(BBG_Data!$F$2:$F$4000,MATCH($A1304,BBG_Data!$E$2:$E$4000,0)),NA()))</f>
        <v/>
      </c>
      <c r="E1304" s="19">
        <f>IF(NOT(ISNUMBER($A1304)),NA(),IFERROR(1*INDEX(BBG_Data!$H$2:$H$4000,MATCH($A1304,BBG_Data!$G$2:$G$4000,0)),NA()))</f>
        <v/>
      </c>
      <c r="F1304" s="20">
        <f>IF(AND(ISNUMBER(B1304),ISNUMBER(B1303)),IF(B1304=B1303,"",(B1304-B1303)*100),"")</f>
        <v/>
      </c>
      <c r="G1304" s="20">
        <f>IF(AND(ISNUMBER(C1304),ISNUMBER(C1303)),IF(C1304=C1303,"",(C1304-C1303)*100),"")</f>
        <v/>
      </c>
      <c r="H1304" s="20">
        <f>IF(OR(NOT(ISNUMBER($A1304)),ROW()-2&lt;Settings!$B$11),NA(),IF(COUNT(OFFSET(F1304,1-Settings!$B$11,0,Settings!$B$11,1))&lt;ROUNDUP(Settings!$B$11*Settings!$B$26,0),NA(),STDEV(OFFSET(F1304,1-Settings!$B$11,0,Settings!$B$11,1))*SQRT(Settings!$B$13)))</f>
        <v/>
      </c>
      <c r="I1304" s="20">
        <f>IF(OR(NOT(ISNUMBER($A1304)),ROW()-2&lt;Settings!$B$12),NA(),IF(COUNT(OFFSET(F1304,1-Settings!$B$12,0,Settings!$B$12,1))&lt;ROUNDUP(Settings!$B$12*Settings!$B$26,0),NA(),STDEV(OFFSET(F1304,1-Settings!$B$12,0,Settings!$B$12,1))*SQRT(Settings!$B$13)))</f>
        <v/>
      </c>
      <c r="J1304" s="20">
        <f>IF(OR(NOT(ISNUMBER($A1304)),ROW()-2&lt;Settings!$B$11),NA(),IF(COUNT(OFFSET(G1304,1-Settings!$B$11,0,Settings!$B$11,1))&lt;ROUNDUP(Settings!$B$11*Settings!$B$26,0),NA(),STDEV(OFFSET(G1304,1-Settings!$B$11,0,Settings!$B$11,1))*SQRT(Settings!$B$13)))</f>
        <v/>
      </c>
      <c r="K1304" s="20">
        <f>IF(OR(NOT(ISNUMBER($A1304)),ROW()-2&lt;Settings!$B$12),NA(),IF(COUNT(OFFSET(G1304,1-Settings!$B$12,0,Settings!$B$12,1))&lt;ROUNDUP(Settings!$B$12*Settings!$B$26,0),NA(),STDEV(OFFSET(G1304,1-Settings!$B$12,0,Settings!$B$12,1))*SQRT(Settings!$B$13)))</f>
        <v/>
      </c>
      <c r="L1304" s="20">
        <f>IF(AND(ISNUMBER(D1304),ISNUMBER(H1304)),D1304-H1304,NA())</f>
        <v/>
      </c>
      <c r="M1304" s="20">
        <f>IF(AND(ISNUMBER(E1304),ISNUMBER(K1304)),E1304-K1304,NA())</f>
        <v/>
      </c>
      <c r="N1304" s="20">
        <f>IF(NOT(ISNUMBER($A1304)),NA(),IF(COUNT(OFFSET(G1304,1,0,Settings!$B$12,1))&lt;ROUNDUP(Settings!$B$12*Settings!$B$26,0),NA(),STDEV(OFFSET(G1304,1,0,Settings!$B$12,1))*SQRT(Settings!$B$13)))</f>
        <v/>
      </c>
      <c r="O1304" s="20">
        <f>IF(AND(ISNUMBER(E1304),ISNUMBER(N1304)),E1304-N1304,NA())</f>
        <v/>
      </c>
      <c r="P1304" s="19">
        <f>IF(NOT(ISNUMBER($A1304)),NA(),IF(OR($A1304&lt;MIN(KW_TP!$A$2:$A$2501),$A1304&gt;MAX(KW_TP!$A$2:$A$2501)),NA(),INDEX(KW_TP!$C$2:$C$2501,MATCH($A1304,KW_TP!$A$2:$A$2501,1))))</f>
        <v/>
      </c>
      <c r="Q1304" s="18">
        <f>IF(NOT(ISNUMBER($A1304)),NA(),IFERROR(1*INDEX(BBG_Data!$J$2:$J$4000,MATCH($A1304,BBG_Data!$I$2:$I$4000,0)),NA()))</f>
        <v/>
      </c>
      <c r="R1304" s="18">
        <f>IF(NOT(ISNUMBER($A1304)),NA(),IFERROR(1*INDEX(BBG_Data!$L$2:$L$4000,MATCH($A1304,BBG_Data!$K$2:$K$4000,0)),NA()))</f>
        <v/>
      </c>
      <c r="S1304" s="20">
        <f>IF(AND(ISNUMBER(B1304),ISNUMBER(Q1304),ISNUMBER(R1304)),(B1304-Q1304-R1304)*100,NA())</f>
        <v/>
      </c>
      <c r="T1304" s="20">
        <f>IF(AND(ISNUMBER(B1304),Settings!$B$17&gt;0),IF(ISNUMBER(INDEX($B:$B,Settings!$B$17)),(B1304-INDEX($B:$B,Settings!$B$17))*100,NA()),NA())</f>
        <v/>
      </c>
      <c r="U1304" s="20">
        <f>IF(AND(ISNUMBER(Q1304),Settings!$B$17&gt;0),IF(ISNUMBER(INDEX($Q:$Q,Settings!$B$17)),(Q1304-INDEX($Q:$Q,Settings!$B$17))*100,NA()),NA())</f>
        <v/>
      </c>
      <c r="V1304" s="20">
        <f>IF(AND(ISNUMBER(R1304),Settings!$B$17&gt;0),IF(ISNUMBER(INDEX($R:$R,Settings!$B$17)),(R1304-INDEX($R:$R,Settings!$B$17))*100,NA()),NA())</f>
        <v/>
      </c>
      <c r="W1304" s="20">
        <f>IF(AND(ISNUMBER(P1304),Settings!$B$17&gt;0),IF(ISNUMBER(INDEX($P:$P,Settings!$B$17)),P1304-INDEX($P:$P,Settings!$B$17),NA()),NA())</f>
        <v/>
      </c>
      <c r="X1304" s="19">
        <f>IF(NOT(ISNUMBER($A1304)),NA(),IF(OR($A1304&lt;MIN(DKW_10Y!$A$2:$A$2918),$A1304&gt;MAX(DKW_10Y!$A$2:$A$2918),Settings!$B$16&lt;MIN(DKW_10Y!$A$2:$A$2918)),NA(),(INDEX(DKW_10Y!$B$2:$B$2918,MATCH($A1304,DKW_10Y!$A$2:$A$2918,1))-INDEX(DKW_10Y!$B$2:$B$2918,MATCH(Settings!$B$16,DKW_10Y!$A$2:$A$2918,1)))*100))</f>
        <v/>
      </c>
      <c r="Y1304" s="19">
        <f>IF(NOT(ISNUMBER($A1304)),NA(),IF(OR($A1304&lt;MIN(DKW_10Y!$A$2:$A$2918),$A1304&gt;MAX(DKW_10Y!$A$2:$A$2918),Settings!$B$16&lt;MIN(DKW_10Y!$A$2:$A$2918)),NA(),(INDEX(DKW_10Y!$C$2:$C$2918,MATCH($A1304,DKW_10Y!$A$2:$A$2918,1))-INDEX(DKW_10Y!$C$2:$C$2918,MATCH(Settings!$B$16,DKW_10Y!$A$2:$A$2918,1)))*100))</f>
        <v/>
      </c>
      <c r="Z1304" s="19">
        <f>IF(NOT(ISNUMBER($A1304)),NA(),IF(OR($A1304&lt;MIN(DKW_10Y!$A$2:$A$2918),$A1304&gt;MAX(DKW_10Y!$A$2:$A$2918),Settings!$B$16&lt;MIN(DKW_10Y!$A$2:$A$2918)),NA(),(INDEX(DKW_10Y!$D$2:$D$2918,MATCH($A1304,DKW_10Y!$A$2:$A$2918,1))-INDEX(DKW_10Y!$D$2:$D$2918,MATCH(Settings!$B$16,DKW_10Y!$A$2:$A$2918,1)))*100))</f>
        <v/>
      </c>
      <c r="AA1304" s="19">
        <f>IF(NOT(ISNUMBER($A1304)),NA(),IF(OR($A1304&lt;MIN(DKW_10Y!$A$2:$A$2918),$A1304&gt;MAX(DKW_10Y!$A$2:$A$2918),Settings!$B$16&lt;MIN(DKW_10Y!$A$2:$A$2918)),NA(),(INDEX(DKW_10Y!$E$2:$E$2918,MATCH($A1304,DKW_10Y!$A$2:$A$2918,1))-INDEX(DKW_10Y!$E$2:$E$2918,MATCH(Settings!$B$16,DKW_10Y!$A$2:$A$2918,1)))*100))</f>
        <v/>
      </c>
      <c r="AB1304" s="19">
        <f>IF(NOT(ISNUMBER($A1304)),NA(),IF(OR($A1304&lt;MIN(DKW_10Y!$A$2:$A$2918),$A1304&gt;MAX(DKW_10Y!$A$2:$A$2918),Settings!$B$16&lt;MIN(DKW_10Y!$A$2:$A$2918)),NA(),(INDEX(DKW_10Y!$H$2:$H$2918,MATCH($A1304,DKW_10Y!$A$2:$A$2918,1))-INDEX(DKW_10Y!$H$2:$H$2918,MATCH(Settings!$B$16,DKW_10Y!$A$2:$A$2918,1)))*100))</f>
        <v/>
      </c>
      <c r="AC1304" s="18">
        <f>IF(NOT(ISNUMBER($A1304)),NA(),IFERROR(1*INDEX(BBG_Data!$N$2:$N$4000,MATCH($A1304,BBG_Data!$M$2:$M$4000,0)),NA()))</f>
        <v/>
      </c>
      <c r="AD1304" s="18">
        <f>IF(NOT(ISNUMBER($A1304)),NA(),IFERROR(1*INDEX(BBG_Data!$P$2:$P$4000,MATCH($A1304,BBG_Data!$O$2:$O$4000,0)),NA()))</f>
        <v/>
      </c>
      <c r="AE1304" s="18">
        <f>IF(NOT(ISNUMBER($A1304)),NA(),IFERROR(1*INDEX(BBG_Data!$R$2:$R$4000,MATCH($A1304,BBG_Data!$Q$2:$Q$4000,0)),NA()))</f>
        <v/>
      </c>
      <c r="AF1304" s="20">
        <f>IF(AND(ISNUMBER(B1304),ISNUMBER(AC1304)),(B1304-AC1304)*100,NA())</f>
        <v/>
      </c>
      <c r="AG1304" s="20">
        <f>IF(AND(ISNUMBER(AE1304),ISNUMBER(AD1304)),(AE1304-AD1304)*100,NA())</f>
        <v/>
      </c>
      <c r="AH1304" s="19">
        <f>IF(NOT(ISNUMBER($A1304)),NA(),IFERROR(INDEX(BBG_Data!$T$2:$T$4000,MATCH($A1304,BBG_Data!$S$2:$S$4000,0))*Settings!$B$25,NA()))</f>
        <v/>
      </c>
      <c r="AI1304" s="19">
        <f>IF(NOT(ISNUMBER($A1304)),NA(),IFERROR(INDEX(BBG_Data!$V$2:$V$4000,MATCH($A1304,BBG_Data!$U$2:$U$4000,0))*Settings!$B$25,NA()))</f>
        <v/>
      </c>
      <c r="AJ1304" s="19">
        <f>IF(NOT(ISNUMBER($A1304)),NA(),IFERROR(1*INDEX(BBG_Data!$X$2:$X$4000,MATCH($A1304,BBG_Data!$W$2:$W$4000,0)),NA()))</f>
        <v/>
      </c>
      <c r="AK1304" s="19">
        <f>IF(NOT(ISNUMBER($A1304)),NA(),IFERROR(1*INDEX(BBG_Data!$Z$2:$Z$4000,MATCH($A1304,BBG_Data!$Y$2:$Y$4000,0)),NA()))</f>
        <v/>
      </c>
    </row>
    <row r="1305">
      <c r="A1305" s="17">
        <f>IF(ISNUMBER(BBG_Data!A1305),BBG_Data!A1305,"")</f>
        <v/>
      </c>
      <c r="B1305" s="18">
        <f>IF(AND(ISNUMBER($A1305),ISNUMBER(BBG_Data!B1305)),BBG_Data!B1305,NA())</f>
        <v/>
      </c>
      <c r="C1305" s="18">
        <f>IF(NOT(ISNUMBER($A1305)),NA(),IFERROR(1*INDEX(BBG_Data!$D$2:$D$4000,MATCH($A1305,BBG_Data!$C$2:$C$4000,0)),NA()))</f>
        <v/>
      </c>
      <c r="D1305" s="19">
        <f>IF(NOT(ISNUMBER($A1305)),NA(),IFERROR(1*INDEX(BBG_Data!$F$2:$F$4000,MATCH($A1305,BBG_Data!$E$2:$E$4000,0)),NA()))</f>
        <v/>
      </c>
      <c r="E1305" s="19">
        <f>IF(NOT(ISNUMBER($A1305)),NA(),IFERROR(1*INDEX(BBG_Data!$H$2:$H$4000,MATCH($A1305,BBG_Data!$G$2:$G$4000,0)),NA()))</f>
        <v/>
      </c>
      <c r="F1305" s="20">
        <f>IF(AND(ISNUMBER(B1305),ISNUMBER(B1304)),IF(B1305=B1304,"",(B1305-B1304)*100),"")</f>
        <v/>
      </c>
      <c r="G1305" s="20">
        <f>IF(AND(ISNUMBER(C1305),ISNUMBER(C1304)),IF(C1305=C1304,"",(C1305-C1304)*100),"")</f>
        <v/>
      </c>
      <c r="H1305" s="20">
        <f>IF(OR(NOT(ISNUMBER($A1305)),ROW()-2&lt;Settings!$B$11),NA(),IF(COUNT(OFFSET(F1305,1-Settings!$B$11,0,Settings!$B$11,1))&lt;ROUNDUP(Settings!$B$11*Settings!$B$26,0),NA(),STDEV(OFFSET(F1305,1-Settings!$B$11,0,Settings!$B$11,1))*SQRT(Settings!$B$13)))</f>
        <v/>
      </c>
      <c r="I1305" s="20">
        <f>IF(OR(NOT(ISNUMBER($A1305)),ROW()-2&lt;Settings!$B$12),NA(),IF(COUNT(OFFSET(F1305,1-Settings!$B$12,0,Settings!$B$12,1))&lt;ROUNDUP(Settings!$B$12*Settings!$B$26,0),NA(),STDEV(OFFSET(F1305,1-Settings!$B$12,0,Settings!$B$12,1))*SQRT(Settings!$B$13)))</f>
        <v/>
      </c>
      <c r="J1305" s="20">
        <f>IF(OR(NOT(ISNUMBER($A1305)),ROW()-2&lt;Settings!$B$11),NA(),IF(COUNT(OFFSET(G1305,1-Settings!$B$11,0,Settings!$B$11,1))&lt;ROUNDUP(Settings!$B$11*Settings!$B$26,0),NA(),STDEV(OFFSET(G1305,1-Settings!$B$11,0,Settings!$B$11,1))*SQRT(Settings!$B$13)))</f>
        <v/>
      </c>
      <c r="K1305" s="20">
        <f>IF(OR(NOT(ISNUMBER($A1305)),ROW()-2&lt;Settings!$B$12),NA(),IF(COUNT(OFFSET(G1305,1-Settings!$B$12,0,Settings!$B$12,1))&lt;ROUNDUP(Settings!$B$12*Settings!$B$26,0),NA(),STDEV(OFFSET(G1305,1-Settings!$B$12,0,Settings!$B$12,1))*SQRT(Settings!$B$13)))</f>
        <v/>
      </c>
      <c r="L1305" s="20">
        <f>IF(AND(ISNUMBER(D1305),ISNUMBER(H1305)),D1305-H1305,NA())</f>
        <v/>
      </c>
      <c r="M1305" s="20">
        <f>IF(AND(ISNUMBER(E1305),ISNUMBER(K1305)),E1305-K1305,NA())</f>
        <v/>
      </c>
      <c r="N1305" s="20">
        <f>IF(NOT(ISNUMBER($A1305)),NA(),IF(COUNT(OFFSET(G1305,1,0,Settings!$B$12,1))&lt;ROUNDUP(Settings!$B$12*Settings!$B$26,0),NA(),STDEV(OFFSET(G1305,1,0,Settings!$B$12,1))*SQRT(Settings!$B$13)))</f>
        <v/>
      </c>
      <c r="O1305" s="20">
        <f>IF(AND(ISNUMBER(E1305),ISNUMBER(N1305)),E1305-N1305,NA())</f>
        <v/>
      </c>
      <c r="P1305" s="19">
        <f>IF(NOT(ISNUMBER($A1305)),NA(),IF(OR($A1305&lt;MIN(KW_TP!$A$2:$A$2501),$A1305&gt;MAX(KW_TP!$A$2:$A$2501)),NA(),INDEX(KW_TP!$C$2:$C$2501,MATCH($A1305,KW_TP!$A$2:$A$2501,1))))</f>
        <v/>
      </c>
      <c r="Q1305" s="18">
        <f>IF(NOT(ISNUMBER($A1305)),NA(),IFERROR(1*INDEX(BBG_Data!$J$2:$J$4000,MATCH($A1305,BBG_Data!$I$2:$I$4000,0)),NA()))</f>
        <v/>
      </c>
      <c r="R1305" s="18">
        <f>IF(NOT(ISNUMBER($A1305)),NA(),IFERROR(1*INDEX(BBG_Data!$L$2:$L$4000,MATCH($A1305,BBG_Data!$K$2:$K$4000,0)),NA()))</f>
        <v/>
      </c>
      <c r="S1305" s="20">
        <f>IF(AND(ISNUMBER(B1305),ISNUMBER(Q1305),ISNUMBER(R1305)),(B1305-Q1305-R1305)*100,NA())</f>
        <v/>
      </c>
      <c r="T1305" s="20">
        <f>IF(AND(ISNUMBER(B1305),Settings!$B$17&gt;0),IF(ISNUMBER(INDEX($B:$B,Settings!$B$17)),(B1305-INDEX($B:$B,Settings!$B$17))*100,NA()),NA())</f>
        <v/>
      </c>
      <c r="U1305" s="20">
        <f>IF(AND(ISNUMBER(Q1305),Settings!$B$17&gt;0),IF(ISNUMBER(INDEX($Q:$Q,Settings!$B$17)),(Q1305-INDEX($Q:$Q,Settings!$B$17))*100,NA()),NA())</f>
        <v/>
      </c>
      <c r="V1305" s="20">
        <f>IF(AND(ISNUMBER(R1305),Settings!$B$17&gt;0),IF(ISNUMBER(INDEX($R:$R,Settings!$B$17)),(R1305-INDEX($R:$R,Settings!$B$17))*100,NA()),NA())</f>
        <v/>
      </c>
      <c r="W1305" s="20">
        <f>IF(AND(ISNUMBER(P1305),Settings!$B$17&gt;0),IF(ISNUMBER(INDEX($P:$P,Settings!$B$17)),P1305-INDEX($P:$P,Settings!$B$17),NA()),NA())</f>
        <v/>
      </c>
      <c r="X1305" s="19">
        <f>IF(NOT(ISNUMBER($A1305)),NA(),IF(OR($A1305&lt;MIN(DKW_10Y!$A$2:$A$2918),$A1305&gt;MAX(DKW_10Y!$A$2:$A$2918),Settings!$B$16&lt;MIN(DKW_10Y!$A$2:$A$2918)),NA(),(INDEX(DKW_10Y!$B$2:$B$2918,MATCH($A1305,DKW_10Y!$A$2:$A$2918,1))-INDEX(DKW_10Y!$B$2:$B$2918,MATCH(Settings!$B$16,DKW_10Y!$A$2:$A$2918,1)))*100))</f>
        <v/>
      </c>
      <c r="Y1305" s="19">
        <f>IF(NOT(ISNUMBER($A1305)),NA(),IF(OR($A1305&lt;MIN(DKW_10Y!$A$2:$A$2918),$A1305&gt;MAX(DKW_10Y!$A$2:$A$2918),Settings!$B$16&lt;MIN(DKW_10Y!$A$2:$A$2918)),NA(),(INDEX(DKW_10Y!$C$2:$C$2918,MATCH($A1305,DKW_10Y!$A$2:$A$2918,1))-INDEX(DKW_10Y!$C$2:$C$2918,MATCH(Settings!$B$16,DKW_10Y!$A$2:$A$2918,1)))*100))</f>
        <v/>
      </c>
      <c r="Z1305" s="19">
        <f>IF(NOT(ISNUMBER($A1305)),NA(),IF(OR($A1305&lt;MIN(DKW_10Y!$A$2:$A$2918),$A1305&gt;MAX(DKW_10Y!$A$2:$A$2918),Settings!$B$16&lt;MIN(DKW_10Y!$A$2:$A$2918)),NA(),(INDEX(DKW_10Y!$D$2:$D$2918,MATCH($A1305,DKW_10Y!$A$2:$A$2918,1))-INDEX(DKW_10Y!$D$2:$D$2918,MATCH(Settings!$B$16,DKW_10Y!$A$2:$A$2918,1)))*100))</f>
        <v/>
      </c>
      <c r="AA1305" s="19">
        <f>IF(NOT(ISNUMBER($A1305)),NA(),IF(OR($A1305&lt;MIN(DKW_10Y!$A$2:$A$2918),$A1305&gt;MAX(DKW_10Y!$A$2:$A$2918),Settings!$B$16&lt;MIN(DKW_10Y!$A$2:$A$2918)),NA(),(INDEX(DKW_10Y!$E$2:$E$2918,MATCH($A1305,DKW_10Y!$A$2:$A$2918,1))-INDEX(DKW_10Y!$E$2:$E$2918,MATCH(Settings!$B$16,DKW_10Y!$A$2:$A$2918,1)))*100))</f>
        <v/>
      </c>
      <c r="AB1305" s="19">
        <f>IF(NOT(ISNUMBER($A1305)),NA(),IF(OR($A1305&lt;MIN(DKW_10Y!$A$2:$A$2918),$A1305&gt;MAX(DKW_10Y!$A$2:$A$2918),Settings!$B$16&lt;MIN(DKW_10Y!$A$2:$A$2918)),NA(),(INDEX(DKW_10Y!$H$2:$H$2918,MATCH($A1305,DKW_10Y!$A$2:$A$2918,1))-INDEX(DKW_10Y!$H$2:$H$2918,MATCH(Settings!$B$16,DKW_10Y!$A$2:$A$2918,1)))*100))</f>
        <v/>
      </c>
      <c r="AC1305" s="18">
        <f>IF(NOT(ISNUMBER($A1305)),NA(),IFERROR(1*INDEX(BBG_Data!$N$2:$N$4000,MATCH($A1305,BBG_Data!$M$2:$M$4000,0)),NA()))</f>
        <v/>
      </c>
      <c r="AD1305" s="18">
        <f>IF(NOT(ISNUMBER($A1305)),NA(),IFERROR(1*INDEX(BBG_Data!$P$2:$P$4000,MATCH($A1305,BBG_Data!$O$2:$O$4000,0)),NA()))</f>
        <v/>
      </c>
      <c r="AE1305" s="18">
        <f>IF(NOT(ISNUMBER($A1305)),NA(),IFERROR(1*INDEX(BBG_Data!$R$2:$R$4000,MATCH($A1305,BBG_Data!$Q$2:$Q$4000,0)),NA()))</f>
        <v/>
      </c>
      <c r="AF1305" s="20">
        <f>IF(AND(ISNUMBER(B1305),ISNUMBER(AC1305)),(B1305-AC1305)*100,NA())</f>
        <v/>
      </c>
      <c r="AG1305" s="20">
        <f>IF(AND(ISNUMBER(AE1305),ISNUMBER(AD1305)),(AE1305-AD1305)*100,NA())</f>
        <v/>
      </c>
      <c r="AH1305" s="19">
        <f>IF(NOT(ISNUMBER($A1305)),NA(),IFERROR(INDEX(BBG_Data!$T$2:$T$4000,MATCH($A1305,BBG_Data!$S$2:$S$4000,0))*Settings!$B$25,NA()))</f>
        <v/>
      </c>
      <c r="AI1305" s="19">
        <f>IF(NOT(ISNUMBER($A1305)),NA(),IFERROR(INDEX(BBG_Data!$V$2:$V$4000,MATCH($A1305,BBG_Data!$U$2:$U$4000,0))*Settings!$B$25,NA()))</f>
        <v/>
      </c>
      <c r="AJ1305" s="19">
        <f>IF(NOT(ISNUMBER($A1305)),NA(),IFERROR(1*INDEX(BBG_Data!$X$2:$X$4000,MATCH($A1305,BBG_Data!$W$2:$W$4000,0)),NA()))</f>
        <v/>
      </c>
      <c r="AK1305" s="19">
        <f>IF(NOT(ISNUMBER($A1305)),NA(),IFERROR(1*INDEX(BBG_Data!$Z$2:$Z$4000,MATCH($A1305,BBG_Data!$Y$2:$Y$4000,0)),NA()))</f>
        <v/>
      </c>
    </row>
    <row r="1306">
      <c r="A1306" s="17">
        <f>IF(ISNUMBER(BBG_Data!A1306),BBG_Data!A1306,"")</f>
        <v/>
      </c>
      <c r="B1306" s="18">
        <f>IF(AND(ISNUMBER($A1306),ISNUMBER(BBG_Data!B1306)),BBG_Data!B1306,NA())</f>
        <v/>
      </c>
      <c r="C1306" s="18">
        <f>IF(NOT(ISNUMBER($A1306)),NA(),IFERROR(1*INDEX(BBG_Data!$D$2:$D$4000,MATCH($A1306,BBG_Data!$C$2:$C$4000,0)),NA()))</f>
        <v/>
      </c>
      <c r="D1306" s="19">
        <f>IF(NOT(ISNUMBER($A1306)),NA(),IFERROR(1*INDEX(BBG_Data!$F$2:$F$4000,MATCH($A1306,BBG_Data!$E$2:$E$4000,0)),NA()))</f>
        <v/>
      </c>
      <c r="E1306" s="19">
        <f>IF(NOT(ISNUMBER($A1306)),NA(),IFERROR(1*INDEX(BBG_Data!$H$2:$H$4000,MATCH($A1306,BBG_Data!$G$2:$G$4000,0)),NA()))</f>
        <v/>
      </c>
      <c r="F1306" s="20">
        <f>IF(AND(ISNUMBER(B1306),ISNUMBER(B1305)),IF(B1306=B1305,"",(B1306-B1305)*100),"")</f>
        <v/>
      </c>
      <c r="G1306" s="20">
        <f>IF(AND(ISNUMBER(C1306),ISNUMBER(C1305)),IF(C1306=C1305,"",(C1306-C1305)*100),"")</f>
        <v/>
      </c>
      <c r="H1306" s="20">
        <f>IF(OR(NOT(ISNUMBER($A1306)),ROW()-2&lt;Settings!$B$11),NA(),IF(COUNT(OFFSET(F1306,1-Settings!$B$11,0,Settings!$B$11,1))&lt;ROUNDUP(Settings!$B$11*Settings!$B$26,0),NA(),STDEV(OFFSET(F1306,1-Settings!$B$11,0,Settings!$B$11,1))*SQRT(Settings!$B$13)))</f>
        <v/>
      </c>
      <c r="I1306" s="20">
        <f>IF(OR(NOT(ISNUMBER($A1306)),ROW()-2&lt;Settings!$B$12),NA(),IF(COUNT(OFFSET(F1306,1-Settings!$B$12,0,Settings!$B$12,1))&lt;ROUNDUP(Settings!$B$12*Settings!$B$26,0),NA(),STDEV(OFFSET(F1306,1-Settings!$B$12,0,Settings!$B$12,1))*SQRT(Settings!$B$13)))</f>
        <v/>
      </c>
      <c r="J1306" s="20">
        <f>IF(OR(NOT(ISNUMBER($A1306)),ROW()-2&lt;Settings!$B$11),NA(),IF(COUNT(OFFSET(G1306,1-Settings!$B$11,0,Settings!$B$11,1))&lt;ROUNDUP(Settings!$B$11*Settings!$B$26,0),NA(),STDEV(OFFSET(G1306,1-Settings!$B$11,0,Settings!$B$11,1))*SQRT(Settings!$B$13)))</f>
        <v/>
      </c>
      <c r="K1306" s="20">
        <f>IF(OR(NOT(ISNUMBER($A1306)),ROW()-2&lt;Settings!$B$12),NA(),IF(COUNT(OFFSET(G1306,1-Settings!$B$12,0,Settings!$B$12,1))&lt;ROUNDUP(Settings!$B$12*Settings!$B$26,0),NA(),STDEV(OFFSET(G1306,1-Settings!$B$12,0,Settings!$B$12,1))*SQRT(Settings!$B$13)))</f>
        <v/>
      </c>
      <c r="L1306" s="20">
        <f>IF(AND(ISNUMBER(D1306),ISNUMBER(H1306)),D1306-H1306,NA())</f>
        <v/>
      </c>
      <c r="M1306" s="20">
        <f>IF(AND(ISNUMBER(E1306),ISNUMBER(K1306)),E1306-K1306,NA())</f>
        <v/>
      </c>
      <c r="N1306" s="20">
        <f>IF(NOT(ISNUMBER($A1306)),NA(),IF(COUNT(OFFSET(G1306,1,0,Settings!$B$12,1))&lt;ROUNDUP(Settings!$B$12*Settings!$B$26,0),NA(),STDEV(OFFSET(G1306,1,0,Settings!$B$12,1))*SQRT(Settings!$B$13)))</f>
        <v/>
      </c>
      <c r="O1306" s="20">
        <f>IF(AND(ISNUMBER(E1306),ISNUMBER(N1306)),E1306-N1306,NA())</f>
        <v/>
      </c>
      <c r="P1306" s="19">
        <f>IF(NOT(ISNUMBER($A1306)),NA(),IF(OR($A1306&lt;MIN(KW_TP!$A$2:$A$2501),$A1306&gt;MAX(KW_TP!$A$2:$A$2501)),NA(),INDEX(KW_TP!$C$2:$C$2501,MATCH($A1306,KW_TP!$A$2:$A$2501,1))))</f>
        <v/>
      </c>
      <c r="Q1306" s="18">
        <f>IF(NOT(ISNUMBER($A1306)),NA(),IFERROR(1*INDEX(BBG_Data!$J$2:$J$4000,MATCH($A1306,BBG_Data!$I$2:$I$4000,0)),NA()))</f>
        <v/>
      </c>
      <c r="R1306" s="18">
        <f>IF(NOT(ISNUMBER($A1306)),NA(),IFERROR(1*INDEX(BBG_Data!$L$2:$L$4000,MATCH($A1306,BBG_Data!$K$2:$K$4000,0)),NA()))</f>
        <v/>
      </c>
      <c r="S1306" s="20">
        <f>IF(AND(ISNUMBER(B1306),ISNUMBER(Q1306),ISNUMBER(R1306)),(B1306-Q1306-R1306)*100,NA())</f>
        <v/>
      </c>
      <c r="T1306" s="20">
        <f>IF(AND(ISNUMBER(B1306),Settings!$B$17&gt;0),IF(ISNUMBER(INDEX($B:$B,Settings!$B$17)),(B1306-INDEX($B:$B,Settings!$B$17))*100,NA()),NA())</f>
        <v/>
      </c>
      <c r="U1306" s="20">
        <f>IF(AND(ISNUMBER(Q1306),Settings!$B$17&gt;0),IF(ISNUMBER(INDEX($Q:$Q,Settings!$B$17)),(Q1306-INDEX($Q:$Q,Settings!$B$17))*100,NA()),NA())</f>
        <v/>
      </c>
      <c r="V1306" s="20">
        <f>IF(AND(ISNUMBER(R1306),Settings!$B$17&gt;0),IF(ISNUMBER(INDEX($R:$R,Settings!$B$17)),(R1306-INDEX($R:$R,Settings!$B$17))*100,NA()),NA())</f>
        <v/>
      </c>
      <c r="W1306" s="20">
        <f>IF(AND(ISNUMBER(P1306),Settings!$B$17&gt;0),IF(ISNUMBER(INDEX($P:$P,Settings!$B$17)),P1306-INDEX($P:$P,Settings!$B$17),NA()),NA())</f>
        <v/>
      </c>
      <c r="X1306" s="19">
        <f>IF(NOT(ISNUMBER($A1306)),NA(),IF(OR($A1306&lt;MIN(DKW_10Y!$A$2:$A$2918),$A1306&gt;MAX(DKW_10Y!$A$2:$A$2918),Settings!$B$16&lt;MIN(DKW_10Y!$A$2:$A$2918)),NA(),(INDEX(DKW_10Y!$B$2:$B$2918,MATCH($A1306,DKW_10Y!$A$2:$A$2918,1))-INDEX(DKW_10Y!$B$2:$B$2918,MATCH(Settings!$B$16,DKW_10Y!$A$2:$A$2918,1)))*100))</f>
        <v/>
      </c>
      <c r="Y1306" s="19">
        <f>IF(NOT(ISNUMBER($A1306)),NA(),IF(OR($A1306&lt;MIN(DKW_10Y!$A$2:$A$2918),$A1306&gt;MAX(DKW_10Y!$A$2:$A$2918),Settings!$B$16&lt;MIN(DKW_10Y!$A$2:$A$2918)),NA(),(INDEX(DKW_10Y!$C$2:$C$2918,MATCH($A1306,DKW_10Y!$A$2:$A$2918,1))-INDEX(DKW_10Y!$C$2:$C$2918,MATCH(Settings!$B$16,DKW_10Y!$A$2:$A$2918,1)))*100))</f>
        <v/>
      </c>
      <c r="Z1306" s="19">
        <f>IF(NOT(ISNUMBER($A1306)),NA(),IF(OR($A1306&lt;MIN(DKW_10Y!$A$2:$A$2918),$A1306&gt;MAX(DKW_10Y!$A$2:$A$2918),Settings!$B$16&lt;MIN(DKW_10Y!$A$2:$A$2918)),NA(),(INDEX(DKW_10Y!$D$2:$D$2918,MATCH($A1306,DKW_10Y!$A$2:$A$2918,1))-INDEX(DKW_10Y!$D$2:$D$2918,MATCH(Settings!$B$16,DKW_10Y!$A$2:$A$2918,1)))*100))</f>
        <v/>
      </c>
      <c r="AA1306" s="19">
        <f>IF(NOT(ISNUMBER($A1306)),NA(),IF(OR($A1306&lt;MIN(DKW_10Y!$A$2:$A$2918),$A1306&gt;MAX(DKW_10Y!$A$2:$A$2918),Settings!$B$16&lt;MIN(DKW_10Y!$A$2:$A$2918)),NA(),(INDEX(DKW_10Y!$E$2:$E$2918,MATCH($A1306,DKW_10Y!$A$2:$A$2918,1))-INDEX(DKW_10Y!$E$2:$E$2918,MATCH(Settings!$B$16,DKW_10Y!$A$2:$A$2918,1)))*100))</f>
        <v/>
      </c>
      <c r="AB1306" s="19">
        <f>IF(NOT(ISNUMBER($A1306)),NA(),IF(OR($A1306&lt;MIN(DKW_10Y!$A$2:$A$2918),$A1306&gt;MAX(DKW_10Y!$A$2:$A$2918),Settings!$B$16&lt;MIN(DKW_10Y!$A$2:$A$2918)),NA(),(INDEX(DKW_10Y!$H$2:$H$2918,MATCH($A1306,DKW_10Y!$A$2:$A$2918,1))-INDEX(DKW_10Y!$H$2:$H$2918,MATCH(Settings!$B$16,DKW_10Y!$A$2:$A$2918,1)))*100))</f>
        <v/>
      </c>
      <c r="AC1306" s="18">
        <f>IF(NOT(ISNUMBER($A1306)),NA(),IFERROR(1*INDEX(BBG_Data!$N$2:$N$4000,MATCH($A1306,BBG_Data!$M$2:$M$4000,0)),NA()))</f>
        <v/>
      </c>
      <c r="AD1306" s="18">
        <f>IF(NOT(ISNUMBER($A1306)),NA(),IFERROR(1*INDEX(BBG_Data!$P$2:$P$4000,MATCH($A1306,BBG_Data!$O$2:$O$4000,0)),NA()))</f>
        <v/>
      </c>
      <c r="AE1306" s="18">
        <f>IF(NOT(ISNUMBER($A1306)),NA(),IFERROR(1*INDEX(BBG_Data!$R$2:$R$4000,MATCH($A1306,BBG_Data!$Q$2:$Q$4000,0)),NA()))</f>
        <v/>
      </c>
      <c r="AF1306" s="20">
        <f>IF(AND(ISNUMBER(B1306),ISNUMBER(AC1306)),(B1306-AC1306)*100,NA())</f>
        <v/>
      </c>
      <c r="AG1306" s="20">
        <f>IF(AND(ISNUMBER(AE1306),ISNUMBER(AD1306)),(AE1306-AD1306)*100,NA())</f>
        <v/>
      </c>
      <c r="AH1306" s="19">
        <f>IF(NOT(ISNUMBER($A1306)),NA(),IFERROR(INDEX(BBG_Data!$T$2:$T$4000,MATCH($A1306,BBG_Data!$S$2:$S$4000,0))*Settings!$B$25,NA()))</f>
        <v/>
      </c>
      <c r="AI1306" s="19">
        <f>IF(NOT(ISNUMBER($A1306)),NA(),IFERROR(INDEX(BBG_Data!$V$2:$V$4000,MATCH($A1306,BBG_Data!$U$2:$U$4000,0))*Settings!$B$25,NA()))</f>
        <v/>
      </c>
      <c r="AJ1306" s="19">
        <f>IF(NOT(ISNUMBER($A1306)),NA(),IFERROR(1*INDEX(BBG_Data!$X$2:$X$4000,MATCH($A1306,BBG_Data!$W$2:$W$4000,0)),NA()))</f>
        <v/>
      </c>
      <c r="AK1306" s="19">
        <f>IF(NOT(ISNUMBER($A1306)),NA(),IFERROR(1*INDEX(BBG_Data!$Z$2:$Z$4000,MATCH($A1306,BBG_Data!$Y$2:$Y$4000,0)),NA()))</f>
        <v/>
      </c>
    </row>
    <row r="1307">
      <c r="A1307" s="17">
        <f>IF(ISNUMBER(BBG_Data!A1307),BBG_Data!A1307,"")</f>
        <v/>
      </c>
      <c r="B1307" s="18">
        <f>IF(AND(ISNUMBER($A1307),ISNUMBER(BBG_Data!B1307)),BBG_Data!B1307,NA())</f>
        <v/>
      </c>
      <c r="C1307" s="18">
        <f>IF(NOT(ISNUMBER($A1307)),NA(),IFERROR(1*INDEX(BBG_Data!$D$2:$D$4000,MATCH($A1307,BBG_Data!$C$2:$C$4000,0)),NA()))</f>
        <v/>
      </c>
      <c r="D1307" s="19">
        <f>IF(NOT(ISNUMBER($A1307)),NA(),IFERROR(1*INDEX(BBG_Data!$F$2:$F$4000,MATCH($A1307,BBG_Data!$E$2:$E$4000,0)),NA()))</f>
        <v/>
      </c>
      <c r="E1307" s="19">
        <f>IF(NOT(ISNUMBER($A1307)),NA(),IFERROR(1*INDEX(BBG_Data!$H$2:$H$4000,MATCH($A1307,BBG_Data!$G$2:$G$4000,0)),NA()))</f>
        <v/>
      </c>
      <c r="F1307" s="20">
        <f>IF(AND(ISNUMBER(B1307),ISNUMBER(B1306)),IF(B1307=B1306,"",(B1307-B1306)*100),"")</f>
        <v/>
      </c>
      <c r="G1307" s="20">
        <f>IF(AND(ISNUMBER(C1307),ISNUMBER(C1306)),IF(C1307=C1306,"",(C1307-C1306)*100),"")</f>
        <v/>
      </c>
      <c r="H1307" s="20">
        <f>IF(OR(NOT(ISNUMBER($A1307)),ROW()-2&lt;Settings!$B$11),NA(),IF(COUNT(OFFSET(F1307,1-Settings!$B$11,0,Settings!$B$11,1))&lt;ROUNDUP(Settings!$B$11*Settings!$B$26,0),NA(),STDEV(OFFSET(F1307,1-Settings!$B$11,0,Settings!$B$11,1))*SQRT(Settings!$B$13)))</f>
        <v/>
      </c>
      <c r="I1307" s="20">
        <f>IF(OR(NOT(ISNUMBER($A1307)),ROW()-2&lt;Settings!$B$12),NA(),IF(COUNT(OFFSET(F1307,1-Settings!$B$12,0,Settings!$B$12,1))&lt;ROUNDUP(Settings!$B$12*Settings!$B$26,0),NA(),STDEV(OFFSET(F1307,1-Settings!$B$12,0,Settings!$B$12,1))*SQRT(Settings!$B$13)))</f>
        <v/>
      </c>
      <c r="J1307" s="20">
        <f>IF(OR(NOT(ISNUMBER($A1307)),ROW()-2&lt;Settings!$B$11),NA(),IF(COUNT(OFFSET(G1307,1-Settings!$B$11,0,Settings!$B$11,1))&lt;ROUNDUP(Settings!$B$11*Settings!$B$26,0),NA(),STDEV(OFFSET(G1307,1-Settings!$B$11,0,Settings!$B$11,1))*SQRT(Settings!$B$13)))</f>
        <v/>
      </c>
      <c r="K1307" s="20">
        <f>IF(OR(NOT(ISNUMBER($A1307)),ROW()-2&lt;Settings!$B$12),NA(),IF(COUNT(OFFSET(G1307,1-Settings!$B$12,0,Settings!$B$12,1))&lt;ROUNDUP(Settings!$B$12*Settings!$B$26,0),NA(),STDEV(OFFSET(G1307,1-Settings!$B$12,0,Settings!$B$12,1))*SQRT(Settings!$B$13)))</f>
        <v/>
      </c>
      <c r="L1307" s="20">
        <f>IF(AND(ISNUMBER(D1307),ISNUMBER(H1307)),D1307-H1307,NA())</f>
        <v/>
      </c>
      <c r="M1307" s="20">
        <f>IF(AND(ISNUMBER(E1307),ISNUMBER(K1307)),E1307-K1307,NA())</f>
        <v/>
      </c>
      <c r="N1307" s="20">
        <f>IF(NOT(ISNUMBER($A1307)),NA(),IF(COUNT(OFFSET(G1307,1,0,Settings!$B$12,1))&lt;ROUNDUP(Settings!$B$12*Settings!$B$26,0),NA(),STDEV(OFFSET(G1307,1,0,Settings!$B$12,1))*SQRT(Settings!$B$13)))</f>
        <v/>
      </c>
      <c r="O1307" s="20">
        <f>IF(AND(ISNUMBER(E1307),ISNUMBER(N1307)),E1307-N1307,NA())</f>
        <v/>
      </c>
      <c r="P1307" s="19">
        <f>IF(NOT(ISNUMBER($A1307)),NA(),IF(OR($A1307&lt;MIN(KW_TP!$A$2:$A$2501),$A1307&gt;MAX(KW_TP!$A$2:$A$2501)),NA(),INDEX(KW_TP!$C$2:$C$2501,MATCH($A1307,KW_TP!$A$2:$A$2501,1))))</f>
        <v/>
      </c>
      <c r="Q1307" s="18">
        <f>IF(NOT(ISNUMBER($A1307)),NA(),IFERROR(1*INDEX(BBG_Data!$J$2:$J$4000,MATCH($A1307,BBG_Data!$I$2:$I$4000,0)),NA()))</f>
        <v/>
      </c>
      <c r="R1307" s="18">
        <f>IF(NOT(ISNUMBER($A1307)),NA(),IFERROR(1*INDEX(BBG_Data!$L$2:$L$4000,MATCH($A1307,BBG_Data!$K$2:$K$4000,0)),NA()))</f>
        <v/>
      </c>
      <c r="S1307" s="20">
        <f>IF(AND(ISNUMBER(B1307),ISNUMBER(Q1307),ISNUMBER(R1307)),(B1307-Q1307-R1307)*100,NA())</f>
        <v/>
      </c>
      <c r="T1307" s="20">
        <f>IF(AND(ISNUMBER(B1307),Settings!$B$17&gt;0),IF(ISNUMBER(INDEX($B:$B,Settings!$B$17)),(B1307-INDEX($B:$B,Settings!$B$17))*100,NA()),NA())</f>
        <v/>
      </c>
      <c r="U1307" s="20">
        <f>IF(AND(ISNUMBER(Q1307),Settings!$B$17&gt;0),IF(ISNUMBER(INDEX($Q:$Q,Settings!$B$17)),(Q1307-INDEX($Q:$Q,Settings!$B$17))*100,NA()),NA())</f>
        <v/>
      </c>
      <c r="V1307" s="20">
        <f>IF(AND(ISNUMBER(R1307),Settings!$B$17&gt;0),IF(ISNUMBER(INDEX($R:$R,Settings!$B$17)),(R1307-INDEX($R:$R,Settings!$B$17))*100,NA()),NA())</f>
        <v/>
      </c>
      <c r="W1307" s="20">
        <f>IF(AND(ISNUMBER(P1307),Settings!$B$17&gt;0),IF(ISNUMBER(INDEX($P:$P,Settings!$B$17)),P1307-INDEX($P:$P,Settings!$B$17),NA()),NA())</f>
        <v/>
      </c>
      <c r="X1307" s="19">
        <f>IF(NOT(ISNUMBER($A1307)),NA(),IF(OR($A1307&lt;MIN(DKW_10Y!$A$2:$A$2918),$A1307&gt;MAX(DKW_10Y!$A$2:$A$2918),Settings!$B$16&lt;MIN(DKW_10Y!$A$2:$A$2918)),NA(),(INDEX(DKW_10Y!$B$2:$B$2918,MATCH($A1307,DKW_10Y!$A$2:$A$2918,1))-INDEX(DKW_10Y!$B$2:$B$2918,MATCH(Settings!$B$16,DKW_10Y!$A$2:$A$2918,1)))*100))</f>
        <v/>
      </c>
      <c r="Y1307" s="19">
        <f>IF(NOT(ISNUMBER($A1307)),NA(),IF(OR($A1307&lt;MIN(DKW_10Y!$A$2:$A$2918),$A1307&gt;MAX(DKW_10Y!$A$2:$A$2918),Settings!$B$16&lt;MIN(DKW_10Y!$A$2:$A$2918)),NA(),(INDEX(DKW_10Y!$C$2:$C$2918,MATCH($A1307,DKW_10Y!$A$2:$A$2918,1))-INDEX(DKW_10Y!$C$2:$C$2918,MATCH(Settings!$B$16,DKW_10Y!$A$2:$A$2918,1)))*100))</f>
        <v/>
      </c>
      <c r="Z1307" s="19">
        <f>IF(NOT(ISNUMBER($A1307)),NA(),IF(OR($A1307&lt;MIN(DKW_10Y!$A$2:$A$2918),$A1307&gt;MAX(DKW_10Y!$A$2:$A$2918),Settings!$B$16&lt;MIN(DKW_10Y!$A$2:$A$2918)),NA(),(INDEX(DKW_10Y!$D$2:$D$2918,MATCH($A1307,DKW_10Y!$A$2:$A$2918,1))-INDEX(DKW_10Y!$D$2:$D$2918,MATCH(Settings!$B$16,DKW_10Y!$A$2:$A$2918,1)))*100))</f>
        <v/>
      </c>
      <c r="AA1307" s="19">
        <f>IF(NOT(ISNUMBER($A1307)),NA(),IF(OR($A1307&lt;MIN(DKW_10Y!$A$2:$A$2918),$A1307&gt;MAX(DKW_10Y!$A$2:$A$2918),Settings!$B$16&lt;MIN(DKW_10Y!$A$2:$A$2918)),NA(),(INDEX(DKW_10Y!$E$2:$E$2918,MATCH($A1307,DKW_10Y!$A$2:$A$2918,1))-INDEX(DKW_10Y!$E$2:$E$2918,MATCH(Settings!$B$16,DKW_10Y!$A$2:$A$2918,1)))*100))</f>
        <v/>
      </c>
      <c r="AB1307" s="19">
        <f>IF(NOT(ISNUMBER($A1307)),NA(),IF(OR($A1307&lt;MIN(DKW_10Y!$A$2:$A$2918),$A1307&gt;MAX(DKW_10Y!$A$2:$A$2918),Settings!$B$16&lt;MIN(DKW_10Y!$A$2:$A$2918)),NA(),(INDEX(DKW_10Y!$H$2:$H$2918,MATCH($A1307,DKW_10Y!$A$2:$A$2918,1))-INDEX(DKW_10Y!$H$2:$H$2918,MATCH(Settings!$B$16,DKW_10Y!$A$2:$A$2918,1)))*100))</f>
        <v/>
      </c>
      <c r="AC1307" s="18">
        <f>IF(NOT(ISNUMBER($A1307)),NA(),IFERROR(1*INDEX(BBG_Data!$N$2:$N$4000,MATCH($A1307,BBG_Data!$M$2:$M$4000,0)),NA()))</f>
        <v/>
      </c>
      <c r="AD1307" s="18">
        <f>IF(NOT(ISNUMBER($A1307)),NA(),IFERROR(1*INDEX(BBG_Data!$P$2:$P$4000,MATCH($A1307,BBG_Data!$O$2:$O$4000,0)),NA()))</f>
        <v/>
      </c>
      <c r="AE1307" s="18">
        <f>IF(NOT(ISNUMBER($A1307)),NA(),IFERROR(1*INDEX(BBG_Data!$R$2:$R$4000,MATCH($A1307,BBG_Data!$Q$2:$Q$4000,0)),NA()))</f>
        <v/>
      </c>
      <c r="AF1307" s="20">
        <f>IF(AND(ISNUMBER(B1307),ISNUMBER(AC1307)),(B1307-AC1307)*100,NA())</f>
        <v/>
      </c>
      <c r="AG1307" s="20">
        <f>IF(AND(ISNUMBER(AE1307),ISNUMBER(AD1307)),(AE1307-AD1307)*100,NA())</f>
        <v/>
      </c>
      <c r="AH1307" s="19">
        <f>IF(NOT(ISNUMBER($A1307)),NA(),IFERROR(INDEX(BBG_Data!$T$2:$T$4000,MATCH($A1307,BBG_Data!$S$2:$S$4000,0))*Settings!$B$25,NA()))</f>
        <v/>
      </c>
      <c r="AI1307" s="19">
        <f>IF(NOT(ISNUMBER($A1307)),NA(),IFERROR(INDEX(BBG_Data!$V$2:$V$4000,MATCH($A1307,BBG_Data!$U$2:$U$4000,0))*Settings!$B$25,NA()))</f>
        <v/>
      </c>
      <c r="AJ1307" s="19">
        <f>IF(NOT(ISNUMBER($A1307)),NA(),IFERROR(1*INDEX(BBG_Data!$X$2:$X$4000,MATCH($A1307,BBG_Data!$W$2:$W$4000,0)),NA()))</f>
        <v/>
      </c>
      <c r="AK1307" s="19">
        <f>IF(NOT(ISNUMBER($A1307)),NA(),IFERROR(1*INDEX(BBG_Data!$Z$2:$Z$4000,MATCH($A1307,BBG_Data!$Y$2:$Y$4000,0)),NA()))</f>
        <v/>
      </c>
    </row>
    <row r="1308">
      <c r="A1308" s="17">
        <f>IF(ISNUMBER(BBG_Data!A1308),BBG_Data!A1308,"")</f>
        <v/>
      </c>
      <c r="B1308" s="18">
        <f>IF(AND(ISNUMBER($A1308),ISNUMBER(BBG_Data!B1308)),BBG_Data!B1308,NA())</f>
        <v/>
      </c>
      <c r="C1308" s="18">
        <f>IF(NOT(ISNUMBER($A1308)),NA(),IFERROR(1*INDEX(BBG_Data!$D$2:$D$4000,MATCH($A1308,BBG_Data!$C$2:$C$4000,0)),NA()))</f>
        <v/>
      </c>
      <c r="D1308" s="19">
        <f>IF(NOT(ISNUMBER($A1308)),NA(),IFERROR(1*INDEX(BBG_Data!$F$2:$F$4000,MATCH($A1308,BBG_Data!$E$2:$E$4000,0)),NA()))</f>
        <v/>
      </c>
      <c r="E1308" s="19">
        <f>IF(NOT(ISNUMBER($A1308)),NA(),IFERROR(1*INDEX(BBG_Data!$H$2:$H$4000,MATCH($A1308,BBG_Data!$G$2:$G$4000,0)),NA()))</f>
        <v/>
      </c>
      <c r="F1308" s="20">
        <f>IF(AND(ISNUMBER(B1308),ISNUMBER(B1307)),IF(B1308=B1307,"",(B1308-B1307)*100),"")</f>
        <v/>
      </c>
      <c r="G1308" s="20">
        <f>IF(AND(ISNUMBER(C1308),ISNUMBER(C1307)),IF(C1308=C1307,"",(C1308-C1307)*100),"")</f>
        <v/>
      </c>
      <c r="H1308" s="20">
        <f>IF(OR(NOT(ISNUMBER($A1308)),ROW()-2&lt;Settings!$B$11),NA(),IF(COUNT(OFFSET(F1308,1-Settings!$B$11,0,Settings!$B$11,1))&lt;ROUNDUP(Settings!$B$11*Settings!$B$26,0),NA(),STDEV(OFFSET(F1308,1-Settings!$B$11,0,Settings!$B$11,1))*SQRT(Settings!$B$13)))</f>
        <v/>
      </c>
      <c r="I1308" s="20">
        <f>IF(OR(NOT(ISNUMBER($A1308)),ROW()-2&lt;Settings!$B$12),NA(),IF(COUNT(OFFSET(F1308,1-Settings!$B$12,0,Settings!$B$12,1))&lt;ROUNDUP(Settings!$B$12*Settings!$B$26,0),NA(),STDEV(OFFSET(F1308,1-Settings!$B$12,0,Settings!$B$12,1))*SQRT(Settings!$B$13)))</f>
        <v/>
      </c>
      <c r="J1308" s="20">
        <f>IF(OR(NOT(ISNUMBER($A1308)),ROW()-2&lt;Settings!$B$11),NA(),IF(COUNT(OFFSET(G1308,1-Settings!$B$11,0,Settings!$B$11,1))&lt;ROUNDUP(Settings!$B$11*Settings!$B$26,0),NA(),STDEV(OFFSET(G1308,1-Settings!$B$11,0,Settings!$B$11,1))*SQRT(Settings!$B$13)))</f>
        <v/>
      </c>
      <c r="K1308" s="20">
        <f>IF(OR(NOT(ISNUMBER($A1308)),ROW()-2&lt;Settings!$B$12),NA(),IF(COUNT(OFFSET(G1308,1-Settings!$B$12,0,Settings!$B$12,1))&lt;ROUNDUP(Settings!$B$12*Settings!$B$26,0),NA(),STDEV(OFFSET(G1308,1-Settings!$B$12,0,Settings!$B$12,1))*SQRT(Settings!$B$13)))</f>
        <v/>
      </c>
      <c r="L1308" s="20">
        <f>IF(AND(ISNUMBER(D1308),ISNUMBER(H1308)),D1308-H1308,NA())</f>
        <v/>
      </c>
      <c r="M1308" s="20">
        <f>IF(AND(ISNUMBER(E1308),ISNUMBER(K1308)),E1308-K1308,NA())</f>
        <v/>
      </c>
      <c r="N1308" s="20">
        <f>IF(NOT(ISNUMBER($A1308)),NA(),IF(COUNT(OFFSET(G1308,1,0,Settings!$B$12,1))&lt;ROUNDUP(Settings!$B$12*Settings!$B$26,0),NA(),STDEV(OFFSET(G1308,1,0,Settings!$B$12,1))*SQRT(Settings!$B$13)))</f>
        <v/>
      </c>
      <c r="O1308" s="20">
        <f>IF(AND(ISNUMBER(E1308),ISNUMBER(N1308)),E1308-N1308,NA())</f>
        <v/>
      </c>
      <c r="P1308" s="19">
        <f>IF(NOT(ISNUMBER($A1308)),NA(),IF(OR($A1308&lt;MIN(KW_TP!$A$2:$A$2501),$A1308&gt;MAX(KW_TP!$A$2:$A$2501)),NA(),INDEX(KW_TP!$C$2:$C$2501,MATCH($A1308,KW_TP!$A$2:$A$2501,1))))</f>
        <v/>
      </c>
      <c r="Q1308" s="18">
        <f>IF(NOT(ISNUMBER($A1308)),NA(),IFERROR(1*INDEX(BBG_Data!$J$2:$J$4000,MATCH($A1308,BBG_Data!$I$2:$I$4000,0)),NA()))</f>
        <v/>
      </c>
      <c r="R1308" s="18">
        <f>IF(NOT(ISNUMBER($A1308)),NA(),IFERROR(1*INDEX(BBG_Data!$L$2:$L$4000,MATCH($A1308,BBG_Data!$K$2:$K$4000,0)),NA()))</f>
        <v/>
      </c>
      <c r="S1308" s="20">
        <f>IF(AND(ISNUMBER(B1308),ISNUMBER(Q1308),ISNUMBER(R1308)),(B1308-Q1308-R1308)*100,NA())</f>
        <v/>
      </c>
      <c r="T1308" s="20">
        <f>IF(AND(ISNUMBER(B1308),Settings!$B$17&gt;0),IF(ISNUMBER(INDEX($B:$B,Settings!$B$17)),(B1308-INDEX($B:$B,Settings!$B$17))*100,NA()),NA())</f>
        <v/>
      </c>
      <c r="U1308" s="20">
        <f>IF(AND(ISNUMBER(Q1308),Settings!$B$17&gt;0),IF(ISNUMBER(INDEX($Q:$Q,Settings!$B$17)),(Q1308-INDEX($Q:$Q,Settings!$B$17))*100,NA()),NA())</f>
        <v/>
      </c>
      <c r="V1308" s="20">
        <f>IF(AND(ISNUMBER(R1308),Settings!$B$17&gt;0),IF(ISNUMBER(INDEX($R:$R,Settings!$B$17)),(R1308-INDEX($R:$R,Settings!$B$17))*100,NA()),NA())</f>
        <v/>
      </c>
      <c r="W1308" s="20">
        <f>IF(AND(ISNUMBER(P1308),Settings!$B$17&gt;0),IF(ISNUMBER(INDEX($P:$P,Settings!$B$17)),P1308-INDEX($P:$P,Settings!$B$17),NA()),NA())</f>
        <v/>
      </c>
      <c r="X1308" s="19">
        <f>IF(NOT(ISNUMBER($A1308)),NA(),IF(OR($A1308&lt;MIN(DKW_10Y!$A$2:$A$2918),$A1308&gt;MAX(DKW_10Y!$A$2:$A$2918),Settings!$B$16&lt;MIN(DKW_10Y!$A$2:$A$2918)),NA(),(INDEX(DKW_10Y!$B$2:$B$2918,MATCH($A1308,DKW_10Y!$A$2:$A$2918,1))-INDEX(DKW_10Y!$B$2:$B$2918,MATCH(Settings!$B$16,DKW_10Y!$A$2:$A$2918,1)))*100))</f>
        <v/>
      </c>
      <c r="Y1308" s="19">
        <f>IF(NOT(ISNUMBER($A1308)),NA(),IF(OR($A1308&lt;MIN(DKW_10Y!$A$2:$A$2918),$A1308&gt;MAX(DKW_10Y!$A$2:$A$2918),Settings!$B$16&lt;MIN(DKW_10Y!$A$2:$A$2918)),NA(),(INDEX(DKW_10Y!$C$2:$C$2918,MATCH($A1308,DKW_10Y!$A$2:$A$2918,1))-INDEX(DKW_10Y!$C$2:$C$2918,MATCH(Settings!$B$16,DKW_10Y!$A$2:$A$2918,1)))*100))</f>
        <v/>
      </c>
      <c r="Z1308" s="19">
        <f>IF(NOT(ISNUMBER($A1308)),NA(),IF(OR($A1308&lt;MIN(DKW_10Y!$A$2:$A$2918),$A1308&gt;MAX(DKW_10Y!$A$2:$A$2918),Settings!$B$16&lt;MIN(DKW_10Y!$A$2:$A$2918)),NA(),(INDEX(DKW_10Y!$D$2:$D$2918,MATCH($A1308,DKW_10Y!$A$2:$A$2918,1))-INDEX(DKW_10Y!$D$2:$D$2918,MATCH(Settings!$B$16,DKW_10Y!$A$2:$A$2918,1)))*100))</f>
        <v/>
      </c>
      <c r="AA1308" s="19">
        <f>IF(NOT(ISNUMBER($A1308)),NA(),IF(OR($A1308&lt;MIN(DKW_10Y!$A$2:$A$2918),$A1308&gt;MAX(DKW_10Y!$A$2:$A$2918),Settings!$B$16&lt;MIN(DKW_10Y!$A$2:$A$2918)),NA(),(INDEX(DKW_10Y!$E$2:$E$2918,MATCH($A1308,DKW_10Y!$A$2:$A$2918,1))-INDEX(DKW_10Y!$E$2:$E$2918,MATCH(Settings!$B$16,DKW_10Y!$A$2:$A$2918,1)))*100))</f>
        <v/>
      </c>
      <c r="AB1308" s="19">
        <f>IF(NOT(ISNUMBER($A1308)),NA(),IF(OR($A1308&lt;MIN(DKW_10Y!$A$2:$A$2918),$A1308&gt;MAX(DKW_10Y!$A$2:$A$2918),Settings!$B$16&lt;MIN(DKW_10Y!$A$2:$A$2918)),NA(),(INDEX(DKW_10Y!$H$2:$H$2918,MATCH($A1308,DKW_10Y!$A$2:$A$2918,1))-INDEX(DKW_10Y!$H$2:$H$2918,MATCH(Settings!$B$16,DKW_10Y!$A$2:$A$2918,1)))*100))</f>
        <v/>
      </c>
      <c r="AC1308" s="18">
        <f>IF(NOT(ISNUMBER($A1308)),NA(),IFERROR(1*INDEX(BBG_Data!$N$2:$N$4000,MATCH($A1308,BBG_Data!$M$2:$M$4000,0)),NA()))</f>
        <v/>
      </c>
      <c r="AD1308" s="18">
        <f>IF(NOT(ISNUMBER($A1308)),NA(),IFERROR(1*INDEX(BBG_Data!$P$2:$P$4000,MATCH($A1308,BBG_Data!$O$2:$O$4000,0)),NA()))</f>
        <v/>
      </c>
      <c r="AE1308" s="18">
        <f>IF(NOT(ISNUMBER($A1308)),NA(),IFERROR(1*INDEX(BBG_Data!$R$2:$R$4000,MATCH($A1308,BBG_Data!$Q$2:$Q$4000,0)),NA()))</f>
        <v/>
      </c>
      <c r="AF1308" s="20">
        <f>IF(AND(ISNUMBER(B1308),ISNUMBER(AC1308)),(B1308-AC1308)*100,NA())</f>
        <v/>
      </c>
      <c r="AG1308" s="20">
        <f>IF(AND(ISNUMBER(AE1308),ISNUMBER(AD1308)),(AE1308-AD1308)*100,NA())</f>
        <v/>
      </c>
      <c r="AH1308" s="19">
        <f>IF(NOT(ISNUMBER($A1308)),NA(),IFERROR(INDEX(BBG_Data!$T$2:$T$4000,MATCH($A1308,BBG_Data!$S$2:$S$4000,0))*Settings!$B$25,NA()))</f>
        <v/>
      </c>
      <c r="AI1308" s="19">
        <f>IF(NOT(ISNUMBER($A1308)),NA(),IFERROR(INDEX(BBG_Data!$V$2:$V$4000,MATCH($A1308,BBG_Data!$U$2:$U$4000,0))*Settings!$B$25,NA()))</f>
        <v/>
      </c>
      <c r="AJ1308" s="19">
        <f>IF(NOT(ISNUMBER($A1308)),NA(),IFERROR(1*INDEX(BBG_Data!$X$2:$X$4000,MATCH($A1308,BBG_Data!$W$2:$W$4000,0)),NA()))</f>
        <v/>
      </c>
      <c r="AK1308" s="19">
        <f>IF(NOT(ISNUMBER($A1308)),NA(),IFERROR(1*INDEX(BBG_Data!$Z$2:$Z$4000,MATCH($A1308,BBG_Data!$Y$2:$Y$4000,0)),NA()))</f>
        <v/>
      </c>
    </row>
    <row r="1309">
      <c r="A1309" s="17">
        <f>IF(ISNUMBER(BBG_Data!A1309),BBG_Data!A1309,"")</f>
        <v/>
      </c>
      <c r="B1309" s="18">
        <f>IF(AND(ISNUMBER($A1309),ISNUMBER(BBG_Data!B1309)),BBG_Data!B1309,NA())</f>
        <v/>
      </c>
      <c r="C1309" s="18">
        <f>IF(NOT(ISNUMBER($A1309)),NA(),IFERROR(1*INDEX(BBG_Data!$D$2:$D$4000,MATCH($A1309,BBG_Data!$C$2:$C$4000,0)),NA()))</f>
        <v/>
      </c>
      <c r="D1309" s="19">
        <f>IF(NOT(ISNUMBER($A1309)),NA(),IFERROR(1*INDEX(BBG_Data!$F$2:$F$4000,MATCH($A1309,BBG_Data!$E$2:$E$4000,0)),NA()))</f>
        <v/>
      </c>
      <c r="E1309" s="19">
        <f>IF(NOT(ISNUMBER($A1309)),NA(),IFERROR(1*INDEX(BBG_Data!$H$2:$H$4000,MATCH($A1309,BBG_Data!$G$2:$G$4000,0)),NA()))</f>
        <v/>
      </c>
      <c r="F1309" s="20">
        <f>IF(AND(ISNUMBER(B1309),ISNUMBER(B1308)),IF(B1309=B1308,"",(B1309-B1308)*100),"")</f>
        <v/>
      </c>
      <c r="G1309" s="20">
        <f>IF(AND(ISNUMBER(C1309),ISNUMBER(C1308)),IF(C1309=C1308,"",(C1309-C1308)*100),"")</f>
        <v/>
      </c>
      <c r="H1309" s="20">
        <f>IF(OR(NOT(ISNUMBER($A1309)),ROW()-2&lt;Settings!$B$11),NA(),IF(COUNT(OFFSET(F1309,1-Settings!$B$11,0,Settings!$B$11,1))&lt;ROUNDUP(Settings!$B$11*Settings!$B$26,0),NA(),STDEV(OFFSET(F1309,1-Settings!$B$11,0,Settings!$B$11,1))*SQRT(Settings!$B$13)))</f>
        <v/>
      </c>
      <c r="I1309" s="20">
        <f>IF(OR(NOT(ISNUMBER($A1309)),ROW()-2&lt;Settings!$B$12),NA(),IF(COUNT(OFFSET(F1309,1-Settings!$B$12,0,Settings!$B$12,1))&lt;ROUNDUP(Settings!$B$12*Settings!$B$26,0),NA(),STDEV(OFFSET(F1309,1-Settings!$B$12,0,Settings!$B$12,1))*SQRT(Settings!$B$13)))</f>
        <v/>
      </c>
      <c r="J1309" s="20">
        <f>IF(OR(NOT(ISNUMBER($A1309)),ROW()-2&lt;Settings!$B$11),NA(),IF(COUNT(OFFSET(G1309,1-Settings!$B$11,0,Settings!$B$11,1))&lt;ROUNDUP(Settings!$B$11*Settings!$B$26,0),NA(),STDEV(OFFSET(G1309,1-Settings!$B$11,0,Settings!$B$11,1))*SQRT(Settings!$B$13)))</f>
        <v/>
      </c>
      <c r="K1309" s="20">
        <f>IF(OR(NOT(ISNUMBER($A1309)),ROW()-2&lt;Settings!$B$12),NA(),IF(COUNT(OFFSET(G1309,1-Settings!$B$12,0,Settings!$B$12,1))&lt;ROUNDUP(Settings!$B$12*Settings!$B$26,0),NA(),STDEV(OFFSET(G1309,1-Settings!$B$12,0,Settings!$B$12,1))*SQRT(Settings!$B$13)))</f>
        <v/>
      </c>
      <c r="L1309" s="20">
        <f>IF(AND(ISNUMBER(D1309),ISNUMBER(H1309)),D1309-H1309,NA())</f>
        <v/>
      </c>
      <c r="M1309" s="20">
        <f>IF(AND(ISNUMBER(E1309),ISNUMBER(K1309)),E1309-K1309,NA())</f>
        <v/>
      </c>
      <c r="N1309" s="20">
        <f>IF(NOT(ISNUMBER($A1309)),NA(),IF(COUNT(OFFSET(G1309,1,0,Settings!$B$12,1))&lt;ROUNDUP(Settings!$B$12*Settings!$B$26,0),NA(),STDEV(OFFSET(G1309,1,0,Settings!$B$12,1))*SQRT(Settings!$B$13)))</f>
        <v/>
      </c>
      <c r="O1309" s="20">
        <f>IF(AND(ISNUMBER(E1309),ISNUMBER(N1309)),E1309-N1309,NA())</f>
        <v/>
      </c>
      <c r="P1309" s="19">
        <f>IF(NOT(ISNUMBER($A1309)),NA(),IF(OR($A1309&lt;MIN(KW_TP!$A$2:$A$2501),$A1309&gt;MAX(KW_TP!$A$2:$A$2501)),NA(),INDEX(KW_TP!$C$2:$C$2501,MATCH($A1309,KW_TP!$A$2:$A$2501,1))))</f>
        <v/>
      </c>
      <c r="Q1309" s="18">
        <f>IF(NOT(ISNUMBER($A1309)),NA(),IFERROR(1*INDEX(BBG_Data!$J$2:$J$4000,MATCH($A1309,BBG_Data!$I$2:$I$4000,0)),NA()))</f>
        <v/>
      </c>
      <c r="R1309" s="18">
        <f>IF(NOT(ISNUMBER($A1309)),NA(),IFERROR(1*INDEX(BBG_Data!$L$2:$L$4000,MATCH($A1309,BBG_Data!$K$2:$K$4000,0)),NA()))</f>
        <v/>
      </c>
      <c r="S1309" s="20">
        <f>IF(AND(ISNUMBER(B1309),ISNUMBER(Q1309),ISNUMBER(R1309)),(B1309-Q1309-R1309)*100,NA())</f>
        <v/>
      </c>
      <c r="T1309" s="20">
        <f>IF(AND(ISNUMBER(B1309),Settings!$B$17&gt;0),IF(ISNUMBER(INDEX($B:$B,Settings!$B$17)),(B1309-INDEX($B:$B,Settings!$B$17))*100,NA()),NA())</f>
        <v/>
      </c>
      <c r="U1309" s="20">
        <f>IF(AND(ISNUMBER(Q1309),Settings!$B$17&gt;0),IF(ISNUMBER(INDEX($Q:$Q,Settings!$B$17)),(Q1309-INDEX($Q:$Q,Settings!$B$17))*100,NA()),NA())</f>
        <v/>
      </c>
      <c r="V1309" s="20">
        <f>IF(AND(ISNUMBER(R1309),Settings!$B$17&gt;0),IF(ISNUMBER(INDEX($R:$R,Settings!$B$17)),(R1309-INDEX($R:$R,Settings!$B$17))*100,NA()),NA())</f>
        <v/>
      </c>
      <c r="W1309" s="20">
        <f>IF(AND(ISNUMBER(P1309),Settings!$B$17&gt;0),IF(ISNUMBER(INDEX($P:$P,Settings!$B$17)),P1309-INDEX($P:$P,Settings!$B$17),NA()),NA())</f>
        <v/>
      </c>
      <c r="X1309" s="19">
        <f>IF(NOT(ISNUMBER($A1309)),NA(),IF(OR($A1309&lt;MIN(DKW_10Y!$A$2:$A$2918),$A1309&gt;MAX(DKW_10Y!$A$2:$A$2918),Settings!$B$16&lt;MIN(DKW_10Y!$A$2:$A$2918)),NA(),(INDEX(DKW_10Y!$B$2:$B$2918,MATCH($A1309,DKW_10Y!$A$2:$A$2918,1))-INDEX(DKW_10Y!$B$2:$B$2918,MATCH(Settings!$B$16,DKW_10Y!$A$2:$A$2918,1)))*100))</f>
        <v/>
      </c>
      <c r="Y1309" s="19">
        <f>IF(NOT(ISNUMBER($A1309)),NA(),IF(OR($A1309&lt;MIN(DKW_10Y!$A$2:$A$2918),$A1309&gt;MAX(DKW_10Y!$A$2:$A$2918),Settings!$B$16&lt;MIN(DKW_10Y!$A$2:$A$2918)),NA(),(INDEX(DKW_10Y!$C$2:$C$2918,MATCH($A1309,DKW_10Y!$A$2:$A$2918,1))-INDEX(DKW_10Y!$C$2:$C$2918,MATCH(Settings!$B$16,DKW_10Y!$A$2:$A$2918,1)))*100))</f>
        <v/>
      </c>
      <c r="Z1309" s="19">
        <f>IF(NOT(ISNUMBER($A1309)),NA(),IF(OR($A1309&lt;MIN(DKW_10Y!$A$2:$A$2918),$A1309&gt;MAX(DKW_10Y!$A$2:$A$2918),Settings!$B$16&lt;MIN(DKW_10Y!$A$2:$A$2918)),NA(),(INDEX(DKW_10Y!$D$2:$D$2918,MATCH($A1309,DKW_10Y!$A$2:$A$2918,1))-INDEX(DKW_10Y!$D$2:$D$2918,MATCH(Settings!$B$16,DKW_10Y!$A$2:$A$2918,1)))*100))</f>
        <v/>
      </c>
      <c r="AA1309" s="19">
        <f>IF(NOT(ISNUMBER($A1309)),NA(),IF(OR($A1309&lt;MIN(DKW_10Y!$A$2:$A$2918),$A1309&gt;MAX(DKW_10Y!$A$2:$A$2918),Settings!$B$16&lt;MIN(DKW_10Y!$A$2:$A$2918)),NA(),(INDEX(DKW_10Y!$E$2:$E$2918,MATCH($A1309,DKW_10Y!$A$2:$A$2918,1))-INDEX(DKW_10Y!$E$2:$E$2918,MATCH(Settings!$B$16,DKW_10Y!$A$2:$A$2918,1)))*100))</f>
        <v/>
      </c>
      <c r="AB1309" s="19">
        <f>IF(NOT(ISNUMBER($A1309)),NA(),IF(OR($A1309&lt;MIN(DKW_10Y!$A$2:$A$2918),$A1309&gt;MAX(DKW_10Y!$A$2:$A$2918),Settings!$B$16&lt;MIN(DKW_10Y!$A$2:$A$2918)),NA(),(INDEX(DKW_10Y!$H$2:$H$2918,MATCH($A1309,DKW_10Y!$A$2:$A$2918,1))-INDEX(DKW_10Y!$H$2:$H$2918,MATCH(Settings!$B$16,DKW_10Y!$A$2:$A$2918,1)))*100))</f>
        <v/>
      </c>
      <c r="AC1309" s="18">
        <f>IF(NOT(ISNUMBER($A1309)),NA(),IFERROR(1*INDEX(BBG_Data!$N$2:$N$4000,MATCH($A1309,BBG_Data!$M$2:$M$4000,0)),NA()))</f>
        <v/>
      </c>
      <c r="AD1309" s="18">
        <f>IF(NOT(ISNUMBER($A1309)),NA(),IFERROR(1*INDEX(BBG_Data!$P$2:$P$4000,MATCH($A1309,BBG_Data!$O$2:$O$4000,0)),NA()))</f>
        <v/>
      </c>
      <c r="AE1309" s="18">
        <f>IF(NOT(ISNUMBER($A1309)),NA(),IFERROR(1*INDEX(BBG_Data!$R$2:$R$4000,MATCH($A1309,BBG_Data!$Q$2:$Q$4000,0)),NA()))</f>
        <v/>
      </c>
      <c r="AF1309" s="20">
        <f>IF(AND(ISNUMBER(B1309),ISNUMBER(AC1309)),(B1309-AC1309)*100,NA())</f>
        <v/>
      </c>
      <c r="AG1309" s="20">
        <f>IF(AND(ISNUMBER(AE1309),ISNUMBER(AD1309)),(AE1309-AD1309)*100,NA())</f>
        <v/>
      </c>
      <c r="AH1309" s="19">
        <f>IF(NOT(ISNUMBER($A1309)),NA(),IFERROR(INDEX(BBG_Data!$T$2:$T$4000,MATCH($A1309,BBG_Data!$S$2:$S$4000,0))*Settings!$B$25,NA()))</f>
        <v/>
      </c>
      <c r="AI1309" s="19">
        <f>IF(NOT(ISNUMBER($A1309)),NA(),IFERROR(INDEX(BBG_Data!$V$2:$V$4000,MATCH($A1309,BBG_Data!$U$2:$U$4000,0))*Settings!$B$25,NA()))</f>
        <v/>
      </c>
      <c r="AJ1309" s="19">
        <f>IF(NOT(ISNUMBER($A1309)),NA(),IFERROR(1*INDEX(BBG_Data!$X$2:$X$4000,MATCH($A1309,BBG_Data!$W$2:$W$4000,0)),NA()))</f>
        <v/>
      </c>
      <c r="AK1309" s="19">
        <f>IF(NOT(ISNUMBER($A1309)),NA(),IFERROR(1*INDEX(BBG_Data!$Z$2:$Z$4000,MATCH($A1309,BBG_Data!$Y$2:$Y$4000,0)),NA()))</f>
        <v/>
      </c>
    </row>
    <row r="1310">
      <c r="A1310" s="17">
        <f>IF(ISNUMBER(BBG_Data!A1310),BBG_Data!A1310,"")</f>
        <v/>
      </c>
      <c r="B1310" s="18">
        <f>IF(AND(ISNUMBER($A1310),ISNUMBER(BBG_Data!B1310)),BBG_Data!B1310,NA())</f>
        <v/>
      </c>
      <c r="C1310" s="18">
        <f>IF(NOT(ISNUMBER($A1310)),NA(),IFERROR(1*INDEX(BBG_Data!$D$2:$D$4000,MATCH($A1310,BBG_Data!$C$2:$C$4000,0)),NA()))</f>
        <v/>
      </c>
      <c r="D1310" s="19">
        <f>IF(NOT(ISNUMBER($A1310)),NA(),IFERROR(1*INDEX(BBG_Data!$F$2:$F$4000,MATCH($A1310,BBG_Data!$E$2:$E$4000,0)),NA()))</f>
        <v/>
      </c>
      <c r="E1310" s="19">
        <f>IF(NOT(ISNUMBER($A1310)),NA(),IFERROR(1*INDEX(BBG_Data!$H$2:$H$4000,MATCH($A1310,BBG_Data!$G$2:$G$4000,0)),NA()))</f>
        <v/>
      </c>
      <c r="F1310" s="20">
        <f>IF(AND(ISNUMBER(B1310),ISNUMBER(B1309)),IF(B1310=B1309,"",(B1310-B1309)*100),"")</f>
        <v/>
      </c>
      <c r="G1310" s="20">
        <f>IF(AND(ISNUMBER(C1310),ISNUMBER(C1309)),IF(C1310=C1309,"",(C1310-C1309)*100),"")</f>
        <v/>
      </c>
      <c r="H1310" s="20">
        <f>IF(OR(NOT(ISNUMBER($A1310)),ROW()-2&lt;Settings!$B$11),NA(),IF(COUNT(OFFSET(F1310,1-Settings!$B$11,0,Settings!$B$11,1))&lt;ROUNDUP(Settings!$B$11*Settings!$B$26,0),NA(),STDEV(OFFSET(F1310,1-Settings!$B$11,0,Settings!$B$11,1))*SQRT(Settings!$B$13)))</f>
        <v/>
      </c>
      <c r="I1310" s="20">
        <f>IF(OR(NOT(ISNUMBER($A1310)),ROW()-2&lt;Settings!$B$12),NA(),IF(COUNT(OFFSET(F1310,1-Settings!$B$12,0,Settings!$B$12,1))&lt;ROUNDUP(Settings!$B$12*Settings!$B$26,0),NA(),STDEV(OFFSET(F1310,1-Settings!$B$12,0,Settings!$B$12,1))*SQRT(Settings!$B$13)))</f>
        <v/>
      </c>
      <c r="J1310" s="20">
        <f>IF(OR(NOT(ISNUMBER($A1310)),ROW()-2&lt;Settings!$B$11),NA(),IF(COUNT(OFFSET(G1310,1-Settings!$B$11,0,Settings!$B$11,1))&lt;ROUNDUP(Settings!$B$11*Settings!$B$26,0),NA(),STDEV(OFFSET(G1310,1-Settings!$B$11,0,Settings!$B$11,1))*SQRT(Settings!$B$13)))</f>
        <v/>
      </c>
      <c r="K1310" s="20">
        <f>IF(OR(NOT(ISNUMBER($A1310)),ROW()-2&lt;Settings!$B$12),NA(),IF(COUNT(OFFSET(G1310,1-Settings!$B$12,0,Settings!$B$12,1))&lt;ROUNDUP(Settings!$B$12*Settings!$B$26,0),NA(),STDEV(OFFSET(G1310,1-Settings!$B$12,0,Settings!$B$12,1))*SQRT(Settings!$B$13)))</f>
        <v/>
      </c>
      <c r="L1310" s="20">
        <f>IF(AND(ISNUMBER(D1310),ISNUMBER(H1310)),D1310-H1310,NA())</f>
        <v/>
      </c>
      <c r="M1310" s="20">
        <f>IF(AND(ISNUMBER(E1310),ISNUMBER(K1310)),E1310-K1310,NA())</f>
        <v/>
      </c>
      <c r="N1310" s="20">
        <f>IF(NOT(ISNUMBER($A1310)),NA(),IF(COUNT(OFFSET(G1310,1,0,Settings!$B$12,1))&lt;ROUNDUP(Settings!$B$12*Settings!$B$26,0),NA(),STDEV(OFFSET(G1310,1,0,Settings!$B$12,1))*SQRT(Settings!$B$13)))</f>
        <v/>
      </c>
      <c r="O1310" s="20">
        <f>IF(AND(ISNUMBER(E1310),ISNUMBER(N1310)),E1310-N1310,NA())</f>
        <v/>
      </c>
      <c r="P1310" s="19">
        <f>IF(NOT(ISNUMBER($A1310)),NA(),IF(OR($A1310&lt;MIN(KW_TP!$A$2:$A$2501),$A1310&gt;MAX(KW_TP!$A$2:$A$2501)),NA(),INDEX(KW_TP!$C$2:$C$2501,MATCH($A1310,KW_TP!$A$2:$A$2501,1))))</f>
        <v/>
      </c>
      <c r="Q1310" s="18">
        <f>IF(NOT(ISNUMBER($A1310)),NA(),IFERROR(1*INDEX(BBG_Data!$J$2:$J$4000,MATCH($A1310,BBG_Data!$I$2:$I$4000,0)),NA()))</f>
        <v/>
      </c>
      <c r="R1310" s="18">
        <f>IF(NOT(ISNUMBER($A1310)),NA(),IFERROR(1*INDEX(BBG_Data!$L$2:$L$4000,MATCH($A1310,BBG_Data!$K$2:$K$4000,0)),NA()))</f>
        <v/>
      </c>
      <c r="S1310" s="20">
        <f>IF(AND(ISNUMBER(B1310),ISNUMBER(Q1310),ISNUMBER(R1310)),(B1310-Q1310-R1310)*100,NA())</f>
        <v/>
      </c>
      <c r="T1310" s="20">
        <f>IF(AND(ISNUMBER(B1310),Settings!$B$17&gt;0),IF(ISNUMBER(INDEX($B:$B,Settings!$B$17)),(B1310-INDEX($B:$B,Settings!$B$17))*100,NA()),NA())</f>
        <v/>
      </c>
      <c r="U1310" s="20">
        <f>IF(AND(ISNUMBER(Q1310),Settings!$B$17&gt;0),IF(ISNUMBER(INDEX($Q:$Q,Settings!$B$17)),(Q1310-INDEX($Q:$Q,Settings!$B$17))*100,NA()),NA())</f>
        <v/>
      </c>
      <c r="V1310" s="20">
        <f>IF(AND(ISNUMBER(R1310),Settings!$B$17&gt;0),IF(ISNUMBER(INDEX($R:$R,Settings!$B$17)),(R1310-INDEX($R:$R,Settings!$B$17))*100,NA()),NA())</f>
        <v/>
      </c>
      <c r="W1310" s="20">
        <f>IF(AND(ISNUMBER(P1310),Settings!$B$17&gt;0),IF(ISNUMBER(INDEX($P:$P,Settings!$B$17)),P1310-INDEX($P:$P,Settings!$B$17),NA()),NA())</f>
        <v/>
      </c>
      <c r="X1310" s="19">
        <f>IF(NOT(ISNUMBER($A1310)),NA(),IF(OR($A1310&lt;MIN(DKW_10Y!$A$2:$A$2918),$A1310&gt;MAX(DKW_10Y!$A$2:$A$2918),Settings!$B$16&lt;MIN(DKW_10Y!$A$2:$A$2918)),NA(),(INDEX(DKW_10Y!$B$2:$B$2918,MATCH($A1310,DKW_10Y!$A$2:$A$2918,1))-INDEX(DKW_10Y!$B$2:$B$2918,MATCH(Settings!$B$16,DKW_10Y!$A$2:$A$2918,1)))*100))</f>
        <v/>
      </c>
      <c r="Y1310" s="19">
        <f>IF(NOT(ISNUMBER($A1310)),NA(),IF(OR($A1310&lt;MIN(DKW_10Y!$A$2:$A$2918),$A1310&gt;MAX(DKW_10Y!$A$2:$A$2918),Settings!$B$16&lt;MIN(DKW_10Y!$A$2:$A$2918)),NA(),(INDEX(DKW_10Y!$C$2:$C$2918,MATCH($A1310,DKW_10Y!$A$2:$A$2918,1))-INDEX(DKW_10Y!$C$2:$C$2918,MATCH(Settings!$B$16,DKW_10Y!$A$2:$A$2918,1)))*100))</f>
        <v/>
      </c>
      <c r="Z1310" s="19">
        <f>IF(NOT(ISNUMBER($A1310)),NA(),IF(OR($A1310&lt;MIN(DKW_10Y!$A$2:$A$2918),$A1310&gt;MAX(DKW_10Y!$A$2:$A$2918),Settings!$B$16&lt;MIN(DKW_10Y!$A$2:$A$2918)),NA(),(INDEX(DKW_10Y!$D$2:$D$2918,MATCH($A1310,DKW_10Y!$A$2:$A$2918,1))-INDEX(DKW_10Y!$D$2:$D$2918,MATCH(Settings!$B$16,DKW_10Y!$A$2:$A$2918,1)))*100))</f>
        <v/>
      </c>
      <c r="AA1310" s="19">
        <f>IF(NOT(ISNUMBER($A1310)),NA(),IF(OR($A1310&lt;MIN(DKW_10Y!$A$2:$A$2918),$A1310&gt;MAX(DKW_10Y!$A$2:$A$2918),Settings!$B$16&lt;MIN(DKW_10Y!$A$2:$A$2918)),NA(),(INDEX(DKW_10Y!$E$2:$E$2918,MATCH($A1310,DKW_10Y!$A$2:$A$2918,1))-INDEX(DKW_10Y!$E$2:$E$2918,MATCH(Settings!$B$16,DKW_10Y!$A$2:$A$2918,1)))*100))</f>
        <v/>
      </c>
      <c r="AB1310" s="19">
        <f>IF(NOT(ISNUMBER($A1310)),NA(),IF(OR($A1310&lt;MIN(DKW_10Y!$A$2:$A$2918),$A1310&gt;MAX(DKW_10Y!$A$2:$A$2918),Settings!$B$16&lt;MIN(DKW_10Y!$A$2:$A$2918)),NA(),(INDEX(DKW_10Y!$H$2:$H$2918,MATCH($A1310,DKW_10Y!$A$2:$A$2918,1))-INDEX(DKW_10Y!$H$2:$H$2918,MATCH(Settings!$B$16,DKW_10Y!$A$2:$A$2918,1)))*100))</f>
        <v/>
      </c>
      <c r="AC1310" s="18">
        <f>IF(NOT(ISNUMBER($A1310)),NA(),IFERROR(1*INDEX(BBG_Data!$N$2:$N$4000,MATCH($A1310,BBG_Data!$M$2:$M$4000,0)),NA()))</f>
        <v/>
      </c>
      <c r="AD1310" s="18">
        <f>IF(NOT(ISNUMBER($A1310)),NA(),IFERROR(1*INDEX(BBG_Data!$P$2:$P$4000,MATCH($A1310,BBG_Data!$O$2:$O$4000,0)),NA()))</f>
        <v/>
      </c>
      <c r="AE1310" s="18">
        <f>IF(NOT(ISNUMBER($A1310)),NA(),IFERROR(1*INDEX(BBG_Data!$R$2:$R$4000,MATCH($A1310,BBG_Data!$Q$2:$Q$4000,0)),NA()))</f>
        <v/>
      </c>
      <c r="AF1310" s="20">
        <f>IF(AND(ISNUMBER(B1310),ISNUMBER(AC1310)),(B1310-AC1310)*100,NA())</f>
        <v/>
      </c>
      <c r="AG1310" s="20">
        <f>IF(AND(ISNUMBER(AE1310),ISNUMBER(AD1310)),(AE1310-AD1310)*100,NA())</f>
        <v/>
      </c>
      <c r="AH1310" s="19">
        <f>IF(NOT(ISNUMBER($A1310)),NA(),IFERROR(INDEX(BBG_Data!$T$2:$T$4000,MATCH($A1310,BBG_Data!$S$2:$S$4000,0))*Settings!$B$25,NA()))</f>
        <v/>
      </c>
      <c r="AI1310" s="19">
        <f>IF(NOT(ISNUMBER($A1310)),NA(),IFERROR(INDEX(BBG_Data!$V$2:$V$4000,MATCH($A1310,BBG_Data!$U$2:$U$4000,0))*Settings!$B$25,NA()))</f>
        <v/>
      </c>
      <c r="AJ1310" s="19">
        <f>IF(NOT(ISNUMBER($A1310)),NA(),IFERROR(1*INDEX(BBG_Data!$X$2:$X$4000,MATCH($A1310,BBG_Data!$W$2:$W$4000,0)),NA()))</f>
        <v/>
      </c>
      <c r="AK1310" s="19">
        <f>IF(NOT(ISNUMBER($A1310)),NA(),IFERROR(1*INDEX(BBG_Data!$Z$2:$Z$4000,MATCH($A1310,BBG_Data!$Y$2:$Y$4000,0)),NA()))</f>
        <v/>
      </c>
    </row>
    <row r="1311">
      <c r="A1311" s="17">
        <f>IF(ISNUMBER(BBG_Data!A1311),BBG_Data!A1311,"")</f>
        <v/>
      </c>
      <c r="B1311" s="18">
        <f>IF(AND(ISNUMBER($A1311),ISNUMBER(BBG_Data!B1311)),BBG_Data!B1311,NA())</f>
        <v/>
      </c>
      <c r="C1311" s="18">
        <f>IF(NOT(ISNUMBER($A1311)),NA(),IFERROR(1*INDEX(BBG_Data!$D$2:$D$4000,MATCH($A1311,BBG_Data!$C$2:$C$4000,0)),NA()))</f>
        <v/>
      </c>
      <c r="D1311" s="19">
        <f>IF(NOT(ISNUMBER($A1311)),NA(),IFERROR(1*INDEX(BBG_Data!$F$2:$F$4000,MATCH($A1311,BBG_Data!$E$2:$E$4000,0)),NA()))</f>
        <v/>
      </c>
      <c r="E1311" s="19">
        <f>IF(NOT(ISNUMBER($A1311)),NA(),IFERROR(1*INDEX(BBG_Data!$H$2:$H$4000,MATCH($A1311,BBG_Data!$G$2:$G$4000,0)),NA()))</f>
        <v/>
      </c>
      <c r="F1311" s="20">
        <f>IF(AND(ISNUMBER(B1311),ISNUMBER(B1310)),IF(B1311=B1310,"",(B1311-B1310)*100),"")</f>
        <v/>
      </c>
      <c r="G1311" s="20">
        <f>IF(AND(ISNUMBER(C1311),ISNUMBER(C1310)),IF(C1311=C1310,"",(C1311-C1310)*100),"")</f>
        <v/>
      </c>
      <c r="H1311" s="20">
        <f>IF(OR(NOT(ISNUMBER($A1311)),ROW()-2&lt;Settings!$B$11),NA(),IF(COUNT(OFFSET(F1311,1-Settings!$B$11,0,Settings!$B$11,1))&lt;ROUNDUP(Settings!$B$11*Settings!$B$26,0),NA(),STDEV(OFFSET(F1311,1-Settings!$B$11,0,Settings!$B$11,1))*SQRT(Settings!$B$13)))</f>
        <v/>
      </c>
      <c r="I1311" s="20">
        <f>IF(OR(NOT(ISNUMBER($A1311)),ROW()-2&lt;Settings!$B$12),NA(),IF(COUNT(OFFSET(F1311,1-Settings!$B$12,0,Settings!$B$12,1))&lt;ROUNDUP(Settings!$B$12*Settings!$B$26,0),NA(),STDEV(OFFSET(F1311,1-Settings!$B$12,0,Settings!$B$12,1))*SQRT(Settings!$B$13)))</f>
        <v/>
      </c>
      <c r="J1311" s="20">
        <f>IF(OR(NOT(ISNUMBER($A1311)),ROW()-2&lt;Settings!$B$11),NA(),IF(COUNT(OFFSET(G1311,1-Settings!$B$11,0,Settings!$B$11,1))&lt;ROUNDUP(Settings!$B$11*Settings!$B$26,0),NA(),STDEV(OFFSET(G1311,1-Settings!$B$11,0,Settings!$B$11,1))*SQRT(Settings!$B$13)))</f>
        <v/>
      </c>
      <c r="K1311" s="20">
        <f>IF(OR(NOT(ISNUMBER($A1311)),ROW()-2&lt;Settings!$B$12),NA(),IF(COUNT(OFFSET(G1311,1-Settings!$B$12,0,Settings!$B$12,1))&lt;ROUNDUP(Settings!$B$12*Settings!$B$26,0),NA(),STDEV(OFFSET(G1311,1-Settings!$B$12,0,Settings!$B$12,1))*SQRT(Settings!$B$13)))</f>
        <v/>
      </c>
      <c r="L1311" s="20">
        <f>IF(AND(ISNUMBER(D1311),ISNUMBER(H1311)),D1311-H1311,NA())</f>
        <v/>
      </c>
      <c r="M1311" s="20">
        <f>IF(AND(ISNUMBER(E1311),ISNUMBER(K1311)),E1311-K1311,NA())</f>
        <v/>
      </c>
      <c r="N1311" s="20">
        <f>IF(NOT(ISNUMBER($A1311)),NA(),IF(COUNT(OFFSET(G1311,1,0,Settings!$B$12,1))&lt;ROUNDUP(Settings!$B$12*Settings!$B$26,0),NA(),STDEV(OFFSET(G1311,1,0,Settings!$B$12,1))*SQRT(Settings!$B$13)))</f>
        <v/>
      </c>
      <c r="O1311" s="20">
        <f>IF(AND(ISNUMBER(E1311),ISNUMBER(N1311)),E1311-N1311,NA())</f>
        <v/>
      </c>
      <c r="P1311" s="19">
        <f>IF(NOT(ISNUMBER($A1311)),NA(),IF(OR($A1311&lt;MIN(KW_TP!$A$2:$A$2501),$A1311&gt;MAX(KW_TP!$A$2:$A$2501)),NA(),INDEX(KW_TP!$C$2:$C$2501,MATCH($A1311,KW_TP!$A$2:$A$2501,1))))</f>
        <v/>
      </c>
      <c r="Q1311" s="18">
        <f>IF(NOT(ISNUMBER($A1311)),NA(),IFERROR(1*INDEX(BBG_Data!$J$2:$J$4000,MATCH($A1311,BBG_Data!$I$2:$I$4000,0)),NA()))</f>
        <v/>
      </c>
      <c r="R1311" s="18">
        <f>IF(NOT(ISNUMBER($A1311)),NA(),IFERROR(1*INDEX(BBG_Data!$L$2:$L$4000,MATCH($A1311,BBG_Data!$K$2:$K$4000,0)),NA()))</f>
        <v/>
      </c>
      <c r="S1311" s="20">
        <f>IF(AND(ISNUMBER(B1311),ISNUMBER(Q1311),ISNUMBER(R1311)),(B1311-Q1311-R1311)*100,NA())</f>
        <v/>
      </c>
      <c r="T1311" s="20">
        <f>IF(AND(ISNUMBER(B1311),Settings!$B$17&gt;0),IF(ISNUMBER(INDEX($B:$B,Settings!$B$17)),(B1311-INDEX($B:$B,Settings!$B$17))*100,NA()),NA())</f>
        <v/>
      </c>
      <c r="U1311" s="20">
        <f>IF(AND(ISNUMBER(Q1311),Settings!$B$17&gt;0),IF(ISNUMBER(INDEX($Q:$Q,Settings!$B$17)),(Q1311-INDEX($Q:$Q,Settings!$B$17))*100,NA()),NA())</f>
        <v/>
      </c>
      <c r="V1311" s="20">
        <f>IF(AND(ISNUMBER(R1311),Settings!$B$17&gt;0),IF(ISNUMBER(INDEX($R:$R,Settings!$B$17)),(R1311-INDEX($R:$R,Settings!$B$17))*100,NA()),NA())</f>
        <v/>
      </c>
      <c r="W1311" s="20">
        <f>IF(AND(ISNUMBER(P1311),Settings!$B$17&gt;0),IF(ISNUMBER(INDEX($P:$P,Settings!$B$17)),P1311-INDEX($P:$P,Settings!$B$17),NA()),NA())</f>
        <v/>
      </c>
      <c r="X1311" s="19">
        <f>IF(NOT(ISNUMBER($A1311)),NA(),IF(OR($A1311&lt;MIN(DKW_10Y!$A$2:$A$2918),$A1311&gt;MAX(DKW_10Y!$A$2:$A$2918),Settings!$B$16&lt;MIN(DKW_10Y!$A$2:$A$2918)),NA(),(INDEX(DKW_10Y!$B$2:$B$2918,MATCH($A1311,DKW_10Y!$A$2:$A$2918,1))-INDEX(DKW_10Y!$B$2:$B$2918,MATCH(Settings!$B$16,DKW_10Y!$A$2:$A$2918,1)))*100))</f>
        <v/>
      </c>
      <c r="Y1311" s="19">
        <f>IF(NOT(ISNUMBER($A1311)),NA(),IF(OR($A1311&lt;MIN(DKW_10Y!$A$2:$A$2918),$A1311&gt;MAX(DKW_10Y!$A$2:$A$2918),Settings!$B$16&lt;MIN(DKW_10Y!$A$2:$A$2918)),NA(),(INDEX(DKW_10Y!$C$2:$C$2918,MATCH($A1311,DKW_10Y!$A$2:$A$2918,1))-INDEX(DKW_10Y!$C$2:$C$2918,MATCH(Settings!$B$16,DKW_10Y!$A$2:$A$2918,1)))*100))</f>
        <v/>
      </c>
      <c r="Z1311" s="19">
        <f>IF(NOT(ISNUMBER($A1311)),NA(),IF(OR($A1311&lt;MIN(DKW_10Y!$A$2:$A$2918),$A1311&gt;MAX(DKW_10Y!$A$2:$A$2918),Settings!$B$16&lt;MIN(DKW_10Y!$A$2:$A$2918)),NA(),(INDEX(DKW_10Y!$D$2:$D$2918,MATCH($A1311,DKW_10Y!$A$2:$A$2918,1))-INDEX(DKW_10Y!$D$2:$D$2918,MATCH(Settings!$B$16,DKW_10Y!$A$2:$A$2918,1)))*100))</f>
        <v/>
      </c>
      <c r="AA1311" s="19">
        <f>IF(NOT(ISNUMBER($A1311)),NA(),IF(OR($A1311&lt;MIN(DKW_10Y!$A$2:$A$2918),$A1311&gt;MAX(DKW_10Y!$A$2:$A$2918),Settings!$B$16&lt;MIN(DKW_10Y!$A$2:$A$2918)),NA(),(INDEX(DKW_10Y!$E$2:$E$2918,MATCH($A1311,DKW_10Y!$A$2:$A$2918,1))-INDEX(DKW_10Y!$E$2:$E$2918,MATCH(Settings!$B$16,DKW_10Y!$A$2:$A$2918,1)))*100))</f>
        <v/>
      </c>
      <c r="AB1311" s="19">
        <f>IF(NOT(ISNUMBER($A1311)),NA(),IF(OR($A1311&lt;MIN(DKW_10Y!$A$2:$A$2918),$A1311&gt;MAX(DKW_10Y!$A$2:$A$2918),Settings!$B$16&lt;MIN(DKW_10Y!$A$2:$A$2918)),NA(),(INDEX(DKW_10Y!$H$2:$H$2918,MATCH($A1311,DKW_10Y!$A$2:$A$2918,1))-INDEX(DKW_10Y!$H$2:$H$2918,MATCH(Settings!$B$16,DKW_10Y!$A$2:$A$2918,1)))*100))</f>
        <v/>
      </c>
      <c r="AC1311" s="18">
        <f>IF(NOT(ISNUMBER($A1311)),NA(),IFERROR(1*INDEX(BBG_Data!$N$2:$N$4000,MATCH($A1311,BBG_Data!$M$2:$M$4000,0)),NA()))</f>
        <v/>
      </c>
      <c r="AD1311" s="18">
        <f>IF(NOT(ISNUMBER($A1311)),NA(),IFERROR(1*INDEX(BBG_Data!$P$2:$P$4000,MATCH($A1311,BBG_Data!$O$2:$O$4000,0)),NA()))</f>
        <v/>
      </c>
      <c r="AE1311" s="18">
        <f>IF(NOT(ISNUMBER($A1311)),NA(),IFERROR(1*INDEX(BBG_Data!$R$2:$R$4000,MATCH($A1311,BBG_Data!$Q$2:$Q$4000,0)),NA()))</f>
        <v/>
      </c>
      <c r="AF1311" s="20">
        <f>IF(AND(ISNUMBER(B1311),ISNUMBER(AC1311)),(B1311-AC1311)*100,NA())</f>
        <v/>
      </c>
      <c r="AG1311" s="20">
        <f>IF(AND(ISNUMBER(AE1311),ISNUMBER(AD1311)),(AE1311-AD1311)*100,NA())</f>
        <v/>
      </c>
      <c r="AH1311" s="19">
        <f>IF(NOT(ISNUMBER($A1311)),NA(),IFERROR(INDEX(BBG_Data!$T$2:$T$4000,MATCH($A1311,BBG_Data!$S$2:$S$4000,0))*Settings!$B$25,NA()))</f>
        <v/>
      </c>
      <c r="AI1311" s="19">
        <f>IF(NOT(ISNUMBER($A1311)),NA(),IFERROR(INDEX(BBG_Data!$V$2:$V$4000,MATCH($A1311,BBG_Data!$U$2:$U$4000,0))*Settings!$B$25,NA()))</f>
        <v/>
      </c>
      <c r="AJ1311" s="19">
        <f>IF(NOT(ISNUMBER($A1311)),NA(),IFERROR(1*INDEX(BBG_Data!$X$2:$X$4000,MATCH($A1311,BBG_Data!$W$2:$W$4000,0)),NA()))</f>
        <v/>
      </c>
      <c r="AK1311" s="19">
        <f>IF(NOT(ISNUMBER($A1311)),NA(),IFERROR(1*INDEX(BBG_Data!$Z$2:$Z$4000,MATCH($A1311,BBG_Data!$Y$2:$Y$4000,0)),NA()))</f>
        <v/>
      </c>
    </row>
    <row r="1312">
      <c r="A1312" s="17">
        <f>IF(ISNUMBER(BBG_Data!A1312),BBG_Data!A1312,"")</f>
        <v/>
      </c>
      <c r="B1312" s="18">
        <f>IF(AND(ISNUMBER($A1312),ISNUMBER(BBG_Data!B1312)),BBG_Data!B1312,NA())</f>
        <v/>
      </c>
      <c r="C1312" s="18">
        <f>IF(NOT(ISNUMBER($A1312)),NA(),IFERROR(1*INDEX(BBG_Data!$D$2:$D$4000,MATCH($A1312,BBG_Data!$C$2:$C$4000,0)),NA()))</f>
        <v/>
      </c>
      <c r="D1312" s="19">
        <f>IF(NOT(ISNUMBER($A1312)),NA(),IFERROR(1*INDEX(BBG_Data!$F$2:$F$4000,MATCH($A1312,BBG_Data!$E$2:$E$4000,0)),NA()))</f>
        <v/>
      </c>
      <c r="E1312" s="19">
        <f>IF(NOT(ISNUMBER($A1312)),NA(),IFERROR(1*INDEX(BBG_Data!$H$2:$H$4000,MATCH($A1312,BBG_Data!$G$2:$G$4000,0)),NA()))</f>
        <v/>
      </c>
      <c r="F1312" s="20">
        <f>IF(AND(ISNUMBER(B1312),ISNUMBER(B1311)),IF(B1312=B1311,"",(B1312-B1311)*100),"")</f>
        <v/>
      </c>
      <c r="G1312" s="20">
        <f>IF(AND(ISNUMBER(C1312),ISNUMBER(C1311)),IF(C1312=C1311,"",(C1312-C1311)*100),"")</f>
        <v/>
      </c>
      <c r="H1312" s="20">
        <f>IF(OR(NOT(ISNUMBER($A1312)),ROW()-2&lt;Settings!$B$11),NA(),IF(COUNT(OFFSET(F1312,1-Settings!$B$11,0,Settings!$B$11,1))&lt;ROUNDUP(Settings!$B$11*Settings!$B$26,0),NA(),STDEV(OFFSET(F1312,1-Settings!$B$11,0,Settings!$B$11,1))*SQRT(Settings!$B$13)))</f>
        <v/>
      </c>
      <c r="I1312" s="20">
        <f>IF(OR(NOT(ISNUMBER($A1312)),ROW()-2&lt;Settings!$B$12),NA(),IF(COUNT(OFFSET(F1312,1-Settings!$B$12,0,Settings!$B$12,1))&lt;ROUNDUP(Settings!$B$12*Settings!$B$26,0),NA(),STDEV(OFFSET(F1312,1-Settings!$B$12,0,Settings!$B$12,1))*SQRT(Settings!$B$13)))</f>
        <v/>
      </c>
      <c r="J1312" s="20">
        <f>IF(OR(NOT(ISNUMBER($A1312)),ROW()-2&lt;Settings!$B$11),NA(),IF(COUNT(OFFSET(G1312,1-Settings!$B$11,0,Settings!$B$11,1))&lt;ROUNDUP(Settings!$B$11*Settings!$B$26,0),NA(),STDEV(OFFSET(G1312,1-Settings!$B$11,0,Settings!$B$11,1))*SQRT(Settings!$B$13)))</f>
        <v/>
      </c>
      <c r="K1312" s="20">
        <f>IF(OR(NOT(ISNUMBER($A1312)),ROW()-2&lt;Settings!$B$12),NA(),IF(COUNT(OFFSET(G1312,1-Settings!$B$12,0,Settings!$B$12,1))&lt;ROUNDUP(Settings!$B$12*Settings!$B$26,0),NA(),STDEV(OFFSET(G1312,1-Settings!$B$12,0,Settings!$B$12,1))*SQRT(Settings!$B$13)))</f>
        <v/>
      </c>
      <c r="L1312" s="20">
        <f>IF(AND(ISNUMBER(D1312),ISNUMBER(H1312)),D1312-H1312,NA())</f>
        <v/>
      </c>
      <c r="M1312" s="20">
        <f>IF(AND(ISNUMBER(E1312),ISNUMBER(K1312)),E1312-K1312,NA())</f>
        <v/>
      </c>
      <c r="N1312" s="20">
        <f>IF(NOT(ISNUMBER($A1312)),NA(),IF(COUNT(OFFSET(G1312,1,0,Settings!$B$12,1))&lt;ROUNDUP(Settings!$B$12*Settings!$B$26,0),NA(),STDEV(OFFSET(G1312,1,0,Settings!$B$12,1))*SQRT(Settings!$B$13)))</f>
        <v/>
      </c>
      <c r="O1312" s="20">
        <f>IF(AND(ISNUMBER(E1312),ISNUMBER(N1312)),E1312-N1312,NA())</f>
        <v/>
      </c>
      <c r="P1312" s="19">
        <f>IF(NOT(ISNUMBER($A1312)),NA(),IF(OR($A1312&lt;MIN(KW_TP!$A$2:$A$2501),$A1312&gt;MAX(KW_TP!$A$2:$A$2501)),NA(),INDEX(KW_TP!$C$2:$C$2501,MATCH($A1312,KW_TP!$A$2:$A$2501,1))))</f>
        <v/>
      </c>
      <c r="Q1312" s="18">
        <f>IF(NOT(ISNUMBER($A1312)),NA(),IFERROR(1*INDEX(BBG_Data!$J$2:$J$4000,MATCH($A1312,BBG_Data!$I$2:$I$4000,0)),NA()))</f>
        <v/>
      </c>
      <c r="R1312" s="18">
        <f>IF(NOT(ISNUMBER($A1312)),NA(),IFERROR(1*INDEX(BBG_Data!$L$2:$L$4000,MATCH($A1312,BBG_Data!$K$2:$K$4000,0)),NA()))</f>
        <v/>
      </c>
      <c r="S1312" s="20">
        <f>IF(AND(ISNUMBER(B1312),ISNUMBER(Q1312),ISNUMBER(R1312)),(B1312-Q1312-R1312)*100,NA())</f>
        <v/>
      </c>
      <c r="T1312" s="20">
        <f>IF(AND(ISNUMBER(B1312),Settings!$B$17&gt;0),IF(ISNUMBER(INDEX($B:$B,Settings!$B$17)),(B1312-INDEX($B:$B,Settings!$B$17))*100,NA()),NA())</f>
        <v/>
      </c>
      <c r="U1312" s="20">
        <f>IF(AND(ISNUMBER(Q1312),Settings!$B$17&gt;0),IF(ISNUMBER(INDEX($Q:$Q,Settings!$B$17)),(Q1312-INDEX($Q:$Q,Settings!$B$17))*100,NA()),NA())</f>
        <v/>
      </c>
      <c r="V1312" s="20">
        <f>IF(AND(ISNUMBER(R1312),Settings!$B$17&gt;0),IF(ISNUMBER(INDEX($R:$R,Settings!$B$17)),(R1312-INDEX($R:$R,Settings!$B$17))*100,NA()),NA())</f>
        <v/>
      </c>
      <c r="W1312" s="20">
        <f>IF(AND(ISNUMBER(P1312),Settings!$B$17&gt;0),IF(ISNUMBER(INDEX($P:$P,Settings!$B$17)),P1312-INDEX($P:$P,Settings!$B$17),NA()),NA())</f>
        <v/>
      </c>
      <c r="X1312" s="19">
        <f>IF(NOT(ISNUMBER($A1312)),NA(),IF(OR($A1312&lt;MIN(DKW_10Y!$A$2:$A$2918),$A1312&gt;MAX(DKW_10Y!$A$2:$A$2918),Settings!$B$16&lt;MIN(DKW_10Y!$A$2:$A$2918)),NA(),(INDEX(DKW_10Y!$B$2:$B$2918,MATCH($A1312,DKW_10Y!$A$2:$A$2918,1))-INDEX(DKW_10Y!$B$2:$B$2918,MATCH(Settings!$B$16,DKW_10Y!$A$2:$A$2918,1)))*100))</f>
        <v/>
      </c>
      <c r="Y1312" s="19">
        <f>IF(NOT(ISNUMBER($A1312)),NA(),IF(OR($A1312&lt;MIN(DKW_10Y!$A$2:$A$2918),$A1312&gt;MAX(DKW_10Y!$A$2:$A$2918),Settings!$B$16&lt;MIN(DKW_10Y!$A$2:$A$2918)),NA(),(INDEX(DKW_10Y!$C$2:$C$2918,MATCH($A1312,DKW_10Y!$A$2:$A$2918,1))-INDEX(DKW_10Y!$C$2:$C$2918,MATCH(Settings!$B$16,DKW_10Y!$A$2:$A$2918,1)))*100))</f>
        <v/>
      </c>
      <c r="Z1312" s="19">
        <f>IF(NOT(ISNUMBER($A1312)),NA(),IF(OR($A1312&lt;MIN(DKW_10Y!$A$2:$A$2918),$A1312&gt;MAX(DKW_10Y!$A$2:$A$2918),Settings!$B$16&lt;MIN(DKW_10Y!$A$2:$A$2918)),NA(),(INDEX(DKW_10Y!$D$2:$D$2918,MATCH($A1312,DKW_10Y!$A$2:$A$2918,1))-INDEX(DKW_10Y!$D$2:$D$2918,MATCH(Settings!$B$16,DKW_10Y!$A$2:$A$2918,1)))*100))</f>
        <v/>
      </c>
      <c r="AA1312" s="19">
        <f>IF(NOT(ISNUMBER($A1312)),NA(),IF(OR($A1312&lt;MIN(DKW_10Y!$A$2:$A$2918),$A1312&gt;MAX(DKW_10Y!$A$2:$A$2918),Settings!$B$16&lt;MIN(DKW_10Y!$A$2:$A$2918)),NA(),(INDEX(DKW_10Y!$E$2:$E$2918,MATCH($A1312,DKW_10Y!$A$2:$A$2918,1))-INDEX(DKW_10Y!$E$2:$E$2918,MATCH(Settings!$B$16,DKW_10Y!$A$2:$A$2918,1)))*100))</f>
        <v/>
      </c>
      <c r="AB1312" s="19">
        <f>IF(NOT(ISNUMBER($A1312)),NA(),IF(OR($A1312&lt;MIN(DKW_10Y!$A$2:$A$2918),$A1312&gt;MAX(DKW_10Y!$A$2:$A$2918),Settings!$B$16&lt;MIN(DKW_10Y!$A$2:$A$2918)),NA(),(INDEX(DKW_10Y!$H$2:$H$2918,MATCH($A1312,DKW_10Y!$A$2:$A$2918,1))-INDEX(DKW_10Y!$H$2:$H$2918,MATCH(Settings!$B$16,DKW_10Y!$A$2:$A$2918,1)))*100))</f>
        <v/>
      </c>
      <c r="AC1312" s="18">
        <f>IF(NOT(ISNUMBER($A1312)),NA(),IFERROR(1*INDEX(BBG_Data!$N$2:$N$4000,MATCH($A1312,BBG_Data!$M$2:$M$4000,0)),NA()))</f>
        <v/>
      </c>
      <c r="AD1312" s="18">
        <f>IF(NOT(ISNUMBER($A1312)),NA(),IFERROR(1*INDEX(BBG_Data!$P$2:$P$4000,MATCH($A1312,BBG_Data!$O$2:$O$4000,0)),NA()))</f>
        <v/>
      </c>
      <c r="AE1312" s="18">
        <f>IF(NOT(ISNUMBER($A1312)),NA(),IFERROR(1*INDEX(BBG_Data!$R$2:$R$4000,MATCH($A1312,BBG_Data!$Q$2:$Q$4000,0)),NA()))</f>
        <v/>
      </c>
      <c r="AF1312" s="20">
        <f>IF(AND(ISNUMBER(B1312),ISNUMBER(AC1312)),(B1312-AC1312)*100,NA())</f>
        <v/>
      </c>
      <c r="AG1312" s="20">
        <f>IF(AND(ISNUMBER(AE1312),ISNUMBER(AD1312)),(AE1312-AD1312)*100,NA())</f>
        <v/>
      </c>
      <c r="AH1312" s="19">
        <f>IF(NOT(ISNUMBER($A1312)),NA(),IFERROR(INDEX(BBG_Data!$T$2:$T$4000,MATCH($A1312,BBG_Data!$S$2:$S$4000,0))*Settings!$B$25,NA()))</f>
        <v/>
      </c>
      <c r="AI1312" s="19">
        <f>IF(NOT(ISNUMBER($A1312)),NA(),IFERROR(INDEX(BBG_Data!$V$2:$V$4000,MATCH($A1312,BBG_Data!$U$2:$U$4000,0))*Settings!$B$25,NA()))</f>
        <v/>
      </c>
      <c r="AJ1312" s="19">
        <f>IF(NOT(ISNUMBER($A1312)),NA(),IFERROR(1*INDEX(BBG_Data!$X$2:$X$4000,MATCH($A1312,BBG_Data!$W$2:$W$4000,0)),NA()))</f>
        <v/>
      </c>
      <c r="AK1312" s="19">
        <f>IF(NOT(ISNUMBER($A1312)),NA(),IFERROR(1*INDEX(BBG_Data!$Z$2:$Z$4000,MATCH($A1312,BBG_Data!$Y$2:$Y$4000,0)),NA()))</f>
        <v/>
      </c>
    </row>
    <row r="1313">
      <c r="A1313" s="17">
        <f>IF(ISNUMBER(BBG_Data!A1313),BBG_Data!A1313,"")</f>
        <v/>
      </c>
      <c r="B1313" s="18">
        <f>IF(AND(ISNUMBER($A1313),ISNUMBER(BBG_Data!B1313)),BBG_Data!B1313,NA())</f>
        <v/>
      </c>
      <c r="C1313" s="18">
        <f>IF(NOT(ISNUMBER($A1313)),NA(),IFERROR(1*INDEX(BBG_Data!$D$2:$D$4000,MATCH($A1313,BBG_Data!$C$2:$C$4000,0)),NA()))</f>
        <v/>
      </c>
      <c r="D1313" s="19">
        <f>IF(NOT(ISNUMBER($A1313)),NA(),IFERROR(1*INDEX(BBG_Data!$F$2:$F$4000,MATCH($A1313,BBG_Data!$E$2:$E$4000,0)),NA()))</f>
        <v/>
      </c>
      <c r="E1313" s="19">
        <f>IF(NOT(ISNUMBER($A1313)),NA(),IFERROR(1*INDEX(BBG_Data!$H$2:$H$4000,MATCH($A1313,BBG_Data!$G$2:$G$4000,0)),NA()))</f>
        <v/>
      </c>
      <c r="F1313" s="20">
        <f>IF(AND(ISNUMBER(B1313),ISNUMBER(B1312)),IF(B1313=B1312,"",(B1313-B1312)*100),"")</f>
        <v/>
      </c>
      <c r="G1313" s="20">
        <f>IF(AND(ISNUMBER(C1313),ISNUMBER(C1312)),IF(C1313=C1312,"",(C1313-C1312)*100),"")</f>
        <v/>
      </c>
      <c r="H1313" s="20">
        <f>IF(OR(NOT(ISNUMBER($A1313)),ROW()-2&lt;Settings!$B$11),NA(),IF(COUNT(OFFSET(F1313,1-Settings!$B$11,0,Settings!$B$11,1))&lt;ROUNDUP(Settings!$B$11*Settings!$B$26,0),NA(),STDEV(OFFSET(F1313,1-Settings!$B$11,0,Settings!$B$11,1))*SQRT(Settings!$B$13)))</f>
        <v/>
      </c>
      <c r="I1313" s="20">
        <f>IF(OR(NOT(ISNUMBER($A1313)),ROW()-2&lt;Settings!$B$12),NA(),IF(COUNT(OFFSET(F1313,1-Settings!$B$12,0,Settings!$B$12,1))&lt;ROUNDUP(Settings!$B$12*Settings!$B$26,0),NA(),STDEV(OFFSET(F1313,1-Settings!$B$12,0,Settings!$B$12,1))*SQRT(Settings!$B$13)))</f>
        <v/>
      </c>
      <c r="J1313" s="20">
        <f>IF(OR(NOT(ISNUMBER($A1313)),ROW()-2&lt;Settings!$B$11),NA(),IF(COUNT(OFFSET(G1313,1-Settings!$B$11,0,Settings!$B$11,1))&lt;ROUNDUP(Settings!$B$11*Settings!$B$26,0),NA(),STDEV(OFFSET(G1313,1-Settings!$B$11,0,Settings!$B$11,1))*SQRT(Settings!$B$13)))</f>
        <v/>
      </c>
      <c r="K1313" s="20">
        <f>IF(OR(NOT(ISNUMBER($A1313)),ROW()-2&lt;Settings!$B$12),NA(),IF(COUNT(OFFSET(G1313,1-Settings!$B$12,0,Settings!$B$12,1))&lt;ROUNDUP(Settings!$B$12*Settings!$B$26,0),NA(),STDEV(OFFSET(G1313,1-Settings!$B$12,0,Settings!$B$12,1))*SQRT(Settings!$B$13)))</f>
        <v/>
      </c>
      <c r="L1313" s="20">
        <f>IF(AND(ISNUMBER(D1313),ISNUMBER(H1313)),D1313-H1313,NA())</f>
        <v/>
      </c>
      <c r="M1313" s="20">
        <f>IF(AND(ISNUMBER(E1313),ISNUMBER(K1313)),E1313-K1313,NA())</f>
        <v/>
      </c>
      <c r="N1313" s="20">
        <f>IF(NOT(ISNUMBER($A1313)),NA(),IF(COUNT(OFFSET(G1313,1,0,Settings!$B$12,1))&lt;ROUNDUP(Settings!$B$12*Settings!$B$26,0),NA(),STDEV(OFFSET(G1313,1,0,Settings!$B$12,1))*SQRT(Settings!$B$13)))</f>
        <v/>
      </c>
      <c r="O1313" s="20">
        <f>IF(AND(ISNUMBER(E1313),ISNUMBER(N1313)),E1313-N1313,NA())</f>
        <v/>
      </c>
      <c r="P1313" s="19">
        <f>IF(NOT(ISNUMBER($A1313)),NA(),IF(OR($A1313&lt;MIN(KW_TP!$A$2:$A$2501),$A1313&gt;MAX(KW_TP!$A$2:$A$2501)),NA(),INDEX(KW_TP!$C$2:$C$2501,MATCH($A1313,KW_TP!$A$2:$A$2501,1))))</f>
        <v/>
      </c>
      <c r="Q1313" s="18">
        <f>IF(NOT(ISNUMBER($A1313)),NA(),IFERROR(1*INDEX(BBG_Data!$J$2:$J$4000,MATCH($A1313,BBG_Data!$I$2:$I$4000,0)),NA()))</f>
        <v/>
      </c>
      <c r="R1313" s="18">
        <f>IF(NOT(ISNUMBER($A1313)),NA(),IFERROR(1*INDEX(BBG_Data!$L$2:$L$4000,MATCH($A1313,BBG_Data!$K$2:$K$4000,0)),NA()))</f>
        <v/>
      </c>
      <c r="S1313" s="20">
        <f>IF(AND(ISNUMBER(B1313),ISNUMBER(Q1313),ISNUMBER(R1313)),(B1313-Q1313-R1313)*100,NA())</f>
        <v/>
      </c>
      <c r="T1313" s="20">
        <f>IF(AND(ISNUMBER(B1313),Settings!$B$17&gt;0),IF(ISNUMBER(INDEX($B:$B,Settings!$B$17)),(B1313-INDEX($B:$B,Settings!$B$17))*100,NA()),NA())</f>
        <v/>
      </c>
      <c r="U1313" s="20">
        <f>IF(AND(ISNUMBER(Q1313),Settings!$B$17&gt;0),IF(ISNUMBER(INDEX($Q:$Q,Settings!$B$17)),(Q1313-INDEX($Q:$Q,Settings!$B$17))*100,NA()),NA())</f>
        <v/>
      </c>
      <c r="V1313" s="20">
        <f>IF(AND(ISNUMBER(R1313),Settings!$B$17&gt;0),IF(ISNUMBER(INDEX($R:$R,Settings!$B$17)),(R1313-INDEX($R:$R,Settings!$B$17))*100,NA()),NA())</f>
        <v/>
      </c>
      <c r="W1313" s="20">
        <f>IF(AND(ISNUMBER(P1313),Settings!$B$17&gt;0),IF(ISNUMBER(INDEX($P:$P,Settings!$B$17)),P1313-INDEX($P:$P,Settings!$B$17),NA()),NA())</f>
        <v/>
      </c>
      <c r="X1313" s="19">
        <f>IF(NOT(ISNUMBER($A1313)),NA(),IF(OR($A1313&lt;MIN(DKW_10Y!$A$2:$A$2918),$A1313&gt;MAX(DKW_10Y!$A$2:$A$2918),Settings!$B$16&lt;MIN(DKW_10Y!$A$2:$A$2918)),NA(),(INDEX(DKW_10Y!$B$2:$B$2918,MATCH($A1313,DKW_10Y!$A$2:$A$2918,1))-INDEX(DKW_10Y!$B$2:$B$2918,MATCH(Settings!$B$16,DKW_10Y!$A$2:$A$2918,1)))*100))</f>
        <v/>
      </c>
      <c r="Y1313" s="19">
        <f>IF(NOT(ISNUMBER($A1313)),NA(),IF(OR($A1313&lt;MIN(DKW_10Y!$A$2:$A$2918),$A1313&gt;MAX(DKW_10Y!$A$2:$A$2918),Settings!$B$16&lt;MIN(DKW_10Y!$A$2:$A$2918)),NA(),(INDEX(DKW_10Y!$C$2:$C$2918,MATCH($A1313,DKW_10Y!$A$2:$A$2918,1))-INDEX(DKW_10Y!$C$2:$C$2918,MATCH(Settings!$B$16,DKW_10Y!$A$2:$A$2918,1)))*100))</f>
        <v/>
      </c>
      <c r="Z1313" s="19">
        <f>IF(NOT(ISNUMBER($A1313)),NA(),IF(OR($A1313&lt;MIN(DKW_10Y!$A$2:$A$2918),$A1313&gt;MAX(DKW_10Y!$A$2:$A$2918),Settings!$B$16&lt;MIN(DKW_10Y!$A$2:$A$2918)),NA(),(INDEX(DKW_10Y!$D$2:$D$2918,MATCH($A1313,DKW_10Y!$A$2:$A$2918,1))-INDEX(DKW_10Y!$D$2:$D$2918,MATCH(Settings!$B$16,DKW_10Y!$A$2:$A$2918,1)))*100))</f>
        <v/>
      </c>
      <c r="AA1313" s="19">
        <f>IF(NOT(ISNUMBER($A1313)),NA(),IF(OR($A1313&lt;MIN(DKW_10Y!$A$2:$A$2918),$A1313&gt;MAX(DKW_10Y!$A$2:$A$2918),Settings!$B$16&lt;MIN(DKW_10Y!$A$2:$A$2918)),NA(),(INDEX(DKW_10Y!$E$2:$E$2918,MATCH($A1313,DKW_10Y!$A$2:$A$2918,1))-INDEX(DKW_10Y!$E$2:$E$2918,MATCH(Settings!$B$16,DKW_10Y!$A$2:$A$2918,1)))*100))</f>
        <v/>
      </c>
      <c r="AB1313" s="19">
        <f>IF(NOT(ISNUMBER($A1313)),NA(),IF(OR($A1313&lt;MIN(DKW_10Y!$A$2:$A$2918),$A1313&gt;MAX(DKW_10Y!$A$2:$A$2918),Settings!$B$16&lt;MIN(DKW_10Y!$A$2:$A$2918)),NA(),(INDEX(DKW_10Y!$H$2:$H$2918,MATCH($A1313,DKW_10Y!$A$2:$A$2918,1))-INDEX(DKW_10Y!$H$2:$H$2918,MATCH(Settings!$B$16,DKW_10Y!$A$2:$A$2918,1)))*100))</f>
        <v/>
      </c>
      <c r="AC1313" s="18">
        <f>IF(NOT(ISNUMBER($A1313)),NA(),IFERROR(1*INDEX(BBG_Data!$N$2:$N$4000,MATCH($A1313,BBG_Data!$M$2:$M$4000,0)),NA()))</f>
        <v/>
      </c>
      <c r="AD1313" s="18">
        <f>IF(NOT(ISNUMBER($A1313)),NA(),IFERROR(1*INDEX(BBG_Data!$P$2:$P$4000,MATCH($A1313,BBG_Data!$O$2:$O$4000,0)),NA()))</f>
        <v/>
      </c>
      <c r="AE1313" s="18">
        <f>IF(NOT(ISNUMBER($A1313)),NA(),IFERROR(1*INDEX(BBG_Data!$R$2:$R$4000,MATCH($A1313,BBG_Data!$Q$2:$Q$4000,0)),NA()))</f>
        <v/>
      </c>
      <c r="AF1313" s="20">
        <f>IF(AND(ISNUMBER(B1313),ISNUMBER(AC1313)),(B1313-AC1313)*100,NA())</f>
        <v/>
      </c>
      <c r="AG1313" s="20">
        <f>IF(AND(ISNUMBER(AE1313),ISNUMBER(AD1313)),(AE1313-AD1313)*100,NA())</f>
        <v/>
      </c>
      <c r="AH1313" s="19">
        <f>IF(NOT(ISNUMBER($A1313)),NA(),IFERROR(INDEX(BBG_Data!$T$2:$T$4000,MATCH($A1313,BBG_Data!$S$2:$S$4000,0))*Settings!$B$25,NA()))</f>
        <v/>
      </c>
      <c r="AI1313" s="19">
        <f>IF(NOT(ISNUMBER($A1313)),NA(),IFERROR(INDEX(BBG_Data!$V$2:$V$4000,MATCH($A1313,BBG_Data!$U$2:$U$4000,0))*Settings!$B$25,NA()))</f>
        <v/>
      </c>
      <c r="AJ1313" s="19">
        <f>IF(NOT(ISNUMBER($A1313)),NA(),IFERROR(1*INDEX(BBG_Data!$X$2:$X$4000,MATCH($A1313,BBG_Data!$W$2:$W$4000,0)),NA()))</f>
        <v/>
      </c>
      <c r="AK1313" s="19">
        <f>IF(NOT(ISNUMBER($A1313)),NA(),IFERROR(1*INDEX(BBG_Data!$Z$2:$Z$4000,MATCH($A1313,BBG_Data!$Y$2:$Y$4000,0)),NA()))</f>
        <v/>
      </c>
    </row>
    <row r="1314">
      <c r="A1314" s="17">
        <f>IF(ISNUMBER(BBG_Data!A1314),BBG_Data!A1314,"")</f>
        <v/>
      </c>
      <c r="B1314" s="18">
        <f>IF(AND(ISNUMBER($A1314),ISNUMBER(BBG_Data!B1314)),BBG_Data!B1314,NA())</f>
        <v/>
      </c>
      <c r="C1314" s="18">
        <f>IF(NOT(ISNUMBER($A1314)),NA(),IFERROR(1*INDEX(BBG_Data!$D$2:$D$4000,MATCH($A1314,BBG_Data!$C$2:$C$4000,0)),NA()))</f>
        <v/>
      </c>
      <c r="D1314" s="19">
        <f>IF(NOT(ISNUMBER($A1314)),NA(),IFERROR(1*INDEX(BBG_Data!$F$2:$F$4000,MATCH($A1314,BBG_Data!$E$2:$E$4000,0)),NA()))</f>
        <v/>
      </c>
      <c r="E1314" s="19">
        <f>IF(NOT(ISNUMBER($A1314)),NA(),IFERROR(1*INDEX(BBG_Data!$H$2:$H$4000,MATCH($A1314,BBG_Data!$G$2:$G$4000,0)),NA()))</f>
        <v/>
      </c>
      <c r="F1314" s="20">
        <f>IF(AND(ISNUMBER(B1314),ISNUMBER(B1313)),IF(B1314=B1313,"",(B1314-B1313)*100),"")</f>
        <v/>
      </c>
      <c r="G1314" s="20">
        <f>IF(AND(ISNUMBER(C1314),ISNUMBER(C1313)),IF(C1314=C1313,"",(C1314-C1313)*100),"")</f>
        <v/>
      </c>
      <c r="H1314" s="20">
        <f>IF(OR(NOT(ISNUMBER($A1314)),ROW()-2&lt;Settings!$B$11),NA(),IF(COUNT(OFFSET(F1314,1-Settings!$B$11,0,Settings!$B$11,1))&lt;ROUNDUP(Settings!$B$11*Settings!$B$26,0),NA(),STDEV(OFFSET(F1314,1-Settings!$B$11,0,Settings!$B$11,1))*SQRT(Settings!$B$13)))</f>
        <v/>
      </c>
      <c r="I1314" s="20">
        <f>IF(OR(NOT(ISNUMBER($A1314)),ROW()-2&lt;Settings!$B$12),NA(),IF(COUNT(OFFSET(F1314,1-Settings!$B$12,0,Settings!$B$12,1))&lt;ROUNDUP(Settings!$B$12*Settings!$B$26,0),NA(),STDEV(OFFSET(F1314,1-Settings!$B$12,0,Settings!$B$12,1))*SQRT(Settings!$B$13)))</f>
        <v/>
      </c>
      <c r="J1314" s="20">
        <f>IF(OR(NOT(ISNUMBER($A1314)),ROW()-2&lt;Settings!$B$11),NA(),IF(COUNT(OFFSET(G1314,1-Settings!$B$11,0,Settings!$B$11,1))&lt;ROUNDUP(Settings!$B$11*Settings!$B$26,0),NA(),STDEV(OFFSET(G1314,1-Settings!$B$11,0,Settings!$B$11,1))*SQRT(Settings!$B$13)))</f>
        <v/>
      </c>
      <c r="K1314" s="20">
        <f>IF(OR(NOT(ISNUMBER($A1314)),ROW()-2&lt;Settings!$B$12),NA(),IF(COUNT(OFFSET(G1314,1-Settings!$B$12,0,Settings!$B$12,1))&lt;ROUNDUP(Settings!$B$12*Settings!$B$26,0),NA(),STDEV(OFFSET(G1314,1-Settings!$B$12,0,Settings!$B$12,1))*SQRT(Settings!$B$13)))</f>
        <v/>
      </c>
      <c r="L1314" s="20">
        <f>IF(AND(ISNUMBER(D1314),ISNUMBER(H1314)),D1314-H1314,NA())</f>
        <v/>
      </c>
      <c r="M1314" s="20">
        <f>IF(AND(ISNUMBER(E1314),ISNUMBER(K1314)),E1314-K1314,NA())</f>
        <v/>
      </c>
      <c r="N1314" s="20">
        <f>IF(NOT(ISNUMBER($A1314)),NA(),IF(COUNT(OFFSET(G1314,1,0,Settings!$B$12,1))&lt;ROUNDUP(Settings!$B$12*Settings!$B$26,0),NA(),STDEV(OFFSET(G1314,1,0,Settings!$B$12,1))*SQRT(Settings!$B$13)))</f>
        <v/>
      </c>
      <c r="O1314" s="20">
        <f>IF(AND(ISNUMBER(E1314),ISNUMBER(N1314)),E1314-N1314,NA())</f>
        <v/>
      </c>
      <c r="P1314" s="19">
        <f>IF(NOT(ISNUMBER($A1314)),NA(),IF(OR($A1314&lt;MIN(KW_TP!$A$2:$A$2501),$A1314&gt;MAX(KW_TP!$A$2:$A$2501)),NA(),INDEX(KW_TP!$C$2:$C$2501,MATCH($A1314,KW_TP!$A$2:$A$2501,1))))</f>
        <v/>
      </c>
      <c r="Q1314" s="18">
        <f>IF(NOT(ISNUMBER($A1314)),NA(),IFERROR(1*INDEX(BBG_Data!$J$2:$J$4000,MATCH($A1314,BBG_Data!$I$2:$I$4000,0)),NA()))</f>
        <v/>
      </c>
      <c r="R1314" s="18">
        <f>IF(NOT(ISNUMBER($A1314)),NA(),IFERROR(1*INDEX(BBG_Data!$L$2:$L$4000,MATCH($A1314,BBG_Data!$K$2:$K$4000,0)),NA()))</f>
        <v/>
      </c>
      <c r="S1314" s="20">
        <f>IF(AND(ISNUMBER(B1314),ISNUMBER(Q1314),ISNUMBER(R1314)),(B1314-Q1314-R1314)*100,NA())</f>
        <v/>
      </c>
      <c r="T1314" s="20">
        <f>IF(AND(ISNUMBER(B1314),Settings!$B$17&gt;0),IF(ISNUMBER(INDEX($B:$B,Settings!$B$17)),(B1314-INDEX($B:$B,Settings!$B$17))*100,NA()),NA())</f>
        <v/>
      </c>
      <c r="U1314" s="20">
        <f>IF(AND(ISNUMBER(Q1314),Settings!$B$17&gt;0),IF(ISNUMBER(INDEX($Q:$Q,Settings!$B$17)),(Q1314-INDEX($Q:$Q,Settings!$B$17))*100,NA()),NA())</f>
        <v/>
      </c>
      <c r="V1314" s="20">
        <f>IF(AND(ISNUMBER(R1314),Settings!$B$17&gt;0),IF(ISNUMBER(INDEX($R:$R,Settings!$B$17)),(R1314-INDEX($R:$R,Settings!$B$17))*100,NA()),NA())</f>
        <v/>
      </c>
      <c r="W1314" s="20">
        <f>IF(AND(ISNUMBER(P1314),Settings!$B$17&gt;0),IF(ISNUMBER(INDEX($P:$P,Settings!$B$17)),P1314-INDEX($P:$P,Settings!$B$17),NA()),NA())</f>
        <v/>
      </c>
      <c r="X1314" s="19">
        <f>IF(NOT(ISNUMBER($A1314)),NA(),IF(OR($A1314&lt;MIN(DKW_10Y!$A$2:$A$2918),$A1314&gt;MAX(DKW_10Y!$A$2:$A$2918),Settings!$B$16&lt;MIN(DKW_10Y!$A$2:$A$2918)),NA(),(INDEX(DKW_10Y!$B$2:$B$2918,MATCH($A1314,DKW_10Y!$A$2:$A$2918,1))-INDEX(DKW_10Y!$B$2:$B$2918,MATCH(Settings!$B$16,DKW_10Y!$A$2:$A$2918,1)))*100))</f>
        <v/>
      </c>
      <c r="Y1314" s="19">
        <f>IF(NOT(ISNUMBER($A1314)),NA(),IF(OR($A1314&lt;MIN(DKW_10Y!$A$2:$A$2918),$A1314&gt;MAX(DKW_10Y!$A$2:$A$2918),Settings!$B$16&lt;MIN(DKW_10Y!$A$2:$A$2918)),NA(),(INDEX(DKW_10Y!$C$2:$C$2918,MATCH($A1314,DKW_10Y!$A$2:$A$2918,1))-INDEX(DKW_10Y!$C$2:$C$2918,MATCH(Settings!$B$16,DKW_10Y!$A$2:$A$2918,1)))*100))</f>
        <v/>
      </c>
      <c r="Z1314" s="19">
        <f>IF(NOT(ISNUMBER($A1314)),NA(),IF(OR($A1314&lt;MIN(DKW_10Y!$A$2:$A$2918),$A1314&gt;MAX(DKW_10Y!$A$2:$A$2918),Settings!$B$16&lt;MIN(DKW_10Y!$A$2:$A$2918)),NA(),(INDEX(DKW_10Y!$D$2:$D$2918,MATCH($A1314,DKW_10Y!$A$2:$A$2918,1))-INDEX(DKW_10Y!$D$2:$D$2918,MATCH(Settings!$B$16,DKW_10Y!$A$2:$A$2918,1)))*100))</f>
        <v/>
      </c>
      <c r="AA1314" s="19">
        <f>IF(NOT(ISNUMBER($A1314)),NA(),IF(OR($A1314&lt;MIN(DKW_10Y!$A$2:$A$2918),$A1314&gt;MAX(DKW_10Y!$A$2:$A$2918),Settings!$B$16&lt;MIN(DKW_10Y!$A$2:$A$2918)),NA(),(INDEX(DKW_10Y!$E$2:$E$2918,MATCH($A1314,DKW_10Y!$A$2:$A$2918,1))-INDEX(DKW_10Y!$E$2:$E$2918,MATCH(Settings!$B$16,DKW_10Y!$A$2:$A$2918,1)))*100))</f>
        <v/>
      </c>
      <c r="AB1314" s="19">
        <f>IF(NOT(ISNUMBER($A1314)),NA(),IF(OR($A1314&lt;MIN(DKW_10Y!$A$2:$A$2918),$A1314&gt;MAX(DKW_10Y!$A$2:$A$2918),Settings!$B$16&lt;MIN(DKW_10Y!$A$2:$A$2918)),NA(),(INDEX(DKW_10Y!$H$2:$H$2918,MATCH($A1314,DKW_10Y!$A$2:$A$2918,1))-INDEX(DKW_10Y!$H$2:$H$2918,MATCH(Settings!$B$16,DKW_10Y!$A$2:$A$2918,1)))*100))</f>
        <v/>
      </c>
      <c r="AC1314" s="18">
        <f>IF(NOT(ISNUMBER($A1314)),NA(),IFERROR(1*INDEX(BBG_Data!$N$2:$N$4000,MATCH($A1314,BBG_Data!$M$2:$M$4000,0)),NA()))</f>
        <v/>
      </c>
      <c r="AD1314" s="18">
        <f>IF(NOT(ISNUMBER($A1314)),NA(),IFERROR(1*INDEX(BBG_Data!$P$2:$P$4000,MATCH($A1314,BBG_Data!$O$2:$O$4000,0)),NA()))</f>
        <v/>
      </c>
      <c r="AE1314" s="18">
        <f>IF(NOT(ISNUMBER($A1314)),NA(),IFERROR(1*INDEX(BBG_Data!$R$2:$R$4000,MATCH($A1314,BBG_Data!$Q$2:$Q$4000,0)),NA()))</f>
        <v/>
      </c>
      <c r="AF1314" s="20">
        <f>IF(AND(ISNUMBER(B1314),ISNUMBER(AC1314)),(B1314-AC1314)*100,NA())</f>
        <v/>
      </c>
      <c r="AG1314" s="20">
        <f>IF(AND(ISNUMBER(AE1314),ISNUMBER(AD1314)),(AE1314-AD1314)*100,NA())</f>
        <v/>
      </c>
      <c r="AH1314" s="19">
        <f>IF(NOT(ISNUMBER($A1314)),NA(),IFERROR(INDEX(BBG_Data!$T$2:$T$4000,MATCH($A1314,BBG_Data!$S$2:$S$4000,0))*Settings!$B$25,NA()))</f>
        <v/>
      </c>
      <c r="AI1314" s="19">
        <f>IF(NOT(ISNUMBER($A1314)),NA(),IFERROR(INDEX(BBG_Data!$V$2:$V$4000,MATCH($A1314,BBG_Data!$U$2:$U$4000,0))*Settings!$B$25,NA()))</f>
        <v/>
      </c>
      <c r="AJ1314" s="19">
        <f>IF(NOT(ISNUMBER($A1314)),NA(),IFERROR(1*INDEX(BBG_Data!$X$2:$X$4000,MATCH($A1314,BBG_Data!$W$2:$W$4000,0)),NA()))</f>
        <v/>
      </c>
      <c r="AK1314" s="19">
        <f>IF(NOT(ISNUMBER($A1314)),NA(),IFERROR(1*INDEX(BBG_Data!$Z$2:$Z$4000,MATCH($A1314,BBG_Data!$Y$2:$Y$4000,0)),NA()))</f>
        <v/>
      </c>
    </row>
    <row r="1315">
      <c r="A1315" s="17">
        <f>IF(ISNUMBER(BBG_Data!A1315),BBG_Data!A1315,"")</f>
        <v/>
      </c>
      <c r="B1315" s="18">
        <f>IF(AND(ISNUMBER($A1315),ISNUMBER(BBG_Data!B1315)),BBG_Data!B1315,NA())</f>
        <v/>
      </c>
      <c r="C1315" s="18">
        <f>IF(NOT(ISNUMBER($A1315)),NA(),IFERROR(1*INDEX(BBG_Data!$D$2:$D$4000,MATCH($A1315,BBG_Data!$C$2:$C$4000,0)),NA()))</f>
        <v/>
      </c>
      <c r="D1315" s="19">
        <f>IF(NOT(ISNUMBER($A1315)),NA(),IFERROR(1*INDEX(BBG_Data!$F$2:$F$4000,MATCH($A1315,BBG_Data!$E$2:$E$4000,0)),NA()))</f>
        <v/>
      </c>
      <c r="E1315" s="19">
        <f>IF(NOT(ISNUMBER($A1315)),NA(),IFERROR(1*INDEX(BBG_Data!$H$2:$H$4000,MATCH($A1315,BBG_Data!$G$2:$G$4000,0)),NA()))</f>
        <v/>
      </c>
      <c r="F1315" s="20">
        <f>IF(AND(ISNUMBER(B1315),ISNUMBER(B1314)),IF(B1315=B1314,"",(B1315-B1314)*100),"")</f>
        <v/>
      </c>
      <c r="G1315" s="20">
        <f>IF(AND(ISNUMBER(C1315),ISNUMBER(C1314)),IF(C1315=C1314,"",(C1315-C1314)*100),"")</f>
        <v/>
      </c>
      <c r="H1315" s="20">
        <f>IF(OR(NOT(ISNUMBER($A1315)),ROW()-2&lt;Settings!$B$11),NA(),IF(COUNT(OFFSET(F1315,1-Settings!$B$11,0,Settings!$B$11,1))&lt;ROUNDUP(Settings!$B$11*Settings!$B$26,0),NA(),STDEV(OFFSET(F1315,1-Settings!$B$11,0,Settings!$B$11,1))*SQRT(Settings!$B$13)))</f>
        <v/>
      </c>
      <c r="I1315" s="20">
        <f>IF(OR(NOT(ISNUMBER($A1315)),ROW()-2&lt;Settings!$B$12),NA(),IF(COUNT(OFFSET(F1315,1-Settings!$B$12,0,Settings!$B$12,1))&lt;ROUNDUP(Settings!$B$12*Settings!$B$26,0),NA(),STDEV(OFFSET(F1315,1-Settings!$B$12,0,Settings!$B$12,1))*SQRT(Settings!$B$13)))</f>
        <v/>
      </c>
      <c r="J1315" s="20">
        <f>IF(OR(NOT(ISNUMBER($A1315)),ROW()-2&lt;Settings!$B$11),NA(),IF(COUNT(OFFSET(G1315,1-Settings!$B$11,0,Settings!$B$11,1))&lt;ROUNDUP(Settings!$B$11*Settings!$B$26,0),NA(),STDEV(OFFSET(G1315,1-Settings!$B$11,0,Settings!$B$11,1))*SQRT(Settings!$B$13)))</f>
        <v/>
      </c>
      <c r="K1315" s="20">
        <f>IF(OR(NOT(ISNUMBER($A1315)),ROW()-2&lt;Settings!$B$12),NA(),IF(COUNT(OFFSET(G1315,1-Settings!$B$12,0,Settings!$B$12,1))&lt;ROUNDUP(Settings!$B$12*Settings!$B$26,0),NA(),STDEV(OFFSET(G1315,1-Settings!$B$12,0,Settings!$B$12,1))*SQRT(Settings!$B$13)))</f>
        <v/>
      </c>
      <c r="L1315" s="20">
        <f>IF(AND(ISNUMBER(D1315),ISNUMBER(H1315)),D1315-H1315,NA())</f>
        <v/>
      </c>
      <c r="M1315" s="20">
        <f>IF(AND(ISNUMBER(E1315),ISNUMBER(K1315)),E1315-K1315,NA())</f>
        <v/>
      </c>
      <c r="N1315" s="20">
        <f>IF(NOT(ISNUMBER($A1315)),NA(),IF(COUNT(OFFSET(G1315,1,0,Settings!$B$12,1))&lt;ROUNDUP(Settings!$B$12*Settings!$B$26,0),NA(),STDEV(OFFSET(G1315,1,0,Settings!$B$12,1))*SQRT(Settings!$B$13)))</f>
        <v/>
      </c>
      <c r="O1315" s="20">
        <f>IF(AND(ISNUMBER(E1315),ISNUMBER(N1315)),E1315-N1315,NA())</f>
        <v/>
      </c>
      <c r="P1315" s="19">
        <f>IF(NOT(ISNUMBER($A1315)),NA(),IF(OR($A1315&lt;MIN(KW_TP!$A$2:$A$2501),$A1315&gt;MAX(KW_TP!$A$2:$A$2501)),NA(),INDEX(KW_TP!$C$2:$C$2501,MATCH($A1315,KW_TP!$A$2:$A$2501,1))))</f>
        <v/>
      </c>
      <c r="Q1315" s="18">
        <f>IF(NOT(ISNUMBER($A1315)),NA(),IFERROR(1*INDEX(BBG_Data!$J$2:$J$4000,MATCH($A1315,BBG_Data!$I$2:$I$4000,0)),NA()))</f>
        <v/>
      </c>
      <c r="R1315" s="18">
        <f>IF(NOT(ISNUMBER($A1315)),NA(),IFERROR(1*INDEX(BBG_Data!$L$2:$L$4000,MATCH($A1315,BBG_Data!$K$2:$K$4000,0)),NA()))</f>
        <v/>
      </c>
      <c r="S1315" s="20">
        <f>IF(AND(ISNUMBER(B1315),ISNUMBER(Q1315),ISNUMBER(R1315)),(B1315-Q1315-R1315)*100,NA())</f>
        <v/>
      </c>
      <c r="T1315" s="20">
        <f>IF(AND(ISNUMBER(B1315),Settings!$B$17&gt;0),IF(ISNUMBER(INDEX($B:$B,Settings!$B$17)),(B1315-INDEX($B:$B,Settings!$B$17))*100,NA()),NA())</f>
        <v/>
      </c>
      <c r="U1315" s="20">
        <f>IF(AND(ISNUMBER(Q1315),Settings!$B$17&gt;0),IF(ISNUMBER(INDEX($Q:$Q,Settings!$B$17)),(Q1315-INDEX($Q:$Q,Settings!$B$17))*100,NA()),NA())</f>
        <v/>
      </c>
      <c r="V1315" s="20">
        <f>IF(AND(ISNUMBER(R1315),Settings!$B$17&gt;0),IF(ISNUMBER(INDEX($R:$R,Settings!$B$17)),(R1315-INDEX($R:$R,Settings!$B$17))*100,NA()),NA())</f>
        <v/>
      </c>
      <c r="W1315" s="20">
        <f>IF(AND(ISNUMBER(P1315),Settings!$B$17&gt;0),IF(ISNUMBER(INDEX($P:$P,Settings!$B$17)),P1315-INDEX($P:$P,Settings!$B$17),NA()),NA())</f>
        <v/>
      </c>
      <c r="X1315" s="19">
        <f>IF(NOT(ISNUMBER($A1315)),NA(),IF(OR($A1315&lt;MIN(DKW_10Y!$A$2:$A$2918),$A1315&gt;MAX(DKW_10Y!$A$2:$A$2918),Settings!$B$16&lt;MIN(DKW_10Y!$A$2:$A$2918)),NA(),(INDEX(DKW_10Y!$B$2:$B$2918,MATCH($A1315,DKW_10Y!$A$2:$A$2918,1))-INDEX(DKW_10Y!$B$2:$B$2918,MATCH(Settings!$B$16,DKW_10Y!$A$2:$A$2918,1)))*100))</f>
        <v/>
      </c>
      <c r="Y1315" s="19">
        <f>IF(NOT(ISNUMBER($A1315)),NA(),IF(OR($A1315&lt;MIN(DKW_10Y!$A$2:$A$2918),$A1315&gt;MAX(DKW_10Y!$A$2:$A$2918),Settings!$B$16&lt;MIN(DKW_10Y!$A$2:$A$2918)),NA(),(INDEX(DKW_10Y!$C$2:$C$2918,MATCH($A1315,DKW_10Y!$A$2:$A$2918,1))-INDEX(DKW_10Y!$C$2:$C$2918,MATCH(Settings!$B$16,DKW_10Y!$A$2:$A$2918,1)))*100))</f>
        <v/>
      </c>
      <c r="Z1315" s="19">
        <f>IF(NOT(ISNUMBER($A1315)),NA(),IF(OR($A1315&lt;MIN(DKW_10Y!$A$2:$A$2918),$A1315&gt;MAX(DKW_10Y!$A$2:$A$2918),Settings!$B$16&lt;MIN(DKW_10Y!$A$2:$A$2918)),NA(),(INDEX(DKW_10Y!$D$2:$D$2918,MATCH($A1315,DKW_10Y!$A$2:$A$2918,1))-INDEX(DKW_10Y!$D$2:$D$2918,MATCH(Settings!$B$16,DKW_10Y!$A$2:$A$2918,1)))*100))</f>
        <v/>
      </c>
      <c r="AA1315" s="19">
        <f>IF(NOT(ISNUMBER($A1315)),NA(),IF(OR($A1315&lt;MIN(DKW_10Y!$A$2:$A$2918),$A1315&gt;MAX(DKW_10Y!$A$2:$A$2918),Settings!$B$16&lt;MIN(DKW_10Y!$A$2:$A$2918)),NA(),(INDEX(DKW_10Y!$E$2:$E$2918,MATCH($A1315,DKW_10Y!$A$2:$A$2918,1))-INDEX(DKW_10Y!$E$2:$E$2918,MATCH(Settings!$B$16,DKW_10Y!$A$2:$A$2918,1)))*100))</f>
        <v/>
      </c>
      <c r="AB1315" s="19">
        <f>IF(NOT(ISNUMBER($A1315)),NA(),IF(OR($A1315&lt;MIN(DKW_10Y!$A$2:$A$2918),$A1315&gt;MAX(DKW_10Y!$A$2:$A$2918),Settings!$B$16&lt;MIN(DKW_10Y!$A$2:$A$2918)),NA(),(INDEX(DKW_10Y!$H$2:$H$2918,MATCH($A1315,DKW_10Y!$A$2:$A$2918,1))-INDEX(DKW_10Y!$H$2:$H$2918,MATCH(Settings!$B$16,DKW_10Y!$A$2:$A$2918,1)))*100))</f>
        <v/>
      </c>
      <c r="AC1315" s="18">
        <f>IF(NOT(ISNUMBER($A1315)),NA(),IFERROR(1*INDEX(BBG_Data!$N$2:$N$4000,MATCH($A1315,BBG_Data!$M$2:$M$4000,0)),NA()))</f>
        <v/>
      </c>
      <c r="AD1315" s="18">
        <f>IF(NOT(ISNUMBER($A1315)),NA(),IFERROR(1*INDEX(BBG_Data!$P$2:$P$4000,MATCH($A1315,BBG_Data!$O$2:$O$4000,0)),NA()))</f>
        <v/>
      </c>
      <c r="AE1315" s="18">
        <f>IF(NOT(ISNUMBER($A1315)),NA(),IFERROR(1*INDEX(BBG_Data!$R$2:$R$4000,MATCH($A1315,BBG_Data!$Q$2:$Q$4000,0)),NA()))</f>
        <v/>
      </c>
      <c r="AF1315" s="20">
        <f>IF(AND(ISNUMBER(B1315),ISNUMBER(AC1315)),(B1315-AC1315)*100,NA())</f>
        <v/>
      </c>
      <c r="AG1315" s="20">
        <f>IF(AND(ISNUMBER(AE1315),ISNUMBER(AD1315)),(AE1315-AD1315)*100,NA())</f>
        <v/>
      </c>
      <c r="AH1315" s="19">
        <f>IF(NOT(ISNUMBER($A1315)),NA(),IFERROR(INDEX(BBG_Data!$T$2:$T$4000,MATCH($A1315,BBG_Data!$S$2:$S$4000,0))*Settings!$B$25,NA()))</f>
        <v/>
      </c>
      <c r="AI1315" s="19">
        <f>IF(NOT(ISNUMBER($A1315)),NA(),IFERROR(INDEX(BBG_Data!$V$2:$V$4000,MATCH($A1315,BBG_Data!$U$2:$U$4000,0))*Settings!$B$25,NA()))</f>
        <v/>
      </c>
      <c r="AJ1315" s="19">
        <f>IF(NOT(ISNUMBER($A1315)),NA(),IFERROR(1*INDEX(BBG_Data!$X$2:$X$4000,MATCH($A1315,BBG_Data!$W$2:$W$4000,0)),NA()))</f>
        <v/>
      </c>
      <c r="AK1315" s="19">
        <f>IF(NOT(ISNUMBER($A1315)),NA(),IFERROR(1*INDEX(BBG_Data!$Z$2:$Z$4000,MATCH($A1315,BBG_Data!$Y$2:$Y$4000,0)),NA()))</f>
        <v/>
      </c>
    </row>
    <row r="1316">
      <c r="A1316" s="17">
        <f>IF(ISNUMBER(BBG_Data!A1316),BBG_Data!A1316,"")</f>
        <v/>
      </c>
      <c r="B1316" s="18">
        <f>IF(AND(ISNUMBER($A1316),ISNUMBER(BBG_Data!B1316)),BBG_Data!B1316,NA())</f>
        <v/>
      </c>
      <c r="C1316" s="18">
        <f>IF(NOT(ISNUMBER($A1316)),NA(),IFERROR(1*INDEX(BBG_Data!$D$2:$D$4000,MATCH($A1316,BBG_Data!$C$2:$C$4000,0)),NA()))</f>
        <v/>
      </c>
      <c r="D1316" s="19">
        <f>IF(NOT(ISNUMBER($A1316)),NA(),IFERROR(1*INDEX(BBG_Data!$F$2:$F$4000,MATCH($A1316,BBG_Data!$E$2:$E$4000,0)),NA()))</f>
        <v/>
      </c>
      <c r="E1316" s="19">
        <f>IF(NOT(ISNUMBER($A1316)),NA(),IFERROR(1*INDEX(BBG_Data!$H$2:$H$4000,MATCH($A1316,BBG_Data!$G$2:$G$4000,0)),NA()))</f>
        <v/>
      </c>
      <c r="F1316" s="20">
        <f>IF(AND(ISNUMBER(B1316),ISNUMBER(B1315)),IF(B1316=B1315,"",(B1316-B1315)*100),"")</f>
        <v/>
      </c>
      <c r="G1316" s="20">
        <f>IF(AND(ISNUMBER(C1316),ISNUMBER(C1315)),IF(C1316=C1315,"",(C1316-C1315)*100),"")</f>
        <v/>
      </c>
      <c r="H1316" s="20">
        <f>IF(OR(NOT(ISNUMBER($A1316)),ROW()-2&lt;Settings!$B$11),NA(),IF(COUNT(OFFSET(F1316,1-Settings!$B$11,0,Settings!$B$11,1))&lt;ROUNDUP(Settings!$B$11*Settings!$B$26,0),NA(),STDEV(OFFSET(F1316,1-Settings!$B$11,0,Settings!$B$11,1))*SQRT(Settings!$B$13)))</f>
        <v/>
      </c>
      <c r="I1316" s="20">
        <f>IF(OR(NOT(ISNUMBER($A1316)),ROW()-2&lt;Settings!$B$12),NA(),IF(COUNT(OFFSET(F1316,1-Settings!$B$12,0,Settings!$B$12,1))&lt;ROUNDUP(Settings!$B$12*Settings!$B$26,0),NA(),STDEV(OFFSET(F1316,1-Settings!$B$12,0,Settings!$B$12,1))*SQRT(Settings!$B$13)))</f>
        <v/>
      </c>
      <c r="J1316" s="20">
        <f>IF(OR(NOT(ISNUMBER($A1316)),ROW()-2&lt;Settings!$B$11),NA(),IF(COUNT(OFFSET(G1316,1-Settings!$B$11,0,Settings!$B$11,1))&lt;ROUNDUP(Settings!$B$11*Settings!$B$26,0),NA(),STDEV(OFFSET(G1316,1-Settings!$B$11,0,Settings!$B$11,1))*SQRT(Settings!$B$13)))</f>
        <v/>
      </c>
      <c r="K1316" s="20">
        <f>IF(OR(NOT(ISNUMBER($A1316)),ROW()-2&lt;Settings!$B$12),NA(),IF(COUNT(OFFSET(G1316,1-Settings!$B$12,0,Settings!$B$12,1))&lt;ROUNDUP(Settings!$B$12*Settings!$B$26,0),NA(),STDEV(OFFSET(G1316,1-Settings!$B$12,0,Settings!$B$12,1))*SQRT(Settings!$B$13)))</f>
        <v/>
      </c>
      <c r="L1316" s="20">
        <f>IF(AND(ISNUMBER(D1316),ISNUMBER(H1316)),D1316-H1316,NA())</f>
        <v/>
      </c>
      <c r="M1316" s="20">
        <f>IF(AND(ISNUMBER(E1316),ISNUMBER(K1316)),E1316-K1316,NA())</f>
        <v/>
      </c>
      <c r="N1316" s="20">
        <f>IF(NOT(ISNUMBER($A1316)),NA(),IF(COUNT(OFFSET(G1316,1,0,Settings!$B$12,1))&lt;ROUNDUP(Settings!$B$12*Settings!$B$26,0),NA(),STDEV(OFFSET(G1316,1,0,Settings!$B$12,1))*SQRT(Settings!$B$13)))</f>
        <v/>
      </c>
      <c r="O1316" s="20">
        <f>IF(AND(ISNUMBER(E1316),ISNUMBER(N1316)),E1316-N1316,NA())</f>
        <v/>
      </c>
      <c r="P1316" s="19">
        <f>IF(NOT(ISNUMBER($A1316)),NA(),IF(OR($A1316&lt;MIN(KW_TP!$A$2:$A$2501),$A1316&gt;MAX(KW_TP!$A$2:$A$2501)),NA(),INDEX(KW_TP!$C$2:$C$2501,MATCH($A1316,KW_TP!$A$2:$A$2501,1))))</f>
        <v/>
      </c>
      <c r="Q1316" s="18">
        <f>IF(NOT(ISNUMBER($A1316)),NA(),IFERROR(1*INDEX(BBG_Data!$J$2:$J$4000,MATCH($A1316,BBG_Data!$I$2:$I$4000,0)),NA()))</f>
        <v/>
      </c>
      <c r="R1316" s="18">
        <f>IF(NOT(ISNUMBER($A1316)),NA(),IFERROR(1*INDEX(BBG_Data!$L$2:$L$4000,MATCH($A1316,BBG_Data!$K$2:$K$4000,0)),NA()))</f>
        <v/>
      </c>
      <c r="S1316" s="20">
        <f>IF(AND(ISNUMBER(B1316),ISNUMBER(Q1316),ISNUMBER(R1316)),(B1316-Q1316-R1316)*100,NA())</f>
        <v/>
      </c>
      <c r="T1316" s="20">
        <f>IF(AND(ISNUMBER(B1316),Settings!$B$17&gt;0),IF(ISNUMBER(INDEX($B:$B,Settings!$B$17)),(B1316-INDEX($B:$B,Settings!$B$17))*100,NA()),NA())</f>
        <v/>
      </c>
      <c r="U1316" s="20">
        <f>IF(AND(ISNUMBER(Q1316),Settings!$B$17&gt;0),IF(ISNUMBER(INDEX($Q:$Q,Settings!$B$17)),(Q1316-INDEX($Q:$Q,Settings!$B$17))*100,NA()),NA())</f>
        <v/>
      </c>
      <c r="V1316" s="20">
        <f>IF(AND(ISNUMBER(R1316),Settings!$B$17&gt;0),IF(ISNUMBER(INDEX($R:$R,Settings!$B$17)),(R1316-INDEX($R:$R,Settings!$B$17))*100,NA()),NA())</f>
        <v/>
      </c>
      <c r="W1316" s="20">
        <f>IF(AND(ISNUMBER(P1316),Settings!$B$17&gt;0),IF(ISNUMBER(INDEX($P:$P,Settings!$B$17)),P1316-INDEX($P:$P,Settings!$B$17),NA()),NA())</f>
        <v/>
      </c>
      <c r="X1316" s="19">
        <f>IF(NOT(ISNUMBER($A1316)),NA(),IF(OR($A1316&lt;MIN(DKW_10Y!$A$2:$A$2918),$A1316&gt;MAX(DKW_10Y!$A$2:$A$2918),Settings!$B$16&lt;MIN(DKW_10Y!$A$2:$A$2918)),NA(),(INDEX(DKW_10Y!$B$2:$B$2918,MATCH($A1316,DKW_10Y!$A$2:$A$2918,1))-INDEX(DKW_10Y!$B$2:$B$2918,MATCH(Settings!$B$16,DKW_10Y!$A$2:$A$2918,1)))*100))</f>
        <v/>
      </c>
      <c r="Y1316" s="19">
        <f>IF(NOT(ISNUMBER($A1316)),NA(),IF(OR($A1316&lt;MIN(DKW_10Y!$A$2:$A$2918),$A1316&gt;MAX(DKW_10Y!$A$2:$A$2918),Settings!$B$16&lt;MIN(DKW_10Y!$A$2:$A$2918)),NA(),(INDEX(DKW_10Y!$C$2:$C$2918,MATCH($A1316,DKW_10Y!$A$2:$A$2918,1))-INDEX(DKW_10Y!$C$2:$C$2918,MATCH(Settings!$B$16,DKW_10Y!$A$2:$A$2918,1)))*100))</f>
        <v/>
      </c>
      <c r="Z1316" s="19">
        <f>IF(NOT(ISNUMBER($A1316)),NA(),IF(OR($A1316&lt;MIN(DKW_10Y!$A$2:$A$2918),$A1316&gt;MAX(DKW_10Y!$A$2:$A$2918),Settings!$B$16&lt;MIN(DKW_10Y!$A$2:$A$2918)),NA(),(INDEX(DKW_10Y!$D$2:$D$2918,MATCH($A1316,DKW_10Y!$A$2:$A$2918,1))-INDEX(DKW_10Y!$D$2:$D$2918,MATCH(Settings!$B$16,DKW_10Y!$A$2:$A$2918,1)))*100))</f>
        <v/>
      </c>
      <c r="AA1316" s="19">
        <f>IF(NOT(ISNUMBER($A1316)),NA(),IF(OR($A1316&lt;MIN(DKW_10Y!$A$2:$A$2918),$A1316&gt;MAX(DKW_10Y!$A$2:$A$2918),Settings!$B$16&lt;MIN(DKW_10Y!$A$2:$A$2918)),NA(),(INDEX(DKW_10Y!$E$2:$E$2918,MATCH($A1316,DKW_10Y!$A$2:$A$2918,1))-INDEX(DKW_10Y!$E$2:$E$2918,MATCH(Settings!$B$16,DKW_10Y!$A$2:$A$2918,1)))*100))</f>
        <v/>
      </c>
      <c r="AB1316" s="19">
        <f>IF(NOT(ISNUMBER($A1316)),NA(),IF(OR($A1316&lt;MIN(DKW_10Y!$A$2:$A$2918),$A1316&gt;MAX(DKW_10Y!$A$2:$A$2918),Settings!$B$16&lt;MIN(DKW_10Y!$A$2:$A$2918)),NA(),(INDEX(DKW_10Y!$H$2:$H$2918,MATCH($A1316,DKW_10Y!$A$2:$A$2918,1))-INDEX(DKW_10Y!$H$2:$H$2918,MATCH(Settings!$B$16,DKW_10Y!$A$2:$A$2918,1)))*100))</f>
        <v/>
      </c>
      <c r="AC1316" s="18">
        <f>IF(NOT(ISNUMBER($A1316)),NA(),IFERROR(1*INDEX(BBG_Data!$N$2:$N$4000,MATCH($A1316,BBG_Data!$M$2:$M$4000,0)),NA()))</f>
        <v/>
      </c>
      <c r="AD1316" s="18">
        <f>IF(NOT(ISNUMBER($A1316)),NA(),IFERROR(1*INDEX(BBG_Data!$P$2:$P$4000,MATCH($A1316,BBG_Data!$O$2:$O$4000,0)),NA()))</f>
        <v/>
      </c>
      <c r="AE1316" s="18">
        <f>IF(NOT(ISNUMBER($A1316)),NA(),IFERROR(1*INDEX(BBG_Data!$R$2:$R$4000,MATCH($A1316,BBG_Data!$Q$2:$Q$4000,0)),NA()))</f>
        <v/>
      </c>
      <c r="AF1316" s="20">
        <f>IF(AND(ISNUMBER(B1316),ISNUMBER(AC1316)),(B1316-AC1316)*100,NA())</f>
        <v/>
      </c>
      <c r="AG1316" s="20">
        <f>IF(AND(ISNUMBER(AE1316),ISNUMBER(AD1316)),(AE1316-AD1316)*100,NA())</f>
        <v/>
      </c>
      <c r="AH1316" s="19">
        <f>IF(NOT(ISNUMBER($A1316)),NA(),IFERROR(INDEX(BBG_Data!$T$2:$T$4000,MATCH($A1316,BBG_Data!$S$2:$S$4000,0))*Settings!$B$25,NA()))</f>
        <v/>
      </c>
      <c r="AI1316" s="19">
        <f>IF(NOT(ISNUMBER($A1316)),NA(),IFERROR(INDEX(BBG_Data!$V$2:$V$4000,MATCH($A1316,BBG_Data!$U$2:$U$4000,0))*Settings!$B$25,NA()))</f>
        <v/>
      </c>
      <c r="AJ1316" s="19">
        <f>IF(NOT(ISNUMBER($A1316)),NA(),IFERROR(1*INDEX(BBG_Data!$X$2:$X$4000,MATCH($A1316,BBG_Data!$W$2:$W$4000,0)),NA()))</f>
        <v/>
      </c>
      <c r="AK1316" s="19">
        <f>IF(NOT(ISNUMBER($A1316)),NA(),IFERROR(1*INDEX(BBG_Data!$Z$2:$Z$4000,MATCH($A1316,BBG_Data!$Y$2:$Y$4000,0)),NA()))</f>
        <v/>
      </c>
    </row>
    <row r="1317">
      <c r="A1317" s="17">
        <f>IF(ISNUMBER(BBG_Data!A1317),BBG_Data!A1317,"")</f>
        <v/>
      </c>
      <c r="B1317" s="18">
        <f>IF(AND(ISNUMBER($A1317),ISNUMBER(BBG_Data!B1317)),BBG_Data!B1317,NA())</f>
        <v/>
      </c>
      <c r="C1317" s="18">
        <f>IF(NOT(ISNUMBER($A1317)),NA(),IFERROR(1*INDEX(BBG_Data!$D$2:$D$4000,MATCH($A1317,BBG_Data!$C$2:$C$4000,0)),NA()))</f>
        <v/>
      </c>
      <c r="D1317" s="19">
        <f>IF(NOT(ISNUMBER($A1317)),NA(),IFERROR(1*INDEX(BBG_Data!$F$2:$F$4000,MATCH($A1317,BBG_Data!$E$2:$E$4000,0)),NA()))</f>
        <v/>
      </c>
      <c r="E1317" s="19">
        <f>IF(NOT(ISNUMBER($A1317)),NA(),IFERROR(1*INDEX(BBG_Data!$H$2:$H$4000,MATCH($A1317,BBG_Data!$G$2:$G$4000,0)),NA()))</f>
        <v/>
      </c>
      <c r="F1317" s="20">
        <f>IF(AND(ISNUMBER(B1317),ISNUMBER(B1316)),IF(B1317=B1316,"",(B1317-B1316)*100),"")</f>
        <v/>
      </c>
      <c r="G1317" s="20">
        <f>IF(AND(ISNUMBER(C1317),ISNUMBER(C1316)),IF(C1317=C1316,"",(C1317-C1316)*100),"")</f>
        <v/>
      </c>
      <c r="H1317" s="20">
        <f>IF(OR(NOT(ISNUMBER($A1317)),ROW()-2&lt;Settings!$B$11),NA(),IF(COUNT(OFFSET(F1317,1-Settings!$B$11,0,Settings!$B$11,1))&lt;ROUNDUP(Settings!$B$11*Settings!$B$26,0),NA(),STDEV(OFFSET(F1317,1-Settings!$B$11,0,Settings!$B$11,1))*SQRT(Settings!$B$13)))</f>
        <v/>
      </c>
      <c r="I1317" s="20">
        <f>IF(OR(NOT(ISNUMBER($A1317)),ROW()-2&lt;Settings!$B$12),NA(),IF(COUNT(OFFSET(F1317,1-Settings!$B$12,0,Settings!$B$12,1))&lt;ROUNDUP(Settings!$B$12*Settings!$B$26,0),NA(),STDEV(OFFSET(F1317,1-Settings!$B$12,0,Settings!$B$12,1))*SQRT(Settings!$B$13)))</f>
        <v/>
      </c>
      <c r="J1317" s="20">
        <f>IF(OR(NOT(ISNUMBER($A1317)),ROW()-2&lt;Settings!$B$11),NA(),IF(COUNT(OFFSET(G1317,1-Settings!$B$11,0,Settings!$B$11,1))&lt;ROUNDUP(Settings!$B$11*Settings!$B$26,0),NA(),STDEV(OFFSET(G1317,1-Settings!$B$11,0,Settings!$B$11,1))*SQRT(Settings!$B$13)))</f>
        <v/>
      </c>
      <c r="K1317" s="20">
        <f>IF(OR(NOT(ISNUMBER($A1317)),ROW()-2&lt;Settings!$B$12),NA(),IF(COUNT(OFFSET(G1317,1-Settings!$B$12,0,Settings!$B$12,1))&lt;ROUNDUP(Settings!$B$12*Settings!$B$26,0),NA(),STDEV(OFFSET(G1317,1-Settings!$B$12,0,Settings!$B$12,1))*SQRT(Settings!$B$13)))</f>
        <v/>
      </c>
      <c r="L1317" s="20">
        <f>IF(AND(ISNUMBER(D1317),ISNUMBER(H1317)),D1317-H1317,NA())</f>
        <v/>
      </c>
      <c r="M1317" s="20">
        <f>IF(AND(ISNUMBER(E1317),ISNUMBER(K1317)),E1317-K1317,NA())</f>
        <v/>
      </c>
      <c r="N1317" s="20">
        <f>IF(NOT(ISNUMBER($A1317)),NA(),IF(COUNT(OFFSET(G1317,1,0,Settings!$B$12,1))&lt;ROUNDUP(Settings!$B$12*Settings!$B$26,0),NA(),STDEV(OFFSET(G1317,1,0,Settings!$B$12,1))*SQRT(Settings!$B$13)))</f>
        <v/>
      </c>
      <c r="O1317" s="20">
        <f>IF(AND(ISNUMBER(E1317),ISNUMBER(N1317)),E1317-N1317,NA())</f>
        <v/>
      </c>
      <c r="P1317" s="19">
        <f>IF(NOT(ISNUMBER($A1317)),NA(),IF(OR($A1317&lt;MIN(KW_TP!$A$2:$A$2501),$A1317&gt;MAX(KW_TP!$A$2:$A$2501)),NA(),INDEX(KW_TP!$C$2:$C$2501,MATCH($A1317,KW_TP!$A$2:$A$2501,1))))</f>
        <v/>
      </c>
      <c r="Q1317" s="18">
        <f>IF(NOT(ISNUMBER($A1317)),NA(),IFERROR(1*INDEX(BBG_Data!$J$2:$J$4000,MATCH($A1317,BBG_Data!$I$2:$I$4000,0)),NA()))</f>
        <v/>
      </c>
      <c r="R1317" s="18">
        <f>IF(NOT(ISNUMBER($A1317)),NA(),IFERROR(1*INDEX(BBG_Data!$L$2:$L$4000,MATCH($A1317,BBG_Data!$K$2:$K$4000,0)),NA()))</f>
        <v/>
      </c>
      <c r="S1317" s="20">
        <f>IF(AND(ISNUMBER(B1317),ISNUMBER(Q1317),ISNUMBER(R1317)),(B1317-Q1317-R1317)*100,NA())</f>
        <v/>
      </c>
      <c r="T1317" s="20">
        <f>IF(AND(ISNUMBER(B1317),Settings!$B$17&gt;0),IF(ISNUMBER(INDEX($B:$B,Settings!$B$17)),(B1317-INDEX($B:$B,Settings!$B$17))*100,NA()),NA())</f>
        <v/>
      </c>
      <c r="U1317" s="20">
        <f>IF(AND(ISNUMBER(Q1317),Settings!$B$17&gt;0),IF(ISNUMBER(INDEX($Q:$Q,Settings!$B$17)),(Q1317-INDEX($Q:$Q,Settings!$B$17))*100,NA()),NA())</f>
        <v/>
      </c>
      <c r="V1317" s="20">
        <f>IF(AND(ISNUMBER(R1317),Settings!$B$17&gt;0),IF(ISNUMBER(INDEX($R:$R,Settings!$B$17)),(R1317-INDEX($R:$R,Settings!$B$17))*100,NA()),NA())</f>
        <v/>
      </c>
      <c r="W1317" s="20">
        <f>IF(AND(ISNUMBER(P1317),Settings!$B$17&gt;0),IF(ISNUMBER(INDEX($P:$P,Settings!$B$17)),P1317-INDEX($P:$P,Settings!$B$17),NA()),NA())</f>
        <v/>
      </c>
      <c r="X1317" s="19">
        <f>IF(NOT(ISNUMBER($A1317)),NA(),IF(OR($A1317&lt;MIN(DKW_10Y!$A$2:$A$2918),$A1317&gt;MAX(DKW_10Y!$A$2:$A$2918),Settings!$B$16&lt;MIN(DKW_10Y!$A$2:$A$2918)),NA(),(INDEX(DKW_10Y!$B$2:$B$2918,MATCH($A1317,DKW_10Y!$A$2:$A$2918,1))-INDEX(DKW_10Y!$B$2:$B$2918,MATCH(Settings!$B$16,DKW_10Y!$A$2:$A$2918,1)))*100))</f>
        <v/>
      </c>
      <c r="Y1317" s="19">
        <f>IF(NOT(ISNUMBER($A1317)),NA(),IF(OR($A1317&lt;MIN(DKW_10Y!$A$2:$A$2918),$A1317&gt;MAX(DKW_10Y!$A$2:$A$2918),Settings!$B$16&lt;MIN(DKW_10Y!$A$2:$A$2918)),NA(),(INDEX(DKW_10Y!$C$2:$C$2918,MATCH($A1317,DKW_10Y!$A$2:$A$2918,1))-INDEX(DKW_10Y!$C$2:$C$2918,MATCH(Settings!$B$16,DKW_10Y!$A$2:$A$2918,1)))*100))</f>
        <v/>
      </c>
      <c r="Z1317" s="19">
        <f>IF(NOT(ISNUMBER($A1317)),NA(),IF(OR($A1317&lt;MIN(DKW_10Y!$A$2:$A$2918),$A1317&gt;MAX(DKW_10Y!$A$2:$A$2918),Settings!$B$16&lt;MIN(DKW_10Y!$A$2:$A$2918)),NA(),(INDEX(DKW_10Y!$D$2:$D$2918,MATCH($A1317,DKW_10Y!$A$2:$A$2918,1))-INDEX(DKW_10Y!$D$2:$D$2918,MATCH(Settings!$B$16,DKW_10Y!$A$2:$A$2918,1)))*100))</f>
        <v/>
      </c>
      <c r="AA1317" s="19">
        <f>IF(NOT(ISNUMBER($A1317)),NA(),IF(OR($A1317&lt;MIN(DKW_10Y!$A$2:$A$2918),$A1317&gt;MAX(DKW_10Y!$A$2:$A$2918),Settings!$B$16&lt;MIN(DKW_10Y!$A$2:$A$2918)),NA(),(INDEX(DKW_10Y!$E$2:$E$2918,MATCH($A1317,DKW_10Y!$A$2:$A$2918,1))-INDEX(DKW_10Y!$E$2:$E$2918,MATCH(Settings!$B$16,DKW_10Y!$A$2:$A$2918,1)))*100))</f>
        <v/>
      </c>
      <c r="AB1317" s="19">
        <f>IF(NOT(ISNUMBER($A1317)),NA(),IF(OR($A1317&lt;MIN(DKW_10Y!$A$2:$A$2918),$A1317&gt;MAX(DKW_10Y!$A$2:$A$2918),Settings!$B$16&lt;MIN(DKW_10Y!$A$2:$A$2918)),NA(),(INDEX(DKW_10Y!$H$2:$H$2918,MATCH($A1317,DKW_10Y!$A$2:$A$2918,1))-INDEX(DKW_10Y!$H$2:$H$2918,MATCH(Settings!$B$16,DKW_10Y!$A$2:$A$2918,1)))*100))</f>
        <v/>
      </c>
      <c r="AC1317" s="18">
        <f>IF(NOT(ISNUMBER($A1317)),NA(),IFERROR(1*INDEX(BBG_Data!$N$2:$N$4000,MATCH($A1317,BBG_Data!$M$2:$M$4000,0)),NA()))</f>
        <v/>
      </c>
      <c r="AD1317" s="18">
        <f>IF(NOT(ISNUMBER($A1317)),NA(),IFERROR(1*INDEX(BBG_Data!$P$2:$P$4000,MATCH($A1317,BBG_Data!$O$2:$O$4000,0)),NA()))</f>
        <v/>
      </c>
      <c r="AE1317" s="18">
        <f>IF(NOT(ISNUMBER($A1317)),NA(),IFERROR(1*INDEX(BBG_Data!$R$2:$R$4000,MATCH($A1317,BBG_Data!$Q$2:$Q$4000,0)),NA()))</f>
        <v/>
      </c>
      <c r="AF1317" s="20">
        <f>IF(AND(ISNUMBER(B1317),ISNUMBER(AC1317)),(B1317-AC1317)*100,NA())</f>
        <v/>
      </c>
      <c r="AG1317" s="20">
        <f>IF(AND(ISNUMBER(AE1317),ISNUMBER(AD1317)),(AE1317-AD1317)*100,NA())</f>
        <v/>
      </c>
      <c r="AH1317" s="19">
        <f>IF(NOT(ISNUMBER($A1317)),NA(),IFERROR(INDEX(BBG_Data!$T$2:$T$4000,MATCH($A1317,BBG_Data!$S$2:$S$4000,0))*Settings!$B$25,NA()))</f>
        <v/>
      </c>
      <c r="AI1317" s="19">
        <f>IF(NOT(ISNUMBER($A1317)),NA(),IFERROR(INDEX(BBG_Data!$V$2:$V$4000,MATCH($A1317,BBG_Data!$U$2:$U$4000,0))*Settings!$B$25,NA()))</f>
        <v/>
      </c>
      <c r="AJ1317" s="19">
        <f>IF(NOT(ISNUMBER($A1317)),NA(),IFERROR(1*INDEX(BBG_Data!$X$2:$X$4000,MATCH($A1317,BBG_Data!$W$2:$W$4000,0)),NA()))</f>
        <v/>
      </c>
      <c r="AK1317" s="19">
        <f>IF(NOT(ISNUMBER($A1317)),NA(),IFERROR(1*INDEX(BBG_Data!$Z$2:$Z$4000,MATCH($A1317,BBG_Data!$Y$2:$Y$4000,0)),NA()))</f>
        <v/>
      </c>
    </row>
    <row r="1318">
      <c r="A1318" s="17">
        <f>IF(ISNUMBER(BBG_Data!A1318),BBG_Data!A1318,"")</f>
        <v/>
      </c>
      <c r="B1318" s="18">
        <f>IF(AND(ISNUMBER($A1318),ISNUMBER(BBG_Data!B1318)),BBG_Data!B1318,NA())</f>
        <v/>
      </c>
      <c r="C1318" s="18">
        <f>IF(NOT(ISNUMBER($A1318)),NA(),IFERROR(1*INDEX(BBG_Data!$D$2:$D$4000,MATCH($A1318,BBG_Data!$C$2:$C$4000,0)),NA()))</f>
        <v/>
      </c>
      <c r="D1318" s="19">
        <f>IF(NOT(ISNUMBER($A1318)),NA(),IFERROR(1*INDEX(BBG_Data!$F$2:$F$4000,MATCH($A1318,BBG_Data!$E$2:$E$4000,0)),NA()))</f>
        <v/>
      </c>
      <c r="E1318" s="19">
        <f>IF(NOT(ISNUMBER($A1318)),NA(),IFERROR(1*INDEX(BBG_Data!$H$2:$H$4000,MATCH($A1318,BBG_Data!$G$2:$G$4000,0)),NA()))</f>
        <v/>
      </c>
      <c r="F1318" s="20">
        <f>IF(AND(ISNUMBER(B1318),ISNUMBER(B1317)),IF(B1318=B1317,"",(B1318-B1317)*100),"")</f>
        <v/>
      </c>
      <c r="G1318" s="20">
        <f>IF(AND(ISNUMBER(C1318),ISNUMBER(C1317)),IF(C1318=C1317,"",(C1318-C1317)*100),"")</f>
        <v/>
      </c>
      <c r="H1318" s="20">
        <f>IF(OR(NOT(ISNUMBER($A1318)),ROW()-2&lt;Settings!$B$11),NA(),IF(COUNT(OFFSET(F1318,1-Settings!$B$11,0,Settings!$B$11,1))&lt;ROUNDUP(Settings!$B$11*Settings!$B$26,0),NA(),STDEV(OFFSET(F1318,1-Settings!$B$11,0,Settings!$B$11,1))*SQRT(Settings!$B$13)))</f>
        <v/>
      </c>
      <c r="I1318" s="20">
        <f>IF(OR(NOT(ISNUMBER($A1318)),ROW()-2&lt;Settings!$B$12),NA(),IF(COUNT(OFFSET(F1318,1-Settings!$B$12,0,Settings!$B$12,1))&lt;ROUNDUP(Settings!$B$12*Settings!$B$26,0),NA(),STDEV(OFFSET(F1318,1-Settings!$B$12,0,Settings!$B$12,1))*SQRT(Settings!$B$13)))</f>
        <v/>
      </c>
      <c r="J1318" s="20">
        <f>IF(OR(NOT(ISNUMBER($A1318)),ROW()-2&lt;Settings!$B$11),NA(),IF(COUNT(OFFSET(G1318,1-Settings!$B$11,0,Settings!$B$11,1))&lt;ROUNDUP(Settings!$B$11*Settings!$B$26,0),NA(),STDEV(OFFSET(G1318,1-Settings!$B$11,0,Settings!$B$11,1))*SQRT(Settings!$B$13)))</f>
        <v/>
      </c>
      <c r="K1318" s="20">
        <f>IF(OR(NOT(ISNUMBER($A1318)),ROW()-2&lt;Settings!$B$12),NA(),IF(COUNT(OFFSET(G1318,1-Settings!$B$12,0,Settings!$B$12,1))&lt;ROUNDUP(Settings!$B$12*Settings!$B$26,0),NA(),STDEV(OFFSET(G1318,1-Settings!$B$12,0,Settings!$B$12,1))*SQRT(Settings!$B$13)))</f>
        <v/>
      </c>
      <c r="L1318" s="20">
        <f>IF(AND(ISNUMBER(D1318),ISNUMBER(H1318)),D1318-H1318,NA())</f>
        <v/>
      </c>
      <c r="M1318" s="20">
        <f>IF(AND(ISNUMBER(E1318),ISNUMBER(K1318)),E1318-K1318,NA())</f>
        <v/>
      </c>
      <c r="N1318" s="20">
        <f>IF(NOT(ISNUMBER($A1318)),NA(),IF(COUNT(OFFSET(G1318,1,0,Settings!$B$12,1))&lt;ROUNDUP(Settings!$B$12*Settings!$B$26,0),NA(),STDEV(OFFSET(G1318,1,0,Settings!$B$12,1))*SQRT(Settings!$B$13)))</f>
        <v/>
      </c>
      <c r="O1318" s="20">
        <f>IF(AND(ISNUMBER(E1318),ISNUMBER(N1318)),E1318-N1318,NA())</f>
        <v/>
      </c>
      <c r="P1318" s="19">
        <f>IF(NOT(ISNUMBER($A1318)),NA(),IF(OR($A1318&lt;MIN(KW_TP!$A$2:$A$2501),$A1318&gt;MAX(KW_TP!$A$2:$A$2501)),NA(),INDEX(KW_TP!$C$2:$C$2501,MATCH($A1318,KW_TP!$A$2:$A$2501,1))))</f>
        <v/>
      </c>
      <c r="Q1318" s="18">
        <f>IF(NOT(ISNUMBER($A1318)),NA(),IFERROR(1*INDEX(BBG_Data!$J$2:$J$4000,MATCH($A1318,BBG_Data!$I$2:$I$4000,0)),NA()))</f>
        <v/>
      </c>
      <c r="R1318" s="18">
        <f>IF(NOT(ISNUMBER($A1318)),NA(),IFERROR(1*INDEX(BBG_Data!$L$2:$L$4000,MATCH($A1318,BBG_Data!$K$2:$K$4000,0)),NA()))</f>
        <v/>
      </c>
      <c r="S1318" s="20">
        <f>IF(AND(ISNUMBER(B1318),ISNUMBER(Q1318),ISNUMBER(R1318)),(B1318-Q1318-R1318)*100,NA())</f>
        <v/>
      </c>
      <c r="T1318" s="20">
        <f>IF(AND(ISNUMBER(B1318),Settings!$B$17&gt;0),IF(ISNUMBER(INDEX($B:$B,Settings!$B$17)),(B1318-INDEX($B:$B,Settings!$B$17))*100,NA()),NA())</f>
        <v/>
      </c>
      <c r="U1318" s="20">
        <f>IF(AND(ISNUMBER(Q1318),Settings!$B$17&gt;0),IF(ISNUMBER(INDEX($Q:$Q,Settings!$B$17)),(Q1318-INDEX($Q:$Q,Settings!$B$17))*100,NA()),NA())</f>
        <v/>
      </c>
      <c r="V1318" s="20">
        <f>IF(AND(ISNUMBER(R1318),Settings!$B$17&gt;0),IF(ISNUMBER(INDEX($R:$R,Settings!$B$17)),(R1318-INDEX($R:$R,Settings!$B$17))*100,NA()),NA())</f>
        <v/>
      </c>
      <c r="W1318" s="20">
        <f>IF(AND(ISNUMBER(P1318),Settings!$B$17&gt;0),IF(ISNUMBER(INDEX($P:$P,Settings!$B$17)),P1318-INDEX($P:$P,Settings!$B$17),NA()),NA())</f>
        <v/>
      </c>
      <c r="X1318" s="19">
        <f>IF(NOT(ISNUMBER($A1318)),NA(),IF(OR($A1318&lt;MIN(DKW_10Y!$A$2:$A$2918),$A1318&gt;MAX(DKW_10Y!$A$2:$A$2918),Settings!$B$16&lt;MIN(DKW_10Y!$A$2:$A$2918)),NA(),(INDEX(DKW_10Y!$B$2:$B$2918,MATCH($A1318,DKW_10Y!$A$2:$A$2918,1))-INDEX(DKW_10Y!$B$2:$B$2918,MATCH(Settings!$B$16,DKW_10Y!$A$2:$A$2918,1)))*100))</f>
        <v/>
      </c>
      <c r="Y1318" s="19">
        <f>IF(NOT(ISNUMBER($A1318)),NA(),IF(OR($A1318&lt;MIN(DKW_10Y!$A$2:$A$2918),$A1318&gt;MAX(DKW_10Y!$A$2:$A$2918),Settings!$B$16&lt;MIN(DKW_10Y!$A$2:$A$2918)),NA(),(INDEX(DKW_10Y!$C$2:$C$2918,MATCH($A1318,DKW_10Y!$A$2:$A$2918,1))-INDEX(DKW_10Y!$C$2:$C$2918,MATCH(Settings!$B$16,DKW_10Y!$A$2:$A$2918,1)))*100))</f>
        <v/>
      </c>
      <c r="Z1318" s="19">
        <f>IF(NOT(ISNUMBER($A1318)),NA(),IF(OR($A1318&lt;MIN(DKW_10Y!$A$2:$A$2918),$A1318&gt;MAX(DKW_10Y!$A$2:$A$2918),Settings!$B$16&lt;MIN(DKW_10Y!$A$2:$A$2918)),NA(),(INDEX(DKW_10Y!$D$2:$D$2918,MATCH($A1318,DKW_10Y!$A$2:$A$2918,1))-INDEX(DKW_10Y!$D$2:$D$2918,MATCH(Settings!$B$16,DKW_10Y!$A$2:$A$2918,1)))*100))</f>
        <v/>
      </c>
      <c r="AA1318" s="19">
        <f>IF(NOT(ISNUMBER($A1318)),NA(),IF(OR($A1318&lt;MIN(DKW_10Y!$A$2:$A$2918),$A1318&gt;MAX(DKW_10Y!$A$2:$A$2918),Settings!$B$16&lt;MIN(DKW_10Y!$A$2:$A$2918)),NA(),(INDEX(DKW_10Y!$E$2:$E$2918,MATCH($A1318,DKW_10Y!$A$2:$A$2918,1))-INDEX(DKW_10Y!$E$2:$E$2918,MATCH(Settings!$B$16,DKW_10Y!$A$2:$A$2918,1)))*100))</f>
        <v/>
      </c>
      <c r="AB1318" s="19">
        <f>IF(NOT(ISNUMBER($A1318)),NA(),IF(OR($A1318&lt;MIN(DKW_10Y!$A$2:$A$2918),$A1318&gt;MAX(DKW_10Y!$A$2:$A$2918),Settings!$B$16&lt;MIN(DKW_10Y!$A$2:$A$2918)),NA(),(INDEX(DKW_10Y!$H$2:$H$2918,MATCH($A1318,DKW_10Y!$A$2:$A$2918,1))-INDEX(DKW_10Y!$H$2:$H$2918,MATCH(Settings!$B$16,DKW_10Y!$A$2:$A$2918,1)))*100))</f>
        <v/>
      </c>
      <c r="AC1318" s="18">
        <f>IF(NOT(ISNUMBER($A1318)),NA(),IFERROR(1*INDEX(BBG_Data!$N$2:$N$4000,MATCH($A1318,BBG_Data!$M$2:$M$4000,0)),NA()))</f>
        <v/>
      </c>
      <c r="AD1318" s="18">
        <f>IF(NOT(ISNUMBER($A1318)),NA(),IFERROR(1*INDEX(BBG_Data!$P$2:$P$4000,MATCH($A1318,BBG_Data!$O$2:$O$4000,0)),NA()))</f>
        <v/>
      </c>
      <c r="AE1318" s="18">
        <f>IF(NOT(ISNUMBER($A1318)),NA(),IFERROR(1*INDEX(BBG_Data!$R$2:$R$4000,MATCH($A1318,BBG_Data!$Q$2:$Q$4000,0)),NA()))</f>
        <v/>
      </c>
      <c r="AF1318" s="20">
        <f>IF(AND(ISNUMBER(B1318),ISNUMBER(AC1318)),(B1318-AC1318)*100,NA())</f>
        <v/>
      </c>
      <c r="AG1318" s="20">
        <f>IF(AND(ISNUMBER(AE1318),ISNUMBER(AD1318)),(AE1318-AD1318)*100,NA())</f>
        <v/>
      </c>
      <c r="AH1318" s="19">
        <f>IF(NOT(ISNUMBER($A1318)),NA(),IFERROR(INDEX(BBG_Data!$T$2:$T$4000,MATCH($A1318,BBG_Data!$S$2:$S$4000,0))*Settings!$B$25,NA()))</f>
        <v/>
      </c>
      <c r="AI1318" s="19">
        <f>IF(NOT(ISNUMBER($A1318)),NA(),IFERROR(INDEX(BBG_Data!$V$2:$V$4000,MATCH($A1318,BBG_Data!$U$2:$U$4000,0))*Settings!$B$25,NA()))</f>
        <v/>
      </c>
      <c r="AJ1318" s="19">
        <f>IF(NOT(ISNUMBER($A1318)),NA(),IFERROR(1*INDEX(BBG_Data!$X$2:$X$4000,MATCH($A1318,BBG_Data!$W$2:$W$4000,0)),NA()))</f>
        <v/>
      </c>
      <c r="AK1318" s="19">
        <f>IF(NOT(ISNUMBER($A1318)),NA(),IFERROR(1*INDEX(BBG_Data!$Z$2:$Z$4000,MATCH($A1318,BBG_Data!$Y$2:$Y$4000,0)),NA()))</f>
        <v/>
      </c>
    </row>
    <row r="1319">
      <c r="A1319" s="17">
        <f>IF(ISNUMBER(BBG_Data!A1319),BBG_Data!A1319,"")</f>
        <v/>
      </c>
      <c r="B1319" s="18">
        <f>IF(AND(ISNUMBER($A1319),ISNUMBER(BBG_Data!B1319)),BBG_Data!B1319,NA())</f>
        <v/>
      </c>
      <c r="C1319" s="18">
        <f>IF(NOT(ISNUMBER($A1319)),NA(),IFERROR(1*INDEX(BBG_Data!$D$2:$D$4000,MATCH($A1319,BBG_Data!$C$2:$C$4000,0)),NA()))</f>
        <v/>
      </c>
      <c r="D1319" s="19">
        <f>IF(NOT(ISNUMBER($A1319)),NA(),IFERROR(1*INDEX(BBG_Data!$F$2:$F$4000,MATCH($A1319,BBG_Data!$E$2:$E$4000,0)),NA()))</f>
        <v/>
      </c>
      <c r="E1319" s="19">
        <f>IF(NOT(ISNUMBER($A1319)),NA(),IFERROR(1*INDEX(BBG_Data!$H$2:$H$4000,MATCH($A1319,BBG_Data!$G$2:$G$4000,0)),NA()))</f>
        <v/>
      </c>
      <c r="F1319" s="20">
        <f>IF(AND(ISNUMBER(B1319),ISNUMBER(B1318)),IF(B1319=B1318,"",(B1319-B1318)*100),"")</f>
        <v/>
      </c>
      <c r="G1319" s="20">
        <f>IF(AND(ISNUMBER(C1319),ISNUMBER(C1318)),IF(C1319=C1318,"",(C1319-C1318)*100),"")</f>
        <v/>
      </c>
      <c r="H1319" s="20">
        <f>IF(OR(NOT(ISNUMBER($A1319)),ROW()-2&lt;Settings!$B$11),NA(),IF(COUNT(OFFSET(F1319,1-Settings!$B$11,0,Settings!$B$11,1))&lt;ROUNDUP(Settings!$B$11*Settings!$B$26,0),NA(),STDEV(OFFSET(F1319,1-Settings!$B$11,0,Settings!$B$11,1))*SQRT(Settings!$B$13)))</f>
        <v/>
      </c>
      <c r="I1319" s="20">
        <f>IF(OR(NOT(ISNUMBER($A1319)),ROW()-2&lt;Settings!$B$12),NA(),IF(COUNT(OFFSET(F1319,1-Settings!$B$12,0,Settings!$B$12,1))&lt;ROUNDUP(Settings!$B$12*Settings!$B$26,0),NA(),STDEV(OFFSET(F1319,1-Settings!$B$12,0,Settings!$B$12,1))*SQRT(Settings!$B$13)))</f>
        <v/>
      </c>
      <c r="J1319" s="20">
        <f>IF(OR(NOT(ISNUMBER($A1319)),ROW()-2&lt;Settings!$B$11),NA(),IF(COUNT(OFFSET(G1319,1-Settings!$B$11,0,Settings!$B$11,1))&lt;ROUNDUP(Settings!$B$11*Settings!$B$26,0),NA(),STDEV(OFFSET(G1319,1-Settings!$B$11,0,Settings!$B$11,1))*SQRT(Settings!$B$13)))</f>
        <v/>
      </c>
      <c r="K1319" s="20">
        <f>IF(OR(NOT(ISNUMBER($A1319)),ROW()-2&lt;Settings!$B$12),NA(),IF(COUNT(OFFSET(G1319,1-Settings!$B$12,0,Settings!$B$12,1))&lt;ROUNDUP(Settings!$B$12*Settings!$B$26,0),NA(),STDEV(OFFSET(G1319,1-Settings!$B$12,0,Settings!$B$12,1))*SQRT(Settings!$B$13)))</f>
        <v/>
      </c>
      <c r="L1319" s="20">
        <f>IF(AND(ISNUMBER(D1319),ISNUMBER(H1319)),D1319-H1319,NA())</f>
        <v/>
      </c>
      <c r="M1319" s="20">
        <f>IF(AND(ISNUMBER(E1319),ISNUMBER(K1319)),E1319-K1319,NA())</f>
        <v/>
      </c>
      <c r="N1319" s="20">
        <f>IF(NOT(ISNUMBER($A1319)),NA(),IF(COUNT(OFFSET(G1319,1,0,Settings!$B$12,1))&lt;ROUNDUP(Settings!$B$12*Settings!$B$26,0),NA(),STDEV(OFFSET(G1319,1,0,Settings!$B$12,1))*SQRT(Settings!$B$13)))</f>
        <v/>
      </c>
      <c r="O1319" s="20">
        <f>IF(AND(ISNUMBER(E1319),ISNUMBER(N1319)),E1319-N1319,NA())</f>
        <v/>
      </c>
      <c r="P1319" s="19">
        <f>IF(NOT(ISNUMBER($A1319)),NA(),IF(OR($A1319&lt;MIN(KW_TP!$A$2:$A$2501),$A1319&gt;MAX(KW_TP!$A$2:$A$2501)),NA(),INDEX(KW_TP!$C$2:$C$2501,MATCH($A1319,KW_TP!$A$2:$A$2501,1))))</f>
        <v/>
      </c>
      <c r="Q1319" s="18">
        <f>IF(NOT(ISNUMBER($A1319)),NA(),IFERROR(1*INDEX(BBG_Data!$J$2:$J$4000,MATCH($A1319,BBG_Data!$I$2:$I$4000,0)),NA()))</f>
        <v/>
      </c>
      <c r="R1319" s="18">
        <f>IF(NOT(ISNUMBER($A1319)),NA(),IFERROR(1*INDEX(BBG_Data!$L$2:$L$4000,MATCH($A1319,BBG_Data!$K$2:$K$4000,0)),NA()))</f>
        <v/>
      </c>
      <c r="S1319" s="20">
        <f>IF(AND(ISNUMBER(B1319),ISNUMBER(Q1319),ISNUMBER(R1319)),(B1319-Q1319-R1319)*100,NA())</f>
        <v/>
      </c>
      <c r="T1319" s="20">
        <f>IF(AND(ISNUMBER(B1319),Settings!$B$17&gt;0),IF(ISNUMBER(INDEX($B:$B,Settings!$B$17)),(B1319-INDEX($B:$B,Settings!$B$17))*100,NA()),NA())</f>
        <v/>
      </c>
      <c r="U1319" s="20">
        <f>IF(AND(ISNUMBER(Q1319),Settings!$B$17&gt;0),IF(ISNUMBER(INDEX($Q:$Q,Settings!$B$17)),(Q1319-INDEX($Q:$Q,Settings!$B$17))*100,NA()),NA())</f>
        <v/>
      </c>
      <c r="V1319" s="20">
        <f>IF(AND(ISNUMBER(R1319),Settings!$B$17&gt;0),IF(ISNUMBER(INDEX($R:$R,Settings!$B$17)),(R1319-INDEX($R:$R,Settings!$B$17))*100,NA()),NA())</f>
        <v/>
      </c>
      <c r="W1319" s="20">
        <f>IF(AND(ISNUMBER(P1319),Settings!$B$17&gt;0),IF(ISNUMBER(INDEX($P:$P,Settings!$B$17)),P1319-INDEX($P:$P,Settings!$B$17),NA()),NA())</f>
        <v/>
      </c>
      <c r="X1319" s="19">
        <f>IF(NOT(ISNUMBER($A1319)),NA(),IF(OR($A1319&lt;MIN(DKW_10Y!$A$2:$A$2918),$A1319&gt;MAX(DKW_10Y!$A$2:$A$2918),Settings!$B$16&lt;MIN(DKW_10Y!$A$2:$A$2918)),NA(),(INDEX(DKW_10Y!$B$2:$B$2918,MATCH($A1319,DKW_10Y!$A$2:$A$2918,1))-INDEX(DKW_10Y!$B$2:$B$2918,MATCH(Settings!$B$16,DKW_10Y!$A$2:$A$2918,1)))*100))</f>
        <v/>
      </c>
      <c r="Y1319" s="19">
        <f>IF(NOT(ISNUMBER($A1319)),NA(),IF(OR($A1319&lt;MIN(DKW_10Y!$A$2:$A$2918),$A1319&gt;MAX(DKW_10Y!$A$2:$A$2918),Settings!$B$16&lt;MIN(DKW_10Y!$A$2:$A$2918)),NA(),(INDEX(DKW_10Y!$C$2:$C$2918,MATCH($A1319,DKW_10Y!$A$2:$A$2918,1))-INDEX(DKW_10Y!$C$2:$C$2918,MATCH(Settings!$B$16,DKW_10Y!$A$2:$A$2918,1)))*100))</f>
        <v/>
      </c>
      <c r="Z1319" s="19">
        <f>IF(NOT(ISNUMBER($A1319)),NA(),IF(OR($A1319&lt;MIN(DKW_10Y!$A$2:$A$2918),$A1319&gt;MAX(DKW_10Y!$A$2:$A$2918),Settings!$B$16&lt;MIN(DKW_10Y!$A$2:$A$2918)),NA(),(INDEX(DKW_10Y!$D$2:$D$2918,MATCH($A1319,DKW_10Y!$A$2:$A$2918,1))-INDEX(DKW_10Y!$D$2:$D$2918,MATCH(Settings!$B$16,DKW_10Y!$A$2:$A$2918,1)))*100))</f>
        <v/>
      </c>
      <c r="AA1319" s="19">
        <f>IF(NOT(ISNUMBER($A1319)),NA(),IF(OR($A1319&lt;MIN(DKW_10Y!$A$2:$A$2918),$A1319&gt;MAX(DKW_10Y!$A$2:$A$2918),Settings!$B$16&lt;MIN(DKW_10Y!$A$2:$A$2918)),NA(),(INDEX(DKW_10Y!$E$2:$E$2918,MATCH($A1319,DKW_10Y!$A$2:$A$2918,1))-INDEX(DKW_10Y!$E$2:$E$2918,MATCH(Settings!$B$16,DKW_10Y!$A$2:$A$2918,1)))*100))</f>
        <v/>
      </c>
      <c r="AB1319" s="19">
        <f>IF(NOT(ISNUMBER($A1319)),NA(),IF(OR($A1319&lt;MIN(DKW_10Y!$A$2:$A$2918),$A1319&gt;MAX(DKW_10Y!$A$2:$A$2918),Settings!$B$16&lt;MIN(DKW_10Y!$A$2:$A$2918)),NA(),(INDEX(DKW_10Y!$H$2:$H$2918,MATCH($A1319,DKW_10Y!$A$2:$A$2918,1))-INDEX(DKW_10Y!$H$2:$H$2918,MATCH(Settings!$B$16,DKW_10Y!$A$2:$A$2918,1)))*100))</f>
        <v/>
      </c>
      <c r="AC1319" s="18">
        <f>IF(NOT(ISNUMBER($A1319)),NA(),IFERROR(1*INDEX(BBG_Data!$N$2:$N$4000,MATCH($A1319,BBG_Data!$M$2:$M$4000,0)),NA()))</f>
        <v/>
      </c>
      <c r="AD1319" s="18">
        <f>IF(NOT(ISNUMBER($A1319)),NA(),IFERROR(1*INDEX(BBG_Data!$P$2:$P$4000,MATCH($A1319,BBG_Data!$O$2:$O$4000,0)),NA()))</f>
        <v/>
      </c>
      <c r="AE1319" s="18">
        <f>IF(NOT(ISNUMBER($A1319)),NA(),IFERROR(1*INDEX(BBG_Data!$R$2:$R$4000,MATCH($A1319,BBG_Data!$Q$2:$Q$4000,0)),NA()))</f>
        <v/>
      </c>
      <c r="AF1319" s="20">
        <f>IF(AND(ISNUMBER(B1319),ISNUMBER(AC1319)),(B1319-AC1319)*100,NA())</f>
        <v/>
      </c>
      <c r="AG1319" s="20">
        <f>IF(AND(ISNUMBER(AE1319),ISNUMBER(AD1319)),(AE1319-AD1319)*100,NA())</f>
        <v/>
      </c>
      <c r="AH1319" s="19">
        <f>IF(NOT(ISNUMBER($A1319)),NA(),IFERROR(INDEX(BBG_Data!$T$2:$T$4000,MATCH($A1319,BBG_Data!$S$2:$S$4000,0))*Settings!$B$25,NA()))</f>
        <v/>
      </c>
      <c r="AI1319" s="19">
        <f>IF(NOT(ISNUMBER($A1319)),NA(),IFERROR(INDEX(BBG_Data!$V$2:$V$4000,MATCH($A1319,BBG_Data!$U$2:$U$4000,0))*Settings!$B$25,NA()))</f>
        <v/>
      </c>
      <c r="AJ1319" s="19">
        <f>IF(NOT(ISNUMBER($A1319)),NA(),IFERROR(1*INDEX(BBG_Data!$X$2:$X$4000,MATCH($A1319,BBG_Data!$W$2:$W$4000,0)),NA()))</f>
        <v/>
      </c>
      <c r="AK1319" s="19">
        <f>IF(NOT(ISNUMBER($A1319)),NA(),IFERROR(1*INDEX(BBG_Data!$Z$2:$Z$4000,MATCH($A1319,BBG_Data!$Y$2:$Y$4000,0)),NA()))</f>
        <v/>
      </c>
    </row>
    <row r="1320">
      <c r="A1320" s="17">
        <f>IF(ISNUMBER(BBG_Data!A1320),BBG_Data!A1320,"")</f>
        <v/>
      </c>
      <c r="B1320" s="18">
        <f>IF(AND(ISNUMBER($A1320),ISNUMBER(BBG_Data!B1320)),BBG_Data!B1320,NA())</f>
        <v/>
      </c>
      <c r="C1320" s="18">
        <f>IF(NOT(ISNUMBER($A1320)),NA(),IFERROR(1*INDEX(BBG_Data!$D$2:$D$4000,MATCH($A1320,BBG_Data!$C$2:$C$4000,0)),NA()))</f>
        <v/>
      </c>
      <c r="D1320" s="19">
        <f>IF(NOT(ISNUMBER($A1320)),NA(),IFERROR(1*INDEX(BBG_Data!$F$2:$F$4000,MATCH($A1320,BBG_Data!$E$2:$E$4000,0)),NA()))</f>
        <v/>
      </c>
      <c r="E1320" s="19">
        <f>IF(NOT(ISNUMBER($A1320)),NA(),IFERROR(1*INDEX(BBG_Data!$H$2:$H$4000,MATCH($A1320,BBG_Data!$G$2:$G$4000,0)),NA()))</f>
        <v/>
      </c>
      <c r="F1320" s="20">
        <f>IF(AND(ISNUMBER(B1320),ISNUMBER(B1319)),IF(B1320=B1319,"",(B1320-B1319)*100),"")</f>
        <v/>
      </c>
      <c r="G1320" s="20">
        <f>IF(AND(ISNUMBER(C1320),ISNUMBER(C1319)),IF(C1320=C1319,"",(C1320-C1319)*100),"")</f>
        <v/>
      </c>
      <c r="H1320" s="20">
        <f>IF(OR(NOT(ISNUMBER($A1320)),ROW()-2&lt;Settings!$B$11),NA(),IF(COUNT(OFFSET(F1320,1-Settings!$B$11,0,Settings!$B$11,1))&lt;ROUNDUP(Settings!$B$11*Settings!$B$26,0),NA(),STDEV(OFFSET(F1320,1-Settings!$B$11,0,Settings!$B$11,1))*SQRT(Settings!$B$13)))</f>
        <v/>
      </c>
      <c r="I1320" s="20">
        <f>IF(OR(NOT(ISNUMBER($A1320)),ROW()-2&lt;Settings!$B$12),NA(),IF(COUNT(OFFSET(F1320,1-Settings!$B$12,0,Settings!$B$12,1))&lt;ROUNDUP(Settings!$B$12*Settings!$B$26,0),NA(),STDEV(OFFSET(F1320,1-Settings!$B$12,0,Settings!$B$12,1))*SQRT(Settings!$B$13)))</f>
        <v/>
      </c>
      <c r="J1320" s="20">
        <f>IF(OR(NOT(ISNUMBER($A1320)),ROW()-2&lt;Settings!$B$11),NA(),IF(COUNT(OFFSET(G1320,1-Settings!$B$11,0,Settings!$B$11,1))&lt;ROUNDUP(Settings!$B$11*Settings!$B$26,0),NA(),STDEV(OFFSET(G1320,1-Settings!$B$11,0,Settings!$B$11,1))*SQRT(Settings!$B$13)))</f>
        <v/>
      </c>
      <c r="K1320" s="20">
        <f>IF(OR(NOT(ISNUMBER($A1320)),ROW()-2&lt;Settings!$B$12),NA(),IF(COUNT(OFFSET(G1320,1-Settings!$B$12,0,Settings!$B$12,1))&lt;ROUNDUP(Settings!$B$12*Settings!$B$26,0),NA(),STDEV(OFFSET(G1320,1-Settings!$B$12,0,Settings!$B$12,1))*SQRT(Settings!$B$13)))</f>
        <v/>
      </c>
      <c r="L1320" s="20">
        <f>IF(AND(ISNUMBER(D1320),ISNUMBER(H1320)),D1320-H1320,NA())</f>
        <v/>
      </c>
      <c r="M1320" s="20">
        <f>IF(AND(ISNUMBER(E1320),ISNUMBER(K1320)),E1320-K1320,NA())</f>
        <v/>
      </c>
      <c r="N1320" s="20">
        <f>IF(NOT(ISNUMBER($A1320)),NA(),IF(COUNT(OFFSET(G1320,1,0,Settings!$B$12,1))&lt;ROUNDUP(Settings!$B$12*Settings!$B$26,0),NA(),STDEV(OFFSET(G1320,1,0,Settings!$B$12,1))*SQRT(Settings!$B$13)))</f>
        <v/>
      </c>
      <c r="O1320" s="20">
        <f>IF(AND(ISNUMBER(E1320),ISNUMBER(N1320)),E1320-N1320,NA())</f>
        <v/>
      </c>
      <c r="P1320" s="19">
        <f>IF(NOT(ISNUMBER($A1320)),NA(),IF(OR($A1320&lt;MIN(KW_TP!$A$2:$A$2501),$A1320&gt;MAX(KW_TP!$A$2:$A$2501)),NA(),INDEX(KW_TP!$C$2:$C$2501,MATCH($A1320,KW_TP!$A$2:$A$2501,1))))</f>
        <v/>
      </c>
      <c r="Q1320" s="18">
        <f>IF(NOT(ISNUMBER($A1320)),NA(),IFERROR(1*INDEX(BBG_Data!$J$2:$J$4000,MATCH($A1320,BBG_Data!$I$2:$I$4000,0)),NA()))</f>
        <v/>
      </c>
      <c r="R1320" s="18">
        <f>IF(NOT(ISNUMBER($A1320)),NA(),IFERROR(1*INDEX(BBG_Data!$L$2:$L$4000,MATCH($A1320,BBG_Data!$K$2:$K$4000,0)),NA()))</f>
        <v/>
      </c>
      <c r="S1320" s="20">
        <f>IF(AND(ISNUMBER(B1320),ISNUMBER(Q1320),ISNUMBER(R1320)),(B1320-Q1320-R1320)*100,NA())</f>
        <v/>
      </c>
      <c r="T1320" s="20">
        <f>IF(AND(ISNUMBER(B1320),Settings!$B$17&gt;0),IF(ISNUMBER(INDEX($B:$B,Settings!$B$17)),(B1320-INDEX($B:$B,Settings!$B$17))*100,NA()),NA())</f>
        <v/>
      </c>
      <c r="U1320" s="20">
        <f>IF(AND(ISNUMBER(Q1320),Settings!$B$17&gt;0),IF(ISNUMBER(INDEX($Q:$Q,Settings!$B$17)),(Q1320-INDEX($Q:$Q,Settings!$B$17))*100,NA()),NA())</f>
        <v/>
      </c>
      <c r="V1320" s="20">
        <f>IF(AND(ISNUMBER(R1320),Settings!$B$17&gt;0),IF(ISNUMBER(INDEX($R:$R,Settings!$B$17)),(R1320-INDEX($R:$R,Settings!$B$17))*100,NA()),NA())</f>
        <v/>
      </c>
      <c r="W1320" s="20">
        <f>IF(AND(ISNUMBER(P1320),Settings!$B$17&gt;0),IF(ISNUMBER(INDEX($P:$P,Settings!$B$17)),P1320-INDEX($P:$P,Settings!$B$17),NA()),NA())</f>
        <v/>
      </c>
      <c r="X1320" s="19">
        <f>IF(NOT(ISNUMBER($A1320)),NA(),IF(OR($A1320&lt;MIN(DKW_10Y!$A$2:$A$2918),$A1320&gt;MAX(DKW_10Y!$A$2:$A$2918),Settings!$B$16&lt;MIN(DKW_10Y!$A$2:$A$2918)),NA(),(INDEX(DKW_10Y!$B$2:$B$2918,MATCH($A1320,DKW_10Y!$A$2:$A$2918,1))-INDEX(DKW_10Y!$B$2:$B$2918,MATCH(Settings!$B$16,DKW_10Y!$A$2:$A$2918,1)))*100))</f>
        <v/>
      </c>
      <c r="Y1320" s="19">
        <f>IF(NOT(ISNUMBER($A1320)),NA(),IF(OR($A1320&lt;MIN(DKW_10Y!$A$2:$A$2918),$A1320&gt;MAX(DKW_10Y!$A$2:$A$2918),Settings!$B$16&lt;MIN(DKW_10Y!$A$2:$A$2918)),NA(),(INDEX(DKW_10Y!$C$2:$C$2918,MATCH($A1320,DKW_10Y!$A$2:$A$2918,1))-INDEX(DKW_10Y!$C$2:$C$2918,MATCH(Settings!$B$16,DKW_10Y!$A$2:$A$2918,1)))*100))</f>
        <v/>
      </c>
      <c r="Z1320" s="19">
        <f>IF(NOT(ISNUMBER($A1320)),NA(),IF(OR($A1320&lt;MIN(DKW_10Y!$A$2:$A$2918),$A1320&gt;MAX(DKW_10Y!$A$2:$A$2918),Settings!$B$16&lt;MIN(DKW_10Y!$A$2:$A$2918)),NA(),(INDEX(DKW_10Y!$D$2:$D$2918,MATCH($A1320,DKW_10Y!$A$2:$A$2918,1))-INDEX(DKW_10Y!$D$2:$D$2918,MATCH(Settings!$B$16,DKW_10Y!$A$2:$A$2918,1)))*100))</f>
        <v/>
      </c>
      <c r="AA1320" s="19">
        <f>IF(NOT(ISNUMBER($A1320)),NA(),IF(OR($A1320&lt;MIN(DKW_10Y!$A$2:$A$2918),$A1320&gt;MAX(DKW_10Y!$A$2:$A$2918),Settings!$B$16&lt;MIN(DKW_10Y!$A$2:$A$2918)),NA(),(INDEX(DKW_10Y!$E$2:$E$2918,MATCH($A1320,DKW_10Y!$A$2:$A$2918,1))-INDEX(DKW_10Y!$E$2:$E$2918,MATCH(Settings!$B$16,DKW_10Y!$A$2:$A$2918,1)))*100))</f>
        <v/>
      </c>
      <c r="AB1320" s="19">
        <f>IF(NOT(ISNUMBER($A1320)),NA(),IF(OR($A1320&lt;MIN(DKW_10Y!$A$2:$A$2918),$A1320&gt;MAX(DKW_10Y!$A$2:$A$2918),Settings!$B$16&lt;MIN(DKW_10Y!$A$2:$A$2918)),NA(),(INDEX(DKW_10Y!$H$2:$H$2918,MATCH($A1320,DKW_10Y!$A$2:$A$2918,1))-INDEX(DKW_10Y!$H$2:$H$2918,MATCH(Settings!$B$16,DKW_10Y!$A$2:$A$2918,1)))*100))</f>
        <v/>
      </c>
      <c r="AC1320" s="18">
        <f>IF(NOT(ISNUMBER($A1320)),NA(),IFERROR(1*INDEX(BBG_Data!$N$2:$N$4000,MATCH($A1320,BBG_Data!$M$2:$M$4000,0)),NA()))</f>
        <v/>
      </c>
      <c r="AD1320" s="18">
        <f>IF(NOT(ISNUMBER($A1320)),NA(),IFERROR(1*INDEX(BBG_Data!$P$2:$P$4000,MATCH($A1320,BBG_Data!$O$2:$O$4000,0)),NA()))</f>
        <v/>
      </c>
      <c r="AE1320" s="18">
        <f>IF(NOT(ISNUMBER($A1320)),NA(),IFERROR(1*INDEX(BBG_Data!$R$2:$R$4000,MATCH($A1320,BBG_Data!$Q$2:$Q$4000,0)),NA()))</f>
        <v/>
      </c>
      <c r="AF1320" s="20">
        <f>IF(AND(ISNUMBER(B1320),ISNUMBER(AC1320)),(B1320-AC1320)*100,NA())</f>
        <v/>
      </c>
      <c r="AG1320" s="20">
        <f>IF(AND(ISNUMBER(AE1320),ISNUMBER(AD1320)),(AE1320-AD1320)*100,NA())</f>
        <v/>
      </c>
      <c r="AH1320" s="19">
        <f>IF(NOT(ISNUMBER($A1320)),NA(),IFERROR(INDEX(BBG_Data!$T$2:$T$4000,MATCH($A1320,BBG_Data!$S$2:$S$4000,0))*Settings!$B$25,NA()))</f>
        <v/>
      </c>
      <c r="AI1320" s="19">
        <f>IF(NOT(ISNUMBER($A1320)),NA(),IFERROR(INDEX(BBG_Data!$V$2:$V$4000,MATCH($A1320,BBG_Data!$U$2:$U$4000,0))*Settings!$B$25,NA()))</f>
        <v/>
      </c>
      <c r="AJ1320" s="19">
        <f>IF(NOT(ISNUMBER($A1320)),NA(),IFERROR(1*INDEX(BBG_Data!$X$2:$X$4000,MATCH($A1320,BBG_Data!$W$2:$W$4000,0)),NA()))</f>
        <v/>
      </c>
      <c r="AK1320" s="19">
        <f>IF(NOT(ISNUMBER($A1320)),NA(),IFERROR(1*INDEX(BBG_Data!$Z$2:$Z$4000,MATCH($A1320,BBG_Data!$Y$2:$Y$4000,0)),NA()))</f>
        <v/>
      </c>
    </row>
    <row r="1321">
      <c r="A1321" s="17">
        <f>IF(ISNUMBER(BBG_Data!A1321),BBG_Data!A1321,"")</f>
        <v/>
      </c>
      <c r="B1321" s="18">
        <f>IF(AND(ISNUMBER($A1321),ISNUMBER(BBG_Data!B1321)),BBG_Data!B1321,NA())</f>
        <v/>
      </c>
      <c r="C1321" s="18">
        <f>IF(NOT(ISNUMBER($A1321)),NA(),IFERROR(1*INDEX(BBG_Data!$D$2:$D$4000,MATCH($A1321,BBG_Data!$C$2:$C$4000,0)),NA()))</f>
        <v/>
      </c>
      <c r="D1321" s="19">
        <f>IF(NOT(ISNUMBER($A1321)),NA(),IFERROR(1*INDEX(BBG_Data!$F$2:$F$4000,MATCH($A1321,BBG_Data!$E$2:$E$4000,0)),NA()))</f>
        <v/>
      </c>
      <c r="E1321" s="19">
        <f>IF(NOT(ISNUMBER($A1321)),NA(),IFERROR(1*INDEX(BBG_Data!$H$2:$H$4000,MATCH($A1321,BBG_Data!$G$2:$G$4000,0)),NA()))</f>
        <v/>
      </c>
      <c r="F1321" s="20">
        <f>IF(AND(ISNUMBER(B1321),ISNUMBER(B1320)),IF(B1321=B1320,"",(B1321-B1320)*100),"")</f>
        <v/>
      </c>
      <c r="G1321" s="20">
        <f>IF(AND(ISNUMBER(C1321),ISNUMBER(C1320)),IF(C1321=C1320,"",(C1321-C1320)*100),"")</f>
        <v/>
      </c>
      <c r="H1321" s="20">
        <f>IF(OR(NOT(ISNUMBER($A1321)),ROW()-2&lt;Settings!$B$11),NA(),IF(COUNT(OFFSET(F1321,1-Settings!$B$11,0,Settings!$B$11,1))&lt;ROUNDUP(Settings!$B$11*Settings!$B$26,0),NA(),STDEV(OFFSET(F1321,1-Settings!$B$11,0,Settings!$B$11,1))*SQRT(Settings!$B$13)))</f>
        <v/>
      </c>
      <c r="I1321" s="20">
        <f>IF(OR(NOT(ISNUMBER($A1321)),ROW()-2&lt;Settings!$B$12),NA(),IF(COUNT(OFFSET(F1321,1-Settings!$B$12,0,Settings!$B$12,1))&lt;ROUNDUP(Settings!$B$12*Settings!$B$26,0),NA(),STDEV(OFFSET(F1321,1-Settings!$B$12,0,Settings!$B$12,1))*SQRT(Settings!$B$13)))</f>
        <v/>
      </c>
      <c r="J1321" s="20">
        <f>IF(OR(NOT(ISNUMBER($A1321)),ROW()-2&lt;Settings!$B$11),NA(),IF(COUNT(OFFSET(G1321,1-Settings!$B$11,0,Settings!$B$11,1))&lt;ROUNDUP(Settings!$B$11*Settings!$B$26,0),NA(),STDEV(OFFSET(G1321,1-Settings!$B$11,0,Settings!$B$11,1))*SQRT(Settings!$B$13)))</f>
        <v/>
      </c>
      <c r="K1321" s="20">
        <f>IF(OR(NOT(ISNUMBER($A1321)),ROW()-2&lt;Settings!$B$12),NA(),IF(COUNT(OFFSET(G1321,1-Settings!$B$12,0,Settings!$B$12,1))&lt;ROUNDUP(Settings!$B$12*Settings!$B$26,0),NA(),STDEV(OFFSET(G1321,1-Settings!$B$12,0,Settings!$B$12,1))*SQRT(Settings!$B$13)))</f>
        <v/>
      </c>
      <c r="L1321" s="20">
        <f>IF(AND(ISNUMBER(D1321),ISNUMBER(H1321)),D1321-H1321,NA())</f>
        <v/>
      </c>
      <c r="M1321" s="20">
        <f>IF(AND(ISNUMBER(E1321),ISNUMBER(K1321)),E1321-K1321,NA())</f>
        <v/>
      </c>
      <c r="N1321" s="20">
        <f>IF(NOT(ISNUMBER($A1321)),NA(),IF(COUNT(OFFSET(G1321,1,0,Settings!$B$12,1))&lt;ROUNDUP(Settings!$B$12*Settings!$B$26,0),NA(),STDEV(OFFSET(G1321,1,0,Settings!$B$12,1))*SQRT(Settings!$B$13)))</f>
        <v/>
      </c>
      <c r="O1321" s="20">
        <f>IF(AND(ISNUMBER(E1321),ISNUMBER(N1321)),E1321-N1321,NA())</f>
        <v/>
      </c>
      <c r="P1321" s="19">
        <f>IF(NOT(ISNUMBER($A1321)),NA(),IF(OR($A1321&lt;MIN(KW_TP!$A$2:$A$2501),$A1321&gt;MAX(KW_TP!$A$2:$A$2501)),NA(),INDEX(KW_TP!$C$2:$C$2501,MATCH($A1321,KW_TP!$A$2:$A$2501,1))))</f>
        <v/>
      </c>
      <c r="Q1321" s="18">
        <f>IF(NOT(ISNUMBER($A1321)),NA(),IFERROR(1*INDEX(BBG_Data!$J$2:$J$4000,MATCH($A1321,BBG_Data!$I$2:$I$4000,0)),NA()))</f>
        <v/>
      </c>
      <c r="R1321" s="18">
        <f>IF(NOT(ISNUMBER($A1321)),NA(),IFERROR(1*INDEX(BBG_Data!$L$2:$L$4000,MATCH($A1321,BBG_Data!$K$2:$K$4000,0)),NA()))</f>
        <v/>
      </c>
      <c r="S1321" s="20">
        <f>IF(AND(ISNUMBER(B1321),ISNUMBER(Q1321),ISNUMBER(R1321)),(B1321-Q1321-R1321)*100,NA())</f>
        <v/>
      </c>
      <c r="T1321" s="20">
        <f>IF(AND(ISNUMBER(B1321),Settings!$B$17&gt;0),IF(ISNUMBER(INDEX($B:$B,Settings!$B$17)),(B1321-INDEX($B:$B,Settings!$B$17))*100,NA()),NA())</f>
        <v/>
      </c>
      <c r="U1321" s="20">
        <f>IF(AND(ISNUMBER(Q1321),Settings!$B$17&gt;0),IF(ISNUMBER(INDEX($Q:$Q,Settings!$B$17)),(Q1321-INDEX($Q:$Q,Settings!$B$17))*100,NA()),NA())</f>
        <v/>
      </c>
      <c r="V1321" s="20">
        <f>IF(AND(ISNUMBER(R1321),Settings!$B$17&gt;0),IF(ISNUMBER(INDEX($R:$R,Settings!$B$17)),(R1321-INDEX($R:$R,Settings!$B$17))*100,NA()),NA())</f>
        <v/>
      </c>
      <c r="W1321" s="20">
        <f>IF(AND(ISNUMBER(P1321),Settings!$B$17&gt;0),IF(ISNUMBER(INDEX($P:$P,Settings!$B$17)),P1321-INDEX($P:$P,Settings!$B$17),NA()),NA())</f>
        <v/>
      </c>
      <c r="X1321" s="19">
        <f>IF(NOT(ISNUMBER($A1321)),NA(),IF(OR($A1321&lt;MIN(DKW_10Y!$A$2:$A$2918),$A1321&gt;MAX(DKW_10Y!$A$2:$A$2918),Settings!$B$16&lt;MIN(DKW_10Y!$A$2:$A$2918)),NA(),(INDEX(DKW_10Y!$B$2:$B$2918,MATCH($A1321,DKW_10Y!$A$2:$A$2918,1))-INDEX(DKW_10Y!$B$2:$B$2918,MATCH(Settings!$B$16,DKW_10Y!$A$2:$A$2918,1)))*100))</f>
        <v/>
      </c>
      <c r="Y1321" s="19">
        <f>IF(NOT(ISNUMBER($A1321)),NA(),IF(OR($A1321&lt;MIN(DKW_10Y!$A$2:$A$2918),$A1321&gt;MAX(DKW_10Y!$A$2:$A$2918),Settings!$B$16&lt;MIN(DKW_10Y!$A$2:$A$2918)),NA(),(INDEX(DKW_10Y!$C$2:$C$2918,MATCH($A1321,DKW_10Y!$A$2:$A$2918,1))-INDEX(DKW_10Y!$C$2:$C$2918,MATCH(Settings!$B$16,DKW_10Y!$A$2:$A$2918,1)))*100))</f>
        <v/>
      </c>
      <c r="Z1321" s="19">
        <f>IF(NOT(ISNUMBER($A1321)),NA(),IF(OR($A1321&lt;MIN(DKW_10Y!$A$2:$A$2918),$A1321&gt;MAX(DKW_10Y!$A$2:$A$2918),Settings!$B$16&lt;MIN(DKW_10Y!$A$2:$A$2918)),NA(),(INDEX(DKW_10Y!$D$2:$D$2918,MATCH($A1321,DKW_10Y!$A$2:$A$2918,1))-INDEX(DKW_10Y!$D$2:$D$2918,MATCH(Settings!$B$16,DKW_10Y!$A$2:$A$2918,1)))*100))</f>
        <v/>
      </c>
      <c r="AA1321" s="19">
        <f>IF(NOT(ISNUMBER($A1321)),NA(),IF(OR($A1321&lt;MIN(DKW_10Y!$A$2:$A$2918),$A1321&gt;MAX(DKW_10Y!$A$2:$A$2918),Settings!$B$16&lt;MIN(DKW_10Y!$A$2:$A$2918)),NA(),(INDEX(DKW_10Y!$E$2:$E$2918,MATCH($A1321,DKW_10Y!$A$2:$A$2918,1))-INDEX(DKW_10Y!$E$2:$E$2918,MATCH(Settings!$B$16,DKW_10Y!$A$2:$A$2918,1)))*100))</f>
        <v/>
      </c>
      <c r="AB1321" s="19">
        <f>IF(NOT(ISNUMBER($A1321)),NA(),IF(OR($A1321&lt;MIN(DKW_10Y!$A$2:$A$2918),$A1321&gt;MAX(DKW_10Y!$A$2:$A$2918),Settings!$B$16&lt;MIN(DKW_10Y!$A$2:$A$2918)),NA(),(INDEX(DKW_10Y!$H$2:$H$2918,MATCH($A1321,DKW_10Y!$A$2:$A$2918,1))-INDEX(DKW_10Y!$H$2:$H$2918,MATCH(Settings!$B$16,DKW_10Y!$A$2:$A$2918,1)))*100))</f>
        <v/>
      </c>
      <c r="AC1321" s="18">
        <f>IF(NOT(ISNUMBER($A1321)),NA(),IFERROR(1*INDEX(BBG_Data!$N$2:$N$4000,MATCH($A1321,BBG_Data!$M$2:$M$4000,0)),NA()))</f>
        <v/>
      </c>
      <c r="AD1321" s="18">
        <f>IF(NOT(ISNUMBER($A1321)),NA(),IFERROR(1*INDEX(BBG_Data!$P$2:$P$4000,MATCH($A1321,BBG_Data!$O$2:$O$4000,0)),NA()))</f>
        <v/>
      </c>
      <c r="AE1321" s="18">
        <f>IF(NOT(ISNUMBER($A1321)),NA(),IFERROR(1*INDEX(BBG_Data!$R$2:$R$4000,MATCH($A1321,BBG_Data!$Q$2:$Q$4000,0)),NA()))</f>
        <v/>
      </c>
      <c r="AF1321" s="20">
        <f>IF(AND(ISNUMBER(B1321),ISNUMBER(AC1321)),(B1321-AC1321)*100,NA())</f>
        <v/>
      </c>
      <c r="AG1321" s="20">
        <f>IF(AND(ISNUMBER(AE1321),ISNUMBER(AD1321)),(AE1321-AD1321)*100,NA())</f>
        <v/>
      </c>
      <c r="AH1321" s="19">
        <f>IF(NOT(ISNUMBER($A1321)),NA(),IFERROR(INDEX(BBG_Data!$T$2:$T$4000,MATCH($A1321,BBG_Data!$S$2:$S$4000,0))*Settings!$B$25,NA()))</f>
        <v/>
      </c>
      <c r="AI1321" s="19">
        <f>IF(NOT(ISNUMBER($A1321)),NA(),IFERROR(INDEX(BBG_Data!$V$2:$V$4000,MATCH($A1321,BBG_Data!$U$2:$U$4000,0))*Settings!$B$25,NA()))</f>
        <v/>
      </c>
      <c r="AJ1321" s="19">
        <f>IF(NOT(ISNUMBER($A1321)),NA(),IFERROR(1*INDEX(BBG_Data!$X$2:$X$4000,MATCH($A1321,BBG_Data!$W$2:$W$4000,0)),NA()))</f>
        <v/>
      </c>
      <c r="AK1321" s="19">
        <f>IF(NOT(ISNUMBER($A1321)),NA(),IFERROR(1*INDEX(BBG_Data!$Z$2:$Z$4000,MATCH($A1321,BBG_Data!$Y$2:$Y$4000,0)),NA()))</f>
        <v/>
      </c>
    </row>
    <row r="1322">
      <c r="A1322" s="17">
        <f>IF(ISNUMBER(BBG_Data!A1322),BBG_Data!A1322,"")</f>
        <v/>
      </c>
      <c r="B1322" s="18">
        <f>IF(AND(ISNUMBER($A1322),ISNUMBER(BBG_Data!B1322)),BBG_Data!B1322,NA())</f>
        <v/>
      </c>
      <c r="C1322" s="18">
        <f>IF(NOT(ISNUMBER($A1322)),NA(),IFERROR(1*INDEX(BBG_Data!$D$2:$D$4000,MATCH($A1322,BBG_Data!$C$2:$C$4000,0)),NA()))</f>
        <v/>
      </c>
      <c r="D1322" s="19">
        <f>IF(NOT(ISNUMBER($A1322)),NA(),IFERROR(1*INDEX(BBG_Data!$F$2:$F$4000,MATCH($A1322,BBG_Data!$E$2:$E$4000,0)),NA()))</f>
        <v/>
      </c>
      <c r="E1322" s="19">
        <f>IF(NOT(ISNUMBER($A1322)),NA(),IFERROR(1*INDEX(BBG_Data!$H$2:$H$4000,MATCH($A1322,BBG_Data!$G$2:$G$4000,0)),NA()))</f>
        <v/>
      </c>
      <c r="F1322" s="20">
        <f>IF(AND(ISNUMBER(B1322),ISNUMBER(B1321)),IF(B1322=B1321,"",(B1322-B1321)*100),"")</f>
        <v/>
      </c>
      <c r="G1322" s="20">
        <f>IF(AND(ISNUMBER(C1322),ISNUMBER(C1321)),IF(C1322=C1321,"",(C1322-C1321)*100),"")</f>
        <v/>
      </c>
      <c r="H1322" s="20">
        <f>IF(OR(NOT(ISNUMBER($A1322)),ROW()-2&lt;Settings!$B$11),NA(),IF(COUNT(OFFSET(F1322,1-Settings!$B$11,0,Settings!$B$11,1))&lt;ROUNDUP(Settings!$B$11*Settings!$B$26,0),NA(),STDEV(OFFSET(F1322,1-Settings!$B$11,0,Settings!$B$11,1))*SQRT(Settings!$B$13)))</f>
        <v/>
      </c>
      <c r="I1322" s="20">
        <f>IF(OR(NOT(ISNUMBER($A1322)),ROW()-2&lt;Settings!$B$12),NA(),IF(COUNT(OFFSET(F1322,1-Settings!$B$12,0,Settings!$B$12,1))&lt;ROUNDUP(Settings!$B$12*Settings!$B$26,0),NA(),STDEV(OFFSET(F1322,1-Settings!$B$12,0,Settings!$B$12,1))*SQRT(Settings!$B$13)))</f>
        <v/>
      </c>
      <c r="J1322" s="20">
        <f>IF(OR(NOT(ISNUMBER($A1322)),ROW()-2&lt;Settings!$B$11),NA(),IF(COUNT(OFFSET(G1322,1-Settings!$B$11,0,Settings!$B$11,1))&lt;ROUNDUP(Settings!$B$11*Settings!$B$26,0),NA(),STDEV(OFFSET(G1322,1-Settings!$B$11,0,Settings!$B$11,1))*SQRT(Settings!$B$13)))</f>
        <v/>
      </c>
      <c r="K1322" s="20">
        <f>IF(OR(NOT(ISNUMBER($A1322)),ROW()-2&lt;Settings!$B$12),NA(),IF(COUNT(OFFSET(G1322,1-Settings!$B$12,0,Settings!$B$12,1))&lt;ROUNDUP(Settings!$B$12*Settings!$B$26,0),NA(),STDEV(OFFSET(G1322,1-Settings!$B$12,0,Settings!$B$12,1))*SQRT(Settings!$B$13)))</f>
        <v/>
      </c>
      <c r="L1322" s="20">
        <f>IF(AND(ISNUMBER(D1322),ISNUMBER(H1322)),D1322-H1322,NA())</f>
        <v/>
      </c>
      <c r="M1322" s="20">
        <f>IF(AND(ISNUMBER(E1322),ISNUMBER(K1322)),E1322-K1322,NA())</f>
        <v/>
      </c>
      <c r="N1322" s="20">
        <f>IF(NOT(ISNUMBER($A1322)),NA(),IF(COUNT(OFFSET(G1322,1,0,Settings!$B$12,1))&lt;ROUNDUP(Settings!$B$12*Settings!$B$26,0),NA(),STDEV(OFFSET(G1322,1,0,Settings!$B$12,1))*SQRT(Settings!$B$13)))</f>
        <v/>
      </c>
      <c r="O1322" s="20">
        <f>IF(AND(ISNUMBER(E1322),ISNUMBER(N1322)),E1322-N1322,NA())</f>
        <v/>
      </c>
      <c r="P1322" s="19">
        <f>IF(NOT(ISNUMBER($A1322)),NA(),IF(OR($A1322&lt;MIN(KW_TP!$A$2:$A$2501),$A1322&gt;MAX(KW_TP!$A$2:$A$2501)),NA(),INDEX(KW_TP!$C$2:$C$2501,MATCH($A1322,KW_TP!$A$2:$A$2501,1))))</f>
        <v/>
      </c>
      <c r="Q1322" s="18">
        <f>IF(NOT(ISNUMBER($A1322)),NA(),IFERROR(1*INDEX(BBG_Data!$J$2:$J$4000,MATCH($A1322,BBG_Data!$I$2:$I$4000,0)),NA()))</f>
        <v/>
      </c>
      <c r="R1322" s="18">
        <f>IF(NOT(ISNUMBER($A1322)),NA(),IFERROR(1*INDEX(BBG_Data!$L$2:$L$4000,MATCH($A1322,BBG_Data!$K$2:$K$4000,0)),NA()))</f>
        <v/>
      </c>
      <c r="S1322" s="20">
        <f>IF(AND(ISNUMBER(B1322),ISNUMBER(Q1322),ISNUMBER(R1322)),(B1322-Q1322-R1322)*100,NA())</f>
        <v/>
      </c>
      <c r="T1322" s="20">
        <f>IF(AND(ISNUMBER(B1322),Settings!$B$17&gt;0),IF(ISNUMBER(INDEX($B:$B,Settings!$B$17)),(B1322-INDEX($B:$B,Settings!$B$17))*100,NA()),NA())</f>
        <v/>
      </c>
      <c r="U1322" s="20">
        <f>IF(AND(ISNUMBER(Q1322),Settings!$B$17&gt;0),IF(ISNUMBER(INDEX($Q:$Q,Settings!$B$17)),(Q1322-INDEX($Q:$Q,Settings!$B$17))*100,NA()),NA())</f>
        <v/>
      </c>
      <c r="V1322" s="20">
        <f>IF(AND(ISNUMBER(R1322),Settings!$B$17&gt;0),IF(ISNUMBER(INDEX($R:$R,Settings!$B$17)),(R1322-INDEX($R:$R,Settings!$B$17))*100,NA()),NA())</f>
        <v/>
      </c>
      <c r="W1322" s="20">
        <f>IF(AND(ISNUMBER(P1322),Settings!$B$17&gt;0),IF(ISNUMBER(INDEX($P:$P,Settings!$B$17)),P1322-INDEX($P:$P,Settings!$B$17),NA()),NA())</f>
        <v/>
      </c>
      <c r="X1322" s="19">
        <f>IF(NOT(ISNUMBER($A1322)),NA(),IF(OR($A1322&lt;MIN(DKW_10Y!$A$2:$A$2918),$A1322&gt;MAX(DKW_10Y!$A$2:$A$2918),Settings!$B$16&lt;MIN(DKW_10Y!$A$2:$A$2918)),NA(),(INDEX(DKW_10Y!$B$2:$B$2918,MATCH($A1322,DKW_10Y!$A$2:$A$2918,1))-INDEX(DKW_10Y!$B$2:$B$2918,MATCH(Settings!$B$16,DKW_10Y!$A$2:$A$2918,1)))*100))</f>
        <v/>
      </c>
      <c r="Y1322" s="19">
        <f>IF(NOT(ISNUMBER($A1322)),NA(),IF(OR($A1322&lt;MIN(DKW_10Y!$A$2:$A$2918),$A1322&gt;MAX(DKW_10Y!$A$2:$A$2918),Settings!$B$16&lt;MIN(DKW_10Y!$A$2:$A$2918)),NA(),(INDEX(DKW_10Y!$C$2:$C$2918,MATCH($A1322,DKW_10Y!$A$2:$A$2918,1))-INDEX(DKW_10Y!$C$2:$C$2918,MATCH(Settings!$B$16,DKW_10Y!$A$2:$A$2918,1)))*100))</f>
        <v/>
      </c>
      <c r="Z1322" s="19">
        <f>IF(NOT(ISNUMBER($A1322)),NA(),IF(OR($A1322&lt;MIN(DKW_10Y!$A$2:$A$2918),$A1322&gt;MAX(DKW_10Y!$A$2:$A$2918),Settings!$B$16&lt;MIN(DKW_10Y!$A$2:$A$2918)),NA(),(INDEX(DKW_10Y!$D$2:$D$2918,MATCH($A1322,DKW_10Y!$A$2:$A$2918,1))-INDEX(DKW_10Y!$D$2:$D$2918,MATCH(Settings!$B$16,DKW_10Y!$A$2:$A$2918,1)))*100))</f>
        <v/>
      </c>
      <c r="AA1322" s="19">
        <f>IF(NOT(ISNUMBER($A1322)),NA(),IF(OR($A1322&lt;MIN(DKW_10Y!$A$2:$A$2918),$A1322&gt;MAX(DKW_10Y!$A$2:$A$2918),Settings!$B$16&lt;MIN(DKW_10Y!$A$2:$A$2918)),NA(),(INDEX(DKW_10Y!$E$2:$E$2918,MATCH($A1322,DKW_10Y!$A$2:$A$2918,1))-INDEX(DKW_10Y!$E$2:$E$2918,MATCH(Settings!$B$16,DKW_10Y!$A$2:$A$2918,1)))*100))</f>
        <v/>
      </c>
      <c r="AB1322" s="19">
        <f>IF(NOT(ISNUMBER($A1322)),NA(),IF(OR($A1322&lt;MIN(DKW_10Y!$A$2:$A$2918),$A1322&gt;MAX(DKW_10Y!$A$2:$A$2918),Settings!$B$16&lt;MIN(DKW_10Y!$A$2:$A$2918)),NA(),(INDEX(DKW_10Y!$H$2:$H$2918,MATCH($A1322,DKW_10Y!$A$2:$A$2918,1))-INDEX(DKW_10Y!$H$2:$H$2918,MATCH(Settings!$B$16,DKW_10Y!$A$2:$A$2918,1)))*100))</f>
        <v/>
      </c>
      <c r="AC1322" s="18">
        <f>IF(NOT(ISNUMBER($A1322)),NA(),IFERROR(1*INDEX(BBG_Data!$N$2:$N$4000,MATCH($A1322,BBG_Data!$M$2:$M$4000,0)),NA()))</f>
        <v/>
      </c>
      <c r="AD1322" s="18">
        <f>IF(NOT(ISNUMBER($A1322)),NA(),IFERROR(1*INDEX(BBG_Data!$P$2:$P$4000,MATCH($A1322,BBG_Data!$O$2:$O$4000,0)),NA()))</f>
        <v/>
      </c>
      <c r="AE1322" s="18">
        <f>IF(NOT(ISNUMBER($A1322)),NA(),IFERROR(1*INDEX(BBG_Data!$R$2:$R$4000,MATCH($A1322,BBG_Data!$Q$2:$Q$4000,0)),NA()))</f>
        <v/>
      </c>
      <c r="AF1322" s="20">
        <f>IF(AND(ISNUMBER(B1322),ISNUMBER(AC1322)),(B1322-AC1322)*100,NA())</f>
        <v/>
      </c>
      <c r="AG1322" s="20">
        <f>IF(AND(ISNUMBER(AE1322),ISNUMBER(AD1322)),(AE1322-AD1322)*100,NA())</f>
        <v/>
      </c>
      <c r="AH1322" s="19">
        <f>IF(NOT(ISNUMBER($A1322)),NA(),IFERROR(INDEX(BBG_Data!$T$2:$T$4000,MATCH($A1322,BBG_Data!$S$2:$S$4000,0))*Settings!$B$25,NA()))</f>
        <v/>
      </c>
      <c r="AI1322" s="19">
        <f>IF(NOT(ISNUMBER($A1322)),NA(),IFERROR(INDEX(BBG_Data!$V$2:$V$4000,MATCH($A1322,BBG_Data!$U$2:$U$4000,0))*Settings!$B$25,NA()))</f>
        <v/>
      </c>
      <c r="AJ1322" s="19">
        <f>IF(NOT(ISNUMBER($A1322)),NA(),IFERROR(1*INDEX(BBG_Data!$X$2:$X$4000,MATCH($A1322,BBG_Data!$W$2:$W$4000,0)),NA()))</f>
        <v/>
      </c>
      <c r="AK1322" s="19">
        <f>IF(NOT(ISNUMBER($A1322)),NA(),IFERROR(1*INDEX(BBG_Data!$Z$2:$Z$4000,MATCH($A1322,BBG_Data!$Y$2:$Y$4000,0)),NA()))</f>
        <v/>
      </c>
    </row>
    <row r="1323">
      <c r="A1323" s="17">
        <f>IF(ISNUMBER(BBG_Data!A1323),BBG_Data!A1323,"")</f>
        <v/>
      </c>
      <c r="B1323" s="18">
        <f>IF(AND(ISNUMBER($A1323),ISNUMBER(BBG_Data!B1323)),BBG_Data!B1323,NA())</f>
        <v/>
      </c>
      <c r="C1323" s="18">
        <f>IF(NOT(ISNUMBER($A1323)),NA(),IFERROR(1*INDEX(BBG_Data!$D$2:$D$4000,MATCH($A1323,BBG_Data!$C$2:$C$4000,0)),NA()))</f>
        <v/>
      </c>
      <c r="D1323" s="19">
        <f>IF(NOT(ISNUMBER($A1323)),NA(),IFERROR(1*INDEX(BBG_Data!$F$2:$F$4000,MATCH($A1323,BBG_Data!$E$2:$E$4000,0)),NA()))</f>
        <v/>
      </c>
      <c r="E1323" s="19">
        <f>IF(NOT(ISNUMBER($A1323)),NA(),IFERROR(1*INDEX(BBG_Data!$H$2:$H$4000,MATCH($A1323,BBG_Data!$G$2:$G$4000,0)),NA()))</f>
        <v/>
      </c>
      <c r="F1323" s="20">
        <f>IF(AND(ISNUMBER(B1323),ISNUMBER(B1322)),IF(B1323=B1322,"",(B1323-B1322)*100),"")</f>
        <v/>
      </c>
      <c r="G1323" s="20">
        <f>IF(AND(ISNUMBER(C1323),ISNUMBER(C1322)),IF(C1323=C1322,"",(C1323-C1322)*100),"")</f>
        <v/>
      </c>
      <c r="H1323" s="20">
        <f>IF(OR(NOT(ISNUMBER($A1323)),ROW()-2&lt;Settings!$B$11),NA(),IF(COUNT(OFFSET(F1323,1-Settings!$B$11,0,Settings!$B$11,1))&lt;ROUNDUP(Settings!$B$11*Settings!$B$26,0),NA(),STDEV(OFFSET(F1323,1-Settings!$B$11,0,Settings!$B$11,1))*SQRT(Settings!$B$13)))</f>
        <v/>
      </c>
      <c r="I1323" s="20">
        <f>IF(OR(NOT(ISNUMBER($A1323)),ROW()-2&lt;Settings!$B$12),NA(),IF(COUNT(OFFSET(F1323,1-Settings!$B$12,0,Settings!$B$12,1))&lt;ROUNDUP(Settings!$B$12*Settings!$B$26,0),NA(),STDEV(OFFSET(F1323,1-Settings!$B$12,0,Settings!$B$12,1))*SQRT(Settings!$B$13)))</f>
        <v/>
      </c>
      <c r="J1323" s="20">
        <f>IF(OR(NOT(ISNUMBER($A1323)),ROW()-2&lt;Settings!$B$11),NA(),IF(COUNT(OFFSET(G1323,1-Settings!$B$11,0,Settings!$B$11,1))&lt;ROUNDUP(Settings!$B$11*Settings!$B$26,0),NA(),STDEV(OFFSET(G1323,1-Settings!$B$11,0,Settings!$B$11,1))*SQRT(Settings!$B$13)))</f>
        <v/>
      </c>
      <c r="K1323" s="20">
        <f>IF(OR(NOT(ISNUMBER($A1323)),ROW()-2&lt;Settings!$B$12),NA(),IF(COUNT(OFFSET(G1323,1-Settings!$B$12,0,Settings!$B$12,1))&lt;ROUNDUP(Settings!$B$12*Settings!$B$26,0),NA(),STDEV(OFFSET(G1323,1-Settings!$B$12,0,Settings!$B$12,1))*SQRT(Settings!$B$13)))</f>
        <v/>
      </c>
      <c r="L1323" s="20">
        <f>IF(AND(ISNUMBER(D1323),ISNUMBER(H1323)),D1323-H1323,NA())</f>
        <v/>
      </c>
      <c r="M1323" s="20">
        <f>IF(AND(ISNUMBER(E1323),ISNUMBER(K1323)),E1323-K1323,NA())</f>
        <v/>
      </c>
      <c r="N1323" s="20">
        <f>IF(NOT(ISNUMBER($A1323)),NA(),IF(COUNT(OFFSET(G1323,1,0,Settings!$B$12,1))&lt;ROUNDUP(Settings!$B$12*Settings!$B$26,0),NA(),STDEV(OFFSET(G1323,1,0,Settings!$B$12,1))*SQRT(Settings!$B$13)))</f>
        <v/>
      </c>
      <c r="O1323" s="20">
        <f>IF(AND(ISNUMBER(E1323),ISNUMBER(N1323)),E1323-N1323,NA())</f>
        <v/>
      </c>
      <c r="P1323" s="19">
        <f>IF(NOT(ISNUMBER($A1323)),NA(),IF(OR($A1323&lt;MIN(KW_TP!$A$2:$A$2501),$A1323&gt;MAX(KW_TP!$A$2:$A$2501)),NA(),INDEX(KW_TP!$C$2:$C$2501,MATCH($A1323,KW_TP!$A$2:$A$2501,1))))</f>
        <v/>
      </c>
      <c r="Q1323" s="18">
        <f>IF(NOT(ISNUMBER($A1323)),NA(),IFERROR(1*INDEX(BBG_Data!$J$2:$J$4000,MATCH($A1323,BBG_Data!$I$2:$I$4000,0)),NA()))</f>
        <v/>
      </c>
      <c r="R1323" s="18">
        <f>IF(NOT(ISNUMBER($A1323)),NA(),IFERROR(1*INDEX(BBG_Data!$L$2:$L$4000,MATCH($A1323,BBG_Data!$K$2:$K$4000,0)),NA()))</f>
        <v/>
      </c>
      <c r="S1323" s="20">
        <f>IF(AND(ISNUMBER(B1323),ISNUMBER(Q1323),ISNUMBER(R1323)),(B1323-Q1323-R1323)*100,NA())</f>
        <v/>
      </c>
      <c r="T1323" s="20">
        <f>IF(AND(ISNUMBER(B1323),Settings!$B$17&gt;0),IF(ISNUMBER(INDEX($B:$B,Settings!$B$17)),(B1323-INDEX($B:$B,Settings!$B$17))*100,NA()),NA())</f>
        <v/>
      </c>
      <c r="U1323" s="20">
        <f>IF(AND(ISNUMBER(Q1323),Settings!$B$17&gt;0),IF(ISNUMBER(INDEX($Q:$Q,Settings!$B$17)),(Q1323-INDEX($Q:$Q,Settings!$B$17))*100,NA()),NA())</f>
        <v/>
      </c>
      <c r="V1323" s="20">
        <f>IF(AND(ISNUMBER(R1323),Settings!$B$17&gt;0),IF(ISNUMBER(INDEX($R:$R,Settings!$B$17)),(R1323-INDEX($R:$R,Settings!$B$17))*100,NA()),NA())</f>
        <v/>
      </c>
      <c r="W1323" s="20">
        <f>IF(AND(ISNUMBER(P1323),Settings!$B$17&gt;0),IF(ISNUMBER(INDEX($P:$P,Settings!$B$17)),P1323-INDEX($P:$P,Settings!$B$17),NA()),NA())</f>
        <v/>
      </c>
      <c r="X1323" s="19">
        <f>IF(NOT(ISNUMBER($A1323)),NA(),IF(OR($A1323&lt;MIN(DKW_10Y!$A$2:$A$2918),$A1323&gt;MAX(DKW_10Y!$A$2:$A$2918),Settings!$B$16&lt;MIN(DKW_10Y!$A$2:$A$2918)),NA(),(INDEX(DKW_10Y!$B$2:$B$2918,MATCH($A1323,DKW_10Y!$A$2:$A$2918,1))-INDEX(DKW_10Y!$B$2:$B$2918,MATCH(Settings!$B$16,DKW_10Y!$A$2:$A$2918,1)))*100))</f>
        <v/>
      </c>
      <c r="Y1323" s="19">
        <f>IF(NOT(ISNUMBER($A1323)),NA(),IF(OR($A1323&lt;MIN(DKW_10Y!$A$2:$A$2918),$A1323&gt;MAX(DKW_10Y!$A$2:$A$2918),Settings!$B$16&lt;MIN(DKW_10Y!$A$2:$A$2918)),NA(),(INDEX(DKW_10Y!$C$2:$C$2918,MATCH($A1323,DKW_10Y!$A$2:$A$2918,1))-INDEX(DKW_10Y!$C$2:$C$2918,MATCH(Settings!$B$16,DKW_10Y!$A$2:$A$2918,1)))*100))</f>
        <v/>
      </c>
      <c r="Z1323" s="19">
        <f>IF(NOT(ISNUMBER($A1323)),NA(),IF(OR($A1323&lt;MIN(DKW_10Y!$A$2:$A$2918),$A1323&gt;MAX(DKW_10Y!$A$2:$A$2918),Settings!$B$16&lt;MIN(DKW_10Y!$A$2:$A$2918)),NA(),(INDEX(DKW_10Y!$D$2:$D$2918,MATCH($A1323,DKW_10Y!$A$2:$A$2918,1))-INDEX(DKW_10Y!$D$2:$D$2918,MATCH(Settings!$B$16,DKW_10Y!$A$2:$A$2918,1)))*100))</f>
        <v/>
      </c>
      <c r="AA1323" s="19">
        <f>IF(NOT(ISNUMBER($A1323)),NA(),IF(OR($A1323&lt;MIN(DKW_10Y!$A$2:$A$2918),$A1323&gt;MAX(DKW_10Y!$A$2:$A$2918),Settings!$B$16&lt;MIN(DKW_10Y!$A$2:$A$2918)),NA(),(INDEX(DKW_10Y!$E$2:$E$2918,MATCH($A1323,DKW_10Y!$A$2:$A$2918,1))-INDEX(DKW_10Y!$E$2:$E$2918,MATCH(Settings!$B$16,DKW_10Y!$A$2:$A$2918,1)))*100))</f>
        <v/>
      </c>
      <c r="AB1323" s="19">
        <f>IF(NOT(ISNUMBER($A1323)),NA(),IF(OR($A1323&lt;MIN(DKW_10Y!$A$2:$A$2918),$A1323&gt;MAX(DKW_10Y!$A$2:$A$2918),Settings!$B$16&lt;MIN(DKW_10Y!$A$2:$A$2918)),NA(),(INDEX(DKW_10Y!$H$2:$H$2918,MATCH($A1323,DKW_10Y!$A$2:$A$2918,1))-INDEX(DKW_10Y!$H$2:$H$2918,MATCH(Settings!$B$16,DKW_10Y!$A$2:$A$2918,1)))*100))</f>
        <v/>
      </c>
      <c r="AC1323" s="18">
        <f>IF(NOT(ISNUMBER($A1323)),NA(),IFERROR(1*INDEX(BBG_Data!$N$2:$N$4000,MATCH($A1323,BBG_Data!$M$2:$M$4000,0)),NA()))</f>
        <v/>
      </c>
      <c r="AD1323" s="18">
        <f>IF(NOT(ISNUMBER($A1323)),NA(),IFERROR(1*INDEX(BBG_Data!$P$2:$P$4000,MATCH($A1323,BBG_Data!$O$2:$O$4000,0)),NA()))</f>
        <v/>
      </c>
      <c r="AE1323" s="18">
        <f>IF(NOT(ISNUMBER($A1323)),NA(),IFERROR(1*INDEX(BBG_Data!$R$2:$R$4000,MATCH($A1323,BBG_Data!$Q$2:$Q$4000,0)),NA()))</f>
        <v/>
      </c>
      <c r="AF1323" s="20">
        <f>IF(AND(ISNUMBER(B1323),ISNUMBER(AC1323)),(B1323-AC1323)*100,NA())</f>
        <v/>
      </c>
      <c r="AG1323" s="20">
        <f>IF(AND(ISNUMBER(AE1323),ISNUMBER(AD1323)),(AE1323-AD1323)*100,NA())</f>
        <v/>
      </c>
      <c r="AH1323" s="19">
        <f>IF(NOT(ISNUMBER($A1323)),NA(),IFERROR(INDEX(BBG_Data!$T$2:$T$4000,MATCH($A1323,BBG_Data!$S$2:$S$4000,0))*Settings!$B$25,NA()))</f>
        <v/>
      </c>
      <c r="AI1323" s="19">
        <f>IF(NOT(ISNUMBER($A1323)),NA(),IFERROR(INDEX(BBG_Data!$V$2:$V$4000,MATCH($A1323,BBG_Data!$U$2:$U$4000,0))*Settings!$B$25,NA()))</f>
        <v/>
      </c>
      <c r="AJ1323" s="19">
        <f>IF(NOT(ISNUMBER($A1323)),NA(),IFERROR(1*INDEX(BBG_Data!$X$2:$X$4000,MATCH($A1323,BBG_Data!$W$2:$W$4000,0)),NA()))</f>
        <v/>
      </c>
      <c r="AK1323" s="19">
        <f>IF(NOT(ISNUMBER($A1323)),NA(),IFERROR(1*INDEX(BBG_Data!$Z$2:$Z$4000,MATCH($A1323,BBG_Data!$Y$2:$Y$4000,0)),NA()))</f>
        <v/>
      </c>
    </row>
    <row r="1324">
      <c r="A1324" s="17">
        <f>IF(ISNUMBER(BBG_Data!A1324),BBG_Data!A1324,"")</f>
        <v/>
      </c>
      <c r="B1324" s="18">
        <f>IF(AND(ISNUMBER($A1324),ISNUMBER(BBG_Data!B1324)),BBG_Data!B1324,NA())</f>
        <v/>
      </c>
      <c r="C1324" s="18">
        <f>IF(NOT(ISNUMBER($A1324)),NA(),IFERROR(1*INDEX(BBG_Data!$D$2:$D$4000,MATCH($A1324,BBG_Data!$C$2:$C$4000,0)),NA()))</f>
        <v/>
      </c>
      <c r="D1324" s="19">
        <f>IF(NOT(ISNUMBER($A1324)),NA(),IFERROR(1*INDEX(BBG_Data!$F$2:$F$4000,MATCH($A1324,BBG_Data!$E$2:$E$4000,0)),NA()))</f>
        <v/>
      </c>
      <c r="E1324" s="19">
        <f>IF(NOT(ISNUMBER($A1324)),NA(),IFERROR(1*INDEX(BBG_Data!$H$2:$H$4000,MATCH($A1324,BBG_Data!$G$2:$G$4000,0)),NA()))</f>
        <v/>
      </c>
      <c r="F1324" s="20">
        <f>IF(AND(ISNUMBER(B1324),ISNUMBER(B1323)),IF(B1324=B1323,"",(B1324-B1323)*100),"")</f>
        <v/>
      </c>
      <c r="G1324" s="20">
        <f>IF(AND(ISNUMBER(C1324),ISNUMBER(C1323)),IF(C1324=C1323,"",(C1324-C1323)*100),"")</f>
        <v/>
      </c>
      <c r="H1324" s="20">
        <f>IF(OR(NOT(ISNUMBER($A1324)),ROW()-2&lt;Settings!$B$11),NA(),IF(COUNT(OFFSET(F1324,1-Settings!$B$11,0,Settings!$B$11,1))&lt;ROUNDUP(Settings!$B$11*Settings!$B$26,0),NA(),STDEV(OFFSET(F1324,1-Settings!$B$11,0,Settings!$B$11,1))*SQRT(Settings!$B$13)))</f>
        <v/>
      </c>
      <c r="I1324" s="20">
        <f>IF(OR(NOT(ISNUMBER($A1324)),ROW()-2&lt;Settings!$B$12),NA(),IF(COUNT(OFFSET(F1324,1-Settings!$B$12,0,Settings!$B$12,1))&lt;ROUNDUP(Settings!$B$12*Settings!$B$26,0),NA(),STDEV(OFFSET(F1324,1-Settings!$B$12,0,Settings!$B$12,1))*SQRT(Settings!$B$13)))</f>
        <v/>
      </c>
      <c r="J1324" s="20">
        <f>IF(OR(NOT(ISNUMBER($A1324)),ROW()-2&lt;Settings!$B$11),NA(),IF(COUNT(OFFSET(G1324,1-Settings!$B$11,0,Settings!$B$11,1))&lt;ROUNDUP(Settings!$B$11*Settings!$B$26,0),NA(),STDEV(OFFSET(G1324,1-Settings!$B$11,0,Settings!$B$11,1))*SQRT(Settings!$B$13)))</f>
        <v/>
      </c>
      <c r="K1324" s="20">
        <f>IF(OR(NOT(ISNUMBER($A1324)),ROW()-2&lt;Settings!$B$12),NA(),IF(COUNT(OFFSET(G1324,1-Settings!$B$12,0,Settings!$B$12,1))&lt;ROUNDUP(Settings!$B$12*Settings!$B$26,0),NA(),STDEV(OFFSET(G1324,1-Settings!$B$12,0,Settings!$B$12,1))*SQRT(Settings!$B$13)))</f>
        <v/>
      </c>
      <c r="L1324" s="20">
        <f>IF(AND(ISNUMBER(D1324),ISNUMBER(H1324)),D1324-H1324,NA())</f>
        <v/>
      </c>
      <c r="M1324" s="20">
        <f>IF(AND(ISNUMBER(E1324),ISNUMBER(K1324)),E1324-K1324,NA())</f>
        <v/>
      </c>
      <c r="N1324" s="20">
        <f>IF(NOT(ISNUMBER($A1324)),NA(),IF(COUNT(OFFSET(G1324,1,0,Settings!$B$12,1))&lt;ROUNDUP(Settings!$B$12*Settings!$B$26,0),NA(),STDEV(OFFSET(G1324,1,0,Settings!$B$12,1))*SQRT(Settings!$B$13)))</f>
        <v/>
      </c>
      <c r="O1324" s="20">
        <f>IF(AND(ISNUMBER(E1324),ISNUMBER(N1324)),E1324-N1324,NA())</f>
        <v/>
      </c>
      <c r="P1324" s="19">
        <f>IF(NOT(ISNUMBER($A1324)),NA(),IF(OR($A1324&lt;MIN(KW_TP!$A$2:$A$2501),$A1324&gt;MAX(KW_TP!$A$2:$A$2501)),NA(),INDEX(KW_TP!$C$2:$C$2501,MATCH($A1324,KW_TP!$A$2:$A$2501,1))))</f>
        <v/>
      </c>
      <c r="Q1324" s="18">
        <f>IF(NOT(ISNUMBER($A1324)),NA(),IFERROR(1*INDEX(BBG_Data!$J$2:$J$4000,MATCH($A1324,BBG_Data!$I$2:$I$4000,0)),NA()))</f>
        <v/>
      </c>
      <c r="R1324" s="18">
        <f>IF(NOT(ISNUMBER($A1324)),NA(),IFERROR(1*INDEX(BBG_Data!$L$2:$L$4000,MATCH($A1324,BBG_Data!$K$2:$K$4000,0)),NA()))</f>
        <v/>
      </c>
      <c r="S1324" s="20">
        <f>IF(AND(ISNUMBER(B1324),ISNUMBER(Q1324),ISNUMBER(R1324)),(B1324-Q1324-R1324)*100,NA())</f>
        <v/>
      </c>
      <c r="T1324" s="20">
        <f>IF(AND(ISNUMBER(B1324),Settings!$B$17&gt;0),IF(ISNUMBER(INDEX($B:$B,Settings!$B$17)),(B1324-INDEX($B:$B,Settings!$B$17))*100,NA()),NA())</f>
        <v/>
      </c>
      <c r="U1324" s="20">
        <f>IF(AND(ISNUMBER(Q1324),Settings!$B$17&gt;0),IF(ISNUMBER(INDEX($Q:$Q,Settings!$B$17)),(Q1324-INDEX($Q:$Q,Settings!$B$17))*100,NA()),NA())</f>
        <v/>
      </c>
      <c r="V1324" s="20">
        <f>IF(AND(ISNUMBER(R1324),Settings!$B$17&gt;0),IF(ISNUMBER(INDEX($R:$R,Settings!$B$17)),(R1324-INDEX($R:$R,Settings!$B$17))*100,NA()),NA())</f>
        <v/>
      </c>
      <c r="W1324" s="20">
        <f>IF(AND(ISNUMBER(P1324),Settings!$B$17&gt;0),IF(ISNUMBER(INDEX($P:$P,Settings!$B$17)),P1324-INDEX($P:$P,Settings!$B$17),NA()),NA())</f>
        <v/>
      </c>
      <c r="X1324" s="19">
        <f>IF(NOT(ISNUMBER($A1324)),NA(),IF(OR($A1324&lt;MIN(DKW_10Y!$A$2:$A$2918),$A1324&gt;MAX(DKW_10Y!$A$2:$A$2918),Settings!$B$16&lt;MIN(DKW_10Y!$A$2:$A$2918)),NA(),(INDEX(DKW_10Y!$B$2:$B$2918,MATCH($A1324,DKW_10Y!$A$2:$A$2918,1))-INDEX(DKW_10Y!$B$2:$B$2918,MATCH(Settings!$B$16,DKW_10Y!$A$2:$A$2918,1)))*100))</f>
        <v/>
      </c>
      <c r="Y1324" s="19">
        <f>IF(NOT(ISNUMBER($A1324)),NA(),IF(OR($A1324&lt;MIN(DKW_10Y!$A$2:$A$2918),$A1324&gt;MAX(DKW_10Y!$A$2:$A$2918),Settings!$B$16&lt;MIN(DKW_10Y!$A$2:$A$2918)),NA(),(INDEX(DKW_10Y!$C$2:$C$2918,MATCH($A1324,DKW_10Y!$A$2:$A$2918,1))-INDEX(DKW_10Y!$C$2:$C$2918,MATCH(Settings!$B$16,DKW_10Y!$A$2:$A$2918,1)))*100))</f>
        <v/>
      </c>
      <c r="Z1324" s="19">
        <f>IF(NOT(ISNUMBER($A1324)),NA(),IF(OR($A1324&lt;MIN(DKW_10Y!$A$2:$A$2918),$A1324&gt;MAX(DKW_10Y!$A$2:$A$2918),Settings!$B$16&lt;MIN(DKW_10Y!$A$2:$A$2918)),NA(),(INDEX(DKW_10Y!$D$2:$D$2918,MATCH($A1324,DKW_10Y!$A$2:$A$2918,1))-INDEX(DKW_10Y!$D$2:$D$2918,MATCH(Settings!$B$16,DKW_10Y!$A$2:$A$2918,1)))*100))</f>
        <v/>
      </c>
      <c r="AA1324" s="19">
        <f>IF(NOT(ISNUMBER($A1324)),NA(),IF(OR($A1324&lt;MIN(DKW_10Y!$A$2:$A$2918),$A1324&gt;MAX(DKW_10Y!$A$2:$A$2918),Settings!$B$16&lt;MIN(DKW_10Y!$A$2:$A$2918)),NA(),(INDEX(DKW_10Y!$E$2:$E$2918,MATCH($A1324,DKW_10Y!$A$2:$A$2918,1))-INDEX(DKW_10Y!$E$2:$E$2918,MATCH(Settings!$B$16,DKW_10Y!$A$2:$A$2918,1)))*100))</f>
        <v/>
      </c>
      <c r="AB1324" s="19">
        <f>IF(NOT(ISNUMBER($A1324)),NA(),IF(OR($A1324&lt;MIN(DKW_10Y!$A$2:$A$2918),$A1324&gt;MAX(DKW_10Y!$A$2:$A$2918),Settings!$B$16&lt;MIN(DKW_10Y!$A$2:$A$2918)),NA(),(INDEX(DKW_10Y!$H$2:$H$2918,MATCH($A1324,DKW_10Y!$A$2:$A$2918,1))-INDEX(DKW_10Y!$H$2:$H$2918,MATCH(Settings!$B$16,DKW_10Y!$A$2:$A$2918,1)))*100))</f>
        <v/>
      </c>
      <c r="AC1324" s="18">
        <f>IF(NOT(ISNUMBER($A1324)),NA(),IFERROR(1*INDEX(BBG_Data!$N$2:$N$4000,MATCH($A1324,BBG_Data!$M$2:$M$4000,0)),NA()))</f>
        <v/>
      </c>
      <c r="AD1324" s="18">
        <f>IF(NOT(ISNUMBER($A1324)),NA(),IFERROR(1*INDEX(BBG_Data!$P$2:$P$4000,MATCH($A1324,BBG_Data!$O$2:$O$4000,0)),NA()))</f>
        <v/>
      </c>
      <c r="AE1324" s="18">
        <f>IF(NOT(ISNUMBER($A1324)),NA(),IFERROR(1*INDEX(BBG_Data!$R$2:$R$4000,MATCH($A1324,BBG_Data!$Q$2:$Q$4000,0)),NA()))</f>
        <v/>
      </c>
      <c r="AF1324" s="20">
        <f>IF(AND(ISNUMBER(B1324),ISNUMBER(AC1324)),(B1324-AC1324)*100,NA())</f>
        <v/>
      </c>
      <c r="AG1324" s="20">
        <f>IF(AND(ISNUMBER(AE1324),ISNUMBER(AD1324)),(AE1324-AD1324)*100,NA())</f>
        <v/>
      </c>
      <c r="AH1324" s="19">
        <f>IF(NOT(ISNUMBER($A1324)),NA(),IFERROR(INDEX(BBG_Data!$T$2:$T$4000,MATCH($A1324,BBG_Data!$S$2:$S$4000,0))*Settings!$B$25,NA()))</f>
        <v/>
      </c>
      <c r="AI1324" s="19">
        <f>IF(NOT(ISNUMBER($A1324)),NA(),IFERROR(INDEX(BBG_Data!$V$2:$V$4000,MATCH($A1324,BBG_Data!$U$2:$U$4000,0))*Settings!$B$25,NA()))</f>
        <v/>
      </c>
      <c r="AJ1324" s="19">
        <f>IF(NOT(ISNUMBER($A1324)),NA(),IFERROR(1*INDEX(BBG_Data!$X$2:$X$4000,MATCH($A1324,BBG_Data!$W$2:$W$4000,0)),NA()))</f>
        <v/>
      </c>
      <c r="AK1324" s="19">
        <f>IF(NOT(ISNUMBER($A1324)),NA(),IFERROR(1*INDEX(BBG_Data!$Z$2:$Z$4000,MATCH($A1324,BBG_Data!$Y$2:$Y$4000,0)),NA()))</f>
        <v/>
      </c>
    </row>
    <row r="1325">
      <c r="A1325" s="17">
        <f>IF(ISNUMBER(BBG_Data!A1325),BBG_Data!A1325,"")</f>
        <v/>
      </c>
      <c r="B1325" s="18">
        <f>IF(AND(ISNUMBER($A1325),ISNUMBER(BBG_Data!B1325)),BBG_Data!B1325,NA())</f>
        <v/>
      </c>
      <c r="C1325" s="18">
        <f>IF(NOT(ISNUMBER($A1325)),NA(),IFERROR(1*INDEX(BBG_Data!$D$2:$D$4000,MATCH($A1325,BBG_Data!$C$2:$C$4000,0)),NA()))</f>
        <v/>
      </c>
      <c r="D1325" s="19">
        <f>IF(NOT(ISNUMBER($A1325)),NA(),IFERROR(1*INDEX(BBG_Data!$F$2:$F$4000,MATCH($A1325,BBG_Data!$E$2:$E$4000,0)),NA()))</f>
        <v/>
      </c>
      <c r="E1325" s="19">
        <f>IF(NOT(ISNUMBER($A1325)),NA(),IFERROR(1*INDEX(BBG_Data!$H$2:$H$4000,MATCH($A1325,BBG_Data!$G$2:$G$4000,0)),NA()))</f>
        <v/>
      </c>
      <c r="F1325" s="20">
        <f>IF(AND(ISNUMBER(B1325),ISNUMBER(B1324)),IF(B1325=B1324,"",(B1325-B1324)*100),"")</f>
        <v/>
      </c>
      <c r="G1325" s="20">
        <f>IF(AND(ISNUMBER(C1325),ISNUMBER(C1324)),IF(C1325=C1324,"",(C1325-C1324)*100),"")</f>
        <v/>
      </c>
      <c r="H1325" s="20">
        <f>IF(OR(NOT(ISNUMBER($A1325)),ROW()-2&lt;Settings!$B$11),NA(),IF(COUNT(OFFSET(F1325,1-Settings!$B$11,0,Settings!$B$11,1))&lt;ROUNDUP(Settings!$B$11*Settings!$B$26,0),NA(),STDEV(OFFSET(F1325,1-Settings!$B$11,0,Settings!$B$11,1))*SQRT(Settings!$B$13)))</f>
        <v/>
      </c>
      <c r="I1325" s="20">
        <f>IF(OR(NOT(ISNUMBER($A1325)),ROW()-2&lt;Settings!$B$12),NA(),IF(COUNT(OFFSET(F1325,1-Settings!$B$12,0,Settings!$B$12,1))&lt;ROUNDUP(Settings!$B$12*Settings!$B$26,0),NA(),STDEV(OFFSET(F1325,1-Settings!$B$12,0,Settings!$B$12,1))*SQRT(Settings!$B$13)))</f>
        <v/>
      </c>
      <c r="J1325" s="20">
        <f>IF(OR(NOT(ISNUMBER($A1325)),ROW()-2&lt;Settings!$B$11),NA(),IF(COUNT(OFFSET(G1325,1-Settings!$B$11,0,Settings!$B$11,1))&lt;ROUNDUP(Settings!$B$11*Settings!$B$26,0),NA(),STDEV(OFFSET(G1325,1-Settings!$B$11,0,Settings!$B$11,1))*SQRT(Settings!$B$13)))</f>
        <v/>
      </c>
      <c r="K1325" s="20">
        <f>IF(OR(NOT(ISNUMBER($A1325)),ROW()-2&lt;Settings!$B$12),NA(),IF(COUNT(OFFSET(G1325,1-Settings!$B$12,0,Settings!$B$12,1))&lt;ROUNDUP(Settings!$B$12*Settings!$B$26,0),NA(),STDEV(OFFSET(G1325,1-Settings!$B$12,0,Settings!$B$12,1))*SQRT(Settings!$B$13)))</f>
        <v/>
      </c>
      <c r="L1325" s="20">
        <f>IF(AND(ISNUMBER(D1325),ISNUMBER(H1325)),D1325-H1325,NA())</f>
        <v/>
      </c>
      <c r="M1325" s="20">
        <f>IF(AND(ISNUMBER(E1325),ISNUMBER(K1325)),E1325-K1325,NA())</f>
        <v/>
      </c>
      <c r="N1325" s="20">
        <f>IF(NOT(ISNUMBER($A1325)),NA(),IF(COUNT(OFFSET(G1325,1,0,Settings!$B$12,1))&lt;ROUNDUP(Settings!$B$12*Settings!$B$26,0),NA(),STDEV(OFFSET(G1325,1,0,Settings!$B$12,1))*SQRT(Settings!$B$13)))</f>
        <v/>
      </c>
      <c r="O1325" s="20">
        <f>IF(AND(ISNUMBER(E1325),ISNUMBER(N1325)),E1325-N1325,NA())</f>
        <v/>
      </c>
      <c r="P1325" s="19">
        <f>IF(NOT(ISNUMBER($A1325)),NA(),IF(OR($A1325&lt;MIN(KW_TP!$A$2:$A$2501),$A1325&gt;MAX(KW_TP!$A$2:$A$2501)),NA(),INDEX(KW_TP!$C$2:$C$2501,MATCH($A1325,KW_TP!$A$2:$A$2501,1))))</f>
        <v/>
      </c>
      <c r="Q1325" s="18">
        <f>IF(NOT(ISNUMBER($A1325)),NA(),IFERROR(1*INDEX(BBG_Data!$J$2:$J$4000,MATCH($A1325,BBG_Data!$I$2:$I$4000,0)),NA()))</f>
        <v/>
      </c>
      <c r="R1325" s="18">
        <f>IF(NOT(ISNUMBER($A1325)),NA(),IFERROR(1*INDEX(BBG_Data!$L$2:$L$4000,MATCH($A1325,BBG_Data!$K$2:$K$4000,0)),NA()))</f>
        <v/>
      </c>
      <c r="S1325" s="20">
        <f>IF(AND(ISNUMBER(B1325),ISNUMBER(Q1325),ISNUMBER(R1325)),(B1325-Q1325-R1325)*100,NA())</f>
        <v/>
      </c>
      <c r="T1325" s="20">
        <f>IF(AND(ISNUMBER(B1325),Settings!$B$17&gt;0),IF(ISNUMBER(INDEX($B:$B,Settings!$B$17)),(B1325-INDEX($B:$B,Settings!$B$17))*100,NA()),NA())</f>
        <v/>
      </c>
      <c r="U1325" s="20">
        <f>IF(AND(ISNUMBER(Q1325),Settings!$B$17&gt;0),IF(ISNUMBER(INDEX($Q:$Q,Settings!$B$17)),(Q1325-INDEX($Q:$Q,Settings!$B$17))*100,NA()),NA())</f>
        <v/>
      </c>
      <c r="V1325" s="20">
        <f>IF(AND(ISNUMBER(R1325),Settings!$B$17&gt;0),IF(ISNUMBER(INDEX($R:$R,Settings!$B$17)),(R1325-INDEX($R:$R,Settings!$B$17))*100,NA()),NA())</f>
        <v/>
      </c>
      <c r="W1325" s="20">
        <f>IF(AND(ISNUMBER(P1325),Settings!$B$17&gt;0),IF(ISNUMBER(INDEX($P:$P,Settings!$B$17)),P1325-INDEX($P:$P,Settings!$B$17),NA()),NA())</f>
        <v/>
      </c>
      <c r="X1325" s="19">
        <f>IF(NOT(ISNUMBER($A1325)),NA(),IF(OR($A1325&lt;MIN(DKW_10Y!$A$2:$A$2918),$A1325&gt;MAX(DKW_10Y!$A$2:$A$2918),Settings!$B$16&lt;MIN(DKW_10Y!$A$2:$A$2918)),NA(),(INDEX(DKW_10Y!$B$2:$B$2918,MATCH($A1325,DKW_10Y!$A$2:$A$2918,1))-INDEX(DKW_10Y!$B$2:$B$2918,MATCH(Settings!$B$16,DKW_10Y!$A$2:$A$2918,1)))*100))</f>
        <v/>
      </c>
      <c r="Y1325" s="19">
        <f>IF(NOT(ISNUMBER($A1325)),NA(),IF(OR($A1325&lt;MIN(DKW_10Y!$A$2:$A$2918),$A1325&gt;MAX(DKW_10Y!$A$2:$A$2918),Settings!$B$16&lt;MIN(DKW_10Y!$A$2:$A$2918)),NA(),(INDEX(DKW_10Y!$C$2:$C$2918,MATCH($A1325,DKW_10Y!$A$2:$A$2918,1))-INDEX(DKW_10Y!$C$2:$C$2918,MATCH(Settings!$B$16,DKW_10Y!$A$2:$A$2918,1)))*100))</f>
        <v/>
      </c>
      <c r="Z1325" s="19">
        <f>IF(NOT(ISNUMBER($A1325)),NA(),IF(OR($A1325&lt;MIN(DKW_10Y!$A$2:$A$2918),$A1325&gt;MAX(DKW_10Y!$A$2:$A$2918),Settings!$B$16&lt;MIN(DKW_10Y!$A$2:$A$2918)),NA(),(INDEX(DKW_10Y!$D$2:$D$2918,MATCH($A1325,DKW_10Y!$A$2:$A$2918,1))-INDEX(DKW_10Y!$D$2:$D$2918,MATCH(Settings!$B$16,DKW_10Y!$A$2:$A$2918,1)))*100))</f>
        <v/>
      </c>
      <c r="AA1325" s="19">
        <f>IF(NOT(ISNUMBER($A1325)),NA(),IF(OR($A1325&lt;MIN(DKW_10Y!$A$2:$A$2918),$A1325&gt;MAX(DKW_10Y!$A$2:$A$2918),Settings!$B$16&lt;MIN(DKW_10Y!$A$2:$A$2918)),NA(),(INDEX(DKW_10Y!$E$2:$E$2918,MATCH($A1325,DKW_10Y!$A$2:$A$2918,1))-INDEX(DKW_10Y!$E$2:$E$2918,MATCH(Settings!$B$16,DKW_10Y!$A$2:$A$2918,1)))*100))</f>
        <v/>
      </c>
      <c r="AB1325" s="19">
        <f>IF(NOT(ISNUMBER($A1325)),NA(),IF(OR($A1325&lt;MIN(DKW_10Y!$A$2:$A$2918),$A1325&gt;MAX(DKW_10Y!$A$2:$A$2918),Settings!$B$16&lt;MIN(DKW_10Y!$A$2:$A$2918)),NA(),(INDEX(DKW_10Y!$H$2:$H$2918,MATCH($A1325,DKW_10Y!$A$2:$A$2918,1))-INDEX(DKW_10Y!$H$2:$H$2918,MATCH(Settings!$B$16,DKW_10Y!$A$2:$A$2918,1)))*100))</f>
        <v/>
      </c>
      <c r="AC1325" s="18">
        <f>IF(NOT(ISNUMBER($A1325)),NA(),IFERROR(1*INDEX(BBG_Data!$N$2:$N$4000,MATCH($A1325,BBG_Data!$M$2:$M$4000,0)),NA()))</f>
        <v/>
      </c>
      <c r="AD1325" s="18">
        <f>IF(NOT(ISNUMBER($A1325)),NA(),IFERROR(1*INDEX(BBG_Data!$P$2:$P$4000,MATCH($A1325,BBG_Data!$O$2:$O$4000,0)),NA()))</f>
        <v/>
      </c>
      <c r="AE1325" s="18">
        <f>IF(NOT(ISNUMBER($A1325)),NA(),IFERROR(1*INDEX(BBG_Data!$R$2:$R$4000,MATCH($A1325,BBG_Data!$Q$2:$Q$4000,0)),NA()))</f>
        <v/>
      </c>
      <c r="AF1325" s="20">
        <f>IF(AND(ISNUMBER(B1325),ISNUMBER(AC1325)),(B1325-AC1325)*100,NA())</f>
        <v/>
      </c>
      <c r="AG1325" s="20">
        <f>IF(AND(ISNUMBER(AE1325),ISNUMBER(AD1325)),(AE1325-AD1325)*100,NA())</f>
        <v/>
      </c>
      <c r="AH1325" s="19">
        <f>IF(NOT(ISNUMBER($A1325)),NA(),IFERROR(INDEX(BBG_Data!$T$2:$T$4000,MATCH($A1325,BBG_Data!$S$2:$S$4000,0))*Settings!$B$25,NA()))</f>
        <v/>
      </c>
      <c r="AI1325" s="19">
        <f>IF(NOT(ISNUMBER($A1325)),NA(),IFERROR(INDEX(BBG_Data!$V$2:$V$4000,MATCH($A1325,BBG_Data!$U$2:$U$4000,0))*Settings!$B$25,NA()))</f>
        <v/>
      </c>
      <c r="AJ1325" s="19">
        <f>IF(NOT(ISNUMBER($A1325)),NA(),IFERROR(1*INDEX(BBG_Data!$X$2:$X$4000,MATCH($A1325,BBG_Data!$W$2:$W$4000,0)),NA()))</f>
        <v/>
      </c>
      <c r="AK1325" s="19">
        <f>IF(NOT(ISNUMBER($A1325)),NA(),IFERROR(1*INDEX(BBG_Data!$Z$2:$Z$4000,MATCH($A1325,BBG_Data!$Y$2:$Y$4000,0)),NA()))</f>
        <v/>
      </c>
    </row>
    <row r="1326">
      <c r="A1326" s="17">
        <f>IF(ISNUMBER(BBG_Data!A1326),BBG_Data!A1326,"")</f>
        <v/>
      </c>
      <c r="B1326" s="18">
        <f>IF(AND(ISNUMBER($A1326),ISNUMBER(BBG_Data!B1326)),BBG_Data!B1326,NA())</f>
        <v/>
      </c>
      <c r="C1326" s="18">
        <f>IF(NOT(ISNUMBER($A1326)),NA(),IFERROR(1*INDEX(BBG_Data!$D$2:$D$4000,MATCH($A1326,BBG_Data!$C$2:$C$4000,0)),NA()))</f>
        <v/>
      </c>
      <c r="D1326" s="19">
        <f>IF(NOT(ISNUMBER($A1326)),NA(),IFERROR(1*INDEX(BBG_Data!$F$2:$F$4000,MATCH($A1326,BBG_Data!$E$2:$E$4000,0)),NA()))</f>
        <v/>
      </c>
      <c r="E1326" s="19">
        <f>IF(NOT(ISNUMBER($A1326)),NA(),IFERROR(1*INDEX(BBG_Data!$H$2:$H$4000,MATCH($A1326,BBG_Data!$G$2:$G$4000,0)),NA()))</f>
        <v/>
      </c>
      <c r="F1326" s="20">
        <f>IF(AND(ISNUMBER(B1326),ISNUMBER(B1325)),IF(B1326=B1325,"",(B1326-B1325)*100),"")</f>
        <v/>
      </c>
      <c r="G1326" s="20">
        <f>IF(AND(ISNUMBER(C1326),ISNUMBER(C1325)),IF(C1326=C1325,"",(C1326-C1325)*100),"")</f>
        <v/>
      </c>
      <c r="H1326" s="20">
        <f>IF(OR(NOT(ISNUMBER($A1326)),ROW()-2&lt;Settings!$B$11),NA(),IF(COUNT(OFFSET(F1326,1-Settings!$B$11,0,Settings!$B$11,1))&lt;ROUNDUP(Settings!$B$11*Settings!$B$26,0),NA(),STDEV(OFFSET(F1326,1-Settings!$B$11,0,Settings!$B$11,1))*SQRT(Settings!$B$13)))</f>
        <v/>
      </c>
      <c r="I1326" s="20">
        <f>IF(OR(NOT(ISNUMBER($A1326)),ROW()-2&lt;Settings!$B$12),NA(),IF(COUNT(OFFSET(F1326,1-Settings!$B$12,0,Settings!$B$12,1))&lt;ROUNDUP(Settings!$B$12*Settings!$B$26,0),NA(),STDEV(OFFSET(F1326,1-Settings!$B$12,0,Settings!$B$12,1))*SQRT(Settings!$B$13)))</f>
        <v/>
      </c>
      <c r="J1326" s="20">
        <f>IF(OR(NOT(ISNUMBER($A1326)),ROW()-2&lt;Settings!$B$11),NA(),IF(COUNT(OFFSET(G1326,1-Settings!$B$11,0,Settings!$B$11,1))&lt;ROUNDUP(Settings!$B$11*Settings!$B$26,0),NA(),STDEV(OFFSET(G1326,1-Settings!$B$11,0,Settings!$B$11,1))*SQRT(Settings!$B$13)))</f>
        <v/>
      </c>
      <c r="K1326" s="20">
        <f>IF(OR(NOT(ISNUMBER($A1326)),ROW()-2&lt;Settings!$B$12),NA(),IF(COUNT(OFFSET(G1326,1-Settings!$B$12,0,Settings!$B$12,1))&lt;ROUNDUP(Settings!$B$12*Settings!$B$26,0),NA(),STDEV(OFFSET(G1326,1-Settings!$B$12,0,Settings!$B$12,1))*SQRT(Settings!$B$13)))</f>
        <v/>
      </c>
      <c r="L1326" s="20">
        <f>IF(AND(ISNUMBER(D1326),ISNUMBER(H1326)),D1326-H1326,NA())</f>
        <v/>
      </c>
      <c r="M1326" s="20">
        <f>IF(AND(ISNUMBER(E1326),ISNUMBER(K1326)),E1326-K1326,NA())</f>
        <v/>
      </c>
      <c r="N1326" s="20">
        <f>IF(NOT(ISNUMBER($A1326)),NA(),IF(COUNT(OFFSET(G1326,1,0,Settings!$B$12,1))&lt;ROUNDUP(Settings!$B$12*Settings!$B$26,0),NA(),STDEV(OFFSET(G1326,1,0,Settings!$B$12,1))*SQRT(Settings!$B$13)))</f>
        <v/>
      </c>
      <c r="O1326" s="20">
        <f>IF(AND(ISNUMBER(E1326),ISNUMBER(N1326)),E1326-N1326,NA())</f>
        <v/>
      </c>
      <c r="P1326" s="19">
        <f>IF(NOT(ISNUMBER($A1326)),NA(),IF(OR($A1326&lt;MIN(KW_TP!$A$2:$A$2501),$A1326&gt;MAX(KW_TP!$A$2:$A$2501)),NA(),INDEX(KW_TP!$C$2:$C$2501,MATCH($A1326,KW_TP!$A$2:$A$2501,1))))</f>
        <v/>
      </c>
      <c r="Q1326" s="18">
        <f>IF(NOT(ISNUMBER($A1326)),NA(),IFERROR(1*INDEX(BBG_Data!$J$2:$J$4000,MATCH($A1326,BBG_Data!$I$2:$I$4000,0)),NA()))</f>
        <v/>
      </c>
      <c r="R1326" s="18">
        <f>IF(NOT(ISNUMBER($A1326)),NA(),IFERROR(1*INDEX(BBG_Data!$L$2:$L$4000,MATCH($A1326,BBG_Data!$K$2:$K$4000,0)),NA()))</f>
        <v/>
      </c>
      <c r="S1326" s="20">
        <f>IF(AND(ISNUMBER(B1326),ISNUMBER(Q1326),ISNUMBER(R1326)),(B1326-Q1326-R1326)*100,NA())</f>
        <v/>
      </c>
      <c r="T1326" s="20">
        <f>IF(AND(ISNUMBER(B1326),Settings!$B$17&gt;0),IF(ISNUMBER(INDEX($B:$B,Settings!$B$17)),(B1326-INDEX($B:$B,Settings!$B$17))*100,NA()),NA())</f>
        <v/>
      </c>
      <c r="U1326" s="20">
        <f>IF(AND(ISNUMBER(Q1326),Settings!$B$17&gt;0),IF(ISNUMBER(INDEX($Q:$Q,Settings!$B$17)),(Q1326-INDEX($Q:$Q,Settings!$B$17))*100,NA()),NA())</f>
        <v/>
      </c>
      <c r="V1326" s="20">
        <f>IF(AND(ISNUMBER(R1326),Settings!$B$17&gt;0),IF(ISNUMBER(INDEX($R:$R,Settings!$B$17)),(R1326-INDEX($R:$R,Settings!$B$17))*100,NA()),NA())</f>
        <v/>
      </c>
      <c r="W1326" s="20">
        <f>IF(AND(ISNUMBER(P1326),Settings!$B$17&gt;0),IF(ISNUMBER(INDEX($P:$P,Settings!$B$17)),P1326-INDEX($P:$P,Settings!$B$17),NA()),NA())</f>
        <v/>
      </c>
      <c r="X1326" s="19">
        <f>IF(NOT(ISNUMBER($A1326)),NA(),IF(OR($A1326&lt;MIN(DKW_10Y!$A$2:$A$2918),$A1326&gt;MAX(DKW_10Y!$A$2:$A$2918),Settings!$B$16&lt;MIN(DKW_10Y!$A$2:$A$2918)),NA(),(INDEX(DKW_10Y!$B$2:$B$2918,MATCH($A1326,DKW_10Y!$A$2:$A$2918,1))-INDEX(DKW_10Y!$B$2:$B$2918,MATCH(Settings!$B$16,DKW_10Y!$A$2:$A$2918,1)))*100))</f>
        <v/>
      </c>
      <c r="Y1326" s="19">
        <f>IF(NOT(ISNUMBER($A1326)),NA(),IF(OR($A1326&lt;MIN(DKW_10Y!$A$2:$A$2918),$A1326&gt;MAX(DKW_10Y!$A$2:$A$2918),Settings!$B$16&lt;MIN(DKW_10Y!$A$2:$A$2918)),NA(),(INDEX(DKW_10Y!$C$2:$C$2918,MATCH($A1326,DKW_10Y!$A$2:$A$2918,1))-INDEX(DKW_10Y!$C$2:$C$2918,MATCH(Settings!$B$16,DKW_10Y!$A$2:$A$2918,1)))*100))</f>
        <v/>
      </c>
      <c r="Z1326" s="19">
        <f>IF(NOT(ISNUMBER($A1326)),NA(),IF(OR($A1326&lt;MIN(DKW_10Y!$A$2:$A$2918),$A1326&gt;MAX(DKW_10Y!$A$2:$A$2918),Settings!$B$16&lt;MIN(DKW_10Y!$A$2:$A$2918)),NA(),(INDEX(DKW_10Y!$D$2:$D$2918,MATCH($A1326,DKW_10Y!$A$2:$A$2918,1))-INDEX(DKW_10Y!$D$2:$D$2918,MATCH(Settings!$B$16,DKW_10Y!$A$2:$A$2918,1)))*100))</f>
        <v/>
      </c>
      <c r="AA1326" s="19">
        <f>IF(NOT(ISNUMBER($A1326)),NA(),IF(OR($A1326&lt;MIN(DKW_10Y!$A$2:$A$2918),$A1326&gt;MAX(DKW_10Y!$A$2:$A$2918),Settings!$B$16&lt;MIN(DKW_10Y!$A$2:$A$2918)),NA(),(INDEX(DKW_10Y!$E$2:$E$2918,MATCH($A1326,DKW_10Y!$A$2:$A$2918,1))-INDEX(DKW_10Y!$E$2:$E$2918,MATCH(Settings!$B$16,DKW_10Y!$A$2:$A$2918,1)))*100))</f>
        <v/>
      </c>
      <c r="AB1326" s="19">
        <f>IF(NOT(ISNUMBER($A1326)),NA(),IF(OR($A1326&lt;MIN(DKW_10Y!$A$2:$A$2918),$A1326&gt;MAX(DKW_10Y!$A$2:$A$2918),Settings!$B$16&lt;MIN(DKW_10Y!$A$2:$A$2918)),NA(),(INDEX(DKW_10Y!$H$2:$H$2918,MATCH($A1326,DKW_10Y!$A$2:$A$2918,1))-INDEX(DKW_10Y!$H$2:$H$2918,MATCH(Settings!$B$16,DKW_10Y!$A$2:$A$2918,1)))*100))</f>
        <v/>
      </c>
      <c r="AC1326" s="18">
        <f>IF(NOT(ISNUMBER($A1326)),NA(),IFERROR(1*INDEX(BBG_Data!$N$2:$N$4000,MATCH($A1326,BBG_Data!$M$2:$M$4000,0)),NA()))</f>
        <v/>
      </c>
      <c r="AD1326" s="18">
        <f>IF(NOT(ISNUMBER($A1326)),NA(),IFERROR(1*INDEX(BBG_Data!$P$2:$P$4000,MATCH($A1326,BBG_Data!$O$2:$O$4000,0)),NA()))</f>
        <v/>
      </c>
      <c r="AE1326" s="18">
        <f>IF(NOT(ISNUMBER($A1326)),NA(),IFERROR(1*INDEX(BBG_Data!$R$2:$R$4000,MATCH($A1326,BBG_Data!$Q$2:$Q$4000,0)),NA()))</f>
        <v/>
      </c>
      <c r="AF1326" s="20">
        <f>IF(AND(ISNUMBER(B1326),ISNUMBER(AC1326)),(B1326-AC1326)*100,NA())</f>
        <v/>
      </c>
      <c r="AG1326" s="20">
        <f>IF(AND(ISNUMBER(AE1326),ISNUMBER(AD1326)),(AE1326-AD1326)*100,NA())</f>
        <v/>
      </c>
      <c r="AH1326" s="19">
        <f>IF(NOT(ISNUMBER($A1326)),NA(),IFERROR(INDEX(BBG_Data!$T$2:$T$4000,MATCH($A1326,BBG_Data!$S$2:$S$4000,0))*Settings!$B$25,NA()))</f>
        <v/>
      </c>
      <c r="AI1326" s="19">
        <f>IF(NOT(ISNUMBER($A1326)),NA(),IFERROR(INDEX(BBG_Data!$V$2:$V$4000,MATCH($A1326,BBG_Data!$U$2:$U$4000,0))*Settings!$B$25,NA()))</f>
        <v/>
      </c>
      <c r="AJ1326" s="19">
        <f>IF(NOT(ISNUMBER($A1326)),NA(),IFERROR(1*INDEX(BBG_Data!$X$2:$X$4000,MATCH($A1326,BBG_Data!$W$2:$W$4000,0)),NA()))</f>
        <v/>
      </c>
      <c r="AK1326" s="19">
        <f>IF(NOT(ISNUMBER($A1326)),NA(),IFERROR(1*INDEX(BBG_Data!$Z$2:$Z$4000,MATCH($A1326,BBG_Data!$Y$2:$Y$4000,0)),NA()))</f>
        <v/>
      </c>
    </row>
    <row r="1327">
      <c r="A1327" s="17">
        <f>IF(ISNUMBER(BBG_Data!A1327),BBG_Data!A1327,"")</f>
        <v/>
      </c>
      <c r="B1327" s="18">
        <f>IF(AND(ISNUMBER($A1327),ISNUMBER(BBG_Data!B1327)),BBG_Data!B1327,NA())</f>
        <v/>
      </c>
      <c r="C1327" s="18">
        <f>IF(NOT(ISNUMBER($A1327)),NA(),IFERROR(1*INDEX(BBG_Data!$D$2:$D$4000,MATCH($A1327,BBG_Data!$C$2:$C$4000,0)),NA()))</f>
        <v/>
      </c>
      <c r="D1327" s="19">
        <f>IF(NOT(ISNUMBER($A1327)),NA(),IFERROR(1*INDEX(BBG_Data!$F$2:$F$4000,MATCH($A1327,BBG_Data!$E$2:$E$4000,0)),NA()))</f>
        <v/>
      </c>
      <c r="E1327" s="19">
        <f>IF(NOT(ISNUMBER($A1327)),NA(),IFERROR(1*INDEX(BBG_Data!$H$2:$H$4000,MATCH($A1327,BBG_Data!$G$2:$G$4000,0)),NA()))</f>
        <v/>
      </c>
      <c r="F1327" s="20">
        <f>IF(AND(ISNUMBER(B1327),ISNUMBER(B1326)),IF(B1327=B1326,"",(B1327-B1326)*100),"")</f>
        <v/>
      </c>
      <c r="G1327" s="20">
        <f>IF(AND(ISNUMBER(C1327),ISNUMBER(C1326)),IF(C1327=C1326,"",(C1327-C1326)*100),"")</f>
        <v/>
      </c>
      <c r="H1327" s="20">
        <f>IF(OR(NOT(ISNUMBER($A1327)),ROW()-2&lt;Settings!$B$11),NA(),IF(COUNT(OFFSET(F1327,1-Settings!$B$11,0,Settings!$B$11,1))&lt;ROUNDUP(Settings!$B$11*Settings!$B$26,0),NA(),STDEV(OFFSET(F1327,1-Settings!$B$11,0,Settings!$B$11,1))*SQRT(Settings!$B$13)))</f>
        <v/>
      </c>
      <c r="I1327" s="20">
        <f>IF(OR(NOT(ISNUMBER($A1327)),ROW()-2&lt;Settings!$B$12),NA(),IF(COUNT(OFFSET(F1327,1-Settings!$B$12,0,Settings!$B$12,1))&lt;ROUNDUP(Settings!$B$12*Settings!$B$26,0),NA(),STDEV(OFFSET(F1327,1-Settings!$B$12,0,Settings!$B$12,1))*SQRT(Settings!$B$13)))</f>
        <v/>
      </c>
      <c r="J1327" s="20">
        <f>IF(OR(NOT(ISNUMBER($A1327)),ROW()-2&lt;Settings!$B$11),NA(),IF(COUNT(OFFSET(G1327,1-Settings!$B$11,0,Settings!$B$11,1))&lt;ROUNDUP(Settings!$B$11*Settings!$B$26,0),NA(),STDEV(OFFSET(G1327,1-Settings!$B$11,0,Settings!$B$11,1))*SQRT(Settings!$B$13)))</f>
        <v/>
      </c>
      <c r="K1327" s="20">
        <f>IF(OR(NOT(ISNUMBER($A1327)),ROW()-2&lt;Settings!$B$12),NA(),IF(COUNT(OFFSET(G1327,1-Settings!$B$12,0,Settings!$B$12,1))&lt;ROUNDUP(Settings!$B$12*Settings!$B$26,0),NA(),STDEV(OFFSET(G1327,1-Settings!$B$12,0,Settings!$B$12,1))*SQRT(Settings!$B$13)))</f>
        <v/>
      </c>
      <c r="L1327" s="20">
        <f>IF(AND(ISNUMBER(D1327),ISNUMBER(H1327)),D1327-H1327,NA())</f>
        <v/>
      </c>
      <c r="M1327" s="20">
        <f>IF(AND(ISNUMBER(E1327),ISNUMBER(K1327)),E1327-K1327,NA())</f>
        <v/>
      </c>
      <c r="N1327" s="20">
        <f>IF(NOT(ISNUMBER($A1327)),NA(),IF(COUNT(OFFSET(G1327,1,0,Settings!$B$12,1))&lt;ROUNDUP(Settings!$B$12*Settings!$B$26,0),NA(),STDEV(OFFSET(G1327,1,0,Settings!$B$12,1))*SQRT(Settings!$B$13)))</f>
        <v/>
      </c>
      <c r="O1327" s="20">
        <f>IF(AND(ISNUMBER(E1327),ISNUMBER(N1327)),E1327-N1327,NA())</f>
        <v/>
      </c>
      <c r="P1327" s="19">
        <f>IF(NOT(ISNUMBER($A1327)),NA(),IF(OR($A1327&lt;MIN(KW_TP!$A$2:$A$2501),$A1327&gt;MAX(KW_TP!$A$2:$A$2501)),NA(),INDEX(KW_TP!$C$2:$C$2501,MATCH($A1327,KW_TP!$A$2:$A$2501,1))))</f>
        <v/>
      </c>
      <c r="Q1327" s="18">
        <f>IF(NOT(ISNUMBER($A1327)),NA(),IFERROR(1*INDEX(BBG_Data!$J$2:$J$4000,MATCH($A1327,BBG_Data!$I$2:$I$4000,0)),NA()))</f>
        <v/>
      </c>
      <c r="R1327" s="18">
        <f>IF(NOT(ISNUMBER($A1327)),NA(),IFERROR(1*INDEX(BBG_Data!$L$2:$L$4000,MATCH($A1327,BBG_Data!$K$2:$K$4000,0)),NA()))</f>
        <v/>
      </c>
      <c r="S1327" s="20">
        <f>IF(AND(ISNUMBER(B1327),ISNUMBER(Q1327),ISNUMBER(R1327)),(B1327-Q1327-R1327)*100,NA())</f>
        <v/>
      </c>
      <c r="T1327" s="20">
        <f>IF(AND(ISNUMBER(B1327),Settings!$B$17&gt;0),IF(ISNUMBER(INDEX($B:$B,Settings!$B$17)),(B1327-INDEX($B:$B,Settings!$B$17))*100,NA()),NA())</f>
        <v/>
      </c>
      <c r="U1327" s="20">
        <f>IF(AND(ISNUMBER(Q1327),Settings!$B$17&gt;0),IF(ISNUMBER(INDEX($Q:$Q,Settings!$B$17)),(Q1327-INDEX($Q:$Q,Settings!$B$17))*100,NA()),NA())</f>
        <v/>
      </c>
      <c r="V1327" s="20">
        <f>IF(AND(ISNUMBER(R1327),Settings!$B$17&gt;0),IF(ISNUMBER(INDEX($R:$R,Settings!$B$17)),(R1327-INDEX($R:$R,Settings!$B$17))*100,NA()),NA())</f>
        <v/>
      </c>
      <c r="W1327" s="20">
        <f>IF(AND(ISNUMBER(P1327),Settings!$B$17&gt;0),IF(ISNUMBER(INDEX($P:$P,Settings!$B$17)),P1327-INDEX($P:$P,Settings!$B$17),NA()),NA())</f>
        <v/>
      </c>
      <c r="X1327" s="19">
        <f>IF(NOT(ISNUMBER($A1327)),NA(),IF(OR($A1327&lt;MIN(DKW_10Y!$A$2:$A$2918),$A1327&gt;MAX(DKW_10Y!$A$2:$A$2918),Settings!$B$16&lt;MIN(DKW_10Y!$A$2:$A$2918)),NA(),(INDEX(DKW_10Y!$B$2:$B$2918,MATCH($A1327,DKW_10Y!$A$2:$A$2918,1))-INDEX(DKW_10Y!$B$2:$B$2918,MATCH(Settings!$B$16,DKW_10Y!$A$2:$A$2918,1)))*100))</f>
        <v/>
      </c>
      <c r="Y1327" s="19">
        <f>IF(NOT(ISNUMBER($A1327)),NA(),IF(OR($A1327&lt;MIN(DKW_10Y!$A$2:$A$2918),$A1327&gt;MAX(DKW_10Y!$A$2:$A$2918),Settings!$B$16&lt;MIN(DKW_10Y!$A$2:$A$2918)),NA(),(INDEX(DKW_10Y!$C$2:$C$2918,MATCH($A1327,DKW_10Y!$A$2:$A$2918,1))-INDEX(DKW_10Y!$C$2:$C$2918,MATCH(Settings!$B$16,DKW_10Y!$A$2:$A$2918,1)))*100))</f>
        <v/>
      </c>
      <c r="Z1327" s="19">
        <f>IF(NOT(ISNUMBER($A1327)),NA(),IF(OR($A1327&lt;MIN(DKW_10Y!$A$2:$A$2918),$A1327&gt;MAX(DKW_10Y!$A$2:$A$2918),Settings!$B$16&lt;MIN(DKW_10Y!$A$2:$A$2918)),NA(),(INDEX(DKW_10Y!$D$2:$D$2918,MATCH($A1327,DKW_10Y!$A$2:$A$2918,1))-INDEX(DKW_10Y!$D$2:$D$2918,MATCH(Settings!$B$16,DKW_10Y!$A$2:$A$2918,1)))*100))</f>
        <v/>
      </c>
      <c r="AA1327" s="19">
        <f>IF(NOT(ISNUMBER($A1327)),NA(),IF(OR($A1327&lt;MIN(DKW_10Y!$A$2:$A$2918),$A1327&gt;MAX(DKW_10Y!$A$2:$A$2918),Settings!$B$16&lt;MIN(DKW_10Y!$A$2:$A$2918)),NA(),(INDEX(DKW_10Y!$E$2:$E$2918,MATCH($A1327,DKW_10Y!$A$2:$A$2918,1))-INDEX(DKW_10Y!$E$2:$E$2918,MATCH(Settings!$B$16,DKW_10Y!$A$2:$A$2918,1)))*100))</f>
        <v/>
      </c>
      <c r="AB1327" s="19">
        <f>IF(NOT(ISNUMBER($A1327)),NA(),IF(OR($A1327&lt;MIN(DKW_10Y!$A$2:$A$2918),$A1327&gt;MAX(DKW_10Y!$A$2:$A$2918),Settings!$B$16&lt;MIN(DKW_10Y!$A$2:$A$2918)),NA(),(INDEX(DKW_10Y!$H$2:$H$2918,MATCH($A1327,DKW_10Y!$A$2:$A$2918,1))-INDEX(DKW_10Y!$H$2:$H$2918,MATCH(Settings!$B$16,DKW_10Y!$A$2:$A$2918,1)))*100))</f>
        <v/>
      </c>
      <c r="AC1327" s="18">
        <f>IF(NOT(ISNUMBER($A1327)),NA(),IFERROR(1*INDEX(BBG_Data!$N$2:$N$4000,MATCH($A1327,BBG_Data!$M$2:$M$4000,0)),NA()))</f>
        <v/>
      </c>
      <c r="AD1327" s="18">
        <f>IF(NOT(ISNUMBER($A1327)),NA(),IFERROR(1*INDEX(BBG_Data!$P$2:$P$4000,MATCH($A1327,BBG_Data!$O$2:$O$4000,0)),NA()))</f>
        <v/>
      </c>
      <c r="AE1327" s="18">
        <f>IF(NOT(ISNUMBER($A1327)),NA(),IFERROR(1*INDEX(BBG_Data!$R$2:$R$4000,MATCH($A1327,BBG_Data!$Q$2:$Q$4000,0)),NA()))</f>
        <v/>
      </c>
      <c r="AF1327" s="20">
        <f>IF(AND(ISNUMBER(B1327),ISNUMBER(AC1327)),(B1327-AC1327)*100,NA())</f>
        <v/>
      </c>
      <c r="AG1327" s="20">
        <f>IF(AND(ISNUMBER(AE1327),ISNUMBER(AD1327)),(AE1327-AD1327)*100,NA())</f>
        <v/>
      </c>
      <c r="AH1327" s="19">
        <f>IF(NOT(ISNUMBER($A1327)),NA(),IFERROR(INDEX(BBG_Data!$T$2:$T$4000,MATCH($A1327,BBG_Data!$S$2:$S$4000,0))*Settings!$B$25,NA()))</f>
        <v/>
      </c>
      <c r="AI1327" s="19">
        <f>IF(NOT(ISNUMBER($A1327)),NA(),IFERROR(INDEX(BBG_Data!$V$2:$V$4000,MATCH($A1327,BBG_Data!$U$2:$U$4000,0))*Settings!$B$25,NA()))</f>
        <v/>
      </c>
      <c r="AJ1327" s="19">
        <f>IF(NOT(ISNUMBER($A1327)),NA(),IFERROR(1*INDEX(BBG_Data!$X$2:$X$4000,MATCH($A1327,BBG_Data!$W$2:$W$4000,0)),NA()))</f>
        <v/>
      </c>
      <c r="AK1327" s="19">
        <f>IF(NOT(ISNUMBER($A1327)),NA(),IFERROR(1*INDEX(BBG_Data!$Z$2:$Z$4000,MATCH($A1327,BBG_Data!$Y$2:$Y$4000,0)),NA()))</f>
        <v/>
      </c>
    </row>
    <row r="1328">
      <c r="A1328" s="17">
        <f>IF(ISNUMBER(BBG_Data!A1328),BBG_Data!A1328,"")</f>
        <v/>
      </c>
      <c r="B1328" s="18">
        <f>IF(AND(ISNUMBER($A1328),ISNUMBER(BBG_Data!B1328)),BBG_Data!B1328,NA())</f>
        <v/>
      </c>
      <c r="C1328" s="18">
        <f>IF(NOT(ISNUMBER($A1328)),NA(),IFERROR(1*INDEX(BBG_Data!$D$2:$D$4000,MATCH($A1328,BBG_Data!$C$2:$C$4000,0)),NA()))</f>
        <v/>
      </c>
      <c r="D1328" s="19">
        <f>IF(NOT(ISNUMBER($A1328)),NA(),IFERROR(1*INDEX(BBG_Data!$F$2:$F$4000,MATCH($A1328,BBG_Data!$E$2:$E$4000,0)),NA()))</f>
        <v/>
      </c>
      <c r="E1328" s="19">
        <f>IF(NOT(ISNUMBER($A1328)),NA(),IFERROR(1*INDEX(BBG_Data!$H$2:$H$4000,MATCH($A1328,BBG_Data!$G$2:$G$4000,0)),NA()))</f>
        <v/>
      </c>
      <c r="F1328" s="20">
        <f>IF(AND(ISNUMBER(B1328),ISNUMBER(B1327)),IF(B1328=B1327,"",(B1328-B1327)*100),"")</f>
        <v/>
      </c>
      <c r="G1328" s="20">
        <f>IF(AND(ISNUMBER(C1328),ISNUMBER(C1327)),IF(C1328=C1327,"",(C1328-C1327)*100),"")</f>
        <v/>
      </c>
      <c r="H1328" s="20">
        <f>IF(OR(NOT(ISNUMBER($A1328)),ROW()-2&lt;Settings!$B$11),NA(),IF(COUNT(OFFSET(F1328,1-Settings!$B$11,0,Settings!$B$11,1))&lt;ROUNDUP(Settings!$B$11*Settings!$B$26,0),NA(),STDEV(OFFSET(F1328,1-Settings!$B$11,0,Settings!$B$11,1))*SQRT(Settings!$B$13)))</f>
        <v/>
      </c>
      <c r="I1328" s="20">
        <f>IF(OR(NOT(ISNUMBER($A1328)),ROW()-2&lt;Settings!$B$12),NA(),IF(COUNT(OFFSET(F1328,1-Settings!$B$12,0,Settings!$B$12,1))&lt;ROUNDUP(Settings!$B$12*Settings!$B$26,0),NA(),STDEV(OFFSET(F1328,1-Settings!$B$12,0,Settings!$B$12,1))*SQRT(Settings!$B$13)))</f>
        <v/>
      </c>
      <c r="J1328" s="20">
        <f>IF(OR(NOT(ISNUMBER($A1328)),ROW()-2&lt;Settings!$B$11),NA(),IF(COUNT(OFFSET(G1328,1-Settings!$B$11,0,Settings!$B$11,1))&lt;ROUNDUP(Settings!$B$11*Settings!$B$26,0),NA(),STDEV(OFFSET(G1328,1-Settings!$B$11,0,Settings!$B$11,1))*SQRT(Settings!$B$13)))</f>
        <v/>
      </c>
      <c r="K1328" s="20">
        <f>IF(OR(NOT(ISNUMBER($A1328)),ROW()-2&lt;Settings!$B$12),NA(),IF(COUNT(OFFSET(G1328,1-Settings!$B$12,0,Settings!$B$12,1))&lt;ROUNDUP(Settings!$B$12*Settings!$B$26,0),NA(),STDEV(OFFSET(G1328,1-Settings!$B$12,0,Settings!$B$12,1))*SQRT(Settings!$B$13)))</f>
        <v/>
      </c>
      <c r="L1328" s="20">
        <f>IF(AND(ISNUMBER(D1328),ISNUMBER(H1328)),D1328-H1328,NA())</f>
        <v/>
      </c>
      <c r="M1328" s="20">
        <f>IF(AND(ISNUMBER(E1328),ISNUMBER(K1328)),E1328-K1328,NA())</f>
        <v/>
      </c>
      <c r="N1328" s="20">
        <f>IF(NOT(ISNUMBER($A1328)),NA(),IF(COUNT(OFFSET(G1328,1,0,Settings!$B$12,1))&lt;ROUNDUP(Settings!$B$12*Settings!$B$26,0),NA(),STDEV(OFFSET(G1328,1,0,Settings!$B$12,1))*SQRT(Settings!$B$13)))</f>
        <v/>
      </c>
      <c r="O1328" s="20">
        <f>IF(AND(ISNUMBER(E1328),ISNUMBER(N1328)),E1328-N1328,NA())</f>
        <v/>
      </c>
      <c r="P1328" s="19">
        <f>IF(NOT(ISNUMBER($A1328)),NA(),IF(OR($A1328&lt;MIN(KW_TP!$A$2:$A$2501),$A1328&gt;MAX(KW_TP!$A$2:$A$2501)),NA(),INDEX(KW_TP!$C$2:$C$2501,MATCH($A1328,KW_TP!$A$2:$A$2501,1))))</f>
        <v/>
      </c>
      <c r="Q1328" s="18">
        <f>IF(NOT(ISNUMBER($A1328)),NA(),IFERROR(1*INDEX(BBG_Data!$J$2:$J$4000,MATCH($A1328,BBG_Data!$I$2:$I$4000,0)),NA()))</f>
        <v/>
      </c>
      <c r="R1328" s="18">
        <f>IF(NOT(ISNUMBER($A1328)),NA(),IFERROR(1*INDEX(BBG_Data!$L$2:$L$4000,MATCH($A1328,BBG_Data!$K$2:$K$4000,0)),NA()))</f>
        <v/>
      </c>
      <c r="S1328" s="20">
        <f>IF(AND(ISNUMBER(B1328),ISNUMBER(Q1328),ISNUMBER(R1328)),(B1328-Q1328-R1328)*100,NA())</f>
        <v/>
      </c>
      <c r="T1328" s="20">
        <f>IF(AND(ISNUMBER(B1328),Settings!$B$17&gt;0),IF(ISNUMBER(INDEX($B:$B,Settings!$B$17)),(B1328-INDEX($B:$B,Settings!$B$17))*100,NA()),NA())</f>
        <v/>
      </c>
      <c r="U1328" s="20">
        <f>IF(AND(ISNUMBER(Q1328),Settings!$B$17&gt;0),IF(ISNUMBER(INDEX($Q:$Q,Settings!$B$17)),(Q1328-INDEX($Q:$Q,Settings!$B$17))*100,NA()),NA())</f>
        <v/>
      </c>
      <c r="V1328" s="20">
        <f>IF(AND(ISNUMBER(R1328),Settings!$B$17&gt;0),IF(ISNUMBER(INDEX($R:$R,Settings!$B$17)),(R1328-INDEX($R:$R,Settings!$B$17))*100,NA()),NA())</f>
        <v/>
      </c>
      <c r="W1328" s="20">
        <f>IF(AND(ISNUMBER(P1328),Settings!$B$17&gt;0),IF(ISNUMBER(INDEX($P:$P,Settings!$B$17)),P1328-INDEX($P:$P,Settings!$B$17),NA()),NA())</f>
        <v/>
      </c>
      <c r="X1328" s="19">
        <f>IF(NOT(ISNUMBER($A1328)),NA(),IF(OR($A1328&lt;MIN(DKW_10Y!$A$2:$A$2918),$A1328&gt;MAX(DKW_10Y!$A$2:$A$2918),Settings!$B$16&lt;MIN(DKW_10Y!$A$2:$A$2918)),NA(),(INDEX(DKW_10Y!$B$2:$B$2918,MATCH($A1328,DKW_10Y!$A$2:$A$2918,1))-INDEX(DKW_10Y!$B$2:$B$2918,MATCH(Settings!$B$16,DKW_10Y!$A$2:$A$2918,1)))*100))</f>
        <v/>
      </c>
      <c r="Y1328" s="19">
        <f>IF(NOT(ISNUMBER($A1328)),NA(),IF(OR($A1328&lt;MIN(DKW_10Y!$A$2:$A$2918),$A1328&gt;MAX(DKW_10Y!$A$2:$A$2918),Settings!$B$16&lt;MIN(DKW_10Y!$A$2:$A$2918)),NA(),(INDEX(DKW_10Y!$C$2:$C$2918,MATCH($A1328,DKW_10Y!$A$2:$A$2918,1))-INDEX(DKW_10Y!$C$2:$C$2918,MATCH(Settings!$B$16,DKW_10Y!$A$2:$A$2918,1)))*100))</f>
        <v/>
      </c>
      <c r="Z1328" s="19">
        <f>IF(NOT(ISNUMBER($A1328)),NA(),IF(OR($A1328&lt;MIN(DKW_10Y!$A$2:$A$2918),$A1328&gt;MAX(DKW_10Y!$A$2:$A$2918),Settings!$B$16&lt;MIN(DKW_10Y!$A$2:$A$2918)),NA(),(INDEX(DKW_10Y!$D$2:$D$2918,MATCH($A1328,DKW_10Y!$A$2:$A$2918,1))-INDEX(DKW_10Y!$D$2:$D$2918,MATCH(Settings!$B$16,DKW_10Y!$A$2:$A$2918,1)))*100))</f>
        <v/>
      </c>
      <c r="AA1328" s="19">
        <f>IF(NOT(ISNUMBER($A1328)),NA(),IF(OR($A1328&lt;MIN(DKW_10Y!$A$2:$A$2918),$A1328&gt;MAX(DKW_10Y!$A$2:$A$2918),Settings!$B$16&lt;MIN(DKW_10Y!$A$2:$A$2918)),NA(),(INDEX(DKW_10Y!$E$2:$E$2918,MATCH($A1328,DKW_10Y!$A$2:$A$2918,1))-INDEX(DKW_10Y!$E$2:$E$2918,MATCH(Settings!$B$16,DKW_10Y!$A$2:$A$2918,1)))*100))</f>
        <v/>
      </c>
      <c r="AB1328" s="19">
        <f>IF(NOT(ISNUMBER($A1328)),NA(),IF(OR($A1328&lt;MIN(DKW_10Y!$A$2:$A$2918),$A1328&gt;MAX(DKW_10Y!$A$2:$A$2918),Settings!$B$16&lt;MIN(DKW_10Y!$A$2:$A$2918)),NA(),(INDEX(DKW_10Y!$H$2:$H$2918,MATCH($A1328,DKW_10Y!$A$2:$A$2918,1))-INDEX(DKW_10Y!$H$2:$H$2918,MATCH(Settings!$B$16,DKW_10Y!$A$2:$A$2918,1)))*100))</f>
        <v/>
      </c>
      <c r="AC1328" s="18">
        <f>IF(NOT(ISNUMBER($A1328)),NA(),IFERROR(1*INDEX(BBG_Data!$N$2:$N$4000,MATCH($A1328,BBG_Data!$M$2:$M$4000,0)),NA()))</f>
        <v/>
      </c>
      <c r="AD1328" s="18">
        <f>IF(NOT(ISNUMBER($A1328)),NA(),IFERROR(1*INDEX(BBG_Data!$P$2:$P$4000,MATCH($A1328,BBG_Data!$O$2:$O$4000,0)),NA()))</f>
        <v/>
      </c>
      <c r="AE1328" s="18">
        <f>IF(NOT(ISNUMBER($A1328)),NA(),IFERROR(1*INDEX(BBG_Data!$R$2:$R$4000,MATCH($A1328,BBG_Data!$Q$2:$Q$4000,0)),NA()))</f>
        <v/>
      </c>
      <c r="AF1328" s="20">
        <f>IF(AND(ISNUMBER(B1328),ISNUMBER(AC1328)),(B1328-AC1328)*100,NA())</f>
        <v/>
      </c>
      <c r="AG1328" s="20">
        <f>IF(AND(ISNUMBER(AE1328),ISNUMBER(AD1328)),(AE1328-AD1328)*100,NA())</f>
        <v/>
      </c>
      <c r="AH1328" s="19">
        <f>IF(NOT(ISNUMBER($A1328)),NA(),IFERROR(INDEX(BBG_Data!$T$2:$T$4000,MATCH($A1328,BBG_Data!$S$2:$S$4000,0))*Settings!$B$25,NA()))</f>
        <v/>
      </c>
      <c r="AI1328" s="19">
        <f>IF(NOT(ISNUMBER($A1328)),NA(),IFERROR(INDEX(BBG_Data!$V$2:$V$4000,MATCH($A1328,BBG_Data!$U$2:$U$4000,0))*Settings!$B$25,NA()))</f>
        <v/>
      </c>
      <c r="AJ1328" s="19">
        <f>IF(NOT(ISNUMBER($A1328)),NA(),IFERROR(1*INDEX(BBG_Data!$X$2:$X$4000,MATCH($A1328,BBG_Data!$W$2:$W$4000,0)),NA()))</f>
        <v/>
      </c>
      <c r="AK1328" s="19">
        <f>IF(NOT(ISNUMBER($A1328)),NA(),IFERROR(1*INDEX(BBG_Data!$Z$2:$Z$4000,MATCH($A1328,BBG_Data!$Y$2:$Y$4000,0)),NA()))</f>
        <v/>
      </c>
    </row>
    <row r="1329">
      <c r="A1329" s="17">
        <f>IF(ISNUMBER(BBG_Data!A1329),BBG_Data!A1329,"")</f>
        <v/>
      </c>
      <c r="B1329" s="18">
        <f>IF(AND(ISNUMBER($A1329),ISNUMBER(BBG_Data!B1329)),BBG_Data!B1329,NA())</f>
        <v/>
      </c>
      <c r="C1329" s="18">
        <f>IF(NOT(ISNUMBER($A1329)),NA(),IFERROR(1*INDEX(BBG_Data!$D$2:$D$4000,MATCH($A1329,BBG_Data!$C$2:$C$4000,0)),NA()))</f>
        <v/>
      </c>
      <c r="D1329" s="19">
        <f>IF(NOT(ISNUMBER($A1329)),NA(),IFERROR(1*INDEX(BBG_Data!$F$2:$F$4000,MATCH($A1329,BBG_Data!$E$2:$E$4000,0)),NA()))</f>
        <v/>
      </c>
      <c r="E1329" s="19">
        <f>IF(NOT(ISNUMBER($A1329)),NA(),IFERROR(1*INDEX(BBG_Data!$H$2:$H$4000,MATCH($A1329,BBG_Data!$G$2:$G$4000,0)),NA()))</f>
        <v/>
      </c>
      <c r="F1329" s="20">
        <f>IF(AND(ISNUMBER(B1329),ISNUMBER(B1328)),IF(B1329=B1328,"",(B1329-B1328)*100),"")</f>
        <v/>
      </c>
      <c r="G1329" s="20">
        <f>IF(AND(ISNUMBER(C1329),ISNUMBER(C1328)),IF(C1329=C1328,"",(C1329-C1328)*100),"")</f>
        <v/>
      </c>
      <c r="H1329" s="20">
        <f>IF(OR(NOT(ISNUMBER($A1329)),ROW()-2&lt;Settings!$B$11),NA(),IF(COUNT(OFFSET(F1329,1-Settings!$B$11,0,Settings!$B$11,1))&lt;ROUNDUP(Settings!$B$11*Settings!$B$26,0),NA(),STDEV(OFFSET(F1329,1-Settings!$B$11,0,Settings!$B$11,1))*SQRT(Settings!$B$13)))</f>
        <v/>
      </c>
      <c r="I1329" s="20">
        <f>IF(OR(NOT(ISNUMBER($A1329)),ROW()-2&lt;Settings!$B$12),NA(),IF(COUNT(OFFSET(F1329,1-Settings!$B$12,0,Settings!$B$12,1))&lt;ROUNDUP(Settings!$B$12*Settings!$B$26,0),NA(),STDEV(OFFSET(F1329,1-Settings!$B$12,0,Settings!$B$12,1))*SQRT(Settings!$B$13)))</f>
        <v/>
      </c>
      <c r="J1329" s="20">
        <f>IF(OR(NOT(ISNUMBER($A1329)),ROW()-2&lt;Settings!$B$11),NA(),IF(COUNT(OFFSET(G1329,1-Settings!$B$11,0,Settings!$B$11,1))&lt;ROUNDUP(Settings!$B$11*Settings!$B$26,0),NA(),STDEV(OFFSET(G1329,1-Settings!$B$11,0,Settings!$B$11,1))*SQRT(Settings!$B$13)))</f>
        <v/>
      </c>
      <c r="K1329" s="20">
        <f>IF(OR(NOT(ISNUMBER($A1329)),ROW()-2&lt;Settings!$B$12),NA(),IF(COUNT(OFFSET(G1329,1-Settings!$B$12,0,Settings!$B$12,1))&lt;ROUNDUP(Settings!$B$12*Settings!$B$26,0),NA(),STDEV(OFFSET(G1329,1-Settings!$B$12,0,Settings!$B$12,1))*SQRT(Settings!$B$13)))</f>
        <v/>
      </c>
      <c r="L1329" s="20">
        <f>IF(AND(ISNUMBER(D1329),ISNUMBER(H1329)),D1329-H1329,NA())</f>
        <v/>
      </c>
      <c r="M1329" s="20">
        <f>IF(AND(ISNUMBER(E1329),ISNUMBER(K1329)),E1329-K1329,NA())</f>
        <v/>
      </c>
      <c r="N1329" s="20">
        <f>IF(NOT(ISNUMBER($A1329)),NA(),IF(COUNT(OFFSET(G1329,1,0,Settings!$B$12,1))&lt;ROUNDUP(Settings!$B$12*Settings!$B$26,0),NA(),STDEV(OFFSET(G1329,1,0,Settings!$B$12,1))*SQRT(Settings!$B$13)))</f>
        <v/>
      </c>
      <c r="O1329" s="20">
        <f>IF(AND(ISNUMBER(E1329),ISNUMBER(N1329)),E1329-N1329,NA())</f>
        <v/>
      </c>
      <c r="P1329" s="19">
        <f>IF(NOT(ISNUMBER($A1329)),NA(),IF(OR($A1329&lt;MIN(KW_TP!$A$2:$A$2501),$A1329&gt;MAX(KW_TP!$A$2:$A$2501)),NA(),INDEX(KW_TP!$C$2:$C$2501,MATCH($A1329,KW_TP!$A$2:$A$2501,1))))</f>
        <v/>
      </c>
      <c r="Q1329" s="18">
        <f>IF(NOT(ISNUMBER($A1329)),NA(),IFERROR(1*INDEX(BBG_Data!$J$2:$J$4000,MATCH($A1329,BBG_Data!$I$2:$I$4000,0)),NA()))</f>
        <v/>
      </c>
      <c r="R1329" s="18">
        <f>IF(NOT(ISNUMBER($A1329)),NA(),IFERROR(1*INDEX(BBG_Data!$L$2:$L$4000,MATCH($A1329,BBG_Data!$K$2:$K$4000,0)),NA()))</f>
        <v/>
      </c>
      <c r="S1329" s="20">
        <f>IF(AND(ISNUMBER(B1329),ISNUMBER(Q1329),ISNUMBER(R1329)),(B1329-Q1329-R1329)*100,NA())</f>
        <v/>
      </c>
      <c r="T1329" s="20">
        <f>IF(AND(ISNUMBER(B1329),Settings!$B$17&gt;0),IF(ISNUMBER(INDEX($B:$B,Settings!$B$17)),(B1329-INDEX($B:$B,Settings!$B$17))*100,NA()),NA())</f>
        <v/>
      </c>
      <c r="U1329" s="20">
        <f>IF(AND(ISNUMBER(Q1329),Settings!$B$17&gt;0),IF(ISNUMBER(INDEX($Q:$Q,Settings!$B$17)),(Q1329-INDEX($Q:$Q,Settings!$B$17))*100,NA()),NA())</f>
        <v/>
      </c>
      <c r="V1329" s="20">
        <f>IF(AND(ISNUMBER(R1329),Settings!$B$17&gt;0),IF(ISNUMBER(INDEX($R:$R,Settings!$B$17)),(R1329-INDEX($R:$R,Settings!$B$17))*100,NA()),NA())</f>
        <v/>
      </c>
      <c r="W1329" s="20">
        <f>IF(AND(ISNUMBER(P1329),Settings!$B$17&gt;0),IF(ISNUMBER(INDEX($P:$P,Settings!$B$17)),P1329-INDEX($P:$P,Settings!$B$17),NA()),NA())</f>
        <v/>
      </c>
      <c r="X1329" s="19">
        <f>IF(NOT(ISNUMBER($A1329)),NA(),IF(OR($A1329&lt;MIN(DKW_10Y!$A$2:$A$2918),$A1329&gt;MAX(DKW_10Y!$A$2:$A$2918),Settings!$B$16&lt;MIN(DKW_10Y!$A$2:$A$2918)),NA(),(INDEX(DKW_10Y!$B$2:$B$2918,MATCH($A1329,DKW_10Y!$A$2:$A$2918,1))-INDEX(DKW_10Y!$B$2:$B$2918,MATCH(Settings!$B$16,DKW_10Y!$A$2:$A$2918,1)))*100))</f>
        <v/>
      </c>
      <c r="Y1329" s="19">
        <f>IF(NOT(ISNUMBER($A1329)),NA(),IF(OR($A1329&lt;MIN(DKW_10Y!$A$2:$A$2918),$A1329&gt;MAX(DKW_10Y!$A$2:$A$2918),Settings!$B$16&lt;MIN(DKW_10Y!$A$2:$A$2918)),NA(),(INDEX(DKW_10Y!$C$2:$C$2918,MATCH($A1329,DKW_10Y!$A$2:$A$2918,1))-INDEX(DKW_10Y!$C$2:$C$2918,MATCH(Settings!$B$16,DKW_10Y!$A$2:$A$2918,1)))*100))</f>
        <v/>
      </c>
      <c r="Z1329" s="19">
        <f>IF(NOT(ISNUMBER($A1329)),NA(),IF(OR($A1329&lt;MIN(DKW_10Y!$A$2:$A$2918),$A1329&gt;MAX(DKW_10Y!$A$2:$A$2918),Settings!$B$16&lt;MIN(DKW_10Y!$A$2:$A$2918)),NA(),(INDEX(DKW_10Y!$D$2:$D$2918,MATCH($A1329,DKW_10Y!$A$2:$A$2918,1))-INDEX(DKW_10Y!$D$2:$D$2918,MATCH(Settings!$B$16,DKW_10Y!$A$2:$A$2918,1)))*100))</f>
        <v/>
      </c>
      <c r="AA1329" s="19">
        <f>IF(NOT(ISNUMBER($A1329)),NA(),IF(OR($A1329&lt;MIN(DKW_10Y!$A$2:$A$2918),$A1329&gt;MAX(DKW_10Y!$A$2:$A$2918),Settings!$B$16&lt;MIN(DKW_10Y!$A$2:$A$2918)),NA(),(INDEX(DKW_10Y!$E$2:$E$2918,MATCH($A1329,DKW_10Y!$A$2:$A$2918,1))-INDEX(DKW_10Y!$E$2:$E$2918,MATCH(Settings!$B$16,DKW_10Y!$A$2:$A$2918,1)))*100))</f>
        <v/>
      </c>
      <c r="AB1329" s="19">
        <f>IF(NOT(ISNUMBER($A1329)),NA(),IF(OR($A1329&lt;MIN(DKW_10Y!$A$2:$A$2918),$A1329&gt;MAX(DKW_10Y!$A$2:$A$2918),Settings!$B$16&lt;MIN(DKW_10Y!$A$2:$A$2918)),NA(),(INDEX(DKW_10Y!$H$2:$H$2918,MATCH($A1329,DKW_10Y!$A$2:$A$2918,1))-INDEX(DKW_10Y!$H$2:$H$2918,MATCH(Settings!$B$16,DKW_10Y!$A$2:$A$2918,1)))*100))</f>
        <v/>
      </c>
      <c r="AC1329" s="18">
        <f>IF(NOT(ISNUMBER($A1329)),NA(),IFERROR(1*INDEX(BBG_Data!$N$2:$N$4000,MATCH($A1329,BBG_Data!$M$2:$M$4000,0)),NA()))</f>
        <v/>
      </c>
      <c r="AD1329" s="18">
        <f>IF(NOT(ISNUMBER($A1329)),NA(),IFERROR(1*INDEX(BBG_Data!$P$2:$P$4000,MATCH($A1329,BBG_Data!$O$2:$O$4000,0)),NA()))</f>
        <v/>
      </c>
      <c r="AE1329" s="18">
        <f>IF(NOT(ISNUMBER($A1329)),NA(),IFERROR(1*INDEX(BBG_Data!$R$2:$R$4000,MATCH($A1329,BBG_Data!$Q$2:$Q$4000,0)),NA()))</f>
        <v/>
      </c>
      <c r="AF1329" s="20">
        <f>IF(AND(ISNUMBER(B1329),ISNUMBER(AC1329)),(B1329-AC1329)*100,NA())</f>
        <v/>
      </c>
      <c r="AG1329" s="20">
        <f>IF(AND(ISNUMBER(AE1329),ISNUMBER(AD1329)),(AE1329-AD1329)*100,NA())</f>
        <v/>
      </c>
      <c r="AH1329" s="19">
        <f>IF(NOT(ISNUMBER($A1329)),NA(),IFERROR(INDEX(BBG_Data!$T$2:$T$4000,MATCH($A1329,BBG_Data!$S$2:$S$4000,0))*Settings!$B$25,NA()))</f>
        <v/>
      </c>
      <c r="AI1329" s="19">
        <f>IF(NOT(ISNUMBER($A1329)),NA(),IFERROR(INDEX(BBG_Data!$V$2:$V$4000,MATCH($A1329,BBG_Data!$U$2:$U$4000,0))*Settings!$B$25,NA()))</f>
        <v/>
      </c>
      <c r="AJ1329" s="19">
        <f>IF(NOT(ISNUMBER($A1329)),NA(),IFERROR(1*INDEX(BBG_Data!$X$2:$X$4000,MATCH($A1329,BBG_Data!$W$2:$W$4000,0)),NA()))</f>
        <v/>
      </c>
      <c r="AK1329" s="19">
        <f>IF(NOT(ISNUMBER($A1329)),NA(),IFERROR(1*INDEX(BBG_Data!$Z$2:$Z$4000,MATCH($A1329,BBG_Data!$Y$2:$Y$4000,0)),NA()))</f>
        <v/>
      </c>
    </row>
    <row r="1330">
      <c r="A1330" s="17">
        <f>IF(ISNUMBER(BBG_Data!A1330),BBG_Data!A1330,"")</f>
        <v/>
      </c>
      <c r="B1330" s="18">
        <f>IF(AND(ISNUMBER($A1330),ISNUMBER(BBG_Data!B1330)),BBG_Data!B1330,NA())</f>
        <v/>
      </c>
      <c r="C1330" s="18">
        <f>IF(NOT(ISNUMBER($A1330)),NA(),IFERROR(1*INDEX(BBG_Data!$D$2:$D$4000,MATCH($A1330,BBG_Data!$C$2:$C$4000,0)),NA()))</f>
        <v/>
      </c>
      <c r="D1330" s="19">
        <f>IF(NOT(ISNUMBER($A1330)),NA(),IFERROR(1*INDEX(BBG_Data!$F$2:$F$4000,MATCH($A1330,BBG_Data!$E$2:$E$4000,0)),NA()))</f>
        <v/>
      </c>
      <c r="E1330" s="19">
        <f>IF(NOT(ISNUMBER($A1330)),NA(),IFERROR(1*INDEX(BBG_Data!$H$2:$H$4000,MATCH($A1330,BBG_Data!$G$2:$G$4000,0)),NA()))</f>
        <v/>
      </c>
      <c r="F1330" s="20">
        <f>IF(AND(ISNUMBER(B1330),ISNUMBER(B1329)),IF(B1330=B1329,"",(B1330-B1329)*100),"")</f>
        <v/>
      </c>
      <c r="G1330" s="20">
        <f>IF(AND(ISNUMBER(C1330),ISNUMBER(C1329)),IF(C1330=C1329,"",(C1330-C1329)*100),"")</f>
        <v/>
      </c>
      <c r="H1330" s="20">
        <f>IF(OR(NOT(ISNUMBER($A1330)),ROW()-2&lt;Settings!$B$11),NA(),IF(COUNT(OFFSET(F1330,1-Settings!$B$11,0,Settings!$B$11,1))&lt;ROUNDUP(Settings!$B$11*Settings!$B$26,0),NA(),STDEV(OFFSET(F1330,1-Settings!$B$11,0,Settings!$B$11,1))*SQRT(Settings!$B$13)))</f>
        <v/>
      </c>
      <c r="I1330" s="20">
        <f>IF(OR(NOT(ISNUMBER($A1330)),ROW()-2&lt;Settings!$B$12),NA(),IF(COUNT(OFFSET(F1330,1-Settings!$B$12,0,Settings!$B$12,1))&lt;ROUNDUP(Settings!$B$12*Settings!$B$26,0),NA(),STDEV(OFFSET(F1330,1-Settings!$B$12,0,Settings!$B$12,1))*SQRT(Settings!$B$13)))</f>
        <v/>
      </c>
      <c r="J1330" s="20">
        <f>IF(OR(NOT(ISNUMBER($A1330)),ROW()-2&lt;Settings!$B$11),NA(),IF(COUNT(OFFSET(G1330,1-Settings!$B$11,0,Settings!$B$11,1))&lt;ROUNDUP(Settings!$B$11*Settings!$B$26,0),NA(),STDEV(OFFSET(G1330,1-Settings!$B$11,0,Settings!$B$11,1))*SQRT(Settings!$B$13)))</f>
        <v/>
      </c>
      <c r="K1330" s="20">
        <f>IF(OR(NOT(ISNUMBER($A1330)),ROW()-2&lt;Settings!$B$12),NA(),IF(COUNT(OFFSET(G1330,1-Settings!$B$12,0,Settings!$B$12,1))&lt;ROUNDUP(Settings!$B$12*Settings!$B$26,0),NA(),STDEV(OFFSET(G1330,1-Settings!$B$12,0,Settings!$B$12,1))*SQRT(Settings!$B$13)))</f>
        <v/>
      </c>
      <c r="L1330" s="20">
        <f>IF(AND(ISNUMBER(D1330),ISNUMBER(H1330)),D1330-H1330,NA())</f>
        <v/>
      </c>
      <c r="M1330" s="20">
        <f>IF(AND(ISNUMBER(E1330),ISNUMBER(K1330)),E1330-K1330,NA())</f>
        <v/>
      </c>
      <c r="N1330" s="20">
        <f>IF(NOT(ISNUMBER($A1330)),NA(),IF(COUNT(OFFSET(G1330,1,0,Settings!$B$12,1))&lt;ROUNDUP(Settings!$B$12*Settings!$B$26,0),NA(),STDEV(OFFSET(G1330,1,0,Settings!$B$12,1))*SQRT(Settings!$B$13)))</f>
        <v/>
      </c>
      <c r="O1330" s="20">
        <f>IF(AND(ISNUMBER(E1330),ISNUMBER(N1330)),E1330-N1330,NA())</f>
        <v/>
      </c>
      <c r="P1330" s="19">
        <f>IF(NOT(ISNUMBER($A1330)),NA(),IF(OR($A1330&lt;MIN(KW_TP!$A$2:$A$2501),$A1330&gt;MAX(KW_TP!$A$2:$A$2501)),NA(),INDEX(KW_TP!$C$2:$C$2501,MATCH($A1330,KW_TP!$A$2:$A$2501,1))))</f>
        <v/>
      </c>
      <c r="Q1330" s="18">
        <f>IF(NOT(ISNUMBER($A1330)),NA(),IFERROR(1*INDEX(BBG_Data!$J$2:$J$4000,MATCH($A1330,BBG_Data!$I$2:$I$4000,0)),NA()))</f>
        <v/>
      </c>
      <c r="R1330" s="18">
        <f>IF(NOT(ISNUMBER($A1330)),NA(),IFERROR(1*INDEX(BBG_Data!$L$2:$L$4000,MATCH($A1330,BBG_Data!$K$2:$K$4000,0)),NA()))</f>
        <v/>
      </c>
      <c r="S1330" s="20">
        <f>IF(AND(ISNUMBER(B1330),ISNUMBER(Q1330),ISNUMBER(R1330)),(B1330-Q1330-R1330)*100,NA())</f>
        <v/>
      </c>
      <c r="T1330" s="20">
        <f>IF(AND(ISNUMBER(B1330),Settings!$B$17&gt;0),IF(ISNUMBER(INDEX($B:$B,Settings!$B$17)),(B1330-INDEX($B:$B,Settings!$B$17))*100,NA()),NA())</f>
        <v/>
      </c>
      <c r="U1330" s="20">
        <f>IF(AND(ISNUMBER(Q1330),Settings!$B$17&gt;0),IF(ISNUMBER(INDEX($Q:$Q,Settings!$B$17)),(Q1330-INDEX($Q:$Q,Settings!$B$17))*100,NA()),NA())</f>
        <v/>
      </c>
      <c r="V1330" s="20">
        <f>IF(AND(ISNUMBER(R1330),Settings!$B$17&gt;0),IF(ISNUMBER(INDEX($R:$R,Settings!$B$17)),(R1330-INDEX($R:$R,Settings!$B$17))*100,NA()),NA())</f>
        <v/>
      </c>
      <c r="W1330" s="20">
        <f>IF(AND(ISNUMBER(P1330),Settings!$B$17&gt;0),IF(ISNUMBER(INDEX($P:$P,Settings!$B$17)),P1330-INDEX($P:$P,Settings!$B$17),NA()),NA())</f>
        <v/>
      </c>
      <c r="X1330" s="19">
        <f>IF(NOT(ISNUMBER($A1330)),NA(),IF(OR($A1330&lt;MIN(DKW_10Y!$A$2:$A$2918),$A1330&gt;MAX(DKW_10Y!$A$2:$A$2918),Settings!$B$16&lt;MIN(DKW_10Y!$A$2:$A$2918)),NA(),(INDEX(DKW_10Y!$B$2:$B$2918,MATCH($A1330,DKW_10Y!$A$2:$A$2918,1))-INDEX(DKW_10Y!$B$2:$B$2918,MATCH(Settings!$B$16,DKW_10Y!$A$2:$A$2918,1)))*100))</f>
        <v/>
      </c>
      <c r="Y1330" s="19">
        <f>IF(NOT(ISNUMBER($A1330)),NA(),IF(OR($A1330&lt;MIN(DKW_10Y!$A$2:$A$2918),$A1330&gt;MAX(DKW_10Y!$A$2:$A$2918),Settings!$B$16&lt;MIN(DKW_10Y!$A$2:$A$2918)),NA(),(INDEX(DKW_10Y!$C$2:$C$2918,MATCH($A1330,DKW_10Y!$A$2:$A$2918,1))-INDEX(DKW_10Y!$C$2:$C$2918,MATCH(Settings!$B$16,DKW_10Y!$A$2:$A$2918,1)))*100))</f>
        <v/>
      </c>
      <c r="Z1330" s="19">
        <f>IF(NOT(ISNUMBER($A1330)),NA(),IF(OR($A1330&lt;MIN(DKW_10Y!$A$2:$A$2918),$A1330&gt;MAX(DKW_10Y!$A$2:$A$2918),Settings!$B$16&lt;MIN(DKW_10Y!$A$2:$A$2918)),NA(),(INDEX(DKW_10Y!$D$2:$D$2918,MATCH($A1330,DKW_10Y!$A$2:$A$2918,1))-INDEX(DKW_10Y!$D$2:$D$2918,MATCH(Settings!$B$16,DKW_10Y!$A$2:$A$2918,1)))*100))</f>
        <v/>
      </c>
      <c r="AA1330" s="19">
        <f>IF(NOT(ISNUMBER($A1330)),NA(),IF(OR($A1330&lt;MIN(DKW_10Y!$A$2:$A$2918),$A1330&gt;MAX(DKW_10Y!$A$2:$A$2918),Settings!$B$16&lt;MIN(DKW_10Y!$A$2:$A$2918)),NA(),(INDEX(DKW_10Y!$E$2:$E$2918,MATCH($A1330,DKW_10Y!$A$2:$A$2918,1))-INDEX(DKW_10Y!$E$2:$E$2918,MATCH(Settings!$B$16,DKW_10Y!$A$2:$A$2918,1)))*100))</f>
        <v/>
      </c>
      <c r="AB1330" s="19">
        <f>IF(NOT(ISNUMBER($A1330)),NA(),IF(OR($A1330&lt;MIN(DKW_10Y!$A$2:$A$2918),$A1330&gt;MAX(DKW_10Y!$A$2:$A$2918),Settings!$B$16&lt;MIN(DKW_10Y!$A$2:$A$2918)),NA(),(INDEX(DKW_10Y!$H$2:$H$2918,MATCH($A1330,DKW_10Y!$A$2:$A$2918,1))-INDEX(DKW_10Y!$H$2:$H$2918,MATCH(Settings!$B$16,DKW_10Y!$A$2:$A$2918,1)))*100))</f>
        <v/>
      </c>
      <c r="AC1330" s="18">
        <f>IF(NOT(ISNUMBER($A1330)),NA(),IFERROR(1*INDEX(BBG_Data!$N$2:$N$4000,MATCH($A1330,BBG_Data!$M$2:$M$4000,0)),NA()))</f>
        <v/>
      </c>
      <c r="AD1330" s="18">
        <f>IF(NOT(ISNUMBER($A1330)),NA(),IFERROR(1*INDEX(BBG_Data!$P$2:$P$4000,MATCH($A1330,BBG_Data!$O$2:$O$4000,0)),NA()))</f>
        <v/>
      </c>
      <c r="AE1330" s="18">
        <f>IF(NOT(ISNUMBER($A1330)),NA(),IFERROR(1*INDEX(BBG_Data!$R$2:$R$4000,MATCH($A1330,BBG_Data!$Q$2:$Q$4000,0)),NA()))</f>
        <v/>
      </c>
      <c r="AF1330" s="20">
        <f>IF(AND(ISNUMBER(B1330),ISNUMBER(AC1330)),(B1330-AC1330)*100,NA())</f>
        <v/>
      </c>
      <c r="AG1330" s="20">
        <f>IF(AND(ISNUMBER(AE1330),ISNUMBER(AD1330)),(AE1330-AD1330)*100,NA())</f>
        <v/>
      </c>
      <c r="AH1330" s="19">
        <f>IF(NOT(ISNUMBER($A1330)),NA(),IFERROR(INDEX(BBG_Data!$T$2:$T$4000,MATCH($A1330,BBG_Data!$S$2:$S$4000,0))*Settings!$B$25,NA()))</f>
        <v/>
      </c>
      <c r="AI1330" s="19">
        <f>IF(NOT(ISNUMBER($A1330)),NA(),IFERROR(INDEX(BBG_Data!$V$2:$V$4000,MATCH($A1330,BBG_Data!$U$2:$U$4000,0))*Settings!$B$25,NA()))</f>
        <v/>
      </c>
      <c r="AJ1330" s="19">
        <f>IF(NOT(ISNUMBER($A1330)),NA(),IFERROR(1*INDEX(BBG_Data!$X$2:$X$4000,MATCH($A1330,BBG_Data!$W$2:$W$4000,0)),NA()))</f>
        <v/>
      </c>
      <c r="AK1330" s="19">
        <f>IF(NOT(ISNUMBER($A1330)),NA(),IFERROR(1*INDEX(BBG_Data!$Z$2:$Z$4000,MATCH($A1330,BBG_Data!$Y$2:$Y$4000,0)),NA()))</f>
        <v/>
      </c>
    </row>
    <row r="1331">
      <c r="A1331" s="17">
        <f>IF(ISNUMBER(BBG_Data!A1331),BBG_Data!A1331,"")</f>
        <v/>
      </c>
      <c r="B1331" s="18">
        <f>IF(AND(ISNUMBER($A1331),ISNUMBER(BBG_Data!B1331)),BBG_Data!B1331,NA())</f>
        <v/>
      </c>
      <c r="C1331" s="18">
        <f>IF(NOT(ISNUMBER($A1331)),NA(),IFERROR(1*INDEX(BBG_Data!$D$2:$D$4000,MATCH($A1331,BBG_Data!$C$2:$C$4000,0)),NA()))</f>
        <v/>
      </c>
      <c r="D1331" s="19">
        <f>IF(NOT(ISNUMBER($A1331)),NA(),IFERROR(1*INDEX(BBG_Data!$F$2:$F$4000,MATCH($A1331,BBG_Data!$E$2:$E$4000,0)),NA()))</f>
        <v/>
      </c>
      <c r="E1331" s="19">
        <f>IF(NOT(ISNUMBER($A1331)),NA(),IFERROR(1*INDEX(BBG_Data!$H$2:$H$4000,MATCH($A1331,BBG_Data!$G$2:$G$4000,0)),NA()))</f>
        <v/>
      </c>
      <c r="F1331" s="20">
        <f>IF(AND(ISNUMBER(B1331),ISNUMBER(B1330)),IF(B1331=B1330,"",(B1331-B1330)*100),"")</f>
        <v/>
      </c>
      <c r="G1331" s="20">
        <f>IF(AND(ISNUMBER(C1331),ISNUMBER(C1330)),IF(C1331=C1330,"",(C1331-C1330)*100),"")</f>
        <v/>
      </c>
      <c r="H1331" s="20">
        <f>IF(OR(NOT(ISNUMBER($A1331)),ROW()-2&lt;Settings!$B$11),NA(),IF(COUNT(OFFSET(F1331,1-Settings!$B$11,0,Settings!$B$11,1))&lt;ROUNDUP(Settings!$B$11*Settings!$B$26,0),NA(),STDEV(OFFSET(F1331,1-Settings!$B$11,0,Settings!$B$11,1))*SQRT(Settings!$B$13)))</f>
        <v/>
      </c>
      <c r="I1331" s="20">
        <f>IF(OR(NOT(ISNUMBER($A1331)),ROW()-2&lt;Settings!$B$12),NA(),IF(COUNT(OFFSET(F1331,1-Settings!$B$12,0,Settings!$B$12,1))&lt;ROUNDUP(Settings!$B$12*Settings!$B$26,0),NA(),STDEV(OFFSET(F1331,1-Settings!$B$12,0,Settings!$B$12,1))*SQRT(Settings!$B$13)))</f>
        <v/>
      </c>
      <c r="J1331" s="20">
        <f>IF(OR(NOT(ISNUMBER($A1331)),ROW()-2&lt;Settings!$B$11),NA(),IF(COUNT(OFFSET(G1331,1-Settings!$B$11,0,Settings!$B$11,1))&lt;ROUNDUP(Settings!$B$11*Settings!$B$26,0),NA(),STDEV(OFFSET(G1331,1-Settings!$B$11,0,Settings!$B$11,1))*SQRT(Settings!$B$13)))</f>
        <v/>
      </c>
      <c r="K1331" s="20">
        <f>IF(OR(NOT(ISNUMBER($A1331)),ROW()-2&lt;Settings!$B$12),NA(),IF(COUNT(OFFSET(G1331,1-Settings!$B$12,0,Settings!$B$12,1))&lt;ROUNDUP(Settings!$B$12*Settings!$B$26,0),NA(),STDEV(OFFSET(G1331,1-Settings!$B$12,0,Settings!$B$12,1))*SQRT(Settings!$B$13)))</f>
        <v/>
      </c>
      <c r="L1331" s="20">
        <f>IF(AND(ISNUMBER(D1331),ISNUMBER(H1331)),D1331-H1331,NA())</f>
        <v/>
      </c>
      <c r="M1331" s="20">
        <f>IF(AND(ISNUMBER(E1331),ISNUMBER(K1331)),E1331-K1331,NA())</f>
        <v/>
      </c>
      <c r="N1331" s="20">
        <f>IF(NOT(ISNUMBER($A1331)),NA(),IF(COUNT(OFFSET(G1331,1,0,Settings!$B$12,1))&lt;ROUNDUP(Settings!$B$12*Settings!$B$26,0),NA(),STDEV(OFFSET(G1331,1,0,Settings!$B$12,1))*SQRT(Settings!$B$13)))</f>
        <v/>
      </c>
      <c r="O1331" s="20">
        <f>IF(AND(ISNUMBER(E1331),ISNUMBER(N1331)),E1331-N1331,NA())</f>
        <v/>
      </c>
      <c r="P1331" s="19">
        <f>IF(NOT(ISNUMBER($A1331)),NA(),IF(OR($A1331&lt;MIN(KW_TP!$A$2:$A$2501),$A1331&gt;MAX(KW_TP!$A$2:$A$2501)),NA(),INDEX(KW_TP!$C$2:$C$2501,MATCH($A1331,KW_TP!$A$2:$A$2501,1))))</f>
        <v/>
      </c>
      <c r="Q1331" s="18">
        <f>IF(NOT(ISNUMBER($A1331)),NA(),IFERROR(1*INDEX(BBG_Data!$J$2:$J$4000,MATCH($A1331,BBG_Data!$I$2:$I$4000,0)),NA()))</f>
        <v/>
      </c>
      <c r="R1331" s="18">
        <f>IF(NOT(ISNUMBER($A1331)),NA(),IFERROR(1*INDEX(BBG_Data!$L$2:$L$4000,MATCH($A1331,BBG_Data!$K$2:$K$4000,0)),NA()))</f>
        <v/>
      </c>
      <c r="S1331" s="20">
        <f>IF(AND(ISNUMBER(B1331),ISNUMBER(Q1331),ISNUMBER(R1331)),(B1331-Q1331-R1331)*100,NA())</f>
        <v/>
      </c>
      <c r="T1331" s="20">
        <f>IF(AND(ISNUMBER(B1331),Settings!$B$17&gt;0),IF(ISNUMBER(INDEX($B:$B,Settings!$B$17)),(B1331-INDEX($B:$B,Settings!$B$17))*100,NA()),NA())</f>
        <v/>
      </c>
      <c r="U1331" s="20">
        <f>IF(AND(ISNUMBER(Q1331),Settings!$B$17&gt;0),IF(ISNUMBER(INDEX($Q:$Q,Settings!$B$17)),(Q1331-INDEX($Q:$Q,Settings!$B$17))*100,NA()),NA())</f>
        <v/>
      </c>
      <c r="V1331" s="20">
        <f>IF(AND(ISNUMBER(R1331),Settings!$B$17&gt;0),IF(ISNUMBER(INDEX($R:$R,Settings!$B$17)),(R1331-INDEX($R:$R,Settings!$B$17))*100,NA()),NA())</f>
        <v/>
      </c>
      <c r="W1331" s="20">
        <f>IF(AND(ISNUMBER(P1331),Settings!$B$17&gt;0),IF(ISNUMBER(INDEX($P:$P,Settings!$B$17)),P1331-INDEX($P:$P,Settings!$B$17),NA()),NA())</f>
        <v/>
      </c>
      <c r="X1331" s="19">
        <f>IF(NOT(ISNUMBER($A1331)),NA(),IF(OR($A1331&lt;MIN(DKW_10Y!$A$2:$A$2918),$A1331&gt;MAX(DKW_10Y!$A$2:$A$2918),Settings!$B$16&lt;MIN(DKW_10Y!$A$2:$A$2918)),NA(),(INDEX(DKW_10Y!$B$2:$B$2918,MATCH($A1331,DKW_10Y!$A$2:$A$2918,1))-INDEX(DKW_10Y!$B$2:$B$2918,MATCH(Settings!$B$16,DKW_10Y!$A$2:$A$2918,1)))*100))</f>
        <v/>
      </c>
      <c r="Y1331" s="19">
        <f>IF(NOT(ISNUMBER($A1331)),NA(),IF(OR($A1331&lt;MIN(DKW_10Y!$A$2:$A$2918),$A1331&gt;MAX(DKW_10Y!$A$2:$A$2918),Settings!$B$16&lt;MIN(DKW_10Y!$A$2:$A$2918)),NA(),(INDEX(DKW_10Y!$C$2:$C$2918,MATCH($A1331,DKW_10Y!$A$2:$A$2918,1))-INDEX(DKW_10Y!$C$2:$C$2918,MATCH(Settings!$B$16,DKW_10Y!$A$2:$A$2918,1)))*100))</f>
        <v/>
      </c>
      <c r="Z1331" s="19">
        <f>IF(NOT(ISNUMBER($A1331)),NA(),IF(OR($A1331&lt;MIN(DKW_10Y!$A$2:$A$2918),$A1331&gt;MAX(DKW_10Y!$A$2:$A$2918),Settings!$B$16&lt;MIN(DKW_10Y!$A$2:$A$2918)),NA(),(INDEX(DKW_10Y!$D$2:$D$2918,MATCH($A1331,DKW_10Y!$A$2:$A$2918,1))-INDEX(DKW_10Y!$D$2:$D$2918,MATCH(Settings!$B$16,DKW_10Y!$A$2:$A$2918,1)))*100))</f>
        <v/>
      </c>
      <c r="AA1331" s="19">
        <f>IF(NOT(ISNUMBER($A1331)),NA(),IF(OR($A1331&lt;MIN(DKW_10Y!$A$2:$A$2918),$A1331&gt;MAX(DKW_10Y!$A$2:$A$2918),Settings!$B$16&lt;MIN(DKW_10Y!$A$2:$A$2918)),NA(),(INDEX(DKW_10Y!$E$2:$E$2918,MATCH($A1331,DKW_10Y!$A$2:$A$2918,1))-INDEX(DKW_10Y!$E$2:$E$2918,MATCH(Settings!$B$16,DKW_10Y!$A$2:$A$2918,1)))*100))</f>
        <v/>
      </c>
      <c r="AB1331" s="19">
        <f>IF(NOT(ISNUMBER($A1331)),NA(),IF(OR($A1331&lt;MIN(DKW_10Y!$A$2:$A$2918),$A1331&gt;MAX(DKW_10Y!$A$2:$A$2918),Settings!$B$16&lt;MIN(DKW_10Y!$A$2:$A$2918)),NA(),(INDEX(DKW_10Y!$H$2:$H$2918,MATCH($A1331,DKW_10Y!$A$2:$A$2918,1))-INDEX(DKW_10Y!$H$2:$H$2918,MATCH(Settings!$B$16,DKW_10Y!$A$2:$A$2918,1)))*100))</f>
        <v/>
      </c>
      <c r="AC1331" s="18">
        <f>IF(NOT(ISNUMBER($A1331)),NA(),IFERROR(1*INDEX(BBG_Data!$N$2:$N$4000,MATCH($A1331,BBG_Data!$M$2:$M$4000,0)),NA()))</f>
        <v/>
      </c>
      <c r="AD1331" s="18">
        <f>IF(NOT(ISNUMBER($A1331)),NA(),IFERROR(1*INDEX(BBG_Data!$P$2:$P$4000,MATCH($A1331,BBG_Data!$O$2:$O$4000,0)),NA()))</f>
        <v/>
      </c>
      <c r="AE1331" s="18">
        <f>IF(NOT(ISNUMBER($A1331)),NA(),IFERROR(1*INDEX(BBG_Data!$R$2:$R$4000,MATCH($A1331,BBG_Data!$Q$2:$Q$4000,0)),NA()))</f>
        <v/>
      </c>
      <c r="AF1331" s="20">
        <f>IF(AND(ISNUMBER(B1331),ISNUMBER(AC1331)),(B1331-AC1331)*100,NA())</f>
        <v/>
      </c>
      <c r="AG1331" s="20">
        <f>IF(AND(ISNUMBER(AE1331),ISNUMBER(AD1331)),(AE1331-AD1331)*100,NA())</f>
        <v/>
      </c>
      <c r="AH1331" s="19">
        <f>IF(NOT(ISNUMBER($A1331)),NA(),IFERROR(INDEX(BBG_Data!$T$2:$T$4000,MATCH($A1331,BBG_Data!$S$2:$S$4000,0))*Settings!$B$25,NA()))</f>
        <v/>
      </c>
      <c r="AI1331" s="19">
        <f>IF(NOT(ISNUMBER($A1331)),NA(),IFERROR(INDEX(BBG_Data!$V$2:$V$4000,MATCH($A1331,BBG_Data!$U$2:$U$4000,0))*Settings!$B$25,NA()))</f>
        <v/>
      </c>
      <c r="AJ1331" s="19">
        <f>IF(NOT(ISNUMBER($A1331)),NA(),IFERROR(1*INDEX(BBG_Data!$X$2:$X$4000,MATCH($A1331,BBG_Data!$W$2:$W$4000,0)),NA()))</f>
        <v/>
      </c>
      <c r="AK1331" s="19">
        <f>IF(NOT(ISNUMBER($A1331)),NA(),IFERROR(1*INDEX(BBG_Data!$Z$2:$Z$4000,MATCH($A1331,BBG_Data!$Y$2:$Y$4000,0)),NA()))</f>
        <v/>
      </c>
    </row>
    <row r="1332">
      <c r="A1332" s="17">
        <f>IF(ISNUMBER(BBG_Data!A1332),BBG_Data!A1332,"")</f>
        <v/>
      </c>
      <c r="B1332" s="18">
        <f>IF(AND(ISNUMBER($A1332),ISNUMBER(BBG_Data!B1332)),BBG_Data!B1332,NA())</f>
        <v/>
      </c>
      <c r="C1332" s="18">
        <f>IF(NOT(ISNUMBER($A1332)),NA(),IFERROR(1*INDEX(BBG_Data!$D$2:$D$4000,MATCH($A1332,BBG_Data!$C$2:$C$4000,0)),NA()))</f>
        <v/>
      </c>
      <c r="D1332" s="19">
        <f>IF(NOT(ISNUMBER($A1332)),NA(),IFERROR(1*INDEX(BBG_Data!$F$2:$F$4000,MATCH($A1332,BBG_Data!$E$2:$E$4000,0)),NA()))</f>
        <v/>
      </c>
      <c r="E1332" s="19">
        <f>IF(NOT(ISNUMBER($A1332)),NA(),IFERROR(1*INDEX(BBG_Data!$H$2:$H$4000,MATCH($A1332,BBG_Data!$G$2:$G$4000,0)),NA()))</f>
        <v/>
      </c>
      <c r="F1332" s="20">
        <f>IF(AND(ISNUMBER(B1332),ISNUMBER(B1331)),IF(B1332=B1331,"",(B1332-B1331)*100),"")</f>
        <v/>
      </c>
      <c r="G1332" s="20">
        <f>IF(AND(ISNUMBER(C1332),ISNUMBER(C1331)),IF(C1332=C1331,"",(C1332-C1331)*100),"")</f>
        <v/>
      </c>
      <c r="H1332" s="20">
        <f>IF(OR(NOT(ISNUMBER($A1332)),ROW()-2&lt;Settings!$B$11),NA(),IF(COUNT(OFFSET(F1332,1-Settings!$B$11,0,Settings!$B$11,1))&lt;ROUNDUP(Settings!$B$11*Settings!$B$26,0),NA(),STDEV(OFFSET(F1332,1-Settings!$B$11,0,Settings!$B$11,1))*SQRT(Settings!$B$13)))</f>
        <v/>
      </c>
      <c r="I1332" s="20">
        <f>IF(OR(NOT(ISNUMBER($A1332)),ROW()-2&lt;Settings!$B$12),NA(),IF(COUNT(OFFSET(F1332,1-Settings!$B$12,0,Settings!$B$12,1))&lt;ROUNDUP(Settings!$B$12*Settings!$B$26,0),NA(),STDEV(OFFSET(F1332,1-Settings!$B$12,0,Settings!$B$12,1))*SQRT(Settings!$B$13)))</f>
        <v/>
      </c>
      <c r="J1332" s="20">
        <f>IF(OR(NOT(ISNUMBER($A1332)),ROW()-2&lt;Settings!$B$11),NA(),IF(COUNT(OFFSET(G1332,1-Settings!$B$11,0,Settings!$B$11,1))&lt;ROUNDUP(Settings!$B$11*Settings!$B$26,0),NA(),STDEV(OFFSET(G1332,1-Settings!$B$11,0,Settings!$B$11,1))*SQRT(Settings!$B$13)))</f>
        <v/>
      </c>
      <c r="K1332" s="20">
        <f>IF(OR(NOT(ISNUMBER($A1332)),ROW()-2&lt;Settings!$B$12),NA(),IF(COUNT(OFFSET(G1332,1-Settings!$B$12,0,Settings!$B$12,1))&lt;ROUNDUP(Settings!$B$12*Settings!$B$26,0),NA(),STDEV(OFFSET(G1332,1-Settings!$B$12,0,Settings!$B$12,1))*SQRT(Settings!$B$13)))</f>
        <v/>
      </c>
      <c r="L1332" s="20">
        <f>IF(AND(ISNUMBER(D1332),ISNUMBER(H1332)),D1332-H1332,NA())</f>
        <v/>
      </c>
      <c r="M1332" s="20">
        <f>IF(AND(ISNUMBER(E1332),ISNUMBER(K1332)),E1332-K1332,NA())</f>
        <v/>
      </c>
      <c r="N1332" s="20">
        <f>IF(NOT(ISNUMBER($A1332)),NA(),IF(COUNT(OFFSET(G1332,1,0,Settings!$B$12,1))&lt;ROUNDUP(Settings!$B$12*Settings!$B$26,0),NA(),STDEV(OFFSET(G1332,1,0,Settings!$B$12,1))*SQRT(Settings!$B$13)))</f>
        <v/>
      </c>
      <c r="O1332" s="20">
        <f>IF(AND(ISNUMBER(E1332),ISNUMBER(N1332)),E1332-N1332,NA())</f>
        <v/>
      </c>
      <c r="P1332" s="19">
        <f>IF(NOT(ISNUMBER($A1332)),NA(),IF(OR($A1332&lt;MIN(KW_TP!$A$2:$A$2501),$A1332&gt;MAX(KW_TP!$A$2:$A$2501)),NA(),INDEX(KW_TP!$C$2:$C$2501,MATCH($A1332,KW_TP!$A$2:$A$2501,1))))</f>
        <v/>
      </c>
      <c r="Q1332" s="18">
        <f>IF(NOT(ISNUMBER($A1332)),NA(),IFERROR(1*INDEX(BBG_Data!$J$2:$J$4000,MATCH($A1332,BBG_Data!$I$2:$I$4000,0)),NA()))</f>
        <v/>
      </c>
      <c r="R1332" s="18">
        <f>IF(NOT(ISNUMBER($A1332)),NA(),IFERROR(1*INDEX(BBG_Data!$L$2:$L$4000,MATCH($A1332,BBG_Data!$K$2:$K$4000,0)),NA()))</f>
        <v/>
      </c>
      <c r="S1332" s="20">
        <f>IF(AND(ISNUMBER(B1332),ISNUMBER(Q1332),ISNUMBER(R1332)),(B1332-Q1332-R1332)*100,NA())</f>
        <v/>
      </c>
      <c r="T1332" s="20">
        <f>IF(AND(ISNUMBER(B1332),Settings!$B$17&gt;0),IF(ISNUMBER(INDEX($B:$B,Settings!$B$17)),(B1332-INDEX($B:$B,Settings!$B$17))*100,NA()),NA())</f>
        <v/>
      </c>
      <c r="U1332" s="20">
        <f>IF(AND(ISNUMBER(Q1332),Settings!$B$17&gt;0),IF(ISNUMBER(INDEX($Q:$Q,Settings!$B$17)),(Q1332-INDEX($Q:$Q,Settings!$B$17))*100,NA()),NA())</f>
        <v/>
      </c>
      <c r="V1332" s="20">
        <f>IF(AND(ISNUMBER(R1332),Settings!$B$17&gt;0),IF(ISNUMBER(INDEX($R:$R,Settings!$B$17)),(R1332-INDEX($R:$R,Settings!$B$17))*100,NA()),NA())</f>
        <v/>
      </c>
      <c r="W1332" s="20">
        <f>IF(AND(ISNUMBER(P1332),Settings!$B$17&gt;0),IF(ISNUMBER(INDEX($P:$P,Settings!$B$17)),P1332-INDEX($P:$P,Settings!$B$17),NA()),NA())</f>
        <v/>
      </c>
      <c r="X1332" s="19">
        <f>IF(NOT(ISNUMBER($A1332)),NA(),IF(OR($A1332&lt;MIN(DKW_10Y!$A$2:$A$2918),$A1332&gt;MAX(DKW_10Y!$A$2:$A$2918),Settings!$B$16&lt;MIN(DKW_10Y!$A$2:$A$2918)),NA(),(INDEX(DKW_10Y!$B$2:$B$2918,MATCH($A1332,DKW_10Y!$A$2:$A$2918,1))-INDEX(DKW_10Y!$B$2:$B$2918,MATCH(Settings!$B$16,DKW_10Y!$A$2:$A$2918,1)))*100))</f>
        <v/>
      </c>
      <c r="Y1332" s="19">
        <f>IF(NOT(ISNUMBER($A1332)),NA(),IF(OR($A1332&lt;MIN(DKW_10Y!$A$2:$A$2918),$A1332&gt;MAX(DKW_10Y!$A$2:$A$2918),Settings!$B$16&lt;MIN(DKW_10Y!$A$2:$A$2918)),NA(),(INDEX(DKW_10Y!$C$2:$C$2918,MATCH($A1332,DKW_10Y!$A$2:$A$2918,1))-INDEX(DKW_10Y!$C$2:$C$2918,MATCH(Settings!$B$16,DKW_10Y!$A$2:$A$2918,1)))*100))</f>
        <v/>
      </c>
      <c r="Z1332" s="19">
        <f>IF(NOT(ISNUMBER($A1332)),NA(),IF(OR($A1332&lt;MIN(DKW_10Y!$A$2:$A$2918),$A1332&gt;MAX(DKW_10Y!$A$2:$A$2918),Settings!$B$16&lt;MIN(DKW_10Y!$A$2:$A$2918)),NA(),(INDEX(DKW_10Y!$D$2:$D$2918,MATCH($A1332,DKW_10Y!$A$2:$A$2918,1))-INDEX(DKW_10Y!$D$2:$D$2918,MATCH(Settings!$B$16,DKW_10Y!$A$2:$A$2918,1)))*100))</f>
        <v/>
      </c>
      <c r="AA1332" s="19">
        <f>IF(NOT(ISNUMBER($A1332)),NA(),IF(OR($A1332&lt;MIN(DKW_10Y!$A$2:$A$2918),$A1332&gt;MAX(DKW_10Y!$A$2:$A$2918),Settings!$B$16&lt;MIN(DKW_10Y!$A$2:$A$2918)),NA(),(INDEX(DKW_10Y!$E$2:$E$2918,MATCH($A1332,DKW_10Y!$A$2:$A$2918,1))-INDEX(DKW_10Y!$E$2:$E$2918,MATCH(Settings!$B$16,DKW_10Y!$A$2:$A$2918,1)))*100))</f>
        <v/>
      </c>
      <c r="AB1332" s="19">
        <f>IF(NOT(ISNUMBER($A1332)),NA(),IF(OR($A1332&lt;MIN(DKW_10Y!$A$2:$A$2918),$A1332&gt;MAX(DKW_10Y!$A$2:$A$2918),Settings!$B$16&lt;MIN(DKW_10Y!$A$2:$A$2918)),NA(),(INDEX(DKW_10Y!$H$2:$H$2918,MATCH($A1332,DKW_10Y!$A$2:$A$2918,1))-INDEX(DKW_10Y!$H$2:$H$2918,MATCH(Settings!$B$16,DKW_10Y!$A$2:$A$2918,1)))*100))</f>
        <v/>
      </c>
      <c r="AC1332" s="18">
        <f>IF(NOT(ISNUMBER($A1332)),NA(),IFERROR(1*INDEX(BBG_Data!$N$2:$N$4000,MATCH($A1332,BBG_Data!$M$2:$M$4000,0)),NA()))</f>
        <v/>
      </c>
      <c r="AD1332" s="18">
        <f>IF(NOT(ISNUMBER($A1332)),NA(),IFERROR(1*INDEX(BBG_Data!$P$2:$P$4000,MATCH($A1332,BBG_Data!$O$2:$O$4000,0)),NA()))</f>
        <v/>
      </c>
      <c r="AE1332" s="18">
        <f>IF(NOT(ISNUMBER($A1332)),NA(),IFERROR(1*INDEX(BBG_Data!$R$2:$R$4000,MATCH($A1332,BBG_Data!$Q$2:$Q$4000,0)),NA()))</f>
        <v/>
      </c>
      <c r="AF1332" s="20">
        <f>IF(AND(ISNUMBER(B1332),ISNUMBER(AC1332)),(B1332-AC1332)*100,NA())</f>
        <v/>
      </c>
      <c r="AG1332" s="20">
        <f>IF(AND(ISNUMBER(AE1332),ISNUMBER(AD1332)),(AE1332-AD1332)*100,NA())</f>
        <v/>
      </c>
      <c r="AH1332" s="19">
        <f>IF(NOT(ISNUMBER($A1332)),NA(),IFERROR(INDEX(BBG_Data!$T$2:$T$4000,MATCH($A1332,BBG_Data!$S$2:$S$4000,0))*Settings!$B$25,NA()))</f>
        <v/>
      </c>
      <c r="AI1332" s="19">
        <f>IF(NOT(ISNUMBER($A1332)),NA(),IFERROR(INDEX(BBG_Data!$V$2:$V$4000,MATCH($A1332,BBG_Data!$U$2:$U$4000,0))*Settings!$B$25,NA()))</f>
        <v/>
      </c>
      <c r="AJ1332" s="19">
        <f>IF(NOT(ISNUMBER($A1332)),NA(),IFERROR(1*INDEX(BBG_Data!$X$2:$X$4000,MATCH($A1332,BBG_Data!$W$2:$W$4000,0)),NA()))</f>
        <v/>
      </c>
      <c r="AK1332" s="19">
        <f>IF(NOT(ISNUMBER($A1332)),NA(),IFERROR(1*INDEX(BBG_Data!$Z$2:$Z$4000,MATCH($A1332,BBG_Data!$Y$2:$Y$4000,0)),NA()))</f>
        <v/>
      </c>
    </row>
    <row r="1333">
      <c r="A1333" s="17">
        <f>IF(ISNUMBER(BBG_Data!A1333),BBG_Data!A1333,"")</f>
        <v/>
      </c>
      <c r="B1333" s="18">
        <f>IF(AND(ISNUMBER($A1333),ISNUMBER(BBG_Data!B1333)),BBG_Data!B1333,NA())</f>
        <v/>
      </c>
      <c r="C1333" s="18">
        <f>IF(NOT(ISNUMBER($A1333)),NA(),IFERROR(1*INDEX(BBG_Data!$D$2:$D$4000,MATCH($A1333,BBG_Data!$C$2:$C$4000,0)),NA()))</f>
        <v/>
      </c>
      <c r="D1333" s="19">
        <f>IF(NOT(ISNUMBER($A1333)),NA(),IFERROR(1*INDEX(BBG_Data!$F$2:$F$4000,MATCH($A1333,BBG_Data!$E$2:$E$4000,0)),NA()))</f>
        <v/>
      </c>
      <c r="E1333" s="19">
        <f>IF(NOT(ISNUMBER($A1333)),NA(),IFERROR(1*INDEX(BBG_Data!$H$2:$H$4000,MATCH($A1333,BBG_Data!$G$2:$G$4000,0)),NA()))</f>
        <v/>
      </c>
      <c r="F1333" s="20">
        <f>IF(AND(ISNUMBER(B1333),ISNUMBER(B1332)),IF(B1333=B1332,"",(B1333-B1332)*100),"")</f>
        <v/>
      </c>
      <c r="G1333" s="20">
        <f>IF(AND(ISNUMBER(C1333),ISNUMBER(C1332)),IF(C1333=C1332,"",(C1333-C1332)*100),"")</f>
        <v/>
      </c>
      <c r="H1333" s="20">
        <f>IF(OR(NOT(ISNUMBER($A1333)),ROW()-2&lt;Settings!$B$11),NA(),IF(COUNT(OFFSET(F1333,1-Settings!$B$11,0,Settings!$B$11,1))&lt;ROUNDUP(Settings!$B$11*Settings!$B$26,0),NA(),STDEV(OFFSET(F1333,1-Settings!$B$11,0,Settings!$B$11,1))*SQRT(Settings!$B$13)))</f>
        <v/>
      </c>
      <c r="I1333" s="20">
        <f>IF(OR(NOT(ISNUMBER($A1333)),ROW()-2&lt;Settings!$B$12),NA(),IF(COUNT(OFFSET(F1333,1-Settings!$B$12,0,Settings!$B$12,1))&lt;ROUNDUP(Settings!$B$12*Settings!$B$26,0),NA(),STDEV(OFFSET(F1333,1-Settings!$B$12,0,Settings!$B$12,1))*SQRT(Settings!$B$13)))</f>
        <v/>
      </c>
      <c r="J1333" s="20">
        <f>IF(OR(NOT(ISNUMBER($A1333)),ROW()-2&lt;Settings!$B$11),NA(),IF(COUNT(OFFSET(G1333,1-Settings!$B$11,0,Settings!$B$11,1))&lt;ROUNDUP(Settings!$B$11*Settings!$B$26,0),NA(),STDEV(OFFSET(G1333,1-Settings!$B$11,0,Settings!$B$11,1))*SQRT(Settings!$B$13)))</f>
        <v/>
      </c>
      <c r="K1333" s="20">
        <f>IF(OR(NOT(ISNUMBER($A1333)),ROW()-2&lt;Settings!$B$12),NA(),IF(COUNT(OFFSET(G1333,1-Settings!$B$12,0,Settings!$B$12,1))&lt;ROUNDUP(Settings!$B$12*Settings!$B$26,0),NA(),STDEV(OFFSET(G1333,1-Settings!$B$12,0,Settings!$B$12,1))*SQRT(Settings!$B$13)))</f>
        <v/>
      </c>
      <c r="L1333" s="20">
        <f>IF(AND(ISNUMBER(D1333),ISNUMBER(H1333)),D1333-H1333,NA())</f>
        <v/>
      </c>
      <c r="M1333" s="20">
        <f>IF(AND(ISNUMBER(E1333),ISNUMBER(K1333)),E1333-K1333,NA())</f>
        <v/>
      </c>
      <c r="N1333" s="20">
        <f>IF(NOT(ISNUMBER($A1333)),NA(),IF(COUNT(OFFSET(G1333,1,0,Settings!$B$12,1))&lt;ROUNDUP(Settings!$B$12*Settings!$B$26,0),NA(),STDEV(OFFSET(G1333,1,0,Settings!$B$12,1))*SQRT(Settings!$B$13)))</f>
        <v/>
      </c>
      <c r="O1333" s="20">
        <f>IF(AND(ISNUMBER(E1333),ISNUMBER(N1333)),E1333-N1333,NA())</f>
        <v/>
      </c>
      <c r="P1333" s="19">
        <f>IF(NOT(ISNUMBER($A1333)),NA(),IF(OR($A1333&lt;MIN(KW_TP!$A$2:$A$2501),$A1333&gt;MAX(KW_TP!$A$2:$A$2501)),NA(),INDEX(KW_TP!$C$2:$C$2501,MATCH($A1333,KW_TP!$A$2:$A$2501,1))))</f>
        <v/>
      </c>
      <c r="Q1333" s="18">
        <f>IF(NOT(ISNUMBER($A1333)),NA(),IFERROR(1*INDEX(BBG_Data!$J$2:$J$4000,MATCH($A1333,BBG_Data!$I$2:$I$4000,0)),NA()))</f>
        <v/>
      </c>
      <c r="R1333" s="18">
        <f>IF(NOT(ISNUMBER($A1333)),NA(),IFERROR(1*INDEX(BBG_Data!$L$2:$L$4000,MATCH($A1333,BBG_Data!$K$2:$K$4000,0)),NA()))</f>
        <v/>
      </c>
      <c r="S1333" s="20">
        <f>IF(AND(ISNUMBER(B1333),ISNUMBER(Q1333),ISNUMBER(R1333)),(B1333-Q1333-R1333)*100,NA())</f>
        <v/>
      </c>
      <c r="T1333" s="20">
        <f>IF(AND(ISNUMBER(B1333),Settings!$B$17&gt;0),IF(ISNUMBER(INDEX($B:$B,Settings!$B$17)),(B1333-INDEX($B:$B,Settings!$B$17))*100,NA()),NA())</f>
        <v/>
      </c>
      <c r="U1333" s="20">
        <f>IF(AND(ISNUMBER(Q1333),Settings!$B$17&gt;0),IF(ISNUMBER(INDEX($Q:$Q,Settings!$B$17)),(Q1333-INDEX($Q:$Q,Settings!$B$17))*100,NA()),NA())</f>
        <v/>
      </c>
      <c r="V1333" s="20">
        <f>IF(AND(ISNUMBER(R1333),Settings!$B$17&gt;0),IF(ISNUMBER(INDEX($R:$R,Settings!$B$17)),(R1333-INDEX($R:$R,Settings!$B$17))*100,NA()),NA())</f>
        <v/>
      </c>
      <c r="W1333" s="20">
        <f>IF(AND(ISNUMBER(P1333),Settings!$B$17&gt;0),IF(ISNUMBER(INDEX($P:$P,Settings!$B$17)),P1333-INDEX($P:$P,Settings!$B$17),NA()),NA())</f>
        <v/>
      </c>
      <c r="X1333" s="19">
        <f>IF(NOT(ISNUMBER($A1333)),NA(),IF(OR($A1333&lt;MIN(DKW_10Y!$A$2:$A$2918),$A1333&gt;MAX(DKW_10Y!$A$2:$A$2918),Settings!$B$16&lt;MIN(DKW_10Y!$A$2:$A$2918)),NA(),(INDEX(DKW_10Y!$B$2:$B$2918,MATCH($A1333,DKW_10Y!$A$2:$A$2918,1))-INDEX(DKW_10Y!$B$2:$B$2918,MATCH(Settings!$B$16,DKW_10Y!$A$2:$A$2918,1)))*100))</f>
        <v/>
      </c>
      <c r="Y1333" s="19">
        <f>IF(NOT(ISNUMBER($A1333)),NA(),IF(OR($A1333&lt;MIN(DKW_10Y!$A$2:$A$2918),$A1333&gt;MAX(DKW_10Y!$A$2:$A$2918),Settings!$B$16&lt;MIN(DKW_10Y!$A$2:$A$2918)),NA(),(INDEX(DKW_10Y!$C$2:$C$2918,MATCH($A1333,DKW_10Y!$A$2:$A$2918,1))-INDEX(DKW_10Y!$C$2:$C$2918,MATCH(Settings!$B$16,DKW_10Y!$A$2:$A$2918,1)))*100))</f>
        <v/>
      </c>
      <c r="Z1333" s="19">
        <f>IF(NOT(ISNUMBER($A1333)),NA(),IF(OR($A1333&lt;MIN(DKW_10Y!$A$2:$A$2918),$A1333&gt;MAX(DKW_10Y!$A$2:$A$2918),Settings!$B$16&lt;MIN(DKW_10Y!$A$2:$A$2918)),NA(),(INDEX(DKW_10Y!$D$2:$D$2918,MATCH($A1333,DKW_10Y!$A$2:$A$2918,1))-INDEX(DKW_10Y!$D$2:$D$2918,MATCH(Settings!$B$16,DKW_10Y!$A$2:$A$2918,1)))*100))</f>
        <v/>
      </c>
      <c r="AA1333" s="19">
        <f>IF(NOT(ISNUMBER($A1333)),NA(),IF(OR($A1333&lt;MIN(DKW_10Y!$A$2:$A$2918),$A1333&gt;MAX(DKW_10Y!$A$2:$A$2918),Settings!$B$16&lt;MIN(DKW_10Y!$A$2:$A$2918)),NA(),(INDEX(DKW_10Y!$E$2:$E$2918,MATCH($A1333,DKW_10Y!$A$2:$A$2918,1))-INDEX(DKW_10Y!$E$2:$E$2918,MATCH(Settings!$B$16,DKW_10Y!$A$2:$A$2918,1)))*100))</f>
        <v/>
      </c>
      <c r="AB1333" s="19">
        <f>IF(NOT(ISNUMBER($A1333)),NA(),IF(OR($A1333&lt;MIN(DKW_10Y!$A$2:$A$2918),$A1333&gt;MAX(DKW_10Y!$A$2:$A$2918),Settings!$B$16&lt;MIN(DKW_10Y!$A$2:$A$2918)),NA(),(INDEX(DKW_10Y!$H$2:$H$2918,MATCH($A1333,DKW_10Y!$A$2:$A$2918,1))-INDEX(DKW_10Y!$H$2:$H$2918,MATCH(Settings!$B$16,DKW_10Y!$A$2:$A$2918,1)))*100))</f>
        <v/>
      </c>
      <c r="AC1333" s="18">
        <f>IF(NOT(ISNUMBER($A1333)),NA(),IFERROR(1*INDEX(BBG_Data!$N$2:$N$4000,MATCH($A1333,BBG_Data!$M$2:$M$4000,0)),NA()))</f>
        <v/>
      </c>
      <c r="AD1333" s="18">
        <f>IF(NOT(ISNUMBER($A1333)),NA(),IFERROR(1*INDEX(BBG_Data!$P$2:$P$4000,MATCH($A1333,BBG_Data!$O$2:$O$4000,0)),NA()))</f>
        <v/>
      </c>
      <c r="AE1333" s="18">
        <f>IF(NOT(ISNUMBER($A1333)),NA(),IFERROR(1*INDEX(BBG_Data!$R$2:$R$4000,MATCH($A1333,BBG_Data!$Q$2:$Q$4000,0)),NA()))</f>
        <v/>
      </c>
      <c r="AF1333" s="20">
        <f>IF(AND(ISNUMBER(B1333),ISNUMBER(AC1333)),(B1333-AC1333)*100,NA())</f>
        <v/>
      </c>
      <c r="AG1333" s="20">
        <f>IF(AND(ISNUMBER(AE1333),ISNUMBER(AD1333)),(AE1333-AD1333)*100,NA())</f>
        <v/>
      </c>
      <c r="AH1333" s="19">
        <f>IF(NOT(ISNUMBER($A1333)),NA(),IFERROR(INDEX(BBG_Data!$T$2:$T$4000,MATCH($A1333,BBG_Data!$S$2:$S$4000,0))*Settings!$B$25,NA()))</f>
        <v/>
      </c>
      <c r="AI1333" s="19">
        <f>IF(NOT(ISNUMBER($A1333)),NA(),IFERROR(INDEX(BBG_Data!$V$2:$V$4000,MATCH($A1333,BBG_Data!$U$2:$U$4000,0))*Settings!$B$25,NA()))</f>
        <v/>
      </c>
      <c r="AJ1333" s="19">
        <f>IF(NOT(ISNUMBER($A1333)),NA(),IFERROR(1*INDEX(BBG_Data!$X$2:$X$4000,MATCH($A1333,BBG_Data!$W$2:$W$4000,0)),NA()))</f>
        <v/>
      </c>
      <c r="AK1333" s="19">
        <f>IF(NOT(ISNUMBER($A1333)),NA(),IFERROR(1*INDEX(BBG_Data!$Z$2:$Z$4000,MATCH($A1333,BBG_Data!$Y$2:$Y$4000,0)),NA()))</f>
        <v/>
      </c>
    </row>
    <row r="1334">
      <c r="A1334" s="17">
        <f>IF(ISNUMBER(BBG_Data!A1334),BBG_Data!A1334,"")</f>
        <v/>
      </c>
      <c r="B1334" s="18">
        <f>IF(AND(ISNUMBER($A1334),ISNUMBER(BBG_Data!B1334)),BBG_Data!B1334,NA())</f>
        <v/>
      </c>
      <c r="C1334" s="18">
        <f>IF(NOT(ISNUMBER($A1334)),NA(),IFERROR(1*INDEX(BBG_Data!$D$2:$D$4000,MATCH($A1334,BBG_Data!$C$2:$C$4000,0)),NA()))</f>
        <v/>
      </c>
      <c r="D1334" s="19">
        <f>IF(NOT(ISNUMBER($A1334)),NA(),IFERROR(1*INDEX(BBG_Data!$F$2:$F$4000,MATCH($A1334,BBG_Data!$E$2:$E$4000,0)),NA()))</f>
        <v/>
      </c>
      <c r="E1334" s="19">
        <f>IF(NOT(ISNUMBER($A1334)),NA(),IFERROR(1*INDEX(BBG_Data!$H$2:$H$4000,MATCH($A1334,BBG_Data!$G$2:$G$4000,0)),NA()))</f>
        <v/>
      </c>
      <c r="F1334" s="20">
        <f>IF(AND(ISNUMBER(B1334),ISNUMBER(B1333)),IF(B1334=B1333,"",(B1334-B1333)*100),"")</f>
        <v/>
      </c>
      <c r="G1334" s="20">
        <f>IF(AND(ISNUMBER(C1334),ISNUMBER(C1333)),IF(C1334=C1333,"",(C1334-C1333)*100),"")</f>
        <v/>
      </c>
      <c r="H1334" s="20">
        <f>IF(OR(NOT(ISNUMBER($A1334)),ROW()-2&lt;Settings!$B$11),NA(),IF(COUNT(OFFSET(F1334,1-Settings!$B$11,0,Settings!$B$11,1))&lt;ROUNDUP(Settings!$B$11*Settings!$B$26,0),NA(),STDEV(OFFSET(F1334,1-Settings!$B$11,0,Settings!$B$11,1))*SQRT(Settings!$B$13)))</f>
        <v/>
      </c>
      <c r="I1334" s="20">
        <f>IF(OR(NOT(ISNUMBER($A1334)),ROW()-2&lt;Settings!$B$12),NA(),IF(COUNT(OFFSET(F1334,1-Settings!$B$12,0,Settings!$B$12,1))&lt;ROUNDUP(Settings!$B$12*Settings!$B$26,0),NA(),STDEV(OFFSET(F1334,1-Settings!$B$12,0,Settings!$B$12,1))*SQRT(Settings!$B$13)))</f>
        <v/>
      </c>
      <c r="J1334" s="20">
        <f>IF(OR(NOT(ISNUMBER($A1334)),ROW()-2&lt;Settings!$B$11),NA(),IF(COUNT(OFFSET(G1334,1-Settings!$B$11,0,Settings!$B$11,1))&lt;ROUNDUP(Settings!$B$11*Settings!$B$26,0),NA(),STDEV(OFFSET(G1334,1-Settings!$B$11,0,Settings!$B$11,1))*SQRT(Settings!$B$13)))</f>
        <v/>
      </c>
      <c r="K1334" s="20">
        <f>IF(OR(NOT(ISNUMBER($A1334)),ROW()-2&lt;Settings!$B$12),NA(),IF(COUNT(OFFSET(G1334,1-Settings!$B$12,0,Settings!$B$12,1))&lt;ROUNDUP(Settings!$B$12*Settings!$B$26,0),NA(),STDEV(OFFSET(G1334,1-Settings!$B$12,0,Settings!$B$12,1))*SQRT(Settings!$B$13)))</f>
        <v/>
      </c>
      <c r="L1334" s="20">
        <f>IF(AND(ISNUMBER(D1334),ISNUMBER(H1334)),D1334-H1334,NA())</f>
        <v/>
      </c>
      <c r="M1334" s="20">
        <f>IF(AND(ISNUMBER(E1334),ISNUMBER(K1334)),E1334-K1334,NA())</f>
        <v/>
      </c>
      <c r="N1334" s="20">
        <f>IF(NOT(ISNUMBER($A1334)),NA(),IF(COUNT(OFFSET(G1334,1,0,Settings!$B$12,1))&lt;ROUNDUP(Settings!$B$12*Settings!$B$26,0),NA(),STDEV(OFFSET(G1334,1,0,Settings!$B$12,1))*SQRT(Settings!$B$13)))</f>
        <v/>
      </c>
      <c r="O1334" s="20">
        <f>IF(AND(ISNUMBER(E1334),ISNUMBER(N1334)),E1334-N1334,NA())</f>
        <v/>
      </c>
      <c r="P1334" s="19">
        <f>IF(NOT(ISNUMBER($A1334)),NA(),IF(OR($A1334&lt;MIN(KW_TP!$A$2:$A$2501),$A1334&gt;MAX(KW_TP!$A$2:$A$2501)),NA(),INDEX(KW_TP!$C$2:$C$2501,MATCH($A1334,KW_TP!$A$2:$A$2501,1))))</f>
        <v/>
      </c>
      <c r="Q1334" s="18">
        <f>IF(NOT(ISNUMBER($A1334)),NA(),IFERROR(1*INDEX(BBG_Data!$J$2:$J$4000,MATCH($A1334,BBG_Data!$I$2:$I$4000,0)),NA()))</f>
        <v/>
      </c>
      <c r="R1334" s="18">
        <f>IF(NOT(ISNUMBER($A1334)),NA(),IFERROR(1*INDEX(BBG_Data!$L$2:$L$4000,MATCH($A1334,BBG_Data!$K$2:$K$4000,0)),NA()))</f>
        <v/>
      </c>
      <c r="S1334" s="20">
        <f>IF(AND(ISNUMBER(B1334),ISNUMBER(Q1334),ISNUMBER(R1334)),(B1334-Q1334-R1334)*100,NA())</f>
        <v/>
      </c>
      <c r="T1334" s="20">
        <f>IF(AND(ISNUMBER(B1334),Settings!$B$17&gt;0),IF(ISNUMBER(INDEX($B:$B,Settings!$B$17)),(B1334-INDEX($B:$B,Settings!$B$17))*100,NA()),NA())</f>
        <v/>
      </c>
      <c r="U1334" s="20">
        <f>IF(AND(ISNUMBER(Q1334),Settings!$B$17&gt;0),IF(ISNUMBER(INDEX($Q:$Q,Settings!$B$17)),(Q1334-INDEX($Q:$Q,Settings!$B$17))*100,NA()),NA())</f>
        <v/>
      </c>
      <c r="V1334" s="20">
        <f>IF(AND(ISNUMBER(R1334),Settings!$B$17&gt;0),IF(ISNUMBER(INDEX($R:$R,Settings!$B$17)),(R1334-INDEX($R:$R,Settings!$B$17))*100,NA()),NA())</f>
        <v/>
      </c>
      <c r="W1334" s="20">
        <f>IF(AND(ISNUMBER(P1334),Settings!$B$17&gt;0),IF(ISNUMBER(INDEX($P:$P,Settings!$B$17)),P1334-INDEX($P:$P,Settings!$B$17),NA()),NA())</f>
        <v/>
      </c>
      <c r="X1334" s="19">
        <f>IF(NOT(ISNUMBER($A1334)),NA(),IF(OR($A1334&lt;MIN(DKW_10Y!$A$2:$A$2918),$A1334&gt;MAX(DKW_10Y!$A$2:$A$2918),Settings!$B$16&lt;MIN(DKW_10Y!$A$2:$A$2918)),NA(),(INDEX(DKW_10Y!$B$2:$B$2918,MATCH($A1334,DKW_10Y!$A$2:$A$2918,1))-INDEX(DKW_10Y!$B$2:$B$2918,MATCH(Settings!$B$16,DKW_10Y!$A$2:$A$2918,1)))*100))</f>
        <v/>
      </c>
      <c r="Y1334" s="19">
        <f>IF(NOT(ISNUMBER($A1334)),NA(),IF(OR($A1334&lt;MIN(DKW_10Y!$A$2:$A$2918),$A1334&gt;MAX(DKW_10Y!$A$2:$A$2918),Settings!$B$16&lt;MIN(DKW_10Y!$A$2:$A$2918)),NA(),(INDEX(DKW_10Y!$C$2:$C$2918,MATCH($A1334,DKW_10Y!$A$2:$A$2918,1))-INDEX(DKW_10Y!$C$2:$C$2918,MATCH(Settings!$B$16,DKW_10Y!$A$2:$A$2918,1)))*100))</f>
        <v/>
      </c>
      <c r="Z1334" s="19">
        <f>IF(NOT(ISNUMBER($A1334)),NA(),IF(OR($A1334&lt;MIN(DKW_10Y!$A$2:$A$2918),$A1334&gt;MAX(DKW_10Y!$A$2:$A$2918),Settings!$B$16&lt;MIN(DKW_10Y!$A$2:$A$2918)),NA(),(INDEX(DKW_10Y!$D$2:$D$2918,MATCH($A1334,DKW_10Y!$A$2:$A$2918,1))-INDEX(DKW_10Y!$D$2:$D$2918,MATCH(Settings!$B$16,DKW_10Y!$A$2:$A$2918,1)))*100))</f>
        <v/>
      </c>
      <c r="AA1334" s="19">
        <f>IF(NOT(ISNUMBER($A1334)),NA(),IF(OR($A1334&lt;MIN(DKW_10Y!$A$2:$A$2918),$A1334&gt;MAX(DKW_10Y!$A$2:$A$2918),Settings!$B$16&lt;MIN(DKW_10Y!$A$2:$A$2918)),NA(),(INDEX(DKW_10Y!$E$2:$E$2918,MATCH($A1334,DKW_10Y!$A$2:$A$2918,1))-INDEX(DKW_10Y!$E$2:$E$2918,MATCH(Settings!$B$16,DKW_10Y!$A$2:$A$2918,1)))*100))</f>
        <v/>
      </c>
      <c r="AB1334" s="19">
        <f>IF(NOT(ISNUMBER($A1334)),NA(),IF(OR($A1334&lt;MIN(DKW_10Y!$A$2:$A$2918),$A1334&gt;MAX(DKW_10Y!$A$2:$A$2918),Settings!$B$16&lt;MIN(DKW_10Y!$A$2:$A$2918)),NA(),(INDEX(DKW_10Y!$H$2:$H$2918,MATCH($A1334,DKW_10Y!$A$2:$A$2918,1))-INDEX(DKW_10Y!$H$2:$H$2918,MATCH(Settings!$B$16,DKW_10Y!$A$2:$A$2918,1)))*100))</f>
        <v/>
      </c>
      <c r="AC1334" s="18">
        <f>IF(NOT(ISNUMBER($A1334)),NA(),IFERROR(1*INDEX(BBG_Data!$N$2:$N$4000,MATCH($A1334,BBG_Data!$M$2:$M$4000,0)),NA()))</f>
        <v/>
      </c>
      <c r="AD1334" s="18">
        <f>IF(NOT(ISNUMBER($A1334)),NA(),IFERROR(1*INDEX(BBG_Data!$P$2:$P$4000,MATCH($A1334,BBG_Data!$O$2:$O$4000,0)),NA()))</f>
        <v/>
      </c>
      <c r="AE1334" s="18">
        <f>IF(NOT(ISNUMBER($A1334)),NA(),IFERROR(1*INDEX(BBG_Data!$R$2:$R$4000,MATCH($A1334,BBG_Data!$Q$2:$Q$4000,0)),NA()))</f>
        <v/>
      </c>
      <c r="AF1334" s="20">
        <f>IF(AND(ISNUMBER(B1334),ISNUMBER(AC1334)),(B1334-AC1334)*100,NA())</f>
        <v/>
      </c>
      <c r="AG1334" s="20">
        <f>IF(AND(ISNUMBER(AE1334),ISNUMBER(AD1334)),(AE1334-AD1334)*100,NA())</f>
        <v/>
      </c>
      <c r="AH1334" s="19">
        <f>IF(NOT(ISNUMBER($A1334)),NA(),IFERROR(INDEX(BBG_Data!$T$2:$T$4000,MATCH($A1334,BBG_Data!$S$2:$S$4000,0))*Settings!$B$25,NA()))</f>
        <v/>
      </c>
      <c r="AI1334" s="19">
        <f>IF(NOT(ISNUMBER($A1334)),NA(),IFERROR(INDEX(BBG_Data!$V$2:$V$4000,MATCH($A1334,BBG_Data!$U$2:$U$4000,0))*Settings!$B$25,NA()))</f>
        <v/>
      </c>
      <c r="AJ1334" s="19">
        <f>IF(NOT(ISNUMBER($A1334)),NA(),IFERROR(1*INDEX(BBG_Data!$X$2:$X$4000,MATCH($A1334,BBG_Data!$W$2:$W$4000,0)),NA()))</f>
        <v/>
      </c>
      <c r="AK1334" s="19">
        <f>IF(NOT(ISNUMBER($A1334)),NA(),IFERROR(1*INDEX(BBG_Data!$Z$2:$Z$4000,MATCH($A1334,BBG_Data!$Y$2:$Y$4000,0)),NA()))</f>
        <v/>
      </c>
    </row>
    <row r="1335">
      <c r="A1335" s="17">
        <f>IF(ISNUMBER(BBG_Data!A1335),BBG_Data!A1335,"")</f>
        <v/>
      </c>
      <c r="B1335" s="18">
        <f>IF(AND(ISNUMBER($A1335),ISNUMBER(BBG_Data!B1335)),BBG_Data!B1335,NA())</f>
        <v/>
      </c>
      <c r="C1335" s="18">
        <f>IF(NOT(ISNUMBER($A1335)),NA(),IFERROR(1*INDEX(BBG_Data!$D$2:$D$4000,MATCH($A1335,BBG_Data!$C$2:$C$4000,0)),NA()))</f>
        <v/>
      </c>
      <c r="D1335" s="19">
        <f>IF(NOT(ISNUMBER($A1335)),NA(),IFERROR(1*INDEX(BBG_Data!$F$2:$F$4000,MATCH($A1335,BBG_Data!$E$2:$E$4000,0)),NA()))</f>
        <v/>
      </c>
      <c r="E1335" s="19">
        <f>IF(NOT(ISNUMBER($A1335)),NA(),IFERROR(1*INDEX(BBG_Data!$H$2:$H$4000,MATCH($A1335,BBG_Data!$G$2:$G$4000,0)),NA()))</f>
        <v/>
      </c>
      <c r="F1335" s="20">
        <f>IF(AND(ISNUMBER(B1335),ISNUMBER(B1334)),IF(B1335=B1334,"",(B1335-B1334)*100),"")</f>
        <v/>
      </c>
      <c r="G1335" s="20">
        <f>IF(AND(ISNUMBER(C1335),ISNUMBER(C1334)),IF(C1335=C1334,"",(C1335-C1334)*100),"")</f>
        <v/>
      </c>
      <c r="H1335" s="20">
        <f>IF(OR(NOT(ISNUMBER($A1335)),ROW()-2&lt;Settings!$B$11),NA(),IF(COUNT(OFFSET(F1335,1-Settings!$B$11,0,Settings!$B$11,1))&lt;ROUNDUP(Settings!$B$11*Settings!$B$26,0),NA(),STDEV(OFFSET(F1335,1-Settings!$B$11,0,Settings!$B$11,1))*SQRT(Settings!$B$13)))</f>
        <v/>
      </c>
      <c r="I1335" s="20">
        <f>IF(OR(NOT(ISNUMBER($A1335)),ROW()-2&lt;Settings!$B$12),NA(),IF(COUNT(OFFSET(F1335,1-Settings!$B$12,0,Settings!$B$12,1))&lt;ROUNDUP(Settings!$B$12*Settings!$B$26,0),NA(),STDEV(OFFSET(F1335,1-Settings!$B$12,0,Settings!$B$12,1))*SQRT(Settings!$B$13)))</f>
        <v/>
      </c>
      <c r="J1335" s="20">
        <f>IF(OR(NOT(ISNUMBER($A1335)),ROW()-2&lt;Settings!$B$11),NA(),IF(COUNT(OFFSET(G1335,1-Settings!$B$11,0,Settings!$B$11,1))&lt;ROUNDUP(Settings!$B$11*Settings!$B$26,0),NA(),STDEV(OFFSET(G1335,1-Settings!$B$11,0,Settings!$B$11,1))*SQRT(Settings!$B$13)))</f>
        <v/>
      </c>
      <c r="K1335" s="20">
        <f>IF(OR(NOT(ISNUMBER($A1335)),ROW()-2&lt;Settings!$B$12),NA(),IF(COUNT(OFFSET(G1335,1-Settings!$B$12,0,Settings!$B$12,1))&lt;ROUNDUP(Settings!$B$12*Settings!$B$26,0),NA(),STDEV(OFFSET(G1335,1-Settings!$B$12,0,Settings!$B$12,1))*SQRT(Settings!$B$13)))</f>
        <v/>
      </c>
      <c r="L1335" s="20">
        <f>IF(AND(ISNUMBER(D1335),ISNUMBER(H1335)),D1335-H1335,NA())</f>
        <v/>
      </c>
      <c r="M1335" s="20">
        <f>IF(AND(ISNUMBER(E1335),ISNUMBER(K1335)),E1335-K1335,NA())</f>
        <v/>
      </c>
      <c r="N1335" s="20">
        <f>IF(NOT(ISNUMBER($A1335)),NA(),IF(COUNT(OFFSET(G1335,1,0,Settings!$B$12,1))&lt;ROUNDUP(Settings!$B$12*Settings!$B$26,0),NA(),STDEV(OFFSET(G1335,1,0,Settings!$B$12,1))*SQRT(Settings!$B$13)))</f>
        <v/>
      </c>
      <c r="O1335" s="20">
        <f>IF(AND(ISNUMBER(E1335),ISNUMBER(N1335)),E1335-N1335,NA())</f>
        <v/>
      </c>
      <c r="P1335" s="19">
        <f>IF(NOT(ISNUMBER($A1335)),NA(),IF(OR($A1335&lt;MIN(KW_TP!$A$2:$A$2501),$A1335&gt;MAX(KW_TP!$A$2:$A$2501)),NA(),INDEX(KW_TP!$C$2:$C$2501,MATCH($A1335,KW_TP!$A$2:$A$2501,1))))</f>
        <v/>
      </c>
      <c r="Q1335" s="18">
        <f>IF(NOT(ISNUMBER($A1335)),NA(),IFERROR(1*INDEX(BBG_Data!$J$2:$J$4000,MATCH($A1335,BBG_Data!$I$2:$I$4000,0)),NA()))</f>
        <v/>
      </c>
      <c r="R1335" s="18">
        <f>IF(NOT(ISNUMBER($A1335)),NA(),IFERROR(1*INDEX(BBG_Data!$L$2:$L$4000,MATCH($A1335,BBG_Data!$K$2:$K$4000,0)),NA()))</f>
        <v/>
      </c>
      <c r="S1335" s="20">
        <f>IF(AND(ISNUMBER(B1335),ISNUMBER(Q1335),ISNUMBER(R1335)),(B1335-Q1335-R1335)*100,NA())</f>
        <v/>
      </c>
      <c r="T1335" s="20">
        <f>IF(AND(ISNUMBER(B1335),Settings!$B$17&gt;0),IF(ISNUMBER(INDEX($B:$B,Settings!$B$17)),(B1335-INDEX($B:$B,Settings!$B$17))*100,NA()),NA())</f>
        <v/>
      </c>
      <c r="U1335" s="20">
        <f>IF(AND(ISNUMBER(Q1335),Settings!$B$17&gt;0),IF(ISNUMBER(INDEX($Q:$Q,Settings!$B$17)),(Q1335-INDEX($Q:$Q,Settings!$B$17))*100,NA()),NA())</f>
        <v/>
      </c>
      <c r="V1335" s="20">
        <f>IF(AND(ISNUMBER(R1335),Settings!$B$17&gt;0),IF(ISNUMBER(INDEX($R:$R,Settings!$B$17)),(R1335-INDEX($R:$R,Settings!$B$17))*100,NA()),NA())</f>
        <v/>
      </c>
      <c r="W1335" s="20">
        <f>IF(AND(ISNUMBER(P1335),Settings!$B$17&gt;0),IF(ISNUMBER(INDEX($P:$P,Settings!$B$17)),P1335-INDEX($P:$P,Settings!$B$17),NA()),NA())</f>
        <v/>
      </c>
      <c r="X1335" s="19">
        <f>IF(NOT(ISNUMBER($A1335)),NA(),IF(OR($A1335&lt;MIN(DKW_10Y!$A$2:$A$2918),$A1335&gt;MAX(DKW_10Y!$A$2:$A$2918),Settings!$B$16&lt;MIN(DKW_10Y!$A$2:$A$2918)),NA(),(INDEX(DKW_10Y!$B$2:$B$2918,MATCH($A1335,DKW_10Y!$A$2:$A$2918,1))-INDEX(DKW_10Y!$B$2:$B$2918,MATCH(Settings!$B$16,DKW_10Y!$A$2:$A$2918,1)))*100))</f>
        <v/>
      </c>
      <c r="Y1335" s="19">
        <f>IF(NOT(ISNUMBER($A1335)),NA(),IF(OR($A1335&lt;MIN(DKW_10Y!$A$2:$A$2918),$A1335&gt;MAX(DKW_10Y!$A$2:$A$2918),Settings!$B$16&lt;MIN(DKW_10Y!$A$2:$A$2918)),NA(),(INDEX(DKW_10Y!$C$2:$C$2918,MATCH($A1335,DKW_10Y!$A$2:$A$2918,1))-INDEX(DKW_10Y!$C$2:$C$2918,MATCH(Settings!$B$16,DKW_10Y!$A$2:$A$2918,1)))*100))</f>
        <v/>
      </c>
      <c r="Z1335" s="19">
        <f>IF(NOT(ISNUMBER($A1335)),NA(),IF(OR($A1335&lt;MIN(DKW_10Y!$A$2:$A$2918),$A1335&gt;MAX(DKW_10Y!$A$2:$A$2918),Settings!$B$16&lt;MIN(DKW_10Y!$A$2:$A$2918)),NA(),(INDEX(DKW_10Y!$D$2:$D$2918,MATCH($A1335,DKW_10Y!$A$2:$A$2918,1))-INDEX(DKW_10Y!$D$2:$D$2918,MATCH(Settings!$B$16,DKW_10Y!$A$2:$A$2918,1)))*100))</f>
        <v/>
      </c>
      <c r="AA1335" s="19">
        <f>IF(NOT(ISNUMBER($A1335)),NA(),IF(OR($A1335&lt;MIN(DKW_10Y!$A$2:$A$2918),$A1335&gt;MAX(DKW_10Y!$A$2:$A$2918),Settings!$B$16&lt;MIN(DKW_10Y!$A$2:$A$2918)),NA(),(INDEX(DKW_10Y!$E$2:$E$2918,MATCH($A1335,DKW_10Y!$A$2:$A$2918,1))-INDEX(DKW_10Y!$E$2:$E$2918,MATCH(Settings!$B$16,DKW_10Y!$A$2:$A$2918,1)))*100))</f>
        <v/>
      </c>
      <c r="AB1335" s="19">
        <f>IF(NOT(ISNUMBER($A1335)),NA(),IF(OR($A1335&lt;MIN(DKW_10Y!$A$2:$A$2918),$A1335&gt;MAX(DKW_10Y!$A$2:$A$2918),Settings!$B$16&lt;MIN(DKW_10Y!$A$2:$A$2918)),NA(),(INDEX(DKW_10Y!$H$2:$H$2918,MATCH($A1335,DKW_10Y!$A$2:$A$2918,1))-INDEX(DKW_10Y!$H$2:$H$2918,MATCH(Settings!$B$16,DKW_10Y!$A$2:$A$2918,1)))*100))</f>
        <v/>
      </c>
      <c r="AC1335" s="18">
        <f>IF(NOT(ISNUMBER($A1335)),NA(),IFERROR(1*INDEX(BBG_Data!$N$2:$N$4000,MATCH($A1335,BBG_Data!$M$2:$M$4000,0)),NA()))</f>
        <v/>
      </c>
      <c r="AD1335" s="18">
        <f>IF(NOT(ISNUMBER($A1335)),NA(),IFERROR(1*INDEX(BBG_Data!$P$2:$P$4000,MATCH($A1335,BBG_Data!$O$2:$O$4000,0)),NA()))</f>
        <v/>
      </c>
      <c r="AE1335" s="18">
        <f>IF(NOT(ISNUMBER($A1335)),NA(),IFERROR(1*INDEX(BBG_Data!$R$2:$R$4000,MATCH($A1335,BBG_Data!$Q$2:$Q$4000,0)),NA()))</f>
        <v/>
      </c>
      <c r="AF1335" s="20">
        <f>IF(AND(ISNUMBER(B1335),ISNUMBER(AC1335)),(B1335-AC1335)*100,NA())</f>
        <v/>
      </c>
      <c r="AG1335" s="20">
        <f>IF(AND(ISNUMBER(AE1335),ISNUMBER(AD1335)),(AE1335-AD1335)*100,NA())</f>
        <v/>
      </c>
      <c r="AH1335" s="19">
        <f>IF(NOT(ISNUMBER($A1335)),NA(),IFERROR(INDEX(BBG_Data!$T$2:$T$4000,MATCH($A1335,BBG_Data!$S$2:$S$4000,0))*Settings!$B$25,NA()))</f>
        <v/>
      </c>
      <c r="AI1335" s="19">
        <f>IF(NOT(ISNUMBER($A1335)),NA(),IFERROR(INDEX(BBG_Data!$V$2:$V$4000,MATCH($A1335,BBG_Data!$U$2:$U$4000,0))*Settings!$B$25,NA()))</f>
        <v/>
      </c>
      <c r="AJ1335" s="19">
        <f>IF(NOT(ISNUMBER($A1335)),NA(),IFERROR(1*INDEX(BBG_Data!$X$2:$X$4000,MATCH($A1335,BBG_Data!$W$2:$W$4000,0)),NA()))</f>
        <v/>
      </c>
      <c r="AK1335" s="19">
        <f>IF(NOT(ISNUMBER($A1335)),NA(),IFERROR(1*INDEX(BBG_Data!$Z$2:$Z$4000,MATCH($A1335,BBG_Data!$Y$2:$Y$4000,0)),NA()))</f>
        <v/>
      </c>
    </row>
    <row r="1336">
      <c r="A1336" s="17">
        <f>IF(ISNUMBER(BBG_Data!A1336),BBG_Data!A1336,"")</f>
        <v/>
      </c>
      <c r="B1336" s="18">
        <f>IF(AND(ISNUMBER($A1336),ISNUMBER(BBG_Data!B1336)),BBG_Data!B1336,NA())</f>
        <v/>
      </c>
      <c r="C1336" s="18">
        <f>IF(NOT(ISNUMBER($A1336)),NA(),IFERROR(1*INDEX(BBG_Data!$D$2:$D$4000,MATCH($A1336,BBG_Data!$C$2:$C$4000,0)),NA()))</f>
        <v/>
      </c>
      <c r="D1336" s="19">
        <f>IF(NOT(ISNUMBER($A1336)),NA(),IFERROR(1*INDEX(BBG_Data!$F$2:$F$4000,MATCH($A1336,BBG_Data!$E$2:$E$4000,0)),NA()))</f>
        <v/>
      </c>
      <c r="E1336" s="19">
        <f>IF(NOT(ISNUMBER($A1336)),NA(),IFERROR(1*INDEX(BBG_Data!$H$2:$H$4000,MATCH($A1336,BBG_Data!$G$2:$G$4000,0)),NA()))</f>
        <v/>
      </c>
      <c r="F1336" s="20">
        <f>IF(AND(ISNUMBER(B1336),ISNUMBER(B1335)),IF(B1336=B1335,"",(B1336-B1335)*100),"")</f>
        <v/>
      </c>
      <c r="G1336" s="20">
        <f>IF(AND(ISNUMBER(C1336),ISNUMBER(C1335)),IF(C1336=C1335,"",(C1336-C1335)*100),"")</f>
        <v/>
      </c>
      <c r="H1336" s="20">
        <f>IF(OR(NOT(ISNUMBER($A1336)),ROW()-2&lt;Settings!$B$11),NA(),IF(COUNT(OFFSET(F1336,1-Settings!$B$11,0,Settings!$B$11,1))&lt;ROUNDUP(Settings!$B$11*Settings!$B$26,0),NA(),STDEV(OFFSET(F1336,1-Settings!$B$11,0,Settings!$B$11,1))*SQRT(Settings!$B$13)))</f>
        <v/>
      </c>
      <c r="I1336" s="20">
        <f>IF(OR(NOT(ISNUMBER($A1336)),ROW()-2&lt;Settings!$B$12),NA(),IF(COUNT(OFFSET(F1336,1-Settings!$B$12,0,Settings!$B$12,1))&lt;ROUNDUP(Settings!$B$12*Settings!$B$26,0),NA(),STDEV(OFFSET(F1336,1-Settings!$B$12,0,Settings!$B$12,1))*SQRT(Settings!$B$13)))</f>
        <v/>
      </c>
      <c r="J1336" s="20">
        <f>IF(OR(NOT(ISNUMBER($A1336)),ROW()-2&lt;Settings!$B$11),NA(),IF(COUNT(OFFSET(G1336,1-Settings!$B$11,0,Settings!$B$11,1))&lt;ROUNDUP(Settings!$B$11*Settings!$B$26,0),NA(),STDEV(OFFSET(G1336,1-Settings!$B$11,0,Settings!$B$11,1))*SQRT(Settings!$B$13)))</f>
        <v/>
      </c>
      <c r="K1336" s="20">
        <f>IF(OR(NOT(ISNUMBER($A1336)),ROW()-2&lt;Settings!$B$12),NA(),IF(COUNT(OFFSET(G1336,1-Settings!$B$12,0,Settings!$B$12,1))&lt;ROUNDUP(Settings!$B$12*Settings!$B$26,0),NA(),STDEV(OFFSET(G1336,1-Settings!$B$12,0,Settings!$B$12,1))*SQRT(Settings!$B$13)))</f>
        <v/>
      </c>
      <c r="L1336" s="20">
        <f>IF(AND(ISNUMBER(D1336),ISNUMBER(H1336)),D1336-H1336,NA())</f>
        <v/>
      </c>
      <c r="M1336" s="20">
        <f>IF(AND(ISNUMBER(E1336),ISNUMBER(K1336)),E1336-K1336,NA())</f>
        <v/>
      </c>
      <c r="N1336" s="20">
        <f>IF(NOT(ISNUMBER($A1336)),NA(),IF(COUNT(OFFSET(G1336,1,0,Settings!$B$12,1))&lt;ROUNDUP(Settings!$B$12*Settings!$B$26,0),NA(),STDEV(OFFSET(G1336,1,0,Settings!$B$12,1))*SQRT(Settings!$B$13)))</f>
        <v/>
      </c>
      <c r="O1336" s="20">
        <f>IF(AND(ISNUMBER(E1336),ISNUMBER(N1336)),E1336-N1336,NA())</f>
        <v/>
      </c>
      <c r="P1336" s="19">
        <f>IF(NOT(ISNUMBER($A1336)),NA(),IF(OR($A1336&lt;MIN(KW_TP!$A$2:$A$2501),$A1336&gt;MAX(KW_TP!$A$2:$A$2501)),NA(),INDEX(KW_TP!$C$2:$C$2501,MATCH($A1336,KW_TP!$A$2:$A$2501,1))))</f>
        <v/>
      </c>
      <c r="Q1336" s="18">
        <f>IF(NOT(ISNUMBER($A1336)),NA(),IFERROR(1*INDEX(BBG_Data!$J$2:$J$4000,MATCH($A1336,BBG_Data!$I$2:$I$4000,0)),NA()))</f>
        <v/>
      </c>
      <c r="R1336" s="18">
        <f>IF(NOT(ISNUMBER($A1336)),NA(),IFERROR(1*INDEX(BBG_Data!$L$2:$L$4000,MATCH($A1336,BBG_Data!$K$2:$K$4000,0)),NA()))</f>
        <v/>
      </c>
      <c r="S1336" s="20">
        <f>IF(AND(ISNUMBER(B1336),ISNUMBER(Q1336),ISNUMBER(R1336)),(B1336-Q1336-R1336)*100,NA())</f>
        <v/>
      </c>
      <c r="T1336" s="20">
        <f>IF(AND(ISNUMBER(B1336),Settings!$B$17&gt;0),IF(ISNUMBER(INDEX($B:$B,Settings!$B$17)),(B1336-INDEX($B:$B,Settings!$B$17))*100,NA()),NA())</f>
        <v/>
      </c>
      <c r="U1336" s="20">
        <f>IF(AND(ISNUMBER(Q1336),Settings!$B$17&gt;0),IF(ISNUMBER(INDEX($Q:$Q,Settings!$B$17)),(Q1336-INDEX($Q:$Q,Settings!$B$17))*100,NA()),NA())</f>
        <v/>
      </c>
      <c r="V1336" s="20">
        <f>IF(AND(ISNUMBER(R1336),Settings!$B$17&gt;0),IF(ISNUMBER(INDEX($R:$R,Settings!$B$17)),(R1336-INDEX($R:$R,Settings!$B$17))*100,NA()),NA())</f>
        <v/>
      </c>
      <c r="W1336" s="20">
        <f>IF(AND(ISNUMBER(P1336),Settings!$B$17&gt;0),IF(ISNUMBER(INDEX($P:$P,Settings!$B$17)),P1336-INDEX($P:$P,Settings!$B$17),NA()),NA())</f>
        <v/>
      </c>
      <c r="X1336" s="19">
        <f>IF(NOT(ISNUMBER($A1336)),NA(),IF(OR($A1336&lt;MIN(DKW_10Y!$A$2:$A$2918),$A1336&gt;MAX(DKW_10Y!$A$2:$A$2918),Settings!$B$16&lt;MIN(DKW_10Y!$A$2:$A$2918)),NA(),(INDEX(DKW_10Y!$B$2:$B$2918,MATCH($A1336,DKW_10Y!$A$2:$A$2918,1))-INDEX(DKW_10Y!$B$2:$B$2918,MATCH(Settings!$B$16,DKW_10Y!$A$2:$A$2918,1)))*100))</f>
        <v/>
      </c>
      <c r="Y1336" s="19">
        <f>IF(NOT(ISNUMBER($A1336)),NA(),IF(OR($A1336&lt;MIN(DKW_10Y!$A$2:$A$2918),$A1336&gt;MAX(DKW_10Y!$A$2:$A$2918),Settings!$B$16&lt;MIN(DKW_10Y!$A$2:$A$2918)),NA(),(INDEX(DKW_10Y!$C$2:$C$2918,MATCH($A1336,DKW_10Y!$A$2:$A$2918,1))-INDEX(DKW_10Y!$C$2:$C$2918,MATCH(Settings!$B$16,DKW_10Y!$A$2:$A$2918,1)))*100))</f>
        <v/>
      </c>
      <c r="Z1336" s="19">
        <f>IF(NOT(ISNUMBER($A1336)),NA(),IF(OR($A1336&lt;MIN(DKW_10Y!$A$2:$A$2918),$A1336&gt;MAX(DKW_10Y!$A$2:$A$2918),Settings!$B$16&lt;MIN(DKW_10Y!$A$2:$A$2918)),NA(),(INDEX(DKW_10Y!$D$2:$D$2918,MATCH($A1336,DKW_10Y!$A$2:$A$2918,1))-INDEX(DKW_10Y!$D$2:$D$2918,MATCH(Settings!$B$16,DKW_10Y!$A$2:$A$2918,1)))*100))</f>
        <v/>
      </c>
      <c r="AA1336" s="19">
        <f>IF(NOT(ISNUMBER($A1336)),NA(),IF(OR($A1336&lt;MIN(DKW_10Y!$A$2:$A$2918),$A1336&gt;MAX(DKW_10Y!$A$2:$A$2918),Settings!$B$16&lt;MIN(DKW_10Y!$A$2:$A$2918)),NA(),(INDEX(DKW_10Y!$E$2:$E$2918,MATCH($A1336,DKW_10Y!$A$2:$A$2918,1))-INDEX(DKW_10Y!$E$2:$E$2918,MATCH(Settings!$B$16,DKW_10Y!$A$2:$A$2918,1)))*100))</f>
        <v/>
      </c>
      <c r="AB1336" s="19">
        <f>IF(NOT(ISNUMBER($A1336)),NA(),IF(OR($A1336&lt;MIN(DKW_10Y!$A$2:$A$2918),$A1336&gt;MAX(DKW_10Y!$A$2:$A$2918),Settings!$B$16&lt;MIN(DKW_10Y!$A$2:$A$2918)),NA(),(INDEX(DKW_10Y!$H$2:$H$2918,MATCH($A1336,DKW_10Y!$A$2:$A$2918,1))-INDEX(DKW_10Y!$H$2:$H$2918,MATCH(Settings!$B$16,DKW_10Y!$A$2:$A$2918,1)))*100))</f>
        <v/>
      </c>
      <c r="AC1336" s="18">
        <f>IF(NOT(ISNUMBER($A1336)),NA(),IFERROR(1*INDEX(BBG_Data!$N$2:$N$4000,MATCH($A1336,BBG_Data!$M$2:$M$4000,0)),NA()))</f>
        <v/>
      </c>
      <c r="AD1336" s="18">
        <f>IF(NOT(ISNUMBER($A1336)),NA(),IFERROR(1*INDEX(BBG_Data!$P$2:$P$4000,MATCH($A1336,BBG_Data!$O$2:$O$4000,0)),NA()))</f>
        <v/>
      </c>
      <c r="AE1336" s="18">
        <f>IF(NOT(ISNUMBER($A1336)),NA(),IFERROR(1*INDEX(BBG_Data!$R$2:$R$4000,MATCH($A1336,BBG_Data!$Q$2:$Q$4000,0)),NA()))</f>
        <v/>
      </c>
      <c r="AF1336" s="20">
        <f>IF(AND(ISNUMBER(B1336),ISNUMBER(AC1336)),(B1336-AC1336)*100,NA())</f>
        <v/>
      </c>
      <c r="AG1336" s="20">
        <f>IF(AND(ISNUMBER(AE1336),ISNUMBER(AD1336)),(AE1336-AD1336)*100,NA())</f>
        <v/>
      </c>
      <c r="AH1336" s="19">
        <f>IF(NOT(ISNUMBER($A1336)),NA(),IFERROR(INDEX(BBG_Data!$T$2:$T$4000,MATCH($A1336,BBG_Data!$S$2:$S$4000,0))*Settings!$B$25,NA()))</f>
        <v/>
      </c>
      <c r="AI1336" s="19">
        <f>IF(NOT(ISNUMBER($A1336)),NA(),IFERROR(INDEX(BBG_Data!$V$2:$V$4000,MATCH($A1336,BBG_Data!$U$2:$U$4000,0))*Settings!$B$25,NA()))</f>
        <v/>
      </c>
      <c r="AJ1336" s="19">
        <f>IF(NOT(ISNUMBER($A1336)),NA(),IFERROR(1*INDEX(BBG_Data!$X$2:$X$4000,MATCH($A1336,BBG_Data!$W$2:$W$4000,0)),NA()))</f>
        <v/>
      </c>
      <c r="AK1336" s="19">
        <f>IF(NOT(ISNUMBER($A1336)),NA(),IFERROR(1*INDEX(BBG_Data!$Z$2:$Z$4000,MATCH($A1336,BBG_Data!$Y$2:$Y$4000,0)),NA()))</f>
        <v/>
      </c>
    </row>
    <row r="1337">
      <c r="A1337" s="17">
        <f>IF(ISNUMBER(BBG_Data!A1337),BBG_Data!A1337,"")</f>
        <v/>
      </c>
      <c r="B1337" s="18">
        <f>IF(AND(ISNUMBER($A1337),ISNUMBER(BBG_Data!B1337)),BBG_Data!B1337,NA())</f>
        <v/>
      </c>
      <c r="C1337" s="18">
        <f>IF(NOT(ISNUMBER($A1337)),NA(),IFERROR(1*INDEX(BBG_Data!$D$2:$D$4000,MATCH($A1337,BBG_Data!$C$2:$C$4000,0)),NA()))</f>
        <v/>
      </c>
      <c r="D1337" s="19">
        <f>IF(NOT(ISNUMBER($A1337)),NA(),IFERROR(1*INDEX(BBG_Data!$F$2:$F$4000,MATCH($A1337,BBG_Data!$E$2:$E$4000,0)),NA()))</f>
        <v/>
      </c>
      <c r="E1337" s="19">
        <f>IF(NOT(ISNUMBER($A1337)),NA(),IFERROR(1*INDEX(BBG_Data!$H$2:$H$4000,MATCH($A1337,BBG_Data!$G$2:$G$4000,0)),NA()))</f>
        <v/>
      </c>
      <c r="F1337" s="20">
        <f>IF(AND(ISNUMBER(B1337),ISNUMBER(B1336)),IF(B1337=B1336,"",(B1337-B1336)*100),"")</f>
        <v/>
      </c>
      <c r="G1337" s="20">
        <f>IF(AND(ISNUMBER(C1337),ISNUMBER(C1336)),IF(C1337=C1336,"",(C1337-C1336)*100),"")</f>
        <v/>
      </c>
      <c r="H1337" s="20">
        <f>IF(OR(NOT(ISNUMBER($A1337)),ROW()-2&lt;Settings!$B$11),NA(),IF(COUNT(OFFSET(F1337,1-Settings!$B$11,0,Settings!$B$11,1))&lt;ROUNDUP(Settings!$B$11*Settings!$B$26,0),NA(),STDEV(OFFSET(F1337,1-Settings!$B$11,0,Settings!$B$11,1))*SQRT(Settings!$B$13)))</f>
        <v/>
      </c>
      <c r="I1337" s="20">
        <f>IF(OR(NOT(ISNUMBER($A1337)),ROW()-2&lt;Settings!$B$12),NA(),IF(COUNT(OFFSET(F1337,1-Settings!$B$12,0,Settings!$B$12,1))&lt;ROUNDUP(Settings!$B$12*Settings!$B$26,0),NA(),STDEV(OFFSET(F1337,1-Settings!$B$12,0,Settings!$B$12,1))*SQRT(Settings!$B$13)))</f>
        <v/>
      </c>
      <c r="J1337" s="20">
        <f>IF(OR(NOT(ISNUMBER($A1337)),ROW()-2&lt;Settings!$B$11),NA(),IF(COUNT(OFFSET(G1337,1-Settings!$B$11,0,Settings!$B$11,1))&lt;ROUNDUP(Settings!$B$11*Settings!$B$26,0),NA(),STDEV(OFFSET(G1337,1-Settings!$B$11,0,Settings!$B$11,1))*SQRT(Settings!$B$13)))</f>
        <v/>
      </c>
      <c r="K1337" s="20">
        <f>IF(OR(NOT(ISNUMBER($A1337)),ROW()-2&lt;Settings!$B$12),NA(),IF(COUNT(OFFSET(G1337,1-Settings!$B$12,0,Settings!$B$12,1))&lt;ROUNDUP(Settings!$B$12*Settings!$B$26,0),NA(),STDEV(OFFSET(G1337,1-Settings!$B$12,0,Settings!$B$12,1))*SQRT(Settings!$B$13)))</f>
        <v/>
      </c>
      <c r="L1337" s="20">
        <f>IF(AND(ISNUMBER(D1337),ISNUMBER(H1337)),D1337-H1337,NA())</f>
        <v/>
      </c>
      <c r="M1337" s="20">
        <f>IF(AND(ISNUMBER(E1337),ISNUMBER(K1337)),E1337-K1337,NA())</f>
        <v/>
      </c>
      <c r="N1337" s="20">
        <f>IF(NOT(ISNUMBER($A1337)),NA(),IF(COUNT(OFFSET(G1337,1,0,Settings!$B$12,1))&lt;ROUNDUP(Settings!$B$12*Settings!$B$26,0),NA(),STDEV(OFFSET(G1337,1,0,Settings!$B$12,1))*SQRT(Settings!$B$13)))</f>
        <v/>
      </c>
      <c r="O1337" s="20">
        <f>IF(AND(ISNUMBER(E1337),ISNUMBER(N1337)),E1337-N1337,NA())</f>
        <v/>
      </c>
      <c r="P1337" s="19">
        <f>IF(NOT(ISNUMBER($A1337)),NA(),IF(OR($A1337&lt;MIN(KW_TP!$A$2:$A$2501),$A1337&gt;MAX(KW_TP!$A$2:$A$2501)),NA(),INDEX(KW_TP!$C$2:$C$2501,MATCH($A1337,KW_TP!$A$2:$A$2501,1))))</f>
        <v/>
      </c>
      <c r="Q1337" s="18">
        <f>IF(NOT(ISNUMBER($A1337)),NA(),IFERROR(1*INDEX(BBG_Data!$J$2:$J$4000,MATCH($A1337,BBG_Data!$I$2:$I$4000,0)),NA()))</f>
        <v/>
      </c>
      <c r="R1337" s="18">
        <f>IF(NOT(ISNUMBER($A1337)),NA(),IFERROR(1*INDEX(BBG_Data!$L$2:$L$4000,MATCH($A1337,BBG_Data!$K$2:$K$4000,0)),NA()))</f>
        <v/>
      </c>
      <c r="S1337" s="20">
        <f>IF(AND(ISNUMBER(B1337),ISNUMBER(Q1337),ISNUMBER(R1337)),(B1337-Q1337-R1337)*100,NA())</f>
        <v/>
      </c>
      <c r="T1337" s="20">
        <f>IF(AND(ISNUMBER(B1337),Settings!$B$17&gt;0),IF(ISNUMBER(INDEX($B:$B,Settings!$B$17)),(B1337-INDEX($B:$B,Settings!$B$17))*100,NA()),NA())</f>
        <v/>
      </c>
      <c r="U1337" s="20">
        <f>IF(AND(ISNUMBER(Q1337),Settings!$B$17&gt;0),IF(ISNUMBER(INDEX($Q:$Q,Settings!$B$17)),(Q1337-INDEX($Q:$Q,Settings!$B$17))*100,NA()),NA())</f>
        <v/>
      </c>
      <c r="V1337" s="20">
        <f>IF(AND(ISNUMBER(R1337),Settings!$B$17&gt;0),IF(ISNUMBER(INDEX($R:$R,Settings!$B$17)),(R1337-INDEX($R:$R,Settings!$B$17))*100,NA()),NA())</f>
        <v/>
      </c>
      <c r="W1337" s="20">
        <f>IF(AND(ISNUMBER(P1337),Settings!$B$17&gt;0),IF(ISNUMBER(INDEX($P:$P,Settings!$B$17)),P1337-INDEX($P:$P,Settings!$B$17),NA()),NA())</f>
        <v/>
      </c>
      <c r="X1337" s="19">
        <f>IF(NOT(ISNUMBER($A1337)),NA(),IF(OR($A1337&lt;MIN(DKW_10Y!$A$2:$A$2918),$A1337&gt;MAX(DKW_10Y!$A$2:$A$2918),Settings!$B$16&lt;MIN(DKW_10Y!$A$2:$A$2918)),NA(),(INDEX(DKW_10Y!$B$2:$B$2918,MATCH($A1337,DKW_10Y!$A$2:$A$2918,1))-INDEX(DKW_10Y!$B$2:$B$2918,MATCH(Settings!$B$16,DKW_10Y!$A$2:$A$2918,1)))*100))</f>
        <v/>
      </c>
      <c r="Y1337" s="19">
        <f>IF(NOT(ISNUMBER($A1337)),NA(),IF(OR($A1337&lt;MIN(DKW_10Y!$A$2:$A$2918),$A1337&gt;MAX(DKW_10Y!$A$2:$A$2918),Settings!$B$16&lt;MIN(DKW_10Y!$A$2:$A$2918)),NA(),(INDEX(DKW_10Y!$C$2:$C$2918,MATCH($A1337,DKW_10Y!$A$2:$A$2918,1))-INDEX(DKW_10Y!$C$2:$C$2918,MATCH(Settings!$B$16,DKW_10Y!$A$2:$A$2918,1)))*100))</f>
        <v/>
      </c>
      <c r="Z1337" s="19">
        <f>IF(NOT(ISNUMBER($A1337)),NA(),IF(OR($A1337&lt;MIN(DKW_10Y!$A$2:$A$2918),$A1337&gt;MAX(DKW_10Y!$A$2:$A$2918),Settings!$B$16&lt;MIN(DKW_10Y!$A$2:$A$2918)),NA(),(INDEX(DKW_10Y!$D$2:$D$2918,MATCH($A1337,DKW_10Y!$A$2:$A$2918,1))-INDEX(DKW_10Y!$D$2:$D$2918,MATCH(Settings!$B$16,DKW_10Y!$A$2:$A$2918,1)))*100))</f>
        <v/>
      </c>
      <c r="AA1337" s="19">
        <f>IF(NOT(ISNUMBER($A1337)),NA(),IF(OR($A1337&lt;MIN(DKW_10Y!$A$2:$A$2918),$A1337&gt;MAX(DKW_10Y!$A$2:$A$2918),Settings!$B$16&lt;MIN(DKW_10Y!$A$2:$A$2918)),NA(),(INDEX(DKW_10Y!$E$2:$E$2918,MATCH($A1337,DKW_10Y!$A$2:$A$2918,1))-INDEX(DKW_10Y!$E$2:$E$2918,MATCH(Settings!$B$16,DKW_10Y!$A$2:$A$2918,1)))*100))</f>
        <v/>
      </c>
      <c r="AB1337" s="19">
        <f>IF(NOT(ISNUMBER($A1337)),NA(),IF(OR($A1337&lt;MIN(DKW_10Y!$A$2:$A$2918),$A1337&gt;MAX(DKW_10Y!$A$2:$A$2918),Settings!$B$16&lt;MIN(DKW_10Y!$A$2:$A$2918)),NA(),(INDEX(DKW_10Y!$H$2:$H$2918,MATCH($A1337,DKW_10Y!$A$2:$A$2918,1))-INDEX(DKW_10Y!$H$2:$H$2918,MATCH(Settings!$B$16,DKW_10Y!$A$2:$A$2918,1)))*100))</f>
        <v/>
      </c>
      <c r="AC1337" s="18">
        <f>IF(NOT(ISNUMBER($A1337)),NA(),IFERROR(1*INDEX(BBG_Data!$N$2:$N$4000,MATCH($A1337,BBG_Data!$M$2:$M$4000,0)),NA()))</f>
        <v/>
      </c>
      <c r="AD1337" s="18">
        <f>IF(NOT(ISNUMBER($A1337)),NA(),IFERROR(1*INDEX(BBG_Data!$P$2:$P$4000,MATCH($A1337,BBG_Data!$O$2:$O$4000,0)),NA()))</f>
        <v/>
      </c>
      <c r="AE1337" s="18">
        <f>IF(NOT(ISNUMBER($A1337)),NA(),IFERROR(1*INDEX(BBG_Data!$R$2:$R$4000,MATCH($A1337,BBG_Data!$Q$2:$Q$4000,0)),NA()))</f>
        <v/>
      </c>
      <c r="AF1337" s="20">
        <f>IF(AND(ISNUMBER(B1337),ISNUMBER(AC1337)),(B1337-AC1337)*100,NA())</f>
        <v/>
      </c>
      <c r="AG1337" s="20">
        <f>IF(AND(ISNUMBER(AE1337),ISNUMBER(AD1337)),(AE1337-AD1337)*100,NA())</f>
        <v/>
      </c>
      <c r="AH1337" s="19">
        <f>IF(NOT(ISNUMBER($A1337)),NA(),IFERROR(INDEX(BBG_Data!$T$2:$T$4000,MATCH($A1337,BBG_Data!$S$2:$S$4000,0))*Settings!$B$25,NA()))</f>
        <v/>
      </c>
      <c r="AI1337" s="19">
        <f>IF(NOT(ISNUMBER($A1337)),NA(),IFERROR(INDEX(BBG_Data!$V$2:$V$4000,MATCH($A1337,BBG_Data!$U$2:$U$4000,0))*Settings!$B$25,NA()))</f>
        <v/>
      </c>
      <c r="AJ1337" s="19">
        <f>IF(NOT(ISNUMBER($A1337)),NA(),IFERROR(1*INDEX(BBG_Data!$X$2:$X$4000,MATCH($A1337,BBG_Data!$W$2:$W$4000,0)),NA()))</f>
        <v/>
      </c>
      <c r="AK1337" s="19">
        <f>IF(NOT(ISNUMBER($A1337)),NA(),IFERROR(1*INDEX(BBG_Data!$Z$2:$Z$4000,MATCH($A1337,BBG_Data!$Y$2:$Y$4000,0)),NA()))</f>
        <v/>
      </c>
    </row>
    <row r="1338">
      <c r="A1338" s="17">
        <f>IF(ISNUMBER(BBG_Data!A1338),BBG_Data!A1338,"")</f>
        <v/>
      </c>
      <c r="B1338" s="18">
        <f>IF(AND(ISNUMBER($A1338),ISNUMBER(BBG_Data!B1338)),BBG_Data!B1338,NA())</f>
        <v/>
      </c>
      <c r="C1338" s="18">
        <f>IF(NOT(ISNUMBER($A1338)),NA(),IFERROR(1*INDEX(BBG_Data!$D$2:$D$4000,MATCH($A1338,BBG_Data!$C$2:$C$4000,0)),NA()))</f>
        <v/>
      </c>
      <c r="D1338" s="19">
        <f>IF(NOT(ISNUMBER($A1338)),NA(),IFERROR(1*INDEX(BBG_Data!$F$2:$F$4000,MATCH($A1338,BBG_Data!$E$2:$E$4000,0)),NA()))</f>
        <v/>
      </c>
      <c r="E1338" s="19">
        <f>IF(NOT(ISNUMBER($A1338)),NA(),IFERROR(1*INDEX(BBG_Data!$H$2:$H$4000,MATCH($A1338,BBG_Data!$G$2:$G$4000,0)),NA()))</f>
        <v/>
      </c>
      <c r="F1338" s="20">
        <f>IF(AND(ISNUMBER(B1338),ISNUMBER(B1337)),IF(B1338=B1337,"",(B1338-B1337)*100),"")</f>
        <v/>
      </c>
      <c r="G1338" s="20">
        <f>IF(AND(ISNUMBER(C1338),ISNUMBER(C1337)),IF(C1338=C1337,"",(C1338-C1337)*100),"")</f>
        <v/>
      </c>
      <c r="H1338" s="20">
        <f>IF(OR(NOT(ISNUMBER($A1338)),ROW()-2&lt;Settings!$B$11),NA(),IF(COUNT(OFFSET(F1338,1-Settings!$B$11,0,Settings!$B$11,1))&lt;ROUNDUP(Settings!$B$11*Settings!$B$26,0),NA(),STDEV(OFFSET(F1338,1-Settings!$B$11,0,Settings!$B$11,1))*SQRT(Settings!$B$13)))</f>
        <v/>
      </c>
      <c r="I1338" s="20">
        <f>IF(OR(NOT(ISNUMBER($A1338)),ROW()-2&lt;Settings!$B$12),NA(),IF(COUNT(OFFSET(F1338,1-Settings!$B$12,0,Settings!$B$12,1))&lt;ROUNDUP(Settings!$B$12*Settings!$B$26,0),NA(),STDEV(OFFSET(F1338,1-Settings!$B$12,0,Settings!$B$12,1))*SQRT(Settings!$B$13)))</f>
        <v/>
      </c>
      <c r="J1338" s="20">
        <f>IF(OR(NOT(ISNUMBER($A1338)),ROW()-2&lt;Settings!$B$11),NA(),IF(COUNT(OFFSET(G1338,1-Settings!$B$11,0,Settings!$B$11,1))&lt;ROUNDUP(Settings!$B$11*Settings!$B$26,0),NA(),STDEV(OFFSET(G1338,1-Settings!$B$11,0,Settings!$B$11,1))*SQRT(Settings!$B$13)))</f>
        <v/>
      </c>
      <c r="K1338" s="20">
        <f>IF(OR(NOT(ISNUMBER($A1338)),ROW()-2&lt;Settings!$B$12),NA(),IF(COUNT(OFFSET(G1338,1-Settings!$B$12,0,Settings!$B$12,1))&lt;ROUNDUP(Settings!$B$12*Settings!$B$26,0),NA(),STDEV(OFFSET(G1338,1-Settings!$B$12,0,Settings!$B$12,1))*SQRT(Settings!$B$13)))</f>
        <v/>
      </c>
      <c r="L1338" s="20">
        <f>IF(AND(ISNUMBER(D1338),ISNUMBER(H1338)),D1338-H1338,NA())</f>
        <v/>
      </c>
      <c r="M1338" s="20">
        <f>IF(AND(ISNUMBER(E1338),ISNUMBER(K1338)),E1338-K1338,NA())</f>
        <v/>
      </c>
      <c r="N1338" s="20">
        <f>IF(NOT(ISNUMBER($A1338)),NA(),IF(COUNT(OFFSET(G1338,1,0,Settings!$B$12,1))&lt;ROUNDUP(Settings!$B$12*Settings!$B$26,0),NA(),STDEV(OFFSET(G1338,1,0,Settings!$B$12,1))*SQRT(Settings!$B$13)))</f>
        <v/>
      </c>
      <c r="O1338" s="20">
        <f>IF(AND(ISNUMBER(E1338),ISNUMBER(N1338)),E1338-N1338,NA())</f>
        <v/>
      </c>
      <c r="P1338" s="19">
        <f>IF(NOT(ISNUMBER($A1338)),NA(),IF(OR($A1338&lt;MIN(KW_TP!$A$2:$A$2501),$A1338&gt;MAX(KW_TP!$A$2:$A$2501)),NA(),INDEX(KW_TP!$C$2:$C$2501,MATCH($A1338,KW_TP!$A$2:$A$2501,1))))</f>
        <v/>
      </c>
      <c r="Q1338" s="18">
        <f>IF(NOT(ISNUMBER($A1338)),NA(),IFERROR(1*INDEX(BBG_Data!$J$2:$J$4000,MATCH($A1338,BBG_Data!$I$2:$I$4000,0)),NA()))</f>
        <v/>
      </c>
      <c r="R1338" s="18">
        <f>IF(NOT(ISNUMBER($A1338)),NA(),IFERROR(1*INDEX(BBG_Data!$L$2:$L$4000,MATCH($A1338,BBG_Data!$K$2:$K$4000,0)),NA()))</f>
        <v/>
      </c>
      <c r="S1338" s="20">
        <f>IF(AND(ISNUMBER(B1338),ISNUMBER(Q1338),ISNUMBER(R1338)),(B1338-Q1338-R1338)*100,NA())</f>
        <v/>
      </c>
      <c r="T1338" s="20">
        <f>IF(AND(ISNUMBER(B1338),Settings!$B$17&gt;0),IF(ISNUMBER(INDEX($B:$B,Settings!$B$17)),(B1338-INDEX($B:$B,Settings!$B$17))*100,NA()),NA())</f>
        <v/>
      </c>
      <c r="U1338" s="20">
        <f>IF(AND(ISNUMBER(Q1338),Settings!$B$17&gt;0),IF(ISNUMBER(INDEX($Q:$Q,Settings!$B$17)),(Q1338-INDEX($Q:$Q,Settings!$B$17))*100,NA()),NA())</f>
        <v/>
      </c>
      <c r="V1338" s="20">
        <f>IF(AND(ISNUMBER(R1338),Settings!$B$17&gt;0),IF(ISNUMBER(INDEX($R:$R,Settings!$B$17)),(R1338-INDEX($R:$R,Settings!$B$17))*100,NA()),NA())</f>
        <v/>
      </c>
      <c r="W1338" s="20">
        <f>IF(AND(ISNUMBER(P1338),Settings!$B$17&gt;0),IF(ISNUMBER(INDEX($P:$P,Settings!$B$17)),P1338-INDEX($P:$P,Settings!$B$17),NA()),NA())</f>
        <v/>
      </c>
      <c r="X1338" s="19">
        <f>IF(NOT(ISNUMBER($A1338)),NA(),IF(OR($A1338&lt;MIN(DKW_10Y!$A$2:$A$2918),$A1338&gt;MAX(DKW_10Y!$A$2:$A$2918),Settings!$B$16&lt;MIN(DKW_10Y!$A$2:$A$2918)),NA(),(INDEX(DKW_10Y!$B$2:$B$2918,MATCH($A1338,DKW_10Y!$A$2:$A$2918,1))-INDEX(DKW_10Y!$B$2:$B$2918,MATCH(Settings!$B$16,DKW_10Y!$A$2:$A$2918,1)))*100))</f>
        <v/>
      </c>
      <c r="Y1338" s="19">
        <f>IF(NOT(ISNUMBER($A1338)),NA(),IF(OR($A1338&lt;MIN(DKW_10Y!$A$2:$A$2918),$A1338&gt;MAX(DKW_10Y!$A$2:$A$2918),Settings!$B$16&lt;MIN(DKW_10Y!$A$2:$A$2918)),NA(),(INDEX(DKW_10Y!$C$2:$C$2918,MATCH($A1338,DKW_10Y!$A$2:$A$2918,1))-INDEX(DKW_10Y!$C$2:$C$2918,MATCH(Settings!$B$16,DKW_10Y!$A$2:$A$2918,1)))*100))</f>
        <v/>
      </c>
      <c r="Z1338" s="19">
        <f>IF(NOT(ISNUMBER($A1338)),NA(),IF(OR($A1338&lt;MIN(DKW_10Y!$A$2:$A$2918),$A1338&gt;MAX(DKW_10Y!$A$2:$A$2918),Settings!$B$16&lt;MIN(DKW_10Y!$A$2:$A$2918)),NA(),(INDEX(DKW_10Y!$D$2:$D$2918,MATCH($A1338,DKW_10Y!$A$2:$A$2918,1))-INDEX(DKW_10Y!$D$2:$D$2918,MATCH(Settings!$B$16,DKW_10Y!$A$2:$A$2918,1)))*100))</f>
        <v/>
      </c>
      <c r="AA1338" s="19">
        <f>IF(NOT(ISNUMBER($A1338)),NA(),IF(OR($A1338&lt;MIN(DKW_10Y!$A$2:$A$2918),$A1338&gt;MAX(DKW_10Y!$A$2:$A$2918),Settings!$B$16&lt;MIN(DKW_10Y!$A$2:$A$2918)),NA(),(INDEX(DKW_10Y!$E$2:$E$2918,MATCH($A1338,DKW_10Y!$A$2:$A$2918,1))-INDEX(DKW_10Y!$E$2:$E$2918,MATCH(Settings!$B$16,DKW_10Y!$A$2:$A$2918,1)))*100))</f>
        <v/>
      </c>
      <c r="AB1338" s="19">
        <f>IF(NOT(ISNUMBER($A1338)),NA(),IF(OR($A1338&lt;MIN(DKW_10Y!$A$2:$A$2918),$A1338&gt;MAX(DKW_10Y!$A$2:$A$2918),Settings!$B$16&lt;MIN(DKW_10Y!$A$2:$A$2918)),NA(),(INDEX(DKW_10Y!$H$2:$H$2918,MATCH($A1338,DKW_10Y!$A$2:$A$2918,1))-INDEX(DKW_10Y!$H$2:$H$2918,MATCH(Settings!$B$16,DKW_10Y!$A$2:$A$2918,1)))*100))</f>
        <v/>
      </c>
      <c r="AC1338" s="18">
        <f>IF(NOT(ISNUMBER($A1338)),NA(),IFERROR(1*INDEX(BBG_Data!$N$2:$N$4000,MATCH($A1338,BBG_Data!$M$2:$M$4000,0)),NA()))</f>
        <v/>
      </c>
      <c r="AD1338" s="18">
        <f>IF(NOT(ISNUMBER($A1338)),NA(),IFERROR(1*INDEX(BBG_Data!$P$2:$P$4000,MATCH($A1338,BBG_Data!$O$2:$O$4000,0)),NA()))</f>
        <v/>
      </c>
      <c r="AE1338" s="18">
        <f>IF(NOT(ISNUMBER($A1338)),NA(),IFERROR(1*INDEX(BBG_Data!$R$2:$R$4000,MATCH($A1338,BBG_Data!$Q$2:$Q$4000,0)),NA()))</f>
        <v/>
      </c>
      <c r="AF1338" s="20">
        <f>IF(AND(ISNUMBER(B1338),ISNUMBER(AC1338)),(B1338-AC1338)*100,NA())</f>
        <v/>
      </c>
      <c r="AG1338" s="20">
        <f>IF(AND(ISNUMBER(AE1338),ISNUMBER(AD1338)),(AE1338-AD1338)*100,NA())</f>
        <v/>
      </c>
      <c r="AH1338" s="19">
        <f>IF(NOT(ISNUMBER($A1338)),NA(),IFERROR(INDEX(BBG_Data!$T$2:$T$4000,MATCH($A1338,BBG_Data!$S$2:$S$4000,0))*Settings!$B$25,NA()))</f>
        <v/>
      </c>
      <c r="AI1338" s="19">
        <f>IF(NOT(ISNUMBER($A1338)),NA(),IFERROR(INDEX(BBG_Data!$V$2:$V$4000,MATCH($A1338,BBG_Data!$U$2:$U$4000,0))*Settings!$B$25,NA()))</f>
        <v/>
      </c>
      <c r="AJ1338" s="19">
        <f>IF(NOT(ISNUMBER($A1338)),NA(),IFERROR(1*INDEX(BBG_Data!$X$2:$X$4000,MATCH($A1338,BBG_Data!$W$2:$W$4000,0)),NA()))</f>
        <v/>
      </c>
      <c r="AK1338" s="19">
        <f>IF(NOT(ISNUMBER($A1338)),NA(),IFERROR(1*INDEX(BBG_Data!$Z$2:$Z$4000,MATCH($A1338,BBG_Data!$Y$2:$Y$4000,0)),NA()))</f>
        <v/>
      </c>
    </row>
    <row r="1339">
      <c r="A1339" s="17">
        <f>IF(ISNUMBER(BBG_Data!A1339),BBG_Data!A1339,"")</f>
        <v/>
      </c>
      <c r="B1339" s="18">
        <f>IF(AND(ISNUMBER($A1339),ISNUMBER(BBG_Data!B1339)),BBG_Data!B1339,NA())</f>
        <v/>
      </c>
      <c r="C1339" s="18">
        <f>IF(NOT(ISNUMBER($A1339)),NA(),IFERROR(1*INDEX(BBG_Data!$D$2:$D$4000,MATCH($A1339,BBG_Data!$C$2:$C$4000,0)),NA()))</f>
        <v/>
      </c>
      <c r="D1339" s="19">
        <f>IF(NOT(ISNUMBER($A1339)),NA(),IFERROR(1*INDEX(BBG_Data!$F$2:$F$4000,MATCH($A1339,BBG_Data!$E$2:$E$4000,0)),NA()))</f>
        <v/>
      </c>
      <c r="E1339" s="19">
        <f>IF(NOT(ISNUMBER($A1339)),NA(),IFERROR(1*INDEX(BBG_Data!$H$2:$H$4000,MATCH($A1339,BBG_Data!$G$2:$G$4000,0)),NA()))</f>
        <v/>
      </c>
      <c r="F1339" s="20">
        <f>IF(AND(ISNUMBER(B1339),ISNUMBER(B1338)),IF(B1339=B1338,"",(B1339-B1338)*100),"")</f>
        <v/>
      </c>
      <c r="G1339" s="20">
        <f>IF(AND(ISNUMBER(C1339),ISNUMBER(C1338)),IF(C1339=C1338,"",(C1339-C1338)*100),"")</f>
        <v/>
      </c>
      <c r="H1339" s="20">
        <f>IF(OR(NOT(ISNUMBER($A1339)),ROW()-2&lt;Settings!$B$11),NA(),IF(COUNT(OFFSET(F1339,1-Settings!$B$11,0,Settings!$B$11,1))&lt;ROUNDUP(Settings!$B$11*Settings!$B$26,0),NA(),STDEV(OFFSET(F1339,1-Settings!$B$11,0,Settings!$B$11,1))*SQRT(Settings!$B$13)))</f>
        <v/>
      </c>
      <c r="I1339" s="20">
        <f>IF(OR(NOT(ISNUMBER($A1339)),ROW()-2&lt;Settings!$B$12),NA(),IF(COUNT(OFFSET(F1339,1-Settings!$B$12,0,Settings!$B$12,1))&lt;ROUNDUP(Settings!$B$12*Settings!$B$26,0),NA(),STDEV(OFFSET(F1339,1-Settings!$B$12,0,Settings!$B$12,1))*SQRT(Settings!$B$13)))</f>
        <v/>
      </c>
      <c r="J1339" s="20">
        <f>IF(OR(NOT(ISNUMBER($A1339)),ROW()-2&lt;Settings!$B$11),NA(),IF(COUNT(OFFSET(G1339,1-Settings!$B$11,0,Settings!$B$11,1))&lt;ROUNDUP(Settings!$B$11*Settings!$B$26,0),NA(),STDEV(OFFSET(G1339,1-Settings!$B$11,0,Settings!$B$11,1))*SQRT(Settings!$B$13)))</f>
        <v/>
      </c>
      <c r="K1339" s="20">
        <f>IF(OR(NOT(ISNUMBER($A1339)),ROW()-2&lt;Settings!$B$12),NA(),IF(COUNT(OFFSET(G1339,1-Settings!$B$12,0,Settings!$B$12,1))&lt;ROUNDUP(Settings!$B$12*Settings!$B$26,0),NA(),STDEV(OFFSET(G1339,1-Settings!$B$12,0,Settings!$B$12,1))*SQRT(Settings!$B$13)))</f>
        <v/>
      </c>
      <c r="L1339" s="20">
        <f>IF(AND(ISNUMBER(D1339),ISNUMBER(H1339)),D1339-H1339,NA())</f>
        <v/>
      </c>
      <c r="M1339" s="20">
        <f>IF(AND(ISNUMBER(E1339),ISNUMBER(K1339)),E1339-K1339,NA())</f>
        <v/>
      </c>
      <c r="N1339" s="20">
        <f>IF(NOT(ISNUMBER($A1339)),NA(),IF(COUNT(OFFSET(G1339,1,0,Settings!$B$12,1))&lt;ROUNDUP(Settings!$B$12*Settings!$B$26,0),NA(),STDEV(OFFSET(G1339,1,0,Settings!$B$12,1))*SQRT(Settings!$B$13)))</f>
        <v/>
      </c>
      <c r="O1339" s="20">
        <f>IF(AND(ISNUMBER(E1339),ISNUMBER(N1339)),E1339-N1339,NA())</f>
        <v/>
      </c>
      <c r="P1339" s="19">
        <f>IF(NOT(ISNUMBER($A1339)),NA(),IF(OR($A1339&lt;MIN(KW_TP!$A$2:$A$2501),$A1339&gt;MAX(KW_TP!$A$2:$A$2501)),NA(),INDEX(KW_TP!$C$2:$C$2501,MATCH($A1339,KW_TP!$A$2:$A$2501,1))))</f>
        <v/>
      </c>
      <c r="Q1339" s="18">
        <f>IF(NOT(ISNUMBER($A1339)),NA(),IFERROR(1*INDEX(BBG_Data!$J$2:$J$4000,MATCH($A1339,BBG_Data!$I$2:$I$4000,0)),NA()))</f>
        <v/>
      </c>
      <c r="R1339" s="18">
        <f>IF(NOT(ISNUMBER($A1339)),NA(),IFERROR(1*INDEX(BBG_Data!$L$2:$L$4000,MATCH($A1339,BBG_Data!$K$2:$K$4000,0)),NA()))</f>
        <v/>
      </c>
      <c r="S1339" s="20">
        <f>IF(AND(ISNUMBER(B1339),ISNUMBER(Q1339),ISNUMBER(R1339)),(B1339-Q1339-R1339)*100,NA())</f>
        <v/>
      </c>
      <c r="T1339" s="20">
        <f>IF(AND(ISNUMBER(B1339),Settings!$B$17&gt;0),IF(ISNUMBER(INDEX($B:$B,Settings!$B$17)),(B1339-INDEX($B:$B,Settings!$B$17))*100,NA()),NA())</f>
        <v/>
      </c>
      <c r="U1339" s="20">
        <f>IF(AND(ISNUMBER(Q1339),Settings!$B$17&gt;0),IF(ISNUMBER(INDEX($Q:$Q,Settings!$B$17)),(Q1339-INDEX($Q:$Q,Settings!$B$17))*100,NA()),NA())</f>
        <v/>
      </c>
      <c r="V1339" s="20">
        <f>IF(AND(ISNUMBER(R1339),Settings!$B$17&gt;0),IF(ISNUMBER(INDEX($R:$R,Settings!$B$17)),(R1339-INDEX($R:$R,Settings!$B$17))*100,NA()),NA())</f>
        <v/>
      </c>
      <c r="W1339" s="20">
        <f>IF(AND(ISNUMBER(P1339),Settings!$B$17&gt;0),IF(ISNUMBER(INDEX($P:$P,Settings!$B$17)),P1339-INDEX($P:$P,Settings!$B$17),NA()),NA())</f>
        <v/>
      </c>
      <c r="X1339" s="19">
        <f>IF(NOT(ISNUMBER($A1339)),NA(),IF(OR($A1339&lt;MIN(DKW_10Y!$A$2:$A$2918),$A1339&gt;MAX(DKW_10Y!$A$2:$A$2918),Settings!$B$16&lt;MIN(DKW_10Y!$A$2:$A$2918)),NA(),(INDEX(DKW_10Y!$B$2:$B$2918,MATCH($A1339,DKW_10Y!$A$2:$A$2918,1))-INDEX(DKW_10Y!$B$2:$B$2918,MATCH(Settings!$B$16,DKW_10Y!$A$2:$A$2918,1)))*100))</f>
        <v/>
      </c>
      <c r="Y1339" s="19">
        <f>IF(NOT(ISNUMBER($A1339)),NA(),IF(OR($A1339&lt;MIN(DKW_10Y!$A$2:$A$2918),$A1339&gt;MAX(DKW_10Y!$A$2:$A$2918),Settings!$B$16&lt;MIN(DKW_10Y!$A$2:$A$2918)),NA(),(INDEX(DKW_10Y!$C$2:$C$2918,MATCH($A1339,DKW_10Y!$A$2:$A$2918,1))-INDEX(DKW_10Y!$C$2:$C$2918,MATCH(Settings!$B$16,DKW_10Y!$A$2:$A$2918,1)))*100))</f>
        <v/>
      </c>
      <c r="Z1339" s="19">
        <f>IF(NOT(ISNUMBER($A1339)),NA(),IF(OR($A1339&lt;MIN(DKW_10Y!$A$2:$A$2918),$A1339&gt;MAX(DKW_10Y!$A$2:$A$2918),Settings!$B$16&lt;MIN(DKW_10Y!$A$2:$A$2918)),NA(),(INDEX(DKW_10Y!$D$2:$D$2918,MATCH($A1339,DKW_10Y!$A$2:$A$2918,1))-INDEX(DKW_10Y!$D$2:$D$2918,MATCH(Settings!$B$16,DKW_10Y!$A$2:$A$2918,1)))*100))</f>
        <v/>
      </c>
      <c r="AA1339" s="19">
        <f>IF(NOT(ISNUMBER($A1339)),NA(),IF(OR($A1339&lt;MIN(DKW_10Y!$A$2:$A$2918),$A1339&gt;MAX(DKW_10Y!$A$2:$A$2918),Settings!$B$16&lt;MIN(DKW_10Y!$A$2:$A$2918)),NA(),(INDEX(DKW_10Y!$E$2:$E$2918,MATCH($A1339,DKW_10Y!$A$2:$A$2918,1))-INDEX(DKW_10Y!$E$2:$E$2918,MATCH(Settings!$B$16,DKW_10Y!$A$2:$A$2918,1)))*100))</f>
        <v/>
      </c>
      <c r="AB1339" s="19">
        <f>IF(NOT(ISNUMBER($A1339)),NA(),IF(OR($A1339&lt;MIN(DKW_10Y!$A$2:$A$2918),$A1339&gt;MAX(DKW_10Y!$A$2:$A$2918),Settings!$B$16&lt;MIN(DKW_10Y!$A$2:$A$2918)),NA(),(INDEX(DKW_10Y!$H$2:$H$2918,MATCH($A1339,DKW_10Y!$A$2:$A$2918,1))-INDEX(DKW_10Y!$H$2:$H$2918,MATCH(Settings!$B$16,DKW_10Y!$A$2:$A$2918,1)))*100))</f>
        <v/>
      </c>
      <c r="AC1339" s="18">
        <f>IF(NOT(ISNUMBER($A1339)),NA(),IFERROR(1*INDEX(BBG_Data!$N$2:$N$4000,MATCH($A1339,BBG_Data!$M$2:$M$4000,0)),NA()))</f>
        <v/>
      </c>
      <c r="AD1339" s="18">
        <f>IF(NOT(ISNUMBER($A1339)),NA(),IFERROR(1*INDEX(BBG_Data!$P$2:$P$4000,MATCH($A1339,BBG_Data!$O$2:$O$4000,0)),NA()))</f>
        <v/>
      </c>
      <c r="AE1339" s="18">
        <f>IF(NOT(ISNUMBER($A1339)),NA(),IFERROR(1*INDEX(BBG_Data!$R$2:$R$4000,MATCH($A1339,BBG_Data!$Q$2:$Q$4000,0)),NA()))</f>
        <v/>
      </c>
      <c r="AF1339" s="20">
        <f>IF(AND(ISNUMBER(B1339),ISNUMBER(AC1339)),(B1339-AC1339)*100,NA())</f>
        <v/>
      </c>
      <c r="AG1339" s="20">
        <f>IF(AND(ISNUMBER(AE1339),ISNUMBER(AD1339)),(AE1339-AD1339)*100,NA())</f>
        <v/>
      </c>
      <c r="AH1339" s="19">
        <f>IF(NOT(ISNUMBER($A1339)),NA(),IFERROR(INDEX(BBG_Data!$T$2:$T$4000,MATCH($A1339,BBG_Data!$S$2:$S$4000,0))*Settings!$B$25,NA()))</f>
        <v/>
      </c>
      <c r="AI1339" s="19">
        <f>IF(NOT(ISNUMBER($A1339)),NA(),IFERROR(INDEX(BBG_Data!$V$2:$V$4000,MATCH($A1339,BBG_Data!$U$2:$U$4000,0))*Settings!$B$25,NA()))</f>
        <v/>
      </c>
      <c r="AJ1339" s="19">
        <f>IF(NOT(ISNUMBER($A1339)),NA(),IFERROR(1*INDEX(BBG_Data!$X$2:$X$4000,MATCH($A1339,BBG_Data!$W$2:$W$4000,0)),NA()))</f>
        <v/>
      </c>
      <c r="AK1339" s="19">
        <f>IF(NOT(ISNUMBER($A1339)),NA(),IFERROR(1*INDEX(BBG_Data!$Z$2:$Z$4000,MATCH($A1339,BBG_Data!$Y$2:$Y$4000,0)),NA()))</f>
        <v/>
      </c>
    </row>
    <row r="1340">
      <c r="A1340" s="17">
        <f>IF(ISNUMBER(BBG_Data!A1340),BBG_Data!A1340,"")</f>
        <v/>
      </c>
      <c r="B1340" s="18">
        <f>IF(AND(ISNUMBER($A1340),ISNUMBER(BBG_Data!B1340)),BBG_Data!B1340,NA())</f>
        <v/>
      </c>
      <c r="C1340" s="18">
        <f>IF(NOT(ISNUMBER($A1340)),NA(),IFERROR(1*INDEX(BBG_Data!$D$2:$D$4000,MATCH($A1340,BBG_Data!$C$2:$C$4000,0)),NA()))</f>
        <v/>
      </c>
      <c r="D1340" s="19">
        <f>IF(NOT(ISNUMBER($A1340)),NA(),IFERROR(1*INDEX(BBG_Data!$F$2:$F$4000,MATCH($A1340,BBG_Data!$E$2:$E$4000,0)),NA()))</f>
        <v/>
      </c>
      <c r="E1340" s="19">
        <f>IF(NOT(ISNUMBER($A1340)),NA(),IFERROR(1*INDEX(BBG_Data!$H$2:$H$4000,MATCH($A1340,BBG_Data!$G$2:$G$4000,0)),NA()))</f>
        <v/>
      </c>
      <c r="F1340" s="20">
        <f>IF(AND(ISNUMBER(B1340),ISNUMBER(B1339)),IF(B1340=B1339,"",(B1340-B1339)*100),"")</f>
        <v/>
      </c>
      <c r="G1340" s="20">
        <f>IF(AND(ISNUMBER(C1340),ISNUMBER(C1339)),IF(C1340=C1339,"",(C1340-C1339)*100),"")</f>
        <v/>
      </c>
      <c r="H1340" s="20">
        <f>IF(OR(NOT(ISNUMBER($A1340)),ROW()-2&lt;Settings!$B$11),NA(),IF(COUNT(OFFSET(F1340,1-Settings!$B$11,0,Settings!$B$11,1))&lt;ROUNDUP(Settings!$B$11*Settings!$B$26,0),NA(),STDEV(OFFSET(F1340,1-Settings!$B$11,0,Settings!$B$11,1))*SQRT(Settings!$B$13)))</f>
        <v/>
      </c>
      <c r="I1340" s="20">
        <f>IF(OR(NOT(ISNUMBER($A1340)),ROW()-2&lt;Settings!$B$12),NA(),IF(COUNT(OFFSET(F1340,1-Settings!$B$12,0,Settings!$B$12,1))&lt;ROUNDUP(Settings!$B$12*Settings!$B$26,0),NA(),STDEV(OFFSET(F1340,1-Settings!$B$12,0,Settings!$B$12,1))*SQRT(Settings!$B$13)))</f>
        <v/>
      </c>
      <c r="J1340" s="20">
        <f>IF(OR(NOT(ISNUMBER($A1340)),ROW()-2&lt;Settings!$B$11),NA(),IF(COUNT(OFFSET(G1340,1-Settings!$B$11,0,Settings!$B$11,1))&lt;ROUNDUP(Settings!$B$11*Settings!$B$26,0),NA(),STDEV(OFFSET(G1340,1-Settings!$B$11,0,Settings!$B$11,1))*SQRT(Settings!$B$13)))</f>
        <v/>
      </c>
      <c r="K1340" s="20">
        <f>IF(OR(NOT(ISNUMBER($A1340)),ROW()-2&lt;Settings!$B$12),NA(),IF(COUNT(OFFSET(G1340,1-Settings!$B$12,0,Settings!$B$12,1))&lt;ROUNDUP(Settings!$B$12*Settings!$B$26,0),NA(),STDEV(OFFSET(G1340,1-Settings!$B$12,0,Settings!$B$12,1))*SQRT(Settings!$B$13)))</f>
        <v/>
      </c>
      <c r="L1340" s="20">
        <f>IF(AND(ISNUMBER(D1340),ISNUMBER(H1340)),D1340-H1340,NA())</f>
        <v/>
      </c>
      <c r="M1340" s="20">
        <f>IF(AND(ISNUMBER(E1340),ISNUMBER(K1340)),E1340-K1340,NA())</f>
        <v/>
      </c>
      <c r="N1340" s="20">
        <f>IF(NOT(ISNUMBER($A1340)),NA(),IF(COUNT(OFFSET(G1340,1,0,Settings!$B$12,1))&lt;ROUNDUP(Settings!$B$12*Settings!$B$26,0),NA(),STDEV(OFFSET(G1340,1,0,Settings!$B$12,1))*SQRT(Settings!$B$13)))</f>
        <v/>
      </c>
      <c r="O1340" s="20">
        <f>IF(AND(ISNUMBER(E1340),ISNUMBER(N1340)),E1340-N1340,NA())</f>
        <v/>
      </c>
      <c r="P1340" s="19">
        <f>IF(NOT(ISNUMBER($A1340)),NA(),IF(OR($A1340&lt;MIN(KW_TP!$A$2:$A$2501),$A1340&gt;MAX(KW_TP!$A$2:$A$2501)),NA(),INDEX(KW_TP!$C$2:$C$2501,MATCH($A1340,KW_TP!$A$2:$A$2501,1))))</f>
        <v/>
      </c>
      <c r="Q1340" s="18">
        <f>IF(NOT(ISNUMBER($A1340)),NA(),IFERROR(1*INDEX(BBG_Data!$J$2:$J$4000,MATCH($A1340,BBG_Data!$I$2:$I$4000,0)),NA()))</f>
        <v/>
      </c>
      <c r="R1340" s="18">
        <f>IF(NOT(ISNUMBER($A1340)),NA(),IFERROR(1*INDEX(BBG_Data!$L$2:$L$4000,MATCH($A1340,BBG_Data!$K$2:$K$4000,0)),NA()))</f>
        <v/>
      </c>
      <c r="S1340" s="20">
        <f>IF(AND(ISNUMBER(B1340),ISNUMBER(Q1340),ISNUMBER(R1340)),(B1340-Q1340-R1340)*100,NA())</f>
        <v/>
      </c>
      <c r="T1340" s="20">
        <f>IF(AND(ISNUMBER(B1340),Settings!$B$17&gt;0),IF(ISNUMBER(INDEX($B:$B,Settings!$B$17)),(B1340-INDEX($B:$B,Settings!$B$17))*100,NA()),NA())</f>
        <v/>
      </c>
      <c r="U1340" s="20">
        <f>IF(AND(ISNUMBER(Q1340),Settings!$B$17&gt;0),IF(ISNUMBER(INDEX($Q:$Q,Settings!$B$17)),(Q1340-INDEX($Q:$Q,Settings!$B$17))*100,NA()),NA())</f>
        <v/>
      </c>
      <c r="V1340" s="20">
        <f>IF(AND(ISNUMBER(R1340),Settings!$B$17&gt;0),IF(ISNUMBER(INDEX($R:$R,Settings!$B$17)),(R1340-INDEX($R:$R,Settings!$B$17))*100,NA()),NA())</f>
        <v/>
      </c>
      <c r="W1340" s="20">
        <f>IF(AND(ISNUMBER(P1340),Settings!$B$17&gt;0),IF(ISNUMBER(INDEX($P:$P,Settings!$B$17)),P1340-INDEX($P:$P,Settings!$B$17),NA()),NA())</f>
        <v/>
      </c>
      <c r="X1340" s="19">
        <f>IF(NOT(ISNUMBER($A1340)),NA(),IF(OR($A1340&lt;MIN(DKW_10Y!$A$2:$A$2918),$A1340&gt;MAX(DKW_10Y!$A$2:$A$2918),Settings!$B$16&lt;MIN(DKW_10Y!$A$2:$A$2918)),NA(),(INDEX(DKW_10Y!$B$2:$B$2918,MATCH($A1340,DKW_10Y!$A$2:$A$2918,1))-INDEX(DKW_10Y!$B$2:$B$2918,MATCH(Settings!$B$16,DKW_10Y!$A$2:$A$2918,1)))*100))</f>
        <v/>
      </c>
      <c r="Y1340" s="19">
        <f>IF(NOT(ISNUMBER($A1340)),NA(),IF(OR($A1340&lt;MIN(DKW_10Y!$A$2:$A$2918),$A1340&gt;MAX(DKW_10Y!$A$2:$A$2918),Settings!$B$16&lt;MIN(DKW_10Y!$A$2:$A$2918)),NA(),(INDEX(DKW_10Y!$C$2:$C$2918,MATCH($A1340,DKW_10Y!$A$2:$A$2918,1))-INDEX(DKW_10Y!$C$2:$C$2918,MATCH(Settings!$B$16,DKW_10Y!$A$2:$A$2918,1)))*100))</f>
        <v/>
      </c>
      <c r="Z1340" s="19">
        <f>IF(NOT(ISNUMBER($A1340)),NA(),IF(OR($A1340&lt;MIN(DKW_10Y!$A$2:$A$2918),$A1340&gt;MAX(DKW_10Y!$A$2:$A$2918),Settings!$B$16&lt;MIN(DKW_10Y!$A$2:$A$2918)),NA(),(INDEX(DKW_10Y!$D$2:$D$2918,MATCH($A1340,DKW_10Y!$A$2:$A$2918,1))-INDEX(DKW_10Y!$D$2:$D$2918,MATCH(Settings!$B$16,DKW_10Y!$A$2:$A$2918,1)))*100))</f>
        <v/>
      </c>
      <c r="AA1340" s="19">
        <f>IF(NOT(ISNUMBER($A1340)),NA(),IF(OR($A1340&lt;MIN(DKW_10Y!$A$2:$A$2918),$A1340&gt;MAX(DKW_10Y!$A$2:$A$2918),Settings!$B$16&lt;MIN(DKW_10Y!$A$2:$A$2918)),NA(),(INDEX(DKW_10Y!$E$2:$E$2918,MATCH($A1340,DKW_10Y!$A$2:$A$2918,1))-INDEX(DKW_10Y!$E$2:$E$2918,MATCH(Settings!$B$16,DKW_10Y!$A$2:$A$2918,1)))*100))</f>
        <v/>
      </c>
      <c r="AB1340" s="19">
        <f>IF(NOT(ISNUMBER($A1340)),NA(),IF(OR($A1340&lt;MIN(DKW_10Y!$A$2:$A$2918),$A1340&gt;MAX(DKW_10Y!$A$2:$A$2918),Settings!$B$16&lt;MIN(DKW_10Y!$A$2:$A$2918)),NA(),(INDEX(DKW_10Y!$H$2:$H$2918,MATCH($A1340,DKW_10Y!$A$2:$A$2918,1))-INDEX(DKW_10Y!$H$2:$H$2918,MATCH(Settings!$B$16,DKW_10Y!$A$2:$A$2918,1)))*100))</f>
        <v/>
      </c>
      <c r="AC1340" s="18">
        <f>IF(NOT(ISNUMBER($A1340)),NA(),IFERROR(1*INDEX(BBG_Data!$N$2:$N$4000,MATCH($A1340,BBG_Data!$M$2:$M$4000,0)),NA()))</f>
        <v/>
      </c>
      <c r="AD1340" s="18">
        <f>IF(NOT(ISNUMBER($A1340)),NA(),IFERROR(1*INDEX(BBG_Data!$P$2:$P$4000,MATCH($A1340,BBG_Data!$O$2:$O$4000,0)),NA()))</f>
        <v/>
      </c>
      <c r="AE1340" s="18">
        <f>IF(NOT(ISNUMBER($A1340)),NA(),IFERROR(1*INDEX(BBG_Data!$R$2:$R$4000,MATCH($A1340,BBG_Data!$Q$2:$Q$4000,0)),NA()))</f>
        <v/>
      </c>
      <c r="AF1340" s="20">
        <f>IF(AND(ISNUMBER(B1340),ISNUMBER(AC1340)),(B1340-AC1340)*100,NA())</f>
        <v/>
      </c>
      <c r="AG1340" s="20">
        <f>IF(AND(ISNUMBER(AE1340),ISNUMBER(AD1340)),(AE1340-AD1340)*100,NA())</f>
        <v/>
      </c>
      <c r="AH1340" s="19">
        <f>IF(NOT(ISNUMBER($A1340)),NA(),IFERROR(INDEX(BBG_Data!$T$2:$T$4000,MATCH($A1340,BBG_Data!$S$2:$S$4000,0))*Settings!$B$25,NA()))</f>
        <v/>
      </c>
      <c r="AI1340" s="19">
        <f>IF(NOT(ISNUMBER($A1340)),NA(),IFERROR(INDEX(BBG_Data!$V$2:$V$4000,MATCH($A1340,BBG_Data!$U$2:$U$4000,0))*Settings!$B$25,NA()))</f>
        <v/>
      </c>
      <c r="AJ1340" s="19">
        <f>IF(NOT(ISNUMBER($A1340)),NA(),IFERROR(1*INDEX(BBG_Data!$X$2:$X$4000,MATCH($A1340,BBG_Data!$W$2:$W$4000,0)),NA()))</f>
        <v/>
      </c>
      <c r="AK1340" s="19">
        <f>IF(NOT(ISNUMBER($A1340)),NA(),IFERROR(1*INDEX(BBG_Data!$Z$2:$Z$4000,MATCH($A1340,BBG_Data!$Y$2:$Y$4000,0)),NA()))</f>
        <v/>
      </c>
    </row>
    <row r="1341">
      <c r="A1341" s="17">
        <f>IF(ISNUMBER(BBG_Data!A1341),BBG_Data!A1341,"")</f>
        <v/>
      </c>
      <c r="B1341" s="18">
        <f>IF(AND(ISNUMBER($A1341),ISNUMBER(BBG_Data!B1341)),BBG_Data!B1341,NA())</f>
        <v/>
      </c>
      <c r="C1341" s="18">
        <f>IF(NOT(ISNUMBER($A1341)),NA(),IFERROR(1*INDEX(BBG_Data!$D$2:$D$4000,MATCH($A1341,BBG_Data!$C$2:$C$4000,0)),NA()))</f>
        <v/>
      </c>
      <c r="D1341" s="19">
        <f>IF(NOT(ISNUMBER($A1341)),NA(),IFERROR(1*INDEX(BBG_Data!$F$2:$F$4000,MATCH($A1341,BBG_Data!$E$2:$E$4000,0)),NA()))</f>
        <v/>
      </c>
      <c r="E1341" s="19">
        <f>IF(NOT(ISNUMBER($A1341)),NA(),IFERROR(1*INDEX(BBG_Data!$H$2:$H$4000,MATCH($A1341,BBG_Data!$G$2:$G$4000,0)),NA()))</f>
        <v/>
      </c>
      <c r="F1341" s="20">
        <f>IF(AND(ISNUMBER(B1341),ISNUMBER(B1340)),IF(B1341=B1340,"",(B1341-B1340)*100),"")</f>
        <v/>
      </c>
      <c r="G1341" s="20">
        <f>IF(AND(ISNUMBER(C1341),ISNUMBER(C1340)),IF(C1341=C1340,"",(C1341-C1340)*100),"")</f>
        <v/>
      </c>
      <c r="H1341" s="20">
        <f>IF(OR(NOT(ISNUMBER($A1341)),ROW()-2&lt;Settings!$B$11),NA(),IF(COUNT(OFFSET(F1341,1-Settings!$B$11,0,Settings!$B$11,1))&lt;ROUNDUP(Settings!$B$11*Settings!$B$26,0),NA(),STDEV(OFFSET(F1341,1-Settings!$B$11,0,Settings!$B$11,1))*SQRT(Settings!$B$13)))</f>
        <v/>
      </c>
      <c r="I1341" s="20">
        <f>IF(OR(NOT(ISNUMBER($A1341)),ROW()-2&lt;Settings!$B$12),NA(),IF(COUNT(OFFSET(F1341,1-Settings!$B$12,0,Settings!$B$12,1))&lt;ROUNDUP(Settings!$B$12*Settings!$B$26,0),NA(),STDEV(OFFSET(F1341,1-Settings!$B$12,0,Settings!$B$12,1))*SQRT(Settings!$B$13)))</f>
        <v/>
      </c>
      <c r="J1341" s="20">
        <f>IF(OR(NOT(ISNUMBER($A1341)),ROW()-2&lt;Settings!$B$11),NA(),IF(COUNT(OFFSET(G1341,1-Settings!$B$11,0,Settings!$B$11,1))&lt;ROUNDUP(Settings!$B$11*Settings!$B$26,0),NA(),STDEV(OFFSET(G1341,1-Settings!$B$11,0,Settings!$B$11,1))*SQRT(Settings!$B$13)))</f>
        <v/>
      </c>
      <c r="K1341" s="20">
        <f>IF(OR(NOT(ISNUMBER($A1341)),ROW()-2&lt;Settings!$B$12),NA(),IF(COUNT(OFFSET(G1341,1-Settings!$B$12,0,Settings!$B$12,1))&lt;ROUNDUP(Settings!$B$12*Settings!$B$26,0),NA(),STDEV(OFFSET(G1341,1-Settings!$B$12,0,Settings!$B$12,1))*SQRT(Settings!$B$13)))</f>
        <v/>
      </c>
      <c r="L1341" s="20">
        <f>IF(AND(ISNUMBER(D1341),ISNUMBER(H1341)),D1341-H1341,NA())</f>
        <v/>
      </c>
      <c r="M1341" s="20">
        <f>IF(AND(ISNUMBER(E1341),ISNUMBER(K1341)),E1341-K1341,NA())</f>
        <v/>
      </c>
      <c r="N1341" s="20">
        <f>IF(NOT(ISNUMBER($A1341)),NA(),IF(COUNT(OFFSET(G1341,1,0,Settings!$B$12,1))&lt;ROUNDUP(Settings!$B$12*Settings!$B$26,0),NA(),STDEV(OFFSET(G1341,1,0,Settings!$B$12,1))*SQRT(Settings!$B$13)))</f>
        <v/>
      </c>
      <c r="O1341" s="20">
        <f>IF(AND(ISNUMBER(E1341),ISNUMBER(N1341)),E1341-N1341,NA())</f>
        <v/>
      </c>
      <c r="P1341" s="19">
        <f>IF(NOT(ISNUMBER($A1341)),NA(),IF(OR($A1341&lt;MIN(KW_TP!$A$2:$A$2501),$A1341&gt;MAX(KW_TP!$A$2:$A$2501)),NA(),INDEX(KW_TP!$C$2:$C$2501,MATCH($A1341,KW_TP!$A$2:$A$2501,1))))</f>
        <v/>
      </c>
      <c r="Q1341" s="18">
        <f>IF(NOT(ISNUMBER($A1341)),NA(),IFERROR(1*INDEX(BBG_Data!$J$2:$J$4000,MATCH($A1341,BBG_Data!$I$2:$I$4000,0)),NA()))</f>
        <v/>
      </c>
      <c r="R1341" s="18">
        <f>IF(NOT(ISNUMBER($A1341)),NA(),IFERROR(1*INDEX(BBG_Data!$L$2:$L$4000,MATCH($A1341,BBG_Data!$K$2:$K$4000,0)),NA()))</f>
        <v/>
      </c>
      <c r="S1341" s="20">
        <f>IF(AND(ISNUMBER(B1341),ISNUMBER(Q1341),ISNUMBER(R1341)),(B1341-Q1341-R1341)*100,NA())</f>
        <v/>
      </c>
      <c r="T1341" s="20">
        <f>IF(AND(ISNUMBER(B1341),Settings!$B$17&gt;0),IF(ISNUMBER(INDEX($B:$B,Settings!$B$17)),(B1341-INDEX($B:$B,Settings!$B$17))*100,NA()),NA())</f>
        <v/>
      </c>
      <c r="U1341" s="20">
        <f>IF(AND(ISNUMBER(Q1341),Settings!$B$17&gt;0),IF(ISNUMBER(INDEX($Q:$Q,Settings!$B$17)),(Q1341-INDEX($Q:$Q,Settings!$B$17))*100,NA()),NA())</f>
        <v/>
      </c>
      <c r="V1341" s="20">
        <f>IF(AND(ISNUMBER(R1341),Settings!$B$17&gt;0),IF(ISNUMBER(INDEX($R:$R,Settings!$B$17)),(R1341-INDEX($R:$R,Settings!$B$17))*100,NA()),NA())</f>
        <v/>
      </c>
      <c r="W1341" s="20">
        <f>IF(AND(ISNUMBER(P1341),Settings!$B$17&gt;0),IF(ISNUMBER(INDEX($P:$P,Settings!$B$17)),P1341-INDEX($P:$P,Settings!$B$17),NA()),NA())</f>
        <v/>
      </c>
      <c r="X1341" s="19">
        <f>IF(NOT(ISNUMBER($A1341)),NA(),IF(OR($A1341&lt;MIN(DKW_10Y!$A$2:$A$2918),$A1341&gt;MAX(DKW_10Y!$A$2:$A$2918),Settings!$B$16&lt;MIN(DKW_10Y!$A$2:$A$2918)),NA(),(INDEX(DKW_10Y!$B$2:$B$2918,MATCH($A1341,DKW_10Y!$A$2:$A$2918,1))-INDEX(DKW_10Y!$B$2:$B$2918,MATCH(Settings!$B$16,DKW_10Y!$A$2:$A$2918,1)))*100))</f>
        <v/>
      </c>
      <c r="Y1341" s="19">
        <f>IF(NOT(ISNUMBER($A1341)),NA(),IF(OR($A1341&lt;MIN(DKW_10Y!$A$2:$A$2918),$A1341&gt;MAX(DKW_10Y!$A$2:$A$2918),Settings!$B$16&lt;MIN(DKW_10Y!$A$2:$A$2918)),NA(),(INDEX(DKW_10Y!$C$2:$C$2918,MATCH($A1341,DKW_10Y!$A$2:$A$2918,1))-INDEX(DKW_10Y!$C$2:$C$2918,MATCH(Settings!$B$16,DKW_10Y!$A$2:$A$2918,1)))*100))</f>
        <v/>
      </c>
      <c r="Z1341" s="19">
        <f>IF(NOT(ISNUMBER($A1341)),NA(),IF(OR($A1341&lt;MIN(DKW_10Y!$A$2:$A$2918),$A1341&gt;MAX(DKW_10Y!$A$2:$A$2918),Settings!$B$16&lt;MIN(DKW_10Y!$A$2:$A$2918)),NA(),(INDEX(DKW_10Y!$D$2:$D$2918,MATCH($A1341,DKW_10Y!$A$2:$A$2918,1))-INDEX(DKW_10Y!$D$2:$D$2918,MATCH(Settings!$B$16,DKW_10Y!$A$2:$A$2918,1)))*100))</f>
        <v/>
      </c>
      <c r="AA1341" s="19">
        <f>IF(NOT(ISNUMBER($A1341)),NA(),IF(OR($A1341&lt;MIN(DKW_10Y!$A$2:$A$2918),$A1341&gt;MAX(DKW_10Y!$A$2:$A$2918),Settings!$B$16&lt;MIN(DKW_10Y!$A$2:$A$2918)),NA(),(INDEX(DKW_10Y!$E$2:$E$2918,MATCH($A1341,DKW_10Y!$A$2:$A$2918,1))-INDEX(DKW_10Y!$E$2:$E$2918,MATCH(Settings!$B$16,DKW_10Y!$A$2:$A$2918,1)))*100))</f>
        <v/>
      </c>
      <c r="AB1341" s="19">
        <f>IF(NOT(ISNUMBER($A1341)),NA(),IF(OR($A1341&lt;MIN(DKW_10Y!$A$2:$A$2918),$A1341&gt;MAX(DKW_10Y!$A$2:$A$2918),Settings!$B$16&lt;MIN(DKW_10Y!$A$2:$A$2918)),NA(),(INDEX(DKW_10Y!$H$2:$H$2918,MATCH($A1341,DKW_10Y!$A$2:$A$2918,1))-INDEX(DKW_10Y!$H$2:$H$2918,MATCH(Settings!$B$16,DKW_10Y!$A$2:$A$2918,1)))*100))</f>
        <v/>
      </c>
      <c r="AC1341" s="18">
        <f>IF(NOT(ISNUMBER($A1341)),NA(),IFERROR(1*INDEX(BBG_Data!$N$2:$N$4000,MATCH($A1341,BBG_Data!$M$2:$M$4000,0)),NA()))</f>
        <v/>
      </c>
      <c r="AD1341" s="18">
        <f>IF(NOT(ISNUMBER($A1341)),NA(),IFERROR(1*INDEX(BBG_Data!$P$2:$P$4000,MATCH($A1341,BBG_Data!$O$2:$O$4000,0)),NA()))</f>
        <v/>
      </c>
      <c r="AE1341" s="18">
        <f>IF(NOT(ISNUMBER($A1341)),NA(),IFERROR(1*INDEX(BBG_Data!$R$2:$R$4000,MATCH($A1341,BBG_Data!$Q$2:$Q$4000,0)),NA()))</f>
        <v/>
      </c>
      <c r="AF1341" s="20">
        <f>IF(AND(ISNUMBER(B1341),ISNUMBER(AC1341)),(B1341-AC1341)*100,NA())</f>
        <v/>
      </c>
      <c r="AG1341" s="20">
        <f>IF(AND(ISNUMBER(AE1341),ISNUMBER(AD1341)),(AE1341-AD1341)*100,NA())</f>
        <v/>
      </c>
      <c r="AH1341" s="19">
        <f>IF(NOT(ISNUMBER($A1341)),NA(),IFERROR(INDEX(BBG_Data!$T$2:$T$4000,MATCH($A1341,BBG_Data!$S$2:$S$4000,0))*Settings!$B$25,NA()))</f>
        <v/>
      </c>
      <c r="AI1341" s="19">
        <f>IF(NOT(ISNUMBER($A1341)),NA(),IFERROR(INDEX(BBG_Data!$V$2:$V$4000,MATCH($A1341,BBG_Data!$U$2:$U$4000,0))*Settings!$B$25,NA()))</f>
        <v/>
      </c>
      <c r="AJ1341" s="19">
        <f>IF(NOT(ISNUMBER($A1341)),NA(),IFERROR(1*INDEX(BBG_Data!$X$2:$X$4000,MATCH($A1341,BBG_Data!$W$2:$W$4000,0)),NA()))</f>
        <v/>
      </c>
      <c r="AK1341" s="19">
        <f>IF(NOT(ISNUMBER($A1341)),NA(),IFERROR(1*INDEX(BBG_Data!$Z$2:$Z$4000,MATCH($A1341,BBG_Data!$Y$2:$Y$4000,0)),NA()))</f>
        <v/>
      </c>
    </row>
    <row r="1342">
      <c r="A1342" s="17">
        <f>IF(ISNUMBER(BBG_Data!A1342),BBG_Data!A1342,"")</f>
        <v/>
      </c>
      <c r="B1342" s="18">
        <f>IF(AND(ISNUMBER($A1342),ISNUMBER(BBG_Data!B1342)),BBG_Data!B1342,NA())</f>
        <v/>
      </c>
      <c r="C1342" s="18">
        <f>IF(NOT(ISNUMBER($A1342)),NA(),IFERROR(1*INDEX(BBG_Data!$D$2:$D$4000,MATCH($A1342,BBG_Data!$C$2:$C$4000,0)),NA()))</f>
        <v/>
      </c>
      <c r="D1342" s="19">
        <f>IF(NOT(ISNUMBER($A1342)),NA(),IFERROR(1*INDEX(BBG_Data!$F$2:$F$4000,MATCH($A1342,BBG_Data!$E$2:$E$4000,0)),NA()))</f>
        <v/>
      </c>
      <c r="E1342" s="19">
        <f>IF(NOT(ISNUMBER($A1342)),NA(),IFERROR(1*INDEX(BBG_Data!$H$2:$H$4000,MATCH($A1342,BBG_Data!$G$2:$G$4000,0)),NA()))</f>
        <v/>
      </c>
      <c r="F1342" s="20">
        <f>IF(AND(ISNUMBER(B1342),ISNUMBER(B1341)),IF(B1342=B1341,"",(B1342-B1341)*100),"")</f>
        <v/>
      </c>
      <c r="G1342" s="20">
        <f>IF(AND(ISNUMBER(C1342),ISNUMBER(C1341)),IF(C1342=C1341,"",(C1342-C1341)*100),"")</f>
        <v/>
      </c>
      <c r="H1342" s="20">
        <f>IF(OR(NOT(ISNUMBER($A1342)),ROW()-2&lt;Settings!$B$11),NA(),IF(COUNT(OFFSET(F1342,1-Settings!$B$11,0,Settings!$B$11,1))&lt;ROUNDUP(Settings!$B$11*Settings!$B$26,0),NA(),STDEV(OFFSET(F1342,1-Settings!$B$11,0,Settings!$B$11,1))*SQRT(Settings!$B$13)))</f>
        <v/>
      </c>
      <c r="I1342" s="20">
        <f>IF(OR(NOT(ISNUMBER($A1342)),ROW()-2&lt;Settings!$B$12),NA(),IF(COUNT(OFFSET(F1342,1-Settings!$B$12,0,Settings!$B$12,1))&lt;ROUNDUP(Settings!$B$12*Settings!$B$26,0),NA(),STDEV(OFFSET(F1342,1-Settings!$B$12,0,Settings!$B$12,1))*SQRT(Settings!$B$13)))</f>
        <v/>
      </c>
      <c r="J1342" s="20">
        <f>IF(OR(NOT(ISNUMBER($A1342)),ROW()-2&lt;Settings!$B$11),NA(),IF(COUNT(OFFSET(G1342,1-Settings!$B$11,0,Settings!$B$11,1))&lt;ROUNDUP(Settings!$B$11*Settings!$B$26,0),NA(),STDEV(OFFSET(G1342,1-Settings!$B$11,0,Settings!$B$11,1))*SQRT(Settings!$B$13)))</f>
        <v/>
      </c>
      <c r="K1342" s="20">
        <f>IF(OR(NOT(ISNUMBER($A1342)),ROW()-2&lt;Settings!$B$12),NA(),IF(COUNT(OFFSET(G1342,1-Settings!$B$12,0,Settings!$B$12,1))&lt;ROUNDUP(Settings!$B$12*Settings!$B$26,0),NA(),STDEV(OFFSET(G1342,1-Settings!$B$12,0,Settings!$B$12,1))*SQRT(Settings!$B$13)))</f>
        <v/>
      </c>
      <c r="L1342" s="20">
        <f>IF(AND(ISNUMBER(D1342),ISNUMBER(H1342)),D1342-H1342,NA())</f>
        <v/>
      </c>
      <c r="M1342" s="20">
        <f>IF(AND(ISNUMBER(E1342),ISNUMBER(K1342)),E1342-K1342,NA())</f>
        <v/>
      </c>
      <c r="N1342" s="20">
        <f>IF(NOT(ISNUMBER($A1342)),NA(),IF(COUNT(OFFSET(G1342,1,0,Settings!$B$12,1))&lt;ROUNDUP(Settings!$B$12*Settings!$B$26,0),NA(),STDEV(OFFSET(G1342,1,0,Settings!$B$12,1))*SQRT(Settings!$B$13)))</f>
        <v/>
      </c>
      <c r="O1342" s="20">
        <f>IF(AND(ISNUMBER(E1342),ISNUMBER(N1342)),E1342-N1342,NA())</f>
        <v/>
      </c>
      <c r="P1342" s="19">
        <f>IF(NOT(ISNUMBER($A1342)),NA(),IF(OR($A1342&lt;MIN(KW_TP!$A$2:$A$2501),$A1342&gt;MAX(KW_TP!$A$2:$A$2501)),NA(),INDEX(KW_TP!$C$2:$C$2501,MATCH($A1342,KW_TP!$A$2:$A$2501,1))))</f>
        <v/>
      </c>
      <c r="Q1342" s="18">
        <f>IF(NOT(ISNUMBER($A1342)),NA(),IFERROR(1*INDEX(BBG_Data!$J$2:$J$4000,MATCH($A1342,BBG_Data!$I$2:$I$4000,0)),NA()))</f>
        <v/>
      </c>
      <c r="R1342" s="18">
        <f>IF(NOT(ISNUMBER($A1342)),NA(),IFERROR(1*INDEX(BBG_Data!$L$2:$L$4000,MATCH($A1342,BBG_Data!$K$2:$K$4000,0)),NA()))</f>
        <v/>
      </c>
      <c r="S1342" s="20">
        <f>IF(AND(ISNUMBER(B1342),ISNUMBER(Q1342),ISNUMBER(R1342)),(B1342-Q1342-R1342)*100,NA())</f>
        <v/>
      </c>
      <c r="T1342" s="20">
        <f>IF(AND(ISNUMBER(B1342),Settings!$B$17&gt;0),IF(ISNUMBER(INDEX($B:$B,Settings!$B$17)),(B1342-INDEX($B:$B,Settings!$B$17))*100,NA()),NA())</f>
        <v/>
      </c>
      <c r="U1342" s="20">
        <f>IF(AND(ISNUMBER(Q1342),Settings!$B$17&gt;0),IF(ISNUMBER(INDEX($Q:$Q,Settings!$B$17)),(Q1342-INDEX($Q:$Q,Settings!$B$17))*100,NA()),NA())</f>
        <v/>
      </c>
      <c r="V1342" s="20">
        <f>IF(AND(ISNUMBER(R1342),Settings!$B$17&gt;0),IF(ISNUMBER(INDEX($R:$R,Settings!$B$17)),(R1342-INDEX($R:$R,Settings!$B$17))*100,NA()),NA())</f>
        <v/>
      </c>
      <c r="W1342" s="20">
        <f>IF(AND(ISNUMBER(P1342),Settings!$B$17&gt;0),IF(ISNUMBER(INDEX($P:$P,Settings!$B$17)),P1342-INDEX($P:$P,Settings!$B$17),NA()),NA())</f>
        <v/>
      </c>
      <c r="X1342" s="19">
        <f>IF(NOT(ISNUMBER($A1342)),NA(),IF(OR($A1342&lt;MIN(DKW_10Y!$A$2:$A$2918),$A1342&gt;MAX(DKW_10Y!$A$2:$A$2918),Settings!$B$16&lt;MIN(DKW_10Y!$A$2:$A$2918)),NA(),(INDEX(DKW_10Y!$B$2:$B$2918,MATCH($A1342,DKW_10Y!$A$2:$A$2918,1))-INDEX(DKW_10Y!$B$2:$B$2918,MATCH(Settings!$B$16,DKW_10Y!$A$2:$A$2918,1)))*100))</f>
        <v/>
      </c>
      <c r="Y1342" s="19">
        <f>IF(NOT(ISNUMBER($A1342)),NA(),IF(OR($A1342&lt;MIN(DKW_10Y!$A$2:$A$2918),$A1342&gt;MAX(DKW_10Y!$A$2:$A$2918),Settings!$B$16&lt;MIN(DKW_10Y!$A$2:$A$2918)),NA(),(INDEX(DKW_10Y!$C$2:$C$2918,MATCH($A1342,DKW_10Y!$A$2:$A$2918,1))-INDEX(DKW_10Y!$C$2:$C$2918,MATCH(Settings!$B$16,DKW_10Y!$A$2:$A$2918,1)))*100))</f>
        <v/>
      </c>
      <c r="Z1342" s="19">
        <f>IF(NOT(ISNUMBER($A1342)),NA(),IF(OR($A1342&lt;MIN(DKW_10Y!$A$2:$A$2918),$A1342&gt;MAX(DKW_10Y!$A$2:$A$2918),Settings!$B$16&lt;MIN(DKW_10Y!$A$2:$A$2918)),NA(),(INDEX(DKW_10Y!$D$2:$D$2918,MATCH($A1342,DKW_10Y!$A$2:$A$2918,1))-INDEX(DKW_10Y!$D$2:$D$2918,MATCH(Settings!$B$16,DKW_10Y!$A$2:$A$2918,1)))*100))</f>
        <v/>
      </c>
      <c r="AA1342" s="19">
        <f>IF(NOT(ISNUMBER($A1342)),NA(),IF(OR($A1342&lt;MIN(DKW_10Y!$A$2:$A$2918),$A1342&gt;MAX(DKW_10Y!$A$2:$A$2918),Settings!$B$16&lt;MIN(DKW_10Y!$A$2:$A$2918)),NA(),(INDEX(DKW_10Y!$E$2:$E$2918,MATCH($A1342,DKW_10Y!$A$2:$A$2918,1))-INDEX(DKW_10Y!$E$2:$E$2918,MATCH(Settings!$B$16,DKW_10Y!$A$2:$A$2918,1)))*100))</f>
        <v/>
      </c>
      <c r="AB1342" s="19">
        <f>IF(NOT(ISNUMBER($A1342)),NA(),IF(OR($A1342&lt;MIN(DKW_10Y!$A$2:$A$2918),$A1342&gt;MAX(DKW_10Y!$A$2:$A$2918),Settings!$B$16&lt;MIN(DKW_10Y!$A$2:$A$2918)),NA(),(INDEX(DKW_10Y!$H$2:$H$2918,MATCH($A1342,DKW_10Y!$A$2:$A$2918,1))-INDEX(DKW_10Y!$H$2:$H$2918,MATCH(Settings!$B$16,DKW_10Y!$A$2:$A$2918,1)))*100))</f>
        <v/>
      </c>
      <c r="AC1342" s="18">
        <f>IF(NOT(ISNUMBER($A1342)),NA(),IFERROR(1*INDEX(BBG_Data!$N$2:$N$4000,MATCH($A1342,BBG_Data!$M$2:$M$4000,0)),NA()))</f>
        <v/>
      </c>
      <c r="AD1342" s="18">
        <f>IF(NOT(ISNUMBER($A1342)),NA(),IFERROR(1*INDEX(BBG_Data!$P$2:$P$4000,MATCH($A1342,BBG_Data!$O$2:$O$4000,0)),NA()))</f>
        <v/>
      </c>
      <c r="AE1342" s="18">
        <f>IF(NOT(ISNUMBER($A1342)),NA(),IFERROR(1*INDEX(BBG_Data!$R$2:$R$4000,MATCH($A1342,BBG_Data!$Q$2:$Q$4000,0)),NA()))</f>
        <v/>
      </c>
      <c r="AF1342" s="20">
        <f>IF(AND(ISNUMBER(B1342),ISNUMBER(AC1342)),(B1342-AC1342)*100,NA())</f>
        <v/>
      </c>
      <c r="AG1342" s="20">
        <f>IF(AND(ISNUMBER(AE1342),ISNUMBER(AD1342)),(AE1342-AD1342)*100,NA())</f>
        <v/>
      </c>
      <c r="AH1342" s="19">
        <f>IF(NOT(ISNUMBER($A1342)),NA(),IFERROR(INDEX(BBG_Data!$T$2:$T$4000,MATCH($A1342,BBG_Data!$S$2:$S$4000,0))*Settings!$B$25,NA()))</f>
        <v/>
      </c>
      <c r="AI1342" s="19">
        <f>IF(NOT(ISNUMBER($A1342)),NA(),IFERROR(INDEX(BBG_Data!$V$2:$V$4000,MATCH($A1342,BBG_Data!$U$2:$U$4000,0))*Settings!$B$25,NA()))</f>
        <v/>
      </c>
      <c r="AJ1342" s="19">
        <f>IF(NOT(ISNUMBER($A1342)),NA(),IFERROR(1*INDEX(BBG_Data!$X$2:$X$4000,MATCH($A1342,BBG_Data!$W$2:$W$4000,0)),NA()))</f>
        <v/>
      </c>
      <c r="AK1342" s="19">
        <f>IF(NOT(ISNUMBER($A1342)),NA(),IFERROR(1*INDEX(BBG_Data!$Z$2:$Z$4000,MATCH($A1342,BBG_Data!$Y$2:$Y$4000,0)),NA()))</f>
        <v/>
      </c>
    </row>
    <row r="1343">
      <c r="A1343" s="17">
        <f>IF(ISNUMBER(BBG_Data!A1343),BBG_Data!A1343,"")</f>
        <v/>
      </c>
      <c r="B1343" s="18">
        <f>IF(AND(ISNUMBER($A1343),ISNUMBER(BBG_Data!B1343)),BBG_Data!B1343,NA())</f>
        <v/>
      </c>
      <c r="C1343" s="18">
        <f>IF(NOT(ISNUMBER($A1343)),NA(),IFERROR(1*INDEX(BBG_Data!$D$2:$D$4000,MATCH($A1343,BBG_Data!$C$2:$C$4000,0)),NA()))</f>
        <v/>
      </c>
      <c r="D1343" s="19">
        <f>IF(NOT(ISNUMBER($A1343)),NA(),IFERROR(1*INDEX(BBG_Data!$F$2:$F$4000,MATCH($A1343,BBG_Data!$E$2:$E$4000,0)),NA()))</f>
        <v/>
      </c>
      <c r="E1343" s="19">
        <f>IF(NOT(ISNUMBER($A1343)),NA(),IFERROR(1*INDEX(BBG_Data!$H$2:$H$4000,MATCH($A1343,BBG_Data!$G$2:$G$4000,0)),NA()))</f>
        <v/>
      </c>
      <c r="F1343" s="20">
        <f>IF(AND(ISNUMBER(B1343),ISNUMBER(B1342)),IF(B1343=B1342,"",(B1343-B1342)*100),"")</f>
        <v/>
      </c>
      <c r="G1343" s="20">
        <f>IF(AND(ISNUMBER(C1343),ISNUMBER(C1342)),IF(C1343=C1342,"",(C1343-C1342)*100),"")</f>
        <v/>
      </c>
      <c r="H1343" s="20">
        <f>IF(OR(NOT(ISNUMBER($A1343)),ROW()-2&lt;Settings!$B$11),NA(),IF(COUNT(OFFSET(F1343,1-Settings!$B$11,0,Settings!$B$11,1))&lt;ROUNDUP(Settings!$B$11*Settings!$B$26,0),NA(),STDEV(OFFSET(F1343,1-Settings!$B$11,0,Settings!$B$11,1))*SQRT(Settings!$B$13)))</f>
        <v/>
      </c>
      <c r="I1343" s="20">
        <f>IF(OR(NOT(ISNUMBER($A1343)),ROW()-2&lt;Settings!$B$12),NA(),IF(COUNT(OFFSET(F1343,1-Settings!$B$12,0,Settings!$B$12,1))&lt;ROUNDUP(Settings!$B$12*Settings!$B$26,0),NA(),STDEV(OFFSET(F1343,1-Settings!$B$12,0,Settings!$B$12,1))*SQRT(Settings!$B$13)))</f>
        <v/>
      </c>
      <c r="J1343" s="20">
        <f>IF(OR(NOT(ISNUMBER($A1343)),ROW()-2&lt;Settings!$B$11),NA(),IF(COUNT(OFFSET(G1343,1-Settings!$B$11,0,Settings!$B$11,1))&lt;ROUNDUP(Settings!$B$11*Settings!$B$26,0),NA(),STDEV(OFFSET(G1343,1-Settings!$B$11,0,Settings!$B$11,1))*SQRT(Settings!$B$13)))</f>
        <v/>
      </c>
      <c r="K1343" s="20">
        <f>IF(OR(NOT(ISNUMBER($A1343)),ROW()-2&lt;Settings!$B$12),NA(),IF(COUNT(OFFSET(G1343,1-Settings!$B$12,0,Settings!$B$12,1))&lt;ROUNDUP(Settings!$B$12*Settings!$B$26,0),NA(),STDEV(OFFSET(G1343,1-Settings!$B$12,0,Settings!$B$12,1))*SQRT(Settings!$B$13)))</f>
        <v/>
      </c>
      <c r="L1343" s="20">
        <f>IF(AND(ISNUMBER(D1343),ISNUMBER(H1343)),D1343-H1343,NA())</f>
        <v/>
      </c>
      <c r="M1343" s="20">
        <f>IF(AND(ISNUMBER(E1343),ISNUMBER(K1343)),E1343-K1343,NA())</f>
        <v/>
      </c>
      <c r="N1343" s="20">
        <f>IF(NOT(ISNUMBER($A1343)),NA(),IF(COUNT(OFFSET(G1343,1,0,Settings!$B$12,1))&lt;ROUNDUP(Settings!$B$12*Settings!$B$26,0),NA(),STDEV(OFFSET(G1343,1,0,Settings!$B$12,1))*SQRT(Settings!$B$13)))</f>
        <v/>
      </c>
      <c r="O1343" s="20">
        <f>IF(AND(ISNUMBER(E1343),ISNUMBER(N1343)),E1343-N1343,NA())</f>
        <v/>
      </c>
      <c r="P1343" s="19">
        <f>IF(NOT(ISNUMBER($A1343)),NA(),IF(OR($A1343&lt;MIN(KW_TP!$A$2:$A$2501),$A1343&gt;MAX(KW_TP!$A$2:$A$2501)),NA(),INDEX(KW_TP!$C$2:$C$2501,MATCH($A1343,KW_TP!$A$2:$A$2501,1))))</f>
        <v/>
      </c>
      <c r="Q1343" s="18">
        <f>IF(NOT(ISNUMBER($A1343)),NA(),IFERROR(1*INDEX(BBG_Data!$J$2:$J$4000,MATCH($A1343,BBG_Data!$I$2:$I$4000,0)),NA()))</f>
        <v/>
      </c>
      <c r="R1343" s="18">
        <f>IF(NOT(ISNUMBER($A1343)),NA(),IFERROR(1*INDEX(BBG_Data!$L$2:$L$4000,MATCH($A1343,BBG_Data!$K$2:$K$4000,0)),NA()))</f>
        <v/>
      </c>
      <c r="S1343" s="20">
        <f>IF(AND(ISNUMBER(B1343),ISNUMBER(Q1343),ISNUMBER(R1343)),(B1343-Q1343-R1343)*100,NA())</f>
        <v/>
      </c>
      <c r="T1343" s="20">
        <f>IF(AND(ISNUMBER(B1343),Settings!$B$17&gt;0),IF(ISNUMBER(INDEX($B:$B,Settings!$B$17)),(B1343-INDEX($B:$B,Settings!$B$17))*100,NA()),NA())</f>
        <v/>
      </c>
      <c r="U1343" s="20">
        <f>IF(AND(ISNUMBER(Q1343),Settings!$B$17&gt;0),IF(ISNUMBER(INDEX($Q:$Q,Settings!$B$17)),(Q1343-INDEX($Q:$Q,Settings!$B$17))*100,NA()),NA())</f>
        <v/>
      </c>
      <c r="V1343" s="20">
        <f>IF(AND(ISNUMBER(R1343),Settings!$B$17&gt;0),IF(ISNUMBER(INDEX($R:$R,Settings!$B$17)),(R1343-INDEX($R:$R,Settings!$B$17))*100,NA()),NA())</f>
        <v/>
      </c>
      <c r="W1343" s="20">
        <f>IF(AND(ISNUMBER(P1343),Settings!$B$17&gt;0),IF(ISNUMBER(INDEX($P:$P,Settings!$B$17)),P1343-INDEX($P:$P,Settings!$B$17),NA()),NA())</f>
        <v/>
      </c>
      <c r="X1343" s="19">
        <f>IF(NOT(ISNUMBER($A1343)),NA(),IF(OR($A1343&lt;MIN(DKW_10Y!$A$2:$A$2918),$A1343&gt;MAX(DKW_10Y!$A$2:$A$2918),Settings!$B$16&lt;MIN(DKW_10Y!$A$2:$A$2918)),NA(),(INDEX(DKW_10Y!$B$2:$B$2918,MATCH($A1343,DKW_10Y!$A$2:$A$2918,1))-INDEX(DKW_10Y!$B$2:$B$2918,MATCH(Settings!$B$16,DKW_10Y!$A$2:$A$2918,1)))*100))</f>
        <v/>
      </c>
      <c r="Y1343" s="19">
        <f>IF(NOT(ISNUMBER($A1343)),NA(),IF(OR($A1343&lt;MIN(DKW_10Y!$A$2:$A$2918),$A1343&gt;MAX(DKW_10Y!$A$2:$A$2918),Settings!$B$16&lt;MIN(DKW_10Y!$A$2:$A$2918)),NA(),(INDEX(DKW_10Y!$C$2:$C$2918,MATCH($A1343,DKW_10Y!$A$2:$A$2918,1))-INDEX(DKW_10Y!$C$2:$C$2918,MATCH(Settings!$B$16,DKW_10Y!$A$2:$A$2918,1)))*100))</f>
        <v/>
      </c>
      <c r="Z1343" s="19">
        <f>IF(NOT(ISNUMBER($A1343)),NA(),IF(OR($A1343&lt;MIN(DKW_10Y!$A$2:$A$2918),$A1343&gt;MAX(DKW_10Y!$A$2:$A$2918),Settings!$B$16&lt;MIN(DKW_10Y!$A$2:$A$2918)),NA(),(INDEX(DKW_10Y!$D$2:$D$2918,MATCH($A1343,DKW_10Y!$A$2:$A$2918,1))-INDEX(DKW_10Y!$D$2:$D$2918,MATCH(Settings!$B$16,DKW_10Y!$A$2:$A$2918,1)))*100))</f>
        <v/>
      </c>
      <c r="AA1343" s="19">
        <f>IF(NOT(ISNUMBER($A1343)),NA(),IF(OR($A1343&lt;MIN(DKW_10Y!$A$2:$A$2918),$A1343&gt;MAX(DKW_10Y!$A$2:$A$2918),Settings!$B$16&lt;MIN(DKW_10Y!$A$2:$A$2918)),NA(),(INDEX(DKW_10Y!$E$2:$E$2918,MATCH($A1343,DKW_10Y!$A$2:$A$2918,1))-INDEX(DKW_10Y!$E$2:$E$2918,MATCH(Settings!$B$16,DKW_10Y!$A$2:$A$2918,1)))*100))</f>
        <v/>
      </c>
      <c r="AB1343" s="19">
        <f>IF(NOT(ISNUMBER($A1343)),NA(),IF(OR($A1343&lt;MIN(DKW_10Y!$A$2:$A$2918),$A1343&gt;MAX(DKW_10Y!$A$2:$A$2918),Settings!$B$16&lt;MIN(DKW_10Y!$A$2:$A$2918)),NA(),(INDEX(DKW_10Y!$H$2:$H$2918,MATCH($A1343,DKW_10Y!$A$2:$A$2918,1))-INDEX(DKW_10Y!$H$2:$H$2918,MATCH(Settings!$B$16,DKW_10Y!$A$2:$A$2918,1)))*100))</f>
        <v/>
      </c>
      <c r="AC1343" s="18">
        <f>IF(NOT(ISNUMBER($A1343)),NA(),IFERROR(1*INDEX(BBG_Data!$N$2:$N$4000,MATCH($A1343,BBG_Data!$M$2:$M$4000,0)),NA()))</f>
        <v/>
      </c>
      <c r="AD1343" s="18">
        <f>IF(NOT(ISNUMBER($A1343)),NA(),IFERROR(1*INDEX(BBG_Data!$P$2:$P$4000,MATCH($A1343,BBG_Data!$O$2:$O$4000,0)),NA()))</f>
        <v/>
      </c>
      <c r="AE1343" s="18">
        <f>IF(NOT(ISNUMBER($A1343)),NA(),IFERROR(1*INDEX(BBG_Data!$R$2:$R$4000,MATCH($A1343,BBG_Data!$Q$2:$Q$4000,0)),NA()))</f>
        <v/>
      </c>
      <c r="AF1343" s="20">
        <f>IF(AND(ISNUMBER(B1343),ISNUMBER(AC1343)),(B1343-AC1343)*100,NA())</f>
        <v/>
      </c>
      <c r="AG1343" s="20">
        <f>IF(AND(ISNUMBER(AE1343),ISNUMBER(AD1343)),(AE1343-AD1343)*100,NA())</f>
        <v/>
      </c>
      <c r="AH1343" s="19">
        <f>IF(NOT(ISNUMBER($A1343)),NA(),IFERROR(INDEX(BBG_Data!$T$2:$T$4000,MATCH($A1343,BBG_Data!$S$2:$S$4000,0))*Settings!$B$25,NA()))</f>
        <v/>
      </c>
      <c r="AI1343" s="19">
        <f>IF(NOT(ISNUMBER($A1343)),NA(),IFERROR(INDEX(BBG_Data!$V$2:$V$4000,MATCH($A1343,BBG_Data!$U$2:$U$4000,0))*Settings!$B$25,NA()))</f>
        <v/>
      </c>
      <c r="AJ1343" s="19">
        <f>IF(NOT(ISNUMBER($A1343)),NA(),IFERROR(1*INDEX(BBG_Data!$X$2:$X$4000,MATCH($A1343,BBG_Data!$W$2:$W$4000,0)),NA()))</f>
        <v/>
      </c>
      <c r="AK1343" s="19">
        <f>IF(NOT(ISNUMBER($A1343)),NA(),IFERROR(1*INDEX(BBG_Data!$Z$2:$Z$4000,MATCH($A1343,BBG_Data!$Y$2:$Y$4000,0)),NA()))</f>
        <v/>
      </c>
    </row>
    <row r="1344">
      <c r="A1344" s="17">
        <f>IF(ISNUMBER(BBG_Data!A1344),BBG_Data!A1344,"")</f>
        <v/>
      </c>
      <c r="B1344" s="18">
        <f>IF(AND(ISNUMBER($A1344),ISNUMBER(BBG_Data!B1344)),BBG_Data!B1344,NA())</f>
        <v/>
      </c>
      <c r="C1344" s="18">
        <f>IF(NOT(ISNUMBER($A1344)),NA(),IFERROR(1*INDEX(BBG_Data!$D$2:$D$4000,MATCH($A1344,BBG_Data!$C$2:$C$4000,0)),NA()))</f>
        <v/>
      </c>
      <c r="D1344" s="19">
        <f>IF(NOT(ISNUMBER($A1344)),NA(),IFERROR(1*INDEX(BBG_Data!$F$2:$F$4000,MATCH($A1344,BBG_Data!$E$2:$E$4000,0)),NA()))</f>
        <v/>
      </c>
      <c r="E1344" s="19">
        <f>IF(NOT(ISNUMBER($A1344)),NA(),IFERROR(1*INDEX(BBG_Data!$H$2:$H$4000,MATCH($A1344,BBG_Data!$G$2:$G$4000,0)),NA()))</f>
        <v/>
      </c>
      <c r="F1344" s="20">
        <f>IF(AND(ISNUMBER(B1344),ISNUMBER(B1343)),IF(B1344=B1343,"",(B1344-B1343)*100),"")</f>
        <v/>
      </c>
      <c r="G1344" s="20">
        <f>IF(AND(ISNUMBER(C1344),ISNUMBER(C1343)),IF(C1344=C1343,"",(C1344-C1343)*100),"")</f>
        <v/>
      </c>
      <c r="H1344" s="20">
        <f>IF(OR(NOT(ISNUMBER($A1344)),ROW()-2&lt;Settings!$B$11),NA(),IF(COUNT(OFFSET(F1344,1-Settings!$B$11,0,Settings!$B$11,1))&lt;ROUNDUP(Settings!$B$11*Settings!$B$26,0),NA(),STDEV(OFFSET(F1344,1-Settings!$B$11,0,Settings!$B$11,1))*SQRT(Settings!$B$13)))</f>
        <v/>
      </c>
      <c r="I1344" s="20">
        <f>IF(OR(NOT(ISNUMBER($A1344)),ROW()-2&lt;Settings!$B$12),NA(),IF(COUNT(OFFSET(F1344,1-Settings!$B$12,0,Settings!$B$12,1))&lt;ROUNDUP(Settings!$B$12*Settings!$B$26,0),NA(),STDEV(OFFSET(F1344,1-Settings!$B$12,0,Settings!$B$12,1))*SQRT(Settings!$B$13)))</f>
        <v/>
      </c>
      <c r="J1344" s="20">
        <f>IF(OR(NOT(ISNUMBER($A1344)),ROW()-2&lt;Settings!$B$11),NA(),IF(COUNT(OFFSET(G1344,1-Settings!$B$11,0,Settings!$B$11,1))&lt;ROUNDUP(Settings!$B$11*Settings!$B$26,0),NA(),STDEV(OFFSET(G1344,1-Settings!$B$11,0,Settings!$B$11,1))*SQRT(Settings!$B$13)))</f>
        <v/>
      </c>
      <c r="K1344" s="20">
        <f>IF(OR(NOT(ISNUMBER($A1344)),ROW()-2&lt;Settings!$B$12),NA(),IF(COUNT(OFFSET(G1344,1-Settings!$B$12,0,Settings!$B$12,1))&lt;ROUNDUP(Settings!$B$12*Settings!$B$26,0),NA(),STDEV(OFFSET(G1344,1-Settings!$B$12,0,Settings!$B$12,1))*SQRT(Settings!$B$13)))</f>
        <v/>
      </c>
      <c r="L1344" s="20">
        <f>IF(AND(ISNUMBER(D1344),ISNUMBER(H1344)),D1344-H1344,NA())</f>
        <v/>
      </c>
      <c r="M1344" s="20">
        <f>IF(AND(ISNUMBER(E1344),ISNUMBER(K1344)),E1344-K1344,NA())</f>
        <v/>
      </c>
      <c r="N1344" s="20">
        <f>IF(NOT(ISNUMBER($A1344)),NA(),IF(COUNT(OFFSET(G1344,1,0,Settings!$B$12,1))&lt;ROUNDUP(Settings!$B$12*Settings!$B$26,0),NA(),STDEV(OFFSET(G1344,1,0,Settings!$B$12,1))*SQRT(Settings!$B$13)))</f>
        <v/>
      </c>
      <c r="O1344" s="20">
        <f>IF(AND(ISNUMBER(E1344),ISNUMBER(N1344)),E1344-N1344,NA())</f>
        <v/>
      </c>
      <c r="P1344" s="19">
        <f>IF(NOT(ISNUMBER($A1344)),NA(),IF(OR($A1344&lt;MIN(KW_TP!$A$2:$A$2501),$A1344&gt;MAX(KW_TP!$A$2:$A$2501)),NA(),INDEX(KW_TP!$C$2:$C$2501,MATCH($A1344,KW_TP!$A$2:$A$2501,1))))</f>
        <v/>
      </c>
      <c r="Q1344" s="18">
        <f>IF(NOT(ISNUMBER($A1344)),NA(),IFERROR(1*INDEX(BBG_Data!$J$2:$J$4000,MATCH($A1344,BBG_Data!$I$2:$I$4000,0)),NA()))</f>
        <v/>
      </c>
      <c r="R1344" s="18">
        <f>IF(NOT(ISNUMBER($A1344)),NA(),IFERROR(1*INDEX(BBG_Data!$L$2:$L$4000,MATCH($A1344,BBG_Data!$K$2:$K$4000,0)),NA()))</f>
        <v/>
      </c>
      <c r="S1344" s="20">
        <f>IF(AND(ISNUMBER(B1344),ISNUMBER(Q1344),ISNUMBER(R1344)),(B1344-Q1344-R1344)*100,NA())</f>
        <v/>
      </c>
      <c r="T1344" s="20">
        <f>IF(AND(ISNUMBER(B1344),Settings!$B$17&gt;0),IF(ISNUMBER(INDEX($B:$B,Settings!$B$17)),(B1344-INDEX($B:$B,Settings!$B$17))*100,NA()),NA())</f>
        <v/>
      </c>
      <c r="U1344" s="20">
        <f>IF(AND(ISNUMBER(Q1344),Settings!$B$17&gt;0),IF(ISNUMBER(INDEX($Q:$Q,Settings!$B$17)),(Q1344-INDEX($Q:$Q,Settings!$B$17))*100,NA()),NA())</f>
        <v/>
      </c>
      <c r="V1344" s="20">
        <f>IF(AND(ISNUMBER(R1344),Settings!$B$17&gt;0),IF(ISNUMBER(INDEX($R:$R,Settings!$B$17)),(R1344-INDEX($R:$R,Settings!$B$17))*100,NA()),NA())</f>
        <v/>
      </c>
      <c r="W1344" s="20">
        <f>IF(AND(ISNUMBER(P1344),Settings!$B$17&gt;0),IF(ISNUMBER(INDEX($P:$P,Settings!$B$17)),P1344-INDEX($P:$P,Settings!$B$17),NA()),NA())</f>
        <v/>
      </c>
      <c r="X1344" s="19">
        <f>IF(NOT(ISNUMBER($A1344)),NA(),IF(OR($A1344&lt;MIN(DKW_10Y!$A$2:$A$2918),$A1344&gt;MAX(DKW_10Y!$A$2:$A$2918),Settings!$B$16&lt;MIN(DKW_10Y!$A$2:$A$2918)),NA(),(INDEX(DKW_10Y!$B$2:$B$2918,MATCH($A1344,DKW_10Y!$A$2:$A$2918,1))-INDEX(DKW_10Y!$B$2:$B$2918,MATCH(Settings!$B$16,DKW_10Y!$A$2:$A$2918,1)))*100))</f>
        <v/>
      </c>
      <c r="Y1344" s="19">
        <f>IF(NOT(ISNUMBER($A1344)),NA(),IF(OR($A1344&lt;MIN(DKW_10Y!$A$2:$A$2918),$A1344&gt;MAX(DKW_10Y!$A$2:$A$2918),Settings!$B$16&lt;MIN(DKW_10Y!$A$2:$A$2918)),NA(),(INDEX(DKW_10Y!$C$2:$C$2918,MATCH($A1344,DKW_10Y!$A$2:$A$2918,1))-INDEX(DKW_10Y!$C$2:$C$2918,MATCH(Settings!$B$16,DKW_10Y!$A$2:$A$2918,1)))*100))</f>
        <v/>
      </c>
      <c r="Z1344" s="19">
        <f>IF(NOT(ISNUMBER($A1344)),NA(),IF(OR($A1344&lt;MIN(DKW_10Y!$A$2:$A$2918),$A1344&gt;MAX(DKW_10Y!$A$2:$A$2918),Settings!$B$16&lt;MIN(DKW_10Y!$A$2:$A$2918)),NA(),(INDEX(DKW_10Y!$D$2:$D$2918,MATCH($A1344,DKW_10Y!$A$2:$A$2918,1))-INDEX(DKW_10Y!$D$2:$D$2918,MATCH(Settings!$B$16,DKW_10Y!$A$2:$A$2918,1)))*100))</f>
        <v/>
      </c>
      <c r="AA1344" s="19">
        <f>IF(NOT(ISNUMBER($A1344)),NA(),IF(OR($A1344&lt;MIN(DKW_10Y!$A$2:$A$2918),$A1344&gt;MAX(DKW_10Y!$A$2:$A$2918),Settings!$B$16&lt;MIN(DKW_10Y!$A$2:$A$2918)),NA(),(INDEX(DKW_10Y!$E$2:$E$2918,MATCH($A1344,DKW_10Y!$A$2:$A$2918,1))-INDEX(DKW_10Y!$E$2:$E$2918,MATCH(Settings!$B$16,DKW_10Y!$A$2:$A$2918,1)))*100))</f>
        <v/>
      </c>
      <c r="AB1344" s="19">
        <f>IF(NOT(ISNUMBER($A1344)),NA(),IF(OR($A1344&lt;MIN(DKW_10Y!$A$2:$A$2918),$A1344&gt;MAX(DKW_10Y!$A$2:$A$2918),Settings!$B$16&lt;MIN(DKW_10Y!$A$2:$A$2918)),NA(),(INDEX(DKW_10Y!$H$2:$H$2918,MATCH($A1344,DKW_10Y!$A$2:$A$2918,1))-INDEX(DKW_10Y!$H$2:$H$2918,MATCH(Settings!$B$16,DKW_10Y!$A$2:$A$2918,1)))*100))</f>
        <v/>
      </c>
      <c r="AC1344" s="18">
        <f>IF(NOT(ISNUMBER($A1344)),NA(),IFERROR(1*INDEX(BBG_Data!$N$2:$N$4000,MATCH($A1344,BBG_Data!$M$2:$M$4000,0)),NA()))</f>
        <v/>
      </c>
      <c r="AD1344" s="18">
        <f>IF(NOT(ISNUMBER($A1344)),NA(),IFERROR(1*INDEX(BBG_Data!$P$2:$P$4000,MATCH($A1344,BBG_Data!$O$2:$O$4000,0)),NA()))</f>
        <v/>
      </c>
      <c r="AE1344" s="18">
        <f>IF(NOT(ISNUMBER($A1344)),NA(),IFERROR(1*INDEX(BBG_Data!$R$2:$R$4000,MATCH($A1344,BBG_Data!$Q$2:$Q$4000,0)),NA()))</f>
        <v/>
      </c>
      <c r="AF1344" s="20">
        <f>IF(AND(ISNUMBER(B1344),ISNUMBER(AC1344)),(B1344-AC1344)*100,NA())</f>
        <v/>
      </c>
      <c r="AG1344" s="20">
        <f>IF(AND(ISNUMBER(AE1344),ISNUMBER(AD1344)),(AE1344-AD1344)*100,NA())</f>
        <v/>
      </c>
      <c r="AH1344" s="19">
        <f>IF(NOT(ISNUMBER($A1344)),NA(),IFERROR(INDEX(BBG_Data!$T$2:$T$4000,MATCH($A1344,BBG_Data!$S$2:$S$4000,0))*Settings!$B$25,NA()))</f>
        <v/>
      </c>
      <c r="AI1344" s="19">
        <f>IF(NOT(ISNUMBER($A1344)),NA(),IFERROR(INDEX(BBG_Data!$V$2:$V$4000,MATCH($A1344,BBG_Data!$U$2:$U$4000,0))*Settings!$B$25,NA()))</f>
        <v/>
      </c>
      <c r="AJ1344" s="19">
        <f>IF(NOT(ISNUMBER($A1344)),NA(),IFERROR(1*INDEX(BBG_Data!$X$2:$X$4000,MATCH($A1344,BBG_Data!$W$2:$W$4000,0)),NA()))</f>
        <v/>
      </c>
      <c r="AK1344" s="19">
        <f>IF(NOT(ISNUMBER($A1344)),NA(),IFERROR(1*INDEX(BBG_Data!$Z$2:$Z$4000,MATCH($A1344,BBG_Data!$Y$2:$Y$4000,0)),NA()))</f>
        <v/>
      </c>
    </row>
    <row r="1345">
      <c r="A1345" s="17">
        <f>IF(ISNUMBER(BBG_Data!A1345),BBG_Data!A1345,"")</f>
        <v/>
      </c>
      <c r="B1345" s="18">
        <f>IF(AND(ISNUMBER($A1345),ISNUMBER(BBG_Data!B1345)),BBG_Data!B1345,NA())</f>
        <v/>
      </c>
      <c r="C1345" s="18">
        <f>IF(NOT(ISNUMBER($A1345)),NA(),IFERROR(1*INDEX(BBG_Data!$D$2:$D$4000,MATCH($A1345,BBG_Data!$C$2:$C$4000,0)),NA()))</f>
        <v/>
      </c>
      <c r="D1345" s="19">
        <f>IF(NOT(ISNUMBER($A1345)),NA(),IFERROR(1*INDEX(BBG_Data!$F$2:$F$4000,MATCH($A1345,BBG_Data!$E$2:$E$4000,0)),NA()))</f>
        <v/>
      </c>
      <c r="E1345" s="19">
        <f>IF(NOT(ISNUMBER($A1345)),NA(),IFERROR(1*INDEX(BBG_Data!$H$2:$H$4000,MATCH($A1345,BBG_Data!$G$2:$G$4000,0)),NA()))</f>
        <v/>
      </c>
      <c r="F1345" s="20">
        <f>IF(AND(ISNUMBER(B1345),ISNUMBER(B1344)),IF(B1345=B1344,"",(B1345-B1344)*100),"")</f>
        <v/>
      </c>
      <c r="G1345" s="20">
        <f>IF(AND(ISNUMBER(C1345),ISNUMBER(C1344)),IF(C1345=C1344,"",(C1345-C1344)*100),"")</f>
        <v/>
      </c>
      <c r="H1345" s="20">
        <f>IF(OR(NOT(ISNUMBER($A1345)),ROW()-2&lt;Settings!$B$11),NA(),IF(COUNT(OFFSET(F1345,1-Settings!$B$11,0,Settings!$B$11,1))&lt;ROUNDUP(Settings!$B$11*Settings!$B$26,0),NA(),STDEV(OFFSET(F1345,1-Settings!$B$11,0,Settings!$B$11,1))*SQRT(Settings!$B$13)))</f>
        <v/>
      </c>
      <c r="I1345" s="20">
        <f>IF(OR(NOT(ISNUMBER($A1345)),ROW()-2&lt;Settings!$B$12),NA(),IF(COUNT(OFFSET(F1345,1-Settings!$B$12,0,Settings!$B$12,1))&lt;ROUNDUP(Settings!$B$12*Settings!$B$26,0),NA(),STDEV(OFFSET(F1345,1-Settings!$B$12,0,Settings!$B$12,1))*SQRT(Settings!$B$13)))</f>
        <v/>
      </c>
      <c r="J1345" s="20">
        <f>IF(OR(NOT(ISNUMBER($A1345)),ROW()-2&lt;Settings!$B$11),NA(),IF(COUNT(OFFSET(G1345,1-Settings!$B$11,0,Settings!$B$11,1))&lt;ROUNDUP(Settings!$B$11*Settings!$B$26,0),NA(),STDEV(OFFSET(G1345,1-Settings!$B$11,0,Settings!$B$11,1))*SQRT(Settings!$B$13)))</f>
        <v/>
      </c>
      <c r="K1345" s="20">
        <f>IF(OR(NOT(ISNUMBER($A1345)),ROW()-2&lt;Settings!$B$12),NA(),IF(COUNT(OFFSET(G1345,1-Settings!$B$12,0,Settings!$B$12,1))&lt;ROUNDUP(Settings!$B$12*Settings!$B$26,0),NA(),STDEV(OFFSET(G1345,1-Settings!$B$12,0,Settings!$B$12,1))*SQRT(Settings!$B$13)))</f>
        <v/>
      </c>
      <c r="L1345" s="20">
        <f>IF(AND(ISNUMBER(D1345),ISNUMBER(H1345)),D1345-H1345,NA())</f>
        <v/>
      </c>
      <c r="M1345" s="20">
        <f>IF(AND(ISNUMBER(E1345),ISNUMBER(K1345)),E1345-K1345,NA())</f>
        <v/>
      </c>
      <c r="N1345" s="20">
        <f>IF(NOT(ISNUMBER($A1345)),NA(),IF(COUNT(OFFSET(G1345,1,0,Settings!$B$12,1))&lt;ROUNDUP(Settings!$B$12*Settings!$B$26,0),NA(),STDEV(OFFSET(G1345,1,0,Settings!$B$12,1))*SQRT(Settings!$B$13)))</f>
        <v/>
      </c>
      <c r="O1345" s="20">
        <f>IF(AND(ISNUMBER(E1345),ISNUMBER(N1345)),E1345-N1345,NA())</f>
        <v/>
      </c>
      <c r="P1345" s="19">
        <f>IF(NOT(ISNUMBER($A1345)),NA(),IF(OR($A1345&lt;MIN(KW_TP!$A$2:$A$2501),$A1345&gt;MAX(KW_TP!$A$2:$A$2501)),NA(),INDEX(KW_TP!$C$2:$C$2501,MATCH($A1345,KW_TP!$A$2:$A$2501,1))))</f>
        <v/>
      </c>
      <c r="Q1345" s="18">
        <f>IF(NOT(ISNUMBER($A1345)),NA(),IFERROR(1*INDEX(BBG_Data!$J$2:$J$4000,MATCH($A1345,BBG_Data!$I$2:$I$4000,0)),NA()))</f>
        <v/>
      </c>
      <c r="R1345" s="18">
        <f>IF(NOT(ISNUMBER($A1345)),NA(),IFERROR(1*INDEX(BBG_Data!$L$2:$L$4000,MATCH($A1345,BBG_Data!$K$2:$K$4000,0)),NA()))</f>
        <v/>
      </c>
      <c r="S1345" s="20">
        <f>IF(AND(ISNUMBER(B1345),ISNUMBER(Q1345),ISNUMBER(R1345)),(B1345-Q1345-R1345)*100,NA())</f>
        <v/>
      </c>
      <c r="T1345" s="20">
        <f>IF(AND(ISNUMBER(B1345),Settings!$B$17&gt;0),IF(ISNUMBER(INDEX($B:$B,Settings!$B$17)),(B1345-INDEX($B:$B,Settings!$B$17))*100,NA()),NA())</f>
        <v/>
      </c>
      <c r="U1345" s="20">
        <f>IF(AND(ISNUMBER(Q1345),Settings!$B$17&gt;0),IF(ISNUMBER(INDEX($Q:$Q,Settings!$B$17)),(Q1345-INDEX($Q:$Q,Settings!$B$17))*100,NA()),NA())</f>
        <v/>
      </c>
      <c r="V1345" s="20">
        <f>IF(AND(ISNUMBER(R1345),Settings!$B$17&gt;0),IF(ISNUMBER(INDEX($R:$R,Settings!$B$17)),(R1345-INDEX($R:$R,Settings!$B$17))*100,NA()),NA())</f>
        <v/>
      </c>
      <c r="W1345" s="20">
        <f>IF(AND(ISNUMBER(P1345),Settings!$B$17&gt;0),IF(ISNUMBER(INDEX($P:$P,Settings!$B$17)),P1345-INDEX($P:$P,Settings!$B$17),NA()),NA())</f>
        <v/>
      </c>
      <c r="X1345" s="19">
        <f>IF(NOT(ISNUMBER($A1345)),NA(),IF(OR($A1345&lt;MIN(DKW_10Y!$A$2:$A$2918),$A1345&gt;MAX(DKW_10Y!$A$2:$A$2918),Settings!$B$16&lt;MIN(DKW_10Y!$A$2:$A$2918)),NA(),(INDEX(DKW_10Y!$B$2:$B$2918,MATCH($A1345,DKW_10Y!$A$2:$A$2918,1))-INDEX(DKW_10Y!$B$2:$B$2918,MATCH(Settings!$B$16,DKW_10Y!$A$2:$A$2918,1)))*100))</f>
        <v/>
      </c>
      <c r="Y1345" s="19">
        <f>IF(NOT(ISNUMBER($A1345)),NA(),IF(OR($A1345&lt;MIN(DKW_10Y!$A$2:$A$2918),$A1345&gt;MAX(DKW_10Y!$A$2:$A$2918),Settings!$B$16&lt;MIN(DKW_10Y!$A$2:$A$2918)),NA(),(INDEX(DKW_10Y!$C$2:$C$2918,MATCH($A1345,DKW_10Y!$A$2:$A$2918,1))-INDEX(DKW_10Y!$C$2:$C$2918,MATCH(Settings!$B$16,DKW_10Y!$A$2:$A$2918,1)))*100))</f>
        <v/>
      </c>
      <c r="Z1345" s="19">
        <f>IF(NOT(ISNUMBER($A1345)),NA(),IF(OR($A1345&lt;MIN(DKW_10Y!$A$2:$A$2918),$A1345&gt;MAX(DKW_10Y!$A$2:$A$2918),Settings!$B$16&lt;MIN(DKW_10Y!$A$2:$A$2918)),NA(),(INDEX(DKW_10Y!$D$2:$D$2918,MATCH($A1345,DKW_10Y!$A$2:$A$2918,1))-INDEX(DKW_10Y!$D$2:$D$2918,MATCH(Settings!$B$16,DKW_10Y!$A$2:$A$2918,1)))*100))</f>
        <v/>
      </c>
      <c r="AA1345" s="19">
        <f>IF(NOT(ISNUMBER($A1345)),NA(),IF(OR($A1345&lt;MIN(DKW_10Y!$A$2:$A$2918),$A1345&gt;MAX(DKW_10Y!$A$2:$A$2918),Settings!$B$16&lt;MIN(DKW_10Y!$A$2:$A$2918)),NA(),(INDEX(DKW_10Y!$E$2:$E$2918,MATCH($A1345,DKW_10Y!$A$2:$A$2918,1))-INDEX(DKW_10Y!$E$2:$E$2918,MATCH(Settings!$B$16,DKW_10Y!$A$2:$A$2918,1)))*100))</f>
        <v/>
      </c>
      <c r="AB1345" s="19">
        <f>IF(NOT(ISNUMBER($A1345)),NA(),IF(OR($A1345&lt;MIN(DKW_10Y!$A$2:$A$2918),$A1345&gt;MAX(DKW_10Y!$A$2:$A$2918),Settings!$B$16&lt;MIN(DKW_10Y!$A$2:$A$2918)),NA(),(INDEX(DKW_10Y!$H$2:$H$2918,MATCH($A1345,DKW_10Y!$A$2:$A$2918,1))-INDEX(DKW_10Y!$H$2:$H$2918,MATCH(Settings!$B$16,DKW_10Y!$A$2:$A$2918,1)))*100))</f>
        <v/>
      </c>
      <c r="AC1345" s="18">
        <f>IF(NOT(ISNUMBER($A1345)),NA(),IFERROR(1*INDEX(BBG_Data!$N$2:$N$4000,MATCH($A1345,BBG_Data!$M$2:$M$4000,0)),NA()))</f>
        <v/>
      </c>
      <c r="AD1345" s="18">
        <f>IF(NOT(ISNUMBER($A1345)),NA(),IFERROR(1*INDEX(BBG_Data!$P$2:$P$4000,MATCH($A1345,BBG_Data!$O$2:$O$4000,0)),NA()))</f>
        <v/>
      </c>
      <c r="AE1345" s="18">
        <f>IF(NOT(ISNUMBER($A1345)),NA(),IFERROR(1*INDEX(BBG_Data!$R$2:$R$4000,MATCH($A1345,BBG_Data!$Q$2:$Q$4000,0)),NA()))</f>
        <v/>
      </c>
      <c r="AF1345" s="20">
        <f>IF(AND(ISNUMBER(B1345),ISNUMBER(AC1345)),(B1345-AC1345)*100,NA())</f>
        <v/>
      </c>
      <c r="AG1345" s="20">
        <f>IF(AND(ISNUMBER(AE1345),ISNUMBER(AD1345)),(AE1345-AD1345)*100,NA())</f>
        <v/>
      </c>
      <c r="AH1345" s="19">
        <f>IF(NOT(ISNUMBER($A1345)),NA(),IFERROR(INDEX(BBG_Data!$T$2:$T$4000,MATCH($A1345,BBG_Data!$S$2:$S$4000,0))*Settings!$B$25,NA()))</f>
        <v/>
      </c>
      <c r="AI1345" s="19">
        <f>IF(NOT(ISNUMBER($A1345)),NA(),IFERROR(INDEX(BBG_Data!$V$2:$V$4000,MATCH($A1345,BBG_Data!$U$2:$U$4000,0))*Settings!$B$25,NA()))</f>
        <v/>
      </c>
      <c r="AJ1345" s="19">
        <f>IF(NOT(ISNUMBER($A1345)),NA(),IFERROR(1*INDEX(BBG_Data!$X$2:$X$4000,MATCH($A1345,BBG_Data!$W$2:$W$4000,0)),NA()))</f>
        <v/>
      </c>
      <c r="AK1345" s="19">
        <f>IF(NOT(ISNUMBER($A1345)),NA(),IFERROR(1*INDEX(BBG_Data!$Z$2:$Z$4000,MATCH($A1345,BBG_Data!$Y$2:$Y$4000,0)),NA()))</f>
        <v/>
      </c>
    </row>
    <row r="1346">
      <c r="A1346" s="17">
        <f>IF(ISNUMBER(BBG_Data!A1346),BBG_Data!A1346,"")</f>
        <v/>
      </c>
      <c r="B1346" s="18">
        <f>IF(AND(ISNUMBER($A1346),ISNUMBER(BBG_Data!B1346)),BBG_Data!B1346,NA())</f>
        <v/>
      </c>
      <c r="C1346" s="18">
        <f>IF(NOT(ISNUMBER($A1346)),NA(),IFERROR(1*INDEX(BBG_Data!$D$2:$D$4000,MATCH($A1346,BBG_Data!$C$2:$C$4000,0)),NA()))</f>
        <v/>
      </c>
      <c r="D1346" s="19">
        <f>IF(NOT(ISNUMBER($A1346)),NA(),IFERROR(1*INDEX(BBG_Data!$F$2:$F$4000,MATCH($A1346,BBG_Data!$E$2:$E$4000,0)),NA()))</f>
        <v/>
      </c>
      <c r="E1346" s="19">
        <f>IF(NOT(ISNUMBER($A1346)),NA(),IFERROR(1*INDEX(BBG_Data!$H$2:$H$4000,MATCH($A1346,BBG_Data!$G$2:$G$4000,0)),NA()))</f>
        <v/>
      </c>
      <c r="F1346" s="20">
        <f>IF(AND(ISNUMBER(B1346),ISNUMBER(B1345)),IF(B1346=B1345,"",(B1346-B1345)*100),"")</f>
        <v/>
      </c>
      <c r="G1346" s="20">
        <f>IF(AND(ISNUMBER(C1346),ISNUMBER(C1345)),IF(C1346=C1345,"",(C1346-C1345)*100),"")</f>
        <v/>
      </c>
      <c r="H1346" s="20">
        <f>IF(OR(NOT(ISNUMBER($A1346)),ROW()-2&lt;Settings!$B$11),NA(),IF(COUNT(OFFSET(F1346,1-Settings!$B$11,0,Settings!$B$11,1))&lt;ROUNDUP(Settings!$B$11*Settings!$B$26,0),NA(),STDEV(OFFSET(F1346,1-Settings!$B$11,0,Settings!$B$11,1))*SQRT(Settings!$B$13)))</f>
        <v/>
      </c>
      <c r="I1346" s="20">
        <f>IF(OR(NOT(ISNUMBER($A1346)),ROW()-2&lt;Settings!$B$12),NA(),IF(COUNT(OFFSET(F1346,1-Settings!$B$12,0,Settings!$B$12,1))&lt;ROUNDUP(Settings!$B$12*Settings!$B$26,0),NA(),STDEV(OFFSET(F1346,1-Settings!$B$12,0,Settings!$B$12,1))*SQRT(Settings!$B$13)))</f>
        <v/>
      </c>
      <c r="J1346" s="20">
        <f>IF(OR(NOT(ISNUMBER($A1346)),ROW()-2&lt;Settings!$B$11),NA(),IF(COUNT(OFFSET(G1346,1-Settings!$B$11,0,Settings!$B$11,1))&lt;ROUNDUP(Settings!$B$11*Settings!$B$26,0),NA(),STDEV(OFFSET(G1346,1-Settings!$B$11,0,Settings!$B$11,1))*SQRT(Settings!$B$13)))</f>
        <v/>
      </c>
      <c r="K1346" s="20">
        <f>IF(OR(NOT(ISNUMBER($A1346)),ROW()-2&lt;Settings!$B$12),NA(),IF(COUNT(OFFSET(G1346,1-Settings!$B$12,0,Settings!$B$12,1))&lt;ROUNDUP(Settings!$B$12*Settings!$B$26,0),NA(),STDEV(OFFSET(G1346,1-Settings!$B$12,0,Settings!$B$12,1))*SQRT(Settings!$B$13)))</f>
        <v/>
      </c>
      <c r="L1346" s="20">
        <f>IF(AND(ISNUMBER(D1346),ISNUMBER(H1346)),D1346-H1346,NA())</f>
        <v/>
      </c>
      <c r="M1346" s="20">
        <f>IF(AND(ISNUMBER(E1346),ISNUMBER(K1346)),E1346-K1346,NA())</f>
        <v/>
      </c>
      <c r="N1346" s="20">
        <f>IF(NOT(ISNUMBER($A1346)),NA(),IF(COUNT(OFFSET(G1346,1,0,Settings!$B$12,1))&lt;ROUNDUP(Settings!$B$12*Settings!$B$26,0),NA(),STDEV(OFFSET(G1346,1,0,Settings!$B$12,1))*SQRT(Settings!$B$13)))</f>
        <v/>
      </c>
      <c r="O1346" s="20">
        <f>IF(AND(ISNUMBER(E1346),ISNUMBER(N1346)),E1346-N1346,NA())</f>
        <v/>
      </c>
      <c r="P1346" s="19">
        <f>IF(NOT(ISNUMBER($A1346)),NA(),IF(OR($A1346&lt;MIN(KW_TP!$A$2:$A$2501),$A1346&gt;MAX(KW_TP!$A$2:$A$2501)),NA(),INDEX(KW_TP!$C$2:$C$2501,MATCH($A1346,KW_TP!$A$2:$A$2501,1))))</f>
        <v/>
      </c>
      <c r="Q1346" s="18">
        <f>IF(NOT(ISNUMBER($A1346)),NA(),IFERROR(1*INDEX(BBG_Data!$J$2:$J$4000,MATCH($A1346,BBG_Data!$I$2:$I$4000,0)),NA()))</f>
        <v/>
      </c>
      <c r="R1346" s="18">
        <f>IF(NOT(ISNUMBER($A1346)),NA(),IFERROR(1*INDEX(BBG_Data!$L$2:$L$4000,MATCH($A1346,BBG_Data!$K$2:$K$4000,0)),NA()))</f>
        <v/>
      </c>
      <c r="S1346" s="20">
        <f>IF(AND(ISNUMBER(B1346),ISNUMBER(Q1346),ISNUMBER(R1346)),(B1346-Q1346-R1346)*100,NA())</f>
        <v/>
      </c>
      <c r="T1346" s="20">
        <f>IF(AND(ISNUMBER(B1346),Settings!$B$17&gt;0),IF(ISNUMBER(INDEX($B:$B,Settings!$B$17)),(B1346-INDEX($B:$B,Settings!$B$17))*100,NA()),NA())</f>
        <v/>
      </c>
      <c r="U1346" s="20">
        <f>IF(AND(ISNUMBER(Q1346),Settings!$B$17&gt;0),IF(ISNUMBER(INDEX($Q:$Q,Settings!$B$17)),(Q1346-INDEX($Q:$Q,Settings!$B$17))*100,NA()),NA())</f>
        <v/>
      </c>
      <c r="V1346" s="20">
        <f>IF(AND(ISNUMBER(R1346),Settings!$B$17&gt;0),IF(ISNUMBER(INDEX($R:$R,Settings!$B$17)),(R1346-INDEX($R:$R,Settings!$B$17))*100,NA()),NA())</f>
        <v/>
      </c>
      <c r="W1346" s="20">
        <f>IF(AND(ISNUMBER(P1346),Settings!$B$17&gt;0),IF(ISNUMBER(INDEX($P:$P,Settings!$B$17)),P1346-INDEX($P:$P,Settings!$B$17),NA()),NA())</f>
        <v/>
      </c>
      <c r="X1346" s="19">
        <f>IF(NOT(ISNUMBER($A1346)),NA(),IF(OR($A1346&lt;MIN(DKW_10Y!$A$2:$A$2918),$A1346&gt;MAX(DKW_10Y!$A$2:$A$2918),Settings!$B$16&lt;MIN(DKW_10Y!$A$2:$A$2918)),NA(),(INDEX(DKW_10Y!$B$2:$B$2918,MATCH($A1346,DKW_10Y!$A$2:$A$2918,1))-INDEX(DKW_10Y!$B$2:$B$2918,MATCH(Settings!$B$16,DKW_10Y!$A$2:$A$2918,1)))*100))</f>
        <v/>
      </c>
      <c r="Y1346" s="19">
        <f>IF(NOT(ISNUMBER($A1346)),NA(),IF(OR($A1346&lt;MIN(DKW_10Y!$A$2:$A$2918),$A1346&gt;MAX(DKW_10Y!$A$2:$A$2918),Settings!$B$16&lt;MIN(DKW_10Y!$A$2:$A$2918)),NA(),(INDEX(DKW_10Y!$C$2:$C$2918,MATCH($A1346,DKW_10Y!$A$2:$A$2918,1))-INDEX(DKW_10Y!$C$2:$C$2918,MATCH(Settings!$B$16,DKW_10Y!$A$2:$A$2918,1)))*100))</f>
        <v/>
      </c>
      <c r="Z1346" s="19">
        <f>IF(NOT(ISNUMBER($A1346)),NA(),IF(OR($A1346&lt;MIN(DKW_10Y!$A$2:$A$2918),$A1346&gt;MAX(DKW_10Y!$A$2:$A$2918),Settings!$B$16&lt;MIN(DKW_10Y!$A$2:$A$2918)),NA(),(INDEX(DKW_10Y!$D$2:$D$2918,MATCH($A1346,DKW_10Y!$A$2:$A$2918,1))-INDEX(DKW_10Y!$D$2:$D$2918,MATCH(Settings!$B$16,DKW_10Y!$A$2:$A$2918,1)))*100))</f>
        <v/>
      </c>
      <c r="AA1346" s="19">
        <f>IF(NOT(ISNUMBER($A1346)),NA(),IF(OR($A1346&lt;MIN(DKW_10Y!$A$2:$A$2918),$A1346&gt;MAX(DKW_10Y!$A$2:$A$2918),Settings!$B$16&lt;MIN(DKW_10Y!$A$2:$A$2918)),NA(),(INDEX(DKW_10Y!$E$2:$E$2918,MATCH($A1346,DKW_10Y!$A$2:$A$2918,1))-INDEX(DKW_10Y!$E$2:$E$2918,MATCH(Settings!$B$16,DKW_10Y!$A$2:$A$2918,1)))*100))</f>
        <v/>
      </c>
      <c r="AB1346" s="19">
        <f>IF(NOT(ISNUMBER($A1346)),NA(),IF(OR($A1346&lt;MIN(DKW_10Y!$A$2:$A$2918),$A1346&gt;MAX(DKW_10Y!$A$2:$A$2918),Settings!$B$16&lt;MIN(DKW_10Y!$A$2:$A$2918)),NA(),(INDEX(DKW_10Y!$H$2:$H$2918,MATCH($A1346,DKW_10Y!$A$2:$A$2918,1))-INDEX(DKW_10Y!$H$2:$H$2918,MATCH(Settings!$B$16,DKW_10Y!$A$2:$A$2918,1)))*100))</f>
        <v/>
      </c>
      <c r="AC1346" s="18">
        <f>IF(NOT(ISNUMBER($A1346)),NA(),IFERROR(1*INDEX(BBG_Data!$N$2:$N$4000,MATCH($A1346,BBG_Data!$M$2:$M$4000,0)),NA()))</f>
        <v/>
      </c>
      <c r="AD1346" s="18">
        <f>IF(NOT(ISNUMBER($A1346)),NA(),IFERROR(1*INDEX(BBG_Data!$P$2:$P$4000,MATCH($A1346,BBG_Data!$O$2:$O$4000,0)),NA()))</f>
        <v/>
      </c>
      <c r="AE1346" s="18">
        <f>IF(NOT(ISNUMBER($A1346)),NA(),IFERROR(1*INDEX(BBG_Data!$R$2:$R$4000,MATCH($A1346,BBG_Data!$Q$2:$Q$4000,0)),NA()))</f>
        <v/>
      </c>
      <c r="AF1346" s="20">
        <f>IF(AND(ISNUMBER(B1346),ISNUMBER(AC1346)),(B1346-AC1346)*100,NA())</f>
        <v/>
      </c>
      <c r="AG1346" s="20">
        <f>IF(AND(ISNUMBER(AE1346),ISNUMBER(AD1346)),(AE1346-AD1346)*100,NA())</f>
        <v/>
      </c>
      <c r="AH1346" s="19">
        <f>IF(NOT(ISNUMBER($A1346)),NA(),IFERROR(INDEX(BBG_Data!$T$2:$T$4000,MATCH($A1346,BBG_Data!$S$2:$S$4000,0))*Settings!$B$25,NA()))</f>
        <v/>
      </c>
      <c r="AI1346" s="19">
        <f>IF(NOT(ISNUMBER($A1346)),NA(),IFERROR(INDEX(BBG_Data!$V$2:$V$4000,MATCH($A1346,BBG_Data!$U$2:$U$4000,0))*Settings!$B$25,NA()))</f>
        <v/>
      </c>
      <c r="AJ1346" s="19">
        <f>IF(NOT(ISNUMBER($A1346)),NA(),IFERROR(1*INDEX(BBG_Data!$X$2:$X$4000,MATCH($A1346,BBG_Data!$W$2:$W$4000,0)),NA()))</f>
        <v/>
      </c>
      <c r="AK1346" s="19">
        <f>IF(NOT(ISNUMBER($A1346)),NA(),IFERROR(1*INDEX(BBG_Data!$Z$2:$Z$4000,MATCH($A1346,BBG_Data!$Y$2:$Y$4000,0)),NA()))</f>
        <v/>
      </c>
    </row>
    <row r="1347">
      <c r="A1347" s="17">
        <f>IF(ISNUMBER(BBG_Data!A1347),BBG_Data!A1347,"")</f>
        <v/>
      </c>
      <c r="B1347" s="18">
        <f>IF(AND(ISNUMBER($A1347),ISNUMBER(BBG_Data!B1347)),BBG_Data!B1347,NA())</f>
        <v/>
      </c>
      <c r="C1347" s="18">
        <f>IF(NOT(ISNUMBER($A1347)),NA(),IFERROR(1*INDEX(BBG_Data!$D$2:$D$4000,MATCH($A1347,BBG_Data!$C$2:$C$4000,0)),NA()))</f>
        <v/>
      </c>
      <c r="D1347" s="19">
        <f>IF(NOT(ISNUMBER($A1347)),NA(),IFERROR(1*INDEX(BBG_Data!$F$2:$F$4000,MATCH($A1347,BBG_Data!$E$2:$E$4000,0)),NA()))</f>
        <v/>
      </c>
      <c r="E1347" s="19">
        <f>IF(NOT(ISNUMBER($A1347)),NA(),IFERROR(1*INDEX(BBG_Data!$H$2:$H$4000,MATCH($A1347,BBG_Data!$G$2:$G$4000,0)),NA()))</f>
        <v/>
      </c>
      <c r="F1347" s="20">
        <f>IF(AND(ISNUMBER(B1347),ISNUMBER(B1346)),IF(B1347=B1346,"",(B1347-B1346)*100),"")</f>
        <v/>
      </c>
      <c r="G1347" s="20">
        <f>IF(AND(ISNUMBER(C1347),ISNUMBER(C1346)),IF(C1347=C1346,"",(C1347-C1346)*100),"")</f>
        <v/>
      </c>
      <c r="H1347" s="20">
        <f>IF(OR(NOT(ISNUMBER($A1347)),ROW()-2&lt;Settings!$B$11),NA(),IF(COUNT(OFFSET(F1347,1-Settings!$B$11,0,Settings!$B$11,1))&lt;ROUNDUP(Settings!$B$11*Settings!$B$26,0),NA(),STDEV(OFFSET(F1347,1-Settings!$B$11,0,Settings!$B$11,1))*SQRT(Settings!$B$13)))</f>
        <v/>
      </c>
      <c r="I1347" s="20">
        <f>IF(OR(NOT(ISNUMBER($A1347)),ROW()-2&lt;Settings!$B$12),NA(),IF(COUNT(OFFSET(F1347,1-Settings!$B$12,0,Settings!$B$12,1))&lt;ROUNDUP(Settings!$B$12*Settings!$B$26,0),NA(),STDEV(OFFSET(F1347,1-Settings!$B$12,0,Settings!$B$12,1))*SQRT(Settings!$B$13)))</f>
        <v/>
      </c>
      <c r="J1347" s="20">
        <f>IF(OR(NOT(ISNUMBER($A1347)),ROW()-2&lt;Settings!$B$11),NA(),IF(COUNT(OFFSET(G1347,1-Settings!$B$11,0,Settings!$B$11,1))&lt;ROUNDUP(Settings!$B$11*Settings!$B$26,0),NA(),STDEV(OFFSET(G1347,1-Settings!$B$11,0,Settings!$B$11,1))*SQRT(Settings!$B$13)))</f>
        <v/>
      </c>
      <c r="K1347" s="20">
        <f>IF(OR(NOT(ISNUMBER($A1347)),ROW()-2&lt;Settings!$B$12),NA(),IF(COUNT(OFFSET(G1347,1-Settings!$B$12,0,Settings!$B$12,1))&lt;ROUNDUP(Settings!$B$12*Settings!$B$26,0),NA(),STDEV(OFFSET(G1347,1-Settings!$B$12,0,Settings!$B$12,1))*SQRT(Settings!$B$13)))</f>
        <v/>
      </c>
      <c r="L1347" s="20">
        <f>IF(AND(ISNUMBER(D1347),ISNUMBER(H1347)),D1347-H1347,NA())</f>
        <v/>
      </c>
      <c r="M1347" s="20">
        <f>IF(AND(ISNUMBER(E1347),ISNUMBER(K1347)),E1347-K1347,NA())</f>
        <v/>
      </c>
      <c r="N1347" s="20">
        <f>IF(NOT(ISNUMBER($A1347)),NA(),IF(COUNT(OFFSET(G1347,1,0,Settings!$B$12,1))&lt;ROUNDUP(Settings!$B$12*Settings!$B$26,0),NA(),STDEV(OFFSET(G1347,1,0,Settings!$B$12,1))*SQRT(Settings!$B$13)))</f>
        <v/>
      </c>
      <c r="O1347" s="20">
        <f>IF(AND(ISNUMBER(E1347),ISNUMBER(N1347)),E1347-N1347,NA())</f>
        <v/>
      </c>
      <c r="P1347" s="19">
        <f>IF(NOT(ISNUMBER($A1347)),NA(),IF(OR($A1347&lt;MIN(KW_TP!$A$2:$A$2501),$A1347&gt;MAX(KW_TP!$A$2:$A$2501)),NA(),INDEX(KW_TP!$C$2:$C$2501,MATCH($A1347,KW_TP!$A$2:$A$2501,1))))</f>
        <v/>
      </c>
      <c r="Q1347" s="18">
        <f>IF(NOT(ISNUMBER($A1347)),NA(),IFERROR(1*INDEX(BBG_Data!$J$2:$J$4000,MATCH($A1347,BBG_Data!$I$2:$I$4000,0)),NA()))</f>
        <v/>
      </c>
      <c r="R1347" s="18">
        <f>IF(NOT(ISNUMBER($A1347)),NA(),IFERROR(1*INDEX(BBG_Data!$L$2:$L$4000,MATCH($A1347,BBG_Data!$K$2:$K$4000,0)),NA()))</f>
        <v/>
      </c>
      <c r="S1347" s="20">
        <f>IF(AND(ISNUMBER(B1347),ISNUMBER(Q1347),ISNUMBER(R1347)),(B1347-Q1347-R1347)*100,NA())</f>
        <v/>
      </c>
      <c r="T1347" s="20">
        <f>IF(AND(ISNUMBER(B1347),Settings!$B$17&gt;0),IF(ISNUMBER(INDEX($B:$B,Settings!$B$17)),(B1347-INDEX($B:$B,Settings!$B$17))*100,NA()),NA())</f>
        <v/>
      </c>
      <c r="U1347" s="20">
        <f>IF(AND(ISNUMBER(Q1347),Settings!$B$17&gt;0),IF(ISNUMBER(INDEX($Q:$Q,Settings!$B$17)),(Q1347-INDEX($Q:$Q,Settings!$B$17))*100,NA()),NA())</f>
        <v/>
      </c>
      <c r="V1347" s="20">
        <f>IF(AND(ISNUMBER(R1347),Settings!$B$17&gt;0),IF(ISNUMBER(INDEX($R:$R,Settings!$B$17)),(R1347-INDEX($R:$R,Settings!$B$17))*100,NA()),NA())</f>
        <v/>
      </c>
      <c r="W1347" s="20">
        <f>IF(AND(ISNUMBER(P1347),Settings!$B$17&gt;0),IF(ISNUMBER(INDEX($P:$P,Settings!$B$17)),P1347-INDEX($P:$P,Settings!$B$17),NA()),NA())</f>
        <v/>
      </c>
      <c r="X1347" s="19">
        <f>IF(NOT(ISNUMBER($A1347)),NA(),IF(OR($A1347&lt;MIN(DKW_10Y!$A$2:$A$2918),$A1347&gt;MAX(DKW_10Y!$A$2:$A$2918),Settings!$B$16&lt;MIN(DKW_10Y!$A$2:$A$2918)),NA(),(INDEX(DKW_10Y!$B$2:$B$2918,MATCH($A1347,DKW_10Y!$A$2:$A$2918,1))-INDEX(DKW_10Y!$B$2:$B$2918,MATCH(Settings!$B$16,DKW_10Y!$A$2:$A$2918,1)))*100))</f>
        <v/>
      </c>
      <c r="Y1347" s="19">
        <f>IF(NOT(ISNUMBER($A1347)),NA(),IF(OR($A1347&lt;MIN(DKW_10Y!$A$2:$A$2918),$A1347&gt;MAX(DKW_10Y!$A$2:$A$2918),Settings!$B$16&lt;MIN(DKW_10Y!$A$2:$A$2918)),NA(),(INDEX(DKW_10Y!$C$2:$C$2918,MATCH($A1347,DKW_10Y!$A$2:$A$2918,1))-INDEX(DKW_10Y!$C$2:$C$2918,MATCH(Settings!$B$16,DKW_10Y!$A$2:$A$2918,1)))*100))</f>
        <v/>
      </c>
      <c r="Z1347" s="19">
        <f>IF(NOT(ISNUMBER($A1347)),NA(),IF(OR($A1347&lt;MIN(DKW_10Y!$A$2:$A$2918),$A1347&gt;MAX(DKW_10Y!$A$2:$A$2918),Settings!$B$16&lt;MIN(DKW_10Y!$A$2:$A$2918)),NA(),(INDEX(DKW_10Y!$D$2:$D$2918,MATCH($A1347,DKW_10Y!$A$2:$A$2918,1))-INDEX(DKW_10Y!$D$2:$D$2918,MATCH(Settings!$B$16,DKW_10Y!$A$2:$A$2918,1)))*100))</f>
        <v/>
      </c>
      <c r="AA1347" s="19">
        <f>IF(NOT(ISNUMBER($A1347)),NA(),IF(OR($A1347&lt;MIN(DKW_10Y!$A$2:$A$2918),$A1347&gt;MAX(DKW_10Y!$A$2:$A$2918),Settings!$B$16&lt;MIN(DKW_10Y!$A$2:$A$2918)),NA(),(INDEX(DKW_10Y!$E$2:$E$2918,MATCH($A1347,DKW_10Y!$A$2:$A$2918,1))-INDEX(DKW_10Y!$E$2:$E$2918,MATCH(Settings!$B$16,DKW_10Y!$A$2:$A$2918,1)))*100))</f>
        <v/>
      </c>
      <c r="AB1347" s="19">
        <f>IF(NOT(ISNUMBER($A1347)),NA(),IF(OR($A1347&lt;MIN(DKW_10Y!$A$2:$A$2918),$A1347&gt;MAX(DKW_10Y!$A$2:$A$2918),Settings!$B$16&lt;MIN(DKW_10Y!$A$2:$A$2918)),NA(),(INDEX(DKW_10Y!$H$2:$H$2918,MATCH($A1347,DKW_10Y!$A$2:$A$2918,1))-INDEX(DKW_10Y!$H$2:$H$2918,MATCH(Settings!$B$16,DKW_10Y!$A$2:$A$2918,1)))*100))</f>
        <v/>
      </c>
      <c r="AC1347" s="18">
        <f>IF(NOT(ISNUMBER($A1347)),NA(),IFERROR(1*INDEX(BBG_Data!$N$2:$N$4000,MATCH($A1347,BBG_Data!$M$2:$M$4000,0)),NA()))</f>
        <v/>
      </c>
      <c r="AD1347" s="18">
        <f>IF(NOT(ISNUMBER($A1347)),NA(),IFERROR(1*INDEX(BBG_Data!$P$2:$P$4000,MATCH($A1347,BBG_Data!$O$2:$O$4000,0)),NA()))</f>
        <v/>
      </c>
      <c r="AE1347" s="18">
        <f>IF(NOT(ISNUMBER($A1347)),NA(),IFERROR(1*INDEX(BBG_Data!$R$2:$R$4000,MATCH($A1347,BBG_Data!$Q$2:$Q$4000,0)),NA()))</f>
        <v/>
      </c>
      <c r="AF1347" s="20">
        <f>IF(AND(ISNUMBER(B1347),ISNUMBER(AC1347)),(B1347-AC1347)*100,NA())</f>
        <v/>
      </c>
      <c r="AG1347" s="20">
        <f>IF(AND(ISNUMBER(AE1347),ISNUMBER(AD1347)),(AE1347-AD1347)*100,NA())</f>
        <v/>
      </c>
      <c r="AH1347" s="19">
        <f>IF(NOT(ISNUMBER($A1347)),NA(),IFERROR(INDEX(BBG_Data!$T$2:$T$4000,MATCH($A1347,BBG_Data!$S$2:$S$4000,0))*Settings!$B$25,NA()))</f>
        <v/>
      </c>
      <c r="AI1347" s="19">
        <f>IF(NOT(ISNUMBER($A1347)),NA(),IFERROR(INDEX(BBG_Data!$V$2:$V$4000,MATCH($A1347,BBG_Data!$U$2:$U$4000,0))*Settings!$B$25,NA()))</f>
        <v/>
      </c>
      <c r="AJ1347" s="19">
        <f>IF(NOT(ISNUMBER($A1347)),NA(),IFERROR(1*INDEX(BBG_Data!$X$2:$X$4000,MATCH($A1347,BBG_Data!$W$2:$W$4000,0)),NA()))</f>
        <v/>
      </c>
      <c r="AK1347" s="19">
        <f>IF(NOT(ISNUMBER($A1347)),NA(),IFERROR(1*INDEX(BBG_Data!$Z$2:$Z$4000,MATCH($A1347,BBG_Data!$Y$2:$Y$4000,0)),NA()))</f>
        <v/>
      </c>
    </row>
    <row r="1348">
      <c r="A1348" s="17">
        <f>IF(ISNUMBER(BBG_Data!A1348),BBG_Data!A1348,"")</f>
        <v/>
      </c>
      <c r="B1348" s="18">
        <f>IF(AND(ISNUMBER($A1348),ISNUMBER(BBG_Data!B1348)),BBG_Data!B1348,NA())</f>
        <v/>
      </c>
      <c r="C1348" s="18">
        <f>IF(NOT(ISNUMBER($A1348)),NA(),IFERROR(1*INDEX(BBG_Data!$D$2:$D$4000,MATCH($A1348,BBG_Data!$C$2:$C$4000,0)),NA()))</f>
        <v/>
      </c>
      <c r="D1348" s="19">
        <f>IF(NOT(ISNUMBER($A1348)),NA(),IFERROR(1*INDEX(BBG_Data!$F$2:$F$4000,MATCH($A1348,BBG_Data!$E$2:$E$4000,0)),NA()))</f>
        <v/>
      </c>
      <c r="E1348" s="19">
        <f>IF(NOT(ISNUMBER($A1348)),NA(),IFERROR(1*INDEX(BBG_Data!$H$2:$H$4000,MATCH($A1348,BBG_Data!$G$2:$G$4000,0)),NA()))</f>
        <v/>
      </c>
      <c r="F1348" s="20">
        <f>IF(AND(ISNUMBER(B1348),ISNUMBER(B1347)),IF(B1348=B1347,"",(B1348-B1347)*100),"")</f>
        <v/>
      </c>
      <c r="G1348" s="20">
        <f>IF(AND(ISNUMBER(C1348),ISNUMBER(C1347)),IF(C1348=C1347,"",(C1348-C1347)*100),"")</f>
        <v/>
      </c>
      <c r="H1348" s="20">
        <f>IF(OR(NOT(ISNUMBER($A1348)),ROW()-2&lt;Settings!$B$11),NA(),IF(COUNT(OFFSET(F1348,1-Settings!$B$11,0,Settings!$B$11,1))&lt;ROUNDUP(Settings!$B$11*Settings!$B$26,0),NA(),STDEV(OFFSET(F1348,1-Settings!$B$11,0,Settings!$B$11,1))*SQRT(Settings!$B$13)))</f>
        <v/>
      </c>
      <c r="I1348" s="20">
        <f>IF(OR(NOT(ISNUMBER($A1348)),ROW()-2&lt;Settings!$B$12),NA(),IF(COUNT(OFFSET(F1348,1-Settings!$B$12,0,Settings!$B$12,1))&lt;ROUNDUP(Settings!$B$12*Settings!$B$26,0),NA(),STDEV(OFFSET(F1348,1-Settings!$B$12,0,Settings!$B$12,1))*SQRT(Settings!$B$13)))</f>
        <v/>
      </c>
      <c r="J1348" s="20">
        <f>IF(OR(NOT(ISNUMBER($A1348)),ROW()-2&lt;Settings!$B$11),NA(),IF(COUNT(OFFSET(G1348,1-Settings!$B$11,0,Settings!$B$11,1))&lt;ROUNDUP(Settings!$B$11*Settings!$B$26,0),NA(),STDEV(OFFSET(G1348,1-Settings!$B$11,0,Settings!$B$11,1))*SQRT(Settings!$B$13)))</f>
        <v/>
      </c>
      <c r="K1348" s="20">
        <f>IF(OR(NOT(ISNUMBER($A1348)),ROW()-2&lt;Settings!$B$12),NA(),IF(COUNT(OFFSET(G1348,1-Settings!$B$12,0,Settings!$B$12,1))&lt;ROUNDUP(Settings!$B$12*Settings!$B$26,0),NA(),STDEV(OFFSET(G1348,1-Settings!$B$12,0,Settings!$B$12,1))*SQRT(Settings!$B$13)))</f>
        <v/>
      </c>
      <c r="L1348" s="20">
        <f>IF(AND(ISNUMBER(D1348),ISNUMBER(H1348)),D1348-H1348,NA())</f>
        <v/>
      </c>
      <c r="M1348" s="20">
        <f>IF(AND(ISNUMBER(E1348),ISNUMBER(K1348)),E1348-K1348,NA())</f>
        <v/>
      </c>
      <c r="N1348" s="20">
        <f>IF(NOT(ISNUMBER($A1348)),NA(),IF(COUNT(OFFSET(G1348,1,0,Settings!$B$12,1))&lt;ROUNDUP(Settings!$B$12*Settings!$B$26,0),NA(),STDEV(OFFSET(G1348,1,0,Settings!$B$12,1))*SQRT(Settings!$B$13)))</f>
        <v/>
      </c>
      <c r="O1348" s="20">
        <f>IF(AND(ISNUMBER(E1348),ISNUMBER(N1348)),E1348-N1348,NA())</f>
        <v/>
      </c>
      <c r="P1348" s="19">
        <f>IF(NOT(ISNUMBER($A1348)),NA(),IF(OR($A1348&lt;MIN(KW_TP!$A$2:$A$2501),$A1348&gt;MAX(KW_TP!$A$2:$A$2501)),NA(),INDEX(KW_TP!$C$2:$C$2501,MATCH($A1348,KW_TP!$A$2:$A$2501,1))))</f>
        <v/>
      </c>
      <c r="Q1348" s="18">
        <f>IF(NOT(ISNUMBER($A1348)),NA(),IFERROR(1*INDEX(BBG_Data!$J$2:$J$4000,MATCH($A1348,BBG_Data!$I$2:$I$4000,0)),NA()))</f>
        <v/>
      </c>
      <c r="R1348" s="18">
        <f>IF(NOT(ISNUMBER($A1348)),NA(),IFERROR(1*INDEX(BBG_Data!$L$2:$L$4000,MATCH($A1348,BBG_Data!$K$2:$K$4000,0)),NA()))</f>
        <v/>
      </c>
      <c r="S1348" s="20">
        <f>IF(AND(ISNUMBER(B1348),ISNUMBER(Q1348),ISNUMBER(R1348)),(B1348-Q1348-R1348)*100,NA())</f>
        <v/>
      </c>
      <c r="T1348" s="20">
        <f>IF(AND(ISNUMBER(B1348),Settings!$B$17&gt;0),IF(ISNUMBER(INDEX($B:$B,Settings!$B$17)),(B1348-INDEX($B:$B,Settings!$B$17))*100,NA()),NA())</f>
        <v/>
      </c>
      <c r="U1348" s="20">
        <f>IF(AND(ISNUMBER(Q1348),Settings!$B$17&gt;0),IF(ISNUMBER(INDEX($Q:$Q,Settings!$B$17)),(Q1348-INDEX($Q:$Q,Settings!$B$17))*100,NA()),NA())</f>
        <v/>
      </c>
      <c r="V1348" s="20">
        <f>IF(AND(ISNUMBER(R1348),Settings!$B$17&gt;0),IF(ISNUMBER(INDEX($R:$R,Settings!$B$17)),(R1348-INDEX($R:$R,Settings!$B$17))*100,NA()),NA())</f>
        <v/>
      </c>
      <c r="W1348" s="20">
        <f>IF(AND(ISNUMBER(P1348),Settings!$B$17&gt;0),IF(ISNUMBER(INDEX($P:$P,Settings!$B$17)),P1348-INDEX($P:$P,Settings!$B$17),NA()),NA())</f>
        <v/>
      </c>
      <c r="X1348" s="19">
        <f>IF(NOT(ISNUMBER($A1348)),NA(),IF(OR($A1348&lt;MIN(DKW_10Y!$A$2:$A$2918),$A1348&gt;MAX(DKW_10Y!$A$2:$A$2918),Settings!$B$16&lt;MIN(DKW_10Y!$A$2:$A$2918)),NA(),(INDEX(DKW_10Y!$B$2:$B$2918,MATCH($A1348,DKW_10Y!$A$2:$A$2918,1))-INDEX(DKW_10Y!$B$2:$B$2918,MATCH(Settings!$B$16,DKW_10Y!$A$2:$A$2918,1)))*100))</f>
        <v/>
      </c>
      <c r="Y1348" s="19">
        <f>IF(NOT(ISNUMBER($A1348)),NA(),IF(OR($A1348&lt;MIN(DKW_10Y!$A$2:$A$2918),$A1348&gt;MAX(DKW_10Y!$A$2:$A$2918),Settings!$B$16&lt;MIN(DKW_10Y!$A$2:$A$2918)),NA(),(INDEX(DKW_10Y!$C$2:$C$2918,MATCH($A1348,DKW_10Y!$A$2:$A$2918,1))-INDEX(DKW_10Y!$C$2:$C$2918,MATCH(Settings!$B$16,DKW_10Y!$A$2:$A$2918,1)))*100))</f>
        <v/>
      </c>
      <c r="Z1348" s="19">
        <f>IF(NOT(ISNUMBER($A1348)),NA(),IF(OR($A1348&lt;MIN(DKW_10Y!$A$2:$A$2918),$A1348&gt;MAX(DKW_10Y!$A$2:$A$2918),Settings!$B$16&lt;MIN(DKW_10Y!$A$2:$A$2918)),NA(),(INDEX(DKW_10Y!$D$2:$D$2918,MATCH($A1348,DKW_10Y!$A$2:$A$2918,1))-INDEX(DKW_10Y!$D$2:$D$2918,MATCH(Settings!$B$16,DKW_10Y!$A$2:$A$2918,1)))*100))</f>
        <v/>
      </c>
      <c r="AA1348" s="19">
        <f>IF(NOT(ISNUMBER($A1348)),NA(),IF(OR($A1348&lt;MIN(DKW_10Y!$A$2:$A$2918),$A1348&gt;MAX(DKW_10Y!$A$2:$A$2918),Settings!$B$16&lt;MIN(DKW_10Y!$A$2:$A$2918)),NA(),(INDEX(DKW_10Y!$E$2:$E$2918,MATCH($A1348,DKW_10Y!$A$2:$A$2918,1))-INDEX(DKW_10Y!$E$2:$E$2918,MATCH(Settings!$B$16,DKW_10Y!$A$2:$A$2918,1)))*100))</f>
        <v/>
      </c>
      <c r="AB1348" s="19">
        <f>IF(NOT(ISNUMBER($A1348)),NA(),IF(OR($A1348&lt;MIN(DKW_10Y!$A$2:$A$2918),$A1348&gt;MAX(DKW_10Y!$A$2:$A$2918),Settings!$B$16&lt;MIN(DKW_10Y!$A$2:$A$2918)),NA(),(INDEX(DKW_10Y!$H$2:$H$2918,MATCH($A1348,DKW_10Y!$A$2:$A$2918,1))-INDEX(DKW_10Y!$H$2:$H$2918,MATCH(Settings!$B$16,DKW_10Y!$A$2:$A$2918,1)))*100))</f>
        <v/>
      </c>
      <c r="AC1348" s="18">
        <f>IF(NOT(ISNUMBER($A1348)),NA(),IFERROR(1*INDEX(BBG_Data!$N$2:$N$4000,MATCH($A1348,BBG_Data!$M$2:$M$4000,0)),NA()))</f>
        <v/>
      </c>
      <c r="AD1348" s="18">
        <f>IF(NOT(ISNUMBER($A1348)),NA(),IFERROR(1*INDEX(BBG_Data!$P$2:$P$4000,MATCH($A1348,BBG_Data!$O$2:$O$4000,0)),NA()))</f>
        <v/>
      </c>
      <c r="AE1348" s="18">
        <f>IF(NOT(ISNUMBER($A1348)),NA(),IFERROR(1*INDEX(BBG_Data!$R$2:$R$4000,MATCH($A1348,BBG_Data!$Q$2:$Q$4000,0)),NA()))</f>
        <v/>
      </c>
      <c r="AF1348" s="20">
        <f>IF(AND(ISNUMBER(B1348),ISNUMBER(AC1348)),(B1348-AC1348)*100,NA())</f>
        <v/>
      </c>
      <c r="AG1348" s="20">
        <f>IF(AND(ISNUMBER(AE1348),ISNUMBER(AD1348)),(AE1348-AD1348)*100,NA())</f>
        <v/>
      </c>
      <c r="AH1348" s="19">
        <f>IF(NOT(ISNUMBER($A1348)),NA(),IFERROR(INDEX(BBG_Data!$T$2:$T$4000,MATCH($A1348,BBG_Data!$S$2:$S$4000,0))*Settings!$B$25,NA()))</f>
        <v/>
      </c>
      <c r="AI1348" s="19">
        <f>IF(NOT(ISNUMBER($A1348)),NA(),IFERROR(INDEX(BBG_Data!$V$2:$V$4000,MATCH($A1348,BBG_Data!$U$2:$U$4000,0))*Settings!$B$25,NA()))</f>
        <v/>
      </c>
      <c r="AJ1348" s="19">
        <f>IF(NOT(ISNUMBER($A1348)),NA(),IFERROR(1*INDEX(BBG_Data!$X$2:$X$4000,MATCH($A1348,BBG_Data!$W$2:$W$4000,0)),NA()))</f>
        <v/>
      </c>
      <c r="AK1348" s="19">
        <f>IF(NOT(ISNUMBER($A1348)),NA(),IFERROR(1*INDEX(BBG_Data!$Z$2:$Z$4000,MATCH($A1348,BBG_Data!$Y$2:$Y$4000,0)),NA()))</f>
        <v/>
      </c>
    </row>
    <row r="1349">
      <c r="A1349" s="17">
        <f>IF(ISNUMBER(BBG_Data!A1349),BBG_Data!A1349,"")</f>
        <v/>
      </c>
      <c r="B1349" s="18">
        <f>IF(AND(ISNUMBER($A1349),ISNUMBER(BBG_Data!B1349)),BBG_Data!B1349,NA())</f>
        <v/>
      </c>
      <c r="C1349" s="18">
        <f>IF(NOT(ISNUMBER($A1349)),NA(),IFERROR(1*INDEX(BBG_Data!$D$2:$D$4000,MATCH($A1349,BBG_Data!$C$2:$C$4000,0)),NA()))</f>
        <v/>
      </c>
      <c r="D1349" s="19">
        <f>IF(NOT(ISNUMBER($A1349)),NA(),IFERROR(1*INDEX(BBG_Data!$F$2:$F$4000,MATCH($A1349,BBG_Data!$E$2:$E$4000,0)),NA()))</f>
        <v/>
      </c>
      <c r="E1349" s="19">
        <f>IF(NOT(ISNUMBER($A1349)),NA(),IFERROR(1*INDEX(BBG_Data!$H$2:$H$4000,MATCH($A1349,BBG_Data!$G$2:$G$4000,0)),NA()))</f>
        <v/>
      </c>
      <c r="F1349" s="20">
        <f>IF(AND(ISNUMBER(B1349),ISNUMBER(B1348)),IF(B1349=B1348,"",(B1349-B1348)*100),"")</f>
        <v/>
      </c>
      <c r="G1349" s="20">
        <f>IF(AND(ISNUMBER(C1349),ISNUMBER(C1348)),IF(C1349=C1348,"",(C1349-C1348)*100),"")</f>
        <v/>
      </c>
      <c r="H1349" s="20">
        <f>IF(OR(NOT(ISNUMBER($A1349)),ROW()-2&lt;Settings!$B$11),NA(),IF(COUNT(OFFSET(F1349,1-Settings!$B$11,0,Settings!$B$11,1))&lt;ROUNDUP(Settings!$B$11*Settings!$B$26,0),NA(),STDEV(OFFSET(F1349,1-Settings!$B$11,0,Settings!$B$11,1))*SQRT(Settings!$B$13)))</f>
        <v/>
      </c>
      <c r="I1349" s="20">
        <f>IF(OR(NOT(ISNUMBER($A1349)),ROW()-2&lt;Settings!$B$12),NA(),IF(COUNT(OFFSET(F1349,1-Settings!$B$12,0,Settings!$B$12,1))&lt;ROUNDUP(Settings!$B$12*Settings!$B$26,0),NA(),STDEV(OFFSET(F1349,1-Settings!$B$12,0,Settings!$B$12,1))*SQRT(Settings!$B$13)))</f>
        <v/>
      </c>
      <c r="J1349" s="20">
        <f>IF(OR(NOT(ISNUMBER($A1349)),ROW()-2&lt;Settings!$B$11),NA(),IF(COUNT(OFFSET(G1349,1-Settings!$B$11,0,Settings!$B$11,1))&lt;ROUNDUP(Settings!$B$11*Settings!$B$26,0),NA(),STDEV(OFFSET(G1349,1-Settings!$B$11,0,Settings!$B$11,1))*SQRT(Settings!$B$13)))</f>
        <v/>
      </c>
      <c r="K1349" s="20">
        <f>IF(OR(NOT(ISNUMBER($A1349)),ROW()-2&lt;Settings!$B$12),NA(),IF(COUNT(OFFSET(G1349,1-Settings!$B$12,0,Settings!$B$12,1))&lt;ROUNDUP(Settings!$B$12*Settings!$B$26,0),NA(),STDEV(OFFSET(G1349,1-Settings!$B$12,0,Settings!$B$12,1))*SQRT(Settings!$B$13)))</f>
        <v/>
      </c>
      <c r="L1349" s="20">
        <f>IF(AND(ISNUMBER(D1349),ISNUMBER(H1349)),D1349-H1349,NA())</f>
        <v/>
      </c>
      <c r="M1349" s="20">
        <f>IF(AND(ISNUMBER(E1349),ISNUMBER(K1349)),E1349-K1349,NA())</f>
        <v/>
      </c>
      <c r="N1349" s="20">
        <f>IF(NOT(ISNUMBER($A1349)),NA(),IF(COUNT(OFFSET(G1349,1,0,Settings!$B$12,1))&lt;ROUNDUP(Settings!$B$12*Settings!$B$26,0),NA(),STDEV(OFFSET(G1349,1,0,Settings!$B$12,1))*SQRT(Settings!$B$13)))</f>
        <v/>
      </c>
      <c r="O1349" s="20">
        <f>IF(AND(ISNUMBER(E1349),ISNUMBER(N1349)),E1349-N1349,NA())</f>
        <v/>
      </c>
      <c r="P1349" s="19">
        <f>IF(NOT(ISNUMBER($A1349)),NA(),IF(OR($A1349&lt;MIN(KW_TP!$A$2:$A$2501),$A1349&gt;MAX(KW_TP!$A$2:$A$2501)),NA(),INDEX(KW_TP!$C$2:$C$2501,MATCH($A1349,KW_TP!$A$2:$A$2501,1))))</f>
        <v/>
      </c>
      <c r="Q1349" s="18">
        <f>IF(NOT(ISNUMBER($A1349)),NA(),IFERROR(1*INDEX(BBG_Data!$J$2:$J$4000,MATCH($A1349,BBG_Data!$I$2:$I$4000,0)),NA()))</f>
        <v/>
      </c>
      <c r="R1349" s="18">
        <f>IF(NOT(ISNUMBER($A1349)),NA(),IFERROR(1*INDEX(BBG_Data!$L$2:$L$4000,MATCH($A1349,BBG_Data!$K$2:$K$4000,0)),NA()))</f>
        <v/>
      </c>
      <c r="S1349" s="20">
        <f>IF(AND(ISNUMBER(B1349),ISNUMBER(Q1349),ISNUMBER(R1349)),(B1349-Q1349-R1349)*100,NA())</f>
        <v/>
      </c>
      <c r="T1349" s="20">
        <f>IF(AND(ISNUMBER(B1349),Settings!$B$17&gt;0),IF(ISNUMBER(INDEX($B:$B,Settings!$B$17)),(B1349-INDEX($B:$B,Settings!$B$17))*100,NA()),NA())</f>
        <v/>
      </c>
      <c r="U1349" s="20">
        <f>IF(AND(ISNUMBER(Q1349),Settings!$B$17&gt;0),IF(ISNUMBER(INDEX($Q:$Q,Settings!$B$17)),(Q1349-INDEX($Q:$Q,Settings!$B$17))*100,NA()),NA())</f>
        <v/>
      </c>
      <c r="V1349" s="20">
        <f>IF(AND(ISNUMBER(R1349),Settings!$B$17&gt;0),IF(ISNUMBER(INDEX($R:$R,Settings!$B$17)),(R1349-INDEX($R:$R,Settings!$B$17))*100,NA()),NA())</f>
        <v/>
      </c>
      <c r="W1349" s="20">
        <f>IF(AND(ISNUMBER(P1349),Settings!$B$17&gt;0),IF(ISNUMBER(INDEX($P:$P,Settings!$B$17)),P1349-INDEX($P:$P,Settings!$B$17),NA()),NA())</f>
        <v/>
      </c>
      <c r="X1349" s="19">
        <f>IF(NOT(ISNUMBER($A1349)),NA(),IF(OR($A1349&lt;MIN(DKW_10Y!$A$2:$A$2918),$A1349&gt;MAX(DKW_10Y!$A$2:$A$2918),Settings!$B$16&lt;MIN(DKW_10Y!$A$2:$A$2918)),NA(),(INDEX(DKW_10Y!$B$2:$B$2918,MATCH($A1349,DKW_10Y!$A$2:$A$2918,1))-INDEX(DKW_10Y!$B$2:$B$2918,MATCH(Settings!$B$16,DKW_10Y!$A$2:$A$2918,1)))*100))</f>
        <v/>
      </c>
      <c r="Y1349" s="19">
        <f>IF(NOT(ISNUMBER($A1349)),NA(),IF(OR($A1349&lt;MIN(DKW_10Y!$A$2:$A$2918),$A1349&gt;MAX(DKW_10Y!$A$2:$A$2918),Settings!$B$16&lt;MIN(DKW_10Y!$A$2:$A$2918)),NA(),(INDEX(DKW_10Y!$C$2:$C$2918,MATCH($A1349,DKW_10Y!$A$2:$A$2918,1))-INDEX(DKW_10Y!$C$2:$C$2918,MATCH(Settings!$B$16,DKW_10Y!$A$2:$A$2918,1)))*100))</f>
        <v/>
      </c>
      <c r="Z1349" s="19">
        <f>IF(NOT(ISNUMBER($A1349)),NA(),IF(OR($A1349&lt;MIN(DKW_10Y!$A$2:$A$2918),$A1349&gt;MAX(DKW_10Y!$A$2:$A$2918),Settings!$B$16&lt;MIN(DKW_10Y!$A$2:$A$2918)),NA(),(INDEX(DKW_10Y!$D$2:$D$2918,MATCH($A1349,DKW_10Y!$A$2:$A$2918,1))-INDEX(DKW_10Y!$D$2:$D$2918,MATCH(Settings!$B$16,DKW_10Y!$A$2:$A$2918,1)))*100))</f>
        <v/>
      </c>
      <c r="AA1349" s="19">
        <f>IF(NOT(ISNUMBER($A1349)),NA(),IF(OR($A1349&lt;MIN(DKW_10Y!$A$2:$A$2918),$A1349&gt;MAX(DKW_10Y!$A$2:$A$2918),Settings!$B$16&lt;MIN(DKW_10Y!$A$2:$A$2918)),NA(),(INDEX(DKW_10Y!$E$2:$E$2918,MATCH($A1349,DKW_10Y!$A$2:$A$2918,1))-INDEX(DKW_10Y!$E$2:$E$2918,MATCH(Settings!$B$16,DKW_10Y!$A$2:$A$2918,1)))*100))</f>
        <v/>
      </c>
      <c r="AB1349" s="19">
        <f>IF(NOT(ISNUMBER($A1349)),NA(),IF(OR($A1349&lt;MIN(DKW_10Y!$A$2:$A$2918),$A1349&gt;MAX(DKW_10Y!$A$2:$A$2918),Settings!$B$16&lt;MIN(DKW_10Y!$A$2:$A$2918)),NA(),(INDEX(DKW_10Y!$H$2:$H$2918,MATCH($A1349,DKW_10Y!$A$2:$A$2918,1))-INDEX(DKW_10Y!$H$2:$H$2918,MATCH(Settings!$B$16,DKW_10Y!$A$2:$A$2918,1)))*100))</f>
        <v/>
      </c>
      <c r="AC1349" s="18">
        <f>IF(NOT(ISNUMBER($A1349)),NA(),IFERROR(1*INDEX(BBG_Data!$N$2:$N$4000,MATCH($A1349,BBG_Data!$M$2:$M$4000,0)),NA()))</f>
        <v/>
      </c>
      <c r="AD1349" s="18">
        <f>IF(NOT(ISNUMBER($A1349)),NA(),IFERROR(1*INDEX(BBG_Data!$P$2:$P$4000,MATCH($A1349,BBG_Data!$O$2:$O$4000,0)),NA()))</f>
        <v/>
      </c>
      <c r="AE1349" s="18">
        <f>IF(NOT(ISNUMBER($A1349)),NA(),IFERROR(1*INDEX(BBG_Data!$R$2:$R$4000,MATCH($A1349,BBG_Data!$Q$2:$Q$4000,0)),NA()))</f>
        <v/>
      </c>
      <c r="AF1349" s="20">
        <f>IF(AND(ISNUMBER(B1349),ISNUMBER(AC1349)),(B1349-AC1349)*100,NA())</f>
        <v/>
      </c>
      <c r="AG1349" s="20">
        <f>IF(AND(ISNUMBER(AE1349),ISNUMBER(AD1349)),(AE1349-AD1349)*100,NA())</f>
        <v/>
      </c>
      <c r="AH1349" s="19">
        <f>IF(NOT(ISNUMBER($A1349)),NA(),IFERROR(INDEX(BBG_Data!$T$2:$T$4000,MATCH($A1349,BBG_Data!$S$2:$S$4000,0))*Settings!$B$25,NA()))</f>
        <v/>
      </c>
      <c r="AI1349" s="19">
        <f>IF(NOT(ISNUMBER($A1349)),NA(),IFERROR(INDEX(BBG_Data!$V$2:$V$4000,MATCH($A1349,BBG_Data!$U$2:$U$4000,0))*Settings!$B$25,NA()))</f>
        <v/>
      </c>
      <c r="AJ1349" s="19">
        <f>IF(NOT(ISNUMBER($A1349)),NA(),IFERROR(1*INDEX(BBG_Data!$X$2:$X$4000,MATCH($A1349,BBG_Data!$W$2:$W$4000,0)),NA()))</f>
        <v/>
      </c>
      <c r="AK1349" s="19">
        <f>IF(NOT(ISNUMBER($A1349)),NA(),IFERROR(1*INDEX(BBG_Data!$Z$2:$Z$4000,MATCH($A1349,BBG_Data!$Y$2:$Y$4000,0)),NA()))</f>
        <v/>
      </c>
    </row>
    <row r="1350">
      <c r="A1350" s="17">
        <f>IF(ISNUMBER(BBG_Data!A1350),BBG_Data!A1350,"")</f>
        <v/>
      </c>
      <c r="B1350" s="18">
        <f>IF(AND(ISNUMBER($A1350),ISNUMBER(BBG_Data!B1350)),BBG_Data!B1350,NA())</f>
        <v/>
      </c>
      <c r="C1350" s="18">
        <f>IF(NOT(ISNUMBER($A1350)),NA(),IFERROR(1*INDEX(BBG_Data!$D$2:$D$4000,MATCH($A1350,BBG_Data!$C$2:$C$4000,0)),NA()))</f>
        <v/>
      </c>
      <c r="D1350" s="19">
        <f>IF(NOT(ISNUMBER($A1350)),NA(),IFERROR(1*INDEX(BBG_Data!$F$2:$F$4000,MATCH($A1350,BBG_Data!$E$2:$E$4000,0)),NA()))</f>
        <v/>
      </c>
      <c r="E1350" s="19">
        <f>IF(NOT(ISNUMBER($A1350)),NA(),IFERROR(1*INDEX(BBG_Data!$H$2:$H$4000,MATCH($A1350,BBG_Data!$G$2:$G$4000,0)),NA()))</f>
        <v/>
      </c>
      <c r="F1350" s="20">
        <f>IF(AND(ISNUMBER(B1350),ISNUMBER(B1349)),IF(B1350=B1349,"",(B1350-B1349)*100),"")</f>
        <v/>
      </c>
      <c r="G1350" s="20">
        <f>IF(AND(ISNUMBER(C1350),ISNUMBER(C1349)),IF(C1350=C1349,"",(C1350-C1349)*100),"")</f>
        <v/>
      </c>
      <c r="H1350" s="20">
        <f>IF(OR(NOT(ISNUMBER($A1350)),ROW()-2&lt;Settings!$B$11),NA(),IF(COUNT(OFFSET(F1350,1-Settings!$B$11,0,Settings!$B$11,1))&lt;ROUNDUP(Settings!$B$11*Settings!$B$26,0),NA(),STDEV(OFFSET(F1350,1-Settings!$B$11,0,Settings!$B$11,1))*SQRT(Settings!$B$13)))</f>
        <v/>
      </c>
      <c r="I1350" s="20">
        <f>IF(OR(NOT(ISNUMBER($A1350)),ROW()-2&lt;Settings!$B$12),NA(),IF(COUNT(OFFSET(F1350,1-Settings!$B$12,0,Settings!$B$12,1))&lt;ROUNDUP(Settings!$B$12*Settings!$B$26,0),NA(),STDEV(OFFSET(F1350,1-Settings!$B$12,0,Settings!$B$12,1))*SQRT(Settings!$B$13)))</f>
        <v/>
      </c>
      <c r="J1350" s="20">
        <f>IF(OR(NOT(ISNUMBER($A1350)),ROW()-2&lt;Settings!$B$11),NA(),IF(COUNT(OFFSET(G1350,1-Settings!$B$11,0,Settings!$B$11,1))&lt;ROUNDUP(Settings!$B$11*Settings!$B$26,0),NA(),STDEV(OFFSET(G1350,1-Settings!$B$11,0,Settings!$B$11,1))*SQRT(Settings!$B$13)))</f>
        <v/>
      </c>
      <c r="K1350" s="20">
        <f>IF(OR(NOT(ISNUMBER($A1350)),ROW()-2&lt;Settings!$B$12),NA(),IF(COUNT(OFFSET(G1350,1-Settings!$B$12,0,Settings!$B$12,1))&lt;ROUNDUP(Settings!$B$12*Settings!$B$26,0),NA(),STDEV(OFFSET(G1350,1-Settings!$B$12,0,Settings!$B$12,1))*SQRT(Settings!$B$13)))</f>
        <v/>
      </c>
      <c r="L1350" s="20">
        <f>IF(AND(ISNUMBER(D1350),ISNUMBER(H1350)),D1350-H1350,NA())</f>
        <v/>
      </c>
      <c r="M1350" s="20">
        <f>IF(AND(ISNUMBER(E1350),ISNUMBER(K1350)),E1350-K1350,NA())</f>
        <v/>
      </c>
      <c r="N1350" s="20">
        <f>IF(NOT(ISNUMBER($A1350)),NA(),IF(COUNT(OFFSET(G1350,1,0,Settings!$B$12,1))&lt;ROUNDUP(Settings!$B$12*Settings!$B$26,0),NA(),STDEV(OFFSET(G1350,1,0,Settings!$B$12,1))*SQRT(Settings!$B$13)))</f>
        <v/>
      </c>
      <c r="O1350" s="20">
        <f>IF(AND(ISNUMBER(E1350),ISNUMBER(N1350)),E1350-N1350,NA())</f>
        <v/>
      </c>
      <c r="P1350" s="19">
        <f>IF(NOT(ISNUMBER($A1350)),NA(),IF(OR($A1350&lt;MIN(KW_TP!$A$2:$A$2501),$A1350&gt;MAX(KW_TP!$A$2:$A$2501)),NA(),INDEX(KW_TP!$C$2:$C$2501,MATCH($A1350,KW_TP!$A$2:$A$2501,1))))</f>
        <v/>
      </c>
      <c r="Q1350" s="18">
        <f>IF(NOT(ISNUMBER($A1350)),NA(),IFERROR(1*INDEX(BBG_Data!$J$2:$J$4000,MATCH($A1350,BBG_Data!$I$2:$I$4000,0)),NA()))</f>
        <v/>
      </c>
      <c r="R1350" s="18">
        <f>IF(NOT(ISNUMBER($A1350)),NA(),IFERROR(1*INDEX(BBG_Data!$L$2:$L$4000,MATCH($A1350,BBG_Data!$K$2:$K$4000,0)),NA()))</f>
        <v/>
      </c>
      <c r="S1350" s="20">
        <f>IF(AND(ISNUMBER(B1350),ISNUMBER(Q1350),ISNUMBER(R1350)),(B1350-Q1350-R1350)*100,NA())</f>
        <v/>
      </c>
      <c r="T1350" s="20">
        <f>IF(AND(ISNUMBER(B1350),Settings!$B$17&gt;0),IF(ISNUMBER(INDEX($B:$B,Settings!$B$17)),(B1350-INDEX($B:$B,Settings!$B$17))*100,NA()),NA())</f>
        <v/>
      </c>
      <c r="U1350" s="20">
        <f>IF(AND(ISNUMBER(Q1350),Settings!$B$17&gt;0),IF(ISNUMBER(INDEX($Q:$Q,Settings!$B$17)),(Q1350-INDEX($Q:$Q,Settings!$B$17))*100,NA()),NA())</f>
        <v/>
      </c>
      <c r="V1350" s="20">
        <f>IF(AND(ISNUMBER(R1350),Settings!$B$17&gt;0),IF(ISNUMBER(INDEX($R:$R,Settings!$B$17)),(R1350-INDEX($R:$R,Settings!$B$17))*100,NA()),NA())</f>
        <v/>
      </c>
      <c r="W1350" s="20">
        <f>IF(AND(ISNUMBER(P1350),Settings!$B$17&gt;0),IF(ISNUMBER(INDEX($P:$P,Settings!$B$17)),P1350-INDEX($P:$P,Settings!$B$17),NA()),NA())</f>
        <v/>
      </c>
      <c r="X1350" s="19">
        <f>IF(NOT(ISNUMBER($A1350)),NA(),IF(OR($A1350&lt;MIN(DKW_10Y!$A$2:$A$2918),$A1350&gt;MAX(DKW_10Y!$A$2:$A$2918),Settings!$B$16&lt;MIN(DKW_10Y!$A$2:$A$2918)),NA(),(INDEX(DKW_10Y!$B$2:$B$2918,MATCH($A1350,DKW_10Y!$A$2:$A$2918,1))-INDEX(DKW_10Y!$B$2:$B$2918,MATCH(Settings!$B$16,DKW_10Y!$A$2:$A$2918,1)))*100))</f>
        <v/>
      </c>
      <c r="Y1350" s="19">
        <f>IF(NOT(ISNUMBER($A1350)),NA(),IF(OR($A1350&lt;MIN(DKW_10Y!$A$2:$A$2918),$A1350&gt;MAX(DKW_10Y!$A$2:$A$2918),Settings!$B$16&lt;MIN(DKW_10Y!$A$2:$A$2918)),NA(),(INDEX(DKW_10Y!$C$2:$C$2918,MATCH($A1350,DKW_10Y!$A$2:$A$2918,1))-INDEX(DKW_10Y!$C$2:$C$2918,MATCH(Settings!$B$16,DKW_10Y!$A$2:$A$2918,1)))*100))</f>
        <v/>
      </c>
      <c r="Z1350" s="19">
        <f>IF(NOT(ISNUMBER($A1350)),NA(),IF(OR($A1350&lt;MIN(DKW_10Y!$A$2:$A$2918),$A1350&gt;MAX(DKW_10Y!$A$2:$A$2918),Settings!$B$16&lt;MIN(DKW_10Y!$A$2:$A$2918)),NA(),(INDEX(DKW_10Y!$D$2:$D$2918,MATCH($A1350,DKW_10Y!$A$2:$A$2918,1))-INDEX(DKW_10Y!$D$2:$D$2918,MATCH(Settings!$B$16,DKW_10Y!$A$2:$A$2918,1)))*100))</f>
        <v/>
      </c>
      <c r="AA1350" s="19">
        <f>IF(NOT(ISNUMBER($A1350)),NA(),IF(OR($A1350&lt;MIN(DKW_10Y!$A$2:$A$2918),$A1350&gt;MAX(DKW_10Y!$A$2:$A$2918),Settings!$B$16&lt;MIN(DKW_10Y!$A$2:$A$2918)),NA(),(INDEX(DKW_10Y!$E$2:$E$2918,MATCH($A1350,DKW_10Y!$A$2:$A$2918,1))-INDEX(DKW_10Y!$E$2:$E$2918,MATCH(Settings!$B$16,DKW_10Y!$A$2:$A$2918,1)))*100))</f>
        <v/>
      </c>
      <c r="AB1350" s="19">
        <f>IF(NOT(ISNUMBER($A1350)),NA(),IF(OR($A1350&lt;MIN(DKW_10Y!$A$2:$A$2918),$A1350&gt;MAX(DKW_10Y!$A$2:$A$2918),Settings!$B$16&lt;MIN(DKW_10Y!$A$2:$A$2918)),NA(),(INDEX(DKW_10Y!$H$2:$H$2918,MATCH($A1350,DKW_10Y!$A$2:$A$2918,1))-INDEX(DKW_10Y!$H$2:$H$2918,MATCH(Settings!$B$16,DKW_10Y!$A$2:$A$2918,1)))*100))</f>
        <v/>
      </c>
      <c r="AC1350" s="18">
        <f>IF(NOT(ISNUMBER($A1350)),NA(),IFERROR(1*INDEX(BBG_Data!$N$2:$N$4000,MATCH($A1350,BBG_Data!$M$2:$M$4000,0)),NA()))</f>
        <v/>
      </c>
      <c r="AD1350" s="18">
        <f>IF(NOT(ISNUMBER($A1350)),NA(),IFERROR(1*INDEX(BBG_Data!$P$2:$P$4000,MATCH($A1350,BBG_Data!$O$2:$O$4000,0)),NA()))</f>
        <v/>
      </c>
      <c r="AE1350" s="18">
        <f>IF(NOT(ISNUMBER($A1350)),NA(),IFERROR(1*INDEX(BBG_Data!$R$2:$R$4000,MATCH($A1350,BBG_Data!$Q$2:$Q$4000,0)),NA()))</f>
        <v/>
      </c>
      <c r="AF1350" s="20">
        <f>IF(AND(ISNUMBER(B1350),ISNUMBER(AC1350)),(B1350-AC1350)*100,NA())</f>
        <v/>
      </c>
      <c r="AG1350" s="20">
        <f>IF(AND(ISNUMBER(AE1350),ISNUMBER(AD1350)),(AE1350-AD1350)*100,NA())</f>
        <v/>
      </c>
      <c r="AH1350" s="19">
        <f>IF(NOT(ISNUMBER($A1350)),NA(),IFERROR(INDEX(BBG_Data!$T$2:$T$4000,MATCH($A1350,BBG_Data!$S$2:$S$4000,0))*Settings!$B$25,NA()))</f>
        <v/>
      </c>
      <c r="AI1350" s="19">
        <f>IF(NOT(ISNUMBER($A1350)),NA(),IFERROR(INDEX(BBG_Data!$V$2:$V$4000,MATCH($A1350,BBG_Data!$U$2:$U$4000,0))*Settings!$B$25,NA()))</f>
        <v/>
      </c>
      <c r="AJ1350" s="19">
        <f>IF(NOT(ISNUMBER($A1350)),NA(),IFERROR(1*INDEX(BBG_Data!$X$2:$X$4000,MATCH($A1350,BBG_Data!$W$2:$W$4000,0)),NA()))</f>
        <v/>
      </c>
      <c r="AK1350" s="19">
        <f>IF(NOT(ISNUMBER($A1350)),NA(),IFERROR(1*INDEX(BBG_Data!$Z$2:$Z$4000,MATCH($A1350,BBG_Data!$Y$2:$Y$4000,0)),NA()))</f>
        <v/>
      </c>
    </row>
    <row r="1351">
      <c r="A1351" s="17">
        <f>IF(ISNUMBER(BBG_Data!A1351),BBG_Data!A1351,"")</f>
        <v/>
      </c>
      <c r="B1351" s="18">
        <f>IF(AND(ISNUMBER($A1351),ISNUMBER(BBG_Data!B1351)),BBG_Data!B1351,NA())</f>
        <v/>
      </c>
      <c r="C1351" s="18">
        <f>IF(NOT(ISNUMBER($A1351)),NA(),IFERROR(1*INDEX(BBG_Data!$D$2:$D$4000,MATCH($A1351,BBG_Data!$C$2:$C$4000,0)),NA()))</f>
        <v/>
      </c>
      <c r="D1351" s="19">
        <f>IF(NOT(ISNUMBER($A1351)),NA(),IFERROR(1*INDEX(BBG_Data!$F$2:$F$4000,MATCH($A1351,BBG_Data!$E$2:$E$4000,0)),NA()))</f>
        <v/>
      </c>
      <c r="E1351" s="19">
        <f>IF(NOT(ISNUMBER($A1351)),NA(),IFERROR(1*INDEX(BBG_Data!$H$2:$H$4000,MATCH($A1351,BBG_Data!$G$2:$G$4000,0)),NA()))</f>
        <v/>
      </c>
      <c r="F1351" s="20">
        <f>IF(AND(ISNUMBER(B1351),ISNUMBER(B1350)),IF(B1351=B1350,"",(B1351-B1350)*100),"")</f>
        <v/>
      </c>
      <c r="G1351" s="20">
        <f>IF(AND(ISNUMBER(C1351),ISNUMBER(C1350)),IF(C1351=C1350,"",(C1351-C1350)*100),"")</f>
        <v/>
      </c>
      <c r="H1351" s="20">
        <f>IF(OR(NOT(ISNUMBER($A1351)),ROW()-2&lt;Settings!$B$11),NA(),IF(COUNT(OFFSET(F1351,1-Settings!$B$11,0,Settings!$B$11,1))&lt;ROUNDUP(Settings!$B$11*Settings!$B$26,0),NA(),STDEV(OFFSET(F1351,1-Settings!$B$11,0,Settings!$B$11,1))*SQRT(Settings!$B$13)))</f>
        <v/>
      </c>
      <c r="I1351" s="20">
        <f>IF(OR(NOT(ISNUMBER($A1351)),ROW()-2&lt;Settings!$B$12),NA(),IF(COUNT(OFFSET(F1351,1-Settings!$B$12,0,Settings!$B$12,1))&lt;ROUNDUP(Settings!$B$12*Settings!$B$26,0),NA(),STDEV(OFFSET(F1351,1-Settings!$B$12,0,Settings!$B$12,1))*SQRT(Settings!$B$13)))</f>
        <v/>
      </c>
      <c r="J1351" s="20">
        <f>IF(OR(NOT(ISNUMBER($A1351)),ROW()-2&lt;Settings!$B$11),NA(),IF(COUNT(OFFSET(G1351,1-Settings!$B$11,0,Settings!$B$11,1))&lt;ROUNDUP(Settings!$B$11*Settings!$B$26,0),NA(),STDEV(OFFSET(G1351,1-Settings!$B$11,0,Settings!$B$11,1))*SQRT(Settings!$B$13)))</f>
        <v/>
      </c>
      <c r="K1351" s="20">
        <f>IF(OR(NOT(ISNUMBER($A1351)),ROW()-2&lt;Settings!$B$12),NA(),IF(COUNT(OFFSET(G1351,1-Settings!$B$12,0,Settings!$B$12,1))&lt;ROUNDUP(Settings!$B$12*Settings!$B$26,0),NA(),STDEV(OFFSET(G1351,1-Settings!$B$12,0,Settings!$B$12,1))*SQRT(Settings!$B$13)))</f>
        <v/>
      </c>
      <c r="L1351" s="20">
        <f>IF(AND(ISNUMBER(D1351),ISNUMBER(H1351)),D1351-H1351,NA())</f>
        <v/>
      </c>
      <c r="M1351" s="20">
        <f>IF(AND(ISNUMBER(E1351),ISNUMBER(K1351)),E1351-K1351,NA())</f>
        <v/>
      </c>
      <c r="N1351" s="20">
        <f>IF(NOT(ISNUMBER($A1351)),NA(),IF(COUNT(OFFSET(G1351,1,0,Settings!$B$12,1))&lt;ROUNDUP(Settings!$B$12*Settings!$B$26,0),NA(),STDEV(OFFSET(G1351,1,0,Settings!$B$12,1))*SQRT(Settings!$B$13)))</f>
        <v/>
      </c>
      <c r="O1351" s="20">
        <f>IF(AND(ISNUMBER(E1351),ISNUMBER(N1351)),E1351-N1351,NA())</f>
        <v/>
      </c>
      <c r="P1351" s="19">
        <f>IF(NOT(ISNUMBER($A1351)),NA(),IF(OR($A1351&lt;MIN(KW_TP!$A$2:$A$2501),$A1351&gt;MAX(KW_TP!$A$2:$A$2501)),NA(),INDEX(KW_TP!$C$2:$C$2501,MATCH($A1351,KW_TP!$A$2:$A$2501,1))))</f>
        <v/>
      </c>
      <c r="Q1351" s="18">
        <f>IF(NOT(ISNUMBER($A1351)),NA(),IFERROR(1*INDEX(BBG_Data!$J$2:$J$4000,MATCH($A1351,BBG_Data!$I$2:$I$4000,0)),NA()))</f>
        <v/>
      </c>
      <c r="R1351" s="18">
        <f>IF(NOT(ISNUMBER($A1351)),NA(),IFERROR(1*INDEX(BBG_Data!$L$2:$L$4000,MATCH($A1351,BBG_Data!$K$2:$K$4000,0)),NA()))</f>
        <v/>
      </c>
      <c r="S1351" s="20">
        <f>IF(AND(ISNUMBER(B1351),ISNUMBER(Q1351),ISNUMBER(R1351)),(B1351-Q1351-R1351)*100,NA())</f>
        <v/>
      </c>
      <c r="T1351" s="20">
        <f>IF(AND(ISNUMBER(B1351),Settings!$B$17&gt;0),IF(ISNUMBER(INDEX($B:$B,Settings!$B$17)),(B1351-INDEX($B:$B,Settings!$B$17))*100,NA()),NA())</f>
        <v/>
      </c>
      <c r="U1351" s="20">
        <f>IF(AND(ISNUMBER(Q1351),Settings!$B$17&gt;0),IF(ISNUMBER(INDEX($Q:$Q,Settings!$B$17)),(Q1351-INDEX($Q:$Q,Settings!$B$17))*100,NA()),NA())</f>
        <v/>
      </c>
      <c r="V1351" s="20">
        <f>IF(AND(ISNUMBER(R1351),Settings!$B$17&gt;0),IF(ISNUMBER(INDEX($R:$R,Settings!$B$17)),(R1351-INDEX($R:$R,Settings!$B$17))*100,NA()),NA())</f>
        <v/>
      </c>
      <c r="W1351" s="20">
        <f>IF(AND(ISNUMBER(P1351),Settings!$B$17&gt;0),IF(ISNUMBER(INDEX($P:$P,Settings!$B$17)),P1351-INDEX($P:$P,Settings!$B$17),NA()),NA())</f>
        <v/>
      </c>
      <c r="X1351" s="19">
        <f>IF(NOT(ISNUMBER($A1351)),NA(),IF(OR($A1351&lt;MIN(DKW_10Y!$A$2:$A$2918),$A1351&gt;MAX(DKW_10Y!$A$2:$A$2918),Settings!$B$16&lt;MIN(DKW_10Y!$A$2:$A$2918)),NA(),(INDEX(DKW_10Y!$B$2:$B$2918,MATCH($A1351,DKW_10Y!$A$2:$A$2918,1))-INDEX(DKW_10Y!$B$2:$B$2918,MATCH(Settings!$B$16,DKW_10Y!$A$2:$A$2918,1)))*100))</f>
        <v/>
      </c>
      <c r="Y1351" s="19">
        <f>IF(NOT(ISNUMBER($A1351)),NA(),IF(OR($A1351&lt;MIN(DKW_10Y!$A$2:$A$2918),$A1351&gt;MAX(DKW_10Y!$A$2:$A$2918),Settings!$B$16&lt;MIN(DKW_10Y!$A$2:$A$2918)),NA(),(INDEX(DKW_10Y!$C$2:$C$2918,MATCH($A1351,DKW_10Y!$A$2:$A$2918,1))-INDEX(DKW_10Y!$C$2:$C$2918,MATCH(Settings!$B$16,DKW_10Y!$A$2:$A$2918,1)))*100))</f>
        <v/>
      </c>
      <c r="Z1351" s="19">
        <f>IF(NOT(ISNUMBER($A1351)),NA(),IF(OR($A1351&lt;MIN(DKW_10Y!$A$2:$A$2918),$A1351&gt;MAX(DKW_10Y!$A$2:$A$2918),Settings!$B$16&lt;MIN(DKW_10Y!$A$2:$A$2918)),NA(),(INDEX(DKW_10Y!$D$2:$D$2918,MATCH($A1351,DKW_10Y!$A$2:$A$2918,1))-INDEX(DKW_10Y!$D$2:$D$2918,MATCH(Settings!$B$16,DKW_10Y!$A$2:$A$2918,1)))*100))</f>
        <v/>
      </c>
      <c r="AA1351" s="19">
        <f>IF(NOT(ISNUMBER($A1351)),NA(),IF(OR($A1351&lt;MIN(DKW_10Y!$A$2:$A$2918),$A1351&gt;MAX(DKW_10Y!$A$2:$A$2918),Settings!$B$16&lt;MIN(DKW_10Y!$A$2:$A$2918)),NA(),(INDEX(DKW_10Y!$E$2:$E$2918,MATCH($A1351,DKW_10Y!$A$2:$A$2918,1))-INDEX(DKW_10Y!$E$2:$E$2918,MATCH(Settings!$B$16,DKW_10Y!$A$2:$A$2918,1)))*100))</f>
        <v/>
      </c>
      <c r="AB1351" s="19">
        <f>IF(NOT(ISNUMBER($A1351)),NA(),IF(OR($A1351&lt;MIN(DKW_10Y!$A$2:$A$2918),$A1351&gt;MAX(DKW_10Y!$A$2:$A$2918),Settings!$B$16&lt;MIN(DKW_10Y!$A$2:$A$2918)),NA(),(INDEX(DKW_10Y!$H$2:$H$2918,MATCH($A1351,DKW_10Y!$A$2:$A$2918,1))-INDEX(DKW_10Y!$H$2:$H$2918,MATCH(Settings!$B$16,DKW_10Y!$A$2:$A$2918,1)))*100))</f>
        <v/>
      </c>
      <c r="AC1351" s="18">
        <f>IF(NOT(ISNUMBER($A1351)),NA(),IFERROR(1*INDEX(BBG_Data!$N$2:$N$4000,MATCH($A1351,BBG_Data!$M$2:$M$4000,0)),NA()))</f>
        <v/>
      </c>
      <c r="AD1351" s="18">
        <f>IF(NOT(ISNUMBER($A1351)),NA(),IFERROR(1*INDEX(BBG_Data!$P$2:$P$4000,MATCH($A1351,BBG_Data!$O$2:$O$4000,0)),NA()))</f>
        <v/>
      </c>
      <c r="AE1351" s="18">
        <f>IF(NOT(ISNUMBER($A1351)),NA(),IFERROR(1*INDEX(BBG_Data!$R$2:$R$4000,MATCH($A1351,BBG_Data!$Q$2:$Q$4000,0)),NA()))</f>
        <v/>
      </c>
      <c r="AF1351" s="20">
        <f>IF(AND(ISNUMBER(B1351),ISNUMBER(AC1351)),(B1351-AC1351)*100,NA())</f>
        <v/>
      </c>
      <c r="AG1351" s="20">
        <f>IF(AND(ISNUMBER(AE1351),ISNUMBER(AD1351)),(AE1351-AD1351)*100,NA())</f>
        <v/>
      </c>
      <c r="AH1351" s="19">
        <f>IF(NOT(ISNUMBER($A1351)),NA(),IFERROR(INDEX(BBG_Data!$T$2:$T$4000,MATCH($A1351,BBG_Data!$S$2:$S$4000,0))*Settings!$B$25,NA()))</f>
        <v/>
      </c>
      <c r="AI1351" s="19">
        <f>IF(NOT(ISNUMBER($A1351)),NA(),IFERROR(INDEX(BBG_Data!$V$2:$V$4000,MATCH($A1351,BBG_Data!$U$2:$U$4000,0))*Settings!$B$25,NA()))</f>
        <v/>
      </c>
      <c r="AJ1351" s="19">
        <f>IF(NOT(ISNUMBER($A1351)),NA(),IFERROR(1*INDEX(BBG_Data!$X$2:$X$4000,MATCH($A1351,BBG_Data!$W$2:$W$4000,0)),NA()))</f>
        <v/>
      </c>
      <c r="AK1351" s="19">
        <f>IF(NOT(ISNUMBER($A1351)),NA(),IFERROR(1*INDEX(BBG_Data!$Z$2:$Z$4000,MATCH($A1351,BBG_Data!$Y$2:$Y$4000,0)),NA()))</f>
        <v/>
      </c>
    </row>
    <row r="1352">
      <c r="A1352" s="17">
        <f>IF(ISNUMBER(BBG_Data!A1352),BBG_Data!A1352,"")</f>
        <v/>
      </c>
      <c r="B1352" s="18">
        <f>IF(AND(ISNUMBER($A1352),ISNUMBER(BBG_Data!B1352)),BBG_Data!B1352,NA())</f>
        <v/>
      </c>
      <c r="C1352" s="18">
        <f>IF(NOT(ISNUMBER($A1352)),NA(),IFERROR(1*INDEX(BBG_Data!$D$2:$D$4000,MATCH($A1352,BBG_Data!$C$2:$C$4000,0)),NA()))</f>
        <v/>
      </c>
      <c r="D1352" s="19">
        <f>IF(NOT(ISNUMBER($A1352)),NA(),IFERROR(1*INDEX(BBG_Data!$F$2:$F$4000,MATCH($A1352,BBG_Data!$E$2:$E$4000,0)),NA()))</f>
        <v/>
      </c>
      <c r="E1352" s="19">
        <f>IF(NOT(ISNUMBER($A1352)),NA(),IFERROR(1*INDEX(BBG_Data!$H$2:$H$4000,MATCH($A1352,BBG_Data!$G$2:$G$4000,0)),NA()))</f>
        <v/>
      </c>
      <c r="F1352" s="20">
        <f>IF(AND(ISNUMBER(B1352),ISNUMBER(B1351)),IF(B1352=B1351,"",(B1352-B1351)*100),"")</f>
        <v/>
      </c>
      <c r="G1352" s="20">
        <f>IF(AND(ISNUMBER(C1352),ISNUMBER(C1351)),IF(C1352=C1351,"",(C1352-C1351)*100),"")</f>
        <v/>
      </c>
      <c r="H1352" s="20">
        <f>IF(OR(NOT(ISNUMBER($A1352)),ROW()-2&lt;Settings!$B$11),NA(),IF(COUNT(OFFSET(F1352,1-Settings!$B$11,0,Settings!$B$11,1))&lt;ROUNDUP(Settings!$B$11*Settings!$B$26,0),NA(),STDEV(OFFSET(F1352,1-Settings!$B$11,0,Settings!$B$11,1))*SQRT(Settings!$B$13)))</f>
        <v/>
      </c>
      <c r="I1352" s="20">
        <f>IF(OR(NOT(ISNUMBER($A1352)),ROW()-2&lt;Settings!$B$12),NA(),IF(COUNT(OFFSET(F1352,1-Settings!$B$12,0,Settings!$B$12,1))&lt;ROUNDUP(Settings!$B$12*Settings!$B$26,0),NA(),STDEV(OFFSET(F1352,1-Settings!$B$12,0,Settings!$B$12,1))*SQRT(Settings!$B$13)))</f>
        <v/>
      </c>
      <c r="J1352" s="20">
        <f>IF(OR(NOT(ISNUMBER($A1352)),ROW()-2&lt;Settings!$B$11),NA(),IF(COUNT(OFFSET(G1352,1-Settings!$B$11,0,Settings!$B$11,1))&lt;ROUNDUP(Settings!$B$11*Settings!$B$26,0),NA(),STDEV(OFFSET(G1352,1-Settings!$B$11,0,Settings!$B$11,1))*SQRT(Settings!$B$13)))</f>
        <v/>
      </c>
      <c r="K1352" s="20">
        <f>IF(OR(NOT(ISNUMBER($A1352)),ROW()-2&lt;Settings!$B$12),NA(),IF(COUNT(OFFSET(G1352,1-Settings!$B$12,0,Settings!$B$12,1))&lt;ROUNDUP(Settings!$B$12*Settings!$B$26,0),NA(),STDEV(OFFSET(G1352,1-Settings!$B$12,0,Settings!$B$12,1))*SQRT(Settings!$B$13)))</f>
        <v/>
      </c>
      <c r="L1352" s="20">
        <f>IF(AND(ISNUMBER(D1352),ISNUMBER(H1352)),D1352-H1352,NA())</f>
        <v/>
      </c>
      <c r="M1352" s="20">
        <f>IF(AND(ISNUMBER(E1352),ISNUMBER(K1352)),E1352-K1352,NA())</f>
        <v/>
      </c>
      <c r="N1352" s="20">
        <f>IF(NOT(ISNUMBER($A1352)),NA(),IF(COUNT(OFFSET(G1352,1,0,Settings!$B$12,1))&lt;ROUNDUP(Settings!$B$12*Settings!$B$26,0),NA(),STDEV(OFFSET(G1352,1,0,Settings!$B$12,1))*SQRT(Settings!$B$13)))</f>
        <v/>
      </c>
      <c r="O1352" s="20">
        <f>IF(AND(ISNUMBER(E1352),ISNUMBER(N1352)),E1352-N1352,NA())</f>
        <v/>
      </c>
      <c r="P1352" s="19">
        <f>IF(NOT(ISNUMBER($A1352)),NA(),IF(OR($A1352&lt;MIN(KW_TP!$A$2:$A$2501),$A1352&gt;MAX(KW_TP!$A$2:$A$2501)),NA(),INDEX(KW_TP!$C$2:$C$2501,MATCH($A1352,KW_TP!$A$2:$A$2501,1))))</f>
        <v/>
      </c>
      <c r="Q1352" s="18">
        <f>IF(NOT(ISNUMBER($A1352)),NA(),IFERROR(1*INDEX(BBG_Data!$J$2:$J$4000,MATCH($A1352,BBG_Data!$I$2:$I$4000,0)),NA()))</f>
        <v/>
      </c>
      <c r="R1352" s="18">
        <f>IF(NOT(ISNUMBER($A1352)),NA(),IFERROR(1*INDEX(BBG_Data!$L$2:$L$4000,MATCH($A1352,BBG_Data!$K$2:$K$4000,0)),NA()))</f>
        <v/>
      </c>
      <c r="S1352" s="20">
        <f>IF(AND(ISNUMBER(B1352),ISNUMBER(Q1352),ISNUMBER(R1352)),(B1352-Q1352-R1352)*100,NA())</f>
        <v/>
      </c>
      <c r="T1352" s="20">
        <f>IF(AND(ISNUMBER(B1352),Settings!$B$17&gt;0),IF(ISNUMBER(INDEX($B:$B,Settings!$B$17)),(B1352-INDEX($B:$B,Settings!$B$17))*100,NA()),NA())</f>
        <v/>
      </c>
      <c r="U1352" s="20">
        <f>IF(AND(ISNUMBER(Q1352),Settings!$B$17&gt;0),IF(ISNUMBER(INDEX($Q:$Q,Settings!$B$17)),(Q1352-INDEX($Q:$Q,Settings!$B$17))*100,NA()),NA())</f>
        <v/>
      </c>
      <c r="V1352" s="20">
        <f>IF(AND(ISNUMBER(R1352),Settings!$B$17&gt;0),IF(ISNUMBER(INDEX($R:$R,Settings!$B$17)),(R1352-INDEX($R:$R,Settings!$B$17))*100,NA()),NA())</f>
        <v/>
      </c>
      <c r="W1352" s="20">
        <f>IF(AND(ISNUMBER(P1352),Settings!$B$17&gt;0),IF(ISNUMBER(INDEX($P:$P,Settings!$B$17)),P1352-INDEX($P:$P,Settings!$B$17),NA()),NA())</f>
        <v/>
      </c>
      <c r="X1352" s="19">
        <f>IF(NOT(ISNUMBER($A1352)),NA(),IF(OR($A1352&lt;MIN(DKW_10Y!$A$2:$A$2918),$A1352&gt;MAX(DKW_10Y!$A$2:$A$2918),Settings!$B$16&lt;MIN(DKW_10Y!$A$2:$A$2918)),NA(),(INDEX(DKW_10Y!$B$2:$B$2918,MATCH($A1352,DKW_10Y!$A$2:$A$2918,1))-INDEX(DKW_10Y!$B$2:$B$2918,MATCH(Settings!$B$16,DKW_10Y!$A$2:$A$2918,1)))*100))</f>
        <v/>
      </c>
      <c r="Y1352" s="19">
        <f>IF(NOT(ISNUMBER($A1352)),NA(),IF(OR($A1352&lt;MIN(DKW_10Y!$A$2:$A$2918),$A1352&gt;MAX(DKW_10Y!$A$2:$A$2918),Settings!$B$16&lt;MIN(DKW_10Y!$A$2:$A$2918)),NA(),(INDEX(DKW_10Y!$C$2:$C$2918,MATCH($A1352,DKW_10Y!$A$2:$A$2918,1))-INDEX(DKW_10Y!$C$2:$C$2918,MATCH(Settings!$B$16,DKW_10Y!$A$2:$A$2918,1)))*100))</f>
        <v/>
      </c>
      <c r="Z1352" s="19">
        <f>IF(NOT(ISNUMBER($A1352)),NA(),IF(OR($A1352&lt;MIN(DKW_10Y!$A$2:$A$2918),$A1352&gt;MAX(DKW_10Y!$A$2:$A$2918),Settings!$B$16&lt;MIN(DKW_10Y!$A$2:$A$2918)),NA(),(INDEX(DKW_10Y!$D$2:$D$2918,MATCH($A1352,DKW_10Y!$A$2:$A$2918,1))-INDEX(DKW_10Y!$D$2:$D$2918,MATCH(Settings!$B$16,DKW_10Y!$A$2:$A$2918,1)))*100))</f>
        <v/>
      </c>
      <c r="AA1352" s="19">
        <f>IF(NOT(ISNUMBER($A1352)),NA(),IF(OR($A1352&lt;MIN(DKW_10Y!$A$2:$A$2918),$A1352&gt;MAX(DKW_10Y!$A$2:$A$2918),Settings!$B$16&lt;MIN(DKW_10Y!$A$2:$A$2918)),NA(),(INDEX(DKW_10Y!$E$2:$E$2918,MATCH($A1352,DKW_10Y!$A$2:$A$2918,1))-INDEX(DKW_10Y!$E$2:$E$2918,MATCH(Settings!$B$16,DKW_10Y!$A$2:$A$2918,1)))*100))</f>
        <v/>
      </c>
      <c r="AB1352" s="19">
        <f>IF(NOT(ISNUMBER($A1352)),NA(),IF(OR($A1352&lt;MIN(DKW_10Y!$A$2:$A$2918),$A1352&gt;MAX(DKW_10Y!$A$2:$A$2918),Settings!$B$16&lt;MIN(DKW_10Y!$A$2:$A$2918)),NA(),(INDEX(DKW_10Y!$H$2:$H$2918,MATCH($A1352,DKW_10Y!$A$2:$A$2918,1))-INDEX(DKW_10Y!$H$2:$H$2918,MATCH(Settings!$B$16,DKW_10Y!$A$2:$A$2918,1)))*100))</f>
        <v/>
      </c>
      <c r="AC1352" s="18">
        <f>IF(NOT(ISNUMBER($A1352)),NA(),IFERROR(1*INDEX(BBG_Data!$N$2:$N$4000,MATCH($A1352,BBG_Data!$M$2:$M$4000,0)),NA()))</f>
        <v/>
      </c>
      <c r="AD1352" s="18">
        <f>IF(NOT(ISNUMBER($A1352)),NA(),IFERROR(1*INDEX(BBG_Data!$P$2:$P$4000,MATCH($A1352,BBG_Data!$O$2:$O$4000,0)),NA()))</f>
        <v/>
      </c>
      <c r="AE1352" s="18">
        <f>IF(NOT(ISNUMBER($A1352)),NA(),IFERROR(1*INDEX(BBG_Data!$R$2:$R$4000,MATCH($A1352,BBG_Data!$Q$2:$Q$4000,0)),NA()))</f>
        <v/>
      </c>
      <c r="AF1352" s="20">
        <f>IF(AND(ISNUMBER(B1352),ISNUMBER(AC1352)),(B1352-AC1352)*100,NA())</f>
        <v/>
      </c>
      <c r="AG1352" s="20">
        <f>IF(AND(ISNUMBER(AE1352),ISNUMBER(AD1352)),(AE1352-AD1352)*100,NA())</f>
        <v/>
      </c>
      <c r="AH1352" s="19">
        <f>IF(NOT(ISNUMBER($A1352)),NA(),IFERROR(INDEX(BBG_Data!$T$2:$T$4000,MATCH($A1352,BBG_Data!$S$2:$S$4000,0))*Settings!$B$25,NA()))</f>
        <v/>
      </c>
      <c r="AI1352" s="19">
        <f>IF(NOT(ISNUMBER($A1352)),NA(),IFERROR(INDEX(BBG_Data!$V$2:$V$4000,MATCH($A1352,BBG_Data!$U$2:$U$4000,0))*Settings!$B$25,NA()))</f>
        <v/>
      </c>
      <c r="AJ1352" s="19">
        <f>IF(NOT(ISNUMBER($A1352)),NA(),IFERROR(1*INDEX(BBG_Data!$X$2:$X$4000,MATCH($A1352,BBG_Data!$W$2:$W$4000,0)),NA()))</f>
        <v/>
      </c>
      <c r="AK1352" s="19">
        <f>IF(NOT(ISNUMBER($A1352)),NA(),IFERROR(1*INDEX(BBG_Data!$Z$2:$Z$4000,MATCH($A1352,BBG_Data!$Y$2:$Y$4000,0)),NA()))</f>
        <v/>
      </c>
    </row>
    <row r="1353">
      <c r="A1353" s="17">
        <f>IF(ISNUMBER(BBG_Data!A1353),BBG_Data!A1353,"")</f>
        <v/>
      </c>
      <c r="B1353" s="18">
        <f>IF(AND(ISNUMBER($A1353),ISNUMBER(BBG_Data!B1353)),BBG_Data!B1353,NA())</f>
        <v/>
      </c>
      <c r="C1353" s="18">
        <f>IF(NOT(ISNUMBER($A1353)),NA(),IFERROR(1*INDEX(BBG_Data!$D$2:$D$4000,MATCH($A1353,BBG_Data!$C$2:$C$4000,0)),NA()))</f>
        <v/>
      </c>
      <c r="D1353" s="19">
        <f>IF(NOT(ISNUMBER($A1353)),NA(),IFERROR(1*INDEX(BBG_Data!$F$2:$F$4000,MATCH($A1353,BBG_Data!$E$2:$E$4000,0)),NA()))</f>
        <v/>
      </c>
      <c r="E1353" s="19">
        <f>IF(NOT(ISNUMBER($A1353)),NA(),IFERROR(1*INDEX(BBG_Data!$H$2:$H$4000,MATCH($A1353,BBG_Data!$G$2:$G$4000,0)),NA()))</f>
        <v/>
      </c>
      <c r="F1353" s="20">
        <f>IF(AND(ISNUMBER(B1353),ISNUMBER(B1352)),IF(B1353=B1352,"",(B1353-B1352)*100),"")</f>
        <v/>
      </c>
      <c r="G1353" s="20">
        <f>IF(AND(ISNUMBER(C1353),ISNUMBER(C1352)),IF(C1353=C1352,"",(C1353-C1352)*100),"")</f>
        <v/>
      </c>
      <c r="H1353" s="20">
        <f>IF(OR(NOT(ISNUMBER($A1353)),ROW()-2&lt;Settings!$B$11),NA(),IF(COUNT(OFFSET(F1353,1-Settings!$B$11,0,Settings!$B$11,1))&lt;ROUNDUP(Settings!$B$11*Settings!$B$26,0),NA(),STDEV(OFFSET(F1353,1-Settings!$B$11,0,Settings!$B$11,1))*SQRT(Settings!$B$13)))</f>
        <v/>
      </c>
      <c r="I1353" s="20">
        <f>IF(OR(NOT(ISNUMBER($A1353)),ROW()-2&lt;Settings!$B$12),NA(),IF(COUNT(OFFSET(F1353,1-Settings!$B$12,0,Settings!$B$12,1))&lt;ROUNDUP(Settings!$B$12*Settings!$B$26,0),NA(),STDEV(OFFSET(F1353,1-Settings!$B$12,0,Settings!$B$12,1))*SQRT(Settings!$B$13)))</f>
        <v/>
      </c>
      <c r="J1353" s="20">
        <f>IF(OR(NOT(ISNUMBER($A1353)),ROW()-2&lt;Settings!$B$11),NA(),IF(COUNT(OFFSET(G1353,1-Settings!$B$11,0,Settings!$B$11,1))&lt;ROUNDUP(Settings!$B$11*Settings!$B$26,0),NA(),STDEV(OFFSET(G1353,1-Settings!$B$11,0,Settings!$B$11,1))*SQRT(Settings!$B$13)))</f>
        <v/>
      </c>
      <c r="K1353" s="20">
        <f>IF(OR(NOT(ISNUMBER($A1353)),ROW()-2&lt;Settings!$B$12),NA(),IF(COUNT(OFFSET(G1353,1-Settings!$B$12,0,Settings!$B$12,1))&lt;ROUNDUP(Settings!$B$12*Settings!$B$26,0),NA(),STDEV(OFFSET(G1353,1-Settings!$B$12,0,Settings!$B$12,1))*SQRT(Settings!$B$13)))</f>
        <v/>
      </c>
      <c r="L1353" s="20">
        <f>IF(AND(ISNUMBER(D1353),ISNUMBER(H1353)),D1353-H1353,NA())</f>
        <v/>
      </c>
      <c r="M1353" s="20">
        <f>IF(AND(ISNUMBER(E1353),ISNUMBER(K1353)),E1353-K1353,NA())</f>
        <v/>
      </c>
      <c r="N1353" s="20">
        <f>IF(NOT(ISNUMBER($A1353)),NA(),IF(COUNT(OFFSET(G1353,1,0,Settings!$B$12,1))&lt;ROUNDUP(Settings!$B$12*Settings!$B$26,0),NA(),STDEV(OFFSET(G1353,1,0,Settings!$B$12,1))*SQRT(Settings!$B$13)))</f>
        <v/>
      </c>
      <c r="O1353" s="20">
        <f>IF(AND(ISNUMBER(E1353),ISNUMBER(N1353)),E1353-N1353,NA())</f>
        <v/>
      </c>
      <c r="P1353" s="19">
        <f>IF(NOT(ISNUMBER($A1353)),NA(),IF(OR($A1353&lt;MIN(KW_TP!$A$2:$A$2501),$A1353&gt;MAX(KW_TP!$A$2:$A$2501)),NA(),INDEX(KW_TP!$C$2:$C$2501,MATCH($A1353,KW_TP!$A$2:$A$2501,1))))</f>
        <v/>
      </c>
      <c r="Q1353" s="18">
        <f>IF(NOT(ISNUMBER($A1353)),NA(),IFERROR(1*INDEX(BBG_Data!$J$2:$J$4000,MATCH($A1353,BBG_Data!$I$2:$I$4000,0)),NA()))</f>
        <v/>
      </c>
      <c r="R1353" s="18">
        <f>IF(NOT(ISNUMBER($A1353)),NA(),IFERROR(1*INDEX(BBG_Data!$L$2:$L$4000,MATCH($A1353,BBG_Data!$K$2:$K$4000,0)),NA()))</f>
        <v/>
      </c>
      <c r="S1353" s="20">
        <f>IF(AND(ISNUMBER(B1353),ISNUMBER(Q1353),ISNUMBER(R1353)),(B1353-Q1353-R1353)*100,NA())</f>
        <v/>
      </c>
      <c r="T1353" s="20">
        <f>IF(AND(ISNUMBER(B1353),Settings!$B$17&gt;0),IF(ISNUMBER(INDEX($B:$B,Settings!$B$17)),(B1353-INDEX($B:$B,Settings!$B$17))*100,NA()),NA())</f>
        <v/>
      </c>
      <c r="U1353" s="20">
        <f>IF(AND(ISNUMBER(Q1353),Settings!$B$17&gt;0),IF(ISNUMBER(INDEX($Q:$Q,Settings!$B$17)),(Q1353-INDEX($Q:$Q,Settings!$B$17))*100,NA()),NA())</f>
        <v/>
      </c>
      <c r="V1353" s="20">
        <f>IF(AND(ISNUMBER(R1353),Settings!$B$17&gt;0),IF(ISNUMBER(INDEX($R:$R,Settings!$B$17)),(R1353-INDEX($R:$R,Settings!$B$17))*100,NA()),NA())</f>
        <v/>
      </c>
      <c r="W1353" s="20">
        <f>IF(AND(ISNUMBER(P1353),Settings!$B$17&gt;0),IF(ISNUMBER(INDEX($P:$P,Settings!$B$17)),P1353-INDEX($P:$P,Settings!$B$17),NA()),NA())</f>
        <v/>
      </c>
      <c r="X1353" s="19">
        <f>IF(NOT(ISNUMBER($A1353)),NA(),IF(OR($A1353&lt;MIN(DKW_10Y!$A$2:$A$2918),$A1353&gt;MAX(DKW_10Y!$A$2:$A$2918),Settings!$B$16&lt;MIN(DKW_10Y!$A$2:$A$2918)),NA(),(INDEX(DKW_10Y!$B$2:$B$2918,MATCH($A1353,DKW_10Y!$A$2:$A$2918,1))-INDEX(DKW_10Y!$B$2:$B$2918,MATCH(Settings!$B$16,DKW_10Y!$A$2:$A$2918,1)))*100))</f>
        <v/>
      </c>
      <c r="Y1353" s="19">
        <f>IF(NOT(ISNUMBER($A1353)),NA(),IF(OR($A1353&lt;MIN(DKW_10Y!$A$2:$A$2918),$A1353&gt;MAX(DKW_10Y!$A$2:$A$2918),Settings!$B$16&lt;MIN(DKW_10Y!$A$2:$A$2918)),NA(),(INDEX(DKW_10Y!$C$2:$C$2918,MATCH($A1353,DKW_10Y!$A$2:$A$2918,1))-INDEX(DKW_10Y!$C$2:$C$2918,MATCH(Settings!$B$16,DKW_10Y!$A$2:$A$2918,1)))*100))</f>
        <v/>
      </c>
      <c r="Z1353" s="19">
        <f>IF(NOT(ISNUMBER($A1353)),NA(),IF(OR($A1353&lt;MIN(DKW_10Y!$A$2:$A$2918),$A1353&gt;MAX(DKW_10Y!$A$2:$A$2918),Settings!$B$16&lt;MIN(DKW_10Y!$A$2:$A$2918)),NA(),(INDEX(DKW_10Y!$D$2:$D$2918,MATCH($A1353,DKW_10Y!$A$2:$A$2918,1))-INDEX(DKW_10Y!$D$2:$D$2918,MATCH(Settings!$B$16,DKW_10Y!$A$2:$A$2918,1)))*100))</f>
        <v/>
      </c>
      <c r="AA1353" s="19">
        <f>IF(NOT(ISNUMBER($A1353)),NA(),IF(OR($A1353&lt;MIN(DKW_10Y!$A$2:$A$2918),$A1353&gt;MAX(DKW_10Y!$A$2:$A$2918),Settings!$B$16&lt;MIN(DKW_10Y!$A$2:$A$2918)),NA(),(INDEX(DKW_10Y!$E$2:$E$2918,MATCH($A1353,DKW_10Y!$A$2:$A$2918,1))-INDEX(DKW_10Y!$E$2:$E$2918,MATCH(Settings!$B$16,DKW_10Y!$A$2:$A$2918,1)))*100))</f>
        <v/>
      </c>
      <c r="AB1353" s="19">
        <f>IF(NOT(ISNUMBER($A1353)),NA(),IF(OR($A1353&lt;MIN(DKW_10Y!$A$2:$A$2918),$A1353&gt;MAX(DKW_10Y!$A$2:$A$2918),Settings!$B$16&lt;MIN(DKW_10Y!$A$2:$A$2918)),NA(),(INDEX(DKW_10Y!$H$2:$H$2918,MATCH($A1353,DKW_10Y!$A$2:$A$2918,1))-INDEX(DKW_10Y!$H$2:$H$2918,MATCH(Settings!$B$16,DKW_10Y!$A$2:$A$2918,1)))*100))</f>
        <v/>
      </c>
      <c r="AC1353" s="18">
        <f>IF(NOT(ISNUMBER($A1353)),NA(),IFERROR(1*INDEX(BBG_Data!$N$2:$N$4000,MATCH($A1353,BBG_Data!$M$2:$M$4000,0)),NA()))</f>
        <v/>
      </c>
      <c r="AD1353" s="18">
        <f>IF(NOT(ISNUMBER($A1353)),NA(),IFERROR(1*INDEX(BBG_Data!$P$2:$P$4000,MATCH($A1353,BBG_Data!$O$2:$O$4000,0)),NA()))</f>
        <v/>
      </c>
      <c r="AE1353" s="18">
        <f>IF(NOT(ISNUMBER($A1353)),NA(),IFERROR(1*INDEX(BBG_Data!$R$2:$R$4000,MATCH($A1353,BBG_Data!$Q$2:$Q$4000,0)),NA()))</f>
        <v/>
      </c>
      <c r="AF1353" s="20">
        <f>IF(AND(ISNUMBER(B1353),ISNUMBER(AC1353)),(B1353-AC1353)*100,NA())</f>
        <v/>
      </c>
      <c r="AG1353" s="20">
        <f>IF(AND(ISNUMBER(AE1353),ISNUMBER(AD1353)),(AE1353-AD1353)*100,NA())</f>
        <v/>
      </c>
      <c r="AH1353" s="19">
        <f>IF(NOT(ISNUMBER($A1353)),NA(),IFERROR(INDEX(BBG_Data!$T$2:$T$4000,MATCH($A1353,BBG_Data!$S$2:$S$4000,0))*Settings!$B$25,NA()))</f>
        <v/>
      </c>
      <c r="AI1353" s="19">
        <f>IF(NOT(ISNUMBER($A1353)),NA(),IFERROR(INDEX(BBG_Data!$V$2:$V$4000,MATCH($A1353,BBG_Data!$U$2:$U$4000,0))*Settings!$B$25,NA()))</f>
        <v/>
      </c>
      <c r="AJ1353" s="19">
        <f>IF(NOT(ISNUMBER($A1353)),NA(),IFERROR(1*INDEX(BBG_Data!$X$2:$X$4000,MATCH($A1353,BBG_Data!$W$2:$W$4000,0)),NA()))</f>
        <v/>
      </c>
      <c r="AK1353" s="19">
        <f>IF(NOT(ISNUMBER($A1353)),NA(),IFERROR(1*INDEX(BBG_Data!$Z$2:$Z$4000,MATCH($A1353,BBG_Data!$Y$2:$Y$4000,0)),NA()))</f>
        <v/>
      </c>
    </row>
    <row r="1354">
      <c r="A1354" s="17">
        <f>IF(ISNUMBER(BBG_Data!A1354),BBG_Data!A1354,"")</f>
        <v/>
      </c>
      <c r="B1354" s="18">
        <f>IF(AND(ISNUMBER($A1354),ISNUMBER(BBG_Data!B1354)),BBG_Data!B1354,NA())</f>
        <v/>
      </c>
      <c r="C1354" s="18">
        <f>IF(NOT(ISNUMBER($A1354)),NA(),IFERROR(1*INDEX(BBG_Data!$D$2:$D$4000,MATCH($A1354,BBG_Data!$C$2:$C$4000,0)),NA()))</f>
        <v/>
      </c>
      <c r="D1354" s="19">
        <f>IF(NOT(ISNUMBER($A1354)),NA(),IFERROR(1*INDEX(BBG_Data!$F$2:$F$4000,MATCH($A1354,BBG_Data!$E$2:$E$4000,0)),NA()))</f>
        <v/>
      </c>
      <c r="E1354" s="19">
        <f>IF(NOT(ISNUMBER($A1354)),NA(),IFERROR(1*INDEX(BBG_Data!$H$2:$H$4000,MATCH($A1354,BBG_Data!$G$2:$G$4000,0)),NA()))</f>
        <v/>
      </c>
      <c r="F1354" s="20">
        <f>IF(AND(ISNUMBER(B1354),ISNUMBER(B1353)),IF(B1354=B1353,"",(B1354-B1353)*100),"")</f>
        <v/>
      </c>
      <c r="G1354" s="20">
        <f>IF(AND(ISNUMBER(C1354),ISNUMBER(C1353)),IF(C1354=C1353,"",(C1354-C1353)*100),"")</f>
        <v/>
      </c>
      <c r="H1354" s="20">
        <f>IF(OR(NOT(ISNUMBER($A1354)),ROW()-2&lt;Settings!$B$11),NA(),IF(COUNT(OFFSET(F1354,1-Settings!$B$11,0,Settings!$B$11,1))&lt;ROUNDUP(Settings!$B$11*Settings!$B$26,0),NA(),STDEV(OFFSET(F1354,1-Settings!$B$11,0,Settings!$B$11,1))*SQRT(Settings!$B$13)))</f>
        <v/>
      </c>
      <c r="I1354" s="20">
        <f>IF(OR(NOT(ISNUMBER($A1354)),ROW()-2&lt;Settings!$B$12),NA(),IF(COUNT(OFFSET(F1354,1-Settings!$B$12,0,Settings!$B$12,1))&lt;ROUNDUP(Settings!$B$12*Settings!$B$26,0),NA(),STDEV(OFFSET(F1354,1-Settings!$B$12,0,Settings!$B$12,1))*SQRT(Settings!$B$13)))</f>
        <v/>
      </c>
      <c r="J1354" s="20">
        <f>IF(OR(NOT(ISNUMBER($A1354)),ROW()-2&lt;Settings!$B$11),NA(),IF(COUNT(OFFSET(G1354,1-Settings!$B$11,0,Settings!$B$11,1))&lt;ROUNDUP(Settings!$B$11*Settings!$B$26,0),NA(),STDEV(OFFSET(G1354,1-Settings!$B$11,0,Settings!$B$11,1))*SQRT(Settings!$B$13)))</f>
        <v/>
      </c>
      <c r="K1354" s="20">
        <f>IF(OR(NOT(ISNUMBER($A1354)),ROW()-2&lt;Settings!$B$12),NA(),IF(COUNT(OFFSET(G1354,1-Settings!$B$12,0,Settings!$B$12,1))&lt;ROUNDUP(Settings!$B$12*Settings!$B$26,0),NA(),STDEV(OFFSET(G1354,1-Settings!$B$12,0,Settings!$B$12,1))*SQRT(Settings!$B$13)))</f>
        <v/>
      </c>
      <c r="L1354" s="20">
        <f>IF(AND(ISNUMBER(D1354),ISNUMBER(H1354)),D1354-H1354,NA())</f>
        <v/>
      </c>
      <c r="M1354" s="20">
        <f>IF(AND(ISNUMBER(E1354),ISNUMBER(K1354)),E1354-K1354,NA())</f>
        <v/>
      </c>
      <c r="N1354" s="20">
        <f>IF(NOT(ISNUMBER($A1354)),NA(),IF(COUNT(OFFSET(G1354,1,0,Settings!$B$12,1))&lt;ROUNDUP(Settings!$B$12*Settings!$B$26,0),NA(),STDEV(OFFSET(G1354,1,0,Settings!$B$12,1))*SQRT(Settings!$B$13)))</f>
        <v/>
      </c>
      <c r="O1354" s="20">
        <f>IF(AND(ISNUMBER(E1354),ISNUMBER(N1354)),E1354-N1354,NA())</f>
        <v/>
      </c>
      <c r="P1354" s="19">
        <f>IF(NOT(ISNUMBER($A1354)),NA(),IF(OR($A1354&lt;MIN(KW_TP!$A$2:$A$2501),$A1354&gt;MAX(KW_TP!$A$2:$A$2501)),NA(),INDEX(KW_TP!$C$2:$C$2501,MATCH($A1354,KW_TP!$A$2:$A$2501,1))))</f>
        <v/>
      </c>
      <c r="Q1354" s="18">
        <f>IF(NOT(ISNUMBER($A1354)),NA(),IFERROR(1*INDEX(BBG_Data!$J$2:$J$4000,MATCH($A1354,BBG_Data!$I$2:$I$4000,0)),NA()))</f>
        <v/>
      </c>
      <c r="R1354" s="18">
        <f>IF(NOT(ISNUMBER($A1354)),NA(),IFERROR(1*INDEX(BBG_Data!$L$2:$L$4000,MATCH($A1354,BBG_Data!$K$2:$K$4000,0)),NA()))</f>
        <v/>
      </c>
      <c r="S1354" s="20">
        <f>IF(AND(ISNUMBER(B1354),ISNUMBER(Q1354),ISNUMBER(R1354)),(B1354-Q1354-R1354)*100,NA())</f>
        <v/>
      </c>
      <c r="T1354" s="20">
        <f>IF(AND(ISNUMBER(B1354),Settings!$B$17&gt;0),IF(ISNUMBER(INDEX($B:$B,Settings!$B$17)),(B1354-INDEX($B:$B,Settings!$B$17))*100,NA()),NA())</f>
        <v/>
      </c>
      <c r="U1354" s="20">
        <f>IF(AND(ISNUMBER(Q1354),Settings!$B$17&gt;0),IF(ISNUMBER(INDEX($Q:$Q,Settings!$B$17)),(Q1354-INDEX($Q:$Q,Settings!$B$17))*100,NA()),NA())</f>
        <v/>
      </c>
      <c r="V1354" s="20">
        <f>IF(AND(ISNUMBER(R1354),Settings!$B$17&gt;0),IF(ISNUMBER(INDEX($R:$R,Settings!$B$17)),(R1354-INDEX($R:$R,Settings!$B$17))*100,NA()),NA())</f>
        <v/>
      </c>
      <c r="W1354" s="20">
        <f>IF(AND(ISNUMBER(P1354),Settings!$B$17&gt;0),IF(ISNUMBER(INDEX($P:$P,Settings!$B$17)),P1354-INDEX($P:$P,Settings!$B$17),NA()),NA())</f>
        <v/>
      </c>
      <c r="X1354" s="19">
        <f>IF(NOT(ISNUMBER($A1354)),NA(),IF(OR($A1354&lt;MIN(DKW_10Y!$A$2:$A$2918),$A1354&gt;MAX(DKW_10Y!$A$2:$A$2918),Settings!$B$16&lt;MIN(DKW_10Y!$A$2:$A$2918)),NA(),(INDEX(DKW_10Y!$B$2:$B$2918,MATCH($A1354,DKW_10Y!$A$2:$A$2918,1))-INDEX(DKW_10Y!$B$2:$B$2918,MATCH(Settings!$B$16,DKW_10Y!$A$2:$A$2918,1)))*100))</f>
        <v/>
      </c>
      <c r="Y1354" s="19">
        <f>IF(NOT(ISNUMBER($A1354)),NA(),IF(OR($A1354&lt;MIN(DKW_10Y!$A$2:$A$2918),$A1354&gt;MAX(DKW_10Y!$A$2:$A$2918),Settings!$B$16&lt;MIN(DKW_10Y!$A$2:$A$2918)),NA(),(INDEX(DKW_10Y!$C$2:$C$2918,MATCH($A1354,DKW_10Y!$A$2:$A$2918,1))-INDEX(DKW_10Y!$C$2:$C$2918,MATCH(Settings!$B$16,DKW_10Y!$A$2:$A$2918,1)))*100))</f>
        <v/>
      </c>
      <c r="Z1354" s="19">
        <f>IF(NOT(ISNUMBER($A1354)),NA(),IF(OR($A1354&lt;MIN(DKW_10Y!$A$2:$A$2918),$A1354&gt;MAX(DKW_10Y!$A$2:$A$2918),Settings!$B$16&lt;MIN(DKW_10Y!$A$2:$A$2918)),NA(),(INDEX(DKW_10Y!$D$2:$D$2918,MATCH($A1354,DKW_10Y!$A$2:$A$2918,1))-INDEX(DKW_10Y!$D$2:$D$2918,MATCH(Settings!$B$16,DKW_10Y!$A$2:$A$2918,1)))*100))</f>
        <v/>
      </c>
      <c r="AA1354" s="19">
        <f>IF(NOT(ISNUMBER($A1354)),NA(),IF(OR($A1354&lt;MIN(DKW_10Y!$A$2:$A$2918),$A1354&gt;MAX(DKW_10Y!$A$2:$A$2918),Settings!$B$16&lt;MIN(DKW_10Y!$A$2:$A$2918)),NA(),(INDEX(DKW_10Y!$E$2:$E$2918,MATCH($A1354,DKW_10Y!$A$2:$A$2918,1))-INDEX(DKW_10Y!$E$2:$E$2918,MATCH(Settings!$B$16,DKW_10Y!$A$2:$A$2918,1)))*100))</f>
        <v/>
      </c>
      <c r="AB1354" s="19">
        <f>IF(NOT(ISNUMBER($A1354)),NA(),IF(OR($A1354&lt;MIN(DKW_10Y!$A$2:$A$2918),$A1354&gt;MAX(DKW_10Y!$A$2:$A$2918),Settings!$B$16&lt;MIN(DKW_10Y!$A$2:$A$2918)),NA(),(INDEX(DKW_10Y!$H$2:$H$2918,MATCH($A1354,DKW_10Y!$A$2:$A$2918,1))-INDEX(DKW_10Y!$H$2:$H$2918,MATCH(Settings!$B$16,DKW_10Y!$A$2:$A$2918,1)))*100))</f>
        <v/>
      </c>
      <c r="AC1354" s="18">
        <f>IF(NOT(ISNUMBER($A1354)),NA(),IFERROR(1*INDEX(BBG_Data!$N$2:$N$4000,MATCH($A1354,BBG_Data!$M$2:$M$4000,0)),NA()))</f>
        <v/>
      </c>
      <c r="AD1354" s="18">
        <f>IF(NOT(ISNUMBER($A1354)),NA(),IFERROR(1*INDEX(BBG_Data!$P$2:$P$4000,MATCH($A1354,BBG_Data!$O$2:$O$4000,0)),NA()))</f>
        <v/>
      </c>
      <c r="AE1354" s="18">
        <f>IF(NOT(ISNUMBER($A1354)),NA(),IFERROR(1*INDEX(BBG_Data!$R$2:$R$4000,MATCH($A1354,BBG_Data!$Q$2:$Q$4000,0)),NA()))</f>
        <v/>
      </c>
      <c r="AF1354" s="20">
        <f>IF(AND(ISNUMBER(B1354),ISNUMBER(AC1354)),(B1354-AC1354)*100,NA())</f>
        <v/>
      </c>
      <c r="AG1354" s="20">
        <f>IF(AND(ISNUMBER(AE1354),ISNUMBER(AD1354)),(AE1354-AD1354)*100,NA())</f>
        <v/>
      </c>
      <c r="AH1354" s="19">
        <f>IF(NOT(ISNUMBER($A1354)),NA(),IFERROR(INDEX(BBG_Data!$T$2:$T$4000,MATCH($A1354,BBG_Data!$S$2:$S$4000,0))*Settings!$B$25,NA()))</f>
        <v/>
      </c>
      <c r="AI1354" s="19">
        <f>IF(NOT(ISNUMBER($A1354)),NA(),IFERROR(INDEX(BBG_Data!$V$2:$V$4000,MATCH($A1354,BBG_Data!$U$2:$U$4000,0))*Settings!$B$25,NA()))</f>
        <v/>
      </c>
      <c r="AJ1354" s="19">
        <f>IF(NOT(ISNUMBER($A1354)),NA(),IFERROR(1*INDEX(BBG_Data!$X$2:$X$4000,MATCH($A1354,BBG_Data!$W$2:$W$4000,0)),NA()))</f>
        <v/>
      </c>
      <c r="AK1354" s="19">
        <f>IF(NOT(ISNUMBER($A1354)),NA(),IFERROR(1*INDEX(BBG_Data!$Z$2:$Z$4000,MATCH($A1354,BBG_Data!$Y$2:$Y$4000,0)),NA()))</f>
        <v/>
      </c>
    </row>
    <row r="1355">
      <c r="A1355" s="17">
        <f>IF(ISNUMBER(BBG_Data!A1355),BBG_Data!A1355,"")</f>
        <v/>
      </c>
      <c r="B1355" s="18">
        <f>IF(AND(ISNUMBER($A1355),ISNUMBER(BBG_Data!B1355)),BBG_Data!B1355,NA())</f>
        <v/>
      </c>
      <c r="C1355" s="18">
        <f>IF(NOT(ISNUMBER($A1355)),NA(),IFERROR(1*INDEX(BBG_Data!$D$2:$D$4000,MATCH($A1355,BBG_Data!$C$2:$C$4000,0)),NA()))</f>
        <v/>
      </c>
      <c r="D1355" s="19">
        <f>IF(NOT(ISNUMBER($A1355)),NA(),IFERROR(1*INDEX(BBG_Data!$F$2:$F$4000,MATCH($A1355,BBG_Data!$E$2:$E$4000,0)),NA()))</f>
        <v/>
      </c>
      <c r="E1355" s="19">
        <f>IF(NOT(ISNUMBER($A1355)),NA(),IFERROR(1*INDEX(BBG_Data!$H$2:$H$4000,MATCH($A1355,BBG_Data!$G$2:$G$4000,0)),NA()))</f>
        <v/>
      </c>
      <c r="F1355" s="20">
        <f>IF(AND(ISNUMBER(B1355),ISNUMBER(B1354)),IF(B1355=B1354,"",(B1355-B1354)*100),"")</f>
        <v/>
      </c>
      <c r="G1355" s="20">
        <f>IF(AND(ISNUMBER(C1355),ISNUMBER(C1354)),IF(C1355=C1354,"",(C1355-C1354)*100),"")</f>
        <v/>
      </c>
      <c r="H1355" s="20">
        <f>IF(OR(NOT(ISNUMBER($A1355)),ROW()-2&lt;Settings!$B$11),NA(),IF(COUNT(OFFSET(F1355,1-Settings!$B$11,0,Settings!$B$11,1))&lt;ROUNDUP(Settings!$B$11*Settings!$B$26,0),NA(),STDEV(OFFSET(F1355,1-Settings!$B$11,0,Settings!$B$11,1))*SQRT(Settings!$B$13)))</f>
        <v/>
      </c>
      <c r="I1355" s="20">
        <f>IF(OR(NOT(ISNUMBER($A1355)),ROW()-2&lt;Settings!$B$12),NA(),IF(COUNT(OFFSET(F1355,1-Settings!$B$12,0,Settings!$B$12,1))&lt;ROUNDUP(Settings!$B$12*Settings!$B$26,0),NA(),STDEV(OFFSET(F1355,1-Settings!$B$12,0,Settings!$B$12,1))*SQRT(Settings!$B$13)))</f>
        <v/>
      </c>
      <c r="J1355" s="20">
        <f>IF(OR(NOT(ISNUMBER($A1355)),ROW()-2&lt;Settings!$B$11),NA(),IF(COUNT(OFFSET(G1355,1-Settings!$B$11,0,Settings!$B$11,1))&lt;ROUNDUP(Settings!$B$11*Settings!$B$26,0),NA(),STDEV(OFFSET(G1355,1-Settings!$B$11,0,Settings!$B$11,1))*SQRT(Settings!$B$13)))</f>
        <v/>
      </c>
      <c r="K1355" s="20">
        <f>IF(OR(NOT(ISNUMBER($A1355)),ROW()-2&lt;Settings!$B$12),NA(),IF(COUNT(OFFSET(G1355,1-Settings!$B$12,0,Settings!$B$12,1))&lt;ROUNDUP(Settings!$B$12*Settings!$B$26,0),NA(),STDEV(OFFSET(G1355,1-Settings!$B$12,0,Settings!$B$12,1))*SQRT(Settings!$B$13)))</f>
        <v/>
      </c>
      <c r="L1355" s="20">
        <f>IF(AND(ISNUMBER(D1355),ISNUMBER(H1355)),D1355-H1355,NA())</f>
        <v/>
      </c>
      <c r="M1355" s="20">
        <f>IF(AND(ISNUMBER(E1355),ISNUMBER(K1355)),E1355-K1355,NA())</f>
        <v/>
      </c>
      <c r="N1355" s="20">
        <f>IF(NOT(ISNUMBER($A1355)),NA(),IF(COUNT(OFFSET(G1355,1,0,Settings!$B$12,1))&lt;ROUNDUP(Settings!$B$12*Settings!$B$26,0),NA(),STDEV(OFFSET(G1355,1,0,Settings!$B$12,1))*SQRT(Settings!$B$13)))</f>
        <v/>
      </c>
      <c r="O1355" s="20">
        <f>IF(AND(ISNUMBER(E1355),ISNUMBER(N1355)),E1355-N1355,NA())</f>
        <v/>
      </c>
      <c r="P1355" s="19">
        <f>IF(NOT(ISNUMBER($A1355)),NA(),IF(OR($A1355&lt;MIN(KW_TP!$A$2:$A$2501),$A1355&gt;MAX(KW_TP!$A$2:$A$2501)),NA(),INDEX(KW_TP!$C$2:$C$2501,MATCH($A1355,KW_TP!$A$2:$A$2501,1))))</f>
        <v/>
      </c>
      <c r="Q1355" s="18">
        <f>IF(NOT(ISNUMBER($A1355)),NA(),IFERROR(1*INDEX(BBG_Data!$J$2:$J$4000,MATCH($A1355,BBG_Data!$I$2:$I$4000,0)),NA()))</f>
        <v/>
      </c>
      <c r="R1355" s="18">
        <f>IF(NOT(ISNUMBER($A1355)),NA(),IFERROR(1*INDEX(BBG_Data!$L$2:$L$4000,MATCH($A1355,BBG_Data!$K$2:$K$4000,0)),NA()))</f>
        <v/>
      </c>
      <c r="S1355" s="20">
        <f>IF(AND(ISNUMBER(B1355),ISNUMBER(Q1355),ISNUMBER(R1355)),(B1355-Q1355-R1355)*100,NA())</f>
        <v/>
      </c>
      <c r="T1355" s="20">
        <f>IF(AND(ISNUMBER(B1355),Settings!$B$17&gt;0),IF(ISNUMBER(INDEX($B:$B,Settings!$B$17)),(B1355-INDEX($B:$B,Settings!$B$17))*100,NA()),NA())</f>
        <v/>
      </c>
      <c r="U1355" s="20">
        <f>IF(AND(ISNUMBER(Q1355),Settings!$B$17&gt;0),IF(ISNUMBER(INDEX($Q:$Q,Settings!$B$17)),(Q1355-INDEX($Q:$Q,Settings!$B$17))*100,NA()),NA())</f>
        <v/>
      </c>
      <c r="V1355" s="20">
        <f>IF(AND(ISNUMBER(R1355),Settings!$B$17&gt;0),IF(ISNUMBER(INDEX($R:$R,Settings!$B$17)),(R1355-INDEX($R:$R,Settings!$B$17))*100,NA()),NA())</f>
        <v/>
      </c>
      <c r="W1355" s="20">
        <f>IF(AND(ISNUMBER(P1355),Settings!$B$17&gt;0),IF(ISNUMBER(INDEX($P:$P,Settings!$B$17)),P1355-INDEX($P:$P,Settings!$B$17),NA()),NA())</f>
        <v/>
      </c>
      <c r="X1355" s="19">
        <f>IF(NOT(ISNUMBER($A1355)),NA(),IF(OR($A1355&lt;MIN(DKW_10Y!$A$2:$A$2918),$A1355&gt;MAX(DKW_10Y!$A$2:$A$2918),Settings!$B$16&lt;MIN(DKW_10Y!$A$2:$A$2918)),NA(),(INDEX(DKW_10Y!$B$2:$B$2918,MATCH($A1355,DKW_10Y!$A$2:$A$2918,1))-INDEX(DKW_10Y!$B$2:$B$2918,MATCH(Settings!$B$16,DKW_10Y!$A$2:$A$2918,1)))*100))</f>
        <v/>
      </c>
      <c r="Y1355" s="19">
        <f>IF(NOT(ISNUMBER($A1355)),NA(),IF(OR($A1355&lt;MIN(DKW_10Y!$A$2:$A$2918),$A1355&gt;MAX(DKW_10Y!$A$2:$A$2918),Settings!$B$16&lt;MIN(DKW_10Y!$A$2:$A$2918)),NA(),(INDEX(DKW_10Y!$C$2:$C$2918,MATCH($A1355,DKW_10Y!$A$2:$A$2918,1))-INDEX(DKW_10Y!$C$2:$C$2918,MATCH(Settings!$B$16,DKW_10Y!$A$2:$A$2918,1)))*100))</f>
        <v/>
      </c>
      <c r="Z1355" s="19">
        <f>IF(NOT(ISNUMBER($A1355)),NA(),IF(OR($A1355&lt;MIN(DKW_10Y!$A$2:$A$2918),$A1355&gt;MAX(DKW_10Y!$A$2:$A$2918),Settings!$B$16&lt;MIN(DKW_10Y!$A$2:$A$2918)),NA(),(INDEX(DKW_10Y!$D$2:$D$2918,MATCH($A1355,DKW_10Y!$A$2:$A$2918,1))-INDEX(DKW_10Y!$D$2:$D$2918,MATCH(Settings!$B$16,DKW_10Y!$A$2:$A$2918,1)))*100))</f>
        <v/>
      </c>
      <c r="AA1355" s="19">
        <f>IF(NOT(ISNUMBER($A1355)),NA(),IF(OR($A1355&lt;MIN(DKW_10Y!$A$2:$A$2918),$A1355&gt;MAX(DKW_10Y!$A$2:$A$2918),Settings!$B$16&lt;MIN(DKW_10Y!$A$2:$A$2918)),NA(),(INDEX(DKW_10Y!$E$2:$E$2918,MATCH($A1355,DKW_10Y!$A$2:$A$2918,1))-INDEX(DKW_10Y!$E$2:$E$2918,MATCH(Settings!$B$16,DKW_10Y!$A$2:$A$2918,1)))*100))</f>
        <v/>
      </c>
      <c r="AB1355" s="19">
        <f>IF(NOT(ISNUMBER($A1355)),NA(),IF(OR($A1355&lt;MIN(DKW_10Y!$A$2:$A$2918),$A1355&gt;MAX(DKW_10Y!$A$2:$A$2918),Settings!$B$16&lt;MIN(DKW_10Y!$A$2:$A$2918)),NA(),(INDEX(DKW_10Y!$H$2:$H$2918,MATCH($A1355,DKW_10Y!$A$2:$A$2918,1))-INDEX(DKW_10Y!$H$2:$H$2918,MATCH(Settings!$B$16,DKW_10Y!$A$2:$A$2918,1)))*100))</f>
        <v/>
      </c>
      <c r="AC1355" s="18">
        <f>IF(NOT(ISNUMBER($A1355)),NA(),IFERROR(1*INDEX(BBG_Data!$N$2:$N$4000,MATCH($A1355,BBG_Data!$M$2:$M$4000,0)),NA()))</f>
        <v/>
      </c>
      <c r="AD1355" s="18">
        <f>IF(NOT(ISNUMBER($A1355)),NA(),IFERROR(1*INDEX(BBG_Data!$P$2:$P$4000,MATCH($A1355,BBG_Data!$O$2:$O$4000,0)),NA()))</f>
        <v/>
      </c>
      <c r="AE1355" s="18">
        <f>IF(NOT(ISNUMBER($A1355)),NA(),IFERROR(1*INDEX(BBG_Data!$R$2:$R$4000,MATCH($A1355,BBG_Data!$Q$2:$Q$4000,0)),NA()))</f>
        <v/>
      </c>
      <c r="AF1355" s="20">
        <f>IF(AND(ISNUMBER(B1355),ISNUMBER(AC1355)),(B1355-AC1355)*100,NA())</f>
        <v/>
      </c>
      <c r="AG1355" s="20">
        <f>IF(AND(ISNUMBER(AE1355),ISNUMBER(AD1355)),(AE1355-AD1355)*100,NA())</f>
        <v/>
      </c>
      <c r="AH1355" s="19">
        <f>IF(NOT(ISNUMBER($A1355)),NA(),IFERROR(INDEX(BBG_Data!$T$2:$T$4000,MATCH($A1355,BBG_Data!$S$2:$S$4000,0))*Settings!$B$25,NA()))</f>
        <v/>
      </c>
      <c r="AI1355" s="19">
        <f>IF(NOT(ISNUMBER($A1355)),NA(),IFERROR(INDEX(BBG_Data!$V$2:$V$4000,MATCH($A1355,BBG_Data!$U$2:$U$4000,0))*Settings!$B$25,NA()))</f>
        <v/>
      </c>
      <c r="AJ1355" s="19">
        <f>IF(NOT(ISNUMBER($A1355)),NA(),IFERROR(1*INDEX(BBG_Data!$X$2:$X$4000,MATCH($A1355,BBG_Data!$W$2:$W$4000,0)),NA()))</f>
        <v/>
      </c>
      <c r="AK1355" s="19">
        <f>IF(NOT(ISNUMBER($A1355)),NA(),IFERROR(1*INDEX(BBG_Data!$Z$2:$Z$4000,MATCH($A1355,BBG_Data!$Y$2:$Y$4000,0)),NA()))</f>
        <v/>
      </c>
    </row>
    <row r="1356">
      <c r="A1356" s="17">
        <f>IF(ISNUMBER(BBG_Data!A1356),BBG_Data!A1356,"")</f>
        <v/>
      </c>
      <c r="B1356" s="18">
        <f>IF(AND(ISNUMBER($A1356),ISNUMBER(BBG_Data!B1356)),BBG_Data!B1356,NA())</f>
        <v/>
      </c>
      <c r="C1356" s="18">
        <f>IF(NOT(ISNUMBER($A1356)),NA(),IFERROR(1*INDEX(BBG_Data!$D$2:$D$4000,MATCH($A1356,BBG_Data!$C$2:$C$4000,0)),NA()))</f>
        <v/>
      </c>
      <c r="D1356" s="19">
        <f>IF(NOT(ISNUMBER($A1356)),NA(),IFERROR(1*INDEX(BBG_Data!$F$2:$F$4000,MATCH($A1356,BBG_Data!$E$2:$E$4000,0)),NA()))</f>
        <v/>
      </c>
      <c r="E1356" s="19">
        <f>IF(NOT(ISNUMBER($A1356)),NA(),IFERROR(1*INDEX(BBG_Data!$H$2:$H$4000,MATCH($A1356,BBG_Data!$G$2:$G$4000,0)),NA()))</f>
        <v/>
      </c>
      <c r="F1356" s="20">
        <f>IF(AND(ISNUMBER(B1356),ISNUMBER(B1355)),IF(B1356=B1355,"",(B1356-B1355)*100),"")</f>
        <v/>
      </c>
      <c r="G1356" s="20">
        <f>IF(AND(ISNUMBER(C1356),ISNUMBER(C1355)),IF(C1356=C1355,"",(C1356-C1355)*100),"")</f>
        <v/>
      </c>
      <c r="H1356" s="20">
        <f>IF(OR(NOT(ISNUMBER($A1356)),ROW()-2&lt;Settings!$B$11),NA(),IF(COUNT(OFFSET(F1356,1-Settings!$B$11,0,Settings!$B$11,1))&lt;ROUNDUP(Settings!$B$11*Settings!$B$26,0),NA(),STDEV(OFFSET(F1356,1-Settings!$B$11,0,Settings!$B$11,1))*SQRT(Settings!$B$13)))</f>
        <v/>
      </c>
      <c r="I1356" s="20">
        <f>IF(OR(NOT(ISNUMBER($A1356)),ROW()-2&lt;Settings!$B$12),NA(),IF(COUNT(OFFSET(F1356,1-Settings!$B$12,0,Settings!$B$12,1))&lt;ROUNDUP(Settings!$B$12*Settings!$B$26,0),NA(),STDEV(OFFSET(F1356,1-Settings!$B$12,0,Settings!$B$12,1))*SQRT(Settings!$B$13)))</f>
        <v/>
      </c>
      <c r="J1356" s="20">
        <f>IF(OR(NOT(ISNUMBER($A1356)),ROW()-2&lt;Settings!$B$11),NA(),IF(COUNT(OFFSET(G1356,1-Settings!$B$11,0,Settings!$B$11,1))&lt;ROUNDUP(Settings!$B$11*Settings!$B$26,0),NA(),STDEV(OFFSET(G1356,1-Settings!$B$11,0,Settings!$B$11,1))*SQRT(Settings!$B$13)))</f>
        <v/>
      </c>
      <c r="K1356" s="20">
        <f>IF(OR(NOT(ISNUMBER($A1356)),ROW()-2&lt;Settings!$B$12),NA(),IF(COUNT(OFFSET(G1356,1-Settings!$B$12,0,Settings!$B$12,1))&lt;ROUNDUP(Settings!$B$12*Settings!$B$26,0),NA(),STDEV(OFFSET(G1356,1-Settings!$B$12,0,Settings!$B$12,1))*SQRT(Settings!$B$13)))</f>
        <v/>
      </c>
      <c r="L1356" s="20">
        <f>IF(AND(ISNUMBER(D1356),ISNUMBER(H1356)),D1356-H1356,NA())</f>
        <v/>
      </c>
      <c r="M1356" s="20">
        <f>IF(AND(ISNUMBER(E1356),ISNUMBER(K1356)),E1356-K1356,NA())</f>
        <v/>
      </c>
      <c r="N1356" s="20">
        <f>IF(NOT(ISNUMBER($A1356)),NA(),IF(COUNT(OFFSET(G1356,1,0,Settings!$B$12,1))&lt;ROUNDUP(Settings!$B$12*Settings!$B$26,0),NA(),STDEV(OFFSET(G1356,1,0,Settings!$B$12,1))*SQRT(Settings!$B$13)))</f>
        <v/>
      </c>
      <c r="O1356" s="20">
        <f>IF(AND(ISNUMBER(E1356),ISNUMBER(N1356)),E1356-N1356,NA())</f>
        <v/>
      </c>
      <c r="P1356" s="19">
        <f>IF(NOT(ISNUMBER($A1356)),NA(),IF(OR($A1356&lt;MIN(KW_TP!$A$2:$A$2501),$A1356&gt;MAX(KW_TP!$A$2:$A$2501)),NA(),INDEX(KW_TP!$C$2:$C$2501,MATCH($A1356,KW_TP!$A$2:$A$2501,1))))</f>
        <v/>
      </c>
      <c r="Q1356" s="18">
        <f>IF(NOT(ISNUMBER($A1356)),NA(),IFERROR(1*INDEX(BBG_Data!$J$2:$J$4000,MATCH($A1356,BBG_Data!$I$2:$I$4000,0)),NA()))</f>
        <v/>
      </c>
      <c r="R1356" s="18">
        <f>IF(NOT(ISNUMBER($A1356)),NA(),IFERROR(1*INDEX(BBG_Data!$L$2:$L$4000,MATCH($A1356,BBG_Data!$K$2:$K$4000,0)),NA()))</f>
        <v/>
      </c>
      <c r="S1356" s="20">
        <f>IF(AND(ISNUMBER(B1356),ISNUMBER(Q1356),ISNUMBER(R1356)),(B1356-Q1356-R1356)*100,NA())</f>
        <v/>
      </c>
      <c r="T1356" s="20">
        <f>IF(AND(ISNUMBER(B1356),Settings!$B$17&gt;0),IF(ISNUMBER(INDEX($B:$B,Settings!$B$17)),(B1356-INDEX($B:$B,Settings!$B$17))*100,NA()),NA())</f>
        <v/>
      </c>
      <c r="U1356" s="20">
        <f>IF(AND(ISNUMBER(Q1356),Settings!$B$17&gt;0),IF(ISNUMBER(INDEX($Q:$Q,Settings!$B$17)),(Q1356-INDEX($Q:$Q,Settings!$B$17))*100,NA()),NA())</f>
        <v/>
      </c>
      <c r="V1356" s="20">
        <f>IF(AND(ISNUMBER(R1356),Settings!$B$17&gt;0),IF(ISNUMBER(INDEX($R:$R,Settings!$B$17)),(R1356-INDEX($R:$R,Settings!$B$17))*100,NA()),NA())</f>
        <v/>
      </c>
      <c r="W1356" s="20">
        <f>IF(AND(ISNUMBER(P1356),Settings!$B$17&gt;0),IF(ISNUMBER(INDEX($P:$P,Settings!$B$17)),P1356-INDEX($P:$P,Settings!$B$17),NA()),NA())</f>
        <v/>
      </c>
      <c r="X1356" s="19">
        <f>IF(NOT(ISNUMBER($A1356)),NA(),IF(OR($A1356&lt;MIN(DKW_10Y!$A$2:$A$2918),$A1356&gt;MAX(DKW_10Y!$A$2:$A$2918),Settings!$B$16&lt;MIN(DKW_10Y!$A$2:$A$2918)),NA(),(INDEX(DKW_10Y!$B$2:$B$2918,MATCH($A1356,DKW_10Y!$A$2:$A$2918,1))-INDEX(DKW_10Y!$B$2:$B$2918,MATCH(Settings!$B$16,DKW_10Y!$A$2:$A$2918,1)))*100))</f>
        <v/>
      </c>
      <c r="Y1356" s="19">
        <f>IF(NOT(ISNUMBER($A1356)),NA(),IF(OR($A1356&lt;MIN(DKW_10Y!$A$2:$A$2918),$A1356&gt;MAX(DKW_10Y!$A$2:$A$2918),Settings!$B$16&lt;MIN(DKW_10Y!$A$2:$A$2918)),NA(),(INDEX(DKW_10Y!$C$2:$C$2918,MATCH($A1356,DKW_10Y!$A$2:$A$2918,1))-INDEX(DKW_10Y!$C$2:$C$2918,MATCH(Settings!$B$16,DKW_10Y!$A$2:$A$2918,1)))*100))</f>
        <v/>
      </c>
      <c r="Z1356" s="19">
        <f>IF(NOT(ISNUMBER($A1356)),NA(),IF(OR($A1356&lt;MIN(DKW_10Y!$A$2:$A$2918),$A1356&gt;MAX(DKW_10Y!$A$2:$A$2918),Settings!$B$16&lt;MIN(DKW_10Y!$A$2:$A$2918)),NA(),(INDEX(DKW_10Y!$D$2:$D$2918,MATCH($A1356,DKW_10Y!$A$2:$A$2918,1))-INDEX(DKW_10Y!$D$2:$D$2918,MATCH(Settings!$B$16,DKW_10Y!$A$2:$A$2918,1)))*100))</f>
        <v/>
      </c>
      <c r="AA1356" s="19">
        <f>IF(NOT(ISNUMBER($A1356)),NA(),IF(OR($A1356&lt;MIN(DKW_10Y!$A$2:$A$2918),$A1356&gt;MAX(DKW_10Y!$A$2:$A$2918),Settings!$B$16&lt;MIN(DKW_10Y!$A$2:$A$2918)),NA(),(INDEX(DKW_10Y!$E$2:$E$2918,MATCH($A1356,DKW_10Y!$A$2:$A$2918,1))-INDEX(DKW_10Y!$E$2:$E$2918,MATCH(Settings!$B$16,DKW_10Y!$A$2:$A$2918,1)))*100))</f>
        <v/>
      </c>
      <c r="AB1356" s="19">
        <f>IF(NOT(ISNUMBER($A1356)),NA(),IF(OR($A1356&lt;MIN(DKW_10Y!$A$2:$A$2918),$A1356&gt;MAX(DKW_10Y!$A$2:$A$2918),Settings!$B$16&lt;MIN(DKW_10Y!$A$2:$A$2918)),NA(),(INDEX(DKW_10Y!$H$2:$H$2918,MATCH($A1356,DKW_10Y!$A$2:$A$2918,1))-INDEX(DKW_10Y!$H$2:$H$2918,MATCH(Settings!$B$16,DKW_10Y!$A$2:$A$2918,1)))*100))</f>
        <v/>
      </c>
      <c r="AC1356" s="18">
        <f>IF(NOT(ISNUMBER($A1356)),NA(),IFERROR(1*INDEX(BBG_Data!$N$2:$N$4000,MATCH($A1356,BBG_Data!$M$2:$M$4000,0)),NA()))</f>
        <v/>
      </c>
      <c r="AD1356" s="18">
        <f>IF(NOT(ISNUMBER($A1356)),NA(),IFERROR(1*INDEX(BBG_Data!$P$2:$P$4000,MATCH($A1356,BBG_Data!$O$2:$O$4000,0)),NA()))</f>
        <v/>
      </c>
      <c r="AE1356" s="18">
        <f>IF(NOT(ISNUMBER($A1356)),NA(),IFERROR(1*INDEX(BBG_Data!$R$2:$R$4000,MATCH($A1356,BBG_Data!$Q$2:$Q$4000,0)),NA()))</f>
        <v/>
      </c>
      <c r="AF1356" s="20">
        <f>IF(AND(ISNUMBER(B1356),ISNUMBER(AC1356)),(B1356-AC1356)*100,NA())</f>
        <v/>
      </c>
      <c r="AG1356" s="20">
        <f>IF(AND(ISNUMBER(AE1356),ISNUMBER(AD1356)),(AE1356-AD1356)*100,NA())</f>
        <v/>
      </c>
      <c r="AH1356" s="19">
        <f>IF(NOT(ISNUMBER($A1356)),NA(),IFERROR(INDEX(BBG_Data!$T$2:$T$4000,MATCH($A1356,BBG_Data!$S$2:$S$4000,0))*Settings!$B$25,NA()))</f>
        <v/>
      </c>
      <c r="AI1356" s="19">
        <f>IF(NOT(ISNUMBER($A1356)),NA(),IFERROR(INDEX(BBG_Data!$V$2:$V$4000,MATCH($A1356,BBG_Data!$U$2:$U$4000,0))*Settings!$B$25,NA()))</f>
        <v/>
      </c>
      <c r="AJ1356" s="19">
        <f>IF(NOT(ISNUMBER($A1356)),NA(),IFERROR(1*INDEX(BBG_Data!$X$2:$X$4000,MATCH($A1356,BBG_Data!$W$2:$W$4000,0)),NA()))</f>
        <v/>
      </c>
      <c r="AK1356" s="19">
        <f>IF(NOT(ISNUMBER($A1356)),NA(),IFERROR(1*INDEX(BBG_Data!$Z$2:$Z$4000,MATCH($A1356,BBG_Data!$Y$2:$Y$4000,0)),NA()))</f>
        <v/>
      </c>
    </row>
    <row r="1357">
      <c r="A1357" s="17">
        <f>IF(ISNUMBER(BBG_Data!A1357),BBG_Data!A1357,"")</f>
        <v/>
      </c>
      <c r="B1357" s="18">
        <f>IF(AND(ISNUMBER($A1357),ISNUMBER(BBG_Data!B1357)),BBG_Data!B1357,NA())</f>
        <v/>
      </c>
      <c r="C1357" s="18">
        <f>IF(NOT(ISNUMBER($A1357)),NA(),IFERROR(1*INDEX(BBG_Data!$D$2:$D$4000,MATCH($A1357,BBG_Data!$C$2:$C$4000,0)),NA()))</f>
        <v/>
      </c>
      <c r="D1357" s="19">
        <f>IF(NOT(ISNUMBER($A1357)),NA(),IFERROR(1*INDEX(BBG_Data!$F$2:$F$4000,MATCH($A1357,BBG_Data!$E$2:$E$4000,0)),NA()))</f>
        <v/>
      </c>
      <c r="E1357" s="19">
        <f>IF(NOT(ISNUMBER($A1357)),NA(),IFERROR(1*INDEX(BBG_Data!$H$2:$H$4000,MATCH($A1357,BBG_Data!$G$2:$G$4000,0)),NA()))</f>
        <v/>
      </c>
      <c r="F1357" s="20">
        <f>IF(AND(ISNUMBER(B1357),ISNUMBER(B1356)),IF(B1357=B1356,"",(B1357-B1356)*100),"")</f>
        <v/>
      </c>
      <c r="G1357" s="20">
        <f>IF(AND(ISNUMBER(C1357),ISNUMBER(C1356)),IF(C1357=C1356,"",(C1357-C1356)*100),"")</f>
        <v/>
      </c>
      <c r="H1357" s="20">
        <f>IF(OR(NOT(ISNUMBER($A1357)),ROW()-2&lt;Settings!$B$11),NA(),IF(COUNT(OFFSET(F1357,1-Settings!$B$11,0,Settings!$B$11,1))&lt;ROUNDUP(Settings!$B$11*Settings!$B$26,0),NA(),STDEV(OFFSET(F1357,1-Settings!$B$11,0,Settings!$B$11,1))*SQRT(Settings!$B$13)))</f>
        <v/>
      </c>
      <c r="I1357" s="20">
        <f>IF(OR(NOT(ISNUMBER($A1357)),ROW()-2&lt;Settings!$B$12),NA(),IF(COUNT(OFFSET(F1357,1-Settings!$B$12,0,Settings!$B$12,1))&lt;ROUNDUP(Settings!$B$12*Settings!$B$26,0),NA(),STDEV(OFFSET(F1357,1-Settings!$B$12,0,Settings!$B$12,1))*SQRT(Settings!$B$13)))</f>
        <v/>
      </c>
      <c r="J1357" s="20">
        <f>IF(OR(NOT(ISNUMBER($A1357)),ROW()-2&lt;Settings!$B$11),NA(),IF(COUNT(OFFSET(G1357,1-Settings!$B$11,0,Settings!$B$11,1))&lt;ROUNDUP(Settings!$B$11*Settings!$B$26,0),NA(),STDEV(OFFSET(G1357,1-Settings!$B$11,0,Settings!$B$11,1))*SQRT(Settings!$B$13)))</f>
        <v/>
      </c>
      <c r="K1357" s="20">
        <f>IF(OR(NOT(ISNUMBER($A1357)),ROW()-2&lt;Settings!$B$12),NA(),IF(COUNT(OFFSET(G1357,1-Settings!$B$12,0,Settings!$B$12,1))&lt;ROUNDUP(Settings!$B$12*Settings!$B$26,0),NA(),STDEV(OFFSET(G1357,1-Settings!$B$12,0,Settings!$B$12,1))*SQRT(Settings!$B$13)))</f>
        <v/>
      </c>
      <c r="L1357" s="20">
        <f>IF(AND(ISNUMBER(D1357),ISNUMBER(H1357)),D1357-H1357,NA())</f>
        <v/>
      </c>
      <c r="M1357" s="20">
        <f>IF(AND(ISNUMBER(E1357),ISNUMBER(K1357)),E1357-K1357,NA())</f>
        <v/>
      </c>
      <c r="N1357" s="20">
        <f>IF(NOT(ISNUMBER($A1357)),NA(),IF(COUNT(OFFSET(G1357,1,0,Settings!$B$12,1))&lt;ROUNDUP(Settings!$B$12*Settings!$B$26,0),NA(),STDEV(OFFSET(G1357,1,0,Settings!$B$12,1))*SQRT(Settings!$B$13)))</f>
        <v/>
      </c>
      <c r="O1357" s="20">
        <f>IF(AND(ISNUMBER(E1357),ISNUMBER(N1357)),E1357-N1357,NA())</f>
        <v/>
      </c>
      <c r="P1357" s="19">
        <f>IF(NOT(ISNUMBER($A1357)),NA(),IF(OR($A1357&lt;MIN(KW_TP!$A$2:$A$2501),$A1357&gt;MAX(KW_TP!$A$2:$A$2501)),NA(),INDEX(KW_TP!$C$2:$C$2501,MATCH($A1357,KW_TP!$A$2:$A$2501,1))))</f>
        <v/>
      </c>
      <c r="Q1357" s="18">
        <f>IF(NOT(ISNUMBER($A1357)),NA(),IFERROR(1*INDEX(BBG_Data!$J$2:$J$4000,MATCH($A1357,BBG_Data!$I$2:$I$4000,0)),NA()))</f>
        <v/>
      </c>
      <c r="R1357" s="18">
        <f>IF(NOT(ISNUMBER($A1357)),NA(),IFERROR(1*INDEX(BBG_Data!$L$2:$L$4000,MATCH($A1357,BBG_Data!$K$2:$K$4000,0)),NA()))</f>
        <v/>
      </c>
      <c r="S1357" s="20">
        <f>IF(AND(ISNUMBER(B1357),ISNUMBER(Q1357),ISNUMBER(R1357)),(B1357-Q1357-R1357)*100,NA())</f>
        <v/>
      </c>
      <c r="T1357" s="20">
        <f>IF(AND(ISNUMBER(B1357),Settings!$B$17&gt;0),IF(ISNUMBER(INDEX($B:$B,Settings!$B$17)),(B1357-INDEX($B:$B,Settings!$B$17))*100,NA()),NA())</f>
        <v/>
      </c>
      <c r="U1357" s="20">
        <f>IF(AND(ISNUMBER(Q1357),Settings!$B$17&gt;0),IF(ISNUMBER(INDEX($Q:$Q,Settings!$B$17)),(Q1357-INDEX($Q:$Q,Settings!$B$17))*100,NA()),NA())</f>
        <v/>
      </c>
      <c r="V1357" s="20">
        <f>IF(AND(ISNUMBER(R1357),Settings!$B$17&gt;0),IF(ISNUMBER(INDEX($R:$R,Settings!$B$17)),(R1357-INDEX($R:$R,Settings!$B$17))*100,NA()),NA())</f>
        <v/>
      </c>
      <c r="W1357" s="20">
        <f>IF(AND(ISNUMBER(P1357),Settings!$B$17&gt;0),IF(ISNUMBER(INDEX($P:$P,Settings!$B$17)),P1357-INDEX($P:$P,Settings!$B$17),NA()),NA())</f>
        <v/>
      </c>
      <c r="X1357" s="19">
        <f>IF(NOT(ISNUMBER($A1357)),NA(),IF(OR($A1357&lt;MIN(DKW_10Y!$A$2:$A$2918),$A1357&gt;MAX(DKW_10Y!$A$2:$A$2918),Settings!$B$16&lt;MIN(DKW_10Y!$A$2:$A$2918)),NA(),(INDEX(DKW_10Y!$B$2:$B$2918,MATCH($A1357,DKW_10Y!$A$2:$A$2918,1))-INDEX(DKW_10Y!$B$2:$B$2918,MATCH(Settings!$B$16,DKW_10Y!$A$2:$A$2918,1)))*100))</f>
        <v/>
      </c>
      <c r="Y1357" s="19">
        <f>IF(NOT(ISNUMBER($A1357)),NA(),IF(OR($A1357&lt;MIN(DKW_10Y!$A$2:$A$2918),$A1357&gt;MAX(DKW_10Y!$A$2:$A$2918),Settings!$B$16&lt;MIN(DKW_10Y!$A$2:$A$2918)),NA(),(INDEX(DKW_10Y!$C$2:$C$2918,MATCH($A1357,DKW_10Y!$A$2:$A$2918,1))-INDEX(DKW_10Y!$C$2:$C$2918,MATCH(Settings!$B$16,DKW_10Y!$A$2:$A$2918,1)))*100))</f>
        <v/>
      </c>
      <c r="Z1357" s="19">
        <f>IF(NOT(ISNUMBER($A1357)),NA(),IF(OR($A1357&lt;MIN(DKW_10Y!$A$2:$A$2918),$A1357&gt;MAX(DKW_10Y!$A$2:$A$2918),Settings!$B$16&lt;MIN(DKW_10Y!$A$2:$A$2918)),NA(),(INDEX(DKW_10Y!$D$2:$D$2918,MATCH($A1357,DKW_10Y!$A$2:$A$2918,1))-INDEX(DKW_10Y!$D$2:$D$2918,MATCH(Settings!$B$16,DKW_10Y!$A$2:$A$2918,1)))*100))</f>
        <v/>
      </c>
      <c r="AA1357" s="19">
        <f>IF(NOT(ISNUMBER($A1357)),NA(),IF(OR($A1357&lt;MIN(DKW_10Y!$A$2:$A$2918),$A1357&gt;MAX(DKW_10Y!$A$2:$A$2918),Settings!$B$16&lt;MIN(DKW_10Y!$A$2:$A$2918)),NA(),(INDEX(DKW_10Y!$E$2:$E$2918,MATCH($A1357,DKW_10Y!$A$2:$A$2918,1))-INDEX(DKW_10Y!$E$2:$E$2918,MATCH(Settings!$B$16,DKW_10Y!$A$2:$A$2918,1)))*100))</f>
        <v/>
      </c>
      <c r="AB1357" s="19">
        <f>IF(NOT(ISNUMBER($A1357)),NA(),IF(OR($A1357&lt;MIN(DKW_10Y!$A$2:$A$2918),$A1357&gt;MAX(DKW_10Y!$A$2:$A$2918),Settings!$B$16&lt;MIN(DKW_10Y!$A$2:$A$2918)),NA(),(INDEX(DKW_10Y!$H$2:$H$2918,MATCH($A1357,DKW_10Y!$A$2:$A$2918,1))-INDEX(DKW_10Y!$H$2:$H$2918,MATCH(Settings!$B$16,DKW_10Y!$A$2:$A$2918,1)))*100))</f>
        <v/>
      </c>
      <c r="AC1357" s="18">
        <f>IF(NOT(ISNUMBER($A1357)),NA(),IFERROR(1*INDEX(BBG_Data!$N$2:$N$4000,MATCH($A1357,BBG_Data!$M$2:$M$4000,0)),NA()))</f>
        <v/>
      </c>
      <c r="AD1357" s="18">
        <f>IF(NOT(ISNUMBER($A1357)),NA(),IFERROR(1*INDEX(BBG_Data!$P$2:$P$4000,MATCH($A1357,BBG_Data!$O$2:$O$4000,0)),NA()))</f>
        <v/>
      </c>
      <c r="AE1357" s="18">
        <f>IF(NOT(ISNUMBER($A1357)),NA(),IFERROR(1*INDEX(BBG_Data!$R$2:$R$4000,MATCH($A1357,BBG_Data!$Q$2:$Q$4000,0)),NA()))</f>
        <v/>
      </c>
      <c r="AF1357" s="20">
        <f>IF(AND(ISNUMBER(B1357),ISNUMBER(AC1357)),(B1357-AC1357)*100,NA())</f>
        <v/>
      </c>
      <c r="AG1357" s="20">
        <f>IF(AND(ISNUMBER(AE1357),ISNUMBER(AD1357)),(AE1357-AD1357)*100,NA())</f>
        <v/>
      </c>
      <c r="AH1357" s="19">
        <f>IF(NOT(ISNUMBER($A1357)),NA(),IFERROR(INDEX(BBG_Data!$T$2:$T$4000,MATCH($A1357,BBG_Data!$S$2:$S$4000,0))*Settings!$B$25,NA()))</f>
        <v/>
      </c>
      <c r="AI1357" s="19">
        <f>IF(NOT(ISNUMBER($A1357)),NA(),IFERROR(INDEX(BBG_Data!$V$2:$V$4000,MATCH($A1357,BBG_Data!$U$2:$U$4000,0))*Settings!$B$25,NA()))</f>
        <v/>
      </c>
      <c r="AJ1357" s="19">
        <f>IF(NOT(ISNUMBER($A1357)),NA(),IFERROR(1*INDEX(BBG_Data!$X$2:$X$4000,MATCH($A1357,BBG_Data!$W$2:$W$4000,0)),NA()))</f>
        <v/>
      </c>
      <c r="AK1357" s="19">
        <f>IF(NOT(ISNUMBER($A1357)),NA(),IFERROR(1*INDEX(BBG_Data!$Z$2:$Z$4000,MATCH($A1357,BBG_Data!$Y$2:$Y$4000,0)),NA()))</f>
        <v/>
      </c>
    </row>
    <row r="1358">
      <c r="A1358" s="17">
        <f>IF(ISNUMBER(BBG_Data!A1358),BBG_Data!A1358,"")</f>
        <v/>
      </c>
      <c r="B1358" s="18">
        <f>IF(AND(ISNUMBER($A1358),ISNUMBER(BBG_Data!B1358)),BBG_Data!B1358,NA())</f>
        <v/>
      </c>
      <c r="C1358" s="18">
        <f>IF(NOT(ISNUMBER($A1358)),NA(),IFERROR(1*INDEX(BBG_Data!$D$2:$D$4000,MATCH($A1358,BBG_Data!$C$2:$C$4000,0)),NA()))</f>
        <v/>
      </c>
      <c r="D1358" s="19">
        <f>IF(NOT(ISNUMBER($A1358)),NA(),IFERROR(1*INDEX(BBG_Data!$F$2:$F$4000,MATCH($A1358,BBG_Data!$E$2:$E$4000,0)),NA()))</f>
        <v/>
      </c>
      <c r="E1358" s="19">
        <f>IF(NOT(ISNUMBER($A1358)),NA(),IFERROR(1*INDEX(BBG_Data!$H$2:$H$4000,MATCH($A1358,BBG_Data!$G$2:$G$4000,0)),NA()))</f>
        <v/>
      </c>
      <c r="F1358" s="20">
        <f>IF(AND(ISNUMBER(B1358),ISNUMBER(B1357)),IF(B1358=B1357,"",(B1358-B1357)*100),"")</f>
        <v/>
      </c>
      <c r="G1358" s="20">
        <f>IF(AND(ISNUMBER(C1358),ISNUMBER(C1357)),IF(C1358=C1357,"",(C1358-C1357)*100),"")</f>
        <v/>
      </c>
      <c r="H1358" s="20">
        <f>IF(OR(NOT(ISNUMBER($A1358)),ROW()-2&lt;Settings!$B$11),NA(),IF(COUNT(OFFSET(F1358,1-Settings!$B$11,0,Settings!$B$11,1))&lt;ROUNDUP(Settings!$B$11*Settings!$B$26,0),NA(),STDEV(OFFSET(F1358,1-Settings!$B$11,0,Settings!$B$11,1))*SQRT(Settings!$B$13)))</f>
        <v/>
      </c>
      <c r="I1358" s="20">
        <f>IF(OR(NOT(ISNUMBER($A1358)),ROW()-2&lt;Settings!$B$12),NA(),IF(COUNT(OFFSET(F1358,1-Settings!$B$12,0,Settings!$B$12,1))&lt;ROUNDUP(Settings!$B$12*Settings!$B$26,0),NA(),STDEV(OFFSET(F1358,1-Settings!$B$12,0,Settings!$B$12,1))*SQRT(Settings!$B$13)))</f>
        <v/>
      </c>
      <c r="J1358" s="20">
        <f>IF(OR(NOT(ISNUMBER($A1358)),ROW()-2&lt;Settings!$B$11),NA(),IF(COUNT(OFFSET(G1358,1-Settings!$B$11,0,Settings!$B$11,1))&lt;ROUNDUP(Settings!$B$11*Settings!$B$26,0),NA(),STDEV(OFFSET(G1358,1-Settings!$B$11,0,Settings!$B$11,1))*SQRT(Settings!$B$13)))</f>
        <v/>
      </c>
      <c r="K1358" s="20">
        <f>IF(OR(NOT(ISNUMBER($A1358)),ROW()-2&lt;Settings!$B$12),NA(),IF(COUNT(OFFSET(G1358,1-Settings!$B$12,0,Settings!$B$12,1))&lt;ROUNDUP(Settings!$B$12*Settings!$B$26,0),NA(),STDEV(OFFSET(G1358,1-Settings!$B$12,0,Settings!$B$12,1))*SQRT(Settings!$B$13)))</f>
        <v/>
      </c>
      <c r="L1358" s="20">
        <f>IF(AND(ISNUMBER(D1358),ISNUMBER(H1358)),D1358-H1358,NA())</f>
        <v/>
      </c>
      <c r="M1358" s="20">
        <f>IF(AND(ISNUMBER(E1358),ISNUMBER(K1358)),E1358-K1358,NA())</f>
        <v/>
      </c>
      <c r="N1358" s="20">
        <f>IF(NOT(ISNUMBER($A1358)),NA(),IF(COUNT(OFFSET(G1358,1,0,Settings!$B$12,1))&lt;ROUNDUP(Settings!$B$12*Settings!$B$26,0),NA(),STDEV(OFFSET(G1358,1,0,Settings!$B$12,1))*SQRT(Settings!$B$13)))</f>
        <v/>
      </c>
      <c r="O1358" s="20">
        <f>IF(AND(ISNUMBER(E1358),ISNUMBER(N1358)),E1358-N1358,NA())</f>
        <v/>
      </c>
      <c r="P1358" s="19">
        <f>IF(NOT(ISNUMBER($A1358)),NA(),IF(OR($A1358&lt;MIN(KW_TP!$A$2:$A$2501),$A1358&gt;MAX(KW_TP!$A$2:$A$2501)),NA(),INDEX(KW_TP!$C$2:$C$2501,MATCH($A1358,KW_TP!$A$2:$A$2501,1))))</f>
        <v/>
      </c>
      <c r="Q1358" s="18">
        <f>IF(NOT(ISNUMBER($A1358)),NA(),IFERROR(1*INDEX(BBG_Data!$J$2:$J$4000,MATCH($A1358,BBG_Data!$I$2:$I$4000,0)),NA()))</f>
        <v/>
      </c>
      <c r="R1358" s="18">
        <f>IF(NOT(ISNUMBER($A1358)),NA(),IFERROR(1*INDEX(BBG_Data!$L$2:$L$4000,MATCH($A1358,BBG_Data!$K$2:$K$4000,0)),NA()))</f>
        <v/>
      </c>
      <c r="S1358" s="20">
        <f>IF(AND(ISNUMBER(B1358),ISNUMBER(Q1358),ISNUMBER(R1358)),(B1358-Q1358-R1358)*100,NA())</f>
        <v/>
      </c>
      <c r="T1358" s="20">
        <f>IF(AND(ISNUMBER(B1358),Settings!$B$17&gt;0),IF(ISNUMBER(INDEX($B:$B,Settings!$B$17)),(B1358-INDEX($B:$B,Settings!$B$17))*100,NA()),NA())</f>
        <v/>
      </c>
      <c r="U1358" s="20">
        <f>IF(AND(ISNUMBER(Q1358),Settings!$B$17&gt;0),IF(ISNUMBER(INDEX($Q:$Q,Settings!$B$17)),(Q1358-INDEX($Q:$Q,Settings!$B$17))*100,NA()),NA())</f>
        <v/>
      </c>
      <c r="V1358" s="20">
        <f>IF(AND(ISNUMBER(R1358),Settings!$B$17&gt;0),IF(ISNUMBER(INDEX($R:$R,Settings!$B$17)),(R1358-INDEX($R:$R,Settings!$B$17))*100,NA()),NA())</f>
        <v/>
      </c>
      <c r="W1358" s="20">
        <f>IF(AND(ISNUMBER(P1358),Settings!$B$17&gt;0),IF(ISNUMBER(INDEX($P:$P,Settings!$B$17)),P1358-INDEX($P:$P,Settings!$B$17),NA()),NA())</f>
        <v/>
      </c>
      <c r="X1358" s="19">
        <f>IF(NOT(ISNUMBER($A1358)),NA(),IF(OR($A1358&lt;MIN(DKW_10Y!$A$2:$A$2918),$A1358&gt;MAX(DKW_10Y!$A$2:$A$2918),Settings!$B$16&lt;MIN(DKW_10Y!$A$2:$A$2918)),NA(),(INDEX(DKW_10Y!$B$2:$B$2918,MATCH($A1358,DKW_10Y!$A$2:$A$2918,1))-INDEX(DKW_10Y!$B$2:$B$2918,MATCH(Settings!$B$16,DKW_10Y!$A$2:$A$2918,1)))*100))</f>
        <v/>
      </c>
      <c r="Y1358" s="19">
        <f>IF(NOT(ISNUMBER($A1358)),NA(),IF(OR($A1358&lt;MIN(DKW_10Y!$A$2:$A$2918),$A1358&gt;MAX(DKW_10Y!$A$2:$A$2918),Settings!$B$16&lt;MIN(DKW_10Y!$A$2:$A$2918)),NA(),(INDEX(DKW_10Y!$C$2:$C$2918,MATCH($A1358,DKW_10Y!$A$2:$A$2918,1))-INDEX(DKW_10Y!$C$2:$C$2918,MATCH(Settings!$B$16,DKW_10Y!$A$2:$A$2918,1)))*100))</f>
        <v/>
      </c>
      <c r="Z1358" s="19">
        <f>IF(NOT(ISNUMBER($A1358)),NA(),IF(OR($A1358&lt;MIN(DKW_10Y!$A$2:$A$2918),$A1358&gt;MAX(DKW_10Y!$A$2:$A$2918),Settings!$B$16&lt;MIN(DKW_10Y!$A$2:$A$2918)),NA(),(INDEX(DKW_10Y!$D$2:$D$2918,MATCH($A1358,DKW_10Y!$A$2:$A$2918,1))-INDEX(DKW_10Y!$D$2:$D$2918,MATCH(Settings!$B$16,DKW_10Y!$A$2:$A$2918,1)))*100))</f>
        <v/>
      </c>
      <c r="AA1358" s="19">
        <f>IF(NOT(ISNUMBER($A1358)),NA(),IF(OR($A1358&lt;MIN(DKW_10Y!$A$2:$A$2918),$A1358&gt;MAX(DKW_10Y!$A$2:$A$2918),Settings!$B$16&lt;MIN(DKW_10Y!$A$2:$A$2918)),NA(),(INDEX(DKW_10Y!$E$2:$E$2918,MATCH($A1358,DKW_10Y!$A$2:$A$2918,1))-INDEX(DKW_10Y!$E$2:$E$2918,MATCH(Settings!$B$16,DKW_10Y!$A$2:$A$2918,1)))*100))</f>
        <v/>
      </c>
      <c r="AB1358" s="19">
        <f>IF(NOT(ISNUMBER($A1358)),NA(),IF(OR($A1358&lt;MIN(DKW_10Y!$A$2:$A$2918),$A1358&gt;MAX(DKW_10Y!$A$2:$A$2918),Settings!$B$16&lt;MIN(DKW_10Y!$A$2:$A$2918)),NA(),(INDEX(DKW_10Y!$H$2:$H$2918,MATCH($A1358,DKW_10Y!$A$2:$A$2918,1))-INDEX(DKW_10Y!$H$2:$H$2918,MATCH(Settings!$B$16,DKW_10Y!$A$2:$A$2918,1)))*100))</f>
        <v/>
      </c>
      <c r="AC1358" s="18">
        <f>IF(NOT(ISNUMBER($A1358)),NA(),IFERROR(1*INDEX(BBG_Data!$N$2:$N$4000,MATCH($A1358,BBG_Data!$M$2:$M$4000,0)),NA()))</f>
        <v/>
      </c>
      <c r="AD1358" s="18">
        <f>IF(NOT(ISNUMBER($A1358)),NA(),IFERROR(1*INDEX(BBG_Data!$P$2:$P$4000,MATCH($A1358,BBG_Data!$O$2:$O$4000,0)),NA()))</f>
        <v/>
      </c>
      <c r="AE1358" s="18">
        <f>IF(NOT(ISNUMBER($A1358)),NA(),IFERROR(1*INDEX(BBG_Data!$R$2:$R$4000,MATCH($A1358,BBG_Data!$Q$2:$Q$4000,0)),NA()))</f>
        <v/>
      </c>
      <c r="AF1358" s="20">
        <f>IF(AND(ISNUMBER(B1358),ISNUMBER(AC1358)),(B1358-AC1358)*100,NA())</f>
        <v/>
      </c>
      <c r="AG1358" s="20">
        <f>IF(AND(ISNUMBER(AE1358),ISNUMBER(AD1358)),(AE1358-AD1358)*100,NA())</f>
        <v/>
      </c>
      <c r="AH1358" s="19">
        <f>IF(NOT(ISNUMBER($A1358)),NA(),IFERROR(INDEX(BBG_Data!$T$2:$T$4000,MATCH($A1358,BBG_Data!$S$2:$S$4000,0))*Settings!$B$25,NA()))</f>
        <v/>
      </c>
      <c r="AI1358" s="19">
        <f>IF(NOT(ISNUMBER($A1358)),NA(),IFERROR(INDEX(BBG_Data!$V$2:$V$4000,MATCH($A1358,BBG_Data!$U$2:$U$4000,0))*Settings!$B$25,NA()))</f>
        <v/>
      </c>
      <c r="AJ1358" s="19">
        <f>IF(NOT(ISNUMBER($A1358)),NA(),IFERROR(1*INDEX(BBG_Data!$X$2:$X$4000,MATCH($A1358,BBG_Data!$W$2:$W$4000,0)),NA()))</f>
        <v/>
      </c>
      <c r="AK1358" s="19">
        <f>IF(NOT(ISNUMBER($A1358)),NA(),IFERROR(1*INDEX(BBG_Data!$Z$2:$Z$4000,MATCH($A1358,BBG_Data!$Y$2:$Y$4000,0)),NA()))</f>
        <v/>
      </c>
    </row>
    <row r="1359">
      <c r="A1359" s="17">
        <f>IF(ISNUMBER(BBG_Data!A1359),BBG_Data!A1359,"")</f>
        <v/>
      </c>
      <c r="B1359" s="18">
        <f>IF(AND(ISNUMBER($A1359),ISNUMBER(BBG_Data!B1359)),BBG_Data!B1359,NA())</f>
        <v/>
      </c>
      <c r="C1359" s="18">
        <f>IF(NOT(ISNUMBER($A1359)),NA(),IFERROR(1*INDEX(BBG_Data!$D$2:$D$4000,MATCH($A1359,BBG_Data!$C$2:$C$4000,0)),NA()))</f>
        <v/>
      </c>
      <c r="D1359" s="19">
        <f>IF(NOT(ISNUMBER($A1359)),NA(),IFERROR(1*INDEX(BBG_Data!$F$2:$F$4000,MATCH($A1359,BBG_Data!$E$2:$E$4000,0)),NA()))</f>
        <v/>
      </c>
      <c r="E1359" s="19">
        <f>IF(NOT(ISNUMBER($A1359)),NA(),IFERROR(1*INDEX(BBG_Data!$H$2:$H$4000,MATCH($A1359,BBG_Data!$G$2:$G$4000,0)),NA()))</f>
        <v/>
      </c>
      <c r="F1359" s="20">
        <f>IF(AND(ISNUMBER(B1359),ISNUMBER(B1358)),IF(B1359=B1358,"",(B1359-B1358)*100),"")</f>
        <v/>
      </c>
      <c r="G1359" s="20">
        <f>IF(AND(ISNUMBER(C1359),ISNUMBER(C1358)),IF(C1359=C1358,"",(C1359-C1358)*100),"")</f>
        <v/>
      </c>
      <c r="H1359" s="20">
        <f>IF(OR(NOT(ISNUMBER($A1359)),ROW()-2&lt;Settings!$B$11),NA(),IF(COUNT(OFFSET(F1359,1-Settings!$B$11,0,Settings!$B$11,1))&lt;ROUNDUP(Settings!$B$11*Settings!$B$26,0),NA(),STDEV(OFFSET(F1359,1-Settings!$B$11,0,Settings!$B$11,1))*SQRT(Settings!$B$13)))</f>
        <v/>
      </c>
      <c r="I1359" s="20">
        <f>IF(OR(NOT(ISNUMBER($A1359)),ROW()-2&lt;Settings!$B$12),NA(),IF(COUNT(OFFSET(F1359,1-Settings!$B$12,0,Settings!$B$12,1))&lt;ROUNDUP(Settings!$B$12*Settings!$B$26,0),NA(),STDEV(OFFSET(F1359,1-Settings!$B$12,0,Settings!$B$12,1))*SQRT(Settings!$B$13)))</f>
        <v/>
      </c>
      <c r="J1359" s="20">
        <f>IF(OR(NOT(ISNUMBER($A1359)),ROW()-2&lt;Settings!$B$11),NA(),IF(COUNT(OFFSET(G1359,1-Settings!$B$11,0,Settings!$B$11,1))&lt;ROUNDUP(Settings!$B$11*Settings!$B$26,0),NA(),STDEV(OFFSET(G1359,1-Settings!$B$11,0,Settings!$B$11,1))*SQRT(Settings!$B$13)))</f>
        <v/>
      </c>
      <c r="K1359" s="20">
        <f>IF(OR(NOT(ISNUMBER($A1359)),ROW()-2&lt;Settings!$B$12),NA(),IF(COUNT(OFFSET(G1359,1-Settings!$B$12,0,Settings!$B$12,1))&lt;ROUNDUP(Settings!$B$12*Settings!$B$26,0),NA(),STDEV(OFFSET(G1359,1-Settings!$B$12,0,Settings!$B$12,1))*SQRT(Settings!$B$13)))</f>
        <v/>
      </c>
      <c r="L1359" s="20">
        <f>IF(AND(ISNUMBER(D1359),ISNUMBER(H1359)),D1359-H1359,NA())</f>
        <v/>
      </c>
      <c r="M1359" s="20">
        <f>IF(AND(ISNUMBER(E1359),ISNUMBER(K1359)),E1359-K1359,NA())</f>
        <v/>
      </c>
      <c r="N1359" s="20">
        <f>IF(NOT(ISNUMBER($A1359)),NA(),IF(COUNT(OFFSET(G1359,1,0,Settings!$B$12,1))&lt;ROUNDUP(Settings!$B$12*Settings!$B$26,0),NA(),STDEV(OFFSET(G1359,1,0,Settings!$B$12,1))*SQRT(Settings!$B$13)))</f>
        <v/>
      </c>
      <c r="O1359" s="20">
        <f>IF(AND(ISNUMBER(E1359),ISNUMBER(N1359)),E1359-N1359,NA())</f>
        <v/>
      </c>
      <c r="P1359" s="19">
        <f>IF(NOT(ISNUMBER($A1359)),NA(),IF(OR($A1359&lt;MIN(KW_TP!$A$2:$A$2501),$A1359&gt;MAX(KW_TP!$A$2:$A$2501)),NA(),INDEX(KW_TP!$C$2:$C$2501,MATCH($A1359,KW_TP!$A$2:$A$2501,1))))</f>
        <v/>
      </c>
      <c r="Q1359" s="18">
        <f>IF(NOT(ISNUMBER($A1359)),NA(),IFERROR(1*INDEX(BBG_Data!$J$2:$J$4000,MATCH($A1359,BBG_Data!$I$2:$I$4000,0)),NA()))</f>
        <v/>
      </c>
      <c r="R1359" s="18">
        <f>IF(NOT(ISNUMBER($A1359)),NA(),IFERROR(1*INDEX(BBG_Data!$L$2:$L$4000,MATCH($A1359,BBG_Data!$K$2:$K$4000,0)),NA()))</f>
        <v/>
      </c>
      <c r="S1359" s="20">
        <f>IF(AND(ISNUMBER(B1359),ISNUMBER(Q1359),ISNUMBER(R1359)),(B1359-Q1359-R1359)*100,NA())</f>
        <v/>
      </c>
      <c r="T1359" s="20">
        <f>IF(AND(ISNUMBER(B1359),Settings!$B$17&gt;0),IF(ISNUMBER(INDEX($B:$B,Settings!$B$17)),(B1359-INDEX($B:$B,Settings!$B$17))*100,NA()),NA())</f>
        <v/>
      </c>
      <c r="U1359" s="20">
        <f>IF(AND(ISNUMBER(Q1359),Settings!$B$17&gt;0),IF(ISNUMBER(INDEX($Q:$Q,Settings!$B$17)),(Q1359-INDEX($Q:$Q,Settings!$B$17))*100,NA()),NA())</f>
        <v/>
      </c>
      <c r="V1359" s="20">
        <f>IF(AND(ISNUMBER(R1359),Settings!$B$17&gt;0),IF(ISNUMBER(INDEX($R:$R,Settings!$B$17)),(R1359-INDEX($R:$R,Settings!$B$17))*100,NA()),NA())</f>
        <v/>
      </c>
      <c r="W1359" s="20">
        <f>IF(AND(ISNUMBER(P1359),Settings!$B$17&gt;0),IF(ISNUMBER(INDEX($P:$P,Settings!$B$17)),P1359-INDEX($P:$P,Settings!$B$17),NA()),NA())</f>
        <v/>
      </c>
      <c r="X1359" s="19">
        <f>IF(NOT(ISNUMBER($A1359)),NA(),IF(OR($A1359&lt;MIN(DKW_10Y!$A$2:$A$2918),$A1359&gt;MAX(DKW_10Y!$A$2:$A$2918),Settings!$B$16&lt;MIN(DKW_10Y!$A$2:$A$2918)),NA(),(INDEX(DKW_10Y!$B$2:$B$2918,MATCH($A1359,DKW_10Y!$A$2:$A$2918,1))-INDEX(DKW_10Y!$B$2:$B$2918,MATCH(Settings!$B$16,DKW_10Y!$A$2:$A$2918,1)))*100))</f>
        <v/>
      </c>
      <c r="Y1359" s="19">
        <f>IF(NOT(ISNUMBER($A1359)),NA(),IF(OR($A1359&lt;MIN(DKW_10Y!$A$2:$A$2918),$A1359&gt;MAX(DKW_10Y!$A$2:$A$2918),Settings!$B$16&lt;MIN(DKW_10Y!$A$2:$A$2918)),NA(),(INDEX(DKW_10Y!$C$2:$C$2918,MATCH($A1359,DKW_10Y!$A$2:$A$2918,1))-INDEX(DKW_10Y!$C$2:$C$2918,MATCH(Settings!$B$16,DKW_10Y!$A$2:$A$2918,1)))*100))</f>
        <v/>
      </c>
      <c r="Z1359" s="19">
        <f>IF(NOT(ISNUMBER($A1359)),NA(),IF(OR($A1359&lt;MIN(DKW_10Y!$A$2:$A$2918),$A1359&gt;MAX(DKW_10Y!$A$2:$A$2918),Settings!$B$16&lt;MIN(DKW_10Y!$A$2:$A$2918)),NA(),(INDEX(DKW_10Y!$D$2:$D$2918,MATCH($A1359,DKW_10Y!$A$2:$A$2918,1))-INDEX(DKW_10Y!$D$2:$D$2918,MATCH(Settings!$B$16,DKW_10Y!$A$2:$A$2918,1)))*100))</f>
        <v/>
      </c>
      <c r="AA1359" s="19">
        <f>IF(NOT(ISNUMBER($A1359)),NA(),IF(OR($A1359&lt;MIN(DKW_10Y!$A$2:$A$2918),$A1359&gt;MAX(DKW_10Y!$A$2:$A$2918),Settings!$B$16&lt;MIN(DKW_10Y!$A$2:$A$2918)),NA(),(INDEX(DKW_10Y!$E$2:$E$2918,MATCH($A1359,DKW_10Y!$A$2:$A$2918,1))-INDEX(DKW_10Y!$E$2:$E$2918,MATCH(Settings!$B$16,DKW_10Y!$A$2:$A$2918,1)))*100))</f>
        <v/>
      </c>
      <c r="AB1359" s="19">
        <f>IF(NOT(ISNUMBER($A1359)),NA(),IF(OR($A1359&lt;MIN(DKW_10Y!$A$2:$A$2918),$A1359&gt;MAX(DKW_10Y!$A$2:$A$2918),Settings!$B$16&lt;MIN(DKW_10Y!$A$2:$A$2918)),NA(),(INDEX(DKW_10Y!$H$2:$H$2918,MATCH($A1359,DKW_10Y!$A$2:$A$2918,1))-INDEX(DKW_10Y!$H$2:$H$2918,MATCH(Settings!$B$16,DKW_10Y!$A$2:$A$2918,1)))*100))</f>
        <v/>
      </c>
      <c r="AC1359" s="18">
        <f>IF(NOT(ISNUMBER($A1359)),NA(),IFERROR(1*INDEX(BBG_Data!$N$2:$N$4000,MATCH($A1359,BBG_Data!$M$2:$M$4000,0)),NA()))</f>
        <v/>
      </c>
      <c r="AD1359" s="18">
        <f>IF(NOT(ISNUMBER($A1359)),NA(),IFERROR(1*INDEX(BBG_Data!$P$2:$P$4000,MATCH($A1359,BBG_Data!$O$2:$O$4000,0)),NA()))</f>
        <v/>
      </c>
      <c r="AE1359" s="18">
        <f>IF(NOT(ISNUMBER($A1359)),NA(),IFERROR(1*INDEX(BBG_Data!$R$2:$R$4000,MATCH($A1359,BBG_Data!$Q$2:$Q$4000,0)),NA()))</f>
        <v/>
      </c>
      <c r="AF1359" s="20">
        <f>IF(AND(ISNUMBER(B1359),ISNUMBER(AC1359)),(B1359-AC1359)*100,NA())</f>
        <v/>
      </c>
      <c r="AG1359" s="20">
        <f>IF(AND(ISNUMBER(AE1359),ISNUMBER(AD1359)),(AE1359-AD1359)*100,NA())</f>
        <v/>
      </c>
      <c r="AH1359" s="19">
        <f>IF(NOT(ISNUMBER($A1359)),NA(),IFERROR(INDEX(BBG_Data!$T$2:$T$4000,MATCH($A1359,BBG_Data!$S$2:$S$4000,0))*Settings!$B$25,NA()))</f>
        <v/>
      </c>
      <c r="AI1359" s="19">
        <f>IF(NOT(ISNUMBER($A1359)),NA(),IFERROR(INDEX(BBG_Data!$V$2:$V$4000,MATCH($A1359,BBG_Data!$U$2:$U$4000,0))*Settings!$B$25,NA()))</f>
        <v/>
      </c>
      <c r="AJ1359" s="19">
        <f>IF(NOT(ISNUMBER($A1359)),NA(),IFERROR(1*INDEX(BBG_Data!$X$2:$X$4000,MATCH($A1359,BBG_Data!$W$2:$W$4000,0)),NA()))</f>
        <v/>
      </c>
      <c r="AK1359" s="19">
        <f>IF(NOT(ISNUMBER($A1359)),NA(),IFERROR(1*INDEX(BBG_Data!$Z$2:$Z$4000,MATCH($A1359,BBG_Data!$Y$2:$Y$4000,0)),NA()))</f>
        <v/>
      </c>
    </row>
    <row r="1360">
      <c r="A1360" s="17">
        <f>IF(ISNUMBER(BBG_Data!A1360),BBG_Data!A1360,"")</f>
        <v/>
      </c>
      <c r="B1360" s="18">
        <f>IF(AND(ISNUMBER($A1360),ISNUMBER(BBG_Data!B1360)),BBG_Data!B1360,NA())</f>
        <v/>
      </c>
      <c r="C1360" s="18">
        <f>IF(NOT(ISNUMBER($A1360)),NA(),IFERROR(1*INDEX(BBG_Data!$D$2:$D$4000,MATCH($A1360,BBG_Data!$C$2:$C$4000,0)),NA()))</f>
        <v/>
      </c>
      <c r="D1360" s="19">
        <f>IF(NOT(ISNUMBER($A1360)),NA(),IFERROR(1*INDEX(BBG_Data!$F$2:$F$4000,MATCH($A1360,BBG_Data!$E$2:$E$4000,0)),NA()))</f>
        <v/>
      </c>
      <c r="E1360" s="19">
        <f>IF(NOT(ISNUMBER($A1360)),NA(),IFERROR(1*INDEX(BBG_Data!$H$2:$H$4000,MATCH($A1360,BBG_Data!$G$2:$G$4000,0)),NA()))</f>
        <v/>
      </c>
      <c r="F1360" s="20">
        <f>IF(AND(ISNUMBER(B1360),ISNUMBER(B1359)),IF(B1360=B1359,"",(B1360-B1359)*100),"")</f>
        <v/>
      </c>
      <c r="G1360" s="20">
        <f>IF(AND(ISNUMBER(C1360),ISNUMBER(C1359)),IF(C1360=C1359,"",(C1360-C1359)*100),"")</f>
        <v/>
      </c>
      <c r="H1360" s="20">
        <f>IF(OR(NOT(ISNUMBER($A1360)),ROW()-2&lt;Settings!$B$11),NA(),IF(COUNT(OFFSET(F1360,1-Settings!$B$11,0,Settings!$B$11,1))&lt;ROUNDUP(Settings!$B$11*Settings!$B$26,0),NA(),STDEV(OFFSET(F1360,1-Settings!$B$11,0,Settings!$B$11,1))*SQRT(Settings!$B$13)))</f>
        <v/>
      </c>
      <c r="I1360" s="20">
        <f>IF(OR(NOT(ISNUMBER($A1360)),ROW()-2&lt;Settings!$B$12),NA(),IF(COUNT(OFFSET(F1360,1-Settings!$B$12,0,Settings!$B$12,1))&lt;ROUNDUP(Settings!$B$12*Settings!$B$26,0),NA(),STDEV(OFFSET(F1360,1-Settings!$B$12,0,Settings!$B$12,1))*SQRT(Settings!$B$13)))</f>
        <v/>
      </c>
      <c r="J1360" s="20">
        <f>IF(OR(NOT(ISNUMBER($A1360)),ROW()-2&lt;Settings!$B$11),NA(),IF(COUNT(OFFSET(G1360,1-Settings!$B$11,0,Settings!$B$11,1))&lt;ROUNDUP(Settings!$B$11*Settings!$B$26,0),NA(),STDEV(OFFSET(G1360,1-Settings!$B$11,0,Settings!$B$11,1))*SQRT(Settings!$B$13)))</f>
        <v/>
      </c>
      <c r="K1360" s="20">
        <f>IF(OR(NOT(ISNUMBER($A1360)),ROW()-2&lt;Settings!$B$12),NA(),IF(COUNT(OFFSET(G1360,1-Settings!$B$12,0,Settings!$B$12,1))&lt;ROUNDUP(Settings!$B$12*Settings!$B$26,0),NA(),STDEV(OFFSET(G1360,1-Settings!$B$12,0,Settings!$B$12,1))*SQRT(Settings!$B$13)))</f>
        <v/>
      </c>
      <c r="L1360" s="20">
        <f>IF(AND(ISNUMBER(D1360),ISNUMBER(H1360)),D1360-H1360,NA())</f>
        <v/>
      </c>
      <c r="M1360" s="20">
        <f>IF(AND(ISNUMBER(E1360),ISNUMBER(K1360)),E1360-K1360,NA())</f>
        <v/>
      </c>
      <c r="N1360" s="20">
        <f>IF(NOT(ISNUMBER($A1360)),NA(),IF(COUNT(OFFSET(G1360,1,0,Settings!$B$12,1))&lt;ROUNDUP(Settings!$B$12*Settings!$B$26,0),NA(),STDEV(OFFSET(G1360,1,0,Settings!$B$12,1))*SQRT(Settings!$B$13)))</f>
        <v/>
      </c>
      <c r="O1360" s="20">
        <f>IF(AND(ISNUMBER(E1360),ISNUMBER(N1360)),E1360-N1360,NA())</f>
        <v/>
      </c>
      <c r="P1360" s="19">
        <f>IF(NOT(ISNUMBER($A1360)),NA(),IF(OR($A1360&lt;MIN(KW_TP!$A$2:$A$2501),$A1360&gt;MAX(KW_TP!$A$2:$A$2501)),NA(),INDEX(KW_TP!$C$2:$C$2501,MATCH($A1360,KW_TP!$A$2:$A$2501,1))))</f>
        <v/>
      </c>
      <c r="Q1360" s="18">
        <f>IF(NOT(ISNUMBER($A1360)),NA(),IFERROR(1*INDEX(BBG_Data!$J$2:$J$4000,MATCH($A1360,BBG_Data!$I$2:$I$4000,0)),NA()))</f>
        <v/>
      </c>
      <c r="R1360" s="18">
        <f>IF(NOT(ISNUMBER($A1360)),NA(),IFERROR(1*INDEX(BBG_Data!$L$2:$L$4000,MATCH($A1360,BBG_Data!$K$2:$K$4000,0)),NA()))</f>
        <v/>
      </c>
      <c r="S1360" s="20">
        <f>IF(AND(ISNUMBER(B1360),ISNUMBER(Q1360),ISNUMBER(R1360)),(B1360-Q1360-R1360)*100,NA())</f>
        <v/>
      </c>
      <c r="T1360" s="20">
        <f>IF(AND(ISNUMBER(B1360),Settings!$B$17&gt;0),IF(ISNUMBER(INDEX($B:$B,Settings!$B$17)),(B1360-INDEX($B:$B,Settings!$B$17))*100,NA()),NA())</f>
        <v/>
      </c>
      <c r="U1360" s="20">
        <f>IF(AND(ISNUMBER(Q1360),Settings!$B$17&gt;0),IF(ISNUMBER(INDEX($Q:$Q,Settings!$B$17)),(Q1360-INDEX($Q:$Q,Settings!$B$17))*100,NA()),NA())</f>
        <v/>
      </c>
      <c r="V1360" s="20">
        <f>IF(AND(ISNUMBER(R1360),Settings!$B$17&gt;0),IF(ISNUMBER(INDEX($R:$R,Settings!$B$17)),(R1360-INDEX($R:$R,Settings!$B$17))*100,NA()),NA())</f>
        <v/>
      </c>
      <c r="W1360" s="20">
        <f>IF(AND(ISNUMBER(P1360),Settings!$B$17&gt;0),IF(ISNUMBER(INDEX($P:$P,Settings!$B$17)),P1360-INDEX($P:$P,Settings!$B$17),NA()),NA())</f>
        <v/>
      </c>
      <c r="X1360" s="19">
        <f>IF(NOT(ISNUMBER($A1360)),NA(),IF(OR($A1360&lt;MIN(DKW_10Y!$A$2:$A$2918),$A1360&gt;MAX(DKW_10Y!$A$2:$A$2918),Settings!$B$16&lt;MIN(DKW_10Y!$A$2:$A$2918)),NA(),(INDEX(DKW_10Y!$B$2:$B$2918,MATCH($A1360,DKW_10Y!$A$2:$A$2918,1))-INDEX(DKW_10Y!$B$2:$B$2918,MATCH(Settings!$B$16,DKW_10Y!$A$2:$A$2918,1)))*100))</f>
        <v/>
      </c>
      <c r="Y1360" s="19">
        <f>IF(NOT(ISNUMBER($A1360)),NA(),IF(OR($A1360&lt;MIN(DKW_10Y!$A$2:$A$2918),$A1360&gt;MAX(DKW_10Y!$A$2:$A$2918),Settings!$B$16&lt;MIN(DKW_10Y!$A$2:$A$2918)),NA(),(INDEX(DKW_10Y!$C$2:$C$2918,MATCH($A1360,DKW_10Y!$A$2:$A$2918,1))-INDEX(DKW_10Y!$C$2:$C$2918,MATCH(Settings!$B$16,DKW_10Y!$A$2:$A$2918,1)))*100))</f>
        <v/>
      </c>
      <c r="Z1360" s="19">
        <f>IF(NOT(ISNUMBER($A1360)),NA(),IF(OR($A1360&lt;MIN(DKW_10Y!$A$2:$A$2918),$A1360&gt;MAX(DKW_10Y!$A$2:$A$2918),Settings!$B$16&lt;MIN(DKW_10Y!$A$2:$A$2918)),NA(),(INDEX(DKW_10Y!$D$2:$D$2918,MATCH($A1360,DKW_10Y!$A$2:$A$2918,1))-INDEX(DKW_10Y!$D$2:$D$2918,MATCH(Settings!$B$16,DKW_10Y!$A$2:$A$2918,1)))*100))</f>
        <v/>
      </c>
      <c r="AA1360" s="19">
        <f>IF(NOT(ISNUMBER($A1360)),NA(),IF(OR($A1360&lt;MIN(DKW_10Y!$A$2:$A$2918),$A1360&gt;MAX(DKW_10Y!$A$2:$A$2918),Settings!$B$16&lt;MIN(DKW_10Y!$A$2:$A$2918)),NA(),(INDEX(DKW_10Y!$E$2:$E$2918,MATCH($A1360,DKW_10Y!$A$2:$A$2918,1))-INDEX(DKW_10Y!$E$2:$E$2918,MATCH(Settings!$B$16,DKW_10Y!$A$2:$A$2918,1)))*100))</f>
        <v/>
      </c>
      <c r="AB1360" s="19">
        <f>IF(NOT(ISNUMBER($A1360)),NA(),IF(OR($A1360&lt;MIN(DKW_10Y!$A$2:$A$2918),$A1360&gt;MAX(DKW_10Y!$A$2:$A$2918),Settings!$B$16&lt;MIN(DKW_10Y!$A$2:$A$2918)),NA(),(INDEX(DKW_10Y!$H$2:$H$2918,MATCH($A1360,DKW_10Y!$A$2:$A$2918,1))-INDEX(DKW_10Y!$H$2:$H$2918,MATCH(Settings!$B$16,DKW_10Y!$A$2:$A$2918,1)))*100))</f>
        <v/>
      </c>
      <c r="AC1360" s="18">
        <f>IF(NOT(ISNUMBER($A1360)),NA(),IFERROR(1*INDEX(BBG_Data!$N$2:$N$4000,MATCH($A1360,BBG_Data!$M$2:$M$4000,0)),NA()))</f>
        <v/>
      </c>
      <c r="AD1360" s="18">
        <f>IF(NOT(ISNUMBER($A1360)),NA(),IFERROR(1*INDEX(BBG_Data!$P$2:$P$4000,MATCH($A1360,BBG_Data!$O$2:$O$4000,0)),NA()))</f>
        <v/>
      </c>
      <c r="AE1360" s="18">
        <f>IF(NOT(ISNUMBER($A1360)),NA(),IFERROR(1*INDEX(BBG_Data!$R$2:$R$4000,MATCH($A1360,BBG_Data!$Q$2:$Q$4000,0)),NA()))</f>
        <v/>
      </c>
      <c r="AF1360" s="20">
        <f>IF(AND(ISNUMBER(B1360),ISNUMBER(AC1360)),(B1360-AC1360)*100,NA())</f>
        <v/>
      </c>
      <c r="AG1360" s="20">
        <f>IF(AND(ISNUMBER(AE1360),ISNUMBER(AD1360)),(AE1360-AD1360)*100,NA())</f>
        <v/>
      </c>
      <c r="AH1360" s="19">
        <f>IF(NOT(ISNUMBER($A1360)),NA(),IFERROR(INDEX(BBG_Data!$T$2:$T$4000,MATCH($A1360,BBG_Data!$S$2:$S$4000,0))*Settings!$B$25,NA()))</f>
        <v/>
      </c>
      <c r="AI1360" s="19">
        <f>IF(NOT(ISNUMBER($A1360)),NA(),IFERROR(INDEX(BBG_Data!$V$2:$V$4000,MATCH($A1360,BBG_Data!$U$2:$U$4000,0))*Settings!$B$25,NA()))</f>
        <v/>
      </c>
      <c r="AJ1360" s="19">
        <f>IF(NOT(ISNUMBER($A1360)),NA(),IFERROR(1*INDEX(BBG_Data!$X$2:$X$4000,MATCH($A1360,BBG_Data!$W$2:$W$4000,0)),NA()))</f>
        <v/>
      </c>
      <c r="AK1360" s="19">
        <f>IF(NOT(ISNUMBER($A1360)),NA(),IFERROR(1*INDEX(BBG_Data!$Z$2:$Z$4000,MATCH($A1360,BBG_Data!$Y$2:$Y$4000,0)),NA()))</f>
        <v/>
      </c>
    </row>
    <row r="1361">
      <c r="A1361" s="17">
        <f>IF(ISNUMBER(BBG_Data!A1361),BBG_Data!A1361,"")</f>
        <v/>
      </c>
      <c r="B1361" s="18">
        <f>IF(AND(ISNUMBER($A1361),ISNUMBER(BBG_Data!B1361)),BBG_Data!B1361,NA())</f>
        <v/>
      </c>
      <c r="C1361" s="18">
        <f>IF(NOT(ISNUMBER($A1361)),NA(),IFERROR(1*INDEX(BBG_Data!$D$2:$D$4000,MATCH($A1361,BBG_Data!$C$2:$C$4000,0)),NA()))</f>
        <v/>
      </c>
      <c r="D1361" s="19">
        <f>IF(NOT(ISNUMBER($A1361)),NA(),IFERROR(1*INDEX(BBG_Data!$F$2:$F$4000,MATCH($A1361,BBG_Data!$E$2:$E$4000,0)),NA()))</f>
        <v/>
      </c>
      <c r="E1361" s="19">
        <f>IF(NOT(ISNUMBER($A1361)),NA(),IFERROR(1*INDEX(BBG_Data!$H$2:$H$4000,MATCH($A1361,BBG_Data!$G$2:$G$4000,0)),NA()))</f>
        <v/>
      </c>
      <c r="F1361" s="20">
        <f>IF(AND(ISNUMBER(B1361),ISNUMBER(B1360)),IF(B1361=B1360,"",(B1361-B1360)*100),"")</f>
        <v/>
      </c>
      <c r="G1361" s="20">
        <f>IF(AND(ISNUMBER(C1361),ISNUMBER(C1360)),IF(C1361=C1360,"",(C1361-C1360)*100),"")</f>
        <v/>
      </c>
      <c r="H1361" s="20">
        <f>IF(OR(NOT(ISNUMBER($A1361)),ROW()-2&lt;Settings!$B$11),NA(),IF(COUNT(OFFSET(F1361,1-Settings!$B$11,0,Settings!$B$11,1))&lt;ROUNDUP(Settings!$B$11*Settings!$B$26,0),NA(),STDEV(OFFSET(F1361,1-Settings!$B$11,0,Settings!$B$11,1))*SQRT(Settings!$B$13)))</f>
        <v/>
      </c>
      <c r="I1361" s="20">
        <f>IF(OR(NOT(ISNUMBER($A1361)),ROW()-2&lt;Settings!$B$12),NA(),IF(COUNT(OFFSET(F1361,1-Settings!$B$12,0,Settings!$B$12,1))&lt;ROUNDUP(Settings!$B$12*Settings!$B$26,0),NA(),STDEV(OFFSET(F1361,1-Settings!$B$12,0,Settings!$B$12,1))*SQRT(Settings!$B$13)))</f>
        <v/>
      </c>
      <c r="J1361" s="20">
        <f>IF(OR(NOT(ISNUMBER($A1361)),ROW()-2&lt;Settings!$B$11),NA(),IF(COUNT(OFFSET(G1361,1-Settings!$B$11,0,Settings!$B$11,1))&lt;ROUNDUP(Settings!$B$11*Settings!$B$26,0),NA(),STDEV(OFFSET(G1361,1-Settings!$B$11,0,Settings!$B$11,1))*SQRT(Settings!$B$13)))</f>
        <v/>
      </c>
      <c r="K1361" s="20">
        <f>IF(OR(NOT(ISNUMBER($A1361)),ROW()-2&lt;Settings!$B$12),NA(),IF(COUNT(OFFSET(G1361,1-Settings!$B$12,0,Settings!$B$12,1))&lt;ROUNDUP(Settings!$B$12*Settings!$B$26,0),NA(),STDEV(OFFSET(G1361,1-Settings!$B$12,0,Settings!$B$12,1))*SQRT(Settings!$B$13)))</f>
        <v/>
      </c>
      <c r="L1361" s="20">
        <f>IF(AND(ISNUMBER(D1361),ISNUMBER(H1361)),D1361-H1361,NA())</f>
        <v/>
      </c>
      <c r="M1361" s="20">
        <f>IF(AND(ISNUMBER(E1361),ISNUMBER(K1361)),E1361-K1361,NA())</f>
        <v/>
      </c>
      <c r="N1361" s="20">
        <f>IF(NOT(ISNUMBER($A1361)),NA(),IF(COUNT(OFFSET(G1361,1,0,Settings!$B$12,1))&lt;ROUNDUP(Settings!$B$12*Settings!$B$26,0),NA(),STDEV(OFFSET(G1361,1,0,Settings!$B$12,1))*SQRT(Settings!$B$13)))</f>
        <v/>
      </c>
      <c r="O1361" s="20">
        <f>IF(AND(ISNUMBER(E1361),ISNUMBER(N1361)),E1361-N1361,NA())</f>
        <v/>
      </c>
      <c r="P1361" s="19">
        <f>IF(NOT(ISNUMBER($A1361)),NA(),IF(OR($A1361&lt;MIN(KW_TP!$A$2:$A$2501),$A1361&gt;MAX(KW_TP!$A$2:$A$2501)),NA(),INDEX(KW_TP!$C$2:$C$2501,MATCH($A1361,KW_TP!$A$2:$A$2501,1))))</f>
        <v/>
      </c>
      <c r="Q1361" s="18">
        <f>IF(NOT(ISNUMBER($A1361)),NA(),IFERROR(1*INDEX(BBG_Data!$J$2:$J$4000,MATCH($A1361,BBG_Data!$I$2:$I$4000,0)),NA()))</f>
        <v/>
      </c>
      <c r="R1361" s="18">
        <f>IF(NOT(ISNUMBER($A1361)),NA(),IFERROR(1*INDEX(BBG_Data!$L$2:$L$4000,MATCH($A1361,BBG_Data!$K$2:$K$4000,0)),NA()))</f>
        <v/>
      </c>
      <c r="S1361" s="20">
        <f>IF(AND(ISNUMBER(B1361),ISNUMBER(Q1361),ISNUMBER(R1361)),(B1361-Q1361-R1361)*100,NA())</f>
        <v/>
      </c>
      <c r="T1361" s="20">
        <f>IF(AND(ISNUMBER(B1361),Settings!$B$17&gt;0),IF(ISNUMBER(INDEX($B:$B,Settings!$B$17)),(B1361-INDEX($B:$B,Settings!$B$17))*100,NA()),NA())</f>
        <v/>
      </c>
      <c r="U1361" s="20">
        <f>IF(AND(ISNUMBER(Q1361),Settings!$B$17&gt;0),IF(ISNUMBER(INDEX($Q:$Q,Settings!$B$17)),(Q1361-INDEX($Q:$Q,Settings!$B$17))*100,NA()),NA())</f>
        <v/>
      </c>
      <c r="V1361" s="20">
        <f>IF(AND(ISNUMBER(R1361),Settings!$B$17&gt;0),IF(ISNUMBER(INDEX($R:$R,Settings!$B$17)),(R1361-INDEX($R:$R,Settings!$B$17))*100,NA()),NA())</f>
        <v/>
      </c>
      <c r="W1361" s="20">
        <f>IF(AND(ISNUMBER(P1361),Settings!$B$17&gt;0),IF(ISNUMBER(INDEX($P:$P,Settings!$B$17)),P1361-INDEX($P:$P,Settings!$B$17),NA()),NA())</f>
        <v/>
      </c>
      <c r="X1361" s="19">
        <f>IF(NOT(ISNUMBER($A1361)),NA(),IF(OR($A1361&lt;MIN(DKW_10Y!$A$2:$A$2918),$A1361&gt;MAX(DKW_10Y!$A$2:$A$2918),Settings!$B$16&lt;MIN(DKW_10Y!$A$2:$A$2918)),NA(),(INDEX(DKW_10Y!$B$2:$B$2918,MATCH($A1361,DKW_10Y!$A$2:$A$2918,1))-INDEX(DKW_10Y!$B$2:$B$2918,MATCH(Settings!$B$16,DKW_10Y!$A$2:$A$2918,1)))*100))</f>
        <v/>
      </c>
      <c r="Y1361" s="19">
        <f>IF(NOT(ISNUMBER($A1361)),NA(),IF(OR($A1361&lt;MIN(DKW_10Y!$A$2:$A$2918),$A1361&gt;MAX(DKW_10Y!$A$2:$A$2918),Settings!$B$16&lt;MIN(DKW_10Y!$A$2:$A$2918)),NA(),(INDEX(DKW_10Y!$C$2:$C$2918,MATCH($A1361,DKW_10Y!$A$2:$A$2918,1))-INDEX(DKW_10Y!$C$2:$C$2918,MATCH(Settings!$B$16,DKW_10Y!$A$2:$A$2918,1)))*100))</f>
        <v/>
      </c>
      <c r="Z1361" s="19">
        <f>IF(NOT(ISNUMBER($A1361)),NA(),IF(OR($A1361&lt;MIN(DKW_10Y!$A$2:$A$2918),$A1361&gt;MAX(DKW_10Y!$A$2:$A$2918),Settings!$B$16&lt;MIN(DKW_10Y!$A$2:$A$2918)),NA(),(INDEX(DKW_10Y!$D$2:$D$2918,MATCH($A1361,DKW_10Y!$A$2:$A$2918,1))-INDEX(DKW_10Y!$D$2:$D$2918,MATCH(Settings!$B$16,DKW_10Y!$A$2:$A$2918,1)))*100))</f>
        <v/>
      </c>
      <c r="AA1361" s="19">
        <f>IF(NOT(ISNUMBER($A1361)),NA(),IF(OR($A1361&lt;MIN(DKW_10Y!$A$2:$A$2918),$A1361&gt;MAX(DKW_10Y!$A$2:$A$2918),Settings!$B$16&lt;MIN(DKW_10Y!$A$2:$A$2918)),NA(),(INDEX(DKW_10Y!$E$2:$E$2918,MATCH($A1361,DKW_10Y!$A$2:$A$2918,1))-INDEX(DKW_10Y!$E$2:$E$2918,MATCH(Settings!$B$16,DKW_10Y!$A$2:$A$2918,1)))*100))</f>
        <v/>
      </c>
      <c r="AB1361" s="19">
        <f>IF(NOT(ISNUMBER($A1361)),NA(),IF(OR($A1361&lt;MIN(DKW_10Y!$A$2:$A$2918),$A1361&gt;MAX(DKW_10Y!$A$2:$A$2918),Settings!$B$16&lt;MIN(DKW_10Y!$A$2:$A$2918)),NA(),(INDEX(DKW_10Y!$H$2:$H$2918,MATCH($A1361,DKW_10Y!$A$2:$A$2918,1))-INDEX(DKW_10Y!$H$2:$H$2918,MATCH(Settings!$B$16,DKW_10Y!$A$2:$A$2918,1)))*100))</f>
        <v/>
      </c>
      <c r="AC1361" s="18">
        <f>IF(NOT(ISNUMBER($A1361)),NA(),IFERROR(1*INDEX(BBG_Data!$N$2:$N$4000,MATCH($A1361,BBG_Data!$M$2:$M$4000,0)),NA()))</f>
        <v/>
      </c>
      <c r="AD1361" s="18">
        <f>IF(NOT(ISNUMBER($A1361)),NA(),IFERROR(1*INDEX(BBG_Data!$P$2:$P$4000,MATCH($A1361,BBG_Data!$O$2:$O$4000,0)),NA()))</f>
        <v/>
      </c>
      <c r="AE1361" s="18">
        <f>IF(NOT(ISNUMBER($A1361)),NA(),IFERROR(1*INDEX(BBG_Data!$R$2:$R$4000,MATCH($A1361,BBG_Data!$Q$2:$Q$4000,0)),NA()))</f>
        <v/>
      </c>
      <c r="AF1361" s="20">
        <f>IF(AND(ISNUMBER(B1361),ISNUMBER(AC1361)),(B1361-AC1361)*100,NA())</f>
        <v/>
      </c>
      <c r="AG1361" s="20">
        <f>IF(AND(ISNUMBER(AE1361),ISNUMBER(AD1361)),(AE1361-AD1361)*100,NA())</f>
        <v/>
      </c>
      <c r="AH1361" s="19">
        <f>IF(NOT(ISNUMBER($A1361)),NA(),IFERROR(INDEX(BBG_Data!$T$2:$T$4000,MATCH($A1361,BBG_Data!$S$2:$S$4000,0))*Settings!$B$25,NA()))</f>
        <v/>
      </c>
      <c r="AI1361" s="19">
        <f>IF(NOT(ISNUMBER($A1361)),NA(),IFERROR(INDEX(BBG_Data!$V$2:$V$4000,MATCH($A1361,BBG_Data!$U$2:$U$4000,0))*Settings!$B$25,NA()))</f>
        <v/>
      </c>
      <c r="AJ1361" s="19">
        <f>IF(NOT(ISNUMBER($A1361)),NA(),IFERROR(1*INDEX(BBG_Data!$X$2:$X$4000,MATCH($A1361,BBG_Data!$W$2:$W$4000,0)),NA()))</f>
        <v/>
      </c>
      <c r="AK1361" s="19">
        <f>IF(NOT(ISNUMBER($A1361)),NA(),IFERROR(1*INDEX(BBG_Data!$Z$2:$Z$4000,MATCH($A1361,BBG_Data!$Y$2:$Y$4000,0)),NA()))</f>
        <v/>
      </c>
    </row>
    <row r="1362">
      <c r="A1362" s="17">
        <f>IF(ISNUMBER(BBG_Data!A1362),BBG_Data!A1362,"")</f>
        <v/>
      </c>
      <c r="B1362" s="18">
        <f>IF(AND(ISNUMBER($A1362),ISNUMBER(BBG_Data!B1362)),BBG_Data!B1362,NA())</f>
        <v/>
      </c>
      <c r="C1362" s="18">
        <f>IF(NOT(ISNUMBER($A1362)),NA(),IFERROR(1*INDEX(BBG_Data!$D$2:$D$4000,MATCH($A1362,BBG_Data!$C$2:$C$4000,0)),NA()))</f>
        <v/>
      </c>
      <c r="D1362" s="19">
        <f>IF(NOT(ISNUMBER($A1362)),NA(),IFERROR(1*INDEX(BBG_Data!$F$2:$F$4000,MATCH($A1362,BBG_Data!$E$2:$E$4000,0)),NA()))</f>
        <v/>
      </c>
      <c r="E1362" s="19">
        <f>IF(NOT(ISNUMBER($A1362)),NA(),IFERROR(1*INDEX(BBG_Data!$H$2:$H$4000,MATCH($A1362,BBG_Data!$G$2:$G$4000,0)),NA()))</f>
        <v/>
      </c>
      <c r="F1362" s="20">
        <f>IF(AND(ISNUMBER(B1362),ISNUMBER(B1361)),IF(B1362=B1361,"",(B1362-B1361)*100),"")</f>
        <v/>
      </c>
      <c r="G1362" s="20">
        <f>IF(AND(ISNUMBER(C1362),ISNUMBER(C1361)),IF(C1362=C1361,"",(C1362-C1361)*100),"")</f>
        <v/>
      </c>
      <c r="H1362" s="20">
        <f>IF(OR(NOT(ISNUMBER($A1362)),ROW()-2&lt;Settings!$B$11),NA(),IF(COUNT(OFFSET(F1362,1-Settings!$B$11,0,Settings!$B$11,1))&lt;ROUNDUP(Settings!$B$11*Settings!$B$26,0),NA(),STDEV(OFFSET(F1362,1-Settings!$B$11,0,Settings!$B$11,1))*SQRT(Settings!$B$13)))</f>
        <v/>
      </c>
      <c r="I1362" s="20">
        <f>IF(OR(NOT(ISNUMBER($A1362)),ROW()-2&lt;Settings!$B$12),NA(),IF(COUNT(OFFSET(F1362,1-Settings!$B$12,0,Settings!$B$12,1))&lt;ROUNDUP(Settings!$B$12*Settings!$B$26,0),NA(),STDEV(OFFSET(F1362,1-Settings!$B$12,0,Settings!$B$12,1))*SQRT(Settings!$B$13)))</f>
        <v/>
      </c>
      <c r="J1362" s="20">
        <f>IF(OR(NOT(ISNUMBER($A1362)),ROW()-2&lt;Settings!$B$11),NA(),IF(COUNT(OFFSET(G1362,1-Settings!$B$11,0,Settings!$B$11,1))&lt;ROUNDUP(Settings!$B$11*Settings!$B$26,0),NA(),STDEV(OFFSET(G1362,1-Settings!$B$11,0,Settings!$B$11,1))*SQRT(Settings!$B$13)))</f>
        <v/>
      </c>
      <c r="K1362" s="20">
        <f>IF(OR(NOT(ISNUMBER($A1362)),ROW()-2&lt;Settings!$B$12),NA(),IF(COUNT(OFFSET(G1362,1-Settings!$B$12,0,Settings!$B$12,1))&lt;ROUNDUP(Settings!$B$12*Settings!$B$26,0),NA(),STDEV(OFFSET(G1362,1-Settings!$B$12,0,Settings!$B$12,1))*SQRT(Settings!$B$13)))</f>
        <v/>
      </c>
      <c r="L1362" s="20">
        <f>IF(AND(ISNUMBER(D1362),ISNUMBER(H1362)),D1362-H1362,NA())</f>
        <v/>
      </c>
      <c r="M1362" s="20">
        <f>IF(AND(ISNUMBER(E1362),ISNUMBER(K1362)),E1362-K1362,NA())</f>
        <v/>
      </c>
      <c r="N1362" s="20">
        <f>IF(NOT(ISNUMBER($A1362)),NA(),IF(COUNT(OFFSET(G1362,1,0,Settings!$B$12,1))&lt;ROUNDUP(Settings!$B$12*Settings!$B$26,0),NA(),STDEV(OFFSET(G1362,1,0,Settings!$B$12,1))*SQRT(Settings!$B$13)))</f>
        <v/>
      </c>
      <c r="O1362" s="20">
        <f>IF(AND(ISNUMBER(E1362),ISNUMBER(N1362)),E1362-N1362,NA())</f>
        <v/>
      </c>
      <c r="P1362" s="19">
        <f>IF(NOT(ISNUMBER($A1362)),NA(),IF(OR($A1362&lt;MIN(KW_TP!$A$2:$A$2501),$A1362&gt;MAX(KW_TP!$A$2:$A$2501)),NA(),INDEX(KW_TP!$C$2:$C$2501,MATCH($A1362,KW_TP!$A$2:$A$2501,1))))</f>
        <v/>
      </c>
      <c r="Q1362" s="18">
        <f>IF(NOT(ISNUMBER($A1362)),NA(),IFERROR(1*INDEX(BBG_Data!$J$2:$J$4000,MATCH($A1362,BBG_Data!$I$2:$I$4000,0)),NA()))</f>
        <v/>
      </c>
      <c r="R1362" s="18">
        <f>IF(NOT(ISNUMBER($A1362)),NA(),IFERROR(1*INDEX(BBG_Data!$L$2:$L$4000,MATCH($A1362,BBG_Data!$K$2:$K$4000,0)),NA()))</f>
        <v/>
      </c>
      <c r="S1362" s="20">
        <f>IF(AND(ISNUMBER(B1362),ISNUMBER(Q1362),ISNUMBER(R1362)),(B1362-Q1362-R1362)*100,NA())</f>
        <v/>
      </c>
      <c r="T1362" s="20">
        <f>IF(AND(ISNUMBER(B1362),Settings!$B$17&gt;0),IF(ISNUMBER(INDEX($B:$B,Settings!$B$17)),(B1362-INDEX($B:$B,Settings!$B$17))*100,NA()),NA())</f>
        <v/>
      </c>
      <c r="U1362" s="20">
        <f>IF(AND(ISNUMBER(Q1362),Settings!$B$17&gt;0),IF(ISNUMBER(INDEX($Q:$Q,Settings!$B$17)),(Q1362-INDEX($Q:$Q,Settings!$B$17))*100,NA()),NA())</f>
        <v/>
      </c>
      <c r="V1362" s="20">
        <f>IF(AND(ISNUMBER(R1362),Settings!$B$17&gt;0),IF(ISNUMBER(INDEX($R:$R,Settings!$B$17)),(R1362-INDEX($R:$R,Settings!$B$17))*100,NA()),NA())</f>
        <v/>
      </c>
      <c r="W1362" s="20">
        <f>IF(AND(ISNUMBER(P1362),Settings!$B$17&gt;0),IF(ISNUMBER(INDEX($P:$P,Settings!$B$17)),P1362-INDEX($P:$P,Settings!$B$17),NA()),NA())</f>
        <v/>
      </c>
      <c r="X1362" s="19">
        <f>IF(NOT(ISNUMBER($A1362)),NA(),IF(OR($A1362&lt;MIN(DKW_10Y!$A$2:$A$2918),$A1362&gt;MAX(DKW_10Y!$A$2:$A$2918),Settings!$B$16&lt;MIN(DKW_10Y!$A$2:$A$2918)),NA(),(INDEX(DKW_10Y!$B$2:$B$2918,MATCH($A1362,DKW_10Y!$A$2:$A$2918,1))-INDEX(DKW_10Y!$B$2:$B$2918,MATCH(Settings!$B$16,DKW_10Y!$A$2:$A$2918,1)))*100))</f>
        <v/>
      </c>
      <c r="Y1362" s="19">
        <f>IF(NOT(ISNUMBER($A1362)),NA(),IF(OR($A1362&lt;MIN(DKW_10Y!$A$2:$A$2918),$A1362&gt;MAX(DKW_10Y!$A$2:$A$2918),Settings!$B$16&lt;MIN(DKW_10Y!$A$2:$A$2918)),NA(),(INDEX(DKW_10Y!$C$2:$C$2918,MATCH($A1362,DKW_10Y!$A$2:$A$2918,1))-INDEX(DKW_10Y!$C$2:$C$2918,MATCH(Settings!$B$16,DKW_10Y!$A$2:$A$2918,1)))*100))</f>
        <v/>
      </c>
      <c r="Z1362" s="19">
        <f>IF(NOT(ISNUMBER($A1362)),NA(),IF(OR($A1362&lt;MIN(DKW_10Y!$A$2:$A$2918),$A1362&gt;MAX(DKW_10Y!$A$2:$A$2918),Settings!$B$16&lt;MIN(DKW_10Y!$A$2:$A$2918)),NA(),(INDEX(DKW_10Y!$D$2:$D$2918,MATCH($A1362,DKW_10Y!$A$2:$A$2918,1))-INDEX(DKW_10Y!$D$2:$D$2918,MATCH(Settings!$B$16,DKW_10Y!$A$2:$A$2918,1)))*100))</f>
        <v/>
      </c>
      <c r="AA1362" s="19">
        <f>IF(NOT(ISNUMBER($A1362)),NA(),IF(OR($A1362&lt;MIN(DKW_10Y!$A$2:$A$2918),$A1362&gt;MAX(DKW_10Y!$A$2:$A$2918),Settings!$B$16&lt;MIN(DKW_10Y!$A$2:$A$2918)),NA(),(INDEX(DKW_10Y!$E$2:$E$2918,MATCH($A1362,DKW_10Y!$A$2:$A$2918,1))-INDEX(DKW_10Y!$E$2:$E$2918,MATCH(Settings!$B$16,DKW_10Y!$A$2:$A$2918,1)))*100))</f>
        <v/>
      </c>
      <c r="AB1362" s="19">
        <f>IF(NOT(ISNUMBER($A1362)),NA(),IF(OR($A1362&lt;MIN(DKW_10Y!$A$2:$A$2918),$A1362&gt;MAX(DKW_10Y!$A$2:$A$2918),Settings!$B$16&lt;MIN(DKW_10Y!$A$2:$A$2918)),NA(),(INDEX(DKW_10Y!$H$2:$H$2918,MATCH($A1362,DKW_10Y!$A$2:$A$2918,1))-INDEX(DKW_10Y!$H$2:$H$2918,MATCH(Settings!$B$16,DKW_10Y!$A$2:$A$2918,1)))*100))</f>
        <v/>
      </c>
      <c r="AC1362" s="18">
        <f>IF(NOT(ISNUMBER($A1362)),NA(),IFERROR(1*INDEX(BBG_Data!$N$2:$N$4000,MATCH($A1362,BBG_Data!$M$2:$M$4000,0)),NA()))</f>
        <v/>
      </c>
      <c r="AD1362" s="18">
        <f>IF(NOT(ISNUMBER($A1362)),NA(),IFERROR(1*INDEX(BBG_Data!$P$2:$P$4000,MATCH($A1362,BBG_Data!$O$2:$O$4000,0)),NA()))</f>
        <v/>
      </c>
      <c r="AE1362" s="18">
        <f>IF(NOT(ISNUMBER($A1362)),NA(),IFERROR(1*INDEX(BBG_Data!$R$2:$R$4000,MATCH($A1362,BBG_Data!$Q$2:$Q$4000,0)),NA()))</f>
        <v/>
      </c>
      <c r="AF1362" s="20">
        <f>IF(AND(ISNUMBER(B1362),ISNUMBER(AC1362)),(B1362-AC1362)*100,NA())</f>
        <v/>
      </c>
      <c r="AG1362" s="20">
        <f>IF(AND(ISNUMBER(AE1362),ISNUMBER(AD1362)),(AE1362-AD1362)*100,NA())</f>
        <v/>
      </c>
      <c r="AH1362" s="19">
        <f>IF(NOT(ISNUMBER($A1362)),NA(),IFERROR(INDEX(BBG_Data!$T$2:$T$4000,MATCH($A1362,BBG_Data!$S$2:$S$4000,0))*Settings!$B$25,NA()))</f>
        <v/>
      </c>
      <c r="AI1362" s="19">
        <f>IF(NOT(ISNUMBER($A1362)),NA(),IFERROR(INDEX(BBG_Data!$V$2:$V$4000,MATCH($A1362,BBG_Data!$U$2:$U$4000,0))*Settings!$B$25,NA()))</f>
        <v/>
      </c>
      <c r="AJ1362" s="19">
        <f>IF(NOT(ISNUMBER($A1362)),NA(),IFERROR(1*INDEX(BBG_Data!$X$2:$X$4000,MATCH($A1362,BBG_Data!$W$2:$W$4000,0)),NA()))</f>
        <v/>
      </c>
      <c r="AK1362" s="19">
        <f>IF(NOT(ISNUMBER($A1362)),NA(),IFERROR(1*INDEX(BBG_Data!$Z$2:$Z$4000,MATCH($A1362,BBG_Data!$Y$2:$Y$4000,0)),NA()))</f>
        <v/>
      </c>
    </row>
    <row r="1363">
      <c r="A1363" s="17">
        <f>IF(ISNUMBER(BBG_Data!A1363),BBG_Data!A1363,"")</f>
        <v/>
      </c>
      <c r="B1363" s="18">
        <f>IF(AND(ISNUMBER($A1363),ISNUMBER(BBG_Data!B1363)),BBG_Data!B1363,NA())</f>
        <v/>
      </c>
      <c r="C1363" s="18">
        <f>IF(NOT(ISNUMBER($A1363)),NA(),IFERROR(1*INDEX(BBG_Data!$D$2:$D$4000,MATCH($A1363,BBG_Data!$C$2:$C$4000,0)),NA()))</f>
        <v/>
      </c>
      <c r="D1363" s="19">
        <f>IF(NOT(ISNUMBER($A1363)),NA(),IFERROR(1*INDEX(BBG_Data!$F$2:$F$4000,MATCH($A1363,BBG_Data!$E$2:$E$4000,0)),NA()))</f>
        <v/>
      </c>
      <c r="E1363" s="19">
        <f>IF(NOT(ISNUMBER($A1363)),NA(),IFERROR(1*INDEX(BBG_Data!$H$2:$H$4000,MATCH($A1363,BBG_Data!$G$2:$G$4000,0)),NA()))</f>
        <v/>
      </c>
      <c r="F1363" s="20">
        <f>IF(AND(ISNUMBER(B1363),ISNUMBER(B1362)),IF(B1363=B1362,"",(B1363-B1362)*100),"")</f>
        <v/>
      </c>
      <c r="G1363" s="20">
        <f>IF(AND(ISNUMBER(C1363),ISNUMBER(C1362)),IF(C1363=C1362,"",(C1363-C1362)*100),"")</f>
        <v/>
      </c>
      <c r="H1363" s="20">
        <f>IF(OR(NOT(ISNUMBER($A1363)),ROW()-2&lt;Settings!$B$11),NA(),IF(COUNT(OFFSET(F1363,1-Settings!$B$11,0,Settings!$B$11,1))&lt;ROUNDUP(Settings!$B$11*Settings!$B$26,0),NA(),STDEV(OFFSET(F1363,1-Settings!$B$11,0,Settings!$B$11,1))*SQRT(Settings!$B$13)))</f>
        <v/>
      </c>
      <c r="I1363" s="20">
        <f>IF(OR(NOT(ISNUMBER($A1363)),ROW()-2&lt;Settings!$B$12),NA(),IF(COUNT(OFFSET(F1363,1-Settings!$B$12,0,Settings!$B$12,1))&lt;ROUNDUP(Settings!$B$12*Settings!$B$26,0),NA(),STDEV(OFFSET(F1363,1-Settings!$B$12,0,Settings!$B$12,1))*SQRT(Settings!$B$13)))</f>
        <v/>
      </c>
      <c r="J1363" s="20">
        <f>IF(OR(NOT(ISNUMBER($A1363)),ROW()-2&lt;Settings!$B$11),NA(),IF(COUNT(OFFSET(G1363,1-Settings!$B$11,0,Settings!$B$11,1))&lt;ROUNDUP(Settings!$B$11*Settings!$B$26,0),NA(),STDEV(OFFSET(G1363,1-Settings!$B$11,0,Settings!$B$11,1))*SQRT(Settings!$B$13)))</f>
        <v/>
      </c>
      <c r="K1363" s="20">
        <f>IF(OR(NOT(ISNUMBER($A1363)),ROW()-2&lt;Settings!$B$12),NA(),IF(COUNT(OFFSET(G1363,1-Settings!$B$12,0,Settings!$B$12,1))&lt;ROUNDUP(Settings!$B$12*Settings!$B$26,0),NA(),STDEV(OFFSET(G1363,1-Settings!$B$12,0,Settings!$B$12,1))*SQRT(Settings!$B$13)))</f>
        <v/>
      </c>
      <c r="L1363" s="20">
        <f>IF(AND(ISNUMBER(D1363),ISNUMBER(H1363)),D1363-H1363,NA())</f>
        <v/>
      </c>
      <c r="M1363" s="20">
        <f>IF(AND(ISNUMBER(E1363),ISNUMBER(K1363)),E1363-K1363,NA())</f>
        <v/>
      </c>
      <c r="N1363" s="20">
        <f>IF(NOT(ISNUMBER($A1363)),NA(),IF(COUNT(OFFSET(G1363,1,0,Settings!$B$12,1))&lt;ROUNDUP(Settings!$B$12*Settings!$B$26,0),NA(),STDEV(OFFSET(G1363,1,0,Settings!$B$12,1))*SQRT(Settings!$B$13)))</f>
        <v/>
      </c>
      <c r="O1363" s="20">
        <f>IF(AND(ISNUMBER(E1363),ISNUMBER(N1363)),E1363-N1363,NA())</f>
        <v/>
      </c>
      <c r="P1363" s="19">
        <f>IF(NOT(ISNUMBER($A1363)),NA(),IF(OR($A1363&lt;MIN(KW_TP!$A$2:$A$2501),$A1363&gt;MAX(KW_TP!$A$2:$A$2501)),NA(),INDEX(KW_TP!$C$2:$C$2501,MATCH($A1363,KW_TP!$A$2:$A$2501,1))))</f>
        <v/>
      </c>
      <c r="Q1363" s="18">
        <f>IF(NOT(ISNUMBER($A1363)),NA(),IFERROR(1*INDEX(BBG_Data!$J$2:$J$4000,MATCH($A1363,BBG_Data!$I$2:$I$4000,0)),NA()))</f>
        <v/>
      </c>
      <c r="R1363" s="18">
        <f>IF(NOT(ISNUMBER($A1363)),NA(),IFERROR(1*INDEX(BBG_Data!$L$2:$L$4000,MATCH($A1363,BBG_Data!$K$2:$K$4000,0)),NA()))</f>
        <v/>
      </c>
      <c r="S1363" s="20">
        <f>IF(AND(ISNUMBER(B1363),ISNUMBER(Q1363),ISNUMBER(R1363)),(B1363-Q1363-R1363)*100,NA())</f>
        <v/>
      </c>
      <c r="T1363" s="20">
        <f>IF(AND(ISNUMBER(B1363),Settings!$B$17&gt;0),IF(ISNUMBER(INDEX($B:$B,Settings!$B$17)),(B1363-INDEX($B:$B,Settings!$B$17))*100,NA()),NA())</f>
        <v/>
      </c>
      <c r="U1363" s="20">
        <f>IF(AND(ISNUMBER(Q1363),Settings!$B$17&gt;0),IF(ISNUMBER(INDEX($Q:$Q,Settings!$B$17)),(Q1363-INDEX($Q:$Q,Settings!$B$17))*100,NA()),NA())</f>
        <v/>
      </c>
      <c r="V1363" s="20">
        <f>IF(AND(ISNUMBER(R1363),Settings!$B$17&gt;0),IF(ISNUMBER(INDEX($R:$R,Settings!$B$17)),(R1363-INDEX($R:$R,Settings!$B$17))*100,NA()),NA())</f>
        <v/>
      </c>
      <c r="W1363" s="20">
        <f>IF(AND(ISNUMBER(P1363),Settings!$B$17&gt;0),IF(ISNUMBER(INDEX($P:$P,Settings!$B$17)),P1363-INDEX($P:$P,Settings!$B$17),NA()),NA())</f>
        <v/>
      </c>
      <c r="X1363" s="19">
        <f>IF(NOT(ISNUMBER($A1363)),NA(),IF(OR($A1363&lt;MIN(DKW_10Y!$A$2:$A$2918),$A1363&gt;MAX(DKW_10Y!$A$2:$A$2918),Settings!$B$16&lt;MIN(DKW_10Y!$A$2:$A$2918)),NA(),(INDEX(DKW_10Y!$B$2:$B$2918,MATCH($A1363,DKW_10Y!$A$2:$A$2918,1))-INDEX(DKW_10Y!$B$2:$B$2918,MATCH(Settings!$B$16,DKW_10Y!$A$2:$A$2918,1)))*100))</f>
        <v/>
      </c>
      <c r="Y1363" s="19">
        <f>IF(NOT(ISNUMBER($A1363)),NA(),IF(OR($A1363&lt;MIN(DKW_10Y!$A$2:$A$2918),$A1363&gt;MAX(DKW_10Y!$A$2:$A$2918),Settings!$B$16&lt;MIN(DKW_10Y!$A$2:$A$2918)),NA(),(INDEX(DKW_10Y!$C$2:$C$2918,MATCH($A1363,DKW_10Y!$A$2:$A$2918,1))-INDEX(DKW_10Y!$C$2:$C$2918,MATCH(Settings!$B$16,DKW_10Y!$A$2:$A$2918,1)))*100))</f>
        <v/>
      </c>
      <c r="Z1363" s="19">
        <f>IF(NOT(ISNUMBER($A1363)),NA(),IF(OR($A1363&lt;MIN(DKW_10Y!$A$2:$A$2918),$A1363&gt;MAX(DKW_10Y!$A$2:$A$2918),Settings!$B$16&lt;MIN(DKW_10Y!$A$2:$A$2918)),NA(),(INDEX(DKW_10Y!$D$2:$D$2918,MATCH($A1363,DKW_10Y!$A$2:$A$2918,1))-INDEX(DKW_10Y!$D$2:$D$2918,MATCH(Settings!$B$16,DKW_10Y!$A$2:$A$2918,1)))*100))</f>
        <v/>
      </c>
      <c r="AA1363" s="19">
        <f>IF(NOT(ISNUMBER($A1363)),NA(),IF(OR($A1363&lt;MIN(DKW_10Y!$A$2:$A$2918),$A1363&gt;MAX(DKW_10Y!$A$2:$A$2918),Settings!$B$16&lt;MIN(DKW_10Y!$A$2:$A$2918)),NA(),(INDEX(DKW_10Y!$E$2:$E$2918,MATCH($A1363,DKW_10Y!$A$2:$A$2918,1))-INDEX(DKW_10Y!$E$2:$E$2918,MATCH(Settings!$B$16,DKW_10Y!$A$2:$A$2918,1)))*100))</f>
        <v/>
      </c>
      <c r="AB1363" s="19">
        <f>IF(NOT(ISNUMBER($A1363)),NA(),IF(OR($A1363&lt;MIN(DKW_10Y!$A$2:$A$2918),$A1363&gt;MAX(DKW_10Y!$A$2:$A$2918),Settings!$B$16&lt;MIN(DKW_10Y!$A$2:$A$2918)),NA(),(INDEX(DKW_10Y!$H$2:$H$2918,MATCH($A1363,DKW_10Y!$A$2:$A$2918,1))-INDEX(DKW_10Y!$H$2:$H$2918,MATCH(Settings!$B$16,DKW_10Y!$A$2:$A$2918,1)))*100))</f>
        <v/>
      </c>
      <c r="AC1363" s="18">
        <f>IF(NOT(ISNUMBER($A1363)),NA(),IFERROR(1*INDEX(BBG_Data!$N$2:$N$4000,MATCH($A1363,BBG_Data!$M$2:$M$4000,0)),NA()))</f>
        <v/>
      </c>
      <c r="AD1363" s="18">
        <f>IF(NOT(ISNUMBER($A1363)),NA(),IFERROR(1*INDEX(BBG_Data!$P$2:$P$4000,MATCH($A1363,BBG_Data!$O$2:$O$4000,0)),NA()))</f>
        <v/>
      </c>
      <c r="AE1363" s="18">
        <f>IF(NOT(ISNUMBER($A1363)),NA(),IFERROR(1*INDEX(BBG_Data!$R$2:$R$4000,MATCH($A1363,BBG_Data!$Q$2:$Q$4000,0)),NA()))</f>
        <v/>
      </c>
      <c r="AF1363" s="20">
        <f>IF(AND(ISNUMBER(B1363),ISNUMBER(AC1363)),(B1363-AC1363)*100,NA())</f>
        <v/>
      </c>
      <c r="AG1363" s="20">
        <f>IF(AND(ISNUMBER(AE1363),ISNUMBER(AD1363)),(AE1363-AD1363)*100,NA())</f>
        <v/>
      </c>
      <c r="AH1363" s="19">
        <f>IF(NOT(ISNUMBER($A1363)),NA(),IFERROR(INDEX(BBG_Data!$T$2:$T$4000,MATCH($A1363,BBG_Data!$S$2:$S$4000,0))*Settings!$B$25,NA()))</f>
        <v/>
      </c>
      <c r="AI1363" s="19">
        <f>IF(NOT(ISNUMBER($A1363)),NA(),IFERROR(INDEX(BBG_Data!$V$2:$V$4000,MATCH($A1363,BBG_Data!$U$2:$U$4000,0))*Settings!$B$25,NA()))</f>
        <v/>
      </c>
      <c r="AJ1363" s="19">
        <f>IF(NOT(ISNUMBER($A1363)),NA(),IFERROR(1*INDEX(BBG_Data!$X$2:$X$4000,MATCH($A1363,BBG_Data!$W$2:$W$4000,0)),NA()))</f>
        <v/>
      </c>
      <c r="AK1363" s="19">
        <f>IF(NOT(ISNUMBER($A1363)),NA(),IFERROR(1*INDEX(BBG_Data!$Z$2:$Z$4000,MATCH($A1363,BBG_Data!$Y$2:$Y$4000,0)),NA()))</f>
        <v/>
      </c>
    </row>
    <row r="1364">
      <c r="A1364" s="17">
        <f>IF(ISNUMBER(BBG_Data!A1364),BBG_Data!A1364,"")</f>
        <v/>
      </c>
      <c r="B1364" s="18">
        <f>IF(AND(ISNUMBER($A1364),ISNUMBER(BBG_Data!B1364)),BBG_Data!B1364,NA())</f>
        <v/>
      </c>
      <c r="C1364" s="18">
        <f>IF(NOT(ISNUMBER($A1364)),NA(),IFERROR(1*INDEX(BBG_Data!$D$2:$D$4000,MATCH($A1364,BBG_Data!$C$2:$C$4000,0)),NA()))</f>
        <v/>
      </c>
      <c r="D1364" s="19">
        <f>IF(NOT(ISNUMBER($A1364)),NA(),IFERROR(1*INDEX(BBG_Data!$F$2:$F$4000,MATCH($A1364,BBG_Data!$E$2:$E$4000,0)),NA()))</f>
        <v/>
      </c>
      <c r="E1364" s="19">
        <f>IF(NOT(ISNUMBER($A1364)),NA(),IFERROR(1*INDEX(BBG_Data!$H$2:$H$4000,MATCH($A1364,BBG_Data!$G$2:$G$4000,0)),NA()))</f>
        <v/>
      </c>
      <c r="F1364" s="20">
        <f>IF(AND(ISNUMBER(B1364),ISNUMBER(B1363)),IF(B1364=B1363,"",(B1364-B1363)*100),"")</f>
        <v/>
      </c>
      <c r="G1364" s="20">
        <f>IF(AND(ISNUMBER(C1364),ISNUMBER(C1363)),IF(C1364=C1363,"",(C1364-C1363)*100),"")</f>
        <v/>
      </c>
      <c r="H1364" s="20">
        <f>IF(OR(NOT(ISNUMBER($A1364)),ROW()-2&lt;Settings!$B$11),NA(),IF(COUNT(OFFSET(F1364,1-Settings!$B$11,0,Settings!$B$11,1))&lt;ROUNDUP(Settings!$B$11*Settings!$B$26,0),NA(),STDEV(OFFSET(F1364,1-Settings!$B$11,0,Settings!$B$11,1))*SQRT(Settings!$B$13)))</f>
        <v/>
      </c>
      <c r="I1364" s="20">
        <f>IF(OR(NOT(ISNUMBER($A1364)),ROW()-2&lt;Settings!$B$12),NA(),IF(COUNT(OFFSET(F1364,1-Settings!$B$12,0,Settings!$B$12,1))&lt;ROUNDUP(Settings!$B$12*Settings!$B$26,0),NA(),STDEV(OFFSET(F1364,1-Settings!$B$12,0,Settings!$B$12,1))*SQRT(Settings!$B$13)))</f>
        <v/>
      </c>
      <c r="J1364" s="20">
        <f>IF(OR(NOT(ISNUMBER($A1364)),ROW()-2&lt;Settings!$B$11),NA(),IF(COUNT(OFFSET(G1364,1-Settings!$B$11,0,Settings!$B$11,1))&lt;ROUNDUP(Settings!$B$11*Settings!$B$26,0),NA(),STDEV(OFFSET(G1364,1-Settings!$B$11,0,Settings!$B$11,1))*SQRT(Settings!$B$13)))</f>
        <v/>
      </c>
      <c r="K1364" s="20">
        <f>IF(OR(NOT(ISNUMBER($A1364)),ROW()-2&lt;Settings!$B$12),NA(),IF(COUNT(OFFSET(G1364,1-Settings!$B$12,0,Settings!$B$12,1))&lt;ROUNDUP(Settings!$B$12*Settings!$B$26,0),NA(),STDEV(OFFSET(G1364,1-Settings!$B$12,0,Settings!$B$12,1))*SQRT(Settings!$B$13)))</f>
        <v/>
      </c>
      <c r="L1364" s="20">
        <f>IF(AND(ISNUMBER(D1364),ISNUMBER(H1364)),D1364-H1364,NA())</f>
        <v/>
      </c>
      <c r="M1364" s="20">
        <f>IF(AND(ISNUMBER(E1364),ISNUMBER(K1364)),E1364-K1364,NA())</f>
        <v/>
      </c>
      <c r="N1364" s="20">
        <f>IF(NOT(ISNUMBER($A1364)),NA(),IF(COUNT(OFFSET(G1364,1,0,Settings!$B$12,1))&lt;ROUNDUP(Settings!$B$12*Settings!$B$26,0),NA(),STDEV(OFFSET(G1364,1,0,Settings!$B$12,1))*SQRT(Settings!$B$13)))</f>
        <v/>
      </c>
      <c r="O1364" s="20">
        <f>IF(AND(ISNUMBER(E1364),ISNUMBER(N1364)),E1364-N1364,NA())</f>
        <v/>
      </c>
      <c r="P1364" s="19">
        <f>IF(NOT(ISNUMBER($A1364)),NA(),IF(OR($A1364&lt;MIN(KW_TP!$A$2:$A$2501),$A1364&gt;MAX(KW_TP!$A$2:$A$2501)),NA(),INDEX(KW_TP!$C$2:$C$2501,MATCH($A1364,KW_TP!$A$2:$A$2501,1))))</f>
        <v/>
      </c>
      <c r="Q1364" s="18">
        <f>IF(NOT(ISNUMBER($A1364)),NA(),IFERROR(1*INDEX(BBG_Data!$J$2:$J$4000,MATCH($A1364,BBG_Data!$I$2:$I$4000,0)),NA()))</f>
        <v/>
      </c>
      <c r="R1364" s="18">
        <f>IF(NOT(ISNUMBER($A1364)),NA(),IFERROR(1*INDEX(BBG_Data!$L$2:$L$4000,MATCH($A1364,BBG_Data!$K$2:$K$4000,0)),NA()))</f>
        <v/>
      </c>
      <c r="S1364" s="20">
        <f>IF(AND(ISNUMBER(B1364),ISNUMBER(Q1364),ISNUMBER(R1364)),(B1364-Q1364-R1364)*100,NA())</f>
        <v/>
      </c>
      <c r="T1364" s="20">
        <f>IF(AND(ISNUMBER(B1364),Settings!$B$17&gt;0),IF(ISNUMBER(INDEX($B:$B,Settings!$B$17)),(B1364-INDEX($B:$B,Settings!$B$17))*100,NA()),NA())</f>
        <v/>
      </c>
      <c r="U1364" s="20">
        <f>IF(AND(ISNUMBER(Q1364),Settings!$B$17&gt;0),IF(ISNUMBER(INDEX($Q:$Q,Settings!$B$17)),(Q1364-INDEX($Q:$Q,Settings!$B$17))*100,NA()),NA())</f>
        <v/>
      </c>
      <c r="V1364" s="20">
        <f>IF(AND(ISNUMBER(R1364),Settings!$B$17&gt;0),IF(ISNUMBER(INDEX($R:$R,Settings!$B$17)),(R1364-INDEX($R:$R,Settings!$B$17))*100,NA()),NA())</f>
        <v/>
      </c>
      <c r="W1364" s="20">
        <f>IF(AND(ISNUMBER(P1364),Settings!$B$17&gt;0),IF(ISNUMBER(INDEX($P:$P,Settings!$B$17)),P1364-INDEX($P:$P,Settings!$B$17),NA()),NA())</f>
        <v/>
      </c>
      <c r="X1364" s="19">
        <f>IF(NOT(ISNUMBER($A1364)),NA(),IF(OR($A1364&lt;MIN(DKW_10Y!$A$2:$A$2918),$A1364&gt;MAX(DKW_10Y!$A$2:$A$2918),Settings!$B$16&lt;MIN(DKW_10Y!$A$2:$A$2918)),NA(),(INDEX(DKW_10Y!$B$2:$B$2918,MATCH($A1364,DKW_10Y!$A$2:$A$2918,1))-INDEX(DKW_10Y!$B$2:$B$2918,MATCH(Settings!$B$16,DKW_10Y!$A$2:$A$2918,1)))*100))</f>
        <v/>
      </c>
      <c r="Y1364" s="19">
        <f>IF(NOT(ISNUMBER($A1364)),NA(),IF(OR($A1364&lt;MIN(DKW_10Y!$A$2:$A$2918),$A1364&gt;MAX(DKW_10Y!$A$2:$A$2918),Settings!$B$16&lt;MIN(DKW_10Y!$A$2:$A$2918)),NA(),(INDEX(DKW_10Y!$C$2:$C$2918,MATCH($A1364,DKW_10Y!$A$2:$A$2918,1))-INDEX(DKW_10Y!$C$2:$C$2918,MATCH(Settings!$B$16,DKW_10Y!$A$2:$A$2918,1)))*100))</f>
        <v/>
      </c>
      <c r="Z1364" s="19">
        <f>IF(NOT(ISNUMBER($A1364)),NA(),IF(OR($A1364&lt;MIN(DKW_10Y!$A$2:$A$2918),$A1364&gt;MAX(DKW_10Y!$A$2:$A$2918),Settings!$B$16&lt;MIN(DKW_10Y!$A$2:$A$2918)),NA(),(INDEX(DKW_10Y!$D$2:$D$2918,MATCH($A1364,DKW_10Y!$A$2:$A$2918,1))-INDEX(DKW_10Y!$D$2:$D$2918,MATCH(Settings!$B$16,DKW_10Y!$A$2:$A$2918,1)))*100))</f>
        <v/>
      </c>
      <c r="AA1364" s="19">
        <f>IF(NOT(ISNUMBER($A1364)),NA(),IF(OR($A1364&lt;MIN(DKW_10Y!$A$2:$A$2918),$A1364&gt;MAX(DKW_10Y!$A$2:$A$2918),Settings!$B$16&lt;MIN(DKW_10Y!$A$2:$A$2918)),NA(),(INDEX(DKW_10Y!$E$2:$E$2918,MATCH($A1364,DKW_10Y!$A$2:$A$2918,1))-INDEX(DKW_10Y!$E$2:$E$2918,MATCH(Settings!$B$16,DKW_10Y!$A$2:$A$2918,1)))*100))</f>
        <v/>
      </c>
      <c r="AB1364" s="19">
        <f>IF(NOT(ISNUMBER($A1364)),NA(),IF(OR($A1364&lt;MIN(DKW_10Y!$A$2:$A$2918),$A1364&gt;MAX(DKW_10Y!$A$2:$A$2918),Settings!$B$16&lt;MIN(DKW_10Y!$A$2:$A$2918)),NA(),(INDEX(DKW_10Y!$H$2:$H$2918,MATCH($A1364,DKW_10Y!$A$2:$A$2918,1))-INDEX(DKW_10Y!$H$2:$H$2918,MATCH(Settings!$B$16,DKW_10Y!$A$2:$A$2918,1)))*100))</f>
        <v/>
      </c>
      <c r="AC1364" s="18">
        <f>IF(NOT(ISNUMBER($A1364)),NA(),IFERROR(1*INDEX(BBG_Data!$N$2:$N$4000,MATCH($A1364,BBG_Data!$M$2:$M$4000,0)),NA()))</f>
        <v/>
      </c>
      <c r="AD1364" s="18">
        <f>IF(NOT(ISNUMBER($A1364)),NA(),IFERROR(1*INDEX(BBG_Data!$P$2:$P$4000,MATCH($A1364,BBG_Data!$O$2:$O$4000,0)),NA()))</f>
        <v/>
      </c>
      <c r="AE1364" s="18">
        <f>IF(NOT(ISNUMBER($A1364)),NA(),IFERROR(1*INDEX(BBG_Data!$R$2:$R$4000,MATCH($A1364,BBG_Data!$Q$2:$Q$4000,0)),NA()))</f>
        <v/>
      </c>
      <c r="AF1364" s="20">
        <f>IF(AND(ISNUMBER(B1364),ISNUMBER(AC1364)),(B1364-AC1364)*100,NA())</f>
        <v/>
      </c>
      <c r="AG1364" s="20">
        <f>IF(AND(ISNUMBER(AE1364),ISNUMBER(AD1364)),(AE1364-AD1364)*100,NA())</f>
        <v/>
      </c>
      <c r="AH1364" s="19">
        <f>IF(NOT(ISNUMBER($A1364)),NA(),IFERROR(INDEX(BBG_Data!$T$2:$T$4000,MATCH($A1364,BBG_Data!$S$2:$S$4000,0))*Settings!$B$25,NA()))</f>
        <v/>
      </c>
      <c r="AI1364" s="19">
        <f>IF(NOT(ISNUMBER($A1364)),NA(),IFERROR(INDEX(BBG_Data!$V$2:$V$4000,MATCH($A1364,BBG_Data!$U$2:$U$4000,0))*Settings!$B$25,NA()))</f>
        <v/>
      </c>
      <c r="AJ1364" s="19">
        <f>IF(NOT(ISNUMBER($A1364)),NA(),IFERROR(1*INDEX(BBG_Data!$X$2:$X$4000,MATCH($A1364,BBG_Data!$W$2:$W$4000,0)),NA()))</f>
        <v/>
      </c>
      <c r="AK1364" s="19">
        <f>IF(NOT(ISNUMBER($A1364)),NA(),IFERROR(1*INDEX(BBG_Data!$Z$2:$Z$4000,MATCH($A1364,BBG_Data!$Y$2:$Y$4000,0)),NA()))</f>
        <v/>
      </c>
    </row>
    <row r="1365">
      <c r="A1365" s="17">
        <f>IF(ISNUMBER(BBG_Data!A1365),BBG_Data!A1365,"")</f>
        <v/>
      </c>
      <c r="B1365" s="18">
        <f>IF(AND(ISNUMBER($A1365),ISNUMBER(BBG_Data!B1365)),BBG_Data!B1365,NA())</f>
        <v/>
      </c>
      <c r="C1365" s="18">
        <f>IF(NOT(ISNUMBER($A1365)),NA(),IFERROR(1*INDEX(BBG_Data!$D$2:$D$4000,MATCH($A1365,BBG_Data!$C$2:$C$4000,0)),NA()))</f>
        <v/>
      </c>
      <c r="D1365" s="19">
        <f>IF(NOT(ISNUMBER($A1365)),NA(),IFERROR(1*INDEX(BBG_Data!$F$2:$F$4000,MATCH($A1365,BBG_Data!$E$2:$E$4000,0)),NA()))</f>
        <v/>
      </c>
      <c r="E1365" s="19">
        <f>IF(NOT(ISNUMBER($A1365)),NA(),IFERROR(1*INDEX(BBG_Data!$H$2:$H$4000,MATCH($A1365,BBG_Data!$G$2:$G$4000,0)),NA()))</f>
        <v/>
      </c>
      <c r="F1365" s="20">
        <f>IF(AND(ISNUMBER(B1365),ISNUMBER(B1364)),IF(B1365=B1364,"",(B1365-B1364)*100),"")</f>
        <v/>
      </c>
      <c r="G1365" s="20">
        <f>IF(AND(ISNUMBER(C1365),ISNUMBER(C1364)),IF(C1365=C1364,"",(C1365-C1364)*100),"")</f>
        <v/>
      </c>
      <c r="H1365" s="20">
        <f>IF(OR(NOT(ISNUMBER($A1365)),ROW()-2&lt;Settings!$B$11),NA(),IF(COUNT(OFFSET(F1365,1-Settings!$B$11,0,Settings!$B$11,1))&lt;ROUNDUP(Settings!$B$11*Settings!$B$26,0),NA(),STDEV(OFFSET(F1365,1-Settings!$B$11,0,Settings!$B$11,1))*SQRT(Settings!$B$13)))</f>
        <v/>
      </c>
      <c r="I1365" s="20">
        <f>IF(OR(NOT(ISNUMBER($A1365)),ROW()-2&lt;Settings!$B$12),NA(),IF(COUNT(OFFSET(F1365,1-Settings!$B$12,0,Settings!$B$12,1))&lt;ROUNDUP(Settings!$B$12*Settings!$B$26,0),NA(),STDEV(OFFSET(F1365,1-Settings!$B$12,0,Settings!$B$12,1))*SQRT(Settings!$B$13)))</f>
        <v/>
      </c>
      <c r="J1365" s="20">
        <f>IF(OR(NOT(ISNUMBER($A1365)),ROW()-2&lt;Settings!$B$11),NA(),IF(COUNT(OFFSET(G1365,1-Settings!$B$11,0,Settings!$B$11,1))&lt;ROUNDUP(Settings!$B$11*Settings!$B$26,0),NA(),STDEV(OFFSET(G1365,1-Settings!$B$11,0,Settings!$B$11,1))*SQRT(Settings!$B$13)))</f>
        <v/>
      </c>
      <c r="K1365" s="20">
        <f>IF(OR(NOT(ISNUMBER($A1365)),ROW()-2&lt;Settings!$B$12),NA(),IF(COUNT(OFFSET(G1365,1-Settings!$B$12,0,Settings!$B$12,1))&lt;ROUNDUP(Settings!$B$12*Settings!$B$26,0),NA(),STDEV(OFFSET(G1365,1-Settings!$B$12,0,Settings!$B$12,1))*SQRT(Settings!$B$13)))</f>
        <v/>
      </c>
      <c r="L1365" s="20">
        <f>IF(AND(ISNUMBER(D1365),ISNUMBER(H1365)),D1365-H1365,NA())</f>
        <v/>
      </c>
      <c r="M1365" s="20">
        <f>IF(AND(ISNUMBER(E1365),ISNUMBER(K1365)),E1365-K1365,NA())</f>
        <v/>
      </c>
      <c r="N1365" s="20">
        <f>IF(NOT(ISNUMBER($A1365)),NA(),IF(COUNT(OFFSET(G1365,1,0,Settings!$B$12,1))&lt;ROUNDUP(Settings!$B$12*Settings!$B$26,0),NA(),STDEV(OFFSET(G1365,1,0,Settings!$B$12,1))*SQRT(Settings!$B$13)))</f>
        <v/>
      </c>
      <c r="O1365" s="20">
        <f>IF(AND(ISNUMBER(E1365),ISNUMBER(N1365)),E1365-N1365,NA())</f>
        <v/>
      </c>
      <c r="P1365" s="19">
        <f>IF(NOT(ISNUMBER($A1365)),NA(),IF(OR($A1365&lt;MIN(KW_TP!$A$2:$A$2501),$A1365&gt;MAX(KW_TP!$A$2:$A$2501)),NA(),INDEX(KW_TP!$C$2:$C$2501,MATCH($A1365,KW_TP!$A$2:$A$2501,1))))</f>
        <v/>
      </c>
      <c r="Q1365" s="18">
        <f>IF(NOT(ISNUMBER($A1365)),NA(),IFERROR(1*INDEX(BBG_Data!$J$2:$J$4000,MATCH($A1365,BBG_Data!$I$2:$I$4000,0)),NA()))</f>
        <v/>
      </c>
      <c r="R1365" s="18">
        <f>IF(NOT(ISNUMBER($A1365)),NA(),IFERROR(1*INDEX(BBG_Data!$L$2:$L$4000,MATCH($A1365,BBG_Data!$K$2:$K$4000,0)),NA()))</f>
        <v/>
      </c>
      <c r="S1365" s="20">
        <f>IF(AND(ISNUMBER(B1365),ISNUMBER(Q1365),ISNUMBER(R1365)),(B1365-Q1365-R1365)*100,NA())</f>
        <v/>
      </c>
      <c r="T1365" s="20">
        <f>IF(AND(ISNUMBER(B1365),Settings!$B$17&gt;0),IF(ISNUMBER(INDEX($B:$B,Settings!$B$17)),(B1365-INDEX($B:$B,Settings!$B$17))*100,NA()),NA())</f>
        <v/>
      </c>
      <c r="U1365" s="20">
        <f>IF(AND(ISNUMBER(Q1365),Settings!$B$17&gt;0),IF(ISNUMBER(INDEX($Q:$Q,Settings!$B$17)),(Q1365-INDEX($Q:$Q,Settings!$B$17))*100,NA()),NA())</f>
        <v/>
      </c>
      <c r="V1365" s="20">
        <f>IF(AND(ISNUMBER(R1365),Settings!$B$17&gt;0),IF(ISNUMBER(INDEX($R:$R,Settings!$B$17)),(R1365-INDEX($R:$R,Settings!$B$17))*100,NA()),NA())</f>
        <v/>
      </c>
      <c r="W1365" s="20">
        <f>IF(AND(ISNUMBER(P1365),Settings!$B$17&gt;0),IF(ISNUMBER(INDEX($P:$P,Settings!$B$17)),P1365-INDEX($P:$P,Settings!$B$17),NA()),NA())</f>
        <v/>
      </c>
      <c r="X1365" s="19">
        <f>IF(NOT(ISNUMBER($A1365)),NA(),IF(OR($A1365&lt;MIN(DKW_10Y!$A$2:$A$2918),$A1365&gt;MAX(DKW_10Y!$A$2:$A$2918),Settings!$B$16&lt;MIN(DKW_10Y!$A$2:$A$2918)),NA(),(INDEX(DKW_10Y!$B$2:$B$2918,MATCH($A1365,DKW_10Y!$A$2:$A$2918,1))-INDEX(DKW_10Y!$B$2:$B$2918,MATCH(Settings!$B$16,DKW_10Y!$A$2:$A$2918,1)))*100))</f>
        <v/>
      </c>
      <c r="Y1365" s="19">
        <f>IF(NOT(ISNUMBER($A1365)),NA(),IF(OR($A1365&lt;MIN(DKW_10Y!$A$2:$A$2918),$A1365&gt;MAX(DKW_10Y!$A$2:$A$2918),Settings!$B$16&lt;MIN(DKW_10Y!$A$2:$A$2918)),NA(),(INDEX(DKW_10Y!$C$2:$C$2918,MATCH($A1365,DKW_10Y!$A$2:$A$2918,1))-INDEX(DKW_10Y!$C$2:$C$2918,MATCH(Settings!$B$16,DKW_10Y!$A$2:$A$2918,1)))*100))</f>
        <v/>
      </c>
      <c r="Z1365" s="19">
        <f>IF(NOT(ISNUMBER($A1365)),NA(),IF(OR($A1365&lt;MIN(DKW_10Y!$A$2:$A$2918),$A1365&gt;MAX(DKW_10Y!$A$2:$A$2918),Settings!$B$16&lt;MIN(DKW_10Y!$A$2:$A$2918)),NA(),(INDEX(DKW_10Y!$D$2:$D$2918,MATCH($A1365,DKW_10Y!$A$2:$A$2918,1))-INDEX(DKW_10Y!$D$2:$D$2918,MATCH(Settings!$B$16,DKW_10Y!$A$2:$A$2918,1)))*100))</f>
        <v/>
      </c>
      <c r="AA1365" s="19">
        <f>IF(NOT(ISNUMBER($A1365)),NA(),IF(OR($A1365&lt;MIN(DKW_10Y!$A$2:$A$2918),$A1365&gt;MAX(DKW_10Y!$A$2:$A$2918),Settings!$B$16&lt;MIN(DKW_10Y!$A$2:$A$2918)),NA(),(INDEX(DKW_10Y!$E$2:$E$2918,MATCH($A1365,DKW_10Y!$A$2:$A$2918,1))-INDEX(DKW_10Y!$E$2:$E$2918,MATCH(Settings!$B$16,DKW_10Y!$A$2:$A$2918,1)))*100))</f>
        <v/>
      </c>
      <c r="AB1365" s="19">
        <f>IF(NOT(ISNUMBER($A1365)),NA(),IF(OR($A1365&lt;MIN(DKW_10Y!$A$2:$A$2918),$A1365&gt;MAX(DKW_10Y!$A$2:$A$2918),Settings!$B$16&lt;MIN(DKW_10Y!$A$2:$A$2918)),NA(),(INDEX(DKW_10Y!$H$2:$H$2918,MATCH($A1365,DKW_10Y!$A$2:$A$2918,1))-INDEX(DKW_10Y!$H$2:$H$2918,MATCH(Settings!$B$16,DKW_10Y!$A$2:$A$2918,1)))*100))</f>
        <v/>
      </c>
      <c r="AC1365" s="18">
        <f>IF(NOT(ISNUMBER($A1365)),NA(),IFERROR(1*INDEX(BBG_Data!$N$2:$N$4000,MATCH($A1365,BBG_Data!$M$2:$M$4000,0)),NA()))</f>
        <v/>
      </c>
      <c r="AD1365" s="18">
        <f>IF(NOT(ISNUMBER($A1365)),NA(),IFERROR(1*INDEX(BBG_Data!$P$2:$P$4000,MATCH($A1365,BBG_Data!$O$2:$O$4000,0)),NA()))</f>
        <v/>
      </c>
      <c r="AE1365" s="18">
        <f>IF(NOT(ISNUMBER($A1365)),NA(),IFERROR(1*INDEX(BBG_Data!$R$2:$R$4000,MATCH($A1365,BBG_Data!$Q$2:$Q$4000,0)),NA()))</f>
        <v/>
      </c>
      <c r="AF1365" s="20">
        <f>IF(AND(ISNUMBER(B1365),ISNUMBER(AC1365)),(B1365-AC1365)*100,NA())</f>
        <v/>
      </c>
      <c r="AG1365" s="20">
        <f>IF(AND(ISNUMBER(AE1365),ISNUMBER(AD1365)),(AE1365-AD1365)*100,NA())</f>
        <v/>
      </c>
      <c r="AH1365" s="19">
        <f>IF(NOT(ISNUMBER($A1365)),NA(),IFERROR(INDEX(BBG_Data!$T$2:$T$4000,MATCH($A1365,BBG_Data!$S$2:$S$4000,0))*Settings!$B$25,NA()))</f>
        <v/>
      </c>
      <c r="AI1365" s="19">
        <f>IF(NOT(ISNUMBER($A1365)),NA(),IFERROR(INDEX(BBG_Data!$V$2:$V$4000,MATCH($A1365,BBG_Data!$U$2:$U$4000,0))*Settings!$B$25,NA()))</f>
        <v/>
      </c>
      <c r="AJ1365" s="19">
        <f>IF(NOT(ISNUMBER($A1365)),NA(),IFERROR(1*INDEX(BBG_Data!$X$2:$X$4000,MATCH($A1365,BBG_Data!$W$2:$W$4000,0)),NA()))</f>
        <v/>
      </c>
      <c r="AK1365" s="19">
        <f>IF(NOT(ISNUMBER($A1365)),NA(),IFERROR(1*INDEX(BBG_Data!$Z$2:$Z$4000,MATCH($A1365,BBG_Data!$Y$2:$Y$4000,0)),NA()))</f>
        <v/>
      </c>
    </row>
    <row r="1366">
      <c r="A1366" s="17">
        <f>IF(ISNUMBER(BBG_Data!A1366),BBG_Data!A1366,"")</f>
        <v/>
      </c>
      <c r="B1366" s="18">
        <f>IF(AND(ISNUMBER($A1366),ISNUMBER(BBG_Data!B1366)),BBG_Data!B1366,NA())</f>
        <v/>
      </c>
      <c r="C1366" s="18">
        <f>IF(NOT(ISNUMBER($A1366)),NA(),IFERROR(1*INDEX(BBG_Data!$D$2:$D$4000,MATCH($A1366,BBG_Data!$C$2:$C$4000,0)),NA()))</f>
        <v/>
      </c>
      <c r="D1366" s="19">
        <f>IF(NOT(ISNUMBER($A1366)),NA(),IFERROR(1*INDEX(BBG_Data!$F$2:$F$4000,MATCH($A1366,BBG_Data!$E$2:$E$4000,0)),NA()))</f>
        <v/>
      </c>
      <c r="E1366" s="19">
        <f>IF(NOT(ISNUMBER($A1366)),NA(),IFERROR(1*INDEX(BBG_Data!$H$2:$H$4000,MATCH($A1366,BBG_Data!$G$2:$G$4000,0)),NA()))</f>
        <v/>
      </c>
      <c r="F1366" s="20">
        <f>IF(AND(ISNUMBER(B1366),ISNUMBER(B1365)),IF(B1366=B1365,"",(B1366-B1365)*100),"")</f>
        <v/>
      </c>
      <c r="G1366" s="20">
        <f>IF(AND(ISNUMBER(C1366),ISNUMBER(C1365)),IF(C1366=C1365,"",(C1366-C1365)*100),"")</f>
        <v/>
      </c>
      <c r="H1366" s="20">
        <f>IF(OR(NOT(ISNUMBER($A1366)),ROW()-2&lt;Settings!$B$11),NA(),IF(COUNT(OFFSET(F1366,1-Settings!$B$11,0,Settings!$B$11,1))&lt;ROUNDUP(Settings!$B$11*Settings!$B$26,0),NA(),STDEV(OFFSET(F1366,1-Settings!$B$11,0,Settings!$B$11,1))*SQRT(Settings!$B$13)))</f>
        <v/>
      </c>
      <c r="I1366" s="20">
        <f>IF(OR(NOT(ISNUMBER($A1366)),ROW()-2&lt;Settings!$B$12),NA(),IF(COUNT(OFFSET(F1366,1-Settings!$B$12,0,Settings!$B$12,1))&lt;ROUNDUP(Settings!$B$12*Settings!$B$26,0),NA(),STDEV(OFFSET(F1366,1-Settings!$B$12,0,Settings!$B$12,1))*SQRT(Settings!$B$13)))</f>
        <v/>
      </c>
      <c r="J1366" s="20">
        <f>IF(OR(NOT(ISNUMBER($A1366)),ROW()-2&lt;Settings!$B$11),NA(),IF(COUNT(OFFSET(G1366,1-Settings!$B$11,0,Settings!$B$11,1))&lt;ROUNDUP(Settings!$B$11*Settings!$B$26,0),NA(),STDEV(OFFSET(G1366,1-Settings!$B$11,0,Settings!$B$11,1))*SQRT(Settings!$B$13)))</f>
        <v/>
      </c>
      <c r="K1366" s="20">
        <f>IF(OR(NOT(ISNUMBER($A1366)),ROW()-2&lt;Settings!$B$12),NA(),IF(COUNT(OFFSET(G1366,1-Settings!$B$12,0,Settings!$B$12,1))&lt;ROUNDUP(Settings!$B$12*Settings!$B$26,0),NA(),STDEV(OFFSET(G1366,1-Settings!$B$12,0,Settings!$B$12,1))*SQRT(Settings!$B$13)))</f>
        <v/>
      </c>
      <c r="L1366" s="20">
        <f>IF(AND(ISNUMBER(D1366),ISNUMBER(H1366)),D1366-H1366,NA())</f>
        <v/>
      </c>
      <c r="M1366" s="20">
        <f>IF(AND(ISNUMBER(E1366),ISNUMBER(K1366)),E1366-K1366,NA())</f>
        <v/>
      </c>
      <c r="N1366" s="20">
        <f>IF(NOT(ISNUMBER($A1366)),NA(),IF(COUNT(OFFSET(G1366,1,0,Settings!$B$12,1))&lt;ROUNDUP(Settings!$B$12*Settings!$B$26,0),NA(),STDEV(OFFSET(G1366,1,0,Settings!$B$12,1))*SQRT(Settings!$B$13)))</f>
        <v/>
      </c>
      <c r="O1366" s="20">
        <f>IF(AND(ISNUMBER(E1366),ISNUMBER(N1366)),E1366-N1366,NA())</f>
        <v/>
      </c>
      <c r="P1366" s="19">
        <f>IF(NOT(ISNUMBER($A1366)),NA(),IF(OR($A1366&lt;MIN(KW_TP!$A$2:$A$2501),$A1366&gt;MAX(KW_TP!$A$2:$A$2501)),NA(),INDEX(KW_TP!$C$2:$C$2501,MATCH($A1366,KW_TP!$A$2:$A$2501,1))))</f>
        <v/>
      </c>
      <c r="Q1366" s="18">
        <f>IF(NOT(ISNUMBER($A1366)),NA(),IFERROR(1*INDEX(BBG_Data!$J$2:$J$4000,MATCH($A1366,BBG_Data!$I$2:$I$4000,0)),NA()))</f>
        <v/>
      </c>
      <c r="R1366" s="18">
        <f>IF(NOT(ISNUMBER($A1366)),NA(),IFERROR(1*INDEX(BBG_Data!$L$2:$L$4000,MATCH($A1366,BBG_Data!$K$2:$K$4000,0)),NA()))</f>
        <v/>
      </c>
      <c r="S1366" s="20">
        <f>IF(AND(ISNUMBER(B1366),ISNUMBER(Q1366),ISNUMBER(R1366)),(B1366-Q1366-R1366)*100,NA())</f>
        <v/>
      </c>
      <c r="T1366" s="20">
        <f>IF(AND(ISNUMBER(B1366),Settings!$B$17&gt;0),IF(ISNUMBER(INDEX($B:$B,Settings!$B$17)),(B1366-INDEX($B:$B,Settings!$B$17))*100,NA()),NA())</f>
        <v/>
      </c>
      <c r="U1366" s="20">
        <f>IF(AND(ISNUMBER(Q1366),Settings!$B$17&gt;0),IF(ISNUMBER(INDEX($Q:$Q,Settings!$B$17)),(Q1366-INDEX($Q:$Q,Settings!$B$17))*100,NA()),NA())</f>
        <v/>
      </c>
      <c r="V1366" s="20">
        <f>IF(AND(ISNUMBER(R1366),Settings!$B$17&gt;0),IF(ISNUMBER(INDEX($R:$R,Settings!$B$17)),(R1366-INDEX($R:$R,Settings!$B$17))*100,NA()),NA())</f>
        <v/>
      </c>
      <c r="W1366" s="20">
        <f>IF(AND(ISNUMBER(P1366),Settings!$B$17&gt;0),IF(ISNUMBER(INDEX($P:$P,Settings!$B$17)),P1366-INDEX($P:$P,Settings!$B$17),NA()),NA())</f>
        <v/>
      </c>
      <c r="X1366" s="19">
        <f>IF(NOT(ISNUMBER($A1366)),NA(),IF(OR($A1366&lt;MIN(DKW_10Y!$A$2:$A$2918),$A1366&gt;MAX(DKW_10Y!$A$2:$A$2918),Settings!$B$16&lt;MIN(DKW_10Y!$A$2:$A$2918)),NA(),(INDEX(DKW_10Y!$B$2:$B$2918,MATCH($A1366,DKW_10Y!$A$2:$A$2918,1))-INDEX(DKW_10Y!$B$2:$B$2918,MATCH(Settings!$B$16,DKW_10Y!$A$2:$A$2918,1)))*100))</f>
        <v/>
      </c>
      <c r="Y1366" s="19">
        <f>IF(NOT(ISNUMBER($A1366)),NA(),IF(OR($A1366&lt;MIN(DKW_10Y!$A$2:$A$2918),$A1366&gt;MAX(DKW_10Y!$A$2:$A$2918),Settings!$B$16&lt;MIN(DKW_10Y!$A$2:$A$2918)),NA(),(INDEX(DKW_10Y!$C$2:$C$2918,MATCH($A1366,DKW_10Y!$A$2:$A$2918,1))-INDEX(DKW_10Y!$C$2:$C$2918,MATCH(Settings!$B$16,DKW_10Y!$A$2:$A$2918,1)))*100))</f>
        <v/>
      </c>
      <c r="Z1366" s="19">
        <f>IF(NOT(ISNUMBER($A1366)),NA(),IF(OR($A1366&lt;MIN(DKW_10Y!$A$2:$A$2918),$A1366&gt;MAX(DKW_10Y!$A$2:$A$2918),Settings!$B$16&lt;MIN(DKW_10Y!$A$2:$A$2918)),NA(),(INDEX(DKW_10Y!$D$2:$D$2918,MATCH($A1366,DKW_10Y!$A$2:$A$2918,1))-INDEX(DKW_10Y!$D$2:$D$2918,MATCH(Settings!$B$16,DKW_10Y!$A$2:$A$2918,1)))*100))</f>
        <v/>
      </c>
      <c r="AA1366" s="19">
        <f>IF(NOT(ISNUMBER($A1366)),NA(),IF(OR($A1366&lt;MIN(DKW_10Y!$A$2:$A$2918),$A1366&gt;MAX(DKW_10Y!$A$2:$A$2918),Settings!$B$16&lt;MIN(DKW_10Y!$A$2:$A$2918)),NA(),(INDEX(DKW_10Y!$E$2:$E$2918,MATCH($A1366,DKW_10Y!$A$2:$A$2918,1))-INDEX(DKW_10Y!$E$2:$E$2918,MATCH(Settings!$B$16,DKW_10Y!$A$2:$A$2918,1)))*100))</f>
        <v/>
      </c>
      <c r="AB1366" s="19">
        <f>IF(NOT(ISNUMBER($A1366)),NA(),IF(OR($A1366&lt;MIN(DKW_10Y!$A$2:$A$2918),$A1366&gt;MAX(DKW_10Y!$A$2:$A$2918),Settings!$B$16&lt;MIN(DKW_10Y!$A$2:$A$2918)),NA(),(INDEX(DKW_10Y!$H$2:$H$2918,MATCH($A1366,DKW_10Y!$A$2:$A$2918,1))-INDEX(DKW_10Y!$H$2:$H$2918,MATCH(Settings!$B$16,DKW_10Y!$A$2:$A$2918,1)))*100))</f>
        <v/>
      </c>
      <c r="AC1366" s="18">
        <f>IF(NOT(ISNUMBER($A1366)),NA(),IFERROR(1*INDEX(BBG_Data!$N$2:$N$4000,MATCH($A1366,BBG_Data!$M$2:$M$4000,0)),NA()))</f>
        <v/>
      </c>
      <c r="AD1366" s="18">
        <f>IF(NOT(ISNUMBER($A1366)),NA(),IFERROR(1*INDEX(BBG_Data!$P$2:$P$4000,MATCH($A1366,BBG_Data!$O$2:$O$4000,0)),NA()))</f>
        <v/>
      </c>
      <c r="AE1366" s="18">
        <f>IF(NOT(ISNUMBER($A1366)),NA(),IFERROR(1*INDEX(BBG_Data!$R$2:$R$4000,MATCH($A1366,BBG_Data!$Q$2:$Q$4000,0)),NA()))</f>
        <v/>
      </c>
      <c r="AF1366" s="20">
        <f>IF(AND(ISNUMBER(B1366),ISNUMBER(AC1366)),(B1366-AC1366)*100,NA())</f>
        <v/>
      </c>
      <c r="AG1366" s="20">
        <f>IF(AND(ISNUMBER(AE1366),ISNUMBER(AD1366)),(AE1366-AD1366)*100,NA())</f>
        <v/>
      </c>
      <c r="AH1366" s="19">
        <f>IF(NOT(ISNUMBER($A1366)),NA(),IFERROR(INDEX(BBG_Data!$T$2:$T$4000,MATCH($A1366,BBG_Data!$S$2:$S$4000,0))*Settings!$B$25,NA()))</f>
        <v/>
      </c>
      <c r="AI1366" s="19">
        <f>IF(NOT(ISNUMBER($A1366)),NA(),IFERROR(INDEX(BBG_Data!$V$2:$V$4000,MATCH($A1366,BBG_Data!$U$2:$U$4000,0))*Settings!$B$25,NA()))</f>
        <v/>
      </c>
      <c r="AJ1366" s="19">
        <f>IF(NOT(ISNUMBER($A1366)),NA(),IFERROR(1*INDEX(BBG_Data!$X$2:$X$4000,MATCH($A1366,BBG_Data!$W$2:$W$4000,0)),NA()))</f>
        <v/>
      </c>
      <c r="AK1366" s="19">
        <f>IF(NOT(ISNUMBER($A1366)),NA(),IFERROR(1*INDEX(BBG_Data!$Z$2:$Z$4000,MATCH($A1366,BBG_Data!$Y$2:$Y$4000,0)),NA()))</f>
        <v/>
      </c>
    </row>
    <row r="1367">
      <c r="A1367" s="17">
        <f>IF(ISNUMBER(BBG_Data!A1367),BBG_Data!A1367,"")</f>
        <v/>
      </c>
      <c r="B1367" s="18">
        <f>IF(AND(ISNUMBER($A1367),ISNUMBER(BBG_Data!B1367)),BBG_Data!B1367,NA())</f>
        <v/>
      </c>
      <c r="C1367" s="18">
        <f>IF(NOT(ISNUMBER($A1367)),NA(),IFERROR(1*INDEX(BBG_Data!$D$2:$D$4000,MATCH($A1367,BBG_Data!$C$2:$C$4000,0)),NA()))</f>
        <v/>
      </c>
      <c r="D1367" s="19">
        <f>IF(NOT(ISNUMBER($A1367)),NA(),IFERROR(1*INDEX(BBG_Data!$F$2:$F$4000,MATCH($A1367,BBG_Data!$E$2:$E$4000,0)),NA()))</f>
        <v/>
      </c>
      <c r="E1367" s="19">
        <f>IF(NOT(ISNUMBER($A1367)),NA(),IFERROR(1*INDEX(BBG_Data!$H$2:$H$4000,MATCH($A1367,BBG_Data!$G$2:$G$4000,0)),NA()))</f>
        <v/>
      </c>
      <c r="F1367" s="20">
        <f>IF(AND(ISNUMBER(B1367),ISNUMBER(B1366)),IF(B1367=B1366,"",(B1367-B1366)*100),"")</f>
        <v/>
      </c>
      <c r="G1367" s="20">
        <f>IF(AND(ISNUMBER(C1367),ISNUMBER(C1366)),IF(C1367=C1366,"",(C1367-C1366)*100),"")</f>
        <v/>
      </c>
      <c r="H1367" s="20">
        <f>IF(OR(NOT(ISNUMBER($A1367)),ROW()-2&lt;Settings!$B$11),NA(),IF(COUNT(OFFSET(F1367,1-Settings!$B$11,0,Settings!$B$11,1))&lt;ROUNDUP(Settings!$B$11*Settings!$B$26,0),NA(),STDEV(OFFSET(F1367,1-Settings!$B$11,0,Settings!$B$11,1))*SQRT(Settings!$B$13)))</f>
        <v/>
      </c>
      <c r="I1367" s="20">
        <f>IF(OR(NOT(ISNUMBER($A1367)),ROW()-2&lt;Settings!$B$12),NA(),IF(COUNT(OFFSET(F1367,1-Settings!$B$12,0,Settings!$B$12,1))&lt;ROUNDUP(Settings!$B$12*Settings!$B$26,0),NA(),STDEV(OFFSET(F1367,1-Settings!$B$12,0,Settings!$B$12,1))*SQRT(Settings!$B$13)))</f>
        <v/>
      </c>
      <c r="J1367" s="20">
        <f>IF(OR(NOT(ISNUMBER($A1367)),ROW()-2&lt;Settings!$B$11),NA(),IF(COUNT(OFFSET(G1367,1-Settings!$B$11,0,Settings!$B$11,1))&lt;ROUNDUP(Settings!$B$11*Settings!$B$26,0),NA(),STDEV(OFFSET(G1367,1-Settings!$B$11,0,Settings!$B$11,1))*SQRT(Settings!$B$13)))</f>
        <v/>
      </c>
      <c r="K1367" s="20">
        <f>IF(OR(NOT(ISNUMBER($A1367)),ROW()-2&lt;Settings!$B$12),NA(),IF(COUNT(OFFSET(G1367,1-Settings!$B$12,0,Settings!$B$12,1))&lt;ROUNDUP(Settings!$B$12*Settings!$B$26,0),NA(),STDEV(OFFSET(G1367,1-Settings!$B$12,0,Settings!$B$12,1))*SQRT(Settings!$B$13)))</f>
        <v/>
      </c>
      <c r="L1367" s="20">
        <f>IF(AND(ISNUMBER(D1367),ISNUMBER(H1367)),D1367-H1367,NA())</f>
        <v/>
      </c>
      <c r="M1367" s="20">
        <f>IF(AND(ISNUMBER(E1367),ISNUMBER(K1367)),E1367-K1367,NA())</f>
        <v/>
      </c>
      <c r="N1367" s="20">
        <f>IF(NOT(ISNUMBER($A1367)),NA(),IF(COUNT(OFFSET(G1367,1,0,Settings!$B$12,1))&lt;ROUNDUP(Settings!$B$12*Settings!$B$26,0),NA(),STDEV(OFFSET(G1367,1,0,Settings!$B$12,1))*SQRT(Settings!$B$13)))</f>
        <v/>
      </c>
      <c r="O1367" s="20">
        <f>IF(AND(ISNUMBER(E1367),ISNUMBER(N1367)),E1367-N1367,NA())</f>
        <v/>
      </c>
      <c r="P1367" s="19">
        <f>IF(NOT(ISNUMBER($A1367)),NA(),IF(OR($A1367&lt;MIN(KW_TP!$A$2:$A$2501),$A1367&gt;MAX(KW_TP!$A$2:$A$2501)),NA(),INDEX(KW_TP!$C$2:$C$2501,MATCH($A1367,KW_TP!$A$2:$A$2501,1))))</f>
        <v/>
      </c>
      <c r="Q1367" s="18">
        <f>IF(NOT(ISNUMBER($A1367)),NA(),IFERROR(1*INDEX(BBG_Data!$J$2:$J$4000,MATCH($A1367,BBG_Data!$I$2:$I$4000,0)),NA()))</f>
        <v/>
      </c>
      <c r="R1367" s="18">
        <f>IF(NOT(ISNUMBER($A1367)),NA(),IFERROR(1*INDEX(BBG_Data!$L$2:$L$4000,MATCH($A1367,BBG_Data!$K$2:$K$4000,0)),NA()))</f>
        <v/>
      </c>
      <c r="S1367" s="20">
        <f>IF(AND(ISNUMBER(B1367),ISNUMBER(Q1367),ISNUMBER(R1367)),(B1367-Q1367-R1367)*100,NA())</f>
        <v/>
      </c>
      <c r="T1367" s="20">
        <f>IF(AND(ISNUMBER(B1367),Settings!$B$17&gt;0),IF(ISNUMBER(INDEX($B:$B,Settings!$B$17)),(B1367-INDEX($B:$B,Settings!$B$17))*100,NA()),NA())</f>
        <v/>
      </c>
      <c r="U1367" s="20">
        <f>IF(AND(ISNUMBER(Q1367),Settings!$B$17&gt;0),IF(ISNUMBER(INDEX($Q:$Q,Settings!$B$17)),(Q1367-INDEX($Q:$Q,Settings!$B$17))*100,NA()),NA())</f>
        <v/>
      </c>
      <c r="V1367" s="20">
        <f>IF(AND(ISNUMBER(R1367),Settings!$B$17&gt;0),IF(ISNUMBER(INDEX($R:$R,Settings!$B$17)),(R1367-INDEX($R:$R,Settings!$B$17))*100,NA()),NA())</f>
        <v/>
      </c>
      <c r="W1367" s="20">
        <f>IF(AND(ISNUMBER(P1367),Settings!$B$17&gt;0),IF(ISNUMBER(INDEX($P:$P,Settings!$B$17)),P1367-INDEX($P:$P,Settings!$B$17),NA()),NA())</f>
        <v/>
      </c>
      <c r="X1367" s="19">
        <f>IF(NOT(ISNUMBER($A1367)),NA(),IF(OR($A1367&lt;MIN(DKW_10Y!$A$2:$A$2918),$A1367&gt;MAX(DKW_10Y!$A$2:$A$2918),Settings!$B$16&lt;MIN(DKW_10Y!$A$2:$A$2918)),NA(),(INDEX(DKW_10Y!$B$2:$B$2918,MATCH($A1367,DKW_10Y!$A$2:$A$2918,1))-INDEX(DKW_10Y!$B$2:$B$2918,MATCH(Settings!$B$16,DKW_10Y!$A$2:$A$2918,1)))*100))</f>
        <v/>
      </c>
      <c r="Y1367" s="19">
        <f>IF(NOT(ISNUMBER($A1367)),NA(),IF(OR($A1367&lt;MIN(DKW_10Y!$A$2:$A$2918),$A1367&gt;MAX(DKW_10Y!$A$2:$A$2918),Settings!$B$16&lt;MIN(DKW_10Y!$A$2:$A$2918)),NA(),(INDEX(DKW_10Y!$C$2:$C$2918,MATCH($A1367,DKW_10Y!$A$2:$A$2918,1))-INDEX(DKW_10Y!$C$2:$C$2918,MATCH(Settings!$B$16,DKW_10Y!$A$2:$A$2918,1)))*100))</f>
        <v/>
      </c>
      <c r="Z1367" s="19">
        <f>IF(NOT(ISNUMBER($A1367)),NA(),IF(OR($A1367&lt;MIN(DKW_10Y!$A$2:$A$2918),$A1367&gt;MAX(DKW_10Y!$A$2:$A$2918),Settings!$B$16&lt;MIN(DKW_10Y!$A$2:$A$2918)),NA(),(INDEX(DKW_10Y!$D$2:$D$2918,MATCH($A1367,DKW_10Y!$A$2:$A$2918,1))-INDEX(DKW_10Y!$D$2:$D$2918,MATCH(Settings!$B$16,DKW_10Y!$A$2:$A$2918,1)))*100))</f>
        <v/>
      </c>
      <c r="AA1367" s="19">
        <f>IF(NOT(ISNUMBER($A1367)),NA(),IF(OR($A1367&lt;MIN(DKW_10Y!$A$2:$A$2918),$A1367&gt;MAX(DKW_10Y!$A$2:$A$2918),Settings!$B$16&lt;MIN(DKW_10Y!$A$2:$A$2918)),NA(),(INDEX(DKW_10Y!$E$2:$E$2918,MATCH($A1367,DKW_10Y!$A$2:$A$2918,1))-INDEX(DKW_10Y!$E$2:$E$2918,MATCH(Settings!$B$16,DKW_10Y!$A$2:$A$2918,1)))*100))</f>
        <v/>
      </c>
      <c r="AB1367" s="19">
        <f>IF(NOT(ISNUMBER($A1367)),NA(),IF(OR($A1367&lt;MIN(DKW_10Y!$A$2:$A$2918),$A1367&gt;MAX(DKW_10Y!$A$2:$A$2918),Settings!$B$16&lt;MIN(DKW_10Y!$A$2:$A$2918)),NA(),(INDEX(DKW_10Y!$H$2:$H$2918,MATCH($A1367,DKW_10Y!$A$2:$A$2918,1))-INDEX(DKW_10Y!$H$2:$H$2918,MATCH(Settings!$B$16,DKW_10Y!$A$2:$A$2918,1)))*100))</f>
        <v/>
      </c>
      <c r="AC1367" s="18">
        <f>IF(NOT(ISNUMBER($A1367)),NA(),IFERROR(1*INDEX(BBG_Data!$N$2:$N$4000,MATCH($A1367,BBG_Data!$M$2:$M$4000,0)),NA()))</f>
        <v/>
      </c>
      <c r="AD1367" s="18">
        <f>IF(NOT(ISNUMBER($A1367)),NA(),IFERROR(1*INDEX(BBG_Data!$P$2:$P$4000,MATCH($A1367,BBG_Data!$O$2:$O$4000,0)),NA()))</f>
        <v/>
      </c>
      <c r="AE1367" s="18">
        <f>IF(NOT(ISNUMBER($A1367)),NA(),IFERROR(1*INDEX(BBG_Data!$R$2:$R$4000,MATCH($A1367,BBG_Data!$Q$2:$Q$4000,0)),NA()))</f>
        <v/>
      </c>
      <c r="AF1367" s="20">
        <f>IF(AND(ISNUMBER(B1367),ISNUMBER(AC1367)),(B1367-AC1367)*100,NA())</f>
        <v/>
      </c>
      <c r="AG1367" s="20">
        <f>IF(AND(ISNUMBER(AE1367),ISNUMBER(AD1367)),(AE1367-AD1367)*100,NA())</f>
        <v/>
      </c>
      <c r="AH1367" s="19">
        <f>IF(NOT(ISNUMBER($A1367)),NA(),IFERROR(INDEX(BBG_Data!$T$2:$T$4000,MATCH($A1367,BBG_Data!$S$2:$S$4000,0))*Settings!$B$25,NA()))</f>
        <v/>
      </c>
      <c r="AI1367" s="19">
        <f>IF(NOT(ISNUMBER($A1367)),NA(),IFERROR(INDEX(BBG_Data!$V$2:$V$4000,MATCH($A1367,BBG_Data!$U$2:$U$4000,0))*Settings!$B$25,NA()))</f>
        <v/>
      </c>
      <c r="AJ1367" s="19">
        <f>IF(NOT(ISNUMBER($A1367)),NA(),IFERROR(1*INDEX(BBG_Data!$X$2:$X$4000,MATCH($A1367,BBG_Data!$W$2:$W$4000,0)),NA()))</f>
        <v/>
      </c>
      <c r="AK1367" s="19">
        <f>IF(NOT(ISNUMBER($A1367)),NA(),IFERROR(1*INDEX(BBG_Data!$Z$2:$Z$4000,MATCH($A1367,BBG_Data!$Y$2:$Y$4000,0)),NA()))</f>
        <v/>
      </c>
    </row>
    <row r="1368">
      <c r="A1368" s="17">
        <f>IF(ISNUMBER(BBG_Data!A1368),BBG_Data!A1368,"")</f>
        <v/>
      </c>
      <c r="B1368" s="18">
        <f>IF(AND(ISNUMBER($A1368),ISNUMBER(BBG_Data!B1368)),BBG_Data!B1368,NA())</f>
        <v/>
      </c>
      <c r="C1368" s="18">
        <f>IF(NOT(ISNUMBER($A1368)),NA(),IFERROR(1*INDEX(BBG_Data!$D$2:$D$4000,MATCH($A1368,BBG_Data!$C$2:$C$4000,0)),NA()))</f>
        <v/>
      </c>
      <c r="D1368" s="19">
        <f>IF(NOT(ISNUMBER($A1368)),NA(),IFERROR(1*INDEX(BBG_Data!$F$2:$F$4000,MATCH($A1368,BBG_Data!$E$2:$E$4000,0)),NA()))</f>
        <v/>
      </c>
      <c r="E1368" s="19">
        <f>IF(NOT(ISNUMBER($A1368)),NA(),IFERROR(1*INDEX(BBG_Data!$H$2:$H$4000,MATCH($A1368,BBG_Data!$G$2:$G$4000,0)),NA()))</f>
        <v/>
      </c>
      <c r="F1368" s="20">
        <f>IF(AND(ISNUMBER(B1368),ISNUMBER(B1367)),IF(B1368=B1367,"",(B1368-B1367)*100),"")</f>
        <v/>
      </c>
      <c r="G1368" s="20">
        <f>IF(AND(ISNUMBER(C1368),ISNUMBER(C1367)),IF(C1368=C1367,"",(C1368-C1367)*100),"")</f>
        <v/>
      </c>
      <c r="H1368" s="20">
        <f>IF(OR(NOT(ISNUMBER($A1368)),ROW()-2&lt;Settings!$B$11),NA(),IF(COUNT(OFFSET(F1368,1-Settings!$B$11,0,Settings!$B$11,1))&lt;ROUNDUP(Settings!$B$11*Settings!$B$26,0),NA(),STDEV(OFFSET(F1368,1-Settings!$B$11,0,Settings!$B$11,1))*SQRT(Settings!$B$13)))</f>
        <v/>
      </c>
      <c r="I1368" s="20">
        <f>IF(OR(NOT(ISNUMBER($A1368)),ROW()-2&lt;Settings!$B$12),NA(),IF(COUNT(OFFSET(F1368,1-Settings!$B$12,0,Settings!$B$12,1))&lt;ROUNDUP(Settings!$B$12*Settings!$B$26,0),NA(),STDEV(OFFSET(F1368,1-Settings!$B$12,0,Settings!$B$12,1))*SQRT(Settings!$B$13)))</f>
        <v/>
      </c>
      <c r="J1368" s="20">
        <f>IF(OR(NOT(ISNUMBER($A1368)),ROW()-2&lt;Settings!$B$11),NA(),IF(COUNT(OFFSET(G1368,1-Settings!$B$11,0,Settings!$B$11,1))&lt;ROUNDUP(Settings!$B$11*Settings!$B$26,0),NA(),STDEV(OFFSET(G1368,1-Settings!$B$11,0,Settings!$B$11,1))*SQRT(Settings!$B$13)))</f>
        <v/>
      </c>
      <c r="K1368" s="20">
        <f>IF(OR(NOT(ISNUMBER($A1368)),ROW()-2&lt;Settings!$B$12),NA(),IF(COUNT(OFFSET(G1368,1-Settings!$B$12,0,Settings!$B$12,1))&lt;ROUNDUP(Settings!$B$12*Settings!$B$26,0),NA(),STDEV(OFFSET(G1368,1-Settings!$B$12,0,Settings!$B$12,1))*SQRT(Settings!$B$13)))</f>
        <v/>
      </c>
      <c r="L1368" s="20">
        <f>IF(AND(ISNUMBER(D1368),ISNUMBER(H1368)),D1368-H1368,NA())</f>
        <v/>
      </c>
      <c r="M1368" s="20">
        <f>IF(AND(ISNUMBER(E1368),ISNUMBER(K1368)),E1368-K1368,NA())</f>
        <v/>
      </c>
      <c r="N1368" s="20">
        <f>IF(NOT(ISNUMBER($A1368)),NA(),IF(COUNT(OFFSET(G1368,1,0,Settings!$B$12,1))&lt;ROUNDUP(Settings!$B$12*Settings!$B$26,0),NA(),STDEV(OFFSET(G1368,1,0,Settings!$B$12,1))*SQRT(Settings!$B$13)))</f>
        <v/>
      </c>
      <c r="O1368" s="20">
        <f>IF(AND(ISNUMBER(E1368),ISNUMBER(N1368)),E1368-N1368,NA())</f>
        <v/>
      </c>
      <c r="P1368" s="19">
        <f>IF(NOT(ISNUMBER($A1368)),NA(),IF(OR($A1368&lt;MIN(KW_TP!$A$2:$A$2501),$A1368&gt;MAX(KW_TP!$A$2:$A$2501)),NA(),INDEX(KW_TP!$C$2:$C$2501,MATCH($A1368,KW_TP!$A$2:$A$2501,1))))</f>
        <v/>
      </c>
      <c r="Q1368" s="18">
        <f>IF(NOT(ISNUMBER($A1368)),NA(),IFERROR(1*INDEX(BBG_Data!$J$2:$J$4000,MATCH($A1368,BBG_Data!$I$2:$I$4000,0)),NA()))</f>
        <v/>
      </c>
      <c r="R1368" s="18">
        <f>IF(NOT(ISNUMBER($A1368)),NA(),IFERROR(1*INDEX(BBG_Data!$L$2:$L$4000,MATCH($A1368,BBG_Data!$K$2:$K$4000,0)),NA()))</f>
        <v/>
      </c>
      <c r="S1368" s="20">
        <f>IF(AND(ISNUMBER(B1368),ISNUMBER(Q1368),ISNUMBER(R1368)),(B1368-Q1368-R1368)*100,NA())</f>
        <v/>
      </c>
      <c r="T1368" s="20">
        <f>IF(AND(ISNUMBER(B1368),Settings!$B$17&gt;0),IF(ISNUMBER(INDEX($B:$B,Settings!$B$17)),(B1368-INDEX($B:$B,Settings!$B$17))*100,NA()),NA())</f>
        <v/>
      </c>
      <c r="U1368" s="20">
        <f>IF(AND(ISNUMBER(Q1368),Settings!$B$17&gt;0),IF(ISNUMBER(INDEX($Q:$Q,Settings!$B$17)),(Q1368-INDEX($Q:$Q,Settings!$B$17))*100,NA()),NA())</f>
        <v/>
      </c>
      <c r="V1368" s="20">
        <f>IF(AND(ISNUMBER(R1368),Settings!$B$17&gt;0),IF(ISNUMBER(INDEX($R:$R,Settings!$B$17)),(R1368-INDEX($R:$R,Settings!$B$17))*100,NA()),NA())</f>
        <v/>
      </c>
      <c r="W1368" s="20">
        <f>IF(AND(ISNUMBER(P1368),Settings!$B$17&gt;0),IF(ISNUMBER(INDEX($P:$P,Settings!$B$17)),P1368-INDEX($P:$P,Settings!$B$17),NA()),NA())</f>
        <v/>
      </c>
      <c r="X1368" s="19">
        <f>IF(NOT(ISNUMBER($A1368)),NA(),IF(OR($A1368&lt;MIN(DKW_10Y!$A$2:$A$2918),$A1368&gt;MAX(DKW_10Y!$A$2:$A$2918),Settings!$B$16&lt;MIN(DKW_10Y!$A$2:$A$2918)),NA(),(INDEX(DKW_10Y!$B$2:$B$2918,MATCH($A1368,DKW_10Y!$A$2:$A$2918,1))-INDEX(DKW_10Y!$B$2:$B$2918,MATCH(Settings!$B$16,DKW_10Y!$A$2:$A$2918,1)))*100))</f>
        <v/>
      </c>
      <c r="Y1368" s="19">
        <f>IF(NOT(ISNUMBER($A1368)),NA(),IF(OR($A1368&lt;MIN(DKW_10Y!$A$2:$A$2918),$A1368&gt;MAX(DKW_10Y!$A$2:$A$2918),Settings!$B$16&lt;MIN(DKW_10Y!$A$2:$A$2918)),NA(),(INDEX(DKW_10Y!$C$2:$C$2918,MATCH($A1368,DKW_10Y!$A$2:$A$2918,1))-INDEX(DKW_10Y!$C$2:$C$2918,MATCH(Settings!$B$16,DKW_10Y!$A$2:$A$2918,1)))*100))</f>
        <v/>
      </c>
      <c r="Z1368" s="19">
        <f>IF(NOT(ISNUMBER($A1368)),NA(),IF(OR($A1368&lt;MIN(DKW_10Y!$A$2:$A$2918),$A1368&gt;MAX(DKW_10Y!$A$2:$A$2918),Settings!$B$16&lt;MIN(DKW_10Y!$A$2:$A$2918)),NA(),(INDEX(DKW_10Y!$D$2:$D$2918,MATCH($A1368,DKW_10Y!$A$2:$A$2918,1))-INDEX(DKW_10Y!$D$2:$D$2918,MATCH(Settings!$B$16,DKW_10Y!$A$2:$A$2918,1)))*100))</f>
        <v/>
      </c>
      <c r="AA1368" s="19">
        <f>IF(NOT(ISNUMBER($A1368)),NA(),IF(OR($A1368&lt;MIN(DKW_10Y!$A$2:$A$2918),$A1368&gt;MAX(DKW_10Y!$A$2:$A$2918),Settings!$B$16&lt;MIN(DKW_10Y!$A$2:$A$2918)),NA(),(INDEX(DKW_10Y!$E$2:$E$2918,MATCH($A1368,DKW_10Y!$A$2:$A$2918,1))-INDEX(DKW_10Y!$E$2:$E$2918,MATCH(Settings!$B$16,DKW_10Y!$A$2:$A$2918,1)))*100))</f>
        <v/>
      </c>
      <c r="AB1368" s="19">
        <f>IF(NOT(ISNUMBER($A1368)),NA(),IF(OR($A1368&lt;MIN(DKW_10Y!$A$2:$A$2918),$A1368&gt;MAX(DKW_10Y!$A$2:$A$2918),Settings!$B$16&lt;MIN(DKW_10Y!$A$2:$A$2918)),NA(),(INDEX(DKW_10Y!$H$2:$H$2918,MATCH($A1368,DKW_10Y!$A$2:$A$2918,1))-INDEX(DKW_10Y!$H$2:$H$2918,MATCH(Settings!$B$16,DKW_10Y!$A$2:$A$2918,1)))*100))</f>
        <v/>
      </c>
      <c r="AC1368" s="18">
        <f>IF(NOT(ISNUMBER($A1368)),NA(),IFERROR(1*INDEX(BBG_Data!$N$2:$N$4000,MATCH($A1368,BBG_Data!$M$2:$M$4000,0)),NA()))</f>
        <v/>
      </c>
      <c r="AD1368" s="18">
        <f>IF(NOT(ISNUMBER($A1368)),NA(),IFERROR(1*INDEX(BBG_Data!$P$2:$P$4000,MATCH($A1368,BBG_Data!$O$2:$O$4000,0)),NA()))</f>
        <v/>
      </c>
      <c r="AE1368" s="18">
        <f>IF(NOT(ISNUMBER($A1368)),NA(),IFERROR(1*INDEX(BBG_Data!$R$2:$R$4000,MATCH($A1368,BBG_Data!$Q$2:$Q$4000,0)),NA()))</f>
        <v/>
      </c>
      <c r="AF1368" s="20">
        <f>IF(AND(ISNUMBER(B1368),ISNUMBER(AC1368)),(B1368-AC1368)*100,NA())</f>
        <v/>
      </c>
      <c r="AG1368" s="20">
        <f>IF(AND(ISNUMBER(AE1368),ISNUMBER(AD1368)),(AE1368-AD1368)*100,NA())</f>
        <v/>
      </c>
      <c r="AH1368" s="19">
        <f>IF(NOT(ISNUMBER($A1368)),NA(),IFERROR(INDEX(BBG_Data!$T$2:$T$4000,MATCH($A1368,BBG_Data!$S$2:$S$4000,0))*Settings!$B$25,NA()))</f>
        <v/>
      </c>
      <c r="AI1368" s="19">
        <f>IF(NOT(ISNUMBER($A1368)),NA(),IFERROR(INDEX(BBG_Data!$V$2:$V$4000,MATCH($A1368,BBG_Data!$U$2:$U$4000,0))*Settings!$B$25,NA()))</f>
        <v/>
      </c>
      <c r="AJ1368" s="19">
        <f>IF(NOT(ISNUMBER($A1368)),NA(),IFERROR(1*INDEX(BBG_Data!$X$2:$X$4000,MATCH($A1368,BBG_Data!$W$2:$W$4000,0)),NA()))</f>
        <v/>
      </c>
      <c r="AK1368" s="19">
        <f>IF(NOT(ISNUMBER($A1368)),NA(),IFERROR(1*INDEX(BBG_Data!$Z$2:$Z$4000,MATCH($A1368,BBG_Data!$Y$2:$Y$4000,0)),NA()))</f>
        <v/>
      </c>
    </row>
    <row r="1369">
      <c r="A1369" s="17">
        <f>IF(ISNUMBER(BBG_Data!A1369),BBG_Data!A1369,"")</f>
        <v/>
      </c>
      <c r="B1369" s="18">
        <f>IF(AND(ISNUMBER($A1369),ISNUMBER(BBG_Data!B1369)),BBG_Data!B1369,NA())</f>
        <v/>
      </c>
      <c r="C1369" s="18">
        <f>IF(NOT(ISNUMBER($A1369)),NA(),IFERROR(1*INDEX(BBG_Data!$D$2:$D$4000,MATCH($A1369,BBG_Data!$C$2:$C$4000,0)),NA()))</f>
        <v/>
      </c>
      <c r="D1369" s="19">
        <f>IF(NOT(ISNUMBER($A1369)),NA(),IFERROR(1*INDEX(BBG_Data!$F$2:$F$4000,MATCH($A1369,BBG_Data!$E$2:$E$4000,0)),NA()))</f>
        <v/>
      </c>
      <c r="E1369" s="19">
        <f>IF(NOT(ISNUMBER($A1369)),NA(),IFERROR(1*INDEX(BBG_Data!$H$2:$H$4000,MATCH($A1369,BBG_Data!$G$2:$G$4000,0)),NA()))</f>
        <v/>
      </c>
      <c r="F1369" s="20">
        <f>IF(AND(ISNUMBER(B1369),ISNUMBER(B1368)),IF(B1369=B1368,"",(B1369-B1368)*100),"")</f>
        <v/>
      </c>
      <c r="G1369" s="20">
        <f>IF(AND(ISNUMBER(C1369),ISNUMBER(C1368)),IF(C1369=C1368,"",(C1369-C1368)*100),"")</f>
        <v/>
      </c>
      <c r="H1369" s="20">
        <f>IF(OR(NOT(ISNUMBER($A1369)),ROW()-2&lt;Settings!$B$11),NA(),IF(COUNT(OFFSET(F1369,1-Settings!$B$11,0,Settings!$B$11,1))&lt;ROUNDUP(Settings!$B$11*Settings!$B$26,0),NA(),STDEV(OFFSET(F1369,1-Settings!$B$11,0,Settings!$B$11,1))*SQRT(Settings!$B$13)))</f>
        <v/>
      </c>
      <c r="I1369" s="20">
        <f>IF(OR(NOT(ISNUMBER($A1369)),ROW()-2&lt;Settings!$B$12),NA(),IF(COUNT(OFFSET(F1369,1-Settings!$B$12,0,Settings!$B$12,1))&lt;ROUNDUP(Settings!$B$12*Settings!$B$26,0),NA(),STDEV(OFFSET(F1369,1-Settings!$B$12,0,Settings!$B$12,1))*SQRT(Settings!$B$13)))</f>
        <v/>
      </c>
      <c r="J1369" s="20">
        <f>IF(OR(NOT(ISNUMBER($A1369)),ROW()-2&lt;Settings!$B$11),NA(),IF(COUNT(OFFSET(G1369,1-Settings!$B$11,0,Settings!$B$11,1))&lt;ROUNDUP(Settings!$B$11*Settings!$B$26,0),NA(),STDEV(OFFSET(G1369,1-Settings!$B$11,0,Settings!$B$11,1))*SQRT(Settings!$B$13)))</f>
        <v/>
      </c>
      <c r="K1369" s="20">
        <f>IF(OR(NOT(ISNUMBER($A1369)),ROW()-2&lt;Settings!$B$12),NA(),IF(COUNT(OFFSET(G1369,1-Settings!$B$12,0,Settings!$B$12,1))&lt;ROUNDUP(Settings!$B$12*Settings!$B$26,0),NA(),STDEV(OFFSET(G1369,1-Settings!$B$12,0,Settings!$B$12,1))*SQRT(Settings!$B$13)))</f>
        <v/>
      </c>
      <c r="L1369" s="20">
        <f>IF(AND(ISNUMBER(D1369),ISNUMBER(H1369)),D1369-H1369,NA())</f>
        <v/>
      </c>
      <c r="M1369" s="20">
        <f>IF(AND(ISNUMBER(E1369),ISNUMBER(K1369)),E1369-K1369,NA())</f>
        <v/>
      </c>
      <c r="N1369" s="20">
        <f>IF(NOT(ISNUMBER($A1369)),NA(),IF(COUNT(OFFSET(G1369,1,0,Settings!$B$12,1))&lt;ROUNDUP(Settings!$B$12*Settings!$B$26,0),NA(),STDEV(OFFSET(G1369,1,0,Settings!$B$12,1))*SQRT(Settings!$B$13)))</f>
        <v/>
      </c>
      <c r="O1369" s="20">
        <f>IF(AND(ISNUMBER(E1369),ISNUMBER(N1369)),E1369-N1369,NA())</f>
        <v/>
      </c>
      <c r="P1369" s="19">
        <f>IF(NOT(ISNUMBER($A1369)),NA(),IF(OR($A1369&lt;MIN(KW_TP!$A$2:$A$2501),$A1369&gt;MAX(KW_TP!$A$2:$A$2501)),NA(),INDEX(KW_TP!$C$2:$C$2501,MATCH($A1369,KW_TP!$A$2:$A$2501,1))))</f>
        <v/>
      </c>
      <c r="Q1369" s="18">
        <f>IF(NOT(ISNUMBER($A1369)),NA(),IFERROR(1*INDEX(BBG_Data!$J$2:$J$4000,MATCH($A1369,BBG_Data!$I$2:$I$4000,0)),NA()))</f>
        <v/>
      </c>
      <c r="R1369" s="18">
        <f>IF(NOT(ISNUMBER($A1369)),NA(),IFERROR(1*INDEX(BBG_Data!$L$2:$L$4000,MATCH($A1369,BBG_Data!$K$2:$K$4000,0)),NA()))</f>
        <v/>
      </c>
      <c r="S1369" s="20">
        <f>IF(AND(ISNUMBER(B1369),ISNUMBER(Q1369),ISNUMBER(R1369)),(B1369-Q1369-R1369)*100,NA())</f>
        <v/>
      </c>
      <c r="T1369" s="20">
        <f>IF(AND(ISNUMBER(B1369),Settings!$B$17&gt;0),IF(ISNUMBER(INDEX($B:$B,Settings!$B$17)),(B1369-INDEX($B:$B,Settings!$B$17))*100,NA()),NA())</f>
        <v/>
      </c>
      <c r="U1369" s="20">
        <f>IF(AND(ISNUMBER(Q1369),Settings!$B$17&gt;0),IF(ISNUMBER(INDEX($Q:$Q,Settings!$B$17)),(Q1369-INDEX($Q:$Q,Settings!$B$17))*100,NA()),NA())</f>
        <v/>
      </c>
      <c r="V1369" s="20">
        <f>IF(AND(ISNUMBER(R1369),Settings!$B$17&gt;0),IF(ISNUMBER(INDEX($R:$R,Settings!$B$17)),(R1369-INDEX($R:$R,Settings!$B$17))*100,NA()),NA())</f>
        <v/>
      </c>
      <c r="W1369" s="20">
        <f>IF(AND(ISNUMBER(P1369),Settings!$B$17&gt;0),IF(ISNUMBER(INDEX($P:$P,Settings!$B$17)),P1369-INDEX($P:$P,Settings!$B$17),NA()),NA())</f>
        <v/>
      </c>
      <c r="X1369" s="19">
        <f>IF(NOT(ISNUMBER($A1369)),NA(),IF(OR($A1369&lt;MIN(DKW_10Y!$A$2:$A$2918),$A1369&gt;MAX(DKW_10Y!$A$2:$A$2918),Settings!$B$16&lt;MIN(DKW_10Y!$A$2:$A$2918)),NA(),(INDEX(DKW_10Y!$B$2:$B$2918,MATCH($A1369,DKW_10Y!$A$2:$A$2918,1))-INDEX(DKW_10Y!$B$2:$B$2918,MATCH(Settings!$B$16,DKW_10Y!$A$2:$A$2918,1)))*100))</f>
        <v/>
      </c>
      <c r="Y1369" s="19">
        <f>IF(NOT(ISNUMBER($A1369)),NA(),IF(OR($A1369&lt;MIN(DKW_10Y!$A$2:$A$2918),$A1369&gt;MAX(DKW_10Y!$A$2:$A$2918),Settings!$B$16&lt;MIN(DKW_10Y!$A$2:$A$2918)),NA(),(INDEX(DKW_10Y!$C$2:$C$2918,MATCH($A1369,DKW_10Y!$A$2:$A$2918,1))-INDEX(DKW_10Y!$C$2:$C$2918,MATCH(Settings!$B$16,DKW_10Y!$A$2:$A$2918,1)))*100))</f>
        <v/>
      </c>
      <c r="Z1369" s="19">
        <f>IF(NOT(ISNUMBER($A1369)),NA(),IF(OR($A1369&lt;MIN(DKW_10Y!$A$2:$A$2918),$A1369&gt;MAX(DKW_10Y!$A$2:$A$2918),Settings!$B$16&lt;MIN(DKW_10Y!$A$2:$A$2918)),NA(),(INDEX(DKW_10Y!$D$2:$D$2918,MATCH($A1369,DKW_10Y!$A$2:$A$2918,1))-INDEX(DKW_10Y!$D$2:$D$2918,MATCH(Settings!$B$16,DKW_10Y!$A$2:$A$2918,1)))*100))</f>
        <v/>
      </c>
      <c r="AA1369" s="19">
        <f>IF(NOT(ISNUMBER($A1369)),NA(),IF(OR($A1369&lt;MIN(DKW_10Y!$A$2:$A$2918),$A1369&gt;MAX(DKW_10Y!$A$2:$A$2918),Settings!$B$16&lt;MIN(DKW_10Y!$A$2:$A$2918)),NA(),(INDEX(DKW_10Y!$E$2:$E$2918,MATCH($A1369,DKW_10Y!$A$2:$A$2918,1))-INDEX(DKW_10Y!$E$2:$E$2918,MATCH(Settings!$B$16,DKW_10Y!$A$2:$A$2918,1)))*100))</f>
        <v/>
      </c>
      <c r="AB1369" s="19">
        <f>IF(NOT(ISNUMBER($A1369)),NA(),IF(OR($A1369&lt;MIN(DKW_10Y!$A$2:$A$2918),$A1369&gt;MAX(DKW_10Y!$A$2:$A$2918),Settings!$B$16&lt;MIN(DKW_10Y!$A$2:$A$2918)),NA(),(INDEX(DKW_10Y!$H$2:$H$2918,MATCH($A1369,DKW_10Y!$A$2:$A$2918,1))-INDEX(DKW_10Y!$H$2:$H$2918,MATCH(Settings!$B$16,DKW_10Y!$A$2:$A$2918,1)))*100))</f>
        <v/>
      </c>
      <c r="AC1369" s="18">
        <f>IF(NOT(ISNUMBER($A1369)),NA(),IFERROR(1*INDEX(BBG_Data!$N$2:$N$4000,MATCH($A1369,BBG_Data!$M$2:$M$4000,0)),NA()))</f>
        <v/>
      </c>
      <c r="AD1369" s="18">
        <f>IF(NOT(ISNUMBER($A1369)),NA(),IFERROR(1*INDEX(BBG_Data!$P$2:$P$4000,MATCH($A1369,BBG_Data!$O$2:$O$4000,0)),NA()))</f>
        <v/>
      </c>
      <c r="AE1369" s="18">
        <f>IF(NOT(ISNUMBER($A1369)),NA(),IFERROR(1*INDEX(BBG_Data!$R$2:$R$4000,MATCH($A1369,BBG_Data!$Q$2:$Q$4000,0)),NA()))</f>
        <v/>
      </c>
      <c r="AF1369" s="20">
        <f>IF(AND(ISNUMBER(B1369),ISNUMBER(AC1369)),(B1369-AC1369)*100,NA())</f>
        <v/>
      </c>
      <c r="AG1369" s="20">
        <f>IF(AND(ISNUMBER(AE1369),ISNUMBER(AD1369)),(AE1369-AD1369)*100,NA())</f>
        <v/>
      </c>
      <c r="AH1369" s="19">
        <f>IF(NOT(ISNUMBER($A1369)),NA(),IFERROR(INDEX(BBG_Data!$T$2:$T$4000,MATCH($A1369,BBG_Data!$S$2:$S$4000,0))*Settings!$B$25,NA()))</f>
        <v/>
      </c>
      <c r="AI1369" s="19">
        <f>IF(NOT(ISNUMBER($A1369)),NA(),IFERROR(INDEX(BBG_Data!$V$2:$V$4000,MATCH($A1369,BBG_Data!$U$2:$U$4000,0))*Settings!$B$25,NA()))</f>
        <v/>
      </c>
      <c r="AJ1369" s="19">
        <f>IF(NOT(ISNUMBER($A1369)),NA(),IFERROR(1*INDEX(BBG_Data!$X$2:$X$4000,MATCH($A1369,BBG_Data!$W$2:$W$4000,0)),NA()))</f>
        <v/>
      </c>
      <c r="AK1369" s="19">
        <f>IF(NOT(ISNUMBER($A1369)),NA(),IFERROR(1*INDEX(BBG_Data!$Z$2:$Z$4000,MATCH($A1369,BBG_Data!$Y$2:$Y$4000,0)),NA()))</f>
        <v/>
      </c>
    </row>
    <row r="1370">
      <c r="A1370" s="17">
        <f>IF(ISNUMBER(BBG_Data!A1370),BBG_Data!A1370,"")</f>
        <v/>
      </c>
      <c r="B1370" s="18">
        <f>IF(AND(ISNUMBER($A1370),ISNUMBER(BBG_Data!B1370)),BBG_Data!B1370,NA())</f>
        <v/>
      </c>
      <c r="C1370" s="18">
        <f>IF(NOT(ISNUMBER($A1370)),NA(),IFERROR(1*INDEX(BBG_Data!$D$2:$D$4000,MATCH($A1370,BBG_Data!$C$2:$C$4000,0)),NA()))</f>
        <v/>
      </c>
      <c r="D1370" s="19">
        <f>IF(NOT(ISNUMBER($A1370)),NA(),IFERROR(1*INDEX(BBG_Data!$F$2:$F$4000,MATCH($A1370,BBG_Data!$E$2:$E$4000,0)),NA()))</f>
        <v/>
      </c>
      <c r="E1370" s="19">
        <f>IF(NOT(ISNUMBER($A1370)),NA(),IFERROR(1*INDEX(BBG_Data!$H$2:$H$4000,MATCH($A1370,BBG_Data!$G$2:$G$4000,0)),NA()))</f>
        <v/>
      </c>
      <c r="F1370" s="20">
        <f>IF(AND(ISNUMBER(B1370),ISNUMBER(B1369)),IF(B1370=B1369,"",(B1370-B1369)*100),"")</f>
        <v/>
      </c>
      <c r="G1370" s="20">
        <f>IF(AND(ISNUMBER(C1370),ISNUMBER(C1369)),IF(C1370=C1369,"",(C1370-C1369)*100),"")</f>
        <v/>
      </c>
      <c r="H1370" s="20">
        <f>IF(OR(NOT(ISNUMBER($A1370)),ROW()-2&lt;Settings!$B$11),NA(),IF(COUNT(OFFSET(F1370,1-Settings!$B$11,0,Settings!$B$11,1))&lt;ROUNDUP(Settings!$B$11*Settings!$B$26,0),NA(),STDEV(OFFSET(F1370,1-Settings!$B$11,0,Settings!$B$11,1))*SQRT(Settings!$B$13)))</f>
        <v/>
      </c>
      <c r="I1370" s="20">
        <f>IF(OR(NOT(ISNUMBER($A1370)),ROW()-2&lt;Settings!$B$12),NA(),IF(COUNT(OFFSET(F1370,1-Settings!$B$12,0,Settings!$B$12,1))&lt;ROUNDUP(Settings!$B$12*Settings!$B$26,0),NA(),STDEV(OFFSET(F1370,1-Settings!$B$12,0,Settings!$B$12,1))*SQRT(Settings!$B$13)))</f>
        <v/>
      </c>
      <c r="J1370" s="20">
        <f>IF(OR(NOT(ISNUMBER($A1370)),ROW()-2&lt;Settings!$B$11),NA(),IF(COUNT(OFFSET(G1370,1-Settings!$B$11,0,Settings!$B$11,1))&lt;ROUNDUP(Settings!$B$11*Settings!$B$26,0),NA(),STDEV(OFFSET(G1370,1-Settings!$B$11,0,Settings!$B$11,1))*SQRT(Settings!$B$13)))</f>
        <v/>
      </c>
      <c r="K1370" s="20">
        <f>IF(OR(NOT(ISNUMBER($A1370)),ROW()-2&lt;Settings!$B$12),NA(),IF(COUNT(OFFSET(G1370,1-Settings!$B$12,0,Settings!$B$12,1))&lt;ROUNDUP(Settings!$B$12*Settings!$B$26,0),NA(),STDEV(OFFSET(G1370,1-Settings!$B$12,0,Settings!$B$12,1))*SQRT(Settings!$B$13)))</f>
        <v/>
      </c>
      <c r="L1370" s="20">
        <f>IF(AND(ISNUMBER(D1370),ISNUMBER(H1370)),D1370-H1370,NA())</f>
        <v/>
      </c>
      <c r="M1370" s="20">
        <f>IF(AND(ISNUMBER(E1370),ISNUMBER(K1370)),E1370-K1370,NA())</f>
        <v/>
      </c>
      <c r="N1370" s="20">
        <f>IF(NOT(ISNUMBER($A1370)),NA(),IF(COUNT(OFFSET(G1370,1,0,Settings!$B$12,1))&lt;ROUNDUP(Settings!$B$12*Settings!$B$26,0),NA(),STDEV(OFFSET(G1370,1,0,Settings!$B$12,1))*SQRT(Settings!$B$13)))</f>
        <v/>
      </c>
      <c r="O1370" s="20">
        <f>IF(AND(ISNUMBER(E1370),ISNUMBER(N1370)),E1370-N1370,NA())</f>
        <v/>
      </c>
      <c r="P1370" s="19">
        <f>IF(NOT(ISNUMBER($A1370)),NA(),IF(OR($A1370&lt;MIN(KW_TP!$A$2:$A$2501),$A1370&gt;MAX(KW_TP!$A$2:$A$2501)),NA(),INDEX(KW_TP!$C$2:$C$2501,MATCH($A1370,KW_TP!$A$2:$A$2501,1))))</f>
        <v/>
      </c>
      <c r="Q1370" s="18">
        <f>IF(NOT(ISNUMBER($A1370)),NA(),IFERROR(1*INDEX(BBG_Data!$J$2:$J$4000,MATCH($A1370,BBG_Data!$I$2:$I$4000,0)),NA()))</f>
        <v/>
      </c>
      <c r="R1370" s="18">
        <f>IF(NOT(ISNUMBER($A1370)),NA(),IFERROR(1*INDEX(BBG_Data!$L$2:$L$4000,MATCH($A1370,BBG_Data!$K$2:$K$4000,0)),NA()))</f>
        <v/>
      </c>
      <c r="S1370" s="20">
        <f>IF(AND(ISNUMBER(B1370),ISNUMBER(Q1370),ISNUMBER(R1370)),(B1370-Q1370-R1370)*100,NA())</f>
        <v/>
      </c>
      <c r="T1370" s="20">
        <f>IF(AND(ISNUMBER(B1370),Settings!$B$17&gt;0),IF(ISNUMBER(INDEX($B:$B,Settings!$B$17)),(B1370-INDEX($B:$B,Settings!$B$17))*100,NA()),NA())</f>
        <v/>
      </c>
      <c r="U1370" s="20">
        <f>IF(AND(ISNUMBER(Q1370),Settings!$B$17&gt;0),IF(ISNUMBER(INDEX($Q:$Q,Settings!$B$17)),(Q1370-INDEX($Q:$Q,Settings!$B$17))*100,NA()),NA())</f>
        <v/>
      </c>
      <c r="V1370" s="20">
        <f>IF(AND(ISNUMBER(R1370),Settings!$B$17&gt;0),IF(ISNUMBER(INDEX($R:$R,Settings!$B$17)),(R1370-INDEX($R:$R,Settings!$B$17))*100,NA()),NA())</f>
        <v/>
      </c>
      <c r="W1370" s="20">
        <f>IF(AND(ISNUMBER(P1370),Settings!$B$17&gt;0),IF(ISNUMBER(INDEX($P:$P,Settings!$B$17)),P1370-INDEX($P:$P,Settings!$B$17),NA()),NA())</f>
        <v/>
      </c>
      <c r="X1370" s="19">
        <f>IF(NOT(ISNUMBER($A1370)),NA(),IF(OR($A1370&lt;MIN(DKW_10Y!$A$2:$A$2918),$A1370&gt;MAX(DKW_10Y!$A$2:$A$2918),Settings!$B$16&lt;MIN(DKW_10Y!$A$2:$A$2918)),NA(),(INDEX(DKW_10Y!$B$2:$B$2918,MATCH($A1370,DKW_10Y!$A$2:$A$2918,1))-INDEX(DKW_10Y!$B$2:$B$2918,MATCH(Settings!$B$16,DKW_10Y!$A$2:$A$2918,1)))*100))</f>
        <v/>
      </c>
      <c r="Y1370" s="19">
        <f>IF(NOT(ISNUMBER($A1370)),NA(),IF(OR($A1370&lt;MIN(DKW_10Y!$A$2:$A$2918),$A1370&gt;MAX(DKW_10Y!$A$2:$A$2918),Settings!$B$16&lt;MIN(DKW_10Y!$A$2:$A$2918)),NA(),(INDEX(DKW_10Y!$C$2:$C$2918,MATCH($A1370,DKW_10Y!$A$2:$A$2918,1))-INDEX(DKW_10Y!$C$2:$C$2918,MATCH(Settings!$B$16,DKW_10Y!$A$2:$A$2918,1)))*100))</f>
        <v/>
      </c>
      <c r="Z1370" s="19">
        <f>IF(NOT(ISNUMBER($A1370)),NA(),IF(OR($A1370&lt;MIN(DKW_10Y!$A$2:$A$2918),$A1370&gt;MAX(DKW_10Y!$A$2:$A$2918),Settings!$B$16&lt;MIN(DKW_10Y!$A$2:$A$2918)),NA(),(INDEX(DKW_10Y!$D$2:$D$2918,MATCH($A1370,DKW_10Y!$A$2:$A$2918,1))-INDEX(DKW_10Y!$D$2:$D$2918,MATCH(Settings!$B$16,DKW_10Y!$A$2:$A$2918,1)))*100))</f>
        <v/>
      </c>
      <c r="AA1370" s="19">
        <f>IF(NOT(ISNUMBER($A1370)),NA(),IF(OR($A1370&lt;MIN(DKW_10Y!$A$2:$A$2918),$A1370&gt;MAX(DKW_10Y!$A$2:$A$2918),Settings!$B$16&lt;MIN(DKW_10Y!$A$2:$A$2918)),NA(),(INDEX(DKW_10Y!$E$2:$E$2918,MATCH($A1370,DKW_10Y!$A$2:$A$2918,1))-INDEX(DKW_10Y!$E$2:$E$2918,MATCH(Settings!$B$16,DKW_10Y!$A$2:$A$2918,1)))*100))</f>
        <v/>
      </c>
      <c r="AB1370" s="19">
        <f>IF(NOT(ISNUMBER($A1370)),NA(),IF(OR($A1370&lt;MIN(DKW_10Y!$A$2:$A$2918),$A1370&gt;MAX(DKW_10Y!$A$2:$A$2918),Settings!$B$16&lt;MIN(DKW_10Y!$A$2:$A$2918)),NA(),(INDEX(DKW_10Y!$H$2:$H$2918,MATCH($A1370,DKW_10Y!$A$2:$A$2918,1))-INDEX(DKW_10Y!$H$2:$H$2918,MATCH(Settings!$B$16,DKW_10Y!$A$2:$A$2918,1)))*100))</f>
        <v/>
      </c>
      <c r="AC1370" s="18">
        <f>IF(NOT(ISNUMBER($A1370)),NA(),IFERROR(1*INDEX(BBG_Data!$N$2:$N$4000,MATCH($A1370,BBG_Data!$M$2:$M$4000,0)),NA()))</f>
        <v/>
      </c>
      <c r="AD1370" s="18">
        <f>IF(NOT(ISNUMBER($A1370)),NA(),IFERROR(1*INDEX(BBG_Data!$P$2:$P$4000,MATCH($A1370,BBG_Data!$O$2:$O$4000,0)),NA()))</f>
        <v/>
      </c>
      <c r="AE1370" s="18">
        <f>IF(NOT(ISNUMBER($A1370)),NA(),IFERROR(1*INDEX(BBG_Data!$R$2:$R$4000,MATCH($A1370,BBG_Data!$Q$2:$Q$4000,0)),NA()))</f>
        <v/>
      </c>
      <c r="AF1370" s="20">
        <f>IF(AND(ISNUMBER(B1370),ISNUMBER(AC1370)),(B1370-AC1370)*100,NA())</f>
        <v/>
      </c>
      <c r="AG1370" s="20">
        <f>IF(AND(ISNUMBER(AE1370),ISNUMBER(AD1370)),(AE1370-AD1370)*100,NA())</f>
        <v/>
      </c>
      <c r="AH1370" s="19">
        <f>IF(NOT(ISNUMBER($A1370)),NA(),IFERROR(INDEX(BBG_Data!$T$2:$T$4000,MATCH($A1370,BBG_Data!$S$2:$S$4000,0))*Settings!$B$25,NA()))</f>
        <v/>
      </c>
      <c r="AI1370" s="19">
        <f>IF(NOT(ISNUMBER($A1370)),NA(),IFERROR(INDEX(BBG_Data!$V$2:$V$4000,MATCH($A1370,BBG_Data!$U$2:$U$4000,0))*Settings!$B$25,NA()))</f>
        <v/>
      </c>
      <c r="AJ1370" s="19">
        <f>IF(NOT(ISNUMBER($A1370)),NA(),IFERROR(1*INDEX(BBG_Data!$X$2:$X$4000,MATCH($A1370,BBG_Data!$W$2:$W$4000,0)),NA()))</f>
        <v/>
      </c>
      <c r="AK1370" s="19">
        <f>IF(NOT(ISNUMBER($A1370)),NA(),IFERROR(1*INDEX(BBG_Data!$Z$2:$Z$4000,MATCH($A1370,BBG_Data!$Y$2:$Y$4000,0)),NA()))</f>
        <v/>
      </c>
    </row>
    <row r="1371">
      <c r="A1371" s="17">
        <f>IF(ISNUMBER(BBG_Data!A1371),BBG_Data!A1371,"")</f>
        <v/>
      </c>
      <c r="B1371" s="18">
        <f>IF(AND(ISNUMBER($A1371),ISNUMBER(BBG_Data!B1371)),BBG_Data!B1371,NA())</f>
        <v/>
      </c>
      <c r="C1371" s="18">
        <f>IF(NOT(ISNUMBER($A1371)),NA(),IFERROR(1*INDEX(BBG_Data!$D$2:$D$4000,MATCH($A1371,BBG_Data!$C$2:$C$4000,0)),NA()))</f>
        <v/>
      </c>
      <c r="D1371" s="19">
        <f>IF(NOT(ISNUMBER($A1371)),NA(),IFERROR(1*INDEX(BBG_Data!$F$2:$F$4000,MATCH($A1371,BBG_Data!$E$2:$E$4000,0)),NA()))</f>
        <v/>
      </c>
      <c r="E1371" s="19">
        <f>IF(NOT(ISNUMBER($A1371)),NA(),IFERROR(1*INDEX(BBG_Data!$H$2:$H$4000,MATCH($A1371,BBG_Data!$G$2:$G$4000,0)),NA()))</f>
        <v/>
      </c>
      <c r="F1371" s="20">
        <f>IF(AND(ISNUMBER(B1371),ISNUMBER(B1370)),IF(B1371=B1370,"",(B1371-B1370)*100),"")</f>
        <v/>
      </c>
      <c r="G1371" s="20">
        <f>IF(AND(ISNUMBER(C1371),ISNUMBER(C1370)),IF(C1371=C1370,"",(C1371-C1370)*100),"")</f>
        <v/>
      </c>
      <c r="H1371" s="20">
        <f>IF(OR(NOT(ISNUMBER($A1371)),ROW()-2&lt;Settings!$B$11),NA(),IF(COUNT(OFFSET(F1371,1-Settings!$B$11,0,Settings!$B$11,1))&lt;ROUNDUP(Settings!$B$11*Settings!$B$26,0),NA(),STDEV(OFFSET(F1371,1-Settings!$B$11,0,Settings!$B$11,1))*SQRT(Settings!$B$13)))</f>
        <v/>
      </c>
      <c r="I1371" s="20">
        <f>IF(OR(NOT(ISNUMBER($A1371)),ROW()-2&lt;Settings!$B$12),NA(),IF(COUNT(OFFSET(F1371,1-Settings!$B$12,0,Settings!$B$12,1))&lt;ROUNDUP(Settings!$B$12*Settings!$B$26,0),NA(),STDEV(OFFSET(F1371,1-Settings!$B$12,0,Settings!$B$12,1))*SQRT(Settings!$B$13)))</f>
        <v/>
      </c>
      <c r="J1371" s="20">
        <f>IF(OR(NOT(ISNUMBER($A1371)),ROW()-2&lt;Settings!$B$11),NA(),IF(COUNT(OFFSET(G1371,1-Settings!$B$11,0,Settings!$B$11,1))&lt;ROUNDUP(Settings!$B$11*Settings!$B$26,0),NA(),STDEV(OFFSET(G1371,1-Settings!$B$11,0,Settings!$B$11,1))*SQRT(Settings!$B$13)))</f>
        <v/>
      </c>
      <c r="K1371" s="20">
        <f>IF(OR(NOT(ISNUMBER($A1371)),ROW()-2&lt;Settings!$B$12),NA(),IF(COUNT(OFFSET(G1371,1-Settings!$B$12,0,Settings!$B$12,1))&lt;ROUNDUP(Settings!$B$12*Settings!$B$26,0),NA(),STDEV(OFFSET(G1371,1-Settings!$B$12,0,Settings!$B$12,1))*SQRT(Settings!$B$13)))</f>
        <v/>
      </c>
      <c r="L1371" s="20">
        <f>IF(AND(ISNUMBER(D1371),ISNUMBER(H1371)),D1371-H1371,NA())</f>
        <v/>
      </c>
      <c r="M1371" s="20">
        <f>IF(AND(ISNUMBER(E1371),ISNUMBER(K1371)),E1371-K1371,NA())</f>
        <v/>
      </c>
      <c r="N1371" s="20">
        <f>IF(NOT(ISNUMBER($A1371)),NA(),IF(COUNT(OFFSET(G1371,1,0,Settings!$B$12,1))&lt;ROUNDUP(Settings!$B$12*Settings!$B$26,0),NA(),STDEV(OFFSET(G1371,1,0,Settings!$B$12,1))*SQRT(Settings!$B$13)))</f>
        <v/>
      </c>
      <c r="O1371" s="20">
        <f>IF(AND(ISNUMBER(E1371),ISNUMBER(N1371)),E1371-N1371,NA())</f>
        <v/>
      </c>
      <c r="P1371" s="19">
        <f>IF(NOT(ISNUMBER($A1371)),NA(),IF(OR($A1371&lt;MIN(KW_TP!$A$2:$A$2501),$A1371&gt;MAX(KW_TP!$A$2:$A$2501)),NA(),INDEX(KW_TP!$C$2:$C$2501,MATCH($A1371,KW_TP!$A$2:$A$2501,1))))</f>
        <v/>
      </c>
      <c r="Q1371" s="18">
        <f>IF(NOT(ISNUMBER($A1371)),NA(),IFERROR(1*INDEX(BBG_Data!$J$2:$J$4000,MATCH($A1371,BBG_Data!$I$2:$I$4000,0)),NA()))</f>
        <v/>
      </c>
      <c r="R1371" s="18">
        <f>IF(NOT(ISNUMBER($A1371)),NA(),IFERROR(1*INDEX(BBG_Data!$L$2:$L$4000,MATCH($A1371,BBG_Data!$K$2:$K$4000,0)),NA()))</f>
        <v/>
      </c>
      <c r="S1371" s="20">
        <f>IF(AND(ISNUMBER(B1371),ISNUMBER(Q1371),ISNUMBER(R1371)),(B1371-Q1371-R1371)*100,NA())</f>
        <v/>
      </c>
      <c r="T1371" s="20">
        <f>IF(AND(ISNUMBER(B1371),Settings!$B$17&gt;0),IF(ISNUMBER(INDEX($B:$B,Settings!$B$17)),(B1371-INDEX($B:$B,Settings!$B$17))*100,NA()),NA())</f>
        <v/>
      </c>
      <c r="U1371" s="20">
        <f>IF(AND(ISNUMBER(Q1371),Settings!$B$17&gt;0),IF(ISNUMBER(INDEX($Q:$Q,Settings!$B$17)),(Q1371-INDEX($Q:$Q,Settings!$B$17))*100,NA()),NA())</f>
        <v/>
      </c>
      <c r="V1371" s="20">
        <f>IF(AND(ISNUMBER(R1371),Settings!$B$17&gt;0),IF(ISNUMBER(INDEX($R:$R,Settings!$B$17)),(R1371-INDEX($R:$R,Settings!$B$17))*100,NA()),NA())</f>
        <v/>
      </c>
      <c r="W1371" s="20">
        <f>IF(AND(ISNUMBER(P1371),Settings!$B$17&gt;0),IF(ISNUMBER(INDEX($P:$P,Settings!$B$17)),P1371-INDEX($P:$P,Settings!$B$17),NA()),NA())</f>
        <v/>
      </c>
      <c r="X1371" s="19">
        <f>IF(NOT(ISNUMBER($A1371)),NA(),IF(OR($A1371&lt;MIN(DKW_10Y!$A$2:$A$2918),$A1371&gt;MAX(DKW_10Y!$A$2:$A$2918),Settings!$B$16&lt;MIN(DKW_10Y!$A$2:$A$2918)),NA(),(INDEX(DKW_10Y!$B$2:$B$2918,MATCH($A1371,DKW_10Y!$A$2:$A$2918,1))-INDEX(DKW_10Y!$B$2:$B$2918,MATCH(Settings!$B$16,DKW_10Y!$A$2:$A$2918,1)))*100))</f>
        <v/>
      </c>
      <c r="Y1371" s="19">
        <f>IF(NOT(ISNUMBER($A1371)),NA(),IF(OR($A1371&lt;MIN(DKW_10Y!$A$2:$A$2918),$A1371&gt;MAX(DKW_10Y!$A$2:$A$2918),Settings!$B$16&lt;MIN(DKW_10Y!$A$2:$A$2918)),NA(),(INDEX(DKW_10Y!$C$2:$C$2918,MATCH($A1371,DKW_10Y!$A$2:$A$2918,1))-INDEX(DKW_10Y!$C$2:$C$2918,MATCH(Settings!$B$16,DKW_10Y!$A$2:$A$2918,1)))*100))</f>
        <v/>
      </c>
      <c r="Z1371" s="19">
        <f>IF(NOT(ISNUMBER($A1371)),NA(),IF(OR($A1371&lt;MIN(DKW_10Y!$A$2:$A$2918),$A1371&gt;MAX(DKW_10Y!$A$2:$A$2918),Settings!$B$16&lt;MIN(DKW_10Y!$A$2:$A$2918)),NA(),(INDEX(DKW_10Y!$D$2:$D$2918,MATCH($A1371,DKW_10Y!$A$2:$A$2918,1))-INDEX(DKW_10Y!$D$2:$D$2918,MATCH(Settings!$B$16,DKW_10Y!$A$2:$A$2918,1)))*100))</f>
        <v/>
      </c>
      <c r="AA1371" s="19">
        <f>IF(NOT(ISNUMBER($A1371)),NA(),IF(OR($A1371&lt;MIN(DKW_10Y!$A$2:$A$2918),$A1371&gt;MAX(DKW_10Y!$A$2:$A$2918),Settings!$B$16&lt;MIN(DKW_10Y!$A$2:$A$2918)),NA(),(INDEX(DKW_10Y!$E$2:$E$2918,MATCH($A1371,DKW_10Y!$A$2:$A$2918,1))-INDEX(DKW_10Y!$E$2:$E$2918,MATCH(Settings!$B$16,DKW_10Y!$A$2:$A$2918,1)))*100))</f>
        <v/>
      </c>
      <c r="AB1371" s="19">
        <f>IF(NOT(ISNUMBER($A1371)),NA(),IF(OR($A1371&lt;MIN(DKW_10Y!$A$2:$A$2918),$A1371&gt;MAX(DKW_10Y!$A$2:$A$2918),Settings!$B$16&lt;MIN(DKW_10Y!$A$2:$A$2918)),NA(),(INDEX(DKW_10Y!$H$2:$H$2918,MATCH($A1371,DKW_10Y!$A$2:$A$2918,1))-INDEX(DKW_10Y!$H$2:$H$2918,MATCH(Settings!$B$16,DKW_10Y!$A$2:$A$2918,1)))*100))</f>
        <v/>
      </c>
      <c r="AC1371" s="18">
        <f>IF(NOT(ISNUMBER($A1371)),NA(),IFERROR(1*INDEX(BBG_Data!$N$2:$N$4000,MATCH($A1371,BBG_Data!$M$2:$M$4000,0)),NA()))</f>
        <v/>
      </c>
      <c r="AD1371" s="18">
        <f>IF(NOT(ISNUMBER($A1371)),NA(),IFERROR(1*INDEX(BBG_Data!$P$2:$P$4000,MATCH($A1371,BBG_Data!$O$2:$O$4000,0)),NA()))</f>
        <v/>
      </c>
      <c r="AE1371" s="18">
        <f>IF(NOT(ISNUMBER($A1371)),NA(),IFERROR(1*INDEX(BBG_Data!$R$2:$R$4000,MATCH($A1371,BBG_Data!$Q$2:$Q$4000,0)),NA()))</f>
        <v/>
      </c>
      <c r="AF1371" s="20">
        <f>IF(AND(ISNUMBER(B1371),ISNUMBER(AC1371)),(B1371-AC1371)*100,NA())</f>
        <v/>
      </c>
      <c r="AG1371" s="20">
        <f>IF(AND(ISNUMBER(AE1371),ISNUMBER(AD1371)),(AE1371-AD1371)*100,NA())</f>
        <v/>
      </c>
      <c r="AH1371" s="19">
        <f>IF(NOT(ISNUMBER($A1371)),NA(),IFERROR(INDEX(BBG_Data!$T$2:$T$4000,MATCH($A1371,BBG_Data!$S$2:$S$4000,0))*Settings!$B$25,NA()))</f>
        <v/>
      </c>
      <c r="AI1371" s="19">
        <f>IF(NOT(ISNUMBER($A1371)),NA(),IFERROR(INDEX(BBG_Data!$V$2:$V$4000,MATCH($A1371,BBG_Data!$U$2:$U$4000,0))*Settings!$B$25,NA()))</f>
        <v/>
      </c>
      <c r="AJ1371" s="19">
        <f>IF(NOT(ISNUMBER($A1371)),NA(),IFERROR(1*INDEX(BBG_Data!$X$2:$X$4000,MATCH($A1371,BBG_Data!$W$2:$W$4000,0)),NA()))</f>
        <v/>
      </c>
      <c r="AK1371" s="19">
        <f>IF(NOT(ISNUMBER($A1371)),NA(),IFERROR(1*INDEX(BBG_Data!$Z$2:$Z$4000,MATCH($A1371,BBG_Data!$Y$2:$Y$4000,0)),NA()))</f>
        <v/>
      </c>
    </row>
    <row r="1372">
      <c r="A1372" s="17">
        <f>IF(ISNUMBER(BBG_Data!A1372),BBG_Data!A1372,"")</f>
        <v/>
      </c>
      <c r="B1372" s="18">
        <f>IF(AND(ISNUMBER($A1372),ISNUMBER(BBG_Data!B1372)),BBG_Data!B1372,NA())</f>
        <v/>
      </c>
      <c r="C1372" s="18">
        <f>IF(NOT(ISNUMBER($A1372)),NA(),IFERROR(1*INDEX(BBG_Data!$D$2:$D$4000,MATCH($A1372,BBG_Data!$C$2:$C$4000,0)),NA()))</f>
        <v/>
      </c>
      <c r="D1372" s="19">
        <f>IF(NOT(ISNUMBER($A1372)),NA(),IFERROR(1*INDEX(BBG_Data!$F$2:$F$4000,MATCH($A1372,BBG_Data!$E$2:$E$4000,0)),NA()))</f>
        <v/>
      </c>
      <c r="E1372" s="19">
        <f>IF(NOT(ISNUMBER($A1372)),NA(),IFERROR(1*INDEX(BBG_Data!$H$2:$H$4000,MATCH($A1372,BBG_Data!$G$2:$G$4000,0)),NA()))</f>
        <v/>
      </c>
      <c r="F1372" s="20">
        <f>IF(AND(ISNUMBER(B1372),ISNUMBER(B1371)),IF(B1372=B1371,"",(B1372-B1371)*100),"")</f>
        <v/>
      </c>
      <c r="G1372" s="20">
        <f>IF(AND(ISNUMBER(C1372),ISNUMBER(C1371)),IF(C1372=C1371,"",(C1372-C1371)*100),"")</f>
        <v/>
      </c>
      <c r="H1372" s="20">
        <f>IF(OR(NOT(ISNUMBER($A1372)),ROW()-2&lt;Settings!$B$11),NA(),IF(COUNT(OFFSET(F1372,1-Settings!$B$11,0,Settings!$B$11,1))&lt;ROUNDUP(Settings!$B$11*Settings!$B$26,0),NA(),STDEV(OFFSET(F1372,1-Settings!$B$11,0,Settings!$B$11,1))*SQRT(Settings!$B$13)))</f>
        <v/>
      </c>
      <c r="I1372" s="20">
        <f>IF(OR(NOT(ISNUMBER($A1372)),ROW()-2&lt;Settings!$B$12),NA(),IF(COUNT(OFFSET(F1372,1-Settings!$B$12,0,Settings!$B$12,1))&lt;ROUNDUP(Settings!$B$12*Settings!$B$26,0),NA(),STDEV(OFFSET(F1372,1-Settings!$B$12,0,Settings!$B$12,1))*SQRT(Settings!$B$13)))</f>
        <v/>
      </c>
      <c r="J1372" s="20">
        <f>IF(OR(NOT(ISNUMBER($A1372)),ROW()-2&lt;Settings!$B$11),NA(),IF(COUNT(OFFSET(G1372,1-Settings!$B$11,0,Settings!$B$11,1))&lt;ROUNDUP(Settings!$B$11*Settings!$B$26,0),NA(),STDEV(OFFSET(G1372,1-Settings!$B$11,0,Settings!$B$11,1))*SQRT(Settings!$B$13)))</f>
        <v/>
      </c>
      <c r="K1372" s="20">
        <f>IF(OR(NOT(ISNUMBER($A1372)),ROW()-2&lt;Settings!$B$12),NA(),IF(COUNT(OFFSET(G1372,1-Settings!$B$12,0,Settings!$B$12,1))&lt;ROUNDUP(Settings!$B$12*Settings!$B$26,0),NA(),STDEV(OFFSET(G1372,1-Settings!$B$12,0,Settings!$B$12,1))*SQRT(Settings!$B$13)))</f>
        <v/>
      </c>
      <c r="L1372" s="20">
        <f>IF(AND(ISNUMBER(D1372),ISNUMBER(H1372)),D1372-H1372,NA())</f>
        <v/>
      </c>
      <c r="M1372" s="20">
        <f>IF(AND(ISNUMBER(E1372),ISNUMBER(K1372)),E1372-K1372,NA())</f>
        <v/>
      </c>
      <c r="N1372" s="20">
        <f>IF(NOT(ISNUMBER($A1372)),NA(),IF(COUNT(OFFSET(G1372,1,0,Settings!$B$12,1))&lt;ROUNDUP(Settings!$B$12*Settings!$B$26,0),NA(),STDEV(OFFSET(G1372,1,0,Settings!$B$12,1))*SQRT(Settings!$B$13)))</f>
        <v/>
      </c>
      <c r="O1372" s="20">
        <f>IF(AND(ISNUMBER(E1372),ISNUMBER(N1372)),E1372-N1372,NA())</f>
        <v/>
      </c>
      <c r="P1372" s="19">
        <f>IF(NOT(ISNUMBER($A1372)),NA(),IF(OR($A1372&lt;MIN(KW_TP!$A$2:$A$2501),$A1372&gt;MAX(KW_TP!$A$2:$A$2501)),NA(),INDEX(KW_TP!$C$2:$C$2501,MATCH($A1372,KW_TP!$A$2:$A$2501,1))))</f>
        <v/>
      </c>
      <c r="Q1372" s="18">
        <f>IF(NOT(ISNUMBER($A1372)),NA(),IFERROR(1*INDEX(BBG_Data!$J$2:$J$4000,MATCH($A1372,BBG_Data!$I$2:$I$4000,0)),NA()))</f>
        <v/>
      </c>
      <c r="R1372" s="18">
        <f>IF(NOT(ISNUMBER($A1372)),NA(),IFERROR(1*INDEX(BBG_Data!$L$2:$L$4000,MATCH($A1372,BBG_Data!$K$2:$K$4000,0)),NA()))</f>
        <v/>
      </c>
      <c r="S1372" s="20">
        <f>IF(AND(ISNUMBER(B1372),ISNUMBER(Q1372),ISNUMBER(R1372)),(B1372-Q1372-R1372)*100,NA())</f>
        <v/>
      </c>
      <c r="T1372" s="20">
        <f>IF(AND(ISNUMBER(B1372),Settings!$B$17&gt;0),IF(ISNUMBER(INDEX($B:$B,Settings!$B$17)),(B1372-INDEX($B:$B,Settings!$B$17))*100,NA()),NA())</f>
        <v/>
      </c>
      <c r="U1372" s="20">
        <f>IF(AND(ISNUMBER(Q1372),Settings!$B$17&gt;0),IF(ISNUMBER(INDEX($Q:$Q,Settings!$B$17)),(Q1372-INDEX($Q:$Q,Settings!$B$17))*100,NA()),NA())</f>
        <v/>
      </c>
      <c r="V1372" s="20">
        <f>IF(AND(ISNUMBER(R1372),Settings!$B$17&gt;0),IF(ISNUMBER(INDEX($R:$R,Settings!$B$17)),(R1372-INDEX($R:$R,Settings!$B$17))*100,NA()),NA())</f>
        <v/>
      </c>
      <c r="W1372" s="20">
        <f>IF(AND(ISNUMBER(P1372),Settings!$B$17&gt;0),IF(ISNUMBER(INDEX($P:$P,Settings!$B$17)),P1372-INDEX($P:$P,Settings!$B$17),NA()),NA())</f>
        <v/>
      </c>
      <c r="X1372" s="19">
        <f>IF(NOT(ISNUMBER($A1372)),NA(),IF(OR($A1372&lt;MIN(DKW_10Y!$A$2:$A$2918),$A1372&gt;MAX(DKW_10Y!$A$2:$A$2918),Settings!$B$16&lt;MIN(DKW_10Y!$A$2:$A$2918)),NA(),(INDEX(DKW_10Y!$B$2:$B$2918,MATCH($A1372,DKW_10Y!$A$2:$A$2918,1))-INDEX(DKW_10Y!$B$2:$B$2918,MATCH(Settings!$B$16,DKW_10Y!$A$2:$A$2918,1)))*100))</f>
        <v/>
      </c>
      <c r="Y1372" s="19">
        <f>IF(NOT(ISNUMBER($A1372)),NA(),IF(OR($A1372&lt;MIN(DKW_10Y!$A$2:$A$2918),$A1372&gt;MAX(DKW_10Y!$A$2:$A$2918),Settings!$B$16&lt;MIN(DKW_10Y!$A$2:$A$2918)),NA(),(INDEX(DKW_10Y!$C$2:$C$2918,MATCH($A1372,DKW_10Y!$A$2:$A$2918,1))-INDEX(DKW_10Y!$C$2:$C$2918,MATCH(Settings!$B$16,DKW_10Y!$A$2:$A$2918,1)))*100))</f>
        <v/>
      </c>
      <c r="Z1372" s="19">
        <f>IF(NOT(ISNUMBER($A1372)),NA(),IF(OR($A1372&lt;MIN(DKW_10Y!$A$2:$A$2918),$A1372&gt;MAX(DKW_10Y!$A$2:$A$2918),Settings!$B$16&lt;MIN(DKW_10Y!$A$2:$A$2918)),NA(),(INDEX(DKW_10Y!$D$2:$D$2918,MATCH($A1372,DKW_10Y!$A$2:$A$2918,1))-INDEX(DKW_10Y!$D$2:$D$2918,MATCH(Settings!$B$16,DKW_10Y!$A$2:$A$2918,1)))*100))</f>
        <v/>
      </c>
      <c r="AA1372" s="19">
        <f>IF(NOT(ISNUMBER($A1372)),NA(),IF(OR($A1372&lt;MIN(DKW_10Y!$A$2:$A$2918),$A1372&gt;MAX(DKW_10Y!$A$2:$A$2918),Settings!$B$16&lt;MIN(DKW_10Y!$A$2:$A$2918)),NA(),(INDEX(DKW_10Y!$E$2:$E$2918,MATCH($A1372,DKW_10Y!$A$2:$A$2918,1))-INDEX(DKW_10Y!$E$2:$E$2918,MATCH(Settings!$B$16,DKW_10Y!$A$2:$A$2918,1)))*100))</f>
        <v/>
      </c>
      <c r="AB1372" s="19">
        <f>IF(NOT(ISNUMBER($A1372)),NA(),IF(OR($A1372&lt;MIN(DKW_10Y!$A$2:$A$2918),$A1372&gt;MAX(DKW_10Y!$A$2:$A$2918),Settings!$B$16&lt;MIN(DKW_10Y!$A$2:$A$2918)),NA(),(INDEX(DKW_10Y!$H$2:$H$2918,MATCH($A1372,DKW_10Y!$A$2:$A$2918,1))-INDEX(DKW_10Y!$H$2:$H$2918,MATCH(Settings!$B$16,DKW_10Y!$A$2:$A$2918,1)))*100))</f>
        <v/>
      </c>
      <c r="AC1372" s="18">
        <f>IF(NOT(ISNUMBER($A1372)),NA(),IFERROR(1*INDEX(BBG_Data!$N$2:$N$4000,MATCH($A1372,BBG_Data!$M$2:$M$4000,0)),NA()))</f>
        <v/>
      </c>
      <c r="AD1372" s="18">
        <f>IF(NOT(ISNUMBER($A1372)),NA(),IFERROR(1*INDEX(BBG_Data!$P$2:$P$4000,MATCH($A1372,BBG_Data!$O$2:$O$4000,0)),NA()))</f>
        <v/>
      </c>
      <c r="AE1372" s="18">
        <f>IF(NOT(ISNUMBER($A1372)),NA(),IFERROR(1*INDEX(BBG_Data!$R$2:$R$4000,MATCH($A1372,BBG_Data!$Q$2:$Q$4000,0)),NA()))</f>
        <v/>
      </c>
      <c r="AF1372" s="20">
        <f>IF(AND(ISNUMBER(B1372),ISNUMBER(AC1372)),(B1372-AC1372)*100,NA())</f>
        <v/>
      </c>
      <c r="AG1372" s="20">
        <f>IF(AND(ISNUMBER(AE1372),ISNUMBER(AD1372)),(AE1372-AD1372)*100,NA())</f>
        <v/>
      </c>
      <c r="AH1372" s="19">
        <f>IF(NOT(ISNUMBER($A1372)),NA(),IFERROR(INDEX(BBG_Data!$T$2:$T$4000,MATCH($A1372,BBG_Data!$S$2:$S$4000,0))*Settings!$B$25,NA()))</f>
        <v/>
      </c>
      <c r="AI1372" s="19">
        <f>IF(NOT(ISNUMBER($A1372)),NA(),IFERROR(INDEX(BBG_Data!$V$2:$V$4000,MATCH($A1372,BBG_Data!$U$2:$U$4000,0))*Settings!$B$25,NA()))</f>
        <v/>
      </c>
      <c r="AJ1372" s="19">
        <f>IF(NOT(ISNUMBER($A1372)),NA(),IFERROR(1*INDEX(BBG_Data!$X$2:$X$4000,MATCH($A1372,BBG_Data!$W$2:$W$4000,0)),NA()))</f>
        <v/>
      </c>
      <c r="AK1372" s="19">
        <f>IF(NOT(ISNUMBER($A1372)),NA(),IFERROR(1*INDEX(BBG_Data!$Z$2:$Z$4000,MATCH($A1372,BBG_Data!$Y$2:$Y$4000,0)),NA()))</f>
        <v/>
      </c>
    </row>
    <row r="1373">
      <c r="A1373" s="17">
        <f>IF(ISNUMBER(BBG_Data!A1373),BBG_Data!A1373,"")</f>
        <v/>
      </c>
      <c r="B1373" s="18">
        <f>IF(AND(ISNUMBER($A1373),ISNUMBER(BBG_Data!B1373)),BBG_Data!B1373,NA())</f>
        <v/>
      </c>
      <c r="C1373" s="18">
        <f>IF(NOT(ISNUMBER($A1373)),NA(),IFERROR(1*INDEX(BBG_Data!$D$2:$D$4000,MATCH($A1373,BBG_Data!$C$2:$C$4000,0)),NA()))</f>
        <v/>
      </c>
      <c r="D1373" s="19">
        <f>IF(NOT(ISNUMBER($A1373)),NA(),IFERROR(1*INDEX(BBG_Data!$F$2:$F$4000,MATCH($A1373,BBG_Data!$E$2:$E$4000,0)),NA()))</f>
        <v/>
      </c>
      <c r="E1373" s="19">
        <f>IF(NOT(ISNUMBER($A1373)),NA(),IFERROR(1*INDEX(BBG_Data!$H$2:$H$4000,MATCH($A1373,BBG_Data!$G$2:$G$4000,0)),NA()))</f>
        <v/>
      </c>
      <c r="F1373" s="20">
        <f>IF(AND(ISNUMBER(B1373),ISNUMBER(B1372)),IF(B1373=B1372,"",(B1373-B1372)*100),"")</f>
        <v/>
      </c>
      <c r="G1373" s="20">
        <f>IF(AND(ISNUMBER(C1373),ISNUMBER(C1372)),IF(C1373=C1372,"",(C1373-C1372)*100),"")</f>
        <v/>
      </c>
      <c r="H1373" s="20">
        <f>IF(OR(NOT(ISNUMBER($A1373)),ROW()-2&lt;Settings!$B$11),NA(),IF(COUNT(OFFSET(F1373,1-Settings!$B$11,0,Settings!$B$11,1))&lt;ROUNDUP(Settings!$B$11*Settings!$B$26,0),NA(),STDEV(OFFSET(F1373,1-Settings!$B$11,0,Settings!$B$11,1))*SQRT(Settings!$B$13)))</f>
        <v/>
      </c>
      <c r="I1373" s="20">
        <f>IF(OR(NOT(ISNUMBER($A1373)),ROW()-2&lt;Settings!$B$12),NA(),IF(COUNT(OFFSET(F1373,1-Settings!$B$12,0,Settings!$B$12,1))&lt;ROUNDUP(Settings!$B$12*Settings!$B$26,0),NA(),STDEV(OFFSET(F1373,1-Settings!$B$12,0,Settings!$B$12,1))*SQRT(Settings!$B$13)))</f>
        <v/>
      </c>
      <c r="J1373" s="20">
        <f>IF(OR(NOT(ISNUMBER($A1373)),ROW()-2&lt;Settings!$B$11),NA(),IF(COUNT(OFFSET(G1373,1-Settings!$B$11,0,Settings!$B$11,1))&lt;ROUNDUP(Settings!$B$11*Settings!$B$26,0),NA(),STDEV(OFFSET(G1373,1-Settings!$B$11,0,Settings!$B$11,1))*SQRT(Settings!$B$13)))</f>
        <v/>
      </c>
      <c r="K1373" s="20">
        <f>IF(OR(NOT(ISNUMBER($A1373)),ROW()-2&lt;Settings!$B$12),NA(),IF(COUNT(OFFSET(G1373,1-Settings!$B$12,0,Settings!$B$12,1))&lt;ROUNDUP(Settings!$B$12*Settings!$B$26,0),NA(),STDEV(OFFSET(G1373,1-Settings!$B$12,0,Settings!$B$12,1))*SQRT(Settings!$B$13)))</f>
        <v/>
      </c>
      <c r="L1373" s="20">
        <f>IF(AND(ISNUMBER(D1373),ISNUMBER(H1373)),D1373-H1373,NA())</f>
        <v/>
      </c>
      <c r="M1373" s="20">
        <f>IF(AND(ISNUMBER(E1373),ISNUMBER(K1373)),E1373-K1373,NA())</f>
        <v/>
      </c>
      <c r="N1373" s="20">
        <f>IF(NOT(ISNUMBER($A1373)),NA(),IF(COUNT(OFFSET(G1373,1,0,Settings!$B$12,1))&lt;ROUNDUP(Settings!$B$12*Settings!$B$26,0),NA(),STDEV(OFFSET(G1373,1,0,Settings!$B$12,1))*SQRT(Settings!$B$13)))</f>
        <v/>
      </c>
      <c r="O1373" s="20">
        <f>IF(AND(ISNUMBER(E1373),ISNUMBER(N1373)),E1373-N1373,NA())</f>
        <v/>
      </c>
      <c r="P1373" s="19">
        <f>IF(NOT(ISNUMBER($A1373)),NA(),IF(OR($A1373&lt;MIN(KW_TP!$A$2:$A$2501),$A1373&gt;MAX(KW_TP!$A$2:$A$2501)),NA(),INDEX(KW_TP!$C$2:$C$2501,MATCH($A1373,KW_TP!$A$2:$A$2501,1))))</f>
        <v/>
      </c>
      <c r="Q1373" s="18">
        <f>IF(NOT(ISNUMBER($A1373)),NA(),IFERROR(1*INDEX(BBG_Data!$J$2:$J$4000,MATCH($A1373,BBG_Data!$I$2:$I$4000,0)),NA()))</f>
        <v/>
      </c>
      <c r="R1373" s="18">
        <f>IF(NOT(ISNUMBER($A1373)),NA(),IFERROR(1*INDEX(BBG_Data!$L$2:$L$4000,MATCH($A1373,BBG_Data!$K$2:$K$4000,0)),NA()))</f>
        <v/>
      </c>
      <c r="S1373" s="20">
        <f>IF(AND(ISNUMBER(B1373),ISNUMBER(Q1373),ISNUMBER(R1373)),(B1373-Q1373-R1373)*100,NA())</f>
        <v/>
      </c>
      <c r="T1373" s="20">
        <f>IF(AND(ISNUMBER(B1373),Settings!$B$17&gt;0),IF(ISNUMBER(INDEX($B:$B,Settings!$B$17)),(B1373-INDEX($B:$B,Settings!$B$17))*100,NA()),NA())</f>
        <v/>
      </c>
      <c r="U1373" s="20">
        <f>IF(AND(ISNUMBER(Q1373),Settings!$B$17&gt;0),IF(ISNUMBER(INDEX($Q:$Q,Settings!$B$17)),(Q1373-INDEX($Q:$Q,Settings!$B$17))*100,NA()),NA())</f>
        <v/>
      </c>
      <c r="V1373" s="20">
        <f>IF(AND(ISNUMBER(R1373),Settings!$B$17&gt;0),IF(ISNUMBER(INDEX($R:$R,Settings!$B$17)),(R1373-INDEX($R:$R,Settings!$B$17))*100,NA()),NA())</f>
        <v/>
      </c>
      <c r="W1373" s="20">
        <f>IF(AND(ISNUMBER(P1373),Settings!$B$17&gt;0),IF(ISNUMBER(INDEX($P:$P,Settings!$B$17)),P1373-INDEX($P:$P,Settings!$B$17),NA()),NA())</f>
        <v/>
      </c>
      <c r="X1373" s="19">
        <f>IF(NOT(ISNUMBER($A1373)),NA(),IF(OR($A1373&lt;MIN(DKW_10Y!$A$2:$A$2918),$A1373&gt;MAX(DKW_10Y!$A$2:$A$2918),Settings!$B$16&lt;MIN(DKW_10Y!$A$2:$A$2918)),NA(),(INDEX(DKW_10Y!$B$2:$B$2918,MATCH($A1373,DKW_10Y!$A$2:$A$2918,1))-INDEX(DKW_10Y!$B$2:$B$2918,MATCH(Settings!$B$16,DKW_10Y!$A$2:$A$2918,1)))*100))</f>
        <v/>
      </c>
      <c r="Y1373" s="19">
        <f>IF(NOT(ISNUMBER($A1373)),NA(),IF(OR($A1373&lt;MIN(DKW_10Y!$A$2:$A$2918),$A1373&gt;MAX(DKW_10Y!$A$2:$A$2918),Settings!$B$16&lt;MIN(DKW_10Y!$A$2:$A$2918)),NA(),(INDEX(DKW_10Y!$C$2:$C$2918,MATCH($A1373,DKW_10Y!$A$2:$A$2918,1))-INDEX(DKW_10Y!$C$2:$C$2918,MATCH(Settings!$B$16,DKW_10Y!$A$2:$A$2918,1)))*100))</f>
        <v/>
      </c>
      <c r="Z1373" s="19">
        <f>IF(NOT(ISNUMBER($A1373)),NA(),IF(OR($A1373&lt;MIN(DKW_10Y!$A$2:$A$2918),$A1373&gt;MAX(DKW_10Y!$A$2:$A$2918),Settings!$B$16&lt;MIN(DKW_10Y!$A$2:$A$2918)),NA(),(INDEX(DKW_10Y!$D$2:$D$2918,MATCH($A1373,DKW_10Y!$A$2:$A$2918,1))-INDEX(DKW_10Y!$D$2:$D$2918,MATCH(Settings!$B$16,DKW_10Y!$A$2:$A$2918,1)))*100))</f>
        <v/>
      </c>
      <c r="AA1373" s="19">
        <f>IF(NOT(ISNUMBER($A1373)),NA(),IF(OR($A1373&lt;MIN(DKW_10Y!$A$2:$A$2918),$A1373&gt;MAX(DKW_10Y!$A$2:$A$2918),Settings!$B$16&lt;MIN(DKW_10Y!$A$2:$A$2918)),NA(),(INDEX(DKW_10Y!$E$2:$E$2918,MATCH($A1373,DKW_10Y!$A$2:$A$2918,1))-INDEX(DKW_10Y!$E$2:$E$2918,MATCH(Settings!$B$16,DKW_10Y!$A$2:$A$2918,1)))*100))</f>
        <v/>
      </c>
      <c r="AB1373" s="19">
        <f>IF(NOT(ISNUMBER($A1373)),NA(),IF(OR($A1373&lt;MIN(DKW_10Y!$A$2:$A$2918),$A1373&gt;MAX(DKW_10Y!$A$2:$A$2918),Settings!$B$16&lt;MIN(DKW_10Y!$A$2:$A$2918)),NA(),(INDEX(DKW_10Y!$H$2:$H$2918,MATCH($A1373,DKW_10Y!$A$2:$A$2918,1))-INDEX(DKW_10Y!$H$2:$H$2918,MATCH(Settings!$B$16,DKW_10Y!$A$2:$A$2918,1)))*100))</f>
        <v/>
      </c>
      <c r="AC1373" s="18">
        <f>IF(NOT(ISNUMBER($A1373)),NA(),IFERROR(1*INDEX(BBG_Data!$N$2:$N$4000,MATCH($A1373,BBG_Data!$M$2:$M$4000,0)),NA()))</f>
        <v/>
      </c>
      <c r="AD1373" s="18">
        <f>IF(NOT(ISNUMBER($A1373)),NA(),IFERROR(1*INDEX(BBG_Data!$P$2:$P$4000,MATCH($A1373,BBG_Data!$O$2:$O$4000,0)),NA()))</f>
        <v/>
      </c>
      <c r="AE1373" s="18">
        <f>IF(NOT(ISNUMBER($A1373)),NA(),IFERROR(1*INDEX(BBG_Data!$R$2:$R$4000,MATCH($A1373,BBG_Data!$Q$2:$Q$4000,0)),NA()))</f>
        <v/>
      </c>
      <c r="AF1373" s="20">
        <f>IF(AND(ISNUMBER(B1373),ISNUMBER(AC1373)),(B1373-AC1373)*100,NA())</f>
        <v/>
      </c>
      <c r="AG1373" s="20">
        <f>IF(AND(ISNUMBER(AE1373),ISNUMBER(AD1373)),(AE1373-AD1373)*100,NA())</f>
        <v/>
      </c>
      <c r="AH1373" s="19">
        <f>IF(NOT(ISNUMBER($A1373)),NA(),IFERROR(INDEX(BBG_Data!$T$2:$T$4000,MATCH($A1373,BBG_Data!$S$2:$S$4000,0))*Settings!$B$25,NA()))</f>
        <v/>
      </c>
      <c r="AI1373" s="19">
        <f>IF(NOT(ISNUMBER($A1373)),NA(),IFERROR(INDEX(BBG_Data!$V$2:$V$4000,MATCH($A1373,BBG_Data!$U$2:$U$4000,0))*Settings!$B$25,NA()))</f>
        <v/>
      </c>
      <c r="AJ1373" s="19">
        <f>IF(NOT(ISNUMBER($A1373)),NA(),IFERROR(1*INDEX(BBG_Data!$X$2:$X$4000,MATCH($A1373,BBG_Data!$W$2:$W$4000,0)),NA()))</f>
        <v/>
      </c>
      <c r="AK1373" s="19">
        <f>IF(NOT(ISNUMBER($A1373)),NA(),IFERROR(1*INDEX(BBG_Data!$Z$2:$Z$4000,MATCH($A1373,BBG_Data!$Y$2:$Y$4000,0)),NA()))</f>
        <v/>
      </c>
    </row>
    <row r="1374">
      <c r="A1374" s="17">
        <f>IF(ISNUMBER(BBG_Data!A1374),BBG_Data!A1374,"")</f>
        <v/>
      </c>
      <c r="B1374" s="18">
        <f>IF(AND(ISNUMBER($A1374),ISNUMBER(BBG_Data!B1374)),BBG_Data!B1374,NA())</f>
        <v/>
      </c>
      <c r="C1374" s="18">
        <f>IF(NOT(ISNUMBER($A1374)),NA(),IFERROR(1*INDEX(BBG_Data!$D$2:$D$4000,MATCH($A1374,BBG_Data!$C$2:$C$4000,0)),NA()))</f>
        <v/>
      </c>
      <c r="D1374" s="19">
        <f>IF(NOT(ISNUMBER($A1374)),NA(),IFERROR(1*INDEX(BBG_Data!$F$2:$F$4000,MATCH($A1374,BBG_Data!$E$2:$E$4000,0)),NA()))</f>
        <v/>
      </c>
      <c r="E1374" s="19">
        <f>IF(NOT(ISNUMBER($A1374)),NA(),IFERROR(1*INDEX(BBG_Data!$H$2:$H$4000,MATCH($A1374,BBG_Data!$G$2:$G$4000,0)),NA()))</f>
        <v/>
      </c>
      <c r="F1374" s="20">
        <f>IF(AND(ISNUMBER(B1374),ISNUMBER(B1373)),IF(B1374=B1373,"",(B1374-B1373)*100),"")</f>
        <v/>
      </c>
      <c r="G1374" s="20">
        <f>IF(AND(ISNUMBER(C1374),ISNUMBER(C1373)),IF(C1374=C1373,"",(C1374-C1373)*100),"")</f>
        <v/>
      </c>
      <c r="H1374" s="20">
        <f>IF(OR(NOT(ISNUMBER($A1374)),ROW()-2&lt;Settings!$B$11),NA(),IF(COUNT(OFFSET(F1374,1-Settings!$B$11,0,Settings!$B$11,1))&lt;ROUNDUP(Settings!$B$11*Settings!$B$26,0),NA(),STDEV(OFFSET(F1374,1-Settings!$B$11,0,Settings!$B$11,1))*SQRT(Settings!$B$13)))</f>
        <v/>
      </c>
      <c r="I1374" s="20">
        <f>IF(OR(NOT(ISNUMBER($A1374)),ROW()-2&lt;Settings!$B$12),NA(),IF(COUNT(OFFSET(F1374,1-Settings!$B$12,0,Settings!$B$12,1))&lt;ROUNDUP(Settings!$B$12*Settings!$B$26,0),NA(),STDEV(OFFSET(F1374,1-Settings!$B$12,0,Settings!$B$12,1))*SQRT(Settings!$B$13)))</f>
        <v/>
      </c>
      <c r="J1374" s="20">
        <f>IF(OR(NOT(ISNUMBER($A1374)),ROW()-2&lt;Settings!$B$11),NA(),IF(COUNT(OFFSET(G1374,1-Settings!$B$11,0,Settings!$B$11,1))&lt;ROUNDUP(Settings!$B$11*Settings!$B$26,0),NA(),STDEV(OFFSET(G1374,1-Settings!$B$11,0,Settings!$B$11,1))*SQRT(Settings!$B$13)))</f>
        <v/>
      </c>
      <c r="K1374" s="20">
        <f>IF(OR(NOT(ISNUMBER($A1374)),ROW()-2&lt;Settings!$B$12),NA(),IF(COUNT(OFFSET(G1374,1-Settings!$B$12,0,Settings!$B$12,1))&lt;ROUNDUP(Settings!$B$12*Settings!$B$26,0),NA(),STDEV(OFFSET(G1374,1-Settings!$B$12,0,Settings!$B$12,1))*SQRT(Settings!$B$13)))</f>
        <v/>
      </c>
      <c r="L1374" s="20">
        <f>IF(AND(ISNUMBER(D1374),ISNUMBER(H1374)),D1374-H1374,NA())</f>
        <v/>
      </c>
      <c r="M1374" s="20">
        <f>IF(AND(ISNUMBER(E1374),ISNUMBER(K1374)),E1374-K1374,NA())</f>
        <v/>
      </c>
      <c r="N1374" s="20">
        <f>IF(NOT(ISNUMBER($A1374)),NA(),IF(COUNT(OFFSET(G1374,1,0,Settings!$B$12,1))&lt;ROUNDUP(Settings!$B$12*Settings!$B$26,0),NA(),STDEV(OFFSET(G1374,1,0,Settings!$B$12,1))*SQRT(Settings!$B$13)))</f>
        <v/>
      </c>
      <c r="O1374" s="20">
        <f>IF(AND(ISNUMBER(E1374),ISNUMBER(N1374)),E1374-N1374,NA())</f>
        <v/>
      </c>
      <c r="P1374" s="19">
        <f>IF(NOT(ISNUMBER($A1374)),NA(),IF(OR($A1374&lt;MIN(KW_TP!$A$2:$A$2501),$A1374&gt;MAX(KW_TP!$A$2:$A$2501)),NA(),INDEX(KW_TP!$C$2:$C$2501,MATCH($A1374,KW_TP!$A$2:$A$2501,1))))</f>
        <v/>
      </c>
      <c r="Q1374" s="18">
        <f>IF(NOT(ISNUMBER($A1374)),NA(),IFERROR(1*INDEX(BBG_Data!$J$2:$J$4000,MATCH($A1374,BBG_Data!$I$2:$I$4000,0)),NA()))</f>
        <v/>
      </c>
      <c r="R1374" s="18">
        <f>IF(NOT(ISNUMBER($A1374)),NA(),IFERROR(1*INDEX(BBG_Data!$L$2:$L$4000,MATCH($A1374,BBG_Data!$K$2:$K$4000,0)),NA()))</f>
        <v/>
      </c>
      <c r="S1374" s="20">
        <f>IF(AND(ISNUMBER(B1374),ISNUMBER(Q1374),ISNUMBER(R1374)),(B1374-Q1374-R1374)*100,NA())</f>
        <v/>
      </c>
      <c r="T1374" s="20">
        <f>IF(AND(ISNUMBER(B1374),Settings!$B$17&gt;0),IF(ISNUMBER(INDEX($B:$B,Settings!$B$17)),(B1374-INDEX($B:$B,Settings!$B$17))*100,NA()),NA())</f>
        <v/>
      </c>
      <c r="U1374" s="20">
        <f>IF(AND(ISNUMBER(Q1374),Settings!$B$17&gt;0),IF(ISNUMBER(INDEX($Q:$Q,Settings!$B$17)),(Q1374-INDEX($Q:$Q,Settings!$B$17))*100,NA()),NA())</f>
        <v/>
      </c>
      <c r="V1374" s="20">
        <f>IF(AND(ISNUMBER(R1374),Settings!$B$17&gt;0),IF(ISNUMBER(INDEX($R:$R,Settings!$B$17)),(R1374-INDEX($R:$R,Settings!$B$17))*100,NA()),NA())</f>
        <v/>
      </c>
      <c r="W1374" s="20">
        <f>IF(AND(ISNUMBER(P1374),Settings!$B$17&gt;0),IF(ISNUMBER(INDEX($P:$P,Settings!$B$17)),P1374-INDEX($P:$P,Settings!$B$17),NA()),NA())</f>
        <v/>
      </c>
      <c r="X1374" s="19">
        <f>IF(NOT(ISNUMBER($A1374)),NA(),IF(OR($A1374&lt;MIN(DKW_10Y!$A$2:$A$2918),$A1374&gt;MAX(DKW_10Y!$A$2:$A$2918),Settings!$B$16&lt;MIN(DKW_10Y!$A$2:$A$2918)),NA(),(INDEX(DKW_10Y!$B$2:$B$2918,MATCH($A1374,DKW_10Y!$A$2:$A$2918,1))-INDEX(DKW_10Y!$B$2:$B$2918,MATCH(Settings!$B$16,DKW_10Y!$A$2:$A$2918,1)))*100))</f>
        <v/>
      </c>
      <c r="Y1374" s="19">
        <f>IF(NOT(ISNUMBER($A1374)),NA(),IF(OR($A1374&lt;MIN(DKW_10Y!$A$2:$A$2918),$A1374&gt;MAX(DKW_10Y!$A$2:$A$2918),Settings!$B$16&lt;MIN(DKW_10Y!$A$2:$A$2918)),NA(),(INDEX(DKW_10Y!$C$2:$C$2918,MATCH($A1374,DKW_10Y!$A$2:$A$2918,1))-INDEX(DKW_10Y!$C$2:$C$2918,MATCH(Settings!$B$16,DKW_10Y!$A$2:$A$2918,1)))*100))</f>
        <v/>
      </c>
      <c r="Z1374" s="19">
        <f>IF(NOT(ISNUMBER($A1374)),NA(),IF(OR($A1374&lt;MIN(DKW_10Y!$A$2:$A$2918),$A1374&gt;MAX(DKW_10Y!$A$2:$A$2918),Settings!$B$16&lt;MIN(DKW_10Y!$A$2:$A$2918)),NA(),(INDEX(DKW_10Y!$D$2:$D$2918,MATCH($A1374,DKW_10Y!$A$2:$A$2918,1))-INDEX(DKW_10Y!$D$2:$D$2918,MATCH(Settings!$B$16,DKW_10Y!$A$2:$A$2918,1)))*100))</f>
        <v/>
      </c>
      <c r="AA1374" s="19">
        <f>IF(NOT(ISNUMBER($A1374)),NA(),IF(OR($A1374&lt;MIN(DKW_10Y!$A$2:$A$2918),$A1374&gt;MAX(DKW_10Y!$A$2:$A$2918),Settings!$B$16&lt;MIN(DKW_10Y!$A$2:$A$2918)),NA(),(INDEX(DKW_10Y!$E$2:$E$2918,MATCH($A1374,DKW_10Y!$A$2:$A$2918,1))-INDEX(DKW_10Y!$E$2:$E$2918,MATCH(Settings!$B$16,DKW_10Y!$A$2:$A$2918,1)))*100))</f>
        <v/>
      </c>
      <c r="AB1374" s="19">
        <f>IF(NOT(ISNUMBER($A1374)),NA(),IF(OR($A1374&lt;MIN(DKW_10Y!$A$2:$A$2918),$A1374&gt;MAX(DKW_10Y!$A$2:$A$2918),Settings!$B$16&lt;MIN(DKW_10Y!$A$2:$A$2918)),NA(),(INDEX(DKW_10Y!$H$2:$H$2918,MATCH($A1374,DKW_10Y!$A$2:$A$2918,1))-INDEX(DKW_10Y!$H$2:$H$2918,MATCH(Settings!$B$16,DKW_10Y!$A$2:$A$2918,1)))*100))</f>
        <v/>
      </c>
      <c r="AC1374" s="18">
        <f>IF(NOT(ISNUMBER($A1374)),NA(),IFERROR(1*INDEX(BBG_Data!$N$2:$N$4000,MATCH($A1374,BBG_Data!$M$2:$M$4000,0)),NA()))</f>
        <v/>
      </c>
      <c r="AD1374" s="18">
        <f>IF(NOT(ISNUMBER($A1374)),NA(),IFERROR(1*INDEX(BBG_Data!$P$2:$P$4000,MATCH($A1374,BBG_Data!$O$2:$O$4000,0)),NA()))</f>
        <v/>
      </c>
      <c r="AE1374" s="18">
        <f>IF(NOT(ISNUMBER($A1374)),NA(),IFERROR(1*INDEX(BBG_Data!$R$2:$R$4000,MATCH($A1374,BBG_Data!$Q$2:$Q$4000,0)),NA()))</f>
        <v/>
      </c>
      <c r="AF1374" s="20">
        <f>IF(AND(ISNUMBER(B1374),ISNUMBER(AC1374)),(B1374-AC1374)*100,NA())</f>
        <v/>
      </c>
      <c r="AG1374" s="20">
        <f>IF(AND(ISNUMBER(AE1374),ISNUMBER(AD1374)),(AE1374-AD1374)*100,NA())</f>
        <v/>
      </c>
      <c r="AH1374" s="19">
        <f>IF(NOT(ISNUMBER($A1374)),NA(),IFERROR(INDEX(BBG_Data!$T$2:$T$4000,MATCH($A1374,BBG_Data!$S$2:$S$4000,0))*Settings!$B$25,NA()))</f>
        <v/>
      </c>
      <c r="AI1374" s="19">
        <f>IF(NOT(ISNUMBER($A1374)),NA(),IFERROR(INDEX(BBG_Data!$V$2:$V$4000,MATCH($A1374,BBG_Data!$U$2:$U$4000,0))*Settings!$B$25,NA()))</f>
        <v/>
      </c>
      <c r="AJ1374" s="19">
        <f>IF(NOT(ISNUMBER($A1374)),NA(),IFERROR(1*INDEX(BBG_Data!$X$2:$X$4000,MATCH($A1374,BBG_Data!$W$2:$W$4000,0)),NA()))</f>
        <v/>
      </c>
      <c r="AK1374" s="19">
        <f>IF(NOT(ISNUMBER($A1374)),NA(),IFERROR(1*INDEX(BBG_Data!$Z$2:$Z$4000,MATCH($A1374,BBG_Data!$Y$2:$Y$4000,0)),NA()))</f>
        <v/>
      </c>
    </row>
    <row r="1375">
      <c r="A1375" s="17">
        <f>IF(ISNUMBER(BBG_Data!A1375),BBG_Data!A1375,"")</f>
        <v/>
      </c>
      <c r="B1375" s="18">
        <f>IF(AND(ISNUMBER($A1375),ISNUMBER(BBG_Data!B1375)),BBG_Data!B1375,NA())</f>
        <v/>
      </c>
      <c r="C1375" s="18">
        <f>IF(NOT(ISNUMBER($A1375)),NA(),IFERROR(1*INDEX(BBG_Data!$D$2:$D$4000,MATCH($A1375,BBG_Data!$C$2:$C$4000,0)),NA()))</f>
        <v/>
      </c>
      <c r="D1375" s="19">
        <f>IF(NOT(ISNUMBER($A1375)),NA(),IFERROR(1*INDEX(BBG_Data!$F$2:$F$4000,MATCH($A1375,BBG_Data!$E$2:$E$4000,0)),NA()))</f>
        <v/>
      </c>
      <c r="E1375" s="19">
        <f>IF(NOT(ISNUMBER($A1375)),NA(),IFERROR(1*INDEX(BBG_Data!$H$2:$H$4000,MATCH($A1375,BBG_Data!$G$2:$G$4000,0)),NA()))</f>
        <v/>
      </c>
      <c r="F1375" s="20">
        <f>IF(AND(ISNUMBER(B1375),ISNUMBER(B1374)),IF(B1375=B1374,"",(B1375-B1374)*100),"")</f>
        <v/>
      </c>
      <c r="G1375" s="20">
        <f>IF(AND(ISNUMBER(C1375),ISNUMBER(C1374)),IF(C1375=C1374,"",(C1375-C1374)*100),"")</f>
        <v/>
      </c>
      <c r="H1375" s="20">
        <f>IF(OR(NOT(ISNUMBER($A1375)),ROW()-2&lt;Settings!$B$11),NA(),IF(COUNT(OFFSET(F1375,1-Settings!$B$11,0,Settings!$B$11,1))&lt;ROUNDUP(Settings!$B$11*Settings!$B$26,0),NA(),STDEV(OFFSET(F1375,1-Settings!$B$11,0,Settings!$B$11,1))*SQRT(Settings!$B$13)))</f>
        <v/>
      </c>
      <c r="I1375" s="20">
        <f>IF(OR(NOT(ISNUMBER($A1375)),ROW()-2&lt;Settings!$B$12),NA(),IF(COUNT(OFFSET(F1375,1-Settings!$B$12,0,Settings!$B$12,1))&lt;ROUNDUP(Settings!$B$12*Settings!$B$26,0),NA(),STDEV(OFFSET(F1375,1-Settings!$B$12,0,Settings!$B$12,1))*SQRT(Settings!$B$13)))</f>
        <v/>
      </c>
      <c r="J1375" s="20">
        <f>IF(OR(NOT(ISNUMBER($A1375)),ROW()-2&lt;Settings!$B$11),NA(),IF(COUNT(OFFSET(G1375,1-Settings!$B$11,0,Settings!$B$11,1))&lt;ROUNDUP(Settings!$B$11*Settings!$B$26,0),NA(),STDEV(OFFSET(G1375,1-Settings!$B$11,0,Settings!$B$11,1))*SQRT(Settings!$B$13)))</f>
        <v/>
      </c>
      <c r="K1375" s="20">
        <f>IF(OR(NOT(ISNUMBER($A1375)),ROW()-2&lt;Settings!$B$12),NA(),IF(COUNT(OFFSET(G1375,1-Settings!$B$12,0,Settings!$B$12,1))&lt;ROUNDUP(Settings!$B$12*Settings!$B$26,0),NA(),STDEV(OFFSET(G1375,1-Settings!$B$12,0,Settings!$B$12,1))*SQRT(Settings!$B$13)))</f>
        <v/>
      </c>
      <c r="L1375" s="20">
        <f>IF(AND(ISNUMBER(D1375),ISNUMBER(H1375)),D1375-H1375,NA())</f>
        <v/>
      </c>
      <c r="M1375" s="20">
        <f>IF(AND(ISNUMBER(E1375),ISNUMBER(K1375)),E1375-K1375,NA())</f>
        <v/>
      </c>
      <c r="N1375" s="20">
        <f>IF(NOT(ISNUMBER($A1375)),NA(),IF(COUNT(OFFSET(G1375,1,0,Settings!$B$12,1))&lt;ROUNDUP(Settings!$B$12*Settings!$B$26,0),NA(),STDEV(OFFSET(G1375,1,0,Settings!$B$12,1))*SQRT(Settings!$B$13)))</f>
        <v/>
      </c>
      <c r="O1375" s="20">
        <f>IF(AND(ISNUMBER(E1375),ISNUMBER(N1375)),E1375-N1375,NA())</f>
        <v/>
      </c>
      <c r="P1375" s="19">
        <f>IF(NOT(ISNUMBER($A1375)),NA(),IF(OR($A1375&lt;MIN(KW_TP!$A$2:$A$2501),$A1375&gt;MAX(KW_TP!$A$2:$A$2501)),NA(),INDEX(KW_TP!$C$2:$C$2501,MATCH($A1375,KW_TP!$A$2:$A$2501,1))))</f>
        <v/>
      </c>
      <c r="Q1375" s="18">
        <f>IF(NOT(ISNUMBER($A1375)),NA(),IFERROR(1*INDEX(BBG_Data!$J$2:$J$4000,MATCH($A1375,BBG_Data!$I$2:$I$4000,0)),NA()))</f>
        <v/>
      </c>
      <c r="R1375" s="18">
        <f>IF(NOT(ISNUMBER($A1375)),NA(),IFERROR(1*INDEX(BBG_Data!$L$2:$L$4000,MATCH($A1375,BBG_Data!$K$2:$K$4000,0)),NA()))</f>
        <v/>
      </c>
      <c r="S1375" s="20">
        <f>IF(AND(ISNUMBER(B1375),ISNUMBER(Q1375),ISNUMBER(R1375)),(B1375-Q1375-R1375)*100,NA())</f>
        <v/>
      </c>
      <c r="T1375" s="20">
        <f>IF(AND(ISNUMBER(B1375),Settings!$B$17&gt;0),IF(ISNUMBER(INDEX($B:$B,Settings!$B$17)),(B1375-INDEX($B:$B,Settings!$B$17))*100,NA()),NA())</f>
        <v/>
      </c>
      <c r="U1375" s="20">
        <f>IF(AND(ISNUMBER(Q1375),Settings!$B$17&gt;0),IF(ISNUMBER(INDEX($Q:$Q,Settings!$B$17)),(Q1375-INDEX($Q:$Q,Settings!$B$17))*100,NA()),NA())</f>
        <v/>
      </c>
      <c r="V1375" s="20">
        <f>IF(AND(ISNUMBER(R1375),Settings!$B$17&gt;0),IF(ISNUMBER(INDEX($R:$R,Settings!$B$17)),(R1375-INDEX($R:$R,Settings!$B$17))*100,NA()),NA())</f>
        <v/>
      </c>
      <c r="W1375" s="20">
        <f>IF(AND(ISNUMBER(P1375),Settings!$B$17&gt;0),IF(ISNUMBER(INDEX($P:$P,Settings!$B$17)),P1375-INDEX($P:$P,Settings!$B$17),NA()),NA())</f>
        <v/>
      </c>
      <c r="X1375" s="19">
        <f>IF(NOT(ISNUMBER($A1375)),NA(),IF(OR($A1375&lt;MIN(DKW_10Y!$A$2:$A$2918),$A1375&gt;MAX(DKW_10Y!$A$2:$A$2918),Settings!$B$16&lt;MIN(DKW_10Y!$A$2:$A$2918)),NA(),(INDEX(DKW_10Y!$B$2:$B$2918,MATCH($A1375,DKW_10Y!$A$2:$A$2918,1))-INDEX(DKW_10Y!$B$2:$B$2918,MATCH(Settings!$B$16,DKW_10Y!$A$2:$A$2918,1)))*100))</f>
        <v/>
      </c>
      <c r="Y1375" s="19">
        <f>IF(NOT(ISNUMBER($A1375)),NA(),IF(OR($A1375&lt;MIN(DKW_10Y!$A$2:$A$2918),$A1375&gt;MAX(DKW_10Y!$A$2:$A$2918),Settings!$B$16&lt;MIN(DKW_10Y!$A$2:$A$2918)),NA(),(INDEX(DKW_10Y!$C$2:$C$2918,MATCH($A1375,DKW_10Y!$A$2:$A$2918,1))-INDEX(DKW_10Y!$C$2:$C$2918,MATCH(Settings!$B$16,DKW_10Y!$A$2:$A$2918,1)))*100))</f>
        <v/>
      </c>
      <c r="Z1375" s="19">
        <f>IF(NOT(ISNUMBER($A1375)),NA(),IF(OR($A1375&lt;MIN(DKW_10Y!$A$2:$A$2918),$A1375&gt;MAX(DKW_10Y!$A$2:$A$2918),Settings!$B$16&lt;MIN(DKW_10Y!$A$2:$A$2918)),NA(),(INDEX(DKW_10Y!$D$2:$D$2918,MATCH($A1375,DKW_10Y!$A$2:$A$2918,1))-INDEX(DKW_10Y!$D$2:$D$2918,MATCH(Settings!$B$16,DKW_10Y!$A$2:$A$2918,1)))*100))</f>
        <v/>
      </c>
      <c r="AA1375" s="19">
        <f>IF(NOT(ISNUMBER($A1375)),NA(),IF(OR($A1375&lt;MIN(DKW_10Y!$A$2:$A$2918),$A1375&gt;MAX(DKW_10Y!$A$2:$A$2918),Settings!$B$16&lt;MIN(DKW_10Y!$A$2:$A$2918)),NA(),(INDEX(DKW_10Y!$E$2:$E$2918,MATCH($A1375,DKW_10Y!$A$2:$A$2918,1))-INDEX(DKW_10Y!$E$2:$E$2918,MATCH(Settings!$B$16,DKW_10Y!$A$2:$A$2918,1)))*100))</f>
        <v/>
      </c>
      <c r="AB1375" s="19">
        <f>IF(NOT(ISNUMBER($A1375)),NA(),IF(OR($A1375&lt;MIN(DKW_10Y!$A$2:$A$2918),$A1375&gt;MAX(DKW_10Y!$A$2:$A$2918),Settings!$B$16&lt;MIN(DKW_10Y!$A$2:$A$2918)),NA(),(INDEX(DKW_10Y!$H$2:$H$2918,MATCH($A1375,DKW_10Y!$A$2:$A$2918,1))-INDEX(DKW_10Y!$H$2:$H$2918,MATCH(Settings!$B$16,DKW_10Y!$A$2:$A$2918,1)))*100))</f>
        <v/>
      </c>
      <c r="AC1375" s="18">
        <f>IF(NOT(ISNUMBER($A1375)),NA(),IFERROR(1*INDEX(BBG_Data!$N$2:$N$4000,MATCH($A1375,BBG_Data!$M$2:$M$4000,0)),NA()))</f>
        <v/>
      </c>
      <c r="AD1375" s="18">
        <f>IF(NOT(ISNUMBER($A1375)),NA(),IFERROR(1*INDEX(BBG_Data!$P$2:$P$4000,MATCH($A1375,BBG_Data!$O$2:$O$4000,0)),NA()))</f>
        <v/>
      </c>
      <c r="AE1375" s="18">
        <f>IF(NOT(ISNUMBER($A1375)),NA(),IFERROR(1*INDEX(BBG_Data!$R$2:$R$4000,MATCH($A1375,BBG_Data!$Q$2:$Q$4000,0)),NA()))</f>
        <v/>
      </c>
      <c r="AF1375" s="20">
        <f>IF(AND(ISNUMBER(B1375),ISNUMBER(AC1375)),(B1375-AC1375)*100,NA())</f>
        <v/>
      </c>
      <c r="AG1375" s="20">
        <f>IF(AND(ISNUMBER(AE1375),ISNUMBER(AD1375)),(AE1375-AD1375)*100,NA())</f>
        <v/>
      </c>
      <c r="AH1375" s="19">
        <f>IF(NOT(ISNUMBER($A1375)),NA(),IFERROR(INDEX(BBG_Data!$T$2:$T$4000,MATCH($A1375,BBG_Data!$S$2:$S$4000,0))*Settings!$B$25,NA()))</f>
        <v/>
      </c>
      <c r="AI1375" s="19">
        <f>IF(NOT(ISNUMBER($A1375)),NA(),IFERROR(INDEX(BBG_Data!$V$2:$V$4000,MATCH($A1375,BBG_Data!$U$2:$U$4000,0))*Settings!$B$25,NA()))</f>
        <v/>
      </c>
      <c r="AJ1375" s="19">
        <f>IF(NOT(ISNUMBER($A1375)),NA(),IFERROR(1*INDEX(BBG_Data!$X$2:$X$4000,MATCH($A1375,BBG_Data!$W$2:$W$4000,0)),NA()))</f>
        <v/>
      </c>
      <c r="AK1375" s="19">
        <f>IF(NOT(ISNUMBER($A1375)),NA(),IFERROR(1*INDEX(BBG_Data!$Z$2:$Z$4000,MATCH($A1375,BBG_Data!$Y$2:$Y$4000,0)),NA()))</f>
        <v/>
      </c>
    </row>
    <row r="1376">
      <c r="A1376" s="17">
        <f>IF(ISNUMBER(BBG_Data!A1376),BBG_Data!A1376,"")</f>
        <v/>
      </c>
      <c r="B1376" s="18">
        <f>IF(AND(ISNUMBER($A1376),ISNUMBER(BBG_Data!B1376)),BBG_Data!B1376,NA())</f>
        <v/>
      </c>
      <c r="C1376" s="18">
        <f>IF(NOT(ISNUMBER($A1376)),NA(),IFERROR(1*INDEX(BBG_Data!$D$2:$D$4000,MATCH($A1376,BBG_Data!$C$2:$C$4000,0)),NA()))</f>
        <v/>
      </c>
      <c r="D1376" s="19">
        <f>IF(NOT(ISNUMBER($A1376)),NA(),IFERROR(1*INDEX(BBG_Data!$F$2:$F$4000,MATCH($A1376,BBG_Data!$E$2:$E$4000,0)),NA()))</f>
        <v/>
      </c>
      <c r="E1376" s="19">
        <f>IF(NOT(ISNUMBER($A1376)),NA(),IFERROR(1*INDEX(BBG_Data!$H$2:$H$4000,MATCH($A1376,BBG_Data!$G$2:$G$4000,0)),NA()))</f>
        <v/>
      </c>
      <c r="F1376" s="20">
        <f>IF(AND(ISNUMBER(B1376),ISNUMBER(B1375)),IF(B1376=B1375,"",(B1376-B1375)*100),"")</f>
        <v/>
      </c>
      <c r="G1376" s="20">
        <f>IF(AND(ISNUMBER(C1376),ISNUMBER(C1375)),IF(C1376=C1375,"",(C1376-C1375)*100),"")</f>
        <v/>
      </c>
      <c r="H1376" s="20">
        <f>IF(OR(NOT(ISNUMBER($A1376)),ROW()-2&lt;Settings!$B$11),NA(),IF(COUNT(OFFSET(F1376,1-Settings!$B$11,0,Settings!$B$11,1))&lt;ROUNDUP(Settings!$B$11*Settings!$B$26,0),NA(),STDEV(OFFSET(F1376,1-Settings!$B$11,0,Settings!$B$11,1))*SQRT(Settings!$B$13)))</f>
        <v/>
      </c>
      <c r="I1376" s="20">
        <f>IF(OR(NOT(ISNUMBER($A1376)),ROW()-2&lt;Settings!$B$12),NA(),IF(COUNT(OFFSET(F1376,1-Settings!$B$12,0,Settings!$B$12,1))&lt;ROUNDUP(Settings!$B$12*Settings!$B$26,0),NA(),STDEV(OFFSET(F1376,1-Settings!$B$12,0,Settings!$B$12,1))*SQRT(Settings!$B$13)))</f>
        <v/>
      </c>
      <c r="J1376" s="20">
        <f>IF(OR(NOT(ISNUMBER($A1376)),ROW()-2&lt;Settings!$B$11),NA(),IF(COUNT(OFFSET(G1376,1-Settings!$B$11,0,Settings!$B$11,1))&lt;ROUNDUP(Settings!$B$11*Settings!$B$26,0),NA(),STDEV(OFFSET(G1376,1-Settings!$B$11,0,Settings!$B$11,1))*SQRT(Settings!$B$13)))</f>
        <v/>
      </c>
      <c r="K1376" s="20">
        <f>IF(OR(NOT(ISNUMBER($A1376)),ROW()-2&lt;Settings!$B$12),NA(),IF(COUNT(OFFSET(G1376,1-Settings!$B$12,0,Settings!$B$12,1))&lt;ROUNDUP(Settings!$B$12*Settings!$B$26,0),NA(),STDEV(OFFSET(G1376,1-Settings!$B$12,0,Settings!$B$12,1))*SQRT(Settings!$B$13)))</f>
        <v/>
      </c>
      <c r="L1376" s="20">
        <f>IF(AND(ISNUMBER(D1376),ISNUMBER(H1376)),D1376-H1376,NA())</f>
        <v/>
      </c>
      <c r="M1376" s="20">
        <f>IF(AND(ISNUMBER(E1376),ISNUMBER(K1376)),E1376-K1376,NA())</f>
        <v/>
      </c>
      <c r="N1376" s="20">
        <f>IF(NOT(ISNUMBER($A1376)),NA(),IF(COUNT(OFFSET(G1376,1,0,Settings!$B$12,1))&lt;ROUNDUP(Settings!$B$12*Settings!$B$26,0),NA(),STDEV(OFFSET(G1376,1,0,Settings!$B$12,1))*SQRT(Settings!$B$13)))</f>
        <v/>
      </c>
      <c r="O1376" s="20">
        <f>IF(AND(ISNUMBER(E1376),ISNUMBER(N1376)),E1376-N1376,NA())</f>
        <v/>
      </c>
      <c r="P1376" s="19">
        <f>IF(NOT(ISNUMBER($A1376)),NA(),IF(OR($A1376&lt;MIN(KW_TP!$A$2:$A$2501),$A1376&gt;MAX(KW_TP!$A$2:$A$2501)),NA(),INDEX(KW_TP!$C$2:$C$2501,MATCH($A1376,KW_TP!$A$2:$A$2501,1))))</f>
        <v/>
      </c>
      <c r="Q1376" s="18">
        <f>IF(NOT(ISNUMBER($A1376)),NA(),IFERROR(1*INDEX(BBG_Data!$J$2:$J$4000,MATCH($A1376,BBG_Data!$I$2:$I$4000,0)),NA()))</f>
        <v/>
      </c>
      <c r="R1376" s="18">
        <f>IF(NOT(ISNUMBER($A1376)),NA(),IFERROR(1*INDEX(BBG_Data!$L$2:$L$4000,MATCH($A1376,BBG_Data!$K$2:$K$4000,0)),NA()))</f>
        <v/>
      </c>
      <c r="S1376" s="20">
        <f>IF(AND(ISNUMBER(B1376),ISNUMBER(Q1376),ISNUMBER(R1376)),(B1376-Q1376-R1376)*100,NA())</f>
        <v/>
      </c>
      <c r="T1376" s="20">
        <f>IF(AND(ISNUMBER(B1376),Settings!$B$17&gt;0),IF(ISNUMBER(INDEX($B:$B,Settings!$B$17)),(B1376-INDEX($B:$B,Settings!$B$17))*100,NA()),NA())</f>
        <v/>
      </c>
      <c r="U1376" s="20">
        <f>IF(AND(ISNUMBER(Q1376),Settings!$B$17&gt;0),IF(ISNUMBER(INDEX($Q:$Q,Settings!$B$17)),(Q1376-INDEX($Q:$Q,Settings!$B$17))*100,NA()),NA())</f>
        <v/>
      </c>
      <c r="V1376" s="20">
        <f>IF(AND(ISNUMBER(R1376),Settings!$B$17&gt;0),IF(ISNUMBER(INDEX($R:$R,Settings!$B$17)),(R1376-INDEX($R:$R,Settings!$B$17))*100,NA()),NA())</f>
        <v/>
      </c>
      <c r="W1376" s="20">
        <f>IF(AND(ISNUMBER(P1376),Settings!$B$17&gt;0),IF(ISNUMBER(INDEX($P:$P,Settings!$B$17)),P1376-INDEX($P:$P,Settings!$B$17),NA()),NA())</f>
        <v/>
      </c>
      <c r="X1376" s="19">
        <f>IF(NOT(ISNUMBER($A1376)),NA(),IF(OR($A1376&lt;MIN(DKW_10Y!$A$2:$A$2918),$A1376&gt;MAX(DKW_10Y!$A$2:$A$2918),Settings!$B$16&lt;MIN(DKW_10Y!$A$2:$A$2918)),NA(),(INDEX(DKW_10Y!$B$2:$B$2918,MATCH($A1376,DKW_10Y!$A$2:$A$2918,1))-INDEX(DKW_10Y!$B$2:$B$2918,MATCH(Settings!$B$16,DKW_10Y!$A$2:$A$2918,1)))*100))</f>
        <v/>
      </c>
      <c r="Y1376" s="19">
        <f>IF(NOT(ISNUMBER($A1376)),NA(),IF(OR($A1376&lt;MIN(DKW_10Y!$A$2:$A$2918),$A1376&gt;MAX(DKW_10Y!$A$2:$A$2918),Settings!$B$16&lt;MIN(DKW_10Y!$A$2:$A$2918)),NA(),(INDEX(DKW_10Y!$C$2:$C$2918,MATCH($A1376,DKW_10Y!$A$2:$A$2918,1))-INDEX(DKW_10Y!$C$2:$C$2918,MATCH(Settings!$B$16,DKW_10Y!$A$2:$A$2918,1)))*100))</f>
        <v/>
      </c>
      <c r="Z1376" s="19">
        <f>IF(NOT(ISNUMBER($A1376)),NA(),IF(OR($A1376&lt;MIN(DKW_10Y!$A$2:$A$2918),$A1376&gt;MAX(DKW_10Y!$A$2:$A$2918),Settings!$B$16&lt;MIN(DKW_10Y!$A$2:$A$2918)),NA(),(INDEX(DKW_10Y!$D$2:$D$2918,MATCH($A1376,DKW_10Y!$A$2:$A$2918,1))-INDEX(DKW_10Y!$D$2:$D$2918,MATCH(Settings!$B$16,DKW_10Y!$A$2:$A$2918,1)))*100))</f>
        <v/>
      </c>
      <c r="AA1376" s="19">
        <f>IF(NOT(ISNUMBER($A1376)),NA(),IF(OR($A1376&lt;MIN(DKW_10Y!$A$2:$A$2918),$A1376&gt;MAX(DKW_10Y!$A$2:$A$2918),Settings!$B$16&lt;MIN(DKW_10Y!$A$2:$A$2918)),NA(),(INDEX(DKW_10Y!$E$2:$E$2918,MATCH($A1376,DKW_10Y!$A$2:$A$2918,1))-INDEX(DKW_10Y!$E$2:$E$2918,MATCH(Settings!$B$16,DKW_10Y!$A$2:$A$2918,1)))*100))</f>
        <v/>
      </c>
      <c r="AB1376" s="19">
        <f>IF(NOT(ISNUMBER($A1376)),NA(),IF(OR($A1376&lt;MIN(DKW_10Y!$A$2:$A$2918),$A1376&gt;MAX(DKW_10Y!$A$2:$A$2918),Settings!$B$16&lt;MIN(DKW_10Y!$A$2:$A$2918)),NA(),(INDEX(DKW_10Y!$H$2:$H$2918,MATCH($A1376,DKW_10Y!$A$2:$A$2918,1))-INDEX(DKW_10Y!$H$2:$H$2918,MATCH(Settings!$B$16,DKW_10Y!$A$2:$A$2918,1)))*100))</f>
        <v/>
      </c>
      <c r="AC1376" s="18">
        <f>IF(NOT(ISNUMBER($A1376)),NA(),IFERROR(1*INDEX(BBG_Data!$N$2:$N$4000,MATCH($A1376,BBG_Data!$M$2:$M$4000,0)),NA()))</f>
        <v/>
      </c>
      <c r="AD1376" s="18">
        <f>IF(NOT(ISNUMBER($A1376)),NA(),IFERROR(1*INDEX(BBG_Data!$P$2:$P$4000,MATCH($A1376,BBG_Data!$O$2:$O$4000,0)),NA()))</f>
        <v/>
      </c>
      <c r="AE1376" s="18">
        <f>IF(NOT(ISNUMBER($A1376)),NA(),IFERROR(1*INDEX(BBG_Data!$R$2:$R$4000,MATCH($A1376,BBG_Data!$Q$2:$Q$4000,0)),NA()))</f>
        <v/>
      </c>
      <c r="AF1376" s="20">
        <f>IF(AND(ISNUMBER(B1376),ISNUMBER(AC1376)),(B1376-AC1376)*100,NA())</f>
        <v/>
      </c>
      <c r="AG1376" s="20">
        <f>IF(AND(ISNUMBER(AE1376),ISNUMBER(AD1376)),(AE1376-AD1376)*100,NA())</f>
        <v/>
      </c>
      <c r="AH1376" s="19">
        <f>IF(NOT(ISNUMBER($A1376)),NA(),IFERROR(INDEX(BBG_Data!$T$2:$T$4000,MATCH($A1376,BBG_Data!$S$2:$S$4000,0))*Settings!$B$25,NA()))</f>
        <v/>
      </c>
      <c r="AI1376" s="19">
        <f>IF(NOT(ISNUMBER($A1376)),NA(),IFERROR(INDEX(BBG_Data!$V$2:$V$4000,MATCH($A1376,BBG_Data!$U$2:$U$4000,0))*Settings!$B$25,NA()))</f>
        <v/>
      </c>
      <c r="AJ1376" s="19">
        <f>IF(NOT(ISNUMBER($A1376)),NA(),IFERROR(1*INDEX(BBG_Data!$X$2:$X$4000,MATCH($A1376,BBG_Data!$W$2:$W$4000,0)),NA()))</f>
        <v/>
      </c>
      <c r="AK1376" s="19">
        <f>IF(NOT(ISNUMBER($A1376)),NA(),IFERROR(1*INDEX(BBG_Data!$Z$2:$Z$4000,MATCH($A1376,BBG_Data!$Y$2:$Y$4000,0)),NA()))</f>
        <v/>
      </c>
    </row>
    <row r="1377">
      <c r="A1377" s="17">
        <f>IF(ISNUMBER(BBG_Data!A1377),BBG_Data!A1377,"")</f>
        <v/>
      </c>
      <c r="B1377" s="18">
        <f>IF(AND(ISNUMBER($A1377),ISNUMBER(BBG_Data!B1377)),BBG_Data!B1377,NA())</f>
        <v/>
      </c>
      <c r="C1377" s="18">
        <f>IF(NOT(ISNUMBER($A1377)),NA(),IFERROR(1*INDEX(BBG_Data!$D$2:$D$4000,MATCH($A1377,BBG_Data!$C$2:$C$4000,0)),NA()))</f>
        <v/>
      </c>
      <c r="D1377" s="19">
        <f>IF(NOT(ISNUMBER($A1377)),NA(),IFERROR(1*INDEX(BBG_Data!$F$2:$F$4000,MATCH($A1377,BBG_Data!$E$2:$E$4000,0)),NA()))</f>
        <v/>
      </c>
      <c r="E1377" s="19">
        <f>IF(NOT(ISNUMBER($A1377)),NA(),IFERROR(1*INDEX(BBG_Data!$H$2:$H$4000,MATCH($A1377,BBG_Data!$G$2:$G$4000,0)),NA()))</f>
        <v/>
      </c>
      <c r="F1377" s="20">
        <f>IF(AND(ISNUMBER(B1377),ISNUMBER(B1376)),IF(B1377=B1376,"",(B1377-B1376)*100),"")</f>
        <v/>
      </c>
      <c r="G1377" s="20">
        <f>IF(AND(ISNUMBER(C1377),ISNUMBER(C1376)),IF(C1377=C1376,"",(C1377-C1376)*100),"")</f>
        <v/>
      </c>
      <c r="H1377" s="20">
        <f>IF(OR(NOT(ISNUMBER($A1377)),ROW()-2&lt;Settings!$B$11),NA(),IF(COUNT(OFFSET(F1377,1-Settings!$B$11,0,Settings!$B$11,1))&lt;ROUNDUP(Settings!$B$11*Settings!$B$26,0),NA(),STDEV(OFFSET(F1377,1-Settings!$B$11,0,Settings!$B$11,1))*SQRT(Settings!$B$13)))</f>
        <v/>
      </c>
      <c r="I1377" s="20">
        <f>IF(OR(NOT(ISNUMBER($A1377)),ROW()-2&lt;Settings!$B$12),NA(),IF(COUNT(OFFSET(F1377,1-Settings!$B$12,0,Settings!$B$12,1))&lt;ROUNDUP(Settings!$B$12*Settings!$B$26,0),NA(),STDEV(OFFSET(F1377,1-Settings!$B$12,0,Settings!$B$12,1))*SQRT(Settings!$B$13)))</f>
        <v/>
      </c>
      <c r="J1377" s="20">
        <f>IF(OR(NOT(ISNUMBER($A1377)),ROW()-2&lt;Settings!$B$11),NA(),IF(COUNT(OFFSET(G1377,1-Settings!$B$11,0,Settings!$B$11,1))&lt;ROUNDUP(Settings!$B$11*Settings!$B$26,0),NA(),STDEV(OFFSET(G1377,1-Settings!$B$11,0,Settings!$B$11,1))*SQRT(Settings!$B$13)))</f>
        <v/>
      </c>
      <c r="K1377" s="20">
        <f>IF(OR(NOT(ISNUMBER($A1377)),ROW()-2&lt;Settings!$B$12),NA(),IF(COUNT(OFFSET(G1377,1-Settings!$B$12,0,Settings!$B$12,1))&lt;ROUNDUP(Settings!$B$12*Settings!$B$26,0),NA(),STDEV(OFFSET(G1377,1-Settings!$B$12,0,Settings!$B$12,1))*SQRT(Settings!$B$13)))</f>
        <v/>
      </c>
      <c r="L1377" s="20">
        <f>IF(AND(ISNUMBER(D1377),ISNUMBER(H1377)),D1377-H1377,NA())</f>
        <v/>
      </c>
      <c r="M1377" s="20">
        <f>IF(AND(ISNUMBER(E1377),ISNUMBER(K1377)),E1377-K1377,NA())</f>
        <v/>
      </c>
      <c r="N1377" s="20">
        <f>IF(NOT(ISNUMBER($A1377)),NA(),IF(COUNT(OFFSET(G1377,1,0,Settings!$B$12,1))&lt;ROUNDUP(Settings!$B$12*Settings!$B$26,0),NA(),STDEV(OFFSET(G1377,1,0,Settings!$B$12,1))*SQRT(Settings!$B$13)))</f>
        <v/>
      </c>
      <c r="O1377" s="20">
        <f>IF(AND(ISNUMBER(E1377),ISNUMBER(N1377)),E1377-N1377,NA())</f>
        <v/>
      </c>
      <c r="P1377" s="19">
        <f>IF(NOT(ISNUMBER($A1377)),NA(),IF(OR($A1377&lt;MIN(KW_TP!$A$2:$A$2501),$A1377&gt;MAX(KW_TP!$A$2:$A$2501)),NA(),INDEX(KW_TP!$C$2:$C$2501,MATCH($A1377,KW_TP!$A$2:$A$2501,1))))</f>
        <v/>
      </c>
      <c r="Q1377" s="18">
        <f>IF(NOT(ISNUMBER($A1377)),NA(),IFERROR(1*INDEX(BBG_Data!$J$2:$J$4000,MATCH($A1377,BBG_Data!$I$2:$I$4000,0)),NA()))</f>
        <v/>
      </c>
      <c r="R1377" s="18">
        <f>IF(NOT(ISNUMBER($A1377)),NA(),IFERROR(1*INDEX(BBG_Data!$L$2:$L$4000,MATCH($A1377,BBG_Data!$K$2:$K$4000,0)),NA()))</f>
        <v/>
      </c>
      <c r="S1377" s="20">
        <f>IF(AND(ISNUMBER(B1377),ISNUMBER(Q1377),ISNUMBER(R1377)),(B1377-Q1377-R1377)*100,NA())</f>
        <v/>
      </c>
      <c r="T1377" s="20">
        <f>IF(AND(ISNUMBER(B1377),Settings!$B$17&gt;0),IF(ISNUMBER(INDEX($B:$B,Settings!$B$17)),(B1377-INDEX($B:$B,Settings!$B$17))*100,NA()),NA())</f>
        <v/>
      </c>
      <c r="U1377" s="20">
        <f>IF(AND(ISNUMBER(Q1377),Settings!$B$17&gt;0),IF(ISNUMBER(INDEX($Q:$Q,Settings!$B$17)),(Q1377-INDEX($Q:$Q,Settings!$B$17))*100,NA()),NA())</f>
        <v/>
      </c>
      <c r="V1377" s="20">
        <f>IF(AND(ISNUMBER(R1377),Settings!$B$17&gt;0),IF(ISNUMBER(INDEX($R:$R,Settings!$B$17)),(R1377-INDEX($R:$R,Settings!$B$17))*100,NA()),NA())</f>
        <v/>
      </c>
      <c r="W1377" s="20">
        <f>IF(AND(ISNUMBER(P1377),Settings!$B$17&gt;0),IF(ISNUMBER(INDEX($P:$P,Settings!$B$17)),P1377-INDEX($P:$P,Settings!$B$17),NA()),NA())</f>
        <v/>
      </c>
      <c r="X1377" s="19">
        <f>IF(NOT(ISNUMBER($A1377)),NA(),IF(OR($A1377&lt;MIN(DKW_10Y!$A$2:$A$2918),$A1377&gt;MAX(DKW_10Y!$A$2:$A$2918),Settings!$B$16&lt;MIN(DKW_10Y!$A$2:$A$2918)),NA(),(INDEX(DKW_10Y!$B$2:$B$2918,MATCH($A1377,DKW_10Y!$A$2:$A$2918,1))-INDEX(DKW_10Y!$B$2:$B$2918,MATCH(Settings!$B$16,DKW_10Y!$A$2:$A$2918,1)))*100))</f>
        <v/>
      </c>
      <c r="Y1377" s="19">
        <f>IF(NOT(ISNUMBER($A1377)),NA(),IF(OR($A1377&lt;MIN(DKW_10Y!$A$2:$A$2918),$A1377&gt;MAX(DKW_10Y!$A$2:$A$2918),Settings!$B$16&lt;MIN(DKW_10Y!$A$2:$A$2918)),NA(),(INDEX(DKW_10Y!$C$2:$C$2918,MATCH($A1377,DKW_10Y!$A$2:$A$2918,1))-INDEX(DKW_10Y!$C$2:$C$2918,MATCH(Settings!$B$16,DKW_10Y!$A$2:$A$2918,1)))*100))</f>
        <v/>
      </c>
      <c r="Z1377" s="19">
        <f>IF(NOT(ISNUMBER($A1377)),NA(),IF(OR($A1377&lt;MIN(DKW_10Y!$A$2:$A$2918),$A1377&gt;MAX(DKW_10Y!$A$2:$A$2918),Settings!$B$16&lt;MIN(DKW_10Y!$A$2:$A$2918)),NA(),(INDEX(DKW_10Y!$D$2:$D$2918,MATCH($A1377,DKW_10Y!$A$2:$A$2918,1))-INDEX(DKW_10Y!$D$2:$D$2918,MATCH(Settings!$B$16,DKW_10Y!$A$2:$A$2918,1)))*100))</f>
        <v/>
      </c>
      <c r="AA1377" s="19">
        <f>IF(NOT(ISNUMBER($A1377)),NA(),IF(OR($A1377&lt;MIN(DKW_10Y!$A$2:$A$2918),$A1377&gt;MAX(DKW_10Y!$A$2:$A$2918),Settings!$B$16&lt;MIN(DKW_10Y!$A$2:$A$2918)),NA(),(INDEX(DKW_10Y!$E$2:$E$2918,MATCH($A1377,DKW_10Y!$A$2:$A$2918,1))-INDEX(DKW_10Y!$E$2:$E$2918,MATCH(Settings!$B$16,DKW_10Y!$A$2:$A$2918,1)))*100))</f>
        <v/>
      </c>
      <c r="AB1377" s="19">
        <f>IF(NOT(ISNUMBER($A1377)),NA(),IF(OR($A1377&lt;MIN(DKW_10Y!$A$2:$A$2918),$A1377&gt;MAX(DKW_10Y!$A$2:$A$2918),Settings!$B$16&lt;MIN(DKW_10Y!$A$2:$A$2918)),NA(),(INDEX(DKW_10Y!$H$2:$H$2918,MATCH($A1377,DKW_10Y!$A$2:$A$2918,1))-INDEX(DKW_10Y!$H$2:$H$2918,MATCH(Settings!$B$16,DKW_10Y!$A$2:$A$2918,1)))*100))</f>
        <v/>
      </c>
      <c r="AC1377" s="18">
        <f>IF(NOT(ISNUMBER($A1377)),NA(),IFERROR(1*INDEX(BBG_Data!$N$2:$N$4000,MATCH($A1377,BBG_Data!$M$2:$M$4000,0)),NA()))</f>
        <v/>
      </c>
      <c r="AD1377" s="18">
        <f>IF(NOT(ISNUMBER($A1377)),NA(),IFERROR(1*INDEX(BBG_Data!$P$2:$P$4000,MATCH($A1377,BBG_Data!$O$2:$O$4000,0)),NA()))</f>
        <v/>
      </c>
      <c r="AE1377" s="18">
        <f>IF(NOT(ISNUMBER($A1377)),NA(),IFERROR(1*INDEX(BBG_Data!$R$2:$R$4000,MATCH($A1377,BBG_Data!$Q$2:$Q$4000,0)),NA()))</f>
        <v/>
      </c>
      <c r="AF1377" s="20">
        <f>IF(AND(ISNUMBER(B1377),ISNUMBER(AC1377)),(B1377-AC1377)*100,NA())</f>
        <v/>
      </c>
      <c r="AG1377" s="20">
        <f>IF(AND(ISNUMBER(AE1377),ISNUMBER(AD1377)),(AE1377-AD1377)*100,NA())</f>
        <v/>
      </c>
      <c r="AH1377" s="19">
        <f>IF(NOT(ISNUMBER($A1377)),NA(),IFERROR(INDEX(BBG_Data!$T$2:$T$4000,MATCH($A1377,BBG_Data!$S$2:$S$4000,0))*Settings!$B$25,NA()))</f>
        <v/>
      </c>
      <c r="AI1377" s="19">
        <f>IF(NOT(ISNUMBER($A1377)),NA(),IFERROR(INDEX(BBG_Data!$V$2:$V$4000,MATCH($A1377,BBG_Data!$U$2:$U$4000,0))*Settings!$B$25,NA()))</f>
        <v/>
      </c>
      <c r="AJ1377" s="19">
        <f>IF(NOT(ISNUMBER($A1377)),NA(),IFERROR(1*INDEX(BBG_Data!$X$2:$X$4000,MATCH($A1377,BBG_Data!$W$2:$W$4000,0)),NA()))</f>
        <v/>
      </c>
      <c r="AK1377" s="19">
        <f>IF(NOT(ISNUMBER($A1377)),NA(),IFERROR(1*INDEX(BBG_Data!$Z$2:$Z$4000,MATCH($A1377,BBG_Data!$Y$2:$Y$4000,0)),NA()))</f>
        <v/>
      </c>
    </row>
    <row r="1378">
      <c r="A1378" s="17">
        <f>IF(ISNUMBER(BBG_Data!A1378),BBG_Data!A1378,"")</f>
        <v/>
      </c>
      <c r="B1378" s="18">
        <f>IF(AND(ISNUMBER($A1378),ISNUMBER(BBG_Data!B1378)),BBG_Data!B1378,NA())</f>
        <v/>
      </c>
      <c r="C1378" s="18">
        <f>IF(NOT(ISNUMBER($A1378)),NA(),IFERROR(1*INDEX(BBG_Data!$D$2:$D$4000,MATCH($A1378,BBG_Data!$C$2:$C$4000,0)),NA()))</f>
        <v/>
      </c>
      <c r="D1378" s="19">
        <f>IF(NOT(ISNUMBER($A1378)),NA(),IFERROR(1*INDEX(BBG_Data!$F$2:$F$4000,MATCH($A1378,BBG_Data!$E$2:$E$4000,0)),NA()))</f>
        <v/>
      </c>
      <c r="E1378" s="19">
        <f>IF(NOT(ISNUMBER($A1378)),NA(),IFERROR(1*INDEX(BBG_Data!$H$2:$H$4000,MATCH($A1378,BBG_Data!$G$2:$G$4000,0)),NA()))</f>
        <v/>
      </c>
      <c r="F1378" s="20">
        <f>IF(AND(ISNUMBER(B1378),ISNUMBER(B1377)),IF(B1378=B1377,"",(B1378-B1377)*100),"")</f>
        <v/>
      </c>
      <c r="G1378" s="20">
        <f>IF(AND(ISNUMBER(C1378),ISNUMBER(C1377)),IF(C1378=C1377,"",(C1378-C1377)*100),"")</f>
        <v/>
      </c>
      <c r="H1378" s="20">
        <f>IF(OR(NOT(ISNUMBER($A1378)),ROW()-2&lt;Settings!$B$11),NA(),IF(COUNT(OFFSET(F1378,1-Settings!$B$11,0,Settings!$B$11,1))&lt;ROUNDUP(Settings!$B$11*Settings!$B$26,0),NA(),STDEV(OFFSET(F1378,1-Settings!$B$11,0,Settings!$B$11,1))*SQRT(Settings!$B$13)))</f>
        <v/>
      </c>
      <c r="I1378" s="20">
        <f>IF(OR(NOT(ISNUMBER($A1378)),ROW()-2&lt;Settings!$B$12),NA(),IF(COUNT(OFFSET(F1378,1-Settings!$B$12,0,Settings!$B$12,1))&lt;ROUNDUP(Settings!$B$12*Settings!$B$26,0),NA(),STDEV(OFFSET(F1378,1-Settings!$B$12,0,Settings!$B$12,1))*SQRT(Settings!$B$13)))</f>
        <v/>
      </c>
      <c r="J1378" s="20">
        <f>IF(OR(NOT(ISNUMBER($A1378)),ROW()-2&lt;Settings!$B$11),NA(),IF(COUNT(OFFSET(G1378,1-Settings!$B$11,0,Settings!$B$11,1))&lt;ROUNDUP(Settings!$B$11*Settings!$B$26,0),NA(),STDEV(OFFSET(G1378,1-Settings!$B$11,0,Settings!$B$11,1))*SQRT(Settings!$B$13)))</f>
        <v/>
      </c>
      <c r="K1378" s="20">
        <f>IF(OR(NOT(ISNUMBER($A1378)),ROW()-2&lt;Settings!$B$12),NA(),IF(COUNT(OFFSET(G1378,1-Settings!$B$12,0,Settings!$B$12,1))&lt;ROUNDUP(Settings!$B$12*Settings!$B$26,0),NA(),STDEV(OFFSET(G1378,1-Settings!$B$12,0,Settings!$B$12,1))*SQRT(Settings!$B$13)))</f>
        <v/>
      </c>
      <c r="L1378" s="20">
        <f>IF(AND(ISNUMBER(D1378),ISNUMBER(H1378)),D1378-H1378,NA())</f>
        <v/>
      </c>
      <c r="M1378" s="20">
        <f>IF(AND(ISNUMBER(E1378),ISNUMBER(K1378)),E1378-K1378,NA())</f>
        <v/>
      </c>
      <c r="N1378" s="20">
        <f>IF(NOT(ISNUMBER($A1378)),NA(),IF(COUNT(OFFSET(G1378,1,0,Settings!$B$12,1))&lt;ROUNDUP(Settings!$B$12*Settings!$B$26,0),NA(),STDEV(OFFSET(G1378,1,0,Settings!$B$12,1))*SQRT(Settings!$B$13)))</f>
        <v/>
      </c>
      <c r="O1378" s="20">
        <f>IF(AND(ISNUMBER(E1378),ISNUMBER(N1378)),E1378-N1378,NA())</f>
        <v/>
      </c>
      <c r="P1378" s="19">
        <f>IF(NOT(ISNUMBER($A1378)),NA(),IF(OR($A1378&lt;MIN(KW_TP!$A$2:$A$2501),$A1378&gt;MAX(KW_TP!$A$2:$A$2501)),NA(),INDEX(KW_TP!$C$2:$C$2501,MATCH($A1378,KW_TP!$A$2:$A$2501,1))))</f>
        <v/>
      </c>
      <c r="Q1378" s="18">
        <f>IF(NOT(ISNUMBER($A1378)),NA(),IFERROR(1*INDEX(BBG_Data!$J$2:$J$4000,MATCH($A1378,BBG_Data!$I$2:$I$4000,0)),NA()))</f>
        <v/>
      </c>
      <c r="R1378" s="18">
        <f>IF(NOT(ISNUMBER($A1378)),NA(),IFERROR(1*INDEX(BBG_Data!$L$2:$L$4000,MATCH($A1378,BBG_Data!$K$2:$K$4000,0)),NA()))</f>
        <v/>
      </c>
      <c r="S1378" s="20">
        <f>IF(AND(ISNUMBER(B1378),ISNUMBER(Q1378),ISNUMBER(R1378)),(B1378-Q1378-R1378)*100,NA())</f>
        <v/>
      </c>
      <c r="T1378" s="20">
        <f>IF(AND(ISNUMBER(B1378),Settings!$B$17&gt;0),IF(ISNUMBER(INDEX($B:$B,Settings!$B$17)),(B1378-INDEX($B:$B,Settings!$B$17))*100,NA()),NA())</f>
        <v/>
      </c>
      <c r="U1378" s="20">
        <f>IF(AND(ISNUMBER(Q1378),Settings!$B$17&gt;0),IF(ISNUMBER(INDEX($Q:$Q,Settings!$B$17)),(Q1378-INDEX($Q:$Q,Settings!$B$17))*100,NA()),NA())</f>
        <v/>
      </c>
      <c r="V1378" s="20">
        <f>IF(AND(ISNUMBER(R1378),Settings!$B$17&gt;0),IF(ISNUMBER(INDEX($R:$R,Settings!$B$17)),(R1378-INDEX($R:$R,Settings!$B$17))*100,NA()),NA())</f>
        <v/>
      </c>
      <c r="W1378" s="20">
        <f>IF(AND(ISNUMBER(P1378),Settings!$B$17&gt;0),IF(ISNUMBER(INDEX($P:$P,Settings!$B$17)),P1378-INDEX($P:$P,Settings!$B$17),NA()),NA())</f>
        <v/>
      </c>
      <c r="X1378" s="19">
        <f>IF(NOT(ISNUMBER($A1378)),NA(),IF(OR($A1378&lt;MIN(DKW_10Y!$A$2:$A$2918),$A1378&gt;MAX(DKW_10Y!$A$2:$A$2918),Settings!$B$16&lt;MIN(DKW_10Y!$A$2:$A$2918)),NA(),(INDEX(DKW_10Y!$B$2:$B$2918,MATCH($A1378,DKW_10Y!$A$2:$A$2918,1))-INDEX(DKW_10Y!$B$2:$B$2918,MATCH(Settings!$B$16,DKW_10Y!$A$2:$A$2918,1)))*100))</f>
        <v/>
      </c>
      <c r="Y1378" s="19">
        <f>IF(NOT(ISNUMBER($A1378)),NA(),IF(OR($A1378&lt;MIN(DKW_10Y!$A$2:$A$2918),$A1378&gt;MAX(DKW_10Y!$A$2:$A$2918),Settings!$B$16&lt;MIN(DKW_10Y!$A$2:$A$2918)),NA(),(INDEX(DKW_10Y!$C$2:$C$2918,MATCH($A1378,DKW_10Y!$A$2:$A$2918,1))-INDEX(DKW_10Y!$C$2:$C$2918,MATCH(Settings!$B$16,DKW_10Y!$A$2:$A$2918,1)))*100))</f>
        <v/>
      </c>
      <c r="Z1378" s="19">
        <f>IF(NOT(ISNUMBER($A1378)),NA(),IF(OR($A1378&lt;MIN(DKW_10Y!$A$2:$A$2918),$A1378&gt;MAX(DKW_10Y!$A$2:$A$2918),Settings!$B$16&lt;MIN(DKW_10Y!$A$2:$A$2918)),NA(),(INDEX(DKW_10Y!$D$2:$D$2918,MATCH($A1378,DKW_10Y!$A$2:$A$2918,1))-INDEX(DKW_10Y!$D$2:$D$2918,MATCH(Settings!$B$16,DKW_10Y!$A$2:$A$2918,1)))*100))</f>
        <v/>
      </c>
      <c r="AA1378" s="19">
        <f>IF(NOT(ISNUMBER($A1378)),NA(),IF(OR($A1378&lt;MIN(DKW_10Y!$A$2:$A$2918),$A1378&gt;MAX(DKW_10Y!$A$2:$A$2918),Settings!$B$16&lt;MIN(DKW_10Y!$A$2:$A$2918)),NA(),(INDEX(DKW_10Y!$E$2:$E$2918,MATCH($A1378,DKW_10Y!$A$2:$A$2918,1))-INDEX(DKW_10Y!$E$2:$E$2918,MATCH(Settings!$B$16,DKW_10Y!$A$2:$A$2918,1)))*100))</f>
        <v/>
      </c>
      <c r="AB1378" s="19">
        <f>IF(NOT(ISNUMBER($A1378)),NA(),IF(OR($A1378&lt;MIN(DKW_10Y!$A$2:$A$2918),$A1378&gt;MAX(DKW_10Y!$A$2:$A$2918),Settings!$B$16&lt;MIN(DKW_10Y!$A$2:$A$2918)),NA(),(INDEX(DKW_10Y!$H$2:$H$2918,MATCH($A1378,DKW_10Y!$A$2:$A$2918,1))-INDEX(DKW_10Y!$H$2:$H$2918,MATCH(Settings!$B$16,DKW_10Y!$A$2:$A$2918,1)))*100))</f>
        <v/>
      </c>
      <c r="AC1378" s="18">
        <f>IF(NOT(ISNUMBER($A1378)),NA(),IFERROR(1*INDEX(BBG_Data!$N$2:$N$4000,MATCH($A1378,BBG_Data!$M$2:$M$4000,0)),NA()))</f>
        <v/>
      </c>
      <c r="AD1378" s="18">
        <f>IF(NOT(ISNUMBER($A1378)),NA(),IFERROR(1*INDEX(BBG_Data!$P$2:$P$4000,MATCH($A1378,BBG_Data!$O$2:$O$4000,0)),NA()))</f>
        <v/>
      </c>
      <c r="AE1378" s="18">
        <f>IF(NOT(ISNUMBER($A1378)),NA(),IFERROR(1*INDEX(BBG_Data!$R$2:$R$4000,MATCH($A1378,BBG_Data!$Q$2:$Q$4000,0)),NA()))</f>
        <v/>
      </c>
      <c r="AF1378" s="20">
        <f>IF(AND(ISNUMBER(B1378),ISNUMBER(AC1378)),(B1378-AC1378)*100,NA())</f>
        <v/>
      </c>
      <c r="AG1378" s="20">
        <f>IF(AND(ISNUMBER(AE1378),ISNUMBER(AD1378)),(AE1378-AD1378)*100,NA())</f>
        <v/>
      </c>
      <c r="AH1378" s="19">
        <f>IF(NOT(ISNUMBER($A1378)),NA(),IFERROR(INDEX(BBG_Data!$T$2:$T$4000,MATCH($A1378,BBG_Data!$S$2:$S$4000,0))*Settings!$B$25,NA()))</f>
        <v/>
      </c>
      <c r="AI1378" s="19">
        <f>IF(NOT(ISNUMBER($A1378)),NA(),IFERROR(INDEX(BBG_Data!$V$2:$V$4000,MATCH($A1378,BBG_Data!$U$2:$U$4000,0))*Settings!$B$25,NA()))</f>
        <v/>
      </c>
      <c r="AJ1378" s="19">
        <f>IF(NOT(ISNUMBER($A1378)),NA(),IFERROR(1*INDEX(BBG_Data!$X$2:$X$4000,MATCH($A1378,BBG_Data!$W$2:$W$4000,0)),NA()))</f>
        <v/>
      </c>
      <c r="AK1378" s="19">
        <f>IF(NOT(ISNUMBER($A1378)),NA(),IFERROR(1*INDEX(BBG_Data!$Z$2:$Z$4000,MATCH($A1378,BBG_Data!$Y$2:$Y$4000,0)),NA()))</f>
        <v/>
      </c>
    </row>
    <row r="1379">
      <c r="A1379" s="17">
        <f>IF(ISNUMBER(BBG_Data!A1379),BBG_Data!A1379,"")</f>
        <v/>
      </c>
      <c r="B1379" s="18">
        <f>IF(AND(ISNUMBER($A1379),ISNUMBER(BBG_Data!B1379)),BBG_Data!B1379,NA())</f>
        <v/>
      </c>
      <c r="C1379" s="18">
        <f>IF(NOT(ISNUMBER($A1379)),NA(),IFERROR(1*INDEX(BBG_Data!$D$2:$D$4000,MATCH($A1379,BBG_Data!$C$2:$C$4000,0)),NA()))</f>
        <v/>
      </c>
      <c r="D1379" s="19">
        <f>IF(NOT(ISNUMBER($A1379)),NA(),IFERROR(1*INDEX(BBG_Data!$F$2:$F$4000,MATCH($A1379,BBG_Data!$E$2:$E$4000,0)),NA()))</f>
        <v/>
      </c>
      <c r="E1379" s="19">
        <f>IF(NOT(ISNUMBER($A1379)),NA(),IFERROR(1*INDEX(BBG_Data!$H$2:$H$4000,MATCH($A1379,BBG_Data!$G$2:$G$4000,0)),NA()))</f>
        <v/>
      </c>
      <c r="F1379" s="20">
        <f>IF(AND(ISNUMBER(B1379),ISNUMBER(B1378)),IF(B1379=B1378,"",(B1379-B1378)*100),"")</f>
        <v/>
      </c>
      <c r="G1379" s="20">
        <f>IF(AND(ISNUMBER(C1379),ISNUMBER(C1378)),IF(C1379=C1378,"",(C1379-C1378)*100),"")</f>
        <v/>
      </c>
      <c r="H1379" s="20">
        <f>IF(OR(NOT(ISNUMBER($A1379)),ROW()-2&lt;Settings!$B$11),NA(),IF(COUNT(OFFSET(F1379,1-Settings!$B$11,0,Settings!$B$11,1))&lt;ROUNDUP(Settings!$B$11*Settings!$B$26,0),NA(),STDEV(OFFSET(F1379,1-Settings!$B$11,0,Settings!$B$11,1))*SQRT(Settings!$B$13)))</f>
        <v/>
      </c>
      <c r="I1379" s="20">
        <f>IF(OR(NOT(ISNUMBER($A1379)),ROW()-2&lt;Settings!$B$12),NA(),IF(COUNT(OFFSET(F1379,1-Settings!$B$12,0,Settings!$B$12,1))&lt;ROUNDUP(Settings!$B$12*Settings!$B$26,0),NA(),STDEV(OFFSET(F1379,1-Settings!$B$12,0,Settings!$B$12,1))*SQRT(Settings!$B$13)))</f>
        <v/>
      </c>
      <c r="J1379" s="20">
        <f>IF(OR(NOT(ISNUMBER($A1379)),ROW()-2&lt;Settings!$B$11),NA(),IF(COUNT(OFFSET(G1379,1-Settings!$B$11,0,Settings!$B$11,1))&lt;ROUNDUP(Settings!$B$11*Settings!$B$26,0),NA(),STDEV(OFFSET(G1379,1-Settings!$B$11,0,Settings!$B$11,1))*SQRT(Settings!$B$13)))</f>
        <v/>
      </c>
      <c r="K1379" s="20">
        <f>IF(OR(NOT(ISNUMBER($A1379)),ROW()-2&lt;Settings!$B$12),NA(),IF(COUNT(OFFSET(G1379,1-Settings!$B$12,0,Settings!$B$12,1))&lt;ROUNDUP(Settings!$B$12*Settings!$B$26,0),NA(),STDEV(OFFSET(G1379,1-Settings!$B$12,0,Settings!$B$12,1))*SQRT(Settings!$B$13)))</f>
        <v/>
      </c>
      <c r="L1379" s="20">
        <f>IF(AND(ISNUMBER(D1379),ISNUMBER(H1379)),D1379-H1379,NA())</f>
        <v/>
      </c>
      <c r="M1379" s="20">
        <f>IF(AND(ISNUMBER(E1379),ISNUMBER(K1379)),E1379-K1379,NA())</f>
        <v/>
      </c>
      <c r="N1379" s="20">
        <f>IF(NOT(ISNUMBER($A1379)),NA(),IF(COUNT(OFFSET(G1379,1,0,Settings!$B$12,1))&lt;ROUNDUP(Settings!$B$12*Settings!$B$26,0),NA(),STDEV(OFFSET(G1379,1,0,Settings!$B$12,1))*SQRT(Settings!$B$13)))</f>
        <v/>
      </c>
      <c r="O1379" s="20">
        <f>IF(AND(ISNUMBER(E1379),ISNUMBER(N1379)),E1379-N1379,NA())</f>
        <v/>
      </c>
      <c r="P1379" s="19">
        <f>IF(NOT(ISNUMBER($A1379)),NA(),IF(OR($A1379&lt;MIN(KW_TP!$A$2:$A$2501),$A1379&gt;MAX(KW_TP!$A$2:$A$2501)),NA(),INDEX(KW_TP!$C$2:$C$2501,MATCH($A1379,KW_TP!$A$2:$A$2501,1))))</f>
        <v/>
      </c>
      <c r="Q1379" s="18">
        <f>IF(NOT(ISNUMBER($A1379)),NA(),IFERROR(1*INDEX(BBG_Data!$J$2:$J$4000,MATCH($A1379,BBG_Data!$I$2:$I$4000,0)),NA()))</f>
        <v/>
      </c>
      <c r="R1379" s="18">
        <f>IF(NOT(ISNUMBER($A1379)),NA(),IFERROR(1*INDEX(BBG_Data!$L$2:$L$4000,MATCH($A1379,BBG_Data!$K$2:$K$4000,0)),NA()))</f>
        <v/>
      </c>
      <c r="S1379" s="20">
        <f>IF(AND(ISNUMBER(B1379),ISNUMBER(Q1379),ISNUMBER(R1379)),(B1379-Q1379-R1379)*100,NA())</f>
        <v/>
      </c>
      <c r="T1379" s="20">
        <f>IF(AND(ISNUMBER(B1379),Settings!$B$17&gt;0),IF(ISNUMBER(INDEX($B:$B,Settings!$B$17)),(B1379-INDEX($B:$B,Settings!$B$17))*100,NA()),NA())</f>
        <v/>
      </c>
      <c r="U1379" s="20">
        <f>IF(AND(ISNUMBER(Q1379),Settings!$B$17&gt;0),IF(ISNUMBER(INDEX($Q:$Q,Settings!$B$17)),(Q1379-INDEX($Q:$Q,Settings!$B$17))*100,NA()),NA())</f>
        <v/>
      </c>
      <c r="V1379" s="20">
        <f>IF(AND(ISNUMBER(R1379),Settings!$B$17&gt;0),IF(ISNUMBER(INDEX($R:$R,Settings!$B$17)),(R1379-INDEX($R:$R,Settings!$B$17))*100,NA()),NA())</f>
        <v/>
      </c>
      <c r="W1379" s="20">
        <f>IF(AND(ISNUMBER(P1379),Settings!$B$17&gt;0),IF(ISNUMBER(INDEX($P:$P,Settings!$B$17)),P1379-INDEX($P:$P,Settings!$B$17),NA()),NA())</f>
        <v/>
      </c>
      <c r="X1379" s="19">
        <f>IF(NOT(ISNUMBER($A1379)),NA(),IF(OR($A1379&lt;MIN(DKW_10Y!$A$2:$A$2918),$A1379&gt;MAX(DKW_10Y!$A$2:$A$2918),Settings!$B$16&lt;MIN(DKW_10Y!$A$2:$A$2918)),NA(),(INDEX(DKW_10Y!$B$2:$B$2918,MATCH($A1379,DKW_10Y!$A$2:$A$2918,1))-INDEX(DKW_10Y!$B$2:$B$2918,MATCH(Settings!$B$16,DKW_10Y!$A$2:$A$2918,1)))*100))</f>
        <v/>
      </c>
      <c r="Y1379" s="19">
        <f>IF(NOT(ISNUMBER($A1379)),NA(),IF(OR($A1379&lt;MIN(DKW_10Y!$A$2:$A$2918),$A1379&gt;MAX(DKW_10Y!$A$2:$A$2918),Settings!$B$16&lt;MIN(DKW_10Y!$A$2:$A$2918)),NA(),(INDEX(DKW_10Y!$C$2:$C$2918,MATCH($A1379,DKW_10Y!$A$2:$A$2918,1))-INDEX(DKW_10Y!$C$2:$C$2918,MATCH(Settings!$B$16,DKW_10Y!$A$2:$A$2918,1)))*100))</f>
        <v/>
      </c>
      <c r="Z1379" s="19">
        <f>IF(NOT(ISNUMBER($A1379)),NA(),IF(OR($A1379&lt;MIN(DKW_10Y!$A$2:$A$2918),$A1379&gt;MAX(DKW_10Y!$A$2:$A$2918),Settings!$B$16&lt;MIN(DKW_10Y!$A$2:$A$2918)),NA(),(INDEX(DKW_10Y!$D$2:$D$2918,MATCH($A1379,DKW_10Y!$A$2:$A$2918,1))-INDEX(DKW_10Y!$D$2:$D$2918,MATCH(Settings!$B$16,DKW_10Y!$A$2:$A$2918,1)))*100))</f>
        <v/>
      </c>
      <c r="AA1379" s="19">
        <f>IF(NOT(ISNUMBER($A1379)),NA(),IF(OR($A1379&lt;MIN(DKW_10Y!$A$2:$A$2918),$A1379&gt;MAX(DKW_10Y!$A$2:$A$2918),Settings!$B$16&lt;MIN(DKW_10Y!$A$2:$A$2918)),NA(),(INDEX(DKW_10Y!$E$2:$E$2918,MATCH($A1379,DKW_10Y!$A$2:$A$2918,1))-INDEX(DKW_10Y!$E$2:$E$2918,MATCH(Settings!$B$16,DKW_10Y!$A$2:$A$2918,1)))*100))</f>
        <v/>
      </c>
      <c r="AB1379" s="19">
        <f>IF(NOT(ISNUMBER($A1379)),NA(),IF(OR($A1379&lt;MIN(DKW_10Y!$A$2:$A$2918),$A1379&gt;MAX(DKW_10Y!$A$2:$A$2918),Settings!$B$16&lt;MIN(DKW_10Y!$A$2:$A$2918)),NA(),(INDEX(DKW_10Y!$H$2:$H$2918,MATCH($A1379,DKW_10Y!$A$2:$A$2918,1))-INDEX(DKW_10Y!$H$2:$H$2918,MATCH(Settings!$B$16,DKW_10Y!$A$2:$A$2918,1)))*100))</f>
        <v/>
      </c>
      <c r="AC1379" s="18">
        <f>IF(NOT(ISNUMBER($A1379)),NA(),IFERROR(1*INDEX(BBG_Data!$N$2:$N$4000,MATCH($A1379,BBG_Data!$M$2:$M$4000,0)),NA()))</f>
        <v/>
      </c>
      <c r="AD1379" s="18">
        <f>IF(NOT(ISNUMBER($A1379)),NA(),IFERROR(1*INDEX(BBG_Data!$P$2:$P$4000,MATCH($A1379,BBG_Data!$O$2:$O$4000,0)),NA()))</f>
        <v/>
      </c>
      <c r="AE1379" s="18">
        <f>IF(NOT(ISNUMBER($A1379)),NA(),IFERROR(1*INDEX(BBG_Data!$R$2:$R$4000,MATCH($A1379,BBG_Data!$Q$2:$Q$4000,0)),NA()))</f>
        <v/>
      </c>
      <c r="AF1379" s="20">
        <f>IF(AND(ISNUMBER(B1379),ISNUMBER(AC1379)),(B1379-AC1379)*100,NA())</f>
        <v/>
      </c>
      <c r="AG1379" s="20">
        <f>IF(AND(ISNUMBER(AE1379),ISNUMBER(AD1379)),(AE1379-AD1379)*100,NA())</f>
        <v/>
      </c>
      <c r="AH1379" s="19">
        <f>IF(NOT(ISNUMBER($A1379)),NA(),IFERROR(INDEX(BBG_Data!$T$2:$T$4000,MATCH($A1379,BBG_Data!$S$2:$S$4000,0))*Settings!$B$25,NA()))</f>
        <v/>
      </c>
      <c r="AI1379" s="19">
        <f>IF(NOT(ISNUMBER($A1379)),NA(),IFERROR(INDEX(BBG_Data!$V$2:$V$4000,MATCH($A1379,BBG_Data!$U$2:$U$4000,0))*Settings!$B$25,NA()))</f>
        <v/>
      </c>
      <c r="AJ1379" s="19">
        <f>IF(NOT(ISNUMBER($A1379)),NA(),IFERROR(1*INDEX(BBG_Data!$X$2:$X$4000,MATCH($A1379,BBG_Data!$W$2:$W$4000,0)),NA()))</f>
        <v/>
      </c>
      <c r="AK1379" s="19">
        <f>IF(NOT(ISNUMBER($A1379)),NA(),IFERROR(1*INDEX(BBG_Data!$Z$2:$Z$4000,MATCH($A1379,BBG_Data!$Y$2:$Y$4000,0)),NA()))</f>
        <v/>
      </c>
    </row>
    <row r="1380">
      <c r="A1380" s="17">
        <f>IF(ISNUMBER(BBG_Data!A1380),BBG_Data!A1380,"")</f>
        <v/>
      </c>
      <c r="B1380" s="18">
        <f>IF(AND(ISNUMBER($A1380),ISNUMBER(BBG_Data!B1380)),BBG_Data!B1380,NA())</f>
        <v/>
      </c>
      <c r="C1380" s="18">
        <f>IF(NOT(ISNUMBER($A1380)),NA(),IFERROR(1*INDEX(BBG_Data!$D$2:$D$4000,MATCH($A1380,BBG_Data!$C$2:$C$4000,0)),NA()))</f>
        <v/>
      </c>
      <c r="D1380" s="19">
        <f>IF(NOT(ISNUMBER($A1380)),NA(),IFERROR(1*INDEX(BBG_Data!$F$2:$F$4000,MATCH($A1380,BBG_Data!$E$2:$E$4000,0)),NA()))</f>
        <v/>
      </c>
      <c r="E1380" s="19">
        <f>IF(NOT(ISNUMBER($A1380)),NA(),IFERROR(1*INDEX(BBG_Data!$H$2:$H$4000,MATCH($A1380,BBG_Data!$G$2:$G$4000,0)),NA()))</f>
        <v/>
      </c>
      <c r="F1380" s="20">
        <f>IF(AND(ISNUMBER(B1380),ISNUMBER(B1379)),IF(B1380=B1379,"",(B1380-B1379)*100),"")</f>
        <v/>
      </c>
      <c r="G1380" s="20">
        <f>IF(AND(ISNUMBER(C1380),ISNUMBER(C1379)),IF(C1380=C1379,"",(C1380-C1379)*100),"")</f>
        <v/>
      </c>
      <c r="H1380" s="20">
        <f>IF(OR(NOT(ISNUMBER($A1380)),ROW()-2&lt;Settings!$B$11),NA(),IF(COUNT(OFFSET(F1380,1-Settings!$B$11,0,Settings!$B$11,1))&lt;ROUNDUP(Settings!$B$11*Settings!$B$26,0),NA(),STDEV(OFFSET(F1380,1-Settings!$B$11,0,Settings!$B$11,1))*SQRT(Settings!$B$13)))</f>
        <v/>
      </c>
      <c r="I1380" s="20">
        <f>IF(OR(NOT(ISNUMBER($A1380)),ROW()-2&lt;Settings!$B$12),NA(),IF(COUNT(OFFSET(F1380,1-Settings!$B$12,0,Settings!$B$12,1))&lt;ROUNDUP(Settings!$B$12*Settings!$B$26,0),NA(),STDEV(OFFSET(F1380,1-Settings!$B$12,0,Settings!$B$12,1))*SQRT(Settings!$B$13)))</f>
        <v/>
      </c>
      <c r="J1380" s="20">
        <f>IF(OR(NOT(ISNUMBER($A1380)),ROW()-2&lt;Settings!$B$11),NA(),IF(COUNT(OFFSET(G1380,1-Settings!$B$11,0,Settings!$B$11,1))&lt;ROUNDUP(Settings!$B$11*Settings!$B$26,0),NA(),STDEV(OFFSET(G1380,1-Settings!$B$11,0,Settings!$B$11,1))*SQRT(Settings!$B$13)))</f>
        <v/>
      </c>
      <c r="K1380" s="20">
        <f>IF(OR(NOT(ISNUMBER($A1380)),ROW()-2&lt;Settings!$B$12),NA(),IF(COUNT(OFFSET(G1380,1-Settings!$B$12,0,Settings!$B$12,1))&lt;ROUNDUP(Settings!$B$12*Settings!$B$26,0),NA(),STDEV(OFFSET(G1380,1-Settings!$B$12,0,Settings!$B$12,1))*SQRT(Settings!$B$13)))</f>
        <v/>
      </c>
      <c r="L1380" s="20">
        <f>IF(AND(ISNUMBER(D1380),ISNUMBER(H1380)),D1380-H1380,NA())</f>
        <v/>
      </c>
      <c r="M1380" s="20">
        <f>IF(AND(ISNUMBER(E1380),ISNUMBER(K1380)),E1380-K1380,NA())</f>
        <v/>
      </c>
      <c r="N1380" s="20">
        <f>IF(NOT(ISNUMBER($A1380)),NA(),IF(COUNT(OFFSET(G1380,1,0,Settings!$B$12,1))&lt;ROUNDUP(Settings!$B$12*Settings!$B$26,0),NA(),STDEV(OFFSET(G1380,1,0,Settings!$B$12,1))*SQRT(Settings!$B$13)))</f>
        <v/>
      </c>
      <c r="O1380" s="20">
        <f>IF(AND(ISNUMBER(E1380),ISNUMBER(N1380)),E1380-N1380,NA())</f>
        <v/>
      </c>
      <c r="P1380" s="19">
        <f>IF(NOT(ISNUMBER($A1380)),NA(),IF(OR($A1380&lt;MIN(KW_TP!$A$2:$A$2501),$A1380&gt;MAX(KW_TP!$A$2:$A$2501)),NA(),INDEX(KW_TP!$C$2:$C$2501,MATCH($A1380,KW_TP!$A$2:$A$2501,1))))</f>
        <v/>
      </c>
      <c r="Q1380" s="18">
        <f>IF(NOT(ISNUMBER($A1380)),NA(),IFERROR(1*INDEX(BBG_Data!$J$2:$J$4000,MATCH($A1380,BBG_Data!$I$2:$I$4000,0)),NA()))</f>
        <v/>
      </c>
      <c r="R1380" s="18">
        <f>IF(NOT(ISNUMBER($A1380)),NA(),IFERROR(1*INDEX(BBG_Data!$L$2:$L$4000,MATCH($A1380,BBG_Data!$K$2:$K$4000,0)),NA()))</f>
        <v/>
      </c>
      <c r="S1380" s="20">
        <f>IF(AND(ISNUMBER(B1380),ISNUMBER(Q1380),ISNUMBER(R1380)),(B1380-Q1380-R1380)*100,NA())</f>
        <v/>
      </c>
      <c r="T1380" s="20">
        <f>IF(AND(ISNUMBER(B1380),Settings!$B$17&gt;0),IF(ISNUMBER(INDEX($B:$B,Settings!$B$17)),(B1380-INDEX($B:$B,Settings!$B$17))*100,NA()),NA())</f>
        <v/>
      </c>
      <c r="U1380" s="20">
        <f>IF(AND(ISNUMBER(Q1380),Settings!$B$17&gt;0),IF(ISNUMBER(INDEX($Q:$Q,Settings!$B$17)),(Q1380-INDEX($Q:$Q,Settings!$B$17))*100,NA()),NA())</f>
        <v/>
      </c>
      <c r="V1380" s="20">
        <f>IF(AND(ISNUMBER(R1380),Settings!$B$17&gt;0),IF(ISNUMBER(INDEX($R:$R,Settings!$B$17)),(R1380-INDEX($R:$R,Settings!$B$17))*100,NA()),NA())</f>
        <v/>
      </c>
      <c r="W1380" s="20">
        <f>IF(AND(ISNUMBER(P1380),Settings!$B$17&gt;0),IF(ISNUMBER(INDEX($P:$P,Settings!$B$17)),P1380-INDEX($P:$P,Settings!$B$17),NA()),NA())</f>
        <v/>
      </c>
      <c r="X1380" s="19">
        <f>IF(NOT(ISNUMBER($A1380)),NA(),IF(OR($A1380&lt;MIN(DKW_10Y!$A$2:$A$2918),$A1380&gt;MAX(DKW_10Y!$A$2:$A$2918),Settings!$B$16&lt;MIN(DKW_10Y!$A$2:$A$2918)),NA(),(INDEX(DKW_10Y!$B$2:$B$2918,MATCH($A1380,DKW_10Y!$A$2:$A$2918,1))-INDEX(DKW_10Y!$B$2:$B$2918,MATCH(Settings!$B$16,DKW_10Y!$A$2:$A$2918,1)))*100))</f>
        <v/>
      </c>
      <c r="Y1380" s="19">
        <f>IF(NOT(ISNUMBER($A1380)),NA(),IF(OR($A1380&lt;MIN(DKW_10Y!$A$2:$A$2918),$A1380&gt;MAX(DKW_10Y!$A$2:$A$2918),Settings!$B$16&lt;MIN(DKW_10Y!$A$2:$A$2918)),NA(),(INDEX(DKW_10Y!$C$2:$C$2918,MATCH($A1380,DKW_10Y!$A$2:$A$2918,1))-INDEX(DKW_10Y!$C$2:$C$2918,MATCH(Settings!$B$16,DKW_10Y!$A$2:$A$2918,1)))*100))</f>
        <v/>
      </c>
      <c r="Z1380" s="19">
        <f>IF(NOT(ISNUMBER($A1380)),NA(),IF(OR($A1380&lt;MIN(DKW_10Y!$A$2:$A$2918),$A1380&gt;MAX(DKW_10Y!$A$2:$A$2918),Settings!$B$16&lt;MIN(DKW_10Y!$A$2:$A$2918)),NA(),(INDEX(DKW_10Y!$D$2:$D$2918,MATCH($A1380,DKW_10Y!$A$2:$A$2918,1))-INDEX(DKW_10Y!$D$2:$D$2918,MATCH(Settings!$B$16,DKW_10Y!$A$2:$A$2918,1)))*100))</f>
        <v/>
      </c>
      <c r="AA1380" s="19">
        <f>IF(NOT(ISNUMBER($A1380)),NA(),IF(OR($A1380&lt;MIN(DKW_10Y!$A$2:$A$2918),$A1380&gt;MAX(DKW_10Y!$A$2:$A$2918),Settings!$B$16&lt;MIN(DKW_10Y!$A$2:$A$2918)),NA(),(INDEX(DKW_10Y!$E$2:$E$2918,MATCH($A1380,DKW_10Y!$A$2:$A$2918,1))-INDEX(DKW_10Y!$E$2:$E$2918,MATCH(Settings!$B$16,DKW_10Y!$A$2:$A$2918,1)))*100))</f>
        <v/>
      </c>
      <c r="AB1380" s="19">
        <f>IF(NOT(ISNUMBER($A1380)),NA(),IF(OR($A1380&lt;MIN(DKW_10Y!$A$2:$A$2918),$A1380&gt;MAX(DKW_10Y!$A$2:$A$2918),Settings!$B$16&lt;MIN(DKW_10Y!$A$2:$A$2918)),NA(),(INDEX(DKW_10Y!$H$2:$H$2918,MATCH($A1380,DKW_10Y!$A$2:$A$2918,1))-INDEX(DKW_10Y!$H$2:$H$2918,MATCH(Settings!$B$16,DKW_10Y!$A$2:$A$2918,1)))*100))</f>
        <v/>
      </c>
      <c r="AC1380" s="18">
        <f>IF(NOT(ISNUMBER($A1380)),NA(),IFERROR(1*INDEX(BBG_Data!$N$2:$N$4000,MATCH($A1380,BBG_Data!$M$2:$M$4000,0)),NA()))</f>
        <v/>
      </c>
      <c r="AD1380" s="18">
        <f>IF(NOT(ISNUMBER($A1380)),NA(),IFERROR(1*INDEX(BBG_Data!$P$2:$P$4000,MATCH($A1380,BBG_Data!$O$2:$O$4000,0)),NA()))</f>
        <v/>
      </c>
      <c r="AE1380" s="18">
        <f>IF(NOT(ISNUMBER($A1380)),NA(),IFERROR(1*INDEX(BBG_Data!$R$2:$R$4000,MATCH($A1380,BBG_Data!$Q$2:$Q$4000,0)),NA()))</f>
        <v/>
      </c>
      <c r="AF1380" s="20">
        <f>IF(AND(ISNUMBER(B1380),ISNUMBER(AC1380)),(B1380-AC1380)*100,NA())</f>
        <v/>
      </c>
      <c r="AG1380" s="20">
        <f>IF(AND(ISNUMBER(AE1380),ISNUMBER(AD1380)),(AE1380-AD1380)*100,NA())</f>
        <v/>
      </c>
      <c r="AH1380" s="19">
        <f>IF(NOT(ISNUMBER($A1380)),NA(),IFERROR(INDEX(BBG_Data!$T$2:$T$4000,MATCH($A1380,BBG_Data!$S$2:$S$4000,0))*Settings!$B$25,NA()))</f>
        <v/>
      </c>
      <c r="AI1380" s="19">
        <f>IF(NOT(ISNUMBER($A1380)),NA(),IFERROR(INDEX(BBG_Data!$V$2:$V$4000,MATCH($A1380,BBG_Data!$U$2:$U$4000,0))*Settings!$B$25,NA()))</f>
        <v/>
      </c>
      <c r="AJ1380" s="19">
        <f>IF(NOT(ISNUMBER($A1380)),NA(),IFERROR(1*INDEX(BBG_Data!$X$2:$X$4000,MATCH($A1380,BBG_Data!$W$2:$W$4000,0)),NA()))</f>
        <v/>
      </c>
      <c r="AK1380" s="19">
        <f>IF(NOT(ISNUMBER($A1380)),NA(),IFERROR(1*INDEX(BBG_Data!$Z$2:$Z$4000,MATCH($A1380,BBG_Data!$Y$2:$Y$4000,0)),NA()))</f>
        <v/>
      </c>
    </row>
    <row r="1381">
      <c r="A1381" s="17">
        <f>IF(ISNUMBER(BBG_Data!A1381),BBG_Data!A1381,"")</f>
        <v/>
      </c>
      <c r="B1381" s="18">
        <f>IF(AND(ISNUMBER($A1381),ISNUMBER(BBG_Data!B1381)),BBG_Data!B1381,NA())</f>
        <v/>
      </c>
      <c r="C1381" s="18">
        <f>IF(NOT(ISNUMBER($A1381)),NA(),IFERROR(1*INDEX(BBG_Data!$D$2:$D$4000,MATCH($A1381,BBG_Data!$C$2:$C$4000,0)),NA()))</f>
        <v/>
      </c>
      <c r="D1381" s="19">
        <f>IF(NOT(ISNUMBER($A1381)),NA(),IFERROR(1*INDEX(BBG_Data!$F$2:$F$4000,MATCH($A1381,BBG_Data!$E$2:$E$4000,0)),NA()))</f>
        <v/>
      </c>
      <c r="E1381" s="19">
        <f>IF(NOT(ISNUMBER($A1381)),NA(),IFERROR(1*INDEX(BBG_Data!$H$2:$H$4000,MATCH($A1381,BBG_Data!$G$2:$G$4000,0)),NA()))</f>
        <v/>
      </c>
      <c r="F1381" s="20">
        <f>IF(AND(ISNUMBER(B1381),ISNUMBER(B1380)),IF(B1381=B1380,"",(B1381-B1380)*100),"")</f>
        <v/>
      </c>
      <c r="G1381" s="20">
        <f>IF(AND(ISNUMBER(C1381),ISNUMBER(C1380)),IF(C1381=C1380,"",(C1381-C1380)*100),"")</f>
        <v/>
      </c>
      <c r="H1381" s="20">
        <f>IF(OR(NOT(ISNUMBER($A1381)),ROW()-2&lt;Settings!$B$11),NA(),IF(COUNT(OFFSET(F1381,1-Settings!$B$11,0,Settings!$B$11,1))&lt;ROUNDUP(Settings!$B$11*Settings!$B$26,0),NA(),STDEV(OFFSET(F1381,1-Settings!$B$11,0,Settings!$B$11,1))*SQRT(Settings!$B$13)))</f>
        <v/>
      </c>
      <c r="I1381" s="20">
        <f>IF(OR(NOT(ISNUMBER($A1381)),ROW()-2&lt;Settings!$B$12),NA(),IF(COUNT(OFFSET(F1381,1-Settings!$B$12,0,Settings!$B$12,1))&lt;ROUNDUP(Settings!$B$12*Settings!$B$26,0),NA(),STDEV(OFFSET(F1381,1-Settings!$B$12,0,Settings!$B$12,1))*SQRT(Settings!$B$13)))</f>
        <v/>
      </c>
      <c r="J1381" s="20">
        <f>IF(OR(NOT(ISNUMBER($A1381)),ROW()-2&lt;Settings!$B$11),NA(),IF(COUNT(OFFSET(G1381,1-Settings!$B$11,0,Settings!$B$11,1))&lt;ROUNDUP(Settings!$B$11*Settings!$B$26,0),NA(),STDEV(OFFSET(G1381,1-Settings!$B$11,0,Settings!$B$11,1))*SQRT(Settings!$B$13)))</f>
        <v/>
      </c>
      <c r="K1381" s="20">
        <f>IF(OR(NOT(ISNUMBER($A1381)),ROW()-2&lt;Settings!$B$12),NA(),IF(COUNT(OFFSET(G1381,1-Settings!$B$12,0,Settings!$B$12,1))&lt;ROUNDUP(Settings!$B$12*Settings!$B$26,0),NA(),STDEV(OFFSET(G1381,1-Settings!$B$12,0,Settings!$B$12,1))*SQRT(Settings!$B$13)))</f>
        <v/>
      </c>
      <c r="L1381" s="20">
        <f>IF(AND(ISNUMBER(D1381),ISNUMBER(H1381)),D1381-H1381,NA())</f>
        <v/>
      </c>
      <c r="M1381" s="20">
        <f>IF(AND(ISNUMBER(E1381),ISNUMBER(K1381)),E1381-K1381,NA())</f>
        <v/>
      </c>
      <c r="N1381" s="20">
        <f>IF(NOT(ISNUMBER($A1381)),NA(),IF(COUNT(OFFSET(G1381,1,0,Settings!$B$12,1))&lt;ROUNDUP(Settings!$B$12*Settings!$B$26,0),NA(),STDEV(OFFSET(G1381,1,0,Settings!$B$12,1))*SQRT(Settings!$B$13)))</f>
        <v/>
      </c>
      <c r="O1381" s="20">
        <f>IF(AND(ISNUMBER(E1381),ISNUMBER(N1381)),E1381-N1381,NA())</f>
        <v/>
      </c>
      <c r="P1381" s="19">
        <f>IF(NOT(ISNUMBER($A1381)),NA(),IF(OR($A1381&lt;MIN(KW_TP!$A$2:$A$2501),$A1381&gt;MAX(KW_TP!$A$2:$A$2501)),NA(),INDEX(KW_TP!$C$2:$C$2501,MATCH($A1381,KW_TP!$A$2:$A$2501,1))))</f>
        <v/>
      </c>
      <c r="Q1381" s="18">
        <f>IF(NOT(ISNUMBER($A1381)),NA(),IFERROR(1*INDEX(BBG_Data!$J$2:$J$4000,MATCH($A1381,BBG_Data!$I$2:$I$4000,0)),NA()))</f>
        <v/>
      </c>
      <c r="R1381" s="18">
        <f>IF(NOT(ISNUMBER($A1381)),NA(),IFERROR(1*INDEX(BBG_Data!$L$2:$L$4000,MATCH($A1381,BBG_Data!$K$2:$K$4000,0)),NA()))</f>
        <v/>
      </c>
      <c r="S1381" s="20">
        <f>IF(AND(ISNUMBER(B1381),ISNUMBER(Q1381),ISNUMBER(R1381)),(B1381-Q1381-R1381)*100,NA())</f>
        <v/>
      </c>
      <c r="T1381" s="20">
        <f>IF(AND(ISNUMBER(B1381),Settings!$B$17&gt;0),IF(ISNUMBER(INDEX($B:$B,Settings!$B$17)),(B1381-INDEX($B:$B,Settings!$B$17))*100,NA()),NA())</f>
        <v/>
      </c>
      <c r="U1381" s="20">
        <f>IF(AND(ISNUMBER(Q1381),Settings!$B$17&gt;0),IF(ISNUMBER(INDEX($Q:$Q,Settings!$B$17)),(Q1381-INDEX($Q:$Q,Settings!$B$17))*100,NA()),NA())</f>
        <v/>
      </c>
      <c r="V1381" s="20">
        <f>IF(AND(ISNUMBER(R1381),Settings!$B$17&gt;0),IF(ISNUMBER(INDEX($R:$R,Settings!$B$17)),(R1381-INDEX($R:$R,Settings!$B$17))*100,NA()),NA())</f>
        <v/>
      </c>
      <c r="W1381" s="20">
        <f>IF(AND(ISNUMBER(P1381),Settings!$B$17&gt;0),IF(ISNUMBER(INDEX($P:$P,Settings!$B$17)),P1381-INDEX($P:$P,Settings!$B$17),NA()),NA())</f>
        <v/>
      </c>
      <c r="X1381" s="19">
        <f>IF(NOT(ISNUMBER($A1381)),NA(),IF(OR($A1381&lt;MIN(DKW_10Y!$A$2:$A$2918),$A1381&gt;MAX(DKW_10Y!$A$2:$A$2918),Settings!$B$16&lt;MIN(DKW_10Y!$A$2:$A$2918)),NA(),(INDEX(DKW_10Y!$B$2:$B$2918,MATCH($A1381,DKW_10Y!$A$2:$A$2918,1))-INDEX(DKW_10Y!$B$2:$B$2918,MATCH(Settings!$B$16,DKW_10Y!$A$2:$A$2918,1)))*100))</f>
        <v/>
      </c>
      <c r="Y1381" s="19">
        <f>IF(NOT(ISNUMBER($A1381)),NA(),IF(OR($A1381&lt;MIN(DKW_10Y!$A$2:$A$2918),$A1381&gt;MAX(DKW_10Y!$A$2:$A$2918),Settings!$B$16&lt;MIN(DKW_10Y!$A$2:$A$2918)),NA(),(INDEX(DKW_10Y!$C$2:$C$2918,MATCH($A1381,DKW_10Y!$A$2:$A$2918,1))-INDEX(DKW_10Y!$C$2:$C$2918,MATCH(Settings!$B$16,DKW_10Y!$A$2:$A$2918,1)))*100))</f>
        <v/>
      </c>
      <c r="Z1381" s="19">
        <f>IF(NOT(ISNUMBER($A1381)),NA(),IF(OR($A1381&lt;MIN(DKW_10Y!$A$2:$A$2918),$A1381&gt;MAX(DKW_10Y!$A$2:$A$2918),Settings!$B$16&lt;MIN(DKW_10Y!$A$2:$A$2918)),NA(),(INDEX(DKW_10Y!$D$2:$D$2918,MATCH($A1381,DKW_10Y!$A$2:$A$2918,1))-INDEX(DKW_10Y!$D$2:$D$2918,MATCH(Settings!$B$16,DKW_10Y!$A$2:$A$2918,1)))*100))</f>
        <v/>
      </c>
      <c r="AA1381" s="19">
        <f>IF(NOT(ISNUMBER($A1381)),NA(),IF(OR($A1381&lt;MIN(DKW_10Y!$A$2:$A$2918),$A1381&gt;MAX(DKW_10Y!$A$2:$A$2918),Settings!$B$16&lt;MIN(DKW_10Y!$A$2:$A$2918)),NA(),(INDEX(DKW_10Y!$E$2:$E$2918,MATCH($A1381,DKW_10Y!$A$2:$A$2918,1))-INDEX(DKW_10Y!$E$2:$E$2918,MATCH(Settings!$B$16,DKW_10Y!$A$2:$A$2918,1)))*100))</f>
        <v/>
      </c>
      <c r="AB1381" s="19">
        <f>IF(NOT(ISNUMBER($A1381)),NA(),IF(OR($A1381&lt;MIN(DKW_10Y!$A$2:$A$2918),$A1381&gt;MAX(DKW_10Y!$A$2:$A$2918),Settings!$B$16&lt;MIN(DKW_10Y!$A$2:$A$2918)),NA(),(INDEX(DKW_10Y!$H$2:$H$2918,MATCH($A1381,DKW_10Y!$A$2:$A$2918,1))-INDEX(DKW_10Y!$H$2:$H$2918,MATCH(Settings!$B$16,DKW_10Y!$A$2:$A$2918,1)))*100))</f>
        <v/>
      </c>
      <c r="AC1381" s="18">
        <f>IF(NOT(ISNUMBER($A1381)),NA(),IFERROR(1*INDEX(BBG_Data!$N$2:$N$4000,MATCH($A1381,BBG_Data!$M$2:$M$4000,0)),NA()))</f>
        <v/>
      </c>
      <c r="AD1381" s="18">
        <f>IF(NOT(ISNUMBER($A1381)),NA(),IFERROR(1*INDEX(BBG_Data!$P$2:$P$4000,MATCH($A1381,BBG_Data!$O$2:$O$4000,0)),NA()))</f>
        <v/>
      </c>
      <c r="AE1381" s="18">
        <f>IF(NOT(ISNUMBER($A1381)),NA(),IFERROR(1*INDEX(BBG_Data!$R$2:$R$4000,MATCH($A1381,BBG_Data!$Q$2:$Q$4000,0)),NA()))</f>
        <v/>
      </c>
      <c r="AF1381" s="20">
        <f>IF(AND(ISNUMBER(B1381),ISNUMBER(AC1381)),(B1381-AC1381)*100,NA())</f>
        <v/>
      </c>
      <c r="AG1381" s="20">
        <f>IF(AND(ISNUMBER(AE1381),ISNUMBER(AD1381)),(AE1381-AD1381)*100,NA())</f>
        <v/>
      </c>
      <c r="AH1381" s="19">
        <f>IF(NOT(ISNUMBER($A1381)),NA(),IFERROR(INDEX(BBG_Data!$T$2:$T$4000,MATCH($A1381,BBG_Data!$S$2:$S$4000,0))*Settings!$B$25,NA()))</f>
        <v/>
      </c>
      <c r="AI1381" s="19">
        <f>IF(NOT(ISNUMBER($A1381)),NA(),IFERROR(INDEX(BBG_Data!$V$2:$V$4000,MATCH($A1381,BBG_Data!$U$2:$U$4000,0))*Settings!$B$25,NA()))</f>
        <v/>
      </c>
      <c r="AJ1381" s="19">
        <f>IF(NOT(ISNUMBER($A1381)),NA(),IFERROR(1*INDEX(BBG_Data!$X$2:$X$4000,MATCH($A1381,BBG_Data!$W$2:$W$4000,0)),NA()))</f>
        <v/>
      </c>
      <c r="AK1381" s="19">
        <f>IF(NOT(ISNUMBER($A1381)),NA(),IFERROR(1*INDEX(BBG_Data!$Z$2:$Z$4000,MATCH($A1381,BBG_Data!$Y$2:$Y$4000,0)),NA()))</f>
        <v/>
      </c>
    </row>
    <row r="1382">
      <c r="A1382" s="17">
        <f>IF(ISNUMBER(BBG_Data!A1382),BBG_Data!A1382,"")</f>
        <v/>
      </c>
      <c r="B1382" s="18">
        <f>IF(AND(ISNUMBER($A1382),ISNUMBER(BBG_Data!B1382)),BBG_Data!B1382,NA())</f>
        <v/>
      </c>
      <c r="C1382" s="18">
        <f>IF(NOT(ISNUMBER($A1382)),NA(),IFERROR(1*INDEX(BBG_Data!$D$2:$D$4000,MATCH($A1382,BBG_Data!$C$2:$C$4000,0)),NA()))</f>
        <v/>
      </c>
      <c r="D1382" s="19">
        <f>IF(NOT(ISNUMBER($A1382)),NA(),IFERROR(1*INDEX(BBG_Data!$F$2:$F$4000,MATCH($A1382,BBG_Data!$E$2:$E$4000,0)),NA()))</f>
        <v/>
      </c>
      <c r="E1382" s="19">
        <f>IF(NOT(ISNUMBER($A1382)),NA(),IFERROR(1*INDEX(BBG_Data!$H$2:$H$4000,MATCH($A1382,BBG_Data!$G$2:$G$4000,0)),NA()))</f>
        <v/>
      </c>
      <c r="F1382" s="20">
        <f>IF(AND(ISNUMBER(B1382),ISNUMBER(B1381)),IF(B1382=B1381,"",(B1382-B1381)*100),"")</f>
        <v/>
      </c>
      <c r="G1382" s="20">
        <f>IF(AND(ISNUMBER(C1382),ISNUMBER(C1381)),IF(C1382=C1381,"",(C1382-C1381)*100),"")</f>
        <v/>
      </c>
      <c r="H1382" s="20">
        <f>IF(OR(NOT(ISNUMBER($A1382)),ROW()-2&lt;Settings!$B$11),NA(),IF(COUNT(OFFSET(F1382,1-Settings!$B$11,0,Settings!$B$11,1))&lt;ROUNDUP(Settings!$B$11*Settings!$B$26,0),NA(),STDEV(OFFSET(F1382,1-Settings!$B$11,0,Settings!$B$11,1))*SQRT(Settings!$B$13)))</f>
        <v/>
      </c>
      <c r="I1382" s="20">
        <f>IF(OR(NOT(ISNUMBER($A1382)),ROW()-2&lt;Settings!$B$12),NA(),IF(COUNT(OFFSET(F1382,1-Settings!$B$12,0,Settings!$B$12,1))&lt;ROUNDUP(Settings!$B$12*Settings!$B$26,0),NA(),STDEV(OFFSET(F1382,1-Settings!$B$12,0,Settings!$B$12,1))*SQRT(Settings!$B$13)))</f>
        <v/>
      </c>
      <c r="J1382" s="20">
        <f>IF(OR(NOT(ISNUMBER($A1382)),ROW()-2&lt;Settings!$B$11),NA(),IF(COUNT(OFFSET(G1382,1-Settings!$B$11,0,Settings!$B$11,1))&lt;ROUNDUP(Settings!$B$11*Settings!$B$26,0),NA(),STDEV(OFFSET(G1382,1-Settings!$B$11,0,Settings!$B$11,1))*SQRT(Settings!$B$13)))</f>
        <v/>
      </c>
      <c r="K1382" s="20">
        <f>IF(OR(NOT(ISNUMBER($A1382)),ROW()-2&lt;Settings!$B$12),NA(),IF(COUNT(OFFSET(G1382,1-Settings!$B$12,0,Settings!$B$12,1))&lt;ROUNDUP(Settings!$B$12*Settings!$B$26,0),NA(),STDEV(OFFSET(G1382,1-Settings!$B$12,0,Settings!$B$12,1))*SQRT(Settings!$B$13)))</f>
        <v/>
      </c>
      <c r="L1382" s="20">
        <f>IF(AND(ISNUMBER(D1382),ISNUMBER(H1382)),D1382-H1382,NA())</f>
        <v/>
      </c>
      <c r="M1382" s="20">
        <f>IF(AND(ISNUMBER(E1382),ISNUMBER(K1382)),E1382-K1382,NA())</f>
        <v/>
      </c>
      <c r="N1382" s="20">
        <f>IF(NOT(ISNUMBER($A1382)),NA(),IF(COUNT(OFFSET(G1382,1,0,Settings!$B$12,1))&lt;ROUNDUP(Settings!$B$12*Settings!$B$26,0),NA(),STDEV(OFFSET(G1382,1,0,Settings!$B$12,1))*SQRT(Settings!$B$13)))</f>
        <v/>
      </c>
      <c r="O1382" s="20">
        <f>IF(AND(ISNUMBER(E1382),ISNUMBER(N1382)),E1382-N1382,NA())</f>
        <v/>
      </c>
      <c r="P1382" s="19">
        <f>IF(NOT(ISNUMBER($A1382)),NA(),IF(OR($A1382&lt;MIN(KW_TP!$A$2:$A$2501),$A1382&gt;MAX(KW_TP!$A$2:$A$2501)),NA(),INDEX(KW_TP!$C$2:$C$2501,MATCH($A1382,KW_TP!$A$2:$A$2501,1))))</f>
        <v/>
      </c>
      <c r="Q1382" s="18">
        <f>IF(NOT(ISNUMBER($A1382)),NA(),IFERROR(1*INDEX(BBG_Data!$J$2:$J$4000,MATCH($A1382,BBG_Data!$I$2:$I$4000,0)),NA()))</f>
        <v/>
      </c>
      <c r="R1382" s="18">
        <f>IF(NOT(ISNUMBER($A1382)),NA(),IFERROR(1*INDEX(BBG_Data!$L$2:$L$4000,MATCH($A1382,BBG_Data!$K$2:$K$4000,0)),NA()))</f>
        <v/>
      </c>
      <c r="S1382" s="20">
        <f>IF(AND(ISNUMBER(B1382),ISNUMBER(Q1382),ISNUMBER(R1382)),(B1382-Q1382-R1382)*100,NA())</f>
        <v/>
      </c>
      <c r="T1382" s="20">
        <f>IF(AND(ISNUMBER(B1382),Settings!$B$17&gt;0),IF(ISNUMBER(INDEX($B:$B,Settings!$B$17)),(B1382-INDEX($B:$B,Settings!$B$17))*100,NA()),NA())</f>
        <v/>
      </c>
      <c r="U1382" s="20">
        <f>IF(AND(ISNUMBER(Q1382),Settings!$B$17&gt;0),IF(ISNUMBER(INDEX($Q:$Q,Settings!$B$17)),(Q1382-INDEX($Q:$Q,Settings!$B$17))*100,NA()),NA())</f>
        <v/>
      </c>
      <c r="V1382" s="20">
        <f>IF(AND(ISNUMBER(R1382),Settings!$B$17&gt;0),IF(ISNUMBER(INDEX($R:$R,Settings!$B$17)),(R1382-INDEX($R:$R,Settings!$B$17))*100,NA()),NA())</f>
        <v/>
      </c>
      <c r="W1382" s="20">
        <f>IF(AND(ISNUMBER(P1382),Settings!$B$17&gt;0),IF(ISNUMBER(INDEX($P:$P,Settings!$B$17)),P1382-INDEX($P:$P,Settings!$B$17),NA()),NA())</f>
        <v/>
      </c>
      <c r="X1382" s="19">
        <f>IF(NOT(ISNUMBER($A1382)),NA(),IF(OR($A1382&lt;MIN(DKW_10Y!$A$2:$A$2918),$A1382&gt;MAX(DKW_10Y!$A$2:$A$2918),Settings!$B$16&lt;MIN(DKW_10Y!$A$2:$A$2918)),NA(),(INDEX(DKW_10Y!$B$2:$B$2918,MATCH($A1382,DKW_10Y!$A$2:$A$2918,1))-INDEX(DKW_10Y!$B$2:$B$2918,MATCH(Settings!$B$16,DKW_10Y!$A$2:$A$2918,1)))*100))</f>
        <v/>
      </c>
      <c r="Y1382" s="19">
        <f>IF(NOT(ISNUMBER($A1382)),NA(),IF(OR($A1382&lt;MIN(DKW_10Y!$A$2:$A$2918),$A1382&gt;MAX(DKW_10Y!$A$2:$A$2918),Settings!$B$16&lt;MIN(DKW_10Y!$A$2:$A$2918)),NA(),(INDEX(DKW_10Y!$C$2:$C$2918,MATCH($A1382,DKW_10Y!$A$2:$A$2918,1))-INDEX(DKW_10Y!$C$2:$C$2918,MATCH(Settings!$B$16,DKW_10Y!$A$2:$A$2918,1)))*100))</f>
        <v/>
      </c>
      <c r="Z1382" s="19">
        <f>IF(NOT(ISNUMBER($A1382)),NA(),IF(OR($A1382&lt;MIN(DKW_10Y!$A$2:$A$2918),$A1382&gt;MAX(DKW_10Y!$A$2:$A$2918),Settings!$B$16&lt;MIN(DKW_10Y!$A$2:$A$2918)),NA(),(INDEX(DKW_10Y!$D$2:$D$2918,MATCH($A1382,DKW_10Y!$A$2:$A$2918,1))-INDEX(DKW_10Y!$D$2:$D$2918,MATCH(Settings!$B$16,DKW_10Y!$A$2:$A$2918,1)))*100))</f>
        <v/>
      </c>
      <c r="AA1382" s="19">
        <f>IF(NOT(ISNUMBER($A1382)),NA(),IF(OR($A1382&lt;MIN(DKW_10Y!$A$2:$A$2918),$A1382&gt;MAX(DKW_10Y!$A$2:$A$2918),Settings!$B$16&lt;MIN(DKW_10Y!$A$2:$A$2918)),NA(),(INDEX(DKW_10Y!$E$2:$E$2918,MATCH($A1382,DKW_10Y!$A$2:$A$2918,1))-INDEX(DKW_10Y!$E$2:$E$2918,MATCH(Settings!$B$16,DKW_10Y!$A$2:$A$2918,1)))*100))</f>
        <v/>
      </c>
      <c r="AB1382" s="19">
        <f>IF(NOT(ISNUMBER($A1382)),NA(),IF(OR($A1382&lt;MIN(DKW_10Y!$A$2:$A$2918),$A1382&gt;MAX(DKW_10Y!$A$2:$A$2918),Settings!$B$16&lt;MIN(DKW_10Y!$A$2:$A$2918)),NA(),(INDEX(DKW_10Y!$H$2:$H$2918,MATCH($A1382,DKW_10Y!$A$2:$A$2918,1))-INDEX(DKW_10Y!$H$2:$H$2918,MATCH(Settings!$B$16,DKW_10Y!$A$2:$A$2918,1)))*100))</f>
        <v/>
      </c>
      <c r="AC1382" s="18">
        <f>IF(NOT(ISNUMBER($A1382)),NA(),IFERROR(1*INDEX(BBG_Data!$N$2:$N$4000,MATCH($A1382,BBG_Data!$M$2:$M$4000,0)),NA()))</f>
        <v/>
      </c>
      <c r="AD1382" s="18">
        <f>IF(NOT(ISNUMBER($A1382)),NA(),IFERROR(1*INDEX(BBG_Data!$P$2:$P$4000,MATCH($A1382,BBG_Data!$O$2:$O$4000,0)),NA()))</f>
        <v/>
      </c>
      <c r="AE1382" s="18">
        <f>IF(NOT(ISNUMBER($A1382)),NA(),IFERROR(1*INDEX(BBG_Data!$R$2:$R$4000,MATCH($A1382,BBG_Data!$Q$2:$Q$4000,0)),NA()))</f>
        <v/>
      </c>
      <c r="AF1382" s="20">
        <f>IF(AND(ISNUMBER(B1382),ISNUMBER(AC1382)),(B1382-AC1382)*100,NA())</f>
        <v/>
      </c>
      <c r="AG1382" s="20">
        <f>IF(AND(ISNUMBER(AE1382),ISNUMBER(AD1382)),(AE1382-AD1382)*100,NA())</f>
        <v/>
      </c>
      <c r="AH1382" s="19">
        <f>IF(NOT(ISNUMBER($A1382)),NA(),IFERROR(INDEX(BBG_Data!$T$2:$T$4000,MATCH($A1382,BBG_Data!$S$2:$S$4000,0))*Settings!$B$25,NA()))</f>
        <v/>
      </c>
      <c r="AI1382" s="19">
        <f>IF(NOT(ISNUMBER($A1382)),NA(),IFERROR(INDEX(BBG_Data!$V$2:$V$4000,MATCH($A1382,BBG_Data!$U$2:$U$4000,0))*Settings!$B$25,NA()))</f>
        <v/>
      </c>
      <c r="AJ1382" s="19">
        <f>IF(NOT(ISNUMBER($A1382)),NA(),IFERROR(1*INDEX(BBG_Data!$X$2:$X$4000,MATCH($A1382,BBG_Data!$W$2:$W$4000,0)),NA()))</f>
        <v/>
      </c>
      <c r="AK1382" s="19">
        <f>IF(NOT(ISNUMBER($A1382)),NA(),IFERROR(1*INDEX(BBG_Data!$Z$2:$Z$4000,MATCH($A1382,BBG_Data!$Y$2:$Y$4000,0)),NA()))</f>
        <v/>
      </c>
    </row>
    <row r="1383">
      <c r="A1383" s="17">
        <f>IF(ISNUMBER(BBG_Data!A1383),BBG_Data!A1383,"")</f>
        <v/>
      </c>
      <c r="B1383" s="18">
        <f>IF(AND(ISNUMBER($A1383),ISNUMBER(BBG_Data!B1383)),BBG_Data!B1383,NA())</f>
        <v/>
      </c>
      <c r="C1383" s="18">
        <f>IF(NOT(ISNUMBER($A1383)),NA(),IFERROR(1*INDEX(BBG_Data!$D$2:$D$4000,MATCH($A1383,BBG_Data!$C$2:$C$4000,0)),NA()))</f>
        <v/>
      </c>
      <c r="D1383" s="19">
        <f>IF(NOT(ISNUMBER($A1383)),NA(),IFERROR(1*INDEX(BBG_Data!$F$2:$F$4000,MATCH($A1383,BBG_Data!$E$2:$E$4000,0)),NA()))</f>
        <v/>
      </c>
      <c r="E1383" s="19">
        <f>IF(NOT(ISNUMBER($A1383)),NA(),IFERROR(1*INDEX(BBG_Data!$H$2:$H$4000,MATCH($A1383,BBG_Data!$G$2:$G$4000,0)),NA()))</f>
        <v/>
      </c>
      <c r="F1383" s="20">
        <f>IF(AND(ISNUMBER(B1383),ISNUMBER(B1382)),IF(B1383=B1382,"",(B1383-B1382)*100),"")</f>
        <v/>
      </c>
      <c r="G1383" s="20">
        <f>IF(AND(ISNUMBER(C1383),ISNUMBER(C1382)),IF(C1383=C1382,"",(C1383-C1382)*100),"")</f>
        <v/>
      </c>
      <c r="H1383" s="20">
        <f>IF(OR(NOT(ISNUMBER($A1383)),ROW()-2&lt;Settings!$B$11),NA(),IF(COUNT(OFFSET(F1383,1-Settings!$B$11,0,Settings!$B$11,1))&lt;ROUNDUP(Settings!$B$11*Settings!$B$26,0),NA(),STDEV(OFFSET(F1383,1-Settings!$B$11,0,Settings!$B$11,1))*SQRT(Settings!$B$13)))</f>
        <v/>
      </c>
      <c r="I1383" s="20">
        <f>IF(OR(NOT(ISNUMBER($A1383)),ROW()-2&lt;Settings!$B$12),NA(),IF(COUNT(OFFSET(F1383,1-Settings!$B$12,0,Settings!$B$12,1))&lt;ROUNDUP(Settings!$B$12*Settings!$B$26,0),NA(),STDEV(OFFSET(F1383,1-Settings!$B$12,0,Settings!$B$12,1))*SQRT(Settings!$B$13)))</f>
        <v/>
      </c>
      <c r="J1383" s="20">
        <f>IF(OR(NOT(ISNUMBER($A1383)),ROW()-2&lt;Settings!$B$11),NA(),IF(COUNT(OFFSET(G1383,1-Settings!$B$11,0,Settings!$B$11,1))&lt;ROUNDUP(Settings!$B$11*Settings!$B$26,0),NA(),STDEV(OFFSET(G1383,1-Settings!$B$11,0,Settings!$B$11,1))*SQRT(Settings!$B$13)))</f>
        <v/>
      </c>
      <c r="K1383" s="20">
        <f>IF(OR(NOT(ISNUMBER($A1383)),ROW()-2&lt;Settings!$B$12),NA(),IF(COUNT(OFFSET(G1383,1-Settings!$B$12,0,Settings!$B$12,1))&lt;ROUNDUP(Settings!$B$12*Settings!$B$26,0),NA(),STDEV(OFFSET(G1383,1-Settings!$B$12,0,Settings!$B$12,1))*SQRT(Settings!$B$13)))</f>
        <v/>
      </c>
      <c r="L1383" s="20">
        <f>IF(AND(ISNUMBER(D1383),ISNUMBER(H1383)),D1383-H1383,NA())</f>
        <v/>
      </c>
      <c r="M1383" s="20">
        <f>IF(AND(ISNUMBER(E1383),ISNUMBER(K1383)),E1383-K1383,NA())</f>
        <v/>
      </c>
      <c r="N1383" s="20">
        <f>IF(NOT(ISNUMBER($A1383)),NA(),IF(COUNT(OFFSET(G1383,1,0,Settings!$B$12,1))&lt;ROUNDUP(Settings!$B$12*Settings!$B$26,0),NA(),STDEV(OFFSET(G1383,1,0,Settings!$B$12,1))*SQRT(Settings!$B$13)))</f>
        <v/>
      </c>
      <c r="O1383" s="20">
        <f>IF(AND(ISNUMBER(E1383),ISNUMBER(N1383)),E1383-N1383,NA())</f>
        <v/>
      </c>
      <c r="P1383" s="19">
        <f>IF(NOT(ISNUMBER($A1383)),NA(),IF(OR($A1383&lt;MIN(KW_TP!$A$2:$A$2501),$A1383&gt;MAX(KW_TP!$A$2:$A$2501)),NA(),INDEX(KW_TP!$C$2:$C$2501,MATCH($A1383,KW_TP!$A$2:$A$2501,1))))</f>
        <v/>
      </c>
      <c r="Q1383" s="18">
        <f>IF(NOT(ISNUMBER($A1383)),NA(),IFERROR(1*INDEX(BBG_Data!$J$2:$J$4000,MATCH($A1383,BBG_Data!$I$2:$I$4000,0)),NA()))</f>
        <v/>
      </c>
      <c r="R1383" s="18">
        <f>IF(NOT(ISNUMBER($A1383)),NA(),IFERROR(1*INDEX(BBG_Data!$L$2:$L$4000,MATCH($A1383,BBG_Data!$K$2:$K$4000,0)),NA()))</f>
        <v/>
      </c>
      <c r="S1383" s="20">
        <f>IF(AND(ISNUMBER(B1383),ISNUMBER(Q1383),ISNUMBER(R1383)),(B1383-Q1383-R1383)*100,NA())</f>
        <v/>
      </c>
      <c r="T1383" s="20">
        <f>IF(AND(ISNUMBER(B1383),Settings!$B$17&gt;0),IF(ISNUMBER(INDEX($B:$B,Settings!$B$17)),(B1383-INDEX($B:$B,Settings!$B$17))*100,NA()),NA())</f>
        <v/>
      </c>
      <c r="U1383" s="20">
        <f>IF(AND(ISNUMBER(Q1383),Settings!$B$17&gt;0),IF(ISNUMBER(INDEX($Q:$Q,Settings!$B$17)),(Q1383-INDEX($Q:$Q,Settings!$B$17))*100,NA()),NA())</f>
        <v/>
      </c>
      <c r="V1383" s="20">
        <f>IF(AND(ISNUMBER(R1383),Settings!$B$17&gt;0),IF(ISNUMBER(INDEX($R:$R,Settings!$B$17)),(R1383-INDEX($R:$R,Settings!$B$17))*100,NA()),NA())</f>
        <v/>
      </c>
      <c r="W1383" s="20">
        <f>IF(AND(ISNUMBER(P1383),Settings!$B$17&gt;0),IF(ISNUMBER(INDEX($P:$P,Settings!$B$17)),P1383-INDEX($P:$P,Settings!$B$17),NA()),NA())</f>
        <v/>
      </c>
      <c r="X1383" s="19">
        <f>IF(NOT(ISNUMBER($A1383)),NA(),IF(OR($A1383&lt;MIN(DKW_10Y!$A$2:$A$2918),$A1383&gt;MAX(DKW_10Y!$A$2:$A$2918),Settings!$B$16&lt;MIN(DKW_10Y!$A$2:$A$2918)),NA(),(INDEX(DKW_10Y!$B$2:$B$2918,MATCH($A1383,DKW_10Y!$A$2:$A$2918,1))-INDEX(DKW_10Y!$B$2:$B$2918,MATCH(Settings!$B$16,DKW_10Y!$A$2:$A$2918,1)))*100))</f>
        <v/>
      </c>
      <c r="Y1383" s="19">
        <f>IF(NOT(ISNUMBER($A1383)),NA(),IF(OR($A1383&lt;MIN(DKW_10Y!$A$2:$A$2918),$A1383&gt;MAX(DKW_10Y!$A$2:$A$2918),Settings!$B$16&lt;MIN(DKW_10Y!$A$2:$A$2918)),NA(),(INDEX(DKW_10Y!$C$2:$C$2918,MATCH($A1383,DKW_10Y!$A$2:$A$2918,1))-INDEX(DKW_10Y!$C$2:$C$2918,MATCH(Settings!$B$16,DKW_10Y!$A$2:$A$2918,1)))*100))</f>
        <v/>
      </c>
      <c r="Z1383" s="19">
        <f>IF(NOT(ISNUMBER($A1383)),NA(),IF(OR($A1383&lt;MIN(DKW_10Y!$A$2:$A$2918),$A1383&gt;MAX(DKW_10Y!$A$2:$A$2918),Settings!$B$16&lt;MIN(DKW_10Y!$A$2:$A$2918)),NA(),(INDEX(DKW_10Y!$D$2:$D$2918,MATCH($A1383,DKW_10Y!$A$2:$A$2918,1))-INDEX(DKW_10Y!$D$2:$D$2918,MATCH(Settings!$B$16,DKW_10Y!$A$2:$A$2918,1)))*100))</f>
        <v/>
      </c>
      <c r="AA1383" s="19">
        <f>IF(NOT(ISNUMBER($A1383)),NA(),IF(OR($A1383&lt;MIN(DKW_10Y!$A$2:$A$2918),$A1383&gt;MAX(DKW_10Y!$A$2:$A$2918),Settings!$B$16&lt;MIN(DKW_10Y!$A$2:$A$2918)),NA(),(INDEX(DKW_10Y!$E$2:$E$2918,MATCH($A1383,DKW_10Y!$A$2:$A$2918,1))-INDEX(DKW_10Y!$E$2:$E$2918,MATCH(Settings!$B$16,DKW_10Y!$A$2:$A$2918,1)))*100))</f>
        <v/>
      </c>
      <c r="AB1383" s="19">
        <f>IF(NOT(ISNUMBER($A1383)),NA(),IF(OR($A1383&lt;MIN(DKW_10Y!$A$2:$A$2918),$A1383&gt;MAX(DKW_10Y!$A$2:$A$2918),Settings!$B$16&lt;MIN(DKW_10Y!$A$2:$A$2918)),NA(),(INDEX(DKW_10Y!$H$2:$H$2918,MATCH($A1383,DKW_10Y!$A$2:$A$2918,1))-INDEX(DKW_10Y!$H$2:$H$2918,MATCH(Settings!$B$16,DKW_10Y!$A$2:$A$2918,1)))*100))</f>
        <v/>
      </c>
      <c r="AC1383" s="18">
        <f>IF(NOT(ISNUMBER($A1383)),NA(),IFERROR(1*INDEX(BBG_Data!$N$2:$N$4000,MATCH($A1383,BBG_Data!$M$2:$M$4000,0)),NA()))</f>
        <v/>
      </c>
      <c r="AD1383" s="18">
        <f>IF(NOT(ISNUMBER($A1383)),NA(),IFERROR(1*INDEX(BBG_Data!$P$2:$P$4000,MATCH($A1383,BBG_Data!$O$2:$O$4000,0)),NA()))</f>
        <v/>
      </c>
      <c r="AE1383" s="18">
        <f>IF(NOT(ISNUMBER($A1383)),NA(),IFERROR(1*INDEX(BBG_Data!$R$2:$R$4000,MATCH($A1383,BBG_Data!$Q$2:$Q$4000,0)),NA()))</f>
        <v/>
      </c>
      <c r="AF1383" s="20">
        <f>IF(AND(ISNUMBER(B1383),ISNUMBER(AC1383)),(B1383-AC1383)*100,NA())</f>
        <v/>
      </c>
      <c r="AG1383" s="20">
        <f>IF(AND(ISNUMBER(AE1383),ISNUMBER(AD1383)),(AE1383-AD1383)*100,NA())</f>
        <v/>
      </c>
      <c r="AH1383" s="19">
        <f>IF(NOT(ISNUMBER($A1383)),NA(),IFERROR(INDEX(BBG_Data!$T$2:$T$4000,MATCH($A1383,BBG_Data!$S$2:$S$4000,0))*Settings!$B$25,NA()))</f>
        <v/>
      </c>
      <c r="AI1383" s="19">
        <f>IF(NOT(ISNUMBER($A1383)),NA(),IFERROR(INDEX(BBG_Data!$V$2:$V$4000,MATCH($A1383,BBG_Data!$U$2:$U$4000,0))*Settings!$B$25,NA()))</f>
        <v/>
      </c>
      <c r="AJ1383" s="19">
        <f>IF(NOT(ISNUMBER($A1383)),NA(),IFERROR(1*INDEX(BBG_Data!$X$2:$X$4000,MATCH($A1383,BBG_Data!$W$2:$W$4000,0)),NA()))</f>
        <v/>
      </c>
      <c r="AK1383" s="19">
        <f>IF(NOT(ISNUMBER($A1383)),NA(),IFERROR(1*INDEX(BBG_Data!$Z$2:$Z$4000,MATCH($A1383,BBG_Data!$Y$2:$Y$4000,0)),NA()))</f>
        <v/>
      </c>
    </row>
    <row r="1384">
      <c r="A1384" s="17">
        <f>IF(ISNUMBER(BBG_Data!A1384),BBG_Data!A1384,"")</f>
        <v/>
      </c>
      <c r="B1384" s="18">
        <f>IF(AND(ISNUMBER($A1384),ISNUMBER(BBG_Data!B1384)),BBG_Data!B1384,NA())</f>
        <v/>
      </c>
      <c r="C1384" s="18">
        <f>IF(NOT(ISNUMBER($A1384)),NA(),IFERROR(1*INDEX(BBG_Data!$D$2:$D$4000,MATCH($A1384,BBG_Data!$C$2:$C$4000,0)),NA()))</f>
        <v/>
      </c>
      <c r="D1384" s="19">
        <f>IF(NOT(ISNUMBER($A1384)),NA(),IFERROR(1*INDEX(BBG_Data!$F$2:$F$4000,MATCH($A1384,BBG_Data!$E$2:$E$4000,0)),NA()))</f>
        <v/>
      </c>
      <c r="E1384" s="19">
        <f>IF(NOT(ISNUMBER($A1384)),NA(),IFERROR(1*INDEX(BBG_Data!$H$2:$H$4000,MATCH($A1384,BBG_Data!$G$2:$G$4000,0)),NA()))</f>
        <v/>
      </c>
      <c r="F1384" s="20">
        <f>IF(AND(ISNUMBER(B1384),ISNUMBER(B1383)),IF(B1384=B1383,"",(B1384-B1383)*100),"")</f>
        <v/>
      </c>
      <c r="G1384" s="20">
        <f>IF(AND(ISNUMBER(C1384),ISNUMBER(C1383)),IF(C1384=C1383,"",(C1384-C1383)*100),"")</f>
        <v/>
      </c>
      <c r="H1384" s="20">
        <f>IF(OR(NOT(ISNUMBER($A1384)),ROW()-2&lt;Settings!$B$11),NA(),IF(COUNT(OFFSET(F1384,1-Settings!$B$11,0,Settings!$B$11,1))&lt;ROUNDUP(Settings!$B$11*Settings!$B$26,0),NA(),STDEV(OFFSET(F1384,1-Settings!$B$11,0,Settings!$B$11,1))*SQRT(Settings!$B$13)))</f>
        <v/>
      </c>
      <c r="I1384" s="20">
        <f>IF(OR(NOT(ISNUMBER($A1384)),ROW()-2&lt;Settings!$B$12),NA(),IF(COUNT(OFFSET(F1384,1-Settings!$B$12,0,Settings!$B$12,1))&lt;ROUNDUP(Settings!$B$12*Settings!$B$26,0),NA(),STDEV(OFFSET(F1384,1-Settings!$B$12,0,Settings!$B$12,1))*SQRT(Settings!$B$13)))</f>
        <v/>
      </c>
      <c r="J1384" s="20">
        <f>IF(OR(NOT(ISNUMBER($A1384)),ROW()-2&lt;Settings!$B$11),NA(),IF(COUNT(OFFSET(G1384,1-Settings!$B$11,0,Settings!$B$11,1))&lt;ROUNDUP(Settings!$B$11*Settings!$B$26,0),NA(),STDEV(OFFSET(G1384,1-Settings!$B$11,0,Settings!$B$11,1))*SQRT(Settings!$B$13)))</f>
        <v/>
      </c>
      <c r="K1384" s="20">
        <f>IF(OR(NOT(ISNUMBER($A1384)),ROW()-2&lt;Settings!$B$12),NA(),IF(COUNT(OFFSET(G1384,1-Settings!$B$12,0,Settings!$B$12,1))&lt;ROUNDUP(Settings!$B$12*Settings!$B$26,0),NA(),STDEV(OFFSET(G1384,1-Settings!$B$12,0,Settings!$B$12,1))*SQRT(Settings!$B$13)))</f>
        <v/>
      </c>
      <c r="L1384" s="20">
        <f>IF(AND(ISNUMBER(D1384),ISNUMBER(H1384)),D1384-H1384,NA())</f>
        <v/>
      </c>
      <c r="M1384" s="20">
        <f>IF(AND(ISNUMBER(E1384),ISNUMBER(K1384)),E1384-K1384,NA())</f>
        <v/>
      </c>
      <c r="N1384" s="20">
        <f>IF(NOT(ISNUMBER($A1384)),NA(),IF(COUNT(OFFSET(G1384,1,0,Settings!$B$12,1))&lt;ROUNDUP(Settings!$B$12*Settings!$B$26,0),NA(),STDEV(OFFSET(G1384,1,0,Settings!$B$12,1))*SQRT(Settings!$B$13)))</f>
        <v/>
      </c>
      <c r="O1384" s="20">
        <f>IF(AND(ISNUMBER(E1384),ISNUMBER(N1384)),E1384-N1384,NA())</f>
        <v/>
      </c>
      <c r="P1384" s="19">
        <f>IF(NOT(ISNUMBER($A1384)),NA(),IF(OR($A1384&lt;MIN(KW_TP!$A$2:$A$2501),$A1384&gt;MAX(KW_TP!$A$2:$A$2501)),NA(),INDEX(KW_TP!$C$2:$C$2501,MATCH($A1384,KW_TP!$A$2:$A$2501,1))))</f>
        <v/>
      </c>
      <c r="Q1384" s="18">
        <f>IF(NOT(ISNUMBER($A1384)),NA(),IFERROR(1*INDEX(BBG_Data!$J$2:$J$4000,MATCH($A1384,BBG_Data!$I$2:$I$4000,0)),NA()))</f>
        <v/>
      </c>
      <c r="R1384" s="18">
        <f>IF(NOT(ISNUMBER($A1384)),NA(),IFERROR(1*INDEX(BBG_Data!$L$2:$L$4000,MATCH($A1384,BBG_Data!$K$2:$K$4000,0)),NA()))</f>
        <v/>
      </c>
      <c r="S1384" s="20">
        <f>IF(AND(ISNUMBER(B1384),ISNUMBER(Q1384),ISNUMBER(R1384)),(B1384-Q1384-R1384)*100,NA())</f>
        <v/>
      </c>
      <c r="T1384" s="20">
        <f>IF(AND(ISNUMBER(B1384),Settings!$B$17&gt;0),IF(ISNUMBER(INDEX($B:$B,Settings!$B$17)),(B1384-INDEX($B:$B,Settings!$B$17))*100,NA()),NA())</f>
        <v/>
      </c>
      <c r="U1384" s="20">
        <f>IF(AND(ISNUMBER(Q1384),Settings!$B$17&gt;0),IF(ISNUMBER(INDEX($Q:$Q,Settings!$B$17)),(Q1384-INDEX($Q:$Q,Settings!$B$17))*100,NA()),NA())</f>
        <v/>
      </c>
      <c r="V1384" s="20">
        <f>IF(AND(ISNUMBER(R1384),Settings!$B$17&gt;0),IF(ISNUMBER(INDEX($R:$R,Settings!$B$17)),(R1384-INDEX($R:$R,Settings!$B$17))*100,NA()),NA())</f>
        <v/>
      </c>
      <c r="W1384" s="20">
        <f>IF(AND(ISNUMBER(P1384),Settings!$B$17&gt;0),IF(ISNUMBER(INDEX($P:$P,Settings!$B$17)),P1384-INDEX($P:$P,Settings!$B$17),NA()),NA())</f>
        <v/>
      </c>
      <c r="X1384" s="19">
        <f>IF(NOT(ISNUMBER($A1384)),NA(),IF(OR($A1384&lt;MIN(DKW_10Y!$A$2:$A$2918),$A1384&gt;MAX(DKW_10Y!$A$2:$A$2918),Settings!$B$16&lt;MIN(DKW_10Y!$A$2:$A$2918)),NA(),(INDEX(DKW_10Y!$B$2:$B$2918,MATCH($A1384,DKW_10Y!$A$2:$A$2918,1))-INDEX(DKW_10Y!$B$2:$B$2918,MATCH(Settings!$B$16,DKW_10Y!$A$2:$A$2918,1)))*100))</f>
        <v/>
      </c>
      <c r="Y1384" s="19">
        <f>IF(NOT(ISNUMBER($A1384)),NA(),IF(OR($A1384&lt;MIN(DKW_10Y!$A$2:$A$2918),$A1384&gt;MAX(DKW_10Y!$A$2:$A$2918),Settings!$B$16&lt;MIN(DKW_10Y!$A$2:$A$2918)),NA(),(INDEX(DKW_10Y!$C$2:$C$2918,MATCH($A1384,DKW_10Y!$A$2:$A$2918,1))-INDEX(DKW_10Y!$C$2:$C$2918,MATCH(Settings!$B$16,DKW_10Y!$A$2:$A$2918,1)))*100))</f>
        <v/>
      </c>
      <c r="Z1384" s="19">
        <f>IF(NOT(ISNUMBER($A1384)),NA(),IF(OR($A1384&lt;MIN(DKW_10Y!$A$2:$A$2918),$A1384&gt;MAX(DKW_10Y!$A$2:$A$2918),Settings!$B$16&lt;MIN(DKW_10Y!$A$2:$A$2918)),NA(),(INDEX(DKW_10Y!$D$2:$D$2918,MATCH($A1384,DKW_10Y!$A$2:$A$2918,1))-INDEX(DKW_10Y!$D$2:$D$2918,MATCH(Settings!$B$16,DKW_10Y!$A$2:$A$2918,1)))*100))</f>
        <v/>
      </c>
      <c r="AA1384" s="19">
        <f>IF(NOT(ISNUMBER($A1384)),NA(),IF(OR($A1384&lt;MIN(DKW_10Y!$A$2:$A$2918),$A1384&gt;MAX(DKW_10Y!$A$2:$A$2918),Settings!$B$16&lt;MIN(DKW_10Y!$A$2:$A$2918)),NA(),(INDEX(DKW_10Y!$E$2:$E$2918,MATCH($A1384,DKW_10Y!$A$2:$A$2918,1))-INDEX(DKW_10Y!$E$2:$E$2918,MATCH(Settings!$B$16,DKW_10Y!$A$2:$A$2918,1)))*100))</f>
        <v/>
      </c>
      <c r="AB1384" s="19">
        <f>IF(NOT(ISNUMBER($A1384)),NA(),IF(OR($A1384&lt;MIN(DKW_10Y!$A$2:$A$2918),$A1384&gt;MAX(DKW_10Y!$A$2:$A$2918),Settings!$B$16&lt;MIN(DKW_10Y!$A$2:$A$2918)),NA(),(INDEX(DKW_10Y!$H$2:$H$2918,MATCH($A1384,DKW_10Y!$A$2:$A$2918,1))-INDEX(DKW_10Y!$H$2:$H$2918,MATCH(Settings!$B$16,DKW_10Y!$A$2:$A$2918,1)))*100))</f>
        <v/>
      </c>
      <c r="AC1384" s="18">
        <f>IF(NOT(ISNUMBER($A1384)),NA(),IFERROR(1*INDEX(BBG_Data!$N$2:$N$4000,MATCH($A1384,BBG_Data!$M$2:$M$4000,0)),NA()))</f>
        <v/>
      </c>
      <c r="AD1384" s="18">
        <f>IF(NOT(ISNUMBER($A1384)),NA(),IFERROR(1*INDEX(BBG_Data!$P$2:$P$4000,MATCH($A1384,BBG_Data!$O$2:$O$4000,0)),NA()))</f>
        <v/>
      </c>
      <c r="AE1384" s="18">
        <f>IF(NOT(ISNUMBER($A1384)),NA(),IFERROR(1*INDEX(BBG_Data!$R$2:$R$4000,MATCH($A1384,BBG_Data!$Q$2:$Q$4000,0)),NA()))</f>
        <v/>
      </c>
      <c r="AF1384" s="20">
        <f>IF(AND(ISNUMBER(B1384),ISNUMBER(AC1384)),(B1384-AC1384)*100,NA())</f>
        <v/>
      </c>
      <c r="AG1384" s="20">
        <f>IF(AND(ISNUMBER(AE1384),ISNUMBER(AD1384)),(AE1384-AD1384)*100,NA())</f>
        <v/>
      </c>
      <c r="AH1384" s="19">
        <f>IF(NOT(ISNUMBER($A1384)),NA(),IFERROR(INDEX(BBG_Data!$T$2:$T$4000,MATCH($A1384,BBG_Data!$S$2:$S$4000,0))*Settings!$B$25,NA()))</f>
        <v/>
      </c>
      <c r="AI1384" s="19">
        <f>IF(NOT(ISNUMBER($A1384)),NA(),IFERROR(INDEX(BBG_Data!$V$2:$V$4000,MATCH($A1384,BBG_Data!$U$2:$U$4000,0))*Settings!$B$25,NA()))</f>
        <v/>
      </c>
      <c r="AJ1384" s="19">
        <f>IF(NOT(ISNUMBER($A1384)),NA(),IFERROR(1*INDEX(BBG_Data!$X$2:$X$4000,MATCH($A1384,BBG_Data!$W$2:$W$4000,0)),NA()))</f>
        <v/>
      </c>
      <c r="AK1384" s="19">
        <f>IF(NOT(ISNUMBER($A1384)),NA(),IFERROR(1*INDEX(BBG_Data!$Z$2:$Z$4000,MATCH($A1384,BBG_Data!$Y$2:$Y$4000,0)),NA()))</f>
        <v/>
      </c>
    </row>
    <row r="1385">
      <c r="A1385" s="17">
        <f>IF(ISNUMBER(BBG_Data!A1385),BBG_Data!A1385,"")</f>
        <v/>
      </c>
      <c r="B1385" s="18">
        <f>IF(AND(ISNUMBER($A1385),ISNUMBER(BBG_Data!B1385)),BBG_Data!B1385,NA())</f>
        <v/>
      </c>
      <c r="C1385" s="18">
        <f>IF(NOT(ISNUMBER($A1385)),NA(),IFERROR(1*INDEX(BBG_Data!$D$2:$D$4000,MATCH($A1385,BBG_Data!$C$2:$C$4000,0)),NA()))</f>
        <v/>
      </c>
      <c r="D1385" s="19">
        <f>IF(NOT(ISNUMBER($A1385)),NA(),IFERROR(1*INDEX(BBG_Data!$F$2:$F$4000,MATCH($A1385,BBG_Data!$E$2:$E$4000,0)),NA()))</f>
        <v/>
      </c>
      <c r="E1385" s="19">
        <f>IF(NOT(ISNUMBER($A1385)),NA(),IFERROR(1*INDEX(BBG_Data!$H$2:$H$4000,MATCH($A1385,BBG_Data!$G$2:$G$4000,0)),NA()))</f>
        <v/>
      </c>
      <c r="F1385" s="20">
        <f>IF(AND(ISNUMBER(B1385),ISNUMBER(B1384)),IF(B1385=B1384,"",(B1385-B1384)*100),"")</f>
        <v/>
      </c>
      <c r="G1385" s="20">
        <f>IF(AND(ISNUMBER(C1385),ISNUMBER(C1384)),IF(C1385=C1384,"",(C1385-C1384)*100),"")</f>
        <v/>
      </c>
      <c r="H1385" s="20">
        <f>IF(OR(NOT(ISNUMBER($A1385)),ROW()-2&lt;Settings!$B$11),NA(),IF(COUNT(OFFSET(F1385,1-Settings!$B$11,0,Settings!$B$11,1))&lt;ROUNDUP(Settings!$B$11*Settings!$B$26,0),NA(),STDEV(OFFSET(F1385,1-Settings!$B$11,0,Settings!$B$11,1))*SQRT(Settings!$B$13)))</f>
        <v/>
      </c>
      <c r="I1385" s="20">
        <f>IF(OR(NOT(ISNUMBER($A1385)),ROW()-2&lt;Settings!$B$12),NA(),IF(COUNT(OFFSET(F1385,1-Settings!$B$12,0,Settings!$B$12,1))&lt;ROUNDUP(Settings!$B$12*Settings!$B$26,0),NA(),STDEV(OFFSET(F1385,1-Settings!$B$12,0,Settings!$B$12,1))*SQRT(Settings!$B$13)))</f>
        <v/>
      </c>
      <c r="J1385" s="20">
        <f>IF(OR(NOT(ISNUMBER($A1385)),ROW()-2&lt;Settings!$B$11),NA(),IF(COUNT(OFFSET(G1385,1-Settings!$B$11,0,Settings!$B$11,1))&lt;ROUNDUP(Settings!$B$11*Settings!$B$26,0),NA(),STDEV(OFFSET(G1385,1-Settings!$B$11,0,Settings!$B$11,1))*SQRT(Settings!$B$13)))</f>
        <v/>
      </c>
      <c r="K1385" s="20">
        <f>IF(OR(NOT(ISNUMBER($A1385)),ROW()-2&lt;Settings!$B$12),NA(),IF(COUNT(OFFSET(G1385,1-Settings!$B$12,0,Settings!$B$12,1))&lt;ROUNDUP(Settings!$B$12*Settings!$B$26,0),NA(),STDEV(OFFSET(G1385,1-Settings!$B$12,0,Settings!$B$12,1))*SQRT(Settings!$B$13)))</f>
        <v/>
      </c>
      <c r="L1385" s="20">
        <f>IF(AND(ISNUMBER(D1385),ISNUMBER(H1385)),D1385-H1385,NA())</f>
        <v/>
      </c>
      <c r="M1385" s="20">
        <f>IF(AND(ISNUMBER(E1385),ISNUMBER(K1385)),E1385-K1385,NA())</f>
        <v/>
      </c>
      <c r="N1385" s="20">
        <f>IF(NOT(ISNUMBER($A1385)),NA(),IF(COUNT(OFFSET(G1385,1,0,Settings!$B$12,1))&lt;ROUNDUP(Settings!$B$12*Settings!$B$26,0),NA(),STDEV(OFFSET(G1385,1,0,Settings!$B$12,1))*SQRT(Settings!$B$13)))</f>
        <v/>
      </c>
      <c r="O1385" s="20">
        <f>IF(AND(ISNUMBER(E1385),ISNUMBER(N1385)),E1385-N1385,NA())</f>
        <v/>
      </c>
      <c r="P1385" s="19">
        <f>IF(NOT(ISNUMBER($A1385)),NA(),IF(OR($A1385&lt;MIN(KW_TP!$A$2:$A$2501),$A1385&gt;MAX(KW_TP!$A$2:$A$2501)),NA(),INDEX(KW_TP!$C$2:$C$2501,MATCH($A1385,KW_TP!$A$2:$A$2501,1))))</f>
        <v/>
      </c>
      <c r="Q1385" s="18">
        <f>IF(NOT(ISNUMBER($A1385)),NA(),IFERROR(1*INDEX(BBG_Data!$J$2:$J$4000,MATCH($A1385,BBG_Data!$I$2:$I$4000,0)),NA()))</f>
        <v/>
      </c>
      <c r="R1385" s="18">
        <f>IF(NOT(ISNUMBER($A1385)),NA(),IFERROR(1*INDEX(BBG_Data!$L$2:$L$4000,MATCH($A1385,BBG_Data!$K$2:$K$4000,0)),NA()))</f>
        <v/>
      </c>
      <c r="S1385" s="20">
        <f>IF(AND(ISNUMBER(B1385),ISNUMBER(Q1385),ISNUMBER(R1385)),(B1385-Q1385-R1385)*100,NA())</f>
        <v/>
      </c>
      <c r="T1385" s="20">
        <f>IF(AND(ISNUMBER(B1385),Settings!$B$17&gt;0),IF(ISNUMBER(INDEX($B:$B,Settings!$B$17)),(B1385-INDEX($B:$B,Settings!$B$17))*100,NA()),NA())</f>
        <v/>
      </c>
      <c r="U1385" s="20">
        <f>IF(AND(ISNUMBER(Q1385),Settings!$B$17&gt;0),IF(ISNUMBER(INDEX($Q:$Q,Settings!$B$17)),(Q1385-INDEX($Q:$Q,Settings!$B$17))*100,NA()),NA())</f>
        <v/>
      </c>
      <c r="V1385" s="20">
        <f>IF(AND(ISNUMBER(R1385),Settings!$B$17&gt;0),IF(ISNUMBER(INDEX($R:$R,Settings!$B$17)),(R1385-INDEX($R:$R,Settings!$B$17))*100,NA()),NA())</f>
        <v/>
      </c>
      <c r="W1385" s="20">
        <f>IF(AND(ISNUMBER(P1385),Settings!$B$17&gt;0),IF(ISNUMBER(INDEX($P:$P,Settings!$B$17)),P1385-INDEX($P:$P,Settings!$B$17),NA()),NA())</f>
        <v/>
      </c>
      <c r="X1385" s="19">
        <f>IF(NOT(ISNUMBER($A1385)),NA(),IF(OR($A1385&lt;MIN(DKW_10Y!$A$2:$A$2918),$A1385&gt;MAX(DKW_10Y!$A$2:$A$2918),Settings!$B$16&lt;MIN(DKW_10Y!$A$2:$A$2918)),NA(),(INDEX(DKW_10Y!$B$2:$B$2918,MATCH($A1385,DKW_10Y!$A$2:$A$2918,1))-INDEX(DKW_10Y!$B$2:$B$2918,MATCH(Settings!$B$16,DKW_10Y!$A$2:$A$2918,1)))*100))</f>
        <v/>
      </c>
      <c r="Y1385" s="19">
        <f>IF(NOT(ISNUMBER($A1385)),NA(),IF(OR($A1385&lt;MIN(DKW_10Y!$A$2:$A$2918),$A1385&gt;MAX(DKW_10Y!$A$2:$A$2918),Settings!$B$16&lt;MIN(DKW_10Y!$A$2:$A$2918)),NA(),(INDEX(DKW_10Y!$C$2:$C$2918,MATCH($A1385,DKW_10Y!$A$2:$A$2918,1))-INDEX(DKW_10Y!$C$2:$C$2918,MATCH(Settings!$B$16,DKW_10Y!$A$2:$A$2918,1)))*100))</f>
        <v/>
      </c>
      <c r="Z1385" s="19">
        <f>IF(NOT(ISNUMBER($A1385)),NA(),IF(OR($A1385&lt;MIN(DKW_10Y!$A$2:$A$2918),$A1385&gt;MAX(DKW_10Y!$A$2:$A$2918),Settings!$B$16&lt;MIN(DKW_10Y!$A$2:$A$2918)),NA(),(INDEX(DKW_10Y!$D$2:$D$2918,MATCH($A1385,DKW_10Y!$A$2:$A$2918,1))-INDEX(DKW_10Y!$D$2:$D$2918,MATCH(Settings!$B$16,DKW_10Y!$A$2:$A$2918,1)))*100))</f>
        <v/>
      </c>
      <c r="AA1385" s="19">
        <f>IF(NOT(ISNUMBER($A1385)),NA(),IF(OR($A1385&lt;MIN(DKW_10Y!$A$2:$A$2918),$A1385&gt;MAX(DKW_10Y!$A$2:$A$2918),Settings!$B$16&lt;MIN(DKW_10Y!$A$2:$A$2918)),NA(),(INDEX(DKW_10Y!$E$2:$E$2918,MATCH($A1385,DKW_10Y!$A$2:$A$2918,1))-INDEX(DKW_10Y!$E$2:$E$2918,MATCH(Settings!$B$16,DKW_10Y!$A$2:$A$2918,1)))*100))</f>
        <v/>
      </c>
      <c r="AB1385" s="19">
        <f>IF(NOT(ISNUMBER($A1385)),NA(),IF(OR($A1385&lt;MIN(DKW_10Y!$A$2:$A$2918),$A1385&gt;MAX(DKW_10Y!$A$2:$A$2918),Settings!$B$16&lt;MIN(DKW_10Y!$A$2:$A$2918)),NA(),(INDEX(DKW_10Y!$H$2:$H$2918,MATCH($A1385,DKW_10Y!$A$2:$A$2918,1))-INDEX(DKW_10Y!$H$2:$H$2918,MATCH(Settings!$B$16,DKW_10Y!$A$2:$A$2918,1)))*100))</f>
        <v/>
      </c>
      <c r="AC1385" s="18">
        <f>IF(NOT(ISNUMBER($A1385)),NA(),IFERROR(1*INDEX(BBG_Data!$N$2:$N$4000,MATCH($A1385,BBG_Data!$M$2:$M$4000,0)),NA()))</f>
        <v/>
      </c>
      <c r="AD1385" s="18">
        <f>IF(NOT(ISNUMBER($A1385)),NA(),IFERROR(1*INDEX(BBG_Data!$P$2:$P$4000,MATCH($A1385,BBG_Data!$O$2:$O$4000,0)),NA()))</f>
        <v/>
      </c>
      <c r="AE1385" s="18">
        <f>IF(NOT(ISNUMBER($A1385)),NA(),IFERROR(1*INDEX(BBG_Data!$R$2:$R$4000,MATCH($A1385,BBG_Data!$Q$2:$Q$4000,0)),NA()))</f>
        <v/>
      </c>
      <c r="AF1385" s="20">
        <f>IF(AND(ISNUMBER(B1385),ISNUMBER(AC1385)),(B1385-AC1385)*100,NA())</f>
        <v/>
      </c>
      <c r="AG1385" s="20">
        <f>IF(AND(ISNUMBER(AE1385),ISNUMBER(AD1385)),(AE1385-AD1385)*100,NA())</f>
        <v/>
      </c>
      <c r="AH1385" s="19">
        <f>IF(NOT(ISNUMBER($A1385)),NA(),IFERROR(INDEX(BBG_Data!$T$2:$T$4000,MATCH($A1385,BBG_Data!$S$2:$S$4000,0))*Settings!$B$25,NA()))</f>
        <v/>
      </c>
      <c r="AI1385" s="19">
        <f>IF(NOT(ISNUMBER($A1385)),NA(),IFERROR(INDEX(BBG_Data!$V$2:$V$4000,MATCH($A1385,BBG_Data!$U$2:$U$4000,0))*Settings!$B$25,NA()))</f>
        <v/>
      </c>
      <c r="AJ1385" s="19">
        <f>IF(NOT(ISNUMBER($A1385)),NA(),IFERROR(1*INDEX(BBG_Data!$X$2:$X$4000,MATCH($A1385,BBG_Data!$W$2:$W$4000,0)),NA()))</f>
        <v/>
      </c>
      <c r="AK1385" s="19">
        <f>IF(NOT(ISNUMBER($A1385)),NA(),IFERROR(1*INDEX(BBG_Data!$Z$2:$Z$4000,MATCH($A1385,BBG_Data!$Y$2:$Y$4000,0)),NA()))</f>
        <v/>
      </c>
    </row>
    <row r="1386">
      <c r="A1386" s="17">
        <f>IF(ISNUMBER(BBG_Data!A1386),BBG_Data!A1386,"")</f>
        <v/>
      </c>
      <c r="B1386" s="18">
        <f>IF(AND(ISNUMBER($A1386),ISNUMBER(BBG_Data!B1386)),BBG_Data!B1386,NA())</f>
        <v/>
      </c>
      <c r="C1386" s="18">
        <f>IF(NOT(ISNUMBER($A1386)),NA(),IFERROR(1*INDEX(BBG_Data!$D$2:$D$4000,MATCH($A1386,BBG_Data!$C$2:$C$4000,0)),NA()))</f>
        <v/>
      </c>
      <c r="D1386" s="19">
        <f>IF(NOT(ISNUMBER($A1386)),NA(),IFERROR(1*INDEX(BBG_Data!$F$2:$F$4000,MATCH($A1386,BBG_Data!$E$2:$E$4000,0)),NA()))</f>
        <v/>
      </c>
      <c r="E1386" s="19">
        <f>IF(NOT(ISNUMBER($A1386)),NA(),IFERROR(1*INDEX(BBG_Data!$H$2:$H$4000,MATCH($A1386,BBG_Data!$G$2:$G$4000,0)),NA()))</f>
        <v/>
      </c>
      <c r="F1386" s="20">
        <f>IF(AND(ISNUMBER(B1386),ISNUMBER(B1385)),IF(B1386=B1385,"",(B1386-B1385)*100),"")</f>
        <v/>
      </c>
      <c r="G1386" s="20">
        <f>IF(AND(ISNUMBER(C1386),ISNUMBER(C1385)),IF(C1386=C1385,"",(C1386-C1385)*100),"")</f>
        <v/>
      </c>
      <c r="H1386" s="20">
        <f>IF(OR(NOT(ISNUMBER($A1386)),ROW()-2&lt;Settings!$B$11),NA(),IF(COUNT(OFFSET(F1386,1-Settings!$B$11,0,Settings!$B$11,1))&lt;ROUNDUP(Settings!$B$11*Settings!$B$26,0),NA(),STDEV(OFFSET(F1386,1-Settings!$B$11,0,Settings!$B$11,1))*SQRT(Settings!$B$13)))</f>
        <v/>
      </c>
      <c r="I1386" s="20">
        <f>IF(OR(NOT(ISNUMBER($A1386)),ROW()-2&lt;Settings!$B$12),NA(),IF(COUNT(OFFSET(F1386,1-Settings!$B$12,0,Settings!$B$12,1))&lt;ROUNDUP(Settings!$B$12*Settings!$B$26,0),NA(),STDEV(OFFSET(F1386,1-Settings!$B$12,0,Settings!$B$12,1))*SQRT(Settings!$B$13)))</f>
        <v/>
      </c>
      <c r="J1386" s="20">
        <f>IF(OR(NOT(ISNUMBER($A1386)),ROW()-2&lt;Settings!$B$11),NA(),IF(COUNT(OFFSET(G1386,1-Settings!$B$11,0,Settings!$B$11,1))&lt;ROUNDUP(Settings!$B$11*Settings!$B$26,0),NA(),STDEV(OFFSET(G1386,1-Settings!$B$11,0,Settings!$B$11,1))*SQRT(Settings!$B$13)))</f>
        <v/>
      </c>
      <c r="K1386" s="20">
        <f>IF(OR(NOT(ISNUMBER($A1386)),ROW()-2&lt;Settings!$B$12),NA(),IF(COUNT(OFFSET(G1386,1-Settings!$B$12,0,Settings!$B$12,1))&lt;ROUNDUP(Settings!$B$12*Settings!$B$26,0),NA(),STDEV(OFFSET(G1386,1-Settings!$B$12,0,Settings!$B$12,1))*SQRT(Settings!$B$13)))</f>
        <v/>
      </c>
      <c r="L1386" s="20">
        <f>IF(AND(ISNUMBER(D1386),ISNUMBER(H1386)),D1386-H1386,NA())</f>
        <v/>
      </c>
      <c r="M1386" s="20">
        <f>IF(AND(ISNUMBER(E1386),ISNUMBER(K1386)),E1386-K1386,NA())</f>
        <v/>
      </c>
      <c r="N1386" s="20">
        <f>IF(NOT(ISNUMBER($A1386)),NA(),IF(COUNT(OFFSET(G1386,1,0,Settings!$B$12,1))&lt;ROUNDUP(Settings!$B$12*Settings!$B$26,0),NA(),STDEV(OFFSET(G1386,1,0,Settings!$B$12,1))*SQRT(Settings!$B$13)))</f>
        <v/>
      </c>
      <c r="O1386" s="20">
        <f>IF(AND(ISNUMBER(E1386),ISNUMBER(N1386)),E1386-N1386,NA())</f>
        <v/>
      </c>
      <c r="P1386" s="19">
        <f>IF(NOT(ISNUMBER($A1386)),NA(),IF(OR($A1386&lt;MIN(KW_TP!$A$2:$A$2501),$A1386&gt;MAX(KW_TP!$A$2:$A$2501)),NA(),INDEX(KW_TP!$C$2:$C$2501,MATCH($A1386,KW_TP!$A$2:$A$2501,1))))</f>
        <v/>
      </c>
      <c r="Q1386" s="18">
        <f>IF(NOT(ISNUMBER($A1386)),NA(),IFERROR(1*INDEX(BBG_Data!$J$2:$J$4000,MATCH($A1386,BBG_Data!$I$2:$I$4000,0)),NA()))</f>
        <v/>
      </c>
      <c r="R1386" s="18">
        <f>IF(NOT(ISNUMBER($A1386)),NA(),IFERROR(1*INDEX(BBG_Data!$L$2:$L$4000,MATCH($A1386,BBG_Data!$K$2:$K$4000,0)),NA()))</f>
        <v/>
      </c>
      <c r="S1386" s="20">
        <f>IF(AND(ISNUMBER(B1386),ISNUMBER(Q1386),ISNUMBER(R1386)),(B1386-Q1386-R1386)*100,NA())</f>
        <v/>
      </c>
      <c r="T1386" s="20">
        <f>IF(AND(ISNUMBER(B1386),Settings!$B$17&gt;0),IF(ISNUMBER(INDEX($B:$B,Settings!$B$17)),(B1386-INDEX($B:$B,Settings!$B$17))*100,NA()),NA())</f>
        <v/>
      </c>
      <c r="U1386" s="20">
        <f>IF(AND(ISNUMBER(Q1386),Settings!$B$17&gt;0),IF(ISNUMBER(INDEX($Q:$Q,Settings!$B$17)),(Q1386-INDEX($Q:$Q,Settings!$B$17))*100,NA()),NA())</f>
        <v/>
      </c>
      <c r="V1386" s="20">
        <f>IF(AND(ISNUMBER(R1386),Settings!$B$17&gt;0),IF(ISNUMBER(INDEX($R:$R,Settings!$B$17)),(R1386-INDEX($R:$R,Settings!$B$17))*100,NA()),NA())</f>
        <v/>
      </c>
      <c r="W1386" s="20">
        <f>IF(AND(ISNUMBER(P1386),Settings!$B$17&gt;0),IF(ISNUMBER(INDEX($P:$P,Settings!$B$17)),P1386-INDEX($P:$P,Settings!$B$17),NA()),NA())</f>
        <v/>
      </c>
      <c r="X1386" s="19">
        <f>IF(NOT(ISNUMBER($A1386)),NA(),IF(OR($A1386&lt;MIN(DKW_10Y!$A$2:$A$2918),$A1386&gt;MAX(DKW_10Y!$A$2:$A$2918),Settings!$B$16&lt;MIN(DKW_10Y!$A$2:$A$2918)),NA(),(INDEX(DKW_10Y!$B$2:$B$2918,MATCH($A1386,DKW_10Y!$A$2:$A$2918,1))-INDEX(DKW_10Y!$B$2:$B$2918,MATCH(Settings!$B$16,DKW_10Y!$A$2:$A$2918,1)))*100))</f>
        <v/>
      </c>
      <c r="Y1386" s="19">
        <f>IF(NOT(ISNUMBER($A1386)),NA(),IF(OR($A1386&lt;MIN(DKW_10Y!$A$2:$A$2918),$A1386&gt;MAX(DKW_10Y!$A$2:$A$2918),Settings!$B$16&lt;MIN(DKW_10Y!$A$2:$A$2918)),NA(),(INDEX(DKW_10Y!$C$2:$C$2918,MATCH($A1386,DKW_10Y!$A$2:$A$2918,1))-INDEX(DKW_10Y!$C$2:$C$2918,MATCH(Settings!$B$16,DKW_10Y!$A$2:$A$2918,1)))*100))</f>
        <v/>
      </c>
      <c r="Z1386" s="19">
        <f>IF(NOT(ISNUMBER($A1386)),NA(),IF(OR($A1386&lt;MIN(DKW_10Y!$A$2:$A$2918),$A1386&gt;MAX(DKW_10Y!$A$2:$A$2918),Settings!$B$16&lt;MIN(DKW_10Y!$A$2:$A$2918)),NA(),(INDEX(DKW_10Y!$D$2:$D$2918,MATCH($A1386,DKW_10Y!$A$2:$A$2918,1))-INDEX(DKW_10Y!$D$2:$D$2918,MATCH(Settings!$B$16,DKW_10Y!$A$2:$A$2918,1)))*100))</f>
        <v/>
      </c>
      <c r="AA1386" s="19">
        <f>IF(NOT(ISNUMBER($A1386)),NA(),IF(OR($A1386&lt;MIN(DKW_10Y!$A$2:$A$2918),$A1386&gt;MAX(DKW_10Y!$A$2:$A$2918),Settings!$B$16&lt;MIN(DKW_10Y!$A$2:$A$2918)),NA(),(INDEX(DKW_10Y!$E$2:$E$2918,MATCH($A1386,DKW_10Y!$A$2:$A$2918,1))-INDEX(DKW_10Y!$E$2:$E$2918,MATCH(Settings!$B$16,DKW_10Y!$A$2:$A$2918,1)))*100))</f>
        <v/>
      </c>
      <c r="AB1386" s="19">
        <f>IF(NOT(ISNUMBER($A1386)),NA(),IF(OR($A1386&lt;MIN(DKW_10Y!$A$2:$A$2918),$A1386&gt;MAX(DKW_10Y!$A$2:$A$2918),Settings!$B$16&lt;MIN(DKW_10Y!$A$2:$A$2918)),NA(),(INDEX(DKW_10Y!$H$2:$H$2918,MATCH($A1386,DKW_10Y!$A$2:$A$2918,1))-INDEX(DKW_10Y!$H$2:$H$2918,MATCH(Settings!$B$16,DKW_10Y!$A$2:$A$2918,1)))*100))</f>
        <v/>
      </c>
      <c r="AC1386" s="18">
        <f>IF(NOT(ISNUMBER($A1386)),NA(),IFERROR(1*INDEX(BBG_Data!$N$2:$N$4000,MATCH($A1386,BBG_Data!$M$2:$M$4000,0)),NA()))</f>
        <v/>
      </c>
      <c r="AD1386" s="18">
        <f>IF(NOT(ISNUMBER($A1386)),NA(),IFERROR(1*INDEX(BBG_Data!$P$2:$P$4000,MATCH($A1386,BBG_Data!$O$2:$O$4000,0)),NA()))</f>
        <v/>
      </c>
      <c r="AE1386" s="18">
        <f>IF(NOT(ISNUMBER($A1386)),NA(),IFERROR(1*INDEX(BBG_Data!$R$2:$R$4000,MATCH($A1386,BBG_Data!$Q$2:$Q$4000,0)),NA()))</f>
        <v/>
      </c>
      <c r="AF1386" s="20">
        <f>IF(AND(ISNUMBER(B1386),ISNUMBER(AC1386)),(B1386-AC1386)*100,NA())</f>
        <v/>
      </c>
      <c r="AG1386" s="20">
        <f>IF(AND(ISNUMBER(AE1386),ISNUMBER(AD1386)),(AE1386-AD1386)*100,NA())</f>
        <v/>
      </c>
      <c r="AH1386" s="19">
        <f>IF(NOT(ISNUMBER($A1386)),NA(),IFERROR(INDEX(BBG_Data!$T$2:$T$4000,MATCH($A1386,BBG_Data!$S$2:$S$4000,0))*Settings!$B$25,NA()))</f>
        <v/>
      </c>
      <c r="AI1386" s="19">
        <f>IF(NOT(ISNUMBER($A1386)),NA(),IFERROR(INDEX(BBG_Data!$V$2:$V$4000,MATCH($A1386,BBG_Data!$U$2:$U$4000,0))*Settings!$B$25,NA()))</f>
        <v/>
      </c>
      <c r="AJ1386" s="19">
        <f>IF(NOT(ISNUMBER($A1386)),NA(),IFERROR(1*INDEX(BBG_Data!$X$2:$X$4000,MATCH($A1386,BBG_Data!$W$2:$W$4000,0)),NA()))</f>
        <v/>
      </c>
      <c r="AK1386" s="19">
        <f>IF(NOT(ISNUMBER($A1386)),NA(),IFERROR(1*INDEX(BBG_Data!$Z$2:$Z$4000,MATCH($A1386,BBG_Data!$Y$2:$Y$4000,0)),NA()))</f>
        <v/>
      </c>
    </row>
    <row r="1387">
      <c r="A1387" s="17">
        <f>IF(ISNUMBER(BBG_Data!A1387),BBG_Data!A1387,"")</f>
        <v/>
      </c>
      <c r="B1387" s="18">
        <f>IF(AND(ISNUMBER($A1387),ISNUMBER(BBG_Data!B1387)),BBG_Data!B1387,NA())</f>
        <v/>
      </c>
      <c r="C1387" s="18">
        <f>IF(NOT(ISNUMBER($A1387)),NA(),IFERROR(1*INDEX(BBG_Data!$D$2:$D$4000,MATCH($A1387,BBG_Data!$C$2:$C$4000,0)),NA()))</f>
        <v/>
      </c>
      <c r="D1387" s="19">
        <f>IF(NOT(ISNUMBER($A1387)),NA(),IFERROR(1*INDEX(BBG_Data!$F$2:$F$4000,MATCH($A1387,BBG_Data!$E$2:$E$4000,0)),NA()))</f>
        <v/>
      </c>
      <c r="E1387" s="19">
        <f>IF(NOT(ISNUMBER($A1387)),NA(),IFERROR(1*INDEX(BBG_Data!$H$2:$H$4000,MATCH($A1387,BBG_Data!$G$2:$G$4000,0)),NA()))</f>
        <v/>
      </c>
      <c r="F1387" s="20">
        <f>IF(AND(ISNUMBER(B1387),ISNUMBER(B1386)),IF(B1387=B1386,"",(B1387-B1386)*100),"")</f>
        <v/>
      </c>
      <c r="G1387" s="20">
        <f>IF(AND(ISNUMBER(C1387),ISNUMBER(C1386)),IF(C1387=C1386,"",(C1387-C1386)*100),"")</f>
        <v/>
      </c>
      <c r="H1387" s="20">
        <f>IF(OR(NOT(ISNUMBER($A1387)),ROW()-2&lt;Settings!$B$11),NA(),IF(COUNT(OFFSET(F1387,1-Settings!$B$11,0,Settings!$B$11,1))&lt;ROUNDUP(Settings!$B$11*Settings!$B$26,0),NA(),STDEV(OFFSET(F1387,1-Settings!$B$11,0,Settings!$B$11,1))*SQRT(Settings!$B$13)))</f>
        <v/>
      </c>
      <c r="I1387" s="20">
        <f>IF(OR(NOT(ISNUMBER($A1387)),ROW()-2&lt;Settings!$B$12),NA(),IF(COUNT(OFFSET(F1387,1-Settings!$B$12,0,Settings!$B$12,1))&lt;ROUNDUP(Settings!$B$12*Settings!$B$26,0),NA(),STDEV(OFFSET(F1387,1-Settings!$B$12,0,Settings!$B$12,1))*SQRT(Settings!$B$13)))</f>
        <v/>
      </c>
      <c r="J1387" s="20">
        <f>IF(OR(NOT(ISNUMBER($A1387)),ROW()-2&lt;Settings!$B$11),NA(),IF(COUNT(OFFSET(G1387,1-Settings!$B$11,0,Settings!$B$11,1))&lt;ROUNDUP(Settings!$B$11*Settings!$B$26,0),NA(),STDEV(OFFSET(G1387,1-Settings!$B$11,0,Settings!$B$11,1))*SQRT(Settings!$B$13)))</f>
        <v/>
      </c>
      <c r="K1387" s="20">
        <f>IF(OR(NOT(ISNUMBER($A1387)),ROW()-2&lt;Settings!$B$12),NA(),IF(COUNT(OFFSET(G1387,1-Settings!$B$12,0,Settings!$B$12,1))&lt;ROUNDUP(Settings!$B$12*Settings!$B$26,0),NA(),STDEV(OFFSET(G1387,1-Settings!$B$12,0,Settings!$B$12,1))*SQRT(Settings!$B$13)))</f>
        <v/>
      </c>
      <c r="L1387" s="20">
        <f>IF(AND(ISNUMBER(D1387),ISNUMBER(H1387)),D1387-H1387,NA())</f>
        <v/>
      </c>
      <c r="M1387" s="20">
        <f>IF(AND(ISNUMBER(E1387),ISNUMBER(K1387)),E1387-K1387,NA())</f>
        <v/>
      </c>
      <c r="N1387" s="20">
        <f>IF(NOT(ISNUMBER($A1387)),NA(),IF(COUNT(OFFSET(G1387,1,0,Settings!$B$12,1))&lt;ROUNDUP(Settings!$B$12*Settings!$B$26,0),NA(),STDEV(OFFSET(G1387,1,0,Settings!$B$12,1))*SQRT(Settings!$B$13)))</f>
        <v/>
      </c>
      <c r="O1387" s="20">
        <f>IF(AND(ISNUMBER(E1387),ISNUMBER(N1387)),E1387-N1387,NA())</f>
        <v/>
      </c>
      <c r="P1387" s="19">
        <f>IF(NOT(ISNUMBER($A1387)),NA(),IF(OR($A1387&lt;MIN(KW_TP!$A$2:$A$2501),$A1387&gt;MAX(KW_TP!$A$2:$A$2501)),NA(),INDEX(KW_TP!$C$2:$C$2501,MATCH($A1387,KW_TP!$A$2:$A$2501,1))))</f>
        <v/>
      </c>
      <c r="Q1387" s="18">
        <f>IF(NOT(ISNUMBER($A1387)),NA(),IFERROR(1*INDEX(BBG_Data!$J$2:$J$4000,MATCH($A1387,BBG_Data!$I$2:$I$4000,0)),NA()))</f>
        <v/>
      </c>
      <c r="R1387" s="18">
        <f>IF(NOT(ISNUMBER($A1387)),NA(),IFERROR(1*INDEX(BBG_Data!$L$2:$L$4000,MATCH($A1387,BBG_Data!$K$2:$K$4000,0)),NA()))</f>
        <v/>
      </c>
      <c r="S1387" s="20">
        <f>IF(AND(ISNUMBER(B1387),ISNUMBER(Q1387),ISNUMBER(R1387)),(B1387-Q1387-R1387)*100,NA())</f>
        <v/>
      </c>
      <c r="T1387" s="20">
        <f>IF(AND(ISNUMBER(B1387),Settings!$B$17&gt;0),IF(ISNUMBER(INDEX($B:$B,Settings!$B$17)),(B1387-INDEX($B:$B,Settings!$B$17))*100,NA()),NA())</f>
        <v/>
      </c>
      <c r="U1387" s="20">
        <f>IF(AND(ISNUMBER(Q1387),Settings!$B$17&gt;0),IF(ISNUMBER(INDEX($Q:$Q,Settings!$B$17)),(Q1387-INDEX($Q:$Q,Settings!$B$17))*100,NA()),NA())</f>
        <v/>
      </c>
      <c r="V1387" s="20">
        <f>IF(AND(ISNUMBER(R1387),Settings!$B$17&gt;0),IF(ISNUMBER(INDEX($R:$R,Settings!$B$17)),(R1387-INDEX($R:$R,Settings!$B$17))*100,NA()),NA())</f>
        <v/>
      </c>
      <c r="W1387" s="20">
        <f>IF(AND(ISNUMBER(P1387),Settings!$B$17&gt;0),IF(ISNUMBER(INDEX($P:$P,Settings!$B$17)),P1387-INDEX($P:$P,Settings!$B$17),NA()),NA())</f>
        <v/>
      </c>
      <c r="X1387" s="19">
        <f>IF(NOT(ISNUMBER($A1387)),NA(),IF(OR($A1387&lt;MIN(DKW_10Y!$A$2:$A$2918),$A1387&gt;MAX(DKW_10Y!$A$2:$A$2918),Settings!$B$16&lt;MIN(DKW_10Y!$A$2:$A$2918)),NA(),(INDEX(DKW_10Y!$B$2:$B$2918,MATCH($A1387,DKW_10Y!$A$2:$A$2918,1))-INDEX(DKW_10Y!$B$2:$B$2918,MATCH(Settings!$B$16,DKW_10Y!$A$2:$A$2918,1)))*100))</f>
        <v/>
      </c>
      <c r="Y1387" s="19">
        <f>IF(NOT(ISNUMBER($A1387)),NA(),IF(OR($A1387&lt;MIN(DKW_10Y!$A$2:$A$2918),$A1387&gt;MAX(DKW_10Y!$A$2:$A$2918),Settings!$B$16&lt;MIN(DKW_10Y!$A$2:$A$2918)),NA(),(INDEX(DKW_10Y!$C$2:$C$2918,MATCH($A1387,DKW_10Y!$A$2:$A$2918,1))-INDEX(DKW_10Y!$C$2:$C$2918,MATCH(Settings!$B$16,DKW_10Y!$A$2:$A$2918,1)))*100))</f>
        <v/>
      </c>
      <c r="Z1387" s="19">
        <f>IF(NOT(ISNUMBER($A1387)),NA(),IF(OR($A1387&lt;MIN(DKW_10Y!$A$2:$A$2918),$A1387&gt;MAX(DKW_10Y!$A$2:$A$2918),Settings!$B$16&lt;MIN(DKW_10Y!$A$2:$A$2918)),NA(),(INDEX(DKW_10Y!$D$2:$D$2918,MATCH($A1387,DKW_10Y!$A$2:$A$2918,1))-INDEX(DKW_10Y!$D$2:$D$2918,MATCH(Settings!$B$16,DKW_10Y!$A$2:$A$2918,1)))*100))</f>
        <v/>
      </c>
      <c r="AA1387" s="19">
        <f>IF(NOT(ISNUMBER($A1387)),NA(),IF(OR($A1387&lt;MIN(DKW_10Y!$A$2:$A$2918),$A1387&gt;MAX(DKW_10Y!$A$2:$A$2918),Settings!$B$16&lt;MIN(DKW_10Y!$A$2:$A$2918)),NA(),(INDEX(DKW_10Y!$E$2:$E$2918,MATCH($A1387,DKW_10Y!$A$2:$A$2918,1))-INDEX(DKW_10Y!$E$2:$E$2918,MATCH(Settings!$B$16,DKW_10Y!$A$2:$A$2918,1)))*100))</f>
        <v/>
      </c>
      <c r="AB1387" s="19">
        <f>IF(NOT(ISNUMBER($A1387)),NA(),IF(OR($A1387&lt;MIN(DKW_10Y!$A$2:$A$2918),$A1387&gt;MAX(DKW_10Y!$A$2:$A$2918),Settings!$B$16&lt;MIN(DKW_10Y!$A$2:$A$2918)),NA(),(INDEX(DKW_10Y!$H$2:$H$2918,MATCH($A1387,DKW_10Y!$A$2:$A$2918,1))-INDEX(DKW_10Y!$H$2:$H$2918,MATCH(Settings!$B$16,DKW_10Y!$A$2:$A$2918,1)))*100))</f>
        <v/>
      </c>
      <c r="AC1387" s="18">
        <f>IF(NOT(ISNUMBER($A1387)),NA(),IFERROR(1*INDEX(BBG_Data!$N$2:$N$4000,MATCH($A1387,BBG_Data!$M$2:$M$4000,0)),NA()))</f>
        <v/>
      </c>
      <c r="AD1387" s="18">
        <f>IF(NOT(ISNUMBER($A1387)),NA(),IFERROR(1*INDEX(BBG_Data!$P$2:$P$4000,MATCH($A1387,BBG_Data!$O$2:$O$4000,0)),NA()))</f>
        <v/>
      </c>
      <c r="AE1387" s="18">
        <f>IF(NOT(ISNUMBER($A1387)),NA(),IFERROR(1*INDEX(BBG_Data!$R$2:$R$4000,MATCH($A1387,BBG_Data!$Q$2:$Q$4000,0)),NA()))</f>
        <v/>
      </c>
      <c r="AF1387" s="20">
        <f>IF(AND(ISNUMBER(B1387),ISNUMBER(AC1387)),(B1387-AC1387)*100,NA())</f>
        <v/>
      </c>
      <c r="AG1387" s="20">
        <f>IF(AND(ISNUMBER(AE1387),ISNUMBER(AD1387)),(AE1387-AD1387)*100,NA())</f>
        <v/>
      </c>
      <c r="AH1387" s="19">
        <f>IF(NOT(ISNUMBER($A1387)),NA(),IFERROR(INDEX(BBG_Data!$T$2:$T$4000,MATCH($A1387,BBG_Data!$S$2:$S$4000,0))*Settings!$B$25,NA()))</f>
        <v/>
      </c>
      <c r="AI1387" s="19">
        <f>IF(NOT(ISNUMBER($A1387)),NA(),IFERROR(INDEX(BBG_Data!$V$2:$V$4000,MATCH($A1387,BBG_Data!$U$2:$U$4000,0))*Settings!$B$25,NA()))</f>
        <v/>
      </c>
      <c r="AJ1387" s="19">
        <f>IF(NOT(ISNUMBER($A1387)),NA(),IFERROR(1*INDEX(BBG_Data!$X$2:$X$4000,MATCH($A1387,BBG_Data!$W$2:$W$4000,0)),NA()))</f>
        <v/>
      </c>
      <c r="AK1387" s="19">
        <f>IF(NOT(ISNUMBER($A1387)),NA(),IFERROR(1*INDEX(BBG_Data!$Z$2:$Z$4000,MATCH($A1387,BBG_Data!$Y$2:$Y$4000,0)),NA()))</f>
        <v/>
      </c>
    </row>
    <row r="1388">
      <c r="A1388" s="17">
        <f>IF(ISNUMBER(BBG_Data!A1388),BBG_Data!A1388,"")</f>
        <v/>
      </c>
      <c r="B1388" s="18">
        <f>IF(AND(ISNUMBER($A1388),ISNUMBER(BBG_Data!B1388)),BBG_Data!B1388,NA())</f>
        <v/>
      </c>
      <c r="C1388" s="18">
        <f>IF(NOT(ISNUMBER($A1388)),NA(),IFERROR(1*INDEX(BBG_Data!$D$2:$D$4000,MATCH($A1388,BBG_Data!$C$2:$C$4000,0)),NA()))</f>
        <v/>
      </c>
      <c r="D1388" s="19">
        <f>IF(NOT(ISNUMBER($A1388)),NA(),IFERROR(1*INDEX(BBG_Data!$F$2:$F$4000,MATCH($A1388,BBG_Data!$E$2:$E$4000,0)),NA()))</f>
        <v/>
      </c>
      <c r="E1388" s="19">
        <f>IF(NOT(ISNUMBER($A1388)),NA(),IFERROR(1*INDEX(BBG_Data!$H$2:$H$4000,MATCH($A1388,BBG_Data!$G$2:$G$4000,0)),NA()))</f>
        <v/>
      </c>
      <c r="F1388" s="20">
        <f>IF(AND(ISNUMBER(B1388),ISNUMBER(B1387)),IF(B1388=B1387,"",(B1388-B1387)*100),"")</f>
        <v/>
      </c>
      <c r="G1388" s="20">
        <f>IF(AND(ISNUMBER(C1388),ISNUMBER(C1387)),IF(C1388=C1387,"",(C1388-C1387)*100),"")</f>
        <v/>
      </c>
      <c r="H1388" s="20">
        <f>IF(OR(NOT(ISNUMBER($A1388)),ROW()-2&lt;Settings!$B$11),NA(),IF(COUNT(OFFSET(F1388,1-Settings!$B$11,0,Settings!$B$11,1))&lt;ROUNDUP(Settings!$B$11*Settings!$B$26,0),NA(),STDEV(OFFSET(F1388,1-Settings!$B$11,0,Settings!$B$11,1))*SQRT(Settings!$B$13)))</f>
        <v/>
      </c>
      <c r="I1388" s="20">
        <f>IF(OR(NOT(ISNUMBER($A1388)),ROW()-2&lt;Settings!$B$12),NA(),IF(COUNT(OFFSET(F1388,1-Settings!$B$12,0,Settings!$B$12,1))&lt;ROUNDUP(Settings!$B$12*Settings!$B$26,0),NA(),STDEV(OFFSET(F1388,1-Settings!$B$12,0,Settings!$B$12,1))*SQRT(Settings!$B$13)))</f>
        <v/>
      </c>
      <c r="J1388" s="20">
        <f>IF(OR(NOT(ISNUMBER($A1388)),ROW()-2&lt;Settings!$B$11),NA(),IF(COUNT(OFFSET(G1388,1-Settings!$B$11,0,Settings!$B$11,1))&lt;ROUNDUP(Settings!$B$11*Settings!$B$26,0),NA(),STDEV(OFFSET(G1388,1-Settings!$B$11,0,Settings!$B$11,1))*SQRT(Settings!$B$13)))</f>
        <v/>
      </c>
      <c r="K1388" s="20">
        <f>IF(OR(NOT(ISNUMBER($A1388)),ROW()-2&lt;Settings!$B$12),NA(),IF(COUNT(OFFSET(G1388,1-Settings!$B$12,0,Settings!$B$12,1))&lt;ROUNDUP(Settings!$B$12*Settings!$B$26,0),NA(),STDEV(OFFSET(G1388,1-Settings!$B$12,0,Settings!$B$12,1))*SQRT(Settings!$B$13)))</f>
        <v/>
      </c>
      <c r="L1388" s="20">
        <f>IF(AND(ISNUMBER(D1388),ISNUMBER(H1388)),D1388-H1388,NA())</f>
        <v/>
      </c>
      <c r="M1388" s="20">
        <f>IF(AND(ISNUMBER(E1388),ISNUMBER(K1388)),E1388-K1388,NA())</f>
        <v/>
      </c>
      <c r="N1388" s="20">
        <f>IF(NOT(ISNUMBER($A1388)),NA(),IF(COUNT(OFFSET(G1388,1,0,Settings!$B$12,1))&lt;ROUNDUP(Settings!$B$12*Settings!$B$26,0),NA(),STDEV(OFFSET(G1388,1,0,Settings!$B$12,1))*SQRT(Settings!$B$13)))</f>
        <v/>
      </c>
      <c r="O1388" s="20">
        <f>IF(AND(ISNUMBER(E1388),ISNUMBER(N1388)),E1388-N1388,NA())</f>
        <v/>
      </c>
      <c r="P1388" s="19">
        <f>IF(NOT(ISNUMBER($A1388)),NA(),IF(OR($A1388&lt;MIN(KW_TP!$A$2:$A$2501),$A1388&gt;MAX(KW_TP!$A$2:$A$2501)),NA(),INDEX(KW_TP!$C$2:$C$2501,MATCH($A1388,KW_TP!$A$2:$A$2501,1))))</f>
        <v/>
      </c>
      <c r="Q1388" s="18">
        <f>IF(NOT(ISNUMBER($A1388)),NA(),IFERROR(1*INDEX(BBG_Data!$J$2:$J$4000,MATCH($A1388,BBG_Data!$I$2:$I$4000,0)),NA()))</f>
        <v/>
      </c>
      <c r="R1388" s="18">
        <f>IF(NOT(ISNUMBER($A1388)),NA(),IFERROR(1*INDEX(BBG_Data!$L$2:$L$4000,MATCH($A1388,BBG_Data!$K$2:$K$4000,0)),NA()))</f>
        <v/>
      </c>
      <c r="S1388" s="20">
        <f>IF(AND(ISNUMBER(B1388),ISNUMBER(Q1388),ISNUMBER(R1388)),(B1388-Q1388-R1388)*100,NA())</f>
        <v/>
      </c>
      <c r="T1388" s="20">
        <f>IF(AND(ISNUMBER(B1388),Settings!$B$17&gt;0),IF(ISNUMBER(INDEX($B:$B,Settings!$B$17)),(B1388-INDEX($B:$B,Settings!$B$17))*100,NA()),NA())</f>
        <v/>
      </c>
      <c r="U1388" s="20">
        <f>IF(AND(ISNUMBER(Q1388),Settings!$B$17&gt;0),IF(ISNUMBER(INDEX($Q:$Q,Settings!$B$17)),(Q1388-INDEX($Q:$Q,Settings!$B$17))*100,NA()),NA())</f>
        <v/>
      </c>
      <c r="V1388" s="20">
        <f>IF(AND(ISNUMBER(R1388),Settings!$B$17&gt;0),IF(ISNUMBER(INDEX($R:$R,Settings!$B$17)),(R1388-INDEX($R:$R,Settings!$B$17))*100,NA()),NA())</f>
        <v/>
      </c>
      <c r="W1388" s="20">
        <f>IF(AND(ISNUMBER(P1388),Settings!$B$17&gt;0),IF(ISNUMBER(INDEX($P:$P,Settings!$B$17)),P1388-INDEX($P:$P,Settings!$B$17),NA()),NA())</f>
        <v/>
      </c>
      <c r="X1388" s="19">
        <f>IF(NOT(ISNUMBER($A1388)),NA(),IF(OR($A1388&lt;MIN(DKW_10Y!$A$2:$A$2918),$A1388&gt;MAX(DKW_10Y!$A$2:$A$2918),Settings!$B$16&lt;MIN(DKW_10Y!$A$2:$A$2918)),NA(),(INDEX(DKW_10Y!$B$2:$B$2918,MATCH($A1388,DKW_10Y!$A$2:$A$2918,1))-INDEX(DKW_10Y!$B$2:$B$2918,MATCH(Settings!$B$16,DKW_10Y!$A$2:$A$2918,1)))*100))</f>
        <v/>
      </c>
      <c r="Y1388" s="19">
        <f>IF(NOT(ISNUMBER($A1388)),NA(),IF(OR($A1388&lt;MIN(DKW_10Y!$A$2:$A$2918),$A1388&gt;MAX(DKW_10Y!$A$2:$A$2918),Settings!$B$16&lt;MIN(DKW_10Y!$A$2:$A$2918)),NA(),(INDEX(DKW_10Y!$C$2:$C$2918,MATCH($A1388,DKW_10Y!$A$2:$A$2918,1))-INDEX(DKW_10Y!$C$2:$C$2918,MATCH(Settings!$B$16,DKW_10Y!$A$2:$A$2918,1)))*100))</f>
        <v/>
      </c>
      <c r="Z1388" s="19">
        <f>IF(NOT(ISNUMBER($A1388)),NA(),IF(OR($A1388&lt;MIN(DKW_10Y!$A$2:$A$2918),$A1388&gt;MAX(DKW_10Y!$A$2:$A$2918),Settings!$B$16&lt;MIN(DKW_10Y!$A$2:$A$2918)),NA(),(INDEX(DKW_10Y!$D$2:$D$2918,MATCH($A1388,DKW_10Y!$A$2:$A$2918,1))-INDEX(DKW_10Y!$D$2:$D$2918,MATCH(Settings!$B$16,DKW_10Y!$A$2:$A$2918,1)))*100))</f>
        <v/>
      </c>
      <c r="AA1388" s="19">
        <f>IF(NOT(ISNUMBER($A1388)),NA(),IF(OR($A1388&lt;MIN(DKW_10Y!$A$2:$A$2918),$A1388&gt;MAX(DKW_10Y!$A$2:$A$2918),Settings!$B$16&lt;MIN(DKW_10Y!$A$2:$A$2918)),NA(),(INDEX(DKW_10Y!$E$2:$E$2918,MATCH($A1388,DKW_10Y!$A$2:$A$2918,1))-INDEX(DKW_10Y!$E$2:$E$2918,MATCH(Settings!$B$16,DKW_10Y!$A$2:$A$2918,1)))*100))</f>
        <v/>
      </c>
      <c r="AB1388" s="19">
        <f>IF(NOT(ISNUMBER($A1388)),NA(),IF(OR($A1388&lt;MIN(DKW_10Y!$A$2:$A$2918),$A1388&gt;MAX(DKW_10Y!$A$2:$A$2918),Settings!$B$16&lt;MIN(DKW_10Y!$A$2:$A$2918)),NA(),(INDEX(DKW_10Y!$H$2:$H$2918,MATCH($A1388,DKW_10Y!$A$2:$A$2918,1))-INDEX(DKW_10Y!$H$2:$H$2918,MATCH(Settings!$B$16,DKW_10Y!$A$2:$A$2918,1)))*100))</f>
        <v/>
      </c>
      <c r="AC1388" s="18">
        <f>IF(NOT(ISNUMBER($A1388)),NA(),IFERROR(1*INDEX(BBG_Data!$N$2:$N$4000,MATCH($A1388,BBG_Data!$M$2:$M$4000,0)),NA()))</f>
        <v/>
      </c>
      <c r="AD1388" s="18">
        <f>IF(NOT(ISNUMBER($A1388)),NA(),IFERROR(1*INDEX(BBG_Data!$P$2:$P$4000,MATCH($A1388,BBG_Data!$O$2:$O$4000,0)),NA()))</f>
        <v/>
      </c>
      <c r="AE1388" s="18">
        <f>IF(NOT(ISNUMBER($A1388)),NA(),IFERROR(1*INDEX(BBG_Data!$R$2:$R$4000,MATCH($A1388,BBG_Data!$Q$2:$Q$4000,0)),NA()))</f>
        <v/>
      </c>
      <c r="AF1388" s="20">
        <f>IF(AND(ISNUMBER(B1388),ISNUMBER(AC1388)),(B1388-AC1388)*100,NA())</f>
        <v/>
      </c>
      <c r="AG1388" s="20">
        <f>IF(AND(ISNUMBER(AE1388),ISNUMBER(AD1388)),(AE1388-AD1388)*100,NA())</f>
        <v/>
      </c>
      <c r="AH1388" s="19">
        <f>IF(NOT(ISNUMBER($A1388)),NA(),IFERROR(INDEX(BBG_Data!$T$2:$T$4000,MATCH($A1388,BBG_Data!$S$2:$S$4000,0))*Settings!$B$25,NA()))</f>
        <v/>
      </c>
      <c r="AI1388" s="19">
        <f>IF(NOT(ISNUMBER($A1388)),NA(),IFERROR(INDEX(BBG_Data!$V$2:$V$4000,MATCH($A1388,BBG_Data!$U$2:$U$4000,0))*Settings!$B$25,NA()))</f>
        <v/>
      </c>
      <c r="AJ1388" s="19">
        <f>IF(NOT(ISNUMBER($A1388)),NA(),IFERROR(1*INDEX(BBG_Data!$X$2:$X$4000,MATCH($A1388,BBG_Data!$W$2:$W$4000,0)),NA()))</f>
        <v/>
      </c>
      <c r="AK1388" s="19">
        <f>IF(NOT(ISNUMBER($A1388)),NA(),IFERROR(1*INDEX(BBG_Data!$Z$2:$Z$4000,MATCH($A1388,BBG_Data!$Y$2:$Y$4000,0)),NA()))</f>
        <v/>
      </c>
    </row>
    <row r="1389">
      <c r="A1389" s="17">
        <f>IF(ISNUMBER(BBG_Data!A1389),BBG_Data!A1389,"")</f>
        <v/>
      </c>
      <c r="B1389" s="18">
        <f>IF(AND(ISNUMBER($A1389),ISNUMBER(BBG_Data!B1389)),BBG_Data!B1389,NA())</f>
        <v/>
      </c>
      <c r="C1389" s="18">
        <f>IF(NOT(ISNUMBER($A1389)),NA(),IFERROR(1*INDEX(BBG_Data!$D$2:$D$4000,MATCH($A1389,BBG_Data!$C$2:$C$4000,0)),NA()))</f>
        <v/>
      </c>
      <c r="D1389" s="19">
        <f>IF(NOT(ISNUMBER($A1389)),NA(),IFERROR(1*INDEX(BBG_Data!$F$2:$F$4000,MATCH($A1389,BBG_Data!$E$2:$E$4000,0)),NA()))</f>
        <v/>
      </c>
      <c r="E1389" s="19">
        <f>IF(NOT(ISNUMBER($A1389)),NA(),IFERROR(1*INDEX(BBG_Data!$H$2:$H$4000,MATCH($A1389,BBG_Data!$G$2:$G$4000,0)),NA()))</f>
        <v/>
      </c>
      <c r="F1389" s="20">
        <f>IF(AND(ISNUMBER(B1389),ISNUMBER(B1388)),IF(B1389=B1388,"",(B1389-B1388)*100),"")</f>
        <v/>
      </c>
      <c r="G1389" s="20">
        <f>IF(AND(ISNUMBER(C1389),ISNUMBER(C1388)),IF(C1389=C1388,"",(C1389-C1388)*100),"")</f>
        <v/>
      </c>
      <c r="H1389" s="20">
        <f>IF(OR(NOT(ISNUMBER($A1389)),ROW()-2&lt;Settings!$B$11),NA(),IF(COUNT(OFFSET(F1389,1-Settings!$B$11,0,Settings!$B$11,1))&lt;ROUNDUP(Settings!$B$11*Settings!$B$26,0),NA(),STDEV(OFFSET(F1389,1-Settings!$B$11,0,Settings!$B$11,1))*SQRT(Settings!$B$13)))</f>
        <v/>
      </c>
      <c r="I1389" s="20">
        <f>IF(OR(NOT(ISNUMBER($A1389)),ROW()-2&lt;Settings!$B$12),NA(),IF(COUNT(OFFSET(F1389,1-Settings!$B$12,0,Settings!$B$12,1))&lt;ROUNDUP(Settings!$B$12*Settings!$B$26,0),NA(),STDEV(OFFSET(F1389,1-Settings!$B$12,0,Settings!$B$12,1))*SQRT(Settings!$B$13)))</f>
        <v/>
      </c>
      <c r="J1389" s="20">
        <f>IF(OR(NOT(ISNUMBER($A1389)),ROW()-2&lt;Settings!$B$11),NA(),IF(COUNT(OFFSET(G1389,1-Settings!$B$11,0,Settings!$B$11,1))&lt;ROUNDUP(Settings!$B$11*Settings!$B$26,0),NA(),STDEV(OFFSET(G1389,1-Settings!$B$11,0,Settings!$B$11,1))*SQRT(Settings!$B$13)))</f>
        <v/>
      </c>
      <c r="K1389" s="20">
        <f>IF(OR(NOT(ISNUMBER($A1389)),ROW()-2&lt;Settings!$B$12),NA(),IF(COUNT(OFFSET(G1389,1-Settings!$B$12,0,Settings!$B$12,1))&lt;ROUNDUP(Settings!$B$12*Settings!$B$26,0),NA(),STDEV(OFFSET(G1389,1-Settings!$B$12,0,Settings!$B$12,1))*SQRT(Settings!$B$13)))</f>
        <v/>
      </c>
      <c r="L1389" s="20">
        <f>IF(AND(ISNUMBER(D1389),ISNUMBER(H1389)),D1389-H1389,NA())</f>
        <v/>
      </c>
      <c r="M1389" s="20">
        <f>IF(AND(ISNUMBER(E1389),ISNUMBER(K1389)),E1389-K1389,NA())</f>
        <v/>
      </c>
      <c r="N1389" s="20">
        <f>IF(NOT(ISNUMBER($A1389)),NA(),IF(COUNT(OFFSET(G1389,1,0,Settings!$B$12,1))&lt;ROUNDUP(Settings!$B$12*Settings!$B$26,0),NA(),STDEV(OFFSET(G1389,1,0,Settings!$B$12,1))*SQRT(Settings!$B$13)))</f>
        <v/>
      </c>
      <c r="O1389" s="20">
        <f>IF(AND(ISNUMBER(E1389),ISNUMBER(N1389)),E1389-N1389,NA())</f>
        <v/>
      </c>
      <c r="P1389" s="19">
        <f>IF(NOT(ISNUMBER($A1389)),NA(),IF(OR($A1389&lt;MIN(KW_TP!$A$2:$A$2501),$A1389&gt;MAX(KW_TP!$A$2:$A$2501)),NA(),INDEX(KW_TP!$C$2:$C$2501,MATCH($A1389,KW_TP!$A$2:$A$2501,1))))</f>
        <v/>
      </c>
      <c r="Q1389" s="18">
        <f>IF(NOT(ISNUMBER($A1389)),NA(),IFERROR(1*INDEX(BBG_Data!$J$2:$J$4000,MATCH($A1389,BBG_Data!$I$2:$I$4000,0)),NA()))</f>
        <v/>
      </c>
      <c r="R1389" s="18">
        <f>IF(NOT(ISNUMBER($A1389)),NA(),IFERROR(1*INDEX(BBG_Data!$L$2:$L$4000,MATCH($A1389,BBG_Data!$K$2:$K$4000,0)),NA()))</f>
        <v/>
      </c>
      <c r="S1389" s="20">
        <f>IF(AND(ISNUMBER(B1389),ISNUMBER(Q1389),ISNUMBER(R1389)),(B1389-Q1389-R1389)*100,NA())</f>
        <v/>
      </c>
      <c r="T1389" s="20">
        <f>IF(AND(ISNUMBER(B1389),Settings!$B$17&gt;0),IF(ISNUMBER(INDEX($B:$B,Settings!$B$17)),(B1389-INDEX($B:$B,Settings!$B$17))*100,NA()),NA())</f>
        <v/>
      </c>
      <c r="U1389" s="20">
        <f>IF(AND(ISNUMBER(Q1389),Settings!$B$17&gt;0),IF(ISNUMBER(INDEX($Q:$Q,Settings!$B$17)),(Q1389-INDEX($Q:$Q,Settings!$B$17))*100,NA()),NA())</f>
        <v/>
      </c>
      <c r="V1389" s="20">
        <f>IF(AND(ISNUMBER(R1389),Settings!$B$17&gt;0),IF(ISNUMBER(INDEX($R:$R,Settings!$B$17)),(R1389-INDEX($R:$R,Settings!$B$17))*100,NA()),NA())</f>
        <v/>
      </c>
      <c r="W1389" s="20">
        <f>IF(AND(ISNUMBER(P1389),Settings!$B$17&gt;0),IF(ISNUMBER(INDEX($P:$P,Settings!$B$17)),P1389-INDEX($P:$P,Settings!$B$17),NA()),NA())</f>
        <v/>
      </c>
      <c r="X1389" s="19">
        <f>IF(NOT(ISNUMBER($A1389)),NA(),IF(OR($A1389&lt;MIN(DKW_10Y!$A$2:$A$2918),$A1389&gt;MAX(DKW_10Y!$A$2:$A$2918),Settings!$B$16&lt;MIN(DKW_10Y!$A$2:$A$2918)),NA(),(INDEX(DKW_10Y!$B$2:$B$2918,MATCH($A1389,DKW_10Y!$A$2:$A$2918,1))-INDEX(DKW_10Y!$B$2:$B$2918,MATCH(Settings!$B$16,DKW_10Y!$A$2:$A$2918,1)))*100))</f>
        <v/>
      </c>
      <c r="Y1389" s="19">
        <f>IF(NOT(ISNUMBER($A1389)),NA(),IF(OR($A1389&lt;MIN(DKW_10Y!$A$2:$A$2918),$A1389&gt;MAX(DKW_10Y!$A$2:$A$2918),Settings!$B$16&lt;MIN(DKW_10Y!$A$2:$A$2918)),NA(),(INDEX(DKW_10Y!$C$2:$C$2918,MATCH($A1389,DKW_10Y!$A$2:$A$2918,1))-INDEX(DKW_10Y!$C$2:$C$2918,MATCH(Settings!$B$16,DKW_10Y!$A$2:$A$2918,1)))*100))</f>
        <v/>
      </c>
      <c r="Z1389" s="19">
        <f>IF(NOT(ISNUMBER($A1389)),NA(),IF(OR($A1389&lt;MIN(DKW_10Y!$A$2:$A$2918),$A1389&gt;MAX(DKW_10Y!$A$2:$A$2918),Settings!$B$16&lt;MIN(DKW_10Y!$A$2:$A$2918)),NA(),(INDEX(DKW_10Y!$D$2:$D$2918,MATCH($A1389,DKW_10Y!$A$2:$A$2918,1))-INDEX(DKW_10Y!$D$2:$D$2918,MATCH(Settings!$B$16,DKW_10Y!$A$2:$A$2918,1)))*100))</f>
        <v/>
      </c>
      <c r="AA1389" s="19">
        <f>IF(NOT(ISNUMBER($A1389)),NA(),IF(OR($A1389&lt;MIN(DKW_10Y!$A$2:$A$2918),$A1389&gt;MAX(DKW_10Y!$A$2:$A$2918),Settings!$B$16&lt;MIN(DKW_10Y!$A$2:$A$2918)),NA(),(INDEX(DKW_10Y!$E$2:$E$2918,MATCH($A1389,DKW_10Y!$A$2:$A$2918,1))-INDEX(DKW_10Y!$E$2:$E$2918,MATCH(Settings!$B$16,DKW_10Y!$A$2:$A$2918,1)))*100))</f>
        <v/>
      </c>
      <c r="AB1389" s="19">
        <f>IF(NOT(ISNUMBER($A1389)),NA(),IF(OR($A1389&lt;MIN(DKW_10Y!$A$2:$A$2918),$A1389&gt;MAX(DKW_10Y!$A$2:$A$2918),Settings!$B$16&lt;MIN(DKW_10Y!$A$2:$A$2918)),NA(),(INDEX(DKW_10Y!$H$2:$H$2918,MATCH($A1389,DKW_10Y!$A$2:$A$2918,1))-INDEX(DKW_10Y!$H$2:$H$2918,MATCH(Settings!$B$16,DKW_10Y!$A$2:$A$2918,1)))*100))</f>
        <v/>
      </c>
      <c r="AC1389" s="18">
        <f>IF(NOT(ISNUMBER($A1389)),NA(),IFERROR(1*INDEX(BBG_Data!$N$2:$N$4000,MATCH($A1389,BBG_Data!$M$2:$M$4000,0)),NA()))</f>
        <v/>
      </c>
      <c r="AD1389" s="18">
        <f>IF(NOT(ISNUMBER($A1389)),NA(),IFERROR(1*INDEX(BBG_Data!$P$2:$P$4000,MATCH($A1389,BBG_Data!$O$2:$O$4000,0)),NA()))</f>
        <v/>
      </c>
      <c r="AE1389" s="18">
        <f>IF(NOT(ISNUMBER($A1389)),NA(),IFERROR(1*INDEX(BBG_Data!$R$2:$R$4000,MATCH($A1389,BBG_Data!$Q$2:$Q$4000,0)),NA()))</f>
        <v/>
      </c>
      <c r="AF1389" s="20">
        <f>IF(AND(ISNUMBER(B1389),ISNUMBER(AC1389)),(B1389-AC1389)*100,NA())</f>
        <v/>
      </c>
      <c r="AG1389" s="20">
        <f>IF(AND(ISNUMBER(AE1389),ISNUMBER(AD1389)),(AE1389-AD1389)*100,NA())</f>
        <v/>
      </c>
      <c r="AH1389" s="19">
        <f>IF(NOT(ISNUMBER($A1389)),NA(),IFERROR(INDEX(BBG_Data!$T$2:$T$4000,MATCH($A1389,BBG_Data!$S$2:$S$4000,0))*Settings!$B$25,NA()))</f>
        <v/>
      </c>
      <c r="AI1389" s="19">
        <f>IF(NOT(ISNUMBER($A1389)),NA(),IFERROR(INDEX(BBG_Data!$V$2:$V$4000,MATCH($A1389,BBG_Data!$U$2:$U$4000,0))*Settings!$B$25,NA()))</f>
        <v/>
      </c>
      <c r="AJ1389" s="19">
        <f>IF(NOT(ISNUMBER($A1389)),NA(),IFERROR(1*INDEX(BBG_Data!$X$2:$X$4000,MATCH($A1389,BBG_Data!$W$2:$W$4000,0)),NA()))</f>
        <v/>
      </c>
      <c r="AK1389" s="19">
        <f>IF(NOT(ISNUMBER($A1389)),NA(),IFERROR(1*INDEX(BBG_Data!$Z$2:$Z$4000,MATCH($A1389,BBG_Data!$Y$2:$Y$4000,0)),NA()))</f>
        <v/>
      </c>
    </row>
    <row r="1390">
      <c r="A1390" s="17">
        <f>IF(ISNUMBER(BBG_Data!A1390),BBG_Data!A1390,"")</f>
        <v/>
      </c>
      <c r="B1390" s="18">
        <f>IF(AND(ISNUMBER($A1390),ISNUMBER(BBG_Data!B1390)),BBG_Data!B1390,NA())</f>
        <v/>
      </c>
      <c r="C1390" s="18">
        <f>IF(NOT(ISNUMBER($A1390)),NA(),IFERROR(1*INDEX(BBG_Data!$D$2:$D$4000,MATCH($A1390,BBG_Data!$C$2:$C$4000,0)),NA()))</f>
        <v/>
      </c>
      <c r="D1390" s="19">
        <f>IF(NOT(ISNUMBER($A1390)),NA(),IFERROR(1*INDEX(BBG_Data!$F$2:$F$4000,MATCH($A1390,BBG_Data!$E$2:$E$4000,0)),NA()))</f>
        <v/>
      </c>
      <c r="E1390" s="19">
        <f>IF(NOT(ISNUMBER($A1390)),NA(),IFERROR(1*INDEX(BBG_Data!$H$2:$H$4000,MATCH($A1390,BBG_Data!$G$2:$G$4000,0)),NA()))</f>
        <v/>
      </c>
      <c r="F1390" s="20">
        <f>IF(AND(ISNUMBER(B1390),ISNUMBER(B1389)),IF(B1390=B1389,"",(B1390-B1389)*100),"")</f>
        <v/>
      </c>
      <c r="G1390" s="20">
        <f>IF(AND(ISNUMBER(C1390),ISNUMBER(C1389)),IF(C1390=C1389,"",(C1390-C1389)*100),"")</f>
        <v/>
      </c>
      <c r="H1390" s="20">
        <f>IF(OR(NOT(ISNUMBER($A1390)),ROW()-2&lt;Settings!$B$11),NA(),IF(COUNT(OFFSET(F1390,1-Settings!$B$11,0,Settings!$B$11,1))&lt;ROUNDUP(Settings!$B$11*Settings!$B$26,0),NA(),STDEV(OFFSET(F1390,1-Settings!$B$11,0,Settings!$B$11,1))*SQRT(Settings!$B$13)))</f>
        <v/>
      </c>
      <c r="I1390" s="20">
        <f>IF(OR(NOT(ISNUMBER($A1390)),ROW()-2&lt;Settings!$B$12),NA(),IF(COUNT(OFFSET(F1390,1-Settings!$B$12,0,Settings!$B$12,1))&lt;ROUNDUP(Settings!$B$12*Settings!$B$26,0),NA(),STDEV(OFFSET(F1390,1-Settings!$B$12,0,Settings!$B$12,1))*SQRT(Settings!$B$13)))</f>
        <v/>
      </c>
      <c r="J1390" s="20">
        <f>IF(OR(NOT(ISNUMBER($A1390)),ROW()-2&lt;Settings!$B$11),NA(),IF(COUNT(OFFSET(G1390,1-Settings!$B$11,0,Settings!$B$11,1))&lt;ROUNDUP(Settings!$B$11*Settings!$B$26,0),NA(),STDEV(OFFSET(G1390,1-Settings!$B$11,0,Settings!$B$11,1))*SQRT(Settings!$B$13)))</f>
        <v/>
      </c>
      <c r="K1390" s="20">
        <f>IF(OR(NOT(ISNUMBER($A1390)),ROW()-2&lt;Settings!$B$12),NA(),IF(COUNT(OFFSET(G1390,1-Settings!$B$12,0,Settings!$B$12,1))&lt;ROUNDUP(Settings!$B$12*Settings!$B$26,0),NA(),STDEV(OFFSET(G1390,1-Settings!$B$12,0,Settings!$B$12,1))*SQRT(Settings!$B$13)))</f>
        <v/>
      </c>
      <c r="L1390" s="20">
        <f>IF(AND(ISNUMBER(D1390),ISNUMBER(H1390)),D1390-H1390,NA())</f>
        <v/>
      </c>
      <c r="M1390" s="20">
        <f>IF(AND(ISNUMBER(E1390),ISNUMBER(K1390)),E1390-K1390,NA())</f>
        <v/>
      </c>
      <c r="N1390" s="20">
        <f>IF(NOT(ISNUMBER($A1390)),NA(),IF(COUNT(OFFSET(G1390,1,0,Settings!$B$12,1))&lt;ROUNDUP(Settings!$B$12*Settings!$B$26,0),NA(),STDEV(OFFSET(G1390,1,0,Settings!$B$12,1))*SQRT(Settings!$B$13)))</f>
        <v/>
      </c>
      <c r="O1390" s="20">
        <f>IF(AND(ISNUMBER(E1390),ISNUMBER(N1390)),E1390-N1390,NA())</f>
        <v/>
      </c>
      <c r="P1390" s="19">
        <f>IF(NOT(ISNUMBER($A1390)),NA(),IF(OR($A1390&lt;MIN(KW_TP!$A$2:$A$2501),$A1390&gt;MAX(KW_TP!$A$2:$A$2501)),NA(),INDEX(KW_TP!$C$2:$C$2501,MATCH($A1390,KW_TP!$A$2:$A$2501,1))))</f>
        <v/>
      </c>
      <c r="Q1390" s="18">
        <f>IF(NOT(ISNUMBER($A1390)),NA(),IFERROR(1*INDEX(BBG_Data!$J$2:$J$4000,MATCH($A1390,BBG_Data!$I$2:$I$4000,0)),NA()))</f>
        <v/>
      </c>
      <c r="R1390" s="18">
        <f>IF(NOT(ISNUMBER($A1390)),NA(),IFERROR(1*INDEX(BBG_Data!$L$2:$L$4000,MATCH($A1390,BBG_Data!$K$2:$K$4000,0)),NA()))</f>
        <v/>
      </c>
      <c r="S1390" s="20">
        <f>IF(AND(ISNUMBER(B1390),ISNUMBER(Q1390),ISNUMBER(R1390)),(B1390-Q1390-R1390)*100,NA())</f>
        <v/>
      </c>
      <c r="T1390" s="20">
        <f>IF(AND(ISNUMBER(B1390),Settings!$B$17&gt;0),IF(ISNUMBER(INDEX($B:$B,Settings!$B$17)),(B1390-INDEX($B:$B,Settings!$B$17))*100,NA()),NA())</f>
        <v/>
      </c>
      <c r="U1390" s="20">
        <f>IF(AND(ISNUMBER(Q1390),Settings!$B$17&gt;0),IF(ISNUMBER(INDEX($Q:$Q,Settings!$B$17)),(Q1390-INDEX($Q:$Q,Settings!$B$17))*100,NA()),NA())</f>
        <v/>
      </c>
      <c r="V1390" s="20">
        <f>IF(AND(ISNUMBER(R1390),Settings!$B$17&gt;0),IF(ISNUMBER(INDEX($R:$R,Settings!$B$17)),(R1390-INDEX($R:$R,Settings!$B$17))*100,NA()),NA())</f>
        <v/>
      </c>
      <c r="W1390" s="20">
        <f>IF(AND(ISNUMBER(P1390),Settings!$B$17&gt;0),IF(ISNUMBER(INDEX($P:$P,Settings!$B$17)),P1390-INDEX($P:$P,Settings!$B$17),NA()),NA())</f>
        <v/>
      </c>
      <c r="X1390" s="19">
        <f>IF(NOT(ISNUMBER($A1390)),NA(),IF(OR($A1390&lt;MIN(DKW_10Y!$A$2:$A$2918),$A1390&gt;MAX(DKW_10Y!$A$2:$A$2918),Settings!$B$16&lt;MIN(DKW_10Y!$A$2:$A$2918)),NA(),(INDEX(DKW_10Y!$B$2:$B$2918,MATCH($A1390,DKW_10Y!$A$2:$A$2918,1))-INDEX(DKW_10Y!$B$2:$B$2918,MATCH(Settings!$B$16,DKW_10Y!$A$2:$A$2918,1)))*100))</f>
        <v/>
      </c>
      <c r="Y1390" s="19">
        <f>IF(NOT(ISNUMBER($A1390)),NA(),IF(OR($A1390&lt;MIN(DKW_10Y!$A$2:$A$2918),$A1390&gt;MAX(DKW_10Y!$A$2:$A$2918),Settings!$B$16&lt;MIN(DKW_10Y!$A$2:$A$2918)),NA(),(INDEX(DKW_10Y!$C$2:$C$2918,MATCH($A1390,DKW_10Y!$A$2:$A$2918,1))-INDEX(DKW_10Y!$C$2:$C$2918,MATCH(Settings!$B$16,DKW_10Y!$A$2:$A$2918,1)))*100))</f>
        <v/>
      </c>
      <c r="Z1390" s="19">
        <f>IF(NOT(ISNUMBER($A1390)),NA(),IF(OR($A1390&lt;MIN(DKW_10Y!$A$2:$A$2918),$A1390&gt;MAX(DKW_10Y!$A$2:$A$2918),Settings!$B$16&lt;MIN(DKW_10Y!$A$2:$A$2918)),NA(),(INDEX(DKW_10Y!$D$2:$D$2918,MATCH($A1390,DKW_10Y!$A$2:$A$2918,1))-INDEX(DKW_10Y!$D$2:$D$2918,MATCH(Settings!$B$16,DKW_10Y!$A$2:$A$2918,1)))*100))</f>
        <v/>
      </c>
      <c r="AA1390" s="19">
        <f>IF(NOT(ISNUMBER($A1390)),NA(),IF(OR($A1390&lt;MIN(DKW_10Y!$A$2:$A$2918),$A1390&gt;MAX(DKW_10Y!$A$2:$A$2918),Settings!$B$16&lt;MIN(DKW_10Y!$A$2:$A$2918)),NA(),(INDEX(DKW_10Y!$E$2:$E$2918,MATCH($A1390,DKW_10Y!$A$2:$A$2918,1))-INDEX(DKW_10Y!$E$2:$E$2918,MATCH(Settings!$B$16,DKW_10Y!$A$2:$A$2918,1)))*100))</f>
        <v/>
      </c>
      <c r="AB1390" s="19">
        <f>IF(NOT(ISNUMBER($A1390)),NA(),IF(OR($A1390&lt;MIN(DKW_10Y!$A$2:$A$2918),$A1390&gt;MAX(DKW_10Y!$A$2:$A$2918),Settings!$B$16&lt;MIN(DKW_10Y!$A$2:$A$2918)),NA(),(INDEX(DKW_10Y!$H$2:$H$2918,MATCH($A1390,DKW_10Y!$A$2:$A$2918,1))-INDEX(DKW_10Y!$H$2:$H$2918,MATCH(Settings!$B$16,DKW_10Y!$A$2:$A$2918,1)))*100))</f>
        <v/>
      </c>
      <c r="AC1390" s="18">
        <f>IF(NOT(ISNUMBER($A1390)),NA(),IFERROR(1*INDEX(BBG_Data!$N$2:$N$4000,MATCH($A1390,BBG_Data!$M$2:$M$4000,0)),NA()))</f>
        <v/>
      </c>
      <c r="AD1390" s="18">
        <f>IF(NOT(ISNUMBER($A1390)),NA(),IFERROR(1*INDEX(BBG_Data!$P$2:$P$4000,MATCH($A1390,BBG_Data!$O$2:$O$4000,0)),NA()))</f>
        <v/>
      </c>
      <c r="AE1390" s="18">
        <f>IF(NOT(ISNUMBER($A1390)),NA(),IFERROR(1*INDEX(BBG_Data!$R$2:$R$4000,MATCH($A1390,BBG_Data!$Q$2:$Q$4000,0)),NA()))</f>
        <v/>
      </c>
      <c r="AF1390" s="20">
        <f>IF(AND(ISNUMBER(B1390),ISNUMBER(AC1390)),(B1390-AC1390)*100,NA())</f>
        <v/>
      </c>
      <c r="AG1390" s="20">
        <f>IF(AND(ISNUMBER(AE1390),ISNUMBER(AD1390)),(AE1390-AD1390)*100,NA())</f>
        <v/>
      </c>
      <c r="AH1390" s="19">
        <f>IF(NOT(ISNUMBER($A1390)),NA(),IFERROR(INDEX(BBG_Data!$T$2:$T$4000,MATCH($A1390,BBG_Data!$S$2:$S$4000,0))*Settings!$B$25,NA()))</f>
        <v/>
      </c>
      <c r="AI1390" s="19">
        <f>IF(NOT(ISNUMBER($A1390)),NA(),IFERROR(INDEX(BBG_Data!$V$2:$V$4000,MATCH($A1390,BBG_Data!$U$2:$U$4000,0))*Settings!$B$25,NA()))</f>
        <v/>
      </c>
      <c r="AJ1390" s="19">
        <f>IF(NOT(ISNUMBER($A1390)),NA(),IFERROR(1*INDEX(BBG_Data!$X$2:$X$4000,MATCH($A1390,BBG_Data!$W$2:$W$4000,0)),NA()))</f>
        <v/>
      </c>
      <c r="AK1390" s="19">
        <f>IF(NOT(ISNUMBER($A1390)),NA(),IFERROR(1*INDEX(BBG_Data!$Z$2:$Z$4000,MATCH($A1390,BBG_Data!$Y$2:$Y$4000,0)),NA()))</f>
        <v/>
      </c>
    </row>
    <row r="1391">
      <c r="A1391" s="17">
        <f>IF(ISNUMBER(BBG_Data!A1391),BBG_Data!A1391,"")</f>
        <v/>
      </c>
      <c r="B1391" s="18">
        <f>IF(AND(ISNUMBER($A1391),ISNUMBER(BBG_Data!B1391)),BBG_Data!B1391,NA())</f>
        <v/>
      </c>
      <c r="C1391" s="18">
        <f>IF(NOT(ISNUMBER($A1391)),NA(),IFERROR(1*INDEX(BBG_Data!$D$2:$D$4000,MATCH($A1391,BBG_Data!$C$2:$C$4000,0)),NA()))</f>
        <v/>
      </c>
      <c r="D1391" s="19">
        <f>IF(NOT(ISNUMBER($A1391)),NA(),IFERROR(1*INDEX(BBG_Data!$F$2:$F$4000,MATCH($A1391,BBG_Data!$E$2:$E$4000,0)),NA()))</f>
        <v/>
      </c>
      <c r="E1391" s="19">
        <f>IF(NOT(ISNUMBER($A1391)),NA(),IFERROR(1*INDEX(BBG_Data!$H$2:$H$4000,MATCH($A1391,BBG_Data!$G$2:$G$4000,0)),NA()))</f>
        <v/>
      </c>
      <c r="F1391" s="20">
        <f>IF(AND(ISNUMBER(B1391),ISNUMBER(B1390)),IF(B1391=B1390,"",(B1391-B1390)*100),"")</f>
        <v/>
      </c>
      <c r="G1391" s="20">
        <f>IF(AND(ISNUMBER(C1391),ISNUMBER(C1390)),IF(C1391=C1390,"",(C1391-C1390)*100),"")</f>
        <v/>
      </c>
      <c r="H1391" s="20">
        <f>IF(OR(NOT(ISNUMBER($A1391)),ROW()-2&lt;Settings!$B$11),NA(),IF(COUNT(OFFSET(F1391,1-Settings!$B$11,0,Settings!$B$11,1))&lt;ROUNDUP(Settings!$B$11*Settings!$B$26,0),NA(),STDEV(OFFSET(F1391,1-Settings!$B$11,0,Settings!$B$11,1))*SQRT(Settings!$B$13)))</f>
        <v/>
      </c>
      <c r="I1391" s="20">
        <f>IF(OR(NOT(ISNUMBER($A1391)),ROW()-2&lt;Settings!$B$12),NA(),IF(COUNT(OFFSET(F1391,1-Settings!$B$12,0,Settings!$B$12,1))&lt;ROUNDUP(Settings!$B$12*Settings!$B$26,0),NA(),STDEV(OFFSET(F1391,1-Settings!$B$12,0,Settings!$B$12,1))*SQRT(Settings!$B$13)))</f>
        <v/>
      </c>
      <c r="J1391" s="20">
        <f>IF(OR(NOT(ISNUMBER($A1391)),ROW()-2&lt;Settings!$B$11),NA(),IF(COUNT(OFFSET(G1391,1-Settings!$B$11,0,Settings!$B$11,1))&lt;ROUNDUP(Settings!$B$11*Settings!$B$26,0),NA(),STDEV(OFFSET(G1391,1-Settings!$B$11,0,Settings!$B$11,1))*SQRT(Settings!$B$13)))</f>
        <v/>
      </c>
      <c r="K1391" s="20">
        <f>IF(OR(NOT(ISNUMBER($A1391)),ROW()-2&lt;Settings!$B$12),NA(),IF(COUNT(OFFSET(G1391,1-Settings!$B$12,0,Settings!$B$12,1))&lt;ROUNDUP(Settings!$B$12*Settings!$B$26,0),NA(),STDEV(OFFSET(G1391,1-Settings!$B$12,0,Settings!$B$12,1))*SQRT(Settings!$B$13)))</f>
        <v/>
      </c>
      <c r="L1391" s="20">
        <f>IF(AND(ISNUMBER(D1391),ISNUMBER(H1391)),D1391-H1391,NA())</f>
        <v/>
      </c>
      <c r="M1391" s="20">
        <f>IF(AND(ISNUMBER(E1391),ISNUMBER(K1391)),E1391-K1391,NA())</f>
        <v/>
      </c>
      <c r="N1391" s="20">
        <f>IF(NOT(ISNUMBER($A1391)),NA(),IF(COUNT(OFFSET(G1391,1,0,Settings!$B$12,1))&lt;ROUNDUP(Settings!$B$12*Settings!$B$26,0),NA(),STDEV(OFFSET(G1391,1,0,Settings!$B$12,1))*SQRT(Settings!$B$13)))</f>
        <v/>
      </c>
      <c r="O1391" s="20">
        <f>IF(AND(ISNUMBER(E1391),ISNUMBER(N1391)),E1391-N1391,NA())</f>
        <v/>
      </c>
      <c r="P1391" s="19">
        <f>IF(NOT(ISNUMBER($A1391)),NA(),IF(OR($A1391&lt;MIN(KW_TP!$A$2:$A$2501),$A1391&gt;MAX(KW_TP!$A$2:$A$2501)),NA(),INDEX(KW_TP!$C$2:$C$2501,MATCH($A1391,KW_TP!$A$2:$A$2501,1))))</f>
        <v/>
      </c>
      <c r="Q1391" s="18">
        <f>IF(NOT(ISNUMBER($A1391)),NA(),IFERROR(1*INDEX(BBG_Data!$J$2:$J$4000,MATCH($A1391,BBG_Data!$I$2:$I$4000,0)),NA()))</f>
        <v/>
      </c>
      <c r="R1391" s="18">
        <f>IF(NOT(ISNUMBER($A1391)),NA(),IFERROR(1*INDEX(BBG_Data!$L$2:$L$4000,MATCH($A1391,BBG_Data!$K$2:$K$4000,0)),NA()))</f>
        <v/>
      </c>
      <c r="S1391" s="20">
        <f>IF(AND(ISNUMBER(B1391),ISNUMBER(Q1391),ISNUMBER(R1391)),(B1391-Q1391-R1391)*100,NA())</f>
        <v/>
      </c>
      <c r="T1391" s="20">
        <f>IF(AND(ISNUMBER(B1391),Settings!$B$17&gt;0),IF(ISNUMBER(INDEX($B:$B,Settings!$B$17)),(B1391-INDEX($B:$B,Settings!$B$17))*100,NA()),NA())</f>
        <v/>
      </c>
      <c r="U1391" s="20">
        <f>IF(AND(ISNUMBER(Q1391),Settings!$B$17&gt;0),IF(ISNUMBER(INDEX($Q:$Q,Settings!$B$17)),(Q1391-INDEX($Q:$Q,Settings!$B$17))*100,NA()),NA())</f>
        <v/>
      </c>
      <c r="V1391" s="20">
        <f>IF(AND(ISNUMBER(R1391),Settings!$B$17&gt;0),IF(ISNUMBER(INDEX($R:$R,Settings!$B$17)),(R1391-INDEX($R:$R,Settings!$B$17))*100,NA()),NA())</f>
        <v/>
      </c>
      <c r="W1391" s="20">
        <f>IF(AND(ISNUMBER(P1391),Settings!$B$17&gt;0),IF(ISNUMBER(INDEX($P:$P,Settings!$B$17)),P1391-INDEX($P:$P,Settings!$B$17),NA()),NA())</f>
        <v/>
      </c>
      <c r="X1391" s="19">
        <f>IF(NOT(ISNUMBER($A1391)),NA(),IF(OR($A1391&lt;MIN(DKW_10Y!$A$2:$A$2918),$A1391&gt;MAX(DKW_10Y!$A$2:$A$2918),Settings!$B$16&lt;MIN(DKW_10Y!$A$2:$A$2918)),NA(),(INDEX(DKW_10Y!$B$2:$B$2918,MATCH($A1391,DKW_10Y!$A$2:$A$2918,1))-INDEX(DKW_10Y!$B$2:$B$2918,MATCH(Settings!$B$16,DKW_10Y!$A$2:$A$2918,1)))*100))</f>
        <v/>
      </c>
      <c r="Y1391" s="19">
        <f>IF(NOT(ISNUMBER($A1391)),NA(),IF(OR($A1391&lt;MIN(DKW_10Y!$A$2:$A$2918),$A1391&gt;MAX(DKW_10Y!$A$2:$A$2918),Settings!$B$16&lt;MIN(DKW_10Y!$A$2:$A$2918)),NA(),(INDEX(DKW_10Y!$C$2:$C$2918,MATCH($A1391,DKW_10Y!$A$2:$A$2918,1))-INDEX(DKW_10Y!$C$2:$C$2918,MATCH(Settings!$B$16,DKW_10Y!$A$2:$A$2918,1)))*100))</f>
        <v/>
      </c>
      <c r="Z1391" s="19">
        <f>IF(NOT(ISNUMBER($A1391)),NA(),IF(OR($A1391&lt;MIN(DKW_10Y!$A$2:$A$2918),$A1391&gt;MAX(DKW_10Y!$A$2:$A$2918),Settings!$B$16&lt;MIN(DKW_10Y!$A$2:$A$2918)),NA(),(INDEX(DKW_10Y!$D$2:$D$2918,MATCH($A1391,DKW_10Y!$A$2:$A$2918,1))-INDEX(DKW_10Y!$D$2:$D$2918,MATCH(Settings!$B$16,DKW_10Y!$A$2:$A$2918,1)))*100))</f>
        <v/>
      </c>
      <c r="AA1391" s="19">
        <f>IF(NOT(ISNUMBER($A1391)),NA(),IF(OR($A1391&lt;MIN(DKW_10Y!$A$2:$A$2918),$A1391&gt;MAX(DKW_10Y!$A$2:$A$2918),Settings!$B$16&lt;MIN(DKW_10Y!$A$2:$A$2918)),NA(),(INDEX(DKW_10Y!$E$2:$E$2918,MATCH($A1391,DKW_10Y!$A$2:$A$2918,1))-INDEX(DKW_10Y!$E$2:$E$2918,MATCH(Settings!$B$16,DKW_10Y!$A$2:$A$2918,1)))*100))</f>
        <v/>
      </c>
      <c r="AB1391" s="19">
        <f>IF(NOT(ISNUMBER($A1391)),NA(),IF(OR($A1391&lt;MIN(DKW_10Y!$A$2:$A$2918),$A1391&gt;MAX(DKW_10Y!$A$2:$A$2918),Settings!$B$16&lt;MIN(DKW_10Y!$A$2:$A$2918)),NA(),(INDEX(DKW_10Y!$H$2:$H$2918,MATCH($A1391,DKW_10Y!$A$2:$A$2918,1))-INDEX(DKW_10Y!$H$2:$H$2918,MATCH(Settings!$B$16,DKW_10Y!$A$2:$A$2918,1)))*100))</f>
        <v/>
      </c>
      <c r="AC1391" s="18">
        <f>IF(NOT(ISNUMBER($A1391)),NA(),IFERROR(1*INDEX(BBG_Data!$N$2:$N$4000,MATCH($A1391,BBG_Data!$M$2:$M$4000,0)),NA()))</f>
        <v/>
      </c>
      <c r="AD1391" s="18">
        <f>IF(NOT(ISNUMBER($A1391)),NA(),IFERROR(1*INDEX(BBG_Data!$P$2:$P$4000,MATCH($A1391,BBG_Data!$O$2:$O$4000,0)),NA()))</f>
        <v/>
      </c>
      <c r="AE1391" s="18">
        <f>IF(NOT(ISNUMBER($A1391)),NA(),IFERROR(1*INDEX(BBG_Data!$R$2:$R$4000,MATCH($A1391,BBG_Data!$Q$2:$Q$4000,0)),NA()))</f>
        <v/>
      </c>
      <c r="AF1391" s="20">
        <f>IF(AND(ISNUMBER(B1391),ISNUMBER(AC1391)),(B1391-AC1391)*100,NA())</f>
        <v/>
      </c>
      <c r="AG1391" s="20">
        <f>IF(AND(ISNUMBER(AE1391),ISNUMBER(AD1391)),(AE1391-AD1391)*100,NA())</f>
        <v/>
      </c>
      <c r="AH1391" s="19">
        <f>IF(NOT(ISNUMBER($A1391)),NA(),IFERROR(INDEX(BBG_Data!$T$2:$T$4000,MATCH($A1391,BBG_Data!$S$2:$S$4000,0))*Settings!$B$25,NA()))</f>
        <v/>
      </c>
      <c r="AI1391" s="19">
        <f>IF(NOT(ISNUMBER($A1391)),NA(),IFERROR(INDEX(BBG_Data!$V$2:$V$4000,MATCH($A1391,BBG_Data!$U$2:$U$4000,0))*Settings!$B$25,NA()))</f>
        <v/>
      </c>
      <c r="AJ1391" s="19">
        <f>IF(NOT(ISNUMBER($A1391)),NA(),IFERROR(1*INDEX(BBG_Data!$X$2:$X$4000,MATCH($A1391,BBG_Data!$W$2:$W$4000,0)),NA()))</f>
        <v/>
      </c>
      <c r="AK1391" s="19">
        <f>IF(NOT(ISNUMBER($A1391)),NA(),IFERROR(1*INDEX(BBG_Data!$Z$2:$Z$4000,MATCH($A1391,BBG_Data!$Y$2:$Y$4000,0)),NA()))</f>
        <v/>
      </c>
    </row>
    <row r="1392">
      <c r="A1392" s="17">
        <f>IF(ISNUMBER(BBG_Data!A1392),BBG_Data!A1392,"")</f>
        <v/>
      </c>
      <c r="B1392" s="18">
        <f>IF(AND(ISNUMBER($A1392),ISNUMBER(BBG_Data!B1392)),BBG_Data!B1392,NA())</f>
        <v/>
      </c>
      <c r="C1392" s="18">
        <f>IF(NOT(ISNUMBER($A1392)),NA(),IFERROR(1*INDEX(BBG_Data!$D$2:$D$4000,MATCH($A1392,BBG_Data!$C$2:$C$4000,0)),NA()))</f>
        <v/>
      </c>
      <c r="D1392" s="19">
        <f>IF(NOT(ISNUMBER($A1392)),NA(),IFERROR(1*INDEX(BBG_Data!$F$2:$F$4000,MATCH($A1392,BBG_Data!$E$2:$E$4000,0)),NA()))</f>
        <v/>
      </c>
      <c r="E1392" s="19">
        <f>IF(NOT(ISNUMBER($A1392)),NA(),IFERROR(1*INDEX(BBG_Data!$H$2:$H$4000,MATCH($A1392,BBG_Data!$G$2:$G$4000,0)),NA()))</f>
        <v/>
      </c>
      <c r="F1392" s="20">
        <f>IF(AND(ISNUMBER(B1392),ISNUMBER(B1391)),IF(B1392=B1391,"",(B1392-B1391)*100),"")</f>
        <v/>
      </c>
      <c r="G1392" s="20">
        <f>IF(AND(ISNUMBER(C1392),ISNUMBER(C1391)),IF(C1392=C1391,"",(C1392-C1391)*100),"")</f>
        <v/>
      </c>
      <c r="H1392" s="20">
        <f>IF(OR(NOT(ISNUMBER($A1392)),ROW()-2&lt;Settings!$B$11),NA(),IF(COUNT(OFFSET(F1392,1-Settings!$B$11,0,Settings!$B$11,1))&lt;ROUNDUP(Settings!$B$11*Settings!$B$26,0),NA(),STDEV(OFFSET(F1392,1-Settings!$B$11,0,Settings!$B$11,1))*SQRT(Settings!$B$13)))</f>
        <v/>
      </c>
      <c r="I1392" s="20">
        <f>IF(OR(NOT(ISNUMBER($A1392)),ROW()-2&lt;Settings!$B$12),NA(),IF(COUNT(OFFSET(F1392,1-Settings!$B$12,0,Settings!$B$12,1))&lt;ROUNDUP(Settings!$B$12*Settings!$B$26,0),NA(),STDEV(OFFSET(F1392,1-Settings!$B$12,0,Settings!$B$12,1))*SQRT(Settings!$B$13)))</f>
        <v/>
      </c>
      <c r="J1392" s="20">
        <f>IF(OR(NOT(ISNUMBER($A1392)),ROW()-2&lt;Settings!$B$11),NA(),IF(COUNT(OFFSET(G1392,1-Settings!$B$11,0,Settings!$B$11,1))&lt;ROUNDUP(Settings!$B$11*Settings!$B$26,0),NA(),STDEV(OFFSET(G1392,1-Settings!$B$11,0,Settings!$B$11,1))*SQRT(Settings!$B$13)))</f>
        <v/>
      </c>
      <c r="K1392" s="20">
        <f>IF(OR(NOT(ISNUMBER($A1392)),ROW()-2&lt;Settings!$B$12),NA(),IF(COUNT(OFFSET(G1392,1-Settings!$B$12,0,Settings!$B$12,1))&lt;ROUNDUP(Settings!$B$12*Settings!$B$26,0),NA(),STDEV(OFFSET(G1392,1-Settings!$B$12,0,Settings!$B$12,1))*SQRT(Settings!$B$13)))</f>
        <v/>
      </c>
      <c r="L1392" s="20">
        <f>IF(AND(ISNUMBER(D1392),ISNUMBER(H1392)),D1392-H1392,NA())</f>
        <v/>
      </c>
      <c r="M1392" s="20">
        <f>IF(AND(ISNUMBER(E1392),ISNUMBER(K1392)),E1392-K1392,NA())</f>
        <v/>
      </c>
      <c r="N1392" s="20">
        <f>IF(NOT(ISNUMBER($A1392)),NA(),IF(COUNT(OFFSET(G1392,1,0,Settings!$B$12,1))&lt;ROUNDUP(Settings!$B$12*Settings!$B$26,0),NA(),STDEV(OFFSET(G1392,1,0,Settings!$B$12,1))*SQRT(Settings!$B$13)))</f>
        <v/>
      </c>
      <c r="O1392" s="20">
        <f>IF(AND(ISNUMBER(E1392),ISNUMBER(N1392)),E1392-N1392,NA())</f>
        <v/>
      </c>
      <c r="P1392" s="19">
        <f>IF(NOT(ISNUMBER($A1392)),NA(),IF(OR($A1392&lt;MIN(KW_TP!$A$2:$A$2501),$A1392&gt;MAX(KW_TP!$A$2:$A$2501)),NA(),INDEX(KW_TP!$C$2:$C$2501,MATCH($A1392,KW_TP!$A$2:$A$2501,1))))</f>
        <v/>
      </c>
      <c r="Q1392" s="18">
        <f>IF(NOT(ISNUMBER($A1392)),NA(),IFERROR(1*INDEX(BBG_Data!$J$2:$J$4000,MATCH($A1392,BBG_Data!$I$2:$I$4000,0)),NA()))</f>
        <v/>
      </c>
      <c r="R1392" s="18">
        <f>IF(NOT(ISNUMBER($A1392)),NA(),IFERROR(1*INDEX(BBG_Data!$L$2:$L$4000,MATCH($A1392,BBG_Data!$K$2:$K$4000,0)),NA()))</f>
        <v/>
      </c>
      <c r="S1392" s="20">
        <f>IF(AND(ISNUMBER(B1392),ISNUMBER(Q1392),ISNUMBER(R1392)),(B1392-Q1392-R1392)*100,NA())</f>
        <v/>
      </c>
      <c r="T1392" s="20">
        <f>IF(AND(ISNUMBER(B1392),Settings!$B$17&gt;0),IF(ISNUMBER(INDEX($B:$B,Settings!$B$17)),(B1392-INDEX($B:$B,Settings!$B$17))*100,NA()),NA())</f>
        <v/>
      </c>
      <c r="U1392" s="20">
        <f>IF(AND(ISNUMBER(Q1392),Settings!$B$17&gt;0),IF(ISNUMBER(INDEX($Q:$Q,Settings!$B$17)),(Q1392-INDEX($Q:$Q,Settings!$B$17))*100,NA()),NA())</f>
        <v/>
      </c>
      <c r="V1392" s="20">
        <f>IF(AND(ISNUMBER(R1392),Settings!$B$17&gt;0),IF(ISNUMBER(INDEX($R:$R,Settings!$B$17)),(R1392-INDEX($R:$R,Settings!$B$17))*100,NA()),NA())</f>
        <v/>
      </c>
      <c r="W1392" s="20">
        <f>IF(AND(ISNUMBER(P1392),Settings!$B$17&gt;0),IF(ISNUMBER(INDEX($P:$P,Settings!$B$17)),P1392-INDEX($P:$P,Settings!$B$17),NA()),NA())</f>
        <v/>
      </c>
      <c r="X1392" s="19">
        <f>IF(NOT(ISNUMBER($A1392)),NA(),IF(OR($A1392&lt;MIN(DKW_10Y!$A$2:$A$2918),$A1392&gt;MAX(DKW_10Y!$A$2:$A$2918),Settings!$B$16&lt;MIN(DKW_10Y!$A$2:$A$2918)),NA(),(INDEX(DKW_10Y!$B$2:$B$2918,MATCH($A1392,DKW_10Y!$A$2:$A$2918,1))-INDEX(DKW_10Y!$B$2:$B$2918,MATCH(Settings!$B$16,DKW_10Y!$A$2:$A$2918,1)))*100))</f>
        <v/>
      </c>
      <c r="Y1392" s="19">
        <f>IF(NOT(ISNUMBER($A1392)),NA(),IF(OR($A1392&lt;MIN(DKW_10Y!$A$2:$A$2918),$A1392&gt;MAX(DKW_10Y!$A$2:$A$2918),Settings!$B$16&lt;MIN(DKW_10Y!$A$2:$A$2918)),NA(),(INDEX(DKW_10Y!$C$2:$C$2918,MATCH($A1392,DKW_10Y!$A$2:$A$2918,1))-INDEX(DKW_10Y!$C$2:$C$2918,MATCH(Settings!$B$16,DKW_10Y!$A$2:$A$2918,1)))*100))</f>
        <v/>
      </c>
      <c r="Z1392" s="19">
        <f>IF(NOT(ISNUMBER($A1392)),NA(),IF(OR($A1392&lt;MIN(DKW_10Y!$A$2:$A$2918),$A1392&gt;MAX(DKW_10Y!$A$2:$A$2918),Settings!$B$16&lt;MIN(DKW_10Y!$A$2:$A$2918)),NA(),(INDEX(DKW_10Y!$D$2:$D$2918,MATCH($A1392,DKW_10Y!$A$2:$A$2918,1))-INDEX(DKW_10Y!$D$2:$D$2918,MATCH(Settings!$B$16,DKW_10Y!$A$2:$A$2918,1)))*100))</f>
        <v/>
      </c>
      <c r="AA1392" s="19">
        <f>IF(NOT(ISNUMBER($A1392)),NA(),IF(OR($A1392&lt;MIN(DKW_10Y!$A$2:$A$2918),$A1392&gt;MAX(DKW_10Y!$A$2:$A$2918),Settings!$B$16&lt;MIN(DKW_10Y!$A$2:$A$2918)),NA(),(INDEX(DKW_10Y!$E$2:$E$2918,MATCH($A1392,DKW_10Y!$A$2:$A$2918,1))-INDEX(DKW_10Y!$E$2:$E$2918,MATCH(Settings!$B$16,DKW_10Y!$A$2:$A$2918,1)))*100))</f>
        <v/>
      </c>
      <c r="AB1392" s="19">
        <f>IF(NOT(ISNUMBER($A1392)),NA(),IF(OR($A1392&lt;MIN(DKW_10Y!$A$2:$A$2918),$A1392&gt;MAX(DKW_10Y!$A$2:$A$2918),Settings!$B$16&lt;MIN(DKW_10Y!$A$2:$A$2918)),NA(),(INDEX(DKW_10Y!$H$2:$H$2918,MATCH($A1392,DKW_10Y!$A$2:$A$2918,1))-INDEX(DKW_10Y!$H$2:$H$2918,MATCH(Settings!$B$16,DKW_10Y!$A$2:$A$2918,1)))*100))</f>
        <v/>
      </c>
      <c r="AC1392" s="18">
        <f>IF(NOT(ISNUMBER($A1392)),NA(),IFERROR(1*INDEX(BBG_Data!$N$2:$N$4000,MATCH($A1392,BBG_Data!$M$2:$M$4000,0)),NA()))</f>
        <v/>
      </c>
      <c r="AD1392" s="18">
        <f>IF(NOT(ISNUMBER($A1392)),NA(),IFERROR(1*INDEX(BBG_Data!$P$2:$P$4000,MATCH($A1392,BBG_Data!$O$2:$O$4000,0)),NA()))</f>
        <v/>
      </c>
      <c r="AE1392" s="18">
        <f>IF(NOT(ISNUMBER($A1392)),NA(),IFERROR(1*INDEX(BBG_Data!$R$2:$R$4000,MATCH($A1392,BBG_Data!$Q$2:$Q$4000,0)),NA()))</f>
        <v/>
      </c>
      <c r="AF1392" s="20">
        <f>IF(AND(ISNUMBER(B1392),ISNUMBER(AC1392)),(B1392-AC1392)*100,NA())</f>
        <v/>
      </c>
      <c r="AG1392" s="20">
        <f>IF(AND(ISNUMBER(AE1392),ISNUMBER(AD1392)),(AE1392-AD1392)*100,NA())</f>
        <v/>
      </c>
      <c r="AH1392" s="19">
        <f>IF(NOT(ISNUMBER($A1392)),NA(),IFERROR(INDEX(BBG_Data!$T$2:$T$4000,MATCH($A1392,BBG_Data!$S$2:$S$4000,0))*Settings!$B$25,NA()))</f>
        <v/>
      </c>
      <c r="AI1392" s="19">
        <f>IF(NOT(ISNUMBER($A1392)),NA(),IFERROR(INDEX(BBG_Data!$V$2:$V$4000,MATCH($A1392,BBG_Data!$U$2:$U$4000,0))*Settings!$B$25,NA()))</f>
        <v/>
      </c>
      <c r="AJ1392" s="19">
        <f>IF(NOT(ISNUMBER($A1392)),NA(),IFERROR(1*INDEX(BBG_Data!$X$2:$X$4000,MATCH($A1392,BBG_Data!$W$2:$W$4000,0)),NA()))</f>
        <v/>
      </c>
      <c r="AK1392" s="19">
        <f>IF(NOT(ISNUMBER($A1392)),NA(),IFERROR(1*INDEX(BBG_Data!$Z$2:$Z$4000,MATCH($A1392,BBG_Data!$Y$2:$Y$4000,0)),NA()))</f>
        <v/>
      </c>
    </row>
    <row r="1393">
      <c r="A1393" s="17">
        <f>IF(ISNUMBER(BBG_Data!A1393),BBG_Data!A1393,"")</f>
        <v/>
      </c>
      <c r="B1393" s="18">
        <f>IF(AND(ISNUMBER($A1393),ISNUMBER(BBG_Data!B1393)),BBG_Data!B1393,NA())</f>
        <v/>
      </c>
      <c r="C1393" s="18">
        <f>IF(NOT(ISNUMBER($A1393)),NA(),IFERROR(1*INDEX(BBG_Data!$D$2:$D$4000,MATCH($A1393,BBG_Data!$C$2:$C$4000,0)),NA()))</f>
        <v/>
      </c>
      <c r="D1393" s="19">
        <f>IF(NOT(ISNUMBER($A1393)),NA(),IFERROR(1*INDEX(BBG_Data!$F$2:$F$4000,MATCH($A1393,BBG_Data!$E$2:$E$4000,0)),NA()))</f>
        <v/>
      </c>
      <c r="E1393" s="19">
        <f>IF(NOT(ISNUMBER($A1393)),NA(),IFERROR(1*INDEX(BBG_Data!$H$2:$H$4000,MATCH($A1393,BBG_Data!$G$2:$G$4000,0)),NA()))</f>
        <v/>
      </c>
      <c r="F1393" s="20">
        <f>IF(AND(ISNUMBER(B1393),ISNUMBER(B1392)),IF(B1393=B1392,"",(B1393-B1392)*100),"")</f>
        <v/>
      </c>
      <c r="G1393" s="20">
        <f>IF(AND(ISNUMBER(C1393),ISNUMBER(C1392)),IF(C1393=C1392,"",(C1393-C1392)*100),"")</f>
        <v/>
      </c>
      <c r="H1393" s="20">
        <f>IF(OR(NOT(ISNUMBER($A1393)),ROW()-2&lt;Settings!$B$11),NA(),IF(COUNT(OFFSET(F1393,1-Settings!$B$11,0,Settings!$B$11,1))&lt;ROUNDUP(Settings!$B$11*Settings!$B$26,0),NA(),STDEV(OFFSET(F1393,1-Settings!$B$11,0,Settings!$B$11,1))*SQRT(Settings!$B$13)))</f>
        <v/>
      </c>
      <c r="I1393" s="20">
        <f>IF(OR(NOT(ISNUMBER($A1393)),ROW()-2&lt;Settings!$B$12),NA(),IF(COUNT(OFFSET(F1393,1-Settings!$B$12,0,Settings!$B$12,1))&lt;ROUNDUP(Settings!$B$12*Settings!$B$26,0),NA(),STDEV(OFFSET(F1393,1-Settings!$B$12,0,Settings!$B$12,1))*SQRT(Settings!$B$13)))</f>
        <v/>
      </c>
      <c r="J1393" s="20">
        <f>IF(OR(NOT(ISNUMBER($A1393)),ROW()-2&lt;Settings!$B$11),NA(),IF(COUNT(OFFSET(G1393,1-Settings!$B$11,0,Settings!$B$11,1))&lt;ROUNDUP(Settings!$B$11*Settings!$B$26,0),NA(),STDEV(OFFSET(G1393,1-Settings!$B$11,0,Settings!$B$11,1))*SQRT(Settings!$B$13)))</f>
        <v/>
      </c>
      <c r="K1393" s="20">
        <f>IF(OR(NOT(ISNUMBER($A1393)),ROW()-2&lt;Settings!$B$12),NA(),IF(COUNT(OFFSET(G1393,1-Settings!$B$12,0,Settings!$B$12,1))&lt;ROUNDUP(Settings!$B$12*Settings!$B$26,0),NA(),STDEV(OFFSET(G1393,1-Settings!$B$12,0,Settings!$B$12,1))*SQRT(Settings!$B$13)))</f>
        <v/>
      </c>
      <c r="L1393" s="20">
        <f>IF(AND(ISNUMBER(D1393),ISNUMBER(H1393)),D1393-H1393,NA())</f>
        <v/>
      </c>
      <c r="M1393" s="20">
        <f>IF(AND(ISNUMBER(E1393),ISNUMBER(K1393)),E1393-K1393,NA())</f>
        <v/>
      </c>
      <c r="N1393" s="20">
        <f>IF(NOT(ISNUMBER($A1393)),NA(),IF(COUNT(OFFSET(G1393,1,0,Settings!$B$12,1))&lt;ROUNDUP(Settings!$B$12*Settings!$B$26,0),NA(),STDEV(OFFSET(G1393,1,0,Settings!$B$12,1))*SQRT(Settings!$B$13)))</f>
        <v/>
      </c>
      <c r="O1393" s="20">
        <f>IF(AND(ISNUMBER(E1393),ISNUMBER(N1393)),E1393-N1393,NA())</f>
        <v/>
      </c>
      <c r="P1393" s="19">
        <f>IF(NOT(ISNUMBER($A1393)),NA(),IF(OR($A1393&lt;MIN(KW_TP!$A$2:$A$2501),$A1393&gt;MAX(KW_TP!$A$2:$A$2501)),NA(),INDEX(KW_TP!$C$2:$C$2501,MATCH($A1393,KW_TP!$A$2:$A$2501,1))))</f>
        <v/>
      </c>
      <c r="Q1393" s="18">
        <f>IF(NOT(ISNUMBER($A1393)),NA(),IFERROR(1*INDEX(BBG_Data!$J$2:$J$4000,MATCH($A1393,BBG_Data!$I$2:$I$4000,0)),NA()))</f>
        <v/>
      </c>
      <c r="R1393" s="18">
        <f>IF(NOT(ISNUMBER($A1393)),NA(),IFERROR(1*INDEX(BBG_Data!$L$2:$L$4000,MATCH($A1393,BBG_Data!$K$2:$K$4000,0)),NA()))</f>
        <v/>
      </c>
      <c r="S1393" s="20">
        <f>IF(AND(ISNUMBER(B1393),ISNUMBER(Q1393),ISNUMBER(R1393)),(B1393-Q1393-R1393)*100,NA())</f>
        <v/>
      </c>
      <c r="T1393" s="20">
        <f>IF(AND(ISNUMBER(B1393),Settings!$B$17&gt;0),IF(ISNUMBER(INDEX($B:$B,Settings!$B$17)),(B1393-INDEX($B:$B,Settings!$B$17))*100,NA()),NA())</f>
        <v/>
      </c>
      <c r="U1393" s="20">
        <f>IF(AND(ISNUMBER(Q1393),Settings!$B$17&gt;0),IF(ISNUMBER(INDEX($Q:$Q,Settings!$B$17)),(Q1393-INDEX($Q:$Q,Settings!$B$17))*100,NA()),NA())</f>
        <v/>
      </c>
      <c r="V1393" s="20">
        <f>IF(AND(ISNUMBER(R1393),Settings!$B$17&gt;0),IF(ISNUMBER(INDEX($R:$R,Settings!$B$17)),(R1393-INDEX($R:$R,Settings!$B$17))*100,NA()),NA())</f>
        <v/>
      </c>
      <c r="W1393" s="20">
        <f>IF(AND(ISNUMBER(P1393),Settings!$B$17&gt;0),IF(ISNUMBER(INDEX($P:$P,Settings!$B$17)),P1393-INDEX($P:$P,Settings!$B$17),NA()),NA())</f>
        <v/>
      </c>
      <c r="X1393" s="19">
        <f>IF(NOT(ISNUMBER($A1393)),NA(),IF(OR($A1393&lt;MIN(DKW_10Y!$A$2:$A$2918),$A1393&gt;MAX(DKW_10Y!$A$2:$A$2918),Settings!$B$16&lt;MIN(DKW_10Y!$A$2:$A$2918)),NA(),(INDEX(DKW_10Y!$B$2:$B$2918,MATCH($A1393,DKW_10Y!$A$2:$A$2918,1))-INDEX(DKW_10Y!$B$2:$B$2918,MATCH(Settings!$B$16,DKW_10Y!$A$2:$A$2918,1)))*100))</f>
        <v/>
      </c>
      <c r="Y1393" s="19">
        <f>IF(NOT(ISNUMBER($A1393)),NA(),IF(OR($A1393&lt;MIN(DKW_10Y!$A$2:$A$2918),$A1393&gt;MAX(DKW_10Y!$A$2:$A$2918),Settings!$B$16&lt;MIN(DKW_10Y!$A$2:$A$2918)),NA(),(INDEX(DKW_10Y!$C$2:$C$2918,MATCH($A1393,DKW_10Y!$A$2:$A$2918,1))-INDEX(DKW_10Y!$C$2:$C$2918,MATCH(Settings!$B$16,DKW_10Y!$A$2:$A$2918,1)))*100))</f>
        <v/>
      </c>
      <c r="Z1393" s="19">
        <f>IF(NOT(ISNUMBER($A1393)),NA(),IF(OR($A1393&lt;MIN(DKW_10Y!$A$2:$A$2918),$A1393&gt;MAX(DKW_10Y!$A$2:$A$2918),Settings!$B$16&lt;MIN(DKW_10Y!$A$2:$A$2918)),NA(),(INDEX(DKW_10Y!$D$2:$D$2918,MATCH($A1393,DKW_10Y!$A$2:$A$2918,1))-INDEX(DKW_10Y!$D$2:$D$2918,MATCH(Settings!$B$16,DKW_10Y!$A$2:$A$2918,1)))*100))</f>
        <v/>
      </c>
      <c r="AA1393" s="19">
        <f>IF(NOT(ISNUMBER($A1393)),NA(),IF(OR($A1393&lt;MIN(DKW_10Y!$A$2:$A$2918),$A1393&gt;MAX(DKW_10Y!$A$2:$A$2918),Settings!$B$16&lt;MIN(DKW_10Y!$A$2:$A$2918)),NA(),(INDEX(DKW_10Y!$E$2:$E$2918,MATCH($A1393,DKW_10Y!$A$2:$A$2918,1))-INDEX(DKW_10Y!$E$2:$E$2918,MATCH(Settings!$B$16,DKW_10Y!$A$2:$A$2918,1)))*100))</f>
        <v/>
      </c>
      <c r="AB1393" s="19">
        <f>IF(NOT(ISNUMBER($A1393)),NA(),IF(OR($A1393&lt;MIN(DKW_10Y!$A$2:$A$2918),$A1393&gt;MAX(DKW_10Y!$A$2:$A$2918),Settings!$B$16&lt;MIN(DKW_10Y!$A$2:$A$2918)),NA(),(INDEX(DKW_10Y!$H$2:$H$2918,MATCH($A1393,DKW_10Y!$A$2:$A$2918,1))-INDEX(DKW_10Y!$H$2:$H$2918,MATCH(Settings!$B$16,DKW_10Y!$A$2:$A$2918,1)))*100))</f>
        <v/>
      </c>
      <c r="AC1393" s="18">
        <f>IF(NOT(ISNUMBER($A1393)),NA(),IFERROR(1*INDEX(BBG_Data!$N$2:$N$4000,MATCH($A1393,BBG_Data!$M$2:$M$4000,0)),NA()))</f>
        <v/>
      </c>
      <c r="AD1393" s="18">
        <f>IF(NOT(ISNUMBER($A1393)),NA(),IFERROR(1*INDEX(BBG_Data!$P$2:$P$4000,MATCH($A1393,BBG_Data!$O$2:$O$4000,0)),NA()))</f>
        <v/>
      </c>
      <c r="AE1393" s="18">
        <f>IF(NOT(ISNUMBER($A1393)),NA(),IFERROR(1*INDEX(BBG_Data!$R$2:$R$4000,MATCH($A1393,BBG_Data!$Q$2:$Q$4000,0)),NA()))</f>
        <v/>
      </c>
      <c r="AF1393" s="20">
        <f>IF(AND(ISNUMBER(B1393),ISNUMBER(AC1393)),(B1393-AC1393)*100,NA())</f>
        <v/>
      </c>
      <c r="AG1393" s="20">
        <f>IF(AND(ISNUMBER(AE1393),ISNUMBER(AD1393)),(AE1393-AD1393)*100,NA())</f>
        <v/>
      </c>
      <c r="AH1393" s="19">
        <f>IF(NOT(ISNUMBER($A1393)),NA(),IFERROR(INDEX(BBG_Data!$T$2:$T$4000,MATCH($A1393,BBG_Data!$S$2:$S$4000,0))*Settings!$B$25,NA()))</f>
        <v/>
      </c>
      <c r="AI1393" s="19">
        <f>IF(NOT(ISNUMBER($A1393)),NA(),IFERROR(INDEX(BBG_Data!$V$2:$V$4000,MATCH($A1393,BBG_Data!$U$2:$U$4000,0))*Settings!$B$25,NA()))</f>
        <v/>
      </c>
      <c r="AJ1393" s="19">
        <f>IF(NOT(ISNUMBER($A1393)),NA(),IFERROR(1*INDEX(BBG_Data!$X$2:$X$4000,MATCH($A1393,BBG_Data!$W$2:$W$4000,0)),NA()))</f>
        <v/>
      </c>
      <c r="AK1393" s="19">
        <f>IF(NOT(ISNUMBER($A1393)),NA(),IFERROR(1*INDEX(BBG_Data!$Z$2:$Z$4000,MATCH($A1393,BBG_Data!$Y$2:$Y$4000,0)),NA()))</f>
        <v/>
      </c>
    </row>
    <row r="1394">
      <c r="A1394" s="17">
        <f>IF(ISNUMBER(BBG_Data!A1394),BBG_Data!A1394,"")</f>
        <v/>
      </c>
      <c r="B1394" s="18">
        <f>IF(AND(ISNUMBER($A1394),ISNUMBER(BBG_Data!B1394)),BBG_Data!B1394,NA())</f>
        <v/>
      </c>
      <c r="C1394" s="18">
        <f>IF(NOT(ISNUMBER($A1394)),NA(),IFERROR(1*INDEX(BBG_Data!$D$2:$D$4000,MATCH($A1394,BBG_Data!$C$2:$C$4000,0)),NA()))</f>
        <v/>
      </c>
      <c r="D1394" s="19">
        <f>IF(NOT(ISNUMBER($A1394)),NA(),IFERROR(1*INDEX(BBG_Data!$F$2:$F$4000,MATCH($A1394,BBG_Data!$E$2:$E$4000,0)),NA()))</f>
        <v/>
      </c>
      <c r="E1394" s="19">
        <f>IF(NOT(ISNUMBER($A1394)),NA(),IFERROR(1*INDEX(BBG_Data!$H$2:$H$4000,MATCH($A1394,BBG_Data!$G$2:$G$4000,0)),NA()))</f>
        <v/>
      </c>
      <c r="F1394" s="20">
        <f>IF(AND(ISNUMBER(B1394),ISNUMBER(B1393)),IF(B1394=B1393,"",(B1394-B1393)*100),"")</f>
        <v/>
      </c>
      <c r="G1394" s="20">
        <f>IF(AND(ISNUMBER(C1394),ISNUMBER(C1393)),IF(C1394=C1393,"",(C1394-C1393)*100),"")</f>
        <v/>
      </c>
      <c r="H1394" s="20">
        <f>IF(OR(NOT(ISNUMBER($A1394)),ROW()-2&lt;Settings!$B$11),NA(),IF(COUNT(OFFSET(F1394,1-Settings!$B$11,0,Settings!$B$11,1))&lt;ROUNDUP(Settings!$B$11*Settings!$B$26,0),NA(),STDEV(OFFSET(F1394,1-Settings!$B$11,0,Settings!$B$11,1))*SQRT(Settings!$B$13)))</f>
        <v/>
      </c>
      <c r="I1394" s="20">
        <f>IF(OR(NOT(ISNUMBER($A1394)),ROW()-2&lt;Settings!$B$12),NA(),IF(COUNT(OFFSET(F1394,1-Settings!$B$12,0,Settings!$B$12,1))&lt;ROUNDUP(Settings!$B$12*Settings!$B$26,0),NA(),STDEV(OFFSET(F1394,1-Settings!$B$12,0,Settings!$B$12,1))*SQRT(Settings!$B$13)))</f>
        <v/>
      </c>
      <c r="J1394" s="20">
        <f>IF(OR(NOT(ISNUMBER($A1394)),ROW()-2&lt;Settings!$B$11),NA(),IF(COUNT(OFFSET(G1394,1-Settings!$B$11,0,Settings!$B$11,1))&lt;ROUNDUP(Settings!$B$11*Settings!$B$26,0),NA(),STDEV(OFFSET(G1394,1-Settings!$B$11,0,Settings!$B$11,1))*SQRT(Settings!$B$13)))</f>
        <v/>
      </c>
      <c r="K1394" s="20">
        <f>IF(OR(NOT(ISNUMBER($A1394)),ROW()-2&lt;Settings!$B$12),NA(),IF(COUNT(OFFSET(G1394,1-Settings!$B$12,0,Settings!$B$12,1))&lt;ROUNDUP(Settings!$B$12*Settings!$B$26,0),NA(),STDEV(OFFSET(G1394,1-Settings!$B$12,0,Settings!$B$12,1))*SQRT(Settings!$B$13)))</f>
        <v/>
      </c>
      <c r="L1394" s="20">
        <f>IF(AND(ISNUMBER(D1394),ISNUMBER(H1394)),D1394-H1394,NA())</f>
        <v/>
      </c>
      <c r="M1394" s="20">
        <f>IF(AND(ISNUMBER(E1394),ISNUMBER(K1394)),E1394-K1394,NA())</f>
        <v/>
      </c>
      <c r="N1394" s="20">
        <f>IF(NOT(ISNUMBER($A1394)),NA(),IF(COUNT(OFFSET(G1394,1,0,Settings!$B$12,1))&lt;ROUNDUP(Settings!$B$12*Settings!$B$26,0),NA(),STDEV(OFFSET(G1394,1,0,Settings!$B$12,1))*SQRT(Settings!$B$13)))</f>
        <v/>
      </c>
      <c r="O1394" s="20">
        <f>IF(AND(ISNUMBER(E1394),ISNUMBER(N1394)),E1394-N1394,NA())</f>
        <v/>
      </c>
      <c r="P1394" s="19">
        <f>IF(NOT(ISNUMBER($A1394)),NA(),IF(OR($A1394&lt;MIN(KW_TP!$A$2:$A$2501),$A1394&gt;MAX(KW_TP!$A$2:$A$2501)),NA(),INDEX(KW_TP!$C$2:$C$2501,MATCH($A1394,KW_TP!$A$2:$A$2501,1))))</f>
        <v/>
      </c>
      <c r="Q1394" s="18">
        <f>IF(NOT(ISNUMBER($A1394)),NA(),IFERROR(1*INDEX(BBG_Data!$J$2:$J$4000,MATCH($A1394,BBG_Data!$I$2:$I$4000,0)),NA()))</f>
        <v/>
      </c>
      <c r="R1394" s="18">
        <f>IF(NOT(ISNUMBER($A1394)),NA(),IFERROR(1*INDEX(BBG_Data!$L$2:$L$4000,MATCH($A1394,BBG_Data!$K$2:$K$4000,0)),NA()))</f>
        <v/>
      </c>
      <c r="S1394" s="20">
        <f>IF(AND(ISNUMBER(B1394),ISNUMBER(Q1394),ISNUMBER(R1394)),(B1394-Q1394-R1394)*100,NA())</f>
        <v/>
      </c>
      <c r="T1394" s="20">
        <f>IF(AND(ISNUMBER(B1394),Settings!$B$17&gt;0),IF(ISNUMBER(INDEX($B:$B,Settings!$B$17)),(B1394-INDEX($B:$B,Settings!$B$17))*100,NA()),NA())</f>
        <v/>
      </c>
      <c r="U1394" s="20">
        <f>IF(AND(ISNUMBER(Q1394),Settings!$B$17&gt;0),IF(ISNUMBER(INDEX($Q:$Q,Settings!$B$17)),(Q1394-INDEX($Q:$Q,Settings!$B$17))*100,NA()),NA())</f>
        <v/>
      </c>
      <c r="V1394" s="20">
        <f>IF(AND(ISNUMBER(R1394),Settings!$B$17&gt;0),IF(ISNUMBER(INDEX($R:$R,Settings!$B$17)),(R1394-INDEX($R:$R,Settings!$B$17))*100,NA()),NA())</f>
        <v/>
      </c>
      <c r="W1394" s="20">
        <f>IF(AND(ISNUMBER(P1394),Settings!$B$17&gt;0),IF(ISNUMBER(INDEX($P:$P,Settings!$B$17)),P1394-INDEX($P:$P,Settings!$B$17),NA()),NA())</f>
        <v/>
      </c>
      <c r="X1394" s="19">
        <f>IF(NOT(ISNUMBER($A1394)),NA(),IF(OR($A1394&lt;MIN(DKW_10Y!$A$2:$A$2918),$A1394&gt;MAX(DKW_10Y!$A$2:$A$2918),Settings!$B$16&lt;MIN(DKW_10Y!$A$2:$A$2918)),NA(),(INDEX(DKW_10Y!$B$2:$B$2918,MATCH($A1394,DKW_10Y!$A$2:$A$2918,1))-INDEX(DKW_10Y!$B$2:$B$2918,MATCH(Settings!$B$16,DKW_10Y!$A$2:$A$2918,1)))*100))</f>
        <v/>
      </c>
      <c r="Y1394" s="19">
        <f>IF(NOT(ISNUMBER($A1394)),NA(),IF(OR($A1394&lt;MIN(DKW_10Y!$A$2:$A$2918),$A1394&gt;MAX(DKW_10Y!$A$2:$A$2918),Settings!$B$16&lt;MIN(DKW_10Y!$A$2:$A$2918)),NA(),(INDEX(DKW_10Y!$C$2:$C$2918,MATCH($A1394,DKW_10Y!$A$2:$A$2918,1))-INDEX(DKW_10Y!$C$2:$C$2918,MATCH(Settings!$B$16,DKW_10Y!$A$2:$A$2918,1)))*100))</f>
        <v/>
      </c>
      <c r="Z1394" s="19">
        <f>IF(NOT(ISNUMBER($A1394)),NA(),IF(OR($A1394&lt;MIN(DKW_10Y!$A$2:$A$2918),$A1394&gt;MAX(DKW_10Y!$A$2:$A$2918),Settings!$B$16&lt;MIN(DKW_10Y!$A$2:$A$2918)),NA(),(INDEX(DKW_10Y!$D$2:$D$2918,MATCH($A1394,DKW_10Y!$A$2:$A$2918,1))-INDEX(DKW_10Y!$D$2:$D$2918,MATCH(Settings!$B$16,DKW_10Y!$A$2:$A$2918,1)))*100))</f>
        <v/>
      </c>
      <c r="AA1394" s="19">
        <f>IF(NOT(ISNUMBER($A1394)),NA(),IF(OR($A1394&lt;MIN(DKW_10Y!$A$2:$A$2918),$A1394&gt;MAX(DKW_10Y!$A$2:$A$2918),Settings!$B$16&lt;MIN(DKW_10Y!$A$2:$A$2918)),NA(),(INDEX(DKW_10Y!$E$2:$E$2918,MATCH($A1394,DKW_10Y!$A$2:$A$2918,1))-INDEX(DKW_10Y!$E$2:$E$2918,MATCH(Settings!$B$16,DKW_10Y!$A$2:$A$2918,1)))*100))</f>
        <v/>
      </c>
      <c r="AB1394" s="19">
        <f>IF(NOT(ISNUMBER($A1394)),NA(),IF(OR($A1394&lt;MIN(DKW_10Y!$A$2:$A$2918),$A1394&gt;MAX(DKW_10Y!$A$2:$A$2918),Settings!$B$16&lt;MIN(DKW_10Y!$A$2:$A$2918)),NA(),(INDEX(DKW_10Y!$H$2:$H$2918,MATCH($A1394,DKW_10Y!$A$2:$A$2918,1))-INDEX(DKW_10Y!$H$2:$H$2918,MATCH(Settings!$B$16,DKW_10Y!$A$2:$A$2918,1)))*100))</f>
        <v/>
      </c>
      <c r="AC1394" s="18">
        <f>IF(NOT(ISNUMBER($A1394)),NA(),IFERROR(1*INDEX(BBG_Data!$N$2:$N$4000,MATCH($A1394,BBG_Data!$M$2:$M$4000,0)),NA()))</f>
        <v/>
      </c>
      <c r="AD1394" s="18">
        <f>IF(NOT(ISNUMBER($A1394)),NA(),IFERROR(1*INDEX(BBG_Data!$P$2:$P$4000,MATCH($A1394,BBG_Data!$O$2:$O$4000,0)),NA()))</f>
        <v/>
      </c>
      <c r="AE1394" s="18">
        <f>IF(NOT(ISNUMBER($A1394)),NA(),IFERROR(1*INDEX(BBG_Data!$R$2:$R$4000,MATCH($A1394,BBG_Data!$Q$2:$Q$4000,0)),NA()))</f>
        <v/>
      </c>
      <c r="AF1394" s="20">
        <f>IF(AND(ISNUMBER(B1394),ISNUMBER(AC1394)),(B1394-AC1394)*100,NA())</f>
        <v/>
      </c>
      <c r="AG1394" s="20">
        <f>IF(AND(ISNUMBER(AE1394),ISNUMBER(AD1394)),(AE1394-AD1394)*100,NA())</f>
        <v/>
      </c>
      <c r="AH1394" s="19">
        <f>IF(NOT(ISNUMBER($A1394)),NA(),IFERROR(INDEX(BBG_Data!$T$2:$T$4000,MATCH($A1394,BBG_Data!$S$2:$S$4000,0))*Settings!$B$25,NA()))</f>
        <v/>
      </c>
      <c r="AI1394" s="19">
        <f>IF(NOT(ISNUMBER($A1394)),NA(),IFERROR(INDEX(BBG_Data!$V$2:$V$4000,MATCH($A1394,BBG_Data!$U$2:$U$4000,0))*Settings!$B$25,NA()))</f>
        <v/>
      </c>
      <c r="AJ1394" s="19">
        <f>IF(NOT(ISNUMBER($A1394)),NA(),IFERROR(1*INDEX(BBG_Data!$X$2:$X$4000,MATCH($A1394,BBG_Data!$W$2:$W$4000,0)),NA()))</f>
        <v/>
      </c>
      <c r="AK1394" s="19">
        <f>IF(NOT(ISNUMBER($A1394)),NA(),IFERROR(1*INDEX(BBG_Data!$Z$2:$Z$4000,MATCH($A1394,BBG_Data!$Y$2:$Y$4000,0)),NA()))</f>
        <v/>
      </c>
    </row>
    <row r="1395">
      <c r="A1395" s="17">
        <f>IF(ISNUMBER(BBG_Data!A1395),BBG_Data!A1395,"")</f>
        <v/>
      </c>
      <c r="B1395" s="18">
        <f>IF(AND(ISNUMBER($A1395),ISNUMBER(BBG_Data!B1395)),BBG_Data!B1395,NA())</f>
        <v/>
      </c>
      <c r="C1395" s="18">
        <f>IF(NOT(ISNUMBER($A1395)),NA(),IFERROR(1*INDEX(BBG_Data!$D$2:$D$4000,MATCH($A1395,BBG_Data!$C$2:$C$4000,0)),NA()))</f>
        <v/>
      </c>
      <c r="D1395" s="19">
        <f>IF(NOT(ISNUMBER($A1395)),NA(),IFERROR(1*INDEX(BBG_Data!$F$2:$F$4000,MATCH($A1395,BBG_Data!$E$2:$E$4000,0)),NA()))</f>
        <v/>
      </c>
      <c r="E1395" s="19">
        <f>IF(NOT(ISNUMBER($A1395)),NA(),IFERROR(1*INDEX(BBG_Data!$H$2:$H$4000,MATCH($A1395,BBG_Data!$G$2:$G$4000,0)),NA()))</f>
        <v/>
      </c>
      <c r="F1395" s="20">
        <f>IF(AND(ISNUMBER(B1395),ISNUMBER(B1394)),IF(B1395=B1394,"",(B1395-B1394)*100),"")</f>
        <v/>
      </c>
      <c r="G1395" s="20">
        <f>IF(AND(ISNUMBER(C1395),ISNUMBER(C1394)),IF(C1395=C1394,"",(C1395-C1394)*100),"")</f>
        <v/>
      </c>
      <c r="H1395" s="20">
        <f>IF(OR(NOT(ISNUMBER($A1395)),ROW()-2&lt;Settings!$B$11),NA(),IF(COUNT(OFFSET(F1395,1-Settings!$B$11,0,Settings!$B$11,1))&lt;ROUNDUP(Settings!$B$11*Settings!$B$26,0),NA(),STDEV(OFFSET(F1395,1-Settings!$B$11,0,Settings!$B$11,1))*SQRT(Settings!$B$13)))</f>
        <v/>
      </c>
      <c r="I1395" s="20">
        <f>IF(OR(NOT(ISNUMBER($A1395)),ROW()-2&lt;Settings!$B$12),NA(),IF(COUNT(OFFSET(F1395,1-Settings!$B$12,0,Settings!$B$12,1))&lt;ROUNDUP(Settings!$B$12*Settings!$B$26,0),NA(),STDEV(OFFSET(F1395,1-Settings!$B$12,0,Settings!$B$12,1))*SQRT(Settings!$B$13)))</f>
        <v/>
      </c>
      <c r="J1395" s="20">
        <f>IF(OR(NOT(ISNUMBER($A1395)),ROW()-2&lt;Settings!$B$11),NA(),IF(COUNT(OFFSET(G1395,1-Settings!$B$11,0,Settings!$B$11,1))&lt;ROUNDUP(Settings!$B$11*Settings!$B$26,0),NA(),STDEV(OFFSET(G1395,1-Settings!$B$11,0,Settings!$B$11,1))*SQRT(Settings!$B$13)))</f>
        <v/>
      </c>
      <c r="K1395" s="20">
        <f>IF(OR(NOT(ISNUMBER($A1395)),ROW()-2&lt;Settings!$B$12),NA(),IF(COUNT(OFFSET(G1395,1-Settings!$B$12,0,Settings!$B$12,1))&lt;ROUNDUP(Settings!$B$12*Settings!$B$26,0),NA(),STDEV(OFFSET(G1395,1-Settings!$B$12,0,Settings!$B$12,1))*SQRT(Settings!$B$13)))</f>
        <v/>
      </c>
      <c r="L1395" s="20">
        <f>IF(AND(ISNUMBER(D1395),ISNUMBER(H1395)),D1395-H1395,NA())</f>
        <v/>
      </c>
      <c r="M1395" s="20">
        <f>IF(AND(ISNUMBER(E1395),ISNUMBER(K1395)),E1395-K1395,NA())</f>
        <v/>
      </c>
      <c r="N1395" s="20">
        <f>IF(NOT(ISNUMBER($A1395)),NA(),IF(COUNT(OFFSET(G1395,1,0,Settings!$B$12,1))&lt;ROUNDUP(Settings!$B$12*Settings!$B$26,0),NA(),STDEV(OFFSET(G1395,1,0,Settings!$B$12,1))*SQRT(Settings!$B$13)))</f>
        <v/>
      </c>
      <c r="O1395" s="20">
        <f>IF(AND(ISNUMBER(E1395),ISNUMBER(N1395)),E1395-N1395,NA())</f>
        <v/>
      </c>
      <c r="P1395" s="19">
        <f>IF(NOT(ISNUMBER($A1395)),NA(),IF(OR($A1395&lt;MIN(KW_TP!$A$2:$A$2501),$A1395&gt;MAX(KW_TP!$A$2:$A$2501)),NA(),INDEX(KW_TP!$C$2:$C$2501,MATCH($A1395,KW_TP!$A$2:$A$2501,1))))</f>
        <v/>
      </c>
      <c r="Q1395" s="18">
        <f>IF(NOT(ISNUMBER($A1395)),NA(),IFERROR(1*INDEX(BBG_Data!$J$2:$J$4000,MATCH($A1395,BBG_Data!$I$2:$I$4000,0)),NA()))</f>
        <v/>
      </c>
      <c r="R1395" s="18">
        <f>IF(NOT(ISNUMBER($A1395)),NA(),IFERROR(1*INDEX(BBG_Data!$L$2:$L$4000,MATCH($A1395,BBG_Data!$K$2:$K$4000,0)),NA()))</f>
        <v/>
      </c>
      <c r="S1395" s="20">
        <f>IF(AND(ISNUMBER(B1395),ISNUMBER(Q1395),ISNUMBER(R1395)),(B1395-Q1395-R1395)*100,NA())</f>
        <v/>
      </c>
      <c r="T1395" s="20">
        <f>IF(AND(ISNUMBER(B1395),Settings!$B$17&gt;0),IF(ISNUMBER(INDEX($B:$B,Settings!$B$17)),(B1395-INDEX($B:$B,Settings!$B$17))*100,NA()),NA())</f>
        <v/>
      </c>
      <c r="U1395" s="20">
        <f>IF(AND(ISNUMBER(Q1395),Settings!$B$17&gt;0),IF(ISNUMBER(INDEX($Q:$Q,Settings!$B$17)),(Q1395-INDEX($Q:$Q,Settings!$B$17))*100,NA()),NA())</f>
        <v/>
      </c>
      <c r="V1395" s="20">
        <f>IF(AND(ISNUMBER(R1395),Settings!$B$17&gt;0),IF(ISNUMBER(INDEX($R:$R,Settings!$B$17)),(R1395-INDEX($R:$R,Settings!$B$17))*100,NA()),NA())</f>
        <v/>
      </c>
      <c r="W1395" s="20">
        <f>IF(AND(ISNUMBER(P1395),Settings!$B$17&gt;0),IF(ISNUMBER(INDEX($P:$P,Settings!$B$17)),P1395-INDEX($P:$P,Settings!$B$17),NA()),NA())</f>
        <v/>
      </c>
      <c r="X1395" s="19">
        <f>IF(NOT(ISNUMBER($A1395)),NA(),IF(OR($A1395&lt;MIN(DKW_10Y!$A$2:$A$2918),$A1395&gt;MAX(DKW_10Y!$A$2:$A$2918),Settings!$B$16&lt;MIN(DKW_10Y!$A$2:$A$2918)),NA(),(INDEX(DKW_10Y!$B$2:$B$2918,MATCH($A1395,DKW_10Y!$A$2:$A$2918,1))-INDEX(DKW_10Y!$B$2:$B$2918,MATCH(Settings!$B$16,DKW_10Y!$A$2:$A$2918,1)))*100))</f>
        <v/>
      </c>
      <c r="Y1395" s="19">
        <f>IF(NOT(ISNUMBER($A1395)),NA(),IF(OR($A1395&lt;MIN(DKW_10Y!$A$2:$A$2918),$A1395&gt;MAX(DKW_10Y!$A$2:$A$2918),Settings!$B$16&lt;MIN(DKW_10Y!$A$2:$A$2918)),NA(),(INDEX(DKW_10Y!$C$2:$C$2918,MATCH($A1395,DKW_10Y!$A$2:$A$2918,1))-INDEX(DKW_10Y!$C$2:$C$2918,MATCH(Settings!$B$16,DKW_10Y!$A$2:$A$2918,1)))*100))</f>
        <v/>
      </c>
      <c r="Z1395" s="19">
        <f>IF(NOT(ISNUMBER($A1395)),NA(),IF(OR($A1395&lt;MIN(DKW_10Y!$A$2:$A$2918),$A1395&gt;MAX(DKW_10Y!$A$2:$A$2918),Settings!$B$16&lt;MIN(DKW_10Y!$A$2:$A$2918)),NA(),(INDEX(DKW_10Y!$D$2:$D$2918,MATCH($A1395,DKW_10Y!$A$2:$A$2918,1))-INDEX(DKW_10Y!$D$2:$D$2918,MATCH(Settings!$B$16,DKW_10Y!$A$2:$A$2918,1)))*100))</f>
        <v/>
      </c>
      <c r="AA1395" s="19">
        <f>IF(NOT(ISNUMBER($A1395)),NA(),IF(OR($A1395&lt;MIN(DKW_10Y!$A$2:$A$2918),$A1395&gt;MAX(DKW_10Y!$A$2:$A$2918),Settings!$B$16&lt;MIN(DKW_10Y!$A$2:$A$2918)),NA(),(INDEX(DKW_10Y!$E$2:$E$2918,MATCH($A1395,DKW_10Y!$A$2:$A$2918,1))-INDEX(DKW_10Y!$E$2:$E$2918,MATCH(Settings!$B$16,DKW_10Y!$A$2:$A$2918,1)))*100))</f>
        <v/>
      </c>
      <c r="AB1395" s="19">
        <f>IF(NOT(ISNUMBER($A1395)),NA(),IF(OR($A1395&lt;MIN(DKW_10Y!$A$2:$A$2918),$A1395&gt;MAX(DKW_10Y!$A$2:$A$2918),Settings!$B$16&lt;MIN(DKW_10Y!$A$2:$A$2918)),NA(),(INDEX(DKW_10Y!$H$2:$H$2918,MATCH($A1395,DKW_10Y!$A$2:$A$2918,1))-INDEX(DKW_10Y!$H$2:$H$2918,MATCH(Settings!$B$16,DKW_10Y!$A$2:$A$2918,1)))*100))</f>
        <v/>
      </c>
      <c r="AC1395" s="18">
        <f>IF(NOT(ISNUMBER($A1395)),NA(),IFERROR(1*INDEX(BBG_Data!$N$2:$N$4000,MATCH($A1395,BBG_Data!$M$2:$M$4000,0)),NA()))</f>
        <v/>
      </c>
      <c r="AD1395" s="18">
        <f>IF(NOT(ISNUMBER($A1395)),NA(),IFERROR(1*INDEX(BBG_Data!$P$2:$P$4000,MATCH($A1395,BBG_Data!$O$2:$O$4000,0)),NA()))</f>
        <v/>
      </c>
      <c r="AE1395" s="18">
        <f>IF(NOT(ISNUMBER($A1395)),NA(),IFERROR(1*INDEX(BBG_Data!$R$2:$R$4000,MATCH($A1395,BBG_Data!$Q$2:$Q$4000,0)),NA()))</f>
        <v/>
      </c>
      <c r="AF1395" s="20">
        <f>IF(AND(ISNUMBER(B1395),ISNUMBER(AC1395)),(B1395-AC1395)*100,NA())</f>
        <v/>
      </c>
      <c r="AG1395" s="20">
        <f>IF(AND(ISNUMBER(AE1395),ISNUMBER(AD1395)),(AE1395-AD1395)*100,NA())</f>
        <v/>
      </c>
      <c r="AH1395" s="19">
        <f>IF(NOT(ISNUMBER($A1395)),NA(),IFERROR(INDEX(BBG_Data!$T$2:$T$4000,MATCH($A1395,BBG_Data!$S$2:$S$4000,0))*Settings!$B$25,NA()))</f>
        <v/>
      </c>
      <c r="AI1395" s="19">
        <f>IF(NOT(ISNUMBER($A1395)),NA(),IFERROR(INDEX(BBG_Data!$V$2:$V$4000,MATCH($A1395,BBG_Data!$U$2:$U$4000,0))*Settings!$B$25,NA()))</f>
        <v/>
      </c>
      <c r="AJ1395" s="19">
        <f>IF(NOT(ISNUMBER($A1395)),NA(),IFERROR(1*INDEX(BBG_Data!$X$2:$X$4000,MATCH($A1395,BBG_Data!$W$2:$W$4000,0)),NA()))</f>
        <v/>
      </c>
      <c r="AK1395" s="19">
        <f>IF(NOT(ISNUMBER($A1395)),NA(),IFERROR(1*INDEX(BBG_Data!$Z$2:$Z$4000,MATCH($A1395,BBG_Data!$Y$2:$Y$4000,0)),NA()))</f>
        <v/>
      </c>
    </row>
    <row r="1396">
      <c r="A1396" s="17">
        <f>IF(ISNUMBER(BBG_Data!A1396),BBG_Data!A1396,"")</f>
        <v/>
      </c>
      <c r="B1396" s="18">
        <f>IF(AND(ISNUMBER($A1396),ISNUMBER(BBG_Data!B1396)),BBG_Data!B1396,NA())</f>
        <v/>
      </c>
      <c r="C1396" s="18">
        <f>IF(NOT(ISNUMBER($A1396)),NA(),IFERROR(1*INDEX(BBG_Data!$D$2:$D$4000,MATCH($A1396,BBG_Data!$C$2:$C$4000,0)),NA()))</f>
        <v/>
      </c>
      <c r="D1396" s="19">
        <f>IF(NOT(ISNUMBER($A1396)),NA(),IFERROR(1*INDEX(BBG_Data!$F$2:$F$4000,MATCH($A1396,BBG_Data!$E$2:$E$4000,0)),NA()))</f>
        <v/>
      </c>
      <c r="E1396" s="19">
        <f>IF(NOT(ISNUMBER($A1396)),NA(),IFERROR(1*INDEX(BBG_Data!$H$2:$H$4000,MATCH($A1396,BBG_Data!$G$2:$G$4000,0)),NA()))</f>
        <v/>
      </c>
      <c r="F1396" s="20">
        <f>IF(AND(ISNUMBER(B1396),ISNUMBER(B1395)),IF(B1396=B1395,"",(B1396-B1395)*100),"")</f>
        <v/>
      </c>
      <c r="G1396" s="20">
        <f>IF(AND(ISNUMBER(C1396),ISNUMBER(C1395)),IF(C1396=C1395,"",(C1396-C1395)*100),"")</f>
        <v/>
      </c>
      <c r="H1396" s="20">
        <f>IF(OR(NOT(ISNUMBER($A1396)),ROW()-2&lt;Settings!$B$11),NA(),IF(COUNT(OFFSET(F1396,1-Settings!$B$11,0,Settings!$B$11,1))&lt;ROUNDUP(Settings!$B$11*Settings!$B$26,0),NA(),STDEV(OFFSET(F1396,1-Settings!$B$11,0,Settings!$B$11,1))*SQRT(Settings!$B$13)))</f>
        <v/>
      </c>
      <c r="I1396" s="20">
        <f>IF(OR(NOT(ISNUMBER($A1396)),ROW()-2&lt;Settings!$B$12),NA(),IF(COUNT(OFFSET(F1396,1-Settings!$B$12,0,Settings!$B$12,1))&lt;ROUNDUP(Settings!$B$12*Settings!$B$26,0),NA(),STDEV(OFFSET(F1396,1-Settings!$B$12,0,Settings!$B$12,1))*SQRT(Settings!$B$13)))</f>
        <v/>
      </c>
      <c r="J1396" s="20">
        <f>IF(OR(NOT(ISNUMBER($A1396)),ROW()-2&lt;Settings!$B$11),NA(),IF(COUNT(OFFSET(G1396,1-Settings!$B$11,0,Settings!$B$11,1))&lt;ROUNDUP(Settings!$B$11*Settings!$B$26,0),NA(),STDEV(OFFSET(G1396,1-Settings!$B$11,0,Settings!$B$11,1))*SQRT(Settings!$B$13)))</f>
        <v/>
      </c>
      <c r="K1396" s="20">
        <f>IF(OR(NOT(ISNUMBER($A1396)),ROW()-2&lt;Settings!$B$12),NA(),IF(COUNT(OFFSET(G1396,1-Settings!$B$12,0,Settings!$B$12,1))&lt;ROUNDUP(Settings!$B$12*Settings!$B$26,0),NA(),STDEV(OFFSET(G1396,1-Settings!$B$12,0,Settings!$B$12,1))*SQRT(Settings!$B$13)))</f>
        <v/>
      </c>
      <c r="L1396" s="20">
        <f>IF(AND(ISNUMBER(D1396),ISNUMBER(H1396)),D1396-H1396,NA())</f>
        <v/>
      </c>
      <c r="M1396" s="20">
        <f>IF(AND(ISNUMBER(E1396),ISNUMBER(K1396)),E1396-K1396,NA())</f>
        <v/>
      </c>
      <c r="N1396" s="20">
        <f>IF(NOT(ISNUMBER($A1396)),NA(),IF(COUNT(OFFSET(G1396,1,0,Settings!$B$12,1))&lt;ROUNDUP(Settings!$B$12*Settings!$B$26,0),NA(),STDEV(OFFSET(G1396,1,0,Settings!$B$12,1))*SQRT(Settings!$B$13)))</f>
        <v/>
      </c>
      <c r="O1396" s="20">
        <f>IF(AND(ISNUMBER(E1396),ISNUMBER(N1396)),E1396-N1396,NA())</f>
        <v/>
      </c>
      <c r="P1396" s="19">
        <f>IF(NOT(ISNUMBER($A1396)),NA(),IF(OR($A1396&lt;MIN(KW_TP!$A$2:$A$2501),$A1396&gt;MAX(KW_TP!$A$2:$A$2501)),NA(),INDEX(KW_TP!$C$2:$C$2501,MATCH($A1396,KW_TP!$A$2:$A$2501,1))))</f>
        <v/>
      </c>
      <c r="Q1396" s="18">
        <f>IF(NOT(ISNUMBER($A1396)),NA(),IFERROR(1*INDEX(BBG_Data!$J$2:$J$4000,MATCH($A1396,BBG_Data!$I$2:$I$4000,0)),NA()))</f>
        <v/>
      </c>
      <c r="R1396" s="18">
        <f>IF(NOT(ISNUMBER($A1396)),NA(),IFERROR(1*INDEX(BBG_Data!$L$2:$L$4000,MATCH($A1396,BBG_Data!$K$2:$K$4000,0)),NA()))</f>
        <v/>
      </c>
      <c r="S1396" s="20">
        <f>IF(AND(ISNUMBER(B1396),ISNUMBER(Q1396),ISNUMBER(R1396)),(B1396-Q1396-R1396)*100,NA())</f>
        <v/>
      </c>
      <c r="T1396" s="20">
        <f>IF(AND(ISNUMBER(B1396),Settings!$B$17&gt;0),IF(ISNUMBER(INDEX($B:$B,Settings!$B$17)),(B1396-INDEX($B:$B,Settings!$B$17))*100,NA()),NA())</f>
        <v/>
      </c>
      <c r="U1396" s="20">
        <f>IF(AND(ISNUMBER(Q1396),Settings!$B$17&gt;0),IF(ISNUMBER(INDEX($Q:$Q,Settings!$B$17)),(Q1396-INDEX($Q:$Q,Settings!$B$17))*100,NA()),NA())</f>
        <v/>
      </c>
      <c r="V1396" s="20">
        <f>IF(AND(ISNUMBER(R1396),Settings!$B$17&gt;0),IF(ISNUMBER(INDEX($R:$R,Settings!$B$17)),(R1396-INDEX($R:$R,Settings!$B$17))*100,NA()),NA())</f>
        <v/>
      </c>
      <c r="W1396" s="20">
        <f>IF(AND(ISNUMBER(P1396),Settings!$B$17&gt;0),IF(ISNUMBER(INDEX($P:$P,Settings!$B$17)),P1396-INDEX($P:$P,Settings!$B$17),NA()),NA())</f>
        <v/>
      </c>
      <c r="X1396" s="19">
        <f>IF(NOT(ISNUMBER($A1396)),NA(),IF(OR($A1396&lt;MIN(DKW_10Y!$A$2:$A$2918),$A1396&gt;MAX(DKW_10Y!$A$2:$A$2918),Settings!$B$16&lt;MIN(DKW_10Y!$A$2:$A$2918)),NA(),(INDEX(DKW_10Y!$B$2:$B$2918,MATCH($A1396,DKW_10Y!$A$2:$A$2918,1))-INDEX(DKW_10Y!$B$2:$B$2918,MATCH(Settings!$B$16,DKW_10Y!$A$2:$A$2918,1)))*100))</f>
        <v/>
      </c>
      <c r="Y1396" s="19">
        <f>IF(NOT(ISNUMBER($A1396)),NA(),IF(OR($A1396&lt;MIN(DKW_10Y!$A$2:$A$2918),$A1396&gt;MAX(DKW_10Y!$A$2:$A$2918),Settings!$B$16&lt;MIN(DKW_10Y!$A$2:$A$2918)),NA(),(INDEX(DKW_10Y!$C$2:$C$2918,MATCH($A1396,DKW_10Y!$A$2:$A$2918,1))-INDEX(DKW_10Y!$C$2:$C$2918,MATCH(Settings!$B$16,DKW_10Y!$A$2:$A$2918,1)))*100))</f>
        <v/>
      </c>
      <c r="Z1396" s="19">
        <f>IF(NOT(ISNUMBER($A1396)),NA(),IF(OR($A1396&lt;MIN(DKW_10Y!$A$2:$A$2918),$A1396&gt;MAX(DKW_10Y!$A$2:$A$2918),Settings!$B$16&lt;MIN(DKW_10Y!$A$2:$A$2918)),NA(),(INDEX(DKW_10Y!$D$2:$D$2918,MATCH($A1396,DKW_10Y!$A$2:$A$2918,1))-INDEX(DKW_10Y!$D$2:$D$2918,MATCH(Settings!$B$16,DKW_10Y!$A$2:$A$2918,1)))*100))</f>
        <v/>
      </c>
      <c r="AA1396" s="19">
        <f>IF(NOT(ISNUMBER($A1396)),NA(),IF(OR($A1396&lt;MIN(DKW_10Y!$A$2:$A$2918),$A1396&gt;MAX(DKW_10Y!$A$2:$A$2918),Settings!$B$16&lt;MIN(DKW_10Y!$A$2:$A$2918)),NA(),(INDEX(DKW_10Y!$E$2:$E$2918,MATCH($A1396,DKW_10Y!$A$2:$A$2918,1))-INDEX(DKW_10Y!$E$2:$E$2918,MATCH(Settings!$B$16,DKW_10Y!$A$2:$A$2918,1)))*100))</f>
        <v/>
      </c>
      <c r="AB1396" s="19">
        <f>IF(NOT(ISNUMBER($A1396)),NA(),IF(OR($A1396&lt;MIN(DKW_10Y!$A$2:$A$2918),$A1396&gt;MAX(DKW_10Y!$A$2:$A$2918),Settings!$B$16&lt;MIN(DKW_10Y!$A$2:$A$2918)),NA(),(INDEX(DKW_10Y!$H$2:$H$2918,MATCH($A1396,DKW_10Y!$A$2:$A$2918,1))-INDEX(DKW_10Y!$H$2:$H$2918,MATCH(Settings!$B$16,DKW_10Y!$A$2:$A$2918,1)))*100))</f>
        <v/>
      </c>
      <c r="AC1396" s="18">
        <f>IF(NOT(ISNUMBER($A1396)),NA(),IFERROR(1*INDEX(BBG_Data!$N$2:$N$4000,MATCH($A1396,BBG_Data!$M$2:$M$4000,0)),NA()))</f>
        <v/>
      </c>
      <c r="AD1396" s="18">
        <f>IF(NOT(ISNUMBER($A1396)),NA(),IFERROR(1*INDEX(BBG_Data!$P$2:$P$4000,MATCH($A1396,BBG_Data!$O$2:$O$4000,0)),NA()))</f>
        <v/>
      </c>
      <c r="AE1396" s="18">
        <f>IF(NOT(ISNUMBER($A1396)),NA(),IFERROR(1*INDEX(BBG_Data!$R$2:$R$4000,MATCH($A1396,BBG_Data!$Q$2:$Q$4000,0)),NA()))</f>
        <v/>
      </c>
      <c r="AF1396" s="20">
        <f>IF(AND(ISNUMBER(B1396),ISNUMBER(AC1396)),(B1396-AC1396)*100,NA())</f>
        <v/>
      </c>
      <c r="AG1396" s="20">
        <f>IF(AND(ISNUMBER(AE1396),ISNUMBER(AD1396)),(AE1396-AD1396)*100,NA())</f>
        <v/>
      </c>
      <c r="AH1396" s="19">
        <f>IF(NOT(ISNUMBER($A1396)),NA(),IFERROR(INDEX(BBG_Data!$T$2:$T$4000,MATCH($A1396,BBG_Data!$S$2:$S$4000,0))*Settings!$B$25,NA()))</f>
        <v/>
      </c>
      <c r="AI1396" s="19">
        <f>IF(NOT(ISNUMBER($A1396)),NA(),IFERROR(INDEX(BBG_Data!$V$2:$V$4000,MATCH($A1396,BBG_Data!$U$2:$U$4000,0))*Settings!$B$25,NA()))</f>
        <v/>
      </c>
      <c r="AJ1396" s="19">
        <f>IF(NOT(ISNUMBER($A1396)),NA(),IFERROR(1*INDEX(BBG_Data!$X$2:$X$4000,MATCH($A1396,BBG_Data!$W$2:$W$4000,0)),NA()))</f>
        <v/>
      </c>
      <c r="AK1396" s="19">
        <f>IF(NOT(ISNUMBER($A1396)),NA(),IFERROR(1*INDEX(BBG_Data!$Z$2:$Z$4000,MATCH($A1396,BBG_Data!$Y$2:$Y$4000,0)),NA()))</f>
        <v/>
      </c>
    </row>
    <row r="1397">
      <c r="A1397" s="17">
        <f>IF(ISNUMBER(BBG_Data!A1397),BBG_Data!A1397,"")</f>
        <v/>
      </c>
      <c r="B1397" s="18">
        <f>IF(AND(ISNUMBER($A1397),ISNUMBER(BBG_Data!B1397)),BBG_Data!B1397,NA())</f>
        <v/>
      </c>
      <c r="C1397" s="18">
        <f>IF(NOT(ISNUMBER($A1397)),NA(),IFERROR(1*INDEX(BBG_Data!$D$2:$D$4000,MATCH($A1397,BBG_Data!$C$2:$C$4000,0)),NA()))</f>
        <v/>
      </c>
      <c r="D1397" s="19">
        <f>IF(NOT(ISNUMBER($A1397)),NA(),IFERROR(1*INDEX(BBG_Data!$F$2:$F$4000,MATCH($A1397,BBG_Data!$E$2:$E$4000,0)),NA()))</f>
        <v/>
      </c>
      <c r="E1397" s="19">
        <f>IF(NOT(ISNUMBER($A1397)),NA(),IFERROR(1*INDEX(BBG_Data!$H$2:$H$4000,MATCH($A1397,BBG_Data!$G$2:$G$4000,0)),NA()))</f>
        <v/>
      </c>
      <c r="F1397" s="20">
        <f>IF(AND(ISNUMBER(B1397),ISNUMBER(B1396)),IF(B1397=B1396,"",(B1397-B1396)*100),"")</f>
        <v/>
      </c>
      <c r="G1397" s="20">
        <f>IF(AND(ISNUMBER(C1397),ISNUMBER(C1396)),IF(C1397=C1396,"",(C1397-C1396)*100),"")</f>
        <v/>
      </c>
      <c r="H1397" s="20">
        <f>IF(OR(NOT(ISNUMBER($A1397)),ROW()-2&lt;Settings!$B$11),NA(),IF(COUNT(OFFSET(F1397,1-Settings!$B$11,0,Settings!$B$11,1))&lt;ROUNDUP(Settings!$B$11*Settings!$B$26,0),NA(),STDEV(OFFSET(F1397,1-Settings!$B$11,0,Settings!$B$11,1))*SQRT(Settings!$B$13)))</f>
        <v/>
      </c>
      <c r="I1397" s="20">
        <f>IF(OR(NOT(ISNUMBER($A1397)),ROW()-2&lt;Settings!$B$12),NA(),IF(COUNT(OFFSET(F1397,1-Settings!$B$12,0,Settings!$B$12,1))&lt;ROUNDUP(Settings!$B$12*Settings!$B$26,0),NA(),STDEV(OFFSET(F1397,1-Settings!$B$12,0,Settings!$B$12,1))*SQRT(Settings!$B$13)))</f>
        <v/>
      </c>
      <c r="J1397" s="20">
        <f>IF(OR(NOT(ISNUMBER($A1397)),ROW()-2&lt;Settings!$B$11),NA(),IF(COUNT(OFFSET(G1397,1-Settings!$B$11,0,Settings!$B$11,1))&lt;ROUNDUP(Settings!$B$11*Settings!$B$26,0),NA(),STDEV(OFFSET(G1397,1-Settings!$B$11,0,Settings!$B$11,1))*SQRT(Settings!$B$13)))</f>
        <v/>
      </c>
      <c r="K1397" s="20">
        <f>IF(OR(NOT(ISNUMBER($A1397)),ROW()-2&lt;Settings!$B$12),NA(),IF(COUNT(OFFSET(G1397,1-Settings!$B$12,0,Settings!$B$12,1))&lt;ROUNDUP(Settings!$B$12*Settings!$B$26,0),NA(),STDEV(OFFSET(G1397,1-Settings!$B$12,0,Settings!$B$12,1))*SQRT(Settings!$B$13)))</f>
        <v/>
      </c>
      <c r="L1397" s="20">
        <f>IF(AND(ISNUMBER(D1397),ISNUMBER(H1397)),D1397-H1397,NA())</f>
        <v/>
      </c>
      <c r="M1397" s="20">
        <f>IF(AND(ISNUMBER(E1397),ISNUMBER(K1397)),E1397-K1397,NA())</f>
        <v/>
      </c>
      <c r="N1397" s="20">
        <f>IF(NOT(ISNUMBER($A1397)),NA(),IF(COUNT(OFFSET(G1397,1,0,Settings!$B$12,1))&lt;ROUNDUP(Settings!$B$12*Settings!$B$26,0),NA(),STDEV(OFFSET(G1397,1,0,Settings!$B$12,1))*SQRT(Settings!$B$13)))</f>
        <v/>
      </c>
      <c r="O1397" s="20">
        <f>IF(AND(ISNUMBER(E1397),ISNUMBER(N1397)),E1397-N1397,NA())</f>
        <v/>
      </c>
      <c r="P1397" s="19">
        <f>IF(NOT(ISNUMBER($A1397)),NA(),IF(OR($A1397&lt;MIN(KW_TP!$A$2:$A$2501),$A1397&gt;MAX(KW_TP!$A$2:$A$2501)),NA(),INDEX(KW_TP!$C$2:$C$2501,MATCH($A1397,KW_TP!$A$2:$A$2501,1))))</f>
        <v/>
      </c>
      <c r="Q1397" s="18">
        <f>IF(NOT(ISNUMBER($A1397)),NA(),IFERROR(1*INDEX(BBG_Data!$J$2:$J$4000,MATCH($A1397,BBG_Data!$I$2:$I$4000,0)),NA()))</f>
        <v/>
      </c>
      <c r="R1397" s="18">
        <f>IF(NOT(ISNUMBER($A1397)),NA(),IFERROR(1*INDEX(BBG_Data!$L$2:$L$4000,MATCH($A1397,BBG_Data!$K$2:$K$4000,0)),NA()))</f>
        <v/>
      </c>
      <c r="S1397" s="20">
        <f>IF(AND(ISNUMBER(B1397),ISNUMBER(Q1397),ISNUMBER(R1397)),(B1397-Q1397-R1397)*100,NA())</f>
        <v/>
      </c>
      <c r="T1397" s="20">
        <f>IF(AND(ISNUMBER(B1397),Settings!$B$17&gt;0),IF(ISNUMBER(INDEX($B:$B,Settings!$B$17)),(B1397-INDEX($B:$B,Settings!$B$17))*100,NA()),NA())</f>
        <v/>
      </c>
      <c r="U1397" s="20">
        <f>IF(AND(ISNUMBER(Q1397),Settings!$B$17&gt;0),IF(ISNUMBER(INDEX($Q:$Q,Settings!$B$17)),(Q1397-INDEX($Q:$Q,Settings!$B$17))*100,NA()),NA())</f>
        <v/>
      </c>
      <c r="V1397" s="20">
        <f>IF(AND(ISNUMBER(R1397),Settings!$B$17&gt;0),IF(ISNUMBER(INDEX($R:$R,Settings!$B$17)),(R1397-INDEX($R:$R,Settings!$B$17))*100,NA()),NA())</f>
        <v/>
      </c>
      <c r="W1397" s="20">
        <f>IF(AND(ISNUMBER(P1397),Settings!$B$17&gt;0),IF(ISNUMBER(INDEX($P:$P,Settings!$B$17)),P1397-INDEX($P:$P,Settings!$B$17),NA()),NA())</f>
        <v/>
      </c>
      <c r="X1397" s="19">
        <f>IF(NOT(ISNUMBER($A1397)),NA(),IF(OR($A1397&lt;MIN(DKW_10Y!$A$2:$A$2918),$A1397&gt;MAX(DKW_10Y!$A$2:$A$2918),Settings!$B$16&lt;MIN(DKW_10Y!$A$2:$A$2918)),NA(),(INDEX(DKW_10Y!$B$2:$B$2918,MATCH($A1397,DKW_10Y!$A$2:$A$2918,1))-INDEX(DKW_10Y!$B$2:$B$2918,MATCH(Settings!$B$16,DKW_10Y!$A$2:$A$2918,1)))*100))</f>
        <v/>
      </c>
      <c r="Y1397" s="19">
        <f>IF(NOT(ISNUMBER($A1397)),NA(),IF(OR($A1397&lt;MIN(DKW_10Y!$A$2:$A$2918),$A1397&gt;MAX(DKW_10Y!$A$2:$A$2918),Settings!$B$16&lt;MIN(DKW_10Y!$A$2:$A$2918)),NA(),(INDEX(DKW_10Y!$C$2:$C$2918,MATCH($A1397,DKW_10Y!$A$2:$A$2918,1))-INDEX(DKW_10Y!$C$2:$C$2918,MATCH(Settings!$B$16,DKW_10Y!$A$2:$A$2918,1)))*100))</f>
        <v/>
      </c>
      <c r="Z1397" s="19">
        <f>IF(NOT(ISNUMBER($A1397)),NA(),IF(OR($A1397&lt;MIN(DKW_10Y!$A$2:$A$2918),$A1397&gt;MAX(DKW_10Y!$A$2:$A$2918),Settings!$B$16&lt;MIN(DKW_10Y!$A$2:$A$2918)),NA(),(INDEX(DKW_10Y!$D$2:$D$2918,MATCH($A1397,DKW_10Y!$A$2:$A$2918,1))-INDEX(DKW_10Y!$D$2:$D$2918,MATCH(Settings!$B$16,DKW_10Y!$A$2:$A$2918,1)))*100))</f>
        <v/>
      </c>
      <c r="AA1397" s="19">
        <f>IF(NOT(ISNUMBER($A1397)),NA(),IF(OR($A1397&lt;MIN(DKW_10Y!$A$2:$A$2918),$A1397&gt;MAX(DKW_10Y!$A$2:$A$2918),Settings!$B$16&lt;MIN(DKW_10Y!$A$2:$A$2918)),NA(),(INDEX(DKW_10Y!$E$2:$E$2918,MATCH($A1397,DKW_10Y!$A$2:$A$2918,1))-INDEX(DKW_10Y!$E$2:$E$2918,MATCH(Settings!$B$16,DKW_10Y!$A$2:$A$2918,1)))*100))</f>
        <v/>
      </c>
      <c r="AB1397" s="19">
        <f>IF(NOT(ISNUMBER($A1397)),NA(),IF(OR($A1397&lt;MIN(DKW_10Y!$A$2:$A$2918),$A1397&gt;MAX(DKW_10Y!$A$2:$A$2918),Settings!$B$16&lt;MIN(DKW_10Y!$A$2:$A$2918)),NA(),(INDEX(DKW_10Y!$H$2:$H$2918,MATCH($A1397,DKW_10Y!$A$2:$A$2918,1))-INDEX(DKW_10Y!$H$2:$H$2918,MATCH(Settings!$B$16,DKW_10Y!$A$2:$A$2918,1)))*100))</f>
        <v/>
      </c>
      <c r="AC1397" s="18">
        <f>IF(NOT(ISNUMBER($A1397)),NA(),IFERROR(1*INDEX(BBG_Data!$N$2:$N$4000,MATCH($A1397,BBG_Data!$M$2:$M$4000,0)),NA()))</f>
        <v/>
      </c>
      <c r="AD1397" s="18">
        <f>IF(NOT(ISNUMBER($A1397)),NA(),IFERROR(1*INDEX(BBG_Data!$P$2:$P$4000,MATCH($A1397,BBG_Data!$O$2:$O$4000,0)),NA()))</f>
        <v/>
      </c>
      <c r="AE1397" s="18">
        <f>IF(NOT(ISNUMBER($A1397)),NA(),IFERROR(1*INDEX(BBG_Data!$R$2:$R$4000,MATCH($A1397,BBG_Data!$Q$2:$Q$4000,0)),NA()))</f>
        <v/>
      </c>
      <c r="AF1397" s="20">
        <f>IF(AND(ISNUMBER(B1397),ISNUMBER(AC1397)),(B1397-AC1397)*100,NA())</f>
        <v/>
      </c>
      <c r="AG1397" s="20">
        <f>IF(AND(ISNUMBER(AE1397),ISNUMBER(AD1397)),(AE1397-AD1397)*100,NA())</f>
        <v/>
      </c>
      <c r="AH1397" s="19">
        <f>IF(NOT(ISNUMBER($A1397)),NA(),IFERROR(INDEX(BBG_Data!$T$2:$T$4000,MATCH($A1397,BBG_Data!$S$2:$S$4000,0))*Settings!$B$25,NA()))</f>
        <v/>
      </c>
      <c r="AI1397" s="19">
        <f>IF(NOT(ISNUMBER($A1397)),NA(),IFERROR(INDEX(BBG_Data!$V$2:$V$4000,MATCH($A1397,BBG_Data!$U$2:$U$4000,0))*Settings!$B$25,NA()))</f>
        <v/>
      </c>
      <c r="AJ1397" s="19">
        <f>IF(NOT(ISNUMBER($A1397)),NA(),IFERROR(1*INDEX(BBG_Data!$X$2:$X$4000,MATCH($A1397,BBG_Data!$W$2:$W$4000,0)),NA()))</f>
        <v/>
      </c>
      <c r="AK1397" s="19">
        <f>IF(NOT(ISNUMBER($A1397)),NA(),IFERROR(1*INDEX(BBG_Data!$Z$2:$Z$4000,MATCH($A1397,BBG_Data!$Y$2:$Y$4000,0)),NA()))</f>
        <v/>
      </c>
    </row>
    <row r="1398">
      <c r="A1398" s="17">
        <f>IF(ISNUMBER(BBG_Data!A1398),BBG_Data!A1398,"")</f>
        <v/>
      </c>
      <c r="B1398" s="18">
        <f>IF(AND(ISNUMBER($A1398),ISNUMBER(BBG_Data!B1398)),BBG_Data!B1398,NA())</f>
        <v/>
      </c>
      <c r="C1398" s="18">
        <f>IF(NOT(ISNUMBER($A1398)),NA(),IFERROR(1*INDEX(BBG_Data!$D$2:$D$4000,MATCH($A1398,BBG_Data!$C$2:$C$4000,0)),NA()))</f>
        <v/>
      </c>
      <c r="D1398" s="19">
        <f>IF(NOT(ISNUMBER($A1398)),NA(),IFERROR(1*INDEX(BBG_Data!$F$2:$F$4000,MATCH($A1398,BBG_Data!$E$2:$E$4000,0)),NA()))</f>
        <v/>
      </c>
      <c r="E1398" s="19">
        <f>IF(NOT(ISNUMBER($A1398)),NA(),IFERROR(1*INDEX(BBG_Data!$H$2:$H$4000,MATCH($A1398,BBG_Data!$G$2:$G$4000,0)),NA()))</f>
        <v/>
      </c>
      <c r="F1398" s="20">
        <f>IF(AND(ISNUMBER(B1398),ISNUMBER(B1397)),IF(B1398=B1397,"",(B1398-B1397)*100),"")</f>
        <v/>
      </c>
      <c r="G1398" s="20">
        <f>IF(AND(ISNUMBER(C1398),ISNUMBER(C1397)),IF(C1398=C1397,"",(C1398-C1397)*100),"")</f>
        <v/>
      </c>
      <c r="H1398" s="20">
        <f>IF(OR(NOT(ISNUMBER($A1398)),ROW()-2&lt;Settings!$B$11),NA(),IF(COUNT(OFFSET(F1398,1-Settings!$B$11,0,Settings!$B$11,1))&lt;ROUNDUP(Settings!$B$11*Settings!$B$26,0),NA(),STDEV(OFFSET(F1398,1-Settings!$B$11,0,Settings!$B$11,1))*SQRT(Settings!$B$13)))</f>
        <v/>
      </c>
      <c r="I1398" s="20">
        <f>IF(OR(NOT(ISNUMBER($A1398)),ROW()-2&lt;Settings!$B$12),NA(),IF(COUNT(OFFSET(F1398,1-Settings!$B$12,0,Settings!$B$12,1))&lt;ROUNDUP(Settings!$B$12*Settings!$B$26,0),NA(),STDEV(OFFSET(F1398,1-Settings!$B$12,0,Settings!$B$12,1))*SQRT(Settings!$B$13)))</f>
        <v/>
      </c>
      <c r="J1398" s="20">
        <f>IF(OR(NOT(ISNUMBER($A1398)),ROW()-2&lt;Settings!$B$11),NA(),IF(COUNT(OFFSET(G1398,1-Settings!$B$11,0,Settings!$B$11,1))&lt;ROUNDUP(Settings!$B$11*Settings!$B$26,0),NA(),STDEV(OFFSET(G1398,1-Settings!$B$11,0,Settings!$B$11,1))*SQRT(Settings!$B$13)))</f>
        <v/>
      </c>
      <c r="K1398" s="20">
        <f>IF(OR(NOT(ISNUMBER($A1398)),ROW()-2&lt;Settings!$B$12),NA(),IF(COUNT(OFFSET(G1398,1-Settings!$B$12,0,Settings!$B$12,1))&lt;ROUNDUP(Settings!$B$12*Settings!$B$26,0),NA(),STDEV(OFFSET(G1398,1-Settings!$B$12,0,Settings!$B$12,1))*SQRT(Settings!$B$13)))</f>
        <v/>
      </c>
      <c r="L1398" s="20">
        <f>IF(AND(ISNUMBER(D1398),ISNUMBER(H1398)),D1398-H1398,NA())</f>
        <v/>
      </c>
      <c r="M1398" s="20">
        <f>IF(AND(ISNUMBER(E1398),ISNUMBER(K1398)),E1398-K1398,NA())</f>
        <v/>
      </c>
      <c r="N1398" s="20">
        <f>IF(NOT(ISNUMBER($A1398)),NA(),IF(COUNT(OFFSET(G1398,1,0,Settings!$B$12,1))&lt;ROUNDUP(Settings!$B$12*Settings!$B$26,0),NA(),STDEV(OFFSET(G1398,1,0,Settings!$B$12,1))*SQRT(Settings!$B$13)))</f>
        <v/>
      </c>
      <c r="O1398" s="20">
        <f>IF(AND(ISNUMBER(E1398),ISNUMBER(N1398)),E1398-N1398,NA())</f>
        <v/>
      </c>
      <c r="P1398" s="19">
        <f>IF(NOT(ISNUMBER($A1398)),NA(),IF(OR($A1398&lt;MIN(KW_TP!$A$2:$A$2501),$A1398&gt;MAX(KW_TP!$A$2:$A$2501)),NA(),INDEX(KW_TP!$C$2:$C$2501,MATCH($A1398,KW_TP!$A$2:$A$2501,1))))</f>
        <v/>
      </c>
      <c r="Q1398" s="18">
        <f>IF(NOT(ISNUMBER($A1398)),NA(),IFERROR(1*INDEX(BBG_Data!$J$2:$J$4000,MATCH($A1398,BBG_Data!$I$2:$I$4000,0)),NA()))</f>
        <v/>
      </c>
      <c r="R1398" s="18">
        <f>IF(NOT(ISNUMBER($A1398)),NA(),IFERROR(1*INDEX(BBG_Data!$L$2:$L$4000,MATCH($A1398,BBG_Data!$K$2:$K$4000,0)),NA()))</f>
        <v/>
      </c>
      <c r="S1398" s="20">
        <f>IF(AND(ISNUMBER(B1398),ISNUMBER(Q1398),ISNUMBER(R1398)),(B1398-Q1398-R1398)*100,NA())</f>
        <v/>
      </c>
      <c r="T1398" s="20">
        <f>IF(AND(ISNUMBER(B1398),Settings!$B$17&gt;0),IF(ISNUMBER(INDEX($B:$B,Settings!$B$17)),(B1398-INDEX($B:$B,Settings!$B$17))*100,NA()),NA())</f>
        <v/>
      </c>
      <c r="U1398" s="20">
        <f>IF(AND(ISNUMBER(Q1398),Settings!$B$17&gt;0),IF(ISNUMBER(INDEX($Q:$Q,Settings!$B$17)),(Q1398-INDEX($Q:$Q,Settings!$B$17))*100,NA()),NA())</f>
        <v/>
      </c>
      <c r="V1398" s="20">
        <f>IF(AND(ISNUMBER(R1398),Settings!$B$17&gt;0),IF(ISNUMBER(INDEX($R:$R,Settings!$B$17)),(R1398-INDEX($R:$R,Settings!$B$17))*100,NA()),NA())</f>
        <v/>
      </c>
      <c r="W1398" s="20">
        <f>IF(AND(ISNUMBER(P1398),Settings!$B$17&gt;0),IF(ISNUMBER(INDEX($P:$P,Settings!$B$17)),P1398-INDEX($P:$P,Settings!$B$17),NA()),NA())</f>
        <v/>
      </c>
      <c r="X1398" s="19">
        <f>IF(NOT(ISNUMBER($A1398)),NA(),IF(OR($A1398&lt;MIN(DKW_10Y!$A$2:$A$2918),$A1398&gt;MAX(DKW_10Y!$A$2:$A$2918),Settings!$B$16&lt;MIN(DKW_10Y!$A$2:$A$2918)),NA(),(INDEX(DKW_10Y!$B$2:$B$2918,MATCH($A1398,DKW_10Y!$A$2:$A$2918,1))-INDEX(DKW_10Y!$B$2:$B$2918,MATCH(Settings!$B$16,DKW_10Y!$A$2:$A$2918,1)))*100))</f>
        <v/>
      </c>
      <c r="Y1398" s="19">
        <f>IF(NOT(ISNUMBER($A1398)),NA(),IF(OR($A1398&lt;MIN(DKW_10Y!$A$2:$A$2918),$A1398&gt;MAX(DKW_10Y!$A$2:$A$2918),Settings!$B$16&lt;MIN(DKW_10Y!$A$2:$A$2918)),NA(),(INDEX(DKW_10Y!$C$2:$C$2918,MATCH($A1398,DKW_10Y!$A$2:$A$2918,1))-INDEX(DKW_10Y!$C$2:$C$2918,MATCH(Settings!$B$16,DKW_10Y!$A$2:$A$2918,1)))*100))</f>
        <v/>
      </c>
      <c r="Z1398" s="19">
        <f>IF(NOT(ISNUMBER($A1398)),NA(),IF(OR($A1398&lt;MIN(DKW_10Y!$A$2:$A$2918),$A1398&gt;MAX(DKW_10Y!$A$2:$A$2918),Settings!$B$16&lt;MIN(DKW_10Y!$A$2:$A$2918)),NA(),(INDEX(DKW_10Y!$D$2:$D$2918,MATCH($A1398,DKW_10Y!$A$2:$A$2918,1))-INDEX(DKW_10Y!$D$2:$D$2918,MATCH(Settings!$B$16,DKW_10Y!$A$2:$A$2918,1)))*100))</f>
        <v/>
      </c>
      <c r="AA1398" s="19">
        <f>IF(NOT(ISNUMBER($A1398)),NA(),IF(OR($A1398&lt;MIN(DKW_10Y!$A$2:$A$2918),$A1398&gt;MAX(DKW_10Y!$A$2:$A$2918),Settings!$B$16&lt;MIN(DKW_10Y!$A$2:$A$2918)),NA(),(INDEX(DKW_10Y!$E$2:$E$2918,MATCH($A1398,DKW_10Y!$A$2:$A$2918,1))-INDEX(DKW_10Y!$E$2:$E$2918,MATCH(Settings!$B$16,DKW_10Y!$A$2:$A$2918,1)))*100))</f>
        <v/>
      </c>
      <c r="AB1398" s="19">
        <f>IF(NOT(ISNUMBER($A1398)),NA(),IF(OR($A1398&lt;MIN(DKW_10Y!$A$2:$A$2918),$A1398&gt;MAX(DKW_10Y!$A$2:$A$2918),Settings!$B$16&lt;MIN(DKW_10Y!$A$2:$A$2918)),NA(),(INDEX(DKW_10Y!$H$2:$H$2918,MATCH($A1398,DKW_10Y!$A$2:$A$2918,1))-INDEX(DKW_10Y!$H$2:$H$2918,MATCH(Settings!$B$16,DKW_10Y!$A$2:$A$2918,1)))*100))</f>
        <v/>
      </c>
      <c r="AC1398" s="18">
        <f>IF(NOT(ISNUMBER($A1398)),NA(),IFERROR(1*INDEX(BBG_Data!$N$2:$N$4000,MATCH($A1398,BBG_Data!$M$2:$M$4000,0)),NA()))</f>
        <v/>
      </c>
      <c r="AD1398" s="18">
        <f>IF(NOT(ISNUMBER($A1398)),NA(),IFERROR(1*INDEX(BBG_Data!$P$2:$P$4000,MATCH($A1398,BBG_Data!$O$2:$O$4000,0)),NA()))</f>
        <v/>
      </c>
      <c r="AE1398" s="18">
        <f>IF(NOT(ISNUMBER($A1398)),NA(),IFERROR(1*INDEX(BBG_Data!$R$2:$R$4000,MATCH($A1398,BBG_Data!$Q$2:$Q$4000,0)),NA()))</f>
        <v/>
      </c>
      <c r="AF1398" s="20">
        <f>IF(AND(ISNUMBER(B1398),ISNUMBER(AC1398)),(B1398-AC1398)*100,NA())</f>
        <v/>
      </c>
      <c r="AG1398" s="20">
        <f>IF(AND(ISNUMBER(AE1398),ISNUMBER(AD1398)),(AE1398-AD1398)*100,NA())</f>
        <v/>
      </c>
      <c r="AH1398" s="19">
        <f>IF(NOT(ISNUMBER($A1398)),NA(),IFERROR(INDEX(BBG_Data!$T$2:$T$4000,MATCH($A1398,BBG_Data!$S$2:$S$4000,0))*Settings!$B$25,NA()))</f>
        <v/>
      </c>
      <c r="AI1398" s="19">
        <f>IF(NOT(ISNUMBER($A1398)),NA(),IFERROR(INDEX(BBG_Data!$V$2:$V$4000,MATCH($A1398,BBG_Data!$U$2:$U$4000,0))*Settings!$B$25,NA()))</f>
        <v/>
      </c>
      <c r="AJ1398" s="19">
        <f>IF(NOT(ISNUMBER($A1398)),NA(),IFERROR(1*INDEX(BBG_Data!$X$2:$X$4000,MATCH($A1398,BBG_Data!$W$2:$W$4000,0)),NA()))</f>
        <v/>
      </c>
      <c r="AK1398" s="19">
        <f>IF(NOT(ISNUMBER($A1398)),NA(),IFERROR(1*INDEX(BBG_Data!$Z$2:$Z$4000,MATCH($A1398,BBG_Data!$Y$2:$Y$4000,0)),NA()))</f>
        <v/>
      </c>
    </row>
    <row r="1399">
      <c r="A1399" s="17">
        <f>IF(ISNUMBER(BBG_Data!A1399),BBG_Data!A1399,"")</f>
        <v/>
      </c>
      <c r="B1399" s="18">
        <f>IF(AND(ISNUMBER($A1399),ISNUMBER(BBG_Data!B1399)),BBG_Data!B1399,NA())</f>
        <v/>
      </c>
      <c r="C1399" s="18">
        <f>IF(NOT(ISNUMBER($A1399)),NA(),IFERROR(1*INDEX(BBG_Data!$D$2:$D$4000,MATCH($A1399,BBG_Data!$C$2:$C$4000,0)),NA()))</f>
        <v/>
      </c>
      <c r="D1399" s="19">
        <f>IF(NOT(ISNUMBER($A1399)),NA(),IFERROR(1*INDEX(BBG_Data!$F$2:$F$4000,MATCH($A1399,BBG_Data!$E$2:$E$4000,0)),NA()))</f>
        <v/>
      </c>
      <c r="E1399" s="19">
        <f>IF(NOT(ISNUMBER($A1399)),NA(),IFERROR(1*INDEX(BBG_Data!$H$2:$H$4000,MATCH($A1399,BBG_Data!$G$2:$G$4000,0)),NA()))</f>
        <v/>
      </c>
      <c r="F1399" s="20">
        <f>IF(AND(ISNUMBER(B1399),ISNUMBER(B1398)),IF(B1399=B1398,"",(B1399-B1398)*100),"")</f>
        <v/>
      </c>
      <c r="G1399" s="20">
        <f>IF(AND(ISNUMBER(C1399),ISNUMBER(C1398)),IF(C1399=C1398,"",(C1399-C1398)*100),"")</f>
        <v/>
      </c>
      <c r="H1399" s="20">
        <f>IF(OR(NOT(ISNUMBER($A1399)),ROW()-2&lt;Settings!$B$11),NA(),IF(COUNT(OFFSET(F1399,1-Settings!$B$11,0,Settings!$B$11,1))&lt;ROUNDUP(Settings!$B$11*Settings!$B$26,0),NA(),STDEV(OFFSET(F1399,1-Settings!$B$11,0,Settings!$B$11,1))*SQRT(Settings!$B$13)))</f>
        <v/>
      </c>
      <c r="I1399" s="20">
        <f>IF(OR(NOT(ISNUMBER($A1399)),ROW()-2&lt;Settings!$B$12),NA(),IF(COUNT(OFFSET(F1399,1-Settings!$B$12,0,Settings!$B$12,1))&lt;ROUNDUP(Settings!$B$12*Settings!$B$26,0),NA(),STDEV(OFFSET(F1399,1-Settings!$B$12,0,Settings!$B$12,1))*SQRT(Settings!$B$13)))</f>
        <v/>
      </c>
      <c r="J1399" s="20">
        <f>IF(OR(NOT(ISNUMBER($A1399)),ROW()-2&lt;Settings!$B$11),NA(),IF(COUNT(OFFSET(G1399,1-Settings!$B$11,0,Settings!$B$11,1))&lt;ROUNDUP(Settings!$B$11*Settings!$B$26,0),NA(),STDEV(OFFSET(G1399,1-Settings!$B$11,0,Settings!$B$11,1))*SQRT(Settings!$B$13)))</f>
        <v/>
      </c>
      <c r="K1399" s="20">
        <f>IF(OR(NOT(ISNUMBER($A1399)),ROW()-2&lt;Settings!$B$12),NA(),IF(COUNT(OFFSET(G1399,1-Settings!$B$12,0,Settings!$B$12,1))&lt;ROUNDUP(Settings!$B$12*Settings!$B$26,0),NA(),STDEV(OFFSET(G1399,1-Settings!$B$12,0,Settings!$B$12,1))*SQRT(Settings!$B$13)))</f>
        <v/>
      </c>
      <c r="L1399" s="20">
        <f>IF(AND(ISNUMBER(D1399),ISNUMBER(H1399)),D1399-H1399,NA())</f>
        <v/>
      </c>
      <c r="M1399" s="20">
        <f>IF(AND(ISNUMBER(E1399),ISNUMBER(K1399)),E1399-K1399,NA())</f>
        <v/>
      </c>
      <c r="N1399" s="20">
        <f>IF(NOT(ISNUMBER($A1399)),NA(),IF(COUNT(OFFSET(G1399,1,0,Settings!$B$12,1))&lt;ROUNDUP(Settings!$B$12*Settings!$B$26,0),NA(),STDEV(OFFSET(G1399,1,0,Settings!$B$12,1))*SQRT(Settings!$B$13)))</f>
        <v/>
      </c>
      <c r="O1399" s="20">
        <f>IF(AND(ISNUMBER(E1399),ISNUMBER(N1399)),E1399-N1399,NA())</f>
        <v/>
      </c>
      <c r="P1399" s="19">
        <f>IF(NOT(ISNUMBER($A1399)),NA(),IF(OR($A1399&lt;MIN(KW_TP!$A$2:$A$2501),$A1399&gt;MAX(KW_TP!$A$2:$A$2501)),NA(),INDEX(KW_TP!$C$2:$C$2501,MATCH($A1399,KW_TP!$A$2:$A$2501,1))))</f>
        <v/>
      </c>
      <c r="Q1399" s="18">
        <f>IF(NOT(ISNUMBER($A1399)),NA(),IFERROR(1*INDEX(BBG_Data!$J$2:$J$4000,MATCH($A1399,BBG_Data!$I$2:$I$4000,0)),NA()))</f>
        <v/>
      </c>
      <c r="R1399" s="18">
        <f>IF(NOT(ISNUMBER($A1399)),NA(),IFERROR(1*INDEX(BBG_Data!$L$2:$L$4000,MATCH($A1399,BBG_Data!$K$2:$K$4000,0)),NA()))</f>
        <v/>
      </c>
      <c r="S1399" s="20">
        <f>IF(AND(ISNUMBER(B1399),ISNUMBER(Q1399),ISNUMBER(R1399)),(B1399-Q1399-R1399)*100,NA())</f>
        <v/>
      </c>
      <c r="T1399" s="20">
        <f>IF(AND(ISNUMBER(B1399),Settings!$B$17&gt;0),IF(ISNUMBER(INDEX($B:$B,Settings!$B$17)),(B1399-INDEX($B:$B,Settings!$B$17))*100,NA()),NA())</f>
        <v/>
      </c>
      <c r="U1399" s="20">
        <f>IF(AND(ISNUMBER(Q1399),Settings!$B$17&gt;0),IF(ISNUMBER(INDEX($Q:$Q,Settings!$B$17)),(Q1399-INDEX($Q:$Q,Settings!$B$17))*100,NA()),NA())</f>
        <v/>
      </c>
      <c r="V1399" s="20">
        <f>IF(AND(ISNUMBER(R1399),Settings!$B$17&gt;0),IF(ISNUMBER(INDEX($R:$R,Settings!$B$17)),(R1399-INDEX($R:$R,Settings!$B$17))*100,NA()),NA())</f>
        <v/>
      </c>
      <c r="W1399" s="20">
        <f>IF(AND(ISNUMBER(P1399),Settings!$B$17&gt;0),IF(ISNUMBER(INDEX($P:$P,Settings!$B$17)),P1399-INDEX($P:$P,Settings!$B$17),NA()),NA())</f>
        <v/>
      </c>
      <c r="X1399" s="19">
        <f>IF(NOT(ISNUMBER($A1399)),NA(),IF(OR($A1399&lt;MIN(DKW_10Y!$A$2:$A$2918),$A1399&gt;MAX(DKW_10Y!$A$2:$A$2918),Settings!$B$16&lt;MIN(DKW_10Y!$A$2:$A$2918)),NA(),(INDEX(DKW_10Y!$B$2:$B$2918,MATCH($A1399,DKW_10Y!$A$2:$A$2918,1))-INDEX(DKW_10Y!$B$2:$B$2918,MATCH(Settings!$B$16,DKW_10Y!$A$2:$A$2918,1)))*100))</f>
        <v/>
      </c>
      <c r="Y1399" s="19">
        <f>IF(NOT(ISNUMBER($A1399)),NA(),IF(OR($A1399&lt;MIN(DKW_10Y!$A$2:$A$2918),$A1399&gt;MAX(DKW_10Y!$A$2:$A$2918),Settings!$B$16&lt;MIN(DKW_10Y!$A$2:$A$2918)),NA(),(INDEX(DKW_10Y!$C$2:$C$2918,MATCH($A1399,DKW_10Y!$A$2:$A$2918,1))-INDEX(DKW_10Y!$C$2:$C$2918,MATCH(Settings!$B$16,DKW_10Y!$A$2:$A$2918,1)))*100))</f>
        <v/>
      </c>
      <c r="Z1399" s="19">
        <f>IF(NOT(ISNUMBER($A1399)),NA(),IF(OR($A1399&lt;MIN(DKW_10Y!$A$2:$A$2918),$A1399&gt;MAX(DKW_10Y!$A$2:$A$2918),Settings!$B$16&lt;MIN(DKW_10Y!$A$2:$A$2918)),NA(),(INDEX(DKW_10Y!$D$2:$D$2918,MATCH($A1399,DKW_10Y!$A$2:$A$2918,1))-INDEX(DKW_10Y!$D$2:$D$2918,MATCH(Settings!$B$16,DKW_10Y!$A$2:$A$2918,1)))*100))</f>
        <v/>
      </c>
      <c r="AA1399" s="19">
        <f>IF(NOT(ISNUMBER($A1399)),NA(),IF(OR($A1399&lt;MIN(DKW_10Y!$A$2:$A$2918),$A1399&gt;MAX(DKW_10Y!$A$2:$A$2918),Settings!$B$16&lt;MIN(DKW_10Y!$A$2:$A$2918)),NA(),(INDEX(DKW_10Y!$E$2:$E$2918,MATCH($A1399,DKW_10Y!$A$2:$A$2918,1))-INDEX(DKW_10Y!$E$2:$E$2918,MATCH(Settings!$B$16,DKW_10Y!$A$2:$A$2918,1)))*100))</f>
        <v/>
      </c>
      <c r="AB1399" s="19">
        <f>IF(NOT(ISNUMBER($A1399)),NA(),IF(OR($A1399&lt;MIN(DKW_10Y!$A$2:$A$2918),$A1399&gt;MAX(DKW_10Y!$A$2:$A$2918),Settings!$B$16&lt;MIN(DKW_10Y!$A$2:$A$2918)),NA(),(INDEX(DKW_10Y!$H$2:$H$2918,MATCH($A1399,DKW_10Y!$A$2:$A$2918,1))-INDEX(DKW_10Y!$H$2:$H$2918,MATCH(Settings!$B$16,DKW_10Y!$A$2:$A$2918,1)))*100))</f>
        <v/>
      </c>
      <c r="AC1399" s="18">
        <f>IF(NOT(ISNUMBER($A1399)),NA(),IFERROR(1*INDEX(BBG_Data!$N$2:$N$4000,MATCH($A1399,BBG_Data!$M$2:$M$4000,0)),NA()))</f>
        <v/>
      </c>
      <c r="AD1399" s="18">
        <f>IF(NOT(ISNUMBER($A1399)),NA(),IFERROR(1*INDEX(BBG_Data!$P$2:$P$4000,MATCH($A1399,BBG_Data!$O$2:$O$4000,0)),NA()))</f>
        <v/>
      </c>
      <c r="AE1399" s="18">
        <f>IF(NOT(ISNUMBER($A1399)),NA(),IFERROR(1*INDEX(BBG_Data!$R$2:$R$4000,MATCH($A1399,BBG_Data!$Q$2:$Q$4000,0)),NA()))</f>
        <v/>
      </c>
      <c r="AF1399" s="20">
        <f>IF(AND(ISNUMBER(B1399),ISNUMBER(AC1399)),(B1399-AC1399)*100,NA())</f>
        <v/>
      </c>
      <c r="AG1399" s="20">
        <f>IF(AND(ISNUMBER(AE1399),ISNUMBER(AD1399)),(AE1399-AD1399)*100,NA())</f>
        <v/>
      </c>
      <c r="AH1399" s="19">
        <f>IF(NOT(ISNUMBER($A1399)),NA(),IFERROR(INDEX(BBG_Data!$T$2:$T$4000,MATCH($A1399,BBG_Data!$S$2:$S$4000,0))*Settings!$B$25,NA()))</f>
        <v/>
      </c>
      <c r="AI1399" s="19">
        <f>IF(NOT(ISNUMBER($A1399)),NA(),IFERROR(INDEX(BBG_Data!$V$2:$V$4000,MATCH($A1399,BBG_Data!$U$2:$U$4000,0))*Settings!$B$25,NA()))</f>
        <v/>
      </c>
      <c r="AJ1399" s="19">
        <f>IF(NOT(ISNUMBER($A1399)),NA(),IFERROR(1*INDEX(BBG_Data!$X$2:$X$4000,MATCH($A1399,BBG_Data!$W$2:$W$4000,0)),NA()))</f>
        <v/>
      </c>
      <c r="AK1399" s="19">
        <f>IF(NOT(ISNUMBER($A1399)),NA(),IFERROR(1*INDEX(BBG_Data!$Z$2:$Z$4000,MATCH($A1399,BBG_Data!$Y$2:$Y$4000,0)),NA()))</f>
        <v/>
      </c>
    </row>
    <row r="1400">
      <c r="A1400" s="17">
        <f>IF(ISNUMBER(BBG_Data!A1400),BBG_Data!A1400,"")</f>
        <v/>
      </c>
      <c r="B1400" s="18">
        <f>IF(AND(ISNUMBER($A1400),ISNUMBER(BBG_Data!B1400)),BBG_Data!B1400,NA())</f>
        <v/>
      </c>
      <c r="C1400" s="18">
        <f>IF(NOT(ISNUMBER($A1400)),NA(),IFERROR(1*INDEX(BBG_Data!$D$2:$D$4000,MATCH($A1400,BBG_Data!$C$2:$C$4000,0)),NA()))</f>
        <v/>
      </c>
      <c r="D1400" s="19">
        <f>IF(NOT(ISNUMBER($A1400)),NA(),IFERROR(1*INDEX(BBG_Data!$F$2:$F$4000,MATCH($A1400,BBG_Data!$E$2:$E$4000,0)),NA()))</f>
        <v/>
      </c>
      <c r="E1400" s="19">
        <f>IF(NOT(ISNUMBER($A1400)),NA(),IFERROR(1*INDEX(BBG_Data!$H$2:$H$4000,MATCH($A1400,BBG_Data!$G$2:$G$4000,0)),NA()))</f>
        <v/>
      </c>
      <c r="F1400" s="20">
        <f>IF(AND(ISNUMBER(B1400),ISNUMBER(B1399)),IF(B1400=B1399,"",(B1400-B1399)*100),"")</f>
        <v/>
      </c>
      <c r="G1400" s="20">
        <f>IF(AND(ISNUMBER(C1400),ISNUMBER(C1399)),IF(C1400=C1399,"",(C1400-C1399)*100),"")</f>
        <v/>
      </c>
      <c r="H1400" s="20">
        <f>IF(OR(NOT(ISNUMBER($A1400)),ROW()-2&lt;Settings!$B$11),NA(),IF(COUNT(OFFSET(F1400,1-Settings!$B$11,0,Settings!$B$11,1))&lt;ROUNDUP(Settings!$B$11*Settings!$B$26,0),NA(),STDEV(OFFSET(F1400,1-Settings!$B$11,0,Settings!$B$11,1))*SQRT(Settings!$B$13)))</f>
        <v/>
      </c>
      <c r="I1400" s="20">
        <f>IF(OR(NOT(ISNUMBER($A1400)),ROW()-2&lt;Settings!$B$12),NA(),IF(COUNT(OFFSET(F1400,1-Settings!$B$12,0,Settings!$B$12,1))&lt;ROUNDUP(Settings!$B$12*Settings!$B$26,0),NA(),STDEV(OFFSET(F1400,1-Settings!$B$12,0,Settings!$B$12,1))*SQRT(Settings!$B$13)))</f>
        <v/>
      </c>
      <c r="J1400" s="20">
        <f>IF(OR(NOT(ISNUMBER($A1400)),ROW()-2&lt;Settings!$B$11),NA(),IF(COUNT(OFFSET(G1400,1-Settings!$B$11,0,Settings!$B$11,1))&lt;ROUNDUP(Settings!$B$11*Settings!$B$26,0),NA(),STDEV(OFFSET(G1400,1-Settings!$B$11,0,Settings!$B$11,1))*SQRT(Settings!$B$13)))</f>
        <v/>
      </c>
      <c r="K1400" s="20">
        <f>IF(OR(NOT(ISNUMBER($A1400)),ROW()-2&lt;Settings!$B$12),NA(),IF(COUNT(OFFSET(G1400,1-Settings!$B$12,0,Settings!$B$12,1))&lt;ROUNDUP(Settings!$B$12*Settings!$B$26,0),NA(),STDEV(OFFSET(G1400,1-Settings!$B$12,0,Settings!$B$12,1))*SQRT(Settings!$B$13)))</f>
        <v/>
      </c>
      <c r="L1400" s="20">
        <f>IF(AND(ISNUMBER(D1400),ISNUMBER(H1400)),D1400-H1400,NA())</f>
        <v/>
      </c>
      <c r="M1400" s="20">
        <f>IF(AND(ISNUMBER(E1400),ISNUMBER(K1400)),E1400-K1400,NA())</f>
        <v/>
      </c>
      <c r="N1400" s="20">
        <f>IF(NOT(ISNUMBER($A1400)),NA(),IF(COUNT(OFFSET(G1400,1,0,Settings!$B$12,1))&lt;ROUNDUP(Settings!$B$12*Settings!$B$26,0),NA(),STDEV(OFFSET(G1400,1,0,Settings!$B$12,1))*SQRT(Settings!$B$13)))</f>
        <v/>
      </c>
      <c r="O1400" s="20">
        <f>IF(AND(ISNUMBER(E1400),ISNUMBER(N1400)),E1400-N1400,NA())</f>
        <v/>
      </c>
      <c r="P1400" s="19">
        <f>IF(NOT(ISNUMBER($A1400)),NA(),IF(OR($A1400&lt;MIN(KW_TP!$A$2:$A$2501),$A1400&gt;MAX(KW_TP!$A$2:$A$2501)),NA(),INDEX(KW_TP!$C$2:$C$2501,MATCH($A1400,KW_TP!$A$2:$A$2501,1))))</f>
        <v/>
      </c>
      <c r="Q1400" s="18">
        <f>IF(NOT(ISNUMBER($A1400)),NA(),IFERROR(1*INDEX(BBG_Data!$J$2:$J$4000,MATCH($A1400,BBG_Data!$I$2:$I$4000,0)),NA()))</f>
        <v/>
      </c>
      <c r="R1400" s="18">
        <f>IF(NOT(ISNUMBER($A1400)),NA(),IFERROR(1*INDEX(BBG_Data!$L$2:$L$4000,MATCH($A1400,BBG_Data!$K$2:$K$4000,0)),NA()))</f>
        <v/>
      </c>
      <c r="S1400" s="20">
        <f>IF(AND(ISNUMBER(B1400),ISNUMBER(Q1400),ISNUMBER(R1400)),(B1400-Q1400-R1400)*100,NA())</f>
        <v/>
      </c>
      <c r="T1400" s="20">
        <f>IF(AND(ISNUMBER(B1400),Settings!$B$17&gt;0),IF(ISNUMBER(INDEX($B:$B,Settings!$B$17)),(B1400-INDEX($B:$B,Settings!$B$17))*100,NA()),NA())</f>
        <v/>
      </c>
      <c r="U1400" s="20">
        <f>IF(AND(ISNUMBER(Q1400),Settings!$B$17&gt;0),IF(ISNUMBER(INDEX($Q:$Q,Settings!$B$17)),(Q1400-INDEX($Q:$Q,Settings!$B$17))*100,NA()),NA())</f>
        <v/>
      </c>
      <c r="V1400" s="20">
        <f>IF(AND(ISNUMBER(R1400),Settings!$B$17&gt;0),IF(ISNUMBER(INDEX($R:$R,Settings!$B$17)),(R1400-INDEX($R:$R,Settings!$B$17))*100,NA()),NA())</f>
        <v/>
      </c>
      <c r="W1400" s="20">
        <f>IF(AND(ISNUMBER(P1400),Settings!$B$17&gt;0),IF(ISNUMBER(INDEX($P:$P,Settings!$B$17)),P1400-INDEX($P:$P,Settings!$B$17),NA()),NA())</f>
        <v/>
      </c>
      <c r="X1400" s="19">
        <f>IF(NOT(ISNUMBER($A1400)),NA(),IF(OR($A1400&lt;MIN(DKW_10Y!$A$2:$A$2918),$A1400&gt;MAX(DKW_10Y!$A$2:$A$2918),Settings!$B$16&lt;MIN(DKW_10Y!$A$2:$A$2918)),NA(),(INDEX(DKW_10Y!$B$2:$B$2918,MATCH($A1400,DKW_10Y!$A$2:$A$2918,1))-INDEX(DKW_10Y!$B$2:$B$2918,MATCH(Settings!$B$16,DKW_10Y!$A$2:$A$2918,1)))*100))</f>
        <v/>
      </c>
      <c r="Y1400" s="19">
        <f>IF(NOT(ISNUMBER($A1400)),NA(),IF(OR($A1400&lt;MIN(DKW_10Y!$A$2:$A$2918),$A1400&gt;MAX(DKW_10Y!$A$2:$A$2918),Settings!$B$16&lt;MIN(DKW_10Y!$A$2:$A$2918)),NA(),(INDEX(DKW_10Y!$C$2:$C$2918,MATCH($A1400,DKW_10Y!$A$2:$A$2918,1))-INDEX(DKW_10Y!$C$2:$C$2918,MATCH(Settings!$B$16,DKW_10Y!$A$2:$A$2918,1)))*100))</f>
        <v/>
      </c>
      <c r="Z1400" s="19">
        <f>IF(NOT(ISNUMBER($A1400)),NA(),IF(OR($A1400&lt;MIN(DKW_10Y!$A$2:$A$2918),$A1400&gt;MAX(DKW_10Y!$A$2:$A$2918),Settings!$B$16&lt;MIN(DKW_10Y!$A$2:$A$2918)),NA(),(INDEX(DKW_10Y!$D$2:$D$2918,MATCH($A1400,DKW_10Y!$A$2:$A$2918,1))-INDEX(DKW_10Y!$D$2:$D$2918,MATCH(Settings!$B$16,DKW_10Y!$A$2:$A$2918,1)))*100))</f>
        <v/>
      </c>
      <c r="AA1400" s="19">
        <f>IF(NOT(ISNUMBER($A1400)),NA(),IF(OR($A1400&lt;MIN(DKW_10Y!$A$2:$A$2918),$A1400&gt;MAX(DKW_10Y!$A$2:$A$2918),Settings!$B$16&lt;MIN(DKW_10Y!$A$2:$A$2918)),NA(),(INDEX(DKW_10Y!$E$2:$E$2918,MATCH($A1400,DKW_10Y!$A$2:$A$2918,1))-INDEX(DKW_10Y!$E$2:$E$2918,MATCH(Settings!$B$16,DKW_10Y!$A$2:$A$2918,1)))*100))</f>
        <v/>
      </c>
      <c r="AB1400" s="19">
        <f>IF(NOT(ISNUMBER($A1400)),NA(),IF(OR($A1400&lt;MIN(DKW_10Y!$A$2:$A$2918),$A1400&gt;MAX(DKW_10Y!$A$2:$A$2918),Settings!$B$16&lt;MIN(DKW_10Y!$A$2:$A$2918)),NA(),(INDEX(DKW_10Y!$H$2:$H$2918,MATCH($A1400,DKW_10Y!$A$2:$A$2918,1))-INDEX(DKW_10Y!$H$2:$H$2918,MATCH(Settings!$B$16,DKW_10Y!$A$2:$A$2918,1)))*100))</f>
        <v/>
      </c>
      <c r="AC1400" s="18">
        <f>IF(NOT(ISNUMBER($A1400)),NA(),IFERROR(1*INDEX(BBG_Data!$N$2:$N$4000,MATCH($A1400,BBG_Data!$M$2:$M$4000,0)),NA()))</f>
        <v/>
      </c>
      <c r="AD1400" s="18">
        <f>IF(NOT(ISNUMBER($A1400)),NA(),IFERROR(1*INDEX(BBG_Data!$P$2:$P$4000,MATCH($A1400,BBG_Data!$O$2:$O$4000,0)),NA()))</f>
        <v/>
      </c>
      <c r="AE1400" s="18">
        <f>IF(NOT(ISNUMBER($A1400)),NA(),IFERROR(1*INDEX(BBG_Data!$R$2:$R$4000,MATCH($A1400,BBG_Data!$Q$2:$Q$4000,0)),NA()))</f>
        <v/>
      </c>
      <c r="AF1400" s="20">
        <f>IF(AND(ISNUMBER(B1400),ISNUMBER(AC1400)),(B1400-AC1400)*100,NA())</f>
        <v/>
      </c>
      <c r="AG1400" s="20">
        <f>IF(AND(ISNUMBER(AE1400),ISNUMBER(AD1400)),(AE1400-AD1400)*100,NA())</f>
        <v/>
      </c>
      <c r="AH1400" s="19">
        <f>IF(NOT(ISNUMBER($A1400)),NA(),IFERROR(INDEX(BBG_Data!$T$2:$T$4000,MATCH($A1400,BBG_Data!$S$2:$S$4000,0))*Settings!$B$25,NA()))</f>
        <v/>
      </c>
      <c r="AI1400" s="19">
        <f>IF(NOT(ISNUMBER($A1400)),NA(),IFERROR(INDEX(BBG_Data!$V$2:$V$4000,MATCH($A1400,BBG_Data!$U$2:$U$4000,0))*Settings!$B$25,NA()))</f>
        <v/>
      </c>
      <c r="AJ1400" s="19">
        <f>IF(NOT(ISNUMBER($A1400)),NA(),IFERROR(1*INDEX(BBG_Data!$X$2:$X$4000,MATCH($A1400,BBG_Data!$W$2:$W$4000,0)),NA()))</f>
        <v/>
      </c>
      <c r="AK1400" s="19">
        <f>IF(NOT(ISNUMBER($A1400)),NA(),IFERROR(1*INDEX(BBG_Data!$Z$2:$Z$4000,MATCH($A1400,BBG_Data!$Y$2:$Y$4000,0)),NA()))</f>
        <v/>
      </c>
    </row>
    <row r="1401">
      <c r="A1401" s="17">
        <f>IF(ISNUMBER(BBG_Data!A1401),BBG_Data!A1401,"")</f>
        <v/>
      </c>
      <c r="B1401" s="18">
        <f>IF(AND(ISNUMBER($A1401),ISNUMBER(BBG_Data!B1401)),BBG_Data!B1401,NA())</f>
        <v/>
      </c>
      <c r="C1401" s="18">
        <f>IF(NOT(ISNUMBER($A1401)),NA(),IFERROR(1*INDEX(BBG_Data!$D$2:$D$4000,MATCH($A1401,BBG_Data!$C$2:$C$4000,0)),NA()))</f>
        <v/>
      </c>
      <c r="D1401" s="19">
        <f>IF(NOT(ISNUMBER($A1401)),NA(),IFERROR(1*INDEX(BBG_Data!$F$2:$F$4000,MATCH($A1401,BBG_Data!$E$2:$E$4000,0)),NA()))</f>
        <v/>
      </c>
      <c r="E1401" s="19">
        <f>IF(NOT(ISNUMBER($A1401)),NA(),IFERROR(1*INDEX(BBG_Data!$H$2:$H$4000,MATCH($A1401,BBG_Data!$G$2:$G$4000,0)),NA()))</f>
        <v/>
      </c>
      <c r="F1401" s="20">
        <f>IF(AND(ISNUMBER(B1401),ISNUMBER(B1400)),IF(B1401=B1400,"",(B1401-B1400)*100),"")</f>
        <v/>
      </c>
      <c r="G1401" s="20">
        <f>IF(AND(ISNUMBER(C1401),ISNUMBER(C1400)),IF(C1401=C1400,"",(C1401-C1400)*100),"")</f>
        <v/>
      </c>
      <c r="H1401" s="20">
        <f>IF(OR(NOT(ISNUMBER($A1401)),ROW()-2&lt;Settings!$B$11),NA(),IF(COUNT(OFFSET(F1401,1-Settings!$B$11,0,Settings!$B$11,1))&lt;ROUNDUP(Settings!$B$11*Settings!$B$26,0),NA(),STDEV(OFFSET(F1401,1-Settings!$B$11,0,Settings!$B$11,1))*SQRT(Settings!$B$13)))</f>
        <v/>
      </c>
      <c r="I1401" s="20">
        <f>IF(OR(NOT(ISNUMBER($A1401)),ROW()-2&lt;Settings!$B$12),NA(),IF(COUNT(OFFSET(F1401,1-Settings!$B$12,0,Settings!$B$12,1))&lt;ROUNDUP(Settings!$B$12*Settings!$B$26,0),NA(),STDEV(OFFSET(F1401,1-Settings!$B$12,0,Settings!$B$12,1))*SQRT(Settings!$B$13)))</f>
        <v/>
      </c>
      <c r="J1401" s="20">
        <f>IF(OR(NOT(ISNUMBER($A1401)),ROW()-2&lt;Settings!$B$11),NA(),IF(COUNT(OFFSET(G1401,1-Settings!$B$11,0,Settings!$B$11,1))&lt;ROUNDUP(Settings!$B$11*Settings!$B$26,0),NA(),STDEV(OFFSET(G1401,1-Settings!$B$11,0,Settings!$B$11,1))*SQRT(Settings!$B$13)))</f>
        <v/>
      </c>
      <c r="K1401" s="20">
        <f>IF(OR(NOT(ISNUMBER($A1401)),ROW()-2&lt;Settings!$B$12),NA(),IF(COUNT(OFFSET(G1401,1-Settings!$B$12,0,Settings!$B$12,1))&lt;ROUNDUP(Settings!$B$12*Settings!$B$26,0),NA(),STDEV(OFFSET(G1401,1-Settings!$B$12,0,Settings!$B$12,1))*SQRT(Settings!$B$13)))</f>
        <v/>
      </c>
      <c r="L1401" s="20">
        <f>IF(AND(ISNUMBER(D1401),ISNUMBER(H1401)),D1401-H1401,NA())</f>
        <v/>
      </c>
      <c r="M1401" s="20">
        <f>IF(AND(ISNUMBER(E1401),ISNUMBER(K1401)),E1401-K1401,NA())</f>
        <v/>
      </c>
      <c r="N1401" s="20">
        <f>IF(NOT(ISNUMBER($A1401)),NA(),IF(COUNT(OFFSET(G1401,1,0,Settings!$B$12,1))&lt;ROUNDUP(Settings!$B$12*Settings!$B$26,0),NA(),STDEV(OFFSET(G1401,1,0,Settings!$B$12,1))*SQRT(Settings!$B$13)))</f>
        <v/>
      </c>
      <c r="O1401" s="20">
        <f>IF(AND(ISNUMBER(E1401),ISNUMBER(N1401)),E1401-N1401,NA())</f>
        <v/>
      </c>
      <c r="P1401" s="19">
        <f>IF(NOT(ISNUMBER($A1401)),NA(),IF(OR($A1401&lt;MIN(KW_TP!$A$2:$A$2501),$A1401&gt;MAX(KW_TP!$A$2:$A$2501)),NA(),INDEX(KW_TP!$C$2:$C$2501,MATCH($A1401,KW_TP!$A$2:$A$2501,1))))</f>
        <v/>
      </c>
      <c r="Q1401" s="18">
        <f>IF(NOT(ISNUMBER($A1401)),NA(),IFERROR(1*INDEX(BBG_Data!$J$2:$J$4000,MATCH($A1401,BBG_Data!$I$2:$I$4000,0)),NA()))</f>
        <v/>
      </c>
      <c r="R1401" s="18">
        <f>IF(NOT(ISNUMBER($A1401)),NA(),IFERROR(1*INDEX(BBG_Data!$L$2:$L$4000,MATCH($A1401,BBG_Data!$K$2:$K$4000,0)),NA()))</f>
        <v/>
      </c>
      <c r="S1401" s="20">
        <f>IF(AND(ISNUMBER(B1401),ISNUMBER(Q1401),ISNUMBER(R1401)),(B1401-Q1401-R1401)*100,NA())</f>
        <v/>
      </c>
      <c r="T1401" s="20">
        <f>IF(AND(ISNUMBER(B1401),Settings!$B$17&gt;0),IF(ISNUMBER(INDEX($B:$B,Settings!$B$17)),(B1401-INDEX($B:$B,Settings!$B$17))*100,NA()),NA())</f>
        <v/>
      </c>
      <c r="U1401" s="20">
        <f>IF(AND(ISNUMBER(Q1401),Settings!$B$17&gt;0),IF(ISNUMBER(INDEX($Q:$Q,Settings!$B$17)),(Q1401-INDEX($Q:$Q,Settings!$B$17))*100,NA()),NA())</f>
        <v/>
      </c>
      <c r="V1401" s="20">
        <f>IF(AND(ISNUMBER(R1401),Settings!$B$17&gt;0),IF(ISNUMBER(INDEX($R:$R,Settings!$B$17)),(R1401-INDEX($R:$R,Settings!$B$17))*100,NA()),NA())</f>
        <v/>
      </c>
      <c r="W1401" s="20">
        <f>IF(AND(ISNUMBER(P1401),Settings!$B$17&gt;0),IF(ISNUMBER(INDEX($P:$P,Settings!$B$17)),P1401-INDEX($P:$P,Settings!$B$17),NA()),NA())</f>
        <v/>
      </c>
      <c r="X1401" s="19">
        <f>IF(NOT(ISNUMBER($A1401)),NA(),IF(OR($A1401&lt;MIN(DKW_10Y!$A$2:$A$2918),$A1401&gt;MAX(DKW_10Y!$A$2:$A$2918),Settings!$B$16&lt;MIN(DKW_10Y!$A$2:$A$2918)),NA(),(INDEX(DKW_10Y!$B$2:$B$2918,MATCH($A1401,DKW_10Y!$A$2:$A$2918,1))-INDEX(DKW_10Y!$B$2:$B$2918,MATCH(Settings!$B$16,DKW_10Y!$A$2:$A$2918,1)))*100))</f>
        <v/>
      </c>
      <c r="Y1401" s="19">
        <f>IF(NOT(ISNUMBER($A1401)),NA(),IF(OR($A1401&lt;MIN(DKW_10Y!$A$2:$A$2918),$A1401&gt;MAX(DKW_10Y!$A$2:$A$2918),Settings!$B$16&lt;MIN(DKW_10Y!$A$2:$A$2918)),NA(),(INDEX(DKW_10Y!$C$2:$C$2918,MATCH($A1401,DKW_10Y!$A$2:$A$2918,1))-INDEX(DKW_10Y!$C$2:$C$2918,MATCH(Settings!$B$16,DKW_10Y!$A$2:$A$2918,1)))*100))</f>
        <v/>
      </c>
      <c r="Z1401" s="19">
        <f>IF(NOT(ISNUMBER($A1401)),NA(),IF(OR($A1401&lt;MIN(DKW_10Y!$A$2:$A$2918),$A1401&gt;MAX(DKW_10Y!$A$2:$A$2918),Settings!$B$16&lt;MIN(DKW_10Y!$A$2:$A$2918)),NA(),(INDEX(DKW_10Y!$D$2:$D$2918,MATCH($A1401,DKW_10Y!$A$2:$A$2918,1))-INDEX(DKW_10Y!$D$2:$D$2918,MATCH(Settings!$B$16,DKW_10Y!$A$2:$A$2918,1)))*100))</f>
        <v/>
      </c>
      <c r="AA1401" s="19">
        <f>IF(NOT(ISNUMBER($A1401)),NA(),IF(OR($A1401&lt;MIN(DKW_10Y!$A$2:$A$2918),$A1401&gt;MAX(DKW_10Y!$A$2:$A$2918),Settings!$B$16&lt;MIN(DKW_10Y!$A$2:$A$2918)),NA(),(INDEX(DKW_10Y!$E$2:$E$2918,MATCH($A1401,DKW_10Y!$A$2:$A$2918,1))-INDEX(DKW_10Y!$E$2:$E$2918,MATCH(Settings!$B$16,DKW_10Y!$A$2:$A$2918,1)))*100))</f>
        <v/>
      </c>
      <c r="AB1401" s="19">
        <f>IF(NOT(ISNUMBER($A1401)),NA(),IF(OR($A1401&lt;MIN(DKW_10Y!$A$2:$A$2918),$A1401&gt;MAX(DKW_10Y!$A$2:$A$2918),Settings!$B$16&lt;MIN(DKW_10Y!$A$2:$A$2918)),NA(),(INDEX(DKW_10Y!$H$2:$H$2918,MATCH($A1401,DKW_10Y!$A$2:$A$2918,1))-INDEX(DKW_10Y!$H$2:$H$2918,MATCH(Settings!$B$16,DKW_10Y!$A$2:$A$2918,1)))*100))</f>
        <v/>
      </c>
      <c r="AC1401" s="18">
        <f>IF(NOT(ISNUMBER($A1401)),NA(),IFERROR(1*INDEX(BBG_Data!$N$2:$N$4000,MATCH($A1401,BBG_Data!$M$2:$M$4000,0)),NA()))</f>
        <v/>
      </c>
      <c r="AD1401" s="18">
        <f>IF(NOT(ISNUMBER($A1401)),NA(),IFERROR(1*INDEX(BBG_Data!$P$2:$P$4000,MATCH($A1401,BBG_Data!$O$2:$O$4000,0)),NA()))</f>
        <v/>
      </c>
      <c r="AE1401" s="18">
        <f>IF(NOT(ISNUMBER($A1401)),NA(),IFERROR(1*INDEX(BBG_Data!$R$2:$R$4000,MATCH($A1401,BBG_Data!$Q$2:$Q$4000,0)),NA()))</f>
        <v/>
      </c>
      <c r="AF1401" s="20">
        <f>IF(AND(ISNUMBER(B1401),ISNUMBER(AC1401)),(B1401-AC1401)*100,NA())</f>
        <v/>
      </c>
      <c r="AG1401" s="20">
        <f>IF(AND(ISNUMBER(AE1401),ISNUMBER(AD1401)),(AE1401-AD1401)*100,NA())</f>
        <v/>
      </c>
      <c r="AH1401" s="19">
        <f>IF(NOT(ISNUMBER($A1401)),NA(),IFERROR(INDEX(BBG_Data!$T$2:$T$4000,MATCH($A1401,BBG_Data!$S$2:$S$4000,0))*Settings!$B$25,NA()))</f>
        <v/>
      </c>
      <c r="AI1401" s="19">
        <f>IF(NOT(ISNUMBER($A1401)),NA(),IFERROR(INDEX(BBG_Data!$V$2:$V$4000,MATCH($A1401,BBG_Data!$U$2:$U$4000,0))*Settings!$B$25,NA()))</f>
        <v/>
      </c>
      <c r="AJ1401" s="19">
        <f>IF(NOT(ISNUMBER($A1401)),NA(),IFERROR(1*INDEX(BBG_Data!$X$2:$X$4000,MATCH($A1401,BBG_Data!$W$2:$W$4000,0)),NA()))</f>
        <v/>
      </c>
      <c r="AK1401" s="19">
        <f>IF(NOT(ISNUMBER($A1401)),NA(),IFERROR(1*INDEX(BBG_Data!$Z$2:$Z$4000,MATCH($A1401,BBG_Data!$Y$2:$Y$4000,0)),NA()))</f>
        <v/>
      </c>
    </row>
    <row r="1402">
      <c r="A1402" s="17">
        <f>IF(ISNUMBER(BBG_Data!A1402),BBG_Data!A1402,"")</f>
        <v/>
      </c>
      <c r="B1402" s="18">
        <f>IF(AND(ISNUMBER($A1402),ISNUMBER(BBG_Data!B1402)),BBG_Data!B1402,NA())</f>
        <v/>
      </c>
      <c r="C1402" s="18">
        <f>IF(NOT(ISNUMBER($A1402)),NA(),IFERROR(1*INDEX(BBG_Data!$D$2:$D$4000,MATCH($A1402,BBG_Data!$C$2:$C$4000,0)),NA()))</f>
        <v/>
      </c>
      <c r="D1402" s="19">
        <f>IF(NOT(ISNUMBER($A1402)),NA(),IFERROR(1*INDEX(BBG_Data!$F$2:$F$4000,MATCH($A1402,BBG_Data!$E$2:$E$4000,0)),NA()))</f>
        <v/>
      </c>
      <c r="E1402" s="19">
        <f>IF(NOT(ISNUMBER($A1402)),NA(),IFERROR(1*INDEX(BBG_Data!$H$2:$H$4000,MATCH($A1402,BBG_Data!$G$2:$G$4000,0)),NA()))</f>
        <v/>
      </c>
      <c r="F1402" s="20">
        <f>IF(AND(ISNUMBER(B1402),ISNUMBER(B1401)),IF(B1402=B1401,"",(B1402-B1401)*100),"")</f>
        <v/>
      </c>
      <c r="G1402" s="20">
        <f>IF(AND(ISNUMBER(C1402),ISNUMBER(C1401)),IF(C1402=C1401,"",(C1402-C1401)*100),"")</f>
        <v/>
      </c>
      <c r="H1402" s="20">
        <f>IF(OR(NOT(ISNUMBER($A1402)),ROW()-2&lt;Settings!$B$11),NA(),IF(COUNT(OFFSET(F1402,1-Settings!$B$11,0,Settings!$B$11,1))&lt;ROUNDUP(Settings!$B$11*Settings!$B$26,0),NA(),STDEV(OFFSET(F1402,1-Settings!$B$11,0,Settings!$B$11,1))*SQRT(Settings!$B$13)))</f>
        <v/>
      </c>
      <c r="I1402" s="20">
        <f>IF(OR(NOT(ISNUMBER($A1402)),ROW()-2&lt;Settings!$B$12),NA(),IF(COUNT(OFFSET(F1402,1-Settings!$B$12,0,Settings!$B$12,1))&lt;ROUNDUP(Settings!$B$12*Settings!$B$26,0),NA(),STDEV(OFFSET(F1402,1-Settings!$B$12,0,Settings!$B$12,1))*SQRT(Settings!$B$13)))</f>
        <v/>
      </c>
      <c r="J1402" s="20">
        <f>IF(OR(NOT(ISNUMBER($A1402)),ROW()-2&lt;Settings!$B$11),NA(),IF(COUNT(OFFSET(G1402,1-Settings!$B$11,0,Settings!$B$11,1))&lt;ROUNDUP(Settings!$B$11*Settings!$B$26,0),NA(),STDEV(OFFSET(G1402,1-Settings!$B$11,0,Settings!$B$11,1))*SQRT(Settings!$B$13)))</f>
        <v/>
      </c>
      <c r="K1402" s="20">
        <f>IF(OR(NOT(ISNUMBER($A1402)),ROW()-2&lt;Settings!$B$12),NA(),IF(COUNT(OFFSET(G1402,1-Settings!$B$12,0,Settings!$B$12,1))&lt;ROUNDUP(Settings!$B$12*Settings!$B$26,0),NA(),STDEV(OFFSET(G1402,1-Settings!$B$12,0,Settings!$B$12,1))*SQRT(Settings!$B$13)))</f>
        <v/>
      </c>
      <c r="L1402" s="20">
        <f>IF(AND(ISNUMBER(D1402),ISNUMBER(H1402)),D1402-H1402,NA())</f>
        <v/>
      </c>
      <c r="M1402" s="20">
        <f>IF(AND(ISNUMBER(E1402),ISNUMBER(K1402)),E1402-K1402,NA())</f>
        <v/>
      </c>
      <c r="N1402" s="20">
        <f>IF(NOT(ISNUMBER($A1402)),NA(),IF(COUNT(OFFSET(G1402,1,0,Settings!$B$12,1))&lt;ROUNDUP(Settings!$B$12*Settings!$B$26,0),NA(),STDEV(OFFSET(G1402,1,0,Settings!$B$12,1))*SQRT(Settings!$B$13)))</f>
        <v/>
      </c>
      <c r="O1402" s="20">
        <f>IF(AND(ISNUMBER(E1402),ISNUMBER(N1402)),E1402-N1402,NA())</f>
        <v/>
      </c>
      <c r="P1402" s="19">
        <f>IF(NOT(ISNUMBER($A1402)),NA(),IF(OR($A1402&lt;MIN(KW_TP!$A$2:$A$2501),$A1402&gt;MAX(KW_TP!$A$2:$A$2501)),NA(),INDEX(KW_TP!$C$2:$C$2501,MATCH($A1402,KW_TP!$A$2:$A$2501,1))))</f>
        <v/>
      </c>
      <c r="Q1402" s="18">
        <f>IF(NOT(ISNUMBER($A1402)),NA(),IFERROR(1*INDEX(BBG_Data!$J$2:$J$4000,MATCH($A1402,BBG_Data!$I$2:$I$4000,0)),NA()))</f>
        <v/>
      </c>
      <c r="R1402" s="18">
        <f>IF(NOT(ISNUMBER($A1402)),NA(),IFERROR(1*INDEX(BBG_Data!$L$2:$L$4000,MATCH($A1402,BBG_Data!$K$2:$K$4000,0)),NA()))</f>
        <v/>
      </c>
      <c r="S1402" s="20">
        <f>IF(AND(ISNUMBER(B1402),ISNUMBER(Q1402),ISNUMBER(R1402)),(B1402-Q1402-R1402)*100,NA())</f>
        <v/>
      </c>
      <c r="T1402" s="20">
        <f>IF(AND(ISNUMBER(B1402),Settings!$B$17&gt;0),IF(ISNUMBER(INDEX($B:$B,Settings!$B$17)),(B1402-INDEX($B:$B,Settings!$B$17))*100,NA()),NA())</f>
        <v/>
      </c>
      <c r="U1402" s="20">
        <f>IF(AND(ISNUMBER(Q1402),Settings!$B$17&gt;0),IF(ISNUMBER(INDEX($Q:$Q,Settings!$B$17)),(Q1402-INDEX($Q:$Q,Settings!$B$17))*100,NA()),NA())</f>
        <v/>
      </c>
      <c r="V1402" s="20">
        <f>IF(AND(ISNUMBER(R1402),Settings!$B$17&gt;0),IF(ISNUMBER(INDEX($R:$R,Settings!$B$17)),(R1402-INDEX($R:$R,Settings!$B$17))*100,NA()),NA())</f>
        <v/>
      </c>
      <c r="W1402" s="20">
        <f>IF(AND(ISNUMBER(P1402),Settings!$B$17&gt;0),IF(ISNUMBER(INDEX($P:$P,Settings!$B$17)),P1402-INDEX($P:$P,Settings!$B$17),NA()),NA())</f>
        <v/>
      </c>
      <c r="X1402" s="19">
        <f>IF(NOT(ISNUMBER($A1402)),NA(),IF(OR($A1402&lt;MIN(DKW_10Y!$A$2:$A$2918),$A1402&gt;MAX(DKW_10Y!$A$2:$A$2918),Settings!$B$16&lt;MIN(DKW_10Y!$A$2:$A$2918)),NA(),(INDEX(DKW_10Y!$B$2:$B$2918,MATCH($A1402,DKW_10Y!$A$2:$A$2918,1))-INDEX(DKW_10Y!$B$2:$B$2918,MATCH(Settings!$B$16,DKW_10Y!$A$2:$A$2918,1)))*100))</f>
        <v/>
      </c>
      <c r="Y1402" s="19">
        <f>IF(NOT(ISNUMBER($A1402)),NA(),IF(OR($A1402&lt;MIN(DKW_10Y!$A$2:$A$2918),$A1402&gt;MAX(DKW_10Y!$A$2:$A$2918),Settings!$B$16&lt;MIN(DKW_10Y!$A$2:$A$2918)),NA(),(INDEX(DKW_10Y!$C$2:$C$2918,MATCH($A1402,DKW_10Y!$A$2:$A$2918,1))-INDEX(DKW_10Y!$C$2:$C$2918,MATCH(Settings!$B$16,DKW_10Y!$A$2:$A$2918,1)))*100))</f>
        <v/>
      </c>
      <c r="Z1402" s="19">
        <f>IF(NOT(ISNUMBER($A1402)),NA(),IF(OR($A1402&lt;MIN(DKW_10Y!$A$2:$A$2918),$A1402&gt;MAX(DKW_10Y!$A$2:$A$2918),Settings!$B$16&lt;MIN(DKW_10Y!$A$2:$A$2918)),NA(),(INDEX(DKW_10Y!$D$2:$D$2918,MATCH($A1402,DKW_10Y!$A$2:$A$2918,1))-INDEX(DKW_10Y!$D$2:$D$2918,MATCH(Settings!$B$16,DKW_10Y!$A$2:$A$2918,1)))*100))</f>
        <v/>
      </c>
      <c r="AA1402" s="19">
        <f>IF(NOT(ISNUMBER($A1402)),NA(),IF(OR($A1402&lt;MIN(DKW_10Y!$A$2:$A$2918),$A1402&gt;MAX(DKW_10Y!$A$2:$A$2918),Settings!$B$16&lt;MIN(DKW_10Y!$A$2:$A$2918)),NA(),(INDEX(DKW_10Y!$E$2:$E$2918,MATCH($A1402,DKW_10Y!$A$2:$A$2918,1))-INDEX(DKW_10Y!$E$2:$E$2918,MATCH(Settings!$B$16,DKW_10Y!$A$2:$A$2918,1)))*100))</f>
        <v/>
      </c>
      <c r="AB1402" s="19">
        <f>IF(NOT(ISNUMBER($A1402)),NA(),IF(OR($A1402&lt;MIN(DKW_10Y!$A$2:$A$2918),$A1402&gt;MAX(DKW_10Y!$A$2:$A$2918),Settings!$B$16&lt;MIN(DKW_10Y!$A$2:$A$2918)),NA(),(INDEX(DKW_10Y!$H$2:$H$2918,MATCH($A1402,DKW_10Y!$A$2:$A$2918,1))-INDEX(DKW_10Y!$H$2:$H$2918,MATCH(Settings!$B$16,DKW_10Y!$A$2:$A$2918,1)))*100))</f>
        <v/>
      </c>
      <c r="AC1402" s="18">
        <f>IF(NOT(ISNUMBER($A1402)),NA(),IFERROR(1*INDEX(BBG_Data!$N$2:$N$4000,MATCH($A1402,BBG_Data!$M$2:$M$4000,0)),NA()))</f>
        <v/>
      </c>
      <c r="AD1402" s="18">
        <f>IF(NOT(ISNUMBER($A1402)),NA(),IFERROR(1*INDEX(BBG_Data!$P$2:$P$4000,MATCH($A1402,BBG_Data!$O$2:$O$4000,0)),NA()))</f>
        <v/>
      </c>
      <c r="AE1402" s="18">
        <f>IF(NOT(ISNUMBER($A1402)),NA(),IFERROR(1*INDEX(BBG_Data!$R$2:$R$4000,MATCH($A1402,BBG_Data!$Q$2:$Q$4000,0)),NA()))</f>
        <v/>
      </c>
      <c r="AF1402" s="20">
        <f>IF(AND(ISNUMBER(B1402),ISNUMBER(AC1402)),(B1402-AC1402)*100,NA())</f>
        <v/>
      </c>
      <c r="AG1402" s="20">
        <f>IF(AND(ISNUMBER(AE1402),ISNUMBER(AD1402)),(AE1402-AD1402)*100,NA())</f>
        <v/>
      </c>
      <c r="AH1402" s="19">
        <f>IF(NOT(ISNUMBER($A1402)),NA(),IFERROR(INDEX(BBG_Data!$T$2:$T$4000,MATCH($A1402,BBG_Data!$S$2:$S$4000,0))*Settings!$B$25,NA()))</f>
        <v/>
      </c>
      <c r="AI1402" s="19">
        <f>IF(NOT(ISNUMBER($A1402)),NA(),IFERROR(INDEX(BBG_Data!$V$2:$V$4000,MATCH($A1402,BBG_Data!$U$2:$U$4000,0))*Settings!$B$25,NA()))</f>
        <v/>
      </c>
      <c r="AJ1402" s="19">
        <f>IF(NOT(ISNUMBER($A1402)),NA(),IFERROR(1*INDEX(BBG_Data!$X$2:$X$4000,MATCH($A1402,BBG_Data!$W$2:$W$4000,0)),NA()))</f>
        <v/>
      </c>
      <c r="AK1402" s="19">
        <f>IF(NOT(ISNUMBER($A1402)),NA(),IFERROR(1*INDEX(BBG_Data!$Z$2:$Z$4000,MATCH($A1402,BBG_Data!$Y$2:$Y$4000,0)),NA()))</f>
        <v/>
      </c>
    </row>
    <row r="1403">
      <c r="A1403" s="17">
        <f>IF(ISNUMBER(BBG_Data!A1403),BBG_Data!A1403,"")</f>
        <v/>
      </c>
      <c r="B1403" s="18">
        <f>IF(AND(ISNUMBER($A1403),ISNUMBER(BBG_Data!B1403)),BBG_Data!B1403,NA())</f>
        <v/>
      </c>
      <c r="C1403" s="18">
        <f>IF(NOT(ISNUMBER($A1403)),NA(),IFERROR(1*INDEX(BBG_Data!$D$2:$D$4000,MATCH($A1403,BBG_Data!$C$2:$C$4000,0)),NA()))</f>
        <v/>
      </c>
      <c r="D1403" s="19">
        <f>IF(NOT(ISNUMBER($A1403)),NA(),IFERROR(1*INDEX(BBG_Data!$F$2:$F$4000,MATCH($A1403,BBG_Data!$E$2:$E$4000,0)),NA()))</f>
        <v/>
      </c>
      <c r="E1403" s="19">
        <f>IF(NOT(ISNUMBER($A1403)),NA(),IFERROR(1*INDEX(BBG_Data!$H$2:$H$4000,MATCH($A1403,BBG_Data!$G$2:$G$4000,0)),NA()))</f>
        <v/>
      </c>
      <c r="F1403" s="20">
        <f>IF(AND(ISNUMBER(B1403),ISNUMBER(B1402)),IF(B1403=B1402,"",(B1403-B1402)*100),"")</f>
        <v/>
      </c>
      <c r="G1403" s="20">
        <f>IF(AND(ISNUMBER(C1403),ISNUMBER(C1402)),IF(C1403=C1402,"",(C1403-C1402)*100),"")</f>
        <v/>
      </c>
      <c r="H1403" s="20">
        <f>IF(OR(NOT(ISNUMBER($A1403)),ROW()-2&lt;Settings!$B$11),NA(),IF(COUNT(OFFSET(F1403,1-Settings!$B$11,0,Settings!$B$11,1))&lt;ROUNDUP(Settings!$B$11*Settings!$B$26,0),NA(),STDEV(OFFSET(F1403,1-Settings!$B$11,0,Settings!$B$11,1))*SQRT(Settings!$B$13)))</f>
        <v/>
      </c>
      <c r="I1403" s="20">
        <f>IF(OR(NOT(ISNUMBER($A1403)),ROW()-2&lt;Settings!$B$12),NA(),IF(COUNT(OFFSET(F1403,1-Settings!$B$12,0,Settings!$B$12,1))&lt;ROUNDUP(Settings!$B$12*Settings!$B$26,0),NA(),STDEV(OFFSET(F1403,1-Settings!$B$12,0,Settings!$B$12,1))*SQRT(Settings!$B$13)))</f>
        <v/>
      </c>
      <c r="J1403" s="20">
        <f>IF(OR(NOT(ISNUMBER($A1403)),ROW()-2&lt;Settings!$B$11),NA(),IF(COUNT(OFFSET(G1403,1-Settings!$B$11,0,Settings!$B$11,1))&lt;ROUNDUP(Settings!$B$11*Settings!$B$26,0),NA(),STDEV(OFFSET(G1403,1-Settings!$B$11,0,Settings!$B$11,1))*SQRT(Settings!$B$13)))</f>
        <v/>
      </c>
      <c r="K1403" s="20">
        <f>IF(OR(NOT(ISNUMBER($A1403)),ROW()-2&lt;Settings!$B$12),NA(),IF(COUNT(OFFSET(G1403,1-Settings!$B$12,0,Settings!$B$12,1))&lt;ROUNDUP(Settings!$B$12*Settings!$B$26,0),NA(),STDEV(OFFSET(G1403,1-Settings!$B$12,0,Settings!$B$12,1))*SQRT(Settings!$B$13)))</f>
        <v/>
      </c>
      <c r="L1403" s="20">
        <f>IF(AND(ISNUMBER(D1403),ISNUMBER(H1403)),D1403-H1403,NA())</f>
        <v/>
      </c>
      <c r="M1403" s="20">
        <f>IF(AND(ISNUMBER(E1403),ISNUMBER(K1403)),E1403-K1403,NA())</f>
        <v/>
      </c>
      <c r="N1403" s="20">
        <f>IF(NOT(ISNUMBER($A1403)),NA(),IF(COUNT(OFFSET(G1403,1,0,Settings!$B$12,1))&lt;ROUNDUP(Settings!$B$12*Settings!$B$26,0),NA(),STDEV(OFFSET(G1403,1,0,Settings!$B$12,1))*SQRT(Settings!$B$13)))</f>
        <v/>
      </c>
      <c r="O1403" s="20">
        <f>IF(AND(ISNUMBER(E1403),ISNUMBER(N1403)),E1403-N1403,NA())</f>
        <v/>
      </c>
      <c r="P1403" s="19">
        <f>IF(NOT(ISNUMBER($A1403)),NA(),IF(OR($A1403&lt;MIN(KW_TP!$A$2:$A$2501),$A1403&gt;MAX(KW_TP!$A$2:$A$2501)),NA(),INDEX(KW_TP!$C$2:$C$2501,MATCH($A1403,KW_TP!$A$2:$A$2501,1))))</f>
        <v/>
      </c>
      <c r="Q1403" s="18">
        <f>IF(NOT(ISNUMBER($A1403)),NA(),IFERROR(1*INDEX(BBG_Data!$J$2:$J$4000,MATCH($A1403,BBG_Data!$I$2:$I$4000,0)),NA()))</f>
        <v/>
      </c>
      <c r="R1403" s="18">
        <f>IF(NOT(ISNUMBER($A1403)),NA(),IFERROR(1*INDEX(BBG_Data!$L$2:$L$4000,MATCH($A1403,BBG_Data!$K$2:$K$4000,0)),NA()))</f>
        <v/>
      </c>
      <c r="S1403" s="20">
        <f>IF(AND(ISNUMBER(B1403),ISNUMBER(Q1403),ISNUMBER(R1403)),(B1403-Q1403-R1403)*100,NA())</f>
        <v/>
      </c>
      <c r="T1403" s="20">
        <f>IF(AND(ISNUMBER(B1403),Settings!$B$17&gt;0),IF(ISNUMBER(INDEX($B:$B,Settings!$B$17)),(B1403-INDEX($B:$B,Settings!$B$17))*100,NA()),NA())</f>
        <v/>
      </c>
      <c r="U1403" s="20">
        <f>IF(AND(ISNUMBER(Q1403),Settings!$B$17&gt;0),IF(ISNUMBER(INDEX($Q:$Q,Settings!$B$17)),(Q1403-INDEX($Q:$Q,Settings!$B$17))*100,NA()),NA())</f>
        <v/>
      </c>
      <c r="V1403" s="20">
        <f>IF(AND(ISNUMBER(R1403),Settings!$B$17&gt;0),IF(ISNUMBER(INDEX($R:$R,Settings!$B$17)),(R1403-INDEX($R:$R,Settings!$B$17))*100,NA()),NA())</f>
        <v/>
      </c>
      <c r="W1403" s="20">
        <f>IF(AND(ISNUMBER(P1403),Settings!$B$17&gt;0),IF(ISNUMBER(INDEX($P:$P,Settings!$B$17)),P1403-INDEX($P:$P,Settings!$B$17),NA()),NA())</f>
        <v/>
      </c>
      <c r="X1403" s="19">
        <f>IF(NOT(ISNUMBER($A1403)),NA(),IF(OR($A1403&lt;MIN(DKW_10Y!$A$2:$A$2918),$A1403&gt;MAX(DKW_10Y!$A$2:$A$2918),Settings!$B$16&lt;MIN(DKW_10Y!$A$2:$A$2918)),NA(),(INDEX(DKW_10Y!$B$2:$B$2918,MATCH($A1403,DKW_10Y!$A$2:$A$2918,1))-INDEX(DKW_10Y!$B$2:$B$2918,MATCH(Settings!$B$16,DKW_10Y!$A$2:$A$2918,1)))*100))</f>
        <v/>
      </c>
      <c r="Y1403" s="19">
        <f>IF(NOT(ISNUMBER($A1403)),NA(),IF(OR($A1403&lt;MIN(DKW_10Y!$A$2:$A$2918),$A1403&gt;MAX(DKW_10Y!$A$2:$A$2918),Settings!$B$16&lt;MIN(DKW_10Y!$A$2:$A$2918)),NA(),(INDEX(DKW_10Y!$C$2:$C$2918,MATCH($A1403,DKW_10Y!$A$2:$A$2918,1))-INDEX(DKW_10Y!$C$2:$C$2918,MATCH(Settings!$B$16,DKW_10Y!$A$2:$A$2918,1)))*100))</f>
        <v/>
      </c>
      <c r="Z1403" s="19">
        <f>IF(NOT(ISNUMBER($A1403)),NA(),IF(OR($A1403&lt;MIN(DKW_10Y!$A$2:$A$2918),$A1403&gt;MAX(DKW_10Y!$A$2:$A$2918),Settings!$B$16&lt;MIN(DKW_10Y!$A$2:$A$2918)),NA(),(INDEX(DKW_10Y!$D$2:$D$2918,MATCH($A1403,DKW_10Y!$A$2:$A$2918,1))-INDEX(DKW_10Y!$D$2:$D$2918,MATCH(Settings!$B$16,DKW_10Y!$A$2:$A$2918,1)))*100))</f>
        <v/>
      </c>
      <c r="AA1403" s="19">
        <f>IF(NOT(ISNUMBER($A1403)),NA(),IF(OR($A1403&lt;MIN(DKW_10Y!$A$2:$A$2918),$A1403&gt;MAX(DKW_10Y!$A$2:$A$2918),Settings!$B$16&lt;MIN(DKW_10Y!$A$2:$A$2918)),NA(),(INDEX(DKW_10Y!$E$2:$E$2918,MATCH($A1403,DKW_10Y!$A$2:$A$2918,1))-INDEX(DKW_10Y!$E$2:$E$2918,MATCH(Settings!$B$16,DKW_10Y!$A$2:$A$2918,1)))*100))</f>
        <v/>
      </c>
      <c r="AB1403" s="19">
        <f>IF(NOT(ISNUMBER($A1403)),NA(),IF(OR($A1403&lt;MIN(DKW_10Y!$A$2:$A$2918),$A1403&gt;MAX(DKW_10Y!$A$2:$A$2918),Settings!$B$16&lt;MIN(DKW_10Y!$A$2:$A$2918)),NA(),(INDEX(DKW_10Y!$H$2:$H$2918,MATCH($A1403,DKW_10Y!$A$2:$A$2918,1))-INDEX(DKW_10Y!$H$2:$H$2918,MATCH(Settings!$B$16,DKW_10Y!$A$2:$A$2918,1)))*100))</f>
        <v/>
      </c>
      <c r="AC1403" s="18">
        <f>IF(NOT(ISNUMBER($A1403)),NA(),IFERROR(1*INDEX(BBG_Data!$N$2:$N$4000,MATCH($A1403,BBG_Data!$M$2:$M$4000,0)),NA()))</f>
        <v/>
      </c>
      <c r="AD1403" s="18">
        <f>IF(NOT(ISNUMBER($A1403)),NA(),IFERROR(1*INDEX(BBG_Data!$P$2:$P$4000,MATCH($A1403,BBG_Data!$O$2:$O$4000,0)),NA()))</f>
        <v/>
      </c>
      <c r="AE1403" s="18">
        <f>IF(NOT(ISNUMBER($A1403)),NA(),IFERROR(1*INDEX(BBG_Data!$R$2:$R$4000,MATCH($A1403,BBG_Data!$Q$2:$Q$4000,0)),NA()))</f>
        <v/>
      </c>
      <c r="AF1403" s="20">
        <f>IF(AND(ISNUMBER(B1403),ISNUMBER(AC1403)),(B1403-AC1403)*100,NA())</f>
        <v/>
      </c>
      <c r="AG1403" s="20">
        <f>IF(AND(ISNUMBER(AE1403),ISNUMBER(AD1403)),(AE1403-AD1403)*100,NA())</f>
        <v/>
      </c>
      <c r="AH1403" s="19">
        <f>IF(NOT(ISNUMBER($A1403)),NA(),IFERROR(INDEX(BBG_Data!$T$2:$T$4000,MATCH($A1403,BBG_Data!$S$2:$S$4000,0))*Settings!$B$25,NA()))</f>
        <v/>
      </c>
      <c r="AI1403" s="19">
        <f>IF(NOT(ISNUMBER($A1403)),NA(),IFERROR(INDEX(BBG_Data!$V$2:$V$4000,MATCH($A1403,BBG_Data!$U$2:$U$4000,0))*Settings!$B$25,NA()))</f>
        <v/>
      </c>
      <c r="AJ1403" s="19">
        <f>IF(NOT(ISNUMBER($A1403)),NA(),IFERROR(1*INDEX(BBG_Data!$X$2:$X$4000,MATCH($A1403,BBG_Data!$W$2:$W$4000,0)),NA()))</f>
        <v/>
      </c>
      <c r="AK1403" s="19">
        <f>IF(NOT(ISNUMBER($A1403)),NA(),IFERROR(1*INDEX(BBG_Data!$Z$2:$Z$4000,MATCH($A1403,BBG_Data!$Y$2:$Y$4000,0)),NA()))</f>
        <v/>
      </c>
    </row>
    <row r="1404">
      <c r="A1404" s="17">
        <f>IF(ISNUMBER(BBG_Data!A1404),BBG_Data!A1404,"")</f>
        <v/>
      </c>
      <c r="B1404" s="18">
        <f>IF(AND(ISNUMBER($A1404),ISNUMBER(BBG_Data!B1404)),BBG_Data!B1404,NA())</f>
        <v/>
      </c>
      <c r="C1404" s="18">
        <f>IF(NOT(ISNUMBER($A1404)),NA(),IFERROR(1*INDEX(BBG_Data!$D$2:$D$4000,MATCH($A1404,BBG_Data!$C$2:$C$4000,0)),NA()))</f>
        <v/>
      </c>
      <c r="D1404" s="19">
        <f>IF(NOT(ISNUMBER($A1404)),NA(),IFERROR(1*INDEX(BBG_Data!$F$2:$F$4000,MATCH($A1404,BBG_Data!$E$2:$E$4000,0)),NA()))</f>
        <v/>
      </c>
      <c r="E1404" s="19">
        <f>IF(NOT(ISNUMBER($A1404)),NA(),IFERROR(1*INDEX(BBG_Data!$H$2:$H$4000,MATCH($A1404,BBG_Data!$G$2:$G$4000,0)),NA()))</f>
        <v/>
      </c>
      <c r="F1404" s="20">
        <f>IF(AND(ISNUMBER(B1404),ISNUMBER(B1403)),IF(B1404=B1403,"",(B1404-B1403)*100),"")</f>
        <v/>
      </c>
      <c r="G1404" s="20">
        <f>IF(AND(ISNUMBER(C1404),ISNUMBER(C1403)),IF(C1404=C1403,"",(C1404-C1403)*100),"")</f>
        <v/>
      </c>
      <c r="H1404" s="20">
        <f>IF(OR(NOT(ISNUMBER($A1404)),ROW()-2&lt;Settings!$B$11),NA(),IF(COUNT(OFFSET(F1404,1-Settings!$B$11,0,Settings!$B$11,1))&lt;ROUNDUP(Settings!$B$11*Settings!$B$26,0),NA(),STDEV(OFFSET(F1404,1-Settings!$B$11,0,Settings!$B$11,1))*SQRT(Settings!$B$13)))</f>
        <v/>
      </c>
      <c r="I1404" s="20">
        <f>IF(OR(NOT(ISNUMBER($A1404)),ROW()-2&lt;Settings!$B$12),NA(),IF(COUNT(OFFSET(F1404,1-Settings!$B$12,0,Settings!$B$12,1))&lt;ROUNDUP(Settings!$B$12*Settings!$B$26,0),NA(),STDEV(OFFSET(F1404,1-Settings!$B$12,0,Settings!$B$12,1))*SQRT(Settings!$B$13)))</f>
        <v/>
      </c>
      <c r="J1404" s="20">
        <f>IF(OR(NOT(ISNUMBER($A1404)),ROW()-2&lt;Settings!$B$11),NA(),IF(COUNT(OFFSET(G1404,1-Settings!$B$11,0,Settings!$B$11,1))&lt;ROUNDUP(Settings!$B$11*Settings!$B$26,0),NA(),STDEV(OFFSET(G1404,1-Settings!$B$11,0,Settings!$B$11,1))*SQRT(Settings!$B$13)))</f>
        <v/>
      </c>
      <c r="K1404" s="20">
        <f>IF(OR(NOT(ISNUMBER($A1404)),ROW()-2&lt;Settings!$B$12),NA(),IF(COUNT(OFFSET(G1404,1-Settings!$B$12,0,Settings!$B$12,1))&lt;ROUNDUP(Settings!$B$12*Settings!$B$26,0),NA(),STDEV(OFFSET(G1404,1-Settings!$B$12,0,Settings!$B$12,1))*SQRT(Settings!$B$13)))</f>
        <v/>
      </c>
      <c r="L1404" s="20">
        <f>IF(AND(ISNUMBER(D1404),ISNUMBER(H1404)),D1404-H1404,NA())</f>
        <v/>
      </c>
      <c r="M1404" s="20">
        <f>IF(AND(ISNUMBER(E1404),ISNUMBER(K1404)),E1404-K1404,NA())</f>
        <v/>
      </c>
      <c r="N1404" s="20">
        <f>IF(NOT(ISNUMBER($A1404)),NA(),IF(COUNT(OFFSET(G1404,1,0,Settings!$B$12,1))&lt;ROUNDUP(Settings!$B$12*Settings!$B$26,0),NA(),STDEV(OFFSET(G1404,1,0,Settings!$B$12,1))*SQRT(Settings!$B$13)))</f>
        <v/>
      </c>
      <c r="O1404" s="20">
        <f>IF(AND(ISNUMBER(E1404),ISNUMBER(N1404)),E1404-N1404,NA())</f>
        <v/>
      </c>
      <c r="P1404" s="19">
        <f>IF(NOT(ISNUMBER($A1404)),NA(),IF(OR($A1404&lt;MIN(KW_TP!$A$2:$A$2501),$A1404&gt;MAX(KW_TP!$A$2:$A$2501)),NA(),INDEX(KW_TP!$C$2:$C$2501,MATCH($A1404,KW_TP!$A$2:$A$2501,1))))</f>
        <v/>
      </c>
      <c r="Q1404" s="18">
        <f>IF(NOT(ISNUMBER($A1404)),NA(),IFERROR(1*INDEX(BBG_Data!$J$2:$J$4000,MATCH($A1404,BBG_Data!$I$2:$I$4000,0)),NA()))</f>
        <v/>
      </c>
      <c r="R1404" s="18">
        <f>IF(NOT(ISNUMBER($A1404)),NA(),IFERROR(1*INDEX(BBG_Data!$L$2:$L$4000,MATCH($A1404,BBG_Data!$K$2:$K$4000,0)),NA()))</f>
        <v/>
      </c>
      <c r="S1404" s="20">
        <f>IF(AND(ISNUMBER(B1404),ISNUMBER(Q1404),ISNUMBER(R1404)),(B1404-Q1404-R1404)*100,NA())</f>
        <v/>
      </c>
      <c r="T1404" s="20">
        <f>IF(AND(ISNUMBER(B1404),Settings!$B$17&gt;0),IF(ISNUMBER(INDEX($B:$B,Settings!$B$17)),(B1404-INDEX($B:$B,Settings!$B$17))*100,NA()),NA())</f>
        <v/>
      </c>
      <c r="U1404" s="20">
        <f>IF(AND(ISNUMBER(Q1404),Settings!$B$17&gt;0),IF(ISNUMBER(INDEX($Q:$Q,Settings!$B$17)),(Q1404-INDEX($Q:$Q,Settings!$B$17))*100,NA()),NA())</f>
        <v/>
      </c>
      <c r="V1404" s="20">
        <f>IF(AND(ISNUMBER(R1404),Settings!$B$17&gt;0),IF(ISNUMBER(INDEX($R:$R,Settings!$B$17)),(R1404-INDEX($R:$R,Settings!$B$17))*100,NA()),NA())</f>
        <v/>
      </c>
      <c r="W1404" s="20">
        <f>IF(AND(ISNUMBER(P1404),Settings!$B$17&gt;0),IF(ISNUMBER(INDEX($P:$P,Settings!$B$17)),P1404-INDEX($P:$P,Settings!$B$17),NA()),NA())</f>
        <v/>
      </c>
      <c r="X1404" s="19">
        <f>IF(NOT(ISNUMBER($A1404)),NA(),IF(OR($A1404&lt;MIN(DKW_10Y!$A$2:$A$2918),$A1404&gt;MAX(DKW_10Y!$A$2:$A$2918),Settings!$B$16&lt;MIN(DKW_10Y!$A$2:$A$2918)),NA(),(INDEX(DKW_10Y!$B$2:$B$2918,MATCH($A1404,DKW_10Y!$A$2:$A$2918,1))-INDEX(DKW_10Y!$B$2:$B$2918,MATCH(Settings!$B$16,DKW_10Y!$A$2:$A$2918,1)))*100))</f>
        <v/>
      </c>
      <c r="Y1404" s="19">
        <f>IF(NOT(ISNUMBER($A1404)),NA(),IF(OR($A1404&lt;MIN(DKW_10Y!$A$2:$A$2918),$A1404&gt;MAX(DKW_10Y!$A$2:$A$2918),Settings!$B$16&lt;MIN(DKW_10Y!$A$2:$A$2918)),NA(),(INDEX(DKW_10Y!$C$2:$C$2918,MATCH($A1404,DKW_10Y!$A$2:$A$2918,1))-INDEX(DKW_10Y!$C$2:$C$2918,MATCH(Settings!$B$16,DKW_10Y!$A$2:$A$2918,1)))*100))</f>
        <v/>
      </c>
      <c r="Z1404" s="19">
        <f>IF(NOT(ISNUMBER($A1404)),NA(),IF(OR($A1404&lt;MIN(DKW_10Y!$A$2:$A$2918),$A1404&gt;MAX(DKW_10Y!$A$2:$A$2918),Settings!$B$16&lt;MIN(DKW_10Y!$A$2:$A$2918)),NA(),(INDEX(DKW_10Y!$D$2:$D$2918,MATCH($A1404,DKW_10Y!$A$2:$A$2918,1))-INDEX(DKW_10Y!$D$2:$D$2918,MATCH(Settings!$B$16,DKW_10Y!$A$2:$A$2918,1)))*100))</f>
        <v/>
      </c>
      <c r="AA1404" s="19">
        <f>IF(NOT(ISNUMBER($A1404)),NA(),IF(OR($A1404&lt;MIN(DKW_10Y!$A$2:$A$2918),$A1404&gt;MAX(DKW_10Y!$A$2:$A$2918),Settings!$B$16&lt;MIN(DKW_10Y!$A$2:$A$2918)),NA(),(INDEX(DKW_10Y!$E$2:$E$2918,MATCH($A1404,DKW_10Y!$A$2:$A$2918,1))-INDEX(DKW_10Y!$E$2:$E$2918,MATCH(Settings!$B$16,DKW_10Y!$A$2:$A$2918,1)))*100))</f>
        <v/>
      </c>
      <c r="AB1404" s="19">
        <f>IF(NOT(ISNUMBER($A1404)),NA(),IF(OR($A1404&lt;MIN(DKW_10Y!$A$2:$A$2918),$A1404&gt;MAX(DKW_10Y!$A$2:$A$2918),Settings!$B$16&lt;MIN(DKW_10Y!$A$2:$A$2918)),NA(),(INDEX(DKW_10Y!$H$2:$H$2918,MATCH($A1404,DKW_10Y!$A$2:$A$2918,1))-INDEX(DKW_10Y!$H$2:$H$2918,MATCH(Settings!$B$16,DKW_10Y!$A$2:$A$2918,1)))*100))</f>
        <v/>
      </c>
      <c r="AC1404" s="18">
        <f>IF(NOT(ISNUMBER($A1404)),NA(),IFERROR(1*INDEX(BBG_Data!$N$2:$N$4000,MATCH($A1404,BBG_Data!$M$2:$M$4000,0)),NA()))</f>
        <v/>
      </c>
      <c r="AD1404" s="18">
        <f>IF(NOT(ISNUMBER($A1404)),NA(),IFERROR(1*INDEX(BBG_Data!$P$2:$P$4000,MATCH($A1404,BBG_Data!$O$2:$O$4000,0)),NA()))</f>
        <v/>
      </c>
      <c r="AE1404" s="18">
        <f>IF(NOT(ISNUMBER($A1404)),NA(),IFERROR(1*INDEX(BBG_Data!$R$2:$R$4000,MATCH($A1404,BBG_Data!$Q$2:$Q$4000,0)),NA()))</f>
        <v/>
      </c>
      <c r="AF1404" s="20">
        <f>IF(AND(ISNUMBER(B1404),ISNUMBER(AC1404)),(B1404-AC1404)*100,NA())</f>
        <v/>
      </c>
      <c r="AG1404" s="20">
        <f>IF(AND(ISNUMBER(AE1404),ISNUMBER(AD1404)),(AE1404-AD1404)*100,NA())</f>
        <v/>
      </c>
      <c r="AH1404" s="19">
        <f>IF(NOT(ISNUMBER($A1404)),NA(),IFERROR(INDEX(BBG_Data!$T$2:$T$4000,MATCH($A1404,BBG_Data!$S$2:$S$4000,0))*Settings!$B$25,NA()))</f>
        <v/>
      </c>
      <c r="AI1404" s="19">
        <f>IF(NOT(ISNUMBER($A1404)),NA(),IFERROR(INDEX(BBG_Data!$V$2:$V$4000,MATCH($A1404,BBG_Data!$U$2:$U$4000,0))*Settings!$B$25,NA()))</f>
        <v/>
      </c>
      <c r="AJ1404" s="19">
        <f>IF(NOT(ISNUMBER($A1404)),NA(),IFERROR(1*INDEX(BBG_Data!$X$2:$X$4000,MATCH($A1404,BBG_Data!$W$2:$W$4000,0)),NA()))</f>
        <v/>
      </c>
      <c r="AK1404" s="19">
        <f>IF(NOT(ISNUMBER($A1404)),NA(),IFERROR(1*INDEX(BBG_Data!$Z$2:$Z$4000,MATCH($A1404,BBG_Data!$Y$2:$Y$4000,0)),NA()))</f>
        <v/>
      </c>
    </row>
    <row r="1405">
      <c r="A1405" s="17">
        <f>IF(ISNUMBER(BBG_Data!A1405),BBG_Data!A1405,"")</f>
        <v/>
      </c>
      <c r="B1405" s="18">
        <f>IF(AND(ISNUMBER($A1405),ISNUMBER(BBG_Data!B1405)),BBG_Data!B1405,NA())</f>
        <v/>
      </c>
      <c r="C1405" s="18">
        <f>IF(NOT(ISNUMBER($A1405)),NA(),IFERROR(1*INDEX(BBG_Data!$D$2:$D$4000,MATCH($A1405,BBG_Data!$C$2:$C$4000,0)),NA()))</f>
        <v/>
      </c>
      <c r="D1405" s="19">
        <f>IF(NOT(ISNUMBER($A1405)),NA(),IFERROR(1*INDEX(BBG_Data!$F$2:$F$4000,MATCH($A1405,BBG_Data!$E$2:$E$4000,0)),NA()))</f>
        <v/>
      </c>
      <c r="E1405" s="19">
        <f>IF(NOT(ISNUMBER($A1405)),NA(),IFERROR(1*INDEX(BBG_Data!$H$2:$H$4000,MATCH($A1405,BBG_Data!$G$2:$G$4000,0)),NA()))</f>
        <v/>
      </c>
      <c r="F1405" s="20">
        <f>IF(AND(ISNUMBER(B1405),ISNUMBER(B1404)),IF(B1405=B1404,"",(B1405-B1404)*100),"")</f>
        <v/>
      </c>
      <c r="G1405" s="20">
        <f>IF(AND(ISNUMBER(C1405),ISNUMBER(C1404)),IF(C1405=C1404,"",(C1405-C1404)*100),"")</f>
        <v/>
      </c>
      <c r="H1405" s="20">
        <f>IF(OR(NOT(ISNUMBER($A1405)),ROW()-2&lt;Settings!$B$11),NA(),IF(COUNT(OFFSET(F1405,1-Settings!$B$11,0,Settings!$B$11,1))&lt;ROUNDUP(Settings!$B$11*Settings!$B$26,0),NA(),STDEV(OFFSET(F1405,1-Settings!$B$11,0,Settings!$B$11,1))*SQRT(Settings!$B$13)))</f>
        <v/>
      </c>
      <c r="I1405" s="20">
        <f>IF(OR(NOT(ISNUMBER($A1405)),ROW()-2&lt;Settings!$B$12),NA(),IF(COUNT(OFFSET(F1405,1-Settings!$B$12,0,Settings!$B$12,1))&lt;ROUNDUP(Settings!$B$12*Settings!$B$26,0),NA(),STDEV(OFFSET(F1405,1-Settings!$B$12,0,Settings!$B$12,1))*SQRT(Settings!$B$13)))</f>
        <v/>
      </c>
      <c r="J1405" s="20">
        <f>IF(OR(NOT(ISNUMBER($A1405)),ROW()-2&lt;Settings!$B$11),NA(),IF(COUNT(OFFSET(G1405,1-Settings!$B$11,0,Settings!$B$11,1))&lt;ROUNDUP(Settings!$B$11*Settings!$B$26,0),NA(),STDEV(OFFSET(G1405,1-Settings!$B$11,0,Settings!$B$11,1))*SQRT(Settings!$B$13)))</f>
        <v/>
      </c>
      <c r="K1405" s="20">
        <f>IF(OR(NOT(ISNUMBER($A1405)),ROW()-2&lt;Settings!$B$12),NA(),IF(COUNT(OFFSET(G1405,1-Settings!$B$12,0,Settings!$B$12,1))&lt;ROUNDUP(Settings!$B$12*Settings!$B$26,0),NA(),STDEV(OFFSET(G1405,1-Settings!$B$12,0,Settings!$B$12,1))*SQRT(Settings!$B$13)))</f>
        <v/>
      </c>
      <c r="L1405" s="20">
        <f>IF(AND(ISNUMBER(D1405),ISNUMBER(H1405)),D1405-H1405,NA())</f>
        <v/>
      </c>
      <c r="M1405" s="20">
        <f>IF(AND(ISNUMBER(E1405),ISNUMBER(K1405)),E1405-K1405,NA())</f>
        <v/>
      </c>
      <c r="N1405" s="20">
        <f>IF(NOT(ISNUMBER($A1405)),NA(),IF(COUNT(OFFSET(G1405,1,0,Settings!$B$12,1))&lt;ROUNDUP(Settings!$B$12*Settings!$B$26,0),NA(),STDEV(OFFSET(G1405,1,0,Settings!$B$12,1))*SQRT(Settings!$B$13)))</f>
        <v/>
      </c>
      <c r="O1405" s="20">
        <f>IF(AND(ISNUMBER(E1405),ISNUMBER(N1405)),E1405-N1405,NA())</f>
        <v/>
      </c>
      <c r="P1405" s="19">
        <f>IF(NOT(ISNUMBER($A1405)),NA(),IF(OR($A1405&lt;MIN(KW_TP!$A$2:$A$2501),$A1405&gt;MAX(KW_TP!$A$2:$A$2501)),NA(),INDEX(KW_TP!$C$2:$C$2501,MATCH($A1405,KW_TP!$A$2:$A$2501,1))))</f>
        <v/>
      </c>
      <c r="Q1405" s="18">
        <f>IF(NOT(ISNUMBER($A1405)),NA(),IFERROR(1*INDEX(BBG_Data!$J$2:$J$4000,MATCH($A1405,BBG_Data!$I$2:$I$4000,0)),NA()))</f>
        <v/>
      </c>
      <c r="R1405" s="18">
        <f>IF(NOT(ISNUMBER($A1405)),NA(),IFERROR(1*INDEX(BBG_Data!$L$2:$L$4000,MATCH($A1405,BBG_Data!$K$2:$K$4000,0)),NA()))</f>
        <v/>
      </c>
      <c r="S1405" s="20">
        <f>IF(AND(ISNUMBER(B1405),ISNUMBER(Q1405),ISNUMBER(R1405)),(B1405-Q1405-R1405)*100,NA())</f>
        <v/>
      </c>
      <c r="T1405" s="20">
        <f>IF(AND(ISNUMBER(B1405),Settings!$B$17&gt;0),IF(ISNUMBER(INDEX($B:$B,Settings!$B$17)),(B1405-INDEX($B:$B,Settings!$B$17))*100,NA()),NA())</f>
        <v/>
      </c>
      <c r="U1405" s="20">
        <f>IF(AND(ISNUMBER(Q1405),Settings!$B$17&gt;0),IF(ISNUMBER(INDEX($Q:$Q,Settings!$B$17)),(Q1405-INDEX($Q:$Q,Settings!$B$17))*100,NA()),NA())</f>
        <v/>
      </c>
      <c r="V1405" s="20">
        <f>IF(AND(ISNUMBER(R1405),Settings!$B$17&gt;0),IF(ISNUMBER(INDEX($R:$R,Settings!$B$17)),(R1405-INDEX($R:$R,Settings!$B$17))*100,NA()),NA())</f>
        <v/>
      </c>
      <c r="W1405" s="20">
        <f>IF(AND(ISNUMBER(P1405),Settings!$B$17&gt;0),IF(ISNUMBER(INDEX($P:$P,Settings!$B$17)),P1405-INDEX($P:$P,Settings!$B$17),NA()),NA())</f>
        <v/>
      </c>
      <c r="X1405" s="19">
        <f>IF(NOT(ISNUMBER($A1405)),NA(),IF(OR($A1405&lt;MIN(DKW_10Y!$A$2:$A$2918),$A1405&gt;MAX(DKW_10Y!$A$2:$A$2918),Settings!$B$16&lt;MIN(DKW_10Y!$A$2:$A$2918)),NA(),(INDEX(DKW_10Y!$B$2:$B$2918,MATCH($A1405,DKW_10Y!$A$2:$A$2918,1))-INDEX(DKW_10Y!$B$2:$B$2918,MATCH(Settings!$B$16,DKW_10Y!$A$2:$A$2918,1)))*100))</f>
        <v/>
      </c>
      <c r="Y1405" s="19">
        <f>IF(NOT(ISNUMBER($A1405)),NA(),IF(OR($A1405&lt;MIN(DKW_10Y!$A$2:$A$2918),$A1405&gt;MAX(DKW_10Y!$A$2:$A$2918),Settings!$B$16&lt;MIN(DKW_10Y!$A$2:$A$2918)),NA(),(INDEX(DKW_10Y!$C$2:$C$2918,MATCH($A1405,DKW_10Y!$A$2:$A$2918,1))-INDEX(DKW_10Y!$C$2:$C$2918,MATCH(Settings!$B$16,DKW_10Y!$A$2:$A$2918,1)))*100))</f>
        <v/>
      </c>
      <c r="Z1405" s="19">
        <f>IF(NOT(ISNUMBER($A1405)),NA(),IF(OR($A1405&lt;MIN(DKW_10Y!$A$2:$A$2918),$A1405&gt;MAX(DKW_10Y!$A$2:$A$2918),Settings!$B$16&lt;MIN(DKW_10Y!$A$2:$A$2918)),NA(),(INDEX(DKW_10Y!$D$2:$D$2918,MATCH($A1405,DKW_10Y!$A$2:$A$2918,1))-INDEX(DKW_10Y!$D$2:$D$2918,MATCH(Settings!$B$16,DKW_10Y!$A$2:$A$2918,1)))*100))</f>
        <v/>
      </c>
      <c r="AA1405" s="19">
        <f>IF(NOT(ISNUMBER($A1405)),NA(),IF(OR($A1405&lt;MIN(DKW_10Y!$A$2:$A$2918),$A1405&gt;MAX(DKW_10Y!$A$2:$A$2918),Settings!$B$16&lt;MIN(DKW_10Y!$A$2:$A$2918)),NA(),(INDEX(DKW_10Y!$E$2:$E$2918,MATCH($A1405,DKW_10Y!$A$2:$A$2918,1))-INDEX(DKW_10Y!$E$2:$E$2918,MATCH(Settings!$B$16,DKW_10Y!$A$2:$A$2918,1)))*100))</f>
        <v/>
      </c>
      <c r="AB1405" s="19">
        <f>IF(NOT(ISNUMBER($A1405)),NA(),IF(OR($A1405&lt;MIN(DKW_10Y!$A$2:$A$2918),$A1405&gt;MAX(DKW_10Y!$A$2:$A$2918),Settings!$B$16&lt;MIN(DKW_10Y!$A$2:$A$2918)),NA(),(INDEX(DKW_10Y!$H$2:$H$2918,MATCH($A1405,DKW_10Y!$A$2:$A$2918,1))-INDEX(DKW_10Y!$H$2:$H$2918,MATCH(Settings!$B$16,DKW_10Y!$A$2:$A$2918,1)))*100))</f>
        <v/>
      </c>
      <c r="AC1405" s="18">
        <f>IF(NOT(ISNUMBER($A1405)),NA(),IFERROR(1*INDEX(BBG_Data!$N$2:$N$4000,MATCH($A1405,BBG_Data!$M$2:$M$4000,0)),NA()))</f>
        <v/>
      </c>
      <c r="AD1405" s="18">
        <f>IF(NOT(ISNUMBER($A1405)),NA(),IFERROR(1*INDEX(BBG_Data!$P$2:$P$4000,MATCH($A1405,BBG_Data!$O$2:$O$4000,0)),NA()))</f>
        <v/>
      </c>
      <c r="AE1405" s="18">
        <f>IF(NOT(ISNUMBER($A1405)),NA(),IFERROR(1*INDEX(BBG_Data!$R$2:$R$4000,MATCH($A1405,BBG_Data!$Q$2:$Q$4000,0)),NA()))</f>
        <v/>
      </c>
      <c r="AF1405" s="20">
        <f>IF(AND(ISNUMBER(B1405),ISNUMBER(AC1405)),(B1405-AC1405)*100,NA())</f>
        <v/>
      </c>
      <c r="AG1405" s="20">
        <f>IF(AND(ISNUMBER(AE1405),ISNUMBER(AD1405)),(AE1405-AD1405)*100,NA())</f>
        <v/>
      </c>
      <c r="AH1405" s="19">
        <f>IF(NOT(ISNUMBER($A1405)),NA(),IFERROR(INDEX(BBG_Data!$T$2:$T$4000,MATCH($A1405,BBG_Data!$S$2:$S$4000,0))*Settings!$B$25,NA()))</f>
        <v/>
      </c>
      <c r="AI1405" s="19">
        <f>IF(NOT(ISNUMBER($A1405)),NA(),IFERROR(INDEX(BBG_Data!$V$2:$V$4000,MATCH($A1405,BBG_Data!$U$2:$U$4000,0))*Settings!$B$25,NA()))</f>
        <v/>
      </c>
      <c r="AJ1405" s="19">
        <f>IF(NOT(ISNUMBER($A1405)),NA(),IFERROR(1*INDEX(BBG_Data!$X$2:$X$4000,MATCH($A1405,BBG_Data!$W$2:$W$4000,0)),NA()))</f>
        <v/>
      </c>
      <c r="AK1405" s="19">
        <f>IF(NOT(ISNUMBER($A1405)),NA(),IFERROR(1*INDEX(BBG_Data!$Z$2:$Z$4000,MATCH($A1405,BBG_Data!$Y$2:$Y$4000,0)),NA()))</f>
        <v/>
      </c>
    </row>
    <row r="1406">
      <c r="A1406" s="17">
        <f>IF(ISNUMBER(BBG_Data!A1406),BBG_Data!A1406,"")</f>
        <v/>
      </c>
      <c r="B1406" s="18">
        <f>IF(AND(ISNUMBER($A1406),ISNUMBER(BBG_Data!B1406)),BBG_Data!B1406,NA())</f>
        <v/>
      </c>
      <c r="C1406" s="18">
        <f>IF(NOT(ISNUMBER($A1406)),NA(),IFERROR(1*INDEX(BBG_Data!$D$2:$D$4000,MATCH($A1406,BBG_Data!$C$2:$C$4000,0)),NA()))</f>
        <v/>
      </c>
      <c r="D1406" s="19">
        <f>IF(NOT(ISNUMBER($A1406)),NA(),IFERROR(1*INDEX(BBG_Data!$F$2:$F$4000,MATCH($A1406,BBG_Data!$E$2:$E$4000,0)),NA()))</f>
        <v/>
      </c>
      <c r="E1406" s="19">
        <f>IF(NOT(ISNUMBER($A1406)),NA(),IFERROR(1*INDEX(BBG_Data!$H$2:$H$4000,MATCH($A1406,BBG_Data!$G$2:$G$4000,0)),NA()))</f>
        <v/>
      </c>
      <c r="F1406" s="20">
        <f>IF(AND(ISNUMBER(B1406),ISNUMBER(B1405)),IF(B1406=B1405,"",(B1406-B1405)*100),"")</f>
        <v/>
      </c>
      <c r="G1406" s="20">
        <f>IF(AND(ISNUMBER(C1406),ISNUMBER(C1405)),IF(C1406=C1405,"",(C1406-C1405)*100),"")</f>
        <v/>
      </c>
      <c r="H1406" s="20">
        <f>IF(OR(NOT(ISNUMBER($A1406)),ROW()-2&lt;Settings!$B$11),NA(),IF(COUNT(OFFSET(F1406,1-Settings!$B$11,0,Settings!$B$11,1))&lt;ROUNDUP(Settings!$B$11*Settings!$B$26,0),NA(),STDEV(OFFSET(F1406,1-Settings!$B$11,0,Settings!$B$11,1))*SQRT(Settings!$B$13)))</f>
        <v/>
      </c>
      <c r="I1406" s="20">
        <f>IF(OR(NOT(ISNUMBER($A1406)),ROW()-2&lt;Settings!$B$12),NA(),IF(COUNT(OFFSET(F1406,1-Settings!$B$12,0,Settings!$B$12,1))&lt;ROUNDUP(Settings!$B$12*Settings!$B$26,0),NA(),STDEV(OFFSET(F1406,1-Settings!$B$12,0,Settings!$B$12,1))*SQRT(Settings!$B$13)))</f>
        <v/>
      </c>
      <c r="J1406" s="20">
        <f>IF(OR(NOT(ISNUMBER($A1406)),ROW()-2&lt;Settings!$B$11),NA(),IF(COUNT(OFFSET(G1406,1-Settings!$B$11,0,Settings!$B$11,1))&lt;ROUNDUP(Settings!$B$11*Settings!$B$26,0),NA(),STDEV(OFFSET(G1406,1-Settings!$B$11,0,Settings!$B$11,1))*SQRT(Settings!$B$13)))</f>
        <v/>
      </c>
      <c r="K1406" s="20">
        <f>IF(OR(NOT(ISNUMBER($A1406)),ROW()-2&lt;Settings!$B$12),NA(),IF(COUNT(OFFSET(G1406,1-Settings!$B$12,0,Settings!$B$12,1))&lt;ROUNDUP(Settings!$B$12*Settings!$B$26,0),NA(),STDEV(OFFSET(G1406,1-Settings!$B$12,0,Settings!$B$12,1))*SQRT(Settings!$B$13)))</f>
        <v/>
      </c>
      <c r="L1406" s="20">
        <f>IF(AND(ISNUMBER(D1406),ISNUMBER(H1406)),D1406-H1406,NA())</f>
        <v/>
      </c>
      <c r="M1406" s="20">
        <f>IF(AND(ISNUMBER(E1406),ISNUMBER(K1406)),E1406-K1406,NA())</f>
        <v/>
      </c>
      <c r="N1406" s="20">
        <f>IF(NOT(ISNUMBER($A1406)),NA(),IF(COUNT(OFFSET(G1406,1,0,Settings!$B$12,1))&lt;ROUNDUP(Settings!$B$12*Settings!$B$26,0),NA(),STDEV(OFFSET(G1406,1,0,Settings!$B$12,1))*SQRT(Settings!$B$13)))</f>
        <v/>
      </c>
      <c r="O1406" s="20">
        <f>IF(AND(ISNUMBER(E1406),ISNUMBER(N1406)),E1406-N1406,NA())</f>
        <v/>
      </c>
      <c r="P1406" s="19">
        <f>IF(NOT(ISNUMBER($A1406)),NA(),IF(OR($A1406&lt;MIN(KW_TP!$A$2:$A$2501),$A1406&gt;MAX(KW_TP!$A$2:$A$2501)),NA(),INDEX(KW_TP!$C$2:$C$2501,MATCH($A1406,KW_TP!$A$2:$A$2501,1))))</f>
        <v/>
      </c>
      <c r="Q1406" s="18">
        <f>IF(NOT(ISNUMBER($A1406)),NA(),IFERROR(1*INDEX(BBG_Data!$J$2:$J$4000,MATCH($A1406,BBG_Data!$I$2:$I$4000,0)),NA()))</f>
        <v/>
      </c>
      <c r="R1406" s="18">
        <f>IF(NOT(ISNUMBER($A1406)),NA(),IFERROR(1*INDEX(BBG_Data!$L$2:$L$4000,MATCH($A1406,BBG_Data!$K$2:$K$4000,0)),NA()))</f>
        <v/>
      </c>
      <c r="S1406" s="20">
        <f>IF(AND(ISNUMBER(B1406),ISNUMBER(Q1406),ISNUMBER(R1406)),(B1406-Q1406-R1406)*100,NA())</f>
        <v/>
      </c>
      <c r="T1406" s="20">
        <f>IF(AND(ISNUMBER(B1406),Settings!$B$17&gt;0),IF(ISNUMBER(INDEX($B:$B,Settings!$B$17)),(B1406-INDEX($B:$B,Settings!$B$17))*100,NA()),NA())</f>
        <v/>
      </c>
      <c r="U1406" s="20">
        <f>IF(AND(ISNUMBER(Q1406),Settings!$B$17&gt;0),IF(ISNUMBER(INDEX($Q:$Q,Settings!$B$17)),(Q1406-INDEX($Q:$Q,Settings!$B$17))*100,NA()),NA())</f>
        <v/>
      </c>
      <c r="V1406" s="20">
        <f>IF(AND(ISNUMBER(R1406),Settings!$B$17&gt;0),IF(ISNUMBER(INDEX($R:$R,Settings!$B$17)),(R1406-INDEX($R:$R,Settings!$B$17))*100,NA()),NA())</f>
        <v/>
      </c>
      <c r="W1406" s="20">
        <f>IF(AND(ISNUMBER(P1406),Settings!$B$17&gt;0),IF(ISNUMBER(INDEX($P:$P,Settings!$B$17)),P1406-INDEX($P:$P,Settings!$B$17),NA()),NA())</f>
        <v/>
      </c>
      <c r="X1406" s="19">
        <f>IF(NOT(ISNUMBER($A1406)),NA(),IF(OR($A1406&lt;MIN(DKW_10Y!$A$2:$A$2918),$A1406&gt;MAX(DKW_10Y!$A$2:$A$2918),Settings!$B$16&lt;MIN(DKW_10Y!$A$2:$A$2918)),NA(),(INDEX(DKW_10Y!$B$2:$B$2918,MATCH($A1406,DKW_10Y!$A$2:$A$2918,1))-INDEX(DKW_10Y!$B$2:$B$2918,MATCH(Settings!$B$16,DKW_10Y!$A$2:$A$2918,1)))*100))</f>
        <v/>
      </c>
      <c r="Y1406" s="19">
        <f>IF(NOT(ISNUMBER($A1406)),NA(),IF(OR($A1406&lt;MIN(DKW_10Y!$A$2:$A$2918),$A1406&gt;MAX(DKW_10Y!$A$2:$A$2918),Settings!$B$16&lt;MIN(DKW_10Y!$A$2:$A$2918)),NA(),(INDEX(DKW_10Y!$C$2:$C$2918,MATCH($A1406,DKW_10Y!$A$2:$A$2918,1))-INDEX(DKW_10Y!$C$2:$C$2918,MATCH(Settings!$B$16,DKW_10Y!$A$2:$A$2918,1)))*100))</f>
        <v/>
      </c>
      <c r="Z1406" s="19">
        <f>IF(NOT(ISNUMBER($A1406)),NA(),IF(OR($A1406&lt;MIN(DKW_10Y!$A$2:$A$2918),$A1406&gt;MAX(DKW_10Y!$A$2:$A$2918),Settings!$B$16&lt;MIN(DKW_10Y!$A$2:$A$2918)),NA(),(INDEX(DKW_10Y!$D$2:$D$2918,MATCH($A1406,DKW_10Y!$A$2:$A$2918,1))-INDEX(DKW_10Y!$D$2:$D$2918,MATCH(Settings!$B$16,DKW_10Y!$A$2:$A$2918,1)))*100))</f>
        <v/>
      </c>
      <c r="AA1406" s="19">
        <f>IF(NOT(ISNUMBER($A1406)),NA(),IF(OR($A1406&lt;MIN(DKW_10Y!$A$2:$A$2918),$A1406&gt;MAX(DKW_10Y!$A$2:$A$2918),Settings!$B$16&lt;MIN(DKW_10Y!$A$2:$A$2918)),NA(),(INDEX(DKW_10Y!$E$2:$E$2918,MATCH($A1406,DKW_10Y!$A$2:$A$2918,1))-INDEX(DKW_10Y!$E$2:$E$2918,MATCH(Settings!$B$16,DKW_10Y!$A$2:$A$2918,1)))*100))</f>
        <v/>
      </c>
      <c r="AB1406" s="19">
        <f>IF(NOT(ISNUMBER($A1406)),NA(),IF(OR($A1406&lt;MIN(DKW_10Y!$A$2:$A$2918),$A1406&gt;MAX(DKW_10Y!$A$2:$A$2918),Settings!$B$16&lt;MIN(DKW_10Y!$A$2:$A$2918)),NA(),(INDEX(DKW_10Y!$H$2:$H$2918,MATCH($A1406,DKW_10Y!$A$2:$A$2918,1))-INDEX(DKW_10Y!$H$2:$H$2918,MATCH(Settings!$B$16,DKW_10Y!$A$2:$A$2918,1)))*100))</f>
        <v/>
      </c>
      <c r="AC1406" s="18">
        <f>IF(NOT(ISNUMBER($A1406)),NA(),IFERROR(1*INDEX(BBG_Data!$N$2:$N$4000,MATCH($A1406,BBG_Data!$M$2:$M$4000,0)),NA()))</f>
        <v/>
      </c>
      <c r="AD1406" s="18">
        <f>IF(NOT(ISNUMBER($A1406)),NA(),IFERROR(1*INDEX(BBG_Data!$P$2:$P$4000,MATCH($A1406,BBG_Data!$O$2:$O$4000,0)),NA()))</f>
        <v/>
      </c>
      <c r="AE1406" s="18">
        <f>IF(NOT(ISNUMBER($A1406)),NA(),IFERROR(1*INDEX(BBG_Data!$R$2:$R$4000,MATCH($A1406,BBG_Data!$Q$2:$Q$4000,0)),NA()))</f>
        <v/>
      </c>
      <c r="AF1406" s="20">
        <f>IF(AND(ISNUMBER(B1406),ISNUMBER(AC1406)),(B1406-AC1406)*100,NA())</f>
        <v/>
      </c>
      <c r="AG1406" s="20">
        <f>IF(AND(ISNUMBER(AE1406),ISNUMBER(AD1406)),(AE1406-AD1406)*100,NA())</f>
        <v/>
      </c>
      <c r="AH1406" s="19">
        <f>IF(NOT(ISNUMBER($A1406)),NA(),IFERROR(INDEX(BBG_Data!$T$2:$T$4000,MATCH($A1406,BBG_Data!$S$2:$S$4000,0))*Settings!$B$25,NA()))</f>
        <v/>
      </c>
      <c r="AI1406" s="19">
        <f>IF(NOT(ISNUMBER($A1406)),NA(),IFERROR(INDEX(BBG_Data!$V$2:$V$4000,MATCH($A1406,BBG_Data!$U$2:$U$4000,0))*Settings!$B$25,NA()))</f>
        <v/>
      </c>
      <c r="AJ1406" s="19">
        <f>IF(NOT(ISNUMBER($A1406)),NA(),IFERROR(1*INDEX(BBG_Data!$X$2:$X$4000,MATCH($A1406,BBG_Data!$W$2:$W$4000,0)),NA()))</f>
        <v/>
      </c>
      <c r="AK1406" s="19">
        <f>IF(NOT(ISNUMBER($A1406)),NA(),IFERROR(1*INDEX(BBG_Data!$Z$2:$Z$4000,MATCH($A1406,BBG_Data!$Y$2:$Y$4000,0)),NA()))</f>
        <v/>
      </c>
    </row>
    <row r="1407">
      <c r="A1407" s="17">
        <f>IF(ISNUMBER(BBG_Data!A1407),BBG_Data!A1407,"")</f>
        <v/>
      </c>
      <c r="B1407" s="18">
        <f>IF(AND(ISNUMBER($A1407),ISNUMBER(BBG_Data!B1407)),BBG_Data!B1407,NA())</f>
        <v/>
      </c>
      <c r="C1407" s="18">
        <f>IF(NOT(ISNUMBER($A1407)),NA(),IFERROR(1*INDEX(BBG_Data!$D$2:$D$4000,MATCH($A1407,BBG_Data!$C$2:$C$4000,0)),NA()))</f>
        <v/>
      </c>
      <c r="D1407" s="19">
        <f>IF(NOT(ISNUMBER($A1407)),NA(),IFERROR(1*INDEX(BBG_Data!$F$2:$F$4000,MATCH($A1407,BBG_Data!$E$2:$E$4000,0)),NA()))</f>
        <v/>
      </c>
      <c r="E1407" s="19">
        <f>IF(NOT(ISNUMBER($A1407)),NA(),IFERROR(1*INDEX(BBG_Data!$H$2:$H$4000,MATCH($A1407,BBG_Data!$G$2:$G$4000,0)),NA()))</f>
        <v/>
      </c>
      <c r="F1407" s="20">
        <f>IF(AND(ISNUMBER(B1407),ISNUMBER(B1406)),IF(B1407=B1406,"",(B1407-B1406)*100),"")</f>
        <v/>
      </c>
      <c r="G1407" s="20">
        <f>IF(AND(ISNUMBER(C1407),ISNUMBER(C1406)),IF(C1407=C1406,"",(C1407-C1406)*100),"")</f>
        <v/>
      </c>
      <c r="H1407" s="20">
        <f>IF(OR(NOT(ISNUMBER($A1407)),ROW()-2&lt;Settings!$B$11),NA(),IF(COUNT(OFFSET(F1407,1-Settings!$B$11,0,Settings!$B$11,1))&lt;ROUNDUP(Settings!$B$11*Settings!$B$26,0),NA(),STDEV(OFFSET(F1407,1-Settings!$B$11,0,Settings!$B$11,1))*SQRT(Settings!$B$13)))</f>
        <v/>
      </c>
      <c r="I1407" s="20">
        <f>IF(OR(NOT(ISNUMBER($A1407)),ROW()-2&lt;Settings!$B$12),NA(),IF(COUNT(OFFSET(F1407,1-Settings!$B$12,0,Settings!$B$12,1))&lt;ROUNDUP(Settings!$B$12*Settings!$B$26,0),NA(),STDEV(OFFSET(F1407,1-Settings!$B$12,0,Settings!$B$12,1))*SQRT(Settings!$B$13)))</f>
        <v/>
      </c>
      <c r="J1407" s="20">
        <f>IF(OR(NOT(ISNUMBER($A1407)),ROW()-2&lt;Settings!$B$11),NA(),IF(COUNT(OFFSET(G1407,1-Settings!$B$11,0,Settings!$B$11,1))&lt;ROUNDUP(Settings!$B$11*Settings!$B$26,0),NA(),STDEV(OFFSET(G1407,1-Settings!$B$11,0,Settings!$B$11,1))*SQRT(Settings!$B$13)))</f>
        <v/>
      </c>
      <c r="K1407" s="20">
        <f>IF(OR(NOT(ISNUMBER($A1407)),ROW()-2&lt;Settings!$B$12),NA(),IF(COUNT(OFFSET(G1407,1-Settings!$B$12,0,Settings!$B$12,1))&lt;ROUNDUP(Settings!$B$12*Settings!$B$26,0),NA(),STDEV(OFFSET(G1407,1-Settings!$B$12,0,Settings!$B$12,1))*SQRT(Settings!$B$13)))</f>
        <v/>
      </c>
      <c r="L1407" s="20">
        <f>IF(AND(ISNUMBER(D1407),ISNUMBER(H1407)),D1407-H1407,NA())</f>
        <v/>
      </c>
      <c r="M1407" s="20">
        <f>IF(AND(ISNUMBER(E1407),ISNUMBER(K1407)),E1407-K1407,NA())</f>
        <v/>
      </c>
      <c r="N1407" s="20">
        <f>IF(NOT(ISNUMBER($A1407)),NA(),IF(COUNT(OFFSET(G1407,1,0,Settings!$B$12,1))&lt;ROUNDUP(Settings!$B$12*Settings!$B$26,0),NA(),STDEV(OFFSET(G1407,1,0,Settings!$B$12,1))*SQRT(Settings!$B$13)))</f>
        <v/>
      </c>
      <c r="O1407" s="20">
        <f>IF(AND(ISNUMBER(E1407),ISNUMBER(N1407)),E1407-N1407,NA())</f>
        <v/>
      </c>
      <c r="P1407" s="19">
        <f>IF(NOT(ISNUMBER($A1407)),NA(),IF(OR($A1407&lt;MIN(KW_TP!$A$2:$A$2501),$A1407&gt;MAX(KW_TP!$A$2:$A$2501)),NA(),INDEX(KW_TP!$C$2:$C$2501,MATCH($A1407,KW_TP!$A$2:$A$2501,1))))</f>
        <v/>
      </c>
      <c r="Q1407" s="18">
        <f>IF(NOT(ISNUMBER($A1407)),NA(),IFERROR(1*INDEX(BBG_Data!$J$2:$J$4000,MATCH($A1407,BBG_Data!$I$2:$I$4000,0)),NA()))</f>
        <v/>
      </c>
      <c r="R1407" s="18">
        <f>IF(NOT(ISNUMBER($A1407)),NA(),IFERROR(1*INDEX(BBG_Data!$L$2:$L$4000,MATCH($A1407,BBG_Data!$K$2:$K$4000,0)),NA()))</f>
        <v/>
      </c>
      <c r="S1407" s="20">
        <f>IF(AND(ISNUMBER(B1407),ISNUMBER(Q1407),ISNUMBER(R1407)),(B1407-Q1407-R1407)*100,NA())</f>
        <v/>
      </c>
      <c r="T1407" s="20">
        <f>IF(AND(ISNUMBER(B1407),Settings!$B$17&gt;0),IF(ISNUMBER(INDEX($B:$B,Settings!$B$17)),(B1407-INDEX($B:$B,Settings!$B$17))*100,NA()),NA())</f>
        <v/>
      </c>
      <c r="U1407" s="20">
        <f>IF(AND(ISNUMBER(Q1407),Settings!$B$17&gt;0),IF(ISNUMBER(INDEX($Q:$Q,Settings!$B$17)),(Q1407-INDEX($Q:$Q,Settings!$B$17))*100,NA()),NA())</f>
        <v/>
      </c>
      <c r="V1407" s="20">
        <f>IF(AND(ISNUMBER(R1407),Settings!$B$17&gt;0),IF(ISNUMBER(INDEX($R:$R,Settings!$B$17)),(R1407-INDEX($R:$R,Settings!$B$17))*100,NA()),NA())</f>
        <v/>
      </c>
      <c r="W1407" s="20">
        <f>IF(AND(ISNUMBER(P1407),Settings!$B$17&gt;0),IF(ISNUMBER(INDEX($P:$P,Settings!$B$17)),P1407-INDEX($P:$P,Settings!$B$17),NA()),NA())</f>
        <v/>
      </c>
      <c r="X1407" s="19">
        <f>IF(NOT(ISNUMBER($A1407)),NA(),IF(OR($A1407&lt;MIN(DKW_10Y!$A$2:$A$2918),$A1407&gt;MAX(DKW_10Y!$A$2:$A$2918),Settings!$B$16&lt;MIN(DKW_10Y!$A$2:$A$2918)),NA(),(INDEX(DKW_10Y!$B$2:$B$2918,MATCH($A1407,DKW_10Y!$A$2:$A$2918,1))-INDEX(DKW_10Y!$B$2:$B$2918,MATCH(Settings!$B$16,DKW_10Y!$A$2:$A$2918,1)))*100))</f>
        <v/>
      </c>
      <c r="Y1407" s="19">
        <f>IF(NOT(ISNUMBER($A1407)),NA(),IF(OR($A1407&lt;MIN(DKW_10Y!$A$2:$A$2918),$A1407&gt;MAX(DKW_10Y!$A$2:$A$2918),Settings!$B$16&lt;MIN(DKW_10Y!$A$2:$A$2918)),NA(),(INDEX(DKW_10Y!$C$2:$C$2918,MATCH($A1407,DKW_10Y!$A$2:$A$2918,1))-INDEX(DKW_10Y!$C$2:$C$2918,MATCH(Settings!$B$16,DKW_10Y!$A$2:$A$2918,1)))*100))</f>
        <v/>
      </c>
      <c r="Z1407" s="19">
        <f>IF(NOT(ISNUMBER($A1407)),NA(),IF(OR($A1407&lt;MIN(DKW_10Y!$A$2:$A$2918),$A1407&gt;MAX(DKW_10Y!$A$2:$A$2918),Settings!$B$16&lt;MIN(DKW_10Y!$A$2:$A$2918)),NA(),(INDEX(DKW_10Y!$D$2:$D$2918,MATCH($A1407,DKW_10Y!$A$2:$A$2918,1))-INDEX(DKW_10Y!$D$2:$D$2918,MATCH(Settings!$B$16,DKW_10Y!$A$2:$A$2918,1)))*100))</f>
        <v/>
      </c>
      <c r="AA1407" s="19">
        <f>IF(NOT(ISNUMBER($A1407)),NA(),IF(OR($A1407&lt;MIN(DKW_10Y!$A$2:$A$2918),$A1407&gt;MAX(DKW_10Y!$A$2:$A$2918),Settings!$B$16&lt;MIN(DKW_10Y!$A$2:$A$2918)),NA(),(INDEX(DKW_10Y!$E$2:$E$2918,MATCH($A1407,DKW_10Y!$A$2:$A$2918,1))-INDEX(DKW_10Y!$E$2:$E$2918,MATCH(Settings!$B$16,DKW_10Y!$A$2:$A$2918,1)))*100))</f>
        <v/>
      </c>
      <c r="AB1407" s="19">
        <f>IF(NOT(ISNUMBER($A1407)),NA(),IF(OR($A1407&lt;MIN(DKW_10Y!$A$2:$A$2918),$A1407&gt;MAX(DKW_10Y!$A$2:$A$2918),Settings!$B$16&lt;MIN(DKW_10Y!$A$2:$A$2918)),NA(),(INDEX(DKW_10Y!$H$2:$H$2918,MATCH($A1407,DKW_10Y!$A$2:$A$2918,1))-INDEX(DKW_10Y!$H$2:$H$2918,MATCH(Settings!$B$16,DKW_10Y!$A$2:$A$2918,1)))*100))</f>
        <v/>
      </c>
      <c r="AC1407" s="18">
        <f>IF(NOT(ISNUMBER($A1407)),NA(),IFERROR(1*INDEX(BBG_Data!$N$2:$N$4000,MATCH($A1407,BBG_Data!$M$2:$M$4000,0)),NA()))</f>
        <v/>
      </c>
      <c r="AD1407" s="18">
        <f>IF(NOT(ISNUMBER($A1407)),NA(),IFERROR(1*INDEX(BBG_Data!$P$2:$P$4000,MATCH($A1407,BBG_Data!$O$2:$O$4000,0)),NA()))</f>
        <v/>
      </c>
      <c r="AE1407" s="18">
        <f>IF(NOT(ISNUMBER($A1407)),NA(),IFERROR(1*INDEX(BBG_Data!$R$2:$R$4000,MATCH($A1407,BBG_Data!$Q$2:$Q$4000,0)),NA()))</f>
        <v/>
      </c>
      <c r="AF1407" s="20">
        <f>IF(AND(ISNUMBER(B1407),ISNUMBER(AC1407)),(B1407-AC1407)*100,NA())</f>
        <v/>
      </c>
      <c r="AG1407" s="20">
        <f>IF(AND(ISNUMBER(AE1407),ISNUMBER(AD1407)),(AE1407-AD1407)*100,NA())</f>
        <v/>
      </c>
      <c r="AH1407" s="19">
        <f>IF(NOT(ISNUMBER($A1407)),NA(),IFERROR(INDEX(BBG_Data!$T$2:$T$4000,MATCH($A1407,BBG_Data!$S$2:$S$4000,0))*Settings!$B$25,NA()))</f>
        <v/>
      </c>
      <c r="AI1407" s="19">
        <f>IF(NOT(ISNUMBER($A1407)),NA(),IFERROR(INDEX(BBG_Data!$V$2:$V$4000,MATCH($A1407,BBG_Data!$U$2:$U$4000,0))*Settings!$B$25,NA()))</f>
        <v/>
      </c>
      <c r="AJ1407" s="19">
        <f>IF(NOT(ISNUMBER($A1407)),NA(),IFERROR(1*INDEX(BBG_Data!$X$2:$X$4000,MATCH($A1407,BBG_Data!$W$2:$W$4000,0)),NA()))</f>
        <v/>
      </c>
      <c r="AK1407" s="19">
        <f>IF(NOT(ISNUMBER($A1407)),NA(),IFERROR(1*INDEX(BBG_Data!$Z$2:$Z$4000,MATCH($A1407,BBG_Data!$Y$2:$Y$4000,0)),NA()))</f>
        <v/>
      </c>
    </row>
    <row r="1408">
      <c r="A1408" s="17">
        <f>IF(ISNUMBER(BBG_Data!A1408),BBG_Data!A1408,"")</f>
        <v/>
      </c>
      <c r="B1408" s="18">
        <f>IF(AND(ISNUMBER($A1408),ISNUMBER(BBG_Data!B1408)),BBG_Data!B1408,NA())</f>
        <v/>
      </c>
      <c r="C1408" s="18">
        <f>IF(NOT(ISNUMBER($A1408)),NA(),IFERROR(1*INDEX(BBG_Data!$D$2:$D$4000,MATCH($A1408,BBG_Data!$C$2:$C$4000,0)),NA()))</f>
        <v/>
      </c>
      <c r="D1408" s="19">
        <f>IF(NOT(ISNUMBER($A1408)),NA(),IFERROR(1*INDEX(BBG_Data!$F$2:$F$4000,MATCH($A1408,BBG_Data!$E$2:$E$4000,0)),NA()))</f>
        <v/>
      </c>
      <c r="E1408" s="19">
        <f>IF(NOT(ISNUMBER($A1408)),NA(),IFERROR(1*INDEX(BBG_Data!$H$2:$H$4000,MATCH($A1408,BBG_Data!$G$2:$G$4000,0)),NA()))</f>
        <v/>
      </c>
      <c r="F1408" s="20">
        <f>IF(AND(ISNUMBER(B1408),ISNUMBER(B1407)),IF(B1408=B1407,"",(B1408-B1407)*100),"")</f>
        <v/>
      </c>
      <c r="G1408" s="20">
        <f>IF(AND(ISNUMBER(C1408),ISNUMBER(C1407)),IF(C1408=C1407,"",(C1408-C1407)*100),"")</f>
        <v/>
      </c>
      <c r="H1408" s="20">
        <f>IF(OR(NOT(ISNUMBER($A1408)),ROW()-2&lt;Settings!$B$11),NA(),IF(COUNT(OFFSET(F1408,1-Settings!$B$11,0,Settings!$B$11,1))&lt;ROUNDUP(Settings!$B$11*Settings!$B$26,0),NA(),STDEV(OFFSET(F1408,1-Settings!$B$11,0,Settings!$B$11,1))*SQRT(Settings!$B$13)))</f>
        <v/>
      </c>
      <c r="I1408" s="20">
        <f>IF(OR(NOT(ISNUMBER($A1408)),ROW()-2&lt;Settings!$B$12),NA(),IF(COUNT(OFFSET(F1408,1-Settings!$B$12,0,Settings!$B$12,1))&lt;ROUNDUP(Settings!$B$12*Settings!$B$26,0),NA(),STDEV(OFFSET(F1408,1-Settings!$B$12,0,Settings!$B$12,1))*SQRT(Settings!$B$13)))</f>
        <v/>
      </c>
      <c r="J1408" s="20">
        <f>IF(OR(NOT(ISNUMBER($A1408)),ROW()-2&lt;Settings!$B$11),NA(),IF(COUNT(OFFSET(G1408,1-Settings!$B$11,0,Settings!$B$11,1))&lt;ROUNDUP(Settings!$B$11*Settings!$B$26,0),NA(),STDEV(OFFSET(G1408,1-Settings!$B$11,0,Settings!$B$11,1))*SQRT(Settings!$B$13)))</f>
        <v/>
      </c>
      <c r="K1408" s="20">
        <f>IF(OR(NOT(ISNUMBER($A1408)),ROW()-2&lt;Settings!$B$12),NA(),IF(COUNT(OFFSET(G1408,1-Settings!$B$12,0,Settings!$B$12,1))&lt;ROUNDUP(Settings!$B$12*Settings!$B$26,0),NA(),STDEV(OFFSET(G1408,1-Settings!$B$12,0,Settings!$B$12,1))*SQRT(Settings!$B$13)))</f>
        <v/>
      </c>
      <c r="L1408" s="20">
        <f>IF(AND(ISNUMBER(D1408),ISNUMBER(H1408)),D1408-H1408,NA())</f>
        <v/>
      </c>
      <c r="M1408" s="20">
        <f>IF(AND(ISNUMBER(E1408),ISNUMBER(K1408)),E1408-K1408,NA())</f>
        <v/>
      </c>
      <c r="N1408" s="20">
        <f>IF(NOT(ISNUMBER($A1408)),NA(),IF(COUNT(OFFSET(G1408,1,0,Settings!$B$12,1))&lt;ROUNDUP(Settings!$B$12*Settings!$B$26,0),NA(),STDEV(OFFSET(G1408,1,0,Settings!$B$12,1))*SQRT(Settings!$B$13)))</f>
        <v/>
      </c>
      <c r="O1408" s="20">
        <f>IF(AND(ISNUMBER(E1408),ISNUMBER(N1408)),E1408-N1408,NA())</f>
        <v/>
      </c>
      <c r="P1408" s="19">
        <f>IF(NOT(ISNUMBER($A1408)),NA(),IF(OR($A1408&lt;MIN(KW_TP!$A$2:$A$2501),$A1408&gt;MAX(KW_TP!$A$2:$A$2501)),NA(),INDEX(KW_TP!$C$2:$C$2501,MATCH($A1408,KW_TP!$A$2:$A$2501,1))))</f>
        <v/>
      </c>
      <c r="Q1408" s="18">
        <f>IF(NOT(ISNUMBER($A1408)),NA(),IFERROR(1*INDEX(BBG_Data!$J$2:$J$4000,MATCH($A1408,BBG_Data!$I$2:$I$4000,0)),NA()))</f>
        <v/>
      </c>
      <c r="R1408" s="18">
        <f>IF(NOT(ISNUMBER($A1408)),NA(),IFERROR(1*INDEX(BBG_Data!$L$2:$L$4000,MATCH($A1408,BBG_Data!$K$2:$K$4000,0)),NA()))</f>
        <v/>
      </c>
      <c r="S1408" s="20">
        <f>IF(AND(ISNUMBER(B1408),ISNUMBER(Q1408),ISNUMBER(R1408)),(B1408-Q1408-R1408)*100,NA())</f>
        <v/>
      </c>
      <c r="T1408" s="20">
        <f>IF(AND(ISNUMBER(B1408),Settings!$B$17&gt;0),IF(ISNUMBER(INDEX($B:$B,Settings!$B$17)),(B1408-INDEX($B:$B,Settings!$B$17))*100,NA()),NA())</f>
        <v/>
      </c>
      <c r="U1408" s="20">
        <f>IF(AND(ISNUMBER(Q1408),Settings!$B$17&gt;0),IF(ISNUMBER(INDEX($Q:$Q,Settings!$B$17)),(Q1408-INDEX($Q:$Q,Settings!$B$17))*100,NA()),NA())</f>
        <v/>
      </c>
      <c r="V1408" s="20">
        <f>IF(AND(ISNUMBER(R1408),Settings!$B$17&gt;0),IF(ISNUMBER(INDEX($R:$R,Settings!$B$17)),(R1408-INDEX($R:$R,Settings!$B$17))*100,NA()),NA())</f>
        <v/>
      </c>
      <c r="W1408" s="20">
        <f>IF(AND(ISNUMBER(P1408),Settings!$B$17&gt;0),IF(ISNUMBER(INDEX($P:$P,Settings!$B$17)),P1408-INDEX($P:$P,Settings!$B$17),NA()),NA())</f>
        <v/>
      </c>
      <c r="X1408" s="19">
        <f>IF(NOT(ISNUMBER($A1408)),NA(),IF(OR($A1408&lt;MIN(DKW_10Y!$A$2:$A$2918),$A1408&gt;MAX(DKW_10Y!$A$2:$A$2918),Settings!$B$16&lt;MIN(DKW_10Y!$A$2:$A$2918)),NA(),(INDEX(DKW_10Y!$B$2:$B$2918,MATCH($A1408,DKW_10Y!$A$2:$A$2918,1))-INDEX(DKW_10Y!$B$2:$B$2918,MATCH(Settings!$B$16,DKW_10Y!$A$2:$A$2918,1)))*100))</f>
        <v/>
      </c>
      <c r="Y1408" s="19">
        <f>IF(NOT(ISNUMBER($A1408)),NA(),IF(OR($A1408&lt;MIN(DKW_10Y!$A$2:$A$2918),$A1408&gt;MAX(DKW_10Y!$A$2:$A$2918),Settings!$B$16&lt;MIN(DKW_10Y!$A$2:$A$2918)),NA(),(INDEX(DKW_10Y!$C$2:$C$2918,MATCH($A1408,DKW_10Y!$A$2:$A$2918,1))-INDEX(DKW_10Y!$C$2:$C$2918,MATCH(Settings!$B$16,DKW_10Y!$A$2:$A$2918,1)))*100))</f>
        <v/>
      </c>
      <c r="Z1408" s="19">
        <f>IF(NOT(ISNUMBER($A1408)),NA(),IF(OR($A1408&lt;MIN(DKW_10Y!$A$2:$A$2918),$A1408&gt;MAX(DKW_10Y!$A$2:$A$2918),Settings!$B$16&lt;MIN(DKW_10Y!$A$2:$A$2918)),NA(),(INDEX(DKW_10Y!$D$2:$D$2918,MATCH($A1408,DKW_10Y!$A$2:$A$2918,1))-INDEX(DKW_10Y!$D$2:$D$2918,MATCH(Settings!$B$16,DKW_10Y!$A$2:$A$2918,1)))*100))</f>
        <v/>
      </c>
      <c r="AA1408" s="19">
        <f>IF(NOT(ISNUMBER($A1408)),NA(),IF(OR($A1408&lt;MIN(DKW_10Y!$A$2:$A$2918),$A1408&gt;MAX(DKW_10Y!$A$2:$A$2918),Settings!$B$16&lt;MIN(DKW_10Y!$A$2:$A$2918)),NA(),(INDEX(DKW_10Y!$E$2:$E$2918,MATCH($A1408,DKW_10Y!$A$2:$A$2918,1))-INDEX(DKW_10Y!$E$2:$E$2918,MATCH(Settings!$B$16,DKW_10Y!$A$2:$A$2918,1)))*100))</f>
        <v/>
      </c>
      <c r="AB1408" s="19">
        <f>IF(NOT(ISNUMBER($A1408)),NA(),IF(OR($A1408&lt;MIN(DKW_10Y!$A$2:$A$2918),$A1408&gt;MAX(DKW_10Y!$A$2:$A$2918),Settings!$B$16&lt;MIN(DKW_10Y!$A$2:$A$2918)),NA(),(INDEX(DKW_10Y!$H$2:$H$2918,MATCH($A1408,DKW_10Y!$A$2:$A$2918,1))-INDEX(DKW_10Y!$H$2:$H$2918,MATCH(Settings!$B$16,DKW_10Y!$A$2:$A$2918,1)))*100))</f>
        <v/>
      </c>
      <c r="AC1408" s="18">
        <f>IF(NOT(ISNUMBER($A1408)),NA(),IFERROR(1*INDEX(BBG_Data!$N$2:$N$4000,MATCH($A1408,BBG_Data!$M$2:$M$4000,0)),NA()))</f>
        <v/>
      </c>
      <c r="AD1408" s="18">
        <f>IF(NOT(ISNUMBER($A1408)),NA(),IFERROR(1*INDEX(BBG_Data!$P$2:$P$4000,MATCH($A1408,BBG_Data!$O$2:$O$4000,0)),NA()))</f>
        <v/>
      </c>
      <c r="AE1408" s="18">
        <f>IF(NOT(ISNUMBER($A1408)),NA(),IFERROR(1*INDEX(BBG_Data!$R$2:$R$4000,MATCH($A1408,BBG_Data!$Q$2:$Q$4000,0)),NA()))</f>
        <v/>
      </c>
      <c r="AF1408" s="20">
        <f>IF(AND(ISNUMBER(B1408),ISNUMBER(AC1408)),(B1408-AC1408)*100,NA())</f>
        <v/>
      </c>
      <c r="AG1408" s="20">
        <f>IF(AND(ISNUMBER(AE1408),ISNUMBER(AD1408)),(AE1408-AD1408)*100,NA())</f>
        <v/>
      </c>
      <c r="AH1408" s="19">
        <f>IF(NOT(ISNUMBER($A1408)),NA(),IFERROR(INDEX(BBG_Data!$T$2:$T$4000,MATCH($A1408,BBG_Data!$S$2:$S$4000,0))*Settings!$B$25,NA()))</f>
        <v/>
      </c>
      <c r="AI1408" s="19">
        <f>IF(NOT(ISNUMBER($A1408)),NA(),IFERROR(INDEX(BBG_Data!$V$2:$V$4000,MATCH($A1408,BBG_Data!$U$2:$U$4000,0))*Settings!$B$25,NA()))</f>
        <v/>
      </c>
      <c r="AJ1408" s="19">
        <f>IF(NOT(ISNUMBER($A1408)),NA(),IFERROR(1*INDEX(BBG_Data!$X$2:$X$4000,MATCH($A1408,BBG_Data!$W$2:$W$4000,0)),NA()))</f>
        <v/>
      </c>
      <c r="AK1408" s="19">
        <f>IF(NOT(ISNUMBER($A1408)),NA(),IFERROR(1*INDEX(BBG_Data!$Z$2:$Z$4000,MATCH($A1408,BBG_Data!$Y$2:$Y$4000,0)),NA()))</f>
        <v/>
      </c>
    </row>
    <row r="1409">
      <c r="A1409" s="17">
        <f>IF(ISNUMBER(BBG_Data!A1409),BBG_Data!A1409,"")</f>
        <v/>
      </c>
      <c r="B1409" s="18">
        <f>IF(AND(ISNUMBER($A1409),ISNUMBER(BBG_Data!B1409)),BBG_Data!B1409,NA())</f>
        <v/>
      </c>
      <c r="C1409" s="18">
        <f>IF(NOT(ISNUMBER($A1409)),NA(),IFERROR(1*INDEX(BBG_Data!$D$2:$D$4000,MATCH($A1409,BBG_Data!$C$2:$C$4000,0)),NA()))</f>
        <v/>
      </c>
      <c r="D1409" s="19">
        <f>IF(NOT(ISNUMBER($A1409)),NA(),IFERROR(1*INDEX(BBG_Data!$F$2:$F$4000,MATCH($A1409,BBG_Data!$E$2:$E$4000,0)),NA()))</f>
        <v/>
      </c>
      <c r="E1409" s="19">
        <f>IF(NOT(ISNUMBER($A1409)),NA(),IFERROR(1*INDEX(BBG_Data!$H$2:$H$4000,MATCH($A1409,BBG_Data!$G$2:$G$4000,0)),NA()))</f>
        <v/>
      </c>
      <c r="F1409" s="20">
        <f>IF(AND(ISNUMBER(B1409),ISNUMBER(B1408)),IF(B1409=B1408,"",(B1409-B1408)*100),"")</f>
        <v/>
      </c>
      <c r="G1409" s="20">
        <f>IF(AND(ISNUMBER(C1409),ISNUMBER(C1408)),IF(C1409=C1408,"",(C1409-C1408)*100),"")</f>
        <v/>
      </c>
      <c r="H1409" s="20">
        <f>IF(OR(NOT(ISNUMBER($A1409)),ROW()-2&lt;Settings!$B$11),NA(),IF(COUNT(OFFSET(F1409,1-Settings!$B$11,0,Settings!$B$11,1))&lt;ROUNDUP(Settings!$B$11*Settings!$B$26,0),NA(),STDEV(OFFSET(F1409,1-Settings!$B$11,0,Settings!$B$11,1))*SQRT(Settings!$B$13)))</f>
        <v/>
      </c>
      <c r="I1409" s="20">
        <f>IF(OR(NOT(ISNUMBER($A1409)),ROW()-2&lt;Settings!$B$12),NA(),IF(COUNT(OFFSET(F1409,1-Settings!$B$12,0,Settings!$B$12,1))&lt;ROUNDUP(Settings!$B$12*Settings!$B$26,0),NA(),STDEV(OFFSET(F1409,1-Settings!$B$12,0,Settings!$B$12,1))*SQRT(Settings!$B$13)))</f>
        <v/>
      </c>
      <c r="J1409" s="20">
        <f>IF(OR(NOT(ISNUMBER($A1409)),ROW()-2&lt;Settings!$B$11),NA(),IF(COUNT(OFFSET(G1409,1-Settings!$B$11,0,Settings!$B$11,1))&lt;ROUNDUP(Settings!$B$11*Settings!$B$26,0),NA(),STDEV(OFFSET(G1409,1-Settings!$B$11,0,Settings!$B$11,1))*SQRT(Settings!$B$13)))</f>
        <v/>
      </c>
      <c r="K1409" s="20">
        <f>IF(OR(NOT(ISNUMBER($A1409)),ROW()-2&lt;Settings!$B$12),NA(),IF(COUNT(OFFSET(G1409,1-Settings!$B$12,0,Settings!$B$12,1))&lt;ROUNDUP(Settings!$B$12*Settings!$B$26,0),NA(),STDEV(OFFSET(G1409,1-Settings!$B$12,0,Settings!$B$12,1))*SQRT(Settings!$B$13)))</f>
        <v/>
      </c>
      <c r="L1409" s="20">
        <f>IF(AND(ISNUMBER(D1409),ISNUMBER(H1409)),D1409-H1409,NA())</f>
        <v/>
      </c>
      <c r="M1409" s="20">
        <f>IF(AND(ISNUMBER(E1409),ISNUMBER(K1409)),E1409-K1409,NA())</f>
        <v/>
      </c>
      <c r="N1409" s="20">
        <f>IF(NOT(ISNUMBER($A1409)),NA(),IF(COUNT(OFFSET(G1409,1,0,Settings!$B$12,1))&lt;ROUNDUP(Settings!$B$12*Settings!$B$26,0),NA(),STDEV(OFFSET(G1409,1,0,Settings!$B$12,1))*SQRT(Settings!$B$13)))</f>
        <v/>
      </c>
      <c r="O1409" s="20">
        <f>IF(AND(ISNUMBER(E1409),ISNUMBER(N1409)),E1409-N1409,NA())</f>
        <v/>
      </c>
      <c r="P1409" s="19">
        <f>IF(NOT(ISNUMBER($A1409)),NA(),IF(OR($A1409&lt;MIN(KW_TP!$A$2:$A$2501),$A1409&gt;MAX(KW_TP!$A$2:$A$2501)),NA(),INDEX(KW_TP!$C$2:$C$2501,MATCH($A1409,KW_TP!$A$2:$A$2501,1))))</f>
        <v/>
      </c>
      <c r="Q1409" s="18">
        <f>IF(NOT(ISNUMBER($A1409)),NA(),IFERROR(1*INDEX(BBG_Data!$J$2:$J$4000,MATCH($A1409,BBG_Data!$I$2:$I$4000,0)),NA()))</f>
        <v/>
      </c>
      <c r="R1409" s="18">
        <f>IF(NOT(ISNUMBER($A1409)),NA(),IFERROR(1*INDEX(BBG_Data!$L$2:$L$4000,MATCH($A1409,BBG_Data!$K$2:$K$4000,0)),NA()))</f>
        <v/>
      </c>
      <c r="S1409" s="20">
        <f>IF(AND(ISNUMBER(B1409),ISNUMBER(Q1409),ISNUMBER(R1409)),(B1409-Q1409-R1409)*100,NA())</f>
        <v/>
      </c>
      <c r="T1409" s="20">
        <f>IF(AND(ISNUMBER(B1409),Settings!$B$17&gt;0),IF(ISNUMBER(INDEX($B:$B,Settings!$B$17)),(B1409-INDEX($B:$B,Settings!$B$17))*100,NA()),NA())</f>
        <v/>
      </c>
      <c r="U1409" s="20">
        <f>IF(AND(ISNUMBER(Q1409),Settings!$B$17&gt;0),IF(ISNUMBER(INDEX($Q:$Q,Settings!$B$17)),(Q1409-INDEX($Q:$Q,Settings!$B$17))*100,NA()),NA())</f>
        <v/>
      </c>
      <c r="V1409" s="20">
        <f>IF(AND(ISNUMBER(R1409),Settings!$B$17&gt;0),IF(ISNUMBER(INDEX($R:$R,Settings!$B$17)),(R1409-INDEX($R:$R,Settings!$B$17))*100,NA()),NA())</f>
        <v/>
      </c>
      <c r="W1409" s="20">
        <f>IF(AND(ISNUMBER(P1409),Settings!$B$17&gt;0),IF(ISNUMBER(INDEX($P:$P,Settings!$B$17)),P1409-INDEX($P:$P,Settings!$B$17),NA()),NA())</f>
        <v/>
      </c>
      <c r="X1409" s="19">
        <f>IF(NOT(ISNUMBER($A1409)),NA(),IF(OR($A1409&lt;MIN(DKW_10Y!$A$2:$A$2918),$A1409&gt;MAX(DKW_10Y!$A$2:$A$2918),Settings!$B$16&lt;MIN(DKW_10Y!$A$2:$A$2918)),NA(),(INDEX(DKW_10Y!$B$2:$B$2918,MATCH($A1409,DKW_10Y!$A$2:$A$2918,1))-INDEX(DKW_10Y!$B$2:$B$2918,MATCH(Settings!$B$16,DKW_10Y!$A$2:$A$2918,1)))*100))</f>
        <v/>
      </c>
      <c r="Y1409" s="19">
        <f>IF(NOT(ISNUMBER($A1409)),NA(),IF(OR($A1409&lt;MIN(DKW_10Y!$A$2:$A$2918),$A1409&gt;MAX(DKW_10Y!$A$2:$A$2918),Settings!$B$16&lt;MIN(DKW_10Y!$A$2:$A$2918)),NA(),(INDEX(DKW_10Y!$C$2:$C$2918,MATCH($A1409,DKW_10Y!$A$2:$A$2918,1))-INDEX(DKW_10Y!$C$2:$C$2918,MATCH(Settings!$B$16,DKW_10Y!$A$2:$A$2918,1)))*100))</f>
        <v/>
      </c>
      <c r="Z1409" s="19">
        <f>IF(NOT(ISNUMBER($A1409)),NA(),IF(OR($A1409&lt;MIN(DKW_10Y!$A$2:$A$2918),$A1409&gt;MAX(DKW_10Y!$A$2:$A$2918),Settings!$B$16&lt;MIN(DKW_10Y!$A$2:$A$2918)),NA(),(INDEX(DKW_10Y!$D$2:$D$2918,MATCH($A1409,DKW_10Y!$A$2:$A$2918,1))-INDEX(DKW_10Y!$D$2:$D$2918,MATCH(Settings!$B$16,DKW_10Y!$A$2:$A$2918,1)))*100))</f>
        <v/>
      </c>
      <c r="AA1409" s="19">
        <f>IF(NOT(ISNUMBER($A1409)),NA(),IF(OR($A1409&lt;MIN(DKW_10Y!$A$2:$A$2918),$A1409&gt;MAX(DKW_10Y!$A$2:$A$2918),Settings!$B$16&lt;MIN(DKW_10Y!$A$2:$A$2918)),NA(),(INDEX(DKW_10Y!$E$2:$E$2918,MATCH($A1409,DKW_10Y!$A$2:$A$2918,1))-INDEX(DKW_10Y!$E$2:$E$2918,MATCH(Settings!$B$16,DKW_10Y!$A$2:$A$2918,1)))*100))</f>
        <v/>
      </c>
      <c r="AB1409" s="19">
        <f>IF(NOT(ISNUMBER($A1409)),NA(),IF(OR($A1409&lt;MIN(DKW_10Y!$A$2:$A$2918),$A1409&gt;MAX(DKW_10Y!$A$2:$A$2918),Settings!$B$16&lt;MIN(DKW_10Y!$A$2:$A$2918)),NA(),(INDEX(DKW_10Y!$H$2:$H$2918,MATCH($A1409,DKW_10Y!$A$2:$A$2918,1))-INDEX(DKW_10Y!$H$2:$H$2918,MATCH(Settings!$B$16,DKW_10Y!$A$2:$A$2918,1)))*100))</f>
        <v/>
      </c>
      <c r="AC1409" s="18">
        <f>IF(NOT(ISNUMBER($A1409)),NA(),IFERROR(1*INDEX(BBG_Data!$N$2:$N$4000,MATCH($A1409,BBG_Data!$M$2:$M$4000,0)),NA()))</f>
        <v/>
      </c>
      <c r="AD1409" s="18">
        <f>IF(NOT(ISNUMBER($A1409)),NA(),IFERROR(1*INDEX(BBG_Data!$P$2:$P$4000,MATCH($A1409,BBG_Data!$O$2:$O$4000,0)),NA()))</f>
        <v/>
      </c>
      <c r="AE1409" s="18">
        <f>IF(NOT(ISNUMBER($A1409)),NA(),IFERROR(1*INDEX(BBG_Data!$R$2:$R$4000,MATCH($A1409,BBG_Data!$Q$2:$Q$4000,0)),NA()))</f>
        <v/>
      </c>
      <c r="AF1409" s="20">
        <f>IF(AND(ISNUMBER(B1409),ISNUMBER(AC1409)),(B1409-AC1409)*100,NA())</f>
        <v/>
      </c>
      <c r="AG1409" s="20">
        <f>IF(AND(ISNUMBER(AE1409),ISNUMBER(AD1409)),(AE1409-AD1409)*100,NA())</f>
        <v/>
      </c>
      <c r="AH1409" s="19">
        <f>IF(NOT(ISNUMBER($A1409)),NA(),IFERROR(INDEX(BBG_Data!$T$2:$T$4000,MATCH($A1409,BBG_Data!$S$2:$S$4000,0))*Settings!$B$25,NA()))</f>
        <v/>
      </c>
      <c r="AI1409" s="19">
        <f>IF(NOT(ISNUMBER($A1409)),NA(),IFERROR(INDEX(BBG_Data!$V$2:$V$4000,MATCH($A1409,BBG_Data!$U$2:$U$4000,0))*Settings!$B$25,NA()))</f>
        <v/>
      </c>
      <c r="AJ1409" s="19">
        <f>IF(NOT(ISNUMBER($A1409)),NA(),IFERROR(1*INDEX(BBG_Data!$X$2:$X$4000,MATCH($A1409,BBG_Data!$W$2:$W$4000,0)),NA()))</f>
        <v/>
      </c>
      <c r="AK1409" s="19">
        <f>IF(NOT(ISNUMBER($A1409)),NA(),IFERROR(1*INDEX(BBG_Data!$Z$2:$Z$4000,MATCH($A1409,BBG_Data!$Y$2:$Y$4000,0)),NA()))</f>
        <v/>
      </c>
    </row>
    <row r="1410">
      <c r="A1410" s="17">
        <f>IF(ISNUMBER(BBG_Data!A1410),BBG_Data!A1410,"")</f>
        <v/>
      </c>
      <c r="B1410" s="18">
        <f>IF(AND(ISNUMBER($A1410),ISNUMBER(BBG_Data!B1410)),BBG_Data!B1410,NA())</f>
        <v/>
      </c>
      <c r="C1410" s="18">
        <f>IF(NOT(ISNUMBER($A1410)),NA(),IFERROR(1*INDEX(BBG_Data!$D$2:$D$4000,MATCH($A1410,BBG_Data!$C$2:$C$4000,0)),NA()))</f>
        <v/>
      </c>
      <c r="D1410" s="19">
        <f>IF(NOT(ISNUMBER($A1410)),NA(),IFERROR(1*INDEX(BBG_Data!$F$2:$F$4000,MATCH($A1410,BBG_Data!$E$2:$E$4000,0)),NA()))</f>
        <v/>
      </c>
      <c r="E1410" s="19">
        <f>IF(NOT(ISNUMBER($A1410)),NA(),IFERROR(1*INDEX(BBG_Data!$H$2:$H$4000,MATCH($A1410,BBG_Data!$G$2:$G$4000,0)),NA()))</f>
        <v/>
      </c>
      <c r="F1410" s="20">
        <f>IF(AND(ISNUMBER(B1410),ISNUMBER(B1409)),IF(B1410=B1409,"",(B1410-B1409)*100),"")</f>
        <v/>
      </c>
      <c r="G1410" s="20">
        <f>IF(AND(ISNUMBER(C1410),ISNUMBER(C1409)),IF(C1410=C1409,"",(C1410-C1409)*100),"")</f>
        <v/>
      </c>
      <c r="H1410" s="20">
        <f>IF(OR(NOT(ISNUMBER($A1410)),ROW()-2&lt;Settings!$B$11),NA(),IF(COUNT(OFFSET(F1410,1-Settings!$B$11,0,Settings!$B$11,1))&lt;ROUNDUP(Settings!$B$11*Settings!$B$26,0),NA(),STDEV(OFFSET(F1410,1-Settings!$B$11,0,Settings!$B$11,1))*SQRT(Settings!$B$13)))</f>
        <v/>
      </c>
      <c r="I1410" s="20">
        <f>IF(OR(NOT(ISNUMBER($A1410)),ROW()-2&lt;Settings!$B$12),NA(),IF(COUNT(OFFSET(F1410,1-Settings!$B$12,0,Settings!$B$12,1))&lt;ROUNDUP(Settings!$B$12*Settings!$B$26,0),NA(),STDEV(OFFSET(F1410,1-Settings!$B$12,0,Settings!$B$12,1))*SQRT(Settings!$B$13)))</f>
        <v/>
      </c>
      <c r="J1410" s="20">
        <f>IF(OR(NOT(ISNUMBER($A1410)),ROW()-2&lt;Settings!$B$11),NA(),IF(COUNT(OFFSET(G1410,1-Settings!$B$11,0,Settings!$B$11,1))&lt;ROUNDUP(Settings!$B$11*Settings!$B$26,0),NA(),STDEV(OFFSET(G1410,1-Settings!$B$11,0,Settings!$B$11,1))*SQRT(Settings!$B$13)))</f>
        <v/>
      </c>
      <c r="K1410" s="20">
        <f>IF(OR(NOT(ISNUMBER($A1410)),ROW()-2&lt;Settings!$B$12),NA(),IF(COUNT(OFFSET(G1410,1-Settings!$B$12,0,Settings!$B$12,1))&lt;ROUNDUP(Settings!$B$12*Settings!$B$26,0),NA(),STDEV(OFFSET(G1410,1-Settings!$B$12,0,Settings!$B$12,1))*SQRT(Settings!$B$13)))</f>
        <v/>
      </c>
      <c r="L1410" s="20">
        <f>IF(AND(ISNUMBER(D1410),ISNUMBER(H1410)),D1410-H1410,NA())</f>
        <v/>
      </c>
      <c r="M1410" s="20">
        <f>IF(AND(ISNUMBER(E1410),ISNUMBER(K1410)),E1410-K1410,NA())</f>
        <v/>
      </c>
      <c r="N1410" s="20">
        <f>IF(NOT(ISNUMBER($A1410)),NA(),IF(COUNT(OFFSET(G1410,1,0,Settings!$B$12,1))&lt;ROUNDUP(Settings!$B$12*Settings!$B$26,0),NA(),STDEV(OFFSET(G1410,1,0,Settings!$B$12,1))*SQRT(Settings!$B$13)))</f>
        <v/>
      </c>
      <c r="O1410" s="20">
        <f>IF(AND(ISNUMBER(E1410),ISNUMBER(N1410)),E1410-N1410,NA())</f>
        <v/>
      </c>
      <c r="P1410" s="19">
        <f>IF(NOT(ISNUMBER($A1410)),NA(),IF(OR($A1410&lt;MIN(KW_TP!$A$2:$A$2501),$A1410&gt;MAX(KW_TP!$A$2:$A$2501)),NA(),INDEX(KW_TP!$C$2:$C$2501,MATCH($A1410,KW_TP!$A$2:$A$2501,1))))</f>
        <v/>
      </c>
      <c r="Q1410" s="18">
        <f>IF(NOT(ISNUMBER($A1410)),NA(),IFERROR(1*INDEX(BBG_Data!$J$2:$J$4000,MATCH($A1410,BBG_Data!$I$2:$I$4000,0)),NA()))</f>
        <v/>
      </c>
      <c r="R1410" s="18">
        <f>IF(NOT(ISNUMBER($A1410)),NA(),IFERROR(1*INDEX(BBG_Data!$L$2:$L$4000,MATCH($A1410,BBG_Data!$K$2:$K$4000,0)),NA()))</f>
        <v/>
      </c>
      <c r="S1410" s="20">
        <f>IF(AND(ISNUMBER(B1410),ISNUMBER(Q1410),ISNUMBER(R1410)),(B1410-Q1410-R1410)*100,NA())</f>
        <v/>
      </c>
      <c r="T1410" s="20">
        <f>IF(AND(ISNUMBER(B1410),Settings!$B$17&gt;0),IF(ISNUMBER(INDEX($B:$B,Settings!$B$17)),(B1410-INDEX($B:$B,Settings!$B$17))*100,NA()),NA())</f>
        <v/>
      </c>
      <c r="U1410" s="20">
        <f>IF(AND(ISNUMBER(Q1410),Settings!$B$17&gt;0),IF(ISNUMBER(INDEX($Q:$Q,Settings!$B$17)),(Q1410-INDEX($Q:$Q,Settings!$B$17))*100,NA()),NA())</f>
        <v/>
      </c>
      <c r="V1410" s="20">
        <f>IF(AND(ISNUMBER(R1410),Settings!$B$17&gt;0),IF(ISNUMBER(INDEX($R:$R,Settings!$B$17)),(R1410-INDEX($R:$R,Settings!$B$17))*100,NA()),NA())</f>
        <v/>
      </c>
      <c r="W1410" s="20">
        <f>IF(AND(ISNUMBER(P1410),Settings!$B$17&gt;0),IF(ISNUMBER(INDEX($P:$P,Settings!$B$17)),P1410-INDEX($P:$P,Settings!$B$17),NA()),NA())</f>
        <v/>
      </c>
      <c r="X1410" s="19">
        <f>IF(NOT(ISNUMBER($A1410)),NA(),IF(OR($A1410&lt;MIN(DKW_10Y!$A$2:$A$2918),$A1410&gt;MAX(DKW_10Y!$A$2:$A$2918),Settings!$B$16&lt;MIN(DKW_10Y!$A$2:$A$2918)),NA(),(INDEX(DKW_10Y!$B$2:$B$2918,MATCH($A1410,DKW_10Y!$A$2:$A$2918,1))-INDEX(DKW_10Y!$B$2:$B$2918,MATCH(Settings!$B$16,DKW_10Y!$A$2:$A$2918,1)))*100))</f>
        <v/>
      </c>
      <c r="Y1410" s="19">
        <f>IF(NOT(ISNUMBER($A1410)),NA(),IF(OR($A1410&lt;MIN(DKW_10Y!$A$2:$A$2918),$A1410&gt;MAX(DKW_10Y!$A$2:$A$2918),Settings!$B$16&lt;MIN(DKW_10Y!$A$2:$A$2918)),NA(),(INDEX(DKW_10Y!$C$2:$C$2918,MATCH($A1410,DKW_10Y!$A$2:$A$2918,1))-INDEX(DKW_10Y!$C$2:$C$2918,MATCH(Settings!$B$16,DKW_10Y!$A$2:$A$2918,1)))*100))</f>
        <v/>
      </c>
      <c r="Z1410" s="19">
        <f>IF(NOT(ISNUMBER($A1410)),NA(),IF(OR($A1410&lt;MIN(DKW_10Y!$A$2:$A$2918),$A1410&gt;MAX(DKW_10Y!$A$2:$A$2918),Settings!$B$16&lt;MIN(DKW_10Y!$A$2:$A$2918)),NA(),(INDEX(DKW_10Y!$D$2:$D$2918,MATCH($A1410,DKW_10Y!$A$2:$A$2918,1))-INDEX(DKW_10Y!$D$2:$D$2918,MATCH(Settings!$B$16,DKW_10Y!$A$2:$A$2918,1)))*100))</f>
        <v/>
      </c>
      <c r="AA1410" s="19">
        <f>IF(NOT(ISNUMBER($A1410)),NA(),IF(OR($A1410&lt;MIN(DKW_10Y!$A$2:$A$2918),$A1410&gt;MAX(DKW_10Y!$A$2:$A$2918),Settings!$B$16&lt;MIN(DKW_10Y!$A$2:$A$2918)),NA(),(INDEX(DKW_10Y!$E$2:$E$2918,MATCH($A1410,DKW_10Y!$A$2:$A$2918,1))-INDEX(DKW_10Y!$E$2:$E$2918,MATCH(Settings!$B$16,DKW_10Y!$A$2:$A$2918,1)))*100))</f>
        <v/>
      </c>
      <c r="AB1410" s="19">
        <f>IF(NOT(ISNUMBER($A1410)),NA(),IF(OR($A1410&lt;MIN(DKW_10Y!$A$2:$A$2918),$A1410&gt;MAX(DKW_10Y!$A$2:$A$2918),Settings!$B$16&lt;MIN(DKW_10Y!$A$2:$A$2918)),NA(),(INDEX(DKW_10Y!$H$2:$H$2918,MATCH($A1410,DKW_10Y!$A$2:$A$2918,1))-INDEX(DKW_10Y!$H$2:$H$2918,MATCH(Settings!$B$16,DKW_10Y!$A$2:$A$2918,1)))*100))</f>
        <v/>
      </c>
      <c r="AC1410" s="18">
        <f>IF(NOT(ISNUMBER($A1410)),NA(),IFERROR(1*INDEX(BBG_Data!$N$2:$N$4000,MATCH($A1410,BBG_Data!$M$2:$M$4000,0)),NA()))</f>
        <v/>
      </c>
      <c r="AD1410" s="18">
        <f>IF(NOT(ISNUMBER($A1410)),NA(),IFERROR(1*INDEX(BBG_Data!$P$2:$P$4000,MATCH($A1410,BBG_Data!$O$2:$O$4000,0)),NA()))</f>
        <v/>
      </c>
      <c r="AE1410" s="18">
        <f>IF(NOT(ISNUMBER($A1410)),NA(),IFERROR(1*INDEX(BBG_Data!$R$2:$R$4000,MATCH($A1410,BBG_Data!$Q$2:$Q$4000,0)),NA()))</f>
        <v/>
      </c>
      <c r="AF1410" s="20">
        <f>IF(AND(ISNUMBER(B1410),ISNUMBER(AC1410)),(B1410-AC1410)*100,NA())</f>
        <v/>
      </c>
      <c r="AG1410" s="20">
        <f>IF(AND(ISNUMBER(AE1410),ISNUMBER(AD1410)),(AE1410-AD1410)*100,NA())</f>
        <v/>
      </c>
      <c r="AH1410" s="19">
        <f>IF(NOT(ISNUMBER($A1410)),NA(),IFERROR(INDEX(BBG_Data!$T$2:$T$4000,MATCH($A1410,BBG_Data!$S$2:$S$4000,0))*Settings!$B$25,NA()))</f>
        <v/>
      </c>
      <c r="AI1410" s="19">
        <f>IF(NOT(ISNUMBER($A1410)),NA(),IFERROR(INDEX(BBG_Data!$V$2:$V$4000,MATCH($A1410,BBG_Data!$U$2:$U$4000,0))*Settings!$B$25,NA()))</f>
        <v/>
      </c>
      <c r="AJ1410" s="19">
        <f>IF(NOT(ISNUMBER($A1410)),NA(),IFERROR(1*INDEX(BBG_Data!$X$2:$X$4000,MATCH($A1410,BBG_Data!$W$2:$W$4000,0)),NA()))</f>
        <v/>
      </c>
      <c r="AK1410" s="19">
        <f>IF(NOT(ISNUMBER($A1410)),NA(),IFERROR(1*INDEX(BBG_Data!$Z$2:$Z$4000,MATCH($A1410,BBG_Data!$Y$2:$Y$4000,0)),NA()))</f>
        <v/>
      </c>
    </row>
    <row r="1411">
      <c r="A1411" s="17">
        <f>IF(ISNUMBER(BBG_Data!A1411),BBG_Data!A1411,"")</f>
        <v/>
      </c>
      <c r="B1411" s="18">
        <f>IF(AND(ISNUMBER($A1411),ISNUMBER(BBG_Data!B1411)),BBG_Data!B1411,NA())</f>
        <v/>
      </c>
      <c r="C1411" s="18">
        <f>IF(NOT(ISNUMBER($A1411)),NA(),IFERROR(1*INDEX(BBG_Data!$D$2:$D$4000,MATCH($A1411,BBG_Data!$C$2:$C$4000,0)),NA()))</f>
        <v/>
      </c>
      <c r="D1411" s="19">
        <f>IF(NOT(ISNUMBER($A1411)),NA(),IFERROR(1*INDEX(BBG_Data!$F$2:$F$4000,MATCH($A1411,BBG_Data!$E$2:$E$4000,0)),NA()))</f>
        <v/>
      </c>
      <c r="E1411" s="19">
        <f>IF(NOT(ISNUMBER($A1411)),NA(),IFERROR(1*INDEX(BBG_Data!$H$2:$H$4000,MATCH($A1411,BBG_Data!$G$2:$G$4000,0)),NA()))</f>
        <v/>
      </c>
      <c r="F1411" s="20">
        <f>IF(AND(ISNUMBER(B1411),ISNUMBER(B1410)),IF(B1411=B1410,"",(B1411-B1410)*100),"")</f>
        <v/>
      </c>
      <c r="G1411" s="20">
        <f>IF(AND(ISNUMBER(C1411),ISNUMBER(C1410)),IF(C1411=C1410,"",(C1411-C1410)*100),"")</f>
        <v/>
      </c>
      <c r="H1411" s="20">
        <f>IF(OR(NOT(ISNUMBER($A1411)),ROW()-2&lt;Settings!$B$11),NA(),IF(COUNT(OFFSET(F1411,1-Settings!$B$11,0,Settings!$B$11,1))&lt;ROUNDUP(Settings!$B$11*Settings!$B$26,0),NA(),STDEV(OFFSET(F1411,1-Settings!$B$11,0,Settings!$B$11,1))*SQRT(Settings!$B$13)))</f>
        <v/>
      </c>
      <c r="I1411" s="20">
        <f>IF(OR(NOT(ISNUMBER($A1411)),ROW()-2&lt;Settings!$B$12),NA(),IF(COUNT(OFFSET(F1411,1-Settings!$B$12,0,Settings!$B$12,1))&lt;ROUNDUP(Settings!$B$12*Settings!$B$26,0),NA(),STDEV(OFFSET(F1411,1-Settings!$B$12,0,Settings!$B$12,1))*SQRT(Settings!$B$13)))</f>
        <v/>
      </c>
      <c r="J1411" s="20">
        <f>IF(OR(NOT(ISNUMBER($A1411)),ROW()-2&lt;Settings!$B$11),NA(),IF(COUNT(OFFSET(G1411,1-Settings!$B$11,0,Settings!$B$11,1))&lt;ROUNDUP(Settings!$B$11*Settings!$B$26,0),NA(),STDEV(OFFSET(G1411,1-Settings!$B$11,0,Settings!$B$11,1))*SQRT(Settings!$B$13)))</f>
        <v/>
      </c>
      <c r="K1411" s="20">
        <f>IF(OR(NOT(ISNUMBER($A1411)),ROW()-2&lt;Settings!$B$12),NA(),IF(COUNT(OFFSET(G1411,1-Settings!$B$12,0,Settings!$B$12,1))&lt;ROUNDUP(Settings!$B$12*Settings!$B$26,0),NA(),STDEV(OFFSET(G1411,1-Settings!$B$12,0,Settings!$B$12,1))*SQRT(Settings!$B$13)))</f>
        <v/>
      </c>
      <c r="L1411" s="20">
        <f>IF(AND(ISNUMBER(D1411),ISNUMBER(H1411)),D1411-H1411,NA())</f>
        <v/>
      </c>
      <c r="M1411" s="20">
        <f>IF(AND(ISNUMBER(E1411),ISNUMBER(K1411)),E1411-K1411,NA())</f>
        <v/>
      </c>
      <c r="N1411" s="20">
        <f>IF(NOT(ISNUMBER($A1411)),NA(),IF(COUNT(OFFSET(G1411,1,0,Settings!$B$12,1))&lt;ROUNDUP(Settings!$B$12*Settings!$B$26,0),NA(),STDEV(OFFSET(G1411,1,0,Settings!$B$12,1))*SQRT(Settings!$B$13)))</f>
        <v/>
      </c>
      <c r="O1411" s="20">
        <f>IF(AND(ISNUMBER(E1411),ISNUMBER(N1411)),E1411-N1411,NA())</f>
        <v/>
      </c>
      <c r="P1411" s="19">
        <f>IF(NOT(ISNUMBER($A1411)),NA(),IF(OR($A1411&lt;MIN(KW_TP!$A$2:$A$2501),$A1411&gt;MAX(KW_TP!$A$2:$A$2501)),NA(),INDEX(KW_TP!$C$2:$C$2501,MATCH($A1411,KW_TP!$A$2:$A$2501,1))))</f>
        <v/>
      </c>
      <c r="Q1411" s="18">
        <f>IF(NOT(ISNUMBER($A1411)),NA(),IFERROR(1*INDEX(BBG_Data!$J$2:$J$4000,MATCH($A1411,BBG_Data!$I$2:$I$4000,0)),NA()))</f>
        <v/>
      </c>
      <c r="R1411" s="18">
        <f>IF(NOT(ISNUMBER($A1411)),NA(),IFERROR(1*INDEX(BBG_Data!$L$2:$L$4000,MATCH($A1411,BBG_Data!$K$2:$K$4000,0)),NA()))</f>
        <v/>
      </c>
      <c r="S1411" s="20">
        <f>IF(AND(ISNUMBER(B1411),ISNUMBER(Q1411),ISNUMBER(R1411)),(B1411-Q1411-R1411)*100,NA())</f>
        <v/>
      </c>
      <c r="T1411" s="20">
        <f>IF(AND(ISNUMBER(B1411),Settings!$B$17&gt;0),IF(ISNUMBER(INDEX($B:$B,Settings!$B$17)),(B1411-INDEX($B:$B,Settings!$B$17))*100,NA()),NA())</f>
        <v/>
      </c>
      <c r="U1411" s="20">
        <f>IF(AND(ISNUMBER(Q1411),Settings!$B$17&gt;0),IF(ISNUMBER(INDEX($Q:$Q,Settings!$B$17)),(Q1411-INDEX($Q:$Q,Settings!$B$17))*100,NA()),NA())</f>
        <v/>
      </c>
      <c r="V1411" s="20">
        <f>IF(AND(ISNUMBER(R1411),Settings!$B$17&gt;0),IF(ISNUMBER(INDEX($R:$R,Settings!$B$17)),(R1411-INDEX($R:$R,Settings!$B$17))*100,NA()),NA())</f>
        <v/>
      </c>
      <c r="W1411" s="20">
        <f>IF(AND(ISNUMBER(P1411),Settings!$B$17&gt;0),IF(ISNUMBER(INDEX($P:$P,Settings!$B$17)),P1411-INDEX($P:$P,Settings!$B$17),NA()),NA())</f>
        <v/>
      </c>
      <c r="X1411" s="19">
        <f>IF(NOT(ISNUMBER($A1411)),NA(),IF(OR($A1411&lt;MIN(DKW_10Y!$A$2:$A$2918),$A1411&gt;MAX(DKW_10Y!$A$2:$A$2918),Settings!$B$16&lt;MIN(DKW_10Y!$A$2:$A$2918)),NA(),(INDEX(DKW_10Y!$B$2:$B$2918,MATCH($A1411,DKW_10Y!$A$2:$A$2918,1))-INDEX(DKW_10Y!$B$2:$B$2918,MATCH(Settings!$B$16,DKW_10Y!$A$2:$A$2918,1)))*100))</f>
        <v/>
      </c>
      <c r="Y1411" s="19">
        <f>IF(NOT(ISNUMBER($A1411)),NA(),IF(OR($A1411&lt;MIN(DKW_10Y!$A$2:$A$2918),$A1411&gt;MAX(DKW_10Y!$A$2:$A$2918),Settings!$B$16&lt;MIN(DKW_10Y!$A$2:$A$2918)),NA(),(INDEX(DKW_10Y!$C$2:$C$2918,MATCH($A1411,DKW_10Y!$A$2:$A$2918,1))-INDEX(DKW_10Y!$C$2:$C$2918,MATCH(Settings!$B$16,DKW_10Y!$A$2:$A$2918,1)))*100))</f>
        <v/>
      </c>
      <c r="Z1411" s="19">
        <f>IF(NOT(ISNUMBER($A1411)),NA(),IF(OR($A1411&lt;MIN(DKW_10Y!$A$2:$A$2918),$A1411&gt;MAX(DKW_10Y!$A$2:$A$2918),Settings!$B$16&lt;MIN(DKW_10Y!$A$2:$A$2918)),NA(),(INDEX(DKW_10Y!$D$2:$D$2918,MATCH($A1411,DKW_10Y!$A$2:$A$2918,1))-INDEX(DKW_10Y!$D$2:$D$2918,MATCH(Settings!$B$16,DKW_10Y!$A$2:$A$2918,1)))*100))</f>
        <v/>
      </c>
      <c r="AA1411" s="19">
        <f>IF(NOT(ISNUMBER($A1411)),NA(),IF(OR($A1411&lt;MIN(DKW_10Y!$A$2:$A$2918),$A1411&gt;MAX(DKW_10Y!$A$2:$A$2918),Settings!$B$16&lt;MIN(DKW_10Y!$A$2:$A$2918)),NA(),(INDEX(DKW_10Y!$E$2:$E$2918,MATCH($A1411,DKW_10Y!$A$2:$A$2918,1))-INDEX(DKW_10Y!$E$2:$E$2918,MATCH(Settings!$B$16,DKW_10Y!$A$2:$A$2918,1)))*100))</f>
        <v/>
      </c>
      <c r="AB1411" s="19">
        <f>IF(NOT(ISNUMBER($A1411)),NA(),IF(OR($A1411&lt;MIN(DKW_10Y!$A$2:$A$2918),$A1411&gt;MAX(DKW_10Y!$A$2:$A$2918),Settings!$B$16&lt;MIN(DKW_10Y!$A$2:$A$2918)),NA(),(INDEX(DKW_10Y!$H$2:$H$2918,MATCH($A1411,DKW_10Y!$A$2:$A$2918,1))-INDEX(DKW_10Y!$H$2:$H$2918,MATCH(Settings!$B$16,DKW_10Y!$A$2:$A$2918,1)))*100))</f>
        <v/>
      </c>
      <c r="AC1411" s="18">
        <f>IF(NOT(ISNUMBER($A1411)),NA(),IFERROR(1*INDEX(BBG_Data!$N$2:$N$4000,MATCH($A1411,BBG_Data!$M$2:$M$4000,0)),NA()))</f>
        <v/>
      </c>
      <c r="AD1411" s="18">
        <f>IF(NOT(ISNUMBER($A1411)),NA(),IFERROR(1*INDEX(BBG_Data!$P$2:$P$4000,MATCH($A1411,BBG_Data!$O$2:$O$4000,0)),NA()))</f>
        <v/>
      </c>
      <c r="AE1411" s="18">
        <f>IF(NOT(ISNUMBER($A1411)),NA(),IFERROR(1*INDEX(BBG_Data!$R$2:$R$4000,MATCH($A1411,BBG_Data!$Q$2:$Q$4000,0)),NA()))</f>
        <v/>
      </c>
      <c r="AF1411" s="20">
        <f>IF(AND(ISNUMBER(B1411),ISNUMBER(AC1411)),(B1411-AC1411)*100,NA())</f>
        <v/>
      </c>
      <c r="AG1411" s="20">
        <f>IF(AND(ISNUMBER(AE1411),ISNUMBER(AD1411)),(AE1411-AD1411)*100,NA())</f>
        <v/>
      </c>
      <c r="AH1411" s="19">
        <f>IF(NOT(ISNUMBER($A1411)),NA(),IFERROR(INDEX(BBG_Data!$T$2:$T$4000,MATCH($A1411,BBG_Data!$S$2:$S$4000,0))*Settings!$B$25,NA()))</f>
        <v/>
      </c>
      <c r="AI1411" s="19">
        <f>IF(NOT(ISNUMBER($A1411)),NA(),IFERROR(INDEX(BBG_Data!$V$2:$V$4000,MATCH($A1411,BBG_Data!$U$2:$U$4000,0))*Settings!$B$25,NA()))</f>
        <v/>
      </c>
      <c r="AJ1411" s="19">
        <f>IF(NOT(ISNUMBER($A1411)),NA(),IFERROR(1*INDEX(BBG_Data!$X$2:$X$4000,MATCH($A1411,BBG_Data!$W$2:$W$4000,0)),NA()))</f>
        <v/>
      </c>
      <c r="AK1411" s="19">
        <f>IF(NOT(ISNUMBER($A1411)),NA(),IFERROR(1*INDEX(BBG_Data!$Z$2:$Z$4000,MATCH($A1411,BBG_Data!$Y$2:$Y$4000,0)),NA()))</f>
        <v/>
      </c>
    </row>
    <row r="1412">
      <c r="A1412" s="17">
        <f>IF(ISNUMBER(BBG_Data!A1412),BBG_Data!A1412,"")</f>
        <v/>
      </c>
      <c r="B1412" s="18">
        <f>IF(AND(ISNUMBER($A1412),ISNUMBER(BBG_Data!B1412)),BBG_Data!B1412,NA())</f>
        <v/>
      </c>
      <c r="C1412" s="18">
        <f>IF(NOT(ISNUMBER($A1412)),NA(),IFERROR(1*INDEX(BBG_Data!$D$2:$D$4000,MATCH($A1412,BBG_Data!$C$2:$C$4000,0)),NA()))</f>
        <v/>
      </c>
      <c r="D1412" s="19">
        <f>IF(NOT(ISNUMBER($A1412)),NA(),IFERROR(1*INDEX(BBG_Data!$F$2:$F$4000,MATCH($A1412,BBG_Data!$E$2:$E$4000,0)),NA()))</f>
        <v/>
      </c>
      <c r="E1412" s="19">
        <f>IF(NOT(ISNUMBER($A1412)),NA(),IFERROR(1*INDEX(BBG_Data!$H$2:$H$4000,MATCH($A1412,BBG_Data!$G$2:$G$4000,0)),NA()))</f>
        <v/>
      </c>
      <c r="F1412" s="20">
        <f>IF(AND(ISNUMBER(B1412),ISNUMBER(B1411)),IF(B1412=B1411,"",(B1412-B1411)*100),"")</f>
        <v/>
      </c>
      <c r="G1412" s="20">
        <f>IF(AND(ISNUMBER(C1412),ISNUMBER(C1411)),IF(C1412=C1411,"",(C1412-C1411)*100),"")</f>
        <v/>
      </c>
      <c r="H1412" s="20">
        <f>IF(OR(NOT(ISNUMBER($A1412)),ROW()-2&lt;Settings!$B$11),NA(),IF(COUNT(OFFSET(F1412,1-Settings!$B$11,0,Settings!$B$11,1))&lt;ROUNDUP(Settings!$B$11*Settings!$B$26,0),NA(),STDEV(OFFSET(F1412,1-Settings!$B$11,0,Settings!$B$11,1))*SQRT(Settings!$B$13)))</f>
        <v/>
      </c>
      <c r="I1412" s="20">
        <f>IF(OR(NOT(ISNUMBER($A1412)),ROW()-2&lt;Settings!$B$12),NA(),IF(COUNT(OFFSET(F1412,1-Settings!$B$12,0,Settings!$B$12,1))&lt;ROUNDUP(Settings!$B$12*Settings!$B$26,0),NA(),STDEV(OFFSET(F1412,1-Settings!$B$12,0,Settings!$B$12,1))*SQRT(Settings!$B$13)))</f>
        <v/>
      </c>
      <c r="J1412" s="20">
        <f>IF(OR(NOT(ISNUMBER($A1412)),ROW()-2&lt;Settings!$B$11),NA(),IF(COUNT(OFFSET(G1412,1-Settings!$B$11,0,Settings!$B$11,1))&lt;ROUNDUP(Settings!$B$11*Settings!$B$26,0),NA(),STDEV(OFFSET(G1412,1-Settings!$B$11,0,Settings!$B$11,1))*SQRT(Settings!$B$13)))</f>
        <v/>
      </c>
      <c r="K1412" s="20">
        <f>IF(OR(NOT(ISNUMBER($A1412)),ROW()-2&lt;Settings!$B$12),NA(),IF(COUNT(OFFSET(G1412,1-Settings!$B$12,0,Settings!$B$12,1))&lt;ROUNDUP(Settings!$B$12*Settings!$B$26,0),NA(),STDEV(OFFSET(G1412,1-Settings!$B$12,0,Settings!$B$12,1))*SQRT(Settings!$B$13)))</f>
        <v/>
      </c>
      <c r="L1412" s="20">
        <f>IF(AND(ISNUMBER(D1412),ISNUMBER(H1412)),D1412-H1412,NA())</f>
        <v/>
      </c>
      <c r="M1412" s="20">
        <f>IF(AND(ISNUMBER(E1412),ISNUMBER(K1412)),E1412-K1412,NA())</f>
        <v/>
      </c>
      <c r="N1412" s="20">
        <f>IF(NOT(ISNUMBER($A1412)),NA(),IF(COUNT(OFFSET(G1412,1,0,Settings!$B$12,1))&lt;ROUNDUP(Settings!$B$12*Settings!$B$26,0),NA(),STDEV(OFFSET(G1412,1,0,Settings!$B$12,1))*SQRT(Settings!$B$13)))</f>
        <v/>
      </c>
      <c r="O1412" s="20">
        <f>IF(AND(ISNUMBER(E1412),ISNUMBER(N1412)),E1412-N1412,NA())</f>
        <v/>
      </c>
      <c r="P1412" s="19">
        <f>IF(NOT(ISNUMBER($A1412)),NA(),IF(OR($A1412&lt;MIN(KW_TP!$A$2:$A$2501),$A1412&gt;MAX(KW_TP!$A$2:$A$2501)),NA(),INDEX(KW_TP!$C$2:$C$2501,MATCH($A1412,KW_TP!$A$2:$A$2501,1))))</f>
        <v/>
      </c>
      <c r="Q1412" s="18">
        <f>IF(NOT(ISNUMBER($A1412)),NA(),IFERROR(1*INDEX(BBG_Data!$J$2:$J$4000,MATCH($A1412,BBG_Data!$I$2:$I$4000,0)),NA()))</f>
        <v/>
      </c>
      <c r="R1412" s="18">
        <f>IF(NOT(ISNUMBER($A1412)),NA(),IFERROR(1*INDEX(BBG_Data!$L$2:$L$4000,MATCH($A1412,BBG_Data!$K$2:$K$4000,0)),NA()))</f>
        <v/>
      </c>
      <c r="S1412" s="20">
        <f>IF(AND(ISNUMBER(B1412),ISNUMBER(Q1412),ISNUMBER(R1412)),(B1412-Q1412-R1412)*100,NA())</f>
        <v/>
      </c>
      <c r="T1412" s="20">
        <f>IF(AND(ISNUMBER(B1412),Settings!$B$17&gt;0),IF(ISNUMBER(INDEX($B:$B,Settings!$B$17)),(B1412-INDEX($B:$B,Settings!$B$17))*100,NA()),NA())</f>
        <v/>
      </c>
      <c r="U1412" s="20">
        <f>IF(AND(ISNUMBER(Q1412),Settings!$B$17&gt;0),IF(ISNUMBER(INDEX($Q:$Q,Settings!$B$17)),(Q1412-INDEX($Q:$Q,Settings!$B$17))*100,NA()),NA())</f>
        <v/>
      </c>
      <c r="V1412" s="20">
        <f>IF(AND(ISNUMBER(R1412),Settings!$B$17&gt;0),IF(ISNUMBER(INDEX($R:$R,Settings!$B$17)),(R1412-INDEX($R:$R,Settings!$B$17))*100,NA()),NA())</f>
        <v/>
      </c>
      <c r="W1412" s="20">
        <f>IF(AND(ISNUMBER(P1412),Settings!$B$17&gt;0),IF(ISNUMBER(INDEX($P:$P,Settings!$B$17)),P1412-INDEX($P:$P,Settings!$B$17),NA()),NA())</f>
        <v/>
      </c>
      <c r="X1412" s="19">
        <f>IF(NOT(ISNUMBER($A1412)),NA(),IF(OR($A1412&lt;MIN(DKW_10Y!$A$2:$A$2918),$A1412&gt;MAX(DKW_10Y!$A$2:$A$2918),Settings!$B$16&lt;MIN(DKW_10Y!$A$2:$A$2918)),NA(),(INDEX(DKW_10Y!$B$2:$B$2918,MATCH($A1412,DKW_10Y!$A$2:$A$2918,1))-INDEX(DKW_10Y!$B$2:$B$2918,MATCH(Settings!$B$16,DKW_10Y!$A$2:$A$2918,1)))*100))</f>
        <v/>
      </c>
      <c r="Y1412" s="19">
        <f>IF(NOT(ISNUMBER($A1412)),NA(),IF(OR($A1412&lt;MIN(DKW_10Y!$A$2:$A$2918),$A1412&gt;MAX(DKW_10Y!$A$2:$A$2918),Settings!$B$16&lt;MIN(DKW_10Y!$A$2:$A$2918)),NA(),(INDEX(DKW_10Y!$C$2:$C$2918,MATCH($A1412,DKW_10Y!$A$2:$A$2918,1))-INDEX(DKW_10Y!$C$2:$C$2918,MATCH(Settings!$B$16,DKW_10Y!$A$2:$A$2918,1)))*100))</f>
        <v/>
      </c>
      <c r="Z1412" s="19">
        <f>IF(NOT(ISNUMBER($A1412)),NA(),IF(OR($A1412&lt;MIN(DKW_10Y!$A$2:$A$2918),$A1412&gt;MAX(DKW_10Y!$A$2:$A$2918),Settings!$B$16&lt;MIN(DKW_10Y!$A$2:$A$2918)),NA(),(INDEX(DKW_10Y!$D$2:$D$2918,MATCH($A1412,DKW_10Y!$A$2:$A$2918,1))-INDEX(DKW_10Y!$D$2:$D$2918,MATCH(Settings!$B$16,DKW_10Y!$A$2:$A$2918,1)))*100))</f>
        <v/>
      </c>
      <c r="AA1412" s="19">
        <f>IF(NOT(ISNUMBER($A1412)),NA(),IF(OR($A1412&lt;MIN(DKW_10Y!$A$2:$A$2918),$A1412&gt;MAX(DKW_10Y!$A$2:$A$2918),Settings!$B$16&lt;MIN(DKW_10Y!$A$2:$A$2918)),NA(),(INDEX(DKW_10Y!$E$2:$E$2918,MATCH($A1412,DKW_10Y!$A$2:$A$2918,1))-INDEX(DKW_10Y!$E$2:$E$2918,MATCH(Settings!$B$16,DKW_10Y!$A$2:$A$2918,1)))*100))</f>
        <v/>
      </c>
      <c r="AB1412" s="19">
        <f>IF(NOT(ISNUMBER($A1412)),NA(),IF(OR($A1412&lt;MIN(DKW_10Y!$A$2:$A$2918),$A1412&gt;MAX(DKW_10Y!$A$2:$A$2918),Settings!$B$16&lt;MIN(DKW_10Y!$A$2:$A$2918)),NA(),(INDEX(DKW_10Y!$H$2:$H$2918,MATCH($A1412,DKW_10Y!$A$2:$A$2918,1))-INDEX(DKW_10Y!$H$2:$H$2918,MATCH(Settings!$B$16,DKW_10Y!$A$2:$A$2918,1)))*100))</f>
        <v/>
      </c>
      <c r="AC1412" s="18">
        <f>IF(NOT(ISNUMBER($A1412)),NA(),IFERROR(1*INDEX(BBG_Data!$N$2:$N$4000,MATCH($A1412,BBG_Data!$M$2:$M$4000,0)),NA()))</f>
        <v/>
      </c>
      <c r="AD1412" s="18">
        <f>IF(NOT(ISNUMBER($A1412)),NA(),IFERROR(1*INDEX(BBG_Data!$P$2:$P$4000,MATCH($A1412,BBG_Data!$O$2:$O$4000,0)),NA()))</f>
        <v/>
      </c>
      <c r="AE1412" s="18">
        <f>IF(NOT(ISNUMBER($A1412)),NA(),IFERROR(1*INDEX(BBG_Data!$R$2:$R$4000,MATCH($A1412,BBG_Data!$Q$2:$Q$4000,0)),NA()))</f>
        <v/>
      </c>
      <c r="AF1412" s="20">
        <f>IF(AND(ISNUMBER(B1412),ISNUMBER(AC1412)),(B1412-AC1412)*100,NA())</f>
        <v/>
      </c>
      <c r="AG1412" s="20">
        <f>IF(AND(ISNUMBER(AE1412),ISNUMBER(AD1412)),(AE1412-AD1412)*100,NA())</f>
        <v/>
      </c>
      <c r="AH1412" s="19">
        <f>IF(NOT(ISNUMBER($A1412)),NA(),IFERROR(INDEX(BBG_Data!$T$2:$T$4000,MATCH($A1412,BBG_Data!$S$2:$S$4000,0))*Settings!$B$25,NA()))</f>
        <v/>
      </c>
      <c r="AI1412" s="19">
        <f>IF(NOT(ISNUMBER($A1412)),NA(),IFERROR(INDEX(BBG_Data!$V$2:$V$4000,MATCH($A1412,BBG_Data!$U$2:$U$4000,0))*Settings!$B$25,NA()))</f>
        <v/>
      </c>
      <c r="AJ1412" s="19">
        <f>IF(NOT(ISNUMBER($A1412)),NA(),IFERROR(1*INDEX(BBG_Data!$X$2:$X$4000,MATCH($A1412,BBG_Data!$W$2:$W$4000,0)),NA()))</f>
        <v/>
      </c>
      <c r="AK1412" s="19">
        <f>IF(NOT(ISNUMBER($A1412)),NA(),IFERROR(1*INDEX(BBG_Data!$Z$2:$Z$4000,MATCH($A1412,BBG_Data!$Y$2:$Y$4000,0)),NA()))</f>
        <v/>
      </c>
    </row>
    <row r="1413">
      <c r="A1413" s="17">
        <f>IF(ISNUMBER(BBG_Data!A1413),BBG_Data!A1413,"")</f>
        <v/>
      </c>
      <c r="B1413" s="18">
        <f>IF(AND(ISNUMBER($A1413),ISNUMBER(BBG_Data!B1413)),BBG_Data!B1413,NA())</f>
        <v/>
      </c>
      <c r="C1413" s="18">
        <f>IF(NOT(ISNUMBER($A1413)),NA(),IFERROR(1*INDEX(BBG_Data!$D$2:$D$4000,MATCH($A1413,BBG_Data!$C$2:$C$4000,0)),NA()))</f>
        <v/>
      </c>
      <c r="D1413" s="19">
        <f>IF(NOT(ISNUMBER($A1413)),NA(),IFERROR(1*INDEX(BBG_Data!$F$2:$F$4000,MATCH($A1413,BBG_Data!$E$2:$E$4000,0)),NA()))</f>
        <v/>
      </c>
      <c r="E1413" s="19">
        <f>IF(NOT(ISNUMBER($A1413)),NA(),IFERROR(1*INDEX(BBG_Data!$H$2:$H$4000,MATCH($A1413,BBG_Data!$G$2:$G$4000,0)),NA()))</f>
        <v/>
      </c>
      <c r="F1413" s="20">
        <f>IF(AND(ISNUMBER(B1413),ISNUMBER(B1412)),IF(B1413=B1412,"",(B1413-B1412)*100),"")</f>
        <v/>
      </c>
      <c r="G1413" s="20">
        <f>IF(AND(ISNUMBER(C1413),ISNUMBER(C1412)),IF(C1413=C1412,"",(C1413-C1412)*100),"")</f>
        <v/>
      </c>
      <c r="H1413" s="20">
        <f>IF(OR(NOT(ISNUMBER($A1413)),ROW()-2&lt;Settings!$B$11),NA(),IF(COUNT(OFFSET(F1413,1-Settings!$B$11,0,Settings!$B$11,1))&lt;ROUNDUP(Settings!$B$11*Settings!$B$26,0),NA(),STDEV(OFFSET(F1413,1-Settings!$B$11,0,Settings!$B$11,1))*SQRT(Settings!$B$13)))</f>
        <v/>
      </c>
      <c r="I1413" s="20">
        <f>IF(OR(NOT(ISNUMBER($A1413)),ROW()-2&lt;Settings!$B$12),NA(),IF(COUNT(OFFSET(F1413,1-Settings!$B$12,0,Settings!$B$12,1))&lt;ROUNDUP(Settings!$B$12*Settings!$B$26,0),NA(),STDEV(OFFSET(F1413,1-Settings!$B$12,0,Settings!$B$12,1))*SQRT(Settings!$B$13)))</f>
        <v/>
      </c>
      <c r="J1413" s="20">
        <f>IF(OR(NOT(ISNUMBER($A1413)),ROW()-2&lt;Settings!$B$11),NA(),IF(COUNT(OFFSET(G1413,1-Settings!$B$11,0,Settings!$B$11,1))&lt;ROUNDUP(Settings!$B$11*Settings!$B$26,0),NA(),STDEV(OFFSET(G1413,1-Settings!$B$11,0,Settings!$B$11,1))*SQRT(Settings!$B$13)))</f>
        <v/>
      </c>
      <c r="K1413" s="20">
        <f>IF(OR(NOT(ISNUMBER($A1413)),ROW()-2&lt;Settings!$B$12),NA(),IF(COUNT(OFFSET(G1413,1-Settings!$B$12,0,Settings!$B$12,1))&lt;ROUNDUP(Settings!$B$12*Settings!$B$26,0),NA(),STDEV(OFFSET(G1413,1-Settings!$B$12,0,Settings!$B$12,1))*SQRT(Settings!$B$13)))</f>
        <v/>
      </c>
      <c r="L1413" s="20">
        <f>IF(AND(ISNUMBER(D1413),ISNUMBER(H1413)),D1413-H1413,NA())</f>
        <v/>
      </c>
      <c r="M1413" s="20">
        <f>IF(AND(ISNUMBER(E1413),ISNUMBER(K1413)),E1413-K1413,NA())</f>
        <v/>
      </c>
      <c r="N1413" s="20">
        <f>IF(NOT(ISNUMBER($A1413)),NA(),IF(COUNT(OFFSET(G1413,1,0,Settings!$B$12,1))&lt;ROUNDUP(Settings!$B$12*Settings!$B$26,0),NA(),STDEV(OFFSET(G1413,1,0,Settings!$B$12,1))*SQRT(Settings!$B$13)))</f>
        <v/>
      </c>
      <c r="O1413" s="20">
        <f>IF(AND(ISNUMBER(E1413),ISNUMBER(N1413)),E1413-N1413,NA())</f>
        <v/>
      </c>
      <c r="P1413" s="19">
        <f>IF(NOT(ISNUMBER($A1413)),NA(),IF(OR($A1413&lt;MIN(KW_TP!$A$2:$A$2501),$A1413&gt;MAX(KW_TP!$A$2:$A$2501)),NA(),INDEX(KW_TP!$C$2:$C$2501,MATCH($A1413,KW_TP!$A$2:$A$2501,1))))</f>
        <v/>
      </c>
      <c r="Q1413" s="18">
        <f>IF(NOT(ISNUMBER($A1413)),NA(),IFERROR(1*INDEX(BBG_Data!$J$2:$J$4000,MATCH($A1413,BBG_Data!$I$2:$I$4000,0)),NA()))</f>
        <v/>
      </c>
      <c r="R1413" s="18">
        <f>IF(NOT(ISNUMBER($A1413)),NA(),IFERROR(1*INDEX(BBG_Data!$L$2:$L$4000,MATCH($A1413,BBG_Data!$K$2:$K$4000,0)),NA()))</f>
        <v/>
      </c>
      <c r="S1413" s="20">
        <f>IF(AND(ISNUMBER(B1413),ISNUMBER(Q1413),ISNUMBER(R1413)),(B1413-Q1413-R1413)*100,NA())</f>
        <v/>
      </c>
      <c r="T1413" s="20">
        <f>IF(AND(ISNUMBER(B1413),Settings!$B$17&gt;0),IF(ISNUMBER(INDEX($B:$B,Settings!$B$17)),(B1413-INDEX($B:$B,Settings!$B$17))*100,NA()),NA())</f>
        <v/>
      </c>
      <c r="U1413" s="20">
        <f>IF(AND(ISNUMBER(Q1413),Settings!$B$17&gt;0),IF(ISNUMBER(INDEX($Q:$Q,Settings!$B$17)),(Q1413-INDEX($Q:$Q,Settings!$B$17))*100,NA()),NA())</f>
        <v/>
      </c>
      <c r="V1413" s="20">
        <f>IF(AND(ISNUMBER(R1413),Settings!$B$17&gt;0),IF(ISNUMBER(INDEX($R:$R,Settings!$B$17)),(R1413-INDEX($R:$R,Settings!$B$17))*100,NA()),NA())</f>
        <v/>
      </c>
      <c r="W1413" s="20">
        <f>IF(AND(ISNUMBER(P1413),Settings!$B$17&gt;0),IF(ISNUMBER(INDEX($P:$P,Settings!$B$17)),P1413-INDEX($P:$P,Settings!$B$17),NA()),NA())</f>
        <v/>
      </c>
      <c r="X1413" s="19">
        <f>IF(NOT(ISNUMBER($A1413)),NA(),IF(OR($A1413&lt;MIN(DKW_10Y!$A$2:$A$2918),$A1413&gt;MAX(DKW_10Y!$A$2:$A$2918),Settings!$B$16&lt;MIN(DKW_10Y!$A$2:$A$2918)),NA(),(INDEX(DKW_10Y!$B$2:$B$2918,MATCH($A1413,DKW_10Y!$A$2:$A$2918,1))-INDEX(DKW_10Y!$B$2:$B$2918,MATCH(Settings!$B$16,DKW_10Y!$A$2:$A$2918,1)))*100))</f>
        <v/>
      </c>
      <c r="Y1413" s="19">
        <f>IF(NOT(ISNUMBER($A1413)),NA(),IF(OR($A1413&lt;MIN(DKW_10Y!$A$2:$A$2918),$A1413&gt;MAX(DKW_10Y!$A$2:$A$2918),Settings!$B$16&lt;MIN(DKW_10Y!$A$2:$A$2918)),NA(),(INDEX(DKW_10Y!$C$2:$C$2918,MATCH($A1413,DKW_10Y!$A$2:$A$2918,1))-INDEX(DKW_10Y!$C$2:$C$2918,MATCH(Settings!$B$16,DKW_10Y!$A$2:$A$2918,1)))*100))</f>
        <v/>
      </c>
      <c r="Z1413" s="19">
        <f>IF(NOT(ISNUMBER($A1413)),NA(),IF(OR($A1413&lt;MIN(DKW_10Y!$A$2:$A$2918),$A1413&gt;MAX(DKW_10Y!$A$2:$A$2918),Settings!$B$16&lt;MIN(DKW_10Y!$A$2:$A$2918)),NA(),(INDEX(DKW_10Y!$D$2:$D$2918,MATCH($A1413,DKW_10Y!$A$2:$A$2918,1))-INDEX(DKW_10Y!$D$2:$D$2918,MATCH(Settings!$B$16,DKW_10Y!$A$2:$A$2918,1)))*100))</f>
        <v/>
      </c>
      <c r="AA1413" s="19">
        <f>IF(NOT(ISNUMBER($A1413)),NA(),IF(OR($A1413&lt;MIN(DKW_10Y!$A$2:$A$2918),$A1413&gt;MAX(DKW_10Y!$A$2:$A$2918),Settings!$B$16&lt;MIN(DKW_10Y!$A$2:$A$2918)),NA(),(INDEX(DKW_10Y!$E$2:$E$2918,MATCH($A1413,DKW_10Y!$A$2:$A$2918,1))-INDEX(DKW_10Y!$E$2:$E$2918,MATCH(Settings!$B$16,DKW_10Y!$A$2:$A$2918,1)))*100))</f>
        <v/>
      </c>
      <c r="AB1413" s="19">
        <f>IF(NOT(ISNUMBER($A1413)),NA(),IF(OR($A1413&lt;MIN(DKW_10Y!$A$2:$A$2918),$A1413&gt;MAX(DKW_10Y!$A$2:$A$2918),Settings!$B$16&lt;MIN(DKW_10Y!$A$2:$A$2918)),NA(),(INDEX(DKW_10Y!$H$2:$H$2918,MATCH($A1413,DKW_10Y!$A$2:$A$2918,1))-INDEX(DKW_10Y!$H$2:$H$2918,MATCH(Settings!$B$16,DKW_10Y!$A$2:$A$2918,1)))*100))</f>
        <v/>
      </c>
      <c r="AC1413" s="18">
        <f>IF(NOT(ISNUMBER($A1413)),NA(),IFERROR(1*INDEX(BBG_Data!$N$2:$N$4000,MATCH($A1413,BBG_Data!$M$2:$M$4000,0)),NA()))</f>
        <v/>
      </c>
      <c r="AD1413" s="18">
        <f>IF(NOT(ISNUMBER($A1413)),NA(),IFERROR(1*INDEX(BBG_Data!$P$2:$P$4000,MATCH($A1413,BBG_Data!$O$2:$O$4000,0)),NA()))</f>
        <v/>
      </c>
      <c r="AE1413" s="18">
        <f>IF(NOT(ISNUMBER($A1413)),NA(),IFERROR(1*INDEX(BBG_Data!$R$2:$R$4000,MATCH($A1413,BBG_Data!$Q$2:$Q$4000,0)),NA()))</f>
        <v/>
      </c>
      <c r="AF1413" s="20">
        <f>IF(AND(ISNUMBER(B1413),ISNUMBER(AC1413)),(B1413-AC1413)*100,NA())</f>
        <v/>
      </c>
      <c r="AG1413" s="20">
        <f>IF(AND(ISNUMBER(AE1413),ISNUMBER(AD1413)),(AE1413-AD1413)*100,NA())</f>
        <v/>
      </c>
      <c r="AH1413" s="19">
        <f>IF(NOT(ISNUMBER($A1413)),NA(),IFERROR(INDEX(BBG_Data!$T$2:$T$4000,MATCH($A1413,BBG_Data!$S$2:$S$4000,0))*Settings!$B$25,NA()))</f>
        <v/>
      </c>
      <c r="AI1413" s="19">
        <f>IF(NOT(ISNUMBER($A1413)),NA(),IFERROR(INDEX(BBG_Data!$V$2:$V$4000,MATCH($A1413,BBG_Data!$U$2:$U$4000,0))*Settings!$B$25,NA()))</f>
        <v/>
      </c>
      <c r="AJ1413" s="19">
        <f>IF(NOT(ISNUMBER($A1413)),NA(),IFERROR(1*INDEX(BBG_Data!$X$2:$X$4000,MATCH($A1413,BBG_Data!$W$2:$W$4000,0)),NA()))</f>
        <v/>
      </c>
      <c r="AK1413" s="19">
        <f>IF(NOT(ISNUMBER($A1413)),NA(),IFERROR(1*INDEX(BBG_Data!$Z$2:$Z$4000,MATCH($A1413,BBG_Data!$Y$2:$Y$4000,0)),NA()))</f>
        <v/>
      </c>
    </row>
    <row r="1414">
      <c r="A1414" s="17">
        <f>IF(ISNUMBER(BBG_Data!A1414),BBG_Data!A1414,"")</f>
        <v/>
      </c>
      <c r="B1414" s="18">
        <f>IF(AND(ISNUMBER($A1414),ISNUMBER(BBG_Data!B1414)),BBG_Data!B1414,NA())</f>
        <v/>
      </c>
      <c r="C1414" s="18">
        <f>IF(NOT(ISNUMBER($A1414)),NA(),IFERROR(1*INDEX(BBG_Data!$D$2:$D$4000,MATCH($A1414,BBG_Data!$C$2:$C$4000,0)),NA()))</f>
        <v/>
      </c>
      <c r="D1414" s="19">
        <f>IF(NOT(ISNUMBER($A1414)),NA(),IFERROR(1*INDEX(BBG_Data!$F$2:$F$4000,MATCH($A1414,BBG_Data!$E$2:$E$4000,0)),NA()))</f>
        <v/>
      </c>
      <c r="E1414" s="19">
        <f>IF(NOT(ISNUMBER($A1414)),NA(),IFERROR(1*INDEX(BBG_Data!$H$2:$H$4000,MATCH($A1414,BBG_Data!$G$2:$G$4000,0)),NA()))</f>
        <v/>
      </c>
      <c r="F1414" s="20">
        <f>IF(AND(ISNUMBER(B1414),ISNUMBER(B1413)),IF(B1414=B1413,"",(B1414-B1413)*100),"")</f>
        <v/>
      </c>
      <c r="G1414" s="20">
        <f>IF(AND(ISNUMBER(C1414),ISNUMBER(C1413)),IF(C1414=C1413,"",(C1414-C1413)*100),"")</f>
        <v/>
      </c>
      <c r="H1414" s="20">
        <f>IF(OR(NOT(ISNUMBER($A1414)),ROW()-2&lt;Settings!$B$11),NA(),IF(COUNT(OFFSET(F1414,1-Settings!$B$11,0,Settings!$B$11,1))&lt;ROUNDUP(Settings!$B$11*Settings!$B$26,0),NA(),STDEV(OFFSET(F1414,1-Settings!$B$11,0,Settings!$B$11,1))*SQRT(Settings!$B$13)))</f>
        <v/>
      </c>
      <c r="I1414" s="20">
        <f>IF(OR(NOT(ISNUMBER($A1414)),ROW()-2&lt;Settings!$B$12),NA(),IF(COUNT(OFFSET(F1414,1-Settings!$B$12,0,Settings!$B$12,1))&lt;ROUNDUP(Settings!$B$12*Settings!$B$26,0),NA(),STDEV(OFFSET(F1414,1-Settings!$B$12,0,Settings!$B$12,1))*SQRT(Settings!$B$13)))</f>
        <v/>
      </c>
      <c r="J1414" s="20">
        <f>IF(OR(NOT(ISNUMBER($A1414)),ROW()-2&lt;Settings!$B$11),NA(),IF(COUNT(OFFSET(G1414,1-Settings!$B$11,0,Settings!$B$11,1))&lt;ROUNDUP(Settings!$B$11*Settings!$B$26,0),NA(),STDEV(OFFSET(G1414,1-Settings!$B$11,0,Settings!$B$11,1))*SQRT(Settings!$B$13)))</f>
        <v/>
      </c>
      <c r="K1414" s="20">
        <f>IF(OR(NOT(ISNUMBER($A1414)),ROW()-2&lt;Settings!$B$12),NA(),IF(COUNT(OFFSET(G1414,1-Settings!$B$12,0,Settings!$B$12,1))&lt;ROUNDUP(Settings!$B$12*Settings!$B$26,0),NA(),STDEV(OFFSET(G1414,1-Settings!$B$12,0,Settings!$B$12,1))*SQRT(Settings!$B$13)))</f>
        <v/>
      </c>
      <c r="L1414" s="20">
        <f>IF(AND(ISNUMBER(D1414),ISNUMBER(H1414)),D1414-H1414,NA())</f>
        <v/>
      </c>
      <c r="M1414" s="20">
        <f>IF(AND(ISNUMBER(E1414),ISNUMBER(K1414)),E1414-K1414,NA())</f>
        <v/>
      </c>
      <c r="N1414" s="20">
        <f>IF(NOT(ISNUMBER($A1414)),NA(),IF(COUNT(OFFSET(G1414,1,0,Settings!$B$12,1))&lt;ROUNDUP(Settings!$B$12*Settings!$B$26,0),NA(),STDEV(OFFSET(G1414,1,0,Settings!$B$12,1))*SQRT(Settings!$B$13)))</f>
        <v/>
      </c>
      <c r="O1414" s="20">
        <f>IF(AND(ISNUMBER(E1414),ISNUMBER(N1414)),E1414-N1414,NA())</f>
        <v/>
      </c>
      <c r="P1414" s="19">
        <f>IF(NOT(ISNUMBER($A1414)),NA(),IF(OR($A1414&lt;MIN(KW_TP!$A$2:$A$2501),$A1414&gt;MAX(KW_TP!$A$2:$A$2501)),NA(),INDEX(KW_TP!$C$2:$C$2501,MATCH($A1414,KW_TP!$A$2:$A$2501,1))))</f>
        <v/>
      </c>
      <c r="Q1414" s="18">
        <f>IF(NOT(ISNUMBER($A1414)),NA(),IFERROR(1*INDEX(BBG_Data!$J$2:$J$4000,MATCH($A1414,BBG_Data!$I$2:$I$4000,0)),NA()))</f>
        <v/>
      </c>
      <c r="R1414" s="18">
        <f>IF(NOT(ISNUMBER($A1414)),NA(),IFERROR(1*INDEX(BBG_Data!$L$2:$L$4000,MATCH($A1414,BBG_Data!$K$2:$K$4000,0)),NA()))</f>
        <v/>
      </c>
      <c r="S1414" s="20">
        <f>IF(AND(ISNUMBER(B1414),ISNUMBER(Q1414),ISNUMBER(R1414)),(B1414-Q1414-R1414)*100,NA())</f>
        <v/>
      </c>
      <c r="T1414" s="20">
        <f>IF(AND(ISNUMBER(B1414),Settings!$B$17&gt;0),IF(ISNUMBER(INDEX($B:$B,Settings!$B$17)),(B1414-INDEX($B:$B,Settings!$B$17))*100,NA()),NA())</f>
        <v/>
      </c>
      <c r="U1414" s="20">
        <f>IF(AND(ISNUMBER(Q1414),Settings!$B$17&gt;0),IF(ISNUMBER(INDEX($Q:$Q,Settings!$B$17)),(Q1414-INDEX($Q:$Q,Settings!$B$17))*100,NA()),NA())</f>
        <v/>
      </c>
      <c r="V1414" s="20">
        <f>IF(AND(ISNUMBER(R1414),Settings!$B$17&gt;0),IF(ISNUMBER(INDEX($R:$R,Settings!$B$17)),(R1414-INDEX($R:$R,Settings!$B$17))*100,NA()),NA())</f>
        <v/>
      </c>
      <c r="W1414" s="20">
        <f>IF(AND(ISNUMBER(P1414),Settings!$B$17&gt;0),IF(ISNUMBER(INDEX($P:$P,Settings!$B$17)),P1414-INDEX($P:$P,Settings!$B$17),NA()),NA())</f>
        <v/>
      </c>
      <c r="X1414" s="19">
        <f>IF(NOT(ISNUMBER($A1414)),NA(),IF(OR($A1414&lt;MIN(DKW_10Y!$A$2:$A$2918),$A1414&gt;MAX(DKW_10Y!$A$2:$A$2918),Settings!$B$16&lt;MIN(DKW_10Y!$A$2:$A$2918)),NA(),(INDEX(DKW_10Y!$B$2:$B$2918,MATCH($A1414,DKW_10Y!$A$2:$A$2918,1))-INDEX(DKW_10Y!$B$2:$B$2918,MATCH(Settings!$B$16,DKW_10Y!$A$2:$A$2918,1)))*100))</f>
        <v/>
      </c>
      <c r="Y1414" s="19">
        <f>IF(NOT(ISNUMBER($A1414)),NA(),IF(OR($A1414&lt;MIN(DKW_10Y!$A$2:$A$2918),$A1414&gt;MAX(DKW_10Y!$A$2:$A$2918),Settings!$B$16&lt;MIN(DKW_10Y!$A$2:$A$2918)),NA(),(INDEX(DKW_10Y!$C$2:$C$2918,MATCH($A1414,DKW_10Y!$A$2:$A$2918,1))-INDEX(DKW_10Y!$C$2:$C$2918,MATCH(Settings!$B$16,DKW_10Y!$A$2:$A$2918,1)))*100))</f>
        <v/>
      </c>
      <c r="Z1414" s="19">
        <f>IF(NOT(ISNUMBER($A1414)),NA(),IF(OR($A1414&lt;MIN(DKW_10Y!$A$2:$A$2918),$A1414&gt;MAX(DKW_10Y!$A$2:$A$2918),Settings!$B$16&lt;MIN(DKW_10Y!$A$2:$A$2918)),NA(),(INDEX(DKW_10Y!$D$2:$D$2918,MATCH($A1414,DKW_10Y!$A$2:$A$2918,1))-INDEX(DKW_10Y!$D$2:$D$2918,MATCH(Settings!$B$16,DKW_10Y!$A$2:$A$2918,1)))*100))</f>
        <v/>
      </c>
      <c r="AA1414" s="19">
        <f>IF(NOT(ISNUMBER($A1414)),NA(),IF(OR($A1414&lt;MIN(DKW_10Y!$A$2:$A$2918),$A1414&gt;MAX(DKW_10Y!$A$2:$A$2918),Settings!$B$16&lt;MIN(DKW_10Y!$A$2:$A$2918)),NA(),(INDEX(DKW_10Y!$E$2:$E$2918,MATCH($A1414,DKW_10Y!$A$2:$A$2918,1))-INDEX(DKW_10Y!$E$2:$E$2918,MATCH(Settings!$B$16,DKW_10Y!$A$2:$A$2918,1)))*100))</f>
        <v/>
      </c>
      <c r="AB1414" s="19">
        <f>IF(NOT(ISNUMBER($A1414)),NA(),IF(OR($A1414&lt;MIN(DKW_10Y!$A$2:$A$2918),$A1414&gt;MAX(DKW_10Y!$A$2:$A$2918),Settings!$B$16&lt;MIN(DKW_10Y!$A$2:$A$2918)),NA(),(INDEX(DKW_10Y!$H$2:$H$2918,MATCH($A1414,DKW_10Y!$A$2:$A$2918,1))-INDEX(DKW_10Y!$H$2:$H$2918,MATCH(Settings!$B$16,DKW_10Y!$A$2:$A$2918,1)))*100))</f>
        <v/>
      </c>
      <c r="AC1414" s="18">
        <f>IF(NOT(ISNUMBER($A1414)),NA(),IFERROR(1*INDEX(BBG_Data!$N$2:$N$4000,MATCH($A1414,BBG_Data!$M$2:$M$4000,0)),NA()))</f>
        <v/>
      </c>
      <c r="AD1414" s="18">
        <f>IF(NOT(ISNUMBER($A1414)),NA(),IFERROR(1*INDEX(BBG_Data!$P$2:$P$4000,MATCH($A1414,BBG_Data!$O$2:$O$4000,0)),NA()))</f>
        <v/>
      </c>
      <c r="AE1414" s="18">
        <f>IF(NOT(ISNUMBER($A1414)),NA(),IFERROR(1*INDEX(BBG_Data!$R$2:$R$4000,MATCH($A1414,BBG_Data!$Q$2:$Q$4000,0)),NA()))</f>
        <v/>
      </c>
      <c r="AF1414" s="20">
        <f>IF(AND(ISNUMBER(B1414),ISNUMBER(AC1414)),(B1414-AC1414)*100,NA())</f>
        <v/>
      </c>
      <c r="AG1414" s="20">
        <f>IF(AND(ISNUMBER(AE1414),ISNUMBER(AD1414)),(AE1414-AD1414)*100,NA())</f>
        <v/>
      </c>
      <c r="AH1414" s="19">
        <f>IF(NOT(ISNUMBER($A1414)),NA(),IFERROR(INDEX(BBG_Data!$T$2:$T$4000,MATCH($A1414,BBG_Data!$S$2:$S$4000,0))*Settings!$B$25,NA()))</f>
        <v/>
      </c>
      <c r="AI1414" s="19">
        <f>IF(NOT(ISNUMBER($A1414)),NA(),IFERROR(INDEX(BBG_Data!$V$2:$V$4000,MATCH($A1414,BBG_Data!$U$2:$U$4000,0))*Settings!$B$25,NA()))</f>
        <v/>
      </c>
      <c r="AJ1414" s="19">
        <f>IF(NOT(ISNUMBER($A1414)),NA(),IFERROR(1*INDEX(BBG_Data!$X$2:$X$4000,MATCH($A1414,BBG_Data!$W$2:$W$4000,0)),NA()))</f>
        <v/>
      </c>
      <c r="AK1414" s="19">
        <f>IF(NOT(ISNUMBER($A1414)),NA(),IFERROR(1*INDEX(BBG_Data!$Z$2:$Z$4000,MATCH($A1414,BBG_Data!$Y$2:$Y$4000,0)),NA()))</f>
        <v/>
      </c>
    </row>
    <row r="1415">
      <c r="A1415" s="17">
        <f>IF(ISNUMBER(BBG_Data!A1415),BBG_Data!A1415,"")</f>
        <v/>
      </c>
      <c r="B1415" s="18">
        <f>IF(AND(ISNUMBER($A1415),ISNUMBER(BBG_Data!B1415)),BBG_Data!B1415,NA())</f>
        <v/>
      </c>
      <c r="C1415" s="18">
        <f>IF(NOT(ISNUMBER($A1415)),NA(),IFERROR(1*INDEX(BBG_Data!$D$2:$D$4000,MATCH($A1415,BBG_Data!$C$2:$C$4000,0)),NA()))</f>
        <v/>
      </c>
      <c r="D1415" s="19">
        <f>IF(NOT(ISNUMBER($A1415)),NA(),IFERROR(1*INDEX(BBG_Data!$F$2:$F$4000,MATCH($A1415,BBG_Data!$E$2:$E$4000,0)),NA()))</f>
        <v/>
      </c>
      <c r="E1415" s="19">
        <f>IF(NOT(ISNUMBER($A1415)),NA(),IFERROR(1*INDEX(BBG_Data!$H$2:$H$4000,MATCH($A1415,BBG_Data!$G$2:$G$4000,0)),NA()))</f>
        <v/>
      </c>
      <c r="F1415" s="20">
        <f>IF(AND(ISNUMBER(B1415),ISNUMBER(B1414)),IF(B1415=B1414,"",(B1415-B1414)*100),"")</f>
        <v/>
      </c>
      <c r="G1415" s="20">
        <f>IF(AND(ISNUMBER(C1415),ISNUMBER(C1414)),IF(C1415=C1414,"",(C1415-C1414)*100),"")</f>
        <v/>
      </c>
      <c r="H1415" s="20">
        <f>IF(OR(NOT(ISNUMBER($A1415)),ROW()-2&lt;Settings!$B$11),NA(),IF(COUNT(OFFSET(F1415,1-Settings!$B$11,0,Settings!$B$11,1))&lt;ROUNDUP(Settings!$B$11*Settings!$B$26,0),NA(),STDEV(OFFSET(F1415,1-Settings!$B$11,0,Settings!$B$11,1))*SQRT(Settings!$B$13)))</f>
        <v/>
      </c>
      <c r="I1415" s="20">
        <f>IF(OR(NOT(ISNUMBER($A1415)),ROW()-2&lt;Settings!$B$12),NA(),IF(COUNT(OFFSET(F1415,1-Settings!$B$12,0,Settings!$B$12,1))&lt;ROUNDUP(Settings!$B$12*Settings!$B$26,0),NA(),STDEV(OFFSET(F1415,1-Settings!$B$12,0,Settings!$B$12,1))*SQRT(Settings!$B$13)))</f>
        <v/>
      </c>
      <c r="J1415" s="20">
        <f>IF(OR(NOT(ISNUMBER($A1415)),ROW()-2&lt;Settings!$B$11),NA(),IF(COUNT(OFFSET(G1415,1-Settings!$B$11,0,Settings!$B$11,1))&lt;ROUNDUP(Settings!$B$11*Settings!$B$26,0),NA(),STDEV(OFFSET(G1415,1-Settings!$B$11,0,Settings!$B$11,1))*SQRT(Settings!$B$13)))</f>
        <v/>
      </c>
      <c r="K1415" s="20">
        <f>IF(OR(NOT(ISNUMBER($A1415)),ROW()-2&lt;Settings!$B$12),NA(),IF(COUNT(OFFSET(G1415,1-Settings!$B$12,0,Settings!$B$12,1))&lt;ROUNDUP(Settings!$B$12*Settings!$B$26,0),NA(),STDEV(OFFSET(G1415,1-Settings!$B$12,0,Settings!$B$12,1))*SQRT(Settings!$B$13)))</f>
        <v/>
      </c>
      <c r="L1415" s="20">
        <f>IF(AND(ISNUMBER(D1415),ISNUMBER(H1415)),D1415-H1415,NA())</f>
        <v/>
      </c>
      <c r="M1415" s="20">
        <f>IF(AND(ISNUMBER(E1415),ISNUMBER(K1415)),E1415-K1415,NA())</f>
        <v/>
      </c>
      <c r="N1415" s="20">
        <f>IF(NOT(ISNUMBER($A1415)),NA(),IF(COUNT(OFFSET(G1415,1,0,Settings!$B$12,1))&lt;ROUNDUP(Settings!$B$12*Settings!$B$26,0),NA(),STDEV(OFFSET(G1415,1,0,Settings!$B$12,1))*SQRT(Settings!$B$13)))</f>
        <v/>
      </c>
      <c r="O1415" s="20">
        <f>IF(AND(ISNUMBER(E1415),ISNUMBER(N1415)),E1415-N1415,NA())</f>
        <v/>
      </c>
      <c r="P1415" s="19">
        <f>IF(NOT(ISNUMBER($A1415)),NA(),IF(OR($A1415&lt;MIN(KW_TP!$A$2:$A$2501),$A1415&gt;MAX(KW_TP!$A$2:$A$2501)),NA(),INDEX(KW_TP!$C$2:$C$2501,MATCH($A1415,KW_TP!$A$2:$A$2501,1))))</f>
        <v/>
      </c>
      <c r="Q1415" s="18">
        <f>IF(NOT(ISNUMBER($A1415)),NA(),IFERROR(1*INDEX(BBG_Data!$J$2:$J$4000,MATCH($A1415,BBG_Data!$I$2:$I$4000,0)),NA()))</f>
        <v/>
      </c>
      <c r="R1415" s="18">
        <f>IF(NOT(ISNUMBER($A1415)),NA(),IFERROR(1*INDEX(BBG_Data!$L$2:$L$4000,MATCH($A1415,BBG_Data!$K$2:$K$4000,0)),NA()))</f>
        <v/>
      </c>
      <c r="S1415" s="20">
        <f>IF(AND(ISNUMBER(B1415),ISNUMBER(Q1415),ISNUMBER(R1415)),(B1415-Q1415-R1415)*100,NA())</f>
        <v/>
      </c>
      <c r="T1415" s="20">
        <f>IF(AND(ISNUMBER(B1415),Settings!$B$17&gt;0),IF(ISNUMBER(INDEX($B:$B,Settings!$B$17)),(B1415-INDEX($B:$B,Settings!$B$17))*100,NA()),NA())</f>
        <v/>
      </c>
      <c r="U1415" s="20">
        <f>IF(AND(ISNUMBER(Q1415),Settings!$B$17&gt;0),IF(ISNUMBER(INDEX($Q:$Q,Settings!$B$17)),(Q1415-INDEX($Q:$Q,Settings!$B$17))*100,NA()),NA())</f>
        <v/>
      </c>
      <c r="V1415" s="20">
        <f>IF(AND(ISNUMBER(R1415),Settings!$B$17&gt;0),IF(ISNUMBER(INDEX($R:$R,Settings!$B$17)),(R1415-INDEX($R:$R,Settings!$B$17))*100,NA()),NA())</f>
        <v/>
      </c>
      <c r="W1415" s="20">
        <f>IF(AND(ISNUMBER(P1415),Settings!$B$17&gt;0),IF(ISNUMBER(INDEX($P:$P,Settings!$B$17)),P1415-INDEX($P:$P,Settings!$B$17),NA()),NA())</f>
        <v/>
      </c>
      <c r="X1415" s="19">
        <f>IF(NOT(ISNUMBER($A1415)),NA(),IF(OR($A1415&lt;MIN(DKW_10Y!$A$2:$A$2918),$A1415&gt;MAX(DKW_10Y!$A$2:$A$2918),Settings!$B$16&lt;MIN(DKW_10Y!$A$2:$A$2918)),NA(),(INDEX(DKW_10Y!$B$2:$B$2918,MATCH($A1415,DKW_10Y!$A$2:$A$2918,1))-INDEX(DKW_10Y!$B$2:$B$2918,MATCH(Settings!$B$16,DKW_10Y!$A$2:$A$2918,1)))*100))</f>
        <v/>
      </c>
      <c r="Y1415" s="19">
        <f>IF(NOT(ISNUMBER($A1415)),NA(),IF(OR($A1415&lt;MIN(DKW_10Y!$A$2:$A$2918),$A1415&gt;MAX(DKW_10Y!$A$2:$A$2918),Settings!$B$16&lt;MIN(DKW_10Y!$A$2:$A$2918)),NA(),(INDEX(DKW_10Y!$C$2:$C$2918,MATCH($A1415,DKW_10Y!$A$2:$A$2918,1))-INDEX(DKW_10Y!$C$2:$C$2918,MATCH(Settings!$B$16,DKW_10Y!$A$2:$A$2918,1)))*100))</f>
        <v/>
      </c>
      <c r="Z1415" s="19">
        <f>IF(NOT(ISNUMBER($A1415)),NA(),IF(OR($A1415&lt;MIN(DKW_10Y!$A$2:$A$2918),$A1415&gt;MAX(DKW_10Y!$A$2:$A$2918),Settings!$B$16&lt;MIN(DKW_10Y!$A$2:$A$2918)),NA(),(INDEX(DKW_10Y!$D$2:$D$2918,MATCH($A1415,DKW_10Y!$A$2:$A$2918,1))-INDEX(DKW_10Y!$D$2:$D$2918,MATCH(Settings!$B$16,DKW_10Y!$A$2:$A$2918,1)))*100))</f>
        <v/>
      </c>
      <c r="AA1415" s="19">
        <f>IF(NOT(ISNUMBER($A1415)),NA(),IF(OR($A1415&lt;MIN(DKW_10Y!$A$2:$A$2918),$A1415&gt;MAX(DKW_10Y!$A$2:$A$2918),Settings!$B$16&lt;MIN(DKW_10Y!$A$2:$A$2918)),NA(),(INDEX(DKW_10Y!$E$2:$E$2918,MATCH($A1415,DKW_10Y!$A$2:$A$2918,1))-INDEX(DKW_10Y!$E$2:$E$2918,MATCH(Settings!$B$16,DKW_10Y!$A$2:$A$2918,1)))*100))</f>
        <v/>
      </c>
      <c r="AB1415" s="19">
        <f>IF(NOT(ISNUMBER($A1415)),NA(),IF(OR($A1415&lt;MIN(DKW_10Y!$A$2:$A$2918),$A1415&gt;MAX(DKW_10Y!$A$2:$A$2918),Settings!$B$16&lt;MIN(DKW_10Y!$A$2:$A$2918)),NA(),(INDEX(DKW_10Y!$H$2:$H$2918,MATCH($A1415,DKW_10Y!$A$2:$A$2918,1))-INDEX(DKW_10Y!$H$2:$H$2918,MATCH(Settings!$B$16,DKW_10Y!$A$2:$A$2918,1)))*100))</f>
        <v/>
      </c>
      <c r="AC1415" s="18">
        <f>IF(NOT(ISNUMBER($A1415)),NA(),IFERROR(1*INDEX(BBG_Data!$N$2:$N$4000,MATCH($A1415,BBG_Data!$M$2:$M$4000,0)),NA()))</f>
        <v/>
      </c>
      <c r="AD1415" s="18">
        <f>IF(NOT(ISNUMBER($A1415)),NA(),IFERROR(1*INDEX(BBG_Data!$P$2:$P$4000,MATCH($A1415,BBG_Data!$O$2:$O$4000,0)),NA()))</f>
        <v/>
      </c>
      <c r="AE1415" s="18">
        <f>IF(NOT(ISNUMBER($A1415)),NA(),IFERROR(1*INDEX(BBG_Data!$R$2:$R$4000,MATCH($A1415,BBG_Data!$Q$2:$Q$4000,0)),NA()))</f>
        <v/>
      </c>
      <c r="AF1415" s="20">
        <f>IF(AND(ISNUMBER(B1415),ISNUMBER(AC1415)),(B1415-AC1415)*100,NA())</f>
        <v/>
      </c>
      <c r="AG1415" s="20">
        <f>IF(AND(ISNUMBER(AE1415),ISNUMBER(AD1415)),(AE1415-AD1415)*100,NA())</f>
        <v/>
      </c>
      <c r="AH1415" s="19">
        <f>IF(NOT(ISNUMBER($A1415)),NA(),IFERROR(INDEX(BBG_Data!$T$2:$T$4000,MATCH($A1415,BBG_Data!$S$2:$S$4000,0))*Settings!$B$25,NA()))</f>
        <v/>
      </c>
      <c r="AI1415" s="19">
        <f>IF(NOT(ISNUMBER($A1415)),NA(),IFERROR(INDEX(BBG_Data!$V$2:$V$4000,MATCH($A1415,BBG_Data!$U$2:$U$4000,0))*Settings!$B$25,NA()))</f>
        <v/>
      </c>
      <c r="AJ1415" s="19">
        <f>IF(NOT(ISNUMBER($A1415)),NA(),IFERROR(1*INDEX(BBG_Data!$X$2:$X$4000,MATCH($A1415,BBG_Data!$W$2:$W$4000,0)),NA()))</f>
        <v/>
      </c>
      <c r="AK1415" s="19">
        <f>IF(NOT(ISNUMBER($A1415)),NA(),IFERROR(1*INDEX(BBG_Data!$Z$2:$Z$4000,MATCH($A1415,BBG_Data!$Y$2:$Y$4000,0)),NA()))</f>
        <v/>
      </c>
    </row>
    <row r="1416">
      <c r="A1416" s="17">
        <f>IF(ISNUMBER(BBG_Data!A1416),BBG_Data!A1416,"")</f>
        <v/>
      </c>
      <c r="B1416" s="18">
        <f>IF(AND(ISNUMBER($A1416),ISNUMBER(BBG_Data!B1416)),BBG_Data!B1416,NA())</f>
        <v/>
      </c>
      <c r="C1416" s="18">
        <f>IF(NOT(ISNUMBER($A1416)),NA(),IFERROR(1*INDEX(BBG_Data!$D$2:$D$4000,MATCH($A1416,BBG_Data!$C$2:$C$4000,0)),NA()))</f>
        <v/>
      </c>
      <c r="D1416" s="19">
        <f>IF(NOT(ISNUMBER($A1416)),NA(),IFERROR(1*INDEX(BBG_Data!$F$2:$F$4000,MATCH($A1416,BBG_Data!$E$2:$E$4000,0)),NA()))</f>
        <v/>
      </c>
      <c r="E1416" s="19">
        <f>IF(NOT(ISNUMBER($A1416)),NA(),IFERROR(1*INDEX(BBG_Data!$H$2:$H$4000,MATCH($A1416,BBG_Data!$G$2:$G$4000,0)),NA()))</f>
        <v/>
      </c>
      <c r="F1416" s="20">
        <f>IF(AND(ISNUMBER(B1416),ISNUMBER(B1415)),IF(B1416=B1415,"",(B1416-B1415)*100),"")</f>
        <v/>
      </c>
      <c r="G1416" s="20">
        <f>IF(AND(ISNUMBER(C1416),ISNUMBER(C1415)),IF(C1416=C1415,"",(C1416-C1415)*100),"")</f>
        <v/>
      </c>
      <c r="H1416" s="20">
        <f>IF(OR(NOT(ISNUMBER($A1416)),ROW()-2&lt;Settings!$B$11),NA(),IF(COUNT(OFFSET(F1416,1-Settings!$B$11,0,Settings!$B$11,1))&lt;ROUNDUP(Settings!$B$11*Settings!$B$26,0),NA(),STDEV(OFFSET(F1416,1-Settings!$B$11,0,Settings!$B$11,1))*SQRT(Settings!$B$13)))</f>
        <v/>
      </c>
      <c r="I1416" s="20">
        <f>IF(OR(NOT(ISNUMBER($A1416)),ROW()-2&lt;Settings!$B$12),NA(),IF(COUNT(OFFSET(F1416,1-Settings!$B$12,0,Settings!$B$12,1))&lt;ROUNDUP(Settings!$B$12*Settings!$B$26,0),NA(),STDEV(OFFSET(F1416,1-Settings!$B$12,0,Settings!$B$12,1))*SQRT(Settings!$B$13)))</f>
        <v/>
      </c>
      <c r="J1416" s="20">
        <f>IF(OR(NOT(ISNUMBER($A1416)),ROW()-2&lt;Settings!$B$11),NA(),IF(COUNT(OFFSET(G1416,1-Settings!$B$11,0,Settings!$B$11,1))&lt;ROUNDUP(Settings!$B$11*Settings!$B$26,0),NA(),STDEV(OFFSET(G1416,1-Settings!$B$11,0,Settings!$B$11,1))*SQRT(Settings!$B$13)))</f>
        <v/>
      </c>
      <c r="K1416" s="20">
        <f>IF(OR(NOT(ISNUMBER($A1416)),ROW()-2&lt;Settings!$B$12),NA(),IF(COUNT(OFFSET(G1416,1-Settings!$B$12,0,Settings!$B$12,1))&lt;ROUNDUP(Settings!$B$12*Settings!$B$26,0),NA(),STDEV(OFFSET(G1416,1-Settings!$B$12,0,Settings!$B$12,1))*SQRT(Settings!$B$13)))</f>
        <v/>
      </c>
      <c r="L1416" s="20">
        <f>IF(AND(ISNUMBER(D1416),ISNUMBER(H1416)),D1416-H1416,NA())</f>
        <v/>
      </c>
      <c r="M1416" s="20">
        <f>IF(AND(ISNUMBER(E1416),ISNUMBER(K1416)),E1416-K1416,NA())</f>
        <v/>
      </c>
      <c r="N1416" s="20">
        <f>IF(NOT(ISNUMBER($A1416)),NA(),IF(COUNT(OFFSET(G1416,1,0,Settings!$B$12,1))&lt;ROUNDUP(Settings!$B$12*Settings!$B$26,0),NA(),STDEV(OFFSET(G1416,1,0,Settings!$B$12,1))*SQRT(Settings!$B$13)))</f>
        <v/>
      </c>
      <c r="O1416" s="20">
        <f>IF(AND(ISNUMBER(E1416),ISNUMBER(N1416)),E1416-N1416,NA())</f>
        <v/>
      </c>
      <c r="P1416" s="19">
        <f>IF(NOT(ISNUMBER($A1416)),NA(),IF(OR($A1416&lt;MIN(KW_TP!$A$2:$A$2501),$A1416&gt;MAX(KW_TP!$A$2:$A$2501)),NA(),INDEX(KW_TP!$C$2:$C$2501,MATCH($A1416,KW_TP!$A$2:$A$2501,1))))</f>
        <v/>
      </c>
      <c r="Q1416" s="18">
        <f>IF(NOT(ISNUMBER($A1416)),NA(),IFERROR(1*INDEX(BBG_Data!$J$2:$J$4000,MATCH($A1416,BBG_Data!$I$2:$I$4000,0)),NA()))</f>
        <v/>
      </c>
      <c r="R1416" s="18">
        <f>IF(NOT(ISNUMBER($A1416)),NA(),IFERROR(1*INDEX(BBG_Data!$L$2:$L$4000,MATCH($A1416,BBG_Data!$K$2:$K$4000,0)),NA()))</f>
        <v/>
      </c>
      <c r="S1416" s="20">
        <f>IF(AND(ISNUMBER(B1416),ISNUMBER(Q1416),ISNUMBER(R1416)),(B1416-Q1416-R1416)*100,NA())</f>
        <v/>
      </c>
      <c r="T1416" s="20">
        <f>IF(AND(ISNUMBER(B1416),Settings!$B$17&gt;0),IF(ISNUMBER(INDEX($B:$B,Settings!$B$17)),(B1416-INDEX($B:$B,Settings!$B$17))*100,NA()),NA())</f>
        <v/>
      </c>
      <c r="U1416" s="20">
        <f>IF(AND(ISNUMBER(Q1416),Settings!$B$17&gt;0),IF(ISNUMBER(INDEX($Q:$Q,Settings!$B$17)),(Q1416-INDEX($Q:$Q,Settings!$B$17))*100,NA()),NA())</f>
        <v/>
      </c>
      <c r="V1416" s="20">
        <f>IF(AND(ISNUMBER(R1416),Settings!$B$17&gt;0),IF(ISNUMBER(INDEX($R:$R,Settings!$B$17)),(R1416-INDEX($R:$R,Settings!$B$17))*100,NA()),NA())</f>
        <v/>
      </c>
      <c r="W1416" s="20">
        <f>IF(AND(ISNUMBER(P1416),Settings!$B$17&gt;0),IF(ISNUMBER(INDEX($P:$P,Settings!$B$17)),P1416-INDEX($P:$P,Settings!$B$17),NA()),NA())</f>
        <v/>
      </c>
      <c r="X1416" s="19">
        <f>IF(NOT(ISNUMBER($A1416)),NA(),IF(OR($A1416&lt;MIN(DKW_10Y!$A$2:$A$2918),$A1416&gt;MAX(DKW_10Y!$A$2:$A$2918),Settings!$B$16&lt;MIN(DKW_10Y!$A$2:$A$2918)),NA(),(INDEX(DKW_10Y!$B$2:$B$2918,MATCH($A1416,DKW_10Y!$A$2:$A$2918,1))-INDEX(DKW_10Y!$B$2:$B$2918,MATCH(Settings!$B$16,DKW_10Y!$A$2:$A$2918,1)))*100))</f>
        <v/>
      </c>
      <c r="Y1416" s="19">
        <f>IF(NOT(ISNUMBER($A1416)),NA(),IF(OR($A1416&lt;MIN(DKW_10Y!$A$2:$A$2918),$A1416&gt;MAX(DKW_10Y!$A$2:$A$2918),Settings!$B$16&lt;MIN(DKW_10Y!$A$2:$A$2918)),NA(),(INDEX(DKW_10Y!$C$2:$C$2918,MATCH($A1416,DKW_10Y!$A$2:$A$2918,1))-INDEX(DKW_10Y!$C$2:$C$2918,MATCH(Settings!$B$16,DKW_10Y!$A$2:$A$2918,1)))*100))</f>
        <v/>
      </c>
      <c r="Z1416" s="19">
        <f>IF(NOT(ISNUMBER($A1416)),NA(),IF(OR($A1416&lt;MIN(DKW_10Y!$A$2:$A$2918),$A1416&gt;MAX(DKW_10Y!$A$2:$A$2918),Settings!$B$16&lt;MIN(DKW_10Y!$A$2:$A$2918)),NA(),(INDEX(DKW_10Y!$D$2:$D$2918,MATCH($A1416,DKW_10Y!$A$2:$A$2918,1))-INDEX(DKW_10Y!$D$2:$D$2918,MATCH(Settings!$B$16,DKW_10Y!$A$2:$A$2918,1)))*100))</f>
        <v/>
      </c>
      <c r="AA1416" s="19">
        <f>IF(NOT(ISNUMBER($A1416)),NA(),IF(OR($A1416&lt;MIN(DKW_10Y!$A$2:$A$2918),$A1416&gt;MAX(DKW_10Y!$A$2:$A$2918),Settings!$B$16&lt;MIN(DKW_10Y!$A$2:$A$2918)),NA(),(INDEX(DKW_10Y!$E$2:$E$2918,MATCH($A1416,DKW_10Y!$A$2:$A$2918,1))-INDEX(DKW_10Y!$E$2:$E$2918,MATCH(Settings!$B$16,DKW_10Y!$A$2:$A$2918,1)))*100))</f>
        <v/>
      </c>
      <c r="AB1416" s="19">
        <f>IF(NOT(ISNUMBER($A1416)),NA(),IF(OR($A1416&lt;MIN(DKW_10Y!$A$2:$A$2918),$A1416&gt;MAX(DKW_10Y!$A$2:$A$2918),Settings!$B$16&lt;MIN(DKW_10Y!$A$2:$A$2918)),NA(),(INDEX(DKW_10Y!$H$2:$H$2918,MATCH($A1416,DKW_10Y!$A$2:$A$2918,1))-INDEX(DKW_10Y!$H$2:$H$2918,MATCH(Settings!$B$16,DKW_10Y!$A$2:$A$2918,1)))*100))</f>
        <v/>
      </c>
      <c r="AC1416" s="18">
        <f>IF(NOT(ISNUMBER($A1416)),NA(),IFERROR(1*INDEX(BBG_Data!$N$2:$N$4000,MATCH($A1416,BBG_Data!$M$2:$M$4000,0)),NA()))</f>
        <v/>
      </c>
      <c r="AD1416" s="18">
        <f>IF(NOT(ISNUMBER($A1416)),NA(),IFERROR(1*INDEX(BBG_Data!$P$2:$P$4000,MATCH($A1416,BBG_Data!$O$2:$O$4000,0)),NA()))</f>
        <v/>
      </c>
      <c r="AE1416" s="18">
        <f>IF(NOT(ISNUMBER($A1416)),NA(),IFERROR(1*INDEX(BBG_Data!$R$2:$R$4000,MATCH($A1416,BBG_Data!$Q$2:$Q$4000,0)),NA()))</f>
        <v/>
      </c>
      <c r="AF1416" s="20">
        <f>IF(AND(ISNUMBER(B1416),ISNUMBER(AC1416)),(B1416-AC1416)*100,NA())</f>
        <v/>
      </c>
      <c r="AG1416" s="20">
        <f>IF(AND(ISNUMBER(AE1416),ISNUMBER(AD1416)),(AE1416-AD1416)*100,NA())</f>
        <v/>
      </c>
      <c r="AH1416" s="19">
        <f>IF(NOT(ISNUMBER($A1416)),NA(),IFERROR(INDEX(BBG_Data!$T$2:$T$4000,MATCH($A1416,BBG_Data!$S$2:$S$4000,0))*Settings!$B$25,NA()))</f>
        <v/>
      </c>
      <c r="AI1416" s="19">
        <f>IF(NOT(ISNUMBER($A1416)),NA(),IFERROR(INDEX(BBG_Data!$V$2:$V$4000,MATCH($A1416,BBG_Data!$U$2:$U$4000,0))*Settings!$B$25,NA()))</f>
        <v/>
      </c>
      <c r="AJ1416" s="19">
        <f>IF(NOT(ISNUMBER($A1416)),NA(),IFERROR(1*INDEX(BBG_Data!$X$2:$X$4000,MATCH($A1416,BBG_Data!$W$2:$W$4000,0)),NA()))</f>
        <v/>
      </c>
      <c r="AK1416" s="19">
        <f>IF(NOT(ISNUMBER($A1416)),NA(),IFERROR(1*INDEX(BBG_Data!$Z$2:$Z$4000,MATCH($A1416,BBG_Data!$Y$2:$Y$4000,0)),NA()))</f>
        <v/>
      </c>
    </row>
    <row r="1417">
      <c r="A1417" s="17">
        <f>IF(ISNUMBER(BBG_Data!A1417),BBG_Data!A1417,"")</f>
        <v/>
      </c>
      <c r="B1417" s="18">
        <f>IF(AND(ISNUMBER($A1417),ISNUMBER(BBG_Data!B1417)),BBG_Data!B1417,NA())</f>
        <v/>
      </c>
      <c r="C1417" s="18">
        <f>IF(NOT(ISNUMBER($A1417)),NA(),IFERROR(1*INDEX(BBG_Data!$D$2:$D$4000,MATCH($A1417,BBG_Data!$C$2:$C$4000,0)),NA()))</f>
        <v/>
      </c>
      <c r="D1417" s="19">
        <f>IF(NOT(ISNUMBER($A1417)),NA(),IFERROR(1*INDEX(BBG_Data!$F$2:$F$4000,MATCH($A1417,BBG_Data!$E$2:$E$4000,0)),NA()))</f>
        <v/>
      </c>
      <c r="E1417" s="19">
        <f>IF(NOT(ISNUMBER($A1417)),NA(),IFERROR(1*INDEX(BBG_Data!$H$2:$H$4000,MATCH($A1417,BBG_Data!$G$2:$G$4000,0)),NA()))</f>
        <v/>
      </c>
      <c r="F1417" s="20">
        <f>IF(AND(ISNUMBER(B1417),ISNUMBER(B1416)),IF(B1417=B1416,"",(B1417-B1416)*100),"")</f>
        <v/>
      </c>
      <c r="G1417" s="20">
        <f>IF(AND(ISNUMBER(C1417),ISNUMBER(C1416)),IF(C1417=C1416,"",(C1417-C1416)*100),"")</f>
        <v/>
      </c>
      <c r="H1417" s="20">
        <f>IF(OR(NOT(ISNUMBER($A1417)),ROW()-2&lt;Settings!$B$11),NA(),IF(COUNT(OFFSET(F1417,1-Settings!$B$11,0,Settings!$B$11,1))&lt;ROUNDUP(Settings!$B$11*Settings!$B$26,0),NA(),STDEV(OFFSET(F1417,1-Settings!$B$11,0,Settings!$B$11,1))*SQRT(Settings!$B$13)))</f>
        <v/>
      </c>
      <c r="I1417" s="20">
        <f>IF(OR(NOT(ISNUMBER($A1417)),ROW()-2&lt;Settings!$B$12),NA(),IF(COUNT(OFFSET(F1417,1-Settings!$B$12,0,Settings!$B$12,1))&lt;ROUNDUP(Settings!$B$12*Settings!$B$26,0),NA(),STDEV(OFFSET(F1417,1-Settings!$B$12,0,Settings!$B$12,1))*SQRT(Settings!$B$13)))</f>
        <v/>
      </c>
      <c r="J1417" s="20">
        <f>IF(OR(NOT(ISNUMBER($A1417)),ROW()-2&lt;Settings!$B$11),NA(),IF(COUNT(OFFSET(G1417,1-Settings!$B$11,0,Settings!$B$11,1))&lt;ROUNDUP(Settings!$B$11*Settings!$B$26,0),NA(),STDEV(OFFSET(G1417,1-Settings!$B$11,0,Settings!$B$11,1))*SQRT(Settings!$B$13)))</f>
        <v/>
      </c>
      <c r="K1417" s="20">
        <f>IF(OR(NOT(ISNUMBER($A1417)),ROW()-2&lt;Settings!$B$12),NA(),IF(COUNT(OFFSET(G1417,1-Settings!$B$12,0,Settings!$B$12,1))&lt;ROUNDUP(Settings!$B$12*Settings!$B$26,0),NA(),STDEV(OFFSET(G1417,1-Settings!$B$12,0,Settings!$B$12,1))*SQRT(Settings!$B$13)))</f>
        <v/>
      </c>
      <c r="L1417" s="20">
        <f>IF(AND(ISNUMBER(D1417),ISNUMBER(H1417)),D1417-H1417,NA())</f>
        <v/>
      </c>
      <c r="M1417" s="20">
        <f>IF(AND(ISNUMBER(E1417),ISNUMBER(K1417)),E1417-K1417,NA())</f>
        <v/>
      </c>
      <c r="N1417" s="20">
        <f>IF(NOT(ISNUMBER($A1417)),NA(),IF(COUNT(OFFSET(G1417,1,0,Settings!$B$12,1))&lt;ROUNDUP(Settings!$B$12*Settings!$B$26,0),NA(),STDEV(OFFSET(G1417,1,0,Settings!$B$12,1))*SQRT(Settings!$B$13)))</f>
        <v/>
      </c>
      <c r="O1417" s="20">
        <f>IF(AND(ISNUMBER(E1417),ISNUMBER(N1417)),E1417-N1417,NA())</f>
        <v/>
      </c>
      <c r="P1417" s="19">
        <f>IF(NOT(ISNUMBER($A1417)),NA(),IF(OR($A1417&lt;MIN(KW_TP!$A$2:$A$2501),$A1417&gt;MAX(KW_TP!$A$2:$A$2501)),NA(),INDEX(KW_TP!$C$2:$C$2501,MATCH($A1417,KW_TP!$A$2:$A$2501,1))))</f>
        <v/>
      </c>
      <c r="Q1417" s="18">
        <f>IF(NOT(ISNUMBER($A1417)),NA(),IFERROR(1*INDEX(BBG_Data!$J$2:$J$4000,MATCH($A1417,BBG_Data!$I$2:$I$4000,0)),NA()))</f>
        <v/>
      </c>
      <c r="R1417" s="18">
        <f>IF(NOT(ISNUMBER($A1417)),NA(),IFERROR(1*INDEX(BBG_Data!$L$2:$L$4000,MATCH($A1417,BBG_Data!$K$2:$K$4000,0)),NA()))</f>
        <v/>
      </c>
      <c r="S1417" s="20">
        <f>IF(AND(ISNUMBER(B1417),ISNUMBER(Q1417),ISNUMBER(R1417)),(B1417-Q1417-R1417)*100,NA())</f>
        <v/>
      </c>
      <c r="T1417" s="20">
        <f>IF(AND(ISNUMBER(B1417),Settings!$B$17&gt;0),IF(ISNUMBER(INDEX($B:$B,Settings!$B$17)),(B1417-INDEX($B:$B,Settings!$B$17))*100,NA()),NA())</f>
        <v/>
      </c>
      <c r="U1417" s="20">
        <f>IF(AND(ISNUMBER(Q1417),Settings!$B$17&gt;0),IF(ISNUMBER(INDEX($Q:$Q,Settings!$B$17)),(Q1417-INDEX($Q:$Q,Settings!$B$17))*100,NA()),NA())</f>
        <v/>
      </c>
      <c r="V1417" s="20">
        <f>IF(AND(ISNUMBER(R1417),Settings!$B$17&gt;0),IF(ISNUMBER(INDEX($R:$R,Settings!$B$17)),(R1417-INDEX($R:$R,Settings!$B$17))*100,NA()),NA())</f>
        <v/>
      </c>
      <c r="W1417" s="20">
        <f>IF(AND(ISNUMBER(P1417),Settings!$B$17&gt;0),IF(ISNUMBER(INDEX($P:$P,Settings!$B$17)),P1417-INDEX($P:$P,Settings!$B$17),NA()),NA())</f>
        <v/>
      </c>
      <c r="X1417" s="19">
        <f>IF(NOT(ISNUMBER($A1417)),NA(),IF(OR($A1417&lt;MIN(DKW_10Y!$A$2:$A$2918),$A1417&gt;MAX(DKW_10Y!$A$2:$A$2918),Settings!$B$16&lt;MIN(DKW_10Y!$A$2:$A$2918)),NA(),(INDEX(DKW_10Y!$B$2:$B$2918,MATCH($A1417,DKW_10Y!$A$2:$A$2918,1))-INDEX(DKW_10Y!$B$2:$B$2918,MATCH(Settings!$B$16,DKW_10Y!$A$2:$A$2918,1)))*100))</f>
        <v/>
      </c>
      <c r="Y1417" s="19">
        <f>IF(NOT(ISNUMBER($A1417)),NA(),IF(OR($A1417&lt;MIN(DKW_10Y!$A$2:$A$2918),$A1417&gt;MAX(DKW_10Y!$A$2:$A$2918),Settings!$B$16&lt;MIN(DKW_10Y!$A$2:$A$2918)),NA(),(INDEX(DKW_10Y!$C$2:$C$2918,MATCH($A1417,DKW_10Y!$A$2:$A$2918,1))-INDEX(DKW_10Y!$C$2:$C$2918,MATCH(Settings!$B$16,DKW_10Y!$A$2:$A$2918,1)))*100))</f>
        <v/>
      </c>
      <c r="Z1417" s="19">
        <f>IF(NOT(ISNUMBER($A1417)),NA(),IF(OR($A1417&lt;MIN(DKW_10Y!$A$2:$A$2918),$A1417&gt;MAX(DKW_10Y!$A$2:$A$2918),Settings!$B$16&lt;MIN(DKW_10Y!$A$2:$A$2918)),NA(),(INDEX(DKW_10Y!$D$2:$D$2918,MATCH($A1417,DKW_10Y!$A$2:$A$2918,1))-INDEX(DKW_10Y!$D$2:$D$2918,MATCH(Settings!$B$16,DKW_10Y!$A$2:$A$2918,1)))*100))</f>
        <v/>
      </c>
      <c r="AA1417" s="19">
        <f>IF(NOT(ISNUMBER($A1417)),NA(),IF(OR($A1417&lt;MIN(DKW_10Y!$A$2:$A$2918),$A1417&gt;MAX(DKW_10Y!$A$2:$A$2918),Settings!$B$16&lt;MIN(DKW_10Y!$A$2:$A$2918)),NA(),(INDEX(DKW_10Y!$E$2:$E$2918,MATCH($A1417,DKW_10Y!$A$2:$A$2918,1))-INDEX(DKW_10Y!$E$2:$E$2918,MATCH(Settings!$B$16,DKW_10Y!$A$2:$A$2918,1)))*100))</f>
        <v/>
      </c>
      <c r="AB1417" s="19">
        <f>IF(NOT(ISNUMBER($A1417)),NA(),IF(OR($A1417&lt;MIN(DKW_10Y!$A$2:$A$2918),$A1417&gt;MAX(DKW_10Y!$A$2:$A$2918),Settings!$B$16&lt;MIN(DKW_10Y!$A$2:$A$2918)),NA(),(INDEX(DKW_10Y!$H$2:$H$2918,MATCH($A1417,DKW_10Y!$A$2:$A$2918,1))-INDEX(DKW_10Y!$H$2:$H$2918,MATCH(Settings!$B$16,DKW_10Y!$A$2:$A$2918,1)))*100))</f>
        <v/>
      </c>
      <c r="AC1417" s="18">
        <f>IF(NOT(ISNUMBER($A1417)),NA(),IFERROR(1*INDEX(BBG_Data!$N$2:$N$4000,MATCH($A1417,BBG_Data!$M$2:$M$4000,0)),NA()))</f>
        <v/>
      </c>
      <c r="AD1417" s="18">
        <f>IF(NOT(ISNUMBER($A1417)),NA(),IFERROR(1*INDEX(BBG_Data!$P$2:$P$4000,MATCH($A1417,BBG_Data!$O$2:$O$4000,0)),NA()))</f>
        <v/>
      </c>
      <c r="AE1417" s="18">
        <f>IF(NOT(ISNUMBER($A1417)),NA(),IFERROR(1*INDEX(BBG_Data!$R$2:$R$4000,MATCH($A1417,BBG_Data!$Q$2:$Q$4000,0)),NA()))</f>
        <v/>
      </c>
      <c r="AF1417" s="20">
        <f>IF(AND(ISNUMBER(B1417),ISNUMBER(AC1417)),(B1417-AC1417)*100,NA())</f>
        <v/>
      </c>
      <c r="AG1417" s="20">
        <f>IF(AND(ISNUMBER(AE1417),ISNUMBER(AD1417)),(AE1417-AD1417)*100,NA())</f>
        <v/>
      </c>
      <c r="AH1417" s="19">
        <f>IF(NOT(ISNUMBER($A1417)),NA(),IFERROR(INDEX(BBG_Data!$T$2:$T$4000,MATCH($A1417,BBG_Data!$S$2:$S$4000,0))*Settings!$B$25,NA()))</f>
        <v/>
      </c>
      <c r="AI1417" s="19">
        <f>IF(NOT(ISNUMBER($A1417)),NA(),IFERROR(INDEX(BBG_Data!$V$2:$V$4000,MATCH($A1417,BBG_Data!$U$2:$U$4000,0))*Settings!$B$25,NA()))</f>
        <v/>
      </c>
      <c r="AJ1417" s="19">
        <f>IF(NOT(ISNUMBER($A1417)),NA(),IFERROR(1*INDEX(BBG_Data!$X$2:$X$4000,MATCH($A1417,BBG_Data!$W$2:$W$4000,0)),NA()))</f>
        <v/>
      </c>
      <c r="AK1417" s="19">
        <f>IF(NOT(ISNUMBER($A1417)),NA(),IFERROR(1*INDEX(BBG_Data!$Z$2:$Z$4000,MATCH($A1417,BBG_Data!$Y$2:$Y$4000,0)),NA()))</f>
        <v/>
      </c>
    </row>
    <row r="1418">
      <c r="A1418" s="17">
        <f>IF(ISNUMBER(BBG_Data!A1418),BBG_Data!A1418,"")</f>
        <v/>
      </c>
      <c r="B1418" s="18">
        <f>IF(AND(ISNUMBER($A1418),ISNUMBER(BBG_Data!B1418)),BBG_Data!B1418,NA())</f>
        <v/>
      </c>
      <c r="C1418" s="18">
        <f>IF(NOT(ISNUMBER($A1418)),NA(),IFERROR(1*INDEX(BBG_Data!$D$2:$D$4000,MATCH($A1418,BBG_Data!$C$2:$C$4000,0)),NA()))</f>
        <v/>
      </c>
      <c r="D1418" s="19">
        <f>IF(NOT(ISNUMBER($A1418)),NA(),IFERROR(1*INDEX(BBG_Data!$F$2:$F$4000,MATCH($A1418,BBG_Data!$E$2:$E$4000,0)),NA()))</f>
        <v/>
      </c>
      <c r="E1418" s="19">
        <f>IF(NOT(ISNUMBER($A1418)),NA(),IFERROR(1*INDEX(BBG_Data!$H$2:$H$4000,MATCH($A1418,BBG_Data!$G$2:$G$4000,0)),NA()))</f>
        <v/>
      </c>
      <c r="F1418" s="20">
        <f>IF(AND(ISNUMBER(B1418),ISNUMBER(B1417)),IF(B1418=B1417,"",(B1418-B1417)*100),"")</f>
        <v/>
      </c>
      <c r="G1418" s="20">
        <f>IF(AND(ISNUMBER(C1418),ISNUMBER(C1417)),IF(C1418=C1417,"",(C1418-C1417)*100),"")</f>
        <v/>
      </c>
      <c r="H1418" s="20">
        <f>IF(OR(NOT(ISNUMBER($A1418)),ROW()-2&lt;Settings!$B$11),NA(),IF(COUNT(OFFSET(F1418,1-Settings!$B$11,0,Settings!$B$11,1))&lt;ROUNDUP(Settings!$B$11*Settings!$B$26,0),NA(),STDEV(OFFSET(F1418,1-Settings!$B$11,0,Settings!$B$11,1))*SQRT(Settings!$B$13)))</f>
        <v/>
      </c>
      <c r="I1418" s="20">
        <f>IF(OR(NOT(ISNUMBER($A1418)),ROW()-2&lt;Settings!$B$12),NA(),IF(COUNT(OFFSET(F1418,1-Settings!$B$12,0,Settings!$B$12,1))&lt;ROUNDUP(Settings!$B$12*Settings!$B$26,0),NA(),STDEV(OFFSET(F1418,1-Settings!$B$12,0,Settings!$B$12,1))*SQRT(Settings!$B$13)))</f>
        <v/>
      </c>
      <c r="J1418" s="20">
        <f>IF(OR(NOT(ISNUMBER($A1418)),ROW()-2&lt;Settings!$B$11),NA(),IF(COUNT(OFFSET(G1418,1-Settings!$B$11,0,Settings!$B$11,1))&lt;ROUNDUP(Settings!$B$11*Settings!$B$26,0),NA(),STDEV(OFFSET(G1418,1-Settings!$B$11,0,Settings!$B$11,1))*SQRT(Settings!$B$13)))</f>
        <v/>
      </c>
      <c r="K1418" s="20">
        <f>IF(OR(NOT(ISNUMBER($A1418)),ROW()-2&lt;Settings!$B$12),NA(),IF(COUNT(OFFSET(G1418,1-Settings!$B$12,0,Settings!$B$12,1))&lt;ROUNDUP(Settings!$B$12*Settings!$B$26,0),NA(),STDEV(OFFSET(G1418,1-Settings!$B$12,0,Settings!$B$12,1))*SQRT(Settings!$B$13)))</f>
        <v/>
      </c>
      <c r="L1418" s="20">
        <f>IF(AND(ISNUMBER(D1418),ISNUMBER(H1418)),D1418-H1418,NA())</f>
        <v/>
      </c>
      <c r="M1418" s="20">
        <f>IF(AND(ISNUMBER(E1418),ISNUMBER(K1418)),E1418-K1418,NA())</f>
        <v/>
      </c>
      <c r="N1418" s="20">
        <f>IF(NOT(ISNUMBER($A1418)),NA(),IF(COUNT(OFFSET(G1418,1,0,Settings!$B$12,1))&lt;ROUNDUP(Settings!$B$12*Settings!$B$26,0),NA(),STDEV(OFFSET(G1418,1,0,Settings!$B$12,1))*SQRT(Settings!$B$13)))</f>
        <v/>
      </c>
      <c r="O1418" s="20">
        <f>IF(AND(ISNUMBER(E1418),ISNUMBER(N1418)),E1418-N1418,NA())</f>
        <v/>
      </c>
      <c r="P1418" s="19">
        <f>IF(NOT(ISNUMBER($A1418)),NA(),IF(OR($A1418&lt;MIN(KW_TP!$A$2:$A$2501),$A1418&gt;MAX(KW_TP!$A$2:$A$2501)),NA(),INDEX(KW_TP!$C$2:$C$2501,MATCH($A1418,KW_TP!$A$2:$A$2501,1))))</f>
        <v/>
      </c>
      <c r="Q1418" s="18">
        <f>IF(NOT(ISNUMBER($A1418)),NA(),IFERROR(1*INDEX(BBG_Data!$J$2:$J$4000,MATCH($A1418,BBG_Data!$I$2:$I$4000,0)),NA()))</f>
        <v/>
      </c>
      <c r="R1418" s="18">
        <f>IF(NOT(ISNUMBER($A1418)),NA(),IFERROR(1*INDEX(BBG_Data!$L$2:$L$4000,MATCH($A1418,BBG_Data!$K$2:$K$4000,0)),NA()))</f>
        <v/>
      </c>
      <c r="S1418" s="20">
        <f>IF(AND(ISNUMBER(B1418),ISNUMBER(Q1418),ISNUMBER(R1418)),(B1418-Q1418-R1418)*100,NA())</f>
        <v/>
      </c>
      <c r="T1418" s="20">
        <f>IF(AND(ISNUMBER(B1418),Settings!$B$17&gt;0),IF(ISNUMBER(INDEX($B:$B,Settings!$B$17)),(B1418-INDEX($B:$B,Settings!$B$17))*100,NA()),NA())</f>
        <v/>
      </c>
      <c r="U1418" s="20">
        <f>IF(AND(ISNUMBER(Q1418),Settings!$B$17&gt;0),IF(ISNUMBER(INDEX($Q:$Q,Settings!$B$17)),(Q1418-INDEX($Q:$Q,Settings!$B$17))*100,NA()),NA())</f>
        <v/>
      </c>
      <c r="V1418" s="20">
        <f>IF(AND(ISNUMBER(R1418),Settings!$B$17&gt;0),IF(ISNUMBER(INDEX($R:$R,Settings!$B$17)),(R1418-INDEX($R:$R,Settings!$B$17))*100,NA()),NA())</f>
        <v/>
      </c>
      <c r="W1418" s="20">
        <f>IF(AND(ISNUMBER(P1418),Settings!$B$17&gt;0),IF(ISNUMBER(INDEX($P:$P,Settings!$B$17)),P1418-INDEX($P:$P,Settings!$B$17),NA()),NA())</f>
        <v/>
      </c>
      <c r="X1418" s="19">
        <f>IF(NOT(ISNUMBER($A1418)),NA(),IF(OR($A1418&lt;MIN(DKW_10Y!$A$2:$A$2918),$A1418&gt;MAX(DKW_10Y!$A$2:$A$2918),Settings!$B$16&lt;MIN(DKW_10Y!$A$2:$A$2918)),NA(),(INDEX(DKW_10Y!$B$2:$B$2918,MATCH($A1418,DKW_10Y!$A$2:$A$2918,1))-INDEX(DKW_10Y!$B$2:$B$2918,MATCH(Settings!$B$16,DKW_10Y!$A$2:$A$2918,1)))*100))</f>
        <v/>
      </c>
      <c r="Y1418" s="19">
        <f>IF(NOT(ISNUMBER($A1418)),NA(),IF(OR($A1418&lt;MIN(DKW_10Y!$A$2:$A$2918),$A1418&gt;MAX(DKW_10Y!$A$2:$A$2918),Settings!$B$16&lt;MIN(DKW_10Y!$A$2:$A$2918)),NA(),(INDEX(DKW_10Y!$C$2:$C$2918,MATCH($A1418,DKW_10Y!$A$2:$A$2918,1))-INDEX(DKW_10Y!$C$2:$C$2918,MATCH(Settings!$B$16,DKW_10Y!$A$2:$A$2918,1)))*100))</f>
        <v/>
      </c>
      <c r="Z1418" s="19">
        <f>IF(NOT(ISNUMBER($A1418)),NA(),IF(OR($A1418&lt;MIN(DKW_10Y!$A$2:$A$2918),$A1418&gt;MAX(DKW_10Y!$A$2:$A$2918),Settings!$B$16&lt;MIN(DKW_10Y!$A$2:$A$2918)),NA(),(INDEX(DKW_10Y!$D$2:$D$2918,MATCH($A1418,DKW_10Y!$A$2:$A$2918,1))-INDEX(DKW_10Y!$D$2:$D$2918,MATCH(Settings!$B$16,DKW_10Y!$A$2:$A$2918,1)))*100))</f>
        <v/>
      </c>
      <c r="AA1418" s="19">
        <f>IF(NOT(ISNUMBER($A1418)),NA(),IF(OR($A1418&lt;MIN(DKW_10Y!$A$2:$A$2918),$A1418&gt;MAX(DKW_10Y!$A$2:$A$2918),Settings!$B$16&lt;MIN(DKW_10Y!$A$2:$A$2918)),NA(),(INDEX(DKW_10Y!$E$2:$E$2918,MATCH($A1418,DKW_10Y!$A$2:$A$2918,1))-INDEX(DKW_10Y!$E$2:$E$2918,MATCH(Settings!$B$16,DKW_10Y!$A$2:$A$2918,1)))*100))</f>
        <v/>
      </c>
      <c r="AB1418" s="19">
        <f>IF(NOT(ISNUMBER($A1418)),NA(),IF(OR($A1418&lt;MIN(DKW_10Y!$A$2:$A$2918),$A1418&gt;MAX(DKW_10Y!$A$2:$A$2918),Settings!$B$16&lt;MIN(DKW_10Y!$A$2:$A$2918)),NA(),(INDEX(DKW_10Y!$H$2:$H$2918,MATCH($A1418,DKW_10Y!$A$2:$A$2918,1))-INDEX(DKW_10Y!$H$2:$H$2918,MATCH(Settings!$B$16,DKW_10Y!$A$2:$A$2918,1)))*100))</f>
        <v/>
      </c>
      <c r="AC1418" s="18">
        <f>IF(NOT(ISNUMBER($A1418)),NA(),IFERROR(1*INDEX(BBG_Data!$N$2:$N$4000,MATCH($A1418,BBG_Data!$M$2:$M$4000,0)),NA()))</f>
        <v/>
      </c>
      <c r="AD1418" s="18">
        <f>IF(NOT(ISNUMBER($A1418)),NA(),IFERROR(1*INDEX(BBG_Data!$P$2:$P$4000,MATCH($A1418,BBG_Data!$O$2:$O$4000,0)),NA()))</f>
        <v/>
      </c>
      <c r="AE1418" s="18">
        <f>IF(NOT(ISNUMBER($A1418)),NA(),IFERROR(1*INDEX(BBG_Data!$R$2:$R$4000,MATCH($A1418,BBG_Data!$Q$2:$Q$4000,0)),NA()))</f>
        <v/>
      </c>
      <c r="AF1418" s="20">
        <f>IF(AND(ISNUMBER(B1418),ISNUMBER(AC1418)),(B1418-AC1418)*100,NA())</f>
        <v/>
      </c>
      <c r="AG1418" s="20">
        <f>IF(AND(ISNUMBER(AE1418),ISNUMBER(AD1418)),(AE1418-AD1418)*100,NA())</f>
        <v/>
      </c>
      <c r="AH1418" s="19">
        <f>IF(NOT(ISNUMBER($A1418)),NA(),IFERROR(INDEX(BBG_Data!$T$2:$T$4000,MATCH($A1418,BBG_Data!$S$2:$S$4000,0))*Settings!$B$25,NA()))</f>
        <v/>
      </c>
      <c r="AI1418" s="19">
        <f>IF(NOT(ISNUMBER($A1418)),NA(),IFERROR(INDEX(BBG_Data!$V$2:$V$4000,MATCH($A1418,BBG_Data!$U$2:$U$4000,0))*Settings!$B$25,NA()))</f>
        <v/>
      </c>
      <c r="AJ1418" s="19">
        <f>IF(NOT(ISNUMBER($A1418)),NA(),IFERROR(1*INDEX(BBG_Data!$X$2:$X$4000,MATCH($A1418,BBG_Data!$W$2:$W$4000,0)),NA()))</f>
        <v/>
      </c>
      <c r="AK1418" s="19">
        <f>IF(NOT(ISNUMBER($A1418)),NA(),IFERROR(1*INDEX(BBG_Data!$Z$2:$Z$4000,MATCH($A1418,BBG_Data!$Y$2:$Y$4000,0)),NA()))</f>
        <v/>
      </c>
    </row>
    <row r="1419">
      <c r="A1419" s="17">
        <f>IF(ISNUMBER(BBG_Data!A1419),BBG_Data!A1419,"")</f>
        <v/>
      </c>
      <c r="B1419" s="18">
        <f>IF(AND(ISNUMBER($A1419),ISNUMBER(BBG_Data!B1419)),BBG_Data!B1419,NA())</f>
        <v/>
      </c>
      <c r="C1419" s="18">
        <f>IF(NOT(ISNUMBER($A1419)),NA(),IFERROR(1*INDEX(BBG_Data!$D$2:$D$4000,MATCH($A1419,BBG_Data!$C$2:$C$4000,0)),NA()))</f>
        <v/>
      </c>
      <c r="D1419" s="19">
        <f>IF(NOT(ISNUMBER($A1419)),NA(),IFERROR(1*INDEX(BBG_Data!$F$2:$F$4000,MATCH($A1419,BBG_Data!$E$2:$E$4000,0)),NA()))</f>
        <v/>
      </c>
      <c r="E1419" s="19">
        <f>IF(NOT(ISNUMBER($A1419)),NA(),IFERROR(1*INDEX(BBG_Data!$H$2:$H$4000,MATCH($A1419,BBG_Data!$G$2:$G$4000,0)),NA()))</f>
        <v/>
      </c>
      <c r="F1419" s="20">
        <f>IF(AND(ISNUMBER(B1419),ISNUMBER(B1418)),IF(B1419=B1418,"",(B1419-B1418)*100),"")</f>
        <v/>
      </c>
      <c r="G1419" s="20">
        <f>IF(AND(ISNUMBER(C1419),ISNUMBER(C1418)),IF(C1419=C1418,"",(C1419-C1418)*100),"")</f>
        <v/>
      </c>
      <c r="H1419" s="20">
        <f>IF(OR(NOT(ISNUMBER($A1419)),ROW()-2&lt;Settings!$B$11),NA(),IF(COUNT(OFFSET(F1419,1-Settings!$B$11,0,Settings!$B$11,1))&lt;ROUNDUP(Settings!$B$11*Settings!$B$26,0),NA(),STDEV(OFFSET(F1419,1-Settings!$B$11,0,Settings!$B$11,1))*SQRT(Settings!$B$13)))</f>
        <v/>
      </c>
      <c r="I1419" s="20">
        <f>IF(OR(NOT(ISNUMBER($A1419)),ROW()-2&lt;Settings!$B$12),NA(),IF(COUNT(OFFSET(F1419,1-Settings!$B$12,0,Settings!$B$12,1))&lt;ROUNDUP(Settings!$B$12*Settings!$B$26,0),NA(),STDEV(OFFSET(F1419,1-Settings!$B$12,0,Settings!$B$12,1))*SQRT(Settings!$B$13)))</f>
        <v/>
      </c>
      <c r="J1419" s="20">
        <f>IF(OR(NOT(ISNUMBER($A1419)),ROW()-2&lt;Settings!$B$11),NA(),IF(COUNT(OFFSET(G1419,1-Settings!$B$11,0,Settings!$B$11,1))&lt;ROUNDUP(Settings!$B$11*Settings!$B$26,0),NA(),STDEV(OFFSET(G1419,1-Settings!$B$11,0,Settings!$B$11,1))*SQRT(Settings!$B$13)))</f>
        <v/>
      </c>
      <c r="K1419" s="20">
        <f>IF(OR(NOT(ISNUMBER($A1419)),ROW()-2&lt;Settings!$B$12),NA(),IF(COUNT(OFFSET(G1419,1-Settings!$B$12,0,Settings!$B$12,1))&lt;ROUNDUP(Settings!$B$12*Settings!$B$26,0),NA(),STDEV(OFFSET(G1419,1-Settings!$B$12,0,Settings!$B$12,1))*SQRT(Settings!$B$13)))</f>
        <v/>
      </c>
      <c r="L1419" s="20">
        <f>IF(AND(ISNUMBER(D1419),ISNUMBER(H1419)),D1419-H1419,NA())</f>
        <v/>
      </c>
      <c r="M1419" s="20">
        <f>IF(AND(ISNUMBER(E1419),ISNUMBER(K1419)),E1419-K1419,NA())</f>
        <v/>
      </c>
      <c r="N1419" s="20">
        <f>IF(NOT(ISNUMBER($A1419)),NA(),IF(COUNT(OFFSET(G1419,1,0,Settings!$B$12,1))&lt;ROUNDUP(Settings!$B$12*Settings!$B$26,0),NA(),STDEV(OFFSET(G1419,1,0,Settings!$B$12,1))*SQRT(Settings!$B$13)))</f>
        <v/>
      </c>
      <c r="O1419" s="20">
        <f>IF(AND(ISNUMBER(E1419),ISNUMBER(N1419)),E1419-N1419,NA())</f>
        <v/>
      </c>
      <c r="P1419" s="19">
        <f>IF(NOT(ISNUMBER($A1419)),NA(),IF(OR($A1419&lt;MIN(KW_TP!$A$2:$A$2501),$A1419&gt;MAX(KW_TP!$A$2:$A$2501)),NA(),INDEX(KW_TP!$C$2:$C$2501,MATCH($A1419,KW_TP!$A$2:$A$2501,1))))</f>
        <v/>
      </c>
      <c r="Q1419" s="18">
        <f>IF(NOT(ISNUMBER($A1419)),NA(),IFERROR(1*INDEX(BBG_Data!$J$2:$J$4000,MATCH($A1419,BBG_Data!$I$2:$I$4000,0)),NA()))</f>
        <v/>
      </c>
      <c r="R1419" s="18">
        <f>IF(NOT(ISNUMBER($A1419)),NA(),IFERROR(1*INDEX(BBG_Data!$L$2:$L$4000,MATCH($A1419,BBG_Data!$K$2:$K$4000,0)),NA()))</f>
        <v/>
      </c>
      <c r="S1419" s="20">
        <f>IF(AND(ISNUMBER(B1419),ISNUMBER(Q1419),ISNUMBER(R1419)),(B1419-Q1419-R1419)*100,NA())</f>
        <v/>
      </c>
      <c r="T1419" s="20">
        <f>IF(AND(ISNUMBER(B1419),Settings!$B$17&gt;0),IF(ISNUMBER(INDEX($B:$B,Settings!$B$17)),(B1419-INDEX($B:$B,Settings!$B$17))*100,NA()),NA())</f>
        <v/>
      </c>
      <c r="U1419" s="20">
        <f>IF(AND(ISNUMBER(Q1419),Settings!$B$17&gt;0),IF(ISNUMBER(INDEX($Q:$Q,Settings!$B$17)),(Q1419-INDEX($Q:$Q,Settings!$B$17))*100,NA()),NA())</f>
        <v/>
      </c>
      <c r="V1419" s="20">
        <f>IF(AND(ISNUMBER(R1419),Settings!$B$17&gt;0),IF(ISNUMBER(INDEX($R:$R,Settings!$B$17)),(R1419-INDEX($R:$R,Settings!$B$17))*100,NA()),NA())</f>
        <v/>
      </c>
      <c r="W1419" s="20">
        <f>IF(AND(ISNUMBER(P1419),Settings!$B$17&gt;0),IF(ISNUMBER(INDEX($P:$P,Settings!$B$17)),P1419-INDEX($P:$P,Settings!$B$17),NA()),NA())</f>
        <v/>
      </c>
      <c r="X1419" s="19">
        <f>IF(NOT(ISNUMBER($A1419)),NA(),IF(OR($A1419&lt;MIN(DKW_10Y!$A$2:$A$2918),$A1419&gt;MAX(DKW_10Y!$A$2:$A$2918),Settings!$B$16&lt;MIN(DKW_10Y!$A$2:$A$2918)),NA(),(INDEX(DKW_10Y!$B$2:$B$2918,MATCH($A1419,DKW_10Y!$A$2:$A$2918,1))-INDEX(DKW_10Y!$B$2:$B$2918,MATCH(Settings!$B$16,DKW_10Y!$A$2:$A$2918,1)))*100))</f>
        <v/>
      </c>
      <c r="Y1419" s="19">
        <f>IF(NOT(ISNUMBER($A1419)),NA(),IF(OR($A1419&lt;MIN(DKW_10Y!$A$2:$A$2918),$A1419&gt;MAX(DKW_10Y!$A$2:$A$2918),Settings!$B$16&lt;MIN(DKW_10Y!$A$2:$A$2918)),NA(),(INDEX(DKW_10Y!$C$2:$C$2918,MATCH($A1419,DKW_10Y!$A$2:$A$2918,1))-INDEX(DKW_10Y!$C$2:$C$2918,MATCH(Settings!$B$16,DKW_10Y!$A$2:$A$2918,1)))*100))</f>
        <v/>
      </c>
      <c r="Z1419" s="19">
        <f>IF(NOT(ISNUMBER($A1419)),NA(),IF(OR($A1419&lt;MIN(DKW_10Y!$A$2:$A$2918),$A1419&gt;MAX(DKW_10Y!$A$2:$A$2918),Settings!$B$16&lt;MIN(DKW_10Y!$A$2:$A$2918)),NA(),(INDEX(DKW_10Y!$D$2:$D$2918,MATCH($A1419,DKW_10Y!$A$2:$A$2918,1))-INDEX(DKW_10Y!$D$2:$D$2918,MATCH(Settings!$B$16,DKW_10Y!$A$2:$A$2918,1)))*100))</f>
        <v/>
      </c>
      <c r="AA1419" s="19">
        <f>IF(NOT(ISNUMBER($A1419)),NA(),IF(OR($A1419&lt;MIN(DKW_10Y!$A$2:$A$2918),$A1419&gt;MAX(DKW_10Y!$A$2:$A$2918),Settings!$B$16&lt;MIN(DKW_10Y!$A$2:$A$2918)),NA(),(INDEX(DKW_10Y!$E$2:$E$2918,MATCH($A1419,DKW_10Y!$A$2:$A$2918,1))-INDEX(DKW_10Y!$E$2:$E$2918,MATCH(Settings!$B$16,DKW_10Y!$A$2:$A$2918,1)))*100))</f>
        <v/>
      </c>
      <c r="AB1419" s="19">
        <f>IF(NOT(ISNUMBER($A1419)),NA(),IF(OR($A1419&lt;MIN(DKW_10Y!$A$2:$A$2918),$A1419&gt;MAX(DKW_10Y!$A$2:$A$2918),Settings!$B$16&lt;MIN(DKW_10Y!$A$2:$A$2918)),NA(),(INDEX(DKW_10Y!$H$2:$H$2918,MATCH($A1419,DKW_10Y!$A$2:$A$2918,1))-INDEX(DKW_10Y!$H$2:$H$2918,MATCH(Settings!$B$16,DKW_10Y!$A$2:$A$2918,1)))*100))</f>
        <v/>
      </c>
      <c r="AC1419" s="18">
        <f>IF(NOT(ISNUMBER($A1419)),NA(),IFERROR(1*INDEX(BBG_Data!$N$2:$N$4000,MATCH($A1419,BBG_Data!$M$2:$M$4000,0)),NA()))</f>
        <v/>
      </c>
      <c r="AD1419" s="18">
        <f>IF(NOT(ISNUMBER($A1419)),NA(),IFERROR(1*INDEX(BBG_Data!$P$2:$P$4000,MATCH($A1419,BBG_Data!$O$2:$O$4000,0)),NA()))</f>
        <v/>
      </c>
      <c r="AE1419" s="18">
        <f>IF(NOT(ISNUMBER($A1419)),NA(),IFERROR(1*INDEX(BBG_Data!$R$2:$R$4000,MATCH($A1419,BBG_Data!$Q$2:$Q$4000,0)),NA()))</f>
        <v/>
      </c>
      <c r="AF1419" s="20">
        <f>IF(AND(ISNUMBER(B1419),ISNUMBER(AC1419)),(B1419-AC1419)*100,NA())</f>
        <v/>
      </c>
      <c r="AG1419" s="20">
        <f>IF(AND(ISNUMBER(AE1419),ISNUMBER(AD1419)),(AE1419-AD1419)*100,NA())</f>
        <v/>
      </c>
      <c r="AH1419" s="19">
        <f>IF(NOT(ISNUMBER($A1419)),NA(),IFERROR(INDEX(BBG_Data!$T$2:$T$4000,MATCH($A1419,BBG_Data!$S$2:$S$4000,0))*Settings!$B$25,NA()))</f>
        <v/>
      </c>
      <c r="AI1419" s="19">
        <f>IF(NOT(ISNUMBER($A1419)),NA(),IFERROR(INDEX(BBG_Data!$V$2:$V$4000,MATCH($A1419,BBG_Data!$U$2:$U$4000,0))*Settings!$B$25,NA()))</f>
        <v/>
      </c>
      <c r="AJ1419" s="19">
        <f>IF(NOT(ISNUMBER($A1419)),NA(),IFERROR(1*INDEX(BBG_Data!$X$2:$X$4000,MATCH($A1419,BBG_Data!$W$2:$W$4000,0)),NA()))</f>
        <v/>
      </c>
      <c r="AK1419" s="19">
        <f>IF(NOT(ISNUMBER($A1419)),NA(),IFERROR(1*INDEX(BBG_Data!$Z$2:$Z$4000,MATCH($A1419,BBG_Data!$Y$2:$Y$4000,0)),NA()))</f>
        <v/>
      </c>
    </row>
    <row r="1420">
      <c r="A1420" s="17">
        <f>IF(ISNUMBER(BBG_Data!A1420),BBG_Data!A1420,"")</f>
        <v/>
      </c>
      <c r="B1420" s="18">
        <f>IF(AND(ISNUMBER($A1420),ISNUMBER(BBG_Data!B1420)),BBG_Data!B1420,NA())</f>
        <v/>
      </c>
      <c r="C1420" s="18">
        <f>IF(NOT(ISNUMBER($A1420)),NA(),IFERROR(1*INDEX(BBG_Data!$D$2:$D$4000,MATCH($A1420,BBG_Data!$C$2:$C$4000,0)),NA()))</f>
        <v/>
      </c>
      <c r="D1420" s="19">
        <f>IF(NOT(ISNUMBER($A1420)),NA(),IFERROR(1*INDEX(BBG_Data!$F$2:$F$4000,MATCH($A1420,BBG_Data!$E$2:$E$4000,0)),NA()))</f>
        <v/>
      </c>
      <c r="E1420" s="19">
        <f>IF(NOT(ISNUMBER($A1420)),NA(),IFERROR(1*INDEX(BBG_Data!$H$2:$H$4000,MATCH($A1420,BBG_Data!$G$2:$G$4000,0)),NA()))</f>
        <v/>
      </c>
      <c r="F1420" s="20">
        <f>IF(AND(ISNUMBER(B1420),ISNUMBER(B1419)),IF(B1420=B1419,"",(B1420-B1419)*100),"")</f>
        <v/>
      </c>
      <c r="G1420" s="20">
        <f>IF(AND(ISNUMBER(C1420),ISNUMBER(C1419)),IF(C1420=C1419,"",(C1420-C1419)*100),"")</f>
        <v/>
      </c>
      <c r="H1420" s="20">
        <f>IF(OR(NOT(ISNUMBER($A1420)),ROW()-2&lt;Settings!$B$11),NA(),IF(COUNT(OFFSET(F1420,1-Settings!$B$11,0,Settings!$B$11,1))&lt;ROUNDUP(Settings!$B$11*Settings!$B$26,0),NA(),STDEV(OFFSET(F1420,1-Settings!$B$11,0,Settings!$B$11,1))*SQRT(Settings!$B$13)))</f>
        <v/>
      </c>
      <c r="I1420" s="20">
        <f>IF(OR(NOT(ISNUMBER($A1420)),ROW()-2&lt;Settings!$B$12),NA(),IF(COUNT(OFFSET(F1420,1-Settings!$B$12,0,Settings!$B$12,1))&lt;ROUNDUP(Settings!$B$12*Settings!$B$26,0),NA(),STDEV(OFFSET(F1420,1-Settings!$B$12,0,Settings!$B$12,1))*SQRT(Settings!$B$13)))</f>
        <v/>
      </c>
      <c r="J1420" s="20">
        <f>IF(OR(NOT(ISNUMBER($A1420)),ROW()-2&lt;Settings!$B$11),NA(),IF(COUNT(OFFSET(G1420,1-Settings!$B$11,0,Settings!$B$11,1))&lt;ROUNDUP(Settings!$B$11*Settings!$B$26,0),NA(),STDEV(OFFSET(G1420,1-Settings!$B$11,0,Settings!$B$11,1))*SQRT(Settings!$B$13)))</f>
        <v/>
      </c>
      <c r="K1420" s="20">
        <f>IF(OR(NOT(ISNUMBER($A1420)),ROW()-2&lt;Settings!$B$12),NA(),IF(COUNT(OFFSET(G1420,1-Settings!$B$12,0,Settings!$B$12,1))&lt;ROUNDUP(Settings!$B$12*Settings!$B$26,0),NA(),STDEV(OFFSET(G1420,1-Settings!$B$12,0,Settings!$B$12,1))*SQRT(Settings!$B$13)))</f>
        <v/>
      </c>
      <c r="L1420" s="20">
        <f>IF(AND(ISNUMBER(D1420),ISNUMBER(H1420)),D1420-H1420,NA())</f>
        <v/>
      </c>
      <c r="M1420" s="20">
        <f>IF(AND(ISNUMBER(E1420),ISNUMBER(K1420)),E1420-K1420,NA())</f>
        <v/>
      </c>
      <c r="N1420" s="20">
        <f>IF(NOT(ISNUMBER($A1420)),NA(),IF(COUNT(OFFSET(G1420,1,0,Settings!$B$12,1))&lt;ROUNDUP(Settings!$B$12*Settings!$B$26,0),NA(),STDEV(OFFSET(G1420,1,0,Settings!$B$12,1))*SQRT(Settings!$B$13)))</f>
        <v/>
      </c>
      <c r="O1420" s="20">
        <f>IF(AND(ISNUMBER(E1420),ISNUMBER(N1420)),E1420-N1420,NA())</f>
        <v/>
      </c>
      <c r="P1420" s="19">
        <f>IF(NOT(ISNUMBER($A1420)),NA(),IF(OR($A1420&lt;MIN(KW_TP!$A$2:$A$2501),$A1420&gt;MAX(KW_TP!$A$2:$A$2501)),NA(),INDEX(KW_TP!$C$2:$C$2501,MATCH($A1420,KW_TP!$A$2:$A$2501,1))))</f>
        <v/>
      </c>
      <c r="Q1420" s="18">
        <f>IF(NOT(ISNUMBER($A1420)),NA(),IFERROR(1*INDEX(BBG_Data!$J$2:$J$4000,MATCH($A1420,BBG_Data!$I$2:$I$4000,0)),NA()))</f>
        <v/>
      </c>
      <c r="R1420" s="18">
        <f>IF(NOT(ISNUMBER($A1420)),NA(),IFERROR(1*INDEX(BBG_Data!$L$2:$L$4000,MATCH($A1420,BBG_Data!$K$2:$K$4000,0)),NA()))</f>
        <v/>
      </c>
      <c r="S1420" s="20">
        <f>IF(AND(ISNUMBER(B1420),ISNUMBER(Q1420),ISNUMBER(R1420)),(B1420-Q1420-R1420)*100,NA())</f>
        <v/>
      </c>
      <c r="T1420" s="20">
        <f>IF(AND(ISNUMBER(B1420),Settings!$B$17&gt;0),IF(ISNUMBER(INDEX($B:$B,Settings!$B$17)),(B1420-INDEX($B:$B,Settings!$B$17))*100,NA()),NA())</f>
        <v/>
      </c>
      <c r="U1420" s="20">
        <f>IF(AND(ISNUMBER(Q1420),Settings!$B$17&gt;0),IF(ISNUMBER(INDEX($Q:$Q,Settings!$B$17)),(Q1420-INDEX($Q:$Q,Settings!$B$17))*100,NA()),NA())</f>
        <v/>
      </c>
      <c r="V1420" s="20">
        <f>IF(AND(ISNUMBER(R1420),Settings!$B$17&gt;0),IF(ISNUMBER(INDEX($R:$R,Settings!$B$17)),(R1420-INDEX($R:$R,Settings!$B$17))*100,NA()),NA())</f>
        <v/>
      </c>
      <c r="W1420" s="20">
        <f>IF(AND(ISNUMBER(P1420),Settings!$B$17&gt;0),IF(ISNUMBER(INDEX($P:$P,Settings!$B$17)),P1420-INDEX($P:$P,Settings!$B$17),NA()),NA())</f>
        <v/>
      </c>
      <c r="X1420" s="19">
        <f>IF(NOT(ISNUMBER($A1420)),NA(),IF(OR($A1420&lt;MIN(DKW_10Y!$A$2:$A$2918),$A1420&gt;MAX(DKW_10Y!$A$2:$A$2918),Settings!$B$16&lt;MIN(DKW_10Y!$A$2:$A$2918)),NA(),(INDEX(DKW_10Y!$B$2:$B$2918,MATCH($A1420,DKW_10Y!$A$2:$A$2918,1))-INDEX(DKW_10Y!$B$2:$B$2918,MATCH(Settings!$B$16,DKW_10Y!$A$2:$A$2918,1)))*100))</f>
        <v/>
      </c>
      <c r="Y1420" s="19">
        <f>IF(NOT(ISNUMBER($A1420)),NA(),IF(OR($A1420&lt;MIN(DKW_10Y!$A$2:$A$2918),$A1420&gt;MAX(DKW_10Y!$A$2:$A$2918),Settings!$B$16&lt;MIN(DKW_10Y!$A$2:$A$2918)),NA(),(INDEX(DKW_10Y!$C$2:$C$2918,MATCH($A1420,DKW_10Y!$A$2:$A$2918,1))-INDEX(DKW_10Y!$C$2:$C$2918,MATCH(Settings!$B$16,DKW_10Y!$A$2:$A$2918,1)))*100))</f>
        <v/>
      </c>
      <c r="Z1420" s="19">
        <f>IF(NOT(ISNUMBER($A1420)),NA(),IF(OR($A1420&lt;MIN(DKW_10Y!$A$2:$A$2918),$A1420&gt;MAX(DKW_10Y!$A$2:$A$2918),Settings!$B$16&lt;MIN(DKW_10Y!$A$2:$A$2918)),NA(),(INDEX(DKW_10Y!$D$2:$D$2918,MATCH($A1420,DKW_10Y!$A$2:$A$2918,1))-INDEX(DKW_10Y!$D$2:$D$2918,MATCH(Settings!$B$16,DKW_10Y!$A$2:$A$2918,1)))*100))</f>
        <v/>
      </c>
      <c r="AA1420" s="19">
        <f>IF(NOT(ISNUMBER($A1420)),NA(),IF(OR($A1420&lt;MIN(DKW_10Y!$A$2:$A$2918),$A1420&gt;MAX(DKW_10Y!$A$2:$A$2918),Settings!$B$16&lt;MIN(DKW_10Y!$A$2:$A$2918)),NA(),(INDEX(DKW_10Y!$E$2:$E$2918,MATCH($A1420,DKW_10Y!$A$2:$A$2918,1))-INDEX(DKW_10Y!$E$2:$E$2918,MATCH(Settings!$B$16,DKW_10Y!$A$2:$A$2918,1)))*100))</f>
        <v/>
      </c>
      <c r="AB1420" s="19">
        <f>IF(NOT(ISNUMBER($A1420)),NA(),IF(OR($A1420&lt;MIN(DKW_10Y!$A$2:$A$2918),$A1420&gt;MAX(DKW_10Y!$A$2:$A$2918),Settings!$B$16&lt;MIN(DKW_10Y!$A$2:$A$2918)),NA(),(INDEX(DKW_10Y!$H$2:$H$2918,MATCH($A1420,DKW_10Y!$A$2:$A$2918,1))-INDEX(DKW_10Y!$H$2:$H$2918,MATCH(Settings!$B$16,DKW_10Y!$A$2:$A$2918,1)))*100))</f>
        <v/>
      </c>
      <c r="AC1420" s="18">
        <f>IF(NOT(ISNUMBER($A1420)),NA(),IFERROR(1*INDEX(BBG_Data!$N$2:$N$4000,MATCH($A1420,BBG_Data!$M$2:$M$4000,0)),NA()))</f>
        <v/>
      </c>
      <c r="AD1420" s="18">
        <f>IF(NOT(ISNUMBER($A1420)),NA(),IFERROR(1*INDEX(BBG_Data!$P$2:$P$4000,MATCH($A1420,BBG_Data!$O$2:$O$4000,0)),NA()))</f>
        <v/>
      </c>
      <c r="AE1420" s="18">
        <f>IF(NOT(ISNUMBER($A1420)),NA(),IFERROR(1*INDEX(BBG_Data!$R$2:$R$4000,MATCH($A1420,BBG_Data!$Q$2:$Q$4000,0)),NA()))</f>
        <v/>
      </c>
      <c r="AF1420" s="20">
        <f>IF(AND(ISNUMBER(B1420),ISNUMBER(AC1420)),(B1420-AC1420)*100,NA())</f>
        <v/>
      </c>
      <c r="AG1420" s="20">
        <f>IF(AND(ISNUMBER(AE1420),ISNUMBER(AD1420)),(AE1420-AD1420)*100,NA())</f>
        <v/>
      </c>
      <c r="AH1420" s="19">
        <f>IF(NOT(ISNUMBER($A1420)),NA(),IFERROR(INDEX(BBG_Data!$T$2:$T$4000,MATCH($A1420,BBG_Data!$S$2:$S$4000,0))*Settings!$B$25,NA()))</f>
        <v/>
      </c>
      <c r="AI1420" s="19">
        <f>IF(NOT(ISNUMBER($A1420)),NA(),IFERROR(INDEX(BBG_Data!$V$2:$V$4000,MATCH($A1420,BBG_Data!$U$2:$U$4000,0))*Settings!$B$25,NA()))</f>
        <v/>
      </c>
      <c r="AJ1420" s="19">
        <f>IF(NOT(ISNUMBER($A1420)),NA(),IFERROR(1*INDEX(BBG_Data!$X$2:$X$4000,MATCH($A1420,BBG_Data!$W$2:$W$4000,0)),NA()))</f>
        <v/>
      </c>
      <c r="AK1420" s="19">
        <f>IF(NOT(ISNUMBER($A1420)),NA(),IFERROR(1*INDEX(BBG_Data!$Z$2:$Z$4000,MATCH($A1420,BBG_Data!$Y$2:$Y$4000,0)),NA()))</f>
        <v/>
      </c>
    </row>
    <row r="1421">
      <c r="A1421" s="17">
        <f>IF(ISNUMBER(BBG_Data!A1421),BBG_Data!A1421,"")</f>
        <v/>
      </c>
      <c r="B1421" s="18">
        <f>IF(AND(ISNUMBER($A1421),ISNUMBER(BBG_Data!B1421)),BBG_Data!B1421,NA())</f>
        <v/>
      </c>
      <c r="C1421" s="18">
        <f>IF(NOT(ISNUMBER($A1421)),NA(),IFERROR(1*INDEX(BBG_Data!$D$2:$D$4000,MATCH($A1421,BBG_Data!$C$2:$C$4000,0)),NA()))</f>
        <v/>
      </c>
      <c r="D1421" s="19">
        <f>IF(NOT(ISNUMBER($A1421)),NA(),IFERROR(1*INDEX(BBG_Data!$F$2:$F$4000,MATCH($A1421,BBG_Data!$E$2:$E$4000,0)),NA()))</f>
        <v/>
      </c>
      <c r="E1421" s="19">
        <f>IF(NOT(ISNUMBER($A1421)),NA(),IFERROR(1*INDEX(BBG_Data!$H$2:$H$4000,MATCH($A1421,BBG_Data!$G$2:$G$4000,0)),NA()))</f>
        <v/>
      </c>
      <c r="F1421" s="20">
        <f>IF(AND(ISNUMBER(B1421),ISNUMBER(B1420)),IF(B1421=B1420,"",(B1421-B1420)*100),"")</f>
        <v/>
      </c>
      <c r="G1421" s="20">
        <f>IF(AND(ISNUMBER(C1421),ISNUMBER(C1420)),IF(C1421=C1420,"",(C1421-C1420)*100),"")</f>
        <v/>
      </c>
      <c r="H1421" s="20">
        <f>IF(OR(NOT(ISNUMBER($A1421)),ROW()-2&lt;Settings!$B$11),NA(),IF(COUNT(OFFSET(F1421,1-Settings!$B$11,0,Settings!$B$11,1))&lt;ROUNDUP(Settings!$B$11*Settings!$B$26,0),NA(),STDEV(OFFSET(F1421,1-Settings!$B$11,0,Settings!$B$11,1))*SQRT(Settings!$B$13)))</f>
        <v/>
      </c>
      <c r="I1421" s="20">
        <f>IF(OR(NOT(ISNUMBER($A1421)),ROW()-2&lt;Settings!$B$12),NA(),IF(COUNT(OFFSET(F1421,1-Settings!$B$12,0,Settings!$B$12,1))&lt;ROUNDUP(Settings!$B$12*Settings!$B$26,0),NA(),STDEV(OFFSET(F1421,1-Settings!$B$12,0,Settings!$B$12,1))*SQRT(Settings!$B$13)))</f>
        <v/>
      </c>
      <c r="J1421" s="20">
        <f>IF(OR(NOT(ISNUMBER($A1421)),ROW()-2&lt;Settings!$B$11),NA(),IF(COUNT(OFFSET(G1421,1-Settings!$B$11,0,Settings!$B$11,1))&lt;ROUNDUP(Settings!$B$11*Settings!$B$26,0),NA(),STDEV(OFFSET(G1421,1-Settings!$B$11,0,Settings!$B$11,1))*SQRT(Settings!$B$13)))</f>
        <v/>
      </c>
      <c r="K1421" s="20">
        <f>IF(OR(NOT(ISNUMBER($A1421)),ROW()-2&lt;Settings!$B$12),NA(),IF(COUNT(OFFSET(G1421,1-Settings!$B$12,0,Settings!$B$12,1))&lt;ROUNDUP(Settings!$B$12*Settings!$B$26,0),NA(),STDEV(OFFSET(G1421,1-Settings!$B$12,0,Settings!$B$12,1))*SQRT(Settings!$B$13)))</f>
        <v/>
      </c>
      <c r="L1421" s="20">
        <f>IF(AND(ISNUMBER(D1421),ISNUMBER(H1421)),D1421-H1421,NA())</f>
        <v/>
      </c>
      <c r="M1421" s="20">
        <f>IF(AND(ISNUMBER(E1421),ISNUMBER(K1421)),E1421-K1421,NA())</f>
        <v/>
      </c>
      <c r="N1421" s="20">
        <f>IF(NOT(ISNUMBER($A1421)),NA(),IF(COUNT(OFFSET(G1421,1,0,Settings!$B$12,1))&lt;ROUNDUP(Settings!$B$12*Settings!$B$26,0),NA(),STDEV(OFFSET(G1421,1,0,Settings!$B$12,1))*SQRT(Settings!$B$13)))</f>
        <v/>
      </c>
      <c r="O1421" s="20">
        <f>IF(AND(ISNUMBER(E1421),ISNUMBER(N1421)),E1421-N1421,NA())</f>
        <v/>
      </c>
      <c r="P1421" s="19">
        <f>IF(NOT(ISNUMBER($A1421)),NA(),IF(OR($A1421&lt;MIN(KW_TP!$A$2:$A$2501),$A1421&gt;MAX(KW_TP!$A$2:$A$2501)),NA(),INDEX(KW_TP!$C$2:$C$2501,MATCH($A1421,KW_TP!$A$2:$A$2501,1))))</f>
        <v/>
      </c>
      <c r="Q1421" s="18">
        <f>IF(NOT(ISNUMBER($A1421)),NA(),IFERROR(1*INDEX(BBG_Data!$J$2:$J$4000,MATCH($A1421,BBG_Data!$I$2:$I$4000,0)),NA()))</f>
        <v/>
      </c>
      <c r="R1421" s="18">
        <f>IF(NOT(ISNUMBER($A1421)),NA(),IFERROR(1*INDEX(BBG_Data!$L$2:$L$4000,MATCH($A1421,BBG_Data!$K$2:$K$4000,0)),NA()))</f>
        <v/>
      </c>
      <c r="S1421" s="20">
        <f>IF(AND(ISNUMBER(B1421),ISNUMBER(Q1421),ISNUMBER(R1421)),(B1421-Q1421-R1421)*100,NA())</f>
        <v/>
      </c>
      <c r="T1421" s="20">
        <f>IF(AND(ISNUMBER(B1421),Settings!$B$17&gt;0),IF(ISNUMBER(INDEX($B:$B,Settings!$B$17)),(B1421-INDEX($B:$B,Settings!$B$17))*100,NA()),NA())</f>
        <v/>
      </c>
      <c r="U1421" s="20">
        <f>IF(AND(ISNUMBER(Q1421),Settings!$B$17&gt;0),IF(ISNUMBER(INDEX($Q:$Q,Settings!$B$17)),(Q1421-INDEX($Q:$Q,Settings!$B$17))*100,NA()),NA())</f>
        <v/>
      </c>
      <c r="V1421" s="20">
        <f>IF(AND(ISNUMBER(R1421),Settings!$B$17&gt;0),IF(ISNUMBER(INDEX($R:$R,Settings!$B$17)),(R1421-INDEX($R:$R,Settings!$B$17))*100,NA()),NA())</f>
        <v/>
      </c>
      <c r="W1421" s="20">
        <f>IF(AND(ISNUMBER(P1421),Settings!$B$17&gt;0),IF(ISNUMBER(INDEX($P:$P,Settings!$B$17)),P1421-INDEX($P:$P,Settings!$B$17),NA()),NA())</f>
        <v/>
      </c>
      <c r="X1421" s="19">
        <f>IF(NOT(ISNUMBER($A1421)),NA(),IF(OR($A1421&lt;MIN(DKW_10Y!$A$2:$A$2918),$A1421&gt;MAX(DKW_10Y!$A$2:$A$2918),Settings!$B$16&lt;MIN(DKW_10Y!$A$2:$A$2918)),NA(),(INDEX(DKW_10Y!$B$2:$B$2918,MATCH($A1421,DKW_10Y!$A$2:$A$2918,1))-INDEX(DKW_10Y!$B$2:$B$2918,MATCH(Settings!$B$16,DKW_10Y!$A$2:$A$2918,1)))*100))</f>
        <v/>
      </c>
      <c r="Y1421" s="19">
        <f>IF(NOT(ISNUMBER($A1421)),NA(),IF(OR($A1421&lt;MIN(DKW_10Y!$A$2:$A$2918),$A1421&gt;MAX(DKW_10Y!$A$2:$A$2918),Settings!$B$16&lt;MIN(DKW_10Y!$A$2:$A$2918)),NA(),(INDEX(DKW_10Y!$C$2:$C$2918,MATCH($A1421,DKW_10Y!$A$2:$A$2918,1))-INDEX(DKW_10Y!$C$2:$C$2918,MATCH(Settings!$B$16,DKW_10Y!$A$2:$A$2918,1)))*100))</f>
        <v/>
      </c>
      <c r="Z1421" s="19">
        <f>IF(NOT(ISNUMBER($A1421)),NA(),IF(OR($A1421&lt;MIN(DKW_10Y!$A$2:$A$2918),$A1421&gt;MAX(DKW_10Y!$A$2:$A$2918),Settings!$B$16&lt;MIN(DKW_10Y!$A$2:$A$2918)),NA(),(INDEX(DKW_10Y!$D$2:$D$2918,MATCH($A1421,DKW_10Y!$A$2:$A$2918,1))-INDEX(DKW_10Y!$D$2:$D$2918,MATCH(Settings!$B$16,DKW_10Y!$A$2:$A$2918,1)))*100))</f>
        <v/>
      </c>
      <c r="AA1421" s="19">
        <f>IF(NOT(ISNUMBER($A1421)),NA(),IF(OR($A1421&lt;MIN(DKW_10Y!$A$2:$A$2918),$A1421&gt;MAX(DKW_10Y!$A$2:$A$2918),Settings!$B$16&lt;MIN(DKW_10Y!$A$2:$A$2918)),NA(),(INDEX(DKW_10Y!$E$2:$E$2918,MATCH($A1421,DKW_10Y!$A$2:$A$2918,1))-INDEX(DKW_10Y!$E$2:$E$2918,MATCH(Settings!$B$16,DKW_10Y!$A$2:$A$2918,1)))*100))</f>
        <v/>
      </c>
      <c r="AB1421" s="19">
        <f>IF(NOT(ISNUMBER($A1421)),NA(),IF(OR($A1421&lt;MIN(DKW_10Y!$A$2:$A$2918),$A1421&gt;MAX(DKW_10Y!$A$2:$A$2918),Settings!$B$16&lt;MIN(DKW_10Y!$A$2:$A$2918)),NA(),(INDEX(DKW_10Y!$H$2:$H$2918,MATCH($A1421,DKW_10Y!$A$2:$A$2918,1))-INDEX(DKW_10Y!$H$2:$H$2918,MATCH(Settings!$B$16,DKW_10Y!$A$2:$A$2918,1)))*100))</f>
        <v/>
      </c>
      <c r="AC1421" s="18">
        <f>IF(NOT(ISNUMBER($A1421)),NA(),IFERROR(1*INDEX(BBG_Data!$N$2:$N$4000,MATCH($A1421,BBG_Data!$M$2:$M$4000,0)),NA()))</f>
        <v/>
      </c>
      <c r="AD1421" s="18">
        <f>IF(NOT(ISNUMBER($A1421)),NA(),IFERROR(1*INDEX(BBG_Data!$P$2:$P$4000,MATCH($A1421,BBG_Data!$O$2:$O$4000,0)),NA()))</f>
        <v/>
      </c>
      <c r="AE1421" s="18">
        <f>IF(NOT(ISNUMBER($A1421)),NA(),IFERROR(1*INDEX(BBG_Data!$R$2:$R$4000,MATCH($A1421,BBG_Data!$Q$2:$Q$4000,0)),NA()))</f>
        <v/>
      </c>
      <c r="AF1421" s="20">
        <f>IF(AND(ISNUMBER(B1421),ISNUMBER(AC1421)),(B1421-AC1421)*100,NA())</f>
        <v/>
      </c>
      <c r="AG1421" s="20">
        <f>IF(AND(ISNUMBER(AE1421),ISNUMBER(AD1421)),(AE1421-AD1421)*100,NA())</f>
        <v/>
      </c>
      <c r="AH1421" s="19">
        <f>IF(NOT(ISNUMBER($A1421)),NA(),IFERROR(INDEX(BBG_Data!$T$2:$T$4000,MATCH($A1421,BBG_Data!$S$2:$S$4000,0))*Settings!$B$25,NA()))</f>
        <v/>
      </c>
      <c r="AI1421" s="19">
        <f>IF(NOT(ISNUMBER($A1421)),NA(),IFERROR(INDEX(BBG_Data!$V$2:$V$4000,MATCH($A1421,BBG_Data!$U$2:$U$4000,0))*Settings!$B$25,NA()))</f>
        <v/>
      </c>
      <c r="AJ1421" s="19">
        <f>IF(NOT(ISNUMBER($A1421)),NA(),IFERROR(1*INDEX(BBG_Data!$X$2:$X$4000,MATCH($A1421,BBG_Data!$W$2:$W$4000,0)),NA()))</f>
        <v/>
      </c>
      <c r="AK1421" s="19">
        <f>IF(NOT(ISNUMBER($A1421)),NA(),IFERROR(1*INDEX(BBG_Data!$Z$2:$Z$4000,MATCH($A1421,BBG_Data!$Y$2:$Y$4000,0)),NA()))</f>
        <v/>
      </c>
    </row>
    <row r="1422">
      <c r="A1422" s="17">
        <f>IF(ISNUMBER(BBG_Data!A1422),BBG_Data!A1422,"")</f>
        <v/>
      </c>
      <c r="B1422" s="18">
        <f>IF(AND(ISNUMBER($A1422),ISNUMBER(BBG_Data!B1422)),BBG_Data!B1422,NA())</f>
        <v/>
      </c>
      <c r="C1422" s="18">
        <f>IF(NOT(ISNUMBER($A1422)),NA(),IFERROR(1*INDEX(BBG_Data!$D$2:$D$4000,MATCH($A1422,BBG_Data!$C$2:$C$4000,0)),NA()))</f>
        <v/>
      </c>
      <c r="D1422" s="19">
        <f>IF(NOT(ISNUMBER($A1422)),NA(),IFERROR(1*INDEX(BBG_Data!$F$2:$F$4000,MATCH($A1422,BBG_Data!$E$2:$E$4000,0)),NA()))</f>
        <v/>
      </c>
      <c r="E1422" s="19">
        <f>IF(NOT(ISNUMBER($A1422)),NA(),IFERROR(1*INDEX(BBG_Data!$H$2:$H$4000,MATCH($A1422,BBG_Data!$G$2:$G$4000,0)),NA()))</f>
        <v/>
      </c>
      <c r="F1422" s="20">
        <f>IF(AND(ISNUMBER(B1422),ISNUMBER(B1421)),IF(B1422=B1421,"",(B1422-B1421)*100),"")</f>
        <v/>
      </c>
      <c r="G1422" s="20">
        <f>IF(AND(ISNUMBER(C1422),ISNUMBER(C1421)),IF(C1422=C1421,"",(C1422-C1421)*100),"")</f>
        <v/>
      </c>
      <c r="H1422" s="20">
        <f>IF(OR(NOT(ISNUMBER($A1422)),ROW()-2&lt;Settings!$B$11),NA(),IF(COUNT(OFFSET(F1422,1-Settings!$B$11,0,Settings!$B$11,1))&lt;ROUNDUP(Settings!$B$11*Settings!$B$26,0),NA(),STDEV(OFFSET(F1422,1-Settings!$B$11,0,Settings!$B$11,1))*SQRT(Settings!$B$13)))</f>
        <v/>
      </c>
      <c r="I1422" s="20">
        <f>IF(OR(NOT(ISNUMBER($A1422)),ROW()-2&lt;Settings!$B$12),NA(),IF(COUNT(OFFSET(F1422,1-Settings!$B$12,0,Settings!$B$12,1))&lt;ROUNDUP(Settings!$B$12*Settings!$B$26,0),NA(),STDEV(OFFSET(F1422,1-Settings!$B$12,0,Settings!$B$12,1))*SQRT(Settings!$B$13)))</f>
        <v/>
      </c>
      <c r="J1422" s="20">
        <f>IF(OR(NOT(ISNUMBER($A1422)),ROW()-2&lt;Settings!$B$11),NA(),IF(COUNT(OFFSET(G1422,1-Settings!$B$11,0,Settings!$B$11,1))&lt;ROUNDUP(Settings!$B$11*Settings!$B$26,0),NA(),STDEV(OFFSET(G1422,1-Settings!$B$11,0,Settings!$B$11,1))*SQRT(Settings!$B$13)))</f>
        <v/>
      </c>
      <c r="K1422" s="20">
        <f>IF(OR(NOT(ISNUMBER($A1422)),ROW()-2&lt;Settings!$B$12),NA(),IF(COUNT(OFFSET(G1422,1-Settings!$B$12,0,Settings!$B$12,1))&lt;ROUNDUP(Settings!$B$12*Settings!$B$26,0),NA(),STDEV(OFFSET(G1422,1-Settings!$B$12,0,Settings!$B$12,1))*SQRT(Settings!$B$13)))</f>
        <v/>
      </c>
      <c r="L1422" s="20">
        <f>IF(AND(ISNUMBER(D1422),ISNUMBER(H1422)),D1422-H1422,NA())</f>
        <v/>
      </c>
      <c r="M1422" s="20">
        <f>IF(AND(ISNUMBER(E1422),ISNUMBER(K1422)),E1422-K1422,NA())</f>
        <v/>
      </c>
      <c r="N1422" s="20">
        <f>IF(NOT(ISNUMBER($A1422)),NA(),IF(COUNT(OFFSET(G1422,1,0,Settings!$B$12,1))&lt;ROUNDUP(Settings!$B$12*Settings!$B$26,0),NA(),STDEV(OFFSET(G1422,1,0,Settings!$B$12,1))*SQRT(Settings!$B$13)))</f>
        <v/>
      </c>
      <c r="O1422" s="20">
        <f>IF(AND(ISNUMBER(E1422),ISNUMBER(N1422)),E1422-N1422,NA())</f>
        <v/>
      </c>
      <c r="P1422" s="19">
        <f>IF(NOT(ISNUMBER($A1422)),NA(),IF(OR($A1422&lt;MIN(KW_TP!$A$2:$A$2501),$A1422&gt;MAX(KW_TP!$A$2:$A$2501)),NA(),INDEX(KW_TP!$C$2:$C$2501,MATCH($A1422,KW_TP!$A$2:$A$2501,1))))</f>
        <v/>
      </c>
      <c r="Q1422" s="18">
        <f>IF(NOT(ISNUMBER($A1422)),NA(),IFERROR(1*INDEX(BBG_Data!$J$2:$J$4000,MATCH($A1422,BBG_Data!$I$2:$I$4000,0)),NA()))</f>
        <v/>
      </c>
      <c r="R1422" s="18">
        <f>IF(NOT(ISNUMBER($A1422)),NA(),IFERROR(1*INDEX(BBG_Data!$L$2:$L$4000,MATCH($A1422,BBG_Data!$K$2:$K$4000,0)),NA()))</f>
        <v/>
      </c>
      <c r="S1422" s="20">
        <f>IF(AND(ISNUMBER(B1422),ISNUMBER(Q1422),ISNUMBER(R1422)),(B1422-Q1422-R1422)*100,NA())</f>
        <v/>
      </c>
      <c r="T1422" s="20">
        <f>IF(AND(ISNUMBER(B1422),Settings!$B$17&gt;0),IF(ISNUMBER(INDEX($B:$B,Settings!$B$17)),(B1422-INDEX($B:$B,Settings!$B$17))*100,NA()),NA())</f>
        <v/>
      </c>
      <c r="U1422" s="20">
        <f>IF(AND(ISNUMBER(Q1422),Settings!$B$17&gt;0),IF(ISNUMBER(INDEX($Q:$Q,Settings!$B$17)),(Q1422-INDEX($Q:$Q,Settings!$B$17))*100,NA()),NA())</f>
        <v/>
      </c>
      <c r="V1422" s="20">
        <f>IF(AND(ISNUMBER(R1422),Settings!$B$17&gt;0),IF(ISNUMBER(INDEX($R:$R,Settings!$B$17)),(R1422-INDEX($R:$R,Settings!$B$17))*100,NA()),NA())</f>
        <v/>
      </c>
      <c r="W1422" s="20">
        <f>IF(AND(ISNUMBER(P1422),Settings!$B$17&gt;0),IF(ISNUMBER(INDEX($P:$P,Settings!$B$17)),P1422-INDEX($P:$P,Settings!$B$17),NA()),NA())</f>
        <v/>
      </c>
      <c r="X1422" s="19">
        <f>IF(NOT(ISNUMBER($A1422)),NA(),IF(OR($A1422&lt;MIN(DKW_10Y!$A$2:$A$2918),$A1422&gt;MAX(DKW_10Y!$A$2:$A$2918),Settings!$B$16&lt;MIN(DKW_10Y!$A$2:$A$2918)),NA(),(INDEX(DKW_10Y!$B$2:$B$2918,MATCH($A1422,DKW_10Y!$A$2:$A$2918,1))-INDEX(DKW_10Y!$B$2:$B$2918,MATCH(Settings!$B$16,DKW_10Y!$A$2:$A$2918,1)))*100))</f>
        <v/>
      </c>
      <c r="Y1422" s="19">
        <f>IF(NOT(ISNUMBER($A1422)),NA(),IF(OR($A1422&lt;MIN(DKW_10Y!$A$2:$A$2918),$A1422&gt;MAX(DKW_10Y!$A$2:$A$2918),Settings!$B$16&lt;MIN(DKW_10Y!$A$2:$A$2918)),NA(),(INDEX(DKW_10Y!$C$2:$C$2918,MATCH($A1422,DKW_10Y!$A$2:$A$2918,1))-INDEX(DKW_10Y!$C$2:$C$2918,MATCH(Settings!$B$16,DKW_10Y!$A$2:$A$2918,1)))*100))</f>
        <v/>
      </c>
      <c r="Z1422" s="19">
        <f>IF(NOT(ISNUMBER($A1422)),NA(),IF(OR($A1422&lt;MIN(DKW_10Y!$A$2:$A$2918),$A1422&gt;MAX(DKW_10Y!$A$2:$A$2918),Settings!$B$16&lt;MIN(DKW_10Y!$A$2:$A$2918)),NA(),(INDEX(DKW_10Y!$D$2:$D$2918,MATCH($A1422,DKW_10Y!$A$2:$A$2918,1))-INDEX(DKW_10Y!$D$2:$D$2918,MATCH(Settings!$B$16,DKW_10Y!$A$2:$A$2918,1)))*100))</f>
        <v/>
      </c>
      <c r="AA1422" s="19">
        <f>IF(NOT(ISNUMBER($A1422)),NA(),IF(OR($A1422&lt;MIN(DKW_10Y!$A$2:$A$2918),$A1422&gt;MAX(DKW_10Y!$A$2:$A$2918),Settings!$B$16&lt;MIN(DKW_10Y!$A$2:$A$2918)),NA(),(INDEX(DKW_10Y!$E$2:$E$2918,MATCH($A1422,DKW_10Y!$A$2:$A$2918,1))-INDEX(DKW_10Y!$E$2:$E$2918,MATCH(Settings!$B$16,DKW_10Y!$A$2:$A$2918,1)))*100))</f>
        <v/>
      </c>
      <c r="AB1422" s="19">
        <f>IF(NOT(ISNUMBER($A1422)),NA(),IF(OR($A1422&lt;MIN(DKW_10Y!$A$2:$A$2918),$A1422&gt;MAX(DKW_10Y!$A$2:$A$2918),Settings!$B$16&lt;MIN(DKW_10Y!$A$2:$A$2918)),NA(),(INDEX(DKW_10Y!$H$2:$H$2918,MATCH($A1422,DKW_10Y!$A$2:$A$2918,1))-INDEX(DKW_10Y!$H$2:$H$2918,MATCH(Settings!$B$16,DKW_10Y!$A$2:$A$2918,1)))*100))</f>
        <v/>
      </c>
      <c r="AC1422" s="18">
        <f>IF(NOT(ISNUMBER($A1422)),NA(),IFERROR(1*INDEX(BBG_Data!$N$2:$N$4000,MATCH($A1422,BBG_Data!$M$2:$M$4000,0)),NA()))</f>
        <v/>
      </c>
      <c r="AD1422" s="18">
        <f>IF(NOT(ISNUMBER($A1422)),NA(),IFERROR(1*INDEX(BBG_Data!$P$2:$P$4000,MATCH($A1422,BBG_Data!$O$2:$O$4000,0)),NA()))</f>
        <v/>
      </c>
      <c r="AE1422" s="18">
        <f>IF(NOT(ISNUMBER($A1422)),NA(),IFERROR(1*INDEX(BBG_Data!$R$2:$R$4000,MATCH($A1422,BBG_Data!$Q$2:$Q$4000,0)),NA()))</f>
        <v/>
      </c>
      <c r="AF1422" s="20">
        <f>IF(AND(ISNUMBER(B1422),ISNUMBER(AC1422)),(B1422-AC1422)*100,NA())</f>
        <v/>
      </c>
      <c r="AG1422" s="20">
        <f>IF(AND(ISNUMBER(AE1422),ISNUMBER(AD1422)),(AE1422-AD1422)*100,NA())</f>
        <v/>
      </c>
      <c r="AH1422" s="19">
        <f>IF(NOT(ISNUMBER($A1422)),NA(),IFERROR(INDEX(BBG_Data!$T$2:$T$4000,MATCH($A1422,BBG_Data!$S$2:$S$4000,0))*Settings!$B$25,NA()))</f>
        <v/>
      </c>
      <c r="AI1422" s="19">
        <f>IF(NOT(ISNUMBER($A1422)),NA(),IFERROR(INDEX(BBG_Data!$V$2:$V$4000,MATCH($A1422,BBG_Data!$U$2:$U$4000,0))*Settings!$B$25,NA()))</f>
        <v/>
      </c>
      <c r="AJ1422" s="19">
        <f>IF(NOT(ISNUMBER($A1422)),NA(),IFERROR(1*INDEX(BBG_Data!$X$2:$X$4000,MATCH($A1422,BBG_Data!$W$2:$W$4000,0)),NA()))</f>
        <v/>
      </c>
      <c r="AK1422" s="19">
        <f>IF(NOT(ISNUMBER($A1422)),NA(),IFERROR(1*INDEX(BBG_Data!$Z$2:$Z$4000,MATCH($A1422,BBG_Data!$Y$2:$Y$4000,0)),NA()))</f>
        <v/>
      </c>
    </row>
    <row r="1423">
      <c r="A1423" s="17">
        <f>IF(ISNUMBER(BBG_Data!A1423),BBG_Data!A1423,"")</f>
        <v/>
      </c>
      <c r="B1423" s="18">
        <f>IF(AND(ISNUMBER($A1423),ISNUMBER(BBG_Data!B1423)),BBG_Data!B1423,NA())</f>
        <v/>
      </c>
      <c r="C1423" s="18">
        <f>IF(NOT(ISNUMBER($A1423)),NA(),IFERROR(1*INDEX(BBG_Data!$D$2:$D$4000,MATCH($A1423,BBG_Data!$C$2:$C$4000,0)),NA()))</f>
        <v/>
      </c>
      <c r="D1423" s="19">
        <f>IF(NOT(ISNUMBER($A1423)),NA(),IFERROR(1*INDEX(BBG_Data!$F$2:$F$4000,MATCH($A1423,BBG_Data!$E$2:$E$4000,0)),NA()))</f>
        <v/>
      </c>
      <c r="E1423" s="19">
        <f>IF(NOT(ISNUMBER($A1423)),NA(),IFERROR(1*INDEX(BBG_Data!$H$2:$H$4000,MATCH($A1423,BBG_Data!$G$2:$G$4000,0)),NA()))</f>
        <v/>
      </c>
      <c r="F1423" s="20">
        <f>IF(AND(ISNUMBER(B1423),ISNUMBER(B1422)),IF(B1423=B1422,"",(B1423-B1422)*100),"")</f>
        <v/>
      </c>
      <c r="G1423" s="20">
        <f>IF(AND(ISNUMBER(C1423),ISNUMBER(C1422)),IF(C1423=C1422,"",(C1423-C1422)*100),"")</f>
        <v/>
      </c>
      <c r="H1423" s="20">
        <f>IF(OR(NOT(ISNUMBER($A1423)),ROW()-2&lt;Settings!$B$11),NA(),IF(COUNT(OFFSET(F1423,1-Settings!$B$11,0,Settings!$B$11,1))&lt;ROUNDUP(Settings!$B$11*Settings!$B$26,0),NA(),STDEV(OFFSET(F1423,1-Settings!$B$11,0,Settings!$B$11,1))*SQRT(Settings!$B$13)))</f>
        <v/>
      </c>
      <c r="I1423" s="20">
        <f>IF(OR(NOT(ISNUMBER($A1423)),ROW()-2&lt;Settings!$B$12),NA(),IF(COUNT(OFFSET(F1423,1-Settings!$B$12,0,Settings!$B$12,1))&lt;ROUNDUP(Settings!$B$12*Settings!$B$26,0),NA(),STDEV(OFFSET(F1423,1-Settings!$B$12,0,Settings!$B$12,1))*SQRT(Settings!$B$13)))</f>
        <v/>
      </c>
      <c r="J1423" s="20">
        <f>IF(OR(NOT(ISNUMBER($A1423)),ROW()-2&lt;Settings!$B$11),NA(),IF(COUNT(OFFSET(G1423,1-Settings!$B$11,0,Settings!$B$11,1))&lt;ROUNDUP(Settings!$B$11*Settings!$B$26,0),NA(),STDEV(OFFSET(G1423,1-Settings!$B$11,0,Settings!$B$11,1))*SQRT(Settings!$B$13)))</f>
        <v/>
      </c>
      <c r="K1423" s="20">
        <f>IF(OR(NOT(ISNUMBER($A1423)),ROW()-2&lt;Settings!$B$12),NA(),IF(COUNT(OFFSET(G1423,1-Settings!$B$12,0,Settings!$B$12,1))&lt;ROUNDUP(Settings!$B$12*Settings!$B$26,0),NA(),STDEV(OFFSET(G1423,1-Settings!$B$12,0,Settings!$B$12,1))*SQRT(Settings!$B$13)))</f>
        <v/>
      </c>
      <c r="L1423" s="20">
        <f>IF(AND(ISNUMBER(D1423),ISNUMBER(H1423)),D1423-H1423,NA())</f>
        <v/>
      </c>
      <c r="M1423" s="20">
        <f>IF(AND(ISNUMBER(E1423),ISNUMBER(K1423)),E1423-K1423,NA())</f>
        <v/>
      </c>
      <c r="N1423" s="20">
        <f>IF(NOT(ISNUMBER($A1423)),NA(),IF(COUNT(OFFSET(G1423,1,0,Settings!$B$12,1))&lt;ROUNDUP(Settings!$B$12*Settings!$B$26,0),NA(),STDEV(OFFSET(G1423,1,0,Settings!$B$12,1))*SQRT(Settings!$B$13)))</f>
        <v/>
      </c>
      <c r="O1423" s="20">
        <f>IF(AND(ISNUMBER(E1423),ISNUMBER(N1423)),E1423-N1423,NA())</f>
        <v/>
      </c>
      <c r="P1423" s="19">
        <f>IF(NOT(ISNUMBER($A1423)),NA(),IF(OR($A1423&lt;MIN(KW_TP!$A$2:$A$2501),$A1423&gt;MAX(KW_TP!$A$2:$A$2501)),NA(),INDEX(KW_TP!$C$2:$C$2501,MATCH($A1423,KW_TP!$A$2:$A$2501,1))))</f>
        <v/>
      </c>
      <c r="Q1423" s="18">
        <f>IF(NOT(ISNUMBER($A1423)),NA(),IFERROR(1*INDEX(BBG_Data!$J$2:$J$4000,MATCH($A1423,BBG_Data!$I$2:$I$4000,0)),NA()))</f>
        <v/>
      </c>
      <c r="R1423" s="18">
        <f>IF(NOT(ISNUMBER($A1423)),NA(),IFERROR(1*INDEX(BBG_Data!$L$2:$L$4000,MATCH($A1423,BBG_Data!$K$2:$K$4000,0)),NA()))</f>
        <v/>
      </c>
      <c r="S1423" s="20">
        <f>IF(AND(ISNUMBER(B1423),ISNUMBER(Q1423),ISNUMBER(R1423)),(B1423-Q1423-R1423)*100,NA())</f>
        <v/>
      </c>
      <c r="T1423" s="20">
        <f>IF(AND(ISNUMBER(B1423),Settings!$B$17&gt;0),IF(ISNUMBER(INDEX($B:$B,Settings!$B$17)),(B1423-INDEX($B:$B,Settings!$B$17))*100,NA()),NA())</f>
        <v/>
      </c>
      <c r="U1423" s="20">
        <f>IF(AND(ISNUMBER(Q1423),Settings!$B$17&gt;0),IF(ISNUMBER(INDEX($Q:$Q,Settings!$B$17)),(Q1423-INDEX($Q:$Q,Settings!$B$17))*100,NA()),NA())</f>
        <v/>
      </c>
      <c r="V1423" s="20">
        <f>IF(AND(ISNUMBER(R1423),Settings!$B$17&gt;0),IF(ISNUMBER(INDEX($R:$R,Settings!$B$17)),(R1423-INDEX($R:$R,Settings!$B$17))*100,NA()),NA())</f>
        <v/>
      </c>
      <c r="W1423" s="20">
        <f>IF(AND(ISNUMBER(P1423),Settings!$B$17&gt;0),IF(ISNUMBER(INDEX($P:$P,Settings!$B$17)),P1423-INDEX($P:$P,Settings!$B$17),NA()),NA())</f>
        <v/>
      </c>
      <c r="X1423" s="19">
        <f>IF(NOT(ISNUMBER($A1423)),NA(),IF(OR($A1423&lt;MIN(DKW_10Y!$A$2:$A$2918),$A1423&gt;MAX(DKW_10Y!$A$2:$A$2918),Settings!$B$16&lt;MIN(DKW_10Y!$A$2:$A$2918)),NA(),(INDEX(DKW_10Y!$B$2:$B$2918,MATCH($A1423,DKW_10Y!$A$2:$A$2918,1))-INDEX(DKW_10Y!$B$2:$B$2918,MATCH(Settings!$B$16,DKW_10Y!$A$2:$A$2918,1)))*100))</f>
        <v/>
      </c>
      <c r="Y1423" s="19">
        <f>IF(NOT(ISNUMBER($A1423)),NA(),IF(OR($A1423&lt;MIN(DKW_10Y!$A$2:$A$2918),$A1423&gt;MAX(DKW_10Y!$A$2:$A$2918),Settings!$B$16&lt;MIN(DKW_10Y!$A$2:$A$2918)),NA(),(INDEX(DKW_10Y!$C$2:$C$2918,MATCH($A1423,DKW_10Y!$A$2:$A$2918,1))-INDEX(DKW_10Y!$C$2:$C$2918,MATCH(Settings!$B$16,DKW_10Y!$A$2:$A$2918,1)))*100))</f>
        <v/>
      </c>
      <c r="Z1423" s="19">
        <f>IF(NOT(ISNUMBER($A1423)),NA(),IF(OR($A1423&lt;MIN(DKW_10Y!$A$2:$A$2918),$A1423&gt;MAX(DKW_10Y!$A$2:$A$2918),Settings!$B$16&lt;MIN(DKW_10Y!$A$2:$A$2918)),NA(),(INDEX(DKW_10Y!$D$2:$D$2918,MATCH($A1423,DKW_10Y!$A$2:$A$2918,1))-INDEX(DKW_10Y!$D$2:$D$2918,MATCH(Settings!$B$16,DKW_10Y!$A$2:$A$2918,1)))*100))</f>
        <v/>
      </c>
      <c r="AA1423" s="19">
        <f>IF(NOT(ISNUMBER($A1423)),NA(),IF(OR($A1423&lt;MIN(DKW_10Y!$A$2:$A$2918),$A1423&gt;MAX(DKW_10Y!$A$2:$A$2918),Settings!$B$16&lt;MIN(DKW_10Y!$A$2:$A$2918)),NA(),(INDEX(DKW_10Y!$E$2:$E$2918,MATCH($A1423,DKW_10Y!$A$2:$A$2918,1))-INDEX(DKW_10Y!$E$2:$E$2918,MATCH(Settings!$B$16,DKW_10Y!$A$2:$A$2918,1)))*100))</f>
        <v/>
      </c>
      <c r="AB1423" s="19">
        <f>IF(NOT(ISNUMBER($A1423)),NA(),IF(OR($A1423&lt;MIN(DKW_10Y!$A$2:$A$2918),$A1423&gt;MAX(DKW_10Y!$A$2:$A$2918),Settings!$B$16&lt;MIN(DKW_10Y!$A$2:$A$2918)),NA(),(INDEX(DKW_10Y!$H$2:$H$2918,MATCH($A1423,DKW_10Y!$A$2:$A$2918,1))-INDEX(DKW_10Y!$H$2:$H$2918,MATCH(Settings!$B$16,DKW_10Y!$A$2:$A$2918,1)))*100))</f>
        <v/>
      </c>
      <c r="AC1423" s="18">
        <f>IF(NOT(ISNUMBER($A1423)),NA(),IFERROR(1*INDEX(BBG_Data!$N$2:$N$4000,MATCH($A1423,BBG_Data!$M$2:$M$4000,0)),NA()))</f>
        <v/>
      </c>
      <c r="AD1423" s="18">
        <f>IF(NOT(ISNUMBER($A1423)),NA(),IFERROR(1*INDEX(BBG_Data!$P$2:$P$4000,MATCH($A1423,BBG_Data!$O$2:$O$4000,0)),NA()))</f>
        <v/>
      </c>
      <c r="AE1423" s="18">
        <f>IF(NOT(ISNUMBER($A1423)),NA(),IFERROR(1*INDEX(BBG_Data!$R$2:$R$4000,MATCH($A1423,BBG_Data!$Q$2:$Q$4000,0)),NA()))</f>
        <v/>
      </c>
      <c r="AF1423" s="20">
        <f>IF(AND(ISNUMBER(B1423),ISNUMBER(AC1423)),(B1423-AC1423)*100,NA())</f>
        <v/>
      </c>
      <c r="AG1423" s="20">
        <f>IF(AND(ISNUMBER(AE1423),ISNUMBER(AD1423)),(AE1423-AD1423)*100,NA())</f>
        <v/>
      </c>
      <c r="AH1423" s="19">
        <f>IF(NOT(ISNUMBER($A1423)),NA(),IFERROR(INDEX(BBG_Data!$T$2:$T$4000,MATCH($A1423,BBG_Data!$S$2:$S$4000,0))*Settings!$B$25,NA()))</f>
        <v/>
      </c>
      <c r="AI1423" s="19">
        <f>IF(NOT(ISNUMBER($A1423)),NA(),IFERROR(INDEX(BBG_Data!$V$2:$V$4000,MATCH($A1423,BBG_Data!$U$2:$U$4000,0))*Settings!$B$25,NA()))</f>
        <v/>
      </c>
      <c r="AJ1423" s="19">
        <f>IF(NOT(ISNUMBER($A1423)),NA(),IFERROR(1*INDEX(BBG_Data!$X$2:$X$4000,MATCH($A1423,BBG_Data!$W$2:$W$4000,0)),NA()))</f>
        <v/>
      </c>
      <c r="AK1423" s="19">
        <f>IF(NOT(ISNUMBER($A1423)),NA(),IFERROR(1*INDEX(BBG_Data!$Z$2:$Z$4000,MATCH($A1423,BBG_Data!$Y$2:$Y$4000,0)),NA()))</f>
        <v/>
      </c>
    </row>
    <row r="1424">
      <c r="A1424" s="17">
        <f>IF(ISNUMBER(BBG_Data!A1424),BBG_Data!A1424,"")</f>
        <v/>
      </c>
      <c r="B1424" s="18">
        <f>IF(AND(ISNUMBER($A1424),ISNUMBER(BBG_Data!B1424)),BBG_Data!B1424,NA())</f>
        <v/>
      </c>
      <c r="C1424" s="18">
        <f>IF(NOT(ISNUMBER($A1424)),NA(),IFERROR(1*INDEX(BBG_Data!$D$2:$D$4000,MATCH($A1424,BBG_Data!$C$2:$C$4000,0)),NA()))</f>
        <v/>
      </c>
      <c r="D1424" s="19">
        <f>IF(NOT(ISNUMBER($A1424)),NA(),IFERROR(1*INDEX(BBG_Data!$F$2:$F$4000,MATCH($A1424,BBG_Data!$E$2:$E$4000,0)),NA()))</f>
        <v/>
      </c>
      <c r="E1424" s="19">
        <f>IF(NOT(ISNUMBER($A1424)),NA(),IFERROR(1*INDEX(BBG_Data!$H$2:$H$4000,MATCH($A1424,BBG_Data!$G$2:$G$4000,0)),NA()))</f>
        <v/>
      </c>
      <c r="F1424" s="20">
        <f>IF(AND(ISNUMBER(B1424),ISNUMBER(B1423)),IF(B1424=B1423,"",(B1424-B1423)*100),"")</f>
        <v/>
      </c>
      <c r="G1424" s="20">
        <f>IF(AND(ISNUMBER(C1424),ISNUMBER(C1423)),IF(C1424=C1423,"",(C1424-C1423)*100),"")</f>
        <v/>
      </c>
      <c r="H1424" s="20">
        <f>IF(OR(NOT(ISNUMBER($A1424)),ROW()-2&lt;Settings!$B$11),NA(),IF(COUNT(OFFSET(F1424,1-Settings!$B$11,0,Settings!$B$11,1))&lt;ROUNDUP(Settings!$B$11*Settings!$B$26,0),NA(),STDEV(OFFSET(F1424,1-Settings!$B$11,0,Settings!$B$11,1))*SQRT(Settings!$B$13)))</f>
        <v/>
      </c>
      <c r="I1424" s="20">
        <f>IF(OR(NOT(ISNUMBER($A1424)),ROW()-2&lt;Settings!$B$12),NA(),IF(COUNT(OFFSET(F1424,1-Settings!$B$12,0,Settings!$B$12,1))&lt;ROUNDUP(Settings!$B$12*Settings!$B$26,0),NA(),STDEV(OFFSET(F1424,1-Settings!$B$12,0,Settings!$B$12,1))*SQRT(Settings!$B$13)))</f>
        <v/>
      </c>
      <c r="J1424" s="20">
        <f>IF(OR(NOT(ISNUMBER($A1424)),ROW()-2&lt;Settings!$B$11),NA(),IF(COUNT(OFFSET(G1424,1-Settings!$B$11,0,Settings!$B$11,1))&lt;ROUNDUP(Settings!$B$11*Settings!$B$26,0),NA(),STDEV(OFFSET(G1424,1-Settings!$B$11,0,Settings!$B$11,1))*SQRT(Settings!$B$13)))</f>
        <v/>
      </c>
      <c r="K1424" s="20">
        <f>IF(OR(NOT(ISNUMBER($A1424)),ROW()-2&lt;Settings!$B$12),NA(),IF(COUNT(OFFSET(G1424,1-Settings!$B$12,0,Settings!$B$12,1))&lt;ROUNDUP(Settings!$B$12*Settings!$B$26,0),NA(),STDEV(OFFSET(G1424,1-Settings!$B$12,0,Settings!$B$12,1))*SQRT(Settings!$B$13)))</f>
        <v/>
      </c>
      <c r="L1424" s="20">
        <f>IF(AND(ISNUMBER(D1424),ISNUMBER(H1424)),D1424-H1424,NA())</f>
        <v/>
      </c>
      <c r="M1424" s="20">
        <f>IF(AND(ISNUMBER(E1424),ISNUMBER(K1424)),E1424-K1424,NA())</f>
        <v/>
      </c>
      <c r="N1424" s="20">
        <f>IF(NOT(ISNUMBER($A1424)),NA(),IF(COUNT(OFFSET(G1424,1,0,Settings!$B$12,1))&lt;ROUNDUP(Settings!$B$12*Settings!$B$26,0),NA(),STDEV(OFFSET(G1424,1,0,Settings!$B$12,1))*SQRT(Settings!$B$13)))</f>
        <v/>
      </c>
      <c r="O1424" s="20">
        <f>IF(AND(ISNUMBER(E1424),ISNUMBER(N1424)),E1424-N1424,NA())</f>
        <v/>
      </c>
      <c r="P1424" s="19">
        <f>IF(NOT(ISNUMBER($A1424)),NA(),IF(OR($A1424&lt;MIN(KW_TP!$A$2:$A$2501),$A1424&gt;MAX(KW_TP!$A$2:$A$2501)),NA(),INDEX(KW_TP!$C$2:$C$2501,MATCH($A1424,KW_TP!$A$2:$A$2501,1))))</f>
        <v/>
      </c>
      <c r="Q1424" s="18">
        <f>IF(NOT(ISNUMBER($A1424)),NA(),IFERROR(1*INDEX(BBG_Data!$J$2:$J$4000,MATCH($A1424,BBG_Data!$I$2:$I$4000,0)),NA()))</f>
        <v/>
      </c>
      <c r="R1424" s="18">
        <f>IF(NOT(ISNUMBER($A1424)),NA(),IFERROR(1*INDEX(BBG_Data!$L$2:$L$4000,MATCH($A1424,BBG_Data!$K$2:$K$4000,0)),NA()))</f>
        <v/>
      </c>
      <c r="S1424" s="20">
        <f>IF(AND(ISNUMBER(B1424),ISNUMBER(Q1424),ISNUMBER(R1424)),(B1424-Q1424-R1424)*100,NA())</f>
        <v/>
      </c>
      <c r="T1424" s="20">
        <f>IF(AND(ISNUMBER(B1424),Settings!$B$17&gt;0),IF(ISNUMBER(INDEX($B:$B,Settings!$B$17)),(B1424-INDEX($B:$B,Settings!$B$17))*100,NA()),NA())</f>
        <v/>
      </c>
      <c r="U1424" s="20">
        <f>IF(AND(ISNUMBER(Q1424),Settings!$B$17&gt;0),IF(ISNUMBER(INDEX($Q:$Q,Settings!$B$17)),(Q1424-INDEX($Q:$Q,Settings!$B$17))*100,NA()),NA())</f>
        <v/>
      </c>
      <c r="V1424" s="20">
        <f>IF(AND(ISNUMBER(R1424),Settings!$B$17&gt;0),IF(ISNUMBER(INDEX($R:$R,Settings!$B$17)),(R1424-INDEX($R:$R,Settings!$B$17))*100,NA()),NA())</f>
        <v/>
      </c>
      <c r="W1424" s="20">
        <f>IF(AND(ISNUMBER(P1424),Settings!$B$17&gt;0),IF(ISNUMBER(INDEX($P:$P,Settings!$B$17)),P1424-INDEX($P:$P,Settings!$B$17),NA()),NA())</f>
        <v/>
      </c>
      <c r="X1424" s="19">
        <f>IF(NOT(ISNUMBER($A1424)),NA(),IF(OR($A1424&lt;MIN(DKW_10Y!$A$2:$A$2918),$A1424&gt;MAX(DKW_10Y!$A$2:$A$2918),Settings!$B$16&lt;MIN(DKW_10Y!$A$2:$A$2918)),NA(),(INDEX(DKW_10Y!$B$2:$B$2918,MATCH($A1424,DKW_10Y!$A$2:$A$2918,1))-INDEX(DKW_10Y!$B$2:$B$2918,MATCH(Settings!$B$16,DKW_10Y!$A$2:$A$2918,1)))*100))</f>
        <v/>
      </c>
      <c r="Y1424" s="19">
        <f>IF(NOT(ISNUMBER($A1424)),NA(),IF(OR($A1424&lt;MIN(DKW_10Y!$A$2:$A$2918),$A1424&gt;MAX(DKW_10Y!$A$2:$A$2918),Settings!$B$16&lt;MIN(DKW_10Y!$A$2:$A$2918)),NA(),(INDEX(DKW_10Y!$C$2:$C$2918,MATCH($A1424,DKW_10Y!$A$2:$A$2918,1))-INDEX(DKW_10Y!$C$2:$C$2918,MATCH(Settings!$B$16,DKW_10Y!$A$2:$A$2918,1)))*100))</f>
        <v/>
      </c>
      <c r="Z1424" s="19">
        <f>IF(NOT(ISNUMBER($A1424)),NA(),IF(OR($A1424&lt;MIN(DKW_10Y!$A$2:$A$2918),$A1424&gt;MAX(DKW_10Y!$A$2:$A$2918),Settings!$B$16&lt;MIN(DKW_10Y!$A$2:$A$2918)),NA(),(INDEX(DKW_10Y!$D$2:$D$2918,MATCH($A1424,DKW_10Y!$A$2:$A$2918,1))-INDEX(DKW_10Y!$D$2:$D$2918,MATCH(Settings!$B$16,DKW_10Y!$A$2:$A$2918,1)))*100))</f>
        <v/>
      </c>
      <c r="AA1424" s="19">
        <f>IF(NOT(ISNUMBER($A1424)),NA(),IF(OR($A1424&lt;MIN(DKW_10Y!$A$2:$A$2918),$A1424&gt;MAX(DKW_10Y!$A$2:$A$2918),Settings!$B$16&lt;MIN(DKW_10Y!$A$2:$A$2918)),NA(),(INDEX(DKW_10Y!$E$2:$E$2918,MATCH($A1424,DKW_10Y!$A$2:$A$2918,1))-INDEX(DKW_10Y!$E$2:$E$2918,MATCH(Settings!$B$16,DKW_10Y!$A$2:$A$2918,1)))*100))</f>
        <v/>
      </c>
      <c r="AB1424" s="19">
        <f>IF(NOT(ISNUMBER($A1424)),NA(),IF(OR($A1424&lt;MIN(DKW_10Y!$A$2:$A$2918),$A1424&gt;MAX(DKW_10Y!$A$2:$A$2918),Settings!$B$16&lt;MIN(DKW_10Y!$A$2:$A$2918)),NA(),(INDEX(DKW_10Y!$H$2:$H$2918,MATCH($A1424,DKW_10Y!$A$2:$A$2918,1))-INDEX(DKW_10Y!$H$2:$H$2918,MATCH(Settings!$B$16,DKW_10Y!$A$2:$A$2918,1)))*100))</f>
        <v/>
      </c>
      <c r="AC1424" s="18">
        <f>IF(NOT(ISNUMBER($A1424)),NA(),IFERROR(1*INDEX(BBG_Data!$N$2:$N$4000,MATCH($A1424,BBG_Data!$M$2:$M$4000,0)),NA()))</f>
        <v/>
      </c>
      <c r="AD1424" s="18">
        <f>IF(NOT(ISNUMBER($A1424)),NA(),IFERROR(1*INDEX(BBG_Data!$P$2:$P$4000,MATCH($A1424,BBG_Data!$O$2:$O$4000,0)),NA()))</f>
        <v/>
      </c>
      <c r="AE1424" s="18">
        <f>IF(NOT(ISNUMBER($A1424)),NA(),IFERROR(1*INDEX(BBG_Data!$R$2:$R$4000,MATCH($A1424,BBG_Data!$Q$2:$Q$4000,0)),NA()))</f>
        <v/>
      </c>
      <c r="AF1424" s="20">
        <f>IF(AND(ISNUMBER(B1424),ISNUMBER(AC1424)),(B1424-AC1424)*100,NA())</f>
        <v/>
      </c>
      <c r="AG1424" s="20">
        <f>IF(AND(ISNUMBER(AE1424),ISNUMBER(AD1424)),(AE1424-AD1424)*100,NA())</f>
        <v/>
      </c>
      <c r="AH1424" s="19">
        <f>IF(NOT(ISNUMBER($A1424)),NA(),IFERROR(INDEX(BBG_Data!$T$2:$T$4000,MATCH($A1424,BBG_Data!$S$2:$S$4000,0))*Settings!$B$25,NA()))</f>
        <v/>
      </c>
      <c r="AI1424" s="19">
        <f>IF(NOT(ISNUMBER($A1424)),NA(),IFERROR(INDEX(BBG_Data!$V$2:$V$4000,MATCH($A1424,BBG_Data!$U$2:$U$4000,0))*Settings!$B$25,NA()))</f>
        <v/>
      </c>
      <c r="AJ1424" s="19">
        <f>IF(NOT(ISNUMBER($A1424)),NA(),IFERROR(1*INDEX(BBG_Data!$X$2:$X$4000,MATCH($A1424,BBG_Data!$W$2:$W$4000,0)),NA()))</f>
        <v/>
      </c>
      <c r="AK1424" s="19">
        <f>IF(NOT(ISNUMBER($A1424)),NA(),IFERROR(1*INDEX(BBG_Data!$Z$2:$Z$4000,MATCH($A1424,BBG_Data!$Y$2:$Y$4000,0)),NA()))</f>
        <v/>
      </c>
    </row>
    <row r="1425">
      <c r="A1425" s="17">
        <f>IF(ISNUMBER(BBG_Data!A1425),BBG_Data!A1425,"")</f>
        <v/>
      </c>
      <c r="B1425" s="18">
        <f>IF(AND(ISNUMBER($A1425),ISNUMBER(BBG_Data!B1425)),BBG_Data!B1425,NA())</f>
        <v/>
      </c>
      <c r="C1425" s="18">
        <f>IF(NOT(ISNUMBER($A1425)),NA(),IFERROR(1*INDEX(BBG_Data!$D$2:$D$4000,MATCH($A1425,BBG_Data!$C$2:$C$4000,0)),NA()))</f>
        <v/>
      </c>
      <c r="D1425" s="19">
        <f>IF(NOT(ISNUMBER($A1425)),NA(),IFERROR(1*INDEX(BBG_Data!$F$2:$F$4000,MATCH($A1425,BBG_Data!$E$2:$E$4000,0)),NA()))</f>
        <v/>
      </c>
      <c r="E1425" s="19">
        <f>IF(NOT(ISNUMBER($A1425)),NA(),IFERROR(1*INDEX(BBG_Data!$H$2:$H$4000,MATCH($A1425,BBG_Data!$G$2:$G$4000,0)),NA()))</f>
        <v/>
      </c>
      <c r="F1425" s="20">
        <f>IF(AND(ISNUMBER(B1425),ISNUMBER(B1424)),IF(B1425=B1424,"",(B1425-B1424)*100),"")</f>
        <v/>
      </c>
      <c r="G1425" s="20">
        <f>IF(AND(ISNUMBER(C1425),ISNUMBER(C1424)),IF(C1425=C1424,"",(C1425-C1424)*100),"")</f>
        <v/>
      </c>
      <c r="H1425" s="20">
        <f>IF(OR(NOT(ISNUMBER($A1425)),ROW()-2&lt;Settings!$B$11),NA(),IF(COUNT(OFFSET(F1425,1-Settings!$B$11,0,Settings!$B$11,1))&lt;ROUNDUP(Settings!$B$11*Settings!$B$26,0),NA(),STDEV(OFFSET(F1425,1-Settings!$B$11,0,Settings!$B$11,1))*SQRT(Settings!$B$13)))</f>
        <v/>
      </c>
      <c r="I1425" s="20">
        <f>IF(OR(NOT(ISNUMBER($A1425)),ROW()-2&lt;Settings!$B$12),NA(),IF(COUNT(OFFSET(F1425,1-Settings!$B$12,0,Settings!$B$12,1))&lt;ROUNDUP(Settings!$B$12*Settings!$B$26,0),NA(),STDEV(OFFSET(F1425,1-Settings!$B$12,0,Settings!$B$12,1))*SQRT(Settings!$B$13)))</f>
        <v/>
      </c>
      <c r="J1425" s="20">
        <f>IF(OR(NOT(ISNUMBER($A1425)),ROW()-2&lt;Settings!$B$11),NA(),IF(COUNT(OFFSET(G1425,1-Settings!$B$11,0,Settings!$B$11,1))&lt;ROUNDUP(Settings!$B$11*Settings!$B$26,0),NA(),STDEV(OFFSET(G1425,1-Settings!$B$11,0,Settings!$B$11,1))*SQRT(Settings!$B$13)))</f>
        <v/>
      </c>
      <c r="K1425" s="20">
        <f>IF(OR(NOT(ISNUMBER($A1425)),ROW()-2&lt;Settings!$B$12),NA(),IF(COUNT(OFFSET(G1425,1-Settings!$B$12,0,Settings!$B$12,1))&lt;ROUNDUP(Settings!$B$12*Settings!$B$26,0),NA(),STDEV(OFFSET(G1425,1-Settings!$B$12,0,Settings!$B$12,1))*SQRT(Settings!$B$13)))</f>
        <v/>
      </c>
      <c r="L1425" s="20">
        <f>IF(AND(ISNUMBER(D1425),ISNUMBER(H1425)),D1425-H1425,NA())</f>
        <v/>
      </c>
      <c r="M1425" s="20">
        <f>IF(AND(ISNUMBER(E1425),ISNUMBER(K1425)),E1425-K1425,NA())</f>
        <v/>
      </c>
      <c r="N1425" s="20">
        <f>IF(NOT(ISNUMBER($A1425)),NA(),IF(COUNT(OFFSET(G1425,1,0,Settings!$B$12,1))&lt;ROUNDUP(Settings!$B$12*Settings!$B$26,0),NA(),STDEV(OFFSET(G1425,1,0,Settings!$B$12,1))*SQRT(Settings!$B$13)))</f>
        <v/>
      </c>
      <c r="O1425" s="20">
        <f>IF(AND(ISNUMBER(E1425),ISNUMBER(N1425)),E1425-N1425,NA())</f>
        <v/>
      </c>
      <c r="P1425" s="19">
        <f>IF(NOT(ISNUMBER($A1425)),NA(),IF(OR($A1425&lt;MIN(KW_TP!$A$2:$A$2501),$A1425&gt;MAX(KW_TP!$A$2:$A$2501)),NA(),INDEX(KW_TP!$C$2:$C$2501,MATCH($A1425,KW_TP!$A$2:$A$2501,1))))</f>
        <v/>
      </c>
      <c r="Q1425" s="18">
        <f>IF(NOT(ISNUMBER($A1425)),NA(),IFERROR(1*INDEX(BBG_Data!$J$2:$J$4000,MATCH($A1425,BBG_Data!$I$2:$I$4000,0)),NA()))</f>
        <v/>
      </c>
      <c r="R1425" s="18">
        <f>IF(NOT(ISNUMBER($A1425)),NA(),IFERROR(1*INDEX(BBG_Data!$L$2:$L$4000,MATCH($A1425,BBG_Data!$K$2:$K$4000,0)),NA()))</f>
        <v/>
      </c>
      <c r="S1425" s="20">
        <f>IF(AND(ISNUMBER(B1425),ISNUMBER(Q1425),ISNUMBER(R1425)),(B1425-Q1425-R1425)*100,NA())</f>
        <v/>
      </c>
      <c r="T1425" s="20">
        <f>IF(AND(ISNUMBER(B1425),Settings!$B$17&gt;0),IF(ISNUMBER(INDEX($B:$B,Settings!$B$17)),(B1425-INDEX($B:$B,Settings!$B$17))*100,NA()),NA())</f>
        <v/>
      </c>
      <c r="U1425" s="20">
        <f>IF(AND(ISNUMBER(Q1425),Settings!$B$17&gt;0),IF(ISNUMBER(INDEX($Q:$Q,Settings!$B$17)),(Q1425-INDEX($Q:$Q,Settings!$B$17))*100,NA()),NA())</f>
        <v/>
      </c>
      <c r="V1425" s="20">
        <f>IF(AND(ISNUMBER(R1425),Settings!$B$17&gt;0),IF(ISNUMBER(INDEX($R:$R,Settings!$B$17)),(R1425-INDEX($R:$R,Settings!$B$17))*100,NA()),NA())</f>
        <v/>
      </c>
      <c r="W1425" s="20">
        <f>IF(AND(ISNUMBER(P1425),Settings!$B$17&gt;0),IF(ISNUMBER(INDEX($P:$P,Settings!$B$17)),P1425-INDEX($P:$P,Settings!$B$17),NA()),NA())</f>
        <v/>
      </c>
      <c r="X1425" s="19">
        <f>IF(NOT(ISNUMBER($A1425)),NA(),IF(OR($A1425&lt;MIN(DKW_10Y!$A$2:$A$2918),$A1425&gt;MAX(DKW_10Y!$A$2:$A$2918),Settings!$B$16&lt;MIN(DKW_10Y!$A$2:$A$2918)),NA(),(INDEX(DKW_10Y!$B$2:$B$2918,MATCH($A1425,DKW_10Y!$A$2:$A$2918,1))-INDEX(DKW_10Y!$B$2:$B$2918,MATCH(Settings!$B$16,DKW_10Y!$A$2:$A$2918,1)))*100))</f>
        <v/>
      </c>
      <c r="Y1425" s="19">
        <f>IF(NOT(ISNUMBER($A1425)),NA(),IF(OR($A1425&lt;MIN(DKW_10Y!$A$2:$A$2918),$A1425&gt;MAX(DKW_10Y!$A$2:$A$2918),Settings!$B$16&lt;MIN(DKW_10Y!$A$2:$A$2918)),NA(),(INDEX(DKW_10Y!$C$2:$C$2918,MATCH($A1425,DKW_10Y!$A$2:$A$2918,1))-INDEX(DKW_10Y!$C$2:$C$2918,MATCH(Settings!$B$16,DKW_10Y!$A$2:$A$2918,1)))*100))</f>
        <v/>
      </c>
      <c r="Z1425" s="19">
        <f>IF(NOT(ISNUMBER($A1425)),NA(),IF(OR($A1425&lt;MIN(DKW_10Y!$A$2:$A$2918),$A1425&gt;MAX(DKW_10Y!$A$2:$A$2918),Settings!$B$16&lt;MIN(DKW_10Y!$A$2:$A$2918)),NA(),(INDEX(DKW_10Y!$D$2:$D$2918,MATCH($A1425,DKW_10Y!$A$2:$A$2918,1))-INDEX(DKW_10Y!$D$2:$D$2918,MATCH(Settings!$B$16,DKW_10Y!$A$2:$A$2918,1)))*100))</f>
        <v/>
      </c>
      <c r="AA1425" s="19">
        <f>IF(NOT(ISNUMBER($A1425)),NA(),IF(OR($A1425&lt;MIN(DKW_10Y!$A$2:$A$2918),$A1425&gt;MAX(DKW_10Y!$A$2:$A$2918),Settings!$B$16&lt;MIN(DKW_10Y!$A$2:$A$2918)),NA(),(INDEX(DKW_10Y!$E$2:$E$2918,MATCH($A1425,DKW_10Y!$A$2:$A$2918,1))-INDEX(DKW_10Y!$E$2:$E$2918,MATCH(Settings!$B$16,DKW_10Y!$A$2:$A$2918,1)))*100))</f>
        <v/>
      </c>
      <c r="AB1425" s="19">
        <f>IF(NOT(ISNUMBER($A1425)),NA(),IF(OR($A1425&lt;MIN(DKW_10Y!$A$2:$A$2918),$A1425&gt;MAX(DKW_10Y!$A$2:$A$2918),Settings!$B$16&lt;MIN(DKW_10Y!$A$2:$A$2918)),NA(),(INDEX(DKW_10Y!$H$2:$H$2918,MATCH($A1425,DKW_10Y!$A$2:$A$2918,1))-INDEX(DKW_10Y!$H$2:$H$2918,MATCH(Settings!$B$16,DKW_10Y!$A$2:$A$2918,1)))*100))</f>
        <v/>
      </c>
      <c r="AC1425" s="18">
        <f>IF(NOT(ISNUMBER($A1425)),NA(),IFERROR(1*INDEX(BBG_Data!$N$2:$N$4000,MATCH($A1425,BBG_Data!$M$2:$M$4000,0)),NA()))</f>
        <v/>
      </c>
      <c r="AD1425" s="18">
        <f>IF(NOT(ISNUMBER($A1425)),NA(),IFERROR(1*INDEX(BBG_Data!$P$2:$P$4000,MATCH($A1425,BBG_Data!$O$2:$O$4000,0)),NA()))</f>
        <v/>
      </c>
      <c r="AE1425" s="18">
        <f>IF(NOT(ISNUMBER($A1425)),NA(),IFERROR(1*INDEX(BBG_Data!$R$2:$R$4000,MATCH($A1425,BBG_Data!$Q$2:$Q$4000,0)),NA()))</f>
        <v/>
      </c>
      <c r="AF1425" s="20">
        <f>IF(AND(ISNUMBER(B1425),ISNUMBER(AC1425)),(B1425-AC1425)*100,NA())</f>
        <v/>
      </c>
      <c r="AG1425" s="20">
        <f>IF(AND(ISNUMBER(AE1425),ISNUMBER(AD1425)),(AE1425-AD1425)*100,NA())</f>
        <v/>
      </c>
      <c r="AH1425" s="19">
        <f>IF(NOT(ISNUMBER($A1425)),NA(),IFERROR(INDEX(BBG_Data!$T$2:$T$4000,MATCH($A1425,BBG_Data!$S$2:$S$4000,0))*Settings!$B$25,NA()))</f>
        <v/>
      </c>
      <c r="AI1425" s="19">
        <f>IF(NOT(ISNUMBER($A1425)),NA(),IFERROR(INDEX(BBG_Data!$V$2:$V$4000,MATCH($A1425,BBG_Data!$U$2:$U$4000,0))*Settings!$B$25,NA()))</f>
        <v/>
      </c>
      <c r="AJ1425" s="19">
        <f>IF(NOT(ISNUMBER($A1425)),NA(),IFERROR(1*INDEX(BBG_Data!$X$2:$X$4000,MATCH($A1425,BBG_Data!$W$2:$W$4000,0)),NA()))</f>
        <v/>
      </c>
      <c r="AK1425" s="19">
        <f>IF(NOT(ISNUMBER($A1425)),NA(),IFERROR(1*INDEX(BBG_Data!$Z$2:$Z$4000,MATCH($A1425,BBG_Data!$Y$2:$Y$4000,0)),NA()))</f>
        <v/>
      </c>
    </row>
    <row r="1426">
      <c r="A1426" s="17">
        <f>IF(ISNUMBER(BBG_Data!A1426),BBG_Data!A1426,"")</f>
        <v/>
      </c>
      <c r="B1426" s="18">
        <f>IF(AND(ISNUMBER($A1426),ISNUMBER(BBG_Data!B1426)),BBG_Data!B1426,NA())</f>
        <v/>
      </c>
      <c r="C1426" s="18">
        <f>IF(NOT(ISNUMBER($A1426)),NA(),IFERROR(1*INDEX(BBG_Data!$D$2:$D$4000,MATCH($A1426,BBG_Data!$C$2:$C$4000,0)),NA()))</f>
        <v/>
      </c>
      <c r="D1426" s="19">
        <f>IF(NOT(ISNUMBER($A1426)),NA(),IFERROR(1*INDEX(BBG_Data!$F$2:$F$4000,MATCH($A1426,BBG_Data!$E$2:$E$4000,0)),NA()))</f>
        <v/>
      </c>
      <c r="E1426" s="19">
        <f>IF(NOT(ISNUMBER($A1426)),NA(),IFERROR(1*INDEX(BBG_Data!$H$2:$H$4000,MATCH($A1426,BBG_Data!$G$2:$G$4000,0)),NA()))</f>
        <v/>
      </c>
      <c r="F1426" s="20">
        <f>IF(AND(ISNUMBER(B1426),ISNUMBER(B1425)),IF(B1426=B1425,"",(B1426-B1425)*100),"")</f>
        <v/>
      </c>
      <c r="G1426" s="20">
        <f>IF(AND(ISNUMBER(C1426),ISNUMBER(C1425)),IF(C1426=C1425,"",(C1426-C1425)*100),"")</f>
        <v/>
      </c>
      <c r="H1426" s="20">
        <f>IF(OR(NOT(ISNUMBER($A1426)),ROW()-2&lt;Settings!$B$11),NA(),IF(COUNT(OFFSET(F1426,1-Settings!$B$11,0,Settings!$B$11,1))&lt;ROUNDUP(Settings!$B$11*Settings!$B$26,0),NA(),STDEV(OFFSET(F1426,1-Settings!$B$11,0,Settings!$B$11,1))*SQRT(Settings!$B$13)))</f>
        <v/>
      </c>
      <c r="I1426" s="20">
        <f>IF(OR(NOT(ISNUMBER($A1426)),ROW()-2&lt;Settings!$B$12),NA(),IF(COUNT(OFFSET(F1426,1-Settings!$B$12,0,Settings!$B$12,1))&lt;ROUNDUP(Settings!$B$12*Settings!$B$26,0),NA(),STDEV(OFFSET(F1426,1-Settings!$B$12,0,Settings!$B$12,1))*SQRT(Settings!$B$13)))</f>
        <v/>
      </c>
      <c r="J1426" s="20">
        <f>IF(OR(NOT(ISNUMBER($A1426)),ROW()-2&lt;Settings!$B$11),NA(),IF(COUNT(OFFSET(G1426,1-Settings!$B$11,0,Settings!$B$11,1))&lt;ROUNDUP(Settings!$B$11*Settings!$B$26,0),NA(),STDEV(OFFSET(G1426,1-Settings!$B$11,0,Settings!$B$11,1))*SQRT(Settings!$B$13)))</f>
        <v/>
      </c>
      <c r="K1426" s="20">
        <f>IF(OR(NOT(ISNUMBER($A1426)),ROW()-2&lt;Settings!$B$12),NA(),IF(COUNT(OFFSET(G1426,1-Settings!$B$12,0,Settings!$B$12,1))&lt;ROUNDUP(Settings!$B$12*Settings!$B$26,0),NA(),STDEV(OFFSET(G1426,1-Settings!$B$12,0,Settings!$B$12,1))*SQRT(Settings!$B$13)))</f>
        <v/>
      </c>
      <c r="L1426" s="20">
        <f>IF(AND(ISNUMBER(D1426),ISNUMBER(H1426)),D1426-H1426,NA())</f>
        <v/>
      </c>
      <c r="M1426" s="20">
        <f>IF(AND(ISNUMBER(E1426),ISNUMBER(K1426)),E1426-K1426,NA())</f>
        <v/>
      </c>
      <c r="N1426" s="20">
        <f>IF(NOT(ISNUMBER($A1426)),NA(),IF(COUNT(OFFSET(G1426,1,0,Settings!$B$12,1))&lt;ROUNDUP(Settings!$B$12*Settings!$B$26,0),NA(),STDEV(OFFSET(G1426,1,0,Settings!$B$12,1))*SQRT(Settings!$B$13)))</f>
        <v/>
      </c>
      <c r="O1426" s="20">
        <f>IF(AND(ISNUMBER(E1426),ISNUMBER(N1426)),E1426-N1426,NA())</f>
        <v/>
      </c>
      <c r="P1426" s="19">
        <f>IF(NOT(ISNUMBER($A1426)),NA(),IF(OR($A1426&lt;MIN(KW_TP!$A$2:$A$2501),$A1426&gt;MAX(KW_TP!$A$2:$A$2501)),NA(),INDEX(KW_TP!$C$2:$C$2501,MATCH($A1426,KW_TP!$A$2:$A$2501,1))))</f>
        <v/>
      </c>
      <c r="Q1426" s="18">
        <f>IF(NOT(ISNUMBER($A1426)),NA(),IFERROR(1*INDEX(BBG_Data!$J$2:$J$4000,MATCH($A1426,BBG_Data!$I$2:$I$4000,0)),NA()))</f>
        <v/>
      </c>
      <c r="R1426" s="18">
        <f>IF(NOT(ISNUMBER($A1426)),NA(),IFERROR(1*INDEX(BBG_Data!$L$2:$L$4000,MATCH($A1426,BBG_Data!$K$2:$K$4000,0)),NA()))</f>
        <v/>
      </c>
      <c r="S1426" s="20">
        <f>IF(AND(ISNUMBER(B1426),ISNUMBER(Q1426),ISNUMBER(R1426)),(B1426-Q1426-R1426)*100,NA())</f>
        <v/>
      </c>
      <c r="T1426" s="20">
        <f>IF(AND(ISNUMBER(B1426),Settings!$B$17&gt;0),IF(ISNUMBER(INDEX($B:$B,Settings!$B$17)),(B1426-INDEX($B:$B,Settings!$B$17))*100,NA()),NA())</f>
        <v/>
      </c>
      <c r="U1426" s="20">
        <f>IF(AND(ISNUMBER(Q1426),Settings!$B$17&gt;0),IF(ISNUMBER(INDEX($Q:$Q,Settings!$B$17)),(Q1426-INDEX($Q:$Q,Settings!$B$17))*100,NA()),NA())</f>
        <v/>
      </c>
      <c r="V1426" s="20">
        <f>IF(AND(ISNUMBER(R1426),Settings!$B$17&gt;0),IF(ISNUMBER(INDEX($R:$R,Settings!$B$17)),(R1426-INDEX($R:$R,Settings!$B$17))*100,NA()),NA())</f>
        <v/>
      </c>
      <c r="W1426" s="20">
        <f>IF(AND(ISNUMBER(P1426),Settings!$B$17&gt;0),IF(ISNUMBER(INDEX($P:$P,Settings!$B$17)),P1426-INDEX($P:$P,Settings!$B$17),NA()),NA())</f>
        <v/>
      </c>
      <c r="X1426" s="19">
        <f>IF(NOT(ISNUMBER($A1426)),NA(),IF(OR($A1426&lt;MIN(DKW_10Y!$A$2:$A$2918),$A1426&gt;MAX(DKW_10Y!$A$2:$A$2918),Settings!$B$16&lt;MIN(DKW_10Y!$A$2:$A$2918)),NA(),(INDEX(DKW_10Y!$B$2:$B$2918,MATCH($A1426,DKW_10Y!$A$2:$A$2918,1))-INDEX(DKW_10Y!$B$2:$B$2918,MATCH(Settings!$B$16,DKW_10Y!$A$2:$A$2918,1)))*100))</f>
        <v/>
      </c>
      <c r="Y1426" s="19">
        <f>IF(NOT(ISNUMBER($A1426)),NA(),IF(OR($A1426&lt;MIN(DKW_10Y!$A$2:$A$2918),$A1426&gt;MAX(DKW_10Y!$A$2:$A$2918),Settings!$B$16&lt;MIN(DKW_10Y!$A$2:$A$2918)),NA(),(INDEX(DKW_10Y!$C$2:$C$2918,MATCH($A1426,DKW_10Y!$A$2:$A$2918,1))-INDEX(DKW_10Y!$C$2:$C$2918,MATCH(Settings!$B$16,DKW_10Y!$A$2:$A$2918,1)))*100))</f>
        <v/>
      </c>
      <c r="Z1426" s="19">
        <f>IF(NOT(ISNUMBER($A1426)),NA(),IF(OR($A1426&lt;MIN(DKW_10Y!$A$2:$A$2918),$A1426&gt;MAX(DKW_10Y!$A$2:$A$2918),Settings!$B$16&lt;MIN(DKW_10Y!$A$2:$A$2918)),NA(),(INDEX(DKW_10Y!$D$2:$D$2918,MATCH($A1426,DKW_10Y!$A$2:$A$2918,1))-INDEX(DKW_10Y!$D$2:$D$2918,MATCH(Settings!$B$16,DKW_10Y!$A$2:$A$2918,1)))*100))</f>
        <v/>
      </c>
      <c r="AA1426" s="19">
        <f>IF(NOT(ISNUMBER($A1426)),NA(),IF(OR($A1426&lt;MIN(DKW_10Y!$A$2:$A$2918),$A1426&gt;MAX(DKW_10Y!$A$2:$A$2918),Settings!$B$16&lt;MIN(DKW_10Y!$A$2:$A$2918)),NA(),(INDEX(DKW_10Y!$E$2:$E$2918,MATCH($A1426,DKW_10Y!$A$2:$A$2918,1))-INDEX(DKW_10Y!$E$2:$E$2918,MATCH(Settings!$B$16,DKW_10Y!$A$2:$A$2918,1)))*100))</f>
        <v/>
      </c>
      <c r="AB1426" s="19">
        <f>IF(NOT(ISNUMBER($A1426)),NA(),IF(OR($A1426&lt;MIN(DKW_10Y!$A$2:$A$2918),$A1426&gt;MAX(DKW_10Y!$A$2:$A$2918),Settings!$B$16&lt;MIN(DKW_10Y!$A$2:$A$2918)),NA(),(INDEX(DKW_10Y!$H$2:$H$2918,MATCH($A1426,DKW_10Y!$A$2:$A$2918,1))-INDEX(DKW_10Y!$H$2:$H$2918,MATCH(Settings!$B$16,DKW_10Y!$A$2:$A$2918,1)))*100))</f>
        <v/>
      </c>
      <c r="AC1426" s="18">
        <f>IF(NOT(ISNUMBER($A1426)),NA(),IFERROR(1*INDEX(BBG_Data!$N$2:$N$4000,MATCH($A1426,BBG_Data!$M$2:$M$4000,0)),NA()))</f>
        <v/>
      </c>
      <c r="AD1426" s="18">
        <f>IF(NOT(ISNUMBER($A1426)),NA(),IFERROR(1*INDEX(BBG_Data!$P$2:$P$4000,MATCH($A1426,BBG_Data!$O$2:$O$4000,0)),NA()))</f>
        <v/>
      </c>
      <c r="AE1426" s="18">
        <f>IF(NOT(ISNUMBER($A1426)),NA(),IFERROR(1*INDEX(BBG_Data!$R$2:$R$4000,MATCH($A1426,BBG_Data!$Q$2:$Q$4000,0)),NA()))</f>
        <v/>
      </c>
      <c r="AF1426" s="20">
        <f>IF(AND(ISNUMBER(B1426),ISNUMBER(AC1426)),(B1426-AC1426)*100,NA())</f>
        <v/>
      </c>
      <c r="AG1426" s="20">
        <f>IF(AND(ISNUMBER(AE1426),ISNUMBER(AD1426)),(AE1426-AD1426)*100,NA())</f>
        <v/>
      </c>
      <c r="AH1426" s="19">
        <f>IF(NOT(ISNUMBER($A1426)),NA(),IFERROR(INDEX(BBG_Data!$T$2:$T$4000,MATCH($A1426,BBG_Data!$S$2:$S$4000,0))*Settings!$B$25,NA()))</f>
        <v/>
      </c>
      <c r="AI1426" s="19">
        <f>IF(NOT(ISNUMBER($A1426)),NA(),IFERROR(INDEX(BBG_Data!$V$2:$V$4000,MATCH($A1426,BBG_Data!$U$2:$U$4000,0))*Settings!$B$25,NA()))</f>
        <v/>
      </c>
      <c r="AJ1426" s="19">
        <f>IF(NOT(ISNUMBER($A1426)),NA(),IFERROR(1*INDEX(BBG_Data!$X$2:$X$4000,MATCH($A1426,BBG_Data!$W$2:$W$4000,0)),NA()))</f>
        <v/>
      </c>
      <c r="AK1426" s="19">
        <f>IF(NOT(ISNUMBER($A1426)),NA(),IFERROR(1*INDEX(BBG_Data!$Z$2:$Z$4000,MATCH($A1426,BBG_Data!$Y$2:$Y$4000,0)),NA()))</f>
        <v/>
      </c>
    </row>
    <row r="1427">
      <c r="A1427" s="17">
        <f>IF(ISNUMBER(BBG_Data!A1427),BBG_Data!A1427,"")</f>
        <v/>
      </c>
      <c r="B1427" s="18">
        <f>IF(AND(ISNUMBER($A1427),ISNUMBER(BBG_Data!B1427)),BBG_Data!B1427,NA())</f>
        <v/>
      </c>
      <c r="C1427" s="18">
        <f>IF(NOT(ISNUMBER($A1427)),NA(),IFERROR(1*INDEX(BBG_Data!$D$2:$D$4000,MATCH($A1427,BBG_Data!$C$2:$C$4000,0)),NA()))</f>
        <v/>
      </c>
      <c r="D1427" s="19">
        <f>IF(NOT(ISNUMBER($A1427)),NA(),IFERROR(1*INDEX(BBG_Data!$F$2:$F$4000,MATCH($A1427,BBG_Data!$E$2:$E$4000,0)),NA()))</f>
        <v/>
      </c>
      <c r="E1427" s="19">
        <f>IF(NOT(ISNUMBER($A1427)),NA(),IFERROR(1*INDEX(BBG_Data!$H$2:$H$4000,MATCH($A1427,BBG_Data!$G$2:$G$4000,0)),NA()))</f>
        <v/>
      </c>
      <c r="F1427" s="20">
        <f>IF(AND(ISNUMBER(B1427),ISNUMBER(B1426)),IF(B1427=B1426,"",(B1427-B1426)*100),"")</f>
        <v/>
      </c>
      <c r="G1427" s="20">
        <f>IF(AND(ISNUMBER(C1427),ISNUMBER(C1426)),IF(C1427=C1426,"",(C1427-C1426)*100),"")</f>
        <v/>
      </c>
      <c r="H1427" s="20">
        <f>IF(OR(NOT(ISNUMBER($A1427)),ROW()-2&lt;Settings!$B$11),NA(),IF(COUNT(OFFSET(F1427,1-Settings!$B$11,0,Settings!$B$11,1))&lt;ROUNDUP(Settings!$B$11*Settings!$B$26,0),NA(),STDEV(OFFSET(F1427,1-Settings!$B$11,0,Settings!$B$11,1))*SQRT(Settings!$B$13)))</f>
        <v/>
      </c>
      <c r="I1427" s="20">
        <f>IF(OR(NOT(ISNUMBER($A1427)),ROW()-2&lt;Settings!$B$12),NA(),IF(COUNT(OFFSET(F1427,1-Settings!$B$12,0,Settings!$B$12,1))&lt;ROUNDUP(Settings!$B$12*Settings!$B$26,0),NA(),STDEV(OFFSET(F1427,1-Settings!$B$12,0,Settings!$B$12,1))*SQRT(Settings!$B$13)))</f>
        <v/>
      </c>
      <c r="J1427" s="20">
        <f>IF(OR(NOT(ISNUMBER($A1427)),ROW()-2&lt;Settings!$B$11),NA(),IF(COUNT(OFFSET(G1427,1-Settings!$B$11,0,Settings!$B$11,1))&lt;ROUNDUP(Settings!$B$11*Settings!$B$26,0),NA(),STDEV(OFFSET(G1427,1-Settings!$B$11,0,Settings!$B$11,1))*SQRT(Settings!$B$13)))</f>
        <v/>
      </c>
      <c r="K1427" s="20">
        <f>IF(OR(NOT(ISNUMBER($A1427)),ROW()-2&lt;Settings!$B$12),NA(),IF(COUNT(OFFSET(G1427,1-Settings!$B$12,0,Settings!$B$12,1))&lt;ROUNDUP(Settings!$B$12*Settings!$B$26,0),NA(),STDEV(OFFSET(G1427,1-Settings!$B$12,0,Settings!$B$12,1))*SQRT(Settings!$B$13)))</f>
        <v/>
      </c>
      <c r="L1427" s="20">
        <f>IF(AND(ISNUMBER(D1427),ISNUMBER(H1427)),D1427-H1427,NA())</f>
        <v/>
      </c>
      <c r="M1427" s="20">
        <f>IF(AND(ISNUMBER(E1427),ISNUMBER(K1427)),E1427-K1427,NA())</f>
        <v/>
      </c>
      <c r="N1427" s="20">
        <f>IF(NOT(ISNUMBER($A1427)),NA(),IF(COUNT(OFFSET(G1427,1,0,Settings!$B$12,1))&lt;ROUNDUP(Settings!$B$12*Settings!$B$26,0),NA(),STDEV(OFFSET(G1427,1,0,Settings!$B$12,1))*SQRT(Settings!$B$13)))</f>
        <v/>
      </c>
      <c r="O1427" s="20">
        <f>IF(AND(ISNUMBER(E1427),ISNUMBER(N1427)),E1427-N1427,NA())</f>
        <v/>
      </c>
      <c r="P1427" s="19">
        <f>IF(NOT(ISNUMBER($A1427)),NA(),IF(OR($A1427&lt;MIN(KW_TP!$A$2:$A$2501),$A1427&gt;MAX(KW_TP!$A$2:$A$2501)),NA(),INDEX(KW_TP!$C$2:$C$2501,MATCH($A1427,KW_TP!$A$2:$A$2501,1))))</f>
        <v/>
      </c>
      <c r="Q1427" s="18">
        <f>IF(NOT(ISNUMBER($A1427)),NA(),IFERROR(1*INDEX(BBG_Data!$J$2:$J$4000,MATCH($A1427,BBG_Data!$I$2:$I$4000,0)),NA()))</f>
        <v/>
      </c>
      <c r="R1427" s="18">
        <f>IF(NOT(ISNUMBER($A1427)),NA(),IFERROR(1*INDEX(BBG_Data!$L$2:$L$4000,MATCH($A1427,BBG_Data!$K$2:$K$4000,0)),NA()))</f>
        <v/>
      </c>
      <c r="S1427" s="20">
        <f>IF(AND(ISNUMBER(B1427),ISNUMBER(Q1427),ISNUMBER(R1427)),(B1427-Q1427-R1427)*100,NA())</f>
        <v/>
      </c>
      <c r="T1427" s="20">
        <f>IF(AND(ISNUMBER(B1427),Settings!$B$17&gt;0),IF(ISNUMBER(INDEX($B:$B,Settings!$B$17)),(B1427-INDEX($B:$B,Settings!$B$17))*100,NA()),NA())</f>
        <v/>
      </c>
      <c r="U1427" s="20">
        <f>IF(AND(ISNUMBER(Q1427),Settings!$B$17&gt;0),IF(ISNUMBER(INDEX($Q:$Q,Settings!$B$17)),(Q1427-INDEX($Q:$Q,Settings!$B$17))*100,NA()),NA())</f>
        <v/>
      </c>
      <c r="V1427" s="20">
        <f>IF(AND(ISNUMBER(R1427),Settings!$B$17&gt;0),IF(ISNUMBER(INDEX($R:$R,Settings!$B$17)),(R1427-INDEX($R:$R,Settings!$B$17))*100,NA()),NA())</f>
        <v/>
      </c>
      <c r="W1427" s="20">
        <f>IF(AND(ISNUMBER(P1427),Settings!$B$17&gt;0),IF(ISNUMBER(INDEX($P:$P,Settings!$B$17)),P1427-INDEX($P:$P,Settings!$B$17),NA()),NA())</f>
        <v/>
      </c>
      <c r="X1427" s="19">
        <f>IF(NOT(ISNUMBER($A1427)),NA(),IF(OR($A1427&lt;MIN(DKW_10Y!$A$2:$A$2918),$A1427&gt;MAX(DKW_10Y!$A$2:$A$2918),Settings!$B$16&lt;MIN(DKW_10Y!$A$2:$A$2918)),NA(),(INDEX(DKW_10Y!$B$2:$B$2918,MATCH($A1427,DKW_10Y!$A$2:$A$2918,1))-INDEX(DKW_10Y!$B$2:$B$2918,MATCH(Settings!$B$16,DKW_10Y!$A$2:$A$2918,1)))*100))</f>
        <v/>
      </c>
      <c r="Y1427" s="19">
        <f>IF(NOT(ISNUMBER($A1427)),NA(),IF(OR($A1427&lt;MIN(DKW_10Y!$A$2:$A$2918),$A1427&gt;MAX(DKW_10Y!$A$2:$A$2918),Settings!$B$16&lt;MIN(DKW_10Y!$A$2:$A$2918)),NA(),(INDEX(DKW_10Y!$C$2:$C$2918,MATCH($A1427,DKW_10Y!$A$2:$A$2918,1))-INDEX(DKW_10Y!$C$2:$C$2918,MATCH(Settings!$B$16,DKW_10Y!$A$2:$A$2918,1)))*100))</f>
        <v/>
      </c>
      <c r="Z1427" s="19">
        <f>IF(NOT(ISNUMBER($A1427)),NA(),IF(OR($A1427&lt;MIN(DKW_10Y!$A$2:$A$2918),$A1427&gt;MAX(DKW_10Y!$A$2:$A$2918),Settings!$B$16&lt;MIN(DKW_10Y!$A$2:$A$2918)),NA(),(INDEX(DKW_10Y!$D$2:$D$2918,MATCH($A1427,DKW_10Y!$A$2:$A$2918,1))-INDEX(DKW_10Y!$D$2:$D$2918,MATCH(Settings!$B$16,DKW_10Y!$A$2:$A$2918,1)))*100))</f>
        <v/>
      </c>
      <c r="AA1427" s="19">
        <f>IF(NOT(ISNUMBER($A1427)),NA(),IF(OR($A1427&lt;MIN(DKW_10Y!$A$2:$A$2918),$A1427&gt;MAX(DKW_10Y!$A$2:$A$2918),Settings!$B$16&lt;MIN(DKW_10Y!$A$2:$A$2918)),NA(),(INDEX(DKW_10Y!$E$2:$E$2918,MATCH($A1427,DKW_10Y!$A$2:$A$2918,1))-INDEX(DKW_10Y!$E$2:$E$2918,MATCH(Settings!$B$16,DKW_10Y!$A$2:$A$2918,1)))*100))</f>
        <v/>
      </c>
      <c r="AB1427" s="19">
        <f>IF(NOT(ISNUMBER($A1427)),NA(),IF(OR($A1427&lt;MIN(DKW_10Y!$A$2:$A$2918),$A1427&gt;MAX(DKW_10Y!$A$2:$A$2918),Settings!$B$16&lt;MIN(DKW_10Y!$A$2:$A$2918)),NA(),(INDEX(DKW_10Y!$H$2:$H$2918,MATCH($A1427,DKW_10Y!$A$2:$A$2918,1))-INDEX(DKW_10Y!$H$2:$H$2918,MATCH(Settings!$B$16,DKW_10Y!$A$2:$A$2918,1)))*100))</f>
        <v/>
      </c>
      <c r="AC1427" s="18">
        <f>IF(NOT(ISNUMBER($A1427)),NA(),IFERROR(1*INDEX(BBG_Data!$N$2:$N$4000,MATCH($A1427,BBG_Data!$M$2:$M$4000,0)),NA()))</f>
        <v/>
      </c>
      <c r="AD1427" s="18">
        <f>IF(NOT(ISNUMBER($A1427)),NA(),IFERROR(1*INDEX(BBG_Data!$P$2:$P$4000,MATCH($A1427,BBG_Data!$O$2:$O$4000,0)),NA()))</f>
        <v/>
      </c>
      <c r="AE1427" s="18">
        <f>IF(NOT(ISNUMBER($A1427)),NA(),IFERROR(1*INDEX(BBG_Data!$R$2:$R$4000,MATCH($A1427,BBG_Data!$Q$2:$Q$4000,0)),NA()))</f>
        <v/>
      </c>
      <c r="AF1427" s="20">
        <f>IF(AND(ISNUMBER(B1427),ISNUMBER(AC1427)),(B1427-AC1427)*100,NA())</f>
        <v/>
      </c>
      <c r="AG1427" s="20">
        <f>IF(AND(ISNUMBER(AE1427),ISNUMBER(AD1427)),(AE1427-AD1427)*100,NA())</f>
        <v/>
      </c>
      <c r="AH1427" s="19">
        <f>IF(NOT(ISNUMBER($A1427)),NA(),IFERROR(INDEX(BBG_Data!$T$2:$T$4000,MATCH($A1427,BBG_Data!$S$2:$S$4000,0))*Settings!$B$25,NA()))</f>
        <v/>
      </c>
      <c r="AI1427" s="19">
        <f>IF(NOT(ISNUMBER($A1427)),NA(),IFERROR(INDEX(BBG_Data!$V$2:$V$4000,MATCH($A1427,BBG_Data!$U$2:$U$4000,0))*Settings!$B$25,NA()))</f>
        <v/>
      </c>
      <c r="AJ1427" s="19">
        <f>IF(NOT(ISNUMBER($A1427)),NA(),IFERROR(1*INDEX(BBG_Data!$X$2:$X$4000,MATCH($A1427,BBG_Data!$W$2:$W$4000,0)),NA()))</f>
        <v/>
      </c>
      <c r="AK1427" s="19">
        <f>IF(NOT(ISNUMBER($A1427)),NA(),IFERROR(1*INDEX(BBG_Data!$Z$2:$Z$4000,MATCH($A1427,BBG_Data!$Y$2:$Y$4000,0)),NA()))</f>
        <v/>
      </c>
    </row>
    <row r="1428">
      <c r="A1428" s="17">
        <f>IF(ISNUMBER(BBG_Data!A1428),BBG_Data!A1428,"")</f>
        <v/>
      </c>
      <c r="B1428" s="18">
        <f>IF(AND(ISNUMBER($A1428),ISNUMBER(BBG_Data!B1428)),BBG_Data!B1428,NA())</f>
        <v/>
      </c>
      <c r="C1428" s="18">
        <f>IF(NOT(ISNUMBER($A1428)),NA(),IFERROR(1*INDEX(BBG_Data!$D$2:$D$4000,MATCH($A1428,BBG_Data!$C$2:$C$4000,0)),NA()))</f>
        <v/>
      </c>
      <c r="D1428" s="19">
        <f>IF(NOT(ISNUMBER($A1428)),NA(),IFERROR(1*INDEX(BBG_Data!$F$2:$F$4000,MATCH($A1428,BBG_Data!$E$2:$E$4000,0)),NA()))</f>
        <v/>
      </c>
      <c r="E1428" s="19">
        <f>IF(NOT(ISNUMBER($A1428)),NA(),IFERROR(1*INDEX(BBG_Data!$H$2:$H$4000,MATCH($A1428,BBG_Data!$G$2:$G$4000,0)),NA()))</f>
        <v/>
      </c>
      <c r="F1428" s="20">
        <f>IF(AND(ISNUMBER(B1428),ISNUMBER(B1427)),IF(B1428=B1427,"",(B1428-B1427)*100),"")</f>
        <v/>
      </c>
      <c r="G1428" s="20">
        <f>IF(AND(ISNUMBER(C1428),ISNUMBER(C1427)),IF(C1428=C1427,"",(C1428-C1427)*100),"")</f>
        <v/>
      </c>
      <c r="H1428" s="20">
        <f>IF(OR(NOT(ISNUMBER($A1428)),ROW()-2&lt;Settings!$B$11),NA(),IF(COUNT(OFFSET(F1428,1-Settings!$B$11,0,Settings!$B$11,1))&lt;ROUNDUP(Settings!$B$11*Settings!$B$26,0),NA(),STDEV(OFFSET(F1428,1-Settings!$B$11,0,Settings!$B$11,1))*SQRT(Settings!$B$13)))</f>
        <v/>
      </c>
      <c r="I1428" s="20">
        <f>IF(OR(NOT(ISNUMBER($A1428)),ROW()-2&lt;Settings!$B$12),NA(),IF(COUNT(OFFSET(F1428,1-Settings!$B$12,0,Settings!$B$12,1))&lt;ROUNDUP(Settings!$B$12*Settings!$B$26,0),NA(),STDEV(OFFSET(F1428,1-Settings!$B$12,0,Settings!$B$12,1))*SQRT(Settings!$B$13)))</f>
        <v/>
      </c>
      <c r="J1428" s="20">
        <f>IF(OR(NOT(ISNUMBER($A1428)),ROW()-2&lt;Settings!$B$11),NA(),IF(COUNT(OFFSET(G1428,1-Settings!$B$11,0,Settings!$B$11,1))&lt;ROUNDUP(Settings!$B$11*Settings!$B$26,0),NA(),STDEV(OFFSET(G1428,1-Settings!$B$11,0,Settings!$B$11,1))*SQRT(Settings!$B$13)))</f>
        <v/>
      </c>
      <c r="K1428" s="20">
        <f>IF(OR(NOT(ISNUMBER($A1428)),ROW()-2&lt;Settings!$B$12),NA(),IF(COUNT(OFFSET(G1428,1-Settings!$B$12,0,Settings!$B$12,1))&lt;ROUNDUP(Settings!$B$12*Settings!$B$26,0),NA(),STDEV(OFFSET(G1428,1-Settings!$B$12,0,Settings!$B$12,1))*SQRT(Settings!$B$13)))</f>
        <v/>
      </c>
      <c r="L1428" s="20">
        <f>IF(AND(ISNUMBER(D1428),ISNUMBER(H1428)),D1428-H1428,NA())</f>
        <v/>
      </c>
      <c r="M1428" s="20">
        <f>IF(AND(ISNUMBER(E1428),ISNUMBER(K1428)),E1428-K1428,NA())</f>
        <v/>
      </c>
      <c r="N1428" s="20">
        <f>IF(NOT(ISNUMBER($A1428)),NA(),IF(COUNT(OFFSET(G1428,1,0,Settings!$B$12,1))&lt;ROUNDUP(Settings!$B$12*Settings!$B$26,0),NA(),STDEV(OFFSET(G1428,1,0,Settings!$B$12,1))*SQRT(Settings!$B$13)))</f>
        <v/>
      </c>
      <c r="O1428" s="20">
        <f>IF(AND(ISNUMBER(E1428),ISNUMBER(N1428)),E1428-N1428,NA())</f>
        <v/>
      </c>
      <c r="P1428" s="19">
        <f>IF(NOT(ISNUMBER($A1428)),NA(),IF(OR($A1428&lt;MIN(KW_TP!$A$2:$A$2501),$A1428&gt;MAX(KW_TP!$A$2:$A$2501)),NA(),INDEX(KW_TP!$C$2:$C$2501,MATCH($A1428,KW_TP!$A$2:$A$2501,1))))</f>
        <v/>
      </c>
      <c r="Q1428" s="18">
        <f>IF(NOT(ISNUMBER($A1428)),NA(),IFERROR(1*INDEX(BBG_Data!$J$2:$J$4000,MATCH($A1428,BBG_Data!$I$2:$I$4000,0)),NA()))</f>
        <v/>
      </c>
      <c r="R1428" s="18">
        <f>IF(NOT(ISNUMBER($A1428)),NA(),IFERROR(1*INDEX(BBG_Data!$L$2:$L$4000,MATCH($A1428,BBG_Data!$K$2:$K$4000,0)),NA()))</f>
        <v/>
      </c>
      <c r="S1428" s="20">
        <f>IF(AND(ISNUMBER(B1428),ISNUMBER(Q1428),ISNUMBER(R1428)),(B1428-Q1428-R1428)*100,NA())</f>
        <v/>
      </c>
      <c r="T1428" s="20">
        <f>IF(AND(ISNUMBER(B1428),Settings!$B$17&gt;0),IF(ISNUMBER(INDEX($B:$B,Settings!$B$17)),(B1428-INDEX($B:$B,Settings!$B$17))*100,NA()),NA())</f>
        <v/>
      </c>
      <c r="U1428" s="20">
        <f>IF(AND(ISNUMBER(Q1428),Settings!$B$17&gt;0),IF(ISNUMBER(INDEX($Q:$Q,Settings!$B$17)),(Q1428-INDEX($Q:$Q,Settings!$B$17))*100,NA()),NA())</f>
        <v/>
      </c>
      <c r="V1428" s="20">
        <f>IF(AND(ISNUMBER(R1428),Settings!$B$17&gt;0),IF(ISNUMBER(INDEX($R:$R,Settings!$B$17)),(R1428-INDEX($R:$R,Settings!$B$17))*100,NA()),NA())</f>
        <v/>
      </c>
      <c r="W1428" s="20">
        <f>IF(AND(ISNUMBER(P1428),Settings!$B$17&gt;0),IF(ISNUMBER(INDEX($P:$P,Settings!$B$17)),P1428-INDEX($P:$P,Settings!$B$17),NA()),NA())</f>
        <v/>
      </c>
      <c r="X1428" s="19">
        <f>IF(NOT(ISNUMBER($A1428)),NA(),IF(OR($A1428&lt;MIN(DKW_10Y!$A$2:$A$2918),$A1428&gt;MAX(DKW_10Y!$A$2:$A$2918),Settings!$B$16&lt;MIN(DKW_10Y!$A$2:$A$2918)),NA(),(INDEX(DKW_10Y!$B$2:$B$2918,MATCH($A1428,DKW_10Y!$A$2:$A$2918,1))-INDEX(DKW_10Y!$B$2:$B$2918,MATCH(Settings!$B$16,DKW_10Y!$A$2:$A$2918,1)))*100))</f>
        <v/>
      </c>
      <c r="Y1428" s="19">
        <f>IF(NOT(ISNUMBER($A1428)),NA(),IF(OR($A1428&lt;MIN(DKW_10Y!$A$2:$A$2918),$A1428&gt;MAX(DKW_10Y!$A$2:$A$2918),Settings!$B$16&lt;MIN(DKW_10Y!$A$2:$A$2918)),NA(),(INDEX(DKW_10Y!$C$2:$C$2918,MATCH($A1428,DKW_10Y!$A$2:$A$2918,1))-INDEX(DKW_10Y!$C$2:$C$2918,MATCH(Settings!$B$16,DKW_10Y!$A$2:$A$2918,1)))*100))</f>
        <v/>
      </c>
      <c r="Z1428" s="19">
        <f>IF(NOT(ISNUMBER($A1428)),NA(),IF(OR($A1428&lt;MIN(DKW_10Y!$A$2:$A$2918),$A1428&gt;MAX(DKW_10Y!$A$2:$A$2918),Settings!$B$16&lt;MIN(DKW_10Y!$A$2:$A$2918)),NA(),(INDEX(DKW_10Y!$D$2:$D$2918,MATCH($A1428,DKW_10Y!$A$2:$A$2918,1))-INDEX(DKW_10Y!$D$2:$D$2918,MATCH(Settings!$B$16,DKW_10Y!$A$2:$A$2918,1)))*100))</f>
        <v/>
      </c>
      <c r="AA1428" s="19">
        <f>IF(NOT(ISNUMBER($A1428)),NA(),IF(OR($A1428&lt;MIN(DKW_10Y!$A$2:$A$2918),$A1428&gt;MAX(DKW_10Y!$A$2:$A$2918),Settings!$B$16&lt;MIN(DKW_10Y!$A$2:$A$2918)),NA(),(INDEX(DKW_10Y!$E$2:$E$2918,MATCH($A1428,DKW_10Y!$A$2:$A$2918,1))-INDEX(DKW_10Y!$E$2:$E$2918,MATCH(Settings!$B$16,DKW_10Y!$A$2:$A$2918,1)))*100))</f>
        <v/>
      </c>
      <c r="AB1428" s="19">
        <f>IF(NOT(ISNUMBER($A1428)),NA(),IF(OR($A1428&lt;MIN(DKW_10Y!$A$2:$A$2918),$A1428&gt;MAX(DKW_10Y!$A$2:$A$2918),Settings!$B$16&lt;MIN(DKW_10Y!$A$2:$A$2918)),NA(),(INDEX(DKW_10Y!$H$2:$H$2918,MATCH($A1428,DKW_10Y!$A$2:$A$2918,1))-INDEX(DKW_10Y!$H$2:$H$2918,MATCH(Settings!$B$16,DKW_10Y!$A$2:$A$2918,1)))*100))</f>
        <v/>
      </c>
      <c r="AC1428" s="18">
        <f>IF(NOT(ISNUMBER($A1428)),NA(),IFERROR(1*INDEX(BBG_Data!$N$2:$N$4000,MATCH($A1428,BBG_Data!$M$2:$M$4000,0)),NA()))</f>
        <v/>
      </c>
      <c r="AD1428" s="18">
        <f>IF(NOT(ISNUMBER($A1428)),NA(),IFERROR(1*INDEX(BBG_Data!$P$2:$P$4000,MATCH($A1428,BBG_Data!$O$2:$O$4000,0)),NA()))</f>
        <v/>
      </c>
      <c r="AE1428" s="18">
        <f>IF(NOT(ISNUMBER($A1428)),NA(),IFERROR(1*INDEX(BBG_Data!$R$2:$R$4000,MATCH($A1428,BBG_Data!$Q$2:$Q$4000,0)),NA()))</f>
        <v/>
      </c>
      <c r="AF1428" s="20">
        <f>IF(AND(ISNUMBER(B1428),ISNUMBER(AC1428)),(B1428-AC1428)*100,NA())</f>
        <v/>
      </c>
      <c r="AG1428" s="20">
        <f>IF(AND(ISNUMBER(AE1428),ISNUMBER(AD1428)),(AE1428-AD1428)*100,NA())</f>
        <v/>
      </c>
      <c r="AH1428" s="19">
        <f>IF(NOT(ISNUMBER($A1428)),NA(),IFERROR(INDEX(BBG_Data!$T$2:$T$4000,MATCH($A1428,BBG_Data!$S$2:$S$4000,0))*Settings!$B$25,NA()))</f>
        <v/>
      </c>
      <c r="AI1428" s="19">
        <f>IF(NOT(ISNUMBER($A1428)),NA(),IFERROR(INDEX(BBG_Data!$V$2:$V$4000,MATCH($A1428,BBG_Data!$U$2:$U$4000,0))*Settings!$B$25,NA()))</f>
        <v/>
      </c>
      <c r="AJ1428" s="19">
        <f>IF(NOT(ISNUMBER($A1428)),NA(),IFERROR(1*INDEX(BBG_Data!$X$2:$X$4000,MATCH($A1428,BBG_Data!$W$2:$W$4000,0)),NA()))</f>
        <v/>
      </c>
      <c r="AK1428" s="19">
        <f>IF(NOT(ISNUMBER($A1428)),NA(),IFERROR(1*INDEX(BBG_Data!$Z$2:$Z$4000,MATCH($A1428,BBG_Data!$Y$2:$Y$4000,0)),NA()))</f>
        <v/>
      </c>
    </row>
    <row r="1429">
      <c r="A1429" s="17">
        <f>IF(ISNUMBER(BBG_Data!A1429),BBG_Data!A1429,"")</f>
        <v/>
      </c>
      <c r="B1429" s="18">
        <f>IF(AND(ISNUMBER($A1429),ISNUMBER(BBG_Data!B1429)),BBG_Data!B1429,NA())</f>
        <v/>
      </c>
      <c r="C1429" s="18">
        <f>IF(NOT(ISNUMBER($A1429)),NA(),IFERROR(1*INDEX(BBG_Data!$D$2:$D$4000,MATCH($A1429,BBG_Data!$C$2:$C$4000,0)),NA()))</f>
        <v/>
      </c>
      <c r="D1429" s="19">
        <f>IF(NOT(ISNUMBER($A1429)),NA(),IFERROR(1*INDEX(BBG_Data!$F$2:$F$4000,MATCH($A1429,BBG_Data!$E$2:$E$4000,0)),NA()))</f>
        <v/>
      </c>
      <c r="E1429" s="19">
        <f>IF(NOT(ISNUMBER($A1429)),NA(),IFERROR(1*INDEX(BBG_Data!$H$2:$H$4000,MATCH($A1429,BBG_Data!$G$2:$G$4000,0)),NA()))</f>
        <v/>
      </c>
      <c r="F1429" s="20">
        <f>IF(AND(ISNUMBER(B1429),ISNUMBER(B1428)),IF(B1429=B1428,"",(B1429-B1428)*100),"")</f>
        <v/>
      </c>
      <c r="G1429" s="20">
        <f>IF(AND(ISNUMBER(C1429),ISNUMBER(C1428)),IF(C1429=C1428,"",(C1429-C1428)*100),"")</f>
        <v/>
      </c>
      <c r="H1429" s="20">
        <f>IF(OR(NOT(ISNUMBER($A1429)),ROW()-2&lt;Settings!$B$11),NA(),IF(COUNT(OFFSET(F1429,1-Settings!$B$11,0,Settings!$B$11,1))&lt;ROUNDUP(Settings!$B$11*Settings!$B$26,0),NA(),STDEV(OFFSET(F1429,1-Settings!$B$11,0,Settings!$B$11,1))*SQRT(Settings!$B$13)))</f>
        <v/>
      </c>
      <c r="I1429" s="20">
        <f>IF(OR(NOT(ISNUMBER($A1429)),ROW()-2&lt;Settings!$B$12),NA(),IF(COUNT(OFFSET(F1429,1-Settings!$B$12,0,Settings!$B$12,1))&lt;ROUNDUP(Settings!$B$12*Settings!$B$26,0),NA(),STDEV(OFFSET(F1429,1-Settings!$B$12,0,Settings!$B$12,1))*SQRT(Settings!$B$13)))</f>
        <v/>
      </c>
      <c r="J1429" s="20">
        <f>IF(OR(NOT(ISNUMBER($A1429)),ROW()-2&lt;Settings!$B$11),NA(),IF(COUNT(OFFSET(G1429,1-Settings!$B$11,0,Settings!$B$11,1))&lt;ROUNDUP(Settings!$B$11*Settings!$B$26,0),NA(),STDEV(OFFSET(G1429,1-Settings!$B$11,0,Settings!$B$11,1))*SQRT(Settings!$B$13)))</f>
        <v/>
      </c>
      <c r="K1429" s="20">
        <f>IF(OR(NOT(ISNUMBER($A1429)),ROW()-2&lt;Settings!$B$12),NA(),IF(COUNT(OFFSET(G1429,1-Settings!$B$12,0,Settings!$B$12,1))&lt;ROUNDUP(Settings!$B$12*Settings!$B$26,0),NA(),STDEV(OFFSET(G1429,1-Settings!$B$12,0,Settings!$B$12,1))*SQRT(Settings!$B$13)))</f>
        <v/>
      </c>
      <c r="L1429" s="20">
        <f>IF(AND(ISNUMBER(D1429),ISNUMBER(H1429)),D1429-H1429,NA())</f>
        <v/>
      </c>
      <c r="M1429" s="20">
        <f>IF(AND(ISNUMBER(E1429),ISNUMBER(K1429)),E1429-K1429,NA())</f>
        <v/>
      </c>
      <c r="N1429" s="20">
        <f>IF(NOT(ISNUMBER($A1429)),NA(),IF(COUNT(OFFSET(G1429,1,0,Settings!$B$12,1))&lt;ROUNDUP(Settings!$B$12*Settings!$B$26,0),NA(),STDEV(OFFSET(G1429,1,0,Settings!$B$12,1))*SQRT(Settings!$B$13)))</f>
        <v/>
      </c>
      <c r="O1429" s="20">
        <f>IF(AND(ISNUMBER(E1429),ISNUMBER(N1429)),E1429-N1429,NA())</f>
        <v/>
      </c>
      <c r="P1429" s="19">
        <f>IF(NOT(ISNUMBER($A1429)),NA(),IF(OR($A1429&lt;MIN(KW_TP!$A$2:$A$2501),$A1429&gt;MAX(KW_TP!$A$2:$A$2501)),NA(),INDEX(KW_TP!$C$2:$C$2501,MATCH($A1429,KW_TP!$A$2:$A$2501,1))))</f>
        <v/>
      </c>
      <c r="Q1429" s="18">
        <f>IF(NOT(ISNUMBER($A1429)),NA(),IFERROR(1*INDEX(BBG_Data!$J$2:$J$4000,MATCH($A1429,BBG_Data!$I$2:$I$4000,0)),NA()))</f>
        <v/>
      </c>
      <c r="R1429" s="18">
        <f>IF(NOT(ISNUMBER($A1429)),NA(),IFERROR(1*INDEX(BBG_Data!$L$2:$L$4000,MATCH($A1429,BBG_Data!$K$2:$K$4000,0)),NA()))</f>
        <v/>
      </c>
      <c r="S1429" s="20">
        <f>IF(AND(ISNUMBER(B1429),ISNUMBER(Q1429),ISNUMBER(R1429)),(B1429-Q1429-R1429)*100,NA())</f>
        <v/>
      </c>
      <c r="T1429" s="20">
        <f>IF(AND(ISNUMBER(B1429),Settings!$B$17&gt;0),IF(ISNUMBER(INDEX($B:$B,Settings!$B$17)),(B1429-INDEX($B:$B,Settings!$B$17))*100,NA()),NA())</f>
        <v/>
      </c>
      <c r="U1429" s="20">
        <f>IF(AND(ISNUMBER(Q1429),Settings!$B$17&gt;0),IF(ISNUMBER(INDEX($Q:$Q,Settings!$B$17)),(Q1429-INDEX($Q:$Q,Settings!$B$17))*100,NA()),NA())</f>
        <v/>
      </c>
      <c r="V1429" s="20">
        <f>IF(AND(ISNUMBER(R1429),Settings!$B$17&gt;0),IF(ISNUMBER(INDEX($R:$R,Settings!$B$17)),(R1429-INDEX($R:$R,Settings!$B$17))*100,NA()),NA())</f>
        <v/>
      </c>
      <c r="W1429" s="20">
        <f>IF(AND(ISNUMBER(P1429),Settings!$B$17&gt;0),IF(ISNUMBER(INDEX($P:$P,Settings!$B$17)),P1429-INDEX($P:$P,Settings!$B$17),NA()),NA())</f>
        <v/>
      </c>
      <c r="X1429" s="19">
        <f>IF(NOT(ISNUMBER($A1429)),NA(),IF(OR($A1429&lt;MIN(DKW_10Y!$A$2:$A$2918),$A1429&gt;MAX(DKW_10Y!$A$2:$A$2918),Settings!$B$16&lt;MIN(DKW_10Y!$A$2:$A$2918)),NA(),(INDEX(DKW_10Y!$B$2:$B$2918,MATCH($A1429,DKW_10Y!$A$2:$A$2918,1))-INDEX(DKW_10Y!$B$2:$B$2918,MATCH(Settings!$B$16,DKW_10Y!$A$2:$A$2918,1)))*100))</f>
        <v/>
      </c>
      <c r="Y1429" s="19">
        <f>IF(NOT(ISNUMBER($A1429)),NA(),IF(OR($A1429&lt;MIN(DKW_10Y!$A$2:$A$2918),$A1429&gt;MAX(DKW_10Y!$A$2:$A$2918),Settings!$B$16&lt;MIN(DKW_10Y!$A$2:$A$2918)),NA(),(INDEX(DKW_10Y!$C$2:$C$2918,MATCH($A1429,DKW_10Y!$A$2:$A$2918,1))-INDEX(DKW_10Y!$C$2:$C$2918,MATCH(Settings!$B$16,DKW_10Y!$A$2:$A$2918,1)))*100))</f>
        <v/>
      </c>
      <c r="Z1429" s="19">
        <f>IF(NOT(ISNUMBER($A1429)),NA(),IF(OR($A1429&lt;MIN(DKW_10Y!$A$2:$A$2918),$A1429&gt;MAX(DKW_10Y!$A$2:$A$2918),Settings!$B$16&lt;MIN(DKW_10Y!$A$2:$A$2918)),NA(),(INDEX(DKW_10Y!$D$2:$D$2918,MATCH($A1429,DKW_10Y!$A$2:$A$2918,1))-INDEX(DKW_10Y!$D$2:$D$2918,MATCH(Settings!$B$16,DKW_10Y!$A$2:$A$2918,1)))*100))</f>
        <v/>
      </c>
      <c r="AA1429" s="19">
        <f>IF(NOT(ISNUMBER($A1429)),NA(),IF(OR($A1429&lt;MIN(DKW_10Y!$A$2:$A$2918),$A1429&gt;MAX(DKW_10Y!$A$2:$A$2918),Settings!$B$16&lt;MIN(DKW_10Y!$A$2:$A$2918)),NA(),(INDEX(DKW_10Y!$E$2:$E$2918,MATCH($A1429,DKW_10Y!$A$2:$A$2918,1))-INDEX(DKW_10Y!$E$2:$E$2918,MATCH(Settings!$B$16,DKW_10Y!$A$2:$A$2918,1)))*100))</f>
        <v/>
      </c>
      <c r="AB1429" s="19">
        <f>IF(NOT(ISNUMBER($A1429)),NA(),IF(OR($A1429&lt;MIN(DKW_10Y!$A$2:$A$2918),$A1429&gt;MAX(DKW_10Y!$A$2:$A$2918),Settings!$B$16&lt;MIN(DKW_10Y!$A$2:$A$2918)),NA(),(INDEX(DKW_10Y!$H$2:$H$2918,MATCH($A1429,DKW_10Y!$A$2:$A$2918,1))-INDEX(DKW_10Y!$H$2:$H$2918,MATCH(Settings!$B$16,DKW_10Y!$A$2:$A$2918,1)))*100))</f>
        <v/>
      </c>
      <c r="AC1429" s="18">
        <f>IF(NOT(ISNUMBER($A1429)),NA(),IFERROR(1*INDEX(BBG_Data!$N$2:$N$4000,MATCH($A1429,BBG_Data!$M$2:$M$4000,0)),NA()))</f>
        <v/>
      </c>
      <c r="AD1429" s="18">
        <f>IF(NOT(ISNUMBER($A1429)),NA(),IFERROR(1*INDEX(BBG_Data!$P$2:$P$4000,MATCH($A1429,BBG_Data!$O$2:$O$4000,0)),NA()))</f>
        <v/>
      </c>
      <c r="AE1429" s="18">
        <f>IF(NOT(ISNUMBER($A1429)),NA(),IFERROR(1*INDEX(BBG_Data!$R$2:$R$4000,MATCH($A1429,BBG_Data!$Q$2:$Q$4000,0)),NA()))</f>
        <v/>
      </c>
      <c r="AF1429" s="20">
        <f>IF(AND(ISNUMBER(B1429),ISNUMBER(AC1429)),(B1429-AC1429)*100,NA())</f>
        <v/>
      </c>
      <c r="AG1429" s="20">
        <f>IF(AND(ISNUMBER(AE1429),ISNUMBER(AD1429)),(AE1429-AD1429)*100,NA())</f>
        <v/>
      </c>
      <c r="AH1429" s="19">
        <f>IF(NOT(ISNUMBER($A1429)),NA(),IFERROR(INDEX(BBG_Data!$T$2:$T$4000,MATCH($A1429,BBG_Data!$S$2:$S$4000,0))*Settings!$B$25,NA()))</f>
        <v/>
      </c>
      <c r="AI1429" s="19">
        <f>IF(NOT(ISNUMBER($A1429)),NA(),IFERROR(INDEX(BBG_Data!$V$2:$V$4000,MATCH($A1429,BBG_Data!$U$2:$U$4000,0))*Settings!$B$25,NA()))</f>
        <v/>
      </c>
      <c r="AJ1429" s="19">
        <f>IF(NOT(ISNUMBER($A1429)),NA(),IFERROR(1*INDEX(BBG_Data!$X$2:$X$4000,MATCH($A1429,BBG_Data!$W$2:$W$4000,0)),NA()))</f>
        <v/>
      </c>
      <c r="AK1429" s="19">
        <f>IF(NOT(ISNUMBER($A1429)),NA(),IFERROR(1*INDEX(BBG_Data!$Z$2:$Z$4000,MATCH($A1429,BBG_Data!$Y$2:$Y$4000,0)),NA()))</f>
        <v/>
      </c>
    </row>
    <row r="1430">
      <c r="A1430" s="17">
        <f>IF(ISNUMBER(BBG_Data!A1430),BBG_Data!A1430,"")</f>
        <v/>
      </c>
      <c r="B1430" s="18">
        <f>IF(AND(ISNUMBER($A1430),ISNUMBER(BBG_Data!B1430)),BBG_Data!B1430,NA())</f>
        <v/>
      </c>
      <c r="C1430" s="18">
        <f>IF(NOT(ISNUMBER($A1430)),NA(),IFERROR(1*INDEX(BBG_Data!$D$2:$D$4000,MATCH($A1430,BBG_Data!$C$2:$C$4000,0)),NA()))</f>
        <v/>
      </c>
      <c r="D1430" s="19">
        <f>IF(NOT(ISNUMBER($A1430)),NA(),IFERROR(1*INDEX(BBG_Data!$F$2:$F$4000,MATCH($A1430,BBG_Data!$E$2:$E$4000,0)),NA()))</f>
        <v/>
      </c>
      <c r="E1430" s="19">
        <f>IF(NOT(ISNUMBER($A1430)),NA(),IFERROR(1*INDEX(BBG_Data!$H$2:$H$4000,MATCH($A1430,BBG_Data!$G$2:$G$4000,0)),NA()))</f>
        <v/>
      </c>
      <c r="F1430" s="20">
        <f>IF(AND(ISNUMBER(B1430),ISNUMBER(B1429)),IF(B1430=B1429,"",(B1430-B1429)*100),"")</f>
        <v/>
      </c>
      <c r="G1430" s="20">
        <f>IF(AND(ISNUMBER(C1430),ISNUMBER(C1429)),IF(C1430=C1429,"",(C1430-C1429)*100),"")</f>
        <v/>
      </c>
      <c r="H1430" s="20">
        <f>IF(OR(NOT(ISNUMBER($A1430)),ROW()-2&lt;Settings!$B$11),NA(),IF(COUNT(OFFSET(F1430,1-Settings!$B$11,0,Settings!$B$11,1))&lt;ROUNDUP(Settings!$B$11*Settings!$B$26,0),NA(),STDEV(OFFSET(F1430,1-Settings!$B$11,0,Settings!$B$11,1))*SQRT(Settings!$B$13)))</f>
        <v/>
      </c>
      <c r="I1430" s="20">
        <f>IF(OR(NOT(ISNUMBER($A1430)),ROW()-2&lt;Settings!$B$12),NA(),IF(COUNT(OFFSET(F1430,1-Settings!$B$12,0,Settings!$B$12,1))&lt;ROUNDUP(Settings!$B$12*Settings!$B$26,0),NA(),STDEV(OFFSET(F1430,1-Settings!$B$12,0,Settings!$B$12,1))*SQRT(Settings!$B$13)))</f>
        <v/>
      </c>
      <c r="J1430" s="20">
        <f>IF(OR(NOT(ISNUMBER($A1430)),ROW()-2&lt;Settings!$B$11),NA(),IF(COUNT(OFFSET(G1430,1-Settings!$B$11,0,Settings!$B$11,1))&lt;ROUNDUP(Settings!$B$11*Settings!$B$26,0),NA(),STDEV(OFFSET(G1430,1-Settings!$B$11,0,Settings!$B$11,1))*SQRT(Settings!$B$13)))</f>
        <v/>
      </c>
      <c r="K1430" s="20">
        <f>IF(OR(NOT(ISNUMBER($A1430)),ROW()-2&lt;Settings!$B$12),NA(),IF(COUNT(OFFSET(G1430,1-Settings!$B$12,0,Settings!$B$12,1))&lt;ROUNDUP(Settings!$B$12*Settings!$B$26,0),NA(),STDEV(OFFSET(G1430,1-Settings!$B$12,0,Settings!$B$12,1))*SQRT(Settings!$B$13)))</f>
        <v/>
      </c>
      <c r="L1430" s="20">
        <f>IF(AND(ISNUMBER(D1430),ISNUMBER(H1430)),D1430-H1430,NA())</f>
        <v/>
      </c>
      <c r="M1430" s="20">
        <f>IF(AND(ISNUMBER(E1430),ISNUMBER(K1430)),E1430-K1430,NA())</f>
        <v/>
      </c>
      <c r="N1430" s="20">
        <f>IF(NOT(ISNUMBER($A1430)),NA(),IF(COUNT(OFFSET(G1430,1,0,Settings!$B$12,1))&lt;ROUNDUP(Settings!$B$12*Settings!$B$26,0),NA(),STDEV(OFFSET(G1430,1,0,Settings!$B$12,1))*SQRT(Settings!$B$13)))</f>
        <v/>
      </c>
      <c r="O1430" s="20">
        <f>IF(AND(ISNUMBER(E1430),ISNUMBER(N1430)),E1430-N1430,NA())</f>
        <v/>
      </c>
      <c r="P1430" s="19">
        <f>IF(NOT(ISNUMBER($A1430)),NA(),IF(OR($A1430&lt;MIN(KW_TP!$A$2:$A$2501),$A1430&gt;MAX(KW_TP!$A$2:$A$2501)),NA(),INDEX(KW_TP!$C$2:$C$2501,MATCH($A1430,KW_TP!$A$2:$A$2501,1))))</f>
        <v/>
      </c>
      <c r="Q1430" s="18">
        <f>IF(NOT(ISNUMBER($A1430)),NA(),IFERROR(1*INDEX(BBG_Data!$J$2:$J$4000,MATCH($A1430,BBG_Data!$I$2:$I$4000,0)),NA()))</f>
        <v/>
      </c>
      <c r="R1430" s="18">
        <f>IF(NOT(ISNUMBER($A1430)),NA(),IFERROR(1*INDEX(BBG_Data!$L$2:$L$4000,MATCH($A1430,BBG_Data!$K$2:$K$4000,0)),NA()))</f>
        <v/>
      </c>
      <c r="S1430" s="20">
        <f>IF(AND(ISNUMBER(B1430),ISNUMBER(Q1430),ISNUMBER(R1430)),(B1430-Q1430-R1430)*100,NA())</f>
        <v/>
      </c>
      <c r="T1430" s="20">
        <f>IF(AND(ISNUMBER(B1430),Settings!$B$17&gt;0),IF(ISNUMBER(INDEX($B:$B,Settings!$B$17)),(B1430-INDEX($B:$B,Settings!$B$17))*100,NA()),NA())</f>
        <v/>
      </c>
      <c r="U1430" s="20">
        <f>IF(AND(ISNUMBER(Q1430),Settings!$B$17&gt;0),IF(ISNUMBER(INDEX($Q:$Q,Settings!$B$17)),(Q1430-INDEX($Q:$Q,Settings!$B$17))*100,NA()),NA())</f>
        <v/>
      </c>
      <c r="V1430" s="20">
        <f>IF(AND(ISNUMBER(R1430),Settings!$B$17&gt;0),IF(ISNUMBER(INDEX($R:$R,Settings!$B$17)),(R1430-INDEX($R:$R,Settings!$B$17))*100,NA()),NA())</f>
        <v/>
      </c>
      <c r="W1430" s="20">
        <f>IF(AND(ISNUMBER(P1430),Settings!$B$17&gt;0),IF(ISNUMBER(INDEX($P:$P,Settings!$B$17)),P1430-INDEX($P:$P,Settings!$B$17),NA()),NA())</f>
        <v/>
      </c>
      <c r="X1430" s="19">
        <f>IF(NOT(ISNUMBER($A1430)),NA(),IF(OR($A1430&lt;MIN(DKW_10Y!$A$2:$A$2918),$A1430&gt;MAX(DKW_10Y!$A$2:$A$2918),Settings!$B$16&lt;MIN(DKW_10Y!$A$2:$A$2918)),NA(),(INDEX(DKW_10Y!$B$2:$B$2918,MATCH($A1430,DKW_10Y!$A$2:$A$2918,1))-INDEX(DKW_10Y!$B$2:$B$2918,MATCH(Settings!$B$16,DKW_10Y!$A$2:$A$2918,1)))*100))</f>
        <v/>
      </c>
      <c r="Y1430" s="19">
        <f>IF(NOT(ISNUMBER($A1430)),NA(),IF(OR($A1430&lt;MIN(DKW_10Y!$A$2:$A$2918),$A1430&gt;MAX(DKW_10Y!$A$2:$A$2918),Settings!$B$16&lt;MIN(DKW_10Y!$A$2:$A$2918)),NA(),(INDEX(DKW_10Y!$C$2:$C$2918,MATCH($A1430,DKW_10Y!$A$2:$A$2918,1))-INDEX(DKW_10Y!$C$2:$C$2918,MATCH(Settings!$B$16,DKW_10Y!$A$2:$A$2918,1)))*100))</f>
        <v/>
      </c>
      <c r="Z1430" s="19">
        <f>IF(NOT(ISNUMBER($A1430)),NA(),IF(OR($A1430&lt;MIN(DKW_10Y!$A$2:$A$2918),$A1430&gt;MAX(DKW_10Y!$A$2:$A$2918),Settings!$B$16&lt;MIN(DKW_10Y!$A$2:$A$2918)),NA(),(INDEX(DKW_10Y!$D$2:$D$2918,MATCH($A1430,DKW_10Y!$A$2:$A$2918,1))-INDEX(DKW_10Y!$D$2:$D$2918,MATCH(Settings!$B$16,DKW_10Y!$A$2:$A$2918,1)))*100))</f>
        <v/>
      </c>
      <c r="AA1430" s="19">
        <f>IF(NOT(ISNUMBER($A1430)),NA(),IF(OR($A1430&lt;MIN(DKW_10Y!$A$2:$A$2918),$A1430&gt;MAX(DKW_10Y!$A$2:$A$2918),Settings!$B$16&lt;MIN(DKW_10Y!$A$2:$A$2918)),NA(),(INDEX(DKW_10Y!$E$2:$E$2918,MATCH($A1430,DKW_10Y!$A$2:$A$2918,1))-INDEX(DKW_10Y!$E$2:$E$2918,MATCH(Settings!$B$16,DKW_10Y!$A$2:$A$2918,1)))*100))</f>
        <v/>
      </c>
      <c r="AB1430" s="19">
        <f>IF(NOT(ISNUMBER($A1430)),NA(),IF(OR($A1430&lt;MIN(DKW_10Y!$A$2:$A$2918),$A1430&gt;MAX(DKW_10Y!$A$2:$A$2918),Settings!$B$16&lt;MIN(DKW_10Y!$A$2:$A$2918)),NA(),(INDEX(DKW_10Y!$H$2:$H$2918,MATCH($A1430,DKW_10Y!$A$2:$A$2918,1))-INDEX(DKW_10Y!$H$2:$H$2918,MATCH(Settings!$B$16,DKW_10Y!$A$2:$A$2918,1)))*100))</f>
        <v/>
      </c>
      <c r="AC1430" s="18">
        <f>IF(NOT(ISNUMBER($A1430)),NA(),IFERROR(1*INDEX(BBG_Data!$N$2:$N$4000,MATCH($A1430,BBG_Data!$M$2:$M$4000,0)),NA()))</f>
        <v/>
      </c>
      <c r="AD1430" s="18">
        <f>IF(NOT(ISNUMBER($A1430)),NA(),IFERROR(1*INDEX(BBG_Data!$P$2:$P$4000,MATCH($A1430,BBG_Data!$O$2:$O$4000,0)),NA()))</f>
        <v/>
      </c>
      <c r="AE1430" s="18">
        <f>IF(NOT(ISNUMBER($A1430)),NA(),IFERROR(1*INDEX(BBG_Data!$R$2:$R$4000,MATCH($A1430,BBG_Data!$Q$2:$Q$4000,0)),NA()))</f>
        <v/>
      </c>
      <c r="AF1430" s="20">
        <f>IF(AND(ISNUMBER(B1430),ISNUMBER(AC1430)),(B1430-AC1430)*100,NA())</f>
        <v/>
      </c>
      <c r="AG1430" s="20">
        <f>IF(AND(ISNUMBER(AE1430),ISNUMBER(AD1430)),(AE1430-AD1430)*100,NA())</f>
        <v/>
      </c>
      <c r="AH1430" s="19">
        <f>IF(NOT(ISNUMBER($A1430)),NA(),IFERROR(INDEX(BBG_Data!$T$2:$T$4000,MATCH($A1430,BBG_Data!$S$2:$S$4000,0))*Settings!$B$25,NA()))</f>
        <v/>
      </c>
      <c r="AI1430" s="19">
        <f>IF(NOT(ISNUMBER($A1430)),NA(),IFERROR(INDEX(BBG_Data!$V$2:$V$4000,MATCH($A1430,BBG_Data!$U$2:$U$4000,0))*Settings!$B$25,NA()))</f>
        <v/>
      </c>
      <c r="AJ1430" s="19">
        <f>IF(NOT(ISNUMBER($A1430)),NA(),IFERROR(1*INDEX(BBG_Data!$X$2:$X$4000,MATCH($A1430,BBG_Data!$W$2:$W$4000,0)),NA()))</f>
        <v/>
      </c>
      <c r="AK1430" s="19">
        <f>IF(NOT(ISNUMBER($A1430)),NA(),IFERROR(1*INDEX(BBG_Data!$Z$2:$Z$4000,MATCH($A1430,BBG_Data!$Y$2:$Y$4000,0)),NA()))</f>
        <v/>
      </c>
    </row>
    <row r="1431">
      <c r="A1431" s="17">
        <f>IF(ISNUMBER(BBG_Data!A1431),BBG_Data!A1431,"")</f>
        <v/>
      </c>
      <c r="B1431" s="18">
        <f>IF(AND(ISNUMBER($A1431),ISNUMBER(BBG_Data!B1431)),BBG_Data!B1431,NA())</f>
        <v/>
      </c>
      <c r="C1431" s="18">
        <f>IF(NOT(ISNUMBER($A1431)),NA(),IFERROR(1*INDEX(BBG_Data!$D$2:$D$4000,MATCH($A1431,BBG_Data!$C$2:$C$4000,0)),NA()))</f>
        <v/>
      </c>
      <c r="D1431" s="19">
        <f>IF(NOT(ISNUMBER($A1431)),NA(),IFERROR(1*INDEX(BBG_Data!$F$2:$F$4000,MATCH($A1431,BBG_Data!$E$2:$E$4000,0)),NA()))</f>
        <v/>
      </c>
      <c r="E1431" s="19">
        <f>IF(NOT(ISNUMBER($A1431)),NA(),IFERROR(1*INDEX(BBG_Data!$H$2:$H$4000,MATCH($A1431,BBG_Data!$G$2:$G$4000,0)),NA()))</f>
        <v/>
      </c>
      <c r="F1431" s="20">
        <f>IF(AND(ISNUMBER(B1431),ISNUMBER(B1430)),IF(B1431=B1430,"",(B1431-B1430)*100),"")</f>
        <v/>
      </c>
      <c r="G1431" s="20">
        <f>IF(AND(ISNUMBER(C1431),ISNUMBER(C1430)),IF(C1431=C1430,"",(C1431-C1430)*100),"")</f>
        <v/>
      </c>
      <c r="H1431" s="20">
        <f>IF(OR(NOT(ISNUMBER($A1431)),ROW()-2&lt;Settings!$B$11),NA(),IF(COUNT(OFFSET(F1431,1-Settings!$B$11,0,Settings!$B$11,1))&lt;ROUNDUP(Settings!$B$11*Settings!$B$26,0),NA(),STDEV(OFFSET(F1431,1-Settings!$B$11,0,Settings!$B$11,1))*SQRT(Settings!$B$13)))</f>
        <v/>
      </c>
      <c r="I1431" s="20">
        <f>IF(OR(NOT(ISNUMBER($A1431)),ROW()-2&lt;Settings!$B$12),NA(),IF(COUNT(OFFSET(F1431,1-Settings!$B$12,0,Settings!$B$12,1))&lt;ROUNDUP(Settings!$B$12*Settings!$B$26,0),NA(),STDEV(OFFSET(F1431,1-Settings!$B$12,0,Settings!$B$12,1))*SQRT(Settings!$B$13)))</f>
        <v/>
      </c>
      <c r="J1431" s="20">
        <f>IF(OR(NOT(ISNUMBER($A1431)),ROW()-2&lt;Settings!$B$11),NA(),IF(COUNT(OFFSET(G1431,1-Settings!$B$11,0,Settings!$B$11,1))&lt;ROUNDUP(Settings!$B$11*Settings!$B$26,0),NA(),STDEV(OFFSET(G1431,1-Settings!$B$11,0,Settings!$B$11,1))*SQRT(Settings!$B$13)))</f>
        <v/>
      </c>
      <c r="K1431" s="20">
        <f>IF(OR(NOT(ISNUMBER($A1431)),ROW()-2&lt;Settings!$B$12),NA(),IF(COUNT(OFFSET(G1431,1-Settings!$B$12,0,Settings!$B$12,1))&lt;ROUNDUP(Settings!$B$12*Settings!$B$26,0),NA(),STDEV(OFFSET(G1431,1-Settings!$B$12,0,Settings!$B$12,1))*SQRT(Settings!$B$13)))</f>
        <v/>
      </c>
      <c r="L1431" s="20">
        <f>IF(AND(ISNUMBER(D1431),ISNUMBER(H1431)),D1431-H1431,NA())</f>
        <v/>
      </c>
      <c r="M1431" s="20">
        <f>IF(AND(ISNUMBER(E1431),ISNUMBER(K1431)),E1431-K1431,NA())</f>
        <v/>
      </c>
      <c r="N1431" s="20">
        <f>IF(NOT(ISNUMBER($A1431)),NA(),IF(COUNT(OFFSET(G1431,1,0,Settings!$B$12,1))&lt;ROUNDUP(Settings!$B$12*Settings!$B$26,0),NA(),STDEV(OFFSET(G1431,1,0,Settings!$B$12,1))*SQRT(Settings!$B$13)))</f>
        <v/>
      </c>
      <c r="O1431" s="20">
        <f>IF(AND(ISNUMBER(E1431),ISNUMBER(N1431)),E1431-N1431,NA())</f>
        <v/>
      </c>
      <c r="P1431" s="19">
        <f>IF(NOT(ISNUMBER($A1431)),NA(),IF(OR($A1431&lt;MIN(KW_TP!$A$2:$A$2501),$A1431&gt;MAX(KW_TP!$A$2:$A$2501)),NA(),INDEX(KW_TP!$C$2:$C$2501,MATCH($A1431,KW_TP!$A$2:$A$2501,1))))</f>
        <v/>
      </c>
      <c r="Q1431" s="18">
        <f>IF(NOT(ISNUMBER($A1431)),NA(),IFERROR(1*INDEX(BBG_Data!$J$2:$J$4000,MATCH($A1431,BBG_Data!$I$2:$I$4000,0)),NA()))</f>
        <v/>
      </c>
      <c r="R1431" s="18">
        <f>IF(NOT(ISNUMBER($A1431)),NA(),IFERROR(1*INDEX(BBG_Data!$L$2:$L$4000,MATCH($A1431,BBG_Data!$K$2:$K$4000,0)),NA()))</f>
        <v/>
      </c>
      <c r="S1431" s="20">
        <f>IF(AND(ISNUMBER(B1431),ISNUMBER(Q1431),ISNUMBER(R1431)),(B1431-Q1431-R1431)*100,NA())</f>
        <v/>
      </c>
      <c r="T1431" s="20">
        <f>IF(AND(ISNUMBER(B1431),Settings!$B$17&gt;0),IF(ISNUMBER(INDEX($B:$B,Settings!$B$17)),(B1431-INDEX($B:$B,Settings!$B$17))*100,NA()),NA())</f>
        <v/>
      </c>
      <c r="U1431" s="20">
        <f>IF(AND(ISNUMBER(Q1431),Settings!$B$17&gt;0),IF(ISNUMBER(INDEX($Q:$Q,Settings!$B$17)),(Q1431-INDEX($Q:$Q,Settings!$B$17))*100,NA()),NA())</f>
        <v/>
      </c>
      <c r="V1431" s="20">
        <f>IF(AND(ISNUMBER(R1431),Settings!$B$17&gt;0),IF(ISNUMBER(INDEX($R:$R,Settings!$B$17)),(R1431-INDEX($R:$R,Settings!$B$17))*100,NA()),NA())</f>
        <v/>
      </c>
      <c r="W1431" s="20">
        <f>IF(AND(ISNUMBER(P1431),Settings!$B$17&gt;0),IF(ISNUMBER(INDEX($P:$P,Settings!$B$17)),P1431-INDEX($P:$P,Settings!$B$17),NA()),NA())</f>
        <v/>
      </c>
      <c r="X1431" s="19">
        <f>IF(NOT(ISNUMBER($A1431)),NA(),IF(OR($A1431&lt;MIN(DKW_10Y!$A$2:$A$2918),$A1431&gt;MAX(DKW_10Y!$A$2:$A$2918),Settings!$B$16&lt;MIN(DKW_10Y!$A$2:$A$2918)),NA(),(INDEX(DKW_10Y!$B$2:$B$2918,MATCH($A1431,DKW_10Y!$A$2:$A$2918,1))-INDEX(DKW_10Y!$B$2:$B$2918,MATCH(Settings!$B$16,DKW_10Y!$A$2:$A$2918,1)))*100))</f>
        <v/>
      </c>
      <c r="Y1431" s="19">
        <f>IF(NOT(ISNUMBER($A1431)),NA(),IF(OR($A1431&lt;MIN(DKW_10Y!$A$2:$A$2918),$A1431&gt;MAX(DKW_10Y!$A$2:$A$2918),Settings!$B$16&lt;MIN(DKW_10Y!$A$2:$A$2918)),NA(),(INDEX(DKW_10Y!$C$2:$C$2918,MATCH($A1431,DKW_10Y!$A$2:$A$2918,1))-INDEX(DKW_10Y!$C$2:$C$2918,MATCH(Settings!$B$16,DKW_10Y!$A$2:$A$2918,1)))*100))</f>
        <v/>
      </c>
      <c r="Z1431" s="19">
        <f>IF(NOT(ISNUMBER($A1431)),NA(),IF(OR($A1431&lt;MIN(DKW_10Y!$A$2:$A$2918),$A1431&gt;MAX(DKW_10Y!$A$2:$A$2918),Settings!$B$16&lt;MIN(DKW_10Y!$A$2:$A$2918)),NA(),(INDEX(DKW_10Y!$D$2:$D$2918,MATCH($A1431,DKW_10Y!$A$2:$A$2918,1))-INDEX(DKW_10Y!$D$2:$D$2918,MATCH(Settings!$B$16,DKW_10Y!$A$2:$A$2918,1)))*100))</f>
        <v/>
      </c>
      <c r="AA1431" s="19">
        <f>IF(NOT(ISNUMBER($A1431)),NA(),IF(OR($A1431&lt;MIN(DKW_10Y!$A$2:$A$2918),$A1431&gt;MAX(DKW_10Y!$A$2:$A$2918),Settings!$B$16&lt;MIN(DKW_10Y!$A$2:$A$2918)),NA(),(INDEX(DKW_10Y!$E$2:$E$2918,MATCH($A1431,DKW_10Y!$A$2:$A$2918,1))-INDEX(DKW_10Y!$E$2:$E$2918,MATCH(Settings!$B$16,DKW_10Y!$A$2:$A$2918,1)))*100))</f>
        <v/>
      </c>
      <c r="AB1431" s="19">
        <f>IF(NOT(ISNUMBER($A1431)),NA(),IF(OR($A1431&lt;MIN(DKW_10Y!$A$2:$A$2918),$A1431&gt;MAX(DKW_10Y!$A$2:$A$2918),Settings!$B$16&lt;MIN(DKW_10Y!$A$2:$A$2918)),NA(),(INDEX(DKW_10Y!$H$2:$H$2918,MATCH($A1431,DKW_10Y!$A$2:$A$2918,1))-INDEX(DKW_10Y!$H$2:$H$2918,MATCH(Settings!$B$16,DKW_10Y!$A$2:$A$2918,1)))*100))</f>
        <v/>
      </c>
      <c r="AC1431" s="18">
        <f>IF(NOT(ISNUMBER($A1431)),NA(),IFERROR(1*INDEX(BBG_Data!$N$2:$N$4000,MATCH($A1431,BBG_Data!$M$2:$M$4000,0)),NA()))</f>
        <v/>
      </c>
      <c r="AD1431" s="18">
        <f>IF(NOT(ISNUMBER($A1431)),NA(),IFERROR(1*INDEX(BBG_Data!$P$2:$P$4000,MATCH($A1431,BBG_Data!$O$2:$O$4000,0)),NA()))</f>
        <v/>
      </c>
      <c r="AE1431" s="18">
        <f>IF(NOT(ISNUMBER($A1431)),NA(),IFERROR(1*INDEX(BBG_Data!$R$2:$R$4000,MATCH($A1431,BBG_Data!$Q$2:$Q$4000,0)),NA()))</f>
        <v/>
      </c>
      <c r="AF1431" s="20">
        <f>IF(AND(ISNUMBER(B1431),ISNUMBER(AC1431)),(B1431-AC1431)*100,NA())</f>
        <v/>
      </c>
      <c r="AG1431" s="20">
        <f>IF(AND(ISNUMBER(AE1431),ISNUMBER(AD1431)),(AE1431-AD1431)*100,NA())</f>
        <v/>
      </c>
      <c r="AH1431" s="19">
        <f>IF(NOT(ISNUMBER($A1431)),NA(),IFERROR(INDEX(BBG_Data!$T$2:$T$4000,MATCH($A1431,BBG_Data!$S$2:$S$4000,0))*Settings!$B$25,NA()))</f>
        <v/>
      </c>
      <c r="AI1431" s="19">
        <f>IF(NOT(ISNUMBER($A1431)),NA(),IFERROR(INDEX(BBG_Data!$V$2:$V$4000,MATCH($A1431,BBG_Data!$U$2:$U$4000,0))*Settings!$B$25,NA()))</f>
        <v/>
      </c>
      <c r="AJ1431" s="19">
        <f>IF(NOT(ISNUMBER($A1431)),NA(),IFERROR(1*INDEX(BBG_Data!$X$2:$X$4000,MATCH($A1431,BBG_Data!$W$2:$W$4000,0)),NA()))</f>
        <v/>
      </c>
      <c r="AK1431" s="19">
        <f>IF(NOT(ISNUMBER($A1431)),NA(),IFERROR(1*INDEX(BBG_Data!$Z$2:$Z$4000,MATCH($A1431,BBG_Data!$Y$2:$Y$4000,0)),NA()))</f>
        <v/>
      </c>
    </row>
    <row r="1432">
      <c r="A1432" s="17">
        <f>IF(ISNUMBER(BBG_Data!A1432),BBG_Data!A1432,"")</f>
        <v/>
      </c>
      <c r="B1432" s="18">
        <f>IF(AND(ISNUMBER($A1432),ISNUMBER(BBG_Data!B1432)),BBG_Data!B1432,NA())</f>
        <v/>
      </c>
      <c r="C1432" s="18">
        <f>IF(NOT(ISNUMBER($A1432)),NA(),IFERROR(1*INDEX(BBG_Data!$D$2:$D$4000,MATCH($A1432,BBG_Data!$C$2:$C$4000,0)),NA()))</f>
        <v/>
      </c>
      <c r="D1432" s="19">
        <f>IF(NOT(ISNUMBER($A1432)),NA(),IFERROR(1*INDEX(BBG_Data!$F$2:$F$4000,MATCH($A1432,BBG_Data!$E$2:$E$4000,0)),NA()))</f>
        <v/>
      </c>
      <c r="E1432" s="19">
        <f>IF(NOT(ISNUMBER($A1432)),NA(),IFERROR(1*INDEX(BBG_Data!$H$2:$H$4000,MATCH($A1432,BBG_Data!$G$2:$G$4000,0)),NA()))</f>
        <v/>
      </c>
      <c r="F1432" s="20">
        <f>IF(AND(ISNUMBER(B1432),ISNUMBER(B1431)),IF(B1432=B1431,"",(B1432-B1431)*100),"")</f>
        <v/>
      </c>
      <c r="G1432" s="20">
        <f>IF(AND(ISNUMBER(C1432),ISNUMBER(C1431)),IF(C1432=C1431,"",(C1432-C1431)*100),"")</f>
        <v/>
      </c>
      <c r="H1432" s="20">
        <f>IF(OR(NOT(ISNUMBER($A1432)),ROW()-2&lt;Settings!$B$11),NA(),IF(COUNT(OFFSET(F1432,1-Settings!$B$11,0,Settings!$B$11,1))&lt;ROUNDUP(Settings!$B$11*Settings!$B$26,0),NA(),STDEV(OFFSET(F1432,1-Settings!$B$11,0,Settings!$B$11,1))*SQRT(Settings!$B$13)))</f>
        <v/>
      </c>
      <c r="I1432" s="20">
        <f>IF(OR(NOT(ISNUMBER($A1432)),ROW()-2&lt;Settings!$B$12),NA(),IF(COUNT(OFFSET(F1432,1-Settings!$B$12,0,Settings!$B$12,1))&lt;ROUNDUP(Settings!$B$12*Settings!$B$26,0),NA(),STDEV(OFFSET(F1432,1-Settings!$B$12,0,Settings!$B$12,1))*SQRT(Settings!$B$13)))</f>
        <v/>
      </c>
      <c r="J1432" s="20">
        <f>IF(OR(NOT(ISNUMBER($A1432)),ROW()-2&lt;Settings!$B$11),NA(),IF(COUNT(OFFSET(G1432,1-Settings!$B$11,0,Settings!$B$11,1))&lt;ROUNDUP(Settings!$B$11*Settings!$B$26,0),NA(),STDEV(OFFSET(G1432,1-Settings!$B$11,0,Settings!$B$11,1))*SQRT(Settings!$B$13)))</f>
        <v/>
      </c>
      <c r="K1432" s="20">
        <f>IF(OR(NOT(ISNUMBER($A1432)),ROW()-2&lt;Settings!$B$12),NA(),IF(COUNT(OFFSET(G1432,1-Settings!$B$12,0,Settings!$B$12,1))&lt;ROUNDUP(Settings!$B$12*Settings!$B$26,0),NA(),STDEV(OFFSET(G1432,1-Settings!$B$12,0,Settings!$B$12,1))*SQRT(Settings!$B$13)))</f>
        <v/>
      </c>
      <c r="L1432" s="20">
        <f>IF(AND(ISNUMBER(D1432),ISNUMBER(H1432)),D1432-H1432,NA())</f>
        <v/>
      </c>
      <c r="M1432" s="20">
        <f>IF(AND(ISNUMBER(E1432),ISNUMBER(K1432)),E1432-K1432,NA())</f>
        <v/>
      </c>
      <c r="N1432" s="20">
        <f>IF(NOT(ISNUMBER($A1432)),NA(),IF(COUNT(OFFSET(G1432,1,0,Settings!$B$12,1))&lt;ROUNDUP(Settings!$B$12*Settings!$B$26,0),NA(),STDEV(OFFSET(G1432,1,0,Settings!$B$12,1))*SQRT(Settings!$B$13)))</f>
        <v/>
      </c>
      <c r="O1432" s="20">
        <f>IF(AND(ISNUMBER(E1432),ISNUMBER(N1432)),E1432-N1432,NA())</f>
        <v/>
      </c>
      <c r="P1432" s="19">
        <f>IF(NOT(ISNUMBER($A1432)),NA(),IF(OR($A1432&lt;MIN(KW_TP!$A$2:$A$2501),$A1432&gt;MAX(KW_TP!$A$2:$A$2501)),NA(),INDEX(KW_TP!$C$2:$C$2501,MATCH($A1432,KW_TP!$A$2:$A$2501,1))))</f>
        <v/>
      </c>
      <c r="Q1432" s="18">
        <f>IF(NOT(ISNUMBER($A1432)),NA(),IFERROR(1*INDEX(BBG_Data!$J$2:$J$4000,MATCH($A1432,BBG_Data!$I$2:$I$4000,0)),NA()))</f>
        <v/>
      </c>
      <c r="R1432" s="18">
        <f>IF(NOT(ISNUMBER($A1432)),NA(),IFERROR(1*INDEX(BBG_Data!$L$2:$L$4000,MATCH($A1432,BBG_Data!$K$2:$K$4000,0)),NA()))</f>
        <v/>
      </c>
      <c r="S1432" s="20">
        <f>IF(AND(ISNUMBER(B1432),ISNUMBER(Q1432),ISNUMBER(R1432)),(B1432-Q1432-R1432)*100,NA())</f>
        <v/>
      </c>
      <c r="T1432" s="20">
        <f>IF(AND(ISNUMBER(B1432),Settings!$B$17&gt;0),IF(ISNUMBER(INDEX($B:$B,Settings!$B$17)),(B1432-INDEX($B:$B,Settings!$B$17))*100,NA()),NA())</f>
        <v/>
      </c>
      <c r="U1432" s="20">
        <f>IF(AND(ISNUMBER(Q1432),Settings!$B$17&gt;0),IF(ISNUMBER(INDEX($Q:$Q,Settings!$B$17)),(Q1432-INDEX($Q:$Q,Settings!$B$17))*100,NA()),NA())</f>
        <v/>
      </c>
      <c r="V1432" s="20">
        <f>IF(AND(ISNUMBER(R1432),Settings!$B$17&gt;0),IF(ISNUMBER(INDEX($R:$R,Settings!$B$17)),(R1432-INDEX($R:$R,Settings!$B$17))*100,NA()),NA())</f>
        <v/>
      </c>
      <c r="W1432" s="20">
        <f>IF(AND(ISNUMBER(P1432),Settings!$B$17&gt;0),IF(ISNUMBER(INDEX($P:$P,Settings!$B$17)),P1432-INDEX($P:$P,Settings!$B$17),NA()),NA())</f>
        <v/>
      </c>
      <c r="X1432" s="19">
        <f>IF(NOT(ISNUMBER($A1432)),NA(),IF(OR($A1432&lt;MIN(DKW_10Y!$A$2:$A$2918),$A1432&gt;MAX(DKW_10Y!$A$2:$A$2918),Settings!$B$16&lt;MIN(DKW_10Y!$A$2:$A$2918)),NA(),(INDEX(DKW_10Y!$B$2:$B$2918,MATCH($A1432,DKW_10Y!$A$2:$A$2918,1))-INDEX(DKW_10Y!$B$2:$B$2918,MATCH(Settings!$B$16,DKW_10Y!$A$2:$A$2918,1)))*100))</f>
        <v/>
      </c>
      <c r="Y1432" s="19">
        <f>IF(NOT(ISNUMBER($A1432)),NA(),IF(OR($A1432&lt;MIN(DKW_10Y!$A$2:$A$2918),$A1432&gt;MAX(DKW_10Y!$A$2:$A$2918),Settings!$B$16&lt;MIN(DKW_10Y!$A$2:$A$2918)),NA(),(INDEX(DKW_10Y!$C$2:$C$2918,MATCH($A1432,DKW_10Y!$A$2:$A$2918,1))-INDEX(DKW_10Y!$C$2:$C$2918,MATCH(Settings!$B$16,DKW_10Y!$A$2:$A$2918,1)))*100))</f>
        <v/>
      </c>
      <c r="Z1432" s="19">
        <f>IF(NOT(ISNUMBER($A1432)),NA(),IF(OR($A1432&lt;MIN(DKW_10Y!$A$2:$A$2918),$A1432&gt;MAX(DKW_10Y!$A$2:$A$2918),Settings!$B$16&lt;MIN(DKW_10Y!$A$2:$A$2918)),NA(),(INDEX(DKW_10Y!$D$2:$D$2918,MATCH($A1432,DKW_10Y!$A$2:$A$2918,1))-INDEX(DKW_10Y!$D$2:$D$2918,MATCH(Settings!$B$16,DKW_10Y!$A$2:$A$2918,1)))*100))</f>
        <v/>
      </c>
      <c r="AA1432" s="19">
        <f>IF(NOT(ISNUMBER($A1432)),NA(),IF(OR($A1432&lt;MIN(DKW_10Y!$A$2:$A$2918),$A1432&gt;MAX(DKW_10Y!$A$2:$A$2918),Settings!$B$16&lt;MIN(DKW_10Y!$A$2:$A$2918)),NA(),(INDEX(DKW_10Y!$E$2:$E$2918,MATCH($A1432,DKW_10Y!$A$2:$A$2918,1))-INDEX(DKW_10Y!$E$2:$E$2918,MATCH(Settings!$B$16,DKW_10Y!$A$2:$A$2918,1)))*100))</f>
        <v/>
      </c>
      <c r="AB1432" s="19">
        <f>IF(NOT(ISNUMBER($A1432)),NA(),IF(OR($A1432&lt;MIN(DKW_10Y!$A$2:$A$2918),$A1432&gt;MAX(DKW_10Y!$A$2:$A$2918),Settings!$B$16&lt;MIN(DKW_10Y!$A$2:$A$2918)),NA(),(INDEX(DKW_10Y!$H$2:$H$2918,MATCH($A1432,DKW_10Y!$A$2:$A$2918,1))-INDEX(DKW_10Y!$H$2:$H$2918,MATCH(Settings!$B$16,DKW_10Y!$A$2:$A$2918,1)))*100))</f>
        <v/>
      </c>
      <c r="AC1432" s="18">
        <f>IF(NOT(ISNUMBER($A1432)),NA(),IFERROR(1*INDEX(BBG_Data!$N$2:$N$4000,MATCH($A1432,BBG_Data!$M$2:$M$4000,0)),NA()))</f>
        <v/>
      </c>
      <c r="AD1432" s="18">
        <f>IF(NOT(ISNUMBER($A1432)),NA(),IFERROR(1*INDEX(BBG_Data!$P$2:$P$4000,MATCH($A1432,BBG_Data!$O$2:$O$4000,0)),NA()))</f>
        <v/>
      </c>
      <c r="AE1432" s="18">
        <f>IF(NOT(ISNUMBER($A1432)),NA(),IFERROR(1*INDEX(BBG_Data!$R$2:$R$4000,MATCH($A1432,BBG_Data!$Q$2:$Q$4000,0)),NA()))</f>
        <v/>
      </c>
      <c r="AF1432" s="20">
        <f>IF(AND(ISNUMBER(B1432),ISNUMBER(AC1432)),(B1432-AC1432)*100,NA())</f>
        <v/>
      </c>
      <c r="AG1432" s="20">
        <f>IF(AND(ISNUMBER(AE1432),ISNUMBER(AD1432)),(AE1432-AD1432)*100,NA())</f>
        <v/>
      </c>
      <c r="AH1432" s="19">
        <f>IF(NOT(ISNUMBER($A1432)),NA(),IFERROR(INDEX(BBG_Data!$T$2:$T$4000,MATCH($A1432,BBG_Data!$S$2:$S$4000,0))*Settings!$B$25,NA()))</f>
        <v/>
      </c>
      <c r="AI1432" s="19">
        <f>IF(NOT(ISNUMBER($A1432)),NA(),IFERROR(INDEX(BBG_Data!$V$2:$V$4000,MATCH($A1432,BBG_Data!$U$2:$U$4000,0))*Settings!$B$25,NA()))</f>
        <v/>
      </c>
      <c r="AJ1432" s="19">
        <f>IF(NOT(ISNUMBER($A1432)),NA(),IFERROR(1*INDEX(BBG_Data!$X$2:$X$4000,MATCH($A1432,BBG_Data!$W$2:$W$4000,0)),NA()))</f>
        <v/>
      </c>
      <c r="AK1432" s="19">
        <f>IF(NOT(ISNUMBER($A1432)),NA(),IFERROR(1*INDEX(BBG_Data!$Z$2:$Z$4000,MATCH($A1432,BBG_Data!$Y$2:$Y$4000,0)),NA()))</f>
        <v/>
      </c>
    </row>
    <row r="1433">
      <c r="A1433" s="17">
        <f>IF(ISNUMBER(BBG_Data!A1433),BBG_Data!A1433,"")</f>
        <v/>
      </c>
      <c r="B1433" s="18">
        <f>IF(AND(ISNUMBER($A1433),ISNUMBER(BBG_Data!B1433)),BBG_Data!B1433,NA())</f>
        <v/>
      </c>
      <c r="C1433" s="18">
        <f>IF(NOT(ISNUMBER($A1433)),NA(),IFERROR(1*INDEX(BBG_Data!$D$2:$D$4000,MATCH($A1433,BBG_Data!$C$2:$C$4000,0)),NA()))</f>
        <v/>
      </c>
      <c r="D1433" s="19">
        <f>IF(NOT(ISNUMBER($A1433)),NA(),IFERROR(1*INDEX(BBG_Data!$F$2:$F$4000,MATCH($A1433,BBG_Data!$E$2:$E$4000,0)),NA()))</f>
        <v/>
      </c>
      <c r="E1433" s="19">
        <f>IF(NOT(ISNUMBER($A1433)),NA(),IFERROR(1*INDEX(BBG_Data!$H$2:$H$4000,MATCH($A1433,BBG_Data!$G$2:$G$4000,0)),NA()))</f>
        <v/>
      </c>
      <c r="F1433" s="20">
        <f>IF(AND(ISNUMBER(B1433),ISNUMBER(B1432)),IF(B1433=B1432,"",(B1433-B1432)*100),"")</f>
        <v/>
      </c>
      <c r="G1433" s="20">
        <f>IF(AND(ISNUMBER(C1433),ISNUMBER(C1432)),IF(C1433=C1432,"",(C1433-C1432)*100),"")</f>
        <v/>
      </c>
      <c r="H1433" s="20">
        <f>IF(OR(NOT(ISNUMBER($A1433)),ROW()-2&lt;Settings!$B$11),NA(),IF(COUNT(OFFSET(F1433,1-Settings!$B$11,0,Settings!$B$11,1))&lt;ROUNDUP(Settings!$B$11*Settings!$B$26,0),NA(),STDEV(OFFSET(F1433,1-Settings!$B$11,0,Settings!$B$11,1))*SQRT(Settings!$B$13)))</f>
        <v/>
      </c>
      <c r="I1433" s="20">
        <f>IF(OR(NOT(ISNUMBER($A1433)),ROW()-2&lt;Settings!$B$12),NA(),IF(COUNT(OFFSET(F1433,1-Settings!$B$12,0,Settings!$B$12,1))&lt;ROUNDUP(Settings!$B$12*Settings!$B$26,0),NA(),STDEV(OFFSET(F1433,1-Settings!$B$12,0,Settings!$B$12,1))*SQRT(Settings!$B$13)))</f>
        <v/>
      </c>
      <c r="J1433" s="20">
        <f>IF(OR(NOT(ISNUMBER($A1433)),ROW()-2&lt;Settings!$B$11),NA(),IF(COUNT(OFFSET(G1433,1-Settings!$B$11,0,Settings!$B$11,1))&lt;ROUNDUP(Settings!$B$11*Settings!$B$26,0),NA(),STDEV(OFFSET(G1433,1-Settings!$B$11,0,Settings!$B$11,1))*SQRT(Settings!$B$13)))</f>
        <v/>
      </c>
      <c r="K1433" s="20">
        <f>IF(OR(NOT(ISNUMBER($A1433)),ROW()-2&lt;Settings!$B$12),NA(),IF(COUNT(OFFSET(G1433,1-Settings!$B$12,0,Settings!$B$12,1))&lt;ROUNDUP(Settings!$B$12*Settings!$B$26,0),NA(),STDEV(OFFSET(G1433,1-Settings!$B$12,0,Settings!$B$12,1))*SQRT(Settings!$B$13)))</f>
        <v/>
      </c>
      <c r="L1433" s="20">
        <f>IF(AND(ISNUMBER(D1433),ISNUMBER(H1433)),D1433-H1433,NA())</f>
        <v/>
      </c>
      <c r="M1433" s="20">
        <f>IF(AND(ISNUMBER(E1433),ISNUMBER(K1433)),E1433-K1433,NA())</f>
        <v/>
      </c>
      <c r="N1433" s="20">
        <f>IF(NOT(ISNUMBER($A1433)),NA(),IF(COUNT(OFFSET(G1433,1,0,Settings!$B$12,1))&lt;ROUNDUP(Settings!$B$12*Settings!$B$26,0),NA(),STDEV(OFFSET(G1433,1,0,Settings!$B$12,1))*SQRT(Settings!$B$13)))</f>
        <v/>
      </c>
      <c r="O1433" s="20">
        <f>IF(AND(ISNUMBER(E1433),ISNUMBER(N1433)),E1433-N1433,NA())</f>
        <v/>
      </c>
      <c r="P1433" s="19">
        <f>IF(NOT(ISNUMBER($A1433)),NA(),IF(OR($A1433&lt;MIN(KW_TP!$A$2:$A$2501),$A1433&gt;MAX(KW_TP!$A$2:$A$2501)),NA(),INDEX(KW_TP!$C$2:$C$2501,MATCH($A1433,KW_TP!$A$2:$A$2501,1))))</f>
        <v/>
      </c>
      <c r="Q1433" s="18">
        <f>IF(NOT(ISNUMBER($A1433)),NA(),IFERROR(1*INDEX(BBG_Data!$J$2:$J$4000,MATCH($A1433,BBG_Data!$I$2:$I$4000,0)),NA()))</f>
        <v/>
      </c>
      <c r="R1433" s="18">
        <f>IF(NOT(ISNUMBER($A1433)),NA(),IFERROR(1*INDEX(BBG_Data!$L$2:$L$4000,MATCH($A1433,BBG_Data!$K$2:$K$4000,0)),NA()))</f>
        <v/>
      </c>
      <c r="S1433" s="20">
        <f>IF(AND(ISNUMBER(B1433),ISNUMBER(Q1433),ISNUMBER(R1433)),(B1433-Q1433-R1433)*100,NA())</f>
        <v/>
      </c>
      <c r="T1433" s="20">
        <f>IF(AND(ISNUMBER(B1433),Settings!$B$17&gt;0),IF(ISNUMBER(INDEX($B:$B,Settings!$B$17)),(B1433-INDEX($B:$B,Settings!$B$17))*100,NA()),NA())</f>
        <v/>
      </c>
      <c r="U1433" s="20">
        <f>IF(AND(ISNUMBER(Q1433),Settings!$B$17&gt;0),IF(ISNUMBER(INDEX($Q:$Q,Settings!$B$17)),(Q1433-INDEX($Q:$Q,Settings!$B$17))*100,NA()),NA())</f>
        <v/>
      </c>
      <c r="V1433" s="20">
        <f>IF(AND(ISNUMBER(R1433),Settings!$B$17&gt;0),IF(ISNUMBER(INDEX($R:$R,Settings!$B$17)),(R1433-INDEX($R:$R,Settings!$B$17))*100,NA()),NA())</f>
        <v/>
      </c>
      <c r="W1433" s="20">
        <f>IF(AND(ISNUMBER(P1433),Settings!$B$17&gt;0),IF(ISNUMBER(INDEX($P:$P,Settings!$B$17)),P1433-INDEX($P:$P,Settings!$B$17),NA()),NA())</f>
        <v/>
      </c>
      <c r="X1433" s="19">
        <f>IF(NOT(ISNUMBER($A1433)),NA(),IF(OR($A1433&lt;MIN(DKW_10Y!$A$2:$A$2918),$A1433&gt;MAX(DKW_10Y!$A$2:$A$2918),Settings!$B$16&lt;MIN(DKW_10Y!$A$2:$A$2918)),NA(),(INDEX(DKW_10Y!$B$2:$B$2918,MATCH($A1433,DKW_10Y!$A$2:$A$2918,1))-INDEX(DKW_10Y!$B$2:$B$2918,MATCH(Settings!$B$16,DKW_10Y!$A$2:$A$2918,1)))*100))</f>
        <v/>
      </c>
      <c r="Y1433" s="19">
        <f>IF(NOT(ISNUMBER($A1433)),NA(),IF(OR($A1433&lt;MIN(DKW_10Y!$A$2:$A$2918),$A1433&gt;MAX(DKW_10Y!$A$2:$A$2918),Settings!$B$16&lt;MIN(DKW_10Y!$A$2:$A$2918)),NA(),(INDEX(DKW_10Y!$C$2:$C$2918,MATCH($A1433,DKW_10Y!$A$2:$A$2918,1))-INDEX(DKW_10Y!$C$2:$C$2918,MATCH(Settings!$B$16,DKW_10Y!$A$2:$A$2918,1)))*100))</f>
        <v/>
      </c>
      <c r="Z1433" s="19">
        <f>IF(NOT(ISNUMBER($A1433)),NA(),IF(OR($A1433&lt;MIN(DKW_10Y!$A$2:$A$2918),$A1433&gt;MAX(DKW_10Y!$A$2:$A$2918),Settings!$B$16&lt;MIN(DKW_10Y!$A$2:$A$2918)),NA(),(INDEX(DKW_10Y!$D$2:$D$2918,MATCH($A1433,DKW_10Y!$A$2:$A$2918,1))-INDEX(DKW_10Y!$D$2:$D$2918,MATCH(Settings!$B$16,DKW_10Y!$A$2:$A$2918,1)))*100))</f>
        <v/>
      </c>
      <c r="AA1433" s="19">
        <f>IF(NOT(ISNUMBER($A1433)),NA(),IF(OR($A1433&lt;MIN(DKW_10Y!$A$2:$A$2918),$A1433&gt;MAX(DKW_10Y!$A$2:$A$2918),Settings!$B$16&lt;MIN(DKW_10Y!$A$2:$A$2918)),NA(),(INDEX(DKW_10Y!$E$2:$E$2918,MATCH($A1433,DKW_10Y!$A$2:$A$2918,1))-INDEX(DKW_10Y!$E$2:$E$2918,MATCH(Settings!$B$16,DKW_10Y!$A$2:$A$2918,1)))*100))</f>
        <v/>
      </c>
      <c r="AB1433" s="19">
        <f>IF(NOT(ISNUMBER($A1433)),NA(),IF(OR($A1433&lt;MIN(DKW_10Y!$A$2:$A$2918),$A1433&gt;MAX(DKW_10Y!$A$2:$A$2918),Settings!$B$16&lt;MIN(DKW_10Y!$A$2:$A$2918)),NA(),(INDEX(DKW_10Y!$H$2:$H$2918,MATCH($A1433,DKW_10Y!$A$2:$A$2918,1))-INDEX(DKW_10Y!$H$2:$H$2918,MATCH(Settings!$B$16,DKW_10Y!$A$2:$A$2918,1)))*100))</f>
        <v/>
      </c>
      <c r="AC1433" s="18">
        <f>IF(NOT(ISNUMBER($A1433)),NA(),IFERROR(1*INDEX(BBG_Data!$N$2:$N$4000,MATCH($A1433,BBG_Data!$M$2:$M$4000,0)),NA()))</f>
        <v/>
      </c>
      <c r="AD1433" s="18">
        <f>IF(NOT(ISNUMBER($A1433)),NA(),IFERROR(1*INDEX(BBG_Data!$P$2:$P$4000,MATCH($A1433,BBG_Data!$O$2:$O$4000,0)),NA()))</f>
        <v/>
      </c>
      <c r="AE1433" s="18">
        <f>IF(NOT(ISNUMBER($A1433)),NA(),IFERROR(1*INDEX(BBG_Data!$R$2:$R$4000,MATCH($A1433,BBG_Data!$Q$2:$Q$4000,0)),NA()))</f>
        <v/>
      </c>
      <c r="AF1433" s="20">
        <f>IF(AND(ISNUMBER(B1433),ISNUMBER(AC1433)),(B1433-AC1433)*100,NA())</f>
        <v/>
      </c>
      <c r="AG1433" s="20">
        <f>IF(AND(ISNUMBER(AE1433),ISNUMBER(AD1433)),(AE1433-AD1433)*100,NA())</f>
        <v/>
      </c>
      <c r="AH1433" s="19">
        <f>IF(NOT(ISNUMBER($A1433)),NA(),IFERROR(INDEX(BBG_Data!$T$2:$T$4000,MATCH($A1433,BBG_Data!$S$2:$S$4000,0))*Settings!$B$25,NA()))</f>
        <v/>
      </c>
      <c r="AI1433" s="19">
        <f>IF(NOT(ISNUMBER($A1433)),NA(),IFERROR(INDEX(BBG_Data!$V$2:$V$4000,MATCH($A1433,BBG_Data!$U$2:$U$4000,0))*Settings!$B$25,NA()))</f>
        <v/>
      </c>
      <c r="AJ1433" s="19">
        <f>IF(NOT(ISNUMBER($A1433)),NA(),IFERROR(1*INDEX(BBG_Data!$X$2:$X$4000,MATCH($A1433,BBG_Data!$W$2:$W$4000,0)),NA()))</f>
        <v/>
      </c>
      <c r="AK1433" s="19">
        <f>IF(NOT(ISNUMBER($A1433)),NA(),IFERROR(1*INDEX(BBG_Data!$Z$2:$Z$4000,MATCH($A1433,BBG_Data!$Y$2:$Y$4000,0)),NA()))</f>
        <v/>
      </c>
    </row>
    <row r="1434">
      <c r="A1434" s="17">
        <f>IF(ISNUMBER(BBG_Data!A1434),BBG_Data!A1434,"")</f>
        <v/>
      </c>
      <c r="B1434" s="18">
        <f>IF(AND(ISNUMBER($A1434),ISNUMBER(BBG_Data!B1434)),BBG_Data!B1434,NA())</f>
        <v/>
      </c>
      <c r="C1434" s="18">
        <f>IF(NOT(ISNUMBER($A1434)),NA(),IFERROR(1*INDEX(BBG_Data!$D$2:$D$4000,MATCH($A1434,BBG_Data!$C$2:$C$4000,0)),NA()))</f>
        <v/>
      </c>
      <c r="D1434" s="19">
        <f>IF(NOT(ISNUMBER($A1434)),NA(),IFERROR(1*INDEX(BBG_Data!$F$2:$F$4000,MATCH($A1434,BBG_Data!$E$2:$E$4000,0)),NA()))</f>
        <v/>
      </c>
      <c r="E1434" s="19">
        <f>IF(NOT(ISNUMBER($A1434)),NA(),IFERROR(1*INDEX(BBG_Data!$H$2:$H$4000,MATCH($A1434,BBG_Data!$G$2:$G$4000,0)),NA()))</f>
        <v/>
      </c>
      <c r="F1434" s="20">
        <f>IF(AND(ISNUMBER(B1434),ISNUMBER(B1433)),IF(B1434=B1433,"",(B1434-B1433)*100),"")</f>
        <v/>
      </c>
      <c r="G1434" s="20">
        <f>IF(AND(ISNUMBER(C1434),ISNUMBER(C1433)),IF(C1434=C1433,"",(C1434-C1433)*100),"")</f>
        <v/>
      </c>
      <c r="H1434" s="20">
        <f>IF(OR(NOT(ISNUMBER($A1434)),ROW()-2&lt;Settings!$B$11),NA(),IF(COUNT(OFFSET(F1434,1-Settings!$B$11,0,Settings!$B$11,1))&lt;ROUNDUP(Settings!$B$11*Settings!$B$26,0),NA(),STDEV(OFFSET(F1434,1-Settings!$B$11,0,Settings!$B$11,1))*SQRT(Settings!$B$13)))</f>
        <v/>
      </c>
      <c r="I1434" s="20">
        <f>IF(OR(NOT(ISNUMBER($A1434)),ROW()-2&lt;Settings!$B$12),NA(),IF(COUNT(OFFSET(F1434,1-Settings!$B$12,0,Settings!$B$12,1))&lt;ROUNDUP(Settings!$B$12*Settings!$B$26,0),NA(),STDEV(OFFSET(F1434,1-Settings!$B$12,0,Settings!$B$12,1))*SQRT(Settings!$B$13)))</f>
        <v/>
      </c>
      <c r="J1434" s="20">
        <f>IF(OR(NOT(ISNUMBER($A1434)),ROW()-2&lt;Settings!$B$11),NA(),IF(COUNT(OFFSET(G1434,1-Settings!$B$11,0,Settings!$B$11,1))&lt;ROUNDUP(Settings!$B$11*Settings!$B$26,0),NA(),STDEV(OFFSET(G1434,1-Settings!$B$11,0,Settings!$B$11,1))*SQRT(Settings!$B$13)))</f>
        <v/>
      </c>
      <c r="K1434" s="20">
        <f>IF(OR(NOT(ISNUMBER($A1434)),ROW()-2&lt;Settings!$B$12),NA(),IF(COUNT(OFFSET(G1434,1-Settings!$B$12,0,Settings!$B$12,1))&lt;ROUNDUP(Settings!$B$12*Settings!$B$26,0),NA(),STDEV(OFFSET(G1434,1-Settings!$B$12,0,Settings!$B$12,1))*SQRT(Settings!$B$13)))</f>
        <v/>
      </c>
      <c r="L1434" s="20">
        <f>IF(AND(ISNUMBER(D1434),ISNUMBER(H1434)),D1434-H1434,NA())</f>
        <v/>
      </c>
      <c r="M1434" s="20">
        <f>IF(AND(ISNUMBER(E1434),ISNUMBER(K1434)),E1434-K1434,NA())</f>
        <v/>
      </c>
      <c r="N1434" s="20">
        <f>IF(NOT(ISNUMBER($A1434)),NA(),IF(COUNT(OFFSET(G1434,1,0,Settings!$B$12,1))&lt;ROUNDUP(Settings!$B$12*Settings!$B$26,0),NA(),STDEV(OFFSET(G1434,1,0,Settings!$B$12,1))*SQRT(Settings!$B$13)))</f>
        <v/>
      </c>
      <c r="O1434" s="20">
        <f>IF(AND(ISNUMBER(E1434),ISNUMBER(N1434)),E1434-N1434,NA())</f>
        <v/>
      </c>
      <c r="P1434" s="19">
        <f>IF(NOT(ISNUMBER($A1434)),NA(),IF(OR($A1434&lt;MIN(KW_TP!$A$2:$A$2501),$A1434&gt;MAX(KW_TP!$A$2:$A$2501)),NA(),INDEX(KW_TP!$C$2:$C$2501,MATCH($A1434,KW_TP!$A$2:$A$2501,1))))</f>
        <v/>
      </c>
      <c r="Q1434" s="18">
        <f>IF(NOT(ISNUMBER($A1434)),NA(),IFERROR(1*INDEX(BBG_Data!$J$2:$J$4000,MATCH($A1434,BBG_Data!$I$2:$I$4000,0)),NA()))</f>
        <v/>
      </c>
      <c r="R1434" s="18">
        <f>IF(NOT(ISNUMBER($A1434)),NA(),IFERROR(1*INDEX(BBG_Data!$L$2:$L$4000,MATCH($A1434,BBG_Data!$K$2:$K$4000,0)),NA()))</f>
        <v/>
      </c>
      <c r="S1434" s="20">
        <f>IF(AND(ISNUMBER(B1434),ISNUMBER(Q1434),ISNUMBER(R1434)),(B1434-Q1434-R1434)*100,NA())</f>
        <v/>
      </c>
      <c r="T1434" s="20">
        <f>IF(AND(ISNUMBER(B1434),Settings!$B$17&gt;0),IF(ISNUMBER(INDEX($B:$B,Settings!$B$17)),(B1434-INDEX($B:$B,Settings!$B$17))*100,NA()),NA())</f>
        <v/>
      </c>
      <c r="U1434" s="20">
        <f>IF(AND(ISNUMBER(Q1434),Settings!$B$17&gt;0),IF(ISNUMBER(INDEX($Q:$Q,Settings!$B$17)),(Q1434-INDEX($Q:$Q,Settings!$B$17))*100,NA()),NA())</f>
        <v/>
      </c>
      <c r="V1434" s="20">
        <f>IF(AND(ISNUMBER(R1434),Settings!$B$17&gt;0),IF(ISNUMBER(INDEX($R:$R,Settings!$B$17)),(R1434-INDEX($R:$R,Settings!$B$17))*100,NA()),NA())</f>
        <v/>
      </c>
      <c r="W1434" s="20">
        <f>IF(AND(ISNUMBER(P1434),Settings!$B$17&gt;0),IF(ISNUMBER(INDEX($P:$P,Settings!$B$17)),P1434-INDEX($P:$P,Settings!$B$17),NA()),NA())</f>
        <v/>
      </c>
      <c r="X1434" s="19">
        <f>IF(NOT(ISNUMBER($A1434)),NA(),IF(OR($A1434&lt;MIN(DKW_10Y!$A$2:$A$2918),$A1434&gt;MAX(DKW_10Y!$A$2:$A$2918),Settings!$B$16&lt;MIN(DKW_10Y!$A$2:$A$2918)),NA(),(INDEX(DKW_10Y!$B$2:$B$2918,MATCH($A1434,DKW_10Y!$A$2:$A$2918,1))-INDEX(DKW_10Y!$B$2:$B$2918,MATCH(Settings!$B$16,DKW_10Y!$A$2:$A$2918,1)))*100))</f>
        <v/>
      </c>
      <c r="Y1434" s="19">
        <f>IF(NOT(ISNUMBER($A1434)),NA(),IF(OR($A1434&lt;MIN(DKW_10Y!$A$2:$A$2918),$A1434&gt;MAX(DKW_10Y!$A$2:$A$2918),Settings!$B$16&lt;MIN(DKW_10Y!$A$2:$A$2918)),NA(),(INDEX(DKW_10Y!$C$2:$C$2918,MATCH($A1434,DKW_10Y!$A$2:$A$2918,1))-INDEX(DKW_10Y!$C$2:$C$2918,MATCH(Settings!$B$16,DKW_10Y!$A$2:$A$2918,1)))*100))</f>
        <v/>
      </c>
      <c r="Z1434" s="19">
        <f>IF(NOT(ISNUMBER($A1434)),NA(),IF(OR($A1434&lt;MIN(DKW_10Y!$A$2:$A$2918),$A1434&gt;MAX(DKW_10Y!$A$2:$A$2918),Settings!$B$16&lt;MIN(DKW_10Y!$A$2:$A$2918)),NA(),(INDEX(DKW_10Y!$D$2:$D$2918,MATCH($A1434,DKW_10Y!$A$2:$A$2918,1))-INDEX(DKW_10Y!$D$2:$D$2918,MATCH(Settings!$B$16,DKW_10Y!$A$2:$A$2918,1)))*100))</f>
        <v/>
      </c>
      <c r="AA1434" s="19">
        <f>IF(NOT(ISNUMBER($A1434)),NA(),IF(OR($A1434&lt;MIN(DKW_10Y!$A$2:$A$2918),$A1434&gt;MAX(DKW_10Y!$A$2:$A$2918),Settings!$B$16&lt;MIN(DKW_10Y!$A$2:$A$2918)),NA(),(INDEX(DKW_10Y!$E$2:$E$2918,MATCH($A1434,DKW_10Y!$A$2:$A$2918,1))-INDEX(DKW_10Y!$E$2:$E$2918,MATCH(Settings!$B$16,DKW_10Y!$A$2:$A$2918,1)))*100))</f>
        <v/>
      </c>
      <c r="AB1434" s="19">
        <f>IF(NOT(ISNUMBER($A1434)),NA(),IF(OR($A1434&lt;MIN(DKW_10Y!$A$2:$A$2918),$A1434&gt;MAX(DKW_10Y!$A$2:$A$2918),Settings!$B$16&lt;MIN(DKW_10Y!$A$2:$A$2918)),NA(),(INDEX(DKW_10Y!$H$2:$H$2918,MATCH($A1434,DKW_10Y!$A$2:$A$2918,1))-INDEX(DKW_10Y!$H$2:$H$2918,MATCH(Settings!$B$16,DKW_10Y!$A$2:$A$2918,1)))*100))</f>
        <v/>
      </c>
      <c r="AC1434" s="18">
        <f>IF(NOT(ISNUMBER($A1434)),NA(),IFERROR(1*INDEX(BBG_Data!$N$2:$N$4000,MATCH($A1434,BBG_Data!$M$2:$M$4000,0)),NA()))</f>
        <v/>
      </c>
      <c r="AD1434" s="18">
        <f>IF(NOT(ISNUMBER($A1434)),NA(),IFERROR(1*INDEX(BBG_Data!$P$2:$P$4000,MATCH($A1434,BBG_Data!$O$2:$O$4000,0)),NA()))</f>
        <v/>
      </c>
      <c r="AE1434" s="18">
        <f>IF(NOT(ISNUMBER($A1434)),NA(),IFERROR(1*INDEX(BBG_Data!$R$2:$R$4000,MATCH($A1434,BBG_Data!$Q$2:$Q$4000,0)),NA()))</f>
        <v/>
      </c>
      <c r="AF1434" s="20">
        <f>IF(AND(ISNUMBER(B1434),ISNUMBER(AC1434)),(B1434-AC1434)*100,NA())</f>
        <v/>
      </c>
      <c r="AG1434" s="20">
        <f>IF(AND(ISNUMBER(AE1434),ISNUMBER(AD1434)),(AE1434-AD1434)*100,NA())</f>
        <v/>
      </c>
      <c r="AH1434" s="19">
        <f>IF(NOT(ISNUMBER($A1434)),NA(),IFERROR(INDEX(BBG_Data!$T$2:$T$4000,MATCH($A1434,BBG_Data!$S$2:$S$4000,0))*Settings!$B$25,NA()))</f>
        <v/>
      </c>
      <c r="AI1434" s="19">
        <f>IF(NOT(ISNUMBER($A1434)),NA(),IFERROR(INDEX(BBG_Data!$V$2:$V$4000,MATCH($A1434,BBG_Data!$U$2:$U$4000,0))*Settings!$B$25,NA()))</f>
        <v/>
      </c>
      <c r="AJ1434" s="19">
        <f>IF(NOT(ISNUMBER($A1434)),NA(),IFERROR(1*INDEX(BBG_Data!$X$2:$X$4000,MATCH($A1434,BBG_Data!$W$2:$W$4000,0)),NA()))</f>
        <v/>
      </c>
      <c r="AK1434" s="19">
        <f>IF(NOT(ISNUMBER($A1434)),NA(),IFERROR(1*INDEX(BBG_Data!$Z$2:$Z$4000,MATCH($A1434,BBG_Data!$Y$2:$Y$4000,0)),NA()))</f>
        <v/>
      </c>
    </row>
    <row r="1435">
      <c r="A1435" s="17">
        <f>IF(ISNUMBER(BBG_Data!A1435),BBG_Data!A1435,"")</f>
        <v/>
      </c>
      <c r="B1435" s="18">
        <f>IF(AND(ISNUMBER($A1435),ISNUMBER(BBG_Data!B1435)),BBG_Data!B1435,NA())</f>
        <v/>
      </c>
      <c r="C1435" s="18">
        <f>IF(NOT(ISNUMBER($A1435)),NA(),IFERROR(1*INDEX(BBG_Data!$D$2:$D$4000,MATCH($A1435,BBG_Data!$C$2:$C$4000,0)),NA()))</f>
        <v/>
      </c>
      <c r="D1435" s="19">
        <f>IF(NOT(ISNUMBER($A1435)),NA(),IFERROR(1*INDEX(BBG_Data!$F$2:$F$4000,MATCH($A1435,BBG_Data!$E$2:$E$4000,0)),NA()))</f>
        <v/>
      </c>
      <c r="E1435" s="19">
        <f>IF(NOT(ISNUMBER($A1435)),NA(),IFERROR(1*INDEX(BBG_Data!$H$2:$H$4000,MATCH($A1435,BBG_Data!$G$2:$G$4000,0)),NA()))</f>
        <v/>
      </c>
      <c r="F1435" s="20">
        <f>IF(AND(ISNUMBER(B1435),ISNUMBER(B1434)),IF(B1435=B1434,"",(B1435-B1434)*100),"")</f>
        <v/>
      </c>
      <c r="G1435" s="20">
        <f>IF(AND(ISNUMBER(C1435),ISNUMBER(C1434)),IF(C1435=C1434,"",(C1435-C1434)*100),"")</f>
        <v/>
      </c>
      <c r="H1435" s="20">
        <f>IF(OR(NOT(ISNUMBER($A1435)),ROW()-2&lt;Settings!$B$11),NA(),IF(COUNT(OFFSET(F1435,1-Settings!$B$11,0,Settings!$B$11,1))&lt;ROUNDUP(Settings!$B$11*Settings!$B$26,0),NA(),STDEV(OFFSET(F1435,1-Settings!$B$11,0,Settings!$B$11,1))*SQRT(Settings!$B$13)))</f>
        <v/>
      </c>
      <c r="I1435" s="20">
        <f>IF(OR(NOT(ISNUMBER($A1435)),ROW()-2&lt;Settings!$B$12),NA(),IF(COUNT(OFFSET(F1435,1-Settings!$B$12,0,Settings!$B$12,1))&lt;ROUNDUP(Settings!$B$12*Settings!$B$26,0),NA(),STDEV(OFFSET(F1435,1-Settings!$B$12,0,Settings!$B$12,1))*SQRT(Settings!$B$13)))</f>
        <v/>
      </c>
      <c r="J1435" s="20">
        <f>IF(OR(NOT(ISNUMBER($A1435)),ROW()-2&lt;Settings!$B$11),NA(),IF(COUNT(OFFSET(G1435,1-Settings!$B$11,0,Settings!$B$11,1))&lt;ROUNDUP(Settings!$B$11*Settings!$B$26,0),NA(),STDEV(OFFSET(G1435,1-Settings!$B$11,0,Settings!$B$11,1))*SQRT(Settings!$B$13)))</f>
        <v/>
      </c>
      <c r="K1435" s="20">
        <f>IF(OR(NOT(ISNUMBER($A1435)),ROW()-2&lt;Settings!$B$12),NA(),IF(COUNT(OFFSET(G1435,1-Settings!$B$12,0,Settings!$B$12,1))&lt;ROUNDUP(Settings!$B$12*Settings!$B$26,0),NA(),STDEV(OFFSET(G1435,1-Settings!$B$12,0,Settings!$B$12,1))*SQRT(Settings!$B$13)))</f>
        <v/>
      </c>
      <c r="L1435" s="20">
        <f>IF(AND(ISNUMBER(D1435),ISNUMBER(H1435)),D1435-H1435,NA())</f>
        <v/>
      </c>
      <c r="M1435" s="20">
        <f>IF(AND(ISNUMBER(E1435),ISNUMBER(K1435)),E1435-K1435,NA())</f>
        <v/>
      </c>
      <c r="N1435" s="20">
        <f>IF(NOT(ISNUMBER($A1435)),NA(),IF(COUNT(OFFSET(G1435,1,0,Settings!$B$12,1))&lt;ROUNDUP(Settings!$B$12*Settings!$B$26,0),NA(),STDEV(OFFSET(G1435,1,0,Settings!$B$12,1))*SQRT(Settings!$B$13)))</f>
        <v/>
      </c>
      <c r="O1435" s="20">
        <f>IF(AND(ISNUMBER(E1435),ISNUMBER(N1435)),E1435-N1435,NA())</f>
        <v/>
      </c>
      <c r="P1435" s="19">
        <f>IF(NOT(ISNUMBER($A1435)),NA(),IF(OR($A1435&lt;MIN(KW_TP!$A$2:$A$2501),$A1435&gt;MAX(KW_TP!$A$2:$A$2501)),NA(),INDEX(KW_TP!$C$2:$C$2501,MATCH($A1435,KW_TP!$A$2:$A$2501,1))))</f>
        <v/>
      </c>
      <c r="Q1435" s="18">
        <f>IF(NOT(ISNUMBER($A1435)),NA(),IFERROR(1*INDEX(BBG_Data!$J$2:$J$4000,MATCH($A1435,BBG_Data!$I$2:$I$4000,0)),NA()))</f>
        <v/>
      </c>
      <c r="R1435" s="18">
        <f>IF(NOT(ISNUMBER($A1435)),NA(),IFERROR(1*INDEX(BBG_Data!$L$2:$L$4000,MATCH($A1435,BBG_Data!$K$2:$K$4000,0)),NA()))</f>
        <v/>
      </c>
      <c r="S1435" s="20">
        <f>IF(AND(ISNUMBER(B1435),ISNUMBER(Q1435),ISNUMBER(R1435)),(B1435-Q1435-R1435)*100,NA())</f>
        <v/>
      </c>
      <c r="T1435" s="20">
        <f>IF(AND(ISNUMBER(B1435),Settings!$B$17&gt;0),IF(ISNUMBER(INDEX($B:$B,Settings!$B$17)),(B1435-INDEX($B:$B,Settings!$B$17))*100,NA()),NA())</f>
        <v/>
      </c>
      <c r="U1435" s="20">
        <f>IF(AND(ISNUMBER(Q1435),Settings!$B$17&gt;0),IF(ISNUMBER(INDEX($Q:$Q,Settings!$B$17)),(Q1435-INDEX($Q:$Q,Settings!$B$17))*100,NA()),NA())</f>
        <v/>
      </c>
      <c r="V1435" s="20">
        <f>IF(AND(ISNUMBER(R1435),Settings!$B$17&gt;0),IF(ISNUMBER(INDEX($R:$R,Settings!$B$17)),(R1435-INDEX($R:$R,Settings!$B$17))*100,NA()),NA())</f>
        <v/>
      </c>
      <c r="W1435" s="20">
        <f>IF(AND(ISNUMBER(P1435),Settings!$B$17&gt;0),IF(ISNUMBER(INDEX($P:$P,Settings!$B$17)),P1435-INDEX($P:$P,Settings!$B$17),NA()),NA())</f>
        <v/>
      </c>
      <c r="X1435" s="19">
        <f>IF(NOT(ISNUMBER($A1435)),NA(),IF(OR($A1435&lt;MIN(DKW_10Y!$A$2:$A$2918),$A1435&gt;MAX(DKW_10Y!$A$2:$A$2918),Settings!$B$16&lt;MIN(DKW_10Y!$A$2:$A$2918)),NA(),(INDEX(DKW_10Y!$B$2:$B$2918,MATCH($A1435,DKW_10Y!$A$2:$A$2918,1))-INDEX(DKW_10Y!$B$2:$B$2918,MATCH(Settings!$B$16,DKW_10Y!$A$2:$A$2918,1)))*100))</f>
        <v/>
      </c>
      <c r="Y1435" s="19">
        <f>IF(NOT(ISNUMBER($A1435)),NA(),IF(OR($A1435&lt;MIN(DKW_10Y!$A$2:$A$2918),$A1435&gt;MAX(DKW_10Y!$A$2:$A$2918),Settings!$B$16&lt;MIN(DKW_10Y!$A$2:$A$2918)),NA(),(INDEX(DKW_10Y!$C$2:$C$2918,MATCH($A1435,DKW_10Y!$A$2:$A$2918,1))-INDEX(DKW_10Y!$C$2:$C$2918,MATCH(Settings!$B$16,DKW_10Y!$A$2:$A$2918,1)))*100))</f>
        <v/>
      </c>
      <c r="Z1435" s="19">
        <f>IF(NOT(ISNUMBER($A1435)),NA(),IF(OR($A1435&lt;MIN(DKW_10Y!$A$2:$A$2918),$A1435&gt;MAX(DKW_10Y!$A$2:$A$2918),Settings!$B$16&lt;MIN(DKW_10Y!$A$2:$A$2918)),NA(),(INDEX(DKW_10Y!$D$2:$D$2918,MATCH($A1435,DKW_10Y!$A$2:$A$2918,1))-INDEX(DKW_10Y!$D$2:$D$2918,MATCH(Settings!$B$16,DKW_10Y!$A$2:$A$2918,1)))*100))</f>
        <v/>
      </c>
      <c r="AA1435" s="19">
        <f>IF(NOT(ISNUMBER($A1435)),NA(),IF(OR($A1435&lt;MIN(DKW_10Y!$A$2:$A$2918),$A1435&gt;MAX(DKW_10Y!$A$2:$A$2918),Settings!$B$16&lt;MIN(DKW_10Y!$A$2:$A$2918)),NA(),(INDEX(DKW_10Y!$E$2:$E$2918,MATCH($A1435,DKW_10Y!$A$2:$A$2918,1))-INDEX(DKW_10Y!$E$2:$E$2918,MATCH(Settings!$B$16,DKW_10Y!$A$2:$A$2918,1)))*100))</f>
        <v/>
      </c>
      <c r="AB1435" s="19">
        <f>IF(NOT(ISNUMBER($A1435)),NA(),IF(OR($A1435&lt;MIN(DKW_10Y!$A$2:$A$2918),$A1435&gt;MAX(DKW_10Y!$A$2:$A$2918),Settings!$B$16&lt;MIN(DKW_10Y!$A$2:$A$2918)),NA(),(INDEX(DKW_10Y!$H$2:$H$2918,MATCH($A1435,DKW_10Y!$A$2:$A$2918,1))-INDEX(DKW_10Y!$H$2:$H$2918,MATCH(Settings!$B$16,DKW_10Y!$A$2:$A$2918,1)))*100))</f>
        <v/>
      </c>
      <c r="AC1435" s="18">
        <f>IF(NOT(ISNUMBER($A1435)),NA(),IFERROR(1*INDEX(BBG_Data!$N$2:$N$4000,MATCH($A1435,BBG_Data!$M$2:$M$4000,0)),NA()))</f>
        <v/>
      </c>
      <c r="AD1435" s="18">
        <f>IF(NOT(ISNUMBER($A1435)),NA(),IFERROR(1*INDEX(BBG_Data!$P$2:$P$4000,MATCH($A1435,BBG_Data!$O$2:$O$4000,0)),NA()))</f>
        <v/>
      </c>
      <c r="AE1435" s="18">
        <f>IF(NOT(ISNUMBER($A1435)),NA(),IFERROR(1*INDEX(BBG_Data!$R$2:$R$4000,MATCH($A1435,BBG_Data!$Q$2:$Q$4000,0)),NA()))</f>
        <v/>
      </c>
      <c r="AF1435" s="20">
        <f>IF(AND(ISNUMBER(B1435),ISNUMBER(AC1435)),(B1435-AC1435)*100,NA())</f>
        <v/>
      </c>
      <c r="AG1435" s="20">
        <f>IF(AND(ISNUMBER(AE1435),ISNUMBER(AD1435)),(AE1435-AD1435)*100,NA())</f>
        <v/>
      </c>
      <c r="AH1435" s="19">
        <f>IF(NOT(ISNUMBER($A1435)),NA(),IFERROR(INDEX(BBG_Data!$T$2:$T$4000,MATCH($A1435,BBG_Data!$S$2:$S$4000,0))*Settings!$B$25,NA()))</f>
        <v/>
      </c>
      <c r="AI1435" s="19">
        <f>IF(NOT(ISNUMBER($A1435)),NA(),IFERROR(INDEX(BBG_Data!$V$2:$V$4000,MATCH($A1435,BBG_Data!$U$2:$U$4000,0))*Settings!$B$25,NA()))</f>
        <v/>
      </c>
      <c r="AJ1435" s="19">
        <f>IF(NOT(ISNUMBER($A1435)),NA(),IFERROR(1*INDEX(BBG_Data!$X$2:$X$4000,MATCH($A1435,BBG_Data!$W$2:$W$4000,0)),NA()))</f>
        <v/>
      </c>
      <c r="AK1435" s="19">
        <f>IF(NOT(ISNUMBER($A1435)),NA(),IFERROR(1*INDEX(BBG_Data!$Z$2:$Z$4000,MATCH($A1435,BBG_Data!$Y$2:$Y$4000,0)),NA()))</f>
        <v/>
      </c>
    </row>
    <row r="1436">
      <c r="A1436" s="17">
        <f>IF(ISNUMBER(BBG_Data!A1436),BBG_Data!A1436,"")</f>
        <v/>
      </c>
      <c r="B1436" s="18">
        <f>IF(AND(ISNUMBER($A1436),ISNUMBER(BBG_Data!B1436)),BBG_Data!B1436,NA())</f>
        <v/>
      </c>
      <c r="C1436" s="18">
        <f>IF(NOT(ISNUMBER($A1436)),NA(),IFERROR(1*INDEX(BBG_Data!$D$2:$D$4000,MATCH($A1436,BBG_Data!$C$2:$C$4000,0)),NA()))</f>
        <v/>
      </c>
      <c r="D1436" s="19">
        <f>IF(NOT(ISNUMBER($A1436)),NA(),IFERROR(1*INDEX(BBG_Data!$F$2:$F$4000,MATCH($A1436,BBG_Data!$E$2:$E$4000,0)),NA()))</f>
        <v/>
      </c>
      <c r="E1436" s="19">
        <f>IF(NOT(ISNUMBER($A1436)),NA(),IFERROR(1*INDEX(BBG_Data!$H$2:$H$4000,MATCH($A1436,BBG_Data!$G$2:$G$4000,0)),NA()))</f>
        <v/>
      </c>
      <c r="F1436" s="20">
        <f>IF(AND(ISNUMBER(B1436),ISNUMBER(B1435)),IF(B1436=B1435,"",(B1436-B1435)*100),"")</f>
        <v/>
      </c>
      <c r="G1436" s="20">
        <f>IF(AND(ISNUMBER(C1436),ISNUMBER(C1435)),IF(C1436=C1435,"",(C1436-C1435)*100),"")</f>
        <v/>
      </c>
      <c r="H1436" s="20">
        <f>IF(OR(NOT(ISNUMBER($A1436)),ROW()-2&lt;Settings!$B$11),NA(),IF(COUNT(OFFSET(F1436,1-Settings!$B$11,0,Settings!$B$11,1))&lt;ROUNDUP(Settings!$B$11*Settings!$B$26,0),NA(),STDEV(OFFSET(F1436,1-Settings!$B$11,0,Settings!$B$11,1))*SQRT(Settings!$B$13)))</f>
        <v/>
      </c>
      <c r="I1436" s="20">
        <f>IF(OR(NOT(ISNUMBER($A1436)),ROW()-2&lt;Settings!$B$12),NA(),IF(COUNT(OFFSET(F1436,1-Settings!$B$12,0,Settings!$B$12,1))&lt;ROUNDUP(Settings!$B$12*Settings!$B$26,0),NA(),STDEV(OFFSET(F1436,1-Settings!$B$12,0,Settings!$B$12,1))*SQRT(Settings!$B$13)))</f>
        <v/>
      </c>
      <c r="J1436" s="20">
        <f>IF(OR(NOT(ISNUMBER($A1436)),ROW()-2&lt;Settings!$B$11),NA(),IF(COUNT(OFFSET(G1436,1-Settings!$B$11,0,Settings!$B$11,1))&lt;ROUNDUP(Settings!$B$11*Settings!$B$26,0),NA(),STDEV(OFFSET(G1436,1-Settings!$B$11,0,Settings!$B$11,1))*SQRT(Settings!$B$13)))</f>
        <v/>
      </c>
      <c r="K1436" s="20">
        <f>IF(OR(NOT(ISNUMBER($A1436)),ROW()-2&lt;Settings!$B$12),NA(),IF(COUNT(OFFSET(G1436,1-Settings!$B$12,0,Settings!$B$12,1))&lt;ROUNDUP(Settings!$B$12*Settings!$B$26,0),NA(),STDEV(OFFSET(G1436,1-Settings!$B$12,0,Settings!$B$12,1))*SQRT(Settings!$B$13)))</f>
        <v/>
      </c>
      <c r="L1436" s="20">
        <f>IF(AND(ISNUMBER(D1436),ISNUMBER(H1436)),D1436-H1436,NA())</f>
        <v/>
      </c>
      <c r="M1436" s="20">
        <f>IF(AND(ISNUMBER(E1436),ISNUMBER(K1436)),E1436-K1436,NA())</f>
        <v/>
      </c>
      <c r="N1436" s="20">
        <f>IF(NOT(ISNUMBER($A1436)),NA(),IF(COUNT(OFFSET(G1436,1,0,Settings!$B$12,1))&lt;ROUNDUP(Settings!$B$12*Settings!$B$26,0),NA(),STDEV(OFFSET(G1436,1,0,Settings!$B$12,1))*SQRT(Settings!$B$13)))</f>
        <v/>
      </c>
      <c r="O1436" s="20">
        <f>IF(AND(ISNUMBER(E1436),ISNUMBER(N1436)),E1436-N1436,NA())</f>
        <v/>
      </c>
      <c r="P1436" s="19">
        <f>IF(NOT(ISNUMBER($A1436)),NA(),IF(OR($A1436&lt;MIN(KW_TP!$A$2:$A$2501),$A1436&gt;MAX(KW_TP!$A$2:$A$2501)),NA(),INDEX(KW_TP!$C$2:$C$2501,MATCH($A1436,KW_TP!$A$2:$A$2501,1))))</f>
        <v/>
      </c>
      <c r="Q1436" s="18">
        <f>IF(NOT(ISNUMBER($A1436)),NA(),IFERROR(1*INDEX(BBG_Data!$J$2:$J$4000,MATCH($A1436,BBG_Data!$I$2:$I$4000,0)),NA()))</f>
        <v/>
      </c>
      <c r="R1436" s="18">
        <f>IF(NOT(ISNUMBER($A1436)),NA(),IFERROR(1*INDEX(BBG_Data!$L$2:$L$4000,MATCH($A1436,BBG_Data!$K$2:$K$4000,0)),NA()))</f>
        <v/>
      </c>
      <c r="S1436" s="20">
        <f>IF(AND(ISNUMBER(B1436),ISNUMBER(Q1436),ISNUMBER(R1436)),(B1436-Q1436-R1436)*100,NA())</f>
        <v/>
      </c>
      <c r="T1436" s="20">
        <f>IF(AND(ISNUMBER(B1436),Settings!$B$17&gt;0),IF(ISNUMBER(INDEX($B:$B,Settings!$B$17)),(B1436-INDEX($B:$B,Settings!$B$17))*100,NA()),NA())</f>
        <v/>
      </c>
      <c r="U1436" s="20">
        <f>IF(AND(ISNUMBER(Q1436),Settings!$B$17&gt;0),IF(ISNUMBER(INDEX($Q:$Q,Settings!$B$17)),(Q1436-INDEX($Q:$Q,Settings!$B$17))*100,NA()),NA())</f>
        <v/>
      </c>
      <c r="V1436" s="20">
        <f>IF(AND(ISNUMBER(R1436),Settings!$B$17&gt;0),IF(ISNUMBER(INDEX($R:$R,Settings!$B$17)),(R1436-INDEX($R:$R,Settings!$B$17))*100,NA()),NA())</f>
        <v/>
      </c>
      <c r="W1436" s="20">
        <f>IF(AND(ISNUMBER(P1436),Settings!$B$17&gt;0),IF(ISNUMBER(INDEX($P:$P,Settings!$B$17)),P1436-INDEX($P:$P,Settings!$B$17),NA()),NA())</f>
        <v/>
      </c>
      <c r="X1436" s="19">
        <f>IF(NOT(ISNUMBER($A1436)),NA(),IF(OR($A1436&lt;MIN(DKW_10Y!$A$2:$A$2918),$A1436&gt;MAX(DKW_10Y!$A$2:$A$2918),Settings!$B$16&lt;MIN(DKW_10Y!$A$2:$A$2918)),NA(),(INDEX(DKW_10Y!$B$2:$B$2918,MATCH($A1436,DKW_10Y!$A$2:$A$2918,1))-INDEX(DKW_10Y!$B$2:$B$2918,MATCH(Settings!$B$16,DKW_10Y!$A$2:$A$2918,1)))*100))</f>
        <v/>
      </c>
      <c r="Y1436" s="19">
        <f>IF(NOT(ISNUMBER($A1436)),NA(),IF(OR($A1436&lt;MIN(DKW_10Y!$A$2:$A$2918),$A1436&gt;MAX(DKW_10Y!$A$2:$A$2918),Settings!$B$16&lt;MIN(DKW_10Y!$A$2:$A$2918)),NA(),(INDEX(DKW_10Y!$C$2:$C$2918,MATCH($A1436,DKW_10Y!$A$2:$A$2918,1))-INDEX(DKW_10Y!$C$2:$C$2918,MATCH(Settings!$B$16,DKW_10Y!$A$2:$A$2918,1)))*100))</f>
        <v/>
      </c>
      <c r="Z1436" s="19">
        <f>IF(NOT(ISNUMBER($A1436)),NA(),IF(OR($A1436&lt;MIN(DKW_10Y!$A$2:$A$2918),$A1436&gt;MAX(DKW_10Y!$A$2:$A$2918),Settings!$B$16&lt;MIN(DKW_10Y!$A$2:$A$2918)),NA(),(INDEX(DKW_10Y!$D$2:$D$2918,MATCH($A1436,DKW_10Y!$A$2:$A$2918,1))-INDEX(DKW_10Y!$D$2:$D$2918,MATCH(Settings!$B$16,DKW_10Y!$A$2:$A$2918,1)))*100))</f>
        <v/>
      </c>
      <c r="AA1436" s="19">
        <f>IF(NOT(ISNUMBER($A1436)),NA(),IF(OR($A1436&lt;MIN(DKW_10Y!$A$2:$A$2918),$A1436&gt;MAX(DKW_10Y!$A$2:$A$2918),Settings!$B$16&lt;MIN(DKW_10Y!$A$2:$A$2918)),NA(),(INDEX(DKW_10Y!$E$2:$E$2918,MATCH($A1436,DKW_10Y!$A$2:$A$2918,1))-INDEX(DKW_10Y!$E$2:$E$2918,MATCH(Settings!$B$16,DKW_10Y!$A$2:$A$2918,1)))*100))</f>
        <v/>
      </c>
      <c r="AB1436" s="19">
        <f>IF(NOT(ISNUMBER($A1436)),NA(),IF(OR($A1436&lt;MIN(DKW_10Y!$A$2:$A$2918),$A1436&gt;MAX(DKW_10Y!$A$2:$A$2918),Settings!$B$16&lt;MIN(DKW_10Y!$A$2:$A$2918)),NA(),(INDEX(DKW_10Y!$H$2:$H$2918,MATCH($A1436,DKW_10Y!$A$2:$A$2918,1))-INDEX(DKW_10Y!$H$2:$H$2918,MATCH(Settings!$B$16,DKW_10Y!$A$2:$A$2918,1)))*100))</f>
        <v/>
      </c>
      <c r="AC1436" s="18">
        <f>IF(NOT(ISNUMBER($A1436)),NA(),IFERROR(1*INDEX(BBG_Data!$N$2:$N$4000,MATCH($A1436,BBG_Data!$M$2:$M$4000,0)),NA()))</f>
        <v/>
      </c>
      <c r="AD1436" s="18">
        <f>IF(NOT(ISNUMBER($A1436)),NA(),IFERROR(1*INDEX(BBG_Data!$P$2:$P$4000,MATCH($A1436,BBG_Data!$O$2:$O$4000,0)),NA()))</f>
        <v/>
      </c>
      <c r="AE1436" s="18">
        <f>IF(NOT(ISNUMBER($A1436)),NA(),IFERROR(1*INDEX(BBG_Data!$R$2:$R$4000,MATCH($A1436,BBG_Data!$Q$2:$Q$4000,0)),NA()))</f>
        <v/>
      </c>
      <c r="AF1436" s="20">
        <f>IF(AND(ISNUMBER(B1436),ISNUMBER(AC1436)),(B1436-AC1436)*100,NA())</f>
        <v/>
      </c>
      <c r="AG1436" s="20">
        <f>IF(AND(ISNUMBER(AE1436),ISNUMBER(AD1436)),(AE1436-AD1436)*100,NA())</f>
        <v/>
      </c>
      <c r="AH1436" s="19">
        <f>IF(NOT(ISNUMBER($A1436)),NA(),IFERROR(INDEX(BBG_Data!$T$2:$T$4000,MATCH($A1436,BBG_Data!$S$2:$S$4000,0))*Settings!$B$25,NA()))</f>
        <v/>
      </c>
      <c r="AI1436" s="19">
        <f>IF(NOT(ISNUMBER($A1436)),NA(),IFERROR(INDEX(BBG_Data!$V$2:$V$4000,MATCH($A1436,BBG_Data!$U$2:$U$4000,0))*Settings!$B$25,NA()))</f>
        <v/>
      </c>
      <c r="AJ1436" s="19">
        <f>IF(NOT(ISNUMBER($A1436)),NA(),IFERROR(1*INDEX(BBG_Data!$X$2:$X$4000,MATCH($A1436,BBG_Data!$W$2:$W$4000,0)),NA()))</f>
        <v/>
      </c>
      <c r="AK1436" s="19">
        <f>IF(NOT(ISNUMBER($A1436)),NA(),IFERROR(1*INDEX(BBG_Data!$Z$2:$Z$4000,MATCH($A1436,BBG_Data!$Y$2:$Y$4000,0)),NA()))</f>
        <v/>
      </c>
    </row>
    <row r="1437">
      <c r="A1437" s="17">
        <f>IF(ISNUMBER(BBG_Data!A1437),BBG_Data!A1437,"")</f>
        <v/>
      </c>
      <c r="B1437" s="18">
        <f>IF(AND(ISNUMBER($A1437),ISNUMBER(BBG_Data!B1437)),BBG_Data!B1437,NA())</f>
        <v/>
      </c>
      <c r="C1437" s="18">
        <f>IF(NOT(ISNUMBER($A1437)),NA(),IFERROR(1*INDEX(BBG_Data!$D$2:$D$4000,MATCH($A1437,BBG_Data!$C$2:$C$4000,0)),NA()))</f>
        <v/>
      </c>
      <c r="D1437" s="19">
        <f>IF(NOT(ISNUMBER($A1437)),NA(),IFERROR(1*INDEX(BBG_Data!$F$2:$F$4000,MATCH($A1437,BBG_Data!$E$2:$E$4000,0)),NA()))</f>
        <v/>
      </c>
      <c r="E1437" s="19">
        <f>IF(NOT(ISNUMBER($A1437)),NA(),IFERROR(1*INDEX(BBG_Data!$H$2:$H$4000,MATCH($A1437,BBG_Data!$G$2:$G$4000,0)),NA()))</f>
        <v/>
      </c>
      <c r="F1437" s="20">
        <f>IF(AND(ISNUMBER(B1437),ISNUMBER(B1436)),IF(B1437=B1436,"",(B1437-B1436)*100),"")</f>
        <v/>
      </c>
      <c r="G1437" s="20">
        <f>IF(AND(ISNUMBER(C1437),ISNUMBER(C1436)),IF(C1437=C1436,"",(C1437-C1436)*100),"")</f>
        <v/>
      </c>
      <c r="H1437" s="20">
        <f>IF(OR(NOT(ISNUMBER($A1437)),ROW()-2&lt;Settings!$B$11),NA(),IF(COUNT(OFFSET(F1437,1-Settings!$B$11,0,Settings!$B$11,1))&lt;ROUNDUP(Settings!$B$11*Settings!$B$26,0),NA(),STDEV(OFFSET(F1437,1-Settings!$B$11,0,Settings!$B$11,1))*SQRT(Settings!$B$13)))</f>
        <v/>
      </c>
      <c r="I1437" s="20">
        <f>IF(OR(NOT(ISNUMBER($A1437)),ROW()-2&lt;Settings!$B$12),NA(),IF(COUNT(OFFSET(F1437,1-Settings!$B$12,0,Settings!$B$12,1))&lt;ROUNDUP(Settings!$B$12*Settings!$B$26,0),NA(),STDEV(OFFSET(F1437,1-Settings!$B$12,0,Settings!$B$12,1))*SQRT(Settings!$B$13)))</f>
        <v/>
      </c>
      <c r="J1437" s="20">
        <f>IF(OR(NOT(ISNUMBER($A1437)),ROW()-2&lt;Settings!$B$11),NA(),IF(COUNT(OFFSET(G1437,1-Settings!$B$11,0,Settings!$B$11,1))&lt;ROUNDUP(Settings!$B$11*Settings!$B$26,0),NA(),STDEV(OFFSET(G1437,1-Settings!$B$11,0,Settings!$B$11,1))*SQRT(Settings!$B$13)))</f>
        <v/>
      </c>
      <c r="K1437" s="20">
        <f>IF(OR(NOT(ISNUMBER($A1437)),ROW()-2&lt;Settings!$B$12),NA(),IF(COUNT(OFFSET(G1437,1-Settings!$B$12,0,Settings!$B$12,1))&lt;ROUNDUP(Settings!$B$12*Settings!$B$26,0),NA(),STDEV(OFFSET(G1437,1-Settings!$B$12,0,Settings!$B$12,1))*SQRT(Settings!$B$13)))</f>
        <v/>
      </c>
      <c r="L1437" s="20">
        <f>IF(AND(ISNUMBER(D1437),ISNUMBER(H1437)),D1437-H1437,NA())</f>
        <v/>
      </c>
      <c r="M1437" s="20">
        <f>IF(AND(ISNUMBER(E1437),ISNUMBER(K1437)),E1437-K1437,NA())</f>
        <v/>
      </c>
      <c r="N1437" s="20">
        <f>IF(NOT(ISNUMBER($A1437)),NA(),IF(COUNT(OFFSET(G1437,1,0,Settings!$B$12,1))&lt;ROUNDUP(Settings!$B$12*Settings!$B$26,0),NA(),STDEV(OFFSET(G1437,1,0,Settings!$B$12,1))*SQRT(Settings!$B$13)))</f>
        <v/>
      </c>
      <c r="O1437" s="20">
        <f>IF(AND(ISNUMBER(E1437),ISNUMBER(N1437)),E1437-N1437,NA())</f>
        <v/>
      </c>
      <c r="P1437" s="19">
        <f>IF(NOT(ISNUMBER($A1437)),NA(),IF(OR($A1437&lt;MIN(KW_TP!$A$2:$A$2501),$A1437&gt;MAX(KW_TP!$A$2:$A$2501)),NA(),INDEX(KW_TP!$C$2:$C$2501,MATCH($A1437,KW_TP!$A$2:$A$2501,1))))</f>
        <v/>
      </c>
      <c r="Q1437" s="18">
        <f>IF(NOT(ISNUMBER($A1437)),NA(),IFERROR(1*INDEX(BBG_Data!$J$2:$J$4000,MATCH($A1437,BBG_Data!$I$2:$I$4000,0)),NA()))</f>
        <v/>
      </c>
      <c r="R1437" s="18">
        <f>IF(NOT(ISNUMBER($A1437)),NA(),IFERROR(1*INDEX(BBG_Data!$L$2:$L$4000,MATCH($A1437,BBG_Data!$K$2:$K$4000,0)),NA()))</f>
        <v/>
      </c>
      <c r="S1437" s="20">
        <f>IF(AND(ISNUMBER(B1437),ISNUMBER(Q1437),ISNUMBER(R1437)),(B1437-Q1437-R1437)*100,NA())</f>
        <v/>
      </c>
      <c r="T1437" s="20">
        <f>IF(AND(ISNUMBER(B1437),Settings!$B$17&gt;0),IF(ISNUMBER(INDEX($B:$B,Settings!$B$17)),(B1437-INDEX($B:$B,Settings!$B$17))*100,NA()),NA())</f>
        <v/>
      </c>
      <c r="U1437" s="20">
        <f>IF(AND(ISNUMBER(Q1437),Settings!$B$17&gt;0),IF(ISNUMBER(INDEX($Q:$Q,Settings!$B$17)),(Q1437-INDEX($Q:$Q,Settings!$B$17))*100,NA()),NA())</f>
        <v/>
      </c>
      <c r="V1437" s="20">
        <f>IF(AND(ISNUMBER(R1437),Settings!$B$17&gt;0),IF(ISNUMBER(INDEX($R:$R,Settings!$B$17)),(R1437-INDEX($R:$R,Settings!$B$17))*100,NA()),NA())</f>
        <v/>
      </c>
      <c r="W1437" s="20">
        <f>IF(AND(ISNUMBER(P1437),Settings!$B$17&gt;0),IF(ISNUMBER(INDEX($P:$P,Settings!$B$17)),P1437-INDEX($P:$P,Settings!$B$17),NA()),NA())</f>
        <v/>
      </c>
      <c r="X1437" s="19">
        <f>IF(NOT(ISNUMBER($A1437)),NA(),IF(OR($A1437&lt;MIN(DKW_10Y!$A$2:$A$2918),$A1437&gt;MAX(DKW_10Y!$A$2:$A$2918),Settings!$B$16&lt;MIN(DKW_10Y!$A$2:$A$2918)),NA(),(INDEX(DKW_10Y!$B$2:$B$2918,MATCH($A1437,DKW_10Y!$A$2:$A$2918,1))-INDEX(DKW_10Y!$B$2:$B$2918,MATCH(Settings!$B$16,DKW_10Y!$A$2:$A$2918,1)))*100))</f>
        <v/>
      </c>
      <c r="Y1437" s="19">
        <f>IF(NOT(ISNUMBER($A1437)),NA(),IF(OR($A1437&lt;MIN(DKW_10Y!$A$2:$A$2918),$A1437&gt;MAX(DKW_10Y!$A$2:$A$2918),Settings!$B$16&lt;MIN(DKW_10Y!$A$2:$A$2918)),NA(),(INDEX(DKW_10Y!$C$2:$C$2918,MATCH($A1437,DKW_10Y!$A$2:$A$2918,1))-INDEX(DKW_10Y!$C$2:$C$2918,MATCH(Settings!$B$16,DKW_10Y!$A$2:$A$2918,1)))*100))</f>
        <v/>
      </c>
      <c r="Z1437" s="19">
        <f>IF(NOT(ISNUMBER($A1437)),NA(),IF(OR($A1437&lt;MIN(DKW_10Y!$A$2:$A$2918),$A1437&gt;MAX(DKW_10Y!$A$2:$A$2918),Settings!$B$16&lt;MIN(DKW_10Y!$A$2:$A$2918)),NA(),(INDEX(DKW_10Y!$D$2:$D$2918,MATCH($A1437,DKW_10Y!$A$2:$A$2918,1))-INDEX(DKW_10Y!$D$2:$D$2918,MATCH(Settings!$B$16,DKW_10Y!$A$2:$A$2918,1)))*100))</f>
        <v/>
      </c>
      <c r="AA1437" s="19">
        <f>IF(NOT(ISNUMBER($A1437)),NA(),IF(OR($A1437&lt;MIN(DKW_10Y!$A$2:$A$2918),$A1437&gt;MAX(DKW_10Y!$A$2:$A$2918),Settings!$B$16&lt;MIN(DKW_10Y!$A$2:$A$2918)),NA(),(INDEX(DKW_10Y!$E$2:$E$2918,MATCH($A1437,DKW_10Y!$A$2:$A$2918,1))-INDEX(DKW_10Y!$E$2:$E$2918,MATCH(Settings!$B$16,DKW_10Y!$A$2:$A$2918,1)))*100))</f>
        <v/>
      </c>
      <c r="AB1437" s="19">
        <f>IF(NOT(ISNUMBER($A1437)),NA(),IF(OR($A1437&lt;MIN(DKW_10Y!$A$2:$A$2918),$A1437&gt;MAX(DKW_10Y!$A$2:$A$2918),Settings!$B$16&lt;MIN(DKW_10Y!$A$2:$A$2918)),NA(),(INDEX(DKW_10Y!$H$2:$H$2918,MATCH($A1437,DKW_10Y!$A$2:$A$2918,1))-INDEX(DKW_10Y!$H$2:$H$2918,MATCH(Settings!$B$16,DKW_10Y!$A$2:$A$2918,1)))*100))</f>
        <v/>
      </c>
      <c r="AC1437" s="18">
        <f>IF(NOT(ISNUMBER($A1437)),NA(),IFERROR(1*INDEX(BBG_Data!$N$2:$N$4000,MATCH($A1437,BBG_Data!$M$2:$M$4000,0)),NA()))</f>
        <v/>
      </c>
      <c r="AD1437" s="18">
        <f>IF(NOT(ISNUMBER($A1437)),NA(),IFERROR(1*INDEX(BBG_Data!$P$2:$P$4000,MATCH($A1437,BBG_Data!$O$2:$O$4000,0)),NA()))</f>
        <v/>
      </c>
      <c r="AE1437" s="18">
        <f>IF(NOT(ISNUMBER($A1437)),NA(),IFERROR(1*INDEX(BBG_Data!$R$2:$R$4000,MATCH($A1437,BBG_Data!$Q$2:$Q$4000,0)),NA()))</f>
        <v/>
      </c>
      <c r="AF1437" s="20">
        <f>IF(AND(ISNUMBER(B1437),ISNUMBER(AC1437)),(B1437-AC1437)*100,NA())</f>
        <v/>
      </c>
      <c r="AG1437" s="20">
        <f>IF(AND(ISNUMBER(AE1437),ISNUMBER(AD1437)),(AE1437-AD1437)*100,NA())</f>
        <v/>
      </c>
      <c r="AH1437" s="19">
        <f>IF(NOT(ISNUMBER($A1437)),NA(),IFERROR(INDEX(BBG_Data!$T$2:$T$4000,MATCH($A1437,BBG_Data!$S$2:$S$4000,0))*Settings!$B$25,NA()))</f>
        <v/>
      </c>
      <c r="AI1437" s="19">
        <f>IF(NOT(ISNUMBER($A1437)),NA(),IFERROR(INDEX(BBG_Data!$V$2:$V$4000,MATCH($A1437,BBG_Data!$U$2:$U$4000,0))*Settings!$B$25,NA()))</f>
        <v/>
      </c>
      <c r="AJ1437" s="19">
        <f>IF(NOT(ISNUMBER($A1437)),NA(),IFERROR(1*INDEX(BBG_Data!$X$2:$X$4000,MATCH($A1437,BBG_Data!$W$2:$W$4000,0)),NA()))</f>
        <v/>
      </c>
      <c r="AK1437" s="19">
        <f>IF(NOT(ISNUMBER($A1437)),NA(),IFERROR(1*INDEX(BBG_Data!$Z$2:$Z$4000,MATCH($A1437,BBG_Data!$Y$2:$Y$4000,0)),NA()))</f>
        <v/>
      </c>
    </row>
    <row r="1438">
      <c r="A1438" s="17">
        <f>IF(ISNUMBER(BBG_Data!A1438),BBG_Data!A1438,"")</f>
        <v/>
      </c>
      <c r="B1438" s="18">
        <f>IF(AND(ISNUMBER($A1438),ISNUMBER(BBG_Data!B1438)),BBG_Data!B1438,NA())</f>
        <v/>
      </c>
      <c r="C1438" s="18">
        <f>IF(NOT(ISNUMBER($A1438)),NA(),IFERROR(1*INDEX(BBG_Data!$D$2:$D$4000,MATCH($A1438,BBG_Data!$C$2:$C$4000,0)),NA()))</f>
        <v/>
      </c>
      <c r="D1438" s="19">
        <f>IF(NOT(ISNUMBER($A1438)),NA(),IFERROR(1*INDEX(BBG_Data!$F$2:$F$4000,MATCH($A1438,BBG_Data!$E$2:$E$4000,0)),NA()))</f>
        <v/>
      </c>
      <c r="E1438" s="19">
        <f>IF(NOT(ISNUMBER($A1438)),NA(),IFERROR(1*INDEX(BBG_Data!$H$2:$H$4000,MATCH($A1438,BBG_Data!$G$2:$G$4000,0)),NA()))</f>
        <v/>
      </c>
      <c r="F1438" s="20">
        <f>IF(AND(ISNUMBER(B1438),ISNUMBER(B1437)),IF(B1438=B1437,"",(B1438-B1437)*100),"")</f>
        <v/>
      </c>
      <c r="G1438" s="20">
        <f>IF(AND(ISNUMBER(C1438),ISNUMBER(C1437)),IF(C1438=C1437,"",(C1438-C1437)*100),"")</f>
        <v/>
      </c>
      <c r="H1438" s="20">
        <f>IF(OR(NOT(ISNUMBER($A1438)),ROW()-2&lt;Settings!$B$11),NA(),IF(COUNT(OFFSET(F1438,1-Settings!$B$11,0,Settings!$B$11,1))&lt;ROUNDUP(Settings!$B$11*Settings!$B$26,0),NA(),STDEV(OFFSET(F1438,1-Settings!$B$11,0,Settings!$B$11,1))*SQRT(Settings!$B$13)))</f>
        <v/>
      </c>
      <c r="I1438" s="20">
        <f>IF(OR(NOT(ISNUMBER($A1438)),ROW()-2&lt;Settings!$B$12),NA(),IF(COUNT(OFFSET(F1438,1-Settings!$B$12,0,Settings!$B$12,1))&lt;ROUNDUP(Settings!$B$12*Settings!$B$26,0),NA(),STDEV(OFFSET(F1438,1-Settings!$B$12,0,Settings!$B$12,1))*SQRT(Settings!$B$13)))</f>
        <v/>
      </c>
      <c r="J1438" s="20">
        <f>IF(OR(NOT(ISNUMBER($A1438)),ROW()-2&lt;Settings!$B$11),NA(),IF(COUNT(OFFSET(G1438,1-Settings!$B$11,0,Settings!$B$11,1))&lt;ROUNDUP(Settings!$B$11*Settings!$B$26,0),NA(),STDEV(OFFSET(G1438,1-Settings!$B$11,0,Settings!$B$11,1))*SQRT(Settings!$B$13)))</f>
        <v/>
      </c>
      <c r="K1438" s="20">
        <f>IF(OR(NOT(ISNUMBER($A1438)),ROW()-2&lt;Settings!$B$12),NA(),IF(COUNT(OFFSET(G1438,1-Settings!$B$12,0,Settings!$B$12,1))&lt;ROUNDUP(Settings!$B$12*Settings!$B$26,0),NA(),STDEV(OFFSET(G1438,1-Settings!$B$12,0,Settings!$B$12,1))*SQRT(Settings!$B$13)))</f>
        <v/>
      </c>
      <c r="L1438" s="20">
        <f>IF(AND(ISNUMBER(D1438),ISNUMBER(H1438)),D1438-H1438,NA())</f>
        <v/>
      </c>
      <c r="M1438" s="20">
        <f>IF(AND(ISNUMBER(E1438),ISNUMBER(K1438)),E1438-K1438,NA())</f>
        <v/>
      </c>
      <c r="N1438" s="20">
        <f>IF(NOT(ISNUMBER($A1438)),NA(),IF(COUNT(OFFSET(G1438,1,0,Settings!$B$12,1))&lt;ROUNDUP(Settings!$B$12*Settings!$B$26,0),NA(),STDEV(OFFSET(G1438,1,0,Settings!$B$12,1))*SQRT(Settings!$B$13)))</f>
        <v/>
      </c>
      <c r="O1438" s="20">
        <f>IF(AND(ISNUMBER(E1438),ISNUMBER(N1438)),E1438-N1438,NA())</f>
        <v/>
      </c>
      <c r="P1438" s="19">
        <f>IF(NOT(ISNUMBER($A1438)),NA(),IF(OR($A1438&lt;MIN(KW_TP!$A$2:$A$2501),$A1438&gt;MAX(KW_TP!$A$2:$A$2501)),NA(),INDEX(KW_TP!$C$2:$C$2501,MATCH($A1438,KW_TP!$A$2:$A$2501,1))))</f>
        <v/>
      </c>
      <c r="Q1438" s="18">
        <f>IF(NOT(ISNUMBER($A1438)),NA(),IFERROR(1*INDEX(BBG_Data!$J$2:$J$4000,MATCH($A1438,BBG_Data!$I$2:$I$4000,0)),NA()))</f>
        <v/>
      </c>
      <c r="R1438" s="18">
        <f>IF(NOT(ISNUMBER($A1438)),NA(),IFERROR(1*INDEX(BBG_Data!$L$2:$L$4000,MATCH($A1438,BBG_Data!$K$2:$K$4000,0)),NA()))</f>
        <v/>
      </c>
      <c r="S1438" s="20">
        <f>IF(AND(ISNUMBER(B1438),ISNUMBER(Q1438),ISNUMBER(R1438)),(B1438-Q1438-R1438)*100,NA())</f>
        <v/>
      </c>
      <c r="T1438" s="20">
        <f>IF(AND(ISNUMBER(B1438),Settings!$B$17&gt;0),IF(ISNUMBER(INDEX($B:$B,Settings!$B$17)),(B1438-INDEX($B:$B,Settings!$B$17))*100,NA()),NA())</f>
        <v/>
      </c>
      <c r="U1438" s="20">
        <f>IF(AND(ISNUMBER(Q1438),Settings!$B$17&gt;0),IF(ISNUMBER(INDEX($Q:$Q,Settings!$B$17)),(Q1438-INDEX($Q:$Q,Settings!$B$17))*100,NA()),NA())</f>
        <v/>
      </c>
      <c r="V1438" s="20">
        <f>IF(AND(ISNUMBER(R1438),Settings!$B$17&gt;0),IF(ISNUMBER(INDEX($R:$R,Settings!$B$17)),(R1438-INDEX($R:$R,Settings!$B$17))*100,NA()),NA())</f>
        <v/>
      </c>
      <c r="W1438" s="20">
        <f>IF(AND(ISNUMBER(P1438),Settings!$B$17&gt;0),IF(ISNUMBER(INDEX($P:$P,Settings!$B$17)),P1438-INDEX($P:$P,Settings!$B$17),NA()),NA())</f>
        <v/>
      </c>
      <c r="X1438" s="19">
        <f>IF(NOT(ISNUMBER($A1438)),NA(),IF(OR($A1438&lt;MIN(DKW_10Y!$A$2:$A$2918),$A1438&gt;MAX(DKW_10Y!$A$2:$A$2918),Settings!$B$16&lt;MIN(DKW_10Y!$A$2:$A$2918)),NA(),(INDEX(DKW_10Y!$B$2:$B$2918,MATCH($A1438,DKW_10Y!$A$2:$A$2918,1))-INDEX(DKW_10Y!$B$2:$B$2918,MATCH(Settings!$B$16,DKW_10Y!$A$2:$A$2918,1)))*100))</f>
        <v/>
      </c>
      <c r="Y1438" s="19">
        <f>IF(NOT(ISNUMBER($A1438)),NA(),IF(OR($A1438&lt;MIN(DKW_10Y!$A$2:$A$2918),$A1438&gt;MAX(DKW_10Y!$A$2:$A$2918),Settings!$B$16&lt;MIN(DKW_10Y!$A$2:$A$2918)),NA(),(INDEX(DKW_10Y!$C$2:$C$2918,MATCH($A1438,DKW_10Y!$A$2:$A$2918,1))-INDEX(DKW_10Y!$C$2:$C$2918,MATCH(Settings!$B$16,DKW_10Y!$A$2:$A$2918,1)))*100))</f>
        <v/>
      </c>
      <c r="Z1438" s="19">
        <f>IF(NOT(ISNUMBER($A1438)),NA(),IF(OR($A1438&lt;MIN(DKW_10Y!$A$2:$A$2918),$A1438&gt;MAX(DKW_10Y!$A$2:$A$2918),Settings!$B$16&lt;MIN(DKW_10Y!$A$2:$A$2918)),NA(),(INDEX(DKW_10Y!$D$2:$D$2918,MATCH($A1438,DKW_10Y!$A$2:$A$2918,1))-INDEX(DKW_10Y!$D$2:$D$2918,MATCH(Settings!$B$16,DKW_10Y!$A$2:$A$2918,1)))*100))</f>
        <v/>
      </c>
      <c r="AA1438" s="19">
        <f>IF(NOT(ISNUMBER($A1438)),NA(),IF(OR($A1438&lt;MIN(DKW_10Y!$A$2:$A$2918),$A1438&gt;MAX(DKW_10Y!$A$2:$A$2918),Settings!$B$16&lt;MIN(DKW_10Y!$A$2:$A$2918)),NA(),(INDEX(DKW_10Y!$E$2:$E$2918,MATCH($A1438,DKW_10Y!$A$2:$A$2918,1))-INDEX(DKW_10Y!$E$2:$E$2918,MATCH(Settings!$B$16,DKW_10Y!$A$2:$A$2918,1)))*100))</f>
        <v/>
      </c>
      <c r="AB1438" s="19">
        <f>IF(NOT(ISNUMBER($A1438)),NA(),IF(OR($A1438&lt;MIN(DKW_10Y!$A$2:$A$2918),$A1438&gt;MAX(DKW_10Y!$A$2:$A$2918),Settings!$B$16&lt;MIN(DKW_10Y!$A$2:$A$2918)),NA(),(INDEX(DKW_10Y!$H$2:$H$2918,MATCH($A1438,DKW_10Y!$A$2:$A$2918,1))-INDEX(DKW_10Y!$H$2:$H$2918,MATCH(Settings!$B$16,DKW_10Y!$A$2:$A$2918,1)))*100))</f>
        <v/>
      </c>
      <c r="AC1438" s="18">
        <f>IF(NOT(ISNUMBER($A1438)),NA(),IFERROR(1*INDEX(BBG_Data!$N$2:$N$4000,MATCH($A1438,BBG_Data!$M$2:$M$4000,0)),NA()))</f>
        <v/>
      </c>
      <c r="AD1438" s="18">
        <f>IF(NOT(ISNUMBER($A1438)),NA(),IFERROR(1*INDEX(BBG_Data!$P$2:$P$4000,MATCH($A1438,BBG_Data!$O$2:$O$4000,0)),NA()))</f>
        <v/>
      </c>
      <c r="AE1438" s="18">
        <f>IF(NOT(ISNUMBER($A1438)),NA(),IFERROR(1*INDEX(BBG_Data!$R$2:$R$4000,MATCH($A1438,BBG_Data!$Q$2:$Q$4000,0)),NA()))</f>
        <v/>
      </c>
      <c r="AF1438" s="20">
        <f>IF(AND(ISNUMBER(B1438),ISNUMBER(AC1438)),(B1438-AC1438)*100,NA())</f>
        <v/>
      </c>
      <c r="AG1438" s="20">
        <f>IF(AND(ISNUMBER(AE1438),ISNUMBER(AD1438)),(AE1438-AD1438)*100,NA())</f>
        <v/>
      </c>
      <c r="AH1438" s="19">
        <f>IF(NOT(ISNUMBER($A1438)),NA(),IFERROR(INDEX(BBG_Data!$T$2:$T$4000,MATCH($A1438,BBG_Data!$S$2:$S$4000,0))*Settings!$B$25,NA()))</f>
        <v/>
      </c>
      <c r="AI1438" s="19">
        <f>IF(NOT(ISNUMBER($A1438)),NA(),IFERROR(INDEX(BBG_Data!$V$2:$V$4000,MATCH($A1438,BBG_Data!$U$2:$U$4000,0))*Settings!$B$25,NA()))</f>
        <v/>
      </c>
      <c r="AJ1438" s="19">
        <f>IF(NOT(ISNUMBER($A1438)),NA(),IFERROR(1*INDEX(BBG_Data!$X$2:$X$4000,MATCH($A1438,BBG_Data!$W$2:$W$4000,0)),NA()))</f>
        <v/>
      </c>
      <c r="AK1438" s="19">
        <f>IF(NOT(ISNUMBER($A1438)),NA(),IFERROR(1*INDEX(BBG_Data!$Z$2:$Z$4000,MATCH($A1438,BBG_Data!$Y$2:$Y$4000,0)),NA()))</f>
        <v/>
      </c>
    </row>
    <row r="1439">
      <c r="A1439" s="17">
        <f>IF(ISNUMBER(BBG_Data!A1439),BBG_Data!A1439,"")</f>
        <v/>
      </c>
      <c r="B1439" s="18">
        <f>IF(AND(ISNUMBER($A1439),ISNUMBER(BBG_Data!B1439)),BBG_Data!B1439,NA())</f>
        <v/>
      </c>
      <c r="C1439" s="18">
        <f>IF(NOT(ISNUMBER($A1439)),NA(),IFERROR(1*INDEX(BBG_Data!$D$2:$D$4000,MATCH($A1439,BBG_Data!$C$2:$C$4000,0)),NA()))</f>
        <v/>
      </c>
      <c r="D1439" s="19">
        <f>IF(NOT(ISNUMBER($A1439)),NA(),IFERROR(1*INDEX(BBG_Data!$F$2:$F$4000,MATCH($A1439,BBG_Data!$E$2:$E$4000,0)),NA()))</f>
        <v/>
      </c>
      <c r="E1439" s="19">
        <f>IF(NOT(ISNUMBER($A1439)),NA(),IFERROR(1*INDEX(BBG_Data!$H$2:$H$4000,MATCH($A1439,BBG_Data!$G$2:$G$4000,0)),NA()))</f>
        <v/>
      </c>
      <c r="F1439" s="20">
        <f>IF(AND(ISNUMBER(B1439),ISNUMBER(B1438)),IF(B1439=B1438,"",(B1439-B1438)*100),"")</f>
        <v/>
      </c>
      <c r="G1439" s="20">
        <f>IF(AND(ISNUMBER(C1439),ISNUMBER(C1438)),IF(C1439=C1438,"",(C1439-C1438)*100),"")</f>
        <v/>
      </c>
      <c r="H1439" s="20">
        <f>IF(OR(NOT(ISNUMBER($A1439)),ROW()-2&lt;Settings!$B$11),NA(),IF(COUNT(OFFSET(F1439,1-Settings!$B$11,0,Settings!$B$11,1))&lt;ROUNDUP(Settings!$B$11*Settings!$B$26,0),NA(),STDEV(OFFSET(F1439,1-Settings!$B$11,0,Settings!$B$11,1))*SQRT(Settings!$B$13)))</f>
        <v/>
      </c>
      <c r="I1439" s="20">
        <f>IF(OR(NOT(ISNUMBER($A1439)),ROW()-2&lt;Settings!$B$12),NA(),IF(COUNT(OFFSET(F1439,1-Settings!$B$12,0,Settings!$B$12,1))&lt;ROUNDUP(Settings!$B$12*Settings!$B$26,0),NA(),STDEV(OFFSET(F1439,1-Settings!$B$12,0,Settings!$B$12,1))*SQRT(Settings!$B$13)))</f>
        <v/>
      </c>
      <c r="J1439" s="20">
        <f>IF(OR(NOT(ISNUMBER($A1439)),ROW()-2&lt;Settings!$B$11),NA(),IF(COUNT(OFFSET(G1439,1-Settings!$B$11,0,Settings!$B$11,1))&lt;ROUNDUP(Settings!$B$11*Settings!$B$26,0),NA(),STDEV(OFFSET(G1439,1-Settings!$B$11,0,Settings!$B$11,1))*SQRT(Settings!$B$13)))</f>
        <v/>
      </c>
      <c r="K1439" s="20">
        <f>IF(OR(NOT(ISNUMBER($A1439)),ROW()-2&lt;Settings!$B$12),NA(),IF(COUNT(OFFSET(G1439,1-Settings!$B$12,0,Settings!$B$12,1))&lt;ROUNDUP(Settings!$B$12*Settings!$B$26,0),NA(),STDEV(OFFSET(G1439,1-Settings!$B$12,0,Settings!$B$12,1))*SQRT(Settings!$B$13)))</f>
        <v/>
      </c>
      <c r="L1439" s="20">
        <f>IF(AND(ISNUMBER(D1439),ISNUMBER(H1439)),D1439-H1439,NA())</f>
        <v/>
      </c>
      <c r="M1439" s="20">
        <f>IF(AND(ISNUMBER(E1439),ISNUMBER(K1439)),E1439-K1439,NA())</f>
        <v/>
      </c>
      <c r="N1439" s="20">
        <f>IF(NOT(ISNUMBER($A1439)),NA(),IF(COUNT(OFFSET(G1439,1,0,Settings!$B$12,1))&lt;ROUNDUP(Settings!$B$12*Settings!$B$26,0),NA(),STDEV(OFFSET(G1439,1,0,Settings!$B$12,1))*SQRT(Settings!$B$13)))</f>
        <v/>
      </c>
      <c r="O1439" s="20">
        <f>IF(AND(ISNUMBER(E1439),ISNUMBER(N1439)),E1439-N1439,NA())</f>
        <v/>
      </c>
      <c r="P1439" s="19">
        <f>IF(NOT(ISNUMBER($A1439)),NA(),IF(OR($A1439&lt;MIN(KW_TP!$A$2:$A$2501),$A1439&gt;MAX(KW_TP!$A$2:$A$2501)),NA(),INDEX(KW_TP!$C$2:$C$2501,MATCH($A1439,KW_TP!$A$2:$A$2501,1))))</f>
        <v/>
      </c>
      <c r="Q1439" s="18">
        <f>IF(NOT(ISNUMBER($A1439)),NA(),IFERROR(1*INDEX(BBG_Data!$J$2:$J$4000,MATCH($A1439,BBG_Data!$I$2:$I$4000,0)),NA()))</f>
        <v/>
      </c>
      <c r="R1439" s="18">
        <f>IF(NOT(ISNUMBER($A1439)),NA(),IFERROR(1*INDEX(BBG_Data!$L$2:$L$4000,MATCH($A1439,BBG_Data!$K$2:$K$4000,0)),NA()))</f>
        <v/>
      </c>
      <c r="S1439" s="20">
        <f>IF(AND(ISNUMBER(B1439),ISNUMBER(Q1439),ISNUMBER(R1439)),(B1439-Q1439-R1439)*100,NA())</f>
        <v/>
      </c>
      <c r="T1439" s="20">
        <f>IF(AND(ISNUMBER(B1439),Settings!$B$17&gt;0),IF(ISNUMBER(INDEX($B:$B,Settings!$B$17)),(B1439-INDEX($B:$B,Settings!$B$17))*100,NA()),NA())</f>
        <v/>
      </c>
      <c r="U1439" s="20">
        <f>IF(AND(ISNUMBER(Q1439),Settings!$B$17&gt;0),IF(ISNUMBER(INDEX($Q:$Q,Settings!$B$17)),(Q1439-INDEX($Q:$Q,Settings!$B$17))*100,NA()),NA())</f>
        <v/>
      </c>
      <c r="V1439" s="20">
        <f>IF(AND(ISNUMBER(R1439),Settings!$B$17&gt;0),IF(ISNUMBER(INDEX($R:$R,Settings!$B$17)),(R1439-INDEX($R:$R,Settings!$B$17))*100,NA()),NA())</f>
        <v/>
      </c>
      <c r="W1439" s="20">
        <f>IF(AND(ISNUMBER(P1439),Settings!$B$17&gt;0),IF(ISNUMBER(INDEX($P:$P,Settings!$B$17)),P1439-INDEX($P:$P,Settings!$B$17),NA()),NA())</f>
        <v/>
      </c>
      <c r="X1439" s="19">
        <f>IF(NOT(ISNUMBER($A1439)),NA(),IF(OR($A1439&lt;MIN(DKW_10Y!$A$2:$A$2918),$A1439&gt;MAX(DKW_10Y!$A$2:$A$2918),Settings!$B$16&lt;MIN(DKW_10Y!$A$2:$A$2918)),NA(),(INDEX(DKW_10Y!$B$2:$B$2918,MATCH($A1439,DKW_10Y!$A$2:$A$2918,1))-INDEX(DKW_10Y!$B$2:$B$2918,MATCH(Settings!$B$16,DKW_10Y!$A$2:$A$2918,1)))*100))</f>
        <v/>
      </c>
      <c r="Y1439" s="19">
        <f>IF(NOT(ISNUMBER($A1439)),NA(),IF(OR($A1439&lt;MIN(DKW_10Y!$A$2:$A$2918),$A1439&gt;MAX(DKW_10Y!$A$2:$A$2918),Settings!$B$16&lt;MIN(DKW_10Y!$A$2:$A$2918)),NA(),(INDEX(DKW_10Y!$C$2:$C$2918,MATCH($A1439,DKW_10Y!$A$2:$A$2918,1))-INDEX(DKW_10Y!$C$2:$C$2918,MATCH(Settings!$B$16,DKW_10Y!$A$2:$A$2918,1)))*100))</f>
        <v/>
      </c>
      <c r="Z1439" s="19">
        <f>IF(NOT(ISNUMBER($A1439)),NA(),IF(OR($A1439&lt;MIN(DKW_10Y!$A$2:$A$2918),$A1439&gt;MAX(DKW_10Y!$A$2:$A$2918),Settings!$B$16&lt;MIN(DKW_10Y!$A$2:$A$2918)),NA(),(INDEX(DKW_10Y!$D$2:$D$2918,MATCH($A1439,DKW_10Y!$A$2:$A$2918,1))-INDEX(DKW_10Y!$D$2:$D$2918,MATCH(Settings!$B$16,DKW_10Y!$A$2:$A$2918,1)))*100))</f>
        <v/>
      </c>
      <c r="AA1439" s="19">
        <f>IF(NOT(ISNUMBER($A1439)),NA(),IF(OR($A1439&lt;MIN(DKW_10Y!$A$2:$A$2918),$A1439&gt;MAX(DKW_10Y!$A$2:$A$2918),Settings!$B$16&lt;MIN(DKW_10Y!$A$2:$A$2918)),NA(),(INDEX(DKW_10Y!$E$2:$E$2918,MATCH($A1439,DKW_10Y!$A$2:$A$2918,1))-INDEX(DKW_10Y!$E$2:$E$2918,MATCH(Settings!$B$16,DKW_10Y!$A$2:$A$2918,1)))*100))</f>
        <v/>
      </c>
      <c r="AB1439" s="19">
        <f>IF(NOT(ISNUMBER($A1439)),NA(),IF(OR($A1439&lt;MIN(DKW_10Y!$A$2:$A$2918),$A1439&gt;MAX(DKW_10Y!$A$2:$A$2918),Settings!$B$16&lt;MIN(DKW_10Y!$A$2:$A$2918)),NA(),(INDEX(DKW_10Y!$H$2:$H$2918,MATCH($A1439,DKW_10Y!$A$2:$A$2918,1))-INDEX(DKW_10Y!$H$2:$H$2918,MATCH(Settings!$B$16,DKW_10Y!$A$2:$A$2918,1)))*100))</f>
        <v/>
      </c>
      <c r="AC1439" s="18">
        <f>IF(NOT(ISNUMBER($A1439)),NA(),IFERROR(1*INDEX(BBG_Data!$N$2:$N$4000,MATCH($A1439,BBG_Data!$M$2:$M$4000,0)),NA()))</f>
        <v/>
      </c>
      <c r="AD1439" s="18">
        <f>IF(NOT(ISNUMBER($A1439)),NA(),IFERROR(1*INDEX(BBG_Data!$P$2:$P$4000,MATCH($A1439,BBG_Data!$O$2:$O$4000,0)),NA()))</f>
        <v/>
      </c>
      <c r="AE1439" s="18">
        <f>IF(NOT(ISNUMBER($A1439)),NA(),IFERROR(1*INDEX(BBG_Data!$R$2:$R$4000,MATCH($A1439,BBG_Data!$Q$2:$Q$4000,0)),NA()))</f>
        <v/>
      </c>
      <c r="AF1439" s="20">
        <f>IF(AND(ISNUMBER(B1439),ISNUMBER(AC1439)),(B1439-AC1439)*100,NA())</f>
        <v/>
      </c>
      <c r="AG1439" s="20">
        <f>IF(AND(ISNUMBER(AE1439),ISNUMBER(AD1439)),(AE1439-AD1439)*100,NA())</f>
        <v/>
      </c>
      <c r="AH1439" s="19">
        <f>IF(NOT(ISNUMBER($A1439)),NA(),IFERROR(INDEX(BBG_Data!$T$2:$T$4000,MATCH($A1439,BBG_Data!$S$2:$S$4000,0))*Settings!$B$25,NA()))</f>
        <v/>
      </c>
      <c r="AI1439" s="19">
        <f>IF(NOT(ISNUMBER($A1439)),NA(),IFERROR(INDEX(BBG_Data!$V$2:$V$4000,MATCH($A1439,BBG_Data!$U$2:$U$4000,0))*Settings!$B$25,NA()))</f>
        <v/>
      </c>
      <c r="AJ1439" s="19">
        <f>IF(NOT(ISNUMBER($A1439)),NA(),IFERROR(1*INDEX(BBG_Data!$X$2:$X$4000,MATCH($A1439,BBG_Data!$W$2:$W$4000,0)),NA()))</f>
        <v/>
      </c>
      <c r="AK1439" s="19">
        <f>IF(NOT(ISNUMBER($A1439)),NA(),IFERROR(1*INDEX(BBG_Data!$Z$2:$Z$4000,MATCH($A1439,BBG_Data!$Y$2:$Y$4000,0)),NA()))</f>
        <v/>
      </c>
    </row>
    <row r="1440">
      <c r="A1440" s="17">
        <f>IF(ISNUMBER(BBG_Data!A1440),BBG_Data!A1440,"")</f>
        <v/>
      </c>
      <c r="B1440" s="18">
        <f>IF(AND(ISNUMBER($A1440),ISNUMBER(BBG_Data!B1440)),BBG_Data!B1440,NA())</f>
        <v/>
      </c>
      <c r="C1440" s="18">
        <f>IF(NOT(ISNUMBER($A1440)),NA(),IFERROR(1*INDEX(BBG_Data!$D$2:$D$4000,MATCH($A1440,BBG_Data!$C$2:$C$4000,0)),NA()))</f>
        <v/>
      </c>
      <c r="D1440" s="19">
        <f>IF(NOT(ISNUMBER($A1440)),NA(),IFERROR(1*INDEX(BBG_Data!$F$2:$F$4000,MATCH($A1440,BBG_Data!$E$2:$E$4000,0)),NA()))</f>
        <v/>
      </c>
      <c r="E1440" s="19">
        <f>IF(NOT(ISNUMBER($A1440)),NA(),IFERROR(1*INDEX(BBG_Data!$H$2:$H$4000,MATCH($A1440,BBG_Data!$G$2:$G$4000,0)),NA()))</f>
        <v/>
      </c>
      <c r="F1440" s="20">
        <f>IF(AND(ISNUMBER(B1440),ISNUMBER(B1439)),IF(B1440=B1439,"",(B1440-B1439)*100),"")</f>
        <v/>
      </c>
      <c r="G1440" s="20">
        <f>IF(AND(ISNUMBER(C1440),ISNUMBER(C1439)),IF(C1440=C1439,"",(C1440-C1439)*100),"")</f>
        <v/>
      </c>
      <c r="H1440" s="20">
        <f>IF(OR(NOT(ISNUMBER($A1440)),ROW()-2&lt;Settings!$B$11),NA(),IF(COUNT(OFFSET(F1440,1-Settings!$B$11,0,Settings!$B$11,1))&lt;ROUNDUP(Settings!$B$11*Settings!$B$26,0),NA(),STDEV(OFFSET(F1440,1-Settings!$B$11,0,Settings!$B$11,1))*SQRT(Settings!$B$13)))</f>
        <v/>
      </c>
      <c r="I1440" s="20">
        <f>IF(OR(NOT(ISNUMBER($A1440)),ROW()-2&lt;Settings!$B$12),NA(),IF(COUNT(OFFSET(F1440,1-Settings!$B$12,0,Settings!$B$12,1))&lt;ROUNDUP(Settings!$B$12*Settings!$B$26,0),NA(),STDEV(OFFSET(F1440,1-Settings!$B$12,0,Settings!$B$12,1))*SQRT(Settings!$B$13)))</f>
        <v/>
      </c>
      <c r="J1440" s="20">
        <f>IF(OR(NOT(ISNUMBER($A1440)),ROW()-2&lt;Settings!$B$11),NA(),IF(COUNT(OFFSET(G1440,1-Settings!$B$11,0,Settings!$B$11,1))&lt;ROUNDUP(Settings!$B$11*Settings!$B$26,0),NA(),STDEV(OFFSET(G1440,1-Settings!$B$11,0,Settings!$B$11,1))*SQRT(Settings!$B$13)))</f>
        <v/>
      </c>
      <c r="K1440" s="20">
        <f>IF(OR(NOT(ISNUMBER($A1440)),ROW()-2&lt;Settings!$B$12),NA(),IF(COUNT(OFFSET(G1440,1-Settings!$B$12,0,Settings!$B$12,1))&lt;ROUNDUP(Settings!$B$12*Settings!$B$26,0),NA(),STDEV(OFFSET(G1440,1-Settings!$B$12,0,Settings!$B$12,1))*SQRT(Settings!$B$13)))</f>
        <v/>
      </c>
      <c r="L1440" s="20">
        <f>IF(AND(ISNUMBER(D1440),ISNUMBER(H1440)),D1440-H1440,NA())</f>
        <v/>
      </c>
      <c r="M1440" s="20">
        <f>IF(AND(ISNUMBER(E1440),ISNUMBER(K1440)),E1440-K1440,NA())</f>
        <v/>
      </c>
      <c r="N1440" s="20">
        <f>IF(NOT(ISNUMBER($A1440)),NA(),IF(COUNT(OFFSET(G1440,1,0,Settings!$B$12,1))&lt;ROUNDUP(Settings!$B$12*Settings!$B$26,0),NA(),STDEV(OFFSET(G1440,1,0,Settings!$B$12,1))*SQRT(Settings!$B$13)))</f>
        <v/>
      </c>
      <c r="O1440" s="20">
        <f>IF(AND(ISNUMBER(E1440),ISNUMBER(N1440)),E1440-N1440,NA())</f>
        <v/>
      </c>
      <c r="P1440" s="19">
        <f>IF(NOT(ISNUMBER($A1440)),NA(),IF(OR($A1440&lt;MIN(KW_TP!$A$2:$A$2501),$A1440&gt;MAX(KW_TP!$A$2:$A$2501)),NA(),INDEX(KW_TP!$C$2:$C$2501,MATCH($A1440,KW_TP!$A$2:$A$2501,1))))</f>
        <v/>
      </c>
      <c r="Q1440" s="18">
        <f>IF(NOT(ISNUMBER($A1440)),NA(),IFERROR(1*INDEX(BBG_Data!$J$2:$J$4000,MATCH($A1440,BBG_Data!$I$2:$I$4000,0)),NA()))</f>
        <v/>
      </c>
      <c r="R1440" s="18">
        <f>IF(NOT(ISNUMBER($A1440)),NA(),IFERROR(1*INDEX(BBG_Data!$L$2:$L$4000,MATCH($A1440,BBG_Data!$K$2:$K$4000,0)),NA()))</f>
        <v/>
      </c>
      <c r="S1440" s="20">
        <f>IF(AND(ISNUMBER(B1440),ISNUMBER(Q1440),ISNUMBER(R1440)),(B1440-Q1440-R1440)*100,NA())</f>
        <v/>
      </c>
      <c r="T1440" s="20">
        <f>IF(AND(ISNUMBER(B1440),Settings!$B$17&gt;0),IF(ISNUMBER(INDEX($B:$B,Settings!$B$17)),(B1440-INDEX($B:$B,Settings!$B$17))*100,NA()),NA())</f>
        <v/>
      </c>
      <c r="U1440" s="20">
        <f>IF(AND(ISNUMBER(Q1440),Settings!$B$17&gt;0),IF(ISNUMBER(INDEX($Q:$Q,Settings!$B$17)),(Q1440-INDEX($Q:$Q,Settings!$B$17))*100,NA()),NA())</f>
        <v/>
      </c>
      <c r="V1440" s="20">
        <f>IF(AND(ISNUMBER(R1440),Settings!$B$17&gt;0),IF(ISNUMBER(INDEX($R:$R,Settings!$B$17)),(R1440-INDEX($R:$R,Settings!$B$17))*100,NA()),NA())</f>
        <v/>
      </c>
      <c r="W1440" s="20">
        <f>IF(AND(ISNUMBER(P1440),Settings!$B$17&gt;0),IF(ISNUMBER(INDEX($P:$P,Settings!$B$17)),P1440-INDEX($P:$P,Settings!$B$17),NA()),NA())</f>
        <v/>
      </c>
      <c r="X1440" s="19">
        <f>IF(NOT(ISNUMBER($A1440)),NA(),IF(OR($A1440&lt;MIN(DKW_10Y!$A$2:$A$2918),$A1440&gt;MAX(DKW_10Y!$A$2:$A$2918),Settings!$B$16&lt;MIN(DKW_10Y!$A$2:$A$2918)),NA(),(INDEX(DKW_10Y!$B$2:$B$2918,MATCH($A1440,DKW_10Y!$A$2:$A$2918,1))-INDEX(DKW_10Y!$B$2:$B$2918,MATCH(Settings!$B$16,DKW_10Y!$A$2:$A$2918,1)))*100))</f>
        <v/>
      </c>
      <c r="Y1440" s="19">
        <f>IF(NOT(ISNUMBER($A1440)),NA(),IF(OR($A1440&lt;MIN(DKW_10Y!$A$2:$A$2918),$A1440&gt;MAX(DKW_10Y!$A$2:$A$2918),Settings!$B$16&lt;MIN(DKW_10Y!$A$2:$A$2918)),NA(),(INDEX(DKW_10Y!$C$2:$C$2918,MATCH($A1440,DKW_10Y!$A$2:$A$2918,1))-INDEX(DKW_10Y!$C$2:$C$2918,MATCH(Settings!$B$16,DKW_10Y!$A$2:$A$2918,1)))*100))</f>
        <v/>
      </c>
      <c r="Z1440" s="19">
        <f>IF(NOT(ISNUMBER($A1440)),NA(),IF(OR($A1440&lt;MIN(DKW_10Y!$A$2:$A$2918),$A1440&gt;MAX(DKW_10Y!$A$2:$A$2918),Settings!$B$16&lt;MIN(DKW_10Y!$A$2:$A$2918)),NA(),(INDEX(DKW_10Y!$D$2:$D$2918,MATCH($A1440,DKW_10Y!$A$2:$A$2918,1))-INDEX(DKW_10Y!$D$2:$D$2918,MATCH(Settings!$B$16,DKW_10Y!$A$2:$A$2918,1)))*100))</f>
        <v/>
      </c>
      <c r="AA1440" s="19">
        <f>IF(NOT(ISNUMBER($A1440)),NA(),IF(OR($A1440&lt;MIN(DKW_10Y!$A$2:$A$2918),$A1440&gt;MAX(DKW_10Y!$A$2:$A$2918),Settings!$B$16&lt;MIN(DKW_10Y!$A$2:$A$2918)),NA(),(INDEX(DKW_10Y!$E$2:$E$2918,MATCH($A1440,DKW_10Y!$A$2:$A$2918,1))-INDEX(DKW_10Y!$E$2:$E$2918,MATCH(Settings!$B$16,DKW_10Y!$A$2:$A$2918,1)))*100))</f>
        <v/>
      </c>
      <c r="AB1440" s="19">
        <f>IF(NOT(ISNUMBER($A1440)),NA(),IF(OR($A1440&lt;MIN(DKW_10Y!$A$2:$A$2918),$A1440&gt;MAX(DKW_10Y!$A$2:$A$2918),Settings!$B$16&lt;MIN(DKW_10Y!$A$2:$A$2918)),NA(),(INDEX(DKW_10Y!$H$2:$H$2918,MATCH($A1440,DKW_10Y!$A$2:$A$2918,1))-INDEX(DKW_10Y!$H$2:$H$2918,MATCH(Settings!$B$16,DKW_10Y!$A$2:$A$2918,1)))*100))</f>
        <v/>
      </c>
      <c r="AC1440" s="18">
        <f>IF(NOT(ISNUMBER($A1440)),NA(),IFERROR(1*INDEX(BBG_Data!$N$2:$N$4000,MATCH($A1440,BBG_Data!$M$2:$M$4000,0)),NA()))</f>
        <v/>
      </c>
      <c r="AD1440" s="18">
        <f>IF(NOT(ISNUMBER($A1440)),NA(),IFERROR(1*INDEX(BBG_Data!$P$2:$P$4000,MATCH($A1440,BBG_Data!$O$2:$O$4000,0)),NA()))</f>
        <v/>
      </c>
      <c r="AE1440" s="18">
        <f>IF(NOT(ISNUMBER($A1440)),NA(),IFERROR(1*INDEX(BBG_Data!$R$2:$R$4000,MATCH($A1440,BBG_Data!$Q$2:$Q$4000,0)),NA()))</f>
        <v/>
      </c>
      <c r="AF1440" s="20">
        <f>IF(AND(ISNUMBER(B1440),ISNUMBER(AC1440)),(B1440-AC1440)*100,NA())</f>
        <v/>
      </c>
      <c r="AG1440" s="20">
        <f>IF(AND(ISNUMBER(AE1440),ISNUMBER(AD1440)),(AE1440-AD1440)*100,NA())</f>
        <v/>
      </c>
      <c r="AH1440" s="19">
        <f>IF(NOT(ISNUMBER($A1440)),NA(),IFERROR(INDEX(BBG_Data!$T$2:$T$4000,MATCH($A1440,BBG_Data!$S$2:$S$4000,0))*Settings!$B$25,NA()))</f>
        <v/>
      </c>
      <c r="AI1440" s="19">
        <f>IF(NOT(ISNUMBER($A1440)),NA(),IFERROR(INDEX(BBG_Data!$V$2:$V$4000,MATCH($A1440,BBG_Data!$U$2:$U$4000,0))*Settings!$B$25,NA()))</f>
        <v/>
      </c>
      <c r="AJ1440" s="19">
        <f>IF(NOT(ISNUMBER($A1440)),NA(),IFERROR(1*INDEX(BBG_Data!$X$2:$X$4000,MATCH($A1440,BBG_Data!$W$2:$W$4000,0)),NA()))</f>
        <v/>
      </c>
      <c r="AK1440" s="19">
        <f>IF(NOT(ISNUMBER($A1440)),NA(),IFERROR(1*INDEX(BBG_Data!$Z$2:$Z$4000,MATCH($A1440,BBG_Data!$Y$2:$Y$4000,0)),NA()))</f>
        <v/>
      </c>
    </row>
    <row r="1441">
      <c r="A1441" s="17">
        <f>IF(ISNUMBER(BBG_Data!A1441),BBG_Data!A1441,"")</f>
        <v/>
      </c>
      <c r="B1441" s="18">
        <f>IF(AND(ISNUMBER($A1441),ISNUMBER(BBG_Data!B1441)),BBG_Data!B1441,NA())</f>
        <v/>
      </c>
      <c r="C1441" s="18">
        <f>IF(NOT(ISNUMBER($A1441)),NA(),IFERROR(1*INDEX(BBG_Data!$D$2:$D$4000,MATCH($A1441,BBG_Data!$C$2:$C$4000,0)),NA()))</f>
        <v/>
      </c>
      <c r="D1441" s="19">
        <f>IF(NOT(ISNUMBER($A1441)),NA(),IFERROR(1*INDEX(BBG_Data!$F$2:$F$4000,MATCH($A1441,BBG_Data!$E$2:$E$4000,0)),NA()))</f>
        <v/>
      </c>
      <c r="E1441" s="19">
        <f>IF(NOT(ISNUMBER($A1441)),NA(),IFERROR(1*INDEX(BBG_Data!$H$2:$H$4000,MATCH($A1441,BBG_Data!$G$2:$G$4000,0)),NA()))</f>
        <v/>
      </c>
      <c r="F1441" s="20">
        <f>IF(AND(ISNUMBER(B1441),ISNUMBER(B1440)),IF(B1441=B1440,"",(B1441-B1440)*100),"")</f>
        <v/>
      </c>
      <c r="G1441" s="20">
        <f>IF(AND(ISNUMBER(C1441),ISNUMBER(C1440)),IF(C1441=C1440,"",(C1441-C1440)*100),"")</f>
        <v/>
      </c>
      <c r="H1441" s="20">
        <f>IF(OR(NOT(ISNUMBER($A1441)),ROW()-2&lt;Settings!$B$11),NA(),IF(COUNT(OFFSET(F1441,1-Settings!$B$11,0,Settings!$B$11,1))&lt;ROUNDUP(Settings!$B$11*Settings!$B$26,0),NA(),STDEV(OFFSET(F1441,1-Settings!$B$11,0,Settings!$B$11,1))*SQRT(Settings!$B$13)))</f>
        <v/>
      </c>
      <c r="I1441" s="20">
        <f>IF(OR(NOT(ISNUMBER($A1441)),ROW()-2&lt;Settings!$B$12),NA(),IF(COUNT(OFFSET(F1441,1-Settings!$B$12,0,Settings!$B$12,1))&lt;ROUNDUP(Settings!$B$12*Settings!$B$26,0),NA(),STDEV(OFFSET(F1441,1-Settings!$B$12,0,Settings!$B$12,1))*SQRT(Settings!$B$13)))</f>
        <v/>
      </c>
      <c r="J1441" s="20">
        <f>IF(OR(NOT(ISNUMBER($A1441)),ROW()-2&lt;Settings!$B$11),NA(),IF(COUNT(OFFSET(G1441,1-Settings!$B$11,0,Settings!$B$11,1))&lt;ROUNDUP(Settings!$B$11*Settings!$B$26,0),NA(),STDEV(OFFSET(G1441,1-Settings!$B$11,0,Settings!$B$11,1))*SQRT(Settings!$B$13)))</f>
        <v/>
      </c>
      <c r="K1441" s="20">
        <f>IF(OR(NOT(ISNUMBER($A1441)),ROW()-2&lt;Settings!$B$12),NA(),IF(COUNT(OFFSET(G1441,1-Settings!$B$12,0,Settings!$B$12,1))&lt;ROUNDUP(Settings!$B$12*Settings!$B$26,0),NA(),STDEV(OFFSET(G1441,1-Settings!$B$12,0,Settings!$B$12,1))*SQRT(Settings!$B$13)))</f>
        <v/>
      </c>
      <c r="L1441" s="20">
        <f>IF(AND(ISNUMBER(D1441),ISNUMBER(H1441)),D1441-H1441,NA())</f>
        <v/>
      </c>
      <c r="M1441" s="20">
        <f>IF(AND(ISNUMBER(E1441),ISNUMBER(K1441)),E1441-K1441,NA())</f>
        <v/>
      </c>
      <c r="N1441" s="20">
        <f>IF(NOT(ISNUMBER($A1441)),NA(),IF(COUNT(OFFSET(G1441,1,0,Settings!$B$12,1))&lt;ROUNDUP(Settings!$B$12*Settings!$B$26,0),NA(),STDEV(OFFSET(G1441,1,0,Settings!$B$12,1))*SQRT(Settings!$B$13)))</f>
        <v/>
      </c>
      <c r="O1441" s="20">
        <f>IF(AND(ISNUMBER(E1441),ISNUMBER(N1441)),E1441-N1441,NA())</f>
        <v/>
      </c>
      <c r="P1441" s="19">
        <f>IF(NOT(ISNUMBER($A1441)),NA(),IF(OR($A1441&lt;MIN(KW_TP!$A$2:$A$2501),$A1441&gt;MAX(KW_TP!$A$2:$A$2501)),NA(),INDEX(KW_TP!$C$2:$C$2501,MATCH($A1441,KW_TP!$A$2:$A$2501,1))))</f>
        <v/>
      </c>
      <c r="Q1441" s="18">
        <f>IF(NOT(ISNUMBER($A1441)),NA(),IFERROR(1*INDEX(BBG_Data!$J$2:$J$4000,MATCH($A1441,BBG_Data!$I$2:$I$4000,0)),NA()))</f>
        <v/>
      </c>
      <c r="R1441" s="18">
        <f>IF(NOT(ISNUMBER($A1441)),NA(),IFERROR(1*INDEX(BBG_Data!$L$2:$L$4000,MATCH($A1441,BBG_Data!$K$2:$K$4000,0)),NA()))</f>
        <v/>
      </c>
      <c r="S1441" s="20">
        <f>IF(AND(ISNUMBER(B1441),ISNUMBER(Q1441),ISNUMBER(R1441)),(B1441-Q1441-R1441)*100,NA())</f>
        <v/>
      </c>
      <c r="T1441" s="20">
        <f>IF(AND(ISNUMBER(B1441),Settings!$B$17&gt;0),IF(ISNUMBER(INDEX($B:$B,Settings!$B$17)),(B1441-INDEX($B:$B,Settings!$B$17))*100,NA()),NA())</f>
        <v/>
      </c>
      <c r="U1441" s="20">
        <f>IF(AND(ISNUMBER(Q1441),Settings!$B$17&gt;0),IF(ISNUMBER(INDEX($Q:$Q,Settings!$B$17)),(Q1441-INDEX($Q:$Q,Settings!$B$17))*100,NA()),NA())</f>
        <v/>
      </c>
      <c r="V1441" s="20">
        <f>IF(AND(ISNUMBER(R1441),Settings!$B$17&gt;0),IF(ISNUMBER(INDEX($R:$R,Settings!$B$17)),(R1441-INDEX($R:$R,Settings!$B$17))*100,NA()),NA())</f>
        <v/>
      </c>
      <c r="W1441" s="20">
        <f>IF(AND(ISNUMBER(P1441),Settings!$B$17&gt;0),IF(ISNUMBER(INDEX($P:$P,Settings!$B$17)),P1441-INDEX($P:$P,Settings!$B$17),NA()),NA())</f>
        <v/>
      </c>
      <c r="X1441" s="19">
        <f>IF(NOT(ISNUMBER($A1441)),NA(),IF(OR($A1441&lt;MIN(DKW_10Y!$A$2:$A$2918),$A1441&gt;MAX(DKW_10Y!$A$2:$A$2918),Settings!$B$16&lt;MIN(DKW_10Y!$A$2:$A$2918)),NA(),(INDEX(DKW_10Y!$B$2:$B$2918,MATCH($A1441,DKW_10Y!$A$2:$A$2918,1))-INDEX(DKW_10Y!$B$2:$B$2918,MATCH(Settings!$B$16,DKW_10Y!$A$2:$A$2918,1)))*100))</f>
        <v/>
      </c>
      <c r="Y1441" s="19">
        <f>IF(NOT(ISNUMBER($A1441)),NA(),IF(OR($A1441&lt;MIN(DKW_10Y!$A$2:$A$2918),$A1441&gt;MAX(DKW_10Y!$A$2:$A$2918),Settings!$B$16&lt;MIN(DKW_10Y!$A$2:$A$2918)),NA(),(INDEX(DKW_10Y!$C$2:$C$2918,MATCH($A1441,DKW_10Y!$A$2:$A$2918,1))-INDEX(DKW_10Y!$C$2:$C$2918,MATCH(Settings!$B$16,DKW_10Y!$A$2:$A$2918,1)))*100))</f>
        <v/>
      </c>
      <c r="Z1441" s="19">
        <f>IF(NOT(ISNUMBER($A1441)),NA(),IF(OR($A1441&lt;MIN(DKW_10Y!$A$2:$A$2918),$A1441&gt;MAX(DKW_10Y!$A$2:$A$2918),Settings!$B$16&lt;MIN(DKW_10Y!$A$2:$A$2918)),NA(),(INDEX(DKW_10Y!$D$2:$D$2918,MATCH($A1441,DKW_10Y!$A$2:$A$2918,1))-INDEX(DKW_10Y!$D$2:$D$2918,MATCH(Settings!$B$16,DKW_10Y!$A$2:$A$2918,1)))*100))</f>
        <v/>
      </c>
      <c r="AA1441" s="19">
        <f>IF(NOT(ISNUMBER($A1441)),NA(),IF(OR($A1441&lt;MIN(DKW_10Y!$A$2:$A$2918),$A1441&gt;MAX(DKW_10Y!$A$2:$A$2918),Settings!$B$16&lt;MIN(DKW_10Y!$A$2:$A$2918)),NA(),(INDEX(DKW_10Y!$E$2:$E$2918,MATCH($A1441,DKW_10Y!$A$2:$A$2918,1))-INDEX(DKW_10Y!$E$2:$E$2918,MATCH(Settings!$B$16,DKW_10Y!$A$2:$A$2918,1)))*100))</f>
        <v/>
      </c>
      <c r="AB1441" s="19">
        <f>IF(NOT(ISNUMBER($A1441)),NA(),IF(OR($A1441&lt;MIN(DKW_10Y!$A$2:$A$2918),$A1441&gt;MAX(DKW_10Y!$A$2:$A$2918),Settings!$B$16&lt;MIN(DKW_10Y!$A$2:$A$2918)),NA(),(INDEX(DKW_10Y!$H$2:$H$2918,MATCH($A1441,DKW_10Y!$A$2:$A$2918,1))-INDEX(DKW_10Y!$H$2:$H$2918,MATCH(Settings!$B$16,DKW_10Y!$A$2:$A$2918,1)))*100))</f>
        <v/>
      </c>
      <c r="AC1441" s="18">
        <f>IF(NOT(ISNUMBER($A1441)),NA(),IFERROR(1*INDEX(BBG_Data!$N$2:$N$4000,MATCH($A1441,BBG_Data!$M$2:$M$4000,0)),NA()))</f>
        <v/>
      </c>
      <c r="AD1441" s="18">
        <f>IF(NOT(ISNUMBER($A1441)),NA(),IFERROR(1*INDEX(BBG_Data!$P$2:$P$4000,MATCH($A1441,BBG_Data!$O$2:$O$4000,0)),NA()))</f>
        <v/>
      </c>
      <c r="AE1441" s="18">
        <f>IF(NOT(ISNUMBER($A1441)),NA(),IFERROR(1*INDEX(BBG_Data!$R$2:$R$4000,MATCH($A1441,BBG_Data!$Q$2:$Q$4000,0)),NA()))</f>
        <v/>
      </c>
      <c r="AF1441" s="20">
        <f>IF(AND(ISNUMBER(B1441),ISNUMBER(AC1441)),(B1441-AC1441)*100,NA())</f>
        <v/>
      </c>
      <c r="AG1441" s="20">
        <f>IF(AND(ISNUMBER(AE1441),ISNUMBER(AD1441)),(AE1441-AD1441)*100,NA())</f>
        <v/>
      </c>
      <c r="AH1441" s="19">
        <f>IF(NOT(ISNUMBER($A1441)),NA(),IFERROR(INDEX(BBG_Data!$T$2:$T$4000,MATCH($A1441,BBG_Data!$S$2:$S$4000,0))*Settings!$B$25,NA()))</f>
        <v/>
      </c>
      <c r="AI1441" s="19">
        <f>IF(NOT(ISNUMBER($A1441)),NA(),IFERROR(INDEX(BBG_Data!$V$2:$V$4000,MATCH($A1441,BBG_Data!$U$2:$U$4000,0))*Settings!$B$25,NA()))</f>
        <v/>
      </c>
      <c r="AJ1441" s="19">
        <f>IF(NOT(ISNUMBER($A1441)),NA(),IFERROR(1*INDEX(BBG_Data!$X$2:$X$4000,MATCH($A1441,BBG_Data!$W$2:$W$4000,0)),NA()))</f>
        <v/>
      </c>
      <c r="AK1441" s="19">
        <f>IF(NOT(ISNUMBER($A1441)),NA(),IFERROR(1*INDEX(BBG_Data!$Z$2:$Z$4000,MATCH($A1441,BBG_Data!$Y$2:$Y$4000,0)),NA()))</f>
        <v/>
      </c>
    </row>
    <row r="1442">
      <c r="A1442" s="17">
        <f>IF(ISNUMBER(BBG_Data!A1442),BBG_Data!A1442,"")</f>
        <v/>
      </c>
      <c r="B1442" s="18">
        <f>IF(AND(ISNUMBER($A1442),ISNUMBER(BBG_Data!B1442)),BBG_Data!B1442,NA())</f>
        <v/>
      </c>
      <c r="C1442" s="18">
        <f>IF(NOT(ISNUMBER($A1442)),NA(),IFERROR(1*INDEX(BBG_Data!$D$2:$D$4000,MATCH($A1442,BBG_Data!$C$2:$C$4000,0)),NA()))</f>
        <v/>
      </c>
      <c r="D1442" s="19">
        <f>IF(NOT(ISNUMBER($A1442)),NA(),IFERROR(1*INDEX(BBG_Data!$F$2:$F$4000,MATCH($A1442,BBG_Data!$E$2:$E$4000,0)),NA()))</f>
        <v/>
      </c>
      <c r="E1442" s="19">
        <f>IF(NOT(ISNUMBER($A1442)),NA(),IFERROR(1*INDEX(BBG_Data!$H$2:$H$4000,MATCH($A1442,BBG_Data!$G$2:$G$4000,0)),NA()))</f>
        <v/>
      </c>
      <c r="F1442" s="20">
        <f>IF(AND(ISNUMBER(B1442),ISNUMBER(B1441)),IF(B1442=B1441,"",(B1442-B1441)*100),"")</f>
        <v/>
      </c>
      <c r="G1442" s="20">
        <f>IF(AND(ISNUMBER(C1442),ISNUMBER(C1441)),IF(C1442=C1441,"",(C1442-C1441)*100),"")</f>
        <v/>
      </c>
      <c r="H1442" s="20">
        <f>IF(OR(NOT(ISNUMBER($A1442)),ROW()-2&lt;Settings!$B$11),NA(),IF(COUNT(OFFSET(F1442,1-Settings!$B$11,0,Settings!$B$11,1))&lt;ROUNDUP(Settings!$B$11*Settings!$B$26,0),NA(),STDEV(OFFSET(F1442,1-Settings!$B$11,0,Settings!$B$11,1))*SQRT(Settings!$B$13)))</f>
        <v/>
      </c>
      <c r="I1442" s="20">
        <f>IF(OR(NOT(ISNUMBER($A1442)),ROW()-2&lt;Settings!$B$12),NA(),IF(COUNT(OFFSET(F1442,1-Settings!$B$12,0,Settings!$B$12,1))&lt;ROUNDUP(Settings!$B$12*Settings!$B$26,0),NA(),STDEV(OFFSET(F1442,1-Settings!$B$12,0,Settings!$B$12,1))*SQRT(Settings!$B$13)))</f>
        <v/>
      </c>
      <c r="J1442" s="20">
        <f>IF(OR(NOT(ISNUMBER($A1442)),ROW()-2&lt;Settings!$B$11),NA(),IF(COUNT(OFFSET(G1442,1-Settings!$B$11,0,Settings!$B$11,1))&lt;ROUNDUP(Settings!$B$11*Settings!$B$26,0),NA(),STDEV(OFFSET(G1442,1-Settings!$B$11,0,Settings!$B$11,1))*SQRT(Settings!$B$13)))</f>
        <v/>
      </c>
      <c r="K1442" s="20">
        <f>IF(OR(NOT(ISNUMBER($A1442)),ROW()-2&lt;Settings!$B$12),NA(),IF(COUNT(OFFSET(G1442,1-Settings!$B$12,0,Settings!$B$12,1))&lt;ROUNDUP(Settings!$B$12*Settings!$B$26,0),NA(),STDEV(OFFSET(G1442,1-Settings!$B$12,0,Settings!$B$12,1))*SQRT(Settings!$B$13)))</f>
        <v/>
      </c>
      <c r="L1442" s="20">
        <f>IF(AND(ISNUMBER(D1442),ISNUMBER(H1442)),D1442-H1442,NA())</f>
        <v/>
      </c>
      <c r="M1442" s="20">
        <f>IF(AND(ISNUMBER(E1442),ISNUMBER(K1442)),E1442-K1442,NA())</f>
        <v/>
      </c>
      <c r="N1442" s="20">
        <f>IF(NOT(ISNUMBER($A1442)),NA(),IF(COUNT(OFFSET(G1442,1,0,Settings!$B$12,1))&lt;ROUNDUP(Settings!$B$12*Settings!$B$26,0),NA(),STDEV(OFFSET(G1442,1,0,Settings!$B$12,1))*SQRT(Settings!$B$13)))</f>
        <v/>
      </c>
      <c r="O1442" s="20">
        <f>IF(AND(ISNUMBER(E1442),ISNUMBER(N1442)),E1442-N1442,NA())</f>
        <v/>
      </c>
      <c r="P1442" s="19">
        <f>IF(NOT(ISNUMBER($A1442)),NA(),IF(OR($A1442&lt;MIN(KW_TP!$A$2:$A$2501),$A1442&gt;MAX(KW_TP!$A$2:$A$2501)),NA(),INDEX(KW_TP!$C$2:$C$2501,MATCH($A1442,KW_TP!$A$2:$A$2501,1))))</f>
        <v/>
      </c>
      <c r="Q1442" s="18">
        <f>IF(NOT(ISNUMBER($A1442)),NA(),IFERROR(1*INDEX(BBG_Data!$J$2:$J$4000,MATCH($A1442,BBG_Data!$I$2:$I$4000,0)),NA()))</f>
        <v/>
      </c>
      <c r="R1442" s="18">
        <f>IF(NOT(ISNUMBER($A1442)),NA(),IFERROR(1*INDEX(BBG_Data!$L$2:$L$4000,MATCH($A1442,BBG_Data!$K$2:$K$4000,0)),NA()))</f>
        <v/>
      </c>
      <c r="S1442" s="20">
        <f>IF(AND(ISNUMBER(B1442),ISNUMBER(Q1442),ISNUMBER(R1442)),(B1442-Q1442-R1442)*100,NA())</f>
        <v/>
      </c>
      <c r="T1442" s="20">
        <f>IF(AND(ISNUMBER(B1442),Settings!$B$17&gt;0),IF(ISNUMBER(INDEX($B:$B,Settings!$B$17)),(B1442-INDEX($B:$B,Settings!$B$17))*100,NA()),NA())</f>
        <v/>
      </c>
      <c r="U1442" s="20">
        <f>IF(AND(ISNUMBER(Q1442),Settings!$B$17&gt;0),IF(ISNUMBER(INDEX($Q:$Q,Settings!$B$17)),(Q1442-INDEX($Q:$Q,Settings!$B$17))*100,NA()),NA())</f>
        <v/>
      </c>
      <c r="V1442" s="20">
        <f>IF(AND(ISNUMBER(R1442),Settings!$B$17&gt;0),IF(ISNUMBER(INDEX($R:$R,Settings!$B$17)),(R1442-INDEX($R:$R,Settings!$B$17))*100,NA()),NA())</f>
        <v/>
      </c>
      <c r="W1442" s="20">
        <f>IF(AND(ISNUMBER(P1442),Settings!$B$17&gt;0),IF(ISNUMBER(INDEX($P:$P,Settings!$B$17)),P1442-INDEX($P:$P,Settings!$B$17),NA()),NA())</f>
        <v/>
      </c>
      <c r="X1442" s="19">
        <f>IF(NOT(ISNUMBER($A1442)),NA(),IF(OR($A1442&lt;MIN(DKW_10Y!$A$2:$A$2918),$A1442&gt;MAX(DKW_10Y!$A$2:$A$2918),Settings!$B$16&lt;MIN(DKW_10Y!$A$2:$A$2918)),NA(),(INDEX(DKW_10Y!$B$2:$B$2918,MATCH($A1442,DKW_10Y!$A$2:$A$2918,1))-INDEX(DKW_10Y!$B$2:$B$2918,MATCH(Settings!$B$16,DKW_10Y!$A$2:$A$2918,1)))*100))</f>
        <v/>
      </c>
      <c r="Y1442" s="19">
        <f>IF(NOT(ISNUMBER($A1442)),NA(),IF(OR($A1442&lt;MIN(DKW_10Y!$A$2:$A$2918),$A1442&gt;MAX(DKW_10Y!$A$2:$A$2918),Settings!$B$16&lt;MIN(DKW_10Y!$A$2:$A$2918)),NA(),(INDEX(DKW_10Y!$C$2:$C$2918,MATCH($A1442,DKW_10Y!$A$2:$A$2918,1))-INDEX(DKW_10Y!$C$2:$C$2918,MATCH(Settings!$B$16,DKW_10Y!$A$2:$A$2918,1)))*100))</f>
        <v/>
      </c>
      <c r="Z1442" s="19">
        <f>IF(NOT(ISNUMBER($A1442)),NA(),IF(OR($A1442&lt;MIN(DKW_10Y!$A$2:$A$2918),$A1442&gt;MAX(DKW_10Y!$A$2:$A$2918),Settings!$B$16&lt;MIN(DKW_10Y!$A$2:$A$2918)),NA(),(INDEX(DKW_10Y!$D$2:$D$2918,MATCH($A1442,DKW_10Y!$A$2:$A$2918,1))-INDEX(DKW_10Y!$D$2:$D$2918,MATCH(Settings!$B$16,DKW_10Y!$A$2:$A$2918,1)))*100))</f>
        <v/>
      </c>
      <c r="AA1442" s="19">
        <f>IF(NOT(ISNUMBER($A1442)),NA(),IF(OR($A1442&lt;MIN(DKW_10Y!$A$2:$A$2918),$A1442&gt;MAX(DKW_10Y!$A$2:$A$2918),Settings!$B$16&lt;MIN(DKW_10Y!$A$2:$A$2918)),NA(),(INDEX(DKW_10Y!$E$2:$E$2918,MATCH($A1442,DKW_10Y!$A$2:$A$2918,1))-INDEX(DKW_10Y!$E$2:$E$2918,MATCH(Settings!$B$16,DKW_10Y!$A$2:$A$2918,1)))*100))</f>
        <v/>
      </c>
      <c r="AB1442" s="19">
        <f>IF(NOT(ISNUMBER($A1442)),NA(),IF(OR($A1442&lt;MIN(DKW_10Y!$A$2:$A$2918),$A1442&gt;MAX(DKW_10Y!$A$2:$A$2918),Settings!$B$16&lt;MIN(DKW_10Y!$A$2:$A$2918)),NA(),(INDEX(DKW_10Y!$H$2:$H$2918,MATCH($A1442,DKW_10Y!$A$2:$A$2918,1))-INDEX(DKW_10Y!$H$2:$H$2918,MATCH(Settings!$B$16,DKW_10Y!$A$2:$A$2918,1)))*100))</f>
        <v/>
      </c>
      <c r="AC1442" s="18">
        <f>IF(NOT(ISNUMBER($A1442)),NA(),IFERROR(1*INDEX(BBG_Data!$N$2:$N$4000,MATCH($A1442,BBG_Data!$M$2:$M$4000,0)),NA()))</f>
        <v/>
      </c>
      <c r="AD1442" s="18">
        <f>IF(NOT(ISNUMBER($A1442)),NA(),IFERROR(1*INDEX(BBG_Data!$P$2:$P$4000,MATCH($A1442,BBG_Data!$O$2:$O$4000,0)),NA()))</f>
        <v/>
      </c>
      <c r="AE1442" s="18">
        <f>IF(NOT(ISNUMBER($A1442)),NA(),IFERROR(1*INDEX(BBG_Data!$R$2:$R$4000,MATCH($A1442,BBG_Data!$Q$2:$Q$4000,0)),NA()))</f>
        <v/>
      </c>
      <c r="AF1442" s="20">
        <f>IF(AND(ISNUMBER(B1442),ISNUMBER(AC1442)),(B1442-AC1442)*100,NA())</f>
        <v/>
      </c>
      <c r="AG1442" s="20">
        <f>IF(AND(ISNUMBER(AE1442),ISNUMBER(AD1442)),(AE1442-AD1442)*100,NA())</f>
        <v/>
      </c>
      <c r="AH1442" s="19">
        <f>IF(NOT(ISNUMBER($A1442)),NA(),IFERROR(INDEX(BBG_Data!$T$2:$T$4000,MATCH($A1442,BBG_Data!$S$2:$S$4000,0))*Settings!$B$25,NA()))</f>
        <v/>
      </c>
      <c r="AI1442" s="19">
        <f>IF(NOT(ISNUMBER($A1442)),NA(),IFERROR(INDEX(BBG_Data!$V$2:$V$4000,MATCH($A1442,BBG_Data!$U$2:$U$4000,0))*Settings!$B$25,NA()))</f>
        <v/>
      </c>
      <c r="AJ1442" s="19">
        <f>IF(NOT(ISNUMBER($A1442)),NA(),IFERROR(1*INDEX(BBG_Data!$X$2:$X$4000,MATCH($A1442,BBG_Data!$W$2:$W$4000,0)),NA()))</f>
        <v/>
      </c>
      <c r="AK1442" s="19">
        <f>IF(NOT(ISNUMBER($A1442)),NA(),IFERROR(1*INDEX(BBG_Data!$Z$2:$Z$4000,MATCH($A1442,BBG_Data!$Y$2:$Y$4000,0)),NA()))</f>
        <v/>
      </c>
    </row>
    <row r="1443">
      <c r="A1443" s="17">
        <f>IF(ISNUMBER(BBG_Data!A1443),BBG_Data!A1443,"")</f>
        <v/>
      </c>
      <c r="B1443" s="18">
        <f>IF(AND(ISNUMBER($A1443),ISNUMBER(BBG_Data!B1443)),BBG_Data!B1443,NA())</f>
        <v/>
      </c>
      <c r="C1443" s="18">
        <f>IF(NOT(ISNUMBER($A1443)),NA(),IFERROR(1*INDEX(BBG_Data!$D$2:$D$4000,MATCH($A1443,BBG_Data!$C$2:$C$4000,0)),NA()))</f>
        <v/>
      </c>
      <c r="D1443" s="19">
        <f>IF(NOT(ISNUMBER($A1443)),NA(),IFERROR(1*INDEX(BBG_Data!$F$2:$F$4000,MATCH($A1443,BBG_Data!$E$2:$E$4000,0)),NA()))</f>
        <v/>
      </c>
      <c r="E1443" s="19">
        <f>IF(NOT(ISNUMBER($A1443)),NA(),IFERROR(1*INDEX(BBG_Data!$H$2:$H$4000,MATCH($A1443,BBG_Data!$G$2:$G$4000,0)),NA()))</f>
        <v/>
      </c>
      <c r="F1443" s="20">
        <f>IF(AND(ISNUMBER(B1443),ISNUMBER(B1442)),IF(B1443=B1442,"",(B1443-B1442)*100),"")</f>
        <v/>
      </c>
      <c r="G1443" s="20">
        <f>IF(AND(ISNUMBER(C1443),ISNUMBER(C1442)),IF(C1443=C1442,"",(C1443-C1442)*100),"")</f>
        <v/>
      </c>
      <c r="H1443" s="20">
        <f>IF(OR(NOT(ISNUMBER($A1443)),ROW()-2&lt;Settings!$B$11),NA(),IF(COUNT(OFFSET(F1443,1-Settings!$B$11,0,Settings!$B$11,1))&lt;ROUNDUP(Settings!$B$11*Settings!$B$26,0),NA(),STDEV(OFFSET(F1443,1-Settings!$B$11,0,Settings!$B$11,1))*SQRT(Settings!$B$13)))</f>
        <v/>
      </c>
      <c r="I1443" s="20">
        <f>IF(OR(NOT(ISNUMBER($A1443)),ROW()-2&lt;Settings!$B$12),NA(),IF(COUNT(OFFSET(F1443,1-Settings!$B$12,0,Settings!$B$12,1))&lt;ROUNDUP(Settings!$B$12*Settings!$B$26,0),NA(),STDEV(OFFSET(F1443,1-Settings!$B$12,0,Settings!$B$12,1))*SQRT(Settings!$B$13)))</f>
        <v/>
      </c>
      <c r="J1443" s="20">
        <f>IF(OR(NOT(ISNUMBER($A1443)),ROW()-2&lt;Settings!$B$11),NA(),IF(COUNT(OFFSET(G1443,1-Settings!$B$11,0,Settings!$B$11,1))&lt;ROUNDUP(Settings!$B$11*Settings!$B$26,0),NA(),STDEV(OFFSET(G1443,1-Settings!$B$11,0,Settings!$B$11,1))*SQRT(Settings!$B$13)))</f>
        <v/>
      </c>
      <c r="K1443" s="20">
        <f>IF(OR(NOT(ISNUMBER($A1443)),ROW()-2&lt;Settings!$B$12),NA(),IF(COUNT(OFFSET(G1443,1-Settings!$B$12,0,Settings!$B$12,1))&lt;ROUNDUP(Settings!$B$12*Settings!$B$26,0),NA(),STDEV(OFFSET(G1443,1-Settings!$B$12,0,Settings!$B$12,1))*SQRT(Settings!$B$13)))</f>
        <v/>
      </c>
      <c r="L1443" s="20">
        <f>IF(AND(ISNUMBER(D1443),ISNUMBER(H1443)),D1443-H1443,NA())</f>
        <v/>
      </c>
      <c r="M1443" s="20">
        <f>IF(AND(ISNUMBER(E1443),ISNUMBER(K1443)),E1443-K1443,NA())</f>
        <v/>
      </c>
      <c r="N1443" s="20">
        <f>IF(NOT(ISNUMBER($A1443)),NA(),IF(COUNT(OFFSET(G1443,1,0,Settings!$B$12,1))&lt;ROUNDUP(Settings!$B$12*Settings!$B$26,0),NA(),STDEV(OFFSET(G1443,1,0,Settings!$B$12,1))*SQRT(Settings!$B$13)))</f>
        <v/>
      </c>
      <c r="O1443" s="20">
        <f>IF(AND(ISNUMBER(E1443),ISNUMBER(N1443)),E1443-N1443,NA())</f>
        <v/>
      </c>
      <c r="P1443" s="19">
        <f>IF(NOT(ISNUMBER($A1443)),NA(),IF(OR($A1443&lt;MIN(KW_TP!$A$2:$A$2501),$A1443&gt;MAX(KW_TP!$A$2:$A$2501)),NA(),INDEX(KW_TP!$C$2:$C$2501,MATCH($A1443,KW_TP!$A$2:$A$2501,1))))</f>
        <v/>
      </c>
      <c r="Q1443" s="18">
        <f>IF(NOT(ISNUMBER($A1443)),NA(),IFERROR(1*INDEX(BBG_Data!$J$2:$J$4000,MATCH($A1443,BBG_Data!$I$2:$I$4000,0)),NA()))</f>
        <v/>
      </c>
      <c r="R1443" s="18">
        <f>IF(NOT(ISNUMBER($A1443)),NA(),IFERROR(1*INDEX(BBG_Data!$L$2:$L$4000,MATCH($A1443,BBG_Data!$K$2:$K$4000,0)),NA()))</f>
        <v/>
      </c>
      <c r="S1443" s="20">
        <f>IF(AND(ISNUMBER(B1443),ISNUMBER(Q1443),ISNUMBER(R1443)),(B1443-Q1443-R1443)*100,NA())</f>
        <v/>
      </c>
      <c r="T1443" s="20">
        <f>IF(AND(ISNUMBER(B1443),Settings!$B$17&gt;0),IF(ISNUMBER(INDEX($B:$B,Settings!$B$17)),(B1443-INDEX($B:$B,Settings!$B$17))*100,NA()),NA())</f>
        <v/>
      </c>
      <c r="U1443" s="20">
        <f>IF(AND(ISNUMBER(Q1443),Settings!$B$17&gt;0),IF(ISNUMBER(INDEX($Q:$Q,Settings!$B$17)),(Q1443-INDEX($Q:$Q,Settings!$B$17))*100,NA()),NA())</f>
        <v/>
      </c>
      <c r="V1443" s="20">
        <f>IF(AND(ISNUMBER(R1443),Settings!$B$17&gt;0),IF(ISNUMBER(INDEX($R:$R,Settings!$B$17)),(R1443-INDEX($R:$R,Settings!$B$17))*100,NA()),NA())</f>
        <v/>
      </c>
      <c r="W1443" s="20">
        <f>IF(AND(ISNUMBER(P1443),Settings!$B$17&gt;0),IF(ISNUMBER(INDEX($P:$P,Settings!$B$17)),P1443-INDEX($P:$P,Settings!$B$17),NA()),NA())</f>
        <v/>
      </c>
      <c r="X1443" s="19">
        <f>IF(NOT(ISNUMBER($A1443)),NA(),IF(OR($A1443&lt;MIN(DKW_10Y!$A$2:$A$2918),$A1443&gt;MAX(DKW_10Y!$A$2:$A$2918),Settings!$B$16&lt;MIN(DKW_10Y!$A$2:$A$2918)),NA(),(INDEX(DKW_10Y!$B$2:$B$2918,MATCH($A1443,DKW_10Y!$A$2:$A$2918,1))-INDEX(DKW_10Y!$B$2:$B$2918,MATCH(Settings!$B$16,DKW_10Y!$A$2:$A$2918,1)))*100))</f>
        <v/>
      </c>
      <c r="Y1443" s="19">
        <f>IF(NOT(ISNUMBER($A1443)),NA(),IF(OR($A1443&lt;MIN(DKW_10Y!$A$2:$A$2918),$A1443&gt;MAX(DKW_10Y!$A$2:$A$2918),Settings!$B$16&lt;MIN(DKW_10Y!$A$2:$A$2918)),NA(),(INDEX(DKW_10Y!$C$2:$C$2918,MATCH($A1443,DKW_10Y!$A$2:$A$2918,1))-INDEX(DKW_10Y!$C$2:$C$2918,MATCH(Settings!$B$16,DKW_10Y!$A$2:$A$2918,1)))*100))</f>
        <v/>
      </c>
      <c r="Z1443" s="19">
        <f>IF(NOT(ISNUMBER($A1443)),NA(),IF(OR($A1443&lt;MIN(DKW_10Y!$A$2:$A$2918),$A1443&gt;MAX(DKW_10Y!$A$2:$A$2918),Settings!$B$16&lt;MIN(DKW_10Y!$A$2:$A$2918)),NA(),(INDEX(DKW_10Y!$D$2:$D$2918,MATCH($A1443,DKW_10Y!$A$2:$A$2918,1))-INDEX(DKW_10Y!$D$2:$D$2918,MATCH(Settings!$B$16,DKW_10Y!$A$2:$A$2918,1)))*100))</f>
        <v/>
      </c>
      <c r="AA1443" s="19">
        <f>IF(NOT(ISNUMBER($A1443)),NA(),IF(OR($A1443&lt;MIN(DKW_10Y!$A$2:$A$2918),$A1443&gt;MAX(DKW_10Y!$A$2:$A$2918),Settings!$B$16&lt;MIN(DKW_10Y!$A$2:$A$2918)),NA(),(INDEX(DKW_10Y!$E$2:$E$2918,MATCH($A1443,DKW_10Y!$A$2:$A$2918,1))-INDEX(DKW_10Y!$E$2:$E$2918,MATCH(Settings!$B$16,DKW_10Y!$A$2:$A$2918,1)))*100))</f>
        <v/>
      </c>
      <c r="AB1443" s="19">
        <f>IF(NOT(ISNUMBER($A1443)),NA(),IF(OR($A1443&lt;MIN(DKW_10Y!$A$2:$A$2918),$A1443&gt;MAX(DKW_10Y!$A$2:$A$2918),Settings!$B$16&lt;MIN(DKW_10Y!$A$2:$A$2918)),NA(),(INDEX(DKW_10Y!$H$2:$H$2918,MATCH($A1443,DKW_10Y!$A$2:$A$2918,1))-INDEX(DKW_10Y!$H$2:$H$2918,MATCH(Settings!$B$16,DKW_10Y!$A$2:$A$2918,1)))*100))</f>
        <v/>
      </c>
      <c r="AC1443" s="18">
        <f>IF(NOT(ISNUMBER($A1443)),NA(),IFERROR(1*INDEX(BBG_Data!$N$2:$N$4000,MATCH($A1443,BBG_Data!$M$2:$M$4000,0)),NA()))</f>
        <v/>
      </c>
      <c r="AD1443" s="18">
        <f>IF(NOT(ISNUMBER($A1443)),NA(),IFERROR(1*INDEX(BBG_Data!$P$2:$P$4000,MATCH($A1443,BBG_Data!$O$2:$O$4000,0)),NA()))</f>
        <v/>
      </c>
      <c r="AE1443" s="18">
        <f>IF(NOT(ISNUMBER($A1443)),NA(),IFERROR(1*INDEX(BBG_Data!$R$2:$R$4000,MATCH($A1443,BBG_Data!$Q$2:$Q$4000,0)),NA()))</f>
        <v/>
      </c>
      <c r="AF1443" s="20">
        <f>IF(AND(ISNUMBER(B1443),ISNUMBER(AC1443)),(B1443-AC1443)*100,NA())</f>
        <v/>
      </c>
      <c r="AG1443" s="20">
        <f>IF(AND(ISNUMBER(AE1443),ISNUMBER(AD1443)),(AE1443-AD1443)*100,NA())</f>
        <v/>
      </c>
      <c r="AH1443" s="19">
        <f>IF(NOT(ISNUMBER($A1443)),NA(),IFERROR(INDEX(BBG_Data!$T$2:$T$4000,MATCH($A1443,BBG_Data!$S$2:$S$4000,0))*Settings!$B$25,NA()))</f>
        <v/>
      </c>
      <c r="AI1443" s="19">
        <f>IF(NOT(ISNUMBER($A1443)),NA(),IFERROR(INDEX(BBG_Data!$V$2:$V$4000,MATCH($A1443,BBG_Data!$U$2:$U$4000,0))*Settings!$B$25,NA()))</f>
        <v/>
      </c>
      <c r="AJ1443" s="19">
        <f>IF(NOT(ISNUMBER($A1443)),NA(),IFERROR(1*INDEX(BBG_Data!$X$2:$X$4000,MATCH($A1443,BBG_Data!$W$2:$W$4000,0)),NA()))</f>
        <v/>
      </c>
      <c r="AK1443" s="19">
        <f>IF(NOT(ISNUMBER($A1443)),NA(),IFERROR(1*INDEX(BBG_Data!$Z$2:$Z$4000,MATCH($A1443,BBG_Data!$Y$2:$Y$4000,0)),NA()))</f>
        <v/>
      </c>
    </row>
    <row r="1444">
      <c r="A1444" s="17">
        <f>IF(ISNUMBER(BBG_Data!A1444),BBG_Data!A1444,"")</f>
        <v/>
      </c>
      <c r="B1444" s="18">
        <f>IF(AND(ISNUMBER($A1444),ISNUMBER(BBG_Data!B1444)),BBG_Data!B1444,NA())</f>
        <v/>
      </c>
      <c r="C1444" s="18">
        <f>IF(NOT(ISNUMBER($A1444)),NA(),IFERROR(1*INDEX(BBG_Data!$D$2:$D$4000,MATCH($A1444,BBG_Data!$C$2:$C$4000,0)),NA()))</f>
        <v/>
      </c>
      <c r="D1444" s="19">
        <f>IF(NOT(ISNUMBER($A1444)),NA(),IFERROR(1*INDEX(BBG_Data!$F$2:$F$4000,MATCH($A1444,BBG_Data!$E$2:$E$4000,0)),NA()))</f>
        <v/>
      </c>
      <c r="E1444" s="19">
        <f>IF(NOT(ISNUMBER($A1444)),NA(),IFERROR(1*INDEX(BBG_Data!$H$2:$H$4000,MATCH($A1444,BBG_Data!$G$2:$G$4000,0)),NA()))</f>
        <v/>
      </c>
      <c r="F1444" s="20">
        <f>IF(AND(ISNUMBER(B1444),ISNUMBER(B1443)),IF(B1444=B1443,"",(B1444-B1443)*100),"")</f>
        <v/>
      </c>
      <c r="G1444" s="20">
        <f>IF(AND(ISNUMBER(C1444),ISNUMBER(C1443)),IF(C1444=C1443,"",(C1444-C1443)*100),"")</f>
        <v/>
      </c>
      <c r="H1444" s="20">
        <f>IF(OR(NOT(ISNUMBER($A1444)),ROW()-2&lt;Settings!$B$11),NA(),IF(COUNT(OFFSET(F1444,1-Settings!$B$11,0,Settings!$B$11,1))&lt;ROUNDUP(Settings!$B$11*Settings!$B$26,0),NA(),STDEV(OFFSET(F1444,1-Settings!$B$11,0,Settings!$B$11,1))*SQRT(Settings!$B$13)))</f>
        <v/>
      </c>
      <c r="I1444" s="20">
        <f>IF(OR(NOT(ISNUMBER($A1444)),ROW()-2&lt;Settings!$B$12),NA(),IF(COUNT(OFFSET(F1444,1-Settings!$B$12,0,Settings!$B$12,1))&lt;ROUNDUP(Settings!$B$12*Settings!$B$26,0),NA(),STDEV(OFFSET(F1444,1-Settings!$B$12,0,Settings!$B$12,1))*SQRT(Settings!$B$13)))</f>
        <v/>
      </c>
      <c r="J1444" s="20">
        <f>IF(OR(NOT(ISNUMBER($A1444)),ROW()-2&lt;Settings!$B$11),NA(),IF(COUNT(OFFSET(G1444,1-Settings!$B$11,0,Settings!$B$11,1))&lt;ROUNDUP(Settings!$B$11*Settings!$B$26,0),NA(),STDEV(OFFSET(G1444,1-Settings!$B$11,0,Settings!$B$11,1))*SQRT(Settings!$B$13)))</f>
        <v/>
      </c>
      <c r="K1444" s="20">
        <f>IF(OR(NOT(ISNUMBER($A1444)),ROW()-2&lt;Settings!$B$12),NA(),IF(COUNT(OFFSET(G1444,1-Settings!$B$12,0,Settings!$B$12,1))&lt;ROUNDUP(Settings!$B$12*Settings!$B$26,0),NA(),STDEV(OFFSET(G1444,1-Settings!$B$12,0,Settings!$B$12,1))*SQRT(Settings!$B$13)))</f>
        <v/>
      </c>
      <c r="L1444" s="20">
        <f>IF(AND(ISNUMBER(D1444),ISNUMBER(H1444)),D1444-H1444,NA())</f>
        <v/>
      </c>
      <c r="M1444" s="20">
        <f>IF(AND(ISNUMBER(E1444),ISNUMBER(K1444)),E1444-K1444,NA())</f>
        <v/>
      </c>
      <c r="N1444" s="20">
        <f>IF(NOT(ISNUMBER($A1444)),NA(),IF(COUNT(OFFSET(G1444,1,0,Settings!$B$12,1))&lt;ROUNDUP(Settings!$B$12*Settings!$B$26,0),NA(),STDEV(OFFSET(G1444,1,0,Settings!$B$12,1))*SQRT(Settings!$B$13)))</f>
        <v/>
      </c>
      <c r="O1444" s="20">
        <f>IF(AND(ISNUMBER(E1444),ISNUMBER(N1444)),E1444-N1444,NA())</f>
        <v/>
      </c>
      <c r="P1444" s="19">
        <f>IF(NOT(ISNUMBER($A1444)),NA(),IF(OR($A1444&lt;MIN(KW_TP!$A$2:$A$2501),$A1444&gt;MAX(KW_TP!$A$2:$A$2501)),NA(),INDEX(KW_TP!$C$2:$C$2501,MATCH($A1444,KW_TP!$A$2:$A$2501,1))))</f>
        <v/>
      </c>
      <c r="Q1444" s="18">
        <f>IF(NOT(ISNUMBER($A1444)),NA(),IFERROR(1*INDEX(BBG_Data!$J$2:$J$4000,MATCH($A1444,BBG_Data!$I$2:$I$4000,0)),NA()))</f>
        <v/>
      </c>
      <c r="R1444" s="18">
        <f>IF(NOT(ISNUMBER($A1444)),NA(),IFERROR(1*INDEX(BBG_Data!$L$2:$L$4000,MATCH($A1444,BBG_Data!$K$2:$K$4000,0)),NA()))</f>
        <v/>
      </c>
      <c r="S1444" s="20">
        <f>IF(AND(ISNUMBER(B1444),ISNUMBER(Q1444),ISNUMBER(R1444)),(B1444-Q1444-R1444)*100,NA())</f>
        <v/>
      </c>
      <c r="T1444" s="20">
        <f>IF(AND(ISNUMBER(B1444),Settings!$B$17&gt;0),IF(ISNUMBER(INDEX($B:$B,Settings!$B$17)),(B1444-INDEX($B:$B,Settings!$B$17))*100,NA()),NA())</f>
        <v/>
      </c>
      <c r="U1444" s="20">
        <f>IF(AND(ISNUMBER(Q1444),Settings!$B$17&gt;0),IF(ISNUMBER(INDEX($Q:$Q,Settings!$B$17)),(Q1444-INDEX($Q:$Q,Settings!$B$17))*100,NA()),NA())</f>
        <v/>
      </c>
      <c r="V1444" s="20">
        <f>IF(AND(ISNUMBER(R1444),Settings!$B$17&gt;0),IF(ISNUMBER(INDEX($R:$R,Settings!$B$17)),(R1444-INDEX($R:$R,Settings!$B$17))*100,NA()),NA())</f>
        <v/>
      </c>
      <c r="W1444" s="20">
        <f>IF(AND(ISNUMBER(P1444),Settings!$B$17&gt;0),IF(ISNUMBER(INDEX($P:$P,Settings!$B$17)),P1444-INDEX($P:$P,Settings!$B$17),NA()),NA())</f>
        <v/>
      </c>
      <c r="X1444" s="19">
        <f>IF(NOT(ISNUMBER($A1444)),NA(),IF(OR($A1444&lt;MIN(DKW_10Y!$A$2:$A$2918),$A1444&gt;MAX(DKW_10Y!$A$2:$A$2918),Settings!$B$16&lt;MIN(DKW_10Y!$A$2:$A$2918)),NA(),(INDEX(DKW_10Y!$B$2:$B$2918,MATCH($A1444,DKW_10Y!$A$2:$A$2918,1))-INDEX(DKW_10Y!$B$2:$B$2918,MATCH(Settings!$B$16,DKW_10Y!$A$2:$A$2918,1)))*100))</f>
        <v/>
      </c>
      <c r="Y1444" s="19">
        <f>IF(NOT(ISNUMBER($A1444)),NA(),IF(OR($A1444&lt;MIN(DKW_10Y!$A$2:$A$2918),$A1444&gt;MAX(DKW_10Y!$A$2:$A$2918),Settings!$B$16&lt;MIN(DKW_10Y!$A$2:$A$2918)),NA(),(INDEX(DKW_10Y!$C$2:$C$2918,MATCH($A1444,DKW_10Y!$A$2:$A$2918,1))-INDEX(DKW_10Y!$C$2:$C$2918,MATCH(Settings!$B$16,DKW_10Y!$A$2:$A$2918,1)))*100))</f>
        <v/>
      </c>
      <c r="Z1444" s="19">
        <f>IF(NOT(ISNUMBER($A1444)),NA(),IF(OR($A1444&lt;MIN(DKW_10Y!$A$2:$A$2918),$A1444&gt;MAX(DKW_10Y!$A$2:$A$2918),Settings!$B$16&lt;MIN(DKW_10Y!$A$2:$A$2918)),NA(),(INDEX(DKW_10Y!$D$2:$D$2918,MATCH($A1444,DKW_10Y!$A$2:$A$2918,1))-INDEX(DKW_10Y!$D$2:$D$2918,MATCH(Settings!$B$16,DKW_10Y!$A$2:$A$2918,1)))*100))</f>
        <v/>
      </c>
      <c r="AA1444" s="19">
        <f>IF(NOT(ISNUMBER($A1444)),NA(),IF(OR($A1444&lt;MIN(DKW_10Y!$A$2:$A$2918),$A1444&gt;MAX(DKW_10Y!$A$2:$A$2918),Settings!$B$16&lt;MIN(DKW_10Y!$A$2:$A$2918)),NA(),(INDEX(DKW_10Y!$E$2:$E$2918,MATCH($A1444,DKW_10Y!$A$2:$A$2918,1))-INDEX(DKW_10Y!$E$2:$E$2918,MATCH(Settings!$B$16,DKW_10Y!$A$2:$A$2918,1)))*100))</f>
        <v/>
      </c>
      <c r="AB1444" s="19">
        <f>IF(NOT(ISNUMBER($A1444)),NA(),IF(OR($A1444&lt;MIN(DKW_10Y!$A$2:$A$2918),$A1444&gt;MAX(DKW_10Y!$A$2:$A$2918),Settings!$B$16&lt;MIN(DKW_10Y!$A$2:$A$2918)),NA(),(INDEX(DKW_10Y!$H$2:$H$2918,MATCH($A1444,DKW_10Y!$A$2:$A$2918,1))-INDEX(DKW_10Y!$H$2:$H$2918,MATCH(Settings!$B$16,DKW_10Y!$A$2:$A$2918,1)))*100))</f>
        <v/>
      </c>
      <c r="AC1444" s="18">
        <f>IF(NOT(ISNUMBER($A1444)),NA(),IFERROR(1*INDEX(BBG_Data!$N$2:$N$4000,MATCH($A1444,BBG_Data!$M$2:$M$4000,0)),NA()))</f>
        <v/>
      </c>
      <c r="AD1444" s="18">
        <f>IF(NOT(ISNUMBER($A1444)),NA(),IFERROR(1*INDEX(BBG_Data!$P$2:$P$4000,MATCH($A1444,BBG_Data!$O$2:$O$4000,0)),NA()))</f>
        <v/>
      </c>
      <c r="AE1444" s="18">
        <f>IF(NOT(ISNUMBER($A1444)),NA(),IFERROR(1*INDEX(BBG_Data!$R$2:$R$4000,MATCH($A1444,BBG_Data!$Q$2:$Q$4000,0)),NA()))</f>
        <v/>
      </c>
      <c r="AF1444" s="20">
        <f>IF(AND(ISNUMBER(B1444),ISNUMBER(AC1444)),(B1444-AC1444)*100,NA())</f>
        <v/>
      </c>
      <c r="AG1444" s="20">
        <f>IF(AND(ISNUMBER(AE1444),ISNUMBER(AD1444)),(AE1444-AD1444)*100,NA())</f>
        <v/>
      </c>
      <c r="AH1444" s="19">
        <f>IF(NOT(ISNUMBER($A1444)),NA(),IFERROR(INDEX(BBG_Data!$T$2:$T$4000,MATCH($A1444,BBG_Data!$S$2:$S$4000,0))*Settings!$B$25,NA()))</f>
        <v/>
      </c>
      <c r="AI1444" s="19">
        <f>IF(NOT(ISNUMBER($A1444)),NA(),IFERROR(INDEX(BBG_Data!$V$2:$V$4000,MATCH($A1444,BBG_Data!$U$2:$U$4000,0))*Settings!$B$25,NA()))</f>
        <v/>
      </c>
      <c r="AJ1444" s="19">
        <f>IF(NOT(ISNUMBER($A1444)),NA(),IFERROR(1*INDEX(BBG_Data!$X$2:$X$4000,MATCH($A1444,BBG_Data!$W$2:$W$4000,0)),NA()))</f>
        <v/>
      </c>
      <c r="AK1444" s="19">
        <f>IF(NOT(ISNUMBER($A1444)),NA(),IFERROR(1*INDEX(BBG_Data!$Z$2:$Z$4000,MATCH($A1444,BBG_Data!$Y$2:$Y$4000,0)),NA()))</f>
        <v/>
      </c>
    </row>
    <row r="1445">
      <c r="A1445" s="17">
        <f>IF(ISNUMBER(BBG_Data!A1445),BBG_Data!A1445,"")</f>
        <v/>
      </c>
      <c r="B1445" s="18">
        <f>IF(AND(ISNUMBER($A1445),ISNUMBER(BBG_Data!B1445)),BBG_Data!B1445,NA())</f>
        <v/>
      </c>
      <c r="C1445" s="18">
        <f>IF(NOT(ISNUMBER($A1445)),NA(),IFERROR(1*INDEX(BBG_Data!$D$2:$D$4000,MATCH($A1445,BBG_Data!$C$2:$C$4000,0)),NA()))</f>
        <v/>
      </c>
      <c r="D1445" s="19">
        <f>IF(NOT(ISNUMBER($A1445)),NA(),IFERROR(1*INDEX(BBG_Data!$F$2:$F$4000,MATCH($A1445,BBG_Data!$E$2:$E$4000,0)),NA()))</f>
        <v/>
      </c>
      <c r="E1445" s="19">
        <f>IF(NOT(ISNUMBER($A1445)),NA(),IFERROR(1*INDEX(BBG_Data!$H$2:$H$4000,MATCH($A1445,BBG_Data!$G$2:$G$4000,0)),NA()))</f>
        <v/>
      </c>
      <c r="F1445" s="20">
        <f>IF(AND(ISNUMBER(B1445),ISNUMBER(B1444)),IF(B1445=B1444,"",(B1445-B1444)*100),"")</f>
        <v/>
      </c>
      <c r="G1445" s="20">
        <f>IF(AND(ISNUMBER(C1445),ISNUMBER(C1444)),IF(C1445=C1444,"",(C1445-C1444)*100),"")</f>
        <v/>
      </c>
      <c r="H1445" s="20">
        <f>IF(OR(NOT(ISNUMBER($A1445)),ROW()-2&lt;Settings!$B$11),NA(),IF(COUNT(OFFSET(F1445,1-Settings!$B$11,0,Settings!$B$11,1))&lt;ROUNDUP(Settings!$B$11*Settings!$B$26,0),NA(),STDEV(OFFSET(F1445,1-Settings!$B$11,0,Settings!$B$11,1))*SQRT(Settings!$B$13)))</f>
        <v/>
      </c>
      <c r="I1445" s="20">
        <f>IF(OR(NOT(ISNUMBER($A1445)),ROW()-2&lt;Settings!$B$12),NA(),IF(COUNT(OFFSET(F1445,1-Settings!$B$12,0,Settings!$B$12,1))&lt;ROUNDUP(Settings!$B$12*Settings!$B$26,0),NA(),STDEV(OFFSET(F1445,1-Settings!$B$12,0,Settings!$B$12,1))*SQRT(Settings!$B$13)))</f>
        <v/>
      </c>
      <c r="J1445" s="20">
        <f>IF(OR(NOT(ISNUMBER($A1445)),ROW()-2&lt;Settings!$B$11),NA(),IF(COUNT(OFFSET(G1445,1-Settings!$B$11,0,Settings!$B$11,1))&lt;ROUNDUP(Settings!$B$11*Settings!$B$26,0),NA(),STDEV(OFFSET(G1445,1-Settings!$B$11,0,Settings!$B$11,1))*SQRT(Settings!$B$13)))</f>
        <v/>
      </c>
      <c r="K1445" s="20">
        <f>IF(OR(NOT(ISNUMBER($A1445)),ROW()-2&lt;Settings!$B$12),NA(),IF(COUNT(OFFSET(G1445,1-Settings!$B$12,0,Settings!$B$12,1))&lt;ROUNDUP(Settings!$B$12*Settings!$B$26,0),NA(),STDEV(OFFSET(G1445,1-Settings!$B$12,0,Settings!$B$12,1))*SQRT(Settings!$B$13)))</f>
        <v/>
      </c>
      <c r="L1445" s="20">
        <f>IF(AND(ISNUMBER(D1445),ISNUMBER(H1445)),D1445-H1445,NA())</f>
        <v/>
      </c>
      <c r="M1445" s="20">
        <f>IF(AND(ISNUMBER(E1445),ISNUMBER(K1445)),E1445-K1445,NA())</f>
        <v/>
      </c>
      <c r="N1445" s="20">
        <f>IF(NOT(ISNUMBER($A1445)),NA(),IF(COUNT(OFFSET(G1445,1,0,Settings!$B$12,1))&lt;ROUNDUP(Settings!$B$12*Settings!$B$26,0),NA(),STDEV(OFFSET(G1445,1,0,Settings!$B$12,1))*SQRT(Settings!$B$13)))</f>
        <v/>
      </c>
      <c r="O1445" s="20">
        <f>IF(AND(ISNUMBER(E1445),ISNUMBER(N1445)),E1445-N1445,NA())</f>
        <v/>
      </c>
      <c r="P1445" s="19">
        <f>IF(NOT(ISNUMBER($A1445)),NA(),IF(OR($A1445&lt;MIN(KW_TP!$A$2:$A$2501),$A1445&gt;MAX(KW_TP!$A$2:$A$2501)),NA(),INDEX(KW_TP!$C$2:$C$2501,MATCH($A1445,KW_TP!$A$2:$A$2501,1))))</f>
        <v/>
      </c>
      <c r="Q1445" s="18">
        <f>IF(NOT(ISNUMBER($A1445)),NA(),IFERROR(1*INDEX(BBG_Data!$J$2:$J$4000,MATCH($A1445,BBG_Data!$I$2:$I$4000,0)),NA()))</f>
        <v/>
      </c>
      <c r="R1445" s="18">
        <f>IF(NOT(ISNUMBER($A1445)),NA(),IFERROR(1*INDEX(BBG_Data!$L$2:$L$4000,MATCH($A1445,BBG_Data!$K$2:$K$4000,0)),NA()))</f>
        <v/>
      </c>
      <c r="S1445" s="20">
        <f>IF(AND(ISNUMBER(B1445),ISNUMBER(Q1445),ISNUMBER(R1445)),(B1445-Q1445-R1445)*100,NA())</f>
        <v/>
      </c>
      <c r="T1445" s="20">
        <f>IF(AND(ISNUMBER(B1445),Settings!$B$17&gt;0),IF(ISNUMBER(INDEX($B:$B,Settings!$B$17)),(B1445-INDEX($B:$B,Settings!$B$17))*100,NA()),NA())</f>
        <v/>
      </c>
      <c r="U1445" s="20">
        <f>IF(AND(ISNUMBER(Q1445),Settings!$B$17&gt;0),IF(ISNUMBER(INDEX($Q:$Q,Settings!$B$17)),(Q1445-INDEX($Q:$Q,Settings!$B$17))*100,NA()),NA())</f>
        <v/>
      </c>
      <c r="V1445" s="20">
        <f>IF(AND(ISNUMBER(R1445),Settings!$B$17&gt;0),IF(ISNUMBER(INDEX($R:$R,Settings!$B$17)),(R1445-INDEX($R:$R,Settings!$B$17))*100,NA()),NA())</f>
        <v/>
      </c>
      <c r="W1445" s="20">
        <f>IF(AND(ISNUMBER(P1445),Settings!$B$17&gt;0),IF(ISNUMBER(INDEX($P:$P,Settings!$B$17)),P1445-INDEX($P:$P,Settings!$B$17),NA()),NA())</f>
        <v/>
      </c>
      <c r="X1445" s="19">
        <f>IF(NOT(ISNUMBER($A1445)),NA(),IF(OR($A1445&lt;MIN(DKW_10Y!$A$2:$A$2918),$A1445&gt;MAX(DKW_10Y!$A$2:$A$2918),Settings!$B$16&lt;MIN(DKW_10Y!$A$2:$A$2918)),NA(),(INDEX(DKW_10Y!$B$2:$B$2918,MATCH($A1445,DKW_10Y!$A$2:$A$2918,1))-INDEX(DKW_10Y!$B$2:$B$2918,MATCH(Settings!$B$16,DKW_10Y!$A$2:$A$2918,1)))*100))</f>
        <v/>
      </c>
      <c r="Y1445" s="19">
        <f>IF(NOT(ISNUMBER($A1445)),NA(),IF(OR($A1445&lt;MIN(DKW_10Y!$A$2:$A$2918),$A1445&gt;MAX(DKW_10Y!$A$2:$A$2918),Settings!$B$16&lt;MIN(DKW_10Y!$A$2:$A$2918)),NA(),(INDEX(DKW_10Y!$C$2:$C$2918,MATCH($A1445,DKW_10Y!$A$2:$A$2918,1))-INDEX(DKW_10Y!$C$2:$C$2918,MATCH(Settings!$B$16,DKW_10Y!$A$2:$A$2918,1)))*100))</f>
        <v/>
      </c>
      <c r="Z1445" s="19">
        <f>IF(NOT(ISNUMBER($A1445)),NA(),IF(OR($A1445&lt;MIN(DKW_10Y!$A$2:$A$2918),$A1445&gt;MAX(DKW_10Y!$A$2:$A$2918),Settings!$B$16&lt;MIN(DKW_10Y!$A$2:$A$2918)),NA(),(INDEX(DKW_10Y!$D$2:$D$2918,MATCH($A1445,DKW_10Y!$A$2:$A$2918,1))-INDEX(DKW_10Y!$D$2:$D$2918,MATCH(Settings!$B$16,DKW_10Y!$A$2:$A$2918,1)))*100))</f>
        <v/>
      </c>
      <c r="AA1445" s="19">
        <f>IF(NOT(ISNUMBER($A1445)),NA(),IF(OR($A1445&lt;MIN(DKW_10Y!$A$2:$A$2918),$A1445&gt;MAX(DKW_10Y!$A$2:$A$2918),Settings!$B$16&lt;MIN(DKW_10Y!$A$2:$A$2918)),NA(),(INDEX(DKW_10Y!$E$2:$E$2918,MATCH($A1445,DKW_10Y!$A$2:$A$2918,1))-INDEX(DKW_10Y!$E$2:$E$2918,MATCH(Settings!$B$16,DKW_10Y!$A$2:$A$2918,1)))*100))</f>
        <v/>
      </c>
      <c r="AB1445" s="19">
        <f>IF(NOT(ISNUMBER($A1445)),NA(),IF(OR($A1445&lt;MIN(DKW_10Y!$A$2:$A$2918),$A1445&gt;MAX(DKW_10Y!$A$2:$A$2918),Settings!$B$16&lt;MIN(DKW_10Y!$A$2:$A$2918)),NA(),(INDEX(DKW_10Y!$H$2:$H$2918,MATCH($A1445,DKW_10Y!$A$2:$A$2918,1))-INDEX(DKW_10Y!$H$2:$H$2918,MATCH(Settings!$B$16,DKW_10Y!$A$2:$A$2918,1)))*100))</f>
        <v/>
      </c>
      <c r="AC1445" s="18">
        <f>IF(NOT(ISNUMBER($A1445)),NA(),IFERROR(1*INDEX(BBG_Data!$N$2:$N$4000,MATCH($A1445,BBG_Data!$M$2:$M$4000,0)),NA()))</f>
        <v/>
      </c>
      <c r="AD1445" s="18">
        <f>IF(NOT(ISNUMBER($A1445)),NA(),IFERROR(1*INDEX(BBG_Data!$P$2:$P$4000,MATCH($A1445,BBG_Data!$O$2:$O$4000,0)),NA()))</f>
        <v/>
      </c>
      <c r="AE1445" s="18">
        <f>IF(NOT(ISNUMBER($A1445)),NA(),IFERROR(1*INDEX(BBG_Data!$R$2:$R$4000,MATCH($A1445,BBG_Data!$Q$2:$Q$4000,0)),NA()))</f>
        <v/>
      </c>
      <c r="AF1445" s="20">
        <f>IF(AND(ISNUMBER(B1445),ISNUMBER(AC1445)),(B1445-AC1445)*100,NA())</f>
        <v/>
      </c>
      <c r="AG1445" s="20">
        <f>IF(AND(ISNUMBER(AE1445),ISNUMBER(AD1445)),(AE1445-AD1445)*100,NA())</f>
        <v/>
      </c>
      <c r="AH1445" s="19">
        <f>IF(NOT(ISNUMBER($A1445)),NA(),IFERROR(INDEX(BBG_Data!$T$2:$T$4000,MATCH($A1445,BBG_Data!$S$2:$S$4000,0))*Settings!$B$25,NA()))</f>
        <v/>
      </c>
      <c r="AI1445" s="19">
        <f>IF(NOT(ISNUMBER($A1445)),NA(),IFERROR(INDEX(BBG_Data!$V$2:$V$4000,MATCH($A1445,BBG_Data!$U$2:$U$4000,0))*Settings!$B$25,NA()))</f>
        <v/>
      </c>
      <c r="AJ1445" s="19">
        <f>IF(NOT(ISNUMBER($A1445)),NA(),IFERROR(1*INDEX(BBG_Data!$X$2:$X$4000,MATCH($A1445,BBG_Data!$W$2:$W$4000,0)),NA()))</f>
        <v/>
      </c>
      <c r="AK1445" s="19">
        <f>IF(NOT(ISNUMBER($A1445)),NA(),IFERROR(1*INDEX(BBG_Data!$Z$2:$Z$4000,MATCH($A1445,BBG_Data!$Y$2:$Y$4000,0)),NA()))</f>
        <v/>
      </c>
    </row>
    <row r="1446">
      <c r="A1446" s="17">
        <f>IF(ISNUMBER(BBG_Data!A1446),BBG_Data!A1446,"")</f>
        <v/>
      </c>
      <c r="B1446" s="18">
        <f>IF(AND(ISNUMBER($A1446),ISNUMBER(BBG_Data!B1446)),BBG_Data!B1446,NA())</f>
        <v/>
      </c>
      <c r="C1446" s="18">
        <f>IF(NOT(ISNUMBER($A1446)),NA(),IFERROR(1*INDEX(BBG_Data!$D$2:$D$4000,MATCH($A1446,BBG_Data!$C$2:$C$4000,0)),NA()))</f>
        <v/>
      </c>
      <c r="D1446" s="19">
        <f>IF(NOT(ISNUMBER($A1446)),NA(),IFERROR(1*INDEX(BBG_Data!$F$2:$F$4000,MATCH($A1446,BBG_Data!$E$2:$E$4000,0)),NA()))</f>
        <v/>
      </c>
      <c r="E1446" s="19">
        <f>IF(NOT(ISNUMBER($A1446)),NA(),IFERROR(1*INDEX(BBG_Data!$H$2:$H$4000,MATCH($A1446,BBG_Data!$G$2:$G$4000,0)),NA()))</f>
        <v/>
      </c>
      <c r="F1446" s="20">
        <f>IF(AND(ISNUMBER(B1446),ISNUMBER(B1445)),IF(B1446=B1445,"",(B1446-B1445)*100),"")</f>
        <v/>
      </c>
      <c r="G1446" s="20">
        <f>IF(AND(ISNUMBER(C1446),ISNUMBER(C1445)),IF(C1446=C1445,"",(C1446-C1445)*100),"")</f>
        <v/>
      </c>
      <c r="H1446" s="20">
        <f>IF(OR(NOT(ISNUMBER($A1446)),ROW()-2&lt;Settings!$B$11),NA(),IF(COUNT(OFFSET(F1446,1-Settings!$B$11,0,Settings!$B$11,1))&lt;ROUNDUP(Settings!$B$11*Settings!$B$26,0),NA(),STDEV(OFFSET(F1446,1-Settings!$B$11,0,Settings!$B$11,1))*SQRT(Settings!$B$13)))</f>
        <v/>
      </c>
      <c r="I1446" s="20">
        <f>IF(OR(NOT(ISNUMBER($A1446)),ROW()-2&lt;Settings!$B$12),NA(),IF(COUNT(OFFSET(F1446,1-Settings!$B$12,0,Settings!$B$12,1))&lt;ROUNDUP(Settings!$B$12*Settings!$B$26,0),NA(),STDEV(OFFSET(F1446,1-Settings!$B$12,0,Settings!$B$12,1))*SQRT(Settings!$B$13)))</f>
        <v/>
      </c>
      <c r="J1446" s="20">
        <f>IF(OR(NOT(ISNUMBER($A1446)),ROW()-2&lt;Settings!$B$11),NA(),IF(COUNT(OFFSET(G1446,1-Settings!$B$11,0,Settings!$B$11,1))&lt;ROUNDUP(Settings!$B$11*Settings!$B$26,0),NA(),STDEV(OFFSET(G1446,1-Settings!$B$11,0,Settings!$B$11,1))*SQRT(Settings!$B$13)))</f>
        <v/>
      </c>
      <c r="K1446" s="20">
        <f>IF(OR(NOT(ISNUMBER($A1446)),ROW()-2&lt;Settings!$B$12),NA(),IF(COUNT(OFFSET(G1446,1-Settings!$B$12,0,Settings!$B$12,1))&lt;ROUNDUP(Settings!$B$12*Settings!$B$26,0),NA(),STDEV(OFFSET(G1446,1-Settings!$B$12,0,Settings!$B$12,1))*SQRT(Settings!$B$13)))</f>
        <v/>
      </c>
      <c r="L1446" s="20">
        <f>IF(AND(ISNUMBER(D1446),ISNUMBER(H1446)),D1446-H1446,NA())</f>
        <v/>
      </c>
      <c r="M1446" s="20">
        <f>IF(AND(ISNUMBER(E1446),ISNUMBER(K1446)),E1446-K1446,NA())</f>
        <v/>
      </c>
      <c r="N1446" s="20">
        <f>IF(NOT(ISNUMBER($A1446)),NA(),IF(COUNT(OFFSET(G1446,1,0,Settings!$B$12,1))&lt;ROUNDUP(Settings!$B$12*Settings!$B$26,0),NA(),STDEV(OFFSET(G1446,1,0,Settings!$B$12,1))*SQRT(Settings!$B$13)))</f>
        <v/>
      </c>
      <c r="O1446" s="20">
        <f>IF(AND(ISNUMBER(E1446),ISNUMBER(N1446)),E1446-N1446,NA())</f>
        <v/>
      </c>
      <c r="P1446" s="19">
        <f>IF(NOT(ISNUMBER($A1446)),NA(),IF(OR($A1446&lt;MIN(KW_TP!$A$2:$A$2501),$A1446&gt;MAX(KW_TP!$A$2:$A$2501)),NA(),INDEX(KW_TP!$C$2:$C$2501,MATCH($A1446,KW_TP!$A$2:$A$2501,1))))</f>
        <v/>
      </c>
      <c r="Q1446" s="18">
        <f>IF(NOT(ISNUMBER($A1446)),NA(),IFERROR(1*INDEX(BBG_Data!$J$2:$J$4000,MATCH($A1446,BBG_Data!$I$2:$I$4000,0)),NA()))</f>
        <v/>
      </c>
      <c r="R1446" s="18">
        <f>IF(NOT(ISNUMBER($A1446)),NA(),IFERROR(1*INDEX(BBG_Data!$L$2:$L$4000,MATCH($A1446,BBG_Data!$K$2:$K$4000,0)),NA()))</f>
        <v/>
      </c>
      <c r="S1446" s="20">
        <f>IF(AND(ISNUMBER(B1446),ISNUMBER(Q1446),ISNUMBER(R1446)),(B1446-Q1446-R1446)*100,NA())</f>
        <v/>
      </c>
      <c r="T1446" s="20">
        <f>IF(AND(ISNUMBER(B1446),Settings!$B$17&gt;0),IF(ISNUMBER(INDEX($B:$B,Settings!$B$17)),(B1446-INDEX($B:$B,Settings!$B$17))*100,NA()),NA())</f>
        <v/>
      </c>
      <c r="U1446" s="20">
        <f>IF(AND(ISNUMBER(Q1446),Settings!$B$17&gt;0),IF(ISNUMBER(INDEX($Q:$Q,Settings!$B$17)),(Q1446-INDEX($Q:$Q,Settings!$B$17))*100,NA()),NA())</f>
        <v/>
      </c>
      <c r="V1446" s="20">
        <f>IF(AND(ISNUMBER(R1446),Settings!$B$17&gt;0),IF(ISNUMBER(INDEX($R:$R,Settings!$B$17)),(R1446-INDEX($R:$R,Settings!$B$17))*100,NA()),NA())</f>
        <v/>
      </c>
      <c r="W1446" s="20">
        <f>IF(AND(ISNUMBER(P1446),Settings!$B$17&gt;0),IF(ISNUMBER(INDEX($P:$P,Settings!$B$17)),P1446-INDEX($P:$P,Settings!$B$17),NA()),NA())</f>
        <v/>
      </c>
      <c r="X1446" s="19">
        <f>IF(NOT(ISNUMBER($A1446)),NA(),IF(OR($A1446&lt;MIN(DKW_10Y!$A$2:$A$2918),$A1446&gt;MAX(DKW_10Y!$A$2:$A$2918),Settings!$B$16&lt;MIN(DKW_10Y!$A$2:$A$2918)),NA(),(INDEX(DKW_10Y!$B$2:$B$2918,MATCH($A1446,DKW_10Y!$A$2:$A$2918,1))-INDEX(DKW_10Y!$B$2:$B$2918,MATCH(Settings!$B$16,DKW_10Y!$A$2:$A$2918,1)))*100))</f>
        <v/>
      </c>
      <c r="Y1446" s="19">
        <f>IF(NOT(ISNUMBER($A1446)),NA(),IF(OR($A1446&lt;MIN(DKW_10Y!$A$2:$A$2918),$A1446&gt;MAX(DKW_10Y!$A$2:$A$2918),Settings!$B$16&lt;MIN(DKW_10Y!$A$2:$A$2918)),NA(),(INDEX(DKW_10Y!$C$2:$C$2918,MATCH($A1446,DKW_10Y!$A$2:$A$2918,1))-INDEX(DKW_10Y!$C$2:$C$2918,MATCH(Settings!$B$16,DKW_10Y!$A$2:$A$2918,1)))*100))</f>
        <v/>
      </c>
      <c r="Z1446" s="19">
        <f>IF(NOT(ISNUMBER($A1446)),NA(),IF(OR($A1446&lt;MIN(DKW_10Y!$A$2:$A$2918),$A1446&gt;MAX(DKW_10Y!$A$2:$A$2918),Settings!$B$16&lt;MIN(DKW_10Y!$A$2:$A$2918)),NA(),(INDEX(DKW_10Y!$D$2:$D$2918,MATCH($A1446,DKW_10Y!$A$2:$A$2918,1))-INDEX(DKW_10Y!$D$2:$D$2918,MATCH(Settings!$B$16,DKW_10Y!$A$2:$A$2918,1)))*100))</f>
        <v/>
      </c>
      <c r="AA1446" s="19">
        <f>IF(NOT(ISNUMBER($A1446)),NA(),IF(OR($A1446&lt;MIN(DKW_10Y!$A$2:$A$2918),$A1446&gt;MAX(DKW_10Y!$A$2:$A$2918),Settings!$B$16&lt;MIN(DKW_10Y!$A$2:$A$2918)),NA(),(INDEX(DKW_10Y!$E$2:$E$2918,MATCH($A1446,DKW_10Y!$A$2:$A$2918,1))-INDEX(DKW_10Y!$E$2:$E$2918,MATCH(Settings!$B$16,DKW_10Y!$A$2:$A$2918,1)))*100))</f>
        <v/>
      </c>
      <c r="AB1446" s="19">
        <f>IF(NOT(ISNUMBER($A1446)),NA(),IF(OR($A1446&lt;MIN(DKW_10Y!$A$2:$A$2918),$A1446&gt;MAX(DKW_10Y!$A$2:$A$2918),Settings!$B$16&lt;MIN(DKW_10Y!$A$2:$A$2918)),NA(),(INDEX(DKW_10Y!$H$2:$H$2918,MATCH($A1446,DKW_10Y!$A$2:$A$2918,1))-INDEX(DKW_10Y!$H$2:$H$2918,MATCH(Settings!$B$16,DKW_10Y!$A$2:$A$2918,1)))*100))</f>
        <v/>
      </c>
      <c r="AC1446" s="18">
        <f>IF(NOT(ISNUMBER($A1446)),NA(),IFERROR(1*INDEX(BBG_Data!$N$2:$N$4000,MATCH($A1446,BBG_Data!$M$2:$M$4000,0)),NA()))</f>
        <v/>
      </c>
      <c r="AD1446" s="18">
        <f>IF(NOT(ISNUMBER($A1446)),NA(),IFERROR(1*INDEX(BBG_Data!$P$2:$P$4000,MATCH($A1446,BBG_Data!$O$2:$O$4000,0)),NA()))</f>
        <v/>
      </c>
      <c r="AE1446" s="18">
        <f>IF(NOT(ISNUMBER($A1446)),NA(),IFERROR(1*INDEX(BBG_Data!$R$2:$R$4000,MATCH($A1446,BBG_Data!$Q$2:$Q$4000,0)),NA()))</f>
        <v/>
      </c>
      <c r="AF1446" s="20">
        <f>IF(AND(ISNUMBER(B1446),ISNUMBER(AC1446)),(B1446-AC1446)*100,NA())</f>
        <v/>
      </c>
      <c r="AG1446" s="20">
        <f>IF(AND(ISNUMBER(AE1446),ISNUMBER(AD1446)),(AE1446-AD1446)*100,NA())</f>
        <v/>
      </c>
      <c r="AH1446" s="19">
        <f>IF(NOT(ISNUMBER($A1446)),NA(),IFERROR(INDEX(BBG_Data!$T$2:$T$4000,MATCH($A1446,BBG_Data!$S$2:$S$4000,0))*Settings!$B$25,NA()))</f>
        <v/>
      </c>
      <c r="AI1446" s="19">
        <f>IF(NOT(ISNUMBER($A1446)),NA(),IFERROR(INDEX(BBG_Data!$V$2:$V$4000,MATCH($A1446,BBG_Data!$U$2:$U$4000,0))*Settings!$B$25,NA()))</f>
        <v/>
      </c>
      <c r="AJ1446" s="19">
        <f>IF(NOT(ISNUMBER($A1446)),NA(),IFERROR(1*INDEX(BBG_Data!$X$2:$X$4000,MATCH($A1446,BBG_Data!$W$2:$W$4000,0)),NA()))</f>
        <v/>
      </c>
      <c r="AK1446" s="19">
        <f>IF(NOT(ISNUMBER($A1446)),NA(),IFERROR(1*INDEX(BBG_Data!$Z$2:$Z$4000,MATCH($A1446,BBG_Data!$Y$2:$Y$4000,0)),NA()))</f>
        <v/>
      </c>
    </row>
    <row r="1447">
      <c r="A1447" s="17">
        <f>IF(ISNUMBER(BBG_Data!A1447),BBG_Data!A1447,"")</f>
        <v/>
      </c>
      <c r="B1447" s="18">
        <f>IF(AND(ISNUMBER($A1447),ISNUMBER(BBG_Data!B1447)),BBG_Data!B1447,NA())</f>
        <v/>
      </c>
      <c r="C1447" s="18">
        <f>IF(NOT(ISNUMBER($A1447)),NA(),IFERROR(1*INDEX(BBG_Data!$D$2:$D$4000,MATCH($A1447,BBG_Data!$C$2:$C$4000,0)),NA()))</f>
        <v/>
      </c>
      <c r="D1447" s="19">
        <f>IF(NOT(ISNUMBER($A1447)),NA(),IFERROR(1*INDEX(BBG_Data!$F$2:$F$4000,MATCH($A1447,BBG_Data!$E$2:$E$4000,0)),NA()))</f>
        <v/>
      </c>
      <c r="E1447" s="19">
        <f>IF(NOT(ISNUMBER($A1447)),NA(),IFERROR(1*INDEX(BBG_Data!$H$2:$H$4000,MATCH($A1447,BBG_Data!$G$2:$G$4000,0)),NA()))</f>
        <v/>
      </c>
      <c r="F1447" s="20">
        <f>IF(AND(ISNUMBER(B1447),ISNUMBER(B1446)),IF(B1447=B1446,"",(B1447-B1446)*100),"")</f>
        <v/>
      </c>
      <c r="G1447" s="20">
        <f>IF(AND(ISNUMBER(C1447),ISNUMBER(C1446)),IF(C1447=C1446,"",(C1447-C1446)*100),"")</f>
        <v/>
      </c>
      <c r="H1447" s="20">
        <f>IF(OR(NOT(ISNUMBER($A1447)),ROW()-2&lt;Settings!$B$11),NA(),IF(COUNT(OFFSET(F1447,1-Settings!$B$11,0,Settings!$B$11,1))&lt;ROUNDUP(Settings!$B$11*Settings!$B$26,0),NA(),STDEV(OFFSET(F1447,1-Settings!$B$11,0,Settings!$B$11,1))*SQRT(Settings!$B$13)))</f>
        <v/>
      </c>
      <c r="I1447" s="20">
        <f>IF(OR(NOT(ISNUMBER($A1447)),ROW()-2&lt;Settings!$B$12),NA(),IF(COUNT(OFFSET(F1447,1-Settings!$B$12,0,Settings!$B$12,1))&lt;ROUNDUP(Settings!$B$12*Settings!$B$26,0),NA(),STDEV(OFFSET(F1447,1-Settings!$B$12,0,Settings!$B$12,1))*SQRT(Settings!$B$13)))</f>
        <v/>
      </c>
      <c r="J1447" s="20">
        <f>IF(OR(NOT(ISNUMBER($A1447)),ROW()-2&lt;Settings!$B$11),NA(),IF(COUNT(OFFSET(G1447,1-Settings!$B$11,0,Settings!$B$11,1))&lt;ROUNDUP(Settings!$B$11*Settings!$B$26,0),NA(),STDEV(OFFSET(G1447,1-Settings!$B$11,0,Settings!$B$11,1))*SQRT(Settings!$B$13)))</f>
        <v/>
      </c>
      <c r="K1447" s="20">
        <f>IF(OR(NOT(ISNUMBER($A1447)),ROW()-2&lt;Settings!$B$12),NA(),IF(COUNT(OFFSET(G1447,1-Settings!$B$12,0,Settings!$B$12,1))&lt;ROUNDUP(Settings!$B$12*Settings!$B$26,0),NA(),STDEV(OFFSET(G1447,1-Settings!$B$12,0,Settings!$B$12,1))*SQRT(Settings!$B$13)))</f>
        <v/>
      </c>
      <c r="L1447" s="20">
        <f>IF(AND(ISNUMBER(D1447),ISNUMBER(H1447)),D1447-H1447,NA())</f>
        <v/>
      </c>
      <c r="M1447" s="20">
        <f>IF(AND(ISNUMBER(E1447),ISNUMBER(K1447)),E1447-K1447,NA())</f>
        <v/>
      </c>
      <c r="N1447" s="20">
        <f>IF(NOT(ISNUMBER($A1447)),NA(),IF(COUNT(OFFSET(G1447,1,0,Settings!$B$12,1))&lt;ROUNDUP(Settings!$B$12*Settings!$B$26,0),NA(),STDEV(OFFSET(G1447,1,0,Settings!$B$12,1))*SQRT(Settings!$B$13)))</f>
        <v/>
      </c>
      <c r="O1447" s="20">
        <f>IF(AND(ISNUMBER(E1447),ISNUMBER(N1447)),E1447-N1447,NA())</f>
        <v/>
      </c>
      <c r="P1447" s="19">
        <f>IF(NOT(ISNUMBER($A1447)),NA(),IF(OR($A1447&lt;MIN(KW_TP!$A$2:$A$2501),$A1447&gt;MAX(KW_TP!$A$2:$A$2501)),NA(),INDEX(KW_TP!$C$2:$C$2501,MATCH($A1447,KW_TP!$A$2:$A$2501,1))))</f>
        <v/>
      </c>
      <c r="Q1447" s="18">
        <f>IF(NOT(ISNUMBER($A1447)),NA(),IFERROR(1*INDEX(BBG_Data!$J$2:$J$4000,MATCH($A1447,BBG_Data!$I$2:$I$4000,0)),NA()))</f>
        <v/>
      </c>
      <c r="R1447" s="18">
        <f>IF(NOT(ISNUMBER($A1447)),NA(),IFERROR(1*INDEX(BBG_Data!$L$2:$L$4000,MATCH($A1447,BBG_Data!$K$2:$K$4000,0)),NA()))</f>
        <v/>
      </c>
      <c r="S1447" s="20">
        <f>IF(AND(ISNUMBER(B1447),ISNUMBER(Q1447),ISNUMBER(R1447)),(B1447-Q1447-R1447)*100,NA())</f>
        <v/>
      </c>
      <c r="T1447" s="20">
        <f>IF(AND(ISNUMBER(B1447),Settings!$B$17&gt;0),IF(ISNUMBER(INDEX($B:$B,Settings!$B$17)),(B1447-INDEX($B:$B,Settings!$B$17))*100,NA()),NA())</f>
        <v/>
      </c>
      <c r="U1447" s="20">
        <f>IF(AND(ISNUMBER(Q1447),Settings!$B$17&gt;0),IF(ISNUMBER(INDEX($Q:$Q,Settings!$B$17)),(Q1447-INDEX($Q:$Q,Settings!$B$17))*100,NA()),NA())</f>
        <v/>
      </c>
      <c r="V1447" s="20">
        <f>IF(AND(ISNUMBER(R1447),Settings!$B$17&gt;0),IF(ISNUMBER(INDEX($R:$R,Settings!$B$17)),(R1447-INDEX($R:$R,Settings!$B$17))*100,NA()),NA())</f>
        <v/>
      </c>
      <c r="W1447" s="20">
        <f>IF(AND(ISNUMBER(P1447),Settings!$B$17&gt;0),IF(ISNUMBER(INDEX($P:$P,Settings!$B$17)),P1447-INDEX($P:$P,Settings!$B$17),NA()),NA())</f>
        <v/>
      </c>
      <c r="X1447" s="19">
        <f>IF(NOT(ISNUMBER($A1447)),NA(),IF(OR($A1447&lt;MIN(DKW_10Y!$A$2:$A$2918),$A1447&gt;MAX(DKW_10Y!$A$2:$A$2918),Settings!$B$16&lt;MIN(DKW_10Y!$A$2:$A$2918)),NA(),(INDEX(DKW_10Y!$B$2:$B$2918,MATCH($A1447,DKW_10Y!$A$2:$A$2918,1))-INDEX(DKW_10Y!$B$2:$B$2918,MATCH(Settings!$B$16,DKW_10Y!$A$2:$A$2918,1)))*100))</f>
        <v/>
      </c>
      <c r="Y1447" s="19">
        <f>IF(NOT(ISNUMBER($A1447)),NA(),IF(OR($A1447&lt;MIN(DKW_10Y!$A$2:$A$2918),$A1447&gt;MAX(DKW_10Y!$A$2:$A$2918),Settings!$B$16&lt;MIN(DKW_10Y!$A$2:$A$2918)),NA(),(INDEX(DKW_10Y!$C$2:$C$2918,MATCH($A1447,DKW_10Y!$A$2:$A$2918,1))-INDEX(DKW_10Y!$C$2:$C$2918,MATCH(Settings!$B$16,DKW_10Y!$A$2:$A$2918,1)))*100))</f>
        <v/>
      </c>
      <c r="Z1447" s="19">
        <f>IF(NOT(ISNUMBER($A1447)),NA(),IF(OR($A1447&lt;MIN(DKW_10Y!$A$2:$A$2918),$A1447&gt;MAX(DKW_10Y!$A$2:$A$2918),Settings!$B$16&lt;MIN(DKW_10Y!$A$2:$A$2918)),NA(),(INDEX(DKW_10Y!$D$2:$D$2918,MATCH($A1447,DKW_10Y!$A$2:$A$2918,1))-INDEX(DKW_10Y!$D$2:$D$2918,MATCH(Settings!$B$16,DKW_10Y!$A$2:$A$2918,1)))*100))</f>
        <v/>
      </c>
      <c r="AA1447" s="19">
        <f>IF(NOT(ISNUMBER($A1447)),NA(),IF(OR($A1447&lt;MIN(DKW_10Y!$A$2:$A$2918),$A1447&gt;MAX(DKW_10Y!$A$2:$A$2918),Settings!$B$16&lt;MIN(DKW_10Y!$A$2:$A$2918)),NA(),(INDEX(DKW_10Y!$E$2:$E$2918,MATCH($A1447,DKW_10Y!$A$2:$A$2918,1))-INDEX(DKW_10Y!$E$2:$E$2918,MATCH(Settings!$B$16,DKW_10Y!$A$2:$A$2918,1)))*100))</f>
        <v/>
      </c>
      <c r="AB1447" s="19">
        <f>IF(NOT(ISNUMBER($A1447)),NA(),IF(OR($A1447&lt;MIN(DKW_10Y!$A$2:$A$2918),$A1447&gt;MAX(DKW_10Y!$A$2:$A$2918),Settings!$B$16&lt;MIN(DKW_10Y!$A$2:$A$2918)),NA(),(INDEX(DKW_10Y!$H$2:$H$2918,MATCH($A1447,DKW_10Y!$A$2:$A$2918,1))-INDEX(DKW_10Y!$H$2:$H$2918,MATCH(Settings!$B$16,DKW_10Y!$A$2:$A$2918,1)))*100))</f>
        <v/>
      </c>
      <c r="AC1447" s="18">
        <f>IF(NOT(ISNUMBER($A1447)),NA(),IFERROR(1*INDEX(BBG_Data!$N$2:$N$4000,MATCH($A1447,BBG_Data!$M$2:$M$4000,0)),NA()))</f>
        <v/>
      </c>
      <c r="AD1447" s="18">
        <f>IF(NOT(ISNUMBER($A1447)),NA(),IFERROR(1*INDEX(BBG_Data!$P$2:$P$4000,MATCH($A1447,BBG_Data!$O$2:$O$4000,0)),NA()))</f>
        <v/>
      </c>
      <c r="AE1447" s="18">
        <f>IF(NOT(ISNUMBER($A1447)),NA(),IFERROR(1*INDEX(BBG_Data!$R$2:$R$4000,MATCH($A1447,BBG_Data!$Q$2:$Q$4000,0)),NA()))</f>
        <v/>
      </c>
      <c r="AF1447" s="20">
        <f>IF(AND(ISNUMBER(B1447),ISNUMBER(AC1447)),(B1447-AC1447)*100,NA())</f>
        <v/>
      </c>
      <c r="AG1447" s="20">
        <f>IF(AND(ISNUMBER(AE1447),ISNUMBER(AD1447)),(AE1447-AD1447)*100,NA())</f>
        <v/>
      </c>
      <c r="AH1447" s="19">
        <f>IF(NOT(ISNUMBER($A1447)),NA(),IFERROR(INDEX(BBG_Data!$T$2:$T$4000,MATCH($A1447,BBG_Data!$S$2:$S$4000,0))*Settings!$B$25,NA()))</f>
        <v/>
      </c>
      <c r="AI1447" s="19">
        <f>IF(NOT(ISNUMBER($A1447)),NA(),IFERROR(INDEX(BBG_Data!$V$2:$V$4000,MATCH($A1447,BBG_Data!$U$2:$U$4000,0))*Settings!$B$25,NA()))</f>
        <v/>
      </c>
      <c r="AJ1447" s="19">
        <f>IF(NOT(ISNUMBER($A1447)),NA(),IFERROR(1*INDEX(BBG_Data!$X$2:$X$4000,MATCH($A1447,BBG_Data!$W$2:$W$4000,0)),NA()))</f>
        <v/>
      </c>
      <c r="AK1447" s="19">
        <f>IF(NOT(ISNUMBER($A1447)),NA(),IFERROR(1*INDEX(BBG_Data!$Z$2:$Z$4000,MATCH($A1447,BBG_Data!$Y$2:$Y$4000,0)),NA()))</f>
        <v/>
      </c>
    </row>
    <row r="1448">
      <c r="A1448" s="17">
        <f>IF(ISNUMBER(BBG_Data!A1448),BBG_Data!A1448,"")</f>
        <v/>
      </c>
      <c r="B1448" s="18">
        <f>IF(AND(ISNUMBER($A1448),ISNUMBER(BBG_Data!B1448)),BBG_Data!B1448,NA())</f>
        <v/>
      </c>
      <c r="C1448" s="18">
        <f>IF(NOT(ISNUMBER($A1448)),NA(),IFERROR(1*INDEX(BBG_Data!$D$2:$D$4000,MATCH($A1448,BBG_Data!$C$2:$C$4000,0)),NA()))</f>
        <v/>
      </c>
      <c r="D1448" s="19">
        <f>IF(NOT(ISNUMBER($A1448)),NA(),IFERROR(1*INDEX(BBG_Data!$F$2:$F$4000,MATCH($A1448,BBG_Data!$E$2:$E$4000,0)),NA()))</f>
        <v/>
      </c>
      <c r="E1448" s="19">
        <f>IF(NOT(ISNUMBER($A1448)),NA(),IFERROR(1*INDEX(BBG_Data!$H$2:$H$4000,MATCH($A1448,BBG_Data!$G$2:$G$4000,0)),NA()))</f>
        <v/>
      </c>
      <c r="F1448" s="20">
        <f>IF(AND(ISNUMBER(B1448),ISNUMBER(B1447)),IF(B1448=B1447,"",(B1448-B1447)*100),"")</f>
        <v/>
      </c>
      <c r="G1448" s="20">
        <f>IF(AND(ISNUMBER(C1448),ISNUMBER(C1447)),IF(C1448=C1447,"",(C1448-C1447)*100),"")</f>
        <v/>
      </c>
      <c r="H1448" s="20">
        <f>IF(OR(NOT(ISNUMBER($A1448)),ROW()-2&lt;Settings!$B$11),NA(),IF(COUNT(OFFSET(F1448,1-Settings!$B$11,0,Settings!$B$11,1))&lt;ROUNDUP(Settings!$B$11*Settings!$B$26,0),NA(),STDEV(OFFSET(F1448,1-Settings!$B$11,0,Settings!$B$11,1))*SQRT(Settings!$B$13)))</f>
        <v/>
      </c>
      <c r="I1448" s="20">
        <f>IF(OR(NOT(ISNUMBER($A1448)),ROW()-2&lt;Settings!$B$12),NA(),IF(COUNT(OFFSET(F1448,1-Settings!$B$12,0,Settings!$B$12,1))&lt;ROUNDUP(Settings!$B$12*Settings!$B$26,0),NA(),STDEV(OFFSET(F1448,1-Settings!$B$12,0,Settings!$B$12,1))*SQRT(Settings!$B$13)))</f>
        <v/>
      </c>
      <c r="J1448" s="20">
        <f>IF(OR(NOT(ISNUMBER($A1448)),ROW()-2&lt;Settings!$B$11),NA(),IF(COUNT(OFFSET(G1448,1-Settings!$B$11,0,Settings!$B$11,1))&lt;ROUNDUP(Settings!$B$11*Settings!$B$26,0),NA(),STDEV(OFFSET(G1448,1-Settings!$B$11,0,Settings!$B$11,1))*SQRT(Settings!$B$13)))</f>
        <v/>
      </c>
      <c r="K1448" s="20">
        <f>IF(OR(NOT(ISNUMBER($A1448)),ROW()-2&lt;Settings!$B$12),NA(),IF(COUNT(OFFSET(G1448,1-Settings!$B$12,0,Settings!$B$12,1))&lt;ROUNDUP(Settings!$B$12*Settings!$B$26,0),NA(),STDEV(OFFSET(G1448,1-Settings!$B$12,0,Settings!$B$12,1))*SQRT(Settings!$B$13)))</f>
        <v/>
      </c>
      <c r="L1448" s="20">
        <f>IF(AND(ISNUMBER(D1448),ISNUMBER(H1448)),D1448-H1448,NA())</f>
        <v/>
      </c>
      <c r="M1448" s="20">
        <f>IF(AND(ISNUMBER(E1448),ISNUMBER(K1448)),E1448-K1448,NA())</f>
        <v/>
      </c>
      <c r="N1448" s="20">
        <f>IF(NOT(ISNUMBER($A1448)),NA(),IF(COUNT(OFFSET(G1448,1,0,Settings!$B$12,1))&lt;ROUNDUP(Settings!$B$12*Settings!$B$26,0),NA(),STDEV(OFFSET(G1448,1,0,Settings!$B$12,1))*SQRT(Settings!$B$13)))</f>
        <v/>
      </c>
      <c r="O1448" s="20">
        <f>IF(AND(ISNUMBER(E1448),ISNUMBER(N1448)),E1448-N1448,NA())</f>
        <v/>
      </c>
      <c r="P1448" s="19">
        <f>IF(NOT(ISNUMBER($A1448)),NA(),IF(OR($A1448&lt;MIN(KW_TP!$A$2:$A$2501),$A1448&gt;MAX(KW_TP!$A$2:$A$2501)),NA(),INDEX(KW_TP!$C$2:$C$2501,MATCH($A1448,KW_TP!$A$2:$A$2501,1))))</f>
        <v/>
      </c>
      <c r="Q1448" s="18">
        <f>IF(NOT(ISNUMBER($A1448)),NA(),IFERROR(1*INDEX(BBG_Data!$J$2:$J$4000,MATCH($A1448,BBG_Data!$I$2:$I$4000,0)),NA()))</f>
        <v/>
      </c>
      <c r="R1448" s="18">
        <f>IF(NOT(ISNUMBER($A1448)),NA(),IFERROR(1*INDEX(BBG_Data!$L$2:$L$4000,MATCH($A1448,BBG_Data!$K$2:$K$4000,0)),NA()))</f>
        <v/>
      </c>
      <c r="S1448" s="20">
        <f>IF(AND(ISNUMBER(B1448),ISNUMBER(Q1448),ISNUMBER(R1448)),(B1448-Q1448-R1448)*100,NA())</f>
        <v/>
      </c>
      <c r="T1448" s="20">
        <f>IF(AND(ISNUMBER(B1448),Settings!$B$17&gt;0),IF(ISNUMBER(INDEX($B:$B,Settings!$B$17)),(B1448-INDEX($B:$B,Settings!$B$17))*100,NA()),NA())</f>
        <v/>
      </c>
      <c r="U1448" s="20">
        <f>IF(AND(ISNUMBER(Q1448),Settings!$B$17&gt;0),IF(ISNUMBER(INDEX($Q:$Q,Settings!$B$17)),(Q1448-INDEX($Q:$Q,Settings!$B$17))*100,NA()),NA())</f>
        <v/>
      </c>
      <c r="V1448" s="20">
        <f>IF(AND(ISNUMBER(R1448),Settings!$B$17&gt;0),IF(ISNUMBER(INDEX($R:$R,Settings!$B$17)),(R1448-INDEX($R:$R,Settings!$B$17))*100,NA()),NA())</f>
        <v/>
      </c>
      <c r="W1448" s="20">
        <f>IF(AND(ISNUMBER(P1448),Settings!$B$17&gt;0),IF(ISNUMBER(INDEX($P:$P,Settings!$B$17)),P1448-INDEX($P:$P,Settings!$B$17),NA()),NA())</f>
        <v/>
      </c>
      <c r="X1448" s="19">
        <f>IF(NOT(ISNUMBER($A1448)),NA(),IF(OR($A1448&lt;MIN(DKW_10Y!$A$2:$A$2918),$A1448&gt;MAX(DKW_10Y!$A$2:$A$2918),Settings!$B$16&lt;MIN(DKW_10Y!$A$2:$A$2918)),NA(),(INDEX(DKW_10Y!$B$2:$B$2918,MATCH($A1448,DKW_10Y!$A$2:$A$2918,1))-INDEX(DKW_10Y!$B$2:$B$2918,MATCH(Settings!$B$16,DKW_10Y!$A$2:$A$2918,1)))*100))</f>
        <v/>
      </c>
      <c r="Y1448" s="19">
        <f>IF(NOT(ISNUMBER($A1448)),NA(),IF(OR($A1448&lt;MIN(DKW_10Y!$A$2:$A$2918),$A1448&gt;MAX(DKW_10Y!$A$2:$A$2918),Settings!$B$16&lt;MIN(DKW_10Y!$A$2:$A$2918)),NA(),(INDEX(DKW_10Y!$C$2:$C$2918,MATCH($A1448,DKW_10Y!$A$2:$A$2918,1))-INDEX(DKW_10Y!$C$2:$C$2918,MATCH(Settings!$B$16,DKW_10Y!$A$2:$A$2918,1)))*100))</f>
        <v/>
      </c>
      <c r="Z1448" s="19">
        <f>IF(NOT(ISNUMBER($A1448)),NA(),IF(OR($A1448&lt;MIN(DKW_10Y!$A$2:$A$2918),$A1448&gt;MAX(DKW_10Y!$A$2:$A$2918),Settings!$B$16&lt;MIN(DKW_10Y!$A$2:$A$2918)),NA(),(INDEX(DKW_10Y!$D$2:$D$2918,MATCH($A1448,DKW_10Y!$A$2:$A$2918,1))-INDEX(DKW_10Y!$D$2:$D$2918,MATCH(Settings!$B$16,DKW_10Y!$A$2:$A$2918,1)))*100))</f>
        <v/>
      </c>
      <c r="AA1448" s="19">
        <f>IF(NOT(ISNUMBER($A1448)),NA(),IF(OR($A1448&lt;MIN(DKW_10Y!$A$2:$A$2918),$A1448&gt;MAX(DKW_10Y!$A$2:$A$2918),Settings!$B$16&lt;MIN(DKW_10Y!$A$2:$A$2918)),NA(),(INDEX(DKW_10Y!$E$2:$E$2918,MATCH($A1448,DKW_10Y!$A$2:$A$2918,1))-INDEX(DKW_10Y!$E$2:$E$2918,MATCH(Settings!$B$16,DKW_10Y!$A$2:$A$2918,1)))*100))</f>
        <v/>
      </c>
      <c r="AB1448" s="19">
        <f>IF(NOT(ISNUMBER($A1448)),NA(),IF(OR($A1448&lt;MIN(DKW_10Y!$A$2:$A$2918),$A1448&gt;MAX(DKW_10Y!$A$2:$A$2918),Settings!$B$16&lt;MIN(DKW_10Y!$A$2:$A$2918)),NA(),(INDEX(DKW_10Y!$H$2:$H$2918,MATCH($A1448,DKW_10Y!$A$2:$A$2918,1))-INDEX(DKW_10Y!$H$2:$H$2918,MATCH(Settings!$B$16,DKW_10Y!$A$2:$A$2918,1)))*100))</f>
        <v/>
      </c>
      <c r="AC1448" s="18">
        <f>IF(NOT(ISNUMBER($A1448)),NA(),IFERROR(1*INDEX(BBG_Data!$N$2:$N$4000,MATCH($A1448,BBG_Data!$M$2:$M$4000,0)),NA()))</f>
        <v/>
      </c>
      <c r="AD1448" s="18">
        <f>IF(NOT(ISNUMBER($A1448)),NA(),IFERROR(1*INDEX(BBG_Data!$P$2:$P$4000,MATCH($A1448,BBG_Data!$O$2:$O$4000,0)),NA()))</f>
        <v/>
      </c>
      <c r="AE1448" s="18">
        <f>IF(NOT(ISNUMBER($A1448)),NA(),IFERROR(1*INDEX(BBG_Data!$R$2:$R$4000,MATCH($A1448,BBG_Data!$Q$2:$Q$4000,0)),NA()))</f>
        <v/>
      </c>
      <c r="AF1448" s="20">
        <f>IF(AND(ISNUMBER(B1448),ISNUMBER(AC1448)),(B1448-AC1448)*100,NA())</f>
        <v/>
      </c>
      <c r="AG1448" s="20">
        <f>IF(AND(ISNUMBER(AE1448),ISNUMBER(AD1448)),(AE1448-AD1448)*100,NA())</f>
        <v/>
      </c>
      <c r="AH1448" s="19">
        <f>IF(NOT(ISNUMBER($A1448)),NA(),IFERROR(INDEX(BBG_Data!$T$2:$T$4000,MATCH($A1448,BBG_Data!$S$2:$S$4000,0))*Settings!$B$25,NA()))</f>
        <v/>
      </c>
      <c r="AI1448" s="19">
        <f>IF(NOT(ISNUMBER($A1448)),NA(),IFERROR(INDEX(BBG_Data!$V$2:$V$4000,MATCH($A1448,BBG_Data!$U$2:$U$4000,0))*Settings!$B$25,NA()))</f>
        <v/>
      </c>
      <c r="AJ1448" s="19">
        <f>IF(NOT(ISNUMBER($A1448)),NA(),IFERROR(1*INDEX(BBG_Data!$X$2:$X$4000,MATCH($A1448,BBG_Data!$W$2:$W$4000,0)),NA()))</f>
        <v/>
      </c>
      <c r="AK1448" s="19">
        <f>IF(NOT(ISNUMBER($A1448)),NA(),IFERROR(1*INDEX(BBG_Data!$Z$2:$Z$4000,MATCH($A1448,BBG_Data!$Y$2:$Y$4000,0)),NA()))</f>
        <v/>
      </c>
    </row>
    <row r="1449">
      <c r="A1449" s="17">
        <f>IF(ISNUMBER(BBG_Data!A1449),BBG_Data!A1449,"")</f>
        <v/>
      </c>
      <c r="B1449" s="18">
        <f>IF(AND(ISNUMBER($A1449),ISNUMBER(BBG_Data!B1449)),BBG_Data!B1449,NA())</f>
        <v/>
      </c>
      <c r="C1449" s="18">
        <f>IF(NOT(ISNUMBER($A1449)),NA(),IFERROR(1*INDEX(BBG_Data!$D$2:$D$4000,MATCH($A1449,BBG_Data!$C$2:$C$4000,0)),NA()))</f>
        <v/>
      </c>
      <c r="D1449" s="19">
        <f>IF(NOT(ISNUMBER($A1449)),NA(),IFERROR(1*INDEX(BBG_Data!$F$2:$F$4000,MATCH($A1449,BBG_Data!$E$2:$E$4000,0)),NA()))</f>
        <v/>
      </c>
      <c r="E1449" s="19">
        <f>IF(NOT(ISNUMBER($A1449)),NA(),IFERROR(1*INDEX(BBG_Data!$H$2:$H$4000,MATCH($A1449,BBG_Data!$G$2:$G$4000,0)),NA()))</f>
        <v/>
      </c>
      <c r="F1449" s="20">
        <f>IF(AND(ISNUMBER(B1449),ISNUMBER(B1448)),IF(B1449=B1448,"",(B1449-B1448)*100),"")</f>
        <v/>
      </c>
      <c r="G1449" s="20">
        <f>IF(AND(ISNUMBER(C1449),ISNUMBER(C1448)),IF(C1449=C1448,"",(C1449-C1448)*100),"")</f>
        <v/>
      </c>
      <c r="H1449" s="20">
        <f>IF(OR(NOT(ISNUMBER($A1449)),ROW()-2&lt;Settings!$B$11),NA(),IF(COUNT(OFFSET(F1449,1-Settings!$B$11,0,Settings!$B$11,1))&lt;ROUNDUP(Settings!$B$11*Settings!$B$26,0),NA(),STDEV(OFFSET(F1449,1-Settings!$B$11,0,Settings!$B$11,1))*SQRT(Settings!$B$13)))</f>
        <v/>
      </c>
      <c r="I1449" s="20">
        <f>IF(OR(NOT(ISNUMBER($A1449)),ROW()-2&lt;Settings!$B$12),NA(),IF(COUNT(OFFSET(F1449,1-Settings!$B$12,0,Settings!$B$12,1))&lt;ROUNDUP(Settings!$B$12*Settings!$B$26,0),NA(),STDEV(OFFSET(F1449,1-Settings!$B$12,0,Settings!$B$12,1))*SQRT(Settings!$B$13)))</f>
        <v/>
      </c>
      <c r="J1449" s="20">
        <f>IF(OR(NOT(ISNUMBER($A1449)),ROW()-2&lt;Settings!$B$11),NA(),IF(COUNT(OFFSET(G1449,1-Settings!$B$11,0,Settings!$B$11,1))&lt;ROUNDUP(Settings!$B$11*Settings!$B$26,0),NA(),STDEV(OFFSET(G1449,1-Settings!$B$11,0,Settings!$B$11,1))*SQRT(Settings!$B$13)))</f>
        <v/>
      </c>
      <c r="K1449" s="20">
        <f>IF(OR(NOT(ISNUMBER($A1449)),ROW()-2&lt;Settings!$B$12),NA(),IF(COUNT(OFFSET(G1449,1-Settings!$B$12,0,Settings!$B$12,1))&lt;ROUNDUP(Settings!$B$12*Settings!$B$26,0),NA(),STDEV(OFFSET(G1449,1-Settings!$B$12,0,Settings!$B$12,1))*SQRT(Settings!$B$13)))</f>
        <v/>
      </c>
      <c r="L1449" s="20">
        <f>IF(AND(ISNUMBER(D1449),ISNUMBER(H1449)),D1449-H1449,NA())</f>
        <v/>
      </c>
      <c r="M1449" s="20">
        <f>IF(AND(ISNUMBER(E1449),ISNUMBER(K1449)),E1449-K1449,NA())</f>
        <v/>
      </c>
      <c r="N1449" s="20">
        <f>IF(NOT(ISNUMBER($A1449)),NA(),IF(COUNT(OFFSET(G1449,1,0,Settings!$B$12,1))&lt;ROUNDUP(Settings!$B$12*Settings!$B$26,0),NA(),STDEV(OFFSET(G1449,1,0,Settings!$B$12,1))*SQRT(Settings!$B$13)))</f>
        <v/>
      </c>
      <c r="O1449" s="20">
        <f>IF(AND(ISNUMBER(E1449),ISNUMBER(N1449)),E1449-N1449,NA())</f>
        <v/>
      </c>
      <c r="P1449" s="19">
        <f>IF(NOT(ISNUMBER($A1449)),NA(),IF(OR($A1449&lt;MIN(KW_TP!$A$2:$A$2501),$A1449&gt;MAX(KW_TP!$A$2:$A$2501)),NA(),INDEX(KW_TP!$C$2:$C$2501,MATCH($A1449,KW_TP!$A$2:$A$2501,1))))</f>
        <v/>
      </c>
      <c r="Q1449" s="18">
        <f>IF(NOT(ISNUMBER($A1449)),NA(),IFERROR(1*INDEX(BBG_Data!$J$2:$J$4000,MATCH($A1449,BBG_Data!$I$2:$I$4000,0)),NA()))</f>
        <v/>
      </c>
      <c r="R1449" s="18">
        <f>IF(NOT(ISNUMBER($A1449)),NA(),IFERROR(1*INDEX(BBG_Data!$L$2:$L$4000,MATCH($A1449,BBG_Data!$K$2:$K$4000,0)),NA()))</f>
        <v/>
      </c>
      <c r="S1449" s="20">
        <f>IF(AND(ISNUMBER(B1449),ISNUMBER(Q1449),ISNUMBER(R1449)),(B1449-Q1449-R1449)*100,NA())</f>
        <v/>
      </c>
      <c r="T1449" s="20">
        <f>IF(AND(ISNUMBER(B1449),Settings!$B$17&gt;0),IF(ISNUMBER(INDEX($B:$B,Settings!$B$17)),(B1449-INDEX($B:$B,Settings!$B$17))*100,NA()),NA())</f>
        <v/>
      </c>
      <c r="U1449" s="20">
        <f>IF(AND(ISNUMBER(Q1449),Settings!$B$17&gt;0),IF(ISNUMBER(INDEX($Q:$Q,Settings!$B$17)),(Q1449-INDEX($Q:$Q,Settings!$B$17))*100,NA()),NA())</f>
        <v/>
      </c>
      <c r="V1449" s="20">
        <f>IF(AND(ISNUMBER(R1449),Settings!$B$17&gt;0),IF(ISNUMBER(INDEX($R:$R,Settings!$B$17)),(R1449-INDEX($R:$R,Settings!$B$17))*100,NA()),NA())</f>
        <v/>
      </c>
      <c r="W1449" s="20">
        <f>IF(AND(ISNUMBER(P1449),Settings!$B$17&gt;0),IF(ISNUMBER(INDEX($P:$P,Settings!$B$17)),P1449-INDEX($P:$P,Settings!$B$17),NA()),NA())</f>
        <v/>
      </c>
      <c r="X1449" s="19">
        <f>IF(NOT(ISNUMBER($A1449)),NA(),IF(OR($A1449&lt;MIN(DKW_10Y!$A$2:$A$2918),$A1449&gt;MAX(DKW_10Y!$A$2:$A$2918),Settings!$B$16&lt;MIN(DKW_10Y!$A$2:$A$2918)),NA(),(INDEX(DKW_10Y!$B$2:$B$2918,MATCH($A1449,DKW_10Y!$A$2:$A$2918,1))-INDEX(DKW_10Y!$B$2:$B$2918,MATCH(Settings!$B$16,DKW_10Y!$A$2:$A$2918,1)))*100))</f>
        <v/>
      </c>
      <c r="Y1449" s="19">
        <f>IF(NOT(ISNUMBER($A1449)),NA(),IF(OR($A1449&lt;MIN(DKW_10Y!$A$2:$A$2918),$A1449&gt;MAX(DKW_10Y!$A$2:$A$2918),Settings!$B$16&lt;MIN(DKW_10Y!$A$2:$A$2918)),NA(),(INDEX(DKW_10Y!$C$2:$C$2918,MATCH($A1449,DKW_10Y!$A$2:$A$2918,1))-INDEX(DKW_10Y!$C$2:$C$2918,MATCH(Settings!$B$16,DKW_10Y!$A$2:$A$2918,1)))*100))</f>
        <v/>
      </c>
      <c r="Z1449" s="19">
        <f>IF(NOT(ISNUMBER($A1449)),NA(),IF(OR($A1449&lt;MIN(DKW_10Y!$A$2:$A$2918),$A1449&gt;MAX(DKW_10Y!$A$2:$A$2918),Settings!$B$16&lt;MIN(DKW_10Y!$A$2:$A$2918)),NA(),(INDEX(DKW_10Y!$D$2:$D$2918,MATCH($A1449,DKW_10Y!$A$2:$A$2918,1))-INDEX(DKW_10Y!$D$2:$D$2918,MATCH(Settings!$B$16,DKW_10Y!$A$2:$A$2918,1)))*100))</f>
        <v/>
      </c>
      <c r="AA1449" s="19">
        <f>IF(NOT(ISNUMBER($A1449)),NA(),IF(OR($A1449&lt;MIN(DKW_10Y!$A$2:$A$2918),$A1449&gt;MAX(DKW_10Y!$A$2:$A$2918),Settings!$B$16&lt;MIN(DKW_10Y!$A$2:$A$2918)),NA(),(INDEX(DKW_10Y!$E$2:$E$2918,MATCH($A1449,DKW_10Y!$A$2:$A$2918,1))-INDEX(DKW_10Y!$E$2:$E$2918,MATCH(Settings!$B$16,DKW_10Y!$A$2:$A$2918,1)))*100))</f>
        <v/>
      </c>
      <c r="AB1449" s="19">
        <f>IF(NOT(ISNUMBER($A1449)),NA(),IF(OR($A1449&lt;MIN(DKW_10Y!$A$2:$A$2918),$A1449&gt;MAX(DKW_10Y!$A$2:$A$2918),Settings!$B$16&lt;MIN(DKW_10Y!$A$2:$A$2918)),NA(),(INDEX(DKW_10Y!$H$2:$H$2918,MATCH($A1449,DKW_10Y!$A$2:$A$2918,1))-INDEX(DKW_10Y!$H$2:$H$2918,MATCH(Settings!$B$16,DKW_10Y!$A$2:$A$2918,1)))*100))</f>
        <v/>
      </c>
      <c r="AC1449" s="18">
        <f>IF(NOT(ISNUMBER($A1449)),NA(),IFERROR(1*INDEX(BBG_Data!$N$2:$N$4000,MATCH($A1449,BBG_Data!$M$2:$M$4000,0)),NA()))</f>
        <v/>
      </c>
      <c r="AD1449" s="18">
        <f>IF(NOT(ISNUMBER($A1449)),NA(),IFERROR(1*INDEX(BBG_Data!$P$2:$P$4000,MATCH($A1449,BBG_Data!$O$2:$O$4000,0)),NA()))</f>
        <v/>
      </c>
      <c r="AE1449" s="18">
        <f>IF(NOT(ISNUMBER($A1449)),NA(),IFERROR(1*INDEX(BBG_Data!$R$2:$R$4000,MATCH($A1449,BBG_Data!$Q$2:$Q$4000,0)),NA()))</f>
        <v/>
      </c>
      <c r="AF1449" s="20">
        <f>IF(AND(ISNUMBER(B1449),ISNUMBER(AC1449)),(B1449-AC1449)*100,NA())</f>
        <v/>
      </c>
      <c r="AG1449" s="20">
        <f>IF(AND(ISNUMBER(AE1449),ISNUMBER(AD1449)),(AE1449-AD1449)*100,NA())</f>
        <v/>
      </c>
      <c r="AH1449" s="19">
        <f>IF(NOT(ISNUMBER($A1449)),NA(),IFERROR(INDEX(BBG_Data!$T$2:$T$4000,MATCH($A1449,BBG_Data!$S$2:$S$4000,0))*Settings!$B$25,NA()))</f>
        <v/>
      </c>
      <c r="AI1449" s="19">
        <f>IF(NOT(ISNUMBER($A1449)),NA(),IFERROR(INDEX(BBG_Data!$V$2:$V$4000,MATCH($A1449,BBG_Data!$U$2:$U$4000,0))*Settings!$B$25,NA()))</f>
        <v/>
      </c>
      <c r="AJ1449" s="19">
        <f>IF(NOT(ISNUMBER($A1449)),NA(),IFERROR(1*INDEX(BBG_Data!$X$2:$X$4000,MATCH($A1449,BBG_Data!$W$2:$W$4000,0)),NA()))</f>
        <v/>
      </c>
      <c r="AK1449" s="19">
        <f>IF(NOT(ISNUMBER($A1449)),NA(),IFERROR(1*INDEX(BBG_Data!$Z$2:$Z$4000,MATCH($A1449,BBG_Data!$Y$2:$Y$4000,0)),NA()))</f>
        <v/>
      </c>
    </row>
    <row r="1450">
      <c r="A1450" s="17">
        <f>IF(ISNUMBER(BBG_Data!A1450),BBG_Data!A1450,"")</f>
        <v/>
      </c>
      <c r="B1450" s="18">
        <f>IF(AND(ISNUMBER($A1450),ISNUMBER(BBG_Data!B1450)),BBG_Data!B1450,NA())</f>
        <v/>
      </c>
      <c r="C1450" s="18">
        <f>IF(NOT(ISNUMBER($A1450)),NA(),IFERROR(1*INDEX(BBG_Data!$D$2:$D$4000,MATCH($A1450,BBG_Data!$C$2:$C$4000,0)),NA()))</f>
        <v/>
      </c>
      <c r="D1450" s="19">
        <f>IF(NOT(ISNUMBER($A1450)),NA(),IFERROR(1*INDEX(BBG_Data!$F$2:$F$4000,MATCH($A1450,BBG_Data!$E$2:$E$4000,0)),NA()))</f>
        <v/>
      </c>
      <c r="E1450" s="19">
        <f>IF(NOT(ISNUMBER($A1450)),NA(),IFERROR(1*INDEX(BBG_Data!$H$2:$H$4000,MATCH($A1450,BBG_Data!$G$2:$G$4000,0)),NA()))</f>
        <v/>
      </c>
      <c r="F1450" s="20">
        <f>IF(AND(ISNUMBER(B1450),ISNUMBER(B1449)),IF(B1450=B1449,"",(B1450-B1449)*100),"")</f>
        <v/>
      </c>
      <c r="G1450" s="20">
        <f>IF(AND(ISNUMBER(C1450),ISNUMBER(C1449)),IF(C1450=C1449,"",(C1450-C1449)*100),"")</f>
        <v/>
      </c>
      <c r="H1450" s="20">
        <f>IF(OR(NOT(ISNUMBER($A1450)),ROW()-2&lt;Settings!$B$11),NA(),IF(COUNT(OFFSET(F1450,1-Settings!$B$11,0,Settings!$B$11,1))&lt;ROUNDUP(Settings!$B$11*Settings!$B$26,0),NA(),STDEV(OFFSET(F1450,1-Settings!$B$11,0,Settings!$B$11,1))*SQRT(Settings!$B$13)))</f>
        <v/>
      </c>
      <c r="I1450" s="20">
        <f>IF(OR(NOT(ISNUMBER($A1450)),ROW()-2&lt;Settings!$B$12),NA(),IF(COUNT(OFFSET(F1450,1-Settings!$B$12,0,Settings!$B$12,1))&lt;ROUNDUP(Settings!$B$12*Settings!$B$26,0),NA(),STDEV(OFFSET(F1450,1-Settings!$B$12,0,Settings!$B$12,1))*SQRT(Settings!$B$13)))</f>
        <v/>
      </c>
      <c r="J1450" s="20">
        <f>IF(OR(NOT(ISNUMBER($A1450)),ROW()-2&lt;Settings!$B$11),NA(),IF(COUNT(OFFSET(G1450,1-Settings!$B$11,0,Settings!$B$11,1))&lt;ROUNDUP(Settings!$B$11*Settings!$B$26,0),NA(),STDEV(OFFSET(G1450,1-Settings!$B$11,0,Settings!$B$11,1))*SQRT(Settings!$B$13)))</f>
        <v/>
      </c>
      <c r="K1450" s="20">
        <f>IF(OR(NOT(ISNUMBER($A1450)),ROW()-2&lt;Settings!$B$12),NA(),IF(COUNT(OFFSET(G1450,1-Settings!$B$12,0,Settings!$B$12,1))&lt;ROUNDUP(Settings!$B$12*Settings!$B$26,0),NA(),STDEV(OFFSET(G1450,1-Settings!$B$12,0,Settings!$B$12,1))*SQRT(Settings!$B$13)))</f>
        <v/>
      </c>
      <c r="L1450" s="20">
        <f>IF(AND(ISNUMBER(D1450),ISNUMBER(H1450)),D1450-H1450,NA())</f>
        <v/>
      </c>
      <c r="M1450" s="20">
        <f>IF(AND(ISNUMBER(E1450),ISNUMBER(K1450)),E1450-K1450,NA())</f>
        <v/>
      </c>
      <c r="N1450" s="20">
        <f>IF(NOT(ISNUMBER($A1450)),NA(),IF(COUNT(OFFSET(G1450,1,0,Settings!$B$12,1))&lt;ROUNDUP(Settings!$B$12*Settings!$B$26,0),NA(),STDEV(OFFSET(G1450,1,0,Settings!$B$12,1))*SQRT(Settings!$B$13)))</f>
        <v/>
      </c>
      <c r="O1450" s="20">
        <f>IF(AND(ISNUMBER(E1450),ISNUMBER(N1450)),E1450-N1450,NA())</f>
        <v/>
      </c>
      <c r="P1450" s="19">
        <f>IF(NOT(ISNUMBER($A1450)),NA(),IF(OR($A1450&lt;MIN(KW_TP!$A$2:$A$2501),$A1450&gt;MAX(KW_TP!$A$2:$A$2501)),NA(),INDEX(KW_TP!$C$2:$C$2501,MATCH($A1450,KW_TP!$A$2:$A$2501,1))))</f>
        <v/>
      </c>
      <c r="Q1450" s="18">
        <f>IF(NOT(ISNUMBER($A1450)),NA(),IFERROR(1*INDEX(BBG_Data!$J$2:$J$4000,MATCH($A1450,BBG_Data!$I$2:$I$4000,0)),NA()))</f>
        <v/>
      </c>
      <c r="R1450" s="18">
        <f>IF(NOT(ISNUMBER($A1450)),NA(),IFERROR(1*INDEX(BBG_Data!$L$2:$L$4000,MATCH($A1450,BBG_Data!$K$2:$K$4000,0)),NA()))</f>
        <v/>
      </c>
      <c r="S1450" s="20">
        <f>IF(AND(ISNUMBER(B1450),ISNUMBER(Q1450),ISNUMBER(R1450)),(B1450-Q1450-R1450)*100,NA())</f>
        <v/>
      </c>
      <c r="T1450" s="20">
        <f>IF(AND(ISNUMBER(B1450),Settings!$B$17&gt;0),IF(ISNUMBER(INDEX($B:$B,Settings!$B$17)),(B1450-INDEX($B:$B,Settings!$B$17))*100,NA()),NA())</f>
        <v/>
      </c>
      <c r="U1450" s="20">
        <f>IF(AND(ISNUMBER(Q1450),Settings!$B$17&gt;0),IF(ISNUMBER(INDEX($Q:$Q,Settings!$B$17)),(Q1450-INDEX($Q:$Q,Settings!$B$17))*100,NA()),NA())</f>
        <v/>
      </c>
      <c r="V1450" s="20">
        <f>IF(AND(ISNUMBER(R1450),Settings!$B$17&gt;0),IF(ISNUMBER(INDEX($R:$R,Settings!$B$17)),(R1450-INDEX($R:$R,Settings!$B$17))*100,NA()),NA())</f>
        <v/>
      </c>
      <c r="W1450" s="20">
        <f>IF(AND(ISNUMBER(P1450),Settings!$B$17&gt;0),IF(ISNUMBER(INDEX($P:$P,Settings!$B$17)),P1450-INDEX($P:$P,Settings!$B$17),NA()),NA())</f>
        <v/>
      </c>
      <c r="X1450" s="19">
        <f>IF(NOT(ISNUMBER($A1450)),NA(),IF(OR($A1450&lt;MIN(DKW_10Y!$A$2:$A$2918),$A1450&gt;MAX(DKW_10Y!$A$2:$A$2918),Settings!$B$16&lt;MIN(DKW_10Y!$A$2:$A$2918)),NA(),(INDEX(DKW_10Y!$B$2:$B$2918,MATCH($A1450,DKW_10Y!$A$2:$A$2918,1))-INDEX(DKW_10Y!$B$2:$B$2918,MATCH(Settings!$B$16,DKW_10Y!$A$2:$A$2918,1)))*100))</f>
        <v/>
      </c>
      <c r="Y1450" s="19">
        <f>IF(NOT(ISNUMBER($A1450)),NA(),IF(OR($A1450&lt;MIN(DKW_10Y!$A$2:$A$2918),$A1450&gt;MAX(DKW_10Y!$A$2:$A$2918),Settings!$B$16&lt;MIN(DKW_10Y!$A$2:$A$2918)),NA(),(INDEX(DKW_10Y!$C$2:$C$2918,MATCH($A1450,DKW_10Y!$A$2:$A$2918,1))-INDEX(DKW_10Y!$C$2:$C$2918,MATCH(Settings!$B$16,DKW_10Y!$A$2:$A$2918,1)))*100))</f>
        <v/>
      </c>
      <c r="Z1450" s="19">
        <f>IF(NOT(ISNUMBER($A1450)),NA(),IF(OR($A1450&lt;MIN(DKW_10Y!$A$2:$A$2918),$A1450&gt;MAX(DKW_10Y!$A$2:$A$2918),Settings!$B$16&lt;MIN(DKW_10Y!$A$2:$A$2918)),NA(),(INDEX(DKW_10Y!$D$2:$D$2918,MATCH($A1450,DKW_10Y!$A$2:$A$2918,1))-INDEX(DKW_10Y!$D$2:$D$2918,MATCH(Settings!$B$16,DKW_10Y!$A$2:$A$2918,1)))*100))</f>
        <v/>
      </c>
      <c r="AA1450" s="19">
        <f>IF(NOT(ISNUMBER($A1450)),NA(),IF(OR($A1450&lt;MIN(DKW_10Y!$A$2:$A$2918),$A1450&gt;MAX(DKW_10Y!$A$2:$A$2918),Settings!$B$16&lt;MIN(DKW_10Y!$A$2:$A$2918)),NA(),(INDEX(DKW_10Y!$E$2:$E$2918,MATCH($A1450,DKW_10Y!$A$2:$A$2918,1))-INDEX(DKW_10Y!$E$2:$E$2918,MATCH(Settings!$B$16,DKW_10Y!$A$2:$A$2918,1)))*100))</f>
        <v/>
      </c>
      <c r="AB1450" s="19">
        <f>IF(NOT(ISNUMBER($A1450)),NA(),IF(OR($A1450&lt;MIN(DKW_10Y!$A$2:$A$2918),$A1450&gt;MAX(DKW_10Y!$A$2:$A$2918),Settings!$B$16&lt;MIN(DKW_10Y!$A$2:$A$2918)),NA(),(INDEX(DKW_10Y!$H$2:$H$2918,MATCH($A1450,DKW_10Y!$A$2:$A$2918,1))-INDEX(DKW_10Y!$H$2:$H$2918,MATCH(Settings!$B$16,DKW_10Y!$A$2:$A$2918,1)))*100))</f>
        <v/>
      </c>
      <c r="AC1450" s="18">
        <f>IF(NOT(ISNUMBER($A1450)),NA(),IFERROR(1*INDEX(BBG_Data!$N$2:$N$4000,MATCH($A1450,BBG_Data!$M$2:$M$4000,0)),NA()))</f>
        <v/>
      </c>
      <c r="AD1450" s="18">
        <f>IF(NOT(ISNUMBER($A1450)),NA(),IFERROR(1*INDEX(BBG_Data!$P$2:$P$4000,MATCH($A1450,BBG_Data!$O$2:$O$4000,0)),NA()))</f>
        <v/>
      </c>
      <c r="AE1450" s="18">
        <f>IF(NOT(ISNUMBER($A1450)),NA(),IFERROR(1*INDEX(BBG_Data!$R$2:$R$4000,MATCH($A1450,BBG_Data!$Q$2:$Q$4000,0)),NA()))</f>
        <v/>
      </c>
      <c r="AF1450" s="20">
        <f>IF(AND(ISNUMBER(B1450),ISNUMBER(AC1450)),(B1450-AC1450)*100,NA())</f>
        <v/>
      </c>
      <c r="AG1450" s="20">
        <f>IF(AND(ISNUMBER(AE1450),ISNUMBER(AD1450)),(AE1450-AD1450)*100,NA())</f>
        <v/>
      </c>
      <c r="AH1450" s="19">
        <f>IF(NOT(ISNUMBER($A1450)),NA(),IFERROR(INDEX(BBG_Data!$T$2:$T$4000,MATCH($A1450,BBG_Data!$S$2:$S$4000,0))*Settings!$B$25,NA()))</f>
        <v/>
      </c>
      <c r="AI1450" s="19">
        <f>IF(NOT(ISNUMBER($A1450)),NA(),IFERROR(INDEX(BBG_Data!$V$2:$V$4000,MATCH($A1450,BBG_Data!$U$2:$U$4000,0))*Settings!$B$25,NA()))</f>
        <v/>
      </c>
      <c r="AJ1450" s="19">
        <f>IF(NOT(ISNUMBER($A1450)),NA(),IFERROR(1*INDEX(BBG_Data!$X$2:$X$4000,MATCH($A1450,BBG_Data!$W$2:$W$4000,0)),NA()))</f>
        <v/>
      </c>
      <c r="AK1450" s="19">
        <f>IF(NOT(ISNUMBER($A1450)),NA(),IFERROR(1*INDEX(BBG_Data!$Z$2:$Z$4000,MATCH($A1450,BBG_Data!$Y$2:$Y$4000,0)),NA()))</f>
        <v/>
      </c>
    </row>
    <row r="1451">
      <c r="A1451" s="17">
        <f>IF(ISNUMBER(BBG_Data!A1451),BBG_Data!A1451,"")</f>
        <v/>
      </c>
      <c r="B1451" s="18">
        <f>IF(AND(ISNUMBER($A1451),ISNUMBER(BBG_Data!B1451)),BBG_Data!B1451,NA())</f>
        <v/>
      </c>
      <c r="C1451" s="18">
        <f>IF(NOT(ISNUMBER($A1451)),NA(),IFERROR(1*INDEX(BBG_Data!$D$2:$D$4000,MATCH($A1451,BBG_Data!$C$2:$C$4000,0)),NA()))</f>
        <v/>
      </c>
      <c r="D1451" s="19">
        <f>IF(NOT(ISNUMBER($A1451)),NA(),IFERROR(1*INDEX(BBG_Data!$F$2:$F$4000,MATCH($A1451,BBG_Data!$E$2:$E$4000,0)),NA()))</f>
        <v/>
      </c>
      <c r="E1451" s="19">
        <f>IF(NOT(ISNUMBER($A1451)),NA(),IFERROR(1*INDEX(BBG_Data!$H$2:$H$4000,MATCH($A1451,BBG_Data!$G$2:$G$4000,0)),NA()))</f>
        <v/>
      </c>
      <c r="F1451" s="20">
        <f>IF(AND(ISNUMBER(B1451),ISNUMBER(B1450)),IF(B1451=B1450,"",(B1451-B1450)*100),"")</f>
        <v/>
      </c>
      <c r="G1451" s="20">
        <f>IF(AND(ISNUMBER(C1451),ISNUMBER(C1450)),IF(C1451=C1450,"",(C1451-C1450)*100),"")</f>
        <v/>
      </c>
      <c r="H1451" s="20">
        <f>IF(OR(NOT(ISNUMBER($A1451)),ROW()-2&lt;Settings!$B$11),NA(),IF(COUNT(OFFSET(F1451,1-Settings!$B$11,0,Settings!$B$11,1))&lt;ROUNDUP(Settings!$B$11*Settings!$B$26,0),NA(),STDEV(OFFSET(F1451,1-Settings!$B$11,0,Settings!$B$11,1))*SQRT(Settings!$B$13)))</f>
        <v/>
      </c>
      <c r="I1451" s="20">
        <f>IF(OR(NOT(ISNUMBER($A1451)),ROW()-2&lt;Settings!$B$12),NA(),IF(COUNT(OFFSET(F1451,1-Settings!$B$12,0,Settings!$B$12,1))&lt;ROUNDUP(Settings!$B$12*Settings!$B$26,0),NA(),STDEV(OFFSET(F1451,1-Settings!$B$12,0,Settings!$B$12,1))*SQRT(Settings!$B$13)))</f>
        <v/>
      </c>
      <c r="J1451" s="20">
        <f>IF(OR(NOT(ISNUMBER($A1451)),ROW()-2&lt;Settings!$B$11),NA(),IF(COUNT(OFFSET(G1451,1-Settings!$B$11,0,Settings!$B$11,1))&lt;ROUNDUP(Settings!$B$11*Settings!$B$26,0),NA(),STDEV(OFFSET(G1451,1-Settings!$B$11,0,Settings!$B$11,1))*SQRT(Settings!$B$13)))</f>
        <v/>
      </c>
      <c r="K1451" s="20">
        <f>IF(OR(NOT(ISNUMBER($A1451)),ROW()-2&lt;Settings!$B$12),NA(),IF(COUNT(OFFSET(G1451,1-Settings!$B$12,0,Settings!$B$12,1))&lt;ROUNDUP(Settings!$B$12*Settings!$B$26,0),NA(),STDEV(OFFSET(G1451,1-Settings!$B$12,0,Settings!$B$12,1))*SQRT(Settings!$B$13)))</f>
        <v/>
      </c>
      <c r="L1451" s="20">
        <f>IF(AND(ISNUMBER(D1451),ISNUMBER(H1451)),D1451-H1451,NA())</f>
        <v/>
      </c>
      <c r="M1451" s="20">
        <f>IF(AND(ISNUMBER(E1451),ISNUMBER(K1451)),E1451-K1451,NA())</f>
        <v/>
      </c>
      <c r="N1451" s="20">
        <f>IF(NOT(ISNUMBER($A1451)),NA(),IF(COUNT(OFFSET(G1451,1,0,Settings!$B$12,1))&lt;ROUNDUP(Settings!$B$12*Settings!$B$26,0),NA(),STDEV(OFFSET(G1451,1,0,Settings!$B$12,1))*SQRT(Settings!$B$13)))</f>
        <v/>
      </c>
      <c r="O1451" s="20">
        <f>IF(AND(ISNUMBER(E1451),ISNUMBER(N1451)),E1451-N1451,NA())</f>
        <v/>
      </c>
      <c r="P1451" s="19">
        <f>IF(NOT(ISNUMBER($A1451)),NA(),IF(OR($A1451&lt;MIN(KW_TP!$A$2:$A$2501),$A1451&gt;MAX(KW_TP!$A$2:$A$2501)),NA(),INDEX(KW_TP!$C$2:$C$2501,MATCH($A1451,KW_TP!$A$2:$A$2501,1))))</f>
        <v/>
      </c>
      <c r="Q1451" s="18">
        <f>IF(NOT(ISNUMBER($A1451)),NA(),IFERROR(1*INDEX(BBG_Data!$J$2:$J$4000,MATCH($A1451,BBG_Data!$I$2:$I$4000,0)),NA()))</f>
        <v/>
      </c>
      <c r="R1451" s="18">
        <f>IF(NOT(ISNUMBER($A1451)),NA(),IFERROR(1*INDEX(BBG_Data!$L$2:$L$4000,MATCH($A1451,BBG_Data!$K$2:$K$4000,0)),NA()))</f>
        <v/>
      </c>
      <c r="S1451" s="20">
        <f>IF(AND(ISNUMBER(B1451),ISNUMBER(Q1451),ISNUMBER(R1451)),(B1451-Q1451-R1451)*100,NA())</f>
        <v/>
      </c>
      <c r="T1451" s="20">
        <f>IF(AND(ISNUMBER(B1451),Settings!$B$17&gt;0),IF(ISNUMBER(INDEX($B:$B,Settings!$B$17)),(B1451-INDEX($B:$B,Settings!$B$17))*100,NA()),NA())</f>
        <v/>
      </c>
      <c r="U1451" s="20">
        <f>IF(AND(ISNUMBER(Q1451),Settings!$B$17&gt;0),IF(ISNUMBER(INDEX($Q:$Q,Settings!$B$17)),(Q1451-INDEX($Q:$Q,Settings!$B$17))*100,NA()),NA())</f>
        <v/>
      </c>
      <c r="V1451" s="20">
        <f>IF(AND(ISNUMBER(R1451),Settings!$B$17&gt;0),IF(ISNUMBER(INDEX($R:$R,Settings!$B$17)),(R1451-INDEX($R:$R,Settings!$B$17))*100,NA()),NA())</f>
        <v/>
      </c>
      <c r="W1451" s="20">
        <f>IF(AND(ISNUMBER(P1451),Settings!$B$17&gt;0),IF(ISNUMBER(INDEX($P:$P,Settings!$B$17)),P1451-INDEX($P:$P,Settings!$B$17),NA()),NA())</f>
        <v/>
      </c>
      <c r="X1451" s="19">
        <f>IF(NOT(ISNUMBER($A1451)),NA(),IF(OR($A1451&lt;MIN(DKW_10Y!$A$2:$A$2918),$A1451&gt;MAX(DKW_10Y!$A$2:$A$2918),Settings!$B$16&lt;MIN(DKW_10Y!$A$2:$A$2918)),NA(),(INDEX(DKW_10Y!$B$2:$B$2918,MATCH($A1451,DKW_10Y!$A$2:$A$2918,1))-INDEX(DKW_10Y!$B$2:$B$2918,MATCH(Settings!$B$16,DKW_10Y!$A$2:$A$2918,1)))*100))</f>
        <v/>
      </c>
      <c r="Y1451" s="19">
        <f>IF(NOT(ISNUMBER($A1451)),NA(),IF(OR($A1451&lt;MIN(DKW_10Y!$A$2:$A$2918),$A1451&gt;MAX(DKW_10Y!$A$2:$A$2918),Settings!$B$16&lt;MIN(DKW_10Y!$A$2:$A$2918)),NA(),(INDEX(DKW_10Y!$C$2:$C$2918,MATCH($A1451,DKW_10Y!$A$2:$A$2918,1))-INDEX(DKW_10Y!$C$2:$C$2918,MATCH(Settings!$B$16,DKW_10Y!$A$2:$A$2918,1)))*100))</f>
        <v/>
      </c>
      <c r="Z1451" s="19">
        <f>IF(NOT(ISNUMBER($A1451)),NA(),IF(OR($A1451&lt;MIN(DKW_10Y!$A$2:$A$2918),$A1451&gt;MAX(DKW_10Y!$A$2:$A$2918),Settings!$B$16&lt;MIN(DKW_10Y!$A$2:$A$2918)),NA(),(INDEX(DKW_10Y!$D$2:$D$2918,MATCH($A1451,DKW_10Y!$A$2:$A$2918,1))-INDEX(DKW_10Y!$D$2:$D$2918,MATCH(Settings!$B$16,DKW_10Y!$A$2:$A$2918,1)))*100))</f>
        <v/>
      </c>
      <c r="AA1451" s="19">
        <f>IF(NOT(ISNUMBER($A1451)),NA(),IF(OR($A1451&lt;MIN(DKW_10Y!$A$2:$A$2918),$A1451&gt;MAX(DKW_10Y!$A$2:$A$2918),Settings!$B$16&lt;MIN(DKW_10Y!$A$2:$A$2918)),NA(),(INDEX(DKW_10Y!$E$2:$E$2918,MATCH($A1451,DKW_10Y!$A$2:$A$2918,1))-INDEX(DKW_10Y!$E$2:$E$2918,MATCH(Settings!$B$16,DKW_10Y!$A$2:$A$2918,1)))*100))</f>
        <v/>
      </c>
      <c r="AB1451" s="19">
        <f>IF(NOT(ISNUMBER($A1451)),NA(),IF(OR($A1451&lt;MIN(DKW_10Y!$A$2:$A$2918),$A1451&gt;MAX(DKW_10Y!$A$2:$A$2918),Settings!$B$16&lt;MIN(DKW_10Y!$A$2:$A$2918)),NA(),(INDEX(DKW_10Y!$H$2:$H$2918,MATCH($A1451,DKW_10Y!$A$2:$A$2918,1))-INDEX(DKW_10Y!$H$2:$H$2918,MATCH(Settings!$B$16,DKW_10Y!$A$2:$A$2918,1)))*100))</f>
        <v/>
      </c>
      <c r="AC1451" s="18">
        <f>IF(NOT(ISNUMBER($A1451)),NA(),IFERROR(1*INDEX(BBG_Data!$N$2:$N$4000,MATCH($A1451,BBG_Data!$M$2:$M$4000,0)),NA()))</f>
        <v/>
      </c>
      <c r="AD1451" s="18">
        <f>IF(NOT(ISNUMBER($A1451)),NA(),IFERROR(1*INDEX(BBG_Data!$P$2:$P$4000,MATCH($A1451,BBG_Data!$O$2:$O$4000,0)),NA()))</f>
        <v/>
      </c>
      <c r="AE1451" s="18">
        <f>IF(NOT(ISNUMBER($A1451)),NA(),IFERROR(1*INDEX(BBG_Data!$R$2:$R$4000,MATCH($A1451,BBG_Data!$Q$2:$Q$4000,0)),NA()))</f>
        <v/>
      </c>
      <c r="AF1451" s="20">
        <f>IF(AND(ISNUMBER(B1451),ISNUMBER(AC1451)),(B1451-AC1451)*100,NA())</f>
        <v/>
      </c>
      <c r="AG1451" s="20">
        <f>IF(AND(ISNUMBER(AE1451),ISNUMBER(AD1451)),(AE1451-AD1451)*100,NA())</f>
        <v/>
      </c>
      <c r="AH1451" s="19">
        <f>IF(NOT(ISNUMBER($A1451)),NA(),IFERROR(INDEX(BBG_Data!$T$2:$T$4000,MATCH($A1451,BBG_Data!$S$2:$S$4000,0))*Settings!$B$25,NA()))</f>
        <v/>
      </c>
      <c r="AI1451" s="19">
        <f>IF(NOT(ISNUMBER($A1451)),NA(),IFERROR(INDEX(BBG_Data!$V$2:$V$4000,MATCH($A1451,BBG_Data!$U$2:$U$4000,0))*Settings!$B$25,NA()))</f>
        <v/>
      </c>
      <c r="AJ1451" s="19">
        <f>IF(NOT(ISNUMBER($A1451)),NA(),IFERROR(1*INDEX(BBG_Data!$X$2:$X$4000,MATCH($A1451,BBG_Data!$W$2:$W$4000,0)),NA()))</f>
        <v/>
      </c>
      <c r="AK1451" s="19">
        <f>IF(NOT(ISNUMBER($A1451)),NA(),IFERROR(1*INDEX(BBG_Data!$Z$2:$Z$4000,MATCH($A1451,BBG_Data!$Y$2:$Y$4000,0)),NA()))</f>
        <v/>
      </c>
    </row>
    <row r="1452">
      <c r="A1452" s="17">
        <f>IF(ISNUMBER(BBG_Data!A1452),BBG_Data!A1452,"")</f>
        <v/>
      </c>
      <c r="B1452" s="18">
        <f>IF(AND(ISNUMBER($A1452),ISNUMBER(BBG_Data!B1452)),BBG_Data!B1452,NA())</f>
        <v/>
      </c>
      <c r="C1452" s="18">
        <f>IF(NOT(ISNUMBER($A1452)),NA(),IFERROR(1*INDEX(BBG_Data!$D$2:$D$4000,MATCH($A1452,BBG_Data!$C$2:$C$4000,0)),NA()))</f>
        <v/>
      </c>
      <c r="D1452" s="19">
        <f>IF(NOT(ISNUMBER($A1452)),NA(),IFERROR(1*INDEX(BBG_Data!$F$2:$F$4000,MATCH($A1452,BBG_Data!$E$2:$E$4000,0)),NA()))</f>
        <v/>
      </c>
      <c r="E1452" s="19">
        <f>IF(NOT(ISNUMBER($A1452)),NA(),IFERROR(1*INDEX(BBG_Data!$H$2:$H$4000,MATCH($A1452,BBG_Data!$G$2:$G$4000,0)),NA()))</f>
        <v/>
      </c>
      <c r="F1452" s="20">
        <f>IF(AND(ISNUMBER(B1452),ISNUMBER(B1451)),IF(B1452=B1451,"",(B1452-B1451)*100),"")</f>
        <v/>
      </c>
      <c r="G1452" s="20">
        <f>IF(AND(ISNUMBER(C1452),ISNUMBER(C1451)),IF(C1452=C1451,"",(C1452-C1451)*100),"")</f>
        <v/>
      </c>
      <c r="H1452" s="20">
        <f>IF(OR(NOT(ISNUMBER($A1452)),ROW()-2&lt;Settings!$B$11),NA(),IF(COUNT(OFFSET(F1452,1-Settings!$B$11,0,Settings!$B$11,1))&lt;ROUNDUP(Settings!$B$11*Settings!$B$26,0),NA(),STDEV(OFFSET(F1452,1-Settings!$B$11,0,Settings!$B$11,1))*SQRT(Settings!$B$13)))</f>
        <v/>
      </c>
      <c r="I1452" s="20">
        <f>IF(OR(NOT(ISNUMBER($A1452)),ROW()-2&lt;Settings!$B$12),NA(),IF(COUNT(OFFSET(F1452,1-Settings!$B$12,0,Settings!$B$12,1))&lt;ROUNDUP(Settings!$B$12*Settings!$B$26,0),NA(),STDEV(OFFSET(F1452,1-Settings!$B$12,0,Settings!$B$12,1))*SQRT(Settings!$B$13)))</f>
        <v/>
      </c>
      <c r="J1452" s="20">
        <f>IF(OR(NOT(ISNUMBER($A1452)),ROW()-2&lt;Settings!$B$11),NA(),IF(COUNT(OFFSET(G1452,1-Settings!$B$11,0,Settings!$B$11,1))&lt;ROUNDUP(Settings!$B$11*Settings!$B$26,0),NA(),STDEV(OFFSET(G1452,1-Settings!$B$11,0,Settings!$B$11,1))*SQRT(Settings!$B$13)))</f>
        <v/>
      </c>
      <c r="K1452" s="20">
        <f>IF(OR(NOT(ISNUMBER($A1452)),ROW()-2&lt;Settings!$B$12),NA(),IF(COUNT(OFFSET(G1452,1-Settings!$B$12,0,Settings!$B$12,1))&lt;ROUNDUP(Settings!$B$12*Settings!$B$26,0),NA(),STDEV(OFFSET(G1452,1-Settings!$B$12,0,Settings!$B$12,1))*SQRT(Settings!$B$13)))</f>
        <v/>
      </c>
      <c r="L1452" s="20">
        <f>IF(AND(ISNUMBER(D1452),ISNUMBER(H1452)),D1452-H1452,NA())</f>
        <v/>
      </c>
      <c r="M1452" s="20">
        <f>IF(AND(ISNUMBER(E1452),ISNUMBER(K1452)),E1452-K1452,NA())</f>
        <v/>
      </c>
      <c r="N1452" s="20">
        <f>IF(NOT(ISNUMBER($A1452)),NA(),IF(COUNT(OFFSET(G1452,1,0,Settings!$B$12,1))&lt;ROUNDUP(Settings!$B$12*Settings!$B$26,0),NA(),STDEV(OFFSET(G1452,1,0,Settings!$B$12,1))*SQRT(Settings!$B$13)))</f>
        <v/>
      </c>
      <c r="O1452" s="20">
        <f>IF(AND(ISNUMBER(E1452),ISNUMBER(N1452)),E1452-N1452,NA())</f>
        <v/>
      </c>
      <c r="P1452" s="19">
        <f>IF(NOT(ISNUMBER($A1452)),NA(),IF(OR($A1452&lt;MIN(KW_TP!$A$2:$A$2501),$A1452&gt;MAX(KW_TP!$A$2:$A$2501)),NA(),INDEX(KW_TP!$C$2:$C$2501,MATCH($A1452,KW_TP!$A$2:$A$2501,1))))</f>
        <v/>
      </c>
      <c r="Q1452" s="18">
        <f>IF(NOT(ISNUMBER($A1452)),NA(),IFERROR(1*INDEX(BBG_Data!$J$2:$J$4000,MATCH($A1452,BBG_Data!$I$2:$I$4000,0)),NA()))</f>
        <v/>
      </c>
      <c r="R1452" s="18">
        <f>IF(NOT(ISNUMBER($A1452)),NA(),IFERROR(1*INDEX(BBG_Data!$L$2:$L$4000,MATCH($A1452,BBG_Data!$K$2:$K$4000,0)),NA()))</f>
        <v/>
      </c>
      <c r="S1452" s="20">
        <f>IF(AND(ISNUMBER(B1452),ISNUMBER(Q1452),ISNUMBER(R1452)),(B1452-Q1452-R1452)*100,NA())</f>
        <v/>
      </c>
      <c r="T1452" s="20">
        <f>IF(AND(ISNUMBER(B1452),Settings!$B$17&gt;0),IF(ISNUMBER(INDEX($B:$B,Settings!$B$17)),(B1452-INDEX($B:$B,Settings!$B$17))*100,NA()),NA())</f>
        <v/>
      </c>
      <c r="U1452" s="20">
        <f>IF(AND(ISNUMBER(Q1452),Settings!$B$17&gt;0),IF(ISNUMBER(INDEX($Q:$Q,Settings!$B$17)),(Q1452-INDEX($Q:$Q,Settings!$B$17))*100,NA()),NA())</f>
        <v/>
      </c>
      <c r="V1452" s="20">
        <f>IF(AND(ISNUMBER(R1452),Settings!$B$17&gt;0),IF(ISNUMBER(INDEX($R:$R,Settings!$B$17)),(R1452-INDEX($R:$R,Settings!$B$17))*100,NA()),NA())</f>
        <v/>
      </c>
      <c r="W1452" s="20">
        <f>IF(AND(ISNUMBER(P1452),Settings!$B$17&gt;0),IF(ISNUMBER(INDEX($P:$P,Settings!$B$17)),P1452-INDEX($P:$P,Settings!$B$17),NA()),NA())</f>
        <v/>
      </c>
      <c r="X1452" s="19">
        <f>IF(NOT(ISNUMBER($A1452)),NA(),IF(OR($A1452&lt;MIN(DKW_10Y!$A$2:$A$2918),$A1452&gt;MAX(DKW_10Y!$A$2:$A$2918),Settings!$B$16&lt;MIN(DKW_10Y!$A$2:$A$2918)),NA(),(INDEX(DKW_10Y!$B$2:$B$2918,MATCH($A1452,DKW_10Y!$A$2:$A$2918,1))-INDEX(DKW_10Y!$B$2:$B$2918,MATCH(Settings!$B$16,DKW_10Y!$A$2:$A$2918,1)))*100))</f>
        <v/>
      </c>
      <c r="Y1452" s="19">
        <f>IF(NOT(ISNUMBER($A1452)),NA(),IF(OR($A1452&lt;MIN(DKW_10Y!$A$2:$A$2918),$A1452&gt;MAX(DKW_10Y!$A$2:$A$2918),Settings!$B$16&lt;MIN(DKW_10Y!$A$2:$A$2918)),NA(),(INDEX(DKW_10Y!$C$2:$C$2918,MATCH($A1452,DKW_10Y!$A$2:$A$2918,1))-INDEX(DKW_10Y!$C$2:$C$2918,MATCH(Settings!$B$16,DKW_10Y!$A$2:$A$2918,1)))*100))</f>
        <v/>
      </c>
      <c r="Z1452" s="19">
        <f>IF(NOT(ISNUMBER($A1452)),NA(),IF(OR($A1452&lt;MIN(DKW_10Y!$A$2:$A$2918),$A1452&gt;MAX(DKW_10Y!$A$2:$A$2918),Settings!$B$16&lt;MIN(DKW_10Y!$A$2:$A$2918)),NA(),(INDEX(DKW_10Y!$D$2:$D$2918,MATCH($A1452,DKW_10Y!$A$2:$A$2918,1))-INDEX(DKW_10Y!$D$2:$D$2918,MATCH(Settings!$B$16,DKW_10Y!$A$2:$A$2918,1)))*100))</f>
        <v/>
      </c>
      <c r="AA1452" s="19">
        <f>IF(NOT(ISNUMBER($A1452)),NA(),IF(OR($A1452&lt;MIN(DKW_10Y!$A$2:$A$2918),$A1452&gt;MAX(DKW_10Y!$A$2:$A$2918),Settings!$B$16&lt;MIN(DKW_10Y!$A$2:$A$2918)),NA(),(INDEX(DKW_10Y!$E$2:$E$2918,MATCH($A1452,DKW_10Y!$A$2:$A$2918,1))-INDEX(DKW_10Y!$E$2:$E$2918,MATCH(Settings!$B$16,DKW_10Y!$A$2:$A$2918,1)))*100))</f>
        <v/>
      </c>
      <c r="AB1452" s="19">
        <f>IF(NOT(ISNUMBER($A1452)),NA(),IF(OR($A1452&lt;MIN(DKW_10Y!$A$2:$A$2918),$A1452&gt;MAX(DKW_10Y!$A$2:$A$2918),Settings!$B$16&lt;MIN(DKW_10Y!$A$2:$A$2918)),NA(),(INDEX(DKW_10Y!$H$2:$H$2918,MATCH($A1452,DKW_10Y!$A$2:$A$2918,1))-INDEX(DKW_10Y!$H$2:$H$2918,MATCH(Settings!$B$16,DKW_10Y!$A$2:$A$2918,1)))*100))</f>
        <v/>
      </c>
      <c r="AC1452" s="18">
        <f>IF(NOT(ISNUMBER($A1452)),NA(),IFERROR(1*INDEX(BBG_Data!$N$2:$N$4000,MATCH($A1452,BBG_Data!$M$2:$M$4000,0)),NA()))</f>
        <v/>
      </c>
      <c r="AD1452" s="18">
        <f>IF(NOT(ISNUMBER($A1452)),NA(),IFERROR(1*INDEX(BBG_Data!$P$2:$P$4000,MATCH($A1452,BBG_Data!$O$2:$O$4000,0)),NA()))</f>
        <v/>
      </c>
      <c r="AE1452" s="18">
        <f>IF(NOT(ISNUMBER($A1452)),NA(),IFERROR(1*INDEX(BBG_Data!$R$2:$R$4000,MATCH($A1452,BBG_Data!$Q$2:$Q$4000,0)),NA()))</f>
        <v/>
      </c>
      <c r="AF1452" s="20">
        <f>IF(AND(ISNUMBER(B1452),ISNUMBER(AC1452)),(B1452-AC1452)*100,NA())</f>
        <v/>
      </c>
      <c r="AG1452" s="20">
        <f>IF(AND(ISNUMBER(AE1452),ISNUMBER(AD1452)),(AE1452-AD1452)*100,NA())</f>
        <v/>
      </c>
      <c r="AH1452" s="19">
        <f>IF(NOT(ISNUMBER($A1452)),NA(),IFERROR(INDEX(BBG_Data!$T$2:$T$4000,MATCH($A1452,BBG_Data!$S$2:$S$4000,0))*Settings!$B$25,NA()))</f>
        <v/>
      </c>
      <c r="AI1452" s="19">
        <f>IF(NOT(ISNUMBER($A1452)),NA(),IFERROR(INDEX(BBG_Data!$V$2:$V$4000,MATCH($A1452,BBG_Data!$U$2:$U$4000,0))*Settings!$B$25,NA()))</f>
        <v/>
      </c>
      <c r="AJ1452" s="19">
        <f>IF(NOT(ISNUMBER($A1452)),NA(),IFERROR(1*INDEX(BBG_Data!$X$2:$X$4000,MATCH($A1452,BBG_Data!$W$2:$W$4000,0)),NA()))</f>
        <v/>
      </c>
      <c r="AK1452" s="19">
        <f>IF(NOT(ISNUMBER($A1452)),NA(),IFERROR(1*INDEX(BBG_Data!$Z$2:$Z$4000,MATCH($A1452,BBG_Data!$Y$2:$Y$4000,0)),NA()))</f>
        <v/>
      </c>
    </row>
    <row r="1453">
      <c r="A1453" s="17">
        <f>IF(ISNUMBER(BBG_Data!A1453),BBG_Data!A1453,"")</f>
        <v/>
      </c>
      <c r="B1453" s="18">
        <f>IF(AND(ISNUMBER($A1453),ISNUMBER(BBG_Data!B1453)),BBG_Data!B1453,NA())</f>
        <v/>
      </c>
      <c r="C1453" s="18">
        <f>IF(NOT(ISNUMBER($A1453)),NA(),IFERROR(1*INDEX(BBG_Data!$D$2:$D$4000,MATCH($A1453,BBG_Data!$C$2:$C$4000,0)),NA()))</f>
        <v/>
      </c>
      <c r="D1453" s="19">
        <f>IF(NOT(ISNUMBER($A1453)),NA(),IFERROR(1*INDEX(BBG_Data!$F$2:$F$4000,MATCH($A1453,BBG_Data!$E$2:$E$4000,0)),NA()))</f>
        <v/>
      </c>
      <c r="E1453" s="19">
        <f>IF(NOT(ISNUMBER($A1453)),NA(),IFERROR(1*INDEX(BBG_Data!$H$2:$H$4000,MATCH($A1453,BBG_Data!$G$2:$G$4000,0)),NA()))</f>
        <v/>
      </c>
      <c r="F1453" s="20">
        <f>IF(AND(ISNUMBER(B1453),ISNUMBER(B1452)),IF(B1453=B1452,"",(B1453-B1452)*100),"")</f>
        <v/>
      </c>
      <c r="G1453" s="20">
        <f>IF(AND(ISNUMBER(C1453),ISNUMBER(C1452)),IF(C1453=C1452,"",(C1453-C1452)*100),"")</f>
        <v/>
      </c>
      <c r="H1453" s="20">
        <f>IF(OR(NOT(ISNUMBER($A1453)),ROW()-2&lt;Settings!$B$11),NA(),IF(COUNT(OFFSET(F1453,1-Settings!$B$11,0,Settings!$B$11,1))&lt;ROUNDUP(Settings!$B$11*Settings!$B$26,0),NA(),STDEV(OFFSET(F1453,1-Settings!$B$11,0,Settings!$B$11,1))*SQRT(Settings!$B$13)))</f>
        <v/>
      </c>
      <c r="I1453" s="20">
        <f>IF(OR(NOT(ISNUMBER($A1453)),ROW()-2&lt;Settings!$B$12),NA(),IF(COUNT(OFFSET(F1453,1-Settings!$B$12,0,Settings!$B$12,1))&lt;ROUNDUP(Settings!$B$12*Settings!$B$26,0),NA(),STDEV(OFFSET(F1453,1-Settings!$B$12,0,Settings!$B$12,1))*SQRT(Settings!$B$13)))</f>
        <v/>
      </c>
      <c r="J1453" s="20">
        <f>IF(OR(NOT(ISNUMBER($A1453)),ROW()-2&lt;Settings!$B$11),NA(),IF(COUNT(OFFSET(G1453,1-Settings!$B$11,0,Settings!$B$11,1))&lt;ROUNDUP(Settings!$B$11*Settings!$B$26,0),NA(),STDEV(OFFSET(G1453,1-Settings!$B$11,0,Settings!$B$11,1))*SQRT(Settings!$B$13)))</f>
        <v/>
      </c>
      <c r="K1453" s="20">
        <f>IF(OR(NOT(ISNUMBER($A1453)),ROW()-2&lt;Settings!$B$12),NA(),IF(COUNT(OFFSET(G1453,1-Settings!$B$12,0,Settings!$B$12,1))&lt;ROUNDUP(Settings!$B$12*Settings!$B$26,0),NA(),STDEV(OFFSET(G1453,1-Settings!$B$12,0,Settings!$B$12,1))*SQRT(Settings!$B$13)))</f>
        <v/>
      </c>
      <c r="L1453" s="20">
        <f>IF(AND(ISNUMBER(D1453),ISNUMBER(H1453)),D1453-H1453,NA())</f>
        <v/>
      </c>
      <c r="M1453" s="20">
        <f>IF(AND(ISNUMBER(E1453),ISNUMBER(K1453)),E1453-K1453,NA())</f>
        <v/>
      </c>
      <c r="N1453" s="20">
        <f>IF(NOT(ISNUMBER($A1453)),NA(),IF(COUNT(OFFSET(G1453,1,0,Settings!$B$12,1))&lt;ROUNDUP(Settings!$B$12*Settings!$B$26,0),NA(),STDEV(OFFSET(G1453,1,0,Settings!$B$12,1))*SQRT(Settings!$B$13)))</f>
        <v/>
      </c>
      <c r="O1453" s="20">
        <f>IF(AND(ISNUMBER(E1453),ISNUMBER(N1453)),E1453-N1453,NA())</f>
        <v/>
      </c>
      <c r="P1453" s="19">
        <f>IF(NOT(ISNUMBER($A1453)),NA(),IF(OR($A1453&lt;MIN(KW_TP!$A$2:$A$2501),$A1453&gt;MAX(KW_TP!$A$2:$A$2501)),NA(),INDEX(KW_TP!$C$2:$C$2501,MATCH($A1453,KW_TP!$A$2:$A$2501,1))))</f>
        <v/>
      </c>
      <c r="Q1453" s="18">
        <f>IF(NOT(ISNUMBER($A1453)),NA(),IFERROR(1*INDEX(BBG_Data!$J$2:$J$4000,MATCH($A1453,BBG_Data!$I$2:$I$4000,0)),NA()))</f>
        <v/>
      </c>
      <c r="R1453" s="18">
        <f>IF(NOT(ISNUMBER($A1453)),NA(),IFERROR(1*INDEX(BBG_Data!$L$2:$L$4000,MATCH($A1453,BBG_Data!$K$2:$K$4000,0)),NA()))</f>
        <v/>
      </c>
      <c r="S1453" s="20">
        <f>IF(AND(ISNUMBER(B1453),ISNUMBER(Q1453),ISNUMBER(R1453)),(B1453-Q1453-R1453)*100,NA())</f>
        <v/>
      </c>
      <c r="T1453" s="20">
        <f>IF(AND(ISNUMBER(B1453),Settings!$B$17&gt;0),IF(ISNUMBER(INDEX($B:$B,Settings!$B$17)),(B1453-INDEX($B:$B,Settings!$B$17))*100,NA()),NA())</f>
        <v/>
      </c>
      <c r="U1453" s="20">
        <f>IF(AND(ISNUMBER(Q1453),Settings!$B$17&gt;0),IF(ISNUMBER(INDEX($Q:$Q,Settings!$B$17)),(Q1453-INDEX($Q:$Q,Settings!$B$17))*100,NA()),NA())</f>
        <v/>
      </c>
      <c r="V1453" s="20">
        <f>IF(AND(ISNUMBER(R1453),Settings!$B$17&gt;0),IF(ISNUMBER(INDEX($R:$R,Settings!$B$17)),(R1453-INDEX($R:$R,Settings!$B$17))*100,NA()),NA())</f>
        <v/>
      </c>
      <c r="W1453" s="20">
        <f>IF(AND(ISNUMBER(P1453),Settings!$B$17&gt;0),IF(ISNUMBER(INDEX($P:$P,Settings!$B$17)),P1453-INDEX($P:$P,Settings!$B$17),NA()),NA())</f>
        <v/>
      </c>
      <c r="X1453" s="19">
        <f>IF(NOT(ISNUMBER($A1453)),NA(),IF(OR($A1453&lt;MIN(DKW_10Y!$A$2:$A$2918),$A1453&gt;MAX(DKW_10Y!$A$2:$A$2918),Settings!$B$16&lt;MIN(DKW_10Y!$A$2:$A$2918)),NA(),(INDEX(DKW_10Y!$B$2:$B$2918,MATCH($A1453,DKW_10Y!$A$2:$A$2918,1))-INDEX(DKW_10Y!$B$2:$B$2918,MATCH(Settings!$B$16,DKW_10Y!$A$2:$A$2918,1)))*100))</f>
        <v/>
      </c>
      <c r="Y1453" s="19">
        <f>IF(NOT(ISNUMBER($A1453)),NA(),IF(OR($A1453&lt;MIN(DKW_10Y!$A$2:$A$2918),$A1453&gt;MAX(DKW_10Y!$A$2:$A$2918),Settings!$B$16&lt;MIN(DKW_10Y!$A$2:$A$2918)),NA(),(INDEX(DKW_10Y!$C$2:$C$2918,MATCH($A1453,DKW_10Y!$A$2:$A$2918,1))-INDEX(DKW_10Y!$C$2:$C$2918,MATCH(Settings!$B$16,DKW_10Y!$A$2:$A$2918,1)))*100))</f>
        <v/>
      </c>
      <c r="Z1453" s="19">
        <f>IF(NOT(ISNUMBER($A1453)),NA(),IF(OR($A1453&lt;MIN(DKW_10Y!$A$2:$A$2918),$A1453&gt;MAX(DKW_10Y!$A$2:$A$2918),Settings!$B$16&lt;MIN(DKW_10Y!$A$2:$A$2918)),NA(),(INDEX(DKW_10Y!$D$2:$D$2918,MATCH($A1453,DKW_10Y!$A$2:$A$2918,1))-INDEX(DKW_10Y!$D$2:$D$2918,MATCH(Settings!$B$16,DKW_10Y!$A$2:$A$2918,1)))*100))</f>
        <v/>
      </c>
      <c r="AA1453" s="19">
        <f>IF(NOT(ISNUMBER($A1453)),NA(),IF(OR($A1453&lt;MIN(DKW_10Y!$A$2:$A$2918),$A1453&gt;MAX(DKW_10Y!$A$2:$A$2918),Settings!$B$16&lt;MIN(DKW_10Y!$A$2:$A$2918)),NA(),(INDEX(DKW_10Y!$E$2:$E$2918,MATCH($A1453,DKW_10Y!$A$2:$A$2918,1))-INDEX(DKW_10Y!$E$2:$E$2918,MATCH(Settings!$B$16,DKW_10Y!$A$2:$A$2918,1)))*100))</f>
        <v/>
      </c>
      <c r="AB1453" s="19">
        <f>IF(NOT(ISNUMBER($A1453)),NA(),IF(OR($A1453&lt;MIN(DKW_10Y!$A$2:$A$2918),$A1453&gt;MAX(DKW_10Y!$A$2:$A$2918),Settings!$B$16&lt;MIN(DKW_10Y!$A$2:$A$2918)),NA(),(INDEX(DKW_10Y!$H$2:$H$2918,MATCH($A1453,DKW_10Y!$A$2:$A$2918,1))-INDEX(DKW_10Y!$H$2:$H$2918,MATCH(Settings!$B$16,DKW_10Y!$A$2:$A$2918,1)))*100))</f>
        <v/>
      </c>
      <c r="AC1453" s="18">
        <f>IF(NOT(ISNUMBER($A1453)),NA(),IFERROR(1*INDEX(BBG_Data!$N$2:$N$4000,MATCH($A1453,BBG_Data!$M$2:$M$4000,0)),NA()))</f>
        <v/>
      </c>
      <c r="AD1453" s="18">
        <f>IF(NOT(ISNUMBER($A1453)),NA(),IFERROR(1*INDEX(BBG_Data!$P$2:$P$4000,MATCH($A1453,BBG_Data!$O$2:$O$4000,0)),NA()))</f>
        <v/>
      </c>
      <c r="AE1453" s="18">
        <f>IF(NOT(ISNUMBER($A1453)),NA(),IFERROR(1*INDEX(BBG_Data!$R$2:$R$4000,MATCH($A1453,BBG_Data!$Q$2:$Q$4000,0)),NA()))</f>
        <v/>
      </c>
      <c r="AF1453" s="20">
        <f>IF(AND(ISNUMBER(B1453),ISNUMBER(AC1453)),(B1453-AC1453)*100,NA())</f>
        <v/>
      </c>
      <c r="AG1453" s="20">
        <f>IF(AND(ISNUMBER(AE1453),ISNUMBER(AD1453)),(AE1453-AD1453)*100,NA())</f>
        <v/>
      </c>
      <c r="AH1453" s="19">
        <f>IF(NOT(ISNUMBER($A1453)),NA(),IFERROR(INDEX(BBG_Data!$T$2:$T$4000,MATCH($A1453,BBG_Data!$S$2:$S$4000,0))*Settings!$B$25,NA()))</f>
        <v/>
      </c>
      <c r="AI1453" s="19">
        <f>IF(NOT(ISNUMBER($A1453)),NA(),IFERROR(INDEX(BBG_Data!$V$2:$V$4000,MATCH($A1453,BBG_Data!$U$2:$U$4000,0))*Settings!$B$25,NA()))</f>
        <v/>
      </c>
      <c r="AJ1453" s="19">
        <f>IF(NOT(ISNUMBER($A1453)),NA(),IFERROR(1*INDEX(BBG_Data!$X$2:$X$4000,MATCH($A1453,BBG_Data!$W$2:$W$4000,0)),NA()))</f>
        <v/>
      </c>
      <c r="AK1453" s="19">
        <f>IF(NOT(ISNUMBER($A1453)),NA(),IFERROR(1*INDEX(BBG_Data!$Z$2:$Z$4000,MATCH($A1453,BBG_Data!$Y$2:$Y$4000,0)),NA()))</f>
        <v/>
      </c>
    </row>
    <row r="1454">
      <c r="A1454" s="17">
        <f>IF(ISNUMBER(BBG_Data!A1454),BBG_Data!A1454,"")</f>
        <v/>
      </c>
      <c r="B1454" s="18">
        <f>IF(AND(ISNUMBER($A1454),ISNUMBER(BBG_Data!B1454)),BBG_Data!B1454,NA())</f>
        <v/>
      </c>
      <c r="C1454" s="18">
        <f>IF(NOT(ISNUMBER($A1454)),NA(),IFERROR(1*INDEX(BBG_Data!$D$2:$D$4000,MATCH($A1454,BBG_Data!$C$2:$C$4000,0)),NA()))</f>
        <v/>
      </c>
      <c r="D1454" s="19">
        <f>IF(NOT(ISNUMBER($A1454)),NA(),IFERROR(1*INDEX(BBG_Data!$F$2:$F$4000,MATCH($A1454,BBG_Data!$E$2:$E$4000,0)),NA()))</f>
        <v/>
      </c>
      <c r="E1454" s="19">
        <f>IF(NOT(ISNUMBER($A1454)),NA(),IFERROR(1*INDEX(BBG_Data!$H$2:$H$4000,MATCH($A1454,BBG_Data!$G$2:$G$4000,0)),NA()))</f>
        <v/>
      </c>
      <c r="F1454" s="20">
        <f>IF(AND(ISNUMBER(B1454),ISNUMBER(B1453)),IF(B1454=B1453,"",(B1454-B1453)*100),"")</f>
        <v/>
      </c>
      <c r="G1454" s="20">
        <f>IF(AND(ISNUMBER(C1454),ISNUMBER(C1453)),IF(C1454=C1453,"",(C1454-C1453)*100),"")</f>
        <v/>
      </c>
      <c r="H1454" s="20">
        <f>IF(OR(NOT(ISNUMBER($A1454)),ROW()-2&lt;Settings!$B$11),NA(),IF(COUNT(OFFSET(F1454,1-Settings!$B$11,0,Settings!$B$11,1))&lt;ROUNDUP(Settings!$B$11*Settings!$B$26,0),NA(),STDEV(OFFSET(F1454,1-Settings!$B$11,0,Settings!$B$11,1))*SQRT(Settings!$B$13)))</f>
        <v/>
      </c>
      <c r="I1454" s="20">
        <f>IF(OR(NOT(ISNUMBER($A1454)),ROW()-2&lt;Settings!$B$12),NA(),IF(COUNT(OFFSET(F1454,1-Settings!$B$12,0,Settings!$B$12,1))&lt;ROUNDUP(Settings!$B$12*Settings!$B$26,0),NA(),STDEV(OFFSET(F1454,1-Settings!$B$12,0,Settings!$B$12,1))*SQRT(Settings!$B$13)))</f>
        <v/>
      </c>
      <c r="J1454" s="20">
        <f>IF(OR(NOT(ISNUMBER($A1454)),ROW()-2&lt;Settings!$B$11),NA(),IF(COUNT(OFFSET(G1454,1-Settings!$B$11,0,Settings!$B$11,1))&lt;ROUNDUP(Settings!$B$11*Settings!$B$26,0),NA(),STDEV(OFFSET(G1454,1-Settings!$B$11,0,Settings!$B$11,1))*SQRT(Settings!$B$13)))</f>
        <v/>
      </c>
      <c r="K1454" s="20">
        <f>IF(OR(NOT(ISNUMBER($A1454)),ROW()-2&lt;Settings!$B$12),NA(),IF(COUNT(OFFSET(G1454,1-Settings!$B$12,0,Settings!$B$12,1))&lt;ROUNDUP(Settings!$B$12*Settings!$B$26,0),NA(),STDEV(OFFSET(G1454,1-Settings!$B$12,0,Settings!$B$12,1))*SQRT(Settings!$B$13)))</f>
        <v/>
      </c>
      <c r="L1454" s="20">
        <f>IF(AND(ISNUMBER(D1454),ISNUMBER(H1454)),D1454-H1454,NA())</f>
        <v/>
      </c>
      <c r="M1454" s="20">
        <f>IF(AND(ISNUMBER(E1454),ISNUMBER(K1454)),E1454-K1454,NA())</f>
        <v/>
      </c>
      <c r="N1454" s="20">
        <f>IF(NOT(ISNUMBER($A1454)),NA(),IF(COUNT(OFFSET(G1454,1,0,Settings!$B$12,1))&lt;ROUNDUP(Settings!$B$12*Settings!$B$26,0),NA(),STDEV(OFFSET(G1454,1,0,Settings!$B$12,1))*SQRT(Settings!$B$13)))</f>
        <v/>
      </c>
      <c r="O1454" s="20">
        <f>IF(AND(ISNUMBER(E1454),ISNUMBER(N1454)),E1454-N1454,NA())</f>
        <v/>
      </c>
      <c r="P1454" s="19">
        <f>IF(NOT(ISNUMBER($A1454)),NA(),IF(OR($A1454&lt;MIN(KW_TP!$A$2:$A$2501),$A1454&gt;MAX(KW_TP!$A$2:$A$2501)),NA(),INDEX(KW_TP!$C$2:$C$2501,MATCH($A1454,KW_TP!$A$2:$A$2501,1))))</f>
        <v/>
      </c>
      <c r="Q1454" s="18">
        <f>IF(NOT(ISNUMBER($A1454)),NA(),IFERROR(1*INDEX(BBG_Data!$J$2:$J$4000,MATCH($A1454,BBG_Data!$I$2:$I$4000,0)),NA()))</f>
        <v/>
      </c>
      <c r="R1454" s="18">
        <f>IF(NOT(ISNUMBER($A1454)),NA(),IFERROR(1*INDEX(BBG_Data!$L$2:$L$4000,MATCH($A1454,BBG_Data!$K$2:$K$4000,0)),NA()))</f>
        <v/>
      </c>
      <c r="S1454" s="20">
        <f>IF(AND(ISNUMBER(B1454),ISNUMBER(Q1454),ISNUMBER(R1454)),(B1454-Q1454-R1454)*100,NA())</f>
        <v/>
      </c>
      <c r="T1454" s="20">
        <f>IF(AND(ISNUMBER(B1454),Settings!$B$17&gt;0),IF(ISNUMBER(INDEX($B:$B,Settings!$B$17)),(B1454-INDEX($B:$B,Settings!$B$17))*100,NA()),NA())</f>
        <v/>
      </c>
      <c r="U1454" s="20">
        <f>IF(AND(ISNUMBER(Q1454),Settings!$B$17&gt;0),IF(ISNUMBER(INDEX($Q:$Q,Settings!$B$17)),(Q1454-INDEX($Q:$Q,Settings!$B$17))*100,NA()),NA())</f>
        <v/>
      </c>
      <c r="V1454" s="20">
        <f>IF(AND(ISNUMBER(R1454),Settings!$B$17&gt;0),IF(ISNUMBER(INDEX($R:$R,Settings!$B$17)),(R1454-INDEX($R:$R,Settings!$B$17))*100,NA()),NA())</f>
        <v/>
      </c>
      <c r="W1454" s="20">
        <f>IF(AND(ISNUMBER(P1454),Settings!$B$17&gt;0),IF(ISNUMBER(INDEX($P:$P,Settings!$B$17)),P1454-INDEX($P:$P,Settings!$B$17),NA()),NA())</f>
        <v/>
      </c>
      <c r="X1454" s="19">
        <f>IF(NOT(ISNUMBER($A1454)),NA(),IF(OR($A1454&lt;MIN(DKW_10Y!$A$2:$A$2918),$A1454&gt;MAX(DKW_10Y!$A$2:$A$2918),Settings!$B$16&lt;MIN(DKW_10Y!$A$2:$A$2918)),NA(),(INDEX(DKW_10Y!$B$2:$B$2918,MATCH($A1454,DKW_10Y!$A$2:$A$2918,1))-INDEX(DKW_10Y!$B$2:$B$2918,MATCH(Settings!$B$16,DKW_10Y!$A$2:$A$2918,1)))*100))</f>
        <v/>
      </c>
      <c r="Y1454" s="19">
        <f>IF(NOT(ISNUMBER($A1454)),NA(),IF(OR($A1454&lt;MIN(DKW_10Y!$A$2:$A$2918),$A1454&gt;MAX(DKW_10Y!$A$2:$A$2918),Settings!$B$16&lt;MIN(DKW_10Y!$A$2:$A$2918)),NA(),(INDEX(DKW_10Y!$C$2:$C$2918,MATCH($A1454,DKW_10Y!$A$2:$A$2918,1))-INDEX(DKW_10Y!$C$2:$C$2918,MATCH(Settings!$B$16,DKW_10Y!$A$2:$A$2918,1)))*100))</f>
        <v/>
      </c>
      <c r="Z1454" s="19">
        <f>IF(NOT(ISNUMBER($A1454)),NA(),IF(OR($A1454&lt;MIN(DKW_10Y!$A$2:$A$2918),$A1454&gt;MAX(DKW_10Y!$A$2:$A$2918),Settings!$B$16&lt;MIN(DKW_10Y!$A$2:$A$2918)),NA(),(INDEX(DKW_10Y!$D$2:$D$2918,MATCH($A1454,DKW_10Y!$A$2:$A$2918,1))-INDEX(DKW_10Y!$D$2:$D$2918,MATCH(Settings!$B$16,DKW_10Y!$A$2:$A$2918,1)))*100))</f>
        <v/>
      </c>
      <c r="AA1454" s="19">
        <f>IF(NOT(ISNUMBER($A1454)),NA(),IF(OR($A1454&lt;MIN(DKW_10Y!$A$2:$A$2918),$A1454&gt;MAX(DKW_10Y!$A$2:$A$2918),Settings!$B$16&lt;MIN(DKW_10Y!$A$2:$A$2918)),NA(),(INDEX(DKW_10Y!$E$2:$E$2918,MATCH($A1454,DKW_10Y!$A$2:$A$2918,1))-INDEX(DKW_10Y!$E$2:$E$2918,MATCH(Settings!$B$16,DKW_10Y!$A$2:$A$2918,1)))*100))</f>
        <v/>
      </c>
      <c r="AB1454" s="19">
        <f>IF(NOT(ISNUMBER($A1454)),NA(),IF(OR($A1454&lt;MIN(DKW_10Y!$A$2:$A$2918),$A1454&gt;MAX(DKW_10Y!$A$2:$A$2918),Settings!$B$16&lt;MIN(DKW_10Y!$A$2:$A$2918)),NA(),(INDEX(DKW_10Y!$H$2:$H$2918,MATCH($A1454,DKW_10Y!$A$2:$A$2918,1))-INDEX(DKW_10Y!$H$2:$H$2918,MATCH(Settings!$B$16,DKW_10Y!$A$2:$A$2918,1)))*100))</f>
        <v/>
      </c>
      <c r="AC1454" s="18">
        <f>IF(NOT(ISNUMBER($A1454)),NA(),IFERROR(1*INDEX(BBG_Data!$N$2:$N$4000,MATCH($A1454,BBG_Data!$M$2:$M$4000,0)),NA()))</f>
        <v/>
      </c>
      <c r="AD1454" s="18">
        <f>IF(NOT(ISNUMBER($A1454)),NA(),IFERROR(1*INDEX(BBG_Data!$P$2:$P$4000,MATCH($A1454,BBG_Data!$O$2:$O$4000,0)),NA()))</f>
        <v/>
      </c>
      <c r="AE1454" s="18">
        <f>IF(NOT(ISNUMBER($A1454)),NA(),IFERROR(1*INDEX(BBG_Data!$R$2:$R$4000,MATCH($A1454,BBG_Data!$Q$2:$Q$4000,0)),NA()))</f>
        <v/>
      </c>
      <c r="AF1454" s="20">
        <f>IF(AND(ISNUMBER(B1454),ISNUMBER(AC1454)),(B1454-AC1454)*100,NA())</f>
        <v/>
      </c>
      <c r="AG1454" s="20">
        <f>IF(AND(ISNUMBER(AE1454),ISNUMBER(AD1454)),(AE1454-AD1454)*100,NA())</f>
        <v/>
      </c>
      <c r="AH1454" s="19">
        <f>IF(NOT(ISNUMBER($A1454)),NA(),IFERROR(INDEX(BBG_Data!$T$2:$T$4000,MATCH($A1454,BBG_Data!$S$2:$S$4000,0))*Settings!$B$25,NA()))</f>
        <v/>
      </c>
      <c r="AI1454" s="19">
        <f>IF(NOT(ISNUMBER($A1454)),NA(),IFERROR(INDEX(BBG_Data!$V$2:$V$4000,MATCH($A1454,BBG_Data!$U$2:$U$4000,0))*Settings!$B$25,NA()))</f>
        <v/>
      </c>
      <c r="AJ1454" s="19">
        <f>IF(NOT(ISNUMBER($A1454)),NA(),IFERROR(1*INDEX(BBG_Data!$X$2:$X$4000,MATCH($A1454,BBG_Data!$W$2:$W$4000,0)),NA()))</f>
        <v/>
      </c>
      <c r="AK1454" s="19">
        <f>IF(NOT(ISNUMBER($A1454)),NA(),IFERROR(1*INDEX(BBG_Data!$Z$2:$Z$4000,MATCH($A1454,BBG_Data!$Y$2:$Y$4000,0)),NA()))</f>
        <v/>
      </c>
    </row>
    <row r="1455">
      <c r="A1455" s="17">
        <f>IF(ISNUMBER(BBG_Data!A1455),BBG_Data!A1455,"")</f>
        <v/>
      </c>
      <c r="B1455" s="18">
        <f>IF(AND(ISNUMBER($A1455),ISNUMBER(BBG_Data!B1455)),BBG_Data!B1455,NA())</f>
        <v/>
      </c>
      <c r="C1455" s="18">
        <f>IF(NOT(ISNUMBER($A1455)),NA(),IFERROR(1*INDEX(BBG_Data!$D$2:$D$4000,MATCH($A1455,BBG_Data!$C$2:$C$4000,0)),NA()))</f>
        <v/>
      </c>
      <c r="D1455" s="19">
        <f>IF(NOT(ISNUMBER($A1455)),NA(),IFERROR(1*INDEX(BBG_Data!$F$2:$F$4000,MATCH($A1455,BBG_Data!$E$2:$E$4000,0)),NA()))</f>
        <v/>
      </c>
      <c r="E1455" s="19">
        <f>IF(NOT(ISNUMBER($A1455)),NA(),IFERROR(1*INDEX(BBG_Data!$H$2:$H$4000,MATCH($A1455,BBG_Data!$G$2:$G$4000,0)),NA()))</f>
        <v/>
      </c>
      <c r="F1455" s="20">
        <f>IF(AND(ISNUMBER(B1455),ISNUMBER(B1454)),IF(B1455=B1454,"",(B1455-B1454)*100),"")</f>
        <v/>
      </c>
      <c r="G1455" s="20">
        <f>IF(AND(ISNUMBER(C1455),ISNUMBER(C1454)),IF(C1455=C1454,"",(C1455-C1454)*100),"")</f>
        <v/>
      </c>
      <c r="H1455" s="20">
        <f>IF(OR(NOT(ISNUMBER($A1455)),ROW()-2&lt;Settings!$B$11),NA(),IF(COUNT(OFFSET(F1455,1-Settings!$B$11,0,Settings!$B$11,1))&lt;ROUNDUP(Settings!$B$11*Settings!$B$26,0),NA(),STDEV(OFFSET(F1455,1-Settings!$B$11,0,Settings!$B$11,1))*SQRT(Settings!$B$13)))</f>
        <v/>
      </c>
      <c r="I1455" s="20">
        <f>IF(OR(NOT(ISNUMBER($A1455)),ROW()-2&lt;Settings!$B$12),NA(),IF(COUNT(OFFSET(F1455,1-Settings!$B$12,0,Settings!$B$12,1))&lt;ROUNDUP(Settings!$B$12*Settings!$B$26,0),NA(),STDEV(OFFSET(F1455,1-Settings!$B$12,0,Settings!$B$12,1))*SQRT(Settings!$B$13)))</f>
        <v/>
      </c>
      <c r="J1455" s="20">
        <f>IF(OR(NOT(ISNUMBER($A1455)),ROW()-2&lt;Settings!$B$11),NA(),IF(COUNT(OFFSET(G1455,1-Settings!$B$11,0,Settings!$B$11,1))&lt;ROUNDUP(Settings!$B$11*Settings!$B$26,0),NA(),STDEV(OFFSET(G1455,1-Settings!$B$11,0,Settings!$B$11,1))*SQRT(Settings!$B$13)))</f>
        <v/>
      </c>
      <c r="K1455" s="20">
        <f>IF(OR(NOT(ISNUMBER($A1455)),ROW()-2&lt;Settings!$B$12),NA(),IF(COUNT(OFFSET(G1455,1-Settings!$B$12,0,Settings!$B$12,1))&lt;ROUNDUP(Settings!$B$12*Settings!$B$26,0),NA(),STDEV(OFFSET(G1455,1-Settings!$B$12,0,Settings!$B$12,1))*SQRT(Settings!$B$13)))</f>
        <v/>
      </c>
      <c r="L1455" s="20">
        <f>IF(AND(ISNUMBER(D1455),ISNUMBER(H1455)),D1455-H1455,NA())</f>
        <v/>
      </c>
      <c r="M1455" s="20">
        <f>IF(AND(ISNUMBER(E1455),ISNUMBER(K1455)),E1455-K1455,NA())</f>
        <v/>
      </c>
      <c r="N1455" s="20">
        <f>IF(NOT(ISNUMBER($A1455)),NA(),IF(COUNT(OFFSET(G1455,1,0,Settings!$B$12,1))&lt;ROUNDUP(Settings!$B$12*Settings!$B$26,0),NA(),STDEV(OFFSET(G1455,1,0,Settings!$B$12,1))*SQRT(Settings!$B$13)))</f>
        <v/>
      </c>
      <c r="O1455" s="20">
        <f>IF(AND(ISNUMBER(E1455),ISNUMBER(N1455)),E1455-N1455,NA())</f>
        <v/>
      </c>
      <c r="P1455" s="19">
        <f>IF(NOT(ISNUMBER($A1455)),NA(),IF(OR($A1455&lt;MIN(KW_TP!$A$2:$A$2501),$A1455&gt;MAX(KW_TP!$A$2:$A$2501)),NA(),INDEX(KW_TP!$C$2:$C$2501,MATCH($A1455,KW_TP!$A$2:$A$2501,1))))</f>
        <v/>
      </c>
      <c r="Q1455" s="18">
        <f>IF(NOT(ISNUMBER($A1455)),NA(),IFERROR(1*INDEX(BBG_Data!$J$2:$J$4000,MATCH($A1455,BBG_Data!$I$2:$I$4000,0)),NA()))</f>
        <v/>
      </c>
      <c r="R1455" s="18">
        <f>IF(NOT(ISNUMBER($A1455)),NA(),IFERROR(1*INDEX(BBG_Data!$L$2:$L$4000,MATCH($A1455,BBG_Data!$K$2:$K$4000,0)),NA()))</f>
        <v/>
      </c>
      <c r="S1455" s="20">
        <f>IF(AND(ISNUMBER(B1455),ISNUMBER(Q1455),ISNUMBER(R1455)),(B1455-Q1455-R1455)*100,NA())</f>
        <v/>
      </c>
      <c r="T1455" s="20">
        <f>IF(AND(ISNUMBER(B1455),Settings!$B$17&gt;0),IF(ISNUMBER(INDEX($B:$B,Settings!$B$17)),(B1455-INDEX($B:$B,Settings!$B$17))*100,NA()),NA())</f>
        <v/>
      </c>
      <c r="U1455" s="20">
        <f>IF(AND(ISNUMBER(Q1455),Settings!$B$17&gt;0),IF(ISNUMBER(INDEX($Q:$Q,Settings!$B$17)),(Q1455-INDEX($Q:$Q,Settings!$B$17))*100,NA()),NA())</f>
        <v/>
      </c>
      <c r="V1455" s="20">
        <f>IF(AND(ISNUMBER(R1455),Settings!$B$17&gt;0),IF(ISNUMBER(INDEX($R:$R,Settings!$B$17)),(R1455-INDEX($R:$R,Settings!$B$17))*100,NA()),NA())</f>
        <v/>
      </c>
      <c r="W1455" s="20">
        <f>IF(AND(ISNUMBER(P1455),Settings!$B$17&gt;0),IF(ISNUMBER(INDEX($P:$P,Settings!$B$17)),P1455-INDEX($P:$P,Settings!$B$17),NA()),NA())</f>
        <v/>
      </c>
      <c r="X1455" s="19">
        <f>IF(NOT(ISNUMBER($A1455)),NA(),IF(OR($A1455&lt;MIN(DKW_10Y!$A$2:$A$2918),$A1455&gt;MAX(DKW_10Y!$A$2:$A$2918),Settings!$B$16&lt;MIN(DKW_10Y!$A$2:$A$2918)),NA(),(INDEX(DKW_10Y!$B$2:$B$2918,MATCH($A1455,DKW_10Y!$A$2:$A$2918,1))-INDEX(DKW_10Y!$B$2:$B$2918,MATCH(Settings!$B$16,DKW_10Y!$A$2:$A$2918,1)))*100))</f>
        <v/>
      </c>
      <c r="Y1455" s="19">
        <f>IF(NOT(ISNUMBER($A1455)),NA(),IF(OR($A1455&lt;MIN(DKW_10Y!$A$2:$A$2918),$A1455&gt;MAX(DKW_10Y!$A$2:$A$2918),Settings!$B$16&lt;MIN(DKW_10Y!$A$2:$A$2918)),NA(),(INDEX(DKW_10Y!$C$2:$C$2918,MATCH($A1455,DKW_10Y!$A$2:$A$2918,1))-INDEX(DKW_10Y!$C$2:$C$2918,MATCH(Settings!$B$16,DKW_10Y!$A$2:$A$2918,1)))*100))</f>
        <v/>
      </c>
      <c r="Z1455" s="19">
        <f>IF(NOT(ISNUMBER($A1455)),NA(),IF(OR($A1455&lt;MIN(DKW_10Y!$A$2:$A$2918),$A1455&gt;MAX(DKW_10Y!$A$2:$A$2918),Settings!$B$16&lt;MIN(DKW_10Y!$A$2:$A$2918)),NA(),(INDEX(DKW_10Y!$D$2:$D$2918,MATCH($A1455,DKW_10Y!$A$2:$A$2918,1))-INDEX(DKW_10Y!$D$2:$D$2918,MATCH(Settings!$B$16,DKW_10Y!$A$2:$A$2918,1)))*100))</f>
        <v/>
      </c>
      <c r="AA1455" s="19">
        <f>IF(NOT(ISNUMBER($A1455)),NA(),IF(OR($A1455&lt;MIN(DKW_10Y!$A$2:$A$2918),$A1455&gt;MAX(DKW_10Y!$A$2:$A$2918),Settings!$B$16&lt;MIN(DKW_10Y!$A$2:$A$2918)),NA(),(INDEX(DKW_10Y!$E$2:$E$2918,MATCH($A1455,DKW_10Y!$A$2:$A$2918,1))-INDEX(DKW_10Y!$E$2:$E$2918,MATCH(Settings!$B$16,DKW_10Y!$A$2:$A$2918,1)))*100))</f>
        <v/>
      </c>
      <c r="AB1455" s="19">
        <f>IF(NOT(ISNUMBER($A1455)),NA(),IF(OR($A1455&lt;MIN(DKW_10Y!$A$2:$A$2918),$A1455&gt;MAX(DKW_10Y!$A$2:$A$2918),Settings!$B$16&lt;MIN(DKW_10Y!$A$2:$A$2918)),NA(),(INDEX(DKW_10Y!$H$2:$H$2918,MATCH($A1455,DKW_10Y!$A$2:$A$2918,1))-INDEX(DKW_10Y!$H$2:$H$2918,MATCH(Settings!$B$16,DKW_10Y!$A$2:$A$2918,1)))*100))</f>
        <v/>
      </c>
      <c r="AC1455" s="18">
        <f>IF(NOT(ISNUMBER($A1455)),NA(),IFERROR(1*INDEX(BBG_Data!$N$2:$N$4000,MATCH($A1455,BBG_Data!$M$2:$M$4000,0)),NA()))</f>
        <v/>
      </c>
      <c r="AD1455" s="18">
        <f>IF(NOT(ISNUMBER($A1455)),NA(),IFERROR(1*INDEX(BBG_Data!$P$2:$P$4000,MATCH($A1455,BBG_Data!$O$2:$O$4000,0)),NA()))</f>
        <v/>
      </c>
      <c r="AE1455" s="18">
        <f>IF(NOT(ISNUMBER($A1455)),NA(),IFERROR(1*INDEX(BBG_Data!$R$2:$R$4000,MATCH($A1455,BBG_Data!$Q$2:$Q$4000,0)),NA()))</f>
        <v/>
      </c>
      <c r="AF1455" s="20">
        <f>IF(AND(ISNUMBER(B1455),ISNUMBER(AC1455)),(B1455-AC1455)*100,NA())</f>
        <v/>
      </c>
      <c r="AG1455" s="20">
        <f>IF(AND(ISNUMBER(AE1455),ISNUMBER(AD1455)),(AE1455-AD1455)*100,NA())</f>
        <v/>
      </c>
      <c r="AH1455" s="19">
        <f>IF(NOT(ISNUMBER($A1455)),NA(),IFERROR(INDEX(BBG_Data!$T$2:$T$4000,MATCH($A1455,BBG_Data!$S$2:$S$4000,0))*Settings!$B$25,NA()))</f>
        <v/>
      </c>
      <c r="AI1455" s="19">
        <f>IF(NOT(ISNUMBER($A1455)),NA(),IFERROR(INDEX(BBG_Data!$V$2:$V$4000,MATCH($A1455,BBG_Data!$U$2:$U$4000,0))*Settings!$B$25,NA()))</f>
        <v/>
      </c>
      <c r="AJ1455" s="19">
        <f>IF(NOT(ISNUMBER($A1455)),NA(),IFERROR(1*INDEX(BBG_Data!$X$2:$X$4000,MATCH($A1455,BBG_Data!$W$2:$W$4000,0)),NA()))</f>
        <v/>
      </c>
      <c r="AK1455" s="19">
        <f>IF(NOT(ISNUMBER($A1455)),NA(),IFERROR(1*INDEX(BBG_Data!$Z$2:$Z$4000,MATCH($A1455,BBG_Data!$Y$2:$Y$4000,0)),NA()))</f>
        <v/>
      </c>
    </row>
    <row r="1456">
      <c r="A1456" s="17">
        <f>IF(ISNUMBER(BBG_Data!A1456),BBG_Data!A1456,"")</f>
        <v/>
      </c>
      <c r="B1456" s="18">
        <f>IF(AND(ISNUMBER($A1456),ISNUMBER(BBG_Data!B1456)),BBG_Data!B1456,NA())</f>
        <v/>
      </c>
      <c r="C1456" s="18">
        <f>IF(NOT(ISNUMBER($A1456)),NA(),IFERROR(1*INDEX(BBG_Data!$D$2:$D$4000,MATCH($A1456,BBG_Data!$C$2:$C$4000,0)),NA()))</f>
        <v/>
      </c>
      <c r="D1456" s="19">
        <f>IF(NOT(ISNUMBER($A1456)),NA(),IFERROR(1*INDEX(BBG_Data!$F$2:$F$4000,MATCH($A1456,BBG_Data!$E$2:$E$4000,0)),NA()))</f>
        <v/>
      </c>
      <c r="E1456" s="19">
        <f>IF(NOT(ISNUMBER($A1456)),NA(),IFERROR(1*INDEX(BBG_Data!$H$2:$H$4000,MATCH($A1456,BBG_Data!$G$2:$G$4000,0)),NA()))</f>
        <v/>
      </c>
      <c r="F1456" s="20">
        <f>IF(AND(ISNUMBER(B1456),ISNUMBER(B1455)),IF(B1456=B1455,"",(B1456-B1455)*100),"")</f>
        <v/>
      </c>
      <c r="G1456" s="20">
        <f>IF(AND(ISNUMBER(C1456),ISNUMBER(C1455)),IF(C1456=C1455,"",(C1456-C1455)*100),"")</f>
        <v/>
      </c>
      <c r="H1456" s="20">
        <f>IF(OR(NOT(ISNUMBER($A1456)),ROW()-2&lt;Settings!$B$11),NA(),IF(COUNT(OFFSET(F1456,1-Settings!$B$11,0,Settings!$B$11,1))&lt;ROUNDUP(Settings!$B$11*Settings!$B$26,0),NA(),STDEV(OFFSET(F1456,1-Settings!$B$11,0,Settings!$B$11,1))*SQRT(Settings!$B$13)))</f>
        <v/>
      </c>
      <c r="I1456" s="20">
        <f>IF(OR(NOT(ISNUMBER($A1456)),ROW()-2&lt;Settings!$B$12),NA(),IF(COUNT(OFFSET(F1456,1-Settings!$B$12,0,Settings!$B$12,1))&lt;ROUNDUP(Settings!$B$12*Settings!$B$26,0),NA(),STDEV(OFFSET(F1456,1-Settings!$B$12,0,Settings!$B$12,1))*SQRT(Settings!$B$13)))</f>
        <v/>
      </c>
      <c r="J1456" s="20">
        <f>IF(OR(NOT(ISNUMBER($A1456)),ROW()-2&lt;Settings!$B$11),NA(),IF(COUNT(OFFSET(G1456,1-Settings!$B$11,0,Settings!$B$11,1))&lt;ROUNDUP(Settings!$B$11*Settings!$B$26,0),NA(),STDEV(OFFSET(G1456,1-Settings!$B$11,0,Settings!$B$11,1))*SQRT(Settings!$B$13)))</f>
        <v/>
      </c>
      <c r="K1456" s="20">
        <f>IF(OR(NOT(ISNUMBER($A1456)),ROW()-2&lt;Settings!$B$12),NA(),IF(COUNT(OFFSET(G1456,1-Settings!$B$12,0,Settings!$B$12,1))&lt;ROUNDUP(Settings!$B$12*Settings!$B$26,0),NA(),STDEV(OFFSET(G1456,1-Settings!$B$12,0,Settings!$B$12,1))*SQRT(Settings!$B$13)))</f>
        <v/>
      </c>
      <c r="L1456" s="20">
        <f>IF(AND(ISNUMBER(D1456),ISNUMBER(H1456)),D1456-H1456,NA())</f>
        <v/>
      </c>
      <c r="M1456" s="20">
        <f>IF(AND(ISNUMBER(E1456),ISNUMBER(K1456)),E1456-K1456,NA())</f>
        <v/>
      </c>
      <c r="N1456" s="20">
        <f>IF(NOT(ISNUMBER($A1456)),NA(),IF(COUNT(OFFSET(G1456,1,0,Settings!$B$12,1))&lt;ROUNDUP(Settings!$B$12*Settings!$B$26,0),NA(),STDEV(OFFSET(G1456,1,0,Settings!$B$12,1))*SQRT(Settings!$B$13)))</f>
        <v/>
      </c>
      <c r="O1456" s="20">
        <f>IF(AND(ISNUMBER(E1456),ISNUMBER(N1456)),E1456-N1456,NA())</f>
        <v/>
      </c>
      <c r="P1456" s="19">
        <f>IF(NOT(ISNUMBER($A1456)),NA(),IF(OR($A1456&lt;MIN(KW_TP!$A$2:$A$2501),$A1456&gt;MAX(KW_TP!$A$2:$A$2501)),NA(),INDEX(KW_TP!$C$2:$C$2501,MATCH($A1456,KW_TP!$A$2:$A$2501,1))))</f>
        <v/>
      </c>
      <c r="Q1456" s="18">
        <f>IF(NOT(ISNUMBER($A1456)),NA(),IFERROR(1*INDEX(BBG_Data!$J$2:$J$4000,MATCH($A1456,BBG_Data!$I$2:$I$4000,0)),NA()))</f>
        <v/>
      </c>
      <c r="R1456" s="18">
        <f>IF(NOT(ISNUMBER($A1456)),NA(),IFERROR(1*INDEX(BBG_Data!$L$2:$L$4000,MATCH($A1456,BBG_Data!$K$2:$K$4000,0)),NA()))</f>
        <v/>
      </c>
      <c r="S1456" s="20">
        <f>IF(AND(ISNUMBER(B1456),ISNUMBER(Q1456),ISNUMBER(R1456)),(B1456-Q1456-R1456)*100,NA())</f>
        <v/>
      </c>
      <c r="T1456" s="20">
        <f>IF(AND(ISNUMBER(B1456),Settings!$B$17&gt;0),IF(ISNUMBER(INDEX($B:$B,Settings!$B$17)),(B1456-INDEX($B:$B,Settings!$B$17))*100,NA()),NA())</f>
        <v/>
      </c>
      <c r="U1456" s="20">
        <f>IF(AND(ISNUMBER(Q1456),Settings!$B$17&gt;0),IF(ISNUMBER(INDEX($Q:$Q,Settings!$B$17)),(Q1456-INDEX($Q:$Q,Settings!$B$17))*100,NA()),NA())</f>
        <v/>
      </c>
      <c r="V1456" s="20">
        <f>IF(AND(ISNUMBER(R1456),Settings!$B$17&gt;0),IF(ISNUMBER(INDEX($R:$R,Settings!$B$17)),(R1456-INDEX($R:$R,Settings!$B$17))*100,NA()),NA())</f>
        <v/>
      </c>
      <c r="W1456" s="20">
        <f>IF(AND(ISNUMBER(P1456),Settings!$B$17&gt;0),IF(ISNUMBER(INDEX($P:$P,Settings!$B$17)),P1456-INDEX($P:$P,Settings!$B$17),NA()),NA())</f>
        <v/>
      </c>
      <c r="X1456" s="19">
        <f>IF(NOT(ISNUMBER($A1456)),NA(),IF(OR($A1456&lt;MIN(DKW_10Y!$A$2:$A$2918),$A1456&gt;MAX(DKW_10Y!$A$2:$A$2918),Settings!$B$16&lt;MIN(DKW_10Y!$A$2:$A$2918)),NA(),(INDEX(DKW_10Y!$B$2:$B$2918,MATCH($A1456,DKW_10Y!$A$2:$A$2918,1))-INDEX(DKW_10Y!$B$2:$B$2918,MATCH(Settings!$B$16,DKW_10Y!$A$2:$A$2918,1)))*100))</f>
        <v/>
      </c>
      <c r="Y1456" s="19">
        <f>IF(NOT(ISNUMBER($A1456)),NA(),IF(OR($A1456&lt;MIN(DKW_10Y!$A$2:$A$2918),$A1456&gt;MAX(DKW_10Y!$A$2:$A$2918),Settings!$B$16&lt;MIN(DKW_10Y!$A$2:$A$2918)),NA(),(INDEX(DKW_10Y!$C$2:$C$2918,MATCH($A1456,DKW_10Y!$A$2:$A$2918,1))-INDEX(DKW_10Y!$C$2:$C$2918,MATCH(Settings!$B$16,DKW_10Y!$A$2:$A$2918,1)))*100))</f>
        <v/>
      </c>
      <c r="Z1456" s="19">
        <f>IF(NOT(ISNUMBER($A1456)),NA(),IF(OR($A1456&lt;MIN(DKW_10Y!$A$2:$A$2918),$A1456&gt;MAX(DKW_10Y!$A$2:$A$2918),Settings!$B$16&lt;MIN(DKW_10Y!$A$2:$A$2918)),NA(),(INDEX(DKW_10Y!$D$2:$D$2918,MATCH($A1456,DKW_10Y!$A$2:$A$2918,1))-INDEX(DKW_10Y!$D$2:$D$2918,MATCH(Settings!$B$16,DKW_10Y!$A$2:$A$2918,1)))*100))</f>
        <v/>
      </c>
      <c r="AA1456" s="19">
        <f>IF(NOT(ISNUMBER($A1456)),NA(),IF(OR($A1456&lt;MIN(DKW_10Y!$A$2:$A$2918),$A1456&gt;MAX(DKW_10Y!$A$2:$A$2918),Settings!$B$16&lt;MIN(DKW_10Y!$A$2:$A$2918)),NA(),(INDEX(DKW_10Y!$E$2:$E$2918,MATCH($A1456,DKW_10Y!$A$2:$A$2918,1))-INDEX(DKW_10Y!$E$2:$E$2918,MATCH(Settings!$B$16,DKW_10Y!$A$2:$A$2918,1)))*100))</f>
        <v/>
      </c>
      <c r="AB1456" s="19">
        <f>IF(NOT(ISNUMBER($A1456)),NA(),IF(OR($A1456&lt;MIN(DKW_10Y!$A$2:$A$2918),$A1456&gt;MAX(DKW_10Y!$A$2:$A$2918),Settings!$B$16&lt;MIN(DKW_10Y!$A$2:$A$2918)),NA(),(INDEX(DKW_10Y!$H$2:$H$2918,MATCH($A1456,DKW_10Y!$A$2:$A$2918,1))-INDEX(DKW_10Y!$H$2:$H$2918,MATCH(Settings!$B$16,DKW_10Y!$A$2:$A$2918,1)))*100))</f>
        <v/>
      </c>
      <c r="AC1456" s="18">
        <f>IF(NOT(ISNUMBER($A1456)),NA(),IFERROR(1*INDEX(BBG_Data!$N$2:$N$4000,MATCH($A1456,BBG_Data!$M$2:$M$4000,0)),NA()))</f>
        <v/>
      </c>
      <c r="AD1456" s="18">
        <f>IF(NOT(ISNUMBER($A1456)),NA(),IFERROR(1*INDEX(BBG_Data!$P$2:$P$4000,MATCH($A1456,BBG_Data!$O$2:$O$4000,0)),NA()))</f>
        <v/>
      </c>
      <c r="AE1456" s="18">
        <f>IF(NOT(ISNUMBER($A1456)),NA(),IFERROR(1*INDEX(BBG_Data!$R$2:$R$4000,MATCH($A1456,BBG_Data!$Q$2:$Q$4000,0)),NA()))</f>
        <v/>
      </c>
      <c r="AF1456" s="20">
        <f>IF(AND(ISNUMBER(B1456),ISNUMBER(AC1456)),(B1456-AC1456)*100,NA())</f>
        <v/>
      </c>
      <c r="AG1456" s="20">
        <f>IF(AND(ISNUMBER(AE1456),ISNUMBER(AD1456)),(AE1456-AD1456)*100,NA())</f>
        <v/>
      </c>
      <c r="AH1456" s="19">
        <f>IF(NOT(ISNUMBER($A1456)),NA(),IFERROR(INDEX(BBG_Data!$T$2:$T$4000,MATCH($A1456,BBG_Data!$S$2:$S$4000,0))*Settings!$B$25,NA()))</f>
        <v/>
      </c>
      <c r="AI1456" s="19">
        <f>IF(NOT(ISNUMBER($A1456)),NA(),IFERROR(INDEX(BBG_Data!$V$2:$V$4000,MATCH($A1456,BBG_Data!$U$2:$U$4000,0))*Settings!$B$25,NA()))</f>
        <v/>
      </c>
      <c r="AJ1456" s="19">
        <f>IF(NOT(ISNUMBER($A1456)),NA(),IFERROR(1*INDEX(BBG_Data!$X$2:$X$4000,MATCH($A1456,BBG_Data!$W$2:$W$4000,0)),NA()))</f>
        <v/>
      </c>
      <c r="AK1456" s="19">
        <f>IF(NOT(ISNUMBER($A1456)),NA(),IFERROR(1*INDEX(BBG_Data!$Z$2:$Z$4000,MATCH($A1456,BBG_Data!$Y$2:$Y$4000,0)),NA()))</f>
        <v/>
      </c>
    </row>
    <row r="1457">
      <c r="A1457" s="17">
        <f>IF(ISNUMBER(BBG_Data!A1457),BBG_Data!A1457,"")</f>
        <v/>
      </c>
      <c r="B1457" s="18">
        <f>IF(AND(ISNUMBER($A1457),ISNUMBER(BBG_Data!B1457)),BBG_Data!B1457,NA())</f>
        <v/>
      </c>
      <c r="C1457" s="18">
        <f>IF(NOT(ISNUMBER($A1457)),NA(),IFERROR(1*INDEX(BBG_Data!$D$2:$D$4000,MATCH($A1457,BBG_Data!$C$2:$C$4000,0)),NA()))</f>
        <v/>
      </c>
      <c r="D1457" s="19">
        <f>IF(NOT(ISNUMBER($A1457)),NA(),IFERROR(1*INDEX(BBG_Data!$F$2:$F$4000,MATCH($A1457,BBG_Data!$E$2:$E$4000,0)),NA()))</f>
        <v/>
      </c>
      <c r="E1457" s="19">
        <f>IF(NOT(ISNUMBER($A1457)),NA(),IFERROR(1*INDEX(BBG_Data!$H$2:$H$4000,MATCH($A1457,BBG_Data!$G$2:$G$4000,0)),NA()))</f>
        <v/>
      </c>
      <c r="F1457" s="20">
        <f>IF(AND(ISNUMBER(B1457),ISNUMBER(B1456)),IF(B1457=B1456,"",(B1457-B1456)*100),"")</f>
        <v/>
      </c>
      <c r="G1457" s="20">
        <f>IF(AND(ISNUMBER(C1457),ISNUMBER(C1456)),IF(C1457=C1456,"",(C1457-C1456)*100),"")</f>
        <v/>
      </c>
      <c r="H1457" s="20">
        <f>IF(OR(NOT(ISNUMBER($A1457)),ROW()-2&lt;Settings!$B$11),NA(),IF(COUNT(OFFSET(F1457,1-Settings!$B$11,0,Settings!$B$11,1))&lt;ROUNDUP(Settings!$B$11*Settings!$B$26,0),NA(),STDEV(OFFSET(F1457,1-Settings!$B$11,0,Settings!$B$11,1))*SQRT(Settings!$B$13)))</f>
        <v/>
      </c>
      <c r="I1457" s="20">
        <f>IF(OR(NOT(ISNUMBER($A1457)),ROW()-2&lt;Settings!$B$12),NA(),IF(COUNT(OFFSET(F1457,1-Settings!$B$12,0,Settings!$B$12,1))&lt;ROUNDUP(Settings!$B$12*Settings!$B$26,0),NA(),STDEV(OFFSET(F1457,1-Settings!$B$12,0,Settings!$B$12,1))*SQRT(Settings!$B$13)))</f>
        <v/>
      </c>
      <c r="J1457" s="20">
        <f>IF(OR(NOT(ISNUMBER($A1457)),ROW()-2&lt;Settings!$B$11),NA(),IF(COUNT(OFFSET(G1457,1-Settings!$B$11,0,Settings!$B$11,1))&lt;ROUNDUP(Settings!$B$11*Settings!$B$26,0),NA(),STDEV(OFFSET(G1457,1-Settings!$B$11,0,Settings!$B$11,1))*SQRT(Settings!$B$13)))</f>
        <v/>
      </c>
      <c r="K1457" s="20">
        <f>IF(OR(NOT(ISNUMBER($A1457)),ROW()-2&lt;Settings!$B$12),NA(),IF(COUNT(OFFSET(G1457,1-Settings!$B$12,0,Settings!$B$12,1))&lt;ROUNDUP(Settings!$B$12*Settings!$B$26,0),NA(),STDEV(OFFSET(G1457,1-Settings!$B$12,0,Settings!$B$12,1))*SQRT(Settings!$B$13)))</f>
        <v/>
      </c>
      <c r="L1457" s="20">
        <f>IF(AND(ISNUMBER(D1457),ISNUMBER(H1457)),D1457-H1457,NA())</f>
        <v/>
      </c>
      <c r="M1457" s="20">
        <f>IF(AND(ISNUMBER(E1457),ISNUMBER(K1457)),E1457-K1457,NA())</f>
        <v/>
      </c>
      <c r="N1457" s="20">
        <f>IF(NOT(ISNUMBER($A1457)),NA(),IF(COUNT(OFFSET(G1457,1,0,Settings!$B$12,1))&lt;ROUNDUP(Settings!$B$12*Settings!$B$26,0),NA(),STDEV(OFFSET(G1457,1,0,Settings!$B$12,1))*SQRT(Settings!$B$13)))</f>
        <v/>
      </c>
      <c r="O1457" s="20">
        <f>IF(AND(ISNUMBER(E1457),ISNUMBER(N1457)),E1457-N1457,NA())</f>
        <v/>
      </c>
      <c r="P1457" s="19">
        <f>IF(NOT(ISNUMBER($A1457)),NA(),IF(OR($A1457&lt;MIN(KW_TP!$A$2:$A$2501),$A1457&gt;MAX(KW_TP!$A$2:$A$2501)),NA(),INDEX(KW_TP!$C$2:$C$2501,MATCH($A1457,KW_TP!$A$2:$A$2501,1))))</f>
        <v/>
      </c>
      <c r="Q1457" s="18">
        <f>IF(NOT(ISNUMBER($A1457)),NA(),IFERROR(1*INDEX(BBG_Data!$J$2:$J$4000,MATCH($A1457,BBG_Data!$I$2:$I$4000,0)),NA()))</f>
        <v/>
      </c>
      <c r="R1457" s="18">
        <f>IF(NOT(ISNUMBER($A1457)),NA(),IFERROR(1*INDEX(BBG_Data!$L$2:$L$4000,MATCH($A1457,BBG_Data!$K$2:$K$4000,0)),NA()))</f>
        <v/>
      </c>
      <c r="S1457" s="20">
        <f>IF(AND(ISNUMBER(B1457),ISNUMBER(Q1457),ISNUMBER(R1457)),(B1457-Q1457-R1457)*100,NA())</f>
        <v/>
      </c>
      <c r="T1457" s="20">
        <f>IF(AND(ISNUMBER(B1457),Settings!$B$17&gt;0),IF(ISNUMBER(INDEX($B:$B,Settings!$B$17)),(B1457-INDEX($B:$B,Settings!$B$17))*100,NA()),NA())</f>
        <v/>
      </c>
      <c r="U1457" s="20">
        <f>IF(AND(ISNUMBER(Q1457),Settings!$B$17&gt;0),IF(ISNUMBER(INDEX($Q:$Q,Settings!$B$17)),(Q1457-INDEX($Q:$Q,Settings!$B$17))*100,NA()),NA())</f>
        <v/>
      </c>
      <c r="V1457" s="20">
        <f>IF(AND(ISNUMBER(R1457),Settings!$B$17&gt;0),IF(ISNUMBER(INDEX($R:$R,Settings!$B$17)),(R1457-INDEX($R:$R,Settings!$B$17))*100,NA()),NA())</f>
        <v/>
      </c>
      <c r="W1457" s="20">
        <f>IF(AND(ISNUMBER(P1457),Settings!$B$17&gt;0),IF(ISNUMBER(INDEX($P:$P,Settings!$B$17)),P1457-INDEX($P:$P,Settings!$B$17),NA()),NA())</f>
        <v/>
      </c>
      <c r="X1457" s="19">
        <f>IF(NOT(ISNUMBER($A1457)),NA(),IF(OR($A1457&lt;MIN(DKW_10Y!$A$2:$A$2918),$A1457&gt;MAX(DKW_10Y!$A$2:$A$2918),Settings!$B$16&lt;MIN(DKW_10Y!$A$2:$A$2918)),NA(),(INDEX(DKW_10Y!$B$2:$B$2918,MATCH($A1457,DKW_10Y!$A$2:$A$2918,1))-INDEX(DKW_10Y!$B$2:$B$2918,MATCH(Settings!$B$16,DKW_10Y!$A$2:$A$2918,1)))*100))</f>
        <v/>
      </c>
      <c r="Y1457" s="19">
        <f>IF(NOT(ISNUMBER($A1457)),NA(),IF(OR($A1457&lt;MIN(DKW_10Y!$A$2:$A$2918),$A1457&gt;MAX(DKW_10Y!$A$2:$A$2918),Settings!$B$16&lt;MIN(DKW_10Y!$A$2:$A$2918)),NA(),(INDEX(DKW_10Y!$C$2:$C$2918,MATCH($A1457,DKW_10Y!$A$2:$A$2918,1))-INDEX(DKW_10Y!$C$2:$C$2918,MATCH(Settings!$B$16,DKW_10Y!$A$2:$A$2918,1)))*100))</f>
        <v/>
      </c>
      <c r="Z1457" s="19">
        <f>IF(NOT(ISNUMBER($A1457)),NA(),IF(OR($A1457&lt;MIN(DKW_10Y!$A$2:$A$2918),$A1457&gt;MAX(DKW_10Y!$A$2:$A$2918),Settings!$B$16&lt;MIN(DKW_10Y!$A$2:$A$2918)),NA(),(INDEX(DKW_10Y!$D$2:$D$2918,MATCH($A1457,DKW_10Y!$A$2:$A$2918,1))-INDEX(DKW_10Y!$D$2:$D$2918,MATCH(Settings!$B$16,DKW_10Y!$A$2:$A$2918,1)))*100))</f>
        <v/>
      </c>
      <c r="AA1457" s="19">
        <f>IF(NOT(ISNUMBER($A1457)),NA(),IF(OR($A1457&lt;MIN(DKW_10Y!$A$2:$A$2918),$A1457&gt;MAX(DKW_10Y!$A$2:$A$2918),Settings!$B$16&lt;MIN(DKW_10Y!$A$2:$A$2918)),NA(),(INDEX(DKW_10Y!$E$2:$E$2918,MATCH($A1457,DKW_10Y!$A$2:$A$2918,1))-INDEX(DKW_10Y!$E$2:$E$2918,MATCH(Settings!$B$16,DKW_10Y!$A$2:$A$2918,1)))*100))</f>
        <v/>
      </c>
      <c r="AB1457" s="19">
        <f>IF(NOT(ISNUMBER($A1457)),NA(),IF(OR($A1457&lt;MIN(DKW_10Y!$A$2:$A$2918),$A1457&gt;MAX(DKW_10Y!$A$2:$A$2918),Settings!$B$16&lt;MIN(DKW_10Y!$A$2:$A$2918)),NA(),(INDEX(DKW_10Y!$H$2:$H$2918,MATCH($A1457,DKW_10Y!$A$2:$A$2918,1))-INDEX(DKW_10Y!$H$2:$H$2918,MATCH(Settings!$B$16,DKW_10Y!$A$2:$A$2918,1)))*100))</f>
        <v/>
      </c>
      <c r="AC1457" s="18">
        <f>IF(NOT(ISNUMBER($A1457)),NA(),IFERROR(1*INDEX(BBG_Data!$N$2:$N$4000,MATCH($A1457,BBG_Data!$M$2:$M$4000,0)),NA()))</f>
        <v/>
      </c>
      <c r="AD1457" s="18">
        <f>IF(NOT(ISNUMBER($A1457)),NA(),IFERROR(1*INDEX(BBG_Data!$P$2:$P$4000,MATCH($A1457,BBG_Data!$O$2:$O$4000,0)),NA()))</f>
        <v/>
      </c>
      <c r="AE1457" s="18">
        <f>IF(NOT(ISNUMBER($A1457)),NA(),IFERROR(1*INDEX(BBG_Data!$R$2:$R$4000,MATCH($A1457,BBG_Data!$Q$2:$Q$4000,0)),NA()))</f>
        <v/>
      </c>
      <c r="AF1457" s="20">
        <f>IF(AND(ISNUMBER(B1457),ISNUMBER(AC1457)),(B1457-AC1457)*100,NA())</f>
        <v/>
      </c>
      <c r="AG1457" s="20">
        <f>IF(AND(ISNUMBER(AE1457),ISNUMBER(AD1457)),(AE1457-AD1457)*100,NA())</f>
        <v/>
      </c>
      <c r="AH1457" s="19">
        <f>IF(NOT(ISNUMBER($A1457)),NA(),IFERROR(INDEX(BBG_Data!$T$2:$T$4000,MATCH($A1457,BBG_Data!$S$2:$S$4000,0))*Settings!$B$25,NA()))</f>
        <v/>
      </c>
      <c r="AI1457" s="19">
        <f>IF(NOT(ISNUMBER($A1457)),NA(),IFERROR(INDEX(BBG_Data!$V$2:$V$4000,MATCH($A1457,BBG_Data!$U$2:$U$4000,0))*Settings!$B$25,NA()))</f>
        <v/>
      </c>
      <c r="AJ1457" s="19">
        <f>IF(NOT(ISNUMBER($A1457)),NA(),IFERROR(1*INDEX(BBG_Data!$X$2:$X$4000,MATCH($A1457,BBG_Data!$W$2:$W$4000,0)),NA()))</f>
        <v/>
      </c>
      <c r="AK1457" s="19">
        <f>IF(NOT(ISNUMBER($A1457)),NA(),IFERROR(1*INDEX(BBG_Data!$Z$2:$Z$4000,MATCH($A1457,BBG_Data!$Y$2:$Y$4000,0)),NA()))</f>
        <v/>
      </c>
    </row>
    <row r="1458">
      <c r="A1458" s="17">
        <f>IF(ISNUMBER(BBG_Data!A1458),BBG_Data!A1458,"")</f>
        <v/>
      </c>
      <c r="B1458" s="18">
        <f>IF(AND(ISNUMBER($A1458),ISNUMBER(BBG_Data!B1458)),BBG_Data!B1458,NA())</f>
        <v/>
      </c>
      <c r="C1458" s="18">
        <f>IF(NOT(ISNUMBER($A1458)),NA(),IFERROR(1*INDEX(BBG_Data!$D$2:$D$4000,MATCH($A1458,BBG_Data!$C$2:$C$4000,0)),NA()))</f>
        <v/>
      </c>
      <c r="D1458" s="19">
        <f>IF(NOT(ISNUMBER($A1458)),NA(),IFERROR(1*INDEX(BBG_Data!$F$2:$F$4000,MATCH($A1458,BBG_Data!$E$2:$E$4000,0)),NA()))</f>
        <v/>
      </c>
      <c r="E1458" s="19">
        <f>IF(NOT(ISNUMBER($A1458)),NA(),IFERROR(1*INDEX(BBG_Data!$H$2:$H$4000,MATCH($A1458,BBG_Data!$G$2:$G$4000,0)),NA()))</f>
        <v/>
      </c>
      <c r="F1458" s="20">
        <f>IF(AND(ISNUMBER(B1458),ISNUMBER(B1457)),IF(B1458=B1457,"",(B1458-B1457)*100),"")</f>
        <v/>
      </c>
      <c r="G1458" s="20">
        <f>IF(AND(ISNUMBER(C1458),ISNUMBER(C1457)),IF(C1458=C1457,"",(C1458-C1457)*100),"")</f>
        <v/>
      </c>
      <c r="H1458" s="20">
        <f>IF(OR(NOT(ISNUMBER($A1458)),ROW()-2&lt;Settings!$B$11),NA(),IF(COUNT(OFFSET(F1458,1-Settings!$B$11,0,Settings!$B$11,1))&lt;ROUNDUP(Settings!$B$11*Settings!$B$26,0),NA(),STDEV(OFFSET(F1458,1-Settings!$B$11,0,Settings!$B$11,1))*SQRT(Settings!$B$13)))</f>
        <v/>
      </c>
      <c r="I1458" s="20">
        <f>IF(OR(NOT(ISNUMBER($A1458)),ROW()-2&lt;Settings!$B$12),NA(),IF(COUNT(OFFSET(F1458,1-Settings!$B$12,0,Settings!$B$12,1))&lt;ROUNDUP(Settings!$B$12*Settings!$B$26,0),NA(),STDEV(OFFSET(F1458,1-Settings!$B$12,0,Settings!$B$12,1))*SQRT(Settings!$B$13)))</f>
        <v/>
      </c>
      <c r="J1458" s="20">
        <f>IF(OR(NOT(ISNUMBER($A1458)),ROW()-2&lt;Settings!$B$11),NA(),IF(COUNT(OFFSET(G1458,1-Settings!$B$11,0,Settings!$B$11,1))&lt;ROUNDUP(Settings!$B$11*Settings!$B$26,0),NA(),STDEV(OFFSET(G1458,1-Settings!$B$11,0,Settings!$B$11,1))*SQRT(Settings!$B$13)))</f>
        <v/>
      </c>
      <c r="K1458" s="20">
        <f>IF(OR(NOT(ISNUMBER($A1458)),ROW()-2&lt;Settings!$B$12),NA(),IF(COUNT(OFFSET(G1458,1-Settings!$B$12,0,Settings!$B$12,1))&lt;ROUNDUP(Settings!$B$12*Settings!$B$26,0),NA(),STDEV(OFFSET(G1458,1-Settings!$B$12,0,Settings!$B$12,1))*SQRT(Settings!$B$13)))</f>
        <v/>
      </c>
      <c r="L1458" s="20">
        <f>IF(AND(ISNUMBER(D1458),ISNUMBER(H1458)),D1458-H1458,NA())</f>
        <v/>
      </c>
      <c r="M1458" s="20">
        <f>IF(AND(ISNUMBER(E1458),ISNUMBER(K1458)),E1458-K1458,NA())</f>
        <v/>
      </c>
      <c r="N1458" s="20">
        <f>IF(NOT(ISNUMBER($A1458)),NA(),IF(COUNT(OFFSET(G1458,1,0,Settings!$B$12,1))&lt;ROUNDUP(Settings!$B$12*Settings!$B$26,0),NA(),STDEV(OFFSET(G1458,1,0,Settings!$B$12,1))*SQRT(Settings!$B$13)))</f>
        <v/>
      </c>
      <c r="O1458" s="20">
        <f>IF(AND(ISNUMBER(E1458),ISNUMBER(N1458)),E1458-N1458,NA())</f>
        <v/>
      </c>
      <c r="P1458" s="19">
        <f>IF(NOT(ISNUMBER($A1458)),NA(),IF(OR($A1458&lt;MIN(KW_TP!$A$2:$A$2501),$A1458&gt;MAX(KW_TP!$A$2:$A$2501)),NA(),INDEX(KW_TP!$C$2:$C$2501,MATCH($A1458,KW_TP!$A$2:$A$2501,1))))</f>
        <v/>
      </c>
      <c r="Q1458" s="18">
        <f>IF(NOT(ISNUMBER($A1458)),NA(),IFERROR(1*INDEX(BBG_Data!$J$2:$J$4000,MATCH($A1458,BBG_Data!$I$2:$I$4000,0)),NA()))</f>
        <v/>
      </c>
      <c r="R1458" s="18">
        <f>IF(NOT(ISNUMBER($A1458)),NA(),IFERROR(1*INDEX(BBG_Data!$L$2:$L$4000,MATCH($A1458,BBG_Data!$K$2:$K$4000,0)),NA()))</f>
        <v/>
      </c>
      <c r="S1458" s="20">
        <f>IF(AND(ISNUMBER(B1458),ISNUMBER(Q1458),ISNUMBER(R1458)),(B1458-Q1458-R1458)*100,NA())</f>
        <v/>
      </c>
      <c r="T1458" s="20">
        <f>IF(AND(ISNUMBER(B1458),Settings!$B$17&gt;0),IF(ISNUMBER(INDEX($B:$B,Settings!$B$17)),(B1458-INDEX($B:$B,Settings!$B$17))*100,NA()),NA())</f>
        <v/>
      </c>
      <c r="U1458" s="20">
        <f>IF(AND(ISNUMBER(Q1458),Settings!$B$17&gt;0),IF(ISNUMBER(INDEX($Q:$Q,Settings!$B$17)),(Q1458-INDEX($Q:$Q,Settings!$B$17))*100,NA()),NA())</f>
        <v/>
      </c>
      <c r="V1458" s="20">
        <f>IF(AND(ISNUMBER(R1458),Settings!$B$17&gt;0),IF(ISNUMBER(INDEX($R:$R,Settings!$B$17)),(R1458-INDEX($R:$R,Settings!$B$17))*100,NA()),NA())</f>
        <v/>
      </c>
      <c r="W1458" s="20">
        <f>IF(AND(ISNUMBER(P1458),Settings!$B$17&gt;0),IF(ISNUMBER(INDEX($P:$P,Settings!$B$17)),P1458-INDEX($P:$P,Settings!$B$17),NA()),NA())</f>
        <v/>
      </c>
      <c r="X1458" s="19">
        <f>IF(NOT(ISNUMBER($A1458)),NA(),IF(OR($A1458&lt;MIN(DKW_10Y!$A$2:$A$2918),$A1458&gt;MAX(DKW_10Y!$A$2:$A$2918),Settings!$B$16&lt;MIN(DKW_10Y!$A$2:$A$2918)),NA(),(INDEX(DKW_10Y!$B$2:$B$2918,MATCH($A1458,DKW_10Y!$A$2:$A$2918,1))-INDEX(DKW_10Y!$B$2:$B$2918,MATCH(Settings!$B$16,DKW_10Y!$A$2:$A$2918,1)))*100))</f>
        <v/>
      </c>
      <c r="Y1458" s="19">
        <f>IF(NOT(ISNUMBER($A1458)),NA(),IF(OR($A1458&lt;MIN(DKW_10Y!$A$2:$A$2918),$A1458&gt;MAX(DKW_10Y!$A$2:$A$2918),Settings!$B$16&lt;MIN(DKW_10Y!$A$2:$A$2918)),NA(),(INDEX(DKW_10Y!$C$2:$C$2918,MATCH($A1458,DKW_10Y!$A$2:$A$2918,1))-INDEX(DKW_10Y!$C$2:$C$2918,MATCH(Settings!$B$16,DKW_10Y!$A$2:$A$2918,1)))*100))</f>
        <v/>
      </c>
      <c r="Z1458" s="19">
        <f>IF(NOT(ISNUMBER($A1458)),NA(),IF(OR($A1458&lt;MIN(DKW_10Y!$A$2:$A$2918),$A1458&gt;MAX(DKW_10Y!$A$2:$A$2918),Settings!$B$16&lt;MIN(DKW_10Y!$A$2:$A$2918)),NA(),(INDEX(DKW_10Y!$D$2:$D$2918,MATCH($A1458,DKW_10Y!$A$2:$A$2918,1))-INDEX(DKW_10Y!$D$2:$D$2918,MATCH(Settings!$B$16,DKW_10Y!$A$2:$A$2918,1)))*100))</f>
        <v/>
      </c>
      <c r="AA1458" s="19">
        <f>IF(NOT(ISNUMBER($A1458)),NA(),IF(OR($A1458&lt;MIN(DKW_10Y!$A$2:$A$2918),$A1458&gt;MAX(DKW_10Y!$A$2:$A$2918),Settings!$B$16&lt;MIN(DKW_10Y!$A$2:$A$2918)),NA(),(INDEX(DKW_10Y!$E$2:$E$2918,MATCH($A1458,DKW_10Y!$A$2:$A$2918,1))-INDEX(DKW_10Y!$E$2:$E$2918,MATCH(Settings!$B$16,DKW_10Y!$A$2:$A$2918,1)))*100))</f>
        <v/>
      </c>
      <c r="AB1458" s="19">
        <f>IF(NOT(ISNUMBER($A1458)),NA(),IF(OR($A1458&lt;MIN(DKW_10Y!$A$2:$A$2918),$A1458&gt;MAX(DKW_10Y!$A$2:$A$2918),Settings!$B$16&lt;MIN(DKW_10Y!$A$2:$A$2918)),NA(),(INDEX(DKW_10Y!$H$2:$H$2918,MATCH($A1458,DKW_10Y!$A$2:$A$2918,1))-INDEX(DKW_10Y!$H$2:$H$2918,MATCH(Settings!$B$16,DKW_10Y!$A$2:$A$2918,1)))*100))</f>
        <v/>
      </c>
      <c r="AC1458" s="18">
        <f>IF(NOT(ISNUMBER($A1458)),NA(),IFERROR(1*INDEX(BBG_Data!$N$2:$N$4000,MATCH($A1458,BBG_Data!$M$2:$M$4000,0)),NA()))</f>
        <v/>
      </c>
      <c r="AD1458" s="18">
        <f>IF(NOT(ISNUMBER($A1458)),NA(),IFERROR(1*INDEX(BBG_Data!$P$2:$P$4000,MATCH($A1458,BBG_Data!$O$2:$O$4000,0)),NA()))</f>
        <v/>
      </c>
      <c r="AE1458" s="18">
        <f>IF(NOT(ISNUMBER($A1458)),NA(),IFERROR(1*INDEX(BBG_Data!$R$2:$R$4000,MATCH($A1458,BBG_Data!$Q$2:$Q$4000,0)),NA()))</f>
        <v/>
      </c>
      <c r="AF1458" s="20">
        <f>IF(AND(ISNUMBER(B1458),ISNUMBER(AC1458)),(B1458-AC1458)*100,NA())</f>
        <v/>
      </c>
      <c r="AG1458" s="20">
        <f>IF(AND(ISNUMBER(AE1458),ISNUMBER(AD1458)),(AE1458-AD1458)*100,NA())</f>
        <v/>
      </c>
      <c r="AH1458" s="19">
        <f>IF(NOT(ISNUMBER($A1458)),NA(),IFERROR(INDEX(BBG_Data!$T$2:$T$4000,MATCH($A1458,BBG_Data!$S$2:$S$4000,0))*Settings!$B$25,NA()))</f>
        <v/>
      </c>
      <c r="AI1458" s="19">
        <f>IF(NOT(ISNUMBER($A1458)),NA(),IFERROR(INDEX(BBG_Data!$V$2:$V$4000,MATCH($A1458,BBG_Data!$U$2:$U$4000,0))*Settings!$B$25,NA()))</f>
        <v/>
      </c>
      <c r="AJ1458" s="19">
        <f>IF(NOT(ISNUMBER($A1458)),NA(),IFERROR(1*INDEX(BBG_Data!$X$2:$X$4000,MATCH($A1458,BBG_Data!$W$2:$W$4000,0)),NA()))</f>
        <v/>
      </c>
      <c r="AK1458" s="19">
        <f>IF(NOT(ISNUMBER($A1458)),NA(),IFERROR(1*INDEX(BBG_Data!$Z$2:$Z$4000,MATCH($A1458,BBG_Data!$Y$2:$Y$4000,0)),NA()))</f>
        <v/>
      </c>
    </row>
    <row r="1459">
      <c r="A1459" s="17">
        <f>IF(ISNUMBER(BBG_Data!A1459),BBG_Data!A1459,"")</f>
        <v/>
      </c>
      <c r="B1459" s="18">
        <f>IF(AND(ISNUMBER($A1459),ISNUMBER(BBG_Data!B1459)),BBG_Data!B1459,NA())</f>
        <v/>
      </c>
      <c r="C1459" s="18">
        <f>IF(NOT(ISNUMBER($A1459)),NA(),IFERROR(1*INDEX(BBG_Data!$D$2:$D$4000,MATCH($A1459,BBG_Data!$C$2:$C$4000,0)),NA()))</f>
        <v/>
      </c>
      <c r="D1459" s="19">
        <f>IF(NOT(ISNUMBER($A1459)),NA(),IFERROR(1*INDEX(BBG_Data!$F$2:$F$4000,MATCH($A1459,BBG_Data!$E$2:$E$4000,0)),NA()))</f>
        <v/>
      </c>
      <c r="E1459" s="19">
        <f>IF(NOT(ISNUMBER($A1459)),NA(),IFERROR(1*INDEX(BBG_Data!$H$2:$H$4000,MATCH($A1459,BBG_Data!$G$2:$G$4000,0)),NA()))</f>
        <v/>
      </c>
      <c r="F1459" s="20">
        <f>IF(AND(ISNUMBER(B1459),ISNUMBER(B1458)),IF(B1459=B1458,"",(B1459-B1458)*100),"")</f>
        <v/>
      </c>
      <c r="G1459" s="20">
        <f>IF(AND(ISNUMBER(C1459),ISNUMBER(C1458)),IF(C1459=C1458,"",(C1459-C1458)*100),"")</f>
        <v/>
      </c>
      <c r="H1459" s="20">
        <f>IF(OR(NOT(ISNUMBER($A1459)),ROW()-2&lt;Settings!$B$11),NA(),IF(COUNT(OFFSET(F1459,1-Settings!$B$11,0,Settings!$B$11,1))&lt;ROUNDUP(Settings!$B$11*Settings!$B$26,0),NA(),STDEV(OFFSET(F1459,1-Settings!$B$11,0,Settings!$B$11,1))*SQRT(Settings!$B$13)))</f>
        <v/>
      </c>
      <c r="I1459" s="20">
        <f>IF(OR(NOT(ISNUMBER($A1459)),ROW()-2&lt;Settings!$B$12),NA(),IF(COUNT(OFFSET(F1459,1-Settings!$B$12,0,Settings!$B$12,1))&lt;ROUNDUP(Settings!$B$12*Settings!$B$26,0),NA(),STDEV(OFFSET(F1459,1-Settings!$B$12,0,Settings!$B$12,1))*SQRT(Settings!$B$13)))</f>
        <v/>
      </c>
      <c r="J1459" s="20">
        <f>IF(OR(NOT(ISNUMBER($A1459)),ROW()-2&lt;Settings!$B$11),NA(),IF(COUNT(OFFSET(G1459,1-Settings!$B$11,0,Settings!$B$11,1))&lt;ROUNDUP(Settings!$B$11*Settings!$B$26,0),NA(),STDEV(OFFSET(G1459,1-Settings!$B$11,0,Settings!$B$11,1))*SQRT(Settings!$B$13)))</f>
        <v/>
      </c>
      <c r="K1459" s="20">
        <f>IF(OR(NOT(ISNUMBER($A1459)),ROW()-2&lt;Settings!$B$12),NA(),IF(COUNT(OFFSET(G1459,1-Settings!$B$12,0,Settings!$B$12,1))&lt;ROUNDUP(Settings!$B$12*Settings!$B$26,0),NA(),STDEV(OFFSET(G1459,1-Settings!$B$12,0,Settings!$B$12,1))*SQRT(Settings!$B$13)))</f>
        <v/>
      </c>
      <c r="L1459" s="20">
        <f>IF(AND(ISNUMBER(D1459),ISNUMBER(H1459)),D1459-H1459,NA())</f>
        <v/>
      </c>
      <c r="M1459" s="20">
        <f>IF(AND(ISNUMBER(E1459),ISNUMBER(K1459)),E1459-K1459,NA())</f>
        <v/>
      </c>
      <c r="N1459" s="20">
        <f>IF(NOT(ISNUMBER($A1459)),NA(),IF(COUNT(OFFSET(G1459,1,0,Settings!$B$12,1))&lt;ROUNDUP(Settings!$B$12*Settings!$B$26,0),NA(),STDEV(OFFSET(G1459,1,0,Settings!$B$12,1))*SQRT(Settings!$B$13)))</f>
        <v/>
      </c>
      <c r="O1459" s="20">
        <f>IF(AND(ISNUMBER(E1459),ISNUMBER(N1459)),E1459-N1459,NA())</f>
        <v/>
      </c>
      <c r="P1459" s="19">
        <f>IF(NOT(ISNUMBER($A1459)),NA(),IF(OR($A1459&lt;MIN(KW_TP!$A$2:$A$2501),$A1459&gt;MAX(KW_TP!$A$2:$A$2501)),NA(),INDEX(KW_TP!$C$2:$C$2501,MATCH($A1459,KW_TP!$A$2:$A$2501,1))))</f>
        <v/>
      </c>
      <c r="Q1459" s="18">
        <f>IF(NOT(ISNUMBER($A1459)),NA(),IFERROR(1*INDEX(BBG_Data!$J$2:$J$4000,MATCH($A1459,BBG_Data!$I$2:$I$4000,0)),NA()))</f>
        <v/>
      </c>
      <c r="R1459" s="18">
        <f>IF(NOT(ISNUMBER($A1459)),NA(),IFERROR(1*INDEX(BBG_Data!$L$2:$L$4000,MATCH($A1459,BBG_Data!$K$2:$K$4000,0)),NA()))</f>
        <v/>
      </c>
      <c r="S1459" s="20">
        <f>IF(AND(ISNUMBER(B1459),ISNUMBER(Q1459),ISNUMBER(R1459)),(B1459-Q1459-R1459)*100,NA())</f>
        <v/>
      </c>
      <c r="T1459" s="20">
        <f>IF(AND(ISNUMBER(B1459),Settings!$B$17&gt;0),IF(ISNUMBER(INDEX($B:$B,Settings!$B$17)),(B1459-INDEX($B:$B,Settings!$B$17))*100,NA()),NA())</f>
        <v/>
      </c>
      <c r="U1459" s="20">
        <f>IF(AND(ISNUMBER(Q1459),Settings!$B$17&gt;0),IF(ISNUMBER(INDEX($Q:$Q,Settings!$B$17)),(Q1459-INDEX($Q:$Q,Settings!$B$17))*100,NA()),NA())</f>
        <v/>
      </c>
      <c r="V1459" s="20">
        <f>IF(AND(ISNUMBER(R1459),Settings!$B$17&gt;0),IF(ISNUMBER(INDEX($R:$R,Settings!$B$17)),(R1459-INDEX($R:$R,Settings!$B$17))*100,NA()),NA())</f>
        <v/>
      </c>
      <c r="W1459" s="20">
        <f>IF(AND(ISNUMBER(P1459),Settings!$B$17&gt;0),IF(ISNUMBER(INDEX($P:$P,Settings!$B$17)),P1459-INDEX($P:$P,Settings!$B$17),NA()),NA())</f>
        <v/>
      </c>
      <c r="X1459" s="19">
        <f>IF(NOT(ISNUMBER($A1459)),NA(),IF(OR($A1459&lt;MIN(DKW_10Y!$A$2:$A$2918),$A1459&gt;MAX(DKW_10Y!$A$2:$A$2918),Settings!$B$16&lt;MIN(DKW_10Y!$A$2:$A$2918)),NA(),(INDEX(DKW_10Y!$B$2:$B$2918,MATCH($A1459,DKW_10Y!$A$2:$A$2918,1))-INDEX(DKW_10Y!$B$2:$B$2918,MATCH(Settings!$B$16,DKW_10Y!$A$2:$A$2918,1)))*100))</f>
        <v/>
      </c>
      <c r="Y1459" s="19">
        <f>IF(NOT(ISNUMBER($A1459)),NA(),IF(OR($A1459&lt;MIN(DKW_10Y!$A$2:$A$2918),$A1459&gt;MAX(DKW_10Y!$A$2:$A$2918),Settings!$B$16&lt;MIN(DKW_10Y!$A$2:$A$2918)),NA(),(INDEX(DKW_10Y!$C$2:$C$2918,MATCH($A1459,DKW_10Y!$A$2:$A$2918,1))-INDEX(DKW_10Y!$C$2:$C$2918,MATCH(Settings!$B$16,DKW_10Y!$A$2:$A$2918,1)))*100))</f>
        <v/>
      </c>
      <c r="Z1459" s="19">
        <f>IF(NOT(ISNUMBER($A1459)),NA(),IF(OR($A1459&lt;MIN(DKW_10Y!$A$2:$A$2918),$A1459&gt;MAX(DKW_10Y!$A$2:$A$2918),Settings!$B$16&lt;MIN(DKW_10Y!$A$2:$A$2918)),NA(),(INDEX(DKW_10Y!$D$2:$D$2918,MATCH($A1459,DKW_10Y!$A$2:$A$2918,1))-INDEX(DKW_10Y!$D$2:$D$2918,MATCH(Settings!$B$16,DKW_10Y!$A$2:$A$2918,1)))*100))</f>
        <v/>
      </c>
      <c r="AA1459" s="19">
        <f>IF(NOT(ISNUMBER($A1459)),NA(),IF(OR($A1459&lt;MIN(DKW_10Y!$A$2:$A$2918),$A1459&gt;MAX(DKW_10Y!$A$2:$A$2918),Settings!$B$16&lt;MIN(DKW_10Y!$A$2:$A$2918)),NA(),(INDEX(DKW_10Y!$E$2:$E$2918,MATCH($A1459,DKW_10Y!$A$2:$A$2918,1))-INDEX(DKW_10Y!$E$2:$E$2918,MATCH(Settings!$B$16,DKW_10Y!$A$2:$A$2918,1)))*100))</f>
        <v/>
      </c>
      <c r="AB1459" s="19">
        <f>IF(NOT(ISNUMBER($A1459)),NA(),IF(OR($A1459&lt;MIN(DKW_10Y!$A$2:$A$2918),$A1459&gt;MAX(DKW_10Y!$A$2:$A$2918),Settings!$B$16&lt;MIN(DKW_10Y!$A$2:$A$2918)),NA(),(INDEX(DKW_10Y!$H$2:$H$2918,MATCH($A1459,DKW_10Y!$A$2:$A$2918,1))-INDEX(DKW_10Y!$H$2:$H$2918,MATCH(Settings!$B$16,DKW_10Y!$A$2:$A$2918,1)))*100))</f>
        <v/>
      </c>
      <c r="AC1459" s="18">
        <f>IF(NOT(ISNUMBER($A1459)),NA(),IFERROR(1*INDEX(BBG_Data!$N$2:$N$4000,MATCH($A1459,BBG_Data!$M$2:$M$4000,0)),NA()))</f>
        <v/>
      </c>
      <c r="AD1459" s="18">
        <f>IF(NOT(ISNUMBER($A1459)),NA(),IFERROR(1*INDEX(BBG_Data!$P$2:$P$4000,MATCH($A1459,BBG_Data!$O$2:$O$4000,0)),NA()))</f>
        <v/>
      </c>
      <c r="AE1459" s="18">
        <f>IF(NOT(ISNUMBER($A1459)),NA(),IFERROR(1*INDEX(BBG_Data!$R$2:$R$4000,MATCH($A1459,BBG_Data!$Q$2:$Q$4000,0)),NA()))</f>
        <v/>
      </c>
      <c r="AF1459" s="20">
        <f>IF(AND(ISNUMBER(B1459),ISNUMBER(AC1459)),(B1459-AC1459)*100,NA())</f>
        <v/>
      </c>
      <c r="AG1459" s="20">
        <f>IF(AND(ISNUMBER(AE1459),ISNUMBER(AD1459)),(AE1459-AD1459)*100,NA())</f>
        <v/>
      </c>
      <c r="AH1459" s="19">
        <f>IF(NOT(ISNUMBER($A1459)),NA(),IFERROR(INDEX(BBG_Data!$T$2:$T$4000,MATCH($A1459,BBG_Data!$S$2:$S$4000,0))*Settings!$B$25,NA()))</f>
        <v/>
      </c>
      <c r="AI1459" s="19">
        <f>IF(NOT(ISNUMBER($A1459)),NA(),IFERROR(INDEX(BBG_Data!$V$2:$V$4000,MATCH($A1459,BBG_Data!$U$2:$U$4000,0))*Settings!$B$25,NA()))</f>
        <v/>
      </c>
      <c r="AJ1459" s="19">
        <f>IF(NOT(ISNUMBER($A1459)),NA(),IFERROR(1*INDEX(BBG_Data!$X$2:$X$4000,MATCH($A1459,BBG_Data!$W$2:$W$4000,0)),NA()))</f>
        <v/>
      </c>
      <c r="AK1459" s="19">
        <f>IF(NOT(ISNUMBER($A1459)),NA(),IFERROR(1*INDEX(BBG_Data!$Z$2:$Z$4000,MATCH($A1459,BBG_Data!$Y$2:$Y$4000,0)),NA()))</f>
        <v/>
      </c>
    </row>
    <row r="1460">
      <c r="A1460" s="17">
        <f>IF(ISNUMBER(BBG_Data!A1460),BBG_Data!A1460,"")</f>
        <v/>
      </c>
      <c r="B1460" s="18">
        <f>IF(AND(ISNUMBER($A1460),ISNUMBER(BBG_Data!B1460)),BBG_Data!B1460,NA())</f>
        <v/>
      </c>
      <c r="C1460" s="18">
        <f>IF(NOT(ISNUMBER($A1460)),NA(),IFERROR(1*INDEX(BBG_Data!$D$2:$D$4000,MATCH($A1460,BBG_Data!$C$2:$C$4000,0)),NA()))</f>
        <v/>
      </c>
      <c r="D1460" s="19">
        <f>IF(NOT(ISNUMBER($A1460)),NA(),IFERROR(1*INDEX(BBG_Data!$F$2:$F$4000,MATCH($A1460,BBG_Data!$E$2:$E$4000,0)),NA()))</f>
        <v/>
      </c>
      <c r="E1460" s="19">
        <f>IF(NOT(ISNUMBER($A1460)),NA(),IFERROR(1*INDEX(BBG_Data!$H$2:$H$4000,MATCH($A1460,BBG_Data!$G$2:$G$4000,0)),NA()))</f>
        <v/>
      </c>
      <c r="F1460" s="20">
        <f>IF(AND(ISNUMBER(B1460),ISNUMBER(B1459)),IF(B1460=B1459,"",(B1460-B1459)*100),"")</f>
        <v/>
      </c>
      <c r="G1460" s="20">
        <f>IF(AND(ISNUMBER(C1460),ISNUMBER(C1459)),IF(C1460=C1459,"",(C1460-C1459)*100),"")</f>
        <v/>
      </c>
      <c r="H1460" s="20">
        <f>IF(OR(NOT(ISNUMBER($A1460)),ROW()-2&lt;Settings!$B$11),NA(),IF(COUNT(OFFSET(F1460,1-Settings!$B$11,0,Settings!$B$11,1))&lt;ROUNDUP(Settings!$B$11*Settings!$B$26,0),NA(),STDEV(OFFSET(F1460,1-Settings!$B$11,0,Settings!$B$11,1))*SQRT(Settings!$B$13)))</f>
        <v/>
      </c>
      <c r="I1460" s="20">
        <f>IF(OR(NOT(ISNUMBER($A1460)),ROW()-2&lt;Settings!$B$12),NA(),IF(COUNT(OFFSET(F1460,1-Settings!$B$12,0,Settings!$B$12,1))&lt;ROUNDUP(Settings!$B$12*Settings!$B$26,0),NA(),STDEV(OFFSET(F1460,1-Settings!$B$12,0,Settings!$B$12,1))*SQRT(Settings!$B$13)))</f>
        <v/>
      </c>
      <c r="J1460" s="20">
        <f>IF(OR(NOT(ISNUMBER($A1460)),ROW()-2&lt;Settings!$B$11),NA(),IF(COUNT(OFFSET(G1460,1-Settings!$B$11,0,Settings!$B$11,1))&lt;ROUNDUP(Settings!$B$11*Settings!$B$26,0),NA(),STDEV(OFFSET(G1460,1-Settings!$B$11,0,Settings!$B$11,1))*SQRT(Settings!$B$13)))</f>
        <v/>
      </c>
      <c r="K1460" s="20">
        <f>IF(OR(NOT(ISNUMBER($A1460)),ROW()-2&lt;Settings!$B$12),NA(),IF(COUNT(OFFSET(G1460,1-Settings!$B$12,0,Settings!$B$12,1))&lt;ROUNDUP(Settings!$B$12*Settings!$B$26,0),NA(),STDEV(OFFSET(G1460,1-Settings!$B$12,0,Settings!$B$12,1))*SQRT(Settings!$B$13)))</f>
        <v/>
      </c>
      <c r="L1460" s="20">
        <f>IF(AND(ISNUMBER(D1460),ISNUMBER(H1460)),D1460-H1460,NA())</f>
        <v/>
      </c>
      <c r="M1460" s="20">
        <f>IF(AND(ISNUMBER(E1460),ISNUMBER(K1460)),E1460-K1460,NA())</f>
        <v/>
      </c>
      <c r="N1460" s="20">
        <f>IF(NOT(ISNUMBER($A1460)),NA(),IF(COUNT(OFFSET(G1460,1,0,Settings!$B$12,1))&lt;ROUNDUP(Settings!$B$12*Settings!$B$26,0),NA(),STDEV(OFFSET(G1460,1,0,Settings!$B$12,1))*SQRT(Settings!$B$13)))</f>
        <v/>
      </c>
      <c r="O1460" s="20">
        <f>IF(AND(ISNUMBER(E1460),ISNUMBER(N1460)),E1460-N1460,NA())</f>
        <v/>
      </c>
      <c r="P1460" s="19">
        <f>IF(NOT(ISNUMBER($A1460)),NA(),IF(OR($A1460&lt;MIN(KW_TP!$A$2:$A$2501),$A1460&gt;MAX(KW_TP!$A$2:$A$2501)),NA(),INDEX(KW_TP!$C$2:$C$2501,MATCH($A1460,KW_TP!$A$2:$A$2501,1))))</f>
        <v/>
      </c>
      <c r="Q1460" s="18">
        <f>IF(NOT(ISNUMBER($A1460)),NA(),IFERROR(1*INDEX(BBG_Data!$J$2:$J$4000,MATCH($A1460,BBG_Data!$I$2:$I$4000,0)),NA()))</f>
        <v/>
      </c>
      <c r="R1460" s="18">
        <f>IF(NOT(ISNUMBER($A1460)),NA(),IFERROR(1*INDEX(BBG_Data!$L$2:$L$4000,MATCH($A1460,BBG_Data!$K$2:$K$4000,0)),NA()))</f>
        <v/>
      </c>
      <c r="S1460" s="20">
        <f>IF(AND(ISNUMBER(B1460),ISNUMBER(Q1460),ISNUMBER(R1460)),(B1460-Q1460-R1460)*100,NA())</f>
        <v/>
      </c>
      <c r="T1460" s="20">
        <f>IF(AND(ISNUMBER(B1460),Settings!$B$17&gt;0),IF(ISNUMBER(INDEX($B:$B,Settings!$B$17)),(B1460-INDEX($B:$B,Settings!$B$17))*100,NA()),NA())</f>
        <v/>
      </c>
      <c r="U1460" s="20">
        <f>IF(AND(ISNUMBER(Q1460),Settings!$B$17&gt;0),IF(ISNUMBER(INDEX($Q:$Q,Settings!$B$17)),(Q1460-INDEX($Q:$Q,Settings!$B$17))*100,NA()),NA())</f>
        <v/>
      </c>
      <c r="V1460" s="20">
        <f>IF(AND(ISNUMBER(R1460),Settings!$B$17&gt;0),IF(ISNUMBER(INDEX($R:$R,Settings!$B$17)),(R1460-INDEX($R:$R,Settings!$B$17))*100,NA()),NA())</f>
        <v/>
      </c>
      <c r="W1460" s="20">
        <f>IF(AND(ISNUMBER(P1460),Settings!$B$17&gt;0),IF(ISNUMBER(INDEX($P:$P,Settings!$B$17)),P1460-INDEX($P:$P,Settings!$B$17),NA()),NA())</f>
        <v/>
      </c>
      <c r="X1460" s="19">
        <f>IF(NOT(ISNUMBER($A1460)),NA(),IF(OR($A1460&lt;MIN(DKW_10Y!$A$2:$A$2918),$A1460&gt;MAX(DKW_10Y!$A$2:$A$2918),Settings!$B$16&lt;MIN(DKW_10Y!$A$2:$A$2918)),NA(),(INDEX(DKW_10Y!$B$2:$B$2918,MATCH($A1460,DKW_10Y!$A$2:$A$2918,1))-INDEX(DKW_10Y!$B$2:$B$2918,MATCH(Settings!$B$16,DKW_10Y!$A$2:$A$2918,1)))*100))</f>
        <v/>
      </c>
      <c r="Y1460" s="19">
        <f>IF(NOT(ISNUMBER($A1460)),NA(),IF(OR($A1460&lt;MIN(DKW_10Y!$A$2:$A$2918),$A1460&gt;MAX(DKW_10Y!$A$2:$A$2918),Settings!$B$16&lt;MIN(DKW_10Y!$A$2:$A$2918)),NA(),(INDEX(DKW_10Y!$C$2:$C$2918,MATCH($A1460,DKW_10Y!$A$2:$A$2918,1))-INDEX(DKW_10Y!$C$2:$C$2918,MATCH(Settings!$B$16,DKW_10Y!$A$2:$A$2918,1)))*100))</f>
        <v/>
      </c>
      <c r="Z1460" s="19">
        <f>IF(NOT(ISNUMBER($A1460)),NA(),IF(OR($A1460&lt;MIN(DKW_10Y!$A$2:$A$2918),$A1460&gt;MAX(DKW_10Y!$A$2:$A$2918),Settings!$B$16&lt;MIN(DKW_10Y!$A$2:$A$2918)),NA(),(INDEX(DKW_10Y!$D$2:$D$2918,MATCH($A1460,DKW_10Y!$A$2:$A$2918,1))-INDEX(DKW_10Y!$D$2:$D$2918,MATCH(Settings!$B$16,DKW_10Y!$A$2:$A$2918,1)))*100))</f>
        <v/>
      </c>
      <c r="AA1460" s="19">
        <f>IF(NOT(ISNUMBER($A1460)),NA(),IF(OR($A1460&lt;MIN(DKW_10Y!$A$2:$A$2918),$A1460&gt;MAX(DKW_10Y!$A$2:$A$2918),Settings!$B$16&lt;MIN(DKW_10Y!$A$2:$A$2918)),NA(),(INDEX(DKW_10Y!$E$2:$E$2918,MATCH($A1460,DKW_10Y!$A$2:$A$2918,1))-INDEX(DKW_10Y!$E$2:$E$2918,MATCH(Settings!$B$16,DKW_10Y!$A$2:$A$2918,1)))*100))</f>
        <v/>
      </c>
      <c r="AB1460" s="19">
        <f>IF(NOT(ISNUMBER($A1460)),NA(),IF(OR($A1460&lt;MIN(DKW_10Y!$A$2:$A$2918),$A1460&gt;MAX(DKW_10Y!$A$2:$A$2918),Settings!$B$16&lt;MIN(DKW_10Y!$A$2:$A$2918)),NA(),(INDEX(DKW_10Y!$H$2:$H$2918,MATCH($A1460,DKW_10Y!$A$2:$A$2918,1))-INDEX(DKW_10Y!$H$2:$H$2918,MATCH(Settings!$B$16,DKW_10Y!$A$2:$A$2918,1)))*100))</f>
        <v/>
      </c>
      <c r="AC1460" s="18">
        <f>IF(NOT(ISNUMBER($A1460)),NA(),IFERROR(1*INDEX(BBG_Data!$N$2:$N$4000,MATCH($A1460,BBG_Data!$M$2:$M$4000,0)),NA()))</f>
        <v/>
      </c>
      <c r="AD1460" s="18">
        <f>IF(NOT(ISNUMBER($A1460)),NA(),IFERROR(1*INDEX(BBG_Data!$P$2:$P$4000,MATCH($A1460,BBG_Data!$O$2:$O$4000,0)),NA()))</f>
        <v/>
      </c>
      <c r="AE1460" s="18">
        <f>IF(NOT(ISNUMBER($A1460)),NA(),IFERROR(1*INDEX(BBG_Data!$R$2:$R$4000,MATCH($A1460,BBG_Data!$Q$2:$Q$4000,0)),NA()))</f>
        <v/>
      </c>
      <c r="AF1460" s="20">
        <f>IF(AND(ISNUMBER(B1460),ISNUMBER(AC1460)),(B1460-AC1460)*100,NA())</f>
        <v/>
      </c>
      <c r="AG1460" s="20">
        <f>IF(AND(ISNUMBER(AE1460),ISNUMBER(AD1460)),(AE1460-AD1460)*100,NA())</f>
        <v/>
      </c>
      <c r="AH1460" s="19">
        <f>IF(NOT(ISNUMBER($A1460)),NA(),IFERROR(INDEX(BBG_Data!$T$2:$T$4000,MATCH($A1460,BBG_Data!$S$2:$S$4000,0))*Settings!$B$25,NA()))</f>
        <v/>
      </c>
      <c r="AI1460" s="19">
        <f>IF(NOT(ISNUMBER($A1460)),NA(),IFERROR(INDEX(BBG_Data!$V$2:$V$4000,MATCH($A1460,BBG_Data!$U$2:$U$4000,0))*Settings!$B$25,NA()))</f>
        <v/>
      </c>
      <c r="AJ1460" s="19">
        <f>IF(NOT(ISNUMBER($A1460)),NA(),IFERROR(1*INDEX(BBG_Data!$X$2:$X$4000,MATCH($A1460,BBG_Data!$W$2:$W$4000,0)),NA()))</f>
        <v/>
      </c>
      <c r="AK1460" s="19">
        <f>IF(NOT(ISNUMBER($A1460)),NA(),IFERROR(1*INDEX(BBG_Data!$Z$2:$Z$4000,MATCH($A1460,BBG_Data!$Y$2:$Y$4000,0)),NA()))</f>
        <v/>
      </c>
    </row>
    <row r="1461">
      <c r="A1461" s="17">
        <f>IF(ISNUMBER(BBG_Data!A1461),BBG_Data!A1461,"")</f>
        <v/>
      </c>
      <c r="B1461" s="18">
        <f>IF(AND(ISNUMBER($A1461),ISNUMBER(BBG_Data!B1461)),BBG_Data!B1461,NA())</f>
        <v/>
      </c>
      <c r="C1461" s="18">
        <f>IF(NOT(ISNUMBER($A1461)),NA(),IFERROR(1*INDEX(BBG_Data!$D$2:$D$4000,MATCH($A1461,BBG_Data!$C$2:$C$4000,0)),NA()))</f>
        <v/>
      </c>
      <c r="D1461" s="19">
        <f>IF(NOT(ISNUMBER($A1461)),NA(),IFERROR(1*INDEX(BBG_Data!$F$2:$F$4000,MATCH($A1461,BBG_Data!$E$2:$E$4000,0)),NA()))</f>
        <v/>
      </c>
      <c r="E1461" s="19">
        <f>IF(NOT(ISNUMBER($A1461)),NA(),IFERROR(1*INDEX(BBG_Data!$H$2:$H$4000,MATCH($A1461,BBG_Data!$G$2:$G$4000,0)),NA()))</f>
        <v/>
      </c>
      <c r="F1461" s="20">
        <f>IF(AND(ISNUMBER(B1461),ISNUMBER(B1460)),IF(B1461=B1460,"",(B1461-B1460)*100),"")</f>
        <v/>
      </c>
      <c r="G1461" s="20">
        <f>IF(AND(ISNUMBER(C1461),ISNUMBER(C1460)),IF(C1461=C1460,"",(C1461-C1460)*100),"")</f>
        <v/>
      </c>
      <c r="H1461" s="20">
        <f>IF(OR(NOT(ISNUMBER($A1461)),ROW()-2&lt;Settings!$B$11),NA(),IF(COUNT(OFFSET(F1461,1-Settings!$B$11,0,Settings!$B$11,1))&lt;ROUNDUP(Settings!$B$11*Settings!$B$26,0),NA(),STDEV(OFFSET(F1461,1-Settings!$B$11,0,Settings!$B$11,1))*SQRT(Settings!$B$13)))</f>
        <v/>
      </c>
      <c r="I1461" s="20">
        <f>IF(OR(NOT(ISNUMBER($A1461)),ROW()-2&lt;Settings!$B$12),NA(),IF(COUNT(OFFSET(F1461,1-Settings!$B$12,0,Settings!$B$12,1))&lt;ROUNDUP(Settings!$B$12*Settings!$B$26,0),NA(),STDEV(OFFSET(F1461,1-Settings!$B$12,0,Settings!$B$12,1))*SQRT(Settings!$B$13)))</f>
        <v/>
      </c>
      <c r="J1461" s="20">
        <f>IF(OR(NOT(ISNUMBER($A1461)),ROW()-2&lt;Settings!$B$11),NA(),IF(COUNT(OFFSET(G1461,1-Settings!$B$11,0,Settings!$B$11,1))&lt;ROUNDUP(Settings!$B$11*Settings!$B$26,0),NA(),STDEV(OFFSET(G1461,1-Settings!$B$11,0,Settings!$B$11,1))*SQRT(Settings!$B$13)))</f>
        <v/>
      </c>
      <c r="K1461" s="20">
        <f>IF(OR(NOT(ISNUMBER($A1461)),ROW()-2&lt;Settings!$B$12),NA(),IF(COUNT(OFFSET(G1461,1-Settings!$B$12,0,Settings!$B$12,1))&lt;ROUNDUP(Settings!$B$12*Settings!$B$26,0),NA(),STDEV(OFFSET(G1461,1-Settings!$B$12,0,Settings!$B$12,1))*SQRT(Settings!$B$13)))</f>
        <v/>
      </c>
      <c r="L1461" s="20">
        <f>IF(AND(ISNUMBER(D1461),ISNUMBER(H1461)),D1461-H1461,NA())</f>
        <v/>
      </c>
      <c r="M1461" s="20">
        <f>IF(AND(ISNUMBER(E1461),ISNUMBER(K1461)),E1461-K1461,NA())</f>
        <v/>
      </c>
      <c r="N1461" s="20">
        <f>IF(NOT(ISNUMBER($A1461)),NA(),IF(COUNT(OFFSET(G1461,1,0,Settings!$B$12,1))&lt;ROUNDUP(Settings!$B$12*Settings!$B$26,0),NA(),STDEV(OFFSET(G1461,1,0,Settings!$B$12,1))*SQRT(Settings!$B$13)))</f>
        <v/>
      </c>
      <c r="O1461" s="20">
        <f>IF(AND(ISNUMBER(E1461),ISNUMBER(N1461)),E1461-N1461,NA())</f>
        <v/>
      </c>
      <c r="P1461" s="19">
        <f>IF(NOT(ISNUMBER($A1461)),NA(),IF(OR($A1461&lt;MIN(KW_TP!$A$2:$A$2501),$A1461&gt;MAX(KW_TP!$A$2:$A$2501)),NA(),INDEX(KW_TP!$C$2:$C$2501,MATCH($A1461,KW_TP!$A$2:$A$2501,1))))</f>
        <v/>
      </c>
      <c r="Q1461" s="18">
        <f>IF(NOT(ISNUMBER($A1461)),NA(),IFERROR(1*INDEX(BBG_Data!$J$2:$J$4000,MATCH($A1461,BBG_Data!$I$2:$I$4000,0)),NA()))</f>
        <v/>
      </c>
      <c r="R1461" s="18">
        <f>IF(NOT(ISNUMBER($A1461)),NA(),IFERROR(1*INDEX(BBG_Data!$L$2:$L$4000,MATCH($A1461,BBG_Data!$K$2:$K$4000,0)),NA()))</f>
        <v/>
      </c>
      <c r="S1461" s="20">
        <f>IF(AND(ISNUMBER(B1461),ISNUMBER(Q1461),ISNUMBER(R1461)),(B1461-Q1461-R1461)*100,NA())</f>
        <v/>
      </c>
      <c r="T1461" s="20">
        <f>IF(AND(ISNUMBER(B1461),Settings!$B$17&gt;0),IF(ISNUMBER(INDEX($B:$B,Settings!$B$17)),(B1461-INDEX($B:$B,Settings!$B$17))*100,NA()),NA())</f>
        <v/>
      </c>
      <c r="U1461" s="20">
        <f>IF(AND(ISNUMBER(Q1461),Settings!$B$17&gt;0),IF(ISNUMBER(INDEX($Q:$Q,Settings!$B$17)),(Q1461-INDEX($Q:$Q,Settings!$B$17))*100,NA()),NA())</f>
        <v/>
      </c>
      <c r="V1461" s="20">
        <f>IF(AND(ISNUMBER(R1461),Settings!$B$17&gt;0),IF(ISNUMBER(INDEX($R:$R,Settings!$B$17)),(R1461-INDEX($R:$R,Settings!$B$17))*100,NA()),NA())</f>
        <v/>
      </c>
      <c r="W1461" s="20">
        <f>IF(AND(ISNUMBER(P1461),Settings!$B$17&gt;0),IF(ISNUMBER(INDEX($P:$P,Settings!$B$17)),P1461-INDEX($P:$P,Settings!$B$17),NA()),NA())</f>
        <v/>
      </c>
      <c r="X1461" s="19">
        <f>IF(NOT(ISNUMBER($A1461)),NA(),IF(OR($A1461&lt;MIN(DKW_10Y!$A$2:$A$2918),$A1461&gt;MAX(DKW_10Y!$A$2:$A$2918),Settings!$B$16&lt;MIN(DKW_10Y!$A$2:$A$2918)),NA(),(INDEX(DKW_10Y!$B$2:$B$2918,MATCH($A1461,DKW_10Y!$A$2:$A$2918,1))-INDEX(DKW_10Y!$B$2:$B$2918,MATCH(Settings!$B$16,DKW_10Y!$A$2:$A$2918,1)))*100))</f>
        <v/>
      </c>
      <c r="Y1461" s="19">
        <f>IF(NOT(ISNUMBER($A1461)),NA(),IF(OR($A1461&lt;MIN(DKW_10Y!$A$2:$A$2918),$A1461&gt;MAX(DKW_10Y!$A$2:$A$2918),Settings!$B$16&lt;MIN(DKW_10Y!$A$2:$A$2918)),NA(),(INDEX(DKW_10Y!$C$2:$C$2918,MATCH($A1461,DKW_10Y!$A$2:$A$2918,1))-INDEX(DKW_10Y!$C$2:$C$2918,MATCH(Settings!$B$16,DKW_10Y!$A$2:$A$2918,1)))*100))</f>
        <v/>
      </c>
      <c r="Z1461" s="19">
        <f>IF(NOT(ISNUMBER($A1461)),NA(),IF(OR($A1461&lt;MIN(DKW_10Y!$A$2:$A$2918),$A1461&gt;MAX(DKW_10Y!$A$2:$A$2918),Settings!$B$16&lt;MIN(DKW_10Y!$A$2:$A$2918)),NA(),(INDEX(DKW_10Y!$D$2:$D$2918,MATCH($A1461,DKW_10Y!$A$2:$A$2918,1))-INDEX(DKW_10Y!$D$2:$D$2918,MATCH(Settings!$B$16,DKW_10Y!$A$2:$A$2918,1)))*100))</f>
        <v/>
      </c>
      <c r="AA1461" s="19">
        <f>IF(NOT(ISNUMBER($A1461)),NA(),IF(OR($A1461&lt;MIN(DKW_10Y!$A$2:$A$2918),$A1461&gt;MAX(DKW_10Y!$A$2:$A$2918),Settings!$B$16&lt;MIN(DKW_10Y!$A$2:$A$2918)),NA(),(INDEX(DKW_10Y!$E$2:$E$2918,MATCH($A1461,DKW_10Y!$A$2:$A$2918,1))-INDEX(DKW_10Y!$E$2:$E$2918,MATCH(Settings!$B$16,DKW_10Y!$A$2:$A$2918,1)))*100))</f>
        <v/>
      </c>
      <c r="AB1461" s="19">
        <f>IF(NOT(ISNUMBER($A1461)),NA(),IF(OR($A1461&lt;MIN(DKW_10Y!$A$2:$A$2918),$A1461&gt;MAX(DKW_10Y!$A$2:$A$2918),Settings!$B$16&lt;MIN(DKW_10Y!$A$2:$A$2918)),NA(),(INDEX(DKW_10Y!$H$2:$H$2918,MATCH($A1461,DKW_10Y!$A$2:$A$2918,1))-INDEX(DKW_10Y!$H$2:$H$2918,MATCH(Settings!$B$16,DKW_10Y!$A$2:$A$2918,1)))*100))</f>
        <v/>
      </c>
      <c r="AC1461" s="18">
        <f>IF(NOT(ISNUMBER($A1461)),NA(),IFERROR(1*INDEX(BBG_Data!$N$2:$N$4000,MATCH($A1461,BBG_Data!$M$2:$M$4000,0)),NA()))</f>
        <v/>
      </c>
      <c r="AD1461" s="18">
        <f>IF(NOT(ISNUMBER($A1461)),NA(),IFERROR(1*INDEX(BBG_Data!$P$2:$P$4000,MATCH($A1461,BBG_Data!$O$2:$O$4000,0)),NA()))</f>
        <v/>
      </c>
      <c r="AE1461" s="18">
        <f>IF(NOT(ISNUMBER($A1461)),NA(),IFERROR(1*INDEX(BBG_Data!$R$2:$R$4000,MATCH($A1461,BBG_Data!$Q$2:$Q$4000,0)),NA()))</f>
        <v/>
      </c>
      <c r="AF1461" s="20">
        <f>IF(AND(ISNUMBER(B1461),ISNUMBER(AC1461)),(B1461-AC1461)*100,NA())</f>
        <v/>
      </c>
      <c r="AG1461" s="20">
        <f>IF(AND(ISNUMBER(AE1461),ISNUMBER(AD1461)),(AE1461-AD1461)*100,NA())</f>
        <v/>
      </c>
      <c r="AH1461" s="19">
        <f>IF(NOT(ISNUMBER($A1461)),NA(),IFERROR(INDEX(BBG_Data!$T$2:$T$4000,MATCH($A1461,BBG_Data!$S$2:$S$4000,0))*Settings!$B$25,NA()))</f>
        <v/>
      </c>
      <c r="AI1461" s="19">
        <f>IF(NOT(ISNUMBER($A1461)),NA(),IFERROR(INDEX(BBG_Data!$V$2:$V$4000,MATCH($A1461,BBG_Data!$U$2:$U$4000,0))*Settings!$B$25,NA()))</f>
        <v/>
      </c>
      <c r="AJ1461" s="19">
        <f>IF(NOT(ISNUMBER($A1461)),NA(),IFERROR(1*INDEX(BBG_Data!$X$2:$X$4000,MATCH($A1461,BBG_Data!$W$2:$W$4000,0)),NA()))</f>
        <v/>
      </c>
      <c r="AK1461" s="19">
        <f>IF(NOT(ISNUMBER($A1461)),NA(),IFERROR(1*INDEX(BBG_Data!$Z$2:$Z$4000,MATCH($A1461,BBG_Data!$Y$2:$Y$4000,0)),NA()))</f>
        <v/>
      </c>
    </row>
    <row r="1462">
      <c r="A1462" s="17">
        <f>IF(ISNUMBER(BBG_Data!A1462),BBG_Data!A1462,"")</f>
        <v/>
      </c>
      <c r="B1462" s="18">
        <f>IF(AND(ISNUMBER($A1462),ISNUMBER(BBG_Data!B1462)),BBG_Data!B1462,NA())</f>
        <v/>
      </c>
      <c r="C1462" s="18">
        <f>IF(NOT(ISNUMBER($A1462)),NA(),IFERROR(1*INDEX(BBG_Data!$D$2:$D$4000,MATCH($A1462,BBG_Data!$C$2:$C$4000,0)),NA()))</f>
        <v/>
      </c>
      <c r="D1462" s="19">
        <f>IF(NOT(ISNUMBER($A1462)),NA(),IFERROR(1*INDEX(BBG_Data!$F$2:$F$4000,MATCH($A1462,BBG_Data!$E$2:$E$4000,0)),NA()))</f>
        <v/>
      </c>
      <c r="E1462" s="19">
        <f>IF(NOT(ISNUMBER($A1462)),NA(),IFERROR(1*INDEX(BBG_Data!$H$2:$H$4000,MATCH($A1462,BBG_Data!$G$2:$G$4000,0)),NA()))</f>
        <v/>
      </c>
      <c r="F1462" s="20">
        <f>IF(AND(ISNUMBER(B1462),ISNUMBER(B1461)),IF(B1462=B1461,"",(B1462-B1461)*100),"")</f>
        <v/>
      </c>
      <c r="G1462" s="20">
        <f>IF(AND(ISNUMBER(C1462),ISNUMBER(C1461)),IF(C1462=C1461,"",(C1462-C1461)*100),"")</f>
        <v/>
      </c>
      <c r="H1462" s="20">
        <f>IF(OR(NOT(ISNUMBER($A1462)),ROW()-2&lt;Settings!$B$11),NA(),IF(COUNT(OFFSET(F1462,1-Settings!$B$11,0,Settings!$B$11,1))&lt;ROUNDUP(Settings!$B$11*Settings!$B$26,0),NA(),STDEV(OFFSET(F1462,1-Settings!$B$11,0,Settings!$B$11,1))*SQRT(Settings!$B$13)))</f>
        <v/>
      </c>
      <c r="I1462" s="20">
        <f>IF(OR(NOT(ISNUMBER($A1462)),ROW()-2&lt;Settings!$B$12),NA(),IF(COUNT(OFFSET(F1462,1-Settings!$B$12,0,Settings!$B$12,1))&lt;ROUNDUP(Settings!$B$12*Settings!$B$26,0),NA(),STDEV(OFFSET(F1462,1-Settings!$B$12,0,Settings!$B$12,1))*SQRT(Settings!$B$13)))</f>
        <v/>
      </c>
      <c r="J1462" s="20">
        <f>IF(OR(NOT(ISNUMBER($A1462)),ROW()-2&lt;Settings!$B$11),NA(),IF(COUNT(OFFSET(G1462,1-Settings!$B$11,0,Settings!$B$11,1))&lt;ROUNDUP(Settings!$B$11*Settings!$B$26,0),NA(),STDEV(OFFSET(G1462,1-Settings!$B$11,0,Settings!$B$11,1))*SQRT(Settings!$B$13)))</f>
        <v/>
      </c>
      <c r="K1462" s="20">
        <f>IF(OR(NOT(ISNUMBER($A1462)),ROW()-2&lt;Settings!$B$12),NA(),IF(COUNT(OFFSET(G1462,1-Settings!$B$12,0,Settings!$B$12,1))&lt;ROUNDUP(Settings!$B$12*Settings!$B$26,0),NA(),STDEV(OFFSET(G1462,1-Settings!$B$12,0,Settings!$B$12,1))*SQRT(Settings!$B$13)))</f>
        <v/>
      </c>
      <c r="L1462" s="20">
        <f>IF(AND(ISNUMBER(D1462),ISNUMBER(H1462)),D1462-H1462,NA())</f>
        <v/>
      </c>
      <c r="M1462" s="20">
        <f>IF(AND(ISNUMBER(E1462),ISNUMBER(K1462)),E1462-K1462,NA())</f>
        <v/>
      </c>
      <c r="N1462" s="20">
        <f>IF(NOT(ISNUMBER($A1462)),NA(),IF(COUNT(OFFSET(G1462,1,0,Settings!$B$12,1))&lt;ROUNDUP(Settings!$B$12*Settings!$B$26,0),NA(),STDEV(OFFSET(G1462,1,0,Settings!$B$12,1))*SQRT(Settings!$B$13)))</f>
        <v/>
      </c>
      <c r="O1462" s="20">
        <f>IF(AND(ISNUMBER(E1462),ISNUMBER(N1462)),E1462-N1462,NA())</f>
        <v/>
      </c>
      <c r="P1462" s="19">
        <f>IF(NOT(ISNUMBER($A1462)),NA(),IF(OR($A1462&lt;MIN(KW_TP!$A$2:$A$2501),$A1462&gt;MAX(KW_TP!$A$2:$A$2501)),NA(),INDEX(KW_TP!$C$2:$C$2501,MATCH($A1462,KW_TP!$A$2:$A$2501,1))))</f>
        <v/>
      </c>
      <c r="Q1462" s="18">
        <f>IF(NOT(ISNUMBER($A1462)),NA(),IFERROR(1*INDEX(BBG_Data!$J$2:$J$4000,MATCH($A1462,BBG_Data!$I$2:$I$4000,0)),NA()))</f>
        <v/>
      </c>
      <c r="R1462" s="18">
        <f>IF(NOT(ISNUMBER($A1462)),NA(),IFERROR(1*INDEX(BBG_Data!$L$2:$L$4000,MATCH($A1462,BBG_Data!$K$2:$K$4000,0)),NA()))</f>
        <v/>
      </c>
      <c r="S1462" s="20">
        <f>IF(AND(ISNUMBER(B1462),ISNUMBER(Q1462),ISNUMBER(R1462)),(B1462-Q1462-R1462)*100,NA())</f>
        <v/>
      </c>
      <c r="T1462" s="20">
        <f>IF(AND(ISNUMBER(B1462),Settings!$B$17&gt;0),IF(ISNUMBER(INDEX($B:$B,Settings!$B$17)),(B1462-INDEX($B:$B,Settings!$B$17))*100,NA()),NA())</f>
        <v/>
      </c>
      <c r="U1462" s="20">
        <f>IF(AND(ISNUMBER(Q1462),Settings!$B$17&gt;0),IF(ISNUMBER(INDEX($Q:$Q,Settings!$B$17)),(Q1462-INDEX($Q:$Q,Settings!$B$17))*100,NA()),NA())</f>
        <v/>
      </c>
      <c r="V1462" s="20">
        <f>IF(AND(ISNUMBER(R1462),Settings!$B$17&gt;0),IF(ISNUMBER(INDEX($R:$R,Settings!$B$17)),(R1462-INDEX($R:$R,Settings!$B$17))*100,NA()),NA())</f>
        <v/>
      </c>
      <c r="W1462" s="20">
        <f>IF(AND(ISNUMBER(P1462),Settings!$B$17&gt;0),IF(ISNUMBER(INDEX($P:$P,Settings!$B$17)),P1462-INDEX($P:$P,Settings!$B$17),NA()),NA())</f>
        <v/>
      </c>
      <c r="X1462" s="19">
        <f>IF(NOT(ISNUMBER($A1462)),NA(),IF(OR($A1462&lt;MIN(DKW_10Y!$A$2:$A$2918),$A1462&gt;MAX(DKW_10Y!$A$2:$A$2918),Settings!$B$16&lt;MIN(DKW_10Y!$A$2:$A$2918)),NA(),(INDEX(DKW_10Y!$B$2:$B$2918,MATCH($A1462,DKW_10Y!$A$2:$A$2918,1))-INDEX(DKW_10Y!$B$2:$B$2918,MATCH(Settings!$B$16,DKW_10Y!$A$2:$A$2918,1)))*100))</f>
        <v/>
      </c>
      <c r="Y1462" s="19">
        <f>IF(NOT(ISNUMBER($A1462)),NA(),IF(OR($A1462&lt;MIN(DKW_10Y!$A$2:$A$2918),$A1462&gt;MAX(DKW_10Y!$A$2:$A$2918),Settings!$B$16&lt;MIN(DKW_10Y!$A$2:$A$2918)),NA(),(INDEX(DKW_10Y!$C$2:$C$2918,MATCH($A1462,DKW_10Y!$A$2:$A$2918,1))-INDEX(DKW_10Y!$C$2:$C$2918,MATCH(Settings!$B$16,DKW_10Y!$A$2:$A$2918,1)))*100))</f>
        <v/>
      </c>
      <c r="Z1462" s="19">
        <f>IF(NOT(ISNUMBER($A1462)),NA(),IF(OR($A1462&lt;MIN(DKW_10Y!$A$2:$A$2918),$A1462&gt;MAX(DKW_10Y!$A$2:$A$2918),Settings!$B$16&lt;MIN(DKW_10Y!$A$2:$A$2918)),NA(),(INDEX(DKW_10Y!$D$2:$D$2918,MATCH($A1462,DKW_10Y!$A$2:$A$2918,1))-INDEX(DKW_10Y!$D$2:$D$2918,MATCH(Settings!$B$16,DKW_10Y!$A$2:$A$2918,1)))*100))</f>
        <v/>
      </c>
      <c r="AA1462" s="19">
        <f>IF(NOT(ISNUMBER($A1462)),NA(),IF(OR($A1462&lt;MIN(DKW_10Y!$A$2:$A$2918),$A1462&gt;MAX(DKW_10Y!$A$2:$A$2918),Settings!$B$16&lt;MIN(DKW_10Y!$A$2:$A$2918)),NA(),(INDEX(DKW_10Y!$E$2:$E$2918,MATCH($A1462,DKW_10Y!$A$2:$A$2918,1))-INDEX(DKW_10Y!$E$2:$E$2918,MATCH(Settings!$B$16,DKW_10Y!$A$2:$A$2918,1)))*100))</f>
        <v/>
      </c>
      <c r="AB1462" s="19">
        <f>IF(NOT(ISNUMBER($A1462)),NA(),IF(OR($A1462&lt;MIN(DKW_10Y!$A$2:$A$2918),$A1462&gt;MAX(DKW_10Y!$A$2:$A$2918),Settings!$B$16&lt;MIN(DKW_10Y!$A$2:$A$2918)),NA(),(INDEX(DKW_10Y!$H$2:$H$2918,MATCH($A1462,DKW_10Y!$A$2:$A$2918,1))-INDEX(DKW_10Y!$H$2:$H$2918,MATCH(Settings!$B$16,DKW_10Y!$A$2:$A$2918,1)))*100))</f>
        <v/>
      </c>
      <c r="AC1462" s="18">
        <f>IF(NOT(ISNUMBER($A1462)),NA(),IFERROR(1*INDEX(BBG_Data!$N$2:$N$4000,MATCH($A1462,BBG_Data!$M$2:$M$4000,0)),NA()))</f>
        <v/>
      </c>
      <c r="AD1462" s="18">
        <f>IF(NOT(ISNUMBER($A1462)),NA(),IFERROR(1*INDEX(BBG_Data!$P$2:$P$4000,MATCH($A1462,BBG_Data!$O$2:$O$4000,0)),NA()))</f>
        <v/>
      </c>
      <c r="AE1462" s="18">
        <f>IF(NOT(ISNUMBER($A1462)),NA(),IFERROR(1*INDEX(BBG_Data!$R$2:$R$4000,MATCH($A1462,BBG_Data!$Q$2:$Q$4000,0)),NA()))</f>
        <v/>
      </c>
      <c r="AF1462" s="20">
        <f>IF(AND(ISNUMBER(B1462),ISNUMBER(AC1462)),(B1462-AC1462)*100,NA())</f>
        <v/>
      </c>
      <c r="AG1462" s="20">
        <f>IF(AND(ISNUMBER(AE1462),ISNUMBER(AD1462)),(AE1462-AD1462)*100,NA())</f>
        <v/>
      </c>
      <c r="AH1462" s="19">
        <f>IF(NOT(ISNUMBER($A1462)),NA(),IFERROR(INDEX(BBG_Data!$T$2:$T$4000,MATCH($A1462,BBG_Data!$S$2:$S$4000,0))*Settings!$B$25,NA()))</f>
        <v/>
      </c>
      <c r="AI1462" s="19">
        <f>IF(NOT(ISNUMBER($A1462)),NA(),IFERROR(INDEX(BBG_Data!$V$2:$V$4000,MATCH($A1462,BBG_Data!$U$2:$U$4000,0))*Settings!$B$25,NA()))</f>
        <v/>
      </c>
      <c r="AJ1462" s="19">
        <f>IF(NOT(ISNUMBER($A1462)),NA(),IFERROR(1*INDEX(BBG_Data!$X$2:$X$4000,MATCH($A1462,BBG_Data!$W$2:$W$4000,0)),NA()))</f>
        <v/>
      </c>
      <c r="AK1462" s="19">
        <f>IF(NOT(ISNUMBER($A1462)),NA(),IFERROR(1*INDEX(BBG_Data!$Z$2:$Z$4000,MATCH($A1462,BBG_Data!$Y$2:$Y$4000,0)),NA()))</f>
        <v/>
      </c>
    </row>
    <row r="1463">
      <c r="A1463" s="17">
        <f>IF(ISNUMBER(BBG_Data!A1463),BBG_Data!A1463,"")</f>
        <v/>
      </c>
      <c r="B1463" s="18">
        <f>IF(AND(ISNUMBER($A1463),ISNUMBER(BBG_Data!B1463)),BBG_Data!B1463,NA())</f>
        <v/>
      </c>
      <c r="C1463" s="18">
        <f>IF(NOT(ISNUMBER($A1463)),NA(),IFERROR(1*INDEX(BBG_Data!$D$2:$D$4000,MATCH($A1463,BBG_Data!$C$2:$C$4000,0)),NA()))</f>
        <v/>
      </c>
      <c r="D1463" s="19">
        <f>IF(NOT(ISNUMBER($A1463)),NA(),IFERROR(1*INDEX(BBG_Data!$F$2:$F$4000,MATCH($A1463,BBG_Data!$E$2:$E$4000,0)),NA()))</f>
        <v/>
      </c>
      <c r="E1463" s="19">
        <f>IF(NOT(ISNUMBER($A1463)),NA(),IFERROR(1*INDEX(BBG_Data!$H$2:$H$4000,MATCH($A1463,BBG_Data!$G$2:$G$4000,0)),NA()))</f>
        <v/>
      </c>
      <c r="F1463" s="20">
        <f>IF(AND(ISNUMBER(B1463),ISNUMBER(B1462)),IF(B1463=B1462,"",(B1463-B1462)*100),"")</f>
        <v/>
      </c>
      <c r="G1463" s="20">
        <f>IF(AND(ISNUMBER(C1463),ISNUMBER(C1462)),IF(C1463=C1462,"",(C1463-C1462)*100),"")</f>
        <v/>
      </c>
      <c r="H1463" s="20">
        <f>IF(OR(NOT(ISNUMBER($A1463)),ROW()-2&lt;Settings!$B$11),NA(),IF(COUNT(OFFSET(F1463,1-Settings!$B$11,0,Settings!$B$11,1))&lt;ROUNDUP(Settings!$B$11*Settings!$B$26,0),NA(),STDEV(OFFSET(F1463,1-Settings!$B$11,0,Settings!$B$11,1))*SQRT(Settings!$B$13)))</f>
        <v/>
      </c>
      <c r="I1463" s="20">
        <f>IF(OR(NOT(ISNUMBER($A1463)),ROW()-2&lt;Settings!$B$12),NA(),IF(COUNT(OFFSET(F1463,1-Settings!$B$12,0,Settings!$B$12,1))&lt;ROUNDUP(Settings!$B$12*Settings!$B$26,0),NA(),STDEV(OFFSET(F1463,1-Settings!$B$12,0,Settings!$B$12,1))*SQRT(Settings!$B$13)))</f>
        <v/>
      </c>
      <c r="J1463" s="20">
        <f>IF(OR(NOT(ISNUMBER($A1463)),ROW()-2&lt;Settings!$B$11),NA(),IF(COUNT(OFFSET(G1463,1-Settings!$B$11,0,Settings!$B$11,1))&lt;ROUNDUP(Settings!$B$11*Settings!$B$26,0),NA(),STDEV(OFFSET(G1463,1-Settings!$B$11,0,Settings!$B$11,1))*SQRT(Settings!$B$13)))</f>
        <v/>
      </c>
      <c r="K1463" s="20">
        <f>IF(OR(NOT(ISNUMBER($A1463)),ROW()-2&lt;Settings!$B$12),NA(),IF(COUNT(OFFSET(G1463,1-Settings!$B$12,0,Settings!$B$12,1))&lt;ROUNDUP(Settings!$B$12*Settings!$B$26,0),NA(),STDEV(OFFSET(G1463,1-Settings!$B$12,0,Settings!$B$12,1))*SQRT(Settings!$B$13)))</f>
        <v/>
      </c>
      <c r="L1463" s="20">
        <f>IF(AND(ISNUMBER(D1463),ISNUMBER(H1463)),D1463-H1463,NA())</f>
        <v/>
      </c>
      <c r="M1463" s="20">
        <f>IF(AND(ISNUMBER(E1463),ISNUMBER(K1463)),E1463-K1463,NA())</f>
        <v/>
      </c>
      <c r="N1463" s="20">
        <f>IF(NOT(ISNUMBER($A1463)),NA(),IF(COUNT(OFFSET(G1463,1,0,Settings!$B$12,1))&lt;ROUNDUP(Settings!$B$12*Settings!$B$26,0),NA(),STDEV(OFFSET(G1463,1,0,Settings!$B$12,1))*SQRT(Settings!$B$13)))</f>
        <v/>
      </c>
      <c r="O1463" s="20">
        <f>IF(AND(ISNUMBER(E1463),ISNUMBER(N1463)),E1463-N1463,NA())</f>
        <v/>
      </c>
      <c r="P1463" s="19">
        <f>IF(NOT(ISNUMBER($A1463)),NA(),IF(OR($A1463&lt;MIN(KW_TP!$A$2:$A$2501),$A1463&gt;MAX(KW_TP!$A$2:$A$2501)),NA(),INDEX(KW_TP!$C$2:$C$2501,MATCH($A1463,KW_TP!$A$2:$A$2501,1))))</f>
        <v/>
      </c>
      <c r="Q1463" s="18">
        <f>IF(NOT(ISNUMBER($A1463)),NA(),IFERROR(1*INDEX(BBG_Data!$J$2:$J$4000,MATCH($A1463,BBG_Data!$I$2:$I$4000,0)),NA()))</f>
        <v/>
      </c>
      <c r="R1463" s="18">
        <f>IF(NOT(ISNUMBER($A1463)),NA(),IFERROR(1*INDEX(BBG_Data!$L$2:$L$4000,MATCH($A1463,BBG_Data!$K$2:$K$4000,0)),NA()))</f>
        <v/>
      </c>
      <c r="S1463" s="20">
        <f>IF(AND(ISNUMBER(B1463),ISNUMBER(Q1463),ISNUMBER(R1463)),(B1463-Q1463-R1463)*100,NA())</f>
        <v/>
      </c>
      <c r="T1463" s="20">
        <f>IF(AND(ISNUMBER(B1463),Settings!$B$17&gt;0),IF(ISNUMBER(INDEX($B:$B,Settings!$B$17)),(B1463-INDEX($B:$B,Settings!$B$17))*100,NA()),NA())</f>
        <v/>
      </c>
      <c r="U1463" s="20">
        <f>IF(AND(ISNUMBER(Q1463),Settings!$B$17&gt;0),IF(ISNUMBER(INDEX($Q:$Q,Settings!$B$17)),(Q1463-INDEX($Q:$Q,Settings!$B$17))*100,NA()),NA())</f>
        <v/>
      </c>
      <c r="V1463" s="20">
        <f>IF(AND(ISNUMBER(R1463),Settings!$B$17&gt;0),IF(ISNUMBER(INDEX($R:$R,Settings!$B$17)),(R1463-INDEX($R:$R,Settings!$B$17))*100,NA()),NA())</f>
        <v/>
      </c>
      <c r="W1463" s="20">
        <f>IF(AND(ISNUMBER(P1463),Settings!$B$17&gt;0),IF(ISNUMBER(INDEX($P:$P,Settings!$B$17)),P1463-INDEX($P:$P,Settings!$B$17),NA()),NA())</f>
        <v/>
      </c>
      <c r="X1463" s="19">
        <f>IF(NOT(ISNUMBER($A1463)),NA(),IF(OR($A1463&lt;MIN(DKW_10Y!$A$2:$A$2918),$A1463&gt;MAX(DKW_10Y!$A$2:$A$2918),Settings!$B$16&lt;MIN(DKW_10Y!$A$2:$A$2918)),NA(),(INDEX(DKW_10Y!$B$2:$B$2918,MATCH($A1463,DKW_10Y!$A$2:$A$2918,1))-INDEX(DKW_10Y!$B$2:$B$2918,MATCH(Settings!$B$16,DKW_10Y!$A$2:$A$2918,1)))*100))</f>
        <v/>
      </c>
      <c r="Y1463" s="19">
        <f>IF(NOT(ISNUMBER($A1463)),NA(),IF(OR($A1463&lt;MIN(DKW_10Y!$A$2:$A$2918),$A1463&gt;MAX(DKW_10Y!$A$2:$A$2918),Settings!$B$16&lt;MIN(DKW_10Y!$A$2:$A$2918)),NA(),(INDEX(DKW_10Y!$C$2:$C$2918,MATCH($A1463,DKW_10Y!$A$2:$A$2918,1))-INDEX(DKW_10Y!$C$2:$C$2918,MATCH(Settings!$B$16,DKW_10Y!$A$2:$A$2918,1)))*100))</f>
        <v/>
      </c>
      <c r="Z1463" s="19">
        <f>IF(NOT(ISNUMBER($A1463)),NA(),IF(OR($A1463&lt;MIN(DKW_10Y!$A$2:$A$2918),$A1463&gt;MAX(DKW_10Y!$A$2:$A$2918),Settings!$B$16&lt;MIN(DKW_10Y!$A$2:$A$2918)),NA(),(INDEX(DKW_10Y!$D$2:$D$2918,MATCH($A1463,DKW_10Y!$A$2:$A$2918,1))-INDEX(DKW_10Y!$D$2:$D$2918,MATCH(Settings!$B$16,DKW_10Y!$A$2:$A$2918,1)))*100))</f>
        <v/>
      </c>
      <c r="AA1463" s="19">
        <f>IF(NOT(ISNUMBER($A1463)),NA(),IF(OR($A1463&lt;MIN(DKW_10Y!$A$2:$A$2918),$A1463&gt;MAX(DKW_10Y!$A$2:$A$2918),Settings!$B$16&lt;MIN(DKW_10Y!$A$2:$A$2918)),NA(),(INDEX(DKW_10Y!$E$2:$E$2918,MATCH($A1463,DKW_10Y!$A$2:$A$2918,1))-INDEX(DKW_10Y!$E$2:$E$2918,MATCH(Settings!$B$16,DKW_10Y!$A$2:$A$2918,1)))*100))</f>
        <v/>
      </c>
      <c r="AB1463" s="19">
        <f>IF(NOT(ISNUMBER($A1463)),NA(),IF(OR($A1463&lt;MIN(DKW_10Y!$A$2:$A$2918),$A1463&gt;MAX(DKW_10Y!$A$2:$A$2918),Settings!$B$16&lt;MIN(DKW_10Y!$A$2:$A$2918)),NA(),(INDEX(DKW_10Y!$H$2:$H$2918,MATCH($A1463,DKW_10Y!$A$2:$A$2918,1))-INDEX(DKW_10Y!$H$2:$H$2918,MATCH(Settings!$B$16,DKW_10Y!$A$2:$A$2918,1)))*100))</f>
        <v/>
      </c>
      <c r="AC1463" s="18">
        <f>IF(NOT(ISNUMBER($A1463)),NA(),IFERROR(1*INDEX(BBG_Data!$N$2:$N$4000,MATCH($A1463,BBG_Data!$M$2:$M$4000,0)),NA()))</f>
        <v/>
      </c>
      <c r="AD1463" s="18">
        <f>IF(NOT(ISNUMBER($A1463)),NA(),IFERROR(1*INDEX(BBG_Data!$P$2:$P$4000,MATCH($A1463,BBG_Data!$O$2:$O$4000,0)),NA()))</f>
        <v/>
      </c>
      <c r="AE1463" s="18">
        <f>IF(NOT(ISNUMBER($A1463)),NA(),IFERROR(1*INDEX(BBG_Data!$R$2:$R$4000,MATCH($A1463,BBG_Data!$Q$2:$Q$4000,0)),NA()))</f>
        <v/>
      </c>
      <c r="AF1463" s="20">
        <f>IF(AND(ISNUMBER(B1463),ISNUMBER(AC1463)),(B1463-AC1463)*100,NA())</f>
        <v/>
      </c>
      <c r="AG1463" s="20">
        <f>IF(AND(ISNUMBER(AE1463),ISNUMBER(AD1463)),(AE1463-AD1463)*100,NA())</f>
        <v/>
      </c>
      <c r="AH1463" s="19">
        <f>IF(NOT(ISNUMBER($A1463)),NA(),IFERROR(INDEX(BBG_Data!$T$2:$T$4000,MATCH($A1463,BBG_Data!$S$2:$S$4000,0))*Settings!$B$25,NA()))</f>
        <v/>
      </c>
      <c r="AI1463" s="19">
        <f>IF(NOT(ISNUMBER($A1463)),NA(),IFERROR(INDEX(BBG_Data!$V$2:$V$4000,MATCH($A1463,BBG_Data!$U$2:$U$4000,0))*Settings!$B$25,NA()))</f>
        <v/>
      </c>
      <c r="AJ1463" s="19">
        <f>IF(NOT(ISNUMBER($A1463)),NA(),IFERROR(1*INDEX(BBG_Data!$X$2:$X$4000,MATCH($A1463,BBG_Data!$W$2:$W$4000,0)),NA()))</f>
        <v/>
      </c>
      <c r="AK1463" s="19">
        <f>IF(NOT(ISNUMBER($A1463)),NA(),IFERROR(1*INDEX(BBG_Data!$Z$2:$Z$4000,MATCH($A1463,BBG_Data!$Y$2:$Y$4000,0)),NA()))</f>
        <v/>
      </c>
    </row>
    <row r="1464">
      <c r="A1464" s="17">
        <f>IF(ISNUMBER(BBG_Data!A1464),BBG_Data!A1464,"")</f>
        <v/>
      </c>
      <c r="B1464" s="18">
        <f>IF(AND(ISNUMBER($A1464),ISNUMBER(BBG_Data!B1464)),BBG_Data!B1464,NA())</f>
        <v/>
      </c>
      <c r="C1464" s="18">
        <f>IF(NOT(ISNUMBER($A1464)),NA(),IFERROR(1*INDEX(BBG_Data!$D$2:$D$4000,MATCH($A1464,BBG_Data!$C$2:$C$4000,0)),NA()))</f>
        <v/>
      </c>
      <c r="D1464" s="19">
        <f>IF(NOT(ISNUMBER($A1464)),NA(),IFERROR(1*INDEX(BBG_Data!$F$2:$F$4000,MATCH($A1464,BBG_Data!$E$2:$E$4000,0)),NA()))</f>
        <v/>
      </c>
      <c r="E1464" s="19">
        <f>IF(NOT(ISNUMBER($A1464)),NA(),IFERROR(1*INDEX(BBG_Data!$H$2:$H$4000,MATCH($A1464,BBG_Data!$G$2:$G$4000,0)),NA()))</f>
        <v/>
      </c>
      <c r="F1464" s="20">
        <f>IF(AND(ISNUMBER(B1464),ISNUMBER(B1463)),IF(B1464=B1463,"",(B1464-B1463)*100),"")</f>
        <v/>
      </c>
      <c r="G1464" s="20">
        <f>IF(AND(ISNUMBER(C1464),ISNUMBER(C1463)),IF(C1464=C1463,"",(C1464-C1463)*100),"")</f>
        <v/>
      </c>
      <c r="H1464" s="20">
        <f>IF(OR(NOT(ISNUMBER($A1464)),ROW()-2&lt;Settings!$B$11),NA(),IF(COUNT(OFFSET(F1464,1-Settings!$B$11,0,Settings!$B$11,1))&lt;ROUNDUP(Settings!$B$11*Settings!$B$26,0),NA(),STDEV(OFFSET(F1464,1-Settings!$B$11,0,Settings!$B$11,1))*SQRT(Settings!$B$13)))</f>
        <v/>
      </c>
      <c r="I1464" s="20">
        <f>IF(OR(NOT(ISNUMBER($A1464)),ROW()-2&lt;Settings!$B$12),NA(),IF(COUNT(OFFSET(F1464,1-Settings!$B$12,0,Settings!$B$12,1))&lt;ROUNDUP(Settings!$B$12*Settings!$B$26,0),NA(),STDEV(OFFSET(F1464,1-Settings!$B$12,0,Settings!$B$12,1))*SQRT(Settings!$B$13)))</f>
        <v/>
      </c>
      <c r="J1464" s="20">
        <f>IF(OR(NOT(ISNUMBER($A1464)),ROW()-2&lt;Settings!$B$11),NA(),IF(COUNT(OFFSET(G1464,1-Settings!$B$11,0,Settings!$B$11,1))&lt;ROUNDUP(Settings!$B$11*Settings!$B$26,0),NA(),STDEV(OFFSET(G1464,1-Settings!$B$11,0,Settings!$B$11,1))*SQRT(Settings!$B$13)))</f>
        <v/>
      </c>
      <c r="K1464" s="20">
        <f>IF(OR(NOT(ISNUMBER($A1464)),ROW()-2&lt;Settings!$B$12),NA(),IF(COUNT(OFFSET(G1464,1-Settings!$B$12,0,Settings!$B$12,1))&lt;ROUNDUP(Settings!$B$12*Settings!$B$26,0),NA(),STDEV(OFFSET(G1464,1-Settings!$B$12,0,Settings!$B$12,1))*SQRT(Settings!$B$13)))</f>
        <v/>
      </c>
      <c r="L1464" s="20">
        <f>IF(AND(ISNUMBER(D1464),ISNUMBER(H1464)),D1464-H1464,NA())</f>
        <v/>
      </c>
      <c r="M1464" s="20">
        <f>IF(AND(ISNUMBER(E1464),ISNUMBER(K1464)),E1464-K1464,NA())</f>
        <v/>
      </c>
      <c r="N1464" s="20">
        <f>IF(NOT(ISNUMBER($A1464)),NA(),IF(COUNT(OFFSET(G1464,1,0,Settings!$B$12,1))&lt;ROUNDUP(Settings!$B$12*Settings!$B$26,0),NA(),STDEV(OFFSET(G1464,1,0,Settings!$B$12,1))*SQRT(Settings!$B$13)))</f>
        <v/>
      </c>
      <c r="O1464" s="20">
        <f>IF(AND(ISNUMBER(E1464),ISNUMBER(N1464)),E1464-N1464,NA())</f>
        <v/>
      </c>
      <c r="P1464" s="19">
        <f>IF(NOT(ISNUMBER($A1464)),NA(),IF(OR($A1464&lt;MIN(KW_TP!$A$2:$A$2501),$A1464&gt;MAX(KW_TP!$A$2:$A$2501)),NA(),INDEX(KW_TP!$C$2:$C$2501,MATCH($A1464,KW_TP!$A$2:$A$2501,1))))</f>
        <v/>
      </c>
      <c r="Q1464" s="18">
        <f>IF(NOT(ISNUMBER($A1464)),NA(),IFERROR(1*INDEX(BBG_Data!$J$2:$J$4000,MATCH($A1464,BBG_Data!$I$2:$I$4000,0)),NA()))</f>
        <v/>
      </c>
      <c r="R1464" s="18">
        <f>IF(NOT(ISNUMBER($A1464)),NA(),IFERROR(1*INDEX(BBG_Data!$L$2:$L$4000,MATCH($A1464,BBG_Data!$K$2:$K$4000,0)),NA()))</f>
        <v/>
      </c>
      <c r="S1464" s="20">
        <f>IF(AND(ISNUMBER(B1464),ISNUMBER(Q1464),ISNUMBER(R1464)),(B1464-Q1464-R1464)*100,NA())</f>
        <v/>
      </c>
      <c r="T1464" s="20">
        <f>IF(AND(ISNUMBER(B1464),Settings!$B$17&gt;0),IF(ISNUMBER(INDEX($B:$B,Settings!$B$17)),(B1464-INDEX($B:$B,Settings!$B$17))*100,NA()),NA())</f>
        <v/>
      </c>
      <c r="U1464" s="20">
        <f>IF(AND(ISNUMBER(Q1464),Settings!$B$17&gt;0),IF(ISNUMBER(INDEX($Q:$Q,Settings!$B$17)),(Q1464-INDEX($Q:$Q,Settings!$B$17))*100,NA()),NA())</f>
        <v/>
      </c>
      <c r="V1464" s="20">
        <f>IF(AND(ISNUMBER(R1464),Settings!$B$17&gt;0),IF(ISNUMBER(INDEX($R:$R,Settings!$B$17)),(R1464-INDEX($R:$R,Settings!$B$17))*100,NA()),NA())</f>
        <v/>
      </c>
      <c r="W1464" s="20">
        <f>IF(AND(ISNUMBER(P1464),Settings!$B$17&gt;0),IF(ISNUMBER(INDEX($P:$P,Settings!$B$17)),P1464-INDEX($P:$P,Settings!$B$17),NA()),NA())</f>
        <v/>
      </c>
      <c r="X1464" s="19">
        <f>IF(NOT(ISNUMBER($A1464)),NA(),IF(OR($A1464&lt;MIN(DKW_10Y!$A$2:$A$2918),$A1464&gt;MAX(DKW_10Y!$A$2:$A$2918),Settings!$B$16&lt;MIN(DKW_10Y!$A$2:$A$2918)),NA(),(INDEX(DKW_10Y!$B$2:$B$2918,MATCH($A1464,DKW_10Y!$A$2:$A$2918,1))-INDEX(DKW_10Y!$B$2:$B$2918,MATCH(Settings!$B$16,DKW_10Y!$A$2:$A$2918,1)))*100))</f>
        <v/>
      </c>
      <c r="Y1464" s="19">
        <f>IF(NOT(ISNUMBER($A1464)),NA(),IF(OR($A1464&lt;MIN(DKW_10Y!$A$2:$A$2918),$A1464&gt;MAX(DKW_10Y!$A$2:$A$2918),Settings!$B$16&lt;MIN(DKW_10Y!$A$2:$A$2918)),NA(),(INDEX(DKW_10Y!$C$2:$C$2918,MATCH($A1464,DKW_10Y!$A$2:$A$2918,1))-INDEX(DKW_10Y!$C$2:$C$2918,MATCH(Settings!$B$16,DKW_10Y!$A$2:$A$2918,1)))*100))</f>
        <v/>
      </c>
      <c r="Z1464" s="19">
        <f>IF(NOT(ISNUMBER($A1464)),NA(),IF(OR($A1464&lt;MIN(DKW_10Y!$A$2:$A$2918),$A1464&gt;MAX(DKW_10Y!$A$2:$A$2918),Settings!$B$16&lt;MIN(DKW_10Y!$A$2:$A$2918)),NA(),(INDEX(DKW_10Y!$D$2:$D$2918,MATCH($A1464,DKW_10Y!$A$2:$A$2918,1))-INDEX(DKW_10Y!$D$2:$D$2918,MATCH(Settings!$B$16,DKW_10Y!$A$2:$A$2918,1)))*100))</f>
        <v/>
      </c>
      <c r="AA1464" s="19">
        <f>IF(NOT(ISNUMBER($A1464)),NA(),IF(OR($A1464&lt;MIN(DKW_10Y!$A$2:$A$2918),$A1464&gt;MAX(DKW_10Y!$A$2:$A$2918),Settings!$B$16&lt;MIN(DKW_10Y!$A$2:$A$2918)),NA(),(INDEX(DKW_10Y!$E$2:$E$2918,MATCH($A1464,DKW_10Y!$A$2:$A$2918,1))-INDEX(DKW_10Y!$E$2:$E$2918,MATCH(Settings!$B$16,DKW_10Y!$A$2:$A$2918,1)))*100))</f>
        <v/>
      </c>
      <c r="AB1464" s="19">
        <f>IF(NOT(ISNUMBER($A1464)),NA(),IF(OR($A1464&lt;MIN(DKW_10Y!$A$2:$A$2918),$A1464&gt;MAX(DKW_10Y!$A$2:$A$2918),Settings!$B$16&lt;MIN(DKW_10Y!$A$2:$A$2918)),NA(),(INDEX(DKW_10Y!$H$2:$H$2918,MATCH($A1464,DKW_10Y!$A$2:$A$2918,1))-INDEX(DKW_10Y!$H$2:$H$2918,MATCH(Settings!$B$16,DKW_10Y!$A$2:$A$2918,1)))*100))</f>
        <v/>
      </c>
      <c r="AC1464" s="18">
        <f>IF(NOT(ISNUMBER($A1464)),NA(),IFERROR(1*INDEX(BBG_Data!$N$2:$N$4000,MATCH($A1464,BBG_Data!$M$2:$M$4000,0)),NA()))</f>
        <v/>
      </c>
      <c r="AD1464" s="18">
        <f>IF(NOT(ISNUMBER($A1464)),NA(),IFERROR(1*INDEX(BBG_Data!$P$2:$P$4000,MATCH($A1464,BBG_Data!$O$2:$O$4000,0)),NA()))</f>
        <v/>
      </c>
      <c r="AE1464" s="18">
        <f>IF(NOT(ISNUMBER($A1464)),NA(),IFERROR(1*INDEX(BBG_Data!$R$2:$R$4000,MATCH($A1464,BBG_Data!$Q$2:$Q$4000,0)),NA()))</f>
        <v/>
      </c>
      <c r="AF1464" s="20">
        <f>IF(AND(ISNUMBER(B1464),ISNUMBER(AC1464)),(B1464-AC1464)*100,NA())</f>
        <v/>
      </c>
      <c r="AG1464" s="20">
        <f>IF(AND(ISNUMBER(AE1464),ISNUMBER(AD1464)),(AE1464-AD1464)*100,NA())</f>
        <v/>
      </c>
      <c r="AH1464" s="19">
        <f>IF(NOT(ISNUMBER($A1464)),NA(),IFERROR(INDEX(BBG_Data!$T$2:$T$4000,MATCH($A1464,BBG_Data!$S$2:$S$4000,0))*Settings!$B$25,NA()))</f>
        <v/>
      </c>
      <c r="AI1464" s="19">
        <f>IF(NOT(ISNUMBER($A1464)),NA(),IFERROR(INDEX(BBG_Data!$V$2:$V$4000,MATCH($A1464,BBG_Data!$U$2:$U$4000,0))*Settings!$B$25,NA()))</f>
        <v/>
      </c>
      <c r="AJ1464" s="19">
        <f>IF(NOT(ISNUMBER($A1464)),NA(),IFERROR(1*INDEX(BBG_Data!$X$2:$X$4000,MATCH($A1464,BBG_Data!$W$2:$W$4000,0)),NA()))</f>
        <v/>
      </c>
      <c r="AK1464" s="19">
        <f>IF(NOT(ISNUMBER($A1464)),NA(),IFERROR(1*INDEX(BBG_Data!$Z$2:$Z$4000,MATCH($A1464,BBG_Data!$Y$2:$Y$4000,0)),NA()))</f>
        <v/>
      </c>
    </row>
    <row r="1465">
      <c r="A1465" s="17">
        <f>IF(ISNUMBER(BBG_Data!A1465),BBG_Data!A1465,"")</f>
        <v/>
      </c>
      <c r="B1465" s="18">
        <f>IF(AND(ISNUMBER($A1465),ISNUMBER(BBG_Data!B1465)),BBG_Data!B1465,NA())</f>
        <v/>
      </c>
      <c r="C1465" s="18">
        <f>IF(NOT(ISNUMBER($A1465)),NA(),IFERROR(1*INDEX(BBG_Data!$D$2:$D$4000,MATCH($A1465,BBG_Data!$C$2:$C$4000,0)),NA()))</f>
        <v/>
      </c>
      <c r="D1465" s="19">
        <f>IF(NOT(ISNUMBER($A1465)),NA(),IFERROR(1*INDEX(BBG_Data!$F$2:$F$4000,MATCH($A1465,BBG_Data!$E$2:$E$4000,0)),NA()))</f>
        <v/>
      </c>
      <c r="E1465" s="19">
        <f>IF(NOT(ISNUMBER($A1465)),NA(),IFERROR(1*INDEX(BBG_Data!$H$2:$H$4000,MATCH($A1465,BBG_Data!$G$2:$G$4000,0)),NA()))</f>
        <v/>
      </c>
      <c r="F1465" s="20">
        <f>IF(AND(ISNUMBER(B1465),ISNUMBER(B1464)),IF(B1465=B1464,"",(B1465-B1464)*100),"")</f>
        <v/>
      </c>
      <c r="G1465" s="20">
        <f>IF(AND(ISNUMBER(C1465),ISNUMBER(C1464)),IF(C1465=C1464,"",(C1465-C1464)*100),"")</f>
        <v/>
      </c>
      <c r="H1465" s="20">
        <f>IF(OR(NOT(ISNUMBER($A1465)),ROW()-2&lt;Settings!$B$11),NA(),IF(COUNT(OFFSET(F1465,1-Settings!$B$11,0,Settings!$B$11,1))&lt;ROUNDUP(Settings!$B$11*Settings!$B$26,0),NA(),STDEV(OFFSET(F1465,1-Settings!$B$11,0,Settings!$B$11,1))*SQRT(Settings!$B$13)))</f>
        <v/>
      </c>
      <c r="I1465" s="20">
        <f>IF(OR(NOT(ISNUMBER($A1465)),ROW()-2&lt;Settings!$B$12),NA(),IF(COUNT(OFFSET(F1465,1-Settings!$B$12,0,Settings!$B$12,1))&lt;ROUNDUP(Settings!$B$12*Settings!$B$26,0),NA(),STDEV(OFFSET(F1465,1-Settings!$B$12,0,Settings!$B$12,1))*SQRT(Settings!$B$13)))</f>
        <v/>
      </c>
      <c r="J1465" s="20">
        <f>IF(OR(NOT(ISNUMBER($A1465)),ROW()-2&lt;Settings!$B$11),NA(),IF(COUNT(OFFSET(G1465,1-Settings!$B$11,0,Settings!$B$11,1))&lt;ROUNDUP(Settings!$B$11*Settings!$B$26,0),NA(),STDEV(OFFSET(G1465,1-Settings!$B$11,0,Settings!$B$11,1))*SQRT(Settings!$B$13)))</f>
        <v/>
      </c>
      <c r="K1465" s="20">
        <f>IF(OR(NOT(ISNUMBER($A1465)),ROW()-2&lt;Settings!$B$12),NA(),IF(COUNT(OFFSET(G1465,1-Settings!$B$12,0,Settings!$B$12,1))&lt;ROUNDUP(Settings!$B$12*Settings!$B$26,0),NA(),STDEV(OFFSET(G1465,1-Settings!$B$12,0,Settings!$B$12,1))*SQRT(Settings!$B$13)))</f>
        <v/>
      </c>
      <c r="L1465" s="20">
        <f>IF(AND(ISNUMBER(D1465),ISNUMBER(H1465)),D1465-H1465,NA())</f>
        <v/>
      </c>
      <c r="M1465" s="20">
        <f>IF(AND(ISNUMBER(E1465),ISNUMBER(K1465)),E1465-K1465,NA())</f>
        <v/>
      </c>
      <c r="N1465" s="20">
        <f>IF(NOT(ISNUMBER($A1465)),NA(),IF(COUNT(OFFSET(G1465,1,0,Settings!$B$12,1))&lt;ROUNDUP(Settings!$B$12*Settings!$B$26,0),NA(),STDEV(OFFSET(G1465,1,0,Settings!$B$12,1))*SQRT(Settings!$B$13)))</f>
        <v/>
      </c>
      <c r="O1465" s="20">
        <f>IF(AND(ISNUMBER(E1465),ISNUMBER(N1465)),E1465-N1465,NA())</f>
        <v/>
      </c>
      <c r="P1465" s="19">
        <f>IF(NOT(ISNUMBER($A1465)),NA(),IF(OR($A1465&lt;MIN(KW_TP!$A$2:$A$2501),$A1465&gt;MAX(KW_TP!$A$2:$A$2501)),NA(),INDEX(KW_TP!$C$2:$C$2501,MATCH($A1465,KW_TP!$A$2:$A$2501,1))))</f>
        <v/>
      </c>
      <c r="Q1465" s="18">
        <f>IF(NOT(ISNUMBER($A1465)),NA(),IFERROR(1*INDEX(BBG_Data!$J$2:$J$4000,MATCH($A1465,BBG_Data!$I$2:$I$4000,0)),NA()))</f>
        <v/>
      </c>
      <c r="R1465" s="18">
        <f>IF(NOT(ISNUMBER($A1465)),NA(),IFERROR(1*INDEX(BBG_Data!$L$2:$L$4000,MATCH($A1465,BBG_Data!$K$2:$K$4000,0)),NA()))</f>
        <v/>
      </c>
      <c r="S1465" s="20">
        <f>IF(AND(ISNUMBER(B1465),ISNUMBER(Q1465),ISNUMBER(R1465)),(B1465-Q1465-R1465)*100,NA())</f>
        <v/>
      </c>
      <c r="T1465" s="20">
        <f>IF(AND(ISNUMBER(B1465),Settings!$B$17&gt;0),IF(ISNUMBER(INDEX($B:$B,Settings!$B$17)),(B1465-INDEX($B:$B,Settings!$B$17))*100,NA()),NA())</f>
        <v/>
      </c>
      <c r="U1465" s="20">
        <f>IF(AND(ISNUMBER(Q1465),Settings!$B$17&gt;0),IF(ISNUMBER(INDEX($Q:$Q,Settings!$B$17)),(Q1465-INDEX($Q:$Q,Settings!$B$17))*100,NA()),NA())</f>
        <v/>
      </c>
      <c r="V1465" s="20">
        <f>IF(AND(ISNUMBER(R1465),Settings!$B$17&gt;0),IF(ISNUMBER(INDEX($R:$R,Settings!$B$17)),(R1465-INDEX($R:$R,Settings!$B$17))*100,NA()),NA())</f>
        <v/>
      </c>
      <c r="W1465" s="20">
        <f>IF(AND(ISNUMBER(P1465),Settings!$B$17&gt;0),IF(ISNUMBER(INDEX($P:$P,Settings!$B$17)),P1465-INDEX($P:$P,Settings!$B$17),NA()),NA())</f>
        <v/>
      </c>
      <c r="X1465" s="19">
        <f>IF(NOT(ISNUMBER($A1465)),NA(),IF(OR($A1465&lt;MIN(DKW_10Y!$A$2:$A$2918),$A1465&gt;MAX(DKW_10Y!$A$2:$A$2918),Settings!$B$16&lt;MIN(DKW_10Y!$A$2:$A$2918)),NA(),(INDEX(DKW_10Y!$B$2:$B$2918,MATCH($A1465,DKW_10Y!$A$2:$A$2918,1))-INDEX(DKW_10Y!$B$2:$B$2918,MATCH(Settings!$B$16,DKW_10Y!$A$2:$A$2918,1)))*100))</f>
        <v/>
      </c>
      <c r="Y1465" s="19">
        <f>IF(NOT(ISNUMBER($A1465)),NA(),IF(OR($A1465&lt;MIN(DKW_10Y!$A$2:$A$2918),$A1465&gt;MAX(DKW_10Y!$A$2:$A$2918),Settings!$B$16&lt;MIN(DKW_10Y!$A$2:$A$2918)),NA(),(INDEX(DKW_10Y!$C$2:$C$2918,MATCH($A1465,DKW_10Y!$A$2:$A$2918,1))-INDEX(DKW_10Y!$C$2:$C$2918,MATCH(Settings!$B$16,DKW_10Y!$A$2:$A$2918,1)))*100))</f>
        <v/>
      </c>
      <c r="Z1465" s="19">
        <f>IF(NOT(ISNUMBER($A1465)),NA(),IF(OR($A1465&lt;MIN(DKW_10Y!$A$2:$A$2918),$A1465&gt;MAX(DKW_10Y!$A$2:$A$2918),Settings!$B$16&lt;MIN(DKW_10Y!$A$2:$A$2918)),NA(),(INDEX(DKW_10Y!$D$2:$D$2918,MATCH($A1465,DKW_10Y!$A$2:$A$2918,1))-INDEX(DKW_10Y!$D$2:$D$2918,MATCH(Settings!$B$16,DKW_10Y!$A$2:$A$2918,1)))*100))</f>
        <v/>
      </c>
      <c r="AA1465" s="19">
        <f>IF(NOT(ISNUMBER($A1465)),NA(),IF(OR($A1465&lt;MIN(DKW_10Y!$A$2:$A$2918),$A1465&gt;MAX(DKW_10Y!$A$2:$A$2918),Settings!$B$16&lt;MIN(DKW_10Y!$A$2:$A$2918)),NA(),(INDEX(DKW_10Y!$E$2:$E$2918,MATCH($A1465,DKW_10Y!$A$2:$A$2918,1))-INDEX(DKW_10Y!$E$2:$E$2918,MATCH(Settings!$B$16,DKW_10Y!$A$2:$A$2918,1)))*100))</f>
        <v/>
      </c>
      <c r="AB1465" s="19">
        <f>IF(NOT(ISNUMBER($A1465)),NA(),IF(OR($A1465&lt;MIN(DKW_10Y!$A$2:$A$2918),$A1465&gt;MAX(DKW_10Y!$A$2:$A$2918),Settings!$B$16&lt;MIN(DKW_10Y!$A$2:$A$2918)),NA(),(INDEX(DKW_10Y!$H$2:$H$2918,MATCH($A1465,DKW_10Y!$A$2:$A$2918,1))-INDEX(DKW_10Y!$H$2:$H$2918,MATCH(Settings!$B$16,DKW_10Y!$A$2:$A$2918,1)))*100))</f>
        <v/>
      </c>
      <c r="AC1465" s="18">
        <f>IF(NOT(ISNUMBER($A1465)),NA(),IFERROR(1*INDEX(BBG_Data!$N$2:$N$4000,MATCH($A1465,BBG_Data!$M$2:$M$4000,0)),NA()))</f>
        <v/>
      </c>
      <c r="AD1465" s="18">
        <f>IF(NOT(ISNUMBER($A1465)),NA(),IFERROR(1*INDEX(BBG_Data!$P$2:$P$4000,MATCH($A1465,BBG_Data!$O$2:$O$4000,0)),NA()))</f>
        <v/>
      </c>
      <c r="AE1465" s="18">
        <f>IF(NOT(ISNUMBER($A1465)),NA(),IFERROR(1*INDEX(BBG_Data!$R$2:$R$4000,MATCH($A1465,BBG_Data!$Q$2:$Q$4000,0)),NA()))</f>
        <v/>
      </c>
      <c r="AF1465" s="20">
        <f>IF(AND(ISNUMBER(B1465),ISNUMBER(AC1465)),(B1465-AC1465)*100,NA())</f>
        <v/>
      </c>
      <c r="AG1465" s="20">
        <f>IF(AND(ISNUMBER(AE1465),ISNUMBER(AD1465)),(AE1465-AD1465)*100,NA())</f>
        <v/>
      </c>
      <c r="AH1465" s="19">
        <f>IF(NOT(ISNUMBER($A1465)),NA(),IFERROR(INDEX(BBG_Data!$T$2:$T$4000,MATCH($A1465,BBG_Data!$S$2:$S$4000,0))*Settings!$B$25,NA()))</f>
        <v/>
      </c>
      <c r="AI1465" s="19">
        <f>IF(NOT(ISNUMBER($A1465)),NA(),IFERROR(INDEX(BBG_Data!$V$2:$V$4000,MATCH($A1465,BBG_Data!$U$2:$U$4000,0))*Settings!$B$25,NA()))</f>
        <v/>
      </c>
      <c r="AJ1465" s="19">
        <f>IF(NOT(ISNUMBER($A1465)),NA(),IFERROR(1*INDEX(BBG_Data!$X$2:$X$4000,MATCH($A1465,BBG_Data!$W$2:$W$4000,0)),NA()))</f>
        <v/>
      </c>
      <c r="AK1465" s="19">
        <f>IF(NOT(ISNUMBER($A1465)),NA(),IFERROR(1*INDEX(BBG_Data!$Z$2:$Z$4000,MATCH($A1465,BBG_Data!$Y$2:$Y$4000,0)),NA()))</f>
        <v/>
      </c>
    </row>
    <row r="1466">
      <c r="A1466" s="17">
        <f>IF(ISNUMBER(BBG_Data!A1466),BBG_Data!A1466,"")</f>
        <v/>
      </c>
      <c r="B1466" s="18">
        <f>IF(AND(ISNUMBER($A1466),ISNUMBER(BBG_Data!B1466)),BBG_Data!B1466,NA())</f>
        <v/>
      </c>
      <c r="C1466" s="18">
        <f>IF(NOT(ISNUMBER($A1466)),NA(),IFERROR(1*INDEX(BBG_Data!$D$2:$D$4000,MATCH($A1466,BBG_Data!$C$2:$C$4000,0)),NA()))</f>
        <v/>
      </c>
      <c r="D1466" s="19">
        <f>IF(NOT(ISNUMBER($A1466)),NA(),IFERROR(1*INDEX(BBG_Data!$F$2:$F$4000,MATCH($A1466,BBG_Data!$E$2:$E$4000,0)),NA()))</f>
        <v/>
      </c>
      <c r="E1466" s="19">
        <f>IF(NOT(ISNUMBER($A1466)),NA(),IFERROR(1*INDEX(BBG_Data!$H$2:$H$4000,MATCH($A1466,BBG_Data!$G$2:$G$4000,0)),NA()))</f>
        <v/>
      </c>
      <c r="F1466" s="20">
        <f>IF(AND(ISNUMBER(B1466),ISNUMBER(B1465)),IF(B1466=B1465,"",(B1466-B1465)*100),"")</f>
        <v/>
      </c>
      <c r="G1466" s="20">
        <f>IF(AND(ISNUMBER(C1466),ISNUMBER(C1465)),IF(C1466=C1465,"",(C1466-C1465)*100),"")</f>
        <v/>
      </c>
      <c r="H1466" s="20">
        <f>IF(OR(NOT(ISNUMBER($A1466)),ROW()-2&lt;Settings!$B$11),NA(),IF(COUNT(OFFSET(F1466,1-Settings!$B$11,0,Settings!$B$11,1))&lt;ROUNDUP(Settings!$B$11*Settings!$B$26,0),NA(),STDEV(OFFSET(F1466,1-Settings!$B$11,0,Settings!$B$11,1))*SQRT(Settings!$B$13)))</f>
        <v/>
      </c>
      <c r="I1466" s="20">
        <f>IF(OR(NOT(ISNUMBER($A1466)),ROW()-2&lt;Settings!$B$12),NA(),IF(COUNT(OFFSET(F1466,1-Settings!$B$12,0,Settings!$B$12,1))&lt;ROUNDUP(Settings!$B$12*Settings!$B$26,0),NA(),STDEV(OFFSET(F1466,1-Settings!$B$12,0,Settings!$B$12,1))*SQRT(Settings!$B$13)))</f>
        <v/>
      </c>
      <c r="J1466" s="20">
        <f>IF(OR(NOT(ISNUMBER($A1466)),ROW()-2&lt;Settings!$B$11),NA(),IF(COUNT(OFFSET(G1466,1-Settings!$B$11,0,Settings!$B$11,1))&lt;ROUNDUP(Settings!$B$11*Settings!$B$26,0),NA(),STDEV(OFFSET(G1466,1-Settings!$B$11,0,Settings!$B$11,1))*SQRT(Settings!$B$13)))</f>
        <v/>
      </c>
      <c r="K1466" s="20">
        <f>IF(OR(NOT(ISNUMBER($A1466)),ROW()-2&lt;Settings!$B$12),NA(),IF(COUNT(OFFSET(G1466,1-Settings!$B$12,0,Settings!$B$12,1))&lt;ROUNDUP(Settings!$B$12*Settings!$B$26,0),NA(),STDEV(OFFSET(G1466,1-Settings!$B$12,0,Settings!$B$12,1))*SQRT(Settings!$B$13)))</f>
        <v/>
      </c>
      <c r="L1466" s="20">
        <f>IF(AND(ISNUMBER(D1466),ISNUMBER(H1466)),D1466-H1466,NA())</f>
        <v/>
      </c>
      <c r="M1466" s="20">
        <f>IF(AND(ISNUMBER(E1466),ISNUMBER(K1466)),E1466-K1466,NA())</f>
        <v/>
      </c>
      <c r="N1466" s="20">
        <f>IF(NOT(ISNUMBER($A1466)),NA(),IF(COUNT(OFFSET(G1466,1,0,Settings!$B$12,1))&lt;ROUNDUP(Settings!$B$12*Settings!$B$26,0),NA(),STDEV(OFFSET(G1466,1,0,Settings!$B$12,1))*SQRT(Settings!$B$13)))</f>
        <v/>
      </c>
      <c r="O1466" s="20">
        <f>IF(AND(ISNUMBER(E1466),ISNUMBER(N1466)),E1466-N1466,NA())</f>
        <v/>
      </c>
      <c r="P1466" s="19">
        <f>IF(NOT(ISNUMBER($A1466)),NA(),IF(OR($A1466&lt;MIN(KW_TP!$A$2:$A$2501),$A1466&gt;MAX(KW_TP!$A$2:$A$2501)),NA(),INDEX(KW_TP!$C$2:$C$2501,MATCH($A1466,KW_TP!$A$2:$A$2501,1))))</f>
        <v/>
      </c>
      <c r="Q1466" s="18">
        <f>IF(NOT(ISNUMBER($A1466)),NA(),IFERROR(1*INDEX(BBG_Data!$J$2:$J$4000,MATCH($A1466,BBG_Data!$I$2:$I$4000,0)),NA()))</f>
        <v/>
      </c>
      <c r="R1466" s="18">
        <f>IF(NOT(ISNUMBER($A1466)),NA(),IFERROR(1*INDEX(BBG_Data!$L$2:$L$4000,MATCH($A1466,BBG_Data!$K$2:$K$4000,0)),NA()))</f>
        <v/>
      </c>
      <c r="S1466" s="20">
        <f>IF(AND(ISNUMBER(B1466),ISNUMBER(Q1466),ISNUMBER(R1466)),(B1466-Q1466-R1466)*100,NA())</f>
        <v/>
      </c>
      <c r="T1466" s="20">
        <f>IF(AND(ISNUMBER(B1466),Settings!$B$17&gt;0),IF(ISNUMBER(INDEX($B:$B,Settings!$B$17)),(B1466-INDEX($B:$B,Settings!$B$17))*100,NA()),NA())</f>
        <v/>
      </c>
      <c r="U1466" s="20">
        <f>IF(AND(ISNUMBER(Q1466),Settings!$B$17&gt;0),IF(ISNUMBER(INDEX($Q:$Q,Settings!$B$17)),(Q1466-INDEX($Q:$Q,Settings!$B$17))*100,NA()),NA())</f>
        <v/>
      </c>
      <c r="V1466" s="20">
        <f>IF(AND(ISNUMBER(R1466),Settings!$B$17&gt;0),IF(ISNUMBER(INDEX($R:$R,Settings!$B$17)),(R1466-INDEX($R:$R,Settings!$B$17))*100,NA()),NA())</f>
        <v/>
      </c>
      <c r="W1466" s="20">
        <f>IF(AND(ISNUMBER(P1466),Settings!$B$17&gt;0),IF(ISNUMBER(INDEX($P:$P,Settings!$B$17)),P1466-INDEX($P:$P,Settings!$B$17),NA()),NA())</f>
        <v/>
      </c>
      <c r="X1466" s="19">
        <f>IF(NOT(ISNUMBER($A1466)),NA(),IF(OR($A1466&lt;MIN(DKW_10Y!$A$2:$A$2918),$A1466&gt;MAX(DKW_10Y!$A$2:$A$2918),Settings!$B$16&lt;MIN(DKW_10Y!$A$2:$A$2918)),NA(),(INDEX(DKW_10Y!$B$2:$B$2918,MATCH($A1466,DKW_10Y!$A$2:$A$2918,1))-INDEX(DKW_10Y!$B$2:$B$2918,MATCH(Settings!$B$16,DKW_10Y!$A$2:$A$2918,1)))*100))</f>
        <v/>
      </c>
      <c r="Y1466" s="19">
        <f>IF(NOT(ISNUMBER($A1466)),NA(),IF(OR($A1466&lt;MIN(DKW_10Y!$A$2:$A$2918),$A1466&gt;MAX(DKW_10Y!$A$2:$A$2918),Settings!$B$16&lt;MIN(DKW_10Y!$A$2:$A$2918)),NA(),(INDEX(DKW_10Y!$C$2:$C$2918,MATCH($A1466,DKW_10Y!$A$2:$A$2918,1))-INDEX(DKW_10Y!$C$2:$C$2918,MATCH(Settings!$B$16,DKW_10Y!$A$2:$A$2918,1)))*100))</f>
        <v/>
      </c>
      <c r="Z1466" s="19">
        <f>IF(NOT(ISNUMBER($A1466)),NA(),IF(OR($A1466&lt;MIN(DKW_10Y!$A$2:$A$2918),$A1466&gt;MAX(DKW_10Y!$A$2:$A$2918),Settings!$B$16&lt;MIN(DKW_10Y!$A$2:$A$2918)),NA(),(INDEX(DKW_10Y!$D$2:$D$2918,MATCH($A1466,DKW_10Y!$A$2:$A$2918,1))-INDEX(DKW_10Y!$D$2:$D$2918,MATCH(Settings!$B$16,DKW_10Y!$A$2:$A$2918,1)))*100))</f>
        <v/>
      </c>
      <c r="AA1466" s="19">
        <f>IF(NOT(ISNUMBER($A1466)),NA(),IF(OR($A1466&lt;MIN(DKW_10Y!$A$2:$A$2918),$A1466&gt;MAX(DKW_10Y!$A$2:$A$2918),Settings!$B$16&lt;MIN(DKW_10Y!$A$2:$A$2918)),NA(),(INDEX(DKW_10Y!$E$2:$E$2918,MATCH($A1466,DKW_10Y!$A$2:$A$2918,1))-INDEX(DKW_10Y!$E$2:$E$2918,MATCH(Settings!$B$16,DKW_10Y!$A$2:$A$2918,1)))*100))</f>
        <v/>
      </c>
      <c r="AB1466" s="19">
        <f>IF(NOT(ISNUMBER($A1466)),NA(),IF(OR($A1466&lt;MIN(DKW_10Y!$A$2:$A$2918),$A1466&gt;MAX(DKW_10Y!$A$2:$A$2918),Settings!$B$16&lt;MIN(DKW_10Y!$A$2:$A$2918)),NA(),(INDEX(DKW_10Y!$H$2:$H$2918,MATCH($A1466,DKW_10Y!$A$2:$A$2918,1))-INDEX(DKW_10Y!$H$2:$H$2918,MATCH(Settings!$B$16,DKW_10Y!$A$2:$A$2918,1)))*100))</f>
        <v/>
      </c>
      <c r="AC1466" s="18">
        <f>IF(NOT(ISNUMBER($A1466)),NA(),IFERROR(1*INDEX(BBG_Data!$N$2:$N$4000,MATCH($A1466,BBG_Data!$M$2:$M$4000,0)),NA()))</f>
        <v/>
      </c>
      <c r="AD1466" s="18">
        <f>IF(NOT(ISNUMBER($A1466)),NA(),IFERROR(1*INDEX(BBG_Data!$P$2:$P$4000,MATCH($A1466,BBG_Data!$O$2:$O$4000,0)),NA()))</f>
        <v/>
      </c>
      <c r="AE1466" s="18">
        <f>IF(NOT(ISNUMBER($A1466)),NA(),IFERROR(1*INDEX(BBG_Data!$R$2:$R$4000,MATCH($A1466,BBG_Data!$Q$2:$Q$4000,0)),NA()))</f>
        <v/>
      </c>
      <c r="AF1466" s="20">
        <f>IF(AND(ISNUMBER(B1466),ISNUMBER(AC1466)),(B1466-AC1466)*100,NA())</f>
        <v/>
      </c>
      <c r="AG1466" s="20">
        <f>IF(AND(ISNUMBER(AE1466),ISNUMBER(AD1466)),(AE1466-AD1466)*100,NA())</f>
        <v/>
      </c>
      <c r="AH1466" s="19">
        <f>IF(NOT(ISNUMBER($A1466)),NA(),IFERROR(INDEX(BBG_Data!$T$2:$T$4000,MATCH($A1466,BBG_Data!$S$2:$S$4000,0))*Settings!$B$25,NA()))</f>
        <v/>
      </c>
      <c r="AI1466" s="19">
        <f>IF(NOT(ISNUMBER($A1466)),NA(),IFERROR(INDEX(BBG_Data!$V$2:$V$4000,MATCH($A1466,BBG_Data!$U$2:$U$4000,0))*Settings!$B$25,NA()))</f>
        <v/>
      </c>
      <c r="AJ1466" s="19">
        <f>IF(NOT(ISNUMBER($A1466)),NA(),IFERROR(1*INDEX(BBG_Data!$X$2:$X$4000,MATCH($A1466,BBG_Data!$W$2:$W$4000,0)),NA()))</f>
        <v/>
      </c>
      <c r="AK1466" s="19">
        <f>IF(NOT(ISNUMBER($A1466)),NA(),IFERROR(1*INDEX(BBG_Data!$Z$2:$Z$4000,MATCH($A1466,BBG_Data!$Y$2:$Y$4000,0)),NA()))</f>
        <v/>
      </c>
    </row>
    <row r="1467">
      <c r="A1467" s="17">
        <f>IF(ISNUMBER(BBG_Data!A1467),BBG_Data!A1467,"")</f>
        <v/>
      </c>
      <c r="B1467" s="18">
        <f>IF(AND(ISNUMBER($A1467),ISNUMBER(BBG_Data!B1467)),BBG_Data!B1467,NA())</f>
        <v/>
      </c>
      <c r="C1467" s="18">
        <f>IF(NOT(ISNUMBER($A1467)),NA(),IFERROR(1*INDEX(BBG_Data!$D$2:$D$4000,MATCH($A1467,BBG_Data!$C$2:$C$4000,0)),NA()))</f>
        <v/>
      </c>
      <c r="D1467" s="19">
        <f>IF(NOT(ISNUMBER($A1467)),NA(),IFERROR(1*INDEX(BBG_Data!$F$2:$F$4000,MATCH($A1467,BBG_Data!$E$2:$E$4000,0)),NA()))</f>
        <v/>
      </c>
      <c r="E1467" s="19">
        <f>IF(NOT(ISNUMBER($A1467)),NA(),IFERROR(1*INDEX(BBG_Data!$H$2:$H$4000,MATCH($A1467,BBG_Data!$G$2:$G$4000,0)),NA()))</f>
        <v/>
      </c>
      <c r="F1467" s="20">
        <f>IF(AND(ISNUMBER(B1467),ISNUMBER(B1466)),IF(B1467=B1466,"",(B1467-B1466)*100),"")</f>
        <v/>
      </c>
      <c r="G1467" s="20">
        <f>IF(AND(ISNUMBER(C1467),ISNUMBER(C1466)),IF(C1467=C1466,"",(C1467-C1466)*100),"")</f>
        <v/>
      </c>
      <c r="H1467" s="20">
        <f>IF(OR(NOT(ISNUMBER($A1467)),ROW()-2&lt;Settings!$B$11),NA(),IF(COUNT(OFFSET(F1467,1-Settings!$B$11,0,Settings!$B$11,1))&lt;ROUNDUP(Settings!$B$11*Settings!$B$26,0),NA(),STDEV(OFFSET(F1467,1-Settings!$B$11,0,Settings!$B$11,1))*SQRT(Settings!$B$13)))</f>
        <v/>
      </c>
      <c r="I1467" s="20">
        <f>IF(OR(NOT(ISNUMBER($A1467)),ROW()-2&lt;Settings!$B$12),NA(),IF(COUNT(OFFSET(F1467,1-Settings!$B$12,0,Settings!$B$12,1))&lt;ROUNDUP(Settings!$B$12*Settings!$B$26,0),NA(),STDEV(OFFSET(F1467,1-Settings!$B$12,0,Settings!$B$12,1))*SQRT(Settings!$B$13)))</f>
        <v/>
      </c>
      <c r="J1467" s="20">
        <f>IF(OR(NOT(ISNUMBER($A1467)),ROW()-2&lt;Settings!$B$11),NA(),IF(COUNT(OFFSET(G1467,1-Settings!$B$11,0,Settings!$B$11,1))&lt;ROUNDUP(Settings!$B$11*Settings!$B$26,0),NA(),STDEV(OFFSET(G1467,1-Settings!$B$11,0,Settings!$B$11,1))*SQRT(Settings!$B$13)))</f>
        <v/>
      </c>
      <c r="K1467" s="20">
        <f>IF(OR(NOT(ISNUMBER($A1467)),ROW()-2&lt;Settings!$B$12),NA(),IF(COUNT(OFFSET(G1467,1-Settings!$B$12,0,Settings!$B$12,1))&lt;ROUNDUP(Settings!$B$12*Settings!$B$26,0),NA(),STDEV(OFFSET(G1467,1-Settings!$B$12,0,Settings!$B$12,1))*SQRT(Settings!$B$13)))</f>
        <v/>
      </c>
      <c r="L1467" s="20">
        <f>IF(AND(ISNUMBER(D1467),ISNUMBER(H1467)),D1467-H1467,NA())</f>
        <v/>
      </c>
      <c r="M1467" s="20">
        <f>IF(AND(ISNUMBER(E1467),ISNUMBER(K1467)),E1467-K1467,NA())</f>
        <v/>
      </c>
      <c r="N1467" s="20">
        <f>IF(NOT(ISNUMBER($A1467)),NA(),IF(COUNT(OFFSET(G1467,1,0,Settings!$B$12,1))&lt;ROUNDUP(Settings!$B$12*Settings!$B$26,0),NA(),STDEV(OFFSET(G1467,1,0,Settings!$B$12,1))*SQRT(Settings!$B$13)))</f>
        <v/>
      </c>
      <c r="O1467" s="20">
        <f>IF(AND(ISNUMBER(E1467),ISNUMBER(N1467)),E1467-N1467,NA())</f>
        <v/>
      </c>
      <c r="P1467" s="19">
        <f>IF(NOT(ISNUMBER($A1467)),NA(),IF(OR($A1467&lt;MIN(KW_TP!$A$2:$A$2501),$A1467&gt;MAX(KW_TP!$A$2:$A$2501)),NA(),INDEX(KW_TP!$C$2:$C$2501,MATCH($A1467,KW_TP!$A$2:$A$2501,1))))</f>
        <v/>
      </c>
      <c r="Q1467" s="18">
        <f>IF(NOT(ISNUMBER($A1467)),NA(),IFERROR(1*INDEX(BBG_Data!$J$2:$J$4000,MATCH($A1467,BBG_Data!$I$2:$I$4000,0)),NA()))</f>
        <v/>
      </c>
      <c r="R1467" s="18">
        <f>IF(NOT(ISNUMBER($A1467)),NA(),IFERROR(1*INDEX(BBG_Data!$L$2:$L$4000,MATCH($A1467,BBG_Data!$K$2:$K$4000,0)),NA()))</f>
        <v/>
      </c>
      <c r="S1467" s="20">
        <f>IF(AND(ISNUMBER(B1467),ISNUMBER(Q1467),ISNUMBER(R1467)),(B1467-Q1467-R1467)*100,NA())</f>
        <v/>
      </c>
      <c r="T1467" s="20">
        <f>IF(AND(ISNUMBER(B1467),Settings!$B$17&gt;0),IF(ISNUMBER(INDEX($B:$B,Settings!$B$17)),(B1467-INDEX($B:$B,Settings!$B$17))*100,NA()),NA())</f>
        <v/>
      </c>
      <c r="U1467" s="20">
        <f>IF(AND(ISNUMBER(Q1467),Settings!$B$17&gt;0),IF(ISNUMBER(INDEX($Q:$Q,Settings!$B$17)),(Q1467-INDEX($Q:$Q,Settings!$B$17))*100,NA()),NA())</f>
        <v/>
      </c>
      <c r="V1467" s="20">
        <f>IF(AND(ISNUMBER(R1467),Settings!$B$17&gt;0),IF(ISNUMBER(INDEX($R:$R,Settings!$B$17)),(R1467-INDEX($R:$R,Settings!$B$17))*100,NA()),NA())</f>
        <v/>
      </c>
      <c r="W1467" s="20">
        <f>IF(AND(ISNUMBER(P1467),Settings!$B$17&gt;0),IF(ISNUMBER(INDEX($P:$P,Settings!$B$17)),P1467-INDEX($P:$P,Settings!$B$17),NA()),NA())</f>
        <v/>
      </c>
      <c r="X1467" s="19">
        <f>IF(NOT(ISNUMBER($A1467)),NA(),IF(OR($A1467&lt;MIN(DKW_10Y!$A$2:$A$2918),$A1467&gt;MAX(DKW_10Y!$A$2:$A$2918),Settings!$B$16&lt;MIN(DKW_10Y!$A$2:$A$2918)),NA(),(INDEX(DKW_10Y!$B$2:$B$2918,MATCH($A1467,DKW_10Y!$A$2:$A$2918,1))-INDEX(DKW_10Y!$B$2:$B$2918,MATCH(Settings!$B$16,DKW_10Y!$A$2:$A$2918,1)))*100))</f>
        <v/>
      </c>
      <c r="Y1467" s="19">
        <f>IF(NOT(ISNUMBER($A1467)),NA(),IF(OR($A1467&lt;MIN(DKW_10Y!$A$2:$A$2918),$A1467&gt;MAX(DKW_10Y!$A$2:$A$2918),Settings!$B$16&lt;MIN(DKW_10Y!$A$2:$A$2918)),NA(),(INDEX(DKW_10Y!$C$2:$C$2918,MATCH($A1467,DKW_10Y!$A$2:$A$2918,1))-INDEX(DKW_10Y!$C$2:$C$2918,MATCH(Settings!$B$16,DKW_10Y!$A$2:$A$2918,1)))*100))</f>
        <v/>
      </c>
      <c r="Z1467" s="19">
        <f>IF(NOT(ISNUMBER($A1467)),NA(),IF(OR($A1467&lt;MIN(DKW_10Y!$A$2:$A$2918),$A1467&gt;MAX(DKW_10Y!$A$2:$A$2918),Settings!$B$16&lt;MIN(DKW_10Y!$A$2:$A$2918)),NA(),(INDEX(DKW_10Y!$D$2:$D$2918,MATCH($A1467,DKW_10Y!$A$2:$A$2918,1))-INDEX(DKW_10Y!$D$2:$D$2918,MATCH(Settings!$B$16,DKW_10Y!$A$2:$A$2918,1)))*100))</f>
        <v/>
      </c>
      <c r="AA1467" s="19">
        <f>IF(NOT(ISNUMBER($A1467)),NA(),IF(OR($A1467&lt;MIN(DKW_10Y!$A$2:$A$2918),$A1467&gt;MAX(DKW_10Y!$A$2:$A$2918),Settings!$B$16&lt;MIN(DKW_10Y!$A$2:$A$2918)),NA(),(INDEX(DKW_10Y!$E$2:$E$2918,MATCH($A1467,DKW_10Y!$A$2:$A$2918,1))-INDEX(DKW_10Y!$E$2:$E$2918,MATCH(Settings!$B$16,DKW_10Y!$A$2:$A$2918,1)))*100))</f>
        <v/>
      </c>
      <c r="AB1467" s="19">
        <f>IF(NOT(ISNUMBER($A1467)),NA(),IF(OR($A1467&lt;MIN(DKW_10Y!$A$2:$A$2918),$A1467&gt;MAX(DKW_10Y!$A$2:$A$2918),Settings!$B$16&lt;MIN(DKW_10Y!$A$2:$A$2918)),NA(),(INDEX(DKW_10Y!$H$2:$H$2918,MATCH($A1467,DKW_10Y!$A$2:$A$2918,1))-INDEX(DKW_10Y!$H$2:$H$2918,MATCH(Settings!$B$16,DKW_10Y!$A$2:$A$2918,1)))*100))</f>
        <v/>
      </c>
      <c r="AC1467" s="18">
        <f>IF(NOT(ISNUMBER($A1467)),NA(),IFERROR(1*INDEX(BBG_Data!$N$2:$N$4000,MATCH($A1467,BBG_Data!$M$2:$M$4000,0)),NA()))</f>
        <v/>
      </c>
      <c r="AD1467" s="18">
        <f>IF(NOT(ISNUMBER($A1467)),NA(),IFERROR(1*INDEX(BBG_Data!$P$2:$P$4000,MATCH($A1467,BBG_Data!$O$2:$O$4000,0)),NA()))</f>
        <v/>
      </c>
      <c r="AE1467" s="18">
        <f>IF(NOT(ISNUMBER($A1467)),NA(),IFERROR(1*INDEX(BBG_Data!$R$2:$R$4000,MATCH($A1467,BBG_Data!$Q$2:$Q$4000,0)),NA()))</f>
        <v/>
      </c>
      <c r="AF1467" s="20">
        <f>IF(AND(ISNUMBER(B1467),ISNUMBER(AC1467)),(B1467-AC1467)*100,NA())</f>
        <v/>
      </c>
      <c r="AG1467" s="20">
        <f>IF(AND(ISNUMBER(AE1467),ISNUMBER(AD1467)),(AE1467-AD1467)*100,NA())</f>
        <v/>
      </c>
      <c r="AH1467" s="19">
        <f>IF(NOT(ISNUMBER($A1467)),NA(),IFERROR(INDEX(BBG_Data!$T$2:$T$4000,MATCH($A1467,BBG_Data!$S$2:$S$4000,0))*Settings!$B$25,NA()))</f>
        <v/>
      </c>
      <c r="AI1467" s="19">
        <f>IF(NOT(ISNUMBER($A1467)),NA(),IFERROR(INDEX(BBG_Data!$V$2:$V$4000,MATCH($A1467,BBG_Data!$U$2:$U$4000,0))*Settings!$B$25,NA()))</f>
        <v/>
      </c>
      <c r="AJ1467" s="19">
        <f>IF(NOT(ISNUMBER($A1467)),NA(),IFERROR(1*INDEX(BBG_Data!$X$2:$X$4000,MATCH($A1467,BBG_Data!$W$2:$W$4000,0)),NA()))</f>
        <v/>
      </c>
      <c r="AK1467" s="19">
        <f>IF(NOT(ISNUMBER($A1467)),NA(),IFERROR(1*INDEX(BBG_Data!$Z$2:$Z$4000,MATCH($A1467,BBG_Data!$Y$2:$Y$4000,0)),NA()))</f>
        <v/>
      </c>
    </row>
    <row r="1468">
      <c r="A1468" s="17">
        <f>IF(ISNUMBER(BBG_Data!A1468),BBG_Data!A1468,"")</f>
        <v/>
      </c>
      <c r="B1468" s="18">
        <f>IF(AND(ISNUMBER($A1468),ISNUMBER(BBG_Data!B1468)),BBG_Data!B1468,NA())</f>
        <v/>
      </c>
      <c r="C1468" s="18">
        <f>IF(NOT(ISNUMBER($A1468)),NA(),IFERROR(1*INDEX(BBG_Data!$D$2:$D$4000,MATCH($A1468,BBG_Data!$C$2:$C$4000,0)),NA()))</f>
        <v/>
      </c>
      <c r="D1468" s="19">
        <f>IF(NOT(ISNUMBER($A1468)),NA(),IFERROR(1*INDEX(BBG_Data!$F$2:$F$4000,MATCH($A1468,BBG_Data!$E$2:$E$4000,0)),NA()))</f>
        <v/>
      </c>
      <c r="E1468" s="19">
        <f>IF(NOT(ISNUMBER($A1468)),NA(),IFERROR(1*INDEX(BBG_Data!$H$2:$H$4000,MATCH($A1468,BBG_Data!$G$2:$G$4000,0)),NA()))</f>
        <v/>
      </c>
      <c r="F1468" s="20">
        <f>IF(AND(ISNUMBER(B1468),ISNUMBER(B1467)),IF(B1468=B1467,"",(B1468-B1467)*100),"")</f>
        <v/>
      </c>
      <c r="G1468" s="20">
        <f>IF(AND(ISNUMBER(C1468),ISNUMBER(C1467)),IF(C1468=C1467,"",(C1468-C1467)*100),"")</f>
        <v/>
      </c>
      <c r="H1468" s="20">
        <f>IF(OR(NOT(ISNUMBER($A1468)),ROW()-2&lt;Settings!$B$11),NA(),IF(COUNT(OFFSET(F1468,1-Settings!$B$11,0,Settings!$B$11,1))&lt;ROUNDUP(Settings!$B$11*Settings!$B$26,0),NA(),STDEV(OFFSET(F1468,1-Settings!$B$11,0,Settings!$B$11,1))*SQRT(Settings!$B$13)))</f>
        <v/>
      </c>
      <c r="I1468" s="20">
        <f>IF(OR(NOT(ISNUMBER($A1468)),ROW()-2&lt;Settings!$B$12),NA(),IF(COUNT(OFFSET(F1468,1-Settings!$B$12,0,Settings!$B$12,1))&lt;ROUNDUP(Settings!$B$12*Settings!$B$26,0),NA(),STDEV(OFFSET(F1468,1-Settings!$B$12,0,Settings!$B$12,1))*SQRT(Settings!$B$13)))</f>
        <v/>
      </c>
      <c r="J1468" s="20">
        <f>IF(OR(NOT(ISNUMBER($A1468)),ROW()-2&lt;Settings!$B$11),NA(),IF(COUNT(OFFSET(G1468,1-Settings!$B$11,0,Settings!$B$11,1))&lt;ROUNDUP(Settings!$B$11*Settings!$B$26,0),NA(),STDEV(OFFSET(G1468,1-Settings!$B$11,0,Settings!$B$11,1))*SQRT(Settings!$B$13)))</f>
        <v/>
      </c>
      <c r="K1468" s="20">
        <f>IF(OR(NOT(ISNUMBER($A1468)),ROW()-2&lt;Settings!$B$12),NA(),IF(COUNT(OFFSET(G1468,1-Settings!$B$12,0,Settings!$B$12,1))&lt;ROUNDUP(Settings!$B$12*Settings!$B$26,0),NA(),STDEV(OFFSET(G1468,1-Settings!$B$12,0,Settings!$B$12,1))*SQRT(Settings!$B$13)))</f>
        <v/>
      </c>
      <c r="L1468" s="20">
        <f>IF(AND(ISNUMBER(D1468),ISNUMBER(H1468)),D1468-H1468,NA())</f>
        <v/>
      </c>
      <c r="M1468" s="20">
        <f>IF(AND(ISNUMBER(E1468),ISNUMBER(K1468)),E1468-K1468,NA())</f>
        <v/>
      </c>
      <c r="N1468" s="20">
        <f>IF(NOT(ISNUMBER($A1468)),NA(),IF(COUNT(OFFSET(G1468,1,0,Settings!$B$12,1))&lt;ROUNDUP(Settings!$B$12*Settings!$B$26,0),NA(),STDEV(OFFSET(G1468,1,0,Settings!$B$12,1))*SQRT(Settings!$B$13)))</f>
        <v/>
      </c>
      <c r="O1468" s="20">
        <f>IF(AND(ISNUMBER(E1468),ISNUMBER(N1468)),E1468-N1468,NA())</f>
        <v/>
      </c>
      <c r="P1468" s="19">
        <f>IF(NOT(ISNUMBER($A1468)),NA(),IF(OR($A1468&lt;MIN(KW_TP!$A$2:$A$2501),$A1468&gt;MAX(KW_TP!$A$2:$A$2501)),NA(),INDEX(KW_TP!$C$2:$C$2501,MATCH($A1468,KW_TP!$A$2:$A$2501,1))))</f>
        <v/>
      </c>
      <c r="Q1468" s="18">
        <f>IF(NOT(ISNUMBER($A1468)),NA(),IFERROR(1*INDEX(BBG_Data!$J$2:$J$4000,MATCH($A1468,BBG_Data!$I$2:$I$4000,0)),NA()))</f>
        <v/>
      </c>
      <c r="R1468" s="18">
        <f>IF(NOT(ISNUMBER($A1468)),NA(),IFERROR(1*INDEX(BBG_Data!$L$2:$L$4000,MATCH($A1468,BBG_Data!$K$2:$K$4000,0)),NA()))</f>
        <v/>
      </c>
      <c r="S1468" s="20">
        <f>IF(AND(ISNUMBER(B1468),ISNUMBER(Q1468),ISNUMBER(R1468)),(B1468-Q1468-R1468)*100,NA())</f>
        <v/>
      </c>
      <c r="T1468" s="20">
        <f>IF(AND(ISNUMBER(B1468),Settings!$B$17&gt;0),IF(ISNUMBER(INDEX($B:$B,Settings!$B$17)),(B1468-INDEX($B:$B,Settings!$B$17))*100,NA()),NA())</f>
        <v/>
      </c>
      <c r="U1468" s="20">
        <f>IF(AND(ISNUMBER(Q1468),Settings!$B$17&gt;0),IF(ISNUMBER(INDEX($Q:$Q,Settings!$B$17)),(Q1468-INDEX($Q:$Q,Settings!$B$17))*100,NA()),NA())</f>
        <v/>
      </c>
      <c r="V1468" s="20">
        <f>IF(AND(ISNUMBER(R1468),Settings!$B$17&gt;0),IF(ISNUMBER(INDEX($R:$R,Settings!$B$17)),(R1468-INDEX($R:$R,Settings!$B$17))*100,NA()),NA())</f>
        <v/>
      </c>
      <c r="W1468" s="20">
        <f>IF(AND(ISNUMBER(P1468),Settings!$B$17&gt;0),IF(ISNUMBER(INDEX($P:$P,Settings!$B$17)),P1468-INDEX($P:$P,Settings!$B$17),NA()),NA())</f>
        <v/>
      </c>
      <c r="X1468" s="19">
        <f>IF(NOT(ISNUMBER($A1468)),NA(),IF(OR($A1468&lt;MIN(DKW_10Y!$A$2:$A$2918),$A1468&gt;MAX(DKW_10Y!$A$2:$A$2918),Settings!$B$16&lt;MIN(DKW_10Y!$A$2:$A$2918)),NA(),(INDEX(DKW_10Y!$B$2:$B$2918,MATCH($A1468,DKW_10Y!$A$2:$A$2918,1))-INDEX(DKW_10Y!$B$2:$B$2918,MATCH(Settings!$B$16,DKW_10Y!$A$2:$A$2918,1)))*100))</f>
        <v/>
      </c>
      <c r="Y1468" s="19">
        <f>IF(NOT(ISNUMBER($A1468)),NA(),IF(OR($A1468&lt;MIN(DKW_10Y!$A$2:$A$2918),$A1468&gt;MAX(DKW_10Y!$A$2:$A$2918),Settings!$B$16&lt;MIN(DKW_10Y!$A$2:$A$2918)),NA(),(INDEX(DKW_10Y!$C$2:$C$2918,MATCH($A1468,DKW_10Y!$A$2:$A$2918,1))-INDEX(DKW_10Y!$C$2:$C$2918,MATCH(Settings!$B$16,DKW_10Y!$A$2:$A$2918,1)))*100))</f>
        <v/>
      </c>
      <c r="Z1468" s="19">
        <f>IF(NOT(ISNUMBER($A1468)),NA(),IF(OR($A1468&lt;MIN(DKW_10Y!$A$2:$A$2918),$A1468&gt;MAX(DKW_10Y!$A$2:$A$2918),Settings!$B$16&lt;MIN(DKW_10Y!$A$2:$A$2918)),NA(),(INDEX(DKW_10Y!$D$2:$D$2918,MATCH($A1468,DKW_10Y!$A$2:$A$2918,1))-INDEX(DKW_10Y!$D$2:$D$2918,MATCH(Settings!$B$16,DKW_10Y!$A$2:$A$2918,1)))*100))</f>
        <v/>
      </c>
      <c r="AA1468" s="19">
        <f>IF(NOT(ISNUMBER($A1468)),NA(),IF(OR($A1468&lt;MIN(DKW_10Y!$A$2:$A$2918),$A1468&gt;MAX(DKW_10Y!$A$2:$A$2918),Settings!$B$16&lt;MIN(DKW_10Y!$A$2:$A$2918)),NA(),(INDEX(DKW_10Y!$E$2:$E$2918,MATCH($A1468,DKW_10Y!$A$2:$A$2918,1))-INDEX(DKW_10Y!$E$2:$E$2918,MATCH(Settings!$B$16,DKW_10Y!$A$2:$A$2918,1)))*100))</f>
        <v/>
      </c>
      <c r="AB1468" s="19">
        <f>IF(NOT(ISNUMBER($A1468)),NA(),IF(OR($A1468&lt;MIN(DKW_10Y!$A$2:$A$2918),$A1468&gt;MAX(DKW_10Y!$A$2:$A$2918),Settings!$B$16&lt;MIN(DKW_10Y!$A$2:$A$2918)),NA(),(INDEX(DKW_10Y!$H$2:$H$2918,MATCH($A1468,DKW_10Y!$A$2:$A$2918,1))-INDEX(DKW_10Y!$H$2:$H$2918,MATCH(Settings!$B$16,DKW_10Y!$A$2:$A$2918,1)))*100))</f>
        <v/>
      </c>
      <c r="AC1468" s="18">
        <f>IF(NOT(ISNUMBER($A1468)),NA(),IFERROR(1*INDEX(BBG_Data!$N$2:$N$4000,MATCH($A1468,BBG_Data!$M$2:$M$4000,0)),NA()))</f>
        <v/>
      </c>
      <c r="AD1468" s="18">
        <f>IF(NOT(ISNUMBER($A1468)),NA(),IFERROR(1*INDEX(BBG_Data!$P$2:$P$4000,MATCH($A1468,BBG_Data!$O$2:$O$4000,0)),NA()))</f>
        <v/>
      </c>
      <c r="AE1468" s="18">
        <f>IF(NOT(ISNUMBER($A1468)),NA(),IFERROR(1*INDEX(BBG_Data!$R$2:$R$4000,MATCH($A1468,BBG_Data!$Q$2:$Q$4000,0)),NA()))</f>
        <v/>
      </c>
      <c r="AF1468" s="20">
        <f>IF(AND(ISNUMBER(B1468),ISNUMBER(AC1468)),(B1468-AC1468)*100,NA())</f>
        <v/>
      </c>
      <c r="AG1468" s="20">
        <f>IF(AND(ISNUMBER(AE1468),ISNUMBER(AD1468)),(AE1468-AD1468)*100,NA())</f>
        <v/>
      </c>
      <c r="AH1468" s="19">
        <f>IF(NOT(ISNUMBER($A1468)),NA(),IFERROR(INDEX(BBG_Data!$T$2:$T$4000,MATCH($A1468,BBG_Data!$S$2:$S$4000,0))*Settings!$B$25,NA()))</f>
        <v/>
      </c>
      <c r="AI1468" s="19">
        <f>IF(NOT(ISNUMBER($A1468)),NA(),IFERROR(INDEX(BBG_Data!$V$2:$V$4000,MATCH($A1468,BBG_Data!$U$2:$U$4000,0))*Settings!$B$25,NA()))</f>
        <v/>
      </c>
      <c r="AJ1468" s="19">
        <f>IF(NOT(ISNUMBER($A1468)),NA(),IFERROR(1*INDEX(BBG_Data!$X$2:$X$4000,MATCH($A1468,BBG_Data!$W$2:$W$4000,0)),NA()))</f>
        <v/>
      </c>
      <c r="AK1468" s="19">
        <f>IF(NOT(ISNUMBER($A1468)),NA(),IFERROR(1*INDEX(BBG_Data!$Z$2:$Z$4000,MATCH($A1468,BBG_Data!$Y$2:$Y$4000,0)),NA()))</f>
        <v/>
      </c>
    </row>
    <row r="1469">
      <c r="A1469" s="17">
        <f>IF(ISNUMBER(BBG_Data!A1469),BBG_Data!A1469,"")</f>
        <v/>
      </c>
      <c r="B1469" s="18">
        <f>IF(AND(ISNUMBER($A1469),ISNUMBER(BBG_Data!B1469)),BBG_Data!B1469,NA())</f>
        <v/>
      </c>
      <c r="C1469" s="18">
        <f>IF(NOT(ISNUMBER($A1469)),NA(),IFERROR(1*INDEX(BBG_Data!$D$2:$D$4000,MATCH($A1469,BBG_Data!$C$2:$C$4000,0)),NA()))</f>
        <v/>
      </c>
      <c r="D1469" s="19">
        <f>IF(NOT(ISNUMBER($A1469)),NA(),IFERROR(1*INDEX(BBG_Data!$F$2:$F$4000,MATCH($A1469,BBG_Data!$E$2:$E$4000,0)),NA()))</f>
        <v/>
      </c>
      <c r="E1469" s="19">
        <f>IF(NOT(ISNUMBER($A1469)),NA(),IFERROR(1*INDEX(BBG_Data!$H$2:$H$4000,MATCH($A1469,BBG_Data!$G$2:$G$4000,0)),NA()))</f>
        <v/>
      </c>
      <c r="F1469" s="20">
        <f>IF(AND(ISNUMBER(B1469),ISNUMBER(B1468)),IF(B1469=B1468,"",(B1469-B1468)*100),"")</f>
        <v/>
      </c>
      <c r="G1469" s="20">
        <f>IF(AND(ISNUMBER(C1469),ISNUMBER(C1468)),IF(C1469=C1468,"",(C1469-C1468)*100),"")</f>
        <v/>
      </c>
      <c r="H1469" s="20">
        <f>IF(OR(NOT(ISNUMBER($A1469)),ROW()-2&lt;Settings!$B$11),NA(),IF(COUNT(OFFSET(F1469,1-Settings!$B$11,0,Settings!$B$11,1))&lt;ROUNDUP(Settings!$B$11*Settings!$B$26,0),NA(),STDEV(OFFSET(F1469,1-Settings!$B$11,0,Settings!$B$11,1))*SQRT(Settings!$B$13)))</f>
        <v/>
      </c>
      <c r="I1469" s="20">
        <f>IF(OR(NOT(ISNUMBER($A1469)),ROW()-2&lt;Settings!$B$12),NA(),IF(COUNT(OFFSET(F1469,1-Settings!$B$12,0,Settings!$B$12,1))&lt;ROUNDUP(Settings!$B$12*Settings!$B$26,0),NA(),STDEV(OFFSET(F1469,1-Settings!$B$12,0,Settings!$B$12,1))*SQRT(Settings!$B$13)))</f>
        <v/>
      </c>
      <c r="J1469" s="20">
        <f>IF(OR(NOT(ISNUMBER($A1469)),ROW()-2&lt;Settings!$B$11),NA(),IF(COUNT(OFFSET(G1469,1-Settings!$B$11,0,Settings!$B$11,1))&lt;ROUNDUP(Settings!$B$11*Settings!$B$26,0),NA(),STDEV(OFFSET(G1469,1-Settings!$B$11,0,Settings!$B$11,1))*SQRT(Settings!$B$13)))</f>
        <v/>
      </c>
      <c r="K1469" s="20">
        <f>IF(OR(NOT(ISNUMBER($A1469)),ROW()-2&lt;Settings!$B$12),NA(),IF(COUNT(OFFSET(G1469,1-Settings!$B$12,0,Settings!$B$12,1))&lt;ROUNDUP(Settings!$B$12*Settings!$B$26,0),NA(),STDEV(OFFSET(G1469,1-Settings!$B$12,0,Settings!$B$12,1))*SQRT(Settings!$B$13)))</f>
        <v/>
      </c>
      <c r="L1469" s="20">
        <f>IF(AND(ISNUMBER(D1469),ISNUMBER(H1469)),D1469-H1469,NA())</f>
        <v/>
      </c>
      <c r="M1469" s="20">
        <f>IF(AND(ISNUMBER(E1469),ISNUMBER(K1469)),E1469-K1469,NA())</f>
        <v/>
      </c>
      <c r="N1469" s="20">
        <f>IF(NOT(ISNUMBER($A1469)),NA(),IF(COUNT(OFFSET(G1469,1,0,Settings!$B$12,1))&lt;ROUNDUP(Settings!$B$12*Settings!$B$26,0),NA(),STDEV(OFFSET(G1469,1,0,Settings!$B$12,1))*SQRT(Settings!$B$13)))</f>
        <v/>
      </c>
      <c r="O1469" s="20">
        <f>IF(AND(ISNUMBER(E1469),ISNUMBER(N1469)),E1469-N1469,NA())</f>
        <v/>
      </c>
      <c r="P1469" s="19">
        <f>IF(NOT(ISNUMBER($A1469)),NA(),IF(OR($A1469&lt;MIN(KW_TP!$A$2:$A$2501),$A1469&gt;MAX(KW_TP!$A$2:$A$2501)),NA(),INDEX(KW_TP!$C$2:$C$2501,MATCH($A1469,KW_TP!$A$2:$A$2501,1))))</f>
        <v/>
      </c>
      <c r="Q1469" s="18">
        <f>IF(NOT(ISNUMBER($A1469)),NA(),IFERROR(1*INDEX(BBG_Data!$J$2:$J$4000,MATCH($A1469,BBG_Data!$I$2:$I$4000,0)),NA()))</f>
        <v/>
      </c>
      <c r="R1469" s="18">
        <f>IF(NOT(ISNUMBER($A1469)),NA(),IFERROR(1*INDEX(BBG_Data!$L$2:$L$4000,MATCH($A1469,BBG_Data!$K$2:$K$4000,0)),NA()))</f>
        <v/>
      </c>
      <c r="S1469" s="20">
        <f>IF(AND(ISNUMBER(B1469),ISNUMBER(Q1469),ISNUMBER(R1469)),(B1469-Q1469-R1469)*100,NA())</f>
        <v/>
      </c>
      <c r="T1469" s="20">
        <f>IF(AND(ISNUMBER(B1469),Settings!$B$17&gt;0),IF(ISNUMBER(INDEX($B:$B,Settings!$B$17)),(B1469-INDEX($B:$B,Settings!$B$17))*100,NA()),NA())</f>
        <v/>
      </c>
      <c r="U1469" s="20">
        <f>IF(AND(ISNUMBER(Q1469),Settings!$B$17&gt;0),IF(ISNUMBER(INDEX($Q:$Q,Settings!$B$17)),(Q1469-INDEX($Q:$Q,Settings!$B$17))*100,NA()),NA())</f>
        <v/>
      </c>
      <c r="V1469" s="20">
        <f>IF(AND(ISNUMBER(R1469),Settings!$B$17&gt;0),IF(ISNUMBER(INDEX($R:$R,Settings!$B$17)),(R1469-INDEX($R:$R,Settings!$B$17))*100,NA()),NA())</f>
        <v/>
      </c>
      <c r="W1469" s="20">
        <f>IF(AND(ISNUMBER(P1469),Settings!$B$17&gt;0),IF(ISNUMBER(INDEX($P:$P,Settings!$B$17)),P1469-INDEX($P:$P,Settings!$B$17),NA()),NA())</f>
        <v/>
      </c>
      <c r="X1469" s="19">
        <f>IF(NOT(ISNUMBER($A1469)),NA(),IF(OR($A1469&lt;MIN(DKW_10Y!$A$2:$A$2918),$A1469&gt;MAX(DKW_10Y!$A$2:$A$2918),Settings!$B$16&lt;MIN(DKW_10Y!$A$2:$A$2918)),NA(),(INDEX(DKW_10Y!$B$2:$B$2918,MATCH($A1469,DKW_10Y!$A$2:$A$2918,1))-INDEX(DKW_10Y!$B$2:$B$2918,MATCH(Settings!$B$16,DKW_10Y!$A$2:$A$2918,1)))*100))</f>
        <v/>
      </c>
      <c r="Y1469" s="19">
        <f>IF(NOT(ISNUMBER($A1469)),NA(),IF(OR($A1469&lt;MIN(DKW_10Y!$A$2:$A$2918),$A1469&gt;MAX(DKW_10Y!$A$2:$A$2918),Settings!$B$16&lt;MIN(DKW_10Y!$A$2:$A$2918)),NA(),(INDEX(DKW_10Y!$C$2:$C$2918,MATCH($A1469,DKW_10Y!$A$2:$A$2918,1))-INDEX(DKW_10Y!$C$2:$C$2918,MATCH(Settings!$B$16,DKW_10Y!$A$2:$A$2918,1)))*100))</f>
        <v/>
      </c>
      <c r="Z1469" s="19">
        <f>IF(NOT(ISNUMBER($A1469)),NA(),IF(OR($A1469&lt;MIN(DKW_10Y!$A$2:$A$2918),$A1469&gt;MAX(DKW_10Y!$A$2:$A$2918),Settings!$B$16&lt;MIN(DKW_10Y!$A$2:$A$2918)),NA(),(INDEX(DKW_10Y!$D$2:$D$2918,MATCH($A1469,DKW_10Y!$A$2:$A$2918,1))-INDEX(DKW_10Y!$D$2:$D$2918,MATCH(Settings!$B$16,DKW_10Y!$A$2:$A$2918,1)))*100))</f>
        <v/>
      </c>
      <c r="AA1469" s="19">
        <f>IF(NOT(ISNUMBER($A1469)),NA(),IF(OR($A1469&lt;MIN(DKW_10Y!$A$2:$A$2918),$A1469&gt;MAX(DKW_10Y!$A$2:$A$2918),Settings!$B$16&lt;MIN(DKW_10Y!$A$2:$A$2918)),NA(),(INDEX(DKW_10Y!$E$2:$E$2918,MATCH($A1469,DKW_10Y!$A$2:$A$2918,1))-INDEX(DKW_10Y!$E$2:$E$2918,MATCH(Settings!$B$16,DKW_10Y!$A$2:$A$2918,1)))*100))</f>
        <v/>
      </c>
      <c r="AB1469" s="19">
        <f>IF(NOT(ISNUMBER($A1469)),NA(),IF(OR($A1469&lt;MIN(DKW_10Y!$A$2:$A$2918),$A1469&gt;MAX(DKW_10Y!$A$2:$A$2918),Settings!$B$16&lt;MIN(DKW_10Y!$A$2:$A$2918)),NA(),(INDEX(DKW_10Y!$H$2:$H$2918,MATCH($A1469,DKW_10Y!$A$2:$A$2918,1))-INDEX(DKW_10Y!$H$2:$H$2918,MATCH(Settings!$B$16,DKW_10Y!$A$2:$A$2918,1)))*100))</f>
        <v/>
      </c>
      <c r="AC1469" s="18">
        <f>IF(NOT(ISNUMBER($A1469)),NA(),IFERROR(1*INDEX(BBG_Data!$N$2:$N$4000,MATCH($A1469,BBG_Data!$M$2:$M$4000,0)),NA()))</f>
        <v/>
      </c>
      <c r="AD1469" s="18">
        <f>IF(NOT(ISNUMBER($A1469)),NA(),IFERROR(1*INDEX(BBG_Data!$P$2:$P$4000,MATCH($A1469,BBG_Data!$O$2:$O$4000,0)),NA()))</f>
        <v/>
      </c>
      <c r="AE1469" s="18">
        <f>IF(NOT(ISNUMBER($A1469)),NA(),IFERROR(1*INDEX(BBG_Data!$R$2:$R$4000,MATCH($A1469,BBG_Data!$Q$2:$Q$4000,0)),NA()))</f>
        <v/>
      </c>
      <c r="AF1469" s="20">
        <f>IF(AND(ISNUMBER(B1469),ISNUMBER(AC1469)),(B1469-AC1469)*100,NA())</f>
        <v/>
      </c>
      <c r="AG1469" s="20">
        <f>IF(AND(ISNUMBER(AE1469),ISNUMBER(AD1469)),(AE1469-AD1469)*100,NA())</f>
        <v/>
      </c>
      <c r="AH1469" s="19">
        <f>IF(NOT(ISNUMBER($A1469)),NA(),IFERROR(INDEX(BBG_Data!$T$2:$T$4000,MATCH($A1469,BBG_Data!$S$2:$S$4000,0))*Settings!$B$25,NA()))</f>
        <v/>
      </c>
      <c r="AI1469" s="19">
        <f>IF(NOT(ISNUMBER($A1469)),NA(),IFERROR(INDEX(BBG_Data!$V$2:$V$4000,MATCH($A1469,BBG_Data!$U$2:$U$4000,0))*Settings!$B$25,NA()))</f>
        <v/>
      </c>
      <c r="AJ1469" s="19">
        <f>IF(NOT(ISNUMBER($A1469)),NA(),IFERROR(1*INDEX(BBG_Data!$X$2:$X$4000,MATCH($A1469,BBG_Data!$W$2:$W$4000,0)),NA()))</f>
        <v/>
      </c>
      <c r="AK1469" s="19">
        <f>IF(NOT(ISNUMBER($A1469)),NA(),IFERROR(1*INDEX(BBG_Data!$Z$2:$Z$4000,MATCH($A1469,BBG_Data!$Y$2:$Y$4000,0)),NA()))</f>
        <v/>
      </c>
    </row>
    <row r="1470">
      <c r="A1470" s="17">
        <f>IF(ISNUMBER(BBG_Data!A1470),BBG_Data!A1470,"")</f>
        <v/>
      </c>
      <c r="B1470" s="18">
        <f>IF(AND(ISNUMBER($A1470),ISNUMBER(BBG_Data!B1470)),BBG_Data!B1470,NA())</f>
        <v/>
      </c>
      <c r="C1470" s="18">
        <f>IF(NOT(ISNUMBER($A1470)),NA(),IFERROR(1*INDEX(BBG_Data!$D$2:$D$4000,MATCH($A1470,BBG_Data!$C$2:$C$4000,0)),NA()))</f>
        <v/>
      </c>
      <c r="D1470" s="19">
        <f>IF(NOT(ISNUMBER($A1470)),NA(),IFERROR(1*INDEX(BBG_Data!$F$2:$F$4000,MATCH($A1470,BBG_Data!$E$2:$E$4000,0)),NA()))</f>
        <v/>
      </c>
      <c r="E1470" s="19">
        <f>IF(NOT(ISNUMBER($A1470)),NA(),IFERROR(1*INDEX(BBG_Data!$H$2:$H$4000,MATCH($A1470,BBG_Data!$G$2:$G$4000,0)),NA()))</f>
        <v/>
      </c>
      <c r="F1470" s="20">
        <f>IF(AND(ISNUMBER(B1470),ISNUMBER(B1469)),IF(B1470=B1469,"",(B1470-B1469)*100),"")</f>
        <v/>
      </c>
      <c r="G1470" s="20">
        <f>IF(AND(ISNUMBER(C1470),ISNUMBER(C1469)),IF(C1470=C1469,"",(C1470-C1469)*100),"")</f>
        <v/>
      </c>
      <c r="H1470" s="20">
        <f>IF(OR(NOT(ISNUMBER($A1470)),ROW()-2&lt;Settings!$B$11),NA(),IF(COUNT(OFFSET(F1470,1-Settings!$B$11,0,Settings!$B$11,1))&lt;ROUNDUP(Settings!$B$11*Settings!$B$26,0),NA(),STDEV(OFFSET(F1470,1-Settings!$B$11,0,Settings!$B$11,1))*SQRT(Settings!$B$13)))</f>
        <v/>
      </c>
      <c r="I1470" s="20">
        <f>IF(OR(NOT(ISNUMBER($A1470)),ROW()-2&lt;Settings!$B$12),NA(),IF(COUNT(OFFSET(F1470,1-Settings!$B$12,0,Settings!$B$12,1))&lt;ROUNDUP(Settings!$B$12*Settings!$B$26,0),NA(),STDEV(OFFSET(F1470,1-Settings!$B$12,0,Settings!$B$12,1))*SQRT(Settings!$B$13)))</f>
        <v/>
      </c>
      <c r="J1470" s="20">
        <f>IF(OR(NOT(ISNUMBER($A1470)),ROW()-2&lt;Settings!$B$11),NA(),IF(COUNT(OFFSET(G1470,1-Settings!$B$11,0,Settings!$B$11,1))&lt;ROUNDUP(Settings!$B$11*Settings!$B$26,0),NA(),STDEV(OFFSET(G1470,1-Settings!$B$11,0,Settings!$B$11,1))*SQRT(Settings!$B$13)))</f>
        <v/>
      </c>
      <c r="K1470" s="20">
        <f>IF(OR(NOT(ISNUMBER($A1470)),ROW()-2&lt;Settings!$B$12),NA(),IF(COUNT(OFFSET(G1470,1-Settings!$B$12,0,Settings!$B$12,1))&lt;ROUNDUP(Settings!$B$12*Settings!$B$26,0),NA(),STDEV(OFFSET(G1470,1-Settings!$B$12,0,Settings!$B$12,1))*SQRT(Settings!$B$13)))</f>
        <v/>
      </c>
      <c r="L1470" s="20">
        <f>IF(AND(ISNUMBER(D1470),ISNUMBER(H1470)),D1470-H1470,NA())</f>
        <v/>
      </c>
      <c r="M1470" s="20">
        <f>IF(AND(ISNUMBER(E1470),ISNUMBER(K1470)),E1470-K1470,NA())</f>
        <v/>
      </c>
      <c r="N1470" s="20">
        <f>IF(NOT(ISNUMBER($A1470)),NA(),IF(COUNT(OFFSET(G1470,1,0,Settings!$B$12,1))&lt;ROUNDUP(Settings!$B$12*Settings!$B$26,0),NA(),STDEV(OFFSET(G1470,1,0,Settings!$B$12,1))*SQRT(Settings!$B$13)))</f>
        <v/>
      </c>
      <c r="O1470" s="20">
        <f>IF(AND(ISNUMBER(E1470),ISNUMBER(N1470)),E1470-N1470,NA())</f>
        <v/>
      </c>
      <c r="P1470" s="19">
        <f>IF(NOT(ISNUMBER($A1470)),NA(),IF(OR($A1470&lt;MIN(KW_TP!$A$2:$A$2501),$A1470&gt;MAX(KW_TP!$A$2:$A$2501)),NA(),INDEX(KW_TP!$C$2:$C$2501,MATCH($A1470,KW_TP!$A$2:$A$2501,1))))</f>
        <v/>
      </c>
      <c r="Q1470" s="18">
        <f>IF(NOT(ISNUMBER($A1470)),NA(),IFERROR(1*INDEX(BBG_Data!$J$2:$J$4000,MATCH($A1470,BBG_Data!$I$2:$I$4000,0)),NA()))</f>
        <v/>
      </c>
      <c r="R1470" s="18">
        <f>IF(NOT(ISNUMBER($A1470)),NA(),IFERROR(1*INDEX(BBG_Data!$L$2:$L$4000,MATCH($A1470,BBG_Data!$K$2:$K$4000,0)),NA()))</f>
        <v/>
      </c>
      <c r="S1470" s="20">
        <f>IF(AND(ISNUMBER(B1470),ISNUMBER(Q1470),ISNUMBER(R1470)),(B1470-Q1470-R1470)*100,NA())</f>
        <v/>
      </c>
      <c r="T1470" s="20">
        <f>IF(AND(ISNUMBER(B1470),Settings!$B$17&gt;0),IF(ISNUMBER(INDEX($B:$B,Settings!$B$17)),(B1470-INDEX($B:$B,Settings!$B$17))*100,NA()),NA())</f>
        <v/>
      </c>
      <c r="U1470" s="20">
        <f>IF(AND(ISNUMBER(Q1470),Settings!$B$17&gt;0),IF(ISNUMBER(INDEX($Q:$Q,Settings!$B$17)),(Q1470-INDEX($Q:$Q,Settings!$B$17))*100,NA()),NA())</f>
        <v/>
      </c>
      <c r="V1470" s="20">
        <f>IF(AND(ISNUMBER(R1470),Settings!$B$17&gt;0),IF(ISNUMBER(INDEX($R:$R,Settings!$B$17)),(R1470-INDEX($R:$R,Settings!$B$17))*100,NA()),NA())</f>
        <v/>
      </c>
      <c r="W1470" s="20">
        <f>IF(AND(ISNUMBER(P1470),Settings!$B$17&gt;0),IF(ISNUMBER(INDEX($P:$P,Settings!$B$17)),P1470-INDEX($P:$P,Settings!$B$17),NA()),NA())</f>
        <v/>
      </c>
      <c r="X1470" s="19">
        <f>IF(NOT(ISNUMBER($A1470)),NA(),IF(OR($A1470&lt;MIN(DKW_10Y!$A$2:$A$2918),$A1470&gt;MAX(DKW_10Y!$A$2:$A$2918),Settings!$B$16&lt;MIN(DKW_10Y!$A$2:$A$2918)),NA(),(INDEX(DKW_10Y!$B$2:$B$2918,MATCH($A1470,DKW_10Y!$A$2:$A$2918,1))-INDEX(DKW_10Y!$B$2:$B$2918,MATCH(Settings!$B$16,DKW_10Y!$A$2:$A$2918,1)))*100))</f>
        <v/>
      </c>
      <c r="Y1470" s="19">
        <f>IF(NOT(ISNUMBER($A1470)),NA(),IF(OR($A1470&lt;MIN(DKW_10Y!$A$2:$A$2918),$A1470&gt;MAX(DKW_10Y!$A$2:$A$2918),Settings!$B$16&lt;MIN(DKW_10Y!$A$2:$A$2918)),NA(),(INDEX(DKW_10Y!$C$2:$C$2918,MATCH($A1470,DKW_10Y!$A$2:$A$2918,1))-INDEX(DKW_10Y!$C$2:$C$2918,MATCH(Settings!$B$16,DKW_10Y!$A$2:$A$2918,1)))*100))</f>
        <v/>
      </c>
      <c r="Z1470" s="19">
        <f>IF(NOT(ISNUMBER($A1470)),NA(),IF(OR($A1470&lt;MIN(DKW_10Y!$A$2:$A$2918),$A1470&gt;MAX(DKW_10Y!$A$2:$A$2918),Settings!$B$16&lt;MIN(DKW_10Y!$A$2:$A$2918)),NA(),(INDEX(DKW_10Y!$D$2:$D$2918,MATCH($A1470,DKW_10Y!$A$2:$A$2918,1))-INDEX(DKW_10Y!$D$2:$D$2918,MATCH(Settings!$B$16,DKW_10Y!$A$2:$A$2918,1)))*100))</f>
        <v/>
      </c>
      <c r="AA1470" s="19">
        <f>IF(NOT(ISNUMBER($A1470)),NA(),IF(OR($A1470&lt;MIN(DKW_10Y!$A$2:$A$2918),$A1470&gt;MAX(DKW_10Y!$A$2:$A$2918),Settings!$B$16&lt;MIN(DKW_10Y!$A$2:$A$2918)),NA(),(INDEX(DKW_10Y!$E$2:$E$2918,MATCH($A1470,DKW_10Y!$A$2:$A$2918,1))-INDEX(DKW_10Y!$E$2:$E$2918,MATCH(Settings!$B$16,DKW_10Y!$A$2:$A$2918,1)))*100))</f>
        <v/>
      </c>
      <c r="AB1470" s="19">
        <f>IF(NOT(ISNUMBER($A1470)),NA(),IF(OR($A1470&lt;MIN(DKW_10Y!$A$2:$A$2918),$A1470&gt;MAX(DKW_10Y!$A$2:$A$2918),Settings!$B$16&lt;MIN(DKW_10Y!$A$2:$A$2918)),NA(),(INDEX(DKW_10Y!$H$2:$H$2918,MATCH($A1470,DKW_10Y!$A$2:$A$2918,1))-INDEX(DKW_10Y!$H$2:$H$2918,MATCH(Settings!$B$16,DKW_10Y!$A$2:$A$2918,1)))*100))</f>
        <v/>
      </c>
      <c r="AC1470" s="18">
        <f>IF(NOT(ISNUMBER($A1470)),NA(),IFERROR(1*INDEX(BBG_Data!$N$2:$N$4000,MATCH($A1470,BBG_Data!$M$2:$M$4000,0)),NA()))</f>
        <v/>
      </c>
      <c r="AD1470" s="18">
        <f>IF(NOT(ISNUMBER($A1470)),NA(),IFERROR(1*INDEX(BBG_Data!$P$2:$P$4000,MATCH($A1470,BBG_Data!$O$2:$O$4000,0)),NA()))</f>
        <v/>
      </c>
      <c r="AE1470" s="18">
        <f>IF(NOT(ISNUMBER($A1470)),NA(),IFERROR(1*INDEX(BBG_Data!$R$2:$R$4000,MATCH($A1470,BBG_Data!$Q$2:$Q$4000,0)),NA()))</f>
        <v/>
      </c>
      <c r="AF1470" s="20">
        <f>IF(AND(ISNUMBER(B1470),ISNUMBER(AC1470)),(B1470-AC1470)*100,NA())</f>
        <v/>
      </c>
      <c r="AG1470" s="20">
        <f>IF(AND(ISNUMBER(AE1470),ISNUMBER(AD1470)),(AE1470-AD1470)*100,NA())</f>
        <v/>
      </c>
      <c r="AH1470" s="19">
        <f>IF(NOT(ISNUMBER($A1470)),NA(),IFERROR(INDEX(BBG_Data!$T$2:$T$4000,MATCH($A1470,BBG_Data!$S$2:$S$4000,0))*Settings!$B$25,NA()))</f>
        <v/>
      </c>
      <c r="AI1470" s="19">
        <f>IF(NOT(ISNUMBER($A1470)),NA(),IFERROR(INDEX(BBG_Data!$V$2:$V$4000,MATCH($A1470,BBG_Data!$U$2:$U$4000,0))*Settings!$B$25,NA()))</f>
        <v/>
      </c>
      <c r="AJ1470" s="19">
        <f>IF(NOT(ISNUMBER($A1470)),NA(),IFERROR(1*INDEX(BBG_Data!$X$2:$X$4000,MATCH($A1470,BBG_Data!$W$2:$W$4000,0)),NA()))</f>
        <v/>
      </c>
      <c r="AK1470" s="19">
        <f>IF(NOT(ISNUMBER($A1470)),NA(),IFERROR(1*INDEX(BBG_Data!$Z$2:$Z$4000,MATCH($A1470,BBG_Data!$Y$2:$Y$4000,0)),NA()))</f>
        <v/>
      </c>
    </row>
    <row r="1471">
      <c r="A1471" s="17">
        <f>IF(ISNUMBER(BBG_Data!A1471),BBG_Data!A1471,"")</f>
        <v/>
      </c>
      <c r="B1471" s="18">
        <f>IF(AND(ISNUMBER($A1471),ISNUMBER(BBG_Data!B1471)),BBG_Data!B1471,NA())</f>
        <v/>
      </c>
      <c r="C1471" s="18">
        <f>IF(NOT(ISNUMBER($A1471)),NA(),IFERROR(1*INDEX(BBG_Data!$D$2:$D$4000,MATCH($A1471,BBG_Data!$C$2:$C$4000,0)),NA()))</f>
        <v/>
      </c>
      <c r="D1471" s="19">
        <f>IF(NOT(ISNUMBER($A1471)),NA(),IFERROR(1*INDEX(BBG_Data!$F$2:$F$4000,MATCH($A1471,BBG_Data!$E$2:$E$4000,0)),NA()))</f>
        <v/>
      </c>
      <c r="E1471" s="19">
        <f>IF(NOT(ISNUMBER($A1471)),NA(),IFERROR(1*INDEX(BBG_Data!$H$2:$H$4000,MATCH($A1471,BBG_Data!$G$2:$G$4000,0)),NA()))</f>
        <v/>
      </c>
      <c r="F1471" s="20">
        <f>IF(AND(ISNUMBER(B1471),ISNUMBER(B1470)),IF(B1471=B1470,"",(B1471-B1470)*100),"")</f>
        <v/>
      </c>
      <c r="G1471" s="20">
        <f>IF(AND(ISNUMBER(C1471),ISNUMBER(C1470)),IF(C1471=C1470,"",(C1471-C1470)*100),"")</f>
        <v/>
      </c>
      <c r="H1471" s="20">
        <f>IF(OR(NOT(ISNUMBER($A1471)),ROW()-2&lt;Settings!$B$11),NA(),IF(COUNT(OFFSET(F1471,1-Settings!$B$11,0,Settings!$B$11,1))&lt;ROUNDUP(Settings!$B$11*Settings!$B$26,0),NA(),STDEV(OFFSET(F1471,1-Settings!$B$11,0,Settings!$B$11,1))*SQRT(Settings!$B$13)))</f>
        <v/>
      </c>
      <c r="I1471" s="20">
        <f>IF(OR(NOT(ISNUMBER($A1471)),ROW()-2&lt;Settings!$B$12),NA(),IF(COUNT(OFFSET(F1471,1-Settings!$B$12,0,Settings!$B$12,1))&lt;ROUNDUP(Settings!$B$12*Settings!$B$26,0),NA(),STDEV(OFFSET(F1471,1-Settings!$B$12,0,Settings!$B$12,1))*SQRT(Settings!$B$13)))</f>
        <v/>
      </c>
      <c r="J1471" s="20">
        <f>IF(OR(NOT(ISNUMBER($A1471)),ROW()-2&lt;Settings!$B$11),NA(),IF(COUNT(OFFSET(G1471,1-Settings!$B$11,0,Settings!$B$11,1))&lt;ROUNDUP(Settings!$B$11*Settings!$B$26,0),NA(),STDEV(OFFSET(G1471,1-Settings!$B$11,0,Settings!$B$11,1))*SQRT(Settings!$B$13)))</f>
        <v/>
      </c>
      <c r="K1471" s="20">
        <f>IF(OR(NOT(ISNUMBER($A1471)),ROW()-2&lt;Settings!$B$12),NA(),IF(COUNT(OFFSET(G1471,1-Settings!$B$12,0,Settings!$B$12,1))&lt;ROUNDUP(Settings!$B$12*Settings!$B$26,0),NA(),STDEV(OFFSET(G1471,1-Settings!$B$12,0,Settings!$B$12,1))*SQRT(Settings!$B$13)))</f>
        <v/>
      </c>
      <c r="L1471" s="20">
        <f>IF(AND(ISNUMBER(D1471),ISNUMBER(H1471)),D1471-H1471,NA())</f>
        <v/>
      </c>
      <c r="M1471" s="20">
        <f>IF(AND(ISNUMBER(E1471),ISNUMBER(K1471)),E1471-K1471,NA())</f>
        <v/>
      </c>
      <c r="N1471" s="20">
        <f>IF(NOT(ISNUMBER($A1471)),NA(),IF(COUNT(OFFSET(G1471,1,0,Settings!$B$12,1))&lt;ROUNDUP(Settings!$B$12*Settings!$B$26,0),NA(),STDEV(OFFSET(G1471,1,0,Settings!$B$12,1))*SQRT(Settings!$B$13)))</f>
        <v/>
      </c>
      <c r="O1471" s="20">
        <f>IF(AND(ISNUMBER(E1471),ISNUMBER(N1471)),E1471-N1471,NA())</f>
        <v/>
      </c>
      <c r="P1471" s="19">
        <f>IF(NOT(ISNUMBER($A1471)),NA(),IF(OR($A1471&lt;MIN(KW_TP!$A$2:$A$2501),$A1471&gt;MAX(KW_TP!$A$2:$A$2501)),NA(),INDEX(KW_TP!$C$2:$C$2501,MATCH($A1471,KW_TP!$A$2:$A$2501,1))))</f>
        <v/>
      </c>
      <c r="Q1471" s="18">
        <f>IF(NOT(ISNUMBER($A1471)),NA(),IFERROR(1*INDEX(BBG_Data!$J$2:$J$4000,MATCH($A1471,BBG_Data!$I$2:$I$4000,0)),NA()))</f>
        <v/>
      </c>
      <c r="R1471" s="18">
        <f>IF(NOT(ISNUMBER($A1471)),NA(),IFERROR(1*INDEX(BBG_Data!$L$2:$L$4000,MATCH($A1471,BBG_Data!$K$2:$K$4000,0)),NA()))</f>
        <v/>
      </c>
      <c r="S1471" s="20">
        <f>IF(AND(ISNUMBER(B1471),ISNUMBER(Q1471),ISNUMBER(R1471)),(B1471-Q1471-R1471)*100,NA())</f>
        <v/>
      </c>
      <c r="T1471" s="20">
        <f>IF(AND(ISNUMBER(B1471),Settings!$B$17&gt;0),IF(ISNUMBER(INDEX($B:$B,Settings!$B$17)),(B1471-INDEX($B:$B,Settings!$B$17))*100,NA()),NA())</f>
        <v/>
      </c>
      <c r="U1471" s="20">
        <f>IF(AND(ISNUMBER(Q1471),Settings!$B$17&gt;0),IF(ISNUMBER(INDEX($Q:$Q,Settings!$B$17)),(Q1471-INDEX($Q:$Q,Settings!$B$17))*100,NA()),NA())</f>
        <v/>
      </c>
      <c r="V1471" s="20">
        <f>IF(AND(ISNUMBER(R1471),Settings!$B$17&gt;0),IF(ISNUMBER(INDEX($R:$R,Settings!$B$17)),(R1471-INDEX($R:$R,Settings!$B$17))*100,NA()),NA())</f>
        <v/>
      </c>
      <c r="W1471" s="20">
        <f>IF(AND(ISNUMBER(P1471),Settings!$B$17&gt;0),IF(ISNUMBER(INDEX($P:$P,Settings!$B$17)),P1471-INDEX($P:$P,Settings!$B$17),NA()),NA())</f>
        <v/>
      </c>
      <c r="X1471" s="19">
        <f>IF(NOT(ISNUMBER($A1471)),NA(),IF(OR($A1471&lt;MIN(DKW_10Y!$A$2:$A$2918),$A1471&gt;MAX(DKW_10Y!$A$2:$A$2918),Settings!$B$16&lt;MIN(DKW_10Y!$A$2:$A$2918)),NA(),(INDEX(DKW_10Y!$B$2:$B$2918,MATCH($A1471,DKW_10Y!$A$2:$A$2918,1))-INDEX(DKW_10Y!$B$2:$B$2918,MATCH(Settings!$B$16,DKW_10Y!$A$2:$A$2918,1)))*100))</f>
        <v/>
      </c>
      <c r="Y1471" s="19">
        <f>IF(NOT(ISNUMBER($A1471)),NA(),IF(OR($A1471&lt;MIN(DKW_10Y!$A$2:$A$2918),$A1471&gt;MAX(DKW_10Y!$A$2:$A$2918),Settings!$B$16&lt;MIN(DKW_10Y!$A$2:$A$2918)),NA(),(INDEX(DKW_10Y!$C$2:$C$2918,MATCH($A1471,DKW_10Y!$A$2:$A$2918,1))-INDEX(DKW_10Y!$C$2:$C$2918,MATCH(Settings!$B$16,DKW_10Y!$A$2:$A$2918,1)))*100))</f>
        <v/>
      </c>
      <c r="Z1471" s="19">
        <f>IF(NOT(ISNUMBER($A1471)),NA(),IF(OR($A1471&lt;MIN(DKW_10Y!$A$2:$A$2918),$A1471&gt;MAX(DKW_10Y!$A$2:$A$2918),Settings!$B$16&lt;MIN(DKW_10Y!$A$2:$A$2918)),NA(),(INDEX(DKW_10Y!$D$2:$D$2918,MATCH($A1471,DKW_10Y!$A$2:$A$2918,1))-INDEX(DKW_10Y!$D$2:$D$2918,MATCH(Settings!$B$16,DKW_10Y!$A$2:$A$2918,1)))*100))</f>
        <v/>
      </c>
      <c r="AA1471" s="19">
        <f>IF(NOT(ISNUMBER($A1471)),NA(),IF(OR($A1471&lt;MIN(DKW_10Y!$A$2:$A$2918),$A1471&gt;MAX(DKW_10Y!$A$2:$A$2918),Settings!$B$16&lt;MIN(DKW_10Y!$A$2:$A$2918)),NA(),(INDEX(DKW_10Y!$E$2:$E$2918,MATCH($A1471,DKW_10Y!$A$2:$A$2918,1))-INDEX(DKW_10Y!$E$2:$E$2918,MATCH(Settings!$B$16,DKW_10Y!$A$2:$A$2918,1)))*100))</f>
        <v/>
      </c>
      <c r="AB1471" s="19">
        <f>IF(NOT(ISNUMBER($A1471)),NA(),IF(OR($A1471&lt;MIN(DKW_10Y!$A$2:$A$2918),$A1471&gt;MAX(DKW_10Y!$A$2:$A$2918),Settings!$B$16&lt;MIN(DKW_10Y!$A$2:$A$2918)),NA(),(INDEX(DKW_10Y!$H$2:$H$2918,MATCH($A1471,DKW_10Y!$A$2:$A$2918,1))-INDEX(DKW_10Y!$H$2:$H$2918,MATCH(Settings!$B$16,DKW_10Y!$A$2:$A$2918,1)))*100))</f>
        <v/>
      </c>
      <c r="AC1471" s="18">
        <f>IF(NOT(ISNUMBER($A1471)),NA(),IFERROR(1*INDEX(BBG_Data!$N$2:$N$4000,MATCH($A1471,BBG_Data!$M$2:$M$4000,0)),NA()))</f>
        <v/>
      </c>
      <c r="AD1471" s="18">
        <f>IF(NOT(ISNUMBER($A1471)),NA(),IFERROR(1*INDEX(BBG_Data!$P$2:$P$4000,MATCH($A1471,BBG_Data!$O$2:$O$4000,0)),NA()))</f>
        <v/>
      </c>
      <c r="AE1471" s="18">
        <f>IF(NOT(ISNUMBER($A1471)),NA(),IFERROR(1*INDEX(BBG_Data!$R$2:$R$4000,MATCH($A1471,BBG_Data!$Q$2:$Q$4000,0)),NA()))</f>
        <v/>
      </c>
      <c r="AF1471" s="20">
        <f>IF(AND(ISNUMBER(B1471),ISNUMBER(AC1471)),(B1471-AC1471)*100,NA())</f>
        <v/>
      </c>
      <c r="AG1471" s="20">
        <f>IF(AND(ISNUMBER(AE1471),ISNUMBER(AD1471)),(AE1471-AD1471)*100,NA())</f>
        <v/>
      </c>
      <c r="AH1471" s="19">
        <f>IF(NOT(ISNUMBER($A1471)),NA(),IFERROR(INDEX(BBG_Data!$T$2:$T$4000,MATCH($A1471,BBG_Data!$S$2:$S$4000,0))*Settings!$B$25,NA()))</f>
        <v/>
      </c>
      <c r="AI1471" s="19">
        <f>IF(NOT(ISNUMBER($A1471)),NA(),IFERROR(INDEX(BBG_Data!$V$2:$V$4000,MATCH($A1471,BBG_Data!$U$2:$U$4000,0))*Settings!$B$25,NA()))</f>
        <v/>
      </c>
      <c r="AJ1471" s="19">
        <f>IF(NOT(ISNUMBER($A1471)),NA(),IFERROR(1*INDEX(BBG_Data!$X$2:$X$4000,MATCH($A1471,BBG_Data!$W$2:$W$4000,0)),NA()))</f>
        <v/>
      </c>
      <c r="AK1471" s="19">
        <f>IF(NOT(ISNUMBER($A1471)),NA(),IFERROR(1*INDEX(BBG_Data!$Z$2:$Z$4000,MATCH($A1471,BBG_Data!$Y$2:$Y$4000,0)),NA()))</f>
        <v/>
      </c>
    </row>
    <row r="1472">
      <c r="A1472" s="17">
        <f>IF(ISNUMBER(BBG_Data!A1472),BBG_Data!A1472,"")</f>
        <v/>
      </c>
      <c r="B1472" s="18">
        <f>IF(AND(ISNUMBER($A1472),ISNUMBER(BBG_Data!B1472)),BBG_Data!B1472,NA())</f>
        <v/>
      </c>
      <c r="C1472" s="18">
        <f>IF(NOT(ISNUMBER($A1472)),NA(),IFERROR(1*INDEX(BBG_Data!$D$2:$D$4000,MATCH($A1472,BBG_Data!$C$2:$C$4000,0)),NA()))</f>
        <v/>
      </c>
      <c r="D1472" s="19">
        <f>IF(NOT(ISNUMBER($A1472)),NA(),IFERROR(1*INDEX(BBG_Data!$F$2:$F$4000,MATCH($A1472,BBG_Data!$E$2:$E$4000,0)),NA()))</f>
        <v/>
      </c>
      <c r="E1472" s="19">
        <f>IF(NOT(ISNUMBER($A1472)),NA(),IFERROR(1*INDEX(BBG_Data!$H$2:$H$4000,MATCH($A1472,BBG_Data!$G$2:$G$4000,0)),NA()))</f>
        <v/>
      </c>
      <c r="F1472" s="20">
        <f>IF(AND(ISNUMBER(B1472),ISNUMBER(B1471)),IF(B1472=B1471,"",(B1472-B1471)*100),"")</f>
        <v/>
      </c>
      <c r="G1472" s="20">
        <f>IF(AND(ISNUMBER(C1472),ISNUMBER(C1471)),IF(C1472=C1471,"",(C1472-C1471)*100),"")</f>
        <v/>
      </c>
      <c r="H1472" s="20">
        <f>IF(OR(NOT(ISNUMBER($A1472)),ROW()-2&lt;Settings!$B$11),NA(),IF(COUNT(OFFSET(F1472,1-Settings!$B$11,0,Settings!$B$11,1))&lt;ROUNDUP(Settings!$B$11*Settings!$B$26,0),NA(),STDEV(OFFSET(F1472,1-Settings!$B$11,0,Settings!$B$11,1))*SQRT(Settings!$B$13)))</f>
        <v/>
      </c>
      <c r="I1472" s="20">
        <f>IF(OR(NOT(ISNUMBER($A1472)),ROW()-2&lt;Settings!$B$12),NA(),IF(COUNT(OFFSET(F1472,1-Settings!$B$12,0,Settings!$B$12,1))&lt;ROUNDUP(Settings!$B$12*Settings!$B$26,0),NA(),STDEV(OFFSET(F1472,1-Settings!$B$12,0,Settings!$B$12,1))*SQRT(Settings!$B$13)))</f>
        <v/>
      </c>
      <c r="J1472" s="20">
        <f>IF(OR(NOT(ISNUMBER($A1472)),ROW()-2&lt;Settings!$B$11),NA(),IF(COUNT(OFFSET(G1472,1-Settings!$B$11,0,Settings!$B$11,1))&lt;ROUNDUP(Settings!$B$11*Settings!$B$26,0),NA(),STDEV(OFFSET(G1472,1-Settings!$B$11,0,Settings!$B$11,1))*SQRT(Settings!$B$13)))</f>
        <v/>
      </c>
      <c r="K1472" s="20">
        <f>IF(OR(NOT(ISNUMBER($A1472)),ROW()-2&lt;Settings!$B$12),NA(),IF(COUNT(OFFSET(G1472,1-Settings!$B$12,0,Settings!$B$12,1))&lt;ROUNDUP(Settings!$B$12*Settings!$B$26,0),NA(),STDEV(OFFSET(G1472,1-Settings!$B$12,0,Settings!$B$12,1))*SQRT(Settings!$B$13)))</f>
        <v/>
      </c>
      <c r="L1472" s="20">
        <f>IF(AND(ISNUMBER(D1472),ISNUMBER(H1472)),D1472-H1472,NA())</f>
        <v/>
      </c>
      <c r="M1472" s="20">
        <f>IF(AND(ISNUMBER(E1472),ISNUMBER(K1472)),E1472-K1472,NA())</f>
        <v/>
      </c>
      <c r="N1472" s="20">
        <f>IF(NOT(ISNUMBER($A1472)),NA(),IF(COUNT(OFFSET(G1472,1,0,Settings!$B$12,1))&lt;ROUNDUP(Settings!$B$12*Settings!$B$26,0),NA(),STDEV(OFFSET(G1472,1,0,Settings!$B$12,1))*SQRT(Settings!$B$13)))</f>
        <v/>
      </c>
      <c r="O1472" s="20">
        <f>IF(AND(ISNUMBER(E1472),ISNUMBER(N1472)),E1472-N1472,NA())</f>
        <v/>
      </c>
      <c r="P1472" s="19">
        <f>IF(NOT(ISNUMBER($A1472)),NA(),IF(OR($A1472&lt;MIN(KW_TP!$A$2:$A$2501),$A1472&gt;MAX(KW_TP!$A$2:$A$2501)),NA(),INDEX(KW_TP!$C$2:$C$2501,MATCH($A1472,KW_TP!$A$2:$A$2501,1))))</f>
        <v/>
      </c>
      <c r="Q1472" s="18">
        <f>IF(NOT(ISNUMBER($A1472)),NA(),IFERROR(1*INDEX(BBG_Data!$J$2:$J$4000,MATCH($A1472,BBG_Data!$I$2:$I$4000,0)),NA()))</f>
        <v/>
      </c>
      <c r="R1472" s="18">
        <f>IF(NOT(ISNUMBER($A1472)),NA(),IFERROR(1*INDEX(BBG_Data!$L$2:$L$4000,MATCH($A1472,BBG_Data!$K$2:$K$4000,0)),NA()))</f>
        <v/>
      </c>
      <c r="S1472" s="20">
        <f>IF(AND(ISNUMBER(B1472),ISNUMBER(Q1472),ISNUMBER(R1472)),(B1472-Q1472-R1472)*100,NA())</f>
        <v/>
      </c>
      <c r="T1472" s="20">
        <f>IF(AND(ISNUMBER(B1472),Settings!$B$17&gt;0),IF(ISNUMBER(INDEX($B:$B,Settings!$B$17)),(B1472-INDEX($B:$B,Settings!$B$17))*100,NA()),NA())</f>
        <v/>
      </c>
      <c r="U1472" s="20">
        <f>IF(AND(ISNUMBER(Q1472),Settings!$B$17&gt;0),IF(ISNUMBER(INDEX($Q:$Q,Settings!$B$17)),(Q1472-INDEX($Q:$Q,Settings!$B$17))*100,NA()),NA())</f>
        <v/>
      </c>
      <c r="V1472" s="20">
        <f>IF(AND(ISNUMBER(R1472),Settings!$B$17&gt;0),IF(ISNUMBER(INDEX($R:$R,Settings!$B$17)),(R1472-INDEX($R:$R,Settings!$B$17))*100,NA()),NA())</f>
        <v/>
      </c>
      <c r="W1472" s="20">
        <f>IF(AND(ISNUMBER(P1472),Settings!$B$17&gt;0),IF(ISNUMBER(INDEX($P:$P,Settings!$B$17)),P1472-INDEX($P:$P,Settings!$B$17),NA()),NA())</f>
        <v/>
      </c>
      <c r="X1472" s="19">
        <f>IF(NOT(ISNUMBER($A1472)),NA(),IF(OR($A1472&lt;MIN(DKW_10Y!$A$2:$A$2918),$A1472&gt;MAX(DKW_10Y!$A$2:$A$2918),Settings!$B$16&lt;MIN(DKW_10Y!$A$2:$A$2918)),NA(),(INDEX(DKW_10Y!$B$2:$B$2918,MATCH($A1472,DKW_10Y!$A$2:$A$2918,1))-INDEX(DKW_10Y!$B$2:$B$2918,MATCH(Settings!$B$16,DKW_10Y!$A$2:$A$2918,1)))*100))</f>
        <v/>
      </c>
      <c r="Y1472" s="19">
        <f>IF(NOT(ISNUMBER($A1472)),NA(),IF(OR($A1472&lt;MIN(DKW_10Y!$A$2:$A$2918),$A1472&gt;MAX(DKW_10Y!$A$2:$A$2918),Settings!$B$16&lt;MIN(DKW_10Y!$A$2:$A$2918)),NA(),(INDEX(DKW_10Y!$C$2:$C$2918,MATCH($A1472,DKW_10Y!$A$2:$A$2918,1))-INDEX(DKW_10Y!$C$2:$C$2918,MATCH(Settings!$B$16,DKW_10Y!$A$2:$A$2918,1)))*100))</f>
        <v/>
      </c>
      <c r="Z1472" s="19">
        <f>IF(NOT(ISNUMBER($A1472)),NA(),IF(OR($A1472&lt;MIN(DKW_10Y!$A$2:$A$2918),$A1472&gt;MAX(DKW_10Y!$A$2:$A$2918),Settings!$B$16&lt;MIN(DKW_10Y!$A$2:$A$2918)),NA(),(INDEX(DKW_10Y!$D$2:$D$2918,MATCH($A1472,DKW_10Y!$A$2:$A$2918,1))-INDEX(DKW_10Y!$D$2:$D$2918,MATCH(Settings!$B$16,DKW_10Y!$A$2:$A$2918,1)))*100))</f>
        <v/>
      </c>
      <c r="AA1472" s="19">
        <f>IF(NOT(ISNUMBER($A1472)),NA(),IF(OR($A1472&lt;MIN(DKW_10Y!$A$2:$A$2918),$A1472&gt;MAX(DKW_10Y!$A$2:$A$2918),Settings!$B$16&lt;MIN(DKW_10Y!$A$2:$A$2918)),NA(),(INDEX(DKW_10Y!$E$2:$E$2918,MATCH($A1472,DKW_10Y!$A$2:$A$2918,1))-INDEX(DKW_10Y!$E$2:$E$2918,MATCH(Settings!$B$16,DKW_10Y!$A$2:$A$2918,1)))*100))</f>
        <v/>
      </c>
      <c r="AB1472" s="19">
        <f>IF(NOT(ISNUMBER($A1472)),NA(),IF(OR($A1472&lt;MIN(DKW_10Y!$A$2:$A$2918),$A1472&gt;MAX(DKW_10Y!$A$2:$A$2918),Settings!$B$16&lt;MIN(DKW_10Y!$A$2:$A$2918)),NA(),(INDEX(DKW_10Y!$H$2:$H$2918,MATCH($A1472,DKW_10Y!$A$2:$A$2918,1))-INDEX(DKW_10Y!$H$2:$H$2918,MATCH(Settings!$B$16,DKW_10Y!$A$2:$A$2918,1)))*100))</f>
        <v/>
      </c>
      <c r="AC1472" s="18">
        <f>IF(NOT(ISNUMBER($A1472)),NA(),IFERROR(1*INDEX(BBG_Data!$N$2:$N$4000,MATCH($A1472,BBG_Data!$M$2:$M$4000,0)),NA()))</f>
        <v/>
      </c>
      <c r="AD1472" s="18">
        <f>IF(NOT(ISNUMBER($A1472)),NA(),IFERROR(1*INDEX(BBG_Data!$P$2:$P$4000,MATCH($A1472,BBG_Data!$O$2:$O$4000,0)),NA()))</f>
        <v/>
      </c>
      <c r="AE1472" s="18">
        <f>IF(NOT(ISNUMBER($A1472)),NA(),IFERROR(1*INDEX(BBG_Data!$R$2:$R$4000,MATCH($A1472,BBG_Data!$Q$2:$Q$4000,0)),NA()))</f>
        <v/>
      </c>
      <c r="AF1472" s="20">
        <f>IF(AND(ISNUMBER(B1472),ISNUMBER(AC1472)),(B1472-AC1472)*100,NA())</f>
        <v/>
      </c>
      <c r="AG1472" s="20">
        <f>IF(AND(ISNUMBER(AE1472),ISNUMBER(AD1472)),(AE1472-AD1472)*100,NA())</f>
        <v/>
      </c>
      <c r="AH1472" s="19">
        <f>IF(NOT(ISNUMBER($A1472)),NA(),IFERROR(INDEX(BBG_Data!$T$2:$T$4000,MATCH($A1472,BBG_Data!$S$2:$S$4000,0))*Settings!$B$25,NA()))</f>
        <v/>
      </c>
      <c r="AI1472" s="19">
        <f>IF(NOT(ISNUMBER($A1472)),NA(),IFERROR(INDEX(BBG_Data!$V$2:$V$4000,MATCH($A1472,BBG_Data!$U$2:$U$4000,0))*Settings!$B$25,NA()))</f>
        <v/>
      </c>
      <c r="AJ1472" s="19">
        <f>IF(NOT(ISNUMBER($A1472)),NA(),IFERROR(1*INDEX(BBG_Data!$X$2:$X$4000,MATCH($A1472,BBG_Data!$W$2:$W$4000,0)),NA()))</f>
        <v/>
      </c>
      <c r="AK1472" s="19">
        <f>IF(NOT(ISNUMBER($A1472)),NA(),IFERROR(1*INDEX(BBG_Data!$Z$2:$Z$4000,MATCH($A1472,BBG_Data!$Y$2:$Y$4000,0)),NA()))</f>
        <v/>
      </c>
    </row>
    <row r="1473">
      <c r="A1473" s="17">
        <f>IF(ISNUMBER(BBG_Data!A1473),BBG_Data!A1473,"")</f>
        <v/>
      </c>
      <c r="B1473" s="18">
        <f>IF(AND(ISNUMBER($A1473),ISNUMBER(BBG_Data!B1473)),BBG_Data!B1473,NA())</f>
        <v/>
      </c>
      <c r="C1473" s="18">
        <f>IF(NOT(ISNUMBER($A1473)),NA(),IFERROR(1*INDEX(BBG_Data!$D$2:$D$4000,MATCH($A1473,BBG_Data!$C$2:$C$4000,0)),NA()))</f>
        <v/>
      </c>
      <c r="D1473" s="19">
        <f>IF(NOT(ISNUMBER($A1473)),NA(),IFERROR(1*INDEX(BBG_Data!$F$2:$F$4000,MATCH($A1473,BBG_Data!$E$2:$E$4000,0)),NA()))</f>
        <v/>
      </c>
      <c r="E1473" s="19">
        <f>IF(NOT(ISNUMBER($A1473)),NA(),IFERROR(1*INDEX(BBG_Data!$H$2:$H$4000,MATCH($A1473,BBG_Data!$G$2:$G$4000,0)),NA()))</f>
        <v/>
      </c>
      <c r="F1473" s="20">
        <f>IF(AND(ISNUMBER(B1473),ISNUMBER(B1472)),IF(B1473=B1472,"",(B1473-B1472)*100),"")</f>
        <v/>
      </c>
      <c r="G1473" s="20">
        <f>IF(AND(ISNUMBER(C1473),ISNUMBER(C1472)),IF(C1473=C1472,"",(C1473-C1472)*100),"")</f>
        <v/>
      </c>
      <c r="H1473" s="20">
        <f>IF(OR(NOT(ISNUMBER($A1473)),ROW()-2&lt;Settings!$B$11),NA(),IF(COUNT(OFFSET(F1473,1-Settings!$B$11,0,Settings!$B$11,1))&lt;ROUNDUP(Settings!$B$11*Settings!$B$26,0),NA(),STDEV(OFFSET(F1473,1-Settings!$B$11,0,Settings!$B$11,1))*SQRT(Settings!$B$13)))</f>
        <v/>
      </c>
      <c r="I1473" s="20">
        <f>IF(OR(NOT(ISNUMBER($A1473)),ROW()-2&lt;Settings!$B$12),NA(),IF(COUNT(OFFSET(F1473,1-Settings!$B$12,0,Settings!$B$12,1))&lt;ROUNDUP(Settings!$B$12*Settings!$B$26,0),NA(),STDEV(OFFSET(F1473,1-Settings!$B$12,0,Settings!$B$12,1))*SQRT(Settings!$B$13)))</f>
        <v/>
      </c>
      <c r="J1473" s="20">
        <f>IF(OR(NOT(ISNUMBER($A1473)),ROW()-2&lt;Settings!$B$11),NA(),IF(COUNT(OFFSET(G1473,1-Settings!$B$11,0,Settings!$B$11,1))&lt;ROUNDUP(Settings!$B$11*Settings!$B$26,0),NA(),STDEV(OFFSET(G1473,1-Settings!$B$11,0,Settings!$B$11,1))*SQRT(Settings!$B$13)))</f>
        <v/>
      </c>
      <c r="K1473" s="20">
        <f>IF(OR(NOT(ISNUMBER($A1473)),ROW()-2&lt;Settings!$B$12),NA(),IF(COUNT(OFFSET(G1473,1-Settings!$B$12,0,Settings!$B$12,1))&lt;ROUNDUP(Settings!$B$12*Settings!$B$26,0),NA(),STDEV(OFFSET(G1473,1-Settings!$B$12,0,Settings!$B$12,1))*SQRT(Settings!$B$13)))</f>
        <v/>
      </c>
      <c r="L1473" s="20">
        <f>IF(AND(ISNUMBER(D1473),ISNUMBER(H1473)),D1473-H1473,NA())</f>
        <v/>
      </c>
      <c r="M1473" s="20">
        <f>IF(AND(ISNUMBER(E1473),ISNUMBER(K1473)),E1473-K1473,NA())</f>
        <v/>
      </c>
      <c r="N1473" s="20">
        <f>IF(NOT(ISNUMBER($A1473)),NA(),IF(COUNT(OFFSET(G1473,1,0,Settings!$B$12,1))&lt;ROUNDUP(Settings!$B$12*Settings!$B$26,0),NA(),STDEV(OFFSET(G1473,1,0,Settings!$B$12,1))*SQRT(Settings!$B$13)))</f>
        <v/>
      </c>
      <c r="O1473" s="20">
        <f>IF(AND(ISNUMBER(E1473),ISNUMBER(N1473)),E1473-N1473,NA())</f>
        <v/>
      </c>
      <c r="P1473" s="19">
        <f>IF(NOT(ISNUMBER($A1473)),NA(),IF(OR($A1473&lt;MIN(KW_TP!$A$2:$A$2501),$A1473&gt;MAX(KW_TP!$A$2:$A$2501)),NA(),INDEX(KW_TP!$C$2:$C$2501,MATCH($A1473,KW_TP!$A$2:$A$2501,1))))</f>
        <v/>
      </c>
      <c r="Q1473" s="18">
        <f>IF(NOT(ISNUMBER($A1473)),NA(),IFERROR(1*INDEX(BBG_Data!$J$2:$J$4000,MATCH($A1473,BBG_Data!$I$2:$I$4000,0)),NA()))</f>
        <v/>
      </c>
      <c r="R1473" s="18">
        <f>IF(NOT(ISNUMBER($A1473)),NA(),IFERROR(1*INDEX(BBG_Data!$L$2:$L$4000,MATCH($A1473,BBG_Data!$K$2:$K$4000,0)),NA()))</f>
        <v/>
      </c>
      <c r="S1473" s="20">
        <f>IF(AND(ISNUMBER(B1473),ISNUMBER(Q1473),ISNUMBER(R1473)),(B1473-Q1473-R1473)*100,NA())</f>
        <v/>
      </c>
      <c r="T1473" s="20">
        <f>IF(AND(ISNUMBER(B1473),Settings!$B$17&gt;0),IF(ISNUMBER(INDEX($B:$B,Settings!$B$17)),(B1473-INDEX($B:$B,Settings!$B$17))*100,NA()),NA())</f>
        <v/>
      </c>
      <c r="U1473" s="20">
        <f>IF(AND(ISNUMBER(Q1473),Settings!$B$17&gt;0),IF(ISNUMBER(INDEX($Q:$Q,Settings!$B$17)),(Q1473-INDEX($Q:$Q,Settings!$B$17))*100,NA()),NA())</f>
        <v/>
      </c>
      <c r="V1473" s="20">
        <f>IF(AND(ISNUMBER(R1473),Settings!$B$17&gt;0),IF(ISNUMBER(INDEX($R:$R,Settings!$B$17)),(R1473-INDEX($R:$R,Settings!$B$17))*100,NA()),NA())</f>
        <v/>
      </c>
      <c r="W1473" s="20">
        <f>IF(AND(ISNUMBER(P1473),Settings!$B$17&gt;0),IF(ISNUMBER(INDEX($P:$P,Settings!$B$17)),P1473-INDEX($P:$P,Settings!$B$17),NA()),NA())</f>
        <v/>
      </c>
      <c r="X1473" s="19">
        <f>IF(NOT(ISNUMBER($A1473)),NA(),IF(OR($A1473&lt;MIN(DKW_10Y!$A$2:$A$2918),$A1473&gt;MAX(DKW_10Y!$A$2:$A$2918),Settings!$B$16&lt;MIN(DKW_10Y!$A$2:$A$2918)),NA(),(INDEX(DKW_10Y!$B$2:$B$2918,MATCH($A1473,DKW_10Y!$A$2:$A$2918,1))-INDEX(DKW_10Y!$B$2:$B$2918,MATCH(Settings!$B$16,DKW_10Y!$A$2:$A$2918,1)))*100))</f>
        <v/>
      </c>
      <c r="Y1473" s="19">
        <f>IF(NOT(ISNUMBER($A1473)),NA(),IF(OR($A1473&lt;MIN(DKW_10Y!$A$2:$A$2918),$A1473&gt;MAX(DKW_10Y!$A$2:$A$2918),Settings!$B$16&lt;MIN(DKW_10Y!$A$2:$A$2918)),NA(),(INDEX(DKW_10Y!$C$2:$C$2918,MATCH($A1473,DKW_10Y!$A$2:$A$2918,1))-INDEX(DKW_10Y!$C$2:$C$2918,MATCH(Settings!$B$16,DKW_10Y!$A$2:$A$2918,1)))*100))</f>
        <v/>
      </c>
      <c r="Z1473" s="19">
        <f>IF(NOT(ISNUMBER($A1473)),NA(),IF(OR($A1473&lt;MIN(DKW_10Y!$A$2:$A$2918),$A1473&gt;MAX(DKW_10Y!$A$2:$A$2918),Settings!$B$16&lt;MIN(DKW_10Y!$A$2:$A$2918)),NA(),(INDEX(DKW_10Y!$D$2:$D$2918,MATCH($A1473,DKW_10Y!$A$2:$A$2918,1))-INDEX(DKW_10Y!$D$2:$D$2918,MATCH(Settings!$B$16,DKW_10Y!$A$2:$A$2918,1)))*100))</f>
        <v/>
      </c>
      <c r="AA1473" s="19">
        <f>IF(NOT(ISNUMBER($A1473)),NA(),IF(OR($A1473&lt;MIN(DKW_10Y!$A$2:$A$2918),$A1473&gt;MAX(DKW_10Y!$A$2:$A$2918),Settings!$B$16&lt;MIN(DKW_10Y!$A$2:$A$2918)),NA(),(INDEX(DKW_10Y!$E$2:$E$2918,MATCH($A1473,DKW_10Y!$A$2:$A$2918,1))-INDEX(DKW_10Y!$E$2:$E$2918,MATCH(Settings!$B$16,DKW_10Y!$A$2:$A$2918,1)))*100))</f>
        <v/>
      </c>
      <c r="AB1473" s="19">
        <f>IF(NOT(ISNUMBER($A1473)),NA(),IF(OR($A1473&lt;MIN(DKW_10Y!$A$2:$A$2918),$A1473&gt;MAX(DKW_10Y!$A$2:$A$2918),Settings!$B$16&lt;MIN(DKW_10Y!$A$2:$A$2918)),NA(),(INDEX(DKW_10Y!$H$2:$H$2918,MATCH($A1473,DKW_10Y!$A$2:$A$2918,1))-INDEX(DKW_10Y!$H$2:$H$2918,MATCH(Settings!$B$16,DKW_10Y!$A$2:$A$2918,1)))*100))</f>
        <v/>
      </c>
      <c r="AC1473" s="18">
        <f>IF(NOT(ISNUMBER($A1473)),NA(),IFERROR(1*INDEX(BBG_Data!$N$2:$N$4000,MATCH($A1473,BBG_Data!$M$2:$M$4000,0)),NA()))</f>
        <v/>
      </c>
      <c r="AD1473" s="18">
        <f>IF(NOT(ISNUMBER($A1473)),NA(),IFERROR(1*INDEX(BBG_Data!$P$2:$P$4000,MATCH($A1473,BBG_Data!$O$2:$O$4000,0)),NA()))</f>
        <v/>
      </c>
      <c r="AE1473" s="18">
        <f>IF(NOT(ISNUMBER($A1473)),NA(),IFERROR(1*INDEX(BBG_Data!$R$2:$R$4000,MATCH($A1473,BBG_Data!$Q$2:$Q$4000,0)),NA()))</f>
        <v/>
      </c>
      <c r="AF1473" s="20">
        <f>IF(AND(ISNUMBER(B1473),ISNUMBER(AC1473)),(B1473-AC1473)*100,NA())</f>
        <v/>
      </c>
      <c r="AG1473" s="20">
        <f>IF(AND(ISNUMBER(AE1473),ISNUMBER(AD1473)),(AE1473-AD1473)*100,NA())</f>
        <v/>
      </c>
      <c r="AH1473" s="19">
        <f>IF(NOT(ISNUMBER($A1473)),NA(),IFERROR(INDEX(BBG_Data!$T$2:$T$4000,MATCH($A1473,BBG_Data!$S$2:$S$4000,0))*Settings!$B$25,NA()))</f>
        <v/>
      </c>
      <c r="AI1473" s="19">
        <f>IF(NOT(ISNUMBER($A1473)),NA(),IFERROR(INDEX(BBG_Data!$V$2:$V$4000,MATCH($A1473,BBG_Data!$U$2:$U$4000,0))*Settings!$B$25,NA()))</f>
        <v/>
      </c>
      <c r="AJ1473" s="19">
        <f>IF(NOT(ISNUMBER($A1473)),NA(),IFERROR(1*INDEX(BBG_Data!$X$2:$X$4000,MATCH($A1473,BBG_Data!$W$2:$W$4000,0)),NA()))</f>
        <v/>
      </c>
      <c r="AK1473" s="19">
        <f>IF(NOT(ISNUMBER($A1473)),NA(),IFERROR(1*INDEX(BBG_Data!$Z$2:$Z$4000,MATCH($A1473,BBG_Data!$Y$2:$Y$4000,0)),NA()))</f>
        <v/>
      </c>
    </row>
    <row r="1474">
      <c r="A1474" s="17">
        <f>IF(ISNUMBER(BBG_Data!A1474),BBG_Data!A1474,"")</f>
        <v/>
      </c>
      <c r="B1474" s="18">
        <f>IF(AND(ISNUMBER($A1474),ISNUMBER(BBG_Data!B1474)),BBG_Data!B1474,NA())</f>
        <v/>
      </c>
      <c r="C1474" s="18">
        <f>IF(NOT(ISNUMBER($A1474)),NA(),IFERROR(1*INDEX(BBG_Data!$D$2:$D$4000,MATCH($A1474,BBG_Data!$C$2:$C$4000,0)),NA()))</f>
        <v/>
      </c>
      <c r="D1474" s="19">
        <f>IF(NOT(ISNUMBER($A1474)),NA(),IFERROR(1*INDEX(BBG_Data!$F$2:$F$4000,MATCH($A1474,BBG_Data!$E$2:$E$4000,0)),NA()))</f>
        <v/>
      </c>
      <c r="E1474" s="19">
        <f>IF(NOT(ISNUMBER($A1474)),NA(),IFERROR(1*INDEX(BBG_Data!$H$2:$H$4000,MATCH($A1474,BBG_Data!$G$2:$G$4000,0)),NA()))</f>
        <v/>
      </c>
      <c r="F1474" s="20">
        <f>IF(AND(ISNUMBER(B1474),ISNUMBER(B1473)),IF(B1474=B1473,"",(B1474-B1473)*100),"")</f>
        <v/>
      </c>
      <c r="G1474" s="20">
        <f>IF(AND(ISNUMBER(C1474),ISNUMBER(C1473)),IF(C1474=C1473,"",(C1474-C1473)*100),"")</f>
        <v/>
      </c>
      <c r="H1474" s="20">
        <f>IF(OR(NOT(ISNUMBER($A1474)),ROW()-2&lt;Settings!$B$11),NA(),IF(COUNT(OFFSET(F1474,1-Settings!$B$11,0,Settings!$B$11,1))&lt;ROUNDUP(Settings!$B$11*Settings!$B$26,0),NA(),STDEV(OFFSET(F1474,1-Settings!$B$11,0,Settings!$B$11,1))*SQRT(Settings!$B$13)))</f>
        <v/>
      </c>
      <c r="I1474" s="20">
        <f>IF(OR(NOT(ISNUMBER($A1474)),ROW()-2&lt;Settings!$B$12),NA(),IF(COUNT(OFFSET(F1474,1-Settings!$B$12,0,Settings!$B$12,1))&lt;ROUNDUP(Settings!$B$12*Settings!$B$26,0),NA(),STDEV(OFFSET(F1474,1-Settings!$B$12,0,Settings!$B$12,1))*SQRT(Settings!$B$13)))</f>
        <v/>
      </c>
      <c r="J1474" s="20">
        <f>IF(OR(NOT(ISNUMBER($A1474)),ROW()-2&lt;Settings!$B$11),NA(),IF(COUNT(OFFSET(G1474,1-Settings!$B$11,0,Settings!$B$11,1))&lt;ROUNDUP(Settings!$B$11*Settings!$B$26,0),NA(),STDEV(OFFSET(G1474,1-Settings!$B$11,0,Settings!$B$11,1))*SQRT(Settings!$B$13)))</f>
        <v/>
      </c>
      <c r="K1474" s="20">
        <f>IF(OR(NOT(ISNUMBER($A1474)),ROW()-2&lt;Settings!$B$12),NA(),IF(COUNT(OFFSET(G1474,1-Settings!$B$12,0,Settings!$B$12,1))&lt;ROUNDUP(Settings!$B$12*Settings!$B$26,0),NA(),STDEV(OFFSET(G1474,1-Settings!$B$12,0,Settings!$B$12,1))*SQRT(Settings!$B$13)))</f>
        <v/>
      </c>
      <c r="L1474" s="20">
        <f>IF(AND(ISNUMBER(D1474),ISNUMBER(H1474)),D1474-H1474,NA())</f>
        <v/>
      </c>
      <c r="M1474" s="20">
        <f>IF(AND(ISNUMBER(E1474),ISNUMBER(K1474)),E1474-K1474,NA())</f>
        <v/>
      </c>
      <c r="N1474" s="20">
        <f>IF(NOT(ISNUMBER($A1474)),NA(),IF(COUNT(OFFSET(G1474,1,0,Settings!$B$12,1))&lt;ROUNDUP(Settings!$B$12*Settings!$B$26,0),NA(),STDEV(OFFSET(G1474,1,0,Settings!$B$12,1))*SQRT(Settings!$B$13)))</f>
        <v/>
      </c>
      <c r="O1474" s="20">
        <f>IF(AND(ISNUMBER(E1474),ISNUMBER(N1474)),E1474-N1474,NA())</f>
        <v/>
      </c>
      <c r="P1474" s="19">
        <f>IF(NOT(ISNUMBER($A1474)),NA(),IF(OR($A1474&lt;MIN(KW_TP!$A$2:$A$2501),$A1474&gt;MAX(KW_TP!$A$2:$A$2501)),NA(),INDEX(KW_TP!$C$2:$C$2501,MATCH($A1474,KW_TP!$A$2:$A$2501,1))))</f>
        <v/>
      </c>
      <c r="Q1474" s="18">
        <f>IF(NOT(ISNUMBER($A1474)),NA(),IFERROR(1*INDEX(BBG_Data!$J$2:$J$4000,MATCH($A1474,BBG_Data!$I$2:$I$4000,0)),NA()))</f>
        <v/>
      </c>
      <c r="R1474" s="18">
        <f>IF(NOT(ISNUMBER($A1474)),NA(),IFERROR(1*INDEX(BBG_Data!$L$2:$L$4000,MATCH($A1474,BBG_Data!$K$2:$K$4000,0)),NA()))</f>
        <v/>
      </c>
      <c r="S1474" s="20">
        <f>IF(AND(ISNUMBER(B1474),ISNUMBER(Q1474),ISNUMBER(R1474)),(B1474-Q1474-R1474)*100,NA())</f>
        <v/>
      </c>
      <c r="T1474" s="20">
        <f>IF(AND(ISNUMBER(B1474),Settings!$B$17&gt;0),IF(ISNUMBER(INDEX($B:$B,Settings!$B$17)),(B1474-INDEX($B:$B,Settings!$B$17))*100,NA()),NA())</f>
        <v/>
      </c>
      <c r="U1474" s="20">
        <f>IF(AND(ISNUMBER(Q1474),Settings!$B$17&gt;0),IF(ISNUMBER(INDEX($Q:$Q,Settings!$B$17)),(Q1474-INDEX($Q:$Q,Settings!$B$17))*100,NA()),NA())</f>
        <v/>
      </c>
      <c r="V1474" s="20">
        <f>IF(AND(ISNUMBER(R1474),Settings!$B$17&gt;0),IF(ISNUMBER(INDEX($R:$R,Settings!$B$17)),(R1474-INDEX($R:$R,Settings!$B$17))*100,NA()),NA())</f>
        <v/>
      </c>
      <c r="W1474" s="20">
        <f>IF(AND(ISNUMBER(P1474),Settings!$B$17&gt;0),IF(ISNUMBER(INDEX($P:$P,Settings!$B$17)),P1474-INDEX($P:$P,Settings!$B$17),NA()),NA())</f>
        <v/>
      </c>
      <c r="X1474" s="19">
        <f>IF(NOT(ISNUMBER($A1474)),NA(),IF(OR($A1474&lt;MIN(DKW_10Y!$A$2:$A$2918),$A1474&gt;MAX(DKW_10Y!$A$2:$A$2918),Settings!$B$16&lt;MIN(DKW_10Y!$A$2:$A$2918)),NA(),(INDEX(DKW_10Y!$B$2:$B$2918,MATCH($A1474,DKW_10Y!$A$2:$A$2918,1))-INDEX(DKW_10Y!$B$2:$B$2918,MATCH(Settings!$B$16,DKW_10Y!$A$2:$A$2918,1)))*100))</f>
        <v/>
      </c>
      <c r="Y1474" s="19">
        <f>IF(NOT(ISNUMBER($A1474)),NA(),IF(OR($A1474&lt;MIN(DKW_10Y!$A$2:$A$2918),$A1474&gt;MAX(DKW_10Y!$A$2:$A$2918),Settings!$B$16&lt;MIN(DKW_10Y!$A$2:$A$2918)),NA(),(INDEX(DKW_10Y!$C$2:$C$2918,MATCH($A1474,DKW_10Y!$A$2:$A$2918,1))-INDEX(DKW_10Y!$C$2:$C$2918,MATCH(Settings!$B$16,DKW_10Y!$A$2:$A$2918,1)))*100))</f>
        <v/>
      </c>
      <c r="Z1474" s="19">
        <f>IF(NOT(ISNUMBER($A1474)),NA(),IF(OR($A1474&lt;MIN(DKW_10Y!$A$2:$A$2918),$A1474&gt;MAX(DKW_10Y!$A$2:$A$2918),Settings!$B$16&lt;MIN(DKW_10Y!$A$2:$A$2918)),NA(),(INDEX(DKW_10Y!$D$2:$D$2918,MATCH($A1474,DKW_10Y!$A$2:$A$2918,1))-INDEX(DKW_10Y!$D$2:$D$2918,MATCH(Settings!$B$16,DKW_10Y!$A$2:$A$2918,1)))*100))</f>
        <v/>
      </c>
      <c r="AA1474" s="19">
        <f>IF(NOT(ISNUMBER($A1474)),NA(),IF(OR($A1474&lt;MIN(DKW_10Y!$A$2:$A$2918),$A1474&gt;MAX(DKW_10Y!$A$2:$A$2918),Settings!$B$16&lt;MIN(DKW_10Y!$A$2:$A$2918)),NA(),(INDEX(DKW_10Y!$E$2:$E$2918,MATCH($A1474,DKW_10Y!$A$2:$A$2918,1))-INDEX(DKW_10Y!$E$2:$E$2918,MATCH(Settings!$B$16,DKW_10Y!$A$2:$A$2918,1)))*100))</f>
        <v/>
      </c>
      <c r="AB1474" s="19">
        <f>IF(NOT(ISNUMBER($A1474)),NA(),IF(OR($A1474&lt;MIN(DKW_10Y!$A$2:$A$2918),$A1474&gt;MAX(DKW_10Y!$A$2:$A$2918),Settings!$B$16&lt;MIN(DKW_10Y!$A$2:$A$2918)),NA(),(INDEX(DKW_10Y!$H$2:$H$2918,MATCH($A1474,DKW_10Y!$A$2:$A$2918,1))-INDEX(DKW_10Y!$H$2:$H$2918,MATCH(Settings!$B$16,DKW_10Y!$A$2:$A$2918,1)))*100))</f>
        <v/>
      </c>
      <c r="AC1474" s="18">
        <f>IF(NOT(ISNUMBER($A1474)),NA(),IFERROR(1*INDEX(BBG_Data!$N$2:$N$4000,MATCH($A1474,BBG_Data!$M$2:$M$4000,0)),NA()))</f>
        <v/>
      </c>
      <c r="AD1474" s="18">
        <f>IF(NOT(ISNUMBER($A1474)),NA(),IFERROR(1*INDEX(BBG_Data!$P$2:$P$4000,MATCH($A1474,BBG_Data!$O$2:$O$4000,0)),NA()))</f>
        <v/>
      </c>
      <c r="AE1474" s="18">
        <f>IF(NOT(ISNUMBER($A1474)),NA(),IFERROR(1*INDEX(BBG_Data!$R$2:$R$4000,MATCH($A1474,BBG_Data!$Q$2:$Q$4000,0)),NA()))</f>
        <v/>
      </c>
      <c r="AF1474" s="20">
        <f>IF(AND(ISNUMBER(B1474),ISNUMBER(AC1474)),(B1474-AC1474)*100,NA())</f>
        <v/>
      </c>
      <c r="AG1474" s="20">
        <f>IF(AND(ISNUMBER(AE1474),ISNUMBER(AD1474)),(AE1474-AD1474)*100,NA())</f>
        <v/>
      </c>
      <c r="AH1474" s="19">
        <f>IF(NOT(ISNUMBER($A1474)),NA(),IFERROR(INDEX(BBG_Data!$T$2:$T$4000,MATCH($A1474,BBG_Data!$S$2:$S$4000,0))*Settings!$B$25,NA()))</f>
        <v/>
      </c>
      <c r="AI1474" s="19">
        <f>IF(NOT(ISNUMBER($A1474)),NA(),IFERROR(INDEX(BBG_Data!$V$2:$V$4000,MATCH($A1474,BBG_Data!$U$2:$U$4000,0))*Settings!$B$25,NA()))</f>
        <v/>
      </c>
      <c r="AJ1474" s="19">
        <f>IF(NOT(ISNUMBER($A1474)),NA(),IFERROR(1*INDEX(BBG_Data!$X$2:$X$4000,MATCH($A1474,BBG_Data!$W$2:$W$4000,0)),NA()))</f>
        <v/>
      </c>
      <c r="AK1474" s="19">
        <f>IF(NOT(ISNUMBER($A1474)),NA(),IFERROR(1*INDEX(BBG_Data!$Z$2:$Z$4000,MATCH($A1474,BBG_Data!$Y$2:$Y$4000,0)),NA()))</f>
        <v/>
      </c>
    </row>
    <row r="1475">
      <c r="A1475" s="17">
        <f>IF(ISNUMBER(BBG_Data!A1475),BBG_Data!A1475,"")</f>
        <v/>
      </c>
      <c r="B1475" s="18">
        <f>IF(AND(ISNUMBER($A1475),ISNUMBER(BBG_Data!B1475)),BBG_Data!B1475,NA())</f>
        <v/>
      </c>
      <c r="C1475" s="18">
        <f>IF(NOT(ISNUMBER($A1475)),NA(),IFERROR(1*INDEX(BBG_Data!$D$2:$D$4000,MATCH($A1475,BBG_Data!$C$2:$C$4000,0)),NA()))</f>
        <v/>
      </c>
      <c r="D1475" s="19">
        <f>IF(NOT(ISNUMBER($A1475)),NA(),IFERROR(1*INDEX(BBG_Data!$F$2:$F$4000,MATCH($A1475,BBG_Data!$E$2:$E$4000,0)),NA()))</f>
        <v/>
      </c>
      <c r="E1475" s="19">
        <f>IF(NOT(ISNUMBER($A1475)),NA(),IFERROR(1*INDEX(BBG_Data!$H$2:$H$4000,MATCH($A1475,BBG_Data!$G$2:$G$4000,0)),NA()))</f>
        <v/>
      </c>
      <c r="F1475" s="20">
        <f>IF(AND(ISNUMBER(B1475),ISNUMBER(B1474)),IF(B1475=B1474,"",(B1475-B1474)*100),"")</f>
        <v/>
      </c>
      <c r="G1475" s="20">
        <f>IF(AND(ISNUMBER(C1475),ISNUMBER(C1474)),IF(C1475=C1474,"",(C1475-C1474)*100),"")</f>
        <v/>
      </c>
      <c r="H1475" s="20">
        <f>IF(OR(NOT(ISNUMBER($A1475)),ROW()-2&lt;Settings!$B$11),NA(),IF(COUNT(OFFSET(F1475,1-Settings!$B$11,0,Settings!$B$11,1))&lt;ROUNDUP(Settings!$B$11*Settings!$B$26,0),NA(),STDEV(OFFSET(F1475,1-Settings!$B$11,0,Settings!$B$11,1))*SQRT(Settings!$B$13)))</f>
        <v/>
      </c>
      <c r="I1475" s="20">
        <f>IF(OR(NOT(ISNUMBER($A1475)),ROW()-2&lt;Settings!$B$12),NA(),IF(COUNT(OFFSET(F1475,1-Settings!$B$12,0,Settings!$B$12,1))&lt;ROUNDUP(Settings!$B$12*Settings!$B$26,0),NA(),STDEV(OFFSET(F1475,1-Settings!$B$12,0,Settings!$B$12,1))*SQRT(Settings!$B$13)))</f>
        <v/>
      </c>
      <c r="J1475" s="20">
        <f>IF(OR(NOT(ISNUMBER($A1475)),ROW()-2&lt;Settings!$B$11),NA(),IF(COUNT(OFFSET(G1475,1-Settings!$B$11,0,Settings!$B$11,1))&lt;ROUNDUP(Settings!$B$11*Settings!$B$26,0),NA(),STDEV(OFFSET(G1475,1-Settings!$B$11,0,Settings!$B$11,1))*SQRT(Settings!$B$13)))</f>
        <v/>
      </c>
      <c r="K1475" s="20">
        <f>IF(OR(NOT(ISNUMBER($A1475)),ROW()-2&lt;Settings!$B$12),NA(),IF(COUNT(OFFSET(G1475,1-Settings!$B$12,0,Settings!$B$12,1))&lt;ROUNDUP(Settings!$B$12*Settings!$B$26,0),NA(),STDEV(OFFSET(G1475,1-Settings!$B$12,0,Settings!$B$12,1))*SQRT(Settings!$B$13)))</f>
        <v/>
      </c>
      <c r="L1475" s="20">
        <f>IF(AND(ISNUMBER(D1475),ISNUMBER(H1475)),D1475-H1475,NA())</f>
        <v/>
      </c>
      <c r="M1475" s="20">
        <f>IF(AND(ISNUMBER(E1475),ISNUMBER(K1475)),E1475-K1475,NA())</f>
        <v/>
      </c>
      <c r="N1475" s="20">
        <f>IF(NOT(ISNUMBER($A1475)),NA(),IF(COUNT(OFFSET(G1475,1,0,Settings!$B$12,1))&lt;ROUNDUP(Settings!$B$12*Settings!$B$26,0),NA(),STDEV(OFFSET(G1475,1,0,Settings!$B$12,1))*SQRT(Settings!$B$13)))</f>
        <v/>
      </c>
      <c r="O1475" s="20">
        <f>IF(AND(ISNUMBER(E1475),ISNUMBER(N1475)),E1475-N1475,NA())</f>
        <v/>
      </c>
      <c r="P1475" s="19">
        <f>IF(NOT(ISNUMBER($A1475)),NA(),IF(OR($A1475&lt;MIN(KW_TP!$A$2:$A$2501),$A1475&gt;MAX(KW_TP!$A$2:$A$2501)),NA(),INDEX(KW_TP!$C$2:$C$2501,MATCH($A1475,KW_TP!$A$2:$A$2501,1))))</f>
        <v/>
      </c>
      <c r="Q1475" s="18">
        <f>IF(NOT(ISNUMBER($A1475)),NA(),IFERROR(1*INDEX(BBG_Data!$J$2:$J$4000,MATCH($A1475,BBG_Data!$I$2:$I$4000,0)),NA()))</f>
        <v/>
      </c>
      <c r="R1475" s="18">
        <f>IF(NOT(ISNUMBER($A1475)),NA(),IFERROR(1*INDEX(BBG_Data!$L$2:$L$4000,MATCH($A1475,BBG_Data!$K$2:$K$4000,0)),NA()))</f>
        <v/>
      </c>
      <c r="S1475" s="20">
        <f>IF(AND(ISNUMBER(B1475),ISNUMBER(Q1475),ISNUMBER(R1475)),(B1475-Q1475-R1475)*100,NA())</f>
        <v/>
      </c>
      <c r="T1475" s="20">
        <f>IF(AND(ISNUMBER(B1475),Settings!$B$17&gt;0),IF(ISNUMBER(INDEX($B:$B,Settings!$B$17)),(B1475-INDEX($B:$B,Settings!$B$17))*100,NA()),NA())</f>
        <v/>
      </c>
      <c r="U1475" s="20">
        <f>IF(AND(ISNUMBER(Q1475),Settings!$B$17&gt;0),IF(ISNUMBER(INDEX($Q:$Q,Settings!$B$17)),(Q1475-INDEX($Q:$Q,Settings!$B$17))*100,NA()),NA())</f>
        <v/>
      </c>
      <c r="V1475" s="20">
        <f>IF(AND(ISNUMBER(R1475),Settings!$B$17&gt;0),IF(ISNUMBER(INDEX($R:$R,Settings!$B$17)),(R1475-INDEX($R:$R,Settings!$B$17))*100,NA()),NA())</f>
        <v/>
      </c>
      <c r="W1475" s="20">
        <f>IF(AND(ISNUMBER(P1475),Settings!$B$17&gt;0),IF(ISNUMBER(INDEX($P:$P,Settings!$B$17)),P1475-INDEX($P:$P,Settings!$B$17),NA()),NA())</f>
        <v/>
      </c>
      <c r="X1475" s="19">
        <f>IF(NOT(ISNUMBER($A1475)),NA(),IF(OR($A1475&lt;MIN(DKW_10Y!$A$2:$A$2918),$A1475&gt;MAX(DKW_10Y!$A$2:$A$2918),Settings!$B$16&lt;MIN(DKW_10Y!$A$2:$A$2918)),NA(),(INDEX(DKW_10Y!$B$2:$B$2918,MATCH($A1475,DKW_10Y!$A$2:$A$2918,1))-INDEX(DKW_10Y!$B$2:$B$2918,MATCH(Settings!$B$16,DKW_10Y!$A$2:$A$2918,1)))*100))</f>
        <v/>
      </c>
      <c r="Y1475" s="19">
        <f>IF(NOT(ISNUMBER($A1475)),NA(),IF(OR($A1475&lt;MIN(DKW_10Y!$A$2:$A$2918),$A1475&gt;MAX(DKW_10Y!$A$2:$A$2918),Settings!$B$16&lt;MIN(DKW_10Y!$A$2:$A$2918)),NA(),(INDEX(DKW_10Y!$C$2:$C$2918,MATCH($A1475,DKW_10Y!$A$2:$A$2918,1))-INDEX(DKW_10Y!$C$2:$C$2918,MATCH(Settings!$B$16,DKW_10Y!$A$2:$A$2918,1)))*100))</f>
        <v/>
      </c>
      <c r="Z1475" s="19">
        <f>IF(NOT(ISNUMBER($A1475)),NA(),IF(OR($A1475&lt;MIN(DKW_10Y!$A$2:$A$2918),$A1475&gt;MAX(DKW_10Y!$A$2:$A$2918),Settings!$B$16&lt;MIN(DKW_10Y!$A$2:$A$2918)),NA(),(INDEX(DKW_10Y!$D$2:$D$2918,MATCH($A1475,DKW_10Y!$A$2:$A$2918,1))-INDEX(DKW_10Y!$D$2:$D$2918,MATCH(Settings!$B$16,DKW_10Y!$A$2:$A$2918,1)))*100))</f>
        <v/>
      </c>
      <c r="AA1475" s="19">
        <f>IF(NOT(ISNUMBER($A1475)),NA(),IF(OR($A1475&lt;MIN(DKW_10Y!$A$2:$A$2918),$A1475&gt;MAX(DKW_10Y!$A$2:$A$2918),Settings!$B$16&lt;MIN(DKW_10Y!$A$2:$A$2918)),NA(),(INDEX(DKW_10Y!$E$2:$E$2918,MATCH($A1475,DKW_10Y!$A$2:$A$2918,1))-INDEX(DKW_10Y!$E$2:$E$2918,MATCH(Settings!$B$16,DKW_10Y!$A$2:$A$2918,1)))*100))</f>
        <v/>
      </c>
      <c r="AB1475" s="19">
        <f>IF(NOT(ISNUMBER($A1475)),NA(),IF(OR($A1475&lt;MIN(DKW_10Y!$A$2:$A$2918),$A1475&gt;MAX(DKW_10Y!$A$2:$A$2918),Settings!$B$16&lt;MIN(DKW_10Y!$A$2:$A$2918)),NA(),(INDEX(DKW_10Y!$H$2:$H$2918,MATCH($A1475,DKW_10Y!$A$2:$A$2918,1))-INDEX(DKW_10Y!$H$2:$H$2918,MATCH(Settings!$B$16,DKW_10Y!$A$2:$A$2918,1)))*100))</f>
        <v/>
      </c>
      <c r="AC1475" s="18">
        <f>IF(NOT(ISNUMBER($A1475)),NA(),IFERROR(1*INDEX(BBG_Data!$N$2:$N$4000,MATCH($A1475,BBG_Data!$M$2:$M$4000,0)),NA()))</f>
        <v/>
      </c>
      <c r="AD1475" s="18">
        <f>IF(NOT(ISNUMBER($A1475)),NA(),IFERROR(1*INDEX(BBG_Data!$P$2:$P$4000,MATCH($A1475,BBG_Data!$O$2:$O$4000,0)),NA()))</f>
        <v/>
      </c>
      <c r="AE1475" s="18">
        <f>IF(NOT(ISNUMBER($A1475)),NA(),IFERROR(1*INDEX(BBG_Data!$R$2:$R$4000,MATCH($A1475,BBG_Data!$Q$2:$Q$4000,0)),NA()))</f>
        <v/>
      </c>
      <c r="AF1475" s="20">
        <f>IF(AND(ISNUMBER(B1475),ISNUMBER(AC1475)),(B1475-AC1475)*100,NA())</f>
        <v/>
      </c>
      <c r="AG1475" s="20">
        <f>IF(AND(ISNUMBER(AE1475),ISNUMBER(AD1475)),(AE1475-AD1475)*100,NA())</f>
        <v/>
      </c>
      <c r="AH1475" s="19">
        <f>IF(NOT(ISNUMBER($A1475)),NA(),IFERROR(INDEX(BBG_Data!$T$2:$T$4000,MATCH($A1475,BBG_Data!$S$2:$S$4000,0))*Settings!$B$25,NA()))</f>
        <v/>
      </c>
      <c r="AI1475" s="19">
        <f>IF(NOT(ISNUMBER($A1475)),NA(),IFERROR(INDEX(BBG_Data!$V$2:$V$4000,MATCH($A1475,BBG_Data!$U$2:$U$4000,0))*Settings!$B$25,NA()))</f>
        <v/>
      </c>
      <c r="AJ1475" s="19">
        <f>IF(NOT(ISNUMBER($A1475)),NA(),IFERROR(1*INDEX(BBG_Data!$X$2:$X$4000,MATCH($A1475,BBG_Data!$W$2:$W$4000,0)),NA()))</f>
        <v/>
      </c>
      <c r="AK1475" s="19">
        <f>IF(NOT(ISNUMBER($A1475)),NA(),IFERROR(1*INDEX(BBG_Data!$Z$2:$Z$4000,MATCH($A1475,BBG_Data!$Y$2:$Y$4000,0)),NA()))</f>
        <v/>
      </c>
    </row>
    <row r="1476">
      <c r="A1476" s="17">
        <f>IF(ISNUMBER(BBG_Data!A1476),BBG_Data!A1476,"")</f>
        <v/>
      </c>
      <c r="B1476" s="18">
        <f>IF(AND(ISNUMBER($A1476),ISNUMBER(BBG_Data!B1476)),BBG_Data!B1476,NA())</f>
        <v/>
      </c>
      <c r="C1476" s="18">
        <f>IF(NOT(ISNUMBER($A1476)),NA(),IFERROR(1*INDEX(BBG_Data!$D$2:$D$4000,MATCH($A1476,BBG_Data!$C$2:$C$4000,0)),NA()))</f>
        <v/>
      </c>
      <c r="D1476" s="19">
        <f>IF(NOT(ISNUMBER($A1476)),NA(),IFERROR(1*INDEX(BBG_Data!$F$2:$F$4000,MATCH($A1476,BBG_Data!$E$2:$E$4000,0)),NA()))</f>
        <v/>
      </c>
      <c r="E1476" s="19">
        <f>IF(NOT(ISNUMBER($A1476)),NA(),IFERROR(1*INDEX(BBG_Data!$H$2:$H$4000,MATCH($A1476,BBG_Data!$G$2:$G$4000,0)),NA()))</f>
        <v/>
      </c>
      <c r="F1476" s="20">
        <f>IF(AND(ISNUMBER(B1476),ISNUMBER(B1475)),IF(B1476=B1475,"",(B1476-B1475)*100),"")</f>
        <v/>
      </c>
      <c r="G1476" s="20">
        <f>IF(AND(ISNUMBER(C1476),ISNUMBER(C1475)),IF(C1476=C1475,"",(C1476-C1475)*100),"")</f>
        <v/>
      </c>
      <c r="H1476" s="20">
        <f>IF(OR(NOT(ISNUMBER($A1476)),ROW()-2&lt;Settings!$B$11),NA(),IF(COUNT(OFFSET(F1476,1-Settings!$B$11,0,Settings!$B$11,1))&lt;ROUNDUP(Settings!$B$11*Settings!$B$26,0),NA(),STDEV(OFFSET(F1476,1-Settings!$B$11,0,Settings!$B$11,1))*SQRT(Settings!$B$13)))</f>
        <v/>
      </c>
      <c r="I1476" s="20">
        <f>IF(OR(NOT(ISNUMBER($A1476)),ROW()-2&lt;Settings!$B$12),NA(),IF(COUNT(OFFSET(F1476,1-Settings!$B$12,0,Settings!$B$12,1))&lt;ROUNDUP(Settings!$B$12*Settings!$B$26,0),NA(),STDEV(OFFSET(F1476,1-Settings!$B$12,0,Settings!$B$12,1))*SQRT(Settings!$B$13)))</f>
        <v/>
      </c>
      <c r="J1476" s="20">
        <f>IF(OR(NOT(ISNUMBER($A1476)),ROW()-2&lt;Settings!$B$11),NA(),IF(COUNT(OFFSET(G1476,1-Settings!$B$11,0,Settings!$B$11,1))&lt;ROUNDUP(Settings!$B$11*Settings!$B$26,0),NA(),STDEV(OFFSET(G1476,1-Settings!$B$11,0,Settings!$B$11,1))*SQRT(Settings!$B$13)))</f>
        <v/>
      </c>
      <c r="K1476" s="20">
        <f>IF(OR(NOT(ISNUMBER($A1476)),ROW()-2&lt;Settings!$B$12),NA(),IF(COUNT(OFFSET(G1476,1-Settings!$B$12,0,Settings!$B$12,1))&lt;ROUNDUP(Settings!$B$12*Settings!$B$26,0),NA(),STDEV(OFFSET(G1476,1-Settings!$B$12,0,Settings!$B$12,1))*SQRT(Settings!$B$13)))</f>
        <v/>
      </c>
      <c r="L1476" s="20">
        <f>IF(AND(ISNUMBER(D1476),ISNUMBER(H1476)),D1476-H1476,NA())</f>
        <v/>
      </c>
      <c r="M1476" s="20">
        <f>IF(AND(ISNUMBER(E1476),ISNUMBER(K1476)),E1476-K1476,NA())</f>
        <v/>
      </c>
      <c r="N1476" s="20">
        <f>IF(NOT(ISNUMBER($A1476)),NA(),IF(COUNT(OFFSET(G1476,1,0,Settings!$B$12,1))&lt;ROUNDUP(Settings!$B$12*Settings!$B$26,0),NA(),STDEV(OFFSET(G1476,1,0,Settings!$B$12,1))*SQRT(Settings!$B$13)))</f>
        <v/>
      </c>
      <c r="O1476" s="20">
        <f>IF(AND(ISNUMBER(E1476),ISNUMBER(N1476)),E1476-N1476,NA())</f>
        <v/>
      </c>
      <c r="P1476" s="19">
        <f>IF(NOT(ISNUMBER($A1476)),NA(),IF(OR($A1476&lt;MIN(KW_TP!$A$2:$A$2501),$A1476&gt;MAX(KW_TP!$A$2:$A$2501)),NA(),INDEX(KW_TP!$C$2:$C$2501,MATCH($A1476,KW_TP!$A$2:$A$2501,1))))</f>
        <v/>
      </c>
      <c r="Q1476" s="18">
        <f>IF(NOT(ISNUMBER($A1476)),NA(),IFERROR(1*INDEX(BBG_Data!$J$2:$J$4000,MATCH($A1476,BBG_Data!$I$2:$I$4000,0)),NA()))</f>
        <v/>
      </c>
      <c r="R1476" s="18">
        <f>IF(NOT(ISNUMBER($A1476)),NA(),IFERROR(1*INDEX(BBG_Data!$L$2:$L$4000,MATCH($A1476,BBG_Data!$K$2:$K$4000,0)),NA()))</f>
        <v/>
      </c>
      <c r="S1476" s="20">
        <f>IF(AND(ISNUMBER(B1476),ISNUMBER(Q1476),ISNUMBER(R1476)),(B1476-Q1476-R1476)*100,NA())</f>
        <v/>
      </c>
      <c r="T1476" s="20">
        <f>IF(AND(ISNUMBER(B1476),Settings!$B$17&gt;0),IF(ISNUMBER(INDEX($B:$B,Settings!$B$17)),(B1476-INDEX($B:$B,Settings!$B$17))*100,NA()),NA())</f>
        <v/>
      </c>
      <c r="U1476" s="20">
        <f>IF(AND(ISNUMBER(Q1476),Settings!$B$17&gt;0),IF(ISNUMBER(INDEX($Q:$Q,Settings!$B$17)),(Q1476-INDEX($Q:$Q,Settings!$B$17))*100,NA()),NA())</f>
        <v/>
      </c>
      <c r="V1476" s="20">
        <f>IF(AND(ISNUMBER(R1476),Settings!$B$17&gt;0),IF(ISNUMBER(INDEX($R:$R,Settings!$B$17)),(R1476-INDEX($R:$R,Settings!$B$17))*100,NA()),NA())</f>
        <v/>
      </c>
      <c r="W1476" s="20">
        <f>IF(AND(ISNUMBER(P1476),Settings!$B$17&gt;0),IF(ISNUMBER(INDEX($P:$P,Settings!$B$17)),P1476-INDEX($P:$P,Settings!$B$17),NA()),NA())</f>
        <v/>
      </c>
      <c r="X1476" s="19">
        <f>IF(NOT(ISNUMBER($A1476)),NA(),IF(OR($A1476&lt;MIN(DKW_10Y!$A$2:$A$2918),$A1476&gt;MAX(DKW_10Y!$A$2:$A$2918),Settings!$B$16&lt;MIN(DKW_10Y!$A$2:$A$2918)),NA(),(INDEX(DKW_10Y!$B$2:$B$2918,MATCH($A1476,DKW_10Y!$A$2:$A$2918,1))-INDEX(DKW_10Y!$B$2:$B$2918,MATCH(Settings!$B$16,DKW_10Y!$A$2:$A$2918,1)))*100))</f>
        <v/>
      </c>
      <c r="Y1476" s="19">
        <f>IF(NOT(ISNUMBER($A1476)),NA(),IF(OR($A1476&lt;MIN(DKW_10Y!$A$2:$A$2918),$A1476&gt;MAX(DKW_10Y!$A$2:$A$2918),Settings!$B$16&lt;MIN(DKW_10Y!$A$2:$A$2918)),NA(),(INDEX(DKW_10Y!$C$2:$C$2918,MATCH($A1476,DKW_10Y!$A$2:$A$2918,1))-INDEX(DKW_10Y!$C$2:$C$2918,MATCH(Settings!$B$16,DKW_10Y!$A$2:$A$2918,1)))*100))</f>
        <v/>
      </c>
      <c r="Z1476" s="19">
        <f>IF(NOT(ISNUMBER($A1476)),NA(),IF(OR($A1476&lt;MIN(DKW_10Y!$A$2:$A$2918),$A1476&gt;MAX(DKW_10Y!$A$2:$A$2918),Settings!$B$16&lt;MIN(DKW_10Y!$A$2:$A$2918)),NA(),(INDEX(DKW_10Y!$D$2:$D$2918,MATCH($A1476,DKW_10Y!$A$2:$A$2918,1))-INDEX(DKW_10Y!$D$2:$D$2918,MATCH(Settings!$B$16,DKW_10Y!$A$2:$A$2918,1)))*100))</f>
        <v/>
      </c>
      <c r="AA1476" s="19">
        <f>IF(NOT(ISNUMBER($A1476)),NA(),IF(OR($A1476&lt;MIN(DKW_10Y!$A$2:$A$2918),$A1476&gt;MAX(DKW_10Y!$A$2:$A$2918),Settings!$B$16&lt;MIN(DKW_10Y!$A$2:$A$2918)),NA(),(INDEX(DKW_10Y!$E$2:$E$2918,MATCH($A1476,DKW_10Y!$A$2:$A$2918,1))-INDEX(DKW_10Y!$E$2:$E$2918,MATCH(Settings!$B$16,DKW_10Y!$A$2:$A$2918,1)))*100))</f>
        <v/>
      </c>
      <c r="AB1476" s="19">
        <f>IF(NOT(ISNUMBER($A1476)),NA(),IF(OR($A1476&lt;MIN(DKW_10Y!$A$2:$A$2918),$A1476&gt;MAX(DKW_10Y!$A$2:$A$2918),Settings!$B$16&lt;MIN(DKW_10Y!$A$2:$A$2918)),NA(),(INDEX(DKW_10Y!$H$2:$H$2918,MATCH($A1476,DKW_10Y!$A$2:$A$2918,1))-INDEX(DKW_10Y!$H$2:$H$2918,MATCH(Settings!$B$16,DKW_10Y!$A$2:$A$2918,1)))*100))</f>
        <v/>
      </c>
      <c r="AC1476" s="18">
        <f>IF(NOT(ISNUMBER($A1476)),NA(),IFERROR(1*INDEX(BBG_Data!$N$2:$N$4000,MATCH($A1476,BBG_Data!$M$2:$M$4000,0)),NA()))</f>
        <v/>
      </c>
      <c r="AD1476" s="18">
        <f>IF(NOT(ISNUMBER($A1476)),NA(),IFERROR(1*INDEX(BBG_Data!$P$2:$P$4000,MATCH($A1476,BBG_Data!$O$2:$O$4000,0)),NA()))</f>
        <v/>
      </c>
      <c r="AE1476" s="18">
        <f>IF(NOT(ISNUMBER($A1476)),NA(),IFERROR(1*INDEX(BBG_Data!$R$2:$R$4000,MATCH($A1476,BBG_Data!$Q$2:$Q$4000,0)),NA()))</f>
        <v/>
      </c>
      <c r="AF1476" s="20">
        <f>IF(AND(ISNUMBER(B1476),ISNUMBER(AC1476)),(B1476-AC1476)*100,NA())</f>
        <v/>
      </c>
      <c r="AG1476" s="20">
        <f>IF(AND(ISNUMBER(AE1476),ISNUMBER(AD1476)),(AE1476-AD1476)*100,NA())</f>
        <v/>
      </c>
      <c r="AH1476" s="19">
        <f>IF(NOT(ISNUMBER($A1476)),NA(),IFERROR(INDEX(BBG_Data!$T$2:$T$4000,MATCH($A1476,BBG_Data!$S$2:$S$4000,0))*Settings!$B$25,NA()))</f>
        <v/>
      </c>
      <c r="AI1476" s="19">
        <f>IF(NOT(ISNUMBER($A1476)),NA(),IFERROR(INDEX(BBG_Data!$V$2:$V$4000,MATCH($A1476,BBG_Data!$U$2:$U$4000,0))*Settings!$B$25,NA()))</f>
        <v/>
      </c>
      <c r="AJ1476" s="19">
        <f>IF(NOT(ISNUMBER($A1476)),NA(),IFERROR(1*INDEX(BBG_Data!$X$2:$X$4000,MATCH($A1476,BBG_Data!$W$2:$W$4000,0)),NA()))</f>
        <v/>
      </c>
      <c r="AK1476" s="19">
        <f>IF(NOT(ISNUMBER($A1476)),NA(),IFERROR(1*INDEX(BBG_Data!$Z$2:$Z$4000,MATCH($A1476,BBG_Data!$Y$2:$Y$4000,0)),NA()))</f>
        <v/>
      </c>
    </row>
    <row r="1477">
      <c r="A1477" s="17">
        <f>IF(ISNUMBER(BBG_Data!A1477),BBG_Data!A1477,"")</f>
        <v/>
      </c>
      <c r="B1477" s="18">
        <f>IF(AND(ISNUMBER($A1477),ISNUMBER(BBG_Data!B1477)),BBG_Data!B1477,NA())</f>
        <v/>
      </c>
      <c r="C1477" s="18">
        <f>IF(NOT(ISNUMBER($A1477)),NA(),IFERROR(1*INDEX(BBG_Data!$D$2:$D$4000,MATCH($A1477,BBG_Data!$C$2:$C$4000,0)),NA()))</f>
        <v/>
      </c>
      <c r="D1477" s="19">
        <f>IF(NOT(ISNUMBER($A1477)),NA(),IFERROR(1*INDEX(BBG_Data!$F$2:$F$4000,MATCH($A1477,BBG_Data!$E$2:$E$4000,0)),NA()))</f>
        <v/>
      </c>
      <c r="E1477" s="19">
        <f>IF(NOT(ISNUMBER($A1477)),NA(),IFERROR(1*INDEX(BBG_Data!$H$2:$H$4000,MATCH($A1477,BBG_Data!$G$2:$G$4000,0)),NA()))</f>
        <v/>
      </c>
      <c r="F1477" s="20">
        <f>IF(AND(ISNUMBER(B1477),ISNUMBER(B1476)),IF(B1477=B1476,"",(B1477-B1476)*100),"")</f>
        <v/>
      </c>
      <c r="G1477" s="20">
        <f>IF(AND(ISNUMBER(C1477),ISNUMBER(C1476)),IF(C1477=C1476,"",(C1477-C1476)*100),"")</f>
        <v/>
      </c>
      <c r="H1477" s="20">
        <f>IF(OR(NOT(ISNUMBER($A1477)),ROW()-2&lt;Settings!$B$11),NA(),IF(COUNT(OFFSET(F1477,1-Settings!$B$11,0,Settings!$B$11,1))&lt;ROUNDUP(Settings!$B$11*Settings!$B$26,0),NA(),STDEV(OFFSET(F1477,1-Settings!$B$11,0,Settings!$B$11,1))*SQRT(Settings!$B$13)))</f>
        <v/>
      </c>
      <c r="I1477" s="20">
        <f>IF(OR(NOT(ISNUMBER($A1477)),ROW()-2&lt;Settings!$B$12),NA(),IF(COUNT(OFFSET(F1477,1-Settings!$B$12,0,Settings!$B$12,1))&lt;ROUNDUP(Settings!$B$12*Settings!$B$26,0),NA(),STDEV(OFFSET(F1477,1-Settings!$B$12,0,Settings!$B$12,1))*SQRT(Settings!$B$13)))</f>
        <v/>
      </c>
      <c r="J1477" s="20">
        <f>IF(OR(NOT(ISNUMBER($A1477)),ROW()-2&lt;Settings!$B$11),NA(),IF(COUNT(OFFSET(G1477,1-Settings!$B$11,0,Settings!$B$11,1))&lt;ROUNDUP(Settings!$B$11*Settings!$B$26,0),NA(),STDEV(OFFSET(G1477,1-Settings!$B$11,0,Settings!$B$11,1))*SQRT(Settings!$B$13)))</f>
        <v/>
      </c>
      <c r="K1477" s="20">
        <f>IF(OR(NOT(ISNUMBER($A1477)),ROW()-2&lt;Settings!$B$12),NA(),IF(COUNT(OFFSET(G1477,1-Settings!$B$12,0,Settings!$B$12,1))&lt;ROUNDUP(Settings!$B$12*Settings!$B$26,0),NA(),STDEV(OFFSET(G1477,1-Settings!$B$12,0,Settings!$B$12,1))*SQRT(Settings!$B$13)))</f>
        <v/>
      </c>
      <c r="L1477" s="20">
        <f>IF(AND(ISNUMBER(D1477),ISNUMBER(H1477)),D1477-H1477,NA())</f>
        <v/>
      </c>
      <c r="M1477" s="20">
        <f>IF(AND(ISNUMBER(E1477),ISNUMBER(K1477)),E1477-K1477,NA())</f>
        <v/>
      </c>
      <c r="N1477" s="20">
        <f>IF(NOT(ISNUMBER($A1477)),NA(),IF(COUNT(OFFSET(G1477,1,0,Settings!$B$12,1))&lt;ROUNDUP(Settings!$B$12*Settings!$B$26,0),NA(),STDEV(OFFSET(G1477,1,0,Settings!$B$12,1))*SQRT(Settings!$B$13)))</f>
        <v/>
      </c>
      <c r="O1477" s="20">
        <f>IF(AND(ISNUMBER(E1477),ISNUMBER(N1477)),E1477-N1477,NA())</f>
        <v/>
      </c>
      <c r="P1477" s="19">
        <f>IF(NOT(ISNUMBER($A1477)),NA(),IF(OR($A1477&lt;MIN(KW_TP!$A$2:$A$2501),$A1477&gt;MAX(KW_TP!$A$2:$A$2501)),NA(),INDEX(KW_TP!$C$2:$C$2501,MATCH($A1477,KW_TP!$A$2:$A$2501,1))))</f>
        <v/>
      </c>
      <c r="Q1477" s="18">
        <f>IF(NOT(ISNUMBER($A1477)),NA(),IFERROR(1*INDEX(BBG_Data!$J$2:$J$4000,MATCH($A1477,BBG_Data!$I$2:$I$4000,0)),NA()))</f>
        <v/>
      </c>
      <c r="R1477" s="18">
        <f>IF(NOT(ISNUMBER($A1477)),NA(),IFERROR(1*INDEX(BBG_Data!$L$2:$L$4000,MATCH($A1477,BBG_Data!$K$2:$K$4000,0)),NA()))</f>
        <v/>
      </c>
      <c r="S1477" s="20">
        <f>IF(AND(ISNUMBER(B1477),ISNUMBER(Q1477),ISNUMBER(R1477)),(B1477-Q1477-R1477)*100,NA())</f>
        <v/>
      </c>
      <c r="T1477" s="20">
        <f>IF(AND(ISNUMBER(B1477),Settings!$B$17&gt;0),IF(ISNUMBER(INDEX($B:$B,Settings!$B$17)),(B1477-INDEX($B:$B,Settings!$B$17))*100,NA()),NA())</f>
        <v/>
      </c>
      <c r="U1477" s="20">
        <f>IF(AND(ISNUMBER(Q1477),Settings!$B$17&gt;0),IF(ISNUMBER(INDEX($Q:$Q,Settings!$B$17)),(Q1477-INDEX($Q:$Q,Settings!$B$17))*100,NA()),NA())</f>
        <v/>
      </c>
      <c r="V1477" s="20">
        <f>IF(AND(ISNUMBER(R1477),Settings!$B$17&gt;0),IF(ISNUMBER(INDEX($R:$R,Settings!$B$17)),(R1477-INDEX($R:$R,Settings!$B$17))*100,NA()),NA())</f>
        <v/>
      </c>
      <c r="W1477" s="20">
        <f>IF(AND(ISNUMBER(P1477),Settings!$B$17&gt;0),IF(ISNUMBER(INDEX($P:$P,Settings!$B$17)),P1477-INDEX($P:$P,Settings!$B$17),NA()),NA())</f>
        <v/>
      </c>
      <c r="X1477" s="19">
        <f>IF(NOT(ISNUMBER($A1477)),NA(),IF(OR($A1477&lt;MIN(DKW_10Y!$A$2:$A$2918),$A1477&gt;MAX(DKW_10Y!$A$2:$A$2918),Settings!$B$16&lt;MIN(DKW_10Y!$A$2:$A$2918)),NA(),(INDEX(DKW_10Y!$B$2:$B$2918,MATCH($A1477,DKW_10Y!$A$2:$A$2918,1))-INDEX(DKW_10Y!$B$2:$B$2918,MATCH(Settings!$B$16,DKW_10Y!$A$2:$A$2918,1)))*100))</f>
        <v/>
      </c>
      <c r="Y1477" s="19">
        <f>IF(NOT(ISNUMBER($A1477)),NA(),IF(OR($A1477&lt;MIN(DKW_10Y!$A$2:$A$2918),$A1477&gt;MAX(DKW_10Y!$A$2:$A$2918),Settings!$B$16&lt;MIN(DKW_10Y!$A$2:$A$2918)),NA(),(INDEX(DKW_10Y!$C$2:$C$2918,MATCH($A1477,DKW_10Y!$A$2:$A$2918,1))-INDEX(DKW_10Y!$C$2:$C$2918,MATCH(Settings!$B$16,DKW_10Y!$A$2:$A$2918,1)))*100))</f>
        <v/>
      </c>
      <c r="Z1477" s="19">
        <f>IF(NOT(ISNUMBER($A1477)),NA(),IF(OR($A1477&lt;MIN(DKW_10Y!$A$2:$A$2918),$A1477&gt;MAX(DKW_10Y!$A$2:$A$2918),Settings!$B$16&lt;MIN(DKW_10Y!$A$2:$A$2918)),NA(),(INDEX(DKW_10Y!$D$2:$D$2918,MATCH($A1477,DKW_10Y!$A$2:$A$2918,1))-INDEX(DKW_10Y!$D$2:$D$2918,MATCH(Settings!$B$16,DKW_10Y!$A$2:$A$2918,1)))*100))</f>
        <v/>
      </c>
      <c r="AA1477" s="19">
        <f>IF(NOT(ISNUMBER($A1477)),NA(),IF(OR($A1477&lt;MIN(DKW_10Y!$A$2:$A$2918),$A1477&gt;MAX(DKW_10Y!$A$2:$A$2918),Settings!$B$16&lt;MIN(DKW_10Y!$A$2:$A$2918)),NA(),(INDEX(DKW_10Y!$E$2:$E$2918,MATCH($A1477,DKW_10Y!$A$2:$A$2918,1))-INDEX(DKW_10Y!$E$2:$E$2918,MATCH(Settings!$B$16,DKW_10Y!$A$2:$A$2918,1)))*100))</f>
        <v/>
      </c>
      <c r="AB1477" s="19">
        <f>IF(NOT(ISNUMBER($A1477)),NA(),IF(OR($A1477&lt;MIN(DKW_10Y!$A$2:$A$2918),$A1477&gt;MAX(DKW_10Y!$A$2:$A$2918),Settings!$B$16&lt;MIN(DKW_10Y!$A$2:$A$2918)),NA(),(INDEX(DKW_10Y!$H$2:$H$2918,MATCH($A1477,DKW_10Y!$A$2:$A$2918,1))-INDEX(DKW_10Y!$H$2:$H$2918,MATCH(Settings!$B$16,DKW_10Y!$A$2:$A$2918,1)))*100))</f>
        <v/>
      </c>
      <c r="AC1477" s="18">
        <f>IF(NOT(ISNUMBER($A1477)),NA(),IFERROR(1*INDEX(BBG_Data!$N$2:$N$4000,MATCH($A1477,BBG_Data!$M$2:$M$4000,0)),NA()))</f>
        <v/>
      </c>
      <c r="AD1477" s="18">
        <f>IF(NOT(ISNUMBER($A1477)),NA(),IFERROR(1*INDEX(BBG_Data!$P$2:$P$4000,MATCH($A1477,BBG_Data!$O$2:$O$4000,0)),NA()))</f>
        <v/>
      </c>
      <c r="AE1477" s="18">
        <f>IF(NOT(ISNUMBER($A1477)),NA(),IFERROR(1*INDEX(BBG_Data!$R$2:$R$4000,MATCH($A1477,BBG_Data!$Q$2:$Q$4000,0)),NA()))</f>
        <v/>
      </c>
      <c r="AF1477" s="20">
        <f>IF(AND(ISNUMBER(B1477),ISNUMBER(AC1477)),(B1477-AC1477)*100,NA())</f>
        <v/>
      </c>
      <c r="AG1477" s="20">
        <f>IF(AND(ISNUMBER(AE1477),ISNUMBER(AD1477)),(AE1477-AD1477)*100,NA())</f>
        <v/>
      </c>
      <c r="AH1477" s="19">
        <f>IF(NOT(ISNUMBER($A1477)),NA(),IFERROR(INDEX(BBG_Data!$T$2:$T$4000,MATCH($A1477,BBG_Data!$S$2:$S$4000,0))*Settings!$B$25,NA()))</f>
        <v/>
      </c>
      <c r="AI1477" s="19">
        <f>IF(NOT(ISNUMBER($A1477)),NA(),IFERROR(INDEX(BBG_Data!$V$2:$V$4000,MATCH($A1477,BBG_Data!$U$2:$U$4000,0))*Settings!$B$25,NA()))</f>
        <v/>
      </c>
      <c r="AJ1477" s="19">
        <f>IF(NOT(ISNUMBER($A1477)),NA(),IFERROR(1*INDEX(BBG_Data!$X$2:$X$4000,MATCH($A1477,BBG_Data!$W$2:$W$4000,0)),NA()))</f>
        <v/>
      </c>
      <c r="AK1477" s="19">
        <f>IF(NOT(ISNUMBER($A1477)),NA(),IFERROR(1*INDEX(BBG_Data!$Z$2:$Z$4000,MATCH($A1477,BBG_Data!$Y$2:$Y$4000,0)),NA()))</f>
        <v/>
      </c>
    </row>
    <row r="1478">
      <c r="A1478" s="17">
        <f>IF(ISNUMBER(BBG_Data!A1478),BBG_Data!A1478,"")</f>
        <v/>
      </c>
      <c r="B1478" s="18">
        <f>IF(AND(ISNUMBER($A1478),ISNUMBER(BBG_Data!B1478)),BBG_Data!B1478,NA())</f>
        <v/>
      </c>
      <c r="C1478" s="18">
        <f>IF(NOT(ISNUMBER($A1478)),NA(),IFERROR(1*INDEX(BBG_Data!$D$2:$D$4000,MATCH($A1478,BBG_Data!$C$2:$C$4000,0)),NA()))</f>
        <v/>
      </c>
      <c r="D1478" s="19">
        <f>IF(NOT(ISNUMBER($A1478)),NA(),IFERROR(1*INDEX(BBG_Data!$F$2:$F$4000,MATCH($A1478,BBG_Data!$E$2:$E$4000,0)),NA()))</f>
        <v/>
      </c>
      <c r="E1478" s="19">
        <f>IF(NOT(ISNUMBER($A1478)),NA(),IFERROR(1*INDEX(BBG_Data!$H$2:$H$4000,MATCH($A1478,BBG_Data!$G$2:$G$4000,0)),NA()))</f>
        <v/>
      </c>
      <c r="F1478" s="20">
        <f>IF(AND(ISNUMBER(B1478),ISNUMBER(B1477)),IF(B1478=B1477,"",(B1478-B1477)*100),"")</f>
        <v/>
      </c>
      <c r="G1478" s="20">
        <f>IF(AND(ISNUMBER(C1478),ISNUMBER(C1477)),IF(C1478=C1477,"",(C1478-C1477)*100),"")</f>
        <v/>
      </c>
      <c r="H1478" s="20">
        <f>IF(OR(NOT(ISNUMBER($A1478)),ROW()-2&lt;Settings!$B$11),NA(),IF(COUNT(OFFSET(F1478,1-Settings!$B$11,0,Settings!$B$11,1))&lt;ROUNDUP(Settings!$B$11*Settings!$B$26,0),NA(),STDEV(OFFSET(F1478,1-Settings!$B$11,0,Settings!$B$11,1))*SQRT(Settings!$B$13)))</f>
        <v/>
      </c>
      <c r="I1478" s="20">
        <f>IF(OR(NOT(ISNUMBER($A1478)),ROW()-2&lt;Settings!$B$12),NA(),IF(COUNT(OFFSET(F1478,1-Settings!$B$12,0,Settings!$B$12,1))&lt;ROUNDUP(Settings!$B$12*Settings!$B$26,0),NA(),STDEV(OFFSET(F1478,1-Settings!$B$12,0,Settings!$B$12,1))*SQRT(Settings!$B$13)))</f>
        <v/>
      </c>
      <c r="J1478" s="20">
        <f>IF(OR(NOT(ISNUMBER($A1478)),ROW()-2&lt;Settings!$B$11),NA(),IF(COUNT(OFFSET(G1478,1-Settings!$B$11,0,Settings!$B$11,1))&lt;ROUNDUP(Settings!$B$11*Settings!$B$26,0),NA(),STDEV(OFFSET(G1478,1-Settings!$B$11,0,Settings!$B$11,1))*SQRT(Settings!$B$13)))</f>
        <v/>
      </c>
      <c r="K1478" s="20">
        <f>IF(OR(NOT(ISNUMBER($A1478)),ROW()-2&lt;Settings!$B$12),NA(),IF(COUNT(OFFSET(G1478,1-Settings!$B$12,0,Settings!$B$12,1))&lt;ROUNDUP(Settings!$B$12*Settings!$B$26,0),NA(),STDEV(OFFSET(G1478,1-Settings!$B$12,0,Settings!$B$12,1))*SQRT(Settings!$B$13)))</f>
        <v/>
      </c>
      <c r="L1478" s="20">
        <f>IF(AND(ISNUMBER(D1478),ISNUMBER(H1478)),D1478-H1478,NA())</f>
        <v/>
      </c>
      <c r="M1478" s="20">
        <f>IF(AND(ISNUMBER(E1478),ISNUMBER(K1478)),E1478-K1478,NA())</f>
        <v/>
      </c>
      <c r="N1478" s="20">
        <f>IF(NOT(ISNUMBER($A1478)),NA(),IF(COUNT(OFFSET(G1478,1,0,Settings!$B$12,1))&lt;ROUNDUP(Settings!$B$12*Settings!$B$26,0),NA(),STDEV(OFFSET(G1478,1,0,Settings!$B$12,1))*SQRT(Settings!$B$13)))</f>
        <v/>
      </c>
      <c r="O1478" s="20">
        <f>IF(AND(ISNUMBER(E1478),ISNUMBER(N1478)),E1478-N1478,NA())</f>
        <v/>
      </c>
      <c r="P1478" s="19">
        <f>IF(NOT(ISNUMBER($A1478)),NA(),IF(OR($A1478&lt;MIN(KW_TP!$A$2:$A$2501),$A1478&gt;MAX(KW_TP!$A$2:$A$2501)),NA(),INDEX(KW_TP!$C$2:$C$2501,MATCH($A1478,KW_TP!$A$2:$A$2501,1))))</f>
        <v/>
      </c>
      <c r="Q1478" s="18">
        <f>IF(NOT(ISNUMBER($A1478)),NA(),IFERROR(1*INDEX(BBG_Data!$J$2:$J$4000,MATCH($A1478,BBG_Data!$I$2:$I$4000,0)),NA()))</f>
        <v/>
      </c>
      <c r="R1478" s="18">
        <f>IF(NOT(ISNUMBER($A1478)),NA(),IFERROR(1*INDEX(BBG_Data!$L$2:$L$4000,MATCH($A1478,BBG_Data!$K$2:$K$4000,0)),NA()))</f>
        <v/>
      </c>
      <c r="S1478" s="20">
        <f>IF(AND(ISNUMBER(B1478),ISNUMBER(Q1478),ISNUMBER(R1478)),(B1478-Q1478-R1478)*100,NA())</f>
        <v/>
      </c>
      <c r="T1478" s="20">
        <f>IF(AND(ISNUMBER(B1478),Settings!$B$17&gt;0),IF(ISNUMBER(INDEX($B:$B,Settings!$B$17)),(B1478-INDEX($B:$B,Settings!$B$17))*100,NA()),NA())</f>
        <v/>
      </c>
      <c r="U1478" s="20">
        <f>IF(AND(ISNUMBER(Q1478),Settings!$B$17&gt;0),IF(ISNUMBER(INDEX($Q:$Q,Settings!$B$17)),(Q1478-INDEX($Q:$Q,Settings!$B$17))*100,NA()),NA())</f>
        <v/>
      </c>
      <c r="V1478" s="20">
        <f>IF(AND(ISNUMBER(R1478),Settings!$B$17&gt;0),IF(ISNUMBER(INDEX($R:$R,Settings!$B$17)),(R1478-INDEX($R:$R,Settings!$B$17))*100,NA()),NA())</f>
        <v/>
      </c>
      <c r="W1478" s="20">
        <f>IF(AND(ISNUMBER(P1478),Settings!$B$17&gt;0),IF(ISNUMBER(INDEX($P:$P,Settings!$B$17)),P1478-INDEX($P:$P,Settings!$B$17),NA()),NA())</f>
        <v/>
      </c>
      <c r="X1478" s="19">
        <f>IF(NOT(ISNUMBER($A1478)),NA(),IF(OR($A1478&lt;MIN(DKW_10Y!$A$2:$A$2918),$A1478&gt;MAX(DKW_10Y!$A$2:$A$2918),Settings!$B$16&lt;MIN(DKW_10Y!$A$2:$A$2918)),NA(),(INDEX(DKW_10Y!$B$2:$B$2918,MATCH($A1478,DKW_10Y!$A$2:$A$2918,1))-INDEX(DKW_10Y!$B$2:$B$2918,MATCH(Settings!$B$16,DKW_10Y!$A$2:$A$2918,1)))*100))</f>
        <v/>
      </c>
      <c r="Y1478" s="19">
        <f>IF(NOT(ISNUMBER($A1478)),NA(),IF(OR($A1478&lt;MIN(DKW_10Y!$A$2:$A$2918),$A1478&gt;MAX(DKW_10Y!$A$2:$A$2918),Settings!$B$16&lt;MIN(DKW_10Y!$A$2:$A$2918)),NA(),(INDEX(DKW_10Y!$C$2:$C$2918,MATCH($A1478,DKW_10Y!$A$2:$A$2918,1))-INDEX(DKW_10Y!$C$2:$C$2918,MATCH(Settings!$B$16,DKW_10Y!$A$2:$A$2918,1)))*100))</f>
        <v/>
      </c>
      <c r="Z1478" s="19">
        <f>IF(NOT(ISNUMBER($A1478)),NA(),IF(OR($A1478&lt;MIN(DKW_10Y!$A$2:$A$2918),$A1478&gt;MAX(DKW_10Y!$A$2:$A$2918),Settings!$B$16&lt;MIN(DKW_10Y!$A$2:$A$2918)),NA(),(INDEX(DKW_10Y!$D$2:$D$2918,MATCH($A1478,DKW_10Y!$A$2:$A$2918,1))-INDEX(DKW_10Y!$D$2:$D$2918,MATCH(Settings!$B$16,DKW_10Y!$A$2:$A$2918,1)))*100))</f>
        <v/>
      </c>
      <c r="AA1478" s="19">
        <f>IF(NOT(ISNUMBER($A1478)),NA(),IF(OR($A1478&lt;MIN(DKW_10Y!$A$2:$A$2918),$A1478&gt;MAX(DKW_10Y!$A$2:$A$2918),Settings!$B$16&lt;MIN(DKW_10Y!$A$2:$A$2918)),NA(),(INDEX(DKW_10Y!$E$2:$E$2918,MATCH($A1478,DKW_10Y!$A$2:$A$2918,1))-INDEX(DKW_10Y!$E$2:$E$2918,MATCH(Settings!$B$16,DKW_10Y!$A$2:$A$2918,1)))*100))</f>
        <v/>
      </c>
      <c r="AB1478" s="19">
        <f>IF(NOT(ISNUMBER($A1478)),NA(),IF(OR($A1478&lt;MIN(DKW_10Y!$A$2:$A$2918),$A1478&gt;MAX(DKW_10Y!$A$2:$A$2918),Settings!$B$16&lt;MIN(DKW_10Y!$A$2:$A$2918)),NA(),(INDEX(DKW_10Y!$H$2:$H$2918,MATCH($A1478,DKW_10Y!$A$2:$A$2918,1))-INDEX(DKW_10Y!$H$2:$H$2918,MATCH(Settings!$B$16,DKW_10Y!$A$2:$A$2918,1)))*100))</f>
        <v/>
      </c>
      <c r="AC1478" s="18">
        <f>IF(NOT(ISNUMBER($A1478)),NA(),IFERROR(1*INDEX(BBG_Data!$N$2:$N$4000,MATCH($A1478,BBG_Data!$M$2:$M$4000,0)),NA()))</f>
        <v/>
      </c>
      <c r="AD1478" s="18">
        <f>IF(NOT(ISNUMBER($A1478)),NA(),IFERROR(1*INDEX(BBG_Data!$P$2:$P$4000,MATCH($A1478,BBG_Data!$O$2:$O$4000,0)),NA()))</f>
        <v/>
      </c>
      <c r="AE1478" s="18">
        <f>IF(NOT(ISNUMBER($A1478)),NA(),IFERROR(1*INDEX(BBG_Data!$R$2:$R$4000,MATCH($A1478,BBG_Data!$Q$2:$Q$4000,0)),NA()))</f>
        <v/>
      </c>
      <c r="AF1478" s="20">
        <f>IF(AND(ISNUMBER(B1478),ISNUMBER(AC1478)),(B1478-AC1478)*100,NA())</f>
        <v/>
      </c>
      <c r="AG1478" s="20">
        <f>IF(AND(ISNUMBER(AE1478),ISNUMBER(AD1478)),(AE1478-AD1478)*100,NA())</f>
        <v/>
      </c>
      <c r="AH1478" s="19">
        <f>IF(NOT(ISNUMBER($A1478)),NA(),IFERROR(INDEX(BBG_Data!$T$2:$T$4000,MATCH($A1478,BBG_Data!$S$2:$S$4000,0))*Settings!$B$25,NA()))</f>
        <v/>
      </c>
      <c r="AI1478" s="19">
        <f>IF(NOT(ISNUMBER($A1478)),NA(),IFERROR(INDEX(BBG_Data!$V$2:$V$4000,MATCH($A1478,BBG_Data!$U$2:$U$4000,0))*Settings!$B$25,NA()))</f>
        <v/>
      </c>
      <c r="AJ1478" s="19">
        <f>IF(NOT(ISNUMBER($A1478)),NA(),IFERROR(1*INDEX(BBG_Data!$X$2:$X$4000,MATCH($A1478,BBG_Data!$W$2:$W$4000,0)),NA()))</f>
        <v/>
      </c>
      <c r="AK1478" s="19">
        <f>IF(NOT(ISNUMBER($A1478)),NA(),IFERROR(1*INDEX(BBG_Data!$Z$2:$Z$4000,MATCH($A1478,BBG_Data!$Y$2:$Y$4000,0)),NA()))</f>
        <v/>
      </c>
    </row>
    <row r="1479">
      <c r="A1479" s="17">
        <f>IF(ISNUMBER(BBG_Data!A1479),BBG_Data!A1479,"")</f>
        <v/>
      </c>
      <c r="B1479" s="18">
        <f>IF(AND(ISNUMBER($A1479),ISNUMBER(BBG_Data!B1479)),BBG_Data!B1479,NA())</f>
        <v/>
      </c>
      <c r="C1479" s="18">
        <f>IF(NOT(ISNUMBER($A1479)),NA(),IFERROR(1*INDEX(BBG_Data!$D$2:$D$4000,MATCH($A1479,BBG_Data!$C$2:$C$4000,0)),NA()))</f>
        <v/>
      </c>
      <c r="D1479" s="19">
        <f>IF(NOT(ISNUMBER($A1479)),NA(),IFERROR(1*INDEX(BBG_Data!$F$2:$F$4000,MATCH($A1479,BBG_Data!$E$2:$E$4000,0)),NA()))</f>
        <v/>
      </c>
      <c r="E1479" s="19">
        <f>IF(NOT(ISNUMBER($A1479)),NA(),IFERROR(1*INDEX(BBG_Data!$H$2:$H$4000,MATCH($A1479,BBG_Data!$G$2:$G$4000,0)),NA()))</f>
        <v/>
      </c>
      <c r="F1479" s="20">
        <f>IF(AND(ISNUMBER(B1479),ISNUMBER(B1478)),IF(B1479=B1478,"",(B1479-B1478)*100),"")</f>
        <v/>
      </c>
      <c r="G1479" s="20">
        <f>IF(AND(ISNUMBER(C1479),ISNUMBER(C1478)),IF(C1479=C1478,"",(C1479-C1478)*100),"")</f>
        <v/>
      </c>
      <c r="H1479" s="20">
        <f>IF(OR(NOT(ISNUMBER($A1479)),ROW()-2&lt;Settings!$B$11),NA(),IF(COUNT(OFFSET(F1479,1-Settings!$B$11,0,Settings!$B$11,1))&lt;ROUNDUP(Settings!$B$11*Settings!$B$26,0),NA(),STDEV(OFFSET(F1479,1-Settings!$B$11,0,Settings!$B$11,1))*SQRT(Settings!$B$13)))</f>
        <v/>
      </c>
      <c r="I1479" s="20">
        <f>IF(OR(NOT(ISNUMBER($A1479)),ROW()-2&lt;Settings!$B$12),NA(),IF(COUNT(OFFSET(F1479,1-Settings!$B$12,0,Settings!$B$12,1))&lt;ROUNDUP(Settings!$B$12*Settings!$B$26,0),NA(),STDEV(OFFSET(F1479,1-Settings!$B$12,0,Settings!$B$12,1))*SQRT(Settings!$B$13)))</f>
        <v/>
      </c>
      <c r="J1479" s="20">
        <f>IF(OR(NOT(ISNUMBER($A1479)),ROW()-2&lt;Settings!$B$11),NA(),IF(COUNT(OFFSET(G1479,1-Settings!$B$11,0,Settings!$B$11,1))&lt;ROUNDUP(Settings!$B$11*Settings!$B$26,0),NA(),STDEV(OFFSET(G1479,1-Settings!$B$11,0,Settings!$B$11,1))*SQRT(Settings!$B$13)))</f>
        <v/>
      </c>
      <c r="K1479" s="20">
        <f>IF(OR(NOT(ISNUMBER($A1479)),ROW()-2&lt;Settings!$B$12),NA(),IF(COUNT(OFFSET(G1479,1-Settings!$B$12,0,Settings!$B$12,1))&lt;ROUNDUP(Settings!$B$12*Settings!$B$26,0),NA(),STDEV(OFFSET(G1479,1-Settings!$B$12,0,Settings!$B$12,1))*SQRT(Settings!$B$13)))</f>
        <v/>
      </c>
      <c r="L1479" s="20">
        <f>IF(AND(ISNUMBER(D1479),ISNUMBER(H1479)),D1479-H1479,NA())</f>
        <v/>
      </c>
      <c r="M1479" s="20">
        <f>IF(AND(ISNUMBER(E1479),ISNUMBER(K1479)),E1479-K1479,NA())</f>
        <v/>
      </c>
      <c r="N1479" s="20">
        <f>IF(NOT(ISNUMBER($A1479)),NA(),IF(COUNT(OFFSET(G1479,1,0,Settings!$B$12,1))&lt;ROUNDUP(Settings!$B$12*Settings!$B$26,0),NA(),STDEV(OFFSET(G1479,1,0,Settings!$B$12,1))*SQRT(Settings!$B$13)))</f>
        <v/>
      </c>
      <c r="O1479" s="20">
        <f>IF(AND(ISNUMBER(E1479),ISNUMBER(N1479)),E1479-N1479,NA())</f>
        <v/>
      </c>
      <c r="P1479" s="19">
        <f>IF(NOT(ISNUMBER($A1479)),NA(),IF(OR($A1479&lt;MIN(KW_TP!$A$2:$A$2501),$A1479&gt;MAX(KW_TP!$A$2:$A$2501)),NA(),INDEX(KW_TP!$C$2:$C$2501,MATCH($A1479,KW_TP!$A$2:$A$2501,1))))</f>
        <v/>
      </c>
      <c r="Q1479" s="18">
        <f>IF(NOT(ISNUMBER($A1479)),NA(),IFERROR(1*INDEX(BBG_Data!$J$2:$J$4000,MATCH($A1479,BBG_Data!$I$2:$I$4000,0)),NA()))</f>
        <v/>
      </c>
      <c r="R1479" s="18">
        <f>IF(NOT(ISNUMBER($A1479)),NA(),IFERROR(1*INDEX(BBG_Data!$L$2:$L$4000,MATCH($A1479,BBG_Data!$K$2:$K$4000,0)),NA()))</f>
        <v/>
      </c>
      <c r="S1479" s="20">
        <f>IF(AND(ISNUMBER(B1479),ISNUMBER(Q1479),ISNUMBER(R1479)),(B1479-Q1479-R1479)*100,NA())</f>
        <v/>
      </c>
      <c r="T1479" s="20">
        <f>IF(AND(ISNUMBER(B1479),Settings!$B$17&gt;0),IF(ISNUMBER(INDEX($B:$B,Settings!$B$17)),(B1479-INDEX($B:$B,Settings!$B$17))*100,NA()),NA())</f>
        <v/>
      </c>
      <c r="U1479" s="20">
        <f>IF(AND(ISNUMBER(Q1479),Settings!$B$17&gt;0),IF(ISNUMBER(INDEX($Q:$Q,Settings!$B$17)),(Q1479-INDEX($Q:$Q,Settings!$B$17))*100,NA()),NA())</f>
        <v/>
      </c>
      <c r="V1479" s="20">
        <f>IF(AND(ISNUMBER(R1479),Settings!$B$17&gt;0),IF(ISNUMBER(INDEX($R:$R,Settings!$B$17)),(R1479-INDEX($R:$R,Settings!$B$17))*100,NA()),NA())</f>
        <v/>
      </c>
      <c r="W1479" s="20">
        <f>IF(AND(ISNUMBER(P1479),Settings!$B$17&gt;0),IF(ISNUMBER(INDEX($P:$P,Settings!$B$17)),P1479-INDEX($P:$P,Settings!$B$17),NA()),NA())</f>
        <v/>
      </c>
      <c r="X1479" s="19">
        <f>IF(NOT(ISNUMBER($A1479)),NA(),IF(OR($A1479&lt;MIN(DKW_10Y!$A$2:$A$2918),$A1479&gt;MAX(DKW_10Y!$A$2:$A$2918),Settings!$B$16&lt;MIN(DKW_10Y!$A$2:$A$2918)),NA(),(INDEX(DKW_10Y!$B$2:$B$2918,MATCH($A1479,DKW_10Y!$A$2:$A$2918,1))-INDEX(DKW_10Y!$B$2:$B$2918,MATCH(Settings!$B$16,DKW_10Y!$A$2:$A$2918,1)))*100))</f>
        <v/>
      </c>
      <c r="Y1479" s="19">
        <f>IF(NOT(ISNUMBER($A1479)),NA(),IF(OR($A1479&lt;MIN(DKW_10Y!$A$2:$A$2918),$A1479&gt;MAX(DKW_10Y!$A$2:$A$2918),Settings!$B$16&lt;MIN(DKW_10Y!$A$2:$A$2918)),NA(),(INDEX(DKW_10Y!$C$2:$C$2918,MATCH($A1479,DKW_10Y!$A$2:$A$2918,1))-INDEX(DKW_10Y!$C$2:$C$2918,MATCH(Settings!$B$16,DKW_10Y!$A$2:$A$2918,1)))*100))</f>
        <v/>
      </c>
      <c r="Z1479" s="19">
        <f>IF(NOT(ISNUMBER($A1479)),NA(),IF(OR($A1479&lt;MIN(DKW_10Y!$A$2:$A$2918),$A1479&gt;MAX(DKW_10Y!$A$2:$A$2918),Settings!$B$16&lt;MIN(DKW_10Y!$A$2:$A$2918)),NA(),(INDEX(DKW_10Y!$D$2:$D$2918,MATCH($A1479,DKW_10Y!$A$2:$A$2918,1))-INDEX(DKW_10Y!$D$2:$D$2918,MATCH(Settings!$B$16,DKW_10Y!$A$2:$A$2918,1)))*100))</f>
        <v/>
      </c>
      <c r="AA1479" s="19">
        <f>IF(NOT(ISNUMBER($A1479)),NA(),IF(OR($A1479&lt;MIN(DKW_10Y!$A$2:$A$2918),$A1479&gt;MAX(DKW_10Y!$A$2:$A$2918),Settings!$B$16&lt;MIN(DKW_10Y!$A$2:$A$2918)),NA(),(INDEX(DKW_10Y!$E$2:$E$2918,MATCH($A1479,DKW_10Y!$A$2:$A$2918,1))-INDEX(DKW_10Y!$E$2:$E$2918,MATCH(Settings!$B$16,DKW_10Y!$A$2:$A$2918,1)))*100))</f>
        <v/>
      </c>
      <c r="AB1479" s="19">
        <f>IF(NOT(ISNUMBER($A1479)),NA(),IF(OR($A1479&lt;MIN(DKW_10Y!$A$2:$A$2918),$A1479&gt;MAX(DKW_10Y!$A$2:$A$2918),Settings!$B$16&lt;MIN(DKW_10Y!$A$2:$A$2918)),NA(),(INDEX(DKW_10Y!$H$2:$H$2918,MATCH($A1479,DKW_10Y!$A$2:$A$2918,1))-INDEX(DKW_10Y!$H$2:$H$2918,MATCH(Settings!$B$16,DKW_10Y!$A$2:$A$2918,1)))*100))</f>
        <v/>
      </c>
      <c r="AC1479" s="18">
        <f>IF(NOT(ISNUMBER($A1479)),NA(),IFERROR(1*INDEX(BBG_Data!$N$2:$N$4000,MATCH($A1479,BBG_Data!$M$2:$M$4000,0)),NA()))</f>
        <v/>
      </c>
      <c r="AD1479" s="18">
        <f>IF(NOT(ISNUMBER($A1479)),NA(),IFERROR(1*INDEX(BBG_Data!$P$2:$P$4000,MATCH($A1479,BBG_Data!$O$2:$O$4000,0)),NA()))</f>
        <v/>
      </c>
      <c r="AE1479" s="18">
        <f>IF(NOT(ISNUMBER($A1479)),NA(),IFERROR(1*INDEX(BBG_Data!$R$2:$R$4000,MATCH($A1479,BBG_Data!$Q$2:$Q$4000,0)),NA()))</f>
        <v/>
      </c>
      <c r="AF1479" s="20">
        <f>IF(AND(ISNUMBER(B1479),ISNUMBER(AC1479)),(B1479-AC1479)*100,NA())</f>
        <v/>
      </c>
      <c r="AG1479" s="20">
        <f>IF(AND(ISNUMBER(AE1479),ISNUMBER(AD1479)),(AE1479-AD1479)*100,NA())</f>
        <v/>
      </c>
      <c r="AH1479" s="19">
        <f>IF(NOT(ISNUMBER($A1479)),NA(),IFERROR(INDEX(BBG_Data!$T$2:$T$4000,MATCH($A1479,BBG_Data!$S$2:$S$4000,0))*Settings!$B$25,NA()))</f>
        <v/>
      </c>
      <c r="AI1479" s="19">
        <f>IF(NOT(ISNUMBER($A1479)),NA(),IFERROR(INDEX(BBG_Data!$V$2:$V$4000,MATCH($A1479,BBG_Data!$U$2:$U$4000,0))*Settings!$B$25,NA()))</f>
        <v/>
      </c>
      <c r="AJ1479" s="19">
        <f>IF(NOT(ISNUMBER($A1479)),NA(),IFERROR(1*INDEX(BBG_Data!$X$2:$X$4000,MATCH($A1479,BBG_Data!$W$2:$W$4000,0)),NA()))</f>
        <v/>
      </c>
      <c r="AK1479" s="19">
        <f>IF(NOT(ISNUMBER($A1479)),NA(),IFERROR(1*INDEX(BBG_Data!$Z$2:$Z$4000,MATCH($A1479,BBG_Data!$Y$2:$Y$4000,0)),NA()))</f>
        <v/>
      </c>
    </row>
    <row r="1480">
      <c r="A1480" s="17">
        <f>IF(ISNUMBER(BBG_Data!A1480),BBG_Data!A1480,"")</f>
        <v/>
      </c>
      <c r="B1480" s="18">
        <f>IF(AND(ISNUMBER($A1480),ISNUMBER(BBG_Data!B1480)),BBG_Data!B1480,NA())</f>
        <v/>
      </c>
      <c r="C1480" s="18">
        <f>IF(NOT(ISNUMBER($A1480)),NA(),IFERROR(1*INDEX(BBG_Data!$D$2:$D$4000,MATCH($A1480,BBG_Data!$C$2:$C$4000,0)),NA()))</f>
        <v/>
      </c>
      <c r="D1480" s="19">
        <f>IF(NOT(ISNUMBER($A1480)),NA(),IFERROR(1*INDEX(BBG_Data!$F$2:$F$4000,MATCH($A1480,BBG_Data!$E$2:$E$4000,0)),NA()))</f>
        <v/>
      </c>
      <c r="E1480" s="19">
        <f>IF(NOT(ISNUMBER($A1480)),NA(),IFERROR(1*INDEX(BBG_Data!$H$2:$H$4000,MATCH($A1480,BBG_Data!$G$2:$G$4000,0)),NA()))</f>
        <v/>
      </c>
      <c r="F1480" s="20">
        <f>IF(AND(ISNUMBER(B1480),ISNUMBER(B1479)),IF(B1480=B1479,"",(B1480-B1479)*100),"")</f>
        <v/>
      </c>
      <c r="G1480" s="20">
        <f>IF(AND(ISNUMBER(C1480),ISNUMBER(C1479)),IF(C1480=C1479,"",(C1480-C1479)*100),"")</f>
        <v/>
      </c>
      <c r="H1480" s="20">
        <f>IF(OR(NOT(ISNUMBER($A1480)),ROW()-2&lt;Settings!$B$11),NA(),IF(COUNT(OFFSET(F1480,1-Settings!$B$11,0,Settings!$B$11,1))&lt;ROUNDUP(Settings!$B$11*Settings!$B$26,0),NA(),STDEV(OFFSET(F1480,1-Settings!$B$11,0,Settings!$B$11,1))*SQRT(Settings!$B$13)))</f>
        <v/>
      </c>
      <c r="I1480" s="20">
        <f>IF(OR(NOT(ISNUMBER($A1480)),ROW()-2&lt;Settings!$B$12),NA(),IF(COUNT(OFFSET(F1480,1-Settings!$B$12,0,Settings!$B$12,1))&lt;ROUNDUP(Settings!$B$12*Settings!$B$26,0),NA(),STDEV(OFFSET(F1480,1-Settings!$B$12,0,Settings!$B$12,1))*SQRT(Settings!$B$13)))</f>
        <v/>
      </c>
      <c r="J1480" s="20">
        <f>IF(OR(NOT(ISNUMBER($A1480)),ROW()-2&lt;Settings!$B$11),NA(),IF(COUNT(OFFSET(G1480,1-Settings!$B$11,0,Settings!$B$11,1))&lt;ROUNDUP(Settings!$B$11*Settings!$B$26,0),NA(),STDEV(OFFSET(G1480,1-Settings!$B$11,0,Settings!$B$11,1))*SQRT(Settings!$B$13)))</f>
        <v/>
      </c>
      <c r="K1480" s="20">
        <f>IF(OR(NOT(ISNUMBER($A1480)),ROW()-2&lt;Settings!$B$12),NA(),IF(COUNT(OFFSET(G1480,1-Settings!$B$12,0,Settings!$B$12,1))&lt;ROUNDUP(Settings!$B$12*Settings!$B$26,0),NA(),STDEV(OFFSET(G1480,1-Settings!$B$12,0,Settings!$B$12,1))*SQRT(Settings!$B$13)))</f>
        <v/>
      </c>
      <c r="L1480" s="20">
        <f>IF(AND(ISNUMBER(D1480),ISNUMBER(H1480)),D1480-H1480,NA())</f>
        <v/>
      </c>
      <c r="M1480" s="20">
        <f>IF(AND(ISNUMBER(E1480),ISNUMBER(K1480)),E1480-K1480,NA())</f>
        <v/>
      </c>
      <c r="N1480" s="20">
        <f>IF(NOT(ISNUMBER($A1480)),NA(),IF(COUNT(OFFSET(G1480,1,0,Settings!$B$12,1))&lt;ROUNDUP(Settings!$B$12*Settings!$B$26,0),NA(),STDEV(OFFSET(G1480,1,0,Settings!$B$12,1))*SQRT(Settings!$B$13)))</f>
        <v/>
      </c>
      <c r="O1480" s="20">
        <f>IF(AND(ISNUMBER(E1480),ISNUMBER(N1480)),E1480-N1480,NA())</f>
        <v/>
      </c>
      <c r="P1480" s="19">
        <f>IF(NOT(ISNUMBER($A1480)),NA(),IF(OR($A1480&lt;MIN(KW_TP!$A$2:$A$2501),$A1480&gt;MAX(KW_TP!$A$2:$A$2501)),NA(),INDEX(KW_TP!$C$2:$C$2501,MATCH($A1480,KW_TP!$A$2:$A$2501,1))))</f>
        <v/>
      </c>
      <c r="Q1480" s="18">
        <f>IF(NOT(ISNUMBER($A1480)),NA(),IFERROR(1*INDEX(BBG_Data!$J$2:$J$4000,MATCH($A1480,BBG_Data!$I$2:$I$4000,0)),NA()))</f>
        <v/>
      </c>
      <c r="R1480" s="18">
        <f>IF(NOT(ISNUMBER($A1480)),NA(),IFERROR(1*INDEX(BBG_Data!$L$2:$L$4000,MATCH($A1480,BBG_Data!$K$2:$K$4000,0)),NA()))</f>
        <v/>
      </c>
      <c r="S1480" s="20">
        <f>IF(AND(ISNUMBER(B1480),ISNUMBER(Q1480),ISNUMBER(R1480)),(B1480-Q1480-R1480)*100,NA())</f>
        <v/>
      </c>
      <c r="T1480" s="20">
        <f>IF(AND(ISNUMBER(B1480),Settings!$B$17&gt;0),IF(ISNUMBER(INDEX($B:$B,Settings!$B$17)),(B1480-INDEX($B:$B,Settings!$B$17))*100,NA()),NA())</f>
        <v/>
      </c>
      <c r="U1480" s="20">
        <f>IF(AND(ISNUMBER(Q1480),Settings!$B$17&gt;0),IF(ISNUMBER(INDEX($Q:$Q,Settings!$B$17)),(Q1480-INDEX($Q:$Q,Settings!$B$17))*100,NA()),NA())</f>
        <v/>
      </c>
      <c r="V1480" s="20">
        <f>IF(AND(ISNUMBER(R1480),Settings!$B$17&gt;0),IF(ISNUMBER(INDEX($R:$R,Settings!$B$17)),(R1480-INDEX($R:$R,Settings!$B$17))*100,NA()),NA())</f>
        <v/>
      </c>
      <c r="W1480" s="20">
        <f>IF(AND(ISNUMBER(P1480),Settings!$B$17&gt;0),IF(ISNUMBER(INDEX($P:$P,Settings!$B$17)),P1480-INDEX($P:$P,Settings!$B$17),NA()),NA())</f>
        <v/>
      </c>
      <c r="X1480" s="19">
        <f>IF(NOT(ISNUMBER($A1480)),NA(),IF(OR($A1480&lt;MIN(DKW_10Y!$A$2:$A$2918),$A1480&gt;MAX(DKW_10Y!$A$2:$A$2918),Settings!$B$16&lt;MIN(DKW_10Y!$A$2:$A$2918)),NA(),(INDEX(DKW_10Y!$B$2:$B$2918,MATCH($A1480,DKW_10Y!$A$2:$A$2918,1))-INDEX(DKW_10Y!$B$2:$B$2918,MATCH(Settings!$B$16,DKW_10Y!$A$2:$A$2918,1)))*100))</f>
        <v/>
      </c>
      <c r="Y1480" s="19">
        <f>IF(NOT(ISNUMBER($A1480)),NA(),IF(OR($A1480&lt;MIN(DKW_10Y!$A$2:$A$2918),$A1480&gt;MAX(DKW_10Y!$A$2:$A$2918),Settings!$B$16&lt;MIN(DKW_10Y!$A$2:$A$2918)),NA(),(INDEX(DKW_10Y!$C$2:$C$2918,MATCH($A1480,DKW_10Y!$A$2:$A$2918,1))-INDEX(DKW_10Y!$C$2:$C$2918,MATCH(Settings!$B$16,DKW_10Y!$A$2:$A$2918,1)))*100))</f>
        <v/>
      </c>
      <c r="Z1480" s="19">
        <f>IF(NOT(ISNUMBER($A1480)),NA(),IF(OR($A1480&lt;MIN(DKW_10Y!$A$2:$A$2918),$A1480&gt;MAX(DKW_10Y!$A$2:$A$2918),Settings!$B$16&lt;MIN(DKW_10Y!$A$2:$A$2918)),NA(),(INDEX(DKW_10Y!$D$2:$D$2918,MATCH($A1480,DKW_10Y!$A$2:$A$2918,1))-INDEX(DKW_10Y!$D$2:$D$2918,MATCH(Settings!$B$16,DKW_10Y!$A$2:$A$2918,1)))*100))</f>
        <v/>
      </c>
      <c r="AA1480" s="19">
        <f>IF(NOT(ISNUMBER($A1480)),NA(),IF(OR($A1480&lt;MIN(DKW_10Y!$A$2:$A$2918),$A1480&gt;MAX(DKW_10Y!$A$2:$A$2918),Settings!$B$16&lt;MIN(DKW_10Y!$A$2:$A$2918)),NA(),(INDEX(DKW_10Y!$E$2:$E$2918,MATCH($A1480,DKW_10Y!$A$2:$A$2918,1))-INDEX(DKW_10Y!$E$2:$E$2918,MATCH(Settings!$B$16,DKW_10Y!$A$2:$A$2918,1)))*100))</f>
        <v/>
      </c>
      <c r="AB1480" s="19">
        <f>IF(NOT(ISNUMBER($A1480)),NA(),IF(OR($A1480&lt;MIN(DKW_10Y!$A$2:$A$2918),$A1480&gt;MAX(DKW_10Y!$A$2:$A$2918),Settings!$B$16&lt;MIN(DKW_10Y!$A$2:$A$2918)),NA(),(INDEX(DKW_10Y!$H$2:$H$2918,MATCH($A1480,DKW_10Y!$A$2:$A$2918,1))-INDEX(DKW_10Y!$H$2:$H$2918,MATCH(Settings!$B$16,DKW_10Y!$A$2:$A$2918,1)))*100))</f>
        <v/>
      </c>
      <c r="AC1480" s="18">
        <f>IF(NOT(ISNUMBER($A1480)),NA(),IFERROR(1*INDEX(BBG_Data!$N$2:$N$4000,MATCH($A1480,BBG_Data!$M$2:$M$4000,0)),NA()))</f>
        <v/>
      </c>
      <c r="AD1480" s="18">
        <f>IF(NOT(ISNUMBER($A1480)),NA(),IFERROR(1*INDEX(BBG_Data!$P$2:$P$4000,MATCH($A1480,BBG_Data!$O$2:$O$4000,0)),NA()))</f>
        <v/>
      </c>
      <c r="AE1480" s="18">
        <f>IF(NOT(ISNUMBER($A1480)),NA(),IFERROR(1*INDEX(BBG_Data!$R$2:$R$4000,MATCH($A1480,BBG_Data!$Q$2:$Q$4000,0)),NA()))</f>
        <v/>
      </c>
      <c r="AF1480" s="20">
        <f>IF(AND(ISNUMBER(B1480),ISNUMBER(AC1480)),(B1480-AC1480)*100,NA())</f>
        <v/>
      </c>
      <c r="AG1480" s="20">
        <f>IF(AND(ISNUMBER(AE1480),ISNUMBER(AD1480)),(AE1480-AD1480)*100,NA())</f>
        <v/>
      </c>
      <c r="AH1480" s="19">
        <f>IF(NOT(ISNUMBER($A1480)),NA(),IFERROR(INDEX(BBG_Data!$T$2:$T$4000,MATCH($A1480,BBG_Data!$S$2:$S$4000,0))*Settings!$B$25,NA()))</f>
        <v/>
      </c>
      <c r="AI1480" s="19">
        <f>IF(NOT(ISNUMBER($A1480)),NA(),IFERROR(INDEX(BBG_Data!$V$2:$V$4000,MATCH($A1480,BBG_Data!$U$2:$U$4000,0))*Settings!$B$25,NA()))</f>
        <v/>
      </c>
      <c r="AJ1480" s="19">
        <f>IF(NOT(ISNUMBER($A1480)),NA(),IFERROR(1*INDEX(BBG_Data!$X$2:$X$4000,MATCH($A1480,BBG_Data!$W$2:$W$4000,0)),NA()))</f>
        <v/>
      </c>
      <c r="AK1480" s="19">
        <f>IF(NOT(ISNUMBER($A1480)),NA(),IFERROR(1*INDEX(BBG_Data!$Z$2:$Z$4000,MATCH($A1480,BBG_Data!$Y$2:$Y$4000,0)),NA()))</f>
        <v/>
      </c>
    </row>
    <row r="1481">
      <c r="A1481" s="17">
        <f>IF(ISNUMBER(BBG_Data!A1481),BBG_Data!A1481,"")</f>
        <v/>
      </c>
      <c r="B1481" s="18">
        <f>IF(AND(ISNUMBER($A1481),ISNUMBER(BBG_Data!B1481)),BBG_Data!B1481,NA())</f>
        <v/>
      </c>
      <c r="C1481" s="18">
        <f>IF(NOT(ISNUMBER($A1481)),NA(),IFERROR(1*INDEX(BBG_Data!$D$2:$D$4000,MATCH($A1481,BBG_Data!$C$2:$C$4000,0)),NA()))</f>
        <v/>
      </c>
      <c r="D1481" s="19">
        <f>IF(NOT(ISNUMBER($A1481)),NA(),IFERROR(1*INDEX(BBG_Data!$F$2:$F$4000,MATCH($A1481,BBG_Data!$E$2:$E$4000,0)),NA()))</f>
        <v/>
      </c>
      <c r="E1481" s="19">
        <f>IF(NOT(ISNUMBER($A1481)),NA(),IFERROR(1*INDEX(BBG_Data!$H$2:$H$4000,MATCH($A1481,BBG_Data!$G$2:$G$4000,0)),NA()))</f>
        <v/>
      </c>
      <c r="F1481" s="20">
        <f>IF(AND(ISNUMBER(B1481),ISNUMBER(B1480)),IF(B1481=B1480,"",(B1481-B1480)*100),"")</f>
        <v/>
      </c>
      <c r="G1481" s="20">
        <f>IF(AND(ISNUMBER(C1481),ISNUMBER(C1480)),IF(C1481=C1480,"",(C1481-C1480)*100),"")</f>
        <v/>
      </c>
      <c r="H1481" s="20">
        <f>IF(OR(NOT(ISNUMBER($A1481)),ROW()-2&lt;Settings!$B$11),NA(),IF(COUNT(OFFSET(F1481,1-Settings!$B$11,0,Settings!$B$11,1))&lt;ROUNDUP(Settings!$B$11*Settings!$B$26,0),NA(),STDEV(OFFSET(F1481,1-Settings!$B$11,0,Settings!$B$11,1))*SQRT(Settings!$B$13)))</f>
        <v/>
      </c>
      <c r="I1481" s="20">
        <f>IF(OR(NOT(ISNUMBER($A1481)),ROW()-2&lt;Settings!$B$12),NA(),IF(COUNT(OFFSET(F1481,1-Settings!$B$12,0,Settings!$B$12,1))&lt;ROUNDUP(Settings!$B$12*Settings!$B$26,0),NA(),STDEV(OFFSET(F1481,1-Settings!$B$12,0,Settings!$B$12,1))*SQRT(Settings!$B$13)))</f>
        <v/>
      </c>
      <c r="J1481" s="20">
        <f>IF(OR(NOT(ISNUMBER($A1481)),ROW()-2&lt;Settings!$B$11),NA(),IF(COUNT(OFFSET(G1481,1-Settings!$B$11,0,Settings!$B$11,1))&lt;ROUNDUP(Settings!$B$11*Settings!$B$26,0),NA(),STDEV(OFFSET(G1481,1-Settings!$B$11,0,Settings!$B$11,1))*SQRT(Settings!$B$13)))</f>
        <v/>
      </c>
      <c r="K1481" s="20">
        <f>IF(OR(NOT(ISNUMBER($A1481)),ROW()-2&lt;Settings!$B$12),NA(),IF(COUNT(OFFSET(G1481,1-Settings!$B$12,0,Settings!$B$12,1))&lt;ROUNDUP(Settings!$B$12*Settings!$B$26,0),NA(),STDEV(OFFSET(G1481,1-Settings!$B$12,0,Settings!$B$12,1))*SQRT(Settings!$B$13)))</f>
        <v/>
      </c>
      <c r="L1481" s="20">
        <f>IF(AND(ISNUMBER(D1481),ISNUMBER(H1481)),D1481-H1481,NA())</f>
        <v/>
      </c>
      <c r="M1481" s="20">
        <f>IF(AND(ISNUMBER(E1481),ISNUMBER(K1481)),E1481-K1481,NA())</f>
        <v/>
      </c>
      <c r="N1481" s="20">
        <f>IF(NOT(ISNUMBER($A1481)),NA(),IF(COUNT(OFFSET(G1481,1,0,Settings!$B$12,1))&lt;ROUNDUP(Settings!$B$12*Settings!$B$26,0),NA(),STDEV(OFFSET(G1481,1,0,Settings!$B$12,1))*SQRT(Settings!$B$13)))</f>
        <v/>
      </c>
      <c r="O1481" s="20">
        <f>IF(AND(ISNUMBER(E1481),ISNUMBER(N1481)),E1481-N1481,NA())</f>
        <v/>
      </c>
      <c r="P1481" s="19">
        <f>IF(NOT(ISNUMBER($A1481)),NA(),IF(OR($A1481&lt;MIN(KW_TP!$A$2:$A$2501),$A1481&gt;MAX(KW_TP!$A$2:$A$2501)),NA(),INDEX(KW_TP!$C$2:$C$2501,MATCH($A1481,KW_TP!$A$2:$A$2501,1))))</f>
        <v/>
      </c>
      <c r="Q1481" s="18">
        <f>IF(NOT(ISNUMBER($A1481)),NA(),IFERROR(1*INDEX(BBG_Data!$J$2:$J$4000,MATCH($A1481,BBG_Data!$I$2:$I$4000,0)),NA()))</f>
        <v/>
      </c>
      <c r="R1481" s="18">
        <f>IF(NOT(ISNUMBER($A1481)),NA(),IFERROR(1*INDEX(BBG_Data!$L$2:$L$4000,MATCH($A1481,BBG_Data!$K$2:$K$4000,0)),NA()))</f>
        <v/>
      </c>
      <c r="S1481" s="20">
        <f>IF(AND(ISNUMBER(B1481),ISNUMBER(Q1481),ISNUMBER(R1481)),(B1481-Q1481-R1481)*100,NA())</f>
        <v/>
      </c>
      <c r="T1481" s="20">
        <f>IF(AND(ISNUMBER(B1481),Settings!$B$17&gt;0),IF(ISNUMBER(INDEX($B:$B,Settings!$B$17)),(B1481-INDEX($B:$B,Settings!$B$17))*100,NA()),NA())</f>
        <v/>
      </c>
      <c r="U1481" s="20">
        <f>IF(AND(ISNUMBER(Q1481),Settings!$B$17&gt;0),IF(ISNUMBER(INDEX($Q:$Q,Settings!$B$17)),(Q1481-INDEX($Q:$Q,Settings!$B$17))*100,NA()),NA())</f>
        <v/>
      </c>
      <c r="V1481" s="20">
        <f>IF(AND(ISNUMBER(R1481),Settings!$B$17&gt;0),IF(ISNUMBER(INDEX($R:$R,Settings!$B$17)),(R1481-INDEX($R:$R,Settings!$B$17))*100,NA()),NA())</f>
        <v/>
      </c>
      <c r="W1481" s="20">
        <f>IF(AND(ISNUMBER(P1481),Settings!$B$17&gt;0),IF(ISNUMBER(INDEX($P:$P,Settings!$B$17)),P1481-INDEX($P:$P,Settings!$B$17),NA()),NA())</f>
        <v/>
      </c>
      <c r="X1481" s="19">
        <f>IF(NOT(ISNUMBER($A1481)),NA(),IF(OR($A1481&lt;MIN(DKW_10Y!$A$2:$A$2918),$A1481&gt;MAX(DKW_10Y!$A$2:$A$2918),Settings!$B$16&lt;MIN(DKW_10Y!$A$2:$A$2918)),NA(),(INDEX(DKW_10Y!$B$2:$B$2918,MATCH($A1481,DKW_10Y!$A$2:$A$2918,1))-INDEX(DKW_10Y!$B$2:$B$2918,MATCH(Settings!$B$16,DKW_10Y!$A$2:$A$2918,1)))*100))</f>
        <v/>
      </c>
      <c r="Y1481" s="19">
        <f>IF(NOT(ISNUMBER($A1481)),NA(),IF(OR($A1481&lt;MIN(DKW_10Y!$A$2:$A$2918),$A1481&gt;MAX(DKW_10Y!$A$2:$A$2918),Settings!$B$16&lt;MIN(DKW_10Y!$A$2:$A$2918)),NA(),(INDEX(DKW_10Y!$C$2:$C$2918,MATCH($A1481,DKW_10Y!$A$2:$A$2918,1))-INDEX(DKW_10Y!$C$2:$C$2918,MATCH(Settings!$B$16,DKW_10Y!$A$2:$A$2918,1)))*100))</f>
        <v/>
      </c>
      <c r="Z1481" s="19">
        <f>IF(NOT(ISNUMBER($A1481)),NA(),IF(OR($A1481&lt;MIN(DKW_10Y!$A$2:$A$2918),$A1481&gt;MAX(DKW_10Y!$A$2:$A$2918),Settings!$B$16&lt;MIN(DKW_10Y!$A$2:$A$2918)),NA(),(INDEX(DKW_10Y!$D$2:$D$2918,MATCH($A1481,DKW_10Y!$A$2:$A$2918,1))-INDEX(DKW_10Y!$D$2:$D$2918,MATCH(Settings!$B$16,DKW_10Y!$A$2:$A$2918,1)))*100))</f>
        <v/>
      </c>
      <c r="AA1481" s="19">
        <f>IF(NOT(ISNUMBER($A1481)),NA(),IF(OR($A1481&lt;MIN(DKW_10Y!$A$2:$A$2918),$A1481&gt;MAX(DKW_10Y!$A$2:$A$2918),Settings!$B$16&lt;MIN(DKW_10Y!$A$2:$A$2918)),NA(),(INDEX(DKW_10Y!$E$2:$E$2918,MATCH($A1481,DKW_10Y!$A$2:$A$2918,1))-INDEX(DKW_10Y!$E$2:$E$2918,MATCH(Settings!$B$16,DKW_10Y!$A$2:$A$2918,1)))*100))</f>
        <v/>
      </c>
      <c r="AB1481" s="19">
        <f>IF(NOT(ISNUMBER($A1481)),NA(),IF(OR($A1481&lt;MIN(DKW_10Y!$A$2:$A$2918),$A1481&gt;MAX(DKW_10Y!$A$2:$A$2918),Settings!$B$16&lt;MIN(DKW_10Y!$A$2:$A$2918)),NA(),(INDEX(DKW_10Y!$H$2:$H$2918,MATCH($A1481,DKW_10Y!$A$2:$A$2918,1))-INDEX(DKW_10Y!$H$2:$H$2918,MATCH(Settings!$B$16,DKW_10Y!$A$2:$A$2918,1)))*100))</f>
        <v/>
      </c>
      <c r="AC1481" s="18">
        <f>IF(NOT(ISNUMBER($A1481)),NA(),IFERROR(1*INDEX(BBG_Data!$N$2:$N$4000,MATCH($A1481,BBG_Data!$M$2:$M$4000,0)),NA()))</f>
        <v/>
      </c>
      <c r="AD1481" s="18">
        <f>IF(NOT(ISNUMBER($A1481)),NA(),IFERROR(1*INDEX(BBG_Data!$P$2:$P$4000,MATCH($A1481,BBG_Data!$O$2:$O$4000,0)),NA()))</f>
        <v/>
      </c>
      <c r="AE1481" s="18">
        <f>IF(NOT(ISNUMBER($A1481)),NA(),IFERROR(1*INDEX(BBG_Data!$R$2:$R$4000,MATCH($A1481,BBG_Data!$Q$2:$Q$4000,0)),NA()))</f>
        <v/>
      </c>
      <c r="AF1481" s="20">
        <f>IF(AND(ISNUMBER(B1481),ISNUMBER(AC1481)),(B1481-AC1481)*100,NA())</f>
        <v/>
      </c>
      <c r="AG1481" s="20">
        <f>IF(AND(ISNUMBER(AE1481),ISNUMBER(AD1481)),(AE1481-AD1481)*100,NA())</f>
        <v/>
      </c>
      <c r="AH1481" s="19">
        <f>IF(NOT(ISNUMBER($A1481)),NA(),IFERROR(INDEX(BBG_Data!$T$2:$T$4000,MATCH($A1481,BBG_Data!$S$2:$S$4000,0))*Settings!$B$25,NA()))</f>
        <v/>
      </c>
      <c r="AI1481" s="19">
        <f>IF(NOT(ISNUMBER($A1481)),NA(),IFERROR(INDEX(BBG_Data!$V$2:$V$4000,MATCH($A1481,BBG_Data!$U$2:$U$4000,0))*Settings!$B$25,NA()))</f>
        <v/>
      </c>
      <c r="AJ1481" s="19">
        <f>IF(NOT(ISNUMBER($A1481)),NA(),IFERROR(1*INDEX(BBG_Data!$X$2:$X$4000,MATCH($A1481,BBG_Data!$W$2:$W$4000,0)),NA()))</f>
        <v/>
      </c>
      <c r="AK1481" s="19">
        <f>IF(NOT(ISNUMBER($A1481)),NA(),IFERROR(1*INDEX(BBG_Data!$Z$2:$Z$4000,MATCH($A1481,BBG_Data!$Y$2:$Y$4000,0)),NA()))</f>
        <v/>
      </c>
    </row>
    <row r="1482">
      <c r="A1482" s="17">
        <f>IF(ISNUMBER(BBG_Data!A1482),BBG_Data!A1482,"")</f>
        <v/>
      </c>
      <c r="B1482" s="18">
        <f>IF(AND(ISNUMBER($A1482),ISNUMBER(BBG_Data!B1482)),BBG_Data!B1482,NA())</f>
        <v/>
      </c>
      <c r="C1482" s="18">
        <f>IF(NOT(ISNUMBER($A1482)),NA(),IFERROR(1*INDEX(BBG_Data!$D$2:$D$4000,MATCH($A1482,BBG_Data!$C$2:$C$4000,0)),NA()))</f>
        <v/>
      </c>
      <c r="D1482" s="19">
        <f>IF(NOT(ISNUMBER($A1482)),NA(),IFERROR(1*INDEX(BBG_Data!$F$2:$F$4000,MATCH($A1482,BBG_Data!$E$2:$E$4000,0)),NA()))</f>
        <v/>
      </c>
      <c r="E1482" s="19">
        <f>IF(NOT(ISNUMBER($A1482)),NA(),IFERROR(1*INDEX(BBG_Data!$H$2:$H$4000,MATCH($A1482,BBG_Data!$G$2:$G$4000,0)),NA()))</f>
        <v/>
      </c>
      <c r="F1482" s="20">
        <f>IF(AND(ISNUMBER(B1482),ISNUMBER(B1481)),IF(B1482=B1481,"",(B1482-B1481)*100),"")</f>
        <v/>
      </c>
      <c r="G1482" s="20">
        <f>IF(AND(ISNUMBER(C1482),ISNUMBER(C1481)),IF(C1482=C1481,"",(C1482-C1481)*100),"")</f>
        <v/>
      </c>
      <c r="H1482" s="20">
        <f>IF(OR(NOT(ISNUMBER($A1482)),ROW()-2&lt;Settings!$B$11),NA(),IF(COUNT(OFFSET(F1482,1-Settings!$B$11,0,Settings!$B$11,1))&lt;ROUNDUP(Settings!$B$11*Settings!$B$26,0),NA(),STDEV(OFFSET(F1482,1-Settings!$B$11,0,Settings!$B$11,1))*SQRT(Settings!$B$13)))</f>
        <v/>
      </c>
      <c r="I1482" s="20">
        <f>IF(OR(NOT(ISNUMBER($A1482)),ROW()-2&lt;Settings!$B$12),NA(),IF(COUNT(OFFSET(F1482,1-Settings!$B$12,0,Settings!$B$12,1))&lt;ROUNDUP(Settings!$B$12*Settings!$B$26,0),NA(),STDEV(OFFSET(F1482,1-Settings!$B$12,0,Settings!$B$12,1))*SQRT(Settings!$B$13)))</f>
        <v/>
      </c>
      <c r="J1482" s="20">
        <f>IF(OR(NOT(ISNUMBER($A1482)),ROW()-2&lt;Settings!$B$11),NA(),IF(COUNT(OFFSET(G1482,1-Settings!$B$11,0,Settings!$B$11,1))&lt;ROUNDUP(Settings!$B$11*Settings!$B$26,0),NA(),STDEV(OFFSET(G1482,1-Settings!$B$11,0,Settings!$B$11,1))*SQRT(Settings!$B$13)))</f>
        <v/>
      </c>
      <c r="K1482" s="20">
        <f>IF(OR(NOT(ISNUMBER($A1482)),ROW()-2&lt;Settings!$B$12),NA(),IF(COUNT(OFFSET(G1482,1-Settings!$B$12,0,Settings!$B$12,1))&lt;ROUNDUP(Settings!$B$12*Settings!$B$26,0),NA(),STDEV(OFFSET(G1482,1-Settings!$B$12,0,Settings!$B$12,1))*SQRT(Settings!$B$13)))</f>
        <v/>
      </c>
      <c r="L1482" s="20">
        <f>IF(AND(ISNUMBER(D1482),ISNUMBER(H1482)),D1482-H1482,NA())</f>
        <v/>
      </c>
      <c r="M1482" s="20">
        <f>IF(AND(ISNUMBER(E1482),ISNUMBER(K1482)),E1482-K1482,NA())</f>
        <v/>
      </c>
      <c r="N1482" s="20">
        <f>IF(NOT(ISNUMBER($A1482)),NA(),IF(COUNT(OFFSET(G1482,1,0,Settings!$B$12,1))&lt;ROUNDUP(Settings!$B$12*Settings!$B$26,0),NA(),STDEV(OFFSET(G1482,1,0,Settings!$B$12,1))*SQRT(Settings!$B$13)))</f>
        <v/>
      </c>
      <c r="O1482" s="20">
        <f>IF(AND(ISNUMBER(E1482),ISNUMBER(N1482)),E1482-N1482,NA())</f>
        <v/>
      </c>
      <c r="P1482" s="19">
        <f>IF(NOT(ISNUMBER($A1482)),NA(),IF(OR($A1482&lt;MIN(KW_TP!$A$2:$A$2501),$A1482&gt;MAX(KW_TP!$A$2:$A$2501)),NA(),INDEX(KW_TP!$C$2:$C$2501,MATCH($A1482,KW_TP!$A$2:$A$2501,1))))</f>
        <v/>
      </c>
      <c r="Q1482" s="18">
        <f>IF(NOT(ISNUMBER($A1482)),NA(),IFERROR(1*INDEX(BBG_Data!$J$2:$J$4000,MATCH($A1482,BBG_Data!$I$2:$I$4000,0)),NA()))</f>
        <v/>
      </c>
      <c r="R1482" s="18">
        <f>IF(NOT(ISNUMBER($A1482)),NA(),IFERROR(1*INDEX(BBG_Data!$L$2:$L$4000,MATCH($A1482,BBG_Data!$K$2:$K$4000,0)),NA()))</f>
        <v/>
      </c>
      <c r="S1482" s="20">
        <f>IF(AND(ISNUMBER(B1482),ISNUMBER(Q1482),ISNUMBER(R1482)),(B1482-Q1482-R1482)*100,NA())</f>
        <v/>
      </c>
      <c r="T1482" s="20">
        <f>IF(AND(ISNUMBER(B1482),Settings!$B$17&gt;0),IF(ISNUMBER(INDEX($B:$B,Settings!$B$17)),(B1482-INDEX($B:$B,Settings!$B$17))*100,NA()),NA())</f>
        <v/>
      </c>
      <c r="U1482" s="20">
        <f>IF(AND(ISNUMBER(Q1482),Settings!$B$17&gt;0),IF(ISNUMBER(INDEX($Q:$Q,Settings!$B$17)),(Q1482-INDEX($Q:$Q,Settings!$B$17))*100,NA()),NA())</f>
        <v/>
      </c>
      <c r="V1482" s="20">
        <f>IF(AND(ISNUMBER(R1482),Settings!$B$17&gt;0),IF(ISNUMBER(INDEX($R:$R,Settings!$B$17)),(R1482-INDEX($R:$R,Settings!$B$17))*100,NA()),NA())</f>
        <v/>
      </c>
      <c r="W1482" s="20">
        <f>IF(AND(ISNUMBER(P1482),Settings!$B$17&gt;0),IF(ISNUMBER(INDEX($P:$P,Settings!$B$17)),P1482-INDEX($P:$P,Settings!$B$17),NA()),NA())</f>
        <v/>
      </c>
      <c r="X1482" s="19">
        <f>IF(NOT(ISNUMBER($A1482)),NA(),IF(OR($A1482&lt;MIN(DKW_10Y!$A$2:$A$2918),$A1482&gt;MAX(DKW_10Y!$A$2:$A$2918),Settings!$B$16&lt;MIN(DKW_10Y!$A$2:$A$2918)),NA(),(INDEX(DKW_10Y!$B$2:$B$2918,MATCH($A1482,DKW_10Y!$A$2:$A$2918,1))-INDEX(DKW_10Y!$B$2:$B$2918,MATCH(Settings!$B$16,DKW_10Y!$A$2:$A$2918,1)))*100))</f>
        <v/>
      </c>
      <c r="Y1482" s="19">
        <f>IF(NOT(ISNUMBER($A1482)),NA(),IF(OR($A1482&lt;MIN(DKW_10Y!$A$2:$A$2918),$A1482&gt;MAX(DKW_10Y!$A$2:$A$2918),Settings!$B$16&lt;MIN(DKW_10Y!$A$2:$A$2918)),NA(),(INDEX(DKW_10Y!$C$2:$C$2918,MATCH($A1482,DKW_10Y!$A$2:$A$2918,1))-INDEX(DKW_10Y!$C$2:$C$2918,MATCH(Settings!$B$16,DKW_10Y!$A$2:$A$2918,1)))*100))</f>
        <v/>
      </c>
      <c r="Z1482" s="19">
        <f>IF(NOT(ISNUMBER($A1482)),NA(),IF(OR($A1482&lt;MIN(DKW_10Y!$A$2:$A$2918),$A1482&gt;MAX(DKW_10Y!$A$2:$A$2918),Settings!$B$16&lt;MIN(DKW_10Y!$A$2:$A$2918)),NA(),(INDEX(DKW_10Y!$D$2:$D$2918,MATCH($A1482,DKW_10Y!$A$2:$A$2918,1))-INDEX(DKW_10Y!$D$2:$D$2918,MATCH(Settings!$B$16,DKW_10Y!$A$2:$A$2918,1)))*100))</f>
        <v/>
      </c>
      <c r="AA1482" s="19">
        <f>IF(NOT(ISNUMBER($A1482)),NA(),IF(OR($A1482&lt;MIN(DKW_10Y!$A$2:$A$2918),$A1482&gt;MAX(DKW_10Y!$A$2:$A$2918),Settings!$B$16&lt;MIN(DKW_10Y!$A$2:$A$2918)),NA(),(INDEX(DKW_10Y!$E$2:$E$2918,MATCH($A1482,DKW_10Y!$A$2:$A$2918,1))-INDEX(DKW_10Y!$E$2:$E$2918,MATCH(Settings!$B$16,DKW_10Y!$A$2:$A$2918,1)))*100))</f>
        <v/>
      </c>
      <c r="AB1482" s="19">
        <f>IF(NOT(ISNUMBER($A1482)),NA(),IF(OR($A1482&lt;MIN(DKW_10Y!$A$2:$A$2918),$A1482&gt;MAX(DKW_10Y!$A$2:$A$2918),Settings!$B$16&lt;MIN(DKW_10Y!$A$2:$A$2918)),NA(),(INDEX(DKW_10Y!$H$2:$H$2918,MATCH($A1482,DKW_10Y!$A$2:$A$2918,1))-INDEX(DKW_10Y!$H$2:$H$2918,MATCH(Settings!$B$16,DKW_10Y!$A$2:$A$2918,1)))*100))</f>
        <v/>
      </c>
      <c r="AC1482" s="18">
        <f>IF(NOT(ISNUMBER($A1482)),NA(),IFERROR(1*INDEX(BBG_Data!$N$2:$N$4000,MATCH($A1482,BBG_Data!$M$2:$M$4000,0)),NA()))</f>
        <v/>
      </c>
      <c r="AD1482" s="18">
        <f>IF(NOT(ISNUMBER($A1482)),NA(),IFERROR(1*INDEX(BBG_Data!$P$2:$P$4000,MATCH($A1482,BBG_Data!$O$2:$O$4000,0)),NA()))</f>
        <v/>
      </c>
      <c r="AE1482" s="18">
        <f>IF(NOT(ISNUMBER($A1482)),NA(),IFERROR(1*INDEX(BBG_Data!$R$2:$R$4000,MATCH($A1482,BBG_Data!$Q$2:$Q$4000,0)),NA()))</f>
        <v/>
      </c>
      <c r="AF1482" s="20">
        <f>IF(AND(ISNUMBER(B1482),ISNUMBER(AC1482)),(B1482-AC1482)*100,NA())</f>
        <v/>
      </c>
      <c r="AG1482" s="20">
        <f>IF(AND(ISNUMBER(AE1482),ISNUMBER(AD1482)),(AE1482-AD1482)*100,NA())</f>
        <v/>
      </c>
      <c r="AH1482" s="19">
        <f>IF(NOT(ISNUMBER($A1482)),NA(),IFERROR(INDEX(BBG_Data!$T$2:$T$4000,MATCH($A1482,BBG_Data!$S$2:$S$4000,0))*Settings!$B$25,NA()))</f>
        <v/>
      </c>
      <c r="AI1482" s="19">
        <f>IF(NOT(ISNUMBER($A1482)),NA(),IFERROR(INDEX(BBG_Data!$V$2:$V$4000,MATCH($A1482,BBG_Data!$U$2:$U$4000,0))*Settings!$B$25,NA()))</f>
        <v/>
      </c>
      <c r="AJ1482" s="19">
        <f>IF(NOT(ISNUMBER($A1482)),NA(),IFERROR(1*INDEX(BBG_Data!$X$2:$X$4000,MATCH($A1482,BBG_Data!$W$2:$W$4000,0)),NA()))</f>
        <v/>
      </c>
      <c r="AK1482" s="19">
        <f>IF(NOT(ISNUMBER($A1482)),NA(),IFERROR(1*INDEX(BBG_Data!$Z$2:$Z$4000,MATCH($A1482,BBG_Data!$Y$2:$Y$4000,0)),NA()))</f>
        <v/>
      </c>
    </row>
    <row r="1483">
      <c r="A1483" s="17">
        <f>IF(ISNUMBER(BBG_Data!A1483),BBG_Data!A1483,"")</f>
        <v/>
      </c>
      <c r="B1483" s="18">
        <f>IF(AND(ISNUMBER($A1483),ISNUMBER(BBG_Data!B1483)),BBG_Data!B1483,NA())</f>
        <v/>
      </c>
      <c r="C1483" s="18">
        <f>IF(NOT(ISNUMBER($A1483)),NA(),IFERROR(1*INDEX(BBG_Data!$D$2:$D$4000,MATCH($A1483,BBG_Data!$C$2:$C$4000,0)),NA()))</f>
        <v/>
      </c>
      <c r="D1483" s="19">
        <f>IF(NOT(ISNUMBER($A1483)),NA(),IFERROR(1*INDEX(BBG_Data!$F$2:$F$4000,MATCH($A1483,BBG_Data!$E$2:$E$4000,0)),NA()))</f>
        <v/>
      </c>
      <c r="E1483" s="19">
        <f>IF(NOT(ISNUMBER($A1483)),NA(),IFERROR(1*INDEX(BBG_Data!$H$2:$H$4000,MATCH($A1483,BBG_Data!$G$2:$G$4000,0)),NA()))</f>
        <v/>
      </c>
      <c r="F1483" s="20">
        <f>IF(AND(ISNUMBER(B1483),ISNUMBER(B1482)),IF(B1483=B1482,"",(B1483-B1482)*100),"")</f>
        <v/>
      </c>
      <c r="G1483" s="20">
        <f>IF(AND(ISNUMBER(C1483),ISNUMBER(C1482)),IF(C1483=C1482,"",(C1483-C1482)*100),"")</f>
        <v/>
      </c>
      <c r="H1483" s="20">
        <f>IF(OR(NOT(ISNUMBER($A1483)),ROW()-2&lt;Settings!$B$11),NA(),IF(COUNT(OFFSET(F1483,1-Settings!$B$11,0,Settings!$B$11,1))&lt;ROUNDUP(Settings!$B$11*Settings!$B$26,0),NA(),STDEV(OFFSET(F1483,1-Settings!$B$11,0,Settings!$B$11,1))*SQRT(Settings!$B$13)))</f>
        <v/>
      </c>
      <c r="I1483" s="20">
        <f>IF(OR(NOT(ISNUMBER($A1483)),ROW()-2&lt;Settings!$B$12),NA(),IF(COUNT(OFFSET(F1483,1-Settings!$B$12,0,Settings!$B$12,1))&lt;ROUNDUP(Settings!$B$12*Settings!$B$26,0),NA(),STDEV(OFFSET(F1483,1-Settings!$B$12,0,Settings!$B$12,1))*SQRT(Settings!$B$13)))</f>
        <v/>
      </c>
      <c r="J1483" s="20">
        <f>IF(OR(NOT(ISNUMBER($A1483)),ROW()-2&lt;Settings!$B$11),NA(),IF(COUNT(OFFSET(G1483,1-Settings!$B$11,0,Settings!$B$11,1))&lt;ROUNDUP(Settings!$B$11*Settings!$B$26,0),NA(),STDEV(OFFSET(G1483,1-Settings!$B$11,0,Settings!$B$11,1))*SQRT(Settings!$B$13)))</f>
        <v/>
      </c>
      <c r="K1483" s="20">
        <f>IF(OR(NOT(ISNUMBER($A1483)),ROW()-2&lt;Settings!$B$12),NA(),IF(COUNT(OFFSET(G1483,1-Settings!$B$12,0,Settings!$B$12,1))&lt;ROUNDUP(Settings!$B$12*Settings!$B$26,0),NA(),STDEV(OFFSET(G1483,1-Settings!$B$12,0,Settings!$B$12,1))*SQRT(Settings!$B$13)))</f>
        <v/>
      </c>
      <c r="L1483" s="20">
        <f>IF(AND(ISNUMBER(D1483),ISNUMBER(H1483)),D1483-H1483,NA())</f>
        <v/>
      </c>
      <c r="M1483" s="20">
        <f>IF(AND(ISNUMBER(E1483),ISNUMBER(K1483)),E1483-K1483,NA())</f>
        <v/>
      </c>
      <c r="N1483" s="20">
        <f>IF(NOT(ISNUMBER($A1483)),NA(),IF(COUNT(OFFSET(G1483,1,0,Settings!$B$12,1))&lt;ROUNDUP(Settings!$B$12*Settings!$B$26,0),NA(),STDEV(OFFSET(G1483,1,0,Settings!$B$12,1))*SQRT(Settings!$B$13)))</f>
        <v/>
      </c>
      <c r="O1483" s="20">
        <f>IF(AND(ISNUMBER(E1483),ISNUMBER(N1483)),E1483-N1483,NA())</f>
        <v/>
      </c>
      <c r="P1483" s="19">
        <f>IF(NOT(ISNUMBER($A1483)),NA(),IF(OR($A1483&lt;MIN(KW_TP!$A$2:$A$2501),$A1483&gt;MAX(KW_TP!$A$2:$A$2501)),NA(),INDEX(KW_TP!$C$2:$C$2501,MATCH($A1483,KW_TP!$A$2:$A$2501,1))))</f>
        <v/>
      </c>
      <c r="Q1483" s="18">
        <f>IF(NOT(ISNUMBER($A1483)),NA(),IFERROR(1*INDEX(BBG_Data!$J$2:$J$4000,MATCH($A1483,BBG_Data!$I$2:$I$4000,0)),NA()))</f>
        <v/>
      </c>
      <c r="R1483" s="18">
        <f>IF(NOT(ISNUMBER($A1483)),NA(),IFERROR(1*INDEX(BBG_Data!$L$2:$L$4000,MATCH($A1483,BBG_Data!$K$2:$K$4000,0)),NA()))</f>
        <v/>
      </c>
      <c r="S1483" s="20">
        <f>IF(AND(ISNUMBER(B1483),ISNUMBER(Q1483),ISNUMBER(R1483)),(B1483-Q1483-R1483)*100,NA())</f>
        <v/>
      </c>
      <c r="T1483" s="20">
        <f>IF(AND(ISNUMBER(B1483),Settings!$B$17&gt;0),IF(ISNUMBER(INDEX($B:$B,Settings!$B$17)),(B1483-INDEX($B:$B,Settings!$B$17))*100,NA()),NA())</f>
        <v/>
      </c>
      <c r="U1483" s="20">
        <f>IF(AND(ISNUMBER(Q1483),Settings!$B$17&gt;0),IF(ISNUMBER(INDEX($Q:$Q,Settings!$B$17)),(Q1483-INDEX($Q:$Q,Settings!$B$17))*100,NA()),NA())</f>
        <v/>
      </c>
      <c r="V1483" s="20">
        <f>IF(AND(ISNUMBER(R1483),Settings!$B$17&gt;0),IF(ISNUMBER(INDEX($R:$R,Settings!$B$17)),(R1483-INDEX($R:$R,Settings!$B$17))*100,NA()),NA())</f>
        <v/>
      </c>
      <c r="W1483" s="20">
        <f>IF(AND(ISNUMBER(P1483),Settings!$B$17&gt;0),IF(ISNUMBER(INDEX($P:$P,Settings!$B$17)),P1483-INDEX($P:$P,Settings!$B$17),NA()),NA())</f>
        <v/>
      </c>
      <c r="X1483" s="19">
        <f>IF(NOT(ISNUMBER($A1483)),NA(),IF(OR($A1483&lt;MIN(DKW_10Y!$A$2:$A$2918),$A1483&gt;MAX(DKW_10Y!$A$2:$A$2918),Settings!$B$16&lt;MIN(DKW_10Y!$A$2:$A$2918)),NA(),(INDEX(DKW_10Y!$B$2:$B$2918,MATCH($A1483,DKW_10Y!$A$2:$A$2918,1))-INDEX(DKW_10Y!$B$2:$B$2918,MATCH(Settings!$B$16,DKW_10Y!$A$2:$A$2918,1)))*100))</f>
        <v/>
      </c>
      <c r="Y1483" s="19">
        <f>IF(NOT(ISNUMBER($A1483)),NA(),IF(OR($A1483&lt;MIN(DKW_10Y!$A$2:$A$2918),$A1483&gt;MAX(DKW_10Y!$A$2:$A$2918),Settings!$B$16&lt;MIN(DKW_10Y!$A$2:$A$2918)),NA(),(INDEX(DKW_10Y!$C$2:$C$2918,MATCH($A1483,DKW_10Y!$A$2:$A$2918,1))-INDEX(DKW_10Y!$C$2:$C$2918,MATCH(Settings!$B$16,DKW_10Y!$A$2:$A$2918,1)))*100))</f>
        <v/>
      </c>
      <c r="Z1483" s="19">
        <f>IF(NOT(ISNUMBER($A1483)),NA(),IF(OR($A1483&lt;MIN(DKW_10Y!$A$2:$A$2918),$A1483&gt;MAX(DKW_10Y!$A$2:$A$2918),Settings!$B$16&lt;MIN(DKW_10Y!$A$2:$A$2918)),NA(),(INDEX(DKW_10Y!$D$2:$D$2918,MATCH($A1483,DKW_10Y!$A$2:$A$2918,1))-INDEX(DKW_10Y!$D$2:$D$2918,MATCH(Settings!$B$16,DKW_10Y!$A$2:$A$2918,1)))*100))</f>
        <v/>
      </c>
      <c r="AA1483" s="19">
        <f>IF(NOT(ISNUMBER($A1483)),NA(),IF(OR($A1483&lt;MIN(DKW_10Y!$A$2:$A$2918),$A1483&gt;MAX(DKW_10Y!$A$2:$A$2918),Settings!$B$16&lt;MIN(DKW_10Y!$A$2:$A$2918)),NA(),(INDEX(DKW_10Y!$E$2:$E$2918,MATCH($A1483,DKW_10Y!$A$2:$A$2918,1))-INDEX(DKW_10Y!$E$2:$E$2918,MATCH(Settings!$B$16,DKW_10Y!$A$2:$A$2918,1)))*100))</f>
        <v/>
      </c>
      <c r="AB1483" s="19">
        <f>IF(NOT(ISNUMBER($A1483)),NA(),IF(OR($A1483&lt;MIN(DKW_10Y!$A$2:$A$2918),$A1483&gt;MAX(DKW_10Y!$A$2:$A$2918),Settings!$B$16&lt;MIN(DKW_10Y!$A$2:$A$2918)),NA(),(INDEX(DKW_10Y!$H$2:$H$2918,MATCH($A1483,DKW_10Y!$A$2:$A$2918,1))-INDEX(DKW_10Y!$H$2:$H$2918,MATCH(Settings!$B$16,DKW_10Y!$A$2:$A$2918,1)))*100))</f>
        <v/>
      </c>
      <c r="AC1483" s="18">
        <f>IF(NOT(ISNUMBER($A1483)),NA(),IFERROR(1*INDEX(BBG_Data!$N$2:$N$4000,MATCH($A1483,BBG_Data!$M$2:$M$4000,0)),NA()))</f>
        <v/>
      </c>
      <c r="AD1483" s="18">
        <f>IF(NOT(ISNUMBER($A1483)),NA(),IFERROR(1*INDEX(BBG_Data!$P$2:$P$4000,MATCH($A1483,BBG_Data!$O$2:$O$4000,0)),NA()))</f>
        <v/>
      </c>
      <c r="AE1483" s="18">
        <f>IF(NOT(ISNUMBER($A1483)),NA(),IFERROR(1*INDEX(BBG_Data!$R$2:$R$4000,MATCH($A1483,BBG_Data!$Q$2:$Q$4000,0)),NA()))</f>
        <v/>
      </c>
      <c r="AF1483" s="20">
        <f>IF(AND(ISNUMBER(B1483),ISNUMBER(AC1483)),(B1483-AC1483)*100,NA())</f>
        <v/>
      </c>
      <c r="AG1483" s="20">
        <f>IF(AND(ISNUMBER(AE1483),ISNUMBER(AD1483)),(AE1483-AD1483)*100,NA())</f>
        <v/>
      </c>
      <c r="AH1483" s="19">
        <f>IF(NOT(ISNUMBER($A1483)),NA(),IFERROR(INDEX(BBG_Data!$T$2:$T$4000,MATCH($A1483,BBG_Data!$S$2:$S$4000,0))*Settings!$B$25,NA()))</f>
        <v/>
      </c>
      <c r="AI1483" s="19">
        <f>IF(NOT(ISNUMBER($A1483)),NA(),IFERROR(INDEX(BBG_Data!$V$2:$V$4000,MATCH($A1483,BBG_Data!$U$2:$U$4000,0))*Settings!$B$25,NA()))</f>
        <v/>
      </c>
      <c r="AJ1483" s="19">
        <f>IF(NOT(ISNUMBER($A1483)),NA(),IFERROR(1*INDEX(BBG_Data!$X$2:$X$4000,MATCH($A1483,BBG_Data!$W$2:$W$4000,0)),NA()))</f>
        <v/>
      </c>
      <c r="AK1483" s="19">
        <f>IF(NOT(ISNUMBER($A1483)),NA(),IFERROR(1*INDEX(BBG_Data!$Z$2:$Z$4000,MATCH($A1483,BBG_Data!$Y$2:$Y$4000,0)),NA()))</f>
        <v/>
      </c>
    </row>
    <row r="1484">
      <c r="A1484" s="17">
        <f>IF(ISNUMBER(BBG_Data!A1484),BBG_Data!A1484,"")</f>
        <v/>
      </c>
      <c r="B1484" s="18">
        <f>IF(AND(ISNUMBER($A1484),ISNUMBER(BBG_Data!B1484)),BBG_Data!B1484,NA())</f>
        <v/>
      </c>
      <c r="C1484" s="18">
        <f>IF(NOT(ISNUMBER($A1484)),NA(),IFERROR(1*INDEX(BBG_Data!$D$2:$D$4000,MATCH($A1484,BBG_Data!$C$2:$C$4000,0)),NA()))</f>
        <v/>
      </c>
      <c r="D1484" s="19">
        <f>IF(NOT(ISNUMBER($A1484)),NA(),IFERROR(1*INDEX(BBG_Data!$F$2:$F$4000,MATCH($A1484,BBG_Data!$E$2:$E$4000,0)),NA()))</f>
        <v/>
      </c>
      <c r="E1484" s="19">
        <f>IF(NOT(ISNUMBER($A1484)),NA(),IFERROR(1*INDEX(BBG_Data!$H$2:$H$4000,MATCH($A1484,BBG_Data!$G$2:$G$4000,0)),NA()))</f>
        <v/>
      </c>
      <c r="F1484" s="20">
        <f>IF(AND(ISNUMBER(B1484),ISNUMBER(B1483)),IF(B1484=B1483,"",(B1484-B1483)*100),"")</f>
        <v/>
      </c>
      <c r="G1484" s="20">
        <f>IF(AND(ISNUMBER(C1484),ISNUMBER(C1483)),IF(C1484=C1483,"",(C1484-C1483)*100),"")</f>
        <v/>
      </c>
      <c r="H1484" s="20">
        <f>IF(OR(NOT(ISNUMBER($A1484)),ROW()-2&lt;Settings!$B$11),NA(),IF(COUNT(OFFSET(F1484,1-Settings!$B$11,0,Settings!$B$11,1))&lt;ROUNDUP(Settings!$B$11*Settings!$B$26,0),NA(),STDEV(OFFSET(F1484,1-Settings!$B$11,0,Settings!$B$11,1))*SQRT(Settings!$B$13)))</f>
        <v/>
      </c>
      <c r="I1484" s="20">
        <f>IF(OR(NOT(ISNUMBER($A1484)),ROW()-2&lt;Settings!$B$12),NA(),IF(COUNT(OFFSET(F1484,1-Settings!$B$12,0,Settings!$B$12,1))&lt;ROUNDUP(Settings!$B$12*Settings!$B$26,0),NA(),STDEV(OFFSET(F1484,1-Settings!$B$12,0,Settings!$B$12,1))*SQRT(Settings!$B$13)))</f>
        <v/>
      </c>
      <c r="J1484" s="20">
        <f>IF(OR(NOT(ISNUMBER($A1484)),ROW()-2&lt;Settings!$B$11),NA(),IF(COUNT(OFFSET(G1484,1-Settings!$B$11,0,Settings!$B$11,1))&lt;ROUNDUP(Settings!$B$11*Settings!$B$26,0),NA(),STDEV(OFFSET(G1484,1-Settings!$B$11,0,Settings!$B$11,1))*SQRT(Settings!$B$13)))</f>
        <v/>
      </c>
      <c r="K1484" s="20">
        <f>IF(OR(NOT(ISNUMBER($A1484)),ROW()-2&lt;Settings!$B$12),NA(),IF(COUNT(OFFSET(G1484,1-Settings!$B$12,0,Settings!$B$12,1))&lt;ROUNDUP(Settings!$B$12*Settings!$B$26,0),NA(),STDEV(OFFSET(G1484,1-Settings!$B$12,0,Settings!$B$12,1))*SQRT(Settings!$B$13)))</f>
        <v/>
      </c>
      <c r="L1484" s="20">
        <f>IF(AND(ISNUMBER(D1484),ISNUMBER(H1484)),D1484-H1484,NA())</f>
        <v/>
      </c>
      <c r="M1484" s="20">
        <f>IF(AND(ISNUMBER(E1484),ISNUMBER(K1484)),E1484-K1484,NA())</f>
        <v/>
      </c>
      <c r="N1484" s="20">
        <f>IF(NOT(ISNUMBER($A1484)),NA(),IF(COUNT(OFFSET(G1484,1,0,Settings!$B$12,1))&lt;ROUNDUP(Settings!$B$12*Settings!$B$26,0),NA(),STDEV(OFFSET(G1484,1,0,Settings!$B$12,1))*SQRT(Settings!$B$13)))</f>
        <v/>
      </c>
      <c r="O1484" s="20">
        <f>IF(AND(ISNUMBER(E1484),ISNUMBER(N1484)),E1484-N1484,NA())</f>
        <v/>
      </c>
      <c r="P1484" s="19">
        <f>IF(NOT(ISNUMBER($A1484)),NA(),IF(OR($A1484&lt;MIN(KW_TP!$A$2:$A$2501),$A1484&gt;MAX(KW_TP!$A$2:$A$2501)),NA(),INDEX(KW_TP!$C$2:$C$2501,MATCH($A1484,KW_TP!$A$2:$A$2501,1))))</f>
        <v/>
      </c>
      <c r="Q1484" s="18">
        <f>IF(NOT(ISNUMBER($A1484)),NA(),IFERROR(1*INDEX(BBG_Data!$J$2:$J$4000,MATCH($A1484,BBG_Data!$I$2:$I$4000,0)),NA()))</f>
        <v/>
      </c>
      <c r="R1484" s="18">
        <f>IF(NOT(ISNUMBER($A1484)),NA(),IFERROR(1*INDEX(BBG_Data!$L$2:$L$4000,MATCH($A1484,BBG_Data!$K$2:$K$4000,0)),NA()))</f>
        <v/>
      </c>
      <c r="S1484" s="20">
        <f>IF(AND(ISNUMBER(B1484),ISNUMBER(Q1484),ISNUMBER(R1484)),(B1484-Q1484-R1484)*100,NA())</f>
        <v/>
      </c>
      <c r="T1484" s="20">
        <f>IF(AND(ISNUMBER(B1484),Settings!$B$17&gt;0),IF(ISNUMBER(INDEX($B:$B,Settings!$B$17)),(B1484-INDEX($B:$B,Settings!$B$17))*100,NA()),NA())</f>
        <v/>
      </c>
      <c r="U1484" s="20">
        <f>IF(AND(ISNUMBER(Q1484),Settings!$B$17&gt;0),IF(ISNUMBER(INDEX($Q:$Q,Settings!$B$17)),(Q1484-INDEX($Q:$Q,Settings!$B$17))*100,NA()),NA())</f>
        <v/>
      </c>
      <c r="V1484" s="20">
        <f>IF(AND(ISNUMBER(R1484),Settings!$B$17&gt;0),IF(ISNUMBER(INDEX($R:$R,Settings!$B$17)),(R1484-INDEX($R:$R,Settings!$B$17))*100,NA()),NA())</f>
        <v/>
      </c>
      <c r="W1484" s="20">
        <f>IF(AND(ISNUMBER(P1484),Settings!$B$17&gt;0),IF(ISNUMBER(INDEX($P:$P,Settings!$B$17)),P1484-INDEX($P:$P,Settings!$B$17),NA()),NA())</f>
        <v/>
      </c>
      <c r="X1484" s="19">
        <f>IF(NOT(ISNUMBER($A1484)),NA(),IF(OR($A1484&lt;MIN(DKW_10Y!$A$2:$A$2918),$A1484&gt;MAX(DKW_10Y!$A$2:$A$2918),Settings!$B$16&lt;MIN(DKW_10Y!$A$2:$A$2918)),NA(),(INDEX(DKW_10Y!$B$2:$B$2918,MATCH($A1484,DKW_10Y!$A$2:$A$2918,1))-INDEX(DKW_10Y!$B$2:$B$2918,MATCH(Settings!$B$16,DKW_10Y!$A$2:$A$2918,1)))*100))</f>
        <v/>
      </c>
      <c r="Y1484" s="19">
        <f>IF(NOT(ISNUMBER($A1484)),NA(),IF(OR($A1484&lt;MIN(DKW_10Y!$A$2:$A$2918),$A1484&gt;MAX(DKW_10Y!$A$2:$A$2918),Settings!$B$16&lt;MIN(DKW_10Y!$A$2:$A$2918)),NA(),(INDEX(DKW_10Y!$C$2:$C$2918,MATCH($A1484,DKW_10Y!$A$2:$A$2918,1))-INDEX(DKW_10Y!$C$2:$C$2918,MATCH(Settings!$B$16,DKW_10Y!$A$2:$A$2918,1)))*100))</f>
        <v/>
      </c>
      <c r="Z1484" s="19">
        <f>IF(NOT(ISNUMBER($A1484)),NA(),IF(OR($A1484&lt;MIN(DKW_10Y!$A$2:$A$2918),$A1484&gt;MAX(DKW_10Y!$A$2:$A$2918),Settings!$B$16&lt;MIN(DKW_10Y!$A$2:$A$2918)),NA(),(INDEX(DKW_10Y!$D$2:$D$2918,MATCH($A1484,DKW_10Y!$A$2:$A$2918,1))-INDEX(DKW_10Y!$D$2:$D$2918,MATCH(Settings!$B$16,DKW_10Y!$A$2:$A$2918,1)))*100))</f>
        <v/>
      </c>
      <c r="AA1484" s="19">
        <f>IF(NOT(ISNUMBER($A1484)),NA(),IF(OR($A1484&lt;MIN(DKW_10Y!$A$2:$A$2918),$A1484&gt;MAX(DKW_10Y!$A$2:$A$2918),Settings!$B$16&lt;MIN(DKW_10Y!$A$2:$A$2918)),NA(),(INDEX(DKW_10Y!$E$2:$E$2918,MATCH($A1484,DKW_10Y!$A$2:$A$2918,1))-INDEX(DKW_10Y!$E$2:$E$2918,MATCH(Settings!$B$16,DKW_10Y!$A$2:$A$2918,1)))*100))</f>
        <v/>
      </c>
      <c r="AB1484" s="19">
        <f>IF(NOT(ISNUMBER($A1484)),NA(),IF(OR($A1484&lt;MIN(DKW_10Y!$A$2:$A$2918),$A1484&gt;MAX(DKW_10Y!$A$2:$A$2918),Settings!$B$16&lt;MIN(DKW_10Y!$A$2:$A$2918)),NA(),(INDEX(DKW_10Y!$H$2:$H$2918,MATCH($A1484,DKW_10Y!$A$2:$A$2918,1))-INDEX(DKW_10Y!$H$2:$H$2918,MATCH(Settings!$B$16,DKW_10Y!$A$2:$A$2918,1)))*100))</f>
        <v/>
      </c>
      <c r="AC1484" s="18">
        <f>IF(NOT(ISNUMBER($A1484)),NA(),IFERROR(1*INDEX(BBG_Data!$N$2:$N$4000,MATCH($A1484,BBG_Data!$M$2:$M$4000,0)),NA()))</f>
        <v/>
      </c>
      <c r="AD1484" s="18">
        <f>IF(NOT(ISNUMBER($A1484)),NA(),IFERROR(1*INDEX(BBG_Data!$P$2:$P$4000,MATCH($A1484,BBG_Data!$O$2:$O$4000,0)),NA()))</f>
        <v/>
      </c>
      <c r="AE1484" s="18">
        <f>IF(NOT(ISNUMBER($A1484)),NA(),IFERROR(1*INDEX(BBG_Data!$R$2:$R$4000,MATCH($A1484,BBG_Data!$Q$2:$Q$4000,0)),NA()))</f>
        <v/>
      </c>
      <c r="AF1484" s="20">
        <f>IF(AND(ISNUMBER(B1484),ISNUMBER(AC1484)),(B1484-AC1484)*100,NA())</f>
        <v/>
      </c>
      <c r="AG1484" s="20">
        <f>IF(AND(ISNUMBER(AE1484),ISNUMBER(AD1484)),(AE1484-AD1484)*100,NA())</f>
        <v/>
      </c>
      <c r="AH1484" s="19">
        <f>IF(NOT(ISNUMBER($A1484)),NA(),IFERROR(INDEX(BBG_Data!$T$2:$T$4000,MATCH($A1484,BBG_Data!$S$2:$S$4000,0))*Settings!$B$25,NA()))</f>
        <v/>
      </c>
      <c r="AI1484" s="19">
        <f>IF(NOT(ISNUMBER($A1484)),NA(),IFERROR(INDEX(BBG_Data!$V$2:$V$4000,MATCH($A1484,BBG_Data!$U$2:$U$4000,0))*Settings!$B$25,NA()))</f>
        <v/>
      </c>
      <c r="AJ1484" s="19">
        <f>IF(NOT(ISNUMBER($A1484)),NA(),IFERROR(1*INDEX(BBG_Data!$X$2:$X$4000,MATCH($A1484,BBG_Data!$W$2:$W$4000,0)),NA()))</f>
        <v/>
      </c>
      <c r="AK1484" s="19">
        <f>IF(NOT(ISNUMBER($A1484)),NA(),IFERROR(1*INDEX(BBG_Data!$Z$2:$Z$4000,MATCH($A1484,BBG_Data!$Y$2:$Y$4000,0)),NA()))</f>
        <v/>
      </c>
    </row>
    <row r="1485">
      <c r="A1485" s="17">
        <f>IF(ISNUMBER(BBG_Data!A1485),BBG_Data!A1485,"")</f>
        <v/>
      </c>
      <c r="B1485" s="18">
        <f>IF(AND(ISNUMBER($A1485),ISNUMBER(BBG_Data!B1485)),BBG_Data!B1485,NA())</f>
        <v/>
      </c>
      <c r="C1485" s="18">
        <f>IF(NOT(ISNUMBER($A1485)),NA(),IFERROR(1*INDEX(BBG_Data!$D$2:$D$4000,MATCH($A1485,BBG_Data!$C$2:$C$4000,0)),NA()))</f>
        <v/>
      </c>
      <c r="D1485" s="19">
        <f>IF(NOT(ISNUMBER($A1485)),NA(),IFERROR(1*INDEX(BBG_Data!$F$2:$F$4000,MATCH($A1485,BBG_Data!$E$2:$E$4000,0)),NA()))</f>
        <v/>
      </c>
      <c r="E1485" s="19">
        <f>IF(NOT(ISNUMBER($A1485)),NA(),IFERROR(1*INDEX(BBG_Data!$H$2:$H$4000,MATCH($A1485,BBG_Data!$G$2:$G$4000,0)),NA()))</f>
        <v/>
      </c>
      <c r="F1485" s="20">
        <f>IF(AND(ISNUMBER(B1485),ISNUMBER(B1484)),IF(B1485=B1484,"",(B1485-B1484)*100),"")</f>
        <v/>
      </c>
      <c r="G1485" s="20">
        <f>IF(AND(ISNUMBER(C1485),ISNUMBER(C1484)),IF(C1485=C1484,"",(C1485-C1484)*100),"")</f>
        <v/>
      </c>
      <c r="H1485" s="20">
        <f>IF(OR(NOT(ISNUMBER($A1485)),ROW()-2&lt;Settings!$B$11),NA(),IF(COUNT(OFFSET(F1485,1-Settings!$B$11,0,Settings!$B$11,1))&lt;ROUNDUP(Settings!$B$11*Settings!$B$26,0),NA(),STDEV(OFFSET(F1485,1-Settings!$B$11,0,Settings!$B$11,1))*SQRT(Settings!$B$13)))</f>
        <v/>
      </c>
      <c r="I1485" s="20">
        <f>IF(OR(NOT(ISNUMBER($A1485)),ROW()-2&lt;Settings!$B$12),NA(),IF(COUNT(OFFSET(F1485,1-Settings!$B$12,0,Settings!$B$12,1))&lt;ROUNDUP(Settings!$B$12*Settings!$B$26,0),NA(),STDEV(OFFSET(F1485,1-Settings!$B$12,0,Settings!$B$12,1))*SQRT(Settings!$B$13)))</f>
        <v/>
      </c>
      <c r="J1485" s="20">
        <f>IF(OR(NOT(ISNUMBER($A1485)),ROW()-2&lt;Settings!$B$11),NA(),IF(COUNT(OFFSET(G1485,1-Settings!$B$11,0,Settings!$B$11,1))&lt;ROUNDUP(Settings!$B$11*Settings!$B$26,0),NA(),STDEV(OFFSET(G1485,1-Settings!$B$11,0,Settings!$B$11,1))*SQRT(Settings!$B$13)))</f>
        <v/>
      </c>
      <c r="K1485" s="20">
        <f>IF(OR(NOT(ISNUMBER($A1485)),ROW()-2&lt;Settings!$B$12),NA(),IF(COUNT(OFFSET(G1485,1-Settings!$B$12,0,Settings!$B$12,1))&lt;ROUNDUP(Settings!$B$12*Settings!$B$26,0),NA(),STDEV(OFFSET(G1485,1-Settings!$B$12,0,Settings!$B$12,1))*SQRT(Settings!$B$13)))</f>
        <v/>
      </c>
      <c r="L1485" s="20">
        <f>IF(AND(ISNUMBER(D1485),ISNUMBER(H1485)),D1485-H1485,NA())</f>
        <v/>
      </c>
      <c r="M1485" s="20">
        <f>IF(AND(ISNUMBER(E1485),ISNUMBER(K1485)),E1485-K1485,NA())</f>
        <v/>
      </c>
      <c r="N1485" s="20">
        <f>IF(NOT(ISNUMBER($A1485)),NA(),IF(COUNT(OFFSET(G1485,1,0,Settings!$B$12,1))&lt;ROUNDUP(Settings!$B$12*Settings!$B$26,0),NA(),STDEV(OFFSET(G1485,1,0,Settings!$B$12,1))*SQRT(Settings!$B$13)))</f>
        <v/>
      </c>
      <c r="O1485" s="20">
        <f>IF(AND(ISNUMBER(E1485),ISNUMBER(N1485)),E1485-N1485,NA())</f>
        <v/>
      </c>
      <c r="P1485" s="19">
        <f>IF(NOT(ISNUMBER($A1485)),NA(),IF(OR($A1485&lt;MIN(KW_TP!$A$2:$A$2501),$A1485&gt;MAX(KW_TP!$A$2:$A$2501)),NA(),INDEX(KW_TP!$C$2:$C$2501,MATCH($A1485,KW_TP!$A$2:$A$2501,1))))</f>
        <v/>
      </c>
      <c r="Q1485" s="18">
        <f>IF(NOT(ISNUMBER($A1485)),NA(),IFERROR(1*INDEX(BBG_Data!$J$2:$J$4000,MATCH($A1485,BBG_Data!$I$2:$I$4000,0)),NA()))</f>
        <v/>
      </c>
      <c r="R1485" s="18">
        <f>IF(NOT(ISNUMBER($A1485)),NA(),IFERROR(1*INDEX(BBG_Data!$L$2:$L$4000,MATCH($A1485,BBG_Data!$K$2:$K$4000,0)),NA()))</f>
        <v/>
      </c>
      <c r="S1485" s="20">
        <f>IF(AND(ISNUMBER(B1485),ISNUMBER(Q1485),ISNUMBER(R1485)),(B1485-Q1485-R1485)*100,NA())</f>
        <v/>
      </c>
      <c r="T1485" s="20">
        <f>IF(AND(ISNUMBER(B1485),Settings!$B$17&gt;0),IF(ISNUMBER(INDEX($B:$B,Settings!$B$17)),(B1485-INDEX($B:$B,Settings!$B$17))*100,NA()),NA())</f>
        <v/>
      </c>
      <c r="U1485" s="20">
        <f>IF(AND(ISNUMBER(Q1485),Settings!$B$17&gt;0),IF(ISNUMBER(INDEX($Q:$Q,Settings!$B$17)),(Q1485-INDEX($Q:$Q,Settings!$B$17))*100,NA()),NA())</f>
        <v/>
      </c>
      <c r="V1485" s="20">
        <f>IF(AND(ISNUMBER(R1485),Settings!$B$17&gt;0),IF(ISNUMBER(INDEX($R:$R,Settings!$B$17)),(R1485-INDEX($R:$R,Settings!$B$17))*100,NA()),NA())</f>
        <v/>
      </c>
      <c r="W1485" s="20">
        <f>IF(AND(ISNUMBER(P1485),Settings!$B$17&gt;0),IF(ISNUMBER(INDEX($P:$P,Settings!$B$17)),P1485-INDEX($P:$P,Settings!$B$17),NA()),NA())</f>
        <v/>
      </c>
      <c r="X1485" s="19">
        <f>IF(NOT(ISNUMBER($A1485)),NA(),IF(OR($A1485&lt;MIN(DKW_10Y!$A$2:$A$2918),$A1485&gt;MAX(DKW_10Y!$A$2:$A$2918),Settings!$B$16&lt;MIN(DKW_10Y!$A$2:$A$2918)),NA(),(INDEX(DKW_10Y!$B$2:$B$2918,MATCH($A1485,DKW_10Y!$A$2:$A$2918,1))-INDEX(DKW_10Y!$B$2:$B$2918,MATCH(Settings!$B$16,DKW_10Y!$A$2:$A$2918,1)))*100))</f>
        <v/>
      </c>
      <c r="Y1485" s="19">
        <f>IF(NOT(ISNUMBER($A1485)),NA(),IF(OR($A1485&lt;MIN(DKW_10Y!$A$2:$A$2918),$A1485&gt;MAX(DKW_10Y!$A$2:$A$2918),Settings!$B$16&lt;MIN(DKW_10Y!$A$2:$A$2918)),NA(),(INDEX(DKW_10Y!$C$2:$C$2918,MATCH($A1485,DKW_10Y!$A$2:$A$2918,1))-INDEX(DKW_10Y!$C$2:$C$2918,MATCH(Settings!$B$16,DKW_10Y!$A$2:$A$2918,1)))*100))</f>
        <v/>
      </c>
      <c r="Z1485" s="19">
        <f>IF(NOT(ISNUMBER($A1485)),NA(),IF(OR($A1485&lt;MIN(DKW_10Y!$A$2:$A$2918),$A1485&gt;MAX(DKW_10Y!$A$2:$A$2918),Settings!$B$16&lt;MIN(DKW_10Y!$A$2:$A$2918)),NA(),(INDEX(DKW_10Y!$D$2:$D$2918,MATCH($A1485,DKW_10Y!$A$2:$A$2918,1))-INDEX(DKW_10Y!$D$2:$D$2918,MATCH(Settings!$B$16,DKW_10Y!$A$2:$A$2918,1)))*100))</f>
        <v/>
      </c>
      <c r="AA1485" s="19">
        <f>IF(NOT(ISNUMBER($A1485)),NA(),IF(OR($A1485&lt;MIN(DKW_10Y!$A$2:$A$2918),$A1485&gt;MAX(DKW_10Y!$A$2:$A$2918),Settings!$B$16&lt;MIN(DKW_10Y!$A$2:$A$2918)),NA(),(INDEX(DKW_10Y!$E$2:$E$2918,MATCH($A1485,DKW_10Y!$A$2:$A$2918,1))-INDEX(DKW_10Y!$E$2:$E$2918,MATCH(Settings!$B$16,DKW_10Y!$A$2:$A$2918,1)))*100))</f>
        <v/>
      </c>
      <c r="AB1485" s="19">
        <f>IF(NOT(ISNUMBER($A1485)),NA(),IF(OR($A1485&lt;MIN(DKW_10Y!$A$2:$A$2918),$A1485&gt;MAX(DKW_10Y!$A$2:$A$2918),Settings!$B$16&lt;MIN(DKW_10Y!$A$2:$A$2918)),NA(),(INDEX(DKW_10Y!$H$2:$H$2918,MATCH($A1485,DKW_10Y!$A$2:$A$2918,1))-INDEX(DKW_10Y!$H$2:$H$2918,MATCH(Settings!$B$16,DKW_10Y!$A$2:$A$2918,1)))*100))</f>
        <v/>
      </c>
      <c r="AC1485" s="18">
        <f>IF(NOT(ISNUMBER($A1485)),NA(),IFERROR(1*INDEX(BBG_Data!$N$2:$N$4000,MATCH($A1485,BBG_Data!$M$2:$M$4000,0)),NA()))</f>
        <v/>
      </c>
      <c r="AD1485" s="18">
        <f>IF(NOT(ISNUMBER($A1485)),NA(),IFERROR(1*INDEX(BBG_Data!$P$2:$P$4000,MATCH($A1485,BBG_Data!$O$2:$O$4000,0)),NA()))</f>
        <v/>
      </c>
      <c r="AE1485" s="18">
        <f>IF(NOT(ISNUMBER($A1485)),NA(),IFERROR(1*INDEX(BBG_Data!$R$2:$R$4000,MATCH($A1485,BBG_Data!$Q$2:$Q$4000,0)),NA()))</f>
        <v/>
      </c>
      <c r="AF1485" s="20">
        <f>IF(AND(ISNUMBER(B1485),ISNUMBER(AC1485)),(B1485-AC1485)*100,NA())</f>
        <v/>
      </c>
      <c r="AG1485" s="20">
        <f>IF(AND(ISNUMBER(AE1485),ISNUMBER(AD1485)),(AE1485-AD1485)*100,NA())</f>
        <v/>
      </c>
      <c r="AH1485" s="19">
        <f>IF(NOT(ISNUMBER($A1485)),NA(),IFERROR(INDEX(BBG_Data!$T$2:$T$4000,MATCH($A1485,BBG_Data!$S$2:$S$4000,0))*Settings!$B$25,NA()))</f>
        <v/>
      </c>
      <c r="AI1485" s="19">
        <f>IF(NOT(ISNUMBER($A1485)),NA(),IFERROR(INDEX(BBG_Data!$V$2:$V$4000,MATCH($A1485,BBG_Data!$U$2:$U$4000,0))*Settings!$B$25,NA()))</f>
        <v/>
      </c>
      <c r="AJ1485" s="19">
        <f>IF(NOT(ISNUMBER($A1485)),NA(),IFERROR(1*INDEX(BBG_Data!$X$2:$X$4000,MATCH($A1485,BBG_Data!$W$2:$W$4000,0)),NA()))</f>
        <v/>
      </c>
      <c r="AK1485" s="19">
        <f>IF(NOT(ISNUMBER($A1485)),NA(),IFERROR(1*INDEX(BBG_Data!$Z$2:$Z$4000,MATCH($A1485,BBG_Data!$Y$2:$Y$4000,0)),NA()))</f>
        <v/>
      </c>
    </row>
    <row r="1486">
      <c r="A1486" s="17">
        <f>IF(ISNUMBER(BBG_Data!A1486),BBG_Data!A1486,"")</f>
        <v/>
      </c>
      <c r="B1486" s="18">
        <f>IF(AND(ISNUMBER($A1486),ISNUMBER(BBG_Data!B1486)),BBG_Data!B1486,NA())</f>
        <v/>
      </c>
      <c r="C1486" s="18">
        <f>IF(NOT(ISNUMBER($A1486)),NA(),IFERROR(1*INDEX(BBG_Data!$D$2:$D$4000,MATCH($A1486,BBG_Data!$C$2:$C$4000,0)),NA()))</f>
        <v/>
      </c>
      <c r="D1486" s="19">
        <f>IF(NOT(ISNUMBER($A1486)),NA(),IFERROR(1*INDEX(BBG_Data!$F$2:$F$4000,MATCH($A1486,BBG_Data!$E$2:$E$4000,0)),NA()))</f>
        <v/>
      </c>
      <c r="E1486" s="19">
        <f>IF(NOT(ISNUMBER($A1486)),NA(),IFERROR(1*INDEX(BBG_Data!$H$2:$H$4000,MATCH($A1486,BBG_Data!$G$2:$G$4000,0)),NA()))</f>
        <v/>
      </c>
      <c r="F1486" s="20">
        <f>IF(AND(ISNUMBER(B1486),ISNUMBER(B1485)),IF(B1486=B1485,"",(B1486-B1485)*100),"")</f>
        <v/>
      </c>
      <c r="G1486" s="20">
        <f>IF(AND(ISNUMBER(C1486),ISNUMBER(C1485)),IF(C1486=C1485,"",(C1486-C1485)*100),"")</f>
        <v/>
      </c>
      <c r="H1486" s="20">
        <f>IF(OR(NOT(ISNUMBER($A1486)),ROW()-2&lt;Settings!$B$11),NA(),IF(COUNT(OFFSET(F1486,1-Settings!$B$11,0,Settings!$B$11,1))&lt;ROUNDUP(Settings!$B$11*Settings!$B$26,0),NA(),STDEV(OFFSET(F1486,1-Settings!$B$11,0,Settings!$B$11,1))*SQRT(Settings!$B$13)))</f>
        <v/>
      </c>
      <c r="I1486" s="20">
        <f>IF(OR(NOT(ISNUMBER($A1486)),ROW()-2&lt;Settings!$B$12),NA(),IF(COUNT(OFFSET(F1486,1-Settings!$B$12,0,Settings!$B$12,1))&lt;ROUNDUP(Settings!$B$12*Settings!$B$26,0),NA(),STDEV(OFFSET(F1486,1-Settings!$B$12,0,Settings!$B$12,1))*SQRT(Settings!$B$13)))</f>
        <v/>
      </c>
      <c r="J1486" s="20">
        <f>IF(OR(NOT(ISNUMBER($A1486)),ROW()-2&lt;Settings!$B$11),NA(),IF(COUNT(OFFSET(G1486,1-Settings!$B$11,0,Settings!$B$11,1))&lt;ROUNDUP(Settings!$B$11*Settings!$B$26,0),NA(),STDEV(OFFSET(G1486,1-Settings!$B$11,0,Settings!$B$11,1))*SQRT(Settings!$B$13)))</f>
        <v/>
      </c>
      <c r="K1486" s="20">
        <f>IF(OR(NOT(ISNUMBER($A1486)),ROW()-2&lt;Settings!$B$12),NA(),IF(COUNT(OFFSET(G1486,1-Settings!$B$12,0,Settings!$B$12,1))&lt;ROUNDUP(Settings!$B$12*Settings!$B$26,0),NA(),STDEV(OFFSET(G1486,1-Settings!$B$12,0,Settings!$B$12,1))*SQRT(Settings!$B$13)))</f>
        <v/>
      </c>
      <c r="L1486" s="20">
        <f>IF(AND(ISNUMBER(D1486),ISNUMBER(H1486)),D1486-H1486,NA())</f>
        <v/>
      </c>
      <c r="M1486" s="20">
        <f>IF(AND(ISNUMBER(E1486),ISNUMBER(K1486)),E1486-K1486,NA())</f>
        <v/>
      </c>
      <c r="N1486" s="20">
        <f>IF(NOT(ISNUMBER($A1486)),NA(),IF(COUNT(OFFSET(G1486,1,0,Settings!$B$12,1))&lt;ROUNDUP(Settings!$B$12*Settings!$B$26,0),NA(),STDEV(OFFSET(G1486,1,0,Settings!$B$12,1))*SQRT(Settings!$B$13)))</f>
        <v/>
      </c>
      <c r="O1486" s="20">
        <f>IF(AND(ISNUMBER(E1486),ISNUMBER(N1486)),E1486-N1486,NA())</f>
        <v/>
      </c>
      <c r="P1486" s="19">
        <f>IF(NOT(ISNUMBER($A1486)),NA(),IF(OR($A1486&lt;MIN(KW_TP!$A$2:$A$2501),$A1486&gt;MAX(KW_TP!$A$2:$A$2501)),NA(),INDEX(KW_TP!$C$2:$C$2501,MATCH($A1486,KW_TP!$A$2:$A$2501,1))))</f>
        <v/>
      </c>
      <c r="Q1486" s="18">
        <f>IF(NOT(ISNUMBER($A1486)),NA(),IFERROR(1*INDEX(BBG_Data!$J$2:$J$4000,MATCH($A1486,BBG_Data!$I$2:$I$4000,0)),NA()))</f>
        <v/>
      </c>
      <c r="R1486" s="18">
        <f>IF(NOT(ISNUMBER($A1486)),NA(),IFERROR(1*INDEX(BBG_Data!$L$2:$L$4000,MATCH($A1486,BBG_Data!$K$2:$K$4000,0)),NA()))</f>
        <v/>
      </c>
      <c r="S1486" s="20">
        <f>IF(AND(ISNUMBER(B1486),ISNUMBER(Q1486),ISNUMBER(R1486)),(B1486-Q1486-R1486)*100,NA())</f>
        <v/>
      </c>
      <c r="T1486" s="20">
        <f>IF(AND(ISNUMBER(B1486),Settings!$B$17&gt;0),IF(ISNUMBER(INDEX($B:$B,Settings!$B$17)),(B1486-INDEX($B:$B,Settings!$B$17))*100,NA()),NA())</f>
        <v/>
      </c>
      <c r="U1486" s="20">
        <f>IF(AND(ISNUMBER(Q1486),Settings!$B$17&gt;0),IF(ISNUMBER(INDEX($Q:$Q,Settings!$B$17)),(Q1486-INDEX($Q:$Q,Settings!$B$17))*100,NA()),NA())</f>
        <v/>
      </c>
      <c r="V1486" s="20">
        <f>IF(AND(ISNUMBER(R1486),Settings!$B$17&gt;0),IF(ISNUMBER(INDEX($R:$R,Settings!$B$17)),(R1486-INDEX($R:$R,Settings!$B$17))*100,NA()),NA())</f>
        <v/>
      </c>
      <c r="W1486" s="20">
        <f>IF(AND(ISNUMBER(P1486),Settings!$B$17&gt;0),IF(ISNUMBER(INDEX($P:$P,Settings!$B$17)),P1486-INDEX($P:$P,Settings!$B$17),NA()),NA())</f>
        <v/>
      </c>
      <c r="X1486" s="19">
        <f>IF(NOT(ISNUMBER($A1486)),NA(),IF(OR($A1486&lt;MIN(DKW_10Y!$A$2:$A$2918),$A1486&gt;MAX(DKW_10Y!$A$2:$A$2918),Settings!$B$16&lt;MIN(DKW_10Y!$A$2:$A$2918)),NA(),(INDEX(DKW_10Y!$B$2:$B$2918,MATCH($A1486,DKW_10Y!$A$2:$A$2918,1))-INDEX(DKW_10Y!$B$2:$B$2918,MATCH(Settings!$B$16,DKW_10Y!$A$2:$A$2918,1)))*100))</f>
        <v/>
      </c>
      <c r="Y1486" s="19">
        <f>IF(NOT(ISNUMBER($A1486)),NA(),IF(OR($A1486&lt;MIN(DKW_10Y!$A$2:$A$2918),$A1486&gt;MAX(DKW_10Y!$A$2:$A$2918),Settings!$B$16&lt;MIN(DKW_10Y!$A$2:$A$2918)),NA(),(INDEX(DKW_10Y!$C$2:$C$2918,MATCH($A1486,DKW_10Y!$A$2:$A$2918,1))-INDEX(DKW_10Y!$C$2:$C$2918,MATCH(Settings!$B$16,DKW_10Y!$A$2:$A$2918,1)))*100))</f>
        <v/>
      </c>
      <c r="Z1486" s="19">
        <f>IF(NOT(ISNUMBER($A1486)),NA(),IF(OR($A1486&lt;MIN(DKW_10Y!$A$2:$A$2918),$A1486&gt;MAX(DKW_10Y!$A$2:$A$2918),Settings!$B$16&lt;MIN(DKW_10Y!$A$2:$A$2918)),NA(),(INDEX(DKW_10Y!$D$2:$D$2918,MATCH($A1486,DKW_10Y!$A$2:$A$2918,1))-INDEX(DKW_10Y!$D$2:$D$2918,MATCH(Settings!$B$16,DKW_10Y!$A$2:$A$2918,1)))*100))</f>
        <v/>
      </c>
      <c r="AA1486" s="19">
        <f>IF(NOT(ISNUMBER($A1486)),NA(),IF(OR($A1486&lt;MIN(DKW_10Y!$A$2:$A$2918),$A1486&gt;MAX(DKW_10Y!$A$2:$A$2918),Settings!$B$16&lt;MIN(DKW_10Y!$A$2:$A$2918)),NA(),(INDEX(DKW_10Y!$E$2:$E$2918,MATCH($A1486,DKW_10Y!$A$2:$A$2918,1))-INDEX(DKW_10Y!$E$2:$E$2918,MATCH(Settings!$B$16,DKW_10Y!$A$2:$A$2918,1)))*100))</f>
        <v/>
      </c>
      <c r="AB1486" s="19">
        <f>IF(NOT(ISNUMBER($A1486)),NA(),IF(OR($A1486&lt;MIN(DKW_10Y!$A$2:$A$2918),$A1486&gt;MAX(DKW_10Y!$A$2:$A$2918),Settings!$B$16&lt;MIN(DKW_10Y!$A$2:$A$2918)),NA(),(INDEX(DKW_10Y!$H$2:$H$2918,MATCH($A1486,DKW_10Y!$A$2:$A$2918,1))-INDEX(DKW_10Y!$H$2:$H$2918,MATCH(Settings!$B$16,DKW_10Y!$A$2:$A$2918,1)))*100))</f>
        <v/>
      </c>
      <c r="AC1486" s="18">
        <f>IF(NOT(ISNUMBER($A1486)),NA(),IFERROR(1*INDEX(BBG_Data!$N$2:$N$4000,MATCH($A1486,BBG_Data!$M$2:$M$4000,0)),NA()))</f>
        <v/>
      </c>
      <c r="AD1486" s="18">
        <f>IF(NOT(ISNUMBER($A1486)),NA(),IFERROR(1*INDEX(BBG_Data!$P$2:$P$4000,MATCH($A1486,BBG_Data!$O$2:$O$4000,0)),NA()))</f>
        <v/>
      </c>
      <c r="AE1486" s="18">
        <f>IF(NOT(ISNUMBER($A1486)),NA(),IFERROR(1*INDEX(BBG_Data!$R$2:$R$4000,MATCH($A1486,BBG_Data!$Q$2:$Q$4000,0)),NA()))</f>
        <v/>
      </c>
      <c r="AF1486" s="20">
        <f>IF(AND(ISNUMBER(B1486),ISNUMBER(AC1486)),(B1486-AC1486)*100,NA())</f>
        <v/>
      </c>
      <c r="AG1486" s="20">
        <f>IF(AND(ISNUMBER(AE1486),ISNUMBER(AD1486)),(AE1486-AD1486)*100,NA())</f>
        <v/>
      </c>
      <c r="AH1486" s="19">
        <f>IF(NOT(ISNUMBER($A1486)),NA(),IFERROR(INDEX(BBG_Data!$T$2:$T$4000,MATCH($A1486,BBG_Data!$S$2:$S$4000,0))*Settings!$B$25,NA()))</f>
        <v/>
      </c>
      <c r="AI1486" s="19">
        <f>IF(NOT(ISNUMBER($A1486)),NA(),IFERROR(INDEX(BBG_Data!$V$2:$V$4000,MATCH($A1486,BBG_Data!$U$2:$U$4000,0))*Settings!$B$25,NA()))</f>
        <v/>
      </c>
      <c r="AJ1486" s="19">
        <f>IF(NOT(ISNUMBER($A1486)),NA(),IFERROR(1*INDEX(BBG_Data!$X$2:$X$4000,MATCH($A1486,BBG_Data!$W$2:$W$4000,0)),NA()))</f>
        <v/>
      </c>
      <c r="AK1486" s="19">
        <f>IF(NOT(ISNUMBER($A1486)),NA(),IFERROR(1*INDEX(BBG_Data!$Z$2:$Z$4000,MATCH($A1486,BBG_Data!$Y$2:$Y$4000,0)),NA()))</f>
        <v/>
      </c>
    </row>
    <row r="1487">
      <c r="A1487" s="17">
        <f>IF(ISNUMBER(BBG_Data!A1487),BBG_Data!A1487,"")</f>
        <v/>
      </c>
      <c r="B1487" s="18">
        <f>IF(AND(ISNUMBER($A1487),ISNUMBER(BBG_Data!B1487)),BBG_Data!B1487,NA())</f>
        <v/>
      </c>
      <c r="C1487" s="18">
        <f>IF(NOT(ISNUMBER($A1487)),NA(),IFERROR(1*INDEX(BBG_Data!$D$2:$D$4000,MATCH($A1487,BBG_Data!$C$2:$C$4000,0)),NA()))</f>
        <v/>
      </c>
      <c r="D1487" s="19">
        <f>IF(NOT(ISNUMBER($A1487)),NA(),IFERROR(1*INDEX(BBG_Data!$F$2:$F$4000,MATCH($A1487,BBG_Data!$E$2:$E$4000,0)),NA()))</f>
        <v/>
      </c>
      <c r="E1487" s="19">
        <f>IF(NOT(ISNUMBER($A1487)),NA(),IFERROR(1*INDEX(BBG_Data!$H$2:$H$4000,MATCH($A1487,BBG_Data!$G$2:$G$4000,0)),NA()))</f>
        <v/>
      </c>
      <c r="F1487" s="20">
        <f>IF(AND(ISNUMBER(B1487),ISNUMBER(B1486)),IF(B1487=B1486,"",(B1487-B1486)*100),"")</f>
        <v/>
      </c>
      <c r="G1487" s="20">
        <f>IF(AND(ISNUMBER(C1487),ISNUMBER(C1486)),IF(C1487=C1486,"",(C1487-C1486)*100),"")</f>
        <v/>
      </c>
      <c r="H1487" s="20">
        <f>IF(OR(NOT(ISNUMBER($A1487)),ROW()-2&lt;Settings!$B$11),NA(),IF(COUNT(OFFSET(F1487,1-Settings!$B$11,0,Settings!$B$11,1))&lt;ROUNDUP(Settings!$B$11*Settings!$B$26,0),NA(),STDEV(OFFSET(F1487,1-Settings!$B$11,0,Settings!$B$11,1))*SQRT(Settings!$B$13)))</f>
        <v/>
      </c>
      <c r="I1487" s="20">
        <f>IF(OR(NOT(ISNUMBER($A1487)),ROW()-2&lt;Settings!$B$12),NA(),IF(COUNT(OFFSET(F1487,1-Settings!$B$12,0,Settings!$B$12,1))&lt;ROUNDUP(Settings!$B$12*Settings!$B$26,0),NA(),STDEV(OFFSET(F1487,1-Settings!$B$12,0,Settings!$B$12,1))*SQRT(Settings!$B$13)))</f>
        <v/>
      </c>
      <c r="J1487" s="20">
        <f>IF(OR(NOT(ISNUMBER($A1487)),ROW()-2&lt;Settings!$B$11),NA(),IF(COUNT(OFFSET(G1487,1-Settings!$B$11,0,Settings!$B$11,1))&lt;ROUNDUP(Settings!$B$11*Settings!$B$26,0),NA(),STDEV(OFFSET(G1487,1-Settings!$B$11,0,Settings!$B$11,1))*SQRT(Settings!$B$13)))</f>
        <v/>
      </c>
      <c r="K1487" s="20">
        <f>IF(OR(NOT(ISNUMBER($A1487)),ROW()-2&lt;Settings!$B$12),NA(),IF(COUNT(OFFSET(G1487,1-Settings!$B$12,0,Settings!$B$12,1))&lt;ROUNDUP(Settings!$B$12*Settings!$B$26,0),NA(),STDEV(OFFSET(G1487,1-Settings!$B$12,0,Settings!$B$12,1))*SQRT(Settings!$B$13)))</f>
        <v/>
      </c>
      <c r="L1487" s="20">
        <f>IF(AND(ISNUMBER(D1487),ISNUMBER(H1487)),D1487-H1487,NA())</f>
        <v/>
      </c>
      <c r="M1487" s="20">
        <f>IF(AND(ISNUMBER(E1487),ISNUMBER(K1487)),E1487-K1487,NA())</f>
        <v/>
      </c>
      <c r="N1487" s="20">
        <f>IF(NOT(ISNUMBER($A1487)),NA(),IF(COUNT(OFFSET(G1487,1,0,Settings!$B$12,1))&lt;ROUNDUP(Settings!$B$12*Settings!$B$26,0),NA(),STDEV(OFFSET(G1487,1,0,Settings!$B$12,1))*SQRT(Settings!$B$13)))</f>
        <v/>
      </c>
      <c r="O1487" s="20">
        <f>IF(AND(ISNUMBER(E1487),ISNUMBER(N1487)),E1487-N1487,NA())</f>
        <v/>
      </c>
      <c r="P1487" s="19">
        <f>IF(NOT(ISNUMBER($A1487)),NA(),IF(OR($A1487&lt;MIN(KW_TP!$A$2:$A$2501),$A1487&gt;MAX(KW_TP!$A$2:$A$2501)),NA(),INDEX(KW_TP!$C$2:$C$2501,MATCH($A1487,KW_TP!$A$2:$A$2501,1))))</f>
        <v/>
      </c>
      <c r="Q1487" s="18">
        <f>IF(NOT(ISNUMBER($A1487)),NA(),IFERROR(1*INDEX(BBG_Data!$J$2:$J$4000,MATCH($A1487,BBG_Data!$I$2:$I$4000,0)),NA()))</f>
        <v/>
      </c>
      <c r="R1487" s="18">
        <f>IF(NOT(ISNUMBER($A1487)),NA(),IFERROR(1*INDEX(BBG_Data!$L$2:$L$4000,MATCH($A1487,BBG_Data!$K$2:$K$4000,0)),NA()))</f>
        <v/>
      </c>
      <c r="S1487" s="20">
        <f>IF(AND(ISNUMBER(B1487),ISNUMBER(Q1487),ISNUMBER(R1487)),(B1487-Q1487-R1487)*100,NA())</f>
        <v/>
      </c>
      <c r="T1487" s="20">
        <f>IF(AND(ISNUMBER(B1487),Settings!$B$17&gt;0),IF(ISNUMBER(INDEX($B:$B,Settings!$B$17)),(B1487-INDEX($B:$B,Settings!$B$17))*100,NA()),NA())</f>
        <v/>
      </c>
      <c r="U1487" s="20">
        <f>IF(AND(ISNUMBER(Q1487),Settings!$B$17&gt;0),IF(ISNUMBER(INDEX($Q:$Q,Settings!$B$17)),(Q1487-INDEX($Q:$Q,Settings!$B$17))*100,NA()),NA())</f>
        <v/>
      </c>
      <c r="V1487" s="20">
        <f>IF(AND(ISNUMBER(R1487),Settings!$B$17&gt;0),IF(ISNUMBER(INDEX($R:$R,Settings!$B$17)),(R1487-INDEX($R:$R,Settings!$B$17))*100,NA()),NA())</f>
        <v/>
      </c>
      <c r="W1487" s="20">
        <f>IF(AND(ISNUMBER(P1487),Settings!$B$17&gt;0),IF(ISNUMBER(INDEX($P:$P,Settings!$B$17)),P1487-INDEX($P:$P,Settings!$B$17),NA()),NA())</f>
        <v/>
      </c>
      <c r="X1487" s="19">
        <f>IF(NOT(ISNUMBER($A1487)),NA(),IF(OR($A1487&lt;MIN(DKW_10Y!$A$2:$A$2918),$A1487&gt;MAX(DKW_10Y!$A$2:$A$2918),Settings!$B$16&lt;MIN(DKW_10Y!$A$2:$A$2918)),NA(),(INDEX(DKW_10Y!$B$2:$B$2918,MATCH($A1487,DKW_10Y!$A$2:$A$2918,1))-INDEX(DKW_10Y!$B$2:$B$2918,MATCH(Settings!$B$16,DKW_10Y!$A$2:$A$2918,1)))*100))</f>
        <v/>
      </c>
      <c r="Y1487" s="19">
        <f>IF(NOT(ISNUMBER($A1487)),NA(),IF(OR($A1487&lt;MIN(DKW_10Y!$A$2:$A$2918),$A1487&gt;MAX(DKW_10Y!$A$2:$A$2918),Settings!$B$16&lt;MIN(DKW_10Y!$A$2:$A$2918)),NA(),(INDEX(DKW_10Y!$C$2:$C$2918,MATCH($A1487,DKW_10Y!$A$2:$A$2918,1))-INDEX(DKW_10Y!$C$2:$C$2918,MATCH(Settings!$B$16,DKW_10Y!$A$2:$A$2918,1)))*100))</f>
        <v/>
      </c>
      <c r="Z1487" s="19">
        <f>IF(NOT(ISNUMBER($A1487)),NA(),IF(OR($A1487&lt;MIN(DKW_10Y!$A$2:$A$2918),$A1487&gt;MAX(DKW_10Y!$A$2:$A$2918),Settings!$B$16&lt;MIN(DKW_10Y!$A$2:$A$2918)),NA(),(INDEX(DKW_10Y!$D$2:$D$2918,MATCH($A1487,DKW_10Y!$A$2:$A$2918,1))-INDEX(DKW_10Y!$D$2:$D$2918,MATCH(Settings!$B$16,DKW_10Y!$A$2:$A$2918,1)))*100))</f>
        <v/>
      </c>
      <c r="AA1487" s="19">
        <f>IF(NOT(ISNUMBER($A1487)),NA(),IF(OR($A1487&lt;MIN(DKW_10Y!$A$2:$A$2918),$A1487&gt;MAX(DKW_10Y!$A$2:$A$2918),Settings!$B$16&lt;MIN(DKW_10Y!$A$2:$A$2918)),NA(),(INDEX(DKW_10Y!$E$2:$E$2918,MATCH($A1487,DKW_10Y!$A$2:$A$2918,1))-INDEX(DKW_10Y!$E$2:$E$2918,MATCH(Settings!$B$16,DKW_10Y!$A$2:$A$2918,1)))*100))</f>
        <v/>
      </c>
      <c r="AB1487" s="19">
        <f>IF(NOT(ISNUMBER($A1487)),NA(),IF(OR($A1487&lt;MIN(DKW_10Y!$A$2:$A$2918),$A1487&gt;MAX(DKW_10Y!$A$2:$A$2918),Settings!$B$16&lt;MIN(DKW_10Y!$A$2:$A$2918)),NA(),(INDEX(DKW_10Y!$H$2:$H$2918,MATCH($A1487,DKW_10Y!$A$2:$A$2918,1))-INDEX(DKW_10Y!$H$2:$H$2918,MATCH(Settings!$B$16,DKW_10Y!$A$2:$A$2918,1)))*100))</f>
        <v/>
      </c>
      <c r="AC1487" s="18">
        <f>IF(NOT(ISNUMBER($A1487)),NA(),IFERROR(1*INDEX(BBG_Data!$N$2:$N$4000,MATCH($A1487,BBG_Data!$M$2:$M$4000,0)),NA()))</f>
        <v/>
      </c>
      <c r="AD1487" s="18">
        <f>IF(NOT(ISNUMBER($A1487)),NA(),IFERROR(1*INDEX(BBG_Data!$P$2:$P$4000,MATCH($A1487,BBG_Data!$O$2:$O$4000,0)),NA()))</f>
        <v/>
      </c>
      <c r="AE1487" s="18">
        <f>IF(NOT(ISNUMBER($A1487)),NA(),IFERROR(1*INDEX(BBG_Data!$R$2:$R$4000,MATCH($A1487,BBG_Data!$Q$2:$Q$4000,0)),NA()))</f>
        <v/>
      </c>
      <c r="AF1487" s="20">
        <f>IF(AND(ISNUMBER(B1487),ISNUMBER(AC1487)),(B1487-AC1487)*100,NA())</f>
        <v/>
      </c>
      <c r="AG1487" s="20">
        <f>IF(AND(ISNUMBER(AE1487),ISNUMBER(AD1487)),(AE1487-AD1487)*100,NA())</f>
        <v/>
      </c>
      <c r="AH1487" s="19">
        <f>IF(NOT(ISNUMBER($A1487)),NA(),IFERROR(INDEX(BBG_Data!$T$2:$T$4000,MATCH($A1487,BBG_Data!$S$2:$S$4000,0))*Settings!$B$25,NA()))</f>
        <v/>
      </c>
      <c r="AI1487" s="19">
        <f>IF(NOT(ISNUMBER($A1487)),NA(),IFERROR(INDEX(BBG_Data!$V$2:$V$4000,MATCH($A1487,BBG_Data!$U$2:$U$4000,0))*Settings!$B$25,NA()))</f>
        <v/>
      </c>
      <c r="AJ1487" s="19">
        <f>IF(NOT(ISNUMBER($A1487)),NA(),IFERROR(1*INDEX(BBG_Data!$X$2:$X$4000,MATCH($A1487,BBG_Data!$W$2:$W$4000,0)),NA()))</f>
        <v/>
      </c>
      <c r="AK1487" s="19">
        <f>IF(NOT(ISNUMBER($A1487)),NA(),IFERROR(1*INDEX(BBG_Data!$Z$2:$Z$4000,MATCH($A1487,BBG_Data!$Y$2:$Y$4000,0)),NA()))</f>
        <v/>
      </c>
    </row>
    <row r="1488">
      <c r="A1488" s="17">
        <f>IF(ISNUMBER(BBG_Data!A1488),BBG_Data!A1488,"")</f>
        <v/>
      </c>
      <c r="B1488" s="18">
        <f>IF(AND(ISNUMBER($A1488),ISNUMBER(BBG_Data!B1488)),BBG_Data!B1488,NA())</f>
        <v/>
      </c>
      <c r="C1488" s="18">
        <f>IF(NOT(ISNUMBER($A1488)),NA(),IFERROR(1*INDEX(BBG_Data!$D$2:$D$4000,MATCH($A1488,BBG_Data!$C$2:$C$4000,0)),NA()))</f>
        <v/>
      </c>
      <c r="D1488" s="19">
        <f>IF(NOT(ISNUMBER($A1488)),NA(),IFERROR(1*INDEX(BBG_Data!$F$2:$F$4000,MATCH($A1488,BBG_Data!$E$2:$E$4000,0)),NA()))</f>
        <v/>
      </c>
      <c r="E1488" s="19">
        <f>IF(NOT(ISNUMBER($A1488)),NA(),IFERROR(1*INDEX(BBG_Data!$H$2:$H$4000,MATCH($A1488,BBG_Data!$G$2:$G$4000,0)),NA()))</f>
        <v/>
      </c>
      <c r="F1488" s="20">
        <f>IF(AND(ISNUMBER(B1488),ISNUMBER(B1487)),IF(B1488=B1487,"",(B1488-B1487)*100),"")</f>
        <v/>
      </c>
      <c r="G1488" s="20">
        <f>IF(AND(ISNUMBER(C1488),ISNUMBER(C1487)),IF(C1488=C1487,"",(C1488-C1487)*100),"")</f>
        <v/>
      </c>
      <c r="H1488" s="20">
        <f>IF(OR(NOT(ISNUMBER($A1488)),ROW()-2&lt;Settings!$B$11),NA(),IF(COUNT(OFFSET(F1488,1-Settings!$B$11,0,Settings!$B$11,1))&lt;ROUNDUP(Settings!$B$11*Settings!$B$26,0),NA(),STDEV(OFFSET(F1488,1-Settings!$B$11,0,Settings!$B$11,1))*SQRT(Settings!$B$13)))</f>
        <v/>
      </c>
      <c r="I1488" s="20">
        <f>IF(OR(NOT(ISNUMBER($A1488)),ROW()-2&lt;Settings!$B$12),NA(),IF(COUNT(OFFSET(F1488,1-Settings!$B$12,0,Settings!$B$12,1))&lt;ROUNDUP(Settings!$B$12*Settings!$B$26,0),NA(),STDEV(OFFSET(F1488,1-Settings!$B$12,0,Settings!$B$12,1))*SQRT(Settings!$B$13)))</f>
        <v/>
      </c>
      <c r="J1488" s="20">
        <f>IF(OR(NOT(ISNUMBER($A1488)),ROW()-2&lt;Settings!$B$11),NA(),IF(COUNT(OFFSET(G1488,1-Settings!$B$11,0,Settings!$B$11,1))&lt;ROUNDUP(Settings!$B$11*Settings!$B$26,0),NA(),STDEV(OFFSET(G1488,1-Settings!$B$11,0,Settings!$B$11,1))*SQRT(Settings!$B$13)))</f>
        <v/>
      </c>
      <c r="K1488" s="20">
        <f>IF(OR(NOT(ISNUMBER($A1488)),ROW()-2&lt;Settings!$B$12),NA(),IF(COUNT(OFFSET(G1488,1-Settings!$B$12,0,Settings!$B$12,1))&lt;ROUNDUP(Settings!$B$12*Settings!$B$26,0),NA(),STDEV(OFFSET(G1488,1-Settings!$B$12,0,Settings!$B$12,1))*SQRT(Settings!$B$13)))</f>
        <v/>
      </c>
      <c r="L1488" s="20">
        <f>IF(AND(ISNUMBER(D1488),ISNUMBER(H1488)),D1488-H1488,NA())</f>
        <v/>
      </c>
      <c r="M1488" s="20">
        <f>IF(AND(ISNUMBER(E1488),ISNUMBER(K1488)),E1488-K1488,NA())</f>
        <v/>
      </c>
      <c r="N1488" s="20">
        <f>IF(NOT(ISNUMBER($A1488)),NA(),IF(COUNT(OFFSET(G1488,1,0,Settings!$B$12,1))&lt;ROUNDUP(Settings!$B$12*Settings!$B$26,0),NA(),STDEV(OFFSET(G1488,1,0,Settings!$B$12,1))*SQRT(Settings!$B$13)))</f>
        <v/>
      </c>
      <c r="O1488" s="20">
        <f>IF(AND(ISNUMBER(E1488),ISNUMBER(N1488)),E1488-N1488,NA())</f>
        <v/>
      </c>
      <c r="P1488" s="19">
        <f>IF(NOT(ISNUMBER($A1488)),NA(),IF(OR($A1488&lt;MIN(KW_TP!$A$2:$A$2501),$A1488&gt;MAX(KW_TP!$A$2:$A$2501)),NA(),INDEX(KW_TP!$C$2:$C$2501,MATCH($A1488,KW_TP!$A$2:$A$2501,1))))</f>
        <v/>
      </c>
      <c r="Q1488" s="18">
        <f>IF(NOT(ISNUMBER($A1488)),NA(),IFERROR(1*INDEX(BBG_Data!$J$2:$J$4000,MATCH($A1488,BBG_Data!$I$2:$I$4000,0)),NA()))</f>
        <v/>
      </c>
      <c r="R1488" s="18">
        <f>IF(NOT(ISNUMBER($A1488)),NA(),IFERROR(1*INDEX(BBG_Data!$L$2:$L$4000,MATCH($A1488,BBG_Data!$K$2:$K$4000,0)),NA()))</f>
        <v/>
      </c>
      <c r="S1488" s="20">
        <f>IF(AND(ISNUMBER(B1488),ISNUMBER(Q1488),ISNUMBER(R1488)),(B1488-Q1488-R1488)*100,NA())</f>
        <v/>
      </c>
      <c r="T1488" s="20">
        <f>IF(AND(ISNUMBER(B1488),Settings!$B$17&gt;0),IF(ISNUMBER(INDEX($B:$B,Settings!$B$17)),(B1488-INDEX($B:$B,Settings!$B$17))*100,NA()),NA())</f>
        <v/>
      </c>
      <c r="U1488" s="20">
        <f>IF(AND(ISNUMBER(Q1488),Settings!$B$17&gt;0),IF(ISNUMBER(INDEX($Q:$Q,Settings!$B$17)),(Q1488-INDEX($Q:$Q,Settings!$B$17))*100,NA()),NA())</f>
        <v/>
      </c>
      <c r="V1488" s="20">
        <f>IF(AND(ISNUMBER(R1488),Settings!$B$17&gt;0),IF(ISNUMBER(INDEX($R:$R,Settings!$B$17)),(R1488-INDEX($R:$R,Settings!$B$17))*100,NA()),NA())</f>
        <v/>
      </c>
      <c r="W1488" s="20">
        <f>IF(AND(ISNUMBER(P1488),Settings!$B$17&gt;0),IF(ISNUMBER(INDEX($P:$P,Settings!$B$17)),P1488-INDEX($P:$P,Settings!$B$17),NA()),NA())</f>
        <v/>
      </c>
      <c r="X1488" s="19">
        <f>IF(NOT(ISNUMBER($A1488)),NA(),IF(OR($A1488&lt;MIN(DKW_10Y!$A$2:$A$2918),$A1488&gt;MAX(DKW_10Y!$A$2:$A$2918),Settings!$B$16&lt;MIN(DKW_10Y!$A$2:$A$2918)),NA(),(INDEX(DKW_10Y!$B$2:$B$2918,MATCH($A1488,DKW_10Y!$A$2:$A$2918,1))-INDEX(DKW_10Y!$B$2:$B$2918,MATCH(Settings!$B$16,DKW_10Y!$A$2:$A$2918,1)))*100))</f>
        <v/>
      </c>
      <c r="Y1488" s="19">
        <f>IF(NOT(ISNUMBER($A1488)),NA(),IF(OR($A1488&lt;MIN(DKW_10Y!$A$2:$A$2918),$A1488&gt;MAX(DKW_10Y!$A$2:$A$2918),Settings!$B$16&lt;MIN(DKW_10Y!$A$2:$A$2918)),NA(),(INDEX(DKW_10Y!$C$2:$C$2918,MATCH($A1488,DKW_10Y!$A$2:$A$2918,1))-INDEX(DKW_10Y!$C$2:$C$2918,MATCH(Settings!$B$16,DKW_10Y!$A$2:$A$2918,1)))*100))</f>
        <v/>
      </c>
      <c r="Z1488" s="19">
        <f>IF(NOT(ISNUMBER($A1488)),NA(),IF(OR($A1488&lt;MIN(DKW_10Y!$A$2:$A$2918),$A1488&gt;MAX(DKW_10Y!$A$2:$A$2918),Settings!$B$16&lt;MIN(DKW_10Y!$A$2:$A$2918)),NA(),(INDEX(DKW_10Y!$D$2:$D$2918,MATCH($A1488,DKW_10Y!$A$2:$A$2918,1))-INDEX(DKW_10Y!$D$2:$D$2918,MATCH(Settings!$B$16,DKW_10Y!$A$2:$A$2918,1)))*100))</f>
        <v/>
      </c>
      <c r="AA1488" s="19">
        <f>IF(NOT(ISNUMBER($A1488)),NA(),IF(OR($A1488&lt;MIN(DKW_10Y!$A$2:$A$2918),$A1488&gt;MAX(DKW_10Y!$A$2:$A$2918),Settings!$B$16&lt;MIN(DKW_10Y!$A$2:$A$2918)),NA(),(INDEX(DKW_10Y!$E$2:$E$2918,MATCH($A1488,DKW_10Y!$A$2:$A$2918,1))-INDEX(DKW_10Y!$E$2:$E$2918,MATCH(Settings!$B$16,DKW_10Y!$A$2:$A$2918,1)))*100))</f>
        <v/>
      </c>
      <c r="AB1488" s="19">
        <f>IF(NOT(ISNUMBER($A1488)),NA(),IF(OR($A1488&lt;MIN(DKW_10Y!$A$2:$A$2918),$A1488&gt;MAX(DKW_10Y!$A$2:$A$2918),Settings!$B$16&lt;MIN(DKW_10Y!$A$2:$A$2918)),NA(),(INDEX(DKW_10Y!$H$2:$H$2918,MATCH($A1488,DKW_10Y!$A$2:$A$2918,1))-INDEX(DKW_10Y!$H$2:$H$2918,MATCH(Settings!$B$16,DKW_10Y!$A$2:$A$2918,1)))*100))</f>
        <v/>
      </c>
      <c r="AC1488" s="18">
        <f>IF(NOT(ISNUMBER($A1488)),NA(),IFERROR(1*INDEX(BBG_Data!$N$2:$N$4000,MATCH($A1488,BBG_Data!$M$2:$M$4000,0)),NA()))</f>
        <v/>
      </c>
      <c r="AD1488" s="18">
        <f>IF(NOT(ISNUMBER($A1488)),NA(),IFERROR(1*INDEX(BBG_Data!$P$2:$P$4000,MATCH($A1488,BBG_Data!$O$2:$O$4000,0)),NA()))</f>
        <v/>
      </c>
      <c r="AE1488" s="18">
        <f>IF(NOT(ISNUMBER($A1488)),NA(),IFERROR(1*INDEX(BBG_Data!$R$2:$R$4000,MATCH($A1488,BBG_Data!$Q$2:$Q$4000,0)),NA()))</f>
        <v/>
      </c>
      <c r="AF1488" s="20">
        <f>IF(AND(ISNUMBER(B1488),ISNUMBER(AC1488)),(B1488-AC1488)*100,NA())</f>
        <v/>
      </c>
      <c r="AG1488" s="20">
        <f>IF(AND(ISNUMBER(AE1488),ISNUMBER(AD1488)),(AE1488-AD1488)*100,NA())</f>
        <v/>
      </c>
      <c r="AH1488" s="19">
        <f>IF(NOT(ISNUMBER($A1488)),NA(),IFERROR(INDEX(BBG_Data!$T$2:$T$4000,MATCH($A1488,BBG_Data!$S$2:$S$4000,0))*Settings!$B$25,NA()))</f>
        <v/>
      </c>
      <c r="AI1488" s="19">
        <f>IF(NOT(ISNUMBER($A1488)),NA(),IFERROR(INDEX(BBG_Data!$V$2:$V$4000,MATCH($A1488,BBG_Data!$U$2:$U$4000,0))*Settings!$B$25,NA()))</f>
        <v/>
      </c>
      <c r="AJ1488" s="19">
        <f>IF(NOT(ISNUMBER($A1488)),NA(),IFERROR(1*INDEX(BBG_Data!$X$2:$X$4000,MATCH($A1488,BBG_Data!$W$2:$W$4000,0)),NA()))</f>
        <v/>
      </c>
      <c r="AK1488" s="19">
        <f>IF(NOT(ISNUMBER($A1488)),NA(),IFERROR(1*INDEX(BBG_Data!$Z$2:$Z$4000,MATCH($A1488,BBG_Data!$Y$2:$Y$4000,0)),NA()))</f>
        <v/>
      </c>
    </row>
    <row r="1489">
      <c r="A1489" s="17">
        <f>IF(ISNUMBER(BBG_Data!A1489),BBG_Data!A1489,"")</f>
        <v/>
      </c>
      <c r="B1489" s="18">
        <f>IF(AND(ISNUMBER($A1489),ISNUMBER(BBG_Data!B1489)),BBG_Data!B1489,NA())</f>
        <v/>
      </c>
      <c r="C1489" s="18">
        <f>IF(NOT(ISNUMBER($A1489)),NA(),IFERROR(1*INDEX(BBG_Data!$D$2:$D$4000,MATCH($A1489,BBG_Data!$C$2:$C$4000,0)),NA()))</f>
        <v/>
      </c>
      <c r="D1489" s="19">
        <f>IF(NOT(ISNUMBER($A1489)),NA(),IFERROR(1*INDEX(BBG_Data!$F$2:$F$4000,MATCH($A1489,BBG_Data!$E$2:$E$4000,0)),NA()))</f>
        <v/>
      </c>
      <c r="E1489" s="19">
        <f>IF(NOT(ISNUMBER($A1489)),NA(),IFERROR(1*INDEX(BBG_Data!$H$2:$H$4000,MATCH($A1489,BBG_Data!$G$2:$G$4000,0)),NA()))</f>
        <v/>
      </c>
      <c r="F1489" s="20">
        <f>IF(AND(ISNUMBER(B1489),ISNUMBER(B1488)),IF(B1489=B1488,"",(B1489-B1488)*100),"")</f>
        <v/>
      </c>
      <c r="G1489" s="20">
        <f>IF(AND(ISNUMBER(C1489),ISNUMBER(C1488)),IF(C1489=C1488,"",(C1489-C1488)*100),"")</f>
        <v/>
      </c>
      <c r="H1489" s="20">
        <f>IF(OR(NOT(ISNUMBER($A1489)),ROW()-2&lt;Settings!$B$11),NA(),IF(COUNT(OFFSET(F1489,1-Settings!$B$11,0,Settings!$B$11,1))&lt;ROUNDUP(Settings!$B$11*Settings!$B$26,0),NA(),STDEV(OFFSET(F1489,1-Settings!$B$11,0,Settings!$B$11,1))*SQRT(Settings!$B$13)))</f>
        <v/>
      </c>
      <c r="I1489" s="20">
        <f>IF(OR(NOT(ISNUMBER($A1489)),ROW()-2&lt;Settings!$B$12),NA(),IF(COUNT(OFFSET(F1489,1-Settings!$B$12,0,Settings!$B$12,1))&lt;ROUNDUP(Settings!$B$12*Settings!$B$26,0),NA(),STDEV(OFFSET(F1489,1-Settings!$B$12,0,Settings!$B$12,1))*SQRT(Settings!$B$13)))</f>
        <v/>
      </c>
      <c r="J1489" s="20">
        <f>IF(OR(NOT(ISNUMBER($A1489)),ROW()-2&lt;Settings!$B$11),NA(),IF(COUNT(OFFSET(G1489,1-Settings!$B$11,0,Settings!$B$11,1))&lt;ROUNDUP(Settings!$B$11*Settings!$B$26,0),NA(),STDEV(OFFSET(G1489,1-Settings!$B$11,0,Settings!$B$11,1))*SQRT(Settings!$B$13)))</f>
        <v/>
      </c>
      <c r="K1489" s="20">
        <f>IF(OR(NOT(ISNUMBER($A1489)),ROW()-2&lt;Settings!$B$12),NA(),IF(COUNT(OFFSET(G1489,1-Settings!$B$12,0,Settings!$B$12,1))&lt;ROUNDUP(Settings!$B$12*Settings!$B$26,0),NA(),STDEV(OFFSET(G1489,1-Settings!$B$12,0,Settings!$B$12,1))*SQRT(Settings!$B$13)))</f>
        <v/>
      </c>
      <c r="L1489" s="20">
        <f>IF(AND(ISNUMBER(D1489),ISNUMBER(H1489)),D1489-H1489,NA())</f>
        <v/>
      </c>
      <c r="M1489" s="20">
        <f>IF(AND(ISNUMBER(E1489),ISNUMBER(K1489)),E1489-K1489,NA())</f>
        <v/>
      </c>
      <c r="N1489" s="20">
        <f>IF(NOT(ISNUMBER($A1489)),NA(),IF(COUNT(OFFSET(G1489,1,0,Settings!$B$12,1))&lt;ROUNDUP(Settings!$B$12*Settings!$B$26,0),NA(),STDEV(OFFSET(G1489,1,0,Settings!$B$12,1))*SQRT(Settings!$B$13)))</f>
        <v/>
      </c>
      <c r="O1489" s="20">
        <f>IF(AND(ISNUMBER(E1489),ISNUMBER(N1489)),E1489-N1489,NA())</f>
        <v/>
      </c>
      <c r="P1489" s="19">
        <f>IF(NOT(ISNUMBER($A1489)),NA(),IF(OR($A1489&lt;MIN(KW_TP!$A$2:$A$2501),$A1489&gt;MAX(KW_TP!$A$2:$A$2501)),NA(),INDEX(KW_TP!$C$2:$C$2501,MATCH($A1489,KW_TP!$A$2:$A$2501,1))))</f>
        <v/>
      </c>
      <c r="Q1489" s="18">
        <f>IF(NOT(ISNUMBER($A1489)),NA(),IFERROR(1*INDEX(BBG_Data!$J$2:$J$4000,MATCH($A1489,BBG_Data!$I$2:$I$4000,0)),NA()))</f>
        <v/>
      </c>
      <c r="R1489" s="18">
        <f>IF(NOT(ISNUMBER($A1489)),NA(),IFERROR(1*INDEX(BBG_Data!$L$2:$L$4000,MATCH($A1489,BBG_Data!$K$2:$K$4000,0)),NA()))</f>
        <v/>
      </c>
      <c r="S1489" s="20">
        <f>IF(AND(ISNUMBER(B1489),ISNUMBER(Q1489),ISNUMBER(R1489)),(B1489-Q1489-R1489)*100,NA())</f>
        <v/>
      </c>
      <c r="T1489" s="20">
        <f>IF(AND(ISNUMBER(B1489),Settings!$B$17&gt;0),IF(ISNUMBER(INDEX($B:$B,Settings!$B$17)),(B1489-INDEX($B:$B,Settings!$B$17))*100,NA()),NA())</f>
        <v/>
      </c>
      <c r="U1489" s="20">
        <f>IF(AND(ISNUMBER(Q1489),Settings!$B$17&gt;0),IF(ISNUMBER(INDEX($Q:$Q,Settings!$B$17)),(Q1489-INDEX($Q:$Q,Settings!$B$17))*100,NA()),NA())</f>
        <v/>
      </c>
      <c r="V1489" s="20">
        <f>IF(AND(ISNUMBER(R1489),Settings!$B$17&gt;0),IF(ISNUMBER(INDEX($R:$R,Settings!$B$17)),(R1489-INDEX($R:$R,Settings!$B$17))*100,NA()),NA())</f>
        <v/>
      </c>
      <c r="W1489" s="20">
        <f>IF(AND(ISNUMBER(P1489),Settings!$B$17&gt;0),IF(ISNUMBER(INDEX($P:$P,Settings!$B$17)),P1489-INDEX($P:$P,Settings!$B$17),NA()),NA())</f>
        <v/>
      </c>
      <c r="X1489" s="19">
        <f>IF(NOT(ISNUMBER($A1489)),NA(),IF(OR($A1489&lt;MIN(DKW_10Y!$A$2:$A$2918),$A1489&gt;MAX(DKW_10Y!$A$2:$A$2918),Settings!$B$16&lt;MIN(DKW_10Y!$A$2:$A$2918)),NA(),(INDEX(DKW_10Y!$B$2:$B$2918,MATCH($A1489,DKW_10Y!$A$2:$A$2918,1))-INDEX(DKW_10Y!$B$2:$B$2918,MATCH(Settings!$B$16,DKW_10Y!$A$2:$A$2918,1)))*100))</f>
        <v/>
      </c>
      <c r="Y1489" s="19">
        <f>IF(NOT(ISNUMBER($A1489)),NA(),IF(OR($A1489&lt;MIN(DKW_10Y!$A$2:$A$2918),$A1489&gt;MAX(DKW_10Y!$A$2:$A$2918),Settings!$B$16&lt;MIN(DKW_10Y!$A$2:$A$2918)),NA(),(INDEX(DKW_10Y!$C$2:$C$2918,MATCH($A1489,DKW_10Y!$A$2:$A$2918,1))-INDEX(DKW_10Y!$C$2:$C$2918,MATCH(Settings!$B$16,DKW_10Y!$A$2:$A$2918,1)))*100))</f>
        <v/>
      </c>
      <c r="Z1489" s="19">
        <f>IF(NOT(ISNUMBER($A1489)),NA(),IF(OR($A1489&lt;MIN(DKW_10Y!$A$2:$A$2918),$A1489&gt;MAX(DKW_10Y!$A$2:$A$2918),Settings!$B$16&lt;MIN(DKW_10Y!$A$2:$A$2918)),NA(),(INDEX(DKW_10Y!$D$2:$D$2918,MATCH($A1489,DKW_10Y!$A$2:$A$2918,1))-INDEX(DKW_10Y!$D$2:$D$2918,MATCH(Settings!$B$16,DKW_10Y!$A$2:$A$2918,1)))*100))</f>
        <v/>
      </c>
      <c r="AA1489" s="19">
        <f>IF(NOT(ISNUMBER($A1489)),NA(),IF(OR($A1489&lt;MIN(DKW_10Y!$A$2:$A$2918),$A1489&gt;MAX(DKW_10Y!$A$2:$A$2918),Settings!$B$16&lt;MIN(DKW_10Y!$A$2:$A$2918)),NA(),(INDEX(DKW_10Y!$E$2:$E$2918,MATCH($A1489,DKW_10Y!$A$2:$A$2918,1))-INDEX(DKW_10Y!$E$2:$E$2918,MATCH(Settings!$B$16,DKW_10Y!$A$2:$A$2918,1)))*100))</f>
        <v/>
      </c>
      <c r="AB1489" s="19">
        <f>IF(NOT(ISNUMBER($A1489)),NA(),IF(OR($A1489&lt;MIN(DKW_10Y!$A$2:$A$2918),$A1489&gt;MAX(DKW_10Y!$A$2:$A$2918),Settings!$B$16&lt;MIN(DKW_10Y!$A$2:$A$2918)),NA(),(INDEX(DKW_10Y!$H$2:$H$2918,MATCH($A1489,DKW_10Y!$A$2:$A$2918,1))-INDEX(DKW_10Y!$H$2:$H$2918,MATCH(Settings!$B$16,DKW_10Y!$A$2:$A$2918,1)))*100))</f>
        <v/>
      </c>
      <c r="AC1489" s="18">
        <f>IF(NOT(ISNUMBER($A1489)),NA(),IFERROR(1*INDEX(BBG_Data!$N$2:$N$4000,MATCH($A1489,BBG_Data!$M$2:$M$4000,0)),NA()))</f>
        <v/>
      </c>
      <c r="AD1489" s="18">
        <f>IF(NOT(ISNUMBER($A1489)),NA(),IFERROR(1*INDEX(BBG_Data!$P$2:$P$4000,MATCH($A1489,BBG_Data!$O$2:$O$4000,0)),NA()))</f>
        <v/>
      </c>
      <c r="AE1489" s="18">
        <f>IF(NOT(ISNUMBER($A1489)),NA(),IFERROR(1*INDEX(BBG_Data!$R$2:$R$4000,MATCH($A1489,BBG_Data!$Q$2:$Q$4000,0)),NA()))</f>
        <v/>
      </c>
      <c r="AF1489" s="20">
        <f>IF(AND(ISNUMBER(B1489),ISNUMBER(AC1489)),(B1489-AC1489)*100,NA())</f>
        <v/>
      </c>
      <c r="AG1489" s="20">
        <f>IF(AND(ISNUMBER(AE1489),ISNUMBER(AD1489)),(AE1489-AD1489)*100,NA())</f>
        <v/>
      </c>
      <c r="AH1489" s="19">
        <f>IF(NOT(ISNUMBER($A1489)),NA(),IFERROR(INDEX(BBG_Data!$T$2:$T$4000,MATCH($A1489,BBG_Data!$S$2:$S$4000,0))*Settings!$B$25,NA()))</f>
        <v/>
      </c>
      <c r="AI1489" s="19">
        <f>IF(NOT(ISNUMBER($A1489)),NA(),IFERROR(INDEX(BBG_Data!$V$2:$V$4000,MATCH($A1489,BBG_Data!$U$2:$U$4000,0))*Settings!$B$25,NA()))</f>
        <v/>
      </c>
      <c r="AJ1489" s="19">
        <f>IF(NOT(ISNUMBER($A1489)),NA(),IFERROR(1*INDEX(BBG_Data!$X$2:$X$4000,MATCH($A1489,BBG_Data!$W$2:$W$4000,0)),NA()))</f>
        <v/>
      </c>
      <c r="AK1489" s="19">
        <f>IF(NOT(ISNUMBER($A1489)),NA(),IFERROR(1*INDEX(BBG_Data!$Z$2:$Z$4000,MATCH($A1489,BBG_Data!$Y$2:$Y$4000,0)),NA()))</f>
        <v/>
      </c>
    </row>
    <row r="1490">
      <c r="A1490" s="17">
        <f>IF(ISNUMBER(BBG_Data!A1490),BBG_Data!A1490,"")</f>
        <v/>
      </c>
      <c r="B1490" s="18">
        <f>IF(AND(ISNUMBER($A1490),ISNUMBER(BBG_Data!B1490)),BBG_Data!B1490,NA())</f>
        <v/>
      </c>
      <c r="C1490" s="18">
        <f>IF(NOT(ISNUMBER($A1490)),NA(),IFERROR(1*INDEX(BBG_Data!$D$2:$D$4000,MATCH($A1490,BBG_Data!$C$2:$C$4000,0)),NA()))</f>
        <v/>
      </c>
      <c r="D1490" s="19">
        <f>IF(NOT(ISNUMBER($A1490)),NA(),IFERROR(1*INDEX(BBG_Data!$F$2:$F$4000,MATCH($A1490,BBG_Data!$E$2:$E$4000,0)),NA()))</f>
        <v/>
      </c>
      <c r="E1490" s="19">
        <f>IF(NOT(ISNUMBER($A1490)),NA(),IFERROR(1*INDEX(BBG_Data!$H$2:$H$4000,MATCH($A1490,BBG_Data!$G$2:$G$4000,0)),NA()))</f>
        <v/>
      </c>
      <c r="F1490" s="20">
        <f>IF(AND(ISNUMBER(B1490),ISNUMBER(B1489)),IF(B1490=B1489,"",(B1490-B1489)*100),"")</f>
        <v/>
      </c>
      <c r="G1490" s="20">
        <f>IF(AND(ISNUMBER(C1490),ISNUMBER(C1489)),IF(C1490=C1489,"",(C1490-C1489)*100),"")</f>
        <v/>
      </c>
      <c r="H1490" s="20">
        <f>IF(OR(NOT(ISNUMBER($A1490)),ROW()-2&lt;Settings!$B$11),NA(),IF(COUNT(OFFSET(F1490,1-Settings!$B$11,0,Settings!$B$11,1))&lt;ROUNDUP(Settings!$B$11*Settings!$B$26,0),NA(),STDEV(OFFSET(F1490,1-Settings!$B$11,0,Settings!$B$11,1))*SQRT(Settings!$B$13)))</f>
        <v/>
      </c>
      <c r="I1490" s="20">
        <f>IF(OR(NOT(ISNUMBER($A1490)),ROW()-2&lt;Settings!$B$12),NA(),IF(COUNT(OFFSET(F1490,1-Settings!$B$12,0,Settings!$B$12,1))&lt;ROUNDUP(Settings!$B$12*Settings!$B$26,0),NA(),STDEV(OFFSET(F1490,1-Settings!$B$12,0,Settings!$B$12,1))*SQRT(Settings!$B$13)))</f>
        <v/>
      </c>
      <c r="J1490" s="20">
        <f>IF(OR(NOT(ISNUMBER($A1490)),ROW()-2&lt;Settings!$B$11),NA(),IF(COUNT(OFFSET(G1490,1-Settings!$B$11,0,Settings!$B$11,1))&lt;ROUNDUP(Settings!$B$11*Settings!$B$26,0),NA(),STDEV(OFFSET(G1490,1-Settings!$B$11,0,Settings!$B$11,1))*SQRT(Settings!$B$13)))</f>
        <v/>
      </c>
      <c r="K1490" s="20">
        <f>IF(OR(NOT(ISNUMBER($A1490)),ROW()-2&lt;Settings!$B$12),NA(),IF(COUNT(OFFSET(G1490,1-Settings!$B$12,0,Settings!$B$12,1))&lt;ROUNDUP(Settings!$B$12*Settings!$B$26,0),NA(),STDEV(OFFSET(G1490,1-Settings!$B$12,0,Settings!$B$12,1))*SQRT(Settings!$B$13)))</f>
        <v/>
      </c>
      <c r="L1490" s="20">
        <f>IF(AND(ISNUMBER(D1490),ISNUMBER(H1490)),D1490-H1490,NA())</f>
        <v/>
      </c>
      <c r="M1490" s="20">
        <f>IF(AND(ISNUMBER(E1490),ISNUMBER(K1490)),E1490-K1490,NA())</f>
        <v/>
      </c>
      <c r="N1490" s="20">
        <f>IF(NOT(ISNUMBER($A1490)),NA(),IF(COUNT(OFFSET(G1490,1,0,Settings!$B$12,1))&lt;ROUNDUP(Settings!$B$12*Settings!$B$26,0),NA(),STDEV(OFFSET(G1490,1,0,Settings!$B$12,1))*SQRT(Settings!$B$13)))</f>
        <v/>
      </c>
      <c r="O1490" s="20">
        <f>IF(AND(ISNUMBER(E1490),ISNUMBER(N1490)),E1490-N1490,NA())</f>
        <v/>
      </c>
      <c r="P1490" s="19">
        <f>IF(NOT(ISNUMBER($A1490)),NA(),IF(OR($A1490&lt;MIN(KW_TP!$A$2:$A$2501),$A1490&gt;MAX(KW_TP!$A$2:$A$2501)),NA(),INDEX(KW_TP!$C$2:$C$2501,MATCH($A1490,KW_TP!$A$2:$A$2501,1))))</f>
        <v/>
      </c>
      <c r="Q1490" s="18">
        <f>IF(NOT(ISNUMBER($A1490)),NA(),IFERROR(1*INDEX(BBG_Data!$J$2:$J$4000,MATCH($A1490,BBG_Data!$I$2:$I$4000,0)),NA()))</f>
        <v/>
      </c>
      <c r="R1490" s="18">
        <f>IF(NOT(ISNUMBER($A1490)),NA(),IFERROR(1*INDEX(BBG_Data!$L$2:$L$4000,MATCH($A1490,BBG_Data!$K$2:$K$4000,0)),NA()))</f>
        <v/>
      </c>
      <c r="S1490" s="20">
        <f>IF(AND(ISNUMBER(B1490),ISNUMBER(Q1490),ISNUMBER(R1490)),(B1490-Q1490-R1490)*100,NA())</f>
        <v/>
      </c>
      <c r="T1490" s="20">
        <f>IF(AND(ISNUMBER(B1490),Settings!$B$17&gt;0),IF(ISNUMBER(INDEX($B:$B,Settings!$B$17)),(B1490-INDEX($B:$B,Settings!$B$17))*100,NA()),NA())</f>
        <v/>
      </c>
      <c r="U1490" s="20">
        <f>IF(AND(ISNUMBER(Q1490),Settings!$B$17&gt;0),IF(ISNUMBER(INDEX($Q:$Q,Settings!$B$17)),(Q1490-INDEX($Q:$Q,Settings!$B$17))*100,NA()),NA())</f>
        <v/>
      </c>
      <c r="V1490" s="20">
        <f>IF(AND(ISNUMBER(R1490),Settings!$B$17&gt;0),IF(ISNUMBER(INDEX($R:$R,Settings!$B$17)),(R1490-INDEX($R:$R,Settings!$B$17))*100,NA()),NA())</f>
        <v/>
      </c>
      <c r="W1490" s="20">
        <f>IF(AND(ISNUMBER(P1490),Settings!$B$17&gt;0),IF(ISNUMBER(INDEX($P:$P,Settings!$B$17)),P1490-INDEX($P:$P,Settings!$B$17),NA()),NA())</f>
        <v/>
      </c>
      <c r="X1490" s="19">
        <f>IF(NOT(ISNUMBER($A1490)),NA(),IF(OR($A1490&lt;MIN(DKW_10Y!$A$2:$A$2918),$A1490&gt;MAX(DKW_10Y!$A$2:$A$2918),Settings!$B$16&lt;MIN(DKW_10Y!$A$2:$A$2918)),NA(),(INDEX(DKW_10Y!$B$2:$B$2918,MATCH($A1490,DKW_10Y!$A$2:$A$2918,1))-INDEX(DKW_10Y!$B$2:$B$2918,MATCH(Settings!$B$16,DKW_10Y!$A$2:$A$2918,1)))*100))</f>
        <v/>
      </c>
      <c r="Y1490" s="19">
        <f>IF(NOT(ISNUMBER($A1490)),NA(),IF(OR($A1490&lt;MIN(DKW_10Y!$A$2:$A$2918),$A1490&gt;MAX(DKW_10Y!$A$2:$A$2918),Settings!$B$16&lt;MIN(DKW_10Y!$A$2:$A$2918)),NA(),(INDEX(DKW_10Y!$C$2:$C$2918,MATCH($A1490,DKW_10Y!$A$2:$A$2918,1))-INDEX(DKW_10Y!$C$2:$C$2918,MATCH(Settings!$B$16,DKW_10Y!$A$2:$A$2918,1)))*100))</f>
        <v/>
      </c>
      <c r="Z1490" s="19">
        <f>IF(NOT(ISNUMBER($A1490)),NA(),IF(OR($A1490&lt;MIN(DKW_10Y!$A$2:$A$2918),$A1490&gt;MAX(DKW_10Y!$A$2:$A$2918),Settings!$B$16&lt;MIN(DKW_10Y!$A$2:$A$2918)),NA(),(INDEX(DKW_10Y!$D$2:$D$2918,MATCH($A1490,DKW_10Y!$A$2:$A$2918,1))-INDEX(DKW_10Y!$D$2:$D$2918,MATCH(Settings!$B$16,DKW_10Y!$A$2:$A$2918,1)))*100))</f>
        <v/>
      </c>
      <c r="AA1490" s="19">
        <f>IF(NOT(ISNUMBER($A1490)),NA(),IF(OR($A1490&lt;MIN(DKW_10Y!$A$2:$A$2918),$A1490&gt;MAX(DKW_10Y!$A$2:$A$2918),Settings!$B$16&lt;MIN(DKW_10Y!$A$2:$A$2918)),NA(),(INDEX(DKW_10Y!$E$2:$E$2918,MATCH($A1490,DKW_10Y!$A$2:$A$2918,1))-INDEX(DKW_10Y!$E$2:$E$2918,MATCH(Settings!$B$16,DKW_10Y!$A$2:$A$2918,1)))*100))</f>
        <v/>
      </c>
      <c r="AB1490" s="19">
        <f>IF(NOT(ISNUMBER($A1490)),NA(),IF(OR($A1490&lt;MIN(DKW_10Y!$A$2:$A$2918),$A1490&gt;MAX(DKW_10Y!$A$2:$A$2918),Settings!$B$16&lt;MIN(DKW_10Y!$A$2:$A$2918)),NA(),(INDEX(DKW_10Y!$H$2:$H$2918,MATCH($A1490,DKW_10Y!$A$2:$A$2918,1))-INDEX(DKW_10Y!$H$2:$H$2918,MATCH(Settings!$B$16,DKW_10Y!$A$2:$A$2918,1)))*100))</f>
        <v/>
      </c>
      <c r="AC1490" s="18">
        <f>IF(NOT(ISNUMBER($A1490)),NA(),IFERROR(1*INDEX(BBG_Data!$N$2:$N$4000,MATCH($A1490,BBG_Data!$M$2:$M$4000,0)),NA()))</f>
        <v/>
      </c>
      <c r="AD1490" s="18">
        <f>IF(NOT(ISNUMBER($A1490)),NA(),IFERROR(1*INDEX(BBG_Data!$P$2:$P$4000,MATCH($A1490,BBG_Data!$O$2:$O$4000,0)),NA()))</f>
        <v/>
      </c>
      <c r="AE1490" s="18">
        <f>IF(NOT(ISNUMBER($A1490)),NA(),IFERROR(1*INDEX(BBG_Data!$R$2:$R$4000,MATCH($A1490,BBG_Data!$Q$2:$Q$4000,0)),NA()))</f>
        <v/>
      </c>
      <c r="AF1490" s="20">
        <f>IF(AND(ISNUMBER(B1490),ISNUMBER(AC1490)),(B1490-AC1490)*100,NA())</f>
        <v/>
      </c>
      <c r="AG1490" s="20">
        <f>IF(AND(ISNUMBER(AE1490),ISNUMBER(AD1490)),(AE1490-AD1490)*100,NA())</f>
        <v/>
      </c>
      <c r="AH1490" s="19">
        <f>IF(NOT(ISNUMBER($A1490)),NA(),IFERROR(INDEX(BBG_Data!$T$2:$T$4000,MATCH($A1490,BBG_Data!$S$2:$S$4000,0))*Settings!$B$25,NA()))</f>
        <v/>
      </c>
      <c r="AI1490" s="19">
        <f>IF(NOT(ISNUMBER($A1490)),NA(),IFERROR(INDEX(BBG_Data!$V$2:$V$4000,MATCH($A1490,BBG_Data!$U$2:$U$4000,0))*Settings!$B$25,NA()))</f>
        <v/>
      </c>
      <c r="AJ1490" s="19">
        <f>IF(NOT(ISNUMBER($A1490)),NA(),IFERROR(1*INDEX(BBG_Data!$X$2:$X$4000,MATCH($A1490,BBG_Data!$W$2:$W$4000,0)),NA()))</f>
        <v/>
      </c>
      <c r="AK1490" s="19">
        <f>IF(NOT(ISNUMBER($A1490)),NA(),IFERROR(1*INDEX(BBG_Data!$Z$2:$Z$4000,MATCH($A1490,BBG_Data!$Y$2:$Y$4000,0)),NA()))</f>
        <v/>
      </c>
    </row>
    <row r="1491">
      <c r="A1491" s="17">
        <f>IF(ISNUMBER(BBG_Data!A1491),BBG_Data!A1491,"")</f>
        <v/>
      </c>
      <c r="B1491" s="18">
        <f>IF(AND(ISNUMBER($A1491),ISNUMBER(BBG_Data!B1491)),BBG_Data!B1491,NA())</f>
        <v/>
      </c>
      <c r="C1491" s="18">
        <f>IF(NOT(ISNUMBER($A1491)),NA(),IFERROR(1*INDEX(BBG_Data!$D$2:$D$4000,MATCH($A1491,BBG_Data!$C$2:$C$4000,0)),NA()))</f>
        <v/>
      </c>
      <c r="D1491" s="19">
        <f>IF(NOT(ISNUMBER($A1491)),NA(),IFERROR(1*INDEX(BBG_Data!$F$2:$F$4000,MATCH($A1491,BBG_Data!$E$2:$E$4000,0)),NA()))</f>
        <v/>
      </c>
      <c r="E1491" s="19">
        <f>IF(NOT(ISNUMBER($A1491)),NA(),IFERROR(1*INDEX(BBG_Data!$H$2:$H$4000,MATCH($A1491,BBG_Data!$G$2:$G$4000,0)),NA()))</f>
        <v/>
      </c>
      <c r="F1491" s="20">
        <f>IF(AND(ISNUMBER(B1491),ISNUMBER(B1490)),IF(B1491=B1490,"",(B1491-B1490)*100),"")</f>
        <v/>
      </c>
      <c r="G1491" s="20">
        <f>IF(AND(ISNUMBER(C1491),ISNUMBER(C1490)),IF(C1491=C1490,"",(C1491-C1490)*100),"")</f>
        <v/>
      </c>
      <c r="H1491" s="20">
        <f>IF(OR(NOT(ISNUMBER($A1491)),ROW()-2&lt;Settings!$B$11),NA(),IF(COUNT(OFFSET(F1491,1-Settings!$B$11,0,Settings!$B$11,1))&lt;ROUNDUP(Settings!$B$11*Settings!$B$26,0),NA(),STDEV(OFFSET(F1491,1-Settings!$B$11,0,Settings!$B$11,1))*SQRT(Settings!$B$13)))</f>
        <v/>
      </c>
      <c r="I1491" s="20">
        <f>IF(OR(NOT(ISNUMBER($A1491)),ROW()-2&lt;Settings!$B$12),NA(),IF(COUNT(OFFSET(F1491,1-Settings!$B$12,0,Settings!$B$12,1))&lt;ROUNDUP(Settings!$B$12*Settings!$B$26,0),NA(),STDEV(OFFSET(F1491,1-Settings!$B$12,0,Settings!$B$12,1))*SQRT(Settings!$B$13)))</f>
        <v/>
      </c>
      <c r="J1491" s="20">
        <f>IF(OR(NOT(ISNUMBER($A1491)),ROW()-2&lt;Settings!$B$11),NA(),IF(COUNT(OFFSET(G1491,1-Settings!$B$11,0,Settings!$B$11,1))&lt;ROUNDUP(Settings!$B$11*Settings!$B$26,0),NA(),STDEV(OFFSET(G1491,1-Settings!$B$11,0,Settings!$B$11,1))*SQRT(Settings!$B$13)))</f>
        <v/>
      </c>
      <c r="K1491" s="20">
        <f>IF(OR(NOT(ISNUMBER($A1491)),ROW()-2&lt;Settings!$B$12),NA(),IF(COUNT(OFFSET(G1491,1-Settings!$B$12,0,Settings!$B$12,1))&lt;ROUNDUP(Settings!$B$12*Settings!$B$26,0),NA(),STDEV(OFFSET(G1491,1-Settings!$B$12,0,Settings!$B$12,1))*SQRT(Settings!$B$13)))</f>
        <v/>
      </c>
      <c r="L1491" s="20">
        <f>IF(AND(ISNUMBER(D1491),ISNUMBER(H1491)),D1491-H1491,NA())</f>
        <v/>
      </c>
      <c r="M1491" s="20">
        <f>IF(AND(ISNUMBER(E1491),ISNUMBER(K1491)),E1491-K1491,NA())</f>
        <v/>
      </c>
      <c r="N1491" s="20">
        <f>IF(NOT(ISNUMBER($A1491)),NA(),IF(COUNT(OFFSET(G1491,1,0,Settings!$B$12,1))&lt;ROUNDUP(Settings!$B$12*Settings!$B$26,0),NA(),STDEV(OFFSET(G1491,1,0,Settings!$B$12,1))*SQRT(Settings!$B$13)))</f>
        <v/>
      </c>
      <c r="O1491" s="20">
        <f>IF(AND(ISNUMBER(E1491),ISNUMBER(N1491)),E1491-N1491,NA())</f>
        <v/>
      </c>
      <c r="P1491" s="19">
        <f>IF(NOT(ISNUMBER($A1491)),NA(),IF(OR($A1491&lt;MIN(KW_TP!$A$2:$A$2501),$A1491&gt;MAX(KW_TP!$A$2:$A$2501)),NA(),INDEX(KW_TP!$C$2:$C$2501,MATCH($A1491,KW_TP!$A$2:$A$2501,1))))</f>
        <v/>
      </c>
      <c r="Q1491" s="18">
        <f>IF(NOT(ISNUMBER($A1491)),NA(),IFERROR(1*INDEX(BBG_Data!$J$2:$J$4000,MATCH($A1491,BBG_Data!$I$2:$I$4000,0)),NA()))</f>
        <v/>
      </c>
      <c r="R1491" s="18">
        <f>IF(NOT(ISNUMBER($A1491)),NA(),IFERROR(1*INDEX(BBG_Data!$L$2:$L$4000,MATCH($A1491,BBG_Data!$K$2:$K$4000,0)),NA()))</f>
        <v/>
      </c>
      <c r="S1491" s="20">
        <f>IF(AND(ISNUMBER(B1491),ISNUMBER(Q1491),ISNUMBER(R1491)),(B1491-Q1491-R1491)*100,NA())</f>
        <v/>
      </c>
      <c r="T1491" s="20">
        <f>IF(AND(ISNUMBER(B1491),Settings!$B$17&gt;0),IF(ISNUMBER(INDEX($B:$B,Settings!$B$17)),(B1491-INDEX($B:$B,Settings!$B$17))*100,NA()),NA())</f>
        <v/>
      </c>
      <c r="U1491" s="20">
        <f>IF(AND(ISNUMBER(Q1491),Settings!$B$17&gt;0),IF(ISNUMBER(INDEX($Q:$Q,Settings!$B$17)),(Q1491-INDEX($Q:$Q,Settings!$B$17))*100,NA()),NA())</f>
        <v/>
      </c>
      <c r="V1491" s="20">
        <f>IF(AND(ISNUMBER(R1491),Settings!$B$17&gt;0),IF(ISNUMBER(INDEX($R:$R,Settings!$B$17)),(R1491-INDEX($R:$R,Settings!$B$17))*100,NA()),NA())</f>
        <v/>
      </c>
      <c r="W1491" s="20">
        <f>IF(AND(ISNUMBER(P1491),Settings!$B$17&gt;0),IF(ISNUMBER(INDEX($P:$P,Settings!$B$17)),P1491-INDEX($P:$P,Settings!$B$17),NA()),NA())</f>
        <v/>
      </c>
      <c r="X1491" s="19">
        <f>IF(NOT(ISNUMBER($A1491)),NA(),IF(OR($A1491&lt;MIN(DKW_10Y!$A$2:$A$2918),$A1491&gt;MAX(DKW_10Y!$A$2:$A$2918),Settings!$B$16&lt;MIN(DKW_10Y!$A$2:$A$2918)),NA(),(INDEX(DKW_10Y!$B$2:$B$2918,MATCH($A1491,DKW_10Y!$A$2:$A$2918,1))-INDEX(DKW_10Y!$B$2:$B$2918,MATCH(Settings!$B$16,DKW_10Y!$A$2:$A$2918,1)))*100))</f>
        <v/>
      </c>
      <c r="Y1491" s="19">
        <f>IF(NOT(ISNUMBER($A1491)),NA(),IF(OR($A1491&lt;MIN(DKW_10Y!$A$2:$A$2918),$A1491&gt;MAX(DKW_10Y!$A$2:$A$2918),Settings!$B$16&lt;MIN(DKW_10Y!$A$2:$A$2918)),NA(),(INDEX(DKW_10Y!$C$2:$C$2918,MATCH($A1491,DKW_10Y!$A$2:$A$2918,1))-INDEX(DKW_10Y!$C$2:$C$2918,MATCH(Settings!$B$16,DKW_10Y!$A$2:$A$2918,1)))*100))</f>
        <v/>
      </c>
      <c r="Z1491" s="19">
        <f>IF(NOT(ISNUMBER($A1491)),NA(),IF(OR($A1491&lt;MIN(DKW_10Y!$A$2:$A$2918),$A1491&gt;MAX(DKW_10Y!$A$2:$A$2918),Settings!$B$16&lt;MIN(DKW_10Y!$A$2:$A$2918)),NA(),(INDEX(DKW_10Y!$D$2:$D$2918,MATCH($A1491,DKW_10Y!$A$2:$A$2918,1))-INDEX(DKW_10Y!$D$2:$D$2918,MATCH(Settings!$B$16,DKW_10Y!$A$2:$A$2918,1)))*100))</f>
        <v/>
      </c>
      <c r="AA1491" s="19">
        <f>IF(NOT(ISNUMBER($A1491)),NA(),IF(OR($A1491&lt;MIN(DKW_10Y!$A$2:$A$2918),$A1491&gt;MAX(DKW_10Y!$A$2:$A$2918),Settings!$B$16&lt;MIN(DKW_10Y!$A$2:$A$2918)),NA(),(INDEX(DKW_10Y!$E$2:$E$2918,MATCH($A1491,DKW_10Y!$A$2:$A$2918,1))-INDEX(DKW_10Y!$E$2:$E$2918,MATCH(Settings!$B$16,DKW_10Y!$A$2:$A$2918,1)))*100))</f>
        <v/>
      </c>
      <c r="AB1491" s="19">
        <f>IF(NOT(ISNUMBER($A1491)),NA(),IF(OR($A1491&lt;MIN(DKW_10Y!$A$2:$A$2918),$A1491&gt;MAX(DKW_10Y!$A$2:$A$2918),Settings!$B$16&lt;MIN(DKW_10Y!$A$2:$A$2918)),NA(),(INDEX(DKW_10Y!$H$2:$H$2918,MATCH($A1491,DKW_10Y!$A$2:$A$2918,1))-INDEX(DKW_10Y!$H$2:$H$2918,MATCH(Settings!$B$16,DKW_10Y!$A$2:$A$2918,1)))*100))</f>
        <v/>
      </c>
      <c r="AC1491" s="18">
        <f>IF(NOT(ISNUMBER($A1491)),NA(),IFERROR(1*INDEX(BBG_Data!$N$2:$N$4000,MATCH($A1491,BBG_Data!$M$2:$M$4000,0)),NA()))</f>
        <v/>
      </c>
      <c r="AD1491" s="18">
        <f>IF(NOT(ISNUMBER($A1491)),NA(),IFERROR(1*INDEX(BBG_Data!$P$2:$P$4000,MATCH($A1491,BBG_Data!$O$2:$O$4000,0)),NA()))</f>
        <v/>
      </c>
      <c r="AE1491" s="18">
        <f>IF(NOT(ISNUMBER($A1491)),NA(),IFERROR(1*INDEX(BBG_Data!$R$2:$R$4000,MATCH($A1491,BBG_Data!$Q$2:$Q$4000,0)),NA()))</f>
        <v/>
      </c>
      <c r="AF1491" s="20">
        <f>IF(AND(ISNUMBER(B1491),ISNUMBER(AC1491)),(B1491-AC1491)*100,NA())</f>
        <v/>
      </c>
      <c r="AG1491" s="20">
        <f>IF(AND(ISNUMBER(AE1491),ISNUMBER(AD1491)),(AE1491-AD1491)*100,NA())</f>
        <v/>
      </c>
      <c r="AH1491" s="19">
        <f>IF(NOT(ISNUMBER($A1491)),NA(),IFERROR(INDEX(BBG_Data!$T$2:$T$4000,MATCH($A1491,BBG_Data!$S$2:$S$4000,0))*Settings!$B$25,NA()))</f>
        <v/>
      </c>
      <c r="AI1491" s="19">
        <f>IF(NOT(ISNUMBER($A1491)),NA(),IFERROR(INDEX(BBG_Data!$V$2:$V$4000,MATCH($A1491,BBG_Data!$U$2:$U$4000,0))*Settings!$B$25,NA()))</f>
        <v/>
      </c>
      <c r="AJ1491" s="19">
        <f>IF(NOT(ISNUMBER($A1491)),NA(),IFERROR(1*INDEX(BBG_Data!$X$2:$X$4000,MATCH($A1491,BBG_Data!$W$2:$W$4000,0)),NA()))</f>
        <v/>
      </c>
      <c r="AK1491" s="19">
        <f>IF(NOT(ISNUMBER($A1491)),NA(),IFERROR(1*INDEX(BBG_Data!$Z$2:$Z$4000,MATCH($A1491,BBG_Data!$Y$2:$Y$4000,0)),NA()))</f>
        <v/>
      </c>
    </row>
    <row r="1492">
      <c r="A1492" s="17">
        <f>IF(ISNUMBER(BBG_Data!A1492),BBG_Data!A1492,"")</f>
        <v/>
      </c>
      <c r="B1492" s="18">
        <f>IF(AND(ISNUMBER($A1492),ISNUMBER(BBG_Data!B1492)),BBG_Data!B1492,NA())</f>
        <v/>
      </c>
      <c r="C1492" s="18">
        <f>IF(NOT(ISNUMBER($A1492)),NA(),IFERROR(1*INDEX(BBG_Data!$D$2:$D$4000,MATCH($A1492,BBG_Data!$C$2:$C$4000,0)),NA()))</f>
        <v/>
      </c>
      <c r="D1492" s="19">
        <f>IF(NOT(ISNUMBER($A1492)),NA(),IFERROR(1*INDEX(BBG_Data!$F$2:$F$4000,MATCH($A1492,BBG_Data!$E$2:$E$4000,0)),NA()))</f>
        <v/>
      </c>
      <c r="E1492" s="19">
        <f>IF(NOT(ISNUMBER($A1492)),NA(),IFERROR(1*INDEX(BBG_Data!$H$2:$H$4000,MATCH($A1492,BBG_Data!$G$2:$G$4000,0)),NA()))</f>
        <v/>
      </c>
      <c r="F1492" s="20">
        <f>IF(AND(ISNUMBER(B1492),ISNUMBER(B1491)),IF(B1492=B1491,"",(B1492-B1491)*100),"")</f>
        <v/>
      </c>
      <c r="G1492" s="20">
        <f>IF(AND(ISNUMBER(C1492),ISNUMBER(C1491)),IF(C1492=C1491,"",(C1492-C1491)*100),"")</f>
        <v/>
      </c>
      <c r="H1492" s="20">
        <f>IF(OR(NOT(ISNUMBER($A1492)),ROW()-2&lt;Settings!$B$11),NA(),IF(COUNT(OFFSET(F1492,1-Settings!$B$11,0,Settings!$B$11,1))&lt;ROUNDUP(Settings!$B$11*Settings!$B$26,0),NA(),STDEV(OFFSET(F1492,1-Settings!$B$11,0,Settings!$B$11,1))*SQRT(Settings!$B$13)))</f>
        <v/>
      </c>
      <c r="I1492" s="20">
        <f>IF(OR(NOT(ISNUMBER($A1492)),ROW()-2&lt;Settings!$B$12),NA(),IF(COUNT(OFFSET(F1492,1-Settings!$B$12,0,Settings!$B$12,1))&lt;ROUNDUP(Settings!$B$12*Settings!$B$26,0),NA(),STDEV(OFFSET(F1492,1-Settings!$B$12,0,Settings!$B$12,1))*SQRT(Settings!$B$13)))</f>
        <v/>
      </c>
      <c r="J1492" s="20">
        <f>IF(OR(NOT(ISNUMBER($A1492)),ROW()-2&lt;Settings!$B$11),NA(),IF(COUNT(OFFSET(G1492,1-Settings!$B$11,0,Settings!$B$11,1))&lt;ROUNDUP(Settings!$B$11*Settings!$B$26,0),NA(),STDEV(OFFSET(G1492,1-Settings!$B$11,0,Settings!$B$11,1))*SQRT(Settings!$B$13)))</f>
        <v/>
      </c>
      <c r="K1492" s="20">
        <f>IF(OR(NOT(ISNUMBER($A1492)),ROW()-2&lt;Settings!$B$12),NA(),IF(COUNT(OFFSET(G1492,1-Settings!$B$12,0,Settings!$B$12,1))&lt;ROUNDUP(Settings!$B$12*Settings!$B$26,0),NA(),STDEV(OFFSET(G1492,1-Settings!$B$12,0,Settings!$B$12,1))*SQRT(Settings!$B$13)))</f>
        <v/>
      </c>
      <c r="L1492" s="20">
        <f>IF(AND(ISNUMBER(D1492),ISNUMBER(H1492)),D1492-H1492,NA())</f>
        <v/>
      </c>
      <c r="M1492" s="20">
        <f>IF(AND(ISNUMBER(E1492),ISNUMBER(K1492)),E1492-K1492,NA())</f>
        <v/>
      </c>
      <c r="N1492" s="20">
        <f>IF(NOT(ISNUMBER($A1492)),NA(),IF(COUNT(OFFSET(G1492,1,0,Settings!$B$12,1))&lt;ROUNDUP(Settings!$B$12*Settings!$B$26,0),NA(),STDEV(OFFSET(G1492,1,0,Settings!$B$12,1))*SQRT(Settings!$B$13)))</f>
        <v/>
      </c>
      <c r="O1492" s="20">
        <f>IF(AND(ISNUMBER(E1492),ISNUMBER(N1492)),E1492-N1492,NA())</f>
        <v/>
      </c>
      <c r="P1492" s="19">
        <f>IF(NOT(ISNUMBER($A1492)),NA(),IF(OR($A1492&lt;MIN(KW_TP!$A$2:$A$2501),$A1492&gt;MAX(KW_TP!$A$2:$A$2501)),NA(),INDEX(KW_TP!$C$2:$C$2501,MATCH($A1492,KW_TP!$A$2:$A$2501,1))))</f>
        <v/>
      </c>
      <c r="Q1492" s="18">
        <f>IF(NOT(ISNUMBER($A1492)),NA(),IFERROR(1*INDEX(BBG_Data!$J$2:$J$4000,MATCH($A1492,BBG_Data!$I$2:$I$4000,0)),NA()))</f>
        <v/>
      </c>
      <c r="R1492" s="18">
        <f>IF(NOT(ISNUMBER($A1492)),NA(),IFERROR(1*INDEX(BBG_Data!$L$2:$L$4000,MATCH($A1492,BBG_Data!$K$2:$K$4000,0)),NA()))</f>
        <v/>
      </c>
      <c r="S1492" s="20">
        <f>IF(AND(ISNUMBER(B1492),ISNUMBER(Q1492),ISNUMBER(R1492)),(B1492-Q1492-R1492)*100,NA())</f>
        <v/>
      </c>
      <c r="T1492" s="20">
        <f>IF(AND(ISNUMBER(B1492),Settings!$B$17&gt;0),IF(ISNUMBER(INDEX($B:$B,Settings!$B$17)),(B1492-INDEX($B:$B,Settings!$B$17))*100,NA()),NA())</f>
        <v/>
      </c>
      <c r="U1492" s="20">
        <f>IF(AND(ISNUMBER(Q1492),Settings!$B$17&gt;0),IF(ISNUMBER(INDEX($Q:$Q,Settings!$B$17)),(Q1492-INDEX($Q:$Q,Settings!$B$17))*100,NA()),NA())</f>
        <v/>
      </c>
      <c r="V1492" s="20">
        <f>IF(AND(ISNUMBER(R1492),Settings!$B$17&gt;0),IF(ISNUMBER(INDEX($R:$R,Settings!$B$17)),(R1492-INDEX($R:$R,Settings!$B$17))*100,NA()),NA())</f>
        <v/>
      </c>
      <c r="W1492" s="20">
        <f>IF(AND(ISNUMBER(P1492),Settings!$B$17&gt;0),IF(ISNUMBER(INDEX($P:$P,Settings!$B$17)),P1492-INDEX($P:$P,Settings!$B$17),NA()),NA())</f>
        <v/>
      </c>
      <c r="X1492" s="19">
        <f>IF(NOT(ISNUMBER($A1492)),NA(),IF(OR($A1492&lt;MIN(DKW_10Y!$A$2:$A$2918),$A1492&gt;MAX(DKW_10Y!$A$2:$A$2918),Settings!$B$16&lt;MIN(DKW_10Y!$A$2:$A$2918)),NA(),(INDEX(DKW_10Y!$B$2:$B$2918,MATCH($A1492,DKW_10Y!$A$2:$A$2918,1))-INDEX(DKW_10Y!$B$2:$B$2918,MATCH(Settings!$B$16,DKW_10Y!$A$2:$A$2918,1)))*100))</f>
        <v/>
      </c>
      <c r="Y1492" s="19">
        <f>IF(NOT(ISNUMBER($A1492)),NA(),IF(OR($A1492&lt;MIN(DKW_10Y!$A$2:$A$2918),$A1492&gt;MAX(DKW_10Y!$A$2:$A$2918),Settings!$B$16&lt;MIN(DKW_10Y!$A$2:$A$2918)),NA(),(INDEX(DKW_10Y!$C$2:$C$2918,MATCH($A1492,DKW_10Y!$A$2:$A$2918,1))-INDEX(DKW_10Y!$C$2:$C$2918,MATCH(Settings!$B$16,DKW_10Y!$A$2:$A$2918,1)))*100))</f>
        <v/>
      </c>
      <c r="Z1492" s="19">
        <f>IF(NOT(ISNUMBER($A1492)),NA(),IF(OR($A1492&lt;MIN(DKW_10Y!$A$2:$A$2918),$A1492&gt;MAX(DKW_10Y!$A$2:$A$2918),Settings!$B$16&lt;MIN(DKW_10Y!$A$2:$A$2918)),NA(),(INDEX(DKW_10Y!$D$2:$D$2918,MATCH($A1492,DKW_10Y!$A$2:$A$2918,1))-INDEX(DKW_10Y!$D$2:$D$2918,MATCH(Settings!$B$16,DKW_10Y!$A$2:$A$2918,1)))*100))</f>
        <v/>
      </c>
      <c r="AA1492" s="19">
        <f>IF(NOT(ISNUMBER($A1492)),NA(),IF(OR($A1492&lt;MIN(DKW_10Y!$A$2:$A$2918),$A1492&gt;MAX(DKW_10Y!$A$2:$A$2918),Settings!$B$16&lt;MIN(DKW_10Y!$A$2:$A$2918)),NA(),(INDEX(DKW_10Y!$E$2:$E$2918,MATCH($A1492,DKW_10Y!$A$2:$A$2918,1))-INDEX(DKW_10Y!$E$2:$E$2918,MATCH(Settings!$B$16,DKW_10Y!$A$2:$A$2918,1)))*100))</f>
        <v/>
      </c>
      <c r="AB1492" s="19">
        <f>IF(NOT(ISNUMBER($A1492)),NA(),IF(OR($A1492&lt;MIN(DKW_10Y!$A$2:$A$2918),$A1492&gt;MAX(DKW_10Y!$A$2:$A$2918),Settings!$B$16&lt;MIN(DKW_10Y!$A$2:$A$2918)),NA(),(INDEX(DKW_10Y!$H$2:$H$2918,MATCH($A1492,DKW_10Y!$A$2:$A$2918,1))-INDEX(DKW_10Y!$H$2:$H$2918,MATCH(Settings!$B$16,DKW_10Y!$A$2:$A$2918,1)))*100))</f>
        <v/>
      </c>
      <c r="AC1492" s="18">
        <f>IF(NOT(ISNUMBER($A1492)),NA(),IFERROR(1*INDEX(BBG_Data!$N$2:$N$4000,MATCH($A1492,BBG_Data!$M$2:$M$4000,0)),NA()))</f>
        <v/>
      </c>
      <c r="AD1492" s="18">
        <f>IF(NOT(ISNUMBER($A1492)),NA(),IFERROR(1*INDEX(BBG_Data!$P$2:$P$4000,MATCH($A1492,BBG_Data!$O$2:$O$4000,0)),NA()))</f>
        <v/>
      </c>
      <c r="AE1492" s="18">
        <f>IF(NOT(ISNUMBER($A1492)),NA(),IFERROR(1*INDEX(BBG_Data!$R$2:$R$4000,MATCH($A1492,BBG_Data!$Q$2:$Q$4000,0)),NA()))</f>
        <v/>
      </c>
      <c r="AF1492" s="20">
        <f>IF(AND(ISNUMBER(B1492),ISNUMBER(AC1492)),(B1492-AC1492)*100,NA())</f>
        <v/>
      </c>
      <c r="AG1492" s="20">
        <f>IF(AND(ISNUMBER(AE1492),ISNUMBER(AD1492)),(AE1492-AD1492)*100,NA())</f>
        <v/>
      </c>
      <c r="AH1492" s="19">
        <f>IF(NOT(ISNUMBER($A1492)),NA(),IFERROR(INDEX(BBG_Data!$T$2:$T$4000,MATCH($A1492,BBG_Data!$S$2:$S$4000,0))*Settings!$B$25,NA()))</f>
        <v/>
      </c>
      <c r="AI1492" s="19">
        <f>IF(NOT(ISNUMBER($A1492)),NA(),IFERROR(INDEX(BBG_Data!$V$2:$V$4000,MATCH($A1492,BBG_Data!$U$2:$U$4000,0))*Settings!$B$25,NA()))</f>
        <v/>
      </c>
      <c r="AJ1492" s="19">
        <f>IF(NOT(ISNUMBER($A1492)),NA(),IFERROR(1*INDEX(BBG_Data!$X$2:$X$4000,MATCH($A1492,BBG_Data!$W$2:$W$4000,0)),NA()))</f>
        <v/>
      </c>
      <c r="AK1492" s="19">
        <f>IF(NOT(ISNUMBER($A1492)),NA(),IFERROR(1*INDEX(BBG_Data!$Z$2:$Z$4000,MATCH($A1492,BBG_Data!$Y$2:$Y$4000,0)),NA()))</f>
        <v/>
      </c>
    </row>
    <row r="1493">
      <c r="A1493" s="17">
        <f>IF(ISNUMBER(BBG_Data!A1493),BBG_Data!A1493,"")</f>
        <v/>
      </c>
      <c r="B1493" s="18">
        <f>IF(AND(ISNUMBER($A1493),ISNUMBER(BBG_Data!B1493)),BBG_Data!B1493,NA())</f>
        <v/>
      </c>
      <c r="C1493" s="18">
        <f>IF(NOT(ISNUMBER($A1493)),NA(),IFERROR(1*INDEX(BBG_Data!$D$2:$D$4000,MATCH($A1493,BBG_Data!$C$2:$C$4000,0)),NA()))</f>
        <v/>
      </c>
      <c r="D1493" s="19">
        <f>IF(NOT(ISNUMBER($A1493)),NA(),IFERROR(1*INDEX(BBG_Data!$F$2:$F$4000,MATCH($A1493,BBG_Data!$E$2:$E$4000,0)),NA()))</f>
        <v/>
      </c>
      <c r="E1493" s="19">
        <f>IF(NOT(ISNUMBER($A1493)),NA(),IFERROR(1*INDEX(BBG_Data!$H$2:$H$4000,MATCH($A1493,BBG_Data!$G$2:$G$4000,0)),NA()))</f>
        <v/>
      </c>
      <c r="F1493" s="20">
        <f>IF(AND(ISNUMBER(B1493),ISNUMBER(B1492)),IF(B1493=B1492,"",(B1493-B1492)*100),"")</f>
        <v/>
      </c>
      <c r="G1493" s="20">
        <f>IF(AND(ISNUMBER(C1493),ISNUMBER(C1492)),IF(C1493=C1492,"",(C1493-C1492)*100),"")</f>
        <v/>
      </c>
      <c r="H1493" s="20">
        <f>IF(OR(NOT(ISNUMBER($A1493)),ROW()-2&lt;Settings!$B$11),NA(),IF(COUNT(OFFSET(F1493,1-Settings!$B$11,0,Settings!$B$11,1))&lt;ROUNDUP(Settings!$B$11*Settings!$B$26,0),NA(),STDEV(OFFSET(F1493,1-Settings!$B$11,0,Settings!$B$11,1))*SQRT(Settings!$B$13)))</f>
        <v/>
      </c>
      <c r="I1493" s="20">
        <f>IF(OR(NOT(ISNUMBER($A1493)),ROW()-2&lt;Settings!$B$12),NA(),IF(COUNT(OFFSET(F1493,1-Settings!$B$12,0,Settings!$B$12,1))&lt;ROUNDUP(Settings!$B$12*Settings!$B$26,0),NA(),STDEV(OFFSET(F1493,1-Settings!$B$12,0,Settings!$B$12,1))*SQRT(Settings!$B$13)))</f>
        <v/>
      </c>
      <c r="J1493" s="20">
        <f>IF(OR(NOT(ISNUMBER($A1493)),ROW()-2&lt;Settings!$B$11),NA(),IF(COUNT(OFFSET(G1493,1-Settings!$B$11,0,Settings!$B$11,1))&lt;ROUNDUP(Settings!$B$11*Settings!$B$26,0),NA(),STDEV(OFFSET(G1493,1-Settings!$B$11,0,Settings!$B$11,1))*SQRT(Settings!$B$13)))</f>
        <v/>
      </c>
      <c r="K1493" s="20">
        <f>IF(OR(NOT(ISNUMBER($A1493)),ROW()-2&lt;Settings!$B$12),NA(),IF(COUNT(OFFSET(G1493,1-Settings!$B$12,0,Settings!$B$12,1))&lt;ROUNDUP(Settings!$B$12*Settings!$B$26,0),NA(),STDEV(OFFSET(G1493,1-Settings!$B$12,0,Settings!$B$12,1))*SQRT(Settings!$B$13)))</f>
        <v/>
      </c>
      <c r="L1493" s="20">
        <f>IF(AND(ISNUMBER(D1493),ISNUMBER(H1493)),D1493-H1493,NA())</f>
        <v/>
      </c>
      <c r="M1493" s="20">
        <f>IF(AND(ISNUMBER(E1493),ISNUMBER(K1493)),E1493-K1493,NA())</f>
        <v/>
      </c>
      <c r="N1493" s="20">
        <f>IF(NOT(ISNUMBER($A1493)),NA(),IF(COUNT(OFFSET(G1493,1,0,Settings!$B$12,1))&lt;ROUNDUP(Settings!$B$12*Settings!$B$26,0),NA(),STDEV(OFFSET(G1493,1,0,Settings!$B$12,1))*SQRT(Settings!$B$13)))</f>
        <v/>
      </c>
      <c r="O1493" s="20">
        <f>IF(AND(ISNUMBER(E1493),ISNUMBER(N1493)),E1493-N1493,NA())</f>
        <v/>
      </c>
      <c r="P1493" s="19">
        <f>IF(NOT(ISNUMBER($A1493)),NA(),IF(OR($A1493&lt;MIN(KW_TP!$A$2:$A$2501),$A1493&gt;MAX(KW_TP!$A$2:$A$2501)),NA(),INDEX(KW_TP!$C$2:$C$2501,MATCH($A1493,KW_TP!$A$2:$A$2501,1))))</f>
        <v/>
      </c>
      <c r="Q1493" s="18">
        <f>IF(NOT(ISNUMBER($A1493)),NA(),IFERROR(1*INDEX(BBG_Data!$J$2:$J$4000,MATCH($A1493,BBG_Data!$I$2:$I$4000,0)),NA()))</f>
        <v/>
      </c>
      <c r="R1493" s="18">
        <f>IF(NOT(ISNUMBER($A1493)),NA(),IFERROR(1*INDEX(BBG_Data!$L$2:$L$4000,MATCH($A1493,BBG_Data!$K$2:$K$4000,0)),NA()))</f>
        <v/>
      </c>
      <c r="S1493" s="20">
        <f>IF(AND(ISNUMBER(B1493),ISNUMBER(Q1493),ISNUMBER(R1493)),(B1493-Q1493-R1493)*100,NA())</f>
        <v/>
      </c>
      <c r="T1493" s="20">
        <f>IF(AND(ISNUMBER(B1493),Settings!$B$17&gt;0),IF(ISNUMBER(INDEX($B:$B,Settings!$B$17)),(B1493-INDEX($B:$B,Settings!$B$17))*100,NA()),NA())</f>
        <v/>
      </c>
      <c r="U1493" s="20">
        <f>IF(AND(ISNUMBER(Q1493),Settings!$B$17&gt;0),IF(ISNUMBER(INDEX($Q:$Q,Settings!$B$17)),(Q1493-INDEX($Q:$Q,Settings!$B$17))*100,NA()),NA())</f>
        <v/>
      </c>
      <c r="V1493" s="20">
        <f>IF(AND(ISNUMBER(R1493),Settings!$B$17&gt;0),IF(ISNUMBER(INDEX($R:$R,Settings!$B$17)),(R1493-INDEX($R:$R,Settings!$B$17))*100,NA()),NA())</f>
        <v/>
      </c>
      <c r="W1493" s="20">
        <f>IF(AND(ISNUMBER(P1493),Settings!$B$17&gt;0),IF(ISNUMBER(INDEX($P:$P,Settings!$B$17)),P1493-INDEX($P:$P,Settings!$B$17),NA()),NA())</f>
        <v/>
      </c>
      <c r="X1493" s="19">
        <f>IF(NOT(ISNUMBER($A1493)),NA(),IF(OR($A1493&lt;MIN(DKW_10Y!$A$2:$A$2918),$A1493&gt;MAX(DKW_10Y!$A$2:$A$2918),Settings!$B$16&lt;MIN(DKW_10Y!$A$2:$A$2918)),NA(),(INDEX(DKW_10Y!$B$2:$B$2918,MATCH($A1493,DKW_10Y!$A$2:$A$2918,1))-INDEX(DKW_10Y!$B$2:$B$2918,MATCH(Settings!$B$16,DKW_10Y!$A$2:$A$2918,1)))*100))</f>
        <v/>
      </c>
      <c r="Y1493" s="19">
        <f>IF(NOT(ISNUMBER($A1493)),NA(),IF(OR($A1493&lt;MIN(DKW_10Y!$A$2:$A$2918),$A1493&gt;MAX(DKW_10Y!$A$2:$A$2918),Settings!$B$16&lt;MIN(DKW_10Y!$A$2:$A$2918)),NA(),(INDEX(DKW_10Y!$C$2:$C$2918,MATCH($A1493,DKW_10Y!$A$2:$A$2918,1))-INDEX(DKW_10Y!$C$2:$C$2918,MATCH(Settings!$B$16,DKW_10Y!$A$2:$A$2918,1)))*100))</f>
        <v/>
      </c>
      <c r="Z1493" s="19">
        <f>IF(NOT(ISNUMBER($A1493)),NA(),IF(OR($A1493&lt;MIN(DKW_10Y!$A$2:$A$2918),$A1493&gt;MAX(DKW_10Y!$A$2:$A$2918),Settings!$B$16&lt;MIN(DKW_10Y!$A$2:$A$2918)),NA(),(INDEX(DKW_10Y!$D$2:$D$2918,MATCH($A1493,DKW_10Y!$A$2:$A$2918,1))-INDEX(DKW_10Y!$D$2:$D$2918,MATCH(Settings!$B$16,DKW_10Y!$A$2:$A$2918,1)))*100))</f>
        <v/>
      </c>
      <c r="AA1493" s="19">
        <f>IF(NOT(ISNUMBER($A1493)),NA(),IF(OR($A1493&lt;MIN(DKW_10Y!$A$2:$A$2918),$A1493&gt;MAX(DKW_10Y!$A$2:$A$2918),Settings!$B$16&lt;MIN(DKW_10Y!$A$2:$A$2918)),NA(),(INDEX(DKW_10Y!$E$2:$E$2918,MATCH($A1493,DKW_10Y!$A$2:$A$2918,1))-INDEX(DKW_10Y!$E$2:$E$2918,MATCH(Settings!$B$16,DKW_10Y!$A$2:$A$2918,1)))*100))</f>
        <v/>
      </c>
      <c r="AB1493" s="19">
        <f>IF(NOT(ISNUMBER($A1493)),NA(),IF(OR($A1493&lt;MIN(DKW_10Y!$A$2:$A$2918),$A1493&gt;MAX(DKW_10Y!$A$2:$A$2918),Settings!$B$16&lt;MIN(DKW_10Y!$A$2:$A$2918)),NA(),(INDEX(DKW_10Y!$H$2:$H$2918,MATCH($A1493,DKW_10Y!$A$2:$A$2918,1))-INDEX(DKW_10Y!$H$2:$H$2918,MATCH(Settings!$B$16,DKW_10Y!$A$2:$A$2918,1)))*100))</f>
        <v/>
      </c>
      <c r="AC1493" s="18">
        <f>IF(NOT(ISNUMBER($A1493)),NA(),IFERROR(1*INDEX(BBG_Data!$N$2:$N$4000,MATCH($A1493,BBG_Data!$M$2:$M$4000,0)),NA()))</f>
        <v/>
      </c>
      <c r="AD1493" s="18">
        <f>IF(NOT(ISNUMBER($A1493)),NA(),IFERROR(1*INDEX(BBG_Data!$P$2:$P$4000,MATCH($A1493,BBG_Data!$O$2:$O$4000,0)),NA()))</f>
        <v/>
      </c>
      <c r="AE1493" s="18">
        <f>IF(NOT(ISNUMBER($A1493)),NA(),IFERROR(1*INDEX(BBG_Data!$R$2:$R$4000,MATCH($A1493,BBG_Data!$Q$2:$Q$4000,0)),NA()))</f>
        <v/>
      </c>
      <c r="AF1493" s="20">
        <f>IF(AND(ISNUMBER(B1493),ISNUMBER(AC1493)),(B1493-AC1493)*100,NA())</f>
        <v/>
      </c>
      <c r="AG1493" s="20">
        <f>IF(AND(ISNUMBER(AE1493),ISNUMBER(AD1493)),(AE1493-AD1493)*100,NA())</f>
        <v/>
      </c>
      <c r="AH1493" s="19">
        <f>IF(NOT(ISNUMBER($A1493)),NA(),IFERROR(INDEX(BBG_Data!$T$2:$T$4000,MATCH($A1493,BBG_Data!$S$2:$S$4000,0))*Settings!$B$25,NA()))</f>
        <v/>
      </c>
      <c r="AI1493" s="19">
        <f>IF(NOT(ISNUMBER($A1493)),NA(),IFERROR(INDEX(BBG_Data!$V$2:$V$4000,MATCH($A1493,BBG_Data!$U$2:$U$4000,0))*Settings!$B$25,NA()))</f>
        <v/>
      </c>
      <c r="AJ1493" s="19">
        <f>IF(NOT(ISNUMBER($A1493)),NA(),IFERROR(1*INDEX(BBG_Data!$X$2:$X$4000,MATCH($A1493,BBG_Data!$W$2:$W$4000,0)),NA()))</f>
        <v/>
      </c>
      <c r="AK1493" s="19">
        <f>IF(NOT(ISNUMBER($A1493)),NA(),IFERROR(1*INDEX(BBG_Data!$Z$2:$Z$4000,MATCH($A1493,BBG_Data!$Y$2:$Y$4000,0)),NA()))</f>
        <v/>
      </c>
    </row>
    <row r="1494">
      <c r="A1494" s="17">
        <f>IF(ISNUMBER(BBG_Data!A1494),BBG_Data!A1494,"")</f>
        <v/>
      </c>
      <c r="B1494" s="18">
        <f>IF(AND(ISNUMBER($A1494),ISNUMBER(BBG_Data!B1494)),BBG_Data!B1494,NA())</f>
        <v/>
      </c>
      <c r="C1494" s="18">
        <f>IF(NOT(ISNUMBER($A1494)),NA(),IFERROR(1*INDEX(BBG_Data!$D$2:$D$4000,MATCH($A1494,BBG_Data!$C$2:$C$4000,0)),NA()))</f>
        <v/>
      </c>
      <c r="D1494" s="19">
        <f>IF(NOT(ISNUMBER($A1494)),NA(),IFERROR(1*INDEX(BBG_Data!$F$2:$F$4000,MATCH($A1494,BBG_Data!$E$2:$E$4000,0)),NA()))</f>
        <v/>
      </c>
      <c r="E1494" s="19">
        <f>IF(NOT(ISNUMBER($A1494)),NA(),IFERROR(1*INDEX(BBG_Data!$H$2:$H$4000,MATCH($A1494,BBG_Data!$G$2:$G$4000,0)),NA()))</f>
        <v/>
      </c>
      <c r="F1494" s="20">
        <f>IF(AND(ISNUMBER(B1494),ISNUMBER(B1493)),IF(B1494=B1493,"",(B1494-B1493)*100),"")</f>
        <v/>
      </c>
      <c r="G1494" s="20">
        <f>IF(AND(ISNUMBER(C1494),ISNUMBER(C1493)),IF(C1494=C1493,"",(C1494-C1493)*100),"")</f>
        <v/>
      </c>
      <c r="H1494" s="20">
        <f>IF(OR(NOT(ISNUMBER($A1494)),ROW()-2&lt;Settings!$B$11),NA(),IF(COUNT(OFFSET(F1494,1-Settings!$B$11,0,Settings!$B$11,1))&lt;ROUNDUP(Settings!$B$11*Settings!$B$26,0),NA(),STDEV(OFFSET(F1494,1-Settings!$B$11,0,Settings!$B$11,1))*SQRT(Settings!$B$13)))</f>
        <v/>
      </c>
      <c r="I1494" s="20">
        <f>IF(OR(NOT(ISNUMBER($A1494)),ROW()-2&lt;Settings!$B$12),NA(),IF(COUNT(OFFSET(F1494,1-Settings!$B$12,0,Settings!$B$12,1))&lt;ROUNDUP(Settings!$B$12*Settings!$B$26,0),NA(),STDEV(OFFSET(F1494,1-Settings!$B$12,0,Settings!$B$12,1))*SQRT(Settings!$B$13)))</f>
        <v/>
      </c>
      <c r="J1494" s="20">
        <f>IF(OR(NOT(ISNUMBER($A1494)),ROW()-2&lt;Settings!$B$11),NA(),IF(COUNT(OFFSET(G1494,1-Settings!$B$11,0,Settings!$B$11,1))&lt;ROUNDUP(Settings!$B$11*Settings!$B$26,0),NA(),STDEV(OFFSET(G1494,1-Settings!$B$11,0,Settings!$B$11,1))*SQRT(Settings!$B$13)))</f>
        <v/>
      </c>
      <c r="K1494" s="20">
        <f>IF(OR(NOT(ISNUMBER($A1494)),ROW()-2&lt;Settings!$B$12),NA(),IF(COUNT(OFFSET(G1494,1-Settings!$B$12,0,Settings!$B$12,1))&lt;ROUNDUP(Settings!$B$12*Settings!$B$26,0),NA(),STDEV(OFFSET(G1494,1-Settings!$B$12,0,Settings!$B$12,1))*SQRT(Settings!$B$13)))</f>
        <v/>
      </c>
      <c r="L1494" s="20">
        <f>IF(AND(ISNUMBER(D1494),ISNUMBER(H1494)),D1494-H1494,NA())</f>
        <v/>
      </c>
      <c r="M1494" s="20">
        <f>IF(AND(ISNUMBER(E1494),ISNUMBER(K1494)),E1494-K1494,NA())</f>
        <v/>
      </c>
      <c r="N1494" s="20">
        <f>IF(NOT(ISNUMBER($A1494)),NA(),IF(COUNT(OFFSET(G1494,1,0,Settings!$B$12,1))&lt;ROUNDUP(Settings!$B$12*Settings!$B$26,0),NA(),STDEV(OFFSET(G1494,1,0,Settings!$B$12,1))*SQRT(Settings!$B$13)))</f>
        <v/>
      </c>
      <c r="O1494" s="20">
        <f>IF(AND(ISNUMBER(E1494),ISNUMBER(N1494)),E1494-N1494,NA())</f>
        <v/>
      </c>
      <c r="P1494" s="19">
        <f>IF(NOT(ISNUMBER($A1494)),NA(),IF(OR($A1494&lt;MIN(KW_TP!$A$2:$A$2501),$A1494&gt;MAX(KW_TP!$A$2:$A$2501)),NA(),INDEX(KW_TP!$C$2:$C$2501,MATCH($A1494,KW_TP!$A$2:$A$2501,1))))</f>
        <v/>
      </c>
      <c r="Q1494" s="18">
        <f>IF(NOT(ISNUMBER($A1494)),NA(),IFERROR(1*INDEX(BBG_Data!$J$2:$J$4000,MATCH($A1494,BBG_Data!$I$2:$I$4000,0)),NA()))</f>
        <v/>
      </c>
      <c r="R1494" s="18">
        <f>IF(NOT(ISNUMBER($A1494)),NA(),IFERROR(1*INDEX(BBG_Data!$L$2:$L$4000,MATCH($A1494,BBG_Data!$K$2:$K$4000,0)),NA()))</f>
        <v/>
      </c>
      <c r="S1494" s="20">
        <f>IF(AND(ISNUMBER(B1494),ISNUMBER(Q1494),ISNUMBER(R1494)),(B1494-Q1494-R1494)*100,NA())</f>
        <v/>
      </c>
      <c r="T1494" s="20">
        <f>IF(AND(ISNUMBER(B1494),Settings!$B$17&gt;0),IF(ISNUMBER(INDEX($B:$B,Settings!$B$17)),(B1494-INDEX($B:$B,Settings!$B$17))*100,NA()),NA())</f>
        <v/>
      </c>
      <c r="U1494" s="20">
        <f>IF(AND(ISNUMBER(Q1494),Settings!$B$17&gt;0),IF(ISNUMBER(INDEX($Q:$Q,Settings!$B$17)),(Q1494-INDEX($Q:$Q,Settings!$B$17))*100,NA()),NA())</f>
        <v/>
      </c>
      <c r="V1494" s="20">
        <f>IF(AND(ISNUMBER(R1494),Settings!$B$17&gt;0),IF(ISNUMBER(INDEX($R:$R,Settings!$B$17)),(R1494-INDEX($R:$R,Settings!$B$17))*100,NA()),NA())</f>
        <v/>
      </c>
      <c r="W1494" s="20">
        <f>IF(AND(ISNUMBER(P1494),Settings!$B$17&gt;0),IF(ISNUMBER(INDEX($P:$P,Settings!$B$17)),P1494-INDEX($P:$P,Settings!$B$17),NA()),NA())</f>
        <v/>
      </c>
      <c r="X1494" s="19">
        <f>IF(NOT(ISNUMBER($A1494)),NA(),IF(OR($A1494&lt;MIN(DKW_10Y!$A$2:$A$2918),$A1494&gt;MAX(DKW_10Y!$A$2:$A$2918),Settings!$B$16&lt;MIN(DKW_10Y!$A$2:$A$2918)),NA(),(INDEX(DKW_10Y!$B$2:$B$2918,MATCH($A1494,DKW_10Y!$A$2:$A$2918,1))-INDEX(DKW_10Y!$B$2:$B$2918,MATCH(Settings!$B$16,DKW_10Y!$A$2:$A$2918,1)))*100))</f>
        <v/>
      </c>
      <c r="Y1494" s="19">
        <f>IF(NOT(ISNUMBER($A1494)),NA(),IF(OR($A1494&lt;MIN(DKW_10Y!$A$2:$A$2918),$A1494&gt;MAX(DKW_10Y!$A$2:$A$2918),Settings!$B$16&lt;MIN(DKW_10Y!$A$2:$A$2918)),NA(),(INDEX(DKW_10Y!$C$2:$C$2918,MATCH($A1494,DKW_10Y!$A$2:$A$2918,1))-INDEX(DKW_10Y!$C$2:$C$2918,MATCH(Settings!$B$16,DKW_10Y!$A$2:$A$2918,1)))*100))</f>
        <v/>
      </c>
      <c r="Z1494" s="19">
        <f>IF(NOT(ISNUMBER($A1494)),NA(),IF(OR($A1494&lt;MIN(DKW_10Y!$A$2:$A$2918),$A1494&gt;MAX(DKW_10Y!$A$2:$A$2918),Settings!$B$16&lt;MIN(DKW_10Y!$A$2:$A$2918)),NA(),(INDEX(DKW_10Y!$D$2:$D$2918,MATCH($A1494,DKW_10Y!$A$2:$A$2918,1))-INDEX(DKW_10Y!$D$2:$D$2918,MATCH(Settings!$B$16,DKW_10Y!$A$2:$A$2918,1)))*100))</f>
        <v/>
      </c>
      <c r="AA1494" s="19">
        <f>IF(NOT(ISNUMBER($A1494)),NA(),IF(OR($A1494&lt;MIN(DKW_10Y!$A$2:$A$2918),$A1494&gt;MAX(DKW_10Y!$A$2:$A$2918),Settings!$B$16&lt;MIN(DKW_10Y!$A$2:$A$2918)),NA(),(INDEX(DKW_10Y!$E$2:$E$2918,MATCH($A1494,DKW_10Y!$A$2:$A$2918,1))-INDEX(DKW_10Y!$E$2:$E$2918,MATCH(Settings!$B$16,DKW_10Y!$A$2:$A$2918,1)))*100))</f>
        <v/>
      </c>
      <c r="AB1494" s="19">
        <f>IF(NOT(ISNUMBER($A1494)),NA(),IF(OR($A1494&lt;MIN(DKW_10Y!$A$2:$A$2918),$A1494&gt;MAX(DKW_10Y!$A$2:$A$2918),Settings!$B$16&lt;MIN(DKW_10Y!$A$2:$A$2918)),NA(),(INDEX(DKW_10Y!$H$2:$H$2918,MATCH($A1494,DKW_10Y!$A$2:$A$2918,1))-INDEX(DKW_10Y!$H$2:$H$2918,MATCH(Settings!$B$16,DKW_10Y!$A$2:$A$2918,1)))*100))</f>
        <v/>
      </c>
      <c r="AC1494" s="18">
        <f>IF(NOT(ISNUMBER($A1494)),NA(),IFERROR(1*INDEX(BBG_Data!$N$2:$N$4000,MATCH($A1494,BBG_Data!$M$2:$M$4000,0)),NA()))</f>
        <v/>
      </c>
      <c r="AD1494" s="18">
        <f>IF(NOT(ISNUMBER($A1494)),NA(),IFERROR(1*INDEX(BBG_Data!$P$2:$P$4000,MATCH($A1494,BBG_Data!$O$2:$O$4000,0)),NA()))</f>
        <v/>
      </c>
      <c r="AE1494" s="18">
        <f>IF(NOT(ISNUMBER($A1494)),NA(),IFERROR(1*INDEX(BBG_Data!$R$2:$R$4000,MATCH($A1494,BBG_Data!$Q$2:$Q$4000,0)),NA()))</f>
        <v/>
      </c>
      <c r="AF1494" s="20">
        <f>IF(AND(ISNUMBER(B1494),ISNUMBER(AC1494)),(B1494-AC1494)*100,NA())</f>
        <v/>
      </c>
      <c r="AG1494" s="20">
        <f>IF(AND(ISNUMBER(AE1494),ISNUMBER(AD1494)),(AE1494-AD1494)*100,NA())</f>
        <v/>
      </c>
      <c r="AH1494" s="19">
        <f>IF(NOT(ISNUMBER($A1494)),NA(),IFERROR(INDEX(BBG_Data!$T$2:$T$4000,MATCH($A1494,BBG_Data!$S$2:$S$4000,0))*Settings!$B$25,NA()))</f>
        <v/>
      </c>
      <c r="AI1494" s="19">
        <f>IF(NOT(ISNUMBER($A1494)),NA(),IFERROR(INDEX(BBG_Data!$V$2:$V$4000,MATCH($A1494,BBG_Data!$U$2:$U$4000,0))*Settings!$B$25,NA()))</f>
        <v/>
      </c>
      <c r="AJ1494" s="19">
        <f>IF(NOT(ISNUMBER($A1494)),NA(),IFERROR(1*INDEX(BBG_Data!$X$2:$X$4000,MATCH($A1494,BBG_Data!$W$2:$W$4000,0)),NA()))</f>
        <v/>
      </c>
      <c r="AK1494" s="19">
        <f>IF(NOT(ISNUMBER($A1494)),NA(),IFERROR(1*INDEX(BBG_Data!$Z$2:$Z$4000,MATCH($A1494,BBG_Data!$Y$2:$Y$4000,0)),NA()))</f>
        <v/>
      </c>
    </row>
    <row r="1495">
      <c r="A1495" s="17">
        <f>IF(ISNUMBER(BBG_Data!A1495),BBG_Data!A1495,"")</f>
        <v/>
      </c>
      <c r="B1495" s="18">
        <f>IF(AND(ISNUMBER($A1495),ISNUMBER(BBG_Data!B1495)),BBG_Data!B1495,NA())</f>
        <v/>
      </c>
      <c r="C1495" s="18">
        <f>IF(NOT(ISNUMBER($A1495)),NA(),IFERROR(1*INDEX(BBG_Data!$D$2:$D$4000,MATCH($A1495,BBG_Data!$C$2:$C$4000,0)),NA()))</f>
        <v/>
      </c>
      <c r="D1495" s="19">
        <f>IF(NOT(ISNUMBER($A1495)),NA(),IFERROR(1*INDEX(BBG_Data!$F$2:$F$4000,MATCH($A1495,BBG_Data!$E$2:$E$4000,0)),NA()))</f>
        <v/>
      </c>
      <c r="E1495" s="19">
        <f>IF(NOT(ISNUMBER($A1495)),NA(),IFERROR(1*INDEX(BBG_Data!$H$2:$H$4000,MATCH($A1495,BBG_Data!$G$2:$G$4000,0)),NA()))</f>
        <v/>
      </c>
      <c r="F1495" s="20">
        <f>IF(AND(ISNUMBER(B1495),ISNUMBER(B1494)),IF(B1495=B1494,"",(B1495-B1494)*100),"")</f>
        <v/>
      </c>
      <c r="G1495" s="20">
        <f>IF(AND(ISNUMBER(C1495),ISNUMBER(C1494)),IF(C1495=C1494,"",(C1495-C1494)*100),"")</f>
        <v/>
      </c>
      <c r="H1495" s="20">
        <f>IF(OR(NOT(ISNUMBER($A1495)),ROW()-2&lt;Settings!$B$11),NA(),IF(COUNT(OFFSET(F1495,1-Settings!$B$11,0,Settings!$B$11,1))&lt;ROUNDUP(Settings!$B$11*Settings!$B$26,0),NA(),STDEV(OFFSET(F1495,1-Settings!$B$11,0,Settings!$B$11,1))*SQRT(Settings!$B$13)))</f>
        <v/>
      </c>
      <c r="I1495" s="20">
        <f>IF(OR(NOT(ISNUMBER($A1495)),ROW()-2&lt;Settings!$B$12),NA(),IF(COUNT(OFFSET(F1495,1-Settings!$B$12,0,Settings!$B$12,1))&lt;ROUNDUP(Settings!$B$12*Settings!$B$26,0),NA(),STDEV(OFFSET(F1495,1-Settings!$B$12,0,Settings!$B$12,1))*SQRT(Settings!$B$13)))</f>
        <v/>
      </c>
      <c r="J1495" s="20">
        <f>IF(OR(NOT(ISNUMBER($A1495)),ROW()-2&lt;Settings!$B$11),NA(),IF(COUNT(OFFSET(G1495,1-Settings!$B$11,0,Settings!$B$11,1))&lt;ROUNDUP(Settings!$B$11*Settings!$B$26,0),NA(),STDEV(OFFSET(G1495,1-Settings!$B$11,0,Settings!$B$11,1))*SQRT(Settings!$B$13)))</f>
        <v/>
      </c>
      <c r="K1495" s="20">
        <f>IF(OR(NOT(ISNUMBER($A1495)),ROW()-2&lt;Settings!$B$12),NA(),IF(COUNT(OFFSET(G1495,1-Settings!$B$12,0,Settings!$B$12,1))&lt;ROUNDUP(Settings!$B$12*Settings!$B$26,0),NA(),STDEV(OFFSET(G1495,1-Settings!$B$12,0,Settings!$B$12,1))*SQRT(Settings!$B$13)))</f>
        <v/>
      </c>
      <c r="L1495" s="20">
        <f>IF(AND(ISNUMBER(D1495),ISNUMBER(H1495)),D1495-H1495,NA())</f>
        <v/>
      </c>
      <c r="M1495" s="20">
        <f>IF(AND(ISNUMBER(E1495),ISNUMBER(K1495)),E1495-K1495,NA())</f>
        <v/>
      </c>
      <c r="N1495" s="20">
        <f>IF(NOT(ISNUMBER($A1495)),NA(),IF(COUNT(OFFSET(G1495,1,0,Settings!$B$12,1))&lt;ROUNDUP(Settings!$B$12*Settings!$B$26,0),NA(),STDEV(OFFSET(G1495,1,0,Settings!$B$12,1))*SQRT(Settings!$B$13)))</f>
        <v/>
      </c>
      <c r="O1495" s="20">
        <f>IF(AND(ISNUMBER(E1495),ISNUMBER(N1495)),E1495-N1495,NA())</f>
        <v/>
      </c>
      <c r="P1495" s="19">
        <f>IF(NOT(ISNUMBER($A1495)),NA(),IF(OR($A1495&lt;MIN(KW_TP!$A$2:$A$2501),$A1495&gt;MAX(KW_TP!$A$2:$A$2501)),NA(),INDEX(KW_TP!$C$2:$C$2501,MATCH($A1495,KW_TP!$A$2:$A$2501,1))))</f>
        <v/>
      </c>
      <c r="Q1495" s="18">
        <f>IF(NOT(ISNUMBER($A1495)),NA(),IFERROR(1*INDEX(BBG_Data!$J$2:$J$4000,MATCH($A1495,BBG_Data!$I$2:$I$4000,0)),NA()))</f>
        <v/>
      </c>
      <c r="R1495" s="18">
        <f>IF(NOT(ISNUMBER($A1495)),NA(),IFERROR(1*INDEX(BBG_Data!$L$2:$L$4000,MATCH($A1495,BBG_Data!$K$2:$K$4000,0)),NA()))</f>
        <v/>
      </c>
      <c r="S1495" s="20">
        <f>IF(AND(ISNUMBER(B1495),ISNUMBER(Q1495),ISNUMBER(R1495)),(B1495-Q1495-R1495)*100,NA())</f>
        <v/>
      </c>
      <c r="T1495" s="20">
        <f>IF(AND(ISNUMBER(B1495),Settings!$B$17&gt;0),IF(ISNUMBER(INDEX($B:$B,Settings!$B$17)),(B1495-INDEX($B:$B,Settings!$B$17))*100,NA()),NA())</f>
        <v/>
      </c>
      <c r="U1495" s="20">
        <f>IF(AND(ISNUMBER(Q1495),Settings!$B$17&gt;0),IF(ISNUMBER(INDEX($Q:$Q,Settings!$B$17)),(Q1495-INDEX($Q:$Q,Settings!$B$17))*100,NA()),NA())</f>
        <v/>
      </c>
      <c r="V1495" s="20">
        <f>IF(AND(ISNUMBER(R1495),Settings!$B$17&gt;0),IF(ISNUMBER(INDEX($R:$R,Settings!$B$17)),(R1495-INDEX($R:$R,Settings!$B$17))*100,NA()),NA())</f>
        <v/>
      </c>
      <c r="W1495" s="20">
        <f>IF(AND(ISNUMBER(P1495),Settings!$B$17&gt;0),IF(ISNUMBER(INDEX($P:$P,Settings!$B$17)),P1495-INDEX($P:$P,Settings!$B$17),NA()),NA())</f>
        <v/>
      </c>
      <c r="X1495" s="19">
        <f>IF(NOT(ISNUMBER($A1495)),NA(),IF(OR($A1495&lt;MIN(DKW_10Y!$A$2:$A$2918),$A1495&gt;MAX(DKW_10Y!$A$2:$A$2918),Settings!$B$16&lt;MIN(DKW_10Y!$A$2:$A$2918)),NA(),(INDEX(DKW_10Y!$B$2:$B$2918,MATCH($A1495,DKW_10Y!$A$2:$A$2918,1))-INDEX(DKW_10Y!$B$2:$B$2918,MATCH(Settings!$B$16,DKW_10Y!$A$2:$A$2918,1)))*100))</f>
        <v/>
      </c>
      <c r="Y1495" s="19">
        <f>IF(NOT(ISNUMBER($A1495)),NA(),IF(OR($A1495&lt;MIN(DKW_10Y!$A$2:$A$2918),$A1495&gt;MAX(DKW_10Y!$A$2:$A$2918),Settings!$B$16&lt;MIN(DKW_10Y!$A$2:$A$2918)),NA(),(INDEX(DKW_10Y!$C$2:$C$2918,MATCH($A1495,DKW_10Y!$A$2:$A$2918,1))-INDEX(DKW_10Y!$C$2:$C$2918,MATCH(Settings!$B$16,DKW_10Y!$A$2:$A$2918,1)))*100))</f>
        <v/>
      </c>
      <c r="Z1495" s="19">
        <f>IF(NOT(ISNUMBER($A1495)),NA(),IF(OR($A1495&lt;MIN(DKW_10Y!$A$2:$A$2918),$A1495&gt;MAX(DKW_10Y!$A$2:$A$2918),Settings!$B$16&lt;MIN(DKW_10Y!$A$2:$A$2918)),NA(),(INDEX(DKW_10Y!$D$2:$D$2918,MATCH($A1495,DKW_10Y!$A$2:$A$2918,1))-INDEX(DKW_10Y!$D$2:$D$2918,MATCH(Settings!$B$16,DKW_10Y!$A$2:$A$2918,1)))*100))</f>
        <v/>
      </c>
      <c r="AA1495" s="19">
        <f>IF(NOT(ISNUMBER($A1495)),NA(),IF(OR($A1495&lt;MIN(DKW_10Y!$A$2:$A$2918),$A1495&gt;MAX(DKW_10Y!$A$2:$A$2918),Settings!$B$16&lt;MIN(DKW_10Y!$A$2:$A$2918)),NA(),(INDEX(DKW_10Y!$E$2:$E$2918,MATCH($A1495,DKW_10Y!$A$2:$A$2918,1))-INDEX(DKW_10Y!$E$2:$E$2918,MATCH(Settings!$B$16,DKW_10Y!$A$2:$A$2918,1)))*100))</f>
        <v/>
      </c>
      <c r="AB1495" s="19">
        <f>IF(NOT(ISNUMBER($A1495)),NA(),IF(OR($A1495&lt;MIN(DKW_10Y!$A$2:$A$2918),$A1495&gt;MAX(DKW_10Y!$A$2:$A$2918),Settings!$B$16&lt;MIN(DKW_10Y!$A$2:$A$2918)),NA(),(INDEX(DKW_10Y!$H$2:$H$2918,MATCH($A1495,DKW_10Y!$A$2:$A$2918,1))-INDEX(DKW_10Y!$H$2:$H$2918,MATCH(Settings!$B$16,DKW_10Y!$A$2:$A$2918,1)))*100))</f>
        <v/>
      </c>
      <c r="AC1495" s="18">
        <f>IF(NOT(ISNUMBER($A1495)),NA(),IFERROR(1*INDEX(BBG_Data!$N$2:$N$4000,MATCH($A1495,BBG_Data!$M$2:$M$4000,0)),NA()))</f>
        <v/>
      </c>
      <c r="AD1495" s="18">
        <f>IF(NOT(ISNUMBER($A1495)),NA(),IFERROR(1*INDEX(BBG_Data!$P$2:$P$4000,MATCH($A1495,BBG_Data!$O$2:$O$4000,0)),NA()))</f>
        <v/>
      </c>
      <c r="AE1495" s="18">
        <f>IF(NOT(ISNUMBER($A1495)),NA(),IFERROR(1*INDEX(BBG_Data!$R$2:$R$4000,MATCH($A1495,BBG_Data!$Q$2:$Q$4000,0)),NA()))</f>
        <v/>
      </c>
      <c r="AF1495" s="20">
        <f>IF(AND(ISNUMBER(B1495),ISNUMBER(AC1495)),(B1495-AC1495)*100,NA())</f>
        <v/>
      </c>
      <c r="AG1495" s="20">
        <f>IF(AND(ISNUMBER(AE1495),ISNUMBER(AD1495)),(AE1495-AD1495)*100,NA())</f>
        <v/>
      </c>
      <c r="AH1495" s="19">
        <f>IF(NOT(ISNUMBER($A1495)),NA(),IFERROR(INDEX(BBG_Data!$T$2:$T$4000,MATCH($A1495,BBG_Data!$S$2:$S$4000,0))*Settings!$B$25,NA()))</f>
        <v/>
      </c>
      <c r="AI1495" s="19">
        <f>IF(NOT(ISNUMBER($A1495)),NA(),IFERROR(INDEX(BBG_Data!$V$2:$V$4000,MATCH($A1495,BBG_Data!$U$2:$U$4000,0))*Settings!$B$25,NA()))</f>
        <v/>
      </c>
      <c r="AJ1495" s="19">
        <f>IF(NOT(ISNUMBER($A1495)),NA(),IFERROR(1*INDEX(BBG_Data!$X$2:$X$4000,MATCH($A1495,BBG_Data!$W$2:$W$4000,0)),NA()))</f>
        <v/>
      </c>
      <c r="AK1495" s="19">
        <f>IF(NOT(ISNUMBER($A1495)),NA(),IFERROR(1*INDEX(BBG_Data!$Z$2:$Z$4000,MATCH($A1495,BBG_Data!$Y$2:$Y$4000,0)),NA()))</f>
        <v/>
      </c>
    </row>
    <row r="1496">
      <c r="A1496" s="17">
        <f>IF(ISNUMBER(BBG_Data!A1496),BBG_Data!A1496,"")</f>
        <v/>
      </c>
      <c r="B1496" s="18">
        <f>IF(AND(ISNUMBER($A1496),ISNUMBER(BBG_Data!B1496)),BBG_Data!B1496,NA())</f>
        <v/>
      </c>
      <c r="C1496" s="18">
        <f>IF(NOT(ISNUMBER($A1496)),NA(),IFERROR(1*INDEX(BBG_Data!$D$2:$D$4000,MATCH($A1496,BBG_Data!$C$2:$C$4000,0)),NA()))</f>
        <v/>
      </c>
      <c r="D1496" s="19">
        <f>IF(NOT(ISNUMBER($A1496)),NA(),IFERROR(1*INDEX(BBG_Data!$F$2:$F$4000,MATCH($A1496,BBG_Data!$E$2:$E$4000,0)),NA()))</f>
        <v/>
      </c>
      <c r="E1496" s="19">
        <f>IF(NOT(ISNUMBER($A1496)),NA(),IFERROR(1*INDEX(BBG_Data!$H$2:$H$4000,MATCH($A1496,BBG_Data!$G$2:$G$4000,0)),NA()))</f>
        <v/>
      </c>
      <c r="F1496" s="20">
        <f>IF(AND(ISNUMBER(B1496),ISNUMBER(B1495)),IF(B1496=B1495,"",(B1496-B1495)*100),"")</f>
        <v/>
      </c>
      <c r="G1496" s="20">
        <f>IF(AND(ISNUMBER(C1496),ISNUMBER(C1495)),IF(C1496=C1495,"",(C1496-C1495)*100),"")</f>
        <v/>
      </c>
      <c r="H1496" s="20">
        <f>IF(OR(NOT(ISNUMBER($A1496)),ROW()-2&lt;Settings!$B$11),NA(),IF(COUNT(OFFSET(F1496,1-Settings!$B$11,0,Settings!$B$11,1))&lt;ROUNDUP(Settings!$B$11*Settings!$B$26,0),NA(),STDEV(OFFSET(F1496,1-Settings!$B$11,0,Settings!$B$11,1))*SQRT(Settings!$B$13)))</f>
        <v/>
      </c>
      <c r="I1496" s="20">
        <f>IF(OR(NOT(ISNUMBER($A1496)),ROW()-2&lt;Settings!$B$12),NA(),IF(COUNT(OFFSET(F1496,1-Settings!$B$12,0,Settings!$B$12,1))&lt;ROUNDUP(Settings!$B$12*Settings!$B$26,0),NA(),STDEV(OFFSET(F1496,1-Settings!$B$12,0,Settings!$B$12,1))*SQRT(Settings!$B$13)))</f>
        <v/>
      </c>
      <c r="J1496" s="20">
        <f>IF(OR(NOT(ISNUMBER($A1496)),ROW()-2&lt;Settings!$B$11),NA(),IF(COUNT(OFFSET(G1496,1-Settings!$B$11,0,Settings!$B$11,1))&lt;ROUNDUP(Settings!$B$11*Settings!$B$26,0),NA(),STDEV(OFFSET(G1496,1-Settings!$B$11,0,Settings!$B$11,1))*SQRT(Settings!$B$13)))</f>
        <v/>
      </c>
      <c r="K1496" s="20">
        <f>IF(OR(NOT(ISNUMBER($A1496)),ROW()-2&lt;Settings!$B$12),NA(),IF(COUNT(OFFSET(G1496,1-Settings!$B$12,0,Settings!$B$12,1))&lt;ROUNDUP(Settings!$B$12*Settings!$B$26,0),NA(),STDEV(OFFSET(G1496,1-Settings!$B$12,0,Settings!$B$12,1))*SQRT(Settings!$B$13)))</f>
        <v/>
      </c>
      <c r="L1496" s="20">
        <f>IF(AND(ISNUMBER(D1496),ISNUMBER(H1496)),D1496-H1496,NA())</f>
        <v/>
      </c>
      <c r="M1496" s="20">
        <f>IF(AND(ISNUMBER(E1496),ISNUMBER(K1496)),E1496-K1496,NA())</f>
        <v/>
      </c>
      <c r="N1496" s="20">
        <f>IF(NOT(ISNUMBER($A1496)),NA(),IF(COUNT(OFFSET(G1496,1,0,Settings!$B$12,1))&lt;ROUNDUP(Settings!$B$12*Settings!$B$26,0),NA(),STDEV(OFFSET(G1496,1,0,Settings!$B$12,1))*SQRT(Settings!$B$13)))</f>
        <v/>
      </c>
      <c r="O1496" s="20">
        <f>IF(AND(ISNUMBER(E1496),ISNUMBER(N1496)),E1496-N1496,NA())</f>
        <v/>
      </c>
      <c r="P1496" s="19">
        <f>IF(NOT(ISNUMBER($A1496)),NA(),IF(OR($A1496&lt;MIN(KW_TP!$A$2:$A$2501),$A1496&gt;MAX(KW_TP!$A$2:$A$2501)),NA(),INDEX(KW_TP!$C$2:$C$2501,MATCH($A1496,KW_TP!$A$2:$A$2501,1))))</f>
        <v/>
      </c>
      <c r="Q1496" s="18">
        <f>IF(NOT(ISNUMBER($A1496)),NA(),IFERROR(1*INDEX(BBG_Data!$J$2:$J$4000,MATCH($A1496,BBG_Data!$I$2:$I$4000,0)),NA()))</f>
        <v/>
      </c>
      <c r="R1496" s="18">
        <f>IF(NOT(ISNUMBER($A1496)),NA(),IFERROR(1*INDEX(BBG_Data!$L$2:$L$4000,MATCH($A1496,BBG_Data!$K$2:$K$4000,0)),NA()))</f>
        <v/>
      </c>
      <c r="S1496" s="20">
        <f>IF(AND(ISNUMBER(B1496),ISNUMBER(Q1496),ISNUMBER(R1496)),(B1496-Q1496-R1496)*100,NA())</f>
        <v/>
      </c>
      <c r="T1496" s="20">
        <f>IF(AND(ISNUMBER(B1496),Settings!$B$17&gt;0),IF(ISNUMBER(INDEX($B:$B,Settings!$B$17)),(B1496-INDEX($B:$B,Settings!$B$17))*100,NA()),NA())</f>
        <v/>
      </c>
      <c r="U1496" s="20">
        <f>IF(AND(ISNUMBER(Q1496),Settings!$B$17&gt;0),IF(ISNUMBER(INDEX($Q:$Q,Settings!$B$17)),(Q1496-INDEX($Q:$Q,Settings!$B$17))*100,NA()),NA())</f>
        <v/>
      </c>
      <c r="V1496" s="20">
        <f>IF(AND(ISNUMBER(R1496),Settings!$B$17&gt;0),IF(ISNUMBER(INDEX($R:$R,Settings!$B$17)),(R1496-INDEX($R:$R,Settings!$B$17))*100,NA()),NA())</f>
        <v/>
      </c>
      <c r="W1496" s="20">
        <f>IF(AND(ISNUMBER(P1496),Settings!$B$17&gt;0),IF(ISNUMBER(INDEX($P:$P,Settings!$B$17)),P1496-INDEX($P:$P,Settings!$B$17),NA()),NA())</f>
        <v/>
      </c>
      <c r="X1496" s="19">
        <f>IF(NOT(ISNUMBER($A1496)),NA(),IF(OR($A1496&lt;MIN(DKW_10Y!$A$2:$A$2918),$A1496&gt;MAX(DKW_10Y!$A$2:$A$2918),Settings!$B$16&lt;MIN(DKW_10Y!$A$2:$A$2918)),NA(),(INDEX(DKW_10Y!$B$2:$B$2918,MATCH($A1496,DKW_10Y!$A$2:$A$2918,1))-INDEX(DKW_10Y!$B$2:$B$2918,MATCH(Settings!$B$16,DKW_10Y!$A$2:$A$2918,1)))*100))</f>
        <v/>
      </c>
      <c r="Y1496" s="19">
        <f>IF(NOT(ISNUMBER($A1496)),NA(),IF(OR($A1496&lt;MIN(DKW_10Y!$A$2:$A$2918),$A1496&gt;MAX(DKW_10Y!$A$2:$A$2918),Settings!$B$16&lt;MIN(DKW_10Y!$A$2:$A$2918)),NA(),(INDEX(DKW_10Y!$C$2:$C$2918,MATCH($A1496,DKW_10Y!$A$2:$A$2918,1))-INDEX(DKW_10Y!$C$2:$C$2918,MATCH(Settings!$B$16,DKW_10Y!$A$2:$A$2918,1)))*100))</f>
        <v/>
      </c>
      <c r="Z1496" s="19">
        <f>IF(NOT(ISNUMBER($A1496)),NA(),IF(OR($A1496&lt;MIN(DKW_10Y!$A$2:$A$2918),$A1496&gt;MAX(DKW_10Y!$A$2:$A$2918),Settings!$B$16&lt;MIN(DKW_10Y!$A$2:$A$2918)),NA(),(INDEX(DKW_10Y!$D$2:$D$2918,MATCH($A1496,DKW_10Y!$A$2:$A$2918,1))-INDEX(DKW_10Y!$D$2:$D$2918,MATCH(Settings!$B$16,DKW_10Y!$A$2:$A$2918,1)))*100))</f>
        <v/>
      </c>
      <c r="AA1496" s="19">
        <f>IF(NOT(ISNUMBER($A1496)),NA(),IF(OR($A1496&lt;MIN(DKW_10Y!$A$2:$A$2918),$A1496&gt;MAX(DKW_10Y!$A$2:$A$2918),Settings!$B$16&lt;MIN(DKW_10Y!$A$2:$A$2918)),NA(),(INDEX(DKW_10Y!$E$2:$E$2918,MATCH($A1496,DKW_10Y!$A$2:$A$2918,1))-INDEX(DKW_10Y!$E$2:$E$2918,MATCH(Settings!$B$16,DKW_10Y!$A$2:$A$2918,1)))*100))</f>
        <v/>
      </c>
      <c r="AB1496" s="19">
        <f>IF(NOT(ISNUMBER($A1496)),NA(),IF(OR($A1496&lt;MIN(DKW_10Y!$A$2:$A$2918),$A1496&gt;MAX(DKW_10Y!$A$2:$A$2918),Settings!$B$16&lt;MIN(DKW_10Y!$A$2:$A$2918)),NA(),(INDEX(DKW_10Y!$H$2:$H$2918,MATCH($A1496,DKW_10Y!$A$2:$A$2918,1))-INDEX(DKW_10Y!$H$2:$H$2918,MATCH(Settings!$B$16,DKW_10Y!$A$2:$A$2918,1)))*100))</f>
        <v/>
      </c>
      <c r="AC1496" s="18">
        <f>IF(NOT(ISNUMBER($A1496)),NA(),IFERROR(1*INDEX(BBG_Data!$N$2:$N$4000,MATCH($A1496,BBG_Data!$M$2:$M$4000,0)),NA()))</f>
        <v/>
      </c>
      <c r="AD1496" s="18">
        <f>IF(NOT(ISNUMBER($A1496)),NA(),IFERROR(1*INDEX(BBG_Data!$P$2:$P$4000,MATCH($A1496,BBG_Data!$O$2:$O$4000,0)),NA()))</f>
        <v/>
      </c>
      <c r="AE1496" s="18">
        <f>IF(NOT(ISNUMBER($A1496)),NA(),IFERROR(1*INDEX(BBG_Data!$R$2:$R$4000,MATCH($A1496,BBG_Data!$Q$2:$Q$4000,0)),NA()))</f>
        <v/>
      </c>
      <c r="AF1496" s="20">
        <f>IF(AND(ISNUMBER(B1496),ISNUMBER(AC1496)),(B1496-AC1496)*100,NA())</f>
        <v/>
      </c>
      <c r="AG1496" s="20">
        <f>IF(AND(ISNUMBER(AE1496),ISNUMBER(AD1496)),(AE1496-AD1496)*100,NA())</f>
        <v/>
      </c>
      <c r="AH1496" s="19">
        <f>IF(NOT(ISNUMBER($A1496)),NA(),IFERROR(INDEX(BBG_Data!$T$2:$T$4000,MATCH($A1496,BBG_Data!$S$2:$S$4000,0))*Settings!$B$25,NA()))</f>
        <v/>
      </c>
      <c r="AI1496" s="19">
        <f>IF(NOT(ISNUMBER($A1496)),NA(),IFERROR(INDEX(BBG_Data!$V$2:$V$4000,MATCH($A1496,BBG_Data!$U$2:$U$4000,0))*Settings!$B$25,NA()))</f>
        <v/>
      </c>
      <c r="AJ1496" s="19">
        <f>IF(NOT(ISNUMBER($A1496)),NA(),IFERROR(1*INDEX(BBG_Data!$X$2:$X$4000,MATCH($A1496,BBG_Data!$W$2:$W$4000,0)),NA()))</f>
        <v/>
      </c>
      <c r="AK1496" s="19">
        <f>IF(NOT(ISNUMBER($A1496)),NA(),IFERROR(1*INDEX(BBG_Data!$Z$2:$Z$4000,MATCH($A1496,BBG_Data!$Y$2:$Y$4000,0)),NA()))</f>
        <v/>
      </c>
    </row>
    <row r="1497">
      <c r="A1497" s="17">
        <f>IF(ISNUMBER(BBG_Data!A1497),BBG_Data!A1497,"")</f>
        <v/>
      </c>
      <c r="B1497" s="18">
        <f>IF(AND(ISNUMBER($A1497),ISNUMBER(BBG_Data!B1497)),BBG_Data!B1497,NA())</f>
        <v/>
      </c>
      <c r="C1497" s="18">
        <f>IF(NOT(ISNUMBER($A1497)),NA(),IFERROR(1*INDEX(BBG_Data!$D$2:$D$4000,MATCH($A1497,BBG_Data!$C$2:$C$4000,0)),NA()))</f>
        <v/>
      </c>
      <c r="D1497" s="19">
        <f>IF(NOT(ISNUMBER($A1497)),NA(),IFERROR(1*INDEX(BBG_Data!$F$2:$F$4000,MATCH($A1497,BBG_Data!$E$2:$E$4000,0)),NA()))</f>
        <v/>
      </c>
      <c r="E1497" s="19">
        <f>IF(NOT(ISNUMBER($A1497)),NA(),IFERROR(1*INDEX(BBG_Data!$H$2:$H$4000,MATCH($A1497,BBG_Data!$G$2:$G$4000,0)),NA()))</f>
        <v/>
      </c>
      <c r="F1497" s="20">
        <f>IF(AND(ISNUMBER(B1497),ISNUMBER(B1496)),IF(B1497=B1496,"",(B1497-B1496)*100),"")</f>
        <v/>
      </c>
      <c r="G1497" s="20">
        <f>IF(AND(ISNUMBER(C1497),ISNUMBER(C1496)),IF(C1497=C1496,"",(C1497-C1496)*100),"")</f>
        <v/>
      </c>
      <c r="H1497" s="20">
        <f>IF(OR(NOT(ISNUMBER($A1497)),ROW()-2&lt;Settings!$B$11),NA(),IF(COUNT(OFFSET(F1497,1-Settings!$B$11,0,Settings!$B$11,1))&lt;ROUNDUP(Settings!$B$11*Settings!$B$26,0),NA(),STDEV(OFFSET(F1497,1-Settings!$B$11,0,Settings!$B$11,1))*SQRT(Settings!$B$13)))</f>
        <v/>
      </c>
      <c r="I1497" s="20">
        <f>IF(OR(NOT(ISNUMBER($A1497)),ROW()-2&lt;Settings!$B$12),NA(),IF(COUNT(OFFSET(F1497,1-Settings!$B$12,0,Settings!$B$12,1))&lt;ROUNDUP(Settings!$B$12*Settings!$B$26,0),NA(),STDEV(OFFSET(F1497,1-Settings!$B$12,0,Settings!$B$12,1))*SQRT(Settings!$B$13)))</f>
        <v/>
      </c>
      <c r="J1497" s="20">
        <f>IF(OR(NOT(ISNUMBER($A1497)),ROW()-2&lt;Settings!$B$11),NA(),IF(COUNT(OFFSET(G1497,1-Settings!$B$11,0,Settings!$B$11,1))&lt;ROUNDUP(Settings!$B$11*Settings!$B$26,0),NA(),STDEV(OFFSET(G1497,1-Settings!$B$11,0,Settings!$B$11,1))*SQRT(Settings!$B$13)))</f>
        <v/>
      </c>
      <c r="K1497" s="20">
        <f>IF(OR(NOT(ISNUMBER($A1497)),ROW()-2&lt;Settings!$B$12),NA(),IF(COUNT(OFFSET(G1497,1-Settings!$B$12,0,Settings!$B$12,1))&lt;ROUNDUP(Settings!$B$12*Settings!$B$26,0),NA(),STDEV(OFFSET(G1497,1-Settings!$B$12,0,Settings!$B$12,1))*SQRT(Settings!$B$13)))</f>
        <v/>
      </c>
      <c r="L1497" s="20">
        <f>IF(AND(ISNUMBER(D1497),ISNUMBER(H1497)),D1497-H1497,NA())</f>
        <v/>
      </c>
      <c r="M1497" s="20">
        <f>IF(AND(ISNUMBER(E1497),ISNUMBER(K1497)),E1497-K1497,NA())</f>
        <v/>
      </c>
      <c r="N1497" s="20">
        <f>IF(NOT(ISNUMBER($A1497)),NA(),IF(COUNT(OFFSET(G1497,1,0,Settings!$B$12,1))&lt;ROUNDUP(Settings!$B$12*Settings!$B$26,0),NA(),STDEV(OFFSET(G1497,1,0,Settings!$B$12,1))*SQRT(Settings!$B$13)))</f>
        <v/>
      </c>
      <c r="O1497" s="20">
        <f>IF(AND(ISNUMBER(E1497),ISNUMBER(N1497)),E1497-N1497,NA())</f>
        <v/>
      </c>
      <c r="P1497" s="19">
        <f>IF(NOT(ISNUMBER($A1497)),NA(),IF(OR($A1497&lt;MIN(KW_TP!$A$2:$A$2501),$A1497&gt;MAX(KW_TP!$A$2:$A$2501)),NA(),INDEX(KW_TP!$C$2:$C$2501,MATCH($A1497,KW_TP!$A$2:$A$2501,1))))</f>
        <v/>
      </c>
      <c r="Q1497" s="18">
        <f>IF(NOT(ISNUMBER($A1497)),NA(),IFERROR(1*INDEX(BBG_Data!$J$2:$J$4000,MATCH($A1497,BBG_Data!$I$2:$I$4000,0)),NA()))</f>
        <v/>
      </c>
      <c r="R1497" s="18">
        <f>IF(NOT(ISNUMBER($A1497)),NA(),IFERROR(1*INDEX(BBG_Data!$L$2:$L$4000,MATCH($A1497,BBG_Data!$K$2:$K$4000,0)),NA()))</f>
        <v/>
      </c>
      <c r="S1497" s="20">
        <f>IF(AND(ISNUMBER(B1497),ISNUMBER(Q1497),ISNUMBER(R1497)),(B1497-Q1497-R1497)*100,NA())</f>
        <v/>
      </c>
      <c r="T1497" s="20">
        <f>IF(AND(ISNUMBER(B1497),Settings!$B$17&gt;0),IF(ISNUMBER(INDEX($B:$B,Settings!$B$17)),(B1497-INDEX($B:$B,Settings!$B$17))*100,NA()),NA())</f>
        <v/>
      </c>
      <c r="U1497" s="20">
        <f>IF(AND(ISNUMBER(Q1497),Settings!$B$17&gt;0),IF(ISNUMBER(INDEX($Q:$Q,Settings!$B$17)),(Q1497-INDEX($Q:$Q,Settings!$B$17))*100,NA()),NA())</f>
        <v/>
      </c>
      <c r="V1497" s="20">
        <f>IF(AND(ISNUMBER(R1497),Settings!$B$17&gt;0),IF(ISNUMBER(INDEX($R:$R,Settings!$B$17)),(R1497-INDEX($R:$R,Settings!$B$17))*100,NA()),NA())</f>
        <v/>
      </c>
      <c r="W1497" s="20">
        <f>IF(AND(ISNUMBER(P1497),Settings!$B$17&gt;0),IF(ISNUMBER(INDEX($P:$P,Settings!$B$17)),P1497-INDEX($P:$P,Settings!$B$17),NA()),NA())</f>
        <v/>
      </c>
      <c r="X1497" s="19">
        <f>IF(NOT(ISNUMBER($A1497)),NA(),IF(OR($A1497&lt;MIN(DKW_10Y!$A$2:$A$2918),$A1497&gt;MAX(DKW_10Y!$A$2:$A$2918),Settings!$B$16&lt;MIN(DKW_10Y!$A$2:$A$2918)),NA(),(INDEX(DKW_10Y!$B$2:$B$2918,MATCH($A1497,DKW_10Y!$A$2:$A$2918,1))-INDEX(DKW_10Y!$B$2:$B$2918,MATCH(Settings!$B$16,DKW_10Y!$A$2:$A$2918,1)))*100))</f>
        <v/>
      </c>
      <c r="Y1497" s="19">
        <f>IF(NOT(ISNUMBER($A1497)),NA(),IF(OR($A1497&lt;MIN(DKW_10Y!$A$2:$A$2918),$A1497&gt;MAX(DKW_10Y!$A$2:$A$2918),Settings!$B$16&lt;MIN(DKW_10Y!$A$2:$A$2918)),NA(),(INDEX(DKW_10Y!$C$2:$C$2918,MATCH($A1497,DKW_10Y!$A$2:$A$2918,1))-INDEX(DKW_10Y!$C$2:$C$2918,MATCH(Settings!$B$16,DKW_10Y!$A$2:$A$2918,1)))*100))</f>
        <v/>
      </c>
      <c r="Z1497" s="19">
        <f>IF(NOT(ISNUMBER($A1497)),NA(),IF(OR($A1497&lt;MIN(DKW_10Y!$A$2:$A$2918),$A1497&gt;MAX(DKW_10Y!$A$2:$A$2918),Settings!$B$16&lt;MIN(DKW_10Y!$A$2:$A$2918)),NA(),(INDEX(DKW_10Y!$D$2:$D$2918,MATCH($A1497,DKW_10Y!$A$2:$A$2918,1))-INDEX(DKW_10Y!$D$2:$D$2918,MATCH(Settings!$B$16,DKW_10Y!$A$2:$A$2918,1)))*100))</f>
        <v/>
      </c>
      <c r="AA1497" s="19">
        <f>IF(NOT(ISNUMBER($A1497)),NA(),IF(OR($A1497&lt;MIN(DKW_10Y!$A$2:$A$2918),$A1497&gt;MAX(DKW_10Y!$A$2:$A$2918),Settings!$B$16&lt;MIN(DKW_10Y!$A$2:$A$2918)),NA(),(INDEX(DKW_10Y!$E$2:$E$2918,MATCH($A1497,DKW_10Y!$A$2:$A$2918,1))-INDEX(DKW_10Y!$E$2:$E$2918,MATCH(Settings!$B$16,DKW_10Y!$A$2:$A$2918,1)))*100))</f>
        <v/>
      </c>
      <c r="AB1497" s="19">
        <f>IF(NOT(ISNUMBER($A1497)),NA(),IF(OR($A1497&lt;MIN(DKW_10Y!$A$2:$A$2918),$A1497&gt;MAX(DKW_10Y!$A$2:$A$2918),Settings!$B$16&lt;MIN(DKW_10Y!$A$2:$A$2918)),NA(),(INDEX(DKW_10Y!$H$2:$H$2918,MATCH($A1497,DKW_10Y!$A$2:$A$2918,1))-INDEX(DKW_10Y!$H$2:$H$2918,MATCH(Settings!$B$16,DKW_10Y!$A$2:$A$2918,1)))*100))</f>
        <v/>
      </c>
      <c r="AC1497" s="18">
        <f>IF(NOT(ISNUMBER($A1497)),NA(),IFERROR(1*INDEX(BBG_Data!$N$2:$N$4000,MATCH($A1497,BBG_Data!$M$2:$M$4000,0)),NA()))</f>
        <v/>
      </c>
      <c r="AD1497" s="18">
        <f>IF(NOT(ISNUMBER($A1497)),NA(),IFERROR(1*INDEX(BBG_Data!$P$2:$P$4000,MATCH($A1497,BBG_Data!$O$2:$O$4000,0)),NA()))</f>
        <v/>
      </c>
      <c r="AE1497" s="18">
        <f>IF(NOT(ISNUMBER($A1497)),NA(),IFERROR(1*INDEX(BBG_Data!$R$2:$R$4000,MATCH($A1497,BBG_Data!$Q$2:$Q$4000,0)),NA()))</f>
        <v/>
      </c>
      <c r="AF1497" s="20">
        <f>IF(AND(ISNUMBER(B1497),ISNUMBER(AC1497)),(B1497-AC1497)*100,NA())</f>
        <v/>
      </c>
      <c r="AG1497" s="20">
        <f>IF(AND(ISNUMBER(AE1497),ISNUMBER(AD1497)),(AE1497-AD1497)*100,NA())</f>
        <v/>
      </c>
      <c r="AH1497" s="19">
        <f>IF(NOT(ISNUMBER($A1497)),NA(),IFERROR(INDEX(BBG_Data!$T$2:$T$4000,MATCH($A1497,BBG_Data!$S$2:$S$4000,0))*Settings!$B$25,NA()))</f>
        <v/>
      </c>
      <c r="AI1497" s="19">
        <f>IF(NOT(ISNUMBER($A1497)),NA(),IFERROR(INDEX(BBG_Data!$V$2:$V$4000,MATCH($A1497,BBG_Data!$U$2:$U$4000,0))*Settings!$B$25,NA()))</f>
        <v/>
      </c>
      <c r="AJ1497" s="19">
        <f>IF(NOT(ISNUMBER($A1497)),NA(),IFERROR(1*INDEX(BBG_Data!$X$2:$X$4000,MATCH($A1497,BBG_Data!$W$2:$W$4000,0)),NA()))</f>
        <v/>
      </c>
      <c r="AK1497" s="19">
        <f>IF(NOT(ISNUMBER($A1497)),NA(),IFERROR(1*INDEX(BBG_Data!$Z$2:$Z$4000,MATCH($A1497,BBG_Data!$Y$2:$Y$4000,0)),NA()))</f>
        <v/>
      </c>
    </row>
    <row r="1498">
      <c r="A1498" s="17">
        <f>IF(ISNUMBER(BBG_Data!A1498),BBG_Data!A1498,"")</f>
        <v/>
      </c>
      <c r="B1498" s="18">
        <f>IF(AND(ISNUMBER($A1498),ISNUMBER(BBG_Data!B1498)),BBG_Data!B1498,NA())</f>
        <v/>
      </c>
      <c r="C1498" s="18">
        <f>IF(NOT(ISNUMBER($A1498)),NA(),IFERROR(1*INDEX(BBG_Data!$D$2:$D$4000,MATCH($A1498,BBG_Data!$C$2:$C$4000,0)),NA()))</f>
        <v/>
      </c>
      <c r="D1498" s="19">
        <f>IF(NOT(ISNUMBER($A1498)),NA(),IFERROR(1*INDEX(BBG_Data!$F$2:$F$4000,MATCH($A1498,BBG_Data!$E$2:$E$4000,0)),NA()))</f>
        <v/>
      </c>
      <c r="E1498" s="19">
        <f>IF(NOT(ISNUMBER($A1498)),NA(),IFERROR(1*INDEX(BBG_Data!$H$2:$H$4000,MATCH($A1498,BBG_Data!$G$2:$G$4000,0)),NA()))</f>
        <v/>
      </c>
      <c r="F1498" s="20">
        <f>IF(AND(ISNUMBER(B1498),ISNUMBER(B1497)),IF(B1498=B1497,"",(B1498-B1497)*100),"")</f>
        <v/>
      </c>
      <c r="G1498" s="20">
        <f>IF(AND(ISNUMBER(C1498),ISNUMBER(C1497)),IF(C1498=C1497,"",(C1498-C1497)*100),"")</f>
        <v/>
      </c>
      <c r="H1498" s="20">
        <f>IF(OR(NOT(ISNUMBER($A1498)),ROW()-2&lt;Settings!$B$11),NA(),IF(COUNT(OFFSET(F1498,1-Settings!$B$11,0,Settings!$B$11,1))&lt;ROUNDUP(Settings!$B$11*Settings!$B$26,0),NA(),STDEV(OFFSET(F1498,1-Settings!$B$11,0,Settings!$B$11,1))*SQRT(Settings!$B$13)))</f>
        <v/>
      </c>
      <c r="I1498" s="20">
        <f>IF(OR(NOT(ISNUMBER($A1498)),ROW()-2&lt;Settings!$B$12),NA(),IF(COUNT(OFFSET(F1498,1-Settings!$B$12,0,Settings!$B$12,1))&lt;ROUNDUP(Settings!$B$12*Settings!$B$26,0),NA(),STDEV(OFFSET(F1498,1-Settings!$B$12,0,Settings!$B$12,1))*SQRT(Settings!$B$13)))</f>
        <v/>
      </c>
      <c r="J1498" s="20">
        <f>IF(OR(NOT(ISNUMBER($A1498)),ROW()-2&lt;Settings!$B$11),NA(),IF(COUNT(OFFSET(G1498,1-Settings!$B$11,0,Settings!$B$11,1))&lt;ROUNDUP(Settings!$B$11*Settings!$B$26,0),NA(),STDEV(OFFSET(G1498,1-Settings!$B$11,0,Settings!$B$11,1))*SQRT(Settings!$B$13)))</f>
        <v/>
      </c>
      <c r="K1498" s="20">
        <f>IF(OR(NOT(ISNUMBER($A1498)),ROW()-2&lt;Settings!$B$12),NA(),IF(COUNT(OFFSET(G1498,1-Settings!$B$12,0,Settings!$B$12,1))&lt;ROUNDUP(Settings!$B$12*Settings!$B$26,0),NA(),STDEV(OFFSET(G1498,1-Settings!$B$12,0,Settings!$B$12,1))*SQRT(Settings!$B$13)))</f>
        <v/>
      </c>
      <c r="L1498" s="20">
        <f>IF(AND(ISNUMBER(D1498),ISNUMBER(H1498)),D1498-H1498,NA())</f>
        <v/>
      </c>
      <c r="M1498" s="20">
        <f>IF(AND(ISNUMBER(E1498),ISNUMBER(K1498)),E1498-K1498,NA())</f>
        <v/>
      </c>
      <c r="N1498" s="20">
        <f>IF(NOT(ISNUMBER($A1498)),NA(),IF(COUNT(OFFSET(G1498,1,0,Settings!$B$12,1))&lt;ROUNDUP(Settings!$B$12*Settings!$B$26,0),NA(),STDEV(OFFSET(G1498,1,0,Settings!$B$12,1))*SQRT(Settings!$B$13)))</f>
        <v/>
      </c>
      <c r="O1498" s="20">
        <f>IF(AND(ISNUMBER(E1498),ISNUMBER(N1498)),E1498-N1498,NA())</f>
        <v/>
      </c>
      <c r="P1498" s="19">
        <f>IF(NOT(ISNUMBER($A1498)),NA(),IF(OR($A1498&lt;MIN(KW_TP!$A$2:$A$2501),$A1498&gt;MAX(KW_TP!$A$2:$A$2501)),NA(),INDEX(KW_TP!$C$2:$C$2501,MATCH($A1498,KW_TP!$A$2:$A$2501,1))))</f>
        <v/>
      </c>
      <c r="Q1498" s="18">
        <f>IF(NOT(ISNUMBER($A1498)),NA(),IFERROR(1*INDEX(BBG_Data!$J$2:$J$4000,MATCH($A1498,BBG_Data!$I$2:$I$4000,0)),NA()))</f>
        <v/>
      </c>
      <c r="R1498" s="18">
        <f>IF(NOT(ISNUMBER($A1498)),NA(),IFERROR(1*INDEX(BBG_Data!$L$2:$L$4000,MATCH($A1498,BBG_Data!$K$2:$K$4000,0)),NA()))</f>
        <v/>
      </c>
      <c r="S1498" s="20">
        <f>IF(AND(ISNUMBER(B1498),ISNUMBER(Q1498),ISNUMBER(R1498)),(B1498-Q1498-R1498)*100,NA())</f>
        <v/>
      </c>
      <c r="T1498" s="20">
        <f>IF(AND(ISNUMBER(B1498),Settings!$B$17&gt;0),IF(ISNUMBER(INDEX($B:$B,Settings!$B$17)),(B1498-INDEX($B:$B,Settings!$B$17))*100,NA()),NA())</f>
        <v/>
      </c>
      <c r="U1498" s="20">
        <f>IF(AND(ISNUMBER(Q1498),Settings!$B$17&gt;0),IF(ISNUMBER(INDEX($Q:$Q,Settings!$B$17)),(Q1498-INDEX($Q:$Q,Settings!$B$17))*100,NA()),NA())</f>
        <v/>
      </c>
      <c r="V1498" s="20">
        <f>IF(AND(ISNUMBER(R1498),Settings!$B$17&gt;0),IF(ISNUMBER(INDEX($R:$R,Settings!$B$17)),(R1498-INDEX($R:$R,Settings!$B$17))*100,NA()),NA())</f>
        <v/>
      </c>
      <c r="W1498" s="20">
        <f>IF(AND(ISNUMBER(P1498),Settings!$B$17&gt;0),IF(ISNUMBER(INDEX($P:$P,Settings!$B$17)),P1498-INDEX($P:$P,Settings!$B$17),NA()),NA())</f>
        <v/>
      </c>
      <c r="X1498" s="19">
        <f>IF(NOT(ISNUMBER($A1498)),NA(),IF(OR($A1498&lt;MIN(DKW_10Y!$A$2:$A$2918),$A1498&gt;MAX(DKW_10Y!$A$2:$A$2918),Settings!$B$16&lt;MIN(DKW_10Y!$A$2:$A$2918)),NA(),(INDEX(DKW_10Y!$B$2:$B$2918,MATCH($A1498,DKW_10Y!$A$2:$A$2918,1))-INDEX(DKW_10Y!$B$2:$B$2918,MATCH(Settings!$B$16,DKW_10Y!$A$2:$A$2918,1)))*100))</f>
        <v/>
      </c>
      <c r="Y1498" s="19">
        <f>IF(NOT(ISNUMBER($A1498)),NA(),IF(OR($A1498&lt;MIN(DKW_10Y!$A$2:$A$2918),$A1498&gt;MAX(DKW_10Y!$A$2:$A$2918),Settings!$B$16&lt;MIN(DKW_10Y!$A$2:$A$2918)),NA(),(INDEX(DKW_10Y!$C$2:$C$2918,MATCH($A1498,DKW_10Y!$A$2:$A$2918,1))-INDEX(DKW_10Y!$C$2:$C$2918,MATCH(Settings!$B$16,DKW_10Y!$A$2:$A$2918,1)))*100))</f>
        <v/>
      </c>
      <c r="Z1498" s="19">
        <f>IF(NOT(ISNUMBER($A1498)),NA(),IF(OR($A1498&lt;MIN(DKW_10Y!$A$2:$A$2918),$A1498&gt;MAX(DKW_10Y!$A$2:$A$2918),Settings!$B$16&lt;MIN(DKW_10Y!$A$2:$A$2918)),NA(),(INDEX(DKW_10Y!$D$2:$D$2918,MATCH($A1498,DKW_10Y!$A$2:$A$2918,1))-INDEX(DKW_10Y!$D$2:$D$2918,MATCH(Settings!$B$16,DKW_10Y!$A$2:$A$2918,1)))*100))</f>
        <v/>
      </c>
      <c r="AA1498" s="19">
        <f>IF(NOT(ISNUMBER($A1498)),NA(),IF(OR($A1498&lt;MIN(DKW_10Y!$A$2:$A$2918),$A1498&gt;MAX(DKW_10Y!$A$2:$A$2918),Settings!$B$16&lt;MIN(DKW_10Y!$A$2:$A$2918)),NA(),(INDEX(DKW_10Y!$E$2:$E$2918,MATCH($A1498,DKW_10Y!$A$2:$A$2918,1))-INDEX(DKW_10Y!$E$2:$E$2918,MATCH(Settings!$B$16,DKW_10Y!$A$2:$A$2918,1)))*100))</f>
        <v/>
      </c>
      <c r="AB1498" s="19">
        <f>IF(NOT(ISNUMBER($A1498)),NA(),IF(OR($A1498&lt;MIN(DKW_10Y!$A$2:$A$2918),$A1498&gt;MAX(DKW_10Y!$A$2:$A$2918),Settings!$B$16&lt;MIN(DKW_10Y!$A$2:$A$2918)),NA(),(INDEX(DKW_10Y!$H$2:$H$2918,MATCH($A1498,DKW_10Y!$A$2:$A$2918,1))-INDEX(DKW_10Y!$H$2:$H$2918,MATCH(Settings!$B$16,DKW_10Y!$A$2:$A$2918,1)))*100))</f>
        <v/>
      </c>
      <c r="AC1498" s="18">
        <f>IF(NOT(ISNUMBER($A1498)),NA(),IFERROR(1*INDEX(BBG_Data!$N$2:$N$4000,MATCH($A1498,BBG_Data!$M$2:$M$4000,0)),NA()))</f>
        <v/>
      </c>
      <c r="AD1498" s="18">
        <f>IF(NOT(ISNUMBER($A1498)),NA(),IFERROR(1*INDEX(BBG_Data!$P$2:$P$4000,MATCH($A1498,BBG_Data!$O$2:$O$4000,0)),NA()))</f>
        <v/>
      </c>
      <c r="AE1498" s="18">
        <f>IF(NOT(ISNUMBER($A1498)),NA(),IFERROR(1*INDEX(BBG_Data!$R$2:$R$4000,MATCH($A1498,BBG_Data!$Q$2:$Q$4000,0)),NA()))</f>
        <v/>
      </c>
      <c r="AF1498" s="20">
        <f>IF(AND(ISNUMBER(B1498),ISNUMBER(AC1498)),(B1498-AC1498)*100,NA())</f>
        <v/>
      </c>
      <c r="AG1498" s="20">
        <f>IF(AND(ISNUMBER(AE1498),ISNUMBER(AD1498)),(AE1498-AD1498)*100,NA())</f>
        <v/>
      </c>
      <c r="AH1498" s="19">
        <f>IF(NOT(ISNUMBER($A1498)),NA(),IFERROR(INDEX(BBG_Data!$T$2:$T$4000,MATCH($A1498,BBG_Data!$S$2:$S$4000,0))*Settings!$B$25,NA()))</f>
        <v/>
      </c>
      <c r="AI1498" s="19">
        <f>IF(NOT(ISNUMBER($A1498)),NA(),IFERROR(INDEX(BBG_Data!$V$2:$V$4000,MATCH($A1498,BBG_Data!$U$2:$U$4000,0))*Settings!$B$25,NA()))</f>
        <v/>
      </c>
      <c r="AJ1498" s="19">
        <f>IF(NOT(ISNUMBER($A1498)),NA(),IFERROR(1*INDEX(BBG_Data!$X$2:$X$4000,MATCH($A1498,BBG_Data!$W$2:$W$4000,0)),NA()))</f>
        <v/>
      </c>
      <c r="AK1498" s="19">
        <f>IF(NOT(ISNUMBER($A1498)),NA(),IFERROR(1*INDEX(BBG_Data!$Z$2:$Z$4000,MATCH($A1498,BBG_Data!$Y$2:$Y$4000,0)),NA()))</f>
        <v/>
      </c>
    </row>
    <row r="1499">
      <c r="A1499" s="17">
        <f>IF(ISNUMBER(BBG_Data!A1499),BBG_Data!A1499,"")</f>
        <v/>
      </c>
      <c r="B1499" s="18">
        <f>IF(AND(ISNUMBER($A1499),ISNUMBER(BBG_Data!B1499)),BBG_Data!B1499,NA())</f>
        <v/>
      </c>
      <c r="C1499" s="18">
        <f>IF(NOT(ISNUMBER($A1499)),NA(),IFERROR(1*INDEX(BBG_Data!$D$2:$D$4000,MATCH($A1499,BBG_Data!$C$2:$C$4000,0)),NA()))</f>
        <v/>
      </c>
      <c r="D1499" s="19">
        <f>IF(NOT(ISNUMBER($A1499)),NA(),IFERROR(1*INDEX(BBG_Data!$F$2:$F$4000,MATCH($A1499,BBG_Data!$E$2:$E$4000,0)),NA()))</f>
        <v/>
      </c>
      <c r="E1499" s="19">
        <f>IF(NOT(ISNUMBER($A1499)),NA(),IFERROR(1*INDEX(BBG_Data!$H$2:$H$4000,MATCH($A1499,BBG_Data!$G$2:$G$4000,0)),NA()))</f>
        <v/>
      </c>
      <c r="F1499" s="20">
        <f>IF(AND(ISNUMBER(B1499),ISNUMBER(B1498)),IF(B1499=B1498,"",(B1499-B1498)*100),"")</f>
        <v/>
      </c>
      <c r="G1499" s="20">
        <f>IF(AND(ISNUMBER(C1499),ISNUMBER(C1498)),IF(C1499=C1498,"",(C1499-C1498)*100),"")</f>
        <v/>
      </c>
      <c r="H1499" s="20">
        <f>IF(OR(NOT(ISNUMBER($A1499)),ROW()-2&lt;Settings!$B$11),NA(),IF(COUNT(OFFSET(F1499,1-Settings!$B$11,0,Settings!$B$11,1))&lt;ROUNDUP(Settings!$B$11*Settings!$B$26,0),NA(),STDEV(OFFSET(F1499,1-Settings!$B$11,0,Settings!$B$11,1))*SQRT(Settings!$B$13)))</f>
        <v/>
      </c>
      <c r="I1499" s="20">
        <f>IF(OR(NOT(ISNUMBER($A1499)),ROW()-2&lt;Settings!$B$12),NA(),IF(COUNT(OFFSET(F1499,1-Settings!$B$12,0,Settings!$B$12,1))&lt;ROUNDUP(Settings!$B$12*Settings!$B$26,0),NA(),STDEV(OFFSET(F1499,1-Settings!$B$12,0,Settings!$B$12,1))*SQRT(Settings!$B$13)))</f>
        <v/>
      </c>
      <c r="J1499" s="20">
        <f>IF(OR(NOT(ISNUMBER($A1499)),ROW()-2&lt;Settings!$B$11),NA(),IF(COUNT(OFFSET(G1499,1-Settings!$B$11,0,Settings!$B$11,1))&lt;ROUNDUP(Settings!$B$11*Settings!$B$26,0),NA(),STDEV(OFFSET(G1499,1-Settings!$B$11,0,Settings!$B$11,1))*SQRT(Settings!$B$13)))</f>
        <v/>
      </c>
      <c r="K1499" s="20">
        <f>IF(OR(NOT(ISNUMBER($A1499)),ROW()-2&lt;Settings!$B$12),NA(),IF(COUNT(OFFSET(G1499,1-Settings!$B$12,0,Settings!$B$12,1))&lt;ROUNDUP(Settings!$B$12*Settings!$B$26,0),NA(),STDEV(OFFSET(G1499,1-Settings!$B$12,0,Settings!$B$12,1))*SQRT(Settings!$B$13)))</f>
        <v/>
      </c>
      <c r="L1499" s="20">
        <f>IF(AND(ISNUMBER(D1499),ISNUMBER(H1499)),D1499-H1499,NA())</f>
        <v/>
      </c>
      <c r="M1499" s="20">
        <f>IF(AND(ISNUMBER(E1499),ISNUMBER(K1499)),E1499-K1499,NA())</f>
        <v/>
      </c>
      <c r="N1499" s="20">
        <f>IF(NOT(ISNUMBER($A1499)),NA(),IF(COUNT(OFFSET(G1499,1,0,Settings!$B$12,1))&lt;ROUNDUP(Settings!$B$12*Settings!$B$26,0),NA(),STDEV(OFFSET(G1499,1,0,Settings!$B$12,1))*SQRT(Settings!$B$13)))</f>
        <v/>
      </c>
      <c r="O1499" s="20">
        <f>IF(AND(ISNUMBER(E1499),ISNUMBER(N1499)),E1499-N1499,NA())</f>
        <v/>
      </c>
      <c r="P1499" s="19">
        <f>IF(NOT(ISNUMBER($A1499)),NA(),IF(OR($A1499&lt;MIN(KW_TP!$A$2:$A$2501),$A1499&gt;MAX(KW_TP!$A$2:$A$2501)),NA(),INDEX(KW_TP!$C$2:$C$2501,MATCH($A1499,KW_TP!$A$2:$A$2501,1))))</f>
        <v/>
      </c>
      <c r="Q1499" s="18">
        <f>IF(NOT(ISNUMBER($A1499)),NA(),IFERROR(1*INDEX(BBG_Data!$J$2:$J$4000,MATCH($A1499,BBG_Data!$I$2:$I$4000,0)),NA()))</f>
        <v/>
      </c>
      <c r="R1499" s="18">
        <f>IF(NOT(ISNUMBER($A1499)),NA(),IFERROR(1*INDEX(BBG_Data!$L$2:$L$4000,MATCH($A1499,BBG_Data!$K$2:$K$4000,0)),NA()))</f>
        <v/>
      </c>
      <c r="S1499" s="20">
        <f>IF(AND(ISNUMBER(B1499),ISNUMBER(Q1499),ISNUMBER(R1499)),(B1499-Q1499-R1499)*100,NA())</f>
        <v/>
      </c>
      <c r="T1499" s="20">
        <f>IF(AND(ISNUMBER(B1499),Settings!$B$17&gt;0),IF(ISNUMBER(INDEX($B:$B,Settings!$B$17)),(B1499-INDEX($B:$B,Settings!$B$17))*100,NA()),NA())</f>
        <v/>
      </c>
      <c r="U1499" s="20">
        <f>IF(AND(ISNUMBER(Q1499),Settings!$B$17&gt;0),IF(ISNUMBER(INDEX($Q:$Q,Settings!$B$17)),(Q1499-INDEX($Q:$Q,Settings!$B$17))*100,NA()),NA())</f>
        <v/>
      </c>
      <c r="V1499" s="20">
        <f>IF(AND(ISNUMBER(R1499),Settings!$B$17&gt;0),IF(ISNUMBER(INDEX($R:$R,Settings!$B$17)),(R1499-INDEX($R:$R,Settings!$B$17))*100,NA()),NA())</f>
        <v/>
      </c>
      <c r="W1499" s="20">
        <f>IF(AND(ISNUMBER(P1499),Settings!$B$17&gt;0),IF(ISNUMBER(INDEX($P:$P,Settings!$B$17)),P1499-INDEX($P:$P,Settings!$B$17),NA()),NA())</f>
        <v/>
      </c>
      <c r="X1499" s="19">
        <f>IF(NOT(ISNUMBER($A1499)),NA(),IF(OR($A1499&lt;MIN(DKW_10Y!$A$2:$A$2918),$A1499&gt;MAX(DKW_10Y!$A$2:$A$2918),Settings!$B$16&lt;MIN(DKW_10Y!$A$2:$A$2918)),NA(),(INDEX(DKW_10Y!$B$2:$B$2918,MATCH($A1499,DKW_10Y!$A$2:$A$2918,1))-INDEX(DKW_10Y!$B$2:$B$2918,MATCH(Settings!$B$16,DKW_10Y!$A$2:$A$2918,1)))*100))</f>
        <v/>
      </c>
      <c r="Y1499" s="19">
        <f>IF(NOT(ISNUMBER($A1499)),NA(),IF(OR($A1499&lt;MIN(DKW_10Y!$A$2:$A$2918),$A1499&gt;MAX(DKW_10Y!$A$2:$A$2918),Settings!$B$16&lt;MIN(DKW_10Y!$A$2:$A$2918)),NA(),(INDEX(DKW_10Y!$C$2:$C$2918,MATCH($A1499,DKW_10Y!$A$2:$A$2918,1))-INDEX(DKW_10Y!$C$2:$C$2918,MATCH(Settings!$B$16,DKW_10Y!$A$2:$A$2918,1)))*100))</f>
        <v/>
      </c>
      <c r="Z1499" s="19">
        <f>IF(NOT(ISNUMBER($A1499)),NA(),IF(OR($A1499&lt;MIN(DKW_10Y!$A$2:$A$2918),$A1499&gt;MAX(DKW_10Y!$A$2:$A$2918),Settings!$B$16&lt;MIN(DKW_10Y!$A$2:$A$2918)),NA(),(INDEX(DKW_10Y!$D$2:$D$2918,MATCH($A1499,DKW_10Y!$A$2:$A$2918,1))-INDEX(DKW_10Y!$D$2:$D$2918,MATCH(Settings!$B$16,DKW_10Y!$A$2:$A$2918,1)))*100))</f>
        <v/>
      </c>
      <c r="AA1499" s="19">
        <f>IF(NOT(ISNUMBER($A1499)),NA(),IF(OR($A1499&lt;MIN(DKW_10Y!$A$2:$A$2918),$A1499&gt;MAX(DKW_10Y!$A$2:$A$2918),Settings!$B$16&lt;MIN(DKW_10Y!$A$2:$A$2918)),NA(),(INDEX(DKW_10Y!$E$2:$E$2918,MATCH($A1499,DKW_10Y!$A$2:$A$2918,1))-INDEX(DKW_10Y!$E$2:$E$2918,MATCH(Settings!$B$16,DKW_10Y!$A$2:$A$2918,1)))*100))</f>
        <v/>
      </c>
      <c r="AB1499" s="19">
        <f>IF(NOT(ISNUMBER($A1499)),NA(),IF(OR($A1499&lt;MIN(DKW_10Y!$A$2:$A$2918),$A1499&gt;MAX(DKW_10Y!$A$2:$A$2918),Settings!$B$16&lt;MIN(DKW_10Y!$A$2:$A$2918)),NA(),(INDEX(DKW_10Y!$H$2:$H$2918,MATCH($A1499,DKW_10Y!$A$2:$A$2918,1))-INDEX(DKW_10Y!$H$2:$H$2918,MATCH(Settings!$B$16,DKW_10Y!$A$2:$A$2918,1)))*100))</f>
        <v/>
      </c>
      <c r="AC1499" s="18">
        <f>IF(NOT(ISNUMBER($A1499)),NA(),IFERROR(1*INDEX(BBG_Data!$N$2:$N$4000,MATCH($A1499,BBG_Data!$M$2:$M$4000,0)),NA()))</f>
        <v/>
      </c>
      <c r="AD1499" s="18">
        <f>IF(NOT(ISNUMBER($A1499)),NA(),IFERROR(1*INDEX(BBG_Data!$P$2:$P$4000,MATCH($A1499,BBG_Data!$O$2:$O$4000,0)),NA()))</f>
        <v/>
      </c>
      <c r="AE1499" s="18">
        <f>IF(NOT(ISNUMBER($A1499)),NA(),IFERROR(1*INDEX(BBG_Data!$R$2:$R$4000,MATCH($A1499,BBG_Data!$Q$2:$Q$4000,0)),NA()))</f>
        <v/>
      </c>
      <c r="AF1499" s="20">
        <f>IF(AND(ISNUMBER(B1499),ISNUMBER(AC1499)),(B1499-AC1499)*100,NA())</f>
        <v/>
      </c>
      <c r="AG1499" s="20">
        <f>IF(AND(ISNUMBER(AE1499),ISNUMBER(AD1499)),(AE1499-AD1499)*100,NA())</f>
        <v/>
      </c>
      <c r="AH1499" s="19">
        <f>IF(NOT(ISNUMBER($A1499)),NA(),IFERROR(INDEX(BBG_Data!$T$2:$T$4000,MATCH($A1499,BBG_Data!$S$2:$S$4000,0))*Settings!$B$25,NA()))</f>
        <v/>
      </c>
      <c r="AI1499" s="19">
        <f>IF(NOT(ISNUMBER($A1499)),NA(),IFERROR(INDEX(BBG_Data!$V$2:$V$4000,MATCH($A1499,BBG_Data!$U$2:$U$4000,0))*Settings!$B$25,NA()))</f>
        <v/>
      </c>
      <c r="AJ1499" s="19">
        <f>IF(NOT(ISNUMBER($A1499)),NA(),IFERROR(1*INDEX(BBG_Data!$X$2:$X$4000,MATCH($A1499,BBG_Data!$W$2:$W$4000,0)),NA()))</f>
        <v/>
      </c>
      <c r="AK1499" s="19">
        <f>IF(NOT(ISNUMBER($A1499)),NA(),IFERROR(1*INDEX(BBG_Data!$Z$2:$Z$4000,MATCH($A1499,BBG_Data!$Y$2:$Y$4000,0)),NA()))</f>
        <v/>
      </c>
    </row>
    <row r="1500">
      <c r="A1500" s="17">
        <f>IF(ISNUMBER(BBG_Data!A1500),BBG_Data!A1500,"")</f>
        <v/>
      </c>
      <c r="B1500" s="18">
        <f>IF(AND(ISNUMBER($A1500),ISNUMBER(BBG_Data!B1500)),BBG_Data!B1500,NA())</f>
        <v/>
      </c>
      <c r="C1500" s="18">
        <f>IF(NOT(ISNUMBER($A1500)),NA(),IFERROR(1*INDEX(BBG_Data!$D$2:$D$4000,MATCH($A1500,BBG_Data!$C$2:$C$4000,0)),NA()))</f>
        <v/>
      </c>
      <c r="D1500" s="19">
        <f>IF(NOT(ISNUMBER($A1500)),NA(),IFERROR(1*INDEX(BBG_Data!$F$2:$F$4000,MATCH($A1500,BBG_Data!$E$2:$E$4000,0)),NA()))</f>
        <v/>
      </c>
      <c r="E1500" s="19">
        <f>IF(NOT(ISNUMBER($A1500)),NA(),IFERROR(1*INDEX(BBG_Data!$H$2:$H$4000,MATCH($A1500,BBG_Data!$G$2:$G$4000,0)),NA()))</f>
        <v/>
      </c>
      <c r="F1500" s="20">
        <f>IF(AND(ISNUMBER(B1500),ISNUMBER(B1499)),IF(B1500=B1499,"",(B1500-B1499)*100),"")</f>
        <v/>
      </c>
      <c r="G1500" s="20">
        <f>IF(AND(ISNUMBER(C1500),ISNUMBER(C1499)),IF(C1500=C1499,"",(C1500-C1499)*100),"")</f>
        <v/>
      </c>
      <c r="H1500" s="20">
        <f>IF(OR(NOT(ISNUMBER($A1500)),ROW()-2&lt;Settings!$B$11),NA(),IF(COUNT(OFFSET(F1500,1-Settings!$B$11,0,Settings!$B$11,1))&lt;ROUNDUP(Settings!$B$11*Settings!$B$26,0),NA(),STDEV(OFFSET(F1500,1-Settings!$B$11,0,Settings!$B$11,1))*SQRT(Settings!$B$13)))</f>
        <v/>
      </c>
      <c r="I1500" s="20">
        <f>IF(OR(NOT(ISNUMBER($A1500)),ROW()-2&lt;Settings!$B$12),NA(),IF(COUNT(OFFSET(F1500,1-Settings!$B$12,0,Settings!$B$12,1))&lt;ROUNDUP(Settings!$B$12*Settings!$B$26,0),NA(),STDEV(OFFSET(F1500,1-Settings!$B$12,0,Settings!$B$12,1))*SQRT(Settings!$B$13)))</f>
        <v/>
      </c>
      <c r="J1500" s="20">
        <f>IF(OR(NOT(ISNUMBER($A1500)),ROW()-2&lt;Settings!$B$11),NA(),IF(COUNT(OFFSET(G1500,1-Settings!$B$11,0,Settings!$B$11,1))&lt;ROUNDUP(Settings!$B$11*Settings!$B$26,0),NA(),STDEV(OFFSET(G1500,1-Settings!$B$11,0,Settings!$B$11,1))*SQRT(Settings!$B$13)))</f>
        <v/>
      </c>
      <c r="K1500" s="20">
        <f>IF(OR(NOT(ISNUMBER($A1500)),ROW()-2&lt;Settings!$B$12),NA(),IF(COUNT(OFFSET(G1500,1-Settings!$B$12,0,Settings!$B$12,1))&lt;ROUNDUP(Settings!$B$12*Settings!$B$26,0),NA(),STDEV(OFFSET(G1500,1-Settings!$B$12,0,Settings!$B$12,1))*SQRT(Settings!$B$13)))</f>
        <v/>
      </c>
      <c r="L1500" s="20">
        <f>IF(AND(ISNUMBER(D1500),ISNUMBER(H1500)),D1500-H1500,NA())</f>
        <v/>
      </c>
      <c r="M1500" s="20">
        <f>IF(AND(ISNUMBER(E1500),ISNUMBER(K1500)),E1500-K1500,NA())</f>
        <v/>
      </c>
      <c r="N1500" s="20">
        <f>IF(NOT(ISNUMBER($A1500)),NA(),IF(COUNT(OFFSET(G1500,1,0,Settings!$B$12,1))&lt;ROUNDUP(Settings!$B$12*Settings!$B$26,0),NA(),STDEV(OFFSET(G1500,1,0,Settings!$B$12,1))*SQRT(Settings!$B$13)))</f>
        <v/>
      </c>
      <c r="O1500" s="20">
        <f>IF(AND(ISNUMBER(E1500),ISNUMBER(N1500)),E1500-N1500,NA())</f>
        <v/>
      </c>
      <c r="P1500" s="19">
        <f>IF(NOT(ISNUMBER($A1500)),NA(),IF(OR($A1500&lt;MIN(KW_TP!$A$2:$A$2501),$A1500&gt;MAX(KW_TP!$A$2:$A$2501)),NA(),INDEX(KW_TP!$C$2:$C$2501,MATCH($A1500,KW_TP!$A$2:$A$2501,1))))</f>
        <v/>
      </c>
      <c r="Q1500" s="18">
        <f>IF(NOT(ISNUMBER($A1500)),NA(),IFERROR(1*INDEX(BBG_Data!$J$2:$J$4000,MATCH($A1500,BBG_Data!$I$2:$I$4000,0)),NA()))</f>
        <v/>
      </c>
      <c r="R1500" s="18">
        <f>IF(NOT(ISNUMBER($A1500)),NA(),IFERROR(1*INDEX(BBG_Data!$L$2:$L$4000,MATCH($A1500,BBG_Data!$K$2:$K$4000,0)),NA()))</f>
        <v/>
      </c>
      <c r="S1500" s="20">
        <f>IF(AND(ISNUMBER(B1500),ISNUMBER(Q1500),ISNUMBER(R1500)),(B1500-Q1500-R1500)*100,NA())</f>
        <v/>
      </c>
      <c r="T1500" s="20">
        <f>IF(AND(ISNUMBER(B1500),Settings!$B$17&gt;0),IF(ISNUMBER(INDEX($B:$B,Settings!$B$17)),(B1500-INDEX($B:$B,Settings!$B$17))*100,NA()),NA())</f>
        <v/>
      </c>
      <c r="U1500" s="20">
        <f>IF(AND(ISNUMBER(Q1500),Settings!$B$17&gt;0),IF(ISNUMBER(INDEX($Q:$Q,Settings!$B$17)),(Q1500-INDEX($Q:$Q,Settings!$B$17))*100,NA()),NA())</f>
        <v/>
      </c>
      <c r="V1500" s="20">
        <f>IF(AND(ISNUMBER(R1500),Settings!$B$17&gt;0),IF(ISNUMBER(INDEX($R:$R,Settings!$B$17)),(R1500-INDEX($R:$R,Settings!$B$17))*100,NA()),NA())</f>
        <v/>
      </c>
      <c r="W1500" s="20">
        <f>IF(AND(ISNUMBER(P1500),Settings!$B$17&gt;0),IF(ISNUMBER(INDEX($P:$P,Settings!$B$17)),P1500-INDEX($P:$P,Settings!$B$17),NA()),NA())</f>
        <v/>
      </c>
      <c r="X1500" s="19">
        <f>IF(NOT(ISNUMBER($A1500)),NA(),IF(OR($A1500&lt;MIN(DKW_10Y!$A$2:$A$2918),$A1500&gt;MAX(DKW_10Y!$A$2:$A$2918),Settings!$B$16&lt;MIN(DKW_10Y!$A$2:$A$2918)),NA(),(INDEX(DKW_10Y!$B$2:$B$2918,MATCH($A1500,DKW_10Y!$A$2:$A$2918,1))-INDEX(DKW_10Y!$B$2:$B$2918,MATCH(Settings!$B$16,DKW_10Y!$A$2:$A$2918,1)))*100))</f>
        <v/>
      </c>
      <c r="Y1500" s="19">
        <f>IF(NOT(ISNUMBER($A1500)),NA(),IF(OR($A1500&lt;MIN(DKW_10Y!$A$2:$A$2918),$A1500&gt;MAX(DKW_10Y!$A$2:$A$2918),Settings!$B$16&lt;MIN(DKW_10Y!$A$2:$A$2918)),NA(),(INDEX(DKW_10Y!$C$2:$C$2918,MATCH($A1500,DKW_10Y!$A$2:$A$2918,1))-INDEX(DKW_10Y!$C$2:$C$2918,MATCH(Settings!$B$16,DKW_10Y!$A$2:$A$2918,1)))*100))</f>
        <v/>
      </c>
      <c r="Z1500" s="19">
        <f>IF(NOT(ISNUMBER($A1500)),NA(),IF(OR($A1500&lt;MIN(DKW_10Y!$A$2:$A$2918),$A1500&gt;MAX(DKW_10Y!$A$2:$A$2918),Settings!$B$16&lt;MIN(DKW_10Y!$A$2:$A$2918)),NA(),(INDEX(DKW_10Y!$D$2:$D$2918,MATCH($A1500,DKW_10Y!$A$2:$A$2918,1))-INDEX(DKW_10Y!$D$2:$D$2918,MATCH(Settings!$B$16,DKW_10Y!$A$2:$A$2918,1)))*100))</f>
        <v/>
      </c>
      <c r="AA1500" s="19">
        <f>IF(NOT(ISNUMBER($A1500)),NA(),IF(OR($A1500&lt;MIN(DKW_10Y!$A$2:$A$2918),$A1500&gt;MAX(DKW_10Y!$A$2:$A$2918),Settings!$B$16&lt;MIN(DKW_10Y!$A$2:$A$2918)),NA(),(INDEX(DKW_10Y!$E$2:$E$2918,MATCH($A1500,DKW_10Y!$A$2:$A$2918,1))-INDEX(DKW_10Y!$E$2:$E$2918,MATCH(Settings!$B$16,DKW_10Y!$A$2:$A$2918,1)))*100))</f>
        <v/>
      </c>
      <c r="AB1500" s="19">
        <f>IF(NOT(ISNUMBER($A1500)),NA(),IF(OR($A1500&lt;MIN(DKW_10Y!$A$2:$A$2918),$A1500&gt;MAX(DKW_10Y!$A$2:$A$2918),Settings!$B$16&lt;MIN(DKW_10Y!$A$2:$A$2918)),NA(),(INDEX(DKW_10Y!$H$2:$H$2918,MATCH($A1500,DKW_10Y!$A$2:$A$2918,1))-INDEX(DKW_10Y!$H$2:$H$2918,MATCH(Settings!$B$16,DKW_10Y!$A$2:$A$2918,1)))*100))</f>
        <v/>
      </c>
      <c r="AC1500" s="18">
        <f>IF(NOT(ISNUMBER($A1500)),NA(),IFERROR(1*INDEX(BBG_Data!$N$2:$N$4000,MATCH($A1500,BBG_Data!$M$2:$M$4000,0)),NA()))</f>
        <v/>
      </c>
      <c r="AD1500" s="18">
        <f>IF(NOT(ISNUMBER($A1500)),NA(),IFERROR(1*INDEX(BBG_Data!$P$2:$P$4000,MATCH($A1500,BBG_Data!$O$2:$O$4000,0)),NA()))</f>
        <v/>
      </c>
      <c r="AE1500" s="18">
        <f>IF(NOT(ISNUMBER($A1500)),NA(),IFERROR(1*INDEX(BBG_Data!$R$2:$R$4000,MATCH($A1500,BBG_Data!$Q$2:$Q$4000,0)),NA()))</f>
        <v/>
      </c>
      <c r="AF1500" s="20">
        <f>IF(AND(ISNUMBER(B1500),ISNUMBER(AC1500)),(B1500-AC1500)*100,NA())</f>
        <v/>
      </c>
      <c r="AG1500" s="20">
        <f>IF(AND(ISNUMBER(AE1500),ISNUMBER(AD1500)),(AE1500-AD1500)*100,NA())</f>
        <v/>
      </c>
      <c r="AH1500" s="19">
        <f>IF(NOT(ISNUMBER($A1500)),NA(),IFERROR(INDEX(BBG_Data!$T$2:$T$4000,MATCH($A1500,BBG_Data!$S$2:$S$4000,0))*Settings!$B$25,NA()))</f>
        <v/>
      </c>
      <c r="AI1500" s="19">
        <f>IF(NOT(ISNUMBER($A1500)),NA(),IFERROR(INDEX(BBG_Data!$V$2:$V$4000,MATCH($A1500,BBG_Data!$U$2:$U$4000,0))*Settings!$B$25,NA()))</f>
        <v/>
      </c>
      <c r="AJ1500" s="19">
        <f>IF(NOT(ISNUMBER($A1500)),NA(),IFERROR(1*INDEX(BBG_Data!$X$2:$X$4000,MATCH($A1500,BBG_Data!$W$2:$W$4000,0)),NA()))</f>
        <v/>
      </c>
      <c r="AK1500" s="19">
        <f>IF(NOT(ISNUMBER($A1500)),NA(),IFERROR(1*INDEX(BBG_Data!$Z$2:$Z$4000,MATCH($A1500,BBG_Data!$Y$2:$Y$4000,0)),NA()))</f>
        <v/>
      </c>
    </row>
    <row r="1501">
      <c r="A1501" s="17">
        <f>IF(ISNUMBER(BBG_Data!A1501),BBG_Data!A1501,"")</f>
        <v/>
      </c>
      <c r="B1501" s="18">
        <f>IF(AND(ISNUMBER($A1501),ISNUMBER(BBG_Data!B1501)),BBG_Data!B1501,NA())</f>
        <v/>
      </c>
      <c r="C1501" s="18">
        <f>IF(NOT(ISNUMBER($A1501)),NA(),IFERROR(1*INDEX(BBG_Data!$D$2:$D$4000,MATCH($A1501,BBG_Data!$C$2:$C$4000,0)),NA()))</f>
        <v/>
      </c>
      <c r="D1501" s="19">
        <f>IF(NOT(ISNUMBER($A1501)),NA(),IFERROR(1*INDEX(BBG_Data!$F$2:$F$4000,MATCH($A1501,BBG_Data!$E$2:$E$4000,0)),NA()))</f>
        <v/>
      </c>
      <c r="E1501" s="19">
        <f>IF(NOT(ISNUMBER($A1501)),NA(),IFERROR(1*INDEX(BBG_Data!$H$2:$H$4000,MATCH($A1501,BBG_Data!$G$2:$G$4000,0)),NA()))</f>
        <v/>
      </c>
      <c r="F1501" s="20">
        <f>IF(AND(ISNUMBER(B1501),ISNUMBER(B1500)),IF(B1501=B1500,"",(B1501-B1500)*100),"")</f>
        <v/>
      </c>
      <c r="G1501" s="20">
        <f>IF(AND(ISNUMBER(C1501),ISNUMBER(C1500)),IF(C1501=C1500,"",(C1501-C1500)*100),"")</f>
        <v/>
      </c>
      <c r="H1501" s="20">
        <f>IF(OR(NOT(ISNUMBER($A1501)),ROW()-2&lt;Settings!$B$11),NA(),IF(COUNT(OFFSET(F1501,1-Settings!$B$11,0,Settings!$B$11,1))&lt;ROUNDUP(Settings!$B$11*Settings!$B$26,0),NA(),STDEV(OFFSET(F1501,1-Settings!$B$11,0,Settings!$B$11,1))*SQRT(Settings!$B$13)))</f>
        <v/>
      </c>
      <c r="I1501" s="20">
        <f>IF(OR(NOT(ISNUMBER($A1501)),ROW()-2&lt;Settings!$B$12),NA(),IF(COUNT(OFFSET(F1501,1-Settings!$B$12,0,Settings!$B$12,1))&lt;ROUNDUP(Settings!$B$12*Settings!$B$26,0),NA(),STDEV(OFFSET(F1501,1-Settings!$B$12,0,Settings!$B$12,1))*SQRT(Settings!$B$13)))</f>
        <v/>
      </c>
      <c r="J1501" s="20">
        <f>IF(OR(NOT(ISNUMBER($A1501)),ROW()-2&lt;Settings!$B$11),NA(),IF(COUNT(OFFSET(G1501,1-Settings!$B$11,0,Settings!$B$11,1))&lt;ROUNDUP(Settings!$B$11*Settings!$B$26,0),NA(),STDEV(OFFSET(G1501,1-Settings!$B$11,0,Settings!$B$11,1))*SQRT(Settings!$B$13)))</f>
        <v/>
      </c>
      <c r="K1501" s="20">
        <f>IF(OR(NOT(ISNUMBER($A1501)),ROW()-2&lt;Settings!$B$12),NA(),IF(COUNT(OFFSET(G1501,1-Settings!$B$12,0,Settings!$B$12,1))&lt;ROUNDUP(Settings!$B$12*Settings!$B$26,0),NA(),STDEV(OFFSET(G1501,1-Settings!$B$12,0,Settings!$B$12,1))*SQRT(Settings!$B$13)))</f>
        <v/>
      </c>
      <c r="L1501" s="20">
        <f>IF(AND(ISNUMBER(D1501),ISNUMBER(H1501)),D1501-H1501,NA())</f>
        <v/>
      </c>
      <c r="M1501" s="20">
        <f>IF(AND(ISNUMBER(E1501),ISNUMBER(K1501)),E1501-K1501,NA())</f>
        <v/>
      </c>
      <c r="N1501" s="20">
        <f>IF(NOT(ISNUMBER($A1501)),NA(),IF(COUNT(OFFSET(G1501,1,0,Settings!$B$12,1))&lt;ROUNDUP(Settings!$B$12*Settings!$B$26,0),NA(),STDEV(OFFSET(G1501,1,0,Settings!$B$12,1))*SQRT(Settings!$B$13)))</f>
        <v/>
      </c>
      <c r="O1501" s="20">
        <f>IF(AND(ISNUMBER(E1501),ISNUMBER(N1501)),E1501-N1501,NA())</f>
        <v/>
      </c>
      <c r="P1501" s="19">
        <f>IF(NOT(ISNUMBER($A1501)),NA(),IF(OR($A1501&lt;MIN(KW_TP!$A$2:$A$2501),$A1501&gt;MAX(KW_TP!$A$2:$A$2501)),NA(),INDEX(KW_TP!$C$2:$C$2501,MATCH($A1501,KW_TP!$A$2:$A$2501,1))))</f>
        <v/>
      </c>
      <c r="Q1501" s="18">
        <f>IF(NOT(ISNUMBER($A1501)),NA(),IFERROR(1*INDEX(BBG_Data!$J$2:$J$4000,MATCH($A1501,BBG_Data!$I$2:$I$4000,0)),NA()))</f>
        <v/>
      </c>
      <c r="R1501" s="18">
        <f>IF(NOT(ISNUMBER($A1501)),NA(),IFERROR(1*INDEX(BBG_Data!$L$2:$L$4000,MATCH($A1501,BBG_Data!$K$2:$K$4000,0)),NA()))</f>
        <v/>
      </c>
      <c r="S1501" s="20">
        <f>IF(AND(ISNUMBER(B1501),ISNUMBER(Q1501),ISNUMBER(R1501)),(B1501-Q1501-R1501)*100,NA())</f>
        <v/>
      </c>
      <c r="T1501" s="20">
        <f>IF(AND(ISNUMBER(B1501),Settings!$B$17&gt;0),IF(ISNUMBER(INDEX($B:$B,Settings!$B$17)),(B1501-INDEX($B:$B,Settings!$B$17))*100,NA()),NA())</f>
        <v/>
      </c>
      <c r="U1501" s="20">
        <f>IF(AND(ISNUMBER(Q1501),Settings!$B$17&gt;0),IF(ISNUMBER(INDEX($Q:$Q,Settings!$B$17)),(Q1501-INDEX($Q:$Q,Settings!$B$17))*100,NA()),NA())</f>
        <v/>
      </c>
      <c r="V1501" s="20">
        <f>IF(AND(ISNUMBER(R1501),Settings!$B$17&gt;0),IF(ISNUMBER(INDEX($R:$R,Settings!$B$17)),(R1501-INDEX($R:$R,Settings!$B$17))*100,NA()),NA())</f>
        <v/>
      </c>
      <c r="W1501" s="20">
        <f>IF(AND(ISNUMBER(P1501),Settings!$B$17&gt;0),IF(ISNUMBER(INDEX($P:$P,Settings!$B$17)),P1501-INDEX($P:$P,Settings!$B$17),NA()),NA())</f>
        <v/>
      </c>
      <c r="X1501" s="19">
        <f>IF(NOT(ISNUMBER($A1501)),NA(),IF(OR($A1501&lt;MIN(DKW_10Y!$A$2:$A$2918),$A1501&gt;MAX(DKW_10Y!$A$2:$A$2918),Settings!$B$16&lt;MIN(DKW_10Y!$A$2:$A$2918)),NA(),(INDEX(DKW_10Y!$B$2:$B$2918,MATCH($A1501,DKW_10Y!$A$2:$A$2918,1))-INDEX(DKW_10Y!$B$2:$B$2918,MATCH(Settings!$B$16,DKW_10Y!$A$2:$A$2918,1)))*100))</f>
        <v/>
      </c>
      <c r="Y1501" s="19">
        <f>IF(NOT(ISNUMBER($A1501)),NA(),IF(OR($A1501&lt;MIN(DKW_10Y!$A$2:$A$2918),$A1501&gt;MAX(DKW_10Y!$A$2:$A$2918),Settings!$B$16&lt;MIN(DKW_10Y!$A$2:$A$2918)),NA(),(INDEX(DKW_10Y!$C$2:$C$2918,MATCH($A1501,DKW_10Y!$A$2:$A$2918,1))-INDEX(DKW_10Y!$C$2:$C$2918,MATCH(Settings!$B$16,DKW_10Y!$A$2:$A$2918,1)))*100))</f>
        <v/>
      </c>
      <c r="Z1501" s="19">
        <f>IF(NOT(ISNUMBER($A1501)),NA(),IF(OR($A1501&lt;MIN(DKW_10Y!$A$2:$A$2918),$A1501&gt;MAX(DKW_10Y!$A$2:$A$2918),Settings!$B$16&lt;MIN(DKW_10Y!$A$2:$A$2918)),NA(),(INDEX(DKW_10Y!$D$2:$D$2918,MATCH($A1501,DKW_10Y!$A$2:$A$2918,1))-INDEX(DKW_10Y!$D$2:$D$2918,MATCH(Settings!$B$16,DKW_10Y!$A$2:$A$2918,1)))*100))</f>
        <v/>
      </c>
      <c r="AA1501" s="19">
        <f>IF(NOT(ISNUMBER($A1501)),NA(),IF(OR($A1501&lt;MIN(DKW_10Y!$A$2:$A$2918),$A1501&gt;MAX(DKW_10Y!$A$2:$A$2918),Settings!$B$16&lt;MIN(DKW_10Y!$A$2:$A$2918)),NA(),(INDEX(DKW_10Y!$E$2:$E$2918,MATCH($A1501,DKW_10Y!$A$2:$A$2918,1))-INDEX(DKW_10Y!$E$2:$E$2918,MATCH(Settings!$B$16,DKW_10Y!$A$2:$A$2918,1)))*100))</f>
        <v/>
      </c>
      <c r="AB1501" s="19">
        <f>IF(NOT(ISNUMBER($A1501)),NA(),IF(OR($A1501&lt;MIN(DKW_10Y!$A$2:$A$2918),$A1501&gt;MAX(DKW_10Y!$A$2:$A$2918),Settings!$B$16&lt;MIN(DKW_10Y!$A$2:$A$2918)),NA(),(INDEX(DKW_10Y!$H$2:$H$2918,MATCH($A1501,DKW_10Y!$A$2:$A$2918,1))-INDEX(DKW_10Y!$H$2:$H$2918,MATCH(Settings!$B$16,DKW_10Y!$A$2:$A$2918,1)))*100))</f>
        <v/>
      </c>
      <c r="AC1501" s="18">
        <f>IF(NOT(ISNUMBER($A1501)),NA(),IFERROR(1*INDEX(BBG_Data!$N$2:$N$4000,MATCH($A1501,BBG_Data!$M$2:$M$4000,0)),NA()))</f>
        <v/>
      </c>
      <c r="AD1501" s="18">
        <f>IF(NOT(ISNUMBER($A1501)),NA(),IFERROR(1*INDEX(BBG_Data!$P$2:$P$4000,MATCH($A1501,BBG_Data!$O$2:$O$4000,0)),NA()))</f>
        <v/>
      </c>
      <c r="AE1501" s="18">
        <f>IF(NOT(ISNUMBER($A1501)),NA(),IFERROR(1*INDEX(BBG_Data!$R$2:$R$4000,MATCH($A1501,BBG_Data!$Q$2:$Q$4000,0)),NA()))</f>
        <v/>
      </c>
      <c r="AF1501" s="20">
        <f>IF(AND(ISNUMBER(B1501),ISNUMBER(AC1501)),(B1501-AC1501)*100,NA())</f>
        <v/>
      </c>
      <c r="AG1501" s="20">
        <f>IF(AND(ISNUMBER(AE1501),ISNUMBER(AD1501)),(AE1501-AD1501)*100,NA())</f>
        <v/>
      </c>
      <c r="AH1501" s="19">
        <f>IF(NOT(ISNUMBER($A1501)),NA(),IFERROR(INDEX(BBG_Data!$T$2:$T$4000,MATCH($A1501,BBG_Data!$S$2:$S$4000,0))*Settings!$B$25,NA()))</f>
        <v/>
      </c>
      <c r="AI1501" s="19">
        <f>IF(NOT(ISNUMBER($A1501)),NA(),IFERROR(INDEX(BBG_Data!$V$2:$V$4000,MATCH($A1501,BBG_Data!$U$2:$U$4000,0))*Settings!$B$25,NA()))</f>
        <v/>
      </c>
      <c r="AJ1501" s="19">
        <f>IF(NOT(ISNUMBER($A1501)),NA(),IFERROR(1*INDEX(BBG_Data!$X$2:$X$4000,MATCH($A1501,BBG_Data!$W$2:$W$4000,0)),NA()))</f>
        <v/>
      </c>
      <c r="AK1501" s="19">
        <f>IF(NOT(ISNUMBER($A1501)),NA(),IFERROR(1*INDEX(BBG_Data!$Z$2:$Z$4000,MATCH($A1501,BBG_Data!$Y$2:$Y$4000,0)),NA()))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4" t="inlineStr">
        <is>
          <t>最新數值摘要</t>
        </is>
      </c>
    </row>
    <row r="2">
      <c r="A2" s="5" t="inlineStr">
        <is>
          <t>指標</t>
        </is>
      </c>
      <c r="B2" s="5" t="inlineStr">
        <is>
          <t>數值</t>
        </is>
      </c>
      <c r="C2" s="5" t="inlineStr">
        <is>
          <t>說明</t>
        </is>
      </c>
    </row>
    <row r="3">
      <c r="A3" s="6" t="inlineStr">
        <is>
          <t>最新資料列（Calc 內序號）</t>
        </is>
      </c>
      <c r="B3" s="21">
        <f>MATCH(9.99E+307,Calc!$A$2:$A$1501)</f>
        <v/>
      </c>
      <c r="C3" s="6" t="inlineStr">
        <is>
          <t>Calc 中最後一個有日期的列。</t>
        </is>
      </c>
    </row>
    <row r="4">
      <c r="A4" s="6" t="inlineStr">
        <is>
          <t>最新日期</t>
        </is>
      </c>
      <c r="B4" s="17">
        <f>INDEX(Calc!$A$2:$A$1501,B3)</f>
        <v/>
      </c>
      <c r="C4" s="6" t="inlineStr"/>
    </row>
    <row r="5">
      <c r="A5" s="6" t="inlineStr">
        <is>
          <t>10Y 公債殖利率 (%)</t>
        </is>
      </c>
      <c r="B5" s="18">
        <f>IFERROR(INDEX(Calc!$B$2:$B$1501,$B$3),"n/a")</f>
        <v/>
      </c>
      <c r="C5" s="6" t="inlineStr"/>
    </row>
    <row r="6">
      <c r="A6" s="6" t="inlineStr">
        <is>
          <t>MOVE (bp)</t>
        </is>
      </c>
      <c r="B6" s="19">
        <f>IFERROR(INDEX(Calc!$D$2:$D$1501,$B$3),"n/a")</f>
        <v/>
      </c>
      <c r="C6" s="6" t="inlineStr"/>
    </row>
    <row r="7">
      <c r="A7" s="6" t="inlineStr">
        <is>
          <t>RV 公債 短期 (bp/y)</t>
        </is>
      </c>
      <c r="B7" s="19">
        <f>IFERROR(INDEX(Calc!$H$2:$H$1501,$B$3),"n/a")</f>
        <v/>
      </c>
      <c r="C7" s="6" t="inlineStr">
        <is>
          <t>對照 MOVE。</t>
        </is>
      </c>
    </row>
    <row r="8">
      <c r="A8" s="6" t="inlineStr">
        <is>
          <t>MOVE − RV 公債短期</t>
        </is>
      </c>
      <c r="B8" s="19">
        <f>IFERROR(INDEX(Calc!$L$2:$L$1501,$B$3),"n/a")</f>
        <v/>
      </c>
      <c r="C8" s="6" t="inlineStr">
        <is>
          <t>正值＝選擇權比實際波動貴。</t>
        </is>
      </c>
    </row>
    <row r="9">
      <c r="A9" s="6" t="inlineStr">
        <is>
          <t>Swaption IV (bp/y)</t>
        </is>
      </c>
      <c r="B9" s="19">
        <f>IFERROR(INDEX(Calc!$E$2:$E$1501,$B$3),"n/a")</f>
        <v/>
      </c>
      <c r="C9" s="6" t="inlineStr">
        <is>
          <t>需先在 Settings!B9 填 ticker。</t>
        </is>
      </c>
    </row>
    <row r="10">
      <c r="A10" s="6" t="inlineStr">
        <is>
          <t>RV Swap 長期 (bp/y)</t>
        </is>
      </c>
      <c r="B10" s="19">
        <f>IFERROR(INDEX(Calc!$K$2:$K$1501,$B$3),"n/a")</f>
        <v/>
      </c>
      <c r="C10" s="6" t="inlineStr">
        <is>
          <t>對照 3m10y Swaption。</t>
        </is>
      </c>
    </row>
    <row r="11">
      <c r="A11" s="6" t="inlineStr">
        <is>
          <t>Swaption IV − RV Swap 長期</t>
        </is>
      </c>
      <c r="B11" s="19">
        <f>IFERROR(INDEX(Calc!$M$2:$M$1501,$B$3),"n/a")</f>
        <v/>
      </c>
      <c r="C11" s="6" t="inlineStr">
        <is>
          <t>即時版 VRP 近似。</t>
        </is>
      </c>
    </row>
    <row r="12">
      <c r="A12" s="6" t="inlineStr">
        <is>
          <t>Kim-Wright TP 最新 (bp)</t>
        </is>
      </c>
      <c r="B12" s="19">
        <f>INDEX(KW_TP!$C$2:$C$2501,COUNT(KW_TP!$A$2:$A$2501))</f>
        <v/>
      </c>
      <c r="C12" s="6" t="inlineStr">
        <is>
          <t>KW_TP 分頁最後一筆。</t>
        </is>
      </c>
    </row>
    <row r="13">
      <c r="A13" s="6" t="inlineStr">
        <is>
          <t>Kim-Wright TP 最新日期</t>
        </is>
      </c>
      <c r="B13" s="17">
        <f>INDEX(KW_TP!$A$2:$A$2501,COUNT(KW_TP!$A$2:$A$2501))</f>
        <v/>
      </c>
      <c r="C13" s="6" t="inlineStr"/>
    </row>
    <row r="14">
      <c r="A14" s="6" t="inlineStr">
        <is>
          <t>Kim-Wright TP 今年以來變動 (bp)</t>
        </is>
      </c>
      <c r="B14" s="19">
        <f>B12-INDEX(KW_TP!$C$2:$C$2501,MATCH(DATE(YEAR(B13)-1,12,31),KW_TP!$A$2:$A$2501,1))</f>
        <v/>
      </c>
      <c r="C14" s="6" t="inlineStr">
        <is>
          <t>相對前一年最後一筆。</t>
        </is>
      </c>
    </row>
    <row r="15">
      <c r="A15" s="6" t="inlineStr">
        <is>
          <t>10Y TIPS 實質殖利率 (%)</t>
        </is>
      </c>
      <c r="B15" s="18">
        <f>IFERROR(INDEX(Calc!$Q$2:$Q$1501,$B$3),"n/a")</f>
        <v/>
      </c>
      <c r="C15" s="6" t="inlineStr">
        <is>
          <t>市場口徑的實質利率。</t>
        </is>
      </c>
    </row>
    <row r="16">
      <c r="A16" s="6" t="inlineStr">
        <is>
          <t>10Y BEI (%)</t>
        </is>
      </c>
      <c r="B16" s="18">
        <f>IFERROR(INDEX(Calc!$R$2:$R$1501,$B$3),"n/a")</f>
        <v/>
      </c>
      <c r="C16" s="6" t="inlineStr"/>
    </row>
    <row r="17">
      <c r="A17" s="6" t="inlineStr">
        <is>
          <t>分解基準日</t>
        </is>
      </c>
      <c r="B17" s="17">
        <f>Settings!B16</f>
        <v/>
      </c>
      <c r="C17" s="6" t="inlineStr">
        <is>
          <t>在 Settings!B16 修改。</t>
        </is>
      </c>
    </row>
    <row r="18">
      <c r="A18" s="6" t="inlineStr">
        <is>
          <t>Δ10Y 名目（基準日以來，bp）</t>
        </is>
      </c>
      <c r="B18" s="19">
        <f>IFERROR(INDEX(Calc!$T$2:$T$1501,$B$3),"n/a")</f>
        <v/>
      </c>
      <c r="C18" s="6" t="inlineStr"/>
    </row>
    <row r="19">
      <c r="A19" s="6" t="inlineStr">
        <is>
          <t>ΔTIPS：實質利率貢獻 (bp)</t>
        </is>
      </c>
      <c r="B19" s="19">
        <f>IFERROR(INDEX(Calc!$U$2:$U$1501,$B$3),"n/a")</f>
        <v/>
      </c>
      <c r="C19" s="6" t="inlineStr">
        <is>
          <t>含實質期限溢酬與流動性溢酬。</t>
        </is>
      </c>
    </row>
    <row r="20">
      <c r="A20" s="6" t="inlineStr">
        <is>
          <t>ΔBEI：通膨預期貢獻 (bp)</t>
        </is>
      </c>
      <c r="B20" s="19">
        <f>IFERROR(INDEX(Calc!$V$2:$V$1501,$B$3),"n/a")</f>
        <v/>
      </c>
      <c r="C20" s="6" t="inlineStr">
        <is>
          <t>含通膨風險溢酬。</t>
        </is>
      </c>
    </row>
    <row r="21">
      <c r="A21" s="6" t="inlineStr">
        <is>
          <t>實質利率貢獻占比</t>
        </is>
      </c>
      <c r="B21" s="22">
        <f>IFERROR(B19/B18,"n/a")</f>
        <v/>
      </c>
      <c r="C21" s="6" t="inlineStr">
        <is>
          <t>ΔTIPS ÷ Δ10Y。</t>
        </is>
      </c>
    </row>
    <row r="22">
      <c r="A22" s="6" t="inlineStr">
        <is>
          <t>ΔKim-Wright TP（基準日以來，bp）</t>
        </is>
      </c>
      <c r="B22" s="19">
        <f>IFERROR(INDEX(Calc!$W$2:$W$1501,$B$3),"n/a")</f>
        <v/>
      </c>
      <c r="C22" s="6" t="inlineStr">
        <is>
          <t>模型口徑，和上面的市場口徑不能直接相加；Kim-Wright 資料較晚時顯示 n/a。</t>
        </is>
      </c>
    </row>
    <row r="23">
      <c r="A23" s="6" t="inlineStr">
        <is>
          <t>DKW 最新日期</t>
        </is>
      </c>
      <c r="B23" s="17">
        <f>INDEX(DKW_10Y!$A$2:$A$2918,COUNT(DKW_10Y!$A$2:$A$2918))</f>
        <v/>
      </c>
      <c r="C23" s="6" t="inlineStr">
        <is>
          <t>DKW 每月更新；以下為基準日到此日的變動。</t>
        </is>
      </c>
    </row>
    <row r="24">
      <c r="A24" s="6" t="inlineStr">
        <is>
          <t>DKW Δ名目殖利率 fitted (bp)</t>
        </is>
      </c>
      <c r="B24" s="19">
        <f>IFERROR((INDEX(DKW_10Y!$G$2:$G$2918,COUNT(DKW_10Y!$A$2:$A$2918))-INDEX(DKW_10Y!$G$2:$G$2918,MATCH(Settings!$B$16,DKW_10Y!$A$2:$A$2918,1)))*100,"n/a")</f>
        <v/>
      </c>
      <c r="C24" s="6">
        <f> 下面四個成分的加總。</f>
        <v/>
      </c>
    </row>
    <row r="25">
      <c r="A25" s="6" t="inlineStr">
        <is>
          <t>DKW Δ預期實質短率 (bp)</t>
        </is>
      </c>
      <c r="B25" s="19">
        <f>IFERROR((INDEX(DKW_10Y!$B$2:$B$2918,COUNT(DKW_10Y!$A$2:$A$2918))-INDEX(DKW_10Y!$B$2:$B$2918,MATCH(Settings!$B$16,DKW_10Y!$A$2:$A$2918,1)))*100,"n/a")</f>
        <v/>
      </c>
      <c r="C25" s="6" t="inlineStr">
        <is>
          <t>政策路徑與 r* 的預期。</t>
        </is>
      </c>
    </row>
    <row r="26">
      <c r="A26" s="6" t="inlineStr">
        <is>
          <t>DKW Δ實質 TP (bp)</t>
        </is>
      </c>
      <c r="B26" s="19">
        <f>IFERROR((INDEX(DKW_10Y!$C$2:$C$2918,COUNT(DKW_10Y!$A$2:$A$2918))-INDEX(DKW_10Y!$C$2:$C$2918,MATCH(Settings!$B$16,DKW_10Y!$A$2:$A$2918,1)))*100,"n/a")</f>
        <v/>
      </c>
      <c r="C26" s="6" t="inlineStr">
        <is>
          <t>TIPS「實質利率」上升中屬於期限溢酬的部分。</t>
        </is>
      </c>
    </row>
    <row r="27">
      <c r="A27" s="6" t="inlineStr">
        <is>
          <t>DKW Δ預期通膨 (bp)</t>
        </is>
      </c>
      <c r="B27" s="19">
        <f>IFERROR((INDEX(DKW_10Y!$D$2:$D$2918,COUNT(DKW_10Y!$A$2:$A$2918))-INDEX(DKW_10Y!$D$2:$D$2918,MATCH(Settings!$B$16,DKW_10Y!$A$2:$A$2918,1)))*100,"n/a")</f>
        <v/>
      </c>
      <c r="C27" s="6" t="inlineStr"/>
    </row>
    <row r="28">
      <c r="A28" s="6" t="inlineStr">
        <is>
          <t>DKW Δ通膨風險溢酬 (bp)</t>
        </is>
      </c>
      <c r="B28" s="19">
        <f>IFERROR((INDEX(DKW_10Y!$E$2:$E$2918,COUNT(DKW_10Y!$A$2:$A$2918))-INDEX(DKW_10Y!$E$2:$E$2918,MATCH(Settings!$B$16,DKW_10Y!$A$2:$A$2918,1)))*100,"n/a")</f>
        <v/>
      </c>
      <c r="C28" s="6" t="inlineStr"/>
    </row>
    <row r="29">
      <c r="A29" s="6" t="inlineStr">
        <is>
          <t>DKW Δ名目 TP (bp)</t>
        </is>
      </c>
      <c r="B29" s="19">
        <f>IFERROR((INDEX(DKW_10Y!$H$2:$H$2918,COUNT(DKW_10Y!$A$2:$A$2918))-INDEX(DKW_10Y!$H$2:$H$2918,MATCH(Settings!$B$16,DKW_10Y!$A$2:$A$2918,1)))*100,"n/a")</f>
        <v/>
      </c>
      <c r="C29" s="6">
        <f> 實質 TP + 通膨風險溢酬，可與 Kim-Wright 對照。</f>
        <v/>
      </c>
    </row>
    <row r="30">
      <c r="A30" s="6" t="inlineStr">
        <is>
          <t>DKW 名目 TP 占名目變動比例</t>
        </is>
      </c>
      <c r="B30" s="22">
        <f>IFERROR(B29/B24,"n/a")</f>
        <v/>
      </c>
      <c r="C30" s="6" t="inlineStr"/>
    </row>
    <row r="31">
      <c r="A31" s="6" t="inlineStr">
        <is>
          <t>DKW 實質 TP 占實質部分比例</t>
        </is>
      </c>
      <c r="B31" s="22">
        <f>IFERROR(B26/(B25+B26),"n/a")</f>
        <v/>
      </c>
      <c r="C31" s="6" t="inlineStr">
        <is>
          <t>實質部分 = 預期實質短率 + 實質 TP。</t>
        </is>
      </c>
    </row>
    <row r="32">
      <c r="A32" s="6" t="inlineStr">
        <is>
          <t>2s10s (bp)</t>
        </is>
      </c>
      <c r="B32" s="19">
        <f>IFERROR(INDEX(Calc!$AF$2:$AF$1501,$B$3),"n/a")</f>
        <v/>
      </c>
      <c r="C32" s="6" t="inlineStr">
        <is>
          <t>正值愈大 = 曲線愈陡。</t>
        </is>
      </c>
    </row>
    <row r="33">
      <c r="A33" s="6" t="inlineStr">
        <is>
          <t>2s10s 基準日以來變動 (bp)</t>
        </is>
      </c>
      <c r="B33" s="19">
        <f>IFERROR(INDEX(Calc!$AF$2:$AF$1501,$B$3)-INDEX(Calc!$AF:$AF,Settings!$B$17),"n/a")</f>
        <v/>
      </c>
      <c r="C33" s="6" t="inlineStr">
        <is>
          <t>正值 = 變陡。</t>
        </is>
      </c>
    </row>
    <row r="34">
      <c r="A34" s="6" t="inlineStr">
        <is>
          <t>5s30s (bp)</t>
        </is>
      </c>
      <c r="B34" s="19">
        <f>IFERROR(INDEX(Calc!$AG$2:$AG$1501,$B$3),"n/a")</f>
        <v/>
      </c>
      <c r="C34" s="6" t="inlineStr"/>
    </row>
    <row r="35">
      <c r="A35" s="6" t="inlineStr">
        <is>
          <t>5s30s 基準日以來變動 (bp)</t>
        </is>
      </c>
      <c r="B35" s="19">
        <f>IFERROR(INDEX(Calc!$AG$2:$AG$1501,$B$3)-INDEX(Calc!$AG:$AG,Settings!$B$17),"n/a")</f>
        <v/>
      </c>
      <c r="C35" s="6" t="inlineStr"/>
    </row>
    <row r="36">
      <c r="A36" s="6" t="inlineStr">
        <is>
          <t>HY OAS (bp)</t>
        </is>
      </c>
      <c r="B36" s="19">
        <f>IFERROR(INDEX(Calc!$AH$2:$AH$1501,$B$3),"n/a")</f>
        <v/>
      </c>
      <c r="C36" s="6" t="inlineStr"/>
    </row>
    <row r="37">
      <c r="A37" s="6" t="inlineStr">
        <is>
          <t>HY OAS 基準日以來變動 (bp)</t>
        </is>
      </c>
      <c r="B37" s="19">
        <f>IFERROR(INDEX(Calc!$AH$2:$AH$1501,$B$3)-INDEX(Calc!$AH:$AH,Settings!$B$17),"n/a")</f>
        <v/>
      </c>
      <c r="C37" s="6" t="inlineStr"/>
    </row>
    <row r="38">
      <c r="A38" s="6" t="inlineStr">
        <is>
          <t>IG OAS (bp)</t>
        </is>
      </c>
      <c r="B38" s="19">
        <f>IFERROR(INDEX(Calc!$AI$2:$AI$1501,$B$3),"n/a")</f>
        <v/>
      </c>
      <c r="C38" s="6" t="inlineStr"/>
    </row>
    <row r="39">
      <c r="A39" s="6" t="inlineStr">
        <is>
          <t>CDX IG 5Y (bp)</t>
        </is>
      </c>
      <c r="B39" s="19">
        <f>IFERROR(INDEX(Calc!$AJ$2:$AJ$1501,$B$3),"n/a")</f>
        <v/>
      </c>
      <c r="C39" s="6" t="inlineStr"/>
    </row>
    <row r="40">
      <c r="A40" s="6" t="inlineStr">
        <is>
          <t>CDX HY 5Y (bp)</t>
        </is>
      </c>
      <c r="B40" s="19">
        <f>IFERROR(INDEX(Calc!$AK$2:$AK$1501,$B$3),"n/a")</f>
        <v/>
      </c>
      <c r="C40" s="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2026-10-05T01:19:28Z</dcterms:created>
  <dcterms:modified xmlns:dcterms="http://purl.org/dc/terms/" xmlns:xsi="http://www.w3.org/2001/XMLSchema-instance" xsi:type="dcterms:W3CDTF">2026-10-05T01:19:29Z</dcterms:modified>
</cp:coreProperties>
</file>